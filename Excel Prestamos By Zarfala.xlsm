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9" codeName="{1976965A-4D05-D629-99FE-D24ACEFE15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l\Downloads\Compressed\PRESTAYAELPAISA\PRESTAYAELPAISA\Panel Excel\"/>
    </mc:Choice>
  </mc:AlternateContent>
  <xr:revisionPtr revIDLastSave="0" documentId="13_ncr:1_{80A903CB-DA00-4A2D-9208-C7D4834D3BBB}" xr6:coauthVersionLast="47" xr6:coauthVersionMax="47" xr10:uidLastSave="{00000000-0000-0000-0000-000000000000}"/>
  <bookViews>
    <workbookView xWindow="-120" yWindow="-120" windowWidth="29040" windowHeight="15840" tabRatio="595" xr2:uid="{8C10AAB0-7CB8-4645-B9D1-97B109D15905}"/>
  </bookViews>
  <sheets>
    <sheet name="CONTROL DE PRESTAMOS" sheetId="11" r:id="rId1"/>
    <sheet name="DATOS CLIENTES" sheetId="7" r:id="rId2"/>
    <sheet name="TABLA DE AMORTIZACION" sheetId="9" r:id="rId3"/>
    <sheet name="REGISTRO DE UTILIDAD" sheetId="12" r:id="rId4"/>
  </sheets>
  <definedNames>
    <definedName name="CLIENTES">#REF!</definedName>
    <definedName name="CLIENTESS">'DATOS CLIENTES'!$A$5:$A$1919</definedName>
    <definedName name="DIARIO">#REF!</definedName>
    <definedName name="FORMA" localSheetId="0">'CONTROL DE PRESTAMOS'!$F$2:$F$3</definedName>
    <definedName name="FORMA">#REF!</definedName>
    <definedName name="PERIODO">#REF!</definedName>
    <definedName name="PERIODOS" localSheetId="0">'CONTROL DE PRESTAMOS'!$E$1:$E$3</definedName>
    <definedName name="PERIODOS">#REF!</definedName>
  </definedNames>
  <calcPr calcId="191028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1" l="1"/>
  <c r="C5" i="11"/>
  <c r="P8" i="11"/>
  <c r="Q8" i="11" s="1"/>
  <c r="N8" i="11" s="1"/>
  <c r="O8" i="11"/>
  <c r="U8" i="11" s="1"/>
  <c r="S8" i="11" s="1"/>
  <c r="P9" i="11"/>
  <c r="Q9" i="11" s="1"/>
  <c r="O10" i="11"/>
  <c r="U10" i="11" s="1"/>
  <c r="O11" i="11"/>
  <c r="U11" i="11" s="1"/>
  <c r="O12" i="11"/>
  <c r="U12" i="11" s="1"/>
  <c r="S12" i="11" s="1"/>
  <c r="O13" i="11"/>
  <c r="U13" i="11" s="1"/>
  <c r="S13" i="11" s="1"/>
  <c r="O14" i="11"/>
  <c r="U14" i="11" s="1"/>
  <c r="S14" i="11" s="1"/>
  <c r="O15" i="11"/>
  <c r="U15" i="11" s="1"/>
  <c r="S15" i="11" s="1"/>
  <c r="O16" i="11"/>
  <c r="U16" i="11" s="1"/>
  <c r="S16" i="11" s="1"/>
  <c r="O17" i="11"/>
  <c r="U17" i="11" s="1"/>
  <c r="S17" i="11" s="1"/>
  <c r="O18" i="11"/>
  <c r="U18" i="11"/>
  <c r="S18" i="11" s="1"/>
  <c r="O19" i="11"/>
  <c r="U19" i="11" s="1"/>
  <c r="S19" i="11" s="1"/>
  <c r="O20" i="11"/>
  <c r="U20" i="11" s="1"/>
  <c r="S20" i="11" s="1"/>
  <c r="O21" i="11"/>
  <c r="U21" i="11" s="1"/>
  <c r="S21" i="11" s="1"/>
  <c r="O22" i="11"/>
  <c r="U22" i="11" s="1"/>
  <c r="S22" i="11" s="1"/>
  <c r="O23" i="11"/>
  <c r="U23" i="11" s="1"/>
  <c r="S23" i="11" s="1"/>
  <c r="O24" i="11"/>
  <c r="U24" i="11" s="1"/>
  <c r="S24" i="11" s="1"/>
  <c r="O25" i="11"/>
  <c r="U25" i="11" s="1"/>
  <c r="S25" i="11" s="1"/>
  <c r="O26" i="11"/>
  <c r="U26" i="11" s="1"/>
  <c r="S26" i="11" s="1"/>
  <c r="O27" i="11"/>
  <c r="U27" i="11"/>
  <c r="S27" i="11" s="1"/>
  <c r="O28" i="11"/>
  <c r="U28" i="11" s="1"/>
  <c r="S28" i="11" s="1"/>
  <c r="O29" i="11"/>
  <c r="U29" i="11"/>
  <c r="S29" i="11" s="1"/>
  <c r="O30" i="11"/>
  <c r="U30" i="11" s="1"/>
  <c r="S30" i="11" s="1"/>
  <c r="O31" i="11"/>
  <c r="U31" i="11"/>
  <c r="S31" i="11" s="1"/>
  <c r="O32" i="11"/>
  <c r="U32" i="11" s="1"/>
  <c r="S32" i="11" s="1"/>
  <c r="O33" i="11"/>
  <c r="U33" i="11" s="1"/>
  <c r="S33" i="11" s="1"/>
  <c r="O34" i="11"/>
  <c r="U34" i="11" s="1"/>
  <c r="S34" i="11" s="1"/>
  <c r="O35" i="11"/>
  <c r="U35" i="11" s="1"/>
  <c r="S35" i="11" s="1"/>
  <c r="O36" i="11"/>
  <c r="U36" i="11" s="1"/>
  <c r="S36" i="11" s="1"/>
  <c r="O37" i="11"/>
  <c r="U37" i="11" s="1"/>
  <c r="S37" i="11" s="1"/>
  <c r="O38" i="11"/>
  <c r="U38" i="11" s="1"/>
  <c r="S38" i="11" s="1"/>
  <c r="O39" i="11"/>
  <c r="U39" i="11"/>
  <c r="S39" i="11" s="1"/>
  <c r="O40" i="11"/>
  <c r="U40" i="11" s="1"/>
  <c r="S40" i="11" s="1"/>
  <c r="O41" i="11"/>
  <c r="U41" i="11" s="1"/>
  <c r="S41" i="11" s="1"/>
  <c r="O42" i="11"/>
  <c r="U42" i="11" s="1"/>
  <c r="S42" i="11" s="1"/>
  <c r="O43" i="11"/>
  <c r="U43" i="11" s="1"/>
  <c r="S43" i="11" s="1"/>
  <c r="O44" i="11"/>
  <c r="U44" i="11" s="1"/>
  <c r="S44" i="11" s="1"/>
  <c r="O45" i="11"/>
  <c r="U45" i="11" s="1"/>
  <c r="S45" i="11" s="1"/>
  <c r="O46" i="11"/>
  <c r="U46" i="11" s="1"/>
  <c r="S46" i="11" s="1"/>
  <c r="O47" i="11"/>
  <c r="U47" i="11" s="1"/>
  <c r="S47" i="11" s="1"/>
  <c r="O48" i="11"/>
  <c r="U48" i="11" s="1"/>
  <c r="S48" i="11" s="1"/>
  <c r="O49" i="11"/>
  <c r="U49" i="11" s="1"/>
  <c r="S49" i="11" s="1"/>
  <c r="O50" i="11"/>
  <c r="U50" i="11" s="1"/>
  <c r="S50" i="11" s="1"/>
  <c r="O51" i="11"/>
  <c r="U51" i="11"/>
  <c r="S51" i="11" s="1"/>
  <c r="O52" i="11"/>
  <c r="U52" i="11" s="1"/>
  <c r="S52" i="11" s="1"/>
  <c r="O53" i="11"/>
  <c r="U53" i="11"/>
  <c r="S53" i="11" s="1"/>
  <c r="O54" i="11"/>
  <c r="U54" i="11" s="1"/>
  <c r="S54" i="11" s="1"/>
  <c r="O55" i="11"/>
  <c r="U55" i="11"/>
  <c r="S55" i="11" s="1"/>
  <c r="O56" i="11"/>
  <c r="U56" i="11" s="1"/>
  <c r="S56" i="11" s="1"/>
  <c r="O57" i="11"/>
  <c r="U57" i="11" s="1"/>
  <c r="S57" i="11" s="1"/>
  <c r="O58" i="11"/>
  <c r="U58" i="11"/>
  <c r="S58" i="11" s="1"/>
  <c r="O59" i="11"/>
  <c r="U59" i="11" s="1"/>
  <c r="S59" i="11" s="1"/>
  <c r="O60" i="11"/>
  <c r="U60" i="11" s="1"/>
  <c r="S60" i="11" s="1"/>
  <c r="O61" i="11"/>
  <c r="U61" i="11" s="1"/>
  <c r="S61" i="11" s="1"/>
  <c r="O62" i="11"/>
  <c r="U62" i="11" s="1"/>
  <c r="S62" i="11" s="1"/>
  <c r="O63" i="11"/>
  <c r="U63" i="11"/>
  <c r="S63" i="11" s="1"/>
  <c r="O64" i="11"/>
  <c r="U64" i="11" s="1"/>
  <c r="S64" i="11" s="1"/>
  <c r="O65" i="11"/>
  <c r="U65" i="11" s="1"/>
  <c r="S65" i="11" s="1"/>
  <c r="O66" i="11"/>
  <c r="U66" i="11"/>
  <c r="S66" i="11" s="1"/>
  <c r="O67" i="11"/>
  <c r="U67" i="11" s="1"/>
  <c r="S67" i="11" s="1"/>
  <c r="O68" i="11"/>
  <c r="U68" i="11" s="1"/>
  <c r="S68" i="11" s="1"/>
  <c r="O69" i="11"/>
  <c r="U69" i="11" s="1"/>
  <c r="S69" i="11" s="1"/>
  <c r="O70" i="11"/>
  <c r="U70" i="11" s="1"/>
  <c r="S70" i="11" s="1"/>
  <c r="O71" i="11"/>
  <c r="U71" i="11" s="1"/>
  <c r="S71" i="11" s="1"/>
  <c r="O72" i="11"/>
  <c r="U72" i="11" s="1"/>
  <c r="S72" i="11" s="1"/>
  <c r="O73" i="11"/>
  <c r="U73" i="11" s="1"/>
  <c r="S73" i="11" s="1"/>
  <c r="O74" i="11"/>
  <c r="U74" i="11" s="1"/>
  <c r="S74" i="11" s="1"/>
  <c r="O75" i="11"/>
  <c r="U75" i="11"/>
  <c r="S75" i="11" s="1"/>
  <c r="O76" i="11"/>
  <c r="U76" i="11" s="1"/>
  <c r="S76" i="11" s="1"/>
  <c r="O77" i="11"/>
  <c r="U77" i="11"/>
  <c r="S77" i="11" s="1"/>
  <c r="O78" i="11"/>
  <c r="U78" i="11" s="1"/>
  <c r="S78" i="11" s="1"/>
  <c r="O79" i="11"/>
  <c r="U79" i="11"/>
  <c r="S79" i="11" s="1"/>
  <c r="O80" i="11"/>
  <c r="U80" i="11" s="1"/>
  <c r="S80" i="11" s="1"/>
  <c r="O81" i="11"/>
  <c r="U81" i="11" s="1"/>
  <c r="S81" i="11" s="1"/>
  <c r="O82" i="11"/>
  <c r="U82" i="11"/>
  <c r="S82" i="11" s="1"/>
  <c r="O83" i="11"/>
  <c r="U83" i="11" s="1"/>
  <c r="S83" i="11" s="1"/>
  <c r="O84" i="11"/>
  <c r="U84" i="11" s="1"/>
  <c r="S84" i="11" s="1"/>
  <c r="O85" i="11"/>
  <c r="U85" i="11" s="1"/>
  <c r="S85" i="11" s="1"/>
  <c r="O86" i="11"/>
  <c r="U86" i="11" s="1"/>
  <c r="S86" i="11" s="1"/>
  <c r="O87" i="11"/>
  <c r="U87" i="11"/>
  <c r="S87" i="11" s="1"/>
  <c r="O88" i="11"/>
  <c r="U88" i="11" s="1"/>
  <c r="S88" i="11" s="1"/>
  <c r="O89" i="11"/>
  <c r="U89" i="11" s="1"/>
  <c r="S89" i="11" s="1"/>
  <c r="O90" i="11"/>
  <c r="U90" i="11"/>
  <c r="S90" i="11" s="1"/>
  <c r="O91" i="11"/>
  <c r="U91" i="11" s="1"/>
  <c r="S91" i="11" s="1"/>
  <c r="O92" i="11"/>
  <c r="U92" i="11" s="1"/>
  <c r="S92" i="11" s="1"/>
  <c r="O93" i="11"/>
  <c r="U93" i="11" s="1"/>
  <c r="S93" i="11" s="1"/>
  <c r="O94" i="11"/>
  <c r="U94" i="11" s="1"/>
  <c r="S94" i="11" s="1"/>
  <c r="O95" i="11"/>
  <c r="U95" i="11" s="1"/>
  <c r="S95" i="11" s="1"/>
  <c r="O96" i="11"/>
  <c r="U96" i="11" s="1"/>
  <c r="S96" i="11" s="1"/>
  <c r="O97" i="11"/>
  <c r="U97" i="11" s="1"/>
  <c r="S97" i="11" s="1"/>
  <c r="O98" i="11"/>
  <c r="U98" i="11" s="1"/>
  <c r="S98" i="11" s="1"/>
  <c r="O99" i="11"/>
  <c r="U99" i="11"/>
  <c r="S99" i="11" s="1"/>
  <c r="O100" i="11"/>
  <c r="U100" i="11" s="1"/>
  <c r="S100" i="11" s="1"/>
  <c r="O101" i="11"/>
  <c r="U101" i="11"/>
  <c r="S101" i="11" s="1"/>
  <c r="O102" i="11"/>
  <c r="U102" i="11"/>
  <c r="S102" i="11" s="1"/>
  <c r="O103" i="11"/>
  <c r="U103" i="11"/>
  <c r="S103" i="11" s="1"/>
  <c r="O104" i="11"/>
  <c r="U104" i="11" s="1"/>
  <c r="S104" i="11" s="1"/>
  <c r="O105" i="11"/>
  <c r="U105" i="11" s="1"/>
  <c r="S105" i="11" s="1"/>
  <c r="O106" i="11"/>
  <c r="U106" i="11"/>
  <c r="S106" i="11" s="1"/>
  <c r="O107" i="11"/>
  <c r="U107" i="11" s="1"/>
  <c r="S107" i="11" s="1"/>
  <c r="O108" i="11"/>
  <c r="U108" i="11" s="1"/>
  <c r="S108" i="11" s="1"/>
  <c r="O109" i="11"/>
  <c r="U109" i="11" s="1"/>
  <c r="S109" i="11" s="1"/>
  <c r="O110" i="11"/>
  <c r="U110" i="11" s="1"/>
  <c r="S110" i="11" s="1"/>
  <c r="O111" i="11"/>
  <c r="U111" i="11"/>
  <c r="S111" i="11" s="1"/>
  <c r="O112" i="11"/>
  <c r="U112" i="11" s="1"/>
  <c r="S112" i="11" s="1"/>
  <c r="O113" i="11"/>
  <c r="U113" i="11" s="1"/>
  <c r="S113" i="11" s="1"/>
  <c r="O114" i="11"/>
  <c r="U114" i="11"/>
  <c r="S114" i="11" s="1"/>
  <c r="O115" i="11"/>
  <c r="U115" i="11" s="1"/>
  <c r="S115" i="11" s="1"/>
  <c r="O116" i="11"/>
  <c r="U116" i="11" s="1"/>
  <c r="S116" i="11" s="1"/>
  <c r="O117" i="11"/>
  <c r="U117" i="11" s="1"/>
  <c r="S117" i="11" s="1"/>
  <c r="O118" i="11"/>
  <c r="U118" i="11"/>
  <c r="S118" i="11" s="1"/>
  <c r="O119" i="11"/>
  <c r="U119" i="11" s="1"/>
  <c r="S119" i="11" s="1"/>
  <c r="O120" i="11"/>
  <c r="U120" i="11" s="1"/>
  <c r="S120" i="11" s="1"/>
  <c r="O121" i="11"/>
  <c r="U121" i="11" s="1"/>
  <c r="S121" i="11" s="1"/>
  <c r="O122" i="11"/>
  <c r="U122" i="11" s="1"/>
  <c r="S122" i="11" s="1"/>
  <c r="O123" i="11"/>
  <c r="U123" i="11"/>
  <c r="S123" i="11" s="1"/>
  <c r="O124" i="11"/>
  <c r="U124" i="11" s="1"/>
  <c r="S124" i="11" s="1"/>
  <c r="O125" i="11"/>
  <c r="U125" i="11"/>
  <c r="S125" i="11" s="1"/>
  <c r="O126" i="11"/>
  <c r="U126" i="11"/>
  <c r="S126" i="11" s="1"/>
  <c r="O127" i="11"/>
  <c r="U127" i="11"/>
  <c r="S127" i="11" s="1"/>
  <c r="O128" i="11"/>
  <c r="U128" i="11" s="1"/>
  <c r="S128" i="11" s="1"/>
  <c r="O129" i="11"/>
  <c r="U129" i="11" s="1"/>
  <c r="S129" i="11" s="1"/>
  <c r="O130" i="11"/>
  <c r="U130" i="11"/>
  <c r="S130" i="11" s="1"/>
  <c r="O131" i="11"/>
  <c r="U131" i="11" s="1"/>
  <c r="S131" i="11" s="1"/>
  <c r="O132" i="11"/>
  <c r="U132" i="11" s="1"/>
  <c r="S132" i="11" s="1"/>
  <c r="O133" i="11"/>
  <c r="U133" i="11" s="1"/>
  <c r="S133" i="11" s="1"/>
  <c r="O134" i="11"/>
  <c r="U134" i="11" s="1"/>
  <c r="S134" i="11" s="1"/>
  <c r="O135" i="11"/>
  <c r="U135" i="11"/>
  <c r="S135" i="11" s="1"/>
  <c r="O136" i="11"/>
  <c r="U136" i="11" s="1"/>
  <c r="S136" i="11" s="1"/>
  <c r="O137" i="11"/>
  <c r="U137" i="11" s="1"/>
  <c r="S137" i="11" s="1"/>
  <c r="O138" i="11"/>
  <c r="U138" i="11"/>
  <c r="S138" i="11" s="1"/>
  <c r="O139" i="11"/>
  <c r="U139" i="11"/>
  <c r="S139" i="11" s="1"/>
  <c r="O140" i="11"/>
  <c r="U140" i="11" s="1"/>
  <c r="S140" i="11" s="1"/>
  <c r="O141" i="11"/>
  <c r="U141" i="11" s="1"/>
  <c r="S141" i="11" s="1"/>
  <c r="O142" i="11"/>
  <c r="U142" i="11"/>
  <c r="S142" i="11" s="1"/>
  <c r="O143" i="11"/>
  <c r="U143" i="11" s="1"/>
  <c r="S143" i="11" s="1"/>
  <c r="O144" i="11"/>
  <c r="U144" i="11" s="1"/>
  <c r="S144" i="11" s="1"/>
  <c r="O145" i="11"/>
  <c r="U145" i="11" s="1"/>
  <c r="S145" i="11" s="1"/>
  <c r="O146" i="11"/>
  <c r="U146" i="11" s="1"/>
  <c r="S146" i="11" s="1"/>
  <c r="O147" i="11"/>
  <c r="U147" i="11"/>
  <c r="S147" i="11" s="1"/>
  <c r="O148" i="11"/>
  <c r="U148" i="11" s="1"/>
  <c r="S148" i="11" s="1"/>
  <c r="O149" i="11"/>
  <c r="U149" i="11"/>
  <c r="S149" i="11" s="1"/>
  <c r="O150" i="11"/>
  <c r="U150" i="11"/>
  <c r="S150" i="11" s="1"/>
  <c r="O151" i="11"/>
  <c r="U151" i="11"/>
  <c r="S151" i="11" s="1"/>
  <c r="O152" i="11"/>
  <c r="U152" i="11" s="1"/>
  <c r="S152" i="11" s="1"/>
  <c r="O153" i="11"/>
  <c r="U153" i="11" s="1"/>
  <c r="S153" i="11" s="1"/>
  <c r="O154" i="11"/>
  <c r="U154" i="11"/>
  <c r="S154" i="11" s="1"/>
  <c r="O155" i="11"/>
  <c r="U155" i="11" s="1"/>
  <c r="S155" i="11" s="1"/>
  <c r="O156" i="11"/>
  <c r="U156" i="11" s="1"/>
  <c r="S156" i="11" s="1"/>
  <c r="O157" i="11"/>
  <c r="U157" i="11" s="1"/>
  <c r="S157" i="11" s="1"/>
  <c r="O158" i="11"/>
  <c r="U158" i="11" s="1"/>
  <c r="S158" i="11" s="1"/>
  <c r="O159" i="11"/>
  <c r="U159" i="11"/>
  <c r="S159" i="11" s="1"/>
  <c r="O160" i="11"/>
  <c r="U160" i="11" s="1"/>
  <c r="S160" i="11" s="1"/>
  <c r="O161" i="11"/>
  <c r="U161" i="11" s="1"/>
  <c r="S161" i="11" s="1"/>
  <c r="O162" i="11"/>
  <c r="U162" i="11"/>
  <c r="S162" i="11" s="1"/>
  <c r="O163" i="11"/>
  <c r="U163" i="11"/>
  <c r="S163" i="11" s="1"/>
  <c r="O164" i="11"/>
  <c r="U164" i="11" s="1"/>
  <c r="S164" i="11" s="1"/>
  <c r="O165" i="11"/>
  <c r="U165" i="11" s="1"/>
  <c r="S165" i="11" s="1"/>
  <c r="O166" i="11"/>
  <c r="U166" i="11"/>
  <c r="S166" i="11" s="1"/>
  <c r="O167" i="11"/>
  <c r="U167" i="11" s="1"/>
  <c r="S167" i="11" s="1"/>
  <c r="O168" i="11"/>
  <c r="U168" i="11" s="1"/>
  <c r="S168" i="11" s="1"/>
  <c r="O169" i="11"/>
  <c r="U169" i="11" s="1"/>
  <c r="S169" i="11" s="1"/>
  <c r="O170" i="11"/>
  <c r="U170" i="11" s="1"/>
  <c r="S170" i="11" s="1"/>
  <c r="O171" i="11"/>
  <c r="U171" i="11"/>
  <c r="S171" i="11" s="1"/>
  <c r="O172" i="11"/>
  <c r="U172" i="11" s="1"/>
  <c r="S172" i="11" s="1"/>
  <c r="O173" i="11"/>
  <c r="U173" i="11"/>
  <c r="S173" i="11" s="1"/>
  <c r="O174" i="11"/>
  <c r="U174" i="11"/>
  <c r="S174" i="11" s="1"/>
  <c r="O175" i="11"/>
  <c r="U175" i="11"/>
  <c r="S175" i="11" s="1"/>
  <c r="O176" i="11"/>
  <c r="U176" i="11" s="1"/>
  <c r="S176" i="11" s="1"/>
  <c r="O177" i="11"/>
  <c r="U177" i="11" s="1"/>
  <c r="S177" i="11" s="1"/>
  <c r="O178" i="11"/>
  <c r="U178" i="11"/>
  <c r="S178" i="11" s="1"/>
  <c r="O179" i="11"/>
  <c r="U179" i="11" s="1"/>
  <c r="S179" i="11" s="1"/>
  <c r="O180" i="11"/>
  <c r="U180" i="11" s="1"/>
  <c r="S180" i="11" s="1"/>
  <c r="O181" i="11"/>
  <c r="U181" i="11" s="1"/>
  <c r="S181" i="11" s="1"/>
  <c r="O182" i="11"/>
  <c r="U182" i="11" s="1"/>
  <c r="S182" i="11" s="1"/>
  <c r="O183" i="11"/>
  <c r="U183" i="11" s="1"/>
  <c r="S183" i="11" s="1"/>
  <c r="O184" i="11"/>
  <c r="U184" i="11" s="1"/>
  <c r="S184" i="11" s="1"/>
  <c r="O185" i="11"/>
  <c r="U185" i="11" s="1"/>
  <c r="S185" i="11" s="1"/>
  <c r="O186" i="11"/>
  <c r="U186" i="11" s="1"/>
  <c r="S186" i="11" s="1"/>
  <c r="O187" i="11"/>
  <c r="U187" i="11" s="1"/>
  <c r="S187" i="11" s="1"/>
  <c r="O188" i="11"/>
  <c r="U188" i="11" s="1"/>
  <c r="S188" i="11" s="1"/>
  <c r="O189" i="11"/>
  <c r="U189" i="11"/>
  <c r="S189" i="11" s="1"/>
  <c r="O190" i="11"/>
  <c r="U190" i="11" s="1"/>
  <c r="S190" i="11" s="1"/>
  <c r="O191" i="11"/>
  <c r="U191" i="11"/>
  <c r="S191" i="11" s="1"/>
  <c r="O192" i="11"/>
  <c r="U192" i="11" s="1"/>
  <c r="S192" i="11" s="1"/>
  <c r="O193" i="11"/>
  <c r="U193" i="11" s="1"/>
  <c r="S193" i="11" s="1"/>
  <c r="O194" i="11"/>
  <c r="U194" i="11" s="1"/>
  <c r="S194" i="11" s="1"/>
  <c r="O195" i="11"/>
  <c r="U195" i="11"/>
  <c r="S195" i="11" s="1"/>
  <c r="O196" i="11"/>
  <c r="U196" i="11" s="1"/>
  <c r="S196" i="11" s="1"/>
  <c r="O197" i="11"/>
  <c r="U197" i="11" s="1"/>
  <c r="S197" i="11" s="1"/>
  <c r="O198" i="11"/>
  <c r="U198" i="11"/>
  <c r="S198" i="11" s="1"/>
  <c r="O199" i="11"/>
  <c r="U199" i="11" s="1"/>
  <c r="S199" i="11" s="1"/>
  <c r="O200" i="11"/>
  <c r="U200" i="11" s="1"/>
  <c r="S200" i="11" s="1"/>
  <c r="O201" i="11"/>
  <c r="U201" i="11" s="1"/>
  <c r="S201" i="11" s="1"/>
  <c r="O202" i="11"/>
  <c r="U202" i="11"/>
  <c r="S202" i="11" s="1"/>
  <c r="O203" i="11"/>
  <c r="U203" i="11" s="1"/>
  <c r="S203" i="11" s="1"/>
  <c r="O204" i="11"/>
  <c r="U204" i="11" s="1"/>
  <c r="S204" i="11" s="1"/>
  <c r="O205" i="11"/>
  <c r="U205" i="11" s="1"/>
  <c r="S205" i="11" s="1"/>
  <c r="O206" i="11"/>
  <c r="U206" i="11"/>
  <c r="S206" i="11" s="1"/>
  <c r="O207" i="11"/>
  <c r="U207" i="11" s="1"/>
  <c r="S207" i="11" s="1"/>
  <c r="O208" i="11"/>
  <c r="U208" i="11" s="1"/>
  <c r="S208" i="11" s="1"/>
  <c r="O209" i="11"/>
  <c r="U209" i="11"/>
  <c r="S209" i="11" s="1"/>
  <c r="O210" i="11"/>
  <c r="U210" i="11" s="1"/>
  <c r="S210" i="11" s="1"/>
  <c r="O211" i="11"/>
  <c r="U211" i="11"/>
  <c r="S211" i="11" s="1"/>
  <c r="O212" i="11"/>
  <c r="U212" i="11" s="1"/>
  <c r="S212" i="11" s="1"/>
  <c r="O213" i="11"/>
  <c r="U213" i="11"/>
  <c r="S213" i="11" s="1"/>
  <c r="O214" i="11"/>
  <c r="U214" i="11"/>
  <c r="S214" i="11" s="1"/>
  <c r="O215" i="11"/>
  <c r="U215" i="11" s="1"/>
  <c r="S215" i="11" s="1"/>
  <c r="O216" i="11"/>
  <c r="U216" i="11" s="1"/>
  <c r="S216" i="11" s="1"/>
  <c r="O217" i="11"/>
  <c r="U217" i="11" s="1"/>
  <c r="S217" i="11" s="1"/>
  <c r="O218" i="11"/>
  <c r="U218" i="11"/>
  <c r="S218" i="11" s="1"/>
  <c r="O219" i="11"/>
  <c r="U219" i="11" s="1"/>
  <c r="S219" i="11" s="1"/>
  <c r="O220" i="11"/>
  <c r="U220" i="11" s="1"/>
  <c r="S220" i="11" s="1"/>
  <c r="O221" i="11"/>
  <c r="U221" i="11" s="1"/>
  <c r="S221" i="11" s="1"/>
  <c r="O222" i="11"/>
  <c r="U222" i="11" s="1"/>
  <c r="S222" i="11" s="1"/>
  <c r="O223" i="11"/>
  <c r="U223" i="11"/>
  <c r="S223" i="11" s="1"/>
  <c r="O224" i="11"/>
  <c r="U224" i="11" s="1"/>
  <c r="S224" i="11" s="1"/>
  <c r="O225" i="11"/>
  <c r="U225" i="11" s="1"/>
  <c r="S225" i="11" s="1"/>
  <c r="O226" i="11"/>
  <c r="U226" i="11" s="1"/>
  <c r="S226" i="11" s="1"/>
  <c r="O227" i="11"/>
  <c r="U227" i="11" s="1"/>
  <c r="S227" i="11" s="1"/>
  <c r="O228" i="11"/>
  <c r="U228" i="11" s="1"/>
  <c r="S228" i="11" s="1"/>
  <c r="O229" i="11"/>
  <c r="U229" i="11" s="1"/>
  <c r="S229" i="11" s="1"/>
  <c r="O230" i="11"/>
  <c r="U230" i="11" s="1"/>
  <c r="S230" i="11" s="1"/>
  <c r="O231" i="11"/>
  <c r="U231" i="11" s="1"/>
  <c r="S231" i="11" s="1"/>
  <c r="O232" i="11"/>
  <c r="U232" i="11" s="1"/>
  <c r="S232" i="11" s="1"/>
  <c r="O233" i="11"/>
  <c r="U233" i="11" s="1"/>
  <c r="S233" i="11" s="1"/>
  <c r="O234" i="11"/>
  <c r="U234" i="11" s="1"/>
  <c r="S234" i="11" s="1"/>
  <c r="O235" i="11"/>
  <c r="U235" i="11" s="1"/>
  <c r="S235" i="11" s="1"/>
  <c r="O236" i="11"/>
  <c r="U236" i="11" s="1"/>
  <c r="S236" i="11" s="1"/>
  <c r="O237" i="11"/>
  <c r="U237" i="11"/>
  <c r="S237" i="11" s="1"/>
  <c r="O238" i="11"/>
  <c r="U238" i="11" s="1"/>
  <c r="S238" i="11" s="1"/>
  <c r="O239" i="11"/>
  <c r="U239" i="11" s="1"/>
  <c r="S239" i="11" s="1"/>
  <c r="O240" i="11"/>
  <c r="U240" i="11" s="1"/>
  <c r="S240" i="11" s="1"/>
  <c r="O241" i="11"/>
  <c r="U241" i="11" s="1"/>
  <c r="S241" i="11" s="1"/>
  <c r="O242" i="11"/>
  <c r="U242" i="11" s="1"/>
  <c r="S242" i="11" s="1"/>
  <c r="O243" i="11"/>
  <c r="U243" i="11" s="1"/>
  <c r="S243" i="11" s="1"/>
  <c r="O244" i="11"/>
  <c r="U244" i="11" s="1"/>
  <c r="S244" i="11" s="1"/>
  <c r="O245" i="11"/>
  <c r="U245" i="11" s="1"/>
  <c r="S245" i="11" s="1"/>
  <c r="O246" i="11"/>
  <c r="U246" i="11"/>
  <c r="S246" i="11" s="1"/>
  <c r="O247" i="11"/>
  <c r="U247" i="11"/>
  <c r="S247" i="11" s="1"/>
  <c r="O248" i="11"/>
  <c r="U248" i="11" s="1"/>
  <c r="S248" i="11" s="1"/>
  <c r="O249" i="11"/>
  <c r="U249" i="11" s="1"/>
  <c r="S249" i="11" s="1"/>
  <c r="O250" i="11"/>
  <c r="U250" i="11"/>
  <c r="S250" i="11" s="1"/>
  <c r="O251" i="11"/>
  <c r="U251" i="11" s="1"/>
  <c r="S251" i="11" s="1"/>
  <c r="O252" i="11"/>
  <c r="U252" i="11" s="1"/>
  <c r="S252" i="11" s="1"/>
  <c r="O253" i="11"/>
  <c r="U253" i="11" s="1"/>
  <c r="S253" i="11" s="1"/>
  <c r="O254" i="11"/>
  <c r="U254" i="11"/>
  <c r="S254" i="11" s="1"/>
  <c r="O255" i="11"/>
  <c r="U255" i="11"/>
  <c r="S255" i="11" s="1"/>
  <c r="O256" i="11"/>
  <c r="U256" i="11" s="1"/>
  <c r="S256" i="11" s="1"/>
  <c r="O257" i="11"/>
  <c r="U257" i="11"/>
  <c r="S257" i="11" s="1"/>
  <c r="O258" i="11"/>
  <c r="U258" i="11" s="1"/>
  <c r="S258" i="11" s="1"/>
  <c r="O259" i="11"/>
  <c r="U259" i="11" s="1"/>
  <c r="S259" i="11" s="1"/>
  <c r="O260" i="11"/>
  <c r="U260" i="11" s="1"/>
  <c r="S260" i="11" s="1"/>
  <c r="O261" i="11"/>
  <c r="U261" i="11"/>
  <c r="S261" i="11" s="1"/>
  <c r="O262" i="11"/>
  <c r="U262" i="11"/>
  <c r="S262" i="11" s="1"/>
  <c r="O263" i="11"/>
  <c r="U263" i="11" s="1"/>
  <c r="S263" i="11" s="1"/>
  <c r="O264" i="11"/>
  <c r="U264" i="11" s="1"/>
  <c r="S264" i="11" s="1"/>
  <c r="O265" i="11"/>
  <c r="U265" i="11" s="1"/>
  <c r="S265" i="11" s="1"/>
  <c r="O266" i="11"/>
  <c r="U266" i="11"/>
  <c r="S266" i="11" s="1"/>
  <c r="O267" i="11"/>
  <c r="U267" i="11"/>
  <c r="S267" i="11" s="1"/>
  <c r="O268" i="11"/>
  <c r="U268" i="11" s="1"/>
  <c r="S268" i="11"/>
  <c r="O269" i="11"/>
  <c r="U269" i="11" s="1"/>
  <c r="S269" i="11" s="1"/>
  <c r="O270" i="11"/>
  <c r="U270" i="11"/>
  <c r="S270" i="11" s="1"/>
  <c r="O271" i="11"/>
  <c r="U271" i="11" s="1"/>
  <c r="S271" i="11" s="1"/>
  <c r="O272" i="11"/>
  <c r="U272" i="11" s="1"/>
  <c r="S272" i="11" s="1"/>
  <c r="O273" i="11"/>
  <c r="U273" i="11"/>
  <c r="S273" i="11" s="1"/>
  <c r="O274" i="11"/>
  <c r="U274" i="11" s="1"/>
  <c r="S274" i="11" s="1"/>
  <c r="O275" i="11"/>
  <c r="U275" i="11" s="1"/>
  <c r="S275" i="11" s="1"/>
  <c r="O276" i="11"/>
  <c r="U276" i="11" s="1"/>
  <c r="S276" i="11" s="1"/>
  <c r="O277" i="11"/>
  <c r="U277" i="11" s="1"/>
  <c r="S277" i="11" s="1"/>
  <c r="O278" i="11"/>
  <c r="U278" i="11"/>
  <c r="S278" i="11" s="1"/>
  <c r="O279" i="11"/>
  <c r="U279" i="11" s="1"/>
  <c r="S279" i="11" s="1"/>
  <c r="O280" i="11"/>
  <c r="U280" i="11" s="1"/>
  <c r="S280" i="11" s="1"/>
  <c r="O281" i="11"/>
  <c r="U281" i="11"/>
  <c r="S281" i="11" s="1"/>
  <c r="O282" i="11"/>
  <c r="U282" i="11" s="1"/>
  <c r="S282" i="11" s="1"/>
  <c r="O283" i="11"/>
  <c r="U283" i="11" s="1"/>
  <c r="S283" i="11" s="1"/>
  <c r="O284" i="11"/>
  <c r="U284" i="11" s="1"/>
  <c r="S284" i="11" s="1"/>
  <c r="O285" i="11"/>
  <c r="U285" i="11" s="1"/>
  <c r="S285" i="11" s="1"/>
  <c r="O286" i="11"/>
  <c r="U286" i="11" s="1"/>
  <c r="S286" i="11" s="1"/>
  <c r="O287" i="11"/>
  <c r="U287" i="11" s="1"/>
  <c r="S287" i="11" s="1"/>
  <c r="O288" i="11"/>
  <c r="U288" i="11" s="1"/>
  <c r="S288" i="11" s="1"/>
  <c r="O289" i="11"/>
  <c r="U289" i="11" s="1"/>
  <c r="S289" i="11" s="1"/>
  <c r="O290" i="11"/>
  <c r="U290" i="11" s="1"/>
  <c r="S290" i="11" s="1"/>
  <c r="O291" i="11"/>
  <c r="U291" i="11"/>
  <c r="S291" i="11" s="1"/>
  <c r="O292" i="11"/>
  <c r="U292" i="11" s="1"/>
  <c r="S292" i="11"/>
  <c r="O293" i="11"/>
  <c r="U293" i="11"/>
  <c r="S293" i="11" s="1"/>
  <c r="O294" i="11"/>
  <c r="U294" i="11" s="1"/>
  <c r="S294" i="11" s="1"/>
  <c r="O295" i="11"/>
  <c r="U295" i="11"/>
  <c r="S295" i="11" s="1"/>
  <c r="O296" i="11"/>
  <c r="U296" i="11" s="1"/>
  <c r="S296" i="11" s="1"/>
  <c r="O297" i="11"/>
  <c r="U297" i="11" s="1"/>
  <c r="S297" i="11" s="1"/>
  <c r="O298" i="11"/>
  <c r="U298" i="11" s="1"/>
  <c r="S298" i="11" s="1"/>
  <c r="O299" i="11"/>
  <c r="U299" i="11" s="1"/>
  <c r="S299" i="11" s="1"/>
  <c r="O300" i="11"/>
  <c r="U300" i="11" s="1"/>
  <c r="S300" i="11" s="1"/>
  <c r="O301" i="11"/>
  <c r="U301" i="11" s="1"/>
  <c r="S301" i="11" s="1"/>
  <c r="O302" i="11"/>
  <c r="U302" i="11" s="1"/>
  <c r="S302" i="11" s="1"/>
  <c r="O303" i="11"/>
  <c r="U303" i="11" s="1"/>
  <c r="S303" i="11" s="1"/>
  <c r="O304" i="11"/>
  <c r="U304" i="11" s="1"/>
  <c r="S304" i="11" s="1"/>
  <c r="O305" i="11"/>
  <c r="U305" i="11" s="1"/>
  <c r="S305" i="11" s="1"/>
  <c r="O306" i="11"/>
  <c r="U306" i="11"/>
  <c r="S306" i="11" s="1"/>
  <c r="O307" i="11"/>
  <c r="U307" i="11" s="1"/>
  <c r="S307" i="11" s="1"/>
  <c r="O308" i="11"/>
  <c r="U308" i="11" s="1"/>
  <c r="S308" i="11" s="1"/>
  <c r="O309" i="11"/>
  <c r="U309" i="11" s="1"/>
  <c r="S309" i="11" s="1"/>
  <c r="O310" i="11"/>
  <c r="U310" i="11" s="1"/>
  <c r="S310" i="11" s="1"/>
  <c r="O311" i="11"/>
  <c r="U311" i="11" s="1"/>
  <c r="S311" i="11" s="1"/>
  <c r="O312" i="11"/>
  <c r="U312" i="11" s="1"/>
  <c r="S312" i="11" s="1"/>
  <c r="O313" i="11"/>
  <c r="U313" i="11" s="1"/>
  <c r="S313" i="11" s="1"/>
  <c r="O314" i="11"/>
  <c r="U314" i="11" s="1"/>
  <c r="S314" i="11" s="1"/>
  <c r="O315" i="11"/>
  <c r="U315" i="11" s="1"/>
  <c r="S315" i="11" s="1"/>
  <c r="O316" i="11"/>
  <c r="U316" i="11" s="1"/>
  <c r="S316" i="11" s="1"/>
  <c r="O317" i="11"/>
  <c r="U317" i="11" s="1"/>
  <c r="S317" i="11" s="1"/>
  <c r="O318" i="11"/>
  <c r="U318" i="11" s="1"/>
  <c r="S318" i="11" s="1"/>
  <c r="O319" i="11"/>
  <c r="U319" i="11" s="1"/>
  <c r="S319" i="11" s="1"/>
  <c r="O320" i="11"/>
  <c r="U320" i="11" s="1"/>
  <c r="S320" i="11" s="1"/>
  <c r="O321" i="11"/>
  <c r="U321" i="11" s="1"/>
  <c r="S321" i="11" s="1"/>
  <c r="O322" i="11"/>
  <c r="U322" i="11" s="1"/>
  <c r="S322" i="11" s="1"/>
  <c r="O323" i="11"/>
  <c r="U323" i="11" s="1"/>
  <c r="S323" i="11" s="1"/>
  <c r="O324" i="11"/>
  <c r="U324" i="11" s="1"/>
  <c r="S324" i="11" s="1"/>
  <c r="O325" i="11"/>
  <c r="U325" i="11" s="1"/>
  <c r="S325" i="11" s="1"/>
  <c r="O326" i="11"/>
  <c r="U326" i="11" s="1"/>
  <c r="S326" i="11" s="1"/>
  <c r="O327" i="11"/>
  <c r="U327" i="11" s="1"/>
  <c r="S327" i="11" s="1"/>
  <c r="O328" i="11"/>
  <c r="U328" i="11" s="1"/>
  <c r="S328" i="11" s="1"/>
  <c r="O329" i="11"/>
  <c r="U329" i="11" s="1"/>
  <c r="S329" i="11" s="1"/>
  <c r="O330" i="11"/>
  <c r="U330" i="11" s="1"/>
  <c r="S330" i="11" s="1"/>
  <c r="O331" i="11"/>
  <c r="U331" i="11"/>
  <c r="S331" i="11" s="1"/>
  <c r="O332" i="11"/>
  <c r="U332" i="11" s="1"/>
  <c r="S332" i="11" s="1"/>
  <c r="O333" i="11"/>
  <c r="U333" i="11" s="1"/>
  <c r="S333" i="11" s="1"/>
  <c r="O334" i="11"/>
  <c r="U334" i="11" s="1"/>
  <c r="S334" i="11" s="1"/>
  <c r="O335" i="11"/>
  <c r="U335" i="11" s="1"/>
  <c r="S335" i="11" s="1"/>
  <c r="O336" i="11"/>
  <c r="U336" i="11" s="1"/>
  <c r="S336" i="11" s="1"/>
  <c r="O337" i="11"/>
  <c r="U337" i="11" s="1"/>
  <c r="S337" i="11" s="1"/>
  <c r="O338" i="11"/>
  <c r="U338" i="11" s="1"/>
  <c r="S338" i="11" s="1"/>
  <c r="O339" i="11"/>
  <c r="U339" i="11"/>
  <c r="S339" i="11" s="1"/>
  <c r="O340" i="11"/>
  <c r="U340" i="11" s="1"/>
  <c r="S340" i="11"/>
  <c r="O341" i="11"/>
  <c r="U341" i="11" s="1"/>
  <c r="S341" i="11" s="1"/>
  <c r="O342" i="11"/>
  <c r="U342" i="11" s="1"/>
  <c r="S342" i="11" s="1"/>
  <c r="O343" i="11"/>
  <c r="U343" i="11" s="1"/>
  <c r="S343" i="11" s="1"/>
  <c r="O344" i="11"/>
  <c r="U344" i="11" s="1"/>
  <c r="S344" i="11" s="1"/>
  <c r="O345" i="11"/>
  <c r="U345" i="11" s="1"/>
  <c r="S345" i="11" s="1"/>
  <c r="O346" i="11"/>
  <c r="U346" i="11" s="1"/>
  <c r="S346" i="11" s="1"/>
  <c r="O347" i="11"/>
  <c r="U347" i="11" s="1"/>
  <c r="S347" i="11" s="1"/>
  <c r="O348" i="11"/>
  <c r="U348" i="11" s="1"/>
  <c r="S348" i="11" s="1"/>
  <c r="O349" i="11"/>
  <c r="U349" i="11" s="1"/>
  <c r="S349" i="11" s="1"/>
  <c r="O350" i="11"/>
  <c r="U350" i="11" s="1"/>
  <c r="S350" i="11" s="1"/>
  <c r="O351" i="11"/>
  <c r="U351" i="11" s="1"/>
  <c r="S351" i="11" s="1"/>
  <c r="O352" i="11"/>
  <c r="U352" i="11" s="1"/>
  <c r="S352" i="11" s="1"/>
  <c r="O353" i="11"/>
  <c r="U353" i="11" s="1"/>
  <c r="S353" i="11" s="1"/>
  <c r="O354" i="11"/>
  <c r="U354" i="11" s="1"/>
  <c r="S354" i="11" s="1"/>
  <c r="O355" i="11"/>
  <c r="U355" i="11"/>
  <c r="S355" i="11" s="1"/>
  <c r="O356" i="11"/>
  <c r="U356" i="11" s="1"/>
  <c r="S356" i="11" s="1"/>
  <c r="O357" i="11"/>
  <c r="U357" i="11" s="1"/>
  <c r="S357" i="11" s="1"/>
  <c r="O358" i="11"/>
  <c r="U358" i="11" s="1"/>
  <c r="S358" i="11" s="1"/>
  <c r="O359" i="11"/>
  <c r="U359" i="11" s="1"/>
  <c r="S359" i="11" s="1"/>
  <c r="O360" i="11"/>
  <c r="U360" i="11" s="1"/>
  <c r="S360" i="11" s="1"/>
  <c r="O361" i="11"/>
  <c r="U361" i="11" s="1"/>
  <c r="S361" i="11" s="1"/>
  <c r="O362" i="11"/>
  <c r="U362" i="11" s="1"/>
  <c r="S362" i="11" s="1"/>
  <c r="O363" i="11"/>
  <c r="U363" i="11" s="1"/>
  <c r="S363" i="11" s="1"/>
  <c r="O364" i="11"/>
  <c r="U364" i="11" s="1"/>
  <c r="S364" i="11" s="1"/>
  <c r="O365" i="11"/>
  <c r="U365" i="11" s="1"/>
  <c r="S365" i="11" s="1"/>
  <c r="O366" i="11"/>
  <c r="U366" i="11"/>
  <c r="S366" i="11" s="1"/>
  <c r="O367" i="11"/>
  <c r="U367" i="11" s="1"/>
  <c r="S367" i="11" s="1"/>
  <c r="O368" i="11"/>
  <c r="U368" i="11" s="1"/>
  <c r="S368" i="11" s="1"/>
  <c r="O369" i="11"/>
  <c r="U369" i="11" s="1"/>
  <c r="S369" i="11" s="1"/>
  <c r="O370" i="11"/>
  <c r="U370" i="11" s="1"/>
  <c r="S370" i="11" s="1"/>
  <c r="O371" i="11"/>
  <c r="U371" i="11" s="1"/>
  <c r="S371" i="11" s="1"/>
  <c r="O372" i="11"/>
  <c r="U372" i="11" s="1"/>
  <c r="S372" i="11" s="1"/>
  <c r="O373" i="11"/>
  <c r="U373" i="11"/>
  <c r="S373" i="11" s="1"/>
  <c r="O374" i="11"/>
  <c r="U374" i="11" s="1"/>
  <c r="S374" i="11" s="1"/>
  <c r="O375" i="11"/>
  <c r="U375" i="11" s="1"/>
  <c r="S375" i="11" s="1"/>
  <c r="O376" i="11"/>
  <c r="U376" i="11" s="1"/>
  <c r="S376" i="11" s="1"/>
  <c r="O377" i="11"/>
  <c r="U377" i="11" s="1"/>
  <c r="S377" i="11" s="1"/>
  <c r="O378" i="11"/>
  <c r="U378" i="11"/>
  <c r="S378" i="11" s="1"/>
  <c r="O379" i="11"/>
  <c r="U379" i="11" s="1"/>
  <c r="S379" i="11"/>
  <c r="O380" i="11"/>
  <c r="U380" i="11" s="1"/>
  <c r="S380" i="11" s="1"/>
  <c r="O381" i="11"/>
  <c r="U381" i="11"/>
  <c r="S381" i="11" s="1"/>
  <c r="O382" i="11"/>
  <c r="U382" i="11"/>
  <c r="S382" i="11" s="1"/>
  <c r="O383" i="11"/>
  <c r="U383" i="11" s="1"/>
  <c r="S383" i="11" s="1"/>
  <c r="O384" i="11"/>
  <c r="U384" i="11" s="1"/>
  <c r="S384" i="11" s="1"/>
  <c r="O385" i="11"/>
  <c r="U385" i="11" s="1"/>
  <c r="S385" i="11" s="1"/>
  <c r="O386" i="11"/>
  <c r="U386" i="11"/>
  <c r="S386" i="11" s="1"/>
  <c r="O387" i="11"/>
  <c r="U387" i="11" s="1"/>
  <c r="S387" i="11" s="1"/>
  <c r="O388" i="11"/>
  <c r="U388" i="11" s="1"/>
  <c r="S388" i="11" s="1"/>
  <c r="O389" i="11"/>
  <c r="U389" i="11"/>
  <c r="S389" i="11" s="1"/>
  <c r="O390" i="11"/>
  <c r="U390" i="11"/>
  <c r="S390" i="11" s="1"/>
  <c r="O391" i="11"/>
  <c r="U391" i="11" s="1"/>
  <c r="S391" i="11" s="1"/>
  <c r="O392" i="11"/>
  <c r="U392" i="11" s="1"/>
  <c r="S392" i="11" s="1"/>
  <c r="O393" i="11"/>
  <c r="U393" i="11" s="1"/>
  <c r="S393" i="11" s="1"/>
  <c r="O394" i="11"/>
  <c r="U394" i="11"/>
  <c r="S394" i="11" s="1"/>
  <c r="O395" i="11"/>
  <c r="U395" i="11" s="1"/>
  <c r="S395" i="11" s="1"/>
  <c r="O396" i="11"/>
  <c r="U396" i="11" s="1"/>
  <c r="S396" i="11" s="1"/>
  <c r="O397" i="11"/>
  <c r="U397" i="11"/>
  <c r="S397" i="11" s="1"/>
  <c r="O398" i="11"/>
  <c r="U398" i="11" s="1"/>
  <c r="S398" i="11" s="1"/>
  <c r="O399" i="11"/>
  <c r="U399" i="11" s="1"/>
  <c r="S399" i="11" s="1"/>
  <c r="O400" i="11"/>
  <c r="U400" i="11" s="1"/>
  <c r="S400" i="11" s="1"/>
  <c r="O401" i="11"/>
  <c r="U401" i="11" s="1"/>
  <c r="S401" i="11" s="1"/>
  <c r="O402" i="11"/>
  <c r="U402" i="11" s="1"/>
  <c r="S402" i="11" s="1"/>
  <c r="O403" i="11"/>
  <c r="U403" i="11" s="1"/>
  <c r="S403" i="11" s="1"/>
  <c r="O404" i="11"/>
  <c r="U404" i="11" s="1"/>
  <c r="S404" i="11" s="1"/>
  <c r="O405" i="11"/>
  <c r="U405" i="11" s="1"/>
  <c r="S405" i="11" s="1"/>
  <c r="O406" i="11"/>
  <c r="U406" i="11"/>
  <c r="S406" i="11" s="1"/>
  <c r="O407" i="11"/>
  <c r="U407" i="11" s="1"/>
  <c r="S407" i="11" s="1"/>
  <c r="O408" i="11"/>
  <c r="U408" i="11" s="1"/>
  <c r="S408" i="11" s="1"/>
  <c r="O409" i="11"/>
  <c r="U409" i="11" s="1"/>
  <c r="S409" i="11" s="1"/>
  <c r="O410" i="11"/>
  <c r="U410" i="11"/>
  <c r="S410" i="11" s="1"/>
  <c r="O411" i="11"/>
  <c r="U411" i="11" s="1"/>
  <c r="S411" i="11" s="1"/>
  <c r="O412" i="11"/>
  <c r="U412" i="11" s="1"/>
  <c r="S412" i="11"/>
  <c r="O413" i="11"/>
  <c r="U413" i="11"/>
  <c r="S413" i="11" s="1"/>
  <c r="O414" i="11"/>
  <c r="U414" i="11"/>
  <c r="S414" i="11" s="1"/>
  <c r="O415" i="11"/>
  <c r="U415" i="11" s="1"/>
  <c r="S415" i="11" s="1"/>
  <c r="O416" i="11"/>
  <c r="U416" i="11" s="1"/>
  <c r="S416" i="11" s="1"/>
  <c r="O417" i="11"/>
  <c r="U417" i="11" s="1"/>
  <c r="S417" i="11" s="1"/>
  <c r="O418" i="11"/>
  <c r="U418" i="11"/>
  <c r="S418" i="11" s="1"/>
  <c r="O419" i="11"/>
  <c r="U419" i="11" s="1"/>
  <c r="S419" i="11" s="1"/>
  <c r="O420" i="11"/>
  <c r="U420" i="11" s="1"/>
  <c r="S420" i="11" s="1"/>
  <c r="O421" i="11"/>
  <c r="U421" i="11" s="1"/>
  <c r="S421" i="11" s="1"/>
  <c r="O422" i="11"/>
  <c r="U422" i="11" s="1"/>
  <c r="S422" i="11" s="1"/>
  <c r="O423" i="11"/>
  <c r="U423" i="11"/>
  <c r="S423" i="11" s="1"/>
  <c r="O424" i="11"/>
  <c r="U424" i="11" s="1"/>
  <c r="S424" i="11" s="1"/>
  <c r="O425" i="11"/>
  <c r="U425" i="11" s="1"/>
  <c r="S425" i="11" s="1"/>
  <c r="O426" i="11"/>
  <c r="U426" i="11" s="1"/>
  <c r="S426" i="11" s="1"/>
  <c r="O427" i="11"/>
  <c r="U427" i="11" s="1"/>
  <c r="S427" i="11" s="1"/>
  <c r="O428" i="11"/>
  <c r="U428" i="11" s="1"/>
  <c r="S428" i="11" s="1"/>
  <c r="O429" i="11"/>
  <c r="U429" i="11" s="1"/>
  <c r="S429" i="11" s="1"/>
  <c r="O430" i="11"/>
  <c r="U430" i="11" s="1"/>
  <c r="S430" i="11" s="1"/>
  <c r="O431" i="11"/>
  <c r="U431" i="11" s="1"/>
  <c r="S431" i="11" s="1"/>
  <c r="O432" i="11"/>
  <c r="U432" i="11"/>
  <c r="S432" i="11" s="1"/>
  <c r="O433" i="11"/>
  <c r="U433" i="11" s="1"/>
  <c r="S433" i="11" s="1"/>
  <c r="O434" i="11"/>
  <c r="U434" i="11" s="1"/>
  <c r="S434" i="11" s="1"/>
  <c r="O435" i="11"/>
  <c r="U435" i="11" s="1"/>
  <c r="S435" i="11" s="1"/>
  <c r="O436" i="11"/>
  <c r="U436" i="11" s="1"/>
  <c r="S436" i="11" s="1"/>
  <c r="O437" i="11"/>
  <c r="U437" i="11" s="1"/>
  <c r="S437" i="11" s="1"/>
  <c r="O438" i="11"/>
  <c r="U438" i="11" s="1"/>
  <c r="S438" i="11" s="1"/>
  <c r="O439" i="11"/>
  <c r="U439" i="11" s="1"/>
  <c r="S439" i="11" s="1"/>
  <c r="O440" i="11"/>
  <c r="U440" i="11"/>
  <c r="S440" i="11" s="1"/>
  <c r="O441" i="11"/>
  <c r="U441" i="11" s="1"/>
  <c r="S441" i="11" s="1"/>
  <c r="O442" i="11"/>
  <c r="U442" i="11" s="1"/>
  <c r="S442" i="11" s="1"/>
  <c r="O443" i="11"/>
  <c r="U443" i="11" s="1"/>
  <c r="S443" i="11" s="1"/>
  <c r="O444" i="11"/>
  <c r="U444" i="11"/>
  <c r="S444" i="11" s="1"/>
  <c r="O445" i="11"/>
  <c r="U445" i="11" s="1"/>
  <c r="S445" i="11" s="1"/>
  <c r="O446" i="11"/>
  <c r="U446" i="11"/>
  <c r="S446" i="11" s="1"/>
  <c r="O447" i="11"/>
  <c r="U447" i="11" s="1"/>
  <c r="S447" i="11" s="1"/>
  <c r="O448" i="11"/>
  <c r="U448" i="11"/>
  <c r="S448" i="11" s="1"/>
  <c r="O449" i="11"/>
  <c r="U449" i="11" s="1"/>
  <c r="S449" i="11" s="1"/>
  <c r="O450" i="11"/>
  <c r="U450" i="11" s="1"/>
  <c r="S450" i="11" s="1"/>
  <c r="O451" i="11"/>
  <c r="U451" i="11" s="1"/>
  <c r="S451" i="11" s="1"/>
  <c r="O452" i="11"/>
  <c r="U452" i="11" s="1"/>
  <c r="S452" i="11" s="1"/>
  <c r="O453" i="11"/>
  <c r="U453" i="11" s="1"/>
  <c r="S453" i="11" s="1"/>
  <c r="O454" i="11"/>
  <c r="U454" i="11"/>
  <c r="S454" i="11" s="1"/>
  <c r="O455" i="11"/>
  <c r="U455" i="11" s="1"/>
  <c r="S455" i="11" s="1"/>
  <c r="O456" i="11"/>
  <c r="U456" i="11" s="1"/>
  <c r="S456" i="11" s="1"/>
  <c r="O457" i="11"/>
  <c r="U457" i="11" s="1"/>
  <c r="S457" i="11" s="1"/>
  <c r="O458" i="11"/>
  <c r="U458" i="11" s="1"/>
  <c r="S458" i="11" s="1"/>
  <c r="O459" i="11"/>
  <c r="U459" i="11" s="1"/>
  <c r="S459" i="11" s="1"/>
  <c r="O460" i="11"/>
  <c r="U460" i="11" s="1"/>
  <c r="S460" i="11" s="1"/>
  <c r="O461" i="11"/>
  <c r="U461" i="11" s="1"/>
  <c r="S461" i="11" s="1"/>
  <c r="O462" i="11"/>
  <c r="U462" i="11" s="1"/>
  <c r="S462" i="11" s="1"/>
  <c r="O463" i="11"/>
  <c r="U463" i="11" s="1"/>
  <c r="S463" i="11" s="1"/>
  <c r="O464" i="11"/>
  <c r="U464" i="11" s="1"/>
  <c r="S464" i="11" s="1"/>
  <c r="O465" i="11"/>
  <c r="U465" i="11" s="1"/>
  <c r="S465" i="11" s="1"/>
  <c r="O466" i="11"/>
  <c r="U466" i="11"/>
  <c r="S466" i="11" s="1"/>
  <c r="O467" i="11"/>
  <c r="U467" i="11" s="1"/>
  <c r="S467" i="11"/>
  <c r="O468" i="11"/>
  <c r="U468" i="11" s="1"/>
  <c r="S468" i="11" s="1"/>
  <c r="O469" i="11"/>
  <c r="U469" i="11" s="1"/>
  <c r="S469" i="11" s="1"/>
  <c r="O470" i="11"/>
  <c r="U470" i="11" s="1"/>
  <c r="S470" i="11" s="1"/>
  <c r="O471" i="11"/>
  <c r="U471" i="11" s="1"/>
  <c r="S471" i="11" s="1"/>
  <c r="O472" i="11"/>
  <c r="U472" i="11"/>
  <c r="S472" i="11" s="1"/>
  <c r="O473" i="11"/>
  <c r="U473" i="11" s="1"/>
  <c r="S473" i="11" s="1"/>
  <c r="O474" i="11"/>
  <c r="U474" i="11" s="1"/>
  <c r="S474" i="11" s="1"/>
  <c r="O475" i="11"/>
  <c r="U475" i="11" s="1"/>
  <c r="S475" i="11" s="1"/>
  <c r="O476" i="11"/>
  <c r="U476" i="11" s="1"/>
  <c r="S476" i="11" s="1"/>
  <c r="O477" i="11"/>
  <c r="U477" i="11" s="1"/>
  <c r="S477" i="11" s="1"/>
  <c r="O478" i="11"/>
  <c r="U478" i="11" s="1"/>
  <c r="S478" i="11" s="1"/>
  <c r="O479" i="11"/>
  <c r="U479" i="11" s="1"/>
  <c r="S479" i="11" s="1"/>
  <c r="O480" i="11"/>
  <c r="U480" i="11"/>
  <c r="S480" i="11" s="1"/>
  <c r="O481" i="11"/>
  <c r="U481" i="11" s="1"/>
  <c r="S481" i="11" s="1"/>
  <c r="O482" i="11"/>
  <c r="U482" i="11"/>
  <c r="S482" i="11" s="1"/>
  <c r="O483" i="11"/>
  <c r="U483" i="11" s="1"/>
  <c r="S483" i="11" s="1"/>
  <c r="O484" i="11"/>
  <c r="U484" i="11"/>
  <c r="S484" i="11" s="1"/>
  <c r="O485" i="11"/>
  <c r="U485" i="11" s="1"/>
  <c r="S485" i="11" s="1"/>
  <c r="O486" i="11"/>
  <c r="U486" i="11" s="1"/>
  <c r="S486" i="11" s="1"/>
  <c r="O487" i="11"/>
  <c r="U487" i="11" s="1"/>
  <c r="S487" i="11" s="1"/>
  <c r="O488" i="11"/>
  <c r="U488" i="11" s="1"/>
  <c r="S488" i="11" s="1"/>
  <c r="O489" i="11"/>
  <c r="U489" i="11" s="1"/>
  <c r="S489" i="11" s="1"/>
  <c r="O490" i="11"/>
  <c r="U490" i="11"/>
  <c r="S490" i="11" s="1"/>
  <c r="O491" i="11"/>
  <c r="U491" i="11" s="1"/>
  <c r="S491" i="11" s="1"/>
  <c r="O492" i="11"/>
  <c r="U492" i="11" s="1"/>
  <c r="S492" i="11" s="1"/>
  <c r="O493" i="11"/>
  <c r="U493" i="11" s="1"/>
  <c r="S493" i="11" s="1"/>
  <c r="O494" i="11"/>
  <c r="U494" i="11" s="1"/>
  <c r="S494" i="11" s="1"/>
  <c r="O495" i="11"/>
  <c r="U495" i="11" s="1"/>
  <c r="S495" i="11" s="1"/>
  <c r="O496" i="11"/>
  <c r="U496" i="11" s="1"/>
  <c r="S496" i="11" s="1"/>
  <c r="O497" i="11"/>
  <c r="U497" i="11" s="1"/>
  <c r="S497" i="11" s="1"/>
  <c r="O498" i="11"/>
  <c r="U498" i="11" s="1"/>
  <c r="S498" i="11" s="1"/>
  <c r="O499" i="11"/>
  <c r="U499" i="11" s="1"/>
  <c r="S499" i="11"/>
  <c r="O500" i="11"/>
  <c r="U500" i="11" s="1"/>
  <c r="S500" i="11" s="1"/>
  <c r="O501" i="11"/>
  <c r="U501" i="11" s="1"/>
  <c r="S501" i="11" s="1"/>
  <c r="O502" i="11"/>
  <c r="U502" i="11"/>
  <c r="S502" i="11" s="1"/>
  <c r="O503" i="11"/>
  <c r="U503" i="11" s="1"/>
  <c r="S503" i="11" s="1"/>
  <c r="O504" i="11"/>
  <c r="U504" i="11" s="1"/>
  <c r="S504" i="11" s="1"/>
  <c r="O505" i="11"/>
  <c r="U505" i="11" s="1"/>
  <c r="S505" i="11" s="1"/>
  <c r="O506" i="11"/>
  <c r="U506" i="11" s="1"/>
  <c r="S506" i="11" s="1"/>
  <c r="O507" i="11"/>
  <c r="U507" i="11" s="1"/>
  <c r="S507" i="11" s="1"/>
  <c r="O508" i="11"/>
  <c r="U508" i="11"/>
  <c r="S508" i="11" s="1"/>
  <c r="O509" i="11"/>
  <c r="U509" i="11" s="1"/>
  <c r="S509" i="11" s="1"/>
  <c r="O510" i="11"/>
  <c r="U510" i="11" s="1"/>
  <c r="S510" i="11" s="1"/>
  <c r="O511" i="11"/>
  <c r="U511" i="11" s="1"/>
  <c r="S511" i="11" s="1"/>
  <c r="O512" i="11"/>
  <c r="U512" i="11"/>
  <c r="S512" i="11" s="1"/>
  <c r="O513" i="11"/>
  <c r="U513" i="11" s="1"/>
  <c r="S513" i="11" s="1"/>
  <c r="O514" i="11"/>
  <c r="U514" i="11" s="1"/>
  <c r="S514" i="11" s="1"/>
  <c r="O515" i="11"/>
  <c r="U515" i="11" s="1"/>
  <c r="S515" i="11" s="1"/>
  <c r="O516" i="11"/>
  <c r="U516" i="11" s="1"/>
  <c r="S516" i="11" s="1"/>
  <c r="O517" i="11"/>
  <c r="U517" i="11" s="1"/>
  <c r="S517" i="11" s="1"/>
  <c r="O518" i="11"/>
  <c r="U518" i="11" s="1"/>
  <c r="S518" i="11" s="1"/>
  <c r="O519" i="11"/>
  <c r="U519" i="11" s="1"/>
  <c r="S519" i="11" s="1"/>
  <c r="O520" i="11"/>
  <c r="U520" i="11" s="1"/>
  <c r="S520" i="11" s="1"/>
  <c r="O521" i="11"/>
  <c r="U521" i="11" s="1"/>
  <c r="S521" i="11" s="1"/>
  <c r="O522" i="11"/>
  <c r="U522" i="11" s="1"/>
  <c r="S522" i="11" s="1"/>
  <c r="O523" i="11"/>
  <c r="U523" i="11" s="1"/>
  <c r="S523" i="11" s="1"/>
  <c r="O524" i="11"/>
  <c r="U524" i="11" s="1"/>
  <c r="S524" i="11" s="1"/>
  <c r="O525" i="11"/>
  <c r="U525" i="11" s="1"/>
  <c r="S525" i="11" s="1"/>
  <c r="O526" i="11"/>
  <c r="U526" i="11" s="1"/>
  <c r="S526" i="11" s="1"/>
  <c r="O527" i="11"/>
  <c r="U527" i="11" s="1"/>
  <c r="S527" i="11" s="1"/>
  <c r="O528" i="11"/>
  <c r="U528" i="11" s="1"/>
  <c r="S528" i="11" s="1"/>
  <c r="O529" i="11"/>
  <c r="U529" i="11" s="1"/>
  <c r="S529" i="11" s="1"/>
  <c r="O530" i="11"/>
  <c r="U530" i="11" s="1"/>
  <c r="S530" i="11" s="1"/>
  <c r="O531" i="11"/>
  <c r="U531" i="11" s="1"/>
  <c r="S531" i="11" s="1"/>
  <c r="O532" i="11"/>
  <c r="U532" i="11" s="1"/>
  <c r="S532" i="11" s="1"/>
  <c r="O533" i="11"/>
  <c r="U533" i="11" s="1"/>
  <c r="S533" i="11" s="1"/>
  <c r="O534" i="11"/>
  <c r="U534" i="11" s="1"/>
  <c r="S534" i="11" s="1"/>
  <c r="O535" i="11"/>
  <c r="U535" i="11" s="1"/>
  <c r="S535" i="11" s="1"/>
  <c r="O536" i="11"/>
  <c r="U536" i="11" s="1"/>
  <c r="S536" i="11" s="1"/>
  <c r="O537" i="11"/>
  <c r="U537" i="11" s="1"/>
  <c r="S537" i="11" s="1"/>
  <c r="O538" i="11"/>
  <c r="U538" i="11"/>
  <c r="S538" i="11" s="1"/>
  <c r="O539" i="11"/>
  <c r="U539" i="11" s="1"/>
  <c r="S539" i="11" s="1"/>
  <c r="O540" i="11"/>
  <c r="U540" i="11" s="1"/>
  <c r="S540" i="11" s="1"/>
  <c r="O541" i="11"/>
  <c r="U541" i="11" s="1"/>
  <c r="S541" i="11" s="1"/>
  <c r="O542" i="11"/>
  <c r="U542" i="11" s="1"/>
  <c r="S542" i="11" s="1"/>
  <c r="O543" i="11"/>
  <c r="U543" i="11" s="1"/>
  <c r="S543" i="11" s="1"/>
  <c r="O544" i="11"/>
  <c r="U544" i="11" s="1"/>
  <c r="S544" i="11" s="1"/>
  <c r="O545" i="11"/>
  <c r="U545" i="11" s="1"/>
  <c r="S545" i="11" s="1"/>
  <c r="O546" i="11"/>
  <c r="U546" i="11" s="1"/>
  <c r="S546" i="11" s="1"/>
  <c r="O547" i="11"/>
  <c r="U547" i="11" s="1"/>
  <c r="S547" i="11" s="1"/>
  <c r="O548" i="11"/>
  <c r="U548" i="11" s="1"/>
  <c r="S548" i="11" s="1"/>
  <c r="O549" i="11"/>
  <c r="U549" i="11" s="1"/>
  <c r="S549" i="11" s="1"/>
  <c r="O550" i="11"/>
  <c r="U550" i="11" s="1"/>
  <c r="S550" i="11" s="1"/>
  <c r="O551" i="11"/>
  <c r="U551" i="11" s="1"/>
  <c r="S551" i="11" s="1"/>
  <c r="O552" i="11"/>
  <c r="U552" i="11" s="1"/>
  <c r="S552" i="11" s="1"/>
  <c r="O553" i="11"/>
  <c r="U553" i="11" s="1"/>
  <c r="S553" i="11" s="1"/>
  <c r="O554" i="11"/>
  <c r="U554" i="11" s="1"/>
  <c r="S554" i="11" s="1"/>
  <c r="O555" i="11"/>
  <c r="U555" i="11" s="1"/>
  <c r="S555" i="11"/>
  <c r="O556" i="11"/>
  <c r="U556" i="11"/>
  <c r="S556" i="11" s="1"/>
  <c r="O557" i="11"/>
  <c r="U557" i="11" s="1"/>
  <c r="S557" i="11" s="1"/>
  <c r="O558" i="11"/>
  <c r="U558" i="11"/>
  <c r="S558" i="11" s="1"/>
  <c r="O559" i="11"/>
  <c r="U559" i="11" s="1"/>
  <c r="S559" i="11" s="1"/>
  <c r="O560" i="11"/>
  <c r="U560" i="11"/>
  <c r="S560" i="11" s="1"/>
  <c r="O561" i="11"/>
  <c r="U561" i="11" s="1"/>
  <c r="S561" i="11" s="1"/>
  <c r="O562" i="11"/>
  <c r="U562" i="11" s="1"/>
  <c r="S562" i="11" s="1"/>
  <c r="O563" i="11"/>
  <c r="U563" i="11" s="1"/>
  <c r="S563" i="11"/>
  <c r="O564" i="11"/>
  <c r="U564" i="11" s="1"/>
  <c r="S564" i="11" s="1"/>
  <c r="O565" i="11"/>
  <c r="U565" i="11" s="1"/>
  <c r="S565" i="11" s="1"/>
  <c r="O566" i="11"/>
  <c r="U566" i="11" s="1"/>
  <c r="S566" i="11" s="1"/>
  <c r="O567" i="11"/>
  <c r="U567" i="11" s="1"/>
  <c r="S567" i="11" s="1"/>
  <c r="O568" i="11"/>
  <c r="U568" i="11" s="1"/>
  <c r="S568" i="11" s="1"/>
  <c r="O569" i="11"/>
  <c r="U569" i="11" s="1"/>
  <c r="S569" i="11" s="1"/>
  <c r="O570" i="11"/>
  <c r="U570" i="11"/>
  <c r="S570" i="11" s="1"/>
  <c r="O571" i="11"/>
  <c r="U571" i="11" s="1"/>
  <c r="S571" i="11"/>
  <c r="O572" i="11"/>
  <c r="U572" i="11" s="1"/>
  <c r="S572" i="11" s="1"/>
  <c r="O573" i="11"/>
  <c r="U573" i="11" s="1"/>
  <c r="S573" i="11" s="1"/>
  <c r="O574" i="11"/>
  <c r="U574" i="11" s="1"/>
  <c r="S574" i="11" s="1"/>
  <c r="O575" i="11"/>
  <c r="U575" i="11" s="1"/>
  <c r="S575" i="11" s="1"/>
  <c r="O576" i="11"/>
  <c r="U576" i="11"/>
  <c r="S576" i="11" s="1"/>
  <c r="O577" i="11"/>
  <c r="U577" i="11" s="1"/>
  <c r="S577" i="11" s="1"/>
  <c r="O578" i="11"/>
  <c r="U578" i="11" s="1"/>
  <c r="S578" i="11" s="1"/>
  <c r="O579" i="11"/>
  <c r="U579" i="11" s="1"/>
  <c r="S579" i="11" s="1"/>
  <c r="O580" i="11"/>
  <c r="U580" i="11"/>
  <c r="S580" i="11" s="1"/>
  <c r="O581" i="11"/>
  <c r="U581" i="11" s="1"/>
  <c r="S581" i="11" s="1"/>
  <c r="O582" i="11"/>
  <c r="U582" i="11"/>
  <c r="S582" i="11" s="1"/>
  <c r="O583" i="11"/>
  <c r="U583" i="11" s="1"/>
  <c r="S583" i="11" s="1"/>
  <c r="O584" i="11"/>
  <c r="U584" i="11" s="1"/>
  <c r="S584" i="11" s="1"/>
  <c r="O585" i="11"/>
  <c r="U585" i="11" s="1"/>
  <c r="S585" i="11" s="1"/>
  <c r="O586" i="11"/>
  <c r="U586" i="11" s="1"/>
  <c r="S586" i="11" s="1"/>
  <c r="O587" i="11"/>
  <c r="U587" i="11" s="1"/>
  <c r="S587" i="11" s="1"/>
  <c r="O588" i="11"/>
  <c r="U588" i="11" s="1"/>
  <c r="S588" i="11" s="1"/>
  <c r="O589" i="11"/>
  <c r="U589" i="11" s="1"/>
  <c r="S589" i="11" s="1"/>
  <c r="O590" i="11"/>
  <c r="U590" i="11" s="1"/>
  <c r="S590" i="11" s="1"/>
  <c r="O591" i="11"/>
  <c r="U591" i="11" s="1"/>
  <c r="S591" i="11" s="1"/>
  <c r="O592" i="11"/>
  <c r="U592" i="11" s="1"/>
  <c r="S592" i="11" s="1"/>
  <c r="O593" i="11"/>
  <c r="U593" i="11" s="1"/>
  <c r="S593" i="11" s="1"/>
  <c r="O594" i="11"/>
  <c r="U594" i="11" s="1"/>
  <c r="S594" i="11" s="1"/>
  <c r="O595" i="11"/>
  <c r="U595" i="11" s="1"/>
  <c r="S595" i="11" s="1"/>
  <c r="O596" i="11"/>
  <c r="U596" i="11" s="1"/>
  <c r="S596" i="11" s="1"/>
  <c r="O597" i="11"/>
  <c r="U597" i="11" s="1"/>
  <c r="S597" i="11" s="1"/>
  <c r="O598" i="11"/>
  <c r="U598" i="11"/>
  <c r="S598" i="11" s="1"/>
  <c r="O599" i="11"/>
  <c r="U599" i="11" s="1"/>
  <c r="S599" i="11" s="1"/>
  <c r="O600" i="11"/>
  <c r="U600" i="11"/>
  <c r="S600" i="11" s="1"/>
  <c r="O601" i="11"/>
  <c r="U601" i="11" s="1"/>
  <c r="S601" i="11" s="1"/>
  <c r="O602" i="11"/>
  <c r="U602" i="11" s="1"/>
  <c r="S602" i="11" s="1"/>
  <c r="O603" i="11"/>
  <c r="U603" i="11" s="1"/>
  <c r="S603" i="11"/>
  <c r="O604" i="11"/>
  <c r="U604" i="11"/>
  <c r="S604" i="11" s="1"/>
  <c r="O605" i="11"/>
  <c r="U605" i="11" s="1"/>
  <c r="S605" i="11" s="1"/>
  <c r="O606" i="11"/>
  <c r="U606" i="11" s="1"/>
  <c r="S606" i="11" s="1"/>
  <c r="O607" i="11"/>
  <c r="U607" i="11" s="1"/>
  <c r="S607" i="11" s="1"/>
  <c r="O608" i="11"/>
  <c r="U608" i="11"/>
  <c r="S608" i="11" s="1"/>
  <c r="O609" i="11"/>
  <c r="U609" i="11" s="1"/>
  <c r="S609" i="11" s="1"/>
  <c r="O610" i="11"/>
  <c r="U610" i="11" s="1"/>
  <c r="S610" i="11" s="1"/>
  <c r="O611" i="11"/>
  <c r="U611" i="11" s="1"/>
  <c r="S611" i="11" s="1"/>
  <c r="O612" i="11"/>
  <c r="U612" i="11" s="1"/>
  <c r="S612" i="11" s="1"/>
  <c r="O613" i="11"/>
  <c r="U613" i="11" s="1"/>
  <c r="S613" i="11" s="1"/>
  <c r="O614" i="11"/>
  <c r="U614" i="11"/>
  <c r="S614" i="11" s="1"/>
  <c r="O615" i="11"/>
  <c r="U615" i="11" s="1"/>
  <c r="S615" i="11" s="1"/>
  <c r="O616" i="11"/>
  <c r="U616" i="11" s="1"/>
  <c r="S616" i="11" s="1"/>
  <c r="O617" i="11"/>
  <c r="U617" i="11" s="1"/>
  <c r="S617" i="11" s="1"/>
  <c r="O618" i="11"/>
  <c r="U618" i="11"/>
  <c r="S618" i="11" s="1"/>
  <c r="O619" i="11"/>
  <c r="U619" i="11" s="1"/>
  <c r="S619" i="11" s="1"/>
  <c r="O620" i="11"/>
  <c r="U620" i="11"/>
  <c r="S620" i="11" s="1"/>
  <c r="O621" i="11"/>
  <c r="U621" i="11" s="1"/>
  <c r="S621" i="11" s="1"/>
  <c r="O622" i="11"/>
  <c r="U622" i="11"/>
  <c r="S622" i="11" s="1"/>
  <c r="O623" i="11"/>
  <c r="U623" i="11" s="1"/>
  <c r="S623" i="11" s="1"/>
  <c r="O624" i="11"/>
  <c r="U624" i="11" s="1"/>
  <c r="S624" i="11" s="1"/>
  <c r="O625" i="11"/>
  <c r="U625" i="11" s="1"/>
  <c r="S625" i="11" s="1"/>
  <c r="O626" i="11"/>
  <c r="U626" i="11" s="1"/>
  <c r="S626" i="11" s="1"/>
  <c r="O627" i="11"/>
  <c r="U627" i="11" s="1"/>
  <c r="S627" i="11" s="1"/>
  <c r="O628" i="11"/>
  <c r="U628" i="11" s="1"/>
  <c r="S628" i="11" s="1"/>
  <c r="O629" i="11"/>
  <c r="U629" i="11" s="1"/>
  <c r="S629" i="11" s="1"/>
  <c r="O630" i="11"/>
  <c r="U630" i="11"/>
  <c r="S630" i="11" s="1"/>
  <c r="O631" i="11"/>
  <c r="U631" i="11" s="1"/>
  <c r="S631" i="11" s="1"/>
  <c r="O632" i="11"/>
  <c r="U632" i="11" s="1"/>
  <c r="S632" i="11" s="1"/>
  <c r="O633" i="11"/>
  <c r="U633" i="11" s="1"/>
  <c r="S633" i="11" s="1"/>
  <c r="O634" i="11"/>
  <c r="U634" i="11" s="1"/>
  <c r="S634" i="11" s="1"/>
  <c r="O635" i="11"/>
  <c r="U635" i="11" s="1"/>
  <c r="S635" i="11" s="1"/>
  <c r="O636" i="11"/>
  <c r="U636" i="11"/>
  <c r="S636" i="11" s="1"/>
  <c r="O637" i="11"/>
  <c r="U637" i="11" s="1"/>
  <c r="S637" i="11" s="1"/>
  <c r="O638" i="11"/>
  <c r="U638" i="11"/>
  <c r="S638" i="11" s="1"/>
  <c r="O639" i="11"/>
  <c r="U639" i="11" s="1"/>
  <c r="S639" i="11" s="1"/>
  <c r="O640" i="11"/>
  <c r="U640" i="11" s="1"/>
  <c r="S640" i="11" s="1"/>
  <c r="O641" i="11"/>
  <c r="U641" i="11" s="1"/>
  <c r="S641" i="11" s="1"/>
  <c r="O642" i="11"/>
  <c r="U642" i="11" s="1"/>
  <c r="S642" i="11" s="1"/>
  <c r="O643" i="11"/>
  <c r="U643" i="11" s="1"/>
  <c r="S643" i="11" s="1"/>
  <c r="O644" i="11"/>
  <c r="U644" i="11"/>
  <c r="S644" i="11" s="1"/>
  <c r="O645" i="11"/>
  <c r="U645" i="11" s="1"/>
  <c r="S645" i="11" s="1"/>
  <c r="O646" i="11"/>
  <c r="U646" i="11" s="1"/>
  <c r="S646" i="11" s="1"/>
  <c r="O647" i="11"/>
  <c r="U647" i="11" s="1"/>
  <c r="S647" i="11" s="1"/>
  <c r="O648" i="11"/>
  <c r="U648" i="11" s="1"/>
  <c r="S648" i="11" s="1"/>
  <c r="O649" i="11"/>
  <c r="U649" i="11" s="1"/>
  <c r="S649" i="11" s="1"/>
  <c r="O650" i="11"/>
  <c r="U650" i="11" s="1"/>
  <c r="S650" i="11" s="1"/>
  <c r="O651" i="11"/>
  <c r="U651" i="11" s="1"/>
  <c r="S651" i="11" s="1"/>
  <c r="O652" i="11"/>
  <c r="U652" i="11" s="1"/>
  <c r="S652" i="11" s="1"/>
  <c r="O653" i="11"/>
  <c r="U653" i="11" s="1"/>
  <c r="S653" i="11" s="1"/>
  <c r="O654" i="11"/>
  <c r="U654" i="11"/>
  <c r="S654" i="11" s="1"/>
  <c r="O655" i="11"/>
  <c r="U655" i="11" s="1"/>
  <c r="S655" i="11" s="1"/>
  <c r="O656" i="11"/>
  <c r="U656" i="11" s="1"/>
  <c r="S656" i="11" s="1"/>
  <c r="O657" i="11"/>
  <c r="U657" i="11" s="1"/>
  <c r="S657" i="11" s="1"/>
  <c r="O658" i="11"/>
  <c r="U658" i="11" s="1"/>
  <c r="S658" i="11" s="1"/>
  <c r="O659" i="11"/>
  <c r="U659" i="11" s="1"/>
  <c r="S659" i="11" s="1"/>
  <c r="O660" i="11"/>
  <c r="U660" i="11"/>
  <c r="S660" i="11" s="1"/>
  <c r="O661" i="11"/>
  <c r="U661" i="11" s="1"/>
  <c r="S661" i="11" s="1"/>
  <c r="O662" i="11"/>
  <c r="U662" i="11"/>
  <c r="S662" i="11" s="1"/>
  <c r="O663" i="11"/>
  <c r="U663" i="11" s="1"/>
  <c r="S663" i="11" s="1"/>
  <c r="O664" i="11"/>
  <c r="U664" i="11" s="1"/>
  <c r="S664" i="11" s="1"/>
  <c r="O665" i="11"/>
  <c r="U665" i="11" s="1"/>
  <c r="S665" i="11" s="1"/>
  <c r="O666" i="11"/>
  <c r="U666" i="11" s="1"/>
  <c r="S666" i="11" s="1"/>
  <c r="O667" i="11"/>
  <c r="U667" i="11" s="1"/>
  <c r="S667" i="11" s="1"/>
  <c r="O668" i="11"/>
  <c r="U668" i="11"/>
  <c r="S668" i="11" s="1"/>
  <c r="O669" i="11"/>
  <c r="U669" i="11" s="1"/>
  <c r="S669" i="11" s="1"/>
  <c r="O670" i="11"/>
  <c r="U670" i="11"/>
  <c r="S670" i="11" s="1"/>
  <c r="O671" i="11"/>
  <c r="U671" i="11" s="1"/>
  <c r="S671" i="11" s="1"/>
  <c r="O672" i="11"/>
  <c r="U672" i="11" s="1"/>
  <c r="S672" i="11" s="1"/>
  <c r="O673" i="11"/>
  <c r="U673" i="11" s="1"/>
  <c r="S673" i="11" s="1"/>
  <c r="O674" i="11"/>
  <c r="U674" i="11" s="1"/>
  <c r="S674" i="11" s="1"/>
  <c r="O675" i="11"/>
  <c r="U675" i="11" s="1"/>
  <c r="S675" i="11" s="1"/>
  <c r="O676" i="11"/>
  <c r="U676" i="11" s="1"/>
  <c r="S676" i="11" s="1"/>
  <c r="O677" i="11"/>
  <c r="U677" i="11" s="1"/>
  <c r="S677" i="11" s="1"/>
  <c r="O678" i="11"/>
  <c r="U678" i="11" s="1"/>
  <c r="S678" i="11" s="1"/>
  <c r="O679" i="11"/>
  <c r="U679" i="11" s="1"/>
  <c r="S679" i="11" s="1"/>
  <c r="O680" i="11"/>
  <c r="U680" i="11" s="1"/>
  <c r="S680" i="11" s="1"/>
  <c r="O681" i="11"/>
  <c r="U681" i="11" s="1"/>
  <c r="S681" i="11" s="1"/>
  <c r="O682" i="11"/>
  <c r="U682" i="11" s="1"/>
  <c r="S682" i="11" s="1"/>
  <c r="O683" i="11"/>
  <c r="U683" i="11" s="1"/>
  <c r="S683" i="11" s="1"/>
  <c r="O684" i="11"/>
  <c r="U684" i="11"/>
  <c r="S684" i="11" s="1"/>
  <c r="O685" i="11"/>
  <c r="U685" i="11" s="1"/>
  <c r="S685" i="11" s="1"/>
  <c r="O686" i="11"/>
  <c r="U686" i="11"/>
  <c r="S686" i="11" s="1"/>
  <c r="O687" i="11"/>
  <c r="U687" i="11" s="1"/>
  <c r="S687" i="11" s="1"/>
  <c r="O688" i="11"/>
  <c r="U688" i="11" s="1"/>
  <c r="S688" i="11" s="1"/>
  <c r="O689" i="11"/>
  <c r="U689" i="11" s="1"/>
  <c r="S689" i="11" s="1"/>
  <c r="O690" i="11"/>
  <c r="U690" i="11" s="1"/>
  <c r="S690" i="11" s="1"/>
  <c r="O691" i="11"/>
  <c r="U691" i="11" s="1"/>
  <c r="S691" i="11" s="1"/>
  <c r="O692" i="11"/>
  <c r="U692" i="11"/>
  <c r="S692" i="11" s="1"/>
  <c r="O693" i="11"/>
  <c r="U693" i="11" s="1"/>
  <c r="S693" i="11" s="1"/>
  <c r="O694" i="11"/>
  <c r="U694" i="11" s="1"/>
  <c r="S694" i="11" s="1"/>
  <c r="O695" i="11"/>
  <c r="U695" i="11" s="1"/>
  <c r="S695" i="11" s="1"/>
  <c r="O696" i="11"/>
  <c r="U696" i="11" s="1"/>
  <c r="S696" i="11" s="1"/>
  <c r="O697" i="11"/>
  <c r="U697" i="11" s="1"/>
  <c r="S697" i="11" s="1"/>
  <c r="O698" i="11"/>
  <c r="U698" i="11" s="1"/>
  <c r="S698" i="11" s="1"/>
  <c r="O699" i="11"/>
  <c r="U699" i="11" s="1"/>
  <c r="S699" i="11" s="1"/>
  <c r="O700" i="11"/>
  <c r="U700" i="11" s="1"/>
  <c r="S700" i="11" s="1"/>
  <c r="O701" i="11"/>
  <c r="U701" i="11" s="1"/>
  <c r="S701" i="11" s="1"/>
  <c r="O702" i="11"/>
  <c r="U702" i="11"/>
  <c r="S702" i="11"/>
  <c r="O703" i="11"/>
  <c r="U703" i="11" s="1"/>
  <c r="S703" i="11" s="1"/>
  <c r="O704" i="11"/>
  <c r="U704" i="11"/>
  <c r="S704" i="11" s="1"/>
  <c r="O705" i="11"/>
  <c r="U705" i="11" s="1"/>
  <c r="S705" i="11" s="1"/>
  <c r="O706" i="11"/>
  <c r="U706" i="11" s="1"/>
  <c r="S706" i="11" s="1"/>
  <c r="O707" i="11"/>
  <c r="U707" i="11" s="1"/>
  <c r="S707" i="11" s="1"/>
  <c r="O708" i="11"/>
  <c r="U708" i="11" s="1"/>
  <c r="S708" i="11" s="1"/>
  <c r="O709" i="11"/>
  <c r="U709" i="11" s="1"/>
  <c r="S709" i="11" s="1"/>
  <c r="O710" i="11"/>
  <c r="U710" i="11"/>
  <c r="S710" i="11"/>
  <c r="O711" i="11"/>
  <c r="U711" i="11" s="1"/>
  <c r="S711" i="11" s="1"/>
  <c r="O712" i="11"/>
  <c r="U712" i="11" s="1"/>
  <c r="S712" i="11" s="1"/>
  <c r="O713" i="11"/>
  <c r="U713" i="11" s="1"/>
  <c r="S713" i="11" s="1"/>
  <c r="O714" i="11"/>
  <c r="U714" i="11"/>
  <c r="S714" i="11" s="1"/>
  <c r="O715" i="11"/>
  <c r="U715" i="11" s="1"/>
  <c r="S715" i="11" s="1"/>
  <c r="O716" i="11"/>
  <c r="U716" i="11"/>
  <c r="S716" i="11" s="1"/>
  <c r="O717" i="11"/>
  <c r="U717" i="11" s="1"/>
  <c r="S717" i="11" s="1"/>
  <c r="O718" i="11"/>
  <c r="U718" i="11" s="1"/>
  <c r="S718" i="11" s="1"/>
  <c r="O719" i="11"/>
  <c r="U719" i="11" s="1"/>
  <c r="S719" i="11" s="1"/>
  <c r="O720" i="11"/>
  <c r="U720" i="11"/>
  <c r="S720" i="11" s="1"/>
  <c r="O721" i="11"/>
  <c r="U721" i="11" s="1"/>
  <c r="S721" i="11" s="1"/>
  <c r="O722" i="11"/>
  <c r="U722" i="11" s="1"/>
  <c r="S722" i="11" s="1"/>
  <c r="O723" i="11"/>
  <c r="U723" i="11" s="1"/>
  <c r="S723" i="11" s="1"/>
  <c r="O724" i="11"/>
  <c r="U724" i="11" s="1"/>
  <c r="S724" i="11" s="1"/>
  <c r="O725" i="11"/>
  <c r="U725" i="11" s="1"/>
  <c r="S725" i="11" s="1"/>
  <c r="O726" i="11"/>
  <c r="U726" i="11"/>
  <c r="S726" i="11" s="1"/>
  <c r="O727" i="11"/>
  <c r="U727" i="11" s="1"/>
  <c r="S727" i="11" s="1"/>
  <c r="O728" i="11"/>
  <c r="U728" i="11"/>
  <c r="S728" i="11" s="1"/>
  <c r="O729" i="11"/>
  <c r="U729" i="11" s="1"/>
  <c r="S729" i="11" s="1"/>
  <c r="O730" i="11"/>
  <c r="U730" i="11" s="1"/>
  <c r="S730" i="11" s="1"/>
  <c r="O731" i="11"/>
  <c r="U731" i="11" s="1"/>
  <c r="S731" i="11" s="1"/>
  <c r="O732" i="11"/>
  <c r="U732" i="11" s="1"/>
  <c r="S732" i="11" s="1"/>
  <c r="O733" i="11"/>
  <c r="U733" i="11" s="1"/>
  <c r="S733" i="11" s="1"/>
  <c r="O734" i="11"/>
  <c r="U734" i="11" s="1"/>
  <c r="S734" i="11" s="1"/>
  <c r="O735" i="11"/>
  <c r="U735" i="11" s="1"/>
  <c r="S735" i="11" s="1"/>
  <c r="O736" i="11"/>
  <c r="U736" i="11" s="1"/>
  <c r="S736" i="11" s="1"/>
  <c r="O737" i="11"/>
  <c r="U737" i="11" s="1"/>
  <c r="S737" i="11" s="1"/>
  <c r="O738" i="11"/>
  <c r="U738" i="11" s="1"/>
  <c r="S738" i="11" s="1"/>
  <c r="O739" i="11"/>
  <c r="U739" i="11" s="1"/>
  <c r="S739" i="11" s="1"/>
  <c r="O740" i="11"/>
  <c r="U740" i="11"/>
  <c r="S740" i="11" s="1"/>
  <c r="O741" i="11"/>
  <c r="U741" i="11" s="1"/>
  <c r="S741" i="11" s="1"/>
  <c r="O742" i="11"/>
  <c r="U742" i="11" s="1"/>
  <c r="S742" i="11" s="1"/>
  <c r="O743" i="11"/>
  <c r="U743" i="11" s="1"/>
  <c r="S743" i="11" s="1"/>
  <c r="O744" i="11"/>
  <c r="U744" i="11"/>
  <c r="S744" i="11" s="1"/>
  <c r="O745" i="11"/>
  <c r="U745" i="11" s="1"/>
  <c r="S745" i="11"/>
  <c r="O746" i="11"/>
  <c r="U746" i="11" s="1"/>
  <c r="S746" i="11" s="1"/>
  <c r="O747" i="11"/>
  <c r="U747" i="11" s="1"/>
  <c r="S747" i="11" s="1"/>
  <c r="O748" i="11"/>
  <c r="U748" i="11"/>
  <c r="S748" i="11" s="1"/>
  <c r="O749" i="11"/>
  <c r="U749" i="11" s="1"/>
  <c r="S749" i="11" s="1"/>
  <c r="O750" i="11"/>
  <c r="U750" i="11" s="1"/>
  <c r="S750" i="11" s="1"/>
  <c r="O751" i="11"/>
  <c r="U751" i="11" s="1"/>
  <c r="S751" i="11" s="1"/>
  <c r="O752" i="11"/>
  <c r="U752" i="11"/>
  <c r="S752" i="11"/>
  <c r="O753" i="11"/>
  <c r="U753" i="11" s="1"/>
  <c r="S753" i="11" s="1"/>
  <c r="O754" i="11"/>
  <c r="U754" i="11" s="1"/>
  <c r="S754" i="11" s="1"/>
  <c r="O755" i="11"/>
  <c r="U755" i="11" s="1"/>
  <c r="S755" i="11" s="1"/>
  <c r="O756" i="11"/>
  <c r="U756" i="11" s="1"/>
  <c r="S756" i="11" s="1"/>
  <c r="O757" i="11"/>
  <c r="U757" i="11" s="1"/>
  <c r="S757" i="11" s="1"/>
  <c r="O758" i="11"/>
  <c r="U758" i="11"/>
  <c r="S758" i="11" s="1"/>
  <c r="O759" i="11"/>
  <c r="U759" i="11" s="1"/>
  <c r="S759" i="11" s="1"/>
  <c r="O760" i="11"/>
  <c r="U760" i="11" s="1"/>
  <c r="S760" i="11" s="1"/>
  <c r="O761" i="11"/>
  <c r="U761" i="11" s="1"/>
  <c r="S761" i="11" s="1"/>
  <c r="O762" i="11"/>
  <c r="U762" i="11" s="1"/>
  <c r="S762" i="11" s="1"/>
  <c r="O763" i="11"/>
  <c r="U763" i="11" s="1"/>
  <c r="S763" i="11" s="1"/>
  <c r="O764" i="11"/>
  <c r="U764" i="11"/>
  <c r="S764" i="11" s="1"/>
  <c r="O765" i="11"/>
  <c r="U765" i="11" s="1"/>
  <c r="S765" i="11" s="1"/>
  <c r="O766" i="11"/>
  <c r="U766" i="11" s="1"/>
  <c r="S766" i="11" s="1"/>
  <c r="O767" i="11"/>
  <c r="U767" i="11" s="1"/>
  <c r="S767" i="11" s="1"/>
  <c r="O768" i="11"/>
  <c r="U768" i="11"/>
  <c r="S768" i="11" s="1"/>
  <c r="O769" i="11"/>
  <c r="U769" i="11" s="1"/>
  <c r="S769" i="11"/>
  <c r="O770" i="11"/>
  <c r="U770" i="11" s="1"/>
  <c r="S770" i="11" s="1"/>
  <c r="O771" i="11"/>
  <c r="U771" i="11" s="1"/>
  <c r="S771" i="11" s="1"/>
  <c r="O772" i="11"/>
  <c r="U772" i="11" s="1"/>
  <c r="S772" i="11" s="1"/>
  <c r="O773" i="11"/>
  <c r="U773" i="11" s="1"/>
  <c r="S773" i="11"/>
  <c r="O774" i="11"/>
  <c r="U774" i="11"/>
  <c r="S774" i="11" s="1"/>
  <c r="O775" i="11"/>
  <c r="U775" i="11" s="1"/>
  <c r="S775" i="11" s="1"/>
  <c r="O776" i="11"/>
  <c r="U776" i="11"/>
  <c r="S776" i="11"/>
  <c r="O777" i="11"/>
  <c r="U777" i="11" s="1"/>
  <c r="S777" i="11" s="1"/>
  <c r="O778" i="11"/>
  <c r="U778" i="11" s="1"/>
  <c r="S778" i="11" s="1"/>
  <c r="O779" i="11"/>
  <c r="U779" i="11" s="1"/>
  <c r="S779" i="11" s="1"/>
  <c r="O780" i="11"/>
  <c r="U780" i="11" s="1"/>
  <c r="S780" i="11" s="1"/>
  <c r="O781" i="11"/>
  <c r="U781" i="11" s="1"/>
  <c r="S781" i="11" s="1"/>
  <c r="O782" i="11"/>
  <c r="U782" i="11" s="1"/>
  <c r="S782" i="11" s="1"/>
  <c r="O783" i="11"/>
  <c r="U783" i="11" s="1"/>
  <c r="S783" i="11" s="1"/>
  <c r="O784" i="11"/>
  <c r="U784" i="11" s="1"/>
  <c r="S784" i="11" s="1"/>
  <c r="O785" i="11"/>
  <c r="U785" i="11" s="1"/>
  <c r="S785" i="11" s="1"/>
  <c r="O786" i="11"/>
  <c r="U786" i="11"/>
  <c r="S786" i="11" s="1"/>
  <c r="O787" i="11"/>
  <c r="U787" i="11" s="1"/>
  <c r="S787" i="11" s="1"/>
  <c r="O788" i="11"/>
  <c r="U788" i="11" s="1"/>
  <c r="S788" i="11" s="1"/>
  <c r="O789" i="11"/>
  <c r="U789" i="11" s="1"/>
  <c r="S789" i="11" s="1"/>
  <c r="O790" i="11"/>
  <c r="U790" i="11" s="1"/>
  <c r="S790" i="11" s="1"/>
  <c r="O791" i="11"/>
  <c r="U791" i="11" s="1"/>
  <c r="S791" i="11" s="1"/>
  <c r="O792" i="11"/>
  <c r="U792" i="11" s="1"/>
  <c r="S792" i="11" s="1"/>
  <c r="O793" i="11"/>
  <c r="U793" i="11" s="1"/>
  <c r="S793" i="11"/>
  <c r="O794" i="11"/>
  <c r="U794" i="11" s="1"/>
  <c r="S794" i="11" s="1"/>
  <c r="O795" i="11"/>
  <c r="U795" i="11" s="1"/>
  <c r="S795" i="11" s="1"/>
  <c r="O796" i="11"/>
  <c r="U796" i="11" s="1"/>
  <c r="S796" i="11" s="1"/>
  <c r="O797" i="11"/>
  <c r="U797" i="11" s="1"/>
  <c r="S797" i="11" s="1"/>
  <c r="O798" i="11"/>
  <c r="U798" i="11" s="1"/>
  <c r="S798" i="11" s="1"/>
  <c r="O799" i="11"/>
  <c r="U799" i="11" s="1"/>
  <c r="S799" i="11" s="1"/>
  <c r="O800" i="11"/>
  <c r="U800" i="11" s="1"/>
  <c r="S800" i="11" s="1"/>
  <c r="O801" i="11"/>
  <c r="U801" i="11" s="1"/>
  <c r="S801" i="11" s="1"/>
  <c r="O802" i="11"/>
  <c r="U802" i="11" s="1"/>
  <c r="S802" i="11" s="1"/>
  <c r="O803" i="11"/>
  <c r="U803" i="11" s="1"/>
  <c r="S803" i="11" s="1"/>
  <c r="O804" i="11"/>
  <c r="U804" i="11" s="1"/>
  <c r="S804" i="11" s="1"/>
  <c r="O805" i="11"/>
  <c r="U805" i="11" s="1"/>
  <c r="S805" i="11" s="1"/>
  <c r="O806" i="11"/>
  <c r="U806" i="11"/>
  <c r="S806" i="11" s="1"/>
  <c r="O807" i="11"/>
  <c r="U807" i="11" s="1"/>
  <c r="S807" i="11" s="1"/>
  <c r="O808" i="11"/>
  <c r="U808" i="11" s="1"/>
  <c r="S808" i="11" s="1"/>
  <c r="O809" i="11"/>
  <c r="U809" i="11" s="1"/>
  <c r="S809" i="11" s="1"/>
  <c r="O810" i="11"/>
  <c r="U810" i="11"/>
  <c r="S810" i="11" s="1"/>
  <c r="O811" i="11"/>
  <c r="U811" i="11" s="1"/>
  <c r="S811" i="11" s="1"/>
  <c r="O812" i="11"/>
  <c r="U812" i="11" s="1"/>
  <c r="S812" i="11" s="1"/>
  <c r="O813" i="11"/>
  <c r="U813" i="11" s="1"/>
  <c r="S813" i="11" s="1"/>
  <c r="O814" i="11"/>
  <c r="U814" i="11" s="1"/>
  <c r="S814" i="11" s="1"/>
  <c r="O815" i="11"/>
  <c r="U815" i="11" s="1"/>
  <c r="S815" i="11" s="1"/>
  <c r="O816" i="11"/>
  <c r="U816" i="11"/>
  <c r="S816" i="11" s="1"/>
  <c r="O817" i="11"/>
  <c r="U817" i="11" s="1"/>
  <c r="S817" i="11" s="1"/>
  <c r="O818" i="11"/>
  <c r="U818" i="11" s="1"/>
  <c r="S818" i="11" s="1"/>
  <c r="O819" i="11"/>
  <c r="U819" i="11" s="1"/>
  <c r="S819" i="11" s="1"/>
  <c r="O820" i="11"/>
  <c r="U820" i="11"/>
  <c r="S820" i="11" s="1"/>
  <c r="O821" i="11"/>
  <c r="U821" i="11" s="1"/>
  <c r="S821" i="11" s="1"/>
  <c r="O822" i="11"/>
  <c r="U822" i="11" s="1"/>
  <c r="S822" i="11" s="1"/>
  <c r="O823" i="11"/>
  <c r="U823" i="11" s="1"/>
  <c r="S823" i="11" s="1"/>
  <c r="O824" i="11"/>
  <c r="U824" i="11"/>
  <c r="S824" i="11"/>
  <c r="O825" i="11"/>
  <c r="U825" i="11" s="1"/>
  <c r="S825" i="11" s="1"/>
  <c r="O826" i="11"/>
  <c r="U826" i="11" s="1"/>
  <c r="S826" i="11" s="1"/>
  <c r="O827" i="11"/>
  <c r="U827" i="11" s="1"/>
  <c r="S827" i="11" s="1"/>
  <c r="O828" i="11"/>
  <c r="U828" i="11" s="1"/>
  <c r="S828" i="11" s="1"/>
  <c r="O829" i="11"/>
  <c r="U829" i="11" s="1"/>
  <c r="S829" i="11" s="1"/>
  <c r="O830" i="11"/>
  <c r="U830" i="11" s="1"/>
  <c r="S830" i="11" s="1"/>
  <c r="O831" i="11"/>
  <c r="U831" i="11" s="1"/>
  <c r="S831" i="11" s="1"/>
  <c r="O832" i="11"/>
  <c r="U832" i="11" s="1"/>
  <c r="S832" i="11" s="1"/>
  <c r="O833" i="11"/>
  <c r="U833" i="11" s="1"/>
  <c r="S833" i="11" s="1"/>
  <c r="O834" i="11"/>
  <c r="U834" i="11" s="1"/>
  <c r="S834" i="11" s="1"/>
  <c r="O835" i="11"/>
  <c r="U835" i="11" s="1"/>
  <c r="S835" i="11" s="1"/>
  <c r="O836" i="11"/>
  <c r="U836" i="11" s="1"/>
  <c r="S836" i="11" s="1"/>
  <c r="O837" i="11"/>
  <c r="U837" i="11" s="1"/>
  <c r="S837" i="11" s="1"/>
  <c r="O838" i="11"/>
  <c r="U838" i="11" s="1"/>
  <c r="S838" i="11" s="1"/>
  <c r="O839" i="11"/>
  <c r="U839" i="11" s="1"/>
  <c r="S839" i="11" s="1"/>
  <c r="O840" i="11"/>
  <c r="U840" i="11" s="1"/>
  <c r="S840" i="11" s="1"/>
  <c r="O841" i="11"/>
  <c r="U841" i="11" s="1"/>
  <c r="S841" i="11" s="1"/>
  <c r="O842" i="11"/>
  <c r="U842" i="11" s="1"/>
  <c r="S842" i="11" s="1"/>
  <c r="O843" i="11"/>
  <c r="U843" i="11" s="1"/>
  <c r="S843" i="11" s="1"/>
  <c r="O844" i="11"/>
  <c r="U844" i="11"/>
  <c r="S844" i="11" s="1"/>
  <c r="O845" i="11"/>
  <c r="U845" i="11" s="1"/>
  <c r="S845" i="11"/>
  <c r="O846" i="11"/>
  <c r="U846" i="11" s="1"/>
  <c r="S846" i="11" s="1"/>
  <c r="O847" i="11"/>
  <c r="U847" i="11" s="1"/>
  <c r="S847" i="11" s="1"/>
  <c r="O848" i="11"/>
  <c r="U848" i="11"/>
  <c r="S848" i="11" s="1"/>
  <c r="O849" i="11"/>
  <c r="U849" i="11" s="1"/>
  <c r="S849" i="11" s="1"/>
  <c r="O850" i="11"/>
  <c r="U850" i="11" s="1"/>
  <c r="S850" i="11" s="1"/>
  <c r="O851" i="11"/>
  <c r="U851" i="11" s="1"/>
  <c r="S851" i="11" s="1"/>
  <c r="O852" i="11"/>
  <c r="U852" i="11"/>
  <c r="S852" i="11" s="1"/>
  <c r="O853" i="11"/>
  <c r="U853" i="11" s="1"/>
  <c r="S853" i="11" s="1"/>
  <c r="O854" i="11"/>
  <c r="U854" i="11"/>
  <c r="S854" i="11" s="1"/>
  <c r="O855" i="11"/>
  <c r="U855" i="11" s="1"/>
  <c r="S855" i="11" s="1"/>
  <c r="O856" i="11"/>
  <c r="U856" i="11" s="1"/>
  <c r="S856" i="11" s="1"/>
  <c r="O857" i="11"/>
  <c r="U857" i="11" s="1"/>
  <c r="S857" i="11"/>
  <c r="O858" i="11"/>
  <c r="U858" i="11"/>
  <c r="S858" i="11" s="1"/>
  <c r="O859" i="11"/>
  <c r="U859" i="11" s="1"/>
  <c r="S859" i="11" s="1"/>
  <c r="O860" i="11"/>
  <c r="U860" i="11" s="1"/>
  <c r="S860" i="11" s="1"/>
  <c r="O861" i="11"/>
  <c r="U861" i="11" s="1"/>
  <c r="S861" i="11" s="1"/>
  <c r="O862" i="11"/>
  <c r="U862" i="11" s="1"/>
  <c r="S862" i="11" s="1"/>
  <c r="O863" i="11"/>
  <c r="U863" i="11" s="1"/>
  <c r="S863" i="11" s="1"/>
  <c r="O864" i="11"/>
  <c r="U864" i="11" s="1"/>
  <c r="S864" i="11" s="1"/>
  <c r="O865" i="11"/>
  <c r="U865" i="11" s="1"/>
  <c r="S865" i="11" s="1"/>
  <c r="O866" i="11"/>
  <c r="U866" i="11" s="1"/>
  <c r="S866" i="11" s="1"/>
  <c r="O867" i="11"/>
  <c r="U867" i="11" s="1"/>
  <c r="S867" i="11" s="1"/>
  <c r="O868" i="11"/>
  <c r="U868" i="11"/>
  <c r="S868" i="11" s="1"/>
  <c r="O869" i="11"/>
  <c r="U869" i="11" s="1"/>
  <c r="S869" i="11"/>
  <c r="O870" i="11"/>
  <c r="U870" i="11"/>
  <c r="S870" i="11" s="1"/>
  <c r="O871" i="11"/>
  <c r="U871" i="11" s="1"/>
  <c r="S871" i="11" s="1"/>
  <c r="O872" i="11"/>
  <c r="U872" i="11" s="1"/>
  <c r="S872" i="11" s="1"/>
  <c r="O873" i="11"/>
  <c r="U873" i="11" s="1"/>
  <c r="S873" i="11" s="1"/>
  <c r="O874" i="11"/>
  <c r="U874" i="11" s="1"/>
  <c r="S874" i="11" s="1"/>
  <c r="O875" i="11"/>
  <c r="U875" i="11" s="1"/>
  <c r="S875" i="11" s="1"/>
  <c r="O876" i="11"/>
  <c r="U876" i="11"/>
  <c r="S876" i="11" s="1"/>
  <c r="O877" i="11"/>
  <c r="U877" i="11" s="1"/>
  <c r="S877" i="11" s="1"/>
  <c r="O878" i="11"/>
  <c r="U878" i="11"/>
  <c r="S878" i="11" s="1"/>
  <c r="O879" i="11"/>
  <c r="U879" i="11" s="1"/>
  <c r="S879" i="11" s="1"/>
  <c r="O880" i="11"/>
  <c r="U880" i="11" s="1"/>
  <c r="S880" i="11" s="1"/>
  <c r="O881" i="11"/>
  <c r="U881" i="11" s="1"/>
  <c r="S881" i="11" s="1"/>
  <c r="O882" i="11"/>
  <c r="U882" i="11"/>
  <c r="S882" i="11" s="1"/>
  <c r="O883" i="11"/>
  <c r="U883" i="11" s="1"/>
  <c r="S883" i="11" s="1"/>
  <c r="O884" i="11"/>
  <c r="U884" i="11" s="1"/>
  <c r="S884" i="11" s="1"/>
  <c r="O885" i="11"/>
  <c r="U885" i="11" s="1"/>
  <c r="S885" i="11" s="1"/>
  <c r="O886" i="11"/>
  <c r="U886" i="11" s="1"/>
  <c r="S886" i="11" s="1"/>
  <c r="O887" i="11"/>
  <c r="U887" i="11" s="1"/>
  <c r="S887" i="11" s="1"/>
  <c r="O888" i="11"/>
  <c r="U888" i="11"/>
  <c r="S888" i="11" s="1"/>
  <c r="O889" i="11"/>
  <c r="U889" i="11" s="1"/>
  <c r="S889" i="11" s="1"/>
  <c r="O890" i="11"/>
  <c r="U890" i="11" s="1"/>
  <c r="S890" i="11" s="1"/>
  <c r="O891" i="11"/>
  <c r="U891" i="11" s="1"/>
  <c r="S891" i="11" s="1"/>
  <c r="O892" i="11"/>
  <c r="U892" i="11"/>
  <c r="S892" i="11" s="1"/>
  <c r="O893" i="11"/>
  <c r="U893" i="11" s="1"/>
  <c r="S893" i="11"/>
  <c r="O894" i="11"/>
  <c r="U894" i="11"/>
  <c r="S894" i="11" s="1"/>
  <c r="O895" i="11"/>
  <c r="U895" i="11" s="1"/>
  <c r="S895" i="11" s="1"/>
  <c r="O896" i="11"/>
  <c r="U896" i="11"/>
  <c r="S896" i="11" s="1"/>
  <c r="O897" i="11"/>
  <c r="U897" i="11" s="1"/>
  <c r="S897" i="11" s="1"/>
  <c r="O898" i="11"/>
  <c r="U898" i="11" s="1"/>
  <c r="S898" i="11" s="1"/>
  <c r="O899" i="11"/>
  <c r="U899" i="11" s="1"/>
  <c r="S899" i="11" s="1"/>
  <c r="O900" i="11"/>
  <c r="U900" i="11" s="1"/>
  <c r="S900" i="11" s="1"/>
  <c r="O901" i="11"/>
  <c r="U901" i="11" s="1"/>
  <c r="S901" i="11" s="1"/>
  <c r="O902" i="11"/>
  <c r="U902" i="11" s="1"/>
  <c r="S902" i="11" s="1"/>
  <c r="O903" i="11"/>
  <c r="U903" i="11" s="1"/>
  <c r="S903" i="11" s="1"/>
  <c r="O904" i="11"/>
  <c r="U904" i="11"/>
  <c r="S904" i="11" s="1"/>
  <c r="O905" i="11"/>
  <c r="U905" i="11" s="1"/>
  <c r="S905" i="11" s="1"/>
  <c r="O906" i="11"/>
  <c r="U906" i="11" s="1"/>
  <c r="S906" i="11" s="1"/>
  <c r="O907" i="11"/>
  <c r="U907" i="11" s="1"/>
  <c r="S907" i="11" s="1"/>
  <c r="O908" i="11"/>
  <c r="U908" i="11" s="1"/>
  <c r="S908" i="11" s="1"/>
  <c r="O909" i="11"/>
  <c r="U909" i="11" s="1"/>
  <c r="S909" i="11"/>
  <c r="O910" i="11"/>
  <c r="U910" i="11"/>
  <c r="S910" i="11" s="1"/>
  <c r="O911" i="11"/>
  <c r="U911" i="11" s="1"/>
  <c r="S911" i="11" s="1"/>
  <c r="O912" i="11"/>
  <c r="U912" i="11" s="1"/>
  <c r="S912" i="11" s="1"/>
  <c r="O913" i="11"/>
  <c r="U913" i="11" s="1"/>
  <c r="S913" i="11" s="1"/>
  <c r="O914" i="11"/>
  <c r="U914" i="11"/>
  <c r="S914" i="11" s="1"/>
  <c r="O915" i="11"/>
  <c r="U915" i="11" s="1"/>
  <c r="S915" i="11" s="1"/>
  <c r="O916" i="11"/>
  <c r="U916" i="11" s="1"/>
  <c r="S916" i="11" s="1"/>
  <c r="O917" i="11"/>
  <c r="U917" i="11" s="1"/>
  <c r="S917" i="11" s="1"/>
  <c r="O918" i="11"/>
  <c r="U918" i="11" s="1"/>
  <c r="S918" i="11" s="1"/>
  <c r="O919" i="11"/>
  <c r="U919" i="11" s="1"/>
  <c r="S919" i="11" s="1"/>
  <c r="O920" i="11"/>
  <c r="U920" i="11" s="1"/>
  <c r="S920" i="11" s="1"/>
  <c r="O921" i="11"/>
  <c r="U921" i="11" s="1"/>
  <c r="S921" i="11" s="1"/>
  <c r="O922" i="11"/>
  <c r="U922" i="11"/>
  <c r="S922" i="11" s="1"/>
  <c r="O923" i="11"/>
  <c r="U923" i="11" s="1"/>
  <c r="S923" i="11" s="1"/>
  <c r="O924" i="11"/>
  <c r="U924" i="11" s="1"/>
  <c r="S924" i="11" s="1"/>
  <c r="O925" i="11"/>
  <c r="U925" i="11" s="1"/>
  <c r="S925" i="11" s="1"/>
  <c r="O926" i="11"/>
  <c r="U926" i="11" s="1"/>
  <c r="S926" i="11" s="1"/>
  <c r="O927" i="11"/>
  <c r="U927" i="11" s="1"/>
  <c r="S927" i="11" s="1"/>
  <c r="O928" i="11"/>
  <c r="U928" i="11"/>
  <c r="S928" i="11" s="1"/>
  <c r="O929" i="11"/>
  <c r="U929" i="11" s="1"/>
  <c r="S929" i="11" s="1"/>
  <c r="O930" i="11"/>
  <c r="U930" i="11" s="1"/>
  <c r="S930" i="11" s="1"/>
  <c r="O931" i="11"/>
  <c r="U931" i="11" s="1"/>
  <c r="S931" i="11" s="1"/>
  <c r="O932" i="11"/>
  <c r="U932" i="11" s="1"/>
  <c r="S932" i="11" s="1"/>
  <c r="O933" i="11"/>
  <c r="U933" i="11" s="1"/>
  <c r="S933" i="11"/>
  <c r="O934" i="11"/>
  <c r="U934" i="11" s="1"/>
  <c r="S934" i="11" s="1"/>
  <c r="O935" i="11"/>
  <c r="U935" i="11" s="1"/>
  <c r="S935" i="11" s="1"/>
  <c r="O936" i="11"/>
  <c r="U936" i="11" s="1"/>
  <c r="S936" i="11" s="1"/>
  <c r="O937" i="11"/>
  <c r="U937" i="11" s="1"/>
  <c r="S937" i="11" s="1"/>
  <c r="O938" i="11"/>
  <c r="U938" i="11"/>
  <c r="S938" i="11" s="1"/>
  <c r="O939" i="11"/>
  <c r="U939" i="11" s="1"/>
  <c r="S939" i="11" s="1"/>
  <c r="O940" i="11"/>
  <c r="U940" i="11" s="1"/>
  <c r="S940" i="11" s="1"/>
  <c r="O941" i="11"/>
  <c r="U941" i="11" s="1"/>
  <c r="S941" i="11" s="1"/>
  <c r="O942" i="11"/>
  <c r="U942" i="11" s="1"/>
  <c r="S942" i="11" s="1"/>
  <c r="O943" i="11"/>
  <c r="U943" i="11" s="1"/>
  <c r="S943" i="11" s="1"/>
  <c r="O944" i="11"/>
  <c r="U944" i="11" s="1"/>
  <c r="S944" i="11" s="1"/>
  <c r="O945" i="11"/>
  <c r="U945" i="11" s="1"/>
  <c r="S945" i="11" s="1"/>
  <c r="O946" i="11"/>
  <c r="U946" i="11" s="1"/>
  <c r="S946" i="11" s="1"/>
  <c r="O947" i="11"/>
  <c r="U947" i="11" s="1"/>
  <c r="S947" i="11" s="1"/>
  <c r="O948" i="11"/>
  <c r="U948" i="11" s="1"/>
  <c r="S948" i="11"/>
  <c r="O949" i="11"/>
  <c r="U949" i="11" s="1"/>
  <c r="S949" i="11" s="1"/>
  <c r="O950" i="11"/>
  <c r="U950" i="11" s="1"/>
  <c r="S950" i="11" s="1"/>
  <c r="O951" i="11"/>
  <c r="U951" i="11" s="1"/>
  <c r="S951" i="11" s="1"/>
  <c r="O952" i="11"/>
  <c r="U952" i="11"/>
  <c r="S952" i="11" s="1"/>
  <c r="O953" i="11"/>
  <c r="U953" i="11" s="1"/>
  <c r="S953" i="11" s="1"/>
  <c r="O954" i="11"/>
  <c r="U954" i="11" s="1"/>
  <c r="S954" i="11" s="1"/>
  <c r="O955" i="11"/>
  <c r="U955" i="11" s="1"/>
  <c r="S955" i="11" s="1"/>
  <c r="O956" i="11"/>
  <c r="U956" i="11" s="1"/>
  <c r="S956" i="11" s="1"/>
  <c r="O957" i="11"/>
  <c r="U957" i="11" s="1"/>
  <c r="S957" i="11" s="1"/>
  <c r="O958" i="11"/>
  <c r="U958" i="11" s="1"/>
  <c r="S958" i="11" s="1"/>
  <c r="O959" i="11"/>
  <c r="U959" i="11" s="1"/>
  <c r="S959" i="11" s="1"/>
  <c r="O960" i="11"/>
  <c r="U960" i="11" s="1"/>
  <c r="S960" i="11" s="1"/>
  <c r="O961" i="11"/>
  <c r="U961" i="11" s="1"/>
  <c r="S961" i="11" s="1"/>
  <c r="O962" i="11"/>
  <c r="U962" i="11" s="1"/>
  <c r="S962" i="11" s="1"/>
  <c r="O963" i="11"/>
  <c r="U963" i="11" s="1"/>
  <c r="S963" i="11" s="1"/>
  <c r="O964" i="11"/>
  <c r="U964" i="11" s="1"/>
  <c r="S964" i="11" s="1"/>
  <c r="O965" i="11"/>
  <c r="U965" i="11" s="1"/>
  <c r="S965" i="11" s="1"/>
  <c r="O966" i="11"/>
  <c r="U966" i="11" s="1"/>
  <c r="S966" i="11" s="1"/>
  <c r="O967" i="11"/>
  <c r="U967" i="11" s="1"/>
  <c r="S967" i="11" s="1"/>
  <c r="O968" i="11"/>
  <c r="U968" i="11" s="1"/>
  <c r="S968" i="11" s="1"/>
  <c r="O969" i="11"/>
  <c r="U969" i="11" s="1"/>
  <c r="S969" i="11" s="1"/>
  <c r="O970" i="11"/>
  <c r="U970" i="11"/>
  <c r="S970" i="11" s="1"/>
  <c r="O971" i="11"/>
  <c r="U971" i="11" s="1"/>
  <c r="S971" i="11" s="1"/>
  <c r="O972" i="11"/>
  <c r="U972" i="11" s="1"/>
  <c r="S972" i="11" s="1"/>
  <c r="O973" i="11"/>
  <c r="U973" i="11" s="1"/>
  <c r="S973" i="11" s="1"/>
  <c r="O974" i="11"/>
  <c r="U974" i="11" s="1"/>
  <c r="S974" i="11" s="1"/>
  <c r="O975" i="11"/>
  <c r="U975" i="11" s="1"/>
  <c r="S975" i="11" s="1"/>
  <c r="O976" i="11"/>
  <c r="U976" i="11" s="1"/>
  <c r="S976" i="11" s="1"/>
  <c r="O977" i="11"/>
  <c r="U977" i="11" s="1"/>
  <c r="S977" i="11" s="1"/>
  <c r="O978" i="11"/>
  <c r="U978" i="11" s="1"/>
  <c r="S978" i="11" s="1"/>
  <c r="O979" i="11"/>
  <c r="U979" i="11" s="1"/>
  <c r="S979" i="11" s="1"/>
  <c r="O980" i="11"/>
  <c r="U980" i="11" s="1"/>
  <c r="S980" i="11" s="1"/>
  <c r="O981" i="11"/>
  <c r="U981" i="11" s="1"/>
  <c r="S981" i="11" s="1"/>
  <c r="O982" i="11"/>
  <c r="U982" i="11" s="1"/>
  <c r="S982" i="11" s="1"/>
  <c r="O983" i="11"/>
  <c r="U983" i="11" s="1"/>
  <c r="S983" i="11" s="1"/>
  <c r="O984" i="11"/>
  <c r="U984" i="11" s="1"/>
  <c r="S984" i="11" s="1"/>
  <c r="O985" i="11"/>
  <c r="U985" i="11" s="1"/>
  <c r="S985" i="11" s="1"/>
  <c r="O986" i="11"/>
  <c r="U986" i="11" s="1"/>
  <c r="S986" i="11" s="1"/>
  <c r="O987" i="11"/>
  <c r="U987" i="11" s="1"/>
  <c r="S987" i="11" s="1"/>
  <c r="O988" i="11"/>
  <c r="U988" i="11" s="1"/>
  <c r="S988" i="11" s="1"/>
  <c r="O989" i="11"/>
  <c r="U989" i="11" s="1"/>
  <c r="S989" i="11" s="1"/>
  <c r="O990" i="11"/>
  <c r="U990" i="11" s="1"/>
  <c r="S990" i="11" s="1"/>
  <c r="O991" i="11"/>
  <c r="U991" i="11" s="1"/>
  <c r="S991" i="11" s="1"/>
  <c r="O992" i="11"/>
  <c r="U992" i="11" s="1"/>
  <c r="S992" i="11" s="1"/>
  <c r="O993" i="11"/>
  <c r="U993" i="11" s="1"/>
  <c r="S993" i="11" s="1"/>
  <c r="O994" i="11"/>
  <c r="U994" i="11" s="1"/>
  <c r="S994" i="11" s="1"/>
  <c r="O995" i="11"/>
  <c r="U995" i="11" s="1"/>
  <c r="S995" i="11" s="1"/>
  <c r="O996" i="11"/>
  <c r="U996" i="11" s="1"/>
  <c r="S996" i="11" s="1"/>
  <c r="O997" i="11"/>
  <c r="U997" i="11" s="1"/>
  <c r="S997" i="11" s="1"/>
  <c r="O998" i="11"/>
  <c r="U998" i="11" s="1"/>
  <c r="S998" i="11" s="1"/>
  <c r="O999" i="11"/>
  <c r="U999" i="11" s="1"/>
  <c r="S999" i="11" s="1"/>
  <c r="O1000" i="11"/>
  <c r="U1000" i="11" s="1"/>
  <c r="S1000" i="11" s="1"/>
  <c r="O1001" i="11"/>
  <c r="U1001" i="11" s="1"/>
  <c r="S1001" i="11"/>
  <c r="O1002" i="11"/>
  <c r="U1002" i="11"/>
  <c r="S1002" i="11" s="1"/>
  <c r="O1003" i="11"/>
  <c r="U1003" i="11" s="1"/>
  <c r="S1003" i="11" s="1"/>
  <c r="O1004" i="11"/>
  <c r="U1004" i="11" s="1"/>
  <c r="S1004" i="11" s="1"/>
  <c r="O1005" i="11"/>
  <c r="U1005" i="11" s="1"/>
  <c r="S1005" i="11" s="1"/>
  <c r="O1006" i="11"/>
  <c r="U1006" i="11" s="1"/>
  <c r="S1006" i="11" s="1"/>
  <c r="O1007" i="11"/>
  <c r="U1007" i="11" s="1"/>
  <c r="S1007" i="11" s="1"/>
  <c r="O1008" i="11"/>
  <c r="U1008" i="11" s="1"/>
  <c r="S1008" i="11" s="1"/>
  <c r="O1009" i="11"/>
  <c r="U1009" i="11" s="1"/>
  <c r="S1009" i="11" s="1"/>
  <c r="O1010" i="11"/>
  <c r="U1010" i="11" s="1"/>
  <c r="S1010" i="11" s="1"/>
  <c r="O1011" i="11"/>
  <c r="U1011" i="11" s="1"/>
  <c r="S1011" i="11" s="1"/>
  <c r="O1012" i="11"/>
  <c r="U1012" i="11" s="1"/>
  <c r="S1012" i="11" s="1"/>
  <c r="O1013" i="11"/>
  <c r="U1013" i="11" s="1"/>
  <c r="S1013" i="11" s="1"/>
  <c r="O1014" i="11"/>
  <c r="U1014" i="11" s="1"/>
  <c r="S1014" i="11" s="1"/>
  <c r="O1015" i="11"/>
  <c r="U1015" i="11" s="1"/>
  <c r="S1015" i="11" s="1"/>
  <c r="O1016" i="11"/>
  <c r="U1016" i="11" s="1"/>
  <c r="S1016" i="11" s="1"/>
  <c r="O1017" i="11"/>
  <c r="U1017" i="11" s="1"/>
  <c r="S1017" i="11" s="1"/>
  <c r="O1018" i="11"/>
  <c r="U1018" i="11" s="1"/>
  <c r="S1018" i="11" s="1"/>
  <c r="O1019" i="11"/>
  <c r="U1019" i="11" s="1"/>
  <c r="S1019" i="11" s="1"/>
  <c r="O1020" i="11"/>
  <c r="U1020" i="11"/>
  <c r="S1020" i="11" s="1"/>
  <c r="O1021" i="11"/>
  <c r="U1021" i="11" s="1"/>
  <c r="S1021" i="11" s="1"/>
  <c r="O1022" i="11"/>
  <c r="U1022" i="11" s="1"/>
  <c r="S1022" i="11" s="1"/>
  <c r="O1023" i="11"/>
  <c r="U1023" i="11" s="1"/>
  <c r="S1023" i="11" s="1"/>
  <c r="O1024" i="11"/>
  <c r="U1024" i="11" s="1"/>
  <c r="S1024" i="11" s="1"/>
  <c r="O1025" i="11"/>
  <c r="U1025" i="11" s="1"/>
  <c r="S1025" i="11" s="1"/>
  <c r="O1026" i="11"/>
  <c r="U1026" i="11"/>
  <c r="S1026" i="11" s="1"/>
  <c r="O1027" i="11"/>
  <c r="U1027" i="11" s="1"/>
  <c r="S1027" i="11" s="1"/>
  <c r="O1028" i="11"/>
  <c r="U1028" i="11"/>
  <c r="S1028" i="11" s="1"/>
  <c r="O1029" i="11"/>
  <c r="U1029" i="11" s="1"/>
  <c r="S1029" i="11" s="1"/>
  <c r="O1030" i="11"/>
  <c r="U1030" i="11" s="1"/>
  <c r="S1030" i="11" s="1"/>
  <c r="O1031" i="11"/>
  <c r="U1031" i="11" s="1"/>
  <c r="S1031" i="11" s="1"/>
  <c r="O1032" i="11"/>
  <c r="U1032" i="11" s="1"/>
  <c r="S1032" i="11" s="1"/>
  <c r="O1033" i="11"/>
  <c r="U1033" i="11" s="1"/>
  <c r="S1033" i="11" s="1"/>
  <c r="O1034" i="11"/>
  <c r="U1034" i="11" s="1"/>
  <c r="S1034" i="11" s="1"/>
  <c r="O1035" i="11"/>
  <c r="U1035" i="11" s="1"/>
  <c r="S1035" i="11" s="1"/>
  <c r="O1036" i="11"/>
  <c r="U1036" i="11" s="1"/>
  <c r="S1036" i="11" s="1"/>
  <c r="O1037" i="11"/>
  <c r="U1037" i="11" s="1"/>
  <c r="S1037" i="11" s="1"/>
  <c r="O1038" i="11"/>
  <c r="U1038" i="11"/>
  <c r="S1038" i="11" s="1"/>
  <c r="O1039" i="11"/>
  <c r="U1039" i="11" s="1"/>
  <c r="S1039" i="11" s="1"/>
  <c r="O1040" i="11"/>
  <c r="U1040" i="11"/>
  <c r="S1040" i="11" s="1"/>
  <c r="O1041" i="11"/>
  <c r="U1041" i="11" s="1"/>
  <c r="S1041" i="11" s="1"/>
  <c r="O1042" i="11"/>
  <c r="U1042" i="11" s="1"/>
  <c r="S1042" i="11" s="1"/>
  <c r="O1043" i="11"/>
  <c r="U1043" i="11" s="1"/>
  <c r="S1043" i="11" s="1"/>
  <c r="O1044" i="11"/>
  <c r="U1044" i="11"/>
  <c r="S1044" i="11" s="1"/>
  <c r="O1045" i="11"/>
  <c r="U1045" i="11" s="1"/>
  <c r="S1045" i="11" s="1"/>
  <c r="O1046" i="11"/>
  <c r="U1046" i="11" s="1"/>
  <c r="S1046" i="11" s="1"/>
  <c r="O1047" i="11"/>
  <c r="U1047" i="11" s="1"/>
  <c r="S1047" i="11" s="1"/>
  <c r="O1048" i="11"/>
  <c r="U1048" i="11" s="1"/>
  <c r="S1048" i="11" s="1"/>
  <c r="O1049" i="11"/>
  <c r="U1049" i="11" s="1"/>
  <c r="S1049" i="11" s="1"/>
  <c r="O1050" i="11"/>
  <c r="U1050" i="11"/>
  <c r="S1050" i="11" s="1"/>
  <c r="O1051" i="11"/>
  <c r="U1051" i="11" s="1"/>
  <c r="S1051" i="11" s="1"/>
  <c r="O1052" i="11"/>
  <c r="U1052" i="11" s="1"/>
  <c r="S1052" i="11" s="1"/>
  <c r="O1053" i="11"/>
  <c r="U1053" i="11" s="1"/>
  <c r="S1053" i="11" s="1"/>
  <c r="O1054" i="11"/>
  <c r="U1054" i="11" s="1"/>
  <c r="S1054" i="11" s="1"/>
  <c r="O1055" i="11"/>
  <c r="U1055" i="11" s="1"/>
  <c r="S1055" i="11" s="1"/>
  <c r="O1056" i="11"/>
  <c r="U1056" i="11" s="1"/>
  <c r="S1056" i="11"/>
  <c r="O1057" i="11"/>
  <c r="U1057" i="11" s="1"/>
  <c r="S1057" i="11" s="1"/>
  <c r="O1058" i="11"/>
  <c r="U1058" i="11" s="1"/>
  <c r="S1058" i="11" s="1"/>
  <c r="O1059" i="11"/>
  <c r="U1059" i="11" s="1"/>
  <c r="S1059" i="11"/>
  <c r="O1060" i="11"/>
  <c r="U1060" i="11" s="1"/>
  <c r="S1060" i="11" s="1"/>
  <c r="O1061" i="11"/>
  <c r="U1061" i="11" s="1"/>
  <c r="S1061" i="11" s="1"/>
  <c r="O1062" i="11"/>
  <c r="U1062" i="11" s="1"/>
  <c r="S1062" i="11" s="1"/>
  <c r="O1063" i="11"/>
  <c r="U1063" i="11" s="1"/>
  <c r="S1063" i="11"/>
  <c r="O1064" i="11"/>
  <c r="U1064" i="11"/>
  <c r="S1064" i="11" s="1"/>
  <c r="O1065" i="11"/>
  <c r="U1065" i="11" s="1"/>
  <c r="S1065" i="11" s="1"/>
  <c r="O1066" i="11"/>
  <c r="U1066" i="11"/>
  <c r="S1066" i="11" s="1"/>
  <c r="O1067" i="11"/>
  <c r="U1067" i="11" s="1"/>
  <c r="S1067" i="11" s="1"/>
  <c r="O1068" i="11"/>
  <c r="U1068" i="11" s="1"/>
  <c r="S1068" i="11" s="1"/>
  <c r="O1069" i="11"/>
  <c r="U1069" i="11" s="1"/>
  <c r="S1069" i="11" s="1"/>
  <c r="O1070" i="11"/>
  <c r="U1070" i="11" s="1"/>
  <c r="S1070" i="11" s="1"/>
  <c r="O1071" i="11"/>
  <c r="U1071" i="11" s="1"/>
  <c r="S1071" i="11" s="1"/>
  <c r="O1072" i="11"/>
  <c r="U1072" i="11" s="1"/>
  <c r="S1072" i="11" s="1"/>
  <c r="O1073" i="11"/>
  <c r="U1073" i="11" s="1"/>
  <c r="S1073" i="11" s="1"/>
  <c r="O1074" i="11"/>
  <c r="U1074" i="11" s="1"/>
  <c r="S1074" i="11" s="1"/>
  <c r="O1075" i="11"/>
  <c r="U1075" i="11" s="1"/>
  <c r="S1075" i="11"/>
  <c r="O1076" i="11"/>
  <c r="U1076" i="11"/>
  <c r="S1076" i="11" s="1"/>
  <c r="O1077" i="11"/>
  <c r="U1077" i="11" s="1"/>
  <c r="S1077" i="11" s="1"/>
  <c r="O1078" i="11"/>
  <c r="U1078" i="11" s="1"/>
  <c r="S1078" i="11" s="1"/>
  <c r="O1079" i="11"/>
  <c r="U1079" i="11" s="1"/>
  <c r="S1079" i="11"/>
  <c r="O1080" i="11"/>
  <c r="U1080" i="11"/>
  <c r="S1080" i="11" s="1"/>
  <c r="O1081" i="11"/>
  <c r="U1081" i="11" s="1"/>
  <c r="S1081" i="11" s="1"/>
  <c r="O1082" i="11"/>
  <c r="U1082" i="11"/>
  <c r="S1082" i="11" s="1"/>
  <c r="O1083" i="11"/>
  <c r="U1083" i="11" s="1"/>
  <c r="S1083" i="11"/>
  <c r="O1084" i="11"/>
  <c r="U1084" i="11" s="1"/>
  <c r="S1084" i="11" s="1"/>
  <c r="O1085" i="11"/>
  <c r="U1085" i="11" s="1"/>
  <c r="S1085" i="11" s="1"/>
  <c r="O1086" i="11"/>
  <c r="U1086" i="11"/>
  <c r="S1086" i="11" s="1"/>
  <c r="O1087" i="11"/>
  <c r="U1087" i="11" s="1"/>
  <c r="S1087" i="11" s="1"/>
  <c r="O1088" i="11"/>
  <c r="U1088" i="11"/>
  <c r="S1088" i="11" s="1"/>
  <c r="O1089" i="11"/>
  <c r="U1089" i="11" s="1"/>
  <c r="S1089" i="11" s="1"/>
  <c r="O1090" i="11"/>
  <c r="U1090" i="11" s="1"/>
  <c r="S1090" i="11" s="1"/>
  <c r="O1091" i="11"/>
  <c r="U1091" i="11" s="1"/>
  <c r="S1091" i="11"/>
  <c r="O1092" i="11"/>
  <c r="U1092" i="11" s="1"/>
  <c r="S1092" i="11" s="1"/>
  <c r="O1093" i="11"/>
  <c r="U1093" i="11" s="1"/>
  <c r="S1093" i="11" s="1"/>
  <c r="O1094" i="11"/>
  <c r="U1094" i="11"/>
  <c r="S1094" i="11"/>
  <c r="O1095" i="11"/>
  <c r="U1095" i="11" s="1"/>
  <c r="S1095" i="11" s="1"/>
  <c r="O1096" i="11"/>
  <c r="U1096" i="11" s="1"/>
  <c r="S1096" i="11" s="1"/>
  <c r="O1097" i="11"/>
  <c r="U1097" i="11" s="1"/>
  <c r="S1097" i="11" s="1"/>
  <c r="O1098" i="11"/>
  <c r="U1098" i="11" s="1"/>
  <c r="S1098" i="11"/>
  <c r="O1099" i="11"/>
  <c r="U1099" i="11" s="1"/>
  <c r="S1099" i="11" s="1"/>
  <c r="O1100" i="11"/>
  <c r="U1100" i="11" s="1"/>
  <c r="S1100" i="11" s="1"/>
  <c r="O1101" i="11"/>
  <c r="U1101" i="11" s="1"/>
  <c r="S1101" i="11" s="1"/>
  <c r="O1102" i="11"/>
  <c r="U1102" i="11" s="1"/>
  <c r="S1102" i="11" s="1"/>
  <c r="O1103" i="11"/>
  <c r="U1103" i="11" s="1"/>
  <c r="S1103" i="11" s="1"/>
  <c r="O1104" i="11"/>
  <c r="U1104" i="11" s="1"/>
  <c r="S1104" i="11" s="1"/>
  <c r="O1105" i="11"/>
  <c r="U1105" i="11" s="1"/>
  <c r="S1105" i="11" s="1"/>
  <c r="O1106" i="11"/>
  <c r="U1106" i="11" s="1"/>
  <c r="S1106" i="11" s="1"/>
  <c r="O1107" i="11"/>
  <c r="U1107" i="11" s="1"/>
  <c r="S1107" i="11" s="1"/>
  <c r="O1108" i="11"/>
  <c r="U1108" i="11" s="1"/>
  <c r="S1108" i="11" s="1"/>
  <c r="O1109" i="11"/>
  <c r="U1109" i="11" s="1"/>
  <c r="S1109" i="11" s="1"/>
  <c r="O1110" i="11"/>
  <c r="U1110" i="11" s="1"/>
  <c r="S1110" i="11" s="1"/>
  <c r="O1111" i="11"/>
  <c r="U1111" i="11" s="1"/>
  <c r="S1111" i="11" s="1"/>
  <c r="O1112" i="11"/>
  <c r="U1112" i="11"/>
  <c r="S1112" i="11" s="1"/>
  <c r="O1113" i="11"/>
  <c r="U1113" i="11" s="1"/>
  <c r="S1113" i="11" s="1"/>
  <c r="O1114" i="11"/>
  <c r="U1114" i="11" s="1"/>
  <c r="S1114" i="11" s="1"/>
  <c r="O1115" i="11"/>
  <c r="U1115" i="11" s="1"/>
  <c r="S1115" i="11" s="1"/>
  <c r="O1116" i="11"/>
  <c r="U1116" i="11" s="1"/>
  <c r="S1116" i="11" s="1"/>
  <c r="O1117" i="11"/>
  <c r="U1117" i="11" s="1"/>
  <c r="S1117" i="11" s="1"/>
  <c r="O1118" i="11"/>
  <c r="U1118" i="11" s="1"/>
  <c r="S1118" i="11" s="1"/>
  <c r="O1119" i="11"/>
  <c r="U1119" i="11" s="1"/>
  <c r="S1119" i="11" s="1"/>
  <c r="O1120" i="11"/>
  <c r="U1120" i="11" s="1"/>
  <c r="S1120" i="11" s="1"/>
  <c r="O1121" i="11"/>
  <c r="U1121" i="11" s="1"/>
  <c r="S1121" i="11" s="1"/>
  <c r="O1122" i="11"/>
  <c r="U1122" i="11" s="1"/>
  <c r="S1122" i="11" s="1"/>
  <c r="O1123" i="11"/>
  <c r="U1123" i="11" s="1"/>
  <c r="S1123" i="11" s="1"/>
  <c r="O1124" i="11"/>
  <c r="U1124" i="11"/>
  <c r="S1124" i="11" s="1"/>
  <c r="O1125" i="11"/>
  <c r="U1125" i="11" s="1"/>
  <c r="S1125" i="11" s="1"/>
  <c r="O1126" i="11"/>
  <c r="U1126" i="11" s="1"/>
  <c r="S1126" i="11" s="1"/>
  <c r="O1127" i="11"/>
  <c r="U1127" i="11" s="1"/>
  <c r="S1127" i="11" s="1"/>
  <c r="O1128" i="11"/>
  <c r="U1128" i="11"/>
  <c r="S1128" i="11" s="1"/>
  <c r="O1129" i="11"/>
  <c r="U1129" i="11" s="1"/>
  <c r="S1129" i="11" s="1"/>
  <c r="O1130" i="11"/>
  <c r="U1130" i="11" s="1"/>
  <c r="S1130" i="11" s="1"/>
  <c r="O1131" i="11"/>
  <c r="U1131" i="11" s="1"/>
  <c r="S1131" i="11" s="1"/>
  <c r="O1132" i="11"/>
  <c r="U1132" i="11" s="1"/>
  <c r="S1132" i="11" s="1"/>
  <c r="O1133" i="11"/>
  <c r="U1133" i="11" s="1"/>
  <c r="S1133" i="11" s="1"/>
  <c r="O1134" i="11"/>
  <c r="U1134" i="11" s="1"/>
  <c r="S1134" i="11" s="1"/>
  <c r="O1135" i="11"/>
  <c r="U1135" i="11" s="1"/>
  <c r="S1135" i="11" s="1"/>
  <c r="O1136" i="11"/>
  <c r="U1136" i="11" s="1"/>
  <c r="S1136" i="11" s="1"/>
  <c r="O1137" i="11"/>
  <c r="U1137" i="11" s="1"/>
  <c r="S1137" i="11" s="1"/>
  <c r="O1138" i="11"/>
  <c r="U1138" i="11" s="1"/>
  <c r="S1138" i="11" s="1"/>
  <c r="O1139" i="11"/>
  <c r="U1139" i="11" s="1"/>
  <c r="S1139" i="11" s="1"/>
  <c r="O1140" i="11"/>
  <c r="U1140" i="11" s="1"/>
  <c r="S1140" i="11" s="1"/>
  <c r="O1141" i="11"/>
  <c r="U1141" i="11" s="1"/>
  <c r="S1141" i="11" s="1"/>
  <c r="O1142" i="11"/>
  <c r="U1142" i="11" s="1"/>
  <c r="S1142" i="11" s="1"/>
  <c r="O1143" i="11"/>
  <c r="U1143" i="11" s="1"/>
  <c r="S1143" i="11" s="1"/>
  <c r="O1144" i="11"/>
  <c r="U1144" i="11"/>
  <c r="S1144" i="11" s="1"/>
  <c r="O1145" i="11"/>
  <c r="U1145" i="11" s="1"/>
  <c r="S1145" i="11" s="1"/>
  <c r="O1146" i="11"/>
  <c r="U1146" i="11" s="1"/>
  <c r="S1146" i="11" s="1"/>
  <c r="O1147" i="11"/>
  <c r="U1147" i="11" s="1"/>
  <c r="S1147" i="11" s="1"/>
  <c r="O1148" i="11"/>
  <c r="U1148" i="11" s="1"/>
  <c r="S1148" i="11" s="1"/>
  <c r="O1149" i="11"/>
  <c r="U1149" i="11" s="1"/>
  <c r="S1149" i="11" s="1"/>
  <c r="O1150" i="11"/>
  <c r="U1150" i="11" s="1"/>
  <c r="S1150" i="11" s="1"/>
  <c r="O1151" i="11"/>
  <c r="U1151" i="11" s="1"/>
  <c r="S1151" i="11" s="1"/>
  <c r="O1152" i="11"/>
  <c r="U1152" i="11"/>
  <c r="S1152" i="11" s="1"/>
  <c r="O1153" i="11"/>
  <c r="U1153" i="11" s="1"/>
  <c r="S1153" i="11" s="1"/>
  <c r="O1154" i="11"/>
  <c r="U1154" i="11" s="1"/>
  <c r="S1154" i="11" s="1"/>
  <c r="O1155" i="11"/>
  <c r="U1155" i="11" s="1"/>
  <c r="S1155" i="11" s="1"/>
  <c r="O1156" i="11"/>
  <c r="U1156" i="11" s="1"/>
  <c r="S1156" i="11" s="1"/>
  <c r="O1157" i="11"/>
  <c r="U1157" i="11" s="1"/>
  <c r="S1157" i="11" s="1"/>
  <c r="O1158" i="11"/>
  <c r="U1158" i="11" s="1"/>
  <c r="S1158" i="11" s="1"/>
  <c r="O1159" i="11"/>
  <c r="U1159" i="11" s="1"/>
  <c r="S1159" i="11" s="1"/>
  <c r="O1160" i="11"/>
  <c r="U1160" i="11"/>
  <c r="S1160" i="11" s="1"/>
  <c r="O1161" i="11"/>
  <c r="U1161" i="11" s="1"/>
  <c r="S1161" i="11" s="1"/>
  <c r="O1162" i="11"/>
  <c r="U1162" i="11" s="1"/>
  <c r="S1162" i="11" s="1"/>
  <c r="O1163" i="11"/>
  <c r="U1163" i="11" s="1"/>
  <c r="S1163" i="11" s="1"/>
  <c r="O1164" i="11"/>
  <c r="U1164" i="11" s="1"/>
  <c r="S1164" i="11" s="1"/>
  <c r="O1165" i="11"/>
  <c r="U1165" i="11" s="1"/>
  <c r="S1165" i="11" s="1"/>
  <c r="O1166" i="11"/>
  <c r="U1166" i="11" s="1"/>
  <c r="S1166" i="11" s="1"/>
  <c r="O1167" i="11"/>
  <c r="U1167" i="11" s="1"/>
  <c r="S1167" i="11" s="1"/>
  <c r="O1168" i="11"/>
  <c r="U1168" i="11" s="1"/>
  <c r="S1168" i="11" s="1"/>
  <c r="O1169" i="11"/>
  <c r="U1169" i="11" s="1"/>
  <c r="S1169" i="11" s="1"/>
  <c r="O1170" i="11"/>
  <c r="U1170" i="11" s="1"/>
  <c r="S1170" i="11" s="1"/>
  <c r="O1171" i="11"/>
  <c r="U1171" i="11" s="1"/>
  <c r="S1171" i="11" s="1"/>
  <c r="O1172" i="11"/>
  <c r="U1172" i="11" s="1"/>
  <c r="S1172" i="11" s="1"/>
  <c r="O1173" i="11"/>
  <c r="U1173" i="11" s="1"/>
  <c r="S1173" i="11" s="1"/>
  <c r="O1174" i="11"/>
  <c r="U1174" i="11" s="1"/>
  <c r="S1174" i="11" s="1"/>
  <c r="O1175" i="11"/>
  <c r="U1175" i="11" s="1"/>
  <c r="S1175" i="11" s="1"/>
  <c r="O1176" i="11"/>
  <c r="U1176" i="11" s="1"/>
  <c r="S1176" i="11" s="1"/>
  <c r="O1177" i="11"/>
  <c r="U1177" i="11" s="1"/>
  <c r="S1177" i="11" s="1"/>
  <c r="O1178" i="11"/>
  <c r="U1178" i="11" s="1"/>
  <c r="S1178" i="11"/>
  <c r="O1179" i="11"/>
  <c r="U1179" i="11" s="1"/>
  <c r="S1179" i="11" s="1"/>
  <c r="O1180" i="11"/>
  <c r="U1180" i="11" s="1"/>
  <c r="S1180" i="11" s="1"/>
  <c r="O1181" i="11"/>
  <c r="U1181" i="11" s="1"/>
  <c r="S1181" i="11" s="1"/>
  <c r="O1182" i="11"/>
  <c r="U1182" i="11" s="1"/>
  <c r="S1182" i="11"/>
  <c r="O1183" i="11"/>
  <c r="U1183" i="11" s="1"/>
  <c r="S1183" i="11" s="1"/>
  <c r="O1184" i="11"/>
  <c r="U1184" i="11" s="1"/>
  <c r="S1184" i="11" s="1"/>
  <c r="O1185" i="11"/>
  <c r="U1185" i="11" s="1"/>
  <c r="S1185" i="11" s="1"/>
  <c r="O1186" i="11"/>
  <c r="U1186" i="11" s="1"/>
  <c r="S1186" i="11" s="1"/>
  <c r="O1187" i="11"/>
  <c r="U1187" i="11" s="1"/>
  <c r="S1187" i="11" s="1"/>
  <c r="O1188" i="11"/>
  <c r="U1188" i="11" s="1"/>
  <c r="S1188" i="11" s="1"/>
  <c r="O1189" i="11"/>
  <c r="U1189" i="11" s="1"/>
  <c r="S1189" i="11" s="1"/>
  <c r="O1190" i="11"/>
  <c r="U1190" i="11" s="1"/>
  <c r="S1190" i="11" s="1"/>
  <c r="O1191" i="11"/>
  <c r="U1191" i="11" s="1"/>
  <c r="S1191" i="11" s="1"/>
  <c r="O1192" i="11"/>
  <c r="U1192" i="11"/>
  <c r="S1192" i="11" s="1"/>
  <c r="O1193" i="11"/>
  <c r="U1193" i="11" s="1"/>
  <c r="S1193" i="11" s="1"/>
  <c r="O1194" i="11"/>
  <c r="U1194" i="11" s="1"/>
  <c r="S1194" i="11" s="1"/>
  <c r="O1195" i="11"/>
  <c r="U1195" i="11" s="1"/>
  <c r="S1195" i="11" s="1"/>
  <c r="O1196" i="11"/>
  <c r="U1196" i="11" s="1"/>
  <c r="S1196" i="11" s="1"/>
  <c r="O1197" i="11"/>
  <c r="U1197" i="11" s="1"/>
  <c r="S1197" i="11" s="1"/>
  <c r="O1198" i="11"/>
  <c r="U1198" i="11" s="1"/>
  <c r="S1198" i="11" s="1"/>
  <c r="O1199" i="11"/>
  <c r="U1199" i="11" s="1"/>
  <c r="S1199" i="11" s="1"/>
  <c r="O1200" i="11"/>
  <c r="U1200" i="11" s="1"/>
  <c r="S1200" i="11" s="1"/>
  <c r="O1201" i="11"/>
  <c r="U1201" i="11" s="1"/>
  <c r="S1201" i="11" s="1"/>
  <c r="O1202" i="11"/>
  <c r="U1202" i="11" s="1"/>
  <c r="S1202" i="11" s="1"/>
  <c r="O1203" i="11"/>
  <c r="U1203" i="11" s="1"/>
  <c r="S1203" i="11" s="1"/>
  <c r="O1204" i="11"/>
  <c r="U1204" i="11" s="1"/>
  <c r="S1204" i="11" s="1"/>
  <c r="O1205" i="11"/>
  <c r="U1205" i="11" s="1"/>
  <c r="S1205" i="11" s="1"/>
  <c r="O1206" i="11"/>
  <c r="U1206" i="11" s="1"/>
  <c r="S1206" i="11" s="1"/>
  <c r="O1207" i="11"/>
  <c r="U1207" i="11" s="1"/>
  <c r="S1207" i="11" s="1"/>
  <c r="O1208" i="11"/>
  <c r="U1208" i="11" s="1"/>
  <c r="S1208" i="11" s="1"/>
  <c r="O1209" i="11"/>
  <c r="U1209" i="11" s="1"/>
  <c r="S1209" i="11" s="1"/>
  <c r="O1210" i="11"/>
  <c r="U1210" i="11" s="1"/>
  <c r="S1210" i="11" s="1"/>
  <c r="O1211" i="11"/>
  <c r="U1211" i="11" s="1"/>
  <c r="S1211" i="11" s="1"/>
  <c r="O1212" i="11"/>
  <c r="U1212" i="11" s="1"/>
  <c r="S1212" i="11" s="1"/>
  <c r="O1213" i="11"/>
  <c r="U1213" i="11" s="1"/>
  <c r="S1213" i="11" s="1"/>
  <c r="O1214" i="11"/>
  <c r="U1214" i="11" s="1"/>
  <c r="S1214" i="11" s="1"/>
  <c r="O1215" i="11"/>
  <c r="U1215" i="11" s="1"/>
  <c r="S1215" i="11" s="1"/>
  <c r="O1216" i="11"/>
  <c r="U1216" i="11" s="1"/>
  <c r="S1216" i="11" s="1"/>
  <c r="O1217" i="11"/>
  <c r="U1217" i="11" s="1"/>
  <c r="S1217" i="11" s="1"/>
  <c r="O1218" i="11"/>
  <c r="U1218" i="11" s="1"/>
  <c r="S1218" i="11" s="1"/>
  <c r="O1219" i="11"/>
  <c r="U1219" i="11" s="1"/>
  <c r="S1219" i="11" s="1"/>
  <c r="O1220" i="11"/>
  <c r="U1220" i="11" s="1"/>
  <c r="S1220" i="11" s="1"/>
  <c r="O1221" i="11"/>
  <c r="U1221" i="11" s="1"/>
  <c r="S1221" i="11" s="1"/>
  <c r="O1222" i="11"/>
  <c r="U1222" i="11" s="1"/>
  <c r="S1222" i="11" s="1"/>
  <c r="O1223" i="11"/>
  <c r="U1223" i="11" s="1"/>
  <c r="S1223" i="11" s="1"/>
  <c r="O1224" i="11"/>
  <c r="U1224" i="11" s="1"/>
  <c r="S1224" i="11" s="1"/>
  <c r="O1225" i="11"/>
  <c r="U1225" i="11" s="1"/>
  <c r="S1225" i="11" s="1"/>
  <c r="O1226" i="11"/>
  <c r="U1226" i="11" s="1"/>
  <c r="S1226" i="11" s="1"/>
  <c r="O1227" i="11"/>
  <c r="U1227" i="11" s="1"/>
  <c r="S1227" i="11" s="1"/>
  <c r="O1228" i="11"/>
  <c r="U1228" i="11"/>
  <c r="S1228" i="11" s="1"/>
  <c r="O1229" i="11"/>
  <c r="U1229" i="11" s="1"/>
  <c r="S1229" i="11" s="1"/>
  <c r="O1230" i="11"/>
  <c r="U1230" i="11" s="1"/>
  <c r="S1230" i="11" s="1"/>
  <c r="O1231" i="11"/>
  <c r="U1231" i="11" s="1"/>
  <c r="S1231" i="11" s="1"/>
  <c r="O1232" i="11"/>
  <c r="U1232" i="11" s="1"/>
  <c r="S1232" i="11" s="1"/>
  <c r="O1233" i="11"/>
  <c r="U1233" i="11" s="1"/>
  <c r="S1233" i="11" s="1"/>
  <c r="O1234" i="11"/>
  <c r="U1234" i="11" s="1"/>
  <c r="S1234" i="11" s="1"/>
  <c r="O1235" i="11"/>
  <c r="U1235" i="11" s="1"/>
  <c r="S1235" i="11" s="1"/>
  <c r="O1236" i="11"/>
  <c r="U1236" i="11" s="1"/>
  <c r="S1236" i="11" s="1"/>
  <c r="O1237" i="11"/>
  <c r="U1237" i="11" s="1"/>
  <c r="S1237" i="11" s="1"/>
  <c r="O1238" i="11"/>
  <c r="U1238" i="11" s="1"/>
  <c r="S1238" i="11" s="1"/>
  <c r="O1239" i="11"/>
  <c r="U1239" i="11" s="1"/>
  <c r="S1239" i="11" s="1"/>
  <c r="O1240" i="11"/>
  <c r="U1240" i="11" s="1"/>
  <c r="S1240" i="11" s="1"/>
  <c r="O1241" i="11"/>
  <c r="U1241" i="11" s="1"/>
  <c r="S1241" i="11"/>
  <c r="O1242" i="11"/>
  <c r="U1242" i="11" s="1"/>
  <c r="S1242" i="11" s="1"/>
  <c r="O1243" i="11"/>
  <c r="U1243" i="11" s="1"/>
  <c r="S1243" i="11" s="1"/>
  <c r="O1244" i="11"/>
  <c r="U1244" i="11" s="1"/>
  <c r="S1244" i="11" s="1"/>
  <c r="O1245" i="11"/>
  <c r="U1245" i="11"/>
  <c r="S1245" i="11" s="1"/>
  <c r="O1246" i="11"/>
  <c r="U1246" i="11" s="1"/>
  <c r="S1246" i="11" s="1"/>
  <c r="O1247" i="11"/>
  <c r="U1247" i="11" s="1"/>
  <c r="S1247" i="11" s="1"/>
  <c r="O1248" i="11"/>
  <c r="U1248" i="11" s="1"/>
  <c r="S1248" i="11" s="1"/>
  <c r="O1249" i="11"/>
  <c r="U1249" i="11"/>
  <c r="S1249" i="11" s="1"/>
  <c r="O1250" i="11"/>
  <c r="U1250" i="11" s="1"/>
  <c r="S1250" i="11" s="1"/>
  <c r="O1251" i="11"/>
  <c r="U1251" i="11" s="1"/>
  <c r="S1251" i="11" s="1"/>
  <c r="O1252" i="11"/>
  <c r="U1252" i="11" s="1"/>
  <c r="S1252" i="11" s="1"/>
  <c r="O1253" i="11"/>
  <c r="U1253" i="11"/>
  <c r="S1253" i="11" s="1"/>
  <c r="O1254" i="11"/>
  <c r="U1254" i="11" s="1"/>
  <c r="S1254" i="11" s="1"/>
  <c r="O1255" i="11"/>
  <c r="U1255" i="11" s="1"/>
  <c r="S1255" i="11" s="1"/>
  <c r="O1256" i="11"/>
  <c r="U1256" i="11" s="1"/>
  <c r="S1256" i="11" s="1"/>
  <c r="O1257" i="11"/>
  <c r="U1257" i="11" s="1"/>
  <c r="S1257" i="11" s="1"/>
  <c r="O1258" i="11"/>
  <c r="U1258" i="11"/>
  <c r="S1258" i="11" s="1"/>
  <c r="O1259" i="11"/>
  <c r="U1259" i="11"/>
  <c r="S1259" i="11" s="1"/>
  <c r="O1260" i="11"/>
  <c r="U1260" i="11" s="1"/>
  <c r="S1260" i="11" s="1"/>
  <c r="O1261" i="11"/>
  <c r="U1261" i="11" s="1"/>
  <c r="S1261" i="11" s="1"/>
  <c r="O1262" i="11"/>
  <c r="U1262" i="11" s="1"/>
  <c r="S1262" i="11" s="1"/>
  <c r="O1263" i="11"/>
  <c r="U1263" i="11"/>
  <c r="S1263" i="11" s="1"/>
  <c r="O1264" i="11"/>
  <c r="U1264" i="11" s="1"/>
  <c r="S1264" i="11" s="1"/>
  <c r="O1265" i="11"/>
  <c r="U1265" i="11"/>
  <c r="S1265" i="11" s="1"/>
  <c r="O1266" i="11"/>
  <c r="U1266" i="11" s="1"/>
  <c r="S1266" i="11" s="1"/>
  <c r="O1267" i="11"/>
  <c r="U1267" i="11" s="1"/>
  <c r="S1267" i="11" s="1"/>
  <c r="O1268" i="11"/>
  <c r="U1268" i="11" s="1"/>
  <c r="S1268" i="11" s="1"/>
  <c r="O1269" i="11"/>
  <c r="U1269" i="11" s="1"/>
  <c r="S1269" i="11" s="1"/>
  <c r="O1270" i="11"/>
  <c r="U1270" i="11" s="1"/>
  <c r="S1270" i="11" s="1"/>
  <c r="O1271" i="11"/>
  <c r="U1271" i="11" s="1"/>
  <c r="S1271" i="11" s="1"/>
  <c r="O1272" i="11"/>
  <c r="U1272" i="11" s="1"/>
  <c r="S1272" i="11" s="1"/>
  <c r="O1273" i="11"/>
  <c r="U1273" i="11"/>
  <c r="S1273" i="11" s="1"/>
  <c r="O1274" i="11"/>
  <c r="U1274" i="11" s="1"/>
  <c r="S1274" i="11" s="1"/>
  <c r="O1275" i="11"/>
  <c r="U1275" i="11"/>
  <c r="S1275" i="11" s="1"/>
  <c r="O1276" i="11"/>
  <c r="U1276" i="11" s="1"/>
  <c r="S1276" i="11" s="1"/>
  <c r="O1277" i="11"/>
  <c r="U1277" i="11"/>
  <c r="S1277" i="11" s="1"/>
  <c r="O1278" i="11"/>
  <c r="U1278" i="11" s="1"/>
  <c r="S1278" i="11" s="1"/>
  <c r="O1279" i="11"/>
  <c r="U1279" i="11" s="1"/>
  <c r="S1279" i="11" s="1"/>
  <c r="O1280" i="11"/>
  <c r="U1280" i="11" s="1"/>
  <c r="S1280" i="11" s="1"/>
  <c r="O1281" i="11"/>
  <c r="U1281" i="11"/>
  <c r="S1281" i="11" s="1"/>
  <c r="O1282" i="11"/>
  <c r="U1282" i="11" s="1"/>
  <c r="S1282" i="11" s="1"/>
  <c r="O1283" i="11"/>
  <c r="U1283" i="11" s="1"/>
  <c r="S1283" i="11" s="1"/>
  <c r="O1284" i="11"/>
  <c r="U1284" i="11" s="1"/>
  <c r="S1284" i="11" s="1"/>
  <c r="O1285" i="11"/>
  <c r="U1285" i="11" s="1"/>
  <c r="S1285" i="11" s="1"/>
  <c r="O1286" i="11"/>
  <c r="U1286" i="11" s="1"/>
  <c r="S1286" i="11" s="1"/>
  <c r="O1287" i="11"/>
  <c r="U1287" i="11"/>
  <c r="S1287" i="11" s="1"/>
  <c r="O1288" i="11"/>
  <c r="U1288" i="11" s="1"/>
  <c r="S1288" i="11" s="1"/>
  <c r="O1289" i="11"/>
  <c r="U1289" i="11"/>
  <c r="S1289" i="11" s="1"/>
  <c r="O1290" i="11"/>
  <c r="U1290" i="11"/>
  <c r="S1290" i="11" s="1"/>
  <c r="O1291" i="11"/>
  <c r="U1291" i="11" s="1"/>
  <c r="S1291" i="11" s="1"/>
  <c r="O1292" i="11"/>
  <c r="U1292" i="11" s="1"/>
  <c r="S1292" i="11" s="1"/>
  <c r="O1293" i="11"/>
  <c r="U1293" i="11" s="1"/>
  <c r="S1293" i="11" s="1"/>
  <c r="O1294" i="11"/>
  <c r="U1294" i="11"/>
  <c r="S1294" i="11" s="1"/>
  <c r="O1295" i="11"/>
  <c r="U1295" i="11"/>
  <c r="S1295" i="11" s="1"/>
  <c r="O1296" i="11"/>
  <c r="U1296" i="11" s="1"/>
  <c r="S1296" i="11" s="1"/>
  <c r="O1297" i="11"/>
  <c r="U1297" i="11"/>
  <c r="S1297" i="11" s="1"/>
  <c r="O1298" i="11"/>
  <c r="U1298" i="11" s="1"/>
  <c r="S1298" i="11" s="1"/>
  <c r="O1299" i="11"/>
  <c r="U1299" i="11" s="1"/>
  <c r="S1299" i="11" s="1"/>
  <c r="O1300" i="11"/>
  <c r="U1300" i="11" s="1"/>
  <c r="S1300" i="11" s="1"/>
  <c r="O1301" i="11"/>
  <c r="U1301" i="11" s="1"/>
  <c r="S1301" i="11" s="1"/>
  <c r="O1302" i="11"/>
  <c r="U1302" i="11" s="1"/>
  <c r="S1302" i="11" s="1"/>
  <c r="O1303" i="11"/>
  <c r="U1303" i="11"/>
  <c r="S1303" i="11" s="1"/>
  <c r="O1304" i="11"/>
  <c r="U1304" i="11" s="1"/>
  <c r="S1304" i="11" s="1"/>
  <c r="O1305" i="11"/>
  <c r="U1305" i="11" s="1"/>
  <c r="S1305" i="11" s="1"/>
  <c r="O1306" i="11"/>
  <c r="U1306" i="11" s="1"/>
  <c r="S1306" i="11" s="1"/>
  <c r="O1307" i="11"/>
  <c r="U1307" i="11" s="1"/>
  <c r="S1307" i="11" s="1"/>
  <c r="O1308" i="11"/>
  <c r="U1308" i="11" s="1"/>
  <c r="S1308" i="11" s="1"/>
  <c r="O1309" i="11"/>
  <c r="U1309" i="11" s="1"/>
  <c r="S1309" i="11" s="1"/>
  <c r="O1310" i="11"/>
  <c r="U1310" i="11" s="1"/>
  <c r="S1310" i="11" s="1"/>
  <c r="O1311" i="11"/>
  <c r="U1311" i="11" s="1"/>
  <c r="S1311" i="11" s="1"/>
  <c r="O1312" i="11"/>
  <c r="U1312" i="11" s="1"/>
  <c r="S1312" i="11" s="1"/>
  <c r="O1313" i="11"/>
  <c r="U1313" i="11" s="1"/>
  <c r="S1313" i="11" s="1"/>
  <c r="O1314" i="11"/>
  <c r="U1314" i="11" s="1"/>
  <c r="S1314" i="11" s="1"/>
  <c r="O1315" i="11"/>
  <c r="U1315" i="11" s="1"/>
  <c r="S1315" i="11" s="1"/>
  <c r="O1316" i="11"/>
  <c r="U1316" i="11" s="1"/>
  <c r="S1316" i="11" s="1"/>
  <c r="O1317" i="11"/>
  <c r="U1317" i="11" s="1"/>
  <c r="S1317" i="11" s="1"/>
  <c r="O1318" i="11"/>
  <c r="U1318" i="11" s="1"/>
  <c r="S1318" i="11" s="1"/>
  <c r="O1319" i="11"/>
  <c r="U1319" i="11" s="1"/>
  <c r="S1319" i="11" s="1"/>
  <c r="O1320" i="11"/>
  <c r="U1320" i="11" s="1"/>
  <c r="S1320" i="11" s="1"/>
  <c r="O1321" i="11"/>
  <c r="U1321" i="11" s="1"/>
  <c r="S1321" i="11" s="1"/>
  <c r="O1322" i="11"/>
  <c r="U1322" i="11" s="1"/>
  <c r="S1322" i="11" s="1"/>
  <c r="O1323" i="11"/>
  <c r="U1323" i="11" s="1"/>
  <c r="S1323" i="11" s="1"/>
  <c r="O1324" i="11"/>
  <c r="U1324" i="11" s="1"/>
  <c r="S1324" i="11" s="1"/>
  <c r="O1325" i="11"/>
  <c r="U1325" i="11" s="1"/>
  <c r="S1325" i="11" s="1"/>
  <c r="O1326" i="11"/>
  <c r="U1326" i="11" s="1"/>
  <c r="S1326" i="11" s="1"/>
  <c r="O1327" i="11"/>
  <c r="U1327" i="11" s="1"/>
  <c r="S1327" i="11" s="1"/>
  <c r="O1328" i="11"/>
  <c r="U1328" i="11" s="1"/>
  <c r="S1328" i="11" s="1"/>
  <c r="O1329" i="11"/>
  <c r="U1329" i="11" s="1"/>
  <c r="S1329" i="11" s="1"/>
  <c r="O1330" i="11"/>
  <c r="U1330" i="11" s="1"/>
  <c r="S1330" i="11" s="1"/>
  <c r="O1331" i="11"/>
  <c r="U1331" i="11" s="1"/>
  <c r="S1331" i="11" s="1"/>
  <c r="O1332" i="11"/>
  <c r="U1332" i="11" s="1"/>
  <c r="S1332" i="11" s="1"/>
  <c r="O1333" i="11"/>
  <c r="U1333" i="11" s="1"/>
  <c r="S1333" i="11" s="1"/>
  <c r="O1334" i="11"/>
  <c r="U1334" i="11" s="1"/>
  <c r="S1334" i="11" s="1"/>
  <c r="O1335" i="11"/>
  <c r="U1335" i="11" s="1"/>
  <c r="S1335" i="11" s="1"/>
  <c r="O1336" i="11"/>
  <c r="U1336" i="11" s="1"/>
  <c r="S1336" i="11" s="1"/>
  <c r="O1337" i="11"/>
  <c r="U1337" i="11" s="1"/>
  <c r="S1337" i="11" s="1"/>
  <c r="O1338" i="11"/>
  <c r="U1338" i="11" s="1"/>
  <c r="S1338" i="11" s="1"/>
  <c r="O1339" i="11"/>
  <c r="U1339" i="11" s="1"/>
  <c r="S1339" i="11" s="1"/>
  <c r="O1340" i="11"/>
  <c r="U1340" i="11" s="1"/>
  <c r="S1340" i="11" s="1"/>
  <c r="O1341" i="11"/>
  <c r="U1341" i="11" s="1"/>
  <c r="S1341" i="11" s="1"/>
  <c r="O1342" i="11"/>
  <c r="U1342" i="11" s="1"/>
  <c r="S1342" i="11" s="1"/>
  <c r="O1343" i="11"/>
  <c r="U1343" i="11" s="1"/>
  <c r="S1343" i="11" s="1"/>
  <c r="O1344" i="11"/>
  <c r="U1344" i="11" s="1"/>
  <c r="S1344" i="11" s="1"/>
  <c r="O1345" i="11"/>
  <c r="U1345" i="11" s="1"/>
  <c r="S1345" i="11" s="1"/>
  <c r="O1346" i="11"/>
  <c r="U1346" i="11" s="1"/>
  <c r="S1346" i="11" s="1"/>
  <c r="O1347" i="11"/>
  <c r="U1347" i="11" s="1"/>
  <c r="S1347" i="11" s="1"/>
  <c r="O1348" i="11"/>
  <c r="U1348" i="11" s="1"/>
  <c r="S1348" i="11" s="1"/>
  <c r="O1349" i="11"/>
  <c r="U1349" i="11" s="1"/>
  <c r="S1349" i="11" s="1"/>
  <c r="O1350" i="11"/>
  <c r="U1350" i="11" s="1"/>
  <c r="S1350" i="11" s="1"/>
  <c r="O1351" i="11"/>
  <c r="U1351" i="11" s="1"/>
  <c r="S1351" i="11" s="1"/>
  <c r="O1352" i="11"/>
  <c r="U1352" i="11" s="1"/>
  <c r="S1352" i="11" s="1"/>
  <c r="O1353" i="11"/>
  <c r="U1353" i="11" s="1"/>
  <c r="S1353" i="11" s="1"/>
  <c r="O1354" i="11"/>
  <c r="U1354" i="11" s="1"/>
  <c r="S1354" i="11" s="1"/>
  <c r="O1355" i="11"/>
  <c r="U1355" i="11" s="1"/>
  <c r="S1355" i="11" s="1"/>
  <c r="O1356" i="11"/>
  <c r="U1356" i="11" s="1"/>
  <c r="S1356" i="11" s="1"/>
  <c r="O1357" i="11"/>
  <c r="U1357" i="11" s="1"/>
  <c r="S1357" i="11" s="1"/>
  <c r="O1358" i="11"/>
  <c r="U1358" i="11" s="1"/>
  <c r="S1358" i="11" s="1"/>
  <c r="O1359" i="11"/>
  <c r="U1359" i="11" s="1"/>
  <c r="S1359" i="11" s="1"/>
  <c r="O1360" i="11"/>
  <c r="U1360" i="11" s="1"/>
  <c r="S1360" i="11" s="1"/>
  <c r="O1361" i="11"/>
  <c r="U1361" i="11" s="1"/>
  <c r="S1361" i="11" s="1"/>
  <c r="O1362" i="11"/>
  <c r="U1362" i="11" s="1"/>
  <c r="S1362" i="11" s="1"/>
  <c r="O1363" i="11"/>
  <c r="U1363" i="11" s="1"/>
  <c r="S1363" i="11" s="1"/>
  <c r="O1364" i="11"/>
  <c r="U1364" i="11" s="1"/>
  <c r="S1364" i="11" s="1"/>
  <c r="O1365" i="11"/>
  <c r="U1365" i="11" s="1"/>
  <c r="S1365" i="11" s="1"/>
  <c r="O1366" i="11"/>
  <c r="U1366" i="11" s="1"/>
  <c r="S1366" i="11" s="1"/>
  <c r="O1367" i="11"/>
  <c r="U1367" i="11" s="1"/>
  <c r="S1367" i="11" s="1"/>
  <c r="O1368" i="11"/>
  <c r="U1368" i="11" s="1"/>
  <c r="S1368" i="11" s="1"/>
  <c r="O1369" i="11"/>
  <c r="U1369" i="11" s="1"/>
  <c r="S1369" i="11" s="1"/>
  <c r="O1370" i="11"/>
  <c r="U1370" i="11" s="1"/>
  <c r="S1370" i="11" s="1"/>
  <c r="O1371" i="11"/>
  <c r="U1371" i="11" s="1"/>
  <c r="S1371" i="11" s="1"/>
  <c r="O1372" i="11"/>
  <c r="U1372" i="11" s="1"/>
  <c r="S1372" i="11" s="1"/>
  <c r="O1373" i="11"/>
  <c r="U1373" i="11" s="1"/>
  <c r="S1373" i="11" s="1"/>
  <c r="O1374" i="11"/>
  <c r="U1374" i="11" s="1"/>
  <c r="S1374" i="11" s="1"/>
  <c r="O1375" i="11"/>
  <c r="U1375" i="11" s="1"/>
  <c r="S1375" i="11" s="1"/>
  <c r="O1376" i="11"/>
  <c r="U1376" i="11" s="1"/>
  <c r="S1376" i="11" s="1"/>
  <c r="O1377" i="11"/>
  <c r="U1377" i="11" s="1"/>
  <c r="S1377" i="11" s="1"/>
  <c r="O1378" i="11"/>
  <c r="U1378" i="11" s="1"/>
  <c r="S1378" i="11" s="1"/>
  <c r="O1379" i="11"/>
  <c r="U1379" i="11" s="1"/>
  <c r="S1379" i="11" s="1"/>
  <c r="O1380" i="11"/>
  <c r="U1380" i="11" s="1"/>
  <c r="S1380" i="11" s="1"/>
  <c r="O1381" i="11"/>
  <c r="U1381" i="11" s="1"/>
  <c r="S1381" i="11" s="1"/>
  <c r="O1382" i="11"/>
  <c r="U1382" i="11" s="1"/>
  <c r="S1382" i="11" s="1"/>
  <c r="O1383" i="11"/>
  <c r="U1383" i="11" s="1"/>
  <c r="S1383" i="11" s="1"/>
  <c r="O1384" i="11"/>
  <c r="U1384" i="11" s="1"/>
  <c r="S1384" i="11" s="1"/>
  <c r="O1385" i="11"/>
  <c r="U1385" i="11" s="1"/>
  <c r="S1385" i="11" s="1"/>
  <c r="O1386" i="11"/>
  <c r="U1386" i="11" s="1"/>
  <c r="S1386" i="11" s="1"/>
  <c r="O1387" i="11"/>
  <c r="U1387" i="11" s="1"/>
  <c r="S1387" i="11" s="1"/>
  <c r="O1388" i="11"/>
  <c r="U1388" i="11" s="1"/>
  <c r="S1388" i="11" s="1"/>
  <c r="O1389" i="11"/>
  <c r="U1389" i="11" s="1"/>
  <c r="S1389" i="11" s="1"/>
  <c r="O1390" i="11"/>
  <c r="U1390" i="11" s="1"/>
  <c r="S1390" i="11" s="1"/>
  <c r="O1391" i="11"/>
  <c r="U1391" i="11" s="1"/>
  <c r="S1391" i="11" s="1"/>
  <c r="O1392" i="11"/>
  <c r="U1392" i="11" s="1"/>
  <c r="S1392" i="11" s="1"/>
  <c r="O1393" i="11"/>
  <c r="U1393" i="11" s="1"/>
  <c r="S1393" i="11" s="1"/>
  <c r="O1394" i="11"/>
  <c r="U1394" i="11" s="1"/>
  <c r="S1394" i="11" s="1"/>
  <c r="O1395" i="11"/>
  <c r="U1395" i="11" s="1"/>
  <c r="S1395" i="11" s="1"/>
  <c r="O1396" i="11"/>
  <c r="U1396" i="11" s="1"/>
  <c r="S1396" i="11" s="1"/>
  <c r="O1397" i="11"/>
  <c r="U1397" i="11" s="1"/>
  <c r="S1397" i="11" s="1"/>
  <c r="O1398" i="11"/>
  <c r="U1398" i="11" s="1"/>
  <c r="S1398" i="11" s="1"/>
  <c r="O1399" i="11"/>
  <c r="U1399" i="11" s="1"/>
  <c r="S1399" i="11" s="1"/>
  <c r="O1400" i="11"/>
  <c r="U1400" i="11" s="1"/>
  <c r="S1400" i="11" s="1"/>
  <c r="O1401" i="11"/>
  <c r="U1401" i="11" s="1"/>
  <c r="S1401" i="11" s="1"/>
  <c r="O1402" i="11"/>
  <c r="U1402" i="11" s="1"/>
  <c r="S1402" i="11" s="1"/>
  <c r="O1403" i="11"/>
  <c r="U1403" i="11" s="1"/>
  <c r="S1403" i="11" s="1"/>
  <c r="O1404" i="11"/>
  <c r="U1404" i="11" s="1"/>
  <c r="S1404" i="11" s="1"/>
  <c r="O1405" i="11"/>
  <c r="U1405" i="11" s="1"/>
  <c r="S1405" i="11" s="1"/>
  <c r="O1406" i="11"/>
  <c r="U1406" i="11" s="1"/>
  <c r="S1406" i="11" s="1"/>
  <c r="O1407" i="11"/>
  <c r="U1407" i="11" s="1"/>
  <c r="S1407" i="11" s="1"/>
  <c r="O1408" i="11"/>
  <c r="U1408" i="11" s="1"/>
  <c r="S1408" i="11" s="1"/>
  <c r="O1409" i="11"/>
  <c r="U1409" i="11" s="1"/>
  <c r="S1409" i="11" s="1"/>
  <c r="O1410" i="11"/>
  <c r="U1410" i="11" s="1"/>
  <c r="S1410" i="11" s="1"/>
  <c r="O1411" i="11"/>
  <c r="U1411" i="11" s="1"/>
  <c r="S1411" i="11" s="1"/>
  <c r="O1412" i="11"/>
  <c r="U1412" i="11" s="1"/>
  <c r="S1412" i="11" s="1"/>
  <c r="O1413" i="11"/>
  <c r="U1413" i="11" s="1"/>
  <c r="S1413" i="11" s="1"/>
  <c r="O1414" i="11"/>
  <c r="U1414" i="11" s="1"/>
  <c r="S1414" i="11" s="1"/>
  <c r="O1415" i="11"/>
  <c r="U1415" i="11" s="1"/>
  <c r="S1415" i="11" s="1"/>
  <c r="O1416" i="11"/>
  <c r="U1416" i="11" s="1"/>
  <c r="S1416" i="11" s="1"/>
  <c r="O1417" i="11"/>
  <c r="U1417" i="11" s="1"/>
  <c r="S1417" i="11" s="1"/>
  <c r="O1418" i="11"/>
  <c r="U1418" i="11" s="1"/>
  <c r="S1418" i="11" s="1"/>
  <c r="O1419" i="11"/>
  <c r="U1419" i="11" s="1"/>
  <c r="S1419" i="11" s="1"/>
  <c r="O1420" i="11"/>
  <c r="U1420" i="11" s="1"/>
  <c r="S1420" i="11" s="1"/>
  <c r="O1421" i="11"/>
  <c r="U1421" i="11" s="1"/>
  <c r="S1421" i="11" s="1"/>
  <c r="O1422" i="11"/>
  <c r="U1422" i="11" s="1"/>
  <c r="S1422" i="11" s="1"/>
  <c r="O1423" i="11"/>
  <c r="U1423" i="11" s="1"/>
  <c r="S1423" i="11" s="1"/>
  <c r="O1424" i="11"/>
  <c r="U1424" i="11" s="1"/>
  <c r="S1424" i="11" s="1"/>
  <c r="O1425" i="11"/>
  <c r="U1425" i="11" s="1"/>
  <c r="S1425" i="11" s="1"/>
  <c r="O1426" i="11"/>
  <c r="U1426" i="11" s="1"/>
  <c r="S1426" i="11" s="1"/>
  <c r="O1427" i="11"/>
  <c r="U1427" i="11" s="1"/>
  <c r="S1427" i="11" s="1"/>
  <c r="O1428" i="11"/>
  <c r="U1428" i="11" s="1"/>
  <c r="S1428" i="11" s="1"/>
  <c r="O1429" i="11"/>
  <c r="U1429" i="11" s="1"/>
  <c r="S1429" i="11" s="1"/>
  <c r="O1430" i="11"/>
  <c r="U1430" i="11" s="1"/>
  <c r="S1430" i="11" s="1"/>
  <c r="O1431" i="11"/>
  <c r="U1431" i="11" s="1"/>
  <c r="S1431" i="11" s="1"/>
  <c r="O1432" i="11"/>
  <c r="U1432" i="11" s="1"/>
  <c r="S1432" i="11" s="1"/>
  <c r="O1433" i="11"/>
  <c r="U1433" i="11" s="1"/>
  <c r="S1433" i="11" s="1"/>
  <c r="O1434" i="11"/>
  <c r="U1434" i="11" s="1"/>
  <c r="S1434" i="11" s="1"/>
  <c r="O1435" i="11"/>
  <c r="U1435" i="11" s="1"/>
  <c r="S1435" i="11" s="1"/>
  <c r="O1436" i="11"/>
  <c r="U1436" i="11" s="1"/>
  <c r="S1436" i="11" s="1"/>
  <c r="O1437" i="11"/>
  <c r="U1437" i="11" s="1"/>
  <c r="S1437" i="11" s="1"/>
  <c r="O1438" i="11"/>
  <c r="U1438" i="11" s="1"/>
  <c r="S1438" i="11" s="1"/>
  <c r="O1439" i="11"/>
  <c r="U1439" i="11" s="1"/>
  <c r="S1439" i="11" s="1"/>
  <c r="O1440" i="11"/>
  <c r="U1440" i="11" s="1"/>
  <c r="S1440" i="11" s="1"/>
  <c r="O1441" i="11"/>
  <c r="U1441" i="11" s="1"/>
  <c r="S1441" i="11" s="1"/>
  <c r="O1442" i="11"/>
  <c r="U1442" i="11" s="1"/>
  <c r="S1442" i="11" s="1"/>
  <c r="O1443" i="11"/>
  <c r="U1443" i="11" s="1"/>
  <c r="S1443" i="11" s="1"/>
  <c r="O1444" i="11"/>
  <c r="U1444" i="11" s="1"/>
  <c r="S1444" i="11" s="1"/>
  <c r="O1445" i="11"/>
  <c r="U1445" i="11" s="1"/>
  <c r="S1445" i="11" s="1"/>
  <c r="O1446" i="11"/>
  <c r="U1446" i="11" s="1"/>
  <c r="S1446" i="11" s="1"/>
  <c r="O1447" i="11"/>
  <c r="U1447" i="11" s="1"/>
  <c r="S1447" i="11" s="1"/>
  <c r="O1448" i="11"/>
  <c r="U1448" i="11" s="1"/>
  <c r="S1448" i="11" s="1"/>
  <c r="O1449" i="11"/>
  <c r="U1449" i="11" s="1"/>
  <c r="S1449" i="11" s="1"/>
  <c r="O1450" i="11"/>
  <c r="U1450" i="11" s="1"/>
  <c r="S1450" i="11" s="1"/>
  <c r="O1451" i="11"/>
  <c r="U1451" i="11" s="1"/>
  <c r="S1451" i="11" s="1"/>
  <c r="O1452" i="11"/>
  <c r="U1452" i="11" s="1"/>
  <c r="S1452" i="11" s="1"/>
  <c r="O1453" i="11"/>
  <c r="U1453" i="11" s="1"/>
  <c r="S1453" i="11" s="1"/>
  <c r="O1454" i="11"/>
  <c r="U1454" i="11" s="1"/>
  <c r="S1454" i="11" s="1"/>
  <c r="O1455" i="11"/>
  <c r="U1455" i="11" s="1"/>
  <c r="S1455" i="11" s="1"/>
  <c r="O1456" i="11"/>
  <c r="U1456" i="11" s="1"/>
  <c r="S1456" i="11" s="1"/>
  <c r="O1457" i="11"/>
  <c r="U1457" i="11" s="1"/>
  <c r="S1457" i="11" s="1"/>
  <c r="O1458" i="11"/>
  <c r="U1458" i="11" s="1"/>
  <c r="S1458" i="11" s="1"/>
  <c r="O1459" i="11"/>
  <c r="U1459" i="11" s="1"/>
  <c r="S1459" i="11" s="1"/>
  <c r="O1460" i="11"/>
  <c r="U1460" i="11" s="1"/>
  <c r="S1460" i="11" s="1"/>
  <c r="O1461" i="11"/>
  <c r="U1461" i="11" s="1"/>
  <c r="S1461" i="11" s="1"/>
  <c r="O1462" i="11"/>
  <c r="U1462" i="11" s="1"/>
  <c r="S1462" i="11" s="1"/>
  <c r="O1463" i="11"/>
  <c r="U1463" i="11" s="1"/>
  <c r="S1463" i="11" s="1"/>
  <c r="O1464" i="11"/>
  <c r="U1464" i="11" s="1"/>
  <c r="S1464" i="11" s="1"/>
  <c r="O1465" i="11"/>
  <c r="U1465" i="11" s="1"/>
  <c r="S1465" i="11" s="1"/>
  <c r="O1466" i="11"/>
  <c r="U1466" i="11" s="1"/>
  <c r="S1466" i="11" s="1"/>
  <c r="O1467" i="11"/>
  <c r="U1467" i="11" s="1"/>
  <c r="S1467" i="11" s="1"/>
  <c r="O1468" i="11"/>
  <c r="U1468" i="11" s="1"/>
  <c r="S1468" i="11" s="1"/>
  <c r="O1469" i="11"/>
  <c r="U1469" i="11" s="1"/>
  <c r="S1469" i="11" s="1"/>
  <c r="O1470" i="11"/>
  <c r="U1470" i="11" s="1"/>
  <c r="S1470" i="11" s="1"/>
  <c r="O1471" i="11"/>
  <c r="U1471" i="11" s="1"/>
  <c r="S1471" i="11" s="1"/>
  <c r="O1472" i="11"/>
  <c r="U1472" i="11" s="1"/>
  <c r="S1472" i="11" s="1"/>
  <c r="O1473" i="11"/>
  <c r="U1473" i="11" s="1"/>
  <c r="S1473" i="11" s="1"/>
  <c r="O1474" i="11"/>
  <c r="U1474" i="11" s="1"/>
  <c r="S1474" i="11" s="1"/>
  <c r="O1475" i="11"/>
  <c r="U1475" i="11" s="1"/>
  <c r="S1475" i="11" s="1"/>
  <c r="O1476" i="11"/>
  <c r="U1476" i="11" s="1"/>
  <c r="S1476" i="11" s="1"/>
  <c r="O1477" i="11"/>
  <c r="U1477" i="11" s="1"/>
  <c r="S1477" i="11" s="1"/>
  <c r="O1478" i="11"/>
  <c r="U1478" i="11" s="1"/>
  <c r="S1478" i="11" s="1"/>
  <c r="O1479" i="11"/>
  <c r="U1479" i="11" s="1"/>
  <c r="S1479" i="11" s="1"/>
  <c r="O1480" i="11"/>
  <c r="U1480" i="11" s="1"/>
  <c r="S1480" i="11" s="1"/>
  <c r="O1481" i="11"/>
  <c r="U1481" i="11" s="1"/>
  <c r="S1481" i="11" s="1"/>
  <c r="O1482" i="11"/>
  <c r="U1482" i="11" s="1"/>
  <c r="S1482" i="11" s="1"/>
  <c r="O1483" i="11"/>
  <c r="U1483" i="11" s="1"/>
  <c r="S1483" i="11" s="1"/>
  <c r="O1484" i="11"/>
  <c r="U1484" i="11" s="1"/>
  <c r="S1484" i="11" s="1"/>
  <c r="O1485" i="11"/>
  <c r="U1485" i="11" s="1"/>
  <c r="S1485" i="11" s="1"/>
  <c r="O1486" i="11"/>
  <c r="U1486" i="11" s="1"/>
  <c r="S1486" i="11" s="1"/>
  <c r="O1487" i="11"/>
  <c r="U1487" i="11" s="1"/>
  <c r="S1487" i="11" s="1"/>
  <c r="O1488" i="11"/>
  <c r="U1488" i="11" s="1"/>
  <c r="S1488" i="11" s="1"/>
  <c r="O1489" i="11"/>
  <c r="U1489" i="11" s="1"/>
  <c r="S1489" i="11" s="1"/>
  <c r="O1490" i="11"/>
  <c r="U1490" i="11" s="1"/>
  <c r="S1490" i="11" s="1"/>
  <c r="O1491" i="11"/>
  <c r="U1491" i="11" s="1"/>
  <c r="S1491" i="11" s="1"/>
  <c r="O1492" i="11"/>
  <c r="U1492" i="11"/>
  <c r="S1492" i="11" s="1"/>
  <c r="O1493" i="11"/>
  <c r="U1493" i="11" s="1"/>
  <c r="S1493" i="11" s="1"/>
  <c r="O1494" i="11"/>
  <c r="U1494" i="11" s="1"/>
  <c r="S1494" i="11" s="1"/>
  <c r="O1495" i="11"/>
  <c r="U1495" i="11" s="1"/>
  <c r="S1495" i="11" s="1"/>
  <c r="O1496" i="11"/>
  <c r="U1496" i="11" s="1"/>
  <c r="S1496" i="11" s="1"/>
  <c r="O1497" i="11"/>
  <c r="U1497" i="11" s="1"/>
  <c r="S1497" i="11" s="1"/>
  <c r="O1498" i="11"/>
  <c r="U1498" i="11" s="1"/>
  <c r="S1498" i="11" s="1"/>
  <c r="O1499" i="11"/>
  <c r="U1499" i="11" s="1"/>
  <c r="S1499" i="11" s="1"/>
  <c r="O1500" i="11"/>
  <c r="U1500" i="11" s="1"/>
  <c r="S1500" i="11" s="1"/>
  <c r="O1501" i="11"/>
  <c r="U1501" i="11"/>
  <c r="S1501" i="11" s="1"/>
  <c r="O1502" i="11"/>
  <c r="U1502" i="11" s="1"/>
  <c r="S1502" i="11" s="1"/>
  <c r="O1503" i="11"/>
  <c r="U1503" i="11" s="1"/>
  <c r="S1503" i="11" s="1"/>
  <c r="O1504" i="11"/>
  <c r="U1504" i="11" s="1"/>
  <c r="S1504" i="11" s="1"/>
  <c r="O1505" i="11"/>
  <c r="U1505" i="11" s="1"/>
  <c r="S1505" i="11" s="1"/>
  <c r="O1506" i="11"/>
  <c r="U1506" i="11" s="1"/>
  <c r="S1506" i="11" s="1"/>
  <c r="O1507" i="11"/>
  <c r="U1507" i="11" s="1"/>
  <c r="S1507" i="11" s="1"/>
  <c r="O1508" i="11"/>
  <c r="U1508" i="11" s="1"/>
  <c r="S1508" i="11" s="1"/>
  <c r="O1509" i="11"/>
  <c r="U1509" i="11" s="1"/>
  <c r="S1509" i="11" s="1"/>
  <c r="O1510" i="11"/>
  <c r="U1510" i="11" s="1"/>
  <c r="S1510" i="11" s="1"/>
  <c r="O1511" i="11"/>
  <c r="U1511" i="11" s="1"/>
  <c r="S1511" i="11" s="1"/>
  <c r="O1512" i="11"/>
  <c r="U1512" i="11" s="1"/>
  <c r="S1512" i="11" s="1"/>
  <c r="O1513" i="11"/>
  <c r="U1513" i="11" s="1"/>
  <c r="S1513" i="11" s="1"/>
  <c r="O1514" i="11"/>
  <c r="U1514" i="11" s="1"/>
  <c r="S1514" i="11" s="1"/>
  <c r="O1515" i="11"/>
  <c r="U1515" i="11" s="1"/>
  <c r="S1515" i="11" s="1"/>
  <c r="O1516" i="11"/>
  <c r="U1516" i="11" s="1"/>
  <c r="S1516" i="11" s="1"/>
  <c r="O1517" i="11"/>
  <c r="U1517" i="11" s="1"/>
  <c r="S1517" i="11" s="1"/>
  <c r="O1518" i="11"/>
  <c r="U1518" i="11" s="1"/>
  <c r="S1518" i="11" s="1"/>
  <c r="O1519" i="11"/>
  <c r="U1519" i="11"/>
  <c r="S1519" i="11" s="1"/>
  <c r="O1520" i="11"/>
  <c r="U1520" i="11" s="1"/>
  <c r="S1520" i="11" s="1"/>
  <c r="O1521" i="11"/>
  <c r="U1521" i="11" s="1"/>
  <c r="S1521" i="11" s="1"/>
  <c r="O1522" i="11"/>
  <c r="U1522" i="11" s="1"/>
  <c r="S1522" i="11" s="1"/>
  <c r="O1523" i="11"/>
  <c r="U1523" i="11" s="1"/>
  <c r="S1523" i="11" s="1"/>
  <c r="O1524" i="11"/>
  <c r="U1524" i="11" s="1"/>
  <c r="S1524" i="11" s="1"/>
  <c r="O1525" i="11"/>
  <c r="U1525" i="11" s="1"/>
  <c r="S1525" i="11" s="1"/>
  <c r="O1526" i="11"/>
  <c r="U1526" i="11" s="1"/>
  <c r="S1526" i="11" s="1"/>
  <c r="O1527" i="11"/>
  <c r="U1527" i="11" s="1"/>
  <c r="S1527" i="11" s="1"/>
  <c r="O1528" i="11"/>
  <c r="U1528" i="11"/>
  <c r="S1528" i="11" s="1"/>
  <c r="O1529" i="11"/>
  <c r="U1529" i="11" s="1"/>
  <c r="S1529" i="11" s="1"/>
  <c r="O1530" i="11"/>
  <c r="U1530" i="11" s="1"/>
  <c r="S1530" i="11" s="1"/>
  <c r="O1531" i="11"/>
  <c r="U1531" i="11" s="1"/>
  <c r="S1531" i="11" s="1"/>
  <c r="O1532" i="11"/>
  <c r="U1532" i="11" s="1"/>
  <c r="S1532" i="11" s="1"/>
  <c r="O1533" i="11"/>
  <c r="U1533" i="11" s="1"/>
  <c r="S1533" i="11" s="1"/>
  <c r="O1534" i="11"/>
  <c r="U1534" i="11" s="1"/>
  <c r="S1534" i="11" s="1"/>
  <c r="O1535" i="11"/>
  <c r="U1535" i="11" s="1"/>
  <c r="S1535" i="11" s="1"/>
  <c r="O1536" i="11"/>
  <c r="U1536" i="11" s="1"/>
  <c r="S1536" i="11" s="1"/>
  <c r="O1537" i="11"/>
  <c r="U1537" i="11" s="1"/>
  <c r="S1537" i="11" s="1"/>
  <c r="O1538" i="11"/>
  <c r="U1538" i="11" s="1"/>
  <c r="S1538" i="11" s="1"/>
  <c r="O1539" i="11"/>
  <c r="U1539" i="11" s="1"/>
  <c r="S1539" i="11" s="1"/>
  <c r="O1540" i="11"/>
  <c r="U1540" i="11" s="1"/>
  <c r="S1540" i="11" s="1"/>
  <c r="O1541" i="11"/>
  <c r="U1541" i="11" s="1"/>
  <c r="S1541" i="11" s="1"/>
  <c r="O1542" i="11"/>
  <c r="U1542" i="11" s="1"/>
  <c r="S1542" i="11" s="1"/>
  <c r="O1543" i="11"/>
  <c r="U1543" i="11" s="1"/>
  <c r="S1543" i="11" s="1"/>
  <c r="O1544" i="11"/>
  <c r="U1544" i="11" s="1"/>
  <c r="S1544" i="11" s="1"/>
  <c r="O1545" i="11"/>
  <c r="U1545" i="11" s="1"/>
  <c r="S1545" i="11" s="1"/>
  <c r="O1546" i="11"/>
  <c r="U1546" i="11"/>
  <c r="S1546" i="11" s="1"/>
  <c r="O1547" i="11"/>
  <c r="U1547" i="11" s="1"/>
  <c r="S1547" i="11" s="1"/>
  <c r="O1548" i="11"/>
  <c r="U1548" i="11" s="1"/>
  <c r="S1548" i="11" s="1"/>
  <c r="O1549" i="11"/>
  <c r="U1549" i="11" s="1"/>
  <c r="S1549" i="11" s="1"/>
  <c r="O1550" i="11"/>
  <c r="U1550" i="11" s="1"/>
  <c r="S1550" i="11" s="1"/>
  <c r="O1551" i="11"/>
  <c r="U1551" i="11" s="1"/>
  <c r="S1551" i="11" s="1"/>
  <c r="O1552" i="11"/>
  <c r="U1552" i="11" s="1"/>
  <c r="S1552" i="11" s="1"/>
  <c r="O1553" i="11"/>
  <c r="U1553" i="11" s="1"/>
  <c r="S1553" i="11" s="1"/>
  <c r="O1554" i="11"/>
  <c r="U1554" i="11" s="1"/>
  <c r="S1554" i="11" s="1"/>
  <c r="O1555" i="11"/>
  <c r="U1555" i="11"/>
  <c r="S1555" i="11" s="1"/>
  <c r="O1556" i="11"/>
  <c r="U1556" i="11" s="1"/>
  <c r="S1556" i="11" s="1"/>
  <c r="O1557" i="11"/>
  <c r="U1557" i="11" s="1"/>
  <c r="S1557" i="11" s="1"/>
  <c r="O1558" i="11"/>
  <c r="U1558" i="11" s="1"/>
  <c r="S1558" i="11" s="1"/>
  <c r="O1559" i="11"/>
  <c r="U1559" i="11" s="1"/>
  <c r="S1559" i="11" s="1"/>
  <c r="O1560" i="11"/>
  <c r="U1560" i="11" s="1"/>
  <c r="S1560" i="11" s="1"/>
  <c r="O1561" i="11"/>
  <c r="U1561" i="11" s="1"/>
  <c r="S1561" i="11" s="1"/>
  <c r="O1562" i="11"/>
  <c r="U1562" i="11" s="1"/>
  <c r="S1562" i="11" s="1"/>
  <c r="O1563" i="11"/>
  <c r="U1563" i="11" s="1"/>
  <c r="S1563" i="11" s="1"/>
  <c r="O1564" i="11"/>
  <c r="U1564" i="11" s="1"/>
  <c r="S1564" i="11" s="1"/>
  <c r="O1565" i="11"/>
  <c r="U1565" i="11" s="1"/>
  <c r="S1565" i="11" s="1"/>
  <c r="O1566" i="11"/>
  <c r="U1566" i="11" s="1"/>
  <c r="S1566" i="11" s="1"/>
  <c r="O1567" i="11"/>
  <c r="U1567" i="11" s="1"/>
  <c r="S1567" i="11" s="1"/>
  <c r="O1568" i="11"/>
  <c r="U1568" i="11" s="1"/>
  <c r="S1568" i="11" s="1"/>
  <c r="O1569" i="11"/>
  <c r="U1569" i="11" s="1"/>
  <c r="S1569" i="11" s="1"/>
  <c r="O1570" i="11"/>
  <c r="U1570" i="11" s="1"/>
  <c r="S1570" i="11" s="1"/>
  <c r="O1571" i="11"/>
  <c r="U1571" i="11"/>
  <c r="S1571" i="11" s="1"/>
  <c r="O1572" i="11"/>
  <c r="U1572" i="11"/>
  <c r="S1572" i="11" s="1"/>
  <c r="O1573" i="11"/>
  <c r="U1573" i="11" s="1"/>
  <c r="S1573" i="11" s="1"/>
  <c r="O1574" i="11"/>
  <c r="U1574" i="11"/>
  <c r="S1574" i="11" s="1"/>
  <c r="O1575" i="11"/>
  <c r="U1575" i="11" s="1"/>
  <c r="S1575" i="11" s="1"/>
  <c r="O1576" i="11"/>
  <c r="U1576" i="11"/>
  <c r="S1576" i="11" s="1"/>
  <c r="O1577" i="11"/>
  <c r="U1577" i="11"/>
  <c r="S1577" i="11" s="1"/>
  <c r="O1578" i="11"/>
  <c r="U1578" i="11"/>
  <c r="S1578" i="11" s="1"/>
  <c r="O1579" i="11"/>
  <c r="U1579" i="11" s="1"/>
  <c r="S1579" i="11" s="1"/>
  <c r="O1580" i="11"/>
  <c r="U1580" i="11" s="1"/>
  <c r="S1580" i="11" s="1"/>
  <c r="O1581" i="11"/>
  <c r="U1581" i="11" s="1"/>
  <c r="S1581" i="11" s="1"/>
  <c r="O1582" i="11"/>
  <c r="U1582" i="11" s="1"/>
  <c r="S1582" i="11" s="1"/>
  <c r="O1583" i="11"/>
  <c r="U1583" i="11" s="1"/>
  <c r="S1583" i="11" s="1"/>
  <c r="O1584" i="11"/>
  <c r="U1584" i="11" s="1"/>
  <c r="S1584" i="11" s="1"/>
  <c r="O1585" i="11"/>
  <c r="U1585" i="11" s="1"/>
  <c r="S1585" i="11" s="1"/>
  <c r="O1586" i="11"/>
  <c r="U1586" i="11" s="1"/>
  <c r="S1586" i="11" s="1"/>
  <c r="O1587" i="11"/>
  <c r="U1587" i="11" s="1"/>
  <c r="S1587" i="11" s="1"/>
  <c r="O1588" i="11"/>
  <c r="U1588" i="11"/>
  <c r="S1588" i="11" s="1"/>
  <c r="O1589" i="11"/>
  <c r="U1589" i="11" s="1"/>
  <c r="S1589" i="11" s="1"/>
  <c r="O1590" i="11"/>
  <c r="U1590" i="11"/>
  <c r="S1590" i="11" s="1"/>
  <c r="O1591" i="11"/>
  <c r="U1591" i="11" s="1"/>
  <c r="S1591" i="11" s="1"/>
  <c r="O1592" i="11"/>
  <c r="U1592" i="11"/>
  <c r="S1592" i="11" s="1"/>
  <c r="O1593" i="11"/>
  <c r="U1593" i="11" s="1"/>
  <c r="S1593" i="11" s="1"/>
  <c r="O1594" i="11"/>
  <c r="U1594" i="11" s="1"/>
  <c r="S1594" i="11" s="1"/>
  <c r="O1595" i="11"/>
  <c r="U1595" i="11"/>
  <c r="S1595" i="11" s="1"/>
  <c r="O1596" i="11"/>
  <c r="U1596" i="11"/>
  <c r="S1596" i="11" s="1"/>
  <c r="O1597" i="11"/>
  <c r="U1597" i="11" s="1"/>
  <c r="S1597" i="11" s="1"/>
  <c r="O1598" i="11"/>
  <c r="U1598" i="11"/>
  <c r="S1598" i="11" s="1"/>
  <c r="O1599" i="11"/>
  <c r="U1599" i="11" s="1"/>
  <c r="S1599" i="11" s="1"/>
  <c r="O1600" i="11"/>
  <c r="U1600" i="11" s="1"/>
  <c r="S1600" i="11" s="1"/>
  <c r="O1601" i="11"/>
  <c r="U1601" i="11" s="1"/>
  <c r="S1601" i="11" s="1"/>
  <c r="O1602" i="11"/>
  <c r="U1602" i="11"/>
  <c r="S1602" i="11" s="1"/>
  <c r="O1603" i="11"/>
  <c r="U1603" i="11" s="1"/>
  <c r="S1603" i="11" s="1"/>
  <c r="O1604" i="11"/>
  <c r="U1604" i="11" s="1"/>
  <c r="S1604" i="11" s="1"/>
  <c r="O1605" i="11"/>
  <c r="U1605" i="11" s="1"/>
  <c r="S1605" i="11" s="1"/>
  <c r="O1606" i="11"/>
  <c r="U1606" i="11" s="1"/>
  <c r="S1606" i="11" s="1"/>
  <c r="O1607" i="11"/>
  <c r="U1607" i="11" s="1"/>
  <c r="S1607" i="11"/>
  <c r="O1608" i="11"/>
  <c r="U1608" i="11"/>
  <c r="S1608" i="11" s="1"/>
  <c r="O1609" i="11"/>
  <c r="U1609" i="11" s="1"/>
  <c r="S1609" i="11" s="1"/>
  <c r="O1610" i="11"/>
  <c r="U1610" i="11" s="1"/>
  <c r="S1610" i="11" s="1"/>
  <c r="O1611" i="11"/>
  <c r="U1611" i="11" s="1"/>
  <c r="S1611" i="11" s="1"/>
  <c r="O1612" i="11"/>
  <c r="U1612" i="11" s="1"/>
  <c r="S1612" i="11" s="1"/>
  <c r="O1613" i="11"/>
  <c r="U1613" i="11" s="1"/>
  <c r="S1613" i="11" s="1"/>
  <c r="O1614" i="11"/>
  <c r="U1614" i="11" s="1"/>
  <c r="S1614" i="11" s="1"/>
  <c r="O1615" i="11"/>
  <c r="U1615" i="11" s="1"/>
  <c r="S1615" i="11" s="1"/>
  <c r="O1616" i="11"/>
  <c r="U1616" i="11" s="1"/>
  <c r="S1616" i="11" s="1"/>
  <c r="O1617" i="11"/>
  <c r="U1617" i="11" s="1"/>
  <c r="S1617" i="11" s="1"/>
  <c r="O1618" i="11"/>
  <c r="U1618" i="11" s="1"/>
  <c r="S1618" i="11" s="1"/>
  <c r="O1619" i="11"/>
  <c r="U1619" i="11" s="1"/>
  <c r="S1619" i="11" s="1"/>
  <c r="O1620" i="11"/>
  <c r="U1620" i="11" s="1"/>
  <c r="S1620" i="11" s="1"/>
  <c r="O1621" i="11"/>
  <c r="U1621" i="11" s="1"/>
  <c r="S1621" i="11" s="1"/>
  <c r="O1622" i="11"/>
  <c r="U1622" i="11"/>
  <c r="S1622" i="11" s="1"/>
  <c r="O1623" i="11"/>
  <c r="U1623" i="11" s="1"/>
  <c r="S1623" i="11"/>
  <c r="O1624" i="11"/>
  <c r="U1624" i="11" s="1"/>
  <c r="S1624" i="11" s="1"/>
  <c r="O1625" i="11"/>
  <c r="U1625" i="11" s="1"/>
  <c r="S1625" i="11" s="1"/>
  <c r="O1626" i="11"/>
  <c r="U1626" i="11" s="1"/>
  <c r="S1626" i="11" s="1"/>
  <c r="O1627" i="11"/>
  <c r="U1627" i="11" s="1"/>
  <c r="S1627" i="11" s="1"/>
  <c r="O1628" i="11"/>
  <c r="U1628" i="11" s="1"/>
  <c r="S1628" i="11" s="1"/>
  <c r="O1629" i="11"/>
  <c r="U1629" i="11" s="1"/>
  <c r="S1629" i="11" s="1"/>
  <c r="O1630" i="11"/>
  <c r="U1630" i="11"/>
  <c r="S1630" i="11" s="1"/>
  <c r="O1631" i="11"/>
  <c r="U1631" i="11" s="1"/>
  <c r="S1631" i="11" s="1"/>
  <c r="O1632" i="11"/>
  <c r="U1632" i="11"/>
  <c r="S1632" i="11" s="1"/>
  <c r="O1633" i="11"/>
  <c r="U1633" i="11" s="1"/>
  <c r="S1633" i="11" s="1"/>
  <c r="O1634" i="11"/>
  <c r="U1634" i="11"/>
  <c r="S1634" i="11" s="1"/>
  <c r="O1635" i="11"/>
  <c r="U1635" i="11" s="1"/>
  <c r="S1635" i="11" s="1"/>
  <c r="O1636" i="11"/>
  <c r="U1636" i="11" s="1"/>
  <c r="S1636" i="11" s="1"/>
  <c r="O1637" i="11"/>
  <c r="U1637" i="11" s="1"/>
  <c r="S1637" i="11" s="1"/>
  <c r="O1638" i="11"/>
  <c r="U1638" i="11" s="1"/>
  <c r="S1638" i="11" s="1"/>
  <c r="O1639" i="11"/>
  <c r="U1639" i="11" s="1"/>
  <c r="S1639" i="11" s="1"/>
  <c r="O1640" i="11"/>
  <c r="U1640" i="11"/>
  <c r="S1640" i="11" s="1"/>
  <c r="O1641" i="11"/>
  <c r="U1641" i="11" s="1"/>
  <c r="S1641" i="11" s="1"/>
  <c r="O1642" i="11"/>
  <c r="U1642" i="11" s="1"/>
  <c r="S1642" i="11" s="1"/>
  <c r="O1643" i="11"/>
  <c r="U1643" i="11" s="1"/>
  <c r="S1643" i="11" s="1"/>
  <c r="O1644" i="11"/>
  <c r="U1644" i="11" s="1"/>
  <c r="S1644" i="11" s="1"/>
  <c r="O1645" i="11"/>
  <c r="U1645" i="11" s="1"/>
  <c r="S1645" i="11" s="1"/>
  <c r="O1646" i="11"/>
  <c r="U1646" i="11"/>
  <c r="S1646" i="11" s="1"/>
  <c r="O1647" i="11"/>
  <c r="U1647" i="11" s="1"/>
  <c r="S1647" i="11"/>
  <c r="O1648" i="11"/>
  <c r="U1648" i="11"/>
  <c r="S1648" i="11" s="1"/>
  <c r="O1649" i="11"/>
  <c r="U1649" i="11" s="1"/>
  <c r="S1649" i="11" s="1"/>
  <c r="O1650" i="11"/>
  <c r="U1650" i="11" s="1"/>
  <c r="S1650" i="11" s="1"/>
  <c r="O1651" i="11"/>
  <c r="U1651" i="11" s="1"/>
  <c r="S1651" i="11"/>
  <c r="O1652" i="11"/>
  <c r="U1652" i="11" s="1"/>
  <c r="S1652" i="11" s="1"/>
  <c r="O1653" i="11"/>
  <c r="U1653" i="11" s="1"/>
  <c r="S1653" i="11" s="1"/>
  <c r="O1654" i="11"/>
  <c r="U1654" i="11"/>
  <c r="S1654" i="11" s="1"/>
  <c r="O1655" i="11"/>
  <c r="U1655" i="11" s="1"/>
  <c r="S1655" i="11"/>
  <c r="O1656" i="11"/>
  <c r="U1656" i="11"/>
  <c r="S1656" i="11" s="1"/>
  <c r="O1657" i="11"/>
  <c r="U1657" i="11" s="1"/>
  <c r="S1657" i="11" s="1"/>
  <c r="O1658" i="11"/>
  <c r="U1658" i="11" s="1"/>
  <c r="S1658" i="11" s="1"/>
  <c r="O1659" i="11"/>
  <c r="U1659" i="11" s="1"/>
  <c r="S1659" i="11" s="1"/>
  <c r="O1660" i="11"/>
  <c r="U1660" i="11" s="1"/>
  <c r="S1660" i="11" s="1"/>
  <c r="O1661" i="11"/>
  <c r="U1661" i="11" s="1"/>
  <c r="S1661" i="11" s="1"/>
  <c r="O1662" i="11"/>
  <c r="U1662" i="11" s="1"/>
  <c r="S1662" i="11" s="1"/>
  <c r="O1663" i="11"/>
  <c r="U1663" i="11" s="1"/>
  <c r="S1663" i="11" s="1"/>
  <c r="O1664" i="11"/>
  <c r="U1664" i="11" s="1"/>
  <c r="S1664" i="11" s="1"/>
  <c r="O1665" i="11"/>
  <c r="U1665" i="11" s="1"/>
  <c r="S1665" i="11" s="1"/>
  <c r="O1666" i="11"/>
  <c r="U1666" i="11" s="1"/>
  <c r="S1666" i="11" s="1"/>
  <c r="O1667" i="11"/>
  <c r="U1667" i="11" s="1"/>
  <c r="S1667" i="11" s="1"/>
  <c r="O1668" i="11"/>
  <c r="U1668" i="11" s="1"/>
  <c r="S1668" i="11" s="1"/>
  <c r="O1669" i="11"/>
  <c r="U1669" i="11" s="1"/>
  <c r="S1669" i="11" s="1"/>
  <c r="O1670" i="11"/>
  <c r="U1670" i="11"/>
  <c r="S1670" i="11" s="1"/>
  <c r="O1671" i="11"/>
  <c r="U1671" i="11" s="1"/>
  <c r="S1671" i="11" s="1"/>
  <c r="O1672" i="11"/>
  <c r="U1672" i="11"/>
  <c r="S1672" i="11" s="1"/>
  <c r="O1673" i="11"/>
  <c r="U1673" i="11" s="1"/>
  <c r="S1673" i="11" s="1"/>
  <c r="O1674" i="11"/>
  <c r="U1674" i="11" s="1"/>
  <c r="S1674" i="11" s="1"/>
  <c r="O1675" i="11"/>
  <c r="U1675" i="11" s="1"/>
  <c r="S1675" i="11" s="1"/>
  <c r="O1676" i="11"/>
  <c r="U1676" i="11" s="1"/>
  <c r="S1676" i="11" s="1"/>
  <c r="O1677" i="11"/>
  <c r="U1677" i="11" s="1"/>
  <c r="S1677" i="11" s="1"/>
  <c r="O1678" i="11"/>
  <c r="U1678" i="11" s="1"/>
  <c r="S1678" i="11" s="1"/>
  <c r="O1679" i="11"/>
  <c r="U1679" i="11" s="1"/>
  <c r="S1679" i="11" s="1"/>
  <c r="O1680" i="11"/>
  <c r="U1680" i="11" s="1"/>
  <c r="S1680" i="11" s="1"/>
  <c r="O1681" i="11"/>
  <c r="U1681" i="11" s="1"/>
  <c r="S1681" i="11" s="1"/>
  <c r="O1682" i="11"/>
  <c r="U1682" i="11"/>
  <c r="S1682" i="11" s="1"/>
  <c r="O1683" i="11"/>
  <c r="U1683" i="11" s="1"/>
  <c r="S1683" i="11" s="1"/>
  <c r="O1684" i="11"/>
  <c r="U1684" i="11" s="1"/>
  <c r="S1684" i="11" s="1"/>
  <c r="O1685" i="11"/>
  <c r="U1685" i="11" s="1"/>
  <c r="S1685" i="11" s="1"/>
  <c r="O1686" i="11"/>
  <c r="U1686" i="11"/>
  <c r="S1686" i="11" s="1"/>
  <c r="O1687" i="11"/>
  <c r="U1687" i="11" s="1"/>
  <c r="S1687" i="11" s="1"/>
  <c r="O1688" i="11"/>
  <c r="U1688" i="11" s="1"/>
  <c r="S1688" i="11" s="1"/>
  <c r="O1689" i="11"/>
  <c r="U1689" i="11" s="1"/>
  <c r="S1689" i="11" s="1"/>
  <c r="O1690" i="11"/>
  <c r="U1690" i="11" s="1"/>
  <c r="S1690" i="11" s="1"/>
  <c r="O1691" i="11"/>
  <c r="U1691" i="11" s="1"/>
  <c r="S1691" i="11" s="1"/>
  <c r="O1692" i="11"/>
  <c r="U1692" i="11" s="1"/>
  <c r="S1692" i="11" s="1"/>
  <c r="O1693" i="11"/>
  <c r="U1693" i="11" s="1"/>
  <c r="S1693" i="11" s="1"/>
  <c r="O1694" i="11"/>
  <c r="U1694" i="11"/>
  <c r="S1694" i="11" s="1"/>
  <c r="O1695" i="11"/>
  <c r="U1695" i="11" s="1"/>
  <c r="S1695" i="11"/>
  <c r="O1696" i="11"/>
  <c r="U1696" i="11" s="1"/>
  <c r="S1696" i="11" s="1"/>
  <c r="O1697" i="11"/>
  <c r="U1697" i="11" s="1"/>
  <c r="S1697" i="11" s="1"/>
  <c r="O1698" i="11"/>
  <c r="U1698" i="11" s="1"/>
  <c r="S1698" i="11" s="1"/>
  <c r="O1699" i="11"/>
  <c r="U1699" i="11" s="1"/>
  <c r="S1699" i="11" s="1"/>
  <c r="O1700" i="11"/>
  <c r="U1700" i="11" s="1"/>
  <c r="S1700" i="11" s="1"/>
  <c r="O1701" i="11"/>
  <c r="U1701" i="11" s="1"/>
  <c r="S1701" i="11" s="1"/>
  <c r="O1702" i="11"/>
  <c r="U1702" i="11"/>
  <c r="S1702" i="11" s="1"/>
  <c r="O1703" i="11"/>
  <c r="U1703" i="11" s="1"/>
  <c r="S1703" i="11"/>
  <c r="O1704" i="11"/>
  <c r="U1704" i="11" s="1"/>
  <c r="S1704" i="11" s="1"/>
  <c r="O1705" i="11"/>
  <c r="U1705" i="11" s="1"/>
  <c r="S1705" i="11" s="1"/>
  <c r="O1706" i="11"/>
  <c r="U1706" i="11" s="1"/>
  <c r="S1706" i="11" s="1"/>
  <c r="O1707" i="11"/>
  <c r="U1707" i="11" s="1"/>
  <c r="S1707" i="11" s="1"/>
  <c r="O1708" i="11"/>
  <c r="U1708" i="11" s="1"/>
  <c r="S1708" i="11" s="1"/>
  <c r="O1709" i="11"/>
  <c r="U1709" i="11" s="1"/>
  <c r="S1709" i="11" s="1"/>
  <c r="O1710" i="11"/>
  <c r="U1710" i="11" s="1"/>
  <c r="S1710" i="11" s="1"/>
  <c r="O1711" i="11"/>
  <c r="U1711" i="11" s="1"/>
  <c r="S1711" i="11" s="1"/>
  <c r="O1712" i="11"/>
  <c r="U1712" i="11" s="1"/>
  <c r="S1712" i="11" s="1"/>
  <c r="O1713" i="11"/>
  <c r="U1713" i="11" s="1"/>
  <c r="S1713" i="11" s="1"/>
  <c r="O1714" i="11"/>
  <c r="U1714" i="11" s="1"/>
  <c r="S1714" i="11" s="1"/>
  <c r="O1715" i="11"/>
  <c r="U1715" i="11" s="1"/>
  <c r="S1715" i="11" s="1"/>
  <c r="O1716" i="11"/>
  <c r="U1716" i="11"/>
  <c r="S1716" i="11" s="1"/>
  <c r="O1717" i="11"/>
  <c r="U1717" i="11" s="1"/>
  <c r="S1717" i="11" s="1"/>
  <c r="O1718" i="11"/>
  <c r="U1718" i="11" s="1"/>
  <c r="S1718" i="11" s="1"/>
  <c r="O1719" i="11"/>
  <c r="U1719" i="11" s="1"/>
  <c r="S1719" i="11" s="1"/>
  <c r="O1720" i="11"/>
  <c r="U1720" i="11"/>
  <c r="S1720" i="11" s="1"/>
  <c r="O1721" i="11"/>
  <c r="U1721" i="11" s="1"/>
  <c r="S1721" i="11"/>
  <c r="O1722" i="11"/>
  <c r="U1722" i="11" s="1"/>
  <c r="S1722" i="11" s="1"/>
  <c r="O1723" i="11"/>
  <c r="U1723" i="11" s="1"/>
  <c r="S1723" i="11" s="1"/>
  <c r="O1724" i="11"/>
  <c r="U1724" i="11" s="1"/>
  <c r="S1724" i="11" s="1"/>
  <c r="O1725" i="11"/>
  <c r="U1725" i="11" s="1"/>
  <c r="S1725" i="11" s="1"/>
  <c r="O1726" i="11"/>
  <c r="U1726" i="11" s="1"/>
  <c r="S1726" i="11" s="1"/>
  <c r="O1727" i="11"/>
  <c r="U1727" i="11" s="1"/>
  <c r="S1727" i="11" s="1"/>
  <c r="O1728" i="11"/>
  <c r="U1728" i="11"/>
  <c r="S1728" i="11" s="1"/>
  <c r="O1729" i="11"/>
  <c r="U1729" i="11" s="1"/>
  <c r="S1729" i="11" s="1"/>
  <c r="O1730" i="11"/>
  <c r="U1730" i="11" s="1"/>
  <c r="S1730" i="11" s="1"/>
  <c r="O1731" i="11"/>
  <c r="U1731" i="11" s="1"/>
  <c r="S1731" i="11" s="1"/>
  <c r="O1732" i="11"/>
  <c r="U1732" i="11" s="1"/>
  <c r="S1732" i="11" s="1"/>
  <c r="O1733" i="11"/>
  <c r="U1733" i="11" s="1"/>
  <c r="S1733" i="11" s="1"/>
  <c r="O1734" i="11"/>
  <c r="U1734" i="11" s="1"/>
  <c r="S1734" i="11" s="1"/>
  <c r="O1735" i="11"/>
  <c r="U1735" i="11" s="1"/>
  <c r="S1735" i="11" s="1"/>
  <c r="O1736" i="11"/>
  <c r="U1736" i="11"/>
  <c r="S1736" i="11" s="1"/>
  <c r="O1737" i="11"/>
  <c r="U1737" i="11" s="1"/>
  <c r="S1737" i="11" s="1"/>
  <c r="O1738" i="11"/>
  <c r="U1738" i="11" s="1"/>
  <c r="S1738" i="11" s="1"/>
  <c r="O1739" i="11"/>
  <c r="U1739" i="11" s="1"/>
  <c r="S1739" i="11" s="1"/>
  <c r="O1740" i="11"/>
  <c r="U1740" i="11" s="1"/>
  <c r="S1740" i="11" s="1"/>
  <c r="O1741" i="11"/>
  <c r="U1741" i="11" s="1"/>
  <c r="S1741" i="11" s="1"/>
  <c r="O1742" i="11"/>
  <c r="U1742" i="11" s="1"/>
  <c r="S1742" i="11" s="1"/>
  <c r="O1743" i="11"/>
  <c r="U1743" i="11" s="1"/>
  <c r="S1743" i="11" s="1"/>
  <c r="O1744" i="11"/>
  <c r="U1744" i="11"/>
  <c r="S1744" i="11" s="1"/>
  <c r="O1745" i="11"/>
  <c r="U1745" i="11" s="1"/>
  <c r="S1745" i="11" s="1"/>
  <c r="O1746" i="11"/>
  <c r="U1746" i="11" s="1"/>
  <c r="S1746" i="11" s="1"/>
  <c r="O1747" i="11"/>
  <c r="U1747" i="11" s="1"/>
  <c r="S1747" i="11" s="1"/>
  <c r="O1748" i="11"/>
  <c r="U1748" i="11" s="1"/>
  <c r="S1748" i="11" s="1"/>
  <c r="O1749" i="11"/>
  <c r="U1749" i="11" s="1"/>
  <c r="S1749" i="11" s="1"/>
  <c r="O1750" i="11"/>
  <c r="U1750" i="11" s="1"/>
  <c r="S1750" i="11" s="1"/>
  <c r="O1751" i="11"/>
  <c r="U1751" i="11" s="1"/>
  <c r="S1751" i="11" s="1"/>
  <c r="O1752" i="11"/>
  <c r="U1752" i="11" s="1"/>
  <c r="S1752" i="11" s="1"/>
  <c r="O1753" i="11"/>
  <c r="U1753" i="11" s="1"/>
  <c r="S1753" i="11" s="1"/>
  <c r="O1754" i="11"/>
  <c r="U1754" i="11" s="1"/>
  <c r="S1754" i="11" s="1"/>
  <c r="O1755" i="11"/>
  <c r="U1755" i="11" s="1"/>
  <c r="S1755" i="11" s="1"/>
  <c r="O1756" i="11"/>
  <c r="U1756" i="11" s="1"/>
  <c r="S1756" i="11" s="1"/>
  <c r="O1757" i="11"/>
  <c r="U1757" i="11" s="1"/>
  <c r="S1757" i="11" s="1"/>
  <c r="O1758" i="11"/>
  <c r="U1758" i="11" s="1"/>
  <c r="S1758" i="11" s="1"/>
  <c r="O1759" i="11"/>
  <c r="U1759" i="11" s="1"/>
  <c r="S1759" i="11" s="1"/>
  <c r="O1760" i="11"/>
  <c r="U1760" i="11" s="1"/>
  <c r="S1760" i="11" s="1"/>
  <c r="O1761" i="11"/>
  <c r="U1761" i="11" s="1"/>
  <c r="S1761" i="11" s="1"/>
  <c r="O1762" i="11"/>
  <c r="U1762" i="11" s="1"/>
  <c r="S1762" i="11" s="1"/>
  <c r="O1763" i="11"/>
  <c r="U1763" i="11" s="1"/>
  <c r="S1763" i="11" s="1"/>
  <c r="O1764" i="11"/>
  <c r="U1764" i="11" s="1"/>
  <c r="S1764" i="11" s="1"/>
  <c r="O1765" i="11"/>
  <c r="U1765" i="11" s="1"/>
  <c r="S1765" i="11" s="1"/>
  <c r="O1766" i="11"/>
  <c r="U1766" i="11" s="1"/>
  <c r="S1766" i="11" s="1"/>
  <c r="O1767" i="11"/>
  <c r="U1767" i="11" s="1"/>
  <c r="S1767" i="11" s="1"/>
  <c r="O1768" i="11"/>
  <c r="U1768" i="11" s="1"/>
  <c r="S1768" i="11" s="1"/>
  <c r="O1769" i="11"/>
  <c r="U1769" i="11" s="1"/>
  <c r="S1769" i="11" s="1"/>
  <c r="O1770" i="11"/>
  <c r="U1770" i="11" s="1"/>
  <c r="S1770" i="11" s="1"/>
  <c r="O1771" i="11"/>
  <c r="U1771" i="11" s="1"/>
  <c r="S1771" i="11" s="1"/>
  <c r="O1772" i="11"/>
  <c r="U1772" i="11" s="1"/>
  <c r="S1772" i="11" s="1"/>
  <c r="O1773" i="11"/>
  <c r="U1773" i="11" s="1"/>
  <c r="S1773" i="11" s="1"/>
  <c r="O1774" i="11"/>
  <c r="U1774" i="11" s="1"/>
  <c r="S1774" i="11" s="1"/>
  <c r="O1775" i="11"/>
  <c r="U1775" i="11" s="1"/>
  <c r="S1775" i="11" s="1"/>
  <c r="O1776" i="11"/>
  <c r="U1776" i="11"/>
  <c r="S1776" i="11" s="1"/>
  <c r="O1777" i="11"/>
  <c r="U1777" i="11" s="1"/>
  <c r="S1777" i="11" s="1"/>
  <c r="O1778" i="11"/>
  <c r="U1778" i="11" s="1"/>
  <c r="S1778" i="11" s="1"/>
  <c r="O1779" i="11"/>
  <c r="U1779" i="11" s="1"/>
  <c r="S1779" i="11" s="1"/>
  <c r="O1780" i="11"/>
  <c r="U1780" i="11" s="1"/>
  <c r="S1780" i="11" s="1"/>
  <c r="O1781" i="11"/>
  <c r="U1781" i="11" s="1"/>
  <c r="S1781" i="11" s="1"/>
  <c r="O1782" i="11"/>
  <c r="U1782" i="11" s="1"/>
  <c r="S1782" i="11" s="1"/>
  <c r="O1783" i="11"/>
  <c r="U1783" i="11" s="1"/>
  <c r="S1783" i="11" s="1"/>
  <c r="O1784" i="11"/>
  <c r="U1784" i="11"/>
  <c r="S1784" i="11" s="1"/>
  <c r="O1785" i="11"/>
  <c r="U1785" i="11" s="1"/>
  <c r="S1785" i="11" s="1"/>
  <c r="O1786" i="11"/>
  <c r="U1786" i="11" s="1"/>
  <c r="S1786" i="11" s="1"/>
  <c r="O1787" i="11"/>
  <c r="U1787" i="11" s="1"/>
  <c r="S1787" i="11" s="1"/>
  <c r="O1788" i="11"/>
  <c r="U1788" i="11" s="1"/>
  <c r="S1788" i="11" s="1"/>
  <c r="O1789" i="11"/>
  <c r="U1789" i="11" s="1"/>
  <c r="S1789" i="11" s="1"/>
  <c r="O1790" i="11"/>
  <c r="U1790" i="11" s="1"/>
  <c r="S1790" i="11" s="1"/>
  <c r="O1791" i="11"/>
  <c r="U1791" i="11" s="1"/>
  <c r="S1791" i="11" s="1"/>
  <c r="O1792" i="11"/>
  <c r="U1792" i="11"/>
  <c r="S1792" i="11" s="1"/>
  <c r="O1793" i="11"/>
  <c r="U1793" i="11" s="1"/>
  <c r="S1793" i="11" s="1"/>
  <c r="O1794" i="11"/>
  <c r="U1794" i="11" s="1"/>
  <c r="S1794" i="11" s="1"/>
  <c r="O1795" i="11"/>
  <c r="U1795" i="11" s="1"/>
  <c r="S1795" i="11" s="1"/>
  <c r="O1796" i="11"/>
  <c r="U1796" i="11" s="1"/>
  <c r="S1796" i="11" s="1"/>
  <c r="O1797" i="11"/>
  <c r="U1797" i="11" s="1"/>
  <c r="S1797" i="11" s="1"/>
  <c r="O1798" i="11"/>
  <c r="U1798" i="11" s="1"/>
  <c r="S1798" i="11" s="1"/>
  <c r="O1799" i="11"/>
  <c r="U1799" i="11" s="1"/>
  <c r="S1799" i="11" s="1"/>
  <c r="O1800" i="11"/>
  <c r="U1800" i="11"/>
  <c r="S1800" i="11" s="1"/>
  <c r="O1801" i="11"/>
  <c r="U1801" i="11" s="1"/>
  <c r="S1801" i="11" s="1"/>
  <c r="O1802" i="11"/>
  <c r="U1802" i="11" s="1"/>
  <c r="S1802" i="11" s="1"/>
  <c r="O1803" i="11"/>
  <c r="U1803" i="11" s="1"/>
  <c r="S1803" i="11" s="1"/>
  <c r="O1804" i="11"/>
  <c r="U1804" i="11" s="1"/>
  <c r="S1804" i="11" s="1"/>
  <c r="O1805" i="11"/>
  <c r="U1805" i="11" s="1"/>
  <c r="S1805" i="11" s="1"/>
  <c r="O1806" i="11"/>
  <c r="U1806" i="11" s="1"/>
  <c r="S1806" i="11" s="1"/>
  <c r="O1807" i="11"/>
  <c r="U1807" i="11" s="1"/>
  <c r="S1807" i="11" s="1"/>
  <c r="O1808" i="11"/>
  <c r="U1808" i="11" s="1"/>
  <c r="S1808" i="11" s="1"/>
  <c r="O1809" i="11"/>
  <c r="U1809" i="11" s="1"/>
  <c r="S1809" i="11" s="1"/>
  <c r="O1810" i="11"/>
  <c r="U1810" i="11" s="1"/>
  <c r="S1810" i="11" s="1"/>
  <c r="O1811" i="11"/>
  <c r="U1811" i="11" s="1"/>
  <c r="S1811" i="11" s="1"/>
  <c r="O1812" i="11"/>
  <c r="U1812" i="11" s="1"/>
  <c r="S1812" i="11" s="1"/>
  <c r="O1813" i="11"/>
  <c r="U1813" i="11" s="1"/>
  <c r="S1813" i="11" s="1"/>
  <c r="O1814" i="11"/>
  <c r="U1814" i="11" s="1"/>
  <c r="S1814" i="11" s="1"/>
  <c r="O1815" i="11"/>
  <c r="U1815" i="11" s="1"/>
  <c r="S1815" i="11" s="1"/>
  <c r="O1816" i="11"/>
  <c r="U1816" i="11"/>
  <c r="S1816" i="11" s="1"/>
  <c r="O1817" i="11"/>
  <c r="U1817" i="11" s="1"/>
  <c r="S1817" i="11" s="1"/>
  <c r="O1818" i="11"/>
  <c r="U1818" i="11" s="1"/>
  <c r="S1818" i="11" s="1"/>
  <c r="O1819" i="11"/>
  <c r="U1819" i="11" s="1"/>
  <c r="S1819" i="11" s="1"/>
  <c r="O1820" i="11"/>
  <c r="U1820" i="11" s="1"/>
  <c r="S1820" i="11" s="1"/>
  <c r="O1821" i="11"/>
  <c r="U1821" i="11" s="1"/>
  <c r="S1821" i="11" s="1"/>
  <c r="O1822" i="11"/>
  <c r="U1822" i="11" s="1"/>
  <c r="S1822" i="11" s="1"/>
  <c r="O1823" i="11"/>
  <c r="U1823" i="11" s="1"/>
  <c r="S1823" i="11" s="1"/>
  <c r="O1824" i="11"/>
  <c r="U1824" i="11" s="1"/>
  <c r="S1824" i="11" s="1"/>
  <c r="O1825" i="11"/>
  <c r="U1825" i="11" s="1"/>
  <c r="S1825" i="11" s="1"/>
  <c r="O1826" i="11"/>
  <c r="U1826" i="11" s="1"/>
  <c r="S1826" i="11" s="1"/>
  <c r="O1827" i="11"/>
  <c r="U1827" i="11" s="1"/>
  <c r="S1827" i="11" s="1"/>
  <c r="O1828" i="11"/>
  <c r="U1828" i="11" s="1"/>
  <c r="S1828" i="11" s="1"/>
  <c r="O1829" i="11"/>
  <c r="U1829" i="11" s="1"/>
  <c r="S1829" i="11" s="1"/>
  <c r="O1830" i="11"/>
  <c r="U1830" i="11" s="1"/>
  <c r="S1830" i="11" s="1"/>
  <c r="O1831" i="11"/>
  <c r="U1831" i="11" s="1"/>
  <c r="S1831" i="11" s="1"/>
  <c r="O1832" i="11"/>
  <c r="U1832" i="11"/>
  <c r="S1832" i="11" s="1"/>
  <c r="O1833" i="11"/>
  <c r="U1833" i="11" s="1"/>
  <c r="S1833" i="11" s="1"/>
  <c r="O1834" i="11"/>
  <c r="U1834" i="11" s="1"/>
  <c r="S1834" i="11" s="1"/>
  <c r="O1835" i="11"/>
  <c r="U1835" i="11" s="1"/>
  <c r="S1835" i="11" s="1"/>
  <c r="O1836" i="11"/>
  <c r="U1836" i="11" s="1"/>
  <c r="S1836" i="11" s="1"/>
  <c r="O1837" i="11"/>
  <c r="U1837" i="11" s="1"/>
  <c r="S1837" i="11" s="1"/>
  <c r="O1838" i="11"/>
  <c r="U1838" i="11" s="1"/>
  <c r="S1838" i="11" s="1"/>
  <c r="O1839" i="11"/>
  <c r="U1839" i="11" s="1"/>
  <c r="S1839" i="11" s="1"/>
  <c r="O1840" i="11"/>
  <c r="U1840" i="11"/>
  <c r="S1840" i="11" s="1"/>
  <c r="O1841" i="11"/>
  <c r="U1841" i="11" s="1"/>
  <c r="S1841" i="11" s="1"/>
  <c r="O1842" i="11"/>
  <c r="U1842" i="11" s="1"/>
  <c r="S1842" i="11" s="1"/>
  <c r="O1843" i="11"/>
  <c r="U1843" i="11" s="1"/>
  <c r="S1843" i="11" s="1"/>
  <c r="O1844" i="11"/>
  <c r="U1844" i="11" s="1"/>
  <c r="S1844" i="11" s="1"/>
  <c r="O1845" i="11"/>
  <c r="U1845" i="11" s="1"/>
  <c r="S1845" i="11" s="1"/>
  <c r="O1846" i="11"/>
  <c r="U1846" i="11" s="1"/>
  <c r="S1846" i="11" s="1"/>
  <c r="O1847" i="11"/>
  <c r="U1847" i="11" s="1"/>
  <c r="S1847" i="11" s="1"/>
  <c r="O1848" i="11"/>
  <c r="U1848" i="11"/>
  <c r="S1848" i="11" s="1"/>
  <c r="O1849" i="11"/>
  <c r="U1849" i="11" s="1"/>
  <c r="S1849" i="11" s="1"/>
  <c r="O1850" i="11"/>
  <c r="U1850" i="11" s="1"/>
  <c r="S1850" i="11" s="1"/>
  <c r="O1851" i="11"/>
  <c r="U1851" i="11" s="1"/>
  <c r="S1851" i="11" s="1"/>
  <c r="O1852" i="11"/>
  <c r="U1852" i="11" s="1"/>
  <c r="S1852" i="11" s="1"/>
  <c r="O1853" i="11"/>
  <c r="U1853" i="11" s="1"/>
  <c r="S1853" i="11" s="1"/>
  <c r="O1854" i="11"/>
  <c r="U1854" i="11" s="1"/>
  <c r="S1854" i="11" s="1"/>
  <c r="O1855" i="11"/>
  <c r="U1855" i="11" s="1"/>
  <c r="S1855" i="11" s="1"/>
  <c r="O1856" i="11"/>
  <c r="U1856" i="11" s="1"/>
  <c r="S1856" i="11" s="1"/>
  <c r="O1857" i="11"/>
  <c r="U1857" i="11" s="1"/>
  <c r="S1857" i="11" s="1"/>
  <c r="O1858" i="11"/>
  <c r="U1858" i="11" s="1"/>
  <c r="S1858" i="11" s="1"/>
  <c r="O1859" i="11"/>
  <c r="U1859" i="11" s="1"/>
  <c r="S1859" i="11" s="1"/>
  <c r="O1860" i="11"/>
  <c r="U1860" i="11" s="1"/>
  <c r="S1860" i="11" s="1"/>
  <c r="O1861" i="11"/>
  <c r="U1861" i="11" s="1"/>
  <c r="S1861" i="11" s="1"/>
  <c r="O1862" i="11"/>
  <c r="U1862" i="11" s="1"/>
  <c r="S1862" i="11" s="1"/>
  <c r="O1863" i="11"/>
  <c r="U1863" i="11" s="1"/>
  <c r="S1863" i="11" s="1"/>
  <c r="O1864" i="11"/>
  <c r="U1864" i="11" s="1"/>
  <c r="S1864" i="11" s="1"/>
  <c r="O1865" i="11"/>
  <c r="U1865" i="11" s="1"/>
  <c r="S1865" i="11" s="1"/>
  <c r="O1866" i="11"/>
  <c r="U1866" i="11" s="1"/>
  <c r="S1866" i="11" s="1"/>
  <c r="O1867" i="11"/>
  <c r="U1867" i="11" s="1"/>
  <c r="S1867" i="11" s="1"/>
  <c r="O1868" i="11"/>
  <c r="U1868" i="11" s="1"/>
  <c r="S1868" i="11" s="1"/>
  <c r="O1869" i="11"/>
  <c r="U1869" i="11" s="1"/>
  <c r="S1869" i="11" s="1"/>
  <c r="O1870" i="11"/>
  <c r="U1870" i="11" s="1"/>
  <c r="S1870" i="11" s="1"/>
  <c r="O1871" i="11"/>
  <c r="U1871" i="11" s="1"/>
  <c r="S1871" i="11" s="1"/>
  <c r="O1872" i="11"/>
  <c r="U1872" i="11" s="1"/>
  <c r="S1872" i="11" s="1"/>
  <c r="O1873" i="11"/>
  <c r="U1873" i="11" s="1"/>
  <c r="S1873" i="11" s="1"/>
  <c r="O1874" i="11"/>
  <c r="U1874" i="11" s="1"/>
  <c r="S1874" i="11" s="1"/>
  <c r="O1875" i="11"/>
  <c r="U1875" i="11" s="1"/>
  <c r="S1875" i="11" s="1"/>
  <c r="O1876" i="11"/>
  <c r="U1876" i="11"/>
  <c r="S1876" i="11" s="1"/>
  <c r="O1877" i="11"/>
  <c r="U1877" i="11" s="1"/>
  <c r="S1877" i="11" s="1"/>
  <c r="O1878" i="11"/>
  <c r="U1878" i="11"/>
  <c r="S1878" i="11" s="1"/>
  <c r="O1879" i="11"/>
  <c r="U1879" i="11" s="1"/>
  <c r="S1879" i="11" s="1"/>
  <c r="O1880" i="11"/>
  <c r="U1880" i="11" s="1"/>
  <c r="S1880" i="11" s="1"/>
  <c r="O1881" i="11"/>
  <c r="U1881" i="11" s="1"/>
  <c r="S1881" i="11" s="1"/>
  <c r="O1882" i="11"/>
  <c r="U1882" i="11"/>
  <c r="S1882" i="11" s="1"/>
  <c r="O1883" i="11"/>
  <c r="U1883" i="11" s="1"/>
  <c r="S1883" i="11" s="1"/>
  <c r="O1884" i="11"/>
  <c r="U1884" i="11"/>
  <c r="S1884" i="11" s="1"/>
  <c r="O1885" i="11"/>
  <c r="U1885" i="11" s="1"/>
  <c r="S1885" i="11" s="1"/>
  <c r="O1886" i="11"/>
  <c r="U1886" i="11"/>
  <c r="S1886" i="11" s="1"/>
  <c r="O1887" i="11"/>
  <c r="U1887" i="11" s="1"/>
  <c r="S1887" i="11" s="1"/>
  <c r="O1888" i="11"/>
  <c r="U1888" i="11" s="1"/>
  <c r="S1888" i="11" s="1"/>
  <c r="O1889" i="11"/>
  <c r="U1889" i="11" s="1"/>
  <c r="S1889" i="11" s="1"/>
  <c r="O1890" i="11"/>
  <c r="U1890" i="11" s="1"/>
  <c r="S1890" i="11" s="1"/>
  <c r="O1891" i="11"/>
  <c r="U1891" i="11" s="1"/>
  <c r="S1891" i="11" s="1"/>
  <c r="O1892" i="11"/>
  <c r="U1892" i="11" s="1"/>
  <c r="S1892" i="11" s="1"/>
  <c r="O1893" i="11"/>
  <c r="U1893" i="11" s="1"/>
  <c r="S1893" i="11" s="1"/>
  <c r="O1894" i="11"/>
  <c r="U1894" i="11" s="1"/>
  <c r="S1894" i="11" s="1"/>
  <c r="O1895" i="11"/>
  <c r="U1895" i="11" s="1"/>
  <c r="S1895" i="11" s="1"/>
  <c r="O1896" i="11"/>
  <c r="U1896" i="11" s="1"/>
  <c r="S1896" i="11" s="1"/>
  <c r="O1897" i="11"/>
  <c r="U1897" i="11" s="1"/>
  <c r="S1897" i="11" s="1"/>
  <c r="O1898" i="11"/>
  <c r="U1898" i="11" s="1"/>
  <c r="S1898" i="11" s="1"/>
  <c r="O1899" i="11"/>
  <c r="U1899" i="11" s="1"/>
  <c r="S1899" i="11" s="1"/>
  <c r="O1900" i="11"/>
  <c r="U1900" i="11"/>
  <c r="S1900" i="11" s="1"/>
  <c r="O1901" i="11"/>
  <c r="U1901" i="11" s="1"/>
  <c r="S1901" i="11" s="1"/>
  <c r="O1902" i="11"/>
  <c r="U1902" i="11"/>
  <c r="S1902" i="11" s="1"/>
  <c r="O1903" i="11"/>
  <c r="U1903" i="11" s="1"/>
  <c r="S1903" i="11" s="1"/>
  <c r="O1904" i="11"/>
  <c r="U1904" i="11" s="1"/>
  <c r="S1904" i="11" s="1"/>
  <c r="O1905" i="11"/>
  <c r="U1905" i="11" s="1"/>
  <c r="S1905" i="11" s="1"/>
  <c r="O1906" i="11"/>
  <c r="U1906" i="11"/>
  <c r="S1906" i="11" s="1"/>
  <c r="O1907" i="11"/>
  <c r="U1907" i="11" s="1"/>
  <c r="S1907" i="11" s="1"/>
  <c r="O1908" i="11"/>
  <c r="U1908" i="11"/>
  <c r="S1908" i="11" s="1"/>
  <c r="O1909" i="11"/>
  <c r="U1909" i="11" s="1"/>
  <c r="S1909" i="11" s="1"/>
  <c r="O1910" i="11"/>
  <c r="U1910" i="11" s="1"/>
  <c r="S1910" i="11" s="1"/>
  <c r="O1911" i="11"/>
  <c r="U1911" i="11" s="1"/>
  <c r="S1911" i="11" s="1"/>
  <c r="O1912" i="11"/>
  <c r="U1912" i="11"/>
  <c r="S1912" i="11" s="1"/>
  <c r="O1913" i="11"/>
  <c r="U1913" i="11" s="1"/>
  <c r="S1913" i="11"/>
  <c r="O1914" i="11"/>
  <c r="U1914" i="11" s="1"/>
  <c r="S1914" i="11" s="1"/>
  <c r="O1915" i="11"/>
  <c r="U1915" i="11" s="1"/>
  <c r="S1915" i="11" s="1"/>
  <c r="O1916" i="11"/>
  <c r="U1916" i="11"/>
  <c r="S1916" i="11" s="1"/>
  <c r="O1917" i="11"/>
  <c r="U1917" i="11" s="1"/>
  <c r="S1917" i="11" s="1"/>
  <c r="O1918" i="11"/>
  <c r="U1918" i="11" s="1"/>
  <c r="S1918" i="11" s="1"/>
  <c r="O1919" i="11"/>
  <c r="U1919" i="11" s="1"/>
  <c r="S1919" i="11" s="1"/>
  <c r="O1920" i="11"/>
  <c r="U1920" i="11" s="1"/>
  <c r="S1920" i="11" s="1"/>
  <c r="O1921" i="11"/>
  <c r="U1921" i="11" s="1"/>
  <c r="S1921" i="11" s="1"/>
  <c r="O1922" i="11"/>
  <c r="U1922" i="11"/>
  <c r="S1922" i="11" s="1"/>
  <c r="O1923" i="11"/>
  <c r="U1923" i="11" s="1"/>
  <c r="S1923" i="11" s="1"/>
  <c r="O1924" i="11"/>
  <c r="U1924" i="11" s="1"/>
  <c r="S1924" i="11" s="1"/>
  <c r="O1925" i="11"/>
  <c r="U1925" i="11" s="1"/>
  <c r="S1925" i="11" s="1"/>
  <c r="O1926" i="11"/>
  <c r="U1926" i="11" s="1"/>
  <c r="S1926" i="11" s="1"/>
  <c r="O1927" i="11"/>
  <c r="U1927" i="11" s="1"/>
  <c r="S1927" i="11" s="1"/>
  <c r="O1928" i="11"/>
  <c r="U1928" i="11" s="1"/>
  <c r="S1928" i="11" s="1"/>
  <c r="O1929" i="11"/>
  <c r="U1929" i="11" s="1"/>
  <c r="S1929" i="11" s="1"/>
  <c r="O1930" i="11"/>
  <c r="U1930" i="11" s="1"/>
  <c r="S1930" i="11" s="1"/>
  <c r="O1931" i="11"/>
  <c r="U1931" i="11" s="1"/>
  <c r="S1931" i="11" s="1"/>
  <c r="O1932" i="11"/>
  <c r="U1932" i="11" s="1"/>
  <c r="S1932" i="11" s="1"/>
  <c r="O1933" i="11"/>
  <c r="U1933" i="11" s="1"/>
  <c r="S1933" i="11" s="1"/>
  <c r="O1934" i="11"/>
  <c r="U1934" i="11" s="1"/>
  <c r="S1934" i="11" s="1"/>
  <c r="O1935" i="11"/>
  <c r="U1935" i="11" s="1"/>
  <c r="S1935" i="11" s="1"/>
  <c r="O1936" i="11"/>
  <c r="U1936" i="11" s="1"/>
  <c r="S1936" i="11" s="1"/>
  <c r="O1937" i="11"/>
  <c r="U1937" i="11" s="1"/>
  <c r="S1937" i="11" s="1"/>
  <c r="O1938" i="11"/>
  <c r="U1938" i="11" s="1"/>
  <c r="S1938" i="11" s="1"/>
  <c r="O1939" i="11"/>
  <c r="U1939" i="11"/>
  <c r="S1939" i="11" s="1"/>
  <c r="O1940" i="11"/>
  <c r="U1940" i="11" s="1"/>
  <c r="S1940" i="11" s="1"/>
  <c r="O1941" i="11"/>
  <c r="U1941" i="11" s="1"/>
  <c r="S1941" i="11" s="1"/>
  <c r="O1942" i="11"/>
  <c r="U1942" i="11" s="1"/>
  <c r="S1942" i="11" s="1"/>
  <c r="O1943" i="11"/>
  <c r="U1943" i="11"/>
  <c r="S1943" i="11"/>
  <c r="O1944" i="11"/>
  <c r="U1944" i="11" s="1"/>
  <c r="S1944" i="11"/>
  <c r="O1945" i="11"/>
  <c r="U1945" i="11" s="1"/>
  <c r="S1945" i="11" s="1"/>
  <c r="O1946" i="11"/>
  <c r="U1946" i="11" s="1"/>
  <c r="S1946" i="11" s="1"/>
  <c r="O1947" i="11"/>
  <c r="U1947" i="11"/>
  <c r="S1947" i="11" s="1"/>
  <c r="O1948" i="11"/>
  <c r="U1948" i="11" s="1"/>
  <c r="S1948" i="11" s="1"/>
  <c r="O1949" i="11"/>
  <c r="U1949" i="11" s="1"/>
  <c r="S1949" i="11" s="1"/>
  <c r="O1950" i="11"/>
  <c r="U1950" i="11" s="1"/>
  <c r="S1950" i="11" s="1"/>
  <c r="O1951" i="11"/>
  <c r="U1951" i="11"/>
  <c r="S1951" i="11" s="1"/>
  <c r="O1952" i="11"/>
  <c r="U1952" i="11" s="1"/>
  <c r="S1952" i="11" s="1"/>
  <c r="O1953" i="11"/>
  <c r="U1953" i="11" s="1"/>
  <c r="S1953" i="11" s="1"/>
  <c r="O1954" i="11"/>
  <c r="U1954" i="11" s="1"/>
  <c r="S1954" i="11" s="1"/>
  <c r="O1955" i="11"/>
  <c r="U1955" i="11" s="1"/>
  <c r="S1955" i="11" s="1"/>
  <c r="O1956" i="11"/>
  <c r="U1956" i="11" s="1"/>
  <c r="S1956" i="11" s="1"/>
  <c r="O1957" i="11"/>
  <c r="U1957" i="11" s="1"/>
  <c r="S1957" i="11" s="1"/>
  <c r="O1958" i="11"/>
  <c r="U1958" i="11" s="1"/>
  <c r="S1958" i="11" s="1"/>
  <c r="O1959" i="11"/>
  <c r="U1959" i="11" s="1"/>
  <c r="S1959" i="11" s="1"/>
  <c r="O1960" i="11"/>
  <c r="U1960" i="11" s="1"/>
  <c r="S1960" i="11" s="1"/>
  <c r="O1961" i="11"/>
  <c r="U1961" i="11" s="1"/>
  <c r="S1961" i="11" s="1"/>
  <c r="O1962" i="11"/>
  <c r="U1962" i="11" s="1"/>
  <c r="S1962" i="11" s="1"/>
  <c r="O1963" i="11"/>
  <c r="U1963" i="11" s="1"/>
  <c r="S1963" i="11" s="1"/>
  <c r="O1964" i="11"/>
  <c r="U1964" i="11" s="1"/>
  <c r="S1964" i="11" s="1"/>
  <c r="O1965" i="11"/>
  <c r="U1965" i="11" s="1"/>
  <c r="S1965" i="11" s="1"/>
  <c r="O1966" i="11"/>
  <c r="U1966" i="11" s="1"/>
  <c r="S1966" i="11" s="1"/>
  <c r="O1967" i="11"/>
  <c r="U1967" i="11" s="1"/>
  <c r="S1967" i="11" s="1"/>
  <c r="O1968" i="11"/>
  <c r="U1968" i="11" s="1"/>
  <c r="S1968" i="11" s="1"/>
  <c r="O1969" i="11"/>
  <c r="U1969" i="11" s="1"/>
  <c r="S1969" i="11" s="1"/>
  <c r="O1970" i="11"/>
  <c r="U1970" i="11" s="1"/>
  <c r="S1970" i="11" s="1"/>
  <c r="O1971" i="11"/>
  <c r="U1971" i="11" s="1"/>
  <c r="S1971" i="11" s="1"/>
  <c r="O1972" i="11"/>
  <c r="U1972" i="11" s="1"/>
  <c r="S1972" i="11" s="1"/>
  <c r="O1973" i="11"/>
  <c r="U1973" i="11" s="1"/>
  <c r="S1973" i="11" s="1"/>
  <c r="O1974" i="11"/>
  <c r="U1974" i="11" s="1"/>
  <c r="S1974" i="11" s="1"/>
  <c r="O1975" i="11"/>
  <c r="U1975" i="11"/>
  <c r="S1975" i="11" s="1"/>
  <c r="O1976" i="11"/>
  <c r="U1976" i="11" s="1"/>
  <c r="S1976" i="11" s="1"/>
  <c r="O1977" i="11"/>
  <c r="U1977" i="11" s="1"/>
  <c r="S1977" i="11" s="1"/>
  <c r="O1978" i="11"/>
  <c r="U1978" i="11" s="1"/>
  <c r="S1978" i="11" s="1"/>
  <c r="O1979" i="11"/>
  <c r="U1979" i="11" s="1"/>
  <c r="S1979" i="11" s="1"/>
  <c r="O1980" i="11"/>
  <c r="U1980" i="11" s="1"/>
  <c r="S1980" i="11" s="1"/>
  <c r="O1981" i="11"/>
  <c r="U1981" i="11" s="1"/>
  <c r="S1981" i="11" s="1"/>
  <c r="O1982" i="11"/>
  <c r="U1982" i="11" s="1"/>
  <c r="S1982" i="11" s="1"/>
  <c r="O1983" i="11"/>
  <c r="U1983" i="11" s="1"/>
  <c r="S1983" i="11" s="1"/>
  <c r="O1984" i="11"/>
  <c r="U1984" i="11" s="1"/>
  <c r="S1984" i="11" s="1"/>
  <c r="O1985" i="11"/>
  <c r="U1985" i="11" s="1"/>
  <c r="S1985" i="11" s="1"/>
  <c r="O1986" i="11"/>
  <c r="U1986" i="11" s="1"/>
  <c r="S1986" i="11" s="1"/>
  <c r="O1987" i="11"/>
  <c r="U1987" i="11"/>
  <c r="S1987" i="11" s="1"/>
  <c r="O1988" i="11"/>
  <c r="U1988" i="11" s="1"/>
  <c r="S1988" i="11" s="1"/>
  <c r="O1989" i="11"/>
  <c r="U1989" i="11" s="1"/>
  <c r="S1989" i="11" s="1"/>
  <c r="O1990" i="11"/>
  <c r="U1990" i="11" s="1"/>
  <c r="S1990" i="11" s="1"/>
  <c r="O1991" i="11"/>
  <c r="U1991" i="11" s="1"/>
  <c r="S1991" i="11" s="1"/>
  <c r="O1992" i="11"/>
  <c r="U1992" i="11" s="1"/>
  <c r="S1992" i="11" s="1"/>
  <c r="O1993" i="11"/>
  <c r="U1993" i="11" s="1"/>
  <c r="S1993" i="11" s="1"/>
  <c r="O1994" i="11"/>
  <c r="U1994" i="11" s="1"/>
  <c r="S1994" i="11" s="1"/>
  <c r="O1995" i="11"/>
  <c r="U1995" i="11" s="1"/>
  <c r="S1995" i="11" s="1"/>
  <c r="O1996" i="11"/>
  <c r="U1996" i="11" s="1"/>
  <c r="S1996" i="11" s="1"/>
  <c r="O1997" i="11"/>
  <c r="U1997" i="11" s="1"/>
  <c r="S1997" i="11" s="1"/>
  <c r="O1998" i="11"/>
  <c r="U1998" i="11" s="1"/>
  <c r="S1998" i="11" s="1"/>
  <c r="O1999" i="11"/>
  <c r="U1999" i="11"/>
  <c r="S1999" i="11" s="1"/>
  <c r="O2000" i="11"/>
  <c r="U2000" i="11" s="1"/>
  <c r="S2000" i="11" s="1"/>
  <c r="O2001" i="11"/>
  <c r="U2001" i="11" s="1"/>
  <c r="S2001" i="11" s="1"/>
  <c r="O2002" i="11"/>
  <c r="U2002" i="11" s="1"/>
  <c r="S2002" i="11" s="1"/>
  <c r="O2003" i="11"/>
  <c r="U2003" i="11" s="1"/>
  <c r="S2003" i="11" s="1"/>
  <c r="O2004" i="11"/>
  <c r="U2004" i="11" s="1"/>
  <c r="S2004" i="11" s="1"/>
  <c r="O2005" i="11"/>
  <c r="U2005" i="11" s="1"/>
  <c r="S2005" i="11" s="1"/>
  <c r="O2006" i="11"/>
  <c r="U2006" i="11" s="1"/>
  <c r="S2006" i="11" s="1"/>
  <c r="O2007" i="11"/>
  <c r="U2007" i="11" s="1"/>
  <c r="S2007" i="11" s="1"/>
  <c r="O2008" i="11"/>
  <c r="U2008" i="11" s="1"/>
  <c r="S2008" i="11" s="1"/>
  <c r="O2009" i="11"/>
  <c r="U2009" i="11" s="1"/>
  <c r="S2009" i="11" s="1"/>
  <c r="O2010" i="11"/>
  <c r="U2010" i="11" s="1"/>
  <c r="S2010" i="11" s="1"/>
  <c r="O2011" i="11"/>
  <c r="U2011" i="11"/>
  <c r="S2011" i="11"/>
  <c r="O2012" i="11"/>
  <c r="U2012" i="11" s="1"/>
  <c r="S2012" i="11" s="1"/>
  <c r="O2013" i="11"/>
  <c r="U2013" i="11" s="1"/>
  <c r="S2013" i="11" s="1"/>
  <c r="O2014" i="11"/>
  <c r="U2014" i="11" s="1"/>
  <c r="S2014" i="11" s="1"/>
  <c r="O2015" i="11"/>
  <c r="U2015" i="11" s="1"/>
  <c r="S2015" i="11" s="1"/>
  <c r="O2016" i="11"/>
  <c r="U2016" i="11" s="1"/>
  <c r="S2016" i="11" s="1"/>
  <c r="O2017" i="11"/>
  <c r="U2017" i="11" s="1"/>
  <c r="S2017" i="11" s="1"/>
  <c r="O2018" i="11"/>
  <c r="U2018" i="11" s="1"/>
  <c r="S2018" i="11" s="1"/>
  <c r="O2019" i="11"/>
  <c r="U2019" i="11"/>
  <c r="S2019" i="11" s="1"/>
  <c r="O2020" i="11"/>
  <c r="U2020" i="11" s="1"/>
  <c r="S2020" i="11" s="1"/>
  <c r="O2021" i="11"/>
  <c r="U2021" i="11" s="1"/>
  <c r="S2021" i="11" s="1"/>
  <c r="O2022" i="11"/>
  <c r="U2022" i="11" s="1"/>
  <c r="S2022" i="11" s="1"/>
  <c r="O2023" i="11"/>
  <c r="U2023" i="11" s="1"/>
  <c r="S2023" i="11" s="1"/>
  <c r="O2024" i="11"/>
  <c r="U2024" i="11" s="1"/>
  <c r="S2024" i="11" s="1"/>
  <c r="O2025" i="11"/>
  <c r="U2025" i="11" s="1"/>
  <c r="S2025" i="11" s="1"/>
  <c r="O2026" i="11"/>
  <c r="U2026" i="11" s="1"/>
  <c r="S2026" i="11" s="1"/>
  <c r="O2027" i="11"/>
  <c r="U2027" i="11"/>
  <c r="S2027" i="11" s="1"/>
  <c r="O2028" i="11"/>
  <c r="U2028" i="11" s="1"/>
  <c r="S2028" i="11" s="1"/>
  <c r="O2029" i="11"/>
  <c r="U2029" i="11" s="1"/>
  <c r="S2029" i="11" s="1"/>
  <c r="O2030" i="11"/>
  <c r="U2030" i="11" s="1"/>
  <c r="S2030" i="11" s="1"/>
  <c r="O2031" i="11"/>
  <c r="U2031" i="11" s="1"/>
  <c r="S2031" i="11" s="1"/>
  <c r="O2032" i="11"/>
  <c r="U2032" i="11" s="1"/>
  <c r="S2032" i="11" s="1"/>
  <c r="O2033" i="11"/>
  <c r="U2033" i="11" s="1"/>
  <c r="S2033" i="11" s="1"/>
  <c r="O2034" i="11"/>
  <c r="U2034" i="11" s="1"/>
  <c r="S2034" i="11" s="1"/>
  <c r="O2035" i="11"/>
  <c r="U2035" i="11" s="1"/>
  <c r="S2035" i="11" s="1"/>
  <c r="O2036" i="11"/>
  <c r="U2036" i="11" s="1"/>
  <c r="S2036" i="11" s="1"/>
  <c r="O2037" i="11"/>
  <c r="U2037" i="11" s="1"/>
  <c r="S2037" i="11" s="1"/>
  <c r="O2038" i="11"/>
  <c r="U2038" i="11" s="1"/>
  <c r="S2038" i="11" s="1"/>
  <c r="O2039" i="11"/>
  <c r="U2039" i="11" s="1"/>
  <c r="S2039" i="11" s="1"/>
  <c r="O2040" i="11"/>
  <c r="U2040" i="11" s="1"/>
  <c r="S2040" i="11" s="1"/>
  <c r="O2041" i="11"/>
  <c r="U2041" i="11" s="1"/>
  <c r="S2041" i="11" s="1"/>
  <c r="O2042" i="11"/>
  <c r="U2042" i="11" s="1"/>
  <c r="S2042" i="11" s="1"/>
  <c r="O2043" i="11"/>
  <c r="U2043" i="11" s="1"/>
  <c r="S2043" i="11" s="1"/>
  <c r="O2044" i="11"/>
  <c r="U2044" i="11" s="1"/>
  <c r="S2044" i="11" s="1"/>
  <c r="O2045" i="11"/>
  <c r="U2045" i="11" s="1"/>
  <c r="S2045" i="11" s="1"/>
  <c r="O2046" i="11"/>
  <c r="U2046" i="11" s="1"/>
  <c r="S2046" i="11" s="1"/>
  <c r="O2047" i="11"/>
  <c r="U2047" i="11"/>
  <c r="S2047" i="11" s="1"/>
  <c r="O2048" i="11"/>
  <c r="U2048" i="11" s="1"/>
  <c r="S2048" i="11"/>
  <c r="O2049" i="11"/>
  <c r="U2049" i="11" s="1"/>
  <c r="S2049" i="11" s="1"/>
  <c r="O2050" i="11"/>
  <c r="U2050" i="11" s="1"/>
  <c r="S2050" i="11" s="1"/>
  <c r="O2051" i="11"/>
  <c r="U2051" i="11" s="1"/>
  <c r="S2051" i="11" s="1"/>
  <c r="O2052" i="11"/>
  <c r="U2052" i="11" s="1"/>
  <c r="S2052" i="11" s="1"/>
  <c r="O2053" i="11"/>
  <c r="U2053" i="11" s="1"/>
  <c r="S2053" i="11" s="1"/>
  <c r="O2054" i="11"/>
  <c r="U2054" i="11" s="1"/>
  <c r="S2054" i="11" s="1"/>
  <c r="O2055" i="11"/>
  <c r="U2055" i="11" s="1"/>
  <c r="S2055" i="11" s="1"/>
  <c r="O2056" i="11"/>
  <c r="U2056" i="11" s="1"/>
  <c r="S2056" i="11" s="1"/>
  <c r="O2057" i="11"/>
  <c r="U2057" i="11" s="1"/>
  <c r="S2057" i="11" s="1"/>
  <c r="O2058" i="11"/>
  <c r="U2058" i="11" s="1"/>
  <c r="S2058" i="11" s="1"/>
  <c r="O2059" i="11"/>
  <c r="U2059" i="11" s="1"/>
  <c r="S2059" i="11" s="1"/>
  <c r="O2060" i="11"/>
  <c r="U2060" i="11" s="1"/>
  <c r="S2060" i="11" s="1"/>
  <c r="O2061" i="11"/>
  <c r="U2061" i="11" s="1"/>
  <c r="S2061" i="11" s="1"/>
  <c r="O2062" i="11"/>
  <c r="U2062" i="11" s="1"/>
  <c r="S2062" i="11" s="1"/>
  <c r="O2063" i="11"/>
  <c r="U2063" i="11" s="1"/>
  <c r="S2063" i="11" s="1"/>
  <c r="O2064" i="11"/>
  <c r="U2064" i="11" s="1"/>
  <c r="S2064" i="11" s="1"/>
  <c r="O2065" i="11"/>
  <c r="U2065" i="11" s="1"/>
  <c r="S2065" i="11" s="1"/>
  <c r="O2066" i="11"/>
  <c r="U2066" i="11" s="1"/>
  <c r="S2066" i="11" s="1"/>
  <c r="O2067" i="11"/>
  <c r="U2067" i="11" s="1"/>
  <c r="S2067" i="11" s="1"/>
  <c r="O2068" i="11"/>
  <c r="U2068" i="11" s="1"/>
  <c r="S2068" i="11" s="1"/>
  <c r="O2069" i="11"/>
  <c r="U2069" i="11" s="1"/>
  <c r="S2069" i="11" s="1"/>
  <c r="O2070" i="11"/>
  <c r="U2070" i="11" s="1"/>
  <c r="S2070" i="11" s="1"/>
  <c r="O2071" i="11"/>
  <c r="U2071" i="11" s="1"/>
  <c r="S2071" i="11" s="1"/>
  <c r="O2072" i="11"/>
  <c r="U2072" i="11" s="1"/>
  <c r="S2072" i="11"/>
  <c r="O2073" i="11"/>
  <c r="U2073" i="11" s="1"/>
  <c r="S2073" i="11" s="1"/>
  <c r="O2074" i="11"/>
  <c r="U2074" i="11" s="1"/>
  <c r="S2074" i="11" s="1"/>
  <c r="O2075" i="11"/>
  <c r="U2075" i="11" s="1"/>
  <c r="S2075" i="11" s="1"/>
  <c r="O2076" i="11"/>
  <c r="U2076" i="11" s="1"/>
  <c r="S2076" i="11" s="1"/>
  <c r="O2077" i="11"/>
  <c r="U2077" i="11" s="1"/>
  <c r="S2077" i="11" s="1"/>
  <c r="O2078" i="11"/>
  <c r="U2078" i="11" s="1"/>
  <c r="S2078" i="11" s="1"/>
  <c r="O2079" i="11"/>
  <c r="U2079" i="11" s="1"/>
  <c r="S2079" i="11" s="1"/>
  <c r="O2080" i="11"/>
  <c r="U2080" i="11" s="1"/>
  <c r="S2080" i="11" s="1"/>
  <c r="O2081" i="11"/>
  <c r="U2081" i="11" s="1"/>
  <c r="S2081" i="11" s="1"/>
  <c r="O2082" i="11"/>
  <c r="U2082" i="11" s="1"/>
  <c r="S2082" i="11" s="1"/>
  <c r="O2083" i="11"/>
  <c r="U2083" i="11"/>
  <c r="S2083" i="11" s="1"/>
  <c r="O2084" i="11"/>
  <c r="U2084" i="11" s="1"/>
  <c r="S2084" i="11" s="1"/>
  <c r="O2085" i="11"/>
  <c r="U2085" i="11" s="1"/>
  <c r="S2085" i="11" s="1"/>
  <c r="O2086" i="11"/>
  <c r="U2086" i="11" s="1"/>
  <c r="S2086" i="11" s="1"/>
  <c r="O2087" i="11"/>
  <c r="U2087" i="11"/>
  <c r="S2087" i="11"/>
  <c r="O2088" i="11"/>
  <c r="U2088" i="11" s="1"/>
  <c r="S2088" i="11" s="1"/>
  <c r="O2089" i="11"/>
  <c r="U2089" i="11" s="1"/>
  <c r="S2089" i="11" s="1"/>
  <c r="O2090" i="11"/>
  <c r="U2090" i="11" s="1"/>
  <c r="S2090" i="11" s="1"/>
  <c r="O2091" i="11"/>
  <c r="U2091" i="11" s="1"/>
  <c r="S2091" i="11" s="1"/>
  <c r="O2092" i="11"/>
  <c r="U2092" i="11" s="1"/>
  <c r="S2092" i="11" s="1"/>
  <c r="O2093" i="11"/>
  <c r="U2093" i="11" s="1"/>
  <c r="S2093" i="11" s="1"/>
  <c r="O2094" i="11"/>
  <c r="U2094" i="11" s="1"/>
  <c r="S2094" i="11" s="1"/>
  <c r="O2095" i="11"/>
  <c r="U2095" i="11" s="1"/>
  <c r="S2095" i="11" s="1"/>
  <c r="O2096" i="11"/>
  <c r="U2096" i="11" s="1"/>
  <c r="S2096" i="11" s="1"/>
  <c r="O2097" i="11"/>
  <c r="U2097" i="11" s="1"/>
  <c r="S2097" i="11" s="1"/>
  <c r="O2098" i="11"/>
  <c r="U2098" i="11" s="1"/>
  <c r="S2098" i="11" s="1"/>
  <c r="O2099" i="11"/>
  <c r="U2099" i="11" s="1"/>
  <c r="S2099" i="11" s="1"/>
  <c r="O2100" i="11"/>
  <c r="U2100" i="11" s="1"/>
  <c r="S2100" i="11"/>
  <c r="O2101" i="11"/>
  <c r="U2101" i="11" s="1"/>
  <c r="S2101" i="11" s="1"/>
  <c r="O2102" i="11"/>
  <c r="U2102" i="11" s="1"/>
  <c r="S2102" i="11" s="1"/>
  <c r="O2103" i="11"/>
  <c r="U2103" i="11" s="1"/>
  <c r="S2103" i="11" s="1"/>
  <c r="O2104" i="11"/>
  <c r="U2104" i="11" s="1"/>
  <c r="S2104" i="11" s="1"/>
  <c r="O2105" i="11"/>
  <c r="U2105" i="11" s="1"/>
  <c r="S2105" i="11" s="1"/>
  <c r="O2106" i="11"/>
  <c r="U2106" i="11" s="1"/>
  <c r="S2106" i="11" s="1"/>
  <c r="O2107" i="11"/>
  <c r="U2107" i="11"/>
  <c r="S2107" i="11" s="1"/>
  <c r="O2108" i="11"/>
  <c r="U2108" i="11" s="1"/>
  <c r="S2108" i="11" s="1"/>
  <c r="O2109" i="11"/>
  <c r="U2109" i="11" s="1"/>
  <c r="S2109" i="11" s="1"/>
  <c r="O2110" i="11"/>
  <c r="U2110" i="11" s="1"/>
  <c r="S2110" i="11" s="1"/>
  <c r="O2111" i="11"/>
  <c r="U2111" i="11" s="1"/>
  <c r="S2111" i="11" s="1"/>
  <c r="O2112" i="11"/>
  <c r="U2112" i="11" s="1"/>
  <c r="S2112" i="11" s="1"/>
  <c r="O2113" i="11"/>
  <c r="U2113" i="11" s="1"/>
  <c r="S2113" i="11" s="1"/>
  <c r="O2114" i="11"/>
  <c r="U2114" i="11" s="1"/>
  <c r="S2114" i="11" s="1"/>
  <c r="O2115" i="11"/>
  <c r="U2115" i="11" s="1"/>
  <c r="S2115" i="11" s="1"/>
  <c r="O2116" i="11"/>
  <c r="U2116" i="11" s="1"/>
  <c r="S2116" i="11"/>
  <c r="O2117" i="11"/>
  <c r="U2117" i="11" s="1"/>
  <c r="S2117" i="11" s="1"/>
  <c r="O2118" i="11"/>
  <c r="U2118" i="11" s="1"/>
  <c r="S2118" i="11" s="1"/>
  <c r="O2119" i="11"/>
  <c r="U2119" i="11" s="1"/>
  <c r="S2119" i="11" s="1"/>
  <c r="O2120" i="11"/>
  <c r="U2120" i="11" s="1"/>
  <c r="S2120" i="11"/>
  <c r="O2121" i="11"/>
  <c r="U2121" i="11" s="1"/>
  <c r="S2121" i="11" s="1"/>
  <c r="O2122" i="11"/>
  <c r="U2122" i="11" s="1"/>
  <c r="S2122" i="11" s="1"/>
  <c r="O2123" i="11"/>
  <c r="U2123" i="11" s="1"/>
  <c r="S2123" i="11" s="1"/>
  <c r="O2124" i="11"/>
  <c r="U2124" i="11" s="1"/>
  <c r="S2124" i="11" s="1"/>
  <c r="O2125" i="11"/>
  <c r="U2125" i="11" s="1"/>
  <c r="S2125" i="11" s="1"/>
  <c r="O2126" i="11"/>
  <c r="U2126" i="11"/>
  <c r="S2126" i="11" s="1"/>
  <c r="O2127" i="11"/>
  <c r="U2127" i="11" s="1"/>
  <c r="S2127" i="11" s="1"/>
  <c r="O2128" i="11"/>
  <c r="U2128" i="11" s="1"/>
  <c r="S2128" i="11"/>
  <c r="O2129" i="11"/>
  <c r="U2129" i="11" s="1"/>
  <c r="S2129" i="11" s="1"/>
  <c r="O2130" i="11"/>
  <c r="U2130" i="11" s="1"/>
  <c r="S2130" i="11" s="1"/>
  <c r="O2131" i="11"/>
  <c r="U2131" i="11" s="1"/>
  <c r="S2131" i="11" s="1"/>
  <c r="O2132" i="11"/>
  <c r="U2132" i="11" s="1"/>
  <c r="S2132" i="11" s="1"/>
  <c r="O2133" i="11"/>
  <c r="U2133" i="11" s="1"/>
  <c r="S2133" i="11" s="1"/>
  <c r="O2134" i="11"/>
  <c r="U2134" i="11" s="1"/>
  <c r="S2134" i="11" s="1"/>
  <c r="O2135" i="11"/>
  <c r="U2135" i="11" s="1"/>
  <c r="S2135" i="11" s="1"/>
  <c r="O2136" i="11"/>
  <c r="U2136" i="11" s="1"/>
  <c r="S2136" i="11"/>
  <c r="O2137" i="11"/>
  <c r="U2137" i="11" s="1"/>
  <c r="S2137" i="11" s="1"/>
  <c r="O2138" i="11"/>
  <c r="U2138" i="11" s="1"/>
  <c r="S2138" i="11" s="1"/>
  <c r="O2139" i="11"/>
  <c r="U2139" i="11" s="1"/>
  <c r="S2139" i="11" s="1"/>
  <c r="O2140" i="11"/>
  <c r="U2140" i="11" s="1"/>
  <c r="S2140" i="11" s="1"/>
  <c r="O2141" i="11"/>
  <c r="U2141" i="11" s="1"/>
  <c r="S2141" i="11" s="1"/>
  <c r="O2142" i="11"/>
  <c r="U2142" i="11" s="1"/>
  <c r="S2142" i="11" s="1"/>
  <c r="O2143" i="11"/>
  <c r="U2143" i="11" s="1"/>
  <c r="S2143" i="11" s="1"/>
  <c r="O2144" i="11"/>
  <c r="U2144" i="11" s="1"/>
  <c r="S2144" i="11" s="1"/>
  <c r="O2145" i="11"/>
  <c r="U2145" i="11" s="1"/>
  <c r="S2145" i="11" s="1"/>
  <c r="O2146" i="11"/>
  <c r="U2146" i="11"/>
  <c r="S2146" i="11" s="1"/>
  <c r="O2147" i="11"/>
  <c r="U2147" i="11" s="1"/>
  <c r="S2147" i="11" s="1"/>
  <c r="O2148" i="11"/>
  <c r="U2148" i="11" s="1"/>
  <c r="S2148" i="11"/>
  <c r="O2149" i="11"/>
  <c r="U2149" i="11" s="1"/>
  <c r="S2149" i="11" s="1"/>
  <c r="O2150" i="11"/>
  <c r="U2150" i="11" s="1"/>
  <c r="S2150" i="11" s="1"/>
  <c r="O2151" i="11"/>
  <c r="U2151" i="11" s="1"/>
  <c r="S2151" i="11" s="1"/>
  <c r="O2152" i="11"/>
  <c r="U2152" i="11" s="1"/>
  <c r="S2152" i="11" s="1"/>
  <c r="O2153" i="11"/>
  <c r="U2153" i="11" s="1"/>
  <c r="S2153" i="11" s="1"/>
  <c r="O2154" i="11"/>
  <c r="U2154" i="11" s="1"/>
  <c r="S2154" i="11" s="1"/>
  <c r="O2155" i="11"/>
  <c r="U2155" i="11"/>
  <c r="S2155" i="11" s="1"/>
  <c r="O2156" i="11"/>
  <c r="U2156" i="11" s="1"/>
  <c r="S2156" i="11" s="1"/>
  <c r="O2157" i="11"/>
  <c r="U2157" i="11" s="1"/>
  <c r="S2157" i="11" s="1"/>
  <c r="O2158" i="11"/>
  <c r="U2158" i="11" s="1"/>
  <c r="S2158" i="11" s="1"/>
  <c r="O2159" i="11"/>
  <c r="U2159" i="11"/>
  <c r="S2159" i="11" s="1"/>
  <c r="O2160" i="11"/>
  <c r="U2160" i="11" s="1"/>
  <c r="S2160" i="11" s="1"/>
  <c r="O2161" i="11"/>
  <c r="U2161" i="11" s="1"/>
  <c r="S2161" i="11" s="1"/>
  <c r="O2162" i="11"/>
  <c r="U2162" i="11" s="1"/>
  <c r="S2162" i="11" s="1"/>
  <c r="O2163" i="11"/>
  <c r="U2163" i="11" s="1"/>
  <c r="S2163" i="11" s="1"/>
  <c r="O2164" i="11"/>
  <c r="U2164" i="11" s="1"/>
  <c r="S2164" i="11" s="1"/>
  <c r="O2165" i="11"/>
  <c r="U2165" i="11" s="1"/>
  <c r="S2165" i="11" s="1"/>
  <c r="O2166" i="11"/>
  <c r="U2166" i="11" s="1"/>
  <c r="S2166" i="11" s="1"/>
  <c r="O2167" i="11"/>
  <c r="U2167" i="11"/>
  <c r="S2167" i="11" s="1"/>
  <c r="O2168" i="11"/>
  <c r="U2168" i="11" s="1"/>
  <c r="S2168" i="11" s="1"/>
  <c r="O2169" i="11"/>
  <c r="U2169" i="11" s="1"/>
  <c r="S2169" i="11" s="1"/>
  <c r="O2170" i="11"/>
  <c r="U2170" i="11" s="1"/>
  <c r="S2170" i="11" s="1"/>
  <c r="O2171" i="11"/>
  <c r="U2171" i="11" s="1"/>
  <c r="S2171" i="11" s="1"/>
  <c r="O2172" i="11"/>
  <c r="U2172" i="11" s="1"/>
  <c r="S2172" i="11" s="1"/>
  <c r="O2173" i="11"/>
  <c r="U2173" i="11" s="1"/>
  <c r="S2173" i="11" s="1"/>
  <c r="O2174" i="11"/>
  <c r="U2174" i="11" s="1"/>
  <c r="S2174" i="11" s="1"/>
  <c r="O2175" i="11"/>
  <c r="U2175" i="11"/>
  <c r="S2175" i="11" s="1"/>
  <c r="O2176" i="11"/>
  <c r="U2176" i="11" s="1"/>
  <c r="S2176" i="11" s="1"/>
  <c r="O2177" i="11"/>
  <c r="U2177" i="11" s="1"/>
  <c r="S2177" i="11" s="1"/>
  <c r="O2178" i="11"/>
  <c r="U2178" i="11" s="1"/>
  <c r="S2178" i="11" s="1"/>
  <c r="O2179" i="11"/>
  <c r="U2179" i="11" s="1"/>
  <c r="S2179" i="11" s="1"/>
  <c r="O2180" i="11"/>
  <c r="U2180" i="11" s="1"/>
  <c r="S2180" i="11"/>
  <c r="O2181" i="11"/>
  <c r="U2181" i="11" s="1"/>
  <c r="S2181" i="11" s="1"/>
  <c r="O2182" i="11"/>
  <c r="U2182" i="11" s="1"/>
  <c r="S2182" i="11" s="1"/>
  <c r="O2183" i="11"/>
  <c r="U2183" i="11" s="1"/>
  <c r="S2183" i="11" s="1"/>
  <c r="O2184" i="11"/>
  <c r="U2184" i="11" s="1"/>
  <c r="S2184" i="11" s="1"/>
  <c r="O2185" i="11"/>
  <c r="U2185" i="11" s="1"/>
  <c r="S2185" i="11" s="1"/>
  <c r="O2186" i="11"/>
  <c r="U2186" i="11"/>
  <c r="S2186" i="11" s="1"/>
  <c r="O2187" i="11"/>
  <c r="U2187" i="11"/>
  <c r="S2187" i="11" s="1"/>
  <c r="O2188" i="11"/>
  <c r="U2188" i="11" s="1"/>
  <c r="S2188" i="11" s="1"/>
  <c r="O2189" i="11"/>
  <c r="U2189" i="11" s="1"/>
  <c r="S2189" i="11" s="1"/>
  <c r="O2190" i="11"/>
  <c r="U2190" i="11" s="1"/>
  <c r="S2190" i="11" s="1"/>
  <c r="O2191" i="11"/>
  <c r="U2191" i="11" s="1"/>
  <c r="S2191" i="11" s="1"/>
  <c r="O2192" i="11"/>
  <c r="U2192" i="11" s="1"/>
  <c r="S2192" i="11" s="1"/>
  <c r="O2193" i="11"/>
  <c r="U2193" i="11" s="1"/>
  <c r="S2193" i="11" s="1"/>
  <c r="O2194" i="11"/>
  <c r="U2194" i="11" s="1"/>
  <c r="S2194" i="11" s="1"/>
  <c r="O2195" i="11"/>
  <c r="U2195" i="11" s="1"/>
  <c r="S2195" i="11" s="1"/>
  <c r="O2196" i="11"/>
  <c r="U2196" i="11" s="1"/>
  <c r="S2196" i="11" s="1"/>
  <c r="O2197" i="11"/>
  <c r="U2197" i="11" s="1"/>
  <c r="S2197" i="11" s="1"/>
  <c r="O2198" i="11"/>
  <c r="U2198" i="11" s="1"/>
  <c r="S2198" i="11" s="1"/>
  <c r="O2199" i="11"/>
  <c r="U2199" i="11" s="1"/>
  <c r="S2199" i="11" s="1"/>
  <c r="O2200" i="11"/>
  <c r="U2200" i="11" s="1"/>
  <c r="S2200" i="11"/>
  <c r="O2201" i="11"/>
  <c r="U2201" i="11" s="1"/>
  <c r="S2201" i="11" s="1"/>
  <c r="O2202" i="11"/>
  <c r="U2202" i="11" s="1"/>
  <c r="S2202" i="11" s="1"/>
  <c r="O2203" i="11"/>
  <c r="U2203" i="11"/>
  <c r="S2203" i="11" s="1"/>
  <c r="O2204" i="11"/>
  <c r="U2204" i="11" s="1"/>
  <c r="S2204" i="11"/>
  <c r="O2205" i="11"/>
  <c r="U2205" i="11" s="1"/>
  <c r="S2205" i="11" s="1"/>
  <c r="O2206" i="11"/>
  <c r="U2206" i="11" s="1"/>
  <c r="S2206" i="11" s="1"/>
  <c r="O2207" i="11"/>
  <c r="U2207" i="11" s="1"/>
  <c r="S2207" i="11" s="1"/>
  <c r="O2208" i="11"/>
  <c r="U2208" i="11" s="1"/>
  <c r="S2208" i="11" s="1"/>
  <c r="O2209" i="11"/>
  <c r="U2209" i="11" s="1"/>
  <c r="S2209" i="11" s="1"/>
  <c r="O2210" i="11"/>
  <c r="U2210" i="11" s="1"/>
  <c r="S2210" i="11" s="1"/>
  <c r="O2211" i="11"/>
  <c r="U2211" i="11" s="1"/>
  <c r="S2211" i="11" s="1"/>
  <c r="O2212" i="11"/>
  <c r="U2212" i="11" s="1"/>
  <c r="S2212" i="11"/>
  <c r="O2213" i="11"/>
  <c r="U2213" i="11" s="1"/>
  <c r="S2213" i="11" s="1"/>
  <c r="O2214" i="11"/>
  <c r="U2214" i="11" s="1"/>
  <c r="S2214" i="11" s="1"/>
  <c r="O2215" i="11"/>
  <c r="U2215" i="11" s="1"/>
  <c r="S2215" i="11" s="1"/>
  <c r="O2216" i="11"/>
  <c r="U2216" i="11" s="1"/>
  <c r="S2216" i="11"/>
  <c r="O2217" i="11"/>
  <c r="U2217" i="11" s="1"/>
  <c r="S2217" i="11" s="1"/>
  <c r="O2218" i="11"/>
  <c r="U2218" i="11" s="1"/>
  <c r="S2218" i="11" s="1"/>
  <c r="O2219" i="11"/>
  <c r="U2219" i="11" s="1"/>
  <c r="S2219" i="11" s="1"/>
  <c r="O2220" i="11"/>
  <c r="U2220" i="11" s="1"/>
  <c r="S2220" i="11" s="1"/>
  <c r="O2221" i="11"/>
  <c r="U2221" i="11" s="1"/>
  <c r="S2221" i="11" s="1"/>
  <c r="O2222" i="11"/>
  <c r="U2222" i="11" s="1"/>
  <c r="S2222" i="11" s="1"/>
  <c r="O2223" i="11"/>
  <c r="U2223" i="11" s="1"/>
  <c r="S2223" i="11" s="1"/>
  <c r="O2224" i="11"/>
  <c r="U2224" i="11" s="1"/>
  <c r="S2224" i="11" s="1"/>
  <c r="O2225" i="11"/>
  <c r="U2225" i="11" s="1"/>
  <c r="S2225" i="11" s="1"/>
  <c r="O2226" i="11"/>
  <c r="U2226" i="11" s="1"/>
  <c r="S2226" i="11" s="1"/>
  <c r="O2227" i="11"/>
  <c r="U2227" i="11" s="1"/>
  <c r="S2227" i="11" s="1"/>
  <c r="O2228" i="11"/>
  <c r="U2228" i="11" s="1"/>
  <c r="S2228" i="11" s="1"/>
  <c r="O2229" i="11"/>
  <c r="U2229" i="11" s="1"/>
  <c r="S2229" i="11" s="1"/>
  <c r="O2230" i="11"/>
  <c r="U2230" i="11" s="1"/>
  <c r="S2230" i="11" s="1"/>
  <c r="O2231" i="11"/>
  <c r="U2231" i="11" s="1"/>
  <c r="S2231" i="11" s="1"/>
  <c r="O2232" i="11"/>
  <c r="U2232" i="11" s="1"/>
  <c r="S2232" i="11" s="1"/>
  <c r="O2233" i="11"/>
  <c r="U2233" i="11" s="1"/>
  <c r="S2233" i="11" s="1"/>
  <c r="O2234" i="11"/>
  <c r="U2234" i="11" s="1"/>
  <c r="S2234" i="11" s="1"/>
  <c r="O2235" i="11"/>
  <c r="U2235" i="11" s="1"/>
  <c r="S2235" i="11" s="1"/>
  <c r="O2236" i="11"/>
  <c r="U2236" i="11" s="1"/>
  <c r="S2236" i="11"/>
  <c r="O2237" i="11"/>
  <c r="U2237" i="11" s="1"/>
  <c r="S2237" i="11" s="1"/>
  <c r="O2238" i="11"/>
  <c r="U2238" i="11" s="1"/>
  <c r="S2238" i="11" s="1"/>
  <c r="O2239" i="11"/>
  <c r="U2239" i="11" s="1"/>
  <c r="S2239" i="11" s="1"/>
  <c r="O2240" i="11"/>
  <c r="U2240" i="11" s="1"/>
  <c r="S2240" i="11" s="1"/>
  <c r="O2241" i="11"/>
  <c r="U2241" i="11" s="1"/>
  <c r="S2241" i="11" s="1"/>
  <c r="O2242" i="11"/>
  <c r="U2242" i="11"/>
  <c r="S2242" i="11" s="1"/>
  <c r="O2243" i="11"/>
  <c r="U2243" i="11" s="1"/>
  <c r="S2243" i="11" s="1"/>
  <c r="O2244" i="11"/>
  <c r="U2244" i="11" s="1"/>
  <c r="S2244" i="11" s="1"/>
  <c r="O2245" i="11"/>
  <c r="U2245" i="11" s="1"/>
  <c r="S2245" i="11" s="1"/>
  <c r="O2246" i="11"/>
  <c r="U2246" i="11"/>
  <c r="S2246" i="11" s="1"/>
  <c r="O2247" i="11"/>
  <c r="U2247" i="11" s="1"/>
  <c r="S2247" i="11" s="1"/>
  <c r="O2248" i="11"/>
  <c r="U2248" i="11" s="1"/>
  <c r="S2248" i="11" s="1"/>
  <c r="O2249" i="11"/>
  <c r="U2249" i="11" s="1"/>
  <c r="S2249" i="11" s="1"/>
  <c r="O2250" i="11"/>
  <c r="U2250" i="11" s="1"/>
  <c r="S2250" i="11" s="1"/>
  <c r="O2251" i="11"/>
  <c r="U2251" i="11" s="1"/>
  <c r="S2251" i="11" s="1"/>
  <c r="O2252" i="11"/>
  <c r="U2252" i="11" s="1"/>
  <c r="S2252" i="11" s="1"/>
  <c r="O2253" i="11"/>
  <c r="U2253" i="11" s="1"/>
  <c r="S2253" i="11" s="1"/>
  <c r="O2254" i="11"/>
  <c r="U2254" i="11" s="1"/>
  <c r="S2254" i="11" s="1"/>
  <c r="O2255" i="11"/>
  <c r="U2255" i="11" s="1"/>
  <c r="S2255" i="11" s="1"/>
  <c r="O2256" i="11"/>
  <c r="U2256" i="11" s="1"/>
  <c r="S2256" i="11" s="1"/>
  <c r="O2257" i="11"/>
  <c r="U2257" i="11"/>
  <c r="S2257" i="11" s="1"/>
  <c r="O2258" i="11"/>
  <c r="U2258" i="11" s="1"/>
  <c r="S2258" i="11" s="1"/>
  <c r="O2259" i="11"/>
  <c r="U2259" i="11" s="1"/>
  <c r="S2259" i="11" s="1"/>
  <c r="O2260" i="11"/>
  <c r="U2260" i="11" s="1"/>
  <c r="S2260" i="11" s="1"/>
  <c r="O2261" i="11"/>
  <c r="U2261" i="11"/>
  <c r="S2261" i="11" s="1"/>
  <c r="O2262" i="11"/>
  <c r="U2262" i="11" s="1"/>
  <c r="S2262" i="11" s="1"/>
  <c r="O2263" i="11"/>
  <c r="U2263" i="11" s="1"/>
  <c r="S2263" i="11" s="1"/>
  <c r="O2264" i="11"/>
  <c r="U2264" i="11" s="1"/>
  <c r="S2264" i="11"/>
  <c r="O2265" i="11"/>
  <c r="U2265" i="11" s="1"/>
  <c r="S2265" i="11" s="1"/>
  <c r="O2266" i="11"/>
  <c r="U2266" i="11" s="1"/>
  <c r="S2266" i="11" s="1"/>
  <c r="O2267" i="11"/>
  <c r="U2267" i="11" s="1"/>
  <c r="S2267" i="11" s="1"/>
  <c r="O2268" i="11"/>
  <c r="U2268" i="11" s="1"/>
  <c r="S2268" i="11" s="1"/>
  <c r="O2269" i="11"/>
  <c r="U2269" i="11" s="1"/>
  <c r="S2269" i="11" s="1"/>
  <c r="O2270" i="11"/>
  <c r="U2270" i="11" s="1"/>
  <c r="S2270" i="11"/>
  <c r="O2271" i="11"/>
  <c r="U2271" i="11" s="1"/>
  <c r="S2271" i="11" s="1"/>
  <c r="O2272" i="11"/>
  <c r="U2272" i="11" s="1"/>
  <c r="S2272" i="11"/>
  <c r="O2273" i="11"/>
  <c r="U2273" i="11"/>
  <c r="S2273" i="11" s="1"/>
  <c r="O2274" i="11"/>
  <c r="U2274" i="11" s="1"/>
  <c r="S2274" i="11" s="1"/>
  <c r="O2275" i="11"/>
  <c r="U2275" i="11" s="1"/>
  <c r="S2275" i="11" s="1"/>
  <c r="O2276" i="11"/>
  <c r="U2276" i="11" s="1"/>
  <c r="S2276" i="11" s="1"/>
  <c r="O2277" i="11"/>
  <c r="U2277" i="11"/>
  <c r="S2277" i="11" s="1"/>
  <c r="O2278" i="11"/>
  <c r="U2278" i="11" s="1"/>
  <c r="S2278" i="11" s="1"/>
  <c r="O2279" i="11"/>
  <c r="U2279" i="11" s="1"/>
  <c r="S2279" i="11" s="1"/>
  <c r="O2280" i="11"/>
  <c r="U2280" i="11" s="1"/>
  <c r="S2280" i="11"/>
  <c r="O2281" i="11"/>
  <c r="U2281" i="11" s="1"/>
  <c r="S2281" i="11" s="1"/>
  <c r="O2282" i="11"/>
  <c r="U2282" i="11" s="1"/>
  <c r="S2282" i="11" s="1"/>
  <c r="O2283" i="11"/>
  <c r="U2283" i="11" s="1"/>
  <c r="S2283" i="11" s="1"/>
  <c r="O2284" i="11"/>
  <c r="U2284" i="11" s="1"/>
  <c r="S2284" i="11" s="1"/>
  <c r="O2285" i="11"/>
  <c r="U2285" i="11" s="1"/>
  <c r="S2285" i="11" s="1"/>
  <c r="O2286" i="11"/>
  <c r="U2286" i="11" s="1"/>
  <c r="S2286" i="11" s="1"/>
  <c r="O2287" i="11"/>
  <c r="U2287" i="11" s="1"/>
  <c r="S2287" i="11"/>
  <c r="O2288" i="11"/>
  <c r="U2288" i="11" s="1"/>
  <c r="S2288" i="11" s="1"/>
  <c r="O2289" i="11"/>
  <c r="U2289" i="11" s="1"/>
  <c r="S2289" i="11" s="1"/>
  <c r="O2290" i="11"/>
  <c r="U2290" i="11" s="1"/>
  <c r="S2290" i="11"/>
  <c r="O2291" i="11"/>
  <c r="U2291" i="11" s="1"/>
  <c r="S2291" i="11" s="1"/>
  <c r="O2292" i="11"/>
  <c r="U2292" i="11" s="1"/>
  <c r="S2292" i="11" s="1"/>
  <c r="O2293" i="11"/>
  <c r="U2293" i="11"/>
  <c r="S2293" i="11" s="1"/>
  <c r="O2294" i="11"/>
  <c r="U2294" i="11" s="1"/>
  <c r="S2294" i="11" s="1"/>
  <c r="O2295" i="11"/>
  <c r="U2295" i="11" s="1"/>
  <c r="S2295" i="11" s="1"/>
  <c r="O2296" i="11"/>
  <c r="U2296" i="11" s="1"/>
  <c r="S2296" i="11" s="1"/>
  <c r="O2297" i="11"/>
  <c r="U2297" i="11"/>
  <c r="S2297" i="11" s="1"/>
  <c r="O2298" i="11"/>
  <c r="U2298" i="11" s="1"/>
  <c r="S2298" i="11" s="1"/>
  <c r="O2299" i="11"/>
  <c r="U2299" i="11" s="1"/>
  <c r="S2299" i="11"/>
  <c r="O2300" i="11"/>
  <c r="U2300" i="11" s="1"/>
  <c r="S2300" i="11" s="1"/>
  <c r="O2301" i="11"/>
  <c r="U2301" i="11" s="1"/>
  <c r="S2301" i="11" s="1"/>
  <c r="O2302" i="11"/>
  <c r="U2302" i="11" s="1"/>
  <c r="S2302" i="11" s="1"/>
  <c r="O2303" i="11"/>
  <c r="U2303" i="11" s="1"/>
  <c r="S2303" i="11" s="1"/>
  <c r="O2304" i="11"/>
  <c r="U2304" i="11" s="1"/>
  <c r="S2304" i="11"/>
  <c r="O2305" i="11"/>
  <c r="U2305" i="11" s="1"/>
  <c r="S2305" i="11" s="1"/>
  <c r="O2306" i="11"/>
  <c r="U2306" i="11" s="1"/>
  <c r="S2306" i="11" s="1"/>
  <c r="O2307" i="11"/>
  <c r="U2307" i="11" s="1"/>
  <c r="S2307" i="11" s="1"/>
  <c r="O2308" i="11"/>
  <c r="U2308" i="11" s="1"/>
  <c r="S2308" i="11" s="1"/>
  <c r="O2309" i="11"/>
  <c r="U2309" i="11" s="1"/>
  <c r="S2309" i="11" s="1"/>
  <c r="O2310" i="11"/>
  <c r="U2310" i="11" s="1"/>
  <c r="S2310" i="11" s="1"/>
  <c r="O2311" i="11"/>
  <c r="U2311" i="11" s="1"/>
  <c r="S2311" i="11" s="1"/>
  <c r="O2312" i="11"/>
  <c r="U2312" i="11" s="1"/>
  <c r="S2312" i="11" s="1"/>
  <c r="O2313" i="11"/>
  <c r="U2313" i="11" s="1"/>
  <c r="S2313" i="11" s="1"/>
  <c r="O2314" i="11"/>
  <c r="U2314" i="11" s="1"/>
  <c r="S2314" i="11" s="1"/>
  <c r="O2315" i="11"/>
  <c r="U2315" i="11" s="1"/>
  <c r="S2315" i="11" s="1"/>
  <c r="O2316" i="11"/>
  <c r="U2316" i="11" s="1"/>
  <c r="S2316" i="11" s="1"/>
  <c r="O2317" i="11"/>
  <c r="U2317" i="11"/>
  <c r="S2317" i="11"/>
  <c r="O2318" i="11"/>
  <c r="U2318" i="11" s="1"/>
  <c r="S2318" i="11" s="1"/>
  <c r="O2319" i="11"/>
  <c r="U2319" i="11" s="1"/>
  <c r="S2319" i="11" s="1"/>
  <c r="O2320" i="11"/>
  <c r="U2320" i="11" s="1"/>
  <c r="S2320" i="11" s="1"/>
  <c r="O2321" i="11"/>
  <c r="U2321" i="11" s="1"/>
  <c r="S2321" i="11" s="1"/>
  <c r="O2322" i="11"/>
  <c r="U2322" i="11" s="1"/>
  <c r="S2322" i="11" s="1"/>
  <c r="O2323" i="11"/>
  <c r="U2323" i="11" s="1"/>
  <c r="S2323" i="11" s="1"/>
  <c r="O2324" i="11"/>
  <c r="U2324" i="11" s="1"/>
  <c r="S2324" i="11" s="1"/>
  <c r="O2325" i="11"/>
  <c r="U2325" i="11" s="1"/>
  <c r="S2325" i="11" s="1"/>
  <c r="O2326" i="11"/>
  <c r="U2326" i="11" s="1"/>
  <c r="S2326" i="11" s="1"/>
  <c r="O2327" i="11"/>
  <c r="U2327" i="11" s="1"/>
  <c r="S2327" i="11" s="1"/>
  <c r="O2328" i="11"/>
  <c r="U2328" i="11" s="1"/>
  <c r="S2328" i="11" s="1"/>
  <c r="O2329" i="11"/>
  <c r="U2329" i="11" s="1"/>
  <c r="S2329" i="11" s="1"/>
  <c r="O2330" i="11"/>
  <c r="U2330" i="11" s="1"/>
  <c r="S2330" i="11" s="1"/>
  <c r="O2331" i="11"/>
  <c r="U2331" i="11" s="1"/>
  <c r="S2331" i="11" s="1"/>
  <c r="O2332" i="11"/>
  <c r="U2332" i="11" s="1"/>
  <c r="S2332" i="11" s="1"/>
  <c r="O2333" i="11"/>
  <c r="U2333" i="11"/>
  <c r="S2333" i="11" s="1"/>
  <c r="O2334" i="11"/>
  <c r="U2334" i="11" s="1"/>
  <c r="S2334" i="11" s="1"/>
  <c r="O2335" i="11"/>
  <c r="U2335" i="11" s="1"/>
  <c r="S2335" i="11" s="1"/>
  <c r="O2336" i="11"/>
  <c r="U2336" i="11" s="1"/>
  <c r="S2336" i="11" s="1"/>
  <c r="O2337" i="11"/>
  <c r="U2337" i="11" s="1"/>
  <c r="S2337" i="11" s="1"/>
  <c r="O2338" i="11"/>
  <c r="U2338" i="11" s="1"/>
  <c r="S2338" i="11" s="1"/>
  <c r="O2339" i="11"/>
  <c r="U2339" i="11" s="1"/>
  <c r="S2339" i="11" s="1"/>
  <c r="O2340" i="11"/>
  <c r="U2340" i="11" s="1"/>
  <c r="S2340" i="11" s="1"/>
  <c r="O2341" i="11"/>
  <c r="U2341" i="11" s="1"/>
  <c r="S2341" i="11" s="1"/>
  <c r="O2342" i="11"/>
  <c r="U2342" i="11" s="1"/>
  <c r="S2342" i="11" s="1"/>
  <c r="O2343" i="11"/>
  <c r="U2343" i="11" s="1"/>
  <c r="S2343" i="11" s="1"/>
  <c r="O2344" i="11"/>
  <c r="U2344" i="11" s="1"/>
  <c r="S2344" i="11" s="1"/>
  <c r="O2345" i="11"/>
  <c r="U2345" i="11" s="1"/>
  <c r="S2345" i="11" s="1"/>
  <c r="O2346" i="11"/>
  <c r="U2346" i="11" s="1"/>
  <c r="S2346" i="11" s="1"/>
  <c r="O2347" i="11"/>
  <c r="U2347" i="11" s="1"/>
  <c r="S2347" i="11" s="1"/>
  <c r="O2348" i="11"/>
  <c r="U2348" i="11" s="1"/>
  <c r="S2348" i="11" s="1"/>
  <c r="O2349" i="11"/>
  <c r="U2349" i="11" s="1"/>
  <c r="S2349" i="11" s="1"/>
  <c r="O2350" i="11"/>
  <c r="U2350" i="11" s="1"/>
  <c r="S2350" i="11" s="1"/>
  <c r="O2351" i="11"/>
  <c r="U2351" i="11" s="1"/>
  <c r="S2351" i="11"/>
  <c r="O2352" i="11"/>
  <c r="U2352" i="11" s="1"/>
  <c r="S2352" i="11" s="1"/>
  <c r="O2353" i="11"/>
  <c r="U2353" i="11" s="1"/>
  <c r="S2353" i="11" s="1"/>
  <c r="O2354" i="11"/>
  <c r="U2354" i="11" s="1"/>
  <c r="S2354" i="11" s="1"/>
  <c r="O2355" i="11"/>
  <c r="U2355" i="11" s="1"/>
  <c r="S2355" i="11" s="1"/>
  <c r="O2356" i="11"/>
  <c r="U2356" i="11" s="1"/>
  <c r="S2356" i="11" s="1"/>
  <c r="O2357" i="11"/>
  <c r="U2357" i="11" s="1"/>
  <c r="S2357" i="11" s="1"/>
  <c r="O2358" i="11"/>
  <c r="U2358" i="11" s="1"/>
  <c r="S2358" i="11" s="1"/>
  <c r="O2359" i="11"/>
  <c r="U2359" i="11" s="1"/>
  <c r="S2359" i="11" s="1"/>
  <c r="O2360" i="11"/>
  <c r="U2360" i="11" s="1"/>
  <c r="S2360" i="11" s="1"/>
  <c r="O2361" i="11"/>
  <c r="U2361" i="11" s="1"/>
  <c r="S2361" i="11" s="1"/>
  <c r="O2362" i="11"/>
  <c r="U2362" i="11" s="1"/>
  <c r="S2362" i="11" s="1"/>
  <c r="O2363" i="11"/>
  <c r="U2363" i="11" s="1"/>
  <c r="S2363" i="11" s="1"/>
  <c r="O2364" i="11"/>
  <c r="U2364" i="11" s="1"/>
  <c r="S2364" i="11" s="1"/>
  <c r="O2365" i="11"/>
  <c r="U2365" i="11" s="1"/>
  <c r="S2365" i="11" s="1"/>
  <c r="O2366" i="11"/>
  <c r="U2366" i="11" s="1"/>
  <c r="S2366" i="11" s="1"/>
  <c r="O2367" i="11"/>
  <c r="U2367" i="11" s="1"/>
  <c r="S2367" i="11" s="1"/>
  <c r="O2368" i="11"/>
  <c r="U2368" i="11" s="1"/>
  <c r="S2368" i="11" s="1"/>
  <c r="O2369" i="11"/>
  <c r="U2369" i="11" s="1"/>
  <c r="S2369" i="11" s="1"/>
  <c r="O2370" i="11"/>
  <c r="U2370" i="11" s="1"/>
  <c r="S2370" i="11" s="1"/>
  <c r="O2371" i="11"/>
  <c r="U2371" i="11" s="1"/>
  <c r="S2371" i="11" s="1"/>
  <c r="O2372" i="11"/>
  <c r="U2372" i="11" s="1"/>
  <c r="S2372" i="11" s="1"/>
  <c r="O2373" i="11"/>
  <c r="U2373" i="11" s="1"/>
  <c r="S2373" i="11" s="1"/>
  <c r="O2374" i="11"/>
  <c r="U2374" i="11" s="1"/>
  <c r="S2374" i="11" s="1"/>
  <c r="O2375" i="11"/>
  <c r="U2375" i="11" s="1"/>
  <c r="S2375" i="11" s="1"/>
  <c r="O2376" i="11"/>
  <c r="U2376" i="11" s="1"/>
  <c r="S2376" i="11" s="1"/>
  <c r="O2377" i="11"/>
  <c r="U2377" i="11"/>
  <c r="S2377" i="11" s="1"/>
  <c r="O2378" i="11"/>
  <c r="U2378" i="11" s="1"/>
  <c r="S2378" i="11" s="1"/>
  <c r="O2379" i="11"/>
  <c r="U2379" i="11" s="1"/>
  <c r="S2379" i="11" s="1"/>
  <c r="O2380" i="11"/>
  <c r="U2380" i="11" s="1"/>
  <c r="S2380" i="11"/>
  <c r="O2381" i="11"/>
  <c r="U2381" i="11"/>
  <c r="S2381" i="11" s="1"/>
  <c r="O2382" i="11"/>
  <c r="U2382" i="11" s="1"/>
  <c r="S2382" i="11" s="1"/>
  <c r="O2383" i="11"/>
  <c r="U2383" i="11" s="1"/>
  <c r="S2383" i="11" s="1"/>
  <c r="O2384" i="11"/>
  <c r="U2384" i="11" s="1"/>
  <c r="S2384" i="11" s="1"/>
  <c r="O2385" i="11"/>
  <c r="U2385" i="11" s="1"/>
  <c r="S2385" i="11" s="1"/>
  <c r="O2386" i="11"/>
  <c r="U2386" i="11" s="1"/>
  <c r="S2386" i="11" s="1"/>
  <c r="O2387" i="11"/>
  <c r="U2387" i="11" s="1"/>
  <c r="S2387" i="11" s="1"/>
  <c r="O2388" i="11"/>
  <c r="U2388" i="11" s="1"/>
  <c r="S2388" i="11" s="1"/>
  <c r="O2389" i="11"/>
  <c r="U2389" i="11" s="1"/>
  <c r="S2389" i="11" s="1"/>
  <c r="O2390" i="11"/>
  <c r="U2390" i="11" s="1"/>
  <c r="S2390" i="11" s="1"/>
  <c r="O2391" i="11"/>
  <c r="U2391" i="11" s="1"/>
  <c r="S2391" i="11" s="1"/>
  <c r="O2392" i="11"/>
  <c r="U2392" i="11" s="1"/>
  <c r="S2392" i="11"/>
  <c r="O2393" i="11"/>
  <c r="U2393" i="11" s="1"/>
  <c r="S2393" i="11" s="1"/>
  <c r="O2394" i="11"/>
  <c r="U2394" i="11" s="1"/>
  <c r="S2394" i="11" s="1"/>
  <c r="O2395" i="11"/>
  <c r="U2395" i="11" s="1"/>
  <c r="S2395" i="11" s="1"/>
  <c r="O2396" i="11"/>
  <c r="U2396" i="11" s="1"/>
  <c r="S2396" i="11" s="1"/>
  <c r="O2397" i="11"/>
  <c r="U2397" i="11"/>
  <c r="S2397" i="11" s="1"/>
  <c r="O2398" i="11"/>
  <c r="U2398" i="11" s="1"/>
  <c r="S2398" i="11" s="1"/>
  <c r="O2399" i="11"/>
  <c r="U2399" i="11" s="1"/>
  <c r="S2399" i="11" s="1"/>
  <c r="O2400" i="11"/>
  <c r="U2400" i="11" s="1"/>
  <c r="S2400" i="11" s="1"/>
  <c r="O2401" i="11"/>
  <c r="U2401" i="11" s="1"/>
  <c r="S2401" i="11" s="1"/>
  <c r="O2402" i="11"/>
  <c r="U2402" i="11" s="1"/>
  <c r="S2402" i="11" s="1"/>
  <c r="O2403" i="11"/>
  <c r="U2403" i="11" s="1"/>
  <c r="S2403" i="11" s="1"/>
  <c r="O2404" i="11"/>
  <c r="U2404" i="11" s="1"/>
  <c r="S2404" i="11" s="1"/>
  <c r="O2405" i="11"/>
  <c r="U2405" i="11" s="1"/>
  <c r="S2405" i="11" s="1"/>
  <c r="O2406" i="11"/>
  <c r="U2406" i="11" s="1"/>
  <c r="S2406" i="11" s="1"/>
  <c r="O2407" i="11"/>
  <c r="U2407" i="11" s="1"/>
  <c r="S2407" i="11" s="1"/>
  <c r="O2408" i="11"/>
  <c r="U2408" i="11" s="1"/>
  <c r="S2408" i="11" s="1"/>
  <c r="O2409" i="11"/>
  <c r="U2409" i="11"/>
  <c r="S2409" i="11" s="1"/>
  <c r="O2410" i="11"/>
  <c r="U2410" i="11" s="1"/>
  <c r="S2410" i="11" s="1"/>
  <c r="O2411" i="11"/>
  <c r="U2411" i="11" s="1"/>
  <c r="S2411" i="11" s="1"/>
  <c r="O2412" i="11"/>
  <c r="U2412" i="11" s="1"/>
  <c r="S2412" i="11" s="1"/>
  <c r="O2413" i="11"/>
  <c r="U2413" i="11" s="1"/>
  <c r="S2413" i="11" s="1"/>
  <c r="O2414" i="11"/>
  <c r="U2414" i="11" s="1"/>
  <c r="S2414" i="11" s="1"/>
  <c r="O2415" i="11"/>
  <c r="U2415" i="11" s="1"/>
  <c r="S2415" i="11" s="1"/>
  <c r="O2416" i="11"/>
  <c r="U2416" i="11" s="1"/>
  <c r="S2416" i="11" s="1"/>
  <c r="O2417" i="11"/>
  <c r="U2417" i="11" s="1"/>
  <c r="S2417" i="11" s="1"/>
  <c r="O2418" i="11"/>
  <c r="U2418" i="11" s="1"/>
  <c r="S2418" i="11" s="1"/>
  <c r="O2419" i="11"/>
  <c r="U2419" i="11" s="1"/>
  <c r="S2419" i="11" s="1"/>
  <c r="O2420" i="11"/>
  <c r="U2420" i="11" s="1"/>
  <c r="S2420" i="11"/>
  <c r="O2421" i="11"/>
  <c r="U2421" i="11"/>
  <c r="S2421" i="11" s="1"/>
  <c r="O2422" i="11"/>
  <c r="U2422" i="11" s="1"/>
  <c r="S2422" i="11" s="1"/>
  <c r="O2423" i="11"/>
  <c r="U2423" i="11" s="1"/>
  <c r="S2423" i="11" s="1"/>
  <c r="O2424" i="11"/>
  <c r="U2424" i="11" s="1"/>
  <c r="S2424" i="11" s="1"/>
  <c r="O2425" i="11"/>
  <c r="U2425" i="11" s="1"/>
  <c r="S2425" i="11" s="1"/>
  <c r="O2426" i="11"/>
  <c r="U2426" i="11" s="1"/>
  <c r="S2426" i="11" s="1"/>
  <c r="O2427" i="11"/>
  <c r="U2427" i="11" s="1"/>
  <c r="S2427" i="11" s="1"/>
  <c r="O2428" i="11"/>
  <c r="U2428" i="11" s="1"/>
  <c r="S2428" i="11" s="1"/>
  <c r="O2429" i="11"/>
  <c r="U2429" i="11" s="1"/>
  <c r="S2429" i="11" s="1"/>
  <c r="O2430" i="11"/>
  <c r="U2430" i="11" s="1"/>
  <c r="S2430" i="11" s="1"/>
  <c r="O2431" i="11"/>
  <c r="U2431" i="11" s="1"/>
  <c r="S2431" i="11" s="1"/>
  <c r="O2432" i="11"/>
  <c r="U2432" i="11" s="1"/>
  <c r="S2432" i="11" s="1"/>
  <c r="O2433" i="11"/>
  <c r="U2433" i="11" s="1"/>
  <c r="S2433" i="11" s="1"/>
  <c r="O2434" i="11"/>
  <c r="U2434" i="11" s="1"/>
  <c r="S2434" i="11" s="1"/>
  <c r="O2435" i="11"/>
  <c r="U2435" i="11" s="1"/>
  <c r="S2435" i="11" s="1"/>
  <c r="O2436" i="11"/>
  <c r="U2436" i="11" s="1"/>
  <c r="S2436" i="11" s="1"/>
  <c r="O2437" i="11"/>
  <c r="U2437" i="11" s="1"/>
  <c r="S2437" i="11" s="1"/>
  <c r="O2438" i="11"/>
  <c r="U2438" i="11" s="1"/>
  <c r="S2438" i="11" s="1"/>
  <c r="O2439" i="11"/>
  <c r="U2439" i="11" s="1"/>
  <c r="S2439" i="11" s="1"/>
  <c r="O2440" i="11"/>
  <c r="U2440" i="11" s="1"/>
  <c r="S2440" i="11" s="1"/>
  <c r="O2441" i="11"/>
  <c r="U2441" i="11" s="1"/>
  <c r="S2441" i="11" s="1"/>
  <c r="O2442" i="11"/>
  <c r="U2442" i="11" s="1"/>
  <c r="S2442" i="11" s="1"/>
  <c r="O2443" i="11"/>
  <c r="U2443" i="11" s="1"/>
  <c r="S2443" i="11" s="1"/>
  <c r="O2444" i="11"/>
  <c r="U2444" i="11" s="1"/>
  <c r="S2444" i="11" s="1"/>
  <c r="O2445" i="11"/>
  <c r="U2445" i="11"/>
  <c r="S2445" i="11" s="1"/>
  <c r="O2446" i="11"/>
  <c r="U2446" i="11" s="1"/>
  <c r="S2446" i="11" s="1"/>
  <c r="O2447" i="11"/>
  <c r="U2447" i="11" s="1"/>
  <c r="S2447" i="11" s="1"/>
  <c r="O2448" i="11"/>
  <c r="U2448" i="11" s="1"/>
  <c r="S2448" i="11" s="1"/>
  <c r="O2449" i="11"/>
  <c r="U2449" i="11" s="1"/>
  <c r="S2449" i="11" s="1"/>
  <c r="O2450" i="11"/>
  <c r="U2450" i="11" s="1"/>
  <c r="S2450" i="11" s="1"/>
  <c r="O2451" i="11"/>
  <c r="U2451" i="11" s="1"/>
  <c r="S2451" i="11" s="1"/>
  <c r="O2452" i="11"/>
  <c r="U2452" i="11" s="1"/>
  <c r="S2452" i="11" s="1"/>
  <c r="O2453" i="11"/>
  <c r="U2453" i="11"/>
  <c r="S2453" i="11" s="1"/>
  <c r="O2454" i="11"/>
  <c r="U2454" i="11" s="1"/>
  <c r="S2454" i="11" s="1"/>
  <c r="O2455" i="11"/>
  <c r="U2455" i="11" s="1"/>
  <c r="S2455" i="11" s="1"/>
  <c r="O2456" i="11"/>
  <c r="U2456" i="11" s="1"/>
  <c r="S2456" i="11" s="1"/>
  <c r="O2457" i="11"/>
  <c r="U2457" i="11" s="1"/>
  <c r="S2457" i="11" s="1"/>
  <c r="O2458" i="11"/>
  <c r="U2458" i="11" s="1"/>
  <c r="S2458" i="11" s="1"/>
  <c r="O2459" i="11"/>
  <c r="U2459" i="11" s="1"/>
  <c r="S2459" i="11" s="1"/>
  <c r="O2460" i="11"/>
  <c r="U2460" i="11" s="1"/>
  <c r="S2460" i="11" s="1"/>
  <c r="O2461" i="11"/>
  <c r="U2461" i="11" s="1"/>
  <c r="S2461" i="11" s="1"/>
  <c r="O2462" i="11"/>
  <c r="U2462" i="11" s="1"/>
  <c r="S2462" i="11" s="1"/>
  <c r="O2463" i="11"/>
  <c r="U2463" i="11" s="1"/>
  <c r="S2463" i="11" s="1"/>
  <c r="O2464" i="11"/>
  <c r="U2464" i="11" s="1"/>
  <c r="S2464" i="11" s="1"/>
  <c r="O2465" i="11"/>
  <c r="U2465" i="11" s="1"/>
  <c r="S2465" i="11" s="1"/>
  <c r="O2466" i="11"/>
  <c r="U2466" i="11" s="1"/>
  <c r="S2466" i="11" s="1"/>
  <c r="O2467" i="11"/>
  <c r="U2467" i="11" s="1"/>
  <c r="S2467" i="11" s="1"/>
  <c r="O2468" i="11"/>
  <c r="U2468" i="11" s="1"/>
  <c r="S2468" i="11" s="1"/>
  <c r="O2469" i="11"/>
  <c r="U2469" i="11" s="1"/>
  <c r="S2469" i="11" s="1"/>
  <c r="O2470" i="11"/>
  <c r="U2470" i="11" s="1"/>
  <c r="S2470" i="11" s="1"/>
  <c r="O2471" i="11"/>
  <c r="U2471" i="11" s="1"/>
  <c r="S2471" i="11" s="1"/>
  <c r="O2472" i="11"/>
  <c r="U2472" i="11" s="1"/>
  <c r="S2472" i="11" s="1"/>
  <c r="O2473" i="11"/>
  <c r="U2473" i="11" s="1"/>
  <c r="S2473" i="11" s="1"/>
  <c r="O2474" i="11"/>
  <c r="U2474" i="11" s="1"/>
  <c r="S2474" i="11" s="1"/>
  <c r="O2475" i="11"/>
  <c r="U2475" i="11"/>
  <c r="S2475" i="11" s="1"/>
  <c r="O2476" i="11"/>
  <c r="U2476" i="11" s="1"/>
  <c r="S2476" i="11" s="1"/>
  <c r="O2477" i="11"/>
  <c r="U2477" i="11" s="1"/>
  <c r="S2477" i="11" s="1"/>
  <c r="O2478" i="11"/>
  <c r="U2478" i="11" s="1"/>
  <c r="S2478" i="11" s="1"/>
  <c r="O2479" i="11"/>
  <c r="U2479" i="11" s="1"/>
  <c r="S2479" i="11" s="1"/>
  <c r="O2480" i="11"/>
  <c r="U2480" i="11" s="1"/>
  <c r="S2480" i="11" s="1"/>
  <c r="O2481" i="11"/>
  <c r="U2481" i="11" s="1"/>
  <c r="S2481" i="11" s="1"/>
  <c r="O2482" i="11"/>
  <c r="U2482" i="11" s="1"/>
  <c r="S2482" i="11" s="1"/>
  <c r="O2483" i="11"/>
  <c r="U2483" i="11" s="1"/>
  <c r="S2483" i="11" s="1"/>
  <c r="O2484" i="11"/>
  <c r="U2484" i="11" s="1"/>
  <c r="S2484" i="11" s="1"/>
  <c r="O2485" i="11"/>
  <c r="U2485" i="11" s="1"/>
  <c r="S2485" i="11" s="1"/>
  <c r="O2486" i="11"/>
  <c r="U2486" i="11" s="1"/>
  <c r="S2486" i="11" s="1"/>
  <c r="O2487" i="11"/>
  <c r="U2487" i="11" s="1"/>
  <c r="S2487" i="11" s="1"/>
  <c r="O2488" i="11"/>
  <c r="U2488" i="11" s="1"/>
  <c r="S2488" i="11" s="1"/>
  <c r="O2489" i="11"/>
  <c r="U2489" i="11" s="1"/>
  <c r="S2489" i="11" s="1"/>
  <c r="O2490" i="11"/>
  <c r="U2490" i="11" s="1"/>
  <c r="S2490" i="11" s="1"/>
  <c r="O2491" i="11"/>
  <c r="U2491" i="11" s="1"/>
  <c r="S2491" i="11" s="1"/>
  <c r="O2492" i="11"/>
  <c r="U2492" i="11" s="1"/>
  <c r="S2492" i="11"/>
  <c r="O2493" i="11"/>
  <c r="U2493" i="11" s="1"/>
  <c r="S2493" i="11" s="1"/>
  <c r="O2494" i="11"/>
  <c r="U2494" i="11" s="1"/>
  <c r="S2494" i="11" s="1"/>
  <c r="O2495" i="11"/>
  <c r="U2495" i="11" s="1"/>
  <c r="S2495" i="11" s="1"/>
  <c r="O2496" i="11"/>
  <c r="U2496" i="11" s="1"/>
  <c r="S2496" i="11"/>
  <c r="O2497" i="11"/>
  <c r="U2497" i="11" s="1"/>
  <c r="S2497" i="11" s="1"/>
  <c r="O2498" i="11"/>
  <c r="U2498" i="11" s="1"/>
  <c r="S2498" i="11" s="1"/>
  <c r="O2499" i="11"/>
  <c r="U2499" i="11"/>
  <c r="S2499" i="11" s="1"/>
  <c r="O2500" i="11"/>
  <c r="U2500" i="11" s="1"/>
  <c r="S2500" i="11"/>
  <c r="O2501" i="11"/>
  <c r="U2501" i="11" s="1"/>
  <c r="S2501" i="11" s="1"/>
  <c r="O2502" i="11"/>
  <c r="U2502" i="11" s="1"/>
  <c r="S2502" i="11" s="1"/>
  <c r="O2503" i="11"/>
  <c r="U2503" i="11" s="1"/>
  <c r="S2503" i="11" s="1"/>
  <c r="O2504" i="11"/>
  <c r="U2504" i="11" s="1"/>
  <c r="S2504" i="11" s="1"/>
  <c r="O2505" i="11"/>
  <c r="U2505" i="11"/>
  <c r="S2505" i="11" s="1"/>
  <c r="O2506" i="11"/>
  <c r="U2506" i="11" s="1"/>
  <c r="S2506" i="11" s="1"/>
  <c r="O2507" i="11"/>
  <c r="U2507" i="11" s="1"/>
  <c r="S2507" i="11" s="1"/>
  <c r="O2508" i="11"/>
  <c r="U2508" i="11" s="1"/>
  <c r="S2508" i="11" s="1"/>
  <c r="O2509" i="11"/>
  <c r="U2509" i="11" s="1"/>
  <c r="S2509" i="11" s="1"/>
  <c r="O2510" i="11"/>
  <c r="U2510" i="11" s="1"/>
  <c r="S2510" i="11" s="1"/>
  <c r="O2511" i="11"/>
  <c r="U2511" i="11" s="1"/>
  <c r="S2511" i="11" s="1"/>
  <c r="O2512" i="11"/>
  <c r="U2512" i="11" s="1"/>
  <c r="S2512" i="11" s="1"/>
  <c r="O2513" i="11"/>
  <c r="U2513" i="11" s="1"/>
  <c r="S2513" i="11" s="1"/>
  <c r="O2514" i="11"/>
  <c r="U2514" i="11" s="1"/>
  <c r="S2514" i="11" s="1"/>
  <c r="O2515" i="11"/>
  <c r="U2515" i="11" s="1"/>
  <c r="S2515" i="11" s="1"/>
  <c r="O2516" i="11"/>
  <c r="U2516" i="11" s="1"/>
  <c r="S2516" i="11" s="1"/>
  <c r="O2517" i="11"/>
  <c r="U2517" i="11" s="1"/>
  <c r="S2517" i="11" s="1"/>
  <c r="O2518" i="11"/>
  <c r="U2518" i="11" s="1"/>
  <c r="S2518" i="11"/>
  <c r="O2519" i="11"/>
  <c r="U2519" i="11" s="1"/>
  <c r="S2519" i="11" s="1"/>
  <c r="O2520" i="11"/>
  <c r="U2520" i="11" s="1"/>
  <c r="S2520" i="11"/>
  <c r="O2521" i="11"/>
  <c r="U2521" i="11" s="1"/>
  <c r="S2521" i="11" s="1"/>
  <c r="O2522" i="11"/>
  <c r="U2522" i="11" s="1"/>
  <c r="S2522" i="11" s="1"/>
  <c r="O2523" i="11"/>
  <c r="U2523" i="11" s="1"/>
  <c r="S2523" i="11" s="1"/>
  <c r="O2524" i="11"/>
  <c r="U2524" i="11" s="1"/>
  <c r="S2524" i="11"/>
  <c r="O2525" i="11"/>
  <c r="U2525" i="11" s="1"/>
  <c r="S2525" i="11" s="1"/>
  <c r="O2526" i="11"/>
  <c r="U2526" i="11" s="1"/>
  <c r="S2526" i="11" s="1"/>
  <c r="O2527" i="11"/>
  <c r="U2527" i="11" s="1"/>
  <c r="S2527" i="11" s="1"/>
  <c r="O2528" i="11"/>
  <c r="U2528" i="11" s="1"/>
  <c r="S2528" i="11" s="1"/>
  <c r="O2529" i="11"/>
  <c r="U2529" i="11" s="1"/>
  <c r="S2529" i="11" s="1"/>
  <c r="O2530" i="11"/>
  <c r="U2530" i="11" s="1"/>
  <c r="S2530" i="11" s="1"/>
  <c r="O2531" i="11"/>
  <c r="U2531" i="11" s="1"/>
  <c r="S2531" i="11" s="1"/>
  <c r="O2532" i="11"/>
  <c r="U2532" i="11" s="1"/>
  <c r="S2532" i="11" s="1"/>
  <c r="O2533" i="11"/>
  <c r="U2533" i="11" s="1"/>
  <c r="S2533" i="11" s="1"/>
  <c r="O2534" i="11"/>
  <c r="U2534" i="11" s="1"/>
  <c r="S2534" i="11" s="1"/>
  <c r="O2535" i="11"/>
  <c r="U2535" i="11" s="1"/>
  <c r="S2535" i="11" s="1"/>
  <c r="O2536" i="11"/>
  <c r="U2536" i="11" s="1"/>
  <c r="S2536" i="11" s="1"/>
  <c r="O2537" i="11"/>
  <c r="U2537" i="11" s="1"/>
  <c r="S2537" i="11" s="1"/>
  <c r="O2538" i="11"/>
  <c r="U2538" i="11" s="1"/>
  <c r="S2538" i="11" s="1"/>
  <c r="O2539" i="11"/>
  <c r="U2539" i="11" s="1"/>
  <c r="S2539" i="11" s="1"/>
  <c r="O2540" i="11"/>
  <c r="U2540" i="11" s="1"/>
  <c r="S2540" i="11" s="1"/>
  <c r="O2541" i="11"/>
  <c r="U2541" i="11" s="1"/>
  <c r="S2541" i="11" s="1"/>
  <c r="O2542" i="11"/>
  <c r="U2542" i="11" s="1"/>
  <c r="S2542" i="11" s="1"/>
  <c r="O2543" i="11"/>
  <c r="U2543" i="11" s="1"/>
  <c r="S2543" i="11" s="1"/>
  <c r="O2544" i="11"/>
  <c r="U2544" i="11" s="1"/>
  <c r="S2544" i="11" s="1"/>
  <c r="O2545" i="11"/>
  <c r="U2545" i="11" s="1"/>
  <c r="S2545" i="11" s="1"/>
  <c r="O2546" i="11"/>
  <c r="U2546" i="11" s="1"/>
  <c r="S2546" i="11" s="1"/>
  <c r="O2547" i="11"/>
  <c r="U2547" i="11" s="1"/>
  <c r="S2547" i="11" s="1"/>
  <c r="O2548" i="11"/>
  <c r="U2548" i="11" s="1"/>
  <c r="S2548" i="11" s="1"/>
  <c r="O2549" i="11"/>
  <c r="U2549" i="11"/>
  <c r="S2549" i="11" s="1"/>
  <c r="O2550" i="11"/>
  <c r="U2550" i="11" s="1"/>
  <c r="S2550" i="11" s="1"/>
  <c r="O2551" i="11"/>
  <c r="U2551" i="11" s="1"/>
  <c r="S2551" i="11" s="1"/>
  <c r="O2552" i="11"/>
  <c r="U2552" i="11" s="1"/>
  <c r="S2552" i="11" s="1"/>
  <c r="O2553" i="11"/>
  <c r="U2553" i="11" s="1"/>
  <c r="S2553" i="11" s="1"/>
  <c r="O2554" i="11"/>
  <c r="U2554" i="11" s="1"/>
  <c r="S2554" i="11" s="1"/>
  <c r="O2555" i="11"/>
  <c r="U2555" i="11" s="1"/>
  <c r="S2555" i="11" s="1"/>
  <c r="O2556" i="11"/>
  <c r="U2556" i="11" s="1"/>
  <c r="S2556" i="11" s="1"/>
  <c r="O2557" i="11"/>
  <c r="U2557" i="11" s="1"/>
  <c r="S2557" i="11" s="1"/>
  <c r="O2558" i="11"/>
  <c r="U2558" i="11" s="1"/>
  <c r="S2558" i="11" s="1"/>
  <c r="O2559" i="11"/>
  <c r="U2559" i="11" s="1"/>
  <c r="S2559" i="11" s="1"/>
  <c r="O2560" i="11"/>
  <c r="U2560" i="11" s="1"/>
  <c r="S2560" i="11" s="1"/>
  <c r="O2561" i="11"/>
  <c r="U2561" i="11" s="1"/>
  <c r="S2561" i="11" s="1"/>
  <c r="O2562" i="11"/>
  <c r="U2562" i="11" s="1"/>
  <c r="S2562" i="11" s="1"/>
  <c r="O2563" i="11"/>
  <c r="U2563" i="11" s="1"/>
  <c r="S2563" i="11" s="1"/>
  <c r="O2564" i="11"/>
  <c r="U2564" i="11" s="1"/>
  <c r="S2564" i="11"/>
  <c r="O2565" i="11"/>
  <c r="U2565" i="11" s="1"/>
  <c r="S2565" i="11" s="1"/>
  <c r="O2566" i="11"/>
  <c r="U2566" i="11" s="1"/>
  <c r="S2566" i="11" s="1"/>
  <c r="O2567" i="11"/>
  <c r="U2567" i="11" s="1"/>
  <c r="S2567" i="11" s="1"/>
  <c r="O2568" i="11"/>
  <c r="U2568" i="11" s="1"/>
  <c r="S2568" i="11" s="1"/>
  <c r="O2569" i="11"/>
  <c r="U2569" i="11" s="1"/>
  <c r="S2569" i="11" s="1"/>
  <c r="O2570" i="11"/>
  <c r="U2570" i="11" s="1"/>
  <c r="S2570" i="11" s="1"/>
  <c r="O2571" i="11"/>
  <c r="U2571" i="11"/>
  <c r="S2571" i="11" s="1"/>
  <c r="O2572" i="11"/>
  <c r="U2572" i="11" s="1"/>
  <c r="S2572" i="11" s="1"/>
  <c r="O2573" i="11"/>
  <c r="U2573" i="11" s="1"/>
  <c r="S2573" i="11" s="1"/>
  <c r="O2574" i="11"/>
  <c r="U2574" i="11" s="1"/>
  <c r="S2574" i="11" s="1"/>
  <c r="O2575" i="11"/>
  <c r="U2575" i="11" s="1"/>
  <c r="S2575" i="11" s="1"/>
  <c r="O2576" i="11"/>
  <c r="U2576" i="11" s="1"/>
  <c r="S2576" i="11" s="1"/>
  <c r="O2577" i="11"/>
  <c r="U2577" i="11" s="1"/>
  <c r="S2577" i="11" s="1"/>
  <c r="O2578" i="11"/>
  <c r="U2578" i="11" s="1"/>
  <c r="S2578" i="11" s="1"/>
  <c r="O2579" i="11"/>
  <c r="U2579" i="11" s="1"/>
  <c r="S2579" i="11" s="1"/>
  <c r="O2580" i="11"/>
  <c r="U2580" i="11" s="1"/>
  <c r="S2580" i="11" s="1"/>
  <c r="O2581" i="11"/>
  <c r="U2581" i="11" s="1"/>
  <c r="S2581" i="11" s="1"/>
  <c r="O2582" i="11"/>
  <c r="U2582" i="11" s="1"/>
  <c r="S2582" i="11" s="1"/>
  <c r="O2583" i="11"/>
  <c r="U2583" i="11" s="1"/>
  <c r="S2583" i="11" s="1"/>
  <c r="O2584" i="11"/>
  <c r="U2584" i="11" s="1"/>
  <c r="S2584" i="11" s="1"/>
  <c r="O2585" i="11"/>
  <c r="U2585" i="11"/>
  <c r="S2585" i="11" s="1"/>
  <c r="O2586" i="11"/>
  <c r="U2586" i="11"/>
  <c r="S2586" i="11" s="1"/>
  <c r="O2587" i="11"/>
  <c r="U2587" i="11" s="1"/>
  <c r="S2587" i="11" s="1"/>
  <c r="O2588" i="11"/>
  <c r="U2588" i="11"/>
  <c r="S2588" i="11" s="1"/>
  <c r="O2589" i="11"/>
  <c r="U2589" i="11" s="1"/>
  <c r="S2589" i="11" s="1"/>
  <c r="O2590" i="11"/>
  <c r="U2590" i="11" s="1"/>
  <c r="S2590" i="11" s="1"/>
  <c r="O2591" i="11"/>
  <c r="U2591" i="11" s="1"/>
  <c r="S2591" i="11" s="1"/>
  <c r="O2592" i="11"/>
  <c r="U2592" i="11" s="1"/>
  <c r="S2592" i="11" s="1"/>
  <c r="O2593" i="11"/>
  <c r="U2593" i="11" s="1"/>
  <c r="S2593" i="11" s="1"/>
  <c r="O2594" i="11"/>
  <c r="U2594" i="11"/>
  <c r="S2594" i="11" s="1"/>
  <c r="O2595" i="11"/>
  <c r="U2595" i="11" s="1"/>
  <c r="S2595" i="11" s="1"/>
  <c r="O2596" i="11"/>
  <c r="U2596" i="11" s="1"/>
  <c r="S2596" i="11" s="1"/>
  <c r="O2597" i="11"/>
  <c r="U2597" i="11"/>
  <c r="S2597" i="11" s="1"/>
  <c r="O2598" i="11"/>
  <c r="U2598" i="11" s="1"/>
  <c r="S2598" i="11" s="1"/>
  <c r="O2599" i="11"/>
  <c r="U2599" i="11" s="1"/>
  <c r="S2599" i="11" s="1"/>
  <c r="O2600" i="11"/>
  <c r="U2600" i="11" s="1"/>
  <c r="S2600" i="11" s="1"/>
  <c r="O2601" i="11"/>
  <c r="U2601" i="11"/>
  <c r="S2601" i="11" s="1"/>
  <c r="O2602" i="11"/>
  <c r="U2602" i="11" s="1"/>
  <c r="S2602" i="11" s="1"/>
  <c r="O2603" i="11"/>
  <c r="U2603" i="11" s="1"/>
  <c r="S2603" i="11"/>
  <c r="O2604" i="11"/>
  <c r="U2604" i="11"/>
  <c r="S2604" i="11" s="1"/>
  <c r="O2605" i="11"/>
  <c r="U2605" i="11"/>
  <c r="S2605" i="11" s="1"/>
  <c r="O2606" i="11"/>
  <c r="U2606" i="11" s="1"/>
  <c r="S2606" i="11" s="1"/>
  <c r="O2607" i="11"/>
  <c r="U2607" i="11" s="1"/>
  <c r="S2607" i="11" s="1"/>
  <c r="O2608" i="11"/>
  <c r="U2608" i="11" s="1"/>
  <c r="S2608" i="11" s="1"/>
  <c r="O2609" i="11"/>
  <c r="U2609" i="11"/>
  <c r="S2609" i="11" s="1"/>
  <c r="O2610" i="11"/>
  <c r="U2610" i="11" s="1"/>
  <c r="S2610" i="11" s="1"/>
  <c r="O2611" i="11"/>
  <c r="U2611" i="11" s="1"/>
  <c r="S2611" i="11" s="1"/>
  <c r="O2612" i="11"/>
  <c r="U2612" i="11" s="1"/>
  <c r="S2612" i="11" s="1"/>
  <c r="O2613" i="11"/>
  <c r="U2613" i="11" s="1"/>
  <c r="S2613" i="11" s="1"/>
  <c r="O2614" i="11"/>
  <c r="U2614" i="11" s="1"/>
  <c r="S2614" i="11" s="1"/>
  <c r="O2615" i="11"/>
  <c r="U2615" i="11" s="1"/>
  <c r="S2615" i="11" s="1"/>
  <c r="O2616" i="11"/>
  <c r="U2616" i="11" s="1"/>
  <c r="S2616" i="11" s="1"/>
  <c r="O2617" i="11"/>
  <c r="U2617" i="11" s="1"/>
  <c r="S2617" i="11" s="1"/>
  <c r="O2618" i="11"/>
  <c r="U2618" i="11" s="1"/>
  <c r="S2618" i="11" s="1"/>
  <c r="O2619" i="11"/>
  <c r="U2619" i="11" s="1"/>
  <c r="S2619" i="11"/>
  <c r="O2620" i="11"/>
  <c r="U2620" i="11" s="1"/>
  <c r="S2620" i="11" s="1"/>
  <c r="O2621" i="11"/>
  <c r="U2621" i="11"/>
  <c r="S2621" i="11" s="1"/>
  <c r="O2622" i="11"/>
  <c r="U2622" i="11" s="1"/>
  <c r="S2622" i="11" s="1"/>
  <c r="O2623" i="11"/>
  <c r="U2623" i="11" s="1"/>
  <c r="S2623" i="11" s="1"/>
  <c r="O2624" i="11"/>
  <c r="U2624" i="11" s="1"/>
  <c r="S2624" i="11" s="1"/>
  <c r="O2625" i="11"/>
  <c r="U2625" i="11"/>
  <c r="S2625" i="11" s="1"/>
  <c r="O2626" i="11"/>
  <c r="U2626" i="11" s="1"/>
  <c r="S2626" i="11" s="1"/>
  <c r="O2627" i="11"/>
  <c r="U2627" i="11" s="1"/>
  <c r="S2627" i="11" s="1"/>
  <c r="O2628" i="11"/>
  <c r="U2628" i="11" s="1"/>
  <c r="S2628" i="11" s="1"/>
  <c r="O2629" i="11"/>
  <c r="U2629" i="11" s="1"/>
  <c r="S2629" i="11" s="1"/>
  <c r="O2630" i="11"/>
  <c r="U2630" i="11"/>
  <c r="S2630" i="11" s="1"/>
  <c r="O2631" i="11"/>
  <c r="U2631" i="11" s="1"/>
  <c r="S2631" i="11" s="1"/>
  <c r="O2632" i="11"/>
  <c r="U2632" i="11"/>
  <c r="S2632" i="11" s="1"/>
  <c r="O2633" i="11"/>
  <c r="U2633" i="11" s="1"/>
  <c r="S2633" i="11" s="1"/>
  <c r="O2634" i="11"/>
  <c r="U2634" i="11"/>
  <c r="S2634" i="11" s="1"/>
  <c r="O2635" i="11"/>
  <c r="U2635" i="11" s="1"/>
  <c r="S2635" i="11" s="1"/>
  <c r="O2636" i="11"/>
  <c r="U2636" i="11" s="1"/>
  <c r="S2636" i="11" s="1"/>
  <c r="O2637" i="11"/>
  <c r="U2637" i="11" s="1"/>
  <c r="S2637" i="11" s="1"/>
  <c r="O2638" i="11"/>
  <c r="U2638" i="11"/>
  <c r="S2638" i="11" s="1"/>
  <c r="O2639" i="11"/>
  <c r="U2639" i="11" s="1"/>
  <c r="S2639" i="11" s="1"/>
  <c r="O2640" i="11"/>
  <c r="U2640" i="11" s="1"/>
  <c r="S2640" i="11" s="1"/>
  <c r="O2641" i="11"/>
  <c r="U2641" i="11"/>
  <c r="S2641" i="11" s="1"/>
  <c r="O2642" i="11"/>
  <c r="U2642" i="11" s="1"/>
  <c r="S2642" i="11" s="1"/>
  <c r="O2643" i="11"/>
  <c r="U2643" i="11" s="1"/>
  <c r="S2643" i="11" s="1"/>
  <c r="O2644" i="11"/>
  <c r="U2644" i="11" s="1"/>
  <c r="S2644" i="11" s="1"/>
  <c r="O2645" i="11"/>
  <c r="U2645" i="11" s="1"/>
  <c r="S2645" i="11" s="1"/>
  <c r="O2646" i="11"/>
  <c r="U2646" i="11"/>
  <c r="S2646" i="11" s="1"/>
  <c r="O2647" i="11"/>
  <c r="U2647" i="11" s="1"/>
  <c r="S2647" i="11" s="1"/>
  <c r="O2648" i="11"/>
  <c r="U2648" i="11" s="1"/>
  <c r="S2648" i="11" s="1"/>
  <c r="O2649" i="11"/>
  <c r="U2649" i="11" s="1"/>
  <c r="S2649" i="11" s="1"/>
  <c r="O2650" i="11"/>
  <c r="U2650" i="11"/>
  <c r="S2650" i="11" s="1"/>
  <c r="O2651" i="11"/>
  <c r="U2651" i="11" s="1"/>
  <c r="S2651" i="11" s="1"/>
  <c r="O2652" i="11"/>
  <c r="U2652" i="11" s="1"/>
  <c r="S2652" i="11" s="1"/>
  <c r="O2653" i="11"/>
  <c r="U2653" i="11" s="1"/>
  <c r="S2653" i="11" s="1"/>
  <c r="O2654" i="11"/>
  <c r="U2654" i="11" s="1"/>
  <c r="S2654" i="11" s="1"/>
  <c r="O2655" i="11"/>
  <c r="U2655" i="11" s="1"/>
  <c r="S2655" i="11"/>
  <c r="O2656" i="11"/>
  <c r="U2656" i="11" s="1"/>
  <c r="S2656" i="11" s="1"/>
  <c r="O2657" i="11"/>
  <c r="U2657" i="11"/>
  <c r="S2657" i="11" s="1"/>
  <c r="O2658" i="11"/>
  <c r="U2658" i="11" s="1"/>
  <c r="S2658" i="11" s="1"/>
  <c r="O2659" i="11"/>
  <c r="U2659" i="11" s="1"/>
  <c r="S2659" i="11" s="1"/>
  <c r="O2660" i="11"/>
  <c r="U2660" i="11" s="1"/>
  <c r="S2660" i="11" s="1"/>
  <c r="O2661" i="11"/>
  <c r="U2661" i="11" s="1"/>
  <c r="S2661" i="11" s="1"/>
  <c r="O2662" i="11"/>
  <c r="U2662" i="11" s="1"/>
  <c r="S2662" i="11" s="1"/>
  <c r="O2663" i="11"/>
  <c r="U2663" i="11" s="1"/>
  <c r="S2663" i="11"/>
  <c r="O2664" i="11"/>
  <c r="U2664" i="11" s="1"/>
  <c r="S2664" i="11" s="1"/>
  <c r="O2665" i="11"/>
  <c r="U2665" i="11" s="1"/>
  <c r="S2665" i="11" s="1"/>
  <c r="O2666" i="11"/>
  <c r="U2666" i="11" s="1"/>
  <c r="S2666" i="11" s="1"/>
  <c r="O2667" i="11"/>
  <c r="U2667" i="11" s="1"/>
  <c r="S2667" i="11" s="1"/>
  <c r="O2668" i="11"/>
  <c r="U2668" i="11" s="1"/>
  <c r="S2668" i="11" s="1"/>
  <c r="O2669" i="11"/>
  <c r="U2669" i="11" s="1"/>
  <c r="S2669" i="11" s="1"/>
  <c r="O2670" i="11"/>
  <c r="U2670" i="11" s="1"/>
  <c r="S2670" i="11" s="1"/>
  <c r="O2671" i="11"/>
  <c r="U2671" i="11" s="1"/>
  <c r="S2671" i="11" s="1"/>
  <c r="O2672" i="11"/>
  <c r="U2672" i="11"/>
  <c r="S2672" i="11" s="1"/>
  <c r="O2673" i="11"/>
  <c r="U2673" i="11" s="1"/>
  <c r="S2673" i="11" s="1"/>
  <c r="O2674" i="11"/>
  <c r="U2674" i="11" s="1"/>
  <c r="S2674" i="11" s="1"/>
  <c r="O2675" i="11"/>
  <c r="U2675" i="11" s="1"/>
  <c r="S2675" i="11"/>
  <c r="O2676" i="11"/>
  <c r="U2676" i="11"/>
  <c r="S2676" i="11" s="1"/>
  <c r="O2677" i="11"/>
  <c r="U2677" i="11" s="1"/>
  <c r="S2677" i="11" s="1"/>
  <c r="O2678" i="11"/>
  <c r="U2678" i="11"/>
  <c r="S2678" i="11" s="1"/>
  <c r="O2679" i="11"/>
  <c r="U2679" i="11" s="1"/>
  <c r="S2679" i="11"/>
  <c r="O2680" i="11"/>
  <c r="U2680" i="11" s="1"/>
  <c r="S2680" i="11" s="1"/>
  <c r="O2681" i="11"/>
  <c r="U2681" i="11"/>
  <c r="S2681" i="11" s="1"/>
  <c r="O2682" i="11"/>
  <c r="U2682" i="11" s="1"/>
  <c r="S2682" i="11" s="1"/>
  <c r="O2683" i="11"/>
  <c r="U2683" i="11" s="1"/>
  <c r="S2683" i="11" s="1"/>
  <c r="O2684" i="11"/>
  <c r="U2684" i="11" s="1"/>
  <c r="S2684" i="11" s="1"/>
  <c r="O2685" i="11"/>
  <c r="U2685" i="11"/>
  <c r="S2685" i="11" s="1"/>
  <c r="O2686" i="11"/>
  <c r="U2686" i="11" s="1"/>
  <c r="S2686" i="11" s="1"/>
  <c r="O2687" i="11"/>
  <c r="U2687" i="11" s="1"/>
  <c r="S2687" i="11" s="1"/>
  <c r="O2688" i="11"/>
  <c r="U2688" i="11" s="1"/>
  <c r="S2688" i="11" s="1"/>
  <c r="O2689" i="11"/>
  <c r="U2689" i="11" s="1"/>
  <c r="S2689" i="11" s="1"/>
  <c r="O2690" i="11"/>
  <c r="U2690" i="11"/>
  <c r="S2690" i="11" s="1"/>
  <c r="O2691" i="11"/>
  <c r="U2691" i="11" s="1"/>
  <c r="S2691" i="11" s="1"/>
  <c r="O2692" i="11"/>
  <c r="U2692" i="11" s="1"/>
  <c r="S2692" i="11" s="1"/>
  <c r="O2693" i="11"/>
  <c r="U2693" i="11" s="1"/>
  <c r="S2693" i="11" s="1"/>
  <c r="O2694" i="11"/>
  <c r="U2694" i="11"/>
  <c r="S2694" i="11" s="1"/>
  <c r="O2695" i="11"/>
  <c r="U2695" i="11" s="1"/>
  <c r="S2695" i="11" s="1"/>
  <c r="O2696" i="11"/>
  <c r="U2696" i="11" s="1"/>
  <c r="S2696" i="11" s="1"/>
  <c r="O2697" i="11"/>
  <c r="U2697" i="11" s="1"/>
  <c r="S2697" i="11" s="1"/>
  <c r="O2698" i="11"/>
  <c r="U2698" i="11"/>
  <c r="S2698" i="11" s="1"/>
  <c r="O2699" i="11"/>
  <c r="U2699" i="11" s="1"/>
  <c r="S2699" i="11"/>
  <c r="O2700" i="11"/>
  <c r="U2700" i="11" s="1"/>
  <c r="S2700" i="11" s="1"/>
  <c r="O2701" i="11"/>
  <c r="U2701" i="11"/>
  <c r="S2701" i="11" s="1"/>
  <c r="O2702" i="11"/>
  <c r="U2702" i="11" s="1"/>
  <c r="S2702" i="11" s="1"/>
  <c r="O2703" i="11"/>
  <c r="U2703" i="11" s="1"/>
  <c r="S2703" i="11" s="1"/>
  <c r="O2704" i="11"/>
  <c r="U2704" i="11" s="1"/>
  <c r="S2704" i="11" s="1"/>
  <c r="O2705" i="11"/>
  <c r="U2705" i="11"/>
  <c r="S2705" i="11" s="1"/>
  <c r="O2706" i="11"/>
  <c r="U2706" i="11"/>
  <c r="S2706" i="11" s="1"/>
  <c r="O2707" i="11"/>
  <c r="U2707" i="11" s="1"/>
  <c r="S2707" i="11" s="1"/>
  <c r="O2708" i="11"/>
  <c r="U2708" i="11" s="1"/>
  <c r="S2708" i="11" s="1"/>
  <c r="O2709" i="11"/>
  <c r="U2709" i="11"/>
  <c r="S2709" i="11" s="1"/>
  <c r="O2710" i="11"/>
  <c r="U2710" i="11" s="1"/>
  <c r="S2710" i="11" s="1"/>
  <c r="O2711" i="11"/>
  <c r="U2711" i="11" s="1"/>
  <c r="S2711" i="11" s="1"/>
  <c r="O2712" i="11"/>
  <c r="U2712" i="11" s="1"/>
  <c r="S2712" i="11" s="1"/>
  <c r="O2713" i="11"/>
  <c r="U2713" i="11" s="1"/>
  <c r="S2713" i="11" s="1"/>
  <c r="O2714" i="11"/>
  <c r="U2714" i="11" s="1"/>
  <c r="S2714" i="11" s="1"/>
  <c r="O2715" i="11"/>
  <c r="U2715" i="11" s="1"/>
  <c r="S2715" i="11" s="1"/>
  <c r="O2716" i="11"/>
  <c r="U2716" i="11"/>
  <c r="S2716" i="11" s="1"/>
  <c r="O2717" i="11"/>
  <c r="U2717" i="11" s="1"/>
  <c r="S2717" i="11" s="1"/>
  <c r="O2718" i="11"/>
  <c r="U2718" i="11" s="1"/>
  <c r="S2718" i="11" s="1"/>
  <c r="O2719" i="11"/>
  <c r="U2719" i="11" s="1"/>
  <c r="S2719" i="11" s="1"/>
  <c r="O2720" i="11"/>
  <c r="U2720" i="11" s="1"/>
  <c r="S2720" i="11" s="1"/>
  <c r="O2721" i="11"/>
  <c r="U2721" i="11"/>
  <c r="S2721" i="11" s="1"/>
  <c r="O2722" i="11"/>
  <c r="U2722" i="11" s="1"/>
  <c r="S2722" i="11" s="1"/>
  <c r="O2723" i="11"/>
  <c r="U2723" i="11" s="1"/>
  <c r="S2723" i="11" s="1"/>
  <c r="O2724" i="11"/>
  <c r="U2724" i="11"/>
  <c r="S2724" i="11" s="1"/>
  <c r="O2725" i="11"/>
  <c r="U2725" i="11"/>
  <c r="S2725" i="11" s="1"/>
  <c r="O2726" i="11"/>
  <c r="U2726" i="11" s="1"/>
  <c r="S2726" i="11" s="1"/>
  <c r="O2727" i="11"/>
  <c r="U2727" i="11" s="1"/>
  <c r="S2727" i="11" s="1"/>
  <c r="O2728" i="11"/>
  <c r="U2728" i="11" s="1"/>
  <c r="S2728" i="11" s="1"/>
  <c r="O2729" i="11"/>
  <c r="U2729" i="11"/>
  <c r="S2729" i="11" s="1"/>
  <c r="O2730" i="11"/>
  <c r="U2730" i="11" s="1"/>
  <c r="S2730" i="11" s="1"/>
  <c r="O2731" i="11"/>
  <c r="U2731" i="11" s="1"/>
  <c r="S2731" i="11" s="1"/>
  <c r="O2732" i="11"/>
  <c r="U2732" i="11"/>
  <c r="S2732" i="11" s="1"/>
  <c r="O2733" i="11"/>
  <c r="U2733" i="11"/>
  <c r="S2733" i="11" s="1"/>
  <c r="O2734" i="11"/>
  <c r="U2734" i="11" s="1"/>
  <c r="S2734" i="11" s="1"/>
  <c r="O2735" i="11"/>
  <c r="U2735" i="11" s="1"/>
  <c r="S2735" i="11" s="1"/>
  <c r="O2736" i="11"/>
  <c r="U2736" i="11" s="1"/>
  <c r="S2736" i="11" s="1"/>
  <c r="O2737" i="11"/>
  <c r="U2737" i="11" s="1"/>
  <c r="S2737" i="11" s="1"/>
  <c r="O2738" i="11"/>
  <c r="U2738" i="11" s="1"/>
  <c r="S2738" i="11" s="1"/>
  <c r="O2739" i="11"/>
  <c r="U2739" i="11" s="1"/>
  <c r="S2739" i="11" s="1"/>
  <c r="O2740" i="11"/>
  <c r="U2740" i="11" s="1"/>
  <c r="S2740" i="11" s="1"/>
  <c r="O2741" i="11"/>
  <c r="U2741" i="11" s="1"/>
  <c r="S2741" i="11" s="1"/>
  <c r="O2742" i="11"/>
  <c r="U2742" i="11" s="1"/>
  <c r="S2742" i="11" s="1"/>
  <c r="O2743" i="11"/>
  <c r="U2743" i="11" s="1"/>
  <c r="S2743" i="11" s="1"/>
  <c r="O2744" i="11"/>
  <c r="U2744" i="11" s="1"/>
  <c r="S2744" i="11" s="1"/>
  <c r="O2745" i="11"/>
  <c r="U2745" i="11"/>
  <c r="S2745" i="11" s="1"/>
  <c r="O2746" i="11"/>
  <c r="U2746" i="11" s="1"/>
  <c r="S2746" i="11" s="1"/>
  <c r="O2747" i="11"/>
  <c r="U2747" i="11" s="1"/>
  <c r="S2747" i="11" s="1"/>
  <c r="O2748" i="11"/>
  <c r="U2748" i="11" s="1"/>
  <c r="S2748" i="11" s="1"/>
  <c r="O2749" i="11"/>
  <c r="U2749" i="11" s="1"/>
  <c r="S2749" i="11" s="1"/>
  <c r="O2750" i="11"/>
  <c r="U2750" i="11" s="1"/>
  <c r="S2750" i="11" s="1"/>
  <c r="O2751" i="11"/>
  <c r="U2751" i="11" s="1"/>
  <c r="S2751" i="11" s="1"/>
  <c r="O2752" i="11"/>
  <c r="U2752" i="11" s="1"/>
  <c r="S2752" i="11" s="1"/>
  <c r="O2753" i="11"/>
  <c r="U2753" i="11"/>
  <c r="S2753" i="11" s="1"/>
  <c r="O2754" i="11"/>
  <c r="U2754" i="11" s="1"/>
  <c r="S2754" i="11" s="1"/>
  <c r="O2755" i="11"/>
  <c r="U2755" i="11" s="1"/>
  <c r="S2755" i="11" s="1"/>
  <c r="O2756" i="11"/>
  <c r="U2756" i="11" s="1"/>
  <c r="S2756" i="11" s="1"/>
  <c r="O2757" i="11"/>
  <c r="U2757" i="11" s="1"/>
  <c r="S2757" i="11" s="1"/>
  <c r="O2758" i="11"/>
  <c r="U2758" i="11" s="1"/>
  <c r="S2758" i="11" s="1"/>
  <c r="O2759" i="11"/>
  <c r="U2759" i="11" s="1"/>
  <c r="S2759" i="11" s="1"/>
  <c r="O2760" i="11"/>
  <c r="U2760" i="11"/>
  <c r="S2760" i="11" s="1"/>
  <c r="O2761" i="11"/>
  <c r="U2761" i="11" s="1"/>
  <c r="S2761" i="11" s="1"/>
  <c r="O2762" i="11"/>
  <c r="U2762" i="11" s="1"/>
  <c r="S2762" i="11" s="1"/>
  <c r="O2763" i="11"/>
  <c r="U2763" i="11" s="1"/>
  <c r="S2763" i="11" s="1"/>
  <c r="O2764" i="11"/>
  <c r="U2764" i="11"/>
  <c r="S2764" i="11" s="1"/>
  <c r="O2765" i="11"/>
  <c r="U2765" i="11" s="1"/>
  <c r="S2765" i="11" s="1"/>
  <c r="O2766" i="11"/>
  <c r="U2766" i="11" s="1"/>
  <c r="S2766" i="11" s="1"/>
  <c r="O2767" i="11"/>
  <c r="U2767" i="11" s="1"/>
  <c r="S2767" i="11" s="1"/>
  <c r="O2768" i="11"/>
  <c r="U2768" i="11" s="1"/>
  <c r="S2768" i="11" s="1"/>
  <c r="O2769" i="11"/>
  <c r="U2769" i="11" s="1"/>
  <c r="S2769" i="11" s="1"/>
  <c r="O2770" i="11"/>
  <c r="U2770" i="11"/>
  <c r="S2770" i="11" s="1"/>
  <c r="O2771" i="11"/>
  <c r="U2771" i="11" s="1"/>
  <c r="S2771" i="11" s="1"/>
  <c r="O2772" i="11"/>
  <c r="U2772" i="11" s="1"/>
  <c r="S2772" i="11" s="1"/>
  <c r="O2773" i="11"/>
  <c r="U2773" i="11" s="1"/>
  <c r="S2773" i="11" s="1"/>
  <c r="O2774" i="11"/>
  <c r="U2774" i="11"/>
  <c r="S2774" i="11" s="1"/>
  <c r="O2775" i="11"/>
  <c r="U2775" i="11" s="1"/>
  <c r="S2775" i="11" s="1"/>
  <c r="O2776" i="11"/>
  <c r="U2776" i="11" s="1"/>
  <c r="S2776" i="11" s="1"/>
  <c r="O2777" i="11"/>
  <c r="U2777" i="11" s="1"/>
  <c r="S2777" i="11" s="1"/>
  <c r="O2778" i="11"/>
  <c r="U2778" i="11" s="1"/>
  <c r="S2778" i="11" s="1"/>
  <c r="O2779" i="11"/>
  <c r="U2779" i="11" s="1"/>
  <c r="S2779" i="11" s="1"/>
  <c r="O2780" i="11"/>
  <c r="U2780" i="11" s="1"/>
  <c r="S2780" i="11" s="1"/>
  <c r="O2781" i="11"/>
  <c r="U2781" i="11" s="1"/>
  <c r="S2781" i="11" s="1"/>
  <c r="O2782" i="11"/>
  <c r="U2782" i="11"/>
  <c r="S2782" i="11" s="1"/>
  <c r="O2783" i="11"/>
  <c r="U2783" i="11"/>
  <c r="S2783" i="11" s="1"/>
  <c r="O2784" i="11"/>
  <c r="U2784" i="11" s="1"/>
  <c r="S2784" i="11" s="1"/>
  <c r="O2785" i="11"/>
  <c r="U2785" i="11" s="1"/>
  <c r="S2785" i="11" s="1"/>
  <c r="O2786" i="11"/>
  <c r="U2786" i="11"/>
  <c r="S2786" i="11" s="1"/>
  <c r="O2787" i="11"/>
  <c r="U2787" i="11" s="1"/>
  <c r="S2787" i="11" s="1"/>
  <c r="O2788" i="11"/>
  <c r="U2788" i="11" s="1"/>
  <c r="S2788" i="11" s="1"/>
  <c r="O2789" i="11"/>
  <c r="U2789" i="11" s="1"/>
  <c r="S2789" i="11" s="1"/>
  <c r="O2790" i="11"/>
  <c r="U2790" i="11" s="1"/>
  <c r="S2790" i="11" s="1"/>
  <c r="O2791" i="11"/>
  <c r="U2791" i="11" s="1"/>
  <c r="S2791" i="11" s="1"/>
  <c r="O2792" i="11"/>
  <c r="U2792" i="11" s="1"/>
  <c r="S2792" i="11" s="1"/>
  <c r="O2793" i="11"/>
  <c r="U2793" i="11" s="1"/>
  <c r="S2793" i="11" s="1"/>
  <c r="O2794" i="11"/>
  <c r="U2794" i="11" s="1"/>
  <c r="S2794" i="11" s="1"/>
  <c r="O2795" i="11"/>
  <c r="U2795" i="11" s="1"/>
  <c r="S2795" i="11" s="1"/>
  <c r="O2796" i="11"/>
  <c r="U2796" i="11"/>
  <c r="S2796" i="11" s="1"/>
  <c r="O2797" i="11"/>
  <c r="U2797" i="11" s="1"/>
  <c r="S2797" i="11" s="1"/>
  <c r="O2798" i="11"/>
  <c r="U2798" i="11" s="1"/>
  <c r="S2798" i="11" s="1"/>
  <c r="O2799" i="11"/>
  <c r="U2799" i="11" s="1"/>
  <c r="S2799" i="11" s="1"/>
  <c r="O2800" i="11"/>
  <c r="U2800" i="11"/>
  <c r="S2800" i="11" s="1"/>
  <c r="O2801" i="11"/>
  <c r="U2801" i="11" s="1"/>
  <c r="S2801" i="11" s="1"/>
  <c r="O2802" i="11"/>
  <c r="U2802" i="11" s="1"/>
  <c r="S2802" i="11" s="1"/>
  <c r="O2803" i="11"/>
  <c r="U2803" i="11" s="1"/>
  <c r="S2803" i="11" s="1"/>
  <c r="O2804" i="11"/>
  <c r="U2804" i="11" s="1"/>
  <c r="S2804" i="11" s="1"/>
  <c r="O2805" i="11"/>
  <c r="U2805" i="11" s="1"/>
  <c r="S2805" i="11" s="1"/>
  <c r="O2806" i="11"/>
  <c r="U2806" i="11"/>
  <c r="S2806" i="11" s="1"/>
  <c r="O2807" i="11"/>
  <c r="U2807" i="11" s="1"/>
  <c r="S2807" i="11" s="1"/>
  <c r="O2808" i="11"/>
  <c r="U2808" i="11" s="1"/>
  <c r="S2808" i="11" s="1"/>
  <c r="O2809" i="11"/>
  <c r="U2809" i="11" s="1"/>
  <c r="S2809" i="11" s="1"/>
  <c r="O2810" i="11"/>
  <c r="U2810" i="11"/>
  <c r="S2810" i="11" s="1"/>
  <c r="O2811" i="11"/>
  <c r="U2811" i="11" s="1"/>
  <c r="S2811" i="11" s="1"/>
  <c r="O2812" i="11"/>
  <c r="U2812" i="11" s="1"/>
  <c r="S2812" i="11" s="1"/>
  <c r="O2813" i="11"/>
  <c r="U2813" i="11" s="1"/>
  <c r="S2813" i="11" s="1"/>
  <c r="O2814" i="11"/>
  <c r="U2814" i="11" s="1"/>
  <c r="S2814" i="11" s="1"/>
  <c r="O2815" i="11"/>
  <c r="U2815" i="11" s="1"/>
  <c r="S2815" i="11" s="1"/>
  <c r="O2816" i="11"/>
  <c r="U2816" i="11" s="1"/>
  <c r="S2816" i="11" s="1"/>
  <c r="O2817" i="11"/>
  <c r="U2817" i="11" s="1"/>
  <c r="S2817" i="11" s="1"/>
  <c r="O2818" i="11"/>
  <c r="U2818" i="11"/>
  <c r="S2818" i="11" s="1"/>
  <c r="O2819" i="11"/>
  <c r="U2819" i="11" s="1"/>
  <c r="S2819" i="11" s="1"/>
  <c r="O2820" i="11"/>
  <c r="U2820" i="11"/>
  <c r="S2820" i="11" s="1"/>
  <c r="O2821" i="11"/>
  <c r="U2821" i="11" s="1"/>
  <c r="S2821" i="11" s="1"/>
  <c r="O2822" i="11"/>
  <c r="U2822" i="11" s="1"/>
  <c r="S2822" i="11" s="1"/>
  <c r="O2823" i="11"/>
  <c r="U2823" i="11" s="1"/>
  <c r="S2823" i="11" s="1"/>
  <c r="O2824" i="11"/>
  <c r="U2824" i="11"/>
  <c r="S2824" i="11" s="1"/>
  <c r="O2825" i="11"/>
  <c r="U2825" i="11" s="1"/>
  <c r="S2825" i="11" s="1"/>
  <c r="O2826" i="11"/>
  <c r="U2826" i="11" s="1"/>
  <c r="S2826" i="11" s="1"/>
  <c r="O2827" i="11"/>
  <c r="U2827" i="11" s="1"/>
  <c r="S2827" i="11" s="1"/>
  <c r="O2828" i="11"/>
  <c r="U2828" i="11" s="1"/>
  <c r="S2828" i="11" s="1"/>
  <c r="O2829" i="11"/>
  <c r="U2829" i="11" s="1"/>
  <c r="S2829" i="11" s="1"/>
  <c r="O2830" i="11"/>
  <c r="U2830" i="11" s="1"/>
  <c r="S2830" i="11" s="1"/>
  <c r="O2831" i="11"/>
  <c r="U2831" i="11" s="1"/>
  <c r="S2831" i="11" s="1"/>
  <c r="O2832" i="11"/>
  <c r="U2832" i="11"/>
  <c r="S2832" i="11" s="1"/>
  <c r="O2833" i="11"/>
  <c r="U2833" i="11" s="1"/>
  <c r="S2833" i="11" s="1"/>
  <c r="O2834" i="11"/>
  <c r="U2834" i="11" s="1"/>
  <c r="S2834" i="11" s="1"/>
  <c r="O2835" i="11"/>
  <c r="U2835" i="11" s="1"/>
  <c r="S2835" i="11" s="1"/>
  <c r="O2836" i="11"/>
  <c r="U2836" i="11" s="1"/>
  <c r="S2836" i="11" s="1"/>
  <c r="O2837" i="11"/>
  <c r="U2837" i="11" s="1"/>
  <c r="S2837" i="11" s="1"/>
  <c r="O2838" i="11"/>
  <c r="U2838" i="11" s="1"/>
  <c r="S2838" i="11" s="1"/>
  <c r="O2839" i="11"/>
  <c r="U2839" i="11" s="1"/>
  <c r="S2839" i="11" s="1"/>
  <c r="O2840" i="11"/>
  <c r="U2840" i="11"/>
  <c r="S2840" i="11" s="1"/>
  <c r="O2841" i="11"/>
  <c r="U2841" i="11" s="1"/>
  <c r="S2841" i="11" s="1"/>
  <c r="O2842" i="11"/>
  <c r="U2842" i="11"/>
  <c r="S2842" i="11" s="1"/>
  <c r="O2843" i="11"/>
  <c r="U2843" i="11" s="1"/>
  <c r="S2843" i="11" s="1"/>
  <c r="O2844" i="11"/>
  <c r="U2844" i="11" s="1"/>
  <c r="S2844" i="11" s="1"/>
  <c r="O2845" i="11"/>
  <c r="U2845" i="11"/>
  <c r="S2845" i="11" s="1"/>
  <c r="O2846" i="11"/>
  <c r="U2846" i="11" s="1"/>
  <c r="S2846" i="11" s="1"/>
  <c r="O2847" i="11"/>
  <c r="U2847" i="11" s="1"/>
  <c r="S2847" i="11" s="1"/>
  <c r="O2848" i="11"/>
  <c r="U2848" i="11"/>
  <c r="S2848" i="11" s="1"/>
  <c r="O2849" i="11"/>
  <c r="U2849" i="11"/>
  <c r="S2849" i="11" s="1"/>
  <c r="O2850" i="11"/>
  <c r="U2850" i="11" s="1"/>
  <c r="S2850" i="11" s="1"/>
  <c r="O2851" i="11"/>
  <c r="U2851" i="11"/>
  <c r="S2851" i="11"/>
  <c r="O2852" i="11"/>
  <c r="U2852" i="11" s="1"/>
  <c r="S2852" i="11" s="1"/>
  <c r="O2853" i="11"/>
  <c r="U2853" i="11" s="1"/>
  <c r="S2853" i="11" s="1"/>
  <c r="O2854" i="11"/>
  <c r="U2854" i="11" s="1"/>
  <c r="S2854" i="11" s="1"/>
  <c r="O2855" i="11"/>
  <c r="U2855" i="11" s="1"/>
  <c r="S2855" i="11" s="1"/>
  <c r="O2856" i="11"/>
  <c r="U2856" i="11"/>
  <c r="S2856" i="11" s="1"/>
  <c r="O2857" i="11"/>
  <c r="U2857" i="11"/>
  <c r="S2857" i="11" s="1"/>
  <c r="O2858" i="11"/>
  <c r="U2858" i="11" s="1"/>
  <c r="S2858" i="11" s="1"/>
  <c r="O2859" i="11"/>
  <c r="U2859" i="11"/>
  <c r="S2859" i="11" s="1"/>
  <c r="O2860" i="11"/>
  <c r="U2860" i="11" s="1"/>
  <c r="S2860" i="11" s="1"/>
  <c r="O2861" i="11"/>
  <c r="U2861" i="11" s="1"/>
  <c r="S2861" i="11" s="1"/>
  <c r="O2862" i="11"/>
  <c r="U2862" i="11"/>
  <c r="S2862" i="11" s="1"/>
  <c r="O2863" i="11"/>
  <c r="U2863" i="11" s="1"/>
  <c r="S2863" i="11" s="1"/>
  <c r="O2864" i="11"/>
  <c r="U2864" i="11" s="1"/>
  <c r="S2864" i="11" s="1"/>
  <c r="O2865" i="11"/>
  <c r="U2865" i="11"/>
  <c r="S2865" i="11" s="1"/>
  <c r="O2866" i="11"/>
  <c r="U2866" i="11" s="1"/>
  <c r="S2866" i="11" s="1"/>
  <c r="O2867" i="11"/>
  <c r="U2867" i="11" s="1"/>
  <c r="S2867" i="11" s="1"/>
  <c r="O2868" i="11"/>
  <c r="U2868" i="11" s="1"/>
  <c r="S2868" i="11" s="1"/>
  <c r="O2869" i="11"/>
  <c r="U2869" i="11" s="1"/>
  <c r="S2869" i="11" s="1"/>
  <c r="O2870" i="11"/>
  <c r="U2870" i="11"/>
  <c r="S2870" i="11" s="1"/>
  <c r="O2871" i="11"/>
  <c r="U2871" i="11" s="1"/>
  <c r="S2871" i="11" s="1"/>
  <c r="O2872" i="11"/>
  <c r="U2872" i="11" s="1"/>
  <c r="S2872" i="11" s="1"/>
  <c r="O2873" i="11"/>
  <c r="U2873" i="11" s="1"/>
  <c r="S2873" i="11" s="1"/>
  <c r="O2874" i="11"/>
  <c r="U2874" i="11"/>
  <c r="S2874" i="11" s="1"/>
  <c r="O2875" i="11"/>
  <c r="U2875" i="11" s="1"/>
  <c r="S2875" i="11" s="1"/>
  <c r="O2876" i="11"/>
  <c r="U2876" i="11" s="1"/>
  <c r="S2876" i="11" s="1"/>
  <c r="O2877" i="11"/>
  <c r="U2877" i="11"/>
  <c r="S2877" i="11" s="1"/>
  <c r="O2878" i="11"/>
  <c r="U2878" i="11" s="1"/>
  <c r="S2878" i="11" s="1"/>
  <c r="O2879" i="11"/>
  <c r="U2879" i="11" s="1"/>
  <c r="S2879" i="11" s="1"/>
  <c r="O2880" i="11"/>
  <c r="U2880" i="11" s="1"/>
  <c r="S2880" i="11" s="1"/>
  <c r="O2881" i="11"/>
  <c r="U2881" i="11" s="1"/>
  <c r="S2881" i="11" s="1"/>
  <c r="O2882" i="11"/>
  <c r="U2882" i="11" s="1"/>
  <c r="S2882" i="11" s="1"/>
  <c r="O2883" i="11"/>
  <c r="U2883" i="11"/>
  <c r="S2883" i="11"/>
  <c r="O2884" i="11"/>
  <c r="U2884" i="11" s="1"/>
  <c r="S2884" i="11" s="1"/>
  <c r="O2885" i="11"/>
  <c r="U2885" i="11" s="1"/>
  <c r="S2885" i="11" s="1"/>
  <c r="O2886" i="11"/>
  <c r="U2886" i="11"/>
  <c r="S2886" i="11" s="1"/>
  <c r="O2887" i="11"/>
  <c r="U2887" i="11" s="1"/>
  <c r="S2887" i="11" s="1"/>
  <c r="O2888" i="11"/>
  <c r="U2888" i="11" s="1"/>
  <c r="S2888" i="11" s="1"/>
  <c r="O2889" i="11"/>
  <c r="U2889" i="11" s="1"/>
  <c r="S2889" i="11" s="1"/>
  <c r="O2890" i="11"/>
  <c r="U2890" i="11"/>
  <c r="S2890" i="11" s="1"/>
  <c r="O2891" i="11"/>
  <c r="U2891" i="11"/>
  <c r="S2891" i="11" s="1"/>
  <c r="O2892" i="11"/>
  <c r="U2892" i="11" s="1"/>
  <c r="S2892" i="11" s="1"/>
  <c r="O2893" i="11"/>
  <c r="U2893" i="11"/>
  <c r="S2893" i="11" s="1"/>
  <c r="O2894" i="11"/>
  <c r="U2894" i="11"/>
  <c r="S2894" i="11" s="1"/>
  <c r="O2895" i="11"/>
  <c r="U2895" i="11" s="1"/>
  <c r="S2895" i="11" s="1"/>
  <c r="O2896" i="11"/>
  <c r="U2896" i="11" s="1"/>
  <c r="S2896" i="11" s="1"/>
  <c r="O2897" i="11"/>
  <c r="U2897" i="11"/>
  <c r="S2897" i="11" s="1"/>
  <c r="O2898" i="11"/>
  <c r="U2898" i="11" s="1"/>
  <c r="S2898" i="11" s="1"/>
  <c r="O2899" i="11"/>
  <c r="U2899" i="11"/>
  <c r="S2899" i="11" s="1"/>
  <c r="O2900" i="11"/>
  <c r="U2900" i="11" s="1"/>
  <c r="S2900" i="11" s="1"/>
  <c r="O2901" i="11"/>
  <c r="U2901" i="11" s="1"/>
  <c r="S2901" i="11" s="1"/>
  <c r="O2902" i="11"/>
  <c r="U2902" i="11" s="1"/>
  <c r="S2902" i="11" s="1"/>
  <c r="O2903" i="11"/>
  <c r="U2903" i="11" s="1"/>
  <c r="S2903" i="11" s="1"/>
  <c r="O2904" i="11"/>
  <c r="U2904" i="11" s="1"/>
  <c r="S2904" i="11" s="1"/>
  <c r="O2905" i="11"/>
  <c r="U2905" i="11" s="1"/>
  <c r="S2905" i="11" s="1"/>
  <c r="O2906" i="11"/>
  <c r="U2906" i="11" s="1"/>
  <c r="S2906" i="11" s="1"/>
  <c r="O2907" i="11"/>
  <c r="U2907" i="11" s="1"/>
  <c r="S2907" i="11" s="1"/>
  <c r="O2908" i="11"/>
  <c r="U2908" i="11" s="1"/>
  <c r="S2908" i="11" s="1"/>
  <c r="O2909" i="11"/>
  <c r="U2909" i="11" s="1"/>
  <c r="S2909" i="11" s="1"/>
  <c r="O2910" i="11"/>
  <c r="U2910" i="11"/>
  <c r="S2910" i="11" s="1"/>
  <c r="O2911" i="11"/>
  <c r="U2911" i="11"/>
  <c r="S2911" i="11" s="1"/>
  <c r="O2912" i="11"/>
  <c r="U2912" i="11" s="1"/>
  <c r="S2912" i="11" s="1"/>
  <c r="O2913" i="11"/>
  <c r="U2913" i="11" s="1"/>
  <c r="S2913" i="11" s="1"/>
  <c r="O2914" i="11"/>
  <c r="U2914" i="11" s="1"/>
  <c r="S2914" i="11" s="1"/>
  <c r="O2915" i="11"/>
  <c r="U2915" i="11" s="1"/>
  <c r="S2915" i="11" s="1"/>
  <c r="O2916" i="11"/>
  <c r="U2916" i="11"/>
  <c r="S2916" i="11" s="1"/>
  <c r="O2917" i="11"/>
  <c r="U2917" i="11" s="1"/>
  <c r="S2917" i="11" s="1"/>
  <c r="O2918" i="11"/>
  <c r="U2918" i="11" s="1"/>
  <c r="S2918" i="11" s="1"/>
  <c r="O2919" i="11"/>
  <c r="U2919" i="11" s="1"/>
  <c r="S2919" i="11" s="1"/>
  <c r="O2920" i="11"/>
  <c r="U2920" i="11"/>
  <c r="S2920" i="11" s="1"/>
  <c r="O2921" i="11"/>
  <c r="U2921" i="11" s="1"/>
  <c r="S2921" i="11" s="1"/>
  <c r="O2922" i="11"/>
  <c r="U2922" i="11" s="1"/>
  <c r="S2922" i="11" s="1"/>
  <c r="O2923" i="11"/>
  <c r="U2923" i="11" s="1"/>
  <c r="S2923" i="11" s="1"/>
  <c r="O2924" i="11"/>
  <c r="U2924" i="11" s="1"/>
  <c r="S2924" i="11" s="1"/>
  <c r="O2925" i="11"/>
  <c r="U2925" i="11" s="1"/>
  <c r="S2925" i="11" s="1"/>
  <c r="O2926" i="11"/>
  <c r="U2926" i="11" s="1"/>
  <c r="S2926" i="11" s="1"/>
  <c r="O2927" i="11"/>
  <c r="U2927" i="11" s="1"/>
  <c r="S2927" i="11" s="1"/>
  <c r="O2928" i="11"/>
  <c r="U2928" i="11" s="1"/>
  <c r="S2928" i="11" s="1"/>
  <c r="O2929" i="11"/>
  <c r="U2929" i="11" s="1"/>
  <c r="S2929" i="11" s="1"/>
  <c r="O2930" i="11"/>
  <c r="U2930" i="11" s="1"/>
  <c r="S2930" i="11" s="1"/>
  <c r="O2931" i="11"/>
  <c r="U2931" i="11" s="1"/>
  <c r="S2931" i="11" s="1"/>
  <c r="O2932" i="11"/>
  <c r="U2932" i="11" s="1"/>
  <c r="S2932" i="11" s="1"/>
  <c r="O2933" i="11"/>
  <c r="U2933" i="11" s="1"/>
  <c r="S2933" i="11" s="1"/>
  <c r="O2934" i="11"/>
  <c r="U2934" i="11"/>
  <c r="S2934" i="11" s="1"/>
  <c r="O2935" i="11"/>
  <c r="U2935" i="11" s="1"/>
  <c r="S2935" i="11" s="1"/>
  <c r="O2936" i="11"/>
  <c r="U2936" i="11" s="1"/>
  <c r="S2936" i="11" s="1"/>
  <c r="O2937" i="11"/>
  <c r="U2937" i="11" s="1"/>
  <c r="S2937" i="11" s="1"/>
  <c r="O2938" i="11"/>
  <c r="U2938" i="11" s="1"/>
  <c r="S2938" i="11" s="1"/>
  <c r="O2939" i="11"/>
  <c r="U2939" i="11" s="1"/>
  <c r="S2939" i="11" s="1"/>
  <c r="O2940" i="11"/>
  <c r="U2940" i="11"/>
  <c r="S2940" i="11" s="1"/>
  <c r="O2941" i="11"/>
  <c r="U2941" i="11" s="1"/>
  <c r="S2941" i="11" s="1"/>
  <c r="O2942" i="11"/>
  <c r="U2942" i="11" s="1"/>
  <c r="S2942" i="11" s="1"/>
  <c r="O2943" i="11"/>
  <c r="U2943" i="11" s="1"/>
  <c r="S2943" i="11" s="1"/>
  <c r="O2944" i="11"/>
  <c r="U2944" i="11"/>
  <c r="S2944" i="11" s="1"/>
  <c r="O2945" i="11"/>
  <c r="U2945" i="11" s="1"/>
  <c r="S2945" i="11" s="1"/>
  <c r="O2946" i="11"/>
  <c r="U2946" i="11" s="1"/>
  <c r="S2946" i="11" s="1"/>
  <c r="O2947" i="11"/>
  <c r="U2947" i="11" s="1"/>
  <c r="S2947" i="11" s="1"/>
  <c r="O2948" i="11"/>
  <c r="U2948" i="11" s="1"/>
  <c r="S2948" i="11" s="1"/>
  <c r="O2949" i="11"/>
  <c r="U2949" i="11" s="1"/>
  <c r="S2949" i="11" s="1"/>
  <c r="O2950" i="11"/>
  <c r="U2950" i="11" s="1"/>
  <c r="S2950" i="11" s="1"/>
  <c r="O2951" i="11"/>
  <c r="U2951" i="11" s="1"/>
  <c r="S2951" i="11" s="1"/>
  <c r="O2952" i="11"/>
  <c r="U2952" i="11"/>
  <c r="S2952" i="11" s="1"/>
  <c r="O2953" i="11"/>
  <c r="U2953" i="11" s="1"/>
  <c r="S2953" i="11" s="1"/>
  <c r="O2954" i="11"/>
  <c r="U2954" i="11" s="1"/>
  <c r="S2954" i="11" s="1"/>
  <c r="O2955" i="11"/>
  <c r="U2955" i="11" s="1"/>
  <c r="S2955" i="11" s="1"/>
  <c r="O2956" i="11"/>
  <c r="U2956" i="11" s="1"/>
  <c r="S2956" i="11" s="1"/>
  <c r="O2957" i="11"/>
  <c r="U2957" i="11" s="1"/>
  <c r="S2957" i="11" s="1"/>
  <c r="O2958" i="11"/>
  <c r="U2958" i="11" s="1"/>
  <c r="S2958" i="11" s="1"/>
  <c r="O2959" i="11"/>
  <c r="U2959" i="11" s="1"/>
  <c r="S2959" i="11" s="1"/>
  <c r="O2960" i="11"/>
  <c r="U2960" i="11" s="1"/>
  <c r="S2960" i="11" s="1"/>
  <c r="O2961" i="11"/>
  <c r="U2961" i="11" s="1"/>
  <c r="S2961" i="11" s="1"/>
  <c r="O2962" i="11"/>
  <c r="U2962" i="11" s="1"/>
  <c r="S2962" i="11" s="1"/>
  <c r="O2963" i="11"/>
  <c r="U2963" i="11" s="1"/>
  <c r="S2963" i="11" s="1"/>
  <c r="O2964" i="11"/>
  <c r="U2964" i="11"/>
  <c r="S2964" i="11" s="1"/>
  <c r="O2965" i="11"/>
  <c r="U2965" i="11" s="1"/>
  <c r="S2965" i="11" s="1"/>
  <c r="O2966" i="11"/>
  <c r="U2966" i="11" s="1"/>
  <c r="S2966" i="11" s="1"/>
  <c r="O2967" i="11"/>
  <c r="U2967" i="11" s="1"/>
  <c r="S2967" i="11" s="1"/>
  <c r="O2968" i="11"/>
  <c r="U2968" i="11" s="1"/>
  <c r="S2968" i="11" s="1"/>
  <c r="O2969" i="11"/>
  <c r="U2969" i="11" s="1"/>
  <c r="S2969" i="11" s="1"/>
  <c r="O2970" i="11"/>
  <c r="U2970" i="11"/>
  <c r="S2970" i="11" s="1"/>
  <c r="O2971" i="11"/>
  <c r="U2971" i="11" s="1"/>
  <c r="S2971" i="11" s="1"/>
  <c r="O2972" i="11"/>
  <c r="U2972" i="11" s="1"/>
  <c r="S2972" i="11" s="1"/>
  <c r="O2973" i="11"/>
  <c r="U2973" i="11" s="1"/>
  <c r="S2973" i="11" s="1"/>
  <c r="O2974" i="11"/>
  <c r="U2974" i="11" s="1"/>
  <c r="S2974" i="11" s="1"/>
  <c r="O2975" i="11"/>
  <c r="U2975" i="11" s="1"/>
  <c r="S2975" i="11" s="1"/>
  <c r="O2976" i="11"/>
  <c r="U2976" i="11"/>
  <c r="S2976" i="11" s="1"/>
  <c r="O2977" i="11"/>
  <c r="U2977" i="11" s="1"/>
  <c r="S2977" i="11" s="1"/>
  <c r="O2978" i="11"/>
  <c r="U2978" i="11" s="1"/>
  <c r="S2978" i="11" s="1"/>
  <c r="O2979" i="11"/>
  <c r="U2979" i="11" s="1"/>
  <c r="S2979" i="11" s="1"/>
  <c r="O2980" i="11"/>
  <c r="U2980" i="11"/>
  <c r="S2980" i="11" s="1"/>
  <c r="O2981" i="11"/>
  <c r="U2981" i="11" s="1"/>
  <c r="S2981" i="11" s="1"/>
  <c r="O2982" i="11"/>
  <c r="U2982" i="11" s="1"/>
  <c r="S2982" i="11" s="1"/>
  <c r="O2983" i="11"/>
  <c r="U2983" i="11" s="1"/>
  <c r="S2983" i="11" s="1"/>
  <c r="O2984" i="11"/>
  <c r="U2984" i="11" s="1"/>
  <c r="S2984" i="11" s="1"/>
  <c r="O2985" i="11"/>
  <c r="U2985" i="11" s="1"/>
  <c r="S2985" i="11" s="1"/>
  <c r="O2986" i="11"/>
  <c r="U2986" i="11" s="1"/>
  <c r="S2986" i="11" s="1"/>
  <c r="O2987" i="11"/>
  <c r="U2987" i="11" s="1"/>
  <c r="S2987" i="11" s="1"/>
  <c r="O2988" i="11"/>
  <c r="U2988" i="11" s="1"/>
  <c r="S2988" i="11" s="1"/>
  <c r="O2989" i="11"/>
  <c r="U2989" i="11" s="1"/>
  <c r="S2989" i="11" s="1"/>
  <c r="O2990" i="11"/>
  <c r="U2990" i="11" s="1"/>
  <c r="S2990" i="11" s="1"/>
  <c r="O2991" i="11"/>
  <c r="U2991" i="11" s="1"/>
  <c r="S2991" i="11" s="1"/>
  <c r="O2992" i="11"/>
  <c r="U2992" i="11" s="1"/>
  <c r="S2992" i="11" s="1"/>
  <c r="O2993" i="11"/>
  <c r="U2993" i="11" s="1"/>
  <c r="S2993" i="11" s="1"/>
  <c r="O2994" i="11"/>
  <c r="U2994" i="11"/>
  <c r="S2994" i="11" s="1"/>
  <c r="O2995" i="11"/>
  <c r="U2995" i="11" s="1"/>
  <c r="S2995" i="11" s="1"/>
  <c r="O2996" i="11"/>
  <c r="U2996" i="11" s="1"/>
  <c r="S2996" i="11" s="1"/>
  <c r="O2997" i="11"/>
  <c r="U2997" i="11" s="1"/>
  <c r="S2997" i="11" s="1"/>
  <c r="O2998" i="11"/>
  <c r="U2998" i="11" s="1"/>
  <c r="S2998" i="11" s="1"/>
  <c r="O2999" i="11"/>
  <c r="U2999" i="11"/>
  <c r="S2999" i="11" s="1"/>
  <c r="O3000" i="11"/>
  <c r="U3000" i="11" s="1"/>
  <c r="S3000" i="11" s="1"/>
  <c r="O3001" i="11"/>
  <c r="U3001" i="11" s="1"/>
  <c r="S3001" i="11" s="1"/>
  <c r="O3002" i="11"/>
  <c r="U3002" i="11" s="1"/>
  <c r="S3002" i="11" s="1"/>
  <c r="O3003" i="11"/>
  <c r="U3003" i="11"/>
  <c r="S3003" i="11" s="1"/>
  <c r="O3004" i="11"/>
  <c r="U3004" i="11" s="1"/>
  <c r="S3004" i="11" s="1"/>
  <c r="O3005" i="11"/>
  <c r="U3005" i="11" s="1"/>
  <c r="S3005" i="11" s="1"/>
  <c r="O3006" i="11"/>
  <c r="U3006" i="11" s="1"/>
  <c r="S3006" i="11" s="1"/>
  <c r="O3007" i="11"/>
  <c r="U3007" i="11" s="1"/>
  <c r="S3007" i="11" s="1"/>
  <c r="O3008" i="11"/>
  <c r="U3008" i="11" s="1"/>
  <c r="S3008" i="11" s="1"/>
  <c r="O3009" i="11"/>
  <c r="U3009" i="11" s="1"/>
  <c r="S3009" i="11" s="1"/>
  <c r="O3010" i="11"/>
  <c r="U3010" i="11" s="1"/>
  <c r="S3010" i="11" s="1"/>
  <c r="O3011" i="11"/>
  <c r="U3011" i="11" s="1"/>
  <c r="S3011" i="11" s="1"/>
  <c r="O3012" i="11"/>
  <c r="U3012" i="11"/>
  <c r="S3012" i="11" s="1"/>
  <c r="O3013" i="11"/>
  <c r="U3013" i="11" s="1"/>
  <c r="S3013" i="11" s="1"/>
  <c r="O3014" i="11"/>
  <c r="U3014" i="11" s="1"/>
  <c r="S3014" i="11" s="1"/>
  <c r="O3015" i="11"/>
  <c r="U3015" i="11" s="1"/>
  <c r="S3015" i="11" s="1"/>
  <c r="O3016" i="11"/>
  <c r="U3016" i="11"/>
  <c r="S3016" i="11" s="1"/>
  <c r="O3017" i="11"/>
  <c r="U3017" i="11" s="1"/>
  <c r="S3017" i="11" s="1"/>
  <c r="O3018" i="11"/>
  <c r="U3018" i="11"/>
  <c r="S3018" i="11" s="1"/>
  <c r="O3019" i="11"/>
  <c r="U3019" i="11" s="1"/>
  <c r="S3019" i="11" s="1"/>
  <c r="O3020" i="11"/>
  <c r="U3020" i="11" s="1"/>
  <c r="S3020" i="11" s="1"/>
  <c r="O3021" i="11"/>
  <c r="U3021" i="11" s="1"/>
  <c r="S3021" i="11" s="1"/>
  <c r="O3022" i="11"/>
  <c r="U3022" i="11" s="1"/>
  <c r="S3022" i="11" s="1"/>
  <c r="O3023" i="11"/>
  <c r="U3023" i="11" s="1"/>
  <c r="S3023" i="11" s="1"/>
  <c r="O3024" i="11"/>
  <c r="U3024" i="11" s="1"/>
  <c r="S3024" i="11" s="1"/>
  <c r="O3025" i="11"/>
  <c r="U3025" i="11" s="1"/>
  <c r="S3025" i="11" s="1"/>
  <c r="O3026" i="11"/>
  <c r="U3026" i="11" s="1"/>
  <c r="S3026" i="11" s="1"/>
  <c r="O3027" i="11"/>
  <c r="U3027" i="11" s="1"/>
  <c r="S3027" i="11" s="1"/>
  <c r="O3028" i="11"/>
  <c r="U3028" i="11" s="1"/>
  <c r="S3028" i="11" s="1"/>
  <c r="O3029" i="11"/>
  <c r="U3029" i="11"/>
  <c r="S3029" i="11" s="1"/>
  <c r="O3030" i="11"/>
  <c r="U3030" i="11" s="1"/>
  <c r="S3030" i="11" s="1"/>
  <c r="O3031" i="11"/>
  <c r="U3031" i="11" s="1"/>
  <c r="S3031" i="11" s="1"/>
  <c r="O3032" i="11"/>
  <c r="U3032" i="11" s="1"/>
  <c r="S3032" i="11" s="1"/>
  <c r="O3033" i="11"/>
  <c r="U3033" i="11" s="1"/>
  <c r="S3033" i="11" s="1"/>
  <c r="O3034" i="11"/>
  <c r="U3034" i="11" s="1"/>
  <c r="S3034" i="11" s="1"/>
  <c r="O3035" i="11"/>
  <c r="U3035" i="11" s="1"/>
  <c r="S3035" i="11" s="1"/>
  <c r="O3036" i="11"/>
  <c r="U3036" i="11" s="1"/>
  <c r="S3036" i="11" s="1"/>
  <c r="O3037" i="11"/>
  <c r="U3037" i="11" s="1"/>
  <c r="S3037" i="11" s="1"/>
  <c r="O3038" i="11"/>
  <c r="U3038" i="11" s="1"/>
  <c r="S3038" i="11" s="1"/>
  <c r="O3039" i="11"/>
  <c r="U3039" i="11" s="1"/>
  <c r="S3039" i="11" s="1"/>
  <c r="O3040" i="11"/>
  <c r="U3040" i="11" s="1"/>
  <c r="S3040" i="11" s="1"/>
  <c r="O3041" i="11"/>
  <c r="U3041" i="11"/>
  <c r="S3041" i="11" s="1"/>
  <c r="O3042" i="11"/>
  <c r="U3042" i="11" s="1"/>
  <c r="S3042" i="11" s="1"/>
  <c r="O3043" i="11"/>
  <c r="U3043" i="11" s="1"/>
  <c r="S3043" i="11" s="1"/>
  <c r="O3044" i="11"/>
  <c r="U3044" i="11" s="1"/>
  <c r="S3044" i="11" s="1"/>
  <c r="O3045" i="11"/>
  <c r="U3045" i="11"/>
  <c r="S3045" i="11" s="1"/>
  <c r="O3046" i="11"/>
  <c r="U3046" i="11" s="1"/>
  <c r="S3046" i="11" s="1"/>
  <c r="O3047" i="11"/>
  <c r="U3047" i="11" s="1"/>
  <c r="S3047" i="11" s="1"/>
  <c r="O3048" i="11"/>
  <c r="U3048" i="11" s="1"/>
  <c r="S3048" i="11" s="1"/>
  <c r="O3049" i="11"/>
  <c r="U3049" i="11" s="1"/>
  <c r="S3049" i="11" s="1"/>
  <c r="O3050" i="11"/>
  <c r="U3050" i="11" s="1"/>
  <c r="S3050" i="11" s="1"/>
  <c r="O3051" i="11"/>
  <c r="U3051" i="11" s="1"/>
  <c r="S3051" i="11" s="1"/>
  <c r="O3052" i="11"/>
  <c r="U3052" i="11"/>
  <c r="S3052" i="11" s="1"/>
  <c r="O3053" i="11"/>
  <c r="U3053" i="11" s="1"/>
  <c r="S3053" i="11" s="1"/>
  <c r="O3054" i="11"/>
  <c r="U3054" i="11"/>
  <c r="S3054" i="11" s="1"/>
  <c r="O3055" i="11"/>
  <c r="U3055" i="11"/>
  <c r="S3055" i="11" s="1"/>
  <c r="O3056" i="11"/>
  <c r="U3056" i="11" s="1"/>
  <c r="S3056" i="11" s="1"/>
  <c r="O3057" i="11"/>
  <c r="U3057" i="11" s="1"/>
  <c r="S3057" i="11" s="1"/>
  <c r="O3058" i="11"/>
  <c r="U3058" i="11"/>
  <c r="S3058" i="11" s="1"/>
  <c r="O3059" i="11"/>
  <c r="U3059" i="11" s="1"/>
  <c r="S3059" i="11" s="1"/>
  <c r="O3060" i="11"/>
  <c r="U3060" i="11" s="1"/>
  <c r="S3060" i="11" s="1"/>
  <c r="O3061" i="11"/>
  <c r="U3061" i="11" s="1"/>
  <c r="S3061" i="11" s="1"/>
  <c r="O3062" i="11"/>
  <c r="U3062" i="11" s="1"/>
  <c r="S3062" i="11" s="1"/>
  <c r="O3063" i="11"/>
  <c r="U3063" i="11" s="1"/>
  <c r="S3063" i="11" s="1"/>
  <c r="O3064" i="11"/>
  <c r="U3064" i="11"/>
  <c r="S3064" i="11" s="1"/>
  <c r="O3065" i="11"/>
  <c r="U3065" i="11" s="1"/>
  <c r="S3065" i="11" s="1"/>
  <c r="O3066" i="11"/>
  <c r="U3066" i="11" s="1"/>
  <c r="S3066" i="11" s="1"/>
  <c r="O3067" i="11"/>
  <c r="U3067" i="11" s="1"/>
  <c r="S3067" i="11" s="1"/>
  <c r="O3068" i="11"/>
  <c r="U3068" i="11" s="1"/>
  <c r="S3068" i="11" s="1"/>
  <c r="O3069" i="11"/>
  <c r="U3069" i="11" s="1"/>
  <c r="S3069" i="11" s="1"/>
  <c r="O3070" i="11"/>
  <c r="U3070" i="11" s="1"/>
  <c r="S3070" i="11" s="1"/>
  <c r="O3071" i="11"/>
  <c r="U3071" i="11" s="1"/>
  <c r="S3071" i="11" s="1"/>
  <c r="O3072" i="11"/>
  <c r="U3072" i="11" s="1"/>
  <c r="S3072" i="11" s="1"/>
  <c r="O3073" i="11"/>
  <c r="U3073" i="11" s="1"/>
  <c r="S3073" i="11" s="1"/>
  <c r="O3074" i="11"/>
  <c r="U3074" i="11" s="1"/>
  <c r="S3074" i="11" s="1"/>
  <c r="O3075" i="11"/>
  <c r="U3075" i="11" s="1"/>
  <c r="S3075" i="11" s="1"/>
  <c r="O3076" i="11"/>
  <c r="U3076" i="11" s="1"/>
  <c r="S3076" i="11" s="1"/>
  <c r="O3077" i="11"/>
  <c r="U3077" i="11" s="1"/>
  <c r="S3077" i="11" s="1"/>
  <c r="O3078" i="11"/>
  <c r="U3078" i="11" s="1"/>
  <c r="S3078" i="11" s="1"/>
  <c r="O3079" i="11"/>
  <c r="U3079" i="11" s="1"/>
  <c r="S3079" i="11" s="1"/>
  <c r="O3080" i="11"/>
  <c r="U3080" i="11" s="1"/>
  <c r="S3080" i="11" s="1"/>
  <c r="O3081" i="11"/>
  <c r="U3081" i="11" s="1"/>
  <c r="S3081" i="11" s="1"/>
  <c r="O3082" i="11"/>
  <c r="U3082" i="11"/>
  <c r="S3082" i="11" s="1"/>
  <c r="O3083" i="11"/>
  <c r="U3083" i="11" s="1"/>
  <c r="S3083" i="11" s="1"/>
  <c r="O3084" i="11"/>
  <c r="U3084" i="11" s="1"/>
  <c r="S3084" i="11" s="1"/>
  <c r="O3085" i="11"/>
  <c r="U3085" i="11" s="1"/>
  <c r="S3085" i="11" s="1"/>
  <c r="O3086" i="11"/>
  <c r="U3086" i="11" s="1"/>
  <c r="S3086" i="11" s="1"/>
  <c r="O3087" i="11"/>
  <c r="U3087" i="11" s="1"/>
  <c r="S3087" i="11" s="1"/>
  <c r="O3088" i="11"/>
  <c r="U3088" i="11" s="1"/>
  <c r="S3088" i="11" s="1"/>
  <c r="O3089" i="11"/>
  <c r="U3089" i="11" s="1"/>
  <c r="S3089" i="11" s="1"/>
  <c r="O3090" i="11"/>
  <c r="U3090" i="11" s="1"/>
  <c r="S3090" i="11" s="1"/>
  <c r="O3091" i="11"/>
  <c r="U3091" i="11" s="1"/>
  <c r="S3091" i="11" s="1"/>
  <c r="O3092" i="11"/>
  <c r="U3092" i="11" s="1"/>
  <c r="S3092" i="11" s="1"/>
  <c r="O3093" i="11"/>
  <c r="U3093" i="11" s="1"/>
  <c r="S3093" i="11" s="1"/>
  <c r="O3094" i="11"/>
  <c r="U3094" i="11"/>
  <c r="S3094" i="11" s="1"/>
  <c r="O3095" i="11"/>
  <c r="U3095" i="11" s="1"/>
  <c r="S3095" i="11" s="1"/>
  <c r="O3096" i="11"/>
  <c r="U3096" i="11" s="1"/>
  <c r="S3096" i="11" s="1"/>
  <c r="O3097" i="11"/>
  <c r="U3097" i="11" s="1"/>
  <c r="S3097" i="11" s="1"/>
  <c r="O3098" i="11"/>
  <c r="U3098" i="11" s="1"/>
  <c r="S3098" i="11" s="1"/>
  <c r="O3099" i="11"/>
  <c r="U3099" i="11" s="1"/>
  <c r="S3099" i="11" s="1"/>
  <c r="O3100" i="11"/>
  <c r="U3100" i="11"/>
  <c r="S3100" i="11" s="1"/>
  <c r="O3101" i="11"/>
  <c r="U3101" i="11" s="1"/>
  <c r="S3101" i="11" s="1"/>
  <c r="O3102" i="11"/>
  <c r="U3102" i="11" s="1"/>
  <c r="S3102" i="11" s="1"/>
  <c r="O3103" i="11"/>
  <c r="U3103" i="11" s="1"/>
  <c r="S3103" i="11" s="1"/>
  <c r="O3104" i="11"/>
  <c r="U3104" i="11" s="1"/>
  <c r="S3104" i="11" s="1"/>
  <c r="O3105" i="11"/>
  <c r="U3105" i="11" s="1"/>
  <c r="S3105" i="11" s="1"/>
  <c r="O3106" i="11"/>
  <c r="U3106" i="11" s="1"/>
  <c r="S3106" i="11" s="1"/>
  <c r="O3107" i="11"/>
  <c r="U3107" i="11" s="1"/>
  <c r="S3107" i="11" s="1"/>
  <c r="O3108" i="11"/>
  <c r="U3108" i="11" s="1"/>
  <c r="S3108" i="11" s="1"/>
  <c r="O3109" i="11"/>
  <c r="U3109" i="11" s="1"/>
  <c r="S3109" i="11" s="1"/>
  <c r="O3110" i="11"/>
  <c r="U3110" i="11" s="1"/>
  <c r="S3110" i="11" s="1"/>
  <c r="O3111" i="11"/>
  <c r="U3111" i="11" s="1"/>
  <c r="S3111" i="11" s="1"/>
  <c r="O3112" i="11"/>
  <c r="U3112" i="11" s="1"/>
  <c r="S3112" i="11" s="1"/>
  <c r="O3113" i="11"/>
  <c r="U3113" i="11" s="1"/>
  <c r="S3113" i="11" s="1"/>
  <c r="O3114" i="11"/>
  <c r="U3114" i="11" s="1"/>
  <c r="S3114" i="11" s="1"/>
  <c r="O3115" i="11"/>
  <c r="U3115" i="11" s="1"/>
  <c r="S3115" i="11" s="1"/>
  <c r="O3116" i="11"/>
  <c r="U3116" i="11" s="1"/>
  <c r="S3116" i="11" s="1"/>
  <c r="O3117" i="11"/>
  <c r="U3117" i="11" s="1"/>
  <c r="S3117" i="11" s="1"/>
  <c r="O3118" i="11"/>
  <c r="U3118" i="11" s="1"/>
  <c r="S3118" i="11" s="1"/>
  <c r="O3119" i="11"/>
  <c r="U3119" i="11" s="1"/>
  <c r="S3119" i="11" s="1"/>
  <c r="O3120" i="11"/>
  <c r="U3120" i="11" s="1"/>
  <c r="S3120" i="11" s="1"/>
  <c r="O3121" i="11"/>
  <c r="U3121" i="11" s="1"/>
  <c r="S3121" i="11" s="1"/>
  <c r="O3122" i="11"/>
  <c r="U3122" i="11"/>
  <c r="S3122" i="11" s="1"/>
  <c r="O3123" i="11"/>
  <c r="U3123" i="11" s="1"/>
  <c r="S3123" i="11" s="1"/>
  <c r="O3124" i="11"/>
  <c r="U3124" i="11" s="1"/>
  <c r="S3124" i="11" s="1"/>
  <c r="O3125" i="11"/>
  <c r="U3125" i="11" s="1"/>
  <c r="S3125" i="11" s="1"/>
  <c r="O3126" i="11"/>
  <c r="U3126" i="11" s="1"/>
  <c r="S3126" i="11" s="1"/>
  <c r="O3127" i="11"/>
  <c r="U3127" i="11" s="1"/>
  <c r="S3127" i="11" s="1"/>
  <c r="O3128" i="11"/>
  <c r="U3128" i="11"/>
  <c r="S3128" i="11" s="1"/>
  <c r="O3129" i="11"/>
  <c r="U3129" i="11" s="1"/>
  <c r="S3129" i="11" s="1"/>
  <c r="O3130" i="11"/>
  <c r="U3130" i="11" s="1"/>
  <c r="S3130" i="11" s="1"/>
  <c r="O3131" i="11"/>
  <c r="U3131" i="11" s="1"/>
  <c r="S3131" i="11" s="1"/>
  <c r="O3132" i="11"/>
  <c r="U3132" i="11" s="1"/>
  <c r="S3132" i="11" s="1"/>
  <c r="O3133" i="11"/>
  <c r="U3133" i="11" s="1"/>
  <c r="S3133" i="11" s="1"/>
  <c r="O3134" i="11"/>
  <c r="U3134" i="11" s="1"/>
  <c r="S3134" i="11" s="1"/>
  <c r="O3135" i="11"/>
  <c r="U3135" i="11" s="1"/>
  <c r="S3135" i="11" s="1"/>
  <c r="O3136" i="11"/>
  <c r="U3136" i="11" s="1"/>
  <c r="S3136" i="11" s="1"/>
  <c r="O3137" i="11"/>
  <c r="U3137" i="11"/>
  <c r="S3137" i="11" s="1"/>
  <c r="O3138" i="11"/>
  <c r="U3138" i="11" s="1"/>
  <c r="S3138" i="11" s="1"/>
  <c r="O3139" i="11"/>
  <c r="U3139" i="11" s="1"/>
  <c r="S3139" i="11" s="1"/>
  <c r="O3140" i="11"/>
  <c r="U3140" i="11" s="1"/>
  <c r="S3140" i="11" s="1"/>
  <c r="O3141" i="11"/>
  <c r="U3141" i="11" s="1"/>
  <c r="S3141" i="11" s="1"/>
  <c r="O3142" i="11"/>
  <c r="U3142" i="11" s="1"/>
  <c r="S3142" i="11" s="1"/>
  <c r="O3143" i="11"/>
  <c r="U3143" i="11" s="1"/>
  <c r="S3143" i="11" s="1"/>
  <c r="O3144" i="11"/>
  <c r="U3144" i="11" s="1"/>
  <c r="S3144" i="11" s="1"/>
  <c r="O3145" i="11"/>
  <c r="U3145" i="11" s="1"/>
  <c r="S3145" i="11" s="1"/>
  <c r="O3146" i="11"/>
  <c r="U3146" i="11" s="1"/>
  <c r="S3146" i="11" s="1"/>
  <c r="O3147" i="11"/>
  <c r="U3147" i="11"/>
  <c r="S3147" i="11" s="1"/>
  <c r="O3148" i="11"/>
  <c r="U3148" i="11" s="1"/>
  <c r="S3148" i="11" s="1"/>
  <c r="O3149" i="11"/>
  <c r="U3149" i="11" s="1"/>
  <c r="S3149" i="11" s="1"/>
  <c r="O3150" i="11"/>
  <c r="U3150" i="11" s="1"/>
  <c r="S3150" i="11" s="1"/>
  <c r="O3151" i="11"/>
  <c r="U3151" i="11" s="1"/>
  <c r="S3151" i="11" s="1"/>
  <c r="O3152" i="11"/>
  <c r="U3152" i="11" s="1"/>
  <c r="S3152" i="11" s="1"/>
  <c r="O3153" i="11"/>
  <c r="U3153" i="11" s="1"/>
  <c r="S3153" i="11" s="1"/>
  <c r="O3154" i="11"/>
  <c r="U3154" i="11" s="1"/>
  <c r="S3154" i="11" s="1"/>
  <c r="O3155" i="11"/>
  <c r="U3155" i="11" s="1"/>
  <c r="S3155" i="11" s="1"/>
  <c r="O3156" i="11"/>
  <c r="U3156" i="11"/>
  <c r="S3156" i="11" s="1"/>
  <c r="O3157" i="11"/>
  <c r="U3157" i="11" s="1"/>
  <c r="S3157" i="11" s="1"/>
  <c r="O3158" i="11"/>
  <c r="U3158" i="11" s="1"/>
  <c r="S3158" i="11" s="1"/>
  <c r="O3159" i="11"/>
  <c r="U3159" i="11" s="1"/>
  <c r="S3159" i="11" s="1"/>
  <c r="O3160" i="11"/>
  <c r="U3160" i="11" s="1"/>
  <c r="S3160" i="11" s="1"/>
  <c r="O3161" i="11"/>
  <c r="U3161" i="11" s="1"/>
  <c r="S3161" i="11" s="1"/>
  <c r="O3162" i="11"/>
  <c r="U3162" i="11" s="1"/>
  <c r="S3162" i="11" s="1"/>
  <c r="O3163" i="11"/>
  <c r="U3163" i="11" s="1"/>
  <c r="S3163" i="11" s="1"/>
  <c r="O3164" i="11"/>
  <c r="U3164" i="11" s="1"/>
  <c r="S3164" i="11" s="1"/>
  <c r="O3165" i="11"/>
  <c r="U3165" i="11" s="1"/>
  <c r="S3165" i="11" s="1"/>
  <c r="O3166" i="11"/>
  <c r="U3166" i="11"/>
  <c r="S3166" i="11" s="1"/>
  <c r="O3167" i="11"/>
  <c r="U3167" i="11" s="1"/>
  <c r="S3167" i="11" s="1"/>
  <c r="O3168" i="11"/>
  <c r="U3168" i="11" s="1"/>
  <c r="S3168" i="11" s="1"/>
  <c r="O3169" i="11"/>
  <c r="U3169" i="11" s="1"/>
  <c r="S3169" i="11" s="1"/>
  <c r="O3170" i="11"/>
  <c r="U3170" i="11" s="1"/>
  <c r="S3170" i="11" s="1"/>
  <c r="O3171" i="11"/>
  <c r="U3171" i="11" s="1"/>
  <c r="S3171" i="11" s="1"/>
  <c r="O3172" i="11"/>
  <c r="U3172" i="11" s="1"/>
  <c r="S3172" i="11" s="1"/>
  <c r="O3173" i="11"/>
  <c r="U3173" i="11" s="1"/>
  <c r="S3173" i="11" s="1"/>
  <c r="O3174" i="11"/>
  <c r="U3174" i="11" s="1"/>
  <c r="S3174" i="11" s="1"/>
  <c r="O3175" i="11"/>
  <c r="U3175" i="11" s="1"/>
  <c r="S3175" i="11" s="1"/>
  <c r="O3176" i="11"/>
  <c r="U3176" i="11" s="1"/>
  <c r="S3176" i="11" s="1"/>
  <c r="O3177" i="11"/>
  <c r="U3177" i="11" s="1"/>
  <c r="S3177" i="11" s="1"/>
  <c r="O3178" i="11"/>
  <c r="U3178" i="11" s="1"/>
  <c r="S3178" i="11" s="1"/>
  <c r="O3179" i="11"/>
  <c r="U3179" i="11" s="1"/>
  <c r="S3179" i="11" s="1"/>
  <c r="O3180" i="11"/>
  <c r="U3180" i="11" s="1"/>
  <c r="S3180" i="11" s="1"/>
  <c r="O3181" i="11"/>
  <c r="U3181" i="11"/>
  <c r="S3181" i="11" s="1"/>
  <c r="O3182" i="11"/>
  <c r="U3182" i="11" s="1"/>
  <c r="S3182" i="11" s="1"/>
  <c r="O3183" i="11"/>
  <c r="U3183" i="11" s="1"/>
  <c r="S3183" i="11" s="1"/>
  <c r="O3184" i="11"/>
  <c r="U3184" i="11" s="1"/>
  <c r="S3184" i="11" s="1"/>
  <c r="O3185" i="11"/>
  <c r="U3185" i="11" s="1"/>
  <c r="S3185" i="11" s="1"/>
  <c r="O3186" i="11"/>
  <c r="U3186" i="11" s="1"/>
  <c r="S3186" i="11" s="1"/>
  <c r="O3187" i="11"/>
  <c r="U3187" i="11"/>
  <c r="S3187" i="11" s="1"/>
  <c r="O3188" i="11"/>
  <c r="U3188" i="11" s="1"/>
  <c r="S3188" i="11" s="1"/>
  <c r="O3189" i="11"/>
  <c r="U3189" i="11" s="1"/>
  <c r="S3189" i="11" s="1"/>
  <c r="O3190" i="11"/>
  <c r="U3190" i="11" s="1"/>
  <c r="S3190" i="11" s="1"/>
  <c r="O3191" i="11"/>
  <c r="U3191" i="11" s="1"/>
  <c r="S3191" i="11" s="1"/>
  <c r="O3192" i="11"/>
  <c r="U3192" i="11" s="1"/>
  <c r="S3192" i="11" s="1"/>
  <c r="O3193" i="11"/>
  <c r="U3193" i="11" s="1"/>
  <c r="S3193" i="11" s="1"/>
  <c r="O3194" i="11"/>
  <c r="U3194" i="11" s="1"/>
  <c r="S3194" i="11" s="1"/>
  <c r="O3195" i="11"/>
  <c r="U3195" i="11"/>
  <c r="S3195" i="11" s="1"/>
  <c r="O3196" i="11"/>
  <c r="U3196" i="11"/>
  <c r="S3196" i="11" s="1"/>
  <c r="O3197" i="11"/>
  <c r="U3197" i="11" s="1"/>
  <c r="S3197" i="11" s="1"/>
  <c r="O3198" i="11"/>
  <c r="U3198" i="11" s="1"/>
  <c r="S3198" i="11" s="1"/>
  <c r="O3199" i="11"/>
  <c r="U3199" i="11" s="1"/>
  <c r="S3199" i="11" s="1"/>
  <c r="O3200" i="11"/>
  <c r="U3200" i="11"/>
  <c r="S3200" i="11" s="1"/>
  <c r="O3201" i="11"/>
  <c r="U3201" i="11" s="1"/>
  <c r="S3201" i="11" s="1"/>
  <c r="O3202" i="11"/>
  <c r="U3202" i="11" s="1"/>
  <c r="S3202" i="11" s="1"/>
  <c r="O3203" i="11"/>
  <c r="U3203" i="11" s="1"/>
  <c r="S3203" i="11" s="1"/>
  <c r="O3204" i="11"/>
  <c r="U3204" i="11" s="1"/>
  <c r="S3204" i="11" s="1"/>
  <c r="O3205" i="11"/>
  <c r="U3205" i="11" s="1"/>
  <c r="S3205" i="11" s="1"/>
  <c r="O3206" i="11"/>
  <c r="U3206" i="11"/>
  <c r="S3206" i="11" s="1"/>
  <c r="O3207" i="11"/>
  <c r="U3207" i="11" s="1"/>
  <c r="S3207" i="11" s="1"/>
  <c r="O3208" i="11"/>
  <c r="U3208" i="11" s="1"/>
  <c r="S3208" i="11" s="1"/>
  <c r="O3209" i="11"/>
  <c r="U3209" i="11" s="1"/>
  <c r="S3209" i="11" s="1"/>
  <c r="O3210" i="11"/>
  <c r="U3210" i="11" s="1"/>
  <c r="S3210" i="11" s="1"/>
  <c r="O3211" i="11"/>
  <c r="U3211" i="11" s="1"/>
  <c r="S3211" i="11" s="1"/>
  <c r="O3212" i="11"/>
  <c r="U3212" i="11" s="1"/>
  <c r="S3212" i="11" s="1"/>
  <c r="O3213" i="11"/>
  <c r="U3213" i="11" s="1"/>
  <c r="S3213" i="11" s="1"/>
  <c r="O3214" i="11"/>
  <c r="U3214" i="11" s="1"/>
  <c r="S3214" i="11" s="1"/>
  <c r="O3215" i="11"/>
  <c r="U3215" i="11"/>
  <c r="S3215" i="11" s="1"/>
  <c r="O3216" i="11"/>
  <c r="U3216" i="11"/>
  <c r="S3216" i="11" s="1"/>
  <c r="O3217" i="11"/>
  <c r="U3217" i="11" s="1"/>
  <c r="S3217" i="11" s="1"/>
  <c r="O3218" i="11"/>
  <c r="U3218" i="11" s="1"/>
  <c r="S3218" i="11" s="1"/>
  <c r="O3219" i="11"/>
  <c r="U3219" i="11"/>
  <c r="S3219" i="11" s="1"/>
  <c r="O3220" i="11"/>
  <c r="U3220" i="11"/>
  <c r="S3220" i="11" s="1"/>
  <c r="O3221" i="11"/>
  <c r="U3221" i="11" s="1"/>
  <c r="S3221" i="11" s="1"/>
  <c r="O3222" i="11"/>
  <c r="U3222" i="11"/>
  <c r="S3222" i="11" s="1"/>
  <c r="O3223" i="11"/>
  <c r="U3223" i="11" s="1"/>
  <c r="S3223" i="11" s="1"/>
  <c r="O3224" i="11"/>
  <c r="U3224" i="11" s="1"/>
  <c r="S3224" i="11" s="1"/>
  <c r="O3225" i="11"/>
  <c r="U3225" i="11" s="1"/>
  <c r="S3225" i="11" s="1"/>
  <c r="O3226" i="11"/>
  <c r="U3226" i="11" s="1"/>
  <c r="S3226" i="11" s="1"/>
  <c r="O3227" i="11"/>
  <c r="U3227" i="11" s="1"/>
  <c r="S3227" i="11" s="1"/>
  <c r="O3228" i="11"/>
  <c r="U3228" i="11" s="1"/>
  <c r="S3228" i="11" s="1"/>
  <c r="O3229" i="11"/>
  <c r="U3229" i="11" s="1"/>
  <c r="S3229" i="11" s="1"/>
  <c r="O3230" i="11"/>
  <c r="U3230" i="11" s="1"/>
  <c r="S3230" i="11" s="1"/>
  <c r="O3231" i="11"/>
  <c r="U3231" i="11" s="1"/>
  <c r="S3231" i="11" s="1"/>
  <c r="O3232" i="11"/>
  <c r="U3232" i="11" s="1"/>
  <c r="S3232" i="11" s="1"/>
  <c r="O3233" i="11"/>
  <c r="U3233" i="11" s="1"/>
  <c r="S3233" i="11" s="1"/>
  <c r="O3234" i="11"/>
  <c r="U3234" i="11" s="1"/>
  <c r="S3234" i="11" s="1"/>
  <c r="O3235" i="11"/>
  <c r="U3235" i="11" s="1"/>
  <c r="S3235" i="11" s="1"/>
  <c r="O3236" i="11"/>
  <c r="U3236" i="11" s="1"/>
  <c r="S3236" i="11" s="1"/>
  <c r="O3237" i="11"/>
  <c r="U3237" i="11" s="1"/>
  <c r="S3237" i="11" s="1"/>
  <c r="O3238" i="11"/>
  <c r="U3238" i="11"/>
  <c r="S3238" i="11" s="1"/>
  <c r="O3239" i="11"/>
  <c r="U3239" i="11"/>
  <c r="S3239" i="11" s="1"/>
  <c r="O3240" i="11"/>
  <c r="U3240" i="11" s="1"/>
  <c r="S3240" i="11" s="1"/>
  <c r="O3241" i="11"/>
  <c r="U3241" i="11"/>
  <c r="S3241" i="11" s="1"/>
  <c r="O3242" i="11"/>
  <c r="U3242" i="11" s="1"/>
  <c r="S3242" i="11" s="1"/>
  <c r="O3243" i="11"/>
  <c r="U3243" i="11" s="1"/>
  <c r="S3243" i="11" s="1"/>
  <c r="O3244" i="11"/>
  <c r="U3244" i="11" s="1"/>
  <c r="S3244" i="11" s="1"/>
  <c r="O3245" i="11"/>
  <c r="U3245" i="11" s="1"/>
  <c r="S3245" i="11" s="1"/>
  <c r="O3246" i="11"/>
  <c r="U3246" i="11"/>
  <c r="S3246" i="11" s="1"/>
  <c r="O3247" i="11"/>
  <c r="U3247" i="11"/>
  <c r="S3247" i="11" s="1"/>
  <c r="O3248" i="11"/>
  <c r="U3248" i="11" s="1"/>
  <c r="S3248" i="11" s="1"/>
  <c r="O3249" i="11"/>
  <c r="U3249" i="11" s="1"/>
  <c r="S3249" i="11" s="1"/>
  <c r="O3250" i="11"/>
  <c r="U3250" i="11"/>
  <c r="S3250" i="11" s="1"/>
  <c r="O3251" i="11"/>
  <c r="U3251" i="11"/>
  <c r="S3251" i="11" s="1"/>
  <c r="O3252" i="11"/>
  <c r="U3252" i="11" s="1"/>
  <c r="S3252" i="11" s="1"/>
  <c r="O3253" i="11"/>
  <c r="U3253" i="11" s="1"/>
  <c r="S3253" i="11" s="1"/>
  <c r="O3254" i="11"/>
  <c r="U3254" i="11" s="1"/>
  <c r="S3254" i="11" s="1"/>
  <c r="O3255" i="11"/>
  <c r="U3255" i="11" s="1"/>
  <c r="S3255" i="11" s="1"/>
  <c r="O3256" i="11"/>
  <c r="U3256" i="11" s="1"/>
  <c r="S3256" i="11" s="1"/>
  <c r="O3257" i="11"/>
  <c r="U3257" i="11" s="1"/>
  <c r="S3257" i="11" s="1"/>
  <c r="O3258" i="11"/>
  <c r="U3258" i="11" s="1"/>
  <c r="S3258" i="11" s="1"/>
  <c r="O3259" i="11"/>
  <c r="U3259" i="11" s="1"/>
  <c r="S3259" i="11" s="1"/>
  <c r="O3260" i="11"/>
  <c r="U3260" i="11" s="1"/>
  <c r="S3260" i="11" s="1"/>
  <c r="O3261" i="11"/>
  <c r="U3261" i="11" s="1"/>
  <c r="S3261" i="11" s="1"/>
  <c r="O3262" i="11"/>
  <c r="U3262" i="11" s="1"/>
  <c r="S3262" i="11" s="1"/>
  <c r="O3263" i="11"/>
  <c r="U3263" i="11" s="1"/>
  <c r="S3263" i="11" s="1"/>
  <c r="O3264" i="11"/>
  <c r="U3264" i="11" s="1"/>
  <c r="S3264" i="11" s="1"/>
  <c r="O3265" i="11"/>
  <c r="U3265" i="11" s="1"/>
  <c r="S3265" i="11" s="1"/>
  <c r="O3266" i="11"/>
  <c r="U3266" i="11"/>
  <c r="S3266" i="11" s="1"/>
  <c r="O3267" i="11"/>
  <c r="U3267" i="11"/>
  <c r="S3267" i="11" s="1"/>
  <c r="O3268" i="11"/>
  <c r="U3268" i="11" s="1"/>
  <c r="S3268" i="11" s="1"/>
  <c r="O3269" i="11"/>
  <c r="U3269" i="11" s="1"/>
  <c r="S3269" i="11" s="1"/>
  <c r="O3270" i="11"/>
  <c r="U3270" i="11" s="1"/>
  <c r="S3270" i="11" s="1"/>
  <c r="O3271" i="11"/>
  <c r="U3271" i="11" s="1"/>
  <c r="S3271" i="11" s="1"/>
  <c r="O3272" i="11"/>
  <c r="U3272" i="11"/>
  <c r="S3272" i="11" s="1"/>
  <c r="O3273" i="11"/>
  <c r="U3273" i="11" s="1"/>
  <c r="S3273" i="11" s="1"/>
  <c r="O3274" i="11"/>
  <c r="U3274" i="11"/>
  <c r="S3274" i="11" s="1"/>
  <c r="O3275" i="11"/>
  <c r="U3275" i="11"/>
  <c r="S3275" i="11" s="1"/>
  <c r="O3276" i="11"/>
  <c r="U3276" i="11" s="1"/>
  <c r="S3276" i="11" s="1"/>
  <c r="O3277" i="11"/>
  <c r="U3277" i="11" s="1"/>
  <c r="S3277" i="11" s="1"/>
  <c r="O3278" i="11"/>
  <c r="U3278" i="11" s="1"/>
  <c r="S3278" i="11" s="1"/>
  <c r="O3279" i="11"/>
  <c r="U3279" i="11" s="1"/>
  <c r="S3279" i="11" s="1"/>
  <c r="O3280" i="11"/>
  <c r="U3280" i="11" s="1"/>
  <c r="S3280" i="11" s="1"/>
  <c r="O3281" i="11"/>
  <c r="U3281" i="11" s="1"/>
  <c r="S3281" i="11" s="1"/>
  <c r="O3282" i="11"/>
  <c r="U3282" i="11" s="1"/>
  <c r="S3282" i="11" s="1"/>
  <c r="O3283" i="11"/>
  <c r="U3283" i="11" s="1"/>
  <c r="S3283" i="11" s="1"/>
  <c r="O3284" i="11"/>
  <c r="U3284" i="11" s="1"/>
  <c r="S3284" i="11" s="1"/>
  <c r="O3285" i="11"/>
  <c r="U3285" i="11" s="1"/>
  <c r="S3285" i="11" s="1"/>
  <c r="O3286" i="11"/>
  <c r="U3286" i="11" s="1"/>
  <c r="S3286" i="11" s="1"/>
  <c r="O3287" i="11"/>
  <c r="U3287" i="11" s="1"/>
  <c r="S3287" i="11" s="1"/>
  <c r="O3288" i="11"/>
  <c r="U3288" i="11" s="1"/>
  <c r="S3288" i="11" s="1"/>
  <c r="O3289" i="11"/>
  <c r="U3289" i="11" s="1"/>
  <c r="S3289" i="11" s="1"/>
  <c r="O3290" i="11"/>
  <c r="U3290" i="11" s="1"/>
  <c r="S3290" i="11" s="1"/>
  <c r="O3291" i="11"/>
  <c r="U3291" i="11"/>
  <c r="S3291" i="11" s="1"/>
  <c r="O3292" i="11"/>
  <c r="U3292" i="11" s="1"/>
  <c r="S3292" i="11" s="1"/>
  <c r="O3293" i="11"/>
  <c r="U3293" i="11" s="1"/>
  <c r="S3293" i="11" s="1"/>
  <c r="O3294" i="11"/>
  <c r="U3294" i="11"/>
  <c r="S3294" i="11" s="1"/>
  <c r="O3295" i="11"/>
  <c r="U3295" i="11"/>
  <c r="S3295" i="11" s="1"/>
  <c r="O3296" i="11"/>
  <c r="U3296" i="11" s="1"/>
  <c r="S3296" i="11" s="1"/>
  <c r="O3297" i="11"/>
  <c r="U3297" i="11" s="1"/>
  <c r="S3297" i="11" s="1"/>
  <c r="O3298" i="11"/>
  <c r="U3298" i="11" s="1"/>
  <c r="S3298" i="11" s="1"/>
  <c r="O3299" i="11"/>
  <c r="U3299" i="11" s="1"/>
  <c r="S3299" i="11" s="1"/>
  <c r="O3300" i="11"/>
  <c r="U3300" i="11" s="1"/>
  <c r="S3300" i="11" s="1"/>
  <c r="O3301" i="11"/>
  <c r="U3301" i="11" s="1"/>
  <c r="S3301" i="11" s="1"/>
  <c r="O3302" i="11"/>
  <c r="U3302" i="11" s="1"/>
  <c r="S3302" i="11" s="1"/>
  <c r="O3303" i="11"/>
  <c r="U3303" i="11" s="1"/>
  <c r="S3303" i="11" s="1"/>
  <c r="O3304" i="11"/>
  <c r="U3304" i="11" s="1"/>
  <c r="S3304" i="11" s="1"/>
  <c r="O3305" i="11"/>
  <c r="U3305" i="11" s="1"/>
  <c r="S3305" i="11" s="1"/>
  <c r="O3306" i="11"/>
  <c r="U3306" i="11" s="1"/>
  <c r="S3306" i="11" s="1"/>
  <c r="O3307" i="11"/>
  <c r="U3307" i="11" s="1"/>
  <c r="S3307" i="11" s="1"/>
  <c r="O3308" i="11"/>
  <c r="U3308" i="11" s="1"/>
  <c r="S3308" i="11" s="1"/>
  <c r="O3309" i="11"/>
  <c r="U3309" i="11" s="1"/>
  <c r="S3309" i="11" s="1"/>
  <c r="O3310" i="11"/>
  <c r="U3310" i="11" s="1"/>
  <c r="S3310" i="11" s="1"/>
  <c r="O3311" i="11"/>
  <c r="U3311" i="11" s="1"/>
  <c r="S3311" i="11" s="1"/>
  <c r="O3312" i="11"/>
  <c r="U3312" i="11" s="1"/>
  <c r="S3312" i="11" s="1"/>
  <c r="O3313" i="11"/>
  <c r="U3313" i="11" s="1"/>
  <c r="S3313" i="11" s="1"/>
  <c r="O3314" i="11"/>
  <c r="U3314" i="11" s="1"/>
  <c r="S3314" i="11" s="1"/>
  <c r="O3315" i="11"/>
  <c r="U3315" i="11" s="1"/>
  <c r="S3315" i="11" s="1"/>
  <c r="O3316" i="11"/>
  <c r="U3316" i="11" s="1"/>
  <c r="S3316" i="11" s="1"/>
  <c r="O3317" i="11"/>
  <c r="U3317" i="11" s="1"/>
  <c r="S3317" i="11" s="1"/>
  <c r="O3318" i="11"/>
  <c r="U3318" i="11"/>
  <c r="S3318" i="11" s="1"/>
  <c r="O3319" i="11"/>
  <c r="U3319" i="11"/>
  <c r="S3319" i="11" s="1"/>
  <c r="O3320" i="11"/>
  <c r="U3320" i="11" s="1"/>
  <c r="S3320" i="11" s="1"/>
  <c r="O3321" i="11"/>
  <c r="U3321" i="11" s="1"/>
  <c r="S3321" i="11" s="1"/>
  <c r="O3322" i="11"/>
  <c r="U3322" i="11"/>
  <c r="S3322" i="11" s="1"/>
  <c r="O3323" i="11"/>
  <c r="U3323" i="11" s="1"/>
  <c r="S3323" i="11" s="1"/>
  <c r="O3324" i="11"/>
  <c r="U3324" i="11" s="1"/>
  <c r="S3324" i="11" s="1"/>
  <c r="O3325" i="11"/>
  <c r="U3325" i="11" s="1"/>
  <c r="S3325" i="11" s="1"/>
  <c r="O3326" i="11"/>
  <c r="U3326" i="11" s="1"/>
  <c r="S3326" i="11" s="1"/>
  <c r="O3327" i="11"/>
  <c r="U3327" i="11" s="1"/>
  <c r="S3327" i="11" s="1"/>
  <c r="O3328" i="11"/>
  <c r="U3328" i="11" s="1"/>
  <c r="S3328" i="11" s="1"/>
  <c r="O3329" i="11"/>
  <c r="U3329" i="11" s="1"/>
  <c r="S3329" i="11" s="1"/>
  <c r="O3330" i="11"/>
  <c r="U3330" i="11" s="1"/>
  <c r="S3330" i="11" s="1"/>
  <c r="O3331" i="11"/>
  <c r="U3331" i="11" s="1"/>
  <c r="S3331" i="11" s="1"/>
  <c r="O3332" i="11"/>
  <c r="U3332" i="11" s="1"/>
  <c r="S3332" i="11" s="1"/>
  <c r="O3333" i="11"/>
  <c r="U3333" i="11" s="1"/>
  <c r="S3333" i="11" s="1"/>
  <c r="O3334" i="11"/>
  <c r="U3334" i="11" s="1"/>
  <c r="S3334" i="11" s="1"/>
  <c r="O3335" i="11"/>
  <c r="U3335" i="11" s="1"/>
  <c r="S3335" i="11" s="1"/>
  <c r="O3336" i="11"/>
  <c r="U3336" i="11" s="1"/>
  <c r="S3336" i="11" s="1"/>
  <c r="O3337" i="11"/>
  <c r="U3337" i="11" s="1"/>
  <c r="S3337" i="11" s="1"/>
  <c r="O3338" i="11"/>
  <c r="U3338" i="11"/>
  <c r="S3338" i="11" s="1"/>
  <c r="O3339" i="11"/>
  <c r="U3339" i="11"/>
  <c r="S3339" i="11" s="1"/>
  <c r="O3340" i="11"/>
  <c r="U3340" i="11" s="1"/>
  <c r="S3340" i="11" s="1"/>
  <c r="O3341" i="11"/>
  <c r="U3341" i="11" s="1"/>
  <c r="S3341" i="11" s="1"/>
  <c r="O3342" i="11"/>
  <c r="U3342" i="11" s="1"/>
  <c r="S3342" i="11" s="1"/>
  <c r="O3343" i="11"/>
  <c r="U3343" i="11" s="1"/>
  <c r="S3343" i="11" s="1"/>
  <c r="O3344" i="11"/>
  <c r="U3344" i="11" s="1"/>
  <c r="S3344" i="11" s="1"/>
  <c r="O3345" i="11"/>
  <c r="U3345" i="11"/>
  <c r="S3345" i="11" s="1"/>
  <c r="O3346" i="11"/>
  <c r="U3346" i="11"/>
  <c r="S3346" i="11" s="1"/>
  <c r="O3347" i="11"/>
  <c r="U3347" i="11"/>
  <c r="S3347" i="11" s="1"/>
  <c r="O3348" i="11"/>
  <c r="U3348" i="11" s="1"/>
  <c r="S3348" i="11" s="1"/>
  <c r="O3349" i="11"/>
  <c r="U3349" i="11" s="1"/>
  <c r="S3349" i="11" s="1"/>
  <c r="O3350" i="11"/>
  <c r="U3350" i="11" s="1"/>
  <c r="S3350" i="11" s="1"/>
  <c r="O3351" i="11"/>
  <c r="U3351" i="11"/>
  <c r="S3351" i="11" s="1"/>
  <c r="O3352" i="11"/>
  <c r="U3352" i="11" s="1"/>
  <c r="S3352" i="11" s="1"/>
  <c r="O3353" i="11"/>
  <c r="U3353" i="11" s="1"/>
  <c r="S3353" i="11" s="1"/>
  <c r="O3354" i="11"/>
  <c r="U3354" i="11" s="1"/>
  <c r="S3354" i="11" s="1"/>
  <c r="O3355" i="11"/>
  <c r="U3355" i="11" s="1"/>
  <c r="S3355" i="11" s="1"/>
  <c r="O3356" i="11"/>
  <c r="U3356" i="11" s="1"/>
  <c r="S3356" i="11" s="1"/>
  <c r="O3357" i="11"/>
  <c r="U3357" i="11" s="1"/>
  <c r="S3357" i="11" s="1"/>
  <c r="O3358" i="11"/>
  <c r="U3358" i="11" s="1"/>
  <c r="S3358" i="11" s="1"/>
  <c r="O3359" i="11"/>
  <c r="U3359" i="11"/>
  <c r="S3359" i="11" s="1"/>
  <c r="O3360" i="11"/>
  <c r="U3360" i="11" s="1"/>
  <c r="S3360" i="11" s="1"/>
  <c r="O3361" i="11"/>
  <c r="U3361" i="11" s="1"/>
  <c r="S3361" i="11" s="1"/>
  <c r="O3362" i="11"/>
  <c r="U3362" i="11"/>
  <c r="S3362" i="11" s="1"/>
  <c r="O3363" i="11"/>
  <c r="U3363" i="11" s="1"/>
  <c r="S3363" i="11" s="1"/>
  <c r="O3364" i="11"/>
  <c r="U3364" i="11" s="1"/>
  <c r="S3364" i="11" s="1"/>
  <c r="O3365" i="11"/>
  <c r="U3365" i="11" s="1"/>
  <c r="S3365" i="11" s="1"/>
  <c r="O3366" i="11"/>
  <c r="U3366" i="11"/>
  <c r="S3366" i="11" s="1"/>
  <c r="O3367" i="11"/>
  <c r="U3367" i="11" s="1"/>
  <c r="S3367" i="11" s="1"/>
  <c r="O3368" i="11"/>
  <c r="U3368" i="11" s="1"/>
  <c r="S3368" i="11" s="1"/>
  <c r="O3369" i="11"/>
  <c r="U3369" i="11"/>
  <c r="S3369" i="11" s="1"/>
  <c r="O3370" i="11"/>
  <c r="U3370" i="11"/>
  <c r="S3370" i="11" s="1"/>
  <c r="O3371" i="11"/>
  <c r="U3371" i="11" s="1"/>
  <c r="S3371" i="11" s="1"/>
  <c r="O3372" i="11"/>
  <c r="U3372" i="11" s="1"/>
  <c r="S3372" i="11" s="1"/>
  <c r="O3373" i="11"/>
  <c r="U3373" i="11" s="1"/>
  <c r="S3373" i="11" s="1"/>
  <c r="O3374" i="11"/>
  <c r="U3374" i="11" s="1"/>
  <c r="S3374" i="11" s="1"/>
  <c r="O3375" i="11"/>
  <c r="U3375" i="11"/>
  <c r="S3375" i="11" s="1"/>
  <c r="O3376" i="11"/>
  <c r="U3376" i="11" s="1"/>
  <c r="S3376" i="11" s="1"/>
  <c r="O3377" i="11"/>
  <c r="U3377" i="11" s="1"/>
  <c r="S3377" i="11" s="1"/>
  <c r="O3378" i="11"/>
  <c r="U3378" i="11" s="1"/>
  <c r="S3378" i="11" s="1"/>
  <c r="O3379" i="11"/>
  <c r="U3379" i="11" s="1"/>
  <c r="S3379" i="11" s="1"/>
  <c r="O3380" i="11"/>
  <c r="U3380" i="11" s="1"/>
  <c r="S3380" i="11" s="1"/>
  <c r="O3381" i="11"/>
  <c r="U3381" i="11" s="1"/>
  <c r="S3381" i="11" s="1"/>
  <c r="O3382" i="11"/>
  <c r="U3382" i="11"/>
  <c r="S3382" i="11" s="1"/>
  <c r="O3383" i="11"/>
  <c r="U3383" i="11" s="1"/>
  <c r="S3383" i="11" s="1"/>
  <c r="O3384" i="11"/>
  <c r="U3384" i="11" s="1"/>
  <c r="S3384" i="11" s="1"/>
  <c r="O3385" i="11"/>
  <c r="U3385" i="11" s="1"/>
  <c r="S3385" i="11" s="1"/>
  <c r="O3386" i="11"/>
  <c r="U3386" i="11" s="1"/>
  <c r="S3386" i="11" s="1"/>
  <c r="O3387" i="11"/>
  <c r="U3387" i="11"/>
  <c r="S3387" i="11" s="1"/>
  <c r="O3388" i="11"/>
  <c r="U3388" i="11" s="1"/>
  <c r="S3388" i="11" s="1"/>
  <c r="O3389" i="11"/>
  <c r="U3389" i="11" s="1"/>
  <c r="S3389" i="11" s="1"/>
  <c r="O3390" i="11"/>
  <c r="U3390" i="11" s="1"/>
  <c r="S3390" i="11" s="1"/>
  <c r="O3391" i="11"/>
  <c r="U3391" i="11" s="1"/>
  <c r="S3391" i="11" s="1"/>
  <c r="O3392" i="11"/>
  <c r="U3392" i="11" s="1"/>
  <c r="S3392" i="11" s="1"/>
  <c r="O3393" i="11"/>
  <c r="U3393" i="11"/>
  <c r="S3393" i="11" s="1"/>
  <c r="O3394" i="11"/>
  <c r="U3394" i="11"/>
  <c r="S3394" i="11" s="1"/>
  <c r="O3395" i="11"/>
  <c r="U3395" i="11" s="1"/>
  <c r="S3395" i="11" s="1"/>
  <c r="O3396" i="11"/>
  <c r="U3396" i="11" s="1"/>
  <c r="S3396" i="11" s="1"/>
  <c r="O3397" i="11"/>
  <c r="U3397" i="11" s="1"/>
  <c r="S3397" i="11" s="1"/>
  <c r="O3398" i="11"/>
  <c r="U3398" i="11" s="1"/>
  <c r="S3398" i="11" s="1"/>
  <c r="O3399" i="11"/>
  <c r="U3399" i="11"/>
  <c r="S3399" i="11" s="1"/>
  <c r="O3400" i="11"/>
  <c r="U3400" i="11" s="1"/>
  <c r="S3400" i="11" s="1"/>
  <c r="O3401" i="11"/>
  <c r="U3401" i="11" s="1"/>
  <c r="S3401" i="11" s="1"/>
  <c r="O3402" i="11"/>
  <c r="U3402" i="11" s="1"/>
  <c r="S3402" i="11" s="1"/>
  <c r="O3403" i="11"/>
  <c r="U3403" i="11" s="1"/>
  <c r="S3403" i="11" s="1"/>
  <c r="O3404" i="11"/>
  <c r="U3404" i="11" s="1"/>
  <c r="S3404" i="11" s="1"/>
  <c r="O3405" i="11"/>
  <c r="U3405" i="11" s="1"/>
  <c r="S3405" i="11" s="1"/>
  <c r="O3406" i="11"/>
  <c r="U3406" i="11"/>
  <c r="S3406" i="11" s="1"/>
  <c r="O3407" i="11"/>
  <c r="U3407" i="11" s="1"/>
  <c r="S3407" i="11" s="1"/>
  <c r="O3408" i="11"/>
  <c r="U3408" i="11" s="1"/>
  <c r="S3408" i="11" s="1"/>
  <c r="O3409" i="11"/>
  <c r="U3409" i="11" s="1"/>
  <c r="S3409" i="11" s="1"/>
  <c r="O3410" i="11"/>
  <c r="U3410" i="11" s="1"/>
  <c r="S3410" i="11" s="1"/>
  <c r="O3411" i="11"/>
  <c r="U3411" i="11" s="1"/>
  <c r="S3411" i="11" s="1"/>
  <c r="O3412" i="11"/>
  <c r="U3412" i="11" s="1"/>
  <c r="S3412" i="11" s="1"/>
  <c r="O3413" i="11"/>
  <c r="U3413" i="11" s="1"/>
  <c r="S3413" i="11" s="1"/>
  <c r="O3414" i="11"/>
  <c r="U3414" i="11" s="1"/>
  <c r="S3414" i="11" s="1"/>
  <c r="O3415" i="11"/>
  <c r="U3415" i="11" s="1"/>
  <c r="S3415" i="11" s="1"/>
  <c r="O3416" i="11"/>
  <c r="U3416" i="11" s="1"/>
  <c r="S3416" i="11" s="1"/>
  <c r="O3417" i="11"/>
  <c r="U3417" i="11" s="1"/>
  <c r="S3417" i="11" s="1"/>
  <c r="O3418" i="11"/>
  <c r="U3418" i="11" s="1"/>
  <c r="S3418" i="11" s="1"/>
  <c r="O3419" i="11"/>
  <c r="U3419" i="11" s="1"/>
  <c r="S3419" i="11" s="1"/>
  <c r="O3420" i="11"/>
  <c r="U3420" i="11" s="1"/>
  <c r="S3420" i="11" s="1"/>
  <c r="O3421" i="11"/>
  <c r="U3421" i="11" s="1"/>
  <c r="S3421" i="11" s="1"/>
  <c r="O3422" i="11"/>
  <c r="U3422" i="11" s="1"/>
  <c r="S3422" i="11" s="1"/>
  <c r="O3423" i="11"/>
  <c r="U3423" i="11" s="1"/>
  <c r="S3423" i="11" s="1"/>
  <c r="O3424" i="11"/>
  <c r="U3424" i="11" s="1"/>
  <c r="S3424" i="11" s="1"/>
  <c r="O3425" i="11"/>
  <c r="U3425" i="11" s="1"/>
  <c r="S3425" i="11" s="1"/>
  <c r="O3426" i="11"/>
  <c r="U3426" i="11" s="1"/>
  <c r="S3426" i="11" s="1"/>
  <c r="O3427" i="11"/>
  <c r="U3427" i="11" s="1"/>
  <c r="S3427" i="11" s="1"/>
  <c r="O3428" i="11"/>
  <c r="U3428" i="11" s="1"/>
  <c r="S3428" i="11"/>
  <c r="O3429" i="11"/>
  <c r="U3429" i="11" s="1"/>
  <c r="S3429" i="11" s="1"/>
  <c r="O3430" i="11"/>
  <c r="U3430" i="11" s="1"/>
  <c r="S3430" i="11" s="1"/>
  <c r="O3431" i="11"/>
  <c r="U3431" i="11" s="1"/>
  <c r="S3431" i="11" s="1"/>
  <c r="O3432" i="11"/>
  <c r="U3432" i="11" s="1"/>
  <c r="S3432" i="11" s="1"/>
  <c r="O3433" i="11"/>
  <c r="U3433" i="11" s="1"/>
  <c r="S3433" i="11" s="1"/>
  <c r="O3434" i="11"/>
  <c r="U3434" i="11" s="1"/>
  <c r="S3434" i="11" s="1"/>
  <c r="O3435" i="11"/>
  <c r="U3435" i="11"/>
  <c r="S3435" i="11" s="1"/>
  <c r="O3436" i="11"/>
  <c r="U3436" i="11" s="1"/>
  <c r="S3436" i="11" s="1"/>
  <c r="O3437" i="11"/>
  <c r="U3437" i="11" s="1"/>
  <c r="S3437" i="11" s="1"/>
  <c r="O3438" i="11"/>
  <c r="U3438" i="11" s="1"/>
  <c r="S3438" i="11" s="1"/>
  <c r="O3439" i="11"/>
  <c r="U3439" i="11" s="1"/>
  <c r="S3439" i="11" s="1"/>
  <c r="O3440" i="11"/>
  <c r="U3440" i="11" s="1"/>
  <c r="S3440" i="11"/>
  <c r="O3441" i="11"/>
  <c r="U3441" i="11" s="1"/>
  <c r="S3441" i="11" s="1"/>
  <c r="O3442" i="11"/>
  <c r="U3442" i="11" s="1"/>
  <c r="S3442" i="11" s="1"/>
  <c r="O3443" i="11"/>
  <c r="U3443" i="11" s="1"/>
  <c r="S3443" i="11" s="1"/>
  <c r="O3444" i="11"/>
  <c r="U3444" i="11" s="1"/>
  <c r="S3444" i="11" s="1"/>
  <c r="O3445" i="11"/>
  <c r="U3445" i="11" s="1"/>
  <c r="S3445" i="11" s="1"/>
  <c r="O3446" i="11"/>
  <c r="U3446" i="11" s="1"/>
  <c r="S3446" i="11" s="1"/>
  <c r="O3447" i="11"/>
  <c r="U3447" i="11"/>
  <c r="S3447" i="11" s="1"/>
  <c r="O3448" i="11"/>
  <c r="U3448" i="11" s="1"/>
  <c r="S3448" i="11" s="1"/>
  <c r="O3449" i="11"/>
  <c r="U3449" i="11" s="1"/>
  <c r="S3449" i="11" s="1"/>
  <c r="O3450" i="11"/>
  <c r="U3450" i="11" s="1"/>
  <c r="S3450" i="11" s="1"/>
  <c r="O3451" i="11"/>
  <c r="U3451" i="11" s="1"/>
  <c r="S3451" i="11" s="1"/>
  <c r="O3452" i="11"/>
  <c r="U3452" i="11" s="1"/>
  <c r="S3452" i="11" s="1"/>
  <c r="O3453" i="11"/>
  <c r="U3453" i="11" s="1"/>
  <c r="S3453" i="11" s="1"/>
  <c r="O3454" i="11"/>
  <c r="U3454" i="11" s="1"/>
  <c r="S3454" i="11" s="1"/>
  <c r="O3455" i="11"/>
  <c r="U3455" i="11" s="1"/>
  <c r="S3455" i="11" s="1"/>
  <c r="O3456" i="11"/>
  <c r="U3456" i="11" s="1"/>
  <c r="S3456" i="11" s="1"/>
  <c r="O3457" i="11"/>
  <c r="U3457" i="11" s="1"/>
  <c r="S3457" i="11" s="1"/>
  <c r="O3458" i="11"/>
  <c r="U3458" i="11" s="1"/>
  <c r="S3458" i="11" s="1"/>
  <c r="O3459" i="11"/>
  <c r="U3459" i="11" s="1"/>
  <c r="S3459" i="11" s="1"/>
  <c r="O3460" i="11"/>
  <c r="U3460" i="11" s="1"/>
  <c r="S3460" i="11" s="1"/>
  <c r="O3461" i="11"/>
  <c r="U3461" i="11" s="1"/>
  <c r="S3461" i="11" s="1"/>
  <c r="O3462" i="11"/>
  <c r="U3462" i="11" s="1"/>
  <c r="S3462" i="11" s="1"/>
  <c r="O3463" i="11"/>
  <c r="U3463" i="11" s="1"/>
  <c r="S3463" i="11" s="1"/>
  <c r="O3464" i="11"/>
  <c r="U3464" i="11" s="1"/>
  <c r="S3464" i="11"/>
  <c r="O3465" i="11"/>
  <c r="U3465" i="11" s="1"/>
  <c r="S3465" i="11" s="1"/>
  <c r="O3466" i="11"/>
  <c r="U3466" i="11" s="1"/>
  <c r="S3466" i="11" s="1"/>
  <c r="O3467" i="11"/>
  <c r="U3467" i="11" s="1"/>
  <c r="S3467" i="11" s="1"/>
  <c r="O3468" i="11"/>
  <c r="U3468" i="11" s="1"/>
  <c r="S3468" i="11" s="1"/>
  <c r="O3469" i="11"/>
  <c r="U3469" i="11" s="1"/>
  <c r="S3469" i="11" s="1"/>
  <c r="O3470" i="11"/>
  <c r="U3470" i="11" s="1"/>
  <c r="S3470" i="11"/>
  <c r="O3471" i="11"/>
  <c r="U3471" i="11"/>
  <c r="S3471" i="11" s="1"/>
  <c r="O3472" i="11"/>
  <c r="U3472" i="11" s="1"/>
  <c r="S3472" i="11" s="1"/>
  <c r="O3473" i="11"/>
  <c r="U3473" i="11" s="1"/>
  <c r="S3473" i="11" s="1"/>
  <c r="O3474" i="11"/>
  <c r="U3474" i="11" s="1"/>
  <c r="S3474" i="11" s="1"/>
  <c r="O3475" i="11"/>
  <c r="U3475" i="11" s="1"/>
  <c r="S3475" i="11" s="1"/>
  <c r="O3476" i="11"/>
  <c r="U3476" i="11" s="1"/>
  <c r="S3476" i="11" s="1"/>
  <c r="O3477" i="11"/>
  <c r="U3477" i="11" s="1"/>
  <c r="S3477" i="11" s="1"/>
  <c r="O3478" i="11"/>
  <c r="U3478" i="11" s="1"/>
  <c r="S3478" i="11" s="1"/>
  <c r="O3479" i="11"/>
  <c r="U3479" i="11" s="1"/>
  <c r="S3479" i="11" s="1"/>
  <c r="O3480" i="11"/>
  <c r="U3480" i="11" s="1"/>
  <c r="S3480" i="11" s="1"/>
  <c r="O3481" i="11"/>
  <c r="U3481" i="11" s="1"/>
  <c r="S3481" i="11" s="1"/>
  <c r="O3482" i="11"/>
  <c r="U3482" i="11" s="1"/>
  <c r="S3482" i="11" s="1"/>
  <c r="O3483" i="11"/>
  <c r="U3483" i="11" s="1"/>
  <c r="S3483" i="11" s="1"/>
  <c r="O3484" i="11"/>
  <c r="U3484" i="11" s="1"/>
  <c r="S3484" i="11" s="1"/>
  <c r="O3485" i="11"/>
  <c r="U3485" i="11" s="1"/>
  <c r="S3485" i="11" s="1"/>
  <c r="O3486" i="11"/>
  <c r="U3486" i="11" s="1"/>
  <c r="S3486" i="11" s="1"/>
  <c r="O3487" i="11"/>
  <c r="U3487" i="11" s="1"/>
  <c r="S3487" i="11" s="1"/>
  <c r="O3488" i="11"/>
  <c r="U3488" i="11" s="1"/>
  <c r="S3488" i="11" s="1"/>
  <c r="O3489" i="11"/>
  <c r="U3489" i="11" s="1"/>
  <c r="S3489" i="11" s="1"/>
  <c r="O3490" i="11"/>
  <c r="U3490" i="11" s="1"/>
  <c r="S3490" i="11" s="1"/>
  <c r="O3491" i="11"/>
  <c r="U3491" i="11" s="1"/>
  <c r="S3491" i="11" s="1"/>
  <c r="O3492" i="11"/>
  <c r="U3492" i="11" s="1"/>
  <c r="S3492" i="11" s="1"/>
  <c r="O3493" i="11"/>
  <c r="U3493" i="11" s="1"/>
  <c r="S3493" i="11" s="1"/>
  <c r="O3494" i="11"/>
  <c r="U3494" i="11" s="1"/>
  <c r="S3494" i="11" s="1"/>
  <c r="O3495" i="11"/>
  <c r="U3495" i="11" s="1"/>
  <c r="S3495" i="11" s="1"/>
  <c r="O3496" i="11"/>
  <c r="U3496" i="11" s="1"/>
  <c r="S3496" i="11" s="1"/>
  <c r="O3497" i="11"/>
  <c r="U3497" i="11" s="1"/>
  <c r="S3497" i="11" s="1"/>
  <c r="O3498" i="11"/>
  <c r="U3498" i="11" s="1"/>
  <c r="S3498" i="11" s="1"/>
  <c r="O3499" i="11"/>
  <c r="U3499" i="11" s="1"/>
  <c r="S3499" i="11" s="1"/>
  <c r="O3500" i="11"/>
  <c r="U3500" i="11" s="1"/>
  <c r="S3500" i="11" s="1"/>
  <c r="O3501" i="11"/>
  <c r="U3501" i="11" s="1"/>
  <c r="S3501" i="11" s="1"/>
  <c r="O3502" i="11"/>
  <c r="U3502" i="11" s="1"/>
  <c r="S3502" i="11" s="1"/>
  <c r="O3503" i="11"/>
  <c r="U3503" i="11"/>
  <c r="S3503" i="11" s="1"/>
  <c r="O3504" i="11"/>
  <c r="U3504" i="11" s="1"/>
  <c r="S3504" i="11" s="1"/>
  <c r="O3505" i="11"/>
  <c r="U3505" i="11" s="1"/>
  <c r="S3505" i="11" s="1"/>
  <c r="O3506" i="11"/>
  <c r="U3506" i="11" s="1"/>
  <c r="S3506" i="11" s="1"/>
  <c r="O3507" i="11"/>
  <c r="U3507" i="11" s="1"/>
  <c r="S3507" i="11" s="1"/>
  <c r="O3508" i="11"/>
  <c r="U3508" i="11" s="1"/>
  <c r="S3508" i="11" s="1"/>
  <c r="O3509" i="11"/>
  <c r="U3509" i="11" s="1"/>
  <c r="S3509" i="11" s="1"/>
  <c r="O3510" i="11"/>
  <c r="U3510" i="11" s="1"/>
  <c r="S3510" i="11" s="1"/>
  <c r="O3511" i="11"/>
  <c r="U3511" i="11"/>
  <c r="S3511" i="11" s="1"/>
  <c r="O3512" i="11"/>
  <c r="U3512" i="11" s="1"/>
  <c r="S3512" i="11" s="1"/>
  <c r="O3513" i="11"/>
  <c r="U3513" i="11" s="1"/>
  <c r="S3513" i="11" s="1"/>
  <c r="O3514" i="11"/>
  <c r="U3514" i="11" s="1"/>
  <c r="S3514" i="11" s="1"/>
  <c r="O3515" i="11"/>
  <c r="U3515" i="11"/>
  <c r="S3515" i="11" s="1"/>
  <c r="O3516" i="11"/>
  <c r="U3516" i="11" s="1"/>
  <c r="S3516" i="11" s="1"/>
  <c r="O3517" i="11"/>
  <c r="U3517" i="11" s="1"/>
  <c r="S3517" i="11" s="1"/>
  <c r="O3518" i="11"/>
  <c r="U3518" i="11" s="1"/>
  <c r="S3518" i="11" s="1"/>
  <c r="O3519" i="11"/>
  <c r="U3519" i="11" s="1"/>
  <c r="S3519" i="11" s="1"/>
  <c r="O3520" i="11"/>
  <c r="U3520" i="11" s="1"/>
  <c r="S3520" i="11" s="1"/>
  <c r="O3521" i="11"/>
  <c r="U3521" i="11" s="1"/>
  <c r="S3521" i="11" s="1"/>
  <c r="O3522" i="11"/>
  <c r="U3522" i="11" s="1"/>
  <c r="S3522" i="11" s="1"/>
  <c r="O3523" i="11"/>
  <c r="U3523" i="11" s="1"/>
  <c r="S3523" i="11" s="1"/>
  <c r="O3524" i="11"/>
  <c r="U3524" i="11" s="1"/>
  <c r="S3524" i="11" s="1"/>
  <c r="O3525" i="11"/>
  <c r="U3525" i="11" s="1"/>
  <c r="S3525" i="11" s="1"/>
  <c r="O3526" i="11"/>
  <c r="U3526" i="11" s="1"/>
  <c r="S3526" i="11" s="1"/>
  <c r="O3527" i="11"/>
  <c r="U3527" i="11" s="1"/>
  <c r="S3527" i="11" s="1"/>
  <c r="O3528" i="11"/>
  <c r="U3528" i="11" s="1"/>
  <c r="S3528" i="11" s="1"/>
  <c r="O3529" i="11"/>
  <c r="U3529" i="11" s="1"/>
  <c r="S3529" i="11" s="1"/>
  <c r="O3530" i="11"/>
  <c r="U3530" i="11" s="1"/>
  <c r="S3530" i="11" s="1"/>
  <c r="O3531" i="11"/>
  <c r="U3531" i="11" s="1"/>
  <c r="S3531" i="11" s="1"/>
  <c r="O3532" i="11"/>
  <c r="U3532" i="11" s="1"/>
  <c r="S3532" i="11" s="1"/>
  <c r="O3533" i="11"/>
  <c r="U3533" i="11" s="1"/>
  <c r="S3533" i="11" s="1"/>
  <c r="O3534" i="11"/>
  <c r="U3534" i="11" s="1"/>
  <c r="S3534" i="11" s="1"/>
  <c r="O3535" i="11"/>
  <c r="U3535" i="11" s="1"/>
  <c r="S3535" i="11" s="1"/>
  <c r="O3536" i="11"/>
  <c r="U3536" i="11" s="1"/>
  <c r="S3536" i="11" s="1"/>
  <c r="O3537" i="11"/>
  <c r="U3537" i="11" s="1"/>
  <c r="S3537" i="11" s="1"/>
  <c r="O3538" i="11"/>
  <c r="U3538" i="11" s="1"/>
  <c r="S3538" i="11" s="1"/>
  <c r="O3539" i="11"/>
  <c r="U3539" i="11" s="1"/>
  <c r="S3539" i="11" s="1"/>
  <c r="O3540" i="11"/>
  <c r="U3540" i="11" s="1"/>
  <c r="S3540" i="11" s="1"/>
  <c r="O3541" i="11"/>
  <c r="U3541" i="11" s="1"/>
  <c r="S3541" i="11" s="1"/>
  <c r="O3542" i="11"/>
  <c r="U3542" i="11" s="1"/>
  <c r="S3542" i="11" s="1"/>
  <c r="O3543" i="11"/>
  <c r="U3543" i="11" s="1"/>
  <c r="S3543" i="11" s="1"/>
  <c r="O3544" i="11"/>
  <c r="U3544" i="11" s="1"/>
  <c r="S3544" i="11" s="1"/>
  <c r="O3545" i="11"/>
  <c r="U3545" i="11" s="1"/>
  <c r="S3545" i="11" s="1"/>
  <c r="O3546" i="11"/>
  <c r="U3546" i="11" s="1"/>
  <c r="S3546" i="11" s="1"/>
  <c r="O3547" i="11"/>
  <c r="U3547" i="11" s="1"/>
  <c r="S3547" i="11" s="1"/>
  <c r="O3548" i="11"/>
  <c r="U3548" i="11" s="1"/>
  <c r="S3548" i="11" s="1"/>
  <c r="O3549" i="11"/>
  <c r="U3549" i="11" s="1"/>
  <c r="S3549" i="11" s="1"/>
  <c r="O3550" i="11"/>
  <c r="U3550" i="11" s="1"/>
  <c r="S3550" i="11" s="1"/>
  <c r="O3551" i="11"/>
  <c r="U3551" i="11"/>
  <c r="S3551" i="11" s="1"/>
  <c r="O3552" i="11"/>
  <c r="U3552" i="11" s="1"/>
  <c r="S3552" i="11" s="1"/>
  <c r="O3553" i="11"/>
  <c r="U3553" i="11" s="1"/>
  <c r="S3553" i="11" s="1"/>
  <c r="O3554" i="11"/>
  <c r="U3554" i="11" s="1"/>
  <c r="S3554" i="11" s="1"/>
  <c r="O3555" i="11"/>
  <c r="U3555" i="11" s="1"/>
  <c r="S3555" i="11" s="1"/>
  <c r="O3556" i="11"/>
  <c r="U3556" i="11" s="1"/>
  <c r="S3556" i="11" s="1"/>
  <c r="O3557" i="11"/>
  <c r="U3557" i="11" s="1"/>
  <c r="S3557" i="11" s="1"/>
  <c r="O3558" i="11"/>
  <c r="U3558" i="11" s="1"/>
  <c r="S3558" i="11" s="1"/>
  <c r="O3559" i="11"/>
  <c r="U3559" i="11" s="1"/>
  <c r="S3559" i="11" s="1"/>
  <c r="O3560" i="11"/>
  <c r="U3560" i="11" s="1"/>
  <c r="S3560" i="11" s="1"/>
  <c r="O3561" i="11"/>
  <c r="U3561" i="11" s="1"/>
  <c r="S3561" i="11" s="1"/>
  <c r="O3562" i="11"/>
  <c r="U3562" i="11" s="1"/>
  <c r="S3562" i="11" s="1"/>
  <c r="O3563" i="11"/>
  <c r="U3563" i="11" s="1"/>
  <c r="S3563" i="11" s="1"/>
  <c r="O3564" i="11"/>
  <c r="U3564" i="11" s="1"/>
  <c r="S3564" i="11" s="1"/>
  <c r="O3565" i="11"/>
  <c r="U3565" i="11" s="1"/>
  <c r="S3565" i="11" s="1"/>
  <c r="O3566" i="11"/>
  <c r="U3566" i="11" s="1"/>
  <c r="S3566" i="11" s="1"/>
  <c r="O3567" i="11"/>
  <c r="U3567" i="11" s="1"/>
  <c r="S3567" i="11" s="1"/>
  <c r="O3568" i="11"/>
  <c r="U3568" i="11" s="1"/>
  <c r="S3568" i="11" s="1"/>
  <c r="O3569" i="11"/>
  <c r="U3569" i="11" s="1"/>
  <c r="S3569" i="11" s="1"/>
  <c r="O3570" i="11"/>
  <c r="U3570" i="11" s="1"/>
  <c r="S3570" i="11" s="1"/>
  <c r="O3571" i="11"/>
  <c r="U3571" i="11" s="1"/>
  <c r="S3571" i="11" s="1"/>
  <c r="O3572" i="11"/>
  <c r="U3572" i="11" s="1"/>
  <c r="S3572" i="11" s="1"/>
  <c r="O3573" i="11"/>
  <c r="U3573" i="11" s="1"/>
  <c r="S3573" i="11" s="1"/>
  <c r="O3574" i="11"/>
  <c r="U3574" i="11" s="1"/>
  <c r="S3574" i="11" s="1"/>
  <c r="O3575" i="11"/>
  <c r="U3575" i="11" s="1"/>
  <c r="S3575" i="11" s="1"/>
  <c r="O3576" i="11"/>
  <c r="U3576" i="11" s="1"/>
  <c r="S3576" i="11" s="1"/>
  <c r="O3577" i="11"/>
  <c r="U3577" i="11" s="1"/>
  <c r="S3577" i="11" s="1"/>
  <c r="O3578" i="11"/>
  <c r="U3578" i="11" s="1"/>
  <c r="S3578" i="11" s="1"/>
  <c r="O3579" i="11"/>
  <c r="U3579" i="11" s="1"/>
  <c r="S3579" i="11" s="1"/>
  <c r="O3580" i="11"/>
  <c r="U3580" i="11" s="1"/>
  <c r="S3580" i="11" s="1"/>
  <c r="O3581" i="11"/>
  <c r="U3581" i="11" s="1"/>
  <c r="S3581" i="11" s="1"/>
  <c r="O3582" i="11"/>
  <c r="U3582" i="11" s="1"/>
  <c r="S3582" i="11" s="1"/>
  <c r="O3583" i="11"/>
  <c r="U3583" i="11" s="1"/>
  <c r="S3583" i="11" s="1"/>
  <c r="O3584" i="11"/>
  <c r="U3584" i="11" s="1"/>
  <c r="S3584" i="11" s="1"/>
  <c r="O3585" i="11"/>
  <c r="U3585" i="11" s="1"/>
  <c r="S3585" i="11" s="1"/>
  <c r="O3586" i="11"/>
  <c r="U3586" i="11" s="1"/>
  <c r="S3586" i="11" s="1"/>
  <c r="O3587" i="11"/>
  <c r="U3587" i="11" s="1"/>
  <c r="S3587" i="11" s="1"/>
  <c r="O3588" i="11"/>
  <c r="U3588" i="11" s="1"/>
  <c r="S3588" i="11" s="1"/>
  <c r="O3589" i="11"/>
  <c r="U3589" i="11" s="1"/>
  <c r="S3589" i="11" s="1"/>
  <c r="O3590" i="11"/>
  <c r="U3590" i="11" s="1"/>
  <c r="S3590" i="11" s="1"/>
  <c r="O3591" i="11"/>
  <c r="U3591" i="11" s="1"/>
  <c r="S3591" i="11" s="1"/>
  <c r="O3592" i="11"/>
  <c r="U3592" i="11" s="1"/>
  <c r="S3592" i="11" s="1"/>
  <c r="O3593" i="11"/>
  <c r="U3593" i="11" s="1"/>
  <c r="S3593" i="11" s="1"/>
  <c r="O3594" i="11"/>
  <c r="U3594" i="11" s="1"/>
  <c r="S3594" i="11" s="1"/>
  <c r="O3595" i="11"/>
  <c r="U3595" i="11" s="1"/>
  <c r="S3595" i="11" s="1"/>
  <c r="O3596" i="11"/>
  <c r="U3596" i="11" s="1"/>
  <c r="S3596" i="11" s="1"/>
  <c r="O3597" i="11"/>
  <c r="U3597" i="11" s="1"/>
  <c r="S3597" i="11" s="1"/>
  <c r="O3598" i="11"/>
  <c r="U3598" i="11" s="1"/>
  <c r="S3598" i="11" s="1"/>
  <c r="O3599" i="11"/>
  <c r="U3599" i="11"/>
  <c r="S3599" i="11" s="1"/>
  <c r="O3600" i="11"/>
  <c r="U3600" i="11" s="1"/>
  <c r="S3600" i="11" s="1"/>
  <c r="O3601" i="11"/>
  <c r="U3601" i="11" s="1"/>
  <c r="S3601" i="11" s="1"/>
  <c r="O3602" i="11"/>
  <c r="U3602" i="11" s="1"/>
  <c r="S3602" i="11" s="1"/>
  <c r="O3603" i="11"/>
  <c r="U3603" i="11" s="1"/>
  <c r="S3603" i="11" s="1"/>
  <c r="O3604" i="11"/>
  <c r="U3604" i="11" s="1"/>
  <c r="S3604" i="11" s="1"/>
  <c r="O3605" i="11"/>
  <c r="U3605" i="11" s="1"/>
  <c r="S3605" i="11" s="1"/>
  <c r="O3606" i="11"/>
  <c r="U3606" i="11" s="1"/>
  <c r="S3606" i="11" s="1"/>
  <c r="O3607" i="11"/>
  <c r="U3607" i="11"/>
  <c r="S3607" i="11" s="1"/>
  <c r="O3608" i="11"/>
  <c r="U3608" i="11" s="1"/>
  <c r="S3608" i="11" s="1"/>
  <c r="O3609" i="11"/>
  <c r="U3609" i="11" s="1"/>
  <c r="S3609" i="11" s="1"/>
  <c r="O3610" i="11"/>
  <c r="U3610" i="11" s="1"/>
  <c r="S3610" i="11" s="1"/>
  <c r="O3611" i="11"/>
  <c r="U3611" i="11"/>
  <c r="S3611" i="11" s="1"/>
  <c r="O3612" i="11"/>
  <c r="U3612" i="11" s="1"/>
  <c r="S3612" i="11" s="1"/>
  <c r="O3613" i="11"/>
  <c r="U3613" i="11" s="1"/>
  <c r="S3613" i="11"/>
  <c r="O3614" i="11"/>
  <c r="U3614" i="11" s="1"/>
  <c r="S3614" i="11" s="1"/>
  <c r="O3615" i="11"/>
  <c r="U3615" i="11" s="1"/>
  <c r="S3615" i="11" s="1"/>
  <c r="O3616" i="11"/>
  <c r="U3616" i="11" s="1"/>
  <c r="S3616" i="11" s="1"/>
  <c r="O3617" i="11"/>
  <c r="U3617" i="11" s="1"/>
  <c r="S3617" i="11" s="1"/>
  <c r="O3618" i="11"/>
  <c r="U3618" i="11" s="1"/>
  <c r="S3618" i="11" s="1"/>
  <c r="O3619" i="11"/>
  <c r="U3619" i="11"/>
  <c r="S3619" i="11" s="1"/>
  <c r="O3620" i="11"/>
  <c r="U3620" i="11" s="1"/>
  <c r="S3620" i="11" s="1"/>
  <c r="O3621" i="11"/>
  <c r="U3621" i="11" s="1"/>
  <c r="S3621" i="11" s="1"/>
  <c r="O3622" i="11"/>
  <c r="U3622" i="11" s="1"/>
  <c r="S3622" i="11"/>
  <c r="O3623" i="11"/>
  <c r="U3623" i="11" s="1"/>
  <c r="S3623" i="11" s="1"/>
  <c r="O3624" i="11"/>
  <c r="U3624" i="11"/>
  <c r="S3624" i="11" s="1"/>
  <c r="O3625" i="11"/>
  <c r="U3625" i="11" s="1"/>
  <c r="S3625" i="11" s="1"/>
  <c r="O3626" i="11"/>
  <c r="U3626" i="11" s="1"/>
  <c r="S3626" i="11" s="1"/>
  <c r="O3627" i="11"/>
  <c r="U3627" i="11" s="1"/>
  <c r="S3627" i="11" s="1"/>
  <c r="O3628" i="11"/>
  <c r="U3628" i="11" s="1"/>
  <c r="S3628" i="11" s="1"/>
  <c r="O3629" i="11"/>
  <c r="U3629" i="11" s="1"/>
  <c r="S3629" i="11" s="1"/>
  <c r="O3630" i="11"/>
  <c r="U3630" i="11" s="1"/>
  <c r="S3630" i="11" s="1"/>
  <c r="O3631" i="11"/>
  <c r="U3631" i="11"/>
  <c r="S3631" i="11" s="1"/>
  <c r="O3632" i="11"/>
  <c r="U3632" i="11" s="1"/>
  <c r="S3632" i="11" s="1"/>
  <c r="O3633" i="11"/>
  <c r="U3633" i="11" s="1"/>
  <c r="S3633" i="11" s="1"/>
  <c r="O3634" i="11"/>
  <c r="U3634" i="11" s="1"/>
  <c r="S3634" i="11" s="1"/>
  <c r="O3635" i="11"/>
  <c r="U3635" i="11"/>
  <c r="S3635" i="11" s="1"/>
  <c r="O3636" i="11"/>
  <c r="U3636" i="11" s="1"/>
  <c r="S3636" i="11" s="1"/>
  <c r="O3637" i="11"/>
  <c r="U3637" i="11" s="1"/>
  <c r="S3637" i="11" s="1"/>
  <c r="O3638" i="11"/>
  <c r="U3638" i="11" s="1"/>
  <c r="S3638" i="11" s="1"/>
  <c r="O3639" i="11"/>
  <c r="U3639" i="11" s="1"/>
  <c r="S3639" i="11" s="1"/>
  <c r="O3640" i="11"/>
  <c r="U3640" i="11" s="1"/>
  <c r="S3640" i="11" s="1"/>
  <c r="O3641" i="11"/>
  <c r="U3641" i="11" s="1"/>
  <c r="S3641" i="11" s="1"/>
  <c r="O3642" i="11"/>
  <c r="U3642" i="11" s="1"/>
  <c r="S3642" i="11" s="1"/>
  <c r="O3643" i="11"/>
  <c r="U3643" i="11" s="1"/>
  <c r="S3643" i="11" s="1"/>
  <c r="O3644" i="11"/>
  <c r="U3644" i="11" s="1"/>
  <c r="S3644" i="11" s="1"/>
  <c r="O3645" i="11"/>
  <c r="U3645" i="11" s="1"/>
  <c r="S3645" i="11" s="1"/>
  <c r="O3646" i="11"/>
  <c r="U3646" i="11" s="1"/>
  <c r="S3646" i="11" s="1"/>
  <c r="O3647" i="11"/>
  <c r="U3647" i="11" s="1"/>
  <c r="S3647" i="11" s="1"/>
  <c r="O3648" i="11"/>
  <c r="U3648" i="11" s="1"/>
  <c r="S3648" i="11" s="1"/>
  <c r="O3649" i="11"/>
  <c r="U3649" i="11" s="1"/>
  <c r="S3649" i="11" s="1"/>
  <c r="O3650" i="11"/>
  <c r="U3650" i="11" s="1"/>
  <c r="S3650" i="11" s="1"/>
  <c r="O3651" i="11"/>
  <c r="U3651" i="11"/>
  <c r="S3651" i="11" s="1"/>
  <c r="O3652" i="11"/>
  <c r="U3652" i="11" s="1"/>
  <c r="S3652" i="11" s="1"/>
  <c r="O3653" i="11"/>
  <c r="U3653" i="11" s="1"/>
  <c r="S3653" i="11" s="1"/>
  <c r="O3654" i="11"/>
  <c r="U3654" i="11" s="1"/>
  <c r="S3654" i="11" s="1"/>
  <c r="O3655" i="11"/>
  <c r="U3655" i="11" s="1"/>
  <c r="S3655" i="11" s="1"/>
  <c r="O3656" i="11"/>
  <c r="U3656" i="11"/>
  <c r="S3656" i="11" s="1"/>
  <c r="O3657" i="11"/>
  <c r="U3657" i="11" s="1"/>
  <c r="S3657" i="11" s="1"/>
  <c r="O3658" i="11"/>
  <c r="U3658" i="11" s="1"/>
  <c r="S3658" i="11" s="1"/>
  <c r="O3659" i="11"/>
  <c r="U3659" i="11" s="1"/>
  <c r="S3659" i="11" s="1"/>
  <c r="O3660" i="11"/>
  <c r="U3660" i="11" s="1"/>
  <c r="S3660" i="11" s="1"/>
  <c r="O3661" i="11"/>
  <c r="U3661" i="11" s="1"/>
  <c r="S3661" i="11"/>
  <c r="O3662" i="11"/>
  <c r="U3662" i="11" s="1"/>
  <c r="S3662" i="11" s="1"/>
  <c r="O3663" i="11"/>
  <c r="U3663" i="11" s="1"/>
  <c r="S3663" i="11" s="1"/>
  <c r="O3664" i="11"/>
  <c r="U3664" i="11" s="1"/>
  <c r="S3664" i="11" s="1"/>
  <c r="O3665" i="11"/>
  <c r="U3665" i="11" s="1"/>
  <c r="S3665" i="11" s="1"/>
  <c r="O3666" i="11"/>
  <c r="U3666" i="11" s="1"/>
  <c r="S3666" i="11" s="1"/>
  <c r="O3667" i="11"/>
  <c r="U3667" i="11" s="1"/>
  <c r="S3667" i="11" s="1"/>
  <c r="O3668" i="11"/>
  <c r="U3668" i="11" s="1"/>
  <c r="S3668" i="11" s="1"/>
  <c r="O3669" i="11"/>
  <c r="U3669" i="11" s="1"/>
  <c r="S3669" i="11" s="1"/>
  <c r="O3670" i="11"/>
  <c r="U3670" i="11" s="1"/>
  <c r="S3670" i="11" s="1"/>
  <c r="O3671" i="11"/>
  <c r="U3671" i="11" s="1"/>
  <c r="S3671" i="11" s="1"/>
  <c r="O3672" i="11"/>
  <c r="U3672" i="11" s="1"/>
  <c r="S3672" i="11" s="1"/>
  <c r="O3673" i="11"/>
  <c r="U3673" i="11" s="1"/>
  <c r="S3673" i="11" s="1"/>
  <c r="O3674" i="11"/>
  <c r="U3674" i="11" s="1"/>
  <c r="S3674" i="11" s="1"/>
  <c r="O3675" i="11"/>
  <c r="U3675" i="11"/>
  <c r="S3675" i="11" s="1"/>
  <c r="O3676" i="11"/>
  <c r="U3676" i="11" s="1"/>
  <c r="S3676" i="11" s="1"/>
  <c r="O3677" i="11"/>
  <c r="U3677" i="11" s="1"/>
  <c r="S3677" i="11" s="1"/>
  <c r="O3678" i="11"/>
  <c r="U3678" i="11" s="1"/>
  <c r="S3678" i="11" s="1"/>
  <c r="O3679" i="11"/>
  <c r="U3679" i="11" s="1"/>
  <c r="S3679" i="11" s="1"/>
  <c r="O3680" i="11"/>
  <c r="U3680" i="11"/>
  <c r="S3680" i="11" s="1"/>
  <c r="O3681" i="11"/>
  <c r="U3681" i="11" s="1"/>
  <c r="S3681" i="11" s="1"/>
  <c r="O3682" i="11"/>
  <c r="U3682" i="11" s="1"/>
  <c r="S3682" i="11" s="1"/>
  <c r="O3683" i="11"/>
  <c r="U3683" i="11" s="1"/>
  <c r="S3683" i="11" s="1"/>
  <c r="O3684" i="11"/>
  <c r="U3684" i="11" s="1"/>
  <c r="S3684" i="11" s="1"/>
  <c r="O3685" i="11"/>
  <c r="U3685" i="11" s="1"/>
  <c r="S3685" i="11" s="1"/>
  <c r="O3686" i="11"/>
  <c r="U3686" i="11" s="1"/>
  <c r="S3686" i="11" s="1"/>
  <c r="O3687" i="11"/>
  <c r="U3687" i="11" s="1"/>
  <c r="S3687" i="11" s="1"/>
  <c r="O3688" i="11"/>
  <c r="U3688" i="11" s="1"/>
  <c r="S3688" i="11" s="1"/>
  <c r="O3689" i="11"/>
  <c r="U3689" i="11" s="1"/>
  <c r="S3689" i="11" s="1"/>
  <c r="O3690" i="11"/>
  <c r="U3690" i="11" s="1"/>
  <c r="S3690" i="11" s="1"/>
  <c r="O3691" i="11"/>
  <c r="U3691" i="11" s="1"/>
  <c r="S3691" i="11" s="1"/>
  <c r="O3692" i="11"/>
  <c r="U3692" i="11" s="1"/>
  <c r="S3692" i="11" s="1"/>
  <c r="O3693" i="11"/>
  <c r="U3693" i="11" s="1"/>
  <c r="S3693" i="11" s="1"/>
  <c r="O3694" i="11"/>
  <c r="U3694" i="11" s="1"/>
  <c r="S3694" i="11" s="1"/>
  <c r="O3695" i="11"/>
  <c r="U3695" i="11"/>
  <c r="S3695" i="11" s="1"/>
  <c r="O3696" i="11"/>
  <c r="U3696" i="11" s="1"/>
  <c r="S3696" i="11" s="1"/>
  <c r="O3697" i="11"/>
  <c r="U3697" i="11" s="1"/>
  <c r="S3697" i="11" s="1"/>
  <c r="O3698" i="11"/>
  <c r="U3698" i="11" s="1"/>
  <c r="S3698" i="11" s="1"/>
  <c r="O3699" i="11"/>
  <c r="U3699" i="11"/>
  <c r="S3699" i="11" s="1"/>
  <c r="O3700" i="11"/>
  <c r="U3700" i="11" s="1"/>
  <c r="S3700" i="11" s="1"/>
  <c r="O3701" i="11"/>
  <c r="U3701" i="11" s="1"/>
  <c r="S3701" i="11" s="1"/>
  <c r="O3702" i="11"/>
  <c r="U3702" i="11" s="1"/>
  <c r="S3702" i="11" s="1"/>
  <c r="O3703" i="11"/>
  <c r="U3703" i="11" s="1"/>
  <c r="S3703" i="11" s="1"/>
  <c r="O3704" i="11"/>
  <c r="U3704" i="11" s="1"/>
  <c r="S3704" i="11" s="1"/>
  <c r="O3705" i="11"/>
  <c r="U3705" i="11" s="1"/>
  <c r="S3705" i="11" s="1"/>
  <c r="O3706" i="11"/>
  <c r="U3706" i="11" s="1"/>
  <c r="S3706" i="11" s="1"/>
  <c r="O3707" i="11"/>
  <c r="U3707" i="11" s="1"/>
  <c r="S3707" i="11" s="1"/>
  <c r="O3708" i="11"/>
  <c r="U3708" i="11" s="1"/>
  <c r="S3708" i="11" s="1"/>
  <c r="O3709" i="11"/>
  <c r="U3709" i="11" s="1"/>
  <c r="S3709" i="11" s="1"/>
  <c r="O3710" i="11"/>
  <c r="U3710" i="11" s="1"/>
  <c r="S3710" i="11" s="1"/>
  <c r="O3711" i="11"/>
  <c r="U3711" i="11" s="1"/>
  <c r="S3711" i="11" s="1"/>
  <c r="O3712" i="11"/>
  <c r="U3712" i="11" s="1"/>
  <c r="S3712" i="11" s="1"/>
  <c r="O3713" i="11"/>
  <c r="U3713" i="11" s="1"/>
  <c r="S3713" i="11" s="1"/>
  <c r="O3714" i="11"/>
  <c r="U3714" i="11" s="1"/>
  <c r="S3714" i="11" s="1"/>
  <c r="O3715" i="11"/>
  <c r="U3715" i="11" s="1"/>
  <c r="S3715" i="11" s="1"/>
  <c r="O3716" i="11"/>
  <c r="U3716" i="11" s="1"/>
  <c r="S3716" i="11" s="1"/>
  <c r="O3717" i="11"/>
  <c r="U3717" i="11" s="1"/>
  <c r="S3717" i="11" s="1"/>
  <c r="O3718" i="11"/>
  <c r="U3718" i="11" s="1"/>
  <c r="S3718" i="11" s="1"/>
  <c r="O3719" i="11"/>
  <c r="U3719" i="11" s="1"/>
  <c r="S3719" i="11" s="1"/>
  <c r="O3720" i="11"/>
  <c r="U3720" i="11"/>
  <c r="S3720" i="11" s="1"/>
  <c r="O3721" i="11"/>
  <c r="U3721" i="11" s="1"/>
  <c r="S3721" i="11" s="1"/>
  <c r="O3722" i="11"/>
  <c r="U3722" i="11" s="1"/>
  <c r="S3722" i="11" s="1"/>
  <c r="O3723" i="11"/>
  <c r="U3723" i="11" s="1"/>
  <c r="S3723" i="11" s="1"/>
  <c r="O3724" i="11"/>
  <c r="U3724" i="11" s="1"/>
  <c r="S3724" i="11" s="1"/>
  <c r="O3725" i="11"/>
  <c r="U3725" i="11" s="1"/>
  <c r="S3725" i="11" s="1"/>
  <c r="O3726" i="11"/>
  <c r="U3726" i="11" s="1"/>
  <c r="S3726" i="11" s="1"/>
  <c r="O3727" i="11"/>
  <c r="U3727" i="11" s="1"/>
  <c r="S3727" i="11" s="1"/>
  <c r="O3728" i="11"/>
  <c r="U3728" i="11" s="1"/>
  <c r="S3728" i="11" s="1"/>
  <c r="O3729" i="11"/>
  <c r="U3729" i="11" s="1"/>
  <c r="S3729" i="11" s="1"/>
  <c r="O3730" i="11"/>
  <c r="U3730" i="11" s="1"/>
  <c r="S3730" i="11" s="1"/>
  <c r="O3731" i="11"/>
  <c r="U3731" i="11" s="1"/>
  <c r="S3731" i="11" s="1"/>
  <c r="O3732" i="11"/>
  <c r="U3732" i="11" s="1"/>
  <c r="S3732" i="11" s="1"/>
  <c r="O3733" i="11"/>
  <c r="U3733" i="11" s="1"/>
  <c r="S3733" i="11" s="1"/>
  <c r="O3734" i="11"/>
  <c r="U3734" i="11" s="1"/>
  <c r="S3734" i="11"/>
  <c r="O3735" i="11"/>
  <c r="U3735" i="11" s="1"/>
  <c r="S3735" i="11" s="1"/>
  <c r="O3736" i="11"/>
  <c r="U3736" i="11" s="1"/>
  <c r="S3736" i="11" s="1"/>
  <c r="O3737" i="11"/>
  <c r="U3737" i="11" s="1"/>
  <c r="S3737" i="11" s="1"/>
  <c r="O3738" i="11"/>
  <c r="U3738" i="11" s="1"/>
  <c r="S3738" i="11" s="1"/>
  <c r="O3739" i="11"/>
  <c r="U3739" i="11" s="1"/>
  <c r="S3739" i="11" s="1"/>
  <c r="O3740" i="11"/>
  <c r="U3740" i="11" s="1"/>
  <c r="S3740" i="11" s="1"/>
  <c r="O3741" i="11"/>
  <c r="U3741" i="11" s="1"/>
  <c r="S3741" i="11" s="1"/>
  <c r="O3742" i="11"/>
  <c r="U3742" i="11" s="1"/>
  <c r="S3742" i="11" s="1"/>
  <c r="O3743" i="11"/>
  <c r="U3743" i="11" s="1"/>
  <c r="S3743" i="11" s="1"/>
  <c r="O3744" i="11"/>
  <c r="U3744" i="11" s="1"/>
  <c r="S3744" i="11" s="1"/>
  <c r="O3745" i="11"/>
  <c r="U3745" i="11" s="1"/>
  <c r="S3745" i="11" s="1"/>
  <c r="O3746" i="11"/>
  <c r="U3746" i="11" s="1"/>
  <c r="S3746" i="11" s="1"/>
  <c r="O3747" i="11"/>
  <c r="U3747" i="11" s="1"/>
  <c r="S3747" i="11" s="1"/>
  <c r="O3748" i="11"/>
  <c r="U3748" i="11" s="1"/>
  <c r="S3748" i="11" s="1"/>
  <c r="O3749" i="11"/>
  <c r="U3749" i="11" s="1"/>
  <c r="S3749" i="11" s="1"/>
  <c r="O3750" i="11"/>
  <c r="U3750" i="11" s="1"/>
  <c r="S3750" i="11" s="1"/>
  <c r="O3751" i="11"/>
  <c r="U3751" i="11" s="1"/>
  <c r="S3751" i="11" s="1"/>
  <c r="O3752" i="11"/>
  <c r="U3752" i="11" s="1"/>
  <c r="S3752" i="11" s="1"/>
  <c r="O3753" i="11"/>
  <c r="U3753" i="11" s="1"/>
  <c r="S3753" i="11" s="1"/>
  <c r="O3754" i="11"/>
  <c r="U3754" i="11" s="1"/>
  <c r="S3754" i="11" s="1"/>
  <c r="O3755" i="11"/>
  <c r="U3755" i="11" s="1"/>
  <c r="S3755" i="11" s="1"/>
  <c r="O3756" i="11"/>
  <c r="U3756" i="11" s="1"/>
  <c r="S3756" i="11" s="1"/>
  <c r="O3757" i="11"/>
  <c r="U3757" i="11" s="1"/>
  <c r="S3757" i="11"/>
  <c r="O3758" i="11"/>
  <c r="U3758" i="11" s="1"/>
  <c r="S3758" i="11" s="1"/>
  <c r="O3759" i="11"/>
  <c r="U3759" i="11" s="1"/>
  <c r="S3759" i="11" s="1"/>
  <c r="O3760" i="11"/>
  <c r="U3760" i="11" s="1"/>
  <c r="S3760" i="11" s="1"/>
  <c r="O3761" i="11"/>
  <c r="U3761" i="11" s="1"/>
  <c r="S3761" i="11" s="1"/>
  <c r="O3762" i="11"/>
  <c r="U3762" i="11" s="1"/>
  <c r="S3762" i="11" s="1"/>
  <c r="O3763" i="11"/>
  <c r="U3763" i="11"/>
  <c r="S3763" i="11" s="1"/>
  <c r="O3764" i="11"/>
  <c r="U3764" i="11" s="1"/>
  <c r="S3764" i="11" s="1"/>
  <c r="O3765" i="11"/>
  <c r="U3765" i="11" s="1"/>
  <c r="S3765" i="11" s="1"/>
  <c r="O3766" i="11"/>
  <c r="U3766" i="11" s="1"/>
  <c r="S3766" i="11" s="1"/>
  <c r="O3767" i="11"/>
  <c r="U3767" i="11" s="1"/>
  <c r="S3767" i="11" s="1"/>
  <c r="O3768" i="11"/>
  <c r="U3768" i="11"/>
  <c r="S3768" i="11" s="1"/>
  <c r="O3769" i="11"/>
  <c r="U3769" i="11" s="1"/>
  <c r="S3769" i="11" s="1"/>
  <c r="O3770" i="11"/>
  <c r="U3770" i="11" s="1"/>
  <c r="S3770" i="11" s="1"/>
  <c r="O3771" i="11"/>
  <c r="U3771" i="11"/>
  <c r="S3771" i="11" s="1"/>
  <c r="O3772" i="11"/>
  <c r="U3772" i="11" s="1"/>
  <c r="S3772" i="11" s="1"/>
  <c r="O3773" i="11"/>
  <c r="U3773" i="11" s="1"/>
  <c r="S3773" i="11" s="1"/>
  <c r="O3774" i="11"/>
  <c r="U3774" i="11" s="1"/>
  <c r="S3774" i="11" s="1"/>
  <c r="O3775" i="11"/>
  <c r="U3775" i="11"/>
  <c r="S3775" i="11" s="1"/>
  <c r="O3776" i="11"/>
  <c r="U3776" i="11" s="1"/>
  <c r="S3776" i="11" s="1"/>
  <c r="O3777" i="11"/>
  <c r="U3777" i="11" s="1"/>
  <c r="S3777" i="11" s="1"/>
  <c r="O3778" i="11"/>
  <c r="U3778" i="11" s="1"/>
  <c r="S3778" i="11" s="1"/>
  <c r="O3779" i="11"/>
  <c r="U3779" i="11" s="1"/>
  <c r="S3779" i="11" s="1"/>
  <c r="O3780" i="11"/>
  <c r="U3780" i="11" s="1"/>
  <c r="S3780" i="11" s="1"/>
  <c r="O3781" i="11"/>
  <c r="U3781" i="11" s="1"/>
  <c r="S3781" i="11" s="1"/>
  <c r="O3782" i="11"/>
  <c r="U3782" i="11" s="1"/>
  <c r="S3782" i="11" s="1"/>
  <c r="O3783" i="11"/>
  <c r="U3783" i="11"/>
  <c r="S3783" i="11" s="1"/>
  <c r="O3784" i="11"/>
  <c r="U3784" i="11" s="1"/>
  <c r="S3784" i="11" s="1"/>
  <c r="O3785" i="11"/>
  <c r="U3785" i="11" s="1"/>
  <c r="S3785" i="11" s="1"/>
  <c r="O3786" i="11"/>
  <c r="U3786" i="11" s="1"/>
  <c r="S3786" i="11" s="1"/>
  <c r="O3787" i="11"/>
  <c r="U3787" i="11"/>
  <c r="S3787" i="11" s="1"/>
  <c r="O3788" i="11"/>
  <c r="U3788" i="11" s="1"/>
  <c r="S3788" i="11" s="1"/>
  <c r="O3789" i="11"/>
  <c r="U3789" i="11" s="1"/>
  <c r="S3789" i="11" s="1"/>
  <c r="O3790" i="11"/>
  <c r="U3790" i="11" s="1"/>
  <c r="S3790" i="11" s="1"/>
  <c r="O3791" i="11"/>
  <c r="U3791" i="11" s="1"/>
  <c r="S3791" i="11" s="1"/>
  <c r="O3792" i="11"/>
  <c r="U3792" i="11" s="1"/>
  <c r="S3792" i="11" s="1"/>
  <c r="O3793" i="11"/>
  <c r="U3793" i="11" s="1"/>
  <c r="S3793" i="11" s="1"/>
  <c r="O3794" i="11"/>
  <c r="U3794" i="11" s="1"/>
  <c r="S3794" i="11" s="1"/>
  <c r="O3795" i="11"/>
  <c r="U3795" i="11"/>
  <c r="S3795" i="11" s="1"/>
  <c r="O3796" i="11"/>
  <c r="U3796" i="11" s="1"/>
  <c r="S3796" i="11" s="1"/>
  <c r="O3797" i="11"/>
  <c r="U3797" i="11" s="1"/>
  <c r="S3797" i="11" s="1"/>
  <c r="O3798" i="11"/>
  <c r="U3798" i="11" s="1"/>
  <c r="S3798" i="11" s="1"/>
  <c r="O3799" i="11"/>
  <c r="U3799" i="11" s="1"/>
  <c r="S3799" i="11" s="1"/>
  <c r="O3800" i="11"/>
  <c r="U3800" i="11" s="1"/>
  <c r="S3800" i="11" s="1"/>
  <c r="O3801" i="11"/>
  <c r="U3801" i="11" s="1"/>
  <c r="S3801" i="11" s="1"/>
  <c r="O3802" i="11"/>
  <c r="U3802" i="11" s="1"/>
  <c r="S3802" i="11" s="1"/>
  <c r="O3803" i="11"/>
  <c r="U3803" i="11" s="1"/>
  <c r="S3803" i="11" s="1"/>
  <c r="O3804" i="11"/>
  <c r="U3804" i="11"/>
  <c r="S3804" i="11" s="1"/>
  <c r="O3805" i="11"/>
  <c r="U3805" i="11" s="1"/>
  <c r="S3805" i="11" s="1"/>
  <c r="O3806" i="11"/>
  <c r="U3806" i="11" s="1"/>
  <c r="S3806" i="11" s="1"/>
  <c r="O3807" i="11"/>
  <c r="U3807" i="11" s="1"/>
  <c r="S3807" i="11" s="1"/>
  <c r="O3808" i="11"/>
  <c r="U3808" i="11" s="1"/>
  <c r="S3808" i="11" s="1"/>
  <c r="O3809" i="11"/>
  <c r="U3809" i="11" s="1"/>
  <c r="S3809" i="11" s="1"/>
  <c r="O3810" i="11"/>
  <c r="U3810" i="11" s="1"/>
  <c r="S3810" i="11" s="1"/>
  <c r="O3811" i="11"/>
  <c r="U3811" i="11" s="1"/>
  <c r="S3811" i="11" s="1"/>
  <c r="O3812" i="11"/>
  <c r="U3812" i="11"/>
  <c r="S3812" i="11" s="1"/>
  <c r="O3813" i="11"/>
  <c r="U3813" i="11" s="1"/>
  <c r="S3813" i="11" s="1"/>
  <c r="O3814" i="11"/>
  <c r="U3814" i="11" s="1"/>
  <c r="S3814" i="11" s="1"/>
  <c r="O3815" i="11"/>
  <c r="U3815" i="11" s="1"/>
  <c r="S3815" i="11" s="1"/>
  <c r="O3816" i="11"/>
  <c r="U3816" i="11"/>
  <c r="S3816" i="11" s="1"/>
  <c r="O3817" i="11"/>
  <c r="U3817" i="11" s="1"/>
  <c r="S3817" i="11" s="1"/>
  <c r="O3818" i="11"/>
  <c r="U3818" i="11" s="1"/>
  <c r="S3818" i="11" s="1"/>
  <c r="O3819" i="11"/>
  <c r="U3819" i="11" s="1"/>
  <c r="S3819" i="11" s="1"/>
  <c r="O3820" i="11"/>
  <c r="U3820" i="11"/>
  <c r="S3820" i="11" s="1"/>
  <c r="O3821" i="11"/>
  <c r="U3821" i="11" s="1"/>
  <c r="S3821" i="11" s="1"/>
  <c r="O3822" i="11"/>
  <c r="U3822" i="11" s="1"/>
  <c r="S3822" i="11" s="1"/>
  <c r="O3823" i="11"/>
  <c r="U3823" i="11"/>
  <c r="S3823" i="11" s="1"/>
  <c r="O3824" i="11"/>
  <c r="U3824" i="11" s="1"/>
  <c r="S3824" i="11" s="1"/>
  <c r="O3825" i="11"/>
  <c r="U3825" i="11" s="1"/>
  <c r="S3825" i="11" s="1"/>
  <c r="O3826" i="11"/>
  <c r="U3826" i="11" s="1"/>
  <c r="S3826" i="11" s="1"/>
  <c r="O3827" i="11"/>
  <c r="U3827" i="11" s="1"/>
  <c r="S3827" i="11" s="1"/>
  <c r="O3828" i="11"/>
  <c r="U3828" i="11" s="1"/>
  <c r="S3828" i="11" s="1"/>
  <c r="O3829" i="11"/>
  <c r="U3829" i="11" s="1"/>
  <c r="S3829" i="11" s="1"/>
  <c r="O3830" i="11"/>
  <c r="U3830" i="11" s="1"/>
  <c r="S3830" i="11" s="1"/>
  <c r="O3831" i="11"/>
  <c r="U3831" i="11" s="1"/>
  <c r="S3831" i="11" s="1"/>
  <c r="O3832" i="11"/>
  <c r="U3832" i="11" s="1"/>
  <c r="S3832" i="11" s="1"/>
  <c r="O3833" i="11"/>
  <c r="U3833" i="11" s="1"/>
  <c r="S3833" i="11" s="1"/>
  <c r="O3834" i="11"/>
  <c r="U3834" i="11" s="1"/>
  <c r="S3834" i="11" s="1"/>
  <c r="O3835" i="11"/>
  <c r="U3835" i="11" s="1"/>
  <c r="S3835" i="11" s="1"/>
  <c r="O3836" i="11"/>
  <c r="U3836" i="11"/>
  <c r="S3836" i="11" s="1"/>
  <c r="O3837" i="11"/>
  <c r="U3837" i="11" s="1"/>
  <c r="S3837" i="11" s="1"/>
  <c r="O3838" i="11"/>
  <c r="U3838" i="11" s="1"/>
  <c r="S3838" i="11" s="1"/>
  <c r="O3839" i="11"/>
  <c r="U3839" i="11" s="1"/>
  <c r="S3839" i="11" s="1"/>
  <c r="O3840" i="11"/>
  <c r="U3840" i="11" s="1"/>
  <c r="S3840" i="11" s="1"/>
  <c r="O3841" i="11"/>
  <c r="U3841" i="11" s="1"/>
  <c r="S3841" i="11" s="1"/>
  <c r="O3842" i="11"/>
  <c r="U3842" i="11" s="1"/>
  <c r="S3842" i="11" s="1"/>
  <c r="O3843" i="11"/>
  <c r="U3843" i="11"/>
  <c r="S3843" i="11" s="1"/>
  <c r="O3844" i="11"/>
  <c r="U3844" i="11" s="1"/>
  <c r="S3844" i="11" s="1"/>
  <c r="O3845" i="11"/>
  <c r="U3845" i="11" s="1"/>
  <c r="S3845" i="11" s="1"/>
  <c r="O3846" i="11"/>
  <c r="U3846" i="11"/>
  <c r="S3846" i="11" s="1"/>
  <c r="O3847" i="11"/>
  <c r="U3847" i="11" s="1"/>
  <c r="S3847" i="11" s="1"/>
  <c r="O3848" i="11"/>
  <c r="U3848" i="11"/>
  <c r="S3848" i="11" s="1"/>
  <c r="O3849" i="11"/>
  <c r="U3849" i="11" s="1"/>
  <c r="S3849" i="11" s="1"/>
  <c r="O3850" i="11"/>
  <c r="U3850" i="11" s="1"/>
  <c r="S3850" i="11" s="1"/>
  <c r="O3851" i="11"/>
  <c r="U3851" i="11" s="1"/>
  <c r="S3851" i="11" s="1"/>
  <c r="O3852" i="11"/>
  <c r="U3852" i="11" s="1"/>
  <c r="S3852" i="11" s="1"/>
  <c r="O3853" i="11"/>
  <c r="U3853" i="11" s="1"/>
  <c r="S3853" i="11" s="1"/>
  <c r="O3854" i="11"/>
  <c r="U3854" i="11" s="1"/>
  <c r="S3854" i="11" s="1"/>
  <c r="O3855" i="11"/>
  <c r="U3855" i="11" s="1"/>
  <c r="S3855" i="11" s="1"/>
  <c r="O3856" i="11"/>
  <c r="U3856" i="11" s="1"/>
  <c r="S3856" i="11" s="1"/>
  <c r="O3857" i="11"/>
  <c r="U3857" i="11" s="1"/>
  <c r="S3857" i="11" s="1"/>
  <c r="O3858" i="11"/>
  <c r="U3858" i="11" s="1"/>
  <c r="S3858" i="11"/>
  <c r="O3859" i="11"/>
  <c r="U3859" i="11" s="1"/>
  <c r="S3859" i="11" s="1"/>
  <c r="O3860" i="11"/>
  <c r="U3860" i="11" s="1"/>
  <c r="S3860" i="11" s="1"/>
  <c r="O3861" i="11"/>
  <c r="U3861" i="11" s="1"/>
  <c r="S3861" i="11" s="1"/>
  <c r="O3862" i="11"/>
  <c r="U3862" i="11" s="1"/>
  <c r="S3862" i="11" s="1"/>
  <c r="O3863" i="11"/>
  <c r="U3863" i="11" s="1"/>
  <c r="S3863" i="11" s="1"/>
  <c r="O3864" i="11"/>
  <c r="U3864" i="11" s="1"/>
  <c r="S3864" i="11" s="1"/>
  <c r="O3865" i="11"/>
  <c r="U3865" i="11" s="1"/>
  <c r="S3865" i="11" s="1"/>
  <c r="O3866" i="11"/>
  <c r="U3866" i="11" s="1"/>
  <c r="S3866" i="11" s="1"/>
  <c r="O3867" i="11"/>
  <c r="U3867" i="11" s="1"/>
  <c r="S3867" i="11" s="1"/>
  <c r="O3868" i="11"/>
  <c r="U3868" i="11" s="1"/>
  <c r="S3868" i="11" s="1"/>
  <c r="O3869" i="11"/>
  <c r="U3869" i="11" s="1"/>
  <c r="S3869" i="11" s="1"/>
  <c r="O3870" i="11"/>
  <c r="U3870" i="11" s="1"/>
  <c r="S3870" i="11" s="1"/>
  <c r="O3871" i="11"/>
  <c r="U3871" i="11" s="1"/>
  <c r="S3871" i="11" s="1"/>
  <c r="O3872" i="11"/>
  <c r="U3872" i="11" s="1"/>
  <c r="S3872" i="11" s="1"/>
  <c r="O3873" i="11"/>
  <c r="U3873" i="11" s="1"/>
  <c r="S3873" i="11" s="1"/>
  <c r="O3874" i="11"/>
  <c r="U3874" i="11" s="1"/>
  <c r="S3874" i="11" s="1"/>
  <c r="O3875" i="11"/>
  <c r="U3875" i="11" s="1"/>
  <c r="S3875" i="11" s="1"/>
  <c r="O3876" i="11"/>
  <c r="U3876" i="11" s="1"/>
  <c r="S3876" i="11" s="1"/>
  <c r="O3877" i="11"/>
  <c r="U3877" i="11" s="1"/>
  <c r="S3877" i="11" s="1"/>
  <c r="O3878" i="11"/>
  <c r="U3878" i="11" s="1"/>
  <c r="S3878" i="11" s="1"/>
  <c r="O3879" i="11"/>
  <c r="U3879" i="11" s="1"/>
  <c r="S3879" i="11" s="1"/>
  <c r="O3880" i="11"/>
  <c r="U3880" i="11" s="1"/>
  <c r="S3880" i="11" s="1"/>
  <c r="O3881" i="11"/>
  <c r="U3881" i="11" s="1"/>
  <c r="S3881" i="11" s="1"/>
  <c r="O3882" i="11"/>
  <c r="U3882" i="11" s="1"/>
  <c r="S3882" i="11" s="1"/>
  <c r="O3883" i="11"/>
  <c r="U3883" i="11" s="1"/>
  <c r="S3883" i="11" s="1"/>
  <c r="O3884" i="11"/>
  <c r="U3884" i="11" s="1"/>
  <c r="S3884" i="11" s="1"/>
  <c r="O3885" i="11"/>
  <c r="U3885" i="11" s="1"/>
  <c r="S3885" i="11" s="1"/>
  <c r="O3886" i="11"/>
  <c r="U3886" i="11" s="1"/>
  <c r="S3886" i="11" s="1"/>
  <c r="O3887" i="11"/>
  <c r="U3887" i="11"/>
  <c r="S3887" i="11" s="1"/>
  <c r="O3888" i="11"/>
  <c r="U3888" i="11" s="1"/>
  <c r="S3888" i="11" s="1"/>
  <c r="O3889" i="11"/>
  <c r="U3889" i="11" s="1"/>
  <c r="S3889" i="11" s="1"/>
  <c r="O3890" i="11"/>
  <c r="U3890" i="11" s="1"/>
  <c r="S3890" i="11" s="1"/>
  <c r="O3891" i="11"/>
  <c r="U3891" i="11"/>
  <c r="S3891" i="11" s="1"/>
  <c r="O3892" i="11"/>
  <c r="U3892" i="11" s="1"/>
  <c r="S3892" i="11" s="1"/>
  <c r="O3893" i="11"/>
  <c r="U3893" i="11" s="1"/>
  <c r="S3893" i="11" s="1"/>
  <c r="O3894" i="11"/>
  <c r="U3894" i="11" s="1"/>
  <c r="S3894" i="11" s="1"/>
  <c r="O3895" i="11"/>
  <c r="U3895" i="11" s="1"/>
  <c r="S3895" i="11" s="1"/>
  <c r="O3896" i="11"/>
  <c r="U3896" i="11"/>
  <c r="S3896" i="11" s="1"/>
  <c r="O3897" i="11"/>
  <c r="U3897" i="11" s="1"/>
  <c r="S3897" i="11" s="1"/>
  <c r="O3898" i="11"/>
  <c r="U3898" i="11" s="1"/>
  <c r="S3898" i="11" s="1"/>
  <c r="O3899" i="11"/>
  <c r="U3899" i="11"/>
  <c r="S3899" i="11" s="1"/>
  <c r="O3900" i="11"/>
  <c r="U3900" i="11" s="1"/>
  <c r="S3900" i="11" s="1"/>
  <c r="O3901" i="11"/>
  <c r="U3901" i="11" s="1"/>
  <c r="S3901" i="11" s="1"/>
  <c r="O3902" i="11"/>
  <c r="U3902" i="11" s="1"/>
  <c r="S3902" i="11" s="1"/>
  <c r="O3903" i="11"/>
  <c r="U3903" i="11" s="1"/>
  <c r="S3903" i="11" s="1"/>
  <c r="O3904" i="11"/>
  <c r="U3904" i="11" s="1"/>
  <c r="S3904" i="11" s="1"/>
  <c r="O3905" i="11"/>
  <c r="U3905" i="11" s="1"/>
  <c r="S3905" i="11" s="1"/>
  <c r="O3906" i="11"/>
  <c r="U3906" i="11" s="1"/>
  <c r="S3906" i="11" s="1"/>
  <c r="O3907" i="11"/>
  <c r="U3907" i="11" s="1"/>
  <c r="S3907" i="11" s="1"/>
  <c r="O3908" i="11"/>
  <c r="U3908" i="11"/>
  <c r="S3908" i="11"/>
  <c r="O3909" i="11"/>
  <c r="U3909" i="11" s="1"/>
  <c r="S3909" i="11" s="1"/>
  <c r="O3910" i="11"/>
  <c r="U3910" i="11" s="1"/>
  <c r="S3910" i="11" s="1"/>
  <c r="O3911" i="11"/>
  <c r="U3911" i="11"/>
  <c r="S3911" i="11" s="1"/>
  <c r="O3912" i="11"/>
  <c r="U3912" i="11"/>
  <c r="S3912" i="11" s="1"/>
  <c r="O3913" i="11"/>
  <c r="U3913" i="11" s="1"/>
  <c r="S3913" i="11" s="1"/>
  <c r="O3914" i="11"/>
  <c r="U3914" i="11" s="1"/>
  <c r="S3914" i="11" s="1"/>
  <c r="O3915" i="11"/>
  <c r="U3915" i="11" s="1"/>
  <c r="S3915" i="11" s="1"/>
  <c r="O3916" i="11"/>
  <c r="U3916" i="11" s="1"/>
  <c r="S3916" i="11" s="1"/>
  <c r="O3917" i="11"/>
  <c r="U3917" i="11" s="1"/>
  <c r="S3917" i="11" s="1"/>
  <c r="O3918" i="11"/>
  <c r="U3918" i="11" s="1"/>
  <c r="S3918" i="11" s="1"/>
  <c r="O3919" i="11"/>
  <c r="U3919" i="11"/>
  <c r="S3919" i="11" s="1"/>
  <c r="O3920" i="11"/>
  <c r="U3920" i="11"/>
  <c r="S3920" i="11" s="1"/>
  <c r="O3921" i="11"/>
  <c r="U3921" i="11" s="1"/>
  <c r="S3921" i="11" s="1"/>
  <c r="O3922" i="11"/>
  <c r="U3922" i="11" s="1"/>
  <c r="S3922" i="11" s="1"/>
  <c r="O3923" i="11"/>
  <c r="U3923" i="11" s="1"/>
  <c r="S3923" i="11" s="1"/>
  <c r="O3924" i="11"/>
  <c r="U3924" i="11"/>
  <c r="S3924" i="11" s="1"/>
  <c r="O3925" i="11"/>
  <c r="U3925" i="11" s="1"/>
  <c r="S3925" i="11" s="1"/>
  <c r="O3926" i="11"/>
  <c r="U3926" i="11" s="1"/>
  <c r="S3926" i="11"/>
  <c r="O3927" i="11"/>
  <c r="U3927" i="11"/>
  <c r="S3927" i="11" s="1"/>
  <c r="O3928" i="11"/>
  <c r="U3928" i="11" s="1"/>
  <c r="S3928" i="11" s="1"/>
  <c r="O3929" i="11"/>
  <c r="U3929" i="11" s="1"/>
  <c r="S3929" i="11" s="1"/>
  <c r="O3930" i="11"/>
  <c r="U3930" i="11" s="1"/>
  <c r="S3930" i="11" s="1"/>
  <c r="O3931" i="11"/>
  <c r="U3931" i="11" s="1"/>
  <c r="S3931" i="11" s="1"/>
  <c r="O3932" i="11"/>
  <c r="U3932" i="11"/>
  <c r="S3932" i="11" s="1"/>
  <c r="O3933" i="11"/>
  <c r="U3933" i="11" s="1"/>
  <c r="S3933" i="11" s="1"/>
  <c r="O3934" i="11"/>
  <c r="U3934" i="11" s="1"/>
  <c r="S3934" i="11" s="1"/>
  <c r="O3935" i="11"/>
  <c r="U3935" i="11" s="1"/>
  <c r="S3935" i="11" s="1"/>
  <c r="O3936" i="11"/>
  <c r="U3936" i="11" s="1"/>
  <c r="S3936" i="11" s="1"/>
  <c r="O3937" i="11"/>
  <c r="U3937" i="11" s="1"/>
  <c r="S3937" i="11" s="1"/>
  <c r="O3938" i="11"/>
  <c r="U3938" i="11" s="1"/>
  <c r="S3938" i="11" s="1"/>
  <c r="O3939" i="11"/>
  <c r="U3939" i="11" s="1"/>
  <c r="S3939" i="11" s="1"/>
  <c r="O3940" i="11"/>
  <c r="U3940" i="11" s="1"/>
  <c r="S3940" i="11" s="1"/>
  <c r="O3941" i="11"/>
  <c r="U3941" i="11" s="1"/>
  <c r="S3941" i="11" s="1"/>
  <c r="O3942" i="11"/>
  <c r="U3942" i="11" s="1"/>
  <c r="S3942" i="11" s="1"/>
  <c r="O3943" i="11"/>
  <c r="U3943" i="11" s="1"/>
  <c r="S3943" i="11" s="1"/>
  <c r="O3944" i="11"/>
  <c r="U3944" i="11" s="1"/>
  <c r="S3944" i="11" s="1"/>
  <c r="O3945" i="11"/>
  <c r="U3945" i="11" s="1"/>
  <c r="S3945" i="11" s="1"/>
  <c r="O3946" i="11"/>
  <c r="U3946" i="11" s="1"/>
  <c r="S3946" i="11" s="1"/>
  <c r="O3947" i="11"/>
  <c r="U3947" i="11" s="1"/>
  <c r="S3947" i="11" s="1"/>
  <c r="O3948" i="11"/>
  <c r="U3948" i="11" s="1"/>
  <c r="S3948" i="11" s="1"/>
  <c r="O3949" i="11"/>
  <c r="U3949" i="11" s="1"/>
  <c r="S3949" i="11" s="1"/>
  <c r="O3950" i="11"/>
  <c r="U3950" i="11" s="1"/>
  <c r="S3950" i="11" s="1"/>
  <c r="O3951" i="11"/>
  <c r="U3951" i="11"/>
  <c r="S3951" i="11" s="1"/>
  <c r="O3952" i="11"/>
  <c r="U3952" i="11" s="1"/>
  <c r="S3952" i="11" s="1"/>
  <c r="O3953" i="11"/>
  <c r="U3953" i="11" s="1"/>
  <c r="S3953" i="11" s="1"/>
  <c r="O3954" i="11"/>
  <c r="U3954" i="11" s="1"/>
  <c r="S3954" i="11" s="1"/>
  <c r="O3955" i="11"/>
  <c r="U3955" i="11" s="1"/>
  <c r="S3955" i="11" s="1"/>
  <c r="O3956" i="11"/>
  <c r="U3956" i="11"/>
  <c r="S3956" i="11" s="1"/>
  <c r="O3957" i="11"/>
  <c r="U3957" i="11" s="1"/>
  <c r="S3957" i="11" s="1"/>
  <c r="O3958" i="11"/>
  <c r="U3958" i="11" s="1"/>
  <c r="S3958" i="11" s="1"/>
  <c r="O3959" i="11"/>
  <c r="U3959" i="11" s="1"/>
  <c r="S3959" i="11" s="1"/>
  <c r="O3960" i="11"/>
  <c r="U3960" i="11"/>
  <c r="S3960" i="11" s="1"/>
  <c r="O3961" i="11"/>
  <c r="U3961" i="11" s="1"/>
  <c r="S3961" i="11" s="1"/>
  <c r="O3962" i="11"/>
  <c r="U3962" i="11" s="1"/>
  <c r="S3962" i="11" s="1"/>
  <c r="O3963" i="11"/>
  <c r="U3963" i="11" s="1"/>
  <c r="S3963" i="11" s="1"/>
  <c r="O3964" i="11"/>
  <c r="U3964" i="11" s="1"/>
  <c r="S3964" i="11" s="1"/>
  <c r="O3965" i="11"/>
  <c r="U3965" i="11" s="1"/>
  <c r="S3965" i="11" s="1"/>
  <c r="O3966" i="11"/>
  <c r="U3966" i="11" s="1"/>
  <c r="S3966" i="11" s="1"/>
  <c r="O3967" i="11"/>
  <c r="U3967" i="11"/>
  <c r="S3967" i="11" s="1"/>
  <c r="O3968" i="11"/>
  <c r="U3968" i="11" s="1"/>
  <c r="S3968" i="11" s="1"/>
  <c r="O3969" i="11"/>
  <c r="U3969" i="11" s="1"/>
  <c r="S3969" i="11" s="1"/>
  <c r="O3970" i="11"/>
  <c r="U3970" i="11" s="1"/>
  <c r="S3970" i="11" s="1"/>
  <c r="O3971" i="11"/>
  <c r="U3971" i="11" s="1"/>
  <c r="S3971" i="11" s="1"/>
  <c r="O3972" i="11"/>
  <c r="U3972" i="11"/>
  <c r="S3972" i="11" s="1"/>
  <c r="O3973" i="11"/>
  <c r="U3973" i="11" s="1"/>
  <c r="S3973" i="11" s="1"/>
  <c r="O3974" i="11"/>
  <c r="U3974" i="11" s="1"/>
  <c r="S3974" i="11" s="1"/>
  <c r="O3975" i="11"/>
  <c r="U3975" i="11" s="1"/>
  <c r="S3975" i="11" s="1"/>
  <c r="O3976" i="11"/>
  <c r="U3976" i="11" s="1"/>
  <c r="S3976" i="11" s="1"/>
  <c r="O3977" i="11"/>
  <c r="U3977" i="11" s="1"/>
  <c r="S3977" i="11" s="1"/>
  <c r="O3978" i="11"/>
  <c r="U3978" i="11" s="1"/>
  <c r="S3978" i="11" s="1"/>
  <c r="O3979" i="11"/>
  <c r="U3979" i="11" s="1"/>
  <c r="S3979" i="11" s="1"/>
  <c r="O3980" i="11"/>
  <c r="U3980" i="11" s="1"/>
  <c r="S3980" i="11" s="1"/>
  <c r="O3981" i="11"/>
  <c r="U3981" i="11" s="1"/>
  <c r="S3981" i="11" s="1"/>
  <c r="O3982" i="11"/>
  <c r="U3982" i="11" s="1"/>
  <c r="S3982" i="11" s="1"/>
  <c r="O3983" i="11"/>
  <c r="U3983" i="11"/>
  <c r="S3983" i="11" s="1"/>
  <c r="O3984" i="11"/>
  <c r="U3984" i="11" s="1"/>
  <c r="S3984" i="11" s="1"/>
  <c r="O3985" i="11"/>
  <c r="U3985" i="11" s="1"/>
  <c r="S3985" i="11" s="1"/>
  <c r="O3986" i="11"/>
  <c r="U3986" i="11" s="1"/>
  <c r="S3986" i="11" s="1"/>
  <c r="O3987" i="11"/>
  <c r="U3987" i="11"/>
  <c r="S3987" i="11" s="1"/>
  <c r="O3988" i="11"/>
  <c r="U3988" i="11" s="1"/>
  <c r="S3988" i="11" s="1"/>
  <c r="O3989" i="11"/>
  <c r="U3989" i="11" s="1"/>
  <c r="S3989" i="11" s="1"/>
  <c r="O3990" i="11"/>
  <c r="U3990" i="11" s="1"/>
  <c r="S3990" i="11" s="1"/>
  <c r="O3991" i="11"/>
  <c r="U3991" i="11" s="1"/>
  <c r="S3991" i="11" s="1"/>
  <c r="O3992" i="11"/>
  <c r="U3992" i="11"/>
  <c r="S3992" i="11" s="1"/>
  <c r="O3993" i="11"/>
  <c r="U3993" i="11" s="1"/>
  <c r="S3993" i="11" s="1"/>
  <c r="O3994" i="11"/>
  <c r="U3994" i="11" s="1"/>
  <c r="S3994" i="11" s="1"/>
  <c r="O3995" i="11"/>
  <c r="U3995" i="11"/>
  <c r="S3995" i="11" s="1"/>
  <c r="O3996" i="11"/>
  <c r="U3996" i="11"/>
  <c r="S3996" i="11" s="1"/>
  <c r="O3997" i="11"/>
  <c r="U3997" i="11" s="1"/>
  <c r="S3997" i="11" s="1"/>
  <c r="O3998" i="11"/>
  <c r="U3998" i="11" s="1"/>
  <c r="S3998" i="11" s="1"/>
  <c r="O3999" i="11"/>
  <c r="U3999" i="11" s="1"/>
  <c r="S3999" i="11" s="1"/>
  <c r="O4000" i="11"/>
  <c r="U4000" i="11" s="1"/>
  <c r="S4000" i="11" s="1"/>
  <c r="O4001" i="11"/>
  <c r="U4001" i="11" s="1"/>
  <c r="S4001" i="11" s="1"/>
  <c r="O4002" i="11"/>
  <c r="U4002" i="11" s="1"/>
  <c r="S4002" i="11" s="1"/>
  <c r="O4003" i="11"/>
  <c r="U4003" i="11" s="1"/>
  <c r="S4003" i="11" s="1"/>
  <c r="O4004" i="11"/>
  <c r="U4004" i="11"/>
  <c r="S4004" i="11" s="1"/>
  <c r="O4005" i="11"/>
  <c r="U4005" i="11" s="1"/>
  <c r="S4005" i="11" s="1"/>
  <c r="O4006" i="11"/>
  <c r="U4006" i="11" s="1"/>
  <c r="S4006" i="11" s="1"/>
  <c r="O4007" i="11"/>
  <c r="U4007" i="11" s="1"/>
  <c r="S4007" i="11" s="1"/>
  <c r="O4008" i="11"/>
  <c r="U4008" i="11"/>
  <c r="S4008" i="11" s="1"/>
  <c r="O4009" i="11"/>
  <c r="U4009" i="11" s="1"/>
  <c r="S4009" i="11" s="1"/>
  <c r="O4010" i="11"/>
  <c r="U4010" i="11" s="1"/>
  <c r="S4010" i="11" s="1"/>
  <c r="O4011" i="11"/>
  <c r="U4011" i="11" s="1"/>
  <c r="S4011" i="11" s="1"/>
  <c r="O4012" i="11"/>
  <c r="U4012" i="11" s="1"/>
  <c r="S4012" i="11" s="1"/>
  <c r="O4013" i="11"/>
  <c r="U4013" i="11" s="1"/>
  <c r="S4013" i="11" s="1"/>
  <c r="O4014" i="11"/>
  <c r="U4014" i="11" s="1"/>
  <c r="S4014" i="11" s="1"/>
  <c r="O4015" i="11"/>
  <c r="U4015" i="11" s="1"/>
  <c r="S4015" i="11" s="1"/>
  <c r="O4016" i="11"/>
  <c r="U4016" i="11" s="1"/>
  <c r="S4016" i="11" s="1"/>
  <c r="O4017" i="11"/>
  <c r="U4017" i="11" s="1"/>
  <c r="S4017" i="11" s="1"/>
  <c r="O4018" i="11"/>
  <c r="U4018" i="11" s="1"/>
  <c r="S4018" i="11" s="1"/>
  <c r="O4019" i="11"/>
  <c r="U4019" i="11" s="1"/>
  <c r="S4019" i="11" s="1"/>
  <c r="O4020" i="11"/>
  <c r="U4020" i="11" s="1"/>
  <c r="S4020" i="11" s="1"/>
  <c r="O4021" i="11"/>
  <c r="U4021" i="11" s="1"/>
  <c r="S4021" i="11" s="1"/>
  <c r="O4022" i="11"/>
  <c r="U4022" i="11" s="1"/>
  <c r="S4022" i="11" s="1"/>
  <c r="O4023" i="11"/>
  <c r="U4023" i="11" s="1"/>
  <c r="S4023" i="11" s="1"/>
  <c r="O4024" i="11"/>
  <c r="U4024" i="11" s="1"/>
  <c r="S4024" i="11" s="1"/>
  <c r="O4025" i="11"/>
  <c r="U4025" i="11" s="1"/>
  <c r="S4025" i="11"/>
  <c r="O4026" i="11"/>
  <c r="U4026" i="11"/>
  <c r="S4026" i="11" s="1"/>
  <c r="O4027" i="11"/>
  <c r="U4027" i="11" s="1"/>
  <c r="S4027" i="11" s="1"/>
  <c r="O4028" i="11"/>
  <c r="U4028" i="11" s="1"/>
  <c r="S4028" i="11" s="1"/>
  <c r="O4029" i="11"/>
  <c r="U4029" i="11" s="1"/>
  <c r="S4029" i="11" s="1"/>
  <c r="O4030" i="11"/>
  <c r="U4030" i="11"/>
  <c r="S4030" i="11" s="1"/>
  <c r="O4031" i="11"/>
  <c r="U4031" i="11" s="1"/>
  <c r="S4031" i="11" s="1"/>
  <c r="O4032" i="11"/>
  <c r="U4032" i="11" s="1"/>
  <c r="S4032" i="11" s="1"/>
  <c r="O4033" i="11"/>
  <c r="U4033" i="11" s="1"/>
  <c r="S4033" i="11" s="1"/>
  <c r="O4034" i="11"/>
  <c r="U4034" i="11"/>
  <c r="S4034" i="11"/>
  <c r="O4035" i="11"/>
  <c r="U4035" i="11" s="1"/>
  <c r="S4035" i="11" s="1"/>
  <c r="O4036" i="11"/>
  <c r="U4036" i="11" s="1"/>
  <c r="S4036" i="11" s="1"/>
  <c r="O4037" i="11"/>
  <c r="U4037" i="11" s="1"/>
  <c r="S4037" i="11"/>
  <c r="O4038" i="11"/>
  <c r="U4038" i="11" s="1"/>
  <c r="S4038" i="11" s="1"/>
  <c r="O4039" i="11"/>
  <c r="U4039" i="11" s="1"/>
  <c r="S4039" i="11" s="1"/>
  <c r="O4040" i="11"/>
  <c r="U4040" i="11" s="1"/>
  <c r="S4040" i="11" s="1"/>
  <c r="O4041" i="11"/>
  <c r="U4041" i="11" s="1"/>
  <c r="S4041" i="11"/>
  <c r="O4042" i="11"/>
  <c r="U4042" i="11" s="1"/>
  <c r="S4042" i="11" s="1"/>
  <c r="O4043" i="11"/>
  <c r="U4043" i="11" s="1"/>
  <c r="S4043" i="11" s="1"/>
  <c r="O4044" i="11"/>
  <c r="U4044" i="11" s="1"/>
  <c r="S4044" i="11" s="1"/>
  <c r="O4045" i="11"/>
  <c r="U4045" i="11" s="1"/>
  <c r="S4045" i="11" s="1"/>
  <c r="O4046" i="11"/>
  <c r="U4046" i="11"/>
  <c r="S4046" i="11" s="1"/>
  <c r="O4047" i="11"/>
  <c r="U4047" i="11" s="1"/>
  <c r="S4047" i="11"/>
  <c r="O4048" i="11"/>
  <c r="U4048" i="11"/>
  <c r="S4048" i="11" s="1"/>
  <c r="O4049" i="11"/>
  <c r="U4049" i="11" s="1"/>
  <c r="S4049" i="11" s="1"/>
  <c r="O4050" i="11"/>
  <c r="U4050" i="11" s="1"/>
  <c r="S4050" i="11" s="1"/>
  <c r="O4051" i="11"/>
  <c r="U4051" i="11" s="1"/>
  <c r="S4051" i="11" s="1"/>
  <c r="O4052" i="11"/>
  <c r="U4052" i="11"/>
  <c r="S4052" i="11" s="1"/>
  <c r="O4053" i="11"/>
  <c r="U4053" i="11" s="1"/>
  <c r="S4053" i="11" s="1"/>
  <c r="O4054" i="11"/>
  <c r="U4054" i="11" s="1"/>
  <c r="S4054" i="11" s="1"/>
  <c r="O4055" i="11"/>
  <c r="U4055" i="11" s="1"/>
  <c r="S4055" i="11" s="1"/>
  <c r="O4056" i="11"/>
  <c r="U4056" i="11" s="1"/>
  <c r="S4056" i="11" s="1"/>
  <c r="O4057" i="11"/>
  <c r="U4057" i="11" s="1"/>
  <c r="S4057" i="11" s="1"/>
  <c r="O4058" i="11"/>
  <c r="U4058" i="11" s="1"/>
  <c r="S4058" i="11" s="1"/>
  <c r="O4059" i="11"/>
  <c r="U4059" i="11" s="1"/>
  <c r="S4059" i="11" s="1"/>
  <c r="O4060" i="11"/>
  <c r="U4060" i="11"/>
  <c r="S4060" i="11" s="1"/>
  <c r="O4061" i="11"/>
  <c r="U4061" i="11" s="1"/>
  <c r="S4061" i="11" s="1"/>
  <c r="O4062" i="11"/>
  <c r="U4062" i="11" s="1"/>
  <c r="S4062" i="11" s="1"/>
  <c r="O4063" i="11"/>
  <c r="U4063" i="11" s="1"/>
  <c r="S4063" i="11" s="1"/>
  <c r="O4064" i="11"/>
  <c r="U4064" i="11" s="1"/>
  <c r="S4064" i="11" s="1"/>
  <c r="O4065" i="11"/>
  <c r="U4065" i="11" s="1"/>
  <c r="S4065" i="11" s="1"/>
  <c r="O4066" i="11"/>
  <c r="U4066" i="11" s="1"/>
  <c r="S4066" i="11" s="1"/>
  <c r="O4067" i="11"/>
  <c r="U4067" i="11" s="1"/>
  <c r="S4067" i="11" s="1"/>
  <c r="O4068" i="11"/>
  <c r="U4068" i="11" s="1"/>
  <c r="S4068" i="11" s="1"/>
  <c r="O4069" i="11"/>
  <c r="U4069" i="11" s="1"/>
  <c r="S4069" i="11"/>
  <c r="O4070" i="11"/>
  <c r="U4070" i="11" s="1"/>
  <c r="S4070" i="11" s="1"/>
  <c r="O4071" i="11"/>
  <c r="U4071" i="11" s="1"/>
  <c r="S4071" i="11" s="1"/>
  <c r="O4072" i="11"/>
  <c r="U4072" i="11"/>
  <c r="S4072" i="11" s="1"/>
  <c r="O4073" i="11"/>
  <c r="U4073" i="11" s="1"/>
  <c r="S4073" i="11"/>
  <c r="O4074" i="11"/>
  <c r="U4074" i="11" s="1"/>
  <c r="S4074" i="11" s="1"/>
  <c r="O4075" i="11"/>
  <c r="U4075" i="11" s="1"/>
  <c r="S4075" i="11" s="1"/>
  <c r="O4076" i="11"/>
  <c r="U4076" i="11" s="1"/>
  <c r="S4076" i="11" s="1"/>
  <c r="O4077" i="11"/>
  <c r="U4077" i="11" s="1"/>
  <c r="S4077" i="11"/>
  <c r="O4078" i="11"/>
  <c r="U4078" i="11" s="1"/>
  <c r="S4078" i="11"/>
  <c r="O4079" i="11"/>
  <c r="U4079" i="11" s="1"/>
  <c r="S4079" i="11" s="1"/>
  <c r="O4080" i="11"/>
  <c r="U4080" i="11" s="1"/>
  <c r="S4080" i="11" s="1"/>
  <c r="O4081" i="11"/>
  <c r="U4081" i="11" s="1"/>
  <c r="S4081" i="11" s="1"/>
  <c r="O4082" i="11"/>
  <c r="U4082" i="11" s="1"/>
  <c r="S4082" i="11" s="1"/>
  <c r="O4083" i="11"/>
  <c r="U4083" i="11" s="1"/>
  <c r="S4083" i="11" s="1"/>
  <c r="O4084" i="11"/>
  <c r="U4084" i="11" s="1"/>
  <c r="S4084" i="11" s="1"/>
  <c r="O4085" i="11"/>
  <c r="U4085" i="11" s="1"/>
  <c r="S4085" i="11" s="1"/>
  <c r="O4086" i="11"/>
  <c r="U4086" i="11" s="1"/>
  <c r="S4086" i="11" s="1"/>
  <c r="O4087" i="11"/>
  <c r="U4087" i="11" s="1"/>
  <c r="S4087" i="11" s="1"/>
  <c r="O4088" i="11"/>
  <c r="U4088" i="11"/>
  <c r="S4088" i="11" s="1"/>
  <c r="O4089" i="11"/>
  <c r="U4089" i="11" s="1"/>
  <c r="S4089" i="11" s="1"/>
  <c r="O4090" i="11"/>
  <c r="U4090" i="11" s="1"/>
  <c r="S4090" i="11" s="1"/>
  <c r="O4091" i="11"/>
  <c r="U4091" i="11" s="1"/>
  <c r="S4091" i="11" s="1"/>
  <c r="O4092" i="11"/>
  <c r="U4092" i="11" s="1"/>
  <c r="S4092" i="11" s="1"/>
  <c r="O4093" i="11"/>
  <c r="U4093" i="11" s="1"/>
  <c r="S4093" i="11" s="1"/>
  <c r="O4094" i="11"/>
  <c r="U4094" i="11" s="1"/>
  <c r="S4094" i="11" s="1"/>
  <c r="O4095" i="11"/>
  <c r="U4095" i="11" s="1"/>
  <c r="S4095" i="11" s="1"/>
  <c r="O4096" i="11"/>
  <c r="U4096" i="11" s="1"/>
  <c r="S4096" i="11" s="1"/>
  <c r="O4097" i="11"/>
  <c r="U4097" i="11" s="1"/>
  <c r="S4097" i="11" s="1"/>
  <c r="O4098" i="11"/>
  <c r="U4098" i="11" s="1"/>
  <c r="S4098" i="11" s="1"/>
  <c r="O4099" i="11"/>
  <c r="U4099" i="11" s="1"/>
  <c r="S4099" i="11" s="1"/>
  <c r="O4100" i="11"/>
  <c r="U4100" i="11" s="1"/>
  <c r="S4100" i="11" s="1"/>
  <c r="O4101" i="11"/>
  <c r="U4101" i="11" s="1"/>
  <c r="S4101" i="11" s="1"/>
  <c r="O4102" i="11"/>
  <c r="U4102" i="11" s="1"/>
  <c r="S4102" i="11" s="1"/>
  <c r="O4103" i="11"/>
  <c r="U4103" i="11" s="1"/>
  <c r="S4103" i="11" s="1"/>
  <c r="O4104" i="11"/>
  <c r="U4104" i="11" s="1"/>
  <c r="S4104" i="11" s="1"/>
  <c r="O4105" i="11"/>
  <c r="U4105" i="11" s="1"/>
  <c r="S4105" i="11" s="1"/>
  <c r="O4106" i="11"/>
  <c r="U4106" i="11" s="1"/>
  <c r="S4106" i="11" s="1"/>
  <c r="O4107" i="11"/>
  <c r="U4107" i="11" s="1"/>
  <c r="S4107" i="11" s="1"/>
  <c r="O4108" i="11"/>
  <c r="U4108" i="11" s="1"/>
  <c r="S4108" i="11" s="1"/>
  <c r="O4109" i="11"/>
  <c r="U4109" i="11" s="1"/>
  <c r="S4109" i="11" s="1"/>
  <c r="O4110" i="11"/>
  <c r="U4110" i="11" s="1"/>
  <c r="S4110" i="11" s="1"/>
  <c r="O4111" i="11"/>
  <c r="U4111" i="11" s="1"/>
  <c r="S4111" i="11" s="1"/>
  <c r="O4112" i="11"/>
  <c r="U4112" i="11" s="1"/>
  <c r="S4112" i="11" s="1"/>
  <c r="O4113" i="11"/>
  <c r="U4113" i="11" s="1"/>
  <c r="S4113" i="11" s="1"/>
  <c r="O4114" i="11"/>
  <c r="U4114" i="11" s="1"/>
  <c r="S4114" i="11" s="1"/>
  <c r="O4115" i="11"/>
  <c r="U4115" i="11" s="1"/>
  <c r="S4115" i="11" s="1"/>
  <c r="O4116" i="11"/>
  <c r="U4116" i="11" s="1"/>
  <c r="S4116" i="11" s="1"/>
  <c r="O4117" i="11"/>
  <c r="U4117" i="11" s="1"/>
  <c r="S4117" i="11"/>
  <c r="O4118" i="11"/>
  <c r="U4118" i="11" s="1"/>
  <c r="S4118" i="11" s="1"/>
  <c r="O4119" i="11"/>
  <c r="U4119" i="11" s="1"/>
  <c r="S4119" i="11" s="1"/>
  <c r="O4120" i="11"/>
  <c r="U4120" i="11" s="1"/>
  <c r="S4120" i="11" s="1"/>
  <c r="O4121" i="11"/>
  <c r="U4121" i="11" s="1"/>
  <c r="S4121" i="11" s="1"/>
  <c r="O4122" i="11"/>
  <c r="U4122" i="11"/>
  <c r="S4122" i="11" s="1"/>
  <c r="O4123" i="11"/>
  <c r="U4123" i="11" s="1"/>
  <c r="S4123" i="11" s="1"/>
  <c r="O4124" i="11"/>
  <c r="U4124" i="11" s="1"/>
  <c r="S4124" i="11" s="1"/>
  <c r="O4125" i="11"/>
  <c r="U4125" i="11" s="1"/>
  <c r="S4125" i="11"/>
  <c r="O4126" i="11"/>
  <c r="U4126" i="11" s="1"/>
  <c r="S4126" i="11" s="1"/>
  <c r="O4127" i="11"/>
  <c r="U4127" i="11" s="1"/>
  <c r="S4127" i="11" s="1"/>
  <c r="O4128" i="11"/>
  <c r="U4128" i="11" s="1"/>
  <c r="S4128" i="11" s="1"/>
  <c r="O4129" i="11"/>
  <c r="U4129" i="11" s="1"/>
  <c r="S4129" i="11" s="1"/>
  <c r="O4130" i="11"/>
  <c r="U4130" i="11" s="1"/>
  <c r="S4130" i="11" s="1"/>
  <c r="O4131" i="11"/>
  <c r="U4131" i="11" s="1"/>
  <c r="S4131" i="11" s="1"/>
  <c r="O4132" i="11"/>
  <c r="U4132" i="11" s="1"/>
  <c r="S4132" i="11" s="1"/>
  <c r="O4133" i="11"/>
  <c r="U4133" i="11" s="1"/>
  <c r="S4133" i="11"/>
  <c r="O4134" i="11"/>
  <c r="U4134" i="11" s="1"/>
  <c r="S4134" i="11" s="1"/>
  <c r="O4135" i="11"/>
  <c r="U4135" i="11" s="1"/>
  <c r="S4135" i="11" s="1"/>
  <c r="O4136" i="11"/>
  <c r="U4136" i="11"/>
  <c r="S4136" i="11" s="1"/>
  <c r="O4137" i="11"/>
  <c r="U4137" i="11" s="1"/>
  <c r="S4137" i="11" s="1"/>
  <c r="O4138" i="11"/>
  <c r="U4138" i="11" s="1"/>
  <c r="S4138" i="11" s="1"/>
  <c r="O4139" i="11"/>
  <c r="U4139" i="11" s="1"/>
  <c r="S4139" i="11" s="1"/>
  <c r="O4140" i="11"/>
  <c r="U4140" i="11"/>
  <c r="S4140" i="11" s="1"/>
  <c r="O4141" i="11"/>
  <c r="U4141" i="11" s="1"/>
  <c r="S4141" i="11"/>
  <c r="O4142" i="11"/>
  <c r="U4142" i="11" s="1"/>
  <c r="S4142" i="11" s="1"/>
  <c r="O4143" i="11"/>
  <c r="U4143" i="11" s="1"/>
  <c r="S4143" i="11" s="1"/>
  <c r="O4144" i="11"/>
  <c r="U4144" i="11" s="1"/>
  <c r="S4144" i="11" s="1"/>
  <c r="O4145" i="11"/>
  <c r="U4145" i="11" s="1"/>
  <c r="S4145" i="11" s="1"/>
  <c r="O4146" i="11"/>
  <c r="U4146" i="11" s="1"/>
  <c r="S4146" i="11" s="1"/>
  <c r="O4147" i="11"/>
  <c r="U4147" i="11" s="1"/>
  <c r="S4147" i="11" s="1"/>
  <c r="O4148" i="11"/>
  <c r="U4148" i="11" s="1"/>
  <c r="S4148" i="11" s="1"/>
  <c r="O4149" i="11"/>
  <c r="U4149" i="11" s="1"/>
  <c r="S4149" i="11" s="1"/>
  <c r="O4150" i="11"/>
  <c r="U4150" i="11" s="1"/>
  <c r="S4150" i="11" s="1"/>
  <c r="O4151" i="11"/>
  <c r="U4151" i="11" s="1"/>
  <c r="S4151" i="11" s="1"/>
  <c r="O4152" i="11"/>
  <c r="U4152" i="11" s="1"/>
  <c r="S4152" i="11" s="1"/>
  <c r="O4153" i="11"/>
  <c r="U4153" i="11" s="1"/>
  <c r="S4153" i="11" s="1"/>
  <c r="O4154" i="11"/>
  <c r="U4154" i="11"/>
  <c r="S4154" i="11"/>
  <c r="O4155" i="11"/>
  <c r="U4155" i="11" s="1"/>
  <c r="S4155" i="11" s="1"/>
  <c r="O4156" i="11"/>
  <c r="U4156" i="11" s="1"/>
  <c r="S4156" i="11" s="1"/>
  <c r="O4157" i="11"/>
  <c r="U4157" i="11" s="1"/>
  <c r="S4157" i="11" s="1"/>
  <c r="O4158" i="11"/>
  <c r="U4158" i="11" s="1"/>
  <c r="O4159" i="11"/>
  <c r="U4159" i="11" s="1"/>
  <c r="S4159" i="11" s="1"/>
  <c r="O4160" i="11"/>
  <c r="U4160" i="11" s="1"/>
  <c r="S4160" i="11" s="1"/>
  <c r="O4161" i="11"/>
  <c r="U4161" i="11" s="1"/>
  <c r="S4161" i="11" s="1"/>
  <c r="O4162" i="11"/>
  <c r="U4162" i="11" s="1"/>
  <c r="S4162" i="11" s="1"/>
  <c r="O4163" i="11"/>
  <c r="U4163" i="11" s="1"/>
  <c r="S4163" i="11" s="1"/>
  <c r="O4164" i="11"/>
  <c r="U4164" i="11" s="1"/>
  <c r="S4164" i="11" s="1"/>
  <c r="O4165" i="11"/>
  <c r="U4165" i="11" s="1"/>
  <c r="S4165" i="11" s="1"/>
  <c r="O4166" i="11"/>
  <c r="U4166" i="11" s="1"/>
  <c r="S4166" i="11" s="1"/>
  <c r="O4167" i="11"/>
  <c r="U4167" i="11" s="1"/>
  <c r="S4167" i="11" s="1"/>
  <c r="O4168" i="11"/>
  <c r="U4168" i="11" s="1"/>
  <c r="S4168" i="11" s="1"/>
  <c r="O4169" i="11"/>
  <c r="U4169" i="11" s="1"/>
  <c r="S4169" i="11"/>
  <c r="O4170" i="11"/>
  <c r="U4170" i="11" s="1"/>
  <c r="S4170" i="11" s="1"/>
  <c r="O4171" i="11"/>
  <c r="U4171" i="11" s="1"/>
  <c r="S4171" i="11" s="1"/>
  <c r="O4172" i="11"/>
  <c r="U4172" i="11" s="1"/>
  <c r="S4172" i="11" s="1"/>
  <c r="O4173" i="11"/>
  <c r="U4173" i="11" s="1"/>
  <c r="S4173" i="11" s="1"/>
  <c r="O4174" i="11"/>
  <c r="U4174" i="11" s="1"/>
  <c r="S4174" i="11" s="1"/>
  <c r="O4175" i="11"/>
  <c r="U4175" i="11" s="1"/>
  <c r="S4175" i="11" s="1"/>
  <c r="O4176" i="11"/>
  <c r="U4176" i="11" s="1"/>
  <c r="S4176" i="11" s="1"/>
  <c r="O4177" i="11"/>
  <c r="U4177" i="11" s="1"/>
  <c r="S4177" i="11" s="1"/>
  <c r="O4178" i="11"/>
  <c r="U4178" i="11" s="1"/>
  <c r="S4178" i="11" s="1"/>
  <c r="O4179" i="11"/>
  <c r="U4179" i="11" s="1"/>
  <c r="S4179" i="11" s="1"/>
  <c r="O4180" i="11"/>
  <c r="U4180" i="11" s="1"/>
  <c r="S4180" i="11" s="1"/>
  <c r="O4181" i="11"/>
  <c r="U4181" i="11" s="1"/>
  <c r="S4181" i="11" s="1"/>
  <c r="O4182" i="11"/>
  <c r="U4182" i="11" s="1"/>
  <c r="S4182" i="11" s="1"/>
  <c r="O4183" i="11"/>
  <c r="U4183" i="11" s="1"/>
  <c r="S4183" i="11" s="1"/>
  <c r="O4184" i="11"/>
  <c r="U4184" i="11" s="1"/>
  <c r="S4184" i="11" s="1"/>
  <c r="O4185" i="11"/>
  <c r="U4185" i="11" s="1"/>
  <c r="S4185" i="11" s="1"/>
  <c r="O4186" i="11"/>
  <c r="U4186" i="11" s="1"/>
  <c r="S4186" i="11" s="1"/>
  <c r="O4187" i="11"/>
  <c r="U4187" i="11" s="1"/>
  <c r="S4187" i="11" s="1"/>
  <c r="O4188" i="11"/>
  <c r="U4188" i="11" s="1"/>
  <c r="S4188" i="11" s="1"/>
  <c r="O4189" i="11"/>
  <c r="U4189" i="11" s="1"/>
  <c r="S4189" i="11" s="1"/>
  <c r="O4190" i="11"/>
  <c r="U4190" i="11" s="1"/>
  <c r="S4190" i="11" s="1"/>
  <c r="O4191" i="11"/>
  <c r="U4191" i="11" s="1"/>
  <c r="S4191" i="11" s="1"/>
  <c r="O4192" i="11"/>
  <c r="U4192" i="11" s="1"/>
  <c r="S4192" i="11" s="1"/>
  <c r="O4193" i="11"/>
  <c r="U4193" i="11" s="1"/>
  <c r="S4193" i="11" s="1"/>
  <c r="O4194" i="11"/>
  <c r="U4194" i="11" s="1"/>
  <c r="S4194" i="11" s="1"/>
  <c r="O4195" i="11"/>
  <c r="U4195" i="11" s="1"/>
  <c r="S4195" i="11" s="1"/>
  <c r="O4196" i="11"/>
  <c r="U4196" i="11" s="1"/>
  <c r="S4196" i="11" s="1"/>
  <c r="O4197" i="11"/>
  <c r="U4197" i="11" s="1"/>
  <c r="S4197" i="11" s="1"/>
  <c r="O4198" i="11"/>
  <c r="U4198" i="11" s="1"/>
  <c r="S4198" i="11" s="1"/>
  <c r="O4199" i="11"/>
  <c r="U4199" i="11" s="1"/>
  <c r="S4199" i="11" s="1"/>
  <c r="O4200" i="11"/>
  <c r="U4200" i="11" s="1"/>
  <c r="S4200" i="11" s="1"/>
  <c r="O4201" i="11"/>
  <c r="U4201" i="11" s="1"/>
  <c r="S4201" i="11" s="1"/>
  <c r="O4202" i="11"/>
  <c r="U4202" i="11"/>
  <c r="S4202" i="11" s="1"/>
  <c r="O4203" i="11"/>
  <c r="U4203" i="11" s="1"/>
  <c r="S4203" i="11" s="1"/>
  <c r="O4204" i="11"/>
  <c r="U4204" i="11" s="1"/>
  <c r="S4204" i="11" s="1"/>
  <c r="O4205" i="11"/>
  <c r="U4205" i="11" s="1"/>
  <c r="S4205" i="11" s="1"/>
  <c r="O4206" i="11"/>
  <c r="U4206" i="11" s="1"/>
  <c r="S4206" i="11" s="1"/>
  <c r="O4207" i="11"/>
  <c r="U4207" i="11" s="1"/>
  <c r="S4207" i="11" s="1"/>
  <c r="O4208" i="11"/>
  <c r="U4208" i="11" s="1"/>
  <c r="S4208" i="11" s="1"/>
  <c r="O4209" i="11"/>
  <c r="U4209" i="11" s="1"/>
  <c r="S4209" i="11"/>
  <c r="O4210" i="11"/>
  <c r="U4210" i="11" s="1"/>
  <c r="S4210" i="11" s="1"/>
  <c r="O4211" i="11"/>
  <c r="U4211" i="11" s="1"/>
  <c r="S4211" i="11" s="1"/>
  <c r="O4212" i="11"/>
  <c r="U4212" i="11" s="1"/>
  <c r="S4212" i="11" s="1"/>
  <c r="O4213" i="11"/>
  <c r="U4213" i="11" s="1"/>
  <c r="S4213" i="11" s="1"/>
  <c r="O4214" i="11"/>
  <c r="U4214" i="11" s="1"/>
  <c r="S4214" i="11" s="1"/>
  <c r="O4215" i="11"/>
  <c r="U4215" i="11" s="1"/>
  <c r="S4215" i="11" s="1"/>
  <c r="O4216" i="11"/>
  <c r="U4216" i="11" s="1"/>
  <c r="S4216" i="11" s="1"/>
  <c r="O4217" i="11"/>
  <c r="U4217" i="11" s="1"/>
  <c r="S4217" i="11" s="1"/>
  <c r="O4218" i="11"/>
  <c r="U4218" i="11" s="1"/>
  <c r="S4218" i="11" s="1"/>
  <c r="O4219" i="11"/>
  <c r="U4219" i="11" s="1"/>
  <c r="S4219" i="11"/>
  <c r="O4220" i="11"/>
  <c r="U4220" i="11" s="1"/>
  <c r="S4220" i="11" s="1"/>
  <c r="O4221" i="11"/>
  <c r="U4221" i="11" s="1"/>
  <c r="S4221" i="11"/>
  <c r="O4222" i="11"/>
  <c r="U4222" i="11" s="1"/>
  <c r="S4222" i="11" s="1"/>
  <c r="O4223" i="11"/>
  <c r="U4223" i="11" s="1"/>
  <c r="S4223" i="11" s="1"/>
  <c r="O4224" i="11"/>
  <c r="U4224" i="11" s="1"/>
  <c r="S4224" i="11" s="1"/>
  <c r="O4225" i="11"/>
  <c r="U4225" i="11" s="1"/>
  <c r="S4225" i="11" s="1"/>
  <c r="O4226" i="11"/>
  <c r="U4226" i="11" s="1"/>
  <c r="S4226" i="11" s="1"/>
  <c r="O4227" i="11"/>
  <c r="U4227" i="11" s="1"/>
  <c r="S4227" i="11" s="1"/>
  <c r="O4228" i="11"/>
  <c r="U4228" i="11" s="1"/>
  <c r="S4228" i="11" s="1"/>
  <c r="O4229" i="11"/>
  <c r="U4229" i="11" s="1"/>
  <c r="S4229" i="11" s="1"/>
  <c r="O4230" i="11"/>
  <c r="U4230" i="11" s="1"/>
  <c r="S4230" i="11" s="1"/>
  <c r="O4231" i="11"/>
  <c r="U4231" i="11" s="1"/>
  <c r="S4231" i="11" s="1"/>
  <c r="O4232" i="11"/>
  <c r="U4232" i="11" s="1"/>
  <c r="S4232" i="11" s="1"/>
  <c r="O4233" i="11"/>
  <c r="U4233" i="11" s="1"/>
  <c r="S4233" i="11" s="1"/>
  <c r="O4234" i="11"/>
  <c r="U4234" i="11" s="1"/>
  <c r="S4234" i="11" s="1"/>
  <c r="O4235" i="11"/>
  <c r="U4235" i="11" s="1"/>
  <c r="S4235" i="11" s="1"/>
  <c r="O4236" i="11"/>
  <c r="U4236" i="11" s="1"/>
  <c r="S4236" i="11" s="1"/>
  <c r="O4237" i="11"/>
  <c r="U4237" i="11" s="1"/>
  <c r="S4237" i="11" s="1"/>
  <c r="O4238" i="11"/>
  <c r="U4238" i="11"/>
  <c r="S4238" i="11" s="1"/>
  <c r="O4239" i="11"/>
  <c r="U4239" i="11" s="1"/>
  <c r="S4239" i="11"/>
  <c r="O4240" i="11"/>
  <c r="U4240" i="11" s="1"/>
  <c r="S4240" i="11" s="1"/>
  <c r="O4241" i="11"/>
  <c r="U4241" i="11" s="1"/>
  <c r="S4241" i="11" s="1"/>
  <c r="O4242" i="11"/>
  <c r="U4242" i="11" s="1"/>
  <c r="S4242" i="11" s="1"/>
  <c r="O4243" i="11"/>
  <c r="U4243" i="11" s="1"/>
  <c r="S4243" i="11" s="1"/>
  <c r="O4244" i="11"/>
  <c r="U4244" i="11" s="1"/>
  <c r="S4244" i="11" s="1"/>
  <c r="O4245" i="11"/>
  <c r="U4245" i="11" s="1"/>
  <c r="S4245" i="11" s="1"/>
  <c r="O4246" i="11"/>
  <c r="U4246" i="11" s="1"/>
  <c r="S4246" i="11" s="1"/>
  <c r="O4247" i="11"/>
  <c r="U4247" i="11" s="1"/>
  <c r="S4247" i="11" s="1"/>
  <c r="O4248" i="11"/>
  <c r="U4248" i="11" s="1"/>
  <c r="S4248" i="11" s="1"/>
  <c r="O4249" i="11"/>
  <c r="U4249" i="11" s="1"/>
  <c r="S4249" i="11" s="1"/>
  <c r="O4250" i="11"/>
  <c r="U4250" i="11" s="1"/>
  <c r="S4250" i="11" s="1"/>
  <c r="O4251" i="11"/>
  <c r="U4251" i="11" s="1"/>
  <c r="S4251" i="11" s="1"/>
  <c r="O4252" i="11"/>
  <c r="U4252" i="11" s="1"/>
  <c r="S4252" i="11" s="1"/>
  <c r="O4253" i="11"/>
  <c r="U4253" i="11" s="1"/>
  <c r="S4253" i="11" s="1"/>
  <c r="O4254" i="11"/>
  <c r="U4254" i="11" s="1"/>
  <c r="S4254" i="11" s="1"/>
  <c r="O4255" i="11"/>
  <c r="U4255" i="11" s="1"/>
  <c r="S4255" i="11" s="1"/>
  <c r="O4256" i="11"/>
  <c r="U4256" i="11" s="1"/>
  <c r="S4256" i="11" s="1"/>
  <c r="O4257" i="11"/>
  <c r="U4257" i="11" s="1"/>
  <c r="S4257" i="11"/>
  <c r="O4258" i="11"/>
  <c r="U4258" i="11" s="1"/>
  <c r="S4258" i="11" s="1"/>
  <c r="O4259" i="11"/>
  <c r="U4259" i="11" s="1"/>
  <c r="S4259" i="11" s="1"/>
  <c r="O4260" i="11"/>
  <c r="U4260" i="11" s="1"/>
  <c r="S4260" i="11" s="1"/>
  <c r="O4261" i="11"/>
  <c r="U4261" i="11" s="1"/>
  <c r="S4261" i="11"/>
  <c r="O4262" i="11"/>
  <c r="U4262" i="11" s="1"/>
  <c r="S4262" i="11" s="1"/>
  <c r="O4263" i="11"/>
  <c r="U4263" i="11" s="1"/>
  <c r="S4263" i="11"/>
  <c r="O4264" i="11"/>
  <c r="U4264" i="11" s="1"/>
  <c r="S4264" i="11" s="1"/>
  <c r="O4265" i="11"/>
  <c r="U4265" i="11" s="1"/>
  <c r="S4265" i="11" s="1"/>
  <c r="O4266" i="11"/>
  <c r="U4266" i="11" s="1"/>
  <c r="S4266" i="11" s="1"/>
  <c r="O4267" i="11"/>
  <c r="U4267" i="11" s="1"/>
  <c r="S4267" i="11" s="1"/>
  <c r="O4268" i="11"/>
  <c r="U4268" i="11" s="1"/>
  <c r="S4268" i="11" s="1"/>
  <c r="O4269" i="11"/>
  <c r="U4269" i="11" s="1"/>
  <c r="S4269" i="11" s="1"/>
  <c r="O4270" i="11"/>
  <c r="U4270" i="11" s="1"/>
  <c r="S4270" i="11" s="1"/>
  <c r="O4271" i="11"/>
  <c r="U4271" i="11" s="1"/>
  <c r="S4271" i="11" s="1"/>
  <c r="O4272" i="11"/>
  <c r="U4272" i="11"/>
  <c r="S4272" i="11" s="1"/>
  <c r="O4273" i="11"/>
  <c r="U4273" i="11" s="1"/>
  <c r="S4273" i="11" s="1"/>
  <c r="O4274" i="11"/>
  <c r="U4274" i="11" s="1"/>
  <c r="S4274" i="11" s="1"/>
  <c r="O4275" i="11"/>
  <c r="U4275" i="11" s="1"/>
  <c r="S4275" i="11" s="1"/>
  <c r="O4276" i="11"/>
  <c r="U4276" i="11" s="1"/>
  <c r="S4276" i="11" s="1"/>
  <c r="O4277" i="11"/>
  <c r="U4277" i="11" s="1"/>
  <c r="S4277" i="11" s="1"/>
  <c r="O4278" i="11"/>
  <c r="U4278" i="11" s="1"/>
  <c r="S4278" i="11" s="1"/>
  <c r="O4279" i="11"/>
  <c r="U4279" i="11" s="1"/>
  <c r="S4279" i="11" s="1"/>
  <c r="O4280" i="11"/>
  <c r="U4280" i="11" s="1"/>
  <c r="S4280" i="11" s="1"/>
  <c r="O4281" i="11"/>
  <c r="U4281" i="11" s="1"/>
  <c r="S4281" i="11" s="1"/>
  <c r="O4282" i="11"/>
  <c r="U4282" i="11" s="1"/>
  <c r="S4282" i="11" s="1"/>
  <c r="O4283" i="11"/>
  <c r="U4283" i="11" s="1"/>
  <c r="S4283" i="11" s="1"/>
  <c r="O4284" i="11"/>
  <c r="U4284" i="11" s="1"/>
  <c r="S4284" i="11" s="1"/>
  <c r="O4285" i="11"/>
  <c r="U4285" i="11" s="1"/>
  <c r="S4285" i="11" s="1"/>
  <c r="O4286" i="11"/>
  <c r="U4286" i="11" s="1"/>
  <c r="S4286" i="11" s="1"/>
  <c r="O4287" i="11"/>
  <c r="U4287" i="11" s="1"/>
  <c r="S4287" i="11" s="1"/>
  <c r="O4288" i="11"/>
  <c r="U4288" i="11" s="1"/>
  <c r="S4288" i="11" s="1"/>
  <c r="O4289" i="11"/>
  <c r="U4289" i="11" s="1"/>
  <c r="S4289" i="11" s="1"/>
  <c r="O4290" i="11"/>
  <c r="U4290" i="11"/>
  <c r="S4290" i="11" s="1"/>
  <c r="O4291" i="11"/>
  <c r="U4291" i="11" s="1"/>
  <c r="S4291" i="11" s="1"/>
  <c r="O4292" i="11"/>
  <c r="U4292" i="11" s="1"/>
  <c r="S4292" i="11" s="1"/>
  <c r="O4293" i="11"/>
  <c r="U4293" i="11" s="1"/>
  <c r="S4293" i="11" s="1"/>
  <c r="O4294" i="11"/>
  <c r="U4294" i="11" s="1"/>
  <c r="S4294" i="11" s="1"/>
  <c r="O4295" i="11"/>
  <c r="U4295" i="11" s="1"/>
  <c r="S4295" i="11" s="1"/>
  <c r="O4296" i="11"/>
  <c r="U4296" i="11" s="1"/>
  <c r="S4296" i="11" s="1"/>
  <c r="O4297" i="11"/>
  <c r="U4297" i="11" s="1"/>
  <c r="S4297" i="11" s="1"/>
  <c r="O4298" i="11"/>
  <c r="U4298" i="11" s="1"/>
  <c r="S4298" i="11" s="1"/>
  <c r="O4299" i="11"/>
  <c r="U4299" i="11" s="1"/>
  <c r="S4299" i="11" s="1"/>
  <c r="O4300" i="11"/>
  <c r="U4300" i="11" s="1"/>
  <c r="S4300" i="11" s="1"/>
  <c r="O4301" i="11"/>
  <c r="U4301" i="11" s="1"/>
  <c r="S4301" i="11" s="1"/>
  <c r="O4302" i="11"/>
  <c r="U4302" i="11" s="1"/>
  <c r="S4302" i="11" s="1"/>
  <c r="O4303" i="11"/>
  <c r="U4303" i="11" s="1"/>
  <c r="S4303" i="11" s="1"/>
  <c r="O4304" i="11"/>
  <c r="U4304" i="11" s="1"/>
  <c r="S4304" i="11" s="1"/>
  <c r="O4305" i="11"/>
  <c r="U4305" i="11" s="1"/>
  <c r="S4305" i="11" s="1"/>
  <c r="O4306" i="11"/>
  <c r="U4306" i="11" s="1"/>
  <c r="S4306" i="11" s="1"/>
  <c r="O4307" i="11"/>
  <c r="U4307" i="11" s="1"/>
  <c r="S4307" i="11"/>
  <c r="O4308" i="11"/>
  <c r="U4308" i="11" s="1"/>
  <c r="S4308" i="11" s="1"/>
  <c r="O4309" i="11"/>
  <c r="U4309" i="11" s="1"/>
  <c r="S4309" i="11" s="1"/>
  <c r="O4310" i="11"/>
  <c r="U4310" i="11" s="1"/>
  <c r="S4310" i="11" s="1"/>
  <c r="O4311" i="11"/>
  <c r="U4311" i="11" s="1"/>
  <c r="S4311" i="11" s="1"/>
  <c r="O4312" i="11"/>
  <c r="U4312" i="11" s="1"/>
  <c r="S4312" i="11" s="1"/>
  <c r="O4313" i="11"/>
  <c r="U4313" i="11" s="1"/>
  <c r="S4313" i="11" s="1"/>
  <c r="O4314" i="11"/>
  <c r="U4314" i="11" s="1"/>
  <c r="S4314" i="11" s="1"/>
  <c r="O4315" i="11"/>
  <c r="U4315" i="11" s="1"/>
  <c r="S4315" i="11" s="1"/>
  <c r="O4316" i="11"/>
  <c r="U4316" i="11" s="1"/>
  <c r="S4316" i="11" s="1"/>
  <c r="O4317" i="11"/>
  <c r="U4317" i="11" s="1"/>
  <c r="S4317" i="11" s="1"/>
  <c r="O4318" i="11"/>
  <c r="U4318" i="11" s="1"/>
  <c r="S4318" i="11" s="1"/>
  <c r="O4319" i="11"/>
  <c r="U4319" i="11" s="1"/>
  <c r="S4319" i="11" s="1"/>
  <c r="O4320" i="11"/>
  <c r="U4320" i="11" s="1"/>
  <c r="S4320" i="11" s="1"/>
  <c r="O4321" i="11"/>
  <c r="U4321" i="11" s="1"/>
  <c r="S4321" i="11" s="1"/>
  <c r="O4322" i="11"/>
  <c r="U4322" i="11" s="1"/>
  <c r="S4322" i="11" s="1"/>
  <c r="O4323" i="11"/>
  <c r="U4323" i="11" s="1"/>
  <c r="S4323" i="11" s="1"/>
  <c r="O4324" i="11"/>
  <c r="U4324" i="11" s="1"/>
  <c r="S4324" i="11" s="1"/>
  <c r="O4325" i="11"/>
  <c r="U4325" i="11" s="1"/>
  <c r="S4325" i="11" s="1"/>
  <c r="O4326" i="11"/>
  <c r="U4326" i="11" s="1"/>
  <c r="S4326" i="11" s="1"/>
  <c r="O4327" i="11"/>
  <c r="U4327" i="11" s="1"/>
  <c r="S4327" i="11" s="1"/>
  <c r="O4328" i="11"/>
  <c r="U4328" i="11" s="1"/>
  <c r="S4328" i="11" s="1"/>
  <c r="O4329" i="11"/>
  <c r="U4329" i="11" s="1"/>
  <c r="S4329" i="11" s="1"/>
  <c r="O4330" i="11"/>
  <c r="U4330" i="11" s="1"/>
  <c r="S4330" i="11" s="1"/>
  <c r="O4331" i="11"/>
  <c r="U4331" i="11" s="1"/>
  <c r="S4331" i="11" s="1"/>
  <c r="O4332" i="11"/>
  <c r="U4332" i="11" s="1"/>
  <c r="S4332" i="11" s="1"/>
  <c r="O4333" i="11"/>
  <c r="U4333" i="11" s="1"/>
  <c r="S4333" i="11"/>
  <c r="O4334" i="11"/>
  <c r="U4334" i="11" s="1"/>
  <c r="S4334" i="11" s="1"/>
  <c r="O4335" i="11"/>
  <c r="U4335" i="11" s="1"/>
  <c r="S4335" i="11" s="1"/>
  <c r="O4336" i="11"/>
  <c r="U4336" i="11"/>
  <c r="S4336" i="11" s="1"/>
  <c r="O4337" i="11"/>
  <c r="U4337" i="11" s="1"/>
  <c r="S4337" i="11" s="1"/>
  <c r="O4338" i="11"/>
  <c r="U4338" i="11" s="1"/>
  <c r="S4338" i="11" s="1"/>
  <c r="O4339" i="11"/>
  <c r="U4339" i="11" s="1"/>
  <c r="S4339" i="11" s="1"/>
  <c r="O4340" i="11"/>
  <c r="U4340" i="11"/>
  <c r="S4340" i="11" s="1"/>
  <c r="O4341" i="11"/>
  <c r="U4341" i="11" s="1"/>
  <c r="S4341" i="11" s="1"/>
  <c r="O4342" i="11"/>
  <c r="U4342" i="11" s="1"/>
  <c r="S4342" i="11" s="1"/>
  <c r="O4343" i="11"/>
  <c r="U4343" i="11" s="1"/>
  <c r="S4343" i="11" s="1"/>
  <c r="O4344" i="11"/>
  <c r="U4344" i="11"/>
  <c r="S4344" i="11" s="1"/>
  <c r="O4345" i="11"/>
  <c r="U4345" i="11" s="1"/>
  <c r="S4345" i="11" s="1"/>
  <c r="O4346" i="11"/>
  <c r="U4346" i="11" s="1"/>
  <c r="S4346" i="11" s="1"/>
  <c r="O4347" i="11"/>
  <c r="U4347" i="11" s="1"/>
  <c r="S4347" i="11" s="1"/>
  <c r="O4348" i="11"/>
  <c r="U4348" i="11" s="1"/>
  <c r="S4348" i="11" s="1"/>
  <c r="O4349" i="11"/>
  <c r="U4349" i="11" s="1"/>
  <c r="S4349" i="11" s="1"/>
  <c r="O4350" i="11"/>
  <c r="U4350" i="11" s="1"/>
  <c r="S4350" i="11" s="1"/>
  <c r="O4351" i="11"/>
  <c r="U4351" i="11" s="1"/>
  <c r="S4351" i="11" s="1"/>
  <c r="O4352" i="11"/>
  <c r="U4352" i="11" s="1"/>
  <c r="S4352" i="11" s="1"/>
  <c r="O4353" i="11"/>
  <c r="U4353" i="11" s="1"/>
  <c r="S4353" i="11" s="1"/>
  <c r="O4354" i="11"/>
  <c r="U4354" i="11" s="1"/>
  <c r="S4354" i="11"/>
  <c r="O4355" i="11"/>
  <c r="U4355" i="11" s="1"/>
  <c r="S4355" i="11" s="1"/>
  <c r="O4356" i="11"/>
  <c r="U4356" i="11" s="1"/>
  <c r="S4356" i="11" s="1"/>
  <c r="O4357" i="11"/>
  <c r="U4357" i="11" s="1"/>
  <c r="S4357" i="11" s="1"/>
  <c r="O4358" i="11"/>
  <c r="U4358" i="11" s="1"/>
  <c r="S4358" i="11" s="1"/>
  <c r="O4359" i="11"/>
  <c r="U4359" i="11" s="1"/>
  <c r="S4359" i="11" s="1"/>
  <c r="O4360" i="11"/>
  <c r="U4360" i="11"/>
  <c r="S4360" i="11" s="1"/>
  <c r="O4361" i="11"/>
  <c r="U4361" i="11" s="1"/>
  <c r="S4361" i="11" s="1"/>
  <c r="O4362" i="11"/>
  <c r="U4362" i="11" s="1"/>
  <c r="S4362" i="11" s="1"/>
  <c r="O4363" i="11"/>
  <c r="U4363" i="11" s="1"/>
  <c r="S4363" i="11" s="1"/>
  <c r="O4364" i="11"/>
  <c r="U4364" i="11" s="1"/>
  <c r="S4364" i="11" s="1"/>
  <c r="O4365" i="11"/>
  <c r="U4365" i="11" s="1"/>
  <c r="S4365" i="11" s="1"/>
  <c r="O4366" i="11"/>
  <c r="U4366" i="11" s="1"/>
  <c r="S4366" i="11" s="1"/>
  <c r="O4367" i="11"/>
  <c r="U4367" i="11" s="1"/>
  <c r="S4367" i="11" s="1"/>
  <c r="O4368" i="11"/>
  <c r="U4368" i="11"/>
  <c r="S4368" i="11" s="1"/>
  <c r="O4369" i="11"/>
  <c r="U4369" i="11" s="1"/>
  <c r="S4369" i="11" s="1"/>
  <c r="O4370" i="11"/>
  <c r="U4370" i="11" s="1"/>
  <c r="S4370" i="11" s="1"/>
  <c r="O4371" i="11"/>
  <c r="U4371" i="11" s="1"/>
  <c r="S4371" i="11" s="1"/>
  <c r="O4372" i="11"/>
  <c r="U4372" i="11" s="1"/>
  <c r="S4372" i="11" s="1"/>
  <c r="O4373" i="11"/>
  <c r="U4373" i="11" s="1"/>
  <c r="S4373" i="11" s="1"/>
  <c r="O4374" i="11"/>
  <c r="U4374" i="11" s="1"/>
  <c r="S4374" i="11" s="1"/>
  <c r="O4375" i="11"/>
  <c r="U4375" i="11" s="1"/>
  <c r="S4375" i="11" s="1"/>
  <c r="O4376" i="11"/>
  <c r="U4376" i="11" s="1"/>
  <c r="S4376" i="11" s="1"/>
  <c r="O4377" i="11"/>
  <c r="U4377" i="11" s="1"/>
  <c r="S4377" i="11" s="1"/>
  <c r="O4378" i="11"/>
  <c r="U4378" i="11" s="1"/>
  <c r="S4378" i="11" s="1"/>
  <c r="O4379" i="11"/>
  <c r="U4379" i="11" s="1"/>
  <c r="S4379" i="11" s="1"/>
  <c r="O4380" i="11"/>
  <c r="U4380" i="11" s="1"/>
  <c r="S4380" i="11" s="1"/>
  <c r="O4381" i="11"/>
  <c r="U4381" i="11" s="1"/>
  <c r="S4381" i="11" s="1"/>
  <c r="O4382" i="11"/>
  <c r="U4382" i="11" s="1"/>
  <c r="S4382" i="11" s="1"/>
  <c r="O4383" i="11"/>
  <c r="U4383" i="11" s="1"/>
  <c r="S4383" i="11" s="1"/>
  <c r="O4384" i="11"/>
  <c r="U4384" i="11" s="1"/>
  <c r="S4384" i="11" s="1"/>
  <c r="O4385" i="11"/>
  <c r="U4385" i="11" s="1"/>
  <c r="S4385" i="11" s="1"/>
  <c r="O4386" i="11"/>
  <c r="U4386" i="11" s="1"/>
  <c r="S4386" i="11" s="1"/>
  <c r="O4387" i="11"/>
  <c r="U4387" i="11" s="1"/>
  <c r="S4387" i="11" s="1"/>
  <c r="O4388" i="11"/>
  <c r="U4388" i="11" s="1"/>
  <c r="S4388" i="11" s="1"/>
  <c r="O4389" i="11"/>
  <c r="U4389" i="11" s="1"/>
  <c r="S4389" i="11" s="1"/>
  <c r="O4390" i="11"/>
  <c r="U4390" i="11" s="1"/>
  <c r="S4390" i="11" s="1"/>
  <c r="O4391" i="11"/>
  <c r="U4391" i="11" s="1"/>
  <c r="S4391" i="11" s="1"/>
  <c r="O4392" i="11"/>
  <c r="U4392" i="11"/>
  <c r="S4392" i="11" s="1"/>
  <c r="O4393" i="11"/>
  <c r="U4393" i="11" s="1"/>
  <c r="S4393" i="11" s="1"/>
  <c r="O4394" i="11"/>
  <c r="U4394" i="11" s="1"/>
  <c r="S4394" i="11" s="1"/>
  <c r="O4395" i="11"/>
  <c r="U4395" i="11" s="1"/>
  <c r="S4395" i="11" s="1"/>
  <c r="O4396" i="11"/>
  <c r="U4396" i="11" s="1"/>
  <c r="S4396" i="11" s="1"/>
  <c r="O4397" i="11"/>
  <c r="U4397" i="11" s="1"/>
  <c r="S4397" i="11" s="1"/>
  <c r="O4398" i="11"/>
  <c r="U4398" i="11" s="1"/>
  <c r="S4398" i="11" s="1"/>
  <c r="O4399" i="11"/>
  <c r="U4399" i="11" s="1"/>
  <c r="S4399" i="11" s="1"/>
  <c r="O4400" i="11"/>
  <c r="U4400" i="11" s="1"/>
  <c r="S4400" i="11" s="1"/>
  <c r="O4401" i="11"/>
  <c r="U4401" i="11" s="1"/>
  <c r="S4401" i="11" s="1"/>
  <c r="O4402" i="11"/>
  <c r="U4402" i="11" s="1"/>
  <c r="S4402" i="11" s="1"/>
  <c r="O4403" i="11"/>
  <c r="U4403" i="11" s="1"/>
  <c r="S4403" i="11" s="1"/>
  <c r="O4404" i="11"/>
  <c r="U4404" i="11" s="1"/>
  <c r="S4404" i="11" s="1"/>
  <c r="O4405" i="11"/>
  <c r="U4405" i="11" s="1"/>
  <c r="S4405" i="11" s="1"/>
  <c r="O4406" i="11"/>
  <c r="U4406" i="11" s="1"/>
  <c r="S4406" i="11" s="1"/>
  <c r="O4407" i="11"/>
  <c r="U4407" i="11" s="1"/>
  <c r="S4407" i="11"/>
  <c r="O4408" i="11"/>
  <c r="U4408" i="11" s="1"/>
  <c r="S4408" i="11" s="1"/>
  <c r="O4409" i="11"/>
  <c r="U4409" i="11" s="1"/>
  <c r="S4409" i="11" s="1"/>
  <c r="O4410" i="11"/>
  <c r="U4410" i="11" s="1"/>
  <c r="S4410" i="11" s="1"/>
  <c r="O4411" i="11"/>
  <c r="U4411" i="11" s="1"/>
  <c r="S4411" i="11" s="1"/>
  <c r="O4412" i="11"/>
  <c r="U4412" i="11"/>
  <c r="S4412" i="11" s="1"/>
  <c r="O4413" i="11"/>
  <c r="U4413" i="11" s="1"/>
  <c r="S4413" i="11" s="1"/>
  <c r="O4414" i="11"/>
  <c r="U4414" i="11" s="1"/>
  <c r="S4414" i="11" s="1"/>
  <c r="O4415" i="11"/>
  <c r="U4415" i="11" s="1"/>
  <c r="S4415" i="11"/>
  <c r="O4416" i="11"/>
  <c r="U4416" i="11" s="1"/>
  <c r="S4416" i="11" s="1"/>
  <c r="O4417" i="11"/>
  <c r="U4417" i="11" s="1"/>
  <c r="S4417" i="11" s="1"/>
  <c r="O4418" i="11"/>
  <c r="U4418" i="11" s="1"/>
  <c r="S4418" i="11" s="1"/>
  <c r="O4419" i="11"/>
  <c r="U4419" i="11" s="1"/>
  <c r="S4419" i="11" s="1"/>
  <c r="O4420" i="11"/>
  <c r="U4420" i="11" s="1"/>
  <c r="S4420" i="11" s="1"/>
  <c r="O4421" i="11"/>
  <c r="U4421" i="11" s="1"/>
  <c r="S4421" i="11" s="1"/>
  <c r="O4422" i="11"/>
  <c r="U4422" i="11" s="1"/>
  <c r="S4422" i="11" s="1"/>
  <c r="O4423" i="11"/>
  <c r="U4423" i="11" s="1"/>
  <c r="S4423" i="11" s="1"/>
  <c r="O4424" i="11"/>
  <c r="U4424" i="11" s="1"/>
  <c r="S4424" i="11" s="1"/>
  <c r="O4425" i="11"/>
  <c r="U4425" i="11" s="1"/>
  <c r="S4425" i="11" s="1"/>
  <c r="O4426" i="11"/>
  <c r="U4426" i="11" s="1"/>
  <c r="S4426" i="11" s="1"/>
  <c r="O4427" i="11"/>
  <c r="U4427" i="11" s="1"/>
  <c r="S4427" i="11" s="1"/>
  <c r="O4428" i="11"/>
  <c r="U4428" i="11"/>
  <c r="S4428" i="11" s="1"/>
  <c r="O4429" i="11"/>
  <c r="U4429" i="11" s="1"/>
  <c r="S4429" i="11" s="1"/>
  <c r="O4430" i="11"/>
  <c r="U4430" i="11" s="1"/>
  <c r="S4430" i="11" s="1"/>
  <c r="O4431" i="11"/>
  <c r="U4431" i="11" s="1"/>
  <c r="S4431" i="11" s="1"/>
  <c r="O4432" i="11"/>
  <c r="U4432" i="11" s="1"/>
  <c r="S4432" i="11" s="1"/>
  <c r="O4433" i="11"/>
  <c r="U4433" i="11" s="1"/>
  <c r="S4433" i="11" s="1"/>
  <c r="O4434" i="11"/>
  <c r="U4434" i="11" s="1"/>
  <c r="S4434" i="11" s="1"/>
  <c r="O4435" i="11"/>
  <c r="U4435" i="11" s="1"/>
  <c r="S4435" i="11" s="1"/>
  <c r="O4436" i="11"/>
  <c r="U4436" i="11"/>
  <c r="S4436" i="11" s="1"/>
  <c r="O4437" i="11"/>
  <c r="U4437" i="11" s="1"/>
  <c r="S4437" i="11" s="1"/>
  <c r="O4438" i="11"/>
  <c r="U4438" i="11" s="1"/>
  <c r="S4438" i="11" s="1"/>
  <c r="O4439" i="11"/>
  <c r="U4439" i="11" s="1"/>
  <c r="S4439" i="11" s="1"/>
  <c r="O4440" i="11"/>
  <c r="U4440" i="11" s="1"/>
  <c r="S4440" i="11" s="1"/>
  <c r="O4441" i="11"/>
  <c r="U4441" i="11" s="1"/>
  <c r="S4441" i="11" s="1"/>
  <c r="O4442" i="11"/>
  <c r="U4442" i="11" s="1"/>
  <c r="S4442" i="11" s="1"/>
  <c r="O4443" i="11"/>
  <c r="U4443" i="11" s="1"/>
  <c r="S4443" i="11" s="1"/>
  <c r="O4444" i="11"/>
  <c r="U4444" i="11" s="1"/>
  <c r="S4444" i="11" s="1"/>
  <c r="O4445" i="11"/>
  <c r="U4445" i="11" s="1"/>
  <c r="S4445" i="11" s="1"/>
  <c r="O4446" i="11"/>
  <c r="U4446" i="11" s="1"/>
  <c r="S4446" i="11" s="1"/>
  <c r="O4447" i="11"/>
  <c r="U4447" i="11" s="1"/>
  <c r="S4447" i="11" s="1"/>
  <c r="O4448" i="11"/>
  <c r="U4448" i="11" s="1"/>
  <c r="S4448" i="11" s="1"/>
  <c r="O4449" i="11"/>
  <c r="U4449" i="11" s="1"/>
  <c r="S4449" i="11" s="1"/>
  <c r="O4450" i="11"/>
  <c r="U4450" i="11" s="1"/>
  <c r="S4450" i="11" s="1"/>
  <c r="O4451" i="11"/>
  <c r="U4451" i="11" s="1"/>
  <c r="S4451" i="11" s="1"/>
  <c r="O4452" i="11"/>
  <c r="U4452" i="11" s="1"/>
  <c r="S4452" i="11" s="1"/>
  <c r="O4453" i="11"/>
  <c r="U4453" i="11" s="1"/>
  <c r="S4453" i="11" s="1"/>
  <c r="O4454" i="11"/>
  <c r="U4454" i="11" s="1"/>
  <c r="S4454" i="11" s="1"/>
  <c r="O4455" i="11"/>
  <c r="U4455" i="11" s="1"/>
  <c r="S4455" i="11" s="1"/>
  <c r="O4456" i="11"/>
  <c r="U4456" i="11" s="1"/>
  <c r="S4456" i="11" s="1"/>
  <c r="O4457" i="11"/>
  <c r="U4457" i="11" s="1"/>
  <c r="S4457" i="11" s="1"/>
  <c r="O4458" i="11"/>
  <c r="U4458" i="11" s="1"/>
  <c r="S4458" i="11" s="1"/>
  <c r="O4459" i="11"/>
  <c r="U4459" i="11" s="1"/>
  <c r="S4459" i="11"/>
  <c r="O4460" i="11"/>
  <c r="U4460" i="11" s="1"/>
  <c r="S4460" i="11" s="1"/>
  <c r="O4461" i="11"/>
  <c r="U4461" i="11" s="1"/>
  <c r="S4461" i="11" s="1"/>
  <c r="O4462" i="11"/>
  <c r="U4462" i="11" s="1"/>
  <c r="S4462" i="11" s="1"/>
  <c r="O4463" i="11"/>
  <c r="U4463" i="11" s="1"/>
  <c r="S4463" i="11" s="1"/>
  <c r="O4464" i="11"/>
  <c r="U4464" i="11" s="1"/>
  <c r="S4464" i="11" s="1"/>
  <c r="O4465" i="11"/>
  <c r="U4465" i="11" s="1"/>
  <c r="S4465" i="11" s="1"/>
  <c r="O4466" i="11"/>
  <c r="U4466" i="11" s="1"/>
  <c r="S4466" i="11" s="1"/>
  <c r="O4467" i="11"/>
  <c r="U4467" i="11" s="1"/>
  <c r="S4467" i="11"/>
  <c r="O4468" i="11"/>
  <c r="U4468" i="11" s="1"/>
  <c r="S4468" i="11" s="1"/>
  <c r="O4469" i="11"/>
  <c r="U4469" i="11" s="1"/>
  <c r="S4469" i="11" s="1"/>
  <c r="O4470" i="11"/>
  <c r="U4470" i="11" s="1"/>
  <c r="S4470" i="11" s="1"/>
  <c r="O4471" i="11"/>
  <c r="U4471" i="11" s="1"/>
  <c r="S4471" i="11" s="1"/>
  <c r="O4472" i="11"/>
  <c r="U4472" i="11" s="1"/>
  <c r="S4472" i="11" s="1"/>
  <c r="O4473" i="11"/>
  <c r="U4473" i="11" s="1"/>
  <c r="S4473" i="11" s="1"/>
  <c r="O4474" i="11"/>
  <c r="U4474" i="11" s="1"/>
  <c r="S4474" i="11" s="1"/>
  <c r="O4475" i="11"/>
  <c r="U4475" i="11" s="1"/>
  <c r="S4475" i="11" s="1"/>
  <c r="O4476" i="11"/>
  <c r="U4476" i="11"/>
  <c r="S4476" i="11"/>
  <c r="O4477" i="11"/>
  <c r="U4477" i="11" s="1"/>
  <c r="S4477" i="11" s="1"/>
  <c r="O4478" i="11"/>
  <c r="U4478" i="11" s="1"/>
  <c r="S4478" i="11" s="1"/>
  <c r="O4479" i="11"/>
  <c r="U4479" i="11" s="1"/>
  <c r="S4479" i="11" s="1"/>
  <c r="O4480" i="11"/>
  <c r="U4480" i="11" s="1"/>
  <c r="S4480" i="11" s="1"/>
  <c r="O4481" i="11"/>
  <c r="U4481" i="11" s="1"/>
  <c r="S4481" i="11" s="1"/>
  <c r="O4482" i="11"/>
  <c r="U4482" i="11" s="1"/>
  <c r="S4482" i="11" s="1"/>
  <c r="O4483" i="11"/>
  <c r="U4483" i="11" s="1"/>
  <c r="S4483" i="11" s="1"/>
  <c r="O4484" i="11"/>
  <c r="U4484" i="11"/>
  <c r="S4484" i="11" s="1"/>
  <c r="O4485" i="11"/>
  <c r="U4485" i="11" s="1"/>
  <c r="S4485" i="11" s="1"/>
  <c r="O4486" i="11"/>
  <c r="U4486" i="11" s="1"/>
  <c r="S4486" i="11" s="1"/>
  <c r="O4487" i="11"/>
  <c r="U4487" i="11" s="1"/>
  <c r="S4487" i="11" s="1"/>
  <c r="O4488" i="11"/>
  <c r="U4488" i="11" s="1"/>
  <c r="S4488" i="11" s="1"/>
  <c r="O4489" i="11"/>
  <c r="U4489" i="11" s="1"/>
  <c r="S4489" i="11" s="1"/>
  <c r="O4490" i="11"/>
  <c r="U4490" i="11" s="1"/>
  <c r="S4490" i="11" s="1"/>
  <c r="O4491" i="11"/>
  <c r="U4491" i="11" s="1"/>
  <c r="S4491" i="11" s="1"/>
  <c r="O4492" i="11"/>
  <c r="U4492" i="11" s="1"/>
  <c r="S4492" i="11" s="1"/>
  <c r="O4493" i="11"/>
  <c r="U4493" i="11" s="1"/>
  <c r="S4493" i="11" s="1"/>
  <c r="O4494" i="11"/>
  <c r="U4494" i="11" s="1"/>
  <c r="S4494" i="11" s="1"/>
  <c r="O4495" i="11"/>
  <c r="U4495" i="11" s="1"/>
  <c r="S4495" i="11" s="1"/>
  <c r="O4496" i="11"/>
  <c r="U4496" i="11" s="1"/>
  <c r="S4496" i="11" s="1"/>
  <c r="O4497" i="11"/>
  <c r="U4497" i="11" s="1"/>
  <c r="S4497" i="11" s="1"/>
  <c r="O4498" i="11"/>
  <c r="U4498" i="11" s="1"/>
  <c r="S4498" i="11" s="1"/>
  <c r="O4499" i="11"/>
  <c r="U4499" i="11" s="1"/>
  <c r="S4499" i="11" s="1"/>
  <c r="O4500" i="11"/>
  <c r="U4500" i="11" s="1"/>
  <c r="S4500" i="11" s="1"/>
  <c r="O4501" i="11"/>
  <c r="U4501" i="11" s="1"/>
  <c r="S4501" i="11" s="1"/>
  <c r="O4502" i="11"/>
  <c r="U4502" i="11" s="1"/>
  <c r="S4502" i="11" s="1"/>
  <c r="O4503" i="11"/>
  <c r="U4503" i="11" s="1"/>
  <c r="S4503" i="11" s="1"/>
  <c r="O4504" i="11"/>
  <c r="U4504" i="11" s="1"/>
  <c r="S4504" i="11" s="1"/>
  <c r="O4505" i="11"/>
  <c r="U4505" i="11" s="1"/>
  <c r="S4505" i="11" s="1"/>
  <c r="O4506" i="11"/>
  <c r="U4506" i="11" s="1"/>
  <c r="S4506" i="11" s="1"/>
  <c r="O4507" i="11"/>
  <c r="U4507" i="11" s="1"/>
  <c r="S4507" i="11"/>
  <c r="O4508" i="11"/>
  <c r="U4508" i="11" s="1"/>
  <c r="S4508" i="11" s="1"/>
  <c r="O4509" i="11"/>
  <c r="U4509" i="11" s="1"/>
  <c r="S4509" i="11" s="1"/>
  <c r="O4510" i="11"/>
  <c r="U4510" i="11" s="1"/>
  <c r="S4510" i="11" s="1"/>
  <c r="O4511" i="11"/>
  <c r="U4511" i="11" s="1"/>
  <c r="S4511" i="11" s="1"/>
  <c r="O4512" i="11"/>
  <c r="U4512" i="11" s="1"/>
  <c r="S4512" i="11" s="1"/>
  <c r="O4513" i="11"/>
  <c r="U4513" i="11" s="1"/>
  <c r="S4513" i="11" s="1"/>
  <c r="O4514" i="11"/>
  <c r="U4514" i="11" s="1"/>
  <c r="S4514" i="11" s="1"/>
  <c r="O4515" i="11"/>
  <c r="U4515" i="11" s="1"/>
  <c r="S4515" i="11" s="1"/>
  <c r="O4516" i="11"/>
  <c r="U4516" i="11" s="1"/>
  <c r="S4516" i="11" s="1"/>
  <c r="O4517" i="11"/>
  <c r="U4517" i="11" s="1"/>
  <c r="S4517" i="11" s="1"/>
  <c r="O4518" i="11"/>
  <c r="U4518" i="11" s="1"/>
  <c r="S4518" i="11" s="1"/>
  <c r="O4519" i="11"/>
  <c r="U4519" i="11" s="1"/>
  <c r="S4519" i="11" s="1"/>
  <c r="O4520" i="11"/>
  <c r="U4520" i="11" s="1"/>
  <c r="S4520" i="11" s="1"/>
  <c r="O4521" i="11"/>
  <c r="U4521" i="11" s="1"/>
  <c r="S4521" i="11" s="1"/>
  <c r="O4522" i="11"/>
  <c r="U4522" i="11" s="1"/>
  <c r="S4522" i="11" s="1"/>
  <c r="O4523" i="11"/>
  <c r="U4523" i="11" s="1"/>
  <c r="S4523" i="11" s="1"/>
  <c r="O4524" i="11"/>
  <c r="U4524" i="11" s="1"/>
  <c r="S4524" i="11" s="1"/>
  <c r="O4525" i="11"/>
  <c r="U4525" i="11" s="1"/>
  <c r="S4525" i="11" s="1"/>
  <c r="O4526" i="11"/>
  <c r="U4526" i="11" s="1"/>
  <c r="S4526" i="11" s="1"/>
  <c r="O4527" i="11"/>
  <c r="U4527" i="11" s="1"/>
  <c r="S4527" i="11" s="1"/>
  <c r="O4528" i="11"/>
  <c r="U4528" i="11" s="1"/>
  <c r="S4528" i="11" s="1"/>
  <c r="O4529" i="11"/>
  <c r="U4529" i="11" s="1"/>
  <c r="S4529" i="11" s="1"/>
  <c r="O4530" i="11"/>
  <c r="U4530" i="11" s="1"/>
  <c r="S4530" i="11" s="1"/>
  <c r="O4531" i="11"/>
  <c r="U4531" i="11" s="1"/>
  <c r="S4531" i="11" s="1"/>
  <c r="O4532" i="11"/>
  <c r="U4532" i="11" s="1"/>
  <c r="S4532" i="11" s="1"/>
  <c r="O4533" i="11"/>
  <c r="U4533" i="11" s="1"/>
  <c r="S4533" i="11" s="1"/>
  <c r="O4534" i="11"/>
  <c r="U4534" i="11" s="1"/>
  <c r="S4534" i="11" s="1"/>
  <c r="O4535" i="11"/>
  <c r="U4535" i="11" s="1"/>
  <c r="S4535" i="11" s="1"/>
  <c r="O4536" i="11"/>
  <c r="U4536" i="11" s="1"/>
  <c r="S4536" i="11" s="1"/>
  <c r="O4537" i="11"/>
  <c r="U4537" i="11" s="1"/>
  <c r="S4537" i="11" s="1"/>
  <c r="O4538" i="11"/>
  <c r="U4538" i="11" s="1"/>
  <c r="S4538" i="11" s="1"/>
  <c r="O4539" i="11"/>
  <c r="U4539" i="11" s="1"/>
  <c r="S4539" i="11" s="1"/>
  <c r="O4540" i="11"/>
  <c r="U4540" i="11"/>
  <c r="S4540" i="11" s="1"/>
  <c r="O4541" i="11"/>
  <c r="U4541" i="11" s="1"/>
  <c r="S4541" i="11" s="1"/>
  <c r="O4542" i="11"/>
  <c r="U4542" i="11" s="1"/>
  <c r="S4542" i="11" s="1"/>
  <c r="O4543" i="11"/>
  <c r="U4543" i="11" s="1"/>
  <c r="S4543" i="11" s="1"/>
  <c r="O4544" i="11"/>
  <c r="U4544" i="11" s="1"/>
  <c r="S4544" i="11" s="1"/>
  <c r="O4545" i="11"/>
  <c r="U4545" i="11" s="1"/>
  <c r="S4545" i="11" s="1"/>
  <c r="O4546" i="11"/>
  <c r="U4546" i="11" s="1"/>
  <c r="S4546" i="11" s="1"/>
  <c r="O4547" i="11"/>
  <c r="U4547" i="11" s="1"/>
  <c r="S4547" i="11"/>
  <c r="O4548" i="11"/>
  <c r="U4548" i="11" s="1"/>
  <c r="S4548" i="11" s="1"/>
  <c r="O4549" i="11"/>
  <c r="U4549" i="11" s="1"/>
  <c r="S4549" i="11" s="1"/>
  <c r="O4550" i="11"/>
  <c r="U4550" i="11" s="1"/>
  <c r="S4550" i="11" s="1"/>
  <c r="O4551" i="11"/>
  <c r="U4551" i="11" s="1"/>
  <c r="S4551" i="11"/>
  <c r="O4552" i="11"/>
  <c r="U4552" i="11" s="1"/>
  <c r="S4552" i="11" s="1"/>
  <c r="O4553" i="11"/>
  <c r="U4553" i="11" s="1"/>
  <c r="S4553" i="11" s="1"/>
  <c r="O4554" i="11"/>
  <c r="U4554" i="11" s="1"/>
  <c r="S4554" i="11" s="1"/>
  <c r="O4555" i="11"/>
  <c r="U4555" i="11" s="1"/>
  <c r="S4555" i="11" s="1"/>
  <c r="O4556" i="11"/>
  <c r="U4556" i="11" s="1"/>
  <c r="S4556" i="11" s="1"/>
  <c r="O4557" i="11"/>
  <c r="U4557" i="11" s="1"/>
  <c r="S4557" i="11" s="1"/>
  <c r="O4558" i="11"/>
  <c r="U4558" i="11" s="1"/>
  <c r="S4558" i="11" s="1"/>
  <c r="O4559" i="11"/>
  <c r="U4559" i="11" s="1"/>
  <c r="S4559" i="11" s="1"/>
  <c r="O4560" i="11"/>
  <c r="U4560" i="11"/>
  <c r="S4560" i="11" s="1"/>
  <c r="O4561" i="11"/>
  <c r="U4561" i="11" s="1"/>
  <c r="S4561" i="11" s="1"/>
  <c r="O4562" i="11"/>
  <c r="U4562" i="11" s="1"/>
  <c r="S4562" i="11" s="1"/>
  <c r="O4563" i="11"/>
  <c r="U4563" i="11" s="1"/>
  <c r="S4563" i="11" s="1"/>
  <c r="O4564" i="11"/>
  <c r="U4564" i="11" s="1"/>
  <c r="S4564" i="11" s="1"/>
  <c r="O4565" i="11"/>
  <c r="U4565" i="11" s="1"/>
  <c r="S4565" i="11" s="1"/>
  <c r="O4566" i="11"/>
  <c r="U4566" i="11" s="1"/>
  <c r="S4566" i="11" s="1"/>
  <c r="O4567" i="11"/>
  <c r="U4567" i="11" s="1"/>
  <c r="S4567" i="11" s="1"/>
  <c r="O4568" i="11"/>
  <c r="U4568" i="11" s="1"/>
  <c r="S4568" i="11" s="1"/>
  <c r="O4569" i="11"/>
  <c r="U4569" i="11" s="1"/>
  <c r="S4569" i="11" s="1"/>
  <c r="O4570" i="11"/>
  <c r="U4570" i="11" s="1"/>
  <c r="S4570" i="11" s="1"/>
  <c r="O4571" i="11"/>
  <c r="U4571" i="11" s="1"/>
  <c r="S4571" i="11" s="1"/>
  <c r="O4572" i="11"/>
  <c r="U4572" i="11" s="1"/>
  <c r="S4572" i="11" s="1"/>
  <c r="O4573" i="11"/>
  <c r="U4573" i="11" s="1"/>
  <c r="S4573" i="11" s="1"/>
  <c r="O4574" i="11"/>
  <c r="U4574" i="11" s="1"/>
  <c r="S4574" i="11" s="1"/>
  <c r="O4575" i="11"/>
  <c r="U4575" i="11" s="1"/>
  <c r="S4575" i="11" s="1"/>
  <c r="O4576" i="11"/>
  <c r="U4576" i="11"/>
  <c r="S4576" i="11" s="1"/>
  <c r="O4577" i="11"/>
  <c r="U4577" i="11" s="1"/>
  <c r="S4577" i="11" s="1"/>
  <c r="O4578" i="11"/>
  <c r="U4578" i="11" s="1"/>
  <c r="S4578" i="11" s="1"/>
  <c r="O4579" i="11"/>
  <c r="U4579" i="11" s="1"/>
  <c r="S4579" i="11" s="1"/>
  <c r="O4580" i="11"/>
  <c r="U4580" i="11" s="1"/>
  <c r="S4580" i="11" s="1"/>
  <c r="O4581" i="11"/>
  <c r="U4581" i="11" s="1"/>
  <c r="S4581" i="11" s="1"/>
  <c r="O4582" i="11"/>
  <c r="U4582" i="11" s="1"/>
  <c r="S4582" i="11" s="1"/>
  <c r="O4583" i="11"/>
  <c r="U4583" i="11" s="1"/>
  <c r="S4583" i="11" s="1"/>
  <c r="O4584" i="11"/>
  <c r="U4584" i="11" s="1"/>
  <c r="S4584" i="11" s="1"/>
  <c r="O4585" i="11"/>
  <c r="U4585" i="11" s="1"/>
  <c r="S4585" i="11" s="1"/>
  <c r="O4586" i="11"/>
  <c r="U4586" i="11" s="1"/>
  <c r="S4586" i="11" s="1"/>
  <c r="O4587" i="11"/>
  <c r="U4587" i="11" s="1"/>
  <c r="S4587" i="11" s="1"/>
  <c r="O4588" i="11"/>
  <c r="U4588" i="11"/>
  <c r="S4588" i="11" s="1"/>
  <c r="O4589" i="11"/>
  <c r="U4589" i="11" s="1"/>
  <c r="S4589" i="11" s="1"/>
  <c r="O4590" i="11"/>
  <c r="U4590" i="11" s="1"/>
  <c r="S4590" i="11" s="1"/>
  <c r="O4591" i="11"/>
  <c r="U4591" i="11" s="1"/>
  <c r="S4591" i="11" s="1"/>
  <c r="O4592" i="11"/>
  <c r="U4592" i="11"/>
  <c r="S4592" i="11" s="1"/>
  <c r="O4593" i="11"/>
  <c r="U4593" i="11" s="1"/>
  <c r="S4593" i="11" s="1"/>
  <c r="O4594" i="11"/>
  <c r="U4594" i="11" s="1"/>
  <c r="S4594" i="11" s="1"/>
  <c r="O4595" i="11"/>
  <c r="U4595" i="11" s="1"/>
  <c r="S4595" i="11"/>
  <c r="O4596" i="11"/>
  <c r="U4596" i="11"/>
  <c r="S4596" i="11" s="1"/>
  <c r="O4597" i="11"/>
  <c r="U4597" i="11" s="1"/>
  <c r="S4597" i="11" s="1"/>
  <c r="O4598" i="11"/>
  <c r="U4598" i="11" s="1"/>
  <c r="S4598" i="11" s="1"/>
  <c r="O4599" i="11"/>
  <c r="U4599" i="11" s="1"/>
  <c r="S4599" i="11" s="1"/>
  <c r="O4600" i="11"/>
  <c r="U4600" i="11"/>
  <c r="S4600" i="11" s="1"/>
  <c r="O4601" i="11"/>
  <c r="U4601" i="11" s="1"/>
  <c r="S4601" i="11" s="1"/>
  <c r="O4602" i="11"/>
  <c r="U4602" i="11" s="1"/>
  <c r="S4602" i="11" s="1"/>
  <c r="O4603" i="11"/>
  <c r="U4603" i="11" s="1"/>
  <c r="S4603" i="11" s="1"/>
  <c r="O4604" i="11"/>
  <c r="U4604" i="11" s="1"/>
  <c r="S4604" i="11" s="1"/>
  <c r="O4605" i="11"/>
  <c r="U4605" i="11" s="1"/>
  <c r="S4605" i="11" s="1"/>
  <c r="O4606" i="11"/>
  <c r="U4606" i="11" s="1"/>
  <c r="S4606" i="11" s="1"/>
  <c r="O4607" i="11"/>
  <c r="U4607" i="11" s="1"/>
  <c r="S4607" i="11" s="1"/>
  <c r="O4608" i="11"/>
  <c r="U4608" i="11" s="1"/>
  <c r="S4608" i="11" s="1"/>
  <c r="O4609" i="11"/>
  <c r="U4609" i="11" s="1"/>
  <c r="S4609" i="11" s="1"/>
  <c r="O4610" i="11"/>
  <c r="U4610" i="11" s="1"/>
  <c r="S4610" i="11" s="1"/>
  <c r="O4611" i="11"/>
  <c r="U4611" i="11" s="1"/>
  <c r="S4611" i="11" s="1"/>
  <c r="O4612" i="11"/>
  <c r="U4612" i="11" s="1"/>
  <c r="S4612" i="11" s="1"/>
  <c r="O4613" i="11"/>
  <c r="U4613" i="11" s="1"/>
  <c r="S4613" i="11" s="1"/>
  <c r="O4614" i="11"/>
  <c r="U4614" i="11" s="1"/>
  <c r="O4615" i="11"/>
  <c r="U4615" i="11" s="1"/>
  <c r="S4615" i="11" s="1"/>
  <c r="O4616" i="11"/>
  <c r="U4616" i="11" s="1"/>
  <c r="S4616" i="11" s="1"/>
  <c r="O4617" i="11"/>
  <c r="U4617" i="11" s="1"/>
  <c r="S4617" i="11" s="1"/>
  <c r="O4618" i="11"/>
  <c r="U4618" i="11" s="1"/>
  <c r="S4618" i="11" s="1"/>
  <c r="O4619" i="11"/>
  <c r="U4619" i="11" s="1"/>
  <c r="S4619" i="11" s="1"/>
  <c r="O4620" i="11"/>
  <c r="U4620" i="11" s="1"/>
  <c r="S4620" i="11" s="1"/>
  <c r="O4621" i="11"/>
  <c r="U4621" i="11" s="1"/>
  <c r="S4621" i="11" s="1"/>
  <c r="O4622" i="11"/>
  <c r="U4622" i="11" s="1"/>
  <c r="S4622" i="11" s="1"/>
  <c r="O4623" i="11"/>
  <c r="U4623" i="11" s="1"/>
  <c r="S4623" i="11" s="1"/>
  <c r="O4624" i="11"/>
  <c r="U4624" i="11" s="1"/>
  <c r="S4624" i="11" s="1"/>
  <c r="O4625" i="11"/>
  <c r="U4625" i="11" s="1"/>
  <c r="S4625" i="11" s="1"/>
  <c r="O4626" i="11"/>
  <c r="U4626" i="11" s="1"/>
  <c r="S4626" i="11" s="1"/>
  <c r="O4627" i="11"/>
  <c r="U4627" i="11" s="1"/>
  <c r="S4627" i="11" s="1"/>
  <c r="O4628" i="11"/>
  <c r="U4628" i="11" s="1"/>
  <c r="S4628" i="11" s="1"/>
  <c r="O4629" i="11"/>
  <c r="U4629" i="11" s="1"/>
  <c r="S4629" i="11" s="1"/>
  <c r="O4630" i="11"/>
  <c r="U4630" i="11" s="1"/>
  <c r="S4630" i="11" s="1"/>
  <c r="O4631" i="11"/>
  <c r="U4631" i="11" s="1"/>
  <c r="S4631" i="11" s="1"/>
  <c r="O4632" i="11"/>
  <c r="U4632" i="11"/>
  <c r="S4632" i="11" s="1"/>
  <c r="O4633" i="11"/>
  <c r="U4633" i="11" s="1"/>
  <c r="S4633" i="11" s="1"/>
  <c r="O4634" i="11"/>
  <c r="U4634" i="11" s="1"/>
  <c r="S4634" i="11" s="1"/>
  <c r="O4635" i="11"/>
  <c r="U4635" i="11" s="1"/>
  <c r="S4635" i="11" s="1"/>
  <c r="O4636" i="11"/>
  <c r="U4636" i="11" s="1"/>
  <c r="S4636" i="11" s="1"/>
  <c r="O4637" i="11"/>
  <c r="U4637" i="11" s="1"/>
  <c r="S4637" i="11" s="1"/>
  <c r="O4638" i="11"/>
  <c r="U4638" i="11" s="1"/>
  <c r="S4638" i="11" s="1"/>
  <c r="O4639" i="11"/>
  <c r="U4639" i="11" s="1"/>
  <c r="S4639" i="11" s="1"/>
  <c r="O4640" i="11"/>
  <c r="U4640" i="11"/>
  <c r="S4640" i="11" s="1"/>
  <c r="O4641" i="11"/>
  <c r="U4641" i="11" s="1"/>
  <c r="S4641" i="11" s="1"/>
  <c r="O4642" i="11"/>
  <c r="U4642" i="11" s="1"/>
  <c r="S4642" i="11" s="1"/>
  <c r="O4643" i="11"/>
  <c r="U4643" i="11" s="1"/>
  <c r="S4643" i="11" s="1"/>
  <c r="O4644" i="11"/>
  <c r="U4644" i="11" s="1"/>
  <c r="S4644" i="11" s="1"/>
  <c r="O4645" i="11"/>
  <c r="U4645" i="11" s="1"/>
  <c r="S4645" i="11" s="1"/>
  <c r="O4646" i="11"/>
  <c r="U4646" i="11" s="1"/>
  <c r="S4646" i="11" s="1"/>
  <c r="O4647" i="11"/>
  <c r="U4647" i="11" s="1"/>
  <c r="S4647" i="11"/>
  <c r="O4648" i="11"/>
  <c r="U4648" i="11" s="1"/>
  <c r="S4648" i="11" s="1"/>
  <c r="O4649" i="11"/>
  <c r="U4649" i="11" s="1"/>
  <c r="S4649" i="11" s="1"/>
  <c r="O4650" i="11"/>
  <c r="U4650" i="11" s="1"/>
  <c r="S4650" i="11" s="1"/>
  <c r="O4651" i="11"/>
  <c r="U4651" i="11" s="1"/>
  <c r="S4651" i="11" s="1"/>
  <c r="O4652" i="11"/>
  <c r="U4652" i="11" s="1"/>
  <c r="S4652" i="11" s="1"/>
  <c r="O4653" i="11"/>
  <c r="U4653" i="11" s="1"/>
  <c r="S4653" i="11" s="1"/>
  <c r="O4654" i="11"/>
  <c r="U4654" i="11" s="1"/>
  <c r="S4654" i="11" s="1"/>
  <c r="O4655" i="11"/>
  <c r="U4655" i="11" s="1"/>
  <c r="S4655" i="11" s="1"/>
  <c r="O4656" i="11"/>
  <c r="U4656" i="11"/>
  <c r="S4656" i="11" s="1"/>
  <c r="O4657" i="11"/>
  <c r="U4657" i="11" s="1"/>
  <c r="S4657" i="11" s="1"/>
  <c r="O4658" i="11"/>
  <c r="U4658" i="11" s="1"/>
  <c r="S4658" i="11" s="1"/>
  <c r="O4659" i="11"/>
  <c r="U4659" i="11" s="1"/>
  <c r="S4659" i="11" s="1"/>
  <c r="O4660" i="11"/>
  <c r="U4660" i="11" s="1"/>
  <c r="S4660" i="11" s="1"/>
  <c r="O4661" i="11"/>
  <c r="U4661" i="11" s="1"/>
  <c r="S4661" i="11" s="1"/>
  <c r="O4662" i="11"/>
  <c r="U4662" i="11" s="1"/>
  <c r="O4663" i="11"/>
  <c r="U4663" i="11" s="1"/>
  <c r="S4663" i="11" s="1"/>
  <c r="O4664" i="11"/>
  <c r="U4664" i="11" s="1"/>
  <c r="S4664" i="11" s="1"/>
  <c r="O4665" i="11"/>
  <c r="U4665" i="11" s="1"/>
  <c r="S4665" i="11" s="1"/>
  <c r="O4666" i="11"/>
  <c r="U4666" i="11" s="1"/>
  <c r="S4666" i="11" s="1"/>
  <c r="O4667" i="11"/>
  <c r="U4667" i="11" s="1"/>
  <c r="S4667" i="11" s="1"/>
  <c r="O4668" i="11"/>
  <c r="U4668" i="11" s="1"/>
  <c r="S4668" i="11" s="1"/>
  <c r="O4669" i="11"/>
  <c r="U4669" i="11" s="1"/>
  <c r="S4669" i="11" s="1"/>
  <c r="O4670" i="11"/>
  <c r="U4670" i="11" s="1"/>
  <c r="S4670" i="11" s="1"/>
  <c r="O4671" i="11"/>
  <c r="U4671" i="11" s="1"/>
  <c r="S4671" i="11" s="1"/>
  <c r="O4672" i="11"/>
  <c r="U4672" i="11" s="1"/>
  <c r="S4672" i="11" s="1"/>
  <c r="O4673" i="11"/>
  <c r="U4673" i="11" s="1"/>
  <c r="S4673" i="11" s="1"/>
  <c r="O4674" i="11"/>
  <c r="U4674" i="11" s="1"/>
  <c r="S4674" i="11" s="1"/>
  <c r="O4675" i="11"/>
  <c r="U4675" i="11" s="1"/>
  <c r="S4675" i="11" s="1"/>
  <c r="O4676" i="11"/>
  <c r="U4676" i="11"/>
  <c r="S4676" i="11" s="1"/>
  <c r="O4677" i="11"/>
  <c r="U4677" i="11" s="1"/>
  <c r="S4677" i="11" s="1"/>
  <c r="O4678" i="11"/>
  <c r="U4678" i="11" s="1"/>
  <c r="S4678" i="11" s="1"/>
  <c r="O4679" i="11"/>
  <c r="U4679" i="11" s="1"/>
  <c r="S4679" i="11" s="1"/>
  <c r="O4680" i="11"/>
  <c r="U4680" i="11" s="1"/>
  <c r="S4680" i="11" s="1"/>
  <c r="O4681" i="11"/>
  <c r="U4681" i="11" s="1"/>
  <c r="S4681" i="11" s="1"/>
  <c r="O4682" i="11"/>
  <c r="U4682" i="11" s="1"/>
  <c r="S4682" i="11" s="1"/>
  <c r="O4683" i="11"/>
  <c r="U4683" i="11" s="1"/>
  <c r="S4683" i="11" s="1"/>
  <c r="O4684" i="11"/>
  <c r="U4684" i="11" s="1"/>
  <c r="S4684" i="11" s="1"/>
  <c r="O4685" i="11"/>
  <c r="U4685" i="11" s="1"/>
  <c r="S4685" i="11" s="1"/>
  <c r="O4686" i="11"/>
  <c r="U4686" i="11" s="1"/>
  <c r="S4686" i="11" s="1"/>
  <c r="O4687" i="11"/>
  <c r="U4687" i="11" s="1"/>
  <c r="S4687" i="11"/>
  <c r="O4688" i="11"/>
  <c r="U4688" i="11" s="1"/>
  <c r="S4688" i="11" s="1"/>
  <c r="O4689" i="11"/>
  <c r="U4689" i="11" s="1"/>
  <c r="S4689" i="11" s="1"/>
  <c r="O4690" i="11"/>
  <c r="U4690" i="11" s="1"/>
  <c r="S4690" i="11" s="1"/>
  <c r="O4691" i="11"/>
  <c r="U4691" i="11" s="1"/>
  <c r="S4691" i="11" s="1"/>
  <c r="O4692" i="11"/>
  <c r="U4692" i="11" s="1"/>
  <c r="S4692" i="11" s="1"/>
  <c r="O4693" i="11"/>
  <c r="U4693" i="11" s="1"/>
  <c r="S4693" i="11" s="1"/>
  <c r="O4694" i="11"/>
  <c r="U4694" i="11" s="1"/>
  <c r="S4694" i="11" s="1"/>
  <c r="O4695" i="11"/>
  <c r="U4695" i="11" s="1"/>
  <c r="S4695" i="11" s="1"/>
  <c r="O4696" i="11"/>
  <c r="U4696" i="11" s="1"/>
  <c r="S4696" i="11" s="1"/>
  <c r="O4697" i="11"/>
  <c r="U4697" i="11" s="1"/>
  <c r="S4697" i="11" s="1"/>
  <c r="O4698" i="11"/>
  <c r="U4698" i="11" s="1"/>
  <c r="S4698" i="11" s="1"/>
  <c r="O4699" i="11"/>
  <c r="U4699" i="11" s="1"/>
  <c r="S4699" i="11" s="1"/>
  <c r="O4700" i="11"/>
  <c r="U4700" i="11" s="1"/>
  <c r="S4700" i="11" s="1"/>
  <c r="O4701" i="11"/>
  <c r="U4701" i="11" s="1"/>
  <c r="S4701" i="11" s="1"/>
  <c r="O4702" i="11"/>
  <c r="U4702" i="11" s="1"/>
  <c r="S4702" i="11" s="1"/>
  <c r="O4703" i="11"/>
  <c r="U4703" i="11" s="1"/>
  <c r="S4703" i="11" s="1"/>
  <c r="O4704" i="11"/>
  <c r="U4704" i="11"/>
  <c r="S4704" i="11" s="1"/>
  <c r="O4705" i="11"/>
  <c r="U4705" i="11" s="1"/>
  <c r="S4705" i="11" s="1"/>
  <c r="O4706" i="11"/>
  <c r="U4706" i="11" s="1"/>
  <c r="S4706" i="11" s="1"/>
  <c r="O4707" i="11"/>
  <c r="U4707" i="11" s="1"/>
  <c r="S4707" i="11" s="1"/>
  <c r="O4708" i="11"/>
  <c r="U4708" i="11"/>
  <c r="S4708" i="11"/>
  <c r="O4709" i="11"/>
  <c r="U4709" i="11" s="1"/>
  <c r="S4709" i="11" s="1"/>
  <c r="O4710" i="11"/>
  <c r="U4710" i="11" s="1"/>
  <c r="S4710" i="11" s="1"/>
  <c r="O4711" i="11"/>
  <c r="U4711" i="11" s="1"/>
  <c r="S4711" i="11" s="1"/>
  <c r="O4712" i="11"/>
  <c r="U4712" i="11" s="1"/>
  <c r="S4712" i="11" s="1"/>
  <c r="O4713" i="11"/>
  <c r="U4713" i="11" s="1"/>
  <c r="S4713" i="11" s="1"/>
  <c r="O4714" i="11"/>
  <c r="U4714" i="11" s="1"/>
  <c r="S4714" i="11" s="1"/>
  <c r="O4715" i="11"/>
  <c r="U4715" i="11" s="1"/>
  <c r="S4715" i="11" s="1"/>
  <c r="O4716" i="11"/>
  <c r="U4716" i="11" s="1"/>
  <c r="S4716" i="11" s="1"/>
  <c r="O4717" i="11"/>
  <c r="U4717" i="11" s="1"/>
  <c r="S4717" i="11" s="1"/>
  <c r="O4718" i="11"/>
  <c r="U4718" i="11" s="1"/>
  <c r="S4718" i="11" s="1"/>
  <c r="O4719" i="11"/>
  <c r="U4719" i="11" s="1"/>
  <c r="S4719" i="11" s="1"/>
  <c r="O4720" i="11"/>
  <c r="U4720" i="11" s="1"/>
  <c r="S4720" i="11" s="1"/>
  <c r="O4721" i="11"/>
  <c r="U4721" i="11" s="1"/>
  <c r="S4721" i="11" s="1"/>
  <c r="O4722" i="11"/>
  <c r="U4722" i="11" s="1"/>
  <c r="S4722" i="11" s="1"/>
  <c r="O4723" i="11"/>
  <c r="U4723" i="11" s="1"/>
  <c r="S4723" i="11" s="1"/>
  <c r="O4724" i="11"/>
  <c r="U4724" i="11" s="1"/>
  <c r="S4724" i="11" s="1"/>
  <c r="O4725" i="11"/>
  <c r="U4725" i="11" s="1"/>
  <c r="S4725" i="11" s="1"/>
  <c r="O4726" i="11"/>
  <c r="U4726" i="11" s="1"/>
  <c r="S4726" i="11" s="1"/>
  <c r="O4727" i="11"/>
  <c r="U4727" i="11" s="1"/>
  <c r="S4727" i="11" s="1"/>
  <c r="O4728" i="11"/>
  <c r="U4728" i="11" s="1"/>
  <c r="S4728" i="11" s="1"/>
  <c r="O4729" i="11"/>
  <c r="U4729" i="11" s="1"/>
  <c r="S4729" i="11" s="1"/>
  <c r="O4730" i="11"/>
  <c r="U4730" i="11" s="1"/>
  <c r="S4730" i="11" s="1"/>
  <c r="O4731" i="11"/>
  <c r="U4731" i="11" s="1"/>
  <c r="S4731" i="11" s="1"/>
  <c r="O4732" i="11"/>
  <c r="U4732" i="11" s="1"/>
  <c r="S4732" i="11" s="1"/>
  <c r="O4733" i="11"/>
  <c r="U4733" i="11" s="1"/>
  <c r="S4733" i="11" s="1"/>
  <c r="O4734" i="11"/>
  <c r="U4734" i="11" s="1"/>
  <c r="S4734" i="11" s="1"/>
  <c r="O4735" i="11"/>
  <c r="U4735" i="11" s="1"/>
  <c r="S4735" i="11" s="1"/>
  <c r="O4736" i="11"/>
  <c r="U4736" i="11" s="1"/>
  <c r="S4736" i="11" s="1"/>
  <c r="O4737" i="11"/>
  <c r="U4737" i="11" s="1"/>
  <c r="S4737" i="11" s="1"/>
  <c r="O4738" i="11"/>
  <c r="U4738" i="11" s="1"/>
  <c r="S4738" i="11" s="1"/>
  <c r="O4739" i="11"/>
  <c r="U4739" i="11" s="1"/>
  <c r="S4739" i="11" s="1"/>
  <c r="O4740" i="11"/>
  <c r="U4740" i="11" s="1"/>
  <c r="S4740" i="11" s="1"/>
  <c r="O4741" i="11"/>
  <c r="U4741" i="11" s="1"/>
  <c r="S4741" i="11" s="1"/>
  <c r="O4742" i="11"/>
  <c r="U4742" i="11" s="1"/>
  <c r="S4742" i="11" s="1"/>
  <c r="O4743" i="11"/>
  <c r="U4743" i="11" s="1"/>
  <c r="S4743" i="11" s="1"/>
  <c r="O4744" i="11"/>
  <c r="U4744" i="11" s="1"/>
  <c r="S4744" i="11" s="1"/>
  <c r="O4745" i="11"/>
  <c r="U4745" i="11" s="1"/>
  <c r="S4745" i="11" s="1"/>
  <c r="O4746" i="11"/>
  <c r="U4746" i="11" s="1"/>
  <c r="S4746" i="11" s="1"/>
  <c r="O4747" i="11"/>
  <c r="U4747" i="11" s="1"/>
  <c r="S4747" i="11"/>
  <c r="O4748" i="11"/>
  <c r="U4748" i="11" s="1"/>
  <c r="S4748" i="11" s="1"/>
  <c r="O4749" i="11"/>
  <c r="U4749" i="11" s="1"/>
  <c r="S4749" i="11" s="1"/>
  <c r="O4750" i="11"/>
  <c r="U4750" i="11" s="1"/>
  <c r="S4750" i="11" s="1"/>
  <c r="O4751" i="11"/>
  <c r="U4751" i="11" s="1"/>
  <c r="S4751" i="11" s="1"/>
  <c r="O4752" i="11"/>
  <c r="U4752" i="11" s="1"/>
  <c r="S4752" i="11" s="1"/>
  <c r="O4753" i="11"/>
  <c r="U4753" i="11" s="1"/>
  <c r="S4753" i="11" s="1"/>
  <c r="O4754" i="11"/>
  <c r="U4754" i="11" s="1"/>
  <c r="S4754" i="11" s="1"/>
  <c r="O4755" i="11"/>
  <c r="U4755" i="11" s="1"/>
  <c r="S4755" i="11" s="1"/>
  <c r="O4756" i="11"/>
  <c r="U4756" i="11" s="1"/>
  <c r="S4756" i="11" s="1"/>
  <c r="O4757" i="11"/>
  <c r="U4757" i="11" s="1"/>
  <c r="S4757" i="11" s="1"/>
  <c r="O4758" i="11"/>
  <c r="U4758" i="11" s="1"/>
  <c r="S4758" i="11" s="1"/>
  <c r="O4759" i="11"/>
  <c r="U4759" i="11" s="1"/>
  <c r="S4759" i="11" s="1"/>
  <c r="O4760" i="11"/>
  <c r="U4760" i="11" s="1"/>
  <c r="S4760" i="11" s="1"/>
  <c r="O4761" i="11"/>
  <c r="U4761" i="11" s="1"/>
  <c r="S4761" i="11" s="1"/>
  <c r="O4762" i="11"/>
  <c r="U4762" i="11" s="1"/>
  <c r="S4762" i="11" s="1"/>
  <c r="O4763" i="11"/>
  <c r="U4763" i="11" s="1"/>
  <c r="S4763" i="11" s="1"/>
  <c r="O4764" i="11"/>
  <c r="U4764" i="11" s="1"/>
  <c r="S4764" i="11" s="1"/>
  <c r="O4765" i="11"/>
  <c r="U4765" i="11" s="1"/>
  <c r="S4765" i="11" s="1"/>
  <c r="O4766" i="11"/>
  <c r="U4766" i="11" s="1"/>
  <c r="S4766" i="11" s="1"/>
  <c r="O4767" i="11"/>
  <c r="U4767" i="11" s="1"/>
  <c r="S4767" i="11" s="1"/>
  <c r="O4768" i="11"/>
  <c r="U4768" i="11" s="1"/>
  <c r="S4768" i="11" s="1"/>
  <c r="O4769" i="11"/>
  <c r="U4769" i="11" s="1"/>
  <c r="S4769" i="11" s="1"/>
  <c r="O4770" i="11"/>
  <c r="U4770" i="11" s="1"/>
  <c r="S4770" i="11" s="1"/>
  <c r="O4771" i="11"/>
  <c r="U4771" i="11" s="1"/>
  <c r="S4771" i="11" s="1"/>
  <c r="O4772" i="11"/>
  <c r="U4772" i="11" s="1"/>
  <c r="S4772" i="11" s="1"/>
  <c r="O4773" i="11"/>
  <c r="U4773" i="11" s="1"/>
  <c r="S4773" i="11" s="1"/>
  <c r="O4774" i="11"/>
  <c r="U4774" i="11" s="1"/>
  <c r="S4774" i="11" s="1"/>
  <c r="O4775" i="11"/>
  <c r="U4775" i="11" s="1"/>
  <c r="S4775" i="11" s="1"/>
  <c r="O4776" i="11"/>
  <c r="U4776" i="11"/>
  <c r="S4776" i="11"/>
  <c r="O4777" i="11"/>
  <c r="U4777" i="11" s="1"/>
  <c r="S4777" i="11" s="1"/>
  <c r="O4778" i="11"/>
  <c r="U4778" i="11" s="1"/>
  <c r="S4778" i="11" s="1"/>
  <c r="O4779" i="11"/>
  <c r="U4779" i="11" s="1"/>
  <c r="S4779" i="11" s="1"/>
  <c r="O4780" i="11"/>
  <c r="U4780" i="11"/>
  <c r="S4780" i="11" s="1"/>
  <c r="O4781" i="11"/>
  <c r="U4781" i="11" s="1"/>
  <c r="S4781" i="11" s="1"/>
  <c r="O4782" i="11"/>
  <c r="U4782" i="11" s="1"/>
  <c r="S4782" i="11" s="1"/>
  <c r="O4783" i="11"/>
  <c r="U4783" i="11" s="1"/>
  <c r="S4783" i="11" s="1"/>
  <c r="O4784" i="11"/>
  <c r="U4784" i="11"/>
  <c r="S4784" i="11" s="1"/>
  <c r="O4785" i="11"/>
  <c r="U4785" i="11" s="1"/>
  <c r="S4785" i="11" s="1"/>
  <c r="O4786" i="11"/>
  <c r="U4786" i="11" s="1"/>
  <c r="S4786" i="11" s="1"/>
  <c r="O4787" i="11"/>
  <c r="U4787" i="11" s="1"/>
  <c r="S4787" i="11" s="1"/>
  <c r="O4788" i="11"/>
  <c r="U4788" i="11"/>
  <c r="S4788" i="11" s="1"/>
  <c r="O4789" i="11"/>
  <c r="U4789" i="11" s="1"/>
  <c r="S4789" i="11" s="1"/>
  <c r="O4790" i="11"/>
  <c r="U4790" i="11" s="1"/>
  <c r="S4790" i="11" s="1"/>
  <c r="O4791" i="11"/>
  <c r="U4791" i="11" s="1"/>
  <c r="S4791" i="11" s="1"/>
  <c r="O4792" i="11"/>
  <c r="U4792" i="11" s="1"/>
  <c r="S4792" i="11" s="1"/>
  <c r="O4793" i="11"/>
  <c r="U4793" i="11" s="1"/>
  <c r="S4793" i="11" s="1"/>
  <c r="O4794" i="11"/>
  <c r="U4794" i="11" s="1"/>
  <c r="S4794" i="11" s="1"/>
  <c r="O4795" i="11"/>
  <c r="U4795" i="11" s="1"/>
  <c r="S4795" i="11" s="1"/>
  <c r="O4796" i="11"/>
  <c r="U4796" i="11" s="1"/>
  <c r="S4796" i="11" s="1"/>
  <c r="O4797" i="11"/>
  <c r="U4797" i="11" s="1"/>
  <c r="S4797" i="11" s="1"/>
  <c r="O4798" i="11"/>
  <c r="U4798" i="11" s="1"/>
  <c r="S4798" i="11" s="1"/>
  <c r="O4799" i="11"/>
  <c r="U4799" i="11" s="1"/>
  <c r="S4799" i="11" s="1"/>
  <c r="O4800" i="11"/>
  <c r="U4800" i="11" s="1"/>
  <c r="S4800" i="11" s="1"/>
  <c r="O4801" i="11"/>
  <c r="U4801" i="11" s="1"/>
  <c r="S4801" i="11" s="1"/>
  <c r="O4802" i="11"/>
  <c r="U4802" i="11" s="1"/>
  <c r="S4802" i="11" s="1"/>
  <c r="O4803" i="11"/>
  <c r="U4803" i="11" s="1"/>
  <c r="S4803" i="11"/>
  <c r="O4804" i="11"/>
  <c r="U4804" i="11" s="1"/>
  <c r="S4804" i="11" s="1"/>
  <c r="O4805" i="11"/>
  <c r="U4805" i="11" s="1"/>
  <c r="S4805" i="11" s="1"/>
  <c r="O4806" i="11"/>
  <c r="U4806" i="11" s="1"/>
  <c r="S4806" i="11" s="1"/>
  <c r="O4807" i="11"/>
  <c r="U4807" i="11" s="1"/>
  <c r="S4807" i="11" s="1"/>
  <c r="O4808" i="11"/>
  <c r="U4808" i="11" s="1"/>
  <c r="S4808" i="11" s="1"/>
  <c r="O4809" i="11"/>
  <c r="U4809" i="11" s="1"/>
  <c r="S4809" i="11" s="1"/>
  <c r="O4810" i="11"/>
  <c r="U4810" i="11" s="1"/>
  <c r="S4810" i="11" s="1"/>
  <c r="O4811" i="11"/>
  <c r="U4811" i="11" s="1"/>
  <c r="S4811" i="11" s="1"/>
  <c r="O4812" i="11"/>
  <c r="U4812" i="11" s="1"/>
  <c r="S4812" i="11" s="1"/>
  <c r="O4813" i="11"/>
  <c r="U4813" i="11" s="1"/>
  <c r="S4813" i="11" s="1"/>
  <c r="O4814" i="11"/>
  <c r="U4814" i="11" s="1"/>
  <c r="S4814" i="11" s="1"/>
  <c r="O4815" i="11"/>
  <c r="U4815" i="11" s="1"/>
  <c r="S4815" i="11" s="1"/>
  <c r="O4816" i="11"/>
  <c r="U4816" i="11"/>
  <c r="S4816" i="11" s="1"/>
  <c r="O4817" i="11"/>
  <c r="U4817" i="11" s="1"/>
  <c r="S4817" i="11" s="1"/>
  <c r="O4818" i="11"/>
  <c r="U4818" i="11" s="1"/>
  <c r="S4818" i="11" s="1"/>
  <c r="O4819" i="11"/>
  <c r="U4819" i="11" s="1"/>
  <c r="S4819" i="11" s="1"/>
  <c r="O4820" i="11"/>
  <c r="U4820" i="11" s="1"/>
  <c r="S4820" i="11" s="1"/>
  <c r="O4821" i="11"/>
  <c r="U4821" i="11" s="1"/>
  <c r="S4821" i="11" s="1"/>
  <c r="O4822" i="11"/>
  <c r="U4822" i="11" s="1"/>
  <c r="S4822" i="11"/>
  <c r="O4823" i="11"/>
  <c r="U4823" i="11" s="1"/>
  <c r="S4823" i="11" s="1"/>
  <c r="O4824" i="11"/>
  <c r="U4824" i="11" s="1"/>
  <c r="S4824" i="11" s="1"/>
  <c r="O4825" i="11"/>
  <c r="U4825" i="11" s="1"/>
  <c r="S4825" i="11" s="1"/>
  <c r="O4826" i="11"/>
  <c r="U4826" i="11" s="1"/>
  <c r="S4826" i="11" s="1"/>
  <c r="O4827" i="11"/>
  <c r="U4827" i="11" s="1"/>
  <c r="S4827" i="11" s="1"/>
  <c r="O4828" i="11"/>
  <c r="U4828" i="11" s="1"/>
  <c r="S4828" i="11" s="1"/>
  <c r="O4829" i="11"/>
  <c r="U4829" i="11" s="1"/>
  <c r="S4829" i="11" s="1"/>
  <c r="O4830" i="11"/>
  <c r="U4830" i="11" s="1"/>
  <c r="S4830" i="11" s="1"/>
  <c r="O4831" i="11"/>
  <c r="U4831" i="11" s="1"/>
  <c r="S4831" i="11" s="1"/>
  <c r="O4832" i="11"/>
  <c r="U4832" i="11" s="1"/>
  <c r="S4832" i="11" s="1"/>
  <c r="O4833" i="11"/>
  <c r="U4833" i="11"/>
  <c r="S4833" i="11" s="1"/>
  <c r="O4834" i="11"/>
  <c r="U4834" i="11" s="1"/>
  <c r="S4834" i="11" s="1"/>
  <c r="O4835" i="11"/>
  <c r="U4835" i="11" s="1"/>
  <c r="S4835" i="11" s="1"/>
  <c r="O4836" i="11"/>
  <c r="U4836" i="11" s="1"/>
  <c r="S4836" i="11" s="1"/>
  <c r="O4837" i="11"/>
  <c r="U4837" i="11" s="1"/>
  <c r="S4837" i="11" s="1"/>
  <c r="O4838" i="11"/>
  <c r="U4838" i="11" s="1"/>
  <c r="S4838" i="11" s="1"/>
  <c r="O4839" i="11"/>
  <c r="U4839" i="11" s="1"/>
  <c r="S4839" i="11" s="1"/>
  <c r="O4840" i="11"/>
  <c r="U4840" i="11" s="1"/>
  <c r="S4840" i="11" s="1"/>
  <c r="O4841" i="11"/>
  <c r="U4841" i="11" s="1"/>
  <c r="S4841" i="11" s="1"/>
  <c r="O4842" i="11"/>
  <c r="U4842" i="11" s="1"/>
  <c r="S4842" i="11" s="1"/>
  <c r="O4843" i="11"/>
  <c r="U4843" i="11"/>
  <c r="S4843" i="11"/>
  <c r="O4844" i="11"/>
  <c r="U4844" i="11" s="1"/>
  <c r="S4844" i="11" s="1"/>
  <c r="O4845" i="11"/>
  <c r="U4845" i="11" s="1"/>
  <c r="S4845" i="11" s="1"/>
  <c r="O4846" i="11"/>
  <c r="U4846" i="11" s="1"/>
  <c r="S4846" i="11" s="1"/>
  <c r="O4847" i="11"/>
  <c r="U4847" i="11" s="1"/>
  <c r="S4847" i="11" s="1"/>
  <c r="O4848" i="11"/>
  <c r="U4848" i="11" s="1"/>
  <c r="S4848" i="11" s="1"/>
  <c r="O4849" i="11"/>
  <c r="U4849" i="11" s="1"/>
  <c r="S4849" i="11" s="1"/>
  <c r="O4850" i="11"/>
  <c r="U4850" i="11" s="1"/>
  <c r="S4850" i="11" s="1"/>
  <c r="O4851" i="11"/>
  <c r="U4851" i="11" s="1"/>
  <c r="S4851" i="11" s="1"/>
  <c r="O4852" i="11"/>
  <c r="U4852" i="11" s="1"/>
  <c r="S4852" i="11" s="1"/>
  <c r="O4853" i="11"/>
  <c r="U4853" i="11" s="1"/>
  <c r="S4853" i="11" s="1"/>
  <c r="O4854" i="11"/>
  <c r="U4854" i="11" s="1"/>
  <c r="S4854" i="11" s="1"/>
  <c r="O4855" i="11"/>
  <c r="U4855" i="11" s="1"/>
  <c r="S4855" i="11" s="1"/>
  <c r="O4856" i="11"/>
  <c r="U4856" i="11" s="1"/>
  <c r="S4856" i="11" s="1"/>
  <c r="O4857" i="11"/>
  <c r="U4857" i="11" s="1"/>
  <c r="S4857" i="11" s="1"/>
  <c r="O4858" i="11"/>
  <c r="U4858" i="11" s="1"/>
  <c r="S4858" i="11"/>
  <c r="O4859" i="11"/>
  <c r="U4859" i="11" s="1"/>
  <c r="S4859" i="11" s="1"/>
  <c r="O4860" i="11"/>
  <c r="U4860" i="11" s="1"/>
  <c r="S4860" i="11" s="1"/>
  <c r="O4861" i="11"/>
  <c r="U4861" i="11" s="1"/>
  <c r="S4861" i="11" s="1"/>
  <c r="O4862" i="11"/>
  <c r="U4862" i="11" s="1"/>
  <c r="S4862" i="11" s="1"/>
  <c r="O4863" i="11"/>
  <c r="U4863" i="11" s="1"/>
  <c r="S4863" i="11" s="1"/>
  <c r="O4864" i="11"/>
  <c r="U4864" i="11" s="1"/>
  <c r="S4864" i="11" s="1"/>
  <c r="O4865" i="11"/>
  <c r="U4865" i="11" s="1"/>
  <c r="S4865" i="11" s="1"/>
  <c r="O4866" i="11"/>
  <c r="U4866" i="11" s="1"/>
  <c r="S4866" i="11" s="1"/>
  <c r="O4867" i="11"/>
  <c r="U4867" i="11" s="1"/>
  <c r="S4867" i="11" s="1"/>
  <c r="O4868" i="11"/>
  <c r="U4868" i="11" s="1"/>
  <c r="S4868" i="11" s="1"/>
  <c r="O4869" i="11"/>
  <c r="U4869" i="11" s="1"/>
  <c r="S4869" i="11" s="1"/>
  <c r="O4870" i="11"/>
  <c r="U4870" i="11" s="1"/>
  <c r="S4870" i="11" s="1"/>
  <c r="O4871" i="11"/>
  <c r="U4871" i="11" s="1"/>
  <c r="S4871" i="11" s="1"/>
  <c r="O4872" i="11"/>
  <c r="U4872" i="11" s="1"/>
  <c r="S4872" i="11" s="1"/>
  <c r="O4873" i="11"/>
  <c r="U4873" i="11" s="1"/>
  <c r="S4873" i="11" s="1"/>
  <c r="O4874" i="11"/>
  <c r="U4874" i="11"/>
  <c r="S4874" i="11" s="1"/>
  <c r="O4875" i="11"/>
  <c r="U4875" i="11" s="1"/>
  <c r="S4875" i="11" s="1"/>
  <c r="O4876" i="11"/>
  <c r="U4876" i="11" s="1"/>
  <c r="S4876" i="11" s="1"/>
  <c r="O4877" i="11"/>
  <c r="U4877" i="11" s="1"/>
  <c r="O4878" i="11"/>
  <c r="U4878" i="11"/>
  <c r="S4878" i="11" s="1"/>
  <c r="O4879" i="11"/>
  <c r="U4879" i="11" s="1"/>
  <c r="S4879" i="11" s="1"/>
  <c r="O4880" i="11"/>
  <c r="U4880" i="11" s="1"/>
  <c r="S4880" i="11" s="1"/>
  <c r="O4881" i="11"/>
  <c r="U4881" i="11" s="1"/>
  <c r="S4881" i="11" s="1"/>
  <c r="O4882" i="11"/>
  <c r="U4882" i="11" s="1"/>
  <c r="S4882" i="11" s="1"/>
  <c r="O4883" i="11"/>
  <c r="U4883" i="11" s="1"/>
  <c r="S4883" i="11" s="1"/>
  <c r="O4884" i="11"/>
  <c r="U4884" i="11" s="1"/>
  <c r="O4885" i="11"/>
  <c r="U4885" i="11" s="1"/>
  <c r="S4885" i="11" s="1"/>
  <c r="O4886" i="11"/>
  <c r="U4886" i="11" s="1"/>
  <c r="S4886" i="11" s="1"/>
  <c r="O4887" i="11"/>
  <c r="U4887" i="11" s="1"/>
  <c r="S4887" i="11" s="1"/>
  <c r="O4888" i="11"/>
  <c r="U4888" i="11" s="1"/>
  <c r="S4888" i="11"/>
  <c r="O4889" i="11"/>
  <c r="U4889" i="11" s="1"/>
  <c r="S4889" i="11" s="1"/>
  <c r="O4890" i="11"/>
  <c r="U4890" i="11" s="1"/>
  <c r="S4890" i="11" s="1"/>
  <c r="O4891" i="11"/>
  <c r="U4891" i="11" s="1"/>
  <c r="S4891" i="11" s="1"/>
  <c r="O4892" i="11"/>
  <c r="U4892" i="11" s="1"/>
  <c r="S4892" i="11"/>
  <c r="O4893" i="11"/>
  <c r="U4893" i="11" s="1"/>
  <c r="S4893" i="11" s="1"/>
  <c r="O4894" i="11"/>
  <c r="U4894" i="11" s="1"/>
  <c r="S4894" i="11" s="1"/>
  <c r="O4895" i="11"/>
  <c r="U4895" i="11" s="1"/>
  <c r="S4895" i="11" s="1"/>
  <c r="O4896" i="11"/>
  <c r="U4896" i="11" s="1"/>
  <c r="S4896" i="11" s="1"/>
  <c r="O4897" i="11"/>
  <c r="U4897" i="11" s="1"/>
  <c r="S4897" i="11" s="1"/>
  <c r="O4898" i="11"/>
  <c r="U4898" i="11"/>
  <c r="S4898" i="11" s="1"/>
  <c r="O4899" i="11"/>
  <c r="U4899" i="11" s="1"/>
  <c r="S4899" i="11" s="1"/>
  <c r="O4900" i="11"/>
  <c r="U4900" i="11" s="1"/>
  <c r="S4900" i="11" s="1"/>
  <c r="O4901" i="11"/>
  <c r="U4901" i="11" s="1"/>
  <c r="S4901" i="11" s="1"/>
  <c r="O4902" i="11"/>
  <c r="U4902" i="11" s="1"/>
  <c r="S4902" i="11" s="1"/>
  <c r="O4903" i="11"/>
  <c r="U4903" i="11"/>
  <c r="S4903" i="11" s="1"/>
  <c r="O4904" i="11"/>
  <c r="U4904" i="11" s="1"/>
  <c r="S4904" i="11"/>
  <c r="O4905" i="11"/>
  <c r="U4905" i="11" s="1"/>
  <c r="S4905" i="11" s="1"/>
  <c r="O4906" i="11"/>
  <c r="U4906" i="11"/>
  <c r="S4906" i="11" s="1"/>
  <c r="O4907" i="11"/>
  <c r="U4907" i="11" s="1"/>
  <c r="S4907" i="11" s="1"/>
  <c r="O4908" i="11"/>
  <c r="U4908" i="11" s="1"/>
  <c r="S4908" i="11" s="1"/>
  <c r="O4909" i="11"/>
  <c r="U4909" i="11" s="1"/>
  <c r="S4909" i="11" s="1"/>
  <c r="O4910" i="11"/>
  <c r="U4910" i="11" s="1"/>
  <c r="S4910" i="11" s="1"/>
  <c r="O4911" i="11"/>
  <c r="U4911" i="11" s="1"/>
  <c r="S4911" i="11" s="1"/>
  <c r="O4912" i="11"/>
  <c r="U4912" i="11" s="1"/>
  <c r="S4912" i="11" s="1"/>
  <c r="O4913" i="11"/>
  <c r="U4913" i="11" s="1"/>
  <c r="S4913" i="11" s="1"/>
  <c r="O4914" i="11"/>
  <c r="U4914" i="11"/>
  <c r="S4914" i="11" s="1"/>
  <c r="O4915" i="11"/>
  <c r="U4915" i="11" s="1"/>
  <c r="S4915" i="11" s="1"/>
  <c r="O4916" i="11"/>
  <c r="U4916" i="11" s="1"/>
  <c r="S4916" i="11" s="1"/>
  <c r="O4917" i="11"/>
  <c r="U4917" i="11" s="1"/>
  <c r="S4917" i="11" s="1"/>
  <c r="O4918" i="11"/>
  <c r="U4918" i="11"/>
  <c r="S4918" i="11" s="1"/>
  <c r="O4919" i="11"/>
  <c r="U4919" i="11" s="1"/>
  <c r="S4919" i="11" s="1"/>
  <c r="O4920" i="11"/>
  <c r="U4920" i="11" s="1"/>
  <c r="S4920" i="11" s="1"/>
  <c r="O4921" i="11"/>
  <c r="U4921" i="11" s="1"/>
  <c r="S4921" i="11" s="1"/>
  <c r="O4922" i="11"/>
  <c r="U4922" i="11" s="1"/>
  <c r="S4922" i="11" s="1"/>
  <c r="O4923" i="11"/>
  <c r="U4923" i="11" s="1"/>
  <c r="S4923" i="11" s="1"/>
  <c r="O4924" i="11"/>
  <c r="U4924" i="11" s="1"/>
  <c r="S4924" i="11" s="1"/>
  <c r="O4925" i="11"/>
  <c r="U4925" i="11" s="1"/>
  <c r="O4926" i="11"/>
  <c r="U4926" i="11" s="1"/>
  <c r="S4926" i="11" s="1"/>
  <c r="O4927" i="11"/>
  <c r="U4927" i="11" s="1"/>
  <c r="S4927" i="11" s="1"/>
  <c r="O4928" i="11"/>
  <c r="U4928" i="11" s="1"/>
  <c r="S4928" i="11" s="1"/>
  <c r="O4929" i="11"/>
  <c r="U4929" i="11" s="1"/>
  <c r="S4929" i="11" s="1"/>
  <c r="O4930" i="11"/>
  <c r="U4930" i="11"/>
  <c r="S4930" i="11" s="1"/>
  <c r="O4931" i="11"/>
  <c r="U4931" i="11" s="1"/>
  <c r="S4931" i="11" s="1"/>
  <c r="O4932" i="11"/>
  <c r="U4932" i="11" s="1"/>
  <c r="O4933" i="11"/>
  <c r="U4933" i="11" s="1"/>
  <c r="S4933" i="11" s="1"/>
  <c r="O4934" i="11"/>
  <c r="U4934" i="11"/>
  <c r="S4934" i="11" s="1"/>
  <c r="O4935" i="11"/>
  <c r="U4935" i="11"/>
  <c r="S4935" i="11" s="1"/>
  <c r="O4936" i="11"/>
  <c r="U4936" i="11" s="1"/>
  <c r="S4936" i="11" s="1"/>
  <c r="O4937" i="11"/>
  <c r="U4937" i="11" s="1"/>
  <c r="S4937" i="11" s="1"/>
  <c r="O4938" i="11"/>
  <c r="U4938" i="11" s="1"/>
  <c r="S4938" i="11" s="1"/>
  <c r="O4939" i="11"/>
  <c r="U4939" i="11" s="1"/>
  <c r="S4939" i="11" s="1"/>
  <c r="O4940" i="11"/>
  <c r="U4940" i="11" s="1"/>
  <c r="S4940" i="11" s="1"/>
  <c r="O4941" i="11"/>
  <c r="U4941" i="11" s="1"/>
  <c r="S4941" i="11" s="1"/>
  <c r="O4942" i="11"/>
  <c r="U4942" i="11" s="1"/>
  <c r="S4942" i="11" s="1"/>
  <c r="O4943" i="11"/>
  <c r="U4943" i="11" s="1"/>
  <c r="S4943" i="11" s="1"/>
  <c r="O4944" i="11"/>
  <c r="U4944" i="11" s="1"/>
  <c r="S4944" i="11" s="1"/>
  <c r="O4945" i="11"/>
  <c r="U4945" i="11" s="1"/>
  <c r="S4945" i="11" s="1"/>
  <c r="O4946" i="11"/>
  <c r="U4946" i="11" s="1"/>
  <c r="S4946" i="11" s="1"/>
  <c r="O4947" i="11"/>
  <c r="U4947" i="11"/>
  <c r="S4947" i="11" s="1"/>
  <c r="O4948" i="11"/>
  <c r="U4948" i="11" s="1"/>
  <c r="S4948" i="11" s="1"/>
  <c r="O4949" i="11"/>
  <c r="U4949" i="11" s="1"/>
  <c r="S4949" i="11" s="1"/>
  <c r="O4950" i="11"/>
  <c r="U4950" i="11" s="1"/>
  <c r="S4950" i="11" s="1"/>
  <c r="O4951" i="11"/>
  <c r="U4951" i="11" s="1"/>
  <c r="S4951" i="11" s="1"/>
  <c r="O4952" i="11"/>
  <c r="U4952" i="11" s="1"/>
  <c r="S4952" i="11" s="1"/>
  <c r="O4953" i="11"/>
  <c r="U4953" i="11" s="1"/>
  <c r="S4953" i="11" s="1"/>
  <c r="O4954" i="11"/>
  <c r="U4954" i="11" s="1"/>
  <c r="S4954" i="11" s="1"/>
  <c r="O4955" i="11"/>
  <c r="U4955" i="11"/>
  <c r="S4955" i="11" s="1"/>
  <c r="O4956" i="11"/>
  <c r="U4956" i="11" s="1"/>
  <c r="S4956" i="11" s="1"/>
  <c r="O4957" i="11"/>
  <c r="U4957" i="11" s="1"/>
  <c r="S4957" i="11" s="1"/>
  <c r="O4958" i="11"/>
  <c r="U4958" i="11" s="1"/>
  <c r="S4958" i="11" s="1"/>
  <c r="O4959" i="11"/>
  <c r="U4959" i="11"/>
  <c r="S4959" i="11" s="1"/>
  <c r="O4960" i="11"/>
  <c r="U4960" i="11" s="1"/>
  <c r="S4960" i="11" s="1"/>
  <c r="O4961" i="11"/>
  <c r="U4961" i="11" s="1"/>
  <c r="S4961" i="11" s="1"/>
  <c r="O4962" i="11"/>
  <c r="U4962" i="11" s="1"/>
  <c r="S4962" i="11" s="1"/>
  <c r="O4963" i="11"/>
  <c r="U4963" i="11" s="1"/>
  <c r="S4963" i="11" s="1"/>
  <c r="O4964" i="11"/>
  <c r="U4964" i="11" s="1"/>
  <c r="S4964" i="11" s="1"/>
  <c r="O4965" i="11"/>
  <c r="U4965" i="11" s="1"/>
  <c r="S4965" i="11" s="1"/>
  <c r="O4966" i="11"/>
  <c r="U4966" i="11" s="1"/>
  <c r="S4966" i="11" s="1"/>
  <c r="O4967" i="11"/>
  <c r="U4967" i="11"/>
  <c r="S4967" i="11" s="1"/>
  <c r="O4968" i="11"/>
  <c r="U4968" i="11" s="1"/>
  <c r="S4968" i="11" s="1"/>
  <c r="O4969" i="11"/>
  <c r="U4969" i="11" s="1"/>
  <c r="S4969" i="11" s="1"/>
  <c r="O4970" i="11"/>
  <c r="U4970" i="11" s="1"/>
  <c r="S4970" i="11" s="1"/>
  <c r="O4971" i="11"/>
  <c r="U4971" i="11"/>
  <c r="S4971" i="11" s="1"/>
  <c r="O4972" i="11"/>
  <c r="U4972" i="11" s="1"/>
  <c r="S4972" i="11" s="1"/>
  <c r="O4973" i="11"/>
  <c r="U4973" i="11" s="1"/>
  <c r="O4974" i="11"/>
  <c r="U4974" i="11" s="1"/>
  <c r="S4974" i="11" s="1"/>
  <c r="O4975" i="11"/>
  <c r="U4975" i="11" s="1"/>
  <c r="S4975" i="11" s="1"/>
  <c r="O4976" i="11"/>
  <c r="U4976" i="11" s="1"/>
  <c r="S4976" i="11"/>
  <c r="O4977" i="11"/>
  <c r="U4977" i="11" s="1"/>
  <c r="S4977" i="11" s="1"/>
  <c r="O4978" i="11"/>
  <c r="U4978" i="11"/>
  <c r="S4978" i="11" s="1"/>
  <c r="O4979" i="11"/>
  <c r="U4979" i="11" s="1"/>
  <c r="S4979" i="11" s="1"/>
  <c r="O4980" i="11"/>
  <c r="U4980" i="11" s="1"/>
  <c r="O4981" i="11"/>
  <c r="U4981" i="11" s="1"/>
  <c r="S4981" i="11" s="1"/>
  <c r="O4982" i="11"/>
  <c r="U4982" i="11"/>
  <c r="S4982" i="11" s="1"/>
  <c r="O4983" i="11"/>
  <c r="U4983" i="11" s="1"/>
  <c r="S4983" i="11" s="1"/>
  <c r="O4984" i="11"/>
  <c r="U4984" i="11" s="1"/>
  <c r="S4984" i="11" s="1"/>
  <c r="O4985" i="11"/>
  <c r="U4985" i="11" s="1"/>
  <c r="S4985" i="11" s="1"/>
  <c r="O4986" i="11"/>
  <c r="U4986" i="11" s="1"/>
  <c r="S4986" i="11" s="1"/>
  <c r="O4987" i="11"/>
  <c r="U4987" i="11" s="1"/>
  <c r="S4987" i="11" s="1"/>
  <c r="O4988" i="11"/>
  <c r="U4988" i="11" s="1"/>
  <c r="S4988" i="11" s="1"/>
  <c r="O4989" i="11"/>
  <c r="U4989" i="11" s="1"/>
  <c r="S4989" i="11" s="1"/>
  <c r="O4990" i="11"/>
  <c r="U4990" i="11" s="1"/>
  <c r="S4990" i="11" s="1"/>
  <c r="O4991" i="11"/>
  <c r="U4991" i="11"/>
  <c r="S4991" i="11" s="1"/>
  <c r="O4992" i="11"/>
  <c r="U4992" i="11" s="1"/>
  <c r="S4992" i="11" s="1"/>
  <c r="O4993" i="11"/>
  <c r="U4993" i="11" s="1"/>
  <c r="S4993" i="11" s="1"/>
  <c r="O4994" i="11"/>
  <c r="U4994" i="11" s="1"/>
  <c r="S4994" i="11" s="1"/>
  <c r="O4995" i="11"/>
  <c r="U4995" i="11" s="1"/>
  <c r="S4995" i="11" s="1"/>
  <c r="O4996" i="11"/>
  <c r="U4996" i="11" s="1"/>
  <c r="S4996" i="11" s="1"/>
  <c r="O4997" i="11"/>
  <c r="U4997" i="11" s="1"/>
  <c r="S4997" i="11" s="1"/>
  <c r="O4998" i="11"/>
  <c r="U4998" i="11" s="1"/>
  <c r="S4998" i="11" s="1"/>
  <c r="O4999" i="11"/>
  <c r="U4999" i="11" s="1"/>
  <c r="S4999" i="11" s="1"/>
  <c r="O5000" i="11"/>
  <c r="U5000" i="11" s="1"/>
  <c r="S5000" i="11" s="1"/>
  <c r="O5001" i="11"/>
  <c r="U5001" i="11" s="1"/>
  <c r="S5001" i="11" s="1"/>
  <c r="O5002" i="11"/>
  <c r="U5002" i="11"/>
  <c r="S5002" i="11" s="1"/>
  <c r="O5003" i="11"/>
  <c r="U5003" i="11"/>
  <c r="S5003" i="11" s="1"/>
  <c r="O5004" i="11"/>
  <c r="U5004" i="11" s="1"/>
  <c r="S5004" i="11" s="1"/>
  <c r="O5005" i="11"/>
  <c r="U5005" i="11" s="1"/>
  <c r="S5005" i="11" s="1"/>
  <c r="O5006" i="11"/>
  <c r="U5006" i="11"/>
  <c r="S5006" i="11" s="1"/>
  <c r="O5007" i="11"/>
  <c r="U5007" i="11" s="1"/>
  <c r="S5007" i="11" s="1"/>
  <c r="O5008" i="11"/>
  <c r="U5008" i="11" s="1"/>
  <c r="S5008" i="11" s="1"/>
  <c r="O5009" i="11"/>
  <c r="U5009" i="11" s="1"/>
  <c r="S5009" i="11" s="1"/>
  <c r="O5010" i="11"/>
  <c r="U5010" i="11"/>
  <c r="S5010" i="11" s="1"/>
  <c r="O5011" i="11"/>
  <c r="U5011" i="11" s="1"/>
  <c r="S5011" i="11" s="1"/>
  <c r="O5012" i="11"/>
  <c r="U5012" i="11" s="1"/>
  <c r="S5012" i="11" s="1"/>
  <c r="O5013" i="11"/>
  <c r="U5013" i="11" s="1"/>
  <c r="S5013" i="11" s="1"/>
  <c r="O5014" i="11"/>
  <c r="U5014" i="11" s="1"/>
  <c r="S5014" i="11" s="1"/>
  <c r="O5015" i="11"/>
  <c r="U5015" i="11" s="1"/>
  <c r="S5015" i="11" s="1"/>
  <c r="O5016" i="11"/>
  <c r="U5016" i="11" s="1"/>
  <c r="S5016" i="11" s="1"/>
  <c r="O5017" i="11"/>
  <c r="U5017" i="11" s="1"/>
  <c r="S5017" i="11" s="1"/>
  <c r="O5018" i="11"/>
  <c r="U5018" i="11" s="1"/>
  <c r="S5018" i="11" s="1"/>
  <c r="O5019" i="11"/>
  <c r="U5019" i="11"/>
  <c r="S5019" i="11" s="1"/>
  <c r="O5020" i="11"/>
  <c r="U5020" i="11" s="1"/>
  <c r="S5020" i="11" s="1"/>
  <c r="O5021" i="11"/>
  <c r="U5021" i="11" s="1"/>
  <c r="S5021" i="11" s="1"/>
  <c r="O5022" i="11"/>
  <c r="U5022" i="11" s="1"/>
  <c r="S5022" i="11" s="1"/>
  <c r="O5023" i="11"/>
  <c r="U5023" i="11" s="1"/>
  <c r="S5023" i="11" s="1"/>
  <c r="O5024" i="11"/>
  <c r="U5024" i="11" s="1"/>
  <c r="S5024" i="11" s="1"/>
  <c r="O5025" i="11"/>
  <c r="U5025" i="11" s="1"/>
  <c r="S5025" i="11" s="1"/>
  <c r="O5026" i="11"/>
  <c r="U5026" i="11" s="1"/>
  <c r="S5026" i="11" s="1"/>
  <c r="O5027" i="11"/>
  <c r="U5027" i="11"/>
  <c r="S5027" i="11" s="1"/>
  <c r="O5028" i="11"/>
  <c r="U5028" i="11" s="1"/>
  <c r="O5029" i="11"/>
  <c r="U5029" i="11" s="1"/>
  <c r="S5029" i="11" s="1"/>
  <c r="O5030" i="11"/>
  <c r="U5030" i="11" s="1"/>
  <c r="S5030" i="11" s="1"/>
  <c r="O5031" i="11"/>
  <c r="U5031" i="11" s="1"/>
  <c r="S5031" i="11" s="1"/>
  <c r="O5032" i="11"/>
  <c r="U5032" i="11" s="1"/>
  <c r="S5032" i="11" s="1"/>
  <c r="O5033" i="11"/>
  <c r="U5033" i="11" s="1"/>
  <c r="S5033" i="11" s="1"/>
  <c r="O5034" i="11"/>
  <c r="U5034" i="11" s="1"/>
  <c r="S5034" i="11" s="1"/>
  <c r="O5035" i="11"/>
  <c r="U5035" i="11" s="1"/>
  <c r="S5035" i="11" s="1"/>
  <c r="O5036" i="11"/>
  <c r="U5036" i="11" s="1"/>
  <c r="S5036" i="11" s="1"/>
  <c r="O5037" i="11"/>
  <c r="U5037" i="11" s="1"/>
  <c r="S5037" i="11" s="1"/>
  <c r="O5038" i="11"/>
  <c r="U5038" i="11" s="1"/>
  <c r="S5038" i="11" s="1"/>
  <c r="O5039" i="11"/>
  <c r="U5039" i="11"/>
  <c r="S5039" i="11" s="1"/>
  <c r="O5040" i="11"/>
  <c r="U5040" i="11" s="1"/>
  <c r="S5040" i="11" s="1"/>
  <c r="O5041" i="11"/>
  <c r="U5041" i="11" s="1"/>
  <c r="S5041" i="11" s="1"/>
  <c r="O5042" i="11"/>
  <c r="U5042" i="11" s="1"/>
  <c r="S5042" i="11" s="1"/>
  <c r="O5043" i="11"/>
  <c r="U5043" i="11" s="1"/>
  <c r="S5043" i="11" s="1"/>
  <c r="O5044" i="11"/>
  <c r="U5044" i="11" s="1"/>
  <c r="S5044" i="11" s="1"/>
  <c r="O5045" i="11"/>
  <c r="U5045" i="11" s="1"/>
  <c r="S5045" i="11" s="1"/>
  <c r="O5046" i="11"/>
  <c r="U5046" i="11"/>
  <c r="S5046" i="11" s="1"/>
  <c r="O5047" i="11"/>
  <c r="U5047" i="11" s="1"/>
  <c r="S5047" i="11" s="1"/>
  <c r="O5048" i="11"/>
  <c r="U5048" i="11" s="1"/>
  <c r="S5048" i="11" s="1"/>
  <c r="O5049" i="11"/>
  <c r="U5049" i="11" s="1"/>
  <c r="S5049" i="11" s="1"/>
  <c r="O5050" i="11"/>
  <c r="U5050" i="11"/>
  <c r="S5050" i="11" s="1"/>
  <c r="O5051" i="11"/>
  <c r="U5051" i="11" s="1"/>
  <c r="S5051" i="11" s="1"/>
  <c r="O5052" i="11"/>
  <c r="U5052" i="11" s="1"/>
  <c r="S5052" i="11" s="1"/>
  <c r="O5053" i="11"/>
  <c r="U5053" i="11" s="1"/>
  <c r="S5053" i="11" s="1"/>
  <c r="O5054" i="11"/>
  <c r="U5054" i="11"/>
  <c r="S5054" i="11" s="1"/>
  <c r="O5055" i="11"/>
  <c r="U5055" i="11" s="1"/>
  <c r="S5055" i="11" s="1"/>
  <c r="O5056" i="11"/>
  <c r="U5056" i="11" s="1"/>
  <c r="S5056" i="11" s="1"/>
  <c r="O5057" i="11"/>
  <c r="U5057" i="11" s="1"/>
  <c r="S5057" i="11" s="1"/>
  <c r="O5058" i="11"/>
  <c r="U5058" i="11"/>
  <c r="S5058" i="11" s="1"/>
  <c r="O5059" i="11"/>
  <c r="U5059" i="11" s="1"/>
  <c r="S5059" i="11" s="1"/>
  <c r="O5060" i="11"/>
  <c r="U5060" i="11" s="1"/>
  <c r="S5060" i="11" s="1"/>
  <c r="O5061" i="11"/>
  <c r="U5061" i="11" s="1"/>
  <c r="S5061" i="11" s="1"/>
  <c r="O5062" i="11"/>
  <c r="U5062" i="11"/>
  <c r="S5062" i="11" s="1"/>
  <c r="O5063" i="11"/>
  <c r="U5063" i="11" s="1"/>
  <c r="S5063" i="11" s="1"/>
  <c r="O5064" i="11"/>
  <c r="U5064" i="11" s="1"/>
  <c r="S5064" i="11" s="1"/>
  <c r="O5065" i="11"/>
  <c r="U5065" i="11" s="1"/>
  <c r="S5065" i="11" s="1"/>
  <c r="O5066" i="11"/>
  <c r="U5066" i="11"/>
  <c r="S5066" i="11" s="1"/>
  <c r="O5067" i="11"/>
  <c r="U5067" i="11" s="1"/>
  <c r="S5067" i="11" s="1"/>
  <c r="O5068" i="11"/>
  <c r="U5068" i="11" s="1"/>
  <c r="S5068" i="11" s="1"/>
  <c r="O5069" i="11"/>
  <c r="U5069" i="11" s="1"/>
  <c r="S5069" i="11" s="1"/>
  <c r="O5070" i="11"/>
  <c r="U5070" i="11"/>
  <c r="S5070" i="11" s="1"/>
  <c r="O5071" i="11"/>
  <c r="U5071" i="11" s="1"/>
  <c r="S5071" i="11" s="1"/>
  <c r="O5072" i="11"/>
  <c r="U5072" i="11" s="1"/>
  <c r="S5072" i="11"/>
  <c r="O5073" i="11"/>
  <c r="U5073" i="11" s="1"/>
  <c r="S5073" i="11" s="1"/>
  <c r="O5074" i="11"/>
  <c r="U5074" i="11" s="1"/>
  <c r="S5074" i="11" s="1"/>
  <c r="O5075" i="11"/>
  <c r="U5075" i="11" s="1"/>
  <c r="S5075" i="11" s="1"/>
  <c r="O5076" i="11"/>
  <c r="U5076" i="11" s="1"/>
  <c r="O5077" i="11"/>
  <c r="U5077" i="11" s="1"/>
  <c r="S5077" i="11" s="1"/>
  <c r="O5078" i="11"/>
  <c r="U5078" i="11" s="1"/>
  <c r="S5078" i="11" s="1"/>
  <c r="O5079" i="11"/>
  <c r="U5079" i="11" s="1"/>
  <c r="S5079" i="11" s="1"/>
  <c r="O5080" i="11"/>
  <c r="U5080" i="11" s="1"/>
  <c r="S5080" i="11" s="1"/>
  <c r="O5081" i="11"/>
  <c r="U5081" i="11" s="1"/>
  <c r="S5081" i="11" s="1"/>
  <c r="O5082" i="11"/>
  <c r="U5082" i="11" s="1"/>
  <c r="S5082" i="11" s="1"/>
  <c r="O5083" i="11"/>
  <c r="U5083" i="11" s="1"/>
  <c r="S5083" i="11" s="1"/>
  <c r="O5084" i="11"/>
  <c r="U5084" i="11" s="1"/>
  <c r="S5084" i="11" s="1"/>
  <c r="O5085" i="11"/>
  <c r="U5085" i="11" s="1"/>
  <c r="S5085" i="11" s="1"/>
  <c r="O5086" i="11"/>
  <c r="U5086" i="11" s="1"/>
  <c r="S5086" i="11" s="1"/>
  <c r="O5087" i="11"/>
  <c r="U5087" i="11" s="1"/>
  <c r="S5087" i="11" s="1"/>
  <c r="O5088" i="11"/>
  <c r="U5088" i="11" s="1"/>
  <c r="S5088" i="11"/>
  <c r="O5089" i="11"/>
  <c r="U5089" i="11" s="1"/>
  <c r="S5089" i="11" s="1"/>
  <c r="O5090" i="11"/>
  <c r="U5090" i="11" s="1"/>
  <c r="S5090" i="11" s="1"/>
  <c r="O5091" i="11"/>
  <c r="U5091" i="11"/>
  <c r="S5091" i="11" s="1"/>
  <c r="O5092" i="11"/>
  <c r="U5092" i="11" s="1"/>
  <c r="S5092" i="11" s="1"/>
  <c r="O5093" i="11"/>
  <c r="U5093" i="11" s="1"/>
  <c r="S5093" i="11" s="1"/>
  <c r="O5094" i="11"/>
  <c r="U5094" i="11" s="1"/>
  <c r="S5094" i="11" s="1"/>
  <c r="O5095" i="11"/>
  <c r="U5095" i="11"/>
  <c r="S5095" i="11" s="1"/>
  <c r="O5096" i="11"/>
  <c r="U5096" i="11" s="1"/>
  <c r="S5096" i="11" s="1"/>
  <c r="O5097" i="11"/>
  <c r="U5097" i="11" s="1"/>
  <c r="S5097" i="11" s="1"/>
  <c r="O5098" i="11"/>
  <c r="U5098" i="11" s="1"/>
  <c r="S5098" i="11" s="1"/>
  <c r="O5099" i="11"/>
  <c r="U5099" i="11" s="1"/>
  <c r="S5099" i="11" s="1"/>
  <c r="O5100" i="11"/>
  <c r="U5100" i="11" s="1"/>
  <c r="S5100" i="11" s="1"/>
  <c r="O5101" i="11"/>
  <c r="U5101" i="11" s="1"/>
  <c r="S5101" i="11" s="1"/>
  <c r="O5102" i="11"/>
  <c r="U5102" i="11"/>
  <c r="S5102" i="11" s="1"/>
  <c r="O5103" i="11"/>
  <c r="U5103" i="11" s="1"/>
  <c r="S5103" i="11" s="1"/>
  <c r="O5104" i="11"/>
  <c r="U5104" i="11" s="1"/>
  <c r="S5104" i="11" s="1"/>
  <c r="O5105" i="11"/>
  <c r="U5105" i="11" s="1"/>
  <c r="S5105" i="11" s="1"/>
  <c r="O5106" i="11"/>
  <c r="U5106" i="11" s="1"/>
  <c r="S5106" i="11" s="1"/>
  <c r="O5107" i="11"/>
  <c r="U5107" i="11"/>
  <c r="S5107" i="11" s="1"/>
  <c r="O5108" i="11"/>
  <c r="U5108" i="11" s="1"/>
  <c r="S5108" i="11" s="1"/>
  <c r="O5109" i="11"/>
  <c r="U5109" i="11" s="1"/>
  <c r="S5109" i="11" s="1"/>
  <c r="O5110" i="11"/>
  <c r="U5110" i="11" s="1"/>
  <c r="S5110" i="11" s="1"/>
  <c r="O5111" i="11"/>
  <c r="U5111" i="11"/>
  <c r="S5111" i="11" s="1"/>
  <c r="O5112" i="11"/>
  <c r="U5112" i="11" s="1"/>
  <c r="S5112" i="11" s="1"/>
  <c r="O5113" i="11"/>
  <c r="U5113" i="11" s="1"/>
  <c r="S5113" i="11" s="1"/>
  <c r="O5114" i="11"/>
  <c r="U5114" i="11" s="1"/>
  <c r="S5114" i="11" s="1"/>
  <c r="O5115" i="11"/>
  <c r="U5115" i="11"/>
  <c r="S5115" i="11" s="1"/>
  <c r="O5116" i="11"/>
  <c r="U5116" i="11" s="1"/>
  <c r="S5116" i="11" s="1"/>
  <c r="O5117" i="11"/>
  <c r="U5117" i="11" s="1"/>
  <c r="S5117" i="11" s="1"/>
  <c r="O5118" i="11"/>
  <c r="U5118" i="11"/>
  <c r="S5118" i="11" s="1"/>
  <c r="O5119" i="11"/>
  <c r="U5119" i="11"/>
  <c r="S5119" i="11" s="1"/>
  <c r="O5120" i="11"/>
  <c r="U5120" i="11" s="1"/>
  <c r="S5120" i="11" s="1"/>
  <c r="O5121" i="11"/>
  <c r="U5121" i="11" s="1"/>
  <c r="S5121" i="11" s="1"/>
  <c r="O5122" i="11"/>
  <c r="U5122" i="11" s="1"/>
  <c r="S5122" i="11" s="1"/>
  <c r="O5123" i="11"/>
  <c r="U5123" i="11" s="1"/>
  <c r="S5123" i="11" s="1"/>
  <c r="O5124" i="11"/>
  <c r="U5124" i="11" s="1"/>
  <c r="O5125" i="11"/>
  <c r="U5125" i="11" s="1"/>
  <c r="S5125" i="11" s="1"/>
  <c r="O5126" i="11"/>
  <c r="U5126" i="11"/>
  <c r="S5126" i="11" s="1"/>
  <c r="O5127" i="11"/>
  <c r="U5127" i="11" s="1"/>
  <c r="S5127" i="11" s="1"/>
  <c r="O5128" i="11"/>
  <c r="U5128" i="11" s="1"/>
  <c r="S5128" i="11" s="1"/>
  <c r="O5129" i="11"/>
  <c r="U5129" i="11" s="1"/>
  <c r="S5129" i="11" s="1"/>
  <c r="O5130" i="11"/>
  <c r="U5130" i="11"/>
  <c r="S5130" i="11" s="1"/>
  <c r="O5131" i="11"/>
  <c r="U5131" i="11" s="1"/>
  <c r="S5131" i="11" s="1"/>
  <c r="O5132" i="11"/>
  <c r="U5132" i="11" s="1"/>
  <c r="S5132" i="11" s="1"/>
  <c r="O5133" i="11"/>
  <c r="U5133" i="11" s="1"/>
  <c r="S5133" i="11" s="1"/>
  <c r="O5134" i="11"/>
  <c r="U5134" i="11"/>
  <c r="S5134" i="11" s="1"/>
  <c r="O5135" i="11"/>
  <c r="U5135" i="11"/>
  <c r="S5135" i="11" s="1"/>
  <c r="O5136" i="11"/>
  <c r="U5136" i="11" s="1"/>
  <c r="S5136" i="11" s="1"/>
  <c r="O5137" i="11"/>
  <c r="U5137" i="11" s="1"/>
  <c r="S5137" i="11" s="1"/>
  <c r="O5138" i="11"/>
  <c r="U5138" i="11" s="1"/>
  <c r="S5138" i="11" s="1"/>
  <c r="O5139" i="11"/>
  <c r="U5139" i="11" s="1"/>
  <c r="S5139" i="11" s="1"/>
  <c r="O5140" i="11"/>
  <c r="U5140" i="11" s="1"/>
  <c r="S5140" i="11" s="1"/>
  <c r="O5141" i="11"/>
  <c r="U5141" i="11" s="1"/>
  <c r="S5141" i="11" s="1"/>
  <c r="O5142" i="11"/>
  <c r="U5142" i="11" s="1"/>
  <c r="S5142" i="11" s="1"/>
  <c r="O5143" i="11"/>
  <c r="U5143" i="11" s="1"/>
  <c r="S5143" i="11" s="1"/>
  <c r="O5144" i="11"/>
  <c r="U5144" i="11" s="1"/>
  <c r="S5144" i="11"/>
  <c r="O5145" i="11"/>
  <c r="U5145" i="11" s="1"/>
  <c r="S5145" i="11" s="1"/>
  <c r="O5146" i="11"/>
  <c r="U5146" i="11" s="1"/>
  <c r="S5146" i="11" s="1"/>
  <c r="O5147" i="11"/>
  <c r="U5147" i="11"/>
  <c r="S5147" i="11" s="1"/>
  <c r="O5148" i="11"/>
  <c r="U5148" i="11" s="1"/>
  <c r="S5148" i="11" s="1"/>
  <c r="O5149" i="11"/>
  <c r="U5149" i="11" s="1"/>
  <c r="S5149" i="11" s="1"/>
  <c r="O5150" i="11"/>
  <c r="U5150" i="11" s="1"/>
  <c r="S5150" i="11" s="1"/>
  <c r="O5151" i="11"/>
  <c r="U5151" i="11" s="1"/>
  <c r="S5151" i="11" s="1"/>
  <c r="O5152" i="11"/>
  <c r="U5152" i="11" s="1"/>
  <c r="S5152" i="11" s="1"/>
  <c r="O5153" i="11"/>
  <c r="U5153" i="11" s="1"/>
  <c r="S5153" i="11" s="1"/>
  <c r="O5154" i="11"/>
  <c r="U5154" i="11"/>
  <c r="S5154" i="11" s="1"/>
  <c r="O5155" i="11"/>
  <c r="U5155" i="11"/>
  <c r="S5155" i="11" s="1"/>
  <c r="O5156" i="11"/>
  <c r="U5156" i="11" s="1"/>
  <c r="S5156" i="11" s="1"/>
  <c r="O5157" i="11"/>
  <c r="U5157" i="11" s="1"/>
  <c r="S5157" i="11" s="1"/>
  <c r="O5158" i="11"/>
  <c r="U5158" i="11" s="1"/>
  <c r="S5158" i="11" s="1"/>
  <c r="O5159" i="11"/>
  <c r="U5159" i="11" s="1"/>
  <c r="S5159" i="11" s="1"/>
  <c r="O5160" i="11"/>
  <c r="U5160" i="11" s="1"/>
  <c r="S5160" i="11" s="1"/>
  <c r="O5161" i="11"/>
  <c r="U5161" i="11" s="1"/>
  <c r="S5161" i="11" s="1"/>
  <c r="O5162" i="11"/>
  <c r="U5162" i="11"/>
  <c r="S5162" i="11" s="1"/>
  <c r="O5163" i="11"/>
  <c r="U5163" i="11" s="1"/>
  <c r="S5163" i="11" s="1"/>
  <c r="O5164" i="11"/>
  <c r="U5164" i="11" s="1"/>
  <c r="S5164" i="11" s="1"/>
  <c r="O5165" i="11"/>
  <c r="U5165" i="11" s="1"/>
  <c r="S5165" i="11" s="1"/>
  <c r="O5166" i="11"/>
  <c r="U5166" i="11"/>
  <c r="S5166" i="11" s="1"/>
  <c r="O5167" i="11"/>
  <c r="U5167" i="11" s="1"/>
  <c r="S5167" i="11" s="1"/>
  <c r="O5168" i="11"/>
  <c r="U5168" i="11" s="1"/>
  <c r="S5168" i="11"/>
  <c r="O5169" i="11"/>
  <c r="U5169" i="11" s="1"/>
  <c r="S5169" i="11" s="1"/>
  <c r="O5170" i="11"/>
  <c r="U5170" i="11" s="1"/>
  <c r="S5170" i="11" s="1"/>
  <c r="O5171" i="11"/>
  <c r="U5171" i="11"/>
  <c r="S5171" i="11" s="1"/>
  <c r="O5172" i="11"/>
  <c r="U5172" i="11" s="1"/>
  <c r="O5173" i="11"/>
  <c r="U5173" i="11" s="1"/>
  <c r="S5173" i="11" s="1"/>
  <c r="O5174" i="11"/>
  <c r="U5174" i="11" s="1"/>
  <c r="S5174" i="11" s="1"/>
  <c r="O5175" i="11"/>
  <c r="U5175" i="11"/>
  <c r="S5175" i="11" s="1"/>
  <c r="O5176" i="11"/>
  <c r="U5176" i="11" s="1"/>
  <c r="S5176" i="11" s="1"/>
  <c r="O5177" i="11"/>
  <c r="U5177" i="11" s="1"/>
  <c r="S5177" i="11" s="1"/>
  <c r="O5178" i="11"/>
  <c r="U5178" i="11" s="1"/>
  <c r="S5178" i="11" s="1"/>
  <c r="O5179" i="11"/>
  <c r="U5179" i="11" s="1"/>
  <c r="S5179" i="11" s="1"/>
  <c r="O5180" i="11"/>
  <c r="U5180" i="11" s="1"/>
  <c r="S5180" i="11" s="1"/>
  <c r="O5181" i="11"/>
  <c r="U5181" i="11" s="1"/>
  <c r="S5181" i="11" s="1"/>
  <c r="O5182" i="11"/>
  <c r="U5182" i="11" s="1"/>
  <c r="S5182" i="11" s="1"/>
  <c r="O5183" i="11"/>
  <c r="U5183" i="11"/>
  <c r="S5183" i="11" s="1"/>
  <c r="O5184" i="11"/>
  <c r="U5184" i="11" s="1"/>
  <c r="S5184" i="11" s="1"/>
  <c r="O5185" i="11"/>
  <c r="U5185" i="11" s="1"/>
  <c r="S5185" i="11" s="1"/>
  <c r="O5186" i="11"/>
  <c r="U5186" i="11" s="1"/>
  <c r="S5186" i="11" s="1"/>
  <c r="O5187" i="11"/>
  <c r="U5187" i="11" s="1"/>
  <c r="S5187" i="11" s="1"/>
  <c r="O5188" i="11"/>
  <c r="U5188" i="11" s="1"/>
  <c r="S5188" i="11" s="1"/>
  <c r="O5189" i="11"/>
  <c r="U5189" i="11" s="1"/>
  <c r="S5189" i="11" s="1"/>
  <c r="O5190" i="11"/>
  <c r="U5190" i="11"/>
  <c r="S5190" i="11" s="1"/>
  <c r="O5191" i="11"/>
  <c r="U5191" i="11" s="1"/>
  <c r="S5191" i="11" s="1"/>
  <c r="O5192" i="11"/>
  <c r="U5192" i="11" s="1"/>
  <c r="S5192" i="11" s="1"/>
  <c r="O5193" i="11"/>
  <c r="U5193" i="11" s="1"/>
  <c r="S5193" i="11" s="1"/>
  <c r="O5194" i="11"/>
  <c r="U5194" i="11"/>
  <c r="S5194" i="11" s="1"/>
  <c r="O5195" i="11"/>
  <c r="U5195" i="11" s="1"/>
  <c r="S5195" i="11" s="1"/>
  <c r="O5196" i="11"/>
  <c r="U5196" i="11" s="1"/>
  <c r="S5196" i="11" s="1"/>
  <c r="O5197" i="11"/>
  <c r="U5197" i="11" s="1"/>
  <c r="S5197" i="11" s="1"/>
  <c r="O5198" i="11"/>
  <c r="U5198" i="11"/>
  <c r="S5198" i="11" s="1"/>
  <c r="O5199" i="11"/>
  <c r="U5199" i="11" s="1"/>
  <c r="S5199" i="11" s="1"/>
  <c r="O5200" i="11"/>
  <c r="U5200" i="11" s="1"/>
  <c r="S5200" i="11" s="1"/>
  <c r="O5201" i="11"/>
  <c r="U5201" i="11" s="1"/>
  <c r="S5201" i="11" s="1"/>
  <c r="O5202" i="11"/>
  <c r="U5202" i="11" s="1"/>
  <c r="S5202" i="11" s="1"/>
  <c r="O5203" i="11"/>
  <c r="U5203" i="11" s="1"/>
  <c r="S5203" i="11" s="1"/>
  <c r="O5204" i="11"/>
  <c r="U5204" i="11" s="1"/>
  <c r="S5204" i="11" s="1"/>
  <c r="O5205" i="11"/>
  <c r="U5205" i="11" s="1"/>
  <c r="S5205" i="11" s="1"/>
  <c r="O5206" i="11"/>
  <c r="U5206" i="11" s="1"/>
  <c r="S5206" i="11" s="1"/>
  <c r="O5207" i="11"/>
  <c r="U5207" i="11" s="1"/>
  <c r="S5207" i="11" s="1"/>
  <c r="O5208" i="11"/>
  <c r="U5208" i="11" s="1"/>
  <c r="S5208" i="11" s="1"/>
  <c r="O5209" i="11"/>
  <c r="U5209" i="11" s="1"/>
  <c r="S5209" i="11" s="1"/>
  <c r="O5210" i="11"/>
  <c r="U5210" i="11"/>
  <c r="S5210" i="11" s="1"/>
  <c r="O5211" i="11"/>
  <c r="U5211" i="11"/>
  <c r="S5211" i="11" s="1"/>
  <c r="O5212" i="11"/>
  <c r="U5212" i="11" s="1"/>
  <c r="S5212" i="11" s="1"/>
  <c r="O5213" i="11"/>
  <c r="U5213" i="11" s="1"/>
  <c r="S5213" i="11" s="1"/>
  <c r="O5214" i="11"/>
  <c r="U5214" i="11"/>
  <c r="S5214" i="11" s="1"/>
  <c r="O5215" i="11"/>
  <c r="U5215" i="11" s="1"/>
  <c r="S5215" i="11" s="1"/>
  <c r="O5216" i="11"/>
  <c r="U5216" i="11" s="1"/>
  <c r="S5216" i="11"/>
  <c r="O5217" i="11"/>
  <c r="U5217" i="11" s="1"/>
  <c r="S5217" i="11" s="1"/>
  <c r="O5218" i="11"/>
  <c r="U5218" i="11" s="1"/>
  <c r="S5218" i="11" s="1"/>
  <c r="O5219" i="11"/>
  <c r="U5219" i="11" s="1"/>
  <c r="S5219" i="11" s="1"/>
  <c r="O5220" i="11"/>
  <c r="U5220" i="11" s="1"/>
  <c r="O5221" i="11"/>
  <c r="U5221" i="11" s="1"/>
  <c r="S5221" i="11" s="1"/>
  <c r="O5222" i="11"/>
  <c r="U5222" i="11" s="1"/>
  <c r="S5222" i="11" s="1"/>
  <c r="O5223" i="11"/>
  <c r="U5223" i="11" s="1"/>
  <c r="S5223" i="11" s="1"/>
  <c r="O5224" i="11"/>
  <c r="U5224" i="11" s="1"/>
  <c r="S5224" i="11" s="1"/>
  <c r="O5225" i="11"/>
  <c r="U5225" i="11" s="1"/>
  <c r="S5225" i="11" s="1"/>
  <c r="O5226" i="11"/>
  <c r="U5226" i="11" s="1"/>
  <c r="S5226" i="11" s="1"/>
  <c r="O5227" i="11"/>
  <c r="U5227" i="11" s="1"/>
  <c r="S5227" i="11" s="1"/>
  <c r="O5228" i="11"/>
  <c r="U5228" i="11" s="1"/>
  <c r="S5228" i="11" s="1"/>
  <c r="O5229" i="11"/>
  <c r="U5229" i="11" s="1"/>
  <c r="S5229" i="11" s="1"/>
  <c r="O5230" i="11"/>
  <c r="U5230" i="11" s="1"/>
  <c r="S5230" i="11" s="1"/>
  <c r="O5231" i="11"/>
  <c r="U5231" i="11"/>
  <c r="S5231" i="11" s="1"/>
  <c r="O5232" i="11"/>
  <c r="U5232" i="11" s="1"/>
  <c r="S5232" i="11" s="1"/>
  <c r="O5233" i="11"/>
  <c r="U5233" i="11" s="1"/>
  <c r="S5233" i="11" s="1"/>
  <c r="O5234" i="11"/>
  <c r="U5234" i="11" s="1"/>
  <c r="S5234" i="11" s="1"/>
  <c r="O5235" i="11"/>
  <c r="U5235" i="11"/>
  <c r="S5235" i="11" s="1"/>
  <c r="O5236" i="11"/>
  <c r="U5236" i="11" s="1"/>
  <c r="S5236" i="11" s="1"/>
  <c r="O5237" i="11"/>
  <c r="U5237" i="11" s="1"/>
  <c r="S5237" i="11" s="1"/>
  <c r="O5238" i="11"/>
  <c r="U5238" i="11" s="1"/>
  <c r="S5238" i="11" s="1"/>
  <c r="O5239" i="11"/>
  <c r="U5239" i="11" s="1"/>
  <c r="S5239" i="11" s="1"/>
  <c r="O5240" i="11"/>
  <c r="U5240" i="11" s="1"/>
  <c r="S5240" i="11" s="1"/>
  <c r="O5241" i="11"/>
  <c r="U5241" i="11" s="1"/>
  <c r="S5241" i="11" s="1"/>
  <c r="O5242" i="11"/>
  <c r="U5242" i="11" s="1"/>
  <c r="S5242" i="11" s="1"/>
  <c r="O5243" i="11"/>
  <c r="U5243" i="11"/>
  <c r="S5243" i="11" s="1"/>
  <c r="O5244" i="11"/>
  <c r="U5244" i="11" s="1"/>
  <c r="S5244" i="11" s="1"/>
  <c r="O5245" i="11"/>
  <c r="U5245" i="11" s="1"/>
  <c r="S5245" i="11" s="1"/>
  <c r="O5246" i="11"/>
  <c r="U5246" i="11" s="1"/>
  <c r="S5246" i="11" s="1"/>
  <c r="O5247" i="11"/>
  <c r="U5247" i="11"/>
  <c r="S5247" i="11" s="1"/>
  <c r="O5248" i="11"/>
  <c r="U5248" i="11" s="1"/>
  <c r="S5248" i="11" s="1"/>
  <c r="O5249" i="11"/>
  <c r="U5249" i="11" s="1"/>
  <c r="S5249" i="11" s="1"/>
  <c r="O5250" i="11"/>
  <c r="U5250" i="11" s="1"/>
  <c r="S5250" i="11" s="1"/>
  <c r="O5251" i="11"/>
  <c r="U5251" i="11" s="1"/>
  <c r="S5251" i="11" s="1"/>
  <c r="O5252" i="11"/>
  <c r="U5252" i="11" s="1"/>
  <c r="S5252" i="11" s="1"/>
  <c r="O5253" i="11"/>
  <c r="U5253" i="11" s="1"/>
  <c r="S5253" i="11" s="1"/>
  <c r="O5254" i="11"/>
  <c r="U5254" i="11"/>
  <c r="S5254" i="11" s="1"/>
  <c r="O5255" i="11"/>
  <c r="U5255" i="11" s="1"/>
  <c r="S5255" i="11" s="1"/>
  <c r="O5256" i="11"/>
  <c r="U5256" i="11" s="1"/>
  <c r="S5256" i="11" s="1"/>
  <c r="O5257" i="11"/>
  <c r="U5257" i="11" s="1"/>
  <c r="S5257" i="11" s="1"/>
  <c r="O5258" i="11"/>
  <c r="U5258" i="11" s="1"/>
  <c r="S5258" i="11" s="1"/>
  <c r="O5259" i="11"/>
  <c r="U5259" i="11" s="1"/>
  <c r="S5259" i="11" s="1"/>
  <c r="O5260" i="11"/>
  <c r="U5260" i="11" s="1"/>
  <c r="S5260" i="11" s="1"/>
  <c r="O5261" i="11"/>
  <c r="U5261" i="11" s="1"/>
  <c r="S5261" i="11" s="1"/>
  <c r="O5262" i="11"/>
  <c r="U5262" i="11"/>
  <c r="S5262" i="11" s="1"/>
  <c r="O5263" i="11"/>
  <c r="U5263" i="11" s="1"/>
  <c r="S5263" i="11" s="1"/>
  <c r="O5264" i="11"/>
  <c r="U5264" i="11" s="1"/>
  <c r="S5264" i="11"/>
  <c r="O5265" i="11"/>
  <c r="U5265" i="11" s="1"/>
  <c r="S5265" i="11" s="1"/>
  <c r="O5266" i="11"/>
  <c r="U5266" i="11" s="1"/>
  <c r="S5266" i="11" s="1"/>
  <c r="O5267" i="11"/>
  <c r="U5267" i="11" s="1"/>
  <c r="S5267" i="11" s="1"/>
  <c r="O5268" i="11"/>
  <c r="U5268" i="11" s="1"/>
  <c r="O5269" i="11"/>
  <c r="U5269" i="11" s="1"/>
  <c r="S5269" i="11" s="1"/>
  <c r="O5270" i="11"/>
  <c r="U5270" i="11"/>
  <c r="S5270" i="11" s="1"/>
  <c r="O5271" i="11"/>
  <c r="U5271" i="11" s="1"/>
  <c r="S5271" i="11" s="1"/>
  <c r="O5272" i="11"/>
  <c r="U5272" i="11" s="1"/>
  <c r="S5272" i="11" s="1"/>
  <c r="O5273" i="11"/>
  <c r="U5273" i="11" s="1"/>
  <c r="S5273" i="11" s="1"/>
  <c r="O5274" i="11"/>
  <c r="U5274" i="11"/>
  <c r="S5274" i="11" s="1"/>
  <c r="O5275" i="11"/>
  <c r="U5275" i="11" s="1"/>
  <c r="S5275" i="11" s="1"/>
  <c r="O5276" i="11"/>
  <c r="U5276" i="11" s="1"/>
  <c r="S5276" i="11" s="1"/>
  <c r="O5277" i="11"/>
  <c r="U5277" i="11" s="1"/>
  <c r="S5277" i="11" s="1"/>
  <c r="O5278" i="11"/>
  <c r="U5278" i="11"/>
  <c r="S5278" i="11" s="1"/>
  <c r="O5279" i="11"/>
  <c r="U5279" i="11"/>
  <c r="S5279" i="11" s="1"/>
  <c r="O5280" i="11"/>
  <c r="U5280" i="11" s="1"/>
  <c r="S5280" i="11" s="1"/>
  <c r="O5281" i="11"/>
  <c r="U5281" i="11" s="1"/>
  <c r="S5281" i="11" s="1"/>
  <c r="O5282" i="11"/>
  <c r="U5282" i="11" s="1"/>
  <c r="S5282" i="11" s="1"/>
  <c r="O5283" i="11"/>
  <c r="U5283" i="11" s="1"/>
  <c r="S5283" i="11" s="1"/>
  <c r="O5284" i="11"/>
  <c r="U5284" i="11" s="1"/>
  <c r="S5284" i="11" s="1"/>
  <c r="O5285" i="11"/>
  <c r="U5285" i="11" s="1"/>
  <c r="S5285" i="11" s="1"/>
  <c r="O5286" i="11"/>
  <c r="U5286" i="11" s="1"/>
  <c r="S5286" i="11" s="1"/>
  <c r="O5287" i="11"/>
  <c r="U5287" i="11" s="1"/>
  <c r="S5287" i="11" s="1"/>
  <c r="O5288" i="11"/>
  <c r="U5288" i="11" s="1"/>
  <c r="S5288" i="11" s="1"/>
  <c r="O5289" i="11"/>
  <c r="U5289" i="11" s="1"/>
  <c r="S5289" i="11" s="1"/>
  <c r="O5290" i="11"/>
  <c r="U5290" i="11" s="1"/>
  <c r="S5290" i="11" s="1"/>
  <c r="O5291" i="11"/>
  <c r="U5291" i="11" s="1"/>
  <c r="S5291" i="11" s="1"/>
  <c r="O5292" i="11"/>
  <c r="U5292" i="11" s="1"/>
  <c r="S5292" i="11" s="1"/>
  <c r="O5293" i="11"/>
  <c r="U5293" i="11" s="1"/>
  <c r="S5293" i="11" s="1"/>
  <c r="O5294" i="11"/>
  <c r="U5294" i="11" s="1"/>
  <c r="S5294" i="11" s="1"/>
  <c r="O5295" i="11"/>
  <c r="U5295" i="11" s="1"/>
  <c r="S5295" i="11" s="1"/>
  <c r="O5296" i="11"/>
  <c r="U5296" i="11" s="1"/>
  <c r="S5296" i="11" s="1"/>
  <c r="O5297" i="11"/>
  <c r="U5297" i="11" s="1"/>
  <c r="S5297" i="11" s="1"/>
  <c r="O5298" i="11"/>
  <c r="U5298" i="11"/>
  <c r="S5298" i="11" s="1"/>
  <c r="O5299" i="11"/>
  <c r="U5299" i="11" s="1"/>
  <c r="S5299" i="11" s="1"/>
  <c r="O5300" i="11"/>
  <c r="U5300" i="11" s="1"/>
  <c r="S5300" i="11" s="1"/>
  <c r="O5301" i="11"/>
  <c r="U5301" i="11" s="1"/>
  <c r="S5301" i="11" s="1"/>
  <c r="O5302" i="11"/>
  <c r="U5302" i="11"/>
  <c r="S5302" i="11" s="1"/>
  <c r="O5303" i="11"/>
  <c r="U5303" i="11" s="1"/>
  <c r="S5303" i="11" s="1"/>
  <c r="O5304" i="11"/>
  <c r="U5304" i="11" s="1"/>
  <c r="S5304" i="11" s="1"/>
  <c r="O5305" i="11"/>
  <c r="U5305" i="11" s="1"/>
  <c r="S5305" i="11" s="1"/>
  <c r="O5306" i="11"/>
  <c r="U5306" i="11" s="1"/>
  <c r="S5306" i="11" s="1"/>
  <c r="O5307" i="11"/>
  <c r="U5307" i="11"/>
  <c r="S5307" i="11" s="1"/>
  <c r="O5308" i="11"/>
  <c r="U5308" i="11" s="1"/>
  <c r="S5308" i="11" s="1"/>
  <c r="O5309" i="11"/>
  <c r="U5309" i="11" s="1"/>
  <c r="S5309" i="11" s="1"/>
  <c r="O5310" i="11"/>
  <c r="U5310" i="11"/>
  <c r="S5310" i="11" s="1"/>
  <c r="O5311" i="11"/>
  <c r="U5311" i="11" s="1"/>
  <c r="S5311" i="11" s="1"/>
  <c r="O5312" i="11"/>
  <c r="U5312" i="11" s="1"/>
  <c r="S5312" i="11" s="1"/>
  <c r="O5313" i="11"/>
  <c r="U5313" i="11" s="1"/>
  <c r="S5313" i="11" s="1"/>
  <c r="O5314" i="11"/>
  <c r="U5314" i="11" s="1"/>
  <c r="S5314" i="11" s="1"/>
  <c r="O5315" i="11"/>
  <c r="U5315" i="11"/>
  <c r="S5315" i="11" s="1"/>
  <c r="O5316" i="11"/>
  <c r="U5316" i="11" s="1"/>
  <c r="O5317" i="11"/>
  <c r="U5317" i="11" s="1"/>
  <c r="S5317" i="11" s="1"/>
  <c r="O5318" i="11"/>
  <c r="U5318" i="11" s="1"/>
  <c r="S5318" i="11" s="1"/>
  <c r="O5319" i="11"/>
  <c r="U5319" i="11"/>
  <c r="S5319" i="11" s="1"/>
  <c r="O5320" i="11"/>
  <c r="U5320" i="11" s="1"/>
  <c r="S5320" i="11" s="1"/>
  <c r="O5321" i="11"/>
  <c r="U5321" i="11" s="1"/>
  <c r="S5321" i="11" s="1"/>
  <c r="O5322" i="11"/>
  <c r="U5322" i="11" s="1"/>
  <c r="S5322" i="11" s="1"/>
  <c r="O5323" i="11"/>
  <c r="U5323" i="11"/>
  <c r="S5323" i="11" s="1"/>
  <c r="O5324" i="11"/>
  <c r="U5324" i="11" s="1"/>
  <c r="S5324" i="11"/>
  <c r="O5325" i="11"/>
  <c r="U5325" i="11" s="1"/>
  <c r="S5325" i="11" s="1"/>
  <c r="O5326" i="11"/>
  <c r="U5326" i="11" s="1"/>
  <c r="S5326" i="11" s="1"/>
  <c r="O5327" i="11"/>
  <c r="U5327" i="11"/>
  <c r="S5327" i="11" s="1"/>
  <c r="O5328" i="11"/>
  <c r="U5328" i="11" s="1"/>
  <c r="S5328" i="11"/>
  <c r="O5329" i="11"/>
  <c r="U5329" i="11" s="1"/>
  <c r="S5329" i="11" s="1"/>
  <c r="O5330" i="11"/>
  <c r="U5330" i="11" s="1"/>
  <c r="S5330" i="11" s="1"/>
  <c r="O5331" i="11"/>
  <c r="U5331" i="11" s="1"/>
  <c r="S5331" i="11" s="1"/>
  <c r="O5332" i="11"/>
  <c r="U5332" i="11" s="1"/>
  <c r="S5332" i="11" s="1"/>
  <c r="O5333" i="11"/>
  <c r="U5333" i="11" s="1"/>
  <c r="S5333" i="11" s="1"/>
  <c r="O5334" i="11"/>
  <c r="U5334" i="11" s="1"/>
  <c r="S5334" i="11" s="1"/>
  <c r="O5335" i="11"/>
  <c r="U5335" i="11"/>
  <c r="S5335" i="11" s="1"/>
  <c r="O5336" i="11"/>
  <c r="U5336" i="11" s="1"/>
  <c r="S5336" i="11" s="1"/>
  <c r="O5337" i="11"/>
  <c r="U5337" i="11" s="1"/>
  <c r="S5337" i="11" s="1"/>
  <c r="O5338" i="11"/>
  <c r="U5338" i="11" s="1"/>
  <c r="S5338" i="11" s="1"/>
  <c r="O5339" i="11"/>
  <c r="U5339" i="11" s="1"/>
  <c r="S5339" i="11" s="1"/>
  <c r="O5340" i="11"/>
  <c r="U5340" i="11" s="1"/>
  <c r="S5340" i="11" s="1"/>
  <c r="O5341" i="11"/>
  <c r="U5341" i="11" s="1"/>
  <c r="S5341" i="11" s="1"/>
  <c r="O5342" i="11"/>
  <c r="U5342" i="11" s="1"/>
  <c r="S5342" i="11" s="1"/>
  <c r="O5343" i="11"/>
  <c r="U5343" i="11"/>
  <c r="S5343" i="11" s="1"/>
  <c r="O5344" i="11"/>
  <c r="U5344" i="11" s="1"/>
  <c r="S5344" i="11" s="1"/>
  <c r="O5345" i="11"/>
  <c r="U5345" i="11" s="1"/>
  <c r="S5345" i="11" s="1"/>
  <c r="O5346" i="11"/>
  <c r="U5346" i="11" s="1"/>
  <c r="S5346" i="11" s="1"/>
  <c r="O5347" i="11"/>
  <c r="U5347" i="11" s="1"/>
  <c r="S5347" i="11" s="1"/>
  <c r="O5348" i="11"/>
  <c r="U5348" i="11" s="1"/>
  <c r="S5348" i="11" s="1"/>
  <c r="O5349" i="11"/>
  <c r="U5349" i="11" s="1"/>
  <c r="S5349" i="11" s="1"/>
  <c r="O5350" i="11"/>
  <c r="U5350" i="11" s="1"/>
  <c r="S5350" i="11" s="1"/>
  <c r="O5351" i="11"/>
  <c r="U5351" i="11"/>
  <c r="S5351" i="11" s="1"/>
  <c r="O5352" i="11"/>
  <c r="U5352" i="11" s="1"/>
  <c r="S5352" i="11" s="1"/>
  <c r="O5353" i="11"/>
  <c r="U5353" i="11" s="1"/>
  <c r="S5353" i="11" s="1"/>
  <c r="O5354" i="11"/>
  <c r="U5354" i="11" s="1"/>
  <c r="S5354" i="11" s="1"/>
  <c r="O5355" i="11"/>
  <c r="U5355" i="11" s="1"/>
  <c r="S5355" i="11" s="1"/>
  <c r="O5356" i="11"/>
  <c r="U5356" i="11" s="1"/>
  <c r="S5356" i="11" s="1"/>
  <c r="O5357" i="11"/>
  <c r="U5357" i="11" s="1"/>
  <c r="S5357" i="11" s="1"/>
  <c r="O5358" i="11"/>
  <c r="U5358" i="11" s="1"/>
  <c r="S5358" i="11" s="1"/>
  <c r="O5359" i="11"/>
  <c r="U5359" i="11"/>
  <c r="S5359" i="11" s="1"/>
  <c r="O5360" i="11"/>
  <c r="U5360" i="11" s="1"/>
  <c r="S5360" i="11" s="1"/>
  <c r="O5361" i="11"/>
  <c r="U5361" i="11" s="1"/>
  <c r="S5361" i="11" s="1"/>
  <c r="O5362" i="11"/>
  <c r="U5362" i="11" s="1"/>
  <c r="S5362" i="11" s="1"/>
  <c r="O5363" i="11"/>
  <c r="U5363" i="11" s="1"/>
  <c r="S5363" i="11" s="1"/>
  <c r="O5364" i="11"/>
  <c r="U5364" i="11" s="1"/>
  <c r="S5364" i="11" s="1"/>
  <c r="O5365" i="11"/>
  <c r="U5365" i="11" s="1"/>
  <c r="S5365" i="11" s="1"/>
  <c r="O5366" i="11"/>
  <c r="U5366" i="11" s="1"/>
  <c r="S5366" i="11" s="1"/>
  <c r="O5367" i="11"/>
  <c r="U5367" i="11" s="1"/>
  <c r="S5367" i="11" s="1"/>
  <c r="O5368" i="11"/>
  <c r="U5368" i="11" s="1"/>
  <c r="S5368" i="11" s="1"/>
  <c r="O5369" i="11"/>
  <c r="U5369" i="11" s="1"/>
  <c r="S5369" i="11" s="1"/>
  <c r="O5370" i="11"/>
  <c r="U5370" i="11" s="1"/>
  <c r="S5370" i="11" s="1"/>
  <c r="O5371" i="11"/>
  <c r="U5371" i="11" s="1"/>
  <c r="S5371" i="11" s="1"/>
  <c r="O5372" i="11"/>
  <c r="U5372" i="11" s="1"/>
  <c r="S5372" i="11" s="1"/>
  <c r="O5373" i="11"/>
  <c r="U5373" i="11" s="1"/>
  <c r="S5373" i="11" s="1"/>
  <c r="O5374" i="11"/>
  <c r="U5374" i="11" s="1"/>
  <c r="S5374" i="11" s="1"/>
  <c r="O5375" i="11"/>
  <c r="U5375" i="11"/>
  <c r="S5375" i="11" s="1"/>
  <c r="O5376" i="11"/>
  <c r="U5376" i="11" s="1"/>
  <c r="S5376" i="11" s="1"/>
  <c r="O5377" i="11"/>
  <c r="U5377" i="11" s="1"/>
  <c r="S5377" i="11" s="1"/>
  <c r="O5378" i="11"/>
  <c r="U5378" i="11" s="1"/>
  <c r="S5378" i="11" s="1"/>
  <c r="O5379" i="11"/>
  <c r="U5379" i="11" s="1"/>
  <c r="S5379" i="11" s="1"/>
  <c r="O5380" i="11"/>
  <c r="U5380" i="11" s="1"/>
  <c r="S5380" i="11" s="1"/>
  <c r="O5381" i="11"/>
  <c r="U5381" i="11" s="1"/>
  <c r="S5381" i="11" s="1"/>
  <c r="O5382" i="11"/>
  <c r="U5382" i="11" s="1"/>
  <c r="S5382" i="11" s="1"/>
  <c r="O5383" i="11"/>
  <c r="U5383" i="11"/>
  <c r="S5383" i="11" s="1"/>
  <c r="O5384" i="11"/>
  <c r="U5384" i="11" s="1"/>
  <c r="S5384" i="11" s="1"/>
  <c r="O5385" i="11"/>
  <c r="U5385" i="11" s="1"/>
  <c r="S5385" i="11" s="1"/>
  <c r="O5386" i="11"/>
  <c r="U5386" i="11" s="1"/>
  <c r="S5386" i="11" s="1"/>
  <c r="O5387" i="11"/>
  <c r="U5387" i="11"/>
  <c r="S5387" i="11" s="1"/>
  <c r="O5388" i="11"/>
  <c r="U5388" i="11" s="1"/>
  <c r="S5388" i="11" s="1"/>
  <c r="O5389" i="11"/>
  <c r="U5389" i="11" s="1"/>
  <c r="S5389" i="11" s="1"/>
  <c r="O5390" i="11"/>
  <c r="U5390" i="11"/>
  <c r="S5390" i="11" s="1"/>
  <c r="O5391" i="11"/>
  <c r="U5391" i="11"/>
  <c r="S5391" i="11" s="1"/>
  <c r="O5392" i="11"/>
  <c r="U5392" i="11" s="1"/>
  <c r="S5392" i="11" s="1"/>
  <c r="O5393" i="11"/>
  <c r="U5393" i="11" s="1"/>
  <c r="S5393" i="11" s="1"/>
  <c r="O5394" i="11"/>
  <c r="U5394" i="11" s="1"/>
  <c r="S5394" i="11" s="1"/>
  <c r="O5395" i="11"/>
  <c r="U5395" i="11"/>
  <c r="S5395" i="11" s="1"/>
  <c r="O5396" i="11"/>
  <c r="U5396" i="11" s="1"/>
  <c r="S5396" i="11" s="1"/>
  <c r="O5397" i="11"/>
  <c r="U5397" i="11" s="1"/>
  <c r="S5397" i="11" s="1"/>
  <c r="O5398" i="11"/>
  <c r="U5398" i="11" s="1"/>
  <c r="S5398" i="11" s="1"/>
  <c r="O5399" i="11"/>
  <c r="U5399" i="11" s="1"/>
  <c r="S5399" i="11" s="1"/>
  <c r="O5400" i="11"/>
  <c r="U5400" i="11" s="1"/>
  <c r="S5400" i="11" s="1"/>
  <c r="O5401" i="11"/>
  <c r="U5401" i="11" s="1"/>
  <c r="S5401" i="11" s="1"/>
  <c r="O5402" i="11"/>
  <c r="U5402" i="11" s="1"/>
  <c r="S5402" i="11" s="1"/>
  <c r="O5403" i="11"/>
  <c r="U5403" i="11"/>
  <c r="S5403" i="11" s="1"/>
  <c r="O5404" i="11"/>
  <c r="U5404" i="11" s="1"/>
  <c r="S5404" i="11" s="1"/>
  <c r="O5405" i="11"/>
  <c r="U5405" i="11" s="1"/>
  <c r="S5405" i="11" s="1"/>
  <c r="O5406" i="11"/>
  <c r="U5406" i="11" s="1"/>
  <c r="S5406" i="11" s="1"/>
  <c r="O5407" i="11"/>
  <c r="U5407" i="11"/>
  <c r="S5407" i="11" s="1"/>
  <c r="O5408" i="11"/>
  <c r="U5408" i="11" s="1"/>
  <c r="S5408" i="11" s="1"/>
  <c r="O5409" i="11"/>
  <c r="U5409" i="11" s="1"/>
  <c r="S5409" i="11" s="1"/>
  <c r="O5410" i="11"/>
  <c r="U5410" i="11" s="1"/>
  <c r="S5410" i="11" s="1"/>
  <c r="O5411" i="11"/>
  <c r="U5411" i="11" s="1"/>
  <c r="S5411" i="11" s="1"/>
  <c r="O5412" i="11"/>
  <c r="U5412" i="11" s="1"/>
  <c r="S5412" i="11" s="1"/>
  <c r="O5413" i="11"/>
  <c r="U5413" i="11" s="1"/>
  <c r="S5413" i="11" s="1"/>
  <c r="O5414" i="11"/>
  <c r="U5414" i="11" s="1"/>
  <c r="S5414" i="11" s="1"/>
  <c r="O5415" i="11"/>
  <c r="U5415" i="11" s="1"/>
  <c r="S5415" i="11" s="1"/>
  <c r="O5416" i="11"/>
  <c r="U5416" i="11" s="1"/>
  <c r="S5416" i="11" s="1"/>
  <c r="O5417" i="11"/>
  <c r="U5417" i="11" s="1"/>
  <c r="S5417" i="11" s="1"/>
  <c r="O5418" i="11"/>
  <c r="U5418" i="11" s="1"/>
  <c r="S5418" i="11" s="1"/>
  <c r="O5419" i="11"/>
  <c r="U5419" i="11" s="1"/>
  <c r="S5419" i="11" s="1"/>
  <c r="O5420" i="11"/>
  <c r="U5420" i="11" s="1"/>
  <c r="S5420" i="11" s="1"/>
  <c r="O5421" i="11"/>
  <c r="U5421" i="11" s="1"/>
  <c r="S5421" i="11" s="1"/>
  <c r="O5422" i="11"/>
  <c r="U5422" i="11"/>
  <c r="S5422" i="11" s="1"/>
  <c r="O5423" i="11"/>
  <c r="U5423" i="11" s="1"/>
  <c r="S5423" i="11" s="1"/>
  <c r="O5424" i="11"/>
  <c r="U5424" i="11" s="1"/>
  <c r="S5424" i="11" s="1"/>
  <c r="O5425" i="11"/>
  <c r="U5425" i="11" s="1"/>
  <c r="S5425" i="11" s="1"/>
  <c r="O5426" i="11"/>
  <c r="U5426" i="11" s="1"/>
  <c r="S5426" i="11" s="1"/>
  <c r="O5427" i="11"/>
  <c r="U5427" i="11"/>
  <c r="S5427" i="11" s="1"/>
  <c r="O5428" i="11"/>
  <c r="U5428" i="11" s="1"/>
  <c r="S5428" i="11" s="1"/>
  <c r="O5429" i="11"/>
  <c r="U5429" i="11" s="1"/>
  <c r="S5429" i="11" s="1"/>
  <c r="O5430" i="11"/>
  <c r="U5430" i="11"/>
  <c r="S5430" i="11" s="1"/>
  <c r="O5431" i="11"/>
  <c r="U5431" i="11" s="1"/>
  <c r="S5431" i="11" s="1"/>
  <c r="O5432" i="11"/>
  <c r="U5432" i="11" s="1"/>
  <c r="S5432" i="11" s="1"/>
  <c r="O5433" i="11"/>
  <c r="U5433" i="11" s="1"/>
  <c r="S5433" i="11" s="1"/>
  <c r="O5434" i="11"/>
  <c r="U5434" i="11" s="1"/>
  <c r="S5434" i="11" s="1"/>
  <c r="O5435" i="11"/>
  <c r="U5435" i="11" s="1"/>
  <c r="S5435" i="11" s="1"/>
  <c r="O5436" i="11"/>
  <c r="U5436" i="11" s="1"/>
  <c r="S5436" i="11" s="1"/>
  <c r="O5437" i="11"/>
  <c r="U5437" i="11" s="1"/>
  <c r="S5437" i="11" s="1"/>
  <c r="O5438" i="11"/>
  <c r="U5438" i="11"/>
  <c r="S5438" i="11" s="1"/>
  <c r="O5439" i="11"/>
  <c r="U5439" i="11"/>
  <c r="S5439" i="11" s="1"/>
  <c r="O5440" i="11"/>
  <c r="U5440" i="11" s="1"/>
  <c r="S5440" i="11" s="1"/>
  <c r="O5441" i="11"/>
  <c r="U5441" i="11" s="1"/>
  <c r="S5441" i="11" s="1"/>
  <c r="O5442" i="11"/>
  <c r="U5442" i="11" s="1"/>
  <c r="S5442" i="11" s="1"/>
  <c r="O5443" i="11"/>
  <c r="U5443" i="11" s="1"/>
  <c r="S5443" i="11" s="1"/>
  <c r="O5444" i="11"/>
  <c r="U5444" i="11" s="1"/>
  <c r="S5444" i="11" s="1"/>
  <c r="O5445" i="11"/>
  <c r="U5445" i="11" s="1"/>
  <c r="S5445" i="11" s="1"/>
  <c r="O5446" i="11"/>
  <c r="U5446" i="11" s="1"/>
  <c r="S5446" i="11" s="1"/>
  <c r="O5447" i="11"/>
  <c r="U5447" i="11" s="1"/>
  <c r="S5447" i="11" s="1"/>
  <c r="O5448" i="11"/>
  <c r="U5448" i="11" s="1"/>
  <c r="S5448" i="11" s="1"/>
  <c r="O5449" i="11"/>
  <c r="U5449" i="11" s="1"/>
  <c r="S5449" i="11" s="1"/>
  <c r="O5450" i="11"/>
  <c r="U5450" i="11" s="1"/>
  <c r="S5450" i="11" s="1"/>
  <c r="O5451" i="11"/>
  <c r="U5451" i="11" s="1"/>
  <c r="S5451" i="11" s="1"/>
  <c r="O5452" i="11"/>
  <c r="U5452" i="11" s="1"/>
  <c r="S5452" i="11" s="1"/>
  <c r="O5453" i="11"/>
  <c r="U5453" i="11" s="1"/>
  <c r="S5453" i="11" s="1"/>
  <c r="O5454" i="11"/>
  <c r="U5454" i="11" s="1"/>
  <c r="S5454" i="11" s="1"/>
  <c r="O5455" i="11"/>
  <c r="U5455" i="11" s="1"/>
  <c r="S5455" i="11" s="1"/>
  <c r="O5456" i="11"/>
  <c r="U5456" i="11" s="1"/>
  <c r="S5456" i="11" s="1"/>
  <c r="O5457" i="11"/>
  <c r="U5457" i="11" s="1"/>
  <c r="S5457" i="11" s="1"/>
  <c r="O5458" i="11"/>
  <c r="U5458" i="11" s="1"/>
  <c r="S5458" i="11" s="1"/>
  <c r="O5459" i="11"/>
  <c r="U5459" i="11" s="1"/>
  <c r="S5459" i="11" s="1"/>
  <c r="O5460" i="11"/>
  <c r="U5460" i="11" s="1"/>
  <c r="S5460" i="11"/>
  <c r="O5461" i="11"/>
  <c r="U5461" i="11" s="1"/>
  <c r="S5461" i="11" s="1"/>
  <c r="O5462" i="11"/>
  <c r="U5462" i="11"/>
  <c r="S5462" i="11" s="1"/>
  <c r="O5463" i="11"/>
  <c r="U5463" i="11" s="1"/>
  <c r="S5463" i="11" s="1"/>
  <c r="O5464" i="11"/>
  <c r="U5464" i="11" s="1"/>
  <c r="S5464" i="11" s="1"/>
  <c r="O5465" i="11"/>
  <c r="U5465" i="11" s="1"/>
  <c r="S5465" i="11" s="1"/>
  <c r="O5466" i="11"/>
  <c r="U5466" i="11" s="1"/>
  <c r="S5466" i="11" s="1"/>
  <c r="O5467" i="11"/>
  <c r="U5467" i="11" s="1"/>
  <c r="S5467" i="11" s="1"/>
  <c r="O5468" i="11"/>
  <c r="U5468" i="11" s="1"/>
  <c r="S5468" i="11" s="1"/>
  <c r="O5469" i="11"/>
  <c r="U5469" i="11" s="1"/>
  <c r="S5469" i="11" s="1"/>
  <c r="O5470" i="11"/>
  <c r="U5470" i="11" s="1"/>
  <c r="S5470" i="11" s="1"/>
  <c r="O5471" i="11"/>
  <c r="U5471" i="11" s="1"/>
  <c r="S5471" i="11" s="1"/>
  <c r="O5472" i="11"/>
  <c r="U5472" i="11" s="1"/>
  <c r="S5472" i="11" s="1"/>
  <c r="O5473" i="11"/>
  <c r="U5473" i="11" s="1"/>
  <c r="S5473" i="11"/>
  <c r="O5474" i="11"/>
  <c r="U5474" i="11" s="1"/>
  <c r="S5474" i="11" s="1"/>
  <c r="O5475" i="11"/>
  <c r="U5475" i="11" s="1"/>
  <c r="S5475" i="11" s="1"/>
  <c r="O5476" i="11"/>
  <c r="U5476" i="11" s="1"/>
  <c r="S5476" i="11" s="1"/>
  <c r="O5477" i="11"/>
  <c r="U5477" i="11" s="1"/>
  <c r="S5477" i="11" s="1"/>
  <c r="O5478" i="11"/>
  <c r="U5478" i="11" s="1"/>
  <c r="S5478" i="11" s="1"/>
  <c r="O5479" i="11"/>
  <c r="U5479" i="11" s="1"/>
  <c r="S5479" i="11" s="1"/>
  <c r="O5480" i="11"/>
  <c r="U5480" i="11" s="1"/>
  <c r="S5480" i="11" s="1"/>
  <c r="O5481" i="11"/>
  <c r="U5481" i="11" s="1"/>
  <c r="S5481" i="11" s="1"/>
  <c r="O5482" i="11"/>
  <c r="U5482" i="11"/>
  <c r="S5482" i="11" s="1"/>
  <c r="O5483" i="11"/>
  <c r="U5483" i="11" s="1"/>
  <c r="S5483" i="11" s="1"/>
  <c r="O5484" i="11"/>
  <c r="U5484" i="11" s="1"/>
  <c r="S5484" i="11" s="1"/>
  <c r="O5485" i="11"/>
  <c r="U5485" i="11" s="1"/>
  <c r="S5485" i="11" s="1"/>
  <c r="O5486" i="11"/>
  <c r="U5486" i="11" s="1"/>
  <c r="S5486" i="11" s="1"/>
  <c r="O5487" i="11"/>
  <c r="U5487" i="11" s="1"/>
  <c r="S5487" i="11" s="1"/>
  <c r="O5488" i="11"/>
  <c r="U5488" i="11" s="1"/>
  <c r="S5488" i="11" s="1"/>
  <c r="O5489" i="11"/>
  <c r="U5489" i="11" s="1"/>
  <c r="S5489" i="11" s="1"/>
  <c r="O5490" i="11"/>
  <c r="U5490" i="11"/>
  <c r="S5490" i="11" s="1"/>
  <c r="O5491" i="11"/>
  <c r="U5491" i="11" s="1"/>
  <c r="S5491" i="11" s="1"/>
  <c r="O5492" i="11"/>
  <c r="U5492" i="11" s="1"/>
  <c r="S5492" i="11" s="1"/>
  <c r="O5493" i="11"/>
  <c r="U5493" i="11"/>
  <c r="S5493" i="11" s="1"/>
  <c r="O5494" i="11"/>
  <c r="U5494" i="11"/>
  <c r="S5494" i="11" s="1"/>
  <c r="O5495" i="11"/>
  <c r="U5495" i="11" s="1"/>
  <c r="S5495" i="11" s="1"/>
  <c r="O5496" i="11"/>
  <c r="U5496" i="11" s="1"/>
  <c r="S5496" i="11"/>
  <c r="O5497" i="11"/>
  <c r="U5497" i="11" s="1"/>
  <c r="S5497" i="11" s="1"/>
  <c r="O5498" i="11"/>
  <c r="U5498" i="11" s="1"/>
  <c r="S5498" i="11" s="1"/>
  <c r="O5499" i="11"/>
  <c r="U5499" i="11"/>
  <c r="S5499" i="11" s="1"/>
  <c r="O5500" i="11"/>
  <c r="U5500" i="11" s="1"/>
  <c r="S5500" i="11" s="1"/>
  <c r="O5501" i="11"/>
  <c r="U5501" i="11" s="1"/>
  <c r="S5501" i="11" s="1"/>
  <c r="O5502" i="11"/>
  <c r="U5502" i="11"/>
  <c r="S5502" i="11" s="1"/>
  <c r="O5503" i="11"/>
  <c r="U5503" i="11" s="1"/>
  <c r="S5503" i="11" s="1"/>
  <c r="O5504" i="11"/>
  <c r="U5504" i="11" s="1"/>
  <c r="S5504" i="11" s="1"/>
  <c r="O5505" i="11"/>
  <c r="U5505" i="11" s="1"/>
  <c r="S5505" i="11" s="1"/>
  <c r="O5506" i="11"/>
  <c r="U5506" i="11" s="1"/>
  <c r="S5506" i="11" s="1"/>
  <c r="O5507" i="11"/>
  <c r="U5507" i="11" s="1"/>
  <c r="S5507" i="11" s="1"/>
  <c r="O5508" i="11"/>
  <c r="U5508" i="11" s="1"/>
  <c r="S5508" i="11" s="1"/>
  <c r="O5509" i="11"/>
  <c r="U5509" i="11" s="1"/>
  <c r="S5509" i="11" s="1"/>
  <c r="O5510" i="11"/>
  <c r="U5510" i="11"/>
  <c r="S5510" i="11" s="1"/>
  <c r="O5511" i="11"/>
  <c r="U5511" i="11" s="1"/>
  <c r="S5511" i="11" s="1"/>
  <c r="O5512" i="11"/>
  <c r="U5512" i="11" s="1"/>
  <c r="S5512" i="11" s="1"/>
  <c r="O5513" i="11"/>
  <c r="U5513" i="11" s="1"/>
  <c r="S5513" i="11" s="1"/>
  <c r="O5514" i="11"/>
  <c r="U5514" i="11"/>
  <c r="S5514" i="11" s="1"/>
  <c r="O5515" i="11"/>
  <c r="U5515" i="11" s="1"/>
  <c r="S5515" i="11" s="1"/>
  <c r="O5516" i="11"/>
  <c r="U5516" i="11" s="1"/>
  <c r="S5516" i="11"/>
  <c r="O5517" i="11"/>
  <c r="U5517" i="11" s="1"/>
  <c r="S5517" i="11" s="1"/>
  <c r="O5518" i="11"/>
  <c r="U5518" i="11" s="1"/>
  <c r="S5518" i="11" s="1"/>
  <c r="O5519" i="11"/>
  <c r="U5519" i="11" s="1"/>
  <c r="S5519" i="11" s="1"/>
  <c r="O5520" i="11"/>
  <c r="U5520" i="11" s="1"/>
  <c r="S5520" i="11" s="1"/>
  <c r="O5521" i="11"/>
  <c r="U5521" i="11" s="1"/>
  <c r="S5521" i="11" s="1"/>
  <c r="O5522" i="11"/>
  <c r="U5522" i="11"/>
  <c r="S5522" i="11" s="1"/>
  <c r="O5523" i="11"/>
  <c r="U5523" i="11" s="1"/>
  <c r="S5523" i="11" s="1"/>
  <c r="O5524" i="11"/>
  <c r="U5524" i="11" s="1"/>
  <c r="S5524" i="11" s="1"/>
  <c r="O5525" i="11"/>
  <c r="U5525" i="11"/>
  <c r="S5525" i="11" s="1"/>
  <c r="O5526" i="11"/>
  <c r="U5526" i="11" s="1"/>
  <c r="S5526" i="11" s="1"/>
  <c r="O5527" i="11"/>
  <c r="U5527" i="11" s="1"/>
  <c r="S5527" i="11" s="1"/>
  <c r="O5528" i="11"/>
  <c r="U5528" i="11" s="1"/>
  <c r="S5528" i="11"/>
  <c r="O5529" i="11"/>
  <c r="U5529" i="11" s="1"/>
  <c r="S5529" i="11" s="1"/>
  <c r="O5530" i="11"/>
  <c r="U5530" i="11" s="1"/>
  <c r="S5530" i="11" s="1"/>
  <c r="O5531" i="11"/>
  <c r="U5531" i="11"/>
  <c r="S5531" i="11" s="1"/>
  <c r="O5532" i="11"/>
  <c r="U5532" i="11" s="1"/>
  <c r="S5532" i="11" s="1"/>
  <c r="O5533" i="11"/>
  <c r="U5533" i="11" s="1"/>
  <c r="S5533" i="11" s="1"/>
  <c r="O5534" i="11"/>
  <c r="U5534" i="11" s="1"/>
  <c r="S5534" i="11" s="1"/>
  <c r="O5535" i="11"/>
  <c r="U5535" i="11" s="1"/>
  <c r="S5535" i="11" s="1"/>
  <c r="O5536" i="11"/>
  <c r="U5536" i="11" s="1"/>
  <c r="S5536" i="11" s="1"/>
  <c r="O5537" i="11"/>
  <c r="U5537" i="11" s="1"/>
  <c r="S5537" i="11" s="1"/>
  <c r="O5538" i="11"/>
  <c r="U5538" i="11" s="1"/>
  <c r="S5538" i="11" s="1"/>
  <c r="O5539" i="11"/>
  <c r="U5539" i="11" s="1"/>
  <c r="S5539" i="11" s="1"/>
  <c r="O5540" i="11"/>
  <c r="U5540" i="11" s="1"/>
  <c r="S5540" i="11" s="1"/>
  <c r="O5541" i="11"/>
  <c r="U5541" i="11" s="1"/>
  <c r="S5541" i="11" s="1"/>
  <c r="O5542" i="11"/>
  <c r="U5542" i="11"/>
  <c r="S5542" i="11" s="1"/>
  <c r="O5543" i="11"/>
  <c r="U5543" i="11" s="1"/>
  <c r="S5543" i="11" s="1"/>
  <c r="O5544" i="11"/>
  <c r="U5544" i="11" s="1"/>
  <c r="S5544" i="11" s="1"/>
  <c r="O5545" i="11"/>
  <c r="U5545" i="11"/>
  <c r="S5545" i="11" s="1"/>
  <c r="O5546" i="11"/>
  <c r="U5546" i="11"/>
  <c r="S5546" i="11" s="1"/>
  <c r="O5547" i="11"/>
  <c r="U5547" i="11" s="1"/>
  <c r="S5547" i="11" s="1"/>
  <c r="O5548" i="11"/>
  <c r="U5548" i="11" s="1"/>
  <c r="S5548" i="11" s="1"/>
  <c r="O5549" i="11"/>
  <c r="U5549" i="11"/>
  <c r="S5549" i="11" s="1"/>
  <c r="O5550" i="11"/>
  <c r="U5550" i="11" s="1"/>
  <c r="S5550" i="11" s="1"/>
  <c r="O5551" i="11"/>
  <c r="U5551" i="11" s="1"/>
  <c r="S5551" i="11" s="1"/>
  <c r="O5552" i="11"/>
  <c r="U5552" i="11" s="1"/>
  <c r="S5552" i="11" s="1"/>
  <c r="O5553" i="11"/>
  <c r="U5553" i="11" s="1"/>
  <c r="S5553" i="11" s="1"/>
  <c r="O5554" i="11"/>
  <c r="U5554" i="11" s="1"/>
  <c r="S5554" i="11" s="1"/>
  <c r="O5555" i="11"/>
  <c r="U5555" i="11" s="1"/>
  <c r="S5555" i="11" s="1"/>
  <c r="O5556" i="11"/>
  <c r="U5556" i="11" s="1"/>
  <c r="S5556" i="11" s="1"/>
  <c r="O5557" i="11"/>
  <c r="U5557" i="11" s="1"/>
  <c r="S5557" i="11" s="1"/>
  <c r="O5558" i="11"/>
  <c r="U5558" i="11" s="1"/>
  <c r="S5558" i="11" s="1"/>
  <c r="O5559" i="11"/>
  <c r="U5559" i="11" s="1"/>
  <c r="S5559" i="11" s="1"/>
  <c r="O5560" i="11"/>
  <c r="U5560" i="11" s="1"/>
  <c r="S5560" i="11" s="1"/>
  <c r="O5561" i="11"/>
  <c r="U5561" i="11" s="1"/>
  <c r="S5561" i="11" s="1"/>
  <c r="O5562" i="11"/>
  <c r="U5562" i="11" s="1"/>
  <c r="S5562" i="11" s="1"/>
  <c r="O5563" i="11"/>
  <c r="U5563" i="11"/>
  <c r="S5563" i="11" s="1"/>
  <c r="O5564" i="11"/>
  <c r="U5564" i="11" s="1"/>
  <c r="S5564" i="11" s="1"/>
  <c r="O5565" i="11"/>
  <c r="U5565" i="11" s="1"/>
  <c r="S5565" i="11" s="1"/>
  <c r="O5566" i="11"/>
  <c r="U5566" i="11"/>
  <c r="S5566" i="11" s="1"/>
  <c r="O5567" i="11"/>
  <c r="U5567" i="11" s="1"/>
  <c r="S5567" i="11" s="1"/>
  <c r="O5568" i="11"/>
  <c r="U5568" i="11" s="1"/>
  <c r="S5568" i="11" s="1"/>
  <c r="O5569" i="11"/>
  <c r="U5569" i="11" s="1"/>
  <c r="S5569" i="11" s="1"/>
  <c r="O5570" i="11"/>
  <c r="U5570" i="11" s="1"/>
  <c r="S5570" i="11" s="1"/>
  <c r="O5571" i="11"/>
  <c r="U5571" i="11" s="1"/>
  <c r="S5571" i="11" s="1"/>
  <c r="O5572" i="11"/>
  <c r="U5572" i="11" s="1"/>
  <c r="S5572" i="11" s="1"/>
  <c r="O5573" i="11"/>
  <c r="U5573" i="11" s="1"/>
  <c r="S5573" i="11" s="1"/>
  <c r="O5574" i="11"/>
  <c r="U5574" i="11" s="1"/>
  <c r="S5574" i="11" s="1"/>
  <c r="O5575" i="11"/>
  <c r="U5575" i="11" s="1"/>
  <c r="S5575" i="11" s="1"/>
  <c r="O5576" i="11"/>
  <c r="U5576" i="11" s="1"/>
  <c r="S5576" i="11" s="1"/>
  <c r="O5577" i="11"/>
  <c r="U5577" i="11" s="1"/>
  <c r="S5577" i="11" s="1"/>
  <c r="O5578" i="11"/>
  <c r="U5578" i="11" s="1"/>
  <c r="S5578" i="11" s="1"/>
  <c r="O5579" i="11"/>
  <c r="U5579" i="11" s="1"/>
  <c r="S5579" i="11" s="1"/>
  <c r="O5580" i="11"/>
  <c r="U5580" i="11" s="1"/>
  <c r="S5580" i="11"/>
  <c r="O5581" i="11"/>
  <c r="U5581" i="11"/>
  <c r="S5581" i="11" s="1"/>
  <c r="O5582" i="11"/>
  <c r="U5582" i="11" s="1"/>
  <c r="S5582" i="11" s="1"/>
  <c r="O5583" i="11"/>
  <c r="U5583" i="11" s="1"/>
  <c r="S5583" i="11" s="1"/>
  <c r="O5584" i="11"/>
  <c r="U5584" i="11" s="1"/>
  <c r="S5584" i="11" s="1"/>
  <c r="O5585" i="11"/>
  <c r="U5585" i="11" s="1"/>
  <c r="S5585" i="11" s="1"/>
  <c r="O5586" i="11"/>
  <c r="U5586" i="11"/>
  <c r="S5586" i="11" s="1"/>
  <c r="O5587" i="11"/>
  <c r="U5587" i="11" s="1"/>
  <c r="S5587" i="11" s="1"/>
  <c r="O5588" i="11"/>
  <c r="U5588" i="11" s="1"/>
  <c r="S5588" i="11" s="1"/>
  <c r="O5589" i="11"/>
  <c r="U5589" i="11" s="1"/>
  <c r="S5589" i="11" s="1"/>
  <c r="O5590" i="11"/>
  <c r="U5590" i="11" s="1"/>
  <c r="S5590" i="11" s="1"/>
  <c r="O5591" i="11"/>
  <c r="U5591" i="11" s="1"/>
  <c r="S5591" i="11" s="1"/>
  <c r="O5592" i="11"/>
  <c r="U5592" i="11" s="1"/>
  <c r="S5592" i="11"/>
  <c r="O5593" i="11"/>
  <c r="U5593" i="11" s="1"/>
  <c r="S5593" i="11" s="1"/>
  <c r="O5594" i="11"/>
  <c r="U5594" i="11" s="1"/>
  <c r="S5594" i="11" s="1"/>
  <c r="O5595" i="11"/>
  <c r="U5595" i="11" s="1"/>
  <c r="S5595" i="11" s="1"/>
  <c r="O5596" i="11"/>
  <c r="U5596" i="11" s="1"/>
  <c r="S5596" i="11" s="1"/>
  <c r="O5597" i="11"/>
  <c r="U5597" i="11" s="1"/>
  <c r="S5597" i="11" s="1"/>
  <c r="O5598" i="11"/>
  <c r="U5598" i="11"/>
  <c r="S5598" i="11" s="1"/>
  <c r="O5599" i="11"/>
  <c r="U5599" i="11" s="1"/>
  <c r="S5599" i="11" s="1"/>
  <c r="O5600" i="11"/>
  <c r="U5600" i="11" s="1"/>
  <c r="S5600" i="11" s="1"/>
  <c r="O5601" i="11"/>
  <c r="U5601" i="11" s="1"/>
  <c r="S5601" i="11" s="1"/>
  <c r="O5602" i="11"/>
  <c r="U5602" i="11"/>
  <c r="S5602" i="11" s="1"/>
  <c r="O5603" i="11"/>
  <c r="U5603" i="11" s="1"/>
  <c r="S5603" i="11" s="1"/>
  <c r="O5604" i="11"/>
  <c r="U5604" i="11" s="1"/>
  <c r="S5604" i="11" s="1"/>
  <c r="O5605" i="11"/>
  <c r="U5605" i="11" s="1"/>
  <c r="S5605" i="11" s="1"/>
  <c r="O5606" i="11"/>
  <c r="U5606" i="11"/>
  <c r="S5606" i="11" s="1"/>
  <c r="O5607" i="11"/>
  <c r="U5607" i="11" s="1"/>
  <c r="S5607" i="11" s="1"/>
  <c r="O5608" i="11"/>
  <c r="U5608" i="11" s="1"/>
  <c r="S5608" i="11" s="1"/>
  <c r="O5609" i="11"/>
  <c r="U5609" i="11" s="1"/>
  <c r="S5609" i="11" s="1"/>
  <c r="O5610" i="11"/>
  <c r="U5610" i="11"/>
  <c r="S5610" i="11" s="1"/>
  <c r="O5611" i="11"/>
  <c r="U5611" i="11" s="1"/>
  <c r="S5611" i="11" s="1"/>
  <c r="O5612" i="11"/>
  <c r="U5612" i="11" s="1"/>
  <c r="S5612" i="11" s="1"/>
  <c r="O5613" i="11"/>
  <c r="U5613" i="11" s="1"/>
  <c r="S5613" i="11" s="1"/>
  <c r="O5614" i="11"/>
  <c r="U5614" i="11" s="1"/>
  <c r="S5614" i="11" s="1"/>
  <c r="O5615" i="11"/>
  <c r="U5615" i="11" s="1"/>
  <c r="S5615" i="11" s="1"/>
  <c r="O5616" i="11"/>
  <c r="U5616" i="11" s="1"/>
  <c r="S5616" i="11" s="1"/>
  <c r="O5617" i="11"/>
  <c r="U5617" i="11" s="1"/>
  <c r="S5617" i="11" s="1"/>
  <c r="O5618" i="11"/>
  <c r="U5618" i="11"/>
  <c r="S5618" i="11" s="1"/>
  <c r="O5619" i="11"/>
  <c r="U5619" i="11" s="1"/>
  <c r="S5619" i="11" s="1"/>
  <c r="O5620" i="11"/>
  <c r="U5620" i="11" s="1"/>
  <c r="S5620" i="11" s="1"/>
  <c r="O5621" i="11"/>
  <c r="U5621" i="11"/>
  <c r="S5621" i="11" s="1"/>
  <c r="O5622" i="11"/>
  <c r="U5622" i="11" s="1"/>
  <c r="S5622" i="11" s="1"/>
  <c r="O5623" i="11"/>
  <c r="U5623" i="11" s="1"/>
  <c r="S5623" i="11" s="1"/>
  <c r="O5624" i="11"/>
  <c r="U5624" i="11" s="1"/>
  <c r="S5624" i="11" s="1"/>
  <c r="O5625" i="11"/>
  <c r="U5625" i="11" s="1"/>
  <c r="S5625" i="11" s="1"/>
  <c r="O5626" i="11"/>
  <c r="U5626" i="11" s="1"/>
  <c r="S5626" i="11" s="1"/>
  <c r="O5627" i="11"/>
  <c r="U5627" i="11"/>
  <c r="S5627" i="11" s="1"/>
  <c r="O5628" i="11"/>
  <c r="U5628" i="11" s="1"/>
  <c r="S5628" i="11" s="1"/>
  <c r="O5629" i="11"/>
  <c r="U5629" i="11" s="1"/>
  <c r="S5629" i="11" s="1"/>
  <c r="O5630" i="11"/>
  <c r="U5630" i="11" s="1"/>
  <c r="S5630" i="11" s="1"/>
  <c r="O5631" i="11"/>
  <c r="U5631" i="11" s="1"/>
  <c r="S5631" i="11" s="1"/>
  <c r="O5632" i="11"/>
  <c r="U5632" i="11" s="1"/>
  <c r="S5632" i="11" s="1"/>
  <c r="O5633" i="11"/>
  <c r="U5633" i="11" s="1"/>
  <c r="S5633" i="11" s="1"/>
  <c r="O5634" i="11"/>
  <c r="U5634" i="11" s="1"/>
  <c r="S5634" i="11" s="1"/>
  <c r="O5635" i="11"/>
  <c r="U5635" i="11" s="1"/>
  <c r="S5635" i="11" s="1"/>
  <c r="O5636" i="11"/>
  <c r="U5636" i="11" s="1"/>
  <c r="S5636" i="11" s="1"/>
  <c r="O5637" i="11"/>
  <c r="U5637" i="11" s="1"/>
  <c r="S5637" i="11" s="1"/>
  <c r="O5638" i="11"/>
  <c r="U5638" i="11"/>
  <c r="S5638" i="11" s="1"/>
  <c r="O5639" i="11"/>
  <c r="U5639" i="11" s="1"/>
  <c r="S5639" i="11" s="1"/>
  <c r="O5640" i="11"/>
  <c r="U5640" i="11" s="1"/>
  <c r="S5640" i="11" s="1"/>
  <c r="O5641" i="11"/>
  <c r="U5641" i="11" s="1"/>
  <c r="S5641" i="11" s="1"/>
  <c r="O5642" i="11"/>
  <c r="U5642" i="11"/>
  <c r="S5642" i="11" s="1"/>
  <c r="O5643" i="11"/>
  <c r="U5643" i="11" s="1"/>
  <c r="S5643" i="11" s="1"/>
  <c r="O5644" i="11"/>
  <c r="U5644" i="11" s="1"/>
  <c r="S5644" i="11" s="1"/>
  <c r="O5645" i="11"/>
  <c r="U5645" i="11"/>
  <c r="S5645" i="11"/>
  <c r="O5646" i="11"/>
  <c r="U5646" i="11" s="1"/>
  <c r="S5646" i="11" s="1"/>
  <c r="O5647" i="11"/>
  <c r="U5647" i="11" s="1"/>
  <c r="S5647" i="11" s="1"/>
  <c r="O5648" i="11"/>
  <c r="U5648" i="11" s="1"/>
  <c r="S5648" i="11" s="1"/>
  <c r="O5649" i="11"/>
  <c r="U5649" i="11" s="1"/>
  <c r="S5649" i="11" s="1"/>
  <c r="O5650" i="11"/>
  <c r="U5650" i="11"/>
  <c r="S5650" i="11" s="1"/>
  <c r="O5651" i="11"/>
  <c r="U5651" i="11" s="1"/>
  <c r="S5651" i="11" s="1"/>
  <c r="O5652" i="11"/>
  <c r="U5652" i="11" s="1"/>
  <c r="S5652" i="11" s="1"/>
  <c r="O5653" i="11"/>
  <c r="U5653" i="11" s="1"/>
  <c r="S5653" i="11" s="1"/>
  <c r="O5654" i="11"/>
  <c r="U5654" i="11" s="1"/>
  <c r="O5655" i="11"/>
  <c r="U5655" i="11" s="1"/>
  <c r="S5655" i="11" s="1"/>
  <c r="O5656" i="11"/>
  <c r="U5656" i="11" s="1"/>
  <c r="S5656" i="11" s="1"/>
  <c r="O5657" i="11"/>
  <c r="U5657" i="11" s="1"/>
  <c r="S5657" i="11" s="1"/>
  <c r="O5658" i="11"/>
  <c r="U5658" i="11" s="1"/>
  <c r="S5658" i="11" s="1"/>
  <c r="O5659" i="11"/>
  <c r="U5659" i="11" s="1"/>
  <c r="S5659" i="11" s="1"/>
  <c r="O5660" i="11"/>
  <c r="U5660" i="11" s="1"/>
  <c r="S5660" i="11" s="1"/>
  <c r="O5661" i="11"/>
  <c r="U5661" i="11" s="1"/>
  <c r="S5661" i="11" s="1"/>
  <c r="O5662" i="11"/>
  <c r="U5662" i="11"/>
  <c r="S5662" i="11" s="1"/>
  <c r="O5663" i="11"/>
  <c r="U5663" i="11" s="1"/>
  <c r="S5663" i="11" s="1"/>
  <c r="O5664" i="11"/>
  <c r="U5664" i="11" s="1"/>
  <c r="S5664" i="11" s="1"/>
  <c r="O5665" i="11"/>
  <c r="U5665" i="11" s="1"/>
  <c r="S5665" i="11" s="1"/>
  <c r="O5666" i="11"/>
  <c r="U5666" i="11"/>
  <c r="S5666" i="11" s="1"/>
  <c r="O5667" i="11"/>
  <c r="U5667" i="11" s="1"/>
  <c r="S5667" i="11" s="1"/>
  <c r="O5668" i="11"/>
  <c r="U5668" i="11" s="1"/>
  <c r="S5668" i="11" s="1"/>
  <c r="O5669" i="11"/>
  <c r="U5669" i="11" s="1"/>
  <c r="S5669" i="11" s="1"/>
  <c r="O5670" i="11"/>
  <c r="U5670" i="11" s="1"/>
  <c r="S5670" i="11" s="1"/>
  <c r="O5671" i="11"/>
  <c r="U5671" i="11" s="1"/>
  <c r="S5671" i="11" s="1"/>
  <c r="O5672" i="11"/>
  <c r="U5672" i="11" s="1"/>
  <c r="S5672" i="11" s="1"/>
  <c r="O5673" i="11"/>
  <c r="U5673" i="11" s="1"/>
  <c r="O5674" i="11"/>
  <c r="U5674" i="11" s="1"/>
  <c r="S5674" i="11" s="1"/>
  <c r="O5675" i="11"/>
  <c r="U5675" i="11" s="1"/>
  <c r="S5675" i="11" s="1"/>
  <c r="O5676" i="11"/>
  <c r="U5676" i="11" s="1"/>
  <c r="S5676" i="11" s="1"/>
  <c r="O5677" i="11"/>
  <c r="U5677" i="11" s="1"/>
  <c r="S5677" i="11" s="1"/>
  <c r="O5678" i="11"/>
  <c r="U5678" i="11" s="1"/>
  <c r="S5678" i="11" s="1"/>
  <c r="O5679" i="11"/>
  <c r="U5679" i="11" s="1"/>
  <c r="S5679" i="11" s="1"/>
  <c r="O5680" i="11"/>
  <c r="U5680" i="11" s="1"/>
  <c r="S5680" i="11" s="1"/>
  <c r="O5681" i="11"/>
  <c r="U5681" i="11" s="1"/>
  <c r="S5681" i="11" s="1"/>
  <c r="O5682" i="11"/>
  <c r="U5682" i="11" s="1"/>
  <c r="O5683" i="11"/>
  <c r="U5683" i="11" s="1"/>
  <c r="S5683" i="11" s="1"/>
  <c r="O5684" i="11"/>
  <c r="U5684" i="11" s="1"/>
  <c r="S5684" i="11" s="1"/>
  <c r="O5685" i="11"/>
  <c r="U5685" i="11" s="1"/>
  <c r="S5685" i="11" s="1"/>
  <c r="O5686" i="11"/>
  <c r="U5686" i="11"/>
  <c r="S5686" i="11" s="1"/>
  <c r="O5687" i="11"/>
  <c r="U5687" i="11" s="1"/>
  <c r="S5687" i="11" s="1"/>
  <c r="O5688" i="11"/>
  <c r="U5688" i="11" s="1"/>
  <c r="S5688" i="11" s="1"/>
  <c r="O5689" i="11"/>
  <c r="U5689" i="11" s="1"/>
  <c r="S5689" i="11" s="1"/>
  <c r="O5690" i="11"/>
  <c r="U5690" i="11" s="1"/>
  <c r="S5690" i="11" s="1"/>
  <c r="O5691" i="11"/>
  <c r="U5691" i="11"/>
  <c r="S5691" i="11" s="1"/>
  <c r="O5692" i="11"/>
  <c r="U5692" i="11" s="1"/>
  <c r="S5692" i="11" s="1"/>
  <c r="O5693" i="11"/>
  <c r="U5693" i="11" s="1"/>
  <c r="S5693" i="11" s="1"/>
  <c r="O5694" i="11"/>
  <c r="U5694" i="11"/>
  <c r="S5694" i="11" s="1"/>
  <c r="O5695" i="11"/>
  <c r="U5695" i="11" s="1"/>
  <c r="S5695" i="11" s="1"/>
  <c r="O5696" i="11"/>
  <c r="U5696" i="11" s="1"/>
  <c r="S5696" i="11" s="1"/>
  <c r="O5697" i="11"/>
  <c r="U5697" i="11" s="1"/>
  <c r="S5697" i="11" s="1"/>
  <c r="O5698" i="11"/>
  <c r="U5698" i="11"/>
  <c r="S5698" i="11" s="1"/>
  <c r="O5699" i="11"/>
  <c r="U5699" i="11" s="1"/>
  <c r="S5699" i="11" s="1"/>
  <c r="O5700" i="11"/>
  <c r="U5700" i="11" s="1"/>
  <c r="S5700" i="11" s="1"/>
  <c r="O5701" i="11"/>
  <c r="U5701" i="11" s="1"/>
  <c r="S5701" i="11" s="1"/>
  <c r="O5702" i="11"/>
  <c r="U5702" i="11"/>
  <c r="S5702" i="11" s="1"/>
  <c r="O5703" i="11"/>
  <c r="U5703" i="11" s="1"/>
  <c r="S5703" i="11" s="1"/>
  <c r="O5704" i="11"/>
  <c r="U5704" i="11" s="1"/>
  <c r="S5704" i="11" s="1"/>
  <c r="O5705" i="11"/>
  <c r="U5705" i="11" s="1"/>
  <c r="S5705" i="11" s="1"/>
  <c r="O5706" i="11"/>
  <c r="U5706" i="11" s="1"/>
  <c r="S5706" i="11" s="1"/>
  <c r="O5707" i="11"/>
  <c r="U5707" i="11" s="1"/>
  <c r="S5707" i="11" s="1"/>
  <c r="O5708" i="11"/>
  <c r="U5708" i="11" s="1"/>
  <c r="S5708" i="11"/>
  <c r="O5709" i="11"/>
  <c r="U5709" i="11"/>
  <c r="S5709" i="11"/>
  <c r="O5710" i="11"/>
  <c r="U5710" i="11" s="1"/>
  <c r="S5710" i="11" s="1"/>
  <c r="O5711" i="11"/>
  <c r="U5711" i="11" s="1"/>
  <c r="S5711" i="11" s="1"/>
  <c r="O5712" i="11"/>
  <c r="U5712" i="11" s="1"/>
  <c r="S5712" i="11" s="1"/>
  <c r="O5713" i="11"/>
  <c r="U5713" i="11" s="1"/>
  <c r="S5713" i="11" s="1"/>
  <c r="O5714" i="11"/>
  <c r="U5714" i="11" s="1"/>
  <c r="S5714" i="11" s="1"/>
  <c r="O5715" i="11"/>
  <c r="U5715" i="11" s="1"/>
  <c r="S5715" i="11" s="1"/>
  <c r="O5716" i="11"/>
  <c r="U5716" i="11" s="1"/>
  <c r="S5716" i="11" s="1"/>
  <c r="O5717" i="11"/>
  <c r="U5717" i="11" s="1"/>
  <c r="S5717" i="11" s="1"/>
  <c r="O5718" i="11"/>
  <c r="U5718" i="11" s="1"/>
  <c r="S5718" i="11" s="1"/>
  <c r="O5719" i="11"/>
  <c r="U5719" i="11" s="1"/>
  <c r="S5719" i="11" s="1"/>
  <c r="O5720" i="11"/>
  <c r="U5720" i="11" s="1"/>
  <c r="S5720" i="11" s="1"/>
  <c r="O5721" i="11"/>
  <c r="U5721" i="11" s="1"/>
  <c r="S5721" i="11" s="1"/>
  <c r="O5722" i="11"/>
  <c r="U5722" i="11"/>
  <c r="S5722" i="11" s="1"/>
  <c r="O5723" i="11"/>
  <c r="U5723" i="11" s="1"/>
  <c r="S5723" i="11" s="1"/>
  <c r="O5724" i="11"/>
  <c r="U5724" i="11" s="1"/>
  <c r="S5724" i="11" s="1"/>
  <c r="O5725" i="11"/>
  <c r="U5725" i="11" s="1"/>
  <c r="S5725" i="11" s="1"/>
  <c r="O5726" i="11"/>
  <c r="U5726" i="11" s="1"/>
  <c r="S5726" i="11" s="1"/>
  <c r="O5727" i="11"/>
  <c r="U5727" i="11" s="1"/>
  <c r="S5727" i="11" s="1"/>
  <c r="O5728" i="11"/>
  <c r="U5728" i="11" s="1"/>
  <c r="S5728" i="11" s="1"/>
  <c r="O5729" i="11"/>
  <c r="U5729" i="11" s="1"/>
  <c r="S5729" i="11" s="1"/>
  <c r="O5730" i="11"/>
  <c r="U5730" i="11" s="1"/>
  <c r="S5730" i="11" s="1"/>
  <c r="O5731" i="11"/>
  <c r="U5731" i="11" s="1"/>
  <c r="S5731" i="11" s="1"/>
  <c r="O5732" i="11"/>
  <c r="U5732" i="11" s="1"/>
  <c r="S5732" i="11" s="1"/>
  <c r="O5733" i="11"/>
  <c r="U5733" i="11" s="1"/>
  <c r="S5733" i="11" s="1"/>
  <c r="O5734" i="11"/>
  <c r="U5734" i="11" s="1"/>
  <c r="S5734" i="11" s="1"/>
  <c r="O5735" i="11"/>
  <c r="U5735" i="11" s="1"/>
  <c r="S5735" i="11" s="1"/>
  <c r="O5736" i="11"/>
  <c r="U5736" i="11" s="1"/>
  <c r="S5736" i="11" s="1"/>
  <c r="O5737" i="11"/>
  <c r="U5737" i="11" s="1"/>
  <c r="S5737" i="11" s="1"/>
  <c r="O5738" i="11"/>
  <c r="U5738" i="11" s="1"/>
  <c r="S5738" i="11" s="1"/>
  <c r="O5739" i="11"/>
  <c r="U5739" i="11" s="1"/>
  <c r="S5739" i="11" s="1"/>
  <c r="O5740" i="11"/>
  <c r="U5740" i="11" s="1"/>
  <c r="S5740" i="11" s="1"/>
  <c r="O5741" i="11"/>
  <c r="U5741" i="11" s="1"/>
  <c r="S5741" i="11" s="1"/>
  <c r="O5742" i="11"/>
  <c r="U5742" i="11" s="1"/>
  <c r="S5742" i="11" s="1"/>
  <c r="O5743" i="11"/>
  <c r="U5743" i="11" s="1"/>
  <c r="S5743" i="11" s="1"/>
  <c r="O5744" i="11"/>
  <c r="U5744" i="11" s="1"/>
  <c r="S5744" i="11" s="1"/>
  <c r="O5745" i="11"/>
  <c r="U5745" i="11"/>
  <c r="S5745" i="11" s="1"/>
  <c r="O5746" i="11"/>
  <c r="U5746" i="11" s="1"/>
  <c r="S5746" i="11" s="1"/>
  <c r="O5747" i="11"/>
  <c r="U5747" i="11" s="1"/>
  <c r="S5747" i="11" s="1"/>
  <c r="O5748" i="11"/>
  <c r="U5748" i="11" s="1"/>
  <c r="S5748" i="11" s="1"/>
  <c r="O5749" i="11"/>
  <c r="U5749" i="11" s="1"/>
  <c r="S5749" i="11" s="1"/>
  <c r="O5750" i="11"/>
  <c r="U5750" i="11" s="1"/>
  <c r="O5751" i="11"/>
  <c r="U5751" i="11" s="1"/>
  <c r="S5751" i="11" s="1"/>
  <c r="O5752" i="11"/>
  <c r="U5752" i="11" s="1"/>
  <c r="S5752" i="11" s="1"/>
  <c r="O5753" i="11"/>
  <c r="U5753" i="11" s="1"/>
  <c r="O5754" i="11"/>
  <c r="U5754" i="11" s="1"/>
  <c r="S5754" i="11" s="1"/>
  <c r="O5755" i="11"/>
  <c r="U5755" i="11" s="1"/>
  <c r="S5755" i="11" s="1"/>
  <c r="O5756" i="11"/>
  <c r="U5756" i="11" s="1"/>
  <c r="S5756" i="11" s="1"/>
  <c r="O5757" i="11"/>
  <c r="U5757" i="11" s="1"/>
  <c r="S5757" i="11" s="1"/>
  <c r="O5758" i="11"/>
  <c r="U5758" i="11" s="1"/>
  <c r="S5758" i="11" s="1"/>
  <c r="O5759" i="11"/>
  <c r="U5759" i="11" s="1"/>
  <c r="S5759" i="11" s="1"/>
  <c r="O5760" i="11"/>
  <c r="U5760" i="11" s="1"/>
  <c r="S5760" i="11" s="1"/>
  <c r="O5761" i="11"/>
  <c r="U5761" i="11" s="1"/>
  <c r="S5761" i="11" s="1"/>
  <c r="O5762" i="11"/>
  <c r="U5762" i="11" s="1"/>
  <c r="S5762" i="11" s="1"/>
  <c r="O5763" i="11"/>
  <c r="U5763" i="11" s="1"/>
  <c r="S5763" i="11" s="1"/>
  <c r="O5764" i="11"/>
  <c r="U5764" i="11" s="1"/>
  <c r="S5764" i="11" s="1"/>
  <c r="O5765" i="11"/>
  <c r="U5765" i="11"/>
  <c r="S5765" i="11" s="1"/>
  <c r="O5766" i="11"/>
  <c r="U5766" i="11" s="1"/>
  <c r="O5767" i="11"/>
  <c r="U5767" i="11" s="1"/>
  <c r="S5767" i="11" s="1"/>
  <c r="O5768" i="11"/>
  <c r="U5768" i="11" s="1"/>
  <c r="S5768" i="11" s="1"/>
  <c r="O5769" i="11"/>
  <c r="U5769" i="11"/>
  <c r="S5769" i="11" s="1"/>
  <c r="O5770" i="11"/>
  <c r="U5770" i="11" s="1"/>
  <c r="S5770" i="11" s="1"/>
  <c r="O5771" i="11"/>
  <c r="U5771" i="11" s="1"/>
  <c r="S5771" i="11" s="1"/>
  <c r="O5772" i="11"/>
  <c r="U5772" i="11" s="1"/>
  <c r="S5772" i="11" s="1"/>
  <c r="O5773" i="11"/>
  <c r="U5773" i="11"/>
  <c r="S5773" i="11" s="1"/>
  <c r="O5774" i="11"/>
  <c r="U5774" i="11" s="1"/>
  <c r="O5775" i="11"/>
  <c r="U5775" i="11" s="1"/>
  <c r="S5775" i="11" s="1"/>
  <c r="O5776" i="11"/>
  <c r="U5776" i="11" s="1"/>
  <c r="S5776" i="11" s="1"/>
  <c r="O5777" i="11"/>
  <c r="U5777" i="11" s="1"/>
  <c r="S5777" i="11" s="1"/>
  <c r="O5778" i="11"/>
  <c r="U5778" i="11" s="1"/>
  <c r="S5778" i="11" s="1"/>
  <c r="O5779" i="11"/>
  <c r="U5779" i="11" s="1"/>
  <c r="S5779" i="11" s="1"/>
  <c r="O5780" i="11"/>
  <c r="U5780" i="11"/>
  <c r="S5780" i="11" s="1"/>
  <c r="O5781" i="11"/>
  <c r="U5781" i="11" s="1"/>
  <c r="S5781" i="11" s="1"/>
  <c r="O5782" i="11"/>
  <c r="U5782" i="11" s="1"/>
  <c r="S5782" i="11"/>
  <c r="O5783" i="11"/>
  <c r="U5783" i="11" s="1"/>
  <c r="S5783" i="11" s="1"/>
  <c r="O5784" i="11"/>
  <c r="U5784" i="11" s="1"/>
  <c r="S5784" i="11" s="1"/>
  <c r="O5785" i="11"/>
  <c r="U5785" i="11" s="1"/>
  <c r="S5785" i="11" s="1"/>
  <c r="O5786" i="11"/>
  <c r="U5786" i="11"/>
  <c r="S5786" i="11" s="1"/>
  <c r="O5787" i="11"/>
  <c r="U5787" i="11" s="1"/>
  <c r="O5788" i="11"/>
  <c r="U5788" i="11"/>
  <c r="S5788" i="11" s="1"/>
  <c r="O5789" i="11"/>
  <c r="U5789" i="11" s="1"/>
  <c r="S5789" i="11" s="1"/>
  <c r="O5790" i="11"/>
  <c r="U5790" i="11" s="1"/>
  <c r="S5790" i="11" s="1"/>
  <c r="O5791" i="11"/>
  <c r="U5791" i="11" s="1"/>
  <c r="S5791" i="11" s="1"/>
  <c r="O5792" i="11"/>
  <c r="U5792" i="11" s="1"/>
  <c r="S5792" i="11" s="1"/>
  <c r="O5793" i="11"/>
  <c r="U5793" i="11" s="1"/>
  <c r="S5793" i="11" s="1"/>
  <c r="O5794" i="11"/>
  <c r="U5794" i="11"/>
  <c r="S5794" i="11"/>
  <c r="O5795" i="11"/>
  <c r="U5795" i="11" s="1"/>
  <c r="S5795" i="11" s="1"/>
  <c r="O5796" i="11"/>
  <c r="U5796" i="11" s="1"/>
  <c r="S5796" i="11" s="1"/>
  <c r="O5797" i="11"/>
  <c r="U5797" i="11"/>
  <c r="S5797" i="11" s="1"/>
  <c r="O5798" i="11"/>
  <c r="U5798" i="11" s="1"/>
  <c r="S5798" i="11" s="1"/>
  <c r="O5799" i="11"/>
  <c r="U5799" i="11" s="1"/>
  <c r="S5799" i="11" s="1"/>
  <c r="O5800" i="11"/>
  <c r="U5800" i="11"/>
  <c r="S5800" i="11" s="1"/>
  <c r="O5801" i="11"/>
  <c r="U5801" i="11" s="1"/>
  <c r="S5801" i="11" s="1"/>
  <c r="O5802" i="11"/>
  <c r="U5802" i="11" s="1"/>
  <c r="S5802" i="11" s="1"/>
  <c r="O5803" i="11"/>
  <c r="U5803" i="11" s="1"/>
  <c r="S5803" i="11" s="1"/>
  <c r="O5804" i="11"/>
  <c r="U5804" i="11" s="1"/>
  <c r="S5804" i="11" s="1"/>
  <c r="O5805" i="11"/>
  <c r="U5805" i="11" s="1"/>
  <c r="S5805" i="11" s="1"/>
  <c r="O5806" i="11"/>
  <c r="U5806" i="11" s="1"/>
  <c r="S5806" i="11" s="1"/>
  <c r="O5807" i="11"/>
  <c r="U5807" i="11" s="1"/>
  <c r="S5807" i="11" s="1"/>
  <c r="O5808" i="11"/>
  <c r="U5808" i="11" s="1"/>
  <c r="S5808" i="11" s="1"/>
  <c r="O5809" i="11"/>
  <c r="U5809" i="11"/>
  <c r="S5809" i="11" s="1"/>
  <c r="O5810" i="11"/>
  <c r="U5810" i="11" s="1"/>
  <c r="S5810" i="11" s="1"/>
  <c r="O5811" i="11"/>
  <c r="U5811" i="11" s="1"/>
  <c r="S5811" i="11" s="1"/>
  <c r="O5812" i="11"/>
  <c r="U5812" i="11" s="1"/>
  <c r="S5812" i="11" s="1"/>
  <c r="O5813" i="11"/>
  <c r="U5813" i="11" s="1"/>
  <c r="S5813" i="11" s="1"/>
  <c r="O5814" i="11"/>
  <c r="U5814" i="11" s="1"/>
  <c r="S5814" i="11" s="1"/>
  <c r="O5815" i="11"/>
  <c r="U5815" i="11" s="1"/>
  <c r="S5815" i="11" s="1"/>
  <c r="O5816" i="11"/>
  <c r="U5816" i="11" s="1"/>
  <c r="S5816" i="11" s="1"/>
  <c r="O5817" i="11"/>
  <c r="U5817" i="11" s="1"/>
  <c r="S5817" i="11" s="1"/>
  <c r="O5818" i="11"/>
  <c r="U5818" i="11"/>
  <c r="S5818" i="11"/>
  <c r="O5819" i="11"/>
  <c r="U5819" i="11" s="1"/>
  <c r="S5819" i="11" s="1"/>
  <c r="O5820" i="11"/>
  <c r="U5820" i="11" s="1"/>
  <c r="S5820" i="11" s="1"/>
  <c r="O5821" i="11"/>
  <c r="U5821" i="11"/>
  <c r="S5821" i="11"/>
  <c r="O5822" i="11"/>
  <c r="U5822" i="11" s="1"/>
  <c r="S5822" i="11" s="1"/>
  <c r="O5823" i="11"/>
  <c r="U5823" i="11" s="1"/>
  <c r="S5823" i="11" s="1"/>
  <c r="O5824" i="11"/>
  <c r="U5824" i="11" s="1"/>
  <c r="S5824" i="11" s="1"/>
  <c r="O5825" i="11"/>
  <c r="U5825" i="11" s="1"/>
  <c r="S5825" i="11" s="1"/>
  <c r="O5826" i="11"/>
  <c r="U5826" i="11" s="1"/>
  <c r="O5827" i="11"/>
  <c r="U5827" i="11" s="1"/>
  <c r="S5827" i="11" s="1"/>
  <c r="O5828" i="11"/>
  <c r="U5828" i="11"/>
  <c r="S5828" i="11" s="1"/>
  <c r="O5829" i="11"/>
  <c r="U5829" i="11"/>
  <c r="S5829" i="11" s="1"/>
  <c r="O5830" i="11"/>
  <c r="U5830" i="11" s="1"/>
  <c r="S5830" i="11" s="1"/>
  <c r="O5831" i="11"/>
  <c r="U5831" i="11" s="1"/>
  <c r="S5831" i="11" s="1"/>
  <c r="O5832" i="11"/>
  <c r="U5832" i="11" s="1"/>
  <c r="S5832" i="11" s="1"/>
  <c r="O5833" i="11"/>
  <c r="U5833" i="11" s="1"/>
  <c r="S5833" i="11" s="1"/>
  <c r="O5834" i="11"/>
  <c r="U5834" i="11" s="1"/>
  <c r="S5834" i="11" s="1"/>
  <c r="O5835" i="11"/>
  <c r="U5835" i="11" s="1"/>
  <c r="S5835" i="11" s="1"/>
  <c r="O5836" i="11"/>
  <c r="U5836" i="11" s="1"/>
  <c r="S5836" i="11" s="1"/>
  <c r="O5837" i="11"/>
  <c r="U5837" i="11" s="1"/>
  <c r="S5837" i="11" s="1"/>
  <c r="O5838" i="11"/>
  <c r="U5838" i="11"/>
  <c r="S5838" i="11" s="1"/>
  <c r="O5839" i="11"/>
  <c r="U5839" i="11" s="1"/>
  <c r="S5839" i="11" s="1"/>
  <c r="O5840" i="11"/>
  <c r="U5840" i="11"/>
  <c r="S5840" i="11" s="1"/>
  <c r="O5841" i="11"/>
  <c r="U5841" i="11"/>
  <c r="S5841" i="11" s="1"/>
  <c r="O5842" i="11"/>
  <c r="U5842" i="11" s="1"/>
  <c r="S5842" i="11" s="1"/>
  <c r="O5843" i="11"/>
  <c r="U5843" i="11"/>
  <c r="S5843" i="11" s="1"/>
  <c r="O5844" i="11"/>
  <c r="U5844" i="11" s="1"/>
  <c r="S5844" i="11" s="1"/>
  <c r="O5845" i="11"/>
  <c r="U5845" i="11" s="1"/>
  <c r="S5845" i="11" s="1"/>
  <c r="O5846" i="11"/>
  <c r="U5846" i="11"/>
  <c r="S5846" i="11" s="1"/>
  <c r="O5847" i="11"/>
  <c r="U5847" i="11" s="1"/>
  <c r="S5847" i="11" s="1"/>
  <c r="O5848" i="11"/>
  <c r="U5848" i="11" s="1"/>
  <c r="S5848" i="11" s="1"/>
  <c r="O5849" i="11"/>
  <c r="U5849" i="11" s="1"/>
  <c r="S5849" i="11" s="1"/>
  <c r="O5850" i="11"/>
  <c r="U5850" i="11" s="1"/>
  <c r="S5850" i="11" s="1"/>
  <c r="O5851" i="11"/>
  <c r="U5851" i="11" s="1"/>
  <c r="S5851" i="11" s="1"/>
  <c r="O5852" i="11"/>
  <c r="U5852" i="11"/>
  <c r="S5852" i="11" s="1"/>
  <c r="O5853" i="11"/>
  <c r="U5853" i="11" s="1"/>
  <c r="S5853" i="11" s="1"/>
  <c r="O5854" i="11"/>
  <c r="U5854" i="11" s="1"/>
  <c r="S5854" i="11" s="1"/>
  <c r="O5855" i="11"/>
  <c r="U5855" i="11"/>
  <c r="S5855" i="11" s="1"/>
  <c r="O5856" i="11"/>
  <c r="U5856" i="11" s="1"/>
  <c r="S5856" i="11" s="1"/>
  <c r="O5857" i="11"/>
  <c r="U5857" i="11" s="1"/>
  <c r="S5857" i="11" s="1"/>
  <c r="O5858" i="11"/>
  <c r="U5858" i="11"/>
  <c r="S5858" i="11" s="1"/>
  <c r="O5859" i="11"/>
  <c r="U5859" i="11"/>
  <c r="S5859" i="11" s="1"/>
  <c r="O5860" i="11"/>
  <c r="U5860" i="11" s="1"/>
  <c r="S5860" i="11" s="1"/>
  <c r="O5861" i="11"/>
  <c r="U5861" i="11" s="1"/>
  <c r="S5861" i="11" s="1"/>
  <c r="O5862" i="11"/>
  <c r="U5862" i="11" s="1"/>
  <c r="S5862" i="11" s="1"/>
  <c r="O5863" i="11"/>
  <c r="U5863" i="11" s="1"/>
  <c r="S5863" i="11" s="1"/>
  <c r="O5864" i="11"/>
  <c r="U5864" i="11"/>
  <c r="S5864" i="11" s="1"/>
  <c r="O5865" i="11"/>
  <c r="U5865" i="11" s="1"/>
  <c r="S5865" i="11" s="1"/>
  <c r="O5866" i="11"/>
  <c r="U5866" i="11"/>
  <c r="S5866" i="11" s="1"/>
  <c r="O5867" i="11"/>
  <c r="U5867" i="11" s="1"/>
  <c r="S5867" i="11" s="1"/>
  <c r="O5868" i="11"/>
  <c r="U5868" i="11" s="1"/>
  <c r="S5868" i="11" s="1"/>
  <c r="O5869" i="11"/>
  <c r="U5869" i="11" s="1"/>
  <c r="S5869" i="11" s="1"/>
  <c r="O5870" i="11"/>
  <c r="U5870" i="11" s="1"/>
  <c r="S5870" i="11" s="1"/>
  <c r="O5871" i="11"/>
  <c r="U5871" i="11" s="1"/>
  <c r="S5871" i="11" s="1"/>
  <c r="O5872" i="11"/>
  <c r="U5872" i="11" s="1"/>
  <c r="S5872" i="11" s="1"/>
  <c r="O5873" i="11"/>
  <c r="U5873" i="11" s="1"/>
  <c r="S5873" i="11" s="1"/>
  <c r="O5874" i="11"/>
  <c r="U5874" i="11" s="1"/>
  <c r="S5874" i="11" s="1"/>
  <c r="O5875" i="11"/>
  <c r="U5875" i="11" s="1"/>
  <c r="S5875" i="11" s="1"/>
  <c r="O5876" i="11"/>
  <c r="U5876" i="11"/>
  <c r="S5876" i="11" s="1"/>
  <c r="O5877" i="11"/>
  <c r="U5877" i="11" s="1"/>
  <c r="S5877" i="11" s="1"/>
  <c r="O5878" i="11"/>
  <c r="U5878" i="11" s="1"/>
  <c r="S5878" i="11" s="1"/>
  <c r="O5879" i="11"/>
  <c r="U5879" i="11" s="1"/>
  <c r="S5879" i="11" s="1"/>
  <c r="O5880" i="11"/>
  <c r="U5880" i="11" s="1"/>
  <c r="S5880" i="11" s="1"/>
  <c r="O5881" i="11"/>
  <c r="U5881" i="11"/>
  <c r="S5881" i="11" s="1"/>
  <c r="O5882" i="11"/>
  <c r="U5882" i="11" s="1"/>
  <c r="S5882" i="11" s="1"/>
  <c r="O5883" i="11"/>
  <c r="U5883" i="11"/>
  <c r="S5883" i="11" s="1"/>
  <c r="O5884" i="11"/>
  <c r="U5884" i="11" s="1"/>
  <c r="S5884" i="11" s="1"/>
  <c r="O5885" i="11"/>
  <c r="U5885" i="11" s="1"/>
  <c r="S5885" i="11" s="1"/>
  <c r="O5886" i="11"/>
  <c r="U5886" i="11" s="1"/>
  <c r="S5886" i="11" s="1"/>
  <c r="O5887" i="11"/>
  <c r="U5887" i="11" s="1"/>
  <c r="S5887" i="11" s="1"/>
  <c r="O5888" i="11"/>
  <c r="U5888" i="11"/>
  <c r="S5888" i="11" s="1"/>
  <c r="O5889" i="11"/>
  <c r="U5889" i="11" s="1"/>
  <c r="S5889" i="11" s="1"/>
  <c r="O5890" i="11"/>
  <c r="U5890" i="11"/>
  <c r="S5890" i="11" s="1"/>
  <c r="O5891" i="11"/>
  <c r="U5891" i="11" s="1"/>
  <c r="S5891" i="11" s="1"/>
  <c r="O5892" i="11"/>
  <c r="U5892" i="11" s="1"/>
  <c r="S5892" i="11" s="1"/>
  <c r="O5893" i="11"/>
  <c r="U5893" i="11" s="1"/>
  <c r="S5893" i="11" s="1"/>
  <c r="O5894" i="11"/>
  <c r="U5894" i="11" s="1"/>
  <c r="S5894" i="11" s="1"/>
  <c r="O5895" i="11"/>
  <c r="U5895" i="11" s="1"/>
  <c r="S5895" i="11" s="1"/>
  <c r="O5896" i="11"/>
  <c r="U5896" i="11" s="1"/>
  <c r="S5896" i="11" s="1"/>
  <c r="O5897" i="11"/>
  <c r="U5897" i="11" s="1"/>
  <c r="S5897" i="11" s="1"/>
  <c r="O5898" i="11"/>
  <c r="U5898" i="11"/>
  <c r="S5898" i="11" s="1"/>
  <c r="O5899" i="11"/>
  <c r="U5899" i="11" s="1"/>
  <c r="S5899" i="11" s="1"/>
  <c r="O5900" i="11"/>
  <c r="U5900" i="11" s="1"/>
  <c r="S5900" i="11" s="1"/>
  <c r="O5901" i="11"/>
  <c r="U5901" i="11"/>
  <c r="S5901" i="11" s="1"/>
  <c r="O5902" i="11"/>
  <c r="U5902" i="11" s="1"/>
  <c r="S5902" i="11" s="1"/>
  <c r="O5903" i="11"/>
  <c r="U5903" i="11"/>
  <c r="S5903" i="11" s="1"/>
  <c r="O5904" i="11"/>
  <c r="U5904" i="11" s="1"/>
  <c r="S5904" i="11" s="1"/>
  <c r="O5905" i="11"/>
  <c r="U5905" i="11" s="1"/>
  <c r="S5905" i="11" s="1"/>
  <c r="O5906" i="11"/>
  <c r="U5906" i="11" s="1"/>
  <c r="S5906" i="11" s="1"/>
  <c r="O5907" i="11"/>
  <c r="U5907" i="11" s="1"/>
  <c r="S5907" i="11" s="1"/>
  <c r="O5908" i="11"/>
  <c r="U5908" i="11" s="1"/>
  <c r="S5908" i="11" s="1"/>
  <c r="O5909" i="11"/>
  <c r="U5909" i="11" s="1"/>
  <c r="S5909" i="11" s="1"/>
  <c r="O5910" i="11"/>
  <c r="U5910" i="11" s="1"/>
  <c r="S5910" i="11" s="1"/>
  <c r="O5911" i="11"/>
  <c r="U5911" i="11" s="1"/>
  <c r="S5911" i="11" s="1"/>
  <c r="O5912" i="11"/>
  <c r="U5912" i="11" s="1"/>
  <c r="S5912" i="11" s="1"/>
  <c r="O5913" i="11"/>
  <c r="U5913" i="11" s="1"/>
  <c r="S5913" i="11" s="1"/>
  <c r="O5914" i="11"/>
  <c r="U5914" i="11" s="1"/>
  <c r="S5914" i="11" s="1"/>
  <c r="O5915" i="11"/>
  <c r="U5915" i="11" s="1"/>
  <c r="S5915" i="11" s="1"/>
  <c r="O5916" i="11"/>
  <c r="U5916" i="11"/>
  <c r="S5916" i="11" s="1"/>
  <c r="O5917" i="11"/>
  <c r="U5917" i="11" s="1"/>
  <c r="S5917" i="11" s="1"/>
  <c r="O5918" i="11"/>
  <c r="U5918" i="11"/>
  <c r="S5918" i="11"/>
  <c r="O5919" i="11"/>
  <c r="U5919" i="11" s="1"/>
  <c r="S5919" i="11" s="1"/>
  <c r="O5920" i="11"/>
  <c r="U5920" i="11" s="1"/>
  <c r="S5920" i="11" s="1"/>
  <c r="O5921" i="11"/>
  <c r="U5921" i="11" s="1"/>
  <c r="S5921" i="11" s="1"/>
  <c r="O5922" i="11"/>
  <c r="U5922" i="11" s="1"/>
  <c r="S5922" i="11" s="1"/>
  <c r="O5923" i="11"/>
  <c r="U5923" i="11" s="1"/>
  <c r="S5923" i="11" s="1"/>
  <c r="O5924" i="11"/>
  <c r="U5924" i="11" s="1"/>
  <c r="S5924" i="11" s="1"/>
  <c r="O5925" i="11"/>
  <c r="U5925" i="11" s="1"/>
  <c r="S5925" i="11" s="1"/>
  <c r="O5926" i="11"/>
  <c r="U5926" i="11" s="1"/>
  <c r="S5926" i="11" s="1"/>
  <c r="O5927" i="11"/>
  <c r="U5927" i="11" s="1"/>
  <c r="S5927" i="11" s="1"/>
  <c r="O5928" i="11"/>
  <c r="U5928" i="11" s="1"/>
  <c r="O5929" i="11"/>
  <c r="U5929" i="11" s="1"/>
  <c r="S5929" i="11" s="1"/>
  <c r="O5930" i="11"/>
  <c r="U5930" i="11" s="1"/>
  <c r="S5930" i="11" s="1"/>
  <c r="O5931" i="11"/>
  <c r="U5931" i="11" s="1"/>
  <c r="S5931" i="11" s="1"/>
  <c r="O5932" i="11"/>
  <c r="U5932" i="11" s="1"/>
  <c r="S5932" i="11" s="1"/>
  <c r="O5933" i="11"/>
  <c r="U5933" i="11" s="1"/>
  <c r="S5933" i="11" s="1"/>
  <c r="O5934" i="11"/>
  <c r="U5934" i="11" s="1"/>
  <c r="S5934" i="11" s="1"/>
  <c r="O5935" i="11"/>
  <c r="U5935" i="11"/>
  <c r="S5935" i="11" s="1"/>
  <c r="O5936" i="11"/>
  <c r="U5936" i="11" s="1"/>
  <c r="S5936" i="11" s="1"/>
  <c r="O5937" i="11"/>
  <c r="U5937" i="11" s="1"/>
  <c r="S5937" i="11" s="1"/>
  <c r="O5938" i="11"/>
  <c r="U5938" i="11" s="1"/>
  <c r="S5938" i="11" s="1"/>
  <c r="O5939" i="11"/>
  <c r="U5939" i="11" s="1"/>
  <c r="S5939" i="11" s="1"/>
  <c r="O5940" i="11"/>
  <c r="U5940" i="11" s="1"/>
  <c r="O5941" i="11"/>
  <c r="U5941" i="11" s="1"/>
  <c r="S5941" i="11" s="1"/>
  <c r="O5942" i="11"/>
  <c r="U5942" i="11"/>
  <c r="S5942" i="11"/>
  <c r="O5943" i="11"/>
  <c r="U5943" i="11" s="1"/>
  <c r="S5943" i="11" s="1"/>
  <c r="O5944" i="11"/>
  <c r="U5944" i="11" s="1"/>
  <c r="S5944" i="11" s="1"/>
  <c r="O5945" i="11"/>
  <c r="U5945" i="11" s="1"/>
  <c r="S5945" i="11" s="1"/>
  <c r="O5946" i="11"/>
  <c r="U5946" i="11" s="1"/>
  <c r="S5946" i="11" s="1"/>
  <c r="O5947" i="11"/>
  <c r="U5947" i="11" s="1"/>
  <c r="S5947" i="11" s="1"/>
  <c r="O5948" i="11"/>
  <c r="U5948" i="11" s="1"/>
  <c r="S5948" i="11" s="1"/>
  <c r="O5949" i="11"/>
  <c r="U5949" i="11" s="1"/>
  <c r="S5949" i="11" s="1"/>
  <c r="O5950" i="11"/>
  <c r="U5950" i="11" s="1"/>
  <c r="S5950" i="11" s="1"/>
  <c r="O5951" i="11"/>
  <c r="U5951" i="11" s="1"/>
  <c r="S5951" i="11" s="1"/>
  <c r="O5952" i="11"/>
  <c r="U5952" i="11" s="1"/>
  <c r="O5953" i="11"/>
  <c r="U5953" i="11" s="1"/>
  <c r="S5953" i="11" s="1"/>
  <c r="O5954" i="11"/>
  <c r="U5954" i="11" s="1"/>
  <c r="S5954" i="11" s="1"/>
  <c r="O5955" i="11"/>
  <c r="U5955" i="11" s="1"/>
  <c r="S5955" i="11" s="1"/>
  <c r="O5956" i="11"/>
  <c r="U5956" i="11" s="1"/>
  <c r="S5956" i="11" s="1"/>
  <c r="O5957" i="11"/>
  <c r="U5957" i="11" s="1"/>
  <c r="S5957" i="11" s="1"/>
  <c r="O5958" i="11"/>
  <c r="U5958" i="11" s="1"/>
  <c r="S5958" i="11" s="1"/>
  <c r="O5959" i="11"/>
  <c r="U5959" i="11"/>
  <c r="S5959" i="11" s="1"/>
  <c r="O5960" i="11"/>
  <c r="U5960" i="11" s="1"/>
  <c r="S5960" i="11" s="1"/>
  <c r="O5961" i="11"/>
  <c r="U5961" i="11" s="1"/>
  <c r="S5961" i="11" s="1"/>
  <c r="O5962" i="11"/>
  <c r="U5962" i="11" s="1"/>
  <c r="S5962" i="11" s="1"/>
  <c r="O5963" i="11"/>
  <c r="U5963" i="11" s="1"/>
  <c r="S5963" i="11" s="1"/>
  <c r="O5964" i="11"/>
  <c r="U5964" i="11"/>
  <c r="S5964" i="11" s="1"/>
  <c r="O5965" i="11"/>
  <c r="U5965" i="11" s="1"/>
  <c r="S5965" i="11" s="1"/>
  <c r="O5966" i="11"/>
  <c r="U5966" i="11" s="1"/>
  <c r="S5966" i="11" s="1"/>
  <c r="O5967" i="11"/>
  <c r="U5967" i="11" s="1"/>
  <c r="S5967" i="11" s="1"/>
  <c r="O5968" i="11"/>
  <c r="U5968" i="11" s="1"/>
  <c r="S5968" i="11" s="1"/>
  <c r="O5969" i="11"/>
  <c r="U5969" i="11" s="1"/>
  <c r="O5970" i="11"/>
  <c r="U5970" i="11" s="1"/>
  <c r="S5970" i="11" s="1"/>
  <c r="O5971" i="11"/>
  <c r="U5971" i="11" s="1"/>
  <c r="S5971" i="11" s="1"/>
  <c r="O5972" i="11"/>
  <c r="U5972" i="11" s="1"/>
  <c r="S5972" i="11" s="1"/>
  <c r="O5973" i="11"/>
  <c r="U5973" i="11" s="1"/>
  <c r="S5973" i="11" s="1"/>
  <c r="O5974" i="11"/>
  <c r="U5974" i="11" s="1"/>
  <c r="S5974" i="11" s="1"/>
  <c r="O5975" i="11"/>
  <c r="U5975" i="11" s="1"/>
  <c r="S5975" i="11" s="1"/>
  <c r="O5976" i="11"/>
  <c r="U5976" i="11"/>
  <c r="S5976" i="11" s="1"/>
  <c r="O5977" i="11"/>
  <c r="U5977" i="11" s="1"/>
  <c r="S5977" i="11" s="1"/>
  <c r="O5978" i="11"/>
  <c r="U5978" i="11"/>
  <c r="S5978" i="11" s="1"/>
  <c r="O5979" i="11"/>
  <c r="U5979" i="11" s="1"/>
  <c r="S5979" i="11" s="1"/>
  <c r="O5980" i="11"/>
  <c r="U5980" i="11" s="1"/>
  <c r="S5980" i="11" s="1"/>
  <c r="O5981" i="11"/>
  <c r="U5981" i="11" s="1"/>
  <c r="O5982" i="11"/>
  <c r="U5982" i="11" s="1"/>
  <c r="S5982" i="11" s="1"/>
  <c r="O5983" i="11"/>
  <c r="U5983" i="11" s="1"/>
  <c r="S5983" i="11" s="1"/>
  <c r="O5984" i="11"/>
  <c r="U5984" i="11" s="1"/>
  <c r="S5984" i="11" s="1"/>
  <c r="O5985" i="11"/>
  <c r="U5985" i="11" s="1"/>
  <c r="S5985" i="11" s="1"/>
  <c r="O5986" i="11"/>
  <c r="U5986" i="11" s="1"/>
  <c r="S5986" i="11" s="1"/>
  <c r="O5987" i="11"/>
  <c r="U5987" i="11" s="1"/>
  <c r="S5987" i="11" s="1"/>
  <c r="O5988" i="11"/>
  <c r="U5988" i="11" s="1"/>
  <c r="S5988" i="11" s="1"/>
  <c r="O5989" i="11"/>
  <c r="U5989" i="11" s="1"/>
  <c r="S5989" i="11" s="1"/>
  <c r="O5990" i="11"/>
  <c r="U5990" i="11" s="1"/>
  <c r="O5991" i="11"/>
  <c r="U5991" i="11" s="1"/>
  <c r="S5991" i="11" s="1"/>
  <c r="O5992" i="11"/>
  <c r="U5992" i="11" s="1"/>
  <c r="S5992" i="11" s="1"/>
  <c r="O5993" i="11"/>
  <c r="U5993" i="11" s="1"/>
  <c r="O5994" i="11"/>
  <c r="U5994" i="11" s="1"/>
  <c r="S5994" i="11" s="1"/>
  <c r="O5995" i="11"/>
  <c r="U5995" i="11" s="1"/>
  <c r="S5995" i="11" s="1"/>
  <c r="O5996" i="11"/>
  <c r="U5996" i="11" s="1"/>
  <c r="S5996" i="11" s="1"/>
  <c r="O5997" i="11"/>
  <c r="U5997" i="11" s="1"/>
  <c r="S5997" i="11" s="1"/>
  <c r="O5998" i="11"/>
  <c r="U5998" i="11" s="1"/>
  <c r="S5998" i="11" s="1"/>
  <c r="O5999" i="11"/>
  <c r="U5999" i="11" s="1"/>
  <c r="S5999" i="11" s="1"/>
  <c r="O6000" i="11"/>
  <c r="U6000" i="11" s="1"/>
  <c r="O6001" i="11"/>
  <c r="U6001" i="11" s="1"/>
  <c r="S6001" i="11" s="1"/>
  <c r="O6002" i="11"/>
  <c r="U6002" i="11" s="1"/>
  <c r="O6003" i="11"/>
  <c r="U6003" i="11" s="1"/>
  <c r="S6003" i="11" s="1"/>
  <c r="O6004" i="11"/>
  <c r="U6004" i="11" s="1"/>
  <c r="S6004" i="11" s="1"/>
  <c r="O6005" i="11"/>
  <c r="U6005" i="11" s="1"/>
  <c r="O6006" i="11"/>
  <c r="U6006" i="11" s="1"/>
  <c r="S6006" i="11" s="1"/>
  <c r="O6007" i="11"/>
  <c r="U6007" i="11" s="1"/>
  <c r="S6007" i="11" s="1"/>
  <c r="O6008" i="11"/>
  <c r="U6008" i="11" s="1"/>
  <c r="S6008" i="11" s="1"/>
  <c r="O6009" i="11"/>
  <c r="U6009" i="11" s="1"/>
  <c r="S6009" i="11" s="1"/>
  <c r="O6010" i="11"/>
  <c r="U6010" i="11" s="1"/>
  <c r="S6010" i="11" s="1"/>
  <c r="O6011" i="11"/>
  <c r="U6011" i="11" s="1"/>
  <c r="S6011" i="11" s="1"/>
  <c r="O6012" i="11"/>
  <c r="U6012" i="11" s="1"/>
  <c r="O6013" i="11"/>
  <c r="U6013" i="11" s="1"/>
  <c r="S6013" i="11" s="1"/>
  <c r="O6014" i="11"/>
  <c r="U6014" i="11" s="1"/>
  <c r="O6015" i="11"/>
  <c r="U6015" i="11" s="1"/>
  <c r="S6015" i="11" s="1"/>
  <c r="O6016" i="11"/>
  <c r="U6016" i="11" s="1"/>
  <c r="S6016" i="11" s="1"/>
  <c r="O6017" i="11"/>
  <c r="U6017" i="11"/>
  <c r="S6017" i="11" s="1"/>
  <c r="O6018" i="11"/>
  <c r="U6018" i="11" s="1"/>
  <c r="S6018" i="11" s="1"/>
  <c r="O6019" i="11"/>
  <c r="U6019" i="11"/>
  <c r="S6019" i="11" s="1"/>
  <c r="O6020" i="11"/>
  <c r="U6020" i="11" s="1"/>
  <c r="S6020" i="11" s="1"/>
  <c r="O6021" i="11"/>
  <c r="U6021" i="11" s="1"/>
  <c r="S6021" i="11" s="1"/>
  <c r="O6022" i="11"/>
  <c r="U6022" i="11" s="1"/>
  <c r="S6022" i="11" s="1"/>
  <c r="O6023" i="11"/>
  <c r="U6023" i="11" s="1"/>
  <c r="S6023" i="11" s="1"/>
  <c r="O6024" i="11"/>
  <c r="U6024" i="11" s="1"/>
  <c r="O6025" i="11"/>
  <c r="U6025" i="11" s="1"/>
  <c r="S6025" i="11" s="1"/>
  <c r="O6026" i="11"/>
  <c r="U6026" i="11"/>
  <c r="S6026" i="11"/>
  <c r="O6027" i="11"/>
  <c r="U6027" i="11" s="1"/>
  <c r="S6027" i="11" s="1"/>
  <c r="O6028" i="11"/>
  <c r="U6028" i="11" s="1"/>
  <c r="S6028" i="11" s="1"/>
  <c r="O6029" i="11"/>
  <c r="U6029" i="11" s="1"/>
  <c r="O6030" i="11"/>
  <c r="U6030" i="11" s="1"/>
  <c r="S6030" i="11" s="1"/>
  <c r="O6031" i="11"/>
  <c r="U6031" i="11"/>
  <c r="S6031" i="11" s="1"/>
  <c r="O6032" i="11"/>
  <c r="U6032" i="11" s="1"/>
  <c r="S6032" i="11" s="1"/>
  <c r="O6033" i="11"/>
  <c r="U6033" i="11" s="1"/>
  <c r="S6033" i="11" s="1"/>
  <c r="O6034" i="11"/>
  <c r="U6034" i="11" s="1"/>
  <c r="S6034" i="11" s="1"/>
  <c r="O6035" i="11"/>
  <c r="U6035" i="11" s="1"/>
  <c r="S6035" i="11" s="1"/>
  <c r="O6036" i="11"/>
  <c r="U6036" i="11" s="1"/>
  <c r="O6037" i="11"/>
  <c r="U6037" i="11" s="1"/>
  <c r="S6037" i="11" s="1"/>
  <c r="O6038" i="11"/>
  <c r="U6038" i="11" s="1"/>
  <c r="O6039" i="11"/>
  <c r="U6039" i="11" s="1"/>
  <c r="S6039" i="11" s="1"/>
  <c r="O6040" i="11"/>
  <c r="U6040" i="11" s="1"/>
  <c r="S6040" i="11" s="1"/>
  <c r="O6041" i="11"/>
  <c r="U6041" i="11"/>
  <c r="S6041" i="11" s="1"/>
  <c r="O6042" i="11"/>
  <c r="U6042" i="11" s="1"/>
  <c r="S6042" i="11" s="1"/>
  <c r="O6043" i="11"/>
  <c r="U6043" i="11"/>
  <c r="S6043" i="11" s="1"/>
  <c r="O6044" i="11"/>
  <c r="U6044" i="11" s="1"/>
  <c r="S6044" i="11" s="1"/>
  <c r="O6045" i="11"/>
  <c r="U6045" i="11" s="1"/>
  <c r="S6045" i="11" s="1"/>
  <c r="O6046" i="11"/>
  <c r="U6046" i="11" s="1"/>
  <c r="S6046" i="11" s="1"/>
  <c r="O6047" i="11"/>
  <c r="U6047" i="11"/>
  <c r="S6047" i="11" s="1"/>
  <c r="O6048" i="11"/>
  <c r="U6048" i="11" s="1"/>
  <c r="O6049" i="11"/>
  <c r="U6049" i="11" s="1"/>
  <c r="S6049" i="11" s="1"/>
  <c r="O6050" i="11"/>
  <c r="U6050" i="11"/>
  <c r="S6050" i="11" s="1"/>
  <c r="O6051" i="11"/>
  <c r="U6051" i="11" s="1"/>
  <c r="S6051" i="11" s="1"/>
  <c r="O6052" i="11"/>
  <c r="U6052" i="11" s="1"/>
  <c r="S6052" i="11" s="1"/>
  <c r="O6053" i="11"/>
  <c r="U6053" i="11" s="1"/>
  <c r="O6054" i="11"/>
  <c r="U6054" i="11" s="1"/>
  <c r="S6054" i="11" s="1"/>
  <c r="O6055" i="11"/>
  <c r="U6055" i="11" s="1"/>
  <c r="S6055" i="11" s="1"/>
  <c r="O6056" i="11"/>
  <c r="U6056" i="11" s="1"/>
  <c r="S6056" i="11" s="1"/>
  <c r="O6057" i="11"/>
  <c r="U6057" i="11"/>
  <c r="S6057" i="11" s="1"/>
  <c r="O6058" i="11"/>
  <c r="U6058" i="11" s="1"/>
  <c r="S6058" i="11" s="1"/>
  <c r="O6059" i="11"/>
  <c r="U6059" i="11" s="1"/>
  <c r="S6059" i="11" s="1"/>
  <c r="O6060" i="11"/>
  <c r="U6060" i="11"/>
  <c r="S6060" i="11" s="1"/>
  <c r="O6061" i="11"/>
  <c r="U6061" i="11" s="1"/>
  <c r="S6061" i="11" s="1"/>
  <c r="O6062" i="11"/>
  <c r="U6062" i="11" s="1"/>
  <c r="O6063" i="11"/>
  <c r="U6063" i="11" s="1"/>
  <c r="S6063" i="11" s="1"/>
  <c r="O6064" i="11"/>
  <c r="U6064" i="11" s="1"/>
  <c r="S6064" i="11" s="1"/>
  <c r="O6065" i="11"/>
  <c r="U6065" i="11" s="1"/>
  <c r="O6066" i="11"/>
  <c r="U6066" i="11" s="1"/>
  <c r="S6066" i="11" s="1"/>
  <c r="O6067" i="11"/>
  <c r="U6067" i="11" s="1"/>
  <c r="S6067" i="11" s="1"/>
  <c r="O6068" i="11"/>
  <c r="U6068" i="11" s="1"/>
  <c r="S6068" i="11" s="1"/>
  <c r="O6069" i="11"/>
  <c r="U6069" i="11" s="1"/>
  <c r="S6069" i="11" s="1"/>
  <c r="O6070" i="11"/>
  <c r="U6070" i="11" s="1"/>
  <c r="S6070" i="11" s="1"/>
  <c r="O6071" i="11"/>
  <c r="U6071" i="11" s="1"/>
  <c r="O6072" i="11"/>
  <c r="U6072" i="11"/>
  <c r="S6072" i="11" s="1"/>
  <c r="O6073" i="11"/>
  <c r="U6073" i="11" s="1"/>
  <c r="S6073" i="11" s="1"/>
  <c r="O6074" i="11"/>
  <c r="U6074" i="11"/>
  <c r="S6074" i="11" s="1"/>
  <c r="O6075" i="11"/>
  <c r="U6075" i="11" s="1"/>
  <c r="S6075" i="11" s="1"/>
  <c r="O6076" i="11"/>
  <c r="U6076" i="11" s="1"/>
  <c r="S6076" i="11" s="1"/>
  <c r="O6077" i="11"/>
  <c r="U6077" i="11" s="1"/>
  <c r="O6078" i="11"/>
  <c r="U6078" i="11" s="1"/>
  <c r="S6078" i="11" s="1"/>
  <c r="O6079" i="11"/>
  <c r="U6079" i="11"/>
  <c r="S6079" i="11" s="1"/>
  <c r="O6080" i="11"/>
  <c r="U6080" i="11" s="1"/>
  <c r="S6080" i="11" s="1"/>
  <c r="O6081" i="11"/>
  <c r="U6081" i="11"/>
  <c r="S6081" i="11" s="1"/>
  <c r="O6082" i="11"/>
  <c r="U6082" i="11" s="1"/>
  <c r="S6082" i="11" s="1"/>
  <c r="O6083" i="11"/>
  <c r="U6083" i="11" s="1"/>
  <c r="S6083" i="11" s="1"/>
  <c r="O6084" i="11"/>
  <c r="U6084" i="11"/>
  <c r="S6084" i="11" s="1"/>
  <c r="O6085" i="11"/>
  <c r="U6085" i="11" s="1"/>
  <c r="S6085" i="11" s="1"/>
  <c r="O6086" i="11"/>
  <c r="U6086" i="11" s="1"/>
  <c r="O6087" i="11"/>
  <c r="U6087" i="11" s="1"/>
  <c r="S6087" i="11" s="1"/>
  <c r="O6088" i="11"/>
  <c r="U6088" i="11" s="1"/>
  <c r="S6088" i="11" s="1"/>
  <c r="O6089" i="11"/>
  <c r="U6089" i="11" s="1"/>
  <c r="O6090" i="11"/>
  <c r="U6090" i="11" s="1"/>
  <c r="S6090" i="11" s="1"/>
  <c r="O6091" i="11"/>
  <c r="U6091" i="11" s="1"/>
  <c r="S6091" i="11" s="1"/>
  <c r="O6092" i="11"/>
  <c r="U6092" i="11" s="1"/>
  <c r="S6092" i="11" s="1"/>
  <c r="O6093" i="11"/>
  <c r="U6093" i="11" s="1"/>
  <c r="S6093" i="11" s="1"/>
  <c r="O6094" i="11"/>
  <c r="U6094" i="11" s="1"/>
  <c r="S6094" i="11" s="1"/>
  <c r="O6095" i="11"/>
  <c r="U6095" i="11"/>
  <c r="S6095" i="11" s="1"/>
  <c r="O6096" i="11"/>
  <c r="U6096" i="11" s="1"/>
  <c r="O6097" i="11"/>
  <c r="U6097" i="11" s="1"/>
  <c r="S6097" i="11" s="1"/>
  <c r="O6098" i="11"/>
  <c r="U6098" i="11"/>
  <c r="S6098" i="11"/>
  <c r="O6099" i="11"/>
  <c r="U6099" i="11" s="1"/>
  <c r="S6099" i="11" s="1"/>
  <c r="O6100" i="11"/>
  <c r="U6100" i="11" s="1"/>
  <c r="S6100" i="11" s="1"/>
  <c r="O6101" i="11"/>
  <c r="U6101" i="11" s="1"/>
  <c r="O6102" i="11"/>
  <c r="U6102" i="11" s="1"/>
  <c r="S6102" i="11" s="1"/>
  <c r="O6103" i="11"/>
  <c r="U6103" i="11" s="1"/>
  <c r="S6103" i="11" s="1"/>
  <c r="O6104" i="11"/>
  <c r="U6104" i="11" s="1"/>
  <c r="S6104" i="11" s="1"/>
  <c r="O6105" i="11"/>
  <c r="U6105" i="11"/>
  <c r="S6105" i="11"/>
  <c r="O6106" i="11"/>
  <c r="U6106" i="11" s="1"/>
  <c r="S6106" i="11" s="1"/>
  <c r="O6107" i="11"/>
  <c r="U6107" i="11" s="1"/>
  <c r="S6107" i="11" s="1"/>
  <c r="O6108" i="11"/>
  <c r="U6108" i="11" s="1"/>
  <c r="O6109" i="11"/>
  <c r="U6109" i="11" s="1"/>
  <c r="S6109" i="11" s="1"/>
  <c r="O6110" i="11"/>
  <c r="U6110" i="11" s="1"/>
  <c r="S6110" i="11" s="1"/>
  <c r="O6111" i="11"/>
  <c r="U6111" i="11" s="1"/>
  <c r="S6111" i="11" s="1"/>
  <c r="O6112" i="11"/>
  <c r="U6112" i="11" s="1"/>
  <c r="S6112" i="11" s="1"/>
  <c r="O6113" i="11"/>
  <c r="U6113" i="11" s="1"/>
  <c r="O6114" i="11"/>
  <c r="U6114" i="11" s="1"/>
  <c r="S6114" i="11" s="1"/>
  <c r="O6115" i="11"/>
  <c r="U6115" i="11" s="1"/>
  <c r="S6115" i="11" s="1"/>
  <c r="O6116" i="11"/>
  <c r="U6116" i="11" s="1"/>
  <c r="S6116" i="11" s="1"/>
  <c r="O6117" i="11"/>
  <c r="U6117" i="11" s="1"/>
  <c r="S6117" i="11" s="1"/>
  <c r="O6118" i="11"/>
  <c r="U6118" i="11" s="1"/>
  <c r="S6118" i="11" s="1"/>
  <c r="O6119" i="11"/>
  <c r="U6119" i="11"/>
  <c r="S6119" i="11" s="1"/>
  <c r="O6120" i="11"/>
  <c r="U6120" i="11" s="1"/>
  <c r="O6121" i="11"/>
  <c r="U6121" i="11" s="1"/>
  <c r="S6121" i="11" s="1"/>
  <c r="O6122" i="11"/>
  <c r="U6122" i="11"/>
  <c r="S6122" i="11"/>
  <c r="O6123" i="11"/>
  <c r="U6123" i="11" s="1"/>
  <c r="S6123" i="11" s="1"/>
  <c r="O6124" i="11"/>
  <c r="U6124" i="11" s="1"/>
  <c r="S6124" i="11" s="1"/>
  <c r="O6125" i="11"/>
  <c r="U6125" i="11" s="1"/>
  <c r="O6126" i="11"/>
  <c r="U6126" i="11" s="1"/>
  <c r="S6126" i="11" s="1"/>
  <c r="O6127" i="11"/>
  <c r="U6127" i="11" s="1"/>
  <c r="S6127" i="11" s="1"/>
  <c r="O6128" i="11"/>
  <c r="U6128" i="11" s="1"/>
  <c r="S6128" i="11" s="1"/>
  <c r="O6129" i="11"/>
  <c r="U6129" i="11"/>
  <c r="S6129" i="11" s="1"/>
  <c r="O6130" i="11"/>
  <c r="U6130" i="11" s="1"/>
  <c r="S6130" i="11" s="1"/>
  <c r="O6131" i="11"/>
  <c r="U6131" i="11"/>
  <c r="S6131" i="11" s="1"/>
  <c r="O6132" i="11"/>
  <c r="U6132" i="11" s="1"/>
  <c r="O6133" i="11"/>
  <c r="U6133" i="11" s="1"/>
  <c r="S6133" i="11" s="1"/>
  <c r="O6134" i="11"/>
  <c r="U6134" i="11" s="1"/>
  <c r="S6134" i="11" s="1"/>
  <c r="O6135" i="11"/>
  <c r="U6135" i="11" s="1"/>
  <c r="S6135" i="11" s="1"/>
  <c r="O6136" i="11"/>
  <c r="U6136" i="11"/>
  <c r="S6136" i="11" s="1"/>
  <c r="O6137" i="11"/>
  <c r="U6137" i="11"/>
  <c r="S6137" i="11" s="1"/>
  <c r="O6138" i="11"/>
  <c r="U6138" i="11" s="1"/>
  <c r="S6138" i="11" s="1"/>
  <c r="O6139" i="11"/>
  <c r="U6139" i="11"/>
  <c r="S6139" i="11" s="1"/>
  <c r="O6140" i="11"/>
  <c r="U6140" i="11" s="1"/>
  <c r="S6140" i="11" s="1"/>
  <c r="O6141" i="11"/>
  <c r="U6141" i="11" s="1"/>
  <c r="S6141" i="11" s="1"/>
  <c r="O6142" i="11"/>
  <c r="U6142" i="11" s="1"/>
  <c r="S6142" i="11" s="1"/>
  <c r="O6143" i="11"/>
  <c r="U6143" i="11"/>
  <c r="S6143" i="11" s="1"/>
  <c r="O6144" i="11"/>
  <c r="U6144" i="11"/>
  <c r="S6144" i="11" s="1"/>
  <c r="O6145" i="11"/>
  <c r="U6145" i="11" s="1"/>
  <c r="S6145" i="11" s="1"/>
  <c r="O6146" i="11"/>
  <c r="U6146" i="11"/>
  <c r="S6146" i="11" s="1"/>
  <c r="O6147" i="11"/>
  <c r="U6147" i="11" s="1"/>
  <c r="S6147" i="11" s="1"/>
  <c r="O6148" i="11"/>
  <c r="U6148" i="11"/>
  <c r="S6148" i="11" s="1"/>
  <c r="O6149" i="11"/>
  <c r="U6149" i="11" s="1"/>
  <c r="O6150" i="11"/>
  <c r="U6150" i="11" s="1"/>
  <c r="S6150" i="11" s="1"/>
  <c r="O6151" i="11"/>
  <c r="U6151" i="11"/>
  <c r="S6151" i="11" s="1"/>
  <c r="O6152" i="11"/>
  <c r="U6152" i="11" s="1"/>
  <c r="S6152" i="11" s="1"/>
  <c r="O6153" i="11"/>
  <c r="U6153" i="11"/>
  <c r="S6153" i="11" s="1"/>
  <c r="O6154" i="11"/>
  <c r="U6154" i="11" s="1"/>
  <c r="S6154" i="11" s="1"/>
  <c r="O6155" i="11"/>
  <c r="U6155" i="11" s="1"/>
  <c r="O6156" i="11"/>
  <c r="U6156" i="11"/>
  <c r="S6156" i="11" s="1"/>
  <c r="O6157" i="11"/>
  <c r="U6157" i="11" s="1"/>
  <c r="S6157" i="11" s="1"/>
  <c r="O6158" i="11"/>
  <c r="U6158" i="11" s="1"/>
  <c r="S6158" i="11" s="1"/>
  <c r="O6159" i="11"/>
  <c r="U6159" i="11" s="1"/>
  <c r="S6159" i="11" s="1"/>
  <c r="O6160" i="11"/>
  <c r="U6160" i="11"/>
  <c r="S6160" i="11" s="1"/>
  <c r="O6161" i="11"/>
  <c r="U6161" i="11"/>
  <c r="S6161" i="11" s="1"/>
  <c r="O6162" i="11"/>
  <c r="U6162" i="11" s="1"/>
  <c r="S6162" i="11" s="1"/>
  <c r="O6163" i="11"/>
  <c r="U6163" i="11" s="1"/>
  <c r="S6163" i="11" s="1"/>
  <c r="O6164" i="11"/>
  <c r="U6164" i="11" s="1"/>
  <c r="S6164" i="11" s="1"/>
  <c r="O6165" i="11"/>
  <c r="U6165" i="11" s="1"/>
  <c r="S6165" i="11" s="1"/>
  <c r="O6166" i="11"/>
  <c r="U6166" i="11" s="1"/>
  <c r="S6166" i="11" s="1"/>
  <c r="O6167" i="11"/>
  <c r="U6167" i="11" s="1"/>
  <c r="S6167" i="11" s="1"/>
  <c r="O6168" i="11"/>
  <c r="U6168" i="11" s="1"/>
  <c r="S6168" i="11" s="1"/>
  <c r="O6169" i="11"/>
  <c r="U6169" i="11" s="1"/>
  <c r="S6169" i="11" s="1"/>
  <c r="O6170" i="11"/>
  <c r="U6170" i="11"/>
  <c r="S6170" i="11" s="1"/>
  <c r="O6171" i="11"/>
  <c r="U6171" i="11" s="1"/>
  <c r="S6171" i="11" s="1"/>
  <c r="O6172" i="11"/>
  <c r="U6172" i="11" s="1"/>
  <c r="S6172" i="11" s="1"/>
  <c r="O6173" i="11"/>
  <c r="U6173" i="11"/>
  <c r="S6173" i="11" s="1"/>
  <c r="O6174" i="11"/>
  <c r="U6174" i="11" s="1"/>
  <c r="S6174" i="11" s="1"/>
  <c r="O6175" i="11"/>
  <c r="U6175" i="11" s="1"/>
  <c r="S6175" i="11" s="1"/>
  <c r="O6176" i="11"/>
  <c r="U6176" i="11" s="1"/>
  <c r="S6176" i="11" s="1"/>
  <c r="O6177" i="11"/>
  <c r="U6177" i="11" s="1"/>
  <c r="S6177" i="11" s="1"/>
  <c r="O6178" i="11"/>
  <c r="U6178" i="11" s="1"/>
  <c r="S6178" i="11" s="1"/>
  <c r="O6179" i="11"/>
  <c r="U6179" i="11" s="1"/>
  <c r="O6180" i="11"/>
  <c r="U6180" i="11" s="1"/>
  <c r="S6180" i="11" s="1"/>
  <c r="O6181" i="11"/>
  <c r="U6181" i="11"/>
  <c r="S6181" i="11" s="1"/>
  <c r="O6182" i="11"/>
  <c r="U6182" i="11" s="1"/>
  <c r="S6182" i="11" s="1"/>
  <c r="O6183" i="11"/>
  <c r="U6183" i="11" s="1"/>
  <c r="S6183" i="11" s="1"/>
  <c r="O6184" i="11"/>
  <c r="U6184" i="11" s="1"/>
  <c r="S6184" i="11" s="1"/>
  <c r="O6185" i="11"/>
  <c r="U6185" i="11" s="1"/>
  <c r="S6185" i="11" s="1"/>
  <c r="O6186" i="11"/>
  <c r="U6186" i="11" s="1"/>
  <c r="M8" i="11"/>
  <c r="R8" i="11"/>
  <c r="M10" i="11"/>
  <c r="M11" i="11"/>
  <c r="M12" i="11"/>
  <c r="R12" i="11" s="1"/>
  <c r="M13" i="11"/>
  <c r="R13" i="11"/>
  <c r="M14" i="11"/>
  <c r="R14" i="11" s="1"/>
  <c r="M15" i="11"/>
  <c r="R15" i="11" s="1"/>
  <c r="M16" i="11"/>
  <c r="R16" i="11"/>
  <c r="M17" i="11"/>
  <c r="R17" i="11" s="1"/>
  <c r="M18" i="11"/>
  <c r="R18" i="11"/>
  <c r="M19" i="11"/>
  <c r="R19" i="11"/>
  <c r="M20" i="11"/>
  <c r="R20" i="11" s="1"/>
  <c r="M21" i="11"/>
  <c r="R21" i="11"/>
  <c r="M22" i="11"/>
  <c r="R22" i="11"/>
  <c r="M23" i="11"/>
  <c r="R23" i="11" s="1"/>
  <c r="M24" i="11"/>
  <c r="R24" i="11"/>
  <c r="M25" i="11"/>
  <c r="R25" i="11"/>
  <c r="M26" i="11"/>
  <c r="R26" i="11" s="1"/>
  <c r="M27" i="11"/>
  <c r="R27" i="11"/>
  <c r="M28" i="11"/>
  <c r="R28" i="11"/>
  <c r="M29" i="11"/>
  <c r="R29" i="11" s="1"/>
  <c r="M30" i="11"/>
  <c r="R30" i="11"/>
  <c r="M31" i="11"/>
  <c r="R31" i="11"/>
  <c r="M32" i="11"/>
  <c r="R32" i="11" s="1"/>
  <c r="M33" i="11"/>
  <c r="R33" i="11"/>
  <c r="M34" i="11"/>
  <c r="R34" i="11"/>
  <c r="M35" i="11"/>
  <c r="R35" i="11" s="1"/>
  <c r="M36" i="11"/>
  <c r="R36" i="11"/>
  <c r="M37" i="11"/>
  <c r="R37" i="11"/>
  <c r="M38" i="11"/>
  <c r="R38" i="11" s="1"/>
  <c r="M39" i="11"/>
  <c r="R39" i="11"/>
  <c r="M40" i="11"/>
  <c r="R40" i="11"/>
  <c r="M41" i="11"/>
  <c r="R41" i="11" s="1"/>
  <c r="M42" i="11"/>
  <c r="R42" i="11"/>
  <c r="M43" i="11"/>
  <c r="R43" i="11"/>
  <c r="M44" i="11"/>
  <c r="R44" i="11" s="1"/>
  <c r="M45" i="11"/>
  <c r="R45" i="11"/>
  <c r="M46" i="11"/>
  <c r="R46" i="11"/>
  <c r="M47" i="11"/>
  <c r="R47" i="11" s="1"/>
  <c r="M48" i="11"/>
  <c r="R48" i="11"/>
  <c r="M49" i="11"/>
  <c r="R49" i="11"/>
  <c r="M50" i="11"/>
  <c r="R50" i="11" s="1"/>
  <c r="M51" i="11"/>
  <c r="R51" i="11"/>
  <c r="M52" i="11"/>
  <c r="R52" i="11"/>
  <c r="M53" i="11"/>
  <c r="R53" i="11" s="1"/>
  <c r="M54" i="11"/>
  <c r="R54" i="11"/>
  <c r="M55" i="11"/>
  <c r="R55" i="11"/>
  <c r="M56" i="11"/>
  <c r="R56" i="11" s="1"/>
  <c r="M57" i="11"/>
  <c r="R57" i="11"/>
  <c r="M58" i="11"/>
  <c r="R58" i="11"/>
  <c r="M59" i="11"/>
  <c r="R59" i="11" s="1"/>
  <c r="M60" i="11"/>
  <c r="R60" i="11"/>
  <c r="M61" i="11"/>
  <c r="R61" i="11"/>
  <c r="M62" i="11"/>
  <c r="R62" i="11" s="1"/>
  <c r="M63" i="11"/>
  <c r="R63" i="11"/>
  <c r="M64" i="11"/>
  <c r="R64" i="11"/>
  <c r="M65" i="11"/>
  <c r="R65" i="11" s="1"/>
  <c r="M66" i="11"/>
  <c r="R66" i="11"/>
  <c r="M67" i="11"/>
  <c r="R67" i="11"/>
  <c r="M68" i="11"/>
  <c r="R68" i="11" s="1"/>
  <c r="M69" i="11"/>
  <c r="R69" i="11"/>
  <c r="M70" i="11"/>
  <c r="R70" i="11"/>
  <c r="M71" i="11"/>
  <c r="R71" i="11" s="1"/>
  <c r="M72" i="11"/>
  <c r="R72" i="11"/>
  <c r="M73" i="11"/>
  <c r="R73" i="11"/>
  <c r="M74" i="11"/>
  <c r="R74" i="11" s="1"/>
  <c r="M75" i="11"/>
  <c r="R75" i="11"/>
  <c r="M76" i="11"/>
  <c r="R76" i="11"/>
  <c r="M77" i="11"/>
  <c r="R77" i="11" s="1"/>
  <c r="M78" i="11"/>
  <c r="R78" i="11"/>
  <c r="M79" i="11"/>
  <c r="R79" i="11"/>
  <c r="M80" i="11"/>
  <c r="R80" i="11" s="1"/>
  <c r="M81" i="11"/>
  <c r="R81" i="11"/>
  <c r="M82" i="11"/>
  <c r="R82" i="11"/>
  <c r="M83" i="11"/>
  <c r="R83" i="11" s="1"/>
  <c r="M84" i="11"/>
  <c r="R84" i="11"/>
  <c r="M85" i="11"/>
  <c r="R85" i="11"/>
  <c r="M86" i="11"/>
  <c r="R86" i="11" s="1"/>
  <c r="M87" i="11"/>
  <c r="R87" i="11"/>
  <c r="M88" i="11"/>
  <c r="R88" i="11"/>
  <c r="M89" i="11"/>
  <c r="R89" i="11" s="1"/>
  <c r="M90" i="11"/>
  <c r="R90" i="11"/>
  <c r="M91" i="11"/>
  <c r="R91" i="11"/>
  <c r="M92" i="11"/>
  <c r="R92" i="11" s="1"/>
  <c r="M93" i="11"/>
  <c r="R93" i="11"/>
  <c r="M94" i="11"/>
  <c r="R94" i="11"/>
  <c r="M95" i="11"/>
  <c r="R95" i="11" s="1"/>
  <c r="M96" i="11"/>
  <c r="R96" i="11"/>
  <c r="M97" i="11"/>
  <c r="R97" i="11"/>
  <c r="M98" i="11"/>
  <c r="R98" i="11" s="1"/>
  <c r="M99" i="11"/>
  <c r="R99" i="11"/>
  <c r="M100" i="11"/>
  <c r="R100" i="11"/>
  <c r="M101" i="11"/>
  <c r="R101" i="11" s="1"/>
  <c r="M102" i="11"/>
  <c r="R102" i="11"/>
  <c r="M103" i="11"/>
  <c r="R103" i="11"/>
  <c r="M104" i="11"/>
  <c r="R104" i="11" s="1"/>
  <c r="M105" i="11"/>
  <c r="R105" i="11"/>
  <c r="M106" i="11"/>
  <c r="R106" i="11"/>
  <c r="M107" i="11"/>
  <c r="R107" i="11" s="1"/>
  <c r="M108" i="11"/>
  <c r="R108" i="11"/>
  <c r="M109" i="11"/>
  <c r="R109" i="11"/>
  <c r="M110" i="11"/>
  <c r="R110" i="11" s="1"/>
  <c r="M111" i="11"/>
  <c r="R111" i="11"/>
  <c r="M112" i="11"/>
  <c r="R112" i="11"/>
  <c r="M113" i="11"/>
  <c r="R113" i="11" s="1"/>
  <c r="M114" i="11"/>
  <c r="R114" i="11"/>
  <c r="M115" i="11"/>
  <c r="R115" i="11"/>
  <c r="M116" i="11"/>
  <c r="R116" i="11" s="1"/>
  <c r="M117" i="11"/>
  <c r="R117" i="11"/>
  <c r="M118" i="11"/>
  <c r="R118" i="11"/>
  <c r="M119" i="11"/>
  <c r="R119" i="11" s="1"/>
  <c r="M120" i="11"/>
  <c r="R120" i="11"/>
  <c r="M121" i="11"/>
  <c r="R121" i="11"/>
  <c r="M122" i="11"/>
  <c r="R122" i="11" s="1"/>
  <c r="M123" i="11"/>
  <c r="R123" i="11"/>
  <c r="M124" i="11"/>
  <c r="R124" i="11"/>
  <c r="M125" i="11"/>
  <c r="R125" i="11" s="1"/>
  <c r="M126" i="11"/>
  <c r="R126" i="11"/>
  <c r="M127" i="11"/>
  <c r="R127" i="11"/>
  <c r="M128" i="11"/>
  <c r="R128" i="11" s="1"/>
  <c r="M129" i="11"/>
  <c r="R129" i="11"/>
  <c r="M130" i="11"/>
  <c r="R130" i="11"/>
  <c r="M131" i="11"/>
  <c r="R131" i="11" s="1"/>
  <c r="M132" i="11"/>
  <c r="R132" i="11"/>
  <c r="M133" i="11"/>
  <c r="R133" i="11"/>
  <c r="M134" i="11"/>
  <c r="R134" i="11" s="1"/>
  <c r="M135" i="11"/>
  <c r="R135" i="11"/>
  <c r="M136" i="11"/>
  <c r="R136" i="11"/>
  <c r="M137" i="11"/>
  <c r="R137" i="11" s="1"/>
  <c r="M138" i="11"/>
  <c r="R138" i="11"/>
  <c r="M139" i="11"/>
  <c r="R139" i="11"/>
  <c r="M140" i="11"/>
  <c r="R140" i="11" s="1"/>
  <c r="M141" i="11"/>
  <c r="R141" i="11"/>
  <c r="M142" i="11"/>
  <c r="R142" i="11"/>
  <c r="M143" i="11"/>
  <c r="R143" i="11" s="1"/>
  <c r="M144" i="11"/>
  <c r="R144" i="11"/>
  <c r="M145" i="11"/>
  <c r="R145" i="11"/>
  <c r="M146" i="11"/>
  <c r="R146" i="11" s="1"/>
  <c r="M147" i="11"/>
  <c r="R147" i="11"/>
  <c r="M148" i="11"/>
  <c r="R148" i="11"/>
  <c r="M149" i="11"/>
  <c r="R149" i="11" s="1"/>
  <c r="M150" i="11"/>
  <c r="R150" i="11"/>
  <c r="M151" i="11"/>
  <c r="R151" i="11"/>
  <c r="M152" i="11"/>
  <c r="R152" i="11" s="1"/>
  <c r="M153" i="11"/>
  <c r="R153" i="11"/>
  <c r="M154" i="11"/>
  <c r="R154" i="11"/>
  <c r="M155" i="11"/>
  <c r="R155" i="11" s="1"/>
  <c r="M156" i="11"/>
  <c r="R156" i="11"/>
  <c r="M157" i="11"/>
  <c r="R157" i="11"/>
  <c r="M158" i="11"/>
  <c r="R158" i="11" s="1"/>
  <c r="M159" i="11"/>
  <c r="R159" i="11"/>
  <c r="M160" i="11"/>
  <c r="R160" i="11"/>
  <c r="M161" i="11"/>
  <c r="R161" i="11" s="1"/>
  <c r="M162" i="11"/>
  <c r="R162" i="11"/>
  <c r="M163" i="11"/>
  <c r="R163" i="11"/>
  <c r="M164" i="11"/>
  <c r="R164" i="11" s="1"/>
  <c r="M165" i="11"/>
  <c r="R165" i="11"/>
  <c r="M166" i="11"/>
  <c r="R166" i="11"/>
  <c r="M167" i="11"/>
  <c r="R167" i="11" s="1"/>
  <c r="M168" i="11"/>
  <c r="R168" i="11"/>
  <c r="M169" i="11"/>
  <c r="R169" i="11"/>
  <c r="M170" i="11"/>
  <c r="R170" i="11" s="1"/>
  <c r="M171" i="11"/>
  <c r="R171" i="11"/>
  <c r="M172" i="11"/>
  <c r="R172" i="11"/>
  <c r="M173" i="11"/>
  <c r="R173" i="11" s="1"/>
  <c r="M174" i="11"/>
  <c r="R174" i="11"/>
  <c r="M175" i="11"/>
  <c r="R175" i="11"/>
  <c r="M176" i="11"/>
  <c r="R176" i="11" s="1"/>
  <c r="M177" i="11"/>
  <c r="R177" i="11"/>
  <c r="M178" i="11"/>
  <c r="R178" i="11"/>
  <c r="M179" i="11"/>
  <c r="R179" i="11" s="1"/>
  <c r="M180" i="11"/>
  <c r="R180" i="11"/>
  <c r="M181" i="11"/>
  <c r="R181" i="11"/>
  <c r="M182" i="11"/>
  <c r="R182" i="11" s="1"/>
  <c r="M183" i="11"/>
  <c r="R183" i="11"/>
  <c r="M184" i="11"/>
  <c r="R184" i="11"/>
  <c r="M185" i="11"/>
  <c r="R185" i="11" s="1"/>
  <c r="M186" i="11"/>
  <c r="R186" i="11"/>
  <c r="M187" i="11"/>
  <c r="R187" i="11"/>
  <c r="M188" i="11"/>
  <c r="R188" i="11" s="1"/>
  <c r="M189" i="11"/>
  <c r="R189" i="11"/>
  <c r="M190" i="11"/>
  <c r="R190" i="11"/>
  <c r="M191" i="11"/>
  <c r="R191" i="11" s="1"/>
  <c r="M192" i="11"/>
  <c r="R192" i="11"/>
  <c r="M193" i="11"/>
  <c r="R193" i="11"/>
  <c r="M194" i="11"/>
  <c r="R194" i="11" s="1"/>
  <c r="M195" i="11"/>
  <c r="R195" i="11"/>
  <c r="M196" i="11"/>
  <c r="R196" i="11"/>
  <c r="M197" i="11"/>
  <c r="R197" i="11" s="1"/>
  <c r="M198" i="11"/>
  <c r="R198" i="11"/>
  <c r="M199" i="11"/>
  <c r="R199" i="11"/>
  <c r="M200" i="11"/>
  <c r="R200" i="11" s="1"/>
  <c r="M201" i="11"/>
  <c r="R201" i="11"/>
  <c r="M202" i="11"/>
  <c r="R202" i="11"/>
  <c r="M203" i="11"/>
  <c r="R203" i="11" s="1"/>
  <c r="M204" i="11"/>
  <c r="R204" i="11"/>
  <c r="M205" i="11"/>
  <c r="R205" i="11"/>
  <c r="M206" i="11"/>
  <c r="R206" i="11" s="1"/>
  <c r="M207" i="11"/>
  <c r="R207" i="11"/>
  <c r="M208" i="11"/>
  <c r="R208" i="11"/>
  <c r="M209" i="11"/>
  <c r="R209" i="11" s="1"/>
  <c r="M210" i="11"/>
  <c r="R210" i="11"/>
  <c r="M211" i="11"/>
  <c r="R211" i="11"/>
  <c r="M212" i="11"/>
  <c r="R212" i="11" s="1"/>
  <c r="M213" i="11"/>
  <c r="R213" i="11"/>
  <c r="M214" i="11"/>
  <c r="R214" i="11"/>
  <c r="M215" i="11"/>
  <c r="R215" i="11" s="1"/>
  <c r="M216" i="11"/>
  <c r="R216" i="11"/>
  <c r="M217" i="11"/>
  <c r="R217" i="11"/>
  <c r="M218" i="11"/>
  <c r="R218" i="11" s="1"/>
  <c r="M219" i="11"/>
  <c r="R219" i="11"/>
  <c r="M220" i="11"/>
  <c r="R220" i="11"/>
  <c r="M221" i="11"/>
  <c r="R221" i="11" s="1"/>
  <c r="M222" i="11"/>
  <c r="R222" i="11"/>
  <c r="M223" i="11"/>
  <c r="R223" i="11"/>
  <c r="M224" i="11"/>
  <c r="R224" i="11" s="1"/>
  <c r="M225" i="11"/>
  <c r="R225" i="11"/>
  <c r="M226" i="11"/>
  <c r="R226" i="11"/>
  <c r="M227" i="11"/>
  <c r="R227" i="11" s="1"/>
  <c r="M228" i="11"/>
  <c r="R228" i="11"/>
  <c r="M229" i="11"/>
  <c r="R229" i="11"/>
  <c r="M230" i="11"/>
  <c r="R230" i="11" s="1"/>
  <c r="M231" i="11"/>
  <c r="R231" i="11"/>
  <c r="M232" i="11"/>
  <c r="R232" i="11"/>
  <c r="M233" i="11"/>
  <c r="R233" i="11" s="1"/>
  <c r="M234" i="11"/>
  <c r="R234" i="11"/>
  <c r="M235" i="11"/>
  <c r="R235" i="11"/>
  <c r="M236" i="11"/>
  <c r="R236" i="11" s="1"/>
  <c r="M237" i="11"/>
  <c r="R237" i="11"/>
  <c r="M238" i="11"/>
  <c r="R238" i="11"/>
  <c r="M239" i="11"/>
  <c r="R239" i="11" s="1"/>
  <c r="M240" i="11"/>
  <c r="R240" i="11"/>
  <c r="M241" i="11"/>
  <c r="R241" i="11"/>
  <c r="M242" i="11"/>
  <c r="R242" i="11" s="1"/>
  <c r="M243" i="11"/>
  <c r="R243" i="11"/>
  <c r="M244" i="11"/>
  <c r="R244" i="11"/>
  <c r="M245" i="11"/>
  <c r="R245" i="11" s="1"/>
  <c r="M246" i="11"/>
  <c r="R246" i="11"/>
  <c r="M247" i="11"/>
  <c r="R247" i="11"/>
  <c r="M248" i="11"/>
  <c r="R248" i="11" s="1"/>
  <c r="M249" i="11"/>
  <c r="R249" i="11"/>
  <c r="M250" i="11"/>
  <c r="R250" i="11"/>
  <c r="M251" i="11"/>
  <c r="R251" i="11" s="1"/>
  <c r="M252" i="11"/>
  <c r="R252" i="11"/>
  <c r="M253" i="11"/>
  <c r="R253" i="11"/>
  <c r="M254" i="11"/>
  <c r="R254" i="11" s="1"/>
  <c r="M255" i="11"/>
  <c r="R255" i="11"/>
  <c r="M256" i="11"/>
  <c r="R256" i="11"/>
  <c r="M257" i="11"/>
  <c r="R257" i="11" s="1"/>
  <c r="M258" i="11"/>
  <c r="R258" i="11"/>
  <c r="M259" i="11"/>
  <c r="R259" i="11"/>
  <c r="M260" i="11"/>
  <c r="R260" i="11" s="1"/>
  <c r="M261" i="11"/>
  <c r="R261" i="11"/>
  <c r="M262" i="11"/>
  <c r="R262" i="11"/>
  <c r="M263" i="11"/>
  <c r="R263" i="11" s="1"/>
  <c r="M264" i="11"/>
  <c r="R264" i="11"/>
  <c r="M265" i="11"/>
  <c r="R265" i="11"/>
  <c r="M266" i="11"/>
  <c r="R266" i="11" s="1"/>
  <c r="M267" i="11"/>
  <c r="R267" i="11"/>
  <c r="M268" i="11"/>
  <c r="R268" i="11"/>
  <c r="M269" i="11"/>
  <c r="R269" i="11" s="1"/>
  <c r="M270" i="11"/>
  <c r="R270" i="11"/>
  <c r="M271" i="11"/>
  <c r="R271" i="11"/>
  <c r="M272" i="11"/>
  <c r="R272" i="11" s="1"/>
  <c r="M273" i="11"/>
  <c r="R273" i="11"/>
  <c r="M274" i="11"/>
  <c r="R274" i="11"/>
  <c r="M275" i="11"/>
  <c r="R275" i="11" s="1"/>
  <c r="M276" i="11"/>
  <c r="R276" i="11"/>
  <c r="M277" i="11"/>
  <c r="R277" i="11"/>
  <c r="M278" i="11"/>
  <c r="R278" i="11" s="1"/>
  <c r="M279" i="11"/>
  <c r="R279" i="11"/>
  <c r="M280" i="11"/>
  <c r="R280" i="11"/>
  <c r="M281" i="11"/>
  <c r="R281" i="11" s="1"/>
  <c r="M282" i="11"/>
  <c r="R282" i="11"/>
  <c r="M283" i="11"/>
  <c r="R283" i="11"/>
  <c r="M284" i="11"/>
  <c r="R284" i="11" s="1"/>
  <c r="M285" i="11"/>
  <c r="R285" i="11"/>
  <c r="M286" i="11"/>
  <c r="R286" i="11"/>
  <c r="M287" i="11"/>
  <c r="R287" i="11" s="1"/>
  <c r="M288" i="11"/>
  <c r="R288" i="11"/>
  <c r="M289" i="11"/>
  <c r="R289" i="11"/>
  <c r="M290" i="11"/>
  <c r="R290" i="11" s="1"/>
  <c r="M291" i="11"/>
  <c r="R291" i="11"/>
  <c r="M292" i="11"/>
  <c r="R292" i="11"/>
  <c r="M293" i="11"/>
  <c r="R293" i="11" s="1"/>
  <c r="M294" i="11"/>
  <c r="R294" i="11"/>
  <c r="M295" i="11"/>
  <c r="R295" i="11"/>
  <c r="M296" i="11"/>
  <c r="R296" i="11" s="1"/>
  <c r="M297" i="11"/>
  <c r="R297" i="11"/>
  <c r="M298" i="11"/>
  <c r="R298" i="11"/>
  <c r="M299" i="11"/>
  <c r="R299" i="11" s="1"/>
  <c r="M300" i="11"/>
  <c r="R300" i="11"/>
  <c r="M301" i="11"/>
  <c r="R301" i="11"/>
  <c r="M302" i="11"/>
  <c r="R302" i="11" s="1"/>
  <c r="M303" i="11"/>
  <c r="R303" i="11"/>
  <c r="M304" i="11"/>
  <c r="R304" i="11"/>
  <c r="M305" i="11"/>
  <c r="R305" i="11" s="1"/>
  <c r="M306" i="11"/>
  <c r="R306" i="11"/>
  <c r="M307" i="11"/>
  <c r="R307" i="11"/>
  <c r="M308" i="11"/>
  <c r="R308" i="11" s="1"/>
  <c r="M309" i="11"/>
  <c r="R309" i="11"/>
  <c r="M310" i="11"/>
  <c r="R310" i="11"/>
  <c r="M311" i="11"/>
  <c r="R311" i="11" s="1"/>
  <c r="M312" i="11"/>
  <c r="R312" i="11"/>
  <c r="M313" i="11"/>
  <c r="R313" i="11"/>
  <c r="M314" i="11"/>
  <c r="R314" i="11" s="1"/>
  <c r="M315" i="11"/>
  <c r="R315" i="11"/>
  <c r="M316" i="11"/>
  <c r="R316" i="11"/>
  <c r="M317" i="11"/>
  <c r="R317" i="11" s="1"/>
  <c r="M318" i="11"/>
  <c r="R318" i="11"/>
  <c r="M319" i="11"/>
  <c r="R319" i="11"/>
  <c r="M320" i="11"/>
  <c r="R320" i="11" s="1"/>
  <c r="M321" i="11"/>
  <c r="R321" i="11"/>
  <c r="M322" i="11"/>
  <c r="R322" i="11"/>
  <c r="M323" i="11"/>
  <c r="R323" i="11" s="1"/>
  <c r="M324" i="11"/>
  <c r="R324" i="11"/>
  <c r="M325" i="11"/>
  <c r="R325" i="11"/>
  <c r="M326" i="11"/>
  <c r="R326" i="11" s="1"/>
  <c r="M327" i="11"/>
  <c r="R327" i="11"/>
  <c r="M328" i="11"/>
  <c r="R328" i="11"/>
  <c r="M329" i="11"/>
  <c r="R329" i="11" s="1"/>
  <c r="M330" i="11"/>
  <c r="R330" i="11"/>
  <c r="M331" i="11"/>
  <c r="R331" i="11"/>
  <c r="M332" i="11"/>
  <c r="R332" i="11" s="1"/>
  <c r="M333" i="11"/>
  <c r="R333" i="11"/>
  <c r="M334" i="11"/>
  <c r="R334" i="11"/>
  <c r="M335" i="11"/>
  <c r="R335" i="11" s="1"/>
  <c r="M336" i="11"/>
  <c r="R336" i="11"/>
  <c r="M337" i="11"/>
  <c r="R337" i="11"/>
  <c r="M338" i="11"/>
  <c r="R338" i="11" s="1"/>
  <c r="M339" i="11"/>
  <c r="R339" i="11"/>
  <c r="M340" i="11"/>
  <c r="R340" i="11"/>
  <c r="M341" i="11"/>
  <c r="R341" i="11" s="1"/>
  <c r="M342" i="11"/>
  <c r="R342" i="11"/>
  <c r="M343" i="11"/>
  <c r="R343" i="11"/>
  <c r="M344" i="11"/>
  <c r="R344" i="11" s="1"/>
  <c r="M345" i="11"/>
  <c r="R345" i="11"/>
  <c r="M346" i="11"/>
  <c r="R346" i="11"/>
  <c r="M347" i="11"/>
  <c r="R347" i="11" s="1"/>
  <c r="M348" i="11"/>
  <c r="R348" i="11"/>
  <c r="M349" i="11"/>
  <c r="R349" i="11"/>
  <c r="M350" i="11"/>
  <c r="R350" i="11" s="1"/>
  <c r="M351" i="11"/>
  <c r="R351" i="11"/>
  <c r="M352" i="11"/>
  <c r="R352" i="11"/>
  <c r="M353" i="11"/>
  <c r="R353" i="11" s="1"/>
  <c r="M354" i="11"/>
  <c r="R354" i="11"/>
  <c r="M355" i="11"/>
  <c r="R355" i="11"/>
  <c r="M356" i="11"/>
  <c r="R356" i="11" s="1"/>
  <c r="M357" i="11"/>
  <c r="R357" i="11"/>
  <c r="M358" i="11"/>
  <c r="R358" i="11"/>
  <c r="M359" i="11"/>
  <c r="R359" i="11" s="1"/>
  <c r="M360" i="11"/>
  <c r="R360" i="11"/>
  <c r="M361" i="11"/>
  <c r="R361" i="11"/>
  <c r="M362" i="11"/>
  <c r="R362" i="11" s="1"/>
  <c r="M363" i="11"/>
  <c r="R363" i="11"/>
  <c r="M364" i="11"/>
  <c r="R364" i="11"/>
  <c r="M365" i="11"/>
  <c r="R365" i="11" s="1"/>
  <c r="M366" i="11"/>
  <c r="R366" i="11"/>
  <c r="M367" i="11"/>
  <c r="R367" i="11"/>
  <c r="M368" i="11"/>
  <c r="R368" i="11" s="1"/>
  <c r="M369" i="11"/>
  <c r="R369" i="11"/>
  <c r="M370" i="11"/>
  <c r="R370" i="11"/>
  <c r="M371" i="11"/>
  <c r="R371" i="11" s="1"/>
  <c r="M372" i="11"/>
  <c r="R372" i="11"/>
  <c r="M373" i="11"/>
  <c r="R373" i="11"/>
  <c r="M374" i="11"/>
  <c r="R374" i="11" s="1"/>
  <c r="M375" i="11"/>
  <c r="R375" i="11"/>
  <c r="M376" i="11"/>
  <c r="R376" i="11"/>
  <c r="M377" i="11"/>
  <c r="R377" i="11" s="1"/>
  <c r="M378" i="11"/>
  <c r="R378" i="11"/>
  <c r="M379" i="11"/>
  <c r="R379" i="11"/>
  <c r="M380" i="11"/>
  <c r="R380" i="11" s="1"/>
  <c r="M381" i="11"/>
  <c r="R381" i="11"/>
  <c r="M382" i="11"/>
  <c r="R382" i="11"/>
  <c r="M383" i="11"/>
  <c r="R383" i="11" s="1"/>
  <c r="M384" i="11"/>
  <c r="R384" i="11"/>
  <c r="M385" i="11"/>
  <c r="R385" i="11"/>
  <c r="M386" i="11"/>
  <c r="R386" i="11" s="1"/>
  <c r="M387" i="11"/>
  <c r="R387" i="11"/>
  <c r="M388" i="11"/>
  <c r="R388" i="11"/>
  <c r="M389" i="11"/>
  <c r="R389" i="11" s="1"/>
  <c r="M390" i="11"/>
  <c r="R390" i="11"/>
  <c r="M391" i="11"/>
  <c r="R391" i="11"/>
  <c r="M392" i="11"/>
  <c r="R392" i="11" s="1"/>
  <c r="M393" i="11"/>
  <c r="R393" i="11"/>
  <c r="M394" i="11"/>
  <c r="R394" i="11"/>
  <c r="M395" i="11"/>
  <c r="R395" i="11" s="1"/>
  <c r="M396" i="11"/>
  <c r="R396" i="11"/>
  <c r="M397" i="11"/>
  <c r="R397" i="11"/>
  <c r="M398" i="11"/>
  <c r="R398" i="11" s="1"/>
  <c r="M399" i="11"/>
  <c r="R399" i="11"/>
  <c r="M400" i="11"/>
  <c r="R400" i="11"/>
  <c r="M401" i="11"/>
  <c r="R401" i="11" s="1"/>
  <c r="M402" i="11"/>
  <c r="R402" i="11"/>
  <c r="M403" i="11"/>
  <c r="R403" i="11"/>
  <c r="M404" i="11"/>
  <c r="R404" i="11" s="1"/>
  <c r="M405" i="11"/>
  <c r="R405" i="11"/>
  <c r="M406" i="11"/>
  <c r="R406" i="11"/>
  <c r="M407" i="11"/>
  <c r="R407" i="11" s="1"/>
  <c r="M408" i="11"/>
  <c r="R408" i="11"/>
  <c r="M409" i="11"/>
  <c r="R409" i="11"/>
  <c r="M410" i="11"/>
  <c r="R410" i="11" s="1"/>
  <c r="M411" i="11"/>
  <c r="R411" i="11"/>
  <c r="M412" i="11"/>
  <c r="R412" i="11"/>
  <c r="M413" i="11"/>
  <c r="R413" i="11" s="1"/>
  <c r="M414" i="11"/>
  <c r="R414" i="11"/>
  <c r="M415" i="11"/>
  <c r="R415" i="11"/>
  <c r="M416" i="11"/>
  <c r="R416" i="11" s="1"/>
  <c r="M417" i="11"/>
  <c r="R417" i="11"/>
  <c r="M418" i="11"/>
  <c r="R418" i="11"/>
  <c r="M419" i="11"/>
  <c r="R419" i="11" s="1"/>
  <c r="M420" i="11"/>
  <c r="R420" i="11" s="1"/>
  <c r="M421" i="11"/>
  <c r="R421" i="11"/>
  <c r="M422" i="11"/>
  <c r="R422" i="11" s="1"/>
  <c r="M423" i="11"/>
  <c r="R423" i="11"/>
  <c r="M424" i="11"/>
  <c r="R424" i="11"/>
  <c r="M425" i="11"/>
  <c r="R425" i="11" s="1"/>
  <c r="M426" i="11"/>
  <c r="R426" i="11" s="1"/>
  <c r="M427" i="11"/>
  <c r="R427" i="11"/>
  <c r="M428" i="11"/>
  <c r="R428" i="11" s="1"/>
  <c r="M429" i="11"/>
  <c r="R429" i="11" s="1"/>
  <c r="M430" i="11"/>
  <c r="R430" i="11"/>
  <c r="M431" i="11"/>
  <c r="R431" i="11" s="1"/>
  <c r="M432" i="11"/>
  <c r="R432" i="11" s="1"/>
  <c r="M433" i="11"/>
  <c r="R433" i="11"/>
  <c r="M434" i="11"/>
  <c r="R434" i="11" s="1"/>
  <c r="M435" i="11"/>
  <c r="R435" i="11" s="1"/>
  <c r="M436" i="11"/>
  <c r="R436" i="11"/>
  <c r="M437" i="11"/>
  <c r="R437" i="11" s="1"/>
  <c r="M438" i="11"/>
  <c r="R438" i="11" s="1"/>
  <c r="M439" i="11"/>
  <c r="R439" i="11"/>
  <c r="M440" i="11"/>
  <c r="R440" i="11" s="1"/>
  <c r="M441" i="11"/>
  <c r="R441" i="11" s="1"/>
  <c r="M442" i="11"/>
  <c r="R442" i="11"/>
  <c r="M443" i="11"/>
  <c r="R443" i="11" s="1"/>
  <c r="M444" i="11"/>
  <c r="R444" i="11" s="1"/>
  <c r="M445" i="11"/>
  <c r="R445" i="11"/>
  <c r="M446" i="11"/>
  <c r="R446" i="11" s="1"/>
  <c r="M447" i="11"/>
  <c r="R447" i="11" s="1"/>
  <c r="M448" i="11"/>
  <c r="R448" i="11"/>
  <c r="M449" i="11"/>
  <c r="R449" i="11" s="1"/>
  <c r="M450" i="11"/>
  <c r="R450" i="11" s="1"/>
  <c r="M451" i="11"/>
  <c r="R451" i="11"/>
  <c r="M452" i="11"/>
  <c r="R452" i="11" s="1"/>
  <c r="M453" i="11"/>
  <c r="R453" i="11" s="1"/>
  <c r="M454" i="11"/>
  <c r="R454" i="11"/>
  <c r="M455" i="11"/>
  <c r="R455" i="11" s="1"/>
  <c r="M456" i="11"/>
  <c r="R456" i="11" s="1"/>
  <c r="M457" i="11"/>
  <c r="R457" i="11" s="1"/>
  <c r="M458" i="11"/>
  <c r="R458" i="11" s="1"/>
  <c r="M459" i="11"/>
  <c r="R459" i="11"/>
  <c r="M460" i="11"/>
  <c r="R460" i="11"/>
  <c r="M461" i="11"/>
  <c r="R461" i="11" s="1"/>
  <c r="M462" i="11"/>
  <c r="R462" i="11"/>
  <c r="M463" i="11"/>
  <c r="R463" i="11"/>
  <c r="M464" i="11"/>
  <c r="R464" i="11" s="1"/>
  <c r="M465" i="11"/>
  <c r="R465" i="11"/>
  <c r="M466" i="11"/>
  <c r="R466" i="11"/>
  <c r="M467" i="11"/>
  <c r="R467" i="11" s="1"/>
  <c r="M468" i="11"/>
  <c r="R468" i="11" s="1"/>
  <c r="M469" i="11"/>
  <c r="R469" i="11"/>
  <c r="M470" i="11"/>
  <c r="R470" i="11" s="1"/>
  <c r="M471" i="11"/>
  <c r="R471" i="11" s="1"/>
  <c r="M472" i="11"/>
  <c r="R472" i="11"/>
  <c r="M473" i="11"/>
  <c r="R473" i="11" s="1"/>
  <c r="M474" i="11"/>
  <c r="R474" i="11"/>
  <c r="M475" i="11"/>
  <c r="R475" i="11" s="1"/>
  <c r="M476" i="11"/>
  <c r="R476" i="11" s="1"/>
  <c r="M477" i="11"/>
  <c r="R477" i="11"/>
  <c r="M478" i="11"/>
  <c r="R478" i="11" s="1"/>
  <c r="M479" i="11"/>
  <c r="R479" i="11" s="1"/>
  <c r="M480" i="11"/>
  <c r="R480" i="11" s="1"/>
  <c r="M481" i="11"/>
  <c r="R481" i="11"/>
  <c r="M482" i="11"/>
  <c r="R482" i="11" s="1"/>
  <c r="M483" i="11"/>
  <c r="R483" i="11" s="1"/>
  <c r="M484" i="11"/>
  <c r="R484" i="11"/>
  <c r="M485" i="11"/>
  <c r="R485" i="11" s="1"/>
  <c r="M486" i="11"/>
  <c r="R486" i="11" s="1"/>
  <c r="M487" i="11"/>
  <c r="R487" i="11" s="1"/>
  <c r="M488" i="11"/>
  <c r="R488" i="11" s="1"/>
  <c r="M489" i="11"/>
  <c r="R489" i="11"/>
  <c r="M490" i="11"/>
  <c r="R490" i="11" s="1"/>
  <c r="M491" i="11"/>
  <c r="R491" i="11" s="1"/>
  <c r="M492" i="11"/>
  <c r="R492" i="11"/>
  <c r="M493" i="11"/>
  <c r="R493" i="11" s="1"/>
  <c r="M494" i="11"/>
  <c r="R494" i="11" s="1"/>
  <c r="M495" i="11"/>
  <c r="R495" i="11"/>
  <c r="M496" i="11"/>
  <c r="R496" i="11"/>
  <c r="M497" i="11"/>
  <c r="R497" i="11" s="1"/>
  <c r="M498" i="11"/>
  <c r="R498" i="11"/>
  <c r="M499" i="11"/>
  <c r="R499" i="11"/>
  <c r="M500" i="11"/>
  <c r="R500" i="11" s="1"/>
  <c r="M501" i="11"/>
  <c r="R501" i="11"/>
  <c r="M502" i="11"/>
  <c r="R502" i="11"/>
  <c r="M503" i="11"/>
  <c r="R503" i="11" s="1"/>
  <c r="M504" i="11"/>
  <c r="R504" i="11" s="1"/>
  <c r="M505" i="11"/>
  <c r="R505" i="11"/>
  <c r="M506" i="11"/>
  <c r="R506" i="11" s="1"/>
  <c r="M507" i="11"/>
  <c r="R507" i="11" s="1"/>
  <c r="M508" i="11"/>
  <c r="R508" i="11"/>
  <c r="M509" i="11"/>
  <c r="R509" i="11" s="1"/>
  <c r="M510" i="11"/>
  <c r="R510" i="11"/>
  <c r="M511" i="11"/>
  <c r="R511" i="11" s="1"/>
  <c r="M512" i="11"/>
  <c r="R512" i="11" s="1"/>
  <c r="M513" i="11"/>
  <c r="R513" i="11"/>
  <c r="M514" i="11"/>
  <c r="R514" i="11" s="1"/>
  <c r="M515" i="11"/>
  <c r="R515" i="11" s="1"/>
  <c r="M516" i="11"/>
  <c r="R516" i="11" s="1"/>
  <c r="M517" i="11"/>
  <c r="R517" i="11"/>
  <c r="M518" i="11"/>
  <c r="R518" i="11" s="1"/>
  <c r="M519" i="11"/>
  <c r="R519" i="11" s="1"/>
  <c r="M520" i="11"/>
  <c r="R520" i="11"/>
  <c r="M521" i="11"/>
  <c r="R521" i="11" s="1"/>
  <c r="M522" i="11"/>
  <c r="R522" i="11" s="1"/>
  <c r="M523" i="11"/>
  <c r="R523" i="11" s="1"/>
  <c r="M524" i="11"/>
  <c r="R524" i="11" s="1"/>
  <c r="M525" i="11"/>
  <c r="R525" i="11"/>
  <c r="M526" i="11"/>
  <c r="R526" i="11" s="1"/>
  <c r="M527" i="11"/>
  <c r="R527" i="11" s="1"/>
  <c r="M528" i="11"/>
  <c r="R528" i="11"/>
  <c r="M529" i="11"/>
  <c r="R529" i="11" s="1"/>
  <c r="M530" i="11"/>
  <c r="R530" i="11" s="1"/>
  <c r="M531" i="11"/>
  <c r="R531" i="11"/>
  <c r="M532" i="11"/>
  <c r="R532" i="11"/>
  <c r="M533" i="11"/>
  <c r="R533" i="11" s="1"/>
  <c r="M534" i="11"/>
  <c r="R534" i="11"/>
  <c r="M535" i="11"/>
  <c r="R535" i="11"/>
  <c r="M536" i="11"/>
  <c r="R536" i="11" s="1"/>
  <c r="M537" i="11"/>
  <c r="R537" i="11"/>
  <c r="M538" i="11"/>
  <c r="R538" i="11"/>
  <c r="M539" i="11"/>
  <c r="R539" i="11" s="1"/>
  <c r="M540" i="11"/>
  <c r="R540" i="11" s="1"/>
  <c r="M541" i="11"/>
  <c r="R541" i="11"/>
  <c r="M542" i="11"/>
  <c r="R542" i="11" s="1"/>
  <c r="M543" i="11"/>
  <c r="R543" i="11" s="1"/>
  <c r="M544" i="11"/>
  <c r="R544" i="11"/>
  <c r="M545" i="11"/>
  <c r="R545" i="11" s="1"/>
  <c r="M546" i="11"/>
  <c r="R546" i="11"/>
  <c r="M547" i="11"/>
  <c r="R547" i="11" s="1"/>
  <c r="M548" i="11"/>
  <c r="R548" i="11" s="1"/>
  <c r="M549" i="11"/>
  <c r="R549" i="11"/>
  <c r="M550" i="11"/>
  <c r="R550" i="11" s="1"/>
  <c r="M551" i="11"/>
  <c r="R551" i="11" s="1"/>
  <c r="M552" i="11"/>
  <c r="R552" i="11" s="1"/>
  <c r="M553" i="11"/>
  <c r="R553" i="11"/>
  <c r="M554" i="11"/>
  <c r="R554" i="11" s="1"/>
  <c r="M555" i="11"/>
  <c r="R555" i="11" s="1"/>
  <c r="M556" i="11"/>
  <c r="R556" i="11"/>
  <c r="M557" i="11"/>
  <c r="R557" i="11" s="1"/>
  <c r="M558" i="11"/>
  <c r="R558" i="11" s="1"/>
  <c r="M559" i="11"/>
  <c r="R559" i="11" s="1"/>
  <c r="M560" i="11"/>
  <c r="R560" i="11" s="1"/>
  <c r="M561" i="11"/>
  <c r="R561" i="11"/>
  <c r="M562" i="11"/>
  <c r="R562" i="11" s="1"/>
  <c r="M563" i="11"/>
  <c r="R563" i="11" s="1"/>
  <c r="M564" i="11"/>
  <c r="R564" i="11"/>
  <c r="M565" i="11"/>
  <c r="R565" i="11" s="1"/>
  <c r="M566" i="11"/>
  <c r="R566" i="11" s="1"/>
  <c r="M567" i="11"/>
  <c r="R567" i="11"/>
  <c r="M568" i="11"/>
  <c r="R568" i="11"/>
  <c r="M569" i="11"/>
  <c r="R569" i="11" s="1"/>
  <c r="M570" i="11"/>
  <c r="R570" i="11"/>
  <c r="M571" i="11"/>
  <c r="R571" i="11"/>
  <c r="M572" i="11"/>
  <c r="R572" i="11" s="1"/>
  <c r="M573" i="11"/>
  <c r="R573" i="11"/>
  <c r="M574" i="11"/>
  <c r="R574" i="11"/>
  <c r="M575" i="11"/>
  <c r="R575" i="11" s="1"/>
  <c r="M576" i="11"/>
  <c r="R576" i="11" s="1"/>
  <c r="M577" i="11"/>
  <c r="R577" i="11"/>
  <c r="M578" i="11"/>
  <c r="R578" i="11" s="1"/>
  <c r="M579" i="11"/>
  <c r="R579" i="11" s="1"/>
  <c r="M580" i="11"/>
  <c r="R580" i="11"/>
  <c r="M581" i="11"/>
  <c r="R581" i="11" s="1"/>
  <c r="M582" i="11"/>
  <c r="R582" i="11"/>
  <c r="M583" i="11"/>
  <c r="R583" i="11" s="1"/>
  <c r="M584" i="11"/>
  <c r="R584" i="11" s="1"/>
  <c r="M585" i="11"/>
  <c r="R585" i="11"/>
  <c r="M586" i="11"/>
  <c r="R586" i="11" s="1"/>
  <c r="M587" i="11"/>
  <c r="R587" i="11" s="1"/>
  <c r="M588" i="11"/>
  <c r="R588" i="11" s="1"/>
  <c r="M589" i="11"/>
  <c r="R589" i="11"/>
  <c r="M590" i="11"/>
  <c r="R590" i="11" s="1"/>
  <c r="M591" i="11"/>
  <c r="R591" i="11" s="1"/>
  <c r="M592" i="11"/>
  <c r="R592" i="11"/>
  <c r="M593" i="11"/>
  <c r="R593" i="11" s="1"/>
  <c r="M594" i="11"/>
  <c r="R594" i="11" s="1"/>
  <c r="M595" i="11"/>
  <c r="R595" i="11" s="1"/>
  <c r="M596" i="11"/>
  <c r="R596" i="11" s="1"/>
  <c r="M597" i="11"/>
  <c r="R597" i="11"/>
  <c r="M598" i="11"/>
  <c r="R598" i="11" s="1"/>
  <c r="M599" i="11"/>
  <c r="R599" i="11" s="1"/>
  <c r="M600" i="11"/>
  <c r="R600" i="11"/>
  <c r="M601" i="11"/>
  <c r="R601" i="11" s="1"/>
  <c r="M602" i="11"/>
  <c r="R602" i="11" s="1"/>
  <c r="M603" i="11"/>
  <c r="R603" i="11"/>
  <c r="M604" i="11"/>
  <c r="R604" i="11"/>
  <c r="M605" i="11"/>
  <c r="R605" i="11" s="1"/>
  <c r="M606" i="11"/>
  <c r="R606" i="11"/>
  <c r="M607" i="11"/>
  <c r="R607" i="11"/>
  <c r="M608" i="11"/>
  <c r="R608" i="11" s="1"/>
  <c r="M609" i="11"/>
  <c r="R609" i="11"/>
  <c r="M610" i="11"/>
  <c r="R610" i="11"/>
  <c r="M611" i="11"/>
  <c r="R611" i="11" s="1"/>
  <c r="M612" i="11"/>
  <c r="R612" i="11" s="1"/>
  <c r="M613" i="11"/>
  <c r="R613" i="11"/>
  <c r="M614" i="11"/>
  <c r="R614" i="11" s="1"/>
  <c r="M615" i="11"/>
  <c r="R615" i="11" s="1"/>
  <c r="M616" i="11"/>
  <c r="R616" i="11"/>
  <c r="M617" i="11"/>
  <c r="R617" i="11" s="1"/>
  <c r="M618" i="11"/>
  <c r="R618" i="11"/>
  <c r="M619" i="11"/>
  <c r="R619" i="11" s="1"/>
  <c r="M620" i="11"/>
  <c r="R620" i="11" s="1"/>
  <c r="M621" i="11"/>
  <c r="R621" i="11"/>
  <c r="M622" i="11"/>
  <c r="R622" i="11" s="1"/>
  <c r="M623" i="11"/>
  <c r="R623" i="11" s="1"/>
  <c r="M624" i="11"/>
  <c r="R624" i="11" s="1"/>
  <c r="M625" i="11"/>
  <c r="R625" i="11"/>
  <c r="M626" i="11"/>
  <c r="R626" i="11" s="1"/>
  <c r="M627" i="11"/>
  <c r="R627" i="11" s="1"/>
  <c r="M628" i="11"/>
  <c r="R628" i="11"/>
  <c r="M629" i="11"/>
  <c r="R629" i="11" s="1"/>
  <c r="M630" i="11"/>
  <c r="R630" i="11" s="1"/>
  <c r="M631" i="11"/>
  <c r="R631" i="11" s="1"/>
  <c r="M632" i="11"/>
  <c r="R632" i="11"/>
  <c r="M633" i="11"/>
  <c r="R633" i="11" s="1"/>
  <c r="M634" i="11"/>
  <c r="R634" i="11"/>
  <c r="M635" i="11"/>
  <c r="R635" i="11" s="1"/>
  <c r="M636" i="11"/>
  <c r="R636" i="11" s="1"/>
  <c r="M637" i="11"/>
  <c r="R637" i="11"/>
  <c r="M638" i="11"/>
  <c r="R638" i="11"/>
  <c r="M639" i="11"/>
  <c r="R639" i="11" s="1"/>
  <c r="M640" i="11"/>
  <c r="R640" i="11" s="1"/>
  <c r="M641" i="11"/>
  <c r="R641" i="11"/>
  <c r="M642" i="11"/>
  <c r="R642" i="11" s="1"/>
  <c r="M643" i="11"/>
  <c r="R643" i="11"/>
  <c r="M644" i="11"/>
  <c r="R644" i="11"/>
  <c r="M645" i="11"/>
  <c r="R645" i="11" s="1"/>
  <c r="M646" i="11"/>
  <c r="R646" i="11" s="1"/>
  <c r="M647" i="11"/>
  <c r="R647" i="11"/>
  <c r="M648" i="11"/>
  <c r="R648" i="11" s="1"/>
  <c r="M649" i="11"/>
  <c r="R649" i="11"/>
  <c r="M650" i="11"/>
  <c r="R650" i="11"/>
  <c r="M651" i="11"/>
  <c r="R651" i="11" s="1"/>
  <c r="M652" i="11"/>
  <c r="R652" i="11" s="1"/>
  <c r="M653" i="11"/>
  <c r="R653" i="11"/>
  <c r="M654" i="11"/>
  <c r="R654" i="11" s="1"/>
  <c r="M655" i="11"/>
  <c r="R655" i="11"/>
  <c r="M656" i="11"/>
  <c r="R656" i="11"/>
  <c r="M657" i="11"/>
  <c r="R657" i="11" s="1"/>
  <c r="M658" i="11"/>
  <c r="R658" i="11" s="1"/>
  <c r="M659" i="11"/>
  <c r="R659" i="11"/>
  <c r="M660" i="11"/>
  <c r="R660" i="11" s="1"/>
  <c r="M661" i="11"/>
  <c r="R661" i="11"/>
  <c r="M662" i="11"/>
  <c r="R662" i="11"/>
  <c r="M663" i="11"/>
  <c r="R663" i="11" s="1"/>
  <c r="M664" i="11"/>
  <c r="R664" i="11" s="1"/>
  <c r="M665" i="11"/>
  <c r="R665" i="11"/>
  <c r="M666" i="11"/>
  <c r="R666" i="11" s="1"/>
  <c r="M667" i="11"/>
  <c r="R667" i="11"/>
  <c r="M668" i="11"/>
  <c r="R668" i="11"/>
  <c r="M669" i="11"/>
  <c r="R669" i="11" s="1"/>
  <c r="M670" i="11"/>
  <c r="R670" i="11" s="1"/>
  <c r="M671" i="11"/>
  <c r="R671" i="11"/>
  <c r="M672" i="11"/>
  <c r="R672" i="11" s="1"/>
  <c r="M673" i="11"/>
  <c r="R673" i="11"/>
  <c r="M674" i="11"/>
  <c r="R674" i="11"/>
  <c r="M675" i="11"/>
  <c r="R675" i="11" s="1"/>
  <c r="M676" i="11"/>
  <c r="R676" i="11" s="1"/>
  <c r="M677" i="11"/>
  <c r="R677" i="11"/>
  <c r="M678" i="11"/>
  <c r="R678" i="11" s="1"/>
  <c r="M679" i="11"/>
  <c r="R679" i="11"/>
  <c r="M680" i="11"/>
  <c r="R680" i="11"/>
  <c r="M681" i="11"/>
  <c r="R681" i="11" s="1"/>
  <c r="M682" i="11"/>
  <c r="R682" i="11" s="1"/>
  <c r="M683" i="11"/>
  <c r="R683" i="11"/>
  <c r="M684" i="11"/>
  <c r="R684" i="11" s="1"/>
  <c r="M685" i="11"/>
  <c r="R685" i="11"/>
  <c r="M686" i="11"/>
  <c r="R686" i="11"/>
  <c r="M687" i="11"/>
  <c r="R687" i="11" s="1"/>
  <c r="M688" i="11"/>
  <c r="R688" i="11" s="1"/>
  <c r="M689" i="11"/>
  <c r="R689" i="11"/>
  <c r="M690" i="11"/>
  <c r="R690" i="11" s="1"/>
  <c r="M691" i="11"/>
  <c r="R691" i="11"/>
  <c r="M692" i="11"/>
  <c r="R692" i="11"/>
  <c r="M693" i="11"/>
  <c r="R693" i="11" s="1"/>
  <c r="M694" i="11"/>
  <c r="R694" i="11" s="1"/>
  <c r="M695" i="11"/>
  <c r="R695" i="11"/>
  <c r="M696" i="11"/>
  <c r="R696" i="11" s="1"/>
  <c r="M697" i="11"/>
  <c r="R697" i="11"/>
  <c r="M698" i="11"/>
  <c r="R698" i="11"/>
  <c r="M699" i="11"/>
  <c r="R699" i="11" s="1"/>
  <c r="M700" i="11"/>
  <c r="R700" i="11" s="1"/>
  <c r="M701" i="11"/>
  <c r="R701" i="11"/>
  <c r="M702" i="11"/>
  <c r="R702" i="11" s="1"/>
  <c r="M703" i="11"/>
  <c r="R703" i="11"/>
  <c r="M704" i="11"/>
  <c r="R704" i="11"/>
  <c r="M705" i="11"/>
  <c r="R705" i="11" s="1"/>
  <c r="M706" i="11"/>
  <c r="R706" i="11" s="1"/>
  <c r="M707" i="11"/>
  <c r="R707" i="11"/>
  <c r="M708" i="11"/>
  <c r="R708" i="11" s="1"/>
  <c r="M709" i="11"/>
  <c r="R709" i="11"/>
  <c r="M710" i="11"/>
  <c r="R710" i="11"/>
  <c r="M711" i="11"/>
  <c r="R711" i="11" s="1"/>
  <c r="M712" i="11"/>
  <c r="R712" i="11" s="1"/>
  <c r="M713" i="11"/>
  <c r="R713" i="11"/>
  <c r="M714" i="11"/>
  <c r="R714" i="11" s="1"/>
  <c r="M715" i="11"/>
  <c r="R715" i="11"/>
  <c r="M716" i="11"/>
  <c r="R716" i="11"/>
  <c r="M717" i="11"/>
  <c r="R717" i="11" s="1"/>
  <c r="M718" i="11"/>
  <c r="R718" i="11" s="1"/>
  <c r="M719" i="11"/>
  <c r="R719" i="11"/>
  <c r="M720" i="11"/>
  <c r="R720" i="11" s="1"/>
  <c r="M721" i="11"/>
  <c r="R721" i="11"/>
  <c r="M722" i="11"/>
  <c r="R722" i="11"/>
  <c r="M723" i="11"/>
  <c r="R723" i="11" s="1"/>
  <c r="M724" i="11"/>
  <c r="R724" i="11" s="1"/>
  <c r="M725" i="11"/>
  <c r="R725" i="11"/>
  <c r="M726" i="11"/>
  <c r="R726" i="11" s="1"/>
  <c r="M727" i="11"/>
  <c r="R727" i="11"/>
  <c r="M728" i="11"/>
  <c r="R728" i="11"/>
  <c r="M729" i="11"/>
  <c r="R729" i="11" s="1"/>
  <c r="M730" i="11"/>
  <c r="R730" i="11" s="1"/>
  <c r="M731" i="11"/>
  <c r="R731" i="11"/>
  <c r="M732" i="11"/>
  <c r="R732" i="11" s="1"/>
  <c r="M733" i="11"/>
  <c r="R733" i="11"/>
  <c r="M734" i="11"/>
  <c r="R734" i="11"/>
  <c r="M735" i="11"/>
  <c r="R735" i="11" s="1"/>
  <c r="M736" i="11"/>
  <c r="R736" i="11" s="1"/>
  <c r="M737" i="11"/>
  <c r="R737" i="11"/>
  <c r="M738" i="11"/>
  <c r="R738" i="11" s="1"/>
  <c r="M739" i="11"/>
  <c r="R739" i="11"/>
  <c r="M740" i="11"/>
  <c r="R740" i="11"/>
  <c r="M741" i="11"/>
  <c r="R741" i="11" s="1"/>
  <c r="M742" i="11"/>
  <c r="R742" i="11" s="1"/>
  <c r="M743" i="11"/>
  <c r="R743" i="11"/>
  <c r="M744" i="11"/>
  <c r="R744" i="11" s="1"/>
  <c r="M745" i="11"/>
  <c r="R745" i="11"/>
  <c r="M746" i="11"/>
  <c r="R746" i="11"/>
  <c r="M747" i="11"/>
  <c r="R747" i="11" s="1"/>
  <c r="M748" i="11"/>
  <c r="R748" i="11" s="1"/>
  <c r="M749" i="11"/>
  <c r="R749" i="11"/>
  <c r="M750" i="11"/>
  <c r="R750" i="11" s="1"/>
  <c r="M751" i="11"/>
  <c r="R751" i="11"/>
  <c r="M752" i="11"/>
  <c r="R752" i="11"/>
  <c r="M753" i="11"/>
  <c r="R753" i="11" s="1"/>
  <c r="M754" i="11"/>
  <c r="R754" i="11" s="1"/>
  <c r="M755" i="11"/>
  <c r="R755" i="11"/>
  <c r="M756" i="11"/>
  <c r="R756" i="11" s="1"/>
  <c r="M757" i="11"/>
  <c r="R757" i="11"/>
  <c r="M758" i="11"/>
  <c r="R758" i="11"/>
  <c r="M759" i="11"/>
  <c r="R759" i="11" s="1"/>
  <c r="M760" i="11"/>
  <c r="R760" i="11" s="1"/>
  <c r="M761" i="11"/>
  <c r="R761" i="11"/>
  <c r="M762" i="11"/>
  <c r="R762" i="11" s="1"/>
  <c r="M763" i="11"/>
  <c r="R763" i="11"/>
  <c r="M764" i="11"/>
  <c r="R764" i="11"/>
  <c r="M765" i="11"/>
  <c r="R765" i="11" s="1"/>
  <c r="M766" i="11"/>
  <c r="R766" i="11" s="1"/>
  <c r="M767" i="11"/>
  <c r="R767" i="11"/>
  <c r="M768" i="11"/>
  <c r="R768" i="11" s="1"/>
  <c r="M769" i="11"/>
  <c r="R769" i="11"/>
  <c r="M770" i="11"/>
  <c r="R770" i="11"/>
  <c r="M771" i="11"/>
  <c r="R771" i="11" s="1"/>
  <c r="M772" i="11"/>
  <c r="R772" i="11" s="1"/>
  <c r="M773" i="11"/>
  <c r="R773" i="11"/>
  <c r="M774" i="11"/>
  <c r="R774" i="11" s="1"/>
  <c r="M775" i="11"/>
  <c r="R775" i="11"/>
  <c r="M776" i="11"/>
  <c r="R776" i="11"/>
  <c r="M777" i="11"/>
  <c r="R777" i="11" s="1"/>
  <c r="M778" i="11"/>
  <c r="R778" i="11" s="1"/>
  <c r="M779" i="11"/>
  <c r="R779" i="11"/>
  <c r="M780" i="11"/>
  <c r="R780" i="11" s="1"/>
  <c r="M781" i="11"/>
  <c r="R781" i="11"/>
  <c r="M782" i="11"/>
  <c r="R782" i="11"/>
  <c r="M783" i="11"/>
  <c r="R783" i="11" s="1"/>
  <c r="M784" i="11"/>
  <c r="R784" i="11" s="1"/>
  <c r="M785" i="11"/>
  <c r="R785" i="11"/>
  <c r="M786" i="11"/>
  <c r="R786" i="11" s="1"/>
  <c r="M787" i="11"/>
  <c r="R787" i="11"/>
  <c r="M788" i="11"/>
  <c r="R788" i="11"/>
  <c r="M789" i="11"/>
  <c r="R789" i="11" s="1"/>
  <c r="M790" i="11"/>
  <c r="R790" i="11" s="1"/>
  <c r="M791" i="11"/>
  <c r="R791" i="11"/>
  <c r="M792" i="11"/>
  <c r="R792" i="11" s="1"/>
  <c r="M793" i="11"/>
  <c r="R793" i="11"/>
  <c r="M794" i="11"/>
  <c r="R794" i="11"/>
  <c r="M795" i="11"/>
  <c r="R795" i="11" s="1"/>
  <c r="M796" i="11"/>
  <c r="R796" i="11" s="1"/>
  <c r="M797" i="11"/>
  <c r="R797" i="11"/>
  <c r="M798" i="11"/>
  <c r="R798" i="11" s="1"/>
  <c r="M799" i="11"/>
  <c r="R799" i="11"/>
  <c r="M800" i="11"/>
  <c r="R800" i="11"/>
  <c r="M801" i="11"/>
  <c r="R801" i="11" s="1"/>
  <c r="M802" i="11"/>
  <c r="R802" i="11" s="1"/>
  <c r="M803" i="11"/>
  <c r="R803" i="11"/>
  <c r="M804" i="11"/>
  <c r="R804" i="11" s="1"/>
  <c r="M805" i="11"/>
  <c r="R805" i="11"/>
  <c r="M806" i="11"/>
  <c r="R806" i="11"/>
  <c r="M807" i="11"/>
  <c r="R807" i="11" s="1"/>
  <c r="M808" i="11"/>
  <c r="R808" i="11" s="1"/>
  <c r="M809" i="11"/>
  <c r="R809" i="11"/>
  <c r="M810" i="11"/>
  <c r="R810" i="11" s="1"/>
  <c r="M811" i="11"/>
  <c r="R811" i="11"/>
  <c r="M812" i="11"/>
  <c r="R812" i="11"/>
  <c r="M813" i="11"/>
  <c r="R813" i="11" s="1"/>
  <c r="M814" i="11"/>
  <c r="R814" i="11" s="1"/>
  <c r="M815" i="11"/>
  <c r="R815" i="11"/>
  <c r="M816" i="11"/>
  <c r="R816" i="11" s="1"/>
  <c r="M817" i="11"/>
  <c r="R817" i="11"/>
  <c r="M818" i="11"/>
  <c r="R818" i="11"/>
  <c r="M819" i="11"/>
  <c r="R819" i="11" s="1"/>
  <c r="M820" i="11"/>
  <c r="R820" i="11" s="1"/>
  <c r="M821" i="11"/>
  <c r="R821" i="11"/>
  <c r="M822" i="11"/>
  <c r="R822" i="11" s="1"/>
  <c r="M823" i="11"/>
  <c r="R823" i="11"/>
  <c r="M824" i="11"/>
  <c r="R824" i="11"/>
  <c r="M825" i="11"/>
  <c r="R825" i="11" s="1"/>
  <c r="M826" i="11"/>
  <c r="R826" i="11" s="1"/>
  <c r="M827" i="11"/>
  <c r="R827" i="11"/>
  <c r="M828" i="11"/>
  <c r="R828" i="11" s="1"/>
  <c r="M829" i="11"/>
  <c r="R829" i="11"/>
  <c r="M830" i="11"/>
  <c r="R830" i="11"/>
  <c r="M831" i="11"/>
  <c r="R831" i="11" s="1"/>
  <c r="M832" i="11"/>
  <c r="R832" i="11" s="1"/>
  <c r="M833" i="11"/>
  <c r="R833" i="11"/>
  <c r="M834" i="11"/>
  <c r="R834" i="11" s="1"/>
  <c r="M835" i="11"/>
  <c r="R835" i="11"/>
  <c r="M836" i="11"/>
  <c r="R836" i="11"/>
  <c r="M837" i="11"/>
  <c r="R837" i="11" s="1"/>
  <c r="M838" i="11"/>
  <c r="R838" i="11" s="1"/>
  <c r="M839" i="11"/>
  <c r="R839" i="11"/>
  <c r="M840" i="11"/>
  <c r="R840" i="11" s="1"/>
  <c r="M841" i="11"/>
  <c r="R841" i="11"/>
  <c r="M842" i="11"/>
  <c r="R842" i="11"/>
  <c r="M843" i="11"/>
  <c r="R843" i="11" s="1"/>
  <c r="M844" i="11"/>
  <c r="R844" i="11" s="1"/>
  <c r="M845" i="11"/>
  <c r="R845" i="11"/>
  <c r="M846" i="11"/>
  <c r="R846" i="11" s="1"/>
  <c r="M847" i="11"/>
  <c r="R847" i="11"/>
  <c r="M848" i="11"/>
  <c r="R848" i="11"/>
  <c r="M849" i="11"/>
  <c r="R849" i="11" s="1"/>
  <c r="M850" i="11"/>
  <c r="R850" i="11" s="1"/>
  <c r="M851" i="11"/>
  <c r="R851" i="11"/>
  <c r="M852" i="11"/>
  <c r="R852" i="11" s="1"/>
  <c r="M853" i="11"/>
  <c r="R853" i="11"/>
  <c r="M854" i="11"/>
  <c r="R854" i="11"/>
  <c r="M855" i="11"/>
  <c r="R855" i="11" s="1"/>
  <c r="M856" i="11"/>
  <c r="R856" i="11" s="1"/>
  <c r="M857" i="11"/>
  <c r="R857" i="11"/>
  <c r="M858" i="11"/>
  <c r="R858" i="11" s="1"/>
  <c r="M859" i="11"/>
  <c r="R859" i="11"/>
  <c r="M860" i="11"/>
  <c r="R860" i="11"/>
  <c r="M861" i="11"/>
  <c r="R861" i="11" s="1"/>
  <c r="M862" i="11"/>
  <c r="R862" i="11" s="1"/>
  <c r="M863" i="11"/>
  <c r="R863" i="11"/>
  <c r="M864" i="11"/>
  <c r="R864" i="11" s="1"/>
  <c r="M865" i="11"/>
  <c r="R865" i="11"/>
  <c r="M866" i="11"/>
  <c r="R866" i="11"/>
  <c r="M867" i="11"/>
  <c r="R867" i="11" s="1"/>
  <c r="M868" i="11"/>
  <c r="R868" i="11" s="1"/>
  <c r="M869" i="11"/>
  <c r="R869" i="11"/>
  <c r="M870" i="11"/>
  <c r="R870" i="11" s="1"/>
  <c r="M871" i="11"/>
  <c r="R871" i="11"/>
  <c r="M872" i="11"/>
  <c r="R872" i="11"/>
  <c r="M873" i="11"/>
  <c r="R873" i="11" s="1"/>
  <c r="M874" i="11"/>
  <c r="R874" i="11" s="1"/>
  <c r="M875" i="11"/>
  <c r="R875" i="11"/>
  <c r="M876" i="11"/>
  <c r="R876" i="11" s="1"/>
  <c r="M877" i="11"/>
  <c r="R877" i="11"/>
  <c r="M878" i="11"/>
  <c r="R878" i="11"/>
  <c r="M879" i="11"/>
  <c r="R879" i="11" s="1"/>
  <c r="M880" i="11"/>
  <c r="R880" i="11" s="1"/>
  <c r="M881" i="11"/>
  <c r="R881" i="11"/>
  <c r="M882" i="11"/>
  <c r="R882" i="11" s="1"/>
  <c r="M883" i="11"/>
  <c r="R883" i="11"/>
  <c r="M884" i="11"/>
  <c r="R884" i="11"/>
  <c r="M885" i="11"/>
  <c r="R885" i="11" s="1"/>
  <c r="M886" i="11"/>
  <c r="R886" i="11" s="1"/>
  <c r="M887" i="11"/>
  <c r="R887" i="11"/>
  <c r="M888" i="11"/>
  <c r="R888" i="11" s="1"/>
  <c r="M889" i="11"/>
  <c r="R889" i="11"/>
  <c r="M890" i="11"/>
  <c r="R890" i="11"/>
  <c r="M891" i="11"/>
  <c r="R891" i="11" s="1"/>
  <c r="M892" i="11"/>
  <c r="R892" i="11" s="1"/>
  <c r="M893" i="11"/>
  <c r="R893" i="11"/>
  <c r="M894" i="11"/>
  <c r="R894" i="11" s="1"/>
  <c r="M895" i="11"/>
  <c r="R895" i="11"/>
  <c r="M896" i="11"/>
  <c r="R896" i="11"/>
  <c r="M897" i="11"/>
  <c r="R897" i="11" s="1"/>
  <c r="M898" i="11"/>
  <c r="R898" i="11" s="1"/>
  <c r="M899" i="11"/>
  <c r="R899" i="11"/>
  <c r="M900" i="11"/>
  <c r="R900" i="11" s="1"/>
  <c r="M901" i="11"/>
  <c r="R901" i="11"/>
  <c r="M902" i="11"/>
  <c r="R902" i="11"/>
  <c r="M903" i="11"/>
  <c r="R903" i="11" s="1"/>
  <c r="M904" i="11"/>
  <c r="R904" i="11" s="1"/>
  <c r="M905" i="11"/>
  <c r="R905" i="11"/>
  <c r="M906" i="11"/>
  <c r="R906" i="11" s="1"/>
  <c r="M907" i="11"/>
  <c r="R907" i="11"/>
  <c r="M908" i="11"/>
  <c r="R908" i="11"/>
  <c r="M909" i="11"/>
  <c r="R909" i="11" s="1"/>
  <c r="M910" i="11"/>
  <c r="R910" i="11" s="1"/>
  <c r="M911" i="11"/>
  <c r="R911" i="11"/>
  <c r="M912" i="11"/>
  <c r="R912" i="11" s="1"/>
  <c r="M913" i="11"/>
  <c r="R913" i="11"/>
  <c r="M914" i="11"/>
  <c r="R914" i="11"/>
  <c r="M915" i="11"/>
  <c r="R915" i="11" s="1"/>
  <c r="M916" i="11"/>
  <c r="R916" i="11" s="1"/>
  <c r="M917" i="11"/>
  <c r="R917" i="11"/>
  <c r="M918" i="11"/>
  <c r="R918" i="11" s="1"/>
  <c r="M919" i="11"/>
  <c r="R919" i="11"/>
  <c r="M920" i="11"/>
  <c r="R920" i="11"/>
  <c r="M921" i="11"/>
  <c r="R921" i="11" s="1"/>
  <c r="M922" i="11"/>
  <c r="R922" i="11" s="1"/>
  <c r="M923" i="11"/>
  <c r="R923" i="11"/>
  <c r="M924" i="11"/>
  <c r="R924" i="11" s="1"/>
  <c r="M925" i="11"/>
  <c r="R925" i="11"/>
  <c r="M926" i="11"/>
  <c r="R926" i="11"/>
  <c r="M927" i="11"/>
  <c r="R927" i="11" s="1"/>
  <c r="M928" i="11"/>
  <c r="R928" i="11" s="1"/>
  <c r="M929" i="11"/>
  <c r="R929" i="11"/>
  <c r="M930" i="11"/>
  <c r="R930" i="11" s="1"/>
  <c r="M931" i="11"/>
  <c r="R931" i="11"/>
  <c r="M932" i="11"/>
  <c r="R932" i="11"/>
  <c r="M933" i="11"/>
  <c r="R933" i="11" s="1"/>
  <c r="M934" i="11"/>
  <c r="R934" i="11" s="1"/>
  <c r="M935" i="11"/>
  <c r="R935" i="11"/>
  <c r="M936" i="11"/>
  <c r="R936" i="11" s="1"/>
  <c r="M937" i="11"/>
  <c r="R937" i="11"/>
  <c r="M938" i="11"/>
  <c r="R938" i="11"/>
  <c r="M939" i="11"/>
  <c r="R939" i="11" s="1"/>
  <c r="M940" i="11"/>
  <c r="R940" i="11" s="1"/>
  <c r="M941" i="11"/>
  <c r="R941" i="11"/>
  <c r="M942" i="11"/>
  <c r="R942" i="11" s="1"/>
  <c r="M943" i="11"/>
  <c r="R943" i="11"/>
  <c r="M944" i="11"/>
  <c r="R944" i="11"/>
  <c r="M945" i="11"/>
  <c r="R945" i="11" s="1"/>
  <c r="M946" i="11"/>
  <c r="R946" i="11" s="1"/>
  <c r="M947" i="11"/>
  <c r="R947" i="11"/>
  <c r="M948" i="11"/>
  <c r="R948" i="11" s="1"/>
  <c r="M949" i="11"/>
  <c r="R949" i="11"/>
  <c r="M950" i="11"/>
  <c r="R950" i="11"/>
  <c r="M951" i="11"/>
  <c r="R951" i="11" s="1"/>
  <c r="M952" i="11"/>
  <c r="R952" i="11" s="1"/>
  <c r="M953" i="11"/>
  <c r="R953" i="11"/>
  <c r="M954" i="11"/>
  <c r="R954" i="11" s="1"/>
  <c r="M955" i="11"/>
  <c r="R955" i="11"/>
  <c r="M956" i="11"/>
  <c r="R956" i="11"/>
  <c r="M957" i="11"/>
  <c r="R957" i="11" s="1"/>
  <c r="M958" i="11"/>
  <c r="R958" i="11" s="1"/>
  <c r="M959" i="11"/>
  <c r="R959" i="11"/>
  <c r="M960" i="11"/>
  <c r="R960" i="11" s="1"/>
  <c r="M961" i="11"/>
  <c r="R961" i="11"/>
  <c r="M962" i="11"/>
  <c r="R962" i="11"/>
  <c r="M963" i="11"/>
  <c r="R963" i="11" s="1"/>
  <c r="M964" i="11"/>
  <c r="R964" i="11" s="1"/>
  <c r="M965" i="11"/>
  <c r="R965" i="11"/>
  <c r="M966" i="11"/>
  <c r="R966" i="11" s="1"/>
  <c r="M967" i="11"/>
  <c r="R967" i="11"/>
  <c r="M968" i="11"/>
  <c r="R968" i="11"/>
  <c r="M969" i="11"/>
  <c r="R969" i="11" s="1"/>
  <c r="M970" i="11"/>
  <c r="R970" i="11" s="1"/>
  <c r="M971" i="11"/>
  <c r="R971" i="11"/>
  <c r="M972" i="11"/>
  <c r="R972" i="11" s="1"/>
  <c r="M973" i="11"/>
  <c r="R973" i="11"/>
  <c r="M974" i="11"/>
  <c r="R974" i="11"/>
  <c r="M975" i="11"/>
  <c r="R975" i="11" s="1"/>
  <c r="M976" i="11"/>
  <c r="R976" i="11" s="1"/>
  <c r="M977" i="11"/>
  <c r="R977" i="11"/>
  <c r="M978" i="11"/>
  <c r="R978" i="11" s="1"/>
  <c r="M979" i="11"/>
  <c r="R979" i="11"/>
  <c r="M980" i="11"/>
  <c r="R980" i="11"/>
  <c r="M981" i="11"/>
  <c r="R981" i="11" s="1"/>
  <c r="M982" i="11"/>
  <c r="R982" i="11" s="1"/>
  <c r="M983" i="11"/>
  <c r="R983" i="11"/>
  <c r="M984" i="11"/>
  <c r="R984" i="11" s="1"/>
  <c r="M985" i="11"/>
  <c r="R985" i="11"/>
  <c r="M986" i="11"/>
  <c r="R986" i="11"/>
  <c r="M987" i="11"/>
  <c r="R987" i="11" s="1"/>
  <c r="M988" i="11"/>
  <c r="R988" i="11" s="1"/>
  <c r="M989" i="11"/>
  <c r="R989" i="11"/>
  <c r="M990" i="11"/>
  <c r="R990" i="11" s="1"/>
  <c r="M991" i="11"/>
  <c r="R991" i="11"/>
  <c r="M992" i="11"/>
  <c r="R992" i="11"/>
  <c r="M993" i="11"/>
  <c r="R993" i="11" s="1"/>
  <c r="M994" i="11"/>
  <c r="R994" i="11" s="1"/>
  <c r="M995" i="11"/>
  <c r="R995" i="11"/>
  <c r="M996" i="11"/>
  <c r="R996" i="11" s="1"/>
  <c r="M997" i="11"/>
  <c r="R997" i="11"/>
  <c r="M998" i="11"/>
  <c r="R998" i="11"/>
  <c r="M999" i="11"/>
  <c r="R999" i="11" s="1"/>
  <c r="M1000" i="11"/>
  <c r="R1000" i="11" s="1"/>
  <c r="M1001" i="11"/>
  <c r="R1001" i="11"/>
  <c r="M1002" i="11"/>
  <c r="R1002" i="11" s="1"/>
  <c r="M1003" i="11"/>
  <c r="R1003" i="11"/>
  <c r="M1004" i="11"/>
  <c r="R1004" i="11"/>
  <c r="M1005" i="11"/>
  <c r="R1005" i="11" s="1"/>
  <c r="M1006" i="11"/>
  <c r="R1006" i="11" s="1"/>
  <c r="M1007" i="11"/>
  <c r="R1007" i="11"/>
  <c r="M1008" i="11"/>
  <c r="R1008" i="11" s="1"/>
  <c r="M1009" i="11"/>
  <c r="R1009" i="11"/>
  <c r="M1010" i="11"/>
  <c r="R1010" i="11"/>
  <c r="M1011" i="11"/>
  <c r="R1011" i="11" s="1"/>
  <c r="M1012" i="11"/>
  <c r="R1012" i="11" s="1"/>
  <c r="M1013" i="11"/>
  <c r="R1013" i="11"/>
  <c r="M1014" i="11"/>
  <c r="R1014" i="11" s="1"/>
  <c r="M1015" i="11"/>
  <c r="R1015" i="11"/>
  <c r="M1016" i="11"/>
  <c r="R1016" i="11"/>
  <c r="M1017" i="11"/>
  <c r="R1017" i="11" s="1"/>
  <c r="M1018" i="11"/>
  <c r="R1018" i="11" s="1"/>
  <c r="M1019" i="11"/>
  <c r="R1019" i="11"/>
  <c r="M1020" i="11"/>
  <c r="R1020" i="11" s="1"/>
  <c r="M1021" i="11"/>
  <c r="R1021" i="11"/>
  <c r="M1022" i="11"/>
  <c r="R1022" i="11"/>
  <c r="M1023" i="11"/>
  <c r="R1023" i="11" s="1"/>
  <c r="M1024" i="11"/>
  <c r="R1024" i="11" s="1"/>
  <c r="M1025" i="11"/>
  <c r="R1025" i="11"/>
  <c r="M1026" i="11"/>
  <c r="R1026" i="11" s="1"/>
  <c r="M1027" i="11"/>
  <c r="R1027" i="11"/>
  <c r="M1028" i="11"/>
  <c r="R1028" i="11"/>
  <c r="M1029" i="11"/>
  <c r="R1029" i="11" s="1"/>
  <c r="M1030" i="11"/>
  <c r="R1030" i="11" s="1"/>
  <c r="M1031" i="11"/>
  <c r="R1031" i="11"/>
  <c r="M1032" i="11"/>
  <c r="R1032" i="11" s="1"/>
  <c r="M1033" i="11"/>
  <c r="R1033" i="11"/>
  <c r="M1034" i="11"/>
  <c r="R1034" i="11"/>
  <c r="M1035" i="11"/>
  <c r="R1035" i="11" s="1"/>
  <c r="M1036" i="11"/>
  <c r="R1036" i="11" s="1"/>
  <c r="M1037" i="11"/>
  <c r="R1037" i="11"/>
  <c r="M1038" i="11"/>
  <c r="R1038" i="11" s="1"/>
  <c r="M1039" i="11"/>
  <c r="R1039" i="11"/>
  <c r="M1040" i="11"/>
  <c r="R1040" i="11"/>
  <c r="M1041" i="11"/>
  <c r="R1041" i="11" s="1"/>
  <c r="M1042" i="11"/>
  <c r="R1042" i="11" s="1"/>
  <c r="M1043" i="11"/>
  <c r="R1043" i="11"/>
  <c r="M1044" i="11"/>
  <c r="R1044" i="11" s="1"/>
  <c r="M1045" i="11"/>
  <c r="R1045" i="11"/>
  <c r="M1046" i="11"/>
  <c r="R1046" i="11"/>
  <c r="M1047" i="11"/>
  <c r="R1047" i="11" s="1"/>
  <c r="M1048" i="11"/>
  <c r="R1048" i="11" s="1"/>
  <c r="M1049" i="11"/>
  <c r="R1049" i="11"/>
  <c r="M1050" i="11"/>
  <c r="R1050" i="11" s="1"/>
  <c r="M1051" i="11"/>
  <c r="R1051" i="11"/>
  <c r="M1052" i="11"/>
  <c r="R1052" i="11"/>
  <c r="M1053" i="11"/>
  <c r="R1053" i="11" s="1"/>
  <c r="M1054" i="11"/>
  <c r="R1054" i="11" s="1"/>
  <c r="M1055" i="11"/>
  <c r="R1055" i="11"/>
  <c r="M1056" i="11"/>
  <c r="R1056" i="11" s="1"/>
  <c r="M1057" i="11"/>
  <c r="R1057" i="11"/>
  <c r="M1058" i="11"/>
  <c r="R1058" i="11"/>
  <c r="M1059" i="11"/>
  <c r="R1059" i="11" s="1"/>
  <c r="M1060" i="11"/>
  <c r="R1060" i="11" s="1"/>
  <c r="M1061" i="11"/>
  <c r="R1061" i="11"/>
  <c r="M1062" i="11"/>
  <c r="R1062" i="11" s="1"/>
  <c r="M1063" i="11"/>
  <c r="R1063" i="11"/>
  <c r="M1064" i="11"/>
  <c r="R1064" i="11"/>
  <c r="M1065" i="11"/>
  <c r="R1065" i="11" s="1"/>
  <c r="M1066" i="11"/>
  <c r="R1066" i="11" s="1"/>
  <c r="M1067" i="11"/>
  <c r="R1067" i="11"/>
  <c r="M1068" i="11"/>
  <c r="R1068" i="11" s="1"/>
  <c r="M1069" i="11"/>
  <c r="R1069" i="11"/>
  <c r="M1070" i="11"/>
  <c r="R1070" i="11"/>
  <c r="M1071" i="11"/>
  <c r="R1071" i="11" s="1"/>
  <c r="M1072" i="11"/>
  <c r="R1072" i="11" s="1"/>
  <c r="M1073" i="11"/>
  <c r="R1073" i="11"/>
  <c r="M1074" i="11"/>
  <c r="R1074" i="11" s="1"/>
  <c r="M1075" i="11"/>
  <c r="R1075" i="11"/>
  <c r="M1076" i="11"/>
  <c r="R1076" i="11"/>
  <c r="M1077" i="11"/>
  <c r="R1077" i="11" s="1"/>
  <c r="M1078" i="11"/>
  <c r="R1078" i="11" s="1"/>
  <c r="M1079" i="11"/>
  <c r="R1079" i="11"/>
  <c r="M1080" i="11"/>
  <c r="R1080" i="11" s="1"/>
  <c r="M1081" i="11"/>
  <c r="R1081" i="11"/>
  <c r="M1082" i="11"/>
  <c r="R1082" i="11"/>
  <c r="M1083" i="11"/>
  <c r="R1083" i="11" s="1"/>
  <c r="M1084" i="11"/>
  <c r="R1084" i="11" s="1"/>
  <c r="M1085" i="11"/>
  <c r="R1085" i="11"/>
  <c r="M1086" i="11"/>
  <c r="R1086" i="11" s="1"/>
  <c r="M1087" i="11"/>
  <c r="R1087" i="11"/>
  <c r="M1088" i="11"/>
  <c r="R1088" i="11"/>
  <c r="M1089" i="11"/>
  <c r="R1089" i="11" s="1"/>
  <c r="M1090" i="11"/>
  <c r="R1090" i="11" s="1"/>
  <c r="M1091" i="11"/>
  <c r="R1091" i="11"/>
  <c r="M1092" i="11"/>
  <c r="R1092" i="11"/>
  <c r="M1093" i="11"/>
  <c r="R1093" i="11"/>
  <c r="M1094" i="11"/>
  <c r="R1094" i="11"/>
  <c r="M1095" i="11"/>
  <c r="R1095" i="11"/>
  <c r="M1096" i="11"/>
  <c r="R1096" i="11" s="1"/>
  <c r="M1097" i="11"/>
  <c r="R1097" i="11"/>
  <c r="M1098" i="11"/>
  <c r="R1098" i="11"/>
  <c r="M1099" i="11"/>
  <c r="R1099" i="11"/>
  <c r="M1100" i="11"/>
  <c r="R1100" i="11"/>
  <c r="M1101" i="11"/>
  <c r="R1101" i="11"/>
  <c r="M1102" i="11"/>
  <c r="R1102" i="11" s="1"/>
  <c r="M1103" i="11"/>
  <c r="R1103" i="11"/>
  <c r="M1104" i="11"/>
  <c r="R1104" i="11" s="1"/>
  <c r="M1105" i="11"/>
  <c r="R1105" i="11"/>
  <c r="M1106" i="11"/>
  <c r="R1106" i="11"/>
  <c r="M1107" i="11"/>
  <c r="R1107" i="11" s="1"/>
  <c r="M1108" i="11"/>
  <c r="R1108" i="11" s="1"/>
  <c r="M1109" i="11"/>
  <c r="R1109" i="11"/>
  <c r="M1110" i="11"/>
  <c r="R1110" i="11"/>
  <c r="M1111" i="11"/>
  <c r="R1111" i="11"/>
  <c r="M1112" i="11"/>
  <c r="R1112" i="11"/>
  <c r="M1113" i="11"/>
  <c r="R1113" i="11"/>
  <c r="M1114" i="11"/>
  <c r="R1114" i="11" s="1"/>
  <c r="M1115" i="11"/>
  <c r="R1115" i="11"/>
  <c r="M1116" i="11"/>
  <c r="R1116" i="11"/>
  <c r="M1117" i="11"/>
  <c r="R1117" i="11"/>
  <c r="M1118" i="11"/>
  <c r="R1118" i="11"/>
  <c r="M1119" i="11"/>
  <c r="R1119" i="11"/>
  <c r="M1120" i="11"/>
  <c r="R1120" i="11" s="1"/>
  <c r="M1121" i="11"/>
  <c r="R1121" i="11"/>
  <c r="M1122" i="11"/>
  <c r="R1122" i="11" s="1"/>
  <c r="M1123" i="11"/>
  <c r="R1123" i="11"/>
  <c r="M1124" i="11"/>
  <c r="R1124" i="11"/>
  <c r="M1125" i="11"/>
  <c r="R1125" i="11" s="1"/>
  <c r="M1126" i="11"/>
  <c r="R1126" i="11" s="1"/>
  <c r="M1127" i="11"/>
  <c r="R1127" i="11"/>
  <c r="M1128" i="11"/>
  <c r="R1128" i="11"/>
  <c r="M1129" i="11"/>
  <c r="R1129" i="11"/>
  <c r="M1130" i="11"/>
  <c r="R1130" i="11"/>
  <c r="M1131" i="11"/>
  <c r="R1131" i="11"/>
  <c r="M1132" i="11"/>
  <c r="R1132" i="11" s="1"/>
  <c r="M1133" i="11"/>
  <c r="R1133" i="11"/>
  <c r="M1134" i="11"/>
  <c r="R1134" i="11"/>
  <c r="M1135" i="11"/>
  <c r="R1135" i="11"/>
  <c r="M1136" i="11"/>
  <c r="R1136" i="11"/>
  <c r="M1137" i="11"/>
  <c r="R1137" i="11"/>
  <c r="M1138" i="11"/>
  <c r="R1138" i="11" s="1"/>
  <c r="M1139" i="11"/>
  <c r="R1139" i="11"/>
  <c r="M1140" i="11"/>
  <c r="R1140" i="11" s="1"/>
  <c r="M1141" i="11"/>
  <c r="R1141" i="11"/>
  <c r="M1142" i="11"/>
  <c r="R1142" i="11"/>
  <c r="M1143" i="11"/>
  <c r="R1143" i="11" s="1"/>
  <c r="M1144" i="11"/>
  <c r="R1144" i="11" s="1"/>
  <c r="M1145" i="11"/>
  <c r="R1145" i="11"/>
  <c r="M1146" i="11"/>
  <c r="R1146" i="11"/>
  <c r="M1147" i="11"/>
  <c r="R1147" i="11"/>
  <c r="M1148" i="11"/>
  <c r="R1148" i="11"/>
  <c r="M1149" i="11"/>
  <c r="R1149" i="11"/>
  <c r="M1150" i="11"/>
  <c r="R1150" i="11" s="1"/>
  <c r="M1151" i="11"/>
  <c r="R1151" i="11"/>
  <c r="M1152" i="11"/>
  <c r="R1152" i="11"/>
  <c r="M1153" i="11"/>
  <c r="R1153" i="11"/>
  <c r="M1154" i="11"/>
  <c r="R1154" i="11"/>
  <c r="M1155" i="11"/>
  <c r="R1155" i="11"/>
  <c r="M1156" i="11"/>
  <c r="R1156" i="11" s="1"/>
  <c r="M1157" i="11"/>
  <c r="R1157" i="11"/>
  <c r="M1158" i="11"/>
  <c r="R1158" i="11" s="1"/>
  <c r="M1159" i="11"/>
  <c r="R1159" i="11"/>
  <c r="M1160" i="11"/>
  <c r="R1160" i="11"/>
  <c r="M1161" i="11"/>
  <c r="R1161" i="11" s="1"/>
  <c r="M1162" i="11"/>
  <c r="R1162" i="11" s="1"/>
  <c r="M1163" i="11"/>
  <c r="R1163" i="11"/>
  <c r="M1164" i="11"/>
  <c r="R1164" i="11"/>
  <c r="M1165" i="11"/>
  <c r="R1165" i="11"/>
  <c r="M1166" i="11"/>
  <c r="R1166" i="11"/>
  <c r="M1167" i="11"/>
  <c r="R1167" i="11"/>
  <c r="M1168" i="11"/>
  <c r="R1168" i="11" s="1"/>
  <c r="M1169" i="11"/>
  <c r="R1169" i="11"/>
  <c r="M1170" i="11"/>
  <c r="R1170" i="11"/>
  <c r="M1171" i="11"/>
  <c r="R1171" i="11"/>
  <c r="M1172" i="11"/>
  <c r="R1172" i="11"/>
  <c r="M1173" i="11"/>
  <c r="R1173" i="11"/>
  <c r="M1174" i="11"/>
  <c r="R1174" i="11" s="1"/>
  <c r="M1175" i="11"/>
  <c r="R1175" i="11"/>
  <c r="M1176" i="11"/>
  <c r="R1176" i="11" s="1"/>
  <c r="M1177" i="11"/>
  <c r="R1177" i="11"/>
  <c r="M1178" i="11"/>
  <c r="R1178" i="11"/>
  <c r="M1179" i="11"/>
  <c r="R1179" i="11" s="1"/>
  <c r="M1180" i="11"/>
  <c r="R1180" i="11" s="1"/>
  <c r="M1181" i="11"/>
  <c r="R1181" i="11"/>
  <c r="M1182" i="11"/>
  <c r="R1182" i="11"/>
  <c r="M1183" i="11"/>
  <c r="R1183" i="11"/>
  <c r="M1184" i="11"/>
  <c r="R1184" i="11"/>
  <c r="M1185" i="11"/>
  <c r="R1185" i="11"/>
  <c r="M1186" i="11"/>
  <c r="R1186" i="11" s="1"/>
  <c r="M1187" i="11"/>
  <c r="R1187" i="11"/>
  <c r="M1188" i="11"/>
  <c r="R1188" i="11"/>
  <c r="M1189" i="11"/>
  <c r="R1189" i="11"/>
  <c r="M1190" i="11"/>
  <c r="R1190" i="11"/>
  <c r="M1191" i="11"/>
  <c r="R1191" i="11"/>
  <c r="M1192" i="11"/>
  <c r="R1192" i="11" s="1"/>
  <c r="M1193" i="11"/>
  <c r="R1193" i="11"/>
  <c r="M1194" i="11"/>
  <c r="R1194" i="11" s="1"/>
  <c r="M1195" i="11"/>
  <c r="R1195" i="11"/>
  <c r="M1196" i="11"/>
  <c r="R1196" i="11"/>
  <c r="M1197" i="11"/>
  <c r="R1197" i="11" s="1"/>
  <c r="M1198" i="11"/>
  <c r="R1198" i="11" s="1"/>
  <c r="M1199" i="11"/>
  <c r="R1199" i="11"/>
  <c r="M1200" i="11"/>
  <c r="R1200" i="11"/>
  <c r="M1201" i="11"/>
  <c r="R1201" i="11"/>
  <c r="M1202" i="11"/>
  <c r="R1202" i="11"/>
  <c r="M1203" i="11"/>
  <c r="R1203" i="11"/>
  <c r="M1204" i="11"/>
  <c r="R1204" i="11" s="1"/>
  <c r="M1205" i="11"/>
  <c r="R1205" i="11"/>
  <c r="M1206" i="11"/>
  <c r="R1206" i="11"/>
  <c r="M1207" i="11"/>
  <c r="R1207" i="11"/>
  <c r="M1208" i="11"/>
  <c r="R1208" i="11"/>
  <c r="M1209" i="11"/>
  <c r="R1209" i="11"/>
  <c r="M1210" i="11"/>
  <c r="R1210" i="11" s="1"/>
  <c r="M1211" i="11"/>
  <c r="R1211" i="11"/>
  <c r="M1212" i="11"/>
  <c r="R1212" i="11" s="1"/>
  <c r="M1213" i="11"/>
  <c r="R1213" i="11"/>
  <c r="M1214" i="11"/>
  <c r="R1214" i="11"/>
  <c r="M1215" i="11"/>
  <c r="R1215" i="11" s="1"/>
  <c r="M1216" i="11"/>
  <c r="R1216" i="11" s="1"/>
  <c r="M1217" i="11"/>
  <c r="R1217" i="11"/>
  <c r="M1218" i="11"/>
  <c r="R1218" i="11"/>
  <c r="M1219" i="11"/>
  <c r="R1219" i="11"/>
  <c r="M1220" i="11"/>
  <c r="R1220" i="11"/>
  <c r="M1221" i="11"/>
  <c r="R1221" i="11"/>
  <c r="M1222" i="11"/>
  <c r="R1222" i="11" s="1"/>
  <c r="M1223" i="11"/>
  <c r="R1223" i="11"/>
  <c r="M1224" i="11"/>
  <c r="R1224" i="11"/>
  <c r="M1225" i="11"/>
  <c r="R1225" i="11"/>
  <c r="M1226" i="11"/>
  <c r="R1226" i="11"/>
  <c r="M1227" i="11"/>
  <c r="R1227" i="11"/>
  <c r="M1228" i="11"/>
  <c r="R1228" i="11" s="1"/>
  <c r="M1229" i="11"/>
  <c r="R1229" i="11"/>
  <c r="M1230" i="11"/>
  <c r="R1230" i="11" s="1"/>
  <c r="M1231" i="11"/>
  <c r="R1231" i="11"/>
  <c r="M1232" i="11"/>
  <c r="R1232" i="11"/>
  <c r="M1233" i="11"/>
  <c r="R1233" i="11" s="1"/>
  <c r="M1234" i="11"/>
  <c r="R1234" i="11" s="1"/>
  <c r="M1235" i="11"/>
  <c r="R1235" i="11"/>
  <c r="M1236" i="11"/>
  <c r="R1236" i="11"/>
  <c r="M1237" i="11"/>
  <c r="R1237" i="11"/>
  <c r="M1238" i="11"/>
  <c r="R1238" i="11"/>
  <c r="M1239" i="11"/>
  <c r="R1239" i="11"/>
  <c r="M1240" i="11"/>
  <c r="R1240" i="11" s="1"/>
  <c r="M1241" i="11"/>
  <c r="R1241" i="11"/>
  <c r="M1242" i="11"/>
  <c r="R1242" i="11"/>
  <c r="M1243" i="11"/>
  <c r="R1243" i="11"/>
  <c r="M1244" i="11"/>
  <c r="R1244" i="11"/>
  <c r="M1245" i="11"/>
  <c r="R1245" i="11"/>
  <c r="M1246" i="11"/>
  <c r="R1246" i="11" s="1"/>
  <c r="M1247" i="11"/>
  <c r="R1247" i="11"/>
  <c r="M1248" i="11"/>
  <c r="R1248" i="11" s="1"/>
  <c r="M1249" i="11"/>
  <c r="R1249" i="11"/>
  <c r="M1250" i="11"/>
  <c r="R1250" i="11"/>
  <c r="M1251" i="11"/>
  <c r="R1251" i="11" s="1"/>
  <c r="M1252" i="11"/>
  <c r="R1252" i="11" s="1"/>
  <c r="M1253" i="11"/>
  <c r="R1253" i="11"/>
  <c r="M1254" i="11"/>
  <c r="R1254" i="11"/>
  <c r="M1255" i="11"/>
  <c r="R1255" i="11"/>
  <c r="M1256" i="11"/>
  <c r="R1256" i="11"/>
  <c r="M1257" i="11"/>
  <c r="R1257" i="11"/>
  <c r="M1258" i="11"/>
  <c r="R1258" i="11" s="1"/>
  <c r="M1259" i="11"/>
  <c r="R1259" i="11"/>
  <c r="M1260" i="11"/>
  <c r="R1260" i="11"/>
  <c r="M1261" i="11"/>
  <c r="R1261" i="11"/>
  <c r="M1262" i="11"/>
  <c r="R1262" i="11"/>
  <c r="M1263" i="11"/>
  <c r="R1263" i="11"/>
  <c r="M1264" i="11"/>
  <c r="R1264" i="11" s="1"/>
  <c r="M1265" i="11"/>
  <c r="R1265" i="11"/>
  <c r="M1266" i="11"/>
  <c r="R1266" i="11" s="1"/>
  <c r="M1267" i="11"/>
  <c r="R1267" i="11"/>
  <c r="M1268" i="11"/>
  <c r="R1268" i="11"/>
  <c r="M1269" i="11"/>
  <c r="R1269" i="11" s="1"/>
  <c r="M1270" i="11"/>
  <c r="R1270" i="11" s="1"/>
  <c r="M1271" i="11"/>
  <c r="R1271" i="11"/>
  <c r="M1272" i="11"/>
  <c r="R1272" i="11"/>
  <c r="M1273" i="11"/>
  <c r="R1273" i="11"/>
  <c r="M1274" i="11"/>
  <c r="R1274" i="11"/>
  <c r="M1275" i="11"/>
  <c r="R1275" i="11"/>
  <c r="M1276" i="11"/>
  <c r="R1276" i="11" s="1"/>
  <c r="M1277" i="11"/>
  <c r="R1277" i="11"/>
  <c r="M1278" i="11"/>
  <c r="R1278" i="11"/>
  <c r="M1279" i="11"/>
  <c r="R1279" i="11"/>
  <c r="M1280" i="11"/>
  <c r="R1280" i="11"/>
  <c r="M1281" i="11"/>
  <c r="R1281" i="11"/>
  <c r="M1282" i="11"/>
  <c r="R1282" i="11" s="1"/>
  <c r="M1283" i="11"/>
  <c r="R1283" i="11"/>
  <c r="M1284" i="11"/>
  <c r="R1284" i="11" s="1"/>
  <c r="M1285" i="11"/>
  <c r="R1285" i="11"/>
  <c r="M1286" i="11"/>
  <c r="R1286" i="11"/>
  <c r="M1287" i="11"/>
  <c r="R1287" i="11" s="1"/>
  <c r="M1288" i="11"/>
  <c r="R1288" i="11" s="1"/>
  <c r="M1289" i="11"/>
  <c r="R1289" i="11"/>
  <c r="M1290" i="11"/>
  <c r="R1290" i="11"/>
  <c r="M1291" i="11"/>
  <c r="R1291" i="11"/>
  <c r="M1292" i="11"/>
  <c r="R1292" i="11"/>
  <c r="M1293" i="11"/>
  <c r="R1293" i="11"/>
  <c r="M1294" i="11"/>
  <c r="R1294" i="11" s="1"/>
  <c r="M1295" i="11"/>
  <c r="R1295" i="11"/>
  <c r="M1296" i="11"/>
  <c r="R1296" i="11"/>
  <c r="M1297" i="11"/>
  <c r="R1297" i="11"/>
  <c r="M1298" i="11"/>
  <c r="R1298" i="11"/>
  <c r="M1299" i="11"/>
  <c r="R1299" i="11"/>
  <c r="M1300" i="11"/>
  <c r="R1300" i="11" s="1"/>
  <c r="M1301" i="11"/>
  <c r="R1301" i="11"/>
  <c r="M1302" i="11"/>
  <c r="R1302" i="11" s="1"/>
  <c r="M1303" i="11"/>
  <c r="R1303" i="11"/>
  <c r="M1304" i="11"/>
  <c r="R1304" i="11"/>
  <c r="M1305" i="11"/>
  <c r="R1305" i="11" s="1"/>
  <c r="M1306" i="11"/>
  <c r="R1306" i="11" s="1"/>
  <c r="M1307" i="11"/>
  <c r="R1307" i="11"/>
  <c r="M1308" i="11"/>
  <c r="R1308" i="11"/>
  <c r="M1309" i="11"/>
  <c r="R1309" i="11"/>
  <c r="M1310" i="11"/>
  <c r="R1310" i="11"/>
  <c r="M1311" i="11"/>
  <c r="R1311" i="11"/>
  <c r="M1312" i="11"/>
  <c r="R1312" i="11" s="1"/>
  <c r="M1313" i="11"/>
  <c r="R1313" i="11"/>
  <c r="M1314" i="11"/>
  <c r="R1314" i="11"/>
  <c r="M1315" i="11"/>
  <c r="R1315" i="11"/>
  <c r="M1316" i="11"/>
  <c r="R1316" i="11"/>
  <c r="M1317" i="11"/>
  <c r="R1317" i="11"/>
  <c r="M1318" i="11"/>
  <c r="R1318" i="11" s="1"/>
  <c r="M1319" i="11"/>
  <c r="R1319" i="11"/>
  <c r="M1320" i="11"/>
  <c r="R1320" i="11" s="1"/>
  <c r="M1321" i="11"/>
  <c r="R1321" i="11"/>
  <c r="M1322" i="11"/>
  <c r="R1322" i="11"/>
  <c r="M1323" i="11"/>
  <c r="R1323" i="11" s="1"/>
  <c r="M1324" i="11"/>
  <c r="R1324" i="11" s="1"/>
  <c r="M1325" i="11"/>
  <c r="R1325" i="11"/>
  <c r="M1326" i="11"/>
  <c r="R1326" i="11"/>
  <c r="M1327" i="11"/>
  <c r="R1327" i="11"/>
  <c r="M1328" i="11"/>
  <c r="R1328" i="11"/>
  <c r="M1329" i="11"/>
  <c r="R1329" i="11"/>
  <c r="M1330" i="11"/>
  <c r="R1330" i="11" s="1"/>
  <c r="M1331" i="11"/>
  <c r="R1331" i="11"/>
  <c r="M1332" i="11"/>
  <c r="R1332" i="11"/>
  <c r="M1333" i="11"/>
  <c r="R1333" i="11"/>
  <c r="M1334" i="11"/>
  <c r="R1334" i="11"/>
  <c r="M1335" i="11"/>
  <c r="R1335" i="11"/>
  <c r="M1336" i="11"/>
  <c r="R1336" i="11" s="1"/>
  <c r="M1337" i="11"/>
  <c r="R1337" i="11"/>
  <c r="M1338" i="11"/>
  <c r="R1338" i="11" s="1"/>
  <c r="M1339" i="11"/>
  <c r="R1339" i="11"/>
  <c r="M1340" i="11"/>
  <c r="R1340" i="11"/>
  <c r="M1341" i="11"/>
  <c r="R1341" i="11" s="1"/>
  <c r="M1342" i="11"/>
  <c r="R1342" i="11" s="1"/>
  <c r="M1343" i="11"/>
  <c r="R1343" i="11"/>
  <c r="M1344" i="11"/>
  <c r="R1344" i="11"/>
  <c r="M1345" i="11"/>
  <c r="R1345" i="11"/>
  <c r="M1346" i="11"/>
  <c r="R1346" i="11"/>
  <c r="M1347" i="11"/>
  <c r="R1347" i="11"/>
  <c r="M1348" i="11"/>
  <c r="R1348" i="11" s="1"/>
  <c r="M1349" i="11"/>
  <c r="R1349" i="11"/>
  <c r="M1350" i="11"/>
  <c r="R1350" i="11"/>
  <c r="M1351" i="11"/>
  <c r="R1351" i="11"/>
  <c r="M1352" i="11"/>
  <c r="R1352" i="11"/>
  <c r="M1353" i="11"/>
  <c r="R1353" i="11"/>
  <c r="M1354" i="11"/>
  <c r="R1354" i="11" s="1"/>
  <c r="M1355" i="11"/>
  <c r="R1355" i="11"/>
  <c r="M1356" i="11"/>
  <c r="R1356" i="11" s="1"/>
  <c r="M1357" i="11"/>
  <c r="R1357" i="11"/>
  <c r="M1358" i="11"/>
  <c r="R1358" i="11"/>
  <c r="M1359" i="11"/>
  <c r="R1359" i="11" s="1"/>
  <c r="M1360" i="11"/>
  <c r="R1360" i="11" s="1"/>
  <c r="M1361" i="11"/>
  <c r="R1361" i="11"/>
  <c r="M1362" i="11"/>
  <c r="R1362" i="11"/>
  <c r="M1363" i="11"/>
  <c r="R1363" i="11"/>
  <c r="M1364" i="11"/>
  <c r="R1364" i="11"/>
  <c r="M1365" i="11"/>
  <c r="R1365" i="11"/>
  <c r="M1366" i="11"/>
  <c r="R1366" i="11" s="1"/>
  <c r="M1367" i="11"/>
  <c r="R1367" i="11"/>
  <c r="M1368" i="11"/>
  <c r="R1368" i="11"/>
  <c r="M1369" i="11"/>
  <c r="R1369" i="11"/>
  <c r="M1370" i="11"/>
  <c r="R1370" i="11"/>
  <c r="M1371" i="11"/>
  <c r="R1371" i="11"/>
  <c r="M1372" i="11"/>
  <c r="R1372" i="11" s="1"/>
  <c r="M1373" i="11"/>
  <c r="R1373" i="11"/>
  <c r="M1374" i="11"/>
  <c r="R1374" i="11" s="1"/>
  <c r="M1375" i="11"/>
  <c r="R1375" i="11"/>
  <c r="M1376" i="11"/>
  <c r="R1376" i="11"/>
  <c r="M1377" i="11"/>
  <c r="R1377" i="11" s="1"/>
  <c r="M1378" i="11"/>
  <c r="R1378" i="11" s="1"/>
  <c r="M1379" i="11"/>
  <c r="R1379" i="11"/>
  <c r="M1380" i="11"/>
  <c r="R1380" i="11"/>
  <c r="M1381" i="11"/>
  <c r="R1381" i="11"/>
  <c r="M1382" i="11"/>
  <c r="R1382" i="11"/>
  <c r="M1383" i="11"/>
  <c r="R1383" i="11"/>
  <c r="M1384" i="11"/>
  <c r="R1384" i="11" s="1"/>
  <c r="M1385" i="11"/>
  <c r="R1385" i="11"/>
  <c r="M1386" i="11"/>
  <c r="R1386" i="11"/>
  <c r="M1387" i="11"/>
  <c r="R1387" i="11"/>
  <c r="M1388" i="11"/>
  <c r="R1388" i="11"/>
  <c r="M1389" i="11"/>
  <c r="R1389" i="11"/>
  <c r="M1390" i="11"/>
  <c r="R1390" i="11" s="1"/>
  <c r="M1391" i="11"/>
  <c r="R1391" i="11"/>
  <c r="M1392" i="11"/>
  <c r="R1392" i="11" s="1"/>
  <c r="M1393" i="11"/>
  <c r="R1393" i="11"/>
  <c r="M1394" i="11"/>
  <c r="R1394" i="11"/>
  <c r="M1395" i="11"/>
  <c r="R1395" i="11" s="1"/>
  <c r="M1396" i="11"/>
  <c r="R1396" i="11" s="1"/>
  <c r="M1397" i="11"/>
  <c r="R1397" i="11"/>
  <c r="M1398" i="11"/>
  <c r="R1398" i="11"/>
  <c r="M1399" i="11"/>
  <c r="R1399" i="11"/>
  <c r="M1400" i="11"/>
  <c r="R1400" i="11"/>
  <c r="M1401" i="11"/>
  <c r="R1401" i="11"/>
  <c r="M1402" i="11"/>
  <c r="R1402" i="11" s="1"/>
  <c r="M1403" i="11"/>
  <c r="R1403" i="11"/>
  <c r="M1404" i="11"/>
  <c r="R1404" i="11"/>
  <c r="M1405" i="11"/>
  <c r="R1405" i="11"/>
  <c r="M1406" i="11"/>
  <c r="R1406" i="11"/>
  <c r="M1407" i="11"/>
  <c r="R1407" i="11"/>
  <c r="M1408" i="11"/>
  <c r="R1408" i="11" s="1"/>
  <c r="M1409" i="11"/>
  <c r="R1409" i="11"/>
  <c r="M1410" i="11"/>
  <c r="R1410" i="11" s="1"/>
  <c r="M1411" i="11"/>
  <c r="R1411" i="11"/>
  <c r="M1412" i="11"/>
  <c r="R1412" i="11"/>
  <c r="M1413" i="11"/>
  <c r="R1413" i="11" s="1"/>
  <c r="M1414" i="11"/>
  <c r="R1414" i="11" s="1"/>
  <c r="M1415" i="11"/>
  <c r="R1415" i="11"/>
  <c r="M1416" i="11"/>
  <c r="R1416" i="11"/>
  <c r="M1417" i="11"/>
  <c r="R1417" i="11"/>
  <c r="M1418" i="11"/>
  <c r="R1418" i="11"/>
  <c r="M1419" i="11"/>
  <c r="R1419" i="11"/>
  <c r="M1420" i="11"/>
  <c r="R1420" i="11" s="1"/>
  <c r="M1421" i="11"/>
  <c r="R1421" i="11"/>
  <c r="M1422" i="11"/>
  <c r="R1422" i="11"/>
  <c r="M1423" i="11"/>
  <c r="R1423" i="11"/>
  <c r="M1424" i="11"/>
  <c r="R1424" i="11"/>
  <c r="M1425" i="11"/>
  <c r="R1425" i="11"/>
  <c r="M1426" i="11"/>
  <c r="R1426" i="11" s="1"/>
  <c r="M1427" i="11"/>
  <c r="R1427" i="11"/>
  <c r="M1428" i="11"/>
  <c r="R1428" i="11" s="1"/>
  <c r="M1429" i="11"/>
  <c r="R1429" i="11"/>
  <c r="M1430" i="11"/>
  <c r="R1430" i="11"/>
  <c r="M1431" i="11"/>
  <c r="R1431" i="11" s="1"/>
  <c r="M1432" i="11"/>
  <c r="R1432" i="11" s="1"/>
  <c r="M1433" i="11"/>
  <c r="R1433" i="11"/>
  <c r="M1434" i="11"/>
  <c r="R1434" i="11" s="1"/>
  <c r="M1435" i="11"/>
  <c r="R1435" i="11"/>
  <c r="M1436" i="11"/>
  <c r="R1436" i="11"/>
  <c r="M1437" i="11"/>
  <c r="R1437" i="11"/>
  <c r="M1438" i="11"/>
  <c r="R1438" i="11" s="1"/>
  <c r="M1439" i="11"/>
  <c r="R1439" i="11"/>
  <c r="M1440" i="11"/>
  <c r="R1440" i="11"/>
  <c r="M1441" i="11"/>
  <c r="R1441" i="11"/>
  <c r="M1442" i="11"/>
  <c r="R1442" i="11"/>
  <c r="M1443" i="11"/>
  <c r="R1443" i="11" s="1"/>
  <c r="M1444" i="11"/>
  <c r="R1444" i="11" s="1"/>
  <c r="M1445" i="11"/>
  <c r="R1445" i="11"/>
  <c r="M1446" i="11"/>
  <c r="R1446" i="11" s="1"/>
  <c r="M1447" i="11"/>
  <c r="R1447" i="11"/>
  <c r="M1448" i="11"/>
  <c r="R1448" i="11"/>
  <c r="M1449" i="11"/>
  <c r="R1449" i="11" s="1"/>
  <c r="M1450" i="11"/>
  <c r="R1450" i="11" s="1"/>
  <c r="M1451" i="11"/>
  <c r="R1451" i="11"/>
  <c r="M1452" i="11"/>
  <c r="R1452" i="11"/>
  <c r="M1453" i="11"/>
  <c r="R1453" i="11"/>
  <c r="M1454" i="11"/>
  <c r="R1454" i="11"/>
  <c r="M1455" i="11"/>
  <c r="R1455" i="11"/>
  <c r="M1456" i="11"/>
  <c r="R1456" i="11" s="1"/>
  <c r="M1457" i="11"/>
  <c r="R1457" i="11"/>
  <c r="M1458" i="11"/>
  <c r="R1458" i="11"/>
  <c r="M1459" i="11"/>
  <c r="R1459" i="11"/>
  <c r="M1460" i="11"/>
  <c r="R1460" i="11"/>
  <c r="M1461" i="11"/>
  <c r="R1461" i="11"/>
  <c r="M1462" i="11"/>
  <c r="R1462" i="11" s="1"/>
  <c r="M1463" i="11"/>
  <c r="R1463" i="11"/>
  <c r="M1464" i="11"/>
  <c r="R1464" i="11" s="1"/>
  <c r="M1465" i="11"/>
  <c r="R1465" i="11"/>
  <c r="M1466" i="11"/>
  <c r="R1466" i="11"/>
  <c r="M1467" i="11"/>
  <c r="R1467" i="11" s="1"/>
  <c r="M1468" i="11"/>
  <c r="R1468" i="11" s="1"/>
  <c r="M1469" i="11"/>
  <c r="R1469" i="11"/>
  <c r="M1470" i="11"/>
  <c r="R1470" i="11"/>
  <c r="M1471" i="11"/>
  <c r="R1471" i="11"/>
  <c r="M1472" i="11"/>
  <c r="R1472" i="11"/>
  <c r="M1473" i="11"/>
  <c r="R1473" i="11"/>
  <c r="M1474" i="11"/>
  <c r="R1474" i="11" s="1"/>
  <c r="M1475" i="11"/>
  <c r="R1475" i="11"/>
  <c r="M1476" i="11"/>
  <c r="R1476" i="11" s="1"/>
  <c r="M1477" i="11"/>
  <c r="R1477" i="11" s="1"/>
  <c r="M1478" i="11"/>
  <c r="R1478" i="11"/>
  <c r="M1479" i="11"/>
  <c r="R1479" i="11" s="1"/>
  <c r="M1480" i="11"/>
  <c r="R1480" i="11" s="1"/>
  <c r="M1481" i="11"/>
  <c r="R1481" i="11"/>
  <c r="M1482" i="11"/>
  <c r="R1482" i="11" s="1"/>
  <c r="M1483" i="11"/>
  <c r="R1483" i="11"/>
  <c r="M1484" i="11"/>
  <c r="R1484" i="11"/>
  <c r="M1485" i="11"/>
  <c r="R1485" i="11" s="1"/>
  <c r="M1486" i="11"/>
  <c r="R1486" i="11" s="1"/>
  <c r="M1487" i="11"/>
  <c r="R1487" i="11" s="1"/>
  <c r="M1488" i="11"/>
  <c r="R1488" i="11"/>
  <c r="M1489" i="11"/>
  <c r="R1489" i="11" s="1"/>
  <c r="M1490" i="11"/>
  <c r="R1490" i="11"/>
  <c r="M1491" i="11"/>
  <c r="R1491" i="11"/>
  <c r="M1492" i="11"/>
  <c r="R1492" i="11" s="1"/>
  <c r="M1493" i="11"/>
  <c r="R1493" i="11"/>
  <c r="M1494" i="11"/>
  <c r="R1494" i="11"/>
  <c r="M1495" i="11"/>
  <c r="R1495" i="11" s="1"/>
  <c r="M1496" i="11"/>
  <c r="R1496" i="11"/>
  <c r="M1497" i="11"/>
  <c r="R1497" i="11"/>
  <c r="M1498" i="11"/>
  <c r="R1498" i="11" s="1"/>
  <c r="M1499" i="11"/>
  <c r="R1499" i="11" s="1"/>
  <c r="M1500" i="11"/>
  <c r="R1500" i="11" s="1"/>
  <c r="M1501" i="11"/>
  <c r="R1501" i="11"/>
  <c r="M1502" i="11"/>
  <c r="R1502" i="11"/>
  <c r="M1503" i="11"/>
  <c r="R1503" i="11" s="1"/>
  <c r="M1504" i="11"/>
  <c r="R1504" i="11" s="1"/>
  <c r="M1505" i="11"/>
  <c r="R1505" i="11" s="1"/>
  <c r="M1506" i="11"/>
  <c r="R1506" i="11"/>
  <c r="M1507" i="11"/>
  <c r="R1507" i="11"/>
  <c r="M1508" i="11"/>
  <c r="R1508" i="11"/>
  <c r="M1509" i="11"/>
  <c r="R1509" i="11"/>
  <c r="M1510" i="11"/>
  <c r="R1510" i="11" s="1"/>
  <c r="M1511" i="11"/>
  <c r="R1511" i="11"/>
  <c r="M1512" i="11"/>
  <c r="R1512" i="11" s="1"/>
  <c r="M1513" i="11"/>
  <c r="R1513" i="11" s="1"/>
  <c r="M1514" i="11"/>
  <c r="R1514" i="11"/>
  <c r="M1515" i="11"/>
  <c r="R1515" i="11" s="1"/>
  <c r="M1516" i="11"/>
  <c r="R1516" i="11" s="1"/>
  <c r="M1517" i="11"/>
  <c r="R1517" i="11"/>
  <c r="M1518" i="11"/>
  <c r="R1518" i="11" s="1"/>
  <c r="M1519" i="11"/>
  <c r="R1519" i="11"/>
  <c r="M1520" i="11"/>
  <c r="R1520" i="11"/>
  <c r="M1521" i="11"/>
  <c r="R1521" i="11" s="1"/>
  <c r="M1522" i="11"/>
  <c r="R1522" i="11" s="1"/>
  <c r="M1523" i="11"/>
  <c r="R1523" i="11" s="1"/>
  <c r="M1524" i="11"/>
  <c r="R1524" i="11"/>
  <c r="M1525" i="11"/>
  <c r="R1525" i="11" s="1"/>
  <c r="M1526" i="11"/>
  <c r="R1526" i="11"/>
  <c r="M1527" i="11"/>
  <c r="R1527" i="11"/>
  <c r="M1528" i="11"/>
  <c r="R1528" i="11" s="1"/>
  <c r="M1529" i="11"/>
  <c r="R1529" i="11"/>
  <c r="M1530" i="11"/>
  <c r="R1530" i="11"/>
  <c r="M1531" i="11"/>
  <c r="R1531" i="11" s="1"/>
  <c r="M1532" i="11"/>
  <c r="R1532" i="11"/>
  <c r="M1533" i="11"/>
  <c r="R1533" i="11"/>
  <c r="M1534" i="11"/>
  <c r="R1534" i="11" s="1"/>
  <c r="M1535" i="11"/>
  <c r="R1535" i="11" s="1"/>
  <c r="M1536" i="11"/>
  <c r="R1536" i="11" s="1"/>
  <c r="M1537" i="11"/>
  <c r="R1537" i="11"/>
  <c r="M1538" i="11"/>
  <c r="R1538" i="11"/>
  <c r="M1539" i="11"/>
  <c r="R1539" i="11" s="1"/>
  <c r="M1540" i="11"/>
  <c r="R1540" i="11" s="1"/>
  <c r="M1541" i="11"/>
  <c r="R1541" i="11" s="1"/>
  <c r="M1542" i="11"/>
  <c r="R1542" i="11"/>
  <c r="M1543" i="11"/>
  <c r="R1543" i="11"/>
  <c r="M1544" i="11"/>
  <c r="R1544" i="11"/>
  <c r="M1545" i="11"/>
  <c r="R1545" i="11"/>
  <c r="M1546" i="11"/>
  <c r="R1546" i="11" s="1"/>
  <c r="M1547" i="11"/>
  <c r="R1547" i="11"/>
  <c r="M1548" i="11"/>
  <c r="R1548" i="11" s="1"/>
  <c r="M1549" i="11"/>
  <c r="R1549" i="11" s="1"/>
  <c r="M1550" i="11"/>
  <c r="R1550" i="11"/>
  <c r="M1551" i="11"/>
  <c r="R1551" i="11" s="1"/>
  <c r="M1552" i="11"/>
  <c r="R1552" i="11" s="1"/>
  <c r="M1553" i="11"/>
  <c r="R1553" i="11"/>
  <c r="M1554" i="11"/>
  <c r="R1554" i="11" s="1"/>
  <c r="M1555" i="11"/>
  <c r="R1555" i="11"/>
  <c r="M1556" i="11"/>
  <c r="R1556" i="11"/>
  <c r="M1557" i="11"/>
  <c r="R1557" i="11" s="1"/>
  <c r="M1558" i="11"/>
  <c r="R1558" i="11" s="1"/>
  <c r="M1559" i="11"/>
  <c r="R1559" i="11" s="1"/>
  <c r="M1560" i="11"/>
  <c r="R1560" i="11"/>
  <c r="M1561" i="11"/>
  <c r="R1561" i="11" s="1"/>
  <c r="M1562" i="11"/>
  <c r="R1562" i="11"/>
  <c r="M1563" i="11"/>
  <c r="R1563" i="11"/>
  <c r="M1564" i="11"/>
  <c r="R1564" i="11" s="1"/>
  <c r="M1565" i="11"/>
  <c r="R1565" i="11"/>
  <c r="M1566" i="11"/>
  <c r="R1566" i="11"/>
  <c r="M1567" i="11"/>
  <c r="R1567" i="11" s="1"/>
  <c r="M1568" i="11"/>
  <c r="R1568" i="11"/>
  <c r="M1569" i="11"/>
  <c r="R1569" i="11"/>
  <c r="M1570" i="11"/>
  <c r="R1570" i="11" s="1"/>
  <c r="M1571" i="11"/>
  <c r="R1571" i="11" s="1"/>
  <c r="M1572" i="11"/>
  <c r="R1572" i="11" s="1"/>
  <c r="M1573" i="11"/>
  <c r="R1573" i="11"/>
  <c r="M1574" i="11"/>
  <c r="R1574" i="11"/>
  <c r="M1575" i="11"/>
  <c r="R1575" i="11" s="1"/>
  <c r="M1576" i="11"/>
  <c r="R1576" i="11" s="1"/>
  <c r="M1577" i="11"/>
  <c r="R1577" i="11" s="1"/>
  <c r="M1578" i="11"/>
  <c r="R1578" i="11"/>
  <c r="M1579" i="11"/>
  <c r="R1579" i="11"/>
  <c r="M1580" i="11"/>
  <c r="R1580" i="11"/>
  <c r="M1581" i="11"/>
  <c r="R1581" i="11"/>
  <c r="M1582" i="11"/>
  <c r="R1582" i="11" s="1"/>
  <c r="M1583" i="11"/>
  <c r="R1583" i="11"/>
  <c r="M1584" i="11"/>
  <c r="R1584" i="11" s="1"/>
  <c r="M1585" i="11"/>
  <c r="R1585" i="11" s="1"/>
  <c r="M1586" i="11"/>
  <c r="R1586" i="11"/>
  <c r="M1587" i="11"/>
  <c r="R1587" i="11" s="1"/>
  <c r="M1588" i="11"/>
  <c r="R1588" i="11" s="1"/>
  <c r="M1589" i="11"/>
  <c r="R1589" i="11"/>
  <c r="M1590" i="11"/>
  <c r="R1590" i="11" s="1"/>
  <c r="M1591" i="11"/>
  <c r="R1591" i="11"/>
  <c r="M1592" i="11"/>
  <c r="R1592" i="11"/>
  <c r="M1593" i="11"/>
  <c r="R1593" i="11" s="1"/>
  <c r="M1594" i="11"/>
  <c r="R1594" i="11" s="1"/>
  <c r="M1595" i="11"/>
  <c r="R1595" i="11" s="1"/>
  <c r="M1596" i="11"/>
  <c r="R1596" i="11"/>
  <c r="M1597" i="11"/>
  <c r="R1597" i="11" s="1"/>
  <c r="M1598" i="11"/>
  <c r="R1598" i="11"/>
  <c r="M1599" i="11"/>
  <c r="R1599" i="11"/>
  <c r="M1600" i="11"/>
  <c r="R1600" i="11" s="1"/>
  <c r="M1601" i="11"/>
  <c r="R1601" i="11"/>
  <c r="M1602" i="11"/>
  <c r="R1602" i="11"/>
  <c r="M1603" i="11"/>
  <c r="R1603" i="11" s="1"/>
  <c r="M1604" i="11"/>
  <c r="R1604" i="11"/>
  <c r="M1605" i="11"/>
  <c r="R1605" i="11"/>
  <c r="M1606" i="11"/>
  <c r="R1606" i="11" s="1"/>
  <c r="M1607" i="11"/>
  <c r="R1607" i="11"/>
  <c r="M1608" i="11"/>
  <c r="R1608" i="11"/>
  <c r="M1609" i="11"/>
  <c r="R1609" i="11" s="1"/>
  <c r="M1610" i="11"/>
  <c r="R1610" i="11"/>
  <c r="M1611" i="11"/>
  <c r="R1611" i="11"/>
  <c r="M1612" i="11"/>
  <c r="R1612" i="11" s="1"/>
  <c r="M1613" i="11"/>
  <c r="R1613" i="11"/>
  <c r="M1614" i="11"/>
  <c r="R1614" i="11"/>
  <c r="M1615" i="11"/>
  <c r="R1615" i="11" s="1"/>
  <c r="M1616" i="11"/>
  <c r="R1616" i="11"/>
  <c r="M1617" i="11"/>
  <c r="R1617" i="11"/>
  <c r="M1618" i="11"/>
  <c r="R1618" i="11" s="1"/>
  <c r="M1619" i="11"/>
  <c r="R1619" i="11"/>
  <c r="M1620" i="11"/>
  <c r="R1620" i="11"/>
  <c r="M1621" i="11"/>
  <c r="R1621" i="11" s="1"/>
  <c r="M1622" i="11"/>
  <c r="R1622" i="11"/>
  <c r="M1623" i="11"/>
  <c r="R1623" i="11"/>
  <c r="M1624" i="11"/>
  <c r="R1624" i="11" s="1"/>
  <c r="M1625" i="11"/>
  <c r="R1625" i="11"/>
  <c r="M1626" i="11"/>
  <c r="R1626" i="11"/>
  <c r="M1627" i="11"/>
  <c r="R1627" i="11" s="1"/>
  <c r="M1628" i="11"/>
  <c r="R1628" i="11"/>
  <c r="M1629" i="11"/>
  <c r="R1629" i="11"/>
  <c r="M1630" i="11"/>
  <c r="R1630" i="11" s="1"/>
  <c r="M1631" i="11"/>
  <c r="R1631" i="11"/>
  <c r="M1632" i="11"/>
  <c r="R1632" i="11"/>
  <c r="M1633" i="11"/>
  <c r="R1633" i="11" s="1"/>
  <c r="M1634" i="11"/>
  <c r="R1634" i="11"/>
  <c r="M1635" i="11"/>
  <c r="R1635" i="11"/>
  <c r="M1636" i="11"/>
  <c r="R1636" i="11" s="1"/>
  <c r="M1637" i="11"/>
  <c r="R1637" i="11"/>
  <c r="M1638" i="11"/>
  <c r="R1638" i="11"/>
  <c r="M1639" i="11"/>
  <c r="R1639" i="11" s="1"/>
  <c r="M1640" i="11"/>
  <c r="R1640" i="11"/>
  <c r="M1641" i="11"/>
  <c r="R1641" i="11"/>
  <c r="M1642" i="11"/>
  <c r="R1642" i="11" s="1"/>
  <c r="M1643" i="11"/>
  <c r="R1643" i="11"/>
  <c r="M1644" i="11"/>
  <c r="R1644" i="11"/>
  <c r="M1645" i="11"/>
  <c r="R1645" i="11" s="1"/>
  <c r="M1646" i="11"/>
  <c r="R1646" i="11"/>
  <c r="M1647" i="11"/>
  <c r="R1647" i="11"/>
  <c r="M1648" i="11"/>
  <c r="R1648" i="11" s="1"/>
  <c r="M1649" i="11"/>
  <c r="R1649" i="11"/>
  <c r="M1650" i="11"/>
  <c r="R1650" i="11"/>
  <c r="M1651" i="11"/>
  <c r="R1651" i="11" s="1"/>
  <c r="M1652" i="11"/>
  <c r="R1652" i="11"/>
  <c r="M1653" i="11"/>
  <c r="R1653" i="11"/>
  <c r="M1654" i="11"/>
  <c r="R1654" i="11" s="1"/>
  <c r="M1655" i="11"/>
  <c r="R1655" i="11"/>
  <c r="M1656" i="11"/>
  <c r="R1656" i="11"/>
  <c r="M1657" i="11"/>
  <c r="R1657" i="11" s="1"/>
  <c r="M1658" i="11"/>
  <c r="R1658" i="11"/>
  <c r="M1659" i="11"/>
  <c r="R1659" i="11"/>
  <c r="M1660" i="11"/>
  <c r="R1660" i="11" s="1"/>
  <c r="M1661" i="11"/>
  <c r="R1661" i="11"/>
  <c r="M1662" i="11"/>
  <c r="R1662" i="11"/>
  <c r="M1663" i="11"/>
  <c r="R1663" i="11" s="1"/>
  <c r="M1664" i="11"/>
  <c r="R1664" i="11"/>
  <c r="M1665" i="11"/>
  <c r="R1665" i="11"/>
  <c r="M1666" i="11"/>
  <c r="R1666" i="11" s="1"/>
  <c r="M1667" i="11"/>
  <c r="R1667" i="11"/>
  <c r="M1668" i="11"/>
  <c r="R1668" i="11"/>
  <c r="M1669" i="11"/>
  <c r="R1669" i="11" s="1"/>
  <c r="M1670" i="11"/>
  <c r="R1670" i="11"/>
  <c r="M1671" i="11"/>
  <c r="R1671" i="11"/>
  <c r="M1672" i="11"/>
  <c r="R1672" i="11" s="1"/>
  <c r="M1673" i="11"/>
  <c r="R1673" i="11"/>
  <c r="M1674" i="11"/>
  <c r="R1674" i="11"/>
  <c r="M1675" i="11"/>
  <c r="R1675" i="11" s="1"/>
  <c r="M1676" i="11"/>
  <c r="R1676" i="11"/>
  <c r="M1677" i="11"/>
  <c r="R1677" i="11"/>
  <c r="M1678" i="11"/>
  <c r="R1678" i="11" s="1"/>
  <c r="M1679" i="11"/>
  <c r="R1679" i="11"/>
  <c r="M1680" i="11"/>
  <c r="R1680" i="11"/>
  <c r="M1681" i="11"/>
  <c r="R1681" i="11" s="1"/>
  <c r="M1682" i="11"/>
  <c r="R1682" i="11"/>
  <c r="M1683" i="11"/>
  <c r="R1683" i="11"/>
  <c r="M1684" i="11"/>
  <c r="R1684" i="11" s="1"/>
  <c r="M1685" i="11"/>
  <c r="R1685" i="11"/>
  <c r="M1686" i="11"/>
  <c r="R1686" i="11"/>
  <c r="M1687" i="11"/>
  <c r="R1687" i="11" s="1"/>
  <c r="M1688" i="11"/>
  <c r="R1688" i="11"/>
  <c r="M1689" i="11"/>
  <c r="R1689" i="11"/>
  <c r="M1690" i="11"/>
  <c r="R1690" i="11" s="1"/>
  <c r="M1691" i="11"/>
  <c r="R1691" i="11"/>
  <c r="M1692" i="11"/>
  <c r="R1692" i="11"/>
  <c r="M1693" i="11"/>
  <c r="R1693" i="11" s="1"/>
  <c r="M1694" i="11"/>
  <c r="R1694" i="11"/>
  <c r="M1695" i="11"/>
  <c r="R1695" i="11"/>
  <c r="M1696" i="11"/>
  <c r="R1696" i="11" s="1"/>
  <c r="M1697" i="11"/>
  <c r="R1697" i="11"/>
  <c r="M1698" i="11"/>
  <c r="R1698" i="11"/>
  <c r="M1699" i="11"/>
  <c r="R1699" i="11" s="1"/>
  <c r="M1700" i="11"/>
  <c r="R1700" i="11"/>
  <c r="M1701" i="11"/>
  <c r="R1701" i="11"/>
  <c r="M1702" i="11"/>
  <c r="R1702" i="11" s="1"/>
  <c r="M1703" i="11"/>
  <c r="R1703" i="11"/>
  <c r="M1704" i="11"/>
  <c r="R1704" i="11"/>
  <c r="M1705" i="11"/>
  <c r="R1705" i="11" s="1"/>
  <c r="M1706" i="11"/>
  <c r="R1706" i="11"/>
  <c r="M1707" i="11"/>
  <c r="R1707" i="11"/>
  <c r="M1708" i="11"/>
  <c r="R1708" i="11" s="1"/>
  <c r="M1709" i="11"/>
  <c r="R1709" i="11"/>
  <c r="M1710" i="11"/>
  <c r="R1710" i="11"/>
  <c r="M1711" i="11"/>
  <c r="R1711" i="11" s="1"/>
  <c r="M1712" i="11"/>
  <c r="R1712" i="11"/>
  <c r="M1713" i="11"/>
  <c r="R1713" i="11"/>
  <c r="M1714" i="11"/>
  <c r="R1714" i="11" s="1"/>
  <c r="M1715" i="11"/>
  <c r="R1715" i="11"/>
  <c r="M1716" i="11"/>
  <c r="R1716" i="11"/>
  <c r="M1717" i="11"/>
  <c r="R1717" i="11" s="1"/>
  <c r="M1718" i="11"/>
  <c r="R1718" i="11"/>
  <c r="M1719" i="11"/>
  <c r="R1719" i="11"/>
  <c r="M1720" i="11"/>
  <c r="R1720" i="11" s="1"/>
  <c r="M1721" i="11"/>
  <c r="R1721" i="11"/>
  <c r="M1722" i="11"/>
  <c r="R1722" i="11"/>
  <c r="M1723" i="11"/>
  <c r="R1723" i="11" s="1"/>
  <c r="M1724" i="11"/>
  <c r="R1724" i="11"/>
  <c r="M1725" i="11"/>
  <c r="R1725" i="11"/>
  <c r="M1726" i="11"/>
  <c r="R1726" i="11" s="1"/>
  <c r="M1727" i="11"/>
  <c r="R1727" i="11"/>
  <c r="M1728" i="11"/>
  <c r="R1728" i="11"/>
  <c r="M1729" i="11"/>
  <c r="R1729" i="11" s="1"/>
  <c r="M1730" i="11"/>
  <c r="R1730" i="11"/>
  <c r="M1731" i="11"/>
  <c r="R1731" i="11"/>
  <c r="M1732" i="11"/>
  <c r="R1732" i="11" s="1"/>
  <c r="M1733" i="11"/>
  <c r="R1733" i="11"/>
  <c r="M1734" i="11"/>
  <c r="R1734" i="11"/>
  <c r="M1735" i="11"/>
  <c r="R1735" i="11" s="1"/>
  <c r="M1736" i="11"/>
  <c r="R1736" i="11"/>
  <c r="M1737" i="11"/>
  <c r="R1737" i="11"/>
  <c r="M1738" i="11"/>
  <c r="R1738" i="11" s="1"/>
  <c r="M1739" i="11"/>
  <c r="R1739" i="11"/>
  <c r="M1740" i="11"/>
  <c r="R1740" i="11"/>
  <c r="M1741" i="11"/>
  <c r="R1741" i="11" s="1"/>
  <c r="M1742" i="11"/>
  <c r="R1742" i="11"/>
  <c r="M1743" i="11"/>
  <c r="R1743" i="11"/>
  <c r="M1744" i="11"/>
  <c r="R1744" i="11" s="1"/>
  <c r="M1745" i="11"/>
  <c r="R1745" i="11"/>
  <c r="M1746" i="11"/>
  <c r="R1746" i="11"/>
  <c r="M1747" i="11"/>
  <c r="R1747" i="11" s="1"/>
  <c r="M1748" i="11"/>
  <c r="R1748" i="11"/>
  <c r="M1749" i="11"/>
  <c r="R1749" i="11"/>
  <c r="M1750" i="11"/>
  <c r="R1750" i="11" s="1"/>
  <c r="M1751" i="11"/>
  <c r="R1751" i="11"/>
  <c r="M1752" i="11"/>
  <c r="R1752" i="11"/>
  <c r="M1753" i="11"/>
  <c r="R1753" i="11" s="1"/>
  <c r="M1754" i="11"/>
  <c r="R1754" i="11"/>
  <c r="M1755" i="11"/>
  <c r="R1755" i="11"/>
  <c r="M1756" i="11"/>
  <c r="R1756" i="11" s="1"/>
  <c r="M1757" i="11"/>
  <c r="R1757" i="11"/>
  <c r="M1758" i="11"/>
  <c r="R1758" i="11"/>
  <c r="M1759" i="11"/>
  <c r="R1759" i="11" s="1"/>
  <c r="M1760" i="11"/>
  <c r="R1760" i="11"/>
  <c r="M1761" i="11"/>
  <c r="R1761" i="11"/>
  <c r="M1762" i="11"/>
  <c r="R1762" i="11" s="1"/>
  <c r="M1763" i="11"/>
  <c r="R1763" i="11"/>
  <c r="M1764" i="11"/>
  <c r="R1764" i="11"/>
  <c r="M1765" i="11"/>
  <c r="R1765" i="11" s="1"/>
  <c r="M1766" i="11"/>
  <c r="R1766" i="11"/>
  <c r="M1767" i="11"/>
  <c r="R1767" i="11"/>
  <c r="M1768" i="11"/>
  <c r="R1768" i="11" s="1"/>
  <c r="M1769" i="11"/>
  <c r="R1769" i="11"/>
  <c r="M1770" i="11"/>
  <c r="R1770" i="11"/>
  <c r="M1771" i="11"/>
  <c r="R1771" i="11" s="1"/>
  <c r="M1772" i="11"/>
  <c r="R1772" i="11"/>
  <c r="M1773" i="11"/>
  <c r="R1773" i="11"/>
  <c r="M1774" i="11"/>
  <c r="R1774" i="11" s="1"/>
  <c r="M1775" i="11"/>
  <c r="R1775" i="11"/>
  <c r="M1776" i="11"/>
  <c r="R1776" i="11"/>
  <c r="M1777" i="11"/>
  <c r="R1777" i="11" s="1"/>
  <c r="M1778" i="11"/>
  <c r="R1778" i="11"/>
  <c r="M1779" i="11"/>
  <c r="R1779" i="11"/>
  <c r="M1780" i="11"/>
  <c r="R1780" i="11" s="1"/>
  <c r="M1781" i="11"/>
  <c r="R1781" i="11"/>
  <c r="M1782" i="11"/>
  <c r="R1782" i="11"/>
  <c r="M1783" i="11"/>
  <c r="R1783" i="11" s="1"/>
  <c r="M1784" i="11"/>
  <c r="R1784" i="11"/>
  <c r="M1785" i="11"/>
  <c r="R1785" i="11"/>
  <c r="M1786" i="11"/>
  <c r="R1786" i="11" s="1"/>
  <c r="M1787" i="11"/>
  <c r="R1787" i="11"/>
  <c r="M1788" i="11"/>
  <c r="R1788" i="11"/>
  <c r="M1789" i="11"/>
  <c r="R1789" i="11" s="1"/>
  <c r="M1790" i="11"/>
  <c r="R1790" i="11"/>
  <c r="M1791" i="11"/>
  <c r="R1791" i="11"/>
  <c r="M1792" i="11"/>
  <c r="R1792" i="11" s="1"/>
  <c r="M1793" i="11"/>
  <c r="R1793" i="11"/>
  <c r="M1794" i="11"/>
  <c r="R1794" i="11"/>
  <c r="M1795" i="11"/>
  <c r="R1795" i="11" s="1"/>
  <c r="M1796" i="11"/>
  <c r="R1796" i="11"/>
  <c r="M1797" i="11"/>
  <c r="R1797" i="11"/>
  <c r="M1798" i="11"/>
  <c r="R1798" i="11" s="1"/>
  <c r="M1799" i="11"/>
  <c r="R1799" i="11"/>
  <c r="M1800" i="11"/>
  <c r="R1800" i="11"/>
  <c r="M1801" i="11"/>
  <c r="R1801" i="11" s="1"/>
  <c r="M1802" i="11"/>
  <c r="R1802" i="11"/>
  <c r="M1803" i="11"/>
  <c r="R1803" i="11"/>
  <c r="M1804" i="11"/>
  <c r="R1804" i="11" s="1"/>
  <c r="M1805" i="11"/>
  <c r="R1805" i="11"/>
  <c r="M1806" i="11"/>
  <c r="R1806" i="11"/>
  <c r="M1807" i="11"/>
  <c r="R1807" i="11" s="1"/>
  <c r="M1808" i="11"/>
  <c r="R1808" i="11"/>
  <c r="M1809" i="11"/>
  <c r="R1809" i="11"/>
  <c r="M1810" i="11"/>
  <c r="R1810" i="11" s="1"/>
  <c r="M1811" i="11"/>
  <c r="R1811" i="11"/>
  <c r="M1812" i="11"/>
  <c r="R1812" i="11"/>
  <c r="M1813" i="11"/>
  <c r="R1813" i="11" s="1"/>
  <c r="M1814" i="11"/>
  <c r="R1814" i="11"/>
  <c r="M1815" i="11"/>
  <c r="R1815" i="11"/>
  <c r="M1816" i="11"/>
  <c r="R1816" i="11" s="1"/>
  <c r="M1817" i="11"/>
  <c r="R1817" i="11"/>
  <c r="M1818" i="11"/>
  <c r="R1818" i="11"/>
  <c r="M1819" i="11"/>
  <c r="R1819" i="11" s="1"/>
  <c r="M1820" i="11"/>
  <c r="R1820" i="11"/>
  <c r="M1821" i="11"/>
  <c r="R1821" i="11"/>
  <c r="M1822" i="11"/>
  <c r="R1822" i="11" s="1"/>
  <c r="M1823" i="11"/>
  <c r="R1823" i="11"/>
  <c r="M1824" i="11"/>
  <c r="R1824" i="11"/>
  <c r="M1825" i="11"/>
  <c r="R1825" i="11" s="1"/>
  <c r="M1826" i="11"/>
  <c r="R1826" i="11"/>
  <c r="M1827" i="11"/>
  <c r="R1827" i="11"/>
  <c r="M1828" i="11"/>
  <c r="R1828" i="11" s="1"/>
  <c r="M1829" i="11"/>
  <c r="R1829" i="11"/>
  <c r="M1830" i="11"/>
  <c r="R1830" i="11"/>
  <c r="M1831" i="11"/>
  <c r="R1831" i="11" s="1"/>
  <c r="M1832" i="11"/>
  <c r="R1832" i="11"/>
  <c r="M1833" i="11"/>
  <c r="R1833" i="11"/>
  <c r="M1834" i="11"/>
  <c r="R1834" i="11" s="1"/>
  <c r="M1835" i="11"/>
  <c r="R1835" i="11"/>
  <c r="M1836" i="11"/>
  <c r="R1836" i="11"/>
  <c r="M1837" i="11"/>
  <c r="R1837" i="11" s="1"/>
  <c r="M1838" i="11"/>
  <c r="R1838" i="11"/>
  <c r="M1839" i="11"/>
  <c r="R1839" i="11"/>
  <c r="M1840" i="11"/>
  <c r="R1840" i="11" s="1"/>
  <c r="M1841" i="11"/>
  <c r="R1841" i="11"/>
  <c r="M1842" i="11"/>
  <c r="R1842" i="11"/>
  <c r="M1843" i="11"/>
  <c r="R1843" i="11" s="1"/>
  <c r="M1844" i="11"/>
  <c r="R1844" i="11"/>
  <c r="M1845" i="11"/>
  <c r="R1845" i="11"/>
  <c r="M1846" i="11"/>
  <c r="R1846" i="11" s="1"/>
  <c r="M1847" i="11"/>
  <c r="R1847" i="11"/>
  <c r="M1848" i="11"/>
  <c r="R1848" i="11"/>
  <c r="M1849" i="11"/>
  <c r="R1849" i="11" s="1"/>
  <c r="M1850" i="11"/>
  <c r="R1850" i="11"/>
  <c r="M1851" i="11"/>
  <c r="R1851" i="11"/>
  <c r="M1852" i="11"/>
  <c r="R1852" i="11" s="1"/>
  <c r="M1853" i="11"/>
  <c r="R1853" i="11"/>
  <c r="M1854" i="11"/>
  <c r="R1854" i="11"/>
  <c r="M1855" i="11"/>
  <c r="R1855" i="11" s="1"/>
  <c r="M1856" i="11"/>
  <c r="R1856" i="11"/>
  <c r="M1857" i="11"/>
  <c r="R1857" i="11"/>
  <c r="M1858" i="11"/>
  <c r="R1858" i="11" s="1"/>
  <c r="M1859" i="11"/>
  <c r="R1859" i="11"/>
  <c r="M1860" i="11"/>
  <c r="R1860" i="11"/>
  <c r="M1861" i="11"/>
  <c r="R1861" i="11" s="1"/>
  <c r="M1862" i="11"/>
  <c r="R1862" i="11"/>
  <c r="M1863" i="11"/>
  <c r="R1863" i="11"/>
  <c r="M1864" i="11"/>
  <c r="R1864" i="11" s="1"/>
  <c r="M1865" i="11"/>
  <c r="R1865" i="11"/>
  <c r="M1866" i="11"/>
  <c r="R1866" i="11"/>
  <c r="M1867" i="11"/>
  <c r="R1867" i="11" s="1"/>
  <c r="M1868" i="11"/>
  <c r="R1868" i="11"/>
  <c r="M1869" i="11"/>
  <c r="R1869" i="11"/>
  <c r="M1870" i="11"/>
  <c r="R1870" i="11" s="1"/>
  <c r="M1871" i="11"/>
  <c r="R1871" i="11"/>
  <c r="M1872" i="11"/>
  <c r="R1872" i="11"/>
  <c r="M1873" i="11"/>
  <c r="R1873" i="11" s="1"/>
  <c r="M1874" i="11"/>
  <c r="R1874" i="11"/>
  <c r="M1875" i="11"/>
  <c r="R1875" i="11"/>
  <c r="M1876" i="11"/>
  <c r="R1876" i="11" s="1"/>
  <c r="M1877" i="11"/>
  <c r="R1877" i="11"/>
  <c r="M1878" i="11"/>
  <c r="R1878" i="11"/>
  <c r="M1879" i="11"/>
  <c r="R1879" i="11" s="1"/>
  <c r="M1880" i="11"/>
  <c r="R1880" i="11"/>
  <c r="M1881" i="11"/>
  <c r="R1881" i="11"/>
  <c r="M1882" i="11"/>
  <c r="R1882" i="11" s="1"/>
  <c r="M1883" i="11"/>
  <c r="R1883" i="11"/>
  <c r="M1884" i="11"/>
  <c r="R1884" i="11"/>
  <c r="M1885" i="11"/>
  <c r="R1885" i="11" s="1"/>
  <c r="M1886" i="11"/>
  <c r="R1886" i="11"/>
  <c r="M1887" i="11"/>
  <c r="R1887" i="11"/>
  <c r="M1888" i="11"/>
  <c r="R1888" i="11" s="1"/>
  <c r="M1889" i="11"/>
  <c r="R1889" i="11"/>
  <c r="M1890" i="11"/>
  <c r="R1890" i="11"/>
  <c r="M1891" i="11"/>
  <c r="R1891" i="11" s="1"/>
  <c r="M1892" i="11"/>
  <c r="R1892" i="11"/>
  <c r="M1893" i="11"/>
  <c r="R1893" i="11"/>
  <c r="M1894" i="11"/>
  <c r="R1894" i="11" s="1"/>
  <c r="M1895" i="11"/>
  <c r="R1895" i="11"/>
  <c r="M1896" i="11"/>
  <c r="R1896" i="11"/>
  <c r="M1897" i="11"/>
  <c r="R1897" i="11" s="1"/>
  <c r="M1898" i="11"/>
  <c r="R1898" i="11"/>
  <c r="M1899" i="11"/>
  <c r="R1899" i="11"/>
  <c r="M1900" i="11"/>
  <c r="R1900" i="11" s="1"/>
  <c r="M1901" i="11"/>
  <c r="R1901" i="11"/>
  <c r="M1902" i="11"/>
  <c r="R1902" i="11"/>
  <c r="M1903" i="11"/>
  <c r="R1903" i="11" s="1"/>
  <c r="M1904" i="11"/>
  <c r="R1904" i="11"/>
  <c r="M1905" i="11"/>
  <c r="R1905" i="11"/>
  <c r="M1906" i="11"/>
  <c r="R1906" i="11" s="1"/>
  <c r="M1907" i="11"/>
  <c r="R1907" i="11"/>
  <c r="M1908" i="11"/>
  <c r="R1908" i="11"/>
  <c r="M1909" i="11"/>
  <c r="R1909" i="11" s="1"/>
  <c r="M1910" i="11"/>
  <c r="R1910" i="11"/>
  <c r="M1911" i="11"/>
  <c r="R1911" i="11"/>
  <c r="M1912" i="11"/>
  <c r="R1912" i="11" s="1"/>
  <c r="M1913" i="11"/>
  <c r="R1913" i="11"/>
  <c r="M1914" i="11"/>
  <c r="R1914" i="11"/>
  <c r="M1915" i="11"/>
  <c r="R1915" i="11" s="1"/>
  <c r="M1916" i="11"/>
  <c r="R1916" i="11"/>
  <c r="M1917" i="11"/>
  <c r="R1917" i="11"/>
  <c r="M1918" i="11"/>
  <c r="R1918" i="11" s="1"/>
  <c r="M1919" i="11"/>
  <c r="R1919" i="11"/>
  <c r="M1920" i="11"/>
  <c r="R1920" i="11"/>
  <c r="M1921" i="11"/>
  <c r="R1921" i="11" s="1"/>
  <c r="M1922" i="11"/>
  <c r="R1922" i="11"/>
  <c r="M1923" i="11"/>
  <c r="R1923" i="11"/>
  <c r="M1924" i="11"/>
  <c r="R1924" i="11" s="1"/>
  <c r="M1925" i="11"/>
  <c r="R1925" i="11"/>
  <c r="M1926" i="11"/>
  <c r="R1926" i="11"/>
  <c r="M1927" i="11"/>
  <c r="R1927" i="11" s="1"/>
  <c r="M1928" i="11"/>
  <c r="R1928" i="11"/>
  <c r="M1929" i="11"/>
  <c r="R1929" i="11"/>
  <c r="M1930" i="11"/>
  <c r="R1930" i="11" s="1"/>
  <c r="M1931" i="11"/>
  <c r="R1931" i="11"/>
  <c r="M1932" i="11"/>
  <c r="R1932" i="11"/>
  <c r="M1933" i="11"/>
  <c r="R1933" i="11" s="1"/>
  <c r="M1934" i="11"/>
  <c r="R1934" i="11"/>
  <c r="M1935" i="11"/>
  <c r="R1935" i="11"/>
  <c r="M1936" i="11"/>
  <c r="R1936" i="11" s="1"/>
  <c r="M1937" i="11"/>
  <c r="R1937" i="11"/>
  <c r="M1938" i="11"/>
  <c r="R1938" i="11"/>
  <c r="M1939" i="11"/>
  <c r="R1939" i="11" s="1"/>
  <c r="M1940" i="11"/>
  <c r="R1940" i="11"/>
  <c r="M1941" i="11"/>
  <c r="R1941" i="11"/>
  <c r="M1942" i="11"/>
  <c r="R1942" i="11" s="1"/>
  <c r="M1943" i="11"/>
  <c r="R1943" i="11"/>
  <c r="M1944" i="11"/>
  <c r="R1944" i="11"/>
  <c r="M1945" i="11"/>
  <c r="R1945" i="11" s="1"/>
  <c r="M1946" i="11"/>
  <c r="R1946" i="11"/>
  <c r="M1947" i="11"/>
  <c r="R1947" i="11"/>
  <c r="M1948" i="11"/>
  <c r="R1948" i="11" s="1"/>
  <c r="M1949" i="11"/>
  <c r="R1949" i="11"/>
  <c r="M1950" i="11"/>
  <c r="R1950" i="11"/>
  <c r="M1951" i="11"/>
  <c r="R1951" i="11" s="1"/>
  <c r="M1952" i="11"/>
  <c r="R1952" i="11"/>
  <c r="M1953" i="11"/>
  <c r="R1953" i="11"/>
  <c r="M1954" i="11"/>
  <c r="R1954" i="11" s="1"/>
  <c r="M1955" i="11"/>
  <c r="R1955" i="11"/>
  <c r="M1956" i="11"/>
  <c r="R1956" i="11"/>
  <c r="M1957" i="11"/>
  <c r="R1957" i="11" s="1"/>
  <c r="M1958" i="11"/>
  <c r="R1958" i="11"/>
  <c r="M1959" i="11"/>
  <c r="R1959" i="11"/>
  <c r="M1960" i="11"/>
  <c r="R1960" i="11" s="1"/>
  <c r="M1961" i="11"/>
  <c r="R1961" i="11"/>
  <c r="M1962" i="11"/>
  <c r="R1962" i="11"/>
  <c r="M1963" i="11"/>
  <c r="R1963" i="11" s="1"/>
  <c r="M1964" i="11"/>
  <c r="R1964" i="11"/>
  <c r="M1965" i="11"/>
  <c r="R1965" i="11"/>
  <c r="M1966" i="11"/>
  <c r="R1966" i="11" s="1"/>
  <c r="M1967" i="11"/>
  <c r="R1967" i="11"/>
  <c r="M1968" i="11"/>
  <c r="R1968" i="11"/>
  <c r="M1969" i="11"/>
  <c r="R1969" i="11" s="1"/>
  <c r="M1970" i="11"/>
  <c r="R1970" i="11"/>
  <c r="M1971" i="11"/>
  <c r="R1971" i="11"/>
  <c r="M1972" i="11"/>
  <c r="R1972" i="11" s="1"/>
  <c r="M1973" i="11"/>
  <c r="R1973" i="11"/>
  <c r="M1974" i="11"/>
  <c r="R1974" i="11"/>
  <c r="M1975" i="11"/>
  <c r="R1975" i="11" s="1"/>
  <c r="M1976" i="11"/>
  <c r="R1976" i="11"/>
  <c r="M1977" i="11"/>
  <c r="R1977" i="11"/>
  <c r="M1978" i="11"/>
  <c r="R1978" i="11" s="1"/>
  <c r="M1979" i="11"/>
  <c r="R1979" i="11"/>
  <c r="M1980" i="11"/>
  <c r="R1980" i="11"/>
  <c r="M1981" i="11"/>
  <c r="R1981" i="11" s="1"/>
  <c r="M1982" i="11"/>
  <c r="R1982" i="11"/>
  <c r="M1983" i="11"/>
  <c r="R1983" i="11"/>
  <c r="M1984" i="11"/>
  <c r="R1984" i="11" s="1"/>
  <c r="M1985" i="11"/>
  <c r="R1985" i="11"/>
  <c r="M1986" i="11"/>
  <c r="R1986" i="11"/>
  <c r="M1987" i="11"/>
  <c r="R1987" i="11" s="1"/>
  <c r="M1988" i="11"/>
  <c r="R1988" i="11"/>
  <c r="M1989" i="11"/>
  <c r="R1989" i="11"/>
  <c r="M1990" i="11"/>
  <c r="R1990" i="11" s="1"/>
  <c r="M1991" i="11"/>
  <c r="R1991" i="11"/>
  <c r="M1992" i="11"/>
  <c r="R1992" i="11"/>
  <c r="M1993" i="11"/>
  <c r="R1993" i="11" s="1"/>
  <c r="M1994" i="11"/>
  <c r="R1994" i="11"/>
  <c r="M1995" i="11"/>
  <c r="R1995" i="11"/>
  <c r="M1996" i="11"/>
  <c r="R1996" i="11" s="1"/>
  <c r="M1997" i="11"/>
  <c r="R1997" i="11"/>
  <c r="M1998" i="11"/>
  <c r="R1998" i="11"/>
  <c r="M1999" i="11"/>
  <c r="R1999" i="11" s="1"/>
  <c r="M2000" i="11"/>
  <c r="R2000" i="11"/>
  <c r="M2001" i="11"/>
  <c r="R2001" i="11"/>
  <c r="M2002" i="11"/>
  <c r="R2002" i="11" s="1"/>
  <c r="M2003" i="11"/>
  <c r="R2003" i="11"/>
  <c r="M2004" i="11"/>
  <c r="R2004" i="11"/>
  <c r="M2005" i="11"/>
  <c r="R2005" i="11"/>
  <c r="M2006" i="11"/>
  <c r="R2006" i="11"/>
  <c r="M2007" i="11"/>
  <c r="R2007" i="11"/>
  <c r="M2008" i="11"/>
  <c r="R2008" i="11"/>
  <c r="M2009" i="11"/>
  <c r="R2009" i="11" s="1"/>
  <c r="M2010" i="11"/>
  <c r="R2010" i="11"/>
  <c r="M2011" i="11"/>
  <c r="R2011" i="11"/>
  <c r="M2012" i="11"/>
  <c r="R2012" i="11"/>
  <c r="M2013" i="11"/>
  <c r="R2013" i="11"/>
  <c r="M2014" i="11"/>
  <c r="R2014" i="11"/>
  <c r="M2015" i="11"/>
  <c r="R2015" i="11" s="1"/>
  <c r="M2016" i="11"/>
  <c r="R2016" i="11"/>
  <c r="M2017" i="11"/>
  <c r="R2017" i="11"/>
  <c r="M2018" i="11"/>
  <c r="R2018" i="11"/>
  <c r="M2019" i="11"/>
  <c r="R2019" i="11"/>
  <c r="M2020" i="11"/>
  <c r="R2020" i="11"/>
  <c r="M2021" i="11"/>
  <c r="R2021" i="11" s="1"/>
  <c r="M2022" i="11"/>
  <c r="R2022" i="11"/>
  <c r="M2023" i="11"/>
  <c r="R2023" i="11"/>
  <c r="M2024" i="11"/>
  <c r="R2024" i="11"/>
  <c r="M2025" i="11"/>
  <c r="R2025" i="11"/>
  <c r="M2026" i="11"/>
  <c r="R2026" i="11"/>
  <c r="M2027" i="11"/>
  <c r="R2027" i="11" s="1"/>
  <c r="M2028" i="11"/>
  <c r="R2028" i="11"/>
  <c r="M2029" i="11"/>
  <c r="R2029" i="11"/>
  <c r="M2030" i="11"/>
  <c r="R2030" i="11"/>
  <c r="M2031" i="11"/>
  <c r="R2031" i="11"/>
  <c r="M2032" i="11"/>
  <c r="R2032" i="11"/>
  <c r="M2033" i="11"/>
  <c r="R2033" i="11" s="1"/>
  <c r="M2034" i="11"/>
  <c r="R2034" i="11"/>
  <c r="M2035" i="11"/>
  <c r="R2035" i="11"/>
  <c r="M2036" i="11"/>
  <c r="R2036" i="11" s="1"/>
  <c r="M2037" i="11"/>
  <c r="R2037" i="11"/>
  <c r="M2038" i="11"/>
  <c r="R2038" i="11"/>
  <c r="M2039" i="11"/>
  <c r="R2039" i="11" s="1"/>
  <c r="M2040" i="11"/>
  <c r="R2040" i="11"/>
  <c r="M2041" i="11"/>
  <c r="R2041" i="11"/>
  <c r="M2042" i="11"/>
  <c r="R2042" i="11" s="1"/>
  <c r="M2043" i="11"/>
  <c r="R2043" i="11"/>
  <c r="M2044" i="11"/>
  <c r="R2044" i="11"/>
  <c r="M2045" i="11"/>
  <c r="R2045" i="11" s="1"/>
  <c r="M2046" i="11"/>
  <c r="R2046" i="11"/>
  <c r="M2047" i="11"/>
  <c r="R2047" i="11"/>
  <c r="M2048" i="11"/>
  <c r="R2048" i="11" s="1"/>
  <c r="M2049" i="11"/>
  <c r="R2049" i="11"/>
  <c r="M2050" i="11"/>
  <c r="R2050" i="11"/>
  <c r="M2051" i="11"/>
  <c r="R2051" i="11" s="1"/>
  <c r="M2052" i="11"/>
  <c r="R2052" i="11"/>
  <c r="M2053" i="11"/>
  <c r="R2053" i="11"/>
  <c r="M2054" i="11"/>
  <c r="R2054" i="11" s="1"/>
  <c r="M2055" i="11"/>
  <c r="R2055" i="11"/>
  <c r="M2056" i="11"/>
  <c r="R2056" i="11"/>
  <c r="M2057" i="11"/>
  <c r="R2057" i="11" s="1"/>
  <c r="M2058" i="11"/>
  <c r="R2058" i="11"/>
  <c r="M2059" i="11"/>
  <c r="R2059" i="11"/>
  <c r="M2060" i="11"/>
  <c r="R2060" i="11" s="1"/>
  <c r="M2061" i="11"/>
  <c r="R2061" i="11"/>
  <c r="M2062" i="11"/>
  <c r="R2062" i="11"/>
  <c r="M2063" i="11"/>
  <c r="R2063" i="11" s="1"/>
  <c r="M2064" i="11"/>
  <c r="R2064" i="11"/>
  <c r="M2065" i="11"/>
  <c r="R2065" i="11"/>
  <c r="M2066" i="11"/>
  <c r="R2066" i="11" s="1"/>
  <c r="M2067" i="11"/>
  <c r="R2067" i="11"/>
  <c r="M2068" i="11"/>
  <c r="R2068" i="11"/>
  <c r="M2069" i="11"/>
  <c r="R2069" i="11" s="1"/>
  <c r="M2070" i="11"/>
  <c r="R2070" i="11"/>
  <c r="M2071" i="11"/>
  <c r="R2071" i="11"/>
  <c r="M2072" i="11"/>
  <c r="R2072" i="11" s="1"/>
  <c r="M2073" i="11"/>
  <c r="R2073" i="11"/>
  <c r="M2074" i="11"/>
  <c r="R2074" i="11"/>
  <c r="M2075" i="11"/>
  <c r="R2075" i="11" s="1"/>
  <c r="M2076" i="11"/>
  <c r="R2076" i="11"/>
  <c r="M2077" i="11"/>
  <c r="R2077" i="11"/>
  <c r="M2078" i="11"/>
  <c r="R2078" i="11" s="1"/>
  <c r="M2079" i="11"/>
  <c r="R2079" i="11"/>
  <c r="M2080" i="11"/>
  <c r="R2080" i="11"/>
  <c r="M2081" i="11"/>
  <c r="R2081" i="11" s="1"/>
  <c r="M2082" i="11"/>
  <c r="R2082" i="11"/>
  <c r="M2083" i="11"/>
  <c r="R2083" i="11"/>
  <c r="M2084" i="11"/>
  <c r="R2084" i="11" s="1"/>
  <c r="M2085" i="11"/>
  <c r="R2085" i="11"/>
  <c r="M2086" i="11"/>
  <c r="R2086" i="11" s="1"/>
  <c r="M2087" i="11"/>
  <c r="R2087" i="11" s="1"/>
  <c r="M2088" i="11"/>
  <c r="R2088" i="11"/>
  <c r="M2089" i="11"/>
  <c r="R2089" i="11" s="1"/>
  <c r="M2090" i="11"/>
  <c r="R2090" i="11" s="1"/>
  <c r="M2091" i="11"/>
  <c r="R2091" i="11"/>
  <c r="M2092" i="11"/>
  <c r="R2092" i="11" s="1"/>
  <c r="M2093" i="11"/>
  <c r="R2093" i="11" s="1"/>
  <c r="M2094" i="11"/>
  <c r="R2094" i="11"/>
  <c r="M2095" i="11"/>
  <c r="R2095" i="11" s="1"/>
  <c r="M2096" i="11"/>
  <c r="R2096" i="11" s="1"/>
  <c r="M2097" i="11"/>
  <c r="R2097" i="11"/>
  <c r="M2098" i="11"/>
  <c r="R2098" i="11" s="1"/>
  <c r="M2099" i="11"/>
  <c r="R2099" i="11" s="1"/>
  <c r="M2100" i="11"/>
  <c r="R2100" i="11"/>
  <c r="M2101" i="11"/>
  <c r="R2101" i="11" s="1"/>
  <c r="M2102" i="11"/>
  <c r="R2102" i="11" s="1"/>
  <c r="M2103" i="11"/>
  <c r="R2103" i="11"/>
  <c r="M2104" i="11"/>
  <c r="R2104" i="11" s="1"/>
  <c r="M2105" i="11"/>
  <c r="R2105" i="11" s="1"/>
  <c r="M2106" i="11"/>
  <c r="R2106" i="11"/>
  <c r="M2107" i="11"/>
  <c r="R2107" i="11" s="1"/>
  <c r="M2108" i="11"/>
  <c r="R2108" i="11" s="1"/>
  <c r="M2109" i="11"/>
  <c r="R2109" i="11"/>
  <c r="M2110" i="11"/>
  <c r="R2110" i="11" s="1"/>
  <c r="M2111" i="11"/>
  <c r="R2111" i="11" s="1"/>
  <c r="M2112" i="11"/>
  <c r="R2112" i="11"/>
  <c r="M2113" i="11"/>
  <c r="R2113" i="11" s="1"/>
  <c r="M2114" i="11"/>
  <c r="R2114" i="11" s="1"/>
  <c r="M2115" i="11"/>
  <c r="R2115" i="11"/>
  <c r="M2116" i="11"/>
  <c r="R2116" i="11" s="1"/>
  <c r="M2117" i="11"/>
  <c r="R2117" i="11" s="1"/>
  <c r="M2118" i="11"/>
  <c r="R2118" i="11"/>
  <c r="M2119" i="11"/>
  <c r="R2119" i="11" s="1"/>
  <c r="M2120" i="11"/>
  <c r="R2120" i="11" s="1"/>
  <c r="M2121" i="11"/>
  <c r="R2121" i="11"/>
  <c r="M2122" i="11"/>
  <c r="R2122" i="11" s="1"/>
  <c r="M2123" i="11"/>
  <c r="R2123" i="11" s="1"/>
  <c r="M2124" i="11"/>
  <c r="R2124" i="11"/>
  <c r="M2125" i="11"/>
  <c r="R2125" i="11" s="1"/>
  <c r="M2126" i="11"/>
  <c r="R2126" i="11" s="1"/>
  <c r="M2127" i="11"/>
  <c r="R2127" i="11"/>
  <c r="M2128" i="11"/>
  <c r="R2128" i="11" s="1"/>
  <c r="M2129" i="11"/>
  <c r="R2129" i="11" s="1"/>
  <c r="M2130" i="11"/>
  <c r="R2130" i="11"/>
  <c r="M2131" i="11"/>
  <c r="R2131" i="11" s="1"/>
  <c r="M2132" i="11"/>
  <c r="R2132" i="11" s="1"/>
  <c r="M2133" i="11"/>
  <c r="R2133" i="11"/>
  <c r="M2134" i="11"/>
  <c r="R2134" i="11" s="1"/>
  <c r="M2135" i="11"/>
  <c r="R2135" i="11" s="1"/>
  <c r="M2136" i="11"/>
  <c r="R2136" i="11"/>
  <c r="M2137" i="11"/>
  <c r="R2137" i="11" s="1"/>
  <c r="M2138" i="11"/>
  <c r="R2138" i="11" s="1"/>
  <c r="M2139" i="11"/>
  <c r="R2139" i="11"/>
  <c r="M2140" i="11"/>
  <c r="R2140" i="11" s="1"/>
  <c r="M2141" i="11"/>
  <c r="R2141" i="11" s="1"/>
  <c r="M2142" i="11"/>
  <c r="R2142" i="11"/>
  <c r="M2143" i="11"/>
  <c r="R2143" i="11" s="1"/>
  <c r="M2144" i="11"/>
  <c r="R2144" i="11" s="1"/>
  <c r="M2145" i="11"/>
  <c r="R2145" i="11"/>
  <c r="M2146" i="11"/>
  <c r="R2146" i="11" s="1"/>
  <c r="M2147" i="11"/>
  <c r="R2147" i="11" s="1"/>
  <c r="M2148" i="11"/>
  <c r="R2148" i="11"/>
  <c r="M2149" i="11"/>
  <c r="R2149" i="11" s="1"/>
  <c r="M2150" i="11"/>
  <c r="R2150" i="11" s="1"/>
  <c r="M2151" i="11"/>
  <c r="R2151" i="11"/>
  <c r="M2152" i="11"/>
  <c r="R2152" i="11" s="1"/>
  <c r="M2153" i="11"/>
  <c r="R2153" i="11" s="1"/>
  <c r="M2154" i="11"/>
  <c r="R2154" i="11"/>
  <c r="M2155" i="11"/>
  <c r="R2155" i="11" s="1"/>
  <c r="M2156" i="11"/>
  <c r="R2156" i="11" s="1"/>
  <c r="M2157" i="11"/>
  <c r="R2157" i="11"/>
  <c r="M2158" i="11"/>
  <c r="R2158" i="11" s="1"/>
  <c r="M2159" i="11"/>
  <c r="R2159" i="11" s="1"/>
  <c r="M2160" i="11"/>
  <c r="R2160" i="11"/>
  <c r="M2161" i="11"/>
  <c r="R2161" i="11" s="1"/>
  <c r="M2162" i="11"/>
  <c r="R2162" i="11" s="1"/>
  <c r="M2163" i="11"/>
  <c r="R2163" i="11"/>
  <c r="M2164" i="11"/>
  <c r="R2164" i="11" s="1"/>
  <c r="M2165" i="11"/>
  <c r="R2165" i="11" s="1"/>
  <c r="M2166" i="11"/>
  <c r="R2166" i="11"/>
  <c r="M2167" i="11"/>
  <c r="R2167" i="11" s="1"/>
  <c r="M2168" i="11"/>
  <c r="R2168" i="11" s="1"/>
  <c r="M2169" i="11"/>
  <c r="R2169" i="11"/>
  <c r="M2170" i="11"/>
  <c r="R2170" i="11" s="1"/>
  <c r="M2171" i="11"/>
  <c r="R2171" i="11" s="1"/>
  <c r="M2172" i="11"/>
  <c r="R2172" i="11"/>
  <c r="M2173" i="11"/>
  <c r="R2173" i="11" s="1"/>
  <c r="M2174" i="11"/>
  <c r="R2174" i="11" s="1"/>
  <c r="M2175" i="11"/>
  <c r="R2175" i="11"/>
  <c r="M2176" i="11"/>
  <c r="R2176" i="11" s="1"/>
  <c r="M2177" i="11"/>
  <c r="R2177" i="11" s="1"/>
  <c r="M2178" i="11"/>
  <c r="R2178" i="11"/>
  <c r="M2179" i="11"/>
  <c r="R2179" i="11" s="1"/>
  <c r="M2180" i="11"/>
  <c r="R2180" i="11" s="1"/>
  <c r="M2181" i="11"/>
  <c r="R2181" i="11"/>
  <c r="M2182" i="11"/>
  <c r="R2182" i="11" s="1"/>
  <c r="M2183" i="11"/>
  <c r="R2183" i="11" s="1"/>
  <c r="M2184" i="11"/>
  <c r="R2184" i="11"/>
  <c r="M2185" i="11"/>
  <c r="R2185" i="11" s="1"/>
  <c r="M2186" i="11"/>
  <c r="R2186" i="11" s="1"/>
  <c r="M2187" i="11"/>
  <c r="R2187" i="11"/>
  <c r="M2188" i="11"/>
  <c r="R2188" i="11" s="1"/>
  <c r="M2189" i="11"/>
  <c r="R2189" i="11" s="1"/>
  <c r="M2190" i="11"/>
  <c r="R2190" i="11"/>
  <c r="M2191" i="11"/>
  <c r="R2191" i="11" s="1"/>
  <c r="M2192" i="11"/>
  <c r="R2192" i="11" s="1"/>
  <c r="M2193" i="11"/>
  <c r="R2193" i="11"/>
  <c r="M2194" i="11"/>
  <c r="R2194" i="11" s="1"/>
  <c r="M2195" i="11"/>
  <c r="R2195" i="11" s="1"/>
  <c r="M2196" i="11"/>
  <c r="R2196" i="11"/>
  <c r="M2197" i="11"/>
  <c r="R2197" i="11" s="1"/>
  <c r="M2198" i="11"/>
  <c r="R2198" i="11" s="1"/>
  <c r="M2199" i="11"/>
  <c r="R2199" i="11"/>
  <c r="M2200" i="11"/>
  <c r="R2200" i="11" s="1"/>
  <c r="M2201" i="11"/>
  <c r="R2201" i="11" s="1"/>
  <c r="M2202" i="11"/>
  <c r="R2202" i="11"/>
  <c r="M2203" i="11"/>
  <c r="R2203" i="11" s="1"/>
  <c r="M2204" i="11"/>
  <c r="R2204" i="11" s="1"/>
  <c r="M2205" i="11"/>
  <c r="R2205" i="11"/>
  <c r="M2206" i="11"/>
  <c r="R2206" i="11" s="1"/>
  <c r="M2207" i="11"/>
  <c r="R2207" i="11" s="1"/>
  <c r="M2208" i="11"/>
  <c r="R2208" i="11"/>
  <c r="M2209" i="11"/>
  <c r="R2209" i="11" s="1"/>
  <c r="M2210" i="11"/>
  <c r="R2210" i="11" s="1"/>
  <c r="M2211" i="11"/>
  <c r="R2211" i="11"/>
  <c r="M2212" i="11"/>
  <c r="R2212" i="11" s="1"/>
  <c r="M2213" i="11"/>
  <c r="R2213" i="11" s="1"/>
  <c r="M2214" i="11"/>
  <c r="R2214" i="11"/>
  <c r="M2215" i="11"/>
  <c r="R2215" i="11" s="1"/>
  <c r="M2216" i="11"/>
  <c r="R2216" i="11" s="1"/>
  <c r="M2217" i="11"/>
  <c r="R2217" i="11"/>
  <c r="M2218" i="11"/>
  <c r="R2218" i="11" s="1"/>
  <c r="M2219" i="11"/>
  <c r="R2219" i="11" s="1"/>
  <c r="M2220" i="11"/>
  <c r="R2220" i="11"/>
  <c r="M2221" i="11"/>
  <c r="R2221" i="11" s="1"/>
  <c r="M2222" i="11"/>
  <c r="R2222" i="11" s="1"/>
  <c r="M2223" i="11"/>
  <c r="R2223" i="11"/>
  <c r="M2224" i="11"/>
  <c r="R2224" i="11" s="1"/>
  <c r="M2225" i="11"/>
  <c r="R2225" i="11" s="1"/>
  <c r="M2226" i="11"/>
  <c r="R2226" i="11"/>
  <c r="M2227" i="11"/>
  <c r="R2227" i="11" s="1"/>
  <c r="M2228" i="11"/>
  <c r="R2228" i="11" s="1"/>
  <c r="M2229" i="11"/>
  <c r="R2229" i="11"/>
  <c r="M2230" i="11"/>
  <c r="R2230" i="11" s="1"/>
  <c r="M2231" i="11"/>
  <c r="R2231" i="11" s="1"/>
  <c r="M2232" i="11"/>
  <c r="R2232" i="11"/>
  <c r="M2233" i="11"/>
  <c r="R2233" i="11" s="1"/>
  <c r="M2234" i="11"/>
  <c r="R2234" i="11" s="1"/>
  <c r="M2235" i="11"/>
  <c r="R2235" i="11"/>
  <c r="M2236" i="11"/>
  <c r="R2236" i="11" s="1"/>
  <c r="M2237" i="11"/>
  <c r="R2237" i="11" s="1"/>
  <c r="M2238" i="11"/>
  <c r="R2238" i="11"/>
  <c r="M2239" i="11"/>
  <c r="R2239" i="11" s="1"/>
  <c r="M2240" i="11"/>
  <c r="R2240" i="11" s="1"/>
  <c r="M2241" i="11"/>
  <c r="R2241" i="11"/>
  <c r="M2242" i="11"/>
  <c r="R2242" i="11" s="1"/>
  <c r="M2243" i="11"/>
  <c r="R2243" i="11" s="1"/>
  <c r="M2244" i="11"/>
  <c r="R2244" i="11"/>
  <c r="M2245" i="11"/>
  <c r="R2245" i="11" s="1"/>
  <c r="M2246" i="11"/>
  <c r="R2246" i="11" s="1"/>
  <c r="M2247" i="11"/>
  <c r="R2247" i="11"/>
  <c r="M2248" i="11"/>
  <c r="R2248" i="11" s="1"/>
  <c r="M2249" i="11"/>
  <c r="R2249" i="11" s="1"/>
  <c r="M2250" i="11"/>
  <c r="R2250" i="11"/>
  <c r="M2251" i="11"/>
  <c r="R2251" i="11" s="1"/>
  <c r="M2252" i="11"/>
  <c r="R2252" i="11" s="1"/>
  <c r="M2253" i="11"/>
  <c r="R2253" i="11"/>
  <c r="M2254" i="11"/>
  <c r="R2254" i="11" s="1"/>
  <c r="M2255" i="11"/>
  <c r="R2255" i="11" s="1"/>
  <c r="M2256" i="11"/>
  <c r="R2256" i="11"/>
  <c r="M2257" i="11"/>
  <c r="R2257" i="11" s="1"/>
  <c r="M2258" i="11"/>
  <c r="R2258" i="11" s="1"/>
  <c r="M2259" i="11"/>
  <c r="R2259" i="11"/>
  <c r="M2260" i="11"/>
  <c r="R2260" i="11" s="1"/>
  <c r="M2261" i="11"/>
  <c r="R2261" i="11" s="1"/>
  <c r="M2262" i="11"/>
  <c r="R2262" i="11"/>
  <c r="M2263" i="11"/>
  <c r="R2263" i="11" s="1"/>
  <c r="M2264" i="11"/>
  <c r="R2264" i="11" s="1"/>
  <c r="M2265" i="11"/>
  <c r="R2265" i="11"/>
  <c r="M2266" i="11"/>
  <c r="R2266" i="11" s="1"/>
  <c r="M2267" i="11"/>
  <c r="R2267" i="11" s="1"/>
  <c r="M2268" i="11"/>
  <c r="R2268" i="11"/>
  <c r="M2269" i="11"/>
  <c r="R2269" i="11" s="1"/>
  <c r="M2270" i="11"/>
  <c r="R2270" i="11" s="1"/>
  <c r="M2271" i="11"/>
  <c r="R2271" i="11"/>
  <c r="M2272" i="11"/>
  <c r="R2272" i="11" s="1"/>
  <c r="M2273" i="11"/>
  <c r="R2273" i="11" s="1"/>
  <c r="M2274" i="11"/>
  <c r="R2274" i="11"/>
  <c r="M2275" i="11"/>
  <c r="R2275" i="11" s="1"/>
  <c r="M2276" i="11"/>
  <c r="R2276" i="11" s="1"/>
  <c r="M2277" i="11"/>
  <c r="R2277" i="11"/>
  <c r="M2278" i="11"/>
  <c r="R2278" i="11" s="1"/>
  <c r="M2279" i="11"/>
  <c r="R2279" i="11" s="1"/>
  <c r="M2280" i="11"/>
  <c r="R2280" i="11"/>
  <c r="M2281" i="11"/>
  <c r="R2281" i="11" s="1"/>
  <c r="M2282" i="11"/>
  <c r="R2282" i="11" s="1"/>
  <c r="M2283" i="11"/>
  <c r="R2283" i="11"/>
  <c r="M2284" i="11"/>
  <c r="R2284" i="11" s="1"/>
  <c r="M2285" i="11"/>
  <c r="R2285" i="11" s="1"/>
  <c r="M2286" i="11"/>
  <c r="R2286" i="11"/>
  <c r="M2287" i="11"/>
  <c r="R2287" i="11" s="1"/>
  <c r="M2288" i="11"/>
  <c r="R2288" i="11" s="1"/>
  <c r="M2289" i="11"/>
  <c r="R2289" i="11"/>
  <c r="M2290" i="11"/>
  <c r="R2290" i="11" s="1"/>
  <c r="M2291" i="11"/>
  <c r="R2291" i="11" s="1"/>
  <c r="M2292" i="11"/>
  <c r="R2292" i="11"/>
  <c r="M2293" i="11"/>
  <c r="R2293" i="11" s="1"/>
  <c r="M2294" i="11"/>
  <c r="R2294" i="11" s="1"/>
  <c r="M2295" i="11"/>
  <c r="R2295" i="11"/>
  <c r="M2296" i="11"/>
  <c r="R2296" i="11" s="1"/>
  <c r="M2297" i="11"/>
  <c r="R2297" i="11" s="1"/>
  <c r="M2298" i="11"/>
  <c r="R2298" i="11"/>
  <c r="M2299" i="11"/>
  <c r="R2299" i="11" s="1"/>
  <c r="M2300" i="11"/>
  <c r="R2300" i="11" s="1"/>
  <c r="M2301" i="11"/>
  <c r="R2301" i="11"/>
  <c r="M2302" i="11"/>
  <c r="R2302" i="11" s="1"/>
  <c r="M2303" i="11"/>
  <c r="R2303" i="11" s="1"/>
  <c r="M2304" i="11"/>
  <c r="R2304" i="11"/>
  <c r="M2305" i="11"/>
  <c r="R2305" i="11" s="1"/>
  <c r="M2306" i="11"/>
  <c r="R2306" i="11" s="1"/>
  <c r="M2307" i="11"/>
  <c r="R2307" i="11"/>
  <c r="M2308" i="11"/>
  <c r="R2308" i="11" s="1"/>
  <c r="M2309" i="11"/>
  <c r="R2309" i="11" s="1"/>
  <c r="M2310" i="11"/>
  <c r="R2310" i="11"/>
  <c r="M2311" i="11"/>
  <c r="R2311" i="11" s="1"/>
  <c r="M2312" i="11"/>
  <c r="R2312" i="11" s="1"/>
  <c r="M2313" i="11"/>
  <c r="R2313" i="11"/>
  <c r="M2314" i="11"/>
  <c r="R2314" i="11" s="1"/>
  <c r="M2315" i="11"/>
  <c r="R2315" i="11" s="1"/>
  <c r="M2316" i="11"/>
  <c r="R2316" i="11"/>
  <c r="M2317" i="11"/>
  <c r="R2317" i="11" s="1"/>
  <c r="M2318" i="11"/>
  <c r="R2318" i="11" s="1"/>
  <c r="M2319" i="11"/>
  <c r="R2319" i="11"/>
  <c r="M2320" i="11"/>
  <c r="R2320" i="11" s="1"/>
  <c r="M2321" i="11"/>
  <c r="R2321" i="11" s="1"/>
  <c r="M2322" i="11"/>
  <c r="R2322" i="11"/>
  <c r="M2323" i="11"/>
  <c r="R2323" i="11" s="1"/>
  <c r="M2324" i="11"/>
  <c r="R2324" i="11" s="1"/>
  <c r="M2325" i="11"/>
  <c r="R2325" i="11"/>
  <c r="M2326" i="11"/>
  <c r="R2326" i="11" s="1"/>
  <c r="M2327" i="11"/>
  <c r="R2327" i="11" s="1"/>
  <c r="M2328" i="11"/>
  <c r="R2328" i="11"/>
  <c r="M2329" i="11"/>
  <c r="R2329" i="11" s="1"/>
  <c r="M2330" i="11"/>
  <c r="R2330" i="11" s="1"/>
  <c r="M2331" i="11"/>
  <c r="R2331" i="11"/>
  <c r="M2332" i="11"/>
  <c r="R2332" i="11" s="1"/>
  <c r="M2333" i="11"/>
  <c r="R2333" i="11" s="1"/>
  <c r="M2334" i="11"/>
  <c r="R2334" i="11"/>
  <c r="M2335" i="11"/>
  <c r="R2335" i="11" s="1"/>
  <c r="M2336" i="11"/>
  <c r="R2336" i="11" s="1"/>
  <c r="M2337" i="11"/>
  <c r="R2337" i="11"/>
  <c r="M2338" i="11"/>
  <c r="R2338" i="11" s="1"/>
  <c r="M2339" i="11"/>
  <c r="R2339" i="11" s="1"/>
  <c r="M2340" i="11"/>
  <c r="R2340" i="11"/>
  <c r="M2341" i="11"/>
  <c r="R2341" i="11" s="1"/>
  <c r="M2342" i="11"/>
  <c r="R2342" i="11" s="1"/>
  <c r="M2343" i="11"/>
  <c r="R2343" i="11"/>
  <c r="M2344" i="11"/>
  <c r="R2344" i="11" s="1"/>
  <c r="M2345" i="11"/>
  <c r="R2345" i="11" s="1"/>
  <c r="M2346" i="11"/>
  <c r="R2346" i="11"/>
  <c r="M2347" i="11"/>
  <c r="R2347" i="11" s="1"/>
  <c r="M2348" i="11"/>
  <c r="R2348" i="11" s="1"/>
  <c r="M2349" i="11"/>
  <c r="R2349" i="11"/>
  <c r="M2350" i="11"/>
  <c r="R2350" i="11" s="1"/>
  <c r="M2351" i="11"/>
  <c r="R2351" i="11" s="1"/>
  <c r="M2352" i="11"/>
  <c r="R2352" i="11"/>
  <c r="M2353" i="11"/>
  <c r="R2353" i="11" s="1"/>
  <c r="M2354" i="11"/>
  <c r="R2354" i="11" s="1"/>
  <c r="M2355" i="11"/>
  <c r="R2355" i="11"/>
  <c r="M2356" i="11"/>
  <c r="R2356" i="11" s="1"/>
  <c r="M2357" i="11"/>
  <c r="R2357" i="11" s="1"/>
  <c r="M2358" i="11"/>
  <c r="R2358" i="11"/>
  <c r="M2359" i="11"/>
  <c r="R2359" i="11" s="1"/>
  <c r="M2360" i="11"/>
  <c r="R2360" i="11" s="1"/>
  <c r="M2361" i="11"/>
  <c r="R2361" i="11"/>
  <c r="M2362" i="11"/>
  <c r="R2362" i="11" s="1"/>
  <c r="M2363" i="11"/>
  <c r="R2363" i="11" s="1"/>
  <c r="M2364" i="11"/>
  <c r="R2364" i="11"/>
  <c r="M2365" i="11"/>
  <c r="R2365" i="11" s="1"/>
  <c r="M2366" i="11"/>
  <c r="R2366" i="11" s="1"/>
  <c r="M2367" i="11"/>
  <c r="R2367" i="11"/>
  <c r="M2368" i="11"/>
  <c r="R2368" i="11" s="1"/>
  <c r="M2369" i="11"/>
  <c r="R2369" i="11" s="1"/>
  <c r="M2370" i="11"/>
  <c r="R2370" i="11"/>
  <c r="M2371" i="11"/>
  <c r="R2371" i="11" s="1"/>
  <c r="M2372" i="11"/>
  <c r="R2372" i="11" s="1"/>
  <c r="M2373" i="11"/>
  <c r="R2373" i="11"/>
  <c r="M2374" i="11"/>
  <c r="R2374" i="11" s="1"/>
  <c r="M2375" i="11"/>
  <c r="R2375" i="11" s="1"/>
  <c r="M2376" i="11"/>
  <c r="R2376" i="11"/>
  <c r="M2377" i="11"/>
  <c r="R2377" i="11" s="1"/>
  <c r="M2378" i="11"/>
  <c r="R2378" i="11" s="1"/>
  <c r="M2379" i="11"/>
  <c r="R2379" i="11"/>
  <c r="M2380" i="11"/>
  <c r="R2380" i="11" s="1"/>
  <c r="M2381" i="11"/>
  <c r="R2381" i="11" s="1"/>
  <c r="M2382" i="11"/>
  <c r="R2382" i="11"/>
  <c r="M2383" i="11"/>
  <c r="R2383" i="11" s="1"/>
  <c r="M2384" i="11"/>
  <c r="R2384" i="11" s="1"/>
  <c r="M2385" i="11"/>
  <c r="R2385" i="11"/>
  <c r="M2386" i="11"/>
  <c r="R2386" i="11" s="1"/>
  <c r="M2387" i="11"/>
  <c r="R2387" i="11" s="1"/>
  <c r="M2388" i="11"/>
  <c r="R2388" i="11"/>
  <c r="M2389" i="11"/>
  <c r="R2389" i="11" s="1"/>
  <c r="M2390" i="11"/>
  <c r="R2390" i="11" s="1"/>
  <c r="M2391" i="11"/>
  <c r="R2391" i="11"/>
  <c r="M2392" i="11"/>
  <c r="R2392" i="11" s="1"/>
  <c r="M2393" i="11"/>
  <c r="R2393" i="11" s="1"/>
  <c r="M2394" i="11"/>
  <c r="R2394" i="11"/>
  <c r="M2395" i="11"/>
  <c r="R2395" i="11" s="1"/>
  <c r="M2396" i="11"/>
  <c r="R2396" i="11" s="1"/>
  <c r="M2397" i="11"/>
  <c r="R2397" i="11"/>
  <c r="M2398" i="11"/>
  <c r="R2398" i="11" s="1"/>
  <c r="M2399" i="11"/>
  <c r="R2399" i="11" s="1"/>
  <c r="M2400" i="11"/>
  <c r="R2400" i="11"/>
  <c r="M2401" i="11"/>
  <c r="R2401" i="11" s="1"/>
  <c r="M2402" i="11"/>
  <c r="R2402" i="11" s="1"/>
  <c r="M2403" i="11"/>
  <c r="R2403" i="11"/>
  <c r="M2404" i="11"/>
  <c r="R2404" i="11" s="1"/>
  <c r="M2405" i="11"/>
  <c r="R2405" i="11" s="1"/>
  <c r="M2406" i="11"/>
  <c r="R2406" i="11"/>
  <c r="M2407" i="11"/>
  <c r="R2407" i="11" s="1"/>
  <c r="M2408" i="11"/>
  <c r="R2408" i="11" s="1"/>
  <c r="M2409" i="11"/>
  <c r="R2409" i="11"/>
  <c r="M2410" i="11"/>
  <c r="R2410" i="11" s="1"/>
  <c r="M2411" i="11"/>
  <c r="R2411" i="11" s="1"/>
  <c r="M2412" i="11"/>
  <c r="R2412" i="11"/>
  <c r="M2413" i="11"/>
  <c r="R2413" i="11" s="1"/>
  <c r="M2414" i="11"/>
  <c r="R2414" i="11" s="1"/>
  <c r="M2415" i="11"/>
  <c r="R2415" i="11"/>
  <c r="M2416" i="11"/>
  <c r="R2416" i="11" s="1"/>
  <c r="M2417" i="11"/>
  <c r="R2417" i="11" s="1"/>
  <c r="M2418" i="11"/>
  <c r="R2418" i="11"/>
  <c r="M2419" i="11"/>
  <c r="R2419" i="11" s="1"/>
  <c r="M2420" i="11"/>
  <c r="R2420" i="11" s="1"/>
  <c r="M2421" i="11"/>
  <c r="R2421" i="11"/>
  <c r="M2422" i="11"/>
  <c r="R2422" i="11" s="1"/>
  <c r="M2423" i="11"/>
  <c r="R2423" i="11" s="1"/>
  <c r="M2424" i="11"/>
  <c r="R2424" i="11"/>
  <c r="M2425" i="11"/>
  <c r="R2425" i="11" s="1"/>
  <c r="M2426" i="11"/>
  <c r="R2426" i="11" s="1"/>
  <c r="M2427" i="11"/>
  <c r="R2427" i="11"/>
  <c r="M2428" i="11"/>
  <c r="R2428" i="11" s="1"/>
  <c r="M2429" i="11"/>
  <c r="R2429" i="11" s="1"/>
  <c r="M2430" i="11"/>
  <c r="R2430" i="11"/>
  <c r="M2431" i="11"/>
  <c r="R2431" i="11" s="1"/>
  <c r="M2432" i="11"/>
  <c r="R2432" i="11" s="1"/>
  <c r="M2433" i="11"/>
  <c r="R2433" i="11"/>
  <c r="M2434" i="11"/>
  <c r="R2434" i="11" s="1"/>
  <c r="M2435" i="11"/>
  <c r="R2435" i="11" s="1"/>
  <c r="M2436" i="11"/>
  <c r="R2436" i="11"/>
  <c r="M2437" i="11"/>
  <c r="R2437" i="11" s="1"/>
  <c r="M2438" i="11"/>
  <c r="R2438" i="11" s="1"/>
  <c r="M2439" i="11"/>
  <c r="R2439" i="11"/>
  <c r="M2440" i="11"/>
  <c r="R2440" i="11" s="1"/>
  <c r="M2441" i="11"/>
  <c r="R2441" i="11" s="1"/>
  <c r="M2442" i="11"/>
  <c r="R2442" i="11"/>
  <c r="M2443" i="11"/>
  <c r="R2443" i="11" s="1"/>
  <c r="M2444" i="11"/>
  <c r="R2444" i="11" s="1"/>
  <c r="M2445" i="11"/>
  <c r="R2445" i="11"/>
  <c r="M2446" i="11"/>
  <c r="R2446" i="11" s="1"/>
  <c r="M2447" i="11"/>
  <c r="R2447" i="11" s="1"/>
  <c r="M2448" i="11"/>
  <c r="R2448" i="11"/>
  <c r="M2449" i="11"/>
  <c r="R2449" i="11" s="1"/>
  <c r="M2450" i="11"/>
  <c r="R2450" i="11" s="1"/>
  <c r="M2451" i="11"/>
  <c r="R2451" i="11"/>
  <c r="M2452" i="11"/>
  <c r="R2452" i="11" s="1"/>
  <c r="M2453" i="11"/>
  <c r="R2453" i="11" s="1"/>
  <c r="M2454" i="11"/>
  <c r="R2454" i="11"/>
  <c r="M2455" i="11"/>
  <c r="R2455" i="11" s="1"/>
  <c r="M2456" i="11"/>
  <c r="R2456" i="11" s="1"/>
  <c r="M2457" i="11"/>
  <c r="R2457" i="11"/>
  <c r="M2458" i="11"/>
  <c r="R2458" i="11" s="1"/>
  <c r="M2459" i="11"/>
  <c r="R2459" i="11" s="1"/>
  <c r="M2460" i="11"/>
  <c r="R2460" i="11"/>
  <c r="M2461" i="11"/>
  <c r="R2461" i="11" s="1"/>
  <c r="M2462" i="11"/>
  <c r="R2462" i="11" s="1"/>
  <c r="M2463" i="11"/>
  <c r="R2463" i="11"/>
  <c r="M2464" i="11"/>
  <c r="R2464" i="11" s="1"/>
  <c r="M2465" i="11"/>
  <c r="R2465" i="11" s="1"/>
  <c r="M2466" i="11"/>
  <c r="R2466" i="11"/>
  <c r="M2467" i="11"/>
  <c r="R2467" i="11" s="1"/>
  <c r="M2468" i="11"/>
  <c r="R2468" i="11" s="1"/>
  <c r="M2469" i="11"/>
  <c r="R2469" i="11"/>
  <c r="M2470" i="11"/>
  <c r="R2470" i="11" s="1"/>
  <c r="M2471" i="11"/>
  <c r="R2471" i="11" s="1"/>
  <c r="M2472" i="11"/>
  <c r="R2472" i="11"/>
  <c r="M2473" i="11"/>
  <c r="R2473" i="11" s="1"/>
  <c r="M2474" i="11"/>
  <c r="R2474" i="11" s="1"/>
  <c r="M2475" i="11"/>
  <c r="R2475" i="11"/>
  <c r="M2476" i="11"/>
  <c r="R2476" i="11" s="1"/>
  <c r="M2477" i="11"/>
  <c r="R2477" i="11" s="1"/>
  <c r="M2478" i="11"/>
  <c r="R2478" i="11"/>
  <c r="M2479" i="11"/>
  <c r="R2479" i="11" s="1"/>
  <c r="M2480" i="11"/>
  <c r="R2480" i="11" s="1"/>
  <c r="M2481" i="11"/>
  <c r="R2481" i="11"/>
  <c r="M2482" i="11"/>
  <c r="R2482" i="11" s="1"/>
  <c r="M2483" i="11"/>
  <c r="R2483" i="11" s="1"/>
  <c r="M2484" i="11"/>
  <c r="R2484" i="11"/>
  <c r="M2485" i="11"/>
  <c r="R2485" i="11" s="1"/>
  <c r="M2486" i="11"/>
  <c r="R2486" i="11" s="1"/>
  <c r="M2487" i="11"/>
  <c r="R2487" i="11"/>
  <c r="M2488" i="11"/>
  <c r="R2488" i="11" s="1"/>
  <c r="M2489" i="11"/>
  <c r="R2489" i="11" s="1"/>
  <c r="M2490" i="11"/>
  <c r="R2490" i="11"/>
  <c r="M2491" i="11"/>
  <c r="R2491" i="11" s="1"/>
  <c r="M2492" i="11"/>
  <c r="R2492" i="11" s="1"/>
  <c r="M2493" i="11"/>
  <c r="R2493" i="11"/>
  <c r="M2494" i="11"/>
  <c r="R2494" i="11" s="1"/>
  <c r="M2495" i="11"/>
  <c r="R2495" i="11" s="1"/>
  <c r="M2496" i="11"/>
  <c r="R2496" i="11"/>
  <c r="M2497" i="11"/>
  <c r="M2498" i="11"/>
  <c r="R2498" i="11" s="1"/>
  <c r="M2499" i="11"/>
  <c r="R2499" i="11"/>
  <c r="M2500" i="11"/>
  <c r="R2500" i="11" s="1"/>
  <c r="M2501" i="11"/>
  <c r="R2501" i="11" s="1"/>
  <c r="M2502" i="11"/>
  <c r="R2502" i="11"/>
  <c r="M2503" i="11"/>
  <c r="R2503" i="11" s="1"/>
  <c r="M2504" i="11"/>
  <c r="R2504" i="11" s="1"/>
  <c r="M2505" i="11"/>
  <c r="R2505" i="11"/>
  <c r="M2506" i="11"/>
  <c r="R2506" i="11" s="1"/>
  <c r="M2507" i="11"/>
  <c r="R2507" i="11" s="1"/>
  <c r="M2508" i="11"/>
  <c r="R2508" i="11"/>
  <c r="M2509" i="11"/>
  <c r="R2509" i="11" s="1"/>
  <c r="M2510" i="11"/>
  <c r="R2510" i="11" s="1"/>
  <c r="M2511" i="11"/>
  <c r="R2511" i="11"/>
  <c r="M2512" i="11"/>
  <c r="R2512" i="11" s="1"/>
  <c r="M2513" i="11"/>
  <c r="R2513" i="11" s="1"/>
  <c r="M2514" i="11"/>
  <c r="R2514" i="11"/>
  <c r="M2515" i="11"/>
  <c r="R2515" i="11" s="1"/>
  <c r="M2516" i="11"/>
  <c r="R2516" i="11" s="1"/>
  <c r="M2517" i="11"/>
  <c r="R2517" i="11"/>
  <c r="M2518" i="11"/>
  <c r="R2518" i="11" s="1"/>
  <c r="M2519" i="11"/>
  <c r="R2519" i="11" s="1"/>
  <c r="M2520" i="11"/>
  <c r="R2520" i="11"/>
  <c r="M2521" i="11"/>
  <c r="R2521" i="11" s="1"/>
  <c r="M2522" i="11"/>
  <c r="R2522" i="11" s="1"/>
  <c r="M2523" i="11"/>
  <c r="R2523" i="11"/>
  <c r="M2524" i="11"/>
  <c r="R2524" i="11" s="1"/>
  <c r="M2525" i="11"/>
  <c r="R2525" i="11" s="1"/>
  <c r="M2526" i="11"/>
  <c r="R2526" i="11"/>
  <c r="M2527" i="11"/>
  <c r="R2527" i="11" s="1"/>
  <c r="M2528" i="11"/>
  <c r="R2528" i="11" s="1"/>
  <c r="M2529" i="11"/>
  <c r="R2529" i="11"/>
  <c r="M2530" i="11"/>
  <c r="R2530" i="11" s="1"/>
  <c r="M2531" i="11"/>
  <c r="R2531" i="11" s="1"/>
  <c r="M2532" i="11"/>
  <c r="R2532" i="11"/>
  <c r="M2533" i="11"/>
  <c r="R2533" i="11" s="1"/>
  <c r="M2534" i="11"/>
  <c r="R2534" i="11" s="1"/>
  <c r="M2535" i="11"/>
  <c r="R2535" i="11"/>
  <c r="M2536" i="11"/>
  <c r="R2536" i="11" s="1"/>
  <c r="M2537" i="11"/>
  <c r="R2537" i="11" s="1"/>
  <c r="M2538" i="11"/>
  <c r="R2538" i="11"/>
  <c r="M2539" i="11"/>
  <c r="R2539" i="11" s="1"/>
  <c r="M2540" i="11"/>
  <c r="R2540" i="11" s="1"/>
  <c r="M2541" i="11"/>
  <c r="R2541" i="11"/>
  <c r="M2542" i="11"/>
  <c r="R2542" i="11" s="1"/>
  <c r="M2543" i="11"/>
  <c r="R2543" i="11" s="1"/>
  <c r="M2544" i="11"/>
  <c r="R2544" i="11"/>
  <c r="M2545" i="11"/>
  <c r="R2545" i="11" s="1"/>
  <c r="M2546" i="11"/>
  <c r="R2546" i="11" s="1"/>
  <c r="M2547" i="11"/>
  <c r="R2547" i="11"/>
  <c r="M2548" i="11"/>
  <c r="R2548" i="11" s="1"/>
  <c r="M2549" i="11"/>
  <c r="R2549" i="11" s="1"/>
  <c r="M2550" i="11"/>
  <c r="M2551" i="11"/>
  <c r="R2551" i="11" s="1"/>
  <c r="M2552" i="11"/>
  <c r="R2552" i="11" s="1"/>
  <c r="M2553" i="11"/>
  <c r="R2553" i="11"/>
  <c r="M2554" i="11"/>
  <c r="R2554" i="11" s="1"/>
  <c r="M2555" i="11"/>
  <c r="R2555" i="11" s="1"/>
  <c r="M2556" i="11"/>
  <c r="R2556" i="11"/>
  <c r="M2557" i="11"/>
  <c r="R2557" i="11" s="1"/>
  <c r="M2558" i="11"/>
  <c r="R2558" i="11" s="1"/>
  <c r="M2559" i="11"/>
  <c r="R2559" i="11"/>
  <c r="M2560" i="11"/>
  <c r="R2560" i="11" s="1"/>
  <c r="M2561" i="11"/>
  <c r="R2561" i="11" s="1"/>
  <c r="M2562" i="11"/>
  <c r="R2562" i="11"/>
  <c r="M2563" i="11"/>
  <c r="R2563" i="11" s="1"/>
  <c r="M2564" i="11"/>
  <c r="R2564" i="11" s="1"/>
  <c r="M2565" i="11"/>
  <c r="R2565" i="11"/>
  <c r="M2566" i="11"/>
  <c r="R2566" i="11" s="1"/>
  <c r="M2567" i="11"/>
  <c r="R2567" i="11" s="1"/>
  <c r="M2568" i="11"/>
  <c r="R2568" i="11"/>
  <c r="M2569" i="11"/>
  <c r="R2569" i="11" s="1"/>
  <c r="M2570" i="11"/>
  <c r="R2570" i="11" s="1"/>
  <c r="M2571" i="11"/>
  <c r="R2571" i="11"/>
  <c r="M2572" i="11"/>
  <c r="R2572" i="11" s="1"/>
  <c r="M2573" i="11"/>
  <c r="R2573" i="11" s="1"/>
  <c r="M2574" i="11"/>
  <c r="R2574" i="11"/>
  <c r="M2575" i="11"/>
  <c r="R2575" i="11" s="1"/>
  <c r="M2576" i="11"/>
  <c r="R2576" i="11" s="1"/>
  <c r="M2577" i="11"/>
  <c r="R2577" i="11"/>
  <c r="M2578" i="11"/>
  <c r="R2578" i="11" s="1"/>
  <c r="M2579" i="11"/>
  <c r="R2579" i="11" s="1"/>
  <c r="M2580" i="11"/>
  <c r="R2580" i="11"/>
  <c r="M2581" i="11"/>
  <c r="R2581" i="11" s="1"/>
  <c r="M2582" i="11"/>
  <c r="R2582" i="11" s="1"/>
  <c r="M2583" i="11"/>
  <c r="R2583" i="11"/>
  <c r="M2584" i="11"/>
  <c r="R2584" i="11" s="1"/>
  <c r="M2585" i="11"/>
  <c r="R2585" i="11" s="1"/>
  <c r="M2586" i="11"/>
  <c r="R2586" i="11"/>
  <c r="M2587" i="11"/>
  <c r="R2587" i="11" s="1"/>
  <c r="M2588" i="11"/>
  <c r="R2588" i="11" s="1"/>
  <c r="M2589" i="11"/>
  <c r="R2589" i="11"/>
  <c r="M2590" i="11"/>
  <c r="R2590" i="11" s="1"/>
  <c r="M2591" i="11"/>
  <c r="R2591" i="11" s="1"/>
  <c r="M2592" i="11"/>
  <c r="R2592" i="11"/>
  <c r="M2593" i="11"/>
  <c r="R2593" i="11" s="1"/>
  <c r="M2594" i="11"/>
  <c r="R2594" i="11" s="1"/>
  <c r="M2595" i="11"/>
  <c r="R2595" i="11"/>
  <c r="M2596" i="11"/>
  <c r="R2596" i="11" s="1"/>
  <c r="M2597" i="11"/>
  <c r="R2597" i="11" s="1"/>
  <c r="M2598" i="11"/>
  <c r="R2598" i="11"/>
  <c r="M2599" i="11"/>
  <c r="R2599" i="11"/>
  <c r="M2600" i="11"/>
  <c r="R2600" i="11" s="1"/>
  <c r="M2601" i="11"/>
  <c r="R2601" i="11"/>
  <c r="M2602" i="11"/>
  <c r="R2602" i="11" s="1"/>
  <c r="M2603" i="11"/>
  <c r="R2603" i="11" s="1"/>
  <c r="M2604" i="11"/>
  <c r="R2604" i="11"/>
  <c r="M2605" i="11"/>
  <c r="R2605" i="11" s="1"/>
  <c r="M2606" i="11"/>
  <c r="R2606" i="11" s="1"/>
  <c r="M2607" i="11"/>
  <c r="R2607" i="11"/>
  <c r="M2608" i="11"/>
  <c r="R2608" i="11"/>
  <c r="M2609" i="11"/>
  <c r="R2609" i="11" s="1"/>
  <c r="M2610" i="11"/>
  <c r="R2610" i="11"/>
  <c r="M2611" i="11"/>
  <c r="R2611" i="11" s="1"/>
  <c r="M2612" i="11"/>
  <c r="R2612" i="11" s="1"/>
  <c r="M2613" i="11"/>
  <c r="R2613" i="11"/>
  <c r="M2614" i="11"/>
  <c r="R2614" i="11" s="1"/>
  <c r="M2615" i="11"/>
  <c r="R2615" i="11" s="1"/>
  <c r="M2616" i="11"/>
  <c r="R2616" i="11"/>
  <c r="M2617" i="11"/>
  <c r="R2617" i="11"/>
  <c r="M2618" i="11"/>
  <c r="R2618" i="11" s="1"/>
  <c r="M2619" i="11"/>
  <c r="R2619" i="11"/>
  <c r="M2620" i="11"/>
  <c r="R2620" i="11"/>
  <c r="M2621" i="11"/>
  <c r="R2621" i="11" s="1"/>
  <c r="M2622" i="11"/>
  <c r="R2622" i="11"/>
  <c r="M2623" i="11"/>
  <c r="R2623" i="11"/>
  <c r="M2624" i="11"/>
  <c r="R2624" i="11" s="1"/>
  <c r="M2625" i="11"/>
  <c r="R2625" i="11"/>
  <c r="M2626" i="11"/>
  <c r="R2626" i="11" s="1"/>
  <c r="M2627" i="11"/>
  <c r="R2627" i="11" s="1"/>
  <c r="M2628" i="11"/>
  <c r="R2628" i="11"/>
  <c r="M2629" i="11"/>
  <c r="R2629" i="11" s="1"/>
  <c r="M2630" i="11"/>
  <c r="R2630" i="11" s="1"/>
  <c r="M2631" i="11"/>
  <c r="R2631" i="11"/>
  <c r="M2632" i="11"/>
  <c r="R2632" i="11"/>
  <c r="M2633" i="11"/>
  <c r="R2633" i="11" s="1"/>
  <c r="M2634" i="11"/>
  <c r="R2634" i="11"/>
  <c r="M2635" i="11"/>
  <c r="R2635" i="11"/>
  <c r="M2636" i="11"/>
  <c r="R2636" i="11" s="1"/>
  <c r="M2637" i="11"/>
  <c r="R2637" i="11"/>
  <c r="M2638" i="11"/>
  <c r="R2638" i="11" s="1"/>
  <c r="M2639" i="11"/>
  <c r="R2639" i="11" s="1"/>
  <c r="M2640" i="11"/>
  <c r="R2640" i="11"/>
  <c r="M2641" i="11"/>
  <c r="R2641" i="11" s="1"/>
  <c r="M2642" i="11"/>
  <c r="R2642" i="11" s="1"/>
  <c r="M2643" i="11"/>
  <c r="R2643" i="11"/>
  <c r="M2644" i="11"/>
  <c r="R2644" i="11"/>
  <c r="M2645" i="11"/>
  <c r="R2645" i="11" s="1"/>
  <c r="M2646" i="11"/>
  <c r="R2646" i="11"/>
  <c r="M2647" i="11"/>
  <c r="R2647" i="11" s="1"/>
  <c r="M2648" i="11"/>
  <c r="R2648" i="11" s="1"/>
  <c r="M2649" i="11"/>
  <c r="R2649" i="11"/>
  <c r="M2650" i="11"/>
  <c r="R2650" i="11" s="1"/>
  <c r="M2651" i="11"/>
  <c r="R2651" i="11" s="1"/>
  <c r="M2652" i="11"/>
  <c r="R2652" i="11"/>
  <c r="M2653" i="11"/>
  <c r="R2653" i="11"/>
  <c r="M2654" i="11"/>
  <c r="R2654" i="11" s="1"/>
  <c r="M2655" i="11"/>
  <c r="R2655" i="11"/>
  <c r="M2656" i="11"/>
  <c r="R2656" i="11"/>
  <c r="M2657" i="11"/>
  <c r="R2657" i="11" s="1"/>
  <c r="M2658" i="11"/>
  <c r="R2658" i="11"/>
  <c r="M2659" i="11"/>
  <c r="R2659" i="11"/>
  <c r="M2660" i="11"/>
  <c r="R2660" i="11" s="1"/>
  <c r="M2661" i="11"/>
  <c r="R2661" i="11"/>
  <c r="M2662" i="11"/>
  <c r="R2662" i="11" s="1"/>
  <c r="M2663" i="11"/>
  <c r="R2663" i="11" s="1"/>
  <c r="M2664" i="11"/>
  <c r="R2664" i="11"/>
  <c r="M2665" i="11"/>
  <c r="R2665" i="11" s="1"/>
  <c r="M2666" i="11"/>
  <c r="R2666" i="11" s="1"/>
  <c r="M2667" i="11"/>
  <c r="R2667" i="11"/>
  <c r="M2668" i="11"/>
  <c r="R2668" i="11"/>
  <c r="M2669" i="11"/>
  <c r="R2669" i="11" s="1"/>
  <c r="M2670" i="11"/>
  <c r="R2670" i="11"/>
  <c r="M2671" i="11"/>
  <c r="R2671" i="11"/>
  <c r="M2672" i="11"/>
  <c r="R2672" i="11" s="1"/>
  <c r="M2673" i="11"/>
  <c r="R2673" i="11"/>
  <c r="M2674" i="11"/>
  <c r="R2674" i="11" s="1"/>
  <c r="M2675" i="11"/>
  <c r="R2675" i="11" s="1"/>
  <c r="M2676" i="11"/>
  <c r="R2676" i="11"/>
  <c r="M2677" i="11"/>
  <c r="R2677" i="11" s="1"/>
  <c r="M2678" i="11"/>
  <c r="R2678" i="11" s="1"/>
  <c r="M2679" i="11"/>
  <c r="R2679" i="11"/>
  <c r="M2680" i="11"/>
  <c r="R2680" i="11"/>
  <c r="M2681" i="11"/>
  <c r="R2681" i="11" s="1"/>
  <c r="M2682" i="11"/>
  <c r="R2682" i="11"/>
  <c r="M2683" i="11"/>
  <c r="R2683" i="11" s="1"/>
  <c r="M2684" i="11"/>
  <c r="R2684" i="11" s="1"/>
  <c r="M2685" i="11"/>
  <c r="R2685" i="11"/>
  <c r="M2686" i="11"/>
  <c r="R2686" i="11" s="1"/>
  <c r="M2687" i="11"/>
  <c r="R2687" i="11" s="1"/>
  <c r="M2688" i="11"/>
  <c r="R2688" i="11"/>
  <c r="M2689" i="11"/>
  <c r="R2689" i="11"/>
  <c r="M2690" i="11"/>
  <c r="R2690" i="11" s="1"/>
  <c r="M2691" i="11"/>
  <c r="R2691" i="11"/>
  <c r="M2692" i="11"/>
  <c r="R2692" i="11"/>
  <c r="M2693" i="11"/>
  <c r="R2693" i="11" s="1"/>
  <c r="M2694" i="11"/>
  <c r="R2694" i="11"/>
  <c r="M2695" i="11"/>
  <c r="R2695" i="11"/>
  <c r="M2696" i="11"/>
  <c r="R2696" i="11" s="1"/>
  <c r="M2697" i="11"/>
  <c r="R2697" i="11"/>
  <c r="M2698" i="11"/>
  <c r="R2698" i="11" s="1"/>
  <c r="M2699" i="11"/>
  <c r="R2699" i="11" s="1"/>
  <c r="M2700" i="11"/>
  <c r="R2700" i="11"/>
  <c r="M2701" i="11"/>
  <c r="R2701" i="11"/>
  <c r="M2702" i="11"/>
  <c r="R2702" i="11" s="1"/>
  <c r="M2703" i="11"/>
  <c r="R2703" i="11"/>
  <c r="M2704" i="11"/>
  <c r="R2704" i="11"/>
  <c r="M2705" i="11"/>
  <c r="R2705" i="11" s="1"/>
  <c r="M2706" i="11"/>
  <c r="R2706" i="11"/>
  <c r="M2707" i="11"/>
  <c r="R2707" i="11"/>
  <c r="M2708" i="11"/>
  <c r="R2708" i="11" s="1"/>
  <c r="M2709" i="11"/>
  <c r="R2709" i="11"/>
  <c r="M2710" i="11"/>
  <c r="R2710" i="11" s="1"/>
  <c r="M2711" i="11"/>
  <c r="R2711" i="11" s="1"/>
  <c r="M2712" i="11"/>
  <c r="R2712" i="11"/>
  <c r="M2713" i="11"/>
  <c r="R2713" i="11"/>
  <c r="M2714" i="11"/>
  <c r="R2714" i="11" s="1"/>
  <c r="M2715" i="11"/>
  <c r="R2715" i="11"/>
  <c r="M2716" i="11"/>
  <c r="R2716" i="11"/>
  <c r="M2717" i="11"/>
  <c r="R2717" i="11" s="1"/>
  <c r="M2718" i="11"/>
  <c r="R2718" i="11"/>
  <c r="M2719" i="11"/>
  <c r="R2719" i="11" s="1"/>
  <c r="M2720" i="11"/>
  <c r="R2720" i="11" s="1"/>
  <c r="M2721" i="11"/>
  <c r="R2721" i="11"/>
  <c r="M2722" i="11"/>
  <c r="R2722" i="11" s="1"/>
  <c r="M2723" i="11"/>
  <c r="R2723" i="11" s="1"/>
  <c r="M2724" i="11"/>
  <c r="R2724" i="11"/>
  <c r="M2725" i="11"/>
  <c r="R2725" i="11"/>
  <c r="M2726" i="11"/>
  <c r="R2726" i="11" s="1"/>
  <c r="M2727" i="11"/>
  <c r="R2727" i="11"/>
  <c r="M2728" i="11"/>
  <c r="R2728" i="11"/>
  <c r="M2729" i="11"/>
  <c r="R2729" i="11" s="1"/>
  <c r="M2730" i="11"/>
  <c r="R2730" i="11"/>
  <c r="M2731" i="11"/>
  <c r="R2731" i="11"/>
  <c r="M2732" i="11"/>
  <c r="R2732" i="11" s="1"/>
  <c r="M2733" i="11"/>
  <c r="R2733" i="11"/>
  <c r="M2734" i="11"/>
  <c r="R2734" i="11" s="1"/>
  <c r="M2735" i="11"/>
  <c r="R2735" i="11" s="1"/>
  <c r="M2736" i="11"/>
  <c r="R2736" i="11"/>
  <c r="M2737" i="11"/>
  <c r="R2737" i="11"/>
  <c r="M2738" i="11"/>
  <c r="R2738" i="11" s="1"/>
  <c r="M2739" i="11"/>
  <c r="R2739" i="11"/>
  <c r="M2740" i="11"/>
  <c r="R2740" i="11"/>
  <c r="M2741" i="11"/>
  <c r="R2741" i="11" s="1"/>
  <c r="M2742" i="11"/>
  <c r="R2742" i="11"/>
  <c r="M2743" i="11"/>
  <c r="R2743" i="11"/>
  <c r="M2744" i="11"/>
  <c r="R2744" i="11" s="1"/>
  <c r="M2745" i="11"/>
  <c r="R2745" i="11"/>
  <c r="M2746" i="11"/>
  <c r="R2746" i="11" s="1"/>
  <c r="M2747" i="11"/>
  <c r="R2747" i="11" s="1"/>
  <c r="M2748" i="11"/>
  <c r="R2748" i="11"/>
  <c r="M2749" i="11"/>
  <c r="R2749" i="11"/>
  <c r="M2750" i="11"/>
  <c r="R2750" i="11" s="1"/>
  <c r="M2751" i="11"/>
  <c r="R2751" i="11"/>
  <c r="M2752" i="11"/>
  <c r="R2752" i="11"/>
  <c r="M2753" i="11"/>
  <c r="R2753" i="11" s="1"/>
  <c r="M2754" i="11"/>
  <c r="R2754" i="11"/>
  <c r="M2755" i="11"/>
  <c r="R2755" i="11" s="1"/>
  <c r="M2756" i="11"/>
  <c r="R2756" i="11" s="1"/>
  <c r="M2757" i="11"/>
  <c r="R2757" i="11"/>
  <c r="M2758" i="11"/>
  <c r="R2758" i="11" s="1"/>
  <c r="M2759" i="11"/>
  <c r="R2759" i="11" s="1"/>
  <c r="M2760" i="11"/>
  <c r="R2760" i="11"/>
  <c r="M2761" i="11"/>
  <c r="R2761" i="11"/>
  <c r="M2762" i="11"/>
  <c r="R2762" i="11" s="1"/>
  <c r="M2763" i="11"/>
  <c r="R2763" i="11"/>
  <c r="M2764" i="11"/>
  <c r="R2764" i="11"/>
  <c r="M2765" i="11"/>
  <c r="R2765" i="11" s="1"/>
  <c r="M2766" i="11"/>
  <c r="R2766" i="11"/>
  <c r="M2767" i="11"/>
  <c r="R2767" i="11"/>
  <c r="M2768" i="11"/>
  <c r="R2768" i="11" s="1"/>
  <c r="M2769" i="11"/>
  <c r="R2769" i="11"/>
  <c r="M2770" i="11"/>
  <c r="R2770" i="11" s="1"/>
  <c r="M2771" i="11"/>
  <c r="R2771" i="11" s="1"/>
  <c r="M2772" i="11"/>
  <c r="R2772" i="11"/>
  <c r="M2773" i="11"/>
  <c r="R2773" i="11"/>
  <c r="M2774" i="11"/>
  <c r="R2774" i="11" s="1"/>
  <c r="M2775" i="11"/>
  <c r="R2775" i="11"/>
  <c r="M2776" i="11"/>
  <c r="R2776" i="11"/>
  <c r="M2777" i="11"/>
  <c r="R2777" i="11" s="1"/>
  <c r="M2778" i="11"/>
  <c r="R2778" i="11"/>
  <c r="M2779" i="11"/>
  <c r="R2779" i="11"/>
  <c r="M2780" i="11"/>
  <c r="R2780" i="11" s="1"/>
  <c r="M2781" i="11"/>
  <c r="R2781" i="11"/>
  <c r="M2782" i="11"/>
  <c r="R2782" i="11" s="1"/>
  <c r="M2783" i="11"/>
  <c r="R2783" i="11" s="1"/>
  <c r="M2784" i="11"/>
  <c r="R2784" i="11"/>
  <c r="M2785" i="11"/>
  <c r="R2785" i="11"/>
  <c r="M2786" i="11"/>
  <c r="R2786" i="11" s="1"/>
  <c r="M2787" i="11"/>
  <c r="R2787" i="11"/>
  <c r="M2788" i="11"/>
  <c r="R2788" i="11"/>
  <c r="M2789" i="11"/>
  <c r="R2789" i="11" s="1"/>
  <c r="M2790" i="11"/>
  <c r="R2790" i="11"/>
  <c r="M2791" i="11"/>
  <c r="R2791" i="11" s="1"/>
  <c r="M2792" i="11"/>
  <c r="R2792" i="11" s="1"/>
  <c r="M2793" i="11"/>
  <c r="R2793" i="11"/>
  <c r="M2794" i="11"/>
  <c r="R2794" i="11" s="1"/>
  <c r="M2795" i="11"/>
  <c r="R2795" i="11" s="1"/>
  <c r="M2796" i="11"/>
  <c r="R2796" i="11"/>
  <c r="M2797" i="11"/>
  <c r="R2797" i="11"/>
  <c r="M2798" i="11"/>
  <c r="R2798" i="11" s="1"/>
  <c r="M2799" i="11"/>
  <c r="R2799" i="11"/>
  <c r="M2800" i="11"/>
  <c r="R2800" i="11"/>
  <c r="M2801" i="11"/>
  <c r="R2801" i="11" s="1"/>
  <c r="M2802" i="11"/>
  <c r="R2802" i="11"/>
  <c r="M2803" i="11"/>
  <c r="R2803" i="11"/>
  <c r="M2804" i="11"/>
  <c r="R2804" i="11" s="1"/>
  <c r="M2805" i="11"/>
  <c r="R2805" i="11"/>
  <c r="M2806" i="11"/>
  <c r="R2806" i="11" s="1"/>
  <c r="M2807" i="11"/>
  <c r="R2807" i="11" s="1"/>
  <c r="M2808" i="11"/>
  <c r="R2808" i="11"/>
  <c r="M2809" i="11"/>
  <c r="R2809" i="11"/>
  <c r="M2810" i="11"/>
  <c r="R2810" i="11" s="1"/>
  <c r="M2811" i="11"/>
  <c r="R2811" i="11"/>
  <c r="M2812" i="11"/>
  <c r="R2812" i="11"/>
  <c r="M2813" i="11"/>
  <c r="R2813" i="11" s="1"/>
  <c r="M2814" i="11"/>
  <c r="R2814" i="11"/>
  <c r="M2815" i="11"/>
  <c r="R2815" i="11"/>
  <c r="M2816" i="11"/>
  <c r="R2816" i="11" s="1"/>
  <c r="M2817" i="11"/>
  <c r="R2817" i="11"/>
  <c r="M2818" i="11"/>
  <c r="R2818" i="11" s="1"/>
  <c r="M2819" i="11"/>
  <c r="R2819" i="11" s="1"/>
  <c r="M2820" i="11"/>
  <c r="R2820" i="11"/>
  <c r="M2821" i="11"/>
  <c r="R2821" i="11"/>
  <c r="M2822" i="11"/>
  <c r="R2822" i="11" s="1"/>
  <c r="M2823" i="11"/>
  <c r="R2823" i="11"/>
  <c r="M2824" i="11"/>
  <c r="R2824" i="11"/>
  <c r="M2825" i="11"/>
  <c r="R2825" i="11" s="1"/>
  <c r="M2826" i="11"/>
  <c r="R2826" i="11"/>
  <c r="M2827" i="11"/>
  <c r="R2827" i="11" s="1"/>
  <c r="M2828" i="11"/>
  <c r="R2828" i="11" s="1"/>
  <c r="M2829" i="11"/>
  <c r="R2829" i="11"/>
  <c r="M2830" i="11"/>
  <c r="R2830" i="11" s="1"/>
  <c r="M2831" i="11"/>
  <c r="R2831" i="11" s="1"/>
  <c r="M2832" i="11"/>
  <c r="R2832" i="11"/>
  <c r="M2833" i="11"/>
  <c r="R2833" i="11"/>
  <c r="M2834" i="11"/>
  <c r="R2834" i="11" s="1"/>
  <c r="M2835" i="11"/>
  <c r="R2835" i="11" s="1"/>
  <c r="M2836" i="11"/>
  <c r="R2836" i="11"/>
  <c r="M2837" i="11"/>
  <c r="R2837" i="11" s="1"/>
  <c r="M2838" i="11"/>
  <c r="R2838" i="11"/>
  <c r="M2839" i="11"/>
  <c r="R2839" i="11"/>
  <c r="M2840" i="11"/>
  <c r="R2840" i="11" s="1"/>
  <c r="M2841" i="11"/>
  <c r="R2841" i="11"/>
  <c r="M2842" i="11"/>
  <c r="R2842" i="11" s="1"/>
  <c r="M2843" i="11"/>
  <c r="R2843" i="11" s="1"/>
  <c r="M2844" i="11"/>
  <c r="R2844" i="11"/>
  <c r="M2845" i="11"/>
  <c r="R2845" i="11"/>
  <c r="M2846" i="11"/>
  <c r="R2846" i="11" s="1"/>
  <c r="M2847" i="11"/>
  <c r="R2847" i="11" s="1"/>
  <c r="M2848" i="11"/>
  <c r="R2848" i="11"/>
  <c r="M2849" i="11"/>
  <c r="R2849" i="11" s="1"/>
  <c r="M2850" i="11"/>
  <c r="R2850" i="11"/>
  <c r="M2851" i="11"/>
  <c r="R2851" i="11"/>
  <c r="M2852" i="11"/>
  <c r="R2852" i="11" s="1"/>
  <c r="M2853" i="11"/>
  <c r="R2853" i="11"/>
  <c r="M2854" i="11"/>
  <c r="R2854" i="11" s="1"/>
  <c r="M2855" i="11"/>
  <c r="R2855" i="11" s="1"/>
  <c r="M2856" i="11"/>
  <c r="R2856" i="11" s="1"/>
  <c r="M2857" i="11"/>
  <c r="R2857" i="11" s="1"/>
  <c r="M2858" i="11"/>
  <c r="R2858" i="11" s="1"/>
  <c r="M2859" i="11"/>
  <c r="R2859" i="11" s="1"/>
  <c r="M2860" i="11"/>
  <c r="R2860" i="11"/>
  <c r="M2861" i="11"/>
  <c r="R2861" i="11" s="1"/>
  <c r="M2862" i="11"/>
  <c r="R2862" i="11"/>
  <c r="M2863" i="11"/>
  <c r="R2863" i="11" s="1"/>
  <c r="M2864" i="11"/>
  <c r="R2864" i="11" s="1"/>
  <c r="M2865" i="11"/>
  <c r="R2865" i="11"/>
  <c r="M2866" i="11"/>
  <c r="R2866" i="11" s="1"/>
  <c r="M2867" i="11"/>
  <c r="R2867" i="11" s="1"/>
  <c r="M2868" i="11"/>
  <c r="R2868" i="11"/>
  <c r="M2869" i="11"/>
  <c r="R2869" i="11"/>
  <c r="M2870" i="11"/>
  <c r="R2870" i="11" s="1"/>
  <c r="M2871" i="11"/>
  <c r="R2871" i="11" s="1"/>
  <c r="M2872" i="11"/>
  <c r="R2872" i="11"/>
  <c r="M2873" i="11"/>
  <c r="R2873" i="11" s="1"/>
  <c r="M2874" i="11"/>
  <c r="R2874" i="11"/>
  <c r="M2875" i="11"/>
  <c r="R2875" i="11"/>
  <c r="M2876" i="11"/>
  <c r="R2876" i="11" s="1"/>
  <c r="M2877" i="11"/>
  <c r="R2877" i="11"/>
  <c r="M2878" i="11"/>
  <c r="R2878" i="11" s="1"/>
  <c r="M2879" i="11"/>
  <c r="R2879" i="11" s="1"/>
  <c r="M2880" i="11"/>
  <c r="R2880" i="11"/>
  <c r="M2881" i="11"/>
  <c r="R2881" i="11"/>
  <c r="M2882" i="11"/>
  <c r="R2882" i="11" s="1"/>
  <c r="M2883" i="11"/>
  <c r="R2883" i="11" s="1"/>
  <c r="M2884" i="11"/>
  <c r="R2884" i="11"/>
  <c r="M2885" i="11"/>
  <c r="R2885" i="11" s="1"/>
  <c r="M2886" i="11"/>
  <c r="R2886" i="11"/>
  <c r="M2887" i="11"/>
  <c r="R2887" i="11"/>
  <c r="M2888" i="11"/>
  <c r="R2888" i="11" s="1"/>
  <c r="M2889" i="11"/>
  <c r="R2889" i="11"/>
  <c r="M2890" i="11"/>
  <c r="R2890" i="11" s="1"/>
  <c r="M2891" i="11"/>
  <c r="R2891" i="11" s="1"/>
  <c r="M2892" i="11"/>
  <c r="R2892" i="11"/>
  <c r="M2893" i="11"/>
  <c r="R2893" i="11"/>
  <c r="M2894" i="11"/>
  <c r="R2894" i="11" s="1"/>
  <c r="M2895" i="11"/>
  <c r="R2895" i="11" s="1"/>
  <c r="M2896" i="11"/>
  <c r="R2896" i="11"/>
  <c r="M2897" i="11"/>
  <c r="R2897" i="11" s="1"/>
  <c r="M2898" i="11"/>
  <c r="R2898" i="11"/>
  <c r="M2899" i="11"/>
  <c r="R2899" i="11" s="1"/>
  <c r="M2900" i="11"/>
  <c r="R2900" i="11" s="1"/>
  <c r="M2901" i="11"/>
  <c r="R2901" i="11"/>
  <c r="M2902" i="11"/>
  <c r="R2902" i="11" s="1"/>
  <c r="M2903" i="11"/>
  <c r="R2903" i="11" s="1"/>
  <c r="M2904" i="11"/>
  <c r="R2904" i="11" s="1"/>
  <c r="M2905" i="11"/>
  <c r="R2905" i="11"/>
  <c r="M2906" i="11"/>
  <c r="R2906" i="11" s="1"/>
  <c r="M2907" i="11"/>
  <c r="R2907" i="11" s="1"/>
  <c r="M2908" i="11"/>
  <c r="R2908" i="11"/>
  <c r="M2909" i="11"/>
  <c r="R2909" i="11" s="1"/>
  <c r="M2910" i="11"/>
  <c r="R2910" i="11"/>
  <c r="M2911" i="11"/>
  <c r="R2911" i="11" s="1"/>
  <c r="M2912" i="11"/>
  <c r="R2912" i="11" s="1"/>
  <c r="M2913" i="11"/>
  <c r="R2913" i="11"/>
  <c r="M2914" i="11"/>
  <c r="R2914" i="11" s="1"/>
  <c r="M2915" i="11"/>
  <c r="R2915" i="11" s="1"/>
  <c r="M2916" i="11"/>
  <c r="R2916" i="11"/>
  <c r="M2917" i="11"/>
  <c r="R2917" i="11"/>
  <c r="M2918" i="11"/>
  <c r="R2918" i="11" s="1"/>
  <c r="M2919" i="11"/>
  <c r="R2919" i="11" s="1"/>
  <c r="M2920" i="11"/>
  <c r="R2920" i="11"/>
  <c r="M2921" i="11"/>
  <c r="R2921" i="11" s="1"/>
  <c r="M2922" i="11"/>
  <c r="R2922" i="11"/>
  <c r="M2923" i="11"/>
  <c r="R2923" i="11"/>
  <c r="M2924" i="11"/>
  <c r="R2924" i="11" s="1"/>
  <c r="M2925" i="11"/>
  <c r="R2925" i="11"/>
  <c r="M2926" i="11"/>
  <c r="R2926" i="11" s="1"/>
  <c r="M2927" i="11"/>
  <c r="R2927" i="11" s="1"/>
  <c r="M2928" i="11"/>
  <c r="R2928" i="11" s="1"/>
  <c r="M2929" i="11"/>
  <c r="R2929" i="11" s="1"/>
  <c r="M2930" i="11"/>
  <c r="R2930" i="11" s="1"/>
  <c r="M2931" i="11"/>
  <c r="R2931" i="11" s="1"/>
  <c r="M2932" i="11"/>
  <c r="R2932" i="11"/>
  <c r="M2933" i="11"/>
  <c r="R2933" i="11" s="1"/>
  <c r="M2934" i="11"/>
  <c r="R2934" i="11"/>
  <c r="M2935" i="11"/>
  <c r="R2935" i="11" s="1"/>
  <c r="M2936" i="11"/>
  <c r="R2936" i="11" s="1"/>
  <c r="M2937" i="11"/>
  <c r="R2937" i="11"/>
  <c r="M2938" i="11"/>
  <c r="R2938" i="11" s="1"/>
  <c r="M2939" i="11"/>
  <c r="R2939" i="11" s="1"/>
  <c r="M2940" i="11"/>
  <c r="R2940" i="11" s="1"/>
  <c r="M2941" i="11"/>
  <c r="R2941" i="11"/>
  <c r="M2942" i="11"/>
  <c r="R2942" i="11" s="1"/>
  <c r="M2943" i="11"/>
  <c r="R2943" i="11" s="1"/>
  <c r="M2944" i="11"/>
  <c r="R2944" i="11"/>
  <c r="M2945" i="11"/>
  <c r="R2945" i="11"/>
  <c r="M2946" i="11"/>
  <c r="R2946" i="11" s="1"/>
  <c r="M2947" i="11"/>
  <c r="R2947" i="11"/>
  <c r="M2948" i="11"/>
  <c r="R2948" i="11" s="1"/>
  <c r="M2949" i="11"/>
  <c r="R2949" i="11" s="1"/>
  <c r="M2950" i="11"/>
  <c r="R2950" i="11"/>
  <c r="M2951" i="11"/>
  <c r="R2951" i="11"/>
  <c r="M2952" i="11"/>
  <c r="R2952" i="11" s="1"/>
  <c r="M2953" i="11"/>
  <c r="R2953" i="11"/>
  <c r="M2954" i="11"/>
  <c r="R2954" i="11" s="1"/>
  <c r="M2955" i="11"/>
  <c r="R2955" i="11" s="1"/>
  <c r="M2956" i="11"/>
  <c r="R2956" i="11"/>
  <c r="M2957" i="11"/>
  <c r="R2957" i="11"/>
  <c r="M2958" i="11"/>
  <c r="M2959" i="11"/>
  <c r="R2959" i="11"/>
  <c r="M2960" i="11"/>
  <c r="R2960" i="11" s="1"/>
  <c r="M2961" i="11"/>
  <c r="R2961" i="11" s="1"/>
  <c r="M2962" i="11"/>
  <c r="R2962" i="11"/>
  <c r="M2963" i="11"/>
  <c r="R2963" i="11"/>
  <c r="M2964" i="11"/>
  <c r="R2964" i="11" s="1"/>
  <c r="M2965" i="11"/>
  <c r="R2965" i="11"/>
  <c r="M2966" i="11"/>
  <c r="R2966" i="11" s="1"/>
  <c r="M2967" i="11"/>
  <c r="R2967" i="11" s="1"/>
  <c r="M2968" i="11"/>
  <c r="R2968" i="11"/>
  <c r="M2969" i="11"/>
  <c r="R2969" i="11"/>
  <c r="M2970" i="11"/>
  <c r="R2970" i="11" s="1"/>
  <c r="M2971" i="11"/>
  <c r="R2971" i="11"/>
  <c r="M2972" i="11"/>
  <c r="R2972" i="11" s="1"/>
  <c r="M2973" i="11"/>
  <c r="R2973" i="11" s="1"/>
  <c r="M2974" i="11"/>
  <c r="R2974" i="11"/>
  <c r="M2975" i="11"/>
  <c r="R2975" i="11"/>
  <c r="M2976" i="11"/>
  <c r="R2976" i="11" s="1"/>
  <c r="M2977" i="11"/>
  <c r="R2977" i="11"/>
  <c r="M2978" i="11"/>
  <c r="R2978" i="11" s="1"/>
  <c r="M2979" i="11"/>
  <c r="R2979" i="11" s="1"/>
  <c r="M2980" i="11"/>
  <c r="R2980" i="11"/>
  <c r="M2981" i="11"/>
  <c r="R2981" i="11"/>
  <c r="M2982" i="11"/>
  <c r="R2982" i="11" s="1"/>
  <c r="M2983" i="11"/>
  <c r="R2983" i="11"/>
  <c r="M2984" i="11"/>
  <c r="R2984" i="11" s="1"/>
  <c r="M2985" i="11"/>
  <c r="R2985" i="11" s="1"/>
  <c r="M2986" i="11"/>
  <c r="R2986" i="11"/>
  <c r="M2987" i="11"/>
  <c r="R2987" i="11"/>
  <c r="M2988" i="11"/>
  <c r="R2988" i="11" s="1"/>
  <c r="M2989" i="11"/>
  <c r="R2989" i="11"/>
  <c r="M2990" i="11"/>
  <c r="R2990" i="11" s="1"/>
  <c r="M2991" i="11"/>
  <c r="R2991" i="11" s="1"/>
  <c r="M2992" i="11"/>
  <c r="R2992" i="11"/>
  <c r="M2993" i="11"/>
  <c r="R2993" i="11"/>
  <c r="M2994" i="11"/>
  <c r="R2994" i="11" s="1"/>
  <c r="M2995" i="11"/>
  <c r="R2995" i="11"/>
  <c r="M2996" i="11"/>
  <c r="R2996" i="11" s="1"/>
  <c r="M2997" i="11"/>
  <c r="R2997" i="11" s="1"/>
  <c r="M2998" i="11"/>
  <c r="R2998" i="11"/>
  <c r="M2999" i="11"/>
  <c r="R2999" i="11" s="1"/>
  <c r="M3000" i="11"/>
  <c r="R3000" i="11" s="1"/>
  <c r="M3001" i="11"/>
  <c r="R3001" i="11"/>
  <c r="M3002" i="11"/>
  <c r="R3002" i="11" s="1"/>
  <c r="M3003" i="11"/>
  <c r="R3003" i="11" s="1"/>
  <c r="M3004" i="11"/>
  <c r="R3004" i="11"/>
  <c r="M3005" i="11"/>
  <c r="R3005" i="11" s="1"/>
  <c r="M3006" i="11"/>
  <c r="R3006" i="11" s="1"/>
  <c r="M3007" i="11"/>
  <c r="R3007" i="11"/>
  <c r="M3008" i="11"/>
  <c r="R3008" i="11" s="1"/>
  <c r="M3009" i="11"/>
  <c r="R3009" i="11" s="1"/>
  <c r="M3010" i="11"/>
  <c r="R3010" i="11"/>
  <c r="M3011" i="11"/>
  <c r="R3011" i="11" s="1"/>
  <c r="M3012" i="11"/>
  <c r="R3012" i="11" s="1"/>
  <c r="M3013" i="11"/>
  <c r="R3013" i="11"/>
  <c r="M3014" i="11"/>
  <c r="R3014" i="11" s="1"/>
  <c r="M3015" i="11"/>
  <c r="R3015" i="11" s="1"/>
  <c r="M3016" i="11"/>
  <c r="R3016" i="11"/>
  <c r="M3017" i="11"/>
  <c r="R3017" i="11" s="1"/>
  <c r="M3018" i="11"/>
  <c r="R3018" i="11" s="1"/>
  <c r="M3019" i="11"/>
  <c r="R3019" i="11"/>
  <c r="M3020" i="11"/>
  <c r="R3020" i="11" s="1"/>
  <c r="M3021" i="11"/>
  <c r="R3021" i="11" s="1"/>
  <c r="M3022" i="11"/>
  <c r="R3022" i="11"/>
  <c r="M3023" i="11"/>
  <c r="R3023" i="11" s="1"/>
  <c r="M3024" i="11"/>
  <c r="R3024" i="11" s="1"/>
  <c r="M3025" i="11"/>
  <c r="R3025" i="11"/>
  <c r="M3026" i="11"/>
  <c r="R3026" i="11" s="1"/>
  <c r="M3027" i="11"/>
  <c r="R3027" i="11" s="1"/>
  <c r="M3028" i="11"/>
  <c r="R3028" i="11"/>
  <c r="M3029" i="11"/>
  <c r="R3029" i="11" s="1"/>
  <c r="M3030" i="11"/>
  <c r="R3030" i="11" s="1"/>
  <c r="M3031" i="11"/>
  <c r="R3031" i="11"/>
  <c r="M3032" i="11"/>
  <c r="R3032" i="11" s="1"/>
  <c r="M3033" i="11"/>
  <c r="R3033" i="11" s="1"/>
  <c r="M3034" i="11"/>
  <c r="R3034" i="11"/>
  <c r="M3035" i="11"/>
  <c r="R3035" i="11" s="1"/>
  <c r="M3036" i="11"/>
  <c r="R3036" i="11" s="1"/>
  <c r="M3037" i="11"/>
  <c r="R3037" i="11"/>
  <c r="M3038" i="11"/>
  <c r="R3038" i="11" s="1"/>
  <c r="M3039" i="11"/>
  <c r="R3039" i="11" s="1"/>
  <c r="M3040" i="11"/>
  <c r="R3040" i="11"/>
  <c r="M3041" i="11"/>
  <c r="R3041" i="11" s="1"/>
  <c r="M3042" i="11"/>
  <c r="R3042" i="11" s="1"/>
  <c r="M3043" i="11"/>
  <c r="R3043" i="11"/>
  <c r="M3044" i="11"/>
  <c r="R3044" i="11" s="1"/>
  <c r="M3045" i="11"/>
  <c r="R3045" i="11" s="1"/>
  <c r="M3046" i="11"/>
  <c r="R3046" i="11"/>
  <c r="M3047" i="11"/>
  <c r="R3047" i="11" s="1"/>
  <c r="M3048" i="11"/>
  <c r="R3048" i="11" s="1"/>
  <c r="M3049" i="11"/>
  <c r="R3049" i="11"/>
  <c r="M3050" i="11"/>
  <c r="R3050" i="11" s="1"/>
  <c r="M3051" i="11"/>
  <c r="R3051" i="11" s="1"/>
  <c r="M3052" i="11"/>
  <c r="R3052" i="11"/>
  <c r="M3053" i="11"/>
  <c r="R3053" i="11" s="1"/>
  <c r="M3054" i="11"/>
  <c r="R3054" i="11" s="1"/>
  <c r="M3055" i="11"/>
  <c r="R3055" i="11"/>
  <c r="M3056" i="11"/>
  <c r="R3056" i="11" s="1"/>
  <c r="M3057" i="11"/>
  <c r="R3057" i="11" s="1"/>
  <c r="M3058" i="11"/>
  <c r="R3058" i="11"/>
  <c r="M3059" i="11"/>
  <c r="R3059" i="11" s="1"/>
  <c r="M3060" i="11"/>
  <c r="R3060" i="11" s="1"/>
  <c r="M3061" i="11"/>
  <c r="R3061" i="11"/>
  <c r="M3062" i="11"/>
  <c r="R3062" i="11" s="1"/>
  <c r="M3063" i="11"/>
  <c r="R3063" i="11" s="1"/>
  <c r="M3064" i="11"/>
  <c r="R3064" i="11"/>
  <c r="M3065" i="11"/>
  <c r="R3065" i="11" s="1"/>
  <c r="M3066" i="11"/>
  <c r="R3066" i="11" s="1"/>
  <c r="M3067" i="11"/>
  <c r="R3067" i="11"/>
  <c r="M3068" i="11"/>
  <c r="R3068" i="11" s="1"/>
  <c r="M3069" i="11"/>
  <c r="R3069" i="11" s="1"/>
  <c r="M3070" i="11"/>
  <c r="R3070" i="11"/>
  <c r="M3071" i="11"/>
  <c r="R3071" i="11" s="1"/>
  <c r="M3072" i="11"/>
  <c r="R3072" i="11" s="1"/>
  <c r="M3073" i="11"/>
  <c r="R3073" i="11"/>
  <c r="M3074" i="11"/>
  <c r="R3074" i="11" s="1"/>
  <c r="M3075" i="11"/>
  <c r="R3075" i="11" s="1"/>
  <c r="M3076" i="11"/>
  <c r="R3076" i="11"/>
  <c r="M3077" i="11"/>
  <c r="R3077" i="11" s="1"/>
  <c r="M3078" i="11"/>
  <c r="R3078" i="11" s="1"/>
  <c r="M3079" i="11"/>
  <c r="R3079" i="11"/>
  <c r="M3080" i="11"/>
  <c r="R3080" i="11" s="1"/>
  <c r="M3081" i="11"/>
  <c r="R3081" i="11" s="1"/>
  <c r="M3082" i="11"/>
  <c r="R3082" i="11"/>
  <c r="M3083" i="11"/>
  <c r="R3083" i="11" s="1"/>
  <c r="M3084" i="11"/>
  <c r="R3084" i="11" s="1"/>
  <c r="M3085" i="11"/>
  <c r="R3085" i="11"/>
  <c r="M3086" i="11"/>
  <c r="R3086" i="11" s="1"/>
  <c r="M3087" i="11"/>
  <c r="R3087" i="11" s="1"/>
  <c r="M3088" i="11"/>
  <c r="R3088" i="11"/>
  <c r="M3089" i="11"/>
  <c r="R3089" i="11" s="1"/>
  <c r="M3090" i="11"/>
  <c r="R3090" i="11" s="1"/>
  <c r="M3091" i="11"/>
  <c r="R3091" i="11"/>
  <c r="M3092" i="11"/>
  <c r="R3092" i="11" s="1"/>
  <c r="M3093" i="11"/>
  <c r="R3093" i="11" s="1"/>
  <c r="M3094" i="11"/>
  <c r="R3094" i="11"/>
  <c r="M3095" i="11"/>
  <c r="R3095" i="11" s="1"/>
  <c r="M3096" i="11"/>
  <c r="R3096" i="11" s="1"/>
  <c r="M3097" i="11"/>
  <c r="R3097" i="11"/>
  <c r="M3098" i="11"/>
  <c r="R3098" i="11" s="1"/>
  <c r="M3099" i="11"/>
  <c r="R3099" i="11" s="1"/>
  <c r="M3100" i="11"/>
  <c r="R3100" i="11"/>
  <c r="M3101" i="11"/>
  <c r="R3101" i="11" s="1"/>
  <c r="M3102" i="11"/>
  <c r="R3102" i="11" s="1"/>
  <c r="M3103" i="11"/>
  <c r="R3103" i="11"/>
  <c r="M3104" i="11"/>
  <c r="R3104" i="11" s="1"/>
  <c r="M3105" i="11"/>
  <c r="R3105" i="11" s="1"/>
  <c r="M3106" i="11"/>
  <c r="R3106" i="11"/>
  <c r="M3107" i="11"/>
  <c r="R3107" i="11" s="1"/>
  <c r="M3108" i="11"/>
  <c r="R3108" i="11" s="1"/>
  <c r="M3109" i="11"/>
  <c r="R3109" i="11"/>
  <c r="M3110" i="11"/>
  <c r="R3110" i="11" s="1"/>
  <c r="M3111" i="11"/>
  <c r="R3111" i="11" s="1"/>
  <c r="M3112" i="11"/>
  <c r="R3112" i="11"/>
  <c r="M3113" i="11"/>
  <c r="R3113" i="11" s="1"/>
  <c r="M3114" i="11"/>
  <c r="R3114" i="11" s="1"/>
  <c r="M3115" i="11"/>
  <c r="R3115" i="11"/>
  <c r="M3116" i="11"/>
  <c r="R3116" i="11" s="1"/>
  <c r="M3117" i="11"/>
  <c r="R3117" i="11" s="1"/>
  <c r="M3118" i="11"/>
  <c r="R3118" i="11"/>
  <c r="M3119" i="11"/>
  <c r="R3119" i="11" s="1"/>
  <c r="M3120" i="11"/>
  <c r="R3120" i="11" s="1"/>
  <c r="M3121" i="11"/>
  <c r="R3121" i="11"/>
  <c r="M3122" i="11"/>
  <c r="R3122" i="11" s="1"/>
  <c r="M3123" i="11"/>
  <c r="R3123" i="11" s="1"/>
  <c r="M3124" i="11"/>
  <c r="R3124" i="11"/>
  <c r="M3125" i="11"/>
  <c r="R3125" i="11" s="1"/>
  <c r="M3126" i="11"/>
  <c r="R3126" i="11" s="1"/>
  <c r="M3127" i="11"/>
  <c r="R3127" i="11"/>
  <c r="M3128" i="11"/>
  <c r="R3128" i="11" s="1"/>
  <c r="M3129" i="11"/>
  <c r="R3129" i="11" s="1"/>
  <c r="M3130" i="11"/>
  <c r="R3130" i="11"/>
  <c r="M3131" i="11"/>
  <c r="R3131" i="11" s="1"/>
  <c r="M3132" i="11"/>
  <c r="R3132" i="11" s="1"/>
  <c r="M3133" i="11"/>
  <c r="R3133" i="11"/>
  <c r="M3134" i="11"/>
  <c r="R3134" i="11" s="1"/>
  <c r="M3135" i="11"/>
  <c r="R3135" i="11" s="1"/>
  <c r="M3136" i="11"/>
  <c r="R3136" i="11"/>
  <c r="M3137" i="11"/>
  <c r="R3137" i="11" s="1"/>
  <c r="M3138" i="11"/>
  <c r="R3138" i="11" s="1"/>
  <c r="M3139" i="11"/>
  <c r="R3139" i="11"/>
  <c r="M3140" i="11"/>
  <c r="R3140" i="11" s="1"/>
  <c r="M3141" i="11"/>
  <c r="R3141" i="11" s="1"/>
  <c r="M3142" i="11"/>
  <c r="R3142" i="11"/>
  <c r="M3143" i="11"/>
  <c r="R3143" i="11" s="1"/>
  <c r="M3144" i="11"/>
  <c r="R3144" i="11" s="1"/>
  <c r="M3145" i="11"/>
  <c r="R3145" i="11"/>
  <c r="M3146" i="11"/>
  <c r="R3146" i="11" s="1"/>
  <c r="M3147" i="11"/>
  <c r="R3147" i="11" s="1"/>
  <c r="M3148" i="11"/>
  <c r="R3148" i="11"/>
  <c r="M3149" i="11"/>
  <c r="R3149" i="11" s="1"/>
  <c r="M3150" i="11"/>
  <c r="R3150" i="11" s="1"/>
  <c r="M3151" i="11"/>
  <c r="R3151" i="11"/>
  <c r="M3152" i="11"/>
  <c r="R3152" i="11" s="1"/>
  <c r="M3153" i="11"/>
  <c r="R3153" i="11" s="1"/>
  <c r="M3154" i="11"/>
  <c r="R3154" i="11"/>
  <c r="M3155" i="11"/>
  <c r="R3155" i="11" s="1"/>
  <c r="M3156" i="11"/>
  <c r="R3156" i="11" s="1"/>
  <c r="M3157" i="11"/>
  <c r="R3157" i="11"/>
  <c r="M3158" i="11"/>
  <c r="R3158" i="11" s="1"/>
  <c r="M3159" i="11"/>
  <c r="R3159" i="11" s="1"/>
  <c r="M3160" i="11"/>
  <c r="R3160" i="11"/>
  <c r="M3161" i="11"/>
  <c r="R3161" i="11" s="1"/>
  <c r="M3162" i="11"/>
  <c r="R3162" i="11" s="1"/>
  <c r="M3163" i="11"/>
  <c r="R3163" i="11"/>
  <c r="M3164" i="11"/>
  <c r="R3164" i="11" s="1"/>
  <c r="M3165" i="11"/>
  <c r="R3165" i="11" s="1"/>
  <c r="M3166" i="11"/>
  <c r="R3166" i="11"/>
  <c r="M3167" i="11"/>
  <c r="R3167" i="11" s="1"/>
  <c r="M3168" i="11"/>
  <c r="R3168" i="11" s="1"/>
  <c r="M3169" i="11"/>
  <c r="R3169" i="11"/>
  <c r="M3170" i="11"/>
  <c r="R3170" i="11" s="1"/>
  <c r="M3171" i="11"/>
  <c r="R3171" i="11" s="1"/>
  <c r="M3172" i="11"/>
  <c r="R3172" i="11"/>
  <c r="M3173" i="11"/>
  <c r="R3173" i="11" s="1"/>
  <c r="M3174" i="11"/>
  <c r="R3174" i="11" s="1"/>
  <c r="M3175" i="11"/>
  <c r="R3175" i="11"/>
  <c r="M3176" i="11"/>
  <c r="R3176" i="11" s="1"/>
  <c r="M3177" i="11"/>
  <c r="R3177" i="11" s="1"/>
  <c r="M3178" i="11"/>
  <c r="R3178" i="11"/>
  <c r="M3179" i="11"/>
  <c r="R3179" i="11" s="1"/>
  <c r="M3180" i="11"/>
  <c r="R3180" i="11" s="1"/>
  <c r="M3181" i="11"/>
  <c r="R3181" i="11"/>
  <c r="M3182" i="11"/>
  <c r="R3182" i="11" s="1"/>
  <c r="M3183" i="11"/>
  <c r="R3183" i="11" s="1"/>
  <c r="M3184" i="11"/>
  <c r="R3184" i="11"/>
  <c r="M3185" i="11"/>
  <c r="R3185" i="11" s="1"/>
  <c r="M3186" i="11"/>
  <c r="R3186" i="11" s="1"/>
  <c r="M3187" i="11"/>
  <c r="R3187" i="11"/>
  <c r="M3188" i="11"/>
  <c r="R3188" i="11" s="1"/>
  <c r="M3189" i="11"/>
  <c r="R3189" i="11" s="1"/>
  <c r="M3190" i="11"/>
  <c r="R3190" i="11"/>
  <c r="M3191" i="11"/>
  <c r="R3191" i="11" s="1"/>
  <c r="M3192" i="11"/>
  <c r="R3192" i="11" s="1"/>
  <c r="M3193" i="11"/>
  <c r="R3193" i="11"/>
  <c r="M3194" i="11"/>
  <c r="R3194" i="11" s="1"/>
  <c r="M3195" i="11"/>
  <c r="R3195" i="11" s="1"/>
  <c r="M3196" i="11"/>
  <c r="R3196" i="11"/>
  <c r="M3197" i="11"/>
  <c r="R3197" i="11" s="1"/>
  <c r="M3198" i="11"/>
  <c r="R3198" i="11" s="1"/>
  <c r="M3199" i="11"/>
  <c r="R3199" i="11"/>
  <c r="M3200" i="11"/>
  <c r="R3200" i="11" s="1"/>
  <c r="M3201" i="11"/>
  <c r="R3201" i="11" s="1"/>
  <c r="M3202" i="11"/>
  <c r="R3202" i="11"/>
  <c r="M3203" i="11"/>
  <c r="R3203" i="11" s="1"/>
  <c r="M3204" i="11"/>
  <c r="R3204" i="11" s="1"/>
  <c r="M3205" i="11"/>
  <c r="R3205" i="11"/>
  <c r="M3206" i="11"/>
  <c r="R3206" i="11" s="1"/>
  <c r="M3207" i="11"/>
  <c r="R3207" i="11" s="1"/>
  <c r="M3208" i="11"/>
  <c r="R3208" i="11"/>
  <c r="M3209" i="11"/>
  <c r="R3209" i="11" s="1"/>
  <c r="M3210" i="11"/>
  <c r="R3210" i="11" s="1"/>
  <c r="M3211" i="11"/>
  <c r="R3211" i="11"/>
  <c r="M3212" i="11"/>
  <c r="R3212" i="11" s="1"/>
  <c r="M3213" i="11"/>
  <c r="R3213" i="11" s="1"/>
  <c r="M3214" i="11"/>
  <c r="R3214" i="11"/>
  <c r="M3215" i="11"/>
  <c r="R3215" i="11" s="1"/>
  <c r="M3216" i="11"/>
  <c r="R3216" i="11" s="1"/>
  <c r="M3217" i="11"/>
  <c r="R3217" i="11"/>
  <c r="M3218" i="11"/>
  <c r="R3218" i="11" s="1"/>
  <c r="M3219" i="11"/>
  <c r="R3219" i="11" s="1"/>
  <c r="M3220" i="11"/>
  <c r="R3220" i="11"/>
  <c r="M3221" i="11"/>
  <c r="R3221" i="11" s="1"/>
  <c r="M3222" i="11"/>
  <c r="R3222" i="11" s="1"/>
  <c r="M3223" i="11"/>
  <c r="R3223" i="11"/>
  <c r="M3224" i="11"/>
  <c r="R3224" i="11" s="1"/>
  <c r="M3225" i="11"/>
  <c r="R3225" i="11" s="1"/>
  <c r="M3226" i="11"/>
  <c r="R3226" i="11"/>
  <c r="M3227" i="11"/>
  <c r="R3227" i="11" s="1"/>
  <c r="M3228" i="11"/>
  <c r="R3228" i="11" s="1"/>
  <c r="M3229" i="11"/>
  <c r="R3229" i="11"/>
  <c r="M3230" i="11"/>
  <c r="R3230" i="11" s="1"/>
  <c r="M3231" i="11"/>
  <c r="R3231" i="11" s="1"/>
  <c r="M3232" i="11"/>
  <c r="R3232" i="11"/>
  <c r="M3233" i="11"/>
  <c r="R3233" i="11" s="1"/>
  <c r="M3234" i="11"/>
  <c r="R3234" i="11" s="1"/>
  <c r="M3235" i="11"/>
  <c r="R3235" i="11"/>
  <c r="M3236" i="11"/>
  <c r="R3236" i="11" s="1"/>
  <c r="M3237" i="11"/>
  <c r="R3237" i="11" s="1"/>
  <c r="M3238" i="11"/>
  <c r="R3238" i="11"/>
  <c r="M3239" i="11"/>
  <c r="R3239" i="11" s="1"/>
  <c r="M3240" i="11"/>
  <c r="R3240" i="11" s="1"/>
  <c r="M3241" i="11"/>
  <c r="R3241" i="11"/>
  <c r="M3242" i="11"/>
  <c r="R3242" i="11" s="1"/>
  <c r="M3243" i="11"/>
  <c r="R3243" i="11" s="1"/>
  <c r="M3244" i="11"/>
  <c r="R3244" i="11"/>
  <c r="M3245" i="11"/>
  <c r="R3245" i="11" s="1"/>
  <c r="M3246" i="11"/>
  <c r="R3246" i="11" s="1"/>
  <c r="M3247" i="11"/>
  <c r="R3247" i="11"/>
  <c r="M3248" i="11"/>
  <c r="R3248" i="11" s="1"/>
  <c r="M3249" i="11"/>
  <c r="R3249" i="11" s="1"/>
  <c r="M3250" i="11"/>
  <c r="R3250" i="11"/>
  <c r="M3251" i="11"/>
  <c r="R3251" i="11" s="1"/>
  <c r="M3252" i="11"/>
  <c r="R3252" i="11" s="1"/>
  <c r="M3253" i="11"/>
  <c r="R3253" i="11"/>
  <c r="M3254" i="11"/>
  <c r="R3254" i="11" s="1"/>
  <c r="M3255" i="11"/>
  <c r="R3255" i="11" s="1"/>
  <c r="M3256" i="11"/>
  <c r="R3256" i="11"/>
  <c r="M3257" i="11"/>
  <c r="R3257" i="11" s="1"/>
  <c r="M3258" i="11"/>
  <c r="R3258" i="11" s="1"/>
  <c r="M3259" i="11"/>
  <c r="R3259" i="11"/>
  <c r="M3260" i="11"/>
  <c r="R3260" i="11" s="1"/>
  <c r="M3261" i="11"/>
  <c r="R3261" i="11" s="1"/>
  <c r="M3262" i="11"/>
  <c r="R3262" i="11"/>
  <c r="M3263" i="11"/>
  <c r="R3263" i="11" s="1"/>
  <c r="M3264" i="11"/>
  <c r="R3264" i="11" s="1"/>
  <c r="M3265" i="11"/>
  <c r="R3265" i="11"/>
  <c r="M3266" i="11"/>
  <c r="R3266" i="11" s="1"/>
  <c r="M3267" i="11"/>
  <c r="R3267" i="11" s="1"/>
  <c r="M3268" i="11"/>
  <c r="R3268" i="11"/>
  <c r="M3269" i="11"/>
  <c r="R3269" i="11" s="1"/>
  <c r="M3270" i="11"/>
  <c r="R3270" i="11" s="1"/>
  <c r="M3271" i="11"/>
  <c r="R3271" i="11"/>
  <c r="M3272" i="11"/>
  <c r="R3272" i="11" s="1"/>
  <c r="M3273" i="11"/>
  <c r="R3273" i="11" s="1"/>
  <c r="M3274" i="11"/>
  <c r="R3274" i="11"/>
  <c r="M3275" i="11"/>
  <c r="R3275" i="11" s="1"/>
  <c r="M3276" i="11"/>
  <c r="R3276" i="11" s="1"/>
  <c r="M3277" i="11"/>
  <c r="R3277" i="11"/>
  <c r="M3278" i="11"/>
  <c r="R3278" i="11" s="1"/>
  <c r="M3279" i="11"/>
  <c r="R3279" i="11" s="1"/>
  <c r="M3280" i="11"/>
  <c r="R3280" i="11"/>
  <c r="M3281" i="11"/>
  <c r="R3281" i="11" s="1"/>
  <c r="M3282" i="11"/>
  <c r="R3282" i="11" s="1"/>
  <c r="M3283" i="11"/>
  <c r="R3283" i="11"/>
  <c r="M3284" i="11"/>
  <c r="R3284" i="11" s="1"/>
  <c r="M3285" i="11"/>
  <c r="R3285" i="11" s="1"/>
  <c r="M3286" i="11"/>
  <c r="R3286" i="11"/>
  <c r="M3287" i="11"/>
  <c r="R3287" i="11" s="1"/>
  <c r="M3288" i="11"/>
  <c r="R3288" i="11" s="1"/>
  <c r="M3289" i="11"/>
  <c r="R3289" i="11"/>
  <c r="M3290" i="11"/>
  <c r="R3290" i="11" s="1"/>
  <c r="M3291" i="11"/>
  <c r="R3291" i="11" s="1"/>
  <c r="M3292" i="11"/>
  <c r="R3292" i="11"/>
  <c r="M3293" i="11"/>
  <c r="R3293" i="11" s="1"/>
  <c r="M3294" i="11"/>
  <c r="R3294" i="11" s="1"/>
  <c r="M3295" i="11"/>
  <c r="R3295" i="11"/>
  <c r="M3296" i="11"/>
  <c r="R3296" i="11" s="1"/>
  <c r="M3297" i="11"/>
  <c r="R3297" i="11" s="1"/>
  <c r="M3298" i="11"/>
  <c r="R3298" i="11"/>
  <c r="M3299" i="11"/>
  <c r="R3299" i="11" s="1"/>
  <c r="M3300" i="11"/>
  <c r="R3300" i="11" s="1"/>
  <c r="M3301" i="11"/>
  <c r="R3301" i="11"/>
  <c r="M3302" i="11"/>
  <c r="R3302" i="11" s="1"/>
  <c r="M3303" i="11"/>
  <c r="R3303" i="11" s="1"/>
  <c r="M3304" i="11"/>
  <c r="R3304" i="11"/>
  <c r="M3305" i="11"/>
  <c r="R3305" i="11" s="1"/>
  <c r="M3306" i="11"/>
  <c r="R3306" i="11" s="1"/>
  <c r="M3307" i="11"/>
  <c r="R3307" i="11"/>
  <c r="M3308" i="11"/>
  <c r="R3308" i="11" s="1"/>
  <c r="M3309" i="11"/>
  <c r="R3309" i="11" s="1"/>
  <c r="M3310" i="11"/>
  <c r="R3310" i="11"/>
  <c r="M3311" i="11"/>
  <c r="R3311" i="11" s="1"/>
  <c r="M3312" i="11"/>
  <c r="R3312" i="11" s="1"/>
  <c r="M3313" i="11"/>
  <c r="R3313" i="11"/>
  <c r="M3314" i="11"/>
  <c r="R3314" i="11" s="1"/>
  <c r="M3315" i="11"/>
  <c r="R3315" i="11" s="1"/>
  <c r="M3316" i="11"/>
  <c r="R3316" i="11"/>
  <c r="M3317" i="11"/>
  <c r="R3317" i="11" s="1"/>
  <c r="M3318" i="11"/>
  <c r="R3318" i="11" s="1"/>
  <c r="M3319" i="11"/>
  <c r="R3319" i="11"/>
  <c r="M3320" i="11"/>
  <c r="R3320" i="11" s="1"/>
  <c r="M3321" i="11"/>
  <c r="R3321" i="11" s="1"/>
  <c r="M3322" i="11"/>
  <c r="R3322" i="11"/>
  <c r="M3323" i="11"/>
  <c r="R3323" i="11" s="1"/>
  <c r="M3324" i="11"/>
  <c r="R3324" i="11" s="1"/>
  <c r="M3325" i="11"/>
  <c r="R3325" i="11"/>
  <c r="M3326" i="11"/>
  <c r="R3326" i="11" s="1"/>
  <c r="M3327" i="11"/>
  <c r="R3327" i="11" s="1"/>
  <c r="M3328" i="11"/>
  <c r="R3328" i="11"/>
  <c r="M3329" i="11"/>
  <c r="R3329" i="11" s="1"/>
  <c r="M3330" i="11"/>
  <c r="R3330" i="11" s="1"/>
  <c r="M3331" i="11"/>
  <c r="R3331" i="11"/>
  <c r="M3332" i="11"/>
  <c r="R3332" i="11" s="1"/>
  <c r="M3333" i="11"/>
  <c r="R3333" i="11" s="1"/>
  <c r="M3334" i="11"/>
  <c r="R3334" i="11"/>
  <c r="M3335" i="11"/>
  <c r="R3335" i="11" s="1"/>
  <c r="M3336" i="11"/>
  <c r="R3336" i="11" s="1"/>
  <c r="M3337" i="11"/>
  <c r="R3337" i="11"/>
  <c r="M3338" i="11"/>
  <c r="R3338" i="11" s="1"/>
  <c r="M3339" i="11"/>
  <c r="R3339" i="11" s="1"/>
  <c r="M3340" i="11"/>
  <c r="R3340" i="11"/>
  <c r="M3341" i="11"/>
  <c r="R3341" i="11" s="1"/>
  <c r="M3342" i="11"/>
  <c r="R3342" i="11" s="1"/>
  <c r="M3343" i="11"/>
  <c r="R3343" i="11"/>
  <c r="M3344" i="11"/>
  <c r="R3344" i="11" s="1"/>
  <c r="M3345" i="11"/>
  <c r="R3345" i="11" s="1"/>
  <c r="M3346" i="11"/>
  <c r="R3346" i="11"/>
  <c r="M3347" i="11"/>
  <c r="R3347" i="11" s="1"/>
  <c r="M3348" i="11"/>
  <c r="R3348" i="11" s="1"/>
  <c r="M3349" i="11"/>
  <c r="R3349" i="11"/>
  <c r="M3350" i="11"/>
  <c r="R3350" i="11" s="1"/>
  <c r="M3351" i="11"/>
  <c r="R3351" i="11" s="1"/>
  <c r="M3352" i="11"/>
  <c r="R3352" i="11"/>
  <c r="M3353" i="11"/>
  <c r="R3353" i="11" s="1"/>
  <c r="M3354" i="11"/>
  <c r="R3354" i="11" s="1"/>
  <c r="M3355" i="11"/>
  <c r="R3355" i="11"/>
  <c r="M3356" i="11"/>
  <c r="R3356" i="11" s="1"/>
  <c r="M3357" i="11"/>
  <c r="R3357" i="11" s="1"/>
  <c r="M3358" i="11"/>
  <c r="R3358" i="11"/>
  <c r="M3359" i="11"/>
  <c r="R3359" i="11" s="1"/>
  <c r="M3360" i="11"/>
  <c r="R3360" i="11" s="1"/>
  <c r="M3361" i="11"/>
  <c r="R3361" i="11"/>
  <c r="M3362" i="11"/>
  <c r="R3362" i="11" s="1"/>
  <c r="M3363" i="11"/>
  <c r="R3363" i="11" s="1"/>
  <c r="M3364" i="11"/>
  <c r="R3364" i="11"/>
  <c r="M3365" i="11"/>
  <c r="R3365" i="11" s="1"/>
  <c r="M3366" i="11"/>
  <c r="R3366" i="11" s="1"/>
  <c r="M3367" i="11"/>
  <c r="R3367" i="11"/>
  <c r="M3368" i="11"/>
  <c r="R3368" i="11" s="1"/>
  <c r="M3369" i="11"/>
  <c r="R3369" i="11" s="1"/>
  <c r="M3370" i="11"/>
  <c r="R3370" i="11"/>
  <c r="M3371" i="11"/>
  <c r="R3371" i="11" s="1"/>
  <c r="M3372" i="11"/>
  <c r="R3372" i="11" s="1"/>
  <c r="M3373" i="11"/>
  <c r="R3373" i="11"/>
  <c r="M3374" i="11"/>
  <c r="R3374" i="11" s="1"/>
  <c r="M3375" i="11"/>
  <c r="R3375" i="11" s="1"/>
  <c r="M3376" i="11"/>
  <c r="R3376" i="11"/>
  <c r="M3377" i="11"/>
  <c r="R3377" i="11" s="1"/>
  <c r="M3378" i="11"/>
  <c r="R3378" i="11" s="1"/>
  <c r="M3379" i="11"/>
  <c r="R3379" i="11"/>
  <c r="M3380" i="11"/>
  <c r="R3380" i="11" s="1"/>
  <c r="M3381" i="11"/>
  <c r="R3381" i="11" s="1"/>
  <c r="M3382" i="11"/>
  <c r="R3382" i="11"/>
  <c r="M3383" i="11"/>
  <c r="R3383" i="11" s="1"/>
  <c r="M3384" i="11"/>
  <c r="R3384" i="11" s="1"/>
  <c r="M3385" i="11"/>
  <c r="R3385" i="11"/>
  <c r="M3386" i="11"/>
  <c r="R3386" i="11" s="1"/>
  <c r="M3387" i="11"/>
  <c r="R3387" i="11" s="1"/>
  <c r="M3388" i="11"/>
  <c r="R3388" i="11"/>
  <c r="M3389" i="11"/>
  <c r="R3389" i="11" s="1"/>
  <c r="M3390" i="11"/>
  <c r="R3390" i="11" s="1"/>
  <c r="M3391" i="11"/>
  <c r="R3391" i="11"/>
  <c r="M3392" i="11"/>
  <c r="R3392" i="11" s="1"/>
  <c r="M3393" i="11"/>
  <c r="R3393" i="11" s="1"/>
  <c r="M3394" i="11"/>
  <c r="R3394" i="11"/>
  <c r="M3395" i="11"/>
  <c r="R3395" i="11" s="1"/>
  <c r="M3396" i="11"/>
  <c r="R3396" i="11" s="1"/>
  <c r="M3397" i="11"/>
  <c r="R3397" i="11"/>
  <c r="M3398" i="11"/>
  <c r="R3398" i="11" s="1"/>
  <c r="M3399" i="11"/>
  <c r="R3399" i="11" s="1"/>
  <c r="M3400" i="11"/>
  <c r="R3400" i="11"/>
  <c r="M3401" i="11"/>
  <c r="R3401" i="11" s="1"/>
  <c r="M3402" i="11"/>
  <c r="R3402" i="11" s="1"/>
  <c r="M3403" i="11"/>
  <c r="R3403" i="11"/>
  <c r="M3404" i="11"/>
  <c r="R3404" i="11" s="1"/>
  <c r="M3405" i="11"/>
  <c r="R3405" i="11" s="1"/>
  <c r="M3406" i="11"/>
  <c r="R3406" i="11"/>
  <c r="M3407" i="11"/>
  <c r="R3407" i="11" s="1"/>
  <c r="M3408" i="11"/>
  <c r="R3408" i="11" s="1"/>
  <c r="M3409" i="11"/>
  <c r="R3409" i="11"/>
  <c r="M3410" i="11"/>
  <c r="R3410" i="11" s="1"/>
  <c r="M3411" i="11"/>
  <c r="R3411" i="11" s="1"/>
  <c r="M3412" i="11"/>
  <c r="R3412" i="11"/>
  <c r="M3413" i="11"/>
  <c r="R3413" i="11" s="1"/>
  <c r="M3414" i="11"/>
  <c r="R3414" i="11" s="1"/>
  <c r="M3415" i="11"/>
  <c r="R3415" i="11"/>
  <c r="M3416" i="11"/>
  <c r="R3416" i="11" s="1"/>
  <c r="M3417" i="11"/>
  <c r="R3417" i="11" s="1"/>
  <c r="M3418" i="11"/>
  <c r="R3418" i="11"/>
  <c r="M3419" i="11"/>
  <c r="R3419" i="11" s="1"/>
  <c r="M3420" i="11"/>
  <c r="R3420" i="11" s="1"/>
  <c r="M3421" i="11"/>
  <c r="R3421" i="11"/>
  <c r="M3422" i="11"/>
  <c r="R3422" i="11" s="1"/>
  <c r="M3423" i="11"/>
  <c r="R3423" i="11" s="1"/>
  <c r="M3424" i="11"/>
  <c r="R3424" i="11"/>
  <c r="M3425" i="11"/>
  <c r="R3425" i="11" s="1"/>
  <c r="M3426" i="11"/>
  <c r="R3426" i="11" s="1"/>
  <c r="M3427" i="11"/>
  <c r="R3427" i="11"/>
  <c r="M3428" i="11"/>
  <c r="R3428" i="11" s="1"/>
  <c r="M3429" i="11"/>
  <c r="R3429" i="11" s="1"/>
  <c r="M3430" i="11"/>
  <c r="R3430" i="11"/>
  <c r="M3431" i="11"/>
  <c r="R3431" i="11" s="1"/>
  <c r="M3432" i="11"/>
  <c r="R3432" i="11" s="1"/>
  <c r="M3433" i="11"/>
  <c r="R3433" i="11"/>
  <c r="M3434" i="11"/>
  <c r="R3434" i="11" s="1"/>
  <c r="M3435" i="11"/>
  <c r="R3435" i="11" s="1"/>
  <c r="M3436" i="11"/>
  <c r="R3436" i="11"/>
  <c r="M3437" i="11"/>
  <c r="R3437" i="11" s="1"/>
  <c r="M3438" i="11"/>
  <c r="R3438" i="11" s="1"/>
  <c r="M3439" i="11"/>
  <c r="R3439" i="11"/>
  <c r="M3440" i="11"/>
  <c r="R3440" i="11" s="1"/>
  <c r="M3441" i="11"/>
  <c r="R3441" i="11" s="1"/>
  <c r="M3442" i="11"/>
  <c r="R3442" i="11"/>
  <c r="M3443" i="11"/>
  <c r="R3443" i="11" s="1"/>
  <c r="M3444" i="11"/>
  <c r="R3444" i="11" s="1"/>
  <c r="M3445" i="11"/>
  <c r="R3445" i="11"/>
  <c r="M3446" i="11"/>
  <c r="R3446" i="11" s="1"/>
  <c r="M3447" i="11"/>
  <c r="R3447" i="11" s="1"/>
  <c r="M3448" i="11"/>
  <c r="R3448" i="11"/>
  <c r="M3449" i="11"/>
  <c r="R3449" i="11" s="1"/>
  <c r="M3450" i="11"/>
  <c r="R3450" i="11" s="1"/>
  <c r="M3451" i="11"/>
  <c r="R3451" i="11"/>
  <c r="M3452" i="11"/>
  <c r="R3452" i="11" s="1"/>
  <c r="M3453" i="11"/>
  <c r="R3453" i="11" s="1"/>
  <c r="M3454" i="11"/>
  <c r="R3454" i="11"/>
  <c r="M3455" i="11"/>
  <c r="R3455" i="11" s="1"/>
  <c r="M3456" i="11"/>
  <c r="R3456" i="11" s="1"/>
  <c r="M3457" i="11"/>
  <c r="R3457" i="11"/>
  <c r="M3458" i="11"/>
  <c r="R3458" i="11" s="1"/>
  <c r="M3459" i="11"/>
  <c r="R3459" i="11" s="1"/>
  <c r="M3460" i="11"/>
  <c r="R3460" i="11"/>
  <c r="M3461" i="11"/>
  <c r="R3461" i="11" s="1"/>
  <c r="M3462" i="11"/>
  <c r="R3462" i="11" s="1"/>
  <c r="M3463" i="11"/>
  <c r="R3463" i="11"/>
  <c r="M3464" i="11"/>
  <c r="R3464" i="11" s="1"/>
  <c r="M3465" i="11"/>
  <c r="R3465" i="11" s="1"/>
  <c r="M3466" i="11"/>
  <c r="R3466" i="11"/>
  <c r="M3467" i="11"/>
  <c r="R3467" i="11" s="1"/>
  <c r="M3468" i="11"/>
  <c r="R3468" i="11" s="1"/>
  <c r="M3469" i="11"/>
  <c r="R3469" i="11"/>
  <c r="M3470" i="11"/>
  <c r="R3470" i="11" s="1"/>
  <c r="M3471" i="11"/>
  <c r="R3471" i="11" s="1"/>
  <c r="M3472" i="11"/>
  <c r="R3472" i="11"/>
  <c r="M3473" i="11"/>
  <c r="R3473" i="11" s="1"/>
  <c r="M3474" i="11"/>
  <c r="R3474" i="11" s="1"/>
  <c r="M3475" i="11"/>
  <c r="R3475" i="11"/>
  <c r="M3476" i="11"/>
  <c r="R3476" i="11" s="1"/>
  <c r="M3477" i="11"/>
  <c r="R3477" i="11" s="1"/>
  <c r="M3478" i="11"/>
  <c r="R3478" i="11"/>
  <c r="M3479" i="11"/>
  <c r="R3479" i="11" s="1"/>
  <c r="M3480" i="11"/>
  <c r="R3480" i="11" s="1"/>
  <c r="M3481" i="11"/>
  <c r="R3481" i="11"/>
  <c r="M3482" i="11"/>
  <c r="R3482" i="11" s="1"/>
  <c r="M3483" i="11"/>
  <c r="R3483" i="11" s="1"/>
  <c r="M3484" i="11"/>
  <c r="R3484" i="11"/>
  <c r="M3485" i="11"/>
  <c r="R3485" i="11" s="1"/>
  <c r="M3486" i="11"/>
  <c r="R3486" i="11" s="1"/>
  <c r="M3487" i="11"/>
  <c r="R3487" i="11"/>
  <c r="M3488" i="11"/>
  <c r="R3488" i="11" s="1"/>
  <c r="M3489" i="11"/>
  <c r="R3489" i="11" s="1"/>
  <c r="M3490" i="11"/>
  <c r="R3490" i="11"/>
  <c r="M3491" i="11"/>
  <c r="R3491" i="11" s="1"/>
  <c r="M3492" i="11"/>
  <c r="R3492" i="11" s="1"/>
  <c r="M3493" i="11"/>
  <c r="R3493" i="11"/>
  <c r="M3494" i="11"/>
  <c r="R3494" i="11" s="1"/>
  <c r="M3495" i="11"/>
  <c r="R3495" i="11" s="1"/>
  <c r="M3496" i="11"/>
  <c r="R3496" i="11"/>
  <c r="M3497" i="11"/>
  <c r="R3497" i="11" s="1"/>
  <c r="M3498" i="11"/>
  <c r="R3498" i="11" s="1"/>
  <c r="M3499" i="11"/>
  <c r="R3499" i="11"/>
  <c r="M3500" i="11"/>
  <c r="R3500" i="11" s="1"/>
  <c r="M3501" i="11"/>
  <c r="R3501" i="11" s="1"/>
  <c r="M3502" i="11"/>
  <c r="R3502" i="11"/>
  <c r="M3503" i="11"/>
  <c r="R3503" i="11" s="1"/>
  <c r="M3504" i="11"/>
  <c r="R3504" i="11" s="1"/>
  <c r="M3505" i="11"/>
  <c r="R3505" i="11"/>
  <c r="M3506" i="11"/>
  <c r="R3506" i="11" s="1"/>
  <c r="M3507" i="11"/>
  <c r="R3507" i="11" s="1"/>
  <c r="M3508" i="11"/>
  <c r="R3508" i="11"/>
  <c r="M3509" i="11"/>
  <c r="R3509" i="11" s="1"/>
  <c r="M3510" i="11"/>
  <c r="R3510" i="11" s="1"/>
  <c r="M3511" i="11"/>
  <c r="R3511" i="11"/>
  <c r="M3512" i="11"/>
  <c r="R3512" i="11" s="1"/>
  <c r="M3513" i="11"/>
  <c r="R3513" i="11" s="1"/>
  <c r="M3514" i="11"/>
  <c r="R3514" i="11"/>
  <c r="M3515" i="11"/>
  <c r="R3515" i="11" s="1"/>
  <c r="M3516" i="11"/>
  <c r="R3516" i="11" s="1"/>
  <c r="M3517" i="11"/>
  <c r="R3517" i="11"/>
  <c r="M3518" i="11"/>
  <c r="R3518" i="11" s="1"/>
  <c r="M3519" i="11"/>
  <c r="R3519" i="11" s="1"/>
  <c r="M3520" i="11"/>
  <c r="R3520" i="11"/>
  <c r="M3521" i="11"/>
  <c r="R3521" i="11" s="1"/>
  <c r="M3522" i="11"/>
  <c r="R3522" i="11" s="1"/>
  <c r="M3523" i="11"/>
  <c r="R3523" i="11"/>
  <c r="M3524" i="11"/>
  <c r="R3524" i="11" s="1"/>
  <c r="M3525" i="11"/>
  <c r="R3525" i="11" s="1"/>
  <c r="M3526" i="11"/>
  <c r="R3526" i="11"/>
  <c r="M3527" i="11"/>
  <c r="R3527" i="11" s="1"/>
  <c r="M3528" i="11"/>
  <c r="R3528" i="11" s="1"/>
  <c r="M3529" i="11"/>
  <c r="R3529" i="11"/>
  <c r="M3530" i="11"/>
  <c r="R3530" i="11" s="1"/>
  <c r="M3531" i="11"/>
  <c r="R3531" i="11" s="1"/>
  <c r="M3532" i="11"/>
  <c r="R3532" i="11"/>
  <c r="M3533" i="11"/>
  <c r="R3533" i="11" s="1"/>
  <c r="M3534" i="11"/>
  <c r="R3534" i="11" s="1"/>
  <c r="M3535" i="11"/>
  <c r="R3535" i="11"/>
  <c r="M3536" i="11"/>
  <c r="R3536" i="11" s="1"/>
  <c r="M3537" i="11"/>
  <c r="R3537" i="11" s="1"/>
  <c r="M3538" i="11"/>
  <c r="R3538" i="11"/>
  <c r="M3539" i="11"/>
  <c r="R3539" i="11" s="1"/>
  <c r="M3540" i="11"/>
  <c r="R3540" i="11" s="1"/>
  <c r="M3541" i="11"/>
  <c r="R3541" i="11"/>
  <c r="M3542" i="11"/>
  <c r="R3542" i="11" s="1"/>
  <c r="M3543" i="11"/>
  <c r="R3543" i="11" s="1"/>
  <c r="M3544" i="11"/>
  <c r="R3544" i="11"/>
  <c r="M3545" i="11"/>
  <c r="R3545" i="11" s="1"/>
  <c r="M3546" i="11"/>
  <c r="R3546" i="11" s="1"/>
  <c r="M3547" i="11"/>
  <c r="R3547" i="11"/>
  <c r="M3548" i="11"/>
  <c r="R3548" i="11" s="1"/>
  <c r="M3549" i="11"/>
  <c r="R3549" i="11" s="1"/>
  <c r="M3550" i="11"/>
  <c r="R3550" i="11"/>
  <c r="M3551" i="11"/>
  <c r="R3551" i="11" s="1"/>
  <c r="M3552" i="11"/>
  <c r="R3552" i="11" s="1"/>
  <c r="M3553" i="11"/>
  <c r="R3553" i="11"/>
  <c r="M3554" i="11"/>
  <c r="R3554" i="11" s="1"/>
  <c r="M3555" i="11"/>
  <c r="R3555" i="11" s="1"/>
  <c r="M3556" i="11"/>
  <c r="R3556" i="11"/>
  <c r="M3557" i="11"/>
  <c r="R3557" i="11" s="1"/>
  <c r="M3558" i="11"/>
  <c r="R3558" i="11" s="1"/>
  <c r="M3559" i="11"/>
  <c r="R3559" i="11"/>
  <c r="M3560" i="11"/>
  <c r="R3560" i="11" s="1"/>
  <c r="M3561" i="11"/>
  <c r="R3561" i="11" s="1"/>
  <c r="M3562" i="11"/>
  <c r="R3562" i="11"/>
  <c r="M3563" i="11"/>
  <c r="R3563" i="11" s="1"/>
  <c r="M3564" i="11"/>
  <c r="R3564" i="11" s="1"/>
  <c r="M3565" i="11"/>
  <c r="R3565" i="11"/>
  <c r="M3566" i="11"/>
  <c r="R3566" i="11" s="1"/>
  <c r="M3567" i="11"/>
  <c r="R3567" i="11" s="1"/>
  <c r="M3568" i="11"/>
  <c r="R3568" i="11"/>
  <c r="M3569" i="11"/>
  <c r="R3569" i="11" s="1"/>
  <c r="M3570" i="11"/>
  <c r="R3570" i="11" s="1"/>
  <c r="M3571" i="11"/>
  <c r="R3571" i="11"/>
  <c r="M3572" i="11"/>
  <c r="R3572" i="11" s="1"/>
  <c r="M3573" i="11"/>
  <c r="R3573" i="11" s="1"/>
  <c r="M3574" i="11"/>
  <c r="R3574" i="11"/>
  <c r="M3575" i="11"/>
  <c r="R3575" i="11" s="1"/>
  <c r="M3576" i="11"/>
  <c r="R3576" i="11" s="1"/>
  <c r="M3577" i="11"/>
  <c r="R3577" i="11"/>
  <c r="M3578" i="11"/>
  <c r="R3578" i="11" s="1"/>
  <c r="M3579" i="11"/>
  <c r="R3579" i="11" s="1"/>
  <c r="M3580" i="11"/>
  <c r="R3580" i="11"/>
  <c r="M3581" i="11"/>
  <c r="R3581" i="11" s="1"/>
  <c r="M3582" i="11"/>
  <c r="R3582" i="11" s="1"/>
  <c r="M3583" i="11"/>
  <c r="R3583" i="11"/>
  <c r="M3584" i="11"/>
  <c r="R3584" i="11" s="1"/>
  <c r="M3585" i="11"/>
  <c r="R3585" i="11" s="1"/>
  <c r="M3586" i="11"/>
  <c r="R3586" i="11"/>
  <c r="M3587" i="11"/>
  <c r="R3587" i="11" s="1"/>
  <c r="M3588" i="11"/>
  <c r="R3588" i="11" s="1"/>
  <c r="M3589" i="11"/>
  <c r="R3589" i="11"/>
  <c r="M3590" i="11"/>
  <c r="R3590" i="11" s="1"/>
  <c r="M3591" i="11"/>
  <c r="R3591" i="11" s="1"/>
  <c r="M3592" i="11"/>
  <c r="R3592" i="11"/>
  <c r="M3593" i="11"/>
  <c r="R3593" i="11" s="1"/>
  <c r="M3594" i="11"/>
  <c r="R3594" i="11" s="1"/>
  <c r="M3595" i="11"/>
  <c r="R3595" i="11"/>
  <c r="M3596" i="11"/>
  <c r="R3596" i="11" s="1"/>
  <c r="M3597" i="11"/>
  <c r="R3597" i="11" s="1"/>
  <c r="M3598" i="11"/>
  <c r="R3598" i="11"/>
  <c r="M3599" i="11"/>
  <c r="R3599" i="11" s="1"/>
  <c r="M3600" i="11"/>
  <c r="R3600" i="11" s="1"/>
  <c r="M3601" i="11"/>
  <c r="R3601" i="11"/>
  <c r="M3602" i="11"/>
  <c r="R3602" i="11" s="1"/>
  <c r="M3603" i="11"/>
  <c r="R3603" i="11" s="1"/>
  <c r="M3604" i="11"/>
  <c r="R3604" i="11"/>
  <c r="M3605" i="11"/>
  <c r="R3605" i="11" s="1"/>
  <c r="M3606" i="11"/>
  <c r="R3606" i="11" s="1"/>
  <c r="M3607" i="11"/>
  <c r="R3607" i="11"/>
  <c r="M3608" i="11"/>
  <c r="R3608" i="11" s="1"/>
  <c r="M3609" i="11"/>
  <c r="R3609" i="11" s="1"/>
  <c r="M3610" i="11"/>
  <c r="R3610" i="11"/>
  <c r="M3611" i="11"/>
  <c r="R3611" i="11" s="1"/>
  <c r="M3612" i="11"/>
  <c r="R3612" i="11" s="1"/>
  <c r="M3613" i="11"/>
  <c r="R3613" i="11"/>
  <c r="M3614" i="11"/>
  <c r="R3614" i="11" s="1"/>
  <c r="M3615" i="11"/>
  <c r="R3615" i="11" s="1"/>
  <c r="M3616" i="11"/>
  <c r="R3616" i="11"/>
  <c r="M3617" i="11"/>
  <c r="R3617" i="11" s="1"/>
  <c r="M3618" i="11"/>
  <c r="R3618" i="11" s="1"/>
  <c r="M3619" i="11"/>
  <c r="R3619" i="11"/>
  <c r="M3620" i="11"/>
  <c r="R3620" i="11" s="1"/>
  <c r="M3621" i="11"/>
  <c r="R3621" i="11" s="1"/>
  <c r="M3622" i="11"/>
  <c r="R3622" i="11"/>
  <c r="M3623" i="11"/>
  <c r="R3623" i="11" s="1"/>
  <c r="M3624" i="11"/>
  <c r="R3624" i="11" s="1"/>
  <c r="M3625" i="11"/>
  <c r="R3625" i="11"/>
  <c r="M3626" i="11"/>
  <c r="R3626" i="11" s="1"/>
  <c r="M3627" i="11"/>
  <c r="R3627" i="11" s="1"/>
  <c r="M3628" i="11"/>
  <c r="R3628" i="11"/>
  <c r="M3629" i="11"/>
  <c r="R3629" i="11" s="1"/>
  <c r="M3630" i="11"/>
  <c r="R3630" i="11" s="1"/>
  <c r="M3631" i="11"/>
  <c r="R3631" i="11"/>
  <c r="M3632" i="11"/>
  <c r="R3632" i="11" s="1"/>
  <c r="M3633" i="11"/>
  <c r="R3633" i="11" s="1"/>
  <c r="M3634" i="11"/>
  <c r="R3634" i="11"/>
  <c r="M3635" i="11"/>
  <c r="R3635" i="11" s="1"/>
  <c r="M3636" i="11"/>
  <c r="R3636" i="11" s="1"/>
  <c r="M3637" i="11"/>
  <c r="R3637" i="11"/>
  <c r="M3638" i="11"/>
  <c r="R3638" i="11" s="1"/>
  <c r="M3639" i="11"/>
  <c r="R3639" i="11" s="1"/>
  <c r="M3640" i="11"/>
  <c r="R3640" i="11" s="1"/>
  <c r="M3641" i="11"/>
  <c r="R3641" i="11" s="1"/>
  <c r="M3642" i="11"/>
  <c r="R3642" i="11" s="1"/>
  <c r="M3643" i="11"/>
  <c r="R3643" i="11"/>
  <c r="M3644" i="11"/>
  <c r="R3644" i="11" s="1"/>
  <c r="M3645" i="11"/>
  <c r="R3645" i="11" s="1"/>
  <c r="M3646" i="11"/>
  <c r="R3646" i="11"/>
  <c r="M3647" i="11"/>
  <c r="R3647" i="11" s="1"/>
  <c r="M3648" i="11"/>
  <c r="R3648" i="11" s="1"/>
  <c r="M3649" i="11"/>
  <c r="R3649" i="11"/>
  <c r="M3650" i="11"/>
  <c r="R3650" i="11" s="1"/>
  <c r="M3651" i="11"/>
  <c r="R3651" i="11" s="1"/>
  <c r="M3652" i="11"/>
  <c r="R3652" i="11"/>
  <c r="M3653" i="11"/>
  <c r="R3653" i="11" s="1"/>
  <c r="M3654" i="11"/>
  <c r="R3654" i="11" s="1"/>
  <c r="M3655" i="11"/>
  <c r="R3655" i="11"/>
  <c r="M3656" i="11"/>
  <c r="R3656" i="11" s="1"/>
  <c r="M3657" i="11"/>
  <c r="R3657" i="11" s="1"/>
  <c r="M3658" i="11"/>
  <c r="R3658" i="11" s="1"/>
  <c r="M3659" i="11"/>
  <c r="R3659" i="11" s="1"/>
  <c r="M3660" i="11"/>
  <c r="R3660" i="11" s="1"/>
  <c r="M3661" i="11"/>
  <c r="R3661" i="11"/>
  <c r="M3662" i="11"/>
  <c r="R3662" i="11" s="1"/>
  <c r="M3663" i="11"/>
  <c r="R3663" i="11" s="1"/>
  <c r="M3664" i="11"/>
  <c r="R3664" i="11"/>
  <c r="M3665" i="11"/>
  <c r="R3665" i="11" s="1"/>
  <c r="M3666" i="11"/>
  <c r="R3666" i="11" s="1"/>
  <c r="M3667" i="11"/>
  <c r="R3667" i="11"/>
  <c r="M3668" i="11"/>
  <c r="R3668" i="11" s="1"/>
  <c r="M3669" i="11"/>
  <c r="R3669" i="11" s="1"/>
  <c r="M3670" i="11"/>
  <c r="R3670" i="11"/>
  <c r="M3671" i="11"/>
  <c r="R3671" i="11" s="1"/>
  <c r="M3672" i="11"/>
  <c r="R3672" i="11" s="1"/>
  <c r="M3673" i="11"/>
  <c r="R3673" i="11"/>
  <c r="M3674" i="11"/>
  <c r="R3674" i="11" s="1"/>
  <c r="M3675" i="11"/>
  <c r="R3675" i="11" s="1"/>
  <c r="M3676" i="11"/>
  <c r="R3676" i="11" s="1"/>
  <c r="M3677" i="11"/>
  <c r="R3677" i="11" s="1"/>
  <c r="M3678" i="11"/>
  <c r="R3678" i="11" s="1"/>
  <c r="M3679" i="11"/>
  <c r="R3679" i="11"/>
  <c r="M3680" i="11"/>
  <c r="R3680" i="11" s="1"/>
  <c r="M3681" i="11"/>
  <c r="R3681" i="11" s="1"/>
  <c r="M3682" i="11"/>
  <c r="R3682" i="11"/>
  <c r="M3683" i="11"/>
  <c r="R3683" i="11" s="1"/>
  <c r="M3684" i="11"/>
  <c r="R3684" i="11" s="1"/>
  <c r="M3685" i="11"/>
  <c r="R3685" i="11"/>
  <c r="M3686" i="11"/>
  <c r="R3686" i="11" s="1"/>
  <c r="M3687" i="11"/>
  <c r="R3687" i="11" s="1"/>
  <c r="M3688" i="11"/>
  <c r="R3688" i="11"/>
  <c r="M3689" i="11"/>
  <c r="R3689" i="11" s="1"/>
  <c r="M3690" i="11"/>
  <c r="R3690" i="11" s="1"/>
  <c r="M3691" i="11"/>
  <c r="R3691" i="11"/>
  <c r="M3692" i="11"/>
  <c r="R3692" i="11" s="1"/>
  <c r="M3693" i="11"/>
  <c r="R3693" i="11" s="1"/>
  <c r="M3694" i="11"/>
  <c r="R3694" i="11" s="1"/>
  <c r="M3695" i="11"/>
  <c r="R3695" i="11" s="1"/>
  <c r="M3696" i="11"/>
  <c r="R3696" i="11" s="1"/>
  <c r="M3697" i="11"/>
  <c r="R3697" i="11"/>
  <c r="M3698" i="11"/>
  <c r="R3698" i="11" s="1"/>
  <c r="M3699" i="11"/>
  <c r="R3699" i="11" s="1"/>
  <c r="M3700" i="11"/>
  <c r="R3700" i="11"/>
  <c r="M3701" i="11"/>
  <c r="R3701" i="11" s="1"/>
  <c r="M3702" i="11"/>
  <c r="R3702" i="11" s="1"/>
  <c r="M3703" i="11"/>
  <c r="R3703" i="11"/>
  <c r="M3704" i="11"/>
  <c r="R3704" i="11" s="1"/>
  <c r="M3705" i="11"/>
  <c r="R3705" i="11" s="1"/>
  <c r="M3706" i="11"/>
  <c r="R3706" i="11"/>
  <c r="M3707" i="11"/>
  <c r="R3707" i="11" s="1"/>
  <c r="M3708" i="11"/>
  <c r="R3708" i="11" s="1"/>
  <c r="M3709" i="11"/>
  <c r="R3709" i="11"/>
  <c r="M3710" i="11"/>
  <c r="R3710" i="11" s="1"/>
  <c r="M3711" i="11"/>
  <c r="R3711" i="11" s="1"/>
  <c r="M3712" i="11"/>
  <c r="R3712" i="11" s="1"/>
  <c r="M3713" i="11"/>
  <c r="R3713" i="11" s="1"/>
  <c r="M3714" i="11"/>
  <c r="R3714" i="11" s="1"/>
  <c r="M3715" i="11"/>
  <c r="R3715" i="11"/>
  <c r="M3716" i="11"/>
  <c r="R3716" i="11" s="1"/>
  <c r="M3717" i="11"/>
  <c r="R3717" i="11" s="1"/>
  <c r="M3718" i="11"/>
  <c r="R3718" i="11"/>
  <c r="M3719" i="11"/>
  <c r="R3719" i="11" s="1"/>
  <c r="M3720" i="11"/>
  <c r="R3720" i="11" s="1"/>
  <c r="M3721" i="11"/>
  <c r="R3721" i="11"/>
  <c r="M3722" i="11"/>
  <c r="R3722" i="11" s="1"/>
  <c r="M3723" i="11"/>
  <c r="R3723" i="11" s="1"/>
  <c r="M3724" i="11"/>
  <c r="R3724" i="11"/>
  <c r="M3725" i="11"/>
  <c r="R3725" i="11" s="1"/>
  <c r="M3726" i="11"/>
  <c r="R3726" i="11" s="1"/>
  <c r="M3727" i="11"/>
  <c r="R3727" i="11"/>
  <c r="M3728" i="11"/>
  <c r="R3728" i="11" s="1"/>
  <c r="M3729" i="11"/>
  <c r="R3729" i="11" s="1"/>
  <c r="M3730" i="11"/>
  <c r="R3730" i="11" s="1"/>
  <c r="M3731" i="11"/>
  <c r="R3731" i="11" s="1"/>
  <c r="M3732" i="11"/>
  <c r="R3732" i="11" s="1"/>
  <c r="M3733" i="11"/>
  <c r="R3733" i="11"/>
  <c r="M3734" i="11"/>
  <c r="R3734" i="11" s="1"/>
  <c r="M3735" i="11"/>
  <c r="R3735" i="11" s="1"/>
  <c r="M3736" i="11"/>
  <c r="R3736" i="11"/>
  <c r="M3737" i="11"/>
  <c r="R3737" i="11" s="1"/>
  <c r="M3738" i="11"/>
  <c r="R3738" i="11" s="1"/>
  <c r="M3739" i="11"/>
  <c r="R3739" i="11" s="1"/>
  <c r="M3740" i="11"/>
  <c r="R3740" i="11" s="1"/>
  <c r="M3741" i="11"/>
  <c r="R3741" i="11" s="1"/>
  <c r="M3742" i="11"/>
  <c r="R3742" i="11"/>
  <c r="M3743" i="11"/>
  <c r="R3743" i="11" s="1"/>
  <c r="M3744" i="11"/>
  <c r="R3744" i="11" s="1"/>
  <c r="M3745" i="11"/>
  <c r="R3745" i="11"/>
  <c r="M3746" i="11"/>
  <c r="R3746" i="11" s="1"/>
  <c r="M3747" i="11"/>
  <c r="R3747" i="11" s="1"/>
  <c r="M3748" i="11"/>
  <c r="R3748" i="11" s="1"/>
  <c r="M3749" i="11"/>
  <c r="R3749" i="11" s="1"/>
  <c r="M3750" i="11"/>
  <c r="R3750" i="11" s="1"/>
  <c r="M3751" i="11"/>
  <c r="R3751" i="11"/>
  <c r="M3752" i="11"/>
  <c r="R3752" i="11" s="1"/>
  <c r="M3753" i="11"/>
  <c r="R3753" i="11" s="1"/>
  <c r="M3754" i="11"/>
  <c r="R3754" i="11"/>
  <c r="M3755" i="11"/>
  <c r="R3755" i="11" s="1"/>
  <c r="M3756" i="11"/>
  <c r="R3756" i="11" s="1"/>
  <c r="M3757" i="11"/>
  <c r="R3757" i="11" s="1"/>
  <c r="M3758" i="11"/>
  <c r="R3758" i="11" s="1"/>
  <c r="M3759" i="11"/>
  <c r="R3759" i="11" s="1"/>
  <c r="M3760" i="11"/>
  <c r="R3760" i="11"/>
  <c r="M3761" i="11"/>
  <c r="R3761" i="11" s="1"/>
  <c r="M3762" i="11"/>
  <c r="R3762" i="11" s="1"/>
  <c r="M3763" i="11"/>
  <c r="R3763" i="11"/>
  <c r="M3764" i="11"/>
  <c r="R3764" i="11" s="1"/>
  <c r="M3765" i="11"/>
  <c r="R3765" i="11" s="1"/>
  <c r="M3766" i="11"/>
  <c r="R3766" i="11" s="1"/>
  <c r="M3767" i="11"/>
  <c r="R3767" i="11" s="1"/>
  <c r="M3768" i="11"/>
  <c r="R3768" i="11" s="1"/>
  <c r="M3769" i="11"/>
  <c r="R3769" i="11"/>
  <c r="M3770" i="11"/>
  <c r="R3770" i="11" s="1"/>
  <c r="M3771" i="11"/>
  <c r="R3771" i="11" s="1"/>
  <c r="M3772" i="11"/>
  <c r="R3772" i="11"/>
  <c r="M3773" i="11"/>
  <c r="R3773" i="11" s="1"/>
  <c r="M3774" i="11"/>
  <c r="R3774" i="11" s="1"/>
  <c r="M3775" i="11"/>
  <c r="R3775" i="11" s="1"/>
  <c r="M3776" i="11"/>
  <c r="R3776" i="11" s="1"/>
  <c r="M3777" i="11"/>
  <c r="R3777" i="11" s="1"/>
  <c r="M3778" i="11"/>
  <c r="R3778" i="11"/>
  <c r="M3779" i="11"/>
  <c r="R3779" i="11" s="1"/>
  <c r="M3780" i="11"/>
  <c r="R3780" i="11" s="1"/>
  <c r="M3781" i="11"/>
  <c r="R3781" i="11"/>
  <c r="M3782" i="11"/>
  <c r="R3782" i="11" s="1"/>
  <c r="M3783" i="11"/>
  <c r="R3783" i="11" s="1"/>
  <c r="M3784" i="11"/>
  <c r="R3784" i="11" s="1"/>
  <c r="M3785" i="11"/>
  <c r="R3785" i="11" s="1"/>
  <c r="M3786" i="11"/>
  <c r="R3786" i="11" s="1"/>
  <c r="M3787" i="11"/>
  <c r="R3787" i="11"/>
  <c r="M3788" i="11"/>
  <c r="R3788" i="11" s="1"/>
  <c r="M3789" i="11"/>
  <c r="R3789" i="11" s="1"/>
  <c r="M3790" i="11"/>
  <c r="R3790" i="11"/>
  <c r="M3791" i="11"/>
  <c r="R3791" i="11" s="1"/>
  <c r="M3792" i="11"/>
  <c r="R3792" i="11" s="1"/>
  <c r="M3793" i="11"/>
  <c r="R3793" i="11" s="1"/>
  <c r="M3794" i="11"/>
  <c r="R3794" i="11" s="1"/>
  <c r="M3795" i="11"/>
  <c r="R3795" i="11" s="1"/>
  <c r="M3796" i="11"/>
  <c r="R3796" i="11"/>
  <c r="M3797" i="11"/>
  <c r="R3797" i="11" s="1"/>
  <c r="M3798" i="11"/>
  <c r="R3798" i="11" s="1"/>
  <c r="M3799" i="11"/>
  <c r="R3799" i="11"/>
  <c r="M3800" i="11"/>
  <c r="R3800" i="11" s="1"/>
  <c r="M3801" i="11"/>
  <c r="R3801" i="11" s="1"/>
  <c r="M3802" i="11"/>
  <c r="R3802" i="11" s="1"/>
  <c r="M3803" i="11"/>
  <c r="R3803" i="11" s="1"/>
  <c r="M3804" i="11"/>
  <c r="R3804" i="11" s="1"/>
  <c r="M3805" i="11"/>
  <c r="R3805" i="11"/>
  <c r="M3806" i="11"/>
  <c r="R3806" i="11" s="1"/>
  <c r="M3807" i="11"/>
  <c r="R3807" i="11" s="1"/>
  <c r="M3808" i="11"/>
  <c r="R3808" i="11"/>
  <c r="M3809" i="11"/>
  <c r="R3809" i="11" s="1"/>
  <c r="M3810" i="11"/>
  <c r="R3810" i="11" s="1"/>
  <c r="M3811" i="11"/>
  <c r="R3811" i="11" s="1"/>
  <c r="M3812" i="11"/>
  <c r="R3812" i="11" s="1"/>
  <c r="M3813" i="11"/>
  <c r="R3813" i="11" s="1"/>
  <c r="M3814" i="11"/>
  <c r="R3814" i="11"/>
  <c r="M3815" i="11"/>
  <c r="R3815" i="11" s="1"/>
  <c r="M3816" i="11"/>
  <c r="R3816" i="11" s="1"/>
  <c r="M3817" i="11"/>
  <c r="R3817" i="11"/>
  <c r="M3818" i="11"/>
  <c r="R3818" i="11" s="1"/>
  <c r="M3819" i="11"/>
  <c r="R3819" i="11" s="1"/>
  <c r="M3820" i="11"/>
  <c r="R3820" i="11" s="1"/>
  <c r="M3821" i="11"/>
  <c r="R3821" i="11" s="1"/>
  <c r="M3822" i="11"/>
  <c r="R3822" i="11" s="1"/>
  <c r="M3823" i="11"/>
  <c r="R3823" i="11"/>
  <c r="M3824" i="11"/>
  <c r="R3824" i="11" s="1"/>
  <c r="M3825" i="11"/>
  <c r="R3825" i="11" s="1"/>
  <c r="M3826" i="11"/>
  <c r="R3826" i="11"/>
  <c r="M3827" i="11"/>
  <c r="R3827" i="11" s="1"/>
  <c r="M3828" i="11"/>
  <c r="R3828" i="11" s="1"/>
  <c r="M3829" i="11"/>
  <c r="R3829" i="11" s="1"/>
  <c r="M3830" i="11"/>
  <c r="R3830" i="11" s="1"/>
  <c r="M3831" i="11"/>
  <c r="R3831" i="11" s="1"/>
  <c r="M3832" i="11"/>
  <c r="R3832" i="11"/>
  <c r="M3833" i="11"/>
  <c r="R3833" i="11" s="1"/>
  <c r="M3834" i="11"/>
  <c r="R3834" i="11" s="1"/>
  <c r="M3835" i="11"/>
  <c r="R3835" i="11"/>
  <c r="M3836" i="11"/>
  <c r="R3836" i="11"/>
  <c r="M3837" i="11"/>
  <c r="R3837" i="11" s="1"/>
  <c r="M3838" i="11"/>
  <c r="R3838" i="11"/>
  <c r="M3839" i="11"/>
  <c r="R3839" i="11" s="1"/>
  <c r="M3840" i="11"/>
  <c r="R3840" i="11" s="1"/>
  <c r="M3841" i="11"/>
  <c r="R3841" i="11"/>
  <c r="M3842" i="11"/>
  <c r="R3842" i="11" s="1"/>
  <c r="M3843" i="11"/>
  <c r="R3843" i="11" s="1"/>
  <c r="M3844" i="11"/>
  <c r="R3844" i="11"/>
  <c r="M3845" i="11"/>
  <c r="R3845" i="11" s="1"/>
  <c r="M3846" i="11"/>
  <c r="R3846" i="11" s="1"/>
  <c r="M3847" i="11"/>
  <c r="R3847" i="11"/>
  <c r="M3848" i="11"/>
  <c r="R3848" i="11"/>
  <c r="M3849" i="11"/>
  <c r="R3849" i="11" s="1"/>
  <c r="M3850" i="11"/>
  <c r="R3850" i="11" s="1"/>
  <c r="M3851" i="11"/>
  <c r="R3851" i="11" s="1"/>
  <c r="M3852" i="11"/>
  <c r="R3852" i="11" s="1"/>
  <c r="M3853" i="11"/>
  <c r="R3853" i="11" s="1"/>
  <c r="M3854" i="11"/>
  <c r="R3854" i="11"/>
  <c r="M3855" i="11"/>
  <c r="R3855" i="11" s="1"/>
  <c r="M3856" i="11"/>
  <c r="R3856" i="11"/>
  <c r="M3857" i="11"/>
  <c r="R3857" i="11" s="1"/>
  <c r="M3858" i="11"/>
  <c r="R3858" i="11" s="1"/>
  <c r="M3859" i="11"/>
  <c r="R3859" i="11"/>
  <c r="M3860" i="11"/>
  <c r="R3860" i="11"/>
  <c r="M3861" i="11"/>
  <c r="R3861" i="11" s="1"/>
  <c r="M3862" i="11"/>
  <c r="R3862" i="11"/>
  <c r="M3863" i="11"/>
  <c r="R3863" i="11" s="1"/>
  <c r="M3864" i="11"/>
  <c r="R3864" i="11" s="1"/>
  <c r="M3865" i="11"/>
  <c r="R3865" i="11"/>
  <c r="M3866" i="11"/>
  <c r="R3866" i="11" s="1"/>
  <c r="M3867" i="11"/>
  <c r="R3867" i="11" s="1"/>
  <c r="M3868" i="11"/>
  <c r="R3868" i="11"/>
  <c r="M3869" i="11"/>
  <c r="R3869" i="11" s="1"/>
  <c r="M3870" i="11"/>
  <c r="R3870" i="11" s="1"/>
  <c r="M3871" i="11"/>
  <c r="R3871" i="11"/>
  <c r="M3872" i="11"/>
  <c r="R3872" i="11"/>
  <c r="M3873" i="11"/>
  <c r="R3873" i="11" s="1"/>
  <c r="M3874" i="11"/>
  <c r="R3874" i="11" s="1"/>
  <c r="M3875" i="11"/>
  <c r="R3875" i="11" s="1"/>
  <c r="M3876" i="11"/>
  <c r="R3876" i="11" s="1"/>
  <c r="M3877" i="11"/>
  <c r="R3877" i="11" s="1"/>
  <c r="M3878" i="11"/>
  <c r="R3878" i="11"/>
  <c r="M3879" i="11"/>
  <c r="R3879" i="11" s="1"/>
  <c r="M3880" i="11"/>
  <c r="R3880" i="11"/>
  <c r="M3881" i="11"/>
  <c r="R3881" i="11" s="1"/>
  <c r="M3882" i="11"/>
  <c r="R3882" i="11" s="1"/>
  <c r="M3883" i="11"/>
  <c r="R3883" i="11"/>
  <c r="M3884" i="11"/>
  <c r="R3884" i="11"/>
  <c r="M3885" i="11"/>
  <c r="R3885" i="11" s="1"/>
  <c r="M3886" i="11"/>
  <c r="R3886" i="11"/>
  <c r="M3887" i="11"/>
  <c r="R3887" i="11" s="1"/>
  <c r="M3888" i="11"/>
  <c r="R3888" i="11" s="1"/>
  <c r="M3889" i="11"/>
  <c r="R3889" i="11"/>
  <c r="M3890" i="11"/>
  <c r="R3890" i="11" s="1"/>
  <c r="M3891" i="11"/>
  <c r="R3891" i="11" s="1"/>
  <c r="M3892" i="11"/>
  <c r="R3892" i="11"/>
  <c r="M3893" i="11"/>
  <c r="R3893" i="11" s="1"/>
  <c r="M3894" i="11"/>
  <c r="R3894" i="11" s="1"/>
  <c r="M3895" i="11"/>
  <c r="R3895" i="11"/>
  <c r="M3896" i="11"/>
  <c r="R3896" i="11"/>
  <c r="M3897" i="11"/>
  <c r="R3897" i="11" s="1"/>
  <c r="M3898" i="11"/>
  <c r="R3898" i="11" s="1"/>
  <c r="M3899" i="11"/>
  <c r="R3899" i="11" s="1"/>
  <c r="M3900" i="11"/>
  <c r="R3900" i="11" s="1"/>
  <c r="M3901" i="11"/>
  <c r="R3901" i="11" s="1"/>
  <c r="M3902" i="11"/>
  <c r="R3902" i="11"/>
  <c r="M3903" i="11"/>
  <c r="R3903" i="11" s="1"/>
  <c r="M3904" i="11"/>
  <c r="R3904" i="11"/>
  <c r="M3905" i="11"/>
  <c r="R3905" i="11" s="1"/>
  <c r="M3906" i="11"/>
  <c r="R3906" i="11" s="1"/>
  <c r="M3907" i="11"/>
  <c r="R3907" i="11"/>
  <c r="M3908" i="11"/>
  <c r="R3908" i="11"/>
  <c r="M3909" i="11"/>
  <c r="R3909" i="11" s="1"/>
  <c r="M3910" i="11"/>
  <c r="R3910" i="11"/>
  <c r="M3911" i="11"/>
  <c r="R3911" i="11" s="1"/>
  <c r="M3912" i="11"/>
  <c r="R3912" i="11" s="1"/>
  <c r="M3913" i="11"/>
  <c r="R3913" i="11"/>
  <c r="M3914" i="11"/>
  <c r="R3914" i="11" s="1"/>
  <c r="M3915" i="11"/>
  <c r="R3915" i="11" s="1"/>
  <c r="M3916" i="11"/>
  <c r="R3916" i="11"/>
  <c r="M3917" i="11"/>
  <c r="R3917" i="11" s="1"/>
  <c r="M3918" i="11"/>
  <c r="R3918" i="11" s="1"/>
  <c r="M3919" i="11"/>
  <c r="R3919" i="11"/>
  <c r="M3920" i="11"/>
  <c r="R3920" i="11"/>
  <c r="M3921" i="11"/>
  <c r="R3921" i="11" s="1"/>
  <c r="M3922" i="11"/>
  <c r="R3922" i="11" s="1"/>
  <c r="M3923" i="11"/>
  <c r="R3923" i="11" s="1"/>
  <c r="M3924" i="11"/>
  <c r="R3924" i="11" s="1"/>
  <c r="M3925" i="11"/>
  <c r="R3925" i="11" s="1"/>
  <c r="M3926" i="11"/>
  <c r="R3926" i="11"/>
  <c r="M3927" i="11"/>
  <c r="R3927" i="11" s="1"/>
  <c r="M3928" i="11"/>
  <c r="R3928" i="11"/>
  <c r="M3929" i="11"/>
  <c r="R3929" i="11" s="1"/>
  <c r="M3930" i="11"/>
  <c r="R3930" i="11" s="1"/>
  <c r="M3931" i="11"/>
  <c r="R3931" i="11"/>
  <c r="M3932" i="11"/>
  <c r="R3932" i="11"/>
  <c r="M3933" i="11"/>
  <c r="R3933" i="11" s="1"/>
  <c r="M3934" i="11"/>
  <c r="R3934" i="11"/>
  <c r="M3935" i="11"/>
  <c r="R3935" i="11" s="1"/>
  <c r="M3936" i="11"/>
  <c r="R3936" i="11"/>
  <c r="M3937" i="11"/>
  <c r="R3937" i="11" s="1"/>
  <c r="M3938" i="11"/>
  <c r="R3938" i="11"/>
  <c r="M3939" i="11"/>
  <c r="R3939" i="11" s="1"/>
  <c r="M3940" i="11"/>
  <c r="R3940" i="11"/>
  <c r="M3941" i="11"/>
  <c r="R3941" i="11" s="1"/>
  <c r="M3942" i="11"/>
  <c r="R3942" i="11"/>
  <c r="M3943" i="11"/>
  <c r="R3943" i="11" s="1"/>
  <c r="M3944" i="11"/>
  <c r="R3944" i="11"/>
  <c r="M3945" i="11"/>
  <c r="R3945" i="11"/>
  <c r="M3946" i="11"/>
  <c r="R3946" i="11" s="1"/>
  <c r="M3947" i="11"/>
  <c r="R3947" i="11" s="1"/>
  <c r="M3948" i="11"/>
  <c r="R3948" i="11" s="1"/>
  <c r="M3949" i="11"/>
  <c r="R3949" i="11"/>
  <c r="M3950" i="11"/>
  <c r="R3950" i="11" s="1"/>
  <c r="M3951" i="11"/>
  <c r="R3951" i="11"/>
  <c r="M3952" i="11"/>
  <c r="R3952" i="11" s="1"/>
  <c r="M3953" i="11"/>
  <c r="R3953" i="11" s="1"/>
  <c r="M3954" i="11"/>
  <c r="R3954" i="11"/>
  <c r="M3955" i="11"/>
  <c r="R3955" i="11"/>
  <c r="M3956" i="11"/>
  <c r="R3956" i="11" s="1"/>
  <c r="M3957" i="11"/>
  <c r="R3957" i="11"/>
  <c r="M3958" i="11"/>
  <c r="R3958" i="11"/>
  <c r="M3959" i="11"/>
  <c r="R3959" i="11" s="1"/>
  <c r="M3960" i="11"/>
  <c r="R3960" i="11"/>
  <c r="M3961" i="11"/>
  <c r="R3961" i="11" s="1"/>
  <c r="M3962" i="11"/>
  <c r="R3962" i="11"/>
  <c r="M3963" i="11"/>
  <c r="R3963" i="11" s="1"/>
  <c r="M3964" i="11"/>
  <c r="R3964" i="11"/>
  <c r="M3965" i="11"/>
  <c r="R3965" i="11" s="1"/>
  <c r="M3966" i="11"/>
  <c r="R3966" i="11" s="1"/>
  <c r="M3967" i="11"/>
  <c r="R3967" i="11"/>
  <c r="M3968" i="11"/>
  <c r="R3968" i="11"/>
  <c r="M3969" i="11"/>
  <c r="R3969" i="11" s="1"/>
  <c r="M3970" i="11"/>
  <c r="R3970" i="11"/>
  <c r="M3971" i="11"/>
  <c r="R3971" i="11" s="1"/>
  <c r="M3972" i="11"/>
  <c r="R3972" i="11" s="1"/>
  <c r="M3973" i="11"/>
  <c r="R3973" i="11"/>
  <c r="M3974" i="11"/>
  <c r="R3974" i="11" s="1"/>
  <c r="M3975" i="11"/>
  <c r="R3975" i="11"/>
  <c r="M3976" i="11"/>
  <c r="R3976" i="11" s="1"/>
  <c r="M3977" i="11"/>
  <c r="R3977" i="11" s="1"/>
  <c r="M3978" i="11"/>
  <c r="R3978" i="11"/>
  <c r="M3979" i="11"/>
  <c r="R3979" i="11" s="1"/>
  <c r="M3980" i="11"/>
  <c r="R3980" i="11"/>
  <c r="M3981" i="11"/>
  <c r="R3981" i="11"/>
  <c r="M3982" i="11"/>
  <c r="R3982" i="11" s="1"/>
  <c r="M3983" i="11"/>
  <c r="R3983" i="11" s="1"/>
  <c r="M3984" i="11"/>
  <c r="R3984" i="11"/>
  <c r="M3985" i="11"/>
  <c r="R3985" i="11" s="1"/>
  <c r="M3986" i="11"/>
  <c r="R3986" i="11"/>
  <c r="M3987" i="11"/>
  <c r="R3987" i="11" s="1"/>
  <c r="M3988" i="11"/>
  <c r="R3988" i="11"/>
  <c r="M3989" i="11"/>
  <c r="R3989" i="11" s="1"/>
  <c r="M3990" i="11"/>
  <c r="R3990" i="11"/>
  <c r="M3991" i="11"/>
  <c r="R3991" i="11"/>
  <c r="M3992" i="11"/>
  <c r="R3992" i="11" s="1"/>
  <c r="M3993" i="11"/>
  <c r="R3993" i="11"/>
  <c r="M3994" i="11"/>
  <c r="R3994" i="11"/>
  <c r="M3995" i="11"/>
  <c r="R3995" i="11" s="1"/>
  <c r="M3996" i="11"/>
  <c r="R3996" i="11" s="1"/>
  <c r="M3997" i="11"/>
  <c r="R3997" i="11"/>
  <c r="M3998" i="11"/>
  <c r="R3998" i="11" s="1"/>
  <c r="M3999" i="11"/>
  <c r="R3999" i="11"/>
  <c r="M4000" i="11"/>
  <c r="R4000" i="11" s="1"/>
  <c r="M4001" i="11"/>
  <c r="R4001" i="11" s="1"/>
  <c r="M4002" i="11"/>
  <c r="R4002" i="11" s="1"/>
  <c r="M4003" i="11"/>
  <c r="R4003" i="11"/>
  <c r="M4004" i="11"/>
  <c r="R4004" i="11"/>
  <c r="M4005" i="11"/>
  <c r="R4005" i="11" s="1"/>
  <c r="M4006" i="11"/>
  <c r="R4006" i="11"/>
  <c r="M4007" i="11"/>
  <c r="R4007" i="11" s="1"/>
  <c r="M4008" i="11"/>
  <c r="R4008" i="11"/>
  <c r="M4009" i="11"/>
  <c r="R4009" i="11" s="1"/>
  <c r="M4010" i="11"/>
  <c r="R4010" i="11"/>
  <c r="M4011" i="11"/>
  <c r="R4011" i="11" s="1"/>
  <c r="M4012" i="11"/>
  <c r="R4012" i="11"/>
  <c r="M4013" i="11"/>
  <c r="R4013" i="11" s="1"/>
  <c r="M4014" i="11"/>
  <c r="R4014" i="11"/>
  <c r="M4015" i="11"/>
  <c r="R4015" i="11" s="1"/>
  <c r="M4016" i="11"/>
  <c r="R4016" i="11"/>
  <c r="M4017" i="11"/>
  <c r="R4017" i="11"/>
  <c r="M4018" i="11"/>
  <c r="R4018" i="11" s="1"/>
  <c r="M4019" i="11"/>
  <c r="R4019" i="11" s="1"/>
  <c r="M4020" i="11"/>
  <c r="R4020" i="11" s="1"/>
  <c r="M4021" i="11"/>
  <c r="R4021" i="11"/>
  <c r="M4022" i="11"/>
  <c r="R4022" i="11" s="1"/>
  <c r="M4023" i="11"/>
  <c r="R4023" i="11"/>
  <c r="M4024" i="11"/>
  <c r="R4024" i="11" s="1"/>
  <c r="M4025" i="11"/>
  <c r="R4025" i="11" s="1"/>
  <c r="M4026" i="11"/>
  <c r="R4026" i="11"/>
  <c r="M4027" i="11"/>
  <c r="R4027" i="11"/>
  <c r="M4028" i="11"/>
  <c r="R4028" i="11" s="1"/>
  <c r="M4029" i="11"/>
  <c r="R4029" i="11"/>
  <c r="M4030" i="11"/>
  <c r="R4030" i="11"/>
  <c r="M4031" i="11"/>
  <c r="R4031" i="11" s="1"/>
  <c r="M4032" i="11"/>
  <c r="R4032" i="11"/>
  <c r="M4033" i="11"/>
  <c r="R4033" i="11" s="1"/>
  <c r="M4034" i="11"/>
  <c r="R4034" i="11"/>
  <c r="M4035" i="11"/>
  <c r="R4035" i="11" s="1"/>
  <c r="M4036" i="11"/>
  <c r="R4036" i="11"/>
  <c r="M4037" i="11"/>
  <c r="R4037" i="11" s="1"/>
  <c r="M4038" i="11"/>
  <c r="R4038" i="11" s="1"/>
  <c r="M4039" i="11"/>
  <c r="R4039" i="11"/>
  <c r="M4040" i="11"/>
  <c r="R4040" i="11"/>
  <c r="M4041" i="11"/>
  <c r="R4041" i="11" s="1"/>
  <c r="M4042" i="11"/>
  <c r="R4042" i="11"/>
  <c r="M4043" i="11"/>
  <c r="R4043" i="11"/>
  <c r="M4044" i="11"/>
  <c r="R4044" i="11" s="1"/>
  <c r="M4045" i="11"/>
  <c r="R4045" i="11"/>
  <c r="M4046" i="11"/>
  <c r="R4046" i="11"/>
  <c r="M4047" i="11"/>
  <c r="R4047" i="11" s="1"/>
  <c r="M4048" i="11"/>
  <c r="R4048" i="11"/>
  <c r="M4049" i="11"/>
  <c r="R4049" i="11"/>
  <c r="M4050" i="11"/>
  <c r="R4050" i="11" s="1"/>
  <c r="M4051" i="11"/>
  <c r="R4051" i="11"/>
  <c r="M4052" i="11"/>
  <c r="R4052" i="11"/>
  <c r="M4053" i="11"/>
  <c r="R4053" i="11" s="1"/>
  <c r="M4054" i="11"/>
  <c r="R4054" i="11"/>
  <c r="M4055" i="11"/>
  <c r="R4055" i="11"/>
  <c r="M4056" i="11"/>
  <c r="R4056" i="11" s="1"/>
  <c r="M4057" i="11"/>
  <c r="R4057" i="11" s="1"/>
  <c r="M4058" i="11"/>
  <c r="R4058" i="11"/>
  <c r="M4059" i="11"/>
  <c r="R4059" i="11" s="1"/>
  <c r="M4060" i="11"/>
  <c r="R4060" i="11"/>
  <c r="M4061" i="11"/>
  <c r="R4061" i="11"/>
  <c r="M4062" i="11"/>
  <c r="R4062" i="11" s="1"/>
  <c r="M4063" i="11"/>
  <c r="R4063" i="11" s="1"/>
  <c r="M4064" i="11"/>
  <c r="R4064" i="11"/>
  <c r="M4065" i="11"/>
  <c r="R4065" i="11" s="1"/>
  <c r="M4066" i="11"/>
  <c r="R4066" i="11"/>
  <c r="M4067" i="11"/>
  <c r="R4067" i="11"/>
  <c r="M4068" i="11"/>
  <c r="R4068" i="11" s="1"/>
  <c r="M4069" i="11"/>
  <c r="R4069" i="11" s="1"/>
  <c r="M4070" i="11"/>
  <c r="R4070" i="11"/>
  <c r="M4071" i="11"/>
  <c r="R4071" i="11" s="1"/>
  <c r="M4072" i="11"/>
  <c r="R4072" i="11"/>
  <c r="M4073" i="11"/>
  <c r="R4073" i="11"/>
  <c r="M4074" i="11"/>
  <c r="R4074" i="11" s="1"/>
  <c r="M4075" i="11"/>
  <c r="R4075" i="11" s="1"/>
  <c r="M4076" i="11"/>
  <c r="R4076" i="11"/>
  <c r="M4077" i="11"/>
  <c r="R4077" i="11" s="1"/>
  <c r="M4078" i="11"/>
  <c r="R4078" i="11"/>
  <c r="M4079" i="11"/>
  <c r="R4079" i="11"/>
  <c r="M4080" i="11"/>
  <c r="R4080" i="11" s="1"/>
  <c r="M4081" i="11"/>
  <c r="R4081" i="11" s="1"/>
  <c r="M4082" i="11"/>
  <c r="R4082" i="11"/>
  <c r="M4083" i="11"/>
  <c r="R4083" i="11" s="1"/>
  <c r="M4084" i="11"/>
  <c r="R4084" i="11"/>
  <c r="M4085" i="11"/>
  <c r="R4085" i="11"/>
  <c r="M4086" i="11"/>
  <c r="R4086" i="11" s="1"/>
  <c r="M4087" i="11"/>
  <c r="R4087" i="11" s="1"/>
  <c r="M4088" i="11"/>
  <c r="R4088" i="11"/>
  <c r="M4089" i="11"/>
  <c r="R4089" i="11" s="1"/>
  <c r="M4090" i="11"/>
  <c r="R4090" i="11"/>
  <c r="M4091" i="11"/>
  <c r="R4091" i="11"/>
  <c r="M4092" i="11"/>
  <c r="R4092" i="11" s="1"/>
  <c r="M4093" i="11"/>
  <c r="R4093" i="11" s="1"/>
  <c r="M4094" i="11"/>
  <c r="R4094" i="11"/>
  <c r="M4095" i="11"/>
  <c r="R4095" i="11" s="1"/>
  <c r="M4096" i="11"/>
  <c r="R4096" i="11"/>
  <c r="M4097" i="11"/>
  <c r="R4097" i="11"/>
  <c r="M4098" i="11"/>
  <c r="R4098" i="11" s="1"/>
  <c r="M4099" i="11"/>
  <c r="R4099" i="11" s="1"/>
  <c r="M4100" i="11"/>
  <c r="R4100" i="11"/>
  <c r="M4101" i="11"/>
  <c r="R4101" i="11" s="1"/>
  <c r="M4102" i="11"/>
  <c r="R4102" i="11"/>
  <c r="M4103" i="11"/>
  <c r="R4103" i="11"/>
  <c r="M4104" i="11"/>
  <c r="R4104" i="11" s="1"/>
  <c r="M4105" i="11"/>
  <c r="R4105" i="11" s="1"/>
  <c r="M4106" i="11"/>
  <c r="R4106" i="11"/>
  <c r="M4107" i="11"/>
  <c r="R4107" i="11" s="1"/>
  <c r="M4108" i="11"/>
  <c r="R4108" i="11"/>
  <c r="M4109" i="11"/>
  <c r="R4109" i="11"/>
  <c r="M4110" i="11"/>
  <c r="R4110" i="11" s="1"/>
  <c r="M4111" i="11"/>
  <c r="R4111" i="11" s="1"/>
  <c r="M4112" i="11"/>
  <c r="R4112" i="11"/>
  <c r="M4113" i="11"/>
  <c r="R4113" i="11" s="1"/>
  <c r="M4114" i="11"/>
  <c r="R4114" i="11"/>
  <c r="M4115" i="11"/>
  <c r="R4115" i="11"/>
  <c r="M4116" i="11"/>
  <c r="R4116" i="11" s="1"/>
  <c r="M4117" i="11"/>
  <c r="R4117" i="11" s="1"/>
  <c r="M4118" i="11"/>
  <c r="R4118" i="11"/>
  <c r="M4119" i="11"/>
  <c r="R4119" i="11" s="1"/>
  <c r="M4120" i="11"/>
  <c r="R4120" i="11"/>
  <c r="M4121" i="11"/>
  <c r="R4121" i="11"/>
  <c r="M4122" i="11"/>
  <c r="R4122" i="11" s="1"/>
  <c r="M4123" i="11"/>
  <c r="R4123" i="11" s="1"/>
  <c r="M4124" i="11"/>
  <c r="R4124" i="11"/>
  <c r="M4125" i="11"/>
  <c r="R4125" i="11" s="1"/>
  <c r="M4126" i="11"/>
  <c r="R4126" i="11"/>
  <c r="M4127" i="11"/>
  <c r="R4127" i="11"/>
  <c r="M4128" i="11"/>
  <c r="R4128" i="11" s="1"/>
  <c r="M4129" i="11"/>
  <c r="R4129" i="11" s="1"/>
  <c r="M4130" i="11"/>
  <c r="R4130" i="11"/>
  <c r="M4131" i="11"/>
  <c r="R4131" i="11" s="1"/>
  <c r="M4132" i="11"/>
  <c r="R4132" i="11"/>
  <c r="M4133" i="11"/>
  <c r="R4133" i="11"/>
  <c r="M4134" i="11"/>
  <c r="R4134" i="11" s="1"/>
  <c r="M4135" i="11"/>
  <c r="R4135" i="11" s="1"/>
  <c r="M4136" i="11"/>
  <c r="R4136" i="11"/>
  <c r="M4137" i="11"/>
  <c r="R4137" i="11" s="1"/>
  <c r="M4138" i="11"/>
  <c r="R4138" i="11"/>
  <c r="M4139" i="11"/>
  <c r="R4139" i="11"/>
  <c r="M4140" i="11"/>
  <c r="R4140" i="11" s="1"/>
  <c r="M4141" i="11"/>
  <c r="R4141" i="11" s="1"/>
  <c r="M4142" i="11"/>
  <c r="R4142" i="11"/>
  <c r="M4143" i="11"/>
  <c r="R4143" i="11" s="1"/>
  <c r="M4144" i="11"/>
  <c r="R4144" i="11"/>
  <c r="M4145" i="11"/>
  <c r="R4145" i="11"/>
  <c r="M4146" i="11"/>
  <c r="R4146" i="11" s="1"/>
  <c r="M4147" i="11"/>
  <c r="R4147" i="11" s="1"/>
  <c r="M4148" i="11"/>
  <c r="R4148" i="11"/>
  <c r="M4149" i="11"/>
  <c r="R4149" i="11" s="1"/>
  <c r="M4150" i="11"/>
  <c r="R4150" i="11"/>
  <c r="M4151" i="11"/>
  <c r="R4151" i="11"/>
  <c r="M4152" i="11"/>
  <c r="R4152" i="11" s="1"/>
  <c r="M4153" i="11"/>
  <c r="R4153" i="11" s="1"/>
  <c r="M4154" i="11"/>
  <c r="R4154" i="11"/>
  <c r="M4155" i="11"/>
  <c r="R4155" i="11" s="1"/>
  <c r="M4156" i="11"/>
  <c r="R4156" i="11"/>
  <c r="M4157" i="11"/>
  <c r="R4157" i="11"/>
  <c r="M4158" i="11"/>
  <c r="M4159" i="11"/>
  <c r="R4159" i="11"/>
  <c r="M4160" i="11"/>
  <c r="R4160" i="11" s="1"/>
  <c r="M4161" i="11"/>
  <c r="R4161" i="11"/>
  <c r="M4162" i="11"/>
  <c r="R4162" i="11" s="1"/>
  <c r="M4163" i="11"/>
  <c r="R4163" i="11"/>
  <c r="M4164" i="11"/>
  <c r="R4164" i="11" s="1"/>
  <c r="M4165" i="11"/>
  <c r="R4165" i="11"/>
  <c r="M4166" i="11"/>
  <c r="R4166" i="11" s="1"/>
  <c r="M4167" i="11"/>
  <c r="R4167" i="11"/>
  <c r="M4168" i="11"/>
  <c r="R4168" i="11" s="1"/>
  <c r="M4169" i="11"/>
  <c r="R4169" i="11"/>
  <c r="M4170" i="11"/>
  <c r="R4170" i="11" s="1"/>
  <c r="M4171" i="11"/>
  <c r="R4171" i="11"/>
  <c r="M4172" i="11"/>
  <c r="R4172" i="11" s="1"/>
  <c r="M4173" i="11"/>
  <c r="R4173" i="11"/>
  <c r="M4174" i="11"/>
  <c r="R4174" i="11" s="1"/>
  <c r="M4175" i="11"/>
  <c r="R4175" i="11"/>
  <c r="M4176" i="11"/>
  <c r="R4176" i="11" s="1"/>
  <c r="M4177" i="11"/>
  <c r="R4177" i="11"/>
  <c r="M4178" i="11"/>
  <c r="R4178" i="11" s="1"/>
  <c r="M4179" i="11"/>
  <c r="R4179" i="11"/>
  <c r="M4180" i="11"/>
  <c r="R4180" i="11" s="1"/>
  <c r="M4181" i="11"/>
  <c r="R4181" i="11"/>
  <c r="M4182" i="11"/>
  <c r="R4182" i="11" s="1"/>
  <c r="M4183" i="11"/>
  <c r="R4183" i="11"/>
  <c r="M4184" i="11"/>
  <c r="R4184" i="11" s="1"/>
  <c r="M4185" i="11"/>
  <c r="R4185" i="11"/>
  <c r="M4186" i="11"/>
  <c r="R4186" i="11" s="1"/>
  <c r="M4187" i="11"/>
  <c r="R4187" i="11"/>
  <c r="M4188" i="11"/>
  <c r="R4188" i="11" s="1"/>
  <c r="M4189" i="11"/>
  <c r="R4189" i="11"/>
  <c r="M4190" i="11"/>
  <c r="R4190" i="11" s="1"/>
  <c r="M4191" i="11"/>
  <c r="R4191" i="11"/>
  <c r="M4192" i="11"/>
  <c r="R4192" i="11" s="1"/>
  <c r="M4193" i="11"/>
  <c r="R4193" i="11"/>
  <c r="M4194" i="11"/>
  <c r="R4194" i="11" s="1"/>
  <c r="M4195" i="11"/>
  <c r="R4195" i="11"/>
  <c r="M4196" i="11"/>
  <c r="R4196" i="11" s="1"/>
  <c r="M4197" i="11"/>
  <c r="R4197" i="11"/>
  <c r="M4198" i="11"/>
  <c r="R4198" i="11" s="1"/>
  <c r="M4199" i="11"/>
  <c r="R4199" i="11"/>
  <c r="M4200" i="11"/>
  <c r="R4200" i="11" s="1"/>
  <c r="M4201" i="11"/>
  <c r="R4201" i="11"/>
  <c r="M4202" i="11"/>
  <c r="R4202" i="11" s="1"/>
  <c r="M4203" i="11"/>
  <c r="R4203" i="11"/>
  <c r="M4204" i="11"/>
  <c r="R4204" i="11" s="1"/>
  <c r="M4205" i="11"/>
  <c r="R4205" i="11"/>
  <c r="M4206" i="11"/>
  <c r="R4206" i="11" s="1"/>
  <c r="M4207" i="11"/>
  <c r="R4207" i="11"/>
  <c r="M4208" i="11"/>
  <c r="R4208" i="11" s="1"/>
  <c r="M4209" i="11"/>
  <c r="R4209" i="11"/>
  <c r="M4210" i="11"/>
  <c r="R4210" i="11" s="1"/>
  <c r="M4211" i="11"/>
  <c r="R4211" i="11"/>
  <c r="M4212" i="11"/>
  <c r="R4212" i="11" s="1"/>
  <c r="M4213" i="11"/>
  <c r="R4213" i="11"/>
  <c r="M4214" i="11"/>
  <c r="R4214" i="11" s="1"/>
  <c r="M4215" i="11"/>
  <c r="R4215" i="11"/>
  <c r="M4216" i="11"/>
  <c r="R4216" i="11" s="1"/>
  <c r="M4217" i="11"/>
  <c r="R4217" i="11"/>
  <c r="M4218" i="11"/>
  <c r="R4218" i="11" s="1"/>
  <c r="M4219" i="11"/>
  <c r="R4219" i="11"/>
  <c r="M4220" i="11"/>
  <c r="R4220" i="11" s="1"/>
  <c r="M4221" i="11"/>
  <c r="R4221" i="11"/>
  <c r="M4222" i="11"/>
  <c r="R4222" i="11" s="1"/>
  <c r="M4223" i="11"/>
  <c r="R4223" i="11"/>
  <c r="M4224" i="11"/>
  <c r="R4224" i="11" s="1"/>
  <c r="M4225" i="11"/>
  <c r="R4225" i="11"/>
  <c r="M4226" i="11"/>
  <c r="R4226" i="11" s="1"/>
  <c r="M4227" i="11"/>
  <c r="R4227" i="11"/>
  <c r="M4228" i="11"/>
  <c r="R4228" i="11" s="1"/>
  <c r="M4229" i="11"/>
  <c r="R4229" i="11"/>
  <c r="M4230" i="11"/>
  <c r="R4230" i="11" s="1"/>
  <c r="M4231" i="11"/>
  <c r="R4231" i="11"/>
  <c r="M4232" i="11"/>
  <c r="R4232" i="11" s="1"/>
  <c r="M4233" i="11"/>
  <c r="R4233" i="11"/>
  <c r="M4234" i="11"/>
  <c r="R4234" i="11" s="1"/>
  <c r="M4235" i="11"/>
  <c r="R4235" i="11"/>
  <c r="M4236" i="11"/>
  <c r="R4236" i="11" s="1"/>
  <c r="M4237" i="11"/>
  <c r="R4237" i="11"/>
  <c r="M4238" i="11"/>
  <c r="R4238" i="11" s="1"/>
  <c r="M4239" i="11"/>
  <c r="R4239" i="11"/>
  <c r="M4240" i="11"/>
  <c r="R4240" i="11" s="1"/>
  <c r="M4241" i="11"/>
  <c r="R4241" i="11"/>
  <c r="M4242" i="11"/>
  <c r="R4242" i="11" s="1"/>
  <c r="M4243" i="11"/>
  <c r="R4243" i="11"/>
  <c r="M4244" i="11"/>
  <c r="R4244" i="11" s="1"/>
  <c r="M4245" i="11"/>
  <c r="R4245" i="11"/>
  <c r="M4246" i="11"/>
  <c r="R4246" i="11" s="1"/>
  <c r="M4247" i="11"/>
  <c r="R4247" i="11"/>
  <c r="M4248" i="11"/>
  <c r="R4248" i="11" s="1"/>
  <c r="M4249" i="11"/>
  <c r="R4249" i="11"/>
  <c r="M4250" i="11"/>
  <c r="R4250" i="11" s="1"/>
  <c r="M4251" i="11"/>
  <c r="R4251" i="11"/>
  <c r="M4252" i="11"/>
  <c r="R4252" i="11" s="1"/>
  <c r="M4253" i="11"/>
  <c r="R4253" i="11"/>
  <c r="M4254" i="11"/>
  <c r="R4254" i="11" s="1"/>
  <c r="M4255" i="11"/>
  <c r="R4255" i="11"/>
  <c r="M4256" i="11"/>
  <c r="R4256" i="11" s="1"/>
  <c r="M4257" i="11"/>
  <c r="R4257" i="11"/>
  <c r="M4258" i="11"/>
  <c r="R4258" i="11" s="1"/>
  <c r="M4259" i="11"/>
  <c r="R4259" i="11"/>
  <c r="M4260" i="11"/>
  <c r="R4260" i="11" s="1"/>
  <c r="M4261" i="11"/>
  <c r="R4261" i="11"/>
  <c r="M4262" i="11"/>
  <c r="R4262" i="11" s="1"/>
  <c r="M4263" i="11"/>
  <c r="R4263" i="11"/>
  <c r="M4264" i="11"/>
  <c r="R4264" i="11" s="1"/>
  <c r="M4265" i="11"/>
  <c r="R4265" i="11"/>
  <c r="M4266" i="11"/>
  <c r="R4266" i="11" s="1"/>
  <c r="M4267" i="11"/>
  <c r="R4267" i="11"/>
  <c r="M4268" i="11"/>
  <c r="R4268" i="11" s="1"/>
  <c r="M4269" i="11"/>
  <c r="R4269" i="11"/>
  <c r="M4270" i="11"/>
  <c r="R4270" i="11" s="1"/>
  <c r="M4271" i="11"/>
  <c r="R4271" i="11"/>
  <c r="M4272" i="11"/>
  <c r="R4272" i="11" s="1"/>
  <c r="M4273" i="11"/>
  <c r="R4273" i="11"/>
  <c r="M4274" i="11"/>
  <c r="R4274" i="11" s="1"/>
  <c r="M4275" i="11"/>
  <c r="R4275" i="11"/>
  <c r="M4276" i="11"/>
  <c r="R4276" i="11" s="1"/>
  <c r="M4277" i="11"/>
  <c r="R4277" i="11"/>
  <c r="M4278" i="11"/>
  <c r="R4278" i="11" s="1"/>
  <c r="M4279" i="11"/>
  <c r="R4279" i="11"/>
  <c r="M4280" i="11"/>
  <c r="R4280" i="11" s="1"/>
  <c r="M4281" i="11"/>
  <c r="R4281" i="11"/>
  <c r="M4282" i="11"/>
  <c r="R4282" i="11" s="1"/>
  <c r="M4283" i="11"/>
  <c r="R4283" i="11"/>
  <c r="M4284" i="11"/>
  <c r="R4284" i="11" s="1"/>
  <c r="M4285" i="11"/>
  <c r="R4285" i="11"/>
  <c r="M4286" i="11"/>
  <c r="R4286" i="11" s="1"/>
  <c r="M4287" i="11"/>
  <c r="R4287" i="11"/>
  <c r="M4288" i="11"/>
  <c r="R4288" i="11" s="1"/>
  <c r="M4289" i="11"/>
  <c r="R4289" i="11"/>
  <c r="M4290" i="11"/>
  <c r="R4290" i="11" s="1"/>
  <c r="M4291" i="11"/>
  <c r="R4291" i="11"/>
  <c r="M4292" i="11"/>
  <c r="R4292" i="11" s="1"/>
  <c r="M4293" i="11"/>
  <c r="R4293" i="11"/>
  <c r="M4294" i="11"/>
  <c r="R4294" i="11" s="1"/>
  <c r="M4295" i="11"/>
  <c r="R4295" i="11"/>
  <c r="M4296" i="11"/>
  <c r="R4296" i="11" s="1"/>
  <c r="M4297" i="11"/>
  <c r="R4297" i="11"/>
  <c r="M4298" i="11"/>
  <c r="R4298" i="11" s="1"/>
  <c r="M4299" i="11"/>
  <c r="R4299" i="11"/>
  <c r="M4300" i="11"/>
  <c r="R4300" i="11" s="1"/>
  <c r="M4301" i="11"/>
  <c r="R4301" i="11"/>
  <c r="M4302" i="11"/>
  <c r="R4302" i="11" s="1"/>
  <c r="M4303" i="11"/>
  <c r="R4303" i="11"/>
  <c r="M4304" i="11"/>
  <c r="R4304" i="11" s="1"/>
  <c r="M4305" i="11"/>
  <c r="R4305" i="11"/>
  <c r="M4306" i="11"/>
  <c r="R4306" i="11" s="1"/>
  <c r="M4307" i="11"/>
  <c r="R4307" i="11"/>
  <c r="M4308" i="11"/>
  <c r="R4308" i="11" s="1"/>
  <c r="M4309" i="11"/>
  <c r="R4309" i="11"/>
  <c r="M4310" i="11"/>
  <c r="R4310" i="11" s="1"/>
  <c r="M4311" i="11"/>
  <c r="R4311" i="11"/>
  <c r="M4312" i="11"/>
  <c r="R4312" i="11" s="1"/>
  <c r="M4313" i="11"/>
  <c r="R4313" i="11"/>
  <c r="M4314" i="11"/>
  <c r="R4314" i="11" s="1"/>
  <c r="M4315" i="11"/>
  <c r="R4315" i="11"/>
  <c r="M4316" i="11"/>
  <c r="R4316" i="11" s="1"/>
  <c r="M4317" i="11"/>
  <c r="R4317" i="11"/>
  <c r="M4318" i="11"/>
  <c r="R4318" i="11" s="1"/>
  <c r="M4319" i="11"/>
  <c r="R4319" i="11"/>
  <c r="M4320" i="11"/>
  <c r="R4320" i="11" s="1"/>
  <c r="M4321" i="11"/>
  <c r="R4321" i="11"/>
  <c r="M4322" i="11"/>
  <c r="R4322" i="11" s="1"/>
  <c r="M4323" i="11"/>
  <c r="R4323" i="11"/>
  <c r="M4324" i="11"/>
  <c r="R4324" i="11" s="1"/>
  <c r="M4325" i="11"/>
  <c r="R4325" i="11"/>
  <c r="M4326" i="11"/>
  <c r="R4326" i="11" s="1"/>
  <c r="M4327" i="11"/>
  <c r="R4327" i="11"/>
  <c r="M4328" i="11"/>
  <c r="R4328" i="11" s="1"/>
  <c r="M4329" i="11"/>
  <c r="R4329" i="11"/>
  <c r="M4330" i="11"/>
  <c r="R4330" i="11" s="1"/>
  <c r="M4331" i="11"/>
  <c r="R4331" i="11"/>
  <c r="M4332" i="11"/>
  <c r="R4332" i="11" s="1"/>
  <c r="M4333" i="11"/>
  <c r="R4333" i="11"/>
  <c r="M4334" i="11"/>
  <c r="R4334" i="11" s="1"/>
  <c r="M4335" i="11"/>
  <c r="R4335" i="11"/>
  <c r="M4336" i="11"/>
  <c r="R4336" i="11" s="1"/>
  <c r="M4337" i="11"/>
  <c r="R4337" i="11"/>
  <c r="M4338" i="11"/>
  <c r="R4338" i="11" s="1"/>
  <c r="M4339" i="11"/>
  <c r="R4339" i="11"/>
  <c r="M4340" i="11"/>
  <c r="R4340" i="11" s="1"/>
  <c r="M4341" i="11"/>
  <c r="R4341" i="11"/>
  <c r="M4342" i="11"/>
  <c r="R4342" i="11" s="1"/>
  <c r="M4343" i="11"/>
  <c r="R4343" i="11"/>
  <c r="M4344" i="11"/>
  <c r="R4344" i="11" s="1"/>
  <c r="M4345" i="11"/>
  <c r="R4345" i="11"/>
  <c r="M4346" i="11"/>
  <c r="R4346" i="11" s="1"/>
  <c r="M4347" i="11"/>
  <c r="R4347" i="11"/>
  <c r="M4348" i="11"/>
  <c r="R4348" i="11" s="1"/>
  <c r="M4349" i="11"/>
  <c r="R4349" i="11"/>
  <c r="M4350" i="11"/>
  <c r="R4350" i="11" s="1"/>
  <c r="M4351" i="11"/>
  <c r="R4351" i="11"/>
  <c r="M4352" i="11"/>
  <c r="R4352" i="11" s="1"/>
  <c r="M4353" i="11"/>
  <c r="R4353" i="11"/>
  <c r="M4354" i="11"/>
  <c r="R4354" i="11" s="1"/>
  <c r="M4355" i="11"/>
  <c r="R4355" i="11"/>
  <c r="M4356" i="11"/>
  <c r="R4356" i="11" s="1"/>
  <c r="M4357" i="11"/>
  <c r="R4357" i="11"/>
  <c r="M4358" i="11"/>
  <c r="R4358" i="11" s="1"/>
  <c r="M4359" i="11"/>
  <c r="R4359" i="11"/>
  <c r="M4360" i="11"/>
  <c r="R4360" i="11" s="1"/>
  <c r="M4361" i="11"/>
  <c r="R4361" i="11"/>
  <c r="M4362" i="11"/>
  <c r="R4362" i="11" s="1"/>
  <c r="M4363" i="11"/>
  <c r="R4363" i="11"/>
  <c r="M4364" i="11"/>
  <c r="R4364" i="11" s="1"/>
  <c r="M4365" i="11"/>
  <c r="R4365" i="11"/>
  <c r="M4366" i="11"/>
  <c r="R4366" i="11" s="1"/>
  <c r="M4367" i="11"/>
  <c r="R4367" i="11"/>
  <c r="M4368" i="11"/>
  <c r="R4368" i="11" s="1"/>
  <c r="M4369" i="11"/>
  <c r="R4369" i="11"/>
  <c r="M4370" i="11"/>
  <c r="R4370" i="11" s="1"/>
  <c r="M4371" i="11"/>
  <c r="R4371" i="11"/>
  <c r="M4372" i="11"/>
  <c r="R4372" i="11" s="1"/>
  <c r="M4373" i="11"/>
  <c r="R4373" i="11"/>
  <c r="M4374" i="11"/>
  <c r="R4374" i="11" s="1"/>
  <c r="M4375" i="11"/>
  <c r="R4375" i="11"/>
  <c r="M4376" i="11"/>
  <c r="R4376" i="11" s="1"/>
  <c r="M4377" i="11"/>
  <c r="R4377" i="11"/>
  <c r="M4378" i="11"/>
  <c r="R4378" i="11" s="1"/>
  <c r="M4379" i="11"/>
  <c r="R4379" i="11"/>
  <c r="M4380" i="11"/>
  <c r="R4380" i="11" s="1"/>
  <c r="M4381" i="11"/>
  <c r="R4381" i="11"/>
  <c r="M4382" i="11"/>
  <c r="R4382" i="11" s="1"/>
  <c r="M4383" i="11"/>
  <c r="R4383" i="11"/>
  <c r="M4384" i="11"/>
  <c r="R4384" i="11" s="1"/>
  <c r="M4385" i="11"/>
  <c r="R4385" i="11"/>
  <c r="M4386" i="11"/>
  <c r="R4386" i="11" s="1"/>
  <c r="M4387" i="11"/>
  <c r="R4387" i="11"/>
  <c r="M4388" i="11"/>
  <c r="R4388" i="11" s="1"/>
  <c r="M4389" i="11"/>
  <c r="R4389" i="11"/>
  <c r="M4390" i="11"/>
  <c r="R4390" i="11" s="1"/>
  <c r="M4391" i="11"/>
  <c r="R4391" i="11"/>
  <c r="M4392" i="11"/>
  <c r="R4392" i="11" s="1"/>
  <c r="M4393" i="11"/>
  <c r="R4393" i="11"/>
  <c r="M4394" i="11"/>
  <c r="R4394" i="11" s="1"/>
  <c r="M4395" i="11"/>
  <c r="R4395" i="11"/>
  <c r="M4396" i="11"/>
  <c r="R4396" i="11" s="1"/>
  <c r="M4397" i="11"/>
  <c r="R4397" i="11"/>
  <c r="M4398" i="11"/>
  <c r="R4398" i="11" s="1"/>
  <c r="M4399" i="11"/>
  <c r="R4399" i="11"/>
  <c r="M4400" i="11"/>
  <c r="R4400" i="11" s="1"/>
  <c r="M4401" i="11"/>
  <c r="R4401" i="11"/>
  <c r="M4402" i="11"/>
  <c r="R4402" i="11" s="1"/>
  <c r="M4403" i="11"/>
  <c r="R4403" i="11"/>
  <c r="M4404" i="11"/>
  <c r="R4404" i="11" s="1"/>
  <c r="M4405" i="11"/>
  <c r="R4405" i="11"/>
  <c r="M4406" i="11"/>
  <c r="R4406" i="11" s="1"/>
  <c r="M4407" i="11"/>
  <c r="R4407" i="11"/>
  <c r="M4408" i="11"/>
  <c r="R4408" i="11" s="1"/>
  <c r="M4409" i="11"/>
  <c r="R4409" i="11"/>
  <c r="M4410" i="11"/>
  <c r="R4410" i="11" s="1"/>
  <c r="M4411" i="11"/>
  <c r="R4411" i="11"/>
  <c r="M4412" i="11"/>
  <c r="R4412" i="11" s="1"/>
  <c r="M4413" i="11"/>
  <c r="R4413" i="11"/>
  <c r="M4414" i="11"/>
  <c r="R4414" i="11" s="1"/>
  <c r="M4415" i="11"/>
  <c r="R4415" i="11"/>
  <c r="M4416" i="11"/>
  <c r="R4416" i="11" s="1"/>
  <c r="M4417" i="11"/>
  <c r="R4417" i="11"/>
  <c r="M4418" i="11"/>
  <c r="R4418" i="11" s="1"/>
  <c r="M4419" i="11"/>
  <c r="R4419" i="11"/>
  <c r="M4420" i="11"/>
  <c r="R4420" i="11" s="1"/>
  <c r="M4421" i="11"/>
  <c r="R4421" i="11"/>
  <c r="M4422" i="11"/>
  <c r="R4422" i="11" s="1"/>
  <c r="M4423" i="11"/>
  <c r="R4423" i="11"/>
  <c r="M4424" i="11"/>
  <c r="R4424" i="11" s="1"/>
  <c r="M4425" i="11"/>
  <c r="R4425" i="11"/>
  <c r="M4426" i="11"/>
  <c r="R4426" i="11" s="1"/>
  <c r="M4427" i="11"/>
  <c r="R4427" i="11"/>
  <c r="M4428" i="11"/>
  <c r="R4428" i="11" s="1"/>
  <c r="M4429" i="11"/>
  <c r="R4429" i="11"/>
  <c r="M4430" i="11"/>
  <c r="R4430" i="11" s="1"/>
  <c r="M4431" i="11"/>
  <c r="R4431" i="11"/>
  <c r="M4432" i="11"/>
  <c r="R4432" i="11" s="1"/>
  <c r="M4433" i="11"/>
  <c r="R4433" i="11"/>
  <c r="M4434" i="11"/>
  <c r="R4434" i="11" s="1"/>
  <c r="M4435" i="11"/>
  <c r="R4435" i="11"/>
  <c r="M4436" i="11"/>
  <c r="R4436" i="11" s="1"/>
  <c r="M4437" i="11"/>
  <c r="R4437" i="11"/>
  <c r="M4438" i="11"/>
  <c r="R4438" i="11" s="1"/>
  <c r="M4439" i="11"/>
  <c r="R4439" i="11"/>
  <c r="M4440" i="11"/>
  <c r="R4440" i="11" s="1"/>
  <c r="M4441" i="11"/>
  <c r="R4441" i="11"/>
  <c r="M4442" i="11"/>
  <c r="R4442" i="11" s="1"/>
  <c r="M4443" i="11"/>
  <c r="R4443" i="11"/>
  <c r="M4444" i="11"/>
  <c r="R4444" i="11" s="1"/>
  <c r="M4445" i="11"/>
  <c r="R4445" i="11"/>
  <c r="M4446" i="11"/>
  <c r="R4446" i="11" s="1"/>
  <c r="M4447" i="11"/>
  <c r="R4447" i="11"/>
  <c r="M4448" i="11"/>
  <c r="R4448" i="11" s="1"/>
  <c r="M4449" i="11"/>
  <c r="R4449" i="11"/>
  <c r="M4450" i="11"/>
  <c r="R4450" i="11" s="1"/>
  <c r="M4451" i="11"/>
  <c r="R4451" i="11"/>
  <c r="M4452" i="11"/>
  <c r="R4452" i="11" s="1"/>
  <c r="M4453" i="11"/>
  <c r="R4453" i="11"/>
  <c r="M4454" i="11"/>
  <c r="R4454" i="11" s="1"/>
  <c r="M4455" i="11"/>
  <c r="R4455" i="11"/>
  <c r="M4456" i="11"/>
  <c r="R4456" i="11" s="1"/>
  <c r="M4457" i="11"/>
  <c r="R4457" i="11"/>
  <c r="M4458" i="11"/>
  <c r="R4458" i="11" s="1"/>
  <c r="M4459" i="11"/>
  <c r="R4459" i="11"/>
  <c r="M4460" i="11"/>
  <c r="R4460" i="11" s="1"/>
  <c r="M4461" i="11"/>
  <c r="R4461" i="11"/>
  <c r="M4462" i="11"/>
  <c r="R4462" i="11" s="1"/>
  <c r="M4463" i="11"/>
  <c r="R4463" i="11"/>
  <c r="M4464" i="11"/>
  <c r="R4464" i="11" s="1"/>
  <c r="M4465" i="11"/>
  <c r="R4465" i="11"/>
  <c r="M4466" i="11"/>
  <c r="R4466" i="11" s="1"/>
  <c r="M4467" i="11"/>
  <c r="R4467" i="11"/>
  <c r="M4468" i="11"/>
  <c r="R4468" i="11" s="1"/>
  <c r="M4469" i="11"/>
  <c r="R4469" i="11"/>
  <c r="M4470" i="11"/>
  <c r="R4470" i="11" s="1"/>
  <c r="M4471" i="11"/>
  <c r="R4471" i="11"/>
  <c r="M4472" i="11"/>
  <c r="R4472" i="11" s="1"/>
  <c r="M4473" i="11"/>
  <c r="R4473" i="11"/>
  <c r="M4474" i="11"/>
  <c r="R4474" i="11" s="1"/>
  <c r="M4475" i="11"/>
  <c r="R4475" i="11"/>
  <c r="M4476" i="11"/>
  <c r="R4476" i="11" s="1"/>
  <c r="M4477" i="11"/>
  <c r="R4477" i="11"/>
  <c r="M4478" i="11"/>
  <c r="R4478" i="11" s="1"/>
  <c r="M4479" i="11"/>
  <c r="R4479" i="11"/>
  <c r="M4480" i="11"/>
  <c r="R4480" i="11" s="1"/>
  <c r="M4481" i="11"/>
  <c r="R4481" i="11"/>
  <c r="M4482" i="11"/>
  <c r="R4482" i="11" s="1"/>
  <c r="M4483" i="11"/>
  <c r="R4483" i="11"/>
  <c r="M4484" i="11"/>
  <c r="R4484" i="11" s="1"/>
  <c r="M4485" i="11"/>
  <c r="R4485" i="11"/>
  <c r="M4486" i="11"/>
  <c r="R4486" i="11" s="1"/>
  <c r="M4487" i="11"/>
  <c r="R4487" i="11"/>
  <c r="M4488" i="11"/>
  <c r="R4488" i="11" s="1"/>
  <c r="M4489" i="11"/>
  <c r="R4489" i="11"/>
  <c r="M4490" i="11"/>
  <c r="R4490" i="11" s="1"/>
  <c r="M4491" i="11"/>
  <c r="R4491" i="11"/>
  <c r="M4492" i="11"/>
  <c r="R4492" i="11" s="1"/>
  <c r="M4493" i="11"/>
  <c r="R4493" i="11"/>
  <c r="M4494" i="11"/>
  <c r="R4494" i="11" s="1"/>
  <c r="M4495" i="11"/>
  <c r="R4495" i="11"/>
  <c r="M4496" i="11"/>
  <c r="R4496" i="11" s="1"/>
  <c r="M4497" i="11"/>
  <c r="R4497" i="11"/>
  <c r="M4498" i="11"/>
  <c r="R4498" i="11" s="1"/>
  <c r="M4499" i="11"/>
  <c r="R4499" i="11"/>
  <c r="M4500" i="11"/>
  <c r="R4500" i="11" s="1"/>
  <c r="M4501" i="11"/>
  <c r="R4501" i="11"/>
  <c r="M4502" i="11"/>
  <c r="R4502" i="11" s="1"/>
  <c r="M4503" i="11"/>
  <c r="R4503" i="11"/>
  <c r="M4504" i="11"/>
  <c r="R4504" i="11" s="1"/>
  <c r="M4505" i="11"/>
  <c r="R4505" i="11"/>
  <c r="M4506" i="11"/>
  <c r="R4506" i="11" s="1"/>
  <c r="M4507" i="11"/>
  <c r="R4507" i="11"/>
  <c r="M4508" i="11"/>
  <c r="R4508" i="11" s="1"/>
  <c r="M4509" i="11"/>
  <c r="R4509" i="11"/>
  <c r="M4510" i="11"/>
  <c r="R4510" i="11" s="1"/>
  <c r="M4511" i="11"/>
  <c r="R4511" i="11"/>
  <c r="M4512" i="11"/>
  <c r="R4512" i="11" s="1"/>
  <c r="M4513" i="11"/>
  <c r="R4513" i="11"/>
  <c r="M4514" i="11"/>
  <c r="R4514" i="11" s="1"/>
  <c r="M4515" i="11"/>
  <c r="R4515" i="11"/>
  <c r="M4516" i="11"/>
  <c r="R4516" i="11" s="1"/>
  <c r="M4517" i="11"/>
  <c r="R4517" i="11"/>
  <c r="M4518" i="11"/>
  <c r="R4518" i="11" s="1"/>
  <c r="M4519" i="11"/>
  <c r="R4519" i="11"/>
  <c r="M4520" i="11"/>
  <c r="R4520" i="11" s="1"/>
  <c r="M4521" i="11"/>
  <c r="R4521" i="11"/>
  <c r="M4522" i="11"/>
  <c r="R4522" i="11" s="1"/>
  <c r="M4523" i="11"/>
  <c r="R4523" i="11"/>
  <c r="M4524" i="11"/>
  <c r="R4524" i="11" s="1"/>
  <c r="M4525" i="11"/>
  <c r="R4525" i="11"/>
  <c r="M4526" i="11"/>
  <c r="R4526" i="11" s="1"/>
  <c r="M4527" i="11"/>
  <c r="R4527" i="11"/>
  <c r="M4528" i="11"/>
  <c r="R4528" i="11" s="1"/>
  <c r="M4529" i="11"/>
  <c r="R4529" i="11"/>
  <c r="M4530" i="11"/>
  <c r="R4530" i="11" s="1"/>
  <c r="M4531" i="11"/>
  <c r="R4531" i="11"/>
  <c r="M4532" i="11"/>
  <c r="R4532" i="11" s="1"/>
  <c r="M4533" i="11"/>
  <c r="R4533" i="11"/>
  <c r="M4534" i="11"/>
  <c r="R4534" i="11" s="1"/>
  <c r="M4535" i="11"/>
  <c r="R4535" i="11"/>
  <c r="M4536" i="11"/>
  <c r="R4536" i="11" s="1"/>
  <c r="M4537" i="11"/>
  <c r="R4537" i="11"/>
  <c r="M4538" i="11"/>
  <c r="R4538" i="11" s="1"/>
  <c r="M4539" i="11"/>
  <c r="R4539" i="11"/>
  <c r="M4540" i="11"/>
  <c r="R4540" i="11" s="1"/>
  <c r="M4541" i="11"/>
  <c r="R4541" i="11"/>
  <c r="M4542" i="11"/>
  <c r="R4542" i="11" s="1"/>
  <c r="M4543" i="11"/>
  <c r="R4543" i="11"/>
  <c r="M4544" i="11"/>
  <c r="R4544" i="11" s="1"/>
  <c r="M4545" i="11"/>
  <c r="R4545" i="11"/>
  <c r="M4546" i="11"/>
  <c r="R4546" i="11" s="1"/>
  <c r="M4547" i="11"/>
  <c r="R4547" i="11"/>
  <c r="M4548" i="11"/>
  <c r="R4548" i="11" s="1"/>
  <c r="M4549" i="11"/>
  <c r="R4549" i="11"/>
  <c r="M4550" i="11"/>
  <c r="R4550" i="11" s="1"/>
  <c r="M4551" i="11"/>
  <c r="R4551" i="11"/>
  <c r="M4552" i="11"/>
  <c r="R4552" i="11" s="1"/>
  <c r="M4553" i="11"/>
  <c r="R4553" i="11"/>
  <c r="M4554" i="11"/>
  <c r="R4554" i="11" s="1"/>
  <c r="M4555" i="11"/>
  <c r="R4555" i="11"/>
  <c r="M4556" i="11"/>
  <c r="R4556" i="11" s="1"/>
  <c r="M4557" i="11"/>
  <c r="R4557" i="11"/>
  <c r="M4558" i="11"/>
  <c r="R4558" i="11" s="1"/>
  <c r="M4559" i="11"/>
  <c r="R4559" i="11"/>
  <c r="M4560" i="11"/>
  <c r="R4560" i="11" s="1"/>
  <c r="M4561" i="11"/>
  <c r="R4561" i="11"/>
  <c r="M4562" i="11"/>
  <c r="R4562" i="11" s="1"/>
  <c r="M4563" i="11"/>
  <c r="R4563" i="11"/>
  <c r="M4564" i="11"/>
  <c r="R4564" i="11" s="1"/>
  <c r="M4565" i="11"/>
  <c r="R4565" i="11"/>
  <c r="M4566" i="11"/>
  <c r="R4566" i="11" s="1"/>
  <c r="M4567" i="11"/>
  <c r="R4567" i="11"/>
  <c r="M4568" i="11"/>
  <c r="R4568" i="11" s="1"/>
  <c r="M4569" i="11"/>
  <c r="R4569" i="11"/>
  <c r="M4570" i="11"/>
  <c r="R4570" i="11" s="1"/>
  <c r="M4571" i="11"/>
  <c r="R4571" i="11"/>
  <c r="M4572" i="11"/>
  <c r="R4572" i="11" s="1"/>
  <c r="M4573" i="11"/>
  <c r="R4573" i="11"/>
  <c r="M4574" i="11"/>
  <c r="R4574" i="11" s="1"/>
  <c r="M4575" i="11"/>
  <c r="R4575" i="11"/>
  <c r="M4576" i="11"/>
  <c r="R4576" i="11" s="1"/>
  <c r="M4577" i="11"/>
  <c r="R4577" i="11"/>
  <c r="M4578" i="11"/>
  <c r="R4578" i="11" s="1"/>
  <c r="M4579" i="11"/>
  <c r="R4579" i="11"/>
  <c r="M4580" i="11"/>
  <c r="R4580" i="11" s="1"/>
  <c r="M4581" i="11"/>
  <c r="R4581" i="11"/>
  <c r="M4582" i="11"/>
  <c r="R4582" i="11" s="1"/>
  <c r="M4583" i="11"/>
  <c r="R4583" i="11"/>
  <c r="M4584" i="11"/>
  <c r="R4584" i="11" s="1"/>
  <c r="M4585" i="11"/>
  <c r="R4585" i="11"/>
  <c r="M4586" i="11"/>
  <c r="R4586" i="11" s="1"/>
  <c r="M4587" i="11"/>
  <c r="R4587" i="11"/>
  <c r="M4588" i="11"/>
  <c r="R4588" i="11" s="1"/>
  <c r="M4589" i="11"/>
  <c r="R4589" i="11"/>
  <c r="M4590" i="11"/>
  <c r="R4590" i="11" s="1"/>
  <c r="M4591" i="11"/>
  <c r="R4591" i="11"/>
  <c r="M4592" i="11"/>
  <c r="R4592" i="11" s="1"/>
  <c r="M4593" i="11"/>
  <c r="R4593" i="11"/>
  <c r="M4594" i="11"/>
  <c r="R4594" i="11" s="1"/>
  <c r="M4595" i="11"/>
  <c r="R4595" i="11"/>
  <c r="M4596" i="11"/>
  <c r="R4596" i="11" s="1"/>
  <c r="M4597" i="11"/>
  <c r="R4597" i="11"/>
  <c r="M4598" i="11"/>
  <c r="R4598" i="11" s="1"/>
  <c r="M4599" i="11"/>
  <c r="R4599" i="11"/>
  <c r="M4600" i="11"/>
  <c r="R4600" i="11" s="1"/>
  <c r="M4601" i="11"/>
  <c r="R4601" i="11"/>
  <c r="M4602" i="11"/>
  <c r="R4602" i="11" s="1"/>
  <c r="M4603" i="11"/>
  <c r="R4603" i="11"/>
  <c r="M4604" i="11"/>
  <c r="R4604" i="11" s="1"/>
  <c r="M4605" i="11"/>
  <c r="R4605" i="11"/>
  <c r="M4606" i="11"/>
  <c r="R4606" i="11" s="1"/>
  <c r="M4607" i="11"/>
  <c r="R4607" i="11"/>
  <c r="M4608" i="11"/>
  <c r="R4608" i="11" s="1"/>
  <c r="M4609" i="11"/>
  <c r="R4609" i="11"/>
  <c r="M4610" i="11"/>
  <c r="R4610" i="11" s="1"/>
  <c r="M4611" i="11"/>
  <c r="R4611" i="11"/>
  <c r="M4612" i="11"/>
  <c r="R4612" i="11" s="1"/>
  <c r="M4613" i="11"/>
  <c r="R4613" i="11"/>
  <c r="M4614" i="11"/>
  <c r="M4615" i="11"/>
  <c r="R4615" i="11" s="1"/>
  <c r="M4616" i="11"/>
  <c r="R4616" i="11" s="1"/>
  <c r="M4617" i="11"/>
  <c r="R4617" i="11"/>
  <c r="M4618" i="11"/>
  <c r="R4618" i="11" s="1"/>
  <c r="M4619" i="11"/>
  <c r="R4619" i="11"/>
  <c r="M4620" i="11"/>
  <c r="R4620" i="11"/>
  <c r="M4621" i="11"/>
  <c r="R4621" i="11" s="1"/>
  <c r="M4622" i="11"/>
  <c r="R4622" i="11" s="1"/>
  <c r="M4623" i="11"/>
  <c r="R4623" i="11"/>
  <c r="M4624" i="11"/>
  <c r="R4624" i="11" s="1"/>
  <c r="M4625" i="11"/>
  <c r="R4625" i="11"/>
  <c r="M4626" i="11"/>
  <c r="R4626" i="11"/>
  <c r="M4627" i="11"/>
  <c r="R4627" i="11" s="1"/>
  <c r="M4628" i="11"/>
  <c r="R4628" i="11" s="1"/>
  <c r="M4629" i="11"/>
  <c r="R4629" i="11"/>
  <c r="M4630" i="11"/>
  <c r="R4630" i="11" s="1"/>
  <c r="M4631" i="11"/>
  <c r="R4631" i="11"/>
  <c r="M4632" i="11"/>
  <c r="R4632" i="11"/>
  <c r="M4633" i="11"/>
  <c r="R4633" i="11" s="1"/>
  <c r="M4634" i="11"/>
  <c r="R4634" i="11" s="1"/>
  <c r="M4635" i="11"/>
  <c r="R4635" i="11"/>
  <c r="M4636" i="11"/>
  <c r="R4636" i="11" s="1"/>
  <c r="M4637" i="11"/>
  <c r="R4637" i="11"/>
  <c r="M4638" i="11"/>
  <c r="R4638" i="11"/>
  <c r="M4639" i="11"/>
  <c r="R4639" i="11" s="1"/>
  <c r="M4640" i="11"/>
  <c r="R4640" i="11" s="1"/>
  <c r="M4641" i="11"/>
  <c r="R4641" i="11"/>
  <c r="M4642" i="11"/>
  <c r="R4642" i="11" s="1"/>
  <c r="M4643" i="11"/>
  <c r="R4643" i="11"/>
  <c r="M4644" i="11"/>
  <c r="R4644" i="11"/>
  <c r="M4645" i="11"/>
  <c r="R4645" i="11" s="1"/>
  <c r="M4646" i="11"/>
  <c r="R4646" i="11" s="1"/>
  <c r="M4647" i="11"/>
  <c r="R4647" i="11"/>
  <c r="M4648" i="11"/>
  <c r="R4648" i="11" s="1"/>
  <c r="M4649" i="11"/>
  <c r="R4649" i="11"/>
  <c r="M4650" i="11"/>
  <c r="R4650" i="11"/>
  <c r="M4651" i="11"/>
  <c r="R4651" i="11" s="1"/>
  <c r="M4652" i="11"/>
  <c r="R4652" i="11" s="1"/>
  <c r="M4653" i="11"/>
  <c r="R4653" i="11"/>
  <c r="M4654" i="11"/>
  <c r="R4654" i="11" s="1"/>
  <c r="M4655" i="11"/>
  <c r="R4655" i="11"/>
  <c r="M4656" i="11"/>
  <c r="R4656" i="11"/>
  <c r="M4657" i="11"/>
  <c r="R4657" i="11" s="1"/>
  <c r="M4658" i="11"/>
  <c r="R4658" i="11" s="1"/>
  <c r="M4659" i="11"/>
  <c r="R4659" i="11"/>
  <c r="M4660" i="11"/>
  <c r="R4660" i="11" s="1"/>
  <c r="M4661" i="11"/>
  <c r="R4661" i="11"/>
  <c r="M4662" i="11"/>
  <c r="M4663" i="11"/>
  <c r="R4663" i="11" s="1"/>
  <c r="M4664" i="11"/>
  <c r="R4664" i="11"/>
  <c r="M4665" i="11"/>
  <c r="R4665" i="11" s="1"/>
  <c r="M4666" i="11"/>
  <c r="R4666" i="11"/>
  <c r="M4667" i="11"/>
  <c r="R4667" i="11" s="1"/>
  <c r="M4668" i="11"/>
  <c r="R4668" i="11"/>
  <c r="M4669" i="11"/>
  <c r="R4669" i="11" s="1"/>
  <c r="M4670" i="11"/>
  <c r="R4670" i="11"/>
  <c r="M4671" i="11"/>
  <c r="R4671" i="11" s="1"/>
  <c r="M4672" i="11"/>
  <c r="R4672" i="11"/>
  <c r="M4673" i="11"/>
  <c r="R4673" i="11" s="1"/>
  <c r="M4674" i="11"/>
  <c r="R4674" i="11"/>
  <c r="M4675" i="11"/>
  <c r="R4675" i="11" s="1"/>
  <c r="M4676" i="11"/>
  <c r="R4676" i="11"/>
  <c r="M4677" i="11"/>
  <c r="R4677" i="11" s="1"/>
  <c r="M4678" i="11"/>
  <c r="R4678" i="11"/>
  <c r="M4679" i="11"/>
  <c r="R4679" i="11" s="1"/>
  <c r="M4680" i="11"/>
  <c r="R4680" i="11"/>
  <c r="M4681" i="11"/>
  <c r="R4681" i="11" s="1"/>
  <c r="M4682" i="11"/>
  <c r="R4682" i="11"/>
  <c r="M4683" i="11"/>
  <c r="R4683" i="11" s="1"/>
  <c r="M4684" i="11"/>
  <c r="R4684" i="11"/>
  <c r="M4685" i="11"/>
  <c r="R4685" i="11" s="1"/>
  <c r="M4686" i="11"/>
  <c r="R4686" i="11"/>
  <c r="M4687" i="11"/>
  <c r="R4687" i="11" s="1"/>
  <c r="M4688" i="11"/>
  <c r="R4688" i="11"/>
  <c r="M4689" i="11"/>
  <c r="R4689" i="11" s="1"/>
  <c r="M4690" i="11"/>
  <c r="R4690" i="11"/>
  <c r="M4691" i="11"/>
  <c r="R4691" i="11" s="1"/>
  <c r="M4692" i="11"/>
  <c r="R4692" i="11"/>
  <c r="M4693" i="11"/>
  <c r="R4693" i="11" s="1"/>
  <c r="M4694" i="11"/>
  <c r="R4694" i="11"/>
  <c r="M4695" i="11"/>
  <c r="R4695" i="11" s="1"/>
  <c r="M4696" i="11"/>
  <c r="R4696" i="11"/>
  <c r="M4697" i="11"/>
  <c r="R4697" i="11" s="1"/>
  <c r="M4698" i="11"/>
  <c r="R4698" i="11"/>
  <c r="M4699" i="11"/>
  <c r="R4699" i="11" s="1"/>
  <c r="M4700" i="11"/>
  <c r="R4700" i="11"/>
  <c r="M4701" i="11"/>
  <c r="R4701" i="11" s="1"/>
  <c r="M4702" i="11"/>
  <c r="R4702" i="11"/>
  <c r="M4703" i="11"/>
  <c r="R4703" i="11" s="1"/>
  <c r="M4704" i="11"/>
  <c r="R4704" i="11"/>
  <c r="M4705" i="11"/>
  <c r="R4705" i="11" s="1"/>
  <c r="M4706" i="11"/>
  <c r="R4706" i="11"/>
  <c r="M4707" i="11"/>
  <c r="R4707" i="11" s="1"/>
  <c r="M4708" i="11"/>
  <c r="R4708" i="11"/>
  <c r="M4709" i="11"/>
  <c r="R4709" i="11" s="1"/>
  <c r="M4710" i="11"/>
  <c r="R4710" i="11"/>
  <c r="M4711" i="11"/>
  <c r="R4711" i="11" s="1"/>
  <c r="M4712" i="11"/>
  <c r="R4712" i="11"/>
  <c r="M4713" i="11"/>
  <c r="R4713" i="11" s="1"/>
  <c r="M4714" i="11"/>
  <c r="R4714" i="11"/>
  <c r="M4715" i="11"/>
  <c r="R4715" i="11" s="1"/>
  <c r="M4716" i="11"/>
  <c r="R4716" i="11"/>
  <c r="M4717" i="11"/>
  <c r="R4717" i="11" s="1"/>
  <c r="M4718" i="11"/>
  <c r="R4718" i="11"/>
  <c r="M4719" i="11"/>
  <c r="R4719" i="11" s="1"/>
  <c r="M4720" i="11"/>
  <c r="R4720" i="11"/>
  <c r="M4721" i="11"/>
  <c r="R4721" i="11" s="1"/>
  <c r="M4722" i="11"/>
  <c r="R4722" i="11"/>
  <c r="M4723" i="11"/>
  <c r="R4723" i="11" s="1"/>
  <c r="M4724" i="11"/>
  <c r="R4724" i="11"/>
  <c r="M4725" i="11"/>
  <c r="R4725" i="11" s="1"/>
  <c r="M4726" i="11"/>
  <c r="R4726" i="11"/>
  <c r="M4727" i="11"/>
  <c r="R4727" i="11" s="1"/>
  <c r="M4728" i="11"/>
  <c r="R4728" i="11"/>
  <c r="M4729" i="11"/>
  <c r="R4729" i="11" s="1"/>
  <c r="M4730" i="11"/>
  <c r="R4730" i="11"/>
  <c r="M4731" i="11"/>
  <c r="R4731" i="11" s="1"/>
  <c r="M4732" i="11"/>
  <c r="R4732" i="11"/>
  <c r="M4733" i="11"/>
  <c r="R4733" i="11" s="1"/>
  <c r="M4734" i="11"/>
  <c r="R4734" i="11"/>
  <c r="M4735" i="11"/>
  <c r="R4735" i="11" s="1"/>
  <c r="M4736" i="11"/>
  <c r="R4736" i="11"/>
  <c r="M4737" i="11"/>
  <c r="R4737" i="11" s="1"/>
  <c r="M4738" i="11"/>
  <c r="R4738" i="11"/>
  <c r="M4739" i="11"/>
  <c r="R4739" i="11" s="1"/>
  <c r="M4740" i="11"/>
  <c r="R4740" i="11"/>
  <c r="M4741" i="11"/>
  <c r="R4741" i="11" s="1"/>
  <c r="M4742" i="11"/>
  <c r="R4742" i="11"/>
  <c r="M4743" i="11"/>
  <c r="R4743" i="11" s="1"/>
  <c r="M4744" i="11"/>
  <c r="R4744" i="11"/>
  <c r="M4745" i="11"/>
  <c r="R4745" i="11" s="1"/>
  <c r="M4746" i="11"/>
  <c r="R4746" i="11"/>
  <c r="M4747" i="11"/>
  <c r="R4747" i="11" s="1"/>
  <c r="M4748" i="11"/>
  <c r="R4748" i="11"/>
  <c r="M4749" i="11"/>
  <c r="R4749" i="11" s="1"/>
  <c r="M4750" i="11"/>
  <c r="R4750" i="11"/>
  <c r="M4751" i="11"/>
  <c r="R4751" i="11" s="1"/>
  <c r="M4752" i="11"/>
  <c r="R4752" i="11"/>
  <c r="M4753" i="11"/>
  <c r="R4753" i="11" s="1"/>
  <c r="M4754" i="11"/>
  <c r="R4754" i="11"/>
  <c r="M4755" i="11"/>
  <c r="R4755" i="11" s="1"/>
  <c r="M4756" i="11"/>
  <c r="R4756" i="11"/>
  <c r="M4757" i="11"/>
  <c r="R4757" i="11" s="1"/>
  <c r="M4758" i="11"/>
  <c r="R4758" i="11"/>
  <c r="M4759" i="11"/>
  <c r="R4759" i="11" s="1"/>
  <c r="M4760" i="11"/>
  <c r="R4760" i="11"/>
  <c r="M4761" i="11"/>
  <c r="R4761" i="11" s="1"/>
  <c r="M4762" i="11"/>
  <c r="R4762" i="11"/>
  <c r="M4763" i="11"/>
  <c r="R4763" i="11" s="1"/>
  <c r="M4764" i="11"/>
  <c r="R4764" i="11"/>
  <c r="M4765" i="11"/>
  <c r="R4765" i="11" s="1"/>
  <c r="M4766" i="11"/>
  <c r="R4766" i="11"/>
  <c r="M4767" i="11"/>
  <c r="R4767" i="11" s="1"/>
  <c r="M4768" i="11"/>
  <c r="R4768" i="11"/>
  <c r="M4769" i="11"/>
  <c r="R4769" i="11" s="1"/>
  <c r="M4770" i="11"/>
  <c r="R4770" i="11"/>
  <c r="M4771" i="11"/>
  <c r="R4771" i="11" s="1"/>
  <c r="M4772" i="11"/>
  <c r="R4772" i="11"/>
  <c r="M4773" i="11"/>
  <c r="R4773" i="11" s="1"/>
  <c r="M4774" i="11"/>
  <c r="R4774" i="11"/>
  <c r="M4775" i="11"/>
  <c r="R4775" i="11" s="1"/>
  <c r="M4776" i="11"/>
  <c r="R4776" i="11"/>
  <c r="M4777" i="11"/>
  <c r="R4777" i="11" s="1"/>
  <c r="M4778" i="11"/>
  <c r="R4778" i="11"/>
  <c r="M4779" i="11"/>
  <c r="R4779" i="11" s="1"/>
  <c r="M4780" i="11"/>
  <c r="R4780" i="11"/>
  <c r="M4781" i="11"/>
  <c r="R4781" i="11" s="1"/>
  <c r="M4782" i="11"/>
  <c r="R4782" i="11"/>
  <c r="M4783" i="11"/>
  <c r="R4783" i="11" s="1"/>
  <c r="M4784" i="11"/>
  <c r="R4784" i="11"/>
  <c r="M4785" i="11"/>
  <c r="R4785" i="11" s="1"/>
  <c r="M4786" i="11"/>
  <c r="R4786" i="11"/>
  <c r="M4787" i="11"/>
  <c r="R4787" i="11" s="1"/>
  <c r="M4788" i="11"/>
  <c r="R4788" i="11"/>
  <c r="M4789" i="11"/>
  <c r="R4789" i="11" s="1"/>
  <c r="M4790" i="11"/>
  <c r="R4790" i="11"/>
  <c r="M4791" i="11"/>
  <c r="R4791" i="11" s="1"/>
  <c r="M4792" i="11"/>
  <c r="R4792" i="11"/>
  <c r="M4793" i="11"/>
  <c r="R4793" i="11" s="1"/>
  <c r="M4794" i="11"/>
  <c r="R4794" i="11"/>
  <c r="M4795" i="11"/>
  <c r="R4795" i="11" s="1"/>
  <c r="M4796" i="11"/>
  <c r="R4796" i="11"/>
  <c r="M4797" i="11"/>
  <c r="R4797" i="11" s="1"/>
  <c r="M4798" i="11"/>
  <c r="R4798" i="11"/>
  <c r="M4799" i="11"/>
  <c r="R4799" i="11" s="1"/>
  <c r="M4800" i="11"/>
  <c r="R4800" i="11"/>
  <c r="M4801" i="11"/>
  <c r="R4801" i="11" s="1"/>
  <c r="M4802" i="11"/>
  <c r="R4802" i="11"/>
  <c r="M4803" i="11"/>
  <c r="R4803" i="11" s="1"/>
  <c r="M4804" i="11"/>
  <c r="R4804" i="11"/>
  <c r="M4805" i="11"/>
  <c r="R4805" i="11" s="1"/>
  <c r="M4806" i="11"/>
  <c r="R4806" i="11"/>
  <c r="M4807" i="11"/>
  <c r="R4807" i="11" s="1"/>
  <c r="M4808" i="11"/>
  <c r="R4808" i="11"/>
  <c r="M4809" i="11"/>
  <c r="R4809" i="11" s="1"/>
  <c r="M4810" i="11"/>
  <c r="R4810" i="11"/>
  <c r="M4811" i="11"/>
  <c r="R4811" i="11" s="1"/>
  <c r="M4812" i="11"/>
  <c r="R4812" i="11"/>
  <c r="M4813" i="11"/>
  <c r="R4813" i="11" s="1"/>
  <c r="M4814" i="11"/>
  <c r="R4814" i="11"/>
  <c r="M4815" i="11"/>
  <c r="R4815" i="11" s="1"/>
  <c r="M4816" i="11"/>
  <c r="R4816" i="11"/>
  <c r="M4817" i="11"/>
  <c r="R4817" i="11" s="1"/>
  <c r="M4818" i="11"/>
  <c r="R4818" i="11"/>
  <c r="M4819" i="11"/>
  <c r="R4819" i="11" s="1"/>
  <c r="M4820" i="11"/>
  <c r="R4820" i="11"/>
  <c r="M4821" i="11"/>
  <c r="R4821" i="11" s="1"/>
  <c r="M4822" i="11"/>
  <c r="R4822" i="11"/>
  <c r="M4823" i="11"/>
  <c r="R4823" i="11" s="1"/>
  <c r="M4824" i="11"/>
  <c r="R4824" i="11"/>
  <c r="M4825" i="11"/>
  <c r="R4825" i="11" s="1"/>
  <c r="M4826" i="11"/>
  <c r="R4826" i="11"/>
  <c r="M4827" i="11"/>
  <c r="R4827" i="11" s="1"/>
  <c r="M4828" i="11"/>
  <c r="R4828" i="11"/>
  <c r="M4829" i="11"/>
  <c r="R4829" i="11" s="1"/>
  <c r="M4830" i="11"/>
  <c r="R4830" i="11"/>
  <c r="M4831" i="11"/>
  <c r="R4831" i="11" s="1"/>
  <c r="M4832" i="11"/>
  <c r="R4832" i="11"/>
  <c r="M4833" i="11"/>
  <c r="R4833" i="11" s="1"/>
  <c r="M4834" i="11"/>
  <c r="R4834" i="11"/>
  <c r="M4835" i="11"/>
  <c r="R4835" i="11" s="1"/>
  <c r="M4836" i="11"/>
  <c r="R4836" i="11"/>
  <c r="M4837" i="11"/>
  <c r="R4837" i="11" s="1"/>
  <c r="M4838" i="11"/>
  <c r="R4838" i="11"/>
  <c r="M4839" i="11"/>
  <c r="R4839" i="11" s="1"/>
  <c r="M4840" i="11"/>
  <c r="R4840" i="11"/>
  <c r="M4841" i="11"/>
  <c r="R4841" i="11" s="1"/>
  <c r="M4842" i="11"/>
  <c r="R4842" i="11"/>
  <c r="M4843" i="11"/>
  <c r="R4843" i="11" s="1"/>
  <c r="M4844" i="11"/>
  <c r="R4844" i="11"/>
  <c r="M4845" i="11"/>
  <c r="R4845" i="11" s="1"/>
  <c r="M4846" i="11"/>
  <c r="R4846" i="11"/>
  <c r="M4847" i="11"/>
  <c r="R4847" i="11" s="1"/>
  <c r="M4848" i="11"/>
  <c r="R4848" i="11"/>
  <c r="M4849" i="11"/>
  <c r="R4849" i="11" s="1"/>
  <c r="M4850" i="11"/>
  <c r="R4850" i="11"/>
  <c r="M4851" i="11"/>
  <c r="R4851" i="11" s="1"/>
  <c r="M4852" i="11"/>
  <c r="R4852" i="11"/>
  <c r="M4853" i="11"/>
  <c r="R4853" i="11" s="1"/>
  <c r="M4854" i="11"/>
  <c r="R4854" i="11"/>
  <c r="M4855" i="11"/>
  <c r="R4855" i="11" s="1"/>
  <c r="M4856" i="11"/>
  <c r="R4856" i="11"/>
  <c r="M4857" i="11"/>
  <c r="R4857" i="11" s="1"/>
  <c r="M4858" i="11"/>
  <c r="R4858" i="11"/>
  <c r="M4859" i="11"/>
  <c r="R4859" i="11" s="1"/>
  <c r="M4860" i="11"/>
  <c r="R4860" i="11"/>
  <c r="M4861" i="11"/>
  <c r="R4861" i="11" s="1"/>
  <c r="M4862" i="11"/>
  <c r="R4862" i="11"/>
  <c r="M4863" i="11"/>
  <c r="R4863" i="11" s="1"/>
  <c r="M4864" i="11"/>
  <c r="R4864" i="11"/>
  <c r="M4865" i="11"/>
  <c r="R4865" i="11" s="1"/>
  <c r="M4866" i="11"/>
  <c r="R4866" i="11"/>
  <c r="M4867" i="11"/>
  <c r="R4867" i="11" s="1"/>
  <c r="M4868" i="11"/>
  <c r="R4868" i="11"/>
  <c r="M4869" i="11"/>
  <c r="R4869" i="11" s="1"/>
  <c r="M4870" i="11"/>
  <c r="R4870" i="11"/>
  <c r="M4871" i="11"/>
  <c r="R4871" i="11" s="1"/>
  <c r="M4872" i="11"/>
  <c r="R4872" i="11"/>
  <c r="M4873" i="11"/>
  <c r="R4873" i="11" s="1"/>
  <c r="M4874" i="11"/>
  <c r="R4874" i="11"/>
  <c r="M4875" i="11"/>
  <c r="R4875" i="11" s="1"/>
  <c r="M4876" i="11"/>
  <c r="R4876" i="11"/>
  <c r="M4877" i="11"/>
  <c r="M4878" i="11"/>
  <c r="R4878" i="11"/>
  <c r="M4879" i="11"/>
  <c r="R4879" i="11"/>
  <c r="M4880" i="11"/>
  <c r="R4880" i="11"/>
  <c r="M4881" i="11"/>
  <c r="R4881" i="11" s="1"/>
  <c r="M4882" i="11"/>
  <c r="R4882" i="11"/>
  <c r="M4883" i="11"/>
  <c r="R4883" i="11" s="1"/>
  <c r="M4884" i="11"/>
  <c r="M4885" i="11"/>
  <c r="R4885" i="11"/>
  <c r="M4886" i="11"/>
  <c r="R4886" i="11" s="1"/>
  <c r="M4887" i="11"/>
  <c r="R4887" i="11"/>
  <c r="M4888" i="11"/>
  <c r="R4888" i="11" s="1"/>
  <c r="M4889" i="11"/>
  <c r="R4889" i="11"/>
  <c r="M4890" i="11"/>
  <c r="R4890" i="11" s="1"/>
  <c r="M4891" i="11"/>
  <c r="R4891" i="11"/>
  <c r="M4892" i="11"/>
  <c r="R4892" i="11" s="1"/>
  <c r="M4893" i="11"/>
  <c r="R4893" i="11"/>
  <c r="M4894" i="11"/>
  <c r="R4894" i="11" s="1"/>
  <c r="M4895" i="11"/>
  <c r="R4895" i="11"/>
  <c r="M4896" i="11"/>
  <c r="R4896" i="11" s="1"/>
  <c r="M4897" i="11"/>
  <c r="R4897" i="11"/>
  <c r="M4898" i="11"/>
  <c r="R4898" i="11" s="1"/>
  <c r="M4899" i="11"/>
  <c r="R4899" i="11"/>
  <c r="M4900" i="11"/>
  <c r="R4900" i="11" s="1"/>
  <c r="M4901" i="11"/>
  <c r="R4901" i="11"/>
  <c r="M4902" i="11"/>
  <c r="R4902" i="11" s="1"/>
  <c r="M4903" i="11"/>
  <c r="R4903" i="11"/>
  <c r="M4904" i="11"/>
  <c r="R4904" i="11" s="1"/>
  <c r="M4905" i="11"/>
  <c r="R4905" i="11"/>
  <c r="M4906" i="11"/>
  <c r="R4906" i="11" s="1"/>
  <c r="M4907" i="11"/>
  <c r="R4907" i="11"/>
  <c r="M4908" i="11"/>
  <c r="R4908" i="11" s="1"/>
  <c r="M4909" i="11"/>
  <c r="R4909" i="11"/>
  <c r="M4910" i="11"/>
  <c r="R4910" i="11" s="1"/>
  <c r="M4911" i="11"/>
  <c r="R4911" i="11"/>
  <c r="M4912" i="11"/>
  <c r="R4912" i="11" s="1"/>
  <c r="M4913" i="11"/>
  <c r="R4913" i="11"/>
  <c r="M4914" i="11"/>
  <c r="R4914" i="11" s="1"/>
  <c r="M4915" i="11"/>
  <c r="R4915" i="11"/>
  <c r="M4916" i="11"/>
  <c r="R4916" i="11" s="1"/>
  <c r="M4917" i="11"/>
  <c r="R4917" i="11"/>
  <c r="M4918" i="11"/>
  <c r="R4918" i="11" s="1"/>
  <c r="M4919" i="11"/>
  <c r="R4919" i="11"/>
  <c r="M4920" i="11"/>
  <c r="R4920" i="11" s="1"/>
  <c r="M4921" i="11"/>
  <c r="R4921" i="11"/>
  <c r="M4922" i="11"/>
  <c r="R4922" i="11" s="1"/>
  <c r="M4923" i="11"/>
  <c r="R4923" i="11"/>
  <c r="M4924" i="11"/>
  <c r="R4924" i="11" s="1"/>
  <c r="M4925" i="11"/>
  <c r="M4926" i="11"/>
  <c r="R4926" i="11" s="1"/>
  <c r="M4927" i="11"/>
  <c r="R4927" i="11"/>
  <c r="M4928" i="11"/>
  <c r="R4928" i="11"/>
  <c r="M4929" i="11"/>
  <c r="R4929" i="11" s="1"/>
  <c r="M4930" i="11"/>
  <c r="R4930" i="11" s="1"/>
  <c r="M4931" i="11"/>
  <c r="R4931" i="11"/>
  <c r="M4932" i="11"/>
  <c r="M4933" i="11"/>
  <c r="R4933" i="11" s="1"/>
  <c r="M4934" i="11"/>
  <c r="R4934" i="11"/>
  <c r="M4935" i="11"/>
  <c r="R4935" i="11" s="1"/>
  <c r="M4936" i="11"/>
  <c r="R4936" i="11"/>
  <c r="M4937" i="11"/>
  <c r="R4937" i="11" s="1"/>
  <c r="M4938" i="11"/>
  <c r="R4938" i="11"/>
  <c r="M4939" i="11"/>
  <c r="R4939" i="11" s="1"/>
  <c r="M4940" i="11"/>
  <c r="R4940" i="11"/>
  <c r="M4941" i="11"/>
  <c r="R4941" i="11" s="1"/>
  <c r="M4942" i="11"/>
  <c r="R4942" i="11"/>
  <c r="M4943" i="11"/>
  <c r="R4943" i="11" s="1"/>
  <c r="M4944" i="11"/>
  <c r="R4944" i="11"/>
  <c r="M4945" i="11"/>
  <c r="R4945" i="11" s="1"/>
  <c r="M4946" i="11"/>
  <c r="R4946" i="11"/>
  <c r="M4947" i="11"/>
  <c r="R4947" i="11" s="1"/>
  <c r="M4948" i="11"/>
  <c r="R4948" i="11"/>
  <c r="M4949" i="11"/>
  <c r="R4949" i="11" s="1"/>
  <c r="M4950" i="11"/>
  <c r="R4950" i="11"/>
  <c r="M4951" i="11"/>
  <c r="R4951" i="11" s="1"/>
  <c r="M4952" i="11"/>
  <c r="R4952" i="11"/>
  <c r="M4953" i="11"/>
  <c r="R4953" i="11" s="1"/>
  <c r="M4954" i="11"/>
  <c r="R4954" i="11"/>
  <c r="M4955" i="11"/>
  <c r="R4955" i="11" s="1"/>
  <c r="M4956" i="11"/>
  <c r="R4956" i="11"/>
  <c r="M4957" i="11"/>
  <c r="R4957" i="11" s="1"/>
  <c r="M4958" i="11"/>
  <c r="R4958" i="11"/>
  <c r="M4959" i="11"/>
  <c r="R4959" i="11" s="1"/>
  <c r="M4960" i="11"/>
  <c r="R4960" i="11"/>
  <c r="M4961" i="11"/>
  <c r="R4961" i="11" s="1"/>
  <c r="M4962" i="11"/>
  <c r="R4962" i="11"/>
  <c r="M4963" i="11"/>
  <c r="R4963" i="11" s="1"/>
  <c r="M4964" i="11"/>
  <c r="R4964" i="11"/>
  <c r="M4965" i="11"/>
  <c r="R4965" i="11" s="1"/>
  <c r="M4966" i="11"/>
  <c r="R4966" i="11"/>
  <c r="M4967" i="11"/>
  <c r="R4967" i="11" s="1"/>
  <c r="M4968" i="11"/>
  <c r="R4968" i="11"/>
  <c r="M4969" i="11"/>
  <c r="R4969" i="11" s="1"/>
  <c r="M4970" i="11"/>
  <c r="R4970" i="11"/>
  <c r="M4971" i="11"/>
  <c r="R4971" i="11" s="1"/>
  <c r="M4972" i="11"/>
  <c r="R4972" i="11"/>
  <c r="M4973" i="11"/>
  <c r="M4974" i="11"/>
  <c r="R4974" i="11"/>
  <c r="M4975" i="11"/>
  <c r="R4975" i="11" s="1"/>
  <c r="M4976" i="11"/>
  <c r="R4976" i="11"/>
  <c r="M4977" i="11"/>
  <c r="R4977" i="11"/>
  <c r="M4978" i="11"/>
  <c r="R4978" i="11" s="1"/>
  <c r="M4979" i="11"/>
  <c r="R4979" i="11" s="1"/>
  <c r="M4980" i="11"/>
  <c r="M4981" i="11"/>
  <c r="R4981" i="11"/>
  <c r="M4982" i="11"/>
  <c r="R4982" i="11" s="1"/>
  <c r="M4983" i="11"/>
  <c r="R4983" i="11"/>
  <c r="M4984" i="11"/>
  <c r="R4984" i="11" s="1"/>
  <c r="M4985" i="11"/>
  <c r="R4985" i="11"/>
  <c r="M4986" i="11"/>
  <c r="R4986" i="11" s="1"/>
  <c r="M4987" i="11"/>
  <c r="R4987" i="11"/>
  <c r="M4988" i="11"/>
  <c r="R4988" i="11" s="1"/>
  <c r="M4989" i="11"/>
  <c r="R4989" i="11"/>
  <c r="M4990" i="11"/>
  <c r="R4990" i="11" s="1"/>
  <c r="M4991" i="11"/>
  <c r="R4991" i="11"/>
  <c r="M4992" i="11"/>
  <c r="R4992" i="11" s="1"/>
  <c r="M4993" i="11"/>
  <c r="R4993" i="11"/>
  <c r="M4994" i="11"/>
  <c r="R4994" i="11" s="1"/>
  <c r="M4995" i="11"/>
  <c r="R4995" i="11"/>
  <c r="M4996" i="11"/>
  <c r="R4996" i="11" s="1"/>
  <c r="M4997" i="11"/>
  <c r="R4997" i="11"/>
  <c r="M4998" i="11"/>
  <c r="R4998" i="11" s="1"/>
  <c r="M4999" i="11"/>
  <c r="R4999" i="11"/>
  <c r="M5000" i="11"/>
  <c r="R5000" i="11" s="1"/>
  <c r="M5001" i="11"/>
  <c r="R5001" i="11"/>
  <c r="M5002" i="11"/>
  <c r="R5002" i="11" s="1"/>
  <c r="M5003" i="11"/>
  <c r="R5003" i="11"/>
  <c r="M5004" i="11"/>
  <c r="R5004" i="11" s="1"/>
  <c r="M5005" i="11"/>
  <c r="R5005" i="11"/>
  <c r="M5006" i="11"/>
  <c r="R5006" i="11" s="1"/>
  <c r="M5007" i="11"/>
  <c r="R5007" i="11"/>
  <c r="M5008" i="11"/>
  <c r="R5008" i="11" s="1"/>
  <c r="M5009" i="11"/>
  <c r="R5009" i="11"/>
  <c r="M5010" i="11"/>
  <c r="R5010" i="11" s="1"/>
  <c r="M5011" i="11"/>
  <c r="R5011" i="11"/>
  <c r="M5012" i="11"/>
  <c r="R5012" i="11" s="1"/>
  <c r="M5013" i="11"/>
  <c r="R5013" i="11"/>
  <c r="M5014" i="11"/>
  <c r="R5014" i="11" s="1"/>
  <c r="M5015" i="11"/>
  <c r="R5015" i="11"/>
  <c r="M5016" i="11"/>
  <c r="R5016" i="11" s="1"/>
  <c r="M5017" i="11"/>
  <c r="R5017" i="11"/>
  <c r="M5018" i="11"/>
  <c r="R5018" i="11" s="1"/>
  <c r="M5019" i="11"/>
  <c r="R5019" i="11"/>
  <c r="M5020" i="11"/>
  <c r="R5020" i="11" s="1"/>
  <c r="M5021" i="11"/>
  <c r="R5021" i="11"/>
  <c r="M5022" i="11"/>
  <c r="R5022" i="11" s="1"/>
  <c r="M5023" i="11"/>
  <c r="R5023" i="11"/>
  <c r="M5024" i="11"/>
  <c r="R5024" i="11" s="1"/>
  <c r="M5025" i="11"/>
  <c r="R5025" i="11"/>
  <c r="M5026" i="11"/>
  <c r="R5026" i="11" s="1"/>
  <c r="M5027" i="11"/>
  <c r="R5027" i="11"/>
  <c r="M5028" i="11"/>
  <c r="M5029" i="11"/>
  <c r="R5029" i="11"/>
  <c r="M5030" i="11"/>
  <c r="R5030" i="11" s="1"/>
  <c r="M5031" i="11"/>
  <c r="R5031" i="11"/>
  <c r="M5032" i="11"/>
  <c r="R5032" i="11"/>
  <c r="M5033" i="11"/>
  <c r="R5033" i="11"/>
  <c r="M5034" i="11"/>
  <c r="R5034" i="11" s="1"/>
  <c r="M5035" i="11"/>
  <c r="R5035" i="11"/>
  <c r="M5036" i="11"/>
  <c r="R5036" i="11" s="1"/>
  <c r="M5037" i="11"/>
  <c r="R5037" i="11"/>
  <c r="M5038" i="11"/>
  <c r="R5038" i="11"/>
  <c r="M5039" i="11"/>
  <c r="R5039" i="11"/>
  <c r="M5040" i="11"/>
  <c r="R5040" i="11" s="1"/>
  <c r="M5041" i="11"/>
  <c r="R5041" i="11"/>
  <c r="M5042" i="11"/>
  <c r="R5042" i="11" s="1"/>
  <c r="M5043" i="11"/>
  <c r="R5043" i="11"/>
  <c r="M5044" i="11"/>
  <c r="R5044" i="11"/>
  <c r="M5045" i="11"/>
  <c r="R5045" i="11"/>
  <c r="M5046" i="11"/>
  <c r="R5046" i="11" s="1"/>
  <c r="M5047" i="11"/>
  <c r="R5047" i="11"/>
  <c r="M5048" i="11"/>
  <c r="R5048" i="11" s="1"/>
  <c r="M5049" i="11"/>
  <c r="R5049" i="11"/>
  <c r="M5050" i="11"/>
  <c r="R5050" i="11"/>
  <c r="M5051" i="11"/>
  <c r="R5051" i="11"/>
  <c r="M5052" i="11"/>
  <c r="R5052" i="11" s="1"/>
  <c r="M5053" i="11"/>
  <c r="R5053" i="11"/>
  <c r="M5054" i="11"/>
  <c r="R5054" i="11" s="1"/>
  <c r="M5055" i="11"/>
  <c r="R5055" i="11"/>
  <c r="M5056" i="11"/>
  <c r="R5056" i="11"/>
  <c r="M5057" i="11"/>
  <c r="R5057" i="11"/>
  <c r="M5058" i="11"/>
  <c r="R5058" i="11" s="1"/>
  <c r="M5059" i="11"/>
  <c r="R5059" i="11"/>
  <c r="M5060" i="11"/>
  <c r="R5060" i="11" s="1"/>
  <c r="M5061" i="11"/>
  <c r="R5061" i="11"/>
  <c r="M5062" i="11"/>
  <c r="R5062" i="11"/>
  <c r="M5063" i="11"/>
  <c r="R5063" i="11" s="1"/>
  <c r="M5064" i="11"/>
  <c r="R5064" i="11" s="1"/>
  <c r="M5065" i="11"/>
  <c r="R5065" i="11"/>
  <c r="M5066" i="11"/>
  <c r="R5066" i="11" s="1"/>
  <c r="M5067" i="11"/>
  <c r="R5067" i="11"/>
  <c r="M5068" i="11"/>
  <c r="R5068" i="11"/>
  <c r="M5069" i="11"/>
  <c r="M5070" i="11"/>
  <c r="R5070" i="11"/>
  <c r="M5071" i="11"/>
  <c r="R5071" i="11" s="1"/>
  <c r="M5072" i="11"/>
  <c r="R5072" i="11"/>
  <c r="M5073" i="11"/>
  <c r="R5073" i="11" s="1"/>
  <c r="M5074" i="11"/>
  <c r="R5074" i="11"/>
  <c r="M5075" i="11"/>
  <c r="R5075" i="11" s="1"/>
  <c r="M5076" i="11"/>
  <c r="M5077" i="11"/>
  <c r="R5077" i="11" s="1"/>
  <c r="M5078" i="11"/>
  <c r="R5078" i="11"/>
  <c r="M5079" i="11"/>
  <c r="R5079" i="11" s="1"/>
  <c r="M5080" i="11"/>
  <c r="R5080" i="11"/>
  <c r="M5081" i="11"/>
  <c r="R5081" i="11"/>
  <c r="M5082" i="11"/>
  <c r="R5082" i="11" s="1"/>
  <c r="M5083" i="11"/>
  <c r="R5083" i="11" s="1"/>
  <c r="M5084" i="11"/>
  <c r="R5084" i="11"/>
  <c r="M5085" i="11"/>
  <c r="R5085" i="11" s="1"/>
  <c r="M5086" i="11"/>
  <c r="R5086" i="11"/>
  <c r="M5087" i="11"/>
  <c r="R5087" i="11"/>
  <c r="M5088" i="11"/>
  <c r="R5088" i="11" s="1"/>
  <c r="M5089" i="11"/>
  <c r="R5089" i="11" s="1"/>
  <c r="M5090" i="11"/>
  <c r="R5090" i="11"/>
  <c r="M5091" i="11"/>
  <c r="R5091" i="11" s="1"/>
  <c r="M5092" i="11"/>
  <c r="R5092" i="11"/>
  <c r="M5093" i="11"/>
  <c r="R5093" i="11"/>
  <c r="M5094" i="11"/>
  <c r="R5094" i="11" s="1"/>
  <c r="M5095" i="11"/>
  <c r="R5095" i="11" s="1"/>
  <c r="M5096" i="11"/>
  <c r="R5096" i="11"/>
  <c r="M5097" i="11"/>
  <c r="R5097" i="11" s="1"/>
  <c r="M5098" i="11"/>
  <c r="R5098" i="11"/>
  <c r="M5099" i="11"/>
  <c r="R5099" i="11"/>
  <c r="M5100" i="11"/>
  <c r="R5100" i="11" s="1"/>
  <c r="M5101" i="11"/>
  <c r="R5101" i="11" s="1"/>
  <c r="M5102" i="11"/>
  <c r="R5102" i="11"/>
  <c r="M5103" i="11"/>
  <c r="R5103" i="11" s="1"/>
  <c r="M5104" i="11"/>
  <c r="R5104" i="11"/>
  <c r="M5105" i="11"/>
  <c r="R5105" i="11"/>
  <c r="M5106" i="11"/>
  <c r="R5106" i="11" s="1"/>
  <c r="M5107" i="11"/>
  <c r="R5107" i="11" s="1"/>
  <c r="M5108" i="11"/>
  <c r="R5108" i="11"/>
  <c r="M5109" i="11"/>
  <c r="R5109" i="11" s="1"/>
  <c r="M5110" i="11"/>
  <c r="R5110" i="11"/>
  <c r="M5111" i="11"/>
  <c r="R5111" i="11"/>
  <c r="M5112" i="11"/>
  <c r="R5112" i="11" s="1"/>
  <c r="M5113" i="11"/>
  <c r="R5113" i="11" s="1"/>
  <c r="M5114" i="11"/>
  <c r="R5114" i="11"/>
  <c r="M5115" i="11"/>
  <c r="R5115" i="11" s="1"/>
  <c r="M5116" i="11"/>
  <c r="R5116" i="11"/>
  <c r="M5117" i="11"/>
  <c r="R5117" i="11"/>
  <c r="M5118" i="11"/>
  <c r="R5118" i="11" s="1"/>
  <c r="M5119" i="11"/>
  <c r="R5119" i="11" s="1"/>
  <c r="M5120" i="11"/>
  <c r="R5120" i="11"/>
  <c r="M5121" i="11"/>
  <c r="R5121" i="11" s="1"/>
  <c r="M5122" i="11"/>
  <c r="R5122" i="11"/>
  <c r="M5123" i="11"/>
  <c r="R5123" i="11"/>
  <c r="M5124" i="11"/>
  <c r="M5125" i="11"/>
  <c r="R5125" i="11"/>
  <c r="M5126" i="11"/>
  <c r="R5126" i="11" s="1"/>
  <c r="M5127" i="11"/>
  <c r="R5127" i="11"/>
  <c r="M5128" i="11"/>
  <c r="R5128" i="11" s="1"/>
  <c r="M5129" i="11"/>
  <c r="R5129" i="11"/>
  <c r="M5130" i="11"/>
  <c r="R5130" i="11" s="1"/>
  <c r="M5131" i="11"/>
  <c r="R5131" i="11"/>
  <c r="M5132" i="11"/>
  <c r="R5132" i="11" s="1"/>
  <c r="M5133" i="11"/>
  <c r="R5133" i="11"/>
  <c r="M5134" i="11"/>
  <c r="R5134" i="11" s="1"/>
  <c r="M5135" i="11"/>
  <c r="R5135" i="11"/>
  <c r="M5136" i="11"/>
  <c r="R5136" i="11" s="1"/>
  <c r="M5137" i="11"/>
  <c r="R5137" i="11"/>
  <c r="M5138" i="11"/>
  <c r="R5138" i="11" s="1"/>
  <c r="M5139" i="11"/>
  <c r="R5139" i="11"/>
  <c r="M5140" i="11"/>
  <c r="R5140" i="11" s="1"/>
  <c r="M5141" i="11"/>
  <c r="R5141" i="11"/>
  <c r="M5142" i="11"/>
  <c r="R5142" i="11" s="1"/>
  <c r="M5143" i="11"/>
  <c r="R5143" i="11"/>
  <c r="M5144" i="11"/>
  <c r="R5144" i="11" s="1"/>
  <c r="M5145" i="11"/>
  <c r="R5145" i="11"/>
  <c r="M5146" i="11"/>
  <c r="R5146" i="11" s="1"/>
  <c r="M5147" i="11"/>
  <c r="R5147" i="11"/>
  <c r="M5148" i="11"/>
  <c r="R5148" i="11" s="1"/>
  <c r="M5149" i="11"/>
  <c r="R5149" i="11"/>
  <c r="M5150" i="11"/>
  <c r="R5150" i="11" s="1"/>
  <c r="M5151" i="11"/>
  <c r="R5151" i="11"/>
  <c r="M5152" i="11"/>
  <c r="R5152" i="11" s="1"/>
  <c r="M5153" i="11"/>
  <c r="R5153" i="11"/>
  <c r="M5154" i="11"/>
  <c r="R5154" i="11" s="1"/>
  <c r="M5155" i="11"/>
  <c r="R5155" i="11"/>
  <c r="M5156" i="11"/>
  <c r="R5156" i="11" s="1"/>
  <c r="M5157" i="11"/>
  <c r="R5157" i="11"/>
  <c r="M5158" i="11"/>
  <c r="R5158" i="11" s="1"/>
  <c r="M5159" i="11"/>
  <c r="R5159" i="11"/>
  <c r="M5160" i="11"/>
  <c r="R5160" i="11" s="1"/>
  <c r="M5161" i="11"/>
  <c r="R5161" i="11"/>
  <c r="M5162" i="11"/>
  <c r="R5162" i="11" s="1"/>
  <c r="M5163" i="11"/>
  <c r="R5163" i="11"/>
  <c r="M5164" i="11"/>
  <c r="R5164" i="11" s="1"/>
  <c r="M5165" i="11"/>
  <c r="R5165" i="11"/>
  <c r="M5166" i="11"/>
  <c r="R5166" i="11" s="1"/>
  <c r="M5167" i="11"/>
  <c r="R5167" i="11"/>
  <c r="M5168" i="11"/>
  <c r="R5168" i="11" s="1"/>
  <c r="M5169" i="11"/>
  <c r="R5169" i="11"/>
  <c r="M5170" i="11"/>
  <c r="R5170" i="11" s="1"/>
  <c r="M5171" i="11"/>
  <c r="R5171" i="11"/>
  <c r="M5172" i="11"/>
  <c r="M5173" i="11"/>
  <c r="R5173" i="11" s="1"/>
  <c r="M5174" i="11"/>
  <c r="R5174" i="11" s="1"/>
  <c r="M5175" i="11"/>
  <c r="R5175" i="11"/>
  <c r="M5176" i="11"/>
  <c r="R5176" i="11" s="1"/>
  <c r="M5177" i="11"/>
  <c r="R5177" i="11"/>
  <c r="M5178" i="11"/>
  <c r="R5178" i="11"/>
  <c r="M5179" i="11"/>
  <c r="R5179" i="11" s="1"/>
  <c r="M5180" i="11"/>
  <c r="R5180" i="11" s="1"/>
  <c r="M5181" i="11"/>
  <c r="R5181" i="11"/>
  <c r="M5182" i="11"/>
  <c r="R5182" i="11" s="1"/>
  <c r="M5183" i="11"/>
  <c r="R5183" i="11"/>
  <c r="M5184" i="11"/>
  <c r="R5184" i="11"/>
  <c r="M5185" i="11"/>
  <c r="R5185" i="11" s="1"/>
  <c r="M5186" i="11"/>
  <c r="R5186" i="11" s="1"/>
  <c r="M5187" i="11"/>
  <c r="R5187" i="11"/>
  <c r="M5188" i="11"/>
  <c r="R5188" i="11" s="1"/>
  <c r="M5189" i="11"/>
  <c r="R5189" i="11"/>
  <c r="M5190" i="11"/>
  <c r="R5190" i="11"/>
  <c r="M5191" i="11"/>
  <c r="R5191" i="11" s="1"/>
  <c r="M5192" i="11"/>
  <c r="R5192" i="11" s="1"/>
  <c r="M5193" i="11"/>
  <c r="R5193" i="11"/>
  <c r="M5194" i="11"/>
  <c r="R5194" i="11" s="1"/>
  <c r="M5195" i="11"/>
  <c r="R5195" i="11"/>
  <c r="M5196" i="11"/>
  <c r="R5196" i="11"/>
  <c r="M5197" i="11"/>
  <c r="R5197" i="11" s="1"/>
  <c r="M5198" i="11"/>
  <c r="R5198" i="11" s="1"/>
  <c r="M5199" i="11"/>
  <c r="R5199" i="11"/>
  <c r="M5200" i="11"/>
  <c r="R5200" i="11" s="1"/>
  <c r="M5201" i="11"/>
  <c r="R5201" i="11"/>
  <c r="M5202" i="11"/>
  <c r="R5202" i="11"/>
  <c r="M5203" i="11"/>
  <c r="R5203" i="11" s="1"/>
  <c r="M5204" i="11"/>
  <c r="R5204" i="11" s="1"/>
  <c r="M5205" i="11"/>
  <c r="R5205" i="11"/>
  <c r="M5206" i="11"/>
  <c r="R5206" i="11" s="1"/>
  <c r="M5207" i="11"/>
  <c r="R5207" i="11"/>
  <c r="M5208" i="11"/>
  <c r="R5208" i="11"/>
  <c r="M5209" i="11"/>
  <c r="R5209" i="11" s="1"/>
  <c r="M5210" i="11"/>
  <c r="R5210" i="11" s="1"/>
  <c r="M5211" i="11"/>
  <c r="R5211" i="11"/>
  <c r="M5212" i="11"/>
  <c r="R5212" i="11" s="1"/>
  <c r="M5213" i="11"/>
  <c r="M5214" i="11"/>
  <c r="R5214" i="11"/>
  <c r="M5215" i="11"/>
  <c r="R5215" i="11" s="1"/>
  <c r="M5216" i="11"/>
  <c r="R5216" i="11"/>
  <c r="M5217" i="11"/>
  <c r="R5217" i="11" s="1"/>
  <c r="M5218" i="11"/>
  <c r="R5218" i="11"/>
  <c r="M5219" i="11"/>
  <c r="R5219" i="11" s="1"/>
  <c r="M5220" i="11"/>
  <c r="M5221" i="11"/>
  <c r="R5221" i="11"/>
  <c r="M5222" i="11"/>
  <c r="R5222" i="11" s="1"/>
  <c r="M5223" i="11"/>
  <c r="R5223" i="11" s="1"/>
  <c r="M5224" i="11"/>
  <c r="R5224" i="11"/>
  <c r="M5225" i="11"/>
  <c r="R5225" i="11" s="1"/>
  <c r="M5226" i="11"/>
  <c r="R5226" i="11"/>
  <c r="M5227" i="11"/>
  <c r="R5227" i="11"/>
  <c r="M5228" i="11"/>
  <c r="R5228" i="11" s="1"/>
  <c r="M5229" i="11"/>
  <c r="R5229" i="11" s="1"/>
  <c r="M5230" i="11"/>
  <c r="R5230" i="11"/>
  <c r="M5231" i="11"/>
  <c r="R5231" i="11" s="1"/>
  <c r="M5232" i="11"/>
  <c r="R5232" i="11"/>
  <c r="M5233" i="11"/>
  <c r="R5233" i="11"/>
  <c r="M5234" i="11"/>
  <c r="R5234" i="11" s="1"/>
  <c r="M5235" i="11"/>
  <c r="R5235" i="11" s="1"/>
  <c r="M5236" i="11"/>
  <c r="R5236" i="11"/>
  <c r="M5237" i="11"/>
  <c r="R5237" i="11" s="1"/>
  <c r="M5238" i="11"/>
  <c r="R5238" i="11"/>
  <c r="M5239" i="11"/>
  <c r="R5239" i="11"/>
  <c r="M5240" i="11"/>
  <c r="R5240" i="11" s="1"/>
  <c r="M5241" i="11"/>
  <c r="R5241" i="11" s="1"/>
  <c r="M5242" i="11"/>
  <c r="R5242" i="11"/>
  <c r="M5243" i="11"/>
  <c r="R5243" i="11" s="1"/>
  <c r="M5244" i="11"/>
  <c r="R5244" i="11"/>
  <c r="M5245" i="11"/>
  <c r="R5245" i="11"/>
  <c r="M5246" i="11"/>
  <c r="R5246" i="11" s="1"/>
  <c r="M5247" i="11"/>
  <c r="R5247" i="11" s="1"/>
  <c r="M5248" i="11"/>
  <c r="R5248" i="11"/>
  <c r="M5249" i="11"/>
  <c r="R5249" i="11" s="1"/>
  <c r="M5250" i="11"/>
  <c r="R5250" i="11"/>
  <c r="M5251" i="11"/>
  <c r="R5251" i="11"/>
  <c r="M5252" i="11"/>
  <c r="R5252" i="11" s="1"/>
  <c r="M5253" i="11"/>
  <c r="R5253" i="11" s="1"/>
  <c r="M5254" i="11"/>
  <c r="R5254" i="11"/>
  <c r="M5255" i="11"/>
  <c r="R5255" i="11" s="1"/>
  <c r="M5256" i="11"/>
  <c r="R5256" i="11"/>
  <c r="M5257" i="11"/>
  <c r="R5257" i="11"/>
  <c r="M5258" i="11"/>
  <c r="R5258" i="11" s="1"/>
  <c r="M5259" i="11"/>
  <c r="R5259" i="11" s="1"/>
  <c r="M5260" i="11"/>
  <c r="R5260" i="11"/>
  <c r="M5261" i="11"/>
  <c r="R5261" i="11" s="1"/>
  <c r="M5262" i="11"/>
  <c r="R5262" i="11"/>
  <c r="M5263" i="11"/>
  <c r="R5263" i="11"/>
  <c r="M5264" i="11"/>
  <c r="R5264" i="11" s="1"/>
  <c r="M5265" i="11"/>
  <c r="R5265" i="11" s="1"/>
  <c r="M5266" i="11"/>
  <c r="R5266" i="11"/>
  <c r="M5267" i="11"/>
  <c r="R5267" i="11" s="1"/>
  <c r="M5268" i="11"/>
  <c r="M5269" i="11"/>
  <c r="R5269" i="11"/>
  <c r="M5270" i="11"/>
  <c r="R5270" i="11" s="1"/>
  <c r="M5271" i="11"/>
  <c r="R5271" i="11"/>
  <c r="M5272" i="11"/>
  <c r="R5272" i="11" s="1"/>
  <c r="M5273" i="11"/>
  <c r="R5273" i="11"/>
  <c r="M5274" i="11"/>
  <c r="R5274" i="11" s="1"/>
  <c r="M5275" i="11"/>
  <c r="R5275" i="11"/>
  <c r="M5276" i="11"/>
  <c r="R5276" i="11" s="1"/>
  <c r="M5277" i="11"/>
  <c r="R5277" i="11"/>
  <c r="M5278" i="11"/>
  <c r="R5278" i="11" s="1"/>
  <c r="M5279" i="11"/>
  <c r="R5279" i="11"/>
  <c r="M5280" i="11"/>
  <c r="R5280" i="11" s="1"/>
  <c r="M5281" i="11"/>
  <c r="R5281" i="11"/>
  <c r="M5282" i="11"/>
  <c r="R5282" i="11" s="1"/>
  <c r="M5283" i="11"/>
  <c r="R5283" i="11"/>
  <c r="M5284" i="11"/>
  <c r="R5284" i="11" s="1"/>
  <c r="M5285" i="11"/>
  <c r="R5285" i="11"/>
  <c r="M5286" i="11"/>
  <c r="R5286" i="11" s="1"/>
  <c r="M5287" i="11"/>
  <c r="R5287" i="11"/>
  <c r="M5288" i="11"/>
  <c r="R5288" i="11" s="1"/>
  <c r="M5289" i="11"/>
  <c r="R5289" i="11"/>
  <c r="M5290" i="11"/>
  <c r="R5290" i="11" s="1"/>
  <c r="M5291" i="11"/>
  <c r="R5291" i="11"/>
  <c r="M5292" i="11"/>
  <c r="R5292" i="11" s="1"/>
  <c r="M5293" i="11"/>
  <c r="R5293" i="11"/>
  <c r="M5294" i="11"/>
  <c r="R5294" i="11" s="1"/>
  <c r="M5295" i="11"/>
  <c r="M5296" i="11"/>
  <c r="R5296" i="11" s="1"/>
  <c r="M5297" i="11"/>
  <c r="R5297" i="11"/>
  <c r="M5298" i="11"/>
  <c r="R5298" i="11" s="1"/>
  <c r="M5299" i="11"/>
  <c r="R5299" i="11"/>
  <c r="M5300" i="11"/>
  <c r="R5300" i="11"/>
  <c r="M5301" i="11"/>
  <c r="R5301" i="11" s="1"/>
  <c r="M5302" i="11"/>
  <c r="R5302" i="11" s="1"/>
  <c r="M5303" i="11"/>
  <c r="R5303" i="11"/>
  <c r="M5304" i="11"/>
  <c r="R5304" i="11" s="1"/>
  <c r="M5305" i="11"/>
  <c r="R5305" i="11"/>
  <c r="M5306" i="11"/>
  <c r="R5306" i="11"/>
  <c r="M5307" i="11"/>
  <c r="R5307" i="11" s="1"/>
  <c r="M5308" i="11"/>
  <c r="R5308" i="11" s="1"/>
  <c r="M5309" i="11"/>
  <c r="R5309" i="11"/>
  <c r="M5310" i="11"/>
  <c r="R5310" i="11" s="1"/>
  <c r="M5311" i="11"/>
  <c r="R5311" i="11"/>
  <c r="M5312" i="11"/>
  <c r="R5312" i="11"/>
  <c r="M5313" i="11"/>
  <c r="R5313" i="11" s="1"/>
  <c r="M5314" i="11"/>
  <c r="R5314" i="11" s="1"/>
  <c r="M5315" i="11"/>
  <c r="R5315" i="11"/>
  <c r="M5316" i="11"/>
  <c r="M5317" i="11"/>
  <c r="R5317" i="11" s="1"/>
  <c r="M5318" i="11"/>
  <c r="R5318" i="11"/>
  <c r="M5319" i="11"/>
  <c r="R5319" i="11" s="1"/>
  <c r="M5320" i="11"/>
  <c r="R5320" i="11"/>
  <c r="M5321" i="11"/>
  <c r="R5321" i="11" s="1"/>
  <c r="M5322" i="11"/>
  <c r="R5322" i="11"/>
  <c r="M5323" i="11"/>
  <c r="R5323" i="11" s="1"/>
  <c r="M5324" i="11"/>
  <c r="R5324" i="11"/>
  <c r="M5325" i="11"/>
  <c r="R5325" i="11" s="1"/>
  <c r="M5326" i="11"/>
  <c r="R5326" i="11"/>
  <c r="M5327" i="11"/>
  <c r="R5327" i="11" s="1"/>
  <c r="M5328" i="11"/>
  <c r="R5328" i="11"/>
  <c r="M5329" i="11"/>
  <c r="R5329" i="11" s="1"/>
  <c r="M5330" i="11"/>
  <c r="R5330" i="11"/>
  <c r="M5331" i="11"/>
  <c r="R5331" i="11" s="1"/>
  <c r="M5332" i="11"/>
  <c r="R5332" i="11"/>
  <c r="M5333" i="11"/>
  <c r="R5333" i="11" s="1"/>
  <c r="M5334" i="11"/>
  <c r="R5334" i="11"/>
  <c r="M5335" i="11"/>
  <c r="R5335" i="11" s="1"/>
  <c r="M5336" i="11"/>
  <c r="R5336" i="11"/>
  <c r="M5337" i="11"/>
  <c r="R5337" i="11" s="1"/>
  <c r="M5338" i="11"/>
  <c r="R5338" i="11"/>
  <c r="M5339" i="11"/>
  <c r="R5339" i="11" s="1"/>
  <c r="M5340" i="11"/>
  <c r="R5340" i="11"/>
  <c r="M5341" i="11"/>
  <c r="R5341" i="11" s="1"/>
  <c r="M5342" i="11"/>
  <c r="R5342" i="11"/>
  <c r="M5343" i="11"/>
  <c r="R5343" i="11" s="1"/>
  <c r="M5344" i="11"/>
  <c r="R5344" i="11"/>
  <c r="M5345" i="11"/>
  <c r="R5345" i="11" s="1"/>
  <c r="M5346" i="11"/>
  <c r="R5346" i="11"/>
  <c r="M5347" i="11"/>
  <c r="R5347" i="11" s="1"/>
  <c r="M5348" i="11"/>
  <c r="R5348" i="11"/>
  <c r="M5349" i="11"/>
  <c r="R5349" i="11" s="1"/>
  <c r="M5350" i="11"/>
  <c r="R5350" i="11"/>
  <c r="M5351" i="11"/>
  <c r="R5351" i="11" s="1"/>
  <c r="M5352" i="11"/>
  <c r="R5352" i="11"/>
  <c r="M5353" i="11"/>
  <c r="R5353" i="11" s="1"/>
  <c r="M5354" i="11"/>
  <c r="R5354" i="11"/>
  <c r="M5355" i="11"/>
  <c r="R5355" i="11" s="1"/>
  <c r="M5356" i="11"/>
  <c r="R5356" i="11"/>
  <c r="M5357" i="11"/>
  <c r="R5357" i="11" s="1"/>
  <c r="M5358" i="11"/>
  <c r="R5358" i="11"/>
  <c r="M5359" i="11"/>
  <c r="R5359" i="11" s="1"/>
  <c r="M5360" i="11"/>
  <c r="R5360" i="11"/>
  <c r="M5361" i="11"/>
  <c r="R5361" i="11" s="1"/>
  <c r="M5362" i="11"/>
  <c r="R5362" i="11"/>
  <c r="M5363" i="11"/>
  <c r="R5363" i="11" s="1"/>
  <c r="M5364" i="11"/>
  <c r="M5365" i="11"/>
  <c r="R5365" i="11" s="1"/>
  <c r="M5366" i="11"/>
  <c r="R5366" i="11"/>
  <c r="M5367" i="11"/>
  <c r="R5367" i="11"/>
  <c r="M5368" i="11"/>
  <c r="R5368" i="11" s="1"/>
  <c r="M5369" i="11"/>
  <c r="R5369" i="11" s="1"/>
  <c r="M5370" i="11"/>
  <c r="R5370" i="11"/>
  <c r="M5371" i="11"/>
  <c r="R5371" i="11" s="1"/>
  <c r="M5372" i="11"/>
  <c r="R5372" i="11"/>
  <c r="M5373" i="11"/>
  <c r="R5373" i="11"/>
  <c r="M5374" i="11"/>
  <c r="R5374" i="11" s="1"/>
  <c r="M5375" i="11"/>
  <c r="R5375" i="11" s="1"/>
  <c r="M5376" i="11"/>
  <c r="R5376" i="11"/>
  <c r="M5377" i="11"/>
  <c r="R5377" i="11" s="1"/>
  <c r="M5378" i="11"/>
  <c r="R5378" i="11"/>
  <c r="M5379" i="11"/>
  <c r="R5379" i="11"/>
  <c r="M5380" i="11"/>
  <c r="R5380" i="11" s="1"/>
  <c r="M5381" i="11"/>
  <c r="R5381" i="11" s="1"/>
  <c r="M5382" i="11"/>
  <c r="R5382" i="11"/>
  <c r="M5383" i="11"/>
  <c r="R5383" i="11" s="1"/>
  <c r="M5384" i="11"/>
  <c r="R5384" i="11"/>
  <c r="M5385" i="11"/>
  <c r="R5385" i="11"/>
  <c r="M5386" i="11"/>
  <c r="R5386" i="11" s="1"/>
  <c r="M5387" i="11"/>
  <c r="R5387" i="11" s="1"/>
  <c r="M5388" i="11"/>
  <c r="R5388" i="11"/>
  <c r="M5389" i="11"/>
  <c r="R5389" i="11" s="1"/>
  <c r="M5390" i="11"/>
  <c r="R5390" i="11"/>
  <c r="M5391" i="11"/>
  <c r="R5391" i="11"/>
  <c r="M5392" i="11"/>
  <c r="R5392" i="11" s="1"/>
  <c r="M5393" i="11"/>
  <c r="R5393" i="11" s="1"/>
  <c r="M5394" i="11"/>
  <c r="R5394" i="11"/>
  <c r="M5395" i="11"/>
  <c r="R5395" i="11" s="1"/>
  <c r="M5396" i="11"/>
  <c r="R5396" i="11"/>
  <c r="M5397" i="11"/>
  <c r="R5397" i="11"/>
  <c r="M5398" i="11"/>
  <c r="R5398" i="11" s="1"/>
  <c r="M5399" i="11"/>
  <c r="R5399" i="11" s="1"/>
  <c r="M5400" i="11"/>
  <c r="R5400" i="11"/>
  <c r="M5401" i="11"/>
  <c r="R5401" i="11" s="1"/>
  <c r="M5402" i="11"/>
  <c r="R5402" i="11"/>
  <c r="M5403" i="11"/>
  <c r="R5403" i="11"/>
  <c r="M5404" i="11"/>
  <c r="R5404" i="11" s="1"/>
  <c r="M5405" i="11"/>
  <c r="R5405" i="11" s="1"/>
  <c r="M5406" i="11"/>
  <c r="R5406" i="11"/>
  <c r="M5407" i="11"/>
  <c r="R5407" i="11" s="1"/>
  <c r="M5408" i="11"/>
  <c r="R5408" i="11"/>
  <c r="M5409" i="11"/>
  <c r="R5409" i="11"/>
  <c r="M5410" i="11"/>
  <c r="R5410" i="11" s="1"/>
  <c r="M5411" i="11"/>
  <c r="R5411" i="11" s="1"/>
  <c r="M5412" i="11"/>
  <c r="R5412" i="11"/>
  <c r="M5413" i="11"/>
  <c r="R5413" i="11" s="1"/>
  <c r="M5414" i="11"/>
  <c r="R5414" i="11"/>
  <c r="M5415" i="11"/>
  <c r="R5415" i="11"/>
  <c r="M5416" i="11"/>
  <c r="R5416" i="11" s="1"/>
  <c r="M5417" i="11"/>
  <c r="R5417" i="11" s="1"/>
  <c r="M5418" i="11"/>
  <c r="R5418" i="11"/>
  <c r="M5419" i="11"/>
  <c r="R5419" i="11" s="1"/>
  <c r="M5420" i="11"/>
  <c r="R5420" i="11"/>
  <c r="M5421" i="11"/>
  <c r="R5421" i="11"/>
  <c r="M5422" i="11"/>
  <c r="R5422" i="11" s="1"/>
  <c r="M5423" i="11"/>
  <c r="R5423" i="11" s="1"/>
  <c r="M5424" i="11"/>
  <c r="R5424" i="11"/>
  <c r="M5425" i="11"/>
  <c r="R5425" i="11" s="1"/>
  <c r="M5426" i="11"/>
  <c r="R5426" i="11"/>
  <c r="M5427" i="11"/>
  <c r="R5427" i="11"/>
  <c r="M5428" i="11"/>
  <c r="R5428" i="11" s="1"/>
  <c r="M5429" i="11"/>
  <c r="R5429" i="11" s="1"/>
  <c r="M5430" i="11"/>
  <c r="R5430" i="11"/>
  <c r="M5431" i="11"/>
  <c r="R5431" i="11" s="1"/>
  <c r="M5432" i="11"/>
  <c r="R5432" i="11"/>
  <c r="M5433" i="11"/>
  <c r="R5433" i="11"/>
  <c r="M5434" i="11"/>
  <c r="R5434" i="11" s="1"/>
  <c r="M5435" i="11"/>
  <c r="R5435" i="11" s="1"/>
  <c r="M5436" i="11"/>
  <c r="R5436" i="11"/>
  <c r="M5437" i="11"/>
  <c r="R5437" i="11" s="1"/>
  <c r="M5438" i="11"/>
  <c r="R5438" i="11"/>
  <c r="M5439" i="11"/>
  <c r="R5439" i="11"/>
  <c r="M5440" i="11"/>
  <c r="R5440" i="11" s="1"/>
  <c r="M5441" i="11"/>
  <c r="R5441" i="11" s="1"/>
  <c r="M5442" i="11"/>
  <c r="R5442" i="11"/>
  <c r="M5443" i="11"/>
  <c r="R5443" i="11" s="1"/>
  <c r="M5444" i="11"/>
  <c r="R5444" i="11"/>
  <c r="M5445" i="11"/>
  <c r="R5445" i="11"/>
  <c r="M5446" i="11"/>
  <c r="R5446" i="11" s="1"/>
  <c r="M5447" i="11"/>
  <c r="R5447" i="11" s="1"/>
  <c r="M5448" i="11"/>
  <c r="R5448" i="11"/>
  <c r="M5449" i="11"/>
  <c r="R5449" i="11" s="1"/>
  <c r="M5450" i="11"/>
  <c r="R5450" i="11"/>
  <c r="M5451" i="11"/>
  <c r="R5451" i="11"/>
  <c r="M5452" i="11"/>
  <c r="R5452" i="11" s="1"/>
  <c r="M5453" i="11"/>
  <c r="R5453" i="11" s="1"/>
  <c r="M5454" i="11"/>
  <c r="R5454" i="11"/>
  <c r="M5455" i="11"/>
  <c r="R5455" i="11" s="1"/>
  <c r="M5456" i="11"/>
  <c r="R5456" i="11"/>
  <c r="M5457" i="11"/>
  <c r="R5457" i="11"/>
  <c r="M5458" i="11"/>
  <c r="R5458" i="11" s="1"/>
  <c r="M5459" i="11"/>
  <c r="R5459" i="11" s="1"/>
  <c r="M5460" i="11"/>
  <c r="R5460" i="11"/>
  <c r="M5461" i="11"/>
  <c r="R5461" i="11" s="1"/>
  <c r="M5462" i="11"/>
  <c r="R5462" i="11"/>
  <c r="M5463" i="11"/>
  <c r="R5463" i="11"/>
  <c r="M5464" i="11"/>
  <c r="R5464" i="11" s="1"/>
  <c r="M5465" i="11"/>
  <c r="R5465" i="11" s="1"/>
  <c r="M5466" i="11"/>
  <c r="R5466" i="11"/>
  <c r="M5467" i="11"/>
  <c r="R5467" i="11" s="1"/>
  <c r="M5468" i="11"/>
  <c r="R5468" i="11"/>
  <c r="M5469" i="11"/>
  <c r="R5469" i="11"/>
  <c r="M5470" i="11"/>
  <c r="R5470" i="11" s="1"/>
  <c r="M5471" i="11"/>
  <c r="R5471" i="11" s="1"/>
  <c r="M5472" i="11"/>
  <c r="R5472" i="11"/>
  <c r="M5473" i="11"/>
  <c r="R5473" i="11" s="1"/>
  <c r="M5474" i="11"/>
  <c r="R5474" i="11"/>
  <c r="M5475" i="11"/>
  <c r="R5475" i="11"/>
  <c r="M5476" i="11"/>
  <c r="R5476" i="11" s="1"/>
  <c r="M5477" i="11"/>
  <c r="R5477" i="11" s="1"/>
  <c r="M5478" i="11"/>
  <c r="R5478" i="11"/>
  <c r="M5479" i="11"/>
  <c r="R5479" i="11" s="1"/>
  <c r="M5480" i="11"/>
  <c r="R5480" i="11"/>
  <c r="M5481" i="11"/>
  <c r="R5481" i="11"/>
  <c r="M5482" i="11"/>
  <c r="R5482" i="11" s="1"/>
  <c r="M5483" i="11"/>
  <c r="R5483" i="11" s="1"/>
  <c r="M5484" i="11"/>
  <c r="R5484" i="11"/>
  <c r="M5485" i="11"/>
  <c r="R5485" i="11" s="1"/>
  <c r="M5486" i="11"/>
  <c r="R5486" i="11"/>
  <c r="M5487" i="11"/>
  <c r="R5487" i="11"/>
  <c r="M5488" i="11"/>
  <c r="R5488" i="11" s="1"/>
  <c r="M5489" i="11"/>
  <c r="R5489" i="11" s="1"/>
  <c r="M5490" i="11"/>
  <c r="R5490" i="11"/>
  <c r="M5491" i="11"/>
  <c r="R5491" i="11" s="1"/>
  <c r="M5492" i="11"/>
  <c r="R5492" i="11"/>
  <c r="M5493" i="11"/>
  <c r="R5493" i="11"/>
  <c r="M5494" i="11"/>
  <c r="R5494" i="11" s="1"/>
  <c r="M5495" i="11"/>
  <c r="R5495" i="11" s="1"/>
  <c r="M5496" i="11"/>
  <c r="R5496" i="11"/>
  <c r="M5497" i="11"/>
  <c r="R5497" i="11" s="1"/>
  <c r="M5498" i="11"/>
  <c r="R5498" i="11"/>
  <c r="M5499" i="11"/>
  <c r="R5499" i="11"/>
  <c r="M5500" i="11"/>
  <c r="R5500" i="11" s="1"/>
  <c r="M5501" i="11"/>
  <c r="R5501" i="11" s="1"/>
  <c r="M5502" i="11"/>
  <c r="R5502" i="11"/>
  <c r="M5503" i="11"/>
  <c r="R5503" i="11" s="1"/>
  <c r="M5504" i="11"/>
  <c r="R5504" i="11"/>
  <c r="M5505" i="11"/>
  <c r="R5505" i="11"/>
  <c r="M5506" i="11"/>
  <c r="R5506" i="11" s="1"/>
  <c r="M5507" i="11"/>
  <c r="R5507" i="11" s="1"/>
  <c r="M5508" i="11"/>
  <c r="R5508" i="11"/>
  <c r="M5509" i="11"/>
  <c r="R5509" i="11" s="1"/>
  <c r="M5510" i="11"/>
  <c r="R5510" i="11"/>
  <c r="M5511" i="11"/>
  <c r="R5511" i="11"/>
  <c r="M5512" i="11"/>
  <c r="R5512" i="11" s="1"/>
  <c r="M5513" i="11"/>
  <c r="R5513" i="11" s="1"/>
  <c r="M5514" i="11"/>
  <c r="R5514" i="11"/>
  <c r="M5515" i="11"/>
  <c r="R5515" i="11" s="1"/>
  <c r="M5516" i="11"/>
  <c r="R5516" i="11"/>
  <c r="M5517" i="11"/>
  <c r="R5517" i="11"/>
  <c r="M5518" i="11"/>
  <c r="R5518" i="11" s="1"/>
  <c r="M5519" i="11"/>
  <c r="R5519" i="11" s="1"/>
  <c r="M5520" i="11"/>
  <c r="R5520" i="11"/>
  <c r="M5521" i="11"/>
  <c r="R5521" i="11" s="1"/>
  <c r="M5522" i="11"/>
  <c r="R5522" i="11"/>
  <c r="M5523" i="11"/>
  <c r="R5523" i="11"/>
  <c r="M5524" i="11"/>
  <c r="R5524" i="11" s="1"/>
  <c r="M5525" i="11"/>
  <c r="R5525" i="11" s="1"/>
  <c r="M5526" i="11"/>
  <c r="R5526" i="11"/>
  <c r="M5527" i="11"/>
  <c r="R5527" i="11" s="1"/>
  <c r="M5528" i="11"/>
  <c r="R5528" i="11"/>
  <c r="M5529" i="11"/>
  <c r="R5529" i="11"/>
  <c r="M5530" i="11"/>
  <c r="R5530" i="11" s="1"/>
  <c r="M5531" i="11"/>
  <c r="R5531" i="11" s="1"/>
  <c r="M5532" i="11"/>
  <c r="R5532" i="11"/>
  <c r="M5533" i="11"/>
  <c r="R5533" i="11" s="1"/>
  <c r="M5534" i="11"/>
  <c r="R5534" i="11"/>
  <c r="M5535" i="11"/>
  <c r="R5535" i="11"/>
  <c r="M5536" i="11"/>
  <c r="R5536" i="11" s="1"/>
  <c r="M5537" i="11"/>
  <c r="R5537" i="11" s="1"/>
  <c r="M5538" i="11"/>
  <c r="R5538" i="11"/>
  <c r="M5539" i="11"/>
  <c r="R5539" i="11" s="1"/>
  <c r="M5540" i="11"/>
  <c r="R5540" i="11"/>
  <c r="M5541" i="11"/>
  <c r="R5541" i="11"/>
  <c r="M5542" i="11"/>
  <c r="R5542" i="11" s="1"/>
  <c r="M5543" i="11"/>
  <c r="R5543" i="11" s="1"/>
  <c r="M5544" i="11"/>
  <c r="R5544" i="11"/>
  <c r="M5545" i="11"/>
  <c r="R5545" i="11" s="1"/>
  <c r="M5546" i="11"/>
  <c r="R5546" i="11"/>
  <c r="M5547" i="11"/>
  <c r="R5547" i="11"/>
  <c r="M5548" i="11"/>
  <c r="R5548" i="11" s="1"/>
  <c r="M5549" i="11"/>
  <c r="R5549" i="11" s="1"/>
  <c r="M5550" i="11"/>
  <c r="R5550" i="11"/>
  <c r="M5551" i="11"/>
  <c r="R5551" i="11" s="1"/>
  <c r="M5552" i="11"/>
  <c r="R5552" i="11"/>
  <c r="M5553" i="11"/>
  <c r="R5553" i="11"/>
  <c r="M5554" i="11"/>
  <c r="R5554" i="11" s="1"/>
  <c r="M5555" i="11"/>
  <c r="R5555" i="11" s="1"/>
  <c r="M5556" i="11"/>
  <c r="R5556" i="11"/>
  <c r="M5557" i="11"/>
  <c r="R5557" i="11" s="1"/>
  <c r="M5558" i="11"/>
  <c r="R5558" i="11"/>
  <c r="M5559" i="11"/>
  <c r="R5559" i="11"/>
  <c r="M5560" i="11"/>
  <c r="R5560" i="11" s="1"/>
  <c r="M5561" i="11"/>
  <c r="R5561" i="11" s="1"/>
  <c r="M5562" i="11"/>
  <c r="R5562" i="11"/>
  <c r="M5563" i="11"/>
  <c r="R5563" i="11" s="1"/>
  <c r="M5564" i="11"/>
  <c r="R5564" i="11"/>
  <c r="M5565" i="11"/>
  <c r="R5565" i="11"/>
  <c r="M5566" i="11"/>
  <c r="R5566" i="11" s="1"/>
  <c r="M5567" i="11"/>
  <c r="R5567" i="11" s="1"/>
  <c r="M5568" i="11"/>
  <c r="R5568" i="11"/>
  <c r="M5569" i="11"/>
  <c r="R5569" i="11" s="1"/>
  <c r="M5570" i="11"/>
  <c r="R5570" i="11"/>
  <c r="M5571" i="11"/>
  <c r="R5571" i="11"/>
  <c r="M5572" i="11"/>
  <c r="R5572" i="11" s="1"/>
  <c r="M5573" i="11"/>
  <c r="R5573" i="11" s="1"/>
  <c r="M5574" i="11"/>
  <c r="R5574" i="11"/>
  <c r="M5575" i="11"/>
  <c r="R5575" i="11" s="1"/>
  <c r="M5576" i="11"/>
  <c r="R5576" i="11"/>
  <c r="M5577" i="11"/>
  <c r="R5577" i="11"/>
  <c r="M5578" i="11"/>
  <c r="M5579" i="11"/>
  <c r="R5579" i="11" s="1"/>
  <c r="M5580" i="11"/>
  <c r="R5580" i="11"/>
  <c r="M5581" i="11"/>
  <c r="R5581" i="11" s="1"/>
  <c r="M5582" i="11"/>
  <c r="R5582" i="11"/>
  <c r="M5583" i="11"/>
  <c r="R5583" i="11"/>
  <c r="M5584" i="11"/>
  <c r="R5584" i="11" s="1"/>
  <c r="M5585" i="11"/>
  <c r="R5585" i="11" s="1"/>
  <c r="M5586" i="11"/>
  <c r="R5586" i="11"/>
  <c r="M5587" i="11"/>
  <c r="R5587" i="11" s="1"/>
  <c r="M5588" i="11"/>
  <c r="R5588" i="11"/>
  <c r="M5589" i="11"/>
  <c r="R5589" i="11"/>
  <c r="M5590" i="11"/>
  <c r="R5590" i="11" s="1"/>
  <c r="M5591" i="11"/>
  <c r="R5591" i="11" s="1"/>
  <c r="M5592" i="11"/>
  <c r="R5592" i="11"/>
  <c r="M5593" i="11"/>
  <c r="R5593" i="11" s="1"/>
  <c r="M5594" i="11"/>
  <c r="R5594" i="11"/>
  <c r="M5595" i="11"/>
  <c r="R5595" i="11"/>
  <c r="M5596" i="11"/>
  <c r="R5596" i="11" s="1"/>
  <c r="M5597" i="11"/>
  <c r="R5597" i="11" s="1"/>
  <c r="M5598" i="11"/>
  <c r="R5598" i="11"/>
  <c r="M5599" i="11"/>
  <c r="R5599" i="11" s="1"/>
  <c r="M5600" i="11"/>
  <c r="R5600" i="11"/>
  <c r="M5601" i="11"/>
  <c r="R5601" i="11"/>
  <c r="M5602" i="11"/>
  <c r="R5602" i="11" s="1"/>
  <c r="M5603" i="11"/>
  <c r="R5603" i="11" s="1"/>
  <c r="M5604" i="11"/>
  <c r="R5604" i="11"/>
  <c r="M5605" i="11"/>
  <c r="R5605" i="11" s="1"/>
  <c r="M5606" i="11"/>
  <c r="R5606" i="11"/>
  <c r="M5607" i="11"/>
  <c r="R5607" i="11"/>
  <c r="M5608" i="11"/>
  <c r="R5608" i="11" s="1"/>
  <c r="M5609" i="11"/>
  <c r="R5609" i="11" s="1"/>
  <c r="M5610" i="11"/>
  <c r="R5610" i="11"/>
  <c r="M5611" i="11"/>
  <c r="R5611" i="11" s="1"/>
  <c r="M5612" i="11"/>
  <c r="R5612" i="11"/>
  <c r="M5613" i="11"/>
  <c r="R5613" i="11"/>
  <c r="M5614" i="11"/>
  <c r="R5614" i="11" s="1"/>
  <c r="M5615" i="11"/>
  <c r="R5615" i="11" s="1"/>
  <c r="M5616" i="11"/>
  <c r="R5616" i="11"/>
  <c r="M5617" i="11"/>
  <c r="R5617" i="11" s="1"/>
  <c r="M5618" i="11"/>
  <c r="R5618" i="11"/>
  <c r="M5619" i="11"/>
  <c r="R5619" i="11"/>
  <c r="M5620" i="11"/>
  <c r="R5620" i="11" s="1"/>
  <c r="M5621" i="11"/>
  <c r="R5621" i="11" s="1"/>
  <c r="M5622" i="11"/>
  <c r="R5622" i="11"/>
  <c r="M5623" i="11"/>
  <c r="R5623" i="11" s="1"/>
  <c r="M5624" i="11"/>
  <c r="R5624" i="11"/>
  <c r="M5625" i="11"/>
  <c r="R5625" i="11"/>
  <c r="M5626" i="11"/>
  <c r="R5626" i="11" s="1"/>
  <c r="M5627" i="11"/>
  <c r="R5627" i="11" s="1"/>
  <c r="M5628" i="11"/>
  <c r="R5628" i="11"/>
  <c r="M5629" i="11"/>
  <c r="R5629" i="11" s="1"/>
  <c r="M5630" i="11"/>
  <c r="R5630" i="11"/>
  <c r="M5631" i="11"/>
  <c r="R5631" i="11"/>
  <c r="M5632" i="11"/>
  <c r="R5632" i="11" s="1"/>
  <c r="M5633" i="11"/>
  <c r="R5633" i="11" s="1"/>
  <c r="M5634" i="11"/>
  <c r="R5634" i="11"/>
  <c r="M5635" i="11"/>
  <c r="R5635" i="11" s="1"/>
  <c r="M5636" i="11"/>
  <c r="R5636" i="11"/>
  <c r="M5637" i="11"/>
  <c r="R5637" i="11"/>
  <c r="M5638" i="11"/>
  <c r="R5638" i="11" s="1"/>
  <c r="M5639" i="11"/>
  <c r="R5639" i="11" s="1"/>
  <c r="M5640" i="11"/>
  <c r="R5640" i="11"/>
  <c r="M5641" i="11"/>
  <c r="R5641" i="11" s="1"/>
  <c r="M5642" i="11"/>
  <c r="R5642" i="11"/>
  <c r="M5643" i="11"/>
  <c r="R5643" i="11"/>
  <c r="M5644" i="11"/>
  <c r="R5644" i="11" s="1"/>
  <c r="M5645" i="11"/>
  <c r="R5645" i="11" s="1"/>
  <c r="M5646" i="11"/>
  <c r="R5646" i="11"/>
  <c r="M5647" i="11"/>
  <c r="R5647" i="11" s="1"/>
  <c r="M5648" i="11"/>
  <c r="R5648" i="11"/>
  <c r="M5649" i="11"/>
  <c r="R5649" i="11"/>
  <c r="M5650" i="11"/>
  <c r="R5650" i="11" s="1"/>
  <c r="M5651" i="11"/>
  <c r="R5651" i="11" s="1"/>
  <c r="M5652" i="11"/>
  <c r="R5652" i="11"/>
  <c r="M5653" i="11"/>
  <c r="R5653" i="11" s="1"/>
  <c r="M5654" i="11"/>
  <c r="M5655" i="11"/>
  <c r="R5655" i="11"/>
  <c r="M5656" i="11"/>
  <c r="R5656" i="11" s="1"/>
  <c r="M5657" i="11"/>
  <c r="R5657" i="11" s="1"/>
  <c r="M5658" i="11"/>
  <c r="R5658" i="11"/>
  <c r="M5659" i="11"/>
  <c r="M5660" i="11"/>
  <c r="R5660" i="11"/>
  <c r="M5661" i="11"/>
  <c r="R5661" i="11"/>
  <c r="M5662" i="11"/>
  <c r="R5662" i="11" s="1"/>
  <c r="M5663" i="11"/>
  <c r="R5663" i="11" s="1"/>
  <c r="M5664" i="11"/>
  <c r="R5664" i="11"/>
  <c r="M5665" i="11"/>
  <c r="R5665" i="11" s="1"/>
  <c r="M5666" i="11"/>
  <c r="R5666" i="11"/>
  <c r="M5667" i="11"/>
  <c r="R5667" i="11"/>
  <c r="M5668" i="11"/>
  <c r="R5668" i="11" s="1"/>
  <c r="M5669" i="11"/>
  <c r="R5669" i="11" s="1"/>
  <c r="M5670" i="11"/>
  <c r="R5670" i="11"/>
  <c r="M5671" i="11"/>
  <c r="R5671" i="11" s="1"/>
  <c r="M5672" i="11"/>
  <c r="R5672" i="11"/>
  <c r="M5673" i="11"/>
  <c r="M5674" i="11"/>
  <c r="R5674" i="11" s="1"/>
  <c r="M5675" i="11"/>
  <c r="R5675" i="11" s="1"/>
  <c r="M5676" i="11"/>
  <c r="R5676" i="11"/>
  <c r="M5677" i="11"/>
  <c r="M5678" i="11"/>
  <c r="R5678" i="11"/>
  <c r="M5679" i="11"/>
  <c r="R5679" i="11" s="1"/>
  <c r="M5680" i="11"/>
  <c r="R5680" i="11" s="1"/>
  <c r="M5681" i="11"/>
  <c r="R5681" i="11" s="1"/>
  <c r="M5682" i="11"/>
  <c r="M5683" i="11"/>
  <c r="R5683" i="11" s="1"/>
  <c r="M5684" i="11"/>
  <c r="R5684" i="11"/>
  <c r="M5685" i="11"/>
  <c r="R5685" i="11" s="1"/>
  <c r="M5686" i="11"/>
  <c r="R5686" i="11" s="1"/>
  <c r="M5687" i="11"/>
  <c r="R5687" i="11" s="1"/>
  <c r="M5688" i="11"/>
  <c r="R5688" i="11"/>
  <c r="M5689" i="11"/>
  <c r="R5689" i="11" s="1"/>
  <c r="M5690" i="11"/>
  <c r="R5690" i="11"/>
  <c r="M5691" i="11"/>
  <c r="R5691" i="11" s="1"/>
  <c r="M5692" i="11"/>
  <c r="R5692" i="11" s="1"/>
  <c r="M5693" i="11"/>
  <c r="R5693" i="11" s="1"/>
  <c r="M5694" i="11"/>
  <c r="R5694" i="11"/>
  <c r="M5695" i="11"/>
  <c r="R5695" i="11" s="1"/>
  <c r="M5696" i="11"/>
  <c r="R5696" i="11"/>
  <c r="M5697" i="11"/>
  <c r="R5697" i="11" s="1"/>
  <c r="M5698" i="11"/>
  <c r="R5698" i="11" s="1"/>
  <c r="M5699" i="11"/>
  <c r="R5699" i="11" s="1"/>
  <c r="M5700" i="11"/>
  <c r="R5700" i="11"/>
  <c r="M5701" i="11"/>
  <c r="R5701" i="11" s="1"/>
  <c r="M5702" i="11"/>
  <c r="R5702" i="11"/>
  <c r="M5703" i="11"/>
  <c r="R5703" i="11" s="1"/>
  <c r="M5704" i="11"/>
  <c r="R5704" i="11" s="1"/>
  <c r="M5705" i="11"/>
  <c r="R5705" i="11" s="1"/>
  <c r="M5706" i="11"/>
  <c r="R5706" i="11"/>
  <c r="M5707" i="11"/>
  <c r="R5707" i="11" s="1"/>
  <c r="M5708" i="11"/>
  <c r="R5708" i="11"/>
  <c r="M5709" i="11"/>
  <c r="R5709" i="11" s="1"/>
  <c r="M5710" i="11"/>
  <c r="R5710" i="11" s="1"/>
  <c r="M5711" i="11"/>
  <c r="R5711" i="11" s="1"/>
  <c r="M5712" i="11"/>
  <c r="R5712" i="11"/>
  <c r="M5713" i="11"/>
  <c r="R5713" i="11" s="1"/>
  <c r="M5714" i="11"/>
  <c r="R5714" i="11"/>
  <c r="M5715" i="11"/>
  <c r="R5715" i="11" s="1"/>
  <c r="M5716" i="11"/>
  <c r="R5716" i="11" s="1"/>
  <c r="M5717" i="11"/>
  <c r="M5718" i="11"/>
  <c r="R5718" i="11"/>
  <c r="M5719" i="11"/>
  <c r="R5719" i="11" s="1"/>
  <c r="M5720" i="11"/>
  <c r="R5720" i="11"/>
  <c r="M5721" i="11"/>
  <c r="R5721" i="11" s="1"/>
  <c r="M5722" i="11"/>
  <c r="R5722" i="11" s="1"/>
  <c r="M5723" i="11"/>
  <c r="R5723" i="11" s="1"/>
  <c r="M5724" i="11"/>
  <c r="R5724" i="11"/>
  <c r="M5725" i="11"/>
  <c r="R5725" i="11" s="1"/>
  <c r="M5726" i="11"/>
  <c r="R5726" i="11"/>
  <c r="M5727" i="11"/>
  <c r="R5727" i="11" s="1"/>
  <c r="M5728" i="11"/>
  <c r="R5728" i="11" s="1"/>
  <c r="M5729" i="11"/>
  <c r="R5729" i="11" s="1"/>
  <c r="M5730" i="11"/>
  <c r="R5730" i="11"/>
  <c r="M5731" i="11"/>
  <c r="R5731" i="11" s="1"/>
  <c r="M5732" i="11"/>
  <c r="R5732" i="11"/>
  <c r="M5733" i="11"/>
  <c r="R5733" i="11" s="1"/>
  <c r="M5734" i="11"/>
  <c r="R5734" i="11" s="1"/>
  <c r="M5735" i="11"/>
  <c r="R5735" i="11" s="1"/>
  <c r="M5736" i="11"/>
  <c r="R5736" i="11"/>
  <c r="M5737" i="11"/>
  <c r="R5737" i="11" s="1"/>
  <c r="M5738" i="11"/>
  <c r="R5738" i="11"/>
  <c r="M5739" i="11"/>
  <c r="R5739" i="11" s="1"/>
  <c r="M5740" i="11"/>
  <c r="R5740" i="11" s="1"/>
  <c r="M5741" i="11"/>
  <c r="M5742" i="11"/>
  <c r="R5742" i="11"/>
  <c r="M5743" i="11"/>
  <c r="R5743" i="11" s="1"/>
  <c r="M5744" i="11"/>
  <c r="R5744" i="11"/>
  <c r="M5745" i="11"/>
  <c r="R5745" i="11" s="1"/>
  <c r="M5746" i="11"/>
  <c r="M5747" i="11"/>
  <c r="R5747" i="11" s="1"/>
  <c r="M5748" i="11"/>
  <c r="R5748" i="11"/>
  <c r="M5749" i="11"/>
  <c r="R5749" i="11" s="1"/>
  <c r="M5750" i="11"/>
  <c r="M5751" i="11"/>
  <c r="R5751" i="11"/>
  <c r="M5752" i="11"/>
  <c r="R5752" i="11" s="1"/>
  <c r="M5753" i="11"/>
  <c r="M5754" i="11"/>
  <c r="R5754" i="11"/>
  <c r="M5755" i="11"/>
  <c r="R5755" i="11" s="1"/>
  <c r="M5756" i="11"/>
  <c r="R5756" i="11"/>
  <c r="M5757" i="11"/>
  <c r="R5757" i="11" s="1"/>
  <c r="M5758" i="11"/>
  <c r="R5758" i="11" s="1"/>
  <c r="M5759" i="11"/>
  <c r="R5759" i="11" s="1"/>
  <c r="M5760" i="11"/>
  <c r="R5760" i="11"/>
  <c r="M5761" i="11"/>
  <c r="R5761" i="11" s="1"/>
  <c r="M5762" i="11"/>
  <c r="R5762" i="11"/>
  <c r="M5763" i="11"/>
  <c r="R5763" i="11" s="1"/>
  <c r="M5764" i="11"/>
  <c r="R5764" i="11" s="1"/>
  <c r="M5765" i="11"/>
  <c r="R5765" i="11" s="1"/>
  <c r="M5766" i="11"/>
  <c r="M5767" i="11"/>
  <c r="R5767" i="11" s="1"/>
  <c r="M5768" i="11"/>
  <c r="R5768" i="11"/>
  <c r="M5769" i="11"/>
  <c r="R5769" i="11"/>
  <c r="M5770" i="11"/>
  <c r="R5770" i="11" s="1"/>
  <c r="M5771" i="11"/>
  <c r="R5771" i="11"/>
  <c r="M5772" i="11"/>
  <c r="R5772" i="11"/>
  <c r="M5773" i="11"/>
  <c r="R5773" i="11" s="1"/>
  <c r="M5774" i="11"/>
  <c r="M5775" i="11"/>
  <c r="R5775" i="11" s="1"/>
  <c r="M5776" i="11"/>
  <c r="R5776" i="11" s="1"/>
  <c r="M5777" i="11"/>
  <c r="R5777" i="11" s="1"/>
  <c r="M5778" i="11"/>
  <c r="R5778" i="11"/>
  <c r="M5779" i="11"/>
  <c r="R5779" i="11" s="1"/>
  <c r="M5780" i="11"/>
  <c r="R5780" i="11"/>
  <c r="M5781" i="11"/>
  <c r="R5781" i="11" s="1"/>
  <c r="M5782" i="11"/>
  <c r="R5782" i="11" s="1"/>
  <c r="M5783" i="11"/>
  <c r="R5783" i="11"/>
  <c r="M5784" i="11"/>
  <c r="R5784" i="11"/>
  <c r="M5785" i="11"/>
  <c r="R5785" i="11" s="1"/>
  <c r="M5786" i="11"/>
  <c r="R5786" i="11"/>
  <c r="M5787" i="11"/>
  <c r="M5788" i="11"/>
  <c r="R5788" i="11" s="1"/>
  <c r="M5789" i="11"/>
  <c r="R5789" i="11"/>
  <c r="M5790" i="11"/>
  <c r="R5790" i="11"/>
  <c r="M5791" i="11"/>
  <c r="R5791" i="11" s="1"/>
  <c r="M5792" i="11"/>
  <c r="R5792" i="11"/>
  <c r="M5793" i="11"/>
  <c r="R5793" i="11" s="1"/>
  <c r="M5794" i="11"/>
  <c r="R5794" i="11" s="1"/>
  <c r="M5795" i="11"/>
  <c r="R5795" i="11" s="1"/>
  <c r="M5796" i="11"/>
  <c r="R5796" i="11"/>
  <c r="M5797" i="11"/>
  <c r="R5797" i="11" s="1"/>
  <c r="M5798" i="11"/>
  <c r="R5798" i="11"/>
  <c r="M5799" i="11"/>
  <c r="R5799" i="11" s="1"/>
  <c r="M5800" i="11"/>
  <c r="R5800" i="11" s="1"/>
  <c r="M5801" i="11"/>
  <c r="R5801" i="11" s="1"/>
  <c r="M5802" i="11"/>
  <c r="R5802" i="11"/>
  <c r="M5803" i="11"/>
  <c r="R5803" i="11" s="1"/>
  <c r="M5804" i="11"/>
  <c r="R5804" i="11"/>
  <c r="M5805" i="11"/>
  <c r="R5805" i="11"/>
  <c r="M5806" i="11"/>
  <c r="R5806" i="11" s="1"/>
  <c r="M5807" i="11"/>
  <c r="R5807" i="11"/>
  <c r="M5808" i="11"/>
  <c r="R5808" i="11"/>
  <c r="M5809" i="11"/>
  <c r="R5809" i="11" s="1"/>
  <c r="M5810" i="11"/>
  <c r="R5810" i="11"/>
  <c r="M5811" i="11"/>
  <c r="M5812" i="11"/>
  <c r="R5812" i="11" s="1"/>
  <c r="M5813" i="11"/>
  <c r="R5813" i="11" s="1"/>
  <c r="M5814" i="11"/>
  <c r="R5814" i="11"/>
  <c r="M5815" i="11"/>
  <c r="R5815" i="11" s="1"/>
  <c r="M5816" i="11"/>
  <c r="R5816" i="11"/>
  <c r="M5817" i="11"/>
  <c r="R5817" i="11" s="1"/>
  <c r="M5818" i="11"/>
  <c r="R5818" i="11" s="1"/>
  <c r="M5819" i="11"/>
  <c r="R5819" i="11"/>
  <c r="M5820" i="11"/>
  <c r="R5820" i="11"/>
  <c r="M5821" i="11"/>
  <c r="R5821" i="11" s="1"/>
  <c r="M5822" i="11"/>
  <c r="R5822" i="11"/>
  <c r="M5823" i="11"/>
  <c r="R5823" i="11"/>
  <c r="M5824" i="11"/>
  <c r="R5824" i="11" s="1"/>
  <c r="M5825" i="11"/>
  <c r="R5825" i="11"/>
  <c r="M5826" i="11"/>
  <c r="M5827" i="11"/>
  <c r="R5827" i="11" s="1"/>
  <c r="M5828" i="11"/>
  <c r="R5828" i="11"/>
  <c r="M5829" i="11"/>
  <c r="R5829" i="11" s="1"/>
  <c r="M5830" i="11"/>
  <c r="R5830" i="11" s="1"/>
  <c r="M5831" i="11"/>
  <c r="R5831" i="11" s="1"/>
  <c r="M5832" i="11"/>
  <c r="R5832" i="11"/>
  <c r="M5833" i="11"/>
  <c r="M5834" i="11"/>
  <c r="R5834" i="11"/>
  <c r="M5835" i="11"/>
  <c r="R5835" i="11" s="1"/>
  <c r="M5836" i="11"/>
  <c r="R5836" i="11" s="1"/>
  <c r="M5837" i="11"/>
  <c r="R5837" i="11" s="1"/>
  <c r="M5838" i="11"/>
  <c r="R5838" i="11"/>
  <c r="M5839" i="11"/>
  <c r="R5839" i="11" s="1"/>
  <c r="M5840" i="11"/>
  <c r="R5840" i="11"/>
  <c r="M5841" i="11"/>
  <c r="R5841" i="11"/>
  <c r="M5842" i="11"/>
  <c r="R5842" i="11" s="1"/>
  <c r="M5843" i="11"/>
  <c r="R5843" i="11"/>
  <c r="M5844" i="11"/>
  <c r="R5844" i="11"/>
  <c r="M5845" i="11"/>
  <c r="R5845" i="11" s="1"/>
  <c r="M5846" i="11"/>
  <c r="R5846" i="11"/>
  <c r="M5847" i="11"/>
  <c r="R5847" i="11" s="1"/>
  <c r="M5848" i="11"/>
  <c r="R5848" i="11" s="1"/>
  <c r="M5849" i="11"/>
  <c r="R5849" i="11" s="1"/>
  <c r="M5850" i="11"/>
  <c r="R5850" i="11"/>
  <c r="M5851" i="11"/>
  <c r="R5851" i="11" s="1"/>
  <c r="M5852" i="11"/>
  <c r="R5852" i="11"/>
  <c r="M5853" i="11"/>
  <c r="M5854" i="11"/>
  <c r="R5854" i="11" s="1"/>
  <c r="M5855" i="11"/>
  <c r="R5855" i="11"/>
  <c r="M5856" i="11"/>
  <c r="R5856" i="11"/>
  <c r="M5857" i="11"/>
  <c r="R5857" i="11" s="1"/>
  <c r="M5858" i="11"/>
  <c r="R5858" i="11"/>
  <c r="M5859" i="11"/>
  <c r="R5859" i="11"/>
  <c r="M5860" i="11"/>
  <c r="R5860" i="11" s="1"/>
  <c r="M5861" i="11"/>
  <c r="R5861" i="11"/>
  <c r="M5862" i="11"/>
  <c r="R5862" i="11"/>
  <c r="M5863" i="11"/>
  <c r="R5863" i="11" s="1"/>
  <c r="M5864" i="11"/>
  <c r="R5864" i="11"/>
  <c r="M5865" i="11"/>
  <c r="R5865" i="11" s="1"/>
  <c r="M5866" i="11"/>
  <c r="R5866" i="11" s="1"/>
  <c r="M5867" i="11"/>
  <c r="R5867" i="11" s="1"/>
  <c r="M5868" i="11"/>
  <c r="R5868" i="11"/>
  <c r="M5869" i="11"/>
  <c r="M5870" i="11"/>
  <c r="R5870" i="11"/>
  <c r="M5871" i="11"/>
  <c r="R5871" i="11" s="1"/>
  <c r="M5872" i="11"/>
  <c r="M5873" i="11"/>
  <c r="R5873" i="11" s="1"/>
  <c r="M5874" i="11"/>
  <c r="R5874" i="11"/>
  <c r="M5875" i="11"/>
  <c r="R5875" i="11" s="1"/>
  <c r="M5876" i="11"/>
  <c r="R5876" i="11"/>
  <c r="M5877" i="11"/>
  <c r="R5877" i="11"/>
  <c r="M5878" i="11"/>
  <c r="R5878" i="11" s="1"/>
  <c r="M5879" i="11"/>
  <c r="R5879" i="11"/>
  <c r="M5880" i="11"/>
  <c r="R5880" i="11"/>
  <c r="M5881" i="11"/>
  <c r="R5881" i="11" s="1"/>
  <c r="M5882" i="11"/>
  <c r="R5882" i="11"/>
  <c r="M5883" i="11"/>
  <c r="R5883" i="11" s="1"/>
  <c r="M5884" i="11"/>
  <c r="M5885" i="11"/>
  <c r="R5885" i="11" s="1"/>
  <c r="M5886" i="11"/>
  <c r="R5886" i="11"/>
  <c r="M5887" i="11"/>
  <c r="R5887" i="11" s="1"/>
  <c r="M5888" i="11"/>
  <c r="R5888" i="11"/>
  <c r="M5889" i="11"/>
  <c r="R5889" i="11" s="1"/>
  <c r="M5890" i="11"/>
  <c r="R5890" i="11" s="1"/>
  <c r="M5891" i="11"/>
  <c r="R5891" i="11"/>
  <c r="M5892" i="11"/>
  <c r="R5892" i="11"/>
  <c r="M5893" i="11"/>
  <c r="M5894" i="11"/>
  <c r="R5894" i="11"/>
  <c r="M5895" i="11"/>
  <c r="R5895" i="11"/>
  <c r="M5896" i="11"/>
  <c r="R5896" i="11" s="1"/>
  <c r="M5897" i="11"/>
  <c r="R5897" i="11"/>
  <c r="M5898" i="11"/>
  <c r="R5898" i="11"/>
  <c r="M5899" i="11"/>
  <c r="R5899" i="11" s="1"/>
  <c r="M5900" i="11"/>
  <c r="R5900" i="11"/>
  <c r="M5901" i="11"/>
  <c r="R5901" i="11" s="1"/>
  <c r="M5902" i="11"/>
  <c r="R5902" i="11" s="1"/>
  <c r="M5903" i="11"/>
  <c r="R5903" i="11" s="1"/>
  <c r="M5904" i="11"/>
  <c r="R5904" i="11"/>
  <c r="M5905" i="11"/>
  <c r="R5905" i="11" s="1"/>
  <c r="M5906" i="11"/>
  <c r="R5906" i="11"/>
  <c r="M5907" i="11"/>
  <c r="R5907" i="11" s="1"/>
  <c r="M5908" i="11"/>
  <c r="R5908" i="11" s="1"/>
  <c r="M5909" i="11"/>
  <c r="R5909" i="11"/>
  <c r="M5910" i="11"/>
  <c r="R5910" i="11"/>
  <c r="M5911" i="11"/>
  <c r="M5912" i="11"/>
  <c r="R5912" i="11"/>
  <c r="M5913" i="11"/>
  <c r="R5913" i="11" s="1"/>
  <c r="M5914" i="11"/>
  <c r="R5914" i="11" s="1"/>
  <c r="M5915" i="11"/>
  <c r="R5915" i="11"/>
  <c r="M5916" i="11"/>
  <c r="R5916" i="11"/>
  <c r="M5917" i="11"/>
  <c r="R5917" i="11" s="1"/>
  <c r="M5918" i="11"/>
  <c r="R5918" i="11"/>
  <c r="M5919" i="11"/>
  <c r="R5919" i="11" s="1"/>
  <c r="M5920" i="11"/>
  <c r="R5920" i="11" s="1"/>
  <c r="M5921" i="11"/>
  <c r="R5921" i="11"/>
  <c r="M5922" i="11"/>
  <c r="R5922" i="11"/>
  <c r="M5923" i="11"/>
  <c r="M5924" i="11"/>
  <c r="R5924" i="11"/>
  <c r="M5925" i="11"/>
  <c r="R5925" i="11" s="1"/>
  <c r="M5926" i="11"/>
  <c r="R5926" i="11" s="1"/>
  <c r="M5927" i="11"/>
  <c r="R5927" i="11"/>
  <c r="M5928" i="11"/>
  <c r="M5929" i="11"/>
  <c r="R5929" i="11" s="1"/>
  <c r="M5930" i="11"/>
  <c r="R5930" i="11"/>
  <c r="M5931" i="11"/>
  <c r="R5931" i="11" s="1"/>
  <c r="M5932" i="11"/>
  <c r="R5932" i="11" s="1"/>
  <c r="M5933" i="11"/>
  <c r="R5933" i="11"/>
  <c r="M5934" i="11"/>
  <c r="R5934" i="11"/>
  <c r="M5935" i="11"/>
  <c r="R5935" i="11" s="1"/>
  <c r="M5936" i="11"/>
  <c r="R5936" i="11"/>
  <c r="M5937" i="11"/>
  <c r="R5937" i="11" s="1"/>
  <c r="M5938" i="11"/>
  <c r="R5938" i="11" s="1"/>
  <c r="M5939" i="11"/>
  <c r="R5939" i="11"/>
  <c r="M5940" i="11"/>
  <c r="M5941" i="11"/>
  <c r="R5941" i="11" s="1"/>
  <c r="M5942" i="11"/>
  <c r="R5942" i="11"/>
  <c r="M5943" i="11"/>
  <c r="R5943" i="11" s="1"/>
  <c r="M5944" i="11"/>
  <c r="R5944" i="11" s="1"/>
  <c r="M5945" i="11"/>
  <c r="R5945" i="11"/>
  <c r="M5946" i="11"/>
  <c r="R5946" i="11"/>
  <c r="M5947" i="11"/>
  <c r="M5948" i="11"/>
  <c r="R5948" i="11"/>
  <c r="M5949" i="11"/>
  <c r="R5949" i="11" s="1"/>
  <c r="M5950" i="11"/>
  <c r="R5950" i="11" s="1"/>
  <c r="M5951" i="11"/>
  <c r="R5951" i="11"/>
  <c r="M5952" i="11"/>
  <c r="M5953" i="11"/>
  <c r="R5953" i="11" s="1"/>
  <c r="M5954" i="11"/>
  <c r="R5954" i="11"/>
  <c r="M5955" i="11"/>
  <c r="R5955" i="11" s="1"/>
  <c r="M5956" i="11"/>
  <c r="R5956" i="11" s="1"/>
  <c r="M5957" i="11"/>
  <c r="R5957" i="11"/>
  <c r="M5958" i="11"/>
  <c r="R5958" i="11"/>
  <c r="M5959" i="11"/>
  <c r="R5959" i="11" s="1"/>
  <c r="M5960" i="11"/>
  <c r="R5960" i="11"/>
  <c r="M5961" i="11"/>
  <c r="R5961" i="11" s="1"/>
  <c r="M5962" i="11"/>
  <c r="R5962" i="11" s="1"/>
  <c r="M5963" i="11"/>
  <c r="R5963" i="11"/>
  <c r="M5964" i="11"/>
  <c r="R5964" i="11"/>
  <c r="M5965" i="11"/>
  <c r="R5965" i="11" s="1"/>
  <c r="M5966" i="11"/>
  <c r="R5966" i="11"/>
  <c r="M5967" i="11"/>
  <c r="R5967" i="11" s="1"/>
  <c r="M5968" i="11"/>
  <c r="R5968" i="11" s="1"/>
  <c r="M5969" i="11"/>
  <c r="M5970" i="11"/>
  <c r="R5970" i="11"/>
  <c r="M5971" i="11"/>
  <c r="R5971" i="11" s="1"/>
  <c r="M5972" i="11"/>
  <c r="R5972" i="11"/>
  <c r="M5973" i="11"/>
  <c r="R5973" i="11" s="1"/>
  <c r="M5974" i="11"/>
  <c r="R5974" i="11" s="1"/>
  <c r="M5975" i="11"/>
  <c r="R5975" i="11"/>
  <c r="M5976" i="11"/>
  <c r="R5976" i="11"/>
  <c r="M5977" i="11"/>
  <c r="R5977" i="11" s="1"/>
  <c r="M5978" i="11"/>
  <c r="R5978" i="11"/>
  <c r="M5979" i="11"/>
  <c r="R5979" i="11" s="1"/>
  <c r="M5980" i="11"/>
  <c r="R5980" i="11" s="1"/>
  <c r="M5981" i="11"/>
  <c r="M5982" i="11"/>
  <c r="R5982" i="11"/>
  <c r="M5983" i="11"/>
  <c r="R5983" i="11" s="1"/>
  <c r="M5984" i="11"/>
  <c r="R5984" i="11"/>
  <c r="M5985" i="11"/>
  <c r="R5985" i="11" s="1"/>
  <c r="M5986" i="11"/>
  <c r="R5986" i="11" s="1"/>
  <c r="M5987" i="11"/>
  <c r="R5987" i="11"/>
  <c r="M5988" i="11"/>
  <c r="R5988" i="11"/>
  <c r="M5989" i="11"/>
  <c r="R5989" i="11" s="1"/>
  <c r="M5990" i="11"/>
  <c r="M5991" i="11"/>
  <c r="R5991" i="11" s="1"/>
  <c r="M5992" i="11"/>
  <c r="R5992" i="11" s="1"/>
  <c r="M5993" i="11"/>
  <c r="M5994" i="11"/>
  <c r="R5994" i="11"/>
  <c r="M5995" i="11"/>
  <c r="M5996" i="11"/>
  <c r="R5996" i="11"/>
  <c r="M5997" i="11"/>
  <c r="R5997" i="11" s="1"/>
  <c r="M5998" i="11"/>
  <c r="R5998" i="11" s="1"/>
  <c r="M5999" i="11"/>
  <c r="R5999" i="11"/>
  <c r="M6000" i="11"/>
  <c r="M6001" i="11"/>
  <c r="R6001" i="11" s="1"/>
  <c r="M6002" i="11"/>
  <c r="M6003" i="11"/>
  <c r="R6003" i="11" s="1"/>
  <c r="M6004" i="11"/>
  <c r="R6004" i="11" s="1"/>
  <c r="M6005" i="11"/>
  <c r="M6006" i="11"/>
  <c r="R6006" i="11"/>
  <c r="M6007" i="11"/>
  <c r="M6008" i="11"/>
  <c r="R6008" i="11"/>
  <c r="M6009" i="11"/>
  <c r="R6009" i="11" s="1"/>
  <c r="M6010" i="11"/>
  <c r="R6010" i="11" s="1"/>
  <c r="M6011" i="11"/>
  <c r="R6011" i="11"/>
  <c r="M6012" i="11"/>
  <c r="M6013" i="11"/>
  <c r="R6013" i="11" s="1"/>
  <c r="M6014" i="11"/>
  <c r="M6015" i="11"/>
  <c r="R6015" i="11" s="1"/>
  <c r="M6016" i="11"/>
  <c r="R6016" i="11" s="1"/>
  <c r="M6017" i="11"/>
  <c r="R6017" i="11"/>
  <c r="M6018" i="11"/>
  <c r="R6018" i="11"/>
  <c r="M6019" i="11"/>
  <c r="R6019" i="11" s="1"/>
  <c r="M6020" i="11"/>
  <c r="R6020" i="11"/>
  <c r="M6021" i="11"/>
  <c r="R6021" i="11" s="1"/>
  <c r="M6022" i="11"/>
  <c r="R6022" i="11" s="1"/>
  <c r="M6023" i="11"/>
  <c r="R6023" i="11"/>
  <c r="M6024" i="11"/>
  <c r="M6025" i="11"/>
  <c r="R6025" i="11" s="1"/>
  <c r="M6026" i="11"/>
  <c r="R6026" i="11"/>
  <c r="M6027" i="11"/>
  <c r="R6027" i="11" s="1"/>
  <c r="M6028" i="11"/>
  <c r="R6028" i="11" s="1"/>
  <c r="M6029" i="11"/>
  <c r="M6030" i="11"/>
  <c r="R6030" i="11"/>
  <c r="M6031" i="11"/>
  <c r="R6031" i="11" s="1"/>
  <c r="M6032" i="11"/>
  <c r="R6032" i="11"/>
  <c r="M6033" i="11"/>
  <c r="M6034" i="11"/>
  <c r="R6034" i="11" s="1"/>
  <c r="M6035" i="11"/>
  <c r="R6035" i="11"/>
  <c r="M6036" i="11"/>
  <c r="M6037" i="11"/>
  <c r="R6037" i="11" s="1"/>
  <c r="M6038" i="11"/>
  <c r="M6039" i="11"/>
  <c r="R6039" i="11" s="1"/>
  <c r="M6040" i="11"/>
  <c r="R6040" i="11" s="1"/>
  <c r="M6041" i="11"/>
  <c r="R6041" i="11"/>
  <c r="M6042" i="11"/>
  <c r="R6042" i="11"/>
  <c r="M6043" i="11"/>
  <c r="R6043" i="11" s="1"/>
  <c r="M6044" i="11"/>
  <c r="R6044" i="11"/>
  <c r="M6045" i="11"/>
  <c r="R6045" i="11" s="1"/>
  <c r="M6046" i="11"/>
  <c r="R6046" i="11" s="1"/>
  <c r="M6047" i="11"/>
  <c r="R6047" i="11"/>
  <c r="M6048" i="11"/>
  <c r="M6049" i="11"/>
  <c r="R6049" i="11" s="1"/>
  <c r="M6050" i="11"/>
  <c r="R6050" i="11"/>
  <c r="M6051" i="11"/>
  <c r="R6051" i="11" s="1"/>
  <c r="M6052" i="11"/>
  <c r="M6053" i="11"/>
  <c r="M6054" i="11"/>
  <c r="R6054" i="11"/>
  <c r="M6055" i="11"/>
  <c r="M6056" i="11"/>
  <c r="R6056" i="11"/>
  <c r="M6057" i="11"/>
  <c r="R6057" i="11" s="1"/>
  <c r="M6058" i="11"/>
  <c r="R6058" i="11" s="1"/>
  <c r="M6059" i="11"/>
  <c r="R6059" i="11"/>
  <c r="M6060" i="11"/>
  <c r="R6060" i="11"/>
  <c r="M6061" i="11"/>
  <c r="R6061" i="11" s="1"/>
  <c r="M6062" i="11"/>
  <c r="M6063" i="11"/>
  <c r="R6063" i="11" s="1"/>
  <c r="M6064" i="11"/>
  <c r="R6064" i="11" s="1"/>
  <c r="M6065" i="11"/>
  <c r="M6066" i="11"/>
  <c r="R6066" i="11"/>
  <c r="M6067" i="11"/>
  <c r="M6068" i="11"/>
  <c r="R6068" i="11"/>
  <c r="M6069" i="11"/>
  <c r="R6069" i="11" s="1"/>
  <c r="M6070" i="11"/>
  <c r="R6070" i="11" s="1"/>
  <c r="M6071" i="11"/>
  <c r="M6072" i="11"/>
  <c r="R6072" i="11"/>
  <c r="M6073" i="11"/>
  <c r="R6073" i="11" s="1"/>
  <c r="M6074" i="11"/>
  <c r="R6074" i="11"/>
  <c r="M6075" i="11"/>
  <c r="R6075" i="11" s="1"/>
  <c r="M6076" i="11"/>
  <c r="M6077" i="11"/>
  <c r="M6078" i="11"/>
  <c r="R6078" i="11"/>
  <c r="M6079" i="11"/>
  <c r="R6079" i="11" s="1"/>
  <c r="M6080" i="11"/>
  <c r="R6080" i="11"/>
  <c r="M6081" i="11"/>
  <c r="R6081" i="11" s="1"/>
  <c r="M6082" i="11"/>
  <c r="R6082" i="11" s="1"/>
  <c r="M6083" i="11"/>
  <c r="R6083" i="11"/>
  <c r="M6084" i="11"/>
  <c r="R6084" i="11"/>
  <c r="M6085" i="11"/>
  <c r="R6085" i="11" s="1"/>
  <c r="M6086" i="11"/>
  <c r="M6087" i="11"/>
  <c r="R6087" i="11" s="1"/>
  <c r="M6088" i="11"/>
  <c r="R6088" i="11" s="1"/>
  <c r="M6089" i="11"/>
  <c r="M6090" i="11"/>
  <c r="R6090" i="11"/>
  <c r="M6091" i="11"/>
  <c r="M6092" i="11"/>
  <c r="R6092" i="11"/>
  <c r="M6093" i="11"/>
  <c r="R6093" i="11" s="1"/>
  <c r="M6094" i="11"/>
  <c r="R6094" i="11" s="1"/>
  <c r="M6095" i="11"/>
  <c r="R6095" i="11"/>
  <c r="M6096" i="11"/>
  <c r="M6097" i="11"/>
  <c r="R6097" i="11" s="1"/>
  <c r="M6098" i="11"/>
  <c r="R6098" i="11"/>
  <c r="M6099" i="11"/>
  <c r="R6099" i="11" s="1"/>
  <c r="M6100" i="11"/>
  <c r="M6101" i="11"/>
  <c r="M6102" i="11"/>
  <c r="R6102" i="11"/>
  <c r="M6103" i="11"/>
  <c r="M6104" i="11"/>
  <c r="R6104" i="11"/>
  <c r="M6105" i="11"/>
  <c r="R6105" i="11" s="1"/>
  <c r="M6106" i="11"/>
  <c r="R6106" i="11" s="1"/>
  <c r="M6107" i="11"/>
  <c r="R6107" i="11"/>
  <c r="M6108" i="11"/>
  <c r="M6109" i="11"/>
  <c r="R6109" i="11" s="1"/>
  <c r="M6110" i="11"/>
  <c r="R6110" i="11"/>
  <c r="M6111" i="11"/>
  <c r="R6111" i="11" s="1"/>
  <c r="M6112" i="11"/>
  <c r="R6112" i="11" s="1"/>
  <c r="M6113" i="11"/>
  <c r="M6114" i="11"/>
  <c r="R6114" i="11"/>
  <c r="M6115" i="11"/>
  <c r="M6116" i="11"/>
  <c r="R6116" i="11"/>
  <c r="M6117" i="11"/>
  <c r="R6117" i="11" s="1"/>
  <c r="M6118" i="11"/>
  <c r="R6118" i="11" s="1"/>
  <c r="M6119" i="11"/>
  <c r="R6119" i="11"/>
  <c r="M6120" i="11"/>
  <c r="M6121" i="11"/>
  <c r="R6121" i="11" s="1"/>
  <c r="M6122" i="11"/>
  <c r="R6122" i="11"/>
  <c r="M6123" i="11"/>
  <c r="R6123" i="11" s="1"/>
  <c r="M6124" i="11"/>
  <c r="M6125" i="11"/>
  <c r="M6126" i="11"/>
  <c r="R6126" i="11"/>
  <c r="M6127" i="11"/>
  <c r="M6128" i="11"/>
  <c r="R6128" i="11"/>
  <c r="M6129" i="11"/>
  <c r="R6129" i="11" s="1"/>
  <c r="M6130" i="11"/>
  <c r="R6130" i="11" s="1"/>
  <c r="M6131" i="11"/>
  <c r="R6131" i="11"/>
  <c r="M6132" i="11"/>
  <c r="M6133" i="11"/>
  <c r="R6133" i="11" s="1"/>
  <c r="M6134" i="11"/>
  <c r="R6134" i="11"/>
  <c r="M6135" i="11"/>
  <c r="R6135" i="11" s="1"/>
  <c r="M6136" i="11"/>
  <c r="R6136" i="11" s="1"/>
  <c r="M6137" i="11"/>
  <c r="R6137" i="11"/>
  <c r="M6138" i="11"/>
  <c r="R6138" i="11"/>
  <c r="M6139" i="11"/>
  <c r="R6139" i="11" s="1"/>
  <c r="M6140" i="11"/>
  <c r="R6140" i="11"/>
  <c r="M6141" i="11"/>
  <c r="M6142" i="11"/>
  <c r="R6142" i="11" s="1"/>
  <c r="M6143" i="11"/>
  <c r="R6143" i="11"/>
  <c r="M6144" i="11"/>
  <c r="R6144" i="11"/>
  <c r="M6145" i="11"/>
  <c r="R6145" i="11" s="1"/>
  <c r="M6146" i="11"/>
  <c r="R6146" i="11"/>
  <c r="M6147" i="11"/>
  <c r="R6147" i="11" s="1"/>
  <c r="M6148" i="11"/>
  <c r="R6148" i="11" s="1"/>
  <c r="M6149" i="11"/>
  <c r="M6150" i="11"/>
  <c r="R6150" i="11"/>
  <c r="M6151" i="11"/>
  <c r="R6151" i="11" s="1"/>
  <c r="M6152" i="11"/>
  <c r="R6152" i="11"/>
  <c r="M6153" i="11"/>
  <c r="R6153" i="11" s="1"/>
  <c r="M6154" i="11"/>
  <c r="R6154" i="11" s="1"/>
  <c r="M6155" i="11"/>
  <c r="M6156" i="11"/>
  <c r="R6156" i="11"/>
  <c r="M6157" i="11"/>
  <c r="R6157" i="11" s="1"/>
  <c r="M6158" i="11"/>
  <c r="R6158" i="11"/>
  <c r="M6159" i="11"/>
  <c r="R6159" i="11" s="1"/>
  <c r="M6160" i="11"/>
  <c r="R6160" i="11" s="1"/>
  <c r="M6161" i="11"/>
  <c r="R6161" i="11"/>
  <c r="M6162" i="11"/>
  <c r="R6162" i="11"/>
  <c r="M6163" i="11"/>
  <c r="M6164" i="11"/>
  <c r="R6164" i="11"/>
  <c r="M6165" i="11"/>
  <c r="M6166" i="11"/>
  <c r="R6166" i="11" s="1"/>
  <c r="M6167" i="11"/>
  <c r="R6167" i="11"/>
  <c r="M6168" i="11"/>
  <c r="R6168" i="11"/>
  <c r="M6169" i="11"/>
  <c r="R6169" i="11" s="1"/>
  <c r="M6170" i="11"/>
  <c r="R6170" i="11"/>
  <c r="M6171" i="11"/>
  <c r="M6172" i="11"/>
  <c r="R6172" i="11" s="1"/>
  <c r="M6173" i="11"/>
  <c r="R6173" i="11"/>
  <c r="M6174" i="11"/>
  <c r="R6174" i="11"/>
  <c r="M6175" i="11"/>
  <c r="R6175" i="11" s="1"/>
  <c r="M6176" i="11"/>
  <c r="R6176" i="11"/>
  <c r="M6177" i="11"/>
  <c r="R6177" i="11" s="1"/>
  <c r="M6178" i="11"/>
  <c r="M6179" i="11"/>
  <c r="M6180" i="11"/>
  <c r="R6180" i="11"/>
  <c r="M6181" i="11"/>
  <c r="R6181" i="11" s="1"/>
  <c r="M6182" i="11"/>
  <c r="R6182" i="11"/>
  <c r="M6183" i="11"/>
  <c r="R6183" i="11" s="1"/>
  <c r="M6184" i="11"/>
  <c r="R6184" i="11" s="1"/>
  <c r="M6185" i="11"/>
  <c r="R6185" i="11"/>
  <c r="M6186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L727" i="11"/>
  <c r="L728" i="11"/>
  <c r="L729" i="11"/>
  <c r="L730" i="11"/>
  <c r="L731" i="11"/>
  <c r="L732" i="11"/>
  <c r="L733" i="11"/>
  <c r="L734" i="11"/>
  <c r="L735" i="11"/>
  <c r="L736" i="11"/>
  <c r="L737" i="11"/>
  <c r="L738" i="11"/>
  <c r="L739" i="11"/>
  <c r="L740" i="11"/>
  <c r="L741" i="11"/>
  <c r="L742" i="11"/>
  <c r="L743" i="11"/>
  <c r="L744" i="11"/>
  <c r="L745" i="11"/>
  <c r="L746" i="11"/>
  <c r="L747" i="11"/>
  <c r="L748" i="11"/>
  <c r="L749" i="11"/>
  <c r="L750" i="11"/>
  <c r="L751" i="11"/>
  <c r="L752" i="11"/>
  <c r="L753" i="11"/>
  <c r="L754" i="11"/>
  <c r="L755" i="11"/>
  <c r="L756" i="11"/>
  <c r="L757" i="11"/>
  <c r="L758" i="11"/>
  <c r="L759" i="11"/>
  <c r="L760" i="11"/>
  <c r="L761" i="11"/>
  <c r="L762" i="11"/>
  <c r="L763" i="11"/>
  <c r="L764" i="11"/>
  <c r="L765" i="11"/>
  <c r="L766" i="11"/>
  <c r="L767" i="11"/>
  <c r="L768" i="11"/>
  <c r="L769" i="11"/>
  <c r="L770" i="11"/>
  <c r="L771" i="11"/>
  <c r="L772" i="11"/>
  <c r="L773" i="11"/>
  <c r="L774" i="11"/>
  <c r="L775" i="11"/>
  <c r="L776" i="11"/>
  <c r="L777" i="11"/>
  <c r="L778" i="11"/>
  <c r="L779" i="11"/>
  <c r="L780" i="11"/>
  <c r="L781" i="11"/>
  <c r="L782" i="11"/>
  <c r="L783" i="11"/>
  <c r="L784" i="11"/>
  <c r="L785" i="11"/>
  <c r="L786" i="11"/>
  <c r="L787" i="11"/>
  <c r="L788" i="11"/>
  <c r="L789" i="11"/>
  <c r="L790" i="11"/>
  <c r="L791" i="11"/>
  <c r="L792" i="11"/>
  <c r="L793" i="11"/>
  <c r="L794" i="11"/>
  <c r="L795" i="11"/>
  <c r="L796" i="11"/>
  <c r="L797" i="11"/>
  <c r="L798" i="11"/>
  <c r="L799" i="11"/>
  <c r="L800" i="11"/>
  <c r="L801" i="11"/>
  <c r="L802" i="11"/>
  <c r="L803" i="11"/>
  <c r="L804" i="11"/>
  <c r="L805" i="11"/>
  <c r="L806" i="11"/>
  <c r="L807" i="11"/>
  <c r="L808" i="11"/>
  <c r="L809" i="11"/>
  <c r="L810" i="11"/>
  <c r="L811" i="11"/>
  <c r="L812" i="11"/>
  <c r="L813" i="11"/>
  <c r="L814" i="11"/>
  <c r="L815" i="11"/>
  <c r="L816" i="11"/>
  <c r="L817" i="11"/>
  <c r="L818" i="11"/>
  <c r="L819" i="11"/>
  <c r="L820" i="11"/>
  <c r="L821" i="11"/>
  <c r="L822" i="11"/>
  <c r="L823" i="11"/>
  <c r="L824" i="11"/>
  <c r="L825" i="11"/>
  <c r="L826" i="11"/>
  <c r="L827" i="11"/>
  <c r="L828" i="11"/>
  <c r="L829" i="11"/>
  <c r="L830" i="11"/>
  <c r="L831" i="11"/>
  <c r="L832" i="11"/>
  <c r="L833" i="11"/>
  <c r="L834" i="11"/>
  <c r="L835" i="11"/>
  <c r="L836" i="11"/>
  <c r="L837" i="11"/>
  <c r="L838" i="11"/>
  <c r="L839" i="11"/>
  <c r="L840" i="11"/>
  <c r="L841" i="11"/>
  <c r="L842" i="11"/>
  <c r="L843" i="11"/>
  <c r="L844" i="11"/>
  <c r="L845" i="11"/>
  <c r="L846" i="11"/>
  <c r="L847" i="11"/>
  <c r="L848" i="11"/>
  <c r="L849" i="11"/>
  <c r="L850" i="11"/>
  <c r="L851" i="11"/>
  <c r="L852" i="11"/>
  <c r="L853" i="11"/>
  <c r="L854" i="11"/>
  <c r="L855" i="11"/>
  <c r="L856" i="11"/>
  <c r="L857" i="11"/>
  <c r="L858" i="11"/>
  <c r="L859" i="11"/>
  <c r="L860" i="11"/>
  <c r="L861" i="11"/>
  <c r="L862" i="11"/>
  <c r="L863" i="11"/>
  <c r="L864" i="11"/>
  <c r="L865" i="11"/>
  <c r="L866" i="11"/>
  <c r="L867" i="11"/>
  <c r="L868" i="11"/>
  <c r="L869" i="11"/>
  <c r="L870" i="11"/>
  <c r="L871" i="11"/>
  <c r="L872" i="11"/>
  <c r="L873" i="11"/>
  <c r="L874" i="11"/>
  <c r="L875" i="11"/>
  <c r="L876" i="11"/>
  <c r="L877" i="11"/>
  <c r="L878" i="11"/>
  <c r="L879" i="11"/>
  <c r="L880" i="11"/>
  <c r="L881" i="11"/>
  <c r="L882" i="11"/>
  <c r="L883" i="11"/>
  <c r="L884" i="11"/>
  <c r="L885" i="11"/>
  <c r="L886" i="11"/>
  <c r="L887" i="11"/>
  <c r="L888" i="11"/>
  <c r="L889" i="11"/>
  <c r="L890" i="11"/>
  <c r="L891" i="11"/>
  <c r="L892" i="11"/>
  <c r="L893" i="11"/>
  <c r="L894" i="11"/>
  <c r="L895" i="11"/>
  <c r="L896" i="11"/>
  <c r="L897" i="11"/>
  <c r="L898" i="11"/>
  <c r="L899" i="11"/>
  <c r="L900" i="11"/>
  <c r="L901" i="11"/>
  <c r="L902" i="11"/>
  <c r="L903" i="11"/>
  <c r="L904" i="11"/>
  <c r="L905" i="11"/>
  <c r="L906" i="11"/>
  <c r="L907" i="11"/>
  <c r="L908" i="11"/>
  <c r="L909" i="11"/>
  <c r="L910" i="11"/>
  <c r="L911" i="11"/>
  <c r="L912" i="11"/>
  <c r="L913" i="11"/>
  <c r="L914" i="11"/>
  <c r="L915" i="11"/>
  <c r="L916" i="11"/>
  <c r="L917" i="11"/>
  <c r="L918" i="11"/>
  <c r="L919" i="11"/>
  <c r="L920" i="11"/>
  <c r="L921" i="11"/>
  <c r="L922" i="11"/>
  <c r="L923" i="11"/>
  <c r="L924" i="11"/>
  <c r="L925" i="11"/>
  <c r="L926" i="11"/>
  <c r="L927" i="11"/>
  <c r="L928" i="11"/>
  <c r="L929" i="11"/>
  <c r="L930" i="11"/>
  <c r="L931" i="11"/>
  <c r="L932" i="11"/>
  <c r="L933" i="11"/>
  <c r="L934" i="11"/>
  <c r="L935" i="11"/>
  <c r="L936" i="11"/>
  <c r="L937" i="11"/>
  <c r="L938" i="11"/>
  <c r="L939" i="11"/>
  <c r="L940" i="11"/>
  <c r="L941" i="11"/>
  <c r="L942" i="11"/>
  <c r="L943" i="11"/>
  <c r="L944" i="11"/>
  <c r="L945" i="11"/>
  <c r="L946" i="11"/>
  <c r="L947" i="11"/>
  <c r="L948" i="11"/>
  <c r="L949" i="11"/>
  <c r="L950" i="11"/>
  <c r="L951" i="11"/>
  <c r="L952" i="11"/>
  <c r="L953" i="11"/>
  <c r="L954" i="11"/>
  <c r="L955" i="11"/>
  <c r="L956" i="11"/>
  <c r="L957" i="11"/>
  <c r="L958" i="11"/>
  <c r="L959" i="11"/>
  <c r="L960" i="11"/>
  <c r="L961" i="11"/>
  <c r="L962" i="11"/>
  <c r="L963" i="11"/>
  <c r="L964" i="11"/>
  <c r="L965" i="11"/>
  <c r="L966" i="11"/>
  <c r="L967" i="11"/>
  <c r="L968" i="11"/>
  <c r="L969" i="11"/>
  <c r="L970" i="11"/>
  <c r="L971" i="11"/>
  <c r="L972" i="11"/>
  <c r="L973" i="11"/>
  <c r="L974" i="11"/>
  <c r="L975" i="11"/>
  <c r="L976" i="11"/>
  <c r="L977" i="11"/>
  <c r="L978" i="11"/>
  <c r="L979" i="11"/>
  <c r="L980" i="11"/>
  <c r="L981" i="11"/>
  <c r="L982" i="11"/>
  <c r="L983" i="11"/>
  <c r="L984" i="11"/>
  <c r="L985" i="11"/>
  <c r="L986" i="11"/>
  <c r="L987" i="11"/>
  <c r="L988" i="11"/>
  <c r="L989" i="11"/>
  <c r="L990" i="11"/>
  <c r="L991" i="11"/>
  <c r="L992" i="11"/>
  <c r="L993" i="11"/>
  <c r="L994" i="11"/>
  <c r="L995" i="11"/>
  <c r="L996" i="11"/>
  <c r="L997" i="11"/>
  <c r="L998" i="11"/>
  <c r="L999" i="11"/>
  <c r="L1000" i="11"/>
  <c r="L1001" i="11"/>
  <c r="L1002" i="11"/>
  <c r="L1003" i="11"/>
  <c r="L1004" i="11"/>
  <c r="L1005" i="11"/>
  <c r="L1006" i="11"/>
  <c r="L1007" i="11"/>
  <c r="L1008" i="11"/>
  <c r="L1009" i="11"/>
  <c r="L1010" i="11"/>
  <c r="L1011" i="11"/>
  <c r="L1012" i="11"/>
  <c r="L1013" i="11"/>
  <c r="L1014" i="11"/>
  <c r="L1015" i="11"/>
  <c r="L1016" i="11"/>
  <c r="L1017" i="11"/>
  <c r="L1018" i="11"/>
  <c r="L1019" i="11"/>
  <c r="L1020" i="11"/>
  <c r="L1021" i="11"/>
  <c r="L1022" i="11"/>
  <c r="L1023" i="11"/>
  <c r="L1024" i="11"/>
  <c r="L1025" i="11"/>
  <c r="L1026" i="11"/>
  <c r="L1027" i="11"/>
  <c r="L1028" i="11"/>
  <c r="L1029" i="11"/>
  <c r="L1030" i="11"/>
  <c r="L1031" i="11"/>
  <c r="L1032" i="11"/>
  <c r="L1033" i="11"/>
  <c r="L1034" i="11"/>
  <c r="L1035" i="11"/>
  <c r="L1036" i="11"/>
  <c r="L1037" i="11"/>
  <c r="L1038" i="11"/>
  <c r="L1039" i="11"/>
  <c r="L1040" i="11"/>
  <c r="L1041" i="11"/>
  <c r="L1042" i="11"/>
  <c r="L1043" i="11"/>
  <c r="L1044" i="11"/>
  <c r="L1045" i="11"/>
  <c r="L1046" i="11"/>
  <c r="L1047" i="11"/>
  <c r="L1048" i="11"/>
  <c r="L1049" i="11"/>
  <c r="L1050" i="11"/>
  <c r="L1051" i="11"/>
  <c r="L1052" i="11"/>
  <c r="L1053" i="11"/>
  <c r="L1054" i="11"/>
  <c r="L1055" i="11"/>
  <c r="L1056" i="11"/>
  <c r="L1057" i="11"/>
  <c r="L1058" i="11"/>
  <c r="L1059" i="11"/>
  <c r="L1060" i="11"/>
  <c r="L1061" i="11"/>
  <c r="L1062" i="11"/>
  <c r="L1063" i="11"/>
  <c r="L1064" i="11"/>
  <c r="L1065" i="11"/>
  <c r="L1066" i="11"/>
  <c r="L1067" i="11"/>
  <c r="L1068" i="11"/>
  <c r="L1069" i="11"/>
  <c r="L1070" i="11"/>
  <c r="L1071" i="11"/>
  <c r="L1072" i="11"/>
  <c r="L1073" i="11"/>
  <c r="L1074" i="11"/>
  <c r="L1075" i="11"/>
  <c r="L1076" i="11"/>
  <c r="L1077" i="11"/>
  <c r="L1078" i="11"/>
  <c r="L1079" i="11"/>
  <c r="L1080" i="11"/>
  <c r="L1081" i="11"/>
  <c r="L1082" i="11"/>
  <c r="L1083" i="11"/>
  <c r="L1084" i="11"/>
  <c r="L1085" i="11"/>
  <c r="L1086" i="11"/>
  <c r="L1087" i="11"/>
  <c r="L1088" i="11"/>
  <c r="L1089" i="11"/>
  <c r="L1090" i="11"/>
  <c r="L1091" i="11"/>
  <c r="L1092" i="11"/>
  <c r="L1093" i="11"/>
  <c r="L1094" i="11"/>
  <c r="L1095" i="11"/>
  <c r="L1096" i="11"/>
  <c r="L1097" i="11"/>
  <c r="L1098" i="11"/>
  <c r="L1099" i="11"/>
  <c r="L1100" i="11"/>
  <c r="L1101" i="11"/>
  <c r="L1102" i="11"/>
  <c r="L1103" i="11"/>
  <c r="L1104" i="11"/>
  <c r="L1105" i="11"/>
  <c r="L1106" i="11"/>
  <c r="L1107" i="11"/>
  <c r="L1108" i="11"/>
  <c r="L1109" i="11"/>
  <c r="L1110" i="11"/>
  <c r="L1111" i="11"/>
  <c r="L1112" i="11"/>
  <c r="L1113" i="11"/>
  <c r="L1114" i="11"/>
  <c r="L1115" i="11"/>
  <c r="L1116" i="11"/>
  <c r="L1117" i="11"/>
  <c r="L1118" i="11"/>
  <c r="L1119" i="11"/>
  <c r="L1120" i="11"/>
  <c r="L1121" i="11"/>
  <c r="L1122" i="11"/>
  <c r="L1123" i="11"/>
  <c r="L1124" i="11"/>
  <c r="L1125" i="11"/>
  <c r="L1126" i="11"/>
  <c r="L1127" i="11"/>
  <c r="L1128" i="11"/>
  <c r="L1129" i="11"/>
  <c r="L1130" i="11"/>
  <c r="L1131" i="11"/>
  <c r="L1132" i="11"/>
  <c r="L1133" i="11"/>
  <c r="L1134" i="11"/>
  <c r="L1135" i="11"/>
  <c r="L1136" i="11"/>
  <c r="L1137" i="11"/>
  <c r="L1138" i="11"/>
  <c r="L1139" i="11"/>
  <c r="L1140" i="11"/>
  <c r="L1141" i="11"/>
  <c r="L1142" i="11"/>
  <c r="L1143" i="11"/>
  <c r="L1144" i="11"/>
  <c r="L1145" i="11"/>
  <c r="L1146" i="11"/>
  <c r="L1147" i="11"/>
  <c r="L1148" i="11"/>
  <c r="L1149" i="11"/>
  <c r="L1150" i="11"/>
  <c r="L1151" i="11"/>
  <c r="L1152" i="11"/>
  <c r="L1153" i="11"/>
  <c r="L1154" i="11"/>
  <c r="L1155" i="11"/>
  <c r="L1156" i="11"/>
  <c r="L1157" i="11"/>
  <c r="L1158" i="11"/>
  <c r="L1159" i="11"/>
  <c r="L1160" i="11"/>
  <c r="L1161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85" i="11"/>
  <c r="L1186" i="11"/>
  <c r="L1187" i="11"/>
  <c r="L1188" i="11"/>
  <c r="L1189" i="11"/>
  <c r="L1190" i="11"/>
  <c r="L1191" i="11"/>
  <c r="L1192" i="11"/>
  <c r="L1193" i="11"/>
  <c r="L1194" i="11"/>
  <c r="L1195" i="11"/>
  <c r="L1196" i="11"/>
  <c r="L1197" i="11"/>
  <c r="L1198" i="11"/>
  <c r="L1199" i="11"/>
  <c r="L1200" i="11"/>
  <c r="L1201" i="11"/>
  <c r="L1202" i="11"/>
  <c r="L1203" i="11"/>
  <c r="L1204" i="11"/>
  <c r="L1205" i="11"/>
  <c r="L1206" i="11"/>
  <c r="L1207" i="11"/>
  <c r="L1208" i="11"/>
  <c r="L1209" i="11"/>
  <c r="L1210" i="11"/>
  <c r="L1211" i="11"/>
  <c r="L1212" i="11"/>
  <c r="L1213" i="11"/>
  <c r="L1214" i="11"/>
  <c r="L1215" i="11"/>
  <c r="L1216" i="11"/>
  <c r="L1217" i="11"/>
  <c r="L1218" i="11"/>
  <c r="L1219" i="11"/>
  <c r="L1220" i="11"/>
  <c r="L1221" i="11"/>
  <c r="L1222" i="11"/>
  <c r="L1223" i="11"/>
  <c r="L1224" i="11"/>
  <c r="L1225" i="11"/>
  <c r="L1226" i="11"/>
  <c r="L1227" i="11"/>
  <c r="L1228" i="11"/>
  <c r="L1229" i="11"/>
  <c r="L1230" i="11"/>
  <c r="L1231" i="11"/>
  <c r="L1232" i="11"/>
  <c r="L1233" i="11"/>
  <c r="L1234" i="11"/>
  <c r="L1235" i="11"/>
  <c r="L1236" i="11"/>
  <c r="L1237" i="11"/>
  <c r="L1238" i="11"/>
  <c r="L1239" i="11"/>
  <c r="L1240" i="11"/>
  <c r="L1241" i="11"/>
  <c r="L1242" i="11"/>
  <c r="L1243" i="11"/>
  <c r="L1244" i="11"/>
  <c r="L1245" i="11"/>
  <c r="L1246" i="11"/>
  <c r="L1247" i="11"/>
  <c r="L1248" i="11"/>
  <c r="L1249" i="11"/>
  <c r="L1250" i="11"/>
  <c r="L1251" i="11"/>
  <c r="L1252" i="11"/>
  <c r="L1253" i="11"/>
  <c r="L1254" i="11"/>
  <c r="L1255" i="11"/>
  <c r="L1256" i="11"/>
  <c r="L1257" i="11"/>
  <c r="L1258" i="11"/>
  <c r="L1259" i="11"/>
  <c r="L1260" i="11"/>
  <c r="L1261" i="11"/>
  <c r="L1262" i="11"/>
  <c r="L1263" i="11"/>
  <c r="L1264" i="11"/>
  <c r="L1265" i="11"/>
  <c r="L1266" i="11"/>
  <c r="L1267" i="11"/>
  <c r="L1268" i="11"/>
  <c r="L1269" i="11"/>
  <c r="L1270" i="11"/>
  <c r="L1271" i="11"/>
  <c r="L1272" i="11"/>
  <c r="L1273" i="11"/>
  <c r="L1274" i="11"/>
  <c r="L1275" i="11"/>
  <c r="L1276" i="11"/>
  <c r="L1277" i="11"/>
  <c r="L1278" i="11"/>
  <c r="L1279" i="11"/>
  <c r="L1280" i="11"/>
  <c r="L1281" i="11"/>
  <c r="L1282" i="11"/>
  <c r="L1283" i="11"/>
  <c r="L1284" i="11"/>
  <c r="L1285" i="11"/>
  <c r="L1286" i="11"/>
  <c r="L1287" i="11"/>
  <c r="L1288" i="11"/>
  <c r="L1289" i="11"/>
  <c r="L1290" i="11"/>
  <c r="L1291" i="11"/>
  <c r="L1292" i="11"/>
  <c r="L1293" i="11"/>
  <c r="L1294" i="11"/>
  <c r="L1295" i="11"/>
  <c r="L1296" i="11"/>
  <c r="L1297" i="11"/>
  <c r="L1298" i="11"/>
  <c r="L1299" i="11"/>
  <c r="L1300" i="11"/>
  <c r="L1301" i="11"/>
  <c r="L1302" i="11"/>
  <c r="L1303" i="11"/>
  <c r="L1304" i="11"/>
  <c r="L1305" i="11"/>
  <c r="L1306" i="11"/>
  <c r="L1307" i="11"/>
  <c r="L1308" i="11"/>
  <c r="L1309" i="11"/>
  <c r="L1310" i="11"/>
  <c r="L1311" i="11"/>
  <c r="L1312" i="11"/>
  <c r="L1313" i="11"/>
  <c r="L1314" i="11"/>
  <c r="L1315" i="11"/>
  <c r="L1316" i="11"/>
  <c r="L1317" i="11"/>
  <c r="L1318" i="11"/>
  <c r="L1319" i="11"/>
  <c r="L1320" i="11"/>
  <c r="L1321" i="11"/>
  <c r="L1322" i="11"/>
  <c r="L1323" i="11"/>
  <c r="L1324" i="11"/>
  <c r="L1325" i="11"/>
  <c r="L1326" i="11"/>
  <c r="L1327" i="11"/>
  <c r="L1328" i="11"/>
  <c r="L1329" i="11"/>
  <c r="L1330" i="11"/>
  <c r="L1331" i="11"/>
  <c r="L1332" i="11"/>
  <c r="L1333" i="11"/>
  <c r="L1334" i="11"/>
  <c r="L1335" i="11"/>
  <c r="L1336" i="11"/>
  <c r="L1337" i="11"/>
  <c r="L1338" i="11"/>
  <c r="L1339" i="11"/>
  <c r="L1340" i="11"/>
  <c r="L1341" i="11"/>
  <c r="L1342" i="11"/>
  <c r="L1343" i="11"/>
  <c r="L1344" i="11"/>
  <c r="L1345" i="11"/>
  <c r="L1346" i="11"/>
  <c r="L1347" i="11"/>
  <c r="L1348" i="11"/>
  <c r="L1349" i="11"/>
  <c r="L1350" i="11"/>
  <c r="L1351" i="11"/>
  <c r="L1352" i="11"/>
  <c r="L1353" i="11"/>
  <c r="L1354" i="11"/>
  <c r="L1355" i="11"/>
  <c r="L1356" i="11"/>
  <c r="L1357" i="11"/>
  <c r="L1358" i="11"/>
  <c r="L1359" i="11"/>
  <c r="L1360" i="11"/>
  <c r="L1361" i="11"/>
  <c r="L1362" i="11"/>
  <c r="L1363" i="11"/>
  <c r="L1364" i="11"/>
  <c r="L1365" i="11"/>
  <c r="L1366" i="11"/>
  <c r="L1367" i="11"/>
  <c r="L1368" i="11"/>
  <c r="L1369" i="11"/>
  <c r="L1370" i="11"/>
  <c r="L1371" i="11"/>
  <c r="L1372" i="11"/>
  <c r="L1373" i="11"/>
  <c r="L1374" i="11"/>
  <c r="L1375" i="11"/>
  <c r="L1376" i="11"/>
  <c r="L1377" i="11"/>
  <c r="L1378" i="11"/>
  <c r="L1379" i="11"/>
  <c r="L1380" i="11"/>
  <c r="L1381" i="11"/>
  <c r="L1382" i="11"/>
  <c r="L1383" i="11"/>
  <c r="L1384" i="11"/>
  <c r="L1385" i="11"/>
  <c r="L1386" i="11"/>
  <c r="L1387" i="11"/>
  <c r="L1388" i="11"/>
  <c r="L1389" i="11"/>
  <c r="L1390" i="11"/>
  <c r="L1391" i="11"/>
  <c r="L1392" i="11"/>
  <c r="L1393" i="11"/>
  <c r="L1394" i="11"/>
  <c r="L1395" i="11"/>
  <c r="L1396" i="11"/>
  <c r="L1397" i="11"/>
  <c r="L1398" i="11"/>
  <c r="L1399" i="11"/>
  <c r="L1400" i="11"/>
  <c r="L1401" i="11"/>
  <c r="L1402" i="11"/>
  <c r="L1403" i="11"/>
  <c r="L1404" i="11"/>
  <c r="L1405" i="11"/>
  <c r="L1406" i="11"/>
  <c r="L1407" i="11"/>
  <c r="L1408" i="11"/>
  <c r="L1409" i="11"/>
  <c r="L1410" i="11"/>
  <c r="L1411" i="11"/>
  <c r="L1412" i="11"/>
  <c r="L1413" i="11"/>
  <c r="L1414" i="11"/>
  <c r="L1415" i="11"/>
  <c r="L1416" i="11"/>
  <c r="L1417" i="11"/>
  <c r="L1418" i="11"/>
  <c r="L1419" i="11"/>
  <c r="L1420" i="11"/>
  <c r="L1421" i="11"/>
  <c r="L1422" i="11"/>
  <c r="L1423" i="11"/>
  <c r="L1424" i="11"/>
  <c r="L1425" i="11"/>
  <c r="L1426" i="11"/>
  <c r="L1427" i="11"/>
  <c r="L1428" i="11"/>
  <c r="L1429" i="11"/>
  <c r="L1430" i="11"/>
  <c r="L1431" i="11"/>
  <c r="L1432" i="11"/>
  <c r="L1433" i="11"/>
  <c r="L1434" i="11"/>
  <c r="L1435" i="11"/>
  <c r="L1436" i="11"/>
  <c r="L1437" i="11"/>
  <c r="L1438" i="11"/>
  <c r="L1439" i="11"/>
  <c r="L1440" i="11"/>
  <c r="L1441" i="11"/>
  <c r="L1442" i="11"/>
  <c r="L1443" i="11"/>
  <c r="L1444" i="11"/>
  <c r="L1445" i="11"/>
  <c r="L1446" i="11"/>
  <c r="L1447" i="11"/>
  <c r="L1448" i="11"/>
  <c r="L1449" i="11"/>
  <c r="L1450" i="11"/>
  <c r="L1451" i="11"/>
  <c r="L1452" i="11"/>
  <c r="L1453" i="11"/>
  <c r="L1454" i="11"/>
  <c r="L1455" i="11"/>
  <c r="L1456" i="11"/>
  <c r="L1457" i="11"/>
  <c r="L1458" i="11"/>
  <c r="L1459" i="11"/>
  <c r="L1460" i="11"/>
  <c r="L1461" i="11"/>
  <c r="L1462" i="11"/>
  <c r="L1463" i="11"/>
  <c r="L1464" i="11"/>
  <c r="L1465" i="11"/>
  <c r="L1466" i="11"/>
  <c r="L1467" i="11"/>
  <c r="L1468" i="11"/>
  <c r="L1469" i="11"/>
  <c r="L1470" i="11"/>
  <c r="L1471" i="11"/>
  <c r="L1472" i="11"/>
  <c r="L1473" i="11"/>
  <c r="L1474" i="11"/>
  <c r="L1475" i="11"/>
  <c r="L1476" i="11"/>
  <c r="L1477" i="11"/>
  <c r="L1478" i="11"/>
  <c r="L1479" i="11"/>
  <c r="L1480" i="11"/>
  <c r="L1481" i="11"/>
  <c r="L1482" i="11"/>
  <c r="L1483" i="11"/>
  <c r="L1484" i="11"/>
  <c r="L1485" i="11"/>
  <c r="L1486" i="11"/>
  <c r="L1487" i="11"/>
  <c r="L1488" i="11"/>
  <c r="L1489" i="11"/>
  <c r="L1490" i="11"/>
  <c r="L1491" i="11"/>
  <c r="L1492" i="11"/>
  <c r="L1493" i="11"/>
  <c r="L1494" i="11"/>
  <c r="L1495" i="11"/>
  <c r="L1496" i="11"/>
  <c r="L1497" i="11"/>
  <c r="L1498" i="11"/>
  <c r="L1499" i="11"/>
  <c r="L1500" i="11"/>
  <c r="L1501" i="11"/>
  <c r="L1502" i="11"/>
  <c r="L1503" i="11"/>
  <c r="L1504" i="11"/>
  <c r="L1505" i="11"/>
  <c r="L1506" i="11"/>
  <c r="L1507" i="11"/>
  <c r="L1508" i="11"/>
  <c r="L1509" i="11"/>
  <c r="L1510" i="11"/>
  <c r="L1511" i="11"/>
  <c r="L1512" i="11"/>
  <c r="L1513" i="11"/>
  <c r="L1514" i="11"/>
  <c r="L1515" i="11"/>
  <c r="L1516" i="11"/>
  <c r="L1517" i="11"/>
  <c r="L1518" i="11"/>
  <c r="L1519" i="11"/>
  <c r="L1520" i="11"/>
  <c r="L1521" i="11"/>
  <c r="L1522" i="11"/>
  <c r="L1523" i="11"/>
  <c r="L1524" i="11"/>
  <c r="L1525" i="11"/>
  <c r="L1526" i="11"/>
  <c r="L1527" i="11"/>
  <c r="L1528" i="11"/>
  <c r="L1529" i="11"/>
  <c r="L1530" i="11"/>
  <c r="L1531" i="11"/>
  <c r="L1532" i="11"/>
  <c r="L1533" i="11"/>
  <c r="L1534" i="11"/>
  <c r="L1535" i="11"/>
  <c r="L1536" i="11"/>
  <c r="L1537" i="11"/>
  <c r="L1538" i="11"/>
  <c r="L1539" i="11"/>
  <c r="L1540" i="11"/>
  <c r="L1541" i="11"/>
  <c r="L1542" i="11"/>
  <c r="L1543" i="11"/>
  <c r="L1544" i="11"/>
  <c r="L1545" i="11"/>
  <c r="L1546" i="11"/>
  <c r="L1547" i="11"/>
  <c r="L1548" i="11"/>
  <c r="L1549" i="11"/>
  <c r="L1550" i="11"/>
  <c r="L1551" i="11"/>
  <c r="L1552" i="11"/>
  <c r="L1553" i="11"/>
  <c r="L1554" i="11"/>
  <c r="L1555" i="11"/>
  <c r="L1556" i="11"/>
  <c r="L1557" i="11"/>
  <c r="L1558" i="11"/>
  <c r="L1559" i="11"/>
  <c r="L1560" i="11"/>
  <c r="L1561" i="11"/>
  <c r="L1562" i="11"/>
  <c r="L1563" i="11"/>
  <c r="L1564" i="11"/>
  <c r="L1565" i="11"/>
  <c r="L1566" i="11"/>
  <c r="L1567" i="11"/>
  <c r="L1568" i="11"/>
  <c r="L1569" i="11"/>
  <c r="L1570" i="11"/>
  <c r="L1571" i="11"/>
  <c r="L1572" i="11"/>
  <c r="L1573" i="11"/>
  <c r="L1574" i="11"/>
  <c r="L1575" i="11"/>
  <c r="L1576" i="11"/>
  <c r="L1577" i="11"/>
  <c r="L1578" i="11"/>
  <c r="L1579" i="11"/>
  <c r="L1580" i="11"/>
  <c r="L1581" i="11"/>
  <c r="L1582" i="11"/>
  <c r="L1583" i="11"/>
  <c r="L1584" i="11"/>
  <c r="L1585" i="11"/>
  <c r="L1586" i="11"/>
  <c r="L1587" i="11"/>
  <c r="L1588" i="11"/>
  <c r="L1589" i="11"/>
  <c r="L1590" i="11"/>
  <c r="L1591" i="11"/>
  <c r="L1592" i="11"/>
  <c r="L1593" i="11"/>
  <c r="L1594" i="11"/>
  <c r="L1595" i="11"/>
  <c r="L1596" i="11"/>
  <c r="L1597" i="11"/>
  <c r="L1598" i="11"/>
  <c r="L1599" i="11"/>
  <c r="L1600" i="11"/>
  <c r="L1601" i="11"/>
  <c r="L1602" i="11"/>
  <c r="L1603" i="11"/>
  <c r="L1604" i="11"/>
  <c r="L1605" i="11"/>
  <c r="L1606" i="11"/>
  <c r="L1607" i="11"/>
  <c r="L1608" i="11"/>
  <c r="L1609" i="11"/>
  <c r="L1610" i="11"/>
  <c r="L1611" i="11"/>
  <c r="L1612" i="11"/>
  <c r="L1613" i="11"/>
  <c r="L1614" i="11"/>
  <c r="L1615" i="11"/>
  <c r="L1616" i="11"/>
  <c r="L1617" i="11"/>
  <c r="L1618" i="11"/>
  <c r="L1619" i="11"/>
  <c r="L1620" i="11"/>
  <c r="L1621" i="11"/>
  <c r="L1622" i="11"/>
  <c r="L1623" i="11"/>
  <c r="L1624" i="11"/>
  <c r="L1625" i="11"/>
  <c r="L1626" i="11"/>
  <c r="L1627" i="11"/>
  <c r="L1628" i="11"/>
  <c r="L1629" i="11"/>
  <c r="L1630" i="11"/>
  <c r="L1631" i="11"/>
  <c r="L1632" i="11"/>
  <c r="L1633" i="11"/>
  <c r="L1634" i="11"/>
  <c r="L1635" i="11"/>
  <c r="L1636" i="11"/>
  <c r="L1637" i="11"/>
  <c r="L1638" i="11"/>
  <c r="L1639" i="11"/>
  <c r="L1640" i="11"/>
  <c r="L1641" i="11"/>
  <c r="L1642" i="11"/>
  <c r="L1643" i="11"/>
  <c r="L1644" i="11"/>
  <c r="L1645" i="11"/>
  <c r="L1646" i="11"/>
  <c r="L1647" i="11"/>
  <c r="L1648" i="11"/>
  <c r="L1649" i="11"/>
  <c r="L1650" i="11"/>
  <c r="L1651" i="11"/>
  <c r="L1652" i="11"/>
  <c r="L1653" i="11"/>
  <c r="L1654" i="11"/>
  <c r="L1655" i="11"/>
  <c r="L1656" i="11"/>
  <c r="L1657" i="11"/>
  <c r="L1658" i="11"/>
  <c r="L1659" i="11"/>
  <c r="L1660" i="11"/>
  <c r="L1661" i="11"/>
  <c r="L1662" i="11"/>
  <c r="L1663" i="11"/>
  <c r="L1664" i="11"/>
  <c r="L1665" i="11"/>
  <c r="L1666" i="11"/>
  <c r="L1667" i="11"/>
  <c r="L1668" i="11"/>
  <c r="L1669" i="11"/>
  <c r="L1670" i="11"/>
  <c r="L1671" i="11"/>
  <c r="L1672" i="11"/>
  <c r="L1673" i="11"/>
  <c r="L1674" i="11"/>
  <c r="L1675" i="11"/>
  <c r="L1676" i="11"/>
  <c r="L1677" i="11"/>
  <c r="L1678" i="11"/>
  <c r="L1679" i="11"/>
  <c r="L1680" i="11"/>
  <c r="L1681" i="11"/>
  <c r="L1682" i="11"/>
  <c r="L1683" i="11"/>
  <c r="L1684" i="11"/>
  <c r="L1685" i="11"/>
  <c r="L1686" i="11"/>
  <c r="L1687" i="11"/>
  <c r="L1688" i="11"/>
  <c r="L1689" i="11"/>
  <c r="L1690" i="11"/>
  <c r="L1691" i="11"/>
  <c r="L1692" i="11"/>
  <c r="L1693" i="11"/>
  <c r="L1694" i="11"/>
  <c r="L1695" i="11"/>
  <c r="L1696" i="11"/>
  <c r="L1697" i="11"/>
  <c r="L1698" i="11"/>
  <c r="L1699" i="11"/>
  <c r="L1700" i="11"/>
  <c r="L1701" i="11"/>
  <c r="L1702" i="11"/>
  <c r="L1703" i="11"/>
  <c r="L1704" i="11"/>
  <c r="L1705" i="11"/>
  <c r="L1706" i="11"/>
  <c r="L1707" i="11"/>
  <c r="L1708" i="11"/>
  <c r="L1709" i="11"/>
  <c r="L1710" i="11"/>
  <c r="L1711" i="11"/>
  <c r="L1712" i="11"/>
  <c r="L1713" i="11"/>
  <c r="L1714" i="11"/>
  <c r="L1715" i="11"/>
  <c r="L1716" i="11"/>
  <c r="L1717" i="11"/>
  <c r="L1718" i="11"/>
  <c r="L1719" i="11"/>
  <c r="L1720" i="11"/>
  <c r="L1721" i="11"/>
  <c r="L1722" i="11"/>
  <c r="L1723" i="11"/>
  <c r="L1724" i="11"/>
  <c r="L1725" i="11"/>
  <c r="L1726" i="11"/>
  <c r="L1727" i="11"/>
  <c r="L1728" i="11"/>
  <c r="L1729" i="11"/>
  <c r="L1730" i="11"/>
  <c r="L1731" i="11"/>
  <c r="L1732" i="11"/>
  <c r="L1733" i="11"/>
  <c r="L1734" i="11"/>
  <c r="L1735" i="11"/>
  <c r="L1736" i="11"/>
  <c r="L1737" i="11"/>
  <c r="L1738" i="11"/>
  <c r="L1739" i="11"/>
  <c r="L1740" i="11"/>
  <c r="L1741" i="11"/>
  <c r="L1742" i="11"/>
  <c r="L1743" i="11"/>
  <c r="L1744" i="11"/>
  <c r="L1745" i="11"/>
  <c r="L1746" i="11"/>
  <c r="L1747" i="11"/>
  <c r="L1748" i="11"/>
  <c r="L1749" i="11"/>
  <c r="L1750" i="11"/>
  <c r="L1751" i="11"/>
  <c r="L1752" i="11"/>
  <c r="L1753" i="11"/>
  <c r="L1754" i="11"/>
  <c r="L1755" i="11"/>
  <c r="L1756" i="11"/>
  <c r="L1757" i="11"/>
  <c r="L1758" i="11"/>
  <c r="L1759" i="11"/>
  <c r="L1760" i="11"/>
  <c r="L1761" i="11"/>
  <c r="L1762" i="11"/>
  <c r="L1763" i="11"/>
  <c r="L1764" i="11"/>
  <c r="L1765" i="11"/>
  <c r="L1766" i="11"/>
  <c r="L1767" i="11"/>
  <c r="L1768" i="11"/>
  <c r="L1769" i="11"/>
  <c r="L1770" i="11"/>
  <c r="L1771" i="11"/>
  <c r="L1772" i="11"/>
  <c r="L1773" i="11"/>
  <c r="L1774" i="11"/>
  <c r="L1775" i="11"/>
  <c r="L1776" i="11"/>
  <c r="L1777" i="11"/>
  <c r="L1778" i="11"/>
  <c r="L1779" i="11"/>
  <c r="L1780" i="11"/>
  <c r="L1781" i="11"/>
  <c r="L1782" i="11"/>
  <c r="L1783" i="11"/>
  <c r="L1784" i="11"/>
  <c r="L1785" i="11"/>
  <c r="L1786" i="11"/>
  <c r="L1787" i="11"/>
  <c r="L1788" i="11"/>
  <c r="L1789" i="11"/>
  <c r="L1790" i="11"/>
  <c r="L1791" i="11"/>
  <c r="L1792" i="11"/>
  <c r="L1793" i="11"/>
  <c r="L1794" i="11"/>
  <c r="L1795" i="11"/>
  <c r="L1796" i="11"/>
  <c r="L1797" i="11"/>
  <c r="L1798" i="11"/>
  <c r="L1799" i="11"/>
  <c r="L1800" i="11"/>
  <c r="L1801" i="11"/>
  <c r="L1802" i="11"/>
  <c r="L1803" i="11"/>
  <c r="L1804" i="11"/>
  <c r="L1805" i="11"/>
  <c r="L1806" i="11"/>
  <c r="L1807" i="11"/>
  <c r="L1808" i="11"/>
  <c r="L1809" i="11"/>
  <c r="L1810" i="11"/>
  <c r="L1811" i="11"/>
  <c r="L1812" i="11"/>
  <c r="L1813" i="11"/>
  <c r="L1814" i="11"/>
  <c r="L1815" i="11"/>
  <c r="L1816" i="11"/>
  <c r="L1817" i="11"/>
  <c r="L1818" i="11"/>
  <c r="L1819" i="11"/>
  <c r="L1820" i="11"/>
  <c r="L1821" i="11"/>
  <c r="L1822" i="11"/>
  <c r="L1823" i="11"/>
  <c r="L1824" i="11"/>
  <c r="L1825" i="11"/>
  <c r="L1826" i="11"/>
  <c r="L1827" i="11"/>
  <c r="L1828" i="11"/>
  <c r="L1829" i="11"/>
  <c r="L1830" i="11"/>
  <c r="L1831" i="11"/>
  <c r="L1832" i="11"/>
  <c r="L1833" i="11"/>
  <c r="L1834" i="11"/>
  <c r="L1835" i="11"/>
  <c r="L1836" i="11"/>
  <c r="L1837" i="11"/>
  <c r="L1838" i="11"/>
  <c r="L1839" i="11"/>
  <c r="L1840" i="11"/>
  <c r="L1841" i="11"/>
  <c r="L1842" i="11"/>
  <c r="L1843" i="11"/>
  <c r="L1844" i="11"/>
  <c r="L1845" i="11"/>
  <c r="L1846" i="11"/>
  <c r="L1847" i="11"/>
  <c r="L1848" i="11"/>
  <c r="L1849" i="11"/>
  <c r="L1850" i="11"/>
  <c r="L1851" i="11"/>
  <c r="L1852" i="11"/>
  <c r="L1853" i="11"/>
  <c r="L1854" i="11"/>
  <c r="L1855" i="11"/>
  <c r="L1856" i="11"/>
  <c r="L1857" i="11"/>
  <c r="L1858" i="11"/>
  <c r="L1859" i="11"/>
  <c r="L1860" i="11"/>
  <c r="L1861" i="11"/>
  <c r="L1862" i="11"/>
  <c r="L1863" i="11"/>
  <c r="L1864" i="11"/>
  <c r="L1865" i="11"/>
  <c r="L1866" i="11"/>
  <c r="L1867" i="11"/>
  <c r="L1868" i="11"/>
  <c r="L1869" i="11"/>
  <c r="L1870" i="11"/>
  <c r="L1871" i="11"/>
  <c r="L1872" i="11"/>
  <c r="L1873" i="11"/>
  <c r="L1874" i="11"/>
  <c r="L1875" i="11"/>
  <c r="L1876" i="11"/>
  <c r="L1877" i="11"/>
  <c r="L1878" i="11"/>
  <c r="L1879" i="11"/>
  <c r="L1880" i="11"/>
  <c r="L1881" i="11"/>
  <c r="L1882" i="11"/>
  <c r="L1883" i="11"/>
  <c r="L1884" i="11"/>
  <c r="L1885" i="11"/>
  <c r="L1886" i="11"/>
  <c r="L1887" i="11"/>
  <c r="L1888" i="11"/>
  <c r="L1889" i="11"/>
  <c r="L1890" i="11"/>
  <c r="L1891" i="11"/>
  <c r="L1892" i="11"/>
  <c r="L1893" i="11"/>
  <c r="L1894" i="11"/>
  <c r="L1895" i="11"/>
  <c r="L1896" i="11"/>
  <c r="L1897" i="11"/>
  <c r="L1898" i="11"/>
  <c r="L1899" i="11"/>
  <c r="L1900" i="11"/>
  <c r="L1901" i="11"/>
  <c r="L1902" i="11"/>
  <c r="L1903" i="11"/>
  <c r="L1904" i="11"/>
  <c r="L1905" i="11"/>
  <c r="L1906" i="11"/>
  <c r="L1907" i="11"/>
  <c r="L1908" i="11"/>
  <c r="L1909" i="11"/>
  <c r="L1910" i="11"/>
  <c r="L1911" i="11"/>
  <c r="L1912" i="11"/>
  <c r="L1913" i="11"/>
  <c r="L1914" i="11"/>
  <c r="L1915" i="11"/>
  <c r="L1916" i="11"/>
  <c r="L1917" i="11"/>
  <c r="L1918" i="11"/>
  <c r="L1919" i="11"/>
  <c r="L1920" i="11"/>
  <c r="L1921" i="11"/>
  <c r="L1922" i="11"/>
  <c r="L1923" i="11"/>
  <c r="L1924" i="11"/>
  <c r="L1925" i="11"/>
  <c r="L1926" i="11"/>
  <c r="L1927" i="11"/>
  <c r="L1928" i="11"/>
  <c r="L1929" i="11"/>
  <c r="L1930" i="11"/>
  <c r="L1931" i="11"/>
  <c r="L1932" i="11"/>
  <c r="L1933" i="11"/>
  <c r="L1934" i="11"/>
  <c r="L1935" i="11"/>
  <c r="L1936" i="11"/>
  <c r="L1937" i="11"/>
  <c r="L1938" i="11"/>
  <c r="L1939" i="11"/>
  <c r="L1940" i="11"/>
  <c r="L1941" i="11"/>
  <c r="L1942" i="11"/>
  <c r="L1943" i="11"/>
  <c r="L1944" i="11"/>
  <c r="L1945" i="11"/>
  <c r="L1946" i="11"/>
  <c r="L1947" i="11"/>
  <c r="L1948" i="11"/>
  <c r="L1949" i="11"/>
  <c r="L1950" i="11"/>
  <c r="L1951" i="11"/>
  <c r="L1952" i="11"/>
  <c r="L1953" i="11"/>
  <c r="L1954" i="11"/>
  <c r="L1955" i="11"/>
  <c r="L1956" i="11"/>
  <c r="L1957" i="11"/>
  <c r="L1958" i="11"/>
  <c r="L1959" i="11"/>
  <c r="L1960" i="11"/>
  <c r="L1961" i="11"/>
  <c r="L1962" i="11"/>
  <c r="L1963" i="11"/>
  <c r="L1964" i="11"/>
  <c r="L1965" i="11"/>
  <c r="L1966" i="11"/>
  <c r="L1967" i="11"/>
  <c r="L1968" i="11"/>
  <c r="L1969" i="11"/>
  <c r="L1970" i="11"/>
  <c r="L1971" i="11"/>
  <c r="L1972" i="11"/>
  <c r="L1973" i="11"/>
  <c r="L1974" i="11"/>
  <c r="L1975" i="11"/>
  <c r="L1976" i="11"/>
  <c r="L1977" i="11"/>
  <c r="L1978" i="11"/>
  <c r="L1979" i="11"/>
  <c r="L1980" i="11"/>
  <c r="L1981" i="11"/>
  <c r="L1982" i="11"/>
  <c r="L1983" i="11"/>
  <c r="L1984" i="11"/>
  <c r="L1985" i="11"/>
  <c r="L1986" i="11"/>
  <c r="L1987" i="11"/>
  <c r="L1988" i="11"/>
  <c r="L1989" i="11"/>
  <c r="L1990" i="11"/>
  <c r="L1991" i="11"/>
  <c r="L1992" i="11"/>
  <c r="L1993" i="11"/>
  <c r="L1994" i="11"/>
  <c r="L1995" i="11"/>
  <c r="L1996" i="11"/>
  <c r="L1997" i="11"/>
  <c r="L1998" i="11"/>
  <c r="L1999" i="11"/>
  <c r="L2000" i="11"/>
  <c r="L2001" i="11"/>
  <c r="L2002" i="11"/>
  <c r="L2003" i="11"/>
  <c r="L2004" i="11"/>
  <c r="L2005" i="11"/>
  <c r="L2006" i="11"/>
  <c r="L2007" i="11"/>
  <c r="L2008" i="11"/>
  <c r="L2009" i="11"/>
  <c r="L2010" i="11"/>
  <c r="L2011" i="11"/>
  <c r="L2012" i="11"/>
  <c r="L2013" i="11"/>
  <c r="L2014" i="11"/>
  <c r="L2015" i="11"/>
  <c r="L2016" i="11"/>
  <c r="L2017" i="11"/>
  <c r="L2018" i="11"/>
  <c r="L2019" i="11"/>
  <c r="L2020" i="11"/>
  <c r="L2021" i="11"/>
  <c r="L2022" i="11"/>
  <c r="L2023" i="11"/>
  <c r="L2024" i="11"/>
  <c r="L2025" i="11"/>
  <c r="L2026" i="11"/>
  <c r="L2027" i="11"/>
  <c r="L2028" i="11"/>
  <c r="L2029" i="11"/>
  <c r="L2030" i="11"/>
  <c r="L2031" i="11"/>
  <c r="L2032" i="11"/>
  <c r="L2033" i="11"/>
  <c r="L2034" i="11"/>
  <c r="L2035" i="11"/>
  <c r="L2036" i="11"/>
  <c r="L2037" i="11"/>
  <c r="L2038" i="11"/>
  <c r="L2039" i="11"/>
  <c r="L2040" i="11"/>
  <c r="L2041" i="11"/>
  <c r="L2042" i="11"/>
  <c r="L2043" i="11"/>
  <c r="L2044" i="11"/>
  <c r="L2045" i="11"/>
  <c r="L2046" i="11"/>
  <c r="L2047" i="11"/>
  <c r="L2048" i="11"/>
  <c r="L2049" i="11"/>
  <c r="L2050" i="11"/>
  <c r="L2051" i="11"/>
  <c r="L2052" i="11"/>
  <c r="L2053" i="11"/>
  <c r="L2054" i="11"/>
  <c r="L2055" i="11"/>
  <c r="L2056" i="11"/>
  <c r="L2057" i="11"/>
  <c r="L2058" i="11"/>
  <c r="L2059" i="11"/>
  <c r="L2060" i="11"/>
  <c r="L2061" i="11"/>
  <c r="L2062" i="11"/>
  <c r="L2063" i="11"/>
  <c r="L2064" i="11"/>
  <c r="L2065" i="11"/>
  <c r="L2066" i="11"/>
  <c r="L2067" i="11"/>
  <c r="L2068" i="11"/>
  <c r="L2069" i="11"/>
  <c r="L2070" i="11"/>
  <c r="L2071" i="11"/>
  <c r="L2072" i="11"/>
  <c r="L2073" i="11"/>
  <c r="L2074" i="11"/>
  <c r="L2075" i="11"/>
  <c r="L2076" i="11"/>
  <c r="L2077" i="11"/>
  <c r="L2078" i="11"/>
  <c r="L2079" i="11"/>
  <c r="L2080" i="11"/>
  <c r="L2081" i="11"/>
  <c r="L2082" i="11"/>
  <c r="L2083" i="11"/>
  <c r="L2084" i="11"/>
  <c r="L2085" i="11"/>
  <c r="L2086" i="11"/>
  <c r="L2087" i="11"/>
  <c r="L2088" i="11"/>
  <c r="L2089" i="11"/>
  <c r="L2090" i="11"/>
  <c r="L2091" i="11"/>
  <c r="L2092" i="11"/>
  <c r="L2093" i="11"/>
  <c r="L2094" i="11"/>
  <c r="L2095" i="11"/>
  <c r="L2096" i="11"/>
  <c r="L2097" i="11"/>
  <c r="L2098" i="11"/>
  <c r="L2099" i="11"/>
  <c r="L2100" i="11"/>
  <c r="L2101" i="11"/>
  <c r="L2102" i="11"/>
  <c r="L2103" i="11"/>
  <c r="L2104" i="11"/>
  <c r="L2105" i="11"/>
  <c r="L2106" i="11"/>
  <c r="L2107" i="11"/>
  <c r="L2108" i="11"/>
  <c r="L2109" i="11"/>
  <c r="L2110" i="11"/>
  <c r="L2111" i="11"/>
  <c r="L2112" i="11"/>
  <c r="L2113" i="11"/>
  <c r="L2114" i="11"/>
  <c r="L2115" i="11"/>
  <c r="L2116" i="11"/>
  <c r="L2117" i="11"/>
  <c r="L2118" i="11"/>
  <c r="L2119" i="11"/>
  <c r="L2120" i="11"/>
  <c r="L2121" i="11"/>
  <c r="L2122" i="11"/>
  <c r="L2123" i="11"/>
  <c r="L2124" i="11"/>
  <c r="L2125" i="11"/>
  <c r="L2126" i="11"/>
  <c r="L2127" i="11"/>
  <c r="L2128" i="11"/>
  <c r="L2129" i="11"/>
  <c r="L2130" i="11"/>
  <c r="L2131" i="11"/>
  <c r="L2132" i="11"/>
  <c r="L2133" i="11"/>
  <c r="L2134" i="11"/>
  <c r="L2135" i="11"/>
  <c r="L2136" i="11"/>
  <c r="L2137" i="11"/>
  <c r="L2138" i="11"/>
  <c r="L2139" i="11"/>
  <c r="L2140" i="11"/>
  <c r="L2141" i="11"/>
  <c r="L2142" i="11"/>
  <c r="L2143" i="11"/>
  <c r="L2144" i="11"/>
  <c r="L2145" i="11"/>
  <c r="L2146" i="11"/>
  <c r="L2147" i="11"/>
  <c r="L2148" i="11"/>
  <c r="L2149" i="11"/>
  <c r="L2150" i="11"/>
  <c r="L2151" i="11"/>
  <c r="L2152" i="11"/>
  <c r="L2153" i="11"/>
  <c r="L2154" i="11"/>
  <c r="L2155" i="11"/>
  <c r="L2156" i="11"/>
  <c r="L2157" i="11"/>
  <c r="L2158" i="11"/>
  <c r="L2159" i="11"/>
  <c r="L2160" i="11"/>
  <c r="L2161" i="11"/>
  <c r="L2162" i="11"/>
  <c r="L2163" i="11"/>
  <c r="L2164" i="11"/>
  <c r="L2165" i="11"/>
  <c r="L2166" i="11"/>
  <c r="L2167" i="11"/>
  <c r="L2168" i="11"/>
  <c r="L2169" i="11"/>
  <c r="L2170" i="11"/>
  <c r="L2171" i="11"/>
  <c r="L2172" i="11"/>
  <c r="L2173" i="11"/>
  <c r="L2174" i="11"/>
  <c r="L2175" i="11"/>
  <c r="L2176" i="11"/>
  <c r="L2177" i="11"/>
  <c r="L2178" i="11"/>
  <c r="L2179" i="11"/>
  <c r="L2180" i="11"/>
  <c r="L2181" i="11"/>
  <c r="L2182" i="11"/>
  <c r="L2183" i="11"/>
  <c r="L2184" i="11"/>
  <c r="L2185" i="11"/>
  <c r="L2186" i="11"/>
  <c r="L2187" i="11"/>
  <c r="L2188" i="11"/>
  <c r="L2189" i="11"/>
  <c r="L2190" i="11"/>
  <c r="L2191" i="11"/>
  <c r="L2192" i="11"/>
  <c r="L2193" i="11"/>
  <c r="L2194" i="11"/>
  <c r="L2195" i="11"/>
  <c r="L2196" i="11"/>
  <c r="L2197" i="11"/>
  <c r="L2198" i="11"/>
  <c r="L2199" i="11"/>
  <c r="L2200" i="11"/>
  <c r="L2201" i="11"/>
  <c r="L2202" i="11"/>
  <c r="L2203" i="11"/>
  <c r="L2204" i="11"/>
  <c r="L2205" i="11"/>
  <c r="L2206" i="11"/>
  <c r="L2207" i="11"/>
  <c r="L2208" i="11"/>
  <c r="L2209" i="11"/>
  <c r="L2210" i="11"/>
  <c r="L2211" i="11"/>
  <c r="L2212" i="11"/>
  <c r="L2213" i="11"/>
  <c r="L2214" i="11"/>
  <c r="L2215" i="11"/>
  <c r="L2216" i="11"/>
  <c r="L2217" i="11"/>
  <c r="L2218" i="11"/>
  <c r="L2219" i="11"/>
  <c r="L2220" i="11"/>
  <c r="L2221" i="11"/>
  <c r="L2222" i="11"/>
  <c r="L2223" i="11"/>
  <c r="L2224" i="11"/>
  <c r="L2225" i="11"/>
  <c r="L2226" i="11"/>
  <c r="L2227" i="11"/>
  <c r="L2228" i="11"/>
  <c r="L2229" i="11"/>
  <c r="L2230" i="11"/>
  <c r="L2231" i="11"/>
  <c r="L2232" i="11"/>
  <c r="L2233" i="11"/>
  <c r="L2234" i="11"/>
  <c r="L2235" i="11"/>
  <c r="L2236" i="11"/>
  <c r="L2237" i="11"/>
  <c r="L2238" i="11"/>
  <c r="L2239" i="11"/>
  <c r="L2240" i="11"/>
  <c r="L2241" i="11"/>
  <c r="L2242" i="11"/>
  <c r="L2243" i="11"/>
  <c r="L2244" i="11"/>
  <c r="L2245" i="11"/>
  <c r="L2246" i="11"/>
  <c r="L2247" i="11"/>
  <c r="L2248" i="11"/>
  <c r="L2249" i="11"/>
  <c r="L2250" i="11"/>
  <c r="L2251" i="11"/>
  <c r="L2252" i="11"/>
  <c r="L2253" i="11"/>
  <c r="L2254" i="11"/>
  <c r="L2255" i="11"/>
  <c r="L2256" i="11"/>
  <c r="L2257" i="11"/>
  <c r="L2258" i="11"/>
  <c r="L2259" i="11"/>
  <c r="L2260" i="11"/>
  <c r="L2261" i="11"/>
  <c r="L2262" i="11"/>
  <c r="L2263" i="11"/>
  <c r="L2264" i="11"/>
  <c r="L2265" i="11"/>
  <c r="L2266" i="11"/>
  <c r="L2267" i="11"/>
  <c r="L2268" i="11"/>
  <c r="L2269" i="11"/>
  <c r="L2270" i="11"/>
  <c r="L2271" i="11"/>
  <c r="L2272" i="11"/>
  <c r="L2273" i="11"/>
  <c r="L2274" i="11"/>
  <c r="L2275" i="11"/>
  <c r="L2276" i="11"/>
  <c r="L2277" i="11"/>
  <c r="L2278" i="11"/>
  <c r="L2279" i="11"/>
  <c r="L2280" i="11"/>
  <c r="L2281" i="11"/>
  <c r="L2282" i="11"/>
  <c r="L2283" i="11"/>
  <c r="L2284" i="11"/>
  <c r="L2285" i="11"/>
  <c r="L2286" i="11"/>
  <c r="L2287" i="11"/>
  <c r="L2288" i="11"/>
  <c r="L2289" i="11"/>
  <c r="L2290" i="11"/>
  <c r="L2291" i="11"/>
  <c r="L2292" i="11"/>
  <c r="L2293" i="11"/>
  <c r="L2294" i="11"/>
  <c r="L2295" i="11"/>
  <c r="L2296" i="11"/>
  <c r="L2297" i="11"/>
  <c r="L2298" i="11"/>
  <c r="L2299" i="11"/>
  <c r="L2300" i="11"/>
  <c r="L2301" i="11"/>
  <c r="L2302" i="11"/>
  <c r="L2303" i="11"/>
  <c r="L2304" i="11"/>
  <c r="L2305" i="11"/>
  <c r="L2306" i="11"/>
  <c r="L2307" i="11"/>
  <c r="L2308" i="11"/>
  <c r="L2309" i="11"/>
  <c r="L2310" i="11"/>
  <c r="L2311" i="11"/>
  <c r="L2312" i="11"/>
  <c r="L2313" i="11"/>
  <c r="L2314" i="11"/>
  <c r="L2315" i="11"/>
  <c r="L2316" i="11"/>
  <c r="L2317" i="11"/>
  <c r="L2318" i="11"/>
  <c r="L2319" i="11"/>
  <c r="L2320" i="11"/>
  <c r="L2321" i="11"/>
  <c r="L2322" i="11"/>
  <c r="L2323" i="11"/>
  <c r="L2324" i="11"/>
  <c r="L2325" i="11"/>
  <c r="L2326" i="11"/>
  <c r="L2327" i="11"/>
  <c r="L2328" i="11"/>
  <c r="L2329" i="11"/>
  <c r="L2330" i="11"/>
  <c r="L2331" i="11"/>
  <c r="L2332" i="11"/>
  <c r="L2333" i="11"/>
  <c r="L2334" i="11"/>
  <c r="L2335" i="11"/>
  <c r="L2336" i="11"/>
  <c r="L2337" i="11"/>
  <c r="L2338" i="11"/>
  <c r="L2339" i="11"/>
  <c r="L2340" i="11"/>
  <c r="L2341" i="11"/>
  <c r="L2342" i="11"/>
  <c r="L2343" i="11"/>
  <c r="L2344" i="11"/>
  <c r="L2345" i="11"/>
  <c r="L2346" i="11"/>
  <c r="L2347" i="11"/>
  <c r="L2348" i="11"/>
  <c r="L2349" i="11"/>
  <c r="L2350" i="11"/>
  <c r="L2351" i="11"/>
  <c r="L2352" i="11"/>
  <c r="L2353" i="11"/>
  <c r="L2354" i="11"/>
  <c r="L2355" i="11"/>
  <c r="L2356" i="11"/>
  <c r="L2357" i="11"/>
  <c r="L2358" i="11"/>
  <c r="L2359" i="11"/>
  <c r="L2360" i="11"/>
  <c r="L2361" i="11"/>
  <c r="L2362" i="11"/>
  <c r="L2363" i="11"/>
  <c r="L2364" i="11"/>
  <c r="L2365" i="11"/>
  <c r="L2366" i="11"/>
  <c r="L2367" i="11"/>
  <c r="L2368" i="11"/>
  <c r="L2369" i="11"/>
  <c r="L2370" i="11"/>
  <c r="L2371" i="11"/>
  <c r="L2372" i="11"/>
  <c r="L2373" i="11"/>
  <c r="L2374" i="11"/>
  <c r="L2375" i="11"/>
  <c r="L2376" i="11"/>
  <c r="L2377" i="11"/>
  <c r="L2378" i="11"/>
  <c r="L2379" i="11"/>
  <c r="L2380" i="11"/>
  <c r="L2381" i="11"/>
  <c r="L2382" i="11"/>
  <c r="L2383" i="11"/>
  <c r="L2384" i="11"/>
  <c r="L2385" i="11"/>
  <c r="L2386" i="11"/>
  <c r="L2387" i="11"/>
  <c r="L2388" i="11"/>
  <c r="L2389" i="11"/>
  <c r="L2390" i="11"/>
  <c r="L2391" i="11"/>
  <c r="L2392" i="11"/>
  <c r="L2393" i="11"/>
  <c r="L2394" i="11"/>
  <c r="L2395" i="11"/>
  <c r="L2396" i="11"/>
  <c r="L2397" i="11"/>
  <c r="L2398" i="11"/>
  <c r="L2399" i="11"/>
  <c r="L2400" i="11"/>
  <c r="L2401" i="11"/>
  <c r="L2402" i="11"/>
  <c r="L2403" i="11"/>
  <c r="L2404" i="11"/>
  <c r="L2405" i="11"/>
  <c r="L2406" i="11"/>
  <c r="L2407" i="11"/>
  <c r="L2408" i="11"/>
  <c r="L2409" i="11"/>
  <c r="L2410" i="11"/>
  <c r="L2411" i="11"/>
  <c r="L2412" i="11"/>
  <c r="L2413" i="11"/>
  <c r="L2414" i="11"/>
  <c r="L2415" i="11"/>
  <c r="L2416" i="11"/>
  <c r="L2417" i="11"/>
  <c r="L2418" i="11"/>
  <c r="L2419" i="11"/>
  <c r="L2420" i="11"/>
  <c r="L2421" i="11"/>
  <c r="L2422" i="11"/>
  <c r="L2423" i="11"/>
  <c r="L2424" i="11"/>
  <c r="L2425" i="11"/>
  <c r="L2426" i="11"/>
  <c r="L2427" i="11"/>
  <c r="L2428" i="11"/>
  <c r="L2429" i="11"/>
  <c r="L2430" i="11"/>
  <c r="L2431" i="11"/>
  <c r="L2432" i="11"/>
  <c r="L2433" i="11"/>
  <c r="L2434" i="11"/>
  <c r="L2435" i="11"/>
  <c r="L2436" i="11"/>
  <c r="L2437" i="11"/>
  <c r="L2438" i="11"/>
  <c r="L2439" i="11"/>
  <c r="L2440" i="11"/>
  <c r="L2441" i="11"/>
  <c r="L2442" i="11"/>
  <c r="L2443" i="11"/>
  <c r="L2444" i="11"/>
  <c r="L2445" i="11"/>
  <c r="L2446" i="11"/>
  <c r="L2447" i="11"/>
  <c r="L2448" i="11"/>
  <c r="L2449" i="11"/>
  <c r="L2450" i="11"/>
  <c r="L2451" i="11"/>
  <c r="L2452" i="11"/>
  <c r="L2453" i="11"/>
  <c r="L2454" i="11"/>
  <c r="L2455" i="11"/>
  <c r="L2456" i="11"/>
  <c r="L2457" i="11"/>
  <c r="L2458" i="11"/>
  <c r="L2459" i="11"/>
  <c r="L2460" i="11"/>
  <c r="L2461" i="11"/>
  <c r="L2462" i="11"/>
  <c r="L2463" i="11"/>
  <c r="L2464" i="11"/>
  <c r="L2465" i="11"/>
  <c r="L2466" i="11"/>
  <c r="L2467" i="11"/>
  <c r="L2468" i="11"/>
  <c r="L2469" i="11"/>
  <c r="L2470" i="11"/>
  <c r="L2471" i="11"/>
  <c r="L2472" i="11"/>
  <c r="L2473" i="11"/>
  <c r="L2474" i="11"/>
  <c r="L2475" i="11"/>
  <c r="L2476" i="11"/>
  <c r="L2477" i="11"/>
  <c r="L2478" i="11"/>
  <c r="L2479" i="11"/>
  <c r="L2480" i="11"/>
  <c r="L2481" i="11"/>
  <c r="L2482" i="11"/>
  <c r="L2483" i="11"/>
  <c r="L2484" i="11"/>
  <c r="L2485" i="11"/>
  <c r="L2486" i="11"/>
  <c r="L2487" i="11"/>
  <c r="L2488" i="11"/>
  <c r="L2489" i="11"/>
  <c r="L2490" i="11"/>
  <c r="L2491" i="11"/>
  <c r="L2492" i="11"/>
  <c r="L2493" i="11"/>
  <c r="L2494" i="11"/>
  <c r="L2495" i="11"/>
  <c r="L2496" i="11"/>
  <c r="L2497" i="11"/>
  <c r="L2498" i="11"/>
  <c r="L2499" i="11"/>
  <c r="L2500" i="11"/>
  <c r="L2501" i="11"/>
  <c r="L2502" i="11"/>
  <c r="L2503" i="11"/>
  <c r="L2504" i="11"/>
  <c r="L2505" i="11"/>
  <c r="L2506" i="11"/>
  <c r="L2507" i="11"/>
  <c r="L2508" i="11"/>
  <c r="L2509" i="11"/>
  <c r="L2510" i="11"/>
  <c r="L2511" i="11"/>
  <c r="L2512" i="11"/>
  <c r="L2513" i="11"/>
  <c r="L2514" i="11"/>
  <c r="L2515" i="11"/>
  <c r="L2516" i="11"/>
  <c r="L2517" i="11"/>
  <c r="L2518" i="11"/>
  <c r="L2519" i="11"/>
  <c r="L2520" i="11"/>
  <c r="L2521" i="11"/>
  <c r="L2522" i="11"/>
  <c r="L2523" i="11"/>
  <c r="L2524" i="11"/>
  <c r="L2525" i="11"/>
  <c r="L2526" i="11"/>
  <c r="L2527" i="11"/>
  <c r="L2528" i="11"/>
  <c r="L2529" i="11"/>
  <c r="L2530" i="11"/>
  <c r="L2531" i="11"/>
  <c r="L2532" i="11"/>
  <c r="L2533" i="11"/>
  <c r="L2534" i="11"/>
  <c r="L2535" i="11"/>
  <c r="L2536" i="11"/>
  <c r="L2537" i="11"/>
  <c r="L2538" i="11"/>
  <c r="L2539" i="11"/>
  <c r="L2540" i="11"/>
  <c r="L2541" i="11"/>
  <c r="L2542" i="11"/>
  <c r="L2543" i="11"/>
  <c r="L2544" i="11"/>
  <c r="L2545" i="11"/>
  <c r="L2546" i="11"/>
  <c r="L2547" i="11"/>
  <c r="L2548" i="11"/>
  <c r="L2549" i="11"/>
  <c r="L2550" i="11"/>
  <c r="L2551" i="11"/>
  <c r="L2552" i="11"/>
  <c r="L2553" i="11"/>
  <c r="L2554" i="11"/>
  <c r="L2555" i="11"/>
  <c r="L2556" i="11"/>
  <c r="L2557" i="11"/>
  <c r="L2558" i="11"/>
  <c r="L2559" i="11"/>
  <c r="L2560" i="11"/>
  <c r="L2561" i="11"/>
  <c r="L2562" i="11"/>
  <c r="L2563" i="11"/>
  <c r="L2564" i="11"/>
  <c r="L2565" i="11"/>
  <c r="L2566" i="11"/>
  <c r="L2567" i="11"/>
  <c r="L2568" i="11"/>
  <c r="L2569" i="11"/>
  <c r="L2570" i="11"/>
  <c r="L2571" i="11"/>
  <c r="L2572" i="11"/>
  <c r="L2573" i="11"/>
  <c r="L2574" i="11"/>
  <c r="L2575" i="11"/>
  <c r="L2576" i="11"/>
  <c r="L2577" i="11"/>
  <c r="L2578" i="11"/>
  <c r="L2579" i="11"/>
  <c r="L2580" i="11"/>
  <c r="L2581" i="11"/>
  <c r="L2582" i="11"/>
  <c r="L2583" i="11"/>
  <c r="L2584" i="11"/>
  <c r="L2585" i="11"/>
  <c r="L2586" i="11"/>
  <c r="L2587" i="11"/>
  <c r="L2588" i="11"/>
  <c r="L2589" i="11"/>
  <c r="L2590" i="11"/>
  <c r="L2591" i="11"/>
  <c r="L2592" i="11"/>
  <c r="L2593" i="11"/>
  <c r="L2594" i="11"/>
  <c r="L2595" i="11"/>
  <c r="L2596" i="11"/>
  <c r="L2597" i="11"/>
  <c r="L2598" i="11"/>
  <c r="L2599" i="11"/>
  <c r="L2600" i="11"/>
  <c r="L2601" i="11"/>
  <c r="L2602" i="11"/>
  <c r="L2603" i="11"/>
  <c r="L2604" i="11"/>
  <c r="L2605" i="11"/>
  <c r="L2606" i="11"/>
  <c r="L2607" i="11"/>
  <c r="L2608" i="11"/>
  <c r="L2609" i="11"/>
  <c r="L2610" i="11"/>
  <c r="L2611" i="11"/>
  <c r="L2612" i="11"/>
  <c r="L2613" i="11"/>
  <c r="L2614" i="11"/>
  <c r="L2615" i="11"/>
  <c r="L2616" i="11"/>
  <c r="L2617" i="11"/>
  <c r="L2618" i="11"/>
  <c r="L2619" i="11"/>
  <c r="L2620" i="11"/>
  <c r="L2621" i="11"/>
  <c r="L2622" i="11"/>
  <c r="L2623" i="11"/>
  <c r="L2624" i="11"/>
  <c r="L2625" i="11"/>
  <c r="L2626" i="11"/>
  <c r="L2627" i="11"/>
  <c r="L2628" i="11"/>
  <c r="L2629" i="11"/>
  <c r="L2630" i="11"/>
  <c r="L2631" i="11"/>
  <c r="L2632" i="11"/>
  <c r="L2633" i="11"/>
  <c r="L2634" i="11"/>
  <c r="L2635" i="11"/>
  <c r="L2636" i="11"/>
  <c r="L2637" i="11"/>
  <c r="L2638" i="11"/>
  <c r="L2639" i="11"/>
  <c r="L2640" i="11"/>
  <c r="L2641" i="11"/>
  <c r="L2642" i="11"/>
  <c r="L2643" i="11"/>
  <c r="L2644" i="11"/>
  <c r="L2645" i="11"/>
  <c r="L2646" i="11"/>
  <c r="L2647" i="11"/>
  <c r="L2648" i="11"/>
  <c r="L2649" i="11"/>
  <c r="L2650" i="11"/>
  <c r="L2651" i="11"/>
  <c r="L2652" i="11"/>
  <c r="L2653" i="11"/>
  <c r="L2654" i="11"/>
  <c r="L2655" i="11"/>
  <c r="L2656" i="11"/>
  <c r="L2657" i="11"/>
  <c r="L2658" i="11"/>
  <c r="L2659" i="11"/>
  <c r="L2660" i="11"/>
  <c r="L2661" i="11"/>
  <c r="L2662" i="11"/>
  <c r="L2663" i="11"/>
  <c r="L2664" i="11"/>
  <c r="L2665" i="11"/>
  <c r="L2666" i="11"/>
  <c r="L2667" i="11"/>
  <c r="L2668" i="11"/>
  <c r="L2669" i="11"/>
  <c r="L2670" i="11"/>
  <c r="L2671" i="11"/>
  <c r="L2672" i="11"/>
  <c r="L2673" i="11"/>
  <c r="L2674" i="11"/>
  <c r="L2675" i="11"/>
  <c r="L2676" i="11"/>
  <c r="L2677" i="11"/>
  <c r="L2678" i="11"/>
  <c r="L2679" i="11"/>
  <c r="L2680" i="11"/>
  <c r="L2681" i="11"/>
  <c r="L2682" i="11"/>
  <c r="L2683" i="11"/>
  <c r="L2684" i="11"/>
  <c r="L2685" i="11"/>
  <c r="L2686" i="11"/>
  <c r="L2687" i="11"/>
  <c r="L2688" i="11"/>
  <c r="L2689" i="11"/>
  <c r="L2690" i="11"/>
  <c r="L2691" i="11"/>
  <c r="L2692" i="11"/>
  <c r="L2693" i="11"/>
  <c r="L2694" i="11"/>
  <c r="L2695" i="11"/>
  <c r="L2696" i="11"/>
  <c r="L2697" i="11"/>
  <c r="L2698" i="11"/>
  <c r="L2699" i="11"/>
  <c r="L2700" i="11"/>
  <c r="L2701" i="11"/>
  <c r="L2702" i="11"/>
  <c r="L2703" i="11"/>
  <c r="L2704" i="11"/>
  <c r="L2705" i="11"/>
  <c r="L2706" i="11"/>
  <c r="L2707" i="11"/>
  <c r="L2708" i="11"/>
  <c r="L2709" i="11"/>
  <c r="L2710" i="11"/>
  <c r="L2711" i="11"/>
  <c r="L2712" i="11"/>
  <c r="L2713" i="11"/>
  <c r="L2714" i="11"/>
  <c r="L2715" i="11"/>
  <c r="L2716" i="11"/>
  <c r="L2717" i="11"/>
  <c r="L2718" i="11"/>
  <c r="L2719" i="11"/>
  <c r="L2720" i="11"/>
  <c r="L2721" i="11"/>
  <c r="L2722" i="11"/>
  <c r="L2723" i="11"/>
  <c r="L2724" i="11"/>
  <c r="L2725" i="11"/>
  <c r="L2726" i="11"/>
  <c r="L2727" i="11"/>
  <c r="L2728" i="11"/>
  <c r="L2729" i="11"/>
  <c r="L2730" i="11"/>
  <c r="L2731" i="11"/>
  <c r="L2732" i="11"/>
  <c r="L2733" i="11"/>
  <c r="L2734" i="11"/>
  <c r="L2735" i="11"/>
  <c r="L2736" i="11"/>
  <c r="L2737" i="11"/>
  <c r="L2738" i="11"/>
  <c r="L2739" i="11"/>
  <c r="L2740" i="11"/>
  <c r="L2741" i="11"/>
  <c r="L2742" i="11"/>
  <c r="L2743" i="11"/>
  <c r="L2744" i="11"/>
  <c r="L2745" i="11"/>
  <c r="L2746" i="11"/>
  <c r="L2747" i="11"/>
  <c r="L2748" i="11"/>
  <c r="L2749" i="11"/>
  <c r="L2750" i="11"/>
  <c r="L2751" i="11"/>
  <c r="L2752" i="11"/>
  <c r="L2753" i="11"/>
  <c r="L2754" i="11"/>
  <c r="L2755" i="11"/>
  <c r="L2756" i="11"/>
  <c r="L2757" i="11"/>
  <c r="L2758" i="11"/>
  <c r="L2759" i="11"/>
  <c r="L2760" i="11"/>
  <c r="L2761" i="11"/>
  <c r="L2762" i="11"/>
  <c r="L2763" i="11"/>
  <c r="L2764" i="11"/>
  <c r="L2765" i="11"/>
  <c r="L2766" i="11"/>
  <c r="L2767" i="11"/>
  <c r="L2768" i="11"/>
  <c r="L2769" i="11"/>
  <c r="L2770" i="11"/>
  <c r="L2771" i="11"/>
  <c r="L2772" i="11"/>
  <c r="L2773" i="11"/>
  <c r="L2774" i="11"/>
  <c r="L2775" i="11"/>
  <c r="L2776" i="11"/>
  <c r="L2777" i="11"/>
  <c r="L2778" i="11"/>
  <c r="L2779" i="11"/>
  <c r="L2780" i="11"/>
  <c r="L2781" i="11"/>
  <c r="L2782" i="11"/>
  <c r="L2783" i="11"/>
  <c r="L2784" i="11"/>
  <c r="L2785" i="11"/>
  <c r="L2786" i="11"/>
  <c r="L2787" i="11"/>
  <c r="L2788" i="11"/>
  <c r="L2789" i="11"/>
  <c r="L2790" i="11"/>
  <c r="L2791" i="11"/>
  <c r="L2792" i="11"/>
  <c r="L2793" i="11"/>
  <c r="L2794" i="11"/>
  <c r="L2795" i="11"/>
  <c r="L2796" i="11"/>
  <c r="L2797" i="11"/>
  <c r="L2798" i="11"/>
  <c r="L2799" i="11"/>
  <c r="L2800" i="11"/>
  <c r="L2801" i="11"/>
  <c r="L2802" i="11"/>
  <c r="L2803" i="11"/>
  <c r="L2804" i="11"/>
  <c r="L2805" i="11"/>
  <c r="L2806" i="11"/>
  <c r="L2807" i="11"/>
  <c r="L2808" i="11"/>
  <c r="L2809" i="11"/>
  <c r="L2810" i="11"/>
  <c r="L2811" i="11"/>
  <c r="L2812" i="11"/>
  <c r="L2813" i="11"/>
  <c r="L2814" i="11"/>
  <c r="L2815" i="11"/>
  <c r="L2816" i="11"/>
  <c r="L2817" i="11"/>
  <c r="L2818" i="11"/>
  <c r="L2819" i="11"/>
  <c r="L2820" i="11"/>
  <c r="L2821" i="11"/>
  <c r="L2822" i="11"/>
  <c r="L2823" i="11"/>
  <c r="L2824" i="11"/>
  <c r="L2825" i="11"/>
  <c r="L2826" i="11"/>
  <c r="L2827" i="11"/>
  <c r="L2828" i="11"/>
  <c r="L2829" i="11"/>
  <c r="L2830" i="11"/>
  <c r="L2831" i="11"/>
  <c r="L2832" i="11"/>
  <c r="L2833" i="11"/>
  <c r="L2834" i="11"/>
  <c r="L2835" i="11"/>
  <c r="L2836" i="11"/>
  <c r="L2837" i="11"/>
  <c r="L2838" i="11"/>
  <c r="L2839" i="11"/>
  <c r="L2840" i="11"/>
  <c r="L2841" i="11"/>
  <c r="L2842" i="11"/>
  <c r="L2843" i="11"/>
  <c r="L2844" i="11"/>
  <c r="L2845" i="11"/>
  <c r="L2846" i="11"/>
  <c r="L2847" i="11"/>
  <c r="L2848" i="11"/>
  <c r="L2849" i="11"/>
  <c r="L2850" i="11"/>
  <c r="L2851" i="11"/>
  <c r="L2852" i="11"/>
  <c r="L2853" i="11"/>
  <c r="L2854" i="11"/>
  <c r="L2855" i="11"/>
  <c r="L2856" i="11"/>
  <c r="L2857" i="11"/>
  <c r="L2858" i="11"/>
  <c r="L2859" i="11"/>
  <c r="L2860" i="11"/>
  <c r="L2861" i="11"/>
  <c r="L2862" i="11"/>
  <c r="L2863" i="11"/>
  <c r="L2864" i="11"/>
  <c r="L2865" i="11"/>
  <c r="L2866" i="11"/>
  <c r="L2867" i="11"/>
  <c r="L2868" i="11"/>
  <c r="L2869" i="11"/>
  <c r="L2870" i="11"/>
  <c r="L2871" i="11"/>
  <c r="L2872" i="11"/>
  <c r="L2873" i="11"/>
  <c r="L2874" i="11"/>
  <c r="L2875" i="11"/>
  <c r="L2876" i="11"/>
  <c r="L2877" i="11"/>
  <c r="L2878" i="11"/>
  <c r="L2879" i="11"/>
  <c r="L2880" i="11"/>
  <c r="L2881" i="11"/>
  <c r="L2882" i="11"/>
  <c r="L2883" i="11"/>
  <c r="L2884" i="11"/>
  <c r="L2885" i="11"/>
  <c r="L2886" i="11"/>
  <c r="L2887" i="11"/>
  <c r="L2888" i="11"/>
  <c r="L2889" i="11"/>
  <c r="L2890" i="11"/>
  <c r="L2891" i="11"/>
  <c r="L2892" i="11"/>
  <c r="L2893" i="11"/>
  <c r="L2894" i="11"/>
  <c r="L2895" i="11"/>
  <c r="L2896" i="11"/>
  <c r="L2897" i="11"/>
  <c r="L2898" i="11"/>
  <c r="L2899" i="11"/>
  <c r="L2900" i="11"/>
  <c r="L2901" i="11"/>
  <c r="L2902" i="11"/>
  <c r="L2903" i="11"/>
  <c r="L2904" i="11"/>
  <c r="L2905" i="11"/>
  <c r="L2906" i="11"/>
  <c r="L2907" i="11"/>
  <c r="L2908" i="11"/>
  <c r="L2909" i="11"/>
  <c r="L2910" i="11"/>
  <c r="L2911" i="11"/>
  <c r="L2912" i="11"/>
  <c r="L2913" i="11"/>
  <c r="L2914" i="11"/>
  <c r="L2915" i="11"/>
  <c r="L2916" i="11"/>
  <c r="L2917" i="11"/>
  <c r="L2918" i="11"/>
  <c r="L2919" i="11"/>
  <c r="L2920" i="11"/>
  <c r="L2921" i="11"/>
  <c r="L2922" i="11"/>
  <c r="L2923" i="11"/>
  <c r="L2924" i="11"/>
  <c r="L2925" i="11"/>
  <c r="L2926" i="11"/>
  <c r="L2927" i="11"/>
  <c r="L2928" i="11"/>
  <c r="L2929" i="11"/>
  <c r="L2930" i="11"/>
  <c r="L2931" i="11"/>
  <c r="L2932" i="11"/>
  <c r="L2933" i="11"/>
  <c r="L2934" i="11"/>
  <c r="L2935" i="11"/>
  <c r="L2936" i="11"/>
  <c r="L2937" i="11"/>
  <c r="L2938" i="11"/>
  <c r="L2939" i="11"/>
  <c r="L2940" i="11"/>
  <c r="L2941" i="11"/>
  <c r="L2942" i="11"/>
  <c r="L2943" i="11"/>
  <c r="L2944" i="11"/>
  <c r="L2945" i="11"/>
  <c r="L2946" i="11"/>
  <c r="L2947" i="11"/>
  <c r="L2948" i="11"/>
  <c r="L2949" i="11"/>
  <c r="L2950" i="11"/>
  <c r="L2951" i="11"/>
  <c r="L2952" i="11"/>
  <c r="L2953" i="11"/>
  <c r="L2954" i="11"/>
  <c r="L2955" i="11"/>
  <c r="L2956" i="11"/>
  <c r="L2957" i="11"/>
  <c r="L2958" i="11"/>
  <c r="L2959" i="11"/>
  <c r="L2960" i="11"/>
  <c r="L2961" i="11"/>
  <c r="L2962" i="11"/>
  <c r="L2963" i="11"/>
  <c r="L2964" i="11"/>
  <c r="L2965" i="11"/>
  <c r="L2966" i="11"/>
  <c r="L2967" i="11"/>
  <c r="L2968" i="11"/>
  <c r="L2969" i="11"/>
  <c r="L2970" i="11"/>
  <c r="L2971" i="11"/>
  <c r="L2972" i="11"/>
  <c r="L2973" i="11"/>
  <c r="L2974" i="11"/>
  <c r="L2975" i="11"/>
  <c r="L2976" i="11"/>
  <c r="L2977" i="11"/>
  <c r="L2978" i="11"/>
  <c r="L2979" i="11"/>
  <c r="L2980" i="11"/>
  <c r="L2981" i="11"/>
  <c r="L2982" i="11"/>
  <c r="L2983" i="11"/>
  <c r="L2984" i="11"/>
  <c r="L2985" i="11"/>
  <c r="L2986" i="11"/>
  <c r="L2987" i="11"/>
  <c r="L2988" i="11"/>
  <c r="L2989" i="11"/>
  <c r="L2990" i="11"/>
  <c r="L2991" i="11"/>
  <c r="L2992" i="11"/>
  <c r="L2993" i="11"/>
  <c r="L2994" i="11"/>
  <c r="L2995" i="11"/>
  <c r="L2996" i="11"/>
  <c r="L2997" i="11"/>
  <c r="L2998" i="11"/>
  <c r="L2999" i="11"/>
  <c r="L3000" i="11"/>
  <c r="L3001" i="11"/>
  <c r="L3002" i="11"/>
  <c r="L3003" i="11"/>
  <c r="L3004" i="11"/>
  <c r="L3005" i="11"/>
  <c r="L3006" i="11"/>
  <c r="L3007" i="11"/>
  <c r="L3008" i="11"/>
  <c r="L3009" i="11"/>
  <c r="L3010" i="11"/>
  <c r="L3011" i="11"/>
  <c r="L3012" i="11"/>
  <c r="L3013" i="11"/>
  <c r="L3014" i="11"/>
  <c r="L3015" i="11"/>
  <c r="L3016" i="11"/>
  <c r="L3017" i="11"/>
  <c r="L3018" i="11"/>
  <c r="L3019" i="11"/>
  <c r="L3020" i="11"/>
  <c r="L3021" i="11"/>
  <c r="L3022" i="11"/>
  <c r="L3023" i="11"/>
  <c r="L3024" i="11"/>
  <c r="L3025" i="11"/>
  <c r="L3026" i="11"/>
  <c r="L3027" i="11"/>
  <c r="L3028" i="11"/>
  <c r="L3029" i="11"/>
  <c r="L3030" i="11"/>
  <c r="L3031" i="11"/>
  <c r="L3032" i="11"/>
  <c r="L3033" i="11"/>
  <c r="L3034" i="11"/>
  <c r="L3035" i="11"/>
  <c r="L3036" i="11"/>
  <c r="L3037" i="11"/>
  <c r="L3038" i="11"/>
  <c r="L3039" i="11"/>
  <c r="L3040" i="11"/>
  <c r="L3041" i="11"/>
  <c r="L3042" i="11"/>
  <c r="L3043" i="11"/>
  <c r="L3044" i="11"/>
  <c r="L3045" i="11"/>
  <c r="L3046" i="11"/>
  <c r="L3047" i="11"/>
  <c r="L3048" i="11"/>
  <c r="L3049" i="11"/>
  <c r="L3050" i="11"/>
  <c r="L3051" i="11"/>
  <c r="L3052" i="11"/>
  <c r="L3053" i="11"/>
  <c r="L3054" i="11"/>
  <c r="L3055" i="11"/>
  <c r="L3056" i="11"/>
  <c r="L3057" i="11"/>
  <c r="L3058" i="11"/>
  <c r="L3059" i="11"/>
  <c r="L3060" i="11"/>
  <c r="L3061" i="11"/>
  <c r="L3062" i="11"/>
  <c r="L3063" i="11"/>
  <c r="L3064" i="11"/>
  <c r="L3065" i="11"/>
  <c r="L3066" i="11"/>
  <c r="L3067" i="11"/>
  <c r="L3068" i="11"/>
  <c r="L3069" i="11"/>
  <c r="L3070" i="11"/>
  <c r="L3071" i="11"/>
  <c r="L3072" i="11"/>
  <c r="L3073" i="11"/>
  <c r="L3074" i="11"/>
  <c r="L3075" i="11"/>
  <c r="L3076" i="11"/>
  <c r="L3077" i="11"/>
  <c r="L3078" i="11"/>
  <c r="L3079" i="11"/>
  <c r="L3080" i="11"/>
  <c r="L3081" i="11"/>
  <c r="L3082" i="11"/>
  <c r="L3083" i="11"/>
  <c r="L3084" i="11"/>
  <c r="L3085" i="11"/>
  <c r="L3086" i="11"/>
  <c r="L3087" i="11"/>
  <c r="L3088" i="11"/>
  <c r="L3089" i="11"/>
  <c r="L3090" i="11"/>
  <c r="L3091" i="11"/>
  <c r="L3092" i="11"/>
  <c r="L3093" i="11"/>
  <c r="L3094" i="11"/>
  <c r="L3095" i="11"/>
  <c r="L3096" i="11"/>
  <c r="L3097" i="11"/>
  <c r="L3098" i="11"/>
  <c r="L3099" i="11"/>
  <c r="L3100" i="11"/>
  <c r="L3101" i="11"/>
  <c r="L3102" i="11"/>
  <c r="L3103" i="11"/>
  <c r="L3104" i="11"/>
  <c r="L3105" i="11"/>
  <c r="L3106" i="11"/>
  <c r="L3107" i="11"/>
  <c r="L3108" i="11"/>
  <c r="L3109" i="11"/>
  <c r="L3110" i="11"/>
  <c r="L3111" i="11"/>
  <c r="L3112" i="11"/>
  <c r="L3113" i="11"/>
  <c r="L3114" i="11"/>
  <c r="L3115" i="11"/>
  <c r="L3116" i="11"/>
  <c r="L3117" i="11"/>
  <c r="L3118" i="11"/>
  <c r="L3119" i="11"/>
  <c r="L3120" i="11"/>
  <c r="L3121" i="11"/>
  <c r="L3122" i="11"/>
  <c r="L3123" i="11"/>
  <c r="L3124" i="11"/>
  <c r="L3125" i="11"/>
  <c r="L3126" i="11"/>
  <c r="L3127" i="11"/>
  <c r="L3128" i="11"/>
  <c r="L3129" i="11"/>
  <c r="L3130" i="11"/>
  <c r="L3131" i="11"/>
  <c r="L3132" i="11"/>
  <c r="L3133" i="11"/>
  <c r="L3134" i="11"/>
  <c r="L3135" i="11"/>
  <c r="L3136" i="11"/>
  <c r="L3137" i="11"/>
  <c r="L3138" i="11"/>
  <c r="L3139" i="11"/>
  <c r="L3140" i="11"/>
  <c r="L3141" i="11"/>
  <c r="L3142" i="11"/>
  <c r="L3143" i="11"/>
  <c r="L3144" i="11"/>
  <c r="L3145" i="11"/>
  <c r="L3146" i="11"/>
  <c r="L3147" i="11"/>
  <c r="L3148" i="11"/>
  <c r="L3149" i="11"/>
  <c r="L3150" i="11"/>
  <c r="L3151" i="11"/>
  <c r="L3152" i="11"/>
  <c r="L3153" i="11"/>
  <c r="L3154" i="11"/>
  <c r="L3155" i="11"/>
  <c r="L3156" i="11"/>
  <c r="L3157" i="11"/>
  <c r="L3158" i="11"/>
  <c r="L3159" i="11"/>
  <c r="L3160" i="11"/>
  <c r="L3161" i="11"/>
  <c r="L3162" i="11"/>
  <c r="L3163" i="11"/>
  <c r="L3164" i="11"/>
  <c r="L3165" i="11"/>
  <c r="L3166" i="11"/>
  <c r="L3167" i="11"/>
  <c r="L3168" i="11"/>
  <c r="L3169" i="11"/>
  <c r="L3170" i="11"/>
  <c r="L3171" i="11"/>
  <c r="L3172" i="11"/>
  <c r="L3173" i="11"/>
  <c r="L3174" i="11"/>
  <c r="L3175" i="11"/>
  <c r="L3176" i="11"/>
  <c r="L3177" i="11"/>
  <c r="L3178" i="11"/>
  <c r="L3179" i="11"/>
  <c r="L3180" i="11"/>
  <c r="L3181" i="11"/>
  <c r="L3182" i="11"/>
  <c r="L3183" i="11"/>
  <c r="L3184" i="11"/>
  <c r="L3185" i="11"/>
  <c r="L3186" i="11"/>
  <c r="L3187" i="11"/>
  <c r="L3188" i="11"/>
  <c r="L3189" i="11"/>
  <c r="L3190" i="11"/>
  <c r="L3191" i="11"/>
  <c r="L3192" i="11"/>
  <c r="L3193" i="11"/>
  <c r="L3194" i="11"/>
  <c r="L3195" i="11"/>
  <c r="L3196" i="11"/>
  <c r="L3197" i="11"/>
  <c r="L3198" i="11"/>
  <c r="L3199" i="11"/>
  <c r="L3200" i="11"/>
  <c r="L3201" i="11"/>
  <c r="L3202" i="11"/>
  <c r="L3203" i="11"/>
  <c r="L3204" i="11"/>
  <c r="L3205" i="11"/>
  <c r="L3206" i="11"/>
  <c r="L3207" i="11"/>
  <c r="L3208" i="11"/>
  <c r="L3209" i="11"/>
  <c r="L3210" i="11"/>
  <c r="L3211" i="11"/>
  <c r="L3212" i="11"/>
  <c r="L3213" i="11"/>
  <c r="L3214" i="11"/>
  <c r="L3215" i="11"/>
  <c r="L3216" i="11"/>
  <c r="L3217" i="11"/>
  <c r="L3218" i="11"/>
  <c r="L3219" i="11"/>
  <c r="L3220" i="11"/>
  <c r="L3221" i="11"/>
  <c r="L3222" i="11"/>
  <c r="L3223" i="11"/>
  <c r="L3224" i="11"/>
  <c r="L3225" i="11"/>
  <c r="L3226" i="11"/>
  <c r="L3227" i="11"/>
  <c r="L3228" i="11"/>
  <c r="L3229" i="11"/>
  <c r="L3230" i="11"/>
  <c r="L3231" i="11"/>
  <c r="L3232" i="11"/>
  <c r="L3233" i="11"/>
  <c r="L3234" i="11"/>
  <c r="L3235" i="11"/>
  <c r="L3236" i="11"/>
  <c r="L3237" i="11"/>
  <c r="L3238" i="11"/>
  <c r="L3239" i="11"/>
  <c r="L3240" i="11"/>
  <c r="L3241" i="11"/>
  <c r="L3242" i="11"/>
  <c r="L3243" i="11"/>
  <c r="L3244" i="11"/>
  <c r="L3245" i="11"/>
  <c r="L3246" i="11"/>
  <c r="L3247" i="11"/>
  <c r="L3248" i="11"/>
  <c r="L3249" i="11"/>
  <c r="L3250" i="11"/>
  <c r="L3251" i="11"/>
  <c r="L3252" i="11"/>
  <c r="L3253" i="11"/>
  <c r="L3254" i="11"/>
  <c r="L3255" i="11"/>
  <c r="L3256" i="11"/>
  <c r="L3257" i="11"/>
  <c r="L3258" i="11"/>
  <c r="L3259" i="11"/>
  <c r="L3260" i="11"/>
  <c r="L3261" i="11"/>
  <c r="L3262" i="11"/>
  <c r="L3263" i="11"/>
  <c r="L3264" i="11"/>
  <c r="L3265" i="11"/>
  <c r="L3266" i="11"/>
  <c r="L3267" i="11"/>
  <c r="L3268" i="11"/>
  <c r="L3269" i="11"/>
  <c r="L3270" i="11"/>
  <c r="L3271" i="11"/>
  <c r="L3272" i="11"/>
  <c r="L3273" i="11"/>
  <c r="L3274" i="11"/>
  <c r="L3275" i="11"/>
  <c r="L3276" i="11"/>
  <c r="L3277" i="11"/>
  <c r="L3278" i="11"/>
  <c r="L3279" i="11"/>
  <c r="L3280" i="11"/>
  <c r="L3281" i="11"/>
  <c r="L3282" i="11"/>
  <c r="L3283" i="11"/>
  <c r="L3284" i="11"/>
  <c r="L3285" i="11"/>
  <c r="L3286" i="11"/>
  <c r="L3287" i="11"/>
  <c r="L3288" i="11"/>
  <c r="L3289" i="11"/>
  <c r="L3290" i="11"/>
  <c r="L3291" i="11"/>
  <c r="L3292" i="11"/>
  <c r="L3293" i="11"/>
  <c r="L3294" i="11"/>
  <c r="L3295" i="11"/>
  <c r="L3296" i="11"/>
  <c r="L3297" i="11"/>
  <c r="L3298" i="11"/>
  <c r="L3299" i="11"/>
  <c r="L3300" i="11"/>
  <c r="L3301" i="11"/>
  <c r="L3302" i="11"/>
  <c r="L3303" i="11"/>
  <c r="L3304" i="11"/>
  <c r="L3305" i="11"/>
  <c r="L3306" i="11"/>
  <c r="L3307" i="11"/>
  <c r="L3308" i="11"/>
  <c r="L3309" i="11"/>
  <c r="L3310" i="11"/>
  <c r="L3311" i="11"/>
  <c r="L3312" i="11"/>
  <c r="L3313" i="11"/>
  <c r="L3314" i="11"/>
  <c r="L3315" i="11"/>
  <c r="L3316" i="11"/>
  <c r="L3317" i="11"/>
  <c r="L3318" i="11"/>
  <c r="L3319" i="11"/>
  <c r="L3320" i="11"/>
  <c r="L3321" i="11"/>
  <c r="L3322" i="11"/>
  <c r="L3323" i="11"/>
  <c r="L3324" i="11"/>
  <c r="L3325" i="11"/>
  <c r="L3326" i="11"/>
  <c r="L3327" i="11"/>
  <c r="L3328" i="11"/>
  <c r="L3329" i="11"/>
  <c r="L3330" i="11"/>
  <c r="L3331" i="11"/>
  <c r="L3332" i="11"/>
  <c r="L3333" i="11"/>
  <c r="L3334" i="11"/>
  <c r="L3335" i="11"/>
  <c r="L3336" i="11"/>
  <c r="L3337" i="11"/>
  <c r="L3338" i="11"/>
  <c r="L3339" i="11"/>
  <c r="L3340" i="11"/>
  <c r="L3341" i="11"/>
  <c r="L3342" i="11"/>
  <c r="L3343" i="11"/>
  <c r="L3344" i="11"/>
  <c r="L3345" i="11"/>
  <c r="L3346" i="11"/>
  <c r="L3347" i="11"/>
  <c r="L3348" i="11"/>
  <c r="L3349" i="11"/>
  <c r="L3350" i="11"/>
  <c r="L3351" i="11"/>
  <c r="L3352" i="11"/>
  <c r="L3353" i="11"/>
  <c r="L3354" i="11"/>
  <c r="L3355" i="11"/>
  <c r="L3356" i="11"/>
  <c r="L3357" i="11"/>
  <c r="L3358" i="11"/>
  <c r="L3359" i="11"/>
  <c r="L3360" i="11"/>
  <c r="L3361" i="11"/>
  <c r="L3362" i="11"/>
  <c r="L3363" i="11"/>
  <c r="L3364" i="11"/>
  <c r="L3365" i="11"/>
  <c r="L3366" i="11"/>
  <c r="L3367" i="11"/>
  <c r="L3368" i="11"/>
  <c r="L3369" i="11"/>
  <c r="L3370" i="11"/>
  <c r="L3371" i="11"/>
  <c r="L3372" i="11"/>
  <c r="L3373" i="11"/>
  <c r="L3374" i="11"/>
  <c r="L3375" i="11"/>
  <c r="L3376" i="11"/>
  <c r="L3377" i="11"/>
  <c r="L3378" i="11"/>
  <c r="L3379" i="11"/>
  <c r="L3380" i="11"/>
  <c r="L3381" i="11"/>
  <c r="L3382" i="11"/>
  <c r="L3383" i="11"/>
  <c r="L3384" i="11"/>
  <c r="L3385" i="11"/>
  <c r="L3386" i="11"/>
  <c r="L3387" i="11"/>
  <c r="L3388" i="11"/>
  <c r="L3389" i="11"/>
  <c r="L3390" i="11"/>
  <c r="L3391" i="11"/>
  <c r="L3392" i="11"/>
  <c r="L3393" i="11"/>
  <c r="L3394" i="11"/>
  <c r="L3395" i="11"/>
  <c r="L3396" i="11"/>
  <c r="L3397" i="11"/>
  <c r="L3398" i="11"/>
  <c r="L3399" i="11"/>
  <c r="L3400" i="11"/>
  <c r="L3401" i="11"/>
  <c r="L3402" i="11"/>
  <c r="L3403" i="11"/>
  <c r="L3404" i="11"/>
  <c r="L3405" i="11"/>
  <c r="L3406" i="11"/>
  <c r="L3407" i="11"/>
  <c r="L3408" i="11"/>
  <c r="L3409" i="11"/>
  <c r="L3410" i="11"/>
  <c r="L3411" i="11"/>
  <c r="L3412" i="11"/>
  <c r="L3413" i="11"/>
  <c r="L3414" i="11"/>
  <c r="L3415" i="11"/>
  <c r="L3416" i="11"/>
  <c r="L3417" i="11"/>
  <c r="L3418" i="11"/>
  <c r="L3419" i="11"/>
  <c r="L3420" i="11"/>
  <c r="L3421" i="11"/>
  <c r="L3422" i="11"/>
  <c r="L3423" i="11"/>
  <c r="L3424" i="11"/>
  <c r="L3425" i="11"/>
  <c r="L3426" i="11"/>
  <c r="L3427" i="11"/>
  <c r="L3428" i="11"/>
  <c r="L3429" i="11"/>
  <c r="L3430" i="11"/>
  <c r="L3431" i="11"/>
  <c r="L3432" i="11"/>
  <c r="L3433" i="11"/>
  <c r="L3434" i="11"/>
  <c r="L3435" i="11"/>
  <c r="L3436" i="11"/>
  <c r="L3437" i="11"/>
  <c r="L3438" i="11"/>
  <c r="L3439" i="11"/>
  <c r="L3440" i="11"/>
  <c r="L3441" i="11"/>
  <c r="L3442" i="11"/>
  <c r="L3443" i="11"/>
  <c r="L3444" i="11"/>
  <c r="L3445" i="11"/>
  <c r="L3446" i="11"/>
  <c r="L3447" i="11"/>
  <c r="L3448" i="11"/>
  <c r="L3449" i="11"/>
  <c r="L3450" i="11"/>
  <c r="L3451" i="11"/>
  <c r="L3452" i="11"/>
  <c r="L3453" i="11"/>
  <c r="L3454" i="11"/>
  <c r="L3455" i="11"/>
  <c r="L3456" i="11"/>
  <c r="L3457" i="11"/>
  <c r="L3458" i="11"/>
  <c r="L3459" i="11"/>
  <c r="L3460" i="11"/>
  <c r="L3461" i="11"/>
  <c r="L3462" i="11"/>
  <c r="L3463" i="11"/>
  <c r="L3464" i="11"/>
  <c r="L3465" i="11"/>
  <c r="L3466" i="11"/>
  <c r="L3467" i="11"/>
  <c r="L3468" i="11"/>
  <c r="L3469" i="11"/>
  <c r="L3470" i="11"/>
  <c r="L3471" i="11"/>
  <c r="L3472" i="11"/>
  <c r="L3473" i="11"/>
  <c r="L3474" i="11"/>
  <c r="L3475" i="11"/>
  <c r="L3476" i="11"/>
  <c r="L3477" i="11"/>
  <c r="L3478" i="11"/>
  <c r="L3479" i="11"/>
  <c r="L3480" i="11"/>
  <c r="L3481" i="11"/>
  <c r="L3482" i="11"/>
  <c r="L3483" i="11"/>
  <c r="L3484" i="11"/>
  <c r="L3485" i="11"/>
  <c r="L3486" i="11"/>
  <c r="L3487" i="11"/>
  <c r="L3488" i="11"/>
  <c r="L3489" i="11"/>
  <c r="L3490" i="11"/>
  <c r="L3491" i="11"/>
  <c r="L3492" i="11"/>
  <c r="L3493" i="11"/>
  <c r="L3494" i="11"/>
  <c r="L3495" i="11"/>
  <c r="L3496" i="11"/>
  <c r="L3497" i="11"/>
  <c r="L3498" i="11"/>
  <c r="L3499" i="11"/>
  <c r="L3500" i="11"/>
  <c r="L3501" i="11"/>
  <c r="L3502" i="11"/>
  <c r="L3503" i="11"/>
  <c r="L3504" i="11"/>
  <c r="L3505" i="11"/>
  <c r="L3506" i="11"/>
  <c r="L3507" i="11"/>
  <c r="L3508" i="11"/>
  <c r="L3509" i="11"/>
  <c r="L3510" i="11"/>
  <c r="L3511" i="11"/>
  <c r="L3512" i="11"/>
  <c r="L3513" i="11"/>
  <c r="L3514" i="11"/>
  <c r="L3515" i="11"/>
  <c r="L3516" i="11"/>
  <c r="L3517" i="11"/>
  <c r="L3518" i="11"/>
  <c r="L3519" i="11"/>
  <c r="L3520" i="11"/>
  <c r="L3521" i="11"/>
  <c r="L3522" i="11"/>
  <c r="L3523" i="11"/>
  <c r="L3524" i="11"/>
  <c r="L3525" i="11"/>
  <c r="L3526" i="11"/>
  <c r="L3527" i="11"/>
  <c r="L3528" i="11"/>
  <c r="L3529" i="11"/>
  <c r="L3530" i="11"/>
  <c r="L3531" i="11"/>
  <c r="L3532" i="11"/>
  <c r="L3533" i="11"/>
  <c r="L3534" i="11"/>
  <c r="L3535" i="11"/>
  <c r="L3536" i="11"/>
  <c r="L3537" i="11"/>
  <c r="L3538" i="11"/>
  <c r="L3539" i="11"/>
  <c r="L3540" i="11"/>
  <c r="L3541" i="11"/>
  <c r="L3542" i="11"/>
  <c r="L3543" i="11"/>
  <c r="L3544" i="11"/>
  <c r="L3545" i="11"/>
  <c r="L3546" i="11"/>
  <c r="L3547" i="11"/>
  <c r="L3548" i="11"/>
  <c r="L3549" i="11"/>
  <c r="L3550" i="11"/>
  <c r="L3551" i="11"/>
  <c r="L3552" i="11"/>
  <c r="L3553" i="11"/>
  <c r="L3554" i="11"/>
  <c r="L3555" i="11"/>
  <c r="L3556" i="11"/>
  <c r="L3557" i="11"/>
  <c r="L3558" i="11"/>
  <c r="L3559" i="11"/>
  <c r="L3560" i="11"/>
  <c r="L3561" i="11"/>
  <c r="L3562" i="11"/>
  <c r="L3563" i="11"/>
  <c r="L3564" i="11"/>
  <c r="L3565" i="11"/>
  <c r="L3566" i="11"/>
  <c r="L3567" i="11"/>
  <c r="L3568" i="11"/>
  <c r="L3569" i="11"/>
  <c r="L3570" i="11"/>
  <c r="L3571" i="11"/>
  <c r="L3572" i="11"/>
  <c r="L3573" i="11"/>
  <c r="L3574" i="11"/>
  <c r="L3575" i="11"/>
  <c r="L3576" i="11"/>
  <c r="L3577" i="11"/>
  <c r="L3578" i="11"/>
  <c r="L3579" i="11"/>
  <c r="L3580" i="11"/>
  <c r="L3581" i="11"/>
  <c r="L3582" i="11"/>
  <c r="L3583" i="11"/>
  <c r="L3584" i="11"/>
  <c r="L3585" i="11"/>
  <c r="L3586" i="11"/>
  <c r="L3587" i="11"/>
  <c r="L3588" i="11"/>
  <c r="L3589" i="11"/>
  <c r="L3590" i="11"/>
  <c r="L3591" i="11"/>
  <c r="L3592" i="11"/>
  <c r="L3593" i="11"/>
  <c r="L3594" i="11"/>
  <c r="L3595" i="11"/>
  <c r="L3596" i="11"/>
  <c r="L3597" i="11"/>
  <c r="L3598" i="11"/>
  <c r="L3599" i="11"/>
  <c r="L3600" i="11"/>
  <c r="L3601" i="11"/>
  <c r="L3602" i="11"/>
  <c r="L3603" i="11"/>
  <c r="L3604" i="11"/>
  <c r="L3605" i="11"/>
  <c r="L3606" i="11"/>
  <c r="L3607" i="11"/>
  <c r="L3608" i="11"/>
  <c r="L3609" i="11"/>
  <c r="L3610" i="11"/>
  <c r="L3611" i="11"/>
  <c r="L3612" i="11"/>
  <c r="L3613" i="11"/>
  <c r="L3614" i="11"/>
  <c r="L3615" i="11"/>
  <c r="L3616" i="11"/>
  <c r="L3617" i="11"/>
  <c r="L3618" i="11"/>
  <c r="L3619" i="11"/>
  <c r="L3620" i="11"/>
  <c r="L3621" i="11"/>
  <c r="L3622" i="11"/>
  <c r="L3623" i="11"/>
  <c r="L3624" i="11"/>
  <c r="L3625" i="11"/>
  <c r="L3626" i="11"/>
  <c r="L3627" i="11"/>
  <c r="L3628" i="11"/>
  <c r="L3629" i="11"/>
  <c r="L3630" i="11"/>
  <c r="L3631" i="11"/>
  <c r="L3632" i="11"/>
  <c r="L3633" i="11"/>
  <c r="L3634" i="11"/>
  <c r="L3635" i="11"/>
  <c r="L3636" i="11"/>
  <c r="L3637" i="11"/>
  <c r="L3638" i="11"/>
  <c r="L3639" i="11"/>
  <c r="L3640" i="11"/>
  <c r="L3641" i="11"/>
  <c r="L3642" i="11"/>
  <c r="L3643" i="11"/>
  <c r="L3644" i="11"/>
  <c r="L3645" i="11"/>
  <c r="L3646" i="11"/>
  <c r="L3647" i="11"/>
  <c r="L3648" i="11"/>
  <c r="L3649" i="11"/>
  <c r="L3650" i="11"/>
  <c r="L3651" i="11"/>
  <c r="L3652" i="11"/>
  <c r="L3653" i="11"/>
  <c r="L3654" i="11"/>
  <c r="L3655" i="11"/>
  <c r="L3656" i="11"/>
  <c r="L3657" i="11"/>
  <c r="L3658" i="11"/>
  <c r="L3659" i="11"/>
  <c r="L3660" i="11"/>
  <c r="L3661" i="11"/>
  <c r="L3662" i="11"/>
  <c r="L3663" i="11"/>
  <c r="L3664" i="11"/>
  <c r="L3665" i="11"/>
  <c r="L3666" i="11"/>
  <c r="L3667" i="11"/>
  <c r="L3668" i="11"/>
  <c r="L3669" i="11"/>
  <c r="L3670" i="11"/>
  <c r="L3671" i="11"/>
  <c r="L3672" i="11"/>
  <c r="L3673" i="11"/>
  <c r="L3674" i="11"/>
  <c r="L3675" i="11"/>
  <c r="L3676" i="11"/>
  <c r="L3677" i="11"/>
  <c r="L3678" i="11"/>
  <c r="L3679" i="11"/>
  <c r="L3680" i="11"/>
  <c r="L3681" i="11"/>
  <c r="L3682" i="11"/>
  <c r="L3683" i="11"/>
  <c r="L3684" i="11"/>
  <c r="L3685" i="11"/>
  <c r="L3686" i="11"/>
  <c r="L3687" i="11"/>
  <c r="L3688" i="11"/>
  <c r="L3689" i="11"/>
  <c r="L3690" i="11"/>
  <c r="L3691" i="11"/>
  <c r="L3692" i="11"/>
  <c r="L3693" i="11"/>
  <c r="L3694" i="11"/>
  <c r="L3695" i="11"/>
  <c r="L3696" i="11"/>
  <c r="L3697" i="11"/>
  <c r="L3698" i="11"/>
  <c r="L3699" i="11"/>
  <c r="L3700" i="11"/>
  <c r="L3701" i="11"/>
  <c r="L3702" i="11"/>
  <c r="L3703" i="11"/>
  <c r="L3704" i="11"/>
  <c r="L3705" i="11"/>
  <c r="L3706" i="11"/>
  <c r="L3707" i="11"/>
  <c r="L3708" i="11"/>
  <c r="L3709" i="11"/>
  <c r="L3710" i="11"/>
  <c r="L3711" i="11"/>
  <c r="L3712" i="11"/>
  <c r="L3713" i="11"/>
  <c r="L3714" i="11"/>
  <c r="L3715" i="11"/>
  <c r="L3716" i="11"/>
  <c r="L3717" i="11"/>
  <c r="L3718" i="11"/>
  <c r="L3719" i="11"/>
  <c r="L3720" i="11"/>
  <c r="L3721" i="11"/>
  <c r="L3722" i="11"/>
  <c r="L3723" i="11"/>
  <c r="L3724" i="11"/>
  <c r="L3725" i="11"/>
  <c r="L3726" i="11"/>
  <c r="L3727" i="11"/>
  <c r="L3728" i="11"/>
  <c r="L3729" i="11"/>
  <c r="L3730" i="11"/>
  <c r="L3731" i="11"/>
  <c r="L3732" i="11"/>
  <c r="L3733" i="11"/>
  <c r="L3734" i="11"/>
  <c r="L3735" i="11"/>
  <c r="L3736" i="11"/>
  <c r="L3737" i="11"/>
  <c r="L3738" i="11"/>
  <c r="L3739" i="11"/>
  <c r="L3740" i="11"/>
  <c r="L3741" i="11"/>
  <c r="L3742" i="11"/>
  <c r="L3743" i="11"/>
  <c r="L3744" i="11"/>
  <c r="L3745" i="11"/>
  <c r="L3746" i="11"/>
  <c r="L3747" i="11"/>
  <c r="L3748" i="11"/>
  <c r="L3749" i="11"/>
  <c r="L3750" i="11"/>
  <c r="L3751" i="11"/>
  <c r="L3752" i="11"/>
  <c r="L3753" i="11"/>
  <c r="L3754" i="11"/>
  <c r="L3755" i="11"/>
  <c r="L3756" i="11"/>
  <c r="L3757" i="11"/>
  <c r="L3758" i="11"/>
  <c r="L3759" i="11"/>
  <c r="L3760" i="11"/>
  <c r="L3761" i="11"/>
  <c r="L3762" i="11"/>
  <c r="L3763" i="11"/>
  <c r="L3764" i="11"/>
  <c r="L3765" i="11"/>
  <c r="L3766" i="11"/>
  <c r="L3767" i="11"/>
  <c r="L3768" i="11"/>
  <c r="L3769" i="11"/>
  <c r="L3770" i="11"/>
  <c r="L3771" i="11"/>
  <c r="L3772" i="11"/>
  <c r="L3773" i="11"/>
  <c r="L3774" i="11"/>
  <c r="L3775" i="11"/>
  <c r="L3776" i="11"/>
  <c r="L3777" i="11"/>
  <c r="L3778" i="11"/>
  <c r="L3779" i="11"/>
  <c r="L3780" i="11"/>
  <c r="L3781" i="11"/>
  <c r="L3782" i="11"/>
  <c r="L3783" i="11"/>
  <c r="L3784" i="11"/>
  <c r="L3785" i="11"/>
  <c r="L3786" i="11"/>
  <c r="L3787" i="11"/>
  <c r="L3788" i="11"/>
  <c r="L3789" i="11"/>
  <c r="L3790" i="11"/>
  <c r="L3791" i="11"/>
  <c r="L3792" i="11"/>
  <c r="L3793" i="11"/>
  <c r="L3794" i="11"/>
  <c r="L3795" i="11"/>
  <c r="L3796" i="11"/>
  <c r="L3797" i="11"/>
  <c r="L3798" i="11"/>
  <c r="L3799" i="11"/>
  <c r="L3800" i="11"/>
  <c r="L3801" i="11"/>
  <c r="L3802" i="11"/>
  <c r="L3803" i="11"/>
  <c r="L3804" i="11"/>
  <c r="L3805" i="11"/>
  <c r="L3806" i="11"/>
  <c r="L3807" i="11"/>
  <c r="L3808" i="11"/>
  <c r="L3809" i="11"/>
  <c r="L3810" i="11"/>
  <c r="L3811" i="11"/>
  <c r="L3812" i="11"/>
  <c r="L3813" i="11"/>
  <c r="L3814" i="11"/>
  <c r="L3815" i="11"/>
  <c r="L3816" i="11"/>
  <c r="L3817" i="11"/>
  <c r="L3818" i="11"/>
  <c r="L3819" i="11"/>
  <c r="L3820" i="11"/>
  <c r="L3821" i="11"/>
  <c r="L3822" i="11"/>
  <c r="L3823" i="11"/>
  <c r="L3824" i="11"/>
  <c r="L3825" i="11"/>
  <c r="L3826" i="11"/>
  <c r="L3827" i="11"/>
  <c r="L3828" i="11"/>
  <c r="L3829" i="11"/>
  <c r="L3830" i="11"/>
  <c r="L3831" i="11"/>
  <c r="L3832" i="11"/>
  <c r="L3833" i="11"/>
  <c r="L3834" i="11"/>
  <c r="L3835" i="11"/>
  <c r="L3836" i="11"/>
  <c r="L3837" i="11"/>
  <c r="L3838" i="11"/>
  <c r="L3839" i="11"/>
  <c r="L3840" i="11"/>
  <c r="L3841" i="11"/>
  <c r="L3842" i="11"/>
  <c r="L3843" i="11"/>
  <c r="L3844" i="11"/>
  <c r="L3845" i="11"/>
  <c r="L3846" i="11"/>
  <c r="L3847" i="11"/>
  <c r="L3848" i="11"/>
  <c r="L3849" i="11"/>
  <c r="L3850" i="11"/>
  <c r="L3851" i="11"/>
  <c r="L3852" i="11"/>
  <c r="L3853" i="11"/>
  <c r="L3854" i="11"/>
  <c r="L3855" i="11"/>
  <c r="L3856" i="11"/>
  <c r="L3857" i="11"/>
  <c r="L3858" i="11"/>
  <c r="L3859" i="11"/>
  <c r="L3860" i="11"/>
  <c r="L3861" i="11"/>
  <c r="L3862" i="11"/>
  <c r="L3863" i="11"/>
  <c r="L3864" i="11"/>
  <c r="L3865" i="11"/>
  <c r="L3866" i="11"/>
  <c r="L3867" i="11"/>
  <c r="L3868" i="11"/>
  <c r="L3869" i="11"/>
  <c r="L3870" i="11"/>
  <c r="L3871" i="11"/>
  <c r="L3872" i="11"/>
  <c r="L3873" i="11"/>
  <c r="L3874" i="11"/>
  <c r="L3875" i="11"/>
  <c r="L3876" i="11"/>
  <c r="L3877" i="11"/>
  <c r="L3878" i="11"/>
  <c r="L3879" i="11"/>
  <c r="L3880" i="11"/>
  <c r="L3881" i="11"/>
  <c r="L3882" i="11"/>
  <c r="L3883" i="11"/>
  <c r="L3884" i="11"/>
  <c r="L3885" i="11"/>
  <c r="L3886" i="11"/>
  <c r="L3887" i="11"/>
  <c r="L3888" i="11"/>
  <c r="L3889" i="11"/>
  <c r="L3890" i="11"/>
  <c r="L3891" i="11"/>
  <c r="L3892" i="11"/>
  <c r="L3893" i="11"/>
  <c r="L3894" i="11"/>
  <c r="L3895" i="11"/>
  <c r="L3896" i="11"/>
  <c r="L3897" i="11"/>
  <c r="L3898" i="11"/>
  <c r="L3899" i="11"/>
  <c r="L3900" i="11"/>
  <c r="L3901" i="11"/>
  <c r="L3902" i="11"/>
  <c r="L3903" i="11"/>
  <c r="L3904" i="11"/>
  <c r="L3905" i="11"/>
  <c r="L3906" i="11"/>
  <c r="L3907" i="11"/>
  <c r="L3908" i="11"/>
  <c r="L3909" i="11"/>
  <c r="L3910" i="11"/>
  <c r="L3911" i="11"/>
  <c r="L3912" i="11"/>
  <c r="L3913" i="11"/>
  <c r="L3914" i="11"/>
  <c r="L3915" i="11"/>
  <c r="L3916" i="11"/>
  <c r="L3917" i="11"/>
  <c r="L3918" i="11"/>
  <c r="L3919" i="11"/>
  <c r="L3920" i="11"/>
  <c r="L3921" i="11"/>
  <c r="L3922" i="11"/>
  <c r="L3923" i="11"/>
  <c r="L3924" i="11"/>
  <c r="L3925" i="11"/>
  <c r="L3926" i="11"/>
  <c r="L3927" i="11"/>
  <c r="L3928" i="11"/>
  <c r="L3929" i="11"/>
  <c r="L3930" i="11"/>
  <c r="L3931" i="11"/>
  <c r="L3932" i="11"/>
  <c r="L3933" i="11"/>
  <c r="L3934" i="11"/>
  <c r="L3935" i="11"/>
  <c r="L3936" i="11"/>
  <c r="L3937" i="11"/>
  <c r="L3938" i="11"/>
  <c r="L3939" i="11"/>
  <c r="L3940" i="11"/>
  <c r="L3941" i="11"/>
  <c r="L3942" i="11"/>
  <c r="L3943" i="11"/>
  <c r="L3944" i="11"/>
  <c r="L3945" i="11"/>
  <c r="L3946" i="11"/>
  <c r="L3947" i="11"/>
  <c r="L3948" i="11"/>
  <c r="L3949" i="11"/>
  <c r="L3950" i="11"/>
  <c r="L3951" i="11"/>
  <c r="L3952" i="11"/>
  <c r="L3953" i="11"/>
  <c r="L3954" i="11"/>
  <c r="L3955" i="11"/>
  <c r="L3956" i="11"/>
  <c r="L3957" i="11"/>
  <c r="L3958" i="11"/>
  <c r="L3959" i="11"/>
  <c r="L3960" i="11"/>
  <c r="L3961" i="11"/>
  <c r="L3962" i="11"/>
  <c r="L3963" i="11"/>
  <c r="L3964" i="11"/>
  <c r="L3965" i="11"/>
  <c r="L3966" i="11"/>
  <c r="L3967" i="11"/>
  <c r="L3968" i="11"/>
  <c r="L3969" i="11"/>
  <c r="L3970" i="11"/>
  <c r="L3971" i="11"/>
  <c r="L3972" i="11"/>
  <c r="L3973" i="11"/>
  <c r="L3974" i="11"/>
  <c r="L3975" i="11"/>
  <c r="L3976" i="11"/>
  <c r="L3977" i="11"/>
  <c r="L3978" i="11"/>
  <c r="L3979" i="11"/>
  <c r="L3980" i="11"/>
  <c r="L3981" i="11"/>
  <c r="L3982" i="11"/>
  <c r="L3983" i="11"/>
  <c r="L3984" i="11"/>
  <c r="L3985" i="11"/>
  <c r="L3986" i="11"/>
  <c r="L3987" i="11"/>
  <c r="L3988" i="11"/>
  <c r="L3989" i="11"/>
  <c r="L3990" i="11"/>
  <c r="L3991" i="11"/>
  <c r="L3992" i="11"/>
  <c r="L3993" i="11"/>
  <c r="L3994" i="11"/>
  <c r="L3995" i="11"/>
  <c r="L3996" i="11"/>
  <c r="L3997" i="11"/>
  <c r="L3998" i="11"/>
  <c r="L3999" i="11"/>
  <c r="L4000" i="11"/>
  <c r="L4001" i="11"/>
  <c r="L4002" i="11"/>
  <c r="L4003" i="11"/>
  <c r="L4004" i="11"/>
  <c r="L4005" i="11"/>
  <c r="L4006" i="11"/>
  <c r="L4007" i="11"/>
  <c r="L4008" i="11"/>
  <c r="L4009" i="11"/>
  <c r="L4010" i="11"/>
  <c r="L4011" i="11"/>
  <c r="L4012" i="11"/>
  <c r="L4013" i="11"/>
  <c r="L4014" i="11"/>
  <c r="L4015" i="11"/>
  <c r="L4016" i="11"/>
  <c r="L4017" i="11"/>
  <c r="L4018" i="11"/>
  <c r="L4019" i="11"/>
  <c r="L4020" i="11"/>
  <c r="L4021" i="11"/>
  <c r="L4022" i="11"/>
  <c r="L4023" i="11"/>
  <c r="L4024" i="11"/>
  <c r="L4025" i="11"/>
  <c r="L4026" i="11"/>
  <c r="L4027" i="11"/>
  <c r="L4028" i="11"/>
  <c r="L4029" i="11"/>
  <c r="L4030" i="11"/>
  <c r="L4031" i="11"/>
  <c r="L4032" i="11"/>
  <c r="L4033" i="11"/>
  <c r="L4034" i="11"/>
  <c r="L4035" i="11"/>
  <c r="L4036" i="11"/>
  <c r="L4037" i="11"/>
  <c r="L4038" i="11"/>
  <c r="L4039" i="11"/>
  <c r="L4040" i="11"/>
  <c r="L4041" i="11"/>
  <c r="L4042" i="11"/>
  <c r="L4043" i="11"/>
  <c r="L4044" i="11"/>
  <c r="L4045" i="11"/>
  <c r="L4046" i="11"/>
  <c r="L4047" i="11"/>
  <c r="L4048" i="11"/>
  <c r="L4049" i="11"/>
  <c r="L4050" i="11"/>
  <c r="L4051" i="11"/>
  <c r="L4052" i="11"/>
  <c r="L4053" i="11"/>
  <c r="L4054" i="11"/>
  <c r="L4055" i="11"/>
  <c r="L4056" i="11"/>
  <c r="L4057" i="11"/>
  <c r="L4058" i="11"/>
  <c r="L4059" i="11"/>
  <c r="L4060" i="11"/>
  <c r="L4061" i="11"/>
  <c r="L4062" i="11"/>
  <c r="L4063" i="11"/>
  <c r="L4064" i="11"/>
  <c r="L4065" i="11"/>
  <c r="L4066" i="11"/>
  <c r="L4067" i="11"/>
  <c r="L4068" i="11"/>
  <c r="L4069" i="11"/>
  <c r="L4070" i="11"/>
  <c r="L4071" i="11"/>
  <c r="L4072" i="11"/>
  <c r="L4073" i="11"/>
  <c r="L4074" i="11"/>
  <c r="L4075" i="11"/>
  <c r="L4076" i="11"/>
  <c r="L4077" i="11"/>
  <c r="L4078" i="11"/>
  <c r="L4079" i="11"/>
  <c r="L4080" i="11"/>
  <c r="L4081" i="11"/>
  <c r="L4082" i="11"/>
  <c r="L4083" i="11"/>
  <c r="L4084" i="11"/>
  <c r="L4085" i="11"/>
  <c r="L4086" i="11"/>
  <c r="L4087" i="11"/>
  <c r="L4088" i="11"/>
  <c r="L4089" i="11"/>
  <c r="L4090" i="11"/>
  <c r="L4091" i="11"/>
  <c r="L4092" i="11"/>
  <c r="L4093" i="11"/>
  <c r="L4094" i="11"/>
  <c r="L4095" i="11"/>
  <c r="L4096" i="11"/>
  <c r="L4097" i="11"/>
  <c r="L4098" i="11"/>
  <c r="L4099" i="11"/>
  <c r="L4100" i="11"/>
  <c r="L4101" i="11"/>
  <c r="L4102" i="11"/>
  <c r="L4103" i="11"/>
  <c r="L4104" i="11"/>
  <c r="L4105" i="11"/>
  <c r="L4106" i="11"/>
  <c r="L4107" i="11"/>
  <c r="L4108" i="11"/>
  <c r="L4109" i="11"/>
  <c r="L4110" i="11"/>
  <c r="L4111" i="11"/>
  <c r="L4112" i="11"/>
  <c r="L4113" i="11"/>
  <c r="L4114" i="11"/>
  <c r="L4115" i="11"/>
  <c r="L4116" i="11"/>
  <c r="L4117" i="11"/>
  <c r="L4118" i="11"/>
  <c r="L4119" i="11"/>
  <c r="L4120" i="11"/>
  <c r="L4121" i="11"/>
  <c r="L4122" i="11"/>
  <c r="L4123" i="11"/>
  <c r="L4124" i="11"/>
  <c r="L4125" i="11"/>
  <c r="L4126" i="11"/>
  <c r="L4127" i="11"/>
  <c r="L4128" i="11"/>
  <c r="L4129" i="11"/>
  <c r="L4130" i="11"/>
  <c r="L4131" i="11"/>
  <c r="L4132" i="11"/>
  <c r="L4133" i="11"/>
  <c r="L4134" i="11"/>
  <c r="L4135" i="11"/>
  <c r="L4136" i="11"/>
  <c r="L4137" i="11"/>
  <c r="L4138" i="11"/>
  <c r="L4139" i="11"/>
  <c r="L4140" i="11"/>
  <c r="L4141" i="11"/>
  <c r="L4142" i="11"/>
  <c r="L4143" i="11"/>
  <c r="L4144" i="11"/>
  <c r="L4145" i="11"/>
  <c r="L4146" i="11"/>
  <c r="L4147" i="11"/>
  <c r="L4148" i="11"/>
  <c r="L4149" i="11"/>
  <c r="L4150" i="11"/>
  <c r="L4151" i="11"/>
  <c r="L4152" i="11"/>
  <c r="L4153" i="11"/>
  <c r="L4154" i="11"/>
  <c r="L4155" i="11"/>
  <c r="L4156" i="11"/>
  <c r="L4157" i="11"/>
  <c r="L4158" i="11"/>
  <c r="L4159" i="11"/>
  <c r="L4160" i="11"/>
  <c r="L4161" i="11"/>
  <c r="L4162" i="11"/>
  <c r="L4163" i="11"/>
  <c r="L4164" i="11"/>
  <c r="L4165" i="11"/>
  <c r="L4166" i="11"/>
  <c r="L4167" i="11"/>
  <c r="L4168" i="11"/>
  <c r="L4169" i="11"/>
  <c r="L4170" i="11"/>
  <c r="L4171" i="11"/>
  <c r="L4172" i="11"/>
  <c r="L4173" i="11"/>
  <c r="L4174" i="11"/>
  <c r="L4175" i="11"/>
  <c r="L4176" i="11"/>
  <c r="L4177" i="11"/>
  <c r="L4178" i="11"/>
  <c r="L4179" i="11"/>
  <c r="L4180" i="11"/>
  <c r="L4181" i="11"/>
  <c r="L4182" i="11"/>
  <c r="L4183" i="11"/>
  <c r="L4184" i="11"/>
  <c r="L4185" i="11"/>
  <c r="L4186" i="11"/>
  <c r="L4187" i="11"/>
  <c r="L4188" i="11"/>
  <c r="L4189" i="11"/>
  <c r="L4190" i="11"/>
  <c r="L4191" i="11"/>
  <c r="L4192" i="11"/>
  <c r="L4193" i="11"/>
  <c r="L4194" i="11"/>
  <c r="L4195" i="11"/>
  <c r="L4196" i="11"/>
  <c r="L4197" i="11"/>
  <c r="L4198" i="11"/>
  <c r="L4199" i="11"/>
  <c r="L4200" i="11"/>
  <c r="L4201" i="11"/>
  <c r="L4202" i="11"/>
  <c r="L4203" i="11"/>
  <c r="L4204" i="11"/>
  <c r="L4205" i="11"/>
  <c r="L4206" i="11"/>
  <c r="L4207" i="11"/>
  <c r="L4208" i="11"/>
  <c r="L4209" i="11"/>
  <c r="L4210" i="11"/>
  <c r="L4211" i="11"/>
  <c r="L4212" i="11"/>
  <c r="L4213" i="11"/>
  <c r="L4214" i="11"/>
  <c r="L4215" i="11"/>
  <c r="L4216" i="11"/>
  <c r="L4217" i="11"/>
  <c r="L4218" i="11"/>
  <c r="L4219" i="11"/>
  <c r="L4220" i="11"/>
  <c r="L4221" i="11"/>
  <c r="L4222" i="11"/>
  <c r="L4223" i="11"/>
  <c r="L4224" i="11"/>
  <c r="L4225" i="11"/>
  <c r="L4226" i="11"/>
  <c r="L4227" i="11"/>
  <c r="L4228" i="11"/>
  <c r="L4229" i="11"/>
  <c r="L4230" i="11"/>
  <c r="L4231" i="11"/>
  <c r="L4232" i="11"/>
  <c r="L4233" i="11"/>
  <c r="L4234" i="11"/>
  <c r="L4235" i="11"/>
  <c r="L4236" i="11"/>
  <c r="L4237" i="11"/>
  <c r="L4238" i="11"/>
  <c r="L4239" i="11"/>
  <c r="L4240" i="11"/>
  <c r="L4241" i="11"/>
  <c r="L4242" i="11"/>
  <c r="L4243" i="11"/>
  <c r="L4244" i="11"/>
  <c r="L4245" i="11"/>
  <c r="L4246" i="11"/>
  <c r="L4247" i="11"/>
  <c r="L4248" i="11"/>
  <c r="L4249" i="11"/>
  <c r="L4250" i="11"/>
  <c r="L4251" i="11"/>
  <c r="L4252" i="11"/>
  <c r="L4253" i="11"/>
  <c r="L4254" i="11"/>
  <c r="L4255" i="11"/>
  <c r="L4256" i="11"/>
  <c r="L4257" i="11"/>
  <c r="L4258" i="11"/>
  <c r="L4259" i="11"/>
  <c r="L4260" i="11"/>
  <c r="L4261" i="11"/>
  <c r="L4262" i="11"/>
  <c r="L4263" i="11"/>
  <c r="L4264" i="11"/>
  <c r="L4265" i="11"/>
  <c r="L4266" i="11"/>
  <c r="L4267" i="11"/>
  <c r="L4268" i="11"/>
  <c r="L4269" i="11"/>
  <c r="L4270" i="11"/>
  <c r="L4271" i="11"/>
  <c r="L4272" i="11"/>
  <c r="L4273" i="11"/>
  <c r="L4274" i="11"/>
  <c r="L4275" i="11"/>
  <c r="L4276" i="11"/>
  <c r="L4277" i="11"/>
  <c r="L4278" i="11"/>
  <c r="L4279" i="11"/>
  <c r="L4280" i="11"/>
  <c r="L4281" i="11"/>
  <c r="L4282" i="11"/>
  <c r="L4283" i="11"/>
  <c r="L4284" i="11"/>
  <c r="L4285" i="11"/>
  <c r="L4286" i="11"/>
  <c r="L4287" i="11"/>
  <c r="L4288" i="11"/>
  <c r="L4289" i="11"/>
  <c r="L4290" i="11"/>
  <c r="L4291" i="11"/>
  <c r="L4292" i="11"/>
  <c r="L4293" i="11"/>
  <c r="L4294" i="11"/>
  <c r="L4295" i="11"/>
  <c r="L4296" i="11"/>
  <c r="L4297" i="11"/>
  <c r="L4298" i="11"/>
  <c r="L4299" i="11"/>
  <c r="L4300" i="11"/>
  <c r="L4301" i="11"/>
  <c r="L4302" i="11"/>
  <c r="L4303" i="11"/>
  <c r="L4304" i="11"/>
  <c r="L4305" i="11"/>
  <c r="L4306" i="11"/>
  <c r="L4307" i="11"/>
  <c r="L4308" i="11"/>
  <c r="L4309" i="11"/>
  <c r="L4310" i="11"/>
  <c r="L4311" i="11"/>
  <c r="L4312" i="11"/>
  <c r="L4313" i="11"/>
  <c r="L4314" i="11"/>
  <c r="L4315" i="11"/>
  <c r="L4316" i="11"/>
  <c r="L4317" i="11"/>
  <c r="L4318" i="11"/>
  <c r="L4319" i="11"/>
  <c r="L4320" i="11"/>
  <c r="L4321" i="11"/>
  <c r="L4322" i="11"/>
  <c r="L4323" i="11"/>
  <c r="L4324" i="11"/>
  <c r="L4325" i="11"/>
  <c r="L4326" i="11"/>
  <c r="L4327" i="11"/>
  <c r="L4328" i="11"/>
  <c r="L4329" i="11"/>
  <c r="L4330" i="11"/>
  <c r="L4331" i="11"/>
  <c r="L4332" i="11"/>
  <c r="L4333" i="11"/>
  <c r="L4334" i="11"/>
  <c r="L4335" i="11"/>
  <c r="L4336" i="11"/>
  <c r="L4337" i="11"/>
  <c r="L4338" i="11"/>
  <c r="L4339" i="11"/>
  <c r="L4340" i="11"/>
  <c r="L4341" i="11"/>
  <c r="L4342" i="11"/>
  <c r="L4343" i="11"/>
  <c r="L4344" i="11"/>
  <c r="L4345" i="11"/>
  <c r="L4346" i="11"/>
  <c r="L4347" i="11"/>
  <c r="L4348" i="11"/>
  <c r="L4349" i="11"/>
  <c r="L4350" i="11"/>
  <c r="L4351" i="11"/>
  <c r="L4352" i="11"/>
  <c r="L4353" i="11"/>
  <c r="L4354" i="11"/>
  <c r="L4355" i="11"/>
  <c r="L4356" i="11"/>
  <c r="L4357" i="11"/>
  <c r="L4358" i="11"/>
  <c r="L4359" i="11"/>
  <c r="L4360" i="11"/>
  <c r="L4361" i="11"/>
  <c r="L4362" i="11"/>
  <c r="L4363" i="11"/>
  <c r="L4364" i="11"/>
  <c r="L4365" i="11"/>
  <c r="L4366" i="11"/>
  <c r="L4367" i="11"/>
  <c r="L4368" i="11"/>
  <c r="L4369" i="11"/>
  <c r="L4370" i="11"/>
  <c r="L4371" i="11"/>
  <c r="L4372" i="11"/>
  <c r="L4373" i="11"/>
  <c r="L4374" i="11"/>
  <c r="L4375" i="11"/>
  <c r="L4376" i="11"/>
  <c r="L4377" i="11"/>
  <c r="L4378" i="11"/>
  <c r="L4379" i="11"/>
  <c r="L4380" i="11"/>
  <c r="L4381" i="11"/>
  <c r="L4382" i="11"/>
  <c r="L4383" i="11"/>
  <c r="L4384" i="11"/>
  <c r="L4385" i="11"/>
  <c r="L4386" i="11"/>
  <c r="L4387" i="11"/>
  <c r="L4388" i="11"/>
  <c r="L4389" i="11"/>
  <c r="L4390" i="11"/>
  <c r="L4391" i="11"/>
  <c r="L4392" i="11"/>
  <c r="L4393" i="11"/>
  <c r="L4394" i="11"/>
  <c r="L4395" i="11"/>
  <c r="L4396" i="11"/>
  <c r="L4397" i="11"/>
  <c r="L4398" i="11"/>
  <c r="L4399" i="11"/>
  <c r="L4400" i="11"/>
  <c r="L4401" i="11"/>
  <c r="L4402" i="11"/>
  <c r="L4403" i="11"/>
  <c r="L4404" i="11"/>
  <c r="L4405" i="11"/>
  <c r="L4406" i="11"/>
  <c r="L4407" i="11"/>
  <c r="L4408" i="11"/>
  <c r="L4409" i="11"/>
  <c r="L4410" i="11"/>
  <c r="L4411" i="11"/>
  <c r="L4412" i="11"/>
  <c r="L4413" i="11"/>
  <c r="L4414" i="11"/>
  <c r="L4415" i="11"/>
  <c r="L4416" i="11"/>
  <c r="L4417" i="11"/>
  <c r="L4418" i="11"/>
  <c r="L4419" i="11"/>
  <c r="L4420" i="11"/>
  <c r="L4421" i="11"/>
  <c r="L4422" i="11"/>
  <c r="L4423" i="11"/>
  <c r="L4424" i="11"/>
  <c r="L4425" i="11"/>
  <c r="L4426" i="11"/>
  <c r="L4427" i="11"/>
  <c r="L4428" i="11"/>
  <c r="L4429" i="11"/>
  <c r="L4430" i="11"/>
  <c r="L4431" i="11"/>
  <c r="L4432" i="11"/>
  <c r="L4433" i="11"/>
  <c r="L4434" i="11"/>
  <c r="L4435" i="11"/>
  <c r="L4436" i="11"/>
  <c r="L4437" i="11"/>
  <c r="L4438" i="11"/>
  <c r="L4439" i="11"/>
  <c r="L4440" i="11"/>
  <c r="L4441" i="11"/>
  <c r="L4442" i="11"/>
  <c r="L4443" i="11"/>
  <c r="L4444" i="11"/>
  <c r="L4445" i="11"/>
  <c r="L4446" i="11"/>
  <c r="L4447" i="11"/>
  <c r="L4448" i="11"/>
  <c r="L4449" i="11"/>
  <c r="L4450" i="11"/>
  <c r="L4451" i="11"/>
  <c r="L4452" i="11"/>
  <c r="L4453" i="11"/>
  <c r="L4454" i="11"/>
  <c r="L4455" i="11"/>
  <c r="L4456" i="11"/>
  <c r="L4457" i="11"/>
  <c r="L4458" i="11"/>
  <c r="L4459" i="11"/>
  <c r="L4460" i="11"/>
  <c r="L4461" i="11"/>
  <c r="L4462" i="11"/>
  <c r="L4463" i="11"/>
  <c r="L4464" i="11"/>
  <c r="L4465" i="11"/>
  <c r="L4466" i="11"/>
  <c r="L4467" i="11"/>
  <c r="L4468" i="11"/>
  <c r="L4469" i="11"/>
  <c r="L4470" i="11"/>
  <c r="L4471" i="11"/>
  <c r="L4472" i="11"/>
  <c r="L4473" i="11"/>
  <c r="L4474" i="11"/>
  <c r="L4475" i="11"/>
  <c r="L4476" i="11"/>
  <c r="L4477" i="11"/>
  <c r="L4478" i="11"/>
  <c r="L4479" i="11"/>
  <c r="L4480" i="11"/>
  <c r="L4481" i="11"/>
  <c r="L4482" i="11"/>
  <c r="L4483" i="11"/>
  <c r="L4484" i="11"/>
  <c r="L4485" i="11"/>
  <c r="L4486" i="11"/>
  <c r="L4487" i="11"/>
  <c r="L4488" i="11"/>
  <c r="L4489" i="11"/>
  <c r="L4490" i="11"/>
  <c r="L4491" i="11"/>
  <c r="L4492" i="11"/>
  <c r="L4493" i="11"/>
  <c r="L4494" i="11"/>
  <c r="L4495" i="11"/>
  <c r="L4496" i="11"/>
  <c r="L4497" i="11"/>
  <c r="L4498" i="11"/>
  <c r="L4499" i="11"/>
  <c r="L4500" i="11"/>
  <c r="L4501" i="11"/>
  <c r="L4502" i="11"/>
  <c r="L4503" i="11"/>
  <c r="L4504" i="11"/>
  <c r="L4505" i="11"/>
  <c r="L4506" i="11"/>
  <c r="L4507" i="11"/>
  <c r="L4508" i="11"/>
  <c r="L4509" i="11"/>
  <c r="L4510" i="11"/>
  <c r="L4511" i="11"/>
  <c r="L4512" i="11"/>
  <c r="L4513" i="11"/>
  <c r="L4514" i="11"/>
  <c r="L4515" i="11"/>
  <c r="L4516" i="11"/>
  <c r="L4517" i="11"/>
  <c r="L4518" i="11"/>
  <c r="L4519" i="11"/>
  <c r="L4520" i="11"/>
  <c r="L4521" i="11"/>
  <c r="L4522" i="11"/>
  <c r="L4523" i="11"/>
  <c r="L4524" i="11"/>
  <c r="L4525" i="11"/>
  <c r="L4526" i="11"/>
  <c r="L4527" i="11"/>
  <c r="L4528" i="11"/>
  <c r="L4529" i="11"/>
  <c r="L4530" i="11"/>
  <c r="L4531" i="11"/>
  <c r="L4532" i="11"/>
  <c r="L4533" i="11"/>
  <c r="L4534" i="11"/>
  <c r="L4535" i="11"/>
  <c r="L4536" i="11"/>
  <c r="L4537" i="11"/>
  <c r="L4538" i="11"/>
  <c r="L4539" i="11"/>
  <c r="L4540" i="11"/>
  <c r="L4541" i="11"/>
  <c r="L4542" i="11"/>
  <c r="L4543" i="11"/>
  <c r="L4544" i="11"/>
  <c r="L4545" i="11"/>
  <c r="L4546" i="11"/>
  <c r="L4547" i="11"/>
  <c r="L4548" i="11"/>
  <c r="L4549" i="11"/>
  <c r="L4550" i="11"/>
  <c r="L4551" i="11"/>
  <c r="L4552" i="11"/>
  <c r="L4553" i="11"/>
  <c r="L4554" i="11"/>
  <c r="L4555" i="11"/>
  <c r="L4556" i="11"/>
  <c r="L4557" i="11"/>
  <c r="L4558" i="11"/>
  <c r="L4559" i="11"/>
  <c r="L4560" i="11"/>
  <c r="L4561" i="11"/>
  <c r="L4562" i="11"/>
  <c r="L4563" i="11"/>
  <c r="L4564" i="11"/>
  <c r="L4565" i="11"/>
  <c r="L4566" i="11"/>
  <c r="L4567" i="11"/>
  <c r="L4568" i="11"/>
  <c r="L4569" i="11"/>
  <c r="L4570" i="11"/>
  <c r="L4571" i="11"/>
  <c r="L4572" i="11"/>
  <c r="L4573" i="11"/>
  <c r="L4574" i="11"/>
  <c r="L4575" i="11"/>
  <c r="L4576" i="11"/>
  <c r="L4577" i="11"/>
  <c r="L4578" i="11"/>
  <c r="L4579" i="11"/>
  <c r="L4580" i="11"/>
  <c r="L4581" i="11"/>
  <c r="L4582" i="11"/>
  <c r="L4583" i="11"/>
  <c r="L4584" i="11"/>
  <c r="L4585" i="11"/>
  <c r="L4586" i="11"/>
  <c r="L4587" i="11"/>
  <c r="L4588" i="11"/>
  <c r="L4589" i="11"/>
  <c r="L4590" i="11"/>
  <c r="L4591" i="11"/>
  <c r="L4592" i="11"/>
  <c r="L4593" i="11"/>
  <c r="L4594" i="11"/>
  <c r="L4595" i="11"/>
  <c r="L4596" i="11"/>
  <c r="L4597" i="11"/>
  <c r="L4598" i="11"/>
  <c r="L4599" i="11"/>
  <c r="L4600" i="11"/>
  <c r="L4601" i="11"/>
  <c r="L4602" i="11"/>
  <c r="L4603" i="11"/>
  <c r="L4604" i="11"/>
  <c r="L4605" i="11"/>
  <c r="L4606" i="11"/>
  <c r="L4607" i="11"/>
  <c r="L4608" i="11"/>
  <c r="L4609" i="11"/>
  <c r="L4610" i="11"/>
  <c r="L4611" i="11"/>
  <c r="L4612" i="11"/>
  <c r="L4613" i="11"/>
  <c r="L4614" i="11"/>
  <c r="L4615" i="11"/>
  <c r="L4616" i="11"/>
  <c r="L4617" i="11"/>
  <c r="L4618" i="11"/>
  <c r="L4619" i="11"/>
  <c r="L4620" i="11"/>
  <c r="L4621" i="11"/>
  <c r="L4622" i="11"/>
  <c r="L4623" i="11"/>
  <c r="L4624" i="11"/>
  <c r="L4625" i="11"/>
  <c r="L4626" i="11"/>
  <c r="L4627" i="11"/>
  <c r="L4628" i="11"/>
  <c r="L4629" i="11"/>
  <c r="L4630" i="11"/>
  <c r="L4631" i="11"/>
  <c r="L4632" i="11"/>
  <c r="L4633" i="11"/>
  <c r="L4634" i="11"/>
  <c r="L4635" i="11"/>
  <c r="L4636" i="11"/>
  <c r="L4637" i="11"/>
  <c r="L4638" i="11"/>
  <c r="L4639" i="11"/>
  <c r="L4640" i="11"/>
  <c r="L4641" i="11"/>
  <c r="L4642" i="11"/>
  <c r="L4643" i="11"/>
  <c r="L4644" i="11"/>
  <c r="L4645" i="11"/>
  <c r="L4646" i="11"/>
  <c r="L4647" i="11"/>
  <c r="L4648" i="11"/>
  <c r="L4649" i="11"/>
  <c r="L4650" i="11"/>
  <c r="L4651" i="11"/>
  <c r="L4652" i="11"/>
  <c r="L4653" i="11"/>
  <c r="L4654" i="11"/>
  <c r="L4655" i="11"/>
  <c r="L4656" i="11"/>
  <c r="L4657" i="11"/>
  <c r="L4658" i="11"/>
  <c r="L4659" i="11"/>
  <c r="L4660" i="11"/>
  <c r="L4661" i="11"/>
  <c r="L4662" i="11"/>
  <c r="L4663" i="11"/>
  <c r="L4664" i="11"/>
  <c r="L4665" i="11"/>
  <c r="L4666" i="11"/>
  <c r="L4667" i="11"/>
  <c r="L4668" i="11"/>
  <c r="L4669" i="11"/>
  <c r="L4670" i="11"/>
  <c r="L4671" i="11"/>
  <c r="L4672" i="11"/>
  <c r="L4673" i="11"/>
  <c r="L4674" i="11"/>
  <c r="L4675" i="11"/>
  <c r="L4676" i="11"/>
  <c r="L4677" i="11"/>
  <c r="L4678" i="11"/>
  <c r="L4679" i="11"/>
  <c r="L4680" i="11"/>
  <c r="L4681" i="11"/>
  <c r="L4682" i="11"/>
  <c r="L4683" i="11"/>
  <c r="L4684" i="11"/>
  <c r="L4685" i="11"/>
  <c r="L4686" i="11"/>
  <c r="L4687" i="11"/>
  <c r="L4688" i="11"/>
  <c r="L4689" i="11"/>
  <c r="L4690" i="11"/>
  <c r="L4691" i="11"/>
  <c r="L4692" i="11"/>
  <c r="L4693" i="11"/>
  <c r="L4694" i="11"/>
  <c r="L4695" i="11"/>
  <c r="L4696" i="11"/>
  <c r="L4697" i="11"/>
  <c r="L4698" i="11"/>
  <c r="L4699" i="11"/>
  <c r="L4700" i="11"/>
  <c r="L4701" i="11"/>
  <c r="L4702" i="11"/>
  <c r="L4703" i="11"/>
  <c r="L4704" i="11"/>
  <c r="L4705" i="11"/>
  <c r="L4706" i="11"/>
  <c r="L4707" i="11"/>
  <c r="L4708" i="11"/>
  <c r="L4709" i="11"/>
  <c r="L4710" i="11"/>
  <c r="L4711" i="11"/>
  <c r="L4712" i="11"/>
  <c r="L4713" i="11"/>
  <c r="L4714" i="11"/>
  <c r="L4715" i="11"/>
  <c r="L4716" i="11"/>
  <c r="L4717" i="11"/>
  <c r="L4718" i="11"/>
  <c r="L4719" i="11"/>
  <c r="L4720" i="11"/>
  <c r="L4721" i="11"/>
  <c r="L4722" i="11"/>
  <c r="L4723" i="11"/>
  <c r="L4724" i="11"/>
  <c r="L4725" i="11"/>
  <c r="L4726" i="11"/>
  <c r="L4727" i="11"/>
  <c r="L4728" i="11"/>
  <c r="L4729" i="11"/>
  <c r="L4730" i="11"/>
  <c r="L4731" i="11"/>
  <c r="L4732" i="11"/>
  <c r="L4733" i="11"/>
  <c r="L4734" i="11"/>
  <c r="L4735" i="11"/>
  <c r="L4736" i="11"/>
  <c r="L4737" i="11"/>
  <c r="L4738" i="11"/>
  <c r="L4739" i="11"/>
  <c r="L4740" i="11"/>
  <c r="L4741" i="11"/>
  <c r="L4742" i="11"/>
  <c r="L4743" i="11"/>
  <c r="L4744" i="11"/>
  <c r="L4745" i="11"/>
  <c r="L4746" i="11"/>
  <c r="L4747" i="11"/>
  <c r="L4748" i="11"/>
  <c r="L4749" i="11"/>
  <c r="L4750" i="11"/>
  <c r="L4751" i="11"/>
  <c r="L4752" i="11"/>
  <c r="L4753" i="11"/>
  <c r="L4754" i="11"/>
  <c r="L4755" i="11"/>
  <c r="L4756" i="11"/>
  <c r="L4757" i="11"/>
  <c r="L4758" i="11"/>
  <c r="L4759" i="11"/>
  <c r="L4760" i="11"/>
  <c r="L4761" i="11"/>
  <c r="L4762" i="11"/>
  <c r="L4763" i="11"/>
  <c r="L4764" i="11"/>
  <c r="L4765" i="11"/>
  <c r="L4766" i="11"/>
  <c r="L4767" i="11"/>
  <c r="L4768" i="11"/>
  <c r="L4769" i="11"/>
  <c r="L4770" i="11"/>
  <c r="L4771" i="11"/>
  <c r="L4772" i="11"/>
  <c r="L4773" i="11"/>
  <c r="L4774" i="11"/>
  <c r="L4775" i="11"/>
  <c r="L4776" i="11"/>
  <c r="L4777" i="11"/>
  <c r="L4778" i="11"/>
  <c r="L4779" i="11"/>
  <c r="L4780" i="11"/>
  <c r="L4781" i="11"/>
  <c r="L4782" i="11"/>
  <c r="L4783" i="11"/>
  <c r="L4784" i="11"/>
  <c r="L4785" i="11"/>
  <c r="L4786" i="11"/>
  <c r="L4787" i="11"/>
  <c r="L4788" i="11"/>
  <c r="L4789" i="11"/>
  <c r="L4790" i="11"/>
  <c r="L4791" i="11"/>
  <c r="L4792" i="11"/>
  <c r="L4793" i="11"/>
  <c r="L4794" i="11"/>
  <c r="L4795" i="11"/>
  <c r="L4796" i="11"/>
  <c r="L4797" i="11"/>
  <c r="L4798" i="11"/>
  <c r="L4799" i="11"/>
  <c r="L4800" i="11"/>
  <c r="L4801" i="11"/>
  <c r="L4802" i="11"/>
  <c r="L4803" i="11"/>
  <c r="L4804" i="11"/>
  <c r="L4805" i="11"/>
  <c r="L4806" i="11"/>
  <c r="L4807" i="11"/>
  <c r="L4808" i="11"/>
  <c r="L4809" i="11"/>
  <c r="L4810" i="11"/>
  <c r="L4811" i="11"/>
  <c r="L4812" i="11"/>
  <c r="L4813" i="11"/>
  <c r="L4814" i="11"/>
  <c r="L4815" i="11"/>
  <c r="L4816" i="11"/>
  <c r="L4817" i="11"/>
  <c r="L4818" i="11"/>
  <c r="L4819" i="11"/>
  <c r="L4820" i="11"/>
  <c r="L4821" i="11"/>
  <c r="L4822" i="11"/>
  <c r="L4823" i="11"/>
  <c r="L4824" i="11"/>
  <c r="L4825" i="11"/>
  <c r="L4826" i="11"/>
  <c r="L4827" i="11"/>
  <c r="L4828" i="11"/>
  <c r="L4829" i="11"/>
  <c r="L4830" i="11"/>
  <c r="L4831" i="11"/>
  <c r="L4832" i="11"/>
  <c r="L4833" i="11"/>
  <c r="L4834" i="11"/>
  <c r="L4835" i="11"/>
  <c r="L4836" i="11"/>
  <c r="L4837" i="11"/>
  <c r="L4838" i="11"/>
  <c r="L4839" i="11"/>
  <c r="L4840" i="11"/>
  <c r="L4841" i="11"/>
  <c r="L4842" i="11"/>
  <c r="L4843" i="11"/>
  <c r="L4844" i="11"/>
  <c r="L4845" i="11"/>
  <c r="L4846" i="11"/>
  <c r="L4847" i="11"/>
  <c r="L4848" i="11"/>
  <c r="L4849" i="11"/>
  <c r="L4850" i="11"/>
  <c r="L4851" i="11"/>
  <c r="L4852" i="11"/>
  <c r="L4853" i="11"/>
  <c r="L4854" i="11"/>
  <c r="L4855" i="11"/>
  <c r="L4856" i="11"/>
  <c r="L4857" i="11"/>
  <c r="L4858" i="11"/>
  <c r="L4859" i="11"/>
  <c r="L4860" i="11"/>
  <c r="L4861" i="11"/>
  <c r="L4862" i="11"/>
  <c r="L4863" i="11"/>
  <c r="L4864" i="11"/>
  <c r="L4865" i="11"/>
  <c r="L4866" i="11"/>
  <c r="L4867" i="11"/>
  <c r="L4868" i="11"/>
  <c r="L4869" i="11"/>
  <c r="L4870" i="11"/>
  <c r="L4871" i="11"/>
  <c r="L4872" i="11"/>
  <c r="L4873" i="11"/>
  <c r="L4874" i="11"/>
  <c r="L4875" i="11"/>
  <c r="L4876" i="11"/>
  <c r="L4877" i="11"/>
  <c r="L4878" i="11"/>
  <c r="L4879" i="11"/>
  <c r="L4880" i="11"/>
  <c r="L4881" i="11"/>
  <c r="L4882" i="11"/>
  <c r="L4883" i="11"/>
  <c r="L4884" i="11"/>
  <c r="L4885" i="11"/>
  <c r="L4886" i="11"/>
  <c r="L4887" i="11"/>
  <c r="L4888" i="11"/>
  <c r="L4889" i="11"/>
  <c r="L4890" i="11"/>
  <c r="L4891" i="11"/>
  <c r="L4892" i="11"/>
  <c r="L4893" i="11"/>
  <c r="L4894" i="11"/>
  <c r="L4895" i="11"/>
  <c r="L4896" i="11"/>
  <c r="L4897" i="11"/>
  <c r="L4898" i="11"/>
  <c r="L4899" i="11"/>
  <c r="L4900" i="11"/>
  <c r="L4901" i="11"/>
  <c r="L4902" i="11"/>
  <c r="L4903" i="11"/>
  <c r="L4904" i="11"/>
  <c r="L4905" i="11"/>
  <c r="L4906" i="11"/>
  <c r="L4907" i="11"/>
  <c r="L4908" i="11"/>
  <c r="L4909" i="11"/>
  <c r="L4910" i="11"/>
  <c r="L4911" i="11"/>
  <c r="L4912" i="11"/>
  <c r="L4913" i="11"/>
  <c r="L4914" i="11"/>
  <c r="L4915" i="11"/>
  <c r="L4916" i="11"/>
  <c r="L4917" i="11"/>
  <c r="L4918" i="11"/>
  <c r="L4919" i="11"/>
  <c r="L4920" i="11"/>
  <c r="L4921" i="11"/>
  <c r="L4922" i="11"/>
  <c r="L4923" i="11"/>
  <c r="L4924" i="11"/>
  <c r="L4925" i="11"/>
  <c r="L4926" i="11"/>
  <c r="L4927" i="11"/>
  <c r="L4928" i="11"/>
  <c r="L4929" i="11"/>
  <c r="L4930" i="11"/>
  <c r="L4931" i="11"/>
  <c r="L4932" i="11"/>
  <c r="L4933" i="11"/>
  <c r="L4934" i="11"/>
  <c r="L4935" i="11"/>
  <c r="L4936" i="11"/>
  <c r="L4937" i="11"/>
  <c r="L4938" i="11"/>
  <c r="L4939" i="11"/>
  <c r="L4940" i="11"/>
  <c r="L4941" i="11"/>
  <c r="L4942" i="11"/>
  <c r="L4943" i="11"/>
  <c r="L4944" i="11"/>
  <c r="L4945" i="11"/>
  <c r="L4946" i="11"/>
  <c r="L4947" i="11"/>
  <c r="L4948" i="11"/>
  <c r="L4949" i="11"/>
  <c r="L4950" i="11"/>
  <c r="L4951" i="11"/>
  <c r="L4952" i="11"/>
  <c r="L4953" i="11"/>
  <c r="L4954" i="11"/>
  <c r="L4955" i="11"/>
  <c r="L4956" i="11"/>
  <c r="L4957" i="11"/>
  <c r="L4958" i="11"/>
  <c r="L4959" i="11"/>
  <c r="L4960" i="11"/>
  <c r="L4961" i="11"/>
  <c r="L4962" i="11"/>
  <c r="L4963" i="11"/>
  <c r="L4964" i="11"/>
  <c r="L4965" i="11"/>
  <c r="L4966" i="11"/>
  <c r="L4967" i="11"/>
  <c r="L4968" i="11"/>
  <c r="L4969" i="11"/>
  <c r="L4970" i="11"/>
  <c r="L4971" i="11"/>
  <c r="L4972" i="11"/>
  <c r="L4973" i="11"/>
  <c r="L4974" i="11"/>
  <c r="L4975" i="11"/>
  <c r="L4976" i="11"/>
  <c r="L4977" i="11"/>
  <c r="L4978" i="11"/>
  <c r="L4979" i="11"/>
  <c r="L4980" i="11"/>
  <c r="L4981" i="11"/>
  <c r="L4982" i="11"/>
  <c r="L4983" i="11"/>
  <c r="L4984" i="11"/>
  <c r="L4985" i="11"/>
  <c r="L4986" i="11"/>
  <c r="L4987" i="11"/>
  <c r="L4988" i="11"/>
  <c r="L4989" i="11"/>
  <c r="L4990" i="11"/>
  <c r="L4991" i="11"/>
  <c r="L4992" i="11"/>
  <c r="L4993" i="11"/>
  <c r="L4994" i="11"/>
  <c r="L4995" i="11"/>
  <c r="L4996" i="11"/>
  <c r="L4997" i="11"/>
  <c r="L4998" i="11"/>
  <c r="L4999" i="11"/>
  <c r="L5000" i="11"/>
  <c r="L5001" i="11"/>
  <c r="L5002" i="11"/>
  <c r="L5003" i="11"/>
  <c r="L5004" i="11"/>
  <c r="L5005" i="11"/>
  <c r="L5006" i="11"/>
  <c r="L5007" i="11"/>
  <c r="L5008" i="11"/>
  <c r="L5009" i="11"/>
  <c r="L5010" i="11"/>
  <c r="L5011" i="11"/>
  <c r="L5012" i="11"/>
  <c r="L5013" i="11"/>
  <c r="L5014" i="11"/>
  <c r="L5015" i="11"/>
  <c r="L5016" i="11"/>
  <c r="L5017" i="11"/>
  <c r="L5018" i="11"/>
  <c r="L5019" i="11"/>
  <c r="L5020" i="11"/>
  <c r="L5021" i="11"/>
  <c r="L5022" i="11"/>
  <c r="L5023" i="11"/>
  <c r="L5024" i="11"/>
  <c r="L5025" i="11"/>
  <c r="L5026" i="11"/>
  <c r="L5027" i="11"/>
  <c r="L5028" i="11"/>
  <c r="L5029" i="11"/>
  <c r="L5030" i="11"/>
  <c r="L5031" i="11"/>
  <c r="L5032" i="11"/>
  <c r="L5033" i="11"/>
  <c r="L5034" i="11"/>
  <c r="L5035" i="11"/>
  <c r="L5036" i="11"/>
  <c r="L5037" i="11"/>
  <c r="L5038" i="11"/>
  <c r="L5039" i="11"/>
  <c r="L5040" i="11"/>
  <c r="L5041" i="11"/>
  <c r="L5042" i="11"/>
  <c r="L5043" i="11"/>
  <c r="L5044" i="11"/>
  <c r="L5045" i="11"/>
  <c r="L5046" i="11"/>
  <c r="L5047" i="11"/>
  <c r="L5048" i="11"/>
  <c r="L5049" i="11"/>
  <c r="L5050" i="11"/>
  <c r="L5051" i="11"/>
  <c r="L5052" i="11"/>
  <c r="L5053" i="11"/>
  <c r="L5054" i="11"/>
  <c r="L5055" i="11"/>
  <c r="L5056" i="11"/>
  <c r="L5057" i="11"/>
  <c r="L5058" i="11"/>
  <c r="L5059" i="11"/>
  <c r="L5060" i="11"/>
  <c r="L5061" i="11"/>
  <c r="L5062" i="11"/>
  <c r="L5063" i="11"/>
  <c r="L5064" i="11"/>
  <c r="L5065" i="11"/>
  <c r="L5066" i="11"/>
  <c r="L5067" i="11"/>
  <c r="L5068" i="11"/>
  <c r="L5069" i="11"/>
  <c r="L5070" i="11"/>
  <c r="L5071" i="11"/>
  <c r="L5072" i="11"/>
  <c r="L5073" i="11"/>
  <c r="L5074" i="11"/>
  <c r="L5075" i="11"/>
  <c r="L5076" i="11"/>
  <c r="L5077" i="11"/>
  <c r="L5078" i="11"/>
  <c r="L5079" i="11"/>
  <c r="L5080" i="11"/>
  <c r="L5081" i="11"/>
  <c r="L5082" i="11"/>
  <c r="L5083" i="11"/>
  <c r="L5084" i="11"/>
  <c r="L5085" i="11"/>
  <c r="L5086" i="11"/>
  <c r="L5087" i="11"/>
  <c r="L5088" i="11"/>
  <c r="L5089" i="11"/>
  <c r="L5090" i="11"/>
  <c r="L5091" i="11"/>
  <c r="L5092" i="11"/>
  <c r="L5093" i="11"/>
  <c r="L5094" i="11"/>
  <c r="L5095" i="11"/>
  <c r="L5096" i="11"/>
  <c r="L5097" i="11"/>
  <c r="L5098" i="11"/>
  <c r="L5099" i="11"/>
  <c r="L5100" i="11"/>
  <c r="L5101" i="11"/>
  <c r="L5102" i="11"/>
  <c r="L5103" i="11"/>
  <c r="L5104" i="11"/>
  <c r="L5105" i="11"/>
  <c r="L5106" i="11"/>
  <c r="L5107" i="11"/>
  <c r="L5108" i="11"/>
  <c r="L5109" i="11"/>
  <c r="L5110" i="11"/>
  <c r="L5111" i="11"/>
  <c r="L5112" i="11"/>
  <c r="L5113" i="11"/>
  <c r="L5114" i="11"/>
  <c r="L5115" i="11"/>
  <c r="L5116" i="11"/>
  <c r="L5117" i="11"/>
  <c r="L5118" i="11"/>
  <c r="L5119" i="11"/>
  <c r="L5120" i="11"/>
  <c r="L5121" i="11"/>
  <c r="L5122" i="11"/>
  <c r="L5123" i="11"/>
  <c r="L5124" i="11"/>
  <c r="L5125" i="11"/>
  <c r="L5126" i="11"/>
  <c r="L5127" i="11"/>
  <c r="L5128" i="11"/>
  <c r="L5129" i="11"/>
  <c r="L5130" i="11"/>
  <c r="L5131" i="11"/>
  <c r="L5132" i="11"/>
  <c r="L5133" i="11"/>
  <c r="L5134" i="11"/>
  <c r="L5135" i="11"/>
  <c r="L5136" i="11"/>
  <c r="L5137" i="11"/>
  <c r="L5138" i="11"/>
  <c r="L5139" i="11"/>
  <c r="L5140" i="11"/>
  <c r="L5141" i="11"/>
  <c r="L5142" i="11"/>
  <c r="L5143" i="11"/>
  <c r="L5144" i="11"/>
  <c r="L5145" i="11"/>
  <c r="L5146" i="11"/>
  <c r="L5147" i="11"/>
  <c r="L5148" i="11"/>
  <c r="L5149" i="11"/>
  <c r="L5150" i="11"/>
  <c r="L5151" i="11"/>
  <c r="L5152" i="11"/>
  <c r="L5153" i="11"/>
  <c r="L5154" i="11"/>
  <c r="L5155" i="11"/>
  <c r="L5156" i="11"/>
  <c r="L5157" i="11"/>
  <c r="L5158" i="11"/>
  <c r="L5159" i="11"/>
  <c r="L5160" i="11"/>
  <c r="L5161" i="11"/>
  <c r="L5162" i="11"/>
  <c r="L5163" i="11"/>
  <c r="L5164" i="11"/>
  <c r="L5165" i="11"/>
  <c r="L5166" i="11"/>
  <c r="L5167" i="11"/>
  <c r="L5168" i="11"/>
  <c r="L5169" i="11"/>
  <c r="L5170" i="11"/>
  <c r="L5171" i="11"/>
  <c r="L5172" i="11"/>
  <c r="L5173" i="11"/>
  <c r="L5174" i="11"/>
  <c r="L5175" i="11"/>
  <c r="L5176" i="11"/>
  <c r="L5177" i="11"/>
  <c r="L5178" i="11"/>
  <c r="L5179" i="11"/>
  <c r="L5180" i="11"/>
  <c r="L5181" i="11"/>
  <c r="L5182" i="11"/>
  <c r="L5183" i="11"/>
  <c r="L5184" i="11"/>
  <c r="L5185" i="11"/>
  <c r="L5186" i="11"/>
  <c r="L5187" i="11"/>
  <c r="L5188" i="11"/>
  <c r="L5189" i="11"/>
  <c r="L5190" i="11"/>
  <c r="L5191" i="11"/>
  <c r="L5192" i="11"/>
  <c r="L5193" i="11"/>
  <c r="L5194" i="11"/>
  <c r="L5195" i="11"/>
  <c r="L5196" i="11"/>
  <c r="L5197" i="11"/>
  <c r="L5198" i="11"/>
  <c r="L5199" i="11"/>
  <c r="L5200" i="11"/>
  <c r="L5201" i="11"/>
  <c r="L5202" i="11"/>
  <c r="L5203" i="11"/>
  <c r="L5204" i="11"/>
  <c r="L5205" i="11"/>
  <c r="L5206" i="11"/>
  <c r="L5207" i="11"/>
  <c r="L5208" i="11"/>
  <c r="L5209" i="11"/>
  <c r="L5210" i="11"/>
  <c r="L5211" i="11"/>
  <c r="L5212" i="11"/>
  <c r="L5213" i="11"/>
  <c r="L5214" i="11"/>
  <c r="L5215" i="11"/>
  <c r="L5216" i="11"/>
  <c r="L5217" i="11"/>
  <c r="L5218" i="11"/>
  <c r="L5219" i="11"/>
  <c r="L5220" i="11"/>
  <c r="L5221" i="11"/>
  <c r="L5222" i="11"/>
  <c r="L5223" i="11"/>
  <c r="L5224" i="11"/>
  <c r="L5225" i="11"/>
  <c r="L5226" i="11"/>
  <c r="L5227" i="11"/>
  <c r="L5228" i="11"/>
  <c r="L5229" i="11"/>
  <c r="L5230" i="11"/>
  <c r="L5231" i="11"/>
  <c r="L5232" i="11"/>
  <c r="L5233" i="11"/>
  <c r="L5234" i="11"/>
  <c r="L5235" i="11"/>
  <c r="L5236" i="11"/>
  <c r="L5237" i="11"/>
  <c r="L5238" i="11"/>
  <c r="L5239" i="11"/>
  <c r="L5240" i="11"/>
  <c r="L5241" i="11"/>
  <c r="L5242" i="11"/>
  <c r="L5243" i="11"/>
  <c r="L5244" i="11"/>
  <c r="L5245" i="11"/>
  <c r="L5246" i="11"/>
  <c r="L5247" i="11"/>
  <c r="L5248" i="11"/>
  <c r="L5249" i="11"/>
  <c r="L5250" i="11"/>
  <c r="L5251" i="11"/>
  <c r="L5252" i="11"/>
  <c r="L5253" i="11"/>
  <c r="L5254" i="11"/>
  <c r="L5255" i="11"/>
  <c r="L5256" i="11"/>
  <c r="L5257" i="11"/>
  <c r="L5258" i="11"/>
  <c r="L5259" i="11"/>
  <c r="L5260" i="11"/>
  <c r="L5261" i="11"/>
  <c r="L5262" i="11"/>
  <c r="L5263" i="11"/>
  <c r="L5264" i="11"/>
  <c r="L5265" i="11"/>
  <c r="L5266" i="11"/>
  <c r="L5267" i="11"/>
  <c r="L5268" i="11"/>
  <c r="L5269" i="11"/>
  <c r="L5270" i="11"/>
  <c r="L5271" i="11"/>
  <c r="L5272" i="11"/>
  <c r="L5273" i="11"/>
  <c r="L5274" i="11"/>
  <c r="L5275" i="11"/>
  <c r="L5276" i="11"/>
  <c r="L5277" i="11"/>
  <c r="L5278" i="11"/>
  <c r="L5279" i="11"/>
  <c r="L5280" i="11"/>
  <c r="L5281" i="11"/>
  <c r="L5282" i="11"/>
  <c r="L5283" i="11"/>
  <c r="L5284" i="11"/>
  <c r="L5285" i="11"/>
  <c r="L5286" i="11"/>
  <c r="L5287" i="11"/>
  <c r="L5288" i="11"/>
  <c r="L5289" i="11"/>
  <c r="L5290" i="11"/>
  <c r="L5291" i="11"/>
  <c r="L5292" i="11"/>
  <c r="L5293" i="11"/>
  <c r="L5294" i="11"/>
  <c r="L5295" i="11"/>
  <c r="L5296" i="11"/>
  <c r="L5297" i="11"/>
  <c r="L5298" i="11"/>
  <c r="L5299" i="11"/>
  <c r="L5300" i="11"/>
  <c r="L5301" i="11"/>
  <c r="L5302" i="11"/>
  <c r="L5303" i="11"/>
  <c r="L5304" i="11"/>
  <c r="L5305" i="11"/>
  <c r="L5306" i="11"/>
  <c r="L5307" i="11"/>
  <c r="L5308" i="11"/>
  <c r="L5309" i="11"/>
  <c r="L5310" i="11"/>
  <c r="L5311" i="11"/>
  <c r="L5312" i="11"/>
  <c r="L5313" i="11"/>
  <c r="L5314" i="11"/>
  <c r="L5315" i="11"/>
  <c r="L5316" i="11"/>
  <c r="L5317" i="11"/>
  <c r="L5318" i="11"/>
  <c r="L5319" i="11"/>
  <c r="L5320" i="11"/>
  <c r="L5321" i="11"/>
  <c r="L5322" i="11"/>
  <c r="L5323" i="11"/>
  <c r="L5324" i="11"/>
  <c r="L5325" i="11"/>
  <c r="L5326" i="11"/>
  <c r="L5327" i="11"/>
  <c r="L5328" i="11"/>
  <c r="L5329" i="11"/>
  <c r="L5330" i="11"/>
  <c r="L5331" i="11"/>
  <c r="L5332" i="11"/>
  <c r="L5333" i="11"/>
  <c r="L5334" i="11"/>
  <c r="L5335" i="11"/>
  <c r="L5336" i="11"/>
  <c r="L5337" i="11"/>
  <c r="L5338" i="11"/>
  <c r="L5339" i="11"/>
  <c r="L5340" i="11"/>
  <c r="L5341" i="11"/>
  <c r="L5342" i="11"/>
  <c r="L5343" i="11"/>
  <c r="L5344" i="11"/>
  <c r="L5345" i="11"/>
  <c r="L5346" i="11"/>
  <c r="L5347" i="11"/>
  <c r="L5348" i="11"/>
  <c r="L5349" i="11"/>
  <c r="L5350" i="11"/>
  <c r="L5351" i="11"/>
  <c r="L5352" i="11"/>
  <c r="L5353" i="11"/>
  <c r="L5354" i="11"/>
  <c r="L5355" i="11"/>
  <c r="L5356" i="11"/>
  <c r="L5357" i="11"/>
  <c r="L5358" i="11"/>
  <c r="L5359" i="11"/>
  <c r="L5360" i="11"/>
  <c r="L5361" i="11"/>
  <c r="L5362" i="11"/>
  <c r="L5363" i="11"/>
  <c r="L5364" i="11"/>
  <c r="L5365" i="11"/>
  <c r="L5366" i="11"/>
  <c r="L5367" i="11"/>
  <c r="L5368" i="11"/>
  <c r="L5369" i="11"/>
  <c r="L5370" i="11"/>
  <c r="L5371" i="11"/>
  <c r="L5372" i="11"/>
  <c r="L5373" i="11"/>
  <c r="L5374" i="11"/>
  <c r="L5375" i="11"/>
  <c r="L5376" i="11"/>
  <c r="L5377" i="11"/>
  <c r="L5378" i="11"/>
  <c r="L5379" i="11"/>
  <c r="L5380" i="11"/>
  <c r="L5381" i="11"/>
  <c r="L5382" i="11"/>
  <c r="L5383" i="11"/>
  <c r="L5384" i="11"/>
  <c r="L5385" i="11"/>
  <c r="L5386" i="11"/>
  <c r="L5387" i="11"/>
  <c r="L5388" i="11"/>
  <c r="L5389" i="11"/>
  <c r="L5390" i="11"/>
  <c r="L5391" i="11"/>
  <c r="L5392" i="11"/>
  <c r="L5393" i="11"/>
  <c r="L5394" i="11"/>
  <c r="L5395" i="11"/>
  <c r="L5396" i="11"/>
  <c r="L5397" i="11"/>
  <c r="L5398" i="11"/>
  <c r="L5399" i="11"/>
  <c r="L5400" i="11"/>
  <c r="L5401" i="11"/>
  <c r="L5402" i="11"/>
  <c r="L5403" i="11"/>
  <c r="L5404" i="11"/>
  <c r="L5405" i="11"/>
  <c r="L5406" i="11"/>
  <c r="L5407" i="11"/>
  <c r="L5408" i="11"/>
  <c r="L5409" i="11"/>
  <c r="L5410" i="11"/>
  <c r="L5411" i="11"/>
  <c r="L5412" i="11"/>
  <c r="L5413" i="11"/>
  <c r="L5414" i="11"/>
  <c r="L5415" i="11"/>
  <c r="L5416" i="11"/>
  <c r="L5417" i="11"/>
  <c r="L5418" i="11"/>
  <c r="L5419" i="11"/>
  <c r="L5420" i="11"/>
  <c r="L5421" i="11"/>
  <c r="L5422" i="11"/>
  <c r="L5423" i="11"/>
  <c r="L5424" i="11"/>
  <c r="L5425" i="11"/>
  <c r="L5426" i="11"/>
  <c r="L5427" i="11"/>
  <c r="L5428" i="11"/>
  <c r="L5429" i="11"/>
  <c r="L5430" i="11"/>
  <c r="L5431" i="11"/>
  <c r="L5432" i="11"/>
  <c r="L5433" i="11"/>
  <c r="L5434" i="11"/>
  <c r="L5435" i="11"/>
  <c r="L5436" i="11"/>
  <c r="L5437" i="11"/>
  <c r="L5438" i="11"/>
  <c r="L5439" i="11"/>
  <c r="L5440" i="11"/>
  <c r="L5441" i="11"/>
  <c r="L5442" i="11"/>
  <c r="L5443" i="11"/>
  <c r="L5444" i="11"/>
  <c r="L5445" i="11"/>
  <c r="L5446" i="11"/>
  <c r="L5447" i="11"/>
  <c r="L5448" i="11"/>
  <c r="L5449" i="11"/>
  <c r="L5450" i="11"/>
  <c r="L5451" i="11"/>
  <c r="L5452" i="11"/>
  <c r="L5453" i="11"/>
  <c r="L5454" i="11"/>
  <c r="L5455" i="11"/>
  <c r="L5456" i="11"/>
  <c r="L5457" i="11"/>
  <c r="L5458" i="11"/>
  <c r="L5459" i="11"/>
  <c r="L5460" i="11"/>
  <c r="L5461" i="11"/>
  <c r="L5462" i="11"/>
  <c r="L5463" i="11"/>
  <c r="L5464" i="11"/>
  <c r="L5465" i="11"/>
  <c r="L5466" i="11"/>
  <c r="L5467" i="11"/>
  <c r="L5468" i="11"/>
  <c r="L5469" i="11"/>
  <c r="L5470" i="11"/>
  <c r="L5471" i="11"/>
  <c r="L5472" i="11"/>
  <c r="L5473" i="11"/>
  <c r="L5474" i="11"/>
  <c r="L5475" i="11"/>
  <c r="L5476" i="11"/>
  <c r="L5477" i="11"/>
  <c r="L5478" i="11"/>
  <c r="L5479" i="11"/>
  <c r="L5480" i="11"/>
  <c r="L5481" i="11"/>
  <c r="L5482" i="11"/>
  <c r="L5483" i="11"/>
  <c r="L5484" i="11"/>
  <c r="L5485" i="11"/>
  <c r="L5486" i="11"/>
  <c r="L5487" i="11"/>
  <c r="L5488" i="11"/>
  <c r="L5489" i="11"/>
  <c r="L5490" i="11"/>
  <c r="L5491" i="11"/>
  <c r="L5492" i="11"/>
  <c r="L5493" i="11"/>
  <c r="L5494" i="11"/>
  <c r="L5495" i="11"/>
  <c r="L5496" i="11"/>
  <c r="L5497" i="11"/>
  <c r="L5498" i="11"/>
  <c r="L5499" i="11"/>
  <c r="L5500" i="11"/>
  <c r="L5501" i="11"/>
  <c r="L5502" i="11"/>
  <c r="L5503" i="11"/>
  <c r="L5504" i="11"/>
  <c r="L5505" i="11"/>
  <c r="L5506" i="11"/>
  <c r="L5507" i="11"/>
  <c r="L5508" i="11"/>
  <c r="L5509" i="11"/>
  <c r="L5510" i="11"/>
  <c r="L5511" i="11"/>
  <c r="L5512" i="11"/>
  <c r="L5513" i="11"/>
  <c r="L5514" i="11"/>
  <c r="L5515" i="11"/>
  <c r="L5516" i="11"/>
  <c r="L5517" i="11"/>
  <c r="L5518" i="11"/>
  <c r="L5519" i="11"/>
  <c r="L5520" i="11"/>
  <c r="L5521" i="11"/>
  <c r="L5522" i="11"/>
  <c r="L5523" i="11"/>
  <c r="L5524" i="11"/>
  <c r="L5525" i="11"/>
  <c r="L5526" i="11"/>
  <c r="L5527" i="11"/>
  <c r="L5528" i="11"/>
  <c r="L5529" i="11"/>
  <c r="L5530" i="11"/>
  <c r="L5531" i="11"/>
  <c r="L5532" i="11"/>
  <c r="L5533" i="11"/>
  <c r="L5534" i="11"/>
  <c r="L5535" i="11"/>
  <c r="L5536" i="11"/>
  <c r="L5537" i="11"/>
  <c r="L5538" i="11"/>
  <c r="L5539" i="11"/>
  <c r="L5540" i="11"/>
  <c r="L5541" i="11"/>
  <c r="L5542" i="11"/>
  <c r="L5543" i="11"/>
  <c r="L5544" i="11"/>
  <c r="L5545" i="11"/>
  <c r="L5546" i="11"/>
  <c r="L5547" i="11"/>
  <c r="L5548" i="11"/>
  <c r="L5549" i="11"/>
  <c r="L5550" i="11"/>
  <c r="L5551" i="11"/>
  <c r="L5552" i="11"/>
  <c r="L5553" i="11"/>
  <c r="L5554" i="11"/>
  <c r="L5555" i="11"/>
  <c r="L5556" i="11"/>
  <c r="L5557" i="11"/>
  <c r="L5558" i="11"/>
  <c r="L5559" i="11"/>
  <c r="L5560" i="11"/>
  <c r="L5561" i="11"/>
  <c r="L5562" i="11"/>
  <c r="L5563" i="11"/>
  <c r="L5564" i="11"/>
  <c r="L5565" i="11"/>
  <c r="L5566" i="11"/>
  <c r="L5567" i="11"/>
  <c r="L5568" i="11"/>
  <c r="L5569" i="11"/>
  <c r="L5570" i="11"/>
  <c r="L5571" i="11"/>
  <c r="L5572" i="11"/>
  <c r="L5573" i="11"/>
  <c r="L5574" i="11"/>
  <c r="L5575" i="11"/>
  <c r="L5576" i="11"/>
  <c r="L5577" i="11"/>
  <c r="L5578" i="11"/>
  <c r="L5579" i="11"/>
  <c r="L5580" i="11"/>
  <c r="L5581" i="11"/>
  <c r="L5582" i="11"/>
  <c r="L5583" i="11"/>
  <c r="L5584" i="11"/>
  <c r="L5585" i="11"/>
  <c r="L5586" i="11"/>
  <c r="L5587" i="11"/>
  <c r="L5588" i="11"/>
  <c r="L5589" i="11"/>
  <c r="L5590" i="11"/>
  <c r="L5591" i="11"/>
  <c r="L5592" i="11"/>
  <c r="L5593" i="11"/>
  <c r="L5594" i="11"/>
  <c r="L5595" i="11"/>
  <c r="L5596" i="11"/>
  <c r="L5597" i="11"/>
  <c r="L5598" i="11"/>
  <c r="L5599" i="11"/>
  <c r="L5600" i="11"/>
  <c r="L5601" i="11"/>
  <c r="L5602" i="11"/>
  <c r="L5603" i="11"/>
  <c r="L5604" i="11"/>
  <c r="L5605" i="11"/>
  <c r="L5606" i="11"/>
  <c r="L5607" i="11"/>
  <c r="L5608" i="11"/>
  <c r="L5609" i="11"/>
  <c r="L5610" i="11"/>
  <c r="L5611" i="11"/>
  <c r="L5612" i="11"/>
  <c r="L5613" i="11"/>
  <c r="L5614" i="11"/>
  <c r="L5615" i="11"/>
  <c r="L5616" i="11"/>
  <c r="L5617" i="11"/>
  <c r="L5618" i="11"/>
  <c r="L5619" i="11"/>
  <c r="L5620" i="11"/>
  <c r="L5621" i="11"/>
  <c r="L5622" i="11"/>
  <c r="L5623" i="11"/>
  <c r="L5624" i="11"/>
  <c r="L5625" i="11"/>
  <c r="L5626" i="11"/>
  <c r="L5627" i="11"/>
  <c r="L5628" i="11"/>
  <c r="L5629" i="11"/>
  <c r="L5630" i="11"/>
  <c r="L5631" i="11"/>
  <c r="L5632" i="11"/>
  <c r="L5633" i="11"/>
  <c r="L5634" i="11"/>
  <c r="L5635" i="11"/>
  <c r="L5636" i="11"/>
  <c r="L5637" i="11"/>
  <c r="L5638" i="11"/>
  <c r="L5639" i="11"/>
  <c r="L5640" i="11"/>
  <c r="L5641" i="11"/>
  <c r="L5642" i="11"/>
  <c r="L5643" i="11"/>
  <c r="L5644" i="11"/>
  <c r="L5645" i="11"/>
  <c r="L5646" i="11"/>
  <c r="L5647" i="11"/>
  <c r="L5648" i="11"/>
  <c r="L5649" i="11"/>
  <c r="L5650" i="11"/>
  <c r="L5651" i="11"/>
  <c r="L5652" i="11"/>
  <c r="L5653" i="11"/>
  <c r="L5654" i="11"/>
  <c r="L5655" i="11"/>
  <c r="L5656" i="11"/>
  <c r="L5657" i="11"/>
  <c r="L5658" i="11"/>
  <c r="L5659" i="11"/>
  <c r="L5660" i="11"/>
  <c r="L5661" i="11"/>
  <c r="L5662" i="11"/>
  <c r="L5663" i="11"/>
  <c r="L5664" i="11"/>
  <c r="L5665" i="11"/>
  <c r="L5666" i="11"/>
  <c r="L5667" i="11"/>
  <c r="L5668" i="11"/>
  <c r="L5669" i="11"/>
  <c r="L5670" i="11"/>
  <c r="L5671" i="11"/>
  <c r="L5672" i="11"/>
  <c r="L5673" i="11"/>
  <c r="L5674" i="11"/>
  <c r="L5675" i="11"/>
  <c r="L5676" i="11"/>
  <c r="L5677" i="11"/>
  <c r="L5678" i="11"/>
  <c r="L5679" i="11"/>
  <c r="L5680" i="11"/>
  <c r="L5681" i="11"/>
  <c r="L5682" i="11"/>
  <c r="L5683" i="11"/>
  <c r="L5684" i="11"/>
  <c r="L5685" i="11"/>
  <c r="L5686" i="11"/>
  <c r="L5687" i="11"/>
  <c r="L5688" i="11"/>
  <c r="L5689" i="11"/>
  <c r="L5690" i="11"/>
  <c r="L5691" i="11"/>
  <c r="L5692" i="11"/>
  <c r="L5693" i="11"/>
  <c r="L5694" i="11"/>
  <c r="L5695" i="11"/>
  <c r="L5696" i="11"/>
  <c r="L5697" i="11"/>
  <c r="L5698" i="11"/>
  <c r="L5699" i="11"/>
  <c r="L5700" i="11"/>
  <c r="L5701" i="11"/>
  <c r="L5702" i="11"/>
  <c r="L5703" i="11"/>
  <c r="L5704" i="11"/>
  <c r="L5705" i="11"/>
  <c r="L5706" i="11"/>
  <c r="L5707" i="11"/>
  <c r="L5708" i="11"/>
  <c r="L5709" i="11"/>
  <c r="L5710" i="11"/>
  <c r="L5711" i="11"/>
  <c r="L5712" i="11"/>
  <c r="L5713" i="11"/>
  <c r="L5714" i="11"/>
  <c r="L5715" i="11"/>
  <c r="L5716" i="11"/>
  <c r="L5717" i="11"/>
  <c r="L5718" i="11"/>
  <c r="L5719" i="11"/>
  <c r="L5720" i="11"/>
  <c r="L5721" i="11"/>
  <c r="L5722" i="11"/>
  <c r="L5723" i="11"/>
  <c r="L5724" i="11"/>
  <c r="L5725" i="11"/>
  <c r="L5726" i="11"/>
  <c r="L5727" i="11"/>
  <c r="L5728" i="11"/>
  <c r="L5729" i="11"/>
  <c r="L5730" i="11"/>
  <c r="L5731" i="11"/>
  <c r="L5732" i="11"/>
  <c r="L5733" i="11"/>
  <c r="L5734" i="11"/>
  <c r="L5735" i="11"/>
  <c r="L5736" i="11"/>
  <c r="L5737" i="11"/>
  <c r="L5738" i="11"/>
  <c r="L5739" i="11"/>
  <c r="L5740" i="11"/>
  <c r="L5741" i="11"/>
  <c r="L5742" i="11"/>
  <c r="L5743" i="11"/>
  <c r="L5744" i="11"/>
  <c r="L5745" i="11"/>
  <c r="L5746" i="11"/>
  <c r="L5747" i="11"/>
  <c r="L5748" i="11"/>
  <c r="L5749" i="11"/>
  <c r="L5750" i="11"/>
  <c r="L5751" i="11"/>
  <c r="L5752" i="11"/>
  <c r="L5753" i="11"/>
  <c r="L5754" i="11"/>
  <c r="L5755" i="11"/>
  <c r="L5756" i="11"/>
  <c r="L5757" i="11"/>
  <c r="L5758" i="11"/>
  <c r="L5759" i="11"/>
  <c r="L5760" i="11"/>
  <c r="L5761" i="11"/>
  <c r="L5762" i="11"/>
  <c r="L5763" i="11"/>
  <c r="L5764" i="11"/>
  <c r="L5765" i="11"/>
  <c r="L5766" i="11"/>
  <c r="L5767" i="11"/>
  <c r="L5768" i="11"/>
  <c r="L5769" i="11"/>
  <c r="L5770" i="11"/>
  <c r="L5771" i="11"/>
  <c r="L5772" i="11"/>
  <c r="L5773" i="11"/>
  <c r="L5774" i="11"/>
  <c r="L5775" i="11"/>
  <c r="L5776" i="11"/>
  <c r="L5777" i="11"/>
  <c r="L5778" i="11"/>
  <c r="L5779" i="11"/>
  <c r="L5780" i="11"/>
  <c r="L5781" i="11"/>
  <c r="L5782" i="11"/>
  <c r="L5783" i="11"/>
  <c r="L5784" i="11"/>
  <c r="L5785" i="11"/>
  <c r="L5786" i="11"/>
  <c r="L5787" i="11"/>
  <c r="L5788" i="11"/>
  <c r="L5789" i="11"/>
  <c r="L5790" i="11"/>
  <c r="L5791" i="11"/>
  <c r="L5792" i="11"/>
  <c r="L5793" i="11"/>
  <c r="L5794" i="11"/>
  <c r="L5795" i="11"/>
  <c r="L5796" i="11"/>
  <c r="L5797" i="11"/>
  <c r="L5798" i="11"/>
  <c r="L5799" i="11"/>
  <c r="L5800" i="11"/>
  <c r="L5801" i="11"/>
  <c r="L5802" i="11"/>
  <c r="L5803" i="11"/>
  <c r="L5804" i="11"/>
  <c r="L5805" i="11"/>
  <c r="L5806" i="11"/>
  <c r="L5807" i="11"/>
  <c r="L5808" i="11"/>
  <c r="L5809" i="11"/>
  <c r="L5810" i="11"/>
  <c r="L5811" i="11"/>
  <c r="L5812" i="11"/>
  <c r="L5813" i="11"/>
  <c r="L5814" i="11"/>
  <c r="L5815" i="11"/>
  <c r="L5816" i="11"/>
  <c r="L5817" i="11"/>
  <c r="L5818" i="11"/>
  <c r="L5819" i="11"/>
  <c r="L5820" i="11"/>
  <c r="L5821" i="11"/>
  <c r="L5822" i="11"/>
  <c r="L5823" i="11"/>
  <c r="L5824" i="11"/>
  <c r="L5825" i="11"/>
  <c r="L5826" i="11"/>
  <c r="L5827" i="11"/>
  <c r="L5828" i="11"/>
  <c r="L5829" i="11"/>
  <c r="L5830" i="11"/>
  <c r="L5831" i="11"/>
  <c r="L5832" i="11"/>
  <c r="L5833" i="11"/>
  <c r="L5834" i="11"/>
  <c r="L5835" i="11"/>
  <c r="L5836" i="11"/>
  <c r="L5837" i="11"/>
  <c r="L5838" i="11"/>
  <c r="L5839" i="11"/>
  <c r="L5840" i="11"/>
  <c r="L5841" i="11"/>
  <c r="L5842" i="11"/>
  <c r="L5843" i="11"/>
  <c r="L5844" i="11"/>
  <c r="L5845" i="11"/>
  <c r="L5846" i="11"/>
  <c r="L5847" i="11"/>
  <c r="L5848" i="11"/>
  <c r="L5849" i="11"/>
  <c r="L5850" i="11"/>
  <c r="L5851" i="11"/>
  <c r="L5852" i="11"/>
  <c r="L5853" i="11"/>
  <c r="L5854" i="11"/>
  <c r="L5855" i="11"/>
  <c r="L5856" i="11"/>
  <c r="L5857" i="11"/>
  <c r="L5858" i="11"/>
  <c r="L5859" i="11"/>
  <c r="L5860" i="11"/>
  <c r="L5861" i="11"/>
  <c r="L5862" i="11"/>
  <c r="L5863" i="11"/>
  <c r="L5864" i="11"/>
  <c r="L5865" i="11"/>
  <c r="L5866" i="11"/>
  <c r="L5867" i="11"/>
  <c r="L5868" i="11"/>
  <c r="L5869" i="11"/>
  <c r="L5870" i="11"/>
  <c r="L5871" i="11"/>
  <c r="L5872" i="11"/>
  <c r="L5873" i="11"/>
  <c r="L5874" i="11"/>
  <c r="L5875" i="11"/>
  <c r="L5876" i="11"/>
  <c r="L5877" i="11"/>
  <c r="L5878" i="11"/>
  <c r="L5879" i="11"/>
  <c r="L5880" i="11"/>
  <c r="L5881" i="11"/>
  <c r="L5882" i="11"/>
  <c r="L5883" i="11"/>
  <c r="L5884" i="11"/>
  <c r="L5885" i="11"/>
  <c r="L5886" i="11"/>
  <c r="L5887" i="11"/>
  <c r="L5888" i="11"/>
  <c r="L5889" i="11"/>
  <c r="L5890" i="11"/>
  <c r="L5891" i="11"/>
  <c r="L5892" i="11"/>
  <c r="L5893" i="11"/>
  <c r="L5894" i="11"/>
  <c r="L5895" i="11"/>
  <c r="L5896" i="11"/>
  <c r="L5897" i="11"/>
  <c r="L5898" i="11"/>
  <c r="L5899" i="11"/>
  <c r="L5900" i="11"/>
  <c r="L5901" i="11"/>
  <c r="L5902" i="11"/>
  <c r="L5903" i="11"/>
  <c r="L5904" i="11"/>
  <c r="L5905" i="11"/>
  <c r="L5906" i="11"/>
  <c r="L5907" i="11"/>
  <c r="L5908" i="11"/>
  <c r="L5909" i="11"/>
  <c r="L5910" i="11"/>
  <c r="L5911" i="11"/>
  <c r="L5912" i="11"/>
  <c r="L5913" i="11"/>
  <c r="L5914" i="11"/>
  <c r="L5915" i="11"/>
  <c r="L5916" i="11"/>
  <c r="L5917" i="11"/>
  <c r="L5918" i="11"/>
  <c r="L5919" i="11"/>
  <c r="L5920" i="11"/>
  <c r="L5921" i="11"/>
  <c r="L5922" i="11"/>
  <c r="L5923" i="11"/>
  <c r="L5924" i="11"/>
  <c r="L5925" i="11"/>
  <c r="L5926" i="11"/>
  <c r="L5927" i="11"/>
  <c r="L5928" i="11"/>
  <c r="L5929" i="11"/>
  <c r="L5930" i="11"/>
  <c r="L5931" i="11"/>
  <c r="L5932" i="11"/>
  <c r="L5933" i="11"/>
  <c r="L5934" i="11"/>
  <c r="L5935" i="11"/>
  <c r="L5936" i="11"/>
  <c r="L5937" i="11"/>
  <c r="L5938" i="11"/>
  <c r="L5939" i="11"/>
  <c r="L5940" i="11"/>
  <c r="L5941" i="11"/>
  <c r="L5942" i="11"/>
  <c r="L5943" i="11"/>
  <c r="L5944" i="11"/>
  <c r="L5945" i="11"/>
  <c r="L5946" i="11"/>
  <c r="L5947" i="11"/>
  <c r="L5948" i="11"/>
  <c r="L5949" i="11"/>
  <c r="L5950" i="11"/>
  <c r="L5951" i="11"/>
  <c r="L5952" i="11"/>
  <c r="L5953" i="11"/>
  <c r="L5954" i="11"/>
  <c r="L5955" i="11"/>
  <c r="L5956" i="11"/>
  <c r="L5957" i="11"/>
  <c r="L5958" i="11"/>
  <c r="L5959" i="11"/>
  <c r="L5960" i="11"/>
  <c r="L5961" i="11"/>
  <c r="L5962" i="11"/>
  <c r="L5963" i="11"/>
  <c r="L5964" i="11"/>
  <c r="L5965" i="11"/>
  <c r="L5966" i="11"/>
  <c r="L5967" i="11"/>
  <c r="L5968" i="11"/>
  <c r="L5969" i="11"/>
  <c r="L5970" i="11"/>
  <c r="L5971" i="11"/>
  <c r="L5972" i="11"/>
  <c r="L5973" i="11"/>
  <c r="L5974" i="11"/>
  <c r="L5975" i="11"/>
  <c r="L5976" i="11"/>
  <c r="L5977" i="11"/>
  <c r="L5978" i="11"/>
  <c r="L5979" i="11"/>
  <c r="L5980" i="11"/>
  <c r="L5981" i="11"/>
  <c r="L5982" i="11"/>
  <c r="L5983" i="11"/>
  <c r="L5984" i="11"/>
  <c r="L5985" i="11"/>
  <c r="L5986" i="11"/>
  <c r="L5987" i="11"/>
  <c r="L5988" i="11"/>
  <c r="L5989" i="11"/>
  <c r="L5990" i="11"/>
  <c r="L5991" i="11"/>
  <c r="L5992" i="11"/>
  <c r="L5993" i="11"/>
  <c r="L5994" i="11"/>
  <c r="L5995" i="11"/>
  <c r="L5996" i="11"/>
  <c r="L5997" i="11"/>
  <c r="L5998" i="11"/>
  <c r="L5999" i="11"/>
  <c r="L6000" i="11"/>
  <c r="L6001" i="11"/>
  <c r="L6002" i="11"/>
  <c r="L6003" i="11"/>
  <c r="L6004" i="11"/>
  <c r="L6005" i="11"/>
  <c r="L6006" i="11"/>
  <c r="L6007" i="11"/>
  <c r="L6008" i="11"/>
  <c r="L6009" i="11"/>
  <c r="L6010" i="11"/>
  <c r="L6011" i="11"/>
  <c r="L6012" i="11"/>
  <c r="L6013" i="11"/>
  <c r="L6014" i="11"/>
  <c r="L6015" i="11"/>
  <c r="L6016" i="11"/>
  <c r="L6017" i="11"/>
  <c r="L6018" i="11"/>
  <c r="L6019" i="11"/>
  <c r="L6020" i="11"/>
  <c r="L6021" i="11"/>
  <c r="L6022" i="11"/>
  <c r="L6023" i="11"/>
  <c r="L6024" i="11"/>
  <c r="L6025" i="11"/>
  <c r="L6026" i="11"/>
  <c r="L6027" i="11"/>
  <c r="L6028" i="11"/>
  <c r="L6029" i="11"/>
  <c r="L6030" i="11"/>
  <c r="L6031" i="11"/>
  <c r="L6032" i="11"/>
  <c r="L6033" i="11"/>
  <c r="L6034" i="11"/>
  <c r="L6035" i="11"/>
  <c r="L6036" i="11"/>
  <c r="L6037" i="11"/>
  <c r="L6038" i="11"/>
  <c r="L6039" i="11"/>
  <c r="L6040" i="11"/>
  <c r="L6041" i="11"/>
  <c r="L6042" i="11"/>
  <c r="L6043" i="11"/>
  <c r="L6044" i="11"/>
  <c r="L6045" i="11"/>
  <c r="L6046" i="11"/>
  <c r="L6047" i="11"/>
  <c r="L6048" i="11"/>
  <c r="L6049" i="11"/>
  <c r="L6050" i="11"/>
  <c r="L6051" i="11"/>
  <c r="L6052" i="11"/>
  <c r="L6053" i="11"/>
  <c r="L6054" i="11"/>
  <c r="L6055" i="11"/>
  <c r="L6056" i="11"/>
  <c r="L6057" i="11"/>
  <c r="L6058" i="11"/>
  <c r="L6059" i="11"/>
  <c r="L6060" i="11"/>
  <c r="L6061" i="11"/>
  <c r="L6062" i="11"/>
  <c r="L6063" i="11"/>
  <c r="L6064" i="11"/>
  <c r="L6065" i="11"/>
  <c r="L6066" i="11"/>
  <c r="L6067" i="11"/>
  <c r="L6068" i="11"/>
  <c r="L6069" i="11"/>
  <c r="L6070" i="11"/>
  <c r="L6071" i="11"/>
  <c r="L6072" i="11"/>
  <c r="L6073" i="11"/>
  <c r="L6074" i="11"/>
  <c r="L6075" i="11"/>
  <c r="L6076" i="11"/>
  <c r="L6077" i="11"/>
  <c r="L6078" i="11"/>
  <c r="L6079" i="11"/>
  <c r="L6080" i="11"/>
  <c r="L6081" i="11"/>
  <c r="L6082" i="11"/>
  <c r="L6083" i="11"/>
  <c r="L6084" i="11"/>
  <c r="L6085" i="11"/>
  <c r="L6086" i="11"/>
  <c r="L6087" i="11"/>
  <c r="L6088" i="11"/>
  <c r="L6089" i="11"/>
  <c r="L6090" i="11"/>
  <c r="L6091" i="11"/>
  <c r="L6092" i="11"/>
  <c r="L6093" i="11"/>
  <c r="L6094" i="11"/>
  <c r="L6095" i="11"/>
  <c r="L6096" i="11"/>
  <c r="L6097" i="11"/>
  <c r="L6098" i="11"/>
  <c r="L6099" i="11"/>
  <c r="L6100" i="11"/>
  <c r="L6101" i="11"/>
  <c r="L6102" i="11"/>
  <c r="L6103" i="11"/>
  <c r="L6104" i="11"/>
  <c r="L6105" i="11"/>
  <c r="L6106" i="11"/>
  <c r="L6107" i="11"/>
  <c r="L6108" i="11"/>
  <c r="L6109" i="11"/>
  <c r="L6110" i="11"/>
  <c r="L6111" i="11"/>
  <c r="L6112" i="11"/>
  <c r="L6113" i="11"/>
  <c r="L6114" i="11"/>
  <c r="L6115" i="11"/>
  <c r="L6116" i="11"/>
  <c r="L6117" i="11"/>
  <c r="L6118" i="11"/>
  <c r="L6119" i="11"/>
  <c r="L6120" i="11"/>
  <c r="L6121" i="11"/>
  <c r="L6122" i="11"/>
  <c r="L6123" i="11"/>
  <c r="L6124" i="11"/>
  <c r="L6125" i="11"/>
  <c r="L6126" i="11"/>
  <c r="L6127" i="11"/>
  <c r="L6128" i="11"/>
  <c r="L6129" i="11"/>
  <c r="L6130" i="11"/>
  <c r="L6131" i="11"/>
  <c r="L6132" i="11"/>
  <c r="L6133" i="11"/>
  <c r="L6134" i="11"/>
  <c r="L6135" i="11"/>
  <c r="L6136" i="11"/>
  <c r="L6137" i="11"/>
  <c r="L6138" i="11"/>
  <c r="L6139" i="11"/>
  <c r="L6140" i="11"/>
  <c r="L6141" i="11"/>
  <c r="L6142" i="11"/>
  <c r="L6143" i="11"/>
  <c r="L6144" i="11"/>
  <c r="L6145" i="11"/>
  <c r="L6146" i="11"/>
  <c r="L6147" i="11"/>
  <c r="L6148" i="11"/>
  <c r="L6149" i="11"/>
  <c r="L6150" i="11"/>
  <c r="L6151" i="11"/>
  <c r="L6152" i="11"/>
  <c r="L6153" i="11"/>
  <c r="L6154" i="11"/>
  <c r="L6155" i="11"/>
  <c r="L6156" i="11"/>
  <c r="L6157" i="11"/>
  <c r="L6158" i="11"/>
  <c r="L6159" i="11"/>
  <c r="L6160" i="11"/>
  <c r="L6161" i="11"/>
  <c r="L6162" i="11"/>
  <c r="L6163" i="11"/>
  <c r="L6164" i="11"/>
  <c r="L6165" i="11"/>
  <c r="L6166" i="11"/>
  <c r="L6167" i="11"/>
  <c r="L6168" i="11"/>
  <c r="L6169" i="11"/>
  <c r="L6170" i="11"/>
  <c r="L6171" i="11"/>
  <c r="L6172" i="11"/>
  <c r="L6173" i="11"/>
  <c r="L6174" i="11"/>
  <c r="L6175" i="11"/>
  <c r="L6176" i="11"/>
  <c r="L6177" i="11"/>
  <c r="L6178" i="11"/>
  <c r="L6179" i="11"/>
  <c r="L6180" i="11"/>
  <c r="L6181" i="11"/>
  <c r="L6182" i="11"/>
  <c r="L6183" i="11"/>
  <c r="L6184" i="11"/>
  <c r="L6185" i="11"/>
  <c r="L6186" i="11"/>
  <c r="P16" i="11"/>
  <c r="P17" i="11"/>
  <c r="Q17" i="11" s="1"/>
  <c r="P18" i="11"/>
  <c r="P19" i="11"/>
  <c r="Q19" i="11" s="1"/>
  <c r="P20" i="11"/>
  <c r="P21" i="11"/>
  <c r="Q21" i="11" s="1"/>
  <c r="P22" i="11"/>
  <c r="P23" i="11"/>
  <c r="Q23" i="11" s="1"/>
  <c r="P24" i="11"/>
  <c r="P25" i="11"/>
  <c r="Q25" i="11" s="1"/>
  <c r="P26" i="11"/>
  <c r="P27" i="11"/>
  <c r="Q27" i="11" s="1"/>
  <c r="P28" i="11"/>
  <c r="P29" i="11"/>
  <c r="Q29" i="11"/>
  <c r="P30" i="11"/>
  <c r="P31" i="11"/>
  <c r="Q31" i="11" s="1"/>
  <c r="P32" i="11"/>
  <c r="P33" i="11"/>
  <c r="Q33" i="11" s="1"/>
  <c r="P34" i="11"/>
  <c r="P35" i="11"/>
  <c r="Q35" i="11" s="1"/>
  <c r="P36" i="11"/>
  <c r="P37" i="11"/>
  <c r="Q37" i="11"/>
  <c r="P38" i="11"/>
  <c r="P39" i="11"/>
  <c r="Q39" i="11" s="1"/>
  <c r="P40" i="11"/>
  <c r="P41" i="11"/>
  <c r="Q41" i="11" s="1"/>
  <c r="P42" i="11"/>
  <c r="P43" i="11"/>
  <c r="Q43" i="11" s="1"/>
  <c r="P44" i="11"/>
  <c r="P45" i="11"/>
  <c r="Q45" i="11" s="1"/>
  <c r="P46" i="11"/>
  <c r="P47" i="11"/>
  <c r="Q47" i="11" s="1"/>
  <c r="P48" i="11"/>
  <c r="P49" i="11"/>
  <c r="Q49" i="11"/>
  <c r="P50" i="11"/>
  <c r="P51" i="11"/>
  <c r="Q51" i="11" s="1"/>
  <c r="P52" i="11"/>
  <c r="P53" i="11"/>
  <c r="Q53" i="11"/>
  <c r="P54" i="11"/>
  <c r="P55" i="11"/>
  <c r="Q55" i="11" s="1"/>
  <c r="P56" i="11"/>
  <c r="P57" i="11"/>
  <c r="Q57" i="11" s="1"/>
  <c r="P58" i="11"/>
  <c r="P59" i="11"/>
  <c r="Q59" i="11" s="1"/>
  <c r="P60" i="11"/>
  <c r="P61" i="11"/>
  <c r="Q61" i="11"/>
  <c r="P62" i="11"/>
  <c r="P63" i="11"/>
  <c r="Q63" i="11" s="1"/>
  <c r="P64" i="11"/>
  <c r="P65" i="11"/>
  <c r="Q65" i="11" s="1"/>
  <c r="P66" i="11"/>
  <c r="P67" i="11"/>
  <c r="Q67" i="11" s="1"/>
  <c r="P68" i="11"/>
  <c r="P69" i="11"/>
  <c r="Q69" i="11" s="1"/>
  <c r="P70" i="11"/>
  <c r="P71" i="11"/>
  <c r="Q71" i="11" s="1"/>
  <c r="P72" i="11"/>
  <c r="P73" i="11"/>
  <c r="Q73" i="11"/>
  <c r="P74" i="11"/>
  <c r="P75" i="11"/>
  <c r="Q75" i="11" s="1"/>
  <c r="P76" i="11"/>
  <c r="P77" i="11"/>
  <c r="Q77" i="11"/>
  <c r="P78" i="11"/>
  <c r="P79" i="11"/>
  <c r="Q79" i="11" s="1"/>
  <c r="P80" i="11"/>
  <c r="P81" i="11"/>
  <c r="Q81" i="11" s="1"/>
  <c r="P82" i="11"/>
  <c r="P83" i="11"/>
  <c r="Q83" i="11" s="1"/>
  <c r="P84" i="11"/>
  <c r="P85" i="11"/>
  <c r="Q85" i="11"/>
  <c r="P86" i="11"/>
  <c r="P87" i="11"/>
  <c r="Q87" i="11" s="1"/>
  <c r="P88" i="11"/>
  <c r="P89" i="11"/>
  <c r="Q89" i="11" s="1"/>
  <c r="P90" i="11"/>
  <c r="P91" i="11"/>
  <c r="Q91" i="11" s="1"/>
  <c r="P92" i="11"/>
  <c r="P93" i="11"/>
  <c r="Q93" i="11" s="1"/>
  <c r="P94" i="11"/>
  <c r="P95" i="11"/>
  <c r="Q95" i="11" s="1"/>
  <c r="P96" i="11"/>
  <c r="P97" i="11"/>
  <c r="Q97" i="11"/>
  <c r="P98" i="11"/>
  <c r="P99" i="11"/>
  <c r="Q99" i="11" s="1"/>
  <c r="P100" i="11"/>
  <c r="P101" i="11"/>
  <c r="Q101" i="11"/>
  <c r="P102" i="11"/>
  <c r="P103" i="11"/>
  <c r="Q103" i="11" s="1"/>
  <c r="P104" i="11"/>
  <c r="P105" i="11"/>
  <c r="Q105" i="11" s="1"/>
  <c r="P106" i="11"/>
  <c r="P107" i="11"/>
  <c r="Q107" i="11" s="1"/>
  <c r="P108" i="11"/>
  <c r="P109" i="11"/>
  <c r="Q109" i="11"/>
  <c r="P110" i="11"/>
  <c r="P111" i="11"/>
  <c r="Q111" i="11" s="1"/>
  <c r="P112" i="11"/>
  <c r="P113" i="11"/>
  <c r="Q113" i="11" s="1"/>
  <c r="P114" i="11"/>
  <c r="P115" i="11"/>
  <c r="Q115" i="11" s="1"/>
  <c r="P116" i="11"/>
  <c r="P117" i="11"/>
  <c r="Q117" i="11" s="1"/>
  <c r="P118" i="11"/>
  <c r="P119" i="11"/>
  <c r="Q119" i="11" s="1"/>
  <c r="P120" i="11"/>
  <c r="P121" i="11"/>
  <c r="Q121" i="11" s="1"/>
  <c r="P122" i="11"/>
  <c r="P123" i="11"/>
  <c r="Q123" i="11" s="1"/>
  <c r="P124" i="11"/>
  <c r="P125" i="11"/>
  <c r="Q125" i="11"/>
  <c r="P126" i="11"/>
  <c r="P127" i="11"/>
  <c r="Q127" i="11" s="1"/>
  <c r="P128" i="11"/>
  <c r="P129" i="11"/>
  <c r="Q129" i="11" s="1"/>
  <c r="P130" i="11"/>
  <c r="P131" i="11"/>
  <c r="Q131" i="11" s="1"/>
  <c r="P132" i="11"/>
  <c r="P133" i="11"/>
  <c r="Q133" i="11"/>
  <c r="P134" i="11"/>
  <c r="P135" i="11"/>
  <c r="Q135" i="11" s="1"/>
  <c r="P136" i="11"/>
  <c r="P137" i="11"/>
  <c r="Q137" i="11" s="1"/>
  <c r="P138" i="11"/>
  <c r="P139" i="11"/>
  <c r="Q139" i="11" s="1"/>
  <c r="P140" i="11"/>
  <c r="P141" i="11"/>
  <c r="Q141" i="11" s="1"/>
  <c r="P142" i="11"/>
  <c r="P143" i="11"/>
  <c r="Q143" i="11" s="1"/>
  <c r="P144" i="11"/>
  <c r="P145" i="11"/>
  <c r="Q145" i="11"/>
  <c r="P146" i="11"/>
  <c r="P147" i="11"/>
  <c r="Q147" i="11" s="1"/>
  <c r="P148" i="11"/>
  <c r="P149" i="11"/>
  <c r="Q149" i="11"/>
  <c r="P150" i="11"/>
  <c r="P151" i="11"/>
  <c r="Q151" i="11" s="1"/>
  <c r="P152" i="11"/>
  <c r="P153" i="11"/>
  <c r="Q153" i="11" s="1"/>
  <c r="P154" i="11"/>
  <c r="P155" i="11"/>
  <c r="Q155" i="11" s="1"/>
  <c r="P156" i="11"/>
  <c r="P157" i="11"/>
  <c r="Q157" i="11"/>
  <c r="P158" i="11"/>
  <c r="P159" i="11"/>
  <c r="Q159" i="11" s="1"/>
  <c r="P160" i="11"/>
  <c r="P161" i="11"/>
  <c r="Q161" i="11" s="1"/>
  <c r="P162" i="11"/>
  <c r="P163" i="11"/>
  <c r="Q163" i="11" s="1"/>
  <c r="P164" i="11"/>
  <c r="P165" i="11"/>
  <c r="Q165" i="11" s="1"/>
  <c r="P166" i="11"/>
  <c r="P167" i="11"/>
  <c r="Q167" i="11" s="1"/>
  <c r="P168" i="11"/>
  <c r="P169" i="11"/>
  <c r="Q169" i="11" s="1"/>
  <c r="P170" i="11"/>
  <c r="P171" i="11"/>
  <c r="Q171" i="11" s="1"/>
  <c r="P172" i="11"/>
  <c r="P173" i="11"/>
  <c r="Q173" i="11"/>
  <c r="P174" i="11"/>
  <c r="P175" i="11"/>
  <c r="Q175" i="11" s="1"/>
  <c r="P176" i="11"/>
  <c r="P177" i="11"/>
  <c r="Q177" i="11" s="1"/>
  <c r="P178" i="11"/>
  <c r="P179" i="11"/>
  <c r="Q179" i="11" s="1"/>
  <c r="P180" i="11"/>
  <c r="P181" i="11"/>
  <c r="Q181" i="11"/>
  <c r="P182" i="11"/>
  <c r="P183" i="11"/>
  <c r="Q183" i="11" s="1"/>
  <c r="P184" i="11"/>
  <c r="P185" i="11"/>
  <c r="Q185" i="11" s="1"/>
  <c r="P186" i="11"/>
  <c r="P187" i="11"/>
  <c r="Q187" i="11" s="1"/>
  <c r="P188" i="11"/>
  <c r="P189" i="11"/>
  <c r="Q189" i="11" s="1"/>
  <c r="P190" i="11"/>
  <c r="P191" i="11"/>
  <c r="Q191" i="11" s="1"/>
  <c r="P192" i="11"/>
  <c r="P193" i="11"/>
  <c r="Q193" i="11"/>
  <c r="P194" i="11"/>
  <c r="P195" i="11"/>
  <c r="Q195" i="11" s="1"/>
  <c r="P196" i="11"/>
  <c r="P197" i="11"/>
  <c r="Q197" i="11"/>
  <c r="P198" i="11"/>
  <c r="P199" i="11"/>
  <c r="Q199" i="11" s="1"/>
  <c r="P200" i="11"/>
  <c r="P201" i="11"/>
  <c r="Q201" i="11" s="1"/>
  <c r="P202" i="11"/>
  <c r="P203" i="11"/>
  <c r="Q203" i="11" s="1"/>
  <c r="P204" i="11"/>
  <c r="P205" i="11"/>
  <c r="Q205" i="11"/>
  <c r="P206" i="11"/>
  <c r="P207" i="11"/>
  <c r="Q207" i="11" s="1"/>
  <c r="P208" i="11"/>
  <c r="P209" i="11"/>
  <c r="Q209" i="11" s="1"/>
  <c r="P210" i="11"/>
  <c r="P211" i="11"/>
  <c r="Q211" i="11" s="1"/>
  <c r="P212" i="11"/>
  <c r="P213" i="11"/>
  <c r="Q213" i="11" s="1"/>
  <c r="P214" i="11"/>
  <c r="P215" i="11"/>
  <c r="Q215" i="11" s="1"/>
  <c r="P216" i="11"/>
  <c r="P217" i="11"/>
  <c r="Q217" i="11" s="1"/>
  <c r="P218" i="11"/>
  <c r="P219" i="11"/>
  <c r="Q219" i="11" s="1"/>
  <c r="P220" i="11"/>
  <c r="P221" i="11"/>
  <c r="Q221" i="11"/>
  <c r="P222" i="11"/>
  <c r="P223" i="11"/>
  <c r="Q223" i="11" s="1"/>
  <c r="P224" i="11"/>
  <c r="P225" i="11"/>
  <c r="Q225" i="11" s="1"/>
  <c r="P226" i="11"/>
  <c r="P227" i="11"/>
  <c r="Q227" i="11" s="1"/>
  <c r="P228" i="11"/>
  <c r="P229" i="11"/>
  <c r="Q229" i="11"/>
  <c r="P230" i="11"/>
  <c r="P231" i="11"/>
  <c r="Q231" i="11" s="1"/>
  <c r="P232" i="11"/>
  <c r="P233" i="11"/>
  <c r="Q233" i="11" s="1"/>
  <c r="P234" i="11"/>
  <c r="P235" i="11"/>
  <c r="Q235" i="11" s="1"/>
  <c r="P236" i="11"/>
  <c r="P237" i="11"/>
  <c r="Q237" i="11" s="1"/>
  <c r="P238" i="11"/>
  <c r="P239" i="11"/>
  <c r="Q239" i="11" s="1"/>
  <c r="P240" i="11"/>
  <c r="P241" i="11"/>
  <c r="Q241" i="11"/>
  <c r="P242" i="11"/>
  <c r="P243" i="11"/>
  <c r="Q243" i="11" s="1"/>
  <c r="P244" i="11"/>
  <c r="P245" i="11"/>
  <c r="Q245" i="11"/>
  <c r="P246" i="11"/>
  <c r="P247" i="11"/>
  <c r="Q247" i="11" s="1"/>
  <c r="P248" i="11"/>
  <c r="P249" i="11"/>
  <c r="Q249" i="11" s="1"/>
  <c r="P250" i="11"/>
  <c r="P251" i="11"/>
  <c r="Q251" i="11" s="1"/>
  <c r="P252" i="11"/>
  <c r="P253" i="11"/>
  <c r="Q253" i="11"/>
  <c r="P254" i="11"/>
  <c r="P255" i="11"/>
  <c r="Q255" i="11" s="1"/>
  <c r="P256" i="11"/>
  <c r="P257" i="11"/>
  <c r="Q257" i="11" s="1"/>
  <c r="P258" i="11"/>
  <c r="P259" i="11"/>
  <c r="Q259" i="11" s="1"/>
  <c r="P260" i="11"/>
  <c r="P261" i="11"/>
  <c r="Q261" i="11" s="1"/>
  <c r="P262" i="11"/>
  <c r="P263" i="11"/>
  <c r="Q263" i="11" s="1"/>
  <c r="P264" i="11"/>
  <c r="P265" i="11"/>
  <c r="Q265" i="11" s="1"/>
  <c r="P266" i="11"/>
  <c r="P267" i="11"/>
  <c r="Q267" i="11" s="1"/>
  <c r="P268" i="11"/>
  <c r="P269" i="11"/>
  <c r="Q269" i="11"/>
  <c r="P270" i="11"/>
  <c r="P271" i="11"/>
  <c r="Q271" i="11" s="1"/>
  <c r="P272" i="11"/>
  <c r="P273" i="11"/>
  <c r="Q273" i="11" s="1"/>
  <c r="P274" i="11"/>
  <c r="P275" i="11"/>
  <c r="Q275" i="11" s="1"/>
  <c r="P276" i="11"/>
  <c r="P277" i="11"/>
  <c r="Q277" i="11"/>
  <c r="P278" i="11"/>
  <c r="P279" i="11"/>
  <c r="Q279" i="11" s="1"/>
  <c r="P280" i="11"/>
  <c r="P281" i="11"/>
  <c r="Q281" i="11" s="1"/>
  <c r="P282" i="11"/>
  <c r="P283" i="11"/>
  <c r="Q283" i="11" s="1"/>
  <c r="P284" i="11"/>
  <c r="P285" i="11"/>
  <c r="Q285" i="11" s="1"/>
  <c r="P286" i="11"/>
  <c r="P287" i="11"/>
  <c r="Q287" i="11" s="1"/>
  <c r="P288" i="11"/>
  <c r="P289" i="11"/>
  <c r="Q289" i="11"/>
  <c r="P290" i="11"/>
  <c r="P291" i="11"/>
  <c r="Q291" i="11" s="1"/>
  <c r="P292" i="11"/>
  <c r="P293" i="11"/>
  <c r="Q293" i="11"/>
  <c r="P294" i="11"/>
  <c r="P295" i="11"/>
  <c r="Q295" i="11" s="1"/>
  <c r="P296" i="11"/>
  <c r="P297" i="11"/>
  <c r="Q297" i="11" s="1"/>
  <c r="P298" i="11"/>
  <c r="P299" i="11"/>
  <c r="Q299" i="11" s="1"/>
  <c r="P300" i="11"/>
  <c r="P301" i="11"/>
  <c r="Q301" i="11"/>
  <c r="P302" i="11"/>
  <c r="P303" i="11"/>
  <c r="Q303" i="11" s="1"/>
  <c r="P304" i="11"/>
  <c r="P305" i="11"/>
  <c r="Q305" i="11" s="1"/>
  <c r="P306" i="11"/>
  <c r="P307" i="11"/>
  <c r="Q307" i="11" s="1"/>
  <c r="P308" i="11"/>
  <c r="P309" i="11"/>
  <c r="Q309" i="11" s="1"/>
  <c r="P310" i="11"/>
  <c r="P311" i="11"/>
  <c r="Q311" i="11" s="1"/>
  <c r="P312" i="11"/>
  <c r="P313" i="11"/>
  <c r="Q313" i="11" s="1"/>
  <c r="P314" i="11"/>
  <c r="P315" i="11"/>
  <c r="Q315" i="11" s="1"/>
  <c r="P316" i="11"/>
  <c r="P317" i="11"/>
  <c r="Q317" i="11"/>
  <c r="P318" i="11"/>
  <c r="P319" i="11"/>
  <c r="Q319" i="11" s="1"/>
  <c r="P320" i="11"/>
  <c r="P321" i="11"/>
  <c r="Q321" i="11" s="1"/>
  <c r="P322" i="11"/>
  <c r="P323" i="11"/>
  <c r="Q323" i="11" s="1"/>
  <c r="P324" i="11"/>
  <c r="P325" i="11"/>
  <c r="Q325" i="11"/>
  <c r="P326" i="11"/>
  <c r="P327" i="11"/>
  <c r="Q327" i="11" s="1"/>
  <c r="P328" i="11"/>
  <c r="P329" i="11"/>
  <c r="Q329" i="11" s="1"/>
  <c r="P330" i="11"/>
  <c r="P331" i="11"/>
  <c r="Q331" i="11" s="1"/>
  <c r="P332" i="11"/>
  <c r="P333" i="11"/>
  <c r="Q333" i="11" s="1"/>
  <c r="P334" i="11"/>
  <c r="P335" i="11"/>
  <c r="Q335" i="11" s="1"/>
  <c r="P336" i="11"/>
  <c r="P337" i="11"/>
  <c r="Q337" i="11"/>
  <c r="P338" i="11"/>
  <c r="P339" i="11"/>
  <c r="Q339" i="11" s="1"/>
  <c r="P340" i="11"/>
  <c r="P341" i="11"/>
  <c r="Q341" i="11"/>
  <c r="P342" i="11"/>
  <c r="P343" i="11"/>
  <c r="Q343" i="11" s="1"/>
  <c r="P344" i="11"/>
  <c r="P345" i="11"/>
  <c r="Q345" i="11" s="1"/>
  <c r="P346" i="11"/>
  <c r="P347" i="11"/>
  <c r="Q347" i="11" s="1"/>
  <c r="P348" i="11"/>
  <c r="P349" i="11"/>
  <c r="Q349" i="11"/>
  <c r="P350" i="11"/>
  <c r="P351" i="11"/>
  <c r="Q351" i="11" s="1"/>
  <c r="P352" i="11"/>
  <c r="P353" i="11"/>
  <c r="Q353" i="11" s="1"/>
  <c r="P354" i="11"/>
  <c r="P355" i="11"/>
  <c r="Q355" i="11" s="1"/>
  <c r="P356" i="11"/>
  <c r="P357" i="11"/>
  <c r="Q357" i="11" s="1"/>
  <c r="P358" i="11"/>
  <c r="P359" i="11"/>
  <c r="Q359" i="11" s="1"/>
  <c r="P360" i="11"/>
  <c r="P361" i="11"/>
  <c r="Q361" i="11" s="1"/>
  <c r="P362" i="11"/>
  <c r="P363" i="11"/>
  <c r="Q363" i="11" s="1"/>
  <c r="P364" i="11"/>
  <c r="P365" i="11"/>
  <c r="Q365" i="11"/>
  <c r="P366" i="11"/>
  <c r="P367" i="11"/>
  <c r="Q367" i="11" s="1"/>
  <c r="P368" i="11"/>
  <c r="P369" i="11"/>
  <c r="Q369" i="11" s="1"/>
  <c r="P370" i="11"/>
  <c r="P371" i="11"/>
  <c r="Q371" i="11" s="1"/>
  <c r="P372" i="11"/>
  <c r="P373" i="11"/>
  <c r="Q373" i="11"/>
  <c r="P374" i="11"/>
  <c r="P375" i="11"/>
  <c r="Q375" i="11" s="1"/>
  <c r="P376" i="11"/>
  <c r="P377" i="11"/>
  <c r="Q377" i="11" s="1"/>
  <c r="P378" i="11"/>
  <c r="P379" i="11"/>
  <c r="Q379" i="11" s="1"/>
  <c r="P380" i="11"/>
  <c r="P381" i="11"/>
  <c r="Q381" i="11" s="1"/>
  <c r="P382" i="11"/>
  <c r="P383" i="11"/>
  <c r="Q383" i="11" s="1"/>
  <c r="P384" i="11"/>
  <c r="P385" i="11"/>
  <c r="Q385" i="11"/>
  <c r="P386" i="11"/>
  <c r="P387" i="11"/>
  <c r="Q387" i="11" s="1"/>
  <c r="P388" i="11"/>
  <c r="P389" i="11"/>
  <c r="Q389" i="11"/>
  <c r="P390" i="11"/>
  <c r="P391" i="11"/>
  <c r="Q391" i="11" s="1"/>
  <c r="P392" i="11"/>
  <c r="P393" i="11"/>
  <c r="Q393" i="11" s="1"/>
  <c r="P394" i="11"/>
  <c r="P395" i="11"/>
  <c r="Q395" i="11" s="1"/>
  <c r="P396" i="11"/>
  <c r="P397" i="11"/>
  <c r="Q397" i="11"/>
  <c r="P398" i="11"/>
  <c r="P399" i="11"/>
  <c r="Q399" i="11" s="1"/>
  <c r="P400" i="11"/>
  <c r="P401" i="11"/>
  <c r="Q401" i="11" s="1"/>
  <c r="P402" i="11"/>
  <c r="P403" i="11"/>
  <c r="Q403" i="11" s="1"/>
  <c r="P404" i="11"/>
  <c r="P405" i="11"/>
  <c r="Q405" i="11" s="1"/>
  <c r="P406" i="11"/>
  <c r="P407" i="11"/>
  <c r="Q407" i="11" s="1"/>
  <c r="P408" i="11"/>
  <c r="P409" i="11"/>
  <c r="Q409" i="11" s="1"/>
  <c r="P410" i="11"/>
  <c r="P411" i="11"/>
  <c r="Q411" i="11" s="1"/>
  <c r="P412" i="11"/>
  <c r="P413" i="11"/>
  <c r="Q413" i="11"/>
  <c r="P414" i="11"/>
  <c r="P415" i="11"/>
  <c r="Q415" i="11" s="1"/>
  <c r="P416" i="11"/>
  <c r="P417" i="11"/>
  <c r="Q417" i="11" s="1"/>
  <c r="P418" i="11"/>
  <c r="P419" i="11"/>
  <c r="Q419" i="11" s="1"/>
  <c r="P420" i="11"/>
  <c r="P421" i="11"/>
  <c r="Q421" i="11"/>
  <c r="P422" i="11"/>
  <c r="P423" i="11"/>
  <c r="Q423" i="11" s="1"/>
  <c r="P424" i="11"/>
  <c r="P425" i="11"/>
  <c r="Q425" i="11" s="1"/>
  <c r="P426" i="11"/>
  <c r="P427" i="11"/>
  <c r="Q427" i="11" s="1"/>
  <c r="P428" i="11"/>
  <c r="P429" i="11"/>
  <c r="Q429" i="11" s="1"/>
  <c r="P430" i="11"/>
  <c r="P431" i="11"/>
  <c r="Q431" i="11" s="1"/>
  <c r="P432" i="11"/>
  <c r="P433" i="11"/>
  <c r="Q433" i="11"/>
  <c r="P434" i="11"/>
  <c r="P435" i="11"/>
  <c r="Q435" i="11" s="1"/>
  <c r="P436" i="11"/>
  <c r="P437" i="11"/>
  <c r="Q437" i="11"/>
  <c r="P438" i="11"/>
  <c r="P439" i="11"/>
  <c r="Q439" i="11" s="1"/>
  <c r="P440" i="11"/>
  <c r="P441" i="11"/>
  <c r="Q441" i="11" s="1"/>
  <c r="P442" i="11"/>
  <c r="P443" i="11"/>
  <c r="Q443" i="11" s="1"/>
  <c r="P444" i="11"/>
  <c r="P445" i="11"/>
  <c r="Q445" i="11"/>
  <c r="P446" i="11"/>
  <c r="P447" i="11"/>
  <c r="Q447" i="11" s="1"/>
  <c r="P448" i="11"/>
  <c r="P449" i="11"/>
  <c r="Q449" i="11" s="1"/>
  <c r="P450" i="11"/>
  <c r="P451" i="11"/>
  <c r="Q451" i="11" s="1"/>
  <c r="P452" i="11"/>
  <c r="P453" i="11"/>
  <c r="Q453" i="11" s="1"/>
  <c r="P454" i="11"/>
  <c r="P455" i="11"/>
  <c r="Q455" i="11" s="1"/>
  <c r="P456" i="11"/>
  <c r="P457" i="11"/>
  <c r="Q457" i="11" s="1"/>
  <c r="P458" i="11"/>
  <c r="P459" i="11"/>
  <c r="Q459" i="11" s="1"/>
  <c r="P460" i="11"/>
  <c r="P461" i="11"/>
  <c r="Q461" i="11"/>
  <c r="P462" i="11"/>
  <c r="P463" i="11"/>
  <c r="Q463" i="11" s="1"/>
  <c r="P464" i="11"/>
  <c r="P465" i="11"/>
  <c r="Q465" i="11" s="1"/>
  <c r="P466" i="11"/>
  <c r="P467" i="11"/>
  <c r="Q467" i="11" s="1"/>
  <c r="P468" i="11"/>
  <c r="P469" i="11"/>
  <c r="Q469" i="11"/>
  <c r="P470" i="11"/>
  <c r="P471" i="11"/>
  <c r="Q471" i="11" s="1"/>
  <c r="P472" i="11"/>
  <c r="P473" i="11"/>
  <c r="Q473" i="11" s="1"/>
  <c r="P474" i="11"/>
  <c r="P475" i="11"/>
  <c r="Q475" i="11" s="1"/>
  <c r="P476" i="11"/>
  <c r="P477" i="11"/>
  <c r="Q477" i="11" s="1"/>
  <c r="P478" i="11"/>
  <c r="P479" i="11"/>
  <c r="Q479" i="11" s="1"/>
  <c r="P480" i="11"/>
  <c r="P481" i="11"/>
  <c r="Q481" i="11"/>
  <c r="P482" i="11"/>
  <c r="P483" i="11"/>
  <c r="Q483" i="11" s="1"/>
  <c r="P484" i="11"/>
  <c r="P485" i="11"/>
  <c r="Q485" i="11"/>
  <c r="P486" i="11"/>
  <c r="P487" i="11"/>
  <c r="Q487" i="11" s="1"/>
  <c r="P488" i="11"/>
  <c r="P489" i="11"/>
  <c r="Q489" i="11" s="1"/>
  <c r="P490" i="11"/>
  <c r="P491" i="11"/>
  <c r="Q491" i="11" s="1"/>
  <c r="P492" i="11"/>
  <c r="P493" i="11"/>
  <c r="Q493" i="11"/>
  <c r="P494" i="11"/>
  <c r="P495" i="11"/>
  <c r="Q495" i="11" s="1"/>
  <c r="P496" i="11"/>
  <c r="P497" i="11"/>
  <c r="Q497" i="11" s="1"/>
  <c r="P498" i="11"/>
  <c r="P499" i="11"/>
  <c r="Q499" i="11" s="1"/>
  <c r="P500" i="11"/>
  <c r="P501" i="11"/>
  <c r="Q501" i="11" s="1"/>
  <c r="P502" i="11"/>
  <c r="P503" i="11"/>
  <c r="Q503" i="11" s="1"/>
  <c r="P504" i="11"/>
  <c r="P505" i="11"/>
  <c r="Q505" i="11" s="1"/>
  <c r="P506" i="11"/>
  <c r="P507" i="11"/>
  <c r="Q507" i="11" s="1"/>
  <c r="P508" i="11"/>
  <c r="P509" i="11"/>
  <c r="Q509" i="11"/>
  <c r="P510" i="11"/>
  <c r="P511" i="11"/>
  <c r="Q511" i="11" s="1"/>
  <c r="P512" i="11"/>
  <c r="P513" i="11"/>
  <c r="Q513" i="11" s="1"/>
  <c r="P514" i="11"/>
  <c r="P515" i="11"/>
  <c r="Q515" i="11" s="1"/>
  <c r="P516" i="11"/>
  <c r="P517" i="11"/>
  <c r="Q517" i="11"/>
  <c r="P518" i="11"/>
  <c r="P519" i="11"/>
  <c r="Q519" i="11" s="1"/>
  <c r="P520" i="11"/>
  <c r="P521" i="11"/>
  <c r="Q521" i="11" s="1"/>
  <c r="P522" i="11"/>
  <c r="P523" i="11"/>
  <c r="Q523" i="11" s="1"/>
  <c r="P524" i="11"/>
  <c r="P525" i="11"/>
  <c r="Q525" i="11" s="1"/>
  <c r="P526" i="11"/>
  <c r="P527" i="11"/>
  <c r="Q527" i="11" s="1"/>
  <c r="P528" i="11"/>
  <c r="P529" i="11"/>
  <c r="Q529" i="11"/>
  <c r="P530" i="11"/>
  <c r="P531" i="11"/>
  <c r="Q531" i="11" s="1"/>
  <c r="P532" i="11"/>
  <c r="P533" i="11"/>
  <c r="Q533" i="11"/>
  <c r="P534" i="11"/>
  <c r="P535" i="11"/>
  <c r="Q535" i="11" s="1"/>
  <c r="P536" i="11"/>
  <c r="P537" i="11"/>
  <c r="Q537" i="11" s="1"/>
  <c r="P538" i="11"/>
  <c r="P539" i="11"/>
  <c r="Q539" i="11" s="1"/>
  <c r="P540" i="11"/>
  <c r="P541" i="11"/>
  <c r="Q541" i="11"/>
  <c r="P542" i="11"/>
  <c r="P543" i="11"/>
  <c r="Q543" i="11" s="1"/>
  <c r="P544" i="11"/>
  <c r="P545" i="11"/>
  <c r="Q545" i="11" s="1"/>
  <c r="P546" i="11"/>
  <c r="P547" i="11"/>
  <c r="Q547" i="11" s="1"/>
  <c r="P548" i="11"/>
  <c r="P549" i="11"/>
  <c r="Q549" i="11" s="1"/>
  <c r="P550" i="11"/>
  <c r="P551" i="11"/>
  <c r="Q551" i="11" s="1"/>
  <c r="P552" i="11"/>
  <c r="P553" i="11"/>
  <c r="Q553" i="11" s="1"/>
  <c r="P554" i="11"/>
  <c r="P555" i="11"/>
  <c r="Q555" i="11" s="1"/>
  <c r="P556" i="11"/>
  <c r="P557" i="11"/>
  <c r="Q557" i="11"/>
  <c r="P558" i="11"/>
  <c r="P559" i="11"/>
  <c r="Q559" i="11" s="1"/>
  <c r="P560" i="11"/>
  <c r="P561" i="11"/>
  <c r="Q561" i="11" s="1"/>
  <c r="P562" i="11"/>
  <c r="P563" i="11"/>
  <c r="Q563" i="11" s="1"/>
  <c r="P564" i="11"/>
  <c r="P565" i="11"/>
  <c r="Q565" i="11"/>
  <c r="P566" i="11"/>
  <c r="P567" i="11"/>
  <c r="Q567" i="11" s="1"/>
  <c r="P568" i="11"/>
  <c r="P569" i="11"/>
  <c r="Q569" i="11" s="1"/>
  <c r="P570" i="11"/>
  <c r="P571" i="11"/>
  <c r="Q571" i="11" s="1"/>
  <c r="P572" i="11"/>
  <c r="P573" i="11"/>
  <c r="Q573" i="11" s="1"/>
  <c r="P574" i="11"/>
  <c r="P575" i="11"/>
  <c r="Q575" i="11" s="1"/>
  <c r="P576" i="11"/>
  <c r="P577" i="11"/>
  <c r="Q577" i="11"/>
  <c r="P578" i="11"/>
  <c r="P579" i="11"/>
  <c r="Q579" i="11" s="1"/>
  <c r="P580" i="11"/>
  <c r="P581" i="11"/>
  <c r="Q581" i="11"/>
  <c r="P582" i="11"/>
  <c r="P583" i="11"/>
  <c r="Q583" i="11" s="1"/>
  <c r="P584" i="11"/>
  <c r="P585" i="11"/>
  <c r="Q585" i="11" s="1"/>
  <c r="P586" i="11"/>
  <c r="P587" i="11"/>
  <c r="Q587" i="11" s="1"/>
  <c r="P588" i="11"/>
  <c r="P589" i="11"/>
  <c r="Q589" i="11"/>
  <c r="P590" i="11"/>
  <c r="P591" i="11"/>
  <c r="Q591" i="11" s="1"/>
  <c r="P592" i="11"/>
  <c r="P593" i="11"/>
  <c r="Q593" i="11" s="1"/>
  <c r="P594" i="11"/>
  <c r="P595" i="11"/>
  <c r="Q595" i="11" s="1"/>
  <c r="P596" i="11"/>
  <c r="P597" i="11"/>
  <c r="Q597" i="11" s="1"/>
  <c r="P598" i="11"/>
  <c r="P599" i="11"/>
  <c r="Q599" i="11" s="1"/>
  <c r="P600" i="11"/>
  <c r="P601" i="11"/>
  <c r="Q601" i="11" s="1"/>
  <c r="P602" i="11"/>
  <c r="P603" i="11"/>
  <c r="Q603" i="11" s="1"/>
  <c r="P604" i="11"/>
  <c r="P605" i="11"/>
  <c r="Q605" i="11"/>
  <c r="P606" i="11"/>
  <c r="P607" i="11"/>
  <c r="Q607" i="11" s="1"/>
  <c r="P608" i="11"/>
  <c r="P609" i="11"/>
  <c r="Q609" i="11" s="1"/>
  <c r="P610" i="11"/>
  <c r="P611" i="11"/>
  <c r="Q611" i="11" s="1"/>
  <c r="P612" i="11"/>
  <c r="P613" i="11"/>
  <c r="Q613" i="11"/>
  <c r="P614" i="11"/>
  <c r="P615" i="11"/>
  <c r="Q615" i="11" s="1"/>
  <c r="P616" i="11"/>
  <c r="P617" i="11"/>
  <c r="Q617" i="11" s="1"/>
  <c r="P618" i="11"/>
  <c r="P619" i="11"/>
  <c r="Q619" i="11" s="1"/>
  <c r="P620" i="11"/>
  <c r="P621" i="11"/>
  <c r="Q621" i="11" s="1"/>
  <c r="P622" i="11"/>
  <c r="P623" i="11"/>
  <c r="Q623" i="11" s="1"/>
  <c r="P624" i="11"/>
  <c r="P625" i="11"/>
  <c r="Q625" i="11"/>
  <c r="P626" i="11"/>
  <c r="P627" i="11"/>
  <c r="Q627" i="11" s="1"/>
  <c r="P628" i="11"/>
  <c r="P629" i="11"/>
  <c r="Q629" i="11"/>
  <c r="P630" i="11"/>
  <c r="P631" i="11"/>
  <c r="Q631" i="11" s="1"/>
  <c r="P632" i="11"/>
  <c r="P633" i="11"/>
  <c r="Q633" i="11" s="1"/>
  <c r="P634" i="11"/>
  <c r="P635" i="11"/>
  <c r="Q635" i="11" s="1"/>
  <c r="P636" i="11"/>
  <c r="P637" i="11"/>
  <c r="Q637" i="11"/>
  <c r="P638" i="11"/>
  <c r="P639" i="11"/>
  <c r="Q639" i="11" s="1"/>
  <c r="P640" i="11"/>
  <c r="P641" i="11"/>
  <c r="Q641" i="11" s="1"/>
  <c r="P642" i="11"/>
  <c r="P643" i="11"/>
  <c r="Q643" i="11"/>
  <c r="P644" i="11"/>
  <c r="P645" i="11"/>
  <c r="Q645" i="11" s="1"/>
  <c r="P646" i="11"/>
  <c r="P647" i="11"/>
  <c r="Q647" i="11"/>
  <c r="P648" i="11"/>
  <c r="P649" i="11"/>
  <c r="Q649" i="11" s="1"/>
  <c r="P650" i="11"/>
  <c r="P651" i="11"/>
  <c r="Q651" i="11"/>
  <c r="P652" i="11"/>
  <c r="P653" i="11"/>
  <c r="Q653" i="11" s="1"/>
  <c r="P654" i="11"/>
  <c r="P655" i="11"/>
  <c r="Q655" i="11"/>
  <c r="P656" i="11"/>
  <c r="P657" i="11"/>
  <c r="Q657" i="11" s="1"/>
  <c r="P658" i="11"/>
  <c r="P659" i="11"/>
  <c r="Q659" i="11"/>
  <c r="P660" i="11"/>
  <c r="P661" i="11"/>
  <c r="Q661" i="11" s="1"/>
  <c r="P662" i="11"/>
  <c r="P663" i="11"/>
  <c r="Q663" i="11"/>
  <c r="P664" i="11"/>
  <c r="P665" i="11"/>
  <c r="Q665" i="11" s="1"/>
  <c r="P666" i="11"/>
  <c r="P667" i="11"/>
  <c r="Q667" i="11"/>
  <c r="P668" i="11"/>
  <c r="P669" i="11"/>
  <c r="Q669" i="11" s="1"/>
  <c r="P670" i="11"/>
  <c r="P671" i="11"/>
  <c r="Q671" i="11"/>
  <c r="P672" i="11"/>
  <c r="P673" i="11"/>
  <c r="Q673" i="11" s="1"/>
  <c r="P674" i="11"/>
  <c r="P675" i="11"/>
  <c r="Q675" i="11"/>
  <c r="P676" i="11"/>
  <c r="P677" i="11"/>
  <c r="Q677" i="11" s="1"/>
  <c r="P678" i="11"/>
  <c r="P679" i="11"/>
  <c r="Q679" i="11"/>
  <c r="P680" i="11"/>
  <c r="P681" i="11"/>
  <c r="Q681" i="11" s="1"/>
  <c r="P682" i="11"/>
  <c r="P683" i="11"/>
  <c r="Q683" i="11"/>
  <c r="P684" i="11"/>
  <c r="P685" i="11"/>
  <c r="Q685" i="11" s="1"/>
  <c r="P686" i="11"/>
  <c r="P687" i="11"/>
  <c r="Q687" i="11"/>
  <c r="P688" i="11"/>
  <c r="P689" i="11"/>
  <c r="Q689" i="11" s="1"/>
  <c r="P690" i="11"/>
  <c r="P691" i="11"/>
  <c r="Q691" i="11"/>
  <c r="P692" i="11"/>
  <c r="P693" i="11"/>
  <c r="Q693" i="11" s="1"/>
  <c r="P694" i="11"/>
  <c r="P695" i="11"/>
  <c r="Q695" i="11"/>
  <c r="P696" i="11"/>
  <c r="P697" i="11"/>
  <c r="Q697" i="11" s="1"/>
  <c r="P698" i="11"/>
  <c r="P699" i="11"/>
  <c r="Q699" i="11"/>
  <c r="P700" i="11"/>
  <c r="P701" i="11"/>
  <c r="Q701" i="11" s="1"/>
  <c r="P702" i="11"/>
  <c r="P703" i="11"/>
  <c r="Q703" i="11"/>
  <c r="P704" i="11"/>
  <c r="P705" i="11"/>
  <c r="Q705" i="11" s="1"/>
  <c r="P706" i="11"/>
  <c r="P707" i="11"/>
  <c r="Q707" i="11"/>
  <c r="P708" i="11"/>
  <c r="P709" i="11"/>
  <c r="Q709" i="11" s="1"/>
  <c r="P710" i="11"/>
  <c r="P711" i="11"/>
  <c r="Q711" i="11"/>
  <c r="P712" i="11"/>
  <c r="P713" i="11"/>
  <c r="Q713" i="11" s="1"/>
  <c r="P714" i="11"/>
  <c r="P715" i="11"/>
  <c r="Q715" i="11"/>
  <c r="P716" i="11"/>
  <c r="P717" i="11"/>
  <c r="Q717" i="11" s="1"/>
  <c r="P718" i="11"/>
  <c r="P719" i="11"/>
  <c r="Q719" i="11"/>
  <c r="P720" i="11"/>
  <c r="P721" i="11"/>
  <c r="Q721" i="11" s="1"/>
  <c r="P722" i="11"/>
  <c r="P723" i="11"/>
  <c r="Q723" i="11"/>
  <c r="P724" i="11"/>
  <c r="P725" i="11"/>
  <c r="Q725" i="11" s="1"/>
  <c r="P726" i="11"/>
  <c r="P727" i="11"/>
  <c r="Q727" i="11"/>
  <c r="P728" i="11"/>
  <c r="P729" i="11"/>
  <c r="Q729" i="11" s="1"/>
  <c r="P730" i="11"/>
  <c r="P731" i="11"/>
  <c r="Q731" i="11"/>
  <c r="P732" i="11"/>
  <c r="P733" i="11"/>
  <c r="Q733" i="11" s="1"/>
  <c r="P734" i="11"/>
  <c r="P735" i="11"/>
  <c r="Q735" i="11"/>
  <c r="P736" i="11"/>
  <c r="P737" i="11"/>
  <c r="Q737" i="11" s="1"/>
  <c r="P738" i="11"/>
  <c r="P739" i="11"/>
  <c r="Q739" i="11"/>
  <c r="P740" i="11"/>
  <c r="P741" i="11"/>
  <c r="Q741" i="11" s="1"/>
  <c r="P742" i="11"/>
  <c r="P743" i="11"/>
  <c r="Q743" i="11"/>
  <c r="P744" i="11"/>
  <c r="P745" i="11"/>
  <c r="Q745" i="11" s="1"/>
  <c r="P746" i="11"/>
  <c r="P747" i="11"/>
  <c r="Q747" i="11"/>
  <c r="P748" i="11"/>
  <c r="P749" i="11"/>
  <c r="Q749" i="11" s="1"/>
  <c r="P750" i="11"/>
  <c r="P751" i="11"/>
  <c r="Q751" i="11"/>
  <c r="P752" i="11"/>
  <c r="P753" i="11"/>
  <c r="Q753" i="11" s="1"/>
  <c r="P754" i="11"/>
  <c r="P755" i="11"/>
  <c r="Q755" i="11"/>
  <c r="P756" i="11"/>
  <c r="P757" i="11"/>
  <c r="Q757" i="11" s="1"/>
  <c r="P758" i="11"/>
  <c r="P759" i="11"/>
  <c r="Q759" i="11"/>
  <c r="P760" i="11"/>
  <c r="P761" i="11"/>
  <c r="Q761" i="11" s="1"/>
  <c r="P762" i="11"/>
  <c r="P763" i="11"/>
  <c r="Q763" i="11"/>
  <c r="P764" i="11"/>
  <c r="P765" i="11"/>
  <c r="Q765" i="11" s="1"/>
  <c r="P766" i="11"/>
  <c r="P767" i="11"/>
  <c r="Q767" i="11"/>
  <c r="P768" i="11"/>
  <c r="P769" i="11"/>
  <c r="Q769" i="11" s="1"/>
  <c r="P770" i="11"/>
  <c r="P771" i="11"/>
  <c r="Q771" i="11"/>
  <c r="P772" i="11"/>
  <c r="P773" i="11"/>
  <c r="Q773" i="11" s="1"/>
  <c r="P774" i="11"/>
  <c r="P775" i="11"/>
  <c r="Q775" i="11"/>
  <c r="P776" i="11"/>
  <c r="P777" i="11"/>
  <c r="Q777" i="11" s="1"/>
  <c r="P778" i="11"/>
  <c r="P779" i="11"/>
  <c r="Q779" i="11"/>
  <c r="P780" i="11"/>
  <c r="P781" i="11"/>
  <c r="Q781" i="11" s="1"/>
  <c r="P782" i="11"/>
  <c r="P783" i="11"/>
  <c r="Q783" i="11"/>
  <c r="P784" i="11"/>
  <c r="P785" i="11"/>
  <c r="Q785" i="11" s="1"/>
  <c r="P786" i="11"/>
  <c r="P787" i="11"/>
  <c r="Q787" i="11"/>
  <c r="P788" i="11"/>
  <c r="P789" i="11"/>
  <c r="Q789" i="11" s="1"/>
  <c r="P790" i="11"/>
  <c r="P791" i="11"/>
  <c r="Q791" i="11"/>
  <c r="P792" i="11"/>
  <c r="P793" i="11"/>
  <c r="Q793" i="11" s="1"/>
  <c r="P794" i="11"/>
  <c r="P795" i="11"/>
  <c r="Q795" i="11"/>
  <c r="P796" i="11"/>
  <c r="P797" i="11"/>
  <c r="Q797" i="11" s="1"/>
  <c r="P798" i="11"/>
  <c r="P799" i="11"/>
  <c r="Q799" i="11"/>
  <c r="P800" i="11"/>
  <c r="P801" i="11"/>
  <c r="Q801" i="11" s="1"/>
  <c r="P802" i="11"/>
  <c r="P803" i="11"/>
  <c r="Q803" i="11"/>
  <c r="P804" i="11"/>
  <c r="P805" i="11"/>
  <c r="Q805" i="11" s="1"/>
  <c r="P806" i="11"/>
  <c r="P807" i="11"/>
  <c r="Q807" i="11"/>
  <c r="P808" i="11"/>
  <c r="P809" i="11"/>
  <c r="Q809" i="11" s="1"/>
  <c r="P810" i="11"/>
  <c r="P811" i="11"/>
  <c r="Q811" i="11"/>
  <c r="P812" i="11"/>
  <c r="P813" i="11"/>
  <c r="Q813" i="11" s="1"/>
  <c r="P814" i="11"/>
  <c r="P815" i="11"/>
  <c r="Q815" i="11"/>
  <c r="P816" i="11"/>
  <c r="P817" i="11"/>
  <c r="Q817" i="11" s="1"/>
  <c r="P818" i="11"/>
  <c r="P819" i="11"/>
  <c r="Q819" i="11"/>
  <c r="P820" i="11"/>
  <c r="P821" i="11"/>
  <c r="Q821" i="11" s="1"/>
  <c r="P822" i="11"/>
  <c r="P823" i="11"/>
  <c r="Q823" i="11"/>
  <c r="P824" i="11"/>
  <c r="P825" i="11"/>
  <c r="Q825" i="11" s="1"/>
  <c r="P826" i="11"/>
  <c r="P827" i="11"/>
  <c r="Q827" i="11"/>
  <c r="P828" i="11"/>
  <c r="P829" i="11"/>
  <c r="Q829" i="11" s="1"/>
  <c r="P830" i="11"/>
  <c r="P831" i="11"/>
  <c r="Q831" i="11"/>
  <c r="P832" i="11"/>
  <c r="P833" i="11"/>
  <c r="Q833" i="11" s="1"/>
  <c r="P834" i="11"/>
  <c r="P835" i="11"/>
  <c r="Q835" i="11"/>
  <c r="P836" i="11"/>
  <c r="P837" i="11"/>
  <c r="Q837" i="11" s="1"/>
  <c r="P838" i="11"/>
  <c r="P839" i="11"/>
  <c r="Q839" i="11"/>
  <c r="P840" i="11"/>
  <c r="P841" i="11"/>
  <c r="Q841" i="11" s="1"/>
  <c r="P842" i="11"/>
  <c r="P843" i="11"/>
  <c r="Q843" i="11"/>
  <c r="P844" i="11"/>
  <c r="P845" i="11"/>
  <c r="Q845" i="11" s="1"/>
  <c r="P846" i="11"/>
  <c r="P847" i="11"/>
  <c r="Q847" i="11"/>
  <c r="P848" i="11"/>
  <c r="P849" i="11"/>
  <c r="Q849" i="11" s="1"/>
  <c r="P850" i="11"/>
  <c r="P851" i="11"/>
  <c r="Q851" i="11"/>
  <c r="P852" i="11"/>
  <c r="P853" i="11"/>
  <c r="Q853" i="11" s="1"/>
  <c r="P854" i="11"/>
  <c r="P855" i="11"/>
  <c r="Q855" i="11"/>
  <c r="P856" i="11"/>
  <c r="P857" i="11"/>
  <c r="Q857" i="11" s="1"/>
  <c r="P858" i="11"/>
  <c r="P859" i="11"/>
  <c r="Q859" i="11"/>
  <c r="P860" i="11"/>
  <c r="P861" i="11"/>
  <c r="Q861" i="11" s="1"/>
  <c r="P862" i="11"/>
  <c r="P863" i="11"/>
  <c r="Q863" i="11"/>
  <c r="P864" i="11"/>
  <c r="P865" i="11"/>
  <c r="Q865" i="11" s="1"/>
  <c r="P866" i="11"/>
  <c r="P867" i="11"/>
  <c r="Q867" i="11"/>
  <c r="P868" i="11"/>
  <c r="P869" i="11"/>
  <c r="Q869" i="11" s="1"/>
  <c r="P870" i="11"/>
  <c r="P871" i="11"/>
  <c r="Q871" i="11"/>
  <c r="P872" i="11"/>
  <c r="P873" i="11"/>
  <c r="Q873" i="11" s="1"/>
  <c r="P874" i="11"/>
  <c r="P875" i="11"/>
  <c r="Q875" i="11"/>
  <c r="P876" i="11"/>
  <c r="P877" i="11"/>
  <c r="Q877" i="11" s="1"/>
  <c r="P878" i="11"/>
  <c r="P879" i="11"/>
  <c r="Q879" i="11"/>
  <c r="P880" i="11"/>
  <c r="P881" i="11"/>
  <c r="Q881" i="11" s="1"/>
  <c r="P882" i="11"/>
  <c r="P883" i="11"/>
  <c r="Q883" i="11"/>
  <c r="P884" i="11"/>
  <c r="P885" i="11"/>
  <c r="Q885" i="11" s="1"/>
  <c r="P886" i="11"/>
  <c r="P887" i="11"/>
  <c r="Q887" i="11"/>
  <c r="P888" i="11"/>
  <c r="P889" i="11"/>
  <c r="Q889" i="11" s="1"/>
  <c r="P890" i="11"/>
  <c r="P891" i="11"/>
  <c r="Q891" i="11"/>
  <c r="P892" i="11"/>
  <c r="P893" i="11"/>
  <c r="Q893" i="11" s="1"/>
  <c r="P894" i="11"/>
  <c r="P895" i="11"/>
  <c r="Q895" i="11"/>
  <c r="P896" i="11"/>
  <c r="P897" i="11"/>
  <c r="Q897" i="11" s="1"/>
  <c r="P898" i="11"/>
  <c r="P899" i="11"/>
  <c r="Q899" i="11"/>
  <c r="P900" i="11"/>
  <c r="P901" i="11"/>
  <c r="Q901" i="11" s="1"/>
  <c r="P902" i="11"/>
  <c r="P903" i="11"/>
  <c r="Q903" i="11"/>
  <c r="P904" i="11"/>
  <c r="P905" i="11"/>
  <c r="Q905" i="11" s="1"/>
  <c r="P906" i="11"/>
  <c r="P907" i="11"/>
  <c r="Q907" i="11"/>
  <c r="P908" i="11"/>
  <c r="P909" i="11"/>
  <c r="Q909" i="11" s="1"/>
  <c r="P910" i="11"/>
  <c r="P911" i="11"/>
  <c r="Q911" i="11"/>
  <c r="P912" i="11"/>
  <c r="P913" i="11"/>
  <c r="Q913" i="11" s="1"/>
  <c r="P914" i="11"/>
  <c r="P915" i="11"/>
  <c r="Q915" i="11"/>
  <c r="P916" i="11"/>
  <c r="P917" i="11"/>
  <c r="Q917" i="11" s="1"/>
  <c r="P918" i="11"/>
  <c r="P919" i="11"/>
  <c r="Q919" i="11"/>
  <c r="P920" i="11"/>
  <c r="P921" i="11"/>
  <c r="Q921" i="11" s="1"/>
  <c r="P922" i="11"/>
  <c r="P923" i="11"/>
  <c r="Q923" i="11"/>
  <c r="P924" i="11"/>
  <c r="P925" i="11"/>
  <c r="Q925" i="11" s="1"/>
  <c r="P926" i="11"/>
  <c r="P927" i="11"/>
  <c r="Q927" i="11"/>
  <c r="P928" i="11"/>
  <c r="P929" i="11"/>
  <c r="Q929" i="11" s="1"/>
  <c r="P930" i="11"/>
  <c r="P931" i="11"/>
  <c r="Q931" i="11"/>
  <c r="P932" i="11"/>
  <c r="P933" i="11"/>
  <c r="Q933" i="11" s="1"/>
  <c r="P934" i="11"/>
  <c r="P935" i="11"/>
  <c r="Q935" i="11"/>
  <c r="P936" i="11"/>
  <c r="P937" i="11"/>
  <c r="Q937" i="11" s="1"/>
  <c r="P938" i="11"/>
  <c r="P939" i="11"/>
  <c r="Q939" i="11"/>
  <c r="P940" i="11"/>
  <c r="P941" i="11"/>
  <c r="Q941" i="11" s="1"/>
  <c r="P942" i="11"/>
  <c r="P943" i="11"/>
  <c r="Q943" i="11"/>
  <c r="P944" i="11"/>
  <c r="P945" i="11"/>
  <c r="Q945" i="11" s="1"/>
  <c r="P946" i="11"/>
  <c r="P947" i="11"/>
  <c r="Q947" i="11"/>
  <c r="P948" i="11"/>
  <c r="P949" i="11"/>
  <c r="Q949" i="11" s="1"/>
  <c r="P950" i="11"/>
  <c r="P951" i="11"/>
  <c r="Q951" i="11"/>
  <c r="P952" i="11"/>
  <c r="P953" i="11"/>
  <c r="Q953" i="11" s="1"/>
  <c r="P954" i="11"/>
  <c r="P955" i="11"/>
  <c r="Q955" i="11"/>
  <c r="P956" i="11"/>
  <c r="P957" i="11"/>
  <c r="Q957" i="11" s="1"/>
  <c r="P958" i="11"/>
  <c r="P959" i="11"/>
  <c r="Q959" i="11"/>
  <c r="P960" i="11"/>
  <c r="P961" i="11"/>
  <c r="Q961" i="11" s="1"/>
  <c r="P962" i="11"/>
  <c r="P963" i="11"/>
  <c r="Q963" i="11"/>
  <c r="P964" i="11"/>
  <c r="P965" i="11"/>
  <c r="Q965" i="11" s="1"/>
  <c r="P966" i="11"/>
  <c r="P967" i="11"/>
  <c r="Q967" i="11"/>
  <c r="P968" i="11"/>
  <c r="P969" i="11"/>
  <c r="Q969" i="11" s="1"/>
  <c r="P970" i="11"/>
  <c r="P971" i="11"/>
  <c r="Q971" i="11"/>
  <c r="P972" i="11"/>
  <c r="P973" i="11"/>
  <c r="Q973" i="11" s="1"/>
  <c r="P974" i="11"/>
  <c r="P975" i="11"/>
  <c r="Q975" i="11"/>
  <c r="P976" i="11"/>
  <c r="P977" i="11"/>
  <c r="Q977" i="11" s="1"/>
  <c r="P978" i="11"/>
  <c r="P979" i="11"/>
  <c r="Q979" i="11"/>
  <c r="P980" i="11"/>
  <c r="P981" i="11"/>
  <c r="Q981" i="11" s="1"/>
  <c r="P982" i="11"/>
  <c r="P983" i="11"/>
  <c r="Q983" i="11"/>
  <c r="P984" i="11"/>
  <c r="P985" i="11"/>
  <c r="Q985" i="11" s="1"/>
  <c r="P986" i="11"/>
  <c r="P987" i="11"/>
  <c r="Q987" i="11"/>
  <c r="P988" i="11"/>
  <c r="P989" i="11"/>
  <c r="Q989" i="11" s="1"/>
  <c r="P990" i="11"/>
  <c r="P991" i="11"/>
  <c r="Q991" i="11"/>
  <c r="P992" i="11"/>
  <c r="P993" i="11"/>
  <c r="Q993" i="11" s="1"/>
  <c r="P994" i="11"/>
  <c r="P995" i="11"/>
  <c r="Q995" i="11"/>
  <c r="P996" i="11"/>
  <c r="P997" i="11"/>
  <c r="Q997" i="11" s="1"/>
  <c r="P998" i="11"/>
  <c r="P999" i="11"/>
  <c r="Q999" i="11"/>
  <c r="P1000" i="11"/>
  <c r="P1001" i="11"/>
  <c r="Q1001" i="11" s="1"/>
  <c r="P1002" i="11"/>
  <c r="P1003" i="11"/>
  <c r="Q1003" i="11"/>
  <c r="P1004" i="11"/>
  <c r="P1005" i="11"/>
  <c r="Q1005" i="11" s="1"/>
  <c r="P1006" i="11"/>
  <c r="P1007" i="11"/>
  <c r="Q1007" i="11"/>
  <c r="P1008" i="11"/>
  <c r="P1009" i="11"/>
  <c r="Q1009" i="11" s="1"/>
  <c r="P1010" i="11"/>
  <c r="P1011" i="11"/>
  <c r="Q1011" i="11"/>
  <c r="P1012" i="11"/>
  <c r="P1013" i="11"/>
  <c r="Q1013" i="11" s="1"/>
  <c r="P1014" i="11"/>
  <c r="P1015" i="11"/>
  <c r="Q1015" i="11"/>
  <c r="P1016" i="11"/>
  <c r="P1017" i="11"/>
  <c r="Q1017" i="11" s="1"/>
  <c r="P1018" i="11"/>
  <c r="P1019" i="11"/>
  <c r="Q1019" i="11"/>
  <c r="P1020" i="11"/>
  <c r="P1021" i="11"/>
  <c r="Q1021" i="11" s="1"/>
  <c r="P1022" i="11"/>
  <c r="P1023" i="11"/>
  <c r="Q1023" i="11"/>
  <c r="P1024" i="11"/>
  <c r="P1025" i="11"/>
  <c r="Q1025" i="11" s="1"/>
  <c r="P1026" i="11"/>
  <c r="P1027" i="11"/>
  <c r="Q1027" i="11"/>
  <c r="P1028" i="11"/>
  <c r="P1029" i="11"/>
  <c r="Q1029" i="11" s="1"/>
  <c r="P1030" i="11"/>
  <c r="P1031" i="11"/>
  <c r="Q1031" i="11"/>
  <c r="P1032" i="11"/>
  <c r="P1033" i="11"/>
  <c r="Q1033" i="11" s="1"/>
  <c r="P1034" i="11"/>
  <c r="P1035" i="11"/>
  <c r="Q1035" i="11"/>
  <c r="P1036" i="11"/>
  <c r="P1037" i="11"/>
  <c r="Q1037" i="11" s="1"/>
  <c r="P1038" i="11"/>
  <c r="P1039" i="11"/>
  <c r="Q1039" i="11"/>
  <c r="P1040" i="11"/>
  <c r="P1041" i="11"/>
  <c r="Q1041" i="11" s="1"/>
  <c r="P1042" i="11"/>
  <c r="P1043" i="11"/>
  <c r="Q1043" i="11"/>
  <c r="P1044" i="11"/>
  <c r="P1045" i="11"/>
  <c r="Q1045" i="11" s="1"/>
  <c r="P1046" i="11"/>
  <c r="P1047" i="11"/>
  <c r="Q1047" i="11"/>
  <c r="P1048" i="11"/>
  <c r="P1049" i="11"/>
  <c r="Q1049" i="11" s="1"/>
  <c r="P1050" i="11"/>
  <c r="P1051" i="11"/>
  <c r="Q1051" i="11"/>
  <c r="P1052" i="11"/>
  <c r="P1053" i="11"/>
  <c r="Q1053" i="11" s="1"/>
  <c r="P1054" i="11"/>
  <c r="P1055" i="11"/>
  <c r="Q1055" i="11"/>
  <c r="P1056" i="11"/>
  <c r="P1057" i="11"/>
  <c r="Q1057" i="11" s="1"/>
  <c r="P1058" i="11"/>
  <c r="P1059" i="11"/>
  <c r="Q1059" i="11"/>
  <c r="P1060" i="11"/>
  <c r="P1061" i="11"/>
  <c r="Q1061" i="11" s="1"/>
  <c r="P1062" i="11"/>
  <c r="P1063" i="11"/>
  <c r="Q1063" i="11"/>
  <c r="P1064" i="11"/>
  <c r="P1065" i="11"/>
  <c r="Q1065" i="11" s="1"/>
  <c r="P1066" i="11"/>
  <c r="P1067" i="11"/>
  <c r="Q1067" i="11"/>
  <c r="P1068" i="11"/>
  <c r="P1069" i="11"/>
  <c r="Q1069" i="11" s="1"/>
  <c r="P1070" i="11"/>
  <c r="P1071" i="11"/>
  <c r="Q1071" i="11"/>
  <c r="P1072" i="11"/>
  <c r="P1073" i="11"/>
  <c r="Q1073" i="11" s="1"/>
  <c r="P1074" i="11"/>
  <c r="P1075" i="11"/>
  <c r="Q1075" i="11"/>
  <c r="P1076" i="11"/>
  <c r="P1077" i="11"/>
  <c r="Q1077" i="11" s="1"/>
  <c r="P1078" i="11"/>
  <c r="P1079" i="11"/>
  <c r="Q1079" i="11"/>
  <c r="P1080" i="11"/>
  <c r="P1081" i="11"/>
  <c r="Q1081" i="11" s="1"/>
  <c r="P1082" i="11"/>
  <c r="P1083" i="11"/>
  <c r="Q1083" i="11"/>
  <c r="P1084" i="11"/>
  <c r="P1085" i="11"/>
  <c r="Q1085" i="11" s="1"/>
  <c r="P1086" i="11"/>
  <c r="P1087" i="11"/>
  <c r="Q1087" i="11"/>
  <c r="P1088" i="11"/>
  <c r="P1089" i="11"/>
  <c r="Q1089" i="11" s="1"/>
  <c r="P1090" i="11"/>
  <c r="P1091" i="11"/>
  <c r="Q1091" i="11"/>
  <c r="P1092" i="11"/>
  <c r="P1093" i="11"/>
  <c r="Q1093" i="11" s="1"/>
  <c r="P1094" i="11"/>
  <c r="P1095" i="11"/>
  <c r="Q1095" i="11"/>
  <c r="P1096" i="11"/>
  <c r="P1097" i="11"/>
  <c r="Q1097" i="11" s="1"/>
  <c r="P1098" i="11"/>
  <c r="P1099" i="11"/>
  <c r="Q1099" i="11"/>
  <c r="P1100" i="11"/>
  <c r="P1101" i="11"/>
  <c r="Q1101" i="11" s="1"/>
  <c r="P1102" i="11"/>
  <c r="P1103" i="11"/>
  <c r="Q1103" i="11"/>
  <c r="P1104" i="11"/>
  <c r="P1105" i="11"/>
  <c r="Q1105" i="11"/>
  <c r="P1106" i="11"/>
  <c r="P1107" i="11"/>
  <c r="Q1107" i="11"/>
  <c r="P1108" i="11"/>
  <c r="P1109" i="11"/>
  <c r="Q1109" i="11" s="1"/>
  <c r="P1110" i="11"/>
  <c r="P1111" i="11"/>
  <c r="Q1111" i="11"/>
  <c r="P1112" i="11"/>
  <c r="P1113" i="11"/>
  <c r="Q1113" i="11" s="1"/>
  <c r="P1114" i="11"/>
  <c r="P1115" i="11"/>
  <c r="Q1115" i="11"/>
  <c r="P1116" i="11"/>
  <c r="P1117" i="11"/>
  <c r="Q1117" i="11" s="1"/>
  <c r="P1118" i="11"/>
  <c r="P1119" i="11"/>
  <c r="Q1119" i="11"/>
  <c r="P1120" i="11"/>
  <c r="P1121" i="11"/>
  <c r="Q1121" i="11"/>
  <c r="P1122" i="11"/>
  <c r="P1123" i="11"/>
  <c r="Q1123" i="11"/>
  <c r="P1124" i="11"/>
  <c r="P1125" i="11"/>
  <c r="Q1125" i="11" s="1"/>
  <c r="P1126" i="11"/>
  <c r="P1127" i="11"/>
  <c r="Q1127" i="11"/>
  <c r="P1128" i="11"/>
  <c r="P1129" i="11"/>
  <c r="Q1129" i="11" s="1"/>
  <c r="P1130" i="11"/>
  <c r="P1131" i="11"/>
  <c r="Q1131" i="11"/>
  <c r="P1132" i="11"/>
  <c r="P1133" i="11"/>
  <c r="Q1133" i="11" s="1"/>
  <c r="P1134" i="11"/>
  <c r="P1135" i="11"/>
  <c r="Q1135" i="11"/>
  <c r="P1136" i="11"/>
  <c r="P1137" i="11"/>
  <c r="Q1137" i="11" s="1"/>
  <c r="P1138" i="11"/>
  <c r="P1139" i="11"/>
  <c r="Q1139" i="11"/>
  <c r="P1140" i="11"/>
  <c r="P1141" i="11"/>
  <c r="Q1141" i="11" s="1"/>
  <c r="P1142" i="11"/>
  <c r="P1143" i="11"/>
  <c r="Q1143" i="11"/>
  <c r="P1144" i="11"/>
  <c r="P1145" i="11"/>
  <c r="Q1145" i="11" s="1"/>
  <c r="P1146" i="11"/>
  <c r="P1147" i="11"/>
  <c r="Q1147" i="11"/>
  <c r="P1148" i="11"/>
  <c r="P1149" i="11"/>
  <c r="Q1149" i="11" s="1"/>
  <c r="P1150" i="11"/>
  <c r="P1151" i="11"/>
  <c r="Q1151" i="11"/>
  <c r="P1152" i="11"/>
  <c r="P1153" i="11"/>
  <c r="Q1153" i="11"/>
  <c r="P1154" i="11"/>
  <c r="P1155" i="11"/>
  <c r="Q1155" i="11"/>
  <c r="P1156" i="11"/>
  <c r="P1157" i="11"/>
  <c r="Q1157" i="11" s="1"/>
  <c r="P1158" i="11"/>
  <c r="P1159" i="11"/>
  <c r="Q1159" i="11"/>
  <c r="P1160" i="11"/>
  <c r="P1161" i="11"/>
  <c r="Q1161" i="11" s="1"/>
  <c r="P1162" i="11"/>
  <c r="P1163" i="11"/>
  <c r="Q1163" i="11"/>
  <c r="P1164" i="11"/>
  <c r="P1165" i="11"/>
  <c r="Q1165" i="11" s="1"/>
  <c r="P1166" i="11"/>
  <c r="P1167" i="11"/>
  <c r="Q1167" i="11"/>
  <c r="P1168" i="11"/>
  <c r="P1169" i="11"/>
  <c r="Q1169" i="11" s="1"/>
  <c r="P1170" i="11"/>
  <c r="P1171" i="11"/>
  <c r="Q1171" i="11"/>
  <c r="P1172" i="11"/>
  <c r="P1173" i="11"/>
  <c r="Q1173" i="11" s="1"/>
  <c r="P1174" i="11"/>
  <c r="P1175" i="11"/>
  <c r="Q1175" i="11"/>
  <c r="P1176" i="11"/>
  <c r="P1177" i="11"/>
  <c r="Q1177" i="11" s="1"/>
  <c r="P1178" i="11"/>
  <c r="P1179" i="11"/>
  <c r="Q1179" i="11"/>
  <c r="P1180" i="11"/>
  <c r="P1181" i="11"/>
  <c r="Q1181" i="11" s="1"/>
  <c r="P1182" i="11"/>
  <c r="P1183" i="11"/>
  <c r="Q1183" i="11"/>
  <c r="P1184" i="11"/>
  <c r="P1185" i="11"/>
  <c r="Q1185" i="11" s="1"/>
  <c r="P1186" i="11"/>
  <c r="P1187" i="11"/>
  <c r="Q1187" i="11"/>
  <c r="P1188" i="11"/>
  <c r="P1189" i="11"/>
  <c r="Q1189" i="11" s="1"/>
  <c r="P1190" i="11"/>
  <c r="P1191" i="11"/>
  <c r="Q1191" i="11"/>
  <c r="P1192" i="11"/>
  <c r="P1193" i="11"/>
  <c r="Q1193" i="11"/>
  <c r="P1194" i="11"/>
  <c r="P1195" i="11"/>
  <c r="Q1195" i="11"/>
  <c r="P1196" i="11"/>
  <c r="P1197" i="11"/>
  <c r="Q1197" i="11" s="1"/>
  <c r="P1198" i="11"/>
  <c r="P1199" i="11"/>
  <c r="Q1199" i="11"/>
  <c r="P1200" i="11"/>
  <c r="P1201" i="11"/>
  <c r="Q1201" i="11"/>
  <c r="P1202" i="11"/>
  <c r="P1203" i="11"/>
  <c r="Q1203" i="11"/>
  <c r="P1204" i="11"/>
  <c r="P1205" i="11"/>
  <c r="Q1205" i="11" s="1"/>
  <c r="P1206" i="11"/>
  <c r="P1207" i="11"/>
  <c r="Q1207" i="11"/>
  <c r="P1208" i="11"/>
  <c r="P1209" i="11"/>
  <c r="Q1209" i="11" s="1"/>
  <c r="P1210" i="11"/>
  <c r="P1211" i="11"/>
  <c r="Q1211" i="11"/>
  <c r="P1212" i="11"/>
  <c r="P1213" i="11"/>
  <c r="Q1213" i="11" s="1"/>
  <c r="P1214" i="11"/>
  <c r="P1215" i="11"/>
  <c r="Q1215" i="11"/>
  <c r="P1216" i="11"/>
  <c r="P1217" i="11"/>
  <c r="Q1217" i="11" s="1"/>
  <c r="P1218" i="11"/>
  <c r="P1219" i="11"/>
  <c r="Q1219" i="11"/>
  <c r="P1220" i="11"/>
  <c r="P1221" i="11"/>
  <c r="Q1221" i="11" s="1"/>
  <c r="P1222" i="11"/>
  <c r="P1223" i="11"/>
  <c r="Q1223" i="11"/>
  <c r="P1224" i="11"/>
  <c r="P1225" i="11"/>
  <c r="Q1225" i="11" s="1"/>
  <c r="P1226" i="11"/>
  <c r="P1227" i="11"/>
  <c r="Q1227" i="11"/>
  <c r="P1228" i="11"/>
  <c r="P1229" i="11"/>
  <c r="Q1229" i="11" s="1"/>
  <c r="P1230" i="11"/>
  <c r="P1231" i="11"/>
  <c r="Q1231" i="11"/>
  <c r="P1232" i="11"/>
  <c r="P1233" i="11"/>
  <c r="Q1233" i="11" s="1"/>
  <c r="P1234" i="11"/>
  <c r="P1235" i="11"/>
  <c r="Q1235" i="11"/>
  <c r="P1236" i="11"/>
  <c r="P1237" i="11"/>
  <c r="Q1237" i="11" s="1"/>
  <c r="P1238" i="11"/>
  <c r="P1239" i="11"/>
  <c r="Q1239" i="11"/>
  <c r="P1240" i="11"/>
  <c r="P1241" i="11"/>
  <c r="Q1241" i="11" s="1"/>
  <c r="P1242" i="11"/>
  <c r="P1243" i="11"/>
  <c r="Q1243" i="11"/>
  <c r="P1244" i="11"/>
  <c r="P1245" i="11"/>
  <c r="Q1245" i="11" s="1"/>
  <c r="P1246" i="11"/>
  <c r="P1247" i="11"/>
  <c r="Q1247" i="11"/>
  <c r="P1248" i="11"/>
  <c r="P1249" i="11"/>
  <c r="Q1249" i="11"/>
  <c r="P1250" i="11"/>
  <c r="P1251" i="11"/>
  <c r="Q1251" i="11"/>
  <c r="P1252" i="11"/>
  <c r="P1253" i="11"/>
  <c r="Q1253" i="11" s="1"/>
  <c r="P1254" i="11"/>
  <c r="P1255" i="11"/>
  <c r="Q1255" i="11"/>
  <c r="P1256" i="11"/>
  <c r="P1257" i="11"/>
  <c r="Q1257" i="11" s="1"/>
  <c r="P1258" i="11"/>
  <c r="P1259" i="11"/>
  <c r="Q1259" i="11"/>
  <c r="P1260" i="11"/>
  <c r="P1261" i="11"/>
  <c r="Q1261" i="11" s="1"/>
  <c r="P1262" i="11"/>
  <c r="P1263" i="11"/>
  <c r="Q1263" i="11"/>
  <c r="P1264" i="11"/>
  <c r="P1265" i="11"/>
  <c r="Q1265" i="11" s="1"/>
  <c r="P1266" i="11"/>
  <c r="P1267" i="11"/>
  <c r="Q1267" i="11"/>
  <c r="P1268" i="11"/>
  <c r="P1269" i="11"/>
  <c r="Q1269" i="11" s="1"/>
  <c r="P1270" i="11"/>
  <c r="P1271" i="11"/>
  <c r="Q1271" i="11"/>
  <c r="P1272" i="11"/>
  <c r="P1273" i="11"/>
  <c r="Q1273" i="11" s="1"/>
  <c r="P1274" i="11"/>
  <c r="P1275" i="11"/>
  <c r="Q1275" i="11"/>
  <c r="P1276" i="11"/>
  <c r="P1277" i="11"/>
  <c r="Q1277" i="11" s="1"/>
  <c r="P1278" i="11"/>
  <c r="P1279" i="11"/>
  <c r="Q1279" i="11"/>
  <c r="P1280" i="11"/>
  <c r="P1281" i="11"/>
  <c r="Q1281" i="11" s="1"/>
  <c r="P1282" i="11"/>
  <c r="P1283" i="11"/>
  <c r="Q1283" i="11"/>
  <c r="P1284" i="11"/>
  <c r="P1285" i="11"/>
  <c r="Q1285" i="11" s="1"/>
  <c r="P1286" i="11"/>
  <c r="P1287" i="11"/>
  <c r="Q1287" i="11"/>
  <c r="P1288" i="11"/>
  <c r="P1289" i="11"/>
  <c r="Q1289" i="11"/>
  <c r="P1290" i="11"/>
  <c r="P1291" i="11"/>
  <c r="Q1291" i="11"/>
  <c r="P1292" i="11"/>
  <c r="P1293" i="11"/>
  <c r="Q1293" i="11" s="1"/>
  <c r="P1294" i="11"/>
  <c r="P1295" i="11"/>
  <c r="Q1295" i="11"/>
  <c r="P1296" i="11"/>
  <c r="P1297" i="11"/>
  <c r="Q1297" i="11"/>
  <c r="P1298" i="11"/>
  <c r="P1299" i="11"/>
  <c r="Q1299" i="11"/>
  <c r="P1300" i="11"/>
  <c r="P1301" i="11"/>
  <c r="Q1301" i="11" s="1"/>
  <c r="P1302" i="11"/>
  <c r="P1303" i="11"/>
  <c r="Q1303" i="11"/>
  <c r="P1304" i="11"/>
  <c r="P1305" i="11"/>
  <c r="Q1305" i="11" s="1"/>
  <c r="P1306" i="11"/>
  <c r="P1307" i="11"/>
  <c r="Q1307" i="11"/>
  <c r="P1308" i="11"/>
  <c r="P1309" i="11"/>
  <c r="Q1309" i="11" s="1"/>
  <c r="P1310" i="11"/>
  <c r="P1311" i="11"/>
  <c r="Q1311" i="11"/>
  <c r="P1312" i="11"/>
  <c r="P1313" i="11"/>
  <c r="Q1313" i="11" s="1"/>
  <c r="P1314" i="11"/>
  <c r="P1315" i="11"/>
  <c r="Q1315" i="11"/>
  <c r="P1316" i="11"/>
  <c r="P1317" i="11"/>
  <c r="Q1317" i="11" s="1"/>
  <c r="P1318" i="11"/>
  <c r="P1319" i="11"/>
  <c r="Q1319" i="11"/>
  <c r="P1320" i="11"/>
  <c r="P1321" i="11"/>
  <c r="Q1321" i="11" s="1"/>
  <c r="P1322" i="11"/>
  <c r="P1323" i="11"/>
  <c r="Q1323" i="11"/>
  <c r="P1324" i="11"/>
  <c r="P1325" i="11"/>
  <c r="Q1325" i="11" s="1"/>
  <c r="P1326" i="11"/>
  <c r="P1327" i="11"/>
  <c r="Q1327" i="11"/>
  <c r="P1328" i="11"/>
  <c r="P1329" i="11"/>
  <c r="Q1329" i="11"/>
  <c r="P1330" i="11"/>
  <c r="P1331" i="11"/>
  <c r="Q1331" i="11"/>
  <c r="P1332" i="11"/>
  <c r="P1333" i="11"/>
  <c r="Q1333" i="11" s="1"/>
  <c r="P1334" i="11"/>
  <c r="P1335" i="11"/>
  <c r="Q1335" i="11"/>
  <c r="P1336" i="11"/>
  <c r="P1337" i="11"/>
  <c r="Q1337" i="11" s="1"/>
  <c r="P1338" i="11"/>
  <c r="P1339" i="11"/>
  <c r="Q1339" i="11"/>
  <c r="P1340" i="11"/>
  <c r="P1341" i="11"/>
  <c r="Q1341" i="11" s="1"/>
  <c r="P1342" i="11"/>
  <c r="P1343" i="11"/>
  <c r="Q1343" i="11"/>
  <c r="P1344" i="11"/>
  <c r="P1345" i="11"/>
  <c r="Q1345" i="11"/>
  <c r="P1346" i="11"/>
  <c r="P1347" i="11"/>
  <c r="Q1347" i="11"/>
  <c r="P1348" i="11"/>
  <c r="P1349" i="11"/>
  <c r="Q1349" i="11" s="1"/>
  <c r="P1350" i="11"/>
  <c r="P1351" i="11"/>
  <c r="Q1351" i="11"/>
  <c r="P1352" i="11"/>
  <c r="P1353" i="11"/>
  <c r="Q1353" i="11" s="1"/>
  <c r="P1354" i="11"/>
  <c r="P1355" i="11"/>
  <c r="Q1355" i="11"/>
  <c r="P1356" i="11"/>
  <c r="P1357" i="11"/>
  <c r="Q1357" i="11" s="1"/>
  <c r="P1358" i="11"/>
  <c r="P1359" i="11"/>
  <c r="Q1359" i="11"/>
  <c r="P1360" i="11"/>
  <c r="P1361" i="11"/>
  <c r="Q1361" i="11" s="1"/>
  <c r="P1362" i="11"/>
  <c r="P1363" i="11"/>
  <c r="Q1363" i="11"/>
  <c r="P1364" i="11"/>
  <c r="P1365" i="11"/>
  <c r="Q1365" i="11" s="1"/>
  <c r="P1366" i="11"/>
  <c r="P1367" i="11"/>
  <c r="Q1367" i="11"/>
  <c r="P1368" i="11"/>
  <c r="P1369" i="11"/>
  <c r="Q1369" i="11" s="1"/>
  <c r="P1370" i="11"/>
  <c r="P1371" i="11"/>
  <c r="Q1371" i="11"/>
  <c r="P1372" i="11"/>
  <c r="P1373" i="11"/>
  <c r="Q1373" i="11" s="1"/>
  <c r="P1374" i="11"/>
  <c r="P1375" i="11"/>
  <c r="Q1375" i="11"/>
  <c r="P1376" i="11"/>
  <c r="P1377" i="11"/>
  <c r="Q1377" i="11" s="1"/>
  <c r="P1378" i="11"/>
  <c r="P1379" i="11"/>
  <c r="Q1379" i="11"/>
  <c r="P1380" i="11"/>
  <c r="P1381" i="11"/>
  <c r="Q1381" i="11" s="1"/>
  <c r="P1382" i="11"/>
  <c r="P1383" i="11"/>
  <c r="Q1383" i="11"/>
  <c r="P1384" i="11"/>
  <c r="P1385" i="11"/>
  <c r="Q1385" i="11"/>
  <c r="P1386" i="11"/>
  <c r="P1387" i="11"/>
  <c r="Q1387" i="11"/>
  <c r="P1388" i="11"/>
  <c r="P1389" i="11"/>
  <c r="Q1389" i="11" s="1"/>
  <c r="P1390" i="11"/>
  <c r="P1391" i="11"/>
  <c r="Q1391" i="11"/>
  <c r="P1392" i="11"/>
  <c r="P1393" i="11"/>
  <c r="Q1393" i="11"/>
  <c r="P1394" i="11"/>
  <c r="P1395" i="11"/>
  <c r="Q1395" i="11"/>
  <c r="P1396" i="11"/>
  <c r="P1397" i="11"/>
  <c r="Q1397" i="11" s="1"/>
  <c r="P1398" i="11"/>
  <c r="P1399" i="11"/>
  <c r="Q1399" i="11"/>
  <c r="P1400" i="11"/>
  <c r="P1401" i="11"/>
  <c r="Q1401" i="11" s="1"/>
  <c r="P1402" i="11"/>
  <c r="P1403" i="11"/>
  <c r="Q1403" i="11"/>
  <c r="P1404" i="11"/>
  <c r="P1405" i="11"/>
  <c r="Q1405" i="11" s="1"/>
  <c r="P1406" i="11"/>
  <c r="P1407" i="11"/>
  <c r="Q1407" i="11"/>
  <c r="P1408" i="11"/>
  <c r="P1409" i="11"/>
  <c r="Q1409" i="11" s="1"/>
  <c r="P1410" i="11"/>
  <c r="P1411" i="11"/>
  <c r="Q1411" i="11"/>
  <c r="P1412" i="11"/>
  <c r="P1413" i="11"/>
  <c r="Q1413" i="11" s="1"/>
  <c r="P1414" i="11"/>
  <c r="P1415" i="11"/>
  <c r="Q1415" i="11"/>
  <c r="P1416" i="11"/>
  <c r="P1417" i="11"/>
  <c r="Q1417" i="11" s="1"/>
  <c r="P1418" i="11"/>
  <c r="P1419" i="11"/>
  <c r="Q1419" i="11"/>
  <c r="P1420" i="11"/>
  <c r="P1421" i="11"/>
  <c r="Q1421" i="11" s="1"/>
  <c r="P1422" i="11"/>
  <c r="P1423" i="11"/>
  <c r="Q1423" i="11"/>
  <c r="P1424" i="11"/>
  <c r="P1425" i="11"/>
  <c r="Q1425" i="11" s="1"/>
  <c r="P1426" i="11"/>
  <c r="P1427" i="11"/>
  <c r="Q1427" i="11"/>
  <c r="P1428" i="11"/>
  <c r="P1429" i="11"/>
  <c r="Q1429" i="11" s="1"/>
  <c r="P1430" i="11"/>
  <c r="P1431" i="11"/>
  <c r="Q1431" i="11"/>
  <c r="P1432" i="11"/>
  <c r="P1433" i="11"/>
  <c r="Q1433" i="11" s="1"/>
  <c r="P1434" i="11"/>
  <c r="P1435" i="11"/>
  <c r="Q1435" i="11"/>
  <c r="P1436" i="11"/>
  <c r="P1437" i="11"/>
  <c r="Q1437" i="11" s="1"/>
  <c r="P1438" i="11"/>
  <c r="P1439" i="11"/>
  <c r="Q1439" i="11"/>
  <c r="P1440" i="11"/>
  <c r="P1441" i="11"/>
  <c r="Q1441" i="11"/>
  <c r="P1442" i="11"/>
  <c r="P1443" i="11"/>
  <c r="Q1443" i="11"/>
  <c r="P1444" i="11"/>
  <c r="P1445" i="11"/>
  <c r="Q1445" i="11" s="1"/>
  <c r="P1446" i="11"/>
  <c r="P1447" i="11"/>
  <c r="Q1447" i="11"/>
  <c r="P1448" i="11"/>
  <c r="P1449" i="11"/>
  <c r="Q1449" i="11" s="1"/>
  <c r="P1450" i="11"/>
  <c r="P1451" i="11"/>
  <c r="Q1451" i="11"/>
  <c r="P1452" i="11"/>
  <c r="P1453" i="11"/>
  <c r="Q1453" i="11" s="1"/>
  <c r="P1454" i="11"/>
  <c r="P1455" i="11"/>
  <c r="Q1455" i="11"/>
  <c r="P1456" i="11"/>
  <c r="P1457" i="11"/>
  <c r="Q1457" i="11" s="1"/>
  <c r="P1458" i="11"/>
  <c r="P1459" i="11"/>
  <c r="Q1459" i="11"/>
  <c r="P1460" i="11"/>
  <c r="P1461" i="11"/>
  <c r="Q1461" i="11" s="1"/>
  <c r="P1462" i="11"/>
  <c r="P1463" i="11"/>
  <c r="Q1463" i="11"/>
  <c r="P1464" i="11"/>
  <c r="P1465" i="11"/>
  <c r="Q1465" i="11" s="1"/>
  <c r="P1466" i="11"/>
  <c r="P1467" i="11"/>
  <c r="Q1467" i="11"/>
  <c r="P1468" i="11"/>
  <c r="P1469" i="11"/>
  <c r="Q1469" i="11" s="1"/>
  <c r="P1470" i="11"/>
  <c r="P1471" i="11"/>
  <c r="Q1471" i="11"/>
  <c r="P1472" i="11"/>
  <c r="P1473" i="11"/>
  <c r="Q1473" i="11" s="1"/>
  <c r="P1474" i="11"/>
  <c r="P1475" i="11"/>
  <c r="Q1475" i="11"/>
  <c r="P1476" i="11"/>
  <c r="P1477" i="11"/>
  <c r="Q1477" i="11" s="1"/>
  <c r="P1478" i="11"/>
  <c r="P1479" i="11"/>
  <c r="Q1479" i="11"/>
  <c r="P1480" i="11"/>
  <c r="P1481" i="11"/>
  <c r="Q1481" i="11" s="1"/>
  <c r="P1482" i="11"/>
  <c r="P1483" i="11"/>
  <c r="Q1483" i="11"/>
  <c r="P1484" i="11"/>
  <c r="P1485" i="11"/>
  <c r="Q1485" i="11" s="1"/>
  <c r="P1486" i="11"/>
  <c r="P1487" i="11"/>
  <c r="Q1487" i="11"/>
  <c r="P1488" i="11"/>
  <c r="P1489" i="11"/>
  <c r="Q1489" i="11"/>
  <c r="P1490" i="11"/>
  <c r="P1491" i="11"/>
  <c r="Q1491" i="11"/>
  <c r="P1492" i="11"/>
  <c r="P1493" i="11"/>
  <c r="Q1493" i="11" s="1"/>
  <c r="P1494" i="11"/>
  <c r="P1495" i="11"/>
  <c r="Q1495" i="11"/>
  <c r="P1496" i="11"/>
  <c r="P1497" i="11"/>
  <c r="Q1497" i="11" s="1"/>
  <c r="P1498" i="11"/>
  <c r="P1499" i="11"/>
  <c r="Q1499" i="11"/>
  <c r="P1500" i="11"/>
  <c r="P1501" i="11"/>
  <c r="Q1501" i="11" s="1"/>
  <c r="P1502" i="11"/>
  <c r="P1503" i="11"/>
  <c r="Q1503" i="11"/>
  <c r="P1504" i="11"/>
  <c r="P1505" i="11"/>
  <c r="Q1505" i="11" s="1"/>
  <c r="P1506" i="11"/>
  <c r="P1507" i="11"/>
  <c r="Q1507" i="11"/>
  <c r="P1508" i="11"/>
  <c r="P1509" i="11"/>
  <c r="Q1509" i="11" s="1"/>
  <c r="P1510" i="11"/>
  <c r="P1511" i="11"/>
  <c r="Q1511" i="11"/>
  <c r="P1512" i="11"/>
  <c r="P1513" i="11"/>
  <c r="Q1513" i="11" s="1"/>
  <c r="P1514" i="11"/>
  <c r="P1515" i="11"/>
  <c r="Q1515" i="11"/>
  <c r="P1516" i="11"/>
  <c r="P1517" i="11"/>
  <c r="Q1517" i="11" s="1"/>
  <c r="P1518" i="11"/>
  <c r="P1519" i="11"/>
  <c r="Q1519" i="11"/>
  <c r="P1520" i="11"/>
  <c r="P1521" i="11"/>
  <c r="Q1521" i="11" s="1"/>
  <c r="P1522" i="11"/>
  <c r="P1523" i="11"/>
  <c r="Q1523" i="11"/>
  <c r="P1524" i="11"/>
  <c r="P1525" i="11"/>
  <c r="Q1525" i="11" s="1"/>
  <c r="P1526" i="11"/>
  <c r="P1527" i="11"/>
  <c r="Q1527" i="11"/>
  <c r="P1528" i="11"/>
  <c r="P1529" i="11"/>
  <c r="Q1529" i="11" s="1"/>
  <c r="P1530" i="11"/>
  <c r="P1531" i="11"/>
  <c r="Q1531" i="11"/>
  <c r="P1532" i="11"/>
  <c r="P1533" i="11"/>
  <c r="Q1533" i="11" s="1"/>
  <c r="P1534" i="11"/>
  <c r="P1535" i="11"/>
  <c r="Q1535" i="11"/>
  <c r="P1536" i="11"/>
  <c r="P1537" i="11"/>
  <c r="Q1537" i="11"/>
  <c r="P1538" i="11"/>
  <c r="P1539" i="11"/>
  <c r="Q1539" i="11"/>
  <c r="P1540" i="11"/>
  <c r="P1541" i="11"/>
  <c r="Q1541" i="11" s="1"/>
  <c r="P1542" i="11"/>
  <c r="P1543" i="11"/>
  <c r="Q1543" i="11"/>
  <c r="P1544" i="11"/>
  <c r="P1545" i="11"/>
  <c r="Q1545" i="11" s="1"/>
  <c r="P1546" i="11"/>
  <c r="P1547" i="11"/>
  <c r="Q1547" i="11"/>
  <c r="P1548" i="11"/>
  <c r="P1549" i="11"/>
  <c r="Q1549" i="11" s="1"/>
  <c r="P1550" i="11"/>
  <c r="P1551" i="11"/>
  <c r="Q1551" i="11"/>
  <c r="P1552" i="11"/>
  <c r="P1553" i="11"/>
  <c r="Q1553" i="11" s="1"/>
  <c r="P1554" i="11"/>
  <c r="P1555" i="11"/>
  <c r="Q1555" i="11"/>
  <c r="P1556" i="11"/>
  <c r="P1557" i="11"/>
  <c r="Q1557" i="11" s="1"/>
  <c r="P1558" i="11"/>
  <c r="P1559" i="11"/>
  <c r="Q1559" i="11"/>
  <c r="P1560" i="11"/>
  <c r="P1561" i="11"/>
  <c r="Q1561" i="11" s="1"/>
  <c r="P1562" i="11"/>
  <c r="P1563" i="11"/>
  <c r="Q1563" i="11"/>
  <c r="P1564" i="11"/>
  <c r="P1565" i="11"/>
  <c r="Q1565" i="11" s="1"/>
  <c r="P1566" i="11"/>
  <c r="P1567" i="11"/>
  <c r="Q1567" i="11"/>
  <c r="P1568" i="11"/>
  <c r="P1569" i="11"/>
  <c r="Q1569" i="11" s="1"/>
  <c r="P1570" i="11"/>
  <c r="P1571" i="11"/>
  <c r="Q1571" i="11"/>
  <c r="P1572" i="11"/>
  <c r="P1573" i="11"/>
  <c r="Q1573" i="11" s="1"/>
  <c r="P1574" i="11"/>
  <c r="P1575" i="11"/>
  <c r="Q1575" i="11"/>
  <c r="P1576" i="11"/>
  <c r="P1577" i="11"/>
  <c r="Q1577" i="11" s="1"/>
  <c r="P1578" i="11"/>
  <c r="P1579" i="11"/>
  <c r="Q1579" i="11"/>
  <c r="P1580" i="11"/>
  <c r="P1581" i="11"/>
  <c r="Q1581" i="11" s="1"/>
  <c r="P1582" i="11"/>
  <c r="P1583" i="11"/>
  <c r="Q1583" i="11"/>
  <c r="P1584" i="11"/>
  <c r="P1585" i="11"/>
  <c r="Q1585" i="11"/>
  <c r="P1586" i="11"/>
  <c r="P1587" i="11"/>
  <c r="Q1587" i="11"/>
  <c r="P1588" i="11"/>
  <c r="P1589" i="11"/>
  <c r="Q1589" i="11" s="1"/>
  <c r="P1590" i="11"/>
  <c r="P1591" i="11"/>
  <c r="Q1591" i="11"/>
  <c r="P1592" i="11"/>
  <c r="P1593" i="11"/>
  <c r="Q1593" i="11" s="1"/>
  <c r="P1594" i="11"/>
  <c r="P1595" i="11"/>
  <c r="Q1595" i="11"/>
  <c r="P1596" i="11"/>
  <c r="P1597" i="11"/>
  <c r="Q1597" i="11" s="1"/>
  <c r="P1598" i="11"/>
  <c r="P1599" i="11"/>
  <c r="Q1599" i="11"/>
  <c r="P1600" i="11"/>
  <c r="P1601" i="11"/>
  <c r="Q1601" i="11" s="1"/>
  <c r="P1602" i="11"/>
  <c r="P1603" i="11"/>
  <c r="Q1603" i="11"/>
  <c r="P1604" i="11"/>
  <c r="P1605" i="11"/>
  <c r="Q1605" i="11" s="1"/>
  <c r="P1606" i="11"/>
  <c r="P1607" i="11"/>
  <c r="Q1607" i="11"/>
  <c r="P1608" i="11"/>
  <c r="P1609" i="11"/>
  <c r="Q1609" i="11" s="1"/>
  <c r="P1610" i="11"/>
  <c r="P1611" i="11"/>
  <c r="Q1611" i="11"/>
  <c r="P1612" i="11"/>
  <c r="P1613" i="11"/>
  <c r="Q1613" i="11" s="1"/>
  <c r="P1614" i="11"/>
  <c r="P1615" i="11"/>
  <c r="Q1615" i="11"/>
  <c r="P1616" i="11"/>
  <c r="P1617" i="11"/>
  <c r="Q1617" i="11" s="1"/>
  <c r="P1618" i="11"/>
  <c r="P1619" i="11"/>
  <c r="Q1619" i="11"/>
  <c r="P1620" i="11"/>
  <c r="P1621" i="11"/>
  <c r="Q1621" i="11" s="1"/>
  <c r="P1622" i="11"/>
  <c r="P1623" i="11"/>
  <c r="Q1623" i="11"/>
  <c r="P1624" i="11"/>
  <c r="P1625" i="11"/>
  <c r="Q1625" i="11" s="1"/>
  <c r="P1626" i="11"/>
  <c r="P1627" i="11"/>
  <c r="Q1627" i="11"/>
  <c r="P1628" i="11"/>
  <c r="P1629" i="11"/>
  <c r="Q1629" i="11" s="1"/>
  <c r="P1630" i="11"/>
  <c r="P1631" i="11"/>
  <c r="Q1631" i="11"/>
  <c r="P1632" i="11"/>
  <c r="P1633" i="11"/>
  <c r="Q1633" i="11"/>
  <c r="P1634" i="11"/>
  <c r="P1635" i="11"/>
  <c r="Q1635" i="11"/>
  <c r="P1636" i="11"/>
  <c r="P1637" i="11"/>
  <c r="Q1637" i="11" s="1"/>
  <c r="P1638" i="11"/>
  <c r="P1639" i="11"/>
  <c r="Q1639" i="11"/>
  <c r="P1640" i="11"/>
  <c r="P1641" i="11"/>
  <c r="Q1641" i="11" s="1"/>
  <c r="P1642" i="11"/>
  <c r="P1643" i="11"/>
  <c r="Q1643" i="11"/>
  <c r="P1644" i="11"/>
  <c r="P1645" i="11"/>
  <c r="Q1645" i="11" s="1"/>
  <c r="P1646" i="11"/>
  <c r="P1647" i="11"/>
  <c r="Q1647" i="11"/>
  <c r="P1648" i="11"/>
  <c r="P1649" i="11"/>
  <c r="Q1649" i="11" s="1"/>
  <c r="P1650" i="11"/>
  <c r="P1651" i="11"/>
  <c r="Q1651" i="11"/>
  <c r="P1652" i="11"/>
  <c r="P1653" i="11"/>
  <c r="Q1653" i="11" s="1"/>
  <c r="P1654" i="11"/>
  <c r="P1655" i="11"/>
  <c r="Q1655" i="11"/>
  <c r="P1656" i="11"/>
  <c r="P1657" i="11"/>
  <c r="Q1657" i="11" s="1"/>
  <c r="P1658" i="11"/>
  <c r="P1659" i="11"/>
  <c r="Q1659" i="11"/>
  <c r="P1660" i="11"/>
  <c r="P1661" i="11"/>
  <c r="Q1661" i="11" s="1"/>
  <c r="P1662" i="11"/>
  <c r="P1663" i="11"/>
  <c r="Q1663" i="11"/>
  <c r="P1664" i="11"/>
  <c r="P1665" i="11"/>
  <c r="Q1665" i="11" s="1"/>
  <c r="P1666" i="11"/>
  <c r="P1667" i="11"/>
  <c r="Q1667" i="11"/>
  <c r="P1668" i="11"/>
  <c r="P1669" i="11"/>
  <c r="Q1669" i="11" s="1"/>
  <c r="P1670" i="11"/>
  <c r="P1671" i="11"/>
  <c r="Q1671" i="11"/>
  <c r="P1672" i="11"/>
  <c r="P1673" i="11"/>
  <c r="Q1673" i="11" s="1"/>
  <c r="P1674" i="11"/>
  <c r="P1675" i="11"/>
  <c r="Q1675" i="11"/>
  <c r="P1676" i="11"/>
  <c r="P1677" i="11"/>
  <c r="Q1677" i="11" s="1"/>
  <c r="P1678" i="11"/>
  <c r="P1679" i="11"/>
  <c r="Q1679" i="11"/>
  <c r="P1680" i="11"/>
  <c r="P1681" i="11"/>
  <c r="Q1681" i="11"/>
  <c r="P1682" i="11"/>
  <c r="P1683" i="11"/>
  <c r="Q1683" i="11"/>
  <c r="P1684" i="11"/>
  <c r="P1685" i="11"/>
  <c r="Q1685" i="11" s="1"/>
  <c r="P1686" i="11"/>
  <c r="P1687" i="11"/>
  <c r="Q1687" i="11"/>
  <c r="P1688" i="11"/>
  <c r="P1689" i="11"/>
  <c r="Q1689" i="11" s="1"/>
  <c r="P1690" i="11"/>
  <c r="P1691" i="11"/>
  <c r="Q1691" i="11"/>
  <c r="P1692" i="11"/>
  <c r="P1693" i="11"/>
  <c r="Q1693" i="11" s="1"/>
  <c r="P1694" i="11"/>
  <c r="P1695" i="11"/>
  <c r="Q1695" i="11"/>
  <c r="P1696" i="11"/>
  <c r="P1697" i="11"/>
  <c r="Q1697" i="11"/>
  <c r="P1698" i="11"/>
  <c r="P1699" i="11"/>
  <c r="Q1699" i="11"/>
  <c r="P1700" i="11"/>
  <c r="P1701" i="11"/>
  <c r="Q1701" i="11" s="1"/>
  <c r="P1702" i="11"/>
  <c r="P1703" i="11"/>
  <c r="Q1703" i="11"/>
  <c r="P1704" i="11"/>
  <c r="P1705" i="11"/>
  <c r="Q1705" i="11" s="1"/>
  <c r="P1706" i="11"/>
  <c r="P1707" i="11"/>
  <c r="Q1707" i="11"/>
  <c r="P1708" i="11"/>
  <c r="P1709" i="11"/>
  <c r="Q1709" i="11" s="1"/>
  <c r="P1710" i="11"/>
  <c r="P1711" i="11"/>
  <c r="Q1711" i="11"/>
  <c r="P1712" i="11"/>
  <c r="P1713" i="11"/>
  <c r="Q1713" i="11" s="1"/>
  <c r="P1714" i="11"/>
  <c r="P1715" i="11"/>
  <c r="Q1715" i="11"/>
  <c r="P1716" i="11"/>
  <c r="P1717" i="11"/>
  <c r="Q1717" i="11" s="1"/>
  <c r="P1718" i="11"/>
  <c r="P1719" i="11"/>
  <c r="Q1719" i="11"/>
  <c r="P1720" i="11"/>
  <c r="P1721" i="11"/>
  <c r="Q1721" i="11" s="1"/>
  <c r="P1722" i="11"/>
  <c r="P1723" i="11"/>
  <c r="Q1723" i="11"/>
  <c r="P1724" i="11"/>
  <c r="P1725" i="11"/>
  <c r="Q1725" i="11" s="1"/>
  <c r="P1726" i="11"/>
  <c r="P1727" i="11"/>
  <c r="Q1727" i="11"/>
  <c r="P1728" i="11"/>
  <c r="P1729" i="11"/>
  <c r="Q1729" i="11"/>
  <c r="P1730" i="11"/>
  <c r="P1731" i="11"/>
  <c r="Q1731" i="11"/>
  <c r="P1732" i="11"/>
  <c r="P1733" i="11"/>
  <c r="Q1733" i="11" s="1"/>
  <c r="P1734" i="11"/>
  <c r="P1735" i="11"/>
  <c r="Q1735" i="11"/>
  <c r="P1736" i="11"/>
  <c r="P1737" i="11"/>
  <c r="Q1737" i="11" s="1"/>
  <c r="P1738" i="11"/>
  <c r="P1739" i="11"/>
  <c r="Q1739" i="11"/>
  <c r="P1740" i="11"/>
  <c r="P1741" i="11"/>
  <c r="Q1741" i="11" s="1"/>
  <c r="P1742" i="11"/>
  <c r="P1743" i="11"/>
  <c r="Q1743" i="11"/>
  <c r="P1744" i="11"/>
  <c r="P1745" i="11"/>
  <c r="Q1745" i="11" s="1"/>
  <c r="P1746" i="11"/>
  <c r="P1747" i="11"/>
  <c r="Q1747" i="11"/>
  <c r="P1748" i="11"/>
  <c r="P1749" i="11"/>
  <c r="Q1749" i="11" s="1"/>
  <c r="P1750" i="11"/>
  <c r="P1751" i="11"/>
  <c r="Q1751" i="11"/>
  <c r="P1752" i="11"/>
  <c r="P1753" i="11"/>
  <c r="Q1753" i="11" s="1"/>
  <c r="P1754" i="11"/>
  <c r="P1755" i="11"/>
  <c r="Q1755" i="11"/>
  <c r="P1756" i="11"/>
  <c r="P1757" i="11"/>
  <c r="Q1757" i="11" s="1"/>
  <c r="P1758" i="11"/>
  <c r="P1759" i="11"/>
  <c r="Q1759" i="11"/>
  <c r="P1760" i="11"/>
  <c r="P1761" i="11"/>
  <c r="Q1761" i="11" s="1"/>
  <c r="P1762" i="11"/>
  <c r="P1763" i="11"/>
  <c r="Q1763" i="11"/>
  <c r="P1764" i="11"/>
  <c r="P1765" i="11"/>
  <c r="Q1765" i="11" s="1"/>
  <c r="P1766" i="11"/>
  <c r="P1767" i="11"/>
  <c r="Q1767" i="11"/>
  <c r="P1768" i="11"/>
  <c r="P1769" i="11"/>
  <c r="Q1769" i="11"/>
  <c r="P1770" i="11"/>
  <c r="P1771" i="11"/>
  <c r="Q1771" i="11"/>
  <c r="P1772" i="11"/>
  <c r="P1773" i="11"/>
  <c r="Q1773" i="11" s="1"/>
  <c r="P1774" i="11"/>
  <c r="P1775" i="11"/>
  <c r="Q1775" i="11"/>
  <c r="P1776" i="11"/>
  <c r="P1777" i="11"/>
  <c r="Q1777" i="11"/>
  <c r="P1778" i="11"/>
  <c r="P1779" i="11"/>
  <c r="Q1779" i="11"/>
  <c r="P1780" i="11"/>
  <c r="P1781" i="11"/>
  <c r="Q1781" i="11" s="1"/>
  <c r="P1782" i="11"/>
  <c r="P1783" i="11"/>
  <c r="Q1783" i="11"/>
  <c r="P1784" i="11"/>
  <c r="P1785" i="11"/>
  <c r="Q1785" i="11" s="1"/>
  <c r="P1786" i="11"/>
  <c r="P1787" i="11"/>
  <c r="Q1787" i="11"/>
  <c r="P1788" i="11"/>
  <c r="P1789" i="11"/>
  <c r="Q1789" i="11" s="1"/>
  <c r="P1790" i="11"/>
  <c r="P1791" i="11"/>
  <c r="Q1791" i="11"/>
  <c r="P1792" i="11"/>
  <c r="P1793" i="11"/>
  <c r="Q1793" i="11"/>
  <c r="P1794" i="11"/>
  <c r="P1795" i="11"/>
  <c r="Q1795" i="11"/>
  <c r="P1796" i="11"/>
  <c r="P1797" i="11"/>
  <c r="Q1797" i="11" s="1"/>
  <c r="P1798" i="11"/>
  <c r="P1799" i="11"/>
  <c r="Q1799" i="11"/>
  <c r="P1800" i="11"/>
  <c r="P1801" i="11"/>
  <c r="Q1801" i="11" s="1"/>
  <c r="P1802" i="11"/>
  <c r="P1803" i="11"/>
  <c r="Q1803" i="11"/>
  <c r="P1804" i="11"/>
  <c r="P1805" i="11"/>
  <c r="Q1805" i="11" s="1"/>
  <c r="P1806" i="11"/>
  <c r="P1807" i="11"/>
  <c r="Q1807" i="11"/>
  <c r="P1808" i="11"/>
  <c r="P1809" i="11"/>
  <c r="Q1809" i="11" s="1"/>
  <c r="P1810" i="11"/>
  <c r="P1811" i="11"/>
  <c r="Q1811" i="11"/>
  <c r="P1812" i="11"/>
  <c r="P1813" i="11"/>
  <c r="Q1813" i="11" s="1"/>
  <c r="P1814" i="11"/>
  <c r="P1815" i="11"/>
  <c r="Q1815" i="11"/>
  <c r="P1816" i="11"/>
  <c r="P1817" i="11"/>
  <c r="Q1817" i="11" s="1"/>
  <c r="P1818" i="11"/>
  <c r="P1819" i="11"/>
  <c r="Q1819" i="11"/>
  <c r="P1820" i="11"/>
  <c r="P1821" i="11"/>
  <c r="Q1821" i="11" s="1"/>
  <c r="P1822" i="11"/>
  <c r="P1823" i="11"/>
  <c r="Q1823" i="11"/>
  <c r="P1824" i="11"/>
  <c r="P1825" i="11"/>
  <c r="Q1825" i="11"/>
  <c r="P1826" i="11"/>
  <c r="P1827" i="11"/>
  <c r="Q1827" i="11"/>
  <c r="P1828" i="11"/>
  <c r="P1829" i="11"/>
  <c r="Q1829" i="11" s="1"/>
  <c r="P1830" i="11"/>
  <c r="P1831" i="11"/>
  <c r="Q1831" i="11" s="1"/>
  <c r="P1832" i="11"/>
  <c r="P1833" i="11"/>
  <c r="Q1833" i="11" s="1"/>
  <c r="P1834" i="11"/>
  <c r="P1835" i="11"/>
  <c r="Q1835" i="11"/>
  <c r="P1836" i="11"/>
  <c r="P1837" i="11"/>
  <c r="Q1837" i="11" s="1"/>
  <c r="P1838" i="11"/>
  <c r="P1839" i="11"/>
  <c r="Q1839" i="11" s="1"/>
  <c r="P1840" i="11"/>
  <c r="P1841" i="11"/>
  <c r="Q1841" i="11" s="1"/>
  <c r="P1842" i="11"/>
  <c r="P1843" i="11"/>
  <c r="Q1843" i="11"/>
  <c r="P1844" i="11"/>
  <c r="P1845" i="11"/>
  <c r="Q1845" i="11" s="1"/>
  <c r="P1846" i="11"/>
  <c r="P1847" i="11"/>
  <c r="Q1847" i="11"/>
  <c r="P1848" i="11"/>
  <c r="P1849" i="11"/>
  <c r="Q1849" i="11" s="1"/>
  <c r="P1850" i="11"/>
  <c r="P1851" i="11"/>
  <c r="Q1851" i="11"/>
  <c r="P1852" i="11"/>
  <c r="P1853" i="11"/>
  <c r="Q1853" i="11" s="1"/>
  <c r="P1854" i="11"/>
  <c r="P1855" i="11"/>
  <c r="Q1855" i="11" s="1"/>
  <c r="P1856" i="11"/>
  <c r="P1857" i="11"/>
  <c r="Q1857" i="11" s="1"/>
  <c r="P1858" i="11"/>
  <c r="P1859" i="11"/>
  <c r="Q1859" i="11"/>
  <c r="P1860" i="11"/>
  <c r="P1861" i="11"/>
  <c r="Q1861" i="11" s="1"/>
  <c r="P1862" i="11"/>
  <c r="P1863" i="11"/>
  <c r="Q1863" i="11" s="1"/>
  <c r="P1864" i="11"/>
  <c r="P1865" i="11"/>
  <c r="Q1865" i="11" s="1"/>
  <c r="P1866" i="11"/>
  <c r="P1867" i="11"/>
  <c r="Q1867" i="11"/>
  <c r="P1868" i="11"/>
  <c r="P1869" i="11"/>
  <c r="Q1869" i="11" s="1"/>
  <c r="P1870" i="11"/>
  <c r="P1871" i="11"/>
  <c r="Q1871" i="11" s="1"/>
  <c r="P1872" i="11"/>
  <c r="P1873" i="11"/>
  <c r="Q1873" i="11"/>
  <c r="P1874" i="11"/>
  <c r="P1875" i="11"/>
  <c r="Q1875" i="11" s="1"/>
  <c r="P1876" i="11"/>
  <c r="P1877" i="11"/>
  <c r="Q1877" i="11" s="1"/>
  <c r="P1878" i="11"/>
  <c r="P1879" i="11"/>
  <c r="Q1879" i="11" s="1"/>
  <c r="P1880" i="11"/>
  <c r="P1881" i="11"/>
  <c r="Q1881" i="11" s="1"/>
  <c r="P1882" i="11"/>
  <c r="P1883" i="11"/>
  <c r="Q1883" i="11" s="1"/>
  <c r="P1884" i="11"/>
  <c r="P1885" i="11"/>
  <c r="Q1885" i="11" s="1"/>
  <c r="P1886" i="11"/>
  <c r="P1887" i="11"/>
  <c r="Q1887" i="11" s="1"/>
  <c r="P1888" i="11"/>
  <c r="P1889" i="11"/>
  <c r="Q1889" i="11" s="1"/>
  <c r="P1890" i="11"/>
  <c r="P1891" i="11"/>
  <c r="Q1891" i="11" s="1"/>
  <c r="P1892" i="11"/>
  <c r="P1893" i="11"/>
  <c r="Q1893" i="11" s="1"/>
  <c r="P1894" i="11"/>
  <c r="P1895" i="11"/>
  <c r="Q1895" i="11"/>
  <c r="P1896" i="11"/>
  <c r="P1897" i="11"/>
  <c r="Q1897" i="11" s="1"/>
  <c r="P1898" i="11"/>
  <c r="P1899" i="11"/>
  <c r="Q1899" i="11"/>
  <c r="P1900" i="11"/>
  <c r="P1901" i="11"/>
  <c r="Q1901" i="11" s="1"/>
  <c r="P1902" i="11"/>
  <c r="P1903" i="11"/>
  <c r="Q1903" i="11"/>
  <c r="P1904" i="11"/>
  <c r="P1905" i="11"/>
  <c r="Q1905" i="11" s="1"/>
  <c r="P1906" i="11"/>
  <c r="P1907" i="11"/>
  <c r="Q1907" i="11"/>
  <c r="P1908" i="11"/>
  <c r="P1909" i="11"/>
  <c r="Q1909" i="11" s="1"/>
  <c r="P1910" i="11"/>
  <c r="P1911" i="11"/>
  <c r="Q1911" i="11"/>
  <c r="P1912" i="11"/>
  <c r="P1913" i="11"/>
  <c r="Q1913" i="11" s="1"/>
  <c r="P1914" i="11"/>
  <c r="P1915" i="11"/>
  <c r="Q1915" i="11"/>
  <c r="P1916" i="11"/>
  <c r="P1917" i="11"/>
  <c r="Q1917" i="11" s="1"/>
  <c r="P1918" i="11"/>
  <c r="P1919" i="11"/>
  <c r="Q1919" i="11"/>
  <c r="P1920" i="11"/>
  <c r="P1921" i="11"/>
  <c r="Q1921" i="11" s="1"/>
  <c r="P1922" i="11"/>
  <c r="P1923" i="11"/>
  <c r="Q1923" i="11"/>
  <c r="P1924" i="11"/>
  <c r="P1925" i="11"/>
  <c r="Q1925" i="11" s="1"/>
  <c r="P1926" i="11"/>
  <c r="P1927" i="11"/>
  <c r="Q1927" i="11"/>
  <c r="P1928" i="11"/>
  <c r="P1929" i="11"/>
  <c r="Q1929" i="11" s="1"/>
  <c r="P1930" i="11"/>
  <c r="P1931" i="11"/>
  <c r="Q1931" i="11"/>
  <c r="P1932" i="11"/>
  <c r="P1933" i="11"/>
  <c r="Q1933" i="11" s="1"/>
  <c r="P1934" i="11"/>
  <c r="P1935" i="11"/>
  <c r="Q1935" i="11"/>
  <c r="P1936" i="11"/>
  <c r="P1937" i="11"/>
  <c r="Q1937" i="11" s="1"/>
  <c r="P1938" i="11"/>
  <c r="P1939" i="11"/>
  <c r="Q1939" i="11"/>
  <c r="P1940" i="11"/>
  <c r="P1941" i="11"/>
  <c r="Q1941" i="11" s="1"/>
  <c r="P1942" i="11"/>
  <c r="P1943" i="11"/>
  <c r="Q1943" i="11"/>
  <c r="P1944" i="11"/>
  <c r="P1945" i="11"/>
  <c r="Q1945" i="11" s="1"/>
  <c r="P1946" i="11"/>
  <c r="P1947" i="11"/>
  <c r="Q1947" i="11"/>
  <c r="P1948" i="11"/>
  <c r="P1949" i="11"/>
  <c r="Q1949" i="11" s="1"/>
  <c r="P1950" i="11"/>
  <c r="P1951" i="11"/>
  <c r="Q1951" i="11"/>
  <c r="P1952" i="11"/>
  <c r="P1953" i="11"/>
  <c r="Q1953" i="11" s="1"/>
  <c r="P1954" i="11"/>
  <c r="P1955" i="11"/>
  <c r="Q1955" i="11"/>
  <c r="P1956" i="11"/>
  <c r="P1957" i="11"/>
  <c r="Q1957" i="11" s="1"/>
  <c r="P1958" i="11"/>
  <c r="P1959" i="11"/>
  <c r="Q1959" i="11"/>
  <c r="P1960" i="11"/>
  <c r="P1961" i="11"/>
  <c r="Q1961" i="11" s="1"/>
  <c r="P1962" i="11"/>
  <c r="P1963" i="11"/>
  <c r="Q1963" i="11"/>
  <c r="P1964" i="11"/>
  <c r="P1965" i="11"/>
  <c r="Q1965" i="11" s="1"/>
  <c r="P1966" i="11"/>
  <c r="P1967" i="11"/>
  <c r="Q1967" i="11"/>
  <c r="P1968" i="11"/>
  <c r="P1969" i="11"/>
  <c r="Q1969" i="11" s="1"/>
  <c r="P1970" i="11"/>
  <c r="P1971" i="11"/>
  <c r="Q1971" i="11"/>
  <c r="P1972" i="11"/>
  <c r="P1973" i="11"/>
  <c r="Q1973" i="11" s="1"/>
  <c r="P1974" i="11"/>
  <c r="P1975" i="11"/>
  <c r="Q1975" i="11"/>
  <c r="P1976" i="11"/>
  <c r="P1977" i="11"/>
  <c r="Q1977" i="11" s="1"/>
  <c r="P1978" i="11"/>
  <c r="P1979" i="11"/>
  <c r="Q1979" i="11"/>
  <c r="P1980" i="11"/>
  <c r="P1981" i="11"/>
  <c r="Q1981" i="11" s="1"/>
  <c r="P1982" i="11"/>
  <c r="P1983" i="11"/>
  <c r="Q1983" i="11"/>
  <c r="P1984" i="11"/>
  <c r="P1985" i="11"/>
  <c r="Q1985" i="11" s="1"/>
  <c r="P1986" i="11"/>
  <c r="P1987" i="11"/>
  <c r="Q1987" i="11"/>
  <c r="P1988" i="11"/>
  <c r="P1989" i="11"/>
  <c r="Q1989" i="11" s="1"/>
  <c r="P1990" i="11"/>
  <c r="P1991" i="11"/>
  <c r="Q1991" i="11"/>
  <c r="P1992" i="11"/>
  <c r="P1993" i="11"/>
  <c r="Q1993" i="11" s="1"/>
  <c r="P1994" i="11"/>
  <c r="P1995" i="11"/>
  <c r="Q1995" i="11"/>
  <c r="P1996" i="11"/>
  <c r="P1997" i="11"/>
  <c r="Q1997" i="11" s="1"/>
  <c r="P1998" i="11"/>
  <c r="P1999" i="11"/>
  <c r="Q1999" i="11"/>
  <c r="P2000" i="11"/>
  <c r="P2001" i="11"/>
  <c r="Q2001" i="11" s="1"/>
  <c r="P2002" i="11"/>
  <c r="P2003" i="11"/>
  <c r="Q2003" i="11"/>
  <c r="P2004" i="11"/>
  <c r="P2005" i="11"/>
  <c r="Q2005" i="11" s="1"/>
  <c r="P2006" i="11"/>
  <c r="P2007" i="11"/>
  <c r="Q2007" i="11"/>
  <c r="P2008" i="11"/>
  <c r="P2009" i="11"/>
  <c r="Q2009" i="11" s="1"/>
  <c r="P2010" i="11"/>
  <c r="P2011" i="11"/>
  <c r="Q2011" i="11"/>
  <c r="P2012" i="11"/>
  <c r="P2013" i="11"/>
  <c r="Q2013" i="11" s="1"/>
  <c r="P2014" i="11"/>
  <c r="P2015" i="11"/>
  <c r="Q2015" i="11"/>
  <c r="P2016" i="11"/>
  <c r="P2017" i="11"/>
  <c r="Q2017" i="11" s="1"/>
  <c r="P2018" i="11"/>
  <c r="P2019" i="11"/>
  <c r="Q2019" i="11"/>
  <c r="P2020" i="11"/>
  <c r="P2021" i="11"/>
  <c r="Q2021" i="11" s="1"/>
  <c r="P2022" i="11"/>
  <c r="P2023" i="11"/>
  <c r="Q2023" i="11"/>
  <c r="P2024" i="11"/>
  <c r="P2025" i="11"/>
  <c r="Q2025" i="11" s="1"/>
  <c r="P2026" i="11"/>
  <c r="P2027" i="11"/>
  <c r="Q2027" i="11"/>
  <c r="P2028" i="11"/>
  <c r="P2029" i="11"/>
  <c r="Q2029" i="11" s="1"/>
  <c r="P2030" i="11"/>
  <c r="P2031" i="11"/>
  <c r="Q2031" i="11"/>
  <c r="P2032" i="11"/>
  <c r="P2033" i="11"/>
  <c r="Q2033" i="11" s="1"/>
  <c r="P2034" i="11"/>
  <c r="P2035" i="11"/>
  <c r="Q2035" i="11"/>
  <c r="P2036" i="11"/>
  <c r="P2037" i="11"/>
  <c r="Q2037" i="11" s="1"/>
  <c r="P2038" i="11"/>
  <c r="P2039" i="11"/>
  <c r="Q2039" i="11"/>
  <c r="P2040" i="11"/>
  <c r="P2041" i="11"/>
  <c r="Q2041" i="11" s="1"/>
  <c r="P2042" i="11"/>
  <c r="P2043" i="11"/>
  <c r="Q2043" i="11"/>
  <c r="P2044" i="11"/>
  <c r="P2045" i="11"/>
  <c r="Q2045" i="11" s="1"/>
  <c r="P2046" i="11"/>
  <c r="P2047" i="11"/>
  <c r="Q2047" i="11"/>
  <c r="P2048" i="11"/>
  <c r="P2049" i="11"/>
  <c r="Q2049" i="11" s="1"/>
  <c r="P2050" i="11"/>
  <c r="P2051" i="11"/>
  <c r="Q2051" i="11"/>
  <c r="P2052" i="11"/>
  <c r="P2053" i="11"/>
  <c r="Q2053" i="11" s="1"/>
  <c r="P2054" i="11"/>
  <c r="P2055" i="11"/>
  <c r="Q2055" i="11"/>
  <c r="P2056" i="11"/>
  <c r="P2057" i="11"/>
  <c r="Q2057" i="11" s="1"/>
  <c r="P2058" i="11"/>
  <c r="P2059" i="11"/>
  <c r="Q2059" i="11"/>
  <c r="P2060" i="11"/>
  <c r="P2061" i="11"/>
  <c r="Q2061" i="11" s="1"/>
  <c r="P2062" i="11"/>
  <c r="P2063" i="11"/>
  <c r="Q2063" i="11"/>
  <c r="P2064" i="11"/>
  <c r="P2065" i="11"/>
  <c r="Q2065" i="11" s="1"/>
  <c r="P2066" i="11"/>
  <c r="P2067" i="11"/>
  <c r="Q2067" i="11"/>
  <c r="P2068" i="11"/>
  <c r="P2069" i="11"/>
  <c r="Q2069" i="11" s="1"/>
  <c r="P2070" i="11"/>
  <c r="P2071" i="11"/>
  <c r="Q2071" i="11"/>
  <c r="P2072" i="11"/>
  <c r="P2073" i="11"/>
  <c r="Q2073" i="11" s="1"/>
  <c r="P2074" i="11"/>
  <c r="P2075" i="11"/>
  <c r="Q2075" i="11"/>
  <c r="P2076" i="11"/>
  <c r="P2077" i="11"/>
  <c r="Q2077" i="11" s="1"/>
  <c r="P2078" i="11"/>
  <c r="P2079" i="11"/>
  <c r="Q2079" i="11"/>
  <c r="P2080" i="11"/>
  <c r="P2081" i="11"/>
  <c r="Q2081" i="11" s="1"/>
  <c r="P2082" i="11"/>
  <c r="P2083" i="11"/>
  <c r="Q2083" i="11"/>
  <c r="P2084" i="11"/>
  <c r="P2085" i="11"/>
  <c r="Q2085" i="11" s="1"/>
  <c r="P2086" i="11"/>
  <c r="P2087" i="11"/>
  <c r="Q2087" i="11"/>
  <c r="P2088" i="11"/>
  <c r="P2089" i="11"/>
  <c r="Q2089" i="11" s="1"/>
  <c r="P2090" i="11"/>
  <c r="P2091" i="11"/>
  <c r="Q2091" i="11"/>
  <c r="P2092" i="11"/>
  <c r="P2093" i="11"/>
  <c r="Q2093" i="11" s="1"/>
  <c r="P2094" i="11"/>
  <c r="P2095" i="11"/>
  <c r="Q2095" i="11"/>
  <c r="P2096" i="11"/>
  <c r="P2097" i="11"/>
  <c r="Q2097" i="11" s="1"/>
  <c r="P2098" i="11"/>
  <c r="P2099" i="11"/>
  <c r="Q2099" i="11"/>
  <c r="P2100" i="11"/>
  <c r="P2101" i="11"/>
  <c r="Q2101" i="11" s="1"/>
  <c r="P2102" i="11"/>
  <c r="P2103" i="11"/>
  <c r="Q2103" i="11"/>
  <c r="P2104" i="11"/>
  <c r="P2105" i="11"/>
  <c r="Q2105" i="11" s="1"/>
  <c r="P2106" i="11"/>
  <c r="P2107" i="11"/>
  <c r="Q2107" i="11"/>
  <c r="P2108" i="11"/>
  <c r="P2109" i="11"/>
  <c r="Q2109" i="11" s="1"/>
  <c r="P2110" i="11"/>
  <c r="P2111" i="11"/>
  <c r="Q2111" i="11"/>
  <c r="P2112" i="11"/>
  <c r="P2113" i="11"/>
  <c r="Q2113" i="11" s="1"/>
  <c r="P2114" i="11"/>
  <c r="P2115" i="11"/>
  <c r="Q2115" i="11"/>
  <c r="P2116" i="11"/>
  <c r="P2117" i="11"/>
  <c r="Q2117" i="11" s="1"/>
  <c r="P2118" i="11"/>
  <c r="P2119" i="11"/>
  <c r="Q2119" i="11"/>
  <c r="P2120" i="11"/>
  <c r="P2121" i="11"/>
  <c r="Q2121" i="11" s="1"/>
  <c r="P2122" i="11"/>
  <c r="P2123" i="11"/>
  <c r="Q2123" i="11"/>
  <c r="P2124" i="11"/>
  <c r="P2125" i="11"/>
  <c r="Q2125" i="11" s="1"/>
  <c r="P2126" i="11"/>
  <c r="P2127" i="11"/>
  <c r="Q2127" i="11"/>
  <c r="P2128" i="11"/>
  <c r="P2129" i="11"/>
  <c r="Q2129" i="11" s="1"/>
  <c r="P2130" i="11"/>
  <c r="P2131" i="11"/>
  <c r="Q2131" i="11"/>
  <c r="P2132" i="11"/>
  <c r="P2133" i="11"/>
  <c r="Q2133" i="11" s="1"/>
  <c r="P2134" i="11"/>
  <c r="P2135" i="11"/>
  <c r="Q2135" i="11"/>
  <c r="P2136" i="11"/>
  <c r="P2137" i="11"/>
  <c r="Q2137" i="11" s="1"/>
  <c r="P2138" i="11"/>
  <c r="P2139" i="11"/>
  <c r="Q2139" i="11"/>
  <c r="P2140" i="11"/>
  <c r="P2141" i="11"/>
  <c r="Q2141" i="11" s="1"/>
  <c r="P2142" i="11"/>
  <c r="P2143" i="11"/>
  <c r="Q2143" i="11"/>
  <c r="P2144" i="11"/>
  <c r="P2145" i="11"/>
  <c r="Q2145" i="11" s="1"/>
  <c r="P2146" i="11"/>
  <c r="P2147" i="11"/>
  <c r="Q2147" i="11"/>
  <c r="P2148" i="11"/>
  <c r="P2149" i="11"/>
  <c r="Q2149" i="11" s="1"/>
  <c r="P2150" i="11"/>
  <c r="P2151" i="11"/>
  <c r="Q2151" i="11"/>
  <c r="P2152" i="11"/>
  <c r="P2153" i="11"/>
  <c r="Q2153" i="11" s="1"/>
  <c r="P2154" i="11"/>
  <c r="P2155" i="11"/>
  <c r="Q2155" i="11"/>
  <c r="P2156" i="11"/>
  <c r="P2157" i="11"/>
  <c r="Q2157" i="11" s="1"/>
  <c r="P2158" i="11"/>
  <c r="P2159" i="11"/>
  <c r="Q2159" i="11"/>
  <c r="P2160" i="11"/>
  <c r="P2161" i="11"/>
  <c r="Q2161" i="11" s="1"/>
  <c r="P2162" i="11"/>
  <c r="P2163" i="11"/>
  <c r="Q2163" i="11"/>
  <c r="P2164" i="11"/>
  <c r="P2165" i="11"/>
  <c r="Q2165" i="11" s="1"/>
  <c r="P2166" i="11"/>
  <c r="P2167" i="11"/>
  <c r="Q2167" i="11"/>
  <c r="P2168" i="11"/>
  <c r="P2169" i="11"/>
  <c r="Q2169" i="11" s="1"/>
  <c r="P2170" i="11"/>
  <c r="P2171" i="11"/>
  <c r="Q2171" i="11"/>
  <c r="P2172" i="11"/>
  <c r="P2173" i="11"/>
  <c r="Q2173" i="11" s="1"/>
  <c r="P2174" i="11"/>
  <c r="P2175" i="11"/>
  <c r="Q2175" i="11"/>
  <c r="P2176" i="11"/>
  <c r="P2177" i="11"/>
  <c r="Q2177" i="11" s="1"/>
  <c r="P2178" i="11"/>
  <c r="P2179" i="11"/>
  <c r="Q2179" i="11"/>
  <c r="P2180" i="11"/>
  <c r="P2181" i="11"/>
  <c r="Q2181" i="11" s="1"/>
  <c r="P2182" i="11"/>
  <c r="P2183" i="11"/>
  <c r="Q2183" i="11"/>
  <c r="P2184" i="11"/>
  <c r="P2185" i="11"/>
  <c r="Q2185" i="11" s="1"/>
  <c r="P2186" i="11"/>
  <c r="P2187" i="11"/>
  <c r="Q2187" i="11"/>
  <c r="P2188" i="11"/>
  <c r="P2189" i="11"/>
  <c r="Q2189" i="11" s="1"/>
  <c r="P2190" i="11"/>
  <c r="P2191" i="11"/>
  <c r="Q2191" i="11"/>
  <c r="P2192" i="11"/>
  <c r="P2193" i="11"/>
  <c r="Q2193" i="11" s="1"/>
  <c r="P2194" i="11"/>
  <c r="P2195" i="11"/>
  <c r="Q2195" i="11"/>
  <c r="P2196" i="11"/>
  <c r="P2197" i="11"/>
  <c r="Q2197" i="11" s="1"/>
  <c r="P2198" i="11"/>
  <c r="P2199" i="11"/>
  <c r="Q2199" i="11"/>
  <c r="P2200" i="11"/>
  <c r="P2201" i="11"/>
  <c r="Q2201" i="11" s="1"/>
  <c r="P2202" i="11"/>
  <c r="P2203" i="11"/>
  <c r="Q2203" i="11"/>
  <c r="P2204" i="11"/>
  <c r="P2205" i="11"/>
  <c r="Q2205" i="11" s="1"/>
  <c r="P2206" i="11"/>
  <c r="P2207" i="11"/>
  <c r="Q2207" i="11"/>
  <c r="P2208" i="11"/>
  <c r="P2209" i="11"/>
  <c r="Q2209" i="11" s="1"/>
  <c r="P2210" i="11"/>
  <c r="P2211" i="11"/>
  <c r="Q2211" i="11"/>
  <c r="P2212" i="11"/>
  <c r="P2213" i="11"/>
  <c r="Q2213" i="11" s="1"/>
  <c r="P2214" i="11"/>
  <c r="P2215" i="11"/>
  <c r="Q2215" i="11"/>
  <c r="P2216" i="11"/>
  <c r="P2217" i="11"/>
  <c r="Q2217" i="11" s="1"/>
  <c r="P2218" i="11"/>
  <c r="P2219" i="11"/>
  <c r="Q2219" i="11"/>
  <c r="P2220" i="11"/>
  <c r="P2221" i="11"/>
  <c r="Q2221" i="11" s="1"/>
  <c r="P2222" i="11"/>
  <c r="P2223" i="11"/>
  <c r="Q2223" i="11"/>
  <c r="P2224" i="11"/>
  <c r="P2225" i="11"/>
  <c r="Q2225" i="11" s="1"/>
  <c r="P2226" i="11"/>
  <c r="P2227" i="11"/>
  <c r="Q2227" i="11"/>
  <c r="P2228" i="11"/>
  <c r="P2229" i="11"/>
  <c r="Q2229" i="11" s="1"/>
  <c r="P2230" i="11"/>
  <c r="P2231" i="11"/>
  <c r="Q2231" i="11"/>
  <c r="P2232" i="11"/>
  <c r="P2233" i="11"/>
  <c r="Q2233" i="11" s="1"/>
  <c r="P2234" i="11"/>
  <c r="P2235" i="11"/>
  <c r="Q2235" i="11"/>
  <c r="P2236" i="11"/>
  <c r="P2237" i="11"/>
  <c r="Q2237" i="11" s="1"/>
  <c r="P2238" i="11"/>
  <c r="P2239" i="11"/>
  <c r="Q2239" i="11"/>
  <c r="P2240" i="11"/>
  <c r="P2241" i="11"/>
  <c r="Q2241" i="11" s="1"/>
  <c r="P2242" i="11"/>
  <c r="P2243" i="11"/>
  <c r="Q2243" i="11"/>
  <c r="P2244" i="11"/>
  <c r="P2245" i="11"/>
  <c r="Q2245" i="11" s="1"/>
  <c r="P2246" i="11"/>
  <c r="P2247" i="11"/>
  <c r="Q2247" i="11"/>
  <c r="P2248" i="11"/>
  <c r="P2249" i="11"/>
  <c r="Q2249" i="11" s="1"/>
  <c r="P2250" i="11"/>
  <c r="P2251" i="11"/>
  <c r="Q2251" i="11"/>
  <c r="P2252" i="11"/>
  <c r="P2253" i="11"/>
  <c r="Q2253" i="11" s="1"/>
  <c r="P2254" i="11"/>
  <c r="P2255" i="11"/>
  <c r="Q2255" i="11"/>
  <c r="P2256" i="11"/>
  <c r="P2257" i="11"/>
  <c r="Q2257" i="11" s="1"/>
  <c r="P2258" i="11"/>
  <c r="P2259" i="11"/>
  <c r="Q2259" i="11"/>
  <c r="P2260" i="11"/>
  <c r="P2261" i="11"/>
  <c r="Q2261" i="11" s="1"/>
  <c r="P2262" i="11"/>
  <c r="P2263" i="11"/>
  <c r="Q2263" i="11"/>
  <c r="P2264" i="11"/>
  <c r="P2265" i="11"/>
  <c r="Q2265" i="11" s="1"/>
  <c r="P2266" i="11"/>
  <c r="P2267" i="11"/>
  <c r="Q2267" i="11"/>
  <c r="P2268" i="11"/>
  <c r="P2269" i="11"/>
  <c r="Q2269" i="11" s="1"/>
  <c r="P2270" i="11"/>
  <c r="P2271" i="11"/>
  <c r="Q2271" i="11"/>
  <c r="P2272" i="11"/>
  <c r="P2273" i="11"/>
  <c r="Q2273" i="11" s="1"/>
  <c r="P2274" i="11"/>
  <c r="P2275" i="11"/>
  <c r="Q2275" i="11"/>
  <c r="P2276" i="11"/>
  <c r="P2277" i="11"/>
  <c r="Q2277" i="11" s="1"/>
  <c r="P2278" i="11"/>
  <c r="P2279" i="11"/>
  <c r="Q2279" i="11"/>
  <c r="P2280" i="11"/>
  <c r="P2281" i="11"/>
  <c r="Q2281" i="11" s="1"/>
  <c r="P2282" i="11"/>
  <c r="P2283" i="11"/>
  <c r="Q2283" i="11"/>
  <c r="P2284" i="11"/>
  <c r="P2285" i="11"/>
  <c r="Q2285" i="11" s="1"/>
  <c r="P2286" i="11"/>
  <c r="P2287" i="11"/>
  <c r="Q2287" i="11"/>
  <c r="P2288" i="11"/>
  <c r="P2289" i="11"/>
  <c r="Q2289" i="11" s="1"/>
  <c r="P2290" i="11"/>
  <c r="P2291" i="11"/>
  <c r="Q2291" i="11"/>
  <c r="P2292" i="11"/>
  <c r="P2293" i="11"/>
  <c r="Q2293" i="11" s="1"/>
  <c r="P2294" i="11"/>
  <c r="P2295" i="11"/>
  <c r="Q2295" i="11"/>
  <c r="P2296" i="11"/>
  <c r="P2297" i="11"/>
  <c r="Q2297" i="11" s="1"/>
  <c r="P2298" i="11"/>
  <c r="P2299" i="11"/>
  <c r="Q2299" i="11"/>
  <c r="P2300" i="11"/>
  <c r="P2301" i="11"/>
  <c r="Q2301" i="11" s="1"/>
  <c r="P2302" i="11"/>
  <c r="P2303" i="11"/>
  <c r="Q2303" i="11"/>
  <c r="P2304" i="11"/>
  <c r="P2305" i="11"/>
  <c r="Q2305" i="11" s="1"/>
  <c r="P2306" i="11"/>
  <c r="P2307" i="11"/>
  <c r="Q2307" i="11"/>
  <c r="P2308" i="11"/>
  <c r="P2309" i="11"/>
  <c r="Q2309" i="11" s="1"/>
  <c r="P2310" i="11"/>
  <c r="P2311" i="11"/>
  <c r="Q2311" i="11"/>
  <c r="P2312" i="11"/>
  <c r="P2313" i="11"/>
  <c r="Q2313" i="11" s="1"/>
  <c r="P2314" i="11"/>
  <c r="P2315" i="11"/>
  <c r="Q2315" i="11"/>
  <c r="P2316" i="11"/>
  <c r="P2317" i="11"/>
  <c r="Q2317" i="11" s="1"/>
  <c r="P2318" i="11"/>
  <c r="P2319" i="11"/>
  <c r="Q2319" i="11"/>
  <c r="P2320" i="11"/>
  <c r="P2321" i="11"/>
  <c r="Q2321" i="11" s="1"/>
  <c r="P2322" i="11"/>
  <c r="P2323" i="11"/>
  <c r="Q2323" i="11"/>
  <c r="P2324" i="11"/>
  <c r="P2325" i="11"/>
  <c r="Q2325" i="11" s="1"/>
  <c r="P2326" i="11"/>
  <c r="P2327" i="11"/>
  <c r="Q2327" i="11"/>
  <c r="P2328" i="11"/>
  <c r="P2329" i="11"/>
  <c r="Q2329" i="11" s="1"/>
  <c r="P2330" i="11"/>
  <c r="P2331" i="11"/>
  <c r="Q2331" i="11"/>
  <c r="P2332" i="11"/>
  <c r="P2333" i="11"/>
  <c r="Q2333" i="11" s="1"/>
  <c r="P2334" i="11"/>
  <c r="P2335" i="11"/>
  <c r="Q2335" i="11"/>
  <c r="P2336" i="11"/>
  <c r="P2337" i="11"/>
  <c r="Q2337" i="11" s="1"/>
  <c r="P2338" i="11"/>
  <c r="P2339" i="11"/>
  <c r="Q2339" i="11"/>
  <c r="P2340" i="11"/>
  <c r="P2341" i="11"/>
  <c r="Q2341" i="11" s="1"/>
  <c r="P2342" i="11"/>
  <c r="P2343" i="11"/>
  <c r="Q2343" i="11"/>
  <c r="P2344" i="11"/>
  <c r="P2345" i="11"/>
  <c r="Q2345" i="11" s="1"/>
  <c r="P2346" i="11"/>
  <c r="P2347" i="11"/>
  <c r="Q2347" i="11"/>
  <c r="P2348" i="11"/>
  <c r="P2349" i="11"/>
  <c r="Q2349" i="11" s="1"/>
  <c r="P2350" i="11"/>
  <c r="P2351" i="11"/>
  <c r="Q2351" i="11"/>
  <c r="P2352" i="11"/>
  <c r="P2353" i="11"/>
  <c r="Q2353" i="11" s="1"/>
  <c r="P2354" i="11"/>
  <c r="P2355" i="11"/>
  <c r="Q2355" i="11"/>
  <c r="P2356" i="11"/>
  <c r="P2357" i="11"/>
  <c r="Q2357" i="11" s="1"/>
  <c r="P2358" i="11"/>
  <c r="P2359" i="11"/>
  <c r="Q2359" i="11"/>
  <c r="P2360" i="11"/>
  <c r="P2361" i="11"/>
  <c r="Q2361" i="11" s="1"/>
  <c r="P2362" i="11"/>
  <c r="P2363" i="11"/>
  <c r="Q2363" i="11"/>
  <c r="P2364" i="11"/>
  <c r="P2365" i="11"/>
  <c r="Q2365" i="11" s="1"/>
  <c r="P2366" i="11"/>
  <c r="P2367" i="11"/>
  <c r="Q2367" i="11"/>
  <c r="P2368" i="11"/>
  <c r="P2369" i="11"/>
  <c r="Q2369" i="11" s="1"/>
  <c r="P2370" i="11"/>
  <c r="P2371" i="11"/>
  <c r="Q2371" i="11"/>
  <c r="P2372" i="11"/>
  <c r="P2373" i="11"/>
  <c r="Q2373" i="11" s="1"/>
  <c r="P2374" i="11"/>
  <c r="P2375" i="11"/>
  <c r="Q2375" i="11"/>
  <c r="P2376" i="11"/>
  <c r="P2377" i="11"/>
  <c r="Q2377" i="11" s="1"/>
  <c r="P2378" i="11"/>
  <c r="P2379" i="11"/>
  <c r="Q2379" i="11"/>
  <c r="P2380" i="11"/>
  <c r="P2381" i="11"/>
  <c r="Q2381" i="11" s="1"/>
  <c r="P2382" i="11"/>
  <c r="P2383" i="11"/>
  <c r="Q2383" i="11"/>
  <c r="P2384" i="11"/>
  <c r="P2385" i="11"/>
  <c r="Q2385" i="11" s="1"/>
  <c r="P2386" i="11"/>
  <c r="P2387" i="11"/>
  <c r="Q2387" i="11"/>
  <c r="P2388" i="11"/>
  <c r="P2389" i="11"/>
  <c r="Q2389" i="11" s="1"/>
  <c r="P2390" i="11"/>
  <c r="P2391" i="11"/>
  <c r="Q2391" i="11"/>
  <c r="P2392" i="11"/>
  <c r="P2393" i="11"/>
  <c r="Q2393" i="11" s="1"/>
  <c r="P2394" i="11"/>
  <c r="P2395" i="11"/>
  <c r="Q2395" i="11"/>
  <c r="P2396" i="11"/>
  <c r="P2397" i="11"/>
  <c r="Q2397" i="11" s="1"/>
  <c r="P2398" i="11"/>
  <c r="P2399" i="11"/>
  <c r="Q2399" i="11"/>
  <c r="P2400" i="11"/>
  <c r="P2401" i="11"/>
  <c r="Q2401" i="11" s="1"/>
  <c r="P2402" i="11"/>
  <c r="P2403" i="11"/>
  <c r="Q2403" i="11"/>
  <c r="P2404" i="11"/>
  <c r="P2405" i="11"/>
  <c r="Q2405" i="11" s="1"/>
  <c r="P2406" i="11"/>
  <c r="P2407" i="11"/>
  <c r="Q2407" i="11"/>
  <c r="P2408" i="11"/>
  <c r="P2409" i="11"/>
  <c r="Q2409" i="11" s="1"/>
  <c r="P2410" i="11"/>
  <c r="P2411" i="11"/>
  <c r="Q2411" i="11"/>
  <c r="P2412" i="11"/>
  <c r="P2413" i="11"/>
  <c r="Q2413" i="11" s="1"/>
  <c r="P2414" i="11"/>
  <c r="P2415" i="11"/>
  <c r="Q2415" i="11"/>
  <c r="P2416" i="11"/>
  <c r="P2417" i="11"/>
  <c r="Q2417" i="11" s="1"/>
  <c r="P2418" i="11"/>
  <c r="P2419" i="11"/>
  <c r="Q2419" i="11"/>
  <c r="P2420" i="11"/>
  <c r="P2421" i="11"/>
  <c r="Q2421" i="11" s="1"/>
  <c r="P2422" i="11"/>
  <c r="P2423" i="11"/>
  <c r="Q2423" i="11"/>
  <c r="P2424" i="11"/>
  <c r="P2425" i="11"/>
  <c r="Q2425" i="11" s="1"/>
  <c r="P2426" i="11"/>
  <c r="P2427" i="11"/>
  <c r="Q2427" i="11"/>
  <c r="P2428" i="11"/>
  <c r="P2429" i="11"/>
  <c r="Q2429" i="11" s="1"/>
  <c r="P2430" i="11"/>
  <c r="P2431" i="11"/>
  <c r="Q2431" i="11"/>
  <c r="P2432" i="11"/>
  <c r="P2433" i="11"/>
  <c r="Q2433" i="11" s="1"/>
  <c r="P2434" i="11"/>
  <c r="P2435" i="11"/>
  <c r="Q2435" i="11"/>
  <c r="P2436" i="11"/>
  <c r="P2437" i="11"/>
  <c r="Q2437" i="11" s="1"/>
  <c r="P2438" i="11"/>
  <c r="P2439" i="11"/>
  <c r="Q2439" i="11"/>
  <c r="P2440" i="11"/>
  <c r="P2441" i="11"/>
  <c r="Q2441" i="11" s="1"/>
  <c r="P2442" i="11"/>
  <c r="P2443" i="11"/>
  <c r="Q2443" i="11"/>
  <c r="P2444" i="11"/>
  <c r="P2445" i="11"/>
  <c r="Q2445" i="11" s="1"/>
  <c r="P2446" i="11"/>
  <c r="P2447" i="11"/>
  <c r="Q2447" i="11"/>
  <c r="P2448" i="11"/>
  <c r="P2449" i="11"/>
  <c r="Q2449" i="11" s="1"/>
  <c r="P2450" i="11"/>
  <c r="P2451" i="11"/>
  <c r="Q2451" i="11"/>
  <c r="P2452" i="11"/>
  <c r="P2453" i="11"/>
  <c r="Q2453" i="11" s="1"/>
  <c r="P2454" i="11"/>
  <c r="P2455" i="11"/>
  <c r="Q2455" i="11"/>
  <c r="P2456" i="11"/>
  <c r="P2457" i="11"/>
  <c r="Q2457" i="11" s="1"/>
  <c r="P2458" i="11"/>
  <c r="P2459" i="11"/>
  <c r="Q2459" i="11"/>
  <c r="P2460" i="11"/>
  <c r="P2461" i="11"/>
  <c r="Q2461" i="11" s="1"/>
  <c r="P2462" i="11"/>
  <c r="P2463" i="11"/>
  <c r="Q2463" i="11"/>
  <c r="P2464" i="11"/>
  <c r="P2465" i="11"/>
  <c r="Q2465" i="11" s="1"/>
  <c r="P2466" i="11"/>
  <c r="P2467" i="11"/>
  <c r="Q2467" i="11"/>
  <c r="P2468" i="11"/>
  <c r="P2469" i="11"/>
  <c r="Q2469" i="11" s="1"/>
  <c r="P2470" i="11"/>
  <c r="P2471" i="11"/>
  <c r="Q2471" i="11"/>
  <c r="P2472" i="11"/>
  <c r="P2473" i="11"/>
  <c r="Q2473" i="11" s="1"/>
  <c r="P2474" i="11"/>
  <c r="P2475" i="11"/>
  <c r="Q2475" i="11"/>
  <c r="P2476" i="11"/>
  <c r="P2477" i="11"/>
  <c r="Q2477" i="11" s="1"/>
  <c r="P2478" i="11"/>
  <c r="P2479" i="11"/>
  <c r="Q2479" i="11"/>
  <c r="P2480" i="11"/>
  <c r="P2481" i="11"/>
  <c r="Q2481" i="11" s="1"/>
  <c r="P2482" i="11"/>
  <c r="P2483" i="11"/>
  <c r="Q2483" i="11"/>
  <c r="P2484" i="11"/>
  <c r="P2485" i="11"/>
  <c r="Q2485" i="11" s="1"/>
  <c r="P2486" i="11"/>
  <c r="P2487" i="11"/>
  <c r="Q2487" i="11"/>
  <c r="P2488" i="11"/>
  <c r="P2489" i="11"/>
  <c r="Q2489" i="11" s="1"/>
  <c r="P2490" i="11"/>
  <c r="P2491" i="11"/>
  <c r="Q2491" i="11"/>
  <c r="P2492" i="11"/>
  <c r="P2493" i="11"/>
  <c r="Q2493" i="11" s="1"/>
  <c r="P2494" i="11"/>
  <c r="P2495" i="11"/>
  <c r="Q2495" i="11"/>
  <c r="P2496" i="11"/>
  <c r="P2497" i="11"/>
  <c r="Q2497" i="11" s="1"/>
  <c r="P2498" i="11"/>
  <c r="P2499" i="11"/>
  <c r="Q2499" i="11"/>
  <c r="P2500" i="11"/>
  <c r="P2501" i="11"/>
  <c r="Q2501" i="11" s="1"/>
  <c r="P2502" i="11"/>
  <c r="P2503" i="11"/>
  <c r="Q2503" i="11"/>
  <c r="P2504" i="11"/>
  <c r="P2505" i="11"/>
  <c r="Q2505" i="11" s="1"/>
  <c r="P2506" i="11"/>
  <c r="P2507" i="11"/>
  <c r="Q2507" i="11"/>
  <c r="P2508" i="11"/>
  <c r="P2509" i="11"/>
  <c r="Q2509" i="11" s="1"/>
  <c r="P2510" i="11"/>
  <c r="P2511" i="11"/>
  <c r="Q2511" i="11"/>
  <c r="P2512" i="11"/>
  <c r="P2513" i="11"/>
  <c r="Q2513" i="11" s="1"/>
  <c r="P2514" i="11"/>
  <c r="P2515" i="11"/>
  <c r="Q2515" i="11"/>
  <c r="P2516" i="11"/>
  <c r="P2517" i="11"/>
  <c r="Q2517" i="11" s="1"/>
  <c r="P2518" i="11"/>
  <c r="P2519" i="11"/>
  <c r="Q2519" i="11"/>
  <c r="P2520" i="11"/>
  <c r="P2521" i="11"/>
  <c r="Q2521" i="11" s="1"/>
  <c r="P2522" i="11"/>
  <c r="P2523" i="11"/>
  <c r="Q2523" i="11"/>
  <c r="P2524" i="11"/>
  <c r="P2525" i="11"/>
  <c r="Q2525" i="11" s="1"/>
  <c r="P2526" i="11"/>
  <c r="P2527" i="11"/>
  <c r="Q2527" i="11"/>
  <c r="P2528" i="11"/>
  <c r="P2529" i="11"/>
  <c r="Q2529" i="11" s="1"/>
  <c r="P2530" i="11"/>
  <c r="P2531" i="11"/>
  <c r="Q2531" i="11"/>
  <c r="P2532" i="11"/>
  <c r="P2533" i="11"/>
  <c r="Q2533" i="11" s="1"/>
  <c r="P2534" i="11"/>
  <c r="P2535" i="11"/>
  <c r="Q2535" i="11"/>
  <c r="P2536" i="11"/>
  <c r="P2537" i="11"/>
  <c r="Q2537" i="11" s="1"/>
  <c r="P2538" i="11"/>
  <c r="P2539" i="11"/>
  <c r="Q2539" i="11"/>
  <c r="P2540" i="11"/>
  <c r="P2541" i="11"/>
  <c r="Q2541" i="11" s="1"/>
  <c r="P2542" i="11"/>
  <c r="P2543" i="11"/>
  <c r="Q2543" i="11"/>
  <c r="P2544" i="11"/>
  <c r="P2545" i="11"/>
  <c r="Q2545" i="11" s="1"/>
  <c r="P2546" i="11"/>
  <c r="P2547" i="11"/>
  <c r="Q2547" i="11"/>
  <c r="P2548" i="11"/>
  <c r="P2549" i="11"/>
  <c r="Q2549" i="11" s="1"/>
  <c r="P2550" i="11"/>
  <c r="P2551" i="11"/>
  <c r="Q2551" i="11"/>
  <c r="P2552" i="11"/>
  <c r="P2553" i="11"/>
  <c r="Q2553" i="11" s="1"/>
  <c r="P2554" i="11"/>
  <c r="P2555" i="11"/>
  <c r="Q2555" i="11"/>
  <c r="P2556" i="11"/>
  <c r="P2557" i="11"/>
  <c r="Q2557" i="11" s="1"/>
  <c r="P2558" i="11"/>
  <c r="P2559" i="11"/>
  <c r="Q2559" i="11"/>
  <c r="P2560" i="11"/>
  <c r="P2561" i="11"/>
  <c r="Q2561" i="11" s="1"/>
  <c r="P2562" i="11"/>
  <c r="P2563" i="11"/>
  <c r="Q2563" i="11"/>
  <c r="P2564" i="11"/>
  <c r="P2565" i="11"/>
  <c r="Q2565" i="11" s="1"/>
  <c r="P2566" i="11"/>
  <c r="P2567" i="11"/>
  <c r="Q2567" i="11"/>
  <c r="P2568" i="11"/>
  <c r="P2569" i="11"/>
  <c r="Q2569" i="11" s="1"/>
  <c r="P2570" i="11"/>
  <c r="P2571" i="11"/>
  <c r="Q2571" i="11"/>
  <c r="P2572" i="11"/>
  <c r="P2573" i="11"/>
  <c r="Q2573" i="11" s="1"/>
  <c r="P2574" i="11"/>
  <c r="P2575" i="11"/>
  <c r="Q2575" i="11"/>
  <c r="P2576" i="11"/>
  <c r="P2577" i="11"/>
  <c r="Q2577" i="11" s="1"/>
  <c r="P2578" i="11"/>
  <c r="P2579" i="11"/>
  <c r="Q2579" i="11"/>
  <c r="P2580" i="11"/>
  <c r="P2581" i="11"/>
  <c r="Q2581" i="11" s="1"/>
  <c r="P2582" i="11"/>
  <c r="P2583" i="11"/>
  <c r="Q2583" i="11"/>
  <c r="P2584" i="11"/>
  <c r="P2585" i="11"/>
  <c r="Q2585" i="11" s="1"/>
  <c r="P2586" i="11"/>
  <c r="P2587" i="11"/>
  <c r="Q2587" i="11"/>
  <c r="P2588" i="11"/>
  <c r="P2589" i="11"/>
  <c r="Q2589" i="11" s="1"/>
  <c r="P2590" i="11"/>
  <c r="P2591" i="11"/>
  <c r="Q2591" i="11"/>
  <c r="P2592" i="11"/>
  <c r="P2593" i="11"/>
  <c r="Q2593" i="11" s="1"/>
  <c r="P2594" i="11"/>
  <c r="P2595" i="11"/>
  <c r="Q2595" i="11"/>
  <c r="P2596" i="11"/>
  <c r="P2597" i="11"/>
  <c r="Q2597" i="11" s="1"/>
  <c r="P2598" i="11"/>
  <c r="P2599" i="11"/>
  <c r="Q2599" i="11"/>
  <c r="P2600" i="11"/>
  <c r="P2601" i="11"/>
  <c r="Q2601" i="11" s="1"/>
  <c r="P2602" i="11"/>
  <c r="P2603" i="11"/>
  <c r="Q2603" i="11"/>
  <c r="P2604" i="11"/>
  <c r="P2605" i="11"/>
  <c r="Q2605" i="11" s="1"/>
  <c r="P2606" i="11"/>
  <c r="P2607" i="11"/>
  <c r="Q2607" i="11"/>
  <c r="P2608" i="11"/>
  <c r="P2609" i="11"/>
  <c r="Q2609" i="11" s="1"/>
  <c r="P2610" i="11"/>
  <c r="P2611" i="11"/>
  <c r="Q2611" i="11"/>
  <c r="P2612" i="11"/>
  <c r="P2613" i="11"/>
  <c r="Q2613" i="11" s="1"/>
  <c r="P2614" i="11"/>
  <c r="P2615" i="11"/>
  <c r="Q2615" i="11"/>
  <c r="P2616" i="11"/>
  <c r="P2617" i="11"/>
  <c r="Q2617" i="11" s="1"/>
  <c r="P2618" i="11"/>
  <c r="P2619" i="11"/>
  <c r="Q2619" i="11"/>
  <c r="P2620" i="11"/>
  <c r="P2621" i="11"/>
  <c r="Q2621" i="11" s="1"/>
  <c r="P2622" i="11"/>
  <c r="P2623" i="11"/>
  <c r="Q2623" i="11"/>
  <c r="P2624" i="11"/>
  <c r="P2625" i="11"/>
  <c r="Q2625" i="11" s="1"/>
  <c r="P2626" i="11"/>
  <c r="P2627" i="11"/>
  <c r="Q2627" i="11"/>
  <c r="P2628" i="11"/>
  <c r="P2629" i="11"/>
  <c r="Q2629" i="11" s="1"/>
  <c r="P2630" i="11"/>
  <c r="P2631" i="11"/>
  <c r="Q2631" i="11"/>
  <c r="P2632" i="11"/>
  <c r="P2633" i="11"/>
  <c r="Q2633" i="11" s="1"/>
  <c r="P2634" i="11"/>
  <c r="P2635" i="11"/>
  <c r="Q2635" i="11"/>
  <c r="P2636" i="11"/>
  <c r="P2637" i="11"/>
  <c r="Q2637" i="11" s="1"/>
  <c r="P2638" i="11"/>
  <c r="P2639" i="11"/>
  <c r="Q2639" i="11"/>
  <c r="P2640" i="11"/>
  <c r="P2641" i="11"/>
  <c r="Q2641" i="11" s="1"/>
  <c r="P2642" i="11"/>
  <c r="P2643" i="11"/>
  <c r="Q2643" i="11"/>
  <c r="P2644" i="11"/>
  <c r="P2645" i="11"/>
  <c r="Q2645" i="11" s="1"/>
  <c r="P2646" i="11"/>
  <c r="P2647" i="11"/>
  <c r="Q2647" i="11"/>
  <c r="P2648" i="11"/>
  <c r="P2649" i="11"/>
  <c r="Q2649" i="11" s="1"/>
  <c r="P2650" i="11"/>
  <c r="P2651" i="11"/>
  <c r="Q2651" i="11"/>
  <c r="P2652" i="11"/>
  <c r="P2653" i="11"/>
  <c r="Q2653" i="11" s="1"/>
  <c r="P2654" i="11"/>
  <c r="P2655" i="11"/>
  <c r="Q2655" i="11"/>
  <c r="P2656" i="11"/>
  <c r="P2657" i="11"/>
  <c r="Q2657" i="11" s="1"/>
  <c r="P2658" i="11"/>
  <c r="P2659" i="11"/>
  <c r="Q2659" i="11"/>
  <c r="P2660" i="11"/>
  <c r="P2661" i="11"/>
  <c r="Q2661" i="11" s="1"/>
  <c r="P2662" i="11"/>
  <c r="P2663" i="11"/>
  <c r="Q2663" i="11"/>
  <c r="P2664" i="11"/>
  <c r="P2665" i="11"/>
  <c r="Q2665" i="11" s="1"/>
  <c r="P2666" i="11"/>
  <c r="P2667" i="11"/>
  <c r="Q2667" i="11"/>
  <c r="P2668" i="11"/>
  <c r="P2669" i="11"/>
  <c r="Q2669" i="11" s="1"/>
  <c r="P2670" i="11"/>
  <c r="P2671" i="11"/>
  <c r="Q2671" i="11"/>
  <c r="P2672" i="11"/>
  <c r="P2673" i="11"/>
  <c r="Q2673" i="11" s="1"/>
  <c r="P2674" i="11"/>
  <c r="P2675" i="11"/>
  <c r="Q2675" i="11"/>
  <c r="P2676" i="11"/>
  <c r="P2677" i="11"/>
  <c r="Q2677" i="11" s="1"/>
  <c r="P2678" i="11"/>
  <c r="P2679" i="11"/>
  <c r="Q2679" i="11"/>
  <c r="P2680" i="11"/>
  <c r="P2681" i="11"/>
  <c r="Q2681" i="11" s="1"/>
  <c r="P2682" i="11"/>
  <c r="P2683" i="11"/>
  <c r="Q2683" i="11"/>
  <c r="P2684" i="11"/>
  <c r="P2685" i="11"/>
  <c r="Q2685" i="11" s="1"/>
  <c r="P2686" i="11"/>
  <c r="P2687" i="11"/>
  <c r="Q2687" i="11" s="1"/>
  <c r="P2688" i="11"/>
  <c r="P2689" i="11"/>
  <c r="Q2689" i="11" s="1"/>
  <c r="P2690" i="11"/>
  <c r="P2691" i="11"/>
  <c r="Q2691" i="11" s="1"/>
  <c r="P2692" i="11"/>
  <c r="P2693" i="11"/>
  <c r="Q2693" i="11" s="1"/>
  <c r="P2694" i="11"/>
  <c r="P2695" i="11"/>
  <c r="Q2695" i="11"/>
  <c r="P2696" i="11"/>
  <c r="P2697" i="11"/>
  <c r="Q2697" i="11" s="1"/>
  <c r="P2698" i="11"/>
  <c r="P2699" i="11"/>
  <c r="Q2699" i="11" s="1"/>
  <c r="P2700" i="11"/>
  <c r="P2701" i="11"/>
  <c r="Q2701" i="11" s="1"/>
  <c r="P2702" i="11"/>
  <c r="P2703" i="11"/>
  <c r="Q2703" i="11" s="1"/>
  <c r="P2704" i="11"/>
  <c r="P2705" i="11"/>
  <c r="Q2705" i="11" s="1"/>
  <c r="P2706" i="11"/>
  <c r="P2707" i="11"/>
  <c r="Q2707" i="11" s="1"/>
  <c r="P2708" i="11"/>
  <c r="P2709" i="11"/>
  <c r="Q2709" i="11" s="1"/>
  <c r="P2710" i="11"/>
  <c r="P2711" i="11"/>
  <c r="Q2711" i="11" s="1"/>
  <c r="P2712" i="11"/>
  <c r="P2713" i="11"/>
  <c r="Q2713" i="11" s="1"/>
  <c r="P2714" i="11"/>
  <c r="P2715" i="11"/>
  <c r="Q2715" i="11" s="1"/>
  <c r="P2716" i="11"/>
  <c r="P2717" i="11"/>
  <c r="Q2717" i="11" s="1"/>
  <c r="P2718" i="11"/>
  <c r="P2719" i="11"/>
  <c r="Q2719" i="11"/>
  <c r="P2720" i="11"/>
  <c r="P2721" i="11"/>
  <c r="Q2721" i="11" s="1"/>
  <c r="P2722" i="11"/>
  <c r="P2723" i="11"/>
  <c r="Q2723" i="11" s="1"/>
  <c r="P2724" i="11"/>
  <c r="P2725" i="11"/>
  <c r="Q2725" i="11" s="1"/>
  <c r="P2726" i="11"/>
  <c r="P2727" i="11"/>
  <c r="Q2727" i="11" s="1"/>
  <c r="P2728" i="11"/>
  <c r="P2729" i="11"/>
  <c r="Q2729" i="11" s="1"/>
  <c r="P2730" i="11"/>
  <c r="P2731" i="11"/>
  <c r="Q2731" i="11"/>
  <c r="P2732" i="11"/>
  <c r="P2733" i="11"/>
  <c r="Q2733" i="11" s="1"/>
  <c r="P2734" i="11"/>
  <c r="P2735" i="11"/>
  <c r="Q2735" i="11" s="1"/>
  <c r="P2736" i="11"/>
  <c r="P2737" i="11"/>
  <c r="Q2737" i="11" s="1"/>
  <c r="P2738" i="11"/>
  <c r="P2739" i="11"/>
  <c r="Q2739" i="11" s="1"/>
  <c r="P2740" i="11"/>
  <c r="P2741" i="11"/>
  <c r="Q2741" i="11" s="1"/>
  <c r="P2742" i="11"/>
  <c r="P2743" i="11"/>
  <c r="Q2743" i="11"/>
  <c r="P2744" i="11"/>
  <c r="P2745" i="11"/>
  <c r="Q2745" i="11" s="1"/>
  <c r="P2746" i="11"/>
  <c r="P2747" i="11"/>
  <c r="Q2747" i="11" s="1"/>
  <c r="P2748" i="11"/>
  <c r="P2749" i="11"/>
  <c r="Q2749" i="11" s="1"/>
  <c r="P2750" i="11"/>
  <c r="P2751" i="11"/>
  <c r="Q2751" i="11" s="1"/>
  <c r="P2752" i="11"/>
  <c r="P2753" i="11"/>
  <c r="Q2753" i="11" s="1"/>
  <c r="P2754" i="11"/>
  <c r="P2755" i="11"/>
  <c r="Q2755" i="11" s="1"/>
  <c r="P2756" i="11"/>
  <c r="P2757" i="11"/>
  <c r="Q2757" i="11" s="1"/>
  <c r="P2758" i="11"/>
  <c r="P2759" i="11"/>
  <c r="Q2759" i="11" s="1"/>
  <c r="P2760" i="11"/>
  <c r="P2761" i="11"/>
  <c r="Q2761" i="11" s="1"/>
  <c r="P2762" i="11"/>
  <c r="P2763" i="11"/>
  <c r="Q2763" i="11" s="1"/>
  <c r="P2764" i="11"/>
  <c r="P2765" i="11"/>
  <c r="Q2765" i="11" s="1"/>
  <c r="P2766" i="11"/>
  <c r="P2767" i="11"/>
  <c r="Q2767" i="11"/>
  <c r="P2768" i="11"/>
  <c r="P2769" i="11"/>
  <c r="Q2769" i="11" s="1"/>
  <c r="P2770" i="11"/>
  <c r="P2771" i="11"/>
  <c r="Q2771" i="11" s="1"/>
  <c r="P2772" i="11"/>
  <c r="P2773" i="11"/>
  <c r="Q2773" i="11" s="1"/>
  <c r="P2774" i="11"/>
  <c r="P2775" i="11"/>
  <c r="Q2775" i="11" s="1"/>
  <c r="P2776" i="11"/>
  <c r="P2777" i="11"/>
  <c r="Q2777" i="11" s="1"/>
  <c r="P2778" i="11"/>
  <c r="P2779" i="11"/>
  <c r="Q2779" i="11"/>
  <c r="P2780" i="11"/>
  <c r="P2781" i="11"/>
  <c r="Q2781" i="11" s="1"/>
  <c r="P2782" i="11"/>
  <c r="P2783" i="11"/>
  <c r="Q2783" i="11" s="1"/>
  <c r="P2784" i="11"/>
  <c r="P2785" i="11"/>
  <c r="Q2785" i="11" s="1"/>
  <c r="P2786" i="11"/>
  <c r="P2787" i="11"/>
  <c r="Q2787" i="11" s="1"/>
  <c r="P2788" i="11"/>
  <c r="P2789" i="11"/>
  <c r="Q2789" i="11" s="1"/>
  <c r="P2790" i="11"/>
  <c r="P2791" i="11"/>
  <c r="Q2791" i="11"/>
  <c r="P2792" i="11"/>
  <c r="P2793" i="11"/>
  <c r="Q2793" i="11" s="1"/>
  <c r="P2794" i="11"/>
  <c r="P2795" i="11"/>
  <c r="Q2795" i="11"/>
  <c r="P2796" i="11"/>
  <c r="P2797" i="11"/>
  <c r="Q2797" i="11" s="1"/>
  <c r="P2798" i="11"/>
  <c r="P2799" i="11"/>
  <c r="Q2799" i="11" s="1"/>
  <c r="P2800" i="11"/>
  <c r="P2801" i="11"/>
  <c r="Q2801" i="11" s="1"/>
  <c r="P2802" i="11"/>
  <c r="P2803" i="11"/>
  <c r="Q2803" i="11" s="1"/>
  <c r="P2804" i="11"/>
  <c r="P2805" i="11"/>
  <c r="Q2805" i="11" s="1"/>
  <c r="P2806" i="11"/>
  <c r="P2807" i="11"/>
  <c r="Q2807" i="11" s="1"/>
  <c r="P2808" i="11"/>
  <c r="P2809" i="11"/>
  <c r="Q2809" i="11" s="1"/>
  <c r="P2810" i="11"/>
  <c r="P2811" i="11"/>
  <c r="Q2811" i="11" s="1"/>
  <c r="P2812" i="11"/>
  <c r="P2813" i="11"/>
  <c r="Q2813" i="11" s="1"/>
  <c r="P2814" i="11"/>
  <c r="P2815" i="11"/>
  <c r="Q2815" i="11"/>
  <c r="P2816" i="11"/>
  <c r="P2817" i="11"/>
  <c r="Q2817" i="11" s="1"/>
  <c r="P2818" i="11"/>
  <c r="P2819" i="11"/>
  <c r="Q2819" i="11" s="1"/>
  <c r="P2820" i="11"/>
  <c r="P2821" i="11"/>
  <c r="Q2821" i="11" s="1"/>
  <c r="P2822" i="11"/>
  <c r="P2823" i="11"/>
  <c r="Q2823" i="11" s="1"/>
  <c r="P2824" i="11"/>
  <c r="P2825" i="11"/>
  <c r="Q2825" i="11" s="1"/>
  <c r="P2826" i="11"/>
  <c r="P2827" i="11"/>
  <c r="Q2827" i="11"/>
  <c r="P2828" i="11"/>
  <c r="P2829" i="11"/>
  <c r="Q2829" i="11" s="1"/>
  <c r="P2830" i="11"/>
  <c r="P2831" i="11"/>
  <c r="Q2831" i="11" s="1"/>
  <c r="P2832" i="11"/>
  <c r="P2833" i="11"/>
  <c r="Q2833" i="11" s="1"/>
  <c r="P2834" i="11"/>
  <c r="P2835" i="11"/>
  <c r="Q2835" i="11" s="1"/>
  <c r="P2836" i="11"/>
  <c r="P2837" i="11"/>
  <c r="Q2837" i="11" s="1"/>
  <c r="P2838" i="11"/>
  <c r="P2839" i="11"/>
  <c r="Q2839" i="11"/>
  <c r="P2840" i="11"/>
  <c r="P2841" i="11"/>
  <c r="Q2841" i="11" s="1"/>
  <c r="P2842" i="11"/>
  <c r="P2843" i="11"/>
  <c r="Q2843" i="11"/>
  <c r="P2844" i="11"/>
  <c r="P2845" i="11"/>
  <c r="Q2845" i="11" s="1"/>
  <c r="P2846" i="11"/>
  <c r="P2847" i="11"/>
  <c r="Q2847" i="11" s="1"/>
  <c r="P2848" i="11"/>
  <c r="P2849" i="11"/>
  <c r="Q2849" i="11" s="1"/>
  <c r="P2850" i="11"/>
  <c r="P2851" i="11"/>
  <c r="Q2851" i="11" s="1"/>
  <c r="P2852" i="11"/>
  <c r="P2853" i="11"/>
  <c r="Q2853" i="11" s="1"/>
  <c r="P2854" i="11"/>
  <c r="P2855" i="11"/>
  <c r="Q2855" i="11" s="1"/>
  <c r="P2856" i="11"/>
  <c r="P2857" i="11"/>
  <c r="Q2857" i="11" s="1"/>
  <c r="P2858" i="11"/>
  <c r="P2859" i="11"/>
  <c r="Q2859" i="11" s="1"/>
  <c r="P2860" i="11"/>
  <c r="P2861" i="11"/>
  <c r="Q2861" i="11" s="1"/>
  <c r="P2862" i="11"/>
  <c r="P2863" i="11"/>
  <c r="Q2863" i="11"/>
  <c r="P2864" i="11"/>
  <c r="P2865" i="11"/>
  <c r="Q2865" i="11" s="1"/>
  <c r="P2866" i="11"/>
  <c r="P2867" i="11"/>
  <c r="Q2867" i="11" s="1"/>
  <c r="P2868" i="11"/>
  <c r="P2869" i="11"/>
  <c r="Q2869" i="11" s="1"/>
  <c r="P2870" i="11"/>
  <c r="P2871" i="11"/>
  <c r="Q2871" i="11" s="1"/>
  <c r="P2872" i="11"/>
  <c r="P2873" i="11"/>
  <c r="Q2873" i="11" s="1"/>
  <c r="P2874" i="11"/>
  <c r="P2875" i="11"/>
  <c r="Q2875" i="11"/>
  <c r="P2876" i="11"/>
  <c r="P2877" i="11"/>
  <c r="Q2877" i="11" s="1"/>
  <c r="P2878" i="11"/>
  <c r="P2879" i="11"/>
  <c r="Q2879" i="11" s="1"/>
  <c r="P2880" i="11"/>
  <c r="P2881" i="11"/>
  <c r="Q2881" i="11" s="1"/>
  <c r="P2882" i="11"/>
  <c r="P2883" i="11"/>
  <c r="Q2883" i="11" s="1"/>
  <c r="P2884" i="11"/>
  <c r="P2885" i="11"/>
  <c r="Q2885" i="11" s="1"/>
  <c r="P2886" i="11"/>
  <c r="P2887" i="11"/>
  <c r="Q2887" i="11"/>
  <c r="P2888" i="11"/>
  <c r="P2889" i="11"/>
  <c r="Q2889" i="11" s="1"/>
  <c r="P2890" i="11"/>
  <c r="P2891" i="11"/>
  <c r="Q2891" i="11"/>
  <c r="P2892" i="11"/>
  <c r="P2893" i="11"/>
  <c r="Q2893" i="11" s="1"/>
  <c r="P2894" i="11"/>
  <c r="P2895" i="11"/>
  <c r="Q2895" i="11" s="1"/>
  <c r="P2896" i="11"/>
  <c r="P2897" i="11"/>
  <c r="Q2897" i="11" s="1"/>
  <c r="P2898" i="11"/>
  <c r="P2899" i="11"/>
  <c r="Q2899" i="11" s="1"/>
  <c r="P2900" i="11"/>
  <c r="P2901" i="11"/>
  <c r="Q2901" i="11" s="1"/>
  <c r="P2902" i="11"/>
  <c r="P2903" i="11"/>
  <c r="Q2903" i="11" s="1"/>
  <c r="P2904" i="11"/>
  <c r="P2905" i="11"/>
  <c r="Q2905" i="11" s="1"/>
  <c r="P2906" i="11"/>
  <c r="P2907" i="11"/>
  <c r="Q2907" i="11" s="1"/>
  <c r="P2908" i="11"/>
  <c r="P2909" i="11"/>
  <c r="Q2909" i="11" s="1"/>
  <c r="P2910" i="11"/>
  <c r="P2911" i="11"/>
  <c r="Q2911" i="11"/>
  <c r="P2912" i="11"/>
  <c r="P2913" i="11"/>
  <c r="Q2913" i="11" s="1"/>
  <c r="P2914" i="11"/>
  <c r="P2915" i="11"/>
  <c r="Q2915" i="11" s="1"/>
  <c r="P2916" i="11"/>
  <c r="P2917" i="11"/>
  <c r="Q2917" i="11" s="1"/>
  <c r="P2918" i="11"/>
  <c r="P2919" i="11"/>
  <c r="Q2919" i="11" s="1"/>
  <c r="P2920" i="11"/>
  <c r="P2921" i="11"/>
  <c r="Q2921" i="11" s="1"/>
  <c r="P2922" i="11"/>
  <c r="P2923" i="11"/>
  <c r="Q2923" i="11"/>
  <c r="P2924" i="11"/>
  <c r="P2925" i="11"/>
  <c r="Q2925" i="11" s="1"/>
  <c r="P2926" i="11"/>
  <c r="P2927" i="11"/>
  <c r="Q2927" i="11" s="1"/>
  <c r="P2928" i="11"/>
  <c r="P2929" i="11"/>
  <c r="Q2929" i="11" s="1"/>
  <c r="P2930" i="11"/>
  <c r="P2931" i="11"/>
  <c r="Q2931" i="11" s="1"/>
  <c r="P2932" i="11"/>
  <c r="P2933" i="11"/>
  <c r="Q2933" i="11" s="1"/>
  <c r="P2934" i="11"/>
  <c r="P2935" i="11"/>
  <c r="Q2935" i="11"/>
  <c r="P2936" i="11"/>
  <c r="P2937" i="11"/>
  <c r="Q2937" i="11" s="1"/>
  <c r="P2938" i="11"/>
  <c r="P2939" i="11"/>
  <c r="Q2939" i="11"/>
  <c r="P2940" i="11"/>
  <c r="P2941" i="11"/>
  <c r="Q2941" i="11" s="1"/>
  <c r="P2942" i="11"/>
  <c r="P2943" i="11"/>
  <c r="Q2943" i="11" s="1"/>
  <c r="P2944" i="11"/>
  <c r="P2945" i="11"/>
  <c r="Q2945" i="11" s="1"/>
  <c r="P2946" i="11"/>
  <c r="P2947" i="11"/>
  <c r="Q2947" i="11" s="1"/>
  <c r="P2948" i="11"/>
  <c r="P2949" i="11"/>
  <c r="Q2949" i="11" s="1"/>
  <c r="P2950" i="11"/>
  <c r="P2951" i="11"/>
  <c r="Q2951" i="11" s="1"/>
  <c r="P2952" i="11"/>
  <c r="P2953" i="11"/>
  <c r="Q2953" i="11" s="1"/>
  <c r="P2954" i="11"/>
  <c r="P2955" i="11"/>
  <c r="Q2955" i="11" s="1"/>
  <c r="P2956" i="11"/>
  <c r="P2957" i="11"/>
  <c r="Q2957" i="11" s="1"/>
  <c r="P2958" i="11"/>
  <c r="P2959" i="11"/>
  <c r="Q2959" i="11"/>
  <c r="P2960" i="11"/>
  <c r="P2961" i="11"/>
  <c r="Q2961" i="11" s="1"/>
  <c r="P2962" i="11"/>
  <c r="P2963" i="11"/>
  <c r="Q2963" i="11"/>
  <c r="P2964" i="11"/>
  <c r="P2965" i="11"/>
  <c r="Q2965" i="11" s="1"/>
  <c r="P2966" i="11"/>
  <c r="P2967" i="11"/>
  <c r="Q2967" i="11" s="1"/>
  <c r="P2968" i="11"/>
  <c r="P2969" i="11"/>
  <c r="Q2969" i="11" s="1"/>
  <c r="P2970" i="11"/>
  <c r="P2971" i="11"/>
  <c r="Q2971" i="11"/>
  <c r="P2972" i="11"/>
  <c r="P2973" i="11"/>
  <c r="Q2973" i="11" s="1"/>
  <c r="P2974" i="11"/>
  <c r="P2975" i="11"/>
  <c r="Q2975" i="11" s="1"/>
  <c r="P2976" i="11"/>
  <c r="P2977" i="11"/>
  <c r="Q2977" i="11" s="1"/>
  <c r="P2978" i="11"/>
  <c r="P2979" i="11"/>
  <c r="Q2979" i="11" s="1"/>
  <c r="P2980" i="11"/>
  <c r="P2981" i="11"/>
  <c r="Q2981" i="11" s="1"/>
  <c r="P2982" i="11"/>
  <c r="P2983" i="11"/>
  <c r="Q2983" i="11"/>
  <c r="P2984" i="11"/>
  <c r="P2985" i="11"/>
  <c r="Q2985" i="11" s="1"/>
  <c r="P2986" i="11"/>
  <c r="P2987" i="11"/>
  <c r="Q2987" i="11"/>
  <c r="P2988" i="11"/>
  <c r="P2989" i="11"/>
  <c r="Q2989" i="11" s="1"/>
  <c r="P2990" i="11"/>
  <c r="P2991" i="11"/>
  <c r="Q2991" i="11" s="1"/>
  <c r="P2992" i="11"/>
  <c r="P2993" i="11"/>
  <c r="Q2993" i="11" s="1"/>
  <c r="P2994" i="11"/>
  <c r="P2995" i="11"/>
  <c r="Q2995" i="11" s="1"/>
  <c r="P2996" i="11"/>
  <c r="P2997" i="11"/>
  <c r="Q2997" i="11" s="1"/>
  <c r="P2998" i="11"/>
  <c r="P2999" i="11"/>
  <c r="Q2999" i="11" s="1"/>
  <c r="P3000" i="11"/>
  <c r="P3001" i="11"/>
  <c r="Q3001" i="11" s="1"/>
  <c r="P3002" i="11"/>
  <c r="P3003" i="11"/>
  <c r="Q3003" i="11" s="1"/>
  <c r="P3004" i="11"/>
  <c r="P3005" i="11"/>
  <c r="Q3005" i="11" s="1"/>
  <c r="P3006" i="11"/>
  <c r="P3007" i="11"/>
  <c r="Q3007" i="11"/>
  <c r="P3008" i="11"/>
  <c r="P3009" i="11"/>
  <c r="Q3009" i="11" s="1"/>
  <c r="P3010" i="11"/>
  <c r="P3011" i="11"/>
  <c r="Q3011" i="11"/>
  <c r="P3012" i="11"/>
  <c r="P3013" i="11"/>
  <c r="Q3013" i="11" s="1"/>
  <c r="P3014" i="11"/>
  <c r="P3015" i="11"/>
  <c r="Q3015" i="11" s="1"/>
  <c r="P3016" i="11"/>
  <c r="P3017" i="11"/>
  <c r="Q3017" i="11" s="1"/>
  <c r="P3018" i="11"/>
  <c r="P3019" i="11"/>
  <c r="Q3019" i="11"/>
  <c r="P3020" i="11"/>
  <c r="P3021" i="11"/>
  <c r="Q3021" i="11" s="1"/>
  <c r="P3022" i="11"/>
  <c r="P3023" i="11"/>
  <c r="Q3023" i="11" s="1"/>
  <c r="P3024" i="11"/>
  <c r="P3025" i="11"/>
  <c r="Q3025" i="11" s="1"/>
  <c r="P3026" i="11"/>
  <c r="P3027" i="11"/>
  <c r="Q3027" i="11" s="1"/>
  <c r="P3028" i="11"/>
  <c r="P3029" i="11"/>
  <c r="Q3029" i="11" s="1"/>
  <c r="P3030" i="11"/>
  <c r="P3031" i="11"/>
  <c r="Q3031" i="11"/>
  <c r="P3032" i="11"/>
  <c r="P3033" i="11"/>
  <c r="Q3033" i="11" s="1"/>
  <c r="P3034" i="11"/>
  <c r="P3035" i="11"/>
  <c r="Q3035" i="11"/>
  <c r="P3036" i="11"/>
  <c r="P3037" i="11"/>
  <c r="Q3037" i="11" s="1"/>
  <c r="P3038" i="11"/>
  <c r="P3039" i="11"/>
  <c r="Q3039" i="11" s="1"/>
  <c r="P3040" i="11"/>
  <c r="P3041" i="11"/>
  <c r="Q3041" i="11" s="1"/>
  <c r="P3042" i="11"/>
  <c r="P3043" i="11"/>
  <c r="Q3043" i="11" s="1"/>
  <c r="P3044" i="11"/>
  <c r="P3045" i="11"/>
  <c r="Q3045" i="11" s="1"/>
  <c r="P3046" i="11"/>
  <c r="P3047" i="11"/>
  <c r="Q3047" i="11" s="1"/>
  <c r="P3048" i="11"/>
  <c r="P3049" i="11"/>
  <c r="Q3049" i="11" s="1"/>
  <c r="P3050" i="11"/>
  <c r="P3051" i="11"/>
  <c r="Q3051" i="11" s="1"/>
  <c r="P3052" i="11"/>
  <c r="P3053" i="11"/>
  <c r="Q3053" i="11" s="1"/>
  <c r="P3054" i="11"/>
  <c r="P3055" i="11"/>
  <c r="Q3055" i="11"/>
  <c r="P3056" i="11"/>
  <c r="P3057" i="11"/>
  <c r="Q3057" i="11" s="1"/>
  <c r="P3058" i="11"/>
  <c r="P3059" i="11"/>
  <c r="Q3059" i="11"/>
  <c r="P3060" i="11"/>
  <c r="P3061" i="11"/>
  <c r="Q3061" i="11" s="1"/>
  <c r="P3062" i="11"/>
  <c r="P3063" i="11"/>
  <c r="Q3063" i="11" s="1"/>
  <c r="P3064" i="11"/>
  <c r="P3065" i="11"/>
  <c r="Q3065" i="11" s="1"/>
  <c r="P3066" i="11"/>
  <c r="P3067" i="11"/>
  <c r="Q3067" i="11"/>
  <c r="P3068" i="11"/>
  <c r="P3069" i="11"/>
  <c r="Q3069" i="11" s="1"/>
  <c r="P3070" i="11"/>
  <c r="P3071" i="11"/>
  <c r="Q3071" i="11" s="1"/>
  <c r="P3072" i="11"/>
  <c r="P3073" i="11"/>
  <c r="Q3073" i="11" s="1"/>
  <c r="P3074" i="11"/>
  <c r="P3075" i="11"/>
  <c r="Q3075" i="11" s="1"/>
  <c r="P3076" i="11"/>
  <c r="P3077" i="11"/>
  <c r="Q3077" i="11" s="1"/>
  <c r="P3078" i="11"/>
  <c r="P3079" i="11"/>
  <c r="Q3079" i="11"/>
  <c r="P3080" i="11"/>
  <c r="P3081" i="11"/>
  <c r="Q3081" i="11" s="1"/>
  <c r="P3082" i="11"/>
  <c r="P3083" i="11"/>
  <c r="Q3083" i="11"/>
  <c r="P3084" i="11"/>
  <c r="P3085" i="11"/>
  <c r="Q3085" i="11" s="1"/>
  <c r="P3086" i="11"/>
  <c r="P3087" i="11"/>
  <c r="Q3087" i="11" s="1"/>
  <c r="P3088" i="11"/>
  <c r="P3089" i="11"/>
  <c r="Q3089" i="11" s="1"/>
  <c r="P3090" i="11"/>
  <c r="P3091" i="11"/>
  <c r="Q3091" i="11" s="1"/>
  <c r="P3092" i="11"/>
  <c r="P3093" i="11"/>
  <c r="Q3093" i="11" s="1"/>
  <c r="P3094" i="11"/>
  <c r="P3095" i="11"/>
  <c r="Q3095" i="11" s="1"/>
  <c r="P3096" i="11"/>
  <c r="P3097" i="11"/>
  <c r="Q3097" i="11" s="1"/>
  <c r="P3098" i="11"/>
  <c r="P3099" i="11"/>
  <c r="Q3099" i="11" s="1"/>
  <c r="P3100" i="11"/>
  <c r="P3101" i="11"/>
  <c r="Q3101" i="11" s="1"/>
  <c r="P3102" i="11"/>
  <c r="P3103" i="11"/>
  <c r="Q3103" i="11"/>
  <c r="P3104" i="11"/>
  <c r="P3105" i="11"/>
  <c r="Q3105" i="11" s="1"/>
  <c r="P3106" i="11"/>
  <c r="P3107" i="11"/>
  <c r="Q3107" i="11"/>
  <c r="P3108" i="11"/>
  <c r="P3109" i="11"/>
  <c r="Q3109" i="11" s="1"/>
  <c r="P3110" i="11"/>
  <c r="P3111" i="11"/>
  <c r="Q3111" i="11" s="1"/>
  <c r="P3112" i="11"/>
  <c r="P3113" i="11"/>
  <c r="Q3113" i="11" s="1"/>
  <c r="P3114" i="11"/>
  <c r="P3115" i="11"/>
  <c r="Q3115" i="11"/>
  <c r="P3116" i="11"/>
  <c r="P3117" i="11"/>
  <c r="Q3117" i="11" s="1"/>
  <c r="P3118" i="11"/>
  <c r="P3119" i="11"/>
  <c r="Q3119" i="11" s="1"/>
  <c r="P3120" i="11"/>
  <c r="P3121" i="11"/>
  <c r="Q3121" i="11" s="1"/>
  <c r="P3122" i="11"/>
  <c r="P3123" i="11"/>
  <c r="Q3123" i="11" s="1"/>
  <c r="P3124" i="11"/>
  <c r="P3125" i="11"/>
  <c r="Q3125" i="11" s="1"/>
  <c r="P3126" i="11"/>
  <c r="P3127" i="11"/>
  <c r="Q3127" i="11"/>
  <c r="P3128" i="11"/>
  <c r="P3129" i="11"/>
  <c r="Q3129" i="11" s="1"/>
  <c r="P3130" i="11"/>
  <c r="P3131" i="11"/>
  <c r="Q3131" i="11"/>
  <c r="P3132" i="11"/>
  <c r="P3133" i="11"/>
  <c r="Q3133" i="11" s="1"/>
  <c r="P3134" i="11"/>
  <c r="P3135" i="11"/>
  <c r="Q3135" i="11" s="1"/>
  <c r="P3136" i="11"/>
  <c r="P3137" i="11"/>
  <c r="Q3137" i="11" s="1"/>
  <c r="P3138" i="11"/>
  <c r="P3139" i="11"/>
  <c r="Q3139" i="11" s="1"/>
  <c r="P3140" i="11"/>
  <c r="P3141" i="11"/>
  <c r="Q3141" i="11" s="1"/>
  <c r="P3142" i="11"/>
  <c r="P3143" i="11"/>
  <c r="Q3143" i="11" s="1"/>
  <c r="P3144" i="11"/>
  <c r="P3145" i="11"/>
  <c r="Q3145" i="11" s="1"/>
  <c r="P3146" i="11"/>
  <c r="P3147" i="11"/>
  <c r="Q3147" i="11" s="1"/>
  <c r="P3148" i="11"/>
  <c r="P3149" i="11"/>
  <c r="Q3149" i="11" s="1"/>
  <c r="P3150" i="11"/>
  <c r="P3151" i="11"/>
  <c r="Q3151" i="11"/>
  <c r="P3152" i="11"/>
  <c r="P3153" i="11"/>
  <c r="Q3153" i="11" s="1"/>
  <c r="P3154" i="11"/>
  <c r="P3155" i="11"/>
  <c r="Q3155" i="11"/>
  <c r="P3156" i="11"/>
  <c r="P3157" i="11"/>
  <c r="Q3157" i="11" s="1"/>
  <c r="P3158" i="11"/>
  <c r="P3159" i="11"/>
  <c r="Q3159" i="11" s="1"/>
  <c r="P3160" i="11"/>
  <c r="P3161" i="11"/>
  <c r="Q3161" i="11" s="1"/>
  <c r="P3162" i="11"/>
  <c r="P3163" i="11"/>
  <c r="Q3163" i="11"/>
  <c r="P3164" i="11"/>
  <c r="P3165" i="11"/>
  <c r="Q3165" i="11" s="1"/>
  <c r="P3166" i="11"/>
  <c r="P3167" i="11"/>
  <c r="Q3167" i="11" s="1"/>
  <c r="P3168" i="11"/>
  <c r="P3169" i="11"/>
  <c r="Q3169" i="11" s="1"/>
  <c r="P3170" i="11"/>
  <c r="P3171" i="11"/>
  <c r="Q3171" i="11" s="1"/>
  <c r="P3172" i="11"/>
  <c r="P3173" i="11"/>
  <c r="Q3173" i="11" s="1"/>
  <c r="P3174" i="11"/>
  <c r="P3175" i="11"/>
  <c r="Q3175" i="11"/>
  <c r="P3176" i="11"/>
  <c r="P3177" i="11"/>
  <c r="Q3177" i="11" s="1"/>
  <c r="P3178" i="11"/>
  <c r="P3179" i="11"/>
  <c r="Q3179" i="11"/>
  <c r="P3180" i="11"/>
  <c r="P3181" i="11"/>
  <c r="Q3181" i="11" s="1"/>
  <c r="P3182" i="11"/>
  <c r="P3183" i="11"/>
  <c r="Q3183" i="11" s="1"/>
  <c r="P3184" i="11"/>
  <c r="P3185" i="11"/>
  <c r="Q3185" i="11" s="1"/>
  <c r="P3186" i="11"/>
  <c r="P3187" i="11"/>
  <c r="Q3187" i="11" s="1"/>
  <c r="P3188" i="11"/>
  <c r="P3189" i="11"/>
  <c r="Q3189" i="11" s="1"/>
  <c r="P3190" i="11"/>
  <c r="P3191" i="11"/>
  <c r="Q3191" i="11"/>
  <c r="P3192" i="11"/>
  <c r="P3193" i="11"/>
  <c r="Q3193" i="11"/>
  <c r="P3194" i="11"/>
  <c r="P3195" i="11"/>
  <c r="Q3195" i="11" s="1"/>
  <c r="P3196" i="11"/>
  <c r="P3197" i="11"/>
  <c r="Q3197" i="11"/>
  <c r="P3198" i="11"/>
  <c r="P3199" i="11"/>
  <c r="Q3199" i="11"/>
  <c r="P3200" i="11"/>
  <c r="P3201" i="11"/>
  <c r="Q3201" i="11"/>
  <c r="P3202" i="11"/>
  <c r="P3203" i="11"/>
  <c r="Q3203" i="11" s="1"/>
  <c r="P3204" i="11"/>
  <c r="P3205" i="11"/>
  <c r="Q3205" i="11"/>
  <c r="P3206" i="11"/>
  <c r="P3207" i="11"/>
  <c r="Q3207" i="11"/>
  <c r="P3208" i="11"/>
  <c r="P3209" i="11"/>
  <c r="Q3209" i="11"/>
  <c r="P3210" i="11"/>
  <c r="P3211" i="11"/>
  <c r="Q3211" i="11" s="1"/>
  <c r="P3212" i="11"/>
  <c r="P3213" i="11"/>
  <c r="Q3213" i="11"/>
  <c r="P3214" i="11"/>
  <c r="P3215" i="11"/>
  <c r="Q3215" i="11"/>
  <c r="P3216" i="11"/>
  <c r="P3217" i="11"/>
  <c r="Q3217" i="11"/>
  <c r="P3218" i="11"/>
  <c r="P3219" i="11"/>
  <c r="Q3219" i="11" s="1"/>
  <c r="P3220" i="11"/>
  <c r="P3221" i="11"/>
  <c r="Q3221" i="11"/>
  <c r="P3222" i="11"/>
  <c r="P3223" i="11"/>
  <c r="Q3223" i="11"/>
  <c r="P3224" i="11"/>
  <c r="P3225" i="11"/>
  <c r="Q3225" i="11"/>
  <c r="P3226" i="11"/>
  <c r="P3227" i="11"/>
  <c r="Q3227" i="11" s="1"/>
  <c r="P3228" i="11"/>
  <c r="P3229" i="11"/>
  <c r="Q3229" i="11"/>
  <c r="P3230" i="11"/>
  <c r="P3231" i="11"/>
  <c r="Q3231" i="11"/>
  <c r="P3232" i="11"/>
  <c r="P3233" i="11"/>
  <c r="Q3233" i="11"/>
  <c r="P3234" i="11"/>
  <c r="P3235" i="11"/>
  <c r="Q3235" i="11" s="1"/>
  <c r="P3236" i="11"/>
  <c r="P3237" i="11"/>
  <c r="Q3237" i="11"/>
  <c r="P3238" i="11"/>
  <c r="P3239" i="11"/>
  <c r="Q3239" i="11"/>
  <c r="P3240" i="11"/>
  <c r="P3241" i="11"/>
  <c r="Q3241" i="11"/>
  <c r="P3242" i="11"/>
  <c r="P3243" i="11"/>
  <c r="Q3243" i="11" s="1"/>
  <c r="P3244" i="11"/>
  <c r="P3245" i="11"/>
  <c r="Q3245" i="11"/>
  <c r="P3246" i="11"/>
  <c r="P3247" i="11"/>
  <c r="Q3247" i="11"/>
  <c r="P3248" i="11"/>
  <c r="P3249" i="11"/>
  <c r="Q3249" i="11"/>
  <c r="P3250" i="11"/>
  <c r="P3251" i="11"/>
  <c r="Q3251" i="11" s="1"/>
  <c r="P3252" i="11"/>
  <c r="P3253" i="11"/>
  <c r="Q3253" i="11"/>
  <c r="P3254" i="11"/>
  <c r="P3255" i="11"/>
  <c r="Q3255" i="11"/>
  <c r="P3256" i="11"/>
  <c r="P3257" i="11"/>
  <c r="Q3257" i="11"/>
  <c r="P3258" i="11"/>
  <c r="P3259" i="11"/>
  <c r="Q3259" i="11" s="1"/>
  <c r="P3260" i="11"/>
  <c r="P3261" i="11"/>
  <c r="Q3261" i="11"/>
  <c r="P3262" i="11"/>
  <c r="P3263" i="11"/>
  <c r="Q3263" i="11"/>
  <c r="P3264" i="11"/>
  <c r="P3265" i="11"/>
  <c r="Q3265" i="11"/>
  <c r="P3266" i="11"/>
  <c r="P3267" i="11"/>
  <c r="Q3267" i="11" s="1"/>
  <c r="P3268" i="11"/>
  <c r="P3269" i="11"/>
  <c r="Q3269" i="11"/>
  <c r="P3270" i="11"/>
  <c r="P3271" i="11"/>
  <c r="Q3271" i="11"/>
  <c r="P3272" i="11"/>
  <c r="P3273" i="11"/>
  <c r="Q3273" i="11"/>
  <c r="P3274" i="11"/>
  <c r="P3275" i="11"/>
  <c r="Q3275" i="11" s="1"/>
  <c r="P3276" i="11"/>
  <c r="P3277" i="11"/>
  <c r="Q3277" i="11"/>
  <c r="P3278" i="11"/>
  <c r="P3279" i="11"/>
  <c r="Q3279" i="11"/>
  <c r="P3280" i="11"/>
  <c r="P3281" i="11"/>
  <c r="Q3281" i="11"/>
  <c r="P3282" i="11"/>
  <c r="P3283" i="11"/>
  <c r="Q3283" i="11" s="1"/>
  <c r="P3284" i="11"/>
  <c r="P3285" i="11"/>
  <c r="Q3285" i="11"/>
  <c r="P3286" i="11"/>
  <c r="P3287" i="11"/>
  <c r="Q3287" i="11"/>
  <c r="P3288" i="11"/>
  <c r="P3289" i="11"/>
  <c r="Q3289" i="11"/>
  <c r="P3290" i="11"/>
  <c r="P3291" i="11"/>
  <c r="Q3291" i="11" s="1"/>
  <c r="P3292" i="11"/>
  <c r="P3293" i="11"/>
  <c r="Q3293" i="11"/>
  <c r="P3294" i="11"/>
  <c r="P3295" i="11"/>
  <c r="Q3295" i="11"/>
  <c r="P3296" i="11"/>
  <c r="P3297" i="11"/>
  <c r="Q3297" i="11"/>
  <c r="P3298" i="11"/>
  <c r="P3299" i="11"/>
  <c r="Q3299" i="11" s="1"/>
  <c r="P3300" i="11"/>
  <c r="P3301" i="11"/>
  <c r="Q3301" i="11"/>
  <c r="P3302" i="11"/>
  <c r="P3303" i="11"/>
  <c r="Q3303" i="11"/>
  <c r="P3304" i="11"/>
  <c r="P3305" i="11"/>
  <c r="Q3305" i="11"/>
  <c r="P3306" i="11"/>
  <c r="P3307" i="11"/>
  <c r="Q3307" i="11" s="1"/>
  <c r="P3308" i="11"/>
  <c r="P3309" i="11"/>
  <c r="Q3309" i="11"/>
  <c r="P3310" i="11"/>
  <c r="P3311" i="11"/>
  <c r="Q3311" i="11"/>
  <c r="P3312" i="11"/>
  <c r="P3313" i="11"/>
  <c r="Q3313" i="11"/>
  <c r="P3314" i="11"/>
  <c r="P3315" i="11"/>
  <c r="Q3315" i="11" s="1"/>
  <c r="P3316" i="11"/>
  <c r="P3317" i="11"/>
  <c r="Q3317" i="11"/>
  <c r="P3318" i="11"/>
  <c r="P3319" i="11"/>
  <c r="Q3319" i="11"/>
  <c r="P3320" i="11"/>
  <c r="P3321" i="11"/>
  <c r="Q3321" i="11"/>
  <c r="P3322" i="11"/>
  <c r="P3323" i="11"/>
  <c r="Q3323" i="11" s="1"/>
  <c r="P3324" i="11"/>
  <c r="P3325" i="11"/>
  <c r="Q3325" i="11"/>
  <c r="P3326" i="11"/>
  <c r="P3327" i="11"/>
  <c r="Q3327" i="11"/>
  <c r="P3328" i="11"/>
  <c r="P3329" i="11"/>
  <c r="Q3329" i="11"/>
  <c r="P3330" i="11"/>
  <c r="P3331" i="11"/>
  <c r="Q3331" i="11" s="1"/>
  <c r="P3332" i="11"/>
  <c r="P3333" i="11"/>
  <c r="Q3333" i="11"/>
  <c r="P3334" i="11"/>
  <c r="P3335" i="11"/>
  <c r="Q3335" i="11"/>
  <c r="P3336" i="11"/>
  <c r="P3337" i="11"/>
  <c r="Q3337" i="11"/>
  <c r="P3338" i="11"/>
  <c r="P3339" i="11"/>
  <c r="Q3339" i="11" s="1"/>
  <c r="P3340" i="11"/>
  <c r="P3341" i="11"/>
  <c r="Q3341" i="11"/>
  <c r="P3342" i="11"/>
  <c r="P3343" i="11"/>
  <c r="Q3343" i="11"/>
  <c r="P3344" i="11"/>
  <c r="P3345" i="11"/>
  <c r="Q3345" i="11"/>
  <c r="P3346" i="11"/>
  <c r="P3347" i="11"/>
  <c r="Q3347" i="11" s="1"/>
  <c r="P3348" i="11"/>
  <c r="P3349" i="11"/>
  <c r="Q3349" i="11"/>
  <c r="P3350" i="11"/>
  <c r="P3351" i="11"/>
  <c r="Q3351" i="11"/>
  <c r="P3352" i="11"/>
  <c r="P3353" i="11"/>
  <c r="Q3353" i="11"/>
  <c r="P3354" i="11"/>
  <c r="P3355" i="11"/>
  <c r="Q3355" i="11" s="1"/>
  <c r="P3356" i="11"/>
  <c r="P3357" i="11"/>
  <c r="Q3357" i="11"/>
  <c r="P3358" i="11"/>
  <c r="P3359" i="11"/>
  <c r="Q3359" i="11"/>
  <c r="P3360" i="11"/>
  <c r="P3361" i="11"/>
  <c r="Q3361" i="11"/>
  <c r="P3362" i="11"/>
  <c r="P3363" i="11"/>
  <c r="Q3363" i="11" s="1"/>
  <c r="P3364" i="11"/>
  <c r="P3365" i="11"/>
  <c r="Q3365" i="11"/>
  <c r="P3366" i="11"/>
  <c r="P3367" i="11"/>
  <c r="Q3367" i="11"/>
  <c r="P3368" i="11"/>
  <c r="P3369" i="11"/>
  <c r="Q3369" i="11"/>
  <c r="P3370" i="11"/>
  <c r="P3371" i="11"/>
  <c r="Q3371" i="11" s="1"/>
  <c r="P3372" i="11"/>
  <c r="P3373" i="11"/>
  <c r="Q3373" i="11"/>
  <c r="P3374" i="11"/>
  <c r="P3375" i="11"/>
  <c r="Q3375" i="11"/>
  <c r="P3376" i="11"/>
  <c r="P3377" i="11"/>
  <c r="Q3377" i="11"/>
  <c r="P3378" i="11"/>
  <c r="P3379" i="11"/>
  <c r="Q3379" i="11" s="1"/>
  <c r="P3380" i="11"/>
  <c r="P3381" i="11"/>
  <c r="Q3381" i="11"/>
  <c r="P3382" i="11"/>
  <c r="P3383" i="11"/>
  <c r="Q3383" i="11"/>
  <c r="P3384" i="11"/>
  <c r="P3385" i="11"/>
  <c r="Q3385" i="11"/>
  <c r="P3386" i="11"/>
  <c r="P3387" i="11"/>
  <c r="Q3387" i="11" s="1"/>
  <c r="P3388" i="11"/>
  <c r="P3389" i="11"/>
  <c r="Q3389" i="11"/>
  <c r="P3390" i="11"/>
  <c r="P3391" i="11"/>
  <c r="Q3391" i="11"/>
  <c r="P3392" i="11"/>
  <c r="P3393" i="11"/>
  <c r="Q3393" i="11"/>
  <c r="P3394" i="11"/>
  <c r="P3395" i="11"/>
  <c r="Q3395" i="11" s="1"/>
  <c r="P3396" i="11"/>
  <c r="P3397" i="11"/>
  <c r="Q3397" i="11"/>
  <c r="P3398" i="11"/>
  <c r="P3399" i="11"/>
  <c r="Q3399" i="11"/>
  <c r="P3400" i="11"/>
  <c r="P3401" i="11"/>
  <c r="Q3401" i="11"/>
  <c r="P3402" i="11"/>
  <c r="P3403" i="11"/>
  <c r="Q3403" i="11" s="1"/>
  <c r="P3404" i="11"/>
  <c r="P3405" i="11"/>
  <c r="Q3405" i="11"/>
  <c r="P3406" i="11"/>
  <c r="P3407" i="11"/>
  <c r="Q3407" i="11"/>
  <c r="P3408" i="11"/>
  <c r="P3409" i="11"/>
  <c r="Q3409" i="11"/>
  <c r="P3410" i="11"/>
  <c r="P3411" i="11"/>
  <c r="Q3411" i="11" s="1"/>
  <c r="P3412" i="11"/>
  <c r="P3413" i="11"/>
  <c r="Q3413" i="11"/>
  <c r="P3414" i="11"/>
  <c r="P3415" i="11"/>
  <c r="Q3415" i="11"/>
  <c r="P3416" i="11"/>
  <c r="P3417" i="11"/>
  <c r="Q3417" i="11"/>
  <c r="P3418" i="11"/>
  <c r="P3419" i="11"/>
  <c r="Q3419" i="11" s="1"/>
  <c r="P3420" i="11"/>
  <c r="P3421" i="11"/>
  <c r="Q3421" i="11"/>
  <c r="P3422" i="11"/>
  <c r="P3423" i="11"/>
  <c r="Q3423" i="11"/>
  <c r="P3424" i="11"/>
  <c r="P3425" i="11"/>
  <c r="Q3425" i="11"/>
  <c r="P3426" i="11"/>
  <c r="P3427" i="11"/>
  <c r="Q3427" i="11" s="1"/>
  <c r="P3428" i="11"/>
  <c r="P3429" i="11"/>
  <c r="Q3429" i="11"/>
  <c r="P3430" i="11"/>
  <c r="P3431" i="11"/>
  <c r="Q3431" i="11"/>
  <c r="P3432" i="11"/>
  <c r="P3433" i="11"/>
  <c r="Q3433" i="11"/>
  <c r="P3434" i="11"/>
  <c r="P3435" i="11"/>
  <c r="Q3435" i="11" s="1"/>
  <c r="P3436" i="11"/>
  <c r="P3437" i="11"/>
  <c r="Q3437" i="11"/>
  <c r="P3438" i="11"/>
  <c r="P3439" i="11"/>
  <c r="Q3439" i="11"/>
  <c r="P3440" i="11"/>
  <c r="P3441" i="11"/>
  <c r="Q3441" i="11"/>
  <c r="P3442" i="11"/>
  <c r="P3443" i="11"/>
  <c r="Q3443" i="11" s="1"/>
  <c r="P3444" i="11"/>
  <c r="P3445" i="11"/>
  <c r="Q3445" i="11"/>
  <c r="P3446" i="11"/>
  <c r="P3447" i="11"/>
  <c r="Q3447" i="11"/>
  <c r="P3448" i="11"/>
  <c r="P3449" i="11"/>
  <c r="Q3449" i="11"/>
  <c r="P3450" i="11"/>
  <c r="P3451" i="11"/>
  <c r="Q3451" i="11" s="1"/>
  <c r="P3452" i="11"/>
  <c r="P3453" i="11"/>
  <c r="Q3453" i="11"/>
  <c r="P3454" i="11"/>
  <c r="P3455" i="11"/>
  <c r="Q3455" i="11"/>
  <c r="P3456" i="11"/>
  <c r="P3457" i="11"/>
  <c r="Q3457" i="11"/>
  <c r="P3458" i="11"/>
  <c r="P3459" i="11"/>
  <c r="Q3459" i="11" s="1"/>
  <c r="P3460" i="11"/>
  <c r="P3461" i="11"/>
  <c r="Q3461" i="11"/>
  <c r="P3462" i="11"/>
  <c r="P3463" i="11"/>
  <c r="Q3463" i="11"/>
  <c r="P3464" i="11"/>
  <c r="P3465" i="11"/>
  <c r="Q3465" i="11"/>
  <c r="P3466" i="11"/>
  <c r="P3467" i="11"/>
  <c r="Q3467" i="11" s="1"/>
  <c r="P3468" i="11"/>
  <c r="P3469" i="11"/>
  <c r="Q3469" i="11"/>
  <c r="P3470" i="11"/>
  <c r="P3471" i="11"/>
  <c r="Q3471" i="11"/>
  <c r="P3472" i="11"/>
  <c r="P3473" i="11"/>
  <c r="Q3473" i="11"/>
  <c r="P3474" i="11"/>
  <c r="P3475" i="11"/>
  <c r="Q3475" i="11" s="1"/>
  <c r="P3476" i="11"/>
  <c r="P3477" i="11"/>
  <c r="Q3477" i="11"/>
  <c r="P3478" i="11"/>
  <c r="P3479" i="11"/>
  <c r="Q3479" i="11"/>
  <c r="P3480" i="11"/>
  <c r="P3481" i="11"/>
  <c r="Q3481" i="11"/>
  <c r="P3482" i="11"/>
  <c r="P3483" i="11"/>
  <c r="Q3483" i="11" s="1"/>
  <c r="P3484" i="11"/>
  <c r="P3485" i="11"/>
  <c r="Q3485" i="11"/>
  <c r="P3486" i="11"/>
  <c r="P3487" i="11"/>
  <c r="Q3487" i="11"/>
  <c r="P3488" i="11"/>
  <c r="P3489" i="11"/>
  <c r="Q3489" i="11"/>
  <c r="P3490" i="11"/>
  <c r="P3491" i="11"/>
  <c r="Q3491" i="11" s="1"/>
  <c r="P3492" i="11"/>
  <c r="P3493" i="11"/>
  <c r="Q3493" i="11"/>
  <c r="P3494" i="11"/>
  <c r="P3495" i="11"/>
  <c r="Q3495" i="11"/>
  <c r="P3496" i="11"/>
  <c r="P3497" i="11"/>
  <c r="Q3497" i="11"/>
  <c r="P3498" i="11"/>
  <c r="P3499" i="11"/>
  <c r="Q3499" i="11" s="1"/>
  <c r="P3500" i="11"/>
  <c r="P3501" i="11"/>
  <c r="Q3501" i="11"/>
  <c r="P3502" i="11"/>
  <c r="P3503" i="11"/>
  <c r="Q3503" i="11"/>
  <c r="P3504" i="11"/>
  <c r="P3505" i="11"/>
  <c r="Q3505" i="11"/>
  <c r="P3506" i="11"/>
  <c r="P3507" i="11"/>
  <c r="Q3507" i="11" s="1"/>
  <c r="P3508" i="11"/>
  <c r="P3509" i="11"/>
  <c r="Q3509" i="11"/>
  <c r="P3510" i="11"/>
  <c r="P3511" i="11"/>
  <c r="Q3511" i="11"/>
  <c r="P3512" i="11"/>
  <c r="P3513" i="11"/>
  <c r="Q3513" i="11"/>
  <c r="P3514" i="11"/>
  <c r="P3515" i="11"/>
  <c r="Q3515" i="11" s="1"/>
  <c r="P3516" i="11"/>
  <c r="P3517" i="11"/>
  <c r="Q3517" i="11"/>
  <c r="P3518" i="11"/>
  <c r="P3519" i="11"/>
  <c r="Q3519" i="11"/>
  <c r="P3520" i="11"/>
  <c r="P3521" i="11"/>
  <c r="Q3521" i="11"/>
  <c r="P3522" i="11"/>
  <c r="P3523" i="11"/>
  <c r="Q3523" i="11" s="1"/>
  <c r="P3524" i="11"/>
  <c r="P3525" i="11"/>
  <c r="Q3525" i="11"/>
  <c r="P3526" i="11"/>
  <c r="P3527" i="11"/>
  <c r="Q3527" i="11"/>
  <c r="P3528" i="11"/>
  <c r="P3529" i="11"/>
  <c r="Q3529" i="11"/>
  <c r="P3530" i="11"/>
  <c r="P3531" i="11"/>
  <c r="Q3531" i="11" s="1"/>
  <c r="P3532" i="11"/>
  <c r="P3533" i="11"/>
  <c r="Q3533" i="11"/>
  <c r="P3534" i="11"/>
  <c r="P3535" i="11"/>
  <c r="Q3535" i="11"/>
  <c r="P3536" i="11"/>
  <c r="P3537" i="11"/>
  <c r="Q3537" i="11"/>
  <c r="P3538" i="11"/>
  <c r="P3539" i="11"/>
  <c r="Q3539" i="11" s="1"/>
  <c r="P3540" i="11"/>
  <c r="P3541" i="11"/>
  <c r="Q3541" i="11"/>
  <c r="P3542" i="11"/>
  <c r="P3543" i="11"/>
  <c r="Q3543" i="11"/>
  <c r="P3544" i="11"/>
  <c r="P3545" i="11"/>
  <c r="Q3545" i="11"/>
  <c r="P3546" i="11"/>
  <c r="P3547" i="11"/>
  <c r="Q3547" i="11" s="1"/>
  <c r="P3548" i="11"/>
  <c r="P3549" i="11"/>
  <c r="Q3549" i="11"/>
  <c r="P3550" i="11"/>
  <c r="P3551" i="11"/>
  <c r="Q3551" i="11"/>
  <c r="P3552" i="11"/>
  <c r="P3553" i="11"/>
  <c r="Q3553" i="11"/>
  <c r="P3554" i="11"/>
  <c r="P3555" i="11"/>
  <c r="Q3555" i="11" s="1"/>
  <c r="P3556" i="11"/>
  <c r="P3557" i="11"/>
  <c r="Q3557" i="11"/>
  <c r="P3558" i="11"/>
  <c r="P3559" i="11"/>
  <c r="Q3559" i="11"/>
  <c r="P3560" i="11"/>
  <c r="P3561" i="11"/>
  <c r="Q3561" i="11"/>
  <c r="P3562" i="11"/>
  <c r="P3563" i="11"/>
  <c r="Q3563" i="11" s="1"/>
  <c r="P3564" i="11"/>
  <c r="P3565" i="11"/>
  <c r="Q3565" i="11"/>
  <c r="P3566" i="11"/>
  <c r="P3567" i="11"/>
  <c r="Q3567" i="11"/>
  <c r="P3568" i="11"/>
  <c r="P3569" i="11"/>
  <c r="Q3569" i="11"/>
  <c r="P3570" i="11"/>
  <c r="P3571" i="11"/>
  <c r="Q3571" i="11" s="1"/>
  <c r="P3572" i="11"/>
  <c r="P3573" i="11"/>
  <c r="Q3573" i="11"/>
  <c r="P3574" i="11"/>
  <c r="P3575" i="11"/>
  <c r="Q3575" i="11"/>
  <c r="P3576" i="11"/>
  <c r="P3577" i="11"/>
  <c r="Q3577" i="11"/>
  <c r="P3578" i="11"/>
  <c r="P3579" i="11"/>
  <c r="Q3579" i="11" s="1"/>
  <c r="P3580" i="11"/>
  <c r="P3581" i="11"/>
  <c r="Q3581" i="11"/>
  <c r="P3582" i="11"/>
  <c r="P3583" i="11"/>
  <c r="Q3583" i="11"/>
  <c r="P3584" i="11"/>
  <c r="P3585" i="11"/>
  <c r="Q3585" i="11"/>
  <c r="P3586" i="11"/>
  <c r="P3587" i="11"/>
  <c r="Q3587" i="11" s="1"/>
  <c r="P3588" i="11"/>
  <c r="P3589" i="11"/>
  <c r="Q3589" i="11"/>
  <c r="P3590" i="11"/>
  <c r="P3591" i="11"/>
  <c r="Q3591" i="11"/>
  <c r="P3592" i="11"/>
  <c r="P3593" i="11"/>
  <c r="Q3593" i="11"/>
  <c r="P3594" i="11"/>
  <c r="P3595" i="11"/>
  <c r="Q3595" i="11" s="1"/>
  <c r="P3596" i="11"/>
  <c r="P3597" i="11"/>
  <c r="Q3597" i="11"/>
  <c r="P3598" i="11"/>
  <c r="P3599" i="11"/>
  <c r="Q3599" i="11"/>
  <c r="P3600" i="11"/>
  <c r="P3601" i="11"/>
  <c r="Q3601" i="11"/>
  <c r="P3602" i="11"/>
  <c r="P3603" i="11"/>
  <c r="Q3603" i="11" s="1"/>
  <c r="P3604" i="11"/>
  <c r="P3605" i="11"/>
  <c r="Q3605" i="11"/>
  <c r="P3606" i="11"/>
  <c r="P3607" i="11"/>
  <c r="Q3607" i="11"/>
  <c r="P3608" i="11"/>
  <c r="P3609" i="11"/>
  <c r="Q3609" i="11"/>
  <c r="P3610" i="11"/>
  <c r="P3611" i="11"/>
  <c r="Q3611" i="11" s="1"/>
  <c r="P3612" i="11"/>
  <c r="P3613" i="11"/>
  <c r="Q3613" i="11"/>
  <c r="P3614" i="11"/>
  <c r="P3615" i="11"/>
  <c r="Q3615" i="11"/>
  <c r="P3616" i="11"/>
  <c r="P3617" i="11"/>
  <c r="Q3617" i="11"/>
  <c r="P3618" i="11"/>
  <c r="P3619" i="11"/>
  <c r="Q3619" i="11" s="1"/>
  <c r="P3620" i="11"/>
  <c r="P3621" i="11"/>
  <c r="Q3621" i="11"/>
  <c r="P3622" i="11"/>
  <c r="P3623" i="11"/>
  <c r="Q3623" i="11"/>
  <c r="P3624" i="11"/>
  <c r="P3625" i="11"/>
  <c r="Q3625" i="11"/>
  <c r="P3626" i="11"/>
  <c r="P3627" i="11"/>
  <c r="Q3627" i="11" s="1"/>
  <c r="P3628" i="11"/>
  <c r="P3629" i="11"/>
  <c r="Q3629" i="11"/>
  <c r="P3630" i="11"/>
  <c r="P3631" i="11"/>
  <c r="Q3631" i="11"/>
  <c r="P3632" i="11"/>
  <c r="P3633" i="11"/>
  <c r="Q3633" i="11"/>
  <c r="P3634" i="11"/>
  <c r="P3635" i="11"/>
  <c r="Q3635" i="11" s="1"/>
  <c r="P3636" i="11"/>
  <c r="P3637" i="11"/>
  <c r="Q3637" i="11"/>
  <c r="P3638" i="11"/>
  <c r="P3639" i="11"/>
  <c r="Q3639" i="11"/>
  <c r="P3640" i="11"/>
  <c r="P3641" i="11"/>
  <c r="Q3641" i="11"/>
  <c r="P3642" i="11"/>
  <c r="P3643" i="11"/>
  <c r="Q3643" i="11" s="1"/>
  <c r="P3644" i="11"/>
  <c r="P3645" i="11"/>
  <c r="Q3645" i="11"/>
  <c r="P3646" i="11"/>
  <c r="P3647" i="11"/>
  <c r="Q3647" i="11"/>
  <c r="P3648" i="11"/>
  <c r="P3649" i="11"/>
  <c r="Q3649" i="11"/>
  <c r="P3650" i="11"/>
  <c r="P3651" i="11"/>
  <c r="Q3651" i="11" s="1"/>
  <c r="P3652" i="11"/>
  <c r="P3653" i="11"/>
  <c r="Q3653" i="11"/>
  <c r="P3654" i="11"/>
  <c r="P3655" i="11"/>
  <c r="Q3655" i="11"/>
  <c r="P3656" i="11"/>
  <c r="P3657" i="11"/>
  <c r="Q3657" i="11"/>
  <c r="P3658" i="11"/>
  <c r="P3659" i="11"/>
  <c r="Q3659" i="11" s="1"/>
  <c r="P3660" i="11"/>
  <c r="P3661" i="11"/>
  <c r="Q3661" i="11"/>
  <c r="P3662" i="11"/>
  <c r="P3663" i="11"/>
  <c r="Q3663" i="11"/>
  <c r="P3664" i="11"/>
  <c r="P3665" i="11"/>
  <c r="Q3665" i="11"/>
  <c r="P3666" i="11"/>
  <c r="P3667" i="11"/>
  <c r="Q3667" i="11" s="1"/>
  <c r="P3668" i="11"/>
  <c r="P3669" i="11"/>
  <c r="Q3669" i="11"/>
  <c r="P3670" i="11"/>
  <c r="P3671" i="11"/>
  <c r="Q3671" i="11"/>
  <c r="P3672" i="11"/>
  <c r="P3673" i="11"/>
  <c r="Q3673" i="11"/>
  <c r="P3674" i="11"/>
  <c r="P3675" i="11"/>
  <c r="Q3675" i="11" s="1"/>
  <c r="P3676" i="11"/>
  <c r="P3677" i="11"/>
  <c r="Q3677" i="11"/>
  <c r="P3678" i="11"/>
  <c r="P3679" i="11"/>
  <c r="Q3679" i="11"/>
  <c r="P3680" i="11"/>
  <c r="P3681" i="11"/>
  <c r="Q3681" i="11"/>
  <c r="P3682" i="11"/>
  <c r="P3683" i="11"/>
  <c r="Q3683" i="11" s="1"/>
  <c r="P3684" i="11"/>
  <c r="P3685" i="11"/>
  <c r="Q3685" i="11"/>
  <c r="P3686" i="11"/>
  <c r="P3687" i="11"/>
  <c r="Q3687" i="11"/>
  <c r="P3688" i="11"/>
  <c r="P3689" i="11"/>
  <c r="Q3689" i="11"/>
  <c r="P3690" i="11"/>
  <c r="P3691" i="11"/>
  <c r="Q3691" i="11" s="1"/>
  <c r="P3692" i="11"/>
  <c r="P3693" i="11"/>
  <c r="Q3693" i="11"/>
  <c r="P3694" i="11"/>
  <c r="P3695" i="11"/>
  <c r="Q3695" i="11"/>
  <c r="P3696" i="11"/>
  <c r="P3697" i="11"/>
  <c r="Q3697" i="11"/>
  <c r="P3698" i="11"/>
  <c r="P3699" i="11"/>
  <c r="Q3699" i="11" s="1"/>
  <c r="P3700" i="11"/>
  <c r="P3701" i="11"/>
  <c r="Q3701" i="11"/>
  <c r="P3702" i="11"/>
  <c r="P3703" i="11"/>
  <c r="Q3703" i="11"/>
  <c r="P3704" i="11"/>
  <c r="P3705" i="11"/>
  <c r="Q3705" i="11"/>
  <c r="P3706" i="11"/>
  <c r="P3707" i="11"/>
  <c r="Q3707" i="11" s="1"/>
  <c r="P3708" i="11"/>
  <c r="P3709" i="11"/>
  <c r="Q3709" i="11"/>
  <c r="P3710" i="11"/>
  <c r="P3711" i="11"/>
  <c r="Q3711" i="11"/>
  <c r="P3712" i="11"/>
  <c r="P3713" i="11"/>
  <c r="Q3713" i="11"/>
  <c r="P3714" i="11"/>
  <c r="P3715" i="11"/>
  <c r="Q3715" i="11" s="1"/>
  <c r="P3716" i="11"/>
  <c r="P3717" i="11"/>
  <c r="Q3717" i="11"/>
  <c r="P3718" i="11"/>
  <c r="P3719" i="11"/>
  <c r="Q3719" i="11"/>
  <c r="P3720" i="11"/>
  <c r="P3721" i="11"/>
  <c r="Q3721" i="11"/>
  <c r="P3722" i="11"/>
  <c r="P3723" i="11"/>
  <c r="Q3723" i="11" s="1"/>
  <c r="P3724" i="11"/>
  <c r="P3725" i="11"/>
  <c r="Q3725" i="11"/>
  <c r="P3726" i="11"/>
  <c r="P3727" i="11"/>
  <c r="Q3727" i="11"/>
  <c r="P3728" i="11"/>
  <c r="P3729" i="11"/>
  <c r="Q3729" i="11"/>
  <c r="P3730" i="11"/>
  <c r="P3731" i="11"/>
  <c r="Q3731" i="11" s="1"/>
  <c r="P3732" i="11"/>
  <c r="P3733" i="11"/>
  <c r="Q3733" i="11"/>
  <c r="P3734" i="11"/>
  <c r="P3735" i="11"/>
  <c r="Q3735" i="11"/>
  <c r="P3736" i="11"/>
  <c r="P3737" i="11"/>
  <c r="Q3737" i="11"/>
  <c r="P3738" i="11"/>
  <c r="P3739" i="11"/>
  <c r="Q3739" i="11" s="1"/>
  <c r="P3740" i="11"/>
  <c r="P3741" i="11"/>
  <c r="Q3741" i="11"/>
  <c r="P3742" i="11"/>
  <c r="P3743" i="11"/>
  <c r="Q3743" i="11"/>
  <c r="P3744" i="11"/>
  <c r="P3745" i="11"/>
  <c r="Q3745" i="11"/>
  <c r="P3746" i="11"/>
  <c r="P3747" i="11"/>
  <c r="Q3747" i="11" s="1"/>
  <c r="P3748" i="11"/>
  <c r="P3749" i="11"/>
  <c r="Q3749" i="11"/>
  <c r="P3750" i="11"/>
  <c r="P3751" i="11"/>
  <c r="Q3751" i="11"/>
  <c r="P3752" i="11"/>
  <c r="P3753" i="11"/>
  <c r="Q3753" i="11"/>
  <c r="P3754" i="11"/>
  <c r="P3755" i="11"/>
  <c r="Q3755" i="11" s="1"/>
  <c r="P3756" i="11"/>
  <c r="P3757" i="11"/>
  <c r="Q3757" i="11"/>
  <c r="P3758" i="11"/>
  <c r="P3759" i="11"/>
  <c r="Q3759" i="11"/>
  <c r="P3760" i="11"/>
  <c r="P3761" i="11"/>
  <c r="Q3761" i="11"/>
  <c r="P3762" i="11"/>
  <c r="P3763" i="11"/>
  <c r="Q3763" i="11" s="1"/>
  <c r="P3764" i="11"/>
  <c r="P3765" i="11"/>
  <c r="Q3765" i="11"/>
  <c r="P3766" i="11"/>
  <c r="P3767" i="11"/>
  <c r="Q3767" i="11"/>
  <c r="P3768" i="11"/>
  <c r="P3769" i="11"/>
  <c r="Q3769" i="11"/>
  <c r="P3770" i="11"/>
  <c r="P3771" i="11"/>
  <c r="Q3771" i="11" s="1"/>
  <c r="P3772" i="11"/>
  <c r="P3773" i="11"/>
  <c r="Q3773" i="11"/>
  <c r="P3774" i="11"/>
  <c r="P3775" i="11"/>
  <c r="Q3775" i="11"/>
  <c r="P3776" i="11"/>
  <c r="P3777" i="11"/>
  <c r="Q3777" i="11"/>
  <c r="P3778" i="11"/>
  <c r="P3779" i="11"/>
  <c r="Q3779" i="11" s="1"/>
  <c r="P3780" i="11"/>
  <c r="P3781" i="11"/>
  <c r="Q3781" i="11"/>
  <c r="P3782" i="11"/>
  <c r="P3783" i="11"/>
  <c r="Q3783" i="11"/>
  <c r="P3784" i="11"/>
  <c r="P3785" i="11"/>
  <c r="Q3785" i="11"/>
  <c r="P3786" i="11"/>
  <c r="P3787" i="11"/>
  <c r="Q3787" i="11" s="1"/>
  <c r="P3788" i="11"/>
  <c r="P3789" i="11"/>
  <c r="Q3789" i="11"/>
  <c r="P3790" i="11"/>
  <c r="P3791" i="11"/>
  <c r="Q3791" i="11"/>
  <c r="P3792" i="11"/>
  <c r="P3793" i="11"/>
  <c r="Q3793" i="11"/>
  <c r="P3794" i="11"/>
  <c r="P3795" i="11"/>
  <c r="Q3795" i="11" s="1"/>
  <c r="P3796" i="11"/>
  <c r="P3797" i="11"/>
  <c r="Q3797" i="11"/>
  <c r="P3798" i="11"/>
  <c r="P3799" i="11"/>
  <c r="Q3799" i="11"/>
  <c r="P3800" i="11"/>
  <c r="P3801" i="11"/>
  <c r="Q3801" i="11"/>
  <c r="P3802" i="11"/>
  <c r="P3803" i="11"/>
  <c r="Q3803" i="11" s="1"/>
  <c r="P3804" i="11"/>
  <c r="P3805" i="11"/>
  <c r="Q3805" i="11"/>
  <c r="P3806" i="11"/>
  <c r="P3807" i="11"/>
  <c r="Q3807" i="11"/>
  <c r="P3808" i="11"/>
  <c r="P3809" i="11"/>
  <c r="Q3809" i="11"/>
  <c r="P3810" i="11"/>
  <c r="P3811" i="11"/>
  <c r="Q3811" i="11" s="1"/>
  <c r="P3812" i="11"/>
  <c r="P3813" i="11"/>
  <c r="Q3813" i="11"/>
  <c r="P3814" i="11"/>
  <c r="P3815" i="11"/>
  <c r="Q3815" i="11"/>
  <c r="P3816" i="11"/>
  <c r="P3817" i="11"/>
  <c r="Q3817" i="11"/>
  <c r="P3818" i="11"/>
  <c r="P3819" i="11"/>
  <c r="Q3819" i="11" s="1"/>
  <c r="P3820" i="11"/>
  <c r="P3821" i="11"/>
  <c r="Q3821" i="11"/>
  <c r="P3822" i="11"/>
  <c r="P3823" i="11"/>
  <c r="Q3823" i="11"/>
  <c r="P3824" i="11"/>
  <c r="P3825" i="11"/>
  <c r="Q3825" i="11"/>
  <c r="P3826" i="11"/>
  <c r="P3827" i="11"/>
  <c r="Q3827" i="11" s="1"/>
  <c r="P3828" i="11"/>
  <c r="P3829" i="11"/>
  <c r="Q3829" i="11"/>
  <c r="P3830" i="11"/>
  <c r="P3831" i="11"/>
  <c r="Q3831" i="11"/>
  <c r="P3832" i="11"/>
  <c r="P3833" i="11"/>
  <c r="Q3833" i="11"/>
  <c r="P3834" i="11"/>
  <c r="P3835" i="11"/>
  <c r="Q3835" i="11" s="1"/>
  <c r="P3836" i="11"/>
  <c r="P3837" i="11"/>
  <c r="Q3837" i="11"/>
  <c r="P3838" i="11"/>
  <c r="P3839" i="11"/>
  <c r="Q3839" i="11"/>
  <c r="P3840" i="11"/>
  <c r="P3841" i="11"/>
  <c r="Q3841" i="11"/>
  <c r="P3842" i="11"/>
  <c r="P3843" i="11"/>
  <c r="Q3843" i="11" s="1"/>
  <c r="P3844" i="11"/>
  <c r="P3845" i="11"/>
  <c r="Q3845" i="11"/>
  <c r="P3846" i="11"/>
  <c r="P3847" i="11"/>
  <c r="Q3847" i="11"/>
  <c r="P3848" i="11"/>
  <c r="P3849" i="11"/>
  <c r="Q3849" i="11"/>
  <c r="P3850" i="11"/>
  <c r="P3851" i="11"/>
  <c r="Q3851" i="11" s="1"/>
  <c r="P3852" i="11"/>
  <c r="P3853" i="11"/>
  <c r="Q3853" i="11"/>
  <c r="P3854" i="11"/>
  <c r="P3855" i="11"/>
  <c r="Q3855" i="11"/>
  <c r="P3856" i="11"/>
  <c r="P3857" i="11"/>
  <c r="Q3857" i="11"/>
  <c r="P3858" i="11"/>
  <c r="P3859" i="11"/>
  <c r="Q3859" i="11" s="1"/>
  <c r="P3860" i="11"/>
  <c r="P3861" i="11"/>
  <c r="Q3861" i="11"/>
  <c r="P3862" i="11"/>
  <c r="P3863" i="11"/>
  <c r="Q3863" i="11"/>
  <c r="P3864" i="11"/>
  <c r="P3865" i="11"/>
  <c r="Q3865" i="11"/>
  <c r="P3866" i="11"/>
  <c r="P3867" i="11"/>
  <c r="Q3867" i="11" s="1"/>
  <c r="P3868" i="11"/>
  <c r="P3869" i="11"/>
  <c r="Q3869" i="11"/>
  <c r="P3870" i="11"/>
  <c r="P3871" i="11"/>
  <c r="Q3871" i="11"/>
  <c r="P3872" i="11"/>
  <c r="P3873" i="11"/>
  <c r="Q3873" i="11"/>
  <c r="P3874" i="11"/>
  <c r="P3875" i="11"/>
  <c r="Q3875" i="11" s="1"/>
  <c r="P3876" i="11"/>
  <c r="P3877" i="11"/>
  <c r="Q3877" i="11"/>
  <c r="P3878" i="11"/>
  <c r="P3879" i="11"/>
  <c r="Q3879" i="11"/>
  <c r="P3880" i="11"/>
  <c r="P3881" i="11"/>
  <c r="Q3881" i="11"/>
  <c r="P3882" i="11"/>
  <c r="P3883" i="11"/>
  <c r="Q3883" i="11" s="1"/>
  <c r="P3884" i="11"/>
  <c r="P3885" i="11"/>
  <c r="Q3885" i="11"/>
  <c r="P3886" i="11"/>
  <c r="P3887" i="11"/>
  <c r="Q3887" i="11"/>
  <c r="P3888" i="11"/>
  <c r="P3889" i="11"/>
  <c r="Q3889" i="11"/>
  <c r="P3890" i="11"/>
  <c r="P3891" i="11"/>
  <c r="Q3891" i="11" s="1"/>
  <c r="P3892" i="11"/>
  <c r="P3893" i="11"/>
  <c r="Q3893" i="11"/>
  <c r="P3894" i="11"/>
  <c r="P3895" i="11"/>
  <c r="Q3895" i="11"/>
  <c r="P3896" i="11"/>
  <c r="P3897" i="11"/>
  <c r="Q3897" i="11"/>
  <c r="P3898" i="11"/>
  <c r="P3899" i="11"/>
  <c r="Q3899" i="11" s="1"/>
  <c r="P3900" i="11"/>
  <c r="P3901" i="11"/>
  <c r="Q3901" i="11"/>
  <c r="P3902" i="11"/>
  <c r="P3903" i="11"/>
  <c r="Q3903" i="11"/>
  <c r="P3904" i="11"/>
  <c r="P3905" i="11"/>
  <c r="Q3905" i="11"/>
  <c r="P3906" i="11"/>
  <c r="P3907" i="11"/>
  <c r="Q3907" i="11" s="1"/>
  <c r="P3908" i="11"/>
  <c r="P3909" i="11"/>
  <c r="Q3909" i="11"/>
  <c r="P3910" i="11"/>
  <c r="P3911" i="11"/>
  <c r="Q3911" i="11"/>
  <c r="P3912" i="11"/>
  <c r="P3913" i="11"/>
  <c r="Q3913" i="11"/>
  <c r="P3914" i="11"/>
  <c r="P3915" i="11"/>
  <c r="Q3915" i="11" s="1"/>
  <c r="P3916" i="11"/>
  <c r="P3917" i="11"/>
  <c r="Q3917" i="11"/>
  <c r="P3918" i="11"/>
  <c r="P3919" i="11"/>
  <c r="Q3919" i="11"/>
  <c r="P3920" i="11"/>
  <c r="P3921" i="11"/>
  <c r="Q3921" i="11"/>
  <c r="P3922" i="11"/>
  <c r="P3923" i="11"/>
  <c r="Q3923" i="11" s="1"/>
  <c r="P3924" i="11"/>
  <c r="P3925" i="11"/>
  <c r="Q3925" i="11"/>
  <c r="P3926" i="11"/>
  <c r="P3927" i="11"/>
  <c r="Q3927" i="11"/>
  <c r="P3928" i="11"/>
  <c r="P3929" i="11"/>
  <c r="Q3929" i="11"/>
  <c r="P3930" i="11"/>
  <c r="P3931" i="11"/>
  <c r="Q3931" i="11" s="1"/>
  <c r="P3932" i="11"/>
  <c r="P3933" i="11"/>
  <c r="Q3933" i="11"/>
  <c r="P3934" i="11"/>
  <c r="P3935" i="11"/>
  <c r="Q3935" i="11"/>
  <c r="P3936" i="11"/>
  <c r="P3937" i="11"/>
  <c r="Q3937" i="11"/>
  <c r="P3938" i="11"/>
  <c r="P3939" i="11"/>
  <c r="Q3939" i="11" s="1"/>
  <c r="P3940" i="11"/>
  <c r="P3941" i="11"/>
  <c r="Q3941" i="11"/>
  <c r="P3942" i="11"/>
  <c r="P3943" i="11"/>
  <c r="Q3943" i="11"/>
  <c r="P3944" i="11"/>
  <c r="P3945" i="11"/>
  <c r="Q3945" i="11"/>
  <c r="P3946" i="11"/>
  <c r="P3947" i="11"/>
  <c r="Q3947" i="11" s="1"/>
  <c r="P3948" i="11"/>
  <c r="P3949" i="11"/>
  <c r="Q3949" i="11"/>
  <c r="P3950" i="11"/>
  <c r="P3951" i="11"/>
  <c r="Q3951" i="11"/>
  <c r="P3952" i="11"/>
  <c r="P3953" i="11"/>
  <c r="Q3953" i="11"/>
  <c r="P3954" i="11"/>
  <c r="P3955" i="11"/>
  <c r="Q3955" i="11" s="1"/>
  <c r="P3956" i="11"/>
  <c r="P3957" i="11"/>
  <c r="Q3957" i="11"/>
  <c r="P3958" i="11"/>
  <c r="P3959" i="11"/>
  <c r="Q3959" i="11"/>
  <c r="P3960" i="11"/>
  <c r="P3961" i="11"/>
  <c r="Q3961" i="11"/>
  <c r="P3962" i="11"/>
  <c r="P3963" i="11"/>
  <c r="Q3963" i="11" s="1"/>
  <c r="P3964" i="11"/>
  <c r="P3965" i="11"/>
  <c r="Q3965" i="11"/>
  <c r="P3966" i="11"/>
  <c r="P3967" i="11"/>
  <c r="Q3967" i="11"/>
  <c r="P3968" i="11"/>
  <c r="P3969" i="11"/>
  <c r="Q3969" i="11"/>
  <c r="P3970" i="11"/>
  <c r="P3971" i="11"/>
  <c r="Q3971" i="11" s="1"/>
  <c r="P3972" i="11"/>
  <c r="P3973" i="11"/>
  <c r="Q3973" i="11"/>
  <c r="P3974" i="11"/>
  <c r="P3975" i="11"/>
  <c r="Q3975" i="11"/>
  <c r="P3976" i="11"/>
  <c r="P3977" i="11"/>
  <c r="Q3977" i="11"/>
  <c r="P3978" i="11"/>
  <c r="P3979" i="11"/>
  <c r="Q3979" i="11" s="1"/>
  <c r="P3980" i="11"/>
  <c r="P3981" i="11"/>
  <c r="Q3981" i="11"/>
  <c r="P3982" i="11"/>
  <c r="P3983" i="11"/>
  <c r="Q3983" i="11"/>
  <c r="P3984" i="11"/>
  <c r="P3985" i="11"/>
  <c r="Q3985" i="11"/>
  <c r="P3986" i="11"/>
  <c r="P3987" i="11"/>
  <c r="Q3987" i="11" s="1"/>
  <c r="P3988" i="11"/>
  <c r="P3989" i="11"/>
  <c r="Q3989" i="11"/>
  <c r="P3990" i="11"/>
  <c r="P3991" i="11"/>
  <c r="Q3991" i="11"/>
  <c r="P3992" i="11"/>
  <c r="P3993" i="11"/>
  <c r="Q3993" i="11"/>
  <c r="P3994" i="11"/>
  <c r="P3995" i="11"/>
  <c r="Q3995" i="11" s="1"/>
  <c r="P3996" i="11"/>
  <c r="P3997" i="11"/>
  <c r="Q3997" i="11"/>
  <c r="P3998" i="11"/>
  <c r="P3999" i="11"/>
  <c r="Q3999" i="11"/>
  <c r="P4000" i="11"/>
  <c r="P4001" i="11"/>
  <c r="Q4001" i="11"/>
  <c r="P4002" i="11"/>
  <c r="P4003" i="11"/>
  <c r="Q4003" i="11" s="1"/>
  <c r="P4004" i="11"/>
  <c r="P4005" i="11"/>
  <c r="Q4005" i="11"/>
  <c r="P4006" i="11"/>
  <c r="P4007" i="11"/>
  <c r="Q4007" i="11"/>
  <c r="P4008" i="11"/>
  <c r="P4009" i="11"/>
  <c r="Q4009" i="11"/>
  <c r="P4010" i="11"/>
  <c r="P4011" i="11"/>
  <c r="Q4011" i="11" s="1"/>
  <c r="P4012" i="11"/>
  <c r="P4013" i="11"/>
  <c r="Q4013" i="11"/>
  <c r="P4014" i="11"/>
  <c r="P4015" i="11"/>
  <c r="Q4015" i="11"/>
  <c r="P4016" i="11"/>
  <c r="P4017" i="11"/>
  <c r="Q4017" i="11"/>
  <c r="P4018" i="11"/>
  <c r="P4019" i="11"/>
  <c r="Q4019" i="11" s="1"/>
  <c r="P4020" i="11"/>
  <c r="P4021" i="11"/>
  <c r="Q4021" i="11"/>
  <c r="P4022" i="11"/>
  <c r="P4023" i="11"/>
  <c r="Q4023" i="11"/>
  <c r="P4024" i="11"/>
  <c r="P4025" i="11"/>
  <c r="Q4025" i="11"/>
  <c r="P4026" i="11"/>
  <c r="P4027" i="11"/>
  <c r="Q4027" i="11" s="1"/>
  <c r="P4028" i="11"/>
  <c r="P4029" i="11"/>
  <c r="Q4029" i="11"/>
  <c r="P4030" i="11"/>
  <c r="P4031" i="11"/>
  <c r="Q4031" i="11"/>
  <c r="P4032" i="11"/>
  <c r="P4033" i="11"/>
  <c r="Q4033" i="11"/>
  <c r="P4034" i="11"/>
  <c r="P4035" i="11"/>
  <c r="Q4035" i="11" s="1"/>
  <c r="P4036" i="11"/>
  <c r="P4037" i="11"/>
  <c r="Q4037" i="11"/>
  <c r="P4038" i="11"/>
  <c r="P4039" i="11"/>
  <c r="Q4039" i="11"/>
  <c r="P4040" i="11"/>
  <c r="P4041" i="11"/>
  <c r="Q4041" i="11"/>
  <c r="P4042" i="11"/>
  <c r="P4043" i="11"/>
  <c r="Q4043" i="11" s="1"/>
  <c r="P4044" i="11"/>
  <c r="P4045" i="11"/>
  <c r="Q4045" i="11"/>
  <c r="P4046" i="11"/>
  <c r="P4047" i="11"/>
  <c r="Q4047" i="11"/>
  <c r="P4048" i="11"/>
  <c r="P4049" i="11"/>
  <c r="Q4049" i="11"/>
  <c r="P4050" i="11"/>
  <c r="P4051" i="11"/>
  <c r="Q4051" i="11" s="1"/>
  <c r="P4052" i="11"/>
  <c r="P4053" i="11"/>
  <c r="Q4053" i="11"/>
  <c r="P4054" i="11"/>
  <c r="P4055" i="11"/>
  <c r="Q4055" i="11"/>
  <c r="P4056" i="11"/>
  <c r="P4057" i="11"/>
  <c r="Q4057" i="11"/>
  <c r="P4058" i="11"/>
  <c r="P4059" i="11"/>
  <c r="Q4059" i="11" s="1"/>
  <c r="P4060" i="11"/>
  <c r="P4061" i="11"/>
  <c r="Q4061" i="11"/>
  <c r="P4062" i="11"/>
  <c r="P4063" i="11"/>
  <c r="Q4063" i="11"/>
  <c r="P4064" i="11"/>
  <c r="P4065" i="11"/>
  <c r="Q4065" i="11"/>
  <c r="P4066" i="11"/>
  <c r="P4067" i="11"/>
  <c r="Q4067" i="11" s="1"/>
  <c r="P4068" i="11"/>
  <c r="P4069" i="11"/>
  <c r="Q4069" i="11"/>
  <c r="P4070" i="11"/>
  <c r="P4071" i="11"/>
  <c r="Q4071" i="11"/>
  <c r="P4072" i="11"/>
  <c r="P4073" i="11"/>
  <c r="Q4073" i="11"/>
  <c r="P4074" i="11"/>
  <c r="P4075" i="11"/>
  <c r="Q4075" i="11" s="1"/>
  <c r="P4076" i="11"/>
  <c r="P4077" i="11"/>
  <c r="Q4077" i="11"/>
  <c r="P4078" i="11"/>
  <c r="P4079" i="11"/>
  <c r="Q4079" i="11"/>
  <c r="P4080" i="11"/>
  <c r="P4081" i="11"/>
  <c r="Q4081" i="11"/>
  <c r="P4082" i="11"/>
  <c r="P4083" i="11"/>
  <c r="Q4083" i="11" s="1"/>
  <c r="P4084" i="11"/>
  <c r="P4085" i="11"/>
  <c r="Q4085" i="11"/>
  <c r="P4086" i="11"/>
  <c r="P4087" i="11"/>
  <c r="Q4087" i="11"/>
  <c r="P4088" i="11"/>
  <c r="P4089" i="11"/>
  <c r="Q4089" i="11"/>
  <c r="P4090" i="11"/>
  <c r="P4091" i="11"/>
  <c r="Q4091" i="11" s="1"/>
  <c r="P4092" i="11"/>
  <c r="P4093" i="11"/>
  <c r="Q4093" i="11"/>
  <c r="P4094" i="11"/>
  <c r="P4095" i="11"/>
  <c r="Q4095" i="11"/>
  <c r="P4096" i="11"/>
  <c r="P4097" i="11"/>
  <c r="Q4097" i="11"/>
  <c r="P4098" i="11"/>
  <c r="P4099" i="11"/>
  <c r="Q4099" i="11" s="1"/>
  <c r="P4100" i="11"/>
  <c r="P4101" i="11"/>
  <c r="Q4101" i="11"/>
  <c r="P4102" i="11"/>
  <c r="P4103" i="11"/>
  <c r="Q4103" i="11"/>
  <c r="P4104" i="11"/>
  <c r="P4105" i="11"/>
  <c r="Q4105" i="11"/>
  <c r="P4106" i="11"/>
  <c r="P4107" i="11"/>
  <c r="Q4107" i="11" s="1"/>
  <c r="P4108" i="11"/>
  <c r="P4109" i="11"/>
  <c r="Q4109" i="11"/>
  <c r="P4110" i="11"/>
  <c r="P4111" i="11"/>
  <c r="Q4111" i="11"/>
  <c r="P4112" i="11"/>
  <c r="P4113" i="11"/>
  <c r="Q4113" i="11"/>
  <c r="P4114" i="11"/>
  <c r="P4115" i="11"/>
  <c r="Q4115" i="11" s="1"/>
  <c r="P4116" i="11"/>
  <c r="P4117" i="11"/>
  <c r="Q4117" i="11"/>
  <c r="P4118" i="11"/>
  <c r="P4119" i="11"/>
  <c r="Q4119" i="11"/>
  <c r="P4120" i="11"/>
  <c r="P4121" i="11"/>
  <c r="Q4121" i="11"/>
  <c r="P4122" i="11"/>
  <c r="P4123" i="11"/>
  <c r="Q4123" i="11" s="1"/>
  <c r="P4124" i="11"/>
  <c r="P4125" i="11"/>
  <c r="Q4125" i="11"/>
  <c r="P4126" i="11"/>
  <c r="P4127" i="11"/>
  <c r="Q4127" i="11"/>
  <c r="P4128" i="11"/>
  <c r="P4129" i="11"/>
  <c r="Q4129" i="11"/>
  <c r="P4130" i="11"/>
  <c r="P4131" i="11"/>
  <c r="Q4131" i="11" s="1"/>
  <c r="P4132" i="11"/>
  <c r="P4133" i="11"/>
  <c r="Q4133" i="11"/>
  <c r="P4134" i="11"/>
  <c r="P4135" i="11"/>
  <c r="Q4135" i="11"/>
  <c r="P4136" i="11"/>
  <c r="P4137" i="11"/>
  <c r="Q4137" i="11"/>
  <c r="P4138" i="11"/>
  <c r="P4139" i="11"/>
  <c r="Q4139" i="11" s="1"/>
  <c r="P4140" i="11"/>
  <c r="P4141" i="11"/>
  <c r="Q4141" i="11"/>
  <c r="P4142" i="11"/>
  <c r="P4143" i="11"/>
  <c r="Q4143" i="11"/>
  <c r="P4144" i="11"/>
  <c r="P4145" i="11"/>
  <c r="Q4145" i="11"/>
  <c r="P4146" i="11"/>
  <c r="P4147" i="11"/>
  <c r="Q4147" i="11" s="1"/>
  <c r="P4148" i="11"/>
  <c r="P4149" i="11"/>
  <c r="Q4149" i="11"/>
  <c r="P4150" i="11"/>
  <c r="P4151" i="11"/>
  <c r="Q4151" i="11"/>
  <c r="P4152" i="11"/>
  <c r="P4153" i="11"/>
  <c r="Q4153" i="11"/>
  <c r="P4154" i="11"/>
  <c r="P4155" i="11"/>
  <c r="Q4155" i="11" s="1"/>
  <c r="P4156" i="11"/>
  <c r="P4157" i="11"/>
  <c r="Q4157" i="11"/>
  <c r="P4158" i="11"/>
  <c r="P4159" i="11"/>
  <c r="Q4159" i="11"/>
  <c r="P4160" i="11"/>
  <c r="P4161" i="11"/>
  <c r="Q4161" i="11"/>
  <c r="P4162" i="11"/>
  <c r="P4163" i="11"/>
  <c r="Q4163" i="11" s="1"/>
  <c r="P4164" i="11"/>
  <c r="P4165" i="11"/>
  <c r="Q4165" i="11"/>
  <c r="P4166" i="11"/>
  <c r="P4167" i="11"/>
  <c r="Q4167" i="11"/>
  <c r="P4168" i="11"/>
  <c r="P4169" i="11"/>
  <c r="Q4169" i="11"/>
  <c r="P4170" i="11"/>
  <c r="P4171" i="11"/>
  <c r="Q4171" i="11" s="1"/>
  <c r="P4172" i="11"/>
  <c r="P4173" i="11"/>
  <c r="Q4173" i="11"/>
  <c r="P4174" i="11"/>
  <c r="P4175" i="11"/>
  <c r="Q4175" i="11"/>
  <c r="P4176" i="11"/>
  <c r="P4177" i="11"/>
  <c r="Q4177" i="11"/>
  <c r="P4178" i="11"/>
  <c r="P4179" i="11"/>
  <c r="Q4179" i="11" s="1"/>
  <c r="P4180" i="11"/>
  <c r="P4181" i="11"/>
  <c r="Q4181" i="11"/>
  <c r="P4182" i="11"/>
  <c r="P4183" i="11"/>
  <c r="Q4183" i="11"/>
  <c r="P4184" i="11"/>
  <c r="P4185" i="11"/>
  <c r="Q4185" i="11"/>
  <c r="P4186" i="11"/>
  <c r="P4187" i="11"/>
  <c r="Q4187" i="11" s="1"/>
  <c r="P4188" i="11"/>
  <c r="P4189" i="11"/>
  <c r="Q4189" i="11"/>
  <c r="P4190" i="11"/>
  <c r="P4191" i="11"/>
  <c r="Q4191" i="11"/>
  <c r="P4192" i="11"/>
  <c r="P4193" i="11"/>
  <c r="Q4193" i="11"/>
  <c r="P4194" i="11"/>
  <c r="P4195" i="11"/>
  <c r="Q4195" i="11" s="1"/>
  <c r="P4196" i="11"/>
  <c r="P4197" i="11"/>
  <c r="Q4197" i="11"/>
  <c r="P4198" i="11"/>
  <c r="P4199" i="11"/>
  <c r="Q4199" i="11"/>
  <c r="P4200" i="11"/>
  <c r="P4201" i="11"/>
  <c r="Q4201" i="11"/>
  <c r="P4202" i="11"/>
  <c r="P4203" i="11"/>
  <c r="Q4203" i="11" s="1"/>
  <c r="P4204" i="11"/>
  <c r="P4205" i="11"/>
  <c r="Q4205" i="11"/>
  <c r="P4206" i="11"/>
  <c r="P4207" i="11"/>
  <c r="Q4207" i="11"/>
  <c r="P4208" i="11"/>
  <c r="P4209" i="11"/>
  <c r="Q4209" i="11"/>
  <c r="P4210" i="11"/>
  <c r="P4211" i="11"/>
  <c r="Q4211" i="11" s="1"/>
  <c r="P4212" i="11"/>
  <c r="P4213" i="11"/>
  <c r="Q4213" i="11"/>
  <c r="P4214" i="11"/>
  <c r="P4215" i="11"/>
  <c r="Q4215" i="11"/>
  <c r="P4216" i="11"/>
  <c r="P4217" i="11"/>
  <c r="Q4217" i="11"/>
  <c r="P4218" i="11"/>
  <c r="P4219" i="11"/>
  <c r="Q4219" i="11" s="1"/>
  <c r="P4220" i="11"/>
  <c r="P4221" i="11"/>
  <c r="Q4221" i="11"/>
  <c r="P4222" i="11"/>
  <c r="P4223" i="11"/>
  <c r="Q4223" i="11"/>
  <c r="P4224" i="11"/>
  <c r="P4225" i="11"/>
  <c r="Q4225" i="11"/>
  <c r="P4226" i="11"/>
  <c r="P4227" i="11"/>
  <c r="Q4227" i="11" s="1"/>
  <c r="P4228" i="11"/>
  <c r="P4229" i="11"/>
  <c r="Q4229" i="11"/>
  <c r="P4230" i="11"/>
  <c r="P4231" i="11"/>
  <c r="Q4231" i="11"/>
  <c r="P4232" i="11"/>
  <c r="P4233" i="11"/>
  <c r="Q4233" i="11"/>
  <c r="P4234" i="11"/>
  <c r="P4235" i="11"/>
  <c r="Q4235" i="11" s="1"/>
  <c r="P4236" i="11"/>
  <c r="P4237" i="11"/>
  <c r="Q4237" i="11"/>
  <c r="P4238" i="11"/>
  <c r="P4239" i="11"/>
  <c r="Q4239" i="11"/>
  <c r="P4240" i="11"/>
  <c r="P4241" i="11"/>
  <c r="Q4241" i="11"/>
  <c r="P4242" i="11"/>
  <c r="P4243" i="11"/>
  <c r="Q4243" i="11" s="1"/>
  <c r="P4244" i="11"/>
  <c r="P4245" i="11"/>
  <c r="Q4245" i="11"/>
  <c r="P4246" i="11"/>
  <c r="P4247" i="11"/>
  <c r="Q4247" i="11"/>
  <c r="P4248" i="11"/>
  <c r="P4249" i="11"/>
  <c r="Q4249" i="11"/>
  <c r="P4250" i="11"/>
  <c r="P4251" i="11"/>
  <c r="Q4251" i="11" s="1"/>
  <c r="P4252" i="11"/>
  <c r="P4253" i="11"/>
  <c r="Q4253" i="11"/>
  <c r="P4254" i="11"/>
  <c r="P4255" i="11"/>
  <c r="Q4255" i="11"/>
  <c r="P4256" i="11"/>
  <c r="P4257" i="11"/>
  <c r="Q4257" i="11"/>
  <c r="P4258" i="11"/>
  <c r="P4259" i="11"/>
  <c r="Q4259" i="11" s="1"/>
  <c r="P4260" i="11"/>
  <c r="P4261" i="11"/>
  <c r="Q4261" i="11"/>
  <c r="P4262" i="11"/>
  <c r="P4263" i="11"/>
  <c r="Q4263" i="11"/>
  <c r="P4264" i="11"/>
  <c r="P4265" i="11"/>
  <c r="Q4265" i="11"/>
  <c r="P4266" i="11"/>
  <c r="P4267" i="11"/>
  <c r="Q4267" i="11" s="1"/>
  <c r="P4268" i="11"/>
  <c r="P4269" i="11"/>
  <c r="Q4269" i="11"/>
  <c r="P4270" i="11"/>
  <c r="P4271" i="11"/>
  <c r="Q4271" i="11"/>
  <c r="P4272" i="11"/>
  <c r="P4273" i="11"/>
  <c r="Q4273" i="11"/>
  <c r="P4274" i="11"/>
  <c r="P4275" i="11"/>
  <c r="Q4275" i="11" s="1"/>
  <c r="P4276" i="11"/>
  <c r="P4277" i="11"/>
  <c r="Q4277" i="11"/>
  <c r="P4278" i="11"/>
  <c r="P4279" i="11"/>
  <c r="Q4279" i="11"/>
  <c r="P4280" i="11"/>
  <c r="P4281" i="11"/>
  <c r="Q4281" i="11"/>
  <c r="P4282" i="11"/>
  <c r="P4283" i="11"/>
  <c r="Q4283" i="11" s="1"/>
  <c r="P4284" i="11"/>
  <c r="P4285" i="11"/>
  <c r="Q4285" i="11"/>
  <c r="P4286" i="11"/>
  <c r="P4287" i="11"/>
  <c r="Q4287" i="11"/>
  <c r="P4288" i="11"/>
  <c r="P4289" i="11"/>
  <c r="Q4289" i="11"/>
  <c r="P4290" i="11"/>
  <c r="P4291" i="11"/>
  <c r="Q4291" i="11" s="1"/>
  <c r="P4292" i="11"/>
  <c r="P4293" i="11"/>
  <c r="Q4293" i="11"/>
  <c r="P4294" i="11"/>
  <c r="P4295" i="11"/>
  <c r="Q4295" i="11"/>
  <c r="P4296" i="11"/>
  <c r="P4297" i="11"/>
  <c r="Q4297" i="11"/>
  <c r="P4298" i="11"/>
  <c r="P4299" i="11"/>
  <c r="Q4299" i="11" s="1"/>
  <c r="P4300" i="11"/>
  <c r="P4301" i="11"/>
  <c r="Q4301" i="11"/>
  <c r="P4302" i="11"/>
  <c r="P4303" i="11"/>
  <c r="Q4303" i="11"/>
  <c r="P4304" i="11"/>
  <c r="P4305" i="11"/>
  <c r="Q4305" i="11"/>
  <c r="P4306" i="11"/>
  <c r="P4307" i="11"/>
  <c r="Q4307" i="11" s="1"/>
  <c r="P4308" i="11"/>
  <c r="P4309" i="11"/>
  <c r="Q4309" i="11"/>
  <c r="P4310" i="11"/>
  <c r="P4311" i="11"/>
  <c r="Q4311" i="11"/>
  <c r="P4312" i="11"/>
  <c r="P4313" i="11"/>
  <c r="Q4313" i="11"/>
  <c r="P4314" i="11"/>
  <c r="P4315" i="11"/>
  <c r="Q4315" i="11" s="1"/>
  <c r="P4316" i="11"/>
  <c r="P4317" i="11"/>
  <c r="Q4317" i="11"/>
  <c r="P4318" i="11"/>
  <c r="P4319" i="11"/>
  <c r="Q4319" i="11"/>
  <c r="P4320" i="11"/>
  <c r="P4321" i="11"/>
  <c r="Q4321" i="11"/>
  <c r="P4322" i="11"/>
  <c r="P4323" i="11"/>
  <c r="Q4323" i="11" s="1"/>
  <c r="P4324" i="11"/>
  <c r="P4325" i="11"/>
  <c r="Q4325" i="11"/>
  <c r="P4326" i="11"/>
  <c r="P4327" i="11"/>
  <c r="Q4327" i="11"/>
  <c r="P4328" i="11"/>
  <c r="P4329" i="11"/>
  <c r="Q4329" i="11"/>
  <c r="P4330" i="11"/>
  <c r="P4331" i="11"/>
  <c r="Q4331" i="11" s="1"/>
  <c r="P4332" i="11"/>
  <c r="P4333" i="11"/>
  <c r="Q4333" i="11"/>
  <c r="P4334" i="11"/>
  <c r="P4335" i="11"/>
  <c r="Q4335" i="11"/>
  <c r="P4336" i="11"/>
  <c r="P4337" i="11"/>
  <c r="Q4337" i="11"/>
  <c r="P4338" i="11"/>
  <c r="P4339" i="11"/>
  <c r="Q4339" i="11" s="1"/>
  <c r="P4340" i="11"/>
  <c r="P4341" i="11"/>
  <c r="Q4341" i="11"/>
  <c r="P4342" i="11"/>
  <c r="P4343" i="11"/>
  <c r="Q4343" i="11"/>
  <c r="P4344" i="11"/>
  <c r="P4345" i="11"/>
  <c r="Q4345" i="11"/>
  <c r="P4346" i="11"/>
  <c r="P4347" i="11"/>
  <c r="Q4347" i="11" s="1"/>
  <c r="P4348" i="11"/>
  <c r="P4349" i="11"/>
  <c r="Q4349" i="11"/>
  <c r="P4350" i="11"/>
  <c r="P4351" i="11"/>
  <c r="Q4351" i="11"/>
  <c r="P4352" i="11"/>
  <c r="P4353" i="11"/>
  <c r="Q4353" i="11"/>
  <c r="P4354" i="11"/>
  <c r="P4355" i="11"/>
  <c r="Q4355" i="11" s="1"/>
  <c r="P4356" i="11"/>
  <c r="P4357" i="11"/>
  <c r="Q4357" i="11"/>
  <c r="P4358" i="11"/>
  <c r="P4359" i="11"/>
  <c r="Q4359" i="11"/>
  <c r="P4360" i="11"/>
  <c r="P4361" i="11"/>
  <c r="Q4361" i="11"/>
  <c r="P4362" i="11"/>
  <c r="P4363" i="11"/>
  <c r="Q4363" i="11" s="1"/>
  <c r="P4364" i="11"/>
  <c r="P4365" i="11"/>
  <c r="Q4365" i="11"/>
  <c r="P4366" i="11"/>
  <c r="P4367" i="11"/>
  <c r="Q4367" i="11"/>
  <c r="P4368" i="11"/>
  <c r="P4369" i="11"/>
  <c r="Q4369" i="11"/>
  <c r="P4370" i="11"/>
  <c r="P4371" i="11"/>
  <c r="Q4371" i="11" s="1"/>
  <c r="P4372" i="11"/>
  <c r="P4373" i="11"/>
  <c r="Q4373" i="11"/>
  <c r="P4374" i="11"/>
  <c r="P4375" i="11"/>
  <c r="Q4375" i="11"/>
  <c r="P4376" i="11"/>
  <c r="P4377" i="11"/>
  <c r="Q4377" i="11"/>
  <c r="P4378" i="11"/>
  <c r="P4379" i="11"/>
  <c r="Q4379" i="11" s="1"/>
  <c r="P4380" i="11"/>
  <c r="P4381" i="11"/>
  <c r="Q4381" i="11"/>
  <c r="P4382" i="11"/>
  <c r="P4383" i="11"/>
  <c r="Q4383" i="11"/>
  <c r="P4384" i="11"/>
  <c r="P4385" i="11"/>
  <c r="Q4385" i="11"/>
  <c r="P4386" i="11"/>
  <c r="P4387" i="11"/>
  <c r="Q4387" i="11" s="1"/>
  <c r="P4388" i="11"/>
  <c r="P4389" i="11"/>
  <c r="Q4389" i="11"/>
  <c r="P4390" i="11"/>
  <c r="P4391" i="11"/>
  <c r="Q4391" i="11"/>
  <c r="P4392" i="11"/>
  <c r="P4393" i="11"/>
  <c r="Q4393" i="11"/>
  <c r="P4394" i="11"/>
  <c r="P4395" i="11"/>
  <c r="Q4395" i="11" s="1"/>
  <c r="P4396" i="11"/>
  <c r="P4397" i="11"/>
  <c r="Q4397" i="11"/>
  <c r="P4398" i="11"/>
  <c r="P4399" i="11"/>
  <c r="Q4399" i="11"/>
  <c r="P4400" i="11"/>
  <c r="P4401" i="11"/>
  <c r="Q4401" i="11"/>
  <c r="P4402" i="11"/>
  <c r="P4403" i="11"/>
  <c r="Q4403" i="11" s="1"/>
  <c r="P4404" i="11"/>
  <c r="P4405" i="11"/>
  <c r="Q4405" i="11"/>
  <c r="P4406" i="11"/>
  <c r="P4407" i="11"/>
  <c r="Q4407" i="11"/>
  <c r="P4408" i="11"/>
  <c r="P4409" i="11"/>
  <c r="Q4409" i="11"/>
  <c r="P4410" i="11"/>
  <c r="P4411" i="11"/>
  <c r="Q4411" i="11" s="1"/>
  <c r="P4412" i="11"/>
  <c r="P4413" i="11"/>
  <c r="Q4413" i="11"/>
  <c r="P4414" i="11"/>
  <c r="P4415" i="11"/>
  <c r="Q4415" i="11"/>
  <c r="P4416" i="11"/>
  <c r="P4417" i="11"/>
  <c r="Q4417" i="11"/>
  <c r="P4418" i="11"/>
  <c r="P4419" i="11"/>
  <c r="Q4419" i="11" s="1"/>
  <c r="P4420" i="11"/>
  <c r="P4421" i="11"/>
  <c r="Q4421" i="11"/>
  <c r="P4422" i="11"/>
  <c r="P4423" i="11"/>
  <c r="Q4423" i="11"/>
  <c r="P4424" i="11"/>
  <c r="P4425" i="11"/>
  <c r="Q4425" i="11"/>
  <c r="P4426" i="11"/>
  <c r="P4427" i="11"/>
  <c r="Q4427" i="11" s="1"/>
  <c r="P4428" i="11"/>
  <c r="P4429" i="11"/>
  <c r="Q4429" i="11"/>
  <c r="P4430" i="11"/>
  <c r="P4431" i="11"/>
  <c r="Q4431" i="11"/>
  <c r="P4432" i="11"/>
  <c r="P4433" i="11"/>
  <c r="Q4433" i="11"/>
  <c r="P4434" i="11"/>
  <c r="P4435" i="11"/>
  <c r="Q4435" i="11" s="1"/>
  <c r="P4436" i="11"/>
  <c r="P4437" i="11"/>
  <c r="Q4437" i="11"/>
  <c r="P4438" i="11"/>
  <c r="P4439" i="11"/>
  <c r="Q4439" i="11"/>
  <c r="P4440" i="11"/>
  <c r="P4441" i="11"/>
  <c r="Q4441" i="11"/>
  <c r="P4442" i="11"/>
  <c r="P4443" i="11"/>
  <c r="Q4443" i="11" s="1"/>
  <c r="P4444" i="11"/>
  <c r="P4445" i="11"/>
  <c r="Q4445" i="11"/>
  <c r="P4446" i="11"/>
  <c r="P4447" i="11"/>
  <c r="Q4447" i="11"/>
  <c r="P4448" i="11"/>
  <c r="P4449" i="11"/>
  <c r="Q4449" i="11"/>
  <c r="P4450" i="11"/>
  <c r="P4451" i="11"/>
  <c r="Q4451" i="11" s="1"/>
  <c r="P4452" i="11"/>
  <c r="P4453" i="11"/>
  <c r="Q4453" i="11"/>
  <c r="P4454" i="11"/>
  <c r="P4455" i="11"/>
  <c r="Q4455" i="11"/>
  <c r="P4456" i="11"/>
  <c r="P4457" i="11"/>
  <c r="Q4457" i="11"/>
  <c r="P4458" i="11"/>
  <c r="P4459" i="11"/>
  <c r="Q4459" i="11" s="1"/>
  <c r="P4460" i="11"/>
  <c r="P4461" i="11"/>
  <c r="Q4461" i="11"/>
  <c r="P4462" i="11"/>
  <c r="P4463" i="11"/>
  <c r="Q4463" i="11"/>
  <c r="P4464" i="11"/>
  <c r="P4465" i="11"/>
  <c r="Q4465" i="11"/>
  <c r="P4466" i="11"/>
  <c r="P4467" i="11"/>
  <c r="Q4467" i="11" s="1"/>
  <c r="P4468" i="11"/>
  <c r="P4469" i="11"/>
  <c r="Q4469" i="11"/>
  <c r="P4470" i="11"/>
  <c r="P4471" i="11"/>
  <c r="Q4471" i="11"/>
  <c r="P4472" i="11"/>
  <c r="P4473" i="11"/>
  <c r="Q4473" i="11"/>
  <c r="P4474" i="11"/>
  <c r="P4475" i="11"/>
  <c r="Q4475" i="11" s="1"/>
  <c r="P4476" i="11"/>
  <c r="P4477" i="11"/>
  <c r="Q4477" i="11"/>
  <c r="P4478" i="11"/>
  <c r="P4479" i="11"/>
  <c r="Q4479" i="11"/>
  <c r="P4480" i="11"/>
  <c r="P4481" i="11"/>
  <c r="Q4481" i="11"/>
  <c r="P4482" i="11"/>
  <c r="P4483" i="11"/>
  <c r="Q4483" i="11" s="1"/>
  <c r="P4484" i="11"/>
  <c r="P4485" i="11"/>
  <c r="Q4485" i="11"/>
  <c r="P4486" i="11"/>
  <c r="P4487" i="11"/>
  <c r="Q4487" i="11"/>
  <c r="P4488" i="11"/>
  <c r="P4489" i="11"/>
  <c r="Q4489" i="11"/>
  <c r="P4490" i="11"/>
  <c r="P4491" i="11"/>
  <c r="Q4491" i="11" s="1"/>
  <c r="P4492" i="11"/>
  <c r="P4493" i="11"/>
  <c r="Q4493" i="11"/>
  <c r="P4494" i="11"/>
  <c r="P4495" i="11"/>
  <c r="Q4495" i="11"/>
  <c r="P4496" i="11"/>
  <c r="P4497" i="11"/>
  <c r="Q4497" i="11"/>
  <c r="P4498" i="11"/>
  <c r="P4499" i="11"/>
  <c r="Q4499" i="11" s="1"/>
  <c r="P4500" i="11"/>
  <c r="P4501" i="11"/>
  <c r="Q4501" i="11"/>
  <c r="P4502" i="11"/>
  <c r="P4503" i="11"/>
  <c r="Q4503" i="11"/>
  <c r="P4504" i="11"/>
  <c r="P4505" i="11"/>
  <c r="Q4505" i="11"/>
  <c r="P4506" i="11"/>
  <c r="P4507" i="11"/>
  <c r="Q4507" i="11" s="1"/>
  <c r="P4508" i="11"/>
  <c r="P4509" i="11"/>
  <c r="Q4509" i="11"/>
  <c r="P4510" i="11"/>
  <c r="P4511" i="11"/>
  <c r="Q4511" i="11"/>
  <c r="P4512" i="11"/>
  <c r="P4513" i="11"/>
  <c r="Q4513" i="11"/>
  <c r="P4514" i="11"/>
  <c r="P4515" i="11"/>
  <c r="Q4515" i="11" s="1"/>
  <c r="P4516" i="11"/>
  <c r="P4517" i="11"/>
  <c r="Q4517" i="11"/>
  <c r="P4518" i="11"/>
  <c r="P4519" i="11"/>
  <c r="Q4519" i="11"/>
  <c r="P4520" i="11"/>
  <c r="P4521" i="11"/>
  <c r="Q4521" i="11"/>
  <c r="P4522" i="11"/>
  <c r="P4523" i="11"/>
  <c r="Q4523" i="11" s="1"/>
  <c r="P4524" i="11"/>
  <c r="P4525" i="11"/>
  <c r="Q4525" i="11"/>
  <c r="P4526" i="11"/>
  <c r="P4527" i="11"/>
  <c r="Q4527" i="11"/>
  <c r="P4528" i="11"/>
  <c r="P4529" i="11"/>
  <c r="Q4529" i="11"/>
  <c r="P4530" i="11"/>
  <c r="P4531" i="11"/>
  <c r="Q4531" i="11" s="1"/>
  <c r="P4532" i="11"/>
  <c r="P4533" i="11"/>
  <c r="Q4533" i="11"/>
  <c r="P4534" i="11"/>
  <c r="P4535" i="11"/>
  <c r="Q4535" i="11"/>
  <c r="P4536" i="11"/>
  <c r="P4537" i="11"/>
  <c r="Q4537" i="11"/>
  <c r="P4538" i="11"/>
  <c r="P4539" i="11"/>
  <c r="Q4539" i="11" s="1"/>
  <c r="P4540" i="11"/>
  <c r="P4541" i="11"/>
  <c r="Q4541" i="11"/>
  <c r="P4542" i="11"/>
  <c r="P4543" i="11"/>
  <c r="Q4543" i="11"/>
  <c r="P4544" i="11"/>
  <c r="P4545" i="11"/>
  <c r="Q4545" i="11"/>
  <c r="P4546" i="11"/>
  <c r="P4547" i="11"/>
  <c r="Q4547" i="11" s="1"/>
  <c r="P4548" i="11"/>
  <c r="P4549" i="11"/>
  <c r="Q4549" i="11"/>
  <c r="P4550" i="11"/>
  <c r="P4551" i="11"/>
  <c r="Q4551" i="11"/>
  <c r="P4552" i="11"/>
  <c r="P4553" i="11"/>
  <c r="Q4553" i="11"/>
  <c r="P4554" i="11"/>
  <c r="P4555" i="11"/>
  <c r="Q4555" i="11" s="1"/>
  <c r="P4556" i="11"/>
  <c r="P4557" i="11"/>
  <c r="Q4557" i="11"/>
  <c r="P4558" i="11"/>
  <c r="P4559" i="11"/>
  <c r="Q4559" i="11"/>
  <c r="P4560" i="11"/>
  <c r="P4561" i="11"/>
  <c r="Q4561" i="11"/>
  <c r="P4562" i="11"/>
  <c r="P4563" i="11"/>
  <c r="Q4563" i="11" s="1"/>
  <c r="P4564" i="11"/>
  <c r="P4565" i="11"/>
  <c r="Q4565" i="11"/>
  <c r="P4566" i="11"/>
  <c r="P4567" i="11"/>
  <c r="Q4567" i="11"/>
  <c r="P4568" i="11"/>
  <c r="P4569" i="11"/>
  <c r="Q4569" i="11"/>
  <c r="P4570" i="11"/>
  <c r="P4571" i="11"/>
  <c r="Q4571" i="11" s="1"/>
  <c r="P4572" i="11"/>
  <c r="P4573" i="11"/>
  <c r="Q4573" i="11"/>
  <c r="P4574" i="11"/>
  <c r="P4575" i="11"/>
  <c r="Q4575" i="11"/>
  <c r="P4576" i="11"/>
  <c r="P4577" i="11"/>
  <c r="Q4577" i="11"/>
  <c r="P4578" i="11"/>
  <c r="P4579" i="11"/>
  <c r="Q4579" i="11" s="1"/>
  <c r="P4580" i="11"/>
  <c r="P4581" i="11"/>
  <c r="Q4581" i="11"/>
  <c r="P4582" i="11"/>
  <c r="P4583" i="11"/>
  <c r="Q4583" i="11"/>
  <c r="P4584" i="11"/>
  <c r="P4585" i="11"/>
  <c r="Q4585" i="11"/>
  <c r="P4586" i="11"/>
  <c r="P4587" i="11"/>
  <c r="Q4587" i="11" s="1"/>
  <c r="P4588" i="11"/>
  <c r="P4589" i="11"/>
  <c r="Q4589" i="11"/>
  <c r="P4590" i="11"/>
  <c r="P4591" i="11"/>
  <c r="Q4591" i="11"/>
  <c r="P4592" i="11"/>
  <c r="P4593" i="11"/>
  <c r="Q4593" i="11"/>
  <c r="P4594" i="11"/>
  <c r="P4595" i="11"/>
  <c r="Q4595" i="11" s="1"/>
  <c r="P4596" i="11"/>
  <c r="P4597" i="11"/>
  <c r="Q4597" i="11"/>
  <c r="P4598" i="11"/>
  <c r="P4599" i="11"/>
  <c r="Q4599" i="11"/>
  <c r="P4600" i="11"/>
  <c r="P4601" i="11"/>
  <c r="Q4601" i="11"/>
  <c r="P4602" i="11"/>
  <c r="P4603" i="11"/>
  <c r="Q4603" i="11" s="1"/>
  <c r="P4604" i="11"/>
  <c r="P4605" i="11"/>
  <c r="Q4605" i="11"/>
  <c r="P4606" i="11"/>
  <c r="P4607" i="11"/>
  <c r="Q4607" i="11"/>
  <c r="P4608" i="11"/>
  <c r="P4609" i="11"/>
  <c r="Q4609" i="11"/>
  <c r="P4610" i="11"/>
  <c r="P4611" i="11"/>
  <c r="Q4611" i="11" s="1"/>
  <c r="P4612" i="11"/>
  <c r="P4613" i="11"/>
  <c r="Q4613" i="11"/>
  <c r="P4614" i="11"/>
  <c r="P4615" i="11"/>
  <c r="Q4615" i="11"/>
  <c r="P4616" i="11"/>
  <c r="P4617" i="11"/>
  <c r="Q4617" i="11"/>
  <c r="P4618" i="11"/>
  <c r="P4619" i="11"/>
  <c r="Q4619" i="11" s="1"/>
  <c r="P4620" i="11"/>
  <c r="P4621" i="11"/>
  <c r="Q4621" i="11"/>
  <c r="P4622" i="11"/>
  <c r="P4623" i="11"/>
  <c r="Q4623" i="11"/>
  <c r="P4624" i="11"/>
  <c r="P4625" i="11"/>
  <c r="Q4625" i="11"/>
  <c r="P4626" i="11"/>
  <c r="P4627" i="11"/>
  <c r="Q4627" i="11" s="1"/>
  <c r="P4628" i="11"/>
  <c r="P4629" i="11"/>
  <c r="Q4629" i="11"/>
  <c r="P4630" i="11"/>
  <c r="P4631" i="11"/>
  <c r="Q4631" i="11"/>
  <c r="P4632" i="11"/>
  <c r="P4633" i="11"/>
  <c r="Q4633" i="11"/>
  <c r="P4634" i="11"/>
  <c r="P4635" i="11"/>
  <c r="Q4635" i="11" s="1"/>
  <c r="P4636" i="11"/>
  <c r="P4637" i="11"/>
  <c r="Q4637" i="11"/>
  <c r="P4638" i="11"/>
  <c r="P4639" i="11"/>
  <c r="Q4639" i="11"/>
  <c r="P4640" i="11"/>
  <c r="P4641" i="11"/>
  <c r="Q4641" i="11"/>
  <c r="P4642" i="11"/>
  <c r="P4643" i="11"/>
  <c r="Q4643" i="11" s="1"/>
  <c r="P4644" i="11"/>
  <c r="P4645" i="11"/>
  <c r="Q4645" i="11"/>
  <c r="P4646" i="11"/>
  <c r="P4647" i="11"/>
  <c r="Q4647" i="11"/>
  <c r="P4648" i="11"/>
  <c r="P4649" i="11"/>
  <c r="Q4649" i="11"/>
  <c r="P4650" i="11"/>
  <c r="P4651" i="11"/>
  <c r="Q4651" i="11" s="1"/>
  <c r="P4652" i="11"/>
  <c r="P4653" i="11"/>
  <c r="Q4653" i="11"/>
  <c r="P4654" i="11"/>
  <c r="P4655" i="11"/>
  <c r="Q4655" i="11"/>
  <c r="P4656" i="11"/>
  <c r="P4657" i="11"/>
  <c r="Q4657" i="11"/>
  <c r="P4658" i="11"/>
  <c r="P4659" i="11"/>
  <c r="Q4659" i="11" s="1"/>
  <c r="P4660" i="11"/>
  <c r="P4661" i="11"/>
  <c r="Q4661" i="11"/>
  <c r="P4662" i="11"/>
  <c r="P4663" i="11"/>
  <c r="Q4663" i="11"/>
  <c r="P4664" i="11"/>
  <c r="P4665" i="11"/>
  <c r="Q4665" i="11"/>
  <c r="P4666" i="11"/>
  <c r="P4667" i="11"/>
  <c r="Q4667" i="11" s="1"/>
  <c r="P4668" i="11"/>
  <c r="P4669" i="11"/>
  <c r="Q4669" i="11"/>
  <c r="P4670" i="11"/>
  <c r="P4671" i="11"/>
  <c r="Q4671" i="11"/>
  <c r="P4672" i="11"/>
  <c r="P4673" i="11"/>
  <c r="Q4673" i="11"/>
  <c r="P4674" i="11"/>
  <c r="P4675" i="11"/>
  <c r="Q4675" i="11" s="1"/>
  <c r="P4676" i="11"/>
  <c r="P4677" i="11"/>
  <c r="Q4677" i="11"/>
  <c r="P4678" i="11"/>
  <c r="P4679" i="11"/>
  <c r="Q4679" i="11"/>
  <c r="P4680" i="11"/>
  <c r="P4681" i="11"/>
  <c r="Q4681" i="11"/>
  <c r="P4682" i="11"/>
  <c r="P4683" i="11"/>
  <c r="Q4683" i="11" s="1"/>
  <c r="P4684" i="11"/>
  <c r="P4685" i="11"/>
  <c r="Q4685" i="11"/>
  <c r="P4686" i="11"/>
  <c r="P4687" i="11"/>
  <c r="Q4687" i="11"/>
  <c r="P4688" i="11"/>
  <c r="P4689" i="11"/>
  <c r="Q4689" i="11"/>
  <c r="P4690" i="11"/>
  <c r="P4691" i="11"/>
  <c r="Q4691" i="11" s="1"/>
  <c r="P4692" i="11"/>
  <c r="P4693" i="11"/>
  <c r="Q4693" i="11"/>
  <c r="P4694" i="11"/>
  <c r="P4695" i="11"/>
  <c r="Q4695" i="11"/>
  <c r="P4696" i="11"/>
  <c r="P4697" i="11"/>
  <c r="Q4697" i="11"/>
  <c r="P4698" i="11"/>
  <c r="P4699" i="11"/>
  <c r="Q4699" i="11" s="1"/>
  <c r="P4700" i="11"/>
  <c r="P4701" i="11"/>
  <c r="Q4701" i="11"/>
  <c r="P4702" i="11"/>
  <c r="P4703" i="11"/>
  <c r="Q4703" i="11"/>
  <c r="P4704" i="11"/>
  <c r="P4705" i="11"/>
  <c r="Q4705" i="11"/>
  <c r="P4706" i="11"/>
  <c r="P4707" i="11"/>
  <c r="Q4707" i="11" s="1"/>
  <c r="P4708" i="11"/>
  <c r="P4709" i="11"/>
  <c r="Q4709" i="11"/>
  <c r="P4710" i="11"/>
  <c r="P4711" i="11"/>
  <c r="Q4711" i="11"/>
  <c r="P4712" i="11"/>
  <c r="P4713" i="11"/>
  <c r="Q4713" i="11"/>
  <c r="P4714" i="11"/>
  <c r="P4715" i="11"/>
  <c r="Q4715" i="11" s="1"/>
  <c r="P4716" i="11"/>
  <c r="P4717" i="11"/>
  <c r="Q4717" i="11"/>
  <c r="P4718" i="11"/>
  <c r="P4719" i="11"/>
  <c r="Q4719" i="11"/>
  <c r="P4720" i="11"/>
  <c r="P4721" i="11"/>
  <c r="Q4721" i="11"/>
  <c r="P4722" i="11"/>
  <c r="P4723" i="11"/>
  <c r="Q4723" i="11" s="1"/>
  <c r="P4724" i="11"/>
  <c r="P4725" i="11"/>
  <c r="Q4725" i="11"/>
  <c r="P4726" i="11"/>
  <c r="P4727" i="11"/>
  <c r="Q4727" i="11"/>
  <c r="P4728" i="11"/>
  <c r="P4729" i="11"/>
  <c r="Q4729" i="11"/>
  <c r="P4730" i="11"/>
  <c r="P4731" i="11"/>
  <c r="Q4731" i="11" s="1"/>
  <c r="P4732" i="11"/>
  <c r="P4733" i="11"/>
  <c r="Q4733" i="11"/>
  <c r="P4734" i="11"/>
  <c r="P4735" i="11"/>
  <c r="Q4735" i="11"/>
  <c r="P4736" i="11"/>
  <c r="P4737" i="11"/>
  <c r="Q4737" i="11"/>
  <c r="P4738" i="11"/>
  <c r="P4739" i="11"/>
  <c r="Q4739" i="11" s="1"/>
  <c r="P4740" i="11"/>
  <c r="P4741" i="11"/>
  <c r="Q4741" i="11"/>
  <c r="P4742" i="11"/>
  <c r="P4743" i="11"/>
  <c r="Q4743" i="11"/>
  <c r="P4744" i="11"/>
  <c r="P4745" i="11"/>
  <c r="Q4745" i="11"/>
  <c r="P4746" i="11"/>
  <c r="P4747" i="11"/>
  <c r="Q4747" i="11" s="1"/>
  <c r="P4748" i="11"/>
  <c r="P4749" i="11"/>
  <c r="Q4749" i="11"/>
  <c r="P4750" i="11"/>
  <c r="P4751" i="11"/>
  <c r="Q4751" i="11"/>
  <c r="P4752" i="11"/>
  <c r="P4753" i="11"/>
  <c r="Q4753" i="11"/>
  <c r="P4754" i="11"/>
  <c r="P4755" i="11"/>
  <c r="Q4755" i="11" s="1"/>
  <c r="P4756" i="11"/>
  <c r="P4757" i="11"/>
  <c r="Q4757" i="11"/>
  <c r="P4758" i="11"/>
  <c r="P4759" i="11"/>
  <c r="Q4759" i="11"/>
  <c r="P4760" i="11"/>
  <c r="P4761" i="11"/>
  <c r="Q4761" i="11"/>
  <c r="P4762" i="11"/>
  <c r="P4763" i="11"/>
  <c r="Q4763" i="11" s="1"/>
  <c r="P4764" i="11"/>
  <c r="P4765" i="11"/>
  <c r="Q4765" i="11"/>
  <c r="P4766" i="11"/>
  <c r="P4767" i="11"/>
  <c r="Q4767" i="11"/>
  <c r="P4768" i="11"/>
  <c r="P4769" i="11"/>
  <c r="Q4769" i="11"/>
  <c r="P4770" i="11"/>
  <c r="P4771" i="11"/>
  <c r="Q4771" i="11" s="1"/>
  <c r="P4772" i="11"/>
  <c r="P4773" i="11"/>
  <c r="Q4773" i="11"/>
  <c r="P4774" i="11"/>
  <c r="P4775" i="11"/>
  <c r="Q4775" i="11"/>
  <c r="P4776" i="11"/>
  <c r="P4777" i="11"/>
  <c r="Q4777" i="11"/>
  <c r="P4778" i="11"/>
  <c r="P4779" i="11"/>
  <c r="Q4779" i="11" s="1"/>
  <c r="P4780" i="11"/>
  <c r="P4781" i="11"/>
  <c r="Q4781" i="11"/>
  <c r="P4782" i="11"/>
  <c r="P4783" i="11"/>
  <c r="Q4783" i="11"/>
  <c r="P4784" i="11"/>
  <c r="P4785" i="11"/>
  <c r="Q4785" i="11"/>
  <c r="P4786" i="11"/>
  <c r="P4787" i="11"/>
  <c r="Q4787" i="11" s="1"/>
  <c r="P4788" i="11"/>
  <c r="P4789" i="11"/>
  <c r="Q4789" i="11"/>
  <c r="P4790" i="11"/>
  <c r="P4791" i="11"/>
  <c r="Q4791" i="11"/>
  <c r="P4792" i="11"/>
  <c r="P4793" i="11"/>
  <c r="Q4793" i="11"/>
  <c r="P4794" i="11"/>
  <c r="P4795" i="11"/>
  <c r="Q4795" i="11" s="1"/>
  <c r="P4796" i="11"/>
  <c r="P4797" i="11"/>
  <c r="Q4797" i="11"/>
  <c r="P4798" i="11"/>
  <c r="P4799" i="11"/>
  <c r="Q4799" i="11"/>
  <c r="P4800" i="11"/>
  <c r="P4801" i="11"/>
  <c r="Q4801" i="11"/>
  <c r="P4802" i="11"/>
  <c r="P4803" i="11"/>
  <c r="Q4803" i="11" s="1"/>
  <c r="P4804" i="11"/>
  <c r="P4805" i="11"/>
  <c r="Q4805" i="11"/>
  <c r="P4806" i="11"/>
  <c r="P4807" i="11"/>
  <c r="Q4807" i="11"/>
  <c r="P4808" i="11"/>
  <c r="P4809" i="11"/>
  <c r="Q4809" i="11"/>
  <c r="P4810" i="11"/>
  <c r="P4811" i="11"/>
  <c r="Q4811" i="11" s="1"/>
  <c r="P4812" i="11"/>
  <c r="P4813" i="11"/>
  <c r="Q4813" i="11"/>
  <c r="P4814" i="11"/>
  <c r="P4815" i="11"/>
  <c r="Q4815" i="11"/>
  <c r="P4816" i="11"/>
  <c r="P4817" i="11"/>
  <c r="Q4817" i="11"/>
  <c r="P4818" i="11"/>
  <c r="P4819" i="11"/>
  <c r="Q4819" i="11" s="1"/>
  <c r="P4820" i="11"/>
  <c r="P4821" i="11"/>
  <c r="Q4821" i="11"/>
  <c r="P4822" i="11"/>
  <c r="P4823" i="11"/>
  <c r="Q4823" i="11"/>
  <c r="P4824" i="11"/>
  <c r="P4825" i="11"/>
  <c r="Q4825" i="11"/>
  <c r="P4826" i="11"/>
  <c r="P4827" i="11"/>
  <c r="Q4827" i="11" s="1"/>
  <c r="P4828" i="11"/>
  <c r="P4829" i="11"/>
  <c r="Q4829" i="11"/>
  <c r="P4830" i="11"/>
  <c r="P4831" i="11"/>
  <c r="Q4831" i="11"/>
  <c r="P4832" i="11"/>
  <c r="P4833" i="11"/>
  <c r="Q4833" i="11"/>
  <c r="P4834" i="11"/>
  <c r="P4835" i="11"/>
  <c r="Q4835" i="11" s="1"/>
  <c r="P4836" i="11"/>
  <c r="P4837" i="11"/>
  <c r="Q4837" i="11"/>
  <c r="P4838" i="11"/>
  <c r="P4839" i="11"/>
  <c r="Q4839" i="11"/>
  <c r="P4840" i="11"/>
  <c r="P4841" i="11"/>
  <c r="Q4841" i="11"/>
  <c r="P4842" i="11"/>
  <c r="P4843" i="11"/>
  <c r="Q4843" i="11" s="1"/>
  <c r="P4844" i="11"/>
  <c r="P4845" i="11"/>
  <c r="Q4845" i="11"/>
  <c r="P4846" i="11"/>
  <c r="P4847" i="11"/>
  <c r="Q4847" i="11"/>
  <c r="P4848" i="11"/>
  <c r="P4849" i="11"/>
  <c r="Q4849" i="11"/>
  <c r="P4850" i="11"/>
  <c r="P4851" i="11"/>
  <c r="Q4851" i="11" s="1"/>
  <c r="P4852" i="11"/>
  <c r="P4853" i="11"/>
  <c r="Q4853" i="11"/>
  <c r="P4854" i="11"/>
  <c r="P4855" i="11"/>
  <c r="Q4855" i="11"/>
  <c r="P4856" i="11"/>
  <c r="P4857" i="11"/>
  <c r="Q4857" i="11"/>
  <c r="P4858" i="11"/>
  <c r="P4859" i="11"/>
  <c r="Q4859" i="11" s="1"/>
  <c r="P4860" i="11"/>
  <c r="P4861" i="11"/>
  <c r="Q4861" i="11"/>
  <c r="P4862" i="11"/>
  <c r="P4863" i="11"/>
  <c r="Q4863" i="11"/>
  <c r="P4864" i="11"/>
  <c r="P4865" i="11"/>
  <c r="Q4865" i="11"/>
  <c r="P4866" i="11"/>
  <c r="P4867" i="11"/>
  <c r="Q4867" i="11" s="1"/>
  <c r="P4868" i="11"/>
  <c r="P4869" i="11"/>
  <c r="Q4869" i="11"/>
  <c r="P4870" i="11"/>
  <c r="P4871" i="11"/>
  <c r="Q4871" i="11"/>
  <c r="P4872" i="11"/>
  <c r="P4873" i="11"/>
  <c r="Q4873" i="11"/>
  <c r="P4874" i="11"/>
  <c r="P4875" i="11"/>
  <c r="Q4875" i="11" s="1"/>
  <c r="P4876" i="11"/>
  <c r="P4877" i="11"/>
  <c r="Q4877" i="11"/>
  <c r="P4878" i="11"/>
  <c r="P4879" i="11"/>
  <c r="Q4879" i="11"/>
  <c r="P4880" i="11"/>
  <c r="P4881" i="11"/>
  <c r="Q4881" i="11"/>
  <c r="P4882" i="11"/>
  <c r="P4883" i="11"/>
  <c r="Q4883" i="11" s="1"/>
  <c r="P4884" i="11"/>
  <c r="P4885" i="11"/>
  <c r="Q4885" i="11"/>
  <c r="P4886" i="11"/>
  <c r="P4887" i="11"/>
  <c r="Q4887" i="11"/>
  <c r="P4888" i="11"/>
  <c r="P4889" i="11"/>
  <c r="Q4889" i="11"/>
  <c r="P4890" i="11"/>
  <c r="P4891" i="11"/>
  <c r="Q4891" i="11" s="1"/>
  <c r="P4892" i="11"/>
  <c r="P4893" i="11"/>
  <c r="Q4893" i="11"/>
  <c r="P4894" i="11"/>
  <c r="P4895" i="11"/>
  <c r="Q4895" i="11"/>
  <c r="P4896" i="11"/>
  <c r="P4897" i="11"/>
  <c r="Q4897" i="11"/>
  <c r="P4898" i="11"/>
  <c r="P4899" i="11"/>
  <c r="Q4899" i="11" s="1"/>
  <c r="P4900" i="11"/>
  <c r="P4901" i="11"/>
  <c r="Q4901" i="11"/>
  <c r="P4902" i="11"/>
  <c r="P4903" i="11"/>
  <c r="Q4903" i="11"/>
  <c r="P4904" i="11"/>
  <c r="P4905" i="11"/>
  <c r="Q4905" i="11"/>
  <c r="P4906" i="11"/>
  <c r="P4907" i="11"/>
  <c r="Q4907" i="11" s="1"/>
  <c r="P4908" i="11"/>
  <c r="P4909" i="11"/>
  <c r="Q4909" i="11"/>
  <c r="P4910" i="11"/>
  <c r="P4911" i="11"/>
  <c r="Q4911" i="11"/>
  <c r="P4912" i="11"/>
  <c r="P4913" i="11"/>
  <c r="Q4913" i="11"/>
  <c r="P4914" i="11"/>
  <c r="P4915" i="11"/>
  <c r="Q4915" i="11" s="1"/>
  <c r="P4916" i="11"/>
  <c r="P4917" i="11"/>
  <c r="Q4917" i="11"/>
  <c r="P4918" i="11"/>
  <c r="P4919" i="11"/>
  <c r="Q4919" i="11"/>
  <c r="P4920" i="11"/>
  <c r="P4921" i="11"/>
  <c r="Q4921" i="11"/>
  <c r="P4922" i="11"/>
  <c r="P4923" i="11"/>
  <c r="Q4923" i="11" s="1"/>
  <c r="P4924" i="11"/>
  <c r="P4925" i="11"/>
  <c r="Q4925" i="11"/>
  <c r="P4926" i="11"/>
  <c r="P4927" i="11"/>
  <c r="Q4927" i="11"/>
  <c r="P4928" i="11"/>
  <c r="P4929" i="11"/>
  <c r="Q4929" i="11"/>
  <c r="P4930" i="11"/>
  <c r="P4931" i="11"/>
  <c r="Q4931" i="11" s="1"/>
  <c r="P4932" i="11"/>
  <c r="P4933" i="11"/>
  <c r="Q4933" i="11"/>
  <c r="P4934" i="11"/>
  <c r="P4935" i="11"/>
  <c r="Q4935" i="11"/>
  <c r="P4936" i="11"/>
  <c r="P4937" i="11"/>
  <c r="Q4937" i="11"/>
  <c r="P4938" i="11"/>
  <c r="P4939" i="11"/>
  <c r="Q4939" i="11" s="1"/>
  <c r="P4940" i="11"/>
  <c r="P4941" i="11"/>
  <c r="Q4941" i="11"/>
  <c r="P4942" i="11"/>
  <c r="P4943" i="11"/>
  <c r="Q4943" i="11"/>
  <c r="P4944" i="11"/>
  <c r="P4945" i="11"/>
  <c r="Q4945" i="11"/>
  <c r="P4946" i="11"/>
  <c r="P4947" i="11"/>
  <c r="Q4947" i="11" s="1"/>
  <c r="P4948" i="11"/>
  <c r="P4949" i="11"/>
  <c r="Q4949" i="11"/>
  <c r="P4950" i="11"/>
  <c r="P4951" i="11"/>
  <c r="Q4951" i="11"/>
  <c r="P4952" i="11"/>
  <c r="P4953" i="11"/>
  <c r="Q4953" i="11"/>
  <c r="P4954" i="11"/>
  <c r="P4955" i="11"/>
  <c r="Q4955" i="11" s="1"/>
  <c r="P4956" i="11"/>
  <c r="P4957" i="11"/>
  <c r="Q4957" i="11"/>
  <c r="P4958" i="11"/>
  <c r="P4959" i="11"/>
  <c r="Q4959" i="11"/>
  <c r="P4960" i="11"/>
  <c r="P4961" i="11"/>
  <c r="Q4961" i="11"/>
  <c r="P4962" i="11"/>
  <c r="P4963" i="11"/>
  <c r="Q4963" i="11" s="1"/>
  <c r="P4964" i="11"/>
  <c r="P4965" i="11"/>
  <c r="Q4965" i="11"/>
  <c r="P4966" i="11"/>
  <c r="P4967" i="11"/>
  <c r="Q4967" i="11"/>
  <c r="P4968" i="11"/>
  <c r="P4969" i="11"/>
  <c r="Q4969" i="11"/>
  <c r="P4970" i="11"/>
  <c r="P4971" i="11"/>
  <c r="Q4971" i="11" s="1"/>
  <c r="P4972" i="11"/>
  <c r="P4973" i="11"/>
  <c r="Q4973" i="11"/>
  <c r="P4974" i="11"/>
  <c r="P4975" i="11"/>
  <c r="Q4975" i="11"/>
  <c r="P4976" i="11"/>
  <c r="P4977" i="11"/>
  <c r="Q4977" i="11"/>
  <c r="P4978" i="11"/>
  <c r="P4979" i="11"/>
  <c r="Q4979" i="11" s="1"/>
  <c r="P4980" i="11"/>
  <c r="P4981" i="11"/>
  <c r="Q4981" i="11"/>
  <c r="P4982" i="11"/>
  <c r="P4983" i="11"/>
  <c r="Q4983" i="11"/>
  <c r="P4984" i="11"/>
  <c r="P4985" i="11"/>
  <c r="Q4985" i="11"/>
  <c r="P4986" i="11"/>
  <c r="P4987" i="11"/>
  <c r="Q4987" i="11" s="1"/>
  <c r="P4988" i="11"/>
  <c r="P4989" i="11"/>
  <c r="Q4989" i="11"/>
  <c r="P4990" i="11"/>
  <c r="P4991" i="11"/>
  <c r="Q4991" i="11"/>
  <c r="P4992" i="11"/>
  <c r="P4993" i="11"/>
  <c r="Q4993" i="11"/>
  <c r="P4994" i="11"/>
  <c r="P4995" i="11"/>
  <c r="Q4995" i="11" s="1"/>
  <c r="P4996" i="11"/>
  <c r="P4997" i="11"/>
  <c r="Q4997" i="11"/>
  <c r="P4998" i="11"/>
  <c r="P4999" i="11"/>
  <c r="Q4999" i="11"/>
  <c r="P5000" i="11"/>
  <c r="P5001" i="11"/>
  <c r="Q5001" i="11"/>
  <c r="P5002" i="11"/>
  <c r="P5003" i="11"/>
  <c r="Q5003" i="11" s="1"/>
  <c r="P5004" i="11"/>
  <c r="P5005" i="11"/>
  <c r="Q5005" i="11"/>
  <c r="P5006" i="11"/>
  <c r="P5007" i="11"/>
  <c r="Q5007" i="11"/>
  <c r="P5008" i="11"/>
  <c r="P5009" i="11"/>
  <c r="Q5009" i="11"/>
  <c r="P5010" i="11"/>
  <c r="P5011" i="11"/>
  <c r="Q5011" i="11" s="1"/>
  <c r="P5012" i="11"/>
  <c r="P5013" i="11"/>
  <c r="Q5013" i="11"/>
  <c r="P5014" i="11"/>
  <c r="P5015" i="11"/>
  <c r="Q5015" i="11"/>
  <c r="P5016" i="11"/>
  <c r="P5017" i="11"/>
  <c r="Q5017" i="11"/>
  <c r="P5018" i="11"/>
  <c r="P5019" i="11"/>
  <c r="Q5019" i="11" s="1"/>
  <c r="P5020" i="11"/>
  <c r="P5021" i="11"/>
  <c r="Q5021" i="11"/>
  <c r="P5022" i="11"/>
  <c r="P5023" i="11"/>
  <c r="Q5023" i="11"/>
  <c r="P5024" i="11"/>
  <c r="P5025" i="11"/>
  <c r="Q5025" i="11"/>
  <c r="P5026" i="11"/>
  <c r="P5027" i="11"/>
  <c r="Q5027" i="11" s="1"/>
  <c r="P5028" i="11"/>
  <c r="P5029" i="11"/>
  <c r="Q5029" i="11"/>
  <c r="P5030" i="11"/>
  <c r="P5031" i="11"/>
  <c r="Q5031" i="11"/>
  <c r="P5032" i="11"/>
  <c r="P5033" i="11"/>
  <c r="Q5033" i="11"/>
  <c r="P5034" i="11"/>
  <c r="P5035" i="11"/>
  <c r="Q5035" i="11" s="1"/>
  <c r="P5036" i="11"/>
  <c r="P5037" i="11"/>
  <c r="Q5037" i="11"/>
  <c r="P5038" i="11"/>
  <c r="P5039" i="11"/>
  <c r="Q5039" i="11"/>
  <c r="P5040" i="11"/>
  <c r="P5041" i="11"/>
  <c r="Q5041" i="11"/>
  <c r="P5042" i="11"/>
  <c r="P5043" i="11"/>
  <c r="Q5043" i="11" s="1"/>
  <c r="P5044" i="11"/>
  <c r="P5045" i="11"/>
  <c r="Q5045" i="11"/>
  <c r="P5046" i="11"/>
  <c r="P5047" i="11"/>
  <c r="Q5047" i="11"/>
  <c r="P5048" i="11"/>
  <c r="P5049" i="11"/>
  <c r="Q5049" i="11"/>
  <c r="P5050" i="11"/>
  <c r="P5051" i="11"/>
  <c r="Q5051" i="11" s="1"/>
  <c r="P5052" i="11"/>
  <c r="P5053" i="11"/>
  <c r="Q5053" i="11"/>
  <c r="P5054" i="11"/>
  <c r="P5055" i="11"/>
  <c r="Q5055" i="11"/>
  <c r="P5056" i="11"/>
  <c r="P5057" i="11"/>
  <c r="Q5057" i="11"/>
  <c r="P5058" i="11"/>
  <c r="P5059" i="11"/>
  <c r="Q5059" i="11" s="1"/>
  <c r="P5060" i="11"/>
  <c r="P5061" i="11"/>
  <c r="Q5061" i="11"/>
  <c r="P5062" i="11"/>
  <c r="P5063" i="11"/>
  <c r="Q5063" i="11" s="1"/>
  <c r="P5064" i="11"/>
  <c r="P5065" i="11"/>
  <c r="Q5065" i="11"/>
  <c r="P5066" i="11"/>
  <c r="P5067" i="11"/>
  <c r="Q5067" i="11" s="1"/>
  <c r="P5068" i="11"/>
  <c r="P5069" i="11"/>
  <c r="Q5069" i="11"/>
  <c r="P5070" i="11"/>
  <c r="P5071" i="11"/>
  <c r="Q5071" i="11"/>
  <c r="P5072" i="11"/>
  <c r="P5073" i="11"/>
  <c r="Q5073" i="11"/>
  <c r="P5074" i="11"/>
  <c r="P5075" i="11"/>
  <c r="Q5075" i="11" s="1"/>
  <c r="P5076" i="11"/>
  <c r="P5077" i="11"/>
  <c r="Q5077" i="11"/>
  <c r="P5078" i="11"/>
  <c r="P5079" i="11"/>
  <c r="Q5079" i="11" s="1"/>
  <c r="P5080" i="11"/>
  <c r="P5081" i="11"/>
  <c r="Q5081" i="11"/>
  <c r="P5082" i="11"/>
  <c r="P5083" i="11"/>
  <c r="Q5083" i="11" s="1"/>
  <c r="P5084" i="11"/>
  <c r="P5085" i="11"/>
  <c r="Q5085" i="11"/>
  <c r="P5086" i="11"/>
  <c r="P5087" i="11"/>
  <c r="Q5087" i="11" s="1"/>
  <c r="P5088" i="11"/>
  <c r="P5089" i="11"/>
  <c r="Q5089" i="11"/>
  <c r="P5090" i="11"/>
  <c r="P5091" i="11"/>
  <c r="Q5091" i="11" s="1"/>
  <c r="P5092" i="11"/>
  <c r="P5093" i="11"/>
  <c r="Q5093" i="11"/>
  <c r="P5094" i="11"/>
  <c r="P5095" i="11"/>
  <c r="Q5095" i="11"/>
  <c r="P5096" i="11"/>
  <c r="P5097" i="11"/>
  <c r="Q5097" i="11"/>
  <c r="P5098" i="11"/>
  <c r="P5099" i="11"/>
  <c r="Q5099" i="11" s="1"/>
  <c r="P5100" i="11"/>
  <c r="P5101" i="11"/>
  <c r="Q5101" i="11"/>
  <c r="P5102" i="11"/>
  <c r="P5103" i="11"/>
  <c r="Q5103" i="11"/>
  <c r="P5104" i="11"/>
  <c r="P5105" i="11"/>
  <c r="Q5105" i="11"/>
  <c r="P5106" i="11"/>
  <c r="P5107" i="11"/>
  <c r="Q5107" i="11" s="1"/>
  <c r="P5108" i="11"/>
  <c r="P5109" i="11"/>
  <c r="Q5109" i="11"/>
  <c r="P5110" i="11"/>
  <c r="P5111" i="11"/>
  <c r="Q5111" i="11"/>
  <c r="P5112" i="11"/>
  <c r="P5113" i="11"/>
  <c r="Q5113" i="11"/>
  <c r="P5114" i="11"/>
  <c r="P5115" i="11"/>
  <c r="Q5115" i="11" s="1"/>
  <c r="P5116" i="11"/>
  <c r="P5117" i="11"/>
  <c r="Q5117" i="11"/>
  <c r="P5118" i="11"/>
  <c r="P5119" i="11"/>
  <c r="Q5119" i="11" s="1"/>
  <c r="P5120" i="11"/>
  <c r="P5121" i="11"/>
  <c r="Q5121" i="11"/>
  <c r="P5122" i="11"/>
  <c r="P5123" i="11"/>
  <c r="Q5123" i="11" s="1"/>
  <c r="P5124" i="11"/>
  <c r="P5125" i="11"/>
  <c r="Q5125" i="11"/>
  <c r="P5126" i="11"/>
  <c r="P5127" i="11"/>
  <c r="Q5127" i="11" s="1"/>
  <c r="P5128" i="11"/>
  <c r="P5129" i="11"/>
  <c r="Q5129" i="11"/>
  <c r="P5130" i="11"/>
  <c r="P5131" i="11"/>
  <c r="Q5131" i="11" s="1"/>
  <c r="P5132" i="11"/>
  <c r="P5133" i="11"/>
  <c r="Q5133" i="11"/>
  <c r="P5134" i="11"/>
  <c r="P5135" i="11"/>
  <c r="Q5135" i="11" s="1"/>
  <c r="P5136" i="11"/>
  <c r="P5137" i="11"/>
  <c r="Q5137" i="11"/>
  <c r="P5138" i="11"/>
  <c r="P5139" i="11"/>
  <c r="Q5139" i="11" s="1"/>
  <c r="P5140" i="11"/>
  <c r="P5141" i="11"/>
  <c r="Q5141" i="11"/>
  <c r="P5142" i="11"/>
  <c r="P5143" i="11"/>
  <c r="Q5143" i="11"/>
  <c r="P5144" i="11"/>
  <c r="P5145" i="11"/>
  <c r="Q5145" i="11"/>
  <c r="P5146" i="11"/>
  <c r="P5147" i="11"/>
  <c r="Q5147" i="11" s="1"/>
  <c r="P5148" i="11"/>
  <c r="P5149" i="11"/>
  <c r="Q5149" i="11"/>
  <c r="P5150" i="11"/>
  <c r="P5151" i="11"/>
  <c r="Q5151" i="11"/>
  <c r="P5152" i="11"/>
  <c r="P5153" i="11"/>
  <c r="Q5153" i="11"/>
  <c r="P5154" i="11"/>
  <c r="P5155" i="11"/>
  <c r="Q5155" i="11" s="1"/>
  <c r="P5156" i="11"/>
  <c r="P5157" i="11"/>
  <c r="Q5157" i="11"/>
  <c r="P5158" i="11"/>
  <c r="P5159" i="11"/>
  <c r="Q5159" i="11"/>
  <c r="P5160" i="11"/>
  <c r="P5161" i="11"/>
  <c r="Q5161" i="11"/>
  <c r="P5162" i="11"/>
  <c r="P5163" i="11"/>
  <c r="Q5163" i="11" s="1"/>
  <c r="P5164" i="11"/>
  <c r="P5165" i="11"/>
  <c r="Q5165" i="11"/>
  <c r="P5166" i="11"/>
  <c r="P5167" i="11"/>
  <c r="Q5167" i="11" s="1"/>
  <c r="P5168" i="11"/>
  <c r="P5169" i="11"/>
  <c r="Q5169" i="11"/>
  <c r="P5170" i="11"/>
  <c r="P5171" i="11"/>
  <c r="Q5171" i="11" s="1"/>
  <c r="P5172" i="11"/>
  <c r="P5173" i="11"/>
  <c r="Q5173" i="11"/>
  <c r="P5174" i="11"/>
  <c r="P5175" i="11"/>
  <c r="Q5175" i="11" s="1"/>
  <c r="P5176" i="11"/>
  <c r="P5177" i="11"/>
  <c r="Q5177" i="11"/>
  <c r="P5178" i="11"/>
  <c r="P5179" i="11"/>
  <c r="Q5179" i="11" s="1"/>
  <c r="P5180" i="11"/>
  <c r="P5181" i="11"/>
  <c r="Q5181" i="11"/>
  <c r="P5182" i="11"/>
  <c r="P5183" i="11"/>
  <c r="Q5183" i="11" s="1"/>
  <c r="P5184" i="11"/>
  <c r="P5185" i="11"/>
  <c r="Q5185" i="11"/>
  <c r="P5186" i="11"/>
  <c r="P5187" i="11"/>
  <c r="Q5187" i="11" s="1"/>
  <c r="P5188" i="11"/>
  <c r="P5189" i="11"/>
  <c r="Q5189" i="11"/>
  <c r="P5190" i="11"/>
  <c r="P5191" i="11"/>
  <c r="Q5191" i="11" s="1"/>
  <c r="P5192" i="11"/>
  <c r="P5193" i="11"/>
  <c r="Q5193" i="11"/>
  <c r="P5194" i="11"/>
  <c r="P5195" i="11"/>
  <c r="Q5195" i="11" s="1"/>
  <c r="P5196" i="11"/>
  <c r="P5197" i="11"/>
  <c r="Q5197" i="11"/>
  <c r="P5198" i="11"/>
  <c r="P5199" i="11"/>
  <c r="Q5199" i="11"/>
  <c r="P5200" i="11"/>
  <c r="P5201" i="11"/>
  <c r="Q5201" i="11"/>
  <c r="P5202" i="11"/>
  <c r="P5203" i="11"/>
  <c r="Q5203" i="11" s="1"/>
  <c r="P5204" i="11"/>
  <c r="P5205" i="11"/>
  <c r="Q5205" i="11"/>
  <c r="P5206" i="11"/>
  <c r="P5207" i="11"/>
  <c r="Q5207" i="11" s="1"/>
  <c r="P5208" i="11"/>
  <c r="P5209" i="11"/>
  <c r="Q5209" i="11"/>
  <c r="P5210" i="11"/>
  <c r="P5211" i="11"/>
  <c r="Q5211" i="11" s="1"/>
  <c r="P5212" i="11"/>
  <c r="P5213" i="11"/>
  <c r="Q5213" i="11"/>
  <c r="P5214" i="11"/>
  <c r="P5215" i="11"/>
  <c r="Q5215" i="11" s="1"/>
  <c r="P5216" i="11"/>
  <c r="P5217" i="11"/>
  <c r="Q5217" i="11"/>
  <c r="P5218" i="11"/>
  <c r="P5219" i="11"/>
  <c r="Q5219" i="11" s="1"/>
  <c r="P5220" i="11"/>
  <c r="P5221" i="11"/>
  <c r="Q5221" i="11"/>
  <c r="P5222" i="11"/>
  <c r="P5223" i="11"/>
  <c r="Q5223" i="11" s="1"/>
  <c r="P5224" i="11"/>
  <c r="P5225" i="11"/>
  <c r="Q5225" i="11"/>
  <c r="P5226" i="11"/>
  <c r="P5227" i="11"/>
  <c r="Q5227" i="11" s="1"/>
  <c r="P5228" i="11"/>
  <c r="P5229" i="11"/>
  <c r="Q5229" i="11"/>
  <c r="P5230" i="11"/>
  <c r="P5231" i="11"/>
  <c r="Q5231" i="11"/>
  <c r="P5232" i="11"/>
  <c r="P5233" i="11"/>
  <c r="Q5233" i="11"/>
  <c r="P5234" i="11"/>
  <c r="P5235" i="11"/>
  <c r="Q5235" i="11" s="1"/>
  <c r="P5236" i="11"/>
  <c r="P5237" i="11"/>
  <c r="Q5237" i="11"/>
  <c r="P5238" i="11"/>
  <c r="P5239" i="11"/>
  <c r="Q5239" i="11" s="1"/>
  <c r="P5240" i="11"/>
  <c r="P5241" i="11"/>
  <c r="Q5241" i="11"/>
  <c r="P5242" i="11"/>
  <c r="P5243" i="11"/>
  <c r="Q5243" i="11" s="1"/>
  <c r="P5244" i="11"/>
  <c r="P5245" i="11"/>
  <c r="Q5245" i="11"/>
  <c r="P5246" i="11"/>
  <c r="P5247" i="11"/>
  <c r="Q5247" i="11"/>
  <c r="P5248" i="11"/>
  <c r="P5249" i="11"/>
  <c r="Q5249" i="11"/>
  <c r="P5250" i="11"/>
  <c r="P5251" i="11"/>
  <c r="Q5251" i="11" s="1"/>
  <c r="P5252" i="11"/>
  <c r="P5253" i="11"/>
  <c r="Q5253" i="11"/>
  <c r="P5254" i="11"/>
  <c r="P5255" i="11"/>
  <c r="Q5255" i="11"/>
  <c r="P5256" i="11"/>
  <c r="P5257" i="11"/>
  <c r="Q5257" i="11"/>
  <c r="P5258" i="11"/>
  <c r="P5259" i="11"/>
  <c r="Q5259" i="11" s="1"/>
  <c r="P5260" i="11"/>
  <c r="P5261" i="11"/>
  <c r="Q5261" i="11"/>
  <c r="P5262" i="11"/>
  <c r="P5263" i="11"/>
  <c r="Q5263" i="11" s="1"/>
  <c r="P5264" i="11"/>
  <c r="P5265" i="11"/>
  <c r="Q5265" i="11"/>
  <c r="P5266" i="11"/>
  <c r="P5267" i="11"/>
  <c r="Q5267" i="11" s="1"/>
  <c r="P5268" i="11"/>
  <c r="P5269" i="11"/>
  <c r="Q5269" i="11"/>
  <c r="P5270" i="11"/>
  <c r="P5271" i="11"/>
  <c r="Q5271" i="11" s="1"/>
  <c r="P5272" i="11"/>
  <c r="P5273" i="11"/>
  <c r="Q5273" i="11"/>
  <c r="P5274" i="11"/>
  <c r="P5275" i="11"/>
  <c r="Q5275" i="11" s="1"/>
  <c r="P5276" i="11"/>
  <c r="P5277" i="11"/>
  <c r="Q5277" i="11"/>
  <c r="P5278" i="11"/>
  <c r="P5279" i="11"/>
  <c r="Q5279" i="11" s="1"/>
  <c r="P5280" i="11"/>
  <c r="P5281" i="11"/>
  <c r="Q5281" i="11"/>
  <c r="P5282" i="11"/>
  <c r="P5283" i="11"/>
  <c r="Q5283" i="11" s="1"/>
  <c r="P5284" i="11"/>
  <c r="P5285" i="11"/>
  <c r="Q5285" i="11"/>
  <c r="P5286" i="11"/>
  <c r="P5287" i="11"/>
  <c r="Q5287" i="11" s="1"/>
  <c r="P5288" i="11"/>
  <c r="P5289" i="11"/>
  <c r="Q5289" i="11"/>
  <c r="P5290" i="11"/>
  <c r="P5291" i="11"/>
  <c r="Q5291" i="11" s="1"/>
  <c r="P5292" i="11"/>
  <c r="P5293" i="11"/>
  <c r="Q5293" i="11"/>
  <c r="P5294" i="11"/>
  <c r="P5295" i="11"/>
  <c r="Q5295" i="11"/>
  <c r="P5296" i="11"/>
  <c r="P5297" i="11"/>
  <c r="Q5297" i="11"/>
  <c r="P5298" i="11"/>
  <c r="P5299" i="11"/>
  <c r="Q5299" i="11" s="1"/>
  <c r="P5300" i="11"/>
  <c r="P5301" i="11"/>
  <c r="Q5301" i="11"/>
  <c r="P5302" i="11"/>
  <c r="P5303" i="11"/>
  <c r="Q5303" i="11"/>
  <c r="P5304" i="11"/>
  <c r="P5305" i="11"/>
  <c r="Q5305" i="11"/>
  <c r="P5306" i="11"/>
  <c r="P5307" i="11"/>
  <c r="Q5307" i="11" s="1"/>
  <c r="P5308" i="11"/>
  <c r="P5309" i="11"/>
  <c r="Q5309" i="11"/>
  <c r="P5310" i="11"/>
  <c r="P5311" i="11"/>
  <c r="Q5311" i="11" s="1"/>
  <c r="P5312" i="11"/>
  <c r="P5313" i="11"/>
  <c r="Q5313" i="11"/>
  <c r="P5314" i="11"/>
  <c r="P5315" i="11"/>
  <c r="Q5315" i="11" s="1"/>
  <c r="P5316" i="11"/>
  <c r="P5317" i="11"/>
  <c r="Q5317" i="11"/>
  <c r="P5318" i="11"/>
  <c r="P5319" i="11"/>
  <c r="Q5319" i="11" s="1"/>
  <c r="P5320" i="11"/>
  <c r="P5321" i="11"/>
  <c r="Q5321" i="11"/>
  <c r="P5322" i="11"/>
  <c r="P5323" i="11"/>
  <c r="Q5323" i="11" s="1"/>
  <c r="P5324" i="11"/>
  <c r="P5325" i="11"/>
  <c r="Q5325" i="11"/>
  <c r="P5326" i="11"/>
  <c r="P5327" i="11"/>
  <c r="Q5327" i="11" s="1"/>
  <c r="P5328" i="11"/>
  <c r="P5329" i="11"/>
  <c r="Q5329" i="11"/>
  <c r="P5330" i="11"/>
  <c r="P5331" i="11"/>
  <c r="Q5331" i="11" s="1"/>
  <c r="P5332" i="11"/>
  <c r="P5333" i="11"/>
  <c r="Q5333" i="11"/>
  <c r="P5334" i="11"/>
  <c r="P5335" i="11"/>
  <c r="Q5335" i="11" s="1"/>
  <c r="P5336" i="11"/>
  <c r="P5337" i="11"/>
  <c r="Q5337" i="11"/>
  <c r="P5338" i="11"/>
  <c r="P5339" i="11"/>
  <c r="Q5339" i="11" s="1"/>
  <c r="P5340" i="11"/>
  <c r="P5341" i="11"/>
  <c r="Q5341" i="11"/>
  <c r="P5342" i="11"/>
  <c r="P5343" i="11"/>
  <c r="Q5343" i="11"/>
  <c r="P5344" i="11"/>
  <c r="P5345" i="11"/>
  <c r="Q5345" i="11"/>
  <c r="P5346" i="11"/>
  <c r="P5347" i="11"/>
  <c r="Q5347" i="11" s="1"/>
  <c r="P5348" i="11"/>
  <c r="P5349" i="11"/>
  <c r="Q5349" i="11"/>
  <c r="P5350" i="11"/>
  <c r="P5351" i="11"/>
  <c r="Q5351" i="11" s="1"/>
  <c r="P5352" i="11"/>
  <c r="P5353" i="11"/>
  <c r="Q5353" i="11"/>
  <c r="P5354" i="11"/>
  <c r="P5355" i="11"/>
  <c r="Q5355" i="11" s="1"/>
  <c r="P5356" i="11"/>
  <c r="P5357" i="11"/>
  <c r="Q5357" i="11"/>
  <c r="P5358" i="11"/>
  <c r="P5359" i="11"/>
  <c r="Q5359" i="11"/>
  <c r="P5360" i="11"/>
  <c r="P5361" i="11"/>
  <c r="Q5361" i="11"/>
  <c r="P5362" i="11"/>
  <c r="P5363" i="11"/>
  <c r="Q5363" i="11" s="1"/>
  <c r="P5364" i="11"/>
  <c r="P5365" i="11"/>
  <c r="Q5365" i="11"/>
  <c r="P5366" i="11"/>
  <c r="P5367" i="11"/>
  <c r="Q5367" i="11" s="1"/>
  <c r="P5368" i="11"/>
  <c r="P5369" i="11"/>
  <c r="Q5369" i="11"/>
  <c r="P5370" i="11"/>
  <c r="P5371" i="11"/>
  <c r="Q5371" i="11" s="1"/>
  <c r="P5372" i="11"/>
  <c r="P5373" i="11"/>
  <c r="Q5373" i="11"/>
  <c r="P5374" i="11"/>
  <c r="P5375" i="11"/>
  <c r="Q5375" i="11" s="1"/>
  <c r="P5376" i="11"/>
  <c r="P5377" i="11"/>
  <c r="Q5377" i="11"/>
  <c r="P5378" i="11"/>
  <c r="P5379" i="11"/>
  <c r="Q5379" i="11" s="1"/>
  <c r="P5380" i="11"/>
  <c r="P5381" i="11"/>
  <c r="Q5381" i="11"/>
  <c r="P5382" i="11"/>
  <c r="P5383" i="11"/>
  <c r="Q5383" i="11" s="1"/>
  <c r="P5384" i="11"/>
  <c r="P5385" i="11"/>
  <c r="Q5385" i="11"/>
  <c r="P5386" i="11"/>
  <c r="P5387" i="11"/>
  <c r="Q5387" i="11" s="1"/>
  <c r="P5388" i="11"/>
  <c r="P5389" i="11"/>
  <c r="Q5389" i="11"/>
  <c r="P5390" i="11"/>
  <c r="P5391" i="11"/>
  <c r="Q5391" i="11"/>
  <c r="P5392" i="11"/>
  <c r="P5393" i="11"/>
  <c r="Q5393" i="11"/>
  <c r="P5394" i="11"/>
  <c r="P5395" i="11"/>
  <c r="Q5395" i="11" s="1"/>
  <c r="P5396" i="11"/>
  <c r="P5397" i="11"/>
  <c r="Q5397" i="11"/>
  <c r="P5398" i="11"/>
  <c r="P5399" i="11"/>
  <c r="Q5399" i="11" s="1"/>
  <c r="P5400" i="11"/>
  <c r="P5401" i="11"/>
  <c r="Q5401" i="11"/>
  <c r="P5402" i="11"/>
  <c r="P5403" i="11"/>
  <c r="Q5403" i="11" s="1"/>
  <c r="P5404" i="11"/>
  <c r="P5405" i="11"/>
  <c r="Q5405" i="11"/>
  <c r="P5406" i="11"/>
  <c r="P5407" i="11"/>
  <c r="Q5407" i="11"/>
  <c r="P5408" i="11"/>
  <c r="P5409" i="11"/>
  <c r="Q5409" i="11"/>
  <c r="P5410" i="11"/>
  <c r="P5411" i="11"/>
  <c r="Q5411" i="11" s="1"/>
  <c r="P5412" i="11"/>
  <c r="P5413" i="11"/>
  <c r="Q5413" i="11"/>
  <c r="P5414" i="11"/>
  <c r="P5415" i="11"/>
  <c r="Q5415" i="11" s="1"/>
  <c r="P5416" i="11"/>
  <c r="P5417" i="11"/>
  <c r="Q5417" i="11"/>
  <c r="P5418" i="11"/>
  <c r="P5419" i="11"/>
  <c r="Q5419" i="11" s="1"/>
  <c r="P5420" i="11"/>
  <c r="P5421" i="11"/>
  <c r="Q5421" i="11"/>
  <c r="P5422" i="11"/>
  <c r="P5423" i="11"/>
  <c r="Q5423" i="11" s="1"/>
  <c r="P5424" i="11"/>
  <c r="P5425" i="11"/>
  <c r="Q5425" i="11"/>
  <c r="P5426" i="11"/>
  <c r="P5427" i="11"/>
  <c r="Q5427" i="11" s="1"/>
  <c r="P5428" i="11"/>
  <c r="P5429" i="11"/>
  <c r="Q5429" i="11"/>
  <c r="P5430" i="11"/>
  <c r="P5431" i="11"/>
  <c r="Q5431" i="11" s="1"/>
  <c r="P5432" i="11"/>
  <c r="P5433" i="11"/>
  <c r="Q5433" i="11"/>
  <c r="P5434" i="11"/>
  <c r="P5435" i="11"/>
  <c r="Q5435" i="11" s="1"/>
  <c r="P5436" i="11"/>
  <c r="P5437" i="11"/>
  <c r="Q5437" i="11"/>
  <c r="P5438" i="11"/>
  <c r="P5439" i="11"/>
  <c r="Q5439" i="11"/>
  <c r="P5440" i="11"/>
  <c r="P5441" i="11"/>
  <c r="Q5441" i="11"/>
  <c r="P5442" i="11"/>
  <c r="P5443" i="11"/>
  <c r="Q5443" i="11" s="1"/>
  <c r="P5444" i="11"/>
  <c r="P5445" i="11"/>
  <c r="Q5445" i="11"/>
  <c r="P5446" i="11"/>
  <c r="P5447" i="11"/>
  <c r="Q5447" i="11" s="1"/>
  <c r="P5448" i="11"/>
  <c r="P5449" i="11"/>
  <c r="Q5449" i="11"/>
  <c r="P5450" i="11"/>
  <c r="P5451" i="11"/>
  <c r="Q5451" i="11" s="1"/>
  <c r="P5452" i="11"/>
  <c r="P5453" i="11"/>
  <c r="Q5453" i="11"/>
  <c r="P5454" i="11"/>
  <c r="P5455" i="11"/>
  <c r="Q5455" i="11" s="1"/>
  <c r="P5456" i="11"/>
  <c r="P5457" i="11"/>
  <c r="Q5457" i="11"/>
  <c r="P5458" i="11"/>
  <c r="P5459" i="11"/>
  <c r="Q5459" i="11" s="1"/>
  <c r="P5460" i="11"/>
  <c r="P5461" i="11"/>
  <c r="Q5461" i="11"/>
  <c r="P5462" i="11"/>
  <c r="P5463" i="11"/>
  <c r="Q5463" i="11" s="1"/>
  <c r="P5464" i="11"/>
  <c r="P5465" i="11"/>
  <c r="Q5465" i="11"/>
  <c r="P5466" i="11"/>
  <c r="P5467" i="11"/>
  <c r="Q5467" i="11" s="1"/>
  <c r="P5468" i="11"/>
  <c r="P5469" i="11"/>
  <c r="Q5469" i="11"/>
  <c r="P5470" i="11"/>
  <c r="P5471" i="11"/>
  <c r="Q5471" i="11" s="1"/>
  <c r="P5472" i="11"/>
  <c r="P5473" i="11"/>
  <c r="Q5473" i="11" s="1"/>
  <c r="P5474" i="11"/>
  <c r="P5475" i="11"/>
  <c r="Q5475" i="11" s="1"/>
  <c r="P5476" i="11"/>
  <c r="P5477" i="11"/>
  <c r="Q5477" i="11" s="1"/>
  <c r="P5478" i="11"/>
  <c r="P5479" i="11"/>
  <c r="Q5479" i="11" s="1"/>
  <c r="P5480" i="11"/>
  <c r="P5481" i="11"/>
  <c r="Q5481" i="11" s="1"/>
  <c r="P5482" i="11"/>
  <c r="P5483" i="11"/>
  <c r="Q5483" i="11" s="1"/>
  <c r="P5484" i="11"/>
  <c r="P5485" i="11"/>
  <c r="Q5485" i="11" s="1"/>
  <c r="P5486" i="11"/>
  <c r="P5487" i="11"/>
  <c r="Q5487" i="11"/>
  <c r="P5488" i="11"/>
  <c r="P5489" i="11"/>
  <c r="Q5489" i="11" s="1"/>
  <c r="P5490" i="11"/>
  <c r="P5491" i="11"/>
  <c r="Q5491" i="11" s="1"/>
  <c r="P5492" i="11"/>
  <c r="P5493" i="11"/>
  <c r="Q5493" i="11" s="1"/>
  <c r="P5494" i="11"/>
  <c r="P5495" i="11"/>
  <c r="Q5495" i="11"/>
  <c r="P5496" i="11"/>
  <c r="P5497" i="11"/>
  <c r="Q5497" i="11" s="1"/>
  <c r="P5498" i="11"/>
  <c r="P5499" i="11"/>
  <c r="Q5499" i="11" s="1"/>
  <c r="P5500" i="11"/>
  <c r="P5501" i="11"/>
  <c r="Q5501" i="11" s="1"/>
  <c r="P5502" i="11"/>
  <c r="P5503" i="11"/>
  <c r="Q5503" i="11" s="1"/>
  <c r="P5504" i="11"/>
  <c r="P5505" i="11"/>
  <c r="Q5505" i="11" s="1"/>
  <c r="P5506" i="11"/>
  <c r="P5507" i="11"/>
  <c r="Q5507" i="11" s="1"/>
  <c r="P5508" i="11"/>
  <c r="P5509" i="11"/>
  <c r="Q5509" i="11"/>
  <c r="P5510" i="11"/>
  <c r="P5511" i="11"/>
  <c r="Q5511" i="11" s="1"/>
  <c r="P5512" i="11"/>
  <c r="P5513" i="11"/>
  <c r="Q5513" i="11"/>
  <c r="P5514" i="11"/>
  <c r="P5515" i="11"/>
  <c r="Q5515" i="11" s="1"/>
  <c r="P5516" i="11"/>
  <c r="P5517" i="11"/>
  <c r="Q5517" i="11" s="1"/>
  <c r="P5518" i="11"/>
  <c r="P5519" i="11"/>
  <c r="Q5519" i="11" s="1"/>
  <c r="P5520" i="11"/>
  <c r="P5521" i="11"/>
  <c r="Q5521" i="11" s="1"/>
  <c r="P5522" i="11"/>
  <c r="P5523" i="11"/>
  <c r="Q5523" i="11" s="1"/>
  <c r="P5524" i="11"/>
  <c r="P5525" i="11"/>
  <c r="Q5525" i="11" s="1"/>
  <c r="P5526" i="11"/>
  <c r="P5527" i="11"/>
  <c r="Q5527" i="11" s="1"/>
  <c r="P5528" i="11"/>
  <c r="P5529" i="11"/>
  <c r="Q5529" i="11" s="1"/>
  <c r="P5530" i="11"/>
  <c r="P5531" i="11"/>
  <c r="Q5531" i="11" s="1"/>
  <c r="P5532" i="11"/>
  <c r="P5533" i="11"/>
  <c r="Q5533" i="11" s="1"/>
  <c r="P5534" i="11"/>
  <c r="P5535" i="11"/>
  <c r="Q5535" i="11"/>
  <c r="P5536" i="11"/>
  <c r="P5537" i="11"/>
  <c r="Q5537" i="11" s="1"/>
  <c r="P5538" i="11"/>
  <c r="P5539" i="11"/>
  <c r="Q5539" i="11" s="1"/>
  <c r="P5540" i="11"/>
  <c r="P5541" i="11"/>
  <c r="Q5541" i="11" s="1"/>
  <c r="P5542" i="11"/>
  <c r="P5543" i="11"/>
  <c r="Q5543" i="11" s="1"/>
  <c r="P5544" i="11"/>
  <c r="P5545" i="11"/>
  <c r="Q5545" i="11" s="1"/>
  <c r="P5546" i="11"/>
  <c r="P5547" i="11"/>
  <c r="Q5547" i="11" s="1"/>
  <c r="P5548" i="11"/>
  <c r="P5549" i="11"/>
  <c r="Q5549" i="11" s="1"/>
  <c r="P5550" i="11"/>
  <c r="P5551" i="11"/>
  <c r="Q5551" i="11" s="1"/>
  <c r="P5552" i="11"/>
  <c r="P5553" i="11"/>
  <c r="Q5553" i="11" s="1"/>
  <c r="P5554" i="11"/>
  <c r="P5555" i="11"/>
  <c r="Q5555" i="11" s="1"/>
  <c r="P5556" i="11"/>
  <c r="P5557" i="11"/>
  <c r="Q5557" i="11"/>
  <c r="P5558" i="11"/>
  <c r="P5559" i="11"/>
  <c r="Q5559" i="11" s="1"/>
  <c r="P5560" i="11"/>
  <c r="P5561" i="11"/>
  <c r="Q5561" i="11"/>
  <c r="P5562" i="11"/>
  <c r="P5563" i="11"/>
  <c r="Q5563" i="11" s="1"/>
  <c r="P5564" i="11"/>
  <c r="P5565" i="11"/>
  <c r="Q5565" i="11" s="1"/>
  <c r="P5566" i="11"/>
  <c r="P5567" i="11"/>
  <c r="Q5567" i="11" s="1"/>
  <c r="P5568" i="11"/>
  <c r="P5569" i="11"/>
  <c r="Q5569" i="11" s="1"/>
  <c r="P5570" i="11"/>
  <c r="P5571" i="11"/>
  <c r="Q5571" i="11" s="1"/>
  <c r="P5572" i="11"/>
  <c r="P5573" i="11"/>
  <c r="Q5573" i="11" s="1"/>
  <c r="P5574" i="11"/>
  <c r="P5575" i="11"/>
  <c r="Q5575" i="11" s="1"/>
  <c r="P5576" i="11"/>
  <c r="P5577" i="11"/>
  <c r="Q5577" i="11" s="1"/>
  <c r="P5578" i="11"/>
  <c r="P5579" i="11"/>
  <c r="Q5579" i="11" s="1"/>
  <c r="P5580" i="11"/>
  <c r="P5581" i="11"/>
  <c r="Q5581" i="11" s="1"/>
  <c r="P5582" i="11"/>
  <c r="P5583" i="11"/>
  <c r="Q5583" i="11"/>
  <c r="P5584" i="11"/>
  <c r="P5585" i="11"/>
  <c r="Q5585" i="11" s="1"/>
  <c r="P5586" i="11"/>
  <c r="P5587" i="11"/>
  <c r="Q5587" i="11" s="1"/>
  <c r="P5588" i="11"/>
  <c r="P5589" i="11"/>
  <c r="Q5589" i="11" s="1"/>
  <c r="P5590" i="11"/>
  <c r="P5591" i="11"/>
  <c r="Q5591" i="11" s="1"/>
  <c r="P5592" i="11"/>
  <c r="P5593" i="11"/>
  <c r="Q5593" i="11" s="1"/>
  <c r="P5594" i="11"/>
  <c r="P5595" i="11"/>
  <c r="Q5595" i="11" s="1"/>
  <c r="P5596" i="11"/>
  <c r="P5597" i="11"/>
  <c r="Q5597" i="11" s="1"/>
  <c r="P5598" i="11"/>
  <c r="P5599" i="11"/>
  <c r="Q5599" i="11" s="1"/>
  <c r="P5600" i="11"/>
  <c r="P5601" i="11"/>
  <c r="Q5601" i="11" s="1"/>
  <c r="P5602" i="11"/>
  <c r="P5603" i="11"/>
  <c r="Q5603" i="11" s="1"/>
  <c r="P5604" i="11"/>
  <c r="P5605" i="11"/>
  <c r="Q5605" i="11"/>
  <c r="P5606" i="11"/>
  <c r="P5607" i="11"/>
  <c r="Q5607" i="11" s="1"/>
  <c r="P5608" i="11"/>
  <c r="P5609" i="11"/>
  <c r="Q5609" i="11"/>
  <c r="P5610" i="11"/>
  <c r="P5611" i="11"/>
  <c r="Q5611" i="11" s="1"/>
  <c r="P5612" i="11"/>
  <c r="P5613" i="11"/>
  <c r="Q5613" i="11" s="1"/>
  <c r="P5614" i="11"/>
  <c r="P5615" i="11"/>
  <c r="Q5615" i="11" s="1"/>
  <c r="P5616" i="11"/>
  <c r="P5617" i="11"/>
  <c r="Q5617" i="11" s="1"/>
  <c r="P5618" i="11"/>
  <c r="P5619" i="11"/>
  <c r="Q5619" i="11" s="1"/>
  <c r="P5620" i="11"/>
  <c r="P5621" i="11"/>
  <c r="Q5621" i="11" s="1"/>
  <c r="P5622" i="11"/>
  <c r="P5623" i="11"/>
  <c r="Q5623" i="11" s="1"/>
  <c r="P5624" i="11"/>
  <c r="P5625" i="11"/>
  <c r="Q5625" i="11" s="1"/>
  <c r="P5626" i="11"/>
  <c r="P5627" i="11"/>
  <c r="Q5627" i="11" s="1"/>
  <c r="P5628" i="11"/>
  <c r="P5629" i="11"/>
  <c r="Q5629" i="11" s="1"/>
  <c r="P5630" i="11"/>
  <c r="P5631" i="11"/>
  <c r="Q5631" i="11"/>
  <c r="P5632" i="11"/>
  <c r="P5633" i="11"/>
  <c r="Q5633" i="11" s="1"/>
  <c r="P5634" i="11"/>
  <c r="P5635" i="11"/>
  <c r="Q5635" i="11" s="1"/>
  <c r="P5636" i="11"/>
  <c r="P5637" i="11"/>
  <c r="Q5637" i="11" s="1"/>
  <c r="P5638" i="11"/>
  <c r="P5639" i="11"/>
  <c r="Q5639" i="11" s="1"/>
  <c r="P5640" i="11"/>
  <c r="P5641" i="11"/>
  <c r="Q5641" i="11" s="1"/>
  <c r="P5642" i="11"/>
  <c r="P5643" i="11"/>
  <c r="Q5643" i="11" s="1"/>
  <c r="P5644" i="11"/>
  <c r="P5645" i="11"/>
  <c r="Q5645" i="11" s="1"/>
  <c r="P5646" i="11"/>
  <c r="P5647" i="11"/>
  <c r="Q5647" i="11" s="1"/>
  <c r="P5648" i="11"/>
  <c r="P5649" i="11"/>
  <c r="Q5649" i="11" s="1"/>
  <c r="P5650" i="11"/>
  <c r="P5651" i="11"/>
  <c r="Q5651" i="11" s="1"/>
  <c r="P5652" i="11"/>
  <c r="P5653" i="11"/>
  <c r="Q5653" i="11"/>
  <c r="P5654" i="11"/>
  <c r="P5655" i="11"/>
  <c r="Q5655" i="11" s="1"/>
  <c r="P5656" i="11"/>
  <c r="P5657" i="11"/>
  <c r="Q5657" i="11"/>
  <c r="P5658" i="11"/>
  <c r="P5659" i="11"/>
  <c r="Q5659" i="11" s="1"/>
  <c r="P5660" i="11"/>
  <c r="P5661" i="11"/>
  <c r="Q5661" i="11"/>
  <c r="P5662" i="11"/>
  <c r="P5663" i="11"/>
  <c r="Q5663" i="11" s="1"/>
  <c r="P5664" i="11"/>
  <c r="P5665" i="11"/>
  <c r="Q5665" i="11" s="1"/>
  <c r="P5666" i="11"/>
  <c r="P5667" i="11"/>
  <c r="Q5667" i="11" s="1"/>
  <c r="P5668" i="11"/>
  <c r="P5669" i="11"/>
  <c r="Q5669" i="11" s="1"/>
  <c r="P5670" i="11"/>
  <c r="P5671" i="11"/>
  <c r="Q5671" i="11" s="1"/>
  <c r="P5672" i="11"/>
  <c r="P5673" i="11"/>
  <c r="Q5673" i="11"/>
  <c r="P5674" i="11"/>
  <c r="P5675" i="11"/>
  <c r="Q5675" i="11" s="1"/>
  <c r="P5676" i="11"/>
  <c r="P5677" i="11"/>
  <c r="Q5677" i="11" s="1"/>
  <c r="P5678" i="11"/>
  <c r="P5679" i="11"/>
  <c r="Q5679" i="11"/>
  <c r="P5680" i="11"/>
  <c r="P5681" i="11"/>
  <c r="Q5681" i="11" s="1"/>
  <c r="P5682" i="11"/>
  <c r="P5683" i="11"/>
  <c r="Q5683" i="11" s="1"/>
  <c r="P5684" i="11"/>
  <c r="P5685" i="11"/>
  <c r="Q5685" i="11" s="1"/>
  <c r="P5686" i="11"/>
  <c r="P5687" i="11"/>
  <c r="Q5687" i="11"/>
  <c r="P5688" i="11"/>
  <c r="P5689" i="11"/>
  <c r="Q5689" i="11" s="1"/>
  <c r="P5690" i="11"/>
  <c r="P5691" i="11"/>
  <c r="Q5691" i="11" s="1"/>
  <c r="P5692" i="11"/>
  <c r="P5693" i="11"/>
  <c r="Q5693" i="11" s="1"/>
  <c r="P5694" i="11"/>
  <c r="P5695" i="11"/>
  <c r="Q5695" i="11" s="1"/>
  <c r="P5696" i="11"/>
  <c r="P5697" i="11"/>
  <c r="Q5697" i="11" s="1"/>
  <c r="P5698" i="11"/>
  <c r="P5699" i="11"/>
  <c r="Q5699" i="11" s="1"/>
  <c r="P5700" i="11"/>
  <c r="P5701" i="11"/>
  <c r="Q5701" i="11"/>
  <c r="P5702" i="11"/>
  <c r="P5703" i="11"/>
  <c r="Q5703" i="11" s="1"/>
  <c r="P5704" i="11"/>
  <c r="P5705" i="11"/>
  <c r="Q5705" i="11"/>
  <c r="P5706" i="11"/>
  <c r="P5707" i="11"/>
  <c r="Q5707" i="11" s="1"/>
  <c r="P5708" i="11"/>
  <c r="P5709" i="11"/>
  <c r="Q5709" i="11" s="1"/>
  <c r="P5710" i="11"/>
  <c r="P5711" i="11"/>
  <c r="Q5711" i="11" s="1"/>
  <c r="P5712" i="11"/>
  <c r="P5713" i="11"/>
  <c r="Q5713" i="11"/>
  <c r="P5714" i="11"/>
  <c r="P5715" i="11"/>
  <c r="Q5715" i="11" s="1"/>
  <c r="P5716" i="11"/>
  <c r="P5717" i="11"/>
  <c r="Q5717" i="11"/>
  <c r="P5718" i="11"/>
  <c r="P5719" i="11"/>
  <c r="Q5719" i="11" s="1"/>
  <c r="P5720" i="11"/>
  <c r="P5721" i="11"/>
  <c r="Q5721" i="11" s="1"/>
  <c r="P5722" i="11"/>
  <c r="P5723" i="11"/>
  <c r="Q5723" i="11" s="1"/>
  <c r="P5724" i="11"/>
  <c r="P5725" i="11"/>
  <c r="Q5725" i="11" s="1"/>
  <c r="P5726" i="11"/>
  <c r="P5727" i="11"/>
  <c r="Q5727" i="11"/>
  <c r="P5728" i="11"/>
  <c r="P5729" i="11"/>
  <c r="Q5729" i="11" s="1"/>
  <c r="P5730" i="11"/>
  <c r="P5731" i="11"/>
  <c r="Q5731" i="11" s="1"/>
  <c r="P5732" i="11"/>
  <c r="P5733" i="11"/>
  <c r="Q5733" i="11" s="1"/>
  <c r="P5734" i="11"/>
  <c r="P5735" i="11"/>
  <c r="Q5735" i="11" s="1"/>
  <c r="P5736" i="11"/>
  <c r="P5737" i="11"/>
  <c r="Q5737" i="11" s="1"/>
  <c r="P5738" i="11"/>
  <c r="P5739" i="11"/>
  <c r="Q5739" i="11" s="1"/>
  <c r="P5740" i="11"/>
  <c r="P5741" i="11"/>
  <c r="Q5741" i="11" s="1"/>
  <c r="P5742" i="11"/>
  <c r="P5743" i="11"/>
  <c r="Q5743" i="11"/>
  <c r="P5744" i="11"/>
  <c r="P5745" i="11"/>
  <c r="Q5745" i="11" s="1"/>
  <c r="P5746" i="11"/>
  <c r="P5747" i="11"/>
  <c r="Q5747" i="11" s="1"/>
  <c r="P5748" i="11"/>
  <c r="P5749" i="11"/>
  <c r="Q5749" i="11"/>
  <c r="P5750" i="11"/>
  <c r="P5751" i="11"/>
  <c r="Q5751" i="11" s="1"/>
  <c r="P5752" i="11"/>
  <c r="P5753" i="11"/>
  <c r="Q5753" i="11"/>
  <c r="P5754" i="11"/>
  <c r="P5755" i="11"/>
  <c r="Q5755" i="11" s="1"/>
  <c r="P5756" i="11"/>
  <c r="P5757" i="11"/>
  <c r="Q5757" i="11"/>
  <c r="P5758" i="11"/>
  <c r="P5759" i="11"/>
  <c r="Q5759" i="11" s="1"/>
  <c r="P5760" i="11"/>
  <c r="P5761" i="11"/>
  <c r="Q5761" i="11" s="1"/>
  <c r="P5762" i="11"/>
  <c r="P5763" i="11"/>
  <c r="Q5763" i="11" s="1"/>
  <c r="P5764" i="11"/>
  <c r="P5765" i="11"/>
  <c r="Q5765" i="11" s="1"/>
  <c r="P5766" i="11"/>
  <c r="P5767" i="11"/>
  <c r="Q5767" i="11" s="1"/>
  <c r="P5768" i="11"/>
  <c r="P5769" i="11"/>
  <c r="Q5769" i="11"/>
  <c r="P5770" i="11"/>
  <c r="P5771" i="11"/>
  <c r="Q5771" i="11" s="1"/>
  <c r="P5772" i="11"/>
  <c r="P5773" i="11"/>
  <c r="Q5773" i="11" s="1"/>
  <c r="P5774" i="11"/>
  <c r="P5775" i="11"/>
  <c r="Q5775" i="11"/>
  <c r="P5776" i="11"/>
  <c r="P5777" i="11"/>
  <c r="Q5777" i="11" s="1"/>
  <c r="P5778" i="11"/>
  <c r="P5779" i="11"/>
  <c r="Q5779" i="11" s="1"/>
  <c r="P5780" i="11"/>
  <c r="P5781" i="11"/>
  <c r="Q5781" i="11" s="1"/>
  <c r="P5782" i="11"/>
  <c r="P5783" i="11"/>
  <c r="Q5783" i="11"/>
  <c r="P5784" i="11"/>
  <c r="P5785" i="11"/>
  <c r="Q5785" i="11" s="1"/>
  <c r="P5786" i="11"/>
  <c r="P5787" i="11"/>
  <c r="Q5787" i="11" s="1"/>
  <c r="P5788" i="11"/>
  <c r="P5789" i="11"/>
  <c r="Q5789" i="11" s="1"/>
  <c r="P5790" i="11"/>
  <c r="P5791" i="11"/>
  <c r="Q5791" i="11" s="1"/>
  <c r="P5792" i="11"/>
  <c r="P5793" i="11"/>
  <c r="Q5793" i="11" s="1"/>
  <c r="P5794" i="11"/>
  <c r="P5795" i="11"/>
  <c r="Q5795" i="11" s="1"/>
  <c r="P5796" i="11"/>
  <c r="P5797" i="11"/>
  <c r="Q5797" i="11"/>
  <c r="P5798" i="11"/>
  <c r="P5799" i="11"/>
  <c r="Q5799" i="11" s="1"/>
  <c r="P5800" i="11"/>
  <c r="P5801" i="11"/>
  <c r="Q5801" i="11"/>
  <c r="P5802" i="11"/>
  <c r="P5803" i="11"/>
  <c r="Q5803" i="11" s="1"/>
  <c r="P5804" i="11"/>
  <c r="P5805" i="11"/>
  <c r="Q5805" i="11" s="1"/>
  <c r="P5806" i="11"/>
  <c r="P5807" i="11"/>
  <c r="Q5807" i="11" s="1"/>
  <c r="P5808" i="11"/>
  <c r="P5809" i="11"/>
  <c r="Q5809" i="11"/>
  <c r="P5810" i="11"/>
  <c r="P5811" i="11"/>
  <c r="Q5811" i="11" s="1"/>
  <c r="P5812" i="11"/>
  <c r="P5813" i="11"/>
  <c r="Q5813" i="11"/>
  <c r="P5814" i="11"/>
  <c r="P5815" i="11"/>
  <c r="Q5815" i="11" s="1"/>
  <c r="P5816" i="11"/>
  <c r="P5817" i="11"/>
  <c r="Q5817" i="11" s="1"/>
  <c r="P5818" i="11"/>
  <c r="P5819" i="11"/>
  <c r="Q5819" i="11" s="1"/>
  <c r="P5820" i="11"/>
  <c r="P5821" i="11"/>
  <c r="Q5821" i="11" s="1"/>
  <c r="P5822" i="11"/>
  <c r="P5823" i="11"/>
  <c r="Q5823" i="11"/>
  <c r="P5824" i="11"/>
  <c r="P5825" i="11"/>
  <c r="Q5825" i="11" s="1"/>
  <c r="P5826" i="11"/>
  <c r="P5827" i="11"/>
  <c r="Q5827" i="11"/>
  <c r="P5828" i="11"/>
  <c r="P5829" i="11"/>
  <c r="Q5829" i="11" s="1"/>
  <c r="P5830" i="11"/>
  <c r="P5831" i="11"/>
  <c r="Q5831" i="11"/>
  <c r="P5832" i="11"/>
  <c r="P5833" i="11"/>
  <c r="Q5833" i="11" s="1"/>
  <c r="P5834" i="11"/>
  <c r="P5835" i="11"/>
  <c r="Q5835" i="11"/>
  <c r="P5836" i="11"/>
  <c r="P5837" i="11"/>
  <c r="Q5837" i="11" s="1"/>
  <c r="P5838" i="11"/>
  <c r="P5839" i="11"/>
  <c r="Q5839" i="11"/>
  <c r="P5840" i="11"/>
  <c r="P5841" i="11"/>
  <c r="Q5841" i="11" s="1"/>
  <c r="P5842" i="11"/>
  <c r="P5843" i="11"/>
  <c r="Q5843" i="11"/>
  <c r="P5844" i="11"/>
  <c r="P5845" i="11"/>
  <c r="Q5845" i="11" s="1"/>
  <c r="P5846" i="11"/>
  <c r="P5847" i="11"/>
  <c r="Q5847" i="11"/>
  <c r="P5848" i="11"/>
  <c r="P5849" i="11"/>
  <c r="Q5849" i="11" s="1"/>
  <c r="P5850" i="11"/>
  <c r="P5851" i="11"/>
  <c r="Q5851" i="11"/>
  <c r="P5852" i="11"/>
  <c r="P5853" i="11"/>
  <c r="Q5853" i="11" s="1"/>
  <c r="P5854" i="11"/>
  <c r="P5855" i="11"/>
  <c r="Q5855" i="11"/>
  <c r="P5856" i="11"/>
  <c r="P5857" i="11"/>
  <c r="Q5857" i="11" s="1"/>
  <c r="P5858" i="11"/>
  <c r="P5859" i="11"/>
  <c r="Q5859" i="11"/>
  <c r="P5860" i="11"/>
  <c r="P5861" i="11"/>
  <c r="Q5861" i="11" s="1"/>
  <c r="P5862" i="11"/>
  <c r="P5863" i="11"/>
  <c r="Q5863" i="11"/>
  <c r="P5864" i="11"/>
  <c r="P5865" i="11"/>
  <c r="Q5865" i="11" s="1"/>
  <c r="P5866" i="11"/>
  <c r="P5867" i="11"/>
  <c r="Q5867" i="11"/>
  <c r="P5868" i="11"/>
  <c r="P5869" i="11"/>
  <c r="Q5869" i="11" s="1"/>
  <c r="P5870" i="11"/>
  <c r="P5871" i="11"/>
  <c r="Q5871" i="11"/>
  <c r="P5872" i="11"/>
  <c r="P5873" i="11"/>
  <c r="Q5873" i="11" s="1"/>
  <c r="P5874" i="11"/>
  <c r="P5875" i="11"/>
  <c r="Q5875" i="11"/>
  <c r="P5876" i="11"/>
  <c r="P5877" i="11"/>
  <c r="Q5877" i="11" s="1"/>
  <c r="P5878" i="11"/>
  <c r="P5879" i="11"/>
  <c r="Q5879" i="11"/>
  <c r="P5880" i="11"/>
  <c r="P5881" i="11"/>
  <c r="Q5881" i="11" s="1"/>
  <c r="P5882" i="11"/>
  <c r="P5883" i="11"/>
  <c r="Q5883" i="11"/>
  <c r="P5884" i="11"/>
  <c r="P5885" i="11"/>
  <c r="Q5885" i="11" s="1"/>
  <c r="P5886" i="11"/>
  <c r="P5887" i="11"/>
  <c r="Q5887" i="11"/>
  <c r="P5888" i="11"/>
  <c r="P5889" i="11"/>
  <c r="Q5889" i="11" s="1"/>
  <c r="P5890" i="11"/>
  <c r="P5891" i="11"/>
  <c r="Q5891" i="11"/>
  <c r="P5892" i="11"/>
  <c r="P5893" i="11"/>
  <c r="Q5893" i="11" s="1"/>
  <c r="P5894" i="11"/>
  <c r="P5895" i="11"/>
  <c r="Q5895" i="11"/>
  <c r="P5896" i="11"/>
  <c r="P5897" i="11"/>
  <c r="Q5897" i="11" s="1"/>
  <c r="P5898" i="11"/>
  <c r="P5899" i="11"/>
  <c r="Q5899" i="11"/>
  <c r="P5900" i="11"/>
  <c r="P5901" i="11"/>
  <c r="Q5901" i="11" s="1"/>
  <c r="P5902" i="11"/>
  <c r="P5903" i="11"/>
  <c r="Q5903" i="11"/>
  <c r="P5904" i="11"/>
  <c r="P5905" i="11"/>
  <c r="Q5905" i="11" s="1"/>
  <c r="P5906" i="11"/>
  <c r="P5907" i="11"/>
  <c r="Q5907" i="11"/>
  <c r="P5908" i="11"/>
  <c r="P5909" i="11"/>
  <c r="Q5909" i="11" s="1"/>
  <c r="P5910" i="11"/>
  <c r="P5911" i="11"/>
  <c r="Q5911" i="11"/>
  <c r="P5912" i="11"/>
  <c r="P5913" i="11"/>
  <c r="Q5913" i="11" s="1"/>
  <c r="P5914" i="11"/>
  <c r="P5915" i="11"/>
  <c r="Q5915" i="11"/>
  <c r="P5916" i="11"/>
  <c r="P5917" i="11"/>
  <c r="Q5917" i="11" s="1"/>
  <c r="P5918" i="11"/>
  <c r="P5919" i="11"/>
  <c r="Q5919" i="11"/>
  <c r="P5920" i="11"/>
  <c r="P5921" i="11"/>
  <c r="Q5921" i="11" s="1"/>
  <c r="P5922" i="11"/>
  <c r="P5923" i="11"/>
  <c r="Q5923" i="11"/>
  <c r="P5924" i="11"/>
  <c r="P5925" i="11"/>
  <c r="Q5925" i="11" s="1"/>
  <c r="P5926" i="11"/>
  <c r="P5927" i="11"/>
  <c r="Q5927" i="11"/>
  <c r="P5928" i="11"/>
  <c r="P5929" i="11"/>
  <c r="Q5929" i="11" s="1"/>
  <c r="P5930" i="11"/>
  <c r="P5931" i="11"/>
  <c r="Q5931" i="11"/>
  <c r="P5932" i="11"/>
  <c r="P5933" i="11"/>
  <c r="Q5933" i="11" s="1"/>
  <c r="P5934" i="11"/>
  <c r="P5935" i="11"/>
  <c r="Q5935" i="11"/>
  <c r="P5936" i="11"/>
  <c r="P5937" i="11"/>
  <c r="Q5937" i="11" s="1"/>
  <c r="P5938" i="11"/>
  <c r="P5939" i="11"/>
  <c r="Q5939" i="11"/>
  <c r="P5940" i="11"/>
  <c r="P5941" i="11"/>
  <c r="Q5941" i="11" s="1"/>
  <c r="P5942" i="11"/>
  <c r="P5943" i="11"/>
  <c r="Q5943" i="11"/>
  <c r="P5944" i="11"/>
  <c r="P5945" i="11"/>
  <c r="Q5945" i="11" s="1"/>
  <c r="P5946" i="11"/>
  <c r="P5947" i="11"/>
  <c r="Q5947" i="11"/>
  <c r="P5948" i="11"/>
  <c r="P5949" i="11"/>
  <c r="Q5949" i="11" s="1"/>
  <c r="P5950" i="11"/>
  <c r="P5951" i="11"/>
  <c r="Q5951" i="11"/>
  <c r="P5952" i="11"/>
  <c r="P5953" i="11"/>
  <c r="Q5953" i="11" s="1"/>
  <c r="P5954" i="11"/>
  <c r="P5955" i="11"/>
  <c r="Q5955" i="11"/>
  <c r="P5956" i="11"/>
  <c r="P5957" i="11"/>
  <c r="Q5957" i="11" s="1"/>
  <c r="P5958" i="11"/>
  <c r="P5959" i="11"/>
  <c r="Q5959" i="11"/>
  <c r="P5960" i="11"/>
  <c r="P5961" i="11"/>
  <c r="Q5961" i="11" s="1"/>
  <c r="P5962" i="11"/>
  <c r="P5963" i="11"/>
  <c r="Q5963" i="11"/>
  <c r="P5964" i="11"/>
  <c r="P5965" i="11"/>
  <c r="Q5965" i="11" s="1"/>
  <c r="P5966" i="11"/>
  <c r="P5967" i="11"/>
  <c r="Q5967" i="11"/>
  <c r="P5968" i="11"/>
  <c r="P5969" i="11"/>
  <c r="Q5969" i="11" s="1"/>
  <c r="P5970" i="11"/>
  <c r="P5971" i="11"/>
  <c r="Q5971" i="11"/>
  <c r="P5972" i="11"/>
  <c r="P5973" i="11"/>
  <c r="Q5973" i="11" s="1"/>
  <c r="P5974" i="11"/>
  <c r="P5975" i="11"/>
  <c r="Q5975" i="11"/>
  <c r="P5976" i="11"/>
  <c r="P5977" i="11"/>
  <c r="Q5977" i="11" s="1"/>
  <c r="P5978" i="11"/>
  <c r="P5979" i="11"/>
  <c r="Q5979" i="11"/>
  <c r="P5980" i="11"/>
  <c r="P5981" i="11"/>
  <c r="Q5981" i="11" s="1"/>
  <c r="P5982" i="11"/>
  <c r="P5983" i="11"/>
  <c r="Q5983" i="11"/>
  <c r="P5984" i="11"/>
  <c r="P5985" i="11"/>
  <c r="Q5985" i="11" s="1"/>
  <c r="P5986" i="11"/>
  <c r="P5987" i="11"/>
  <c r="Q5987" i="11"/>
  <c r="P5988" i="11"/>
  <c r="P5989" i="11"/>
  <c r="Q5989" i="11" s="1"/>
  <c r="P5990" i="11"/>
  <c r="P5991" i="11"/>
  <c r="Q5991" i="11"/>
  <c r="P5992" i="11"/>
  <c r="P5993" i="11"/>
  <c r="Q5993" i="11" s="1"/>
  <c r="P5994" i="11"/>
  <c r="P5995" i="11"/>
  <c r="Q5995" i="11"/>
  <c r="P5996" i="11"/>
  <c r="P5997" i="11"/>
  <c r="Q5997" i="11" s="1"/>
  <c r="P5998" i="11"/>
  <c r="P5999" i="11"/>
  <c r="Q5999" i="11"/>
  <c r="P6000" i="11"/>
  <c r="P6001" i="11"/>
  <c r="Q6001" i="11" s="1"/>
  <c r="P6002" i="11"/>
  <c r="P6003" i="11"/>
  <c r="Q6003" i="11"/>
  <c r="P6004" i="11"/>
  <c r="P6005" i="11"/>
  <c r="Q6005" i="11" s="1"/>
  <c r="P6006" i="11"/>
  <c r="P6007" i="11"/>
  <c r="Q6007" i="11"/>
  <c r="P6008" i="11"/>
  <c r="P6009" i="11"/>
  <c r="Q6009" i="11" s="1"/>
  <c r="P6010" i="11"/>
  <c r="P6011" i="11"/>
  <c r="Q6011" i="11"/>
  <c r="P6012" i="11"/>
  <c r="P6013" i="11"/>
  <c r="Q6013" i="11" s="1"/>
  <c r="P6014" i="11"/>
  <c r="P6015" i="11"/>
  <c r="Q6015" i="11"/>
  <c r="P6016" i="11"/>
  <c r="P6017" i="11"/>
  <c r="Q6017" i="11" s="1"/>
  <c r="P6018" i="11"/>
  <c r="P6019" i="11"/>
  <c r="Q6019" i="11"/>
  <c r="P6020" i="11"/>
  <c r="P6021" i="11"/>
  <c r="Q6021" i="11" s="1"/>
  <c r="P6022" i="11"/>
  <c r="P6023" i="11"/>
  <c r="Q6023" i="11"/>
  <c r="P6024" i="11"/>
  <c r="P6025" i="11"/>
  <c r="Q6025" i="11" s="1"/>
  <c r="P6026" i="11"/>
  <c r="P6027" i="11"/>
  <c r="Q6027" i="11"/>
  <c r="P6028" i="11"/>
  <c r="P6029" i="11"/>
  <c r="Q6029" i="11" s="1"/>
  <c r="P6030" i="11"/>
  <c r="P6031" i="11"/>
  <c r="Q6031" i="11"/>
  <c r="P6032" i="11"/>
  <c r="P6033" i="11"/>
  <c r="Q6033" i="11" s="1"/>
  <c r="P6034" i="11"/>
  <c r="P6035" i="11"/>
  <c r="Q6035" i="11"/>
  <c r="P6036" i="11"/>
  <c r="P6037" i="11"/>
  <c r="Q6037" i="11" s="1"/>
  <c r="P6038" i="11"/>
  <c r="P6039" i="11"/>
  <c r="Q6039" i="11"/>
  <c r="P6040" i="11"/>
  <c r="P6041" i="11"/>
  <c r="Q6041" i="11" s="1"/>
  <c r="P6042" i="11"/>
  <c r="P6043" i="11"/>
  <c r="Q6043" i="11"/>
  <c r="P6044" i="11"/>
  <c r="P6045" i="11"/>
  <c r="Q6045" i="11" s="1"/>
  <c r="P6046" i="11"/>
  <c r="P6047" i="11"/>
  <c r="Q6047" i="11"/>
  <c r="P6048" i="11"/>
  <c r="P6049" i="11"/>
  <c r="Q6049" i="11" s="1"/>
  <c r="P6050" i="11"/>
  <c r="P6051" i="11"/>
  <c r="Q6051" i="11"/>
  <c r="P6052" i="11"/>
  <c r="P6053" i="11"/>
  <c r="Q6053" i="11" s="1"/>
  <c r="P6054" i="11"/>
  <c r="P6055" i="11"/>
  <c r="Q6055" i="11"/>
  <c r="P6056" i="11"/>
  <c r="P6057" i="11"/>
  <c r="Q6057" i="11" s="1"/>
  <c r="P6058" i="11"/>
  <c r="P6059" i="11"/>
  <c r="Q6059" i="11"/>
  <c r="P6060" i="11"/>
  <c r="P6061" i="11"/>
  <c r="Q6061" i="11" s="1"/>
  <c r="P6062" i="11"/>
  <c r="P6063" i="11"/>
  <c r="Q6063" i="11"/>
  <c r="P6064" i="11"/>
  <c r="P6065" i="11"/>
  <c r="Q6065" i="11" s="1"/>
  <c r="P6066" i="11"/>
  <c r="P6067" i="11"/>
  <c r="Q6067" i="11"/>
  <c r="P6068" i="11"/>
  <c r="P6069" i="11"/>
  <c r="Q6069" i="11" s="1"/>
  <c r="P6070" i="11"/>
  <c r="P6071" i="11"/>
  <c r="Q6071" i="11"/>
  <c r="P6072" i="11"/>
  <c r="P6073" i="11"/>
  <c r="Q6073" i="11" s="1"/>
  <c r="P6074" i="11"/>
  <c r="P6075" i="11"/>
  <c r="Q6075" i="11"/>
  <c r="P6076" i="11"/>
  <c r="P6077" i="11"/>
  <c r="Q6077" i="11" s="1"/>
  <c r="P6078" i="11"/>
  <c r="P6079" i="11"/>
  <c r="Q6079" i="11"/>
  <c r="P6080" i="11"/>
  <c r="P6081" i="11"/>
  <c r="Q6081" i="11" s="1"/>
  <c r="P6082" i="11"/>
  <c r="P6083" i="11"/>
  <c r="Q6083" i="11"/>
  <c r="P6084" i="11"/>
  <c r="P6085" i="11"/>
  <c r="Q6085" i="11" s="1"/>
  <c r="P6086" i="11"/>
  <c r="P6087" i="11"/>
  <c r="Q6087" i="11"/>
  <c r="P6088" i="11"/>
  <c r="P6089" i="11"/>
  <c r="Q6089" i="11" s="1"/>
  <c r="P6090" i="11"/>
  <c r="P6091" i="11"/>
  <c r="Q6091" i="11"/>
  <c r="P6092" i="11"/>
  <c r="P6093" i="11"/>
  <c r="Q6093" i="11" s="1"/>
  <c r="P6094" i="11"/>
  <c r="P6095" i="11"/>
  <c r="Q6095" i="11"/>
  <c r="P6096" i="11"/>
  <c r="P6097" i="11"/>
  <c r="Q6097" i="11" s="1"/>
  <c r="P6098" i="11"/>
  <c r="P6099" i="11"/>
  <c r="Q6099" i="11"/>
  <c r="P6100" i="11"/>
  <c r="P6101" i="11"/>
  <c r="Q6101" i="11" s="1"/>
  <c r="P6102" i="11"/>
  <c r="P6103" i="11"/>
  <c r="Q6103" i="11"/>
  <c r="P6104" i="11"/>
  <c r="P6105" i="11"/>
  <c r="Q6105" i="11" s="1"/>
  <c r="P6106" i="11"/>
  <c r="P6107" i="11"/>
  <c r="Q6107" i="11"/>
  <c r="P6108" i="11"/>
  <c r="P6109" i="11"/>
  <c r="Q6109" i="11" s="1"/>
  <c r="P6110" i="11"/>
  <c r="P6111" i="11"/>
  <c r="Q6111" i="11"/>
  <c r="P6112" i="11"/>
  <c r="P6113" i="11"/>
  <c r="Q6113" i="11" s="1"/>
  <c r="P6114" i="11"/>
  <c r="P6115" i="11"/>
  <c r="Q6115" i="11"/>
  <c r="P6116" i="11"/>
  <c r="P6117" i="11"/>
  <c r="Q6117" i="11" s="1"/>
  <c r="P6118" i="11"/>
  <c r="P6119" i="11"/>
  <c r="Q6119" i="11"/>
  <c r="P6120" i="11"/>
  <c r="P6121" i="11"/>
  <c r="Q6121" i="11" s="1"/>
  <c r="P6122" i="11"/>
  <c r="P6123" i="11"/>
  <c r="Q6123" i="11"/>
  <c r="P6124" i="11"/>
  <c r="P6125" i="11"/>
  <c r="Q6125" i="11" s="1"/>
  <c r="P6126" i="11"/>
  <c r="P6127" i="11"/>
  <c r="Q6127" i="11"/>
  <c r="P6128" i="11"/>
  <c r="P6129" i="11"/>
  <c r="Q6129" i="11" s="1"/>
  <c r="P6130" i="11"/>
  <c r="P6131" i="11"/>
  <c r="Q6131" i="11"/>
  <c r="P6132" i="11"/>
  <c r="P6133" i="11"/>
  <c r="Q6133" i="11" s="1"/>
  <c r="P6134" i="11"/>
  <c r="P6135" i="11"/>
  <c r="Q6135" i="11"/>
  <c r="P6136" i="11"/>
  <c r="P6137" i="11"/>
  <c r="Q6137" i="11" s="1"/>
  <c r="P6138" i="11"/>
  <c r="P6139" i="11"/>
  <c r="Q6139" i="11"/>
  <c r="P6140" i="11"/>
  <c r="P6141" i="11"/>
  <c r="Q6141" i="11" s="1"/>
  <c r="P6142" i="11"/>
  <c r="P6143" i="11"/>
  <c r="Q6143" i="11"/>
  <c r="P6144" i="11"/>
  <c r="P6145" i="11"/>
  <c r="Q6145" i="11" s="1"/>
  <c r="P6146" i="11"/>
  <c r="P6147" i="11"/>
  <c r="Q6147" i="11"/>
  <c r="P6148" i="11"/>
  <c r="P6149" i="11"/>
  <c r="Q6149" i="11" s="1"/>
  <c r="P6150" i="11"/>
  <c r="P6151" i="11"/>
  <c r="Q6151" i="11"/>
  <c r="P6152" i="11"/>
  <c r="P6153" i="11"/>
  <c r="Q6153" i="11" s="1"/>
  <c r="P6154" i="11"/>
  <c r="P6155" i="11"/>
  <c r="Q6155" i="11"/>
  <c r="P6156" i="11"/>
  <c r="P6157" i="11"/>
  <c r="Q6157" i="11" s="1"/>
  <c r="P6158" i="11"/>
  <c r="P6159" i="11"/>
  <c r="Q6159" i="11"/>
  <c r="P6160" i="11"/>
  <c r="P6161" i="11"/>
  <c r="Q6161" i="11" s="1"/>
  <c r="P6162" i="11"/>
  <c r="P6163" i="11"/>
  <c r="Q6163" i="11"/>
  <c r="P6164" i="11"/>
  <c r="P6165" i="11"/>
  <c r="Q6165" i="11" s="1"/>
  <c r="P6166" i="11"/>
  <c r="P6167" i="11"/>
  <c r="Q6167" i="11"/>
  <c r="P6168" i="11"/>
  <c r="P6169" i="11"/>
  <c r="Q6169" i="11" s="1"/>
  <c r="P6170" i="11"/>
  <c r="P6171" i="11"/>
  <c r="Q6171" i="11"/>
  <c r="P6172" i="11"/>
  <c r="P6173" i="11"/>
  <c r="Q6173" i="11" s="1"/>
  <c r="P6174" i="11"/>
  <c r="P6175" i="11"/>
  <c r="Q6175" i="11"/>
  <c r="P6176" i="11"/>
  <c r="P6177" i="11"/>
  <c r="Q6177" i="11" s="1"/>
  <c r="P6178" i="11"/>
  <c r="P6179" i="11"/>
  <c r="Q6179" i="11"/>
  <c r="P6180" i="11"/>
  <c r="P6181" i="11"/>
  <c r="Q6181" i="11" s="1"/>
  <c r="P6182" i="11"/>
  <c r="P6183" i="11"/>
  <c r="Q6183" i="11"/>
  <c r="P6184" i="11"/>
  <c r="P6185" i="11"/>
  <c r="Q6185" i="11" s="1"/>
  <c r="P6186" i="11"/>
  <c r="Q16" i="11"/>
  <c r="Q18" i="11"/>
  <c r="Q20" i="11"/>
  <c r="Q22" i="11"/>
  <c r="Q24" i="11"/>
  <c r="Q26" i="11"/>
  <c r="Q28" i="11"/>
  <c r="Q30" i="11"/>
  <c r="Q32" i="11"/>
  <c r="Q34" i="11"/>
  <c r="Q36" i="11"/>
  <c r="Q38" i="11"/>
  <c r="Q40" i="11"/>
  <c r="Q42" i="11"/>
  <c r="Q44" i="11"/>
  <c r="Q46" i="11"/>
  <c r="Q48" i="11"/>
  <c r="Q50" i="11"/>
  <c r="Q52" i="11"/>
  <c r="Q54" i="11"/>
  <c r="Q56" i="11"/>
  <c r="Q58" i="11"/>
  <c r="Q60" i="11"/>
  <c r="Q62" i="11"/>
  <c r="Q64" i="11"/>
  <c r="Q66" i="11"/>
  <c r="Q68" i="11"/>
  <c r="Q70" i="11"/>
  <c r="Q72" i="11"/>
  <c r="Q74" i="11"/>
  <c r="Q76" i="11"/>
  <c r="Q78" i="11"/>
  <c r="Q80" i="11"/>
  <c r="Q82" i="11"/>
  <c r="Q84" i="11"/>
  <c r="Q86" i="11"/>
  <c r="Q88" i="11"/>
  <c r="Q90" i="11"/>
  <c r="Q92" i="11"/>
  <c r="Q94" i="11"/>
  <c r="Q96" i="11"/>
  <c r="Q98" i="11"/>
  <c r="Q100" i="11"/>
  <c r="Q102" i="11"/>
  <c r="Q104" i="11"/>
  <c r="Q106" i="11"/>
  <c r="Q108" i="11"/>
  <c r="Q110" i="11"/>
  <c r="Q112" i="11"/>
  <c r="Q114" i="11"/>
  <c r="Q116" i="11"/>
  <c r="Q118" i="11"/>
  <c r="Q120" i="11"/>
  <c r="Q122" i="11"/>
  <c r="Q124" i="11"/>
  <c r="Q126" i="11"/>
  <c r="Q128" i="11"/>
  <c r="Q130" i="11"/>
  <c r="Q132" i="11"/>
  <c r="Q134" i="11"/>
  <c r="Q136" i="11"/>
  <c r="Q138" i="11"/>
  <c r="Q140" i="11"/>
  <c r="Q142" i="11"/>
  <c r="Q144" i="11"/>
  <c r="Q146" i="11"/>
  <c r="Q148" i="11"/>
  <c r="Q150" i="11"/>
  <c r="Q152" i="11"/>
  <c r="Q154" i="11"/>
  <c r="Q156" i="11"/>
  <c r="Q158" i="11"/>
  <c r="Q160" i="11"/>
  <c r="Q162" i="11"/>
  <c r="Q164" i="11"/>
  <c r="Q166" i="11"/>
  <c r="Q168" i="11"/>
  <c r="Q170" i="11"/>
  <c r="Q172" i="11"/>
  <c r="Q174" i="11"/>
  <c r="Q176" i="11"/>
  <c r="Q178" i="11"/>
  <c r="Q180" i="11"/>
  <c r="Q182" i="11"/>
  <c r="Q184" i="11"/>
  <c r="Q186" i="11"/>
  <c r="Q188" i="11"/>
  <c r="Q190" i="11"/>
  <c r="Q192" i="11"/>
  <c r="Q194" i="11"/>
  <c r="Q196" i="11"/>
  <c r="Q198" i="11"/>
  <c r="Q200" i="11"/>
  <c r="Q202" i="11"/>
  <c r="Q204" i="11"/>
  <c r="Q206" i="11"/>
  <c r="Q208" i="11"/>
  <c r="Q210" i="11"/>
  <c r="Q212" i="11"/>
  <c r="Q214" i="11"/>
  <c r="Q216" i="11"/>
  <c r="Q218" i="11"/>
  <c r="Q220" i="11"/>
  <c r="Q222" i="11"/>
  <c r="Q224" i="11"/>
  <c r="Q226" i="11"/>
  <c r="Q228" i="11"/>
  <c r="Q230" i="11"/>
  <c r="Q232" i="11"/>
  <c r="Q234" i="11"/>
  <c r="Q236" i="11"/>
  <c r="Q238" i="11"/>
  <c r="Q240" i="11"/>
  <c r="Q242" i="11"/>
  <c r="Q244" i="11"/>
  <c r="Q246" i="11"/>
  <c r="Q248" i="11"/>
  <c r="Q250" i="11"/>
  <c r="Q252" i="11"/>
  <c r="Q254" i="11"/>
  <c r="Q256" i="11"/>
  <c r="Q258" i="11"/>
  <c r="Q260" i="11"/>
  <c r="Q262" i="11"/>
  <c r="Q264" i="11"/>
  <c r="Q266" i="11"/>
  <c r="Q268" i="11"/>
  <c r="Q270" i="11"/>
  <c r="Q272" i="11"/>
  <c r="Q274" i="11"/>
  <c r="Q276" i="11"/>
  <c r="Q278" i="11"/>
  <c r="Q280" i="11"/>
  <c r="Q282" i="11"/>
  <c r="Q284" i="11"/>
  <c r="Q286" i="11"/>
  <c r="Q288" i="11"/>
  <c r="Q290" i="11"/>
  <c r="Q292" i="11"/>
  <c r="Q294" i="11"/>
  <c r="Q296" i="11"/>
  <c r="Q298" i="11"/>
  <c r="Q300" i="11"/>
  <c r="Q302" i="11"/>
  <c r="Q304" i="11"/>
  <c r="Q306" i="11"/>
  <c r="Q308" i="11"/>
  <c r="Q310" i="11"/>
  <c r="Q312" i="11"/>
  <c r="Q314" i="11"/>
  <c r="Q316" i="11"/>
  <c r="Q318" i="11"/>
  <c r="Q320" i="11"/>
  <c r="Q322" i="11"/>
  <c r="Q324" i="11"/>
  <c r="Q326" i="11"/>
  <c r="Q328" i="11"/>
  <c r="Q330" i="11"/>
  <c r="Q332" i="11"/>
  <c r="Q334" i="11"/>
  <c r="Q336" i="11"/>
  <c r="Q338" i="11"/>
  <c r="Q340" i="11"/>
  <c r="Q342" i="11"/>
  <c r="Q344" i="11"/>
  <c r="Q346" i="11"/>
  <c r="Q348" i="11"/>
  <c r="Q350" i="11"/>
  <c r="Q352" i="11"/>
  <c r="Q354" i="11"/>
  <c r="Q356" i="11"/>
  <c r="Q358" i="11"/>
  <c r="Q360" i="11"/>
  <c r="Q362" i="11"/>
  <c r="Q364" i="11"/>
  <c r="Q366" i="11"/>
  <c r="Q368" i="11"/>
  <c r="Q370" i="11"/>
  <c r="Q372" i="11"/>
  <c r="Q374" i="11"/>
  <c r="Q376" i="11"/>
  <c r="Q378" i="11"/>
  <c r="Q380" i="11"/>
  <c r="Q382" i="11"/>
  <c r="Q384" i="11"/>
  <c r="Q386" i="11"/>
  <c r="Q388" i="11"/>
  <c r="Q390" i="11"/>
  <c r="Q392" i="11"/>
  <c r="Q394" i="11"/>
  <c r="Q396" i="11"/>
  <c r="Q398" i="11"/>
  <c r="Q400" i="11"/>
  <c r="Q402" i="11"/>
  <c r="Q404" i="11"/>
  <c r="Q406" i="11"/>
  <c r="Q408" i="11"/>
  <c r="Q410" i="11"/>
  <c r="Q412" i="11"/>
  <c r="Q414" i="11"/>
  <c r="Q416" i="11"/>
  <c r="Q418" i="11"/>
  <c r="Q420" i="11"/>
  <c r="Q422" i="11"/>
  <c r="Q424" i="11"/>
  <c r="Q426" i="11"/>
  <c r="Q428" i="11"/>
  <c r="Q430" i="11"/>
  <c r="Q432" i="11"/>
  <c r="Q434" i="11"/>
  <c r="Q436" i="11"/>
  <c r="Q438" i="11"/>
  <c r="Q440" i="11"/>
  <c r="Q442" i="11"/>
  <c r="Q444" i="11"/>
  <c r="Q446" i="11"/>
  <c r="Q448" i="11"/>
  <c r="Q450" i="11"/>
  <c r="Q452" i="11"/>
  <c r="Q454" i="11"/>
  <c r="Q456" i="11"/>
  <c r="Q458" i="11"/>
  <c r="Q460" i="11"/>
  <c r="Q462" i="11"/>
  <c r="Q464" i="11"/>
  <c r="Q466" i="11"/>
  <c r="Q468" i="11"/>
  <c r="Q470" i="11"/>
  <c r="Q472" i="11"/>
  <c r="Q474" i="11"/>
  <c r="Q476" i="11"/>
  <c r="Q478" i="11"/>
  <c r="Q480" i="11"/>
  <c r="Q482" i="11"/>
  <c r="Q484" i="11"/>
  <c r="Q486" i="11"/>
  <c r="Q488" i="11"/>
  <c r="Q490" i="11"/>
  <c r="Q492" i="11"/>
  <c r="Q494" i="11"/>
  <c r="Q496" i="11"/>
  <c r="Q498" i="11"/>
  <c r="Q500" i="11"/>
  <c r="Q502" i="11"/>
  <c r="Q504" i="11"/>
  <c r="Q506" i="11"/>
  <c r="Q508" i="11"/>
  <c r="Q510" i="11"/>
  <c r="Q512" i="11"/>
  <c r="Q514" i="11"/>
  <c r="Q516" i="11"/>
  <c r="Q518" i="11"/>
  <c r="Q520" i="11"/>
  <c r="Q522" i="11"/>
  <c r="Q524" i="11"/>
  <c r="Q526" i="11"/>
  <c r="Q528" i="11"/>
  <c r="Q530" i="11"/>
  <c r="Q532" i="11"/>
  <c r="Q534" i="11"/>
  <c r="Q536" i="11"/>
  <c r="Q538" i="11"/>
  <c r="Q540" i="11"/>
  <c r="Q542" i="11"/>
  <c r="Q544" i="11"/>
  <c r="Q546" i="11"/>
  <c r="Q548" i="11"/>
  <c r="Q550" i="11"/>
  <c r="Q552" i="11"/>
  <c r="Q554" i="11"/>
  <c r="Q556" i="11"/>
  <c r="Q558" i="11"/>
  <c r="Q560" i="11"/>
  <c r="Q562" i="11"/>
  <c r="Q564" i="11"/>
  <c r="Q566" i="11"/>
  <c r="Q568" i="11"/>
  <c r="Q570" i="11"/>
  <c r="Q572" i="11"/>
  <c r="Q574" i="11"/>
  <c r="Q576" i="11"/>
  <c r="Q578" i="11"/>
  <c r="Q580" i="11"/>
  <c r="Q582" i="11"/>
  <c r="Q584" i="11"/>
  <c r="Q586" i="11"/>
  <c r="Q588" i="11"/>
  <c r="Q590" i="11"/>
  <c r="Q592" i="11"/>
  <c r="Q594" i="11"/>
  <c r="Q596" i="11"/>
  <c r="Q598" i="11"/>
  <c r="Q600" i="11"/>
  <c r="Q602" i="11"/>
  <c r="Q604" i="11"/>
  <c r="Q606" i="11"/>
  <c r="Q608" i="11"/>
  <c r="Q610" i="11"/>
  <c r="Q612" i="11"/>
  <c r="Q614" i="11"/>
  <c r="Q616" i="11"/>
  <c r="Q618" i="11"/>
  <c r="Q620" i="11"/>
  <c r="Q622" i="11"/>
  <c r="Q624" i="11"/>
  <c r="Q626" i="11"/>
  <c r="Q628" i="11"/>
  <c r="Q630" i="11"/>
  <c r="Q632" i="11"/>
  <c r="Q634" i="11"/>
  <c r="Q636" i="11"/>
  <c r="Q638" i="11"/>
  <c r="Q640" i="11"/>
  <c r="Q642" i="11"/>
  <c r="Q644" i="11"/>
  <c r="Q646" i="11"/>
  <c r="Q648" i="11"/>
  <c r="Q650" i="11"/>
  <c r="Q652" i="11"/>
  <c r="Q654" i="11"/>
  <c r="Q656" i="11"/>
  <c r="Q658" i="11"/>
  <c r="Q660" i="11"/>
  <c r="Q662" i="11"/>
  <c r="Q664" i="11"/>
  <c r="Q666" i="11"/>
  <c r="Q668" i="11"/>
  <c r="Q670" i="11"/>
  <c r="Q672" i="11"/>
  <c r="Q674" i="11"/>
  <c r="Q676" i="11"/>
  <c r="Q678" i="11"/>
  <c r="Q680" i="11"/>
  <c r="Q682" i="11"/>
  <c r="Q684" i="11"/>
  <c r="Q686" i="11"/>
  <c r="Q688" i="11"/>
  <c r="Q690" i="11"/>
  <c r="Q692" i="11"/>
  <c r="Q694" i="11"/>
  <c r="Q696" i="11"/>
  <c r="Q698" i="11"/>
  <c r="Q700" i="11"/>
  <c r="Q702" i="11"/>
  <c r="Q704" i="11"/>
  <c r="Q706" i="11"/>
  <c r="Q708" i="11"/>
  <c r="Q710" i="11"/>
  <c r="Q712" i="11"/>
  <c r="Q714" i="11"/>
  <c r="Q716" i="11"/>
  <c r="Q718" i="11"/>
  <c r="Q720" i="11"/>
  <c r="Q722" i="11"/>
  <c r="Q724" i="11"/>
  <c r="Q726" i="11"/>
  <c r="Q728" i="11"/>
  <c r="Q730" i="11"/>
  <c r="Q732" i="11"/>
  <c r="Q734" i="11"/>
  <c r="Q736" i="11"/>
  <c r="Q738" i="11"/>
  <c r="Q740" i="11"/>
  <c r="Q742" i="11"/>
  <c r="Q744" i="11"/>
  <c r="Q746" i="11"/>
  <c r="Q748" i="11"/>
  <c r="Q750" i="11"/>
  <c r="Q752" i="11"/>
  <c r="Q754" i="11"/>
  <c r="Q756" i="11"/>
  <c r="Q758" i="11"/>
  <c r="Q760" i="11"/>
  <c r="Q762" i="11"/>
  <c r="Q764" i="11"/>
  <c r="Q766" i="11"/>
  <c r="Q768" i="11"/>
  <c r="Q770" i="11"/>
  <c r="Q772" i="11"/>
  <c r="Q774" i="11"/>
  <c r="Q776" i="11"/>
  <c r="Q778" i="11"/>
  <c r="Q780" i="11"/>
  <c r="Q782" i="11"/>
  <c r="Q784" i="11"/>
  <c r="Q786" i="11"/>
  <c r="Q788" i="11"/>
  <c r="Q790" i="11"/>
  <c r="Q792" i="11"/>
  <c r="Q794" i="11"/>
  <c r="Q796" i="11"/>
  <c r="Q798" i="11"/>
  <c r="Q800" i="11"/>
  <c r="Q802" i="11"/>
  <c r="Q804" i="11"/>
  <c r="Q806" i="11"/>
  <c r="Q808" i="11"/>
  <c r="Q810" i="11"/>
  <c r="Q812" i="11"/>
  <c r="Q814" i="11"/>
  <c r="Q816" i="11"/>
  <c r="Q818" i="11"/>
  <c r="Q820" i="11"/>
  <c r="Q822" i="11"/>
  <c r="Q824" i="11"/>
  <c r="Q826" i="11"/>
  <c r="Q828" i="11"/>
  <c r="Q830" i="11"/>
  <c r="Q832" i="11"/>
  <c r="Q834" i="11"/>
  <c r="Q836" i="11"/>
  <c r="Q838" i="11"/>
  <c r="Q840" i="11"/>
  <c r="Q842" i="11"/>
  <c r="Q844" i="11"/>
  <c r="Q846" i="11"/>
  <c r="Q848" i="11"/>
  <c r="Q850" i="11"/>
  <c r="Q852" i="11"/>
  <c r="Q854" i="11"/>
  <c r="Q856" i="11"/>
  <c r="Q858" i="11"/>
  <c r="Q860" i="11"/>
  <c r="Q862" i="11"/>
  <c r="Q864" i="11"/>
  <c r="Q866" i="11"/>
  <c r="Q868" i="11"/>
  <c r="Q870" i="11"/>
  <c r="Q872" i="11"/>
  <c r="Q874" i="11"/>
  <c r="Q876" i="11"/>
  <c r="Q878" i="11"/>
  <c r="Q880" i="11"/>
  <c r="Q882" i="11"/>
  <c r="Q884" i="11"/>
  <c r="Q886" i="11"/>
  <c r="Q888" i="11"/>
  <c r="Q890" i="11"/>
  <c r="Q892" i="11"/>
  <c r="Q894" i="11"/>
  <c r="Q896" i="11"/>
  <c r="Q898" i="11"/>
  <c r="Q900" i="11"/>
  <c r="Q902" i="11"/>
  <c r="Q904" i="11"/>
  <c r="Q906" i="11"/>
  <c r="Q908" i="11"/>
  <c r="Q910" i="11"/>
  <c r="Q912" i="11"/>
  <c r="Q914" i="11"/>
  <c r="Q916" i="11"/>
  <c r="Q918" i="11"/>
  <c r="Q920" i="11"/>
  <c r="Q922" i="11"/>
  <c r="Q924" i="11"/>
  <c r="Q926" i="11"/>
  <c r="Q928" i="11"/>
  <c r="Q930" i="11"/>
  <c r="Q932" i="11"/>
  <c r="Q934" i="11"/>
  <c r="Q936" i="11"/>
  <c r="Q938" i="11"/>
  <c r="Q940" i="11"/>
  <c r="Q942" i="11"/>
  <c r="Q944" i="11"/>
  <c r="Q946" i="11"/>
  <c r="Q948" i="11"/>
  <c r="Q950" i="11"/>
  <c r="Q952" i="11"/>
  <c r="Q954" i="11"/>
  <c r="Q956" i="11"/>
  <c r="Q958" i="11"/>
  <c r="Q960" i="11"/>
  <c r="Q962" i="11"/>
  <c r="Q964" i="11"/>
  <c r="Q966" i="11"/>
  <c r="Q968" i="11"/>
  <c r="Q970" i="11"/>
  <c r="Q972" i="11"/>
  <c r="Q974" i="11"/>
  <c r="Q976" i="11"/>
  <c r="Q978" i="11"/>
  <c r="Q980" i="11"/>
  <c r="Q982" i="11"/>
  <c r="Q984" i="11"/>
  <c r="Q986" i="11"/>
  <c r="Q988" i="11"/>
  <c r="Q990" i="11"/>
  <c r="Q992" i="11"/>
  <c r="Q994" i="11"/>
  <c r="Q996" i="11"/>
  <c r="Q998" i="11"/>
  <c r="Q1000" i="11"/>
  <c r="Q1002" i="11"/>
  <c r="Q1004" i="11"/>
  <c r="Q1006" i="11"/>
  <c r="Q1008" i="11"/>
  <c r="Q1010" i="11"/>
  <c r="Q1012" i="11"/>
  <c r="Q1014" i="11"/>
  <c r="Q1016" i="11"/>
  <c r="Q1018" i="11"/>
  <c r="Q1020" i="11"/>
  <c r="Q1022" i="11"/>
  <c r="Q1024" i="11"/>
  <c r="Q1026" i="11"/>
  <c r="Q1028" i="11"/>
  <c r="Q1030" i="11"/>
  <c r="Q1032" i="11"/>
  <c r="Q1034" i="11"/>
  <c r="Q1036" i="11"/>
  <c r="Q1038" i="11"/>
  <c r="Q1040" i="11"/>
  <c r="Q1042" i="11"/>
  <c r="Q1044" i="11"/>
  <c r="Q1046" i="11"/>
  <c r="Q1048" i="11"/>
  <c r="Q1050" i="11"/>
  <c r="Q1052" i="11"/>
  <c r="Q1054" i="11"/>
  <c r="Q1056" i="11"/>
  <c r="Q1058" i="11"/>
  <c r="Q1060" i="11"/>
  <c r="Q1062" i="11"/>
  <c r="Q1064" i="11"/>
  <c r="Q1066" i="11"/>
  <c r="Q1068" i="11"/>
  <c r="Q1070" i="11"/>
  <c r="Q1072" i="11"/>
  <c r="Q1074" i="11"/>
  <c r="Q1076" i="11"/>
  <c r="Q1078" i="11"/>
  <c r="Q1080" i="11"/>
  <c r="Q1082" i="11"/>
  <c r="Q1084" i="11"/>
  <c r="Q1086" i="11"/>
  <c r="Q1088" i="11"/>
  <c r="Q1090" i="11"/>
  <c r="Q1092" i="11"/>
  <c r="Q1094" i="11"/>
  <c r="Q1096" i="11"/>
  <c r="Q1098" i="11"/>
  <c r="Q1100" i="11"/>
  <c r="Q1102" i="11"/>
  <c r="Q1104" i="11"/>
  <c r="Q1106" i="11"/>
  <c r="Q1108" i="11"/>
  <c r="Q1110" i="11"/>
  <c r="Q1112" i="11"/>
  <c r="Q1114" i="11"/>
  <c r="Q1116" i="11"/>
  <c r="Q1118" i="11"/>
  <c r="Q1120" i="11"/>
  <c r="Q1122" i="11"/>
  <c r="Q1124" i="11"/>
  <c r="Q1126" i="11"/>
  <c r="Q1128" i="11"/>
  <c r="Q1130" i="11"/>
  <c r="Q1132" i="11"/>
  <c r="Q1134" i="11"/>
  <c r="Q1136" i="11"/>
  <c r="Q1138" i="11"/>
  <c r="Q1140" i="11"/>
  <c r="Q1142" i="11"/>
  <c r="Q1144" i="11"/>
  <c r="Q1146" i="11"/>
  <c r="Q1148" i="11"/>
  <c r="Q1150" i="11"/>
  <c r="Q1152" i="11"/>
  <c r="Q1154" i="11"/>
  <c r="Q1156" i="11"/>
  <c r="Q1158" i="11"/>
  <c r="Q1160" i="11"/>
  <c r="Q1162" i="11"/>
  <c r="Q1164" i="11"/>
  <c r="Q1166" i="11"/>
  <c r="Q1168" i="11"/>
  <c r="Q1170" i="11"/>
  <c r="Q1172" i="11"/>
  <c r="Q1174" i="11"/>
  <c r="Q1176" i="11"/>
  <c r="Q1178" i="11"/>
  <c r="Q1180" i="11"/>
  <c r="Q1182" i="11"/>
  <c r="Q1184" i="11"/>
  <c r="Q1186" i="11"/>
  <c r="Q1188" i="11"/>
  <c r="Q1190" i="11"/>
  <c r="Q1192" i="11"/>
  <c r="Q1194" i="11"/>
  <c r="Q1196" i="11"/>
  <c r="Q1198" i="11"/>
  <c r="Q1200" i="11"/>
  <c r="Q1202" i="11"/>
  <c r="Q1204" i="11"/>
  <c r="Q1206" i="11"/>
  <c r="Q1208" i="11"/>
  <c r="Q1210" i="11"/>
  <c r="Q1212" i="11"/>
  <c r="Q1214" i="11"/>
  <c r="Q1216" i="11"/>
  <c r="Q1218" i="11"/>
  <c r="Q1220" i="11"/>
  <c r="Q1222" i="11"/>
  <c r="Q1224" i="11"/>
  <c r="Q1226" i="11"/>
  <c r="Q1228" i="11"/>
  <c r="Q1230" i="11"/>
  <c r="Q1232" i="11"/>
  <c r="Q1234" i="11"/>
  <c r="Q1236" i="11"/>
  <c r="Q1238" i="11"/>
  <c r="Q1240" i="11"/>
  <c r="Q1242" i="11"/>
  <c r="Q1244" i="11"/>
  <c r="Q1246" i="11"/>
  <c r="Q1248" i="11"/>
  <c r="Q1250" i="11"/>
  <c r="Q1252" i="11"/>
  <c r="Q1254" i="11"/>
  <c r="Q1256" i="11"/>
  <c r="Q1258" i="11"/>
  <c r="Q1260" i="11"/>
  <c r="Q1262" i="11"/>
  <c r="Q1264" i="11"/>
  <c r="Q1266" i="11"/>
  <c r="Q1268" i="11"/>
  <c r="Q1270" i="11"/>
  <c r="Q1272" i="11"/>
  <c r="Q1274" i="11"/>
  <c r="Q1276" i="11"/>
  <c r="Q1278" i="11"/>
  <c r="Q1280" i="11"/>
  <c r="Q1282" i="11"/>
  <c r="Q1284" i="11"/>
  <c r="Q1286" i="11"/>
  <c r="Q1288" i="11"/>
  <c r="Q1290" i="11"/>
  <c r="Q1292" i="11"/>
  <c r="Q1294" i="11"/>
  <c r="Q1296" i="11"/>
  <c r="Q1298" i="11"/>
  <c r="Q1300" i="11"/>
  <c r="Q1302" i="11"/>
  <c r="Q1304" i="11"/>
  <c r="Q1306" i="11"/>
  <c r="Q1308" i="11"/>
  <c r="Q1310" i="11"/>
  <c r="Q1312" i="11"/>
  <c r="Q1314" i="11"/>
  <c r="Q1316" i="11"/>
  <c r="Q1318" i="11"/>
  <c r="Q1320" i="11"/>
  <c r="Q1322" i="11"/>
  <c r="Q1324" i="11"/>
  <c r="Q1326" i="11"/>
  <c r="Q1328" i="11"/>
  <c r="Q1330" i="11"/>
  <c r="Q1332" i="11"/>
  <c r="Q1334" i="11"/>
  <c r="Q1336" i="11"/>
  <c r="Q1338" i="11"/>
  <c r="Q1340" i="11"/>
  <c r="Q1342" i="11"/>
  <c r="Q1344" i="11"/>
  <c r="Q1346" i="11"/>
  <c r="Q1348" i="11"/>
  <c r="Q1350" i="11"/>
  <c r="Q1352" i="11"/>
  <c r="Q1354" i="11"/>
  <c r="Q1356" i="11"/>
  <c r="Q1358" i="11"/>
  <c r="Q1360" i="11"/>
  <c r="Q1362" i="11"/>
  <c r="Q1364" i="11"/>
  <c r="Q1366" i="11"/>
  <c r="Q1368" i="11"/>
  <c r="Q1370" i="11"/>
  <c r="Q1372" i="11"/>
  <c r="Q1374" i="11"/>
  <c r="Q1376" i="11"/>
  <c r="Q1378" i="11"/>
  <c r="Q1380" i="11"/>
  <c r="Q1382" i="11"/>
  <c r="Q1384" i="11"/>
  <c r="Q1386" i="11"/>
  <c r="Q1388" i="11"/>
  <c r="Q1390" i="11"/>
  <c r="Q1392" i="11"/>
  <c r="Q1394" i="11"/>
  <c r="Q1396" i="11"/>
  <c r="Q1398" i="11"/>
  <c r="Q1400" i="11"/>
  <c r="Q1402" i="11"/>
  <c r="Q1404" i="11"/>
  <c r="Q1406" i="11"/>
  <c r="Q1408" i="11"/>
  <c r="Q1410" i="11"/>
  <c r="Q1412" i="11"/>
  <c r="Q1414" i="11"/>
  <c r="Q1416" i="11"/>
  <c r="Q1418" i="11"/>
  <c r="Q1420" i="11"/>
  <c r="Q1422" i="11"/>
  <c r="Q1424" i="11"/>
  <c r="Q1426" i="11"/>
  <c r="Q1428" i="11"/>
  <c r="Q1430" i="11"/>
  <c r="Q1432" i="11"/>
  <c r="Q1434" i="11"/>
  <c r="Q1436" i="11"/>
  <c r="Q1438" i="11"/>
  <c r="Q1440" i="11"/>
  <c r="Q1442" i="11"/>
  <c r="Q1444" i="11"/>
  <c r="Q1446" i="11"/>
  <c r="Q1448" i="11"/>
  <c r="Q1450" i="11"/>
  <c r="Q1452" i="11"/>
  <c r="Q1454" i="11"/>
  <c r="Q1456" i="11"/>
  <c r="Q1458" i="11"/>
  <c r="Q1460" i="11"/>
  <c r="Q1462" i="11"/>
  <c r="Q1464" i="11"/>
  <c r="Q1466" i="11"/>
  <c r="Q1468" i="11"/>
  <c r="Q1470" i="11"/>
  <c r="Q1472" i="11"/>
  <c r="Q1474" i="11"/>
  <c r="Q1476" i="11"/>
  <c r="Q1478" i="11"/>
  <c r="Q1480" i="11"/>
  <c r="Q1482" i="11"/>
  <c r="Q1484" i="11"/>
  <c r="Q1486" i="11"/>
  <c r="Q1488" i="11"/>
  <c r="Q1490" i="11"/>
  <c r="Q1492" i="11"/>
  <c r="Q1494" i="11"/>
  <c r="Q1496" i="11"/>
  <c r="Q1498" i="11"/>
  <c r="Q1500" i="11"/>
  <c r="Q1502" i="11"/>
  <c r="Q1504" i="11"/>
  <c r="Q1506" i="11"/>
  <c r="Q1508" i="11"/>
  <c r="Q1510" i="11"/>
  <c r="Q1512" i="11"/>
  <c r="Q1514" i="11"/>
  <c r="Q1516" i="11"/>
  <c r="Q1518" i="11"/>
  <c r="Q1520" i="11"/>
  <c r="Q1522" i="11"/>
  <c r="Q1524" i="11"/>
  <c r="Q1526" i="11"/>
  <c r="Q1528" i="11"/>
  <c r="Q1530" i="11"/>
  <c r="Q1532" i="11"/>
  <c r="Q1534" i="11"/>
  <c r="Q1536" i="11"/>
  <c r="Q1538" i="11"/>
  <c r="Q1540" i="11"/>
  <c r="Q1542" i="11"/>
  <c r="Q1544" i="11"/>
  <c r="Q1546" i="11"/>
  <c r="Q1548" i="11"/>
  <c r="Q1550" i="11"/>
  <c r="Q1552" i="11"/>
  <c r="Q1554" i="11"/>
  <c r="Q1556" i="11"/>
  <c r="Q1558" i="11"/>
  <c r="Q1560" i="11"/>
  <c r="Q1562" i="11"/>
  <c r="Q1564" i="11"/>
  <c r="Q1566" i="11"/>
  <c r="Q1568" i="11"/>
  <c r="Q1570" i="11"/>
  <c r="Q1572" i="11"/>
  <c r="Q1574" i="11"/>
  <c r="Q1576" i="11"/>
  <c r="Q1578" i="11"/>
  <c r="Q1580" i="11"/>
  <c r="Q1582" i="11"/>
  <c r="Q1584" i="11"/>
  <c r="Q1586" i="11"/>
  <c r="Q1588" i="11"/>
  <c r="Q1590" i="11"/>
  <c r="Q1592" i="11"/>
  <c r="Q1594" i="11"/>
  <c r="Q1596" i="11"/>
  <c r="Q1598" i="11"/>
  <c r="Q1600" i="11"/>
  <c r="Q1602" i="11"/>
  <c r="Q1604" i="11"/>
  <c r="Q1606" i="11"/>
  <c r="Q1608" i="11"/>
  <c r="Q1610" i="11"/>
  <c r="Q1612" i="11"/>
  <c r="Q1614" i="11"/>
  <c r="Q1616" i="11"/>
  <c r="Q1618" i="11"/>
  <c r="Q1620" i="11"/>
  <c r="Q1622" i="11"/>
  <c r="Q1624" i="11"/>
  <c r="Q1626" i="11"/>
  <c r="Q1628" i="11"/>
  <c r="Q1630" i="11"/>
  <c r="Q1632" i="11"/>
  <c r="Q1634" i="11"/>
  <c r="Q1636" i="11"/>
  <c r="Q1638" i="11"/>
  <c r="Q1640" i="11"/>
  <c r="Q1642" i="11"/>
  <c r="Q1644" i="11"/>
  <c r="Q1646" i="11"/>
  <c r="Q1648" i="11"/>
  <c r="Q1650" i="11"/>
  <c r="Q1652" i="11"/>
  <c r="Q1654" i="11"/>
  <c r="Q1656" i="11"/>
  <c r="Q1658" i="11"/>
  <c r="Q1660" i="11"/>
  <c r="Q1662" i="11"/>
  <c r="Q1664" i="11"/>
  <c r="Q1666" i="11"/>
  <c r="Q1668" i="11"/>
  <c r="Q1670" i="11"/>
  <c r="Q1672" i="11"/>
  <c r="Q1674" i="11"/>
  <c r="Q1676" i="11"/>
  <c r="Q1678" i="11"/>
  <c r="Q1680" i="11"/>
  <c r="Q1682" i="11"/>
  <c r="Q1684" i="11"/>
  <c r="Q1686" i="11"/>
  <c r="Q1688" i="11"/>
  <c r="Q1690" i="11"/>
  <c r="Q1692" i="11"/>
  <c r="Q1694" i="11"/>
  <c r="Q1696" i="11"/>
  <c r="Q1698" i="11"/>
  <c r="Q1700" i="11"/>
  <c r="Q1702" i="11"/>
  <c r="Q1704" i="11"/>
  <c r="Q1706" i="11"/>
  <c r="Q1708" i="11"/>
  <c r="Q1710" i="11"/>
  <c r="Q1712" i="11"/>
  <c r="Q1714" i="11"/>
  <c r="Q1716" i="11"/>
  <c r="Q1718" i="11"/>
  <c r="Q1720" i="11"/>
  <c r="Q1722" i="11"/>
  <c r="Q1724" i="11"/>
  <c r="Q1726" i="11"/>
  <c r="Q1728" i="11"/>
  <c r="Q1730" i="11"/>
  <c r="Q1732" i="11"/>
  <c r="Q1734" i="11"/>
  <c r="Q1736" i="11"/>
  <c r="Q1738" i="11"/>
  <c r="Q1740" i="11"/>
  <c r="Q1742" i="11"/>
  <c r="Q1744" i="11"/>
  <c r="Q1746" i="11"/>
  <c r="Q1748" i="11"/>
  <c r="Q1750" i="11"/>
  <c r="Q1752" i="11"/>
  <c r="Q1754" i="11"/>
  <c r="Q1756" i="11"/>
  <c r="Q1758" i="11"/>
  <c r="Q1760" i="11"/>
  <c r="Q1762" i="11"/>
  <c r="Q1764" i="11"/>
  <c r="Q1766" i="11"/>
  <c r="Q1768" i="11"/>
  <c r="Q1770" i="11"/>
  <c r="Q1772" i="11"/>
  <c r="Q1774" i="11"/>
  <c r="Q1776" i="11"/>
  <c r="Q1778" i="11"/>
  <c r="Q1780" i="11"/>
  <c r="Q1782" i="11"/>
  <c r="Q1784" i="11"/>
  <c r="Q1786" i="11"/>
  <c r="Q1788" i="11"/>
  <c r="Q1790" i="11"/>
  <c r="Q1792" i="11"/>
  <c r="Q1794" i="11"/>
  <c r="Q1796" i="11"/>
  <c r="Q1798" i="11"/>
  <c r="Q1800" i="11"/>
  <c r="Q1802" i="11"/>
  <c r="Q1804" i="11"/>
  <c r="Q1806" i="11"/>
  <c r="Q1808" i="11"/>
  <c r="Q1810" i="11"/>
  <c r="Q1812" i="11"/>
  <c r="Q1814" i="11"/>
  <c r="Q1816" i="11"/>
  <c r="Q1818" i="11"/>
  <c r="Q1820" i="11"/>
  <c r="Q1822" i="11"/>
  <c r="Q1824" i="11"/>
  <c r="Q1826" i="11"/>
  <c r="Q1828" i="11"/>
  <c r="Q1830" i="11"/>
  <c r="Q1832" i="11"/>
  <c r="Q1834" i="11"/>
  <c r="Q1836" i="11"/>
  <c r="Q1838" i="11"/>
  <c r="Q1840" i="11"/>
  <c r="Q1842" i="11"/>
  <c r="Q1844" i="11"/>
  <c r="Q1846" i="11"/>
  <c r="Q1848" i="11"/>
  <c r="Q1850" i="11"/>
  <c r="Q1852" i="11"/>
  <c r="Q1854" i="11"/>
  <c r="Q1856" i="11"/>
  <c r="Q1858" i="11"/>
  <c r="Q1860" i="11"/>
  <c r="Q1862" i="11"/>
  <c r="Q1864" i="11"/>
  <c r="Q1866" i="11"/>
  <c r="Q1868" i="11"/>
  <c r="Q1870" i="11"/>
  <c r="Q1872" i="11"/>
  <c r="Q1874" i="11"/>
  <c r="Q1876" i="11"/>
  <c r="Q1878" i="11"/>
  <c r="Q1880" i="11"/>
  <c r="Q1882" i="11"/>
  <c r="Q1884" i="11"/>
  <c r="Q1886" i="11"/>
  <c r="Q1888" i="11"/>
  <c r="Q1890" i="11"/>
  <c r="Q1892" i="11"/>
  <c r="Q1894" i="11"/>
  <c r="Q1896" i="11"/>
  <c r="Q1898" i="11"/>
  <c r="Q1900" i="11"/>
  <c r="Q1902" i="11"/>
  <c r="Q1904" i="11"/>
  <c r="Q1906" i="11"/>
  <c r="Q1908" i="11"/>
  <c r="Q1910" i="11"/>
  <c r="Q1912" i="11"/>
  <c r="Q1914" i="11"/>
  <c r="Q1916" i="11"/>
  <c r="Q1918" i="11"/>
  <c r="Q1920" i="11"/>
  <c r="Q1922" i="11"/>
  <c r="Q1924" i="11"/>
  <c r="Q1926" i="11"/>
  <c r="Q1928" i="11"/>
  <c r="Q1930" i="11"/>
  <c r="Q1932" i="11"/>
  <c r="Q1934" i="11"/>
  <c r="Q1936" i="11"/>
  <c r="Q1938" i="11"/>
  <c r="Q1940" i="11"/>
  <c r="Q1942" i="11"/>
  <c r="Q1944" i="11"/>
  <c r="Q1946" i="11"/>
  <c r="Q1948" i="11"/>
  <c r="Q1950" i="11"/>
  <c r="Q1952" i="11"/>
  <c r="Q1954" i="11"/>
  <c r="Q1956" i="11"/>
  <c r="Q1958" i="11"/>
  <c r="Q1960" i="11"/>
  <c r="Q1962" i="11"/>
  <c r="Q1964" i="11"/>
  <c r="Q1966" i="11"/>
  <c r="Q1968" i="11"/>
  <c r="Q1970" i="11"/>
  <c r="Q1972" i="11"/>
  <c r="Q1974" i="11"/>
  <c r="Q1976" i="11"/>
  <c r="Q1978" i="11"/>
  <c r="Q1980" i="11"/>
  <c r="Q1982" i="11"/>
  <c r="Q1984" i="11"/>
  <c r="Q1986" i="11"/>
  <c r="Q1988" i="11"/>
  <c r="Q1990" i="11"/>
  <c r="Q1992" i="11"/>
  <c r="Q1994" i="11"/>
  <c r="Q1996" i="11"/>
  <c r="Q1998" i="11"/>
  <c r="Q2000" i="11"/>
  <c r="Q2002" i="11"/>
  <c r="Q2004" i="11"/>
  <c r="Q2006" i="11"/>
  <c r="Q2008" i="11"/>
  <c r="Q2010" i="11"/>
  <c r="Q2012" i="11"/>
  <c r="Q2014" i="11"/>
  <c r="Q2016" i="11"/>
  <c r="Q2018" i="11"/>
  <c r="Q2020" i="11"/>
  <c r="Q2022" i="11"/>
  <c r="Q2024" i="11"/>
  <c r="Q2026" i="11"/>
  <c r="Q2028" i="11"/>
  <c r="Q2030" i="11"/>
  <c r="Q2032" i="11"/>
  <c r="Q2034" i="11"/>
  <c r="Q2036" i="11"/>
  <c r="Q2038" i="11"/>
  <c r="Q2040" i="11"/>
  <c r="Q2042" i="11"/>
  <c r="Q2044" i="11"/>
  <c r="Q2046" i="11"/>
  <c r="Q2048" i="11"/>
  <c r="Q2050" i="11"/>
  <c r="Q2052" i="11"/>
  <c r="Q2054" i="11"/>
  <c r="Q2056" i="11"/>
  <c r="Q2058" i="11"/>
  <c r="Q2060" i="11"/>
  <c r="Q2062" i="11"/>
  <c r="Q2064" i="11"/>
  <c r="Q2066" i="11"/>
  <c r="Q2068" i="11"/>
  <c r="Q2070" i="11"/>
  <c r="Q2072" i="11"/>
  <c r="Q2074" i="11"/>
  <c r="Q2076" i="11"/>
  <c r="Q2078" i="11"/>
  <c r="Q2080" i="11"/>
  <c r="Q2082" i="11"/>
  <c r="Q2084" i="11"/>
  <c r="Q2086" i="11"/>
  <c r="Q2088" i="11"/>
  <c r="Q2090" i="11"/>
  <c r="Q2092" i="11"/>
  <c r="Q2094" i="11"/>
  <c r="Q2096" i="11"/>
  <c r="Q2098" i="11"/>
  <c r="Q2100" i="11"/>
  <c r="Q2102" i="11"/>
  <c r="Q2104" i="11"/>
  <c r="Q2106" i="11"/>
  <c r="Q2108" i="11"/>
  <c r="Q2110" i="11"/>
  <c r="Q2112" i="11"/>
  <c r="Q2114" i="11"/>
  <c r="Q2116" i="11"/>
  <c r="Q2118" i="11"/>
  <c r="Q2120" i="11"/>
  <c r="Q2122" i="11"/>
  <c r="Q2124" i="11"/>
  <c r="Q2126" i="11"/>
  <c r="Q2128" i="11"/>
  <c r="Q2130" i="11"/>
  <c r="Q2132" i="11"/>
  <c r="Q2134" i="11"/>
  <c r="Q2136" i="11"/>
  <c r="Q2138" i="11"/>
  <c r="Q2140" i="11"/>
  <c r="Q2142" i="11"/>
  <c r="Q2144" i="11"/>
  <c r="Q2146" i="11"/>
  <c r="Q2148" i="11"/>
  <c r="Q2150" i="11"/>
  <c r="Q2152" i="11"/>
  <c r="Q2154" i="11"/>
  <c r="Q2156" i="11"/>
  <c r="Q2158" i="11"/>
  <c r="Q2160" i="11"/>
  <c r="Q2162" i="11"/>
  <c r="Q2164" i="11"/>
  <c r="Q2166" i="11"/>
  <c r="Q2168" i="11"/>
  <c r="Q2170" i="11"/>
  <c r="Q2172" i="11"/>
  <c r="Q2174" i="11"/>
  <c r="Q2176" i="11"/>
  <c r="Q2178" i="11"/>
  <c r="Q2180" i="11"/>
  <c r="Q2182" i="11"/>
  <c r="Q2184" i="11"/>
  <c r="Q2186" i="11"/>
  <c r="Q2188" i="11"/>
  <c r="Q2190" i="11"/>
  <c r="Q2192" i="11"/>
  <c r="Q2194" i="11"/>
  <c r="Q2196" i="11"/>
  <c r="Q2198" i="11"/>
  <c r="Q2200" i="11"/>
  <c r="Q2202" i="11"/>
  <c r="Q2204" i="11"/>
  <c r="Q2206" i="11"/>
  <c r="Q2208" i="11"/>
  <c r="Q2210" i="11"/>
  <c r="Q2212" i="11"/>
  <c r="Q2214" i="11"/>
  <c r="Q2216" i="11"/>
  <c r="Q2218" i="11"/>
  <c r="Q2220" i="11"/>
  <c r="Q2222" i="11"/>
  <c r="Q2224" i="11"/>
  <c r="Q2226" i="11"/>
  <c r="Q2228" i="11"/>
  <c r="Q2230" i="11"/>
  <c r="Q2232" i="11"/>
  <c r="Q2234" i="11"/>
  <c r="Q2236" i="11"/>
  <c r="Q2238" i="11"/>
  <c r="Q2240" i="11"/>
  <c r="Q2242" i="11"/>
  <c r="Q2244" i="11"/>
  <c r="Q2246" i="11"/>
  <c r="Q2248" i="11"/>
  <c r="Q2250" i="11"/>
  <c r="Q2252" i="11"/>
  <c r="Q2254" i="11"/>
  <c r="Q2256" i="11"/>
  <c r="Q2258" i="11"/>
  <c r="Q2260" i="11"/>
  <c r="Q2262" i="11"/>
  <c r="Q2264" i="11"/>
  <c r="Q2266" i="11"/>
  <c r="Q2268" i="11"/>
  <c r="Q2270" i="11"/>
  <c r="Q2272" i="11"/>
  <c r="Q2274" i="11"/>
  <c r="Q2276" i="11"/>
  <c r="Q2278" i="11"/>
  <c r="Q2280" i="11"/>
  <c r="Q2282" i="11"/>
  <c r="Q2284" i="11"/>
  <c r="Q2286" i="11"/>
  <c r="Q2288" i="11"/>
  <c r="Q2290" i="11"/>
  <c r="Q2292" i="11"/>
  <c r="Q2294" i="11"/>
  <c r="Q2296" i="11"/>
  <c r="Q2298" i="11"/>
  <c r="Q2300" i="11"/>
  <c r="Q2302" i="11"/>
  <c r="Q2304" i="11"/>
  <c r="Q2306" i="11"/>
  <c r="Q2308" i="11"/>
  <c r="Q2310" i="11"/>
  <c r="Q2312" i="11"/>
  <c r="Q2314" i="11"/>
  <c r="Q2316" i="11"/>
  <c r="Q2318" i="11"/>
  <c r="Q2320" i="11"/>
  <c r="Q2322" i="11"/>
  <c r="Q2324" i="11"/>
  <c r="Q2326" i="11"/>
  <c r="Q2328" i="11"/>
  <c r="Q2330" i="11"/>
  <c r="Q2332" i="11"/>
  <c r="Q2334" i="11"/>
  <c r="Q2336" i="11"/>
  <c r="Q2338" i="11"/>
  <c r="Q2340" i="11"/>
  <c r="Q2342" i="11"/>
  <c r="Q2344" i="11"/>
  <c r="Q2346" i="11"/>
  <c r="Q2348" i="11"/>
  <c r="Q2350" i="11"/>
  <c r="Q2352" i="11"/>
  <c r="Q2354" i="11"/>
  <c r="Q2356" i="11"/>
  <c r="Q2358" i="11"/>
  <c r="Q2360" i="11"/>
  <c r="Q2362" i="11"/>
  <c r="Q2364" i="11"/>
  <c r="Q2366" i="11"/>
  <c r="Q2368" i="11"/>
  <c r="Q2370" i="11"/>
  <c r="Q2372" i="11"/>
  <c r="Q2374" i="11"/>
  <c r="Q2376" i="11"/>
  <c r="Q2378" i="11"/>
  <c r="Q2380" i="11"/>
  <c r="Q2382" i="11"/>
  <c r="Q2384" i="11"/>
  <c r="Q2386" i="11"/>
  <c r="Q2388" i="11"/>
  <c r="Q2390" i="11"/>
  <c r="Q2392" i="11"/>
  <c r="Q2394" i="11"/>
  <c r="Q2396" i="11"/>
  <c r="Q2398" i="11"/>
  <c r="Q2400" i="11"/>
  <c r="Q2402" i="11"/>
  <c r="Q2404" i="11"/>
  <c r="Q2406" i="11"/>
  <c r="Q2408" i="11"/>
  <c r="Q2410" i="11"/>
  <c r="Q2412" i="11"/>
  <c r="Q2414" i="11"/>
  <c r="Q2416" i="11"/>
  <c r="Q2418" i="11"/>
  <c r="Q2420" i="11"/>
  <c r="Q2422" i="11"/>
  <c r="Q2424" i="11"/>
  <c r="Q2426" i="11"/>
  <c r="Q2428" i="11"/>
  <c r="Q2430" i="11"/>
  <c r="Q2432" i="11"/>
  <c r="Q2434" i="11"/>
  <c r="Q2436" i="11"/>
  <c r="Q2438" i="11"/>
  <c r="Q2440" i="11"/>
  <c r="Q2442" i="11"/>
  <c r="Q2444" i="11"/>
  <c r="Q2446" i="11"/>
  <c r="Q2448" i="11"/>
  <c r="Q2450" i="11"/>
  <c r="Q2452" i="11"/>
  <c r="Q2454" i="11"/>
  <c r="Q2456" i="11"/>
  <c r="Q2458" i="11"/>
  <c r="Q2460" i="11"/>
  <c r="Q2462" i="11"/>
  <c r="Q2464" i="11"/>
  <c r="Q2466" i="11"/>
  <c r="Q2468" i="11"/>
  <c r="Q2470" i="11"/>
  <c r="Q2472" i="11"/>
  <c r="Q2474" i="11"/>
  <c r="Q2476" i="11"/>
  <c r="Q2478" i="11"/>
  <c r="Q2480" i="11"/>
  <c r="Q2482" i="11"/>
  <c r="Q2484" i="11"/>
  <c r="Q2486" i="11"/>
  <c r="Q2488" i="11"/>
  <c r="Q2490" i="11"/>
  <c r="Q2492" i="11"/>
  <c r="Q2494" i="11"/>
  <c r="Q2496" i="11"/>
  <c r="Q2498" i="11"/>
  <c r="I2498" i="11"/>
  <c r="Q2500" i="11"/>
  <c r="I2500" i="11" s="1"/>
  <c r="Q2502" i="11"/>
  <c r="I2502" i="11" s="1"/>
  <c r="Q2504" i="11"/>
  <c r="I2504" i="11"/>
  <c r="Q2506" i="11"/>
  <c r="I2506" i="11"/>
  <c r="Q2508" i="11"/>
  <c r="I2508" i="11" s="1"/>
  <c r="Q2510" i="11"/>
  <c r="I2510" i="11"/>
  <c r="Q2512" i="11"/>
  <c r="I2512" i="11" s="1"/>
  <c r="Q2514" i="11"/>
  <c r="I2514" i="11" s="1"/>
  <c r="Q2516" i="11"/>
  <c r="I2516" i="11"/>
  <c r="Q2518" i="11"/>
  <c r="I2518" i="11"/>
  <c r="Q2520" i="11"/>
  <c r="I2520" i="11" s="1"/>
  <c r="Q2522" i="11"/>
  <c r="I2522" i="11"/>
  <c r="Q2524" i="11"/>
  <c r="I2524" i="11" s="1"/>
  <c r="Q2526" i="11"/>
  <c r="I2526" i="11" s="1"/>
  <c r="Q2528" i="11"/>
  <c r="I2528" i="11"/>
  <c r="Q2530" i="11"/>
  <c r="I2530" i="11" s="1"/>
  <c r="Q2532" i="11"/>
  <c r="I2532" i="11" s="1"/>
  <c r="Q2534" i="11"/>
  <c r="I2534" i="11"/>
  <c r="Q2536" i="11"/>
  <c r="I2536" i="11" s="1"/>
  <c r="Q2538" i="11"/>
  <c r="I2538" i="11" s="1"/>
  <c r="Q2540" i="11"/>
  <c r="I2540" i="11"/>
  <c r="Q2542" i="11"/>
  <c r="I2542" i="11"/>
  <c r="Q2544" i="11"/>
  <c r="I2544" i="11" s="1"/>
  <c r="Q2546" i="11"/>
  <c r="I2546" i="11"/>
  <c r="Q2548" i="11"/>
  <c r="I2548" i="11" s="1"/>
  <c r="Q2550" i="11"/>
  <c r="I2550" i="11" s="1"/>
  <c r="Q2552" i="11"/>
  <c r="I2552" i="11"/>
  <c r="Q2554" i="11"/>
  <c r="I2554" i="11"/>
  <c r="Q2556" i="11"/>
  <c r="I2556" i="11" s="1"/>
  <c r="Q2558" i="11"/>
  <c r="I2558" i="11"/>
  <c r="Q2560" i="11"/>
  <c r="I2560" i="11" s="1"/>
  <c r="Q2562" i="11"/>
  <c r="I2562" i="11" s="1"/>
  <c r="Q2564" i="11"/>
  <c r="I2564" i="11"/>
  <c r="Q2566" i="11"/>
  <c r="I2566" i="11" s="1"/>
  <c r="Q2568" i="11"/>
  <c r="I2568" i="11" s="1"/>
  <c r="Q2570" i="11"/>
  <c r="I2570" i="11"/>
  <c r="Q2572" i="11"/>
  <c r="I2572" i="11" s="1"/>
  <c r="Q2574" i="11"/>
  <c r="I2574" i="11" s="1"/>
  <c r="Q2576" i="11"/>
  <c r="I2576" i="11"/>
  <c r="Q2578" i="11"/>
  <c r="I2578" i="11"/>
  <c r="Q2580" i="11"/>
  <c r="I2580" i="11" s="1"/>
  <c r="Q2582" i="11"/>
  <c r="I2582" i="11"/>
  <c r="Q2584" i="11"/>
  <c r="I2584" i="11" s="1"/>
  <c r="Q2586" i="11"/>
  <c r="I2586" i="11" s="1"/>
  <c r="Q2588" i="11"/>
  <c r="I2588" i="11"/>
  <c r="Q2590" i="11"/>
  <c r="I2590" i="11"/>
  <c r="Q2592" i="11"/>
  <c r="I2592" i="11" s="1"/>
  <c r="Q2594" i="11"/>
  <c r="I2594" i="11"/>
  <c r="Q2596" i="11"/>
  <c r="I2596" i="11" s="1"/>
  <c r="Q2598" i="11"/>
  <c r="I2598" i="11" s="1"/>
  <c r="Q2600" i="11"/>
  <c r="I2600" i="11"/>
  <c r="Q2602" i="11"/>
  <c r="I2602" i="11" s="1"/>
  <c r="Q2604" i="11"/>
  <c r="I2604" i="11" s="1"/>
  <c r="Q2606" i="11"/>
  <c r="I2606" i="11"/>
  <c r="Q2608" i="11"/>
  <c r="I2608" i="11" s="1"/>
  <c r="Q2610" i="11"/>
  <c r="I2610" i="11" s="1"/>
  <c r="Q2612" i="11"/>
  <c r="I2612" i="11"/>
  <c r="Q2614" i="11"/>
  <c r="I2614" i="11"/>
  <c r="Q2616" i="11"/>
  <c r="I2616" i="11" s="1"/>
  <c r="Q2618" i="11"/>
  <c r="I2618" i="11"/>
  <c r="Q2620" i="11"/>
  <c r="I2620" i="11" s="1"/>
  <c r="Q2622" i="11"/>
  <c r="I2622" i="11" s="1"/>
  <c r="Q2624" i="11"/>
  <c r="I2624" i="11"/>
  <c r="Q2626" i="11"/>
  <c r="I2626" i="11"/>
  <c r="Q2628" i="11"/>
  <c r="I2628" i="11" s="1"/>
  <c r="Q2630" i="11"/>
  <c r="I2630" i="11"/>
  <c r="Q2632" i="11"/>
  <c r="I2632" i="11" s="1"/>
  <c r="Q2634" i="11"/>
  <c r="I2634" i="11" s="1"/>
  <c r="Q2636" i="11"/>
  <c r="I2636" i="11"/>
  <c r="Q2638" i="11"/>
  <c r="I2638" i="11" s="1"/>
  <c r="Q2640" i="11"/>
  <c r="I2640" i="11" s="1"/>
  <c r="Q2642" i="11"/>
  <c r="I2642" i="11"/>
  <c r="Q2644" i="11"/>
  <c r="I2644" i="11" s="1"/>
  <c r="Q2646" i="11"/>
  <c r="I2646" i="11" s="1"/>
  <c r="Q2648" i="11"/>
  <c r="I2648" i="11"/>
  <c r="Q2650" i="11"/>
  <c r="I2650" i="11"/>
  <c r="Q2652" i="11"/>
  <c r="I2652" i="11" s="1"/>
  <c r="Q2654" i="11"/>
  <c r="I2654" i="11"/>
  <c r="Q2656" i="11"/>
  <c r="I2656" i="11" s="1"/>
  <c r="Q2658" i="11"/>
  <c r="I2658" i="11" s="1"/>
  <c r="Q2660" i="11"/>
  <c r="I2660" i="11"/>
  <c r="Q2662" i="11"/>
  <c r="I2662" i="11"/>
  <c r="Q2664" i="11"/>
  <c r="I2664" i="11" s="1"/>
  <c r="Q2666" i="11"/>
  <c r="I2666" i="11"/>
  <c r="Q2668" i="11"/>
  <c r="I2668" i="11" s="1"/>
  <c r="Q2670" i="11"/>
  <c r="I2670" i="11" s="1"/>
  <c r="Q2672" i="11"/>
  <c r="I2672" i="11"/>
  <c r="Q2674" i="11"/>
  <c r="I2674" i="11" s="1"/>
  <c r="Q2676" i="11"/>
  <c r="I2676" i="11" s="1"/>
  <c r="Q2678" i="11"/>
  <c r="I2678" i="11"/>
  <c r="Q2680" i="11"/>
  <c r="I2680" i="11" s="1"/>
  <c r="Q2682" i="11"/>
  <c r="I2682" i="11" s="1"/>
  <c r="Q2684" i="11"/>
  <c r="I2684" i="11"/>
  <c r="Q2686" i="11"/>
  <c r="I2686" i="11"/>
  <c r="Q2688" i="11"/>
  <c r="I2688" i="11" s="1"/>
  <c r="Q2690" i="11"/>
  <c r="I2690" i="11"/>
  <c r="Q2692" i="11"/>
  <c r="I2692" i="11" s="1"/>
  <c r="Q2694" i="11"/>
  <c r="I2694" i="11" s="1"/>
  <c r="Q2696" i="11"/>
  <c r="I2696" i="11"/>
  <c r="Q2698" i="11"/>
  <c r="I2698" i="11"/>
  <c r="Q2700" i="11"/>
  <c r="I2700" i="11" s="1"/>
  <c r="Q2702" i="11"/>
  <c r="I2702" i="11"/>
  <c r="Q2704" i="11"/>
  <c r="I2704" i="11" s="1"/>
  <c r="Q2706" i="11"/>
  <c r="I2706" i="11" s="1"/>
  <c r="Q2708" i="11"/>
  <c r="I2708" i="11"/>
  <c r="Q2710" i="11"/>
  <c r="I2710" i="11" s="1"/>
  <c r="Q2712" i="11"/>
  <c r="I2712" i="11" s="1"/>
  <c r="Q2714" i="11"/>
  <c r="I2714" i="11"/>
  <c r="Q2716" i="11"/>
  <c r="I2716" i="11" s="1"/>
  <c r="Q2718" i="11"/>
  <c r="I2718" i="11" s="1"/>
  <c r="Q2720" i="11"/>
  <c r="I2720" i="11"/>
  <c r="Q2722" i="11"/>
  <c r="I2722" i="11"/>
  <c r="Q2724" i="11"/>
  <c r="I2724" i="11" s="1"/>
  <c r="Q2726" i="11"/>
  <c r="I2726" i="11"/>
  <c r="Q2728" i="11"/>
  <c r="I2728" i="11" s="1"/>
  <c r="Q2730" i="11"/>
  <c r="I2730" i="11" s="1"/>
  <c r="Q2732" i="11"/>
  <c r="I2732" i="11"/>
  <c r="Q2734" i="11"/>
  <c r="I2734" i="11"/>
  <c r="Q2736" i="11"/>
  <c r="I2736" i="11" s="1"/>
  <c r="Q2738" i="11"/>
  <c r="I2738" i="11"/>
  <c r="Q2740" i="11"/>
  <c r="I2740" i="11" s="1"/>
  <c r="Q2742" i="11"/>
  <c r="I2742" i="11" s="1"/>
  <c r="Q2744" i="11"/>
  <c r="I2744" i="11"/>
  <c r="Q2746" i="11"/>
  <c r="I2746" i="11" s="1"/>
  <c r="Q2748" i="11"/>
  <c r="I2748" i="11" s="1"/>
  <c r="Q2750" i="11"/>
  <c r="I2750" i="11"/>
  <c r="Q2752" i="11"/>
  <c r="I2752" i="11" s="1"/>
  <c r="Q2754" i="11"/>
  <c r="I2754" i="11" s="1"/>
  <c r="Q2756" i="11"/>
  <c r="I2756" i="11"/>
  <c r="Q2758" i="11"/>
  <c r="I2758" i="11"/>
  <c r="Q2760" i="11"/>
  <c r="I2760" i="11" s="1"/>
  <c r="Q2762" i="11"/>
  <c r="I2762" i="11"/>
  <c r="Q2764" i="11"/>
  <c r="I2764" i="11" s="1"/>
  <c r="Q2766" i="11"/>
  <c r="I2766" i="11" s="1"/>
  <c r="Q2768" i="11"/>
  <c r="I2768" i="11"/>
  <c r="Q2770" i="11"/>
  <c r="I2770" i="11"/>
  <c r="Q2772" i="11"/>
  <c r="I2772" i="11" s="1"/>
  <c r="Q2774" i="11"/>
  <c r="I2774" i="11"/>
  <c r="Q2776" i="11"/>
  <c r="I2776" i="11" s="1"/>
  <c r="Q2778" i="11"/>
  <c r="I2778" i="11" s="1"/>
  <c r="Q2780" i="11"/>
  <c r="I2780" i="11"/>
  <c r="Q2782" i="11"/>
  <c r="I2782" i="11" s="1"/>
  <c r="Q2784" i="11"/>
  <c r="I2784" i="11" s="1"/>
  <c r="Q2786" i="11"/>
  <c r="I2786" i="11"/>
  <c r="Q2788" i="11"/>
  <c r="I2788" i="11" s="1"/>
  <c r="Q2790" i="11"/>
  <c r="I2790" i="11" s="1"/>
  <c r="Q2792" i="11"/>
  <c r="I2792" i="11"/>
  <c r="Q2794" i="11"/>
  <c r="I2794" i="11"/>
  <c r="Q2796" i="11"/>
  <c r="I2796" i="11" s="1"/>
  <c r="Q2798" i="11"/>
  <c r="I2798" i="11"/>
  <c r="Q2800" i="11"/>
  <c r="I2800" i="11" s="1"/>
  <c r="Q2802" i="11"/>
  <c r="I2802" i="11" s="1"/>
  <c r="Q2804" i="11"/>
  <c r="I2804" i="11"/>
  <c r="Q2806" i="11"/>
  <c r="I2806" i="11"/>
  <c r="Q2808" i="11"/>
  <c r="I2808" i="11" s="1"/>
  <c r="Q2810" i="11"/>
  <c r="I2810" i="11"/>
  <c r="Q2812" i="11"/>
  <c r="I2812" i="11" s="1"/>
  <c r="Q2814" i="11"/>
  <c r="I2814" i="11" s="1"/>
  <c r="Q2816" i="11"/>
  <c r="I2816" i="11"/>
  <c r="Q2818" i="11"/>
  <c r="I2818" i="11" s="1"/>
  <c r="Q2820" i="11"/>
  <c r="I2820" i="11" s="1"/>
  <c r="Q2822" i="11"/>
  <c r="I2822" i="11"/>
  <c r="Q2824" i="11"/>
  <c r="I2824" i="11" s="1"/>
  <c r="Q2826" i="11"/>
  <c r="I2826" i="11" s="1"/>
  <c r="Q2828" i="11"/>
  <c r="I2828" i="11"/>
  <c r="Q2830" i="11"/>
  <c r="I2830" i="11"/>
  <c r="Q2832" i="11"/>
  <c r="I2832" i="11" s="1"/>
  <c r="Q2834" i="11"/>
  <c r="I2834" i="11"/>
  <c r="Q2836" i="11"/>
  <c r="I2836" i="11" s="1"/>
  <c r="Q2838" i="11"/>
  <c r="I2838" i="11" s="1"/>
  <c r="Q2840" i="11"/>
  <c r="I2840" i="11"/>
  <c r="Q2842" i="11"/>
  <c r="I2842" i="11"/>
  <c r="Q2844" i="11"/>
  <c r="I2844" i="11" s="1"/>
  <c r="Q2846" i="11"/>
  <c r="I2846" i="11"/>
  <c r="Q2848" i="11"/>
  <c r="I2848" i="11" s="1"/>
  <c r="Q2850" i="11"/>
  <c r="I2850" i="11" s="1"/>
  <c r="Q2852" i="11"/>
  <c r="I2852" i="11"/>
  <c r="Q2854" i="11"/>
  <c r="I2854" i="11" s="1"/>
  <c r="Q2856" i="11"/>
  <c r="I2856" i="11" s="1"/>
  <c r="Q2858" i="11"/>
  <c r="I2858" i="11"/>
  <c r="Q2860" i="11"/>
  <c r="I2860" i="11" s="1"/>
  <c r="Q2862" i="11"/>
  <c r="I2862" i="11" s="1"/>
  <c r="Q2864" i="11"/>
  <c r="I2864" i="11"/>
  <c r="Q2866" i="11"/>
  <c r="I2866" i="11"/>
  <c r="Q2868" i="11"/>
  <c r="I2868" i="11" s="1"/>
  <c r="Q2870" i="11"/>
  <c r="I2870" i="11"/>
  <c r="Q2872" i="11"/>
  <c r="I2872" i="11" s="1"/>
  <c r="Q2874" i="11"/>
  <c r="I2874" i="11" s="1"/>
  <c r="Q2876" i="11"/>
  <c r="I2876" i="11"/>
  <c r="Q2878" i="11"/>
  <c r="I2878" i="11"/>
  <c r="Q2880" i="11"/>
  <c r="I2880" i="11" s="1"/>
  <c r="Q2882" i="11"/>
  <c r="I2882" i="11"/>
  <c r="Q2884" i="11"/>
  <c r="I2884" i="11" s="1"/>
  <c r="Q2886" i="11"/>
  <c r="I2886" i="11" s="1"/>
  <c r="Q2888" i="11"/>
  <c r="I2888" i="11"/>
  <c r="Q2890" i="11"/>
  <c r="I2890" i="11" s="1"/>
  <c r="Q2892" i="11"/>
  <c r="I2892" i="11" s="1"/>
  <c r="Q2894" i="11"/>
  <c r="I2894" i="11"/>
  <c r="Q2896" i="11"/>
  <c r="I2896" i="11" s="1"/>
  <c r="Q2898" i="11"/>
  <c r="I2898" i="11" s="1"/>
  <c r="Q2900" i="11"/>
  <c r="I2900" i="11"/>
  <c r="Q2902" i="11"/>
  <c r="I2902" i="11"/>
  <c r="Q2904" i="11"/>
  <c r="I2904" i="11" s="1"/>
  <c r="Q2906" i="11"/>
  <c r="I2906" i="11"/>
  <c r="Q2908" i="11"/>
  <c r="I2908" i="11" s="1"/>
  <c r="Q2910" i="11"/>
  <c r="I2910" i="11" s="1"/>
  <c r="Q2912" i="11"/>
  <c r="I2912" i="11"/>
  <c r="Q2914" i="11"/>
  <c r="I2914" i="11"/>
  <c r="Q2916" i="11"/>
  <c r="I2916" i="11" s="1"/>
  <c r="Q2918" i="11"/>
  <c r="I2918" i="11"/>
  <c r="Q2920" i="11"/>
  <c r="I2920" i="11" s="1"/>
  <c r="Q2922" i="11"/>
  <c r="I2922" i="11" s="1"/>
  <c r="Q2924" i="11"/>
  <c r="I2924" i="11"/>
  <c r="Q2926" i="11"/>
  <c r="I2926" i="11" s="1"/>
  <c r="Q2928" i="11"/>
  <c r="I2928" i="11" s="1"/>
  <c r="Q2930" i="11"/>
  <c r="I2930" i="11"/>
  <c r="Q2932" i="11"/>
  <c r="I2932" i="11" s="1"/>
  <c r="Q2934" i="11"/>
  <c r="I2934" i="11" s="1"/>
  <c r="Q2936" i="11"/>
  <c r="I2936" i="11"/>
  <c r="Q2938" i="11"/>
  <c r="I2938" i="11"/>
  <c r="Q2940" i="11"/>
  <c r="I2940" i="11" s="1"/>
  <c r="Q2942" i="11"/>
  <c r="I2942" i="11"/>
  <c r="Q2944" i="11"/>
  <c r="I2944" i="11" s="1"/>
  <c r="Q2946" i="11"/>
  <c r="I2946" i="11" s="1"/>
  <c r="Q2948" i="11"/>
  <c r="I2948" i="11"/>
  <c r="Q2950" i="11"/>
  <c r="I2950" i="11"/>
  <c r="Q2952" i="11"/>
  <c r="I2952" i="11" s="1"/>
  <c r="Q2954" i="11"/>
  <c r="I2954" i="11"/>
  <c r="Q2956" i="11"/>
  <c r="I2956" i="11" s="1"/>
  <c r="Q2958" i="11"/>
  <c r="I2958" i="11" s="1"/>
  <c r="Q2960" i="11"/>
  <c r="I2960" i="11"/>
  <c r="Q2962" i="11"/>
  <c r="I2962" i="11" s="1"/>
  <c r="Q2964" i="11"/>
  <c r="I2964" i="11" s="1"/>
  <c r="Q2966" i="11"/>
  <c r="I2966" i="11"/>
  <c r="Q2968" i="11"/>
  <c r="I2968" i="11" s="1"/>
  <c r="Q2970" i="11"/>
  <c r="I2970" i="11" s="1"/>
  <c r="Q2972" i="11"/>
  <c r="I2972" i="11"/>
  <c r="Q2974" i="11"/>
  <c r="I2974" i="11"/>
  <c r="Q2976" i="11"/>
  <c r="I2976" i="11" s="1"/>
  <c r="Q2978" i="11"/>
  <c r="I2978" i="11"/>
  <c r="Q2980" i="11"/>
  <c r="I2980" i="11" s="1"/>
  <c r="Q2982" i="11"/>
  <c r="I2982" i="11" s="1"/>
  <c r="Q2984" i="11"/>
  <c r="I2984" i="11"/>
  <c r="Q2986" i="11"/>
  <c r="I2986" i="11"/>
  <c r="Q2988" i="11"/>
  <c r="I2988" i="11" s="1"/>
  <c r="Q2990" i="11"/>
  <c r="I2990" i="11"/>
  <c r="Q2992" i="11"/>
  <c r="I2992" i="11" s="1"/>
  <c r="Q2994" i="11"/>
  <c r="I2994" i="11" s="1"/>
  <c r="Q2996" i="11"/>
  <c r="I2996" i="11"/>
  <c r="Q2998" i="11"/>
  <c r="I2998" i="11" s="1"/>
  <c r="Q3000" i="11"/>
  <c r="I3000" i="11" s="1"/>
  <c r="Q3002" i="11"/>
  <c r="I3002" i="11"/>
  <c r="Q3004" i="11"/>
  <c r="I3004" i="11" s="1"/>
  <c r="Q3006" i="11"/>
  <c r="I3006" i="11" s="1"/>
  <c r="Q3008" i="11"/>
  <c r="I3008" i="11"/>
  <c r="Q3010" i="11"/>
  <c r="I3010" i="11"/>
  <c r="Q3012" i="11"/>
  <c r="I3012" i="11" s="1"/>
  <c r="Q3014" i="11"/>
  <c r="I3014" i="11"/>
  <c r="Q3016" i="11"/>
  <c r="I3016" i="11" s="1"/>
  <c r="Q3018" i="11"/>
  <c r="I3018" i="11" s="1"/>
  <c r="Q3020" i="11"/>
  <c r="I3020" i="11"/>
  <c r="Q3022" i="11"/>
  <c r="I3022" i="11"/>
  <c r="Q3024" i="11"/>
  <c r="I3024" i="11" s="1"/>
  <c r="Q3026" i="11"/>
  <c r="I3026" i="11"/>
  <c r="Q3028" i="11"/>
  <c r="I3028" i="11" s="1"/>
  <c r="Q3030" i="11"/>
  <c r="I3030" i="11" s="1"/>
  <c r="Q3032" i="11"/>
  <c r="I3032" i="11"/>
  <c r="Q3034" i="11"/>
  <c r="I3034" i="11" s="1"/>
  <c r="Q3036" i="11"/>
  <c r="I3036" i="11" s="1"/>
  <c r="Q3038" i="11"/>
  <c r="I3038" i="11"/>
  <c r="Q3040" i="11"/>
  <c r="I3040" i="11" s="1"/>
  <c r="Q3042" i="11"/>
  <c r="I3042" i="11" s="1"/>
  <c r="Q3044" i="11"/>
  <c r="I3044" i="11"/>
  <c r="Q3046" i="11"/>
  <c r="I3046" i="11"/>
  <c r="Q3048" i="11"/>
  <c r="I3048" i="11" s="1"/>
  <c r="Q3050" i="11"/>
  <c r="I3050" i="11"/>
  <c r="Q3052" i="11"/>
  <c r="I3052" i="11" s="1"/>
  <c r="Q3054" i="11"/>
  <c r="I3054" i="11" s="1"/>
  <c r="Q3056" i="11"/>
  <c r="I3056" i="11"/>
  <c r="Q3058" i="11"/>
  <c r="I3058" i="11"/>
  <c r="Q3060" i="11"/>
  <c r="I3060" i="11" s="1"/>
  <c r="Q3062" i="11"/>
  <c r="I3062" i="11"/>
  <c r="Q3064" i="11"/>
  <c r="I3064" i="11" s="1"/>
  <c r="Q3066" i="11"/>
  <c r="I3066" i="11" s="1"/>
  <c r="Q3068" i="11"/>
  <c r="I3068" i="11"/>
  <c r="Q3070" i="11"/>
  <c r="I3070" i="11" s="1"/>
  <c r="Q3072" i="11"/>
  <c r="I3072" i="11" s="1"/>
  <c r="Q3074" i="11"/>
  <c r="I3074" i="11"/>
  <c r="Q3076" i="11"/>
  <c r="I3076" i="11" s="1"/>
  <c r="Q3078" i="11"/>
  <c r="I3078" i="11" s="1"/>
  <c r="Q3080" i="11"/>
  <c r="I3080" i="11"/>
  <c r="Q3082" i="11"/>
  <c r="I3082" i="11" s="1"/>
  <c r="Q3084" i="11"/>
  <c r="I3084" i="11" s="1"/>
  <c r="Q3086" i="11"/>
  <c r="I3086" i="11"/>
  <c r="Q3088" i="11"/>
  <c r="I3088" i="11" s="1"/>
  <c r="Q3090" i="11"/>
  <c r="I3090" i="11" s="1"/>
  <c r="Q3092" i="11"/>
  <c r="I3092" i="11"/>
  <c r="Q3094" i="11"/>
  <c r="I3094" i="11"/>
  <c r="Q3096" i="11"/>
  <c r="I3096" i="11" s="1"/>
  <c r="Q3098" i="11"/>
  <c r="I3098" i="11"/>
  <c r="Q3100" i="11"/>
  <c r="I3100" i="11" s="1"/>
  <c r="Q3102" i="11"/>
  <c r="I3102" i="11" s="1"/>
  <c r="Q3104" i="11"/>
  <c r="I3104" i="11"/>
  <c r="Q3106" i="11"/>
  <c r="I3106" i="11" s="1"/>
  <c r="Q3108" i="11"/>
  <c r="I3108" i="11" s="1"/>
  <c r="Q3110" i="11"/>
  <c r="I3110" i="11"/>
  <c r="Q3112" i="11"/>
  <c r="I3112" i="11" s="1"/>
  <c r="Q3114" i="11"/>
  <c r="I3114" i="11" s="1"/>
  <c r="Q3116" i="11"/>
  <c r="I3116" i="11"/>
  <c r="Q3118" i="11"/>
  <c r="I3118" i="11" s="1"/>
  <c r="Q3120" i="11"/>
  <c r="I3120" i="11" s="1"/>
  <c r="Q3122" i="11"/>
  <c r="I3122" i="11"/>
  <c r="Q3124" i="11"/>
  <c r="I3124" i="11" s="1"/>
  <c r="Q3126" i="11"/>
  <c r="I3126" i="11" s="1"/>
  <c r="Q3128" i="11"/>
  <c r="I3128" i="11"/>
  <c r="Q3130" i="11"/>
  <c r="I3130" i="11"/>
  <c r="Q3132" i="11"/>
  <c r="I3132" i="11" s="1"/>
  <c r="Q3134" i="11"/>
  <c r="I3134" i="11"/>
  <c r="Q3136" i="11"/>
  <c r="I3136" i="11" s="1"/>
  <c r="Q3138" i="11"/>
  <c r="I3138" i="11" s="1"/>
  <c r="Q3140" i="11"/>
  <c r="I3140" i="11"/>
  <c r="Q3142" i="11"/>
  <c r="I3142" i="11" s="1"/>
  <c r="Q3144" i="11"/>
  <c r="I3144" i="11" s="1"/>
  <c r="Q3146" i="11"/>
  <c r="I3146" i="11"/>
  <c r="Q3148" i="11"/>
  <c r="I3148" i="11" s="1"/>
  <c r="Q3150" i="11"/>
  <c r="I3150" i="11" s="1"/>
  <c r="Q3152" i="11"/>
  <c r="I3152" i="11"/>
  <c r="Q3154" i="11"/>
  <c r="I3154" i="11" s="1"/>
  <c r="Q3156" i="11"/>
  <c r="I3156" i="11" s="1"/>
  <c r="Q3158" i="11"/>
  <c r="I3158" i="11"/>
  <c r="Q3160" i="11"/>
  <c r="I3160" i="11" s="1"/>
  <c r="Q3162" i="11"/>
  <c r="I3162" i="11" s="1"/>
  <c r="Q3164" i="11"/>
  <c r="I3164" i="11"/>
  <c r="Q3166" i="11"/>
  <c r="I3166" i="11"/>
  <c r="Q3168" i="11"/>
  <c r="I3168" i="11" s="1"/>
  <c r="Q3170" i="11"/>
  <c r="I3170" i="11"/>
  <c r="Q3172" i="11"/>
  <c r="I3172" i="11" s="1"/>
  <c r="Q3174" i="11"/>
  <c r="I3174" i="11" s="1"/>
  <c r="Q3176" i="11"/>
  <c r="I3176" i="11"/>
  <c r="Q3178" i="11"/>
  <c r="I3178" i="11" s="1"/>
  <c r="Q3180" i="11"/>
  <c r="I3180" i="11" s="1"/>
  <c r="Q3182" i="11"/>
  <c r="I3182" i="11"/>
  <c r="Q3184" i="11"/>
  <c r="I3184" i="11" s="1"/>
  <c r="Q3186" i="11"/>
  <c r="I3186" i="11" s="1"/>
  <c r="Q3188" i="11"/>
  <c r="I3188" i="11"/>
  <c r="Q3190" i="11"/>
  <c r="I3190" i="11"/>
  <c r="Q3192" i="11"/>
  <c r="I3192" i="11" s="1"/>
  <c r="Q3194" i="11"/>
  <c r="I3194" i="11"/>
  <c r="Q3196" i="11"/>
  <c r="I3196" i="11"/>
  <c r="Q3198" i="11"/>
  <c r="I3198" i="11" s="1"/>
  <c r="Q3200" i="11"/>
  <c r="I3200" i="11"/>
  <c r="Q3202" i="11"/>
  <c r="I3202" i="11"/>
  <c r="Q3204" i="11"/>
  <c r="I3204" i="11" s="1"/>
  <c r="Q3206" i="11"/>
  <c r="I3206" i="11"/>
  <c r="Q3208" i="11"/>
  <c r="I3208" i="11" s="1"/>
  <c r="Q3210" i="11"/>
  <c r="I3210" i="11" s="1"/>
  <c r="Q3212" i="11"/>
  <c r="I3212" i="11"/>
  <c r="Q3214" i="11"/>
  <c r="I3214" i="11" s="1"/>
  <c r="Q3216" i="11"/>
  <c r="I3216" i="11" s="1"/>
  <c r="Q3218" i="11"/>
  <c r="I3218" i="11"/>
  <c r="Q3220" i="11"/>
  <c r="I3220" i="11" s="1"/>
  <c r="Q3222" i="11"/>
  <c r="I3222" i="11" s="1"/>
  <c r="Q3224" i="11"/>
  <c r="I3224" i="11"/>
  <c r="Q3226" i="11"/>
  <c r="I3226" i="11" s="1"/>
  <c r="Q3228" i="11"/>
  <c r="I3228" i="11" s="1"/>
  <c r="Q3230" i="11"/>
  <c r="I3230" i="11"/>
  <c r="Q3232" i="11"/>
  <c r="I3232" i="11" s="1"/>
  <c r="Q3234" i="11"/>
  <c r="I3234" i="11" s="1"/>
  <c r="Q3236" i="11"/>
  <c r="I3236" i="11"/>
  <c r="Q3238" i="11"/>
  <c r="I3238" i="11"/>
  <c r="Q3240" i="11"/>
  <c r="I3240" i="11" s="1"/>
  <c r="Q3242" i="11"/>
  <c r="I3242" i="11"/>
  <c r="Q3244" i="11"/>
  <c r="I3244" i="11" s="1"/>
  <c r="Q3246" i="11"/>
  <c r="I3246" i="11" s="1"/>
  <c r="Q3248" i="11"/>
  <c r="I3248" i="11"/>
  <c r="Q3250" i="11"/>
  <c r="I3250" i="11" s="1"/>
  <c r="Q3252" i="11"/>
  <c r="I3252" i="11" s="1"/>
  <c r="Q3254" i="11"/>
  <c r="I3254" i="11"/>
  <c r="Q3256" i="11"/>
  <c r="I3256" i="11" s="1"/>
  <c r="Q3258" i="11"/>
  <c r="I3258" i="11" s="1"/>
  <c r="Q3260" i="11"/>
  <c r="I3260" i="11"/>
  <c r="Q3262" i="11"/>
  <c r="I3262" i="11"/>
  <c r="Q3264" i="11"/>
  <c r="I3264" i="11" s="1"/>
  <c r="Q3266" i="11"/>
  <c r="I3266" i="11"/>
  <c r="Q3268" i="11"/>
  <c r="I3268" i="11" s="1"/>
  <c r="Q3270" i="11"/>
  <c r="I3270" i="11" s="1"/>
  <c r="Q3272" i="11"/>
  <c r="I3272" i="11"/>
  <c r="Q3274" i="11"/>
  <c r="I3274" i="11"/>
  <c r="Q3276" i="11"/>
  <c r="I3276" i="11" s="1"/>
  <c r="Q3278" i="11"/>
  <c r="I3278" i="11"/>
  <c r="Q3280" i="11"/>
  <c r="I3280" i="11" s="1"/>
  <c r="Q3282" i="11"/>
  <c r="I3282" i="11" s="1"/>
  <c r="Q3284" i="11"/>
  <c r="I3284" i="11"/>
  <c r="Q3286" i="11"/>
  <c r="I3286" i="11" s="1"/>
  <c r="Q3288" i="11"/>
  <c r="I3288" i="11" s="1"/>
  <c r="Q3290" i="11"/>
  <c r="I3290" i="11"/>
  <c r="Q3292" i="11"/>
  <c r="I3292" i="11" s="1"/>
  <c r="Q3294" i="11"/>
  <c r="I3294" i="11" s="1"/>
  <c r="Q3296" i="11"/>
  <c r="I3296" i="11"/>
  <c r="Q3298" i="11"/>
  <c r="I3298" i="11" s="1"/>
  <c r="Q3300" i="11"/>
  <c r="I3300" i="11" s="1"/>
  <c r="Q3302" i="11"/>
  <c r="I3302" i="11"/>
  <c r="Q3304" i="11"/>
  <c r="I3304" i="11" s="1"/>
  <c r="Q3306" i="11"/>
  <c r="I3306" i="11" s="1"/>
  <c r="Q3308" i="11"/>
  <c r="I3308" i="11"/>
  <c r="Q3310" i="11"/>
  <c r="I3310" i="11"/>
  <c r="Q3312" i="11"/>
  <c r="I3312" i="11" s="1"/>
  <c r="Q3314" i="11"/>
  <c r="I3314" i="11"/>
  <c r="Q3316" i="11"/>
  <c r="I3316" i="11" s="1"/>
  <c r="Q3318" i="11"/>
  <c r="I3318" i="11" s="1"/>
  <c r="Q3320" i="11"/>
  <c r="I3320" i="11"/>
  <c r="Q3322" i="11"/>
  <c r="I3322" i="11" s="1"/>
  <c r="Q3324" i="11"/>
  <c r="I3324" i="11" s="1"/>
  <c r="Q3326" i="11"/>
  <c r="I3326" i="11"/>
  <c r="Q3328" i="11"/>
  <c r="I3328" i="11" s="1"/>
  <c r="Q3330" i="11"/>
  <c r="I3330" i="11" s="1"/>
  <c r="Q3332" i="11"/>
  <c r="I3332" i="11"/>
  <c r="Q3334" i="11"/>
  <c r="I3334" i="11" s="1"/>
  <c r="Q3336" i="11"/>
  <c r="I3336" i="11" s="1"/>
  <c r="Q3338" i="11"/>
  <c r="I3338" i="11"/>
  <c r="Q3340" i="11"/>
  <c r="I3340" i="11" s="1"/>
  <c r="Q3342" i="11"/>
  <c r="I3342" i="11" s="1"/>
  <c r="Q3344" i="11"/>
  <c r="I3344" i="11"/>
  <c r="Q3346" i="11"/>
  <c r="I3346" i="11"/>
  <c r="Q3348" i="11"/>
  <c r="I3348" i="11" s="1"/>
  <c r="Q3350" i="11"/>
  <c r="I3350" i="11"/>
  <c r="Q3352" i="11"/>
  <c r="I3352" i="11" s="1"/>
  <c r="Q3354" i="11"/>
  <c r="I3354" i="11" s="1"/>
  <c r="Q3356" i="11"/>
  <c r="I3356" i="11"/>
  <c r="Q3358" i="11"/>
  <c r="I3358" i="11" s="1"/>
  <c r="Q3360" i="11"/>
  <c r="I3360" i="11" s="1"/>
  <c r="Q3362" i="11"/>
  <c r="I3362" i="11"/>
  <c r="Q3364" i="11"/>
  <c r="I3364" i="11" s="1"/>
  <c r="Q3366" i="11"/>
  <c r="I3366" i="11" s="1"/>
  <c r="Q3368" i="11"/>
  <c r="I3368" i="11"/>
  <c r="Q3370" i="11"/>
  <c r="I3370" i="11" s="1"/>
  <c r="Q3372" i="11"/>
  <c r="I3372" i="11" s="1"/>
  <c r="Q3374" i="11"/>
  <c r="I3374" i="11"/>
  <c r="Q3376" i="11"/>
  <c r="I3376" i="11" s="1"/>
  <c r="Q3378" i="11"/>
  <c r="I3378" i="11" s="1"/>
  <c r="Q3380" i="11"/>
  <c r="I3380" i="11"/>
  <c r="Q3382" i="11"/>
  <c r="I3382" i="11"/>
  <c r="Q3384" i="11"/>
  <c r="I3384" i="11" s="1"/>
  <c r="Q3386" i="11"/>
  <c r="I3386" i="11"/>
  <c r="Q3388" i="11"/>
  <c r="I3388" i="11" s="1"/>
  <c r="Q3390" i="11"/>
  <c r="I3390" i="11" s="1"/>
  <c r="Q3392" i="11"/>
  <c r="I3392" i="11"/>
  <c r="Q3394" i="11"/>
  <c r="I3394" i="11" s="1"/>
  <c r="Q3396" i="11"/>
  <c r="I3396" i="11" s="1"/>
  <c r="Q3398" i="11"/>
  <c r="I3398" i="11"/>
  <c r="Q3400" i="11"/>
  <c r="I3400" i="11" s="1"/>
  <c r="Q3402" i="11"/>
  <c r="I3402" i="11" s="1"/>
  <c r="Q3404" i="11"/>
  <c r="I3404" i="11"/>
  <c r="Q3406" i="11"/>
  <c r="I3406" i="11" s="1"/>
  <c r="Q3408" i="11"/>
  <c r="I3408" i="11" s="1"/>
  <c r="Q3410" i="11"/>
  <c r="I3410" i="11"/>
  <c r="Q3412" i="11"/>
  <c r="I3412" i="11" s="1"/>
  <c r="Q3414" i="11"/>
  <c r="I3414" i="11" s="1"/>
  <c r="Q3416" i="11"/>
  <c r="I3416" i="11"/>
  <c r="Q3418" i="11"/>
  <c r="I3418" i="11"/>
  <c r="Q3420" i="11"/>
  <c r="I3420" i="11" s="1"/>
  <c r="Q3422" i="11"/>
  <c r="I3422" i="11"/>
  <c r="Q3424" i="11"/>
  <c r="I3424" i="11" s="1"/>
  <c r="Q3426" i="11"/>
  <c r="I3426" i="11" s="1"/>
  <c r="Q3428" i="11"/>
  <c r="I3428" i="11"/>
  <c r="Q3430" i="11"/>
  <c r="I3430" i="11" s="1"/>
  <c r="Q3432" i="11"/>
  <c r="I3432" i="11" s="1"/>
  <c r="Q3434" i="11"/>
  <c r="I3434" i="11"/>
  <c r="Q3436" i="11"/>
  <c r="I3436" i="11" s="1"/>
  <c r="Q3438" i="11"/>
  <c r="I3438" i="11" s="1"/>
  <c r="Q3440" i="11"/>
  <c r="I3440" i="11"/>
  <c r="Q3442" i="11"/>
  <c r="I3442" i="11" s="1"/>
  <c r="Q3444" i="11"/>
  <c r="I3444" i="11" s="1"/>
  <c r="Q3446" i="11"/>
  <c r="I3446" i="11"/>
  <c r="Q3448" i="11"/>
  <c r="I3448" i="11" s="1"/>
  <c r="Q3450" i="11"/>
  <c r="I3450" i="11" s="1"/>
  <c r="Q3452" i="11"/>
  <c r="I3452" i="11"/>
  <c r="Q3454" i="11"/>
  <c r="I3454" i="11"/>
  <c r="Q3456" i="11"/>
  <c r="I3456" i="11" s="1"/>
  <c r="Q3458" i="11"/>
  <c r="I3458" i="11"/>
  <c r="Q3460" i="11"/>
  <c r="I3460" i="11" s="1"/>
  <c r="Q3462" i="11"/>
  <c r="I3462" i="11" s="1"/>
  <c r="Q3464" i="11"/>
  <c r="I3464" i="11"/>
  <c r="Q3466" i="11"/>
  <c r="I3466" i="11" s="1"/>
  <c r="Q3468" i="11"/>
  <c r="I3468" i="11" s="1"/>
  <c r="Q3470" i="11"/>
  <c r="I3470" i="11"/>
  <c r="Q3472" i="11"/>
  <c r="I3472" i="11" s="1"/>
  <c r="Q3474" i="11"/>
  <c r="I3474" i="11" s="1"/>
  <c r="Q3476" i="11"/>
  <c r="I3476" i="11"/>
  <c r="Q3478" i="11"/>
  <c r="I3478" i="11" s="1"/>
  <c r="Q3480" i="11"/>
  <c r="I3480" i="11" s="1"/>
  <c r="Q3482" i="11"/>
  <c r="I3482" i="11"/>
  <c r="Q3484" i="11"/>
  <c r="I3484" i="11" s="1"/>
  <c r="Q3486" i="11"/>
  <c r="I3486" i="11" s="1"/>
  <c r="Q3488" i="11"/>
  <c r="I3488" i="11"/>
  <c r="Q3490" i="11"/>
  <c r="I3490" i="11"/>
  <c r="Q3492" i="11"/>
  <c r="I3492" i="11" s="1"/>
  <c r="Q3494" i="11"/>
  <c r="I3494" i="11"/>
  <c r="Q3496" i="11"/>
  <c r="I3496" i="11" s="1"/>
  <c r="Q3498" i="11"/>
  <c r="I3498" i="11" s="1"/>
  <c r="Q3500" i="11"/>
  <c r="I3500" i="11"/>
  <c r="Q3502" i="11"/>
  <c r="I3502" i="11" s="1"/>
  <c r="Q3504" i="11"/>
  <c r="I3504" i="11" s="1"/>
  <c r="Q3506" i="11"/>
  <c r="I3506" i="11"/>
  <c r="Q3508" i="11"/>
  <c r="I3508" i="11" s="1"/>
  <c r="Q3510" i="11"/>
  <c r="I3510" i="11" s="1"/>
  <c r="Q3512" i="11"/>
  <c r="I3512" i="11"/>
  <c r="Q3514" i="11"/>
  <c r="I3514" i="11" s="1"/>
  <c r="Q3516" i="11"/>
  <c r="I3516" i="11" s="1"/>
  <c r="Q3518" i="11"/>
  <c r="I3518" i="11"/>
  <c r="Q3520" i="11"/>
  <c r="I3520" i="11" s="1"/>
  <c r="Q3522" i="11"/>
  <c r="I3522" i="11" s="1"/>
  <c r="Q3524" i="11"/>
  <c r="I3524" i="11"/>
  <c r="Q3526" i="11"/>
  <c r="I3526" i="11"/>
  <c r="Q3528" i="11"/>
  <c r="I3528" i="11" s="1"/>
  <c r="Q3530" i="11"/>
  <c r="I3530" i="11"/>
  <c r="Q3532" i="11"/>
  <c r="I3532" i="11" s="1"/>
  <c r="Q3534" i="11"/>
  <c r="I3534" i="11" s="1"/>
  <c r="Q3536" i="11"/>
  <c r="I3536" i="11"/>
  <c r="Q3538" i="11"/>
  <c r="I3538" i="11" s="1"/>
  <c r="Q3540" i="11"/>
  <c r="I3540" i="11" s="1"/>
  <c r="Q3542" i="11"/>
  <c r="I3542" i="11"/>
  <c r="Q3544" i="11"/>
  <c r="I3544" i="11" s="1"/>
  <c r="Q3546" i="11"/>
  <c r="I3546" i="11" s="1"/>
  <c r="Q3548" i="11"/>
  <c r="I3548" i="11"/>
  <c r="Q3550" i="11"/>
  <c r="I3550" i="11"/>
  <c r="Q3552" i="11"/>
  <c r="I3552" i="11" s="1"/>
  <c r="Q3554" i="11"/>
  <c r="I3554" i="11"/>
  <c r="Q3556" i="11"/>
  <c r="I3556" i="11" s="1"/>
  <c r="Q3558" i="11"/>
  <c r="I3558" i="11" s="1"/>
  <c r="Q3560" i="11"/>
  <c r="I3560" i="11"/>
  <c r="Q3562" i="11"/>
  <c r="I3562" i="11"/>
  <c r="Q3564" i="11"/>
  <c r="I3564" i="11" s="1"/>
  <c r="Q3566" i="11"/>
  <c r="I3566" i="11"/>
  <c r="Q3568" i="11"/>
  <c r="I3568" i="11" s="1"/>
  <c r="Q3570" i="11"/>
  <c r="I3570" i="11" s="1"/>
  <c r="Q3572" i="11"/>
  <c r="I3572" i="11"/>
  <c r="Q3574" i="11"/>
  <c r="I3574" i="11" s="1"/>
  <c r="Q3576" i="11"/>
  <c r="I3576" i="11" s="1"/>
  <c r="Q3578" i="11"/>
  <c r="I3578" i="11"/>
  <c r="Q3580" i="11"/>
  <c r="I3580" i="11" s="1"/>
  <c r="Q3582" i="11"/>
  <c r="I3582" i="11" s="1"/>
  <c r="Q3584" i="11"/>
  <c r="I3584" i="11"/>
  <c r="Q3586" i="11"/>
  <c r="I3586" i="11"/>
  <c r="Q3588" i="11"/>
  <c r="I3588" i="11" s="1"/>
  <c r="Q3590" i="11"/>
  <c r="I3590" i="11"/>
  <c r="Q3592" i="11"/>
  <c r="I3592" i="11" s="1"/>
  <c r="Q3594" i="11"/>
  <c r="I3594" i="11" s="1"/>
  <c r="Q3596" i="11"/>
  <c r="I3596" i="11"/>
  <c r="Q3598" i="11"/>
  <c r="I3598" i="11"/>
  <c r="Q3600" i="11"/>
  <c r="I3600" i="11" s="1"/>
  <c r="Q3602" i="11"/>
  <c r="I3602" i="11"/>
  <c r="Q3604" i="11"/>
  <c r="I3604" i="11" s="1"/>
  <c r="Q3606" i="11"/>
  <c r="I3606" i="11" s="1"/>
  <c r="Q3608" i="11"/>
  <c r="I3608" i="11"/>
  <c r="Q3610" i="11"/>
  <c r="I3610" i="11" s="1"/>
  <c r="Q3612" i="11"/>
  <c r="I3612" i="11" s="1"/>
  <c r="Q3614" i="11"/>
  <c r="I3614" i="11"/>
  <c r="Q3616" i="11"/>
  <c r="I3616" i="11" s="1"/>
  <c r="Q3618" i="11"/>
  <c r="I3618" i="11" s="1"/>
  <c r="Q3620" i="11"/>
  <c r="I3620" i="11"/>
  <c r="Q3622" i="11"/>
  <c r="I3622" i="11"/>
  <c r="Q3624" i="11"/>
  <c r="I3624" i="11" s="1"/>
  <c r="Q3626" i="11"/>
  <c r="I3626" i="11"/>
  <c r="Q3628" i="11"/>
  <c r="I3628" i="11" s="1"/>
  <c r="Q3630" i="11"/>
  <c r="I3630" i="11" s="1"/>
  <c r="Q3632" i="11"/>
  <c r="I3632" i="11"/>
  <c r="Q3634" i="11"/>
  <c r="I3634" i="11"/>
  <c r="Q3636" i="11"/>
  <c r="I3636" i="11" s="1"/>
  <c r="Q3638" i="11"/>
  <c r="I3638" i="11"/>
  <c r="Q3640" i="11"/>
  <c r="I3640" i="11" s="1"/>
  <c r="Q3642" i="11"/>
  <c r="I3642" i="11" s="1"/>
  <c r="Q3644" i="11"/>
  <c r="I3644" i="11"/>
  <c r="Q3646" i="11"/>
  <c r="I3646" i="11" s="1"/>
  <c r="Q3648" i="11"/>
  <c r="I3648" i="11" s="1"/>
  <c r="Q3650" i="11"/>
  <c r="I3650" i="11"/>
  <c r="Q3652" i="11"/>
  <c r="I3652" i="11" s="1"/>
  <c r="Q3654" i="11"/>
  <c r="I3654" i="11" s="1"/>
  <c r="Q3656" i="11"/>
  <c r="I3656" i="11"/>
  <c r="Q3658" i="11"/>
  <c r="I3658" i="11" s="1"/>
  <c r="Q3660" i="11"/>
  <c r="I3660" i="11" s="1"/>
  <c r="Q3662" i="11"/>
  <c r="I3662" i="11"/>
  <c r="Q3664" i="11"/>
  <c r="I3664" i="11" s="1"/>
  <c r="Q3666" i="11"/>
  <c r="I3666" i="11" s="1"/>
  <c r="Q3668" i="11"/>
  <c r="I3668" i="11"/>
  <c r="Q3670" i="11"/>
  <c r="I3670" i="11"/>
  <c r="Q3672" i="11"/>
  <c r="I3672" i="11" s="1"/>
  <c r="Q3674" i="11"/>
  <c r="I3674" i="11"/>
  <c r="Q3676" i="11"/>
  <c r="I3676" i="11" s="1"/>
  <c r="Q3678" i="11"/>
  <c r="I3678" i="11" s="1"/>
  <c r="Q3680" i="11"/>
  <c r="I3680" i="11"/>
  <c r="Q3682" i="11"/>
  <c r="I3682" i="11" s="1"/>
  <c r="Q3684" i="11"/>
  <c r="I3684" i="11" s="1"/>
  <c r="Q3686" i="11"/>
  <c r="I3686" i="11"/>
  <c r="Q3688" i="11"/>
  <c r="I3688" i="11" s="1"/>
  <c r="Q3690" i="11"/>
  <c r="I3690" i="11" s="1"/>
  <c r="Q3692" i="11"/>
  <c r="I3692" i="11"/>
  <c r="Q3694" i="11"/>
  <c r="I3694" i="11"/>
  <c r="Q3696" i="11"/>
  <c r="I3696" i="11" s="1"/>
  <c r="Q3698" i="11"/>
  <c r="I3698" i="11"/>
  <c r="Q3700" i="11"/>
  <c r="I3700" i="11"/>
  <c r="Q3702" i="11"/>
  <c r="I3702" i="11" s="1"/>
  <c r="Q3704" i="11"/>
  <c r="I3704" i="11"/>
  <c r="Q3706" i="11"/>
  <c r="I3706" i="11" s="1"/>
  <c r="Q3708" i="11"/>
  <c r="I3708" i="11" s="1"/>
  <c r="Q3710" i="11"/>
  <c r="I3710" i="11"/>
  <c r="Q3712" i="11"/>
  <c r="I3712" i="11"/>
  <c r="Q3714" i="11"/>
  <c r="I3714" i="11"/>
  <c r="Q3716" i="11"/>
  <c r="I3716" i="11"/>
  <c r="Q3718" i="11"/>
  <c r="I3718" i="11"/>
  <c r="Q3720" i="11"/>
  <c r="I3720" i="11" s="1"/>
  <c r="Q3722" i="11"/>
  <c r="I3722" i="11"/>
  <c r="Q3724" i="11"/>
  <c r="I3724" i="11" s="1"/>
  <c r="Q3726" i="11"/>
  <c r="I3726" i="11" s="1"/>
  <c r="Q3728" i="11"/>
  <c r="I3728" i="11"/>
  <c r="Q3730" i="11"/>
  <c r="I3730" i="11" s="1"/>
  <c r="Q3732" i="11"/>
  <c r="I3732" i="11" s="1"/>
  <c r="Q3734" i="11"/>
  <c r="I3734" i="11" s="1"/>
  <c r="Q3736" i="11"/>
  <c r="I3736" i="11" s="1"/>
  <c r="Q3738" i="11"/>
  <c r="I3738" i="11"/>
  <c r="Q3740" i="11"/>
  <c r="I3740" i="11"/>
  <c r="Q3742" i="11"/>
  <c r="I3742" i="11" s="1"/>
  <c r="Q3744" i="11"/>
  <c r="I3744" i="11" s="1"/>
  <c r="Q3746" i="11"/>
  <c r="I3746" i="11" s="1"/>
  <c r="Q3748" i="11"/>
  <c r="I3748" i="11" s="1"/>
  <c r="Q3750" i="11"/>
  <c r="I3750" i="11" s="1"/>
  <c r="Q3752" i="11"/>
  <c r="I3752" i="11"/>
  <c r="Q3754" i="11"/>
  <c r="I3754" i="11" s="1"/>
  <c r="Q3756" i="11"/>
  <c r="I3756" i="11" s="1"/>
  <c r="Q3758" i="11"/>
  <c r="I3758" i="11"/>
  <c r="Q3760" i="11"/>
  <c r="I3760" i="11"/>
  <c r="Q3762" i="11"/>
  <c r="I3762" i="11" s="1"/>
  <c r="Q3764" i="11"/>
  <c r="I3764" i="11"/>
  <c r="Q3766" i="11"/>
  <c r="I3766" i="11" s="1"/>
  <c r="Q3768" i="11"/>
  <c r="I3768" i="11" s="1"/>
  <c r="Q3770" i="11"/>
  <c r="I3770" i="11" s="1"/>
  <c r="Q3772" i="11"/>
  <c r="I3772" i="11" s="1"/>
  <c r="Q3774" i="11"/>
  <c r="I3774" i="11" s="1"/>
  <c r="Q3776" i="11"/>
  <c r="I3776" i="11"/>
  <c r="Q3778" i="11"/>
  <c r="I3778" i="11" s="1"/>
  <c r="Q3780" i="11"/>
  <c r="I3780" i="11" s="1"/>
  <c r="Q3782" i="11"/>
  <c r="I3782" i="11" s="1"/>
  <c r="Q3784" i="11"/>
  <c r="I3784" i="11"/>
  <c r="Q3786" i="11"/>
  <c r="I3786" i="11"/>
  <c r="Q3788" i="11"/>
  <c r="I3788" i="11"/>
  <c r="Q3790" i="11"/>
  <c r="I3790" i="11"/>
  <c r="Q3792" i="11"/>
  <c r="I3792" i="11" s="1"/>
  <c r="Q3794" i="11"/>
  <c r="I3794" i="11" s="1"/>
  <c r="Q3796" i="11"/>
  <c r="I3796" i="11" s="1"/>
  <c r="Q3798" i="11"/>
  <c r="I3798" i="11" s="1"/>
  <c r="Q3800" i="11"/>
  <c r="I3800" i="11"/>
  <c r="Q3802" i="11"/>
  <c r="I3802" i="11" s="1"/>
  <c r="Q3804" i="11"/>
  <c r="I3804" i="11" s="1"/>
  <c r="Q3806" i="11"/>
  <c r="I3806" i="11" s="1"/>
  <c r="Q3808" i="11"/>
  <c r="I3808" i="11" s="1"/>
  <c r="Q3810" i="11"/>
  <c r="I3810" i="11"/>
  <c r="Q3812" i="11"/>
  <c r="I3812" i="11"/>
  <c r="Q3814" i="11"/>
  <c r="I3814" i="11" s="1"/>
  <c r="Q3816" i="11"/>
  <c r="I3816" i="11"/>
  <c r="Q3818" i="11"/>
  <c r="I3818" i="11" s="1"/>
  <c r="Q3820" i="11"/>
  <c r="I3820" i="11" s="1"/>
  <c r="Q3822" i="11"/>
  <c r="I3822" i="11"/>
  <c r="Q3824" i="11"/>
  <c r="I3824" i="11"/>
  <c r="Q3826" i="11"/>
  <c r="I3826" i="11" s="1"/>
  <c r="Q3828" i="11"/>
  <c r="I3828" i="11"/>
  <c r="Q3830" i="11"/>
  <c r="I3830" i="11" s="1"/>
  <c r="Q3832" i="11"/>
  <c r="I3832" i="11" s="1"/>
  <c r="Q3834" i="11"/>
  <c r="I3834" i="11"/>
  <c r="Q3836" i="11"/>
  <c r="I3836" i="11" s="1"/>
  <c r="Q3838" i="11"/>
  <c r="I3838" i="11" s="1"/>
  <c r="Q3840" i="11"/>
  <c r="I3840" i="11"/>
  <c r="Q3842" i="11"/>
  <c r="I3842" i="11"/>
  <c r="Q3844" i="11"/>
  <c r="I3844" i="11" s="1"/>
  <c r="Q3846" i="11"/>
  <c r="I3846" i="11"/>
  <c r="Q3848" i="11"/>
  <c r="I3848" i="11"/>
  <c r="Q3850" i="11"/>
  <c r="I3850" i="11" s="1"/>
  <c r="Q3852" i="11"/>
  <c r="I3852" i="11"/>
  <c r="Q3854" i="11"/>
  <c r="I3854" i="11" s="1"/>
  <c r="Q3856" i="11"/>
  <c r="I3856" i="11" s="1"/>
  <c r="Q3858" i="11"/>
  <c r="I3858" i="11"/>
  <c r="Q3860" i="11"/>
  <c r="I3860" i="11"/>
  <c r="Q3862" i="11"/>
  <c r="I3862" i="11" s="1"/>
  <c r="Q3864" i="11"/>
  <c r="I3864" i="11"/>
  <c r="Q3866" i="11"/>
  <c r="I3866" i="11"/>
  <c r="Q3868" i="11"/>
  <c r="I3868" i="11" s="1"/>
  <c r="Q3870" i="11"/>
  <c r="I3870" i="11"/>
  <c r="Q3872" i="11"/>
  <c r="I3872" i="11" s="1"/>
  <c r="Q3874" i="11"/>
  <c r="I3874" i="11" s="1"/>
  <c r="Q3876" i="11"/>
  <c r="I3876" i="11"/>
  <c r="Q3878" i="11"/>
  <c r="I3878" i="11" s="1"/>
  <c r="Q3880" i="11"/>
  <c r="I3880" i="11" s="1"/>
  <c r="Q3882" i="11"/>
  <c r="I3882" i="11"/>
  <c r="Q3884" i="11"/>
  <c r="I3884" i="11" s="1"/>
  <c r="Q3886" i="11"/>
  <c r="I3886" i="11" s="1"/>
  <c r="Q3888" i="11"/>
  <c r="I3888" i="11"/>
  <c r="Q3890" i="11"/>
  <c r="I3890" i="11" s="1"/>
  <c r="Q3892" i="11"/>
  <c r="I3892" i="11" s="1"/>
  <c r="Q3894" i="11"/>
  <c r="I3894" i="11"/>
  <c r="Q3896" i="11"/>
  <c r="I3896" i="11" s="1"/>
  <c r="Q3898" i="11"/>
  <c r="I3898" i="11" s="1"/>
  <c r="Q3900" i="11"/>
  <c r="I3900" i="11"/>
  <c r="Q3902" i="11"/>
  <c r="I3902" i="11" s="1"/>
  <c r="Q3904" i="11"/>
  <c r="I3904" i="11" s="1"/>
  <c r="Q3906" i="11"/>
  <c r="I3906" i="11"/>
  <c r="Q3908" i="11"/>
  <c r="I3908" i="11" s="1"/>
  <c r="Q3910" i="11"/>
  <c r="I3910" i="11" s="1"/>
  <c r="Q3912" i="11"/>
  <c r="I3912" i="11"/>
  <c r="Q3914" i="11"/>
  <c r="I3914" i="11" s="1"/>
  <c r="Q3916" i="11"/>
  <c r="I3916" i="11" s="1"/>
  <c r="Q3918" i="11"/>
  <c r="I3918" i="11"/>
  <c r="Q3920" i="11"/>
  <c r="I3920" i="11"/>
  <c r="Q3922" i="11"/>
  <c r="I3922" i="11" s="1"/>
  <c r="Q3924" i="11"/>
  <c r="I3924" i="11"/>
  <c r="Q3926" i="11"/>
  <c r="I3926" i="11" s="1"/>
  <c r="Q3928" i="11"/>
  <c r="I3928" i="11" s="1"/>
  <c r="Q3930" i="11"/>
  <c r="I3930" i="11"/>
  <c r="Q3932" i="11"/>
  <c r="I3932" i="11"/>
  <c r="Q3934" i="11"/>
  <c r="I3934" i="11" s="1"/>
  <c r="Q3936" i="11"/>
  <c r="I3936" i="11"/>
  <c r="Q3938" i="11"/>
  <c r="I3938" i="11"/>
  <c r="Q3940" i="11"/>
  <c r="I3940" i="11" s="1"/>
  <c r="Q3942" i="11"/>
  <c r="I3942" i="11"/>
  <c r="Q3944" i="11"/>
  <c r="I3944" i="11" s="1"/>
  <c r="Q3946" i="11"/>
  <c r="I3946" i="11" s="1"/>
  <c r="Q3948" i="11"/>
  <c r="I3948" i="11"/>
  <c r="Q3950" i="11"/>
  <c r="I3950" i="11"/>
  <c r="Q3952" i="11"/>
  <c r="I3952" i="11" s="1"/>
  <c r="Q3954" i="11"/>
  <c r="I3954" i="11"/>
  <c r="Q3956" i="11"/>
  <c r="I3956" i="11" s="1"/>
  <c r="Q3958" i="11"/>
  <c r="I3958" i="11" s="1"/>
  <c r="Q3960" i="11"/>
  <c r="I3960" i="11"/>
  <c r="Q3962" i="11"/>
  <c r="I3962" i="11"/>
  <c r="Q3964" i="11"/>
  <c r="I3964" i="11" s="1"/>
  <c r="Q3966" i="11"/>
  <c r="I3966" i="11"/>
  <c r="Q3968" i="11"/>
  <c r="I3968" i="11"/>
  <c r="Q3970" i="11"/>
  <c r="I3970" i="11" s="1"/>
  <c r="Q3972" i="11"/>
  <c r="I3972" i="11"/>
  <c r="Q3974" i="11"/>
  <c r="I3974" i="11" s="1"/>
  <c r="Q3976" i="11"/>
  <c r="I3976" i="11" s="1"/>
  <c r="Q3978" i="11"/>
  <c r="I3978" i="11"/>
  <c r="Q3980" i="11"/>
  <c r="I3980" i="11" s="1"/>
  <c r="Q3982" i="11"/>
  <c r="I3982" i="11" s="1"/>
  <c r="Q3984" i="11"/>
  <c r="I3984" i="11"/>
  <c r="Q3986" i="11"/>
  <c r="I3986" i="11" s="1"/>
  <c r="Q3988" i="11"/>
  <c r="I3988" i="11" s="1"/>
  <c r="Q3990" i="11"/>
  <c r="I3990" i="11"/>
  <c r="Q3992" i="11"/>
  <c r="I3992" i="11"/>
  <c r="Q3994" i="11"/>
  <c r="I3994" i="11" s="1"/>
  <c r="Q3996" i="11"/>
  <c r="I3996" i="11"/>
  <c r="Q3998" i="11"/>
  <c r="I3998" i="11" s="1"/>
  <c r="Q4000" i="11"/>
  <c r="I4000" i="11" s="1"/>
  <c r="Q4002" i="11"/>
  <c r="I4002" i="11"/>
  <c r="Q4004" i="11"/>
  <c r="I4004" i="11" s="1"/>
  <c r="Q4006" i="11"/>
  <c r="I4006" i="11" s="1"/>
  <c r="Q4008" i="11"/>
  <c r="I4008" i="11"/>
  <c r="Q4010" i="11"/>
  <c r="I4010" i="11" s="1"/>
  <c r="Q4012" i="11"/>
  <c r="I4012" i="11" s="1"/>
  <c r="Q4014" i="11"/>
  <c r="I4014" i="11"/>
  <c r="Q4016" i="11"/>
  <c r="I4016" i="11"/>
  <c r="Q4018" i="11"/>
  <c r="I4018" i="11" s="1"/>
  <c r="Q4020" i="11"/>
  <c r="I4020" i="11"/>
  <c r="Q4022" i="11"/>
  <c r="I4022" i="11" s="1"/>
  <c r="Q4024" i="11"/>
  <c r="I4024" i="11" s="1"/>
  <c r="Q4026" i="11"/>
  <c r="I4026" i="11"/>
  <c r="Q4028" i="11"/>
  <c r="I4028" i="11" s="1"/>
  <c r="Q4030" i="11"/>
  <c r="I4030" i="11" s="1"/>
  <c r="Q4032" i="11"/>
  <c r="I4032" i="11"/>
  <c r="Q4034" i="11"/>
  <c r="I4034" i="11" s="1"/>
  <c r="Q4036" i="11"/>
  <c r="I4036" i="11" s="1"/>
  <c r="Q4038" i="11"/>
  <c r="I4038" i="11"/>
  <c r="Q4040" i="11"/>
  <c r="I4040" i="11"/>
  <c r="Q4042" i="11"/>
  <c r="I4042" i="11" s="1"/>
  <c r="Q4044" i="11"/>
  <c r="I4044" i="11"/>
  <c r="Q4046" i="11"/>
  <c r="I4046" i="11"/>
  <c r="Q4048" i="11"/>
  <c r="I4048" i="11" s="1"/>
  <c r="Q4050" i="11"/>
  <c r="I4050" i="11"/>
  <c r="Q4052" i="11"/>
  <c r="I4052" i="11" s="1"/>
  <c r="Q4054" i="11"/>
  <c r="I4054" i="11" s="1"/>
  <c r="Q4056" i="11"/>
  <c r="I4056" i="11"/>
  <c r="Q4058" i="11"/>
  <c r="I4058" i="11"/>
  <c r="Q4060" i="11"/>
  <c r="I4060" i="11" s="1"/>
  <c r="Q4062" i="11"/>
  <c r="I4062" i="11"/>
  <c r="Q4064" i="11"/>
  <c r="I4064" i="11"/>
  <c r="Q4066" i="11"/>
  <c r="I4066" i="11" s="1"/>
  <c r="Q4068" i="11"/>
  <c r="I4068" i="11"/>
  <c r="Q4070" i="11"/>
  <c r="I4070" i="11" s="1"/>
  <c r="Q4072" i="11"/>
  <c r="I4072" i="11" s="1"/>
  <c r="Q4074" i="11"/>
  <c r="I4074" i="11"/>
  <c r="Q4076" i="11"/>
  <c r="I4076" i="11"/>
  <c r="Q4078" i="11"/>
  <c r="I4078" i="11" s="1"/>
  <c r="Q4080" i="11"/>
  <c r="I4080" i="11"/>
  <c r="Q4082" i="11"/>
  <c r="I4082" i="11" s="1"/>
  <c r="Q4084" i="11"/>
  <c r="I4084" i="11" s="1"/>
  <c r="Q4086" i="11"/>
  <c r="I4086" i="11"/>
  <c r="Q4088" i="11"/>
  <c r="I4088" i="11"/>
  <c r="Q4090" i="11"/>
  <c r="I4090" i="11" s="1"/>
  <c r="Q4092" i="11"/>
  <c r="I4092" i="11"/>
  <c r="Q4094" i="11"/>
  <c r="I4094" i="11" s="1"/>
  <c r="Q4096" i="11"/>
  <c r="I4096" i="11" s="1"/>
  <c r="Q4098" i="11"/>
  <c r="I4098" i="11"/>
  <c r="Q4100" i="11"/>
  <c r="I4100" i="11"/>
  <c r="Q4102" i="11"/>
  <c r="I4102" i="11" s="1"/>
  <c r="Q4104" i="11"/>
  <c r="I4104" i="11"/>
  <c r="Q4106" i="11"/>
  <c r="I4106" i="11" s="1"/>
  <c r="Q4108" i="11"/>
  <c r="I4108" i="11" s="1"/>
  <c r="Q4110" i="11"/>
  <c r="I4110" i="11"/>
  <c r="Q4112" i="11"/>
  <c r="I4112" i="11"/>
  <c r="Q4114" i="11"/>
  <c r="I4114" i="11" s="1"/>
  <c r="Q4116" i="11"/>
  <c r="I4116" i="11"/>
  <c r="Q4118" i="11"/>
  <c r="I4118" i="11"/>
  <c r="Q4120" i="11"/>
  <c r="I4120" i="11" s="1"/>
  <c r="Q4122" i="11"/>
  <c r="I4122" i="11"/>
  <c r="Q4124" i="11"/>
  <c r="I4124" i="11"/>
  <c r="Q4126" i="11"/>
  <c r="I4126" i="11" s="1"/>
  <c r="Q4128" i="11"/>
  <c r="I4128" i="11"/>
  <c r="Q4130" i="11"/>
  <c r="I4130" i="11"/>
  <c r="Q4132" i="11"/>
  <c r="I4132" i="11" s="1"/>
  <c r="Q4134" i="11"/>
  <c r="I4134" i="11"/>
  <c r="Q4136" i="11"/>
  <c r="I4136" i="11" s="1"/>
  <c r="Q4138" i="11"/>
  <c r="I4138" i="11" s="1"/>
  <c r="Q4140" i="11"/>
  <c r="I4140" i="11"/>
  <c r="Q4142" i="11"/>
  <c r="I4142" i="11" s="1"/>
  <c r="Q4144" i="11"/>
  <c r="I4144" i="11" s="1"/>
  <c r="Q4146" i="11"/>
  <c r="I4146" i="11"/>
  <c r="Q4148" i="11"/>
  <c r="I4148" i="11" s="1"/>
  <c r="Q4150" i="11"/>
  <c r="I4150" i="11" s="1"/>
  <c r="Q4152" i="11"/>
  <c r="I4152" i="11"/>
  <c r="Q4154" i="11"/>
  <c r="I4154" i="11" s="1"/>
  <c r="Q4156" i="11"/>
  <c r="I4156" i="11" s="1"/>
  <c r="Q4158" i="11"/>
  <c r="I4158" i="11"/>
  <c r="Q4160" i="11"/>
  <c r="I4160" i="11" s="1"/>
  <c r="Q4162" i="11"/>
  <c r="I4162" i="11" s="1"/>
  <c r="Q4164" i="11"/>
  <c r="I4164" i="11"/>
  <c r="Q4166" i="11"/>
  <c r="I4166" i="11" s="1"/>
  <c r="Q4168" i="11"/>
  <c r="I4168" i="11" s="1"/>
  <c r="Q4170" i="11"/>
  <c r="I4170" i="11"/>
  <c r="Q4172" i="11"/>
  <c r="I4172" i="11"/>
  <c r="Q4174" i="11"/>
  <c r="I4174" i="11" s="1"/>
  <c r="Q4176" i="11"/>
  <c r="I4176" i="11"/>
  <c r="Q4178" i="11"/>
  <c r="I4178" i="11" s="1"/>
  <c r="Q4180" i="11"/>
  <c r="I4180" i="11" s="1"/>
  <c r="Q4182" i="11"/>
  <c r="I4182" i="11"/>
  <c r="Q4184" i="11"/>
  <c r="I4184" i="11"/>
  <c r="Q4186" i="11"/>
  <c r="I4186" i="11" s="1"/>
  <c r="Q4188" i="11"/>
  <c r="I4188" i="11"/>
  <c r="Q4190" i="11"/>
  <c r="I4190" i="11" s="1"/>
  <c r="Q4192" i="11"/>
  <c r="I4192" i="11" s="1"/>
  <c r="Q4194" i="11"/>
  <c r="I4194" i="11"/>
  <c r="Q4196" i="11"/>
  <c r="I4196" i="11" s="1"/>
  <c r="Q4198" i="11"/>
  <c r="I4198" i="11" s="1"/>
  <c r="Q4200" i="11"/>
  <c r="I4200" i="11"/>
  <c r="Q4202" i="11"/>
  <c r="I4202" i="11" s="1"/>
  <c r="Q4204" i="11"/>
  <c r="I4204" i="11" s="1"/>
  <c r="Q4206" i="11"/>
  <c r="I4206" i="11"/>
  <c r="Q4208" i="11"/>
  <c r="I4208" i="11"/>
  <c r="Q4210" i="11"/>
  <c r="I4210" i="11" s="1"/>
  <c r="Q4212" i="11"/>
  <c r="I4212" i="11"/>
  <c r="Q4214" i="11"/>
  <c r="I4214" i="11" s="1"/>
  <c r="Q4216" i="11"/>
  <c r="I4216" i="11" s="1"/>
  <c r="Q4218" i="11"/>
  <c r="I4218" i="11"/>
  <c r="Q4220" i="11"/>
  <c r="I4220" i="11"/>
  <c r="Q4222" i="11"/>
  <c r="I4222" i="11" s="1"/>
  <c r="Q4224" i="11"/>
  <c r="I4224" i="11"/>
  <c r="Q4226" i="11"/>
  <c r="I4226" i="11"/>
  <c r="Q4228" i="11"/>
  <c r="I4228" i="11" s="1"/>
  <c r="Q4230" i="11"/>
  <c r="I4230" i="11"/>
  <c r="Q4232" i="11"/>
  <c r="I4232" i="11" s="1"/>
  <c r="Q4234" i="11"/>
  <c r="I4234" i="11" s="1"/>
  <c r="Q4236" i="11"/>
  <c r="I4236" i="11"/>
  <c r="Q4238" i="11"/>
  <c r="I4238" i="11" s="1"/>
  <c r="Q4240" i="11"/>
  <c r="I4240" i="11" s="1"/>
  <c r="Q4242" i="11"/>
  <c r="I4242" i="11"/>
  <c r="Q4244" i="11"/>
  <c r="I4244" i="11" s="1"/>
  <c r="Q4246" i="11"/>
  <c r="I4246" i="11" s="1"/>
  <c r="Q4248" i="11"/>
  <c r="I4248" i="11"/>
  <c r="Q4250" i="11"/>
  <c r="I4250" i="11" s="1"/>
  <c r="Q4252" i="11"/>
  <c r="I4252" i="11" s="1"/>
  <c r="Q4254" i="11"/>
  <c r="I4254" i="11"/>
  <c r="Q4256" i="11"/>
  <c r="I4256" i="11" s="1"/>
  <c r="Q4258" i="11"/>
  <c r="I4258" i="11" s="1"/>
  <c r="Q4260" i="11"/>
  <c r="I4260" i="11"/>
  <c r="Q4262" i="11"/>
  <c r="I4262" i="11"/>
  <c r="Q4264" i="11"/>
  <c r="I4264" i="11" s="1"/>
  <c r="Q4266" i="11"/>
  <c r="I4266" i="11"/>
  <c r="Q4268" i="11"/>
  <c r="I4268" i="11" s="1"/>
  <c r="Q4270" i="11"/>
  <c r="I4270" i="11" s="1"/>
  <c r="Q4272" i="11"/>
  <c r="I4272" i="11"/>
  <c r="Q4274" i="11"/>
  <c r="I4274" i="11" s="1"/>
  <c r="Q4276" i="11"/>
  <c r="I4276" i="11" s="1"/>
  <c r="Q4278" i="11"/>
  <c r="I4278" i="11"/>
  <c r="Q4280" i="11"/>
  <c r="I4280" i="11" s="1"/>
  <c r="Q4282" i="11"/>
  <c r="I4282" i="11" s="1"/>
  <c r="Q4284" i="11"/>
  <c r="I4284" i="11"/>
  <c r="Q4286" i="11"/>
  <c r="I4286" i="11" s="1"/>
  <c r="Q4288" i="11"/>
  <c r="I4288" i="11" s="1"/>
  <c r="Q4290" i="11"/>
  <c r="I4290" i="11"/>
  <c r="Q4292" i="11"/>
  <c r="I4292" i="11" s="1"/>
  <c r="Q4294" i="11"/>
  <c r="I4294" i="11" s="1"/>
  <c r="Q4296" i="11"/>
  <c r="I4296" i="11"/>
  <c r="Q4298" i="11"/>
  <c r="I4298" i="11" s="1"/>
  <c r="Q4300" i="11"/>
  <c r="I4300" i="11" s="1"/>
  <c r="Q4302" i="11"/>
  <c r="I4302" i="11"/>
  <c r="Q4304" i="11"/>
  <c r="I4304" i="11" s="1"/>
  <c r="Q4306" i="11"/>
  <c r="I4306" i="11" s="1"/>
  <c r="Q4308" i="11"/>
  <c r="I4308" i="11"/>
  <c r="Q4310" i="11"/>
  <c r="I4310" i="11"/>
  <c r="Q4312" i="11"/>
  <c r="I4312" i="11" s="1"/>
  <c r="Q4314" i="11"/>
  <c r="I4314" i="11"/>
  <c r="Q4316" i="11"/>
  <c r="I4316" i="11"/>
  <c r="Q4318" i="11"/>
  <c r="I4318" i="11" s="1"/>
  <c r="Q4320" i="11"/>
  <c r="I4320" i="11"/>
  <c r="Q4322" i="11"/>
  <c r="I4322" i="11" s="1"/>
  <c r="K4322" i="11" s="1"/>
  <c r="Q4324" i="11"/>
  <c r="I4324" i="11" s="1"/>
  <c r="Q4326" i="11"/>
  <c r="I4326" i="11"/>
  <c r="Q4328" i="11"/>
  <c r="I4328" i="11" s="1"/>
  <c r="J4328" i="11" s="1"/>
  <c r="Q4330" i="11"/>
  <c r="I4330" i="11" s="1"/>
  <c r="Q4332" i="11"/>
  <c r="I4332" i="11"/>
  <c r="Q4334" i="11"/>
  <c r="I4334" i="11" s="1"/>
  <c r="K4334" i="11" s="1"/>
  <c r="Q4336" i="11"/>
  <c r="I4336" i="11" s="1"/>
  <c r="Q4338" i="11"/>
  <c r="I4338" i="11"/>
  <c r="Q4340" i="11"/>
  <c r="I4340" i="11" s="1"/>
  <c r="J4340" i="11" s="1"/>
  <c r="Q4342" i="11"/>
  <c r="I4342" i="11" s="1"/>
  <c r="Q4344" i="11"/>
  <c r="I4344" i="11"/>
  <c r="Q4346" i="11"/>
  <c r="I4346" i="11" s="1"/>
  <c r="K4346" i="11" s="1"/>
  <c r="Q4348" i="11"/>
  <c r="I4348" i="11" s="1"/>
  <c r="Q4350" i="11"/>
  <c r="I4350" i="11"/>
  <c r="Q4352" i="11"/>
  <c r="I4352" i="11"/>
  <c r="Q4354" i="11"/>
  <c r="I4354" i="11" s="1"/>
  <c r="Q4356" i="11"/>
  <c r="I4356" i="11"/>
  <c r="Q4358" i="11"/>
  <c r="I4358" i="11" s="1"/>
  <c r="K4358" i="11" s="1"/>
  <c r="Q4360" i="11"/>
  <c r="I4360" i="11" s="1"/>
  <c r="Q4362" i="11"/>
  <c r="I4362" i="11"/>
  <c r="Q4364" i="11"/>
  <c r="I4364" i="11"/>
  <c r="Q4366" i="11"/>
  <c r="I4366" i="11" s="1"/>
  <c r="Q4368" i="11"/>
  <c r="I4368" i="11"/>
  <c r="Q4370" i="11"/>
  <c r="I4370" i="11" s="1"/>
  <c r="K4370" i="11" s="1"/>
  <c r="Q4372" i="11"/>
  <c r="I4372" i="11" s="1"/>
  <c r="Q4374" i="11"/>
  <c r="I4374" i="11"/>
  <c r="Q4376" i="11"/>
  <c r="I4376" i="11"/>
  <c r="Q4378" i="11"/>
  <c r="I4378" i="11" s="1"/>
  <c r="Q4380" i="11"/>
  <c r="I4380" i="11"/>
  <c r="Q4382" i="11"/>
  <c r="I4382" i="11"/>
  <c r="Q4384" i="11"/>
  <c r="I4384" i="11" s="1"/>
  <c r="Q4386" i="11"/>
  <c r="I4386" i="11"/>
  <c r="Q4388" i="11"/>
  <c r="I4388" i="11"/>
  <c r="Q4390" i="11"/>
  <c r="I4390" i="11" s="1"/>
  <c r="Q4392" i="11"/>
  <c r="I4392" i="11"/>
  <c r="Q4394" i="11"/>
  <c r="I4394" i="11" s="1"/>
  <c r="K4394" i="11" s="1"/>
  <c r="Q4396" i="11"/>
  <c r="I4396" i="11" s="1"/>
  <c r="Q4398" i="11"/>
  <c r="I4398" i="11"/>
  <c r="Q4400" i="11"/>
  <c r="I4400" i="11" s="1"/>
  <c r="J4400" i="11" s="1"/>
  <c r="Q4402" i="11"/>
  <c r="I4402" i="11" s="1"/>
  <c r="Q4404" i="11"/>
  <c r="I4404" i="11"/>
  <c r="Q4406" i="11"/>
  <c r="I4406" i="11" s="1"/>
  <c r="K4406" i="11" s="1"/>
  <c r="Q4408" i="11"/>
  <c r="I4408" i="11" s="1"/>
  <c r="Q4410" i="11"/>
  <c r="I4410" i="11"/>
  <c r="Q4412" i="11"/>
  <c r="I4412" i="11"/>
  <c r="Q4414" i="11"/>
  <c r="I4414" i="11" s="1"/>
  <c r="Q4416" i="11"/>
  <c r="I4416" i="11"/>
  <c r="Q4418" i="11"/>
  <c r="I4418" i="11"/>
  <c r="Q4420" i="11"/>
  <c r="I4420" i="11" s="1"/>
  <c r="Q4422" i="11"/>
  <c r="I4422" i="11"/>
  <c r="Q4424" i="11"/>
  <c r="I4424" i="11"/>
  <c r="Q4426" i="11"/>
  <c r="I4426" i="11" s="1"/>
  <c r="Q4428" i="11"/>
  <c r="I4428" i="11"/>
  <c r="Q4430" i="11"/>
  <c r="I4430" i="11" s="1"/>
  <c r="K4430" i="11" s="1"/>
  <c r="Q4432" i="11"/>
  <c r="I4432" i="11" s="1"/>
  <c r="Q4434" i="11"/>
  <c r="I4434" i="11"/>
  <c r="Q4436" i="11"/>
  <c r="I4436" i="11"/>
  <c r="Q4438" i="11"/>
  <c r="I4438" i="11" s="1"/>
  <c r="Q4440" i="11"/>
  <c r="I4440" i="11"/>
  <c r="Q4442" i="11"/>
  <c r="I4442" i="11" s="1"/>
  <c r="K4442" i="11" s="1"/>
  <c r="Q4444" i="11"/>
  <c r="I4444" i="11" s="1"/>
  <c r="Q4446" i="11"/>
  <c r="I4446" i="11"/>
  <c r="Q4448" i="11"/>
  <c r="I4448" i="11"/>
  <c r="Q4450" i="11"/>
  <c r="I4450" i="11" s="1"/>
  <c r="Q4452" i="11"/>
  <c r="I4452" i="11"/>
  <c r="Q4454" i="11"/>
  <c r="I4454" i="11"/>
  <c r="Q4456" i="11"/>
  <c r="I4456" i="11" s="1"/>
  <c r="Q4458" i="11"/>
  <c r="I4458" i="11"/>
  <c r="Q4460" i="11"/>
  <c r="I4460" i="11"/>
  <c r="Q4462" i="11"/>
  <c r="I4462" i="11" s="1"/>
  <c r="Q4464" i="11"/>
  <c r="I4464" i="11"/>
  <c r="Q4466" i="11"/>
  <c r="I4466" i="11" s="1"/>
  <c r="K4466" i="11" s="1"/>
  <c r="Q4468" i="11"/>
  <c r="I4468" i="11" s="1"/>
  <c r="Q4470" i="11"/>
  <c r="I4470" i="11"/>
  <c r="Q4472" i="11"/>
  <c r="I4472" i="11" s="1"/>
  <c r="J4472" i="11" s="1"/>
  <c r="Q4474" i="11"/>
  <c r="I4474" i="11" s="1"/>
  <c r="Q4476" i="11"/>
  <c r="I4476" i="11"/>
  <c r="Q4478" i="11"/>
  <c r="I4478" i="11" s="1"/>
  <c r="K4478" i="11" s="1"/>
  <c r="Q4480" i="11"/>
  <c r="I4480" i="11" s="1"/>
  <c r="Q4482" i="11"/>
  <c r="I4482" i="11"/>
  <c r="Q4484" i="11"/>
  <c r="I4484" i="11"/>
  <c r="Q4486" i="11"/>
  <c r="I4486" i="11" s="1"/>
  <c r="Q4488" i="11"/>
  <c r="I4488" i="11"/>
  <c r="Q4490" i="11"/>
  <c r="I4490" i="11" s="1"/>
  <c r="K4490" i="11" s="1"/>
  <c r="Q4492" i="11"/>
  <c r="I4492" i="11" s="1"/>
  <c r="Q4494" i="11"/>
  <c r="I4494" i="11"/>
  <c r="Q4496" i="11"/>
  <c r="I4496" i="11"/>
  <c r="Q4498" i="11"/>
  <c r="I4498" i="11" s="1"/>
  <c r="Q4500" i="11"/>
  <c r="I4500" i="11"/>
  <c r="Q4502" i="11"/>
  <c r="I4502" i="11" s="1"/>
  <c r="K4502" i="11" s="1"/>
  <c r="Q4504" i="11"/>
  <c r="I4504" i="11" s="1"/>
  <c r="Q4506" i="11"/>
  <c r="I4506" i="11"/>
  <c r="Q4508" i="11"/>
  <c r="I4508" i="11"/>
  <c r="Q4510" i="11"/>
  <c r="I4510" i="11" s="1"/>
  <c r="Q4512" i="11"/>
  <c r="I4512" i="11"/>
  <c r="Q4514" i="11"/>
  <c r="I4514" i="11" s="1"/>
  <c r="K4514" i="11" s="1"/>
  <c r="Q4516" i="11"/>
  <c r="I4516" i="11" s="1"/>
  <c r="Q4518" i="11"/>
  <c r="I4518" i="11"/>
  <c r="Q4520" i="11"/>
  <c r="I4520" i="11"/>
  <c r="Q4522" i="11"/>
  <c r="I4522" i="11" s="1"/>
  <c r="Q4524" i="11"/>
  <c r="I4524" i="11"/>
  <c r="Q4526" i="11"/>
  <c r="I4526" i="11"/>
  <c r="Q4528" i="11"/>
  <c r="I4528" i="11" s="1"/>
  <c r="Q4530" i="11"/>
  <c r="I4530" i="11"/>
  <c r="Q4532" i="11"/>
  <c r="I4532" i="11"/>
  <c r="Q4534" i="11"/>
  <c r="I4534" i="11" s="1"/>
  <c r="Q4536" i="11"/>
  <c r="I4536" i="11"/>
  <c r="Q4538" i="11"/>
  <c r="I4538" i="11" s="1"/>
  <c r="K4538" i="11" s="1"/>
  <c r="Q4540" i="11"/>
  <c r="I4540" i="11" s="1"/>
  <c r="Q4542" i="11"/>
  <c r="I4542" i="11"/>
  <c r="Q4544" i="11"/>
  <c r="I4544" i="11" s="1"/>
  <c r="J4544" i="11" s="1"/>
  <c r="Q4546" i="11"/>
  <c r="I4546" i="11" s="1"/>
  <c r="Q4548" i="11"/>
  <c r="I4548" i="11"/>
  <c r="Q4550" i="11"/>
  <c r="I4550" i="11" s="1"/>
  <c r="K4550" i="11" s="1"/>
  <c r="Q4552" i="11"/>
  <c r="I4552" i="11" s="1"/>
  <c r="Q4554" i="11"/>
  <c r="I4554" i="11"/>
  <c r="Q4556" i="11"/>
  <c r="I4556" i="11"/>
  <c r="Q4558" i="11"/>
  <c r="I4558" i="11" s="1"/>
  <c r="Q4560" i="11"/>
  <c r="I4560" i="11"/>
  <c r="Q4562" i="11"/>
  <c r="I4562" i="11"/>
  <c r="Q4564" i="11"/>
  <c r="I4564" i="11" s="1"/>
  <c r="Q4566" i="11"/>
  <c r="I4566" i="11"/>
  <c r="Q4568" i="11"/>
  <c r="I4568" i="11"/>
  <c r="Q4570" i="11"/>
  <c r="I4570" i="11" s="1"/>
  <c r="Q4572" i="11"/>
  <c r="I4572" i="11"/>
  <c r="Q4574" i="11"/>
  <c r="I4574" i="11" s="1"/>
  <c r="K4574" i="11" s="1"/>
  <c r="Q4576" i="11"/>
  <c r="I4576" i="11" s="1"/>
  <c r="Q4578" i="11"/>
  <c r="I4578" i="11"/>
  <c r="Q4580" i="11"/>
  <c r="I4580" i="11"/>
  <c r="Q4582" i="11"/>
  <c r="I4582" i="11" s="1"/>
  <c r="Q4584" i="11"/>
  <c r="I4584" i="11"/>
  <c r="Q4586" i="11"/>
  <c r="I4586" i="11" s="1"/>
  <c r="K4586" i="11" s="1"/>
  <c r="Q4588" i="11"/>
  <c r="I4588" i="11" s="1"/>
  <c r="Q4590" i="11"/>
  <c r="I4590" i="11"/>
  <c r="Q4592" i="11"/>
  <c r="I4592" i="11"/>
  <c r="Q4594" i="11"/>
  <c r="I4594" i="11" s="1"/>
  <c r="Q4596" i="11"/>
  <c r="I4596" i="11"/>
  <c r="Q4598" i="11"/>
  <c r="I4598" i="11"/>
  <c r="Q4600" i="11"/>
  <c r="I4600" i="11" s="1"/>
  <c r="Q4602" i="11"/>
  <c r="I4602" i="11"/>
  <c r="Q4604" i="11"/>
  <c r="I4604" i="11"/>
  <c r="Q4606" i="11"/>
  <c r="I4606" i="11" s="1"/>
  <c r="Q4608" i="11"/>
  <c r="I4608" i="11"/>
  <c r="Q4610" i="11"/>
  <c r="I4610" i="11" s="1"/>
  <c r="K4610" i="11" s="1"/>
  <c r="Q4612" i="11"/>
  <c r="I4612" i="11" s="1"/>
  <c r="Q4614" i="11"/>
  <c r="I4614" i="11"/>
  <c r="Q4616" i="11"/>
  <c r="I4616" i="11" s="1"/>
  <c r="J4616" i="11" s="1"/>
  <c r="Q4618" i="11"/>
  <c r="I4618" i="11" s="1"/>
  <c r="Q4620" i="11"/>
  <c r="I4620" i="11"/>
  <c r="Q4622" i="11"/>
  <c r="I4622" i="11" s="1"/>
  <c r="K4622" i="11" s="1"/>
  <c r="Q4624" i="11"/>
  <c r="I4624" i="11" s="1"/>
  <c r="Q4626" i="11"/>
  <c r="I4626" i="11"/>
  <c r="Q4628" i="11"/>
  <c r="I4628" i="11"/>
  <c r="Q4630" i="11"/>
  <c r="I4630" i="11" s="1"/>
  <c r="Q4632" i="11"/>
  <c r="I4632" i="11"/>
  <c r="Q4634" i="11"/>
  <c r="I4634" i="11"/>
  <c r="Q4636" i="11"/>
  <c r="I4636" i="11" s="1"/>
  <c r="Q4638" i="11"/>
  <c r="I4638" i="11"/>
  <c r="Q4640" i="11"/>
  <c r="I4640" i="11"/>
  <c r="Q4642" i="11"/>
  <c r="I4642" i="11" s="1"/>
  <c r="Q4644" i="11"/>
  <c r="I4644" i="11"/>
  <c r="Q4646" i="11"/>
  <c r="I4646" i="11" s="1"/>
  <c r="K4646" i="11" s="1"/>
  <c r="Q4648" i="11"/>
  <c r="I4648" i="11" s="1"/>
  <c r="Q4650" i="11"/>
  <c r="I4650" i="11"/>
  <c r="Q4652" i="11"/>
  <c r="I4652" i="11"/>
  <c r="Q4654" i="11"/>
  <c r="I4654" i="11" s="1"/>
  <c r="Q4656" i="11"/>
  <c r="I4656" i="11"/>
  <c r="Q4658" i="11"/>
  <c r="I4658" i="11" s="1"/>
  <c r="K4658" i="11" s="1"/>
  <c r="Q4660" i="11"/>
  <c r="I4660" i="11" s="1"/>
  <c r="Q4662" i="11"/>
  <c r="I4662" i="11"/>
  <c r="Q4664" i="11"/>
  <c r="I4664" i="11"/>
  <c r="Q4666" i="11"/>
  <c r="I4666" i="11" s="1"/>
  <c r="Q4668" i="11"/>
  <c r="I4668" i="11"/>
  <c r="Q4670" i="11"/>
  <c r="I4670" i="11"/>
  <c r="Q4672" i="11"/>
  <c r="I4672" i="11" s="1"/>
  <c r="Q4674" i="11"/>
  <c r="I4674" i="11"/>
  <c r="Q4676" i="11"/>
  <c r="I4676" i="11"/>
  <c r="Q4678" i="11"/>
  <c r="I4678" i="11" s="1"/>
  <c r="Q4680" i="11"/>
  <c r="I4680" i="11"/>
  <c r="Q4682" i="11"/>
  <c r="I4682" i="11" s="1"/>
  <c r="K4682" i="11" s="1"/>
  <c r="Q4684" i="11"/>
  <c r="I4684" i="11" s="1"/>
  <c r="Q4686" i="11"/>
  <c r="I4686" i="11"/>
  <c r="Q4688" i="11"/>
  <c r="I4688" i="11" s="1"/>
  <c r="J4688" i="11" s="1"/>
  <c r="Q4690" i="11"/>
  <c r="I4690" i="11" s="1"/>
  <c r="Q4692" i="11"/>
  <c r="I4692" i="11"/>
  <c r="Q4694" i="11"/>
  <c r="I4694" i="11" s="1"/>
  <c r="K4694" i="11" s="1"/>
  <c r="Q4696" i="11"/>
  <c r="I4696" i="11" s="1"/>
  <c r="Q4698" i="11"/>
  <c r="I4698" i="11"/>
  <c r="Q4700" i="11"/>
  <c r="I4700" i="11" s="1"/>
  <c r="J4700" i="11" s="1"/>
  <c r="Q4702" i="11"/>
  <c r="I4702" i="11" s="1"/>
  <c r="Q4704" i="11"/>
  <c r="I4704" i="11"/>
  <c r="Q4706" i="11"/>
  <c r="I4706" i="11"/>
  <c r="Q4708" i="11"/>
  <c r="I4708" i="11" s="1"/>
  <c r="Q4710" i="11"/>
  <c r="I4710" i="11"/>
  <c r="Q4712" i="11"/>
  <c r="I4712" i="11"/>
  <c r="Q4714" i="11"/>
  <c r="I4714" i="11" s="1"/>
  <c r="Q4716" i="11"/>
  <c r="I4716" i="11"/>
  <c r="Q4718" i="11"/>
  <c r="I4718" i="11" s="1"/>
  <c r="K4718" i="11" s="1"/>
  <c r="Q4720" i="11"/>
  <c r="I4720" i="11" s="1"/>
  <c r="Q4722" i="11"/>
  <c r="I4722" i="11"/>
  <c r="Q4724" i="11"/>
  <c r="I4724" i="11" s="1"/>
  <c r="J4724" i="11" s="1"/>
  <c r="Q4726" i="11"/>
  <c r="I4726" i="11" s="1"/>
  <c r="Q4728" i="11"/>
  <c r="I4728" i="11"/>
  <c r="Q4730" i="11"/>
  <c r="I4730" i="11" s="1"/>
  <c r="K4730" i="11" s="1"/>
  <c r="Q4732" i="11"/>
  <c r="I4732" i="11" s="1"/>
  <c r="Q4734" i="11"/>
  <c r="I4734" i="11"/>
  <c r="Q4736" i="11"/>
  <c r="I4736" i="11"/>
  <c r="Q4738" i="11"/>
  <c r="I4738" i="11" s="1"/>
  <c r="Q4740" i="11"/>
  <c r="I4740" i="11"/>
  <c r="Q4742" i="11"/>
  <c r="I4742" i="11"/>
  <c r="Q4744" i="11"/>
  <c r="I4744" i="11" s="1"/>
  <c r="Q4746" i="11"/>
  <c r="I4746" i="11"/>
  <c r="Q4748" i="11"/>
  <c r="I4748" i="11"/>
  <c r="Q4750" i="11"/>
  <c r="I4750" i="11" s="1"/>
  <c r="Q4752" i="11"/>
  <c r="I4752" i="11"/>
  <c r="Q4754" i="11"/>
  <c r="I4754" i="11" s="1"/>
  <c r="K4754" i="11" s="1"/>
  <c r="Q4756" i="11"/>
  <c r="I4756" i="11" s="1"/>
  <c r="Q4758" i="11"/>
  <c r="I4758" i="11"/>
  <c r="Q4760" i="11"/>
  <c r="I4760" i="11" s="1"/>
  <c r="J4760" i="11" s="1"/>
  <c r="Q4762" i="11"/>
  <c r="I4762" i="11" s="1"/>
  <c r="Q4764" i="11"/>
  <c r="I4764" i="11"/>
  <c r="Q4766" i="11"/>
  <c r="I4766" i="11" s="1"/>
  <c r="K4766" i="11" s="1"/>
  <c r="Q4768" i="11"/>
  <c r="I4768" i="11" s="1"/>
  <c r="Q4770" i="11"/>
  <c r="I4770" i="11"/>
  <c r="Q4772" i="11"/>
  <c r="I4772" i="11" s="1"/>
  <c r="J4772" i="11" s="1"/>
  <c r="Q4774" i="11"/>
  <c r="I4774" i="11" s="1"/>
  <c r="Q4776" i="11"/>
  <c r="I4776" i="11"/>
  <c r="Q4778" i="11"/>
  <c r="I4778" i="11" s="1"/>
  <c r="Q4780" i="11"/>
  <c r="I4780" i="11" s="1"/>
  <c r="Q4782" i="11"/>
  <c r="I4782" i="11"/>
  <c r="Q4784" i="11"/>
  <c r="I4784" i="11"/>
  <c r="Q4786" i="11"/>
  <c r="I4786" i="11" s="1"/>
  <c r="Q4788" i="11"/>
  <c r="I4788" i="11"/>
  <c r="Q4790" i="11"/>
  <c r="I4790" i="11" s="1"/>
  <c r="Q4792" i="11"/>
  <c r="I4792" i="11" s="1"/>
  <c r="Q4794" i="11"/>
  <c r="I4794" i="11"/>
  <c r="Q4796" i="11"/>
  <c r="I4796" i="11" s="1"/>
  <c r="Q4798" i="11"/>
  <c r="I4798" i="11" s="1"/>
  <c r="Q4800" i="11"/>
  <c r="I4800" i="11"/>
  <c r="Q4802" i="11"/>
  <c r="I4802" i="11" s="1"/>
  <c r="Q4804" i="11"/>
  <c r="I4804" i="11" s="1"/>
  <c r="Q4806" i="11"/>
  <c r="I4806" i="11"/>
  <c r="Q4808" i="11"/>
  <c r="I4808" i="11"/>
  <c r="Q4810" i="11"/>
  <c r="I4810" i="11" s="1"/>
  <c r="Q4812" i="11"/>
  <c r="I4812" i="11"/>
  <c r="Q4814" i="11"/>
  <c r="I4814" i="11"/>
  <c r="Q4816" i="11"/>
  <c r="I4816" i="11" s="1"/>
  <c r="Q4818" i="11"/>
  <c r="I4818" i="11"/>
  <c r="Q4820" i="11"/>
  <c r="I4820" i="11"/>
  <c r="Q4822" i="11"/>
  <c r="I4822" i="11" s="1"/>
  <c r="Q4824" i="11"/>
  <c r="I4824" i="11"/>
  <c r="Q4826" i="11"/>
  <c r="I4826" i="11" s="1"/>
  <c r="Q4828" i="11"/>
  <c r="I4828" i="11" s="1"/>
  <c r="Q4830" i="11"/>
  <c r="I4830" i="11"/>
  <c r="Q4832" i="11"/>
  <c r="I4832" i="11" s="1"/>
  <c r="Q4834" i="11"/>
  <c r="I4834" i="11" s="1"/>
  <c r="Q4836" i="11"/>
  <c r="I4836" i="11"/>
  <c r="Q4838" i="11"/>
  <c r="I4838" i="11" s="1"/>
  <c r="Q4840" i="11"/>
  <c r="I4840" i="11" s="1"/>
  <c r="Q4842" i="11"/>
  <c r="I4842" i="11"/>
  <c r="Q4844" i="11"/>
  <c r="I4844" i="11" s="1"/>
  <c r="Q4846" i="11"/>
  <c r="I4846" i="11" s="1"/>
  <c r="Q4848" i="11"/>
  <c r="I4848" i="11"/>
  <c r="Q4850" i="11"/>
  <c r="I4850" i="11" s="1"/>
  <c r="Q4852" i="11"/>
  <c r="I4852" i="11" s="1"/>
  <c r="Q4854" i="11"/>
  <c r="I4854" i="11"/>
  <c r="Q4856" i="11"/>
  <c r="I4856" i="11"/>
  <c r="Q4858" i="11"/>
  <c r="I4858" i="11" s="1"/>
  <c r="Q4860" i="11"/>
  <c r="I4860" i="11"/>
  <c r="Q4862" i="11"/>
  <c r="I4862" i="11" s="1"/>
  <c r="Q4864" i="11"/>
  <c r="I4864" i="11" s="1"/>
  <c r="Q4866" i="11"/>
  <c r="I4866" i="11"/>
  <c r="Q4868" i="11"/>
  <c r="I4868" i="11" s="1"/>
  <c r="Q4870" i="11"/>
  <c r="I4870" i="11" s="1"/>
  <c r="Q4872" i="11"/>
  <c r="I4872" i="11"/>
  <c r="Q4874" i="11"/>
  <c r="I4874" i="11" s="1"/>
  <c r="Q4876" i="11"/>
  <c r="I4876" i="11" s="1"/>
  <c r="Q4878" i="11"/>
  <c r="I4878" i="11"/>
  <c r="Q4880" i="11"/>
  <c r="I4880" i="11"/>
  <c r="Q4882" i="11"/>
  <c r="I4882" i="11" s="1"/>
  <c r="Q4884" i="11"/>
  <c r="I4884" i="11"/>
  <c r="Q4886" i="11"/>
  <c r="I4886" i="11"/>
  <c r="Q4888" i="11"/>
  <c r="I4888" i="11" s="1"/>
  <c r="Q4890" i="11"/>
  <c r="I4890" i="11"/>
  <c r="Q4892" i="11"/>
  <c r="I4892" i="11"/>
  <c r="Q4894" i="11"/>
  <c r="I4894" i="11" s="1"/>
  <c r="Q4896" i="11"/>
  <c r="I4896" i="11"/>
  <c r="Q4898" i="11"/>
  <c r="I4898" i="11" s="1"/>
  <c r="Q4900" i="11"/>
  <c r="I4900" i="11" s="1"/>
  <c r="Q4902" i="11"/>
  <c r="I4902" i="11"/>
  <c r="Q4904" i="11"/>
  <c r="I4904" i="11" s="1"/>
  <c r="Q4906" i="11"/>
  <c r="I4906" i="11" s="1"/>
  <c r="Q4908" i="11"/>
  <c r="I4908" i="11"/>
  <c r="Q4910" i="11"/>
  <c r="I4910" i="11" s="1"/>
  <c r="Q4912" i="11"/>
  <c r="I4912" i="11" s="1"/>
  <c r="Q4914" i="11"/>
  <c r="I4914" i="11"/>
  <c r="Q4916" i="11"/>
  <c r="I4916" i="11" s="1"/>
  <c r="Q4918" i="11"/>
  <c r="I4918" i="11" s="1"/>
  <c r="Q4920" i="11"/>
  <c r="I4920" i="11"/>
  <c r="Q4922" i="11"/>
  <c r="I4922" i="11"/>
  <c r="Q4924" i="11"/>
  <c r="I4924" i="11" s="1"/>
  <c r="Q4926" i="11"/>
  <c r="I4926" i="11"/>
  <c r="Q4928" i="11"/>
  <c r="I4928" i="11"/>
  <c r="Q4930" i="11"/>
  <c r="I4930" i="11" s="1"/>
  <c r="Q4932" i="11"/>
  <c r="I4932" i="11"/>
  <c r="Q4934" i="11"/>
  <c r="I4934" i="11" s="1"/>
  <c r="Q4936" i="11"/>
  <c r="I4936" i="11" s="1"/>
  <c r="Q4938" i="11"/>
  <c r="I4938" i="11"/>
  <c r="Q4940" i="11"/>
  <c r="I4940" i="11" s="1"/>
  <c r="Q4942" i="11"/>
  <c r="I4942" i="11" s="1"/>
  <c r="Q4944" i="11"/>
  <c r="I4944" i="11"/>
  <c r="Q4946" i="11"/>
  <c r="I4946" i="11" s="1"/>
  <c r="Q4948" i="11"/>
  <c r="I4948" i="11" s="1"/>
  <c r="Q4950" i="11"/>
  <c r="I4950" i="11"/>
  <c r="Q4952" i="11"/>
  <c r="I4952" i="11"/>
  <c r="Q4954" i="11"/>
  <c r="I4954" i="11" s="1"/>
  <c r="Q4956" i="11"/>
  <c r="I4956" i="11"/>
  <c r="Q4958" i="11"/>
  <c r="I4958" i="11" s="1"/>
  <c r="Q4960" i="11"/>
  <c r="I4960" i="11" s="1"/>
  <c r="Q4962" i="11"/>
  <c r="I4962" i="11"/>
  <c r="Q4964" i="11"/>
  <c r="I4964" i="11"/>
  <c r="Q4966" i="11"/>
  <c r="I4966" i="11" s="1"/>
  <c r="Q4968" i="11"/>
  <c r="I4968" i="11"/>
  <c r="Q4970" i="11"/>
  <c r="I4970" i="11" s="1"/>
  <c r="Q4972" i="11"/>
  <c r="I4972" i="11" s="1"/>
  <c r="Q4974" i="11"/>
  <c r="I4974" i="11"/>
  <c r="Q4976" i="11"/>
  <c r="I4976" i="11" s="1"/>
  <c r="Q4978" i="11"/>
  <c r="I4978" i="11" s="1"/>
  <c r="Q4980" i="11"/>
  <c r="I4980" i="11"/>
  <c r="Q4982" i="11"/>
  <c r="I4982" i="11" s="1"/>
  <c r="Q4984" i="11"/>
  <c r="I4984" i="11" s="1"/>
  <c r="Q4986" i="11"/>
  <c r="I4986" i="11"/>
  <c r="Q4988" i="11"/>
  <c r="I4988" i="11" s="1"/>
  <c r="Q4990" i="11"/>
  <c r="I4990" i="11" s="1"/>
  <c r="Q4992" i="11"/>
  <c r="I4992" i="11"/>
  <c r="Q4994" i="11"/>
  <c r="I4994" i="11" s="1"/>
  <c r="Q4996" i="11"/>
  <c r="I4996" i="11" s="1"/>
  <c r="Q4998" i="11"/>
  <c r="I4998" i="11"/>
  <c r="Q5000" i="11"/>
  <c r="I5000" i="11"/>
  <c r="Q5002" i="11"/>
  <c r="I5002" i="11" s="1"/>
  <c r="Q5004" i="11"/>
  <c r="I5004" i="11"/>
  <c r="Q5006" i="11"/>
  <c r="I5006" i="11" s="1"/>
  <c r="Q5008" i="11"/>
  <c r="I5008" i="11" s="1"/>
  <c r="Q5010" i="11"/>
  <c r="I5010" i="11"/>
  <c r="Q5012" i="11"/>
  <c r="I5012" i="11" s="1"/>
  <c r="Q5014" i="11"/>
  <c r="I5014" i="11" s="1"/>
  <c r="Q5016" i="11"/>
  <c r="I5016" i="11"/>
  <c r="Q5018" i="11"/>
  <c r="I5018" i="11" s="1"/>
  <c r="Q5020" i="11"/>
  <c r="I5020" i="11" s="1"/>
  <c r="Q5022" i="11"/>
  <c r="I5022" i="11"/>
  <c r="Q5024" i="11"/>
  <c r="I5024" i="11" s="1"/>
  <c r="Q5026" i="11"/>
  <c r="I5026" i="11" s="1"/>
  <c r="Q5028" i="11"/>
  <c r="I5028" i="11"/>
  <c r="Q5030" i="11"/>
  <c r="I5030" i="11" s="1"/>
  <c r="Q5032" i="11"/>
  <c r="I5032" i="11" s="1"/>
  <c r="Q5034" i="11"/>
  <c r="I5034" i="11"/>
  <c r="Q5036" i="11"/>
  <c r="I5036" i="11"/>
  <c r="Q5038" i="11"/>
  <c r="I5038" i="11" s="1"/>
  <c r="Q5040" i="11"/>
  <c r="I5040" i="11"/>
  <c r="Q5042" i="11"/>
  <c r="I5042" i="11" s="1"/>
  <c r="Q5044" i="11"/>
  <c r="I5044" i="11" s="1"/>
  <c r="Q5046" i="11"/>
  <c r="I5046" i="11"/>
  <c r="Q5048" i="11"/>
  <c r="I5048" i="11" s="1"/>
  <c r="Q5050" i="11"/>
  <c r="I5050" i="11" s="1"/>
  <c r="Q5052" i="11"/>
  <c r="I5052" i="11"/>
  <c r="Q5054" i="11"/>
  <c r="I5054" i="11" s="1"/>
  <c r="Q5056" i="11"/>
  <c r="I5056" i="11" s="1"/>
  <c r="Q5058" i="11"/>
  <c r="I5058" i="11"/>
  <c r="Q5060" i="11"/>
  <c r="I5060" i="11"/>
  <c r="Q5062" i="11"/>
  <c r="I5062" i="11" s="1"/>
  <c r="Q5064" i="11"/>
  <c r="I5064" i="11"/>
  <c r="Q5066" i="11"/>
  <c r="I5066" i="11"/>
  <c r="Q5068" i="11"/>
  <c r="I5068" i="11" s="1"/>
  <c r="Q5070" i="11"/>
  <c r="I5070" i="11"/>
  <c r="Q5072" i="11"/>
  <c r="I5072" i="11"/>
  <c r="Q5074" i="11"/>
  <c r="I5074" i="11" s="1"/>
  <c r="Q5076" i="11"/>
  <c r="I5076" i="11"/>
  <c r="Q5078" i="11"/>
  <c r="I5078" i="11" s="1"/>
  <c r="Q5080" i="11"/>
  <c r="I5080" i="11" s="1"/>
  <c r="Q5082" i="11"/>
  <c r="I5082" i="11"/>
  <c r="Q5084" i="11"/>
  <c r="I5084" i="11" s="1"/>
  <c r="Q5086" i="11"/>
  <c r="I5086" i="11" s="1"/>
  <c r="Q5088" i="11"/>
  <c r="I5088" i="11"/>
  <c r="Q5090" i="11"/>
  <c r="I5090" i="11" s="1"/>
  <c r="Q5092" i="11"/>
  <c r="I5092" i="11" s="1"/>
  <c r="Q5094" i="11"/>
  <c r="I5094" i="11"/>
  <c r="Q5096" i="11"/>
  <c r="I5096" i="11"/>
  <c r="Q5098" i="11"/>
  <c r="I5098" i="11" s="1"/>
  <c r="Q5100" i="11"/>
  <c r="I5100" i="11"/>
  <c r="Q5102" i="11"/>
  <c r="I5102" i="11"/>
  <c r="Q5104" i="11"/>
  <c r="I5104" i="11" s="1"/>
  <c r="Q5106" i="11"/>
  <c r="I5106" i="11"/>
  <c r="Q5108" i="11"/>
  <c r="I5108" i="11"/>
  <c r="Q5110" i="11"/>
  <c r="I5110" i="11" s="1"/>
  <c r="Q5112" i="11"/>
  <c r="I5112" i="11"/>
  <c r="Q5114" i="11"/>
  <c r="I5114" i="11" s="1"/>
  <c r="Q5116" i="11"/>
  <c r="I5116" i="11" s="1"/>
  <c r="Q5118" i="11"/>
  <c r="I5118" i="11"/>
  <c r="Q5120" i="11"/>
  <c r="I5120" i="11" s="1"/>
  <c r="Q5122" i="11"/>
  <c r="I5122" i="11" s="1"/>
  <c r="Q5124" i="11"/>
  <c r="I5124" i="11"/>
  <c r="Q5126" i="11"/>
  <c r="I5126" i="11" s="1"/>
  <c r="Q5128" i="11"/>
  <c r="I5128" i="11" s="1"/>
  <c r="Q5130" i="11"/>
  <c r="I5130" i="11"/>
  <c r="Q5132" i="11"/>
  <c r="I5132" i="11"/>
  <c r="Q5134" i="11"/>
  <c r="I5134" i="11" s="1"/>
  <c r="Q5136" i="11"/>
  <c r="I5136" i="11"/>
  <c r="Q5138" i="11"/>
  <c r="I5138" i="11" s="1"/>
  <c r="Q5140" i="11"/>
  <c r="I5140" i="11" s="1"/>
  <c r="Q5142" i="11"/>
  <c r="I5142" i="11"/>
  <c r="Q5144" i="11"/>
  <c r="I5144" i="11"/>
  <c r="Q5146" i="11"/>
  <c r="I5146" i="11" s="1"/>
  <c r="Q5148" i="11"/>
  <c r="I5148" i="11"/>
  <c r="Q5150" i="11"/>
  <c r="I5150" i="11" s="1"/>
  <c r="Q5152" i="11"/>
  <c r="I5152" i="11" s="1"/>
  <c r="Q5154" i="11"/>
  <c r="I5154" i="11"/>
  <c r="Q5156" i="11"/>
  <c r="I5156" i="11" s="1"/>
  <c r="Q5158" i="11"/>
  <c r="I5158" i="11" s="1"/>
  <c r="Q5160" i="11"/>
  <c r="I5160" i="11"/>
  <c r="Q5162" i="11"/>
  <c r="I5162" i="11" s="1"/>
  <c r="Q5164" i="11"/>
  <c r="I5164" i="11" s="1"/>
  <c r="Q5166" i="11"/>
  <c r="I5166" i="11"/>
  <c r="Q5168" i="11"/>
  <c r="I5168" i="11" s="1"/>
  <c r="Q5170" i="11"/>
  <c r="I5170" i="11" s="1"/>
  <c r="Q5172" i="11"/>
  <c r="I5172" i="11"/>
  <c r="Q5174" i="11"/>
  <c r="I5174" i="11"/>
  <c r="Q5176" i="11"/>
  <c r="I5176" i="11" s="1"/>
  <c r="Q5178" i="11"/>
  <c r="I5178" i="11"/>
  <c r="Q5180" i="11"/>
  <c r="I5180" i="11"/>
  <c r="Q5182" i="11"/>
  <c r="I5182" i="11" s="1"/>
  <c r="Q5184" i="11"/>
  <c r="I5184" i="11"/>
  <c r="Q5186" i="11"/>
  <c r="I5186" i="11" s="1"/>
  <c r="Q5188" i="11"/>
  <c r="I5188" i="11" s="1"/>
  <c r="Q5190" i="11"/>
  <c r="I5190" i="11"/>
  <c r="Q5192" i="11"/>
  <c r="I5192" i="11" s="1"/>
  <c r="Q5194" i="11"/>
  <c r="I5194" i="11" s="1"/>
  <c r="Q5196" i="11"/>
  <c r="I5196" i="11"/>
  <c r="Q5198" i="11"/>
  <c r="I5198" i="11" s="1"/>
  <c r="Q5200" i="11"/>
  <c r="I5200" i="11" s="1"/>
  <c r="Q5202" i="11"/>
  <c r="I5202" i="11"/>
  <c r="Q5204" i="11"/>
  <c r="I5204" i="11" s="1"/>
  <c r="Q5206" i="11"/>
  <c r="I5206" i="11" s="1"/>
  <c r="Q5208" i="11"/>
  <c r="I5208" i="11"/>
  <c r="Q5210" i="11"/>
  <c r="I5210" i="11"/>
  <c r="Q5212" i="11"/>
  <c r="I5212" i="11" s="1"/>
  <c r="Q5214" i="11"/>
  <c r="I5214" i="11"/>
  <c r="Q5216" i="11"/>
  <c r="I5216" i="11"/>
  <c r="Q5218" i="11"/>
  <c r="I5218" i="11" s="1"/>
  <c r="Q5220" i="11"/>
  <c r="I5220" i="11"/>
  <c r="Q5222" i="11"/>
  <c r="I5222" i="11" s="1"/>
  <c r="Q5224" i="11"/>
  <c r="I5224" i="11" s="1"/>
  <c r="Q5226" i="11"/>
  <c r="I5226" i="11"/>
  <c r="Q5228" i="11"/>
  <c r="I5228" i="11" s="1"/>
  <c r="Q5230" i="11"/>
  <c r="I5230" i="11" s="1"/>
  <c r="Q5232" i="11"/>
  <c r="I5232" i="11"/>
  <c r="Q5234" i="11"/>
  <c r="I5234" i="11" s="1"/>
  <c r="Q5236" i="11"/>
  <c r="I5236" i="11" s="1"/>
  <c r="Q5238" i="11"/>
  <c r="I5238" i="11"/>
  <c r="Q5240" i="11"/>
  <c r="I5240" i="11"/>
  <c r="Q5242" i="11"/>
  <c r="I5242" i="11" s="1"/>
  <c r="Q5244" i="11"/>
  <c r="I5244" i="11"/>
  <c r="Q5246" i="11"/>
  <c r="I5246" i="11"/>
  <c r="Q5248" i="11"/>
  <c r="I5248" i="11" s="1"/>
  <c r="Q5250" i="11"/>
  <c r="I5250" i="11"/>
  <c r="Q5252" i="11"/>
  <c r="I5252" i="11"/>
  <c r="Q5254" i="11"/>
  <c r="I5254" i="11" s="1"/>
  <c r="Q5256" i="11"/>
  <c r="I5256" i="11"/>
  <c r="Q5258" i="11"/>
  <c r="I5258" i="11" s="1"/>
  <c r="Q5260" i="11"/>
  <c r="I5260" i="11" s="1"/>
  <c r="Q5262" i="11"/>
  <c r="I5262" i="11"/>
  <c r="Q5264" i="11"/>
  <c r="I5264" i="11" s="1"/>
  <c r="Q5266" i="11"/>
  <c r="I5266" i="11" s="1"/>
  <c r="Q5268" i="11"/>
  <c r="I5268" i="11"/>
  <c r="Q5270" i="11"/>
  <c r="I5270" i="11" s="1"/>
  <c r="Q5272" i="11"/>
  <c r="I5272" i="11" s="1"/>
  <c r="Q5274" i="11"/>
  <c r="I5274" i="11"/>
  <c r="Q5276" i="11"/>
  <c r="I5276" i="11" s="1"/>
  <c r="Q5278" i="11"/>
  <c r="I5278" i="11" s="1"/>
  <c r="Q5280" i="11"/>
  <c r="I5280" i="11"/>
  <c r="Q5282" i="11"/>
  <c r="I5282" i="11"/>
  <c r="Q5284" i="11"/>
  <c r="I5284" i="11" s="1"/>
  <c r="Q5286" i="11"/>
  <c r="I5286" i="11"/>
  <c r="Q5288" i="11"/>
  <c r="I5288" i="11"/>
  <c r="Q5290" i="11"/>
  <c r="I5290" i="11" s="1"/>
  <c r="Q5292" i="11"/>
  <c r="I5292" i="11"/>
  <c r="Q5294" i="11"/>
  <c r="I5294" i="11" s="1"/>
  <c r="Q5296" i="11"/>
  <c r="I5296" i="11" s="1"/>
  <c r="Q5298" i="11"/>
  <c r="I5298" i="11"/>
  <c r="Q5300" i="11"/>
  <c r="I5300" i="11" s="1"/>
  <c r="Q5302" i="11"/>
  <c r="I5302" i="11" s="1"/>
  <c r="Q5304" i="11"/>
  <c r="I5304" i="11"/>
  <c r="Q5306" i="11"/>
  <c r="I5306" i="11" s="1"/>
  <c r="Q5308" i="11"/>
  <c r="I5308" i="11" s="1"/>
  <c r="Q5310" i="11"/>
  <c r="I5310" i="11"/>
  <c r="Q5312" i="11"/>
  <c r="I5312" i="11"/>
  <c r="Q5314" i="11"/>
  <c r="I5314" i="11" s="1"/>
  <c r="Q5316" i="11"/>
  <c r="I5316" i="11"/>
  <c r="Q5318" i="11"/>
  <c r="I5318" i="11"/>
  <c r="Q5320" i="11"/>
  <c r="I5320" i="11" s="1"/>
  <c r="Q5322" i="11"/>
  <c r="I5322" i="11"/>
  <c r="Q5324" i="11"/>
  <c r="I5324" i="11"/>
  <c r="Q5326" i="11"/>
  <c r="I5326" i="11" s="1"/>
  <c r="Q5328" i="11"/>
  <c r="I5328" i="11"/>
  <c r="Q5330" i="11"/>
  <c r="I5330" i="11" s="1"/>
  <c r="Q5332" i="11"/>
  <c r="I5332" i="11" s="1"/>
  <c r="Q5334" i="11"/>
  <c r="I5334" i="11"/>
  <c r="Q5336" i="11"/>
  <c r="I5336" i="11" s="1"/>
  <c r="Q5338" i="11"/>
  <c r="I5338" i="11" s="1"/>
  <c r="Q5340" i="11"/>
  <c r="I5340" i="11"/>
  <c r="Q5342" i="11"/>
  <c r="I5342" i="11" s="1"/>
  <c r="Q5344" i="11"/>
  <c r="I5344" i="11" s="1"/>
  <c r="Q5346" i="11"/>
  <c r="I5346" i="11"/>
  <c r="Q5348" i="11"/>
  <c r="I5348" i="11"/>
  <c r="Q5350" i="11"/>
  <c r="I5350" i="11" s="1"/>
  <c r="Q5352" i="11"/>
  <c r="I5352" i="11"/>
  <c r="Q5354" i="11"/>
  <c r="I5354" i="11" s="1"/>
  <c r="Q5356" i="11"/>
  <c r="I5356" i="11" s="1"/>
  <c r="Q5358" i="11"/>
  <c r="I5358" i="11"/>
  <c r="Q5360" i="11"/>
  <c r="I5360" i="11"/>
  <c r="Q5362" i="11"/>
  <c r="I5362" i="11" s="1"/>
  <c r="Q5364" i="11"/>
  <c r="I5364" i="11"/>
  <c r="Q5366" i="11"/>
  <c r="I5366" i="11" s="1"/>
  <c r="Q5368" i="11"/>
  <c r="I5368" i="11" s="1"/>
  <c r="Q5370" i="11"/>
  <c r="I5370" i="11"/>
  <c r="Q5372" i="11"/>
  <c r="I5372" i="11" s="1"/>
  <c r="Q5374" i="11"/>
  <c r="I5374" i="11" s="1"/>
  <c r="Q5376" i="11"/>
  <c r="I5376" i="11"/>
  <c r="Q5378" i="11"/>
  <c r="I5378" i="11" s="1"/>
  <c r="Q5380" i="11"/>
  <c r="I5380" i="11" s="1"/>
  <c r="Q5382" i="11"/>
  <c r="I5382" i="11"/>
  <c r="Q5384" i="11"/>
  <c r="I5384" i="11" s="1"/>
  <c r="Q5386" i="11"/>
  <c r="I5386" i="11" s="1"/>
  <c r="Q5388" i="11"/>
  <c r="I5388" i="11"/>
  <c r="Q5390" i="11"/>
  <c r="I5390" i="11" s="1"/>
  <c r="Q5392" i="11"/>
  <c r="I5392" i="11" s="1"/>
  <c r="Q5394" i="11"/>
  <c r="I5394" i="11"/>
  <c r="Q5396" i="11"/>
  <c r="I5396" i="11"/>
  <c r="Q5398" i="11"/>
  <c r="I5398" i="11" s="1"/>
  <c r="Q5400" i="11"/>
  <c r="I5400" i="11"/>
  <c r="Q5402" i="11"/>
  <c r="I5402" i="11" s="1"/>
  <c r="Q5404" i="11"/>
  <c r="I5404" i="11" s="1"/>
  <c r="Q5406" i="11"/>
  <c r="I5406" i="11"/>
  <c r="Q5408" i="11"/>
  <c r="I5408" i="11" s="1"/>
  <c r="Q5410" i="11"/>
  <c r="I5410" i="11" s="1"/>
  <c r="Q5412" i="11"/>
  <c r="I5412" i="11"/>
  <c r="Q5414" i="11"/>
  <c r="I5414" i="11" s="1"/>
  <c r="Q5416" i="11"/>
  <c r="I5416" i="11" s="1"/>
  <c r="Q5418" i="11"/>
  <c r="I5418" i="11"/>
  <c r="Q5420" i="11"/>
  <c r="I5420" i="11"/>
  <c r="Q5422" i="11"/>
  <c r="I5422" i="11" s="1"/>
  <c r="Q5424" i="11"/>
  <c r="I5424" i="11"/>
  <c r="Q5426" i="11"/>
  <c r="I5426" i="11"/>
  <c r="Q5428" i="11"/>
  <c r="I5428" i="11" s="1"/>
  <c r="Q5430" i="11"/>
  <c r="I5430" i="11"/>
  <c r="Q5432" i="11"/>
  <c r="I5432" i="11"/>
  <c r="Q5434" i="11"/>
  <c r="I5434" i="11" s="1"/>
  <c r="Q5436" i="11"/>
  <c r="I5436" i="11"/>
  <c r="Q5438" i="11"/>
  <c r="I5438" i="11" s="1"/>
  <c r="Q5440" i="11"/>
  <c r="I5440" i="11" s="1"/>
  <c r="Q5442" i="11"/>
  <c r="I5442" i="11"/>
  <c r="Q5444" i="11"/>
  <c r="I5444" i="11" s="1"/>
  <c r="Q5446" i="11"/>
  <c r="I5446" i="11" s="1"/>
  <c r="Q5448" i="11"/>
  <c r="I5448" i="11"/>
  <c r="Q5450" i="11"/>
  <c r="I5450" i="11" s="1"/>
  <c r="Q5452" i="11"/>
  <c r="I5452" i="11" s="1"/>
  <c r="Q5454" i="11"/>
  <c r="I5454" i="11"/>
  <c r="Q5456" i="11"/>
  <c r="I5456" i="11" s="1"/>
  <c r="Q5458" i="11"/>
  <c r="I5458" i="11" s="1"/>
  <c r="Q5460" i="11"/>
  <c r="I5460" i="11"/>
  <c r="Q5462" i="11"/>
  <c r="I5462" i="11"/>
  <c r="Q5464" i="11"/>
  <c r="I5464" i="11" s="1"/>
  <c r="Q5466" i="11"/>
  <c r="I5466" i="11"/>
  <c r="Q5468" i="11"/>
  <c r="I5468" i="11"/>
  <c r="Q5470" i="11"/>
  <c r="I5470" i="11" s="1"/>
  <c r="Q5472" i="11"/>
  <c r="I5472" i="11"/>
  <c r="Q5474" i="11"/>
  <c r="I5474" i="11"/>
  <c r="Q5476" i="11"/>
  <c r="I5476" i="11" s="1"/>
  <c r="Q5478" i="11"/>
  <c r="I5478" i="11"/>
  <c r="Q5480" i="11"/>
  <c r="I5480" i="11" s="1"/>
  <c r="Q5482" i="11"/>
  <c r="I5482" i="11" s="1"/>
  <c r="Q5484" i="11"/>
  <c r="I5484" i="11"/>
  <c r="Q5486" i="11"/>
  <c r="I5486" i="11" s="1"/>
  <c r="Q5488" i="11"/>
  <c r="I5488" i="11" s="1"/>
  <c r="Q5490" i="11"/>
  <c r="I5490" i="11"/>
  <c r="Q5492" i="11"/>
  <c r="I5492" i="11" s="1"/>
  <c r="Q5494" i="11"/>
  <c r="I5494" i="11" s="1"/>
  <c r="Q5496" i="11"/>
  <c r="I5496" i="11"/>
  <c r="Q5498" i="11"/>
  <c r="I5498" i="11" s="1"/>
  <c r="Q5500" i="11"/>
  <c r="I5500" i="11" s="1"/>
  <c r="Q5502" i="11"/>
  <c r="I5502" i="11"/>
  <c r="Q5504" i="11"/>
  <c r="I5504" i="11"/>
  <c r="Q5506" i="11"/>
  <c r="I5506" i="11" s="1"/>
  <c r="Q5508" i="11"/>
  <c r="I5508" i="11"/>
  <c r="Q5510" i="11"/>
  <c r="I5510" i="11" s="1"/>
  <c r="Q5512" i="11"/>
  <c r="I5512" i="11" s="1"/>
  <c r="Q5514" i="11"/>
  <c r="I5514" i="11"/>
  <c r="Q5516" i="11"/>
  <c r="I5516" i="11" s="1"/>
  <c r="Q5518" i="11"/>
  <c r="I5518" i="11" s="1"/>
  <c r="Q5520" i="11"/>
  <c r="I5520" i="11"/>
  <c r="Q5522" i="11"/>
  <c r="I5522" i="11" s="1"/>
  <c r="Q5524" i="11"/>
  <c r="I5524" i="11" s="1"/>
  <c r="Q5526" i="11"/>
  <c r="I5526" i="11"/>
  <c r="Q5528" i="11"/>
  <c r="I5528" i="11" s="1"/>
  <c r="Q5530" i="11"/>
  <c r="I5530" i="11" s="1"/>
  <c r="Q5532" i="11"/>
  <c r="I5532" i="11"/>
  <c r="Q5534" i="11"/>
  <c r="I5534" i="11" s="1"/>
  <c r="Q5536" i="11"/>
  <c r="I5536" i="11" s="1"/>
  <c r="Q5538" i="11"/>
  <c r="I5538" i="11"/>
  <c r="Q5540" i="11"/>
  <c r="I5540" i="11"/>
  <c r="Q5542" i="11"/>
  <c r="I5542" i="11" s="1"/>
  <c r="Q5544" i="11"/>
  <c r="I5544" i="11"/>
  <c r="Q5546" i="11"/>
  <c r="I5546" i="11"/>
  <c r="Q5548" i="11"/>
  <c r="I5548" i="11" s="1"/>
  <c r="Q5550" i="11"/>
  <c r="I5550" i="11"/>
  <c r="Q5552" i="11"/>
  <c r="I5552" i="11" s="1"/>
  <c r="Q5554" i="11"/>
  <c r="I5554" i="11" s="1"/>
  <c r="Q5556" i="11"/>
  <c r="I5556" i="11"/>
  <c r="Q5558" i="11"/>
  <c r="I5558" i="11" s="1"/>
  <c r="Q5560" i="11"/>
  <c r="I5560" i="11" s="1"/>
  <c r="Q5562" i="11"/>
  <c r="I5562" i="11"/>
  <c r="Q5564" i="11"/>
  <c r="I5564" i="11"/>
  <c r="Q5566" i="11"/>
  <c r="I5566" i="11" s="1"/>
  <c r="Q5568" i="11"/>
  <c r="I5568" i="11"/>
  <c r="Q5570" i="11"/>
  <c r="I5570" i="11" s="1"/>
  <c r="Q5572" i="11"/>
  <c r="I5572" i="11" s="1"/>
  <c r="Q5574" i="11"/>
  <c r="I5574" i="11"/>
  <c r="Q5576" i="11"/>
  <c r="I5576" i="11"/>
  <c r="Q5578" i="11"/>
  <c r="I5578" i="11" s="1"/>
  <c r="Q5580" i="11"/>
  <c r="I5580" i="11"/>
  <c r="Q5582" i="11"/>
  <c r="I5582" i="11"/>
  <c r="Q5584" i="11"/>
  <c r="I5584" i="11" s="1"/>
  <c r="Q5586" i="11"/>
  <c r="I5586" i="11"/>
  <c r="Q5588" i="11"/>
  <c r="I5588" i="11" s="1"/>
  <c r="Q5590" i="11"/>
  <c r="I5590" i="11" s="1"/>
  <c r="Q5592" i="11"/>
  <c r="I5592" i="11"/>
  <c r="Q5594" i="11"/>
  <c r="I5594" i="11" s="1"/>
  <c r="Q5596" i="11"/>
  <c r="I5596" i="11" s="1"/>
  <c r="Q5598" i="11"/>
  <c r="I5598" i="11"/>
  <c r="Q5600" i="11"/>
  <c r="I5600" i="11" s="1"/>
  <c r="Q5602" i="11"/>
  <c r="I5602" i="11" s="1"/>
  <c r="Q5604" i="11"/>
  <c r="I5604" i="11"/>
  <c r="Q5606" i="11"/>
  <c r="I5606" i="11" s="1"/>
  <c r="Q5608" i="11"/>
  <c r="I5608" i="11" s="1"/>
  <c r="Q5610" i="11"/>
  <c r="I5610" i="11"/>
  <c r="Q5612" i="11"/>
  <c r="I5612" i="11"/>
  <c r="Q5614" i="11"/>
  <c r="I5614" i="11" s="1"/>
  <c r="Q5616" i="11"/>
  <c r="I5616" i="11"/>
  <c r="Q5618" i="11"/>
  <c r="I5618" i="11"/>
  <c r="Q5620" i="11"/>
  <c r="I5620" i="11" s="1"/>
  <c r="Q5622" i="11"/>
  <c r="I5622" i="11"/>
  <c r="Q5624" i="11"/>
  <c r="I5624" i="11" s="1"/>
  <c r="Q5626" i="11"/>
  <c r="I5626" i="11" s="1"/>
  <c r="Q5628" i="11"/>
  <c r="I5628" i="11"/>
  <c r="Q5630" i="11"/>
  <c r="I5630" i="11" s="1"/>
  <c r="Q5632" i="11"/>
  <c r="I5632" i="11"/>
  <c r="Q5634" i="11"/>
  <c r="I5634" i="11"/>
  <c r="Q5636" i="11"/>
  <c r="I5636" i="11" s="1"/>
  <c r="Q5638" i="11"/>
  <c r="I5638" i="11"/>
  <c r="Q5640" i="11"/>
  <c r="I5640" i="11"/>
  <c r="Q5642" i="11"/>
  <c r="I5642" i="11" s="1"/>
  <c r="Q5644" i="11"/>
  <c r="I5644" i="11"/>
  <c r="Q5646" i="11"/>
  <c r="I5646" i="11"/>
  <c r="Q5648" i="11"/>
  <c r="I5648" i="11" s="1"/>
  <c r="Q5650" i="11"/>
  <c r="I5650" i="11"/>
  <c r="Q5652" i="11"/>
  <c r="I5652" i="11"/>
  <c r="Q5654" i="11"/>
  <c r="I5654" i="11" s="1"/>
  <c r="Q5656" i="11"/>
  <c r="I5656" i="11"/>
  <c r="Q5658" i="11"/>
  <c r="I5658" i="11"/>
  <c r="Q5660" i="11"/>
  <c r="I5660" i="11" s="1"/>
  <c r="Q5662" i="11"/>
  <c r="I5662" i="11"/>
  <c r="Q5664" i="11"/>
  <c r="I5664" i="11"/>
  <c r="Q5666" i="11"/>
  <c r="I5666" i="11" s="1"/>
  <c r="Q5668" i="11"/>
  <c r="I5668" i="11"/>
  <c r="Q5670" i="11"/>
  <c r="I5670" i="11"/>
  <c r="Q5672" i="11"/>
  <c r="I5672" i="11" s="1"/>
  <c r="Q5674" i="11"/>
  <c r="I5674" i="11"/>
  <c r="Q5676" i="11"/>
  <c r="I5676" i="11"/>
  <c r="Q5678" i="11"/>
  <c r="I5678" i="11" s="1"/>
  <c r="Q5680" i="11"/>
  <c r="I5680" i="11"/>
  <c r="Q5682" i="11"/>
  <c r="I5682" i="11"/>
  <c r="Q5684" i="11"/>
  <c r="I5684" i="11" s="1"/>
  <c r="Q5686" i="11"/>
  <c r="I5686" i="11" s="1"/>
  <c r="Q5688" i="11"/>
  <c r="I5688" i="11"/>
  <c r="Q5690" i="11"/>
  <c r="I5690" i="11" s="1"/>
  <c r="Q5692" i="11"/>
  <c r="I5692" i="11"/>
  <c r="Q5694" i="11"/>
  <c r="I5694" i="11"/>
  <c r="Q5696" i="11"/>
  <c r="I5696" i="11" s="1"/>
  <c r="Q5698" i="11"/>
  <c r="I5698" i="11"/>
  <c r="Q5700" i="11"/>
  <c r="I5700" i="11"/>
  <c r="Q5702" i="11"/>
  <c r="I5702" i="11" s="1"/>
  <c r="Q5704" i="11"/>
  <c r="I5704" i="11" s="1"/>
  <c r="Q5706" i="11"/>
  <c r="I5706" i="11"/>
  <c r="Q5708" i="11"/>
  <c r="I5708" i="11" s="1"/>
  <c r="Q5710" i="11"/>
  <c r="I5710" i="11" s="1"/>
  <c r="Q5712" i="11"/>
  <c r="I5712" i="11"/>
  <c r="Q5714" i="11"/>
  <c r="I5714" i="11" s="1"/>
  <c r="Q5716" i="11"/>
  <c r="I5716" i="11"/>
  <c r="Q5718" i="11"/>
  <c r="I5718" i="11"/>
  <c r="Q5720" i="11"/>
  <c r="I5720" i="11" s="1"/>
  <c r="Q5722" i="11"/>
  <c r="I5722" i="11"/>
  <c r="Q5724" i="11"/>
  <c r="I5724" i="11"/>
  <c r="Q5726" i="11"/>
  <c r="I5726" i="11" s="1"/>
  <c r="Q5728" i="11"/>
  <c r="I5728" i="11"/>
  <c r="Q5730" i="11"/>
  <c r="I5730" i="11"/>
  <c r="Q5732" i="11"/>
  <c r="I5732" i="11" s="1"/>
  <c r="Q5734" i="11"/>
  <c r="I5734" i="11"/>
  <c r="Q5736" i="11"/>
  <c r="I5736" i="11"/>
  <c r="Q5738" i="11"/>
  <c r="I5738" i="11" s="1"/>
  <c r="Q5740" i="11"/>
  <c r="I5740" i="11" s="1"/>
  <c r="Q5742" i="11"/>
  <c r="I5742" i="11"/>
  <c r="Q5744" i="11"/>
  <c r="I5744" i="11" s="1"/>
  <c r="Q5746" i="11"/>
  <c r="I5746" i="11"/>
  <c r="Q5748" i="11"/>
  <c r="I5748" i="11"/>
  <c r="Q5750" i="11"/>
  <c r="I5750" i="11" s="1"/>
  <c r="Q5752" i="11"/>
  <c r="I5752" i="11" s="1"/>
  <c r="Q5754" i="11"/>
  <c r="I5754" i="11"/>
  <c r="Q5756" i="11"/>
  <c r="I5756" i="11" s="1"/>
  <c r="Q5758" i="11"/>
  <c r="I5758" i="11"/>
  <c r="Q5760" i="11"/>
  <c r="I5760" i="11"/>
  <c r="Q5762" i="11"/>
  <c r="I5762" i="11" s="1"/>
  <c r="Q5764" i="11"/>
  <c r="I5764" i="11" s="1"/>
  <c r="Q5766" i="11"/>
  <c r="I5766" i="11"/>
  <c r="Q5768" i="11"/>
  <c r="I5768" i="11" s="1"/>
  <c r="Q5770" i="11"/>
  <c r="I5770" i="11" s="1"/>
  <c r="Q5772" i="11"/>
  <c r="I5772" i="11"/>
  <c r="Q5774" i="11"/>
  <c r="I5774" i="11" s="1"/>
  <c r="Q5776" i="11"/>
  <c r="I5776" i="11" s="1"/>
  <c r="Q5778" i="11"/>
  <c r="I5778" i="11"/>
  <c r="Q5780" i="11"/>
  <c r="I5780" i="11" s="1"/>
  <c r="Q5782" i="11"/>
  <c r="I5782" i="11"/>
  <c r="Q5784" i="11"/>
  <c r="I5784" i="11"/>
  <c r="Q5786" i="11"/>
  <c r="I5786" i="11" s="1"/>
  <c r="Q5788" i="11"/>
  <c r="I5788" i="11"/>
  <c r="Q5790" i="11"/>
  <c r="I5790" i="11"/>
  <c r="Q5792" i="11"/>
  <c r="I5792" i="11" s="1"/>
  <c r="Q5794" i="11"/>
  <c r="I5794" i="11" s="1"/>
  <c r="Q5796" i="11"/>
  <c r="I5796" i="11"/>
  <c r="Q5798" i="11"/>
  <c r="I5798" i="11" s="1"/>
  <c r="Q5800" i="11"/>
  <c r="I5800" i="11"/>
  <c r="Q5802" i="11"/>
  <c r="I5802" i="11"/>
  <c r="Q5804" i="11"/>
  <c r="I5804" i="11" s="1"/>
  <c r="Q5806" i="11"/>
  <c r="I5806" i="11"/>
  <c r="Q5808" i="11"/>
  <c r="I5808" i="11"/>
  <c r="Q5810" i="11"/>
  <c r="I5810" i="11" s="1"/>
  <c r="Q5812" i="11"/>
  <c r="I5812" i="11"/>
  <c r="Q5814" i="11"/>
  <c r="I5814" i="11"/>
  <c r="Q5816" i="11"/>
  <c r="I5816" i="11" s="1"/>
  <c r="Q5818" i="11"/>
  <c r="I5818" i="11"/>
  <c r="Q5820" i="11"/>
  <c r="I5820" i="11"/>
  <c r="Q5822" i="11"/>
  <c r="I5822" i="11" s="1"/>
  <c r="Q5824" i="11"/>
  <c r="I5824" i="11"/>
  <c r="Q5826" i="11"/>
  <c r="I5826" i="11"/>
  <c r="Q5828" i="11"/>
  <c r="I5828" i="11" s="1"/>
  <c r="Q5830" i="11"/>
  <c r="I5830" i="11"/>
  <c r="Q5832" i="11"/>
  <c r="I5832" i="11"/>
  <c r="Q5834" i="11"/>
  <c r="I5834" i="11" s="1"/>
  <c r="Q5836" i="11"/>
  <c r="I5836" i="11" s="1"/>
  <c r="Q5838" i="11"/>
  <c r="I5838" i="11"/>
  <c r="Q5840" i="11"/>
  <c r="I5840" i="11" s="1"/>
  <c r="Q5842" i="11"/>
  <c r="I5842" i="11"/>
  <c r="Q5844" i="11"/>
  <c r="I5844" i="11"/>
  <c r="Q5846" i="11"/>
  <c r="I5846" i="11" s="1"/>
  <c r="Q5848" i="11"/>
  <c r="I5848" i="11"/>
  <c r="Q5850" i="11"/>
  <c r="I5850" i="11" s="1"/>
  <c r="Q5852" i="11"/>
  <c r="I5852" i="11" s="1"/>
  <c r="Q5854" i="11"/>
  <c r="I5854" i="11"/>
  <c r="Q5856" i="11"/>
  <c r="I5856" i="11" s="1"/>
  <c r="Q5858" i="11"/>
  <c r="I5858" i="11" s="1"/>
  <c r="Q5860" i="11"/>
  <c r="I5860" i="11"/>
  <c r="Q5862" i="11"/>
  <c r="I5862" i="11" s="1"/>
  <c r="Q5864" i="11"/>
  <c r="I5864" i="11" s="1"/>
  <c r="Q5866" i="11"/>
  <c r="I5866" i="11"/>
  <c r="Q5868" i="11"/>
  <c r="I5868" i="11" s="1"/>
  <c r="Q5870" i="11"/>
  <c r="I5870" i="11" s="1"/>
  <c r="Q5872" i="11"/>
  <c r="I5872" i="11"/>
  <c r="Q5874" i="11"/>
  <c r="I5874" i="11" s="1"/>
  <c r="Q5876" i="11"/>
  <c r="I5876" i="11" s="1"/>
  <c r="Q5878" i="11"/>
  <c r="I5878" i="11" s="1"/>
  <c r="Q5880" i="11"/>
  <c r="I5880" i="11" s="1"/>
  <c r="Q5882" i="11"/>
  <c r="I5882" i="11" s="1"/>
  <c r="Q5884" i="11"/>
  <c r="I5884" i="11"/>
  <c r="Q5886" i="11"/>
  <c r="I5886" i="11"/>
  <c r="Q5888" i="11"/>
  <c r="I5888" i="11" s="1"/>
  <c r="Q5890" i="11"/>
  <c r="I5890" i="11" s="1"/>
  <c r="Q5892" i="11"/>
  <c r="I5892" i="11" s="1"/>
  <c r="Q5894" i="11"/>
  <c r="I5894" i="11" s="1"/>
  <c r="Q5896" i="11"/>
  <c r="I5896" i="11"/>
  <c r="Q5898" i="11"/>
  <c r="I5898" i="11" s="1"/>
  <c r="Q5900" i="11"/>
  <c r="I5900" i="11" s="1"/>
  <c r="Q5902" i="11"/>
  <c r="I5902" i="11" s="1"/>
  <c r="Q5904" i="11"/>
  <c r="I5904" i="11"/>
  <c r="Q5906" i="11"/>
  <c r="I5906" i="11" s="1"/>
  <c r="Q5908" i="11"/>
  <c r="I5908" i="11"/>
  <c r="Q5910" i="11"/>
  <c r="I5910" i="11" s="1"/>
  <c r="Q5912" i="11"/>
  <c r="I5912" i="11" s="1"/>
  <c r="Q5914" i="11"/>
  <c r="I5914" i="11" s="1"/>
  <c r="Q5916" i="11"/>
  <c r="I5916" i="11" s="1"/>
  <c r="Q5918" i="11"/>
  <c r="I5918" i="11" s="1"/>
  <c r="Q5920" i="11"/>
  <c r="I5920" i="11" s="1"/>
  <c r="Q5922" i="11"/>
  <c r="I5922" i="11"/>
  <c r="Q5924" i="11"/>
  <c r="I5924" i="11" s="1"/>
  <c r="Q5926" i="11"/>
  <c r="I5926" i="11"/>
  <c r="Q5928" i="11"/>
  <c r="I5928" i="11" s="1"/>
  <c r="Q5930" i="11"/>
  <c r="I5930" i="11" s="1"/>
  <c r="Q5932" i="11"/>
  <c r="I5932" i="11"/>
  <c r="Q5934" i="11"/>
  <c r="I5934" i="11"/>
  <c r="Q5936" i="11"/>
  <c r="I5936" i="11" s="1"/>
  <c r="Q5938" i="11"/>
  <c r="I5938" i="11"/>
  <c r="Q5940" i="11"/>
  <c r="I5940" i="11" s="1"/>
  <c r="Q5942" i="11"/>
  <c r="I5942" i="11" s="1"/>
  <c r="Q5944" i="11"/>
  <c r="I5944" i="11"/>
  <c r="Q5946" i="11"/>
  <c r="I5946" i="11" s="1"/>
  <c r="Q5948" i="11"/>
  <c r="I5948" i="11" s="1"/>
  <c r="Q5950" i="11"/>
  <c r="I5950" i="11" s="1"/>
  <c r="Q5952" i="11"/>
  <c r="I5952" i="11"/>
  <c r="Q5954" i="11"/>
  <c r="I5954" i="11" s="1"/>
  <c r="Q5956" i="11"/>
  <c r="I5956" i="11"/>
  <c r="Q5958" i="11"/>
  <c r="I5958" i="11"/>
  <c r="K5958" i="11" s="1"/>
  <c r="Q5960" i="11"/>
  <c r="I5960" i="11" s="1"/>
  <c r="Q5962" i="11"/>
  <c r="I5962" i="11"/>
  <c r="Q5964" i="11"/>
  <c r="I5964" i="11" s="1"/>
  <c r="Q5966" i="11"/>
  <c r="I5966" i="11" s="1"/>
  <c r="Q5968" i="11"/>
  <c r="I5968" i="11"/>
  <c r="Q5970" i="11"/>
  <c r="T5970" i="11" s="1"/>
  <c r="I5970" i="11"/>
  <c r="K5970" i="11" s="1"/>
  <c r="Q5972" i="11"/>
  <c r="I5972" i="11" s="1"/>
  <c r="Q5974" i="11"/>
  <c r="I5974" i="11"/>
  <c r="Q5976" i="11"/>
  <c r="I5976" i="11"/>
  <c r="J5976" i="11" s="1"/>
  <c r="T5976" i="11" s="1"/>
  <c r="Q5978" i="11"/>
  <c r="I5978" i="11" s="1"/>
  <c r="Q5980" i="11"/>
  <c r="I5980" i="11"/>
  <c r="Q5982" i="11"/>
  <c r="Q5984" i="11"/>
  <c r="I5984" i="11" s="1"/>
  <c r="Q5986" i="11"/>
  <c r="I5986" i="11"/>
  <c r="Q5988" i="11"/>
  <c r="I5988" i="11" s="1"/>
  <c r="Q5990" i="11"/>
  <c r="I5990" i="11" s="1"/>
  <c r="Q5992" i="11"/>
  <c r="I5992" i="11"/>
  <c r="Q5994" i="11"/>
  <c r="I5994" i="11" s="1"/>
  <c r="Q5996" i="11"/>
  <c r="I5996" i="11" s="1"/>
  <c r="Q5998" i="11"/>
  <c r="I5998" i="11"/>
  <c r="Q6000" i="11"/>
  <c r="I6000" i="11" s="1"/>
  <c r="Q6002" i="11"/>
  <c r="I6002" i="11" s="1"/>
  <c r="Q6004" i="11"/>
  <c r="I6004" i="11"/>
  <c r="Q6006" i="11"/>
  <c r="T6006" i="11" s="1"/>
  <c r="I6006" i="11"/>
  <c r="K6006" i="11" s="1"/>
  <c r="Q6008" i="11"/>
  <c r="I6008" i="11" s="1"/>
  <c r="Q6010" i="11"/>
  <c r="I6010" i="11"/>
  <c r="Q6012" i="11"/>
  <c r="I6012" i="11" s="1"/>
  <c r="Q6014" i="11"/>
  <c r="I6014" i="11" s="1"/>
  <c r="Q6016" i="11"/>
  <c r="I6016" i="11"/>
  <c r="Q6018" i="11"/>
  <c r="I6018" i="11" s="1"/>
  <c r="Q6020" i="11"/>
  <c r="I6020" i="11" s="1"/>
  <c r="Q6022" i="11"/>
  <c r="I6022" i="11"/>
  <c r="Q6024" i="11"/>
  <c r="I6024" i="11"/>
  <c r="J6024" i="11" s="1"/>
  <c r="T6024" i="11" s="1"/>
  <c r="Q6026" i="11"/>
  <c r="I6026" i="11" s="1"/>
  <c r="Q6028" i="11"/>
  <c r="I6028" i="11"/>
  <c r="Q6030" i="11"/>
  <c r="T6030" i="11" s="1"/>
  <c r="I6030" i="11"/>
  <c r="K6030" i="11" s="1"/>
  <c r="Q6032" i="11"/>
  <c r="I6032" i="11" s="1"/>
  <c r="Q6034" i="11"/>
  <c r="I6034" i="11"/>
  <c r="Q6036" i="11"/>
  <c r="I6036" i="11" s="1"/>
  <c r="Q6038" i="11"/>
  <c r="I6038" i="11" s="1"/>
  <c r="Q6040" i="11"/>
  <c r="I6040" i="11"/>
  <c r="Q6042" i="11"/>
  <c r="I6042" i="11" s="1"/>
  <c r="Q6044" i="11"/>
  <c r="I6044" i="11" s="1"/>
  <c r="Q6046" i="11"/>
  <c r="I6046" i="11"/>
  <c r="Q6048" i="11"/>
  <c r="I6048" i="11"/>
  <c r="J6048" i="11" s="1"/>
  <c r="T6048" i="11" s="1"/>
  <c r="Q6050" i="11"/>
  <c r="I6050" i="11" s="1"/>
  <c r="Q6052" i="11"/>
  <c r="I6052" i="11"/>
  <c r="Q6054" i="11"/>
  <c r="Q6056" i="11"/>
  <c r="I6056" i="11" s="1"/>
  <c r="Q6058" i="11"/>
  <c r="I6058" i="11"/>
  <c r="Q6060" i="11"/>
  <c r="I6060" i="11" s="1"/>
  <c r="Q6062" i="11"/>
  <c r="I6062" i="11" s="1"/>
  <c r="Q6064" i="11"/>
  <c r="I6064" i="11"/>
  <c r="Q6066" i="11"/>
  <c r="I6066" i="11" s="1"/>
  <c r="Q6068" i="11"/>
  <c r="I6068" i="11" s="1"/>
  <c r="Q6070" i="11"/>
  <c r="I6070" i="11"/>
  <c r="Q6072" i="11"/>
  <c r="I6072" i="11" s="1"/>
  <c r="Q6074" i="11"/>
  <c r="I6074" i="11" s="1"/>
  <c r="Q6076" i="11"/>
  <c r="I6076" i="11"/>
  <c r="Q6078" i="11"/>
  <c r="Q6080" i="11"/>
  <c r="I6080" i="11" s="1"/>
  <c r="Q6082" i="11"/>
  <c r="I6082" i="11"/>
  <c r="Q6084" i="11"/>
  <c r="I6084" i="11" s="1"/>
  <c r="Q6086" i="11"/>
  <c r="I6086" i="11" s="1"/>
  <c r="Q6088" i="11"/>
  <c r="I6088" i="11"/>
  <c r="Q6090" i="11"/>
  <c r="I6090" i="11" s="1"/>
  <c r="Q6092" i="11"/>
  <c r="I6092" i="11" s="1"/>
  <c r="Q6094" i="11"/>
  <c r="I6094" i="11"/>
  <c r="Q6096" i="11"/>
  <c r="I6096" i="11" s="1"/>
  <c r="Q6098" i="11"/>
  <c r="I6098" i="11" s="1"/>
  <c r="Q6100" i="11"/>
  <c r="I6100" i="11"/>
  <c r="Q6102" i="11"/>
  <c r="Q6104" i="11"/>
  <c r="I6104" i="11" s="1"/>
  <c r="Q6106" i="11"/>
  <c r="I6106" i="11"/>
  <c r="Q6108" i="11"/>
  <c r="I6108" i="11" s="1"/>
  <c r="Q6110" i="11"/>
  <c r="I6110" i="11" s="1"/>
  <c r="Q6112" i="11"/>
  <c r="I6112" i="11"/>
  <c r="Q6114" i="11"/>
  <c r="I6114" i="11" s="1"/>
  <c r="Q6116" i="11"/>
  <c r="I6116" i="11" s="1"/>
  <c r="Q6118" i="11"/>
  <c r="I6118" i="11"/>
  <c r="Q6120" i="11"/>
  <c r="I6120" i="11" s="1"/>
  <c r="Q6122" i="11"/>
  <c r="I6122" i="11" s="1"/>
  <c r="Q6124" i="11"/>
  <c r="I6124" i="11"/>
  <c r="Q6126" i="11"/>
  <c r="Q6128" i="11"/>
  <c r="I6128" i="11" s="1"/>
  <c r="Q6130" i="11"/>
  <c r="I6130" i="11"/>
  <c r="Q6132" i="11"/>
  <c r="I6132" i="11" s="1"/>
  <c r="Q6134" i="11"/>
  <c r="I6134" i="11" s="1"/>
  <c r="Q6136" i="11"/>
  <c r="I6136" i="11" s="1"/>
  <c r="Q6138" i="11"/>
  <c r="I6138" i="11" s="1"/>
  <c r="Q6140" i="11"/>
  <c r="I6140" i="11" s="1"/>
  <c r="Q6142" i="11"/>
  <c r="I6142" i="11"/>
  <c r="Q6144" i="11"/>
  <c r="I6144" i="11"/>
  <c r="J6144" i="11" s="1"/>
  <c r="T6144" i="11" s="1"/>
  <c r="Q6146" i="11"/>
  <c r="I6146" i="11" s="1"/>
  <c r="Q6148" i="11"/>
  <c r="I6148" i="11"/>
  <c r="Q6150" i="11"/>
  <c r="Q6152" i="11"/>
  <c r="I6152" i="11" s="1"/>
  <c r="Q6154" i="11"/>
  <c r="I6154" i="11"/>
  <c r="Q6156" i="11"/>
  <c r="I6156" i="11" s="1"/>
  <c r="Q6158" i="11"/>
  <c r="I6158" i="11" s="1"/>
  <c r="Q6160" i="11"/>
  <c r="I6160" i="11"/>
  <c r="Q6162" i="11"/>
  <c r="T6162" i="11" s="1"/>
  <c r="I6162" i="11"/>
  <c r="K6162" i="11" s="1"/>
  <c r="Q6164" i="11"/>
  <c r="I6164" i="11" s="1"/>
  <c r="Q6166" i="11"/>
  <c r="I6166" i="11"/>
  <c r="Q6168" i="11"/>
  <c r="I6168" i="11"/>
  <c r="J6168" i="11" s="1"/>
  <c r="T6168" i="11" s="1"/>
  <c r="Q6170" i="11"/>
  <c r="I6170" i="11" s="1"/>
  <c r="Q6172" i="11"/>
  <c r="I6172" i="11"/>
  <c r="Q6174" i="11"/>
  <c r="Q6176" i="11"/>
  <c r="I6176" i="11" s="1"/>
  <c r="Q6178" i="11"/>
  <c r="I6178" i="11"/>
  <c r="Q6180" i="11"/>
  <c r="I6180" i="11" s="1"/>
  <c r="Q6182" i="11"/>
  <c r="I6182" i="11" s="1"/>
  <c r="Q6184" i="11"/>
  <c r="I6184" i="11"/>
  <c r="Q6186" i="11"/>
  <c r="L14" i="11"/>
  <c r="L15" i="11"/>
  <c r="P14" i="11"/>
  <c r="P15" i="11"/>
  <c r="Q15" i="11"/>
  <c r="I15" i="11"/>
  <c r="Q14" i="11"/>
  <c r="I14" i="11" s="1"/>
  <c r="L13" i="11"/>
  <c r="P13" i="11"/>
  <c r="Q13" i="11"/>
  <c r="L12" i="11"/>
  <c r="P12" i="11"/>
  <c r="Q12" i="11" s="1"/>
  <c r="I12" i="11" s="1"/>
  <c r="L11" i="11"/>
  <c r="P11" i="11"/>
  <c r="Q11" i="11" s="1"/>
  <c r="L10" i="11"/>
  <c r="P10" i="11"/>
  <c r="Q10" i="11" s="1"/>
  <c r="P7" i="11"/>
  <c r="Q7" i="11" s="1"/>
  <c r="I7" i="11" s="1"/>
  <c r="J7" i="11" s="1"/>
  <c r="M7" i="11"/>
  <c r="L9" i="11"/>
  <c r="L4" i="11" s="1"/>
  <c r="L5" i="11" s="1"/>
  <c r="L8" i="11"/>
  <c r="L7" i="11"/>
  <c r="D7" i="9"/>
  <c r="C4" i="12"/>
  <c r="J3" i="11"/>
  <c r="B13" i="9"/>
  <c r="E12" i="9"/>
  <c r="D12" i="9"/>
  <c r="C12" i="9"/>
  <c r="F11" i="9"/>
  <c r="J6184" i="11"/>
  <c r="T6184" i="11"/>
  <c r="K6184" i="11"/>
  <c r="J6178" i="11"/>
  <c r="T6178" i="11" s="1"/>
  <c r="K6178" i="11"/>
  <c r="J6172" i="11"/>
  <c r="T6172" i="11"/>
  <c r="K6172" i="11"/>
  <c r="K6168" i="11"/>
  <c r="J6166" i="11"/>
  <c r="T6166" i="11" s="1"/>
  <c r="K6166" i="11"/>
  <c r="J6162" i="11"/>
  <c r="J6160" i="11"/>
  <c r="T6160" i="11"/>
  <c r="K6160" i="11"/>
  <c r="J6154" i="11"/>
  <c r="T6154" i="11" s="1"/>
  <c r="K6154" i="11"/>
  <c r="J6148" i="11"/>
  <c r="T6148" i="11"/>
  <c r="K6148" i="11"/>
  <c r="K6144" i="11"/>
  <c r="J6142" i="11"/>
  <c r="T6142" i="11" s="1"/>
  <c r="K6142" i="11"/>
  <c r="J6130" i="11"/>
  <c r="T6130" i="11" s="1"/>
  <c r="K6130" i="11"/>
  <c r="J6124" i="11"/>
  <c r="T6124" i="11"/>
  <c r="K6124" i="11"/>
  <c r="J6118" i="11"/>
  <c r="T6118" i="11" s="1"/>
  <c r="K6118" i="11"/>
  <c r="J6112" i="11"/>
  <c r="T6112" i="11"/>
  <c r="K6112" i="11"/>
  <c r="J6106" i="11"/>
  <c r="T6106" i="11" s="1"/>
  <c r="K6106" i="11"/>
  <c r="J6100" i="11"/>
  <c r="T6100" i="11"/>
  <c r="K6100" i="11"/>
  <c r="J6094" i="11"/>
  <c r="T6094" i="11" s="1"/>
  <c r="K6094" i="11"/>
  <c r="J6088" i="11"/>
  <c r="T6088" i="11"/>
  <c r="K6088" i="11"/>
  <c r="J6082" i="11"/>
  <c r="T6082" i="11" s="1"/>
  <c r="K6082" i="11"/>
  <c r="J6076" i="11"/>
  <c r="T6076" i="11"/>
  <c r="K6076" i="11"/>
  <c r="J6070" i="11"/>
  <c r="T6070" i="11" s="1"/>
  <c r="K6070" i="11"/>
  <c r="J6064" i="11"/>
  <c r="T6064" i="11"/>
  <c r="K6064" i="11"/>
  <c r="J6058" i="11"/>
  <c r="T6058" i="11" s="1"/>
  <c r="K6058" i="11"/>
  <c r="J6052" i="11"/>
  <c r="T6052" i="11"/>
  <c r="K6052" i="11"/>
  <c r="K6048" i="11"/>
  <c r="J6046" i="11"/>
  <c r="T6046" i="11" s="1"/>
  <c r="K6046" i="11"/>
  <c r="J6040" i="11"/>
  <c r="T6040" i="11"/>
  <c r="K6040" i="11"/>
  <c r="J6034" i="11"/>
  <c r="T6034" i="11" s="1"/>
  <c r="K6034" i="11"/>
  <c r="J6030" i="11"/>
  <c r="J6028" i="11"/>
  <c r="T6028" i="11"/>
  <c r="K6028" i="11"/>
  <c r="K6024" i="11"/>
  <c r="J6022" i="11"/>
  <c r="T6022" i="11" s="1"/>
  <c r="K6022" i="11"/>
  <c r="J6016" i="11"/>
  <c r="T6016" i="11"/>
  <c r="K6016" i="11"/>
  <c r="J6010" i="11"/>
  <c r="T6010" i="11" s="1"/>
  <c r="K6010" i="11"/>
  <c r="J6006" i="11"/>
  <c r="J6004" i="11"/>
  <c r="T6004" i="11"/>
  <c r="K6004" i="11"/>
  <c r="J5998" i="11"/>
  <c r="T5998" i="11" s="1"/>
  <c r="K5998" i="11"/>
  <c r="J5992" i="11"/>
  <c r="T5992" i="11"/>
  <c r="K5992" i="11"/>
  <c r="J5986" i="11"/>
  <c r="T5986" i="11" s="1"/>
  <c r="K5986" i="11"/>
  <c r="J5980" i="11"/>
  <c r="T5980" i="11"/>
  <c r="K5980" i="11"/>
  <c r="K5976" i="11"/>
  <c r="J5974" i="11"/>
  <c r="T5974" i="11" s="1"/>
  <c r="K5974" i="11"/>
  <c r="J5970" i="11"/>
  <c r="J5968" i="11"/>
  <c r="T5968" i="11"/>
  <c r="K5968" i="11"/>
  <c r="J5962" i="11"/>
  <c r="T5962" i="11" s="1"/>
  <c r="K5962" i="11"/>
  <c r="J5958" i="11"/>
  <c r="T5958" i="11" s="1"/>
  <c r="J5956" i="11"/>
  <c r="T5956" i="11"/>
  <c r="K5956" i="11"/>
  <c r="J5952" i="11"/>
  <c r="T5952" i="11"/>
  <c r="K5952" i="11"/>
  <c r="J5944" i="11"/>
  <c r="T5944" i="11"/>
  <c r="K5944" i="11"/>
  <c r="J5938" i="11"/>
  <c r="T5938" i="11" s="1"/>
  <c r="K5938" i="11"/>
  <c r="J5934" i="11"/>
  <c r="T5934" i="11" s="1"/>
  <c r="K5934" i="11"/>
  <c r="J5932" i="11"/>
  <c r="T5932" i="11"/>
  <c r="K5932" i="11"/>
  <c r="J5926" i="11"/>
  <c r="T5926" i="11" s="1"/>
  <c r="K5926" i="11"/>
  <c r="J5922" i="11"/>
  <c r="T5922" i="11" s="1"/>
  <c r="K5922" i="11"/>
  <c r="J5908" i="11"/>
  <c r="T5908" i="11"/>
  <c r="K5908" i="11"/>
  <c r="J5904" i="11"/>
  <c r="T5904" i="11"/>
  <c r="K5904" i="11"/>
  <c r="J5896" i="11"/>
  <c r="T5896" i="11"/>
  <c r="K5896" i="11"/>
  <c r="J5886" i="11"/>
  <c r="T5886" i="11" s="1"/>
  <c r="K5886" i="11"/>
  <c r="J5884" i="11"/>
  <c r="T5884" i="11"/>
  <c r="K5884" i="11"/>
  <c r="J5872" i="11"/>
  <c r="T5872" i="11"/>
  <c r="K5872" i="11"/>
  <c r="J5866" i="11"/>
  <c r="T5866" i="11" s="1"/>
  <c r="K5866" i="11"/>
  <c r="J5860" i="11"/>
  <c r="T5860" i="11"/>
  <c r="K5860" i="11"/>
  <c r="J5854" i="11"/>
  <c r="T5854" i="11" s="1"/>
  <c r="K5854" i="11"/>
  <c r="J5848" i="11"/>
  <c r="T5848" i="11"/>
  <c r="K5848" i="11"/>
  <c r="J5844" i="11"/>
  <c r="T5844" i="11"/>
  <c r="K5844" i="11"/>
  <c r="J5842" i="11"/>
  <c r="T5842" i="11" s="1"/>
  <c r="K5842" i="11"/>
  <c r="J5838" i="11"/>
  <c r="T5838" i="11" s="1"/>
  <c r="K5838" i="11"/>
  <c r="J5832" i="11"/>
  <c r="T5832" i="11"/>
  <c r="K5832" i="11"/>
  <c r="J5830" i="11"/>
  <c r="T5830" i="11" s="1"/>
  <c r="K5830" i="11"/>
  <c r="J5826" i="11"/>
  <c r="T5826" i="11" s="1"/>
  <c r="K5826" i="11"/>
  <c r="J5824" i="11"/>
  <c r="T5824" i="11"/>
  <c r="K5824" i="11"/>
  <c r="J5820" i="11"/>
  <c r="T5820" i="11"/>
  <c r="K5820" i="11"/>
  <c r="J5818" i="11"/>
  <c r="T5818" i="11" s="1"/>
  <c r="K5818" i="11"/>
  <c r="J5814" i="11"/>
  <c r="T5814" i="11" s="1"/>
  <c r="K5814" i="11"/>
  <c r="J5812" i="11"/>
  <c r="T5812" i="11"/>
  <c r="K5812" i="11"/>
  <c r="J5808" i="11"/>
  <c r="T5808" i="11"/>
  <c r="K5808" i="11"/>
  <c r="J5806" i="11"/>
  <c r="T5806" i="11" s="1"/>
  <c r="K5806" i="11"/>
  <c r="J5802" i="11"/>
  <c r="T5802" i="11" s="1"/>
  <c r="K5802" i="11"/>
  <c r="J5800" i="11"/>
  <c r="T5800" i="11"/>
  <c r="K5800" i="11"/>
  <c r="J5796" i="11"/>
  <c r="T5796" i="11"/>
  <c r="K5796" i="11"/>
  <c r="J5790" i="11"/>
  <c r="T5790" i="11" s="1"/>
  <c r="K5790" i="11"/>
  <c r="J5788" i="11"/>
  <c r="T5788" i="11"/>
  <c r="K5788" i="11"/>
  <c r="J5784" i="11"/>
  <c r="T5784" i="11"/>
  <c r="K5784" i="11"/>
  <c r="J5782" i="11"/>
  <c r="T5782" i="11" s="1"/>
  <c r="K5782" i="11"/>
  <c r="J5778" i="11"/>
  <c r="T5778" i="11" s="1"/>
  <c r="K5778" i="11"/>
  <c r="J5772" i="11"/>
  <c r="T5772" i="11"/>
  <c r="K5772" i="11"/>
  <c r="J5766" i="11"/>
  <c r="T5766" i="11" s="1"/>
  <c r="K5766" i="11"/>
  <c r="J5760" i="11"/>
  <c r="T5760" i="11"/>
  <c r="K5760" i="11"/>
  <c r="J5758" i="11"/>
  <c r="T5758" i="11" s="1"/>
  <c r="K5758" i="11"/>
  <c r="J5754" i="11"/>
  <c r="T5754" i="11" s="1"/>
  <c r="K5754" i="11"/>
  <c r="J5748" i="11"/>
  <c r="T5748" i="11"/>
  <c r="K5748" i="11"/>
  <c r="J5746" i="11"/>
  <c r="T5746" i="11" s="1"/>
  <c r="K5746" i="11"/>
  <c r="J5742" i="11"/>
  <c r="T5742" i="11" s="1"/>
  <c r="K5742" i="11"/>
  <c r="J5736" i="11"/>
  <c r="T5736" i="11"/>
  <c r="K5736" i="11"/>
  <c r="J5734" i="11"/>
  <c r="T5734" i="11" s="1"/>
  <c r="K5734" i="11"/>
  <c r="J5730" i="11"/>
  <c r="T5730" i="11" s="1"/>
  <c r="K5730" i="11"/>
  <c r="J5728" i="11"/>
  <c r="T5728" i="11"/>
  <c r="K5728" i="11"/>
  <c r="J5724" i="11"/>
  <c r="T5724" i="11"/>
  <c r="K5724" i="11"/>
  <c r="J5722" i="11"/>
  <c r="T5722" i="11" s="1"/>
  <c r="K5722" i="11"/>
  <c r="J5718" i="11"/>
  <c r="T5718" i="11" s="1"/>
  <c r="K5718" i="11"/>
  <c r="J5716" i="11"/>
  <c r="T5716" i="11"/>
  <c r="K5716" i="11"/>
  <c r="J5712" i="11"/>
  <c r="T5712" i="11"/>
  <c r="K5712" i="11"/>
  <c r="J5706" i="11"/>
  <c r="T5706" i="11" s="1"/>
  <c r="K5706" i="11"/>
  <c r="J5700" i="11"/>
  <c r="T5700" i="11"/>
  <c r="K5700" i="11"/>
  <c r="J5698" i="11"/>
  <c r="T5698" i="11" s="1"/>
  <c r="K5698" i="11"/>
  <c r="J5694" i="11"/>
  <c r="T5694" i="11" s="1"/>
  <c r="K5694" i="11"/>
  <c r="J5692" i="11"/>
  <c r="T5692" i="11"/>
  <c r="K5692" i="11"/>
  <c r="J5688" i="11"/>
  <c r="T5688" i="11"/>
  <c r="K5688" i="11"/>
  <c r="J5682" i="11"/>
  <c r="T5682" i="11" s="1"/>
  <c r="K5682" i="11"/>
  <c r="J5680" i="11"/>
  <c r="T5680" i="11"/>
  <c r="K5680" i="11"/>
  <c r="J5676" i="11"/>
  <c r="T5676" i="11"/>
  <c r="K5676" i="11"/>
  <c r="J5674" i="11"/>
  <c r="T5674" i="11" s="1"/>
  <c r="K5674" i="11"/>
  <c r="J5670" i="11"/>
  <c r="T5670" i="11" s="1"/>
  <c r="K5670" i="11"/>
  <c r="J5668" i="11"/>
  <c r="T5668" i="11"/>
  <c r="K5668" i="11"/>
  <c r="J5664" i="11"/>
  <c r="T5664" i="11"/>
  <c r="K5664" i="11"/>
  <c r="J5662" i="11"/>
  <c r="T5662" i="11" s="1"/>
  <c r="K5662" i="11"/>
  <c r="J5658" i="11"/>
  <c r="T5658" i="11" s="1"/>
  <c r="K5658" i="11"/>
  <c r="J5656" i="11"/>
  <c r="T5656" i="11"/>
  <c r="K5656" i="11"/>
  <c r="J5652" i="11"/>
  <c r="T5652" i="11"/>
  <c r="K5652" i="11"/>
  <c r="J5650" i="11"/>
  <c r="T5650" i="11" s="1"/>
  <c r="K5650" i="11"/>
  <c r="J5646" i="11"/>
  <c r="T5646" i="11" s="1"/>
  <c r="K5646" i="11"/>
  <c r="J5644" i="11"/>
  <c r="T5644" i="11"/>
  <c r="K5644" i="11"/>
  <c r="J5640" i="11"/>
  <c r="T5640" i="11"/>
  <c r="K5640" i="11"/>
  <c r="J5638" i="11"/>
  <c r="T5638" i="11" s="1"/>
  <c r="K5638" i="11"/>
  <c r="J5634" i="11"/>
  <c r="T5634" i="11" s="1"/>
  <c r="K5634" i="11"/>
  <c r="J5632" i="11"/>
  <c r="T5632" i="11"/>
  <c r="K5632" i="11"/>
  <c r="J5628" i="11"/>
  <c r="T5628" i="11"/>
  <c r="K5628" i="11"/>
  <c r="J5626" i="11"/>
  <c r="T5626" i="11" s="1"/>
  <c r="K5626" i="11"/>
  <c r="J5622" i="11"/>
  <c r="T5622" i="11" s="1"/>
  <c r="K5622" i="11"/>
  <c r="J5620" i="11"/>
  <c r="T5620" i="11"/>
  <c r="K5620" i="11"/>
  <c r="J5618" i="11"/>
  <c r="T5618" i="11" s="1"/>
  <c r="K5618" i="11"/>
  <c r="J5616" i="11"/>
  <c r="T5616" i="11"/>
  <c r="K5616" i="11"/>
  <c r="J5614" i="11"/>
  <c r="T5614" i="11" s="1"/>
  <c r="K5614" i="11"/>
  <c r="J5612" i="11"/>
  <c r="T5612" i="11"/>
  <c r="K5612" i="11"/>
  <c r="J5610" i="11"/>
  <c r="T5610" i="11" s="1"/>
  <c r="K5610" i="11"/>
  <c r="J5608" i="11"/>
  <c r="T5608" i="11"/>
  <c r="K5608" i="11"/>
  <c r="J5604" i="11"/>
  <c r="T5604" i="11"/>
  <c r="K5604" i="11"/>
  <c r="J5602" i="11"/>
  <c r="T5602" i="11" s="1"/>
  <c r="K5602" i="11"/>
  <c r="J5598" i="11"/>
  <c r="T5598" i="11" s="1"/>
  <c r="K5598" i="11"/>
  <c r="J5596" i="11"/>
  <c r="T5596" i="11"/>
  <c r="K5596" i="11"/>
  <c r="J5592" i="11"/>
  <c r="T5592" i="11"/>
  <c r="K5592" i="11"/>
  <c r="J5590" i="11"/>
  <c r="T5590" i="11" s="1"/>
  <c r="K5590" i="11"/>
  <c r="J5586" i="11"/>
  <c r="T5586" i="11" s="1"/>
  <c r="K5586" i="11"/>
  <c r="J5584" i="11"/>
  <c r="T5584" i="11"/>
  <c r="K5584" i="11"/>
  <c r="J5582" i="11"/>
  <c r="T5582" i="11" s="1"/>
  <c r="K5582" i="11"/>
  <c r="J5580" i="11"/>
  <c r="T5580" i="11"/>
  <c r="K5580" i="11"/>
  <c r="J5578" i="11"/>
  <c r="T5578" i="11" s="1"/>
  <c r="K5578" i="11"/>
  <c r="J5576" i="11"/>
  <c r="T5576" i="11"/>
  <c r="K5576" i="11"/>
  <c r="J5574" i="11"/>
  <c r="T5574" i="11" s="1"/>
  <c r="K5574" i="11"/>
  <c r="J5572" i="11"/>
  <c r="T5572" i="11"/>
  <c r="K5572" i="11"/>
  <c r="J5568" i="11"/>
  <c r="T5568" i="11"/>
  <c r="K5568" i="11"/>
  <c r="J5566" i="11"/>
  <c r="T5566" i="11" s="1"/>
  <c r="K5566" i="11"/>
  <c r="J5564" i="11"/>
  <c r="T5564" i="11"/>
  <c r="K5564" i="11"/>
  <c r="J5562" i="11"/>
  <c r="T5562" i="11" s="1"/>
  <c r="K5562" i="11"/>
  <c r="J5560" i="11"/>
  <c r="T5560" i="11"/>
  <c r="K5560" i="11"/>
  <c r="J5556" i="11"/>
  <c r="T5556" i="11"/>
  <c r="K5556" i="11"/>
  <c r="J5554" i="11"/>
  <c r="T5554" i="11" s="1"/>
  <c r="K5554" i="11"/>
  <c r="J5550" i="11"/>
  <c r="T5550" i="11" s="1"/>
  <c r="K5550" i="11"/>
  <c r="J5548" i="11"/>
  <c r="T5548" i="11"/>
  <c r="K5548" i="11"/>
  <c r="J5546" i="11"/>
  <c r="T5546" i="11" s="1"/>
  <c r="K5546" i="11"/>
  <c r="J5544" i="11"/>
  <c r="T5544" i="11"/>
  <c r="K5544" i="11"/>
  <c r="J5542" i="11"/>
  <c r="T5542" i="11" s="1"/>
  <c r="K5542" i="11"/>
  <c r="J5540" i="11"/>
  <c r="T5540" i="11"/>
  <c r="K5540" i="11"/>
  <c r="J5538" i="11"/>
  <c r="T5538" i="11" s="1"/>
  <c r="K5538" i="11"/>
  <c r="J5536" i="11"/>
  <c r="T5536" i="11"/>
  <c r="K5536" i="11"/>
  <c r="J5532" i="11"/>
  <c r="T5532" i="11"/>
  <c r="K5532" i="11"/>
  <c r="J5530" i="11"/>
  <c r="T5530" i="11" s="1"/>
  <c r="K5530" i="11"/>
  <c r="J5526" i="11"/>
  <c r="T5526" i="11" s="1"/>
  <c r="K5526" i="11"/>
  <c r="J5524" i="11"/>
  <c r="T5524" i="11"/>
  <c r="K5524" i="11"/>
  <c r="J5520" i="11"/>
  <c r="T5520" i="11"/>
  <c r="K5520" i="11"/>
  <c r="J5518" i="11"/>
  <c r="T5518" i="11" s="1"/>
  <c r="K5518" i="11"/>
  <c r="J5514" i="11"/>
  <c r="T5514" i="11" s="1"/>
  <c r="K5514" i="11"/>
  <c r="J5512" i="11"/>
  <c r="T5512" i="11"/>
  <c r="K5512" i="11"/>
  <c r="J5508" i="11"/>
  <c r="T5508" i="11"/>
  <c r="K5508" i="11"/>
  <c r="J5506" i="11"/>
  <c r="T5506" i="11" s="1"/>
  <c r="K5506" i="11"/>
  <c r="J5504" i="11"/>
  <c r="T5504" i="11"/>
  <c r="K5504" i="11"/>
  <c r="J5502" i="11"/>
  <c r="T5502" i="11" s="1"/>
  <c r="K5502" i="11"/>
  <c r="J5500" i="11"/>
  <c r="T5500" i="11"/>
  <c r="K5500" i="11"/>
  <c r="J5496" i="11"/>
  <c r="T5496" i="11"/>
  <c r="K5496" i="11"/>
  <c r="J5494" i="11"/>
  <c r="T5494" i="11" s="1"/>
  <c r="K5494" i="11"/>
  <c r="J5490" i="11"/>
  <c r="T5490" i="11" s="1"/>
  <c r="K5490" i="11"/>
  <c r="J5488" i="11"/>
  <c r="T5488" i="11"/>
  <c r="K5488" i="11"/>
  <c r="J5484" i="11"/>
  <c r="T5484" i="11"/>
  <c r="K5484" i="11"/>
  <c r="J5482" i="11"/>
  <c r="T5482" i="11" s="1"/>
  <c r="K5482" i="11"/>
  <c r="J5478" i="11"/>
  <c r="T5478" i="11" s="1"/>
  <c r="K5478" i="11"/>
  <c r="J5476" i="11"/>
  <c r="T5476" i="11"/>
  <c r="K5476" i="11"/>
  <c r="J5474" i="11"/>
  <c r="T5474" i="11" s="1"/>
  <c r="K5474" i="11"/>
  <c r="J5472" i="11"/>
  <c r="T5472" i="11"/>
  <c r="K5472" i="11"/>
  <c r="J5470" i="11"/>
  <c r="T5470" i="11" s="1"/>
  <c r="K5470" i="11"/>
  <c r="J5468" i="11"/>
  <c r="T5468" i="11"/>
  <c r="K5468" i="11"/>
  <c r="J5466" i="11"/>
  <c r="T5466" i="11" s="1"/>
  <c r="K5466" i="11"/>
  <c r="J5464" i="11"/>
  <c r="T5464" i="11"/>
  <c r="K5464" i="11"/>
  <c r="J5462" i="11"/>
  <c r="T5462" i="11" s="1"/>
  <c r="K5462" i="11"/>
  <c r="J5460" i="11"/>
  <c r="T5460" i="11"/>
  <c r="K5460" i="11"/>
  <c r="J5458" i="11"/>
  <c r="T5458" i="11" s="1"/>
  <c r="K5458" i="11"/>
  <c r="J5454" i="11"/>
  <c r="T5454" i="11" s="1"/>
  <c r="K5454" i="11"/>
  <c r="J5452" i="11"/>
  <c r="T5452" i="11"/>
  <c r="K5452" i="11"/>
  <c r="J5448" i="11"/>
  <c r="T5448" i="11"/>
  <c r="K5448" i="11"/>
  <c r="J5446" i="11"/>
  <c r="T5446" i="11" s="1"/>
  <c r="K5446" i="11"/>
  <c r="J5442" i="11"/>
  <c r="T5442" i="11" s="1"/>
  <c r="K5442" i="11"/>
  <c r="J5440" i="11"/>
  <c r="T5440" i="11"/>
  <c r="K5440" i="11"/>
  <c r="J5436" i="11"/>
  <c r="T5436" i="11"/>
  <c r="K5436" i="11"/>
  <c r="J5434" i="11"/>
  <c r="T5434" i="11" s="1"/>
  <c r="K5434" i="11"/>
  <c r="J5432" i="11"/>
  <c r="T5432" i="11"/>
  <c r="K5432" i="11"/>
  <c r="J5430" i="11"/>
  <c r="T5430" i="11" s="1"/>
  <c r="K5430" i="11"/>
  <c r="J5428" i="11"/>
  <c r="T5428" i="11"/>
  <c r="K5428" i="11"/>
  <c r="J5426" i="11"/>
  <c r="T5426" i="11" s="1"/>
  <c r="K5426" i="11"/>
  <c r="J5424" i="11"/>
  <c r="T5424" i="11"/>
  <c r="K5424" i="11"/>
  <c r="J5422" i="11"/>
  <c r="T5422" i="11" s="1"/>
  <c r="K5422" i="11"/>
  <c r="J5420" i="11"/>
  <c r="T5420" i="11"/>
  <c r="K5420" i="11"/>
  <c r="J5418" i="11"/>
  <c r="T5418" i="11" s="1"/>
  <c r="K5418" i="11"/>
  <c r="J5416" i="11"/>
  <c r="T5416" i="11"/>
  <c r="K5416" i="11"/>
  <c r="J5412" i="11"/>
  <c r="T5412" i="11"/>
  <c r="K5412" i="11"/>
  <c r="J5410" i="11"/>
  <c r="T5410" i="11" s="1"/>
  <c r="K5410" i="11"/>
  <c r="J5406" i="11"/>
  <c r="T5406" i="11" s="1"/>
  <c r="K5406" i="11"/>
  <c r="J5404" i="11"/>
  <c r="T5404" i="11"/>
  <c r="K5404" i="11"/>
  <c r="J5400" i="11"/>
  <c r="T5400" i="11"/>
  <c r="K5400" i="11"/>
  <c r="J5398" i="11"/>
  <c r="T5398" i="11" s="1"/>
  <c r="K5398" i="11"/>
  <c r="J5396" i="11"/>
  <c r="T5396" i="11"/>
  <c r="K5396" i="11"/>
  <c r="J5394" i="11"/>
  <c r="T5394" i="11" s="1"/>
  <c r="K5394" i="11"/>
  <c r="J5392" i="11"/>
  <c r="T5392" i="11"/>
  <c r="K5392" i="11"/>
  <c r="J5388" i="11"/>
  <c r="T5388" i="11"/>
  <c r="K5388" i="11"/>
  <c r="J5386" i="11"/>
  <c r="T5386" i="11" s="1"/>
  <c r="K5386" i="11"/>
  <c r="J5382" i="11"/>
  <c r="T5382" i="11" s="1"/>
  <c r="K5382" i="11"/>
  <c r="J5380" i="11"/>
  <c r="T5380" i="11"/>
  <c r="K5380" i="11"/>
  <c r="J5376" i="11"/>
  <c r="T5376" i="11"/>
  <c r="K5376" i="11"/>
  <c r="J5374" i="11"/>
  <c r="T5374" i="11" s="1"/>
  <c r="K5374" i="11"/>
  <c r="J5370" i="11"/>
  <c r="T5370" i="11" s="1"/>
  <c r="K5370" i="11"/>
  <c r="J5368" i="11"/>
  <c r="T5368" i="11"/>
  <c r="K5368" i="11"/>
  <c r="J5364" i="11"/>
  <c r="T5364" i="11"/>
  <c r="K5364" i="11"/>
  <c r="J5362" i="11"/>
  <c r="T5362" i="11" s="1"/>
  <c r="K5362" i="11"/>
  <c r="J5360" i="11"/>
  <c r="T5360" i="11"/>
  <c r="K5360" i="11"/>
  <c r="J5358" i="11"/>
  <c r="T5358" i="11" s="1"/>
  <c r="K5358" i="11"/>
  <c r="J5356" i="11"/>
  <c r="T5356" i="11"/>
  <c r="K5356" i="11"/>
  <c r="J5352" i="11"/>
  <c r="T5352" i="11"/>
  <c r="K5352" i="11"/>
  <c r="J5350" i="11"/>
  <c r="T5350" i="11" s="1"/>
  <c r="K5350" i="11"/>
  <c r="J5348" i="11"/>
  <c r="T5348" i="11"/>
  <c r="K5348" i="11"/>
  <c r="J5346" i="11"/>
  <c r="T5346" i="11" s="1"/>
  <c r="K5346" i="11"/>
  <c r="J5344" i="11"/>
  <c r="T5344" i="11"/>
  <c r="K5344" i="11"/>
  <c r="J5340" i="11"/>
  <c r="T5340" i="11"/>
  <c r="K5340" i="11"/>
  <c r="J5338" i="11"/>
  <c r="T5338" i="11" s="1"/>
  <c r="K5338" i="11"/>
  <c r="J5334" i="11"/>
  <c r="T5334" i="11" s="1"/>
  <c r="K5334" i="11"/>
  <c r="J5332" i="11"/>
  <c r="T5332" i="11"/>
  <c r="K5332" i="11"/>
  <c r="J5328" i="11"/>
  <c r="T5328" i="11"/>
  <c r="K5328" i="11"/>
  <c r="J5326" i="11"/>
  <c r="T5326" i="11" s="1"/>
  <c r="K5326" i="11"/>
  <c r="J5324" i="11"/>
  <c r="T5324" i="11"/>
  <c r="K5324" i="11"/>
  <c r="J5322" i="11"/>
  <c r="T5322" i="11" s="1"/>
  <c r="K5322" i="11"/>
  <c r="J5320" i="11"/>
  <c r="T5320" i="11"/>
  <c r="K5320" i="11"/>
  <c r="J5318" i="11"/>
  <c r="T5318" i="11" s="1"/>
  <c r="K5318" i="11"/>
  <c r="J5316" i="11"/>
  <c r="T5316" i="11"/>
  <c r="K5316" i="11"/>
  <c r="J5314" i="11"/>
  <c r="T5314" i="11" s="1"/>
  <c r="K5314" i="11"/>
  <c r="J5312" i="11"/>
  <c r="T5312" i="11"/>
  <c r="K5312" i="11"/>
  <c r="J5310" i="11"/>
  <c r="T5310" i="11" s="1"/>
  <c r="K5310" i="11"/>
  <c r="J5308" i="11"/>
  <c r="T5308" i="11"/>
  <c r="K5308" i="11"/>
  <c r="J5304" i="11"/>
  <c r="T5304" i="11"/>
  <c r="K5304" i="11"/>
  <c r="J5302" i="11"/>
  <c r="T5302" i="11" s="1"/>
  <c r="K5302" i="11"/>
  <c r="J5298" i="11"/>
  <c r="T5298" i="11" s="1"/>
  <c r="K5298" i="11"/>
  <c r="J5296" i="11"/>
  <c r="T5296" i="11"/>
  <c r="K5296" i="11"/>
  <c r="J5292" i="11"/>
  <c r="T5292" i="11"/>
  <c r="K5292" i="11"/>
  <c r="J5290" i="11"/>
  <c r="T5290" i="11" s="1"/>
  <c r="K5290" i="11"/>
  <c r="J5288" i="11"/>
  <c r="T5288" i="11"/>
  <c r="K5288" i="11"/>
  <c r="J5286" i="11"/>
  <c r="T5286" i="11" s="1"/>
  <c r="K5286" i="11"/>
  <c r="J5284" i="11"/>
  <c r="T5284" i="11"/>
  <c r="K5284" i="11"/>
  <c r="J5282" i="11"/>
  <c r="T5282" i="11" s="1"/>
  <c r="K5282" i="11"/>
  <c r="J5280" i="11"/>
  <c r="T5280" i="11"/>
  <c r="K5280" i="11"/>
  <c r="J5278" i="11"/>
  <c r="T5278" i="11" s="1"/>
  <c r="K5278" i="11"/>
  <c r="J5274" i="11"/>
  <c r="T5274" i="11" s="1"/>
  <c r="K5274" i="11"/>
  <c r="J5272" i="11"/>
  <c r="T5272" i="11"/>
  <c r="K5272" i="11"/>
  <c r="J5268" i="11"/>
  <c r="T5268" i="11"/>
  <c r="K5268" i="11"/>
  <c r="J5266" i="11"/>
  <c r="T5266" i="11" s="1"/>
  <c r="K5266" i="11"/>
  <c r="J5262" i="11"/>
  <c r="T5262" i="11" s="1"/>
  <c r="K5262" i="11"/>
  <c r="J5260" i="11"/>
  <c r="T5260" i="11"/>
  <c r="K5260" i="11"/>
  <c r="J5256" i="11"/>
  <c r="T5256" i="11"/>
  <c r="K5256" i="11"/>
  <c r="J5254" i="11"/>
  <c r="T5254" i="11" s="1"/>
  <c r="K5254" i="11"/>
  <c r="J5252" i="11"/>
  <c r="T5252" i="11"/>
  <c r="K5252" i="11"/>
  <c r="J5250" i="11"/>
  <c r="T5250" i="11" s="1"/>
  <c r="K5250" i="11"/>
  <c r="J5248" i="11"/>
  <c r="T5248" i="11"/>
  <c r="K5248" i="11"/>
  <c r="J5246" i="11"/>
  <c r="T5246" i="11" s="1"/>
  <c r="K5246" i="11"/>
  <c r="J5244" i="11"/>
  <c r="T5244" i="11"/>
  <c r="K5244" i="11"/>
  <c r="J5242" i="11"/>
  <c r="T5242" i="11" s="1"/>
  <c r="K5242" i="11"/>
  <c r="J5240" i="11"/>
  <c r="T5240" i="11"/>
  <c r="K5240" i="11"/>
  <c r="J5238" i="11"/>
  <c r="T5238" i="11" s="1"/>
  <c r="K5238" i="11"/>
  <c r="J5236" i="11"/>
  <c r="T5236" i="11"/>
  <c r="K5236" i="11"/>
  <c r="J5232" i="11"/>
  <c r="T5232" i="11"/>
  <c r="K5232" i="11"/>
  <c r="J5230" i="11"/>
  <c r="T5230" i="11" s="1"/>
  <c r="K5230" i="11"/>
  <c r="J5226" i="11"/>
  <c r="T5226" i="11" s="1"/>
  <c r="K5226" i="11"/>
  <c r="J5224" i="11"/>
  <c r="T5224" i="11"/>
  <c r="K5224" i="11"/>
  <c r="J5220" i="11"/>
  <c r="T5220" i="11"/>
  <c r="K5220" i="11"/>
  <c r="J5218" i="11"/>
  <c r="T5218" i="11" s="1"/>
  <c r="K5218" i="11"/>
  <c r="J5216" i="11"/>
  <c r="T5216" i="11"/>
  <c r="K5216" i="11"/>
  <c r="J5214" i="11"/>
  <c r="T5214" i="11" s="1"/>
  <c r="K5214" i="11"/>
  <c r="J5212" i="11"/>
  <c r="T5212" i="11"/>
  <c r="K5212" i="11"/>
  <c r="J5210" i="11"/>
  <c r="T5210" i="11" s="1"/>
  <c r="K5210" i="11"/>
  <c r="J5208" i="11"/>
  <c r="T5208" i="11"/>
  <c r="K5208" i="11"/>
  <c r="J5206" i="11"/>
  <c r="T5206" i="11" s="1"/>
  <c r="K5206" i="11"/>
  <c r="J5202" i="11"/>
  <c r="T5202" i="11" s="1"/>
  <c r="K5202" i="11"/>
  <c r="J5200" i="11"/>
  <c r="T5200" i="11"/>
  <c r="K5200" i="11"/>
  <c r="J5196" i="11"/>
  <c r="T5196" i="11"/>
  <c r="K5196" i="11"/>
  <c r="J5194" i="11"/>
  <c r="T5194" i="11" s="1"/>
  <c r="K5194" i="11"/>
  <c r="J5190" i="11"/>
  <c r="T5190" i="11" s="1"/>
  <c r="K5190" i="11"/>
  <c r="J5188" i="11"/>
  <c r="T5188" i="11"/>
  <c r="K5188" i="11"/>
  <c r="J5184" i="11"/>
  <c r="T5184" i="11"/>
  <c r="K5184" i="11"/>
  <c r="J5182" i="11"/>
  <c r="T5182" i="11" s="1"/>
  <c r="K5182" i="11"/>
  <c r="J5180" i="11"/>
  <c r="T5180" i="11"/>
  <c r="K5180" i="11"/>
  <c r="J5178" i="11"/>
  <c r="T5178" i="11" s="1"/>
  <c r="K5178" i="11"/>
  <c r="J5176" i="11"/>
  <c r="T5176" i="11"/>
  <c r="K5176" i="11"/>
  <c r="J5174" i="11"/>
  <c r="T5174" i="11" s="1"/>
  <c r="K5174" i="11"/>
  <c r="J5172" i="11"/>
  <c r="T5172" i="11"/>
  <c r="K5172" i="11"/>
  <c r="J5170" i="11"/>
  <c r="T5170" i="11" s="1"/>
  <c r="K5170" i="11"/>
  <c r="J5166" i="11"/>
  <c r="T5166" i="11" s="1"/>
  <c r="K5166" i="11"/>
  <c r="J5164" i="11"/>
  <c r="T5164" i="11"/>
  <c r="K5164" i="11"/>
  <c r="J5160" i="11"/>
  <c r="T5160" i="11"/>
  <c r="K5160" i="11"/>
  <c r="J5158" i="11"/>
  <c r="T5158" i="11" s="1"/>
  <c r="K5158" i="11"/>
  <c r="J5154" i="11"/>
  <c r="T5154" i="11" s="1"/>
  <c r="K5154" i="11"/>
  <c r="J5152" i="11"/>
  <c r="T5152" i="11"/>
  <c r="K5152" i="11"/>
  <c r="J5148" i="11"/>
  <c r="T5148" i="11"/>
  <c r="K5148" i="11"/>
  <c r="J5146" i="11"/>
  <c r="T5146" i="11" s="1"/>
  <c r="K5146" i="11"/>
  <c r="J5144" i="11"/>
  <c r="T5144" i="11"/>
  <c r="K5144" i="11"/>
  <c r="J5142" i="11"/>
  <c r="T5142" i="11" s="1"/>
  <c r="K5142" i="11"/>
  <c r="J5140" i="11"/>
  <c r="T5140" i="11"/>
  <c r="K5140" i="11"/>
  <c r="J5136" i="11"/>
  <c r="T5136" i="11"/>
  <c r="K5136" i="11"/>
  <c r="J5134" i="11"/>
  <c r="T5134" i="11" s="1"/>
  <c r="K5134" i="11"/>
  <c r="J5132" i="11"/>
  <c r="T5132" i="11"/>
  <c r="K5132" i="11"/>
  <c r="J5130" i="11"/>
  <c r="T5130" i="11" s="1"/>
  <c r="K5130" i="11"/>
  <c r="J5128" i="11"/>
  <c r="T5128" i="11"/>
  <c r="K5128" i="11"/>
  <c r="J5124" i="11"/>
  <c r="T5124" i="11"/>
  <c r="K5124" i="11"/>
  <c r="J5122" i="11"/>
  <c r="T5122" i="11" s="1"/>
  <c r="K5122" i="11"/>
  <c r="J5118" i="11"/>
  <c r="T5118" i="11" s="1"/>
  <c r="K5118" i="11"/>
  <c r="J5116" i="11"/>
  <c r="T5116" i="11"/>
  <c r="K5116" i="11"/>
  <c r="J5112" i="11"/>
  <c r="T5112" i="11"/>
  <c r="K5112" i="11"/>
  <c r="J5110" i="11"/>
  <c r="T5110" i="11" s="1"/>
  <c r="K5110" i="11"/>
  <c r="J5108" i="11"/>
  <c r="T5108" i="11"/>
  <c r="K5108" i="11"/>
  <c r="J5106" i="11"/>
  <c r="T5106" i="11" s="1"/>
  <c r="K5106" i="11"/>
  <c r="J5104" i="11"/>
  <c r="T5104" i="11"/>
  <c r="K5104" i="11"/>
  <c r="J5102" i="11"/>
  <c r="T5102" i="11" s="1"/>
  <c r="K5102" i="11"/>
  <c r="J5100" i="11"/>
  <c r="T5100" i="11"/>
  <c r="K5100" i="11"/>
  <c r="J5098" i="11"/>
  <c r="T5098" i="11" s="1"/>
  <c r="K5098" i="11"/>
  <c r="J5096" i="11"/>
  <c r="T5096" i="11"/>
  <c r="K5096" i="11"/>
  <c r="J5094" i="11"/>
  <c r="T5094" i="11" s="1"/>
  <c r="K5094" i="11"/>
  <c r="J5092" i="11"/>
  <c r="T5092" i="11"/>
  <c r="K5092" i="11"/>
  <c r="J5088" i="11"/>
  <c r="T5088" i="11"/>
  <c r="K5088" i="11"/>
  <c r="J5086" i="11"/>
  <c r="T5086" i="11" s="1"/>
  <c r="K5086" i="11"/>
  <c r="J5082" i="11"/>
  <c r="T5082" i="11" s="1"/>
  <c r="K5082" i="11"/>
  <c r="J5080" i="11"/>
  <c r="T5080" i="11"/>
  <c r="K5080" i="11"/>
  <c r="J5076" i="11"/>
  <c r="T5076" i="11"/>
  <c r="K5076" i="11"/>
  <c r="J5074" i="11"/>
  <c r="T5074" i="11" s="1"/>
  <c r="K5074" i="11"/>
  <c r="J5072" i="11"/>
  <c r="T5072" i="11"/>
  <c r="K5072" i="11"/>
  <c r="J5070" i="11"/>
  <c r="T5070" i="11" s="1"/>
  <c r="K5070" i="11"/>
  <c r="J5068" i="11"/>
  <c r="T5068" i="11"/>
  <c r="K5068" i="11"/>
  <c r="J5066" i="11"/>
  <c r="T5066" i="11" s="1"/>
  <c r="K5066" i="11"/>
  <c r="J5064" i="11"/>
  <c r="T5064" i="11"/>
  <c r="K5064" i="11"/>
  <c r="J5062" i="11"/>
  <c r="T5062" i="11" s="1"/>
  <c r="K5062" i="11"/>
  <c r="J5060" i="11"/>
  <c r="T5060" i="11"/>
  <c r="K5060" i="11"/>
  <c r="J5058" i="11"/>
  <c r="T5058" i="11" s="1"/>
  <c r="K5058" i="11"/>
  <c r="J5056" i="11"/>
  <c r="T5056" i="11"/>
  <c r="K5056" i="11"/>
  <c r="J5052" i="11"/>
  <c r="T5052" i="11"/>
  <c r="K5052" i="11"/>
  <c r="J5050" i="11"/>
  <c r="T5050" i="11" s="1"/>
  <c r="K5050" i="11"/>
  <c r="J5046" i="11"/>
  <c r="T5046" i="11" s="1"/>
  <c r="K5046" i="11"/>
  <c r="J5044" i="11"/>
  <c r="T5044" i="11"/>
  <c r="K5044" i="11"/>
  <c r="J5040" i="11"/>
  <c r="T5040" i="11"/>
  <c r="K5040" i="11"/>
  <c r="J5038" i="11"/>
  <c r="T5038" i="11" s="1"/>
  <c r="K5038" i="11"/>
  <c r="J5036" i="11"/>
  <c r="T5036" i="11"/>
  <c r="K5036" i="11"/>
  <c r="J5034" i="11"/>
  <c r="T5034" i="11" s="1"/>
  <c r="K5034" i="11"/>
  <c r="J5032" i="11"/>
  <c r="T5032" i="11"/>
  <c r="K5032" i="11"/>
  <c r="J5028" i="11"/>
  <c r="T5028" i="11"/>
  <c r="K5028" i="11"/>
  <c r="J5026" i="11"/>
  <c r="T5026" i="11" s="1"/>
  <c r="K5026" i="11"/>
  <c r="J5022" i="11"/>
  <c r="T5022" i="11" s="1"/>
  <c r="K5022" i="11"/>
  <c r="J5020" i="11"/>
  <c r="T5020" i="11"/>
  <c r="K5020" i="11"/>
  <c r="J5016" i="11"/>
  <c r="T5016" i="11"/>
  <c r="K5016" i="11"/>
  <c r="J5014" i="11"/>
  <c r="T5014" i="11" s="1"/>
  <c r="K5014" i="11"/>
  <c r="J5010" i="11"/>
  <c r="T5010" i="11" s="1"/>
  <c r="K5010" i="11"/>
  <c r="J5008" i="11"/>
  <c r="T5008" i="11"/>
  <c r="K5008" i="11"/>
  <c r="J5004" i="11"/>
  <c r="T5004" i="11"/>
  <c r="K5004" i="11"/>
  <c r="J5002" i="11"/>
  <c r="T5002" i="11" s="1"/>
  <c r="K5002" i="11"/>
  <c r="J5000" i="11"/>
  <c r="T5000" i="11"/>
  <c r="K5000" i="11"/>
  <c r="J4998" i="11"/>
  <c r="T4998" i="11" s="1"/>
  <c r="K4998" i="11"/>
  <c r="J4996" i="11"/>
  <c r="T4996" i="11"/>
  <c r="K4996" i="11"/>
  <c r="J4992" i="11"/>
  <c r="T4992" i="11"/>
  <c r="K4992" i="11"/>
  <c r="J4990" i="11"/>
  <c r="T4990" i="11" s="1"/>
  <c r="K4990" i="11"/>
  <c r="J4986" i="11"/>
  <c r="T4986" i="11" s="1"/>
  <c r="K4986" i="11"/>
  <c r="J4984" i="11"/>
  <c r="T4984" i="11"/>
  <c r="K4984" i="11"/>
  <c r="J4980" i="11"/>
  <c r="T4980" i="11"/>
  <c r="K4980" i="11"/>
  <c r="J4978" i="11"/>
  <c r="T4978" i="11" s="1"/>
  <c r="K4978" i="11"/>
  <c r="J4974" i="11"/>
  <c r="T4974" i="11" s="1"/>
  <c r="K4974" i="11"/>
  <c r="J4972" i="11"/>
  <c r="T4972" i="11"/>
  <c r="K4972" i="11"/>
  <c r="J4968" i="11"/>
  <c r="T4968" i="11"/>
  <c r="K4968" i="11"/>
  <c r="J4966" i="11"/>
  <c r="T4966" i="11" s="1"/>
  <c r="K4966" i="11"/>
  <c r="J4964" i="11"/>
  <c r="T4964" i="11"/>
  <c r="K4964" i="11"/>
  <c r="J4962" i="11"/>
  <c r="T4962" i="11" s="1"/>
  <c r="K4962" i="11"/>
  <c r="J4960" i="11"/>
  <c r="T4960" i="11"/>
  <c r="K4960" i="11"/>
  <c r="J4956" i="11"/>
  <c r="T4956" i="11"/>
  <c r="K4956" i="11"/>
  <c r="J4954" i="11"/>
  <c r="T4954" i="11" s="1"/>
  <c r="K4954" i="11"/>
  <c r="J4952" i="11"/>
  <c r="T4952" i="11"/>
  <c r="K4952" i="11"/>
  <c r="J4950" i="11"/>
  <c r="T4950" i="11" s="1"/>
  <c r="K4950" i="11"/>
  <c r="J4948" i="11"/>
  <c r="T4948" i="11"/>
  <c r="K4948" i="11"/>
  <c r="J4944" i="11"/>
  <c r="T4944" i="11"/>
  <c r="K4944" i="11"/>
  <c r="J4942" i="11"/>
  <c r="T4942" i="11" s="1"/>
  <c r="K4942" i="11"/>
  <c r="J4938" i="11"/>
  <c r="T4938" i="11" s="1"/>
  <c r="K4938" i="11"/>
  <c r="J4936" i="11"/>
  <c r="T4936" i="11"/>
  <c r="K4936" i="11"/>
  <c r="J4932" i="11"/>
  <c r="T4932" i="11"/>
  <c r="K4932" i="11"/>
  <c r="J4930" i="11"/>
  <c r="T4930" i="11" s="1"/>
  <c r="K4930" i="11"/>
  <c r="J4928" i="11"/>
  <c r="T4928" i="11"/>
  <c r="K4928" i="11"/>
  <c r="J4926" i="11"/>
  <c r="T4926" i="11" s="1"/>
  <c r="K4926" i="11"/>
  <c r="J4924" i="11"/>
  <c r="T4924" i="11"/>
  <c r="K4924" i="11"/>
  <c r="J4922" i="11"/>
  <c r="T4922" i="11" s="1"/>
  <c r="K4922" i="11"/>
  <c r="J4920" i="11"/>
  <c r="T4920" i="11"/>
  <c r="K4920" i="11"/>
  <c r="J4918" i="11"/>
  <c r="T4918" i="11" s="1"/>
  <c r="K4918" i="11"/>
  <c r="J4914" i="11"/>
  <c r="T4914" i="11" s="1"/>
  <c r="K4914" i="11"/>
  <c r="J4912" i="11"/>
  <c r="T4912" i="11"/>
  <c r="K4912" i="11"/>
  <c r="J4908" i="11"/>
  <c r="T4908" i="11"/>
  <c r="K4908" i="11"/>
  <c r="J4906" i="11"/>
  <c r="T4906" i="11" s="1"/>
  <c r="K4906" i="11"/>
  <c r="J4902" i="11"/>
  <c r="T4902" i="11" s="1"/>
  <c r="K4902" i="11"/>
  <c r="J4900" i="11"/>
  <c r="T4900" i="11"/>
  <c r="K4900" i="11"/>
  <c r="J4896" i="11"/>
  <c r="T4896" i="11"/>
  <c r="K4896" i="11"/>
  <c r="J4894" i="11"/>
  <c r="T4894" i="11" s="1"/>
  <c r="K4894" i="11"/>
  <c r="J4892" i="11"/>
  <c r="T4892" i="11"/>
  <c r="K4892" i="11"/>
  <c r="J4890" i="11"/>
  <c r="T4890" i="11" s="1"/>
  <c r="K4890" i="11"/>
  <c r="J4888" i="11"/>
  <c r="T4888" i="11"/>
  <c r="K4888" i="11"/>
  <c r="J4886" i="11"/>
  <c r="T4886" i="11" s="1"/>
  <c r="K4886" i="11"/>
  <c r="J4884" i="11"/>
  <c r="T4884" i="11"/>
  <c r="K4884" i="11"/>
  <c r="J4882" i="11"/>
  <c r="T4882" i="11" s="1"/>
  <c r="K4882" i="11"/>
  <c r="J4880" i="11"/>
  <c r="T4880" i="11"/>
  <c r="K4880" i="11"/>
  <c r="J4878" i="11"/>
  <c r="T4878" i="11" s="1"/>
  <c r="K4878" i="11"/>
  <c r="J4876" i="11"/>
  <c r="T4876" i="11"/>
  <c r="K4876" i="11"/>
  <c r="J4872" i="11"/>
  <c r="T4872" i="11"/>
  <c r="K4872" i="11"/>
  <c r="J4870" i="11"/>
  <c r="T4870" i="11" s="1"/>
  <c r="K4870" i="11"/>
  <c r="J4866" i="11"/>
  <c r="T4866" i="11" s="1"/>
  <c r="K4866" i="11"/>
  <c r="J4864" i="11"/>
  <c r="T4864" i="11"/>
  <c r="K4864" i="11"/>
  <c r="J4860" i="11"/>
  <c r="T4860" i="11"/>
  <c r="K4860" i="11"/>
  <c r="J4858" i="11"/>
  <c r="T4858" i="11" s="1"/>
  <c r="K4858" i="11"/>
  <c r="J4856" i="11"/>
  <c r="T4856" i="11"/>
  <c r="K4856" i="11"/>
  <c r="J4854" i="11"/>
  <c r="T4854" i="11" s="1"/>
  <c r="K4854" i="11"/>
  <c r="J4852" i="11"/>
  <c r="T4852" i="11"/>
  <c r="K4852" i="11"/>
  <c r="J4848" i="11"/>
  <c r="T4848" i="11"/>
  <c r="K4848" i="11"/>
  <c r="J4846" i="11"/>
  <c r="T4846" i="11" s="1"/>
  <c r="K4846" i="11"/>
  <c r="J4842" i="11"/>
  <c r="T4842" i="11" s="1"/>
  <c r="K4842" i="11"/>
  <c r="J4840" i="11"/>
  <c r="T4840" i="11"/>
  <c r="K4840" i="11"/>
  <c r="J4836" i="11"/>
  <c r="T4836" i="11"/>
  <c r="K4836" i="11"/>
  <c r="J4834" i="11"/>
  <c r="T4834" i="11" s="1"/>
  <c r="K4834" i="11"/>
  <c r="J4830" i="11"/>
  <c r="T4830" i="11" s="1"/>
  <c r="K4830" i="11"/>
  <c r="J4828" i="11"/>
  <c r="T4828" i="11"/>
  <c r="K4828" i="11"/>
  <c r="J4824" i="11"/>
  <c r="T4824" i="11"/>
  <c r="K4824" i="11"/>
  <c r="J4822" i="11"/>
  <c r="T4822" i="11" s="1"/>
  <c r="K4822" i="11"/>
  <c r="J4820" i="11"/>
  <c r="T4820" i="11"/>
  <c r="K4820" i="11"/>
  <c r="J4818" i="11"/>
  <c r="T4818" i="11" s="1"/>
  <c r="K4818" i="11"/>
  <c r="J4816" i="11"/>
  <c r="T4816" i="11"/>
  <c r="K4816" i="11"/>
  <c r="J4814" i="11"/>
  <c r="T4814" i="11" s="1"/>
  <c r="K4814" i="11"/>
  <c r="J4812" i="11"/>
  <c r="T4812" i="11"/>
  <c r="K4812" i="11"/>
  <c r="J4810" i="11"/>
  <c r="T4810" i="11" s="1"/>
  <c r="K4810" i="11"/>
  <c r="J4808" i="11"/>
  <c r="T4808" i="11"/>
  <c r="K4808" i="11"/>
  <c r="J4806" i="11"/>
  <c r="T4806" i="11" s="1"/>
  <c r="K4806" i="11"/>
  <c r="J4804" i="11"/>
  <c r="T4804" i="11"/>
  <c r="K4804" i="11"/>
  <c r="J4800" i="11"/>
  <c r="T4800" i="11"/>
  <c r="K4800" i="11"/>
  <c r="J4798" i="11"/>
  <c r="T4798" i="11" s="1"/>
  <c r="K4798" i="11"/>
  <c r="J4794" i="11"/>
  <c r="T4794" i="11" s="1"/>
  <c r="K4794" i="11"/>
  <c r="J4792" i="11"/>
  <c r="T4792" i="11"/>
  <c r="K4792" i="11"/>
  <c r="J4788" i="11"/>
  <c r="T4788" i="11"/>
  <c r="K4788" i="11"/>
  <c r="J4786" i="11"/>
  <c r="T4786" i="11" s="1"/>
  <c r="K4786" i="11"/>
  <c r="J4784" i="11"/>
  <c r="T4784" i="11"/>
  <c r="K4784" i="11"/>
  <c r="J4782" i="11"/>
  <c r="T4782" i="11" s="1"/>
  <c r="K4782" i="11"/>
  <c r="J4780" i="11"/>
  <c r="T4780" i="11"/>
  <c r="K4780" i="11"/>
  <c r="J4776" i="11"/>
  <c r="T4776" i="11"/>
  <c r="K4776" i="11"/>
  <c r="J4774" i="11"/>
  <c r="T4774" i="11" s="1"/>
  <c r="K4774" i="11"/>
  <c r="T4772" i="11"/>
  <c r="K4772" i="11"/>
  <c r="J4770" i="11"/>
  <c r="T4770" i="11" s="1"/>
  <c r="K4770" i="11"/>
  <c r="J4768" i="11"/>
  <c r="T4768" i="11"/>
  <c r="K4768" i="11"/>
  <c r="J4766" i="11"/>
  <c r="T4766" i="11" s="1"/>
  <c r="J4764" i="11"/>
  <c r="T4764" i="11"/>
  <c r="K4764" i="11"/>
  <c r="J4762" i="11"/>
  <c r="T4762" i="11" s="1"/>
  <c r="K4762" i="11"/>
  <c r="T4760" i="11"/>
  <c r="K4760" i="11"/>
  <c r="J4758" i="11"/>
  <c r="T4758" i="11" s="1"/>
  <c r="K4758" i="11"/>
  <c r="J4756" i="11"/>
  <c r="T4756" i="11"/>
  <c r="K4756" i="11"/>
  <c r="J4754" i="11"/>
  <c r="T4754" i="11" s="1"/>
  <c r="J4752" i="11"/>
  <c r="T4752" i="11"/>
  <c r="K4752" i="11"/>
  <c r="J4750" i="11"/>
  <c r="T4750" i="11" s="1"/>
  <c r="K4750" i="11"/>
  <c r="J4748" i="11"/>
  <c r="T4748" i="11"/>
  <c r="K4748" i="11"/>
  <c r="J4746" i="11"/>
  <c r="T4746" i="11" s="1"/>
  <c r="K4746" i="11"/>
  <c r="J4744" i="11"/>
  <c r="T4744" i="11"/>
  <c r="K4744" i="11"/>
  <c r="J4742" i="11"/>
  <c r="T4742" i="11" s="1"/>
  <c r="K4742" i="11"/>
  <c r="J4740" i="11"/>
  <c r="T4740" i="11"/>
  <c r="K4740" i="11"/>
  <c r="J4738" i="11"/>
  <c r="T4738" i="11" s="1"/>
  <c r="K4738" i="11"/>
  <c r="J4736" i="11"/>
  <c r="T4736" i="11"/>
  <c r="K4736" i="11"/>
  <c r="J4734" i="11"/>
  <c r="T4734" i="11" s="1"/>
  <c r="K4734" i="11"/>
  <c r="J4732" i="11"/>
  <c r="T4732" i="11"/>
  <c r="K4732" i="11"/>
  <c r="J4730" i="11"/>
  <c r="T4730" i="11" s="1"/>
  <c r="J4728" i="11"/>
  <c r="T4728" i="11"/>
  <c r="K4728" i="11"/>
  <c r="J4726" i="11"/>
  <c r="T4726" i="11" s="1"/>
  <c r="K4726" i="11"/>
  <c r="T4724" i="11"/>
  <c r="K4724" i="11"/>
  <c r="J4722" i="11"/>
  <c r="T4722" i="11" s="1"/>
  <c r="K4722" i="11"/>
  <c r="J4720" i="11"/>
  <c r="T4720" i="11"/>
  <c r="K4720" i="11"/>
  <c r="J4718" i="11"/>
  <c r="T4718" i="11" s="1"/>
  <c r="J4716" i="11"/>
  <c r="T4716" i="11"/>
  <c r="K4716" i="11"/>
  <c r="J4714" i="11"/>
  <c r="T4714" i="11" s="1"/>
  <c r="K4714" i="11"/>
  <c r="J4712" i="11"/>
  <c r="T4712" i="11"/>
  <c r="K4712" i="11"/>
  <c r="J4710" i="11"/>
  <c r="T4710" i="11" s="1"/>
  <c r="K4710" i="11"/>
  <c r="J4708" i="11"/>
  <c r="T4708" i="11"/>
  <c r="K4708" i="11"/>
  <c r="J4706" i="11"/>
  <c r="T4706" i="11" s="1"/>
  <c r="K4706" i="11"/>
  <c r="J4704" i="11"/>
  <c r="T4704" i="11"/>
  <c r="K4704" i="11"/>
  <c r="J4702" i="11"/>
  <c r="T4702" i="11" s="1"/>
  <c r="K4702" i="11"/>
  <c r="T4700" i="11"/>
  <c r="K4700" i="11"/>
  <c r="J4698" i="11"/>
  <c r="T4698" i="11" s="1"/>
  <c r="K4698" i="11"/>
  <c r="J4696" i="11"/>
  <c r="T4696" i="11"/>
  <c r="K4696" i="11"/>
  <c r="J4694" i="11"/>
  <c r="T4694" i="11" s="1"/>
  <c r="J4692" i="11"/>
  <c r="T4692" i="11"/>
  <c r="K4692" i="11"/>
  <c r="J4690" i="11"/>
  <c r="T4690" i="11" s="1"/>
  <c r="K4690" i="11"/>
  <c r="T4688" i="11"/>
  <c r="K4688" i="11"/>
  <c r="J4686" i="11"/>
  <c r="T4686" i="11" s="1"/>
  <c r="K4686" i="11"/>
  <c r="J4684" i="11"/>
  <c r="T4684" i="11"/>
  <c r="K4684" i="11"/>
  <c r="J4682" i="11"/>
  <c r="T4682" i="11" s="1"/>
  <c r="J4680" i="11"/>
  <c r="T4680" i="11"/>
  <c r="K4680" i="11"/>
  <c r="J4678" i="11"/>
  <c r="T4678" i="11" s="1"/>
  <c r="K4678" i="11"/>
  <c r="J4676" i="11"/>
  <c r="T4676" i="11"/>
  <c r="K4676" i="11"/>
  <c r="J4674" i="11"/>
  <c r="T4674" i="11" s="1"/>
  <c r="K4674" i="11"/>
  <c r="J4672" i="11"/>
  <c r="T4672" i="11"/>
  <c r="K4672" i="11"/>
  <c r="J4670" i="11"/>
  <c r="T4670" i="11" s="1"/>
  <c r="K4670" i="11"/>
  <c r="J4668" i="11"/>
  <c r="T4668" i="11"/>
  <c r="K4668" i="11"/>
  <c r="J4666" i="11"/>
  <c r="T4666" i="11" s="1"/>
  <c r="K4666" i="11"/>
  <c r="J4664" i="11"/>
  <c r="T4664" i="11"/>
  <c r="K4664" i="11"/>
  <c r="J4662" i="11"/>
  <c r="T4662" i="11" s="1"/>
  <c r="K4662" i="11"/>
  <c r="J4660" i="11"/>
  <c r="T4660" i="11"/>
  <c r="K4660" i="11"/>
  <c r="J4658" i="11"/>
  <c r="T4658" i="11" s="1"/>
  <c r="J4656" i="11"/>
  <c r="T4656" i="11"/>
  <c r="K4656" i="11"/>
  <c r="J4654" i="11"/>
  <c r="T4654" i="11" s="1"/>
  <c r="K4654" i="11"/>
  <c r="J4652" i="11"/>
  <c r="T4652" i="11"/>
  <c r="K4652" i="11"/>
  <c r="J4650" i="11"/>
  <c r="T4650" i="11" s="1"/>
  <c r="K4650" i="11"/>
  <c r="J4648" i="11"/>
  <c r="T4648" i="11"/>
  <c r="K4648" i="11"/>
  <c r="J4646" i="11"/>
  <c r="T4646" i="11" s="1"/>
  <c r="J4644" i="11"/>
  <c r="T4644" i="11"/>
  <c r="K4644" i="11"/>
  <c r="J4642" i="11"/>
  <c r="T4642" i="11" s="1"/>
  <c r="K4642" i="11"/>
  <c r="J4640" i="11"/>
  <c r="T4640" i="11"/>
  <c r="K4640" i="11"/>
  <c r="J4638" i="11"/>
  <c r="T4638" i="11" s="1"/>
  <c r="K4638" i="11"/>
  <c r="J4636" i="11"/>
  <c r="T4636" i="11"/>
  <c r="K4636" i="11"/>
  <c r="J4634" i="11"/>
  <c r="T4634" i="11" s="1"/>
  <c r="K4634" i="11"/>
  <c r="J4632" i="11"/>
  <c r="T4632" i="11"/>
  <c r="K4632" i="11"/>
  <c r="J4630" i="11"/>
  <c r="T4630" i="11" s="1"/>
  <c r="K4630" i="11"/>
  <c r="J4628" i="11"/>
  <c r="T4628" i="11"/>
  <c r="K4628" i="11"/>
  <c r="J4626" i="11"/>
  <c r="T4626" i="11" s="1"/>
  <c r="K4626" i="11"/>
  <c r="J4624" i="11"/>
  <c r="T4624" i="11"/>
  <c r="K4624" i="11"/>
  <c r="J4622" i="11"/>
  <c r="T4622" i="11" s="1"/>
  <c r="J4620" i="11"/>
  <c r="T4620" i="11"/>
  <c r="K4620" i="11"/>
  <c r="J4618" i="11"/>
  <c r="T4618" i="11" s="1"/>
  <c r="K4618" i="11"/>
  <c r="T4616" i="11"/>
  <c r="K4616" i="11"/>
  <c r="J4614" i="11"/>
  <c r="T4614" i="11" s="1"/>
  <c r="K4614" i="11"/>
  <c r="J4612" i="11"/>
  <c r="T4612" i="11"/>
  <c r="K4612" i="11"/>
  <c r="J4610" i="11"/>
  <c r="T4610" i="11" s="1"/>
  <c r="J4608" i="11"/>
  <c r="T4608" i="11"/>
  <c r="K4608" i="11"/>
  <c r="J4606" i="11"/>
  <c r="T4606" i="11" s="1"/>
  <c r="K4606" i="11"/>
  <c r="J4604" i="11"/>
  <c r="T4604" i="11"/>
  <c r="K4604" i="11"/>
  <c r="J4602" i="11"/>
  <c r="T4602" i="11" s="1"/>
  <c r="K4602" i="11"/>
  <c r="J4600" i="11"/>
  <c r="T4600" i="11"/>
  <c r="K4600" i="11"/>
  <c r="J4598" i="11"/>
  <c r="T4598" i="11" s="1"/>
  <c r="K4598" i="11"/>
  <c r="J4596" i="11"/>
  <c r="T4596" i="11"/>
  <c r="K4596" i="11"/>
  <c r="J4594" i="11"/>
  <c r="T4594" i="11" s="1"/>
  <c r="K4594" i="11"/>
  <c r="J4592" i="11"/>
  <c r="T4592" i="11"/>
  <c r="K4592" i="11"/>
  <c r="J4590" i="11"/>
  <c r="T4590" i="11" s="1"/>
  <c r="K4590" i="11"/>
  <c r="J4588" i="11"/>
  <c r="T4588" i="11"/>
  <c r="K4588" i="11"/>
  <c r="J4586" i="11"/>
  <c r="T4586" i="11" s="1"/>
  <c r="J4584" i="11"/>
  <c r="T4584" i="11"/>
  <c r="K4584" i="11"/>
  <c r="J4582" i="11"/>
  <c r="T4582" i="11" s="1"/>
  <c r="K4582" i="11"/>
  <c r="J4580" i="11"/>
  <c r="T4580" i="11"/>
  <c r="K4580" i="11"/>
  <c r="J4578" i="11"/>
  <c r="T4578" i="11" s="1"/>
  <c r="K4578" i="11"/>
  <c r="J4576" i="11"/>
  <c r="T4576" i="11"/>
  <c r="K4576" i="11"/>
  <c r="J4574" i="11"/>
  <c r="T4574" i="11" s="1"/>
  <c r="J4572" i="11"/>
  <c r="T4572" i="11"/>
  <c r="K4572" i="11"/>
  <c r="J4570" i="11"/>
  <c r="T4570" i="11" s="1"/>
  <c r="K4570" i="11"/>
  <c r="J4568" i="11"/>
  <c r="T4568" i="11"/>
  <c r="K4568" i="11"/>
  <c r="J4566" i="11"/>
  <c r="T4566" i="11" s="1"/>
  <c r="K4566" i="11"/>
  <c r="J4564" i="11"/>
  <c r="T4564" i="11"/>
  <c r="K4564" i="11"/>
  <c r="J4562" i="11"/>
  <c r="T4562" i="11" s="1"/>
  <c r="K4562" i="11"/>
  <c r="J4560" i="11"/>
  <c r="T4560" i="11"/>
  <c r="K4560" i="11"/>
  <c r="J4558" i="11"/>
  <c r="T4558" i="11" s="1"/>
  <c r="K4558" i="11"/>
  <c r="J4556" i="11"/>
  <c r="T4556" i="11"/>
  <c r="K4556" i="11"/>
  <c r="J4554" i="11"/>
  <c r="T4554" i="11" s="1"/>
  <c r="K4554" i="11"/>
  <c r="J4552" i="11"/>
  <c r="T4552" i="11"/>
  <c r="K4552" i="11"/>
  <c r="J4550" i="11"/>
  <c r="T4550" i="11" s="1"/>
  <c r="J4548" i="11"/>
  <c r="T4548" i="11"/>
  <c r="K4548" i="11"/>
  <c r="J4546" i="11"/>
  <c r="T4546" i="11" s="1"/>
  <c r="K4546" i="11"/>
  <c r="T4544" i="11"/>
  <c r="K4544" i="11"/>
  <c r="J4542" i="11"/>
  <c r="T4542" i="11" s="1"/>
  <c r="K4542" i="11"/>
  <c r="J4540" i="11"/>
  <c r="T4540" i="11"/>
  <c r="K4540" i="11"/>
  <c r="J4538" i="11"/>
  <c r="T4538" i="11" s="1"/>
  <c r="J4536" i="11"/>
  <c r="T4536" i="11"/>
  <c r="K4536" i="11"/>
  <c r="J4534" i="11"/>
  <c r="T4534" i="11" s="1"/>
  <c r="K4534" i="11"/>
  <c r="J4532" i="11"/>
  <c r="T4532" i="11"/>
  <c r="K4532" i="11"/>
  <c r="J4530" i="11"/>
  <c r="T4530" i="11" s="1"/>
  <c r="K4530" i="11"/>
  <c r="J4528" i="11"/>
  <c r="T4528" i="11"/>
  <c r="K4528" i="11"/>
  <c r="J4526" i="11"/>
  <c r="T4526" i="11" s="1"/>
  <c r="K4526" i="11"/>
  <c r="J4524" i="11"/>
  <c r="T4524" i="11"/>
  <c r="K4524" i="11"/>
  <c r="J4522" i="11"/>
  <c r="T4522" i="11" s="1"/>
  <c r="K4522" i="11"/>
  <c r="J4520" i="11"/>
  <c r="T4520" i="11"/>
  <c r="K4520" i="11"/>
  <c r="J4518" i="11"/>
  <c r="T4518" i="11" s="1"/>
  <c r="K4518" i="11"/>
  <c r="J4516" i="11"/>
  <c r="T4516" i="11"/>
  <c r="K4516" i="11"/>
  <c r="J4514" i="11"/>
  <c r="T4514" i="11" s="1"/>
  <c r="J4512" i="11"/>
  <c r="T4512" i="11"/>
  <c r="K4512" i="11"/>
  <c r="J4510" i="11"/>
  <c r="T4510" i="11" s="1"/>
  <c r="K4510" i="11"/>
  <c r="J4508" i="11"/>
  <c r="T4508" i="11"/>
  <c r="K4508" i="11"/>
  <c r="J4506" i="11"/>
  <c r="T4506" i="11" s="1"/>
  <c r="K4506" i="11"/>
  <c r="J4504" i="11"/>
  <c r="T4504" i="11"/>
  <c r="K4504" i="11"/>
  <c r="J4502" i="11"/>
  <c r="T4502" i="11" s="1"/>
  <c r="J4500" i="11"/>
  <c r="T4500" i="11"/>
  <c r="K4500" i="11"/>
  <c r="J4498" i="11"/>
  <c r="T4498" i="11" s="1"/>
  <c r="K4498" i="11"/>
  <c r="J4496" i="11"/>
  <c r="T4496" i="11"/>
  <c r="K4496" i="11"/>
  <c r="J4494" i="11"/>
  <c r="T4494" i="11" s="1"/>
  <c r="K4494" i="11"/>
  <c r="J4492" i="11"/>
  <c r="T4492" i="11"/>
  <c r="K4492" i="11"/>
  <c r="J4490" i="11"/>
  <c r="T4490" i="11" s="1"/>
  <c r="J4488" i="11"/>
  <c r="T4488" i="11"/>
  <c r="K4488" i="11"/>
  <c r="J4486" i="11"/>
  <c r="T4486" i="11" s="1"/>
  <c r="K4486" i="11"/>
  <c r="J4484" i="11"/>
  <c r="T4484" i="11"/>
  <c r="K4484" i="11"/>
  <c r="J4482" i="11"/>
  <c r="T4482" i="11" s="1"/>
  <c r="K4482" i="11"/>
  <c r="J4480" i="11"/>
  <c r="T4480" i="11"/>
  <c r="K4480" i="11"/>
  <c r="J4478" i="11"/>
  <c r="T4478" i="11" s="1"/>
  <c r="J4476" i="11"/>
  <c r="T4476" i="11"/>
  <c r="K4476" i="11"/>
  <c r="J4474" i="11"/>
  <c r="T4474" i="11" s="1"/>
  <c r="K4474" i="11"/>
  <c r="T4472" i="11"/>
  <c r="K4472" i="11"/>
  <c r="J4470" i="11"/>
  <c r="T4470" i="11" s="1"/>
  <c r="K4470" i="11"/>
  <c r="J4468" i="11"/>
  <c r="T4468" i="11"/>
  <c r="K4468" i="11"/>
  <c r="J4466" i="11"/>
  <c r="T4466" i="11" s="1"/>
  <c r="J4464" i="11"/>
  <c r="T4464" i="11"/>
  <c r="K4464" i="11"/>
  <c r="J4462" i="11"/>
  <c r="T4462" i="11" s="1"/>
  <c r="K4462" i="11"/>
  <c r="J4460" i="11"/>
  <c r="T4460" i="11"/>
  <c r="K4460" i="11"/>
  <c r="J4458" i="11"/>
  <c r="T4458" i="11" s="1"/>
  <c r="K4458" i="11"/>
  <c r="J4456" i="11"/>
  <c r="T4456" i="11"/>
  <c r="K4456" i="11"/>
  <c r="J4454" i="11"/>
  <c r="T4454" i="11" s="1"/>
  <c r="K4454" i="11"/>
  <c r="J4452" i="11"/>
  <c r="T4452" i="11"/>
  <c r="K4452" i="11"/>
  <c r="J4450" i="11"/>
  <c r="T4450" i="11" s="1"/>
  <c r="K4450" i="11"/>
  <c r="J4448" i="11"/>
  <c r="T4448" i="11"/>
  <c r="K4448" i="11"/>
  <c r="J4446" i="11"/>
  <c r="T4446" i="11" s="1"/>
  <c r="K4446" i="11"/>
  <c r="J4444" i="11"/>
  <c r="T4444" i="11"/>
  <c r="K4444" i="11"/>
  <c r="J4442" i="11"/>
  <c r="T4442" i="11" s="1"/>
  <c r="J4440" i="11"/>
  <c r="T4440" i="11"/>
  <c r="K4440" i="11"/>
  <c r="J4438" i="11"/>
  <c r="T4438" i="11" s="1"/>
  <c r="K4438" i="11"/>
  <c r="J4436" i="11"/>
  <c r="T4436" i="11"/>
  <c r="K4436" i="11"/>
  <c r="J4434" i="11"/>
  <c r="T4434" i="11" s="1"/>
  <c r="K4434" i="11"/>
  <c r="J4432" i="11"/>
  <c r="T4432" i="11"/>
  <c r="K4432" i="11"/>
  <c r="J4430" i="11"/>
  <c r="T4430" i="11" s="1"/>
  <c r="J4428" i="11"/>
  <c r="T4428" i="11"/>
  <c r="K4428" i="11"/>
  <c r="J4426" i="11"/>
  <c r="T4426" i="11" s="1"/>
  <c r="K4426" i="11"/>
  <c r="J4424" i="11"/>
  <c r="T4424" i="11"/>
  <c r="K4424" i="11"/>
  <c r="J4422" i="11"/>
  <c r="T4422" i="11" s="1"/>
  <c r="K4422" i="11"/>
  <c r="J4420" i="11"/>
  <c r="T4420" i="11"/>
  <c r="K4420" i="11"/>
  <c r="J4418" i="11"/>
  <c r="T4418" i="11" s="1"/>
  <c r="K4418" i="11"/>
  <c r="J4416" i="11"/>
  <c r="T4416" i="11"/>
  <c r="K4416" i="11"/>
  <c r="J4414" i="11"/>
  <c r="T4414" i="11" s="1"/>
  <c r="K4414" i="11"/>
  <c r="J4412" i="11"/>
  <c r="T4412" i="11"/>
  <c r="K4412" i="11"/>
  <c r="J4410" i="11"/>
  <c r="T4410" i="11" s="1"/>
  <c r="K4410" i="11"/>
  <c r="J4408" i="11"/>
  <c r="T4408" i="11"/>
  <c r="K4408" i="11"/>
  <c r="J4406" i="11"/>
  <c r="T4406" i="11" s="1"/>
  <c r="J4404" i="11"/>
  <c r="T4404" i="11"/>
  <c r="K4404" i="11"/>
  <c r="J4402" i="11"/>
  <c r="T4402" i="11" s="1"/>
  <c r="K4402" i="11"/>
  <c r="T4400" i="11"/>
  <c r="K4400" i="11"/>
  <c r="J4398" i="11"/>
  <c r="T4398" i="11" s="1"/>
  <c r="K4398" i="11"/>
  <c r="J4396" i="11"/>
  <c r="T4396" i="11"/>
  <c r="K4396" i="11"/>
  <c r="J4394" i="11"/>
  <c r="T4394" i="11" s="1"/>
  <c r="J4392" i="11"/>
  <c r="T4392" i="11"/>
  <c r="K4392" i="11"/>
  <c r="J4390" i="11"/>
  <c r="T4390" i="11" s="1"/>
  <c r="K4390" i="11"/>
  <c r="J4388" i="11"/>
  <c r="T4388" i="11"/>
  <c r="K4388" i="11"/>
  <c r="J4386" i="11"/>
  <c r="T4386" i="11" s="1"/>
  <c r="K4386" i="11"/>
  <c r="J4384" i="11"/>
  <c r="T4384" i="11"/>
  <c r="K4384" i="11"/>
  <c r="J4382" i="11"/>
  <c r="T4382" i="11" s="1"/>
  <c r="K4382" i="11"/>
  <c r="J4380" i="11"/>
  <c r="T4380" i="11"/>
  <c r="K4380" i="11"/>
  <c r="J4378" i="11"/>
  <c r="T4378" i="11" s="1"/>
  <c r="K4378" i="11"/>
  <c r="J4376" i="11"/>
  <c r="T4376" i="11"/>
  <c r="K4376" i="11"/>
  <c r="J4374" i="11"/>
  <c r="T4374" i="11" s="1"/>
  <c r="K4374" i="11"/>
  <c r="J4372" i="11"/>
  <c r="T4372" i="11"/>
  <c r="K4372" i="11"/>
  <c r="J4370" i="11"/>
  <c r="T4370" i="11" s="1"/>
  <c r="J4368" i="11"/>
  <c r="T4368" i="11"/>
  <c r="K4368" i="11"/>
  <c r="J4366" i="11"/>
  <c r="T4366" i="11" s="1"/>
  <c r="K4366" i="11"/>
  <c r="J4364" i="11"/>
  <c r="T4364" i="11"/>
  <c r="K4364" i="11"/>
  <c r="J4362" i="11"/>
  <c r="T4362" i="11" s="1"/>
  <c r="K4362" i="11"/>
  <c r="J4360" i="11"/>
  <c r="T4360" i="11"/>
  <c r="K4360" i="11"/>
  <c r="J4358" i="11"/>
  <c r="T4358" i="11" s="1"/>
  <c r="J4356" i="11"/>
  <c r="T4356" i="11"/>
  <c r="K4356" i="11"/>
  <c r="J4354" i="11"/>
  <c r="T4354" i="11" s="1"/>
  <c r="K4354" i="11"/>
  <c r="J4352" i="11"/>
  <c r="T4352" i="11"/>
  <c r="K4352" i="11"/>
  <c r="J4350" i="11"/>
  <c r="T4350" i="11" s="1"/>
  <c r="K4350" i="11"/>
  <c r="J4348" i="11"/>
  <c r="T4348" i="11"/>
  <c r="K4348" i="11"/>
  <c r="J4346" i="11"/>
  <c r="T4346" i="11" s="1"/>
  <c r="J4344" i="11"/>
  <c r="T4344" i="11"/>
  <c r="K4344" i="11"/>
  <c r="J4342" i="11"/>
  <c r="T4342" i="11" s="1"/>
  <c r="K4342" i="11"/>
  <c r="T4340" i="11"/>
  <c r="K4340" i="11"/>
  <c r="J4338" i="11"/>
  <c r="T4338" i="11" s="1"/>
  <c r="K4338" i="11"/>
  <c r="J4336" i="11"/>
  <c r="T4336" i="11"/>
  <c r="K4336" i="11"/>
  <c r="J4334" i="11"/>
  <c r="T4334" i="11" s="1"/>
  <c r="J4332" i="11"/>
  <c r="T4332" i="11"/>
  <c r="K4332" i="11"/>
  <c r="J4330" i="11"/>
  <c r="T4330" i="11" s="1"/>
  <c r="K4330" i="11"/>
  <c r="T4328" i="11"/>
  <c r="K4328" i="11"/>
  <c r="J4326" i="11"/>
  <c r="T4326" i="11" s="1"/>
  <c r="K4326" i="11"/>
  <c r="J4324" i="11"/>
  <c r="T4324" i="11"/>
  <c r="K4324" i="11"/>
  <c r="J4322" i="11"/>
  <c r="T4322" i="11" s="1"/>
  <c r="J4320" i="11"/>
  <c r="T4320" i="11"/>
  <c r="K4320" i="11"/>
  <c r="J4318" i="11"/>
  <c r="T4318" i="11" s="1"/>
  <c r="K4318" i="11"/>
  <c r="J4316" i="11"/>
  <c r="T4316" i="11"/>
  <c r="K4316" i="11"/>
  <c r="J4314" i="11"/>
  <c r="T4314" i="11" s="1"/>
  <c r="K4314" i="11"/>
  <c r="J4312" i="11"/>
  <c r="T4312" i="11"/>
  <c r="K4312" i="11"/>
  <c r="J4310" i="11"/>
  <c r="T4310" i="11" s="1"/>
  <c r="K4310" i="11"/>
  <c r="J4308" i="11"/>
  <c r="T4308" i="11"/>
  <c r="K4308" i="11"/>
  <c r="J4306" i="11"/>
  <c r="T4306" i="11" s="1"/>
  <c r="K4306" i="11"/>
  <c r="J4304" i="11"/>
  <c r="T4304" i="11"/>
  <c r="K4304" i="11"/>
  <c r="J4302" i="11"/>
  <c r="T4302" i="11" s="1"/>
  <c r="K4302" i="11"/>
  <c r="J4300" i="11"/>
  <c r="T4300" i="11"/>
  <c r="K4300" i="11"/>
  <c r="J4298" i="11"/>
  <c r="T4298" i="11" s="1"/>
  <c r="K4298" i="11"/>
  <c r="J4296" i="11"/>
  <c r="T4296" i="11"/>
  <c r="K4296" i="11"/>
  <c r="J4294" i="11"/>
  <c r="T4294" i="11" s="1"/>
  <c r="K4294" i="11"/>
  <c r="J4292" i="11"/>
  <c r="T4292" i="11"/>
  <c r="K4292" i="11"/>
  <c r="J4290" i="11"/>
  <c r="T4290" i="11" s="1"/>
  <c r="K4290" i="11"/>
  <c r="J4288" i="11"/>
  <c r="T4288" i="11"/>
  <c r="K4288" i="11"/>
  <c r="J4286" i="11"/>
  <c r="T4286" i="11" s="1"/>
  <c r="K4286" i="11"/>
  <c r="J4284" i="11"/>
  <c r="T4284" i="11"/>
  <c r="K4284" i="11"/>
  <c r="J4282" i="11"/>
  <c r="T4282" i="11" s="1"/>
  <c r="K4282" i="11"/>
  <c r="J4280" i="11"/>
  <c r="T4280" i="11"/>
  <c r="K4280" i="11"/>
  <c r="J4278" i="11"/>
  <c r="T4278" i="11" s="1"/>
  <c r="K4278" i="11"/>
  <c r="J4276" i="11"/>
  <c r="T4276" i="11"/>
  <c r="K4276" i="11"/>
  <c r="J4274" i="11"/>
  <c r="T4274" i="11" s="1"/>
  <c r="K4274" i="11"/>
  <c r="J4272" i="11"/>
  <c r="T4272" i="11"/>
  <c r="K4272" i="11"/>
  <c r="J4270" i="11"/>
  <c r="T4270" i="11" s="1"/>
  <c r="K4270" i="11"/>
  <c r="J4268" i="11"/>
  <c r="T4268" i="11"/>
  <c r="K4268" i="11"/>
  <c r="J4266" i="11"/>
  <c r="T4266" i="11" s="1"/>
  <c r="K4266" i="11"/>
  <c r="J4264" i="11"/>
  <c r="T4264" i="11"/>
  <c r="K4264" i="11"/>
  <c r="J4262" i="11"/>
  <c r="T4262" i="11" s="1"/>
  <c r="K4262" i="11"/>
  <c r="J4260" i="11"/>
  <c r="T4260" i="11"/>
  <c r="K4260" i="11"/>
  <c r="J4258" i="11"/>
  <c r="T4258" i="11" s="1"/>
  <c r="K4258" i="11"/>
  <c r="J4256" i="11"/>
  <c r="T4256" i="11"/>
  <c r="K4256" i="11"/>
  <c r="J4254" i="11"/>
  <c r="T4254" i="11" s="1"/>
  <c r="K4254" i="11"/>
  <c r="J4252" i="11"/>
  <c r="T4252" i="11"/>
  <c r="K4252" i="11"/>
  <c r="J4250" i="11"/>
  <c r="T4250" i="11" s="1"/>
  <c r="K4250" i="11"/>
  <c r="J4248" i="11"/>
  <c r="T4248" i="11"/>
  <c r="K4248" i="11"/>
  <c r="J4246" i="11"/>
  <c r="T4246" i="11" s="1"/>
  <c r="K4246" i="11"/>
  <c r="J4244" i="11"/>
  <c r="T4244" i="11"/>
  <c r="K4244" i="11"/>
  <c r="J4242" i="11"/>
  <c r="T4242" i="11" s="1"/>
  <c r="K4242" i="11"/>
  <c r="J4240" i="11"/>
  <c r="T4240" i="11"/>
  <c r="K4240" i="11"/>
  <c r="J4238" i="11"/>
  <c r="T4238" i="11" s="1"/>
  <c r="K4238" i="11"/>
  <c r="J4236" i="11"/>
  <c r="T4236" i="11"/>
  <c r="K4236" i="11"/>
  <c r="J4234" i="11"/>
  <c r="T4234" i="11" s="1"/>
  <c r="K4234" i="11"/>
  <c r="J4232" i="11"/>
  <c r="T4232" i="11"/>
  <c r="K4232" i="11"/>
  <c r="J4230" i="11"/>
  <c r="T4230" i="11" s="1"/>
  <c r="K4230" i="11"/>
  <c r="J4228" i="11"/>
  <c r="T4228" i="11"/>
  <c r="K4228" i="11"/>
  <c r="J4226" i="11"/>
  <c r="T4226" i="11" s="1"/>
  <c r="K4226" i="11"/>
  <c r="J4224" i="11"/>
  <c r="T4224" i="11"/>
  <c r="K4224" i="11"/>
  <c r="J4222" i="11"/>
  <c r="T4222" i="11" s="1"/>
  <c r="K4222" i="11"/>
  <c r="J4220" i="11"/>
  <c r="T4220" i="11"/>
  <c r="K4220" i="11"/>
  <c r="J4218" i="11"/>
  <c r="T4218" i="11" s="1"/>
  <c r="K4218" i="11"/>
  <c r="J4216" i="11"/>
  <c r="T4216" i="11"/>
  <c r="K4216" i="11"/>
  <c r="J4214" i="11"/>
  <c r="T4214" i="11" s="1"/>
  <c r="K4214" i="11"/>
  <c r="J4212" i="11"/>
  <c r="T4212" i="11"/>
  <c r="K4212" i="11"/>
  <c r="J4210" i="11"/>
  <c r="T4210" i="11" s="1"/>
  <c r="K4210" i="11"/>
  <c r="J4208" i="11"/>
  <c r="T4208" i="11"/>
  <c r="K4208" i="11"/>
  <c r="J4206" i="11"/>
  <c r="T4206" i="11" s="1"/>
  <c r="K4206" i="11"/>
  <c r="J4204" i="11"/>
  <c r="T4204" i="11"/>
  <c r="K4204" i="11"/>
  <c r="J4202" i="11"/>
  <c r="T4202" i="11" s="1"/>
  <c r="K4202" i="11"/>
  <c r="J4200" i="11"/>
  <c r="T4200" i="11"/>
  <c r="K4200" i="11"/>
  <c r="J4198" i="11"/>
  <c r="T4198" i="11" s="1"/>
  <c r="K4198" i="11"/>
  <c r="J4196" i="11"/>
  <c r="T4196" i="11"/>
  <c r="K4196" i="11"/>
  <c r="J4194" i="11"/>
  <c r="T4194" i="11" s="1"/>
  <c r="K4194" i="11"/>
  <c r="J4192" i="11"/>
  <c r="T4192" i="11"/>
  <c r="K4192" i="11"/>
  <c r="J4190" i="11"/>
  <c r="T4190" i="11" s="1"/>
  <c r="K4190" i="11"/>
  <c r="J4188" i="11"/>
  <c r="T4188" i="11"/>
  <c r="K4188" i="11"/>
  <c r="J4186" i="11"/>
  <c r="T4186" i="11" s="1"/>
  <c r="K4186" i="11"/>
  <c r="J4184" i="11"/>
  <c r="T4184" i="11"/>
  <c r="K4184" i="11"/>
  <c r="J4182" i="11"/>
  <c r="T4182" i="11" s="1"/>
  <c r="K4182" i="11"/>
  <c r="J4180" i="11"/>
  <c r="T4180" i="11"/>
  <c r="K4180" i="11"/>
  <c r="J4178" i="11"/>
  <c r="T4178" i="11" s="1"/>
  <c r="K4178" i="11"/>
  <c r="J4176" i="11"/>
  <c r="T4176" i="11"/>
  <c r="K4176" i="11"/>
  <c r="J4174" i="11"/>
  <c r="T4174" i="11" s="1"/>
  <c r="K4174" i="11"/>
  <c r="J4172" i="11"/>
  <c r="T4172" i="11"/>
  <c r="K4172" i="11"/>
  <c r="J4170" i="11"/>
  <c r="T4170" i="11" s="1"/>
  <c r="K4170" i="11"/>
  <c r="J4168" i="11"/>
  <c r="T4168" i="11"/>
  <c r="K4168" i="11"/>
  <c r="J4166" i="11"/>
  <c r="T4166" i="11" s="1"/>
  <c r="K4166" i="11"/>
  <c r="J4164" i="11"/>
  <c r="T4164" i="11"/>
  <c r="K4164" i="11"/>
  <c r="J4162" i="11"/>
  <c r="T4162" i="11" s="1"/>
  <c r="K4162" i="11"/>
  <c r="J4160" i="11"/>
  <c r="T4160" i="11"/>
  <c r="K4160" i="11"/>
  <c r="J4158" i="11"/>
  <c r="T4158" i="11" s="1"/>
  <c r="K4158" i="11"/>
  <c r="J4156" i="11"/>
  <c r="T4156" i="11"/>
  <c r="K4156" i="11"/>
  <c r="J4154" i="11"/>
  <c r="T4154" i="11" s="1"/>
  <c r="K4154" i="11"/>
  <c r="J4152" i="11"/>
  <c r="T4152" i="11"/>
  <c r="K4152" i="11"/>
  <c r="J4150" i="11"/>
  <c r="T4150" i="11" s="1"/>
  <c r="K4150" i="11"/>
  <c r="J4148" i="11"/>
  <c r="T4148" i="11"/>
  <c r="K4148" i="11"/>
  <c r="J4146" i="11"/>
  <c r="T4146" i="11" s="1"/>
  <c r="K4146" i="11"/>
  <c r="J4144" i="11"/>
  <c r="T4144" i="11"/>
  <c r="K4144" i="11"/>
  <c r="J4142" i="11"/>
  <c r="T4142" i="11" s="1"/>
  <c r="K4142" i="11"/>
  <c r="J4140" i="11"/>
  <c r="T4140" i="11"/>
  <c r="K4140" i="11"/>
  <c r="J4138" i="11"/>
  <c r="T4138" i="11" s="1"/>
  <c r="K4138" i="11"/>
  <c r="J4136" i="11"/>
  <c r="T4136" i="11"/>
  <c r="K4136" i="11"/>
  <c r="J4134" i="11"/>
  <c r="T4134" i="11" s="1"/>
  <c r="K4134" i="11"/>
  <c r="J4132" i="11"/>
  <c r="T4132" i="11"/>
  <c r="K4132" i="11"/>
  <c r="J4130" i="11"/>
  <c r="T4130" i="11" s="1"/>
  <c r="K4130" i="11"/>
  <c r="J4128" i="11"/>
  <c r="T4128" i="11"/>
  <c r="K4128" i="11"/>
  <c r="J4126" i="11"/>
  <c r="T4126" i="11" s="1"/>
  <c r="K4126" i="11"/>
  <c r="J4124" i="11"/>
  <c r="T4124" i="11"/>
  <c r="K4124" i="11"/>
  <c r="J4122" i="11"/>
  <c r="T4122" i="11" s="1"/>
  <c r="K4122" i="11"/>
  <c r="J4120" i="11"/>
  <c r="T4120" i="11"/>
  <c r="K4120" i="11"/>
  <c r="J4118" i="11"/>
  <c r="T4118" i="11" s="1"/>
  <c r="K4118" i="11"/>
  <c r="J4116" i="11"/>
  <c r="T4116" i="11"/>
  <c r="K4116" i="11"/>
  <c r="J4114" i="11"/>
  <c r="T4114" i="11" s="1"/>
  <c r="K4114" i="11"/>
  <c r="J4112" i="11"/>
  <c r="T4112" i="11"/>
  <c r="K4112" i="11"/>
  <c r="J4110" i="11"/>
  <c r="T4110" i="11" s="1"/>
  <c r="K4110" i="11"/>
  <c r="J4108" i="11"/>
  <c r="T4108" i="11"/>
  <c r="K4108" i="11"/>
  <c r="J4106" i="11"/>
  <c r="T4106" i="11" s="1"/>
  <c r="K4106" i="11"/>
  <c r="J4104" i="11"/>
  <c r="T4104" i="11"/>
  <c r="K4104" i="11"/>
  <c r="J4102" i="11"/>
  <c r="T4102" i="11" s="1"/>
  <c r="K4102" i="11"/>
  <c r="J4100" i="11"/>
  <c r="T4100" i="11"/>
  <c r="K4100" i="11"/>
  <c r="J4098" i="11"/>
  <c r="T4098" i="11" s="1"/>
  <c r="K4098" i="11"/>
  <c r="J4096" i="11"/>
  <c r="T4096" i="11"/>
  <c r="K4096" i="11"/>
  <c r="J4094" i="11"/>
  <c r="T4094" i="11" s="1"/>
  <c r="K4094" i="11"/>
  <c r="J4092" i="11"/>
  <c r="T4092" i="11"/>
  <c r="K4092" i="11"/>
  <c r="J4090" i="11"/>
  <c r="T4090" i="11" s="1"/>
  <c r="K4090" i="11"/>
  <c r="J4088" i="11"/>
  <c r="T4088" i="11"/>
  <c r="K4088" i="11"/>
  <c r="J4086" i="11"/>
  <c r="T4086" i="11" s="1"/>
  <c r="K4086" i="11"/>
  <c r="J4084" i="11"/>
  <c r="T4084" i="11"/>
  <c r="K4084" i="11"/>
  <c r="J4082" i="11"/>
  <c r="T4082" i="11" s="1"/>
  <c r="K4082" i="11"/>
  <c r="J4080" i="11"/>
  <c r="T4080" i="11"/>
  <c r="K4080" i="11"/>
  <c r="J4078" i="11"/>
  <c r="T4078" i="11" s="1"/>
  <c r="K4078" i="11"/>
  <c r="J4076" i="11"/>
  <c r="T4076" i="11"/>
  <c r="K4076" i="11"/>
  <c r="J4074" i="11"/>
  <c r="T4074" i="11" s="1"/>
  <c r="K4074" i="11"/>
  <c r="J4072" i="11"/>
  <c r="T4072" i="11"/>
  <c r="K4072" i="11"/>
  <c r="J4070" i="11"/>
  <c r="T4070" i="11" s="1"/>
  <c r="K4070" i="11"/>
  <c r="J4068" i="11"/>
  <c r="T4068" i="11"/>
  <c r="K4068" i="11"/>
  <c r="J4066" i="11"/>
  <c r="T4066" i="11" s="1"/>
  <c r="K4066" i="11"/>
  <c r="J4064" i="11"/>
  <c r="T4064" i="11"/>
  <c r="K4064" i="11"/>
  <c r="J4062" i="11"/>
  <c r="T4062" i="11" s="1"/>
  <c r="K4062" i="11"/>
  <c r="J4060" i="11"/>
  <c r="T4060" i="11"/>
  <c r="K4060" i="11"/>
  <c r="J4058" i="11"/>
  <c r="T4058" i="11" s="1"/>
  <c r="K4058" i="11"/>
  <c r="J4056" i="11"/>
  <c r="T4056" i="11"/>
  <c r="K4056" i="11"/>
  <c r="J4054" i="11"/>
  <c r="T4054" i="11" s="1"/>
  <c r="K4054" i="11"/>
  <c r="J4052" i="11"/>
  <c r="T4052" i="11"/>
  <c r="K4052" i="11"/>
  <c r="J4050" i="11"/>
  <c r="T4050" i="11" s="1"/>
  <c r="K4050" i="11"/>
  <c r="J4048" i="11"/>
  <c r="T4048" i="11"/>
  <c r="K4048" i="11"/>
  <c r="J4046" i="11"/>
  <c r="T4046" i="11" s="1"/>
  <c r="K4046" i="11"/>
  <c r="J4044" i="11"/>
  <c r="T4044" i="11"/>
  <c r="K4044" i="11"/>
  <c r="J4042" i="11"/>
  <c r="T4042" i="11" s="1"/>
  <c r="K4042" i="11"/>
  <c r="J4040" i="11"/>
  <c r="T4040" i="11"/>
  <c r="K4040" i="11"/>
  <c r="J4038" i="11"/>
  <c r="T4038" i="11" s="1"/>
  <c r="K4038" i="11"/>
  <c r="J4036" i="11"/>
  <c r="T4036" i="11" s="1"/>
  <c r="K4036" i="11"/>
  <c r="J4034" i="11"/>
  <c r="T4034" i="11" s="1"/>
  <c r="K4034" i="11"/>
  <c r="J4032" i="11"/>
  <c r="T4032" i="11" s="1"/>
  <c r="K4032" i="11"/>
  <c r="J4030" i="11"/>
  <c r="T4030" i="11" s="1"/>
  <c r="K4030" i="11"/>
  <c r="J4028" i="11"/>
  <c r="T4028" i="11" s="1"/>
  <c r="K4028" i="11"/>
  <c r="J4026" i="11"/>
  <c r="T4026" i="11" s="1"/>
  <c r="K4026" i="11"/>
  <c r="J4024" i="11"/>
  <c r="T4024" i="11" s="1"/>
  <c r="K4024" i="11"/>
  <c r="J4022" i="11"/>
  <c r="T4022" i="11" s="1"/>
  <c r="K4022" i="11"/>
  <c r="J4020" i="11"/>
  <c r="T4020" i="11"/>
  <c r="K4020" i="11"/>
  <c r="J4018" i="11"/>
  <c r="T4018" i="11" s="1"/>
  <c r="K4018" i="11"/>
  <c r="J4016" i="11"/>
  <c r="T4016" i="11"/>
  <c r="K4016" i="11"/>
  <c r="J4014" i="11"/>
  <c r="T4014" i="11" s="1"/>
  <c r="K4014" i="11"/>
  <c r="J4012" i="11"/>
  <c r="T4012" i="11" s="1"/>
  <c r="K4012" i="11"/>
  <c r="J4010" i="11"/>
  <c r="T4010" i="11" s="1"/>
  <c r="K4010" i="11"/>
  <c r="J4008" i="11"/>
  <c r="T4008" i="11" s="1"/>
  <c r="K4008" i="11"/>
  <c r="J4006" i="11"/>
  <c r="T4006" i="11" s="1"/>
  <c r="K4006" i="11"/>
  <c r="J4004" i="11"/>
  <c r="T4004" i="11" s="1"/>
  <c r="K4004" i="11"/>
  <c r="J4002" i="11"/>
  <c r="T4002" i="11" s="1"/>
  <c r="K4002" i="11"/>
  <c r="J4000" i="11"/>
  <c r="T4000" i="11" s="1"/>
  <c r="K4000" i="11"/>
  <c r="J3998" i="11"/>
  <c r="T3998" i="11" s="1"/>
  <c r="K3998" i="11"/>
  <c r="J3996" i="11"/>
  <c r="T3996" i="11"/>
  <c r="K3996" i="11"/>
  <c r="J3994" i="11"/>
  <c r="T3994" i="11" s="1"/>
  <c r="K3994" i="11"/>
  <c r="J3992" i="11"/>
  <c r="T3992" i="11"/>
  <c r="K3992" i="11"/>
  <c r="J3990" i="11"/>
  <c r="T3990" i="11" s="1"/>
  <c r="K3990" i="11"/>
  <c r="J3988" i="11"/>
  <c r="T3988" i="11" s="1"/>
  <c r="K3988" i="11"/>
  <c r="J3986" i="11"/>
  <c r="T3986" i="11" s="1"/>
  <c r="K3986" i="11"/>
  <c r="J3984" i="11"/>
  <c r="T3984" i="11" s="1"/>
  <c r="K3984" i="11"/>
  <c r="J3982" i="11"/>
  <c r="T3982" i="11" s="1"/>
  <c r="K3982" i="11"/>
  <c r="J3980" i="11"/>
  <c r="T3980" i="11" s="1"/>
  <c r="K3980" i="11"/>
  <c r="J3978" i="11"/>
  <c r="T3978" i="11"/>
  <c r="K3978" i="11"/>
  <c r="J3976" i="11"/>
  <c r="T3976" i="11"/>
  <c r="K3976" i="11"/>
  <c r="J3974" i="11"/>
  <c r="T3974" i="11"/>
  <c r="K3974" i="11"/>
  <c r="J3972" i="11"/>
  <c r="T3972" i="11" s="1"/>
  <c r="K3972" i="11"/>
  <c r="J3970" i="11"/>
  <c r="T3970" i="11"/>
  <c r="K3970" i="11"/>
  <c r="J3968" i="11"/>
  <c r="T3968" i="11"/>
  <c r="K3968" i="11"/>
  <c r="J3966" i="11"/>
  <c r="T3966" i="11"/>
  <c r="K3966" i="11"/>
  <c r="J3964" i="11"/>
  <c r="T3964" i="11" s="1"/>
  <c r="K3964" i="11"/>
  <c r="J3962" i="11"/>
  <c r="T3962" i="11"/>
  <c r="K3962" i="11"/>
  <c r="J3960" i="11"/>
  <c r="T3960" i="11"/>
  <c r="K3960" i="11"/>
  <c r="J3958" i="11"/>
  <c r="T3958" i="11"/>
  <c r="K3958" i="11"/>
  <c r="J3956" i="11"/>
  <c r="T3956" i="11"/>
  <c r="K3956" i="11"/>
  <c r="J3954" i="11"/>
  <c r="T3954" i="11"/>
  <c r="K3954" i="11"/>
  <c r="J3952" i="11"/>
  <c r="T3952" i="11" s="1"/>
  <c r="K3952" i="11"/>
  <c r="J3950" i="11"/>
  <c r="T3950" i="11"/>
  <c r="K3950" i="11"/>
  <c r="J3948" i="11"/>
  <c r="T3948" i="11" s="1"/>
  <c r="K3948" i="11"/>
  <c r="J3946" i="11"/>
  <c r="T3946" i="11"/>
  <c r="K3946" i="11"/>
  <c r="J3944" i="11"/>
  <c r="T3944" i="11" s="1"/>
  <c r="K3944" i="11"/>
  <c r="J3942" i="11"/>
  <c r="T3942" i="11"/>
  <c r="K3942" i="11"/>
  <c r="J3940" i="11"/>
  <c r="T3940" i="11" s="1"/>
  <c r="K3940" i="11"/>
  <c r="J3938" i="11"/>
  <c r="T3938" i="11"/>
  <c r="K3938" i="11"/>
  <c r="J3936" i="11"/>
  <c r="T3936" i="11" s="1"/>
  <c r="K3936" i="11"/>
  <c r="J3934" i="11"/>
  <c r="T3934" i="11"/>
  <c r="K3934" i="11"/>
  <c r="J3932" i="11"/>
  <c r="T3932" i="11" s="1"/>
  <c r="K3932" i="11"/>
  <c r="J3930" i="11"/>
  <c r="T3930" i="11"/>
  <c r="K3930" i="11"/>
  <c r="J3928" i="11"/>
  <c r="T3928" i="11"/>
  <c r="K3928" i="11"/>
  <c r="J3926" i="11"/>
  <c r="T3926" i="11"/>
  <c r="K3926" i="11"/>
  <c r="J3924" i="11"/>
  <c r="T3924" i="11" s="1"/>
  <c r="K3924" i="11"/>
  <c r="J3922" i="11"/>
  <c r="T3922" i="11"/>
  <c r="K3922" i="11"/>
  <c r="J3920" i="11"/>
  <c r="T3920" i="11" s="1"/>
  <c r="K3920" i="11"/>
  <c r="J3918" i="11"/>
  <c r="T3918" i="11"/>
  <c r="K3918" i="11"/>
  <c r="J3916" i="11"/>
  <c r="T3916" i="11"/>
  <c r="K3916" i="11"/>
  <c r="J3914" i="11"/>
  <c r="T3914" i="11"/>
  <c r="K3914" i="11"/>
  <c r="J3912" i="11"/>
  <c r="T3912" i="11" s="1"/>
  <c r="K3912" i="11"/>
  <c r="J3910" i="11"/>
  <c r="T3910" i="11"/>
  <c r="K3910" i="11"/>
  <c r="J3908" i="11"/>
  <c r="T3908" i="11"/>
  <c r="K3908" i="11"/>
  <c r="J3906" i="11"/>
  <c r="T3906" i="11"/>
  <c r="K3906" i="11"/>
  <c r="J3904" i="11"/>
  <c r="T3904" i="11" s="1"/>
  <c r="K3904" i="11"/>
  <c r="J3902" i="11"/>
  <c r="T3902" i="11"/>
  <c r="K3902" i="11"/>
  <c r="J3900" i="11"/>
  <c r="T3900" i="11"/>
  <c r="K3900" i="11"/>
  <c r="J3898" i="11"/>
  <c r="T3898" i="11"/>
  <c r="K3898" i="11"/>
  <c r="J3896" i="11"/>
  <c r="T3896" i="11" s="1"/>
  <c r="K3896" i="11"/>
  <c r="J3894" i="11"/>
  <c r="T3894" i="11"/>
  <c r="K3894" i="11"/>
  <c r="J3892" i="11"/>
  <c r="T3892" i="11"/>
  <c r="K3892" i="11"/>
  <c r="J3890" i="11"/>
  <c r="T3890" i="11"/>
  <c r="K3890" i="11"/>
  <c r="J3888" i="11"/>
  <c r="T3888" i="11" s="1"/>
  <c r="K3888" i="11"/>
  <c r="J3886" i="11"/>
  <c r="T3886" i="11"/>
  <c r="K3886" i="11"/>
  <c r="J3884" i="11"/>
  <c r="T3884" i="11" s="1"/>
  <c r="K3884" i="11"/>
  <c r="J3882" i="11"/>
  <c r="T3882" i="11"/>
  <c r="K3882" i="11"/>
  <c r="J3880" i="11"/>
  <c r="T3880" i="11" s="1"/>
  <c r="K3880" i="11"/>
  <c r="J3878" i="11"/>
  <c r="T3878" i="11"/>
  <c r="K3878" i="11"/>
  <c r="J3876" i="11"/>
  <c r="T3876" i="11" s="1"/>
  <c r="K3876" i="11"/>
  <c r="J3874" i="11"/>
  <c r="T3874" i="11"/>
  <c r="K3874" i="11"/>
  <c r="J3872" i="11"/>
  <c r="T3872" i="11" s="1"/>
  <c r="K3872" i="11"/>
  <c r="J3870" i="11"/>
  <c r="T3870" i="11"/>
  <c r="K3870" i="11"/>
  <c r="J3868" i="11"/>
  <c r="T3868" i="11"/>
  <c r="K3868" i="11"/>
  <c r="J3866" i="11"/>
  <c r="T3866" i="11"/>
  <c r="K3866" i="11"/>
  <c r="J3864" i="11"/>
  <c r="T3864" i="11" s="1"/>
  <c r="K3864" i="11"/>
  <c r="J3862" i="11"/>
  <c r="T3862" i="11"/>
  <c r="K3862" i="11"/>
  <c r="J3860" i="11"/>
  <c r="T3860" i="11"/>
  <c r="K3860" i="11"/>
  <c r="J3858" i="11"/>
  <c r="T3858" i="11"/>
  <c r="K3858" i="11"/>
  <c r="J3856" i="11"/>
  <c r="T3856" i="11" s="1"/>
  <c r="K3856" i="11"/>
  <c r="J3854" i="11"/>
  <c r="T3854" i="11"/>
  <c r="K3854" i="11"/>
  <c r="J3852" i="11"/>
  <c r="T3852" i="11" s="1"/>
  <c r="K3852" i="11"/>
  <c r="J3850" i="11"/>
  <c r="T3850" i="11"/>
  <c r="K3850" i="11"/>
  <c r="J3848" i="11"/>
  <c r="T3848" i="11" s="1"/>
  <c r="K3848" i="11"/>
  <c r="J3846" i="11"/>
  <c r="T3846" i="11"/>
  <c r="K3846" i="11"/>
  <c r="J3844" i="11"/>
  <c r="T3844" i="11" s="1"/>
  <c r="K3844" i="11"/>
  <c r="J3842" i="11"/>
  <c r="T3842" i="11"/>
  <c r="K3842" i="11"/>
  <c r="J3840" i="11"/>
  <c r="T3840" i="11" s="1"/>
  <c r="K3840" i="11"/>
  <c r="J3838" i="11"/>
  <c r="T3838" i="11"/>
  <c r="K3838" i="11"/>
  <c r="J3836" i="11"/>
  <c r="T3836" i="11" s="1"/>
  <c r="K3836" i="11"/>
  <c r="J3834" i="11"/>
  <c r="T3834" i="11"/>
  <c r="K3834" i="11"/>
  <c r="J3832" i="11"/>
  <c r="T3832" i="11" s="1"/>
  <c r="K3832" i="11"/>
  <c r="J3830" i="11"/>
  <c r="T3830" i="11"/>
  <c r="K3830" i="11"/>
  <c r="J3828" i="11"/>
  <c r="T3828" i="11"/>
  <c r="K3828" i="11"/>
  <c r="J3826" i="11"/>
  <c r="T3826" i="11"/>
  <c r="K3826" i="11"/>
  <c r="J3824" i="11"/>
  <c r="T3824" i="11" s="1"/>
  <c r="K3824" i="11"/>
  <c r="J3822" i="11"/>
  <c r="T3822" i="11"/>
  <c r="K3822" i="11"/>
  <c r="J3820" i="11"/>
  <c r="T3820" i="11" s="1"/>
  <c r="K3820" i="11"/>
  <c r="J3818" i="11"/>
  <c r="T3818" i="11"/>
  <c r="K3818" i="11"/>
  <c r="J3816" i="11"/>
  <c r="T3816" i="11" s="1"/>
  <c r="K3816" i="11"/>
  <c r="J3814" i="11"/>
  <c r="T3814" i="11"/>
  <c r="K3814" i="11"/>
  <c r="J3812" i="11"/>
  <c r="T3812" i="11" s="1"/>
  <c r="K3812" i="11"/>
  <c r="J3810" i="11"/>
  <c r="T3810" i="11"/>
  <c r="K3810" i="11"/>
  <c r="J3808" i="11"/>
  <c r="T3808" i="11" s="1"/>
  <c r="K3808" i="11"/>
  <c r="J3806" i="11"/>
  <c r="T3806" i="11"/>
  <c r="K3806" i="11"/>
  <c r="J3804" i="11"/>
  <c r="T3804" i="11" s="1"/>
  <c r="K3804" i="11"/>
  <c r="J3802" i="11"/>
  <c r="T3802" i="11"/>
  <c r="K3802" i="11"/>
  <c r="J3800" i="11"/>
  <c r="T3800" i="11" s="1"/>
  <c r="K3800" i="11"/>
  <c r="J3798" i="11"/>
  <c r="T3798" i="11"/>
  <c r="K3798" i="11"/>
  <c r="J3796" i="11"/>
  <c r="T3796" i="11" s="1"/>
  <c r="K3796" i="11"/>
  <c r="J3794" i="11"/>
  <c r="T3794" i="11"/>
  <c r="K3794" i="11"/>
  <c r="J3792" i="11"/>
  <c r="T3792" i="11" s="1"/>
  <c r="K3792" i="11"/>
  <c r="J3790" i="11"/>
  <c r="T3790" i="11"/>
  <c r="K3790" i="11"/>
  <c r="J3788" i="11"/>
  <c r="T3788" i="11" s="1"/>
  <c r="K3788" i="11"/>
  <c r="J3786" i="11"/>
  <c r="T3786" i="11"/>
  <c r="K3786" i="11"/>
  <c r="J3784" i="11"/>
  <c r="T3784" i="11" s="1"/>
  <c r="K3784" i="11"/>
  <c r="J3782" i="11"/>
  <c r="T3782" i="11"/>
  <c r="K3782" i="11"/>
  <c r="J3780" i="11"/>
  <c r="T3780" i="11" s="1"/>
  <c r="K3780" i="11"/>
  <c r="J3778" i="11"/>
  <c r="T3778" i="11"/>
  <c r="K3778" i="11"/>
  <c r="J3776" i="11"/>
  <c r="T3776" i="11" s="1"/>
  <c r="K3776" i="11"/>
  <c r="J3774" i="11"/>
  <c r="T3774" i="11"/>
  <c r="K3774" i="11"/>
  <c r="J3772" i="11"/>
  <c r="T3772" i="11" s="1"/>
  <c r="K3772" i="11"/>
  <c r="J3770" i="11"/>
  <c r="T3770" i="11"/>
  <c r="K3770" i="11"/>
  <c r="J3768" i="11"/>
  <c r="T3768" i="11" s="1"/>
  <c r="K3768" i="11"/>
  <c r="J3766" i="11"/>
  <c r="T3766" i="11"/>
  <c r="K3766" i="11"/>
  <c r="J3764" i="11"/>
  <c r="T3764" i="11" s="1"/>
  <c r="K3764" i="11"/>
  <c r="J3762" i="11"/>
  <c r="T3762" i="11"/>
  <c r="K3762" i="11"/>
  <c r="J3760" i="11"/>
  <c r="T3760" i="11" s="1"/>
  <c r="K3760" i="11"/>
  <c r="J3758" i="11"/>
  <c r="T3758" i="11"/>
  <c r="K3758" i="11"/>
  <c r="J3756" i="11"/>
  <c r="T3756" i="11" s="1"/>
  <c r="K3756" i="11"/>
  <c r="J3754" i="11"/>
  <c r="T3754" i="11"/>
  <c r="K3754" i="11"/>
  <c r="J3752" i="11"/>
  <c r="T3752" i="11" s="1"/>
  <c r="K3752" i="11"/>
  <c r="J3750" i="11"/>
  <c r="T3750" i="11"/>
  <c r="K3750" i="11"/>
  <c r="J3748" i="11"/>
  <c r="T3748" i="11" s="1"/>
  <c r="K3748" i="11"/>
  <c r="J3746" i="11"/>
  <c r="T3746" i="11"/>
  <c r="K3746" i="11"/>
  <c r="J3744" i="11"/>
  <c r="T3744" i="11" s="1"/>
  <c r="K3744" i="11"/>
  <c r="J3742" i="11"/>
  <c r="T3742" i="11"/>
  <c r="K3742" i="11"/>
  <c r="J3740" i="11"/>
  <c r="T3740" i="11" s="1"/>
  <c r="K3740" i="11"/>
  <c r="J3738" i="11"/>
  <c r="T3738" i="11"/>
  <c r="K3738" i="11"/>
  <c r="J3736" i="11"/>
  <c r="T3736" i="11" s="1"/>
  <c r="K3736" i="11"/>
  <c r="J3734" i="11"/>
  <c r="T3734" i="11"/>
  <c r="K3734" i="11"/>
  <c r="J3732" i="11"/>
  <c r="T3732" i="11" s="1"/>
  <c r="K3732" i="11"/>
  <c r="J3730" i="11"/>
  <c r="T3730" i="11"/>
  <c r="K3730" i="11"/>
  <c r="J3728" i="11"/>
  <c r="T3728" i="11" s="1"/>
  <c r="K3728" i="11"/>
  <c r="J3726" i="11"/>
  <c r="T3726" i="11"/>
  <c r="K3726" i="11"/>
  <c r="J3724" i="11"/>
  <c r="T3724" i="11" s="1"/>
  <c r="K3724" i="11"/>
  <c r="J3722" i="11"/>
  <c r="T3722" i="11"/>
  <c r="K3722" i="11"/>
  <c r="J3720" i="11"/>
  <c r="T3720" i="11" s="1"/>
  <c r="K3720" i="11"/>
  <c r="J3718" i="11"/>
  <c r="T3718" i="11"/>
  <c r="K3718" i="11"/>
  <c r="J3716" i="11"/>
  <c r="T3716" i="11" s="1"/>
  <c r="K3716" i="11"/>
  <c r="J3714" i="11"/>
  <c r="T3714" i="11"/>
  <c r="K3714" i="11"/>
  <c r="J3712" i="11"/>
  <c r="T3712" i="11" s="1"/>
  <c r="K3712" i="11"/>
  <c r="J3710" i="11"/>
  <c r="T3710" i="11"/>
  <c r="K3710" i="11"/>
  <c r="J3708" i="11"/>
  <c r="T3708" i="11" s="1"/>
  <c r="K3708" i="11"/>
  <c r="J3706" i="11"/>
  <c r="T3706" i="11"/>
  <c r="K3706" i="11"/>
  <c r="J3704" i="11"/>
  <c r="T3704" i="11" s="1"/>
  <c r="K3704" i="11"/>
  <c r="J3702" i="11"/>
  <c r="T3702" i="11"/>
  <c r="K3702" i="11"/>
  <c r="J3700" i="11"/>
  <c r="T3700" i="11" s="1"/>
  <c r="K3700" i="11"/>
  <c r="J3698" i="11"/>
  <c r="T3698" i="11"/>
  <c r="K3698" i="11"/>
  <c r="J3696" i="11"/>
  <c r="T3696" i="11" s="1"/>
  <c r="K3696" i="11"/>
  <c r="J3694" i="11"/>
  <c r="T3694" i="11"/>
  <c r="K3694" i="11"/>
  <c r="J3692" i="11"/>
  <c r="T3692" i="11" s="1"/>
  <c r="K3692" i="11"/>
  <c r="J3690" i="11"/>
  <c r="T3690" i="11"/>
  <c r="K3690" i="11"/>
  <c r="J3688" i="11"/>
  <c r="T3688" i="11" s="1"/>
  <c r="K3688" i="11"/>
  <c r="J3686" i="11"/>
  <c r="T3686" i="11"/>
  <c r="K3686" i="11"/>
  <c r="J3684" i="11"/>
  <c r="T3684" i="11" s="1"/>
  <c r="K3684" i="11"/>
  <c r="J3682" i="11"/>
  <c r="T3682" i="11"/>
  <c r="K3682" i="11"/>
  <c r="J3680" i="11"/>
  <c r="T3680" i="11" s="1"/>
  <c r="K3680" i="11"/>
  <c r="J3678" i="11"/>
  <c r="T3678" i="11"/>
  <c r="K3678" i="11"/>
  <c r="J3676" i="11"/>
  <c r="T3676" i="11" s="1"/>
  <c r="K3676" i="11"/>
  <c r="J3674" i="11"/>
  <c r="T3674" i="11"/>
  <c r="K3674" i="11"/>
  <c r="J3672" i="11"/>
  <c r="T3672" i="11" s="1"/>
  <c r="K3672" i="11"/>
  <c r="J3670" i="11"/>
  <c r="T3670" i="11"/>
  <c r="K3670" i="11"/>
  <c r="J3668" i="11"/>
  <c r="T3668" i="11" s="1"/>
  <c r="K3668" i="11"/>
  <c r="J3666" i="11"/>
  <c r="T3666" i="11"/>
  <c r="K3666" i="11"/>
  <c r="J3664" i="11"/>
  <c r="T3664" i="11" s="1"/>
  <c r="K3664" i="11"/>
  <c r="J3662" i="11"/>
  <c r="T3662" i="11"/>
  <c r="K3662" i="11"/>
  <c r="J3660" i="11"/>
  <c r="T3660" i="11" s="1"/>
  <c r="K3660" i="11"/>
  <c r="J3658" i="11"/>
  <c r="T3658" i="11"/>
  <c r="K3658" i="11"/>
  <c r="J3656" i="11"/>
  <c r="T3656" i="11" s="1"/>
  <c r="K3656" i="11"/>
  <c r="J3654" i="11"/>
  <c r="T3654" i="11"/>
  <c r="K3654" i="11"/>
  <c r="J3652" i="11"/>
  <c r="T3652" i="11" s="1"/>
  <c r="K3652" i="11"/>
  <c r="J3650" i="11"/>
  <c r="T3650" i="11"/>
  <c r="K3650" i="11"/>
  <c r="J3648" i="11"/>
  <c r="T3648" i="11" s="1"/>
  <c r="K3648" i="11"/>
  <c r="J3646" i="11"/>
  <c r="T3646" i="11"/>
  <c r="K3646" i="11"/>
  <c r="J3644" i="11"/>
  <c r="T3644" i="11" s="1"/>
  <c r="K3644" i="11"/>
  <c r="J3642" i="11"/>
  <c r="T3642" i="11"/>
  <c r="K3642" i="11"/>
  <c r="J3640" i="11"/>
  <c r="T3640" i="11" s="1"/>
  <c r="K3640" i="11"/>
  <c r="J3638" i="11"/>
  <c r="T3638" i="11"/>
  <c r="K3638" i="11"/>
  <c r="J3636" i="11"/>
  <c r="T3636" i="11" s="1"/>
  <c r="K3636" i="11"/>
  <c r="J3634" i="11"/>
  <c r="T3634" i="11"/>
  <c r="K3634" i="11"/>
  <c r="J3632" i="11"/>
  <c r="T3632" i="11" s="1"/>
  <c r="K3632" i="11"/>
  <c r="J3630" i="11"/>
  <c r="T3630" i="11"/>
  <c r="K3630" i="11"/>
  <c r="J3628" i="11"/>
  <c r="T3628" i="11" s="1"/>
  <c r="K3628" i="11"/>
  <c r="J3626" i="11"/>
  <c r="T3626" i="11" s="1"/>
  <c r="K3626" i="11"/>
  <c r="J3624" i="11"/>
  <c r="T3624" i="11" s="1"/>
  <c r="K3624" i="11"/>
  <c r="J3622" i="11"/>
  <c r="T3622" i="11"/>
  <c r="K3622" i="11"/>
  <c r="J3620" i="11"/>
  <c r="T3620" i="11" s="1"/>
  <c r="K3620" i="11"/>
  <c r="J3618" i="11"/>
  <c r="T3618" i="11" s="1"/>
  <c r="K3618" i="11"/>
  <c r="J3616" i="11"/>
  <c r="T3616" i="11" s="1"/>
  <c r="K3616" i="11"/>
  <c r="J3614" i="11"/>
  <c r="T3614" i="11"/>
  <c r="K3614" i="11"/>
  <c r="J3612" i="11"/>
  <c r="T3612" i="11" s="1"/>
  <c r="K3612" i="11"/>
  <c r="J3610" i="11"/>
  <c r="T3610" i="11" s="1"/>
  <c r="K3610" i="11"/>
  <c r="J3608" i="11"/>
  <c r="T3608" i="11" s="1"/>
  <c r="K3608" i="11"/>
  <c r="J3606" i="11"/>
  <c r="T3606" i="11"/>
  <c r="K3606" i="11"/>
  <c r="J3604" i="11"/>
  <c r="T3604" i="11" s="1"/>
  <c r="K3604" i="11"/>
  <c r="J3602" i="11"/>
  <c r="T3602" i="11" s="1"/>
  <c r="K3602" i="11"/>
  <c r="J3600" i="11"/>
  <c r="T3600" i="11" s="1"/>
  <c r="K3600" i="11"/>
  <c r="J3598" i="11"/>
  <c r="T3598" i="11" s="1"/>
  <c r="K3598" i="11"/>
  <c r="J3596" i="11"/>
  <c r="T3596" i="11" s="1"/>
  <c r="K3596" i="11"/>
  <c r="J3594" i="11"/>
  <c r="T3594" i="11" s="1"/>
  <c r="K3594" i="11"/>
  <c r="J3592" i="11"/>
  <c r="T3592" i="11" s="1"/>
  <c r="K3592" i="11"/>
  <c r="J3590" i="11"/>
  <c r="T3590" i="11"/>
  <c r="K3590" i="11"/>
  <c r="J3588" i="11"/>
  <c r="T3588" i="11" s="1"/>
  <c r="K3588" i="11"/>
  <c r="J3586" i="11"/>
  <c r="T3586" i="11" s="1"/>
  <c r="K3586" i="11"/>
  <c r="J3584" i="11"/>
  <c r="T3584" i="11" s="1"/>
  <c r="K3584" i="11"/>
  <c r="J3582" i="11"/>
  <c r="T3582" i="11"/>
  <c r="K3582" i="11"/>
  <c r="J3580" i="11"/>
  <c r="T3580" i="11" s="1"/>
  <c r="K3580" i="11"/>
  <c r="J3578" i="11"/>
  <c r="T3578" i="11" s="1"/>
  <c r="K3578" i="11"/>
  <c r="J3576" i="11"/>
  <c r="T3576" i="11" s="1"/>
  <c r="K3576" i="11"/>
  <c r="J3574" i="11"/>
  <c r="T3574" i="11"/>
  <c r="K3574" i="11"/>
  <c r="J3572" i="11"/>
  <c r="T3572" i="11" s="1"/>
  <c r="K3572" i="11"/>
  <c r="J3570" i="11"/>
  <c r="T3570" i="11" s="1"/>
  <c r="K3570" i="11"/>
  <c r="J3568" i="11"/>
  <c r="T3568" i="11" s="1"/>
  <c r="K3568" i="11"/>
  <c r="J3566" i="11"/>
  <c r="T3566" i="11"/>
  <c r="K3566" i="11"/>
  <c r="J3564" i="11"/>
  <c r="T3564" i="11" s="1"/>
  <c r="K3564" i="11"/>
  <c r="J3562" i="11"/>
  <c r="T3562" i="11" s="1"/>
  <c r="K3562" i="11"/>
  <c r="J3560" i="11"/>
  <c r="T3560" i="11" s="1"/>
  <c r="K3560" i="11"/>
  <c r="J3558" i="11"/>
  <c r="T3558" i="11"/>
  <c r="K3558" i="11"/>
  <c r="J3556" i="11"/>
  <c r="T3556" i="11" s="1"/>
  <c r="K3556" i="11"/>
  <c r="J3554" i="11"/>
  <c r="T3554" i="11" s="1"/>
  <c r="K3554" i="11"/>
  <c r="J3552" i="11"/>
  <c r="T3552" i="11" s="1"/>
  <c r="K3552" i="11"/>
  <c r="J3550" i="11"/>
  <c r="T3550" i="11" s="1"/>
  <c r="K3550" i="11"/>
  <c r="J3548" i="11"/>
  <c r="T3548" i="11" s="1"/>
  <c r="K3548" i="11"/>
  <c r="J3546" i="11"/>
  <c r="T3546" i="11" s="1"/>
  <c r="K3546" i="11"/>
  <c r="J3544" i="11"/>
  <c r="T3544" i="11" s="1"/>
  <c r="K3544" i="11"/>
  <c r="J3542" i="11"/>
  <c r="T3542" i="11" s="1"/>
  <c r="K3542" i="11"/>
  <c r="J3540" i="11"/>
  <c r="T3540" i="11" s="1"/>
  <c r="K3540" i="11"/>
  <c r="J3538" i="11"/>
  <c r="T3538" i="11" s="1"/>
  <c r="K3538" i="11"/>
  <c r="J3536" i="11"/>
  <c r="T3536" i="11" s="1"/>
  <c r="K3536" i="11"/>
  <c r="J3534" i="11"/>
  <c r="T3534" i="11" s="1"/>
  <c r="K3534" i="11"/>
  <c r="J3532" i="11"/>
  <c r="T3532" i="11" s="1"/>
  <c r="K3532" i="11"/>
  <c r="J3530" i="11"/>
  <c r="T3530" i="11" s="1"/>
  <c r="K3530" i="11"/>
  <c r="J3528" i="11"/>
  <c r="T3528" i="11" s="1"/>
  <c r="K3528" i="11"/>
  <c r="J3526" i="11"/>
  <c r="T3526" i="11" s="1"/>
  <c r="K3526" i="11"/>
  <c r="J3524" i="11"/>
  <c r="T3524" i="11" s="1"/>
  <c r="K3524" i="11"/>
  <c r="J3522" i="11"/>
  <c r="T3522" i="11" s="1"/>
  <c r="K3522" i="11"/>
  <c r="J3520" i="11"/>
  <c r="T3520" i="11" s="1"/>
  <c r="K3520" i="11"/>
  <c r="J3518" i="11"/>
  <c r="T3518" i="11" s="1"/>
  <c r="K3518" i="11"/>
  <c r="J3516" i="11"/>
  <c r="T3516" i="11" s="1"/>
  <c r="K3516" i="11"/>
  <c r="J3514" i="11"/>
  <c r="T3514" i="11" s="1"/>
  <c r="K3514" i="11"/>
  <c r="J3512" i="11"/>
  <c r="T3512" i="11" s="1"/>
  <c r="K3512" i="11"/>
  <c r="J3510" i="11"/>
  <c r="T3510" i="11" s="1"/>
  <c r="K3510" i="11"/>
  <c r="J3508" i="11"/>
  <c r="T3508" i="11" s="1"/>
  <c r="K3508" i="11"/>
  <c r="J3506" i="11"/>
  <c r="T3506" i="11" s="1"/>
  <c r="K3506" i="11"/>
  <c r="J3504" i="11"/>
  <c r="T3504" i="11" s="1"/>
  <c r="K3504" i="11"/>
  <c r="J3502" i="11"/>
  <c r="T3502" i="11" s="1"/>
  <c r="K3502" i="11"/>
  <c r="J3500" i="11"/>
  <c r="T3500" i="11" s="1"/>
  <c r="K3500" i="11"/>
  <c r="J3498" i="11"/>
  <c r="T3498" i="11" s="1"/>
  <c r="K3498" i="11"/>
  <c r="J3496" i="11"/>
  <c r="T3496" i="11" s="1"/>
  <c r="K3496" i="11"/>
  <c r="J3494" i="11"/>
  <c r="T3494" i="11" s="1"/>
  <c r="K3494" i="11"/>
  <c r="J3492" i="11"/>
  <c r="T3492" i="11" s="1"/>
  <c r="K3492" i="11"/>
  <c r="J3490" i="11"/>
  <c r="T3490" i="11"/>
  <c r="K3490" i="11"/>
  <c r="J3488" i="11"/>
  <c r="T3488" i="11" s="1"/>
  <c r="K3488" i="11"/>
  <c r="J3486" i="11"/>
  <c r="T3486" i="11" s="1"/>
  <c r="K3486" i="11"/>
  <c r="J3484" i="11"/>
  <c r="T3484" i="11" s="1"/>
  <c r="K3484" i="11"/>
  <c r="J3482" i="11"/>
  <c r="T3482" i="11"/>
  <c r="K3482" i="11"/>
  <c r="J3480" i="11"/>
  <c r="T3480" i="11" s="1"/>
  <c r="K3480" i="11"/>
  <c r="J3478" i="11"/>
  <c r="T3478" i="11" s="1"/>
  <c r="K3478" i="11"/>
  <c r="J3476" i="11"/>
  <c r="T3476" i="11" s="1"/>
  <c r="K3476" i="11"/>
  <c r="J3474" i="11"/>
  <c r="T3474" i="11"/>
  <c r="K3474" i="11"/>
  <c r="J3472" i="11"/>
  <c r="T3472" i="11" s="1"/>
  <c r="K3472" i="11"/>
  <c r="J3470" i="11"/>
  <c r="T3470" i="11" s="1"/>
  <c r="K3470" i="11"/>
  <c r="J3468" i="11"/>
  <c r="T3468" i="11" s="1"/>
  <c r="K3468" i="11"/>
  <c r="J3466" i="11"/>
  <c r="T3466" i="11"/>
  <c r="K3466" i="11"/>
  <c r="J3464" i="11"/>
  <c r="T3464" i="11" s="1"/>
  <c r="K3464" i="11"/>
  <c r="J3462" i="11"/>
  <c r="T3462" i="11" s="1"/>
  <c r="K3462" i="11"/>
  <c r="J3460" i="11"/>
  <c r="T3460" i="11" s="1"/>
  <c r="K3460" i="11"/>
  <c r="J3458" i="11"/>
  <c r="T3458" i="11"/>
  <c r="K3458" i="11"/>
  <c r="J3456" i="11"/>
  <c r="T3456" i="11" s="1"/>
  <c r="K3456" i="11"/>
  <c r="J3454" i="11"/>
  <c r="T3454" i="11" s="1"/>
  <c r="K3454" i="11"/>
  <c r="J3452" i="11"/>
  <c r="T3452" i="11" s="1"/>
  <c r="K3452" i="11"/>
  <c r="J3450" i="11"/>
  <c r="T3450" i="11" s="1"/>
  <c r="K3450" i="11"/>
  <c r="J3448" i="11"/>
  <c r="T3448" i="11" s="1"/>
  <c r="K3448" i="11"/>
  <c r="J3446" i="11"/>
  <c r="T3446" i="11" s="1"/>
  <c r="K3446" i="11"/>
  <c r="J3444" i="11"/>
  <c r="T3444" i="11" s="1"/>
  <c r="K3444" i="11"/>
  <c r="J3442" i="11"/>
  <c r="T3442" i="11" s="1"/>
  <c r="K3442" i="11"/>
  <c r="J3440" i="11"/>
  <c r="T3440" i="11" s="1"/>
  <c r="K3440" i="11"/>
  <c r="J3438" i="11"/>
  <c r="T3438" i="11" s="1"/>
  <c r="K3438" i="11"/>
  <c r="J3436" i="11"/>
  <c r="T3436" i="11" s="1"/>
  <c r="K3436" i="11"/>
  <c r="J3434" i="11"/>
  <c r="T3434" i="11" s="1"/>
  <c r="K3434" i="11"/>
  <c r="J3432" i="11"/>
  <c r="T3432" i="11" s="1"/>
  <c r="K3432" i="11"/>
  <c r="J3430" i="11"/>
  <c r="T3430" i="11" s="1"/>
  <c r="K3430" i="11"/>
  <c r="J3428" i="11"/>
  <c r="T3428" i="11" s="1"/>
  <c r="K3428" i="11"/>
  <c r="J3426" i="11"/>
  <c r="T3426" i="11" s="1"/>
  <c r="K3426" i="11"/>
  <c r="J3424" i="11"/>
  <c r="T3424" i="11" s="1"/>
  <c r="K3424" i="11"/>
  <c r="J3422" i="11"/>
  <c r="T3422" i="11" s="1"/>
  <c r="K3422" i="11"/>
  <c r="J3420" i="11"/>
  <c r="T3420" i="11" s="1"/>
  <c r="K3420" i="11"/>
  <c r="J3418" i="11"/>
  <c r="T3418" i="11" s="1"/>
  <c r="K3418" i="11"/>
  <c r="J3416" i="11"/>
  <c r="T3416" i="11" s="1"/>
  <c r="K3416" i="11"/>
  <c r="J3414" i="11"/>
  <c r="T3414" i="11" s="1"/>
  <c r="K3414" i="11"/>
  <c r="J3412" i="11"/>
  <c r="T3412" i="11" s="1"/>
  <c r="K3412" i="11"/>
  <c r="J3410" i="11"/>
  <c r="T3410" i="11"/>
  <c r="K3410" i="11"/>
  <c r="J3408" i="11"/>
  <c r="T3408" i="11" s="1"/>
  <c r="K3408" i="11"/>
  <c r="J3406" i="11"/>
  <c r="T3406" i="11" s="1"/>
  <c r="K3406" i="11"/>
  <c r="J3404" i="11"/>
  <c r="T3404" i="11" s="1"/>
  <c r="K3404" i="11"/>
  <c r="J3402" i="11"/>
  <c r="T3402" i="11"/>
  <c r="K3402" i="11"/>
  <c r="J3400" i="11"/>
  <c r="T3400" i="11" s="1"/>
  <c r="K3400" i="11"/>
  <c r="J3398" i="11"/>
  <c r="T3398" i="11" s="1"/>
  <c r="K3398" i="11"/>
  <c r="J3396" i="11"/>
  <c r="T3396" i="11"/>
  <c r="K3396" i="11"/>
  <c r="J3394" i="11"/>
  <c r="T3394" i="11"/>
  <c r="K3394" i="11"/>
  <c r="J3392" i="11"/>
  <c r="T3392" i="11" s="1"/>
  <c r="K3392" i="11"/>
  <c r="J3390" i="11"/>
  <c r="T3390" i="11" s="1"/>
  <c r="K3390" i="11"/>
  <c r="J3388" i="11"/>
  <c r="T3388" i="11" s="1"/>
  <c r="K3388" i="11"/>
  <c r="J3386" i="11"/>
  <c r="T3386" i="11" s="1"/>
  <c r="K3386" i="11"/>
  <c r="J3384" i="11"/>
  <c r="T3384" i="11" s="1"/>
  <c r="K3384" i="11"/>
  <c r="J3382" i="11"/>
  <c r="T3382" i="11" s="1"/>
  <c r="K3382" i="11"/>
  <c r="J3380" i="11"/>
  <c r="T3380" i="11" s="1"/>
  <c r="K3380" i="11"/>
  <c r="J3378" i="11"/>
  <c r="T3378" i="11" s="1"/>
  <c r="K3378" i="11"/>
  <c r="J3376" i="11"/>
  <c r="T3376" i="11" s="1"/>
  <c r="K3376" i="11"/>
  <c r="J3374" i="11"/>
  <c r="T3374" i="11" s="1"/>
  <c r="K3374" i="11"/>
  <c r="J3372" i="11"/>
  <c r="T3372" i="11" s="1"/>
  <c r="K3372" i="11"/>
  <c r="J3370" i="11"/>
  <c r="T3370" i="11" s="1"/>
  <c r="K3370" i="11"/>
  <c r="J3368" i="11"/>
  <c r="T3368" i="11" s="1"/>
  <c r="K3368" i="11"/>
  <c r="J3366" i="11"/>
  <c r="T3366" i="11" s="1"/>
  <c r="K3366" i="11"/>
  <c r="J3364" i="11"/>
  <c r="T3364" i="11" s="1"/>
  <c r="K3364" i="11"/>
  <c r="J3362" i="11"/>
  <c r="T3362" i="11" s="1"/>
  <c r="K3362" i="11"/>
  <c r="J3360" i="11"/>
  <c r="T3360" i="11" s="1"/>
  <c r="K3360" i="11"/>
  <c r="J3358" i="11"/>
  <c r="T3358" i="11" s="1"/>
  <c r="K3358" i="11"/>
  <c r="J3356" i="11"/>
  <c r="T3356" i="11" s="1"/>
  <c r="K3356" i="11"/>
  <c r="J3354" i="11"/>
  <c r="T3354" i="11" s="1"/>
  <c r="K3354" i="11"/>
  <c r="J3352" i="11"/>
  <c r="T3352" i="11" s="1"/>
  <c r="K3352" i="11"/>
  <c r="J3350" i="11"/>
  <c r="T3350" i="11" s="1"/>
  <c r="K3350" i="11"/>
  <c r="J3348" i="11"/>
  <c r="T3348" i="11" s="1"/>
  <c r="K3348" i="11"/>
  <c r="J3346" i="11"/>
  <c r="T3346" i="11" s="1"/>
  <c r="K3346" i="11"/>
  <c r="J3344" i="11"/>
  <c r="T3344" i="11" s="1"/>
  <c r="K3344" i="11"/>
  <c r="J3342" i="11"/>
  <c r="T3342" i="11" s="1"/>
  <c r="K3342" i="11"/>
  <c r="J3340" i="11"/>
  <c r="T3340" i="11" s="1"/>
  <c r="K3340" i="11"/>
  <c r="J3338" i="11"/>
  <c r="T3338" i="11" s="1"/>
  <c r="K3338" i="11"/>
  <c r="J3336" i="11"/>
  <c r="T3336" i="11" s="1"/>
  <c r="K3336" i="11"/>
  <c r="J3334" i="11"/>
  <c r="T3334" i="11" s="1"/>
  <c r="K3334" i="11"/>
  <c r="J3332" i="11"/>
  <c r="T3332" i="11" s="1"/>
  <c r="K3332" i="11"/>
  <c r="J3330" i="11"/>
  <c r="T3330" i="11" s="1"/>
  <c r="K3330" i="11"/>
  <c r="J3328" i="11"/>
  <c r="T3328" i="11" s="1"/>
  <c r="K3328" i="11"/>
  <c r="J3326" i="11"/>
  <c r="T3326" i="11" s="1"/>
  <c r="K3326" i="11"/>
  <c r="J3324" i="11"/>
  <c r="T3324" i="11" s="1"/>
  <c r="K3324" i="11"/>
  <c r="J3322" i="11"/>
  <c r="T3322" i="11" s="1"/>
  <c r="K3322" i="11"/>
  <c r="J3320" i="11"/>
  <c r="T3320" i="11" s="1"/>
  <c r="K3320" i="11"/>
  <c r="J3318" i="11"/>
  <c r="T3318" i="11" s="1"/>
  <c r="K3318" i="11"/>
  <c r="J3316" i="11"/>
  <c r="T3316" i="11" s="1"/>
  <c r="K3316" i="11"/>
  <c r="J3314" i="11"/>
  <c r="T3314" i="11" s="1"/>
  <c r="K3314" i="11"/>
  <c r="J3312" i="11"/>
  <c r="T3312" i="11" s="1"/>
  <c r="K3312" i="11"/>
  <c r="J3310" i="11"/>
  <c r="T3310" i="11" s="1"/>
  <c r="K3310" i="11"/>
  <c r="J3308" i="11"/>
  <c r="T3308" i="11" s="1"/>
  <c r="K3308" i="11"/>
  <c r="J3306" i="11"/>
  <c r="T3306" i="11" s="1"/>
  <c r="K3306" i="11"/>
  <c r="J3304" i="11"/>
  <c r="T3304" i="11" s="1"/>
  <c r="K3304" i="11"/>
  <c r="J3302" i="11"/>
  <c r="T3302" i="11" s="1"/>
  <c r="K3302" i="11"/>
  <c r="J3300" i="11"/>
  <c r="T3300" i="11" s="1"/>
  <c r="K3300" i="11"/>
  <c r="J3298" i="11"/>
  <c r="T3298" i="11" s="1"/>
  <c r="K3298" i="11"/>
  <c r="J3296" i="11"/>
  <c r="T3296" i="11" s="1"/>
  <c r="K3296" i="11"/>
  <c r="J3294" i="11"/>
  <c r="T3294" i="11" s="1"/>
  <c r="K3294" i="11"/>
  <c r="J3292" i="11"/>
  <c r="T3292" i="11" s="1"/>
  <c r="K3292" i="11"/>
  <c r="J3290" i="11"/>
  <c r="T3290" i="11" s="1"/>
  <c r="K3290" i="11"/>
  <c r="J3288" i="11"/>
  <c r="T3288" i="11" s="1"/>
  <c r="K3288" i="11"/>
  <c r="J3286" i="11"/>
  <c r="T3286" i="11" s="1"/>
  <c r="K3286" i="11"/>
  <c r="J3284" i="11"/>
  <c r="T3284" i="11" s="1"/>
  <c r="K3284" i="11"/>
  <c r="J3282" i="11"/>
  <c r="T3282" i="11" s="1"/>
  <c r="K3282" i="11"/>
  <c r="J3280" i="11"/>
  <c r="T3280" i="11" s="1"/>
  <c r="K3280" i="11"/>
  <c r="J3278" i="11"/>
  <c r="T3278" i="11" s="1"/>
  <c r="K3278" i="11"/>
  <c r="J3276" i="11"/>
  <c r="T3276" i="11" s="1"/>
  <c r="K3276" i="11"/>
  <c r="J3274" i="11"/>
  <c r="T3274" i="11" s="1"/>
  <c r="K3274" i="11"/>
  <c r="J3272" i="11"/>
  <c r="T3272" i="11" s="1"/>
  <c r="K3272" i="11"/>
  <c r="J3270" i="11"/>
  <c r="T3270" i="11" s="1"/>
  <c r="K3270" i="11"/>
  <c r="J3268" i="11"/>
  <c r="T3268" i="11" s="1"/>
  <c r="K3268" i="11"/>
  <c r="J3266" i="11"/>
  <c r="T3266" i="11" s="1"/>
  <c r="K3266" i="11"/>
  <c r="J3264" i="11"/>
  <c r="T3264" i="11" s="1"/>
  <c r="K3264" i="11"/>
  <c r="J3262" i="11"/>
  <c r="T3262" i="11" s="1"/>
  <c r="K3262" i="11"/>
  <c r="J3260" i="11"/>
  <c r="T3260" i="11" s="1"/>
  <c r="K3260" i="11"/>
  <c r="J3258" i="11"/>
  <c r="T3258" i="11" s="1"/>
  <c r="K3258" i="11"/>
  <c r="J3256" i="11"/>
  <c r="T3256" i="11" s="1"/>
  <c r="K3256" i="11"/>
  <c r="J3254" i="11"/>
  <c r="T3254" i="11" s="1"/>
  <c r="K3254" i="11"/>
  <c r="J3252" i="11"/>
  <c r="T3252" i="11" s="1"/>
  <c r="K3252" i="11"/>
  <c r="J3250" i="11"/>
  <c r="T3250" i="11" s="1"/>
  <c r="K3250" i="11"/>
  <c r="J3248" i="11"/>
  <c r="T3248" i="11" s="1"/>
  <c r="K3248" i="11"/>
  <c r="J3246" i="11"/>
  <c r="T3246" i="11" s="1"/>
  <c r="K3246" i="11"/>
  <c r="J3244" i="11"/>
  <c r="T3244" i="11" s="1"/>
  <c r="K3244" i="11"/>
  <c r="J3242" i="11"/>
  <c r="T3242" i="11" s="1"/>
  <c r="K3242" i="11"/>
  <c r="J3240" i="11"/>
  <c r="T3240" i="11" s="1"/>
  <c r="K3240" i="11"/>
  <c r="J3238" i="11"/>
  <c r="T3238" i="11" s="1"/>
  <c r="K3238" i="11"/>
  <c r="J3236" i="11"/>
  <c r="T3236" i="11" s="1"/>
  <c r="K3236" i="11"/>
  <c r="J3234" i="11"/>
  <c r="T3234" i="11" s="1"/>
  <c r="K3234" i="11"/>
  <c r="J3232" i="11"/>
  <c r="T3232" i="11" s="1"/>
  <c r="K3232" i="11"/>
  <c r="J3230" i="11"/>
  <c r="T3230" i="11" s="1"/>
  <c r="K3230" i="11"/>
  <c r="J3228" i="11"/>
  <c r="T3228" i="11"/>
  <c r="K3228" i="11"/>
  <c r="J3226" i="11"/>
  <c r="T3226" i="11" s="1"/>
  <c r="K3226" i="11"/>
  <c r="J3224" i="11"/>
  <c r="T3224" i="11" s="1"/>
  <c r="K3224" i="11"/>
  <c r="J3222" i="11"/>
  <c r="T3222" i="11" s="1"/>
  <c r="K3222" i="11"/>
  <c r="J3220" i="11"/>
  <c r="T3220" i="11" s="1"/>
  <c r="K3220" i="11"/>
  <c r="J3218" i="11"/>
  <c r="T3218" i="11" s="1"/>
  <c r="K3218" i="11"/>
  <c r="J3216" i="11"/>
  <c r="T3216" i="11" s="1"/>
  <c r="K3216" i="11"/>
  <c r="J3214" i="11"/>
  <c r="T3214" i="11" s="1"/>
  <c r="K3214" i="11"/>
  <c r="J3212" i="11"/>
  <c r="T3212" i="11" s="1"/>
  <c r="K3212" i="11"/>
  <c r="J3210" i="11"/>
  <c r="T3210" i="11" s="1"/>
  <c r="K3210" i="11"/>
  <c r="J3208" i="11"/>
  <c r="T3208" i="11" s="1"/>
  <c r="K3208" i="11"/>
  <c r="J3206" i="11"/>
  <c r="T3206" i="11" s="1"/>
  <c r="K3206" i="11"/>
  <c r="J3204" i="11"/>
  <c r="T3204" i="11"/>
  <c r="K3204" i="11"/>
  <c r="J3202" i="11"/>
  <c r="T3202" i="11" s="1"/>
  <c r="K3202" i="11"/>
  <c r="J3200" i="11"/>
  <c r="T3200" i="11" s="1"/>
  <c r="K3200" i="11"/>
  <c r="J3198" i="11"/>
  <c r="T3198" i="11" s="1"/>
  <c r="K3198" i="11"/>
  <c r="J3196" i="11"/>
  <c r="T3196" i="11" s="1"/>
  <c r="K3196" i="11"/>
  <c r="J3194" i="11"/>
  <c r="T3194" i="11" s="1"/>
  <c r="K3194" i="11"/>
  <c r="J3192" i="11"/>
  <c r="T3192" i="11" s="1"/>
  <c r="K3192" i="11"/>
  <c r="J3190" i="11"/>
  <c r="T3190" i="11" s="1"/>
  <c r="K3190" i="11"/>
  <c r="J3188" i="11"/>
  <c r="T3188" i="11" s="1"/>
  <c r="K3188" i="11"/>
  <c r="J3186" i="11"/>
  <c r="T3186" i="11" s="1"/>
  <c r="K3186" i="11"/>
  <c r="J3184" i="11"/>
  <c r="T3184" i="11" s="1"/>
  <c r="K3184" i="11"/>
  <c r="J3182" i="11"/>
  <c r="T3182" i="11" s="1"/>
  <c r="K3182" i="11"/>
  <c r="J3180" i="11"/>
  <c r="T3180" i="11" s="1"/>
  <c r="K3180" i="11"/>
  <c r="J3178" i="11"/>
  <c r="T3178" i="11" s="1"/>
  <c r="K3178" i="11"/>
  <c r="J3176" i="11"/>
  <c r="T3176" i="11" s="1"/>
  <c r="K3176" i="11"/>
  <c r="J3174" i="11"/>
  <c r="T3174" i="11" s="1"/>
  <c r="K3174" i="11"/>
  <c r="J3172" i="11"/>
  <c r="T3172" i="11" s="1"/>
  <c r="K3172" i="11"/>
  <c r="J3170" i="11"/>
  <c r="T3170" i="11" s="1"/>
  <c r="K3170" i="11"/>
  <c r="J3168" i="11"/>
  <c r="T3168" i="11" s="1"/>
  <c r="K3168" i="11"/>
  <c r="J3166" i="11"/>
  <c r="T3166" i="11" s="1"/>
  <c r="K3166" i="11"/>
  <c r="J3164" i="11"/>
  <c r="T3164" i="11" s="1"/>
  <c r="K3164" i="11"/>
  <c r="J3162" i="11"/>
  <c r="T3162" i="11" s="1"/>
  <c r="K3162" i="11"/>
  <c r="J3160" i="11"/>
  <c r="T3160" i="11" s="1"/>
  <c r="K3160" i="11"/>
  <c r="J3158" i="11"/>
  <c r="T3158" i="11" s="1"/>
  <c r="K3158" i="11"/>
  <c r="J3156" i="11"/>
  <c r="T3156" i="11" s="1"/>
  <c r="K3156" i="11"/>
  <c r="J3154" i="11"/>
  <c r="T3154" i="11" s="1"/>
  <c r="K3154" i="11"/>
  <c r="J3152" i="11"/>
  <c r="T3152" i="11" s="1"/>
  <c r="K3152" i="11"/>
  <c r="J3150" i="11"/>
  <c r="T3150" i="11" s="1"/>
  <c r="K3150" i="11"/>
  <c r="J3148" i="11"/>
  <c r="T3148" i="11" s="1"/>
  <c r="K3148" i="11"/>
  <c r="J3146" i="11"/>
  <c r="T3146" i="11" s="1"/>
  <c r="K3146" i="11"/>
  <c r="J3144" i="11"/>
  <c r="T3144" i="11" s="1"/>
  <c r="K3144" i="11"/>
  <c r="J3142" i="11"/>
  <c r="T3142" i="11" s="1"/>
  <c r="K3142" i="11"/>
  <c r="J3140" i="11"/>
  <c r="T3140" i="11" s="1"/>
  <c r="K3140" i="11"/>
  <c r="J3138" i="11"/>
  <c r="T3138" i="11" s="1"/>
  <c r="K3138" i="11"/>
  <c r="J3136" i="11"/>
  <c r="T3136" i="11" s="1"/>
  <c r="K3136" i="11"/>
  <c r="J3134" i="11"/>
  <c r="T3134" i="11" s="1"/>
  <c r="K3134" i="11"/>
  <c r="J3132" i="11"/>
  <c r="T3132" i="11" s="1"/>
  <c r="K3132" i="11"/>
  <c r="J3130" i="11"/>
  <c r="T3130" i="11" s="1"/>
  <c r="K3130" i="11"/>
  <c r="J3128" i="11"/>
  <c r="T3128" i="11" s="1"/>
  <c r="K3128" i="11"/>
  <c r="J3126" i="11"/>
  <c r="T3126" i="11" s="1"/>
  <c r="K3126" i="11"/>
  <c r="J3124" i="11"/>
  <c r="T3124" i="11" s="1"/>
  <c r="K3124" i="11"/>
  <c r="J3122" i="11"/>
  <c r="T3122" i="11" s="1"/>
  <c r="K3122" i="11"/>
  <c r="J3120" i="11"/>
  <c r="T3120" i="11" s="1"/>
  <c r="K3120" i="11"/>
  <c r="J3118" i="11"/>
  <c r="T3118" i="11" s="1"/>
  <c r="K3118" i="11"/>
  <c r="J3116" i="11"/>
  <c r="T3116" i="11" s="1"/>
  <c r="K3116" i="11"/>
  <c r="J3114" i="11"/>
  <c r="T3114" i="11" s="1"/>
  <c r="K3114" i="11"/>
  <c r="J3112" i="11"/>
  <c r="T3112" i="11" s="1"/>
  <c r="K3112" i="11"/>
  <c r="J3110" i="11"/>
  <c r="T3110" i="11" s="1"/>
  <c r="K3110" i="11"/>
  <c r="J3108" i="11"/>
  <c r="T3108" i="11" s="1"/>
  <c r="K3108" i="11"/>
  <c r="J3106" i="11"/>
  <c r="T3106" i="11" s="1"/>
  <c r="K3106" i="11"/>
  <c r="J3104" i="11"/>
  <c r="T3104" i="11" s="1"/>
  <c r="K3104" i="11"/>
  <c r="J3102" i="11"/>
  <c r="T3102" i="11" s="1"/>
  <c r="K3102" i="11"/>
  <c r="J3100" i="11"/>
  <c r="T3100" i="11" s="1"/>
  <c r="K3100" i="11"/>
  <c r="J3098" i="11"/>
  <c r="T3098" i="11" s="1"/>
  <c r="K3098" i="11"/>
  <c r="J3096" i="11"/>
  <c r="T3096" i="11" s="1"/>
  <c r="K3096" i="11"/>
  <c r="J3094" i="11"/>
  <c r="T3094" i="11" s="1"/>
  <c r="K3094" i="11"/>
  <c r="J3092" i="11"/>
  <c r="T3092" i="11" s="1"/>
  <c r="K3092" i="11"/>
  <c r="J3090" i="11"/>
  <c r="T3090" i="11" s="1"/>
  <c r="K3090" i="11"/>
  <c r="J3088" i="11"/>
  <c r="T3088" i="11" s="1"/>
  <c r="K3088" i="11"/>
  <c r="J3086" i="11"/>
  <c r="T3086" i="11" s="1"/>
  <c r="K3086" i="11"/>
  <c r="J3084" i="11"/>
  <c r="T3084" i="11" s="1"/>
  <c r="K3084" i="11"/>
  <c r="J3082" i="11"/>
  <c r="T3082" i="11" s="1"/>
  <c r="K3082" i="11"/>
  <c r="J3080" i="11"/>
  <c r="T3080" i="11" s="1"/>
  <c r="K3080" i="11"/>
  <c r="J3078" i="11"/>
  <c r="T3078" i="11" s="1"/>
  <c r="K3078" i="11"/>
  <c r="J3076" i="11"/>
  <c r="T3076" i="11" s="1"/>
  <c r="K3076" i="11"/>
  <c r="J3074" i="11"/>
  <c r="T3074" i="11" s="1"/>
  <c r="K3074" i="11"/>
  <c r="J3072" i="11"/>
  <c r="T3072" i="11" s="1"/>
  <c r="K3072" i="11"/>
  <c r="J3070" i="11"/>
  <c r="T3070" i="11" s="1"/>
  <c r="K3070" i="11"/>
  <c r="J3068" i="11"/>
  <c r="T3068" i="11" s="1"/>
  <c r="K3068" i="11"/>
  <c r="J3066" i="11"/>
  <c r="T3066" i="11" s="1"/>
  <c r="K3066" i="11"/>
  <c r="J3064" i="11"/>
  <c r="T3064" i="11" s="1"/>
  <c r="K3064" i="11"/>
  <c r="J3062" i="11"/>
  <c r="T3062" i="11" s="1"/>
  <c r="K3062" i="11"/>
  <c r="J3060" i="11"/>
  <c r="T3060" i="11" s="1"/>
  <c r="K3060" i="11"/>
  <c r="J3058" i="11"/>
  <c r="T3058" i="11" s="1"/>
  <c r="K3058" i="11"/>
  <c r="J3056" i="11"/>
  <c r="T3056" i="11" s="1"/>
  <c r="K3056" i="11"/>
  <c r="J3054" i="11"/>
  <c r="T3054" i="11" s="1"/>
  <c r="K3054" i="11"/>
  <c r="J3052" i="11"/>
  <c r="T3052" i="11" s="1"/>
  <c r="K3052" i="11"/>
  <c r="J3050" i="11"/>
  <c r="T3050" i="11" s="1"/>
  <c r="K3050" i="11"/>
  <c r="J3048" i="11"/>
  <c r="T3048" i="11" s="1"/>
  <c r="K3048" i="11"/>
  <c r="J3046" i="11"/>
  <c r="T3046" i="11" s="1"/>
  <c r="K3046" i="11"/>
  <c r="J3044" i="11"/>
  <c r="T3044" i="11" s="1"/>
  <c r="K3044" i="11"/>
  <c r="J3042" i="11"/>
  <c r="T3042" i="11" s="1"/>
  <c r="K3042" i="11"/>
  <c r="J3040" i="11"/>
  <c r="T3040" i="11" s="1"/>
  <c r="K3040" i="11"/>
  <c r="J3038" i="11"/>
  <c r="T3038" i="11" s="1"/>
  <c r="K3038" i="11"/>
  <c r="J3036" i="11"/>
  <c r="T3036" i="11" s="1"/>
  <c r="K3036" i="11"/>
  <c r="J3034" i="11"/>
  <c r="T3034" i="11" s="1"/>
  <c r="K3034" i="11"/>
  <c r="J3032" i="11"/>
  <c r="T3032" i="11" s="1"/>
  <c r="K3032" i="11"/>
  <c r="J3030" i="11"/>
  <c r="T3030" i="11"/>
  <c r="K3030" i="11"/>
  <c r="J3028" i="11"/>
  <c r="T3028" i="11" s="1"/>
  <c r="K3028" i="11"/>
  <c r="J3026" i="11"/>
  <c r="T3026" i="11" s="1"/>
  <c r="K3026" i="11"/>
  <c r="J3024" i="11"/>
  <c r="T3024" i="11"/>
  <c r="K3024" i="11"/>
  <c r="J3022" i="11"/>
  <c r="T3022" i="11"/>
  <c r="K3022" i="11"/>
  <c r="J3020" i="11"/>
  <c r="T3020" i="11" s="1"/>
  <c r="K3020" i="11"/>
  <c r="J3018" i="11"/>
  <c r="T3018" i="11" s="1"/>
  <c r="K3018" i="11"/>
  <c r="J3016" i="11"/>
  <c r="T3016" i="11"/>
  <c r="K3016" i="11"/>
  <c r="J3014" i="11"/>
  <c r="T3014" i="11"/>
  <c r="K3014" i="11"/>
  <c r="J3012" i="11"/>
  <c r="T3012" i="11" s="1"/>
  <c r="K3012" i="11"/>
  <c r="J3010" i="11"/>
  <c r="T3010" i="11" s="1"/>
  <c r="K3010" i="11"/>
  <c r="J3008" i="11"/>
  <c r="T3008" i="11" s="1"/>
  <c r="K3008" i="11"/>
  <c r="J3006" i="11"/>
  <c r="T3006" i="11"/>
  <c r="K3006" i="11"/>
  <c r="J3004" i="11"/>
  <c r="T3004" i="11" s="1"/>
  <c r="K3004" i="11"/>
  <c r="J3002" i="11"/>
  <c r="T3002" i="11" s="1"/>
  <c r="K3002" i="11"/>
  <c r="J3000" i="11"/>
  <c r="T3000" i="11" s="1"/>
  <c r="K3000" i="11"/>
  <c r="J2998" i="11"/>
  <c r="T2998" i="11"/>
  <c r="K2998" i="11"/>
  <c r="J2996" i="11"/>
  <c r="T2996" i="11" s="1"/>
  <c r="K2996" i="11"/>
  <c r="J2994" i="11"/>
  <c r="T2994" i="11" s="1"/>
  <c r="K2994" i="11"/>
  <c r="J2992" i="11"/>
  <c r="T2992" i="11"/>
  <c r="K2992" i="11"/>
  <c r="J2990" i="11"/>
  <c r="T2990" i="11"/>
  <c r="K2990" i="11"/>
  <c r="J2988" i="11"/>
  <c r="T2988" i="11" s="1"/>
  <c r="K2988" i="11"/>
  <c r="J2986" i="11"/>
  <c r="T2986" i="11" s="1"/>
  <c r="K2986" i="11"/>
  <c r="J2984" i="11"/>
  <c r="T2984" i="11"/>
  <c r="K2984" i="11"/>
  <c r="J2982" i="11"/>
  <c r="T2982" i="11"/>
  <c r="K2982" i="11"/>
  <c r="J2980" i="11"/>
  <c r="T2980" i="11" s="1"/>
  <c r="K2980" i="11"/>
  <c r="J2978" i="11"/>
  <c r="T2978" i="11" s="1"/>
  <c r="K2978" i="11"/>
  <c r="J2976" i="11"/>
  <c r="T2976" i="11" s="1"/>
  <c r="K2976" i="11"/>
  <c r="J2974" i="11"/>
  <c r="T2974" i="11"/>
  <c r="K2974" i="11"/>
  <c r="J2972" i="11"/>
  <c r="T2972" i="11" s="1"/>
  <c r="K2972" i="11"/>
  <c r="J2970" i="11"/>
  <c r="T2970" i="11" s="1"/>
  <c r="K2970" i="11"/>
  <c r="J2968" i="11"/>
  <c r="T2968" i="11" s="1"/>
  <c r="K2968" i="11"/>
  <c r="J2966" i="11"/>
  <c r="T2966" i="11"/>
  <c r="K2966" i="11"/>
  <c r="J2964" i="11"/>
  <c r="T2964" i="11" s="1"/>
  <c r="K2964" i="11"/>
  <c r="J2962" i="11"/>
  <c r="T2962" i="11" s="1"/>
  <c r="K2962" i="11"/>
  <c r="J2960" i="11"/>
  <c r="T2960" i="11" s="1"/>
  <c r="K2960" i="11"/>
  <c r="J2958" i="11"/>
  <c r="T2958" i="11"/>
  <c r="K2958" i="11"/>
  <c r="J2956" i="11"/>
  <c r="T2956" i="11" s="1"/>
  <c r="K2956" i="11"/>
  <c r="J2954" i="11"/>
  <c r="T2954" i="11" s="1"/>
  <c r="K2954" i="11"/>
  <c r="J2952" i="11"/>
  <c r="T2952" i="11" s="1"/>
  <c r="K2952" i="11"/>
  <c r="J2950" i="11"/>
  <c r="T2950" i="11"/>
  <c r="K2950" i="11"/>
  <c r="J2948" i="11"/>
  <c r="T2948" i="11" s="1"/>
  <c r="K2948" i="11"/>
  <c r="J2946" i="11"/>
  <c r="T2946" i="11" s="1"/>
  <c r="K2946" i="11"/>
  <c r="J2944" i="11"/>
  <c r="T2944" i="11" s="1"/>
  <c r="K2944" i="11"/>
  <c r="J2942" i="11"/>
  <c r="T2942" i="11"/>
  <c r="K2942" i="11"/>
  <c r="J2940" i="11"/>
  <c r="T2940" i="11" s="1"/>
  <c r="K2940" i="11"/>
  <c r="J2938" i="11"/>
  <c r="T2938" i="11" s="1"/>
  <c r="K2938" i="11"/>
  <c r="J2936" i="11"/>
  <c r="T2936" i="11" s="1"/>
  <c r="K2936" i="11"/>
  <c r="J2934" i="11"/>
  <c r="T2934" i="11"/>
  <c r="K2934" i="11"/>
  <c r="J2932" i="11"/>
  <c r="T2932" i="11"/>
  <c r="K2932" i="11"/>
  <c r="J2930" i="11"/>
  <c r="T2930" i="11" s="1"/>
  <c r="K2930" i="11"/>
  <c r="J2928" i="11"/>
  <c r="T2928" i="11" s="1"/>
  <c r="K2928" i="11"/>
  <c r="J2926" i="11"/>
  <c r="T2926" i="11"/>
  <c r="K2926" i="11"/>
  <c r="J2924" i="11"/>
  <c r="T2924" i="11" s="1"/>
  <c r="K2924" i="11"/>
  <c r="J2922" i="11"/>
  <c r="T2922" i="11" s="1"/>
  <c r="K2922" i="11"/>
  <c r="J2920" i="11"/>
  <c r="T2920" i="11"/>
  <c r="K2920" i="11"/>
  <c r="J2918" i="11"/>
  <c r="T2918" i="11" s="1"/>
  <c r="K2918" i="11"/>
  <c r="J2916" i="11"/>
  <c r="T2916" i="11" s="1"/>
  <c r="K2916" i="11"/>
  <c r="J2914" i="11"/>
  <c r="T2914" i="11" s="1"/>
  <c r="K2914" i="11"/>
  <c r="J2912" i="11"/>
  <c r="T2912" i="11" s="1"/>
  <c r="K2912" i="11"/>
  <c r="J2910" i="11"/>
  <c r="T2910" i="11" s="1"/>
  <c r="K2910" i="11"/>
  <c r="J2908" i="11"/>
  <c r="T2908" i="11" s="1"/>
  <c r="K2908" i="11"/>
  <c r="J2906" i="11"/>
  <c r="T2906" i="11" s="1"/>
  <c r="K2906" i="11"/>
  <c r="J2904" i="11"/>
  <c r="T2904" i="11" s="1"/>
  <c r="K2904" i="11"/>
  <c r="J2902" i="11"/>
  <c r="T2902" i="11" s="1"/>
  <c r="K2902" i="11"/>
  <c r="J2900" i="11"/>
  <c r="T2900" i="11"/>
  <c r="K2900" i="11"/>
  <c r="J2898" i="11"/>
  <c r="T2898" i="11" s="1"/>
  <c r="K2898" i="11"/>
  <c r="J2896" i="11"/>
  <c r="T2896" i="11" s="1"/>
  <c r="K2896" i="11"/>
  <c r="J2894" i="11"/>
  <c r="T2894" i="11" s="1"/>
  <c r="K2894" i="11"/>
  <c r="J2892" i="11"/>
  <c r="T2892" i="11" s="1"/>
  <c r="K2892" i="11"/>
  <c r="J2890" i="11"/>
  <c r="T2890" i="11" s="1"/>
  <c r="K2890" i="11"/>
  <c r="J2888" i="11"/>
  <c r="T2888" i="11" s="1"/>
  <c r="K2888" i="11"/>
  <c r="J2886" i="11"/>
  <c r="T2886" i="11" s="1"/>
  <c r="K2886" i="11"/>
  <c r="J2884" i="11"/>
  <c r="T2884" i="11" s="1"/>
  <c r="K2884" i="11"/>
  <c r="J2882" i="11"/>
  <c r="T2882" i="11" s="1"/>
  <c r="K2882" i="11"/>
  <c r="J2880" i="11"/>
  <c r="T2880" i="11" s="1"/>
  <c r="K2880" i="11"/>
  <c r="J2878" i="11"/>
  <c r="T2878" i="11" s="1"/>
  <c r="K2878" i="11"/>
  <c r="J2876" i="11"/>
  <c r="T2876" i="11" s="1"/>
  <c r="K2876" i="11"/>
  <c r="J2874" i="11"/>
  <c r="T2874" i="11" s="1"/>
  <c r="K2874" i="11"/>
  <c r="J2872" i="11"/>
  <c r="T2872" i="11"/>
  <c r="K2872" i="11"/>
  <c r="J2870" i="11"/>
  <c r="T2870" i="11" s="1"/>
  <c r="K2870" i="11"/>
  <c r="J2868" i="11"/>
  <c r="T2868" i="11" s="1"/>
  <c r="K2868" i="11"/>
  <c r="J2866" i="11"/>
  <c r="T2866" i="11" s="1"/>
  <c r="K2866" i="11"/>
  <c r="J2864" i="11"/>
  <c r="T2864" i="11" s="1"/>
  <c r="K2864" i="11"/>
  <c r="J2862" i="11"/>
  <c r="T2862" i="11" s="1"/>
  <c r="K2862" i="11"/>
  <c r="J2860" i="11"/>
  <c r="T2860" i="11"/>
  <c r="K2860" i="11"/>
  <c r="J2858" i="11"/>
  <c r="T2858" i="11" s="1"/>
  <c r="K2858" i="11"/>
  <c r="J2856" i="11"/>
  <c r="T2856" i="11" s="1"/>
  <c r="K2856" i="11"/>
  <c r="J2854" i="11"/>
  <c r="T2854" i="11" s="1"/>
  <c r="K2854" i="11"/>
  <c r="J2852" i="11"/>
  <c r="T2852" i="11"/>
  <c r="K2852" i="11"/>
  <c r="J2850" i="11"/>
  <c r="T2850" i="11" s="1"/>
  <c r="K2850" i="11"/>
  <c r="J2848" i="11"/>
  <c r="T2848" i="11" s="1"/>
  <c r="K2848" i="11"/>
  <c r="J2846" i="11"/>
  <c r="T2846" i="11" s="1"/>
  <c r="K2846" i="11"/>
  <c r="J2844" i="11"/>
  <c r="T2844" i="11"/>
  <c r="K2844" i="11"/>
  <c r="J2842" i="11"/>
  <c r="T2842" i="11" s="1"/>
  <c r="K2842" i="11"/>
  <c r="J2840" i="11"/>
  <c r="T2840" i="11" s="1"/>
  <c r="K2840" i="11"/>
  <c r="J2838" i="11"/>
  <c r="T2838" i="11" s="1"/>
  <c r="K2838" i="11"/>
  <c r="J2836" i="11"/>
  <c r="T2836" i="11" s="1"/>
  <c r="K2836" i="11"/>
  <c r="J2834" i="11"/>
  <c r="T2834" i="11" s="1"/>
  <c r="K2834" i="11"/>
  <c r="J2832" i="11"/>
  <c r="T2832" i="11" s="1"/>
  <c r="K2832" i="11"/>
  <c r="J2830" i="11"/>
  <c r="T2830" i="11" s="1"/>
  <c r="K2830" i="11"/>
  <c r="J2828" i="11"/>
  <c r="T2828" i="11" s="1"/>
  <c r="K2828" i="11"/>
  <c r="J2826" i="11"/>
  <c r="T2826" i="11" s="1"/>
  <c r="K2826" i="11"/>
  <c r="J2824" i="11"/>
  <c r="T2824" i="11" s="1"/>
  <c r="K2824" i="11"/>
  <c r="J2822" i="11"/>
  <c r="T2822" i="11" s="1"/>
  <c r="K2822" i="11"/>
  <c r="J2820" i="11"/>
  <c r="T2820" i="11" s="1"/>
  <c r="K2820" i="11"/>
  <c r="J2818" i="11"/>
  <c r="T2818" i="11" s="1"/>
  <c r="K2818" i="11"/>
  <c r="J2816" i="11"/>
  <c r="T2816" i="11" s="1"/>
  <c r="K2816" i="11"/>
  <c r="J2814" i="11"/>
  <c r="T2814" i="11" s="1"/>
  <c r="K2814" i="11"/>
  <c r="J2812" i="11"/>
  <c r="T2812" i="11" s="1"/>
  <c r="K2812" i="11"/>
  <c r="J2810" i="11"/>
  <c r="T2810" i="11" s="1"/>
  <c r="K2810" i="11"/>
  <c r="J2808" i="11"/>
  <c r="T2808" i="11"/>
  <c r="K2808" i="11"/>
  <c r="J2806" i="11"/>
  <c r="T2806" i="11" s="1"/>
  <c r="K2806" i="11"/>
  <c r="J2804" i="11"/>
  <c r="T2804" i="11" s="1"/>
  <c r="K2804" i="11"/>
  <c r="J2802" i="11"/>
  <c r="T2802" i="11" s="1"/>
  <c r="K2802" i="11"/>
  <c r="J2800" i="11"/>
  <c r="T2800" i="11"/>
  <c r="K2800" i="11"/>
  <c r="J2798" i="11"/>
  <c r="T2798" i="11" s="1"/>
  <c r="K2798" i="11"/>
  <c r="J2796" i="11"/>
  <c r="T2796" i="11" s="1"/>
  <c r="K2796" i="11"/>
  <c r="J2794" i="11"/>
  <c r="T2794" i="11" s="1"/>
  <c r="K2794" i="11"/>
  <c r="J2792" i="11"/>
  <c r="T2792" i="11"/>
  <c r="K2792" i="11"/>
  <c r="J2790" i="11"/>
  <c r="T2790" i="11" s="1"/>
  <c r="K2790" i="11"/>
  <c r="J2788" i="11"/>
  <c r="T2788" i="11" s="1"/>
  <c r="K2788" i="11"/>
  <c r="J2786" i="11"/>
  <c r="T2786" i="11" s="1"/>
  <c r="K2786" i="11"/>
  <c r="J2784" i="11"/>
  <c r="T2784" i="11" s="1"/>
  <c r="K2784" i="11"/>
  <c r="J2782" i="11"/>
  <c r="T2782" i="11" s="1"/>
  <c r="K2782" i="11"/>
  <c r="J2780" i="11"/>
  <c r="T2780" i="11" s="1"/>
  <c r="K2780" i="11"/>
  <c r="J2778" i="11"/>
  <c r="T2778" i="11" s="1"/>
  <c r="K2778" i="11"/>
  <c r="J2776" i="11"/>
  <c r="T2776" i="11"/>
  <c r="K2776" i="11"/>
  <c r="J2774" i="11"/>
  <c r="T2774" i="11" s="1"/>
  <c r="K2774" i="11"/>
  <c r="J2772" i="11"/>
  <c r="T2772" i="11" s="1"/>
  <c r="K2772" i="11"/>
  <c r="J2770" i="11"/>
  <c r="T2770" i="11" s="1"/>
  <c r="K2770" i="11"/>
  <c r="J2768" i="11"/>
  <c r="T2768" i="11"/>
  <c r="K2768" i="11"/>
  <c r="J2766" i="11"/>
  <c r="T2766" i="11" s="1"/>
  <c r="K2766" i="11"/>
  <c r="J2764" i="11"/>
  <c r="T2764" i="11"/>
  <c r="K2764" i="11"/>
  <c r="J2762" i="11"/>
  <c r="T2762" i="11" s="1"/>
  <c r="K2762" i="11"/>
  <c r="J2760" i="11"/>
  <c r="T2760" i="11"/>
  <c r="K2760" i="11"/>
  <c r="J2758" i="11"/>
  <c r="T2758" i="11" s="1"/>
  <c r="K2758" i="11"/>
  <c r="J2756" i="11"/>
  <c r="T2756" i="11" s="1"/>
  <c r="K2756" i="11"/>
  <c r="J2754" i="11"/>
  <c r="T2754" i="11" s="1"/>
  <c r="K2754" i="11"/>
  <c r="J2752" i="11"/>
  <c r="T2752" i="11" s="1"/>
  <c r="K2752" i="11"/>
  <c r="J2750" i="11"/>
  <c r="T2750" i="11" s="1"/>
  <c r="K2750" i="11"/>
  <c r="J2748" i="11"/>
  <c r="T2748" i="11" s="1"/>
  <c r="K2748" i="11"/>
  <c r="J2746" i="11"/>
  <c r="T2746" i="11" s="1"/>
  <c r="K2746" i="11"/>
  <c r="J2744" i="11"/>
  <c r="T2744" i="11" s="1"/>
  <c r="K2744" i="11"/>
  <c r="J2742" i="11"/>
  <c r="T2742" i="11" s="1"/>
  <c r="K2742" i="11"/>
  <c r="J2740" i="11"/>
  <c r="T2740" i="11" s="1"/>
  <c r="K2740" i="11"/>
  <c r="J2738" i="11"/>
  <c r="T2738" i="11" s="1"/>
  <c r="K2738" i="11"/>
  <c r="J2736" i="11"/>
  <c r="T2736" i="11"/>
  <c r="K2736" i="11"/>
  <c r="J2734" i="11"/>
  <c r="T2734" i="11" s="1"/>
  <c r="K2734" i="11"/>
  <c r="J2732" i="11"/>
  <c r="T2732" i="11" s="1"/>
  <c r="K2732" i="11"/>
  <c r="J2730" i="11"/>
  <c r="T2730" i="11" s="1"/>
  <c r="K2730" i="11"/>
  <c r="J2728" i="11"/>
  <c r="T2728" i="11"/>
  <c r="K2728" i="11"/>
  <c r="J2726" i="11"/>
  <c r="T2726" i="11" s="1"/>
  <c r="K2726" i="11"/>
  <c r="J2724" i="11"/>
  <c r="T2724" i="11" s="1"/>
  <c r="K2724" i="11"/>
  <c r="J2722" i="11"/>
  <c r="T2722" i="11" s="1"/>
  <c r="K2722" i="11"/>
  <c r="J2720" i="11"/>
  <c r="T2720" i="11" s="1"/>
  <c r="K2720" i="11"/>
  <c r="J2718" i="11"/>
  <c r="T2718" i="11" s="1"/>
  <c r="K2718" i="11"/>
  <c r="J2716" i="11"/>
  <c r="T2716" i="11" s="1"/>
  <c r="K2716" i="11"/>
  <c r="J2714" i="11"/>
  <c r="T2714" i="11" s="1"/>
  <c r="K2714" i="11"/>
  <c r="J2712" i="11"/>
  <c r="T2712" i="11"/>
  <c r="K2712" i="11"/>
  <c r="J2710" i="11"/>
  <c r="T2710" i="11" s="1"/>
  <c r="K2710" i="11"/>
  <c r="J2708" i="11"/>
  <c r="T2708" i="11" s="1"/>
  <c r="K2708" i="11"/>
  <c r="J2706" i="11"/>
  <c r="T2706" i="11" s="1"/>
  <c r="K2706" i="11"/>
  <c r="J2704" i="11"/>
  <c r="T2704" i="11"/>
  <c r="K2704" i="11"/>
  <c r="J2702" i="11"/>
  <c r="T2702" i="11" s="1"/>
  <c r="K2702" i="11"/>
  <c r="J2700" i="11"/>
  <c r="T2700" i="11" s="1"/>
  <c r="K2700" i="11"/>
  <c r="J2698" i="11"/>
  <c r="T2698" i="11" s="1"/>
  <c r="K2698" i="11"/>
  <c r="J2696" i="11"/>
  <c r="T2696" i="11" s="1"/>
  <c r="K2696" i="11"/>
  <c r="J2694" i="11"/>
  <c r="T2694" i="11" s="1"/>
  <c r="K2694" i="11"/>
  <c r="J2692" i="11"/>
  <c r="T2692" i="11" s="1"/>
  <c r="K2692" i="11"/>
  <c r="J2690" i="11"/>
  <c r="T2690" i="11" s="1"/>
  <c r="K2690" i="11"/>
  <c r="J2688" i="11"/>
  <c r="T2688" i="11" s="1"/>
  <c r="K2688" i="11"/>
  <c r="J2686" i="11"/>
  <c r="T2686" i="11" s="1"/>
  <c r="K2686" i="11"/>
  <c r="J2684" i="11"/>
  <c r="T2684" i="11" s="1"/>
  <c r="K2684" i="11"/>
  <c r="J2682" i="11"/>
  <c r="T2682" i="11" s="1"/>
  <c r="K2682" i="11"/>
  <c r="J2680" i="11"/>
  <c r="T2680" i="11" s="1"/>
  <c r="K2680" i="11"/>
  <c r="J2678" i="11"/>
  <c r="T2678" i="11" s="1"/>
  <c r="K2678" i="11"/>
  <c r="J2676" i="11"/>
  <c r="T2676" i="11" s="1"/>
  <c r="K2676" i="11"/>
  <c r="J2674" i="11"/>
  <c r="T2674" i="11" s="1"/>
  <c r="K2674" i="11"/>
  <c r="J2672" i="11"/>
  <c r="T2672" i="11" s="1"/>
  <c r="K2672" i="11"/>
  <c r="J2670" i="11"/>
  <c r="T2670" i="11" s="1"/>
  <c r="K2670" i="11"/>
  <c r="J2668" i="11"/>
  <c r="T2668" i="11" s="1"/>
  <c r="K2668" i="11"/>
  <c r="J2666" i="11"/>
  <c r="T2666" i="11" s="1"/>
  <c r="K2666" i="11"/>
  <c r="J2664" i="11"/>
  <c r="T2664" i="11" s="1"/>
  <c r="K2664" i="11"/>
  <c r="J2662" i="11"/>
  <c r="T2662" i="11" s="1"/>
  <c r="K2662" i="11"/>
  <c r="J2660" i="11"/>
  <c r="T2660" i="11"/>
  <c r="K2660" i="11"/>
  <c r="J2658" i="11"/>
  <c r="T2658" i="11" s="1"/>
  <c r="K2658" i="11"/>
  <c r="J2656" i="11"/>
  <c r="T2656" i="11" s="1"/>
  <c r="K2656" i="11"/>
  <c r="J2654" i="11"/>
  <c r="T2654" i="11" s="1"/>
  <c r="K2654" i="11"/>
  <c r="J2652" i="11"/>
  <c r="T2652" i="11"/>
  <c r="K2652" i="11"/>
  <c r="J2650" i="11"/>
  <c r="T2650" i="11" s="1"/>
  <c r="K2650" i="11"/>
  <c r="J2648" i="11"/>
  <c r="T2648" i="11" s="1"/>
  <c r="K2648" i="11"/>
  <c r="J2646" i="11"/>
  <c r="T2646" i="11" s="1"/>
  <c r="K2646" i="11"/>
  <c r="J2644" i="11"/>
  <c r="T2644" i="11"/>
  <c r="K2644" i="11"/>
  <c r="J2642" i="11"/>
  <c r="T2642" i="11" s="1"/>
  <c r="K2642" i="11"/>
  <c r="J2640" i="11"/>
  <c r="T2640" i="11" s="1"/>
  <c r="K2640" i="11"/>
  <c r="J2638" i="11"/>
  <c r="T2638" i="11" s="1"/>
  <c r="K2638" i="11"/>
  <c r="J2636" i="11"/>
  <c r="T2636" i="11" s="1"/>
  <c r="K2636" i="11"/>
  <c r="J2634" i="11"/>
  <c r="T2634" i="11" s="1"/>
  <c r="K2634" i="11"/>
  <c r="J2632" i="11"/>
  <c r="T2632" i="11" s="1"/>
  <c r="K2632" i="11"/>
  <c r="J2630" i="11"/>
  <c r="T2630" i="11" s="1"/>
  <c r="K2630" i="11"/>
  <c r="J2628" i="11"/>
  <c r="T2628" i="11"/>
  <c r="K2628" i="11"/>
  <c r="J2626" i="11"/>
  <c r="T2626" i="11" s="1"/>
  <c r="K2626" i="11"/>
  <c r="J2624" i="11"/>
  <c r="T2624" i="11" s="1"/>
  <c r="K2624" i="11"/>
  <c r="J2622" i="11"/>
  <c r="T2622" i="11" s="1"/>
  <c r="K2622" i="11"/>
  <c r="J2620" i="11"/>
  <c r="T2620" i="11" s="1"/>
  <c r="K2620" i="11"/>
  <c r="J2618" i="11"/>
  <c r="T2618" i="11" s="1"/>
  <c r="K2618" i="11"/>
  <c r="J2616" i="11"/>
  <c r="T2616" i="11" s="1"/>
  <c r="K2616" i="11"/>
  <c r="J2614" i="11"/>
  <c r="T2614" i="11" s="1"/>
  <c r="K2614" i="11"/>
  <c r="J2612" i="11"/>
  <c r="T2612" i="11"/>
  <c r="K2612" i="11"/>
  <c r="J2610" i="11"/>
  <c r="T2610" i="11" s="1"/>
  <c r="K2610" i="11"/>
  <c r="J2608" i="11"/>
  <c r="T2608" i="11"/>
  <c r="K2608" i="11"/>
  <c r="J2606" i="11"/>
  <c r="T2606" i="11" s="1"/>
  <c r="K2606" i="11"/>
  <c r="J2604" i="11"/>
  <c r="T2604" i="11"/>
  <c r="K2604" i="11"/>
  <c r="J2602" i="11"/>
  <c r="T2602" i="11" s="1"/>
  <c r="K2602" i="11"/>
  <c r="J2600" i="11"/>
  <c r="T2600" i="11" s="1"/>
  <c r="K2600" i="11"/>
  <c r="J2598" i="11"/>
  <c r="T2598" i="11" s="1"/>
  <c r="K2598" i="11"/>
  <c r="J2596" i="11"/>
  <c r="T2596" i="11" s="1"/>
  <c r="K2596" i="11"/>
  <c r="J2594" i="11"/>
  <c r="T2594" i="11" s="1"/>
  <c r="K2594" i="11"/>
  <c r="J2592" i="11"/>
  <c r="T2592" i="11" s="1"/>
  <c r="K2592" i="11"/>
  <c r="J2590" i="11"/>
  <c r="T2590" i="11" s="1"/>
  <c r="K2590" i="11"/>
  <c r="J2588" i="11"/>
  <c r="T2588" i="11" s="1"/>
  <c r="K2588" i="11"/>
  <c r="J2586" i="11"/>
  <c r="T2586" i="11" s="1"/>
  <c r="K2586" i="11"/>
  <c r="J2584" i="11"/>
  <c r="T2584" i="11" s="1"/>
  <c r="K2584" i="11"/>
  <c r="J2582" i="11"/>
  <c r="T2582" i="11" s="1"/>
  <c r="K2582" i="11"/>
  <c r="J2580" i="11"/>
  <c r="T2580" i="11" s="1"/>
  <c r="K2580" i="11"/>
  <c r="J2578" i="11"/>
  <c r="T2578" i="11" s="1"/>
  <c r="K2578" i="11"/>
  <c r="J2576" i="11"/>
  <c r="T2576" i="11" s="1"/>
  <c r="K2576" i="11"/>
  <c r="J2574" i="11"/>
  <c r="T2574" i="11" s="1"/>
  <c r="K2574" i="11"/>
  <c r="J2572" i="11"/>
  <c r="T2572" i="11" s="1"/>
  <c r="K2572" i="11"/>
  <c r="J2570" i="11"/>
  <c r="T2570" i="11" s="1"/>
  <c r="K2570" i="11"/>
  <c r="J2568" i="11"/>
  <c r="T2568" i="11"/>
  <c r="K2568" i="11"/>
  <c r="J2566" i="11"/>
  <c r="T2566" i="11" s="1"/>
  <c r="K2566" i="11"/>
  <c r="J2564" i="11"/>
  <c r="T2564" i="11" s="1"/>
  <c r="K2564" i="11"/>
  <c r="J2562" i="11"/>
  <c r="T2562" i="11" s="1"/>
  <c r="K2562" i="11"/>
  <c r="J2560" i="11"/>
  <c r="T2560" i="11"/>
  <c r="K2560" i="11"/>
  <c r="J2558" i="11"/>
  <c r="T2558" i="11" s="1"/>
  <c r="K2558" i="11"/>
  <c r="J2556" i="11"/>
  <c r="T2556" i="11" s="1"/>
  <c r="K2556" i="11"/>
  <c r="J2554" i="11"/>
  <c r="T2554" i="11" s="1"/>
  <c r="K2554" i="11"/>
  <c r="J2552" i="11"/>
  <c r="T2552" i="11"/>
  <c r="K2552" i="11"/>
  <c r="J2550" i="11"/>
  <c r="T2550" i="11" s="1"/>
  <c r="K2550" i="11"/>
  <c r="J2548" i="11"/>
  <c r="T2548" i="11" s="1"/>
  <c r="K2548" i="11"/>
  <c r="J2546" i="11"/>
  <c r="T2546" i="11" s="1"/>
  <c r="K2546" i="11"/>
  <c r="J2544" i="11"/>
  <c r="T2544" i="11"/>
  <c r="K2544" i="11"/>
  <c r="J2542" i="11"/>
  <c r="T2542" i="11" s="1"/>
  <c r="K2542" i="11"/>
  <c r="J2540" i="11"/>
  <c r="T2540" i="11" s="1"/>
  <c r="K2540" i="11"/>
  <c r="J2538" i="11"/>
  <c r="T2538" i="11" s="1"/>
  <c r="K2538" i="11"/>
  <c r="J2536" i="11"/>
  <c r="T2536" i="11" s="1"/>
  <c r="K2536" i="11"/>
  <c r="J2534" i="11"/>
  <c r="T2534" i="11" s="1"/>
  <c r="K2534" i="11"/>
  <c r="J2532" i="11"/>
  <c r="T2532" i="11" s="1"/>
  <c r="K2532" i="11"/>
  <c r="J2530" i="11"/>
  <c r="T2530" i="11" s="1"/>
  <c r="K2530" i="11"/>
  <c r="J2528" i="11"/>
  <c r="T2528" i="11"/>
  <c r="K2528" i="11"/>
  <c r="J2526" i="11"/>
  <c r="T2526" i="11" s="1"/>
  <c r="K2526" i="11"/>
  <c r="J2524" i="11"/>
  <c r="T2524" i="11" s="1"/>
  <c r="K2524" i="11"/>
  <c r="J2522" i="11"/>
  <c r="T2522" i="11" s="1"/>
  <c r="K2522" i="11"/>
  <c r="J2520" i="11"/>
  <c r="T2520" i="11" s="1"/>
  <c r="K2520" i="11"/>
  <c r="J2518" i="11"/>
  <c r="T2518" i="11" s="1"/>
  <c r="K2518" i="11"/>
  <c r="J2516" i="11"/>
  <c r="T2516" i="11" s="1"/>
  <c r="K2516" i="11"/>
  <c r="J2514" i="11"/>
  <c r="T2514" i="11" s="1"/>
  <c r="K2514" i="11"/>
  <c r="J2512" i="11"/>
  <c r="T2512" i="11"/>
  <c r="K2512" i="11"/>
  <c r="J2510" i="11"/>
  <c r="T2510" i="11" s="1"/>
  <c r="K2510" i="11"/>
  <c r="J2508" i="11"/>
  <c r="T2508" i="11" s="1"/>
  <c r="K2508" i="11"/>
  <c r="J2506" i="11"/>
  <c r="T2506" i="11" s="1"/>
  <c r="K2506" i="11"/>
  <c r="J2504" i="11"/>
  <c r="T2504" i="11" s="1"/>
  <c r="K2504" i="11"/>
  <c r="J2502" i="11"/>
  <c r="T2502" i="11" s="1"/>
  <c r="K2502" i="11"/>
  <c r="J2500" i="11"/>
  <c r="T2500" i="11" s="1"/>
  <c r="K2500" i="11"/>
  <c r="J2498" i="11"/>
  <c r="T2498" i="11" s="1"/>
  <c r="K2498" i="11"/>
  <c r="I2496" i="11"/>
  <c r="N2496" i="11"/>
  <c r="I2494" i="11"/>
  <c r="N2494" i="11"/>
  <c r="I2492" i="11"/>
  <c r="N2492" i="11"/>
  <c r="I2490" i="11"/>
  <c r="N2490" i="11"/>
  <c r="I2488" i="11"/>
  <c r="N2488" i="11"/>
  <c r="I2486" i="11"/>
  <c r="N2486" i="11"/>
  <c r="I2484" i="11"/>
  <c r="N2484" i="11"/>
  <c r="I2482" i="11"/>
  <c r="N2482" i="11"/>
  <c r="I2480" i="11"/>
  <c r="N2480" i="11"/>
  <c r="I2478" i="11"/>
  <c r="N2478" i="11"/>
  <c r="I2476" i="11"/>
  <c r="N2476" i="11"/>
  <c r="I2474" i="11"/>
  <c r="N2474" i="11"/>
  <c r="I2472" i="11"/>
  <c r="N2472" i="11"/>
  <c r="I2470" i="11"/>
  <c r="N2470" i="11"/>
  <c r="I2468" i="11"/>
  <c r="N2468" i="11"/>
  <c r="I2466" i="11"/>
  <c r="N2466" i="11"/>
  <c r="I2464" i="11"/>
  <c r="N2464" i="11"/>
  <c r="I2462" i="11"/>
  <c r="N2462" i="11"/>
  <c r="I2460" i="11"/>
  <c r="N2460" i="11"/>
  <c r="I2458" i="11"/>
  <c r="N2458" i="11"/>
  <c r="I2456" i="11"/>
  <c r="N2456" i="11"/>
  <c r="I2454" i="11"/>
  <c r="N2454" i="11"/>
  <c r="I2452" i="11"/>
  <c r="N2452" i="11"/>
  <c r="I2450" i="11"/>
  <c r="N2450" i="11"/>
  <c r="I2448" i="11"/>
  <c r="N2448" i="11"/>
  <c r="I2446" i="11"/>
  <c r="N2446" i="11"/>
  <c r="I2444" i="11"/>
  <c r="N2444" i="11"/>
  <c r="I2442" i="11"/>
  <c r="N2442" i="11"/>
  <c r="I2440" i="11"/>
  <c r="N2440" i="11"/>
  <c r="I2438" i="11"/>
  <c r="N2438" i="11"/>
  <c r="I2436" i="11"/>
  <c r="N2436" i="11"/>
  <c r="I2434" i="11"/>
  <c r="N2434" i="11"/>
  <c r="I2432" i="11"/>
  <c r="N2432" i="11"/>
  <c r="I2430" i="11"/>
  <c r="N2430" i="11"/>
  <c r="I2428" i="11"/>
  <c r="N2428" i="11"/>
  <c r="I2426" i="11"/>
  <c r="N2426" i="11"/>
  <c r="I2424" i="11"/>
  <c r="N2424" i="11"/>
  <c r="I2422" i="11"/>
  <c r="N2422" i="11"/>
  <c r="I2420" i="11"/>
  <c r="N2420" i="11"/>
  <c r="I2418" i="11"/>
  <c r="N2418" i="11"/>
  <c r="I2416" i="11"/>
  <c r="N2416" i="11"/>
  <c r="I2414" i="11"/>
  <c r="N2414" i="11"/>
  <c r="I2412" i="11"/>
  <c r="N2412" i="11"/>
  <c r="I2410" i="11"/>
  <c r="N2410" i="11"/>
  <c r="I2408" i="11"/>
  <c r="N2408" i="11"/>
  <c r="I2406" i="11"/>
  <c r="N2406" i="11"/>
  <c r="I2404" i="11"/>
  <c r="N2404" i="11"/>
  <c r="I2402" i="11"/>
  <c r="N2402" i="11"/>
  <c r="I2400" i="11"/>
  <c r="N2400" i="11"/>
  <c r="I2398" i="11"/>
  <c r="N2398" i="11"/>
  <c r="I2396" i="11"/>
  <c r="N2396" i="11"/>
  <c r="I2394" i="11"/>
  <c r="N2394" i="11"/>
  <c r="I2392" i="11"/>
  <c r="N2392" i="11"/>
  <c r="I2390" i="11"/>
  <c r="N2390" i="11"/>
  <c r="I2388" i="11"/>
  <c r="N2388" i="11"/>
  <c r="I2386" i="11"/>
  <c r="N2386" i="11"/>
  <c r="I2384" i="11"/>
  <c r="N2384" i="11"/>
  <c r="I2382" i="11"/>
  <c r="N2382" i="11"/>
  <c r="I2380" i="11"/>
  <c r="N2380" i="11"/>
  <c r="I2378" i="11"/>
  <c r="N2378" i="11"/>
  <c r="I2376" i="11"/>
  <c r="N2376" i="11"/>
  <c r="I2374" i="11"/>
  <c r="N2374" i="11"/>
  <c r="I2372" i="11"/>
  <c r="N2372" i="11"/>
  <c r="I2370" i="11"/>
  <c r="N2370" i="11"/>
  <c r="I2368" i="11"/>
  <c r="N2368" i="11"/>
  <c r="I2366" i="11"/>
  <c r="N2366" i="11"/>
  <c r="I2364" i="11"/>
  <c r="N2364" i="11"/>
  <c r="I2362" i="11"/>
  <c r="N2362" i="11"/>
  <c r="I2360" i="11"/>
  <c r="N2360" i="11"/>
  <c r="I2358" i="11"/>
  <c r="N2358" i="11"/>
  <c r="I2356" i="11"/>
  <c r="N2356" i="11"/>
  <c r="I2354" i="11"/>
  <c r="N2354" i="11"/>
  <c r="I2352" i="11"/>
  <c r="N2352" i="11"/>
  <c r="I2350" i="11"/>
  <c r="N2350" i="11"/>
  <c r="I2348" i="11"/>
  <c r="N2348" i="11"/>
  <c r="I2346" i="11"/>
  <c r="N2346" i="11"/>
  <c r="I2344" i="11"/>
  <c r="N2344" i="11"/>
  <c r="I2342" i="11"/>
  <c r="N2342" i="11"/>
  <c r="I2340" i="11"/>
  <c r="N2340" i="11"/>
  <c r="I2338" i="11"/>
  <c r="N2338" i="11"/>
  <c r="I2336" i="11"/>
  <c r="N2336" i="11"/>
  <c r="I2334" i="11"/>
  <c r="N2334" i="11"/>
  <c r="I2332" i="11"/>
  <c r="N2332" i="11"/>
  <c r="I2330" i="11"/>
  <c r="N2330" i="11"/>
  <c r="I2328" i="11"/>
  <c r="N2328" i="11"/>
  <c r="I2326" i="11"/>
  <c r="N2326" i="11"/>
  <c r="I2324" i="11"/>
  <c r="N2324" i="11"/>
  <c r="I2322" i="11"/>
  <c r="N2322" i="11"/>
  <c r="I2320" i="11"/>
  <c r="N2320" i="11"/>
  <c r="I2318" i="11"/>
  <c r="N2318" i="11"/>
  <c r="I2316" i="11"/>
  <c r="N2316" i="11"/>
  <c r="I2314" i="11"/>
  <c r="N2314" i="11"/>
  <c r="I2312" i="11"/>
  <c r="N2312" i="11"/>
  <c r="I2310" i="11"/>
  <c r="N2310" i="11"/>
  <c r="I2308" i="11"/>
  <c r="N2308" i="11"/>
  <c r="I2306" i="11"/>
  <c r="N2306" i="11"/>
  <c r="I2304" i="11"/>
  <c r="N2304" i="11"/>
  <c r="I2302" i="11"/>
  <c r="N2302" i="11"/>
  <c r="I2300" i="11"/>
  <c r="N2300" i="11"/>
  <c r="I2298" i="11"/>
  <c r="N2298" i="11"/>
  <c r="I2296" i="11"/>
  <c r="N2296" i="11"/>
  <c r="I2294" i="11"/>
  <c r="N2294" i="11"/>
  <c r="I2292" i="11"/>
  <c r="N2292" i="11"/>
  <c r="I2290" i="11"/>
  <c r="N2290" i="11"/>
  <c r="I2288" i="11"/>
  <c r="N2288" i="11"/>
  <c r="I2286" i="11"/>
  <c r="N2286" i="11"/>
  <c r="I2284" i="11"/>
  <c r="N2284" i="11"/>
  <c r="I2282" i="11"/>
  <c r="N2282" i="11"/>
  <c r="I2280" i="11"/>
  <c r="N2280" i="11"/>
  <c r="I2278" i="11"/>
  <c r="N2278" i="11"/>
  <c r="I2276" i="11"/>
  <c r="N2276" i="11"/>
  <c r="I2274" i="11"/>
  <c r="N2274" i="11"/>
  <c r="I2272" i="11"/>
  <c r="N2272" i="11"/>
  <c r="I2270" i="11"/>
  <c r="N2270" i="11"/>
  <c r="I2268" i="11"/>
  <c r="N2268" i="11"/>
  <c r="I2266" i="11"/>
  <c r="N2266" i="11"/>
  <c r="I2264" i="11"/>
  <c r="N2264" i="11"/>
  <c r="I2262" i="11"/>
  <c r="N2262" i="11"/>
  <c r="I2260" i="11"/>
  <c r="N2260" i="11"/>
  <c r="I2258" i="11"/>
  <c r="N2258" i="11"/>
  <c r="I2256" i="11"/>
  <c r="N2256" i="11"/>
  <c r="I2254" i="11"/>
  <c r="N2254" i="11"/>
  <c r="I2252" i="11"/>
  <c r="N2252" i="11"/>
  <c r="I2250" i="11"/>
  <c r="N2250" i="11"/>
  <c r="I2248" i="11"/>
  <c r="N2248" i="11"/>
  <c r="I2246" i="11"/>
  <c r="N2246" i="11"/>
  <c r="I2244" i="11"/>
  <c r="N2244" i="11"/>
  <c r="I2242" i="11"/>
  <c r="N2242" i="11"/>
  <c r="I2240" i="11"/>
  <c r="N2240" i="11"/>
  <c r="I2238" i="11"/>
  <c r="N2238" i="11"/>
  <c r="I2236" i="11"/>
  <c r="N2236" i="11"/>
  <c r="I2234" i="11"/>
  <c r="N2234" i="11"/>
  <c r="I2232" i="11"/>
  <c r="N2232" i="11"/>
  <c r="I2230" i="11"/>
  <c r="N2230" i="11"/>
  <c r="I2228" i="11"/>
  <c r="N2228" i="11"/>
  <c r="I2226" i="11"/>
  <c r="N2226" i="11"/>
  <c r="I2224" i="11"/>
  <c r="N2224" i="11"/>
  <c r="I2222" i="11"/>
  <c r="N2222" i="11"/>
  <c r="I2220" i="11"/>
  <c r="N2220" i="11"/>
  <c r="I2218" i="11"/>
  <c r="N2218" i="11"/>
  <c r="I2216" i="11"/>
  <c r="N2216" i="11"/>
  <c r="I2214" i="11"/>
  <c r="N2214" i="11"/>
  <c r="I2212" i="11"/>
  <c r="N2212" i="11"/>
  <c r="I2210" i="11"/>
  <c r="N2210" i="11"/>
  <c r="I2208" i="11"/>
  <c r="N2208" i="11"/>
  <c r="I2206" i="11"/>
  <c r="N2206" i="11"/>
  <c r="I2204" i="11"/>
  <c r="N2204" i="11"/>
  <c r="I2202" i="11"/>
  <c r="N2202" i="11"/>
  <c r="I2200" i="11"/>
  <c r="N2200" i="11"/>
  <c r="I2198" i="11"/>
  <c r="N2198" i="11"/>
  <c r="I2196" i="11"/>
  <c r="N2196" i="11"/>
  <c r="I2194" i="11"/>
  <c r="N2194" i="11"/>
  <c r="I2192" i="11"/>
  <c r="N2192" i="11"/>
  <c r="I2190" i="11"/>
  <c r="N2190" i="11"/>
  <c r="I2188" i="11"/>
  <c r="N2188" i="11"/>
  <c r="I2186" i="11"/>
  <c r="N2186" i="11"/>
  <c r="I2184" i="11"/>
  <c r="N2184" i="11"/>
  <c r="I2182" i="11"/>
  <c r="N2182" i="11"/>
  <c r="I2180" i="11"/>
  <c r="N2180" i="11"/>
  <c r="I2178" i="11"/>
  <c r="N2178" i="11"/>
  <c r="I2176" i="11"/>
  <c r="N2176" i="11"/>
  <c r="I2174" i="11"/>
  <c r="N2174" i="11"/>
  <c r="I2172" i="11"/>
  <c r="N2172" i="11"/>
  <c r="I2170" i="11"/>
  <c r="N2170" i="11"/>
  <c r="I2168" i="11"/>
  <c r="N2168" i="11"/>
  <c r="I2166" i="11"/>
  <c r="N2166" i="11"/>
  <c r="I2164" i="11"/>
  <c r="N2164" i="11"/>
  <c r="I2162" i="11"/>
  <c r="N2162" i="11"/>
  <c r="I2160" i="11"/>
  <c r="N2160" i="11"/>
  <c r="I2158" i="11"/>
  <c r="N2158" i="11"/>
  <c r="I2156" i="11"/>
  <c r="N2156" i="11"/>
  <c r="I2154" i="11"/>
  <c r="N2154" i="11"/>
  <c r="I2152" i="11"/>
  <c r="N2152" i="11"/>
  <c r="I2150" i="11"/>
  <c r="N2150" i="11"/>
  <c r="I2148" i="11"/>
  <c r="N2148" i="11"/>
  <c r="I2146" i="11"/>
  <c r="N2146" i="11"/>
  <c r="I2144" i="11"/>
  <c r="N2144" i="11"/>
  <c r="I2142" i="11"/>
  <c r="N2142" i="11"/>
  <c r="I2140" i="11"/>
  <c r="N2140" i="11"/>
  <c r="I2138" i="11"/>
  <c r="N2138" i="11"/>
  <c r="I2136" i="11"/>
  <c r="N2136" i="11"/>
  <c r="I2134" i="11"/>
  <c r="N2134" i="11"/>
  <c r="I2132" i="11"/>
  <c r="N2132" i="11"/>
  <c r="I2130" i="11"/>
  <c r="N2130" i="11"/>
  <c r="I2128" i="11"/>
  <c r="N2128" i="11"/>
  <c r="I2126" i="11"/>
  <c r="N2126" i="11"/>
  <c r="I2124" i="11"/>
  <c r="N2124" i="11"/>
  <c r="I2122" i="11"/>
  <c r="N2122" i="11"/>
  <c r="I2120" i="11"/>
  <c r="N2120" i="11"/>
  <c r="I2118" i="11"/>
  <c r="N2118" i="11"/>
  <c r="I2116" i="11"/>
  <c r="N2116" i="11"/>
  <c r="I2114" i="11"/>
  <c r="N2114" i="11"/>
  <c r="I2112" i="11"/>
  <c r="N2112" i="11"/>
  <c r="I2110" i="11"/>
  <c r="N2110" i="11"/>
  <c r="I2108" i="11"/>
  <c r="N2108" i="11"/>
  <c r="I2106" i="11"/>
  <c r="N2106" i="11"/>
  <c r="I2104" i="11"/>
  <c r="N2104" i="11"/>
  <c r="I2102" i="11"/>
  <c r="N2102" i="11"/>
  <c r="I2100" i="11"/>
  <c r="N2100" i="11"/>
  <c r="I2098" i="11"/>
  <c r="N2098" i="11"/>
  <c r="I2096" i="11"/>
  <c r="N2096" i="11"/>
  <c r="I2094" i="11"/>
  <c r="N2094" i="11"/>
  <c r="I2092" i="11"/>
  <c r="N2092" i="11"/>
  <c r="I2090" i="11"/>
  <c r="N2090" i="11"/>
  <c r="I2088" i="11"/>
  <c r="N2088" i="11"/>
  <c r="I2086" i="11"/>
  <c r="N2086" i="11"/>
  <c r="I2084" i="11"/>
  <c r="N2084" i="11"/>
  <c r="I2082" i="11"/>
  <c r="N2082" i="11"/>
  <c r="I2080" i="11"/>
  <c r="N2080" i="11"/>
  <c r="I2078" i="11"/>
  <c r="N2078" i="11"/>
  <c r="I2076" i="11"/>
  <c r="N2076" i="11"/>
  <c r="I2074" i="11"/>
  <c r="N2074" i="11"/>
  <c r="I2072" i="11"/>
  <c r="N2072" i="11"/>
  <c r="I2070" i="11"/>
  <c r="N2070" i="11"/>
  <c r="I2068" i="11"/>
  <c r="N2068" i="11"/>
  <c r="I2066" i="11"/>
  <c r="N2066" i="11"/>
  <c r="I2064" i="11"/>
  <c r="N2064" i="11"/>
  <c r="I2062" i="11"/>
  <c r="N2062" i="11"/>
  <c r="I2060" i="11"/>
  <c r="N2060" i="11"/>
  <c r="I2058" i="11"/>
  <c r="N2058" i="11"/>
  <c r="I2056" i="11"/>
  <c r="N2056" i="11"/>
  <c r="I2054" i="11"/>
  <c r="N2054" i="11"/>
  <c r="I2052" i="11"/>
  <c r="N2052" i="11"/>
  <c r="I2050" i="11"/>
  <c r="N2050" i="11"/>
  <c r="I2048" i="11"/>
  <c r="N2048" i="11"/>
  <c r="I2046" i="11"/>
  <c r="N2046" i="11"/>
  <c r="I2044" i="11"/>
  <c r="N2044" i="11"/>
  <c r="I2042" i="11"/>
  <c r="N2042" i="11"/>
  <c r="I2040" i="11"/>
  <c r="N2040" i="11"/>
  <c r="I2038" i="11"/>
  <c r="N2038" i="11"/>
  <c r="I2036" i="11"/>
  <c r="N2036" i="11"/>
  <c r="I2034" i="11"/>
  <c r="N2034" i="11"/>
  <c r="I2032" i="11"/>
  <c r="N2032" i="11"/>
  <c r="I2030" i="11"/>
  <c r="N2030" i="11"/>
  <c r="I2028" i="11"/>
  <c r="N2028" i="11"/>
  <c r="I2026" i="11"/>
  <c r="N2026" i="11"/>
  <c r="I2024" i="11"/>
  <c r="N2024" i="11"/>
  <c r="I2022" i="11"/>
  <c r="N2022" i="11"/>
  <c r="I2020" i="11"/>
  <c r="N2020" i="11"/>
  <c r="I2018" i="11"/>
  <c r="N2018" i="11"/>
  <c r="I2016" i="11"/>
  <c r="N2016" i="11"/>
  <c r="I2014" i="11"/>
  <c r="N2014" i="11"/>
  <c r="I2012" i="11"/>
  <c r="N2012" i="11"/>
  <c r="I2010" i="11"/>
  <c r="N2010" i="11"/>
  <c r="I2008" i="11"/>
  <c r="N2008" i="11"/>
  <c r="I2006" i="11"/>
  <c r="N2006" i="11"/>
  <c r="I2004" i="11"/>
  <c r="N2004" i="11"/>
  <c r="I2002" i="11"/>
  <c r="N2002" i="11"/>
  <c r="I2000" i="11"/>
  <c r="N2000" i="11"/>
  <c r="I1998" i="11"/>
  <c r="N1998" i="11"/>
  <c r="I1996" i="11"/>
  <c r="N1996" i="11"/>
  <c r="I1994" i="11"/>
  <c r="N1994" i="11"/>
  <c r="I1992" i="11"/>
  <c r="N1992" i="11"/>
  <c r="I1990" i="11"/>
  <c r="N1990" i="11"/>
  <c r="I1988" i="11"/>
  <c r="N1988" i="11"/>
  <c r="I1986" i="11"/>
  <c r="N1986" i="11"/>
  <c r="I1984" i="11"/>
  <c r="N1984" i="11"/>
  <c r="I1982" i="11"/>
  <c r="N1982" i="11"/>
  <c r="I1980" i="11"/>
  <c r="N1980" i="11"/>
  <c r="I1978" i="11"/>
  <c r="N1978" i="11"/>
  <c r="I1976" i="11"/>
  <c r="N1976" i="11"/>
  <c r="I1974" i="11"/>
  <c r="N1974" i="11"/>
  <c r="I1972" i="11"/>
  <c r="N1972" i="11"/>
  <c r="I1970" i="11"/>
  <c r="N1970" i="11"/>
  <c r="I1968" i="11"/>
  <c r="N1968" i="11"/>
  <c r="I1966" i="11"/>
  <c r="N1966" i="11"/>
  <c r="I1964" i="11"/>
  <c r="N1964" i="11"/>
  <c r="I1962" i="11"/>
  <c r="N1962" i="11"/>
  <c r="I1960" i="11"/>
  <c r="N1960" i="11"/>
  <c r="I1958" i="11"/>
  <c r="N1958" i="11"/>
  <c r="I1956" i="11"/>
  <c r="N1956" i="11"/>
  <c r="I1954" i="11"/>
  <c r="N1954" i="11"/>
  <c r="I1952" i="11"/>
  <c r="N1952" i="11"/>
  <c r="I1950" i="11"/>
  <c r="N1950" i="11"/>
  <c r="I1948" i="11"/>
  <c r="N1948" i="11"/>
  <c r="I1946" i="11"/>
  <c r="N1946" i="11"/>
  <c r="I1944" i="11"/>
  <c r="N1944" i="11"/>
  <c r="I1942" i="11"/>
  <c r="N1942" i="11"/>
  <c r="I1940" i="11"/>
  <c r="N1940" i="11"/>
  <c r="I1938" i="11"/>
  <c r="N1938" i="11"/>
  <c r="I1936" i="11"/>
  <c r="N1936" i="11"/>
  <c r="I1934" i="11"/>
  <c r="N1934" i="11"/>
  <c r="I1932" i="11"/>
  <c r="N1932" i="11"/>
  <c r="I1930" i="11"/>
  <c r="N1930" i="11"/>
  <c r="I1928" i="11"/>
  <c r="N1928" i="11"/>
  <c r="I1926" i="11"/>
  <c r="N1926" i="11"/>
  <c r="I1924" i="11"/>
  <c r="N1924" i="11"/>
  <c r="I1922" i="11"/>
  <c r="N1922" i="11"/>
  <c r="I1920" i="11"/>
  <c r="N1920" i="11"/>
  <c r="I1918" i="11"/>
  <c r="N1918" i="11"/>
  <c r="I1916" i="11"/>
  <c r="N1916" i="11"/>
  <c r="I1914" i="11"/>
  <c r="N1914" i="11"/>
  <c r="I1912" i="11"/>
  <c r="N1912" i="11"/>
  <c r="I1910" i="11"/>
  <c r="N1910" i="11"/>
  <c r="I1908" i="11"/>
  <c r="N1908" i="11"/>
  <c r="I1906" i="11"/>
  <c r="N1906" i="11"/>
  <c r="I1904" i="11"/>
  <c r="N1904" i="11"/>
  <c r="I1902" i="11"/>
  <c r="N1902" i="11"/>
  <c r="I1900" i="11"/>
  <c r="N1900" i="11"/>
  <c r="I1898" i="11"/>
  <c r="N1898" i="11"/>
  <c r="I1896" i="11"/>
  <c r="N1896" i="11"/>
  <c r="I1894" i="11"/>
  <c r="N1894" i="11"/>
  <c r="I1892" i="11"/>
  <c r="N1892" i="11"/>
  <c r="I1890" i="11"/>
  <c r="N1890" i="11"/>
  <c r="I1888" i="11"/>
  <c r="N1888" i="11"/>
  <c r="I1886" i="11"/>
  <c r="N1886" i="11"/>
  <c r="I1884" i="11"/>
  <c r="N1884" i="11"/>
  <c r="I1882" i="11"/>
  <c r="N1882" i="11"/>
  <c r="I1880" i="11"/>
  <c r="N1880" i="11"/>
  <c r="I1878" i="11"/>
  <c r="N1878" i="11"/>
  <c r="I1876" i="11"/>
  <c r="N1876" i="11"/>
  <c r="I1874" i="11"/>
  <c r="N1874" i="11"/>
  <c r="I1872" i="11"/>
  <c r="N1872" i="11"/>
  <c r="I1870" i="11"/>
  <c r="N1870" i="11"/>
  <c r="I1868" i="11"/>
  <c r="N1868" i="11"/>
  <c r="I1866" i="11"/>
  <c r="N1866" i="11"/>
  <c r="I1864" i="11"/>
  <c r="N1864" i="11"/>
  <c r="I1862" i="11"/>
  <c r="N1862" i="11"/>
  <c r="I1860" i="11"/>
  <c r="N1860" i="11"/>
  <c r="I1858" i="11"/>
  <c r="N1858" i="11"/>
  <c r="I1856" i="11"/>
  <c r="N1856" i="11"/>
  <c r="I1854" i="11"/>
  <c r="N1854" i="11"/>
  <c r="I1852" i="11"/>
  <c r="N1852" i="11"/>
  <c r="I1850" i="11"/>
  <c r="N1850" i="11"/>
  <c r="I1848" i="11"/>
  <c r="N1848" i="11"/>
  <c r="I1846" i="11"/>
  <c r="N1846" i="11"/>
  <c r="I1844" i="11"/>
  <c r="N1844" i="11"/>
  <c r="I1842" i="11"/>
  <c r="N1842" i="11"/>
  <c r="I1840" i="11"/>
  <c r="N1840" i="11"/>
  <c r="I1838" i="11"/>
  <c r="N1838" i="11"/>
  <c r="I1836" i="11"/>
  <c r="N1836" i="11"/>
  <c r="I1834" i="11"/>
  <c r="N1834" i="11"/>
  <c r="I1832" i="11"/>
  <c r="N1832" i="11"/>
  <c r="I1830" i="11"/>
  <c r="N1830" i="11"/>
  <c r="I1828" i="11"/>
  <c r="N1828" i="11"/>
  <c r="I1826" i="11"/>
  <c r="N1826" i="11"/>
  <c r="I1824" i="11"/>
  <c r="N1824" i="11"/>
  <c r="I1822" i="11"/>
  <c r="N1822" i="11"/>
  <c r="I1820" i="11"/>
  <c r="N1820" i="11"/>
  <c r="I1818" i="11"/>
  <c r="N1818" i="11"/>
  <c r="I1816" i="11"/>
  <c r="N1816" i="11"/>
  <c r="I1814" i="11"/>
  <c r="N1814" i="11"/>
  <c r="I1812" i="11"/>
  <c r="N1812" i="11"/>
  <c r="I1810" i="11"/>
  <c r="N1810" i="11"/>
  <c r="I1808" i="11"/>
  <c r="N1808" i="11"/>
  <c r="I1806" i="11"/>
  <c r="N1806" i="11"/>
  <c r="I1804" i="11"/>
  <c r="N1804" i="11"/>
  <c r="I1802" i="11"/>
  <c r="N1802" i="11"/>
  <c r="I1800" i="11"/>
  <c r="N1800" i="11"/>
  <c r="I1798" i="11"/>
  <c r="N1798" i="11"/>
  <c r="I1796" i="11"/>
  <c r="N1796" i="11"/>
  <c r="I1794" i="11"/>
  <c r="N1794" i="11"/>
  <c r="I1792" i="11"/>
  <c r="N1792" i="11"/>
  <c r="I1790" i="11"/>
  <c r="N1790" i="11"/>
  <c r="I1788" i="11"/>
  <c r="N1788" i="11"/>
  <c r="I1786" i="11"/>
  <c r="N1786" i="11"/>
  <c r="I1784" i="11"/>
  <c r="N1784" i="11"/>
  <c r="I1782" i="11"/>
  <c r="N1782" i="11"/>
  <c r="I1780" i="11"/>
  <c r="N1780" i="11"/>
  <c r="I1778" i="11"/>
  <c r="N1778" i="11"/>
  <c r="I1776" i="11"/>
  <c r="N1776" i="11"/>
  <c r="I1774" i="11"/>
  <c r="N1774" i="11"/>
  <c r="I1772" i="11"/>
  <c r="N1772" i="11"/>
  <c r="I1770" i="11"/>
  <c r="N1770" i="11"/>
  <c r="I1768" i="11"/>
  <c r="N1768" i="11"/>
  <c r="I1766" i="11"/>
  <c r="N1766" i="11"/>
  <c r="I1764" i="11"/>
  <c r="N1764" i="11"/>
  <c r="I1762" i="11"/>
  <c r="N1762" i="11"/>
  <c r="I1760" i="11"/>
  <c r="N1760" i="11"/>
  <c r="I1758" i="11"/>
  <c r="N1758" i="11"/>
  <c r="I1756" i="11"/>
  <c r="N1756" i="11"/>
  <c r="I1754" i="11"/>
  <c r="N1754" i="11"/>
  <c r="I1752" i="11"/>
  <c r="N1752" i="11"/>
  <c r="I1750" i="11"/>
  <c r="N1750" i="11"/>
  <c r="I1748" i="11"/>
  <c r="N1748" i="11"/>
  <c r="I1746" i="11"/>
  <c r="N1746" i="11"/>
  <c r="I1744" i="11"/>
  <c r="N1744" i="11"/>
  <c r="I1742" i="11"/>
  <c r="N1742" i="11"/>
  <c r="I1740" i="11"/>
  <c r="N1740" i="11"/>
  <c r="I1738" i="11"/>
  <c r="N1738" i="11"/>
  <c r="I1736" i="11"/>
  <c r="N1736" i="11"/>
  <c r="I1734" i="11"/>
  <c r="N1734" i="11"/>
  <c r="I1732" i="11"/>
  <c r="N1732" i="11"/>
  <c r="I1730" i="11"/>
  <c r="N1730" i="11"/>
  <c r="I1728" i="11"/>
  <c r="N1728" i="11"/>
  <c r="I1726" i="11"/>
  <c r="N1726" i="11"/>
  <c r="I1724" i="11"/>
  <c r="N1724" i="11"/>
  <c r="I1722" i="11"/>
  <c r="N1722" i="11"/>
  <c r="I1720" i="11"/>
  <c r="N1720" i="11"/>
  <c r="I1718" i="11"/>
  <c r="N1718" i="11"/>
  <c r="I1716" i="11"/>
  <c r="N1716" i="11"/>
  <c r="I1714" i="11"/>
  <c r="N1714" i="11"/>
  <c r="I1712" i="11"/>
  <c r="N1712" i="11"/>
  <c r="I1710" i="11"/>
  <c r="N1710" i="11"/>
  <c r="I1708" i="11"/>
  <c r="N1708" i="11"/>
  <c r="I1706" i="11"/>
  <c r="N1706" i="11"/>
  <c r="I1704" i="11"/>
  <c r="N1704" i="11"/>
  <c r="I1702" i="11"/>
  <c r="N1702" i="11"/>
  <c r="I1700" i="11"/>
  <c r="N1700" i="11"/>
  <c r="I1698" i="11"/>
  <c r="N1698" i="11"/>
  <c r="I1696" i="11"/>
  <c r="N1696" i="11"/>
  <c r="I1694" i="11"/>
  <c r="N1694" i="11"/>
  <c r="I1692" i="11"/>
  <c r="N1692" i="11"/>
  <c r="I1690" i="11"/>
  <c r="N1690" i="11"/>
  <c r="I1688" i="11"/>
  <c r="N1688" i="11"/>
  <c r="I1686" i="11"/>
  <c r="N1686" i="11"/>
  <c r="I1684" i="11"/>
  <c r="N1684" i="11"/>
  <c r="I1682" i="11"/>
  <c r="N1682" i="11"/>
  <c r="I1680" i="11"/>
  <c r="N1680" i="11"/>
  <c r="I1678" i="11"/>
  <c r="N1678" i="11"/>
  <c r="I1676" i="11"/>
  <c r="N1676" i="11"/>
  <c r="I1674" i="11"/>
  <c r="N1674" i="11"/>
  <c r="I1672" i="11"/>
  <c r="N1672" i="11"/>
  <c r="I1670" i="11"/>
  <c r="N1670" i="11"/>
  <c r="I1668" i="11"/>
  <c r="N1668" i="11"/>
  <c r="I1666" i="11"/>
  <c r="N1666" i="11"/>
  <c r="I1664" i="11"/>
  <c r="N1664" i="11"/>
  <c r="I1662" i="11"/>
  <c r="N1662" i="11"/>
  <c r="I1660" i="11"/>
  <c r="N1660" i="11"/>
  <c r="I1658" i="11"/>
  <c r="N1658" i="11"/>
  <c r="I1656" i="11"/>
  <c r="N1656" i="11"/>
  <c r="I1654" i="11"/>
  <c r="N1654" i="11"/>
  <c r="I1652" i="11"/>
  <c r="N1652" i="11"/>
  <c r="I1650" i="11"/>
  <c r="N1650" i="11"/>
  <c r="I1648" i="11"/>
  <c r="N1648" i="11"/>
  <c r="I1646" i="11"/>
  <c r="N1646" i="11"/>
  <c r="I1644" i="11"/>
  <c r="N1644" i="11"/>
  <c r="I1642" i="11"/>
  <c r="N1642" i="11"/>
  <c r="I1640" i="11"/>
  <c r="N1640" i="11"/>
  <c r="I1638" i="11"/>
  <c r="N1638" i="11"/>
  <c r="I1636" i="11"/>
  <c r="N1636" i="11"/>
  <c r="I1634" i="11"/>
  <c r="N1634" i="11"/>
  <c r="I1632" i="11"/>
  <c r="N1632" i="11"/>
  <c r="I1630" i="11"/>
  <c r="N1630" i="11"/>
  <c r="I1628" i="11"/>
  <c r="N1628" i="11"/>
  <c r="I1626" i="11"/>
  <c r="N1626" i="11"/>
  <c r="I1624" i="11"/>
  <c r="N1624" i="11"/>
  <c r="I1622" i="11"/>
  <c r="N1622" i="11"/>
  <c r="I1620" i="11"/>
  <c r="N1620" i="11"/>
  <c r="I1618" i="11"/>
  <c r="N1618" i="11"/>
  <c r="I1616" i="11"/>
  <c r="N1616" i="11"/>
  <c r="I1614" i="11"/>
  <c r="N1614" i="11"/>
  <c r="I1612" i="11"/>
  <c r="N1612" i="11"/>
  <c r="I1610" i="11"/>
  <c r="N1610" i="11"/>
  <c r="I1608" i="11"/>
  <c r="N1608" i="11"/>
  <c r="I1606" i="11"/>
  <c r="N1606" i="11"/>
  <c r="I1604" i="11"/>
  <c r="N1604" i="11"/>
  <c r="I1602" i="11"/>
  <c r="N1602" i="11"/>
  <c r="I1600" i="11"/>
  <c r="N1600" i="11"/>
  <c r="I1598" i="11"/>
  <c r="N1598" i="11"/>
  <c r="I1596" i="11"/>
  <c r="N1596" i="11"/>
  <c r="I1594" i="11"/>
  <c r="N1594" i="11"/>
  <c r="I1592" i="11"/>
  <c r="N1592" i="11"/>
  <c r="I1590" i="11"/>
  <c r="N1590" i="11"/>
  <c r="I1588" i="11"/>
  <c r="N1588" i="11"/>
  <c r="I1586" i="11"/>
  <c r="N1586" i="11"/>
  <c r="I1584" i="11"/>
  <c r="N1584" i="11"/>
  <c r="I1582" i="11"/>
  <c r="N1582" i="11"/>
  <c r="I1580" i="11"/>
  <c r="N1580" i="11"/>
  <c r="I1578" i="11"/>
  <c r="N1578" i="11"/>
  <c r="I1576" i="11"/>
  <c r="N1576" i="11"/>
  <c r="I1574" i="11"/>
  <c r="N1574" i="11"/>
  <c r="I1572" i="11"/>
  <c r="N1572" i="11"/>
  <c r="I1570" i="11"/>
  <c r="N1570" i="11"/>
  <c r="I1568" i="11"/>
  <c r="N1568" i="11"/>
  <c r="I1566" i="11"/>
  <c r="N1566" i="11"/>
  <c r="I1564" i="11"/>
  <c r="N1564" i="11"/>
  <c r="I1562" i="11"/>
  <c r="N1562" i="11"/>
  <c r="I1560" i="11"/>
  <c r="N1560" i="11"/>
  <c r="I1558" i="11"/>
  <c r="N1558" i="11"/>
  <c r="I1556" i="11"/>
  <c r="N1556" i="11"/>
  <c r="I1554" i="11"/>
  <c r="N1554" i="11"/>
  <c r="I1552" i="11"/>
  <c r="N1552" i="11"/>
  <c r="I1550" i="11"/>
  <c r="N1550" i="11"/>
  <c r="I1548" i="11"/>
  <c r="N1548" i="11"/>
  <c r="I1546" i="11"/>
  <c r="N1546" i="11"/>
  <c r="I1544" i="11"/>
  <c r="N1544" i="11"/>
  <c r="I1542" i="11"/>
  <c r="N1542" i="11"/>
  <c r="I1540" i="11"/>
  <c r="N1540" i="11"/>
  <c r="I1538" i="11"/>
  <c r="N1538" i="11"/>
  <c r="I1536" i="11"/>
  <c r="N1536" i="11"/>
  <c r="I1534" i="11"/>
  <c r="N1534" i="11"/>
  <c r="I1532" i="11"/>
  <c r="N1532" i="11"/>
  <c r="I1530" i="11"/>
  <c r="N1530" i="11"/>
  <c r="I1528" i="11"/>
  <c r="N1528" i="11"/>
  <c r="I1526" i="11"/>
  <c r="N1526" i="11"/>
  <c r="I1524" i="11"/>
  <c r="N1524" i="11"/>
  <c r="I1522" i="11"/>
  <c r="N1522" i="11"/>
  <c r="I1520" i="11"/>
  <c r="N1520" i="11"/>
  <c r="I1518" i="11"/>
  <c r="N1518" i="11"/>
  <c r="I1516" i="11"/>
  <c r="N1516" i="11"/>
  <c r="I1514" i="11"/>
  <c r="N1514" i="11"/>
  <c r="I1512" i="11"/>
  <c r="N1512" i="11"/>
  <c r="I1510" i="11"/>
  <c r="N1510" i="11"/>
  <c r="I1508" i="11"/>
  <c r="N1508" i="11"/>
  <c r="I1506" i="11"/>
  <c r="N1506" i="11"/>
  <c r="I1504" i="11"/>
  <c r="N1504" i="11"/>
  <c r="I1502" i="11"/>
  <c r="N1502" i="11"/>
  <c r="I1500" i="11"/>
  <c r="N1500" i="11"/>
  <c r="I1498" i="11"/>
  <c r="N1498" i="11"/>
  <c r="I1496" i="11"/>
  <c r="N1496" i="11"/>
  <c r="I1494" i="11"/>
  <c r="N1494" i="11"/>
  <c r="I1492" i="11"/>
  <c r="N1492" i="11"/>
  <c r="I1490" i="11"/>
  <c r="N1490" i="11"/>
  <c r="I1488" i="11"/>
  <c r="N1488" i="11"/>
  <c r="I1486" i="11"/>
  <c r="N1486" i="11"/>
  <c r="I1484" i="11"/>
  <c r="N1484" i="11"/>
  <c r="I1482" i="11"/>
  <c r="N1482" i="11"/>
  <c r="I1480" i="11"/>
  <c r="N1480" i="11"/>
  <c r="I1478" i="11"/>
  <c r="N1478" i="11"/>
  <c r="I1476" i="11"/>
  <c r="N1476" i="11"/>
  <c r="I1474" i="11"/>
  <c r="N1474" i="11"/>
  <c r="I1472" i="11"/>
  <c r="N1472" i="11"/>
  <c r="I1470" i="11"/>
  <c r="N1470" i="11"/>
  <c r="I1468" i="11"/>
  <c r="N1468" i="11"/>
  <c r="I1466" i="11"/>
  <c r="N1466" i="11"/>
  <c r="I1464" i="11"/>
  <c r="N1464" i="11"/>
  <c r="I1462" i="11"/>
  <c r="N1462" i="11"/>
  <c r="I1460" i="11"/>
  <c r="N1460" i="11"/>
  <c r="I1458" i="11"/>
  <c r="N1458" i="11"/>
  <c r="I1456" i="11"/>
  <c r="N1456" i="11"/>
  <c r="I1454" i="11"/>
  <c r="N1454" i="11"/>
  <c r="I1452" i="11"/>
  <c r="N1452" i="11"/>
  <c r="I1450" i="11"/>
  <c r="N1450" i="11"/>
  <c r="I1448" i="11"/>
  <c r="N1448" i="11"/>
  <c r="I1446" i="11"/>
  <c r="N1446" i="11"/>
  <c r="I1444" i="11"/>
  <c r="N1444" i="11"/>
  <c r="I1442" i="11"/>
  <c r="N1442" i="11"/>
  <c r="I1440" i="11"/>
  <c r="N1440" i="11"/>
  <c r="I1438" i="11"/>
  <c r="N1438" i="11"/>
  <c r="I1436" i="11"/>
  <c r="N1436" i="11"/>
  <c r="I1434" i="11"/>
  <c r="N1434" i="11"/>
  <c r="I1432" i="11"/>
  <c r="N1432" i="11"/>
  <c r="I1430" i="11"/>
  <c r="N1430" i="11"/>
  <c r="I1428" i="11"/>
  <c r="N1428" i="11"/>
  <c r="I1426" i="11"/>
  <c r="N1426" i="11"/>
  <c r="I1424" i="11"/>
  <c r="N1424" i="11"/>
  <c r="I1422" i="11"/>
  <c r="N1422" i="11"/>
  <c r="I1420" i="11"/>
  <c r="N1420" i="11"/>
  <c r="I1418" i="11"/>
  <c r="N1418" i="11"/>
  <c r="I1416" i="11"/>
  <c r="N1416" i="11"/>
  <c r="I1414" i="11"/>
  <c r="N1414" i="11"/>
  <c r="I1412" i="11"/>
  <c r="N1412" i="11"/>
  <c r="I1410" i="11"/>
  <c r="N1410" i="11"/>
  <c r="I1408" i="11"/>
  <c r="N1408" i="11"/>
  <c r="I1406" i="11"/>
  <c r="N1406" i="11"/>
  <c r="I1404" i="11"/>
  <c r="N1404" i="11"/>
  <c r="I1402" i="11"/>
  <c r="N1402" i="11"/>
  <c r="I1400" i="11"/>
  <c r="N1400" i="11"/>
  <c r="I1398" i="11"/>
  <c r="N1398" i="11"/>
  <c r="I1396" i="11"/>
  <c r="N1396" i="11"/>
  <c r="I1394" i="11"/>
  <c r="N1394" i="11"/>
  <c r="I1392" i="11"/>
  <c r="N1392" i="11"/>
  <c r="I1390" i="11"/>
  <c r="N1390" i="11"/>
  <c r="I1388" i="11"/>
  <c r="N1388" i="11"/>
  <c r="I1386" i="11"/>
  <c r="N1386" i="11"/>
  <c r="I1384" i="11"/>
  <c r="N1384" i="11"/>
  <c r="I1382" i="11"/>
  <c r="N1382" i="11"/>
  <c r="I1380" i="11"/>
  <c r="N1380" i="11"/>
  <c r="I1378" i="11"/>
  <c r="N1378" i="11"/>
  <c r="I1376" i="11"/>
  <c r="N1376" i="11"/>
  <c r="I1374" i="11"/>
  <c r="N1374" i="11"/>
  <c r="I1372" i="11"/>
  <c r="N1372" i="11"/>
  <c r="I1370" i="11"/>
  <c r="N1370" i="11"/>
  <c r="I1368" i="11"/>
  <c r="N1368" i="11"/>
  <c r="I1366" i="11"/>
  <c r="N1366" i="11"/>
  <c r="I1364" i="11"/>
  <c r="N1364" i="11"/>
  <c r="I1362" i="11"/>
  <c r="N1362" i="11"/>
  <c r="I1360" i="11"/>
  <c r="N1360" i="11"/>
  <c r="I1358" i="11"/>
  <c r="N1358" i="11"/>
  <c r="I1356" i="11"/>
  <c r="N1356" i="11"/>
  <c r="I1354" i="11"/>
  <c r="N1354" i="11"/>
  <c r="I1352" i="11"/>
  <c r="N1352" i="11"/>
  <c r="I1350" i="11"/>
  <c r="N1350" i="11"/>
  <c r="I1348" i="11"/>
  <c r="N1348" i="11"/>
  <c r="I1346" i="11"/>
  <c r="N1346" i="11"/>
  <c r="I1344" i="11"/>
  <c r="N1344" i="11"/>
  <c r="I1342" i="11"/>
  <c r="N1342" i="11"/>
  <c r="I1340" i="11"/>
  <c r="N1340" i="11"/>
  <c r="I1338" i="11"/>
  <c r="N1338" i="11"/>
  <c r="I1336" i="11"/>
  <c r="N1336" i="11"/>
  <c r="I1334" i="11"/>
  <c r="N1334" i="11"/>
  <c r="I1332" i="11"/>
  <c r="N1332" i="11"/>
  <c r="I1330" i="11"/>
  <c r="N1330" i="11"/>
  <c r="I1328" i="11"/>
  <c r="N1328" i="11"/>
  <c r="I1326" i="11"/>
  <c r="N1326" i="11"/>
  <c r="I1324" i="11"/>
  <c r="N1324" i="11"/>
  <c r="I1322" i="11"/>
  <c r="N1322" i="11"/>
  <c r="I1320" i="11"/>
  <c r="N1320" i="11"/>
  <c r="I1318" i="11"/>
  <c r="N1318" i="11"/>
  <c r="I1316" i="11"/>
  <c r="N1316" i="11"/>
  <c r="I1314" i="11"/>
  <c r="N1314" i="11"/>
  <c r="I1312" i="11"/>
  <c r="N1312" i="11"/>
  <c r="I1310" i="11"/>
  <c r="N1310" i="11"/>
  <c r="I1308" i="11"/>
  <c r="N1308" i="11"/>
  <c r="I1306" i="11"/>
  <c r="N1306" i="11"/>
  <c r="I1304" i="11"/>
  <c r="N1304" i="11"/>
  <c r="I1302" i="11"/>
  <c r="N1302" i="11"/>
  <c r="I1300" i="11"/>
  <c r="N1300" i="11"/>
  <c r="I1298" i="11"/>
  <c r="N1298" i="11"/>
  <c r="I1296" i="11"/>
  <c r="N1296" i="11"/>
  <c r="I1294" i="11"/>
  <c r="N1294" i="11"/>
  <c r="I1292" i="11"/>
  <c r="N1292" i="11"/>
  <c r="I1290" i="11"/>
  <c r="N1290" i="11"/>
  <c r="I1288" i="11"/>
  <c r="N1288" i="11"/>
  <c r="I1286" i="11"/>
  <c r="N1286" i="11"/>
  <c r="I1284" i="11"/>
  <c r="N1284" i="11"/>
  <c r="I1282" i="11"/>
  <c r="N1282" i="11"/>
  <c r="I1280" i="11"/>
  <c r="N1280" i="11"/>
  <c r="I1278" i="11"/>
  <c r="N1278" i="11"/>
  <c r="I1276" i="11"/>
  <c r="N1276" i="11"/>
  <c r="I1274" i="11"/>
  <c r="N1274" i="11"/>
  <c r="I1272" i="11"/>
  <c r="N1272" i="11"/>
  <c r="I1270" i="11"/>
  <c r="N1270" i="11"/>
  <c r="I1268" i="11"/>
  <c r="N1268" i="11"/>
  <c r="I1266" i="11"/>
  <c r="N1266" i="11"/>
  <c r="I1264" i="11"/>
  <c r="N1264" i="11"/>
  <c r="I1262" i="11"/>
  <c r="N1262" i="11"/>
  <c r="I1260" i="11"/>
  <c r="N1260" i="11"/>
  <c r="I1258" i="11"/>
  <c r="N1258" i="11"/>
  <c r="I1256" i="11"/>
  <c r="N1256" i="11"/>
  <c r="I1254" i="11"/>
  <c r="N1254" i="11"/>
  <c r="I1252" i="11"/>
  <c r="N1252" i="11"/>
  <c r="I1250" i="11"/>
  <c r="N1250" i="11"/>
  <c r="I1248" i="11"/>
  <c r="N1248" i="11"/>
  <c r="I1246" i="11"/>
  <c r="N1246" i="11"/>
  <c r="I1244" i="11"/>
  <c r="N1244" i="11"/>
  <c r="I1242" i="11"/>
  <c r="N1242" i="11"/>
  <c r="I1240" i="11"/>
  <c r="N1240" i="11"/>
  <c r="I1238" i="11"/>
  <c r="N1238" i="11"/>
  <c r="I1236" i="11"/>
  <c r="N1236" i="11"/>
  <c r="I1234" i="11"/>
  <c r="N1234" i="11"/>
  <c r="I1232" i="11"/>
  <c r="N1232" i="11"/>
  <c r="I1230" i="11"/>
  <c r="N1230" i="11"/>
  <c r="I1228" i="11"/>
  <c r="N1228" i="11"/>
  <c r="I1226" i="11"/>
  <c r="N1226" i="11"/>
  <c r="I1224" i="11"/>
  <c r="N1224" i="11"/>
  <c r="I1222" i="11"/>
  <c r="N1222" i="11"/>
  <c r="I1220" i="11"/>
  <c r="N1220" i="11"/>
  <c r="I1218" i="11"/>
  <c r="N1218" i="11"/>
  <c r="I1216" i="11"/>
  <c r="N1216" i="11"/>
  <c r="I1214" i="11"/>
  <c r="N1214" i="11"/>
  <c r="I1212" i="11"/>
  <c r="N1212" i="11"/>
  <c r="I1210" i="11"/>
  <c r="N1210" i="11"/>
  <c r="I1208" i="11"/>
  <c r="N1208" i="11"/>
  <c r="I1206" i="11"/>
  <c r="N1206" i="11"/>
  <c r="I1204" i="11"/>
  <c r="N1204" i="11"/>
  <c r="I1202" i="11"/>
  <c r="N1202" i="11"/>
  <c r="I1200" i="11"/>
  <c r="N1200" i="11"/>
  <c r="I1198" i="11"/>
  <c r="N1198" i="11"/>
  <c r="I1196" i="11"/>
  <c r="N1196" i="11"/>
  <c r="I1194" i="11"/>
  <c r="N1194" i="11"/>
  <c r="I1192" i="11"/>
  <c r="N1192" i="11"/>
  <c r="I1190" i="11"/>
  <c r="N1190" i="11"/>
  <c r="I1188" i="11"/>
  <c r="N1188" i="11"/>
  <c r="I1186" i="11"/>
  <c r="N1186" i="11"/>
  <c r="I1184" i="11"/>
  <c r="N1184" i="11"/>
  <c r="I1182" i="11"/>
  <c r="N1182" i="11"/>
  <c r="I1180" i="11"/>
  <c r="N1180" i="11"/>
  <c r="I1178" i="11"/>
  <c r="N1178" i="11"/>
  <c r="I1176" i="11"/>
  <c r="N1176" i="11"/>
  <c r="I1174" i="11"/>
  <c r="N1174" i="11"/>
  <c r="I1172" i="11"/>
  <c r="N1172" i="11"/>
  <c r="I1170" i="11"/>
  <c r="N1170" i="11"/>
  <c r="I1168" i="11"/>
  <c r="N1168" i="11"/>
  <c r="I1166" i="11"/>
  <c r="N1166" i="11"/>
  <c r="I1164" i="11"/>
  <c r="N1164" i="11"/>
  <c r="I1162" i="11"/>
  <c r="N1162" i="11"/>
  <c r="I1160" i="11"/>
  <c r="N1160" i="11"/>
  <c r="I1158" i="11"/>
  <c r="N1158" i="11"/>
  <c r="I1156" i="11"/>
  <c r="N1156" i="11"/>
  <c r="I1154" i="11"/>
  <c r="N1154" i="11"/>
  <c r="I1152" i="11"/>
  <c r="N1152" i="11"/>
  <c r="I1150" i="11"/>
  <c r="N1150" i="11"/>
  <c r="I1148" i="11"/>
  <c r="N1148" i="11"/>
  <c r="I1146" i="11"/>
  <c r="N1146" i="11"/>
  <c r="I1144" i="11"/>
  <c r="N1144" i="11"/>
  <c r="I1142" i="11"/>
  <c r="N1142" i="11"/>
  <c r="I1140" i="11"/>
  <c r="N1140" i="11"/>
  <c r="I1138" i="11"/>
  <c r="N1138" i="11"/>
  <c r="I1136" i="11"/>
  <c r="N1136" i="11"/>
  <c r="I1134" i="11"/>
  <c r="N1134" i="11"/>
  <c r="I1132" i="11"/>
  <c r="N1132" i="11"/>
  <c r="I1130" i="11"/>
  <c r="N1130" i="11"/>
  <c r="I1128" i="11"/>
  <c r="N1128" i="11"/>
  <c r="I1126" i="11"/>
  <c r="N1126" i="11"/>
  <c r="I1124" i="11"/>
  <c r="N1124" i="11"/>
  <c r="I1122" i="11"/>
  <c r="N1122" i="11"/>
  <c r="I1120" i="11"/>
  <c r="N1120" i="11"/>
  <c r="I1118" i="11"/>
  <c r="N1118" i="11"/>
  <c r="I1116" i="11"/>
  <c r="N1116" i="11"/>
  <c r="I1114" i="11"/>
  <c r="N1114" i="11"/>
  <c r="I1112" i="11"/>
  <c r="N1112" i="11"/>
  <c r="I1110" i="11"/>
  <c r="N1110" i="11"/>
  <c r="I1108" i="11"/>
  <c r="N1108" i="11"/>
  <c r="I1106" i="11"/>
  <c r="N1106" i="11"/>
  <c r="I1104" i="11"/>
  <c r="N1104" i="11"/>
  <c r="I1102" i="11"/>
  <c r="N1102" i="11"/>
  <c r="I1100" i="11"/>
  <c r="N1100" i="11"/>
  <c r="I1098" i="11"/>
  <c r="N1098" i="11"/>
  <c r="I1096" i="11"/>
  <c r="N1096" i="11"/>
  <c r="I1094" i="11"/>
  <c r="N1094" i="11"/>
  <c r="I1092" i="11"/>
  <c r="N1092" i="11"/>
  <c r="I1090" i="11"/>
  <c r="N1090" i="11"/>
  <c r="I1088" i="11"/>
  <c r="N1088" i="11"/>
  <c r="I1086" i="11"/>
  <c r="N1086" i="11"/>
  <c r="I1084" i="11"/>
  <c r="N1084" i="11"/>
  <c r="I1082" i="11"/>
  <c r="N1082" i="11"/>
  <c r="I1080" i="11"/>
  <c r="N1080" i="11"/>
  <c r="I1078" i="11"/>
  <c r="N1078" i="11"/>
  <c r="I1076" i="11"/>
  <c r="N1076" i="11"/>
  <c r="I1074" i="11"/>
  <c r="N1074" i="11"/>
  <c r="I1072" i="11"/>
  <c r="N1072" i="11"/>
  <c r="I1070" i="11"/>
  <c r="N1070" i="11"/>
  <c r="I1068" i="11"/>
  <c r="N1068" i="11"/>
  <c r="I1066" i="11"/>
  <c r="N1066" i="11"/>
  <c r="I1064" i="11"/>
  <c r="N1064" i="11"/>
  <c r="I1062" i="11"/>
  <c r="N1062" i="11"/>
  <c r="I1060" i="11"/>
  <c r="N1060" i="11"/>
  <c r="I1058" i="11"/>
  <c r="N1058" i="11"/>
  <c r="I1056" i="11"/>
  <c r="N1056" i="11"/>
  <c r="I1054" i="11"/>
  <c r="N1054" i="11"/>
  <c r="I1052" i="11"/>
  <c r="N1052" i="11"/>
  <c r="I1050" i="11"/>
  <c r="N1050" i="11"/>
  <c r="I1048" i="11"/>
  <c r="N1048" i="11"/>
  <c r="I1046" i="11"/>
  <c r="N1046" i="11"/>
  <c r="I1044" i="11"/>
  <c r="N1044" i="11"/>
  <c r="I1042" i="11"/>
  <c r="N1042" i="11"/>
  <c r="I1040" i="11"/>
  <c r="N1040" i="11"/>
  <c r="I1038" i="11"/>
  <c r="N1038" i="11"/>
  <c r="I1036" i="11"/>
  <c r="N1036" i="11"/>
  <c r="I1034" i="11"/>
  <c r="N1034" i="11"/>
  <c r="I1032" i="11"/>
  <c r="N1032" i="11"/>
  <c r="I1030" i="11"/>
  <c r="N1030" i="11"/>
  <c r="I1028" i="11"/>
  <c r="N1028" i="11"/>
  <c r="I1026" i="11"/>
  <c r="N1026" i="11"/>
  <c r="I1024" i="11"/>
  <c r="N1024" i="11"/>
  <c r="I1022" i="11"/>
  <c r="N1022" i="11"/>
  <c r="I1020" i="11"/>
  <c r="N1020" i="11"/>
  <c r="I1018" i="11"/>
  <c r="N1018" i="11"/>
  <c r="I1016" i="11"/>
  <c r="N1016" i="11"/>
  <c r="I1014" i="11"/>
  <c r="N1014" i="11"/>
  <c r="I1012" i="11"/>
  <c r="N1012" i="11"/>
  <c r="I1010" i="11"/>
  <c r="N1010" i="11"/>
  <c r="I1008" i="11"/>
  <c r="N1008" i="11"/>
  <c r="I1006" i="11"/>
  <c r="N1006" i="11"/>
  <c r="I1004" i="11"/>
  <c r="N1004" i="11"/>
  <c r="I1002" i="11"/>
  <c r="N1002" i="11"/>
  <c r="I1000" i="11"/>
  <c r="N1000" i="11"/>
  <c r="I998" i="11"/>
  <c r="N998" i="11"/>
  <c r="I996" i="11"/>
  <c r="N996" i="11"/>
  <c r="I994" i="11"/>
  <c r="N994" i="11"/>
  <c r="I992" i="11"/>
  <c r="N992" i="11"/>
  <c r="I990" i="11"/>
  <c r="N990" i="11"/>
  <c r="I988" i="11"/>
  <c r="N988" i="11"/>
  <c r="I986" i="11"/>
  <c r="N986" i="11"/>
  <c r="I984" i="11"/>
  <c r="N984" i="11"/>
  <c r="I982" i="11"/>
  <c r="N982" i="11"/>
  <c r="I980" i="11"/>
  <c r="N980" i="11"/>
  <c r="I978" i="11"/>
  <c r="N978" i="11"/>
  <c r="I976" i="11"/>
  <c r="N976" i="11"/>
  <c r="I974" i="11"/>
  <c r="N974" i="11"/>
  <c r="I972" i="11"/>
  <c r="N972" i="11"/>
  <c r="I970" i="11"/>
  <c r="N970" i="11"/>
  <c r="I968" i="11"/>
  <c r="N968" i="11"/>
  <c r="I966" i="11"/>
  <c r="N966" i="11"/>
  <c r="I964" i="11"/>
  <c r="N964" i="11"/>
  <c r="I962" i="11"/>
  <c r="N962" i="11"/>
  <c r="I960" i="11"/>
  <c r="N960" i="11"/>
  <c r="I958" i="11"/>
  <c r="N958" i="11"/>
  <c r="I956" i="11"/>
  <c r="N956" i="11"/>
  <c r="I954" i="11"/>
  <c r="N954" i="11"/>
  <c r="I952" i="11"/>
  <c r="N952" i="11"/>
  <c r="I950" i="11"/>
  <c r="N950" i="11"/>
  <c r="I948" i="11"/>
  <c r="N948" i="11"/>
  <c r="I946" i="11"/>
  <c r="N946" i="11"/>
  <c r="I944" i="11"/>
  <c r="N944" i="11"/>
  <c r="I942" i="11"/>
  <c r="N942" i="11"/>
  <c r="I940" i="11"/>
  <c r="N940" i="11"/>
  <c r="I938" i="11"/>
  <c r="N938" i="11"/>
  <c r="I936" i="11"/>
  <c r="N936" i="11"/>
  <c r="I934" i="11"/>
  <c r="N934" i="11"/>
  <c r="I932" i="11"/>
  <c r="N932" i="11"/>
  <c r="I930" i="11"/>
  <c r="N930" i="11"/>
  <c r="I928" i="11"/>
  <c r="N928" i="11"/>
  <c r="I926" i="11"/>
  <c r="N926" i="11"/>
  <c r="I924" i="11"/>
  <c r="N924" i="11"/>
  <c r="I922" i="11"/>
  <c r="N922" i="11"/>
  <c r="I920" i="11"/>
  <c r="N920" i="11"/>
  <c r="I918" i="11"/>
  <c r="N918" i="11"/>
  <c r="I916" i="11"/>
  <c r="N916" i="11"/>
  <c r="I914" i="11"/>
  <c r="N914" i="11"/>
  <c r="I912" i="11"/>
  <c r="N912" i="11"/>
  <c r="I910" i="11"/>
  <c r="N910" i="11"/>
  <c r="I908" i="11"/>
  <c r="N908" i="11"/>
  <c r="I906" i="11"/>
  <c r="N906" i="11"/>
  <c r="I904" i="11"/>
  <c r="N904" i="11"/>
  <c r="I902" i="11"/>
  <c r="N902" i="11"/>
  <c r="I900" i="11"/>
  <c r="N900" i="11"/>
  <c r="I898" i="11"/>
  <c r="N898" i="11"/>
  <c r="I896" i="11"/>
  <c r="N896" i="11"/>
  <c r="I894" i="11"/>
  <c r="N894" i="11"/>
  <c r="I892" i="11"/>
  <c r="N892" i="11"/>
  <c r="I890" i="11"/>
  <c r="N890" i="11"/>
  <c r="I888" i="11"/>
  <c r="N888" i="11"/>
  <c r="I886" i="11"/>
  <c r="N886" i="11"/>
  <c r="I884" i="11"/>
  <c r="N884" i="11"/>
  <c r="I882" i="11"/>
  <c r="N882" i="11"/>
  <c r="I880" i="11"/>
  <c r="N880" i="11"/>
  <c r="I878" i="11"/>
  <c r="N878" i="11"/>
  <c r="I876" i="11"/>
  <c r="N876" i="11"/>
  <c r="I874" i="11"/>
  <c r="N874" i="11"/>
  <c r="I872" i="11"/>
  <c r="N872" i="11"/>
  <c r="I870" i="11"/>
  <c r="N870" i="11"/>
  <c r="I868" i="11"/>
  <c r="N868" i="11"/>
  <c r="I866" i="11"/>
  <c r="N866" i="11"/>
  <c r="I864" i="11"/>
  <c r="N864" i="11"/>
  <c r="I862" i="11"/>
  <c r="N862" i="11"/>
  <c r="I860" i="11"/>
  <c r="N860" i="11"/>
  <c r="I858" i="11"/>
  <c r="N858" i="11"/>
  <c r="I856" i="11"/>
  <c r="N856" i="11"/>
  <c r="I854" i="11"/>
  <c r="N854" i="11"/>
  <c r="I852" i="11"/>
  <c r="N852" i="11"/>
  <c r="I850" i="11"/>
  <c r="N850" i="11"/>
  <c r="I848" i="11"/>
  <c r="N848" i="11"/>
  <c r="I846" i="11"/>
  <c r="N846" i="11"/>
  <c r="I844" i="11"/>
  <c r="N844" i="11"/>
  <c r="I842" i="11"/>
  <c r="N842" i="11"/>
  <c r="I840" i="11"/>
  <c r="N840" i="11"/>
  <c r="I838" i="11"/>
  <c r="N838" i="11"/>
  <c r="I836" i="11"/>
  <c r="N836" i="11"/>
  <c r="I834" i="11"/>
  <c r="N834" i="11"/>
  <c r="I832" i="11"/>
  <c r="N832" i="11"/>
  <c r="I830" i="11"/>
  <c r="N830" i="11"/>
  <c r="I828" i="11"/>
  <c r="N828" i="11"/>
  <c r="I826" i="11"/>
  <c r="N826" i="11"/>
  <c r="I824" i="11"/>
  <c r="N824" i="11"/>
  <c r="I822" i="11"/>
  <c r="N822" i="11"/>
  <c r="I820" i="11"/>
  <c r="N820" i="11"/>
  <c r="I818" i="11"/>
  <c r="N818" i="11"/>
  <c r="I816" i="11"/>
  <c r="N816" i="11"/>
  <c r="I814" i="11"/>
  <c r="N814" i="11"/>
  <c r="I812" i="11"/>
  <c r="N812" i="11"/>
  <c r="I810" i="11"/>
  <c r="N810" i="11"/>
  <c r="I808" i="11"/>
  <c r="N808" i="11"/>
  <c r="I806" i="11"/>
  <c r="N806" i="11"/>
  <c r="I804" i="11"/>
  <c r="N804" i="11"/>
  <c r="I802" i="11"/>
  <c r="N802" i="11"/>
  <c r="I800" i="11"/>
  <c r="N800" i="11"/>
  <c r="I798" i="11"/>
  <c r="N798" i="11"/>
  <c r="I796" i="11"/>
  <c r="N796" i="11"/>
  <c r="I794" i="11"/>
  <c r="N794" i="11"/>
  <c r="I792" i="11"/>
  <c r="N792" i="11"/>
  <c r="I790" i="11"/>
  <c r="N790" i="11"/>
  <c r="I788" i="11"/>
  <c r="N788" i="11"/>
  <c r="I786" i="11"/>
  <c r="N786" i="11"/>
  <c r="I784" i="11"/>
  <c r="N784" i="11"/>
  <c r="I782" i="11"/>
  <c r="N782" i="11"/>
  <c r="I780" i="11"/>
  <c r="N780" i="11"/>
  <c r="I778" i="11"/>
  <c r="N778" i="11"/>
  <c r="I776" i="11"/>
  <c r="N776" i="11"/>
  <c r="I774" i="11"/>
  <c r="N774" i="11"/>
  <c r="I772" i="11"/>
  <c r="N772" i="11"/>
  <c r="I770" i="11"/>
  <c r="N770" i="11"/>
  <c r="I768" i="11"/>
  <c r="N768" i="11"/>
  <c r="I766" i="11"/>
  <c r="N766" i="11"/>
  <c r="I764" i="11"/>
  <c r="N764" i="11"/>
  <c r="I762" i="11"/>
  <c r="N762" i="11"/>
  <c r="I760" i="11"/>
  <c r="N760" i="11"/>
  <c r="I758" i="11"/>
  <c r="N758" i="11"/>
  <c r="I756" i="11"/>
  <c r="N756" i="11"/>
  <c r="I754" i="11"/>
  <c r="N754" i="11"/>
  <c r="I752" i="11"/>
  <c r="N752" i="11"/>
  <c r="I750" i="11"/>
  <c r="N750" i="11"/>
  <c r="I748" i="11"/>
  <c r="N748" i="11"/>
  <c r="I746" i="11"/>
  <c r="N746" i="11"/>
  <c r="I744" i="11"/>
  <c r="N744" i="11"/>
  <c r="I742" i="11"/>
  <c r="N742" i="11"/>
  <c r="I740" i="11"/>
  <c r="N740" i="11"/>
  <c r="I738" i="11"/>
  <c r="N738" i="11"/>
  <c r="I736" i="11"/>
  <c r="N736" i="11"/>
  <c r="I734" i="11"/>
  <c r="N734" i="11"/>
  <c r="I732" i="11"/>
  <c r="N732" i="11"/>
  <c r="I730" i="11"/>
  <c r="N730" i="11"/>
  <c r="I728" i="11"/>
  <c r="N728" i="11"/>
  <c r="I726" i="11"/>
  <c r="N726" i="11"/>
  <c r="I724" i="11"/>
  <c r="N724" i="11"/>
  <c r="I722" i="11"/>
  <c r="N722" i="11"/>
  <c r="I720" i="11"/>
  <c r="N720" i="11"/>
  <c r="I718" i="11"/>
  <c r="N718" i="11"/>
  <c r="I716" i="11"/>
  <c r="N716" i="11"/>
  <c r="I714" i="11"/>
  <c r="N714" i="11"/>
  <c r="I712" i="11"/>
  <c r="N712" i="11"/>
  <c r="I710" i="11"/>
  <c r="N710" i="11"/>
  <c r="I708" i="11"/>
  <c r="N708" i="11"/>
  <c r="I706" i="11"/>
  <c r="N706" i="11"/>
  <c r="I704" i="11"/>
  <c r="N704" i="11"/>
  <c r="I702" i="11"/>
  <c r="N702" i="11"/>
  <c r="I700" i="11"/>
  <c r="N700" i="11"/>
  <c r="I698" i="11"/>
  <c r="N698" i="11"/>
  <c r="I696" i="11"/>
  <c r="N696" i="11"/>
  <c r="I694" i="11"/>
  <c r="N694" i="11"/>
  <c r="I692" i="11"/>
  <c r="N692" i="11"/>
  <c r="I690" i="11"/>
  <c r="N690" i="11"/>
  <c r="I688" i="11"/>
  <c r="N688" i="11"/>
  <c r="I686" i="11"/>
  <c r="N686" i="11"/>
  <c r="I684" i="11"/>
  <c r="N684" i="11"/>
  <c r="I682" i="11"/>
  <c r="N682" i="11"/>
  <c r="I680" i="11"/>
  <c r="N680" i="11"/>
  <c r="I678" i="11"/>
  <c r="N678" i="11"/>
  <c r="I676" i="11"/>
  <c r="N676" i="11"/>
  <c r="I674" i="11"/>
  <c r="N674" i="11"/>
  <c r="I672" i="11"/>
  <c r="N672" i="11"/>
  <c r="I670" i="11"/>
  <c r="N670" i="11"/>
  <c r="I668" i="11"/>
  <c r="N668" i="11"/>
  <c r="I666" i="11"/>
  <c r="N666" i="11"/>
  <c r="I664" i="11"/>
  <c r="N664" i="11"/>
  <c r="I662" i="11"/>
  <c r="N662" i="11"/>
  <c r="I660" i="11"/>
  <c r="N660" i="11"/>
  <c r="I658" i="11"/>
  <c r="N658" i="11"/>
  <c r="I656" i="11"/>
  <c r="N656" i="11"/>
  <c r="I654" i="11"/>
  <c r="N654" i="11"/>
  <c r="I652" i="11"/>
  <c r="N652" i="11"/>
  <c r="I650" i="11"/>
  <c r="N650" i="11"/>
  <c r="I648" i="11"/>
  <c r="N648" i="11"/>
  <c r="I646" i="11"/>
  <c r="N646" i="11"/>
  <c r="I644" i="11"/>
  <c r="N644" i="11"/>
  <c r="I642" i="11"/>
  <c r="N642" i="11"/>
  <c r="I640" i="11"/>
  <c r="N640" i="11"/>
  <c r="I638" i="11"/>
  <c r="N638" i="11"/>
  <c r="I636" i="11"/>
  <c r="N636" i="11"/>
  <c r="I634" i="11"/>
  <c r="N634" i="11"/>
  <c r="I632" i="11"/>
  <c r="N632" i="11"/>
  <c r="I630" i="11"/>
  <c r="N630" i="11"/>
  <c r="I628" i="11"/>
  <c r="N628" i="11"/>
  <c r="I626" i="11"/>
  <c r="N626" i="11"/>
  <c r="I624" i="11"/>
  <c r="N624" i="11"/>
  <c r="I622" i="11"/>
  <c r="N622" i="11"/>
  <c r="I620" i="11"/>
  <c r="N620" i="11"/>
  <c r="I618" i="11"/>
  <c r="N618" i="11"/>
  <c r="I616" i="11"/>
  <c r="N616" i="11"/>
  <c r="I614" i="11"/>
  <c r="N614" i="11"/>
  <c r="I612" i="11"/>
  <c r="N612" i="11"/>
  <c r="I610" i="11"/>
  <c r="N610" i="11"/>
  <c r="I608" i="11"/>
  <c r="N608" i="11"/>
  <c r="I606" i="11"/>
  <c r="N606" i="11"/>
  <c r="I604" i="11"/>
  <c r="N604" i="11"/>
  <c r="I602" i="11"/>
  <c r="N602" i="11"/>
  <c r="I600" i="11"/>
  <c r="N600" i="11"/>
  <c r="I598" i="11"/>
  <c r="N598" i="11"/>
  <c r="I596" i="11"/>
  <c r="N596" i="11"/>
  <c r="I594" i="11"/>
  <c r="N594" i="11"/>
  <c r="I592" i="11"/>
  <c r="N592" i="11"/>
  <c r="I590" i="11"/>
  <c r="N590" i="11"/>
  <c r="I588" i="11"/>
  <c r="N588" i="11"/>
  <c r="I586" i="11"/>
  <c r="N586" i="11"/>
  <c r="I584" i="11"/>
  <c r="N584" i="11"/>
  <c r="I582" i="11"/>
  <c r="N582" i="11"/>
  <c r="I580" i="11"/>
  <c r="N580" i="11"/>
  <c r="I578" i="11"/>
  <c r="N578" i="11"/>
  <c r="I576" i="11"/>
  <c r="N576" i="11"/>
  <c r="I574" i="11"/>
  <c r="N574" i="11"/>
  <c r="I572" i="11"/>
  <c r="N572" i="11"/>
  <c r="I570" i="11"/>
  <c r="N570" i="11"/>
  <c r="I568" i="11"/>
  <c r="N568" i="11"/>
  <c r="I566" i="11"/>
  <c r="N566" i="11"/>
  <c r="I564" i="11"/>
  <c r="N564" i="11"/>
  <c r="I562" i="11"/>
  <c r="N562" i="11"/>
  <c r="I560" i="11"/>
  <c r="N560" i="11"/>
  <c r="I558" i="11"/>
  <c r="N558" i="11"/>
  <c r="I556" i="11"/>
  <c r="N556" i="11"/>
  <c r="I554" i="11"/>
  <c r="N554" i="11"/>
  <c r="I552" i="11"/>
  <c r="N552" i="11"/>
  <c r="I550" i="11"/>
  <c r="N550" i="11"/>
  <c r="I548" i="11"/>
  <c r="N548" i="11"/>
  <c r="I546" i="11"/>
  <c r="N546" i="11"/>
  <c r="I544" i="11"/>
  <c r="N544" i="11"/>
  <c r="I542" i="11"/>
  <c r="N542" i="11"/>
  <c r="I540" i="11"/>
  <c r="N540" i="11"/>
  <c r="I538" i="11"/>
  <c r="N538" i="11"/>
  <c r="I536" i="11"/>
  <c r="N536" i="11"/>
  <c r="I534" i="11"/>
  <c r="N534" i="11"/>
  <c r="I532" i="11"/>
  <c r="N532" i="11"/>
  <c r="I530" i="11"/>
  <c r="N530" i="11"/>
  <c r="I528" i="11"/>
  <c r="N528" i="11"/>
  <c r="I526" i="11"/>
  <c r="N526" i="11"/>
  <c r="I524" i="11"/>
  <c r="N524" i="11"/>
  <c r="I522" i="11"/>
  <c r="N522" i="11"/>
  <c r="I520" i="11"/>
  <c r="N520" i="11"/>
  <c r="I518" i="11"/>
  <c r="N518" i="11"/>
  <c r="I516" i="11"/>
  <c r="N516" i="11"/>
  <c r="I514" i="11"/>
  <c r="N514" i="11"/>
  <c r="I512" i="11"/>
  <c r="N512" i="11"/>
  <c r="I510" i="11"/>
  <c r="N510" i="11"/>
  <c r="I508" i="11"/>
  <c r="N508" i="11"/>
  <c r="I506" i="11"/>
  <c r="N506" i="11"/>
  <c r="I504" i="11"/>
  <c r="N504" i="11"/>
  <c r="I502" i="11"/>
  <c r="N502" i="11"/>
  <c r="I500" i="11"/>
  <c r="N500" i="11"/>
  <c r="I498" i="11"/>
  <c r="N498" i="11"/>
  <c r="I496" i="11"/>
  <c r="N496" i="11"/>
  <c r="I494" i="11"/>
  <c r="N494" i="11"/>
  <c r="I492" i="11"/>
  <c r="N492" i="11"/>
  <c r="I490" i="11"/>
  <c r="N490" i="11"/>
  <c r="I488" i="11"/>
  <c r="N488" i="11"/>
  <c r="I486" i="11"/>
  <c r="N486" i="11"/>
  <c r="I484" i="11"/>
  <c r="N484" i="11"/>
  <c r="I482" i="11"/>
  <c r="N482" i="11"/>
  <c r="I480" i="11"/>
  <c r="N480" i="11"/>
  <c r="I478" i="11"/>
  <c r="N478" i="11"/>
  <c r="I476" i="11"/>
  <c r="N476" i="11"/>
  <c r="I474" i="11"/>
  <c r="N474" i="11"/>
  <c r="I472" i="11"/>
  <c r="N472" i="11"/>
  <c r="I470" i="11"/>
  <c r="N470" i="11"/>
  <c r="I468" i="11"/>
  <c r="N468" i="11"/>
  <c r="I466" i="11"/>
  <c r="N466" i="11"/>
  <c r="I464" i="11"/>
  <c r="N464" i="11"/>
  <c r="I462" i="11"/>
  <c r="N462" i="11"/>
  <c r="I460" i="11"/>
  <c r="N460" i="11"/>
  <c r="I458" i="11"/>
  <c r="N458" i="11"/>
  <c r="I456" i="11"/>
  <c r="N456" i="11"/>
  <c r="I454" i="11"/>
  <c r="N454" i="11"/>
  <c r="I452" i="11"/>
  <c r="N452" i="11"/>
  <c r="I450" i="11"/>
  <c r="N450" i="11"/>
  <c r="I448" i="11"/>
  <c r="N448" i="11"/>
  <c r="I446" i="11"/>
  <c r="N446" i="11"/>
  <c r="I444" i="11"/>
  <c r="N444" i="11"/>
  <c r="I442" i="11"/>
  <c r="N442" i="11"/>
  <c r="I440" i="11"/>
  <c r="N440" i="11"/>
  <c r="I438" i="11"/>
  <c r="N438" i="11"/>
  <c r="I436" i="11"/>
  <c r="N436" i="11"/>
  <c r="I434" i="11"/>
  <c r="N434" i="11"/>
  <c r="I432" i="11"/>
  <c r="N432" i="11"/>
  <c r="I430" i="11"/>
  <c r="N430" i="11"/>
  <c r="I428" i="11"/>
  <c r="N428" i="11"/>
  <c r="I426" i="11"/>
  <c r="N426" i="11"/>
  <c r="I424" i="11"/>
  <c r="N424" i="11"/>
  <c r="I422" i="11"/>
  <c r="N422" i="11"/>
  <c r="I420" i="11"/>
  <c r="N420" i="11"/>
  <c r="I418" i="11"/>
  <c r="N418" i="11"/>
  <c r="I416" i="11"/>
  <c r="N416" i="11"/>
  <c r="I414" i="11"/>
  <c r="N414" i="11"/>
  <c r="I412" i="11"/>
  <c r="N412" i="11"/>
  <c r="I410" i="11"/>
  <c r="N410" i="11"/>
  <c r="I408" i="11"/>
  <c r="N408" i="11"/>
  <c r="I406" i="11"/>
  <c r="N406" i="11"/>
  <c r="I404" i="11"/>
  <c r="N404" i="11"/>
  <c r="I402" i="11"/>
  <c r="N402" i="11"/>
  <c r="I400" i="11"/>
  <c r="N400" i="11"/>
  <c r="I398" i="11"/>
  <c r="N398" i="11"/>
  <c r="I396" i="11"/>
  <c r="N396" i="11"/>
  <c r="I394" i="11"/>
  <c r="N394" i="11"/>
  <c r="I392" i="11"/>
  <c r="N392" i="11"/>
  <c r="I390" i="11"/>
  <c r="N390" i="11"/>
  <c r="I388" i="11"/>
  <c r="N388" i="11"/>
  <c r="I386" i="11"/>
  <c r="N386" i="11"/>
  <c r="I384" i="11"/>
  <c r="N384" i="11"/>
  <c r="I382" i="11"/>
  <c r="N382" i="11"/>
  <c r="I380" i="11"/>
  <c r="N380" i="11"/>
  <c r="I378" i="11"/>
  <c r="N378" i="11"/>
  <c r="I376" i="11"/>
  <c r="N376" i="11"/>
  <c r="I374" i="11"/>
  <c r="N374" i="11"/>
  <c r="I372" i="11"/>
  <c r="N372" i="11"/>
  <c r="I370" i="11"/>
  <c r="N370" i="11"/>
  <c r="I368" i="11"/>
  <c r="N368" i="11"/>
  <c r="I366" i="11"/>
  <c r="N366" i="11"/>
  <c r="I364" i="11"/>
  <c r="N364" i="11"/>
  <c r="I362" i="11"/>
  <c r="N362" i="11"/>
  <c r="I360" i="11"/>
  <c r="N360" i="11"/>
  <c r="I358" i="11"/>
  <c r="N358" i="11"/>
  <c r="I356" i="11"/>
  <c r="N356" i="11"/>
  <c r="I354" i="11"/>
  <c r="N354" i="11"/>
  <c r="I352" i="11"/>
  <c r="N352" i="11"/>
  <c r="I350" i="11"/>
  <c r="N350" i="11"/>
  <c r="I348" i="11"/>
  <c r="N348" i="11"/>
  <c r="I346" i="11"/>
  <c r="N346" i="11"/>
  <c r="I344" i="11"/>
  <c r="N344" i="11"/>
  <c r="I342" i="11"/>
  <c r="N342" i="11"/>
  <c r="I340" i="11"/>
  <c r="N340" i="11"/>
  <c r="I338" i="11"/>
  <c r="N338" i="11"/>
  <c r="I336" i="11"/>
  <c r="N336" i="11"/>
  <c r="I334" i="11"/>
  <c r="N334" i="11"/>
  <c r="I332" i="11"/>
  <c r="N332" i="11"/>
  <c r="I330" i="11"/>
  <c r="N330" i="11"/>
  <c r="I328" i="11"/>
  <c r="N328" i="11"/>
  <c r="I326" i="11"/>
  <c r="N326" i="11"/>
  <c r="I324" i="11"/>
  <c r="N324" i="11"/>
  <c r="I322" i="11"/>
  <c r="N322" i="11"/>
  <c r="I320" i="11"/>
  <c r="N320" i="11"/>
  <c r="I318" i="11"/>
  <c r="N318" i="11"/>
  <c r="I316" i="11"/>
  <c r="N316" i="11"/>
  <c r="I314" i="11"/>
  <c r="N314" i="11"/>
  <c r="I312" i="11"/>
  <c r="N312" i="11"/>
  <c r="I310" i="11"/>
  <c r="N310" i="11"/>
  <c r="I308" i="11"/>
  <c r="N308" i="11"/>
  <c r="I306" i="11"/>
  <c r="N306" i="11"/>
  <c r="I304" i="11"/>
  <c r="N304" i="11"/>
  <c r="I302" i="11"/>
  <c r="N302" i="11"/>
  <c r="I300" i="11"/>
  <c r="N300" i="11"/>
  <c r="I298" i="11"/>
  <c r="N298" i="11"/>
  <c r="I296" i="11"/>
  <c r="N296" i="11"/>
  <c r="I294" i="11"/>
  <c r="N294" i="11"/>
  <c r="I292" i="11"/>
  <c r="N292" i="11"/>
  <c r="I290" i="11"/>
  <c r="N290" i="11"/>
  <c r="I288" i="11"/>
  <c r="N288" i="11"/>
  <c r="I286" i="11"/>
  <c r="N286" i="11"/>
  <c r="I284" i="11"/>
  <c r="N284" i="11"/>
  <c r="I282" i="11"/>
  <c r="N282" i="11"/>
  <c r="I280" i="11"/>
  <c r="N280" i="11"/>
  <c r="I278" i="11"/>
  <c r="N278" i="11"/>
  <c r="I276" i="11"/>
  <c r="N276" i="11"/>
  <c r="I274" i="11"/>
  <c r="N274" i="11"/>
  <c r="I272" i="11"/>
  <c r="N272" i="11"/>
  <c r="I270" i="11"/>
  <c r="N270" i="11"/>
  <c r="I268" i="11"/>
  <c r="N268" i="11"/>
  <c r="I266" i="11"/>
  <c r="N266" i="11"/>
  <c r="I264" i="11"/>
  <c r="N264" i="11"/>
  <c r="I262" i="11"/>
  <c r="N262" i="11"/>
  <c r="I260" i="11"/>
  <c r="N260" i="11"/>
  <c r="I258" i="11"/>
  <c r="N258" i="11"/>
  <c r="I256" i="11"/>
  <c r="N256" i="11"/>
  <c r="I254" i="11"/>
  <c r="N254" i="11"/>
  <c r="I252" i="11"/>
  <c r="N252" i="11"/>
  <c r="I250" i="11"/>
  <c r="N250" i="11"/>
  <c r="I248" i="11"/>
  <c r="N248" i="11"/>
  <c r="I246" i="11"/>
  <c r="N246" i="11"/>
  <c r="I244" i="11"/>
  <c r="N244" i="11"/>
  <c r="I242" i="11"/>
  <c r="N242" i="11"/>
  <c r="I240" i="11"/>
  <c r="N240" i="11"/>
  <c r="I238" i="11"/>
  <c r="N238" i="11"/>
  <c r="I236" i="11"/>
  <c r="N236" i="11"/>
  <c r="I234" i="11"/>
  <c r="N234" i="11"/>
  <c r="I232" i="11"/>
  <c r="N232" i="11"/>
  <c r="I230" i="11"/>
  <c r="N230" i="11"/>
  <c r="I228" i="11"/>
  <c r="N228" i="11"/>
  <c r="I226" i="11"/>
  <c r="N226" i="11"/>
  <c r="I224" i="11"/>
  <c r="N224" i="11"/>
  <c r="I222" i="11"/>
  <c r="N222" i="11"/>
  <c r="I220" i="11"/>
  <c r="N220" i="11"/>
  <c r="I218" i="11"/>
  <c r="N218" i="11"/>
  <c r="I216" i="11"/>
  <c r="N216" i="11"/>
  <c r="I214" i="11"/>
  <c r="N214" i="11"/>
  <c r="I212" i="11"/>
  <c r="N212" i="11"/>
  <c r="I210" i="11"/>
  <c r="N210" i="11"/>
  <c r="I208" i="11"/>
  <c r="N208" i="11"/>
  <c r="I206" i="11"/>
  <c r="N206" i="11"/>
  <c r="I204" i="11"/>
  <c r="N204" i="11"/>
  <c r="I202" i="11"/>
  <c r="N202" i="11"/>
  <c r="I200" i="11"/>
  <c r="N200" i="11"/>
  <c r="I198" i="11"/>
  <c r="N198" i="11"/>
  <c r="I196" i="11"/>
  <c r="N196" i="11"/>
  <c r="I194" i="11"/>
  <c r="N194" i="11"/>
  <c r="I192" i="11"/>
  <c r="N192" i="11"/>
  <c r="I190" i="11"/>
  <c r="N190" i="11"/>
  <c r="I188" i="11"/>
  <c r="N188" i="11"/>
  <c r="I186" i="11"/>
  <c r="N186" i="11"/>
  <c r="I184" i="11"/>
  <c r="N184" i="11"/>
  <c r="I182" i="11"/>
  <c r="N182" i="11"/>
  <c r="I180" i="11"/>
  <c r="N180" i="11"/>
  <c r="I178" i="11"/>
  <c r="N178" i="11"/>
  <c r="I176" i="11"/>
  <c r="N176" i="11"/>
  <c r="I174" i="11"/>
  <c r="N174" i="11"/>
  <c r="I172" i="11"/>
  <c r="N172" i="11"/>
  <c r="I170" i="11"/>
  <c r="N170" i="11"/>
  <c r="I168" i="11"/>
  <c r="N168" i="11"/>
  <c r="I166" i="11"/>
  <c r="N166" i="11"/>
  <c r="I164" i="11"/>
  <c r="N164" i="11"/>
  <c r="I162" i="11"/>
  <c r="N162" i="11"/>
  <c r="I160" i="11"/>
  <c r="N160" i="11"/>
  <c r="I158" i="11"/>
  <c r="N158" i="11"/>
  <c r="I156" i="11"/>
  <c r="N156" i="11"/>
  <c r="I154" i="11"/>
  <c r="N154" i="11"/>
  <c r="I152" i="11"/>
  <c r="N152" i="11"/>
  <c r="I150" i="11"/>
  <c r="N150" i="11"/>
  <c r="I148" i="11"/>
  <c r="N148" i="11"/>
  <c r="I146" i="11"/>
  <c r="N146" i="11"/>
  <c r="I144" i="11"/>
  <c r="N144" i="11"/>
  <c r="I142" i="11"/>
  <c r="N142" i="11"/>
  <c r="I140" i="11"/>
  <c r="N140" i="11"/>
  <c r="I138" i="11"/>
  <c r="N138" i="11"/>
  <c r="I136" i="11"/>
  <c r="N136" i="11"/>
  <c r="I134" i="11"/>
  <c r="N134" i="11"/>
  <c r="I132" i="11"/>
  <c r="N132" i="11"/>
  <c r="I130" i="11"/>
  <c r="N130" i="11"/>
  <c r="I128" i="11"/>
  <c r="N128" i="11"/>
  <c r="I126" i="11"/>
  <c r="N126" i="11"/>
  <c r="I124" i="11"/>
  <c r="N124" i="11"/>
  <c r="I122" i="11"/>
  <c r="N122" i="11"/>
  <c r="I120" i="11"/>
  <c r="N120" i="11"/>
  <c r="I118" i="11"/>
  <c r="N118" i="11"/>
  <c r="I116" i="11"/>
  <c r="N116" i="11"/>
  <c r="I114" i="11"/>
  <c r="N114" i="11"/>
  <c r="I112" i="11"/>
  <c r="N112" i="11"/>
  <c r="I110" i="11"/>
  <c r="N110" i="11"/>
  <c r="I108" i="11"/>
  <c r="N108" i="11"/>
  <c r="I106" i="11"/>
  <c r="N106" i="11"/>
  <c r="I104" i="11"/>
  <c r="N104" i="11"/>
  <c r="I102" i="11"/>
  <c r="N102" i="11"/>
  <c r="I100" i="11"/>
  <c r="N100" i="11"/>
  <c r="I98" i="11"/>
  <c r="N98" i="11"/>
  <c r="I96" i="11"/>
  <c r="N96" i="11"/>
  <c r="I94" i="11"/>
  <c r="N94" i="11"/>
  <c r="I92" i="11"/>
  <c r="N92" i="11"/>
  <c r="I90" i="11"/>
  <c r="N90" i="11"/>
  <c r="I88" i="11"/>
  <c r="N88" i="11"/>
  <c r="I86" i="11"/>
  <c r="N86" i="11"/>
  <c r="I84" i="11"/>
  <c r="N84" i="11"/>
  <c r="I82" i="11"/>
  <c r="N82" i="11"/>
  <c r="I80" i="11"/>
  <c r="N80" i="11"/>
  <c r="I78" i="11"/>
  <c r="N78" i="11"/>
  <c r="I76" i="11"/>
  <c r="N76" i="11"/>
  <c r="I74" i="11"/>
  <c r="N74" i="11"/>
  <c r="I72" i="11"/>
  <c r="N72" i="11"/>
  <c r="I70" i="11"/>
  <c r="N70" i="11"/>
  <c r="I68" i="11"/>
  <c r="N68" i="11"/>
  <c r="I66" i="11"/>
  <c r="N66" i="11"/>
  <c r="I64" i="11"/>
  <c r="N64" i="11"/>
  <c r="I62" i="11"/>
  <c r="N62" i="11"/>
  <c r="I60" i="11"/>
  <c r="N60" i="11"/>
  <c r="I58" i="11"/>
  <c r="N58" i="11"/>
  <c r="I56" i="11"/>
  <c r="N56" i="11"/>
  <c r="I54" i="11"/>
  <c r="N54" i="11"/>
  <c r="I52" i="11"/>
  <c r="N52" i="11"/>
  <c r="I50" i="11"/>
  <c r="N50" i="11"/>
  <c r="I48" i="11"/>
  <c r="N48" i="11"/>
  <c r="I46" i="11"/>
  <c r="N46" i="11"/>
  <c r="I44" i="11"/>
  <c r="N44" i="11"/>
  <c r="I42" i="11"/>
  <c r="N42" i="11"/>
  <c r="I40" i="11"/>
  <c r="N40" i="11"/>
  <c r="I38" i="11"/>
  <c r="N38" i="11"/>
  <c r="I36" i="11"/>
  <c r="N36" i="11"/>
  <c r="I34" i="11"/>
  <c r="N34" i="11"/>
  <c r="I32" i="11"/>
  <c r="N32" i="11"/>
  <c r="I30" i="11"/>
  <c r="N30" i="11"/>
  <c r="I28" i="11"/>
  <c r="N28" i="11"/>
  <c r="I26" i="11"/>
  <c r="N26" i="11"/>
  <c r="I24" i="11"/>
  <c r="N24" i="11"/>
  <c r="I22" i="11"/>
  <c r="N22" i="11"/>
  <c r="I20" i="11"/>
  <c r="N20" i="11"/>
  <c r="I18" i="11"/>
  <c r="N18" i="11"/>
  <c r="I16" i="11"/>
  <c r="N16" i="11"/>
  <c r="N6184" i="11"/>
  <c r="N6180" i="11"/>
  <c r="N6176" i="11"/>
  <c r="N6172" i="11"/>
  <c r="N6168" i="11"/>
  <c r="N6164" i="11"/>
  <c r="N6160" i="11"/>
  <c r="N6156" i="11"/>
  <c r="N6152" i="11"/>
  <c r="N6148" i="11"/>
  <c r="N6144" i="11"/>
  <c r="N6140" i="11"/>
  <c r="N6136" i="11"/>
  <c r="N6132" i="11"/>
  <c r="N6128" i="11"/>
  <c r="N6124" i="11"/>
  <c r="N6120" i="11"/>
  <c r="N6116" i="11"/>
  <c r="N6112" i="11"/>
  <c r="N6108" i="11"/>
  <c r="N6104" i="11"/>
  <c r="N6100" i="11"/>
  <c r="N6096" i="11"/>
  <c r="N6092" i="11"/>
  <c r="N6088" i="11"/>
  <c r="N6084" i="11"/>
  <c r="N6080" i="11"/>
  <c r="N6076" i="11"/>
  <c r="N6072" i="11"/>
  <c r="N6068" i="11"/>
  <c r="N6064" i="11"/>
  <c r="N6060" i="11"/>
  <c r="N6056" i="11"/>
  <c r="N6052" i="11"/>
  <c r="N6048" i="11"/>
  <c r="N6044" i="11"/>
  <c r="N6040" i="11"/>
  <c r="N6036" i="11"/>
  <c r="N6032" i="11"/>
  <c r="N6028" i="11"/>
  <c r="N6024" i="11"/>
  <c r="N6020" i="11"/>
  <c r="N6016" i="11"/>
  <c r="N6012" i="11"/>
  <c r="N6008" i="11"/>
  <c r="N6004" i="11"/>
  <c r="N6000" i="11"/>
  <c r="N5996" i="11"/>
  <c r="N5992" i="11"/>
  <c r="N5988" i="11"/>
  <c r="N5984" i="11"/>
  <c r="N5980" i="11"/>
  <c r="N5976" i="11"/>
  <c r="N5972" i="11"/>
  <c r="N5968" i="11"/>
  <c r="N5964" i="11"/>
  <c r="N5960" i="11"/>
  <c r="N5956" i="11"/>
  <c r="N5952" i="11"/>
  <c r="N5948" i="11"/>
  <c r="N5944" i="11"/>
  <c r="N5940" i="11"/>
  <c r="N5936" i="11"/>
  <c r="N5932" i="11"/>
  <c r="N5928" i="11"/>
  <c r="N5924" i="11"/>
  <c r="N5920" i="11"/>
  <c r="N5916" i="11"/>
  <c r="N5912" i="11"/>
  <c r="N5908" i="11"/>
  <c r="N5904" i="11"/>
  <c r="N5900" i="11"/>
  <c r="N5896" i="11"/>
  <c r="N5892" i="11"/>
  <c r="N5888" i="11"/>
  <c r="N5884" i="11"/>
  <c r="N5880" i="11"/>
  <c r="N5876" i="11"/>
  <c r="N5872" i="11"/>
  <c r="N5868" i="11"/>
  <c r="N5864" i="11"/>
  <c r="N5860" i="11"/>
  <c r="N5856" i="11"/>
  <c r="N5852" i="11"/>
  <c r="N5848" i="11"/>
  <c r="N5844" i="11"/>
  <c r="N5840" i="11"/>
  <c r="N5836" i="11"/>
  <c r="N5832" i="11"/>
  <c r="N5828" i="11"/>
  <c r="N5824" i="11"/>
  <c r="N5820" i="11"/>
  <c r="N5816" i="11"/>
  <c r="N5812" i="11"/>
  <c r="N5808" i="11"/>
  <c r="N5804" i="11"/>
  <c r="N5800" i="11"/>
  <c r="N5796" i="11"/>
  <c r="N5792" i="11"/>
  <c r="N5788" i="11"/>
  <c r="N5784" i="11"/>
  <c r="N5780" i="11"/>
  <c r="N5776" i="11"/>
  <c r="N5772" i="11"/>
  <c r="N5768" i="11"/>
  <c r="N5764" i="11"/>
  <c r="N5760" i="11"/>
  <c r="N5756" i="11"/>
  <c r="N5752" i="11"/>
  <c r="N5748" i="11"/>
  <c r="N5744" i="11"/>
  <c r="N5740" i="11"/>
  <c r="N5736" i="11"/>
  <c r="N5732" i="11"/>
  <c r="N5728" i="11"/>
  <c r="N5724" i="11"/>
  <c r="N5720" i="11"/>
  <c r="N5716" i="11"/>
  <c r="N5712" i="11"/>
  <c r="N5708" i="11"/>
  <c r="N5704" i="11"/>
  <c r="N5700" i="11"/>
  <c r="N5696" i="11"/>
  <c r="N5692" i="11"/>
  <c r="N5688" i="11"/>
  <c r="N5684" i="11"/>
  <c r="N5680" i="11"/>
  <c r="N5676" i="11"/>
  <c r="N5672" i="11"/>
  <c r="N5668" i="11"/>
  <c r="N5664" i="11"/>
  <c r="N5660" i="11"/>
  <c r="N5656" i="11"/>
  <c r="N5652" i="11"/>
  <c r="N5648" i="11"/>
  <c r="N5644" i="11"/>
  <c r="N5640" i="11"/>
  <c r="N5636" i="11"/>
  <c r="N5632" i="11"/>
  <c r="N5628" i="11"/>
  <c r="N5624" i="11"/>
  <c r="N5620" i="11"/>
  <c r="N5616" i="11"/>
  <c r="N5612" i="11"/>
  <c r="N5608" i="11"/>
  <c r="N5604" i="11"/>
  <c r="N5600" i="11"/>
  <c r="N5596" i="11"/>
  <c r="N5592" i="11"/>
  <c r="N5588" i="11"/>
  <c r="N5584" i="11"/>
  <c r="N5580" i="11"/>
  <c r="N5576" i="11"/>
  <c r="N5572" i="11"/>
  <c r="N5568" i="11"/>
  <c r="N5564" i="11"/>
  <c r="N5560" i="11"/>
  <c r="N5556" i="11"/>
  <c r="N5552" i="11"/>
  <c r="N5548" i="11"/>
  <c r="N5544" i="11"/>
  <c r="N5540" i="11"/>
  <c r="N5536" i="11"/>
  <c r="N5532" i="11"/>
  <c r="N5528" i="11"/>
  <c r="N5524" i="11"/>
  <c r="N5520" i="11"/>
  <c r="N5516" i="11"/>
  <c r="N5512" i="11"/>
  <c r="N5508" i="11"/>
  <c r="N5504" i="11"/>
  <c r="N5500" i="11"/>
  <c r="N5496" i="11"/>
  <c r="N5492" i="11"/>
  <c r="N5488" i="11"/>
  <c r="N5484" i="11"/>
  <c r="N5480" i="11"/>
  <c r="N5476" i="11"/>
  <c r="N5472" i="11"/>
  <c r="N5468" i="11"/>
  <c r="N5464" i="11"/>
  <c r="N5460" i="11"/>
  <c r="N5456" i="11"/>
  <c r="N5452" i="11"/>
  <c r="N5448" i="11"/>
  <c r="N5444" i="11"/>
  <c r="N5440" i="11"/>
  <c r="N5436" i="11"/>
  <c r="N5432" i="11"/>
  <c r="N5428" i="11"/>
  <c r="N5424" i="11"/>
  <c r="N5420" i="11"/>
  <c r="N5416" i="11"/>
  <c r="N5412" i="11"/>
  <c r="N5408" i="11"/>
  <c r="N5404" i="11"/>
  <c r="N5400" i="11"/>
  <c r="N5396" i="11"/>
  <c r="N5392" i="11"/>
  <c r="N5388" i="11"/>
  <c r="N5384" i="11"/>
  <c r="N5380" i="11"/>
  <c r="N5376" i="11"/>
  <c r="N5372" i="11"/>
  <c r="N5368" i="11"/>
  <c r="N5364" i="11"/>
  <c r="N5360" i="11"/>
  <c r="N5356" i="11"/>
  <c r="N5352" i="11"/>
  <c r="N5348" i="11"/>
  <c r="N5344" i="11"/>
  <c r="N5340" i="11"/>
  <c r="N5336" i="11"/>
  <c r="N5332" i="11"/>
  <c r="N5328" i="11"/>
  <c r="N5324" i="11"/>
  <c r="N5320" i="11"/>
  <c r="N5316" i="11"/>
  <c r="N5312" i="11"/>
  <c r="N5308" i="11"/>
  <c r="N5304" i="11"/>
  <c r="N5300" i="11"/>
  <c r="N5296" i="11"/>
  <c r="N5292" i="11"/>
  <c r="N5288" i="11"/>
  <c r="N5284" i="11"/>
  <c r="N5280" i="11"/>
  <c r="N5276" i="11"/>
  <c r="N5272" i="11"/>
  <c r="N5268" i="11"/>
  <c r="N5264" i="11"/>
  <c r="N5260" i="11"/>
  <c r="N5256" i="11"/>
  <c r="N5252" i="11"/>
  <c r="N5248" i="11"/>
  <c r="N5244" i="11"/>
  <c r="N5240" i="11"/>
  <c r="N5236" i="11"/>
  <c r="N5232" i="11"/>
  <c r="N5228" i="11"/>
  <c r="N5224" i="11"/>
  <c r="N5220" i="11"/>
  <c r="N5216" i="11"/>
  <c r="N5212" i="11"/>
  <c r="N5208" i="11"/>
  <c r="N5204" i="11"/>
  <c r="N5200" i="11"/>
  <c r="N5196" i="11"/>
  <c r="N5192" i="11"/>
  <c r="N5188" i="11"/>
  <c r="N5184" i="11"/>
  <c r="N5180" i="11"/>
  <c r="N5176" i="11"/>
  <c r="N5172" i="11"/>
  <c r="N5168" i="11"/>
  <c r="N5164" i="11"/>
  <c r="N5160" i="11"/>
  <c r="N5156" i="11"/>
  <c r="N5152" i="11"/>
  <c r="N5148" i="11"/>
  <c r="N5144" i="11"/>
  <c r="N5140" i="11"/>
  <c r="N5136" i="11"/>
  <c r="N5132" i="11"/>
  <c r="N5128" i="11"/>
  <c r="N5124" i="11"/>
  <c r="N5120" i="11"/>
  <c r="N5116" i="11"/>
  <c r="N5112" i="11"/>
  <c r="N5108" i="11"/>
  <c r="N5104" i="11"/>
  <c r="N5100" i="11"/>
  <c r="N5096" i="11"/>
  <c r="N5092" i="11"/>
  <c r="N5088" i="11"/>
  <c r="N5084" i="11"/>
  <c r="N5080" i="11"/>
  <c r="N5076" i="11"/>
  <c r="N5072" i="11"/>
  <c r="N5068" i="11"/>
  <c r="N5064" i="11"/>
  <c r="N5060" i="11"/>
  <c r="N5056" i="11"/>
  <c r="N5052" i="11"/>
  <c r="N5048" i="11"/>
  <c r="N5044" i="11"/>
  <c r="N5040" i="11"/>
  <c r="N5036" i="11"/>
  <c r="N5032" i="11"/>
  <c r="N5028" i="11"/>
  <c r="N5024" i="11"/>
  <c r="N5020" i="11"/>
  <c r="N5016" i="11"/>
  <c r="N5012" i="11"/>
  <c r="N5008" i="11"/>
  <c r="N5004" i="11"/>
  <c r="N5000" i="11"/>
  <c r="N4996" i="11"/>
  <c r="N4992" i="11"/>
  <c r="N4988" i="11"/>
  <c r="N4984" i="11"/>
  <c r="N4980" i="11"/>
  <c r="N4976" i="11"/>
  <c r="N4972" i="11"/>
  <c r="N4968" i="11"/>
  <c r="N4964" i="11"/>
  <c r="N4960" i="11"/>
  <c r="N4956" i="11"/>
  <c r="N4952" i="11"/>
  <c r="N4948" i="11"/>
  <c r="N4944" i="11"/>
  <c r="N4940" i="11"/>
  <c r="N4936" i="11"/>
  <c r="N4932" i="11"/>
  <c r="N4928" i="11"/>
  <c r="N4924" i="11"/>
  <c r="N4920" i="11"/>
  <c r="N4916" i="11"/>
  <c r="N4912" i="11"/>
  <c r="N4908" i="11"/>
  <c r="N4904" i="11"/>
  <c r="N4900" i="11"/>
  <c r="N4896" i="11"/>
  <c r="N4892" i="11"/>
  <c r="N4888" i="11"/>
  <c r="N4884" i="11"/>
  <c r="N4880" i="11"/>
  <c r="N4876" i="11"/>
  <c r="N4872" i="11"/>
  <c r="N4868" i="11"/>
  <c r="N4864" i="11"/>
  <c r="N4860" i="11"/>
  <c r="N4856" i="11"/>
  <c r="N4852" i="11"/>
  <c r="N4848" i="11"/>
  <c r="N4844" i="11"/>
  <c r="N4840" i="11"/>
  <c r="N4836" i="11"/>
  <c r="N4832" i="11"/>
  <c r="N4828" i="11"/>
  <c r="N4824" i="11"/>
  <c r="N4820" i="11"/>
  <c r="N4816" i="11"/>
  <c r="N4812" i="11"/>
  <c r="N4808" i="11"/>
  <c r="N4804" i="11"/>
  <c r="N4800" i="11"/>
  <c r="N4796" i="11"/>
  <c r="N4792" i="11"/>
  <c r="N4788" i="11"/>
  <c r="N4784" i="11"/>
  <c r="N4780" i="11"/>
  <c r="N4776" i="11"/>
  <c r="N4772" i="11"/>
  <c r="N4768" i="11"/>
  <c r="N4764" i="11"/>
  <c r="N4760" i="11"/>
  <c r="N4756" i="11"/>
  <c r="N4752" i="11"/>
  <c r="N4748" i="11"/>
  <c r="N4744" i="11"/>
  <c r="N4740" i="11"/>
  <c r="N4736" i="11"/>
  <c r="N4732" i="11"/>
  <c r="N4728" i="11"/>
  <c r="N4724" i="11"/>
  <c r="N4720" i="11"/>
  <c r="N4716" i="11"/>
  <c r="N4712" i="11"/>
  <c r="N4708" i="11"/>
  <c r="N4704" i="11"/>
  <c r="N4700" i="11"/>
  <c r="N4696" i="11"/>
  <c r="N4692" i="11"/>
  <c r="N4688" i="11"/>
  <c r="N4684" i="11"/>
  <c r="N4680" i="11"/>
  <c r="N4676" i="11"/>
  <c r="N4672" i="11"/>
  <c r="N4668" i="11"/>
  <c r="N4664" i="11"/>
  <c r="N4660" i="11"/>
  <c r="N4656" i="11"/>
  <c r="N4652" i="11"/>
  <c r="N4648" i="11"/>
  <c r="N4644" i="11"/>
  <c r="N4640" i="11"/>
  <c r="N4636" i="11"/>
  <c r="N4632" i="11"/>
  <c r="N4628" i="11"/>
  <c r="N4624" i="11"/>
  <c r="N4620" i="11"/>
  <c r="N4616" i="11"/>
  <c r="N4612" i="11"/>
  <c r="N4608" i="11"/>
  <c r="N4604" i="11"/>
  <c r="N4600" i="11"/>
  <c r="N4596" i="11"/>
  <c r="N4592" i="11"/>
  <c r="N4588" i="11"/>
  <c r="N4584" i="11"/>
  <c r="N4580" i="11"/>
  <c r="N4576" i="11"/>
  <c r="N4572" i="11"/>
  <c r="N4568" i="11"/>
  <c r="N4564" i="11"/>
  <c r="N4560" i="11"/>
  <c r="N4556" i="11"/>
  <c r="N4552" i="11"/>
  <c r="N4548" i="11"/>
  <c r="N4544" i="11"/>
  <c r="N4540" i="11"/>
  <c r="N4536" i="11"/>
  <c r="N4532" i="11"/>
  <c r="N4528" i="11"/>
  <c r="N4524" i="11"/>
  <c r="N4520" i="11"/>
  <c r="N4516" i="11"/>
  <c r="N4512" i="11"/>
  <c r="N4508" i="11"/>
  <c r="N4504" i="11"/>
  <c r="N4500" i="11"/>
  <c r="N4496" i="11"/>
  <c r="N4492" i="11"/>
  <c r="N4488" i="11"/>
  <c r="N4484" i="11"/>
  <c r="N4480" i="11"/>
  <c r="N4476" i="11"/>
  <c r="N4472" i="11"/>
  <c r="N4468" i="11"/>
  <c r="N4464" i="11"/>
  <c r="N4460" i="11"/>
  <c r="N4456" i="11"/>
  <c r="N4452" i="11"/>
  <c r="N4448" i="11"/>
  <c r="N4444" i="11"/>
  <c r="N4440" i="11"/>
  <c r="N4436" i="11"/>
  <c r="N4432" i="11"/>
  <c r="N4428" i="11"/>
  <c r="N4424" i="11"/>
  <c r="N4420" i="11"/>
  <c r="N4416" i="11"/>
  <c r="N4412" i="11"/>
  <c r="N4408" i="11"/>
  <c r="N4404" i="11"/>
  <c r="N4400" i="11"/>
  <c r="N4396" i="11"/>
  <c r="N4392" i="11"/>
  <c r="N4388" i="11"/>
  <c r="N4384" i="11"/>
  <c r="N4380" i="11"/>
  <c r="N4376" i="11"/>
  <c r="N4372" i="11"/>
  <c r="N4368" i="11"/>
  <c r="N4364" i="11"/>
  <c r="N4360" i="11"/>
  <c r="N4356" i="11"/>
  <c r="N4352" i="11"/>
  <c r="N4348" i="11"/>
  <c r="N4344" i="11"/>
  <c r="N4340" i="11"/>
  <c r="N4336" i="11"/>
  <c r="N4332" i="11"/>
  <c r="N4328" i="11"/>
  <c r="N4324" i="11"/>
  <c r="N4320" i="11"/>
  <c r="N4316" i="11"/>
  <c r="N4312" i="11"/>
  <c r="N4308" i="11"/>
  <c r="N4304" i="11"/>
  <c r="N4300" i="11"/>
  <c r="N4296" i="11"/>
  <c r="N4292" i="11"/>
  <c r="N4288" i="11"/>
  <c r="N4284" i="11"/>
  <c r="N4280" i="11"/>
  <c r="N4276" i="11"/>
  <c r="N4272" i="11"/>
  <c r="N4268" i="11"/>
  <c r="N4264" i="11"/>
  <c r="N4260" i="11"/>
  <c r="N4256" i="11"/>
  <c r="N4252" i="11"/>
  <c r="N4248" i="11"/>
  <c r="N4244" i="11"/>
  <c r="N4240" i="11"/>
  <c r="N4236" i="11"/>
  <c r="N4232" i="11"/>
  <c r="N4228" i="11"/>
  <c r="N4224" i="11"/>
  <c r="N4220" i="11"/>
  <c r="N4216" i="11"/>
  <c r="N4212" i="11"/>
  <c r="N4208" i="11"/>
  <c r="N4204" i="11"/>
  <c r="N4200" i="11"/>
  <c r="N4196" i="11"/>
  <c r="N4192" i="11"/>
  <c r="N4188" i="11"/>
  <c r="N4184" i="11"/>
  <c r="N4180" i="11"/>
  <c r="N4176" i="11"/>
  <c r="N4172" i="11"/>
  <c r="N4168" i="11"/>
  <c r="N4164" i="11"/>
  <c r="N4160" i="11"/>
  <c r="N4156" i="11"/>
  <c r="N4152" i="11"/>
  <c r="N4148" i="11"/>
  <c r="N4144" i="11"/>
  <c r="N4140" i="11"/>
  <c r="N4136" i="11"/>
  <c r="N4132" i="11"/>
  <c r="N4128" i="11"/>
  <c r="N4124" i="11"/>
  <c r="N4120" i="11"/>
  <c r="N4116" i="11"/>
  <c r="N4112" i="11"/>
  <c r="N4108" i="11"/>
  <c r="N4104" i="11"/>
  <c r="N4100" i="11"/>
  <c r="N4096" i="11"/>
  <c r="N4092" i="11"/>
  <c r="N4088" i="11"/>
  <c r="N4084" i="11"/>
  <c r="N4080" i="11"/>
  <c r="N4076" i="11"/>
  <c r="N4072" i="11"/>
  <c r="N4068" i="11"/>
  <c r="N4064" i="11"/>
  <c r="N4060" i="11"/>
  <c r="N4056" i="11"/>
  <c r="N4052" i="11"/>
  <c r="N4048" i="11"/>
  <c r="N4044" i="11"/>
  <c r="N4040" i="11"/>
  <c r="N4036" i="11"/>
  <c r="N4032" i="11"/>
  <c r="N4028" i="11"/>
  <c r="N4024" i="11"/>
  <c r="N4020" i="11"/>
  <c r="N4016" i="11"/>
  <c r="N4012" i="11"/>
  <c r="N4008" i="11"/>
  <c r="N4004" i="11"/>
  <c r="N4000" i="11"/>
  <c r="N3996" i="11"/>
  <c r="N3992" i="11"/>
  <c r="N3988" i="11"/>
  <c r="N3984" i="11"/>
  <c r="N3980" i="11"/>
  <c r="N3976" i="11"/>
  <c r="N3972" i="11"/>
  <c r="N3968" i="11"/>
  <c r="N3964" i="11"/>
  <c r="N3960" i="11"/>
  <c r="N3956" i="11"/>
  <c r="N3952" i="11"/>
  <c r="N3948" i="11"/>
  <c r="N3944" i="11"/>
  <c r="N3940" i="11"/>
  <c r="N3936" i="11"/>
  <c r="N3932" i="11"/>
  <c r="N3928" i="11"/>
  <c r="N3924" i="11"/>
  <c r="N3920" i="11"/>
  <c r="N3916" i="11"/>
  <c r="N3912" i="11"/>
  <c r="N3908" i="11"/>
  <c r="N3904" i="11"/>
  <c r="N3900" i="11"/>
  <c r="N3896" i="11"/>
  <c r="N3892" i="11"/>
  <c r="N3888" i="11"/>
  <c r="N3884" i="11"/>
  <c r="N3880" i="11"/>
  <c r="N3876" i="11"/>
  <c r="N3872" i="11"/>
  <c r="N3868" i="11"/>
  <c r="N3864" i="11"/>
  <c r="N3860" i="11"/>
  <c r="N3856" i="11"/>
  <c r="N3852" i="11"/>
  <c r="N3848" i="11"/>
  <c r="N3844" i="11"/>
  <c r="N3840" i="11"/>
  <c r="N3836" i="11"/>
  <c r="N3832" i="11"/>
  <c r="N3828" i="11"/>
  <c r="N3824" i="11"/>
  <c r="N3820" i="11"/>
  <c r="N3816" i="11"/>
  <c r="N3812" i="11"/>
  <c r="N3808" i="11"/>
  <c r="N3804" i="11"/>
  <c r="N3800" i="11"/>
  <c r="N3796" i="11"/>
  <c r="N3792" i="11"/>
  <c r="N3788" i="11"/>
  <c r="N3784" i="11"/>
  <c r="N3780" i="11"/>
  <c r="N3776" i="11"/>
  <c r="N3772" i="11"/>
  <c r="N3768" i="11"/>
  <c r="N3764" i="11"/>
  <c r="N3760" i="11"/>
  <c r="N3756" i="11"/>
  <c r="N3752" i="11"/>
  <c r="N3748" i="11"/>
  <c r="N3744" i="11"/>
  <c r="N3740" i="11"/>
  <c r="N3736" i="11"/>
  <c r="N3732" i="11"/>
  <c r="N3728" i="11"/>
  <c r="N3724" i="11"/>
  <c r="N3720" i="11"/>
  <c r="N3716" i="11"/>
  <c r="N3712" i="11"/>
  <c r="N3708" i="11"/>
  <c r="N3704" i="11"/>
  <c r="N3700" i="11"/>
  <c r="N3696" i="11"/>
  <c r="N3692" i="11"/>
  <c r="N3688" i="11"/>
  <c r="N3684" i="11"/>
  <c r="N3680" i="11"/>
  <c r="N3676" i="11"/>
  <c r="N3672" i="11"/>
  <c r="N3668" i="11"/>
  <c r="N3664" i="11"/>
  <c r="N3660" i="11"/>
  <c r="N3656" i="11"/>
  <c r="N3652" i="11"/>
  <c r="N3648" i="11"/>
  <c r="N3644" i="11"/>
  <c r="N3640" i="11"/>
  <c r="N3636" i="11"/>
  <c r="N3632" i="11"/>
  <c r="N3628" i="11"/>
  <c r="N3624" i="11"/>
  <c r="N3620" i="11"/>
  <c r="N3616" i="11"/>
  <c r="N3612" i="11"/>
  <c r="N3608" i="11"/>
  <c r="N3604" i="11"/>
  <c r="N3600" i="11"/>
  <c r="N3596" i="11"/>
  <c r="N3592" i="11"/>
  <c r="N3588" i="11"/>
  <c r="N3584" i="11"/>
  <c r="N3580" i="11"/>
  <c r="N3576" i="11"/>
  <c r="N3572" i="11"/>
  <c r="N3568" i="11"/>
  <c r="N3564" i="11"/>
  <c r="N3560" i="11"/>
  <c r="N3556" i="11"/>
  <c r="N3552" i="11"/>
  <c r="N3548" i="11"/>
  <c r="N3544" i="11"/>
  <c r="N3540" i="11"/>
  <c r="N3536" i="11"/>
  <c r="N3532" i="11"/>
  <c r="N3528" i="11"/>
  <c r="N3524" i="11"/>
  <c r="N3520" i="11"/>
  <c r="N3516" i="11"/>
  <c r="N3512" i="11"/>
  <c r="N3508" i="11"/>
  <c r="N3504" i="11"/>
  <c r="N3500" i="11"/>
  <c r="N3496" i="11"/>
  <c r="N3492" i="11"/>
  <c r="N3488" i="11"/>
  <c r="N3484" i="11"/>
  <c r="N3480" i="11"/>
  <c r="N3476" i="11"/>
  <c r="N3472" i="11"/>
  <c r="N3468" i="11"/>
  <c r="N3464" i="11"/>
  <c r="N3460" i="11"/>
  <c r="N3456" i="11"/>
  <c r="N3452" i="11"/>
  <c r="N3448" i="11"/>
  <c r="N3444" i="11"/>
  <c r="N3440" i="11"/>
  <c r="N3436" i="11"/>
  <c r="N3432" i="11"/>
  <c r="N3428" i="11"/>
  <c r="N3424" i="11"/>
  <c r="N3420" i="11"/>
  <c r="N3416" i="11"/>
  <c r="N3412" i="11"/>
  <c r="N3408" i="11"/>
  <c r="N3404" i="11"/>
  <c r="N3400" i="11"/>
  <c r="N3396" i="11"/>
  <c r="N3392" i="11"/>
  <c r="N3388" i="11"/>
  <c r="N3384" i="11"/>
  <c r="N3380" i="11"/>
  <c r="N3376" i="11"/>
  <c r="N3372" i="11"/>
  <c r="N3368" i="11"/>
  <c r="N3364" i="11"/>
  <c r="N3360" i="11"/>
  <c r="N3356" i="11"/>
  <c r="N3352" i="11"/>
  <c r="N3348" i="11"/>
  <c r="N3344" i="11"/>
  <c r="N3340" i="11"/>
  <c r="N3336" i="11"/>
  <c r="N3332" i="11"/>
  <c r="N3328" i="11"/>
  <c r="N3324" i="11"/>
  <c r="N3320" i="11"/>
  <c r="N3316" i="11"/>
  <c r="N3312" i="11"/>
  <c r="N3308" i="11"/>
  <c r="N3304" i="11"/>
  <c r="N3300" i="11"/>
  <c r="N3296" i="11"/>
  <c r="N3292" i="11"/>
  <c r="N3288" i="11"/>
  <c r="N3284" i="11"/>
  <c r="N3280" i="11"/>
  <c r="N3276" i="11"/>
  <c r="N3272" i="11"/>
  <c r="N3268" i="11"/>
  <c r="N3264" i="11"/>
  <c r="N3260" i="11"/>
  <c r="N3256" i="11"/>
  <c r="N3252" i="11"/>
  <c r="N3248" i="11"/>
  <c r="N3244" i="11"/>
  <c r="N3240" i="11"/>
  <c r="N3236" i="11"/>
  <c r="N3232" i="11"/>
  <c r="N3228" i="11"/>
  <c r="N3224" i="11"/>
  <c r="N3220" i="11"/>
  <c r="N3216" i="11"/>
  <c r="N3212" i="11"/>
  <c r="N3208" i="11"/>
  <c r="N3204" i="11"/>
  <c r="N3200" i="11"/>
  <c r="N3196" i="11"/>
  <c r="N3192" i="11"/>
  <c r="N3188" i="11"/>
  <c r="N3184" i="11"/>
  <c r="N3180" i="11"/>
  <c r="N3176" i="11"/>
  <c r="N3172" i="11"/>
  <c r="N3168" i="11"/>
  <c r="N3164" i="11"/>
  <c r="N3160" i="11"/>
  <c r="N3156" i="11"/>
  <c r="N3152" i="11"/>
  <c r="N3148" i="11"/>
  <c r="N3144" i="11"/>
  <c r="N3140" i="11"/>
  <c r="N3136" i="11"/>
  <c r="N3132" i="11"/>
  <c r="N3128" i="11"/>
  <c r="N3124" i="11"/>
  <c r="N3120" i="11"/>
  <c r="N3116" i="11"/>
  <c r="N3112" i="11"/>
  <c r="N3108" i="11"/>
  <c r="N3104" i="11"/>
  <c r="N3100" i="11"/>
  <c r="N3096" i="11"/>
  <c r="N3092" i="11"/>
  <c r="N3088" i="11"/>
  <c r="N3084" i="11"/>
  <c r="N3080" i="11"/>
  <c r="N3076" i="11"/>
  <c r="N3072" i="11"/>
  <c r="N3068" i="11"/>
  <c r="N3064" i="11"/>
  <c r="N3060" i="11"/>
  <c r="N3056" i="11"/>
  <c r="N3052" i="11"/>
  <c r="N3048" i="11"/>
  <c r="N3044" i="11"/>
  <c r="N3040" i="11"/>
  <c r="N3036" i="11"/>
  <c r="N3032" i="11"/>
  <c r="N3028" i="11"/>
  <c r="N3024" i="11"/>
  <c r="N3020" i="11"/>
  <c r="N3016" i="11"/>
  <c r="N3012" i="11"/>
  <c r="N3008" i="11"/>
  <c r="N3004" i="11"/>
  <c r="N3000" i="11"/>
  <c r="N2996" i="11"/>
  <c r="N2992" i="11"/>
  <c r="N2988" i="11"/>
  <c r="N2984" i="11"/>
  <c r="N2980" i="11"/>
  <c r="N2976" i="11"/>
  <c r="N2972" i="11"/>
  <c r="N2968" i="11"/>
  <c r="N2964" i="11"/>
  <c r="N2960" i="11"/>
  <c r="N2956" i="11"/>
  <c r="N2952" i="11"/>
  <c r="N2948" i="11"/>
  <c r="N2944" i="11"/>
  <c r="N2940" i="11"/>
  <c r="N2936" i="11"/>
  <c r="N2932" i="11"/>
  <c r="N2928" i="11"/>
  <c r="N2924" i="11"/>
  <c r="N2920" i="11"/>
  <c r="N2916" i="11"/>
  <c r="N2912" i="11"/>
  <c r="N2908" i="11"/>
  <c r="N2904" i="11"/>
  <c r="N2900" i="11"/>
  <c r="N2896" i="11"/>
  <c r="N2892" i="11"/>
  <c r="N2888" i="11"/>
  <c r="N2884" i="11"/>
  <c r="N2880" i="11"/>
  <c r="N2876" i="11"/>
  <c r="N2872" i="11"/>
  <c r="N2868" i="11"/>
  <c r="N2864" i="11"/>
  <c r="N2860" i="11"/>
  <c r="N2856" i="11"/>
  <c r="N2852" i="11"/>
  <c r="N2848" i="11"/>
  <c r="N2844" i="11"/>
  <c r="N2840" i="11"/>
  <c r="N2836" i="11"/>
  <c r="N2832" i="11"/>
  <c r="N2828" i="11"/>
  <c r="N2824" i="11"/>
  <c r="N2820" i="11"/>
  <c r="N2816" i="11"/>
  <c r="N2812" i="11"/>
  <c r="N2808" i="11"/>
  <c r="N2804" i="11"/>
  <c r="N2800" i="11"/>
  <c r="N2796" i="11"/>
  <c r="N2792" i="11"/>
  <c r="N2788" i="11"/>
  <c r="N2784" i="11"/>
  <c r="N2780" i="11"/>
  <c r="N2776" i="11"/>
  <c r="N2772" i="11"/>
  <c r="N2768" i="11"/>
  <c r="N2764" i="11"/>
  <c r="N2760" i="11"/>
  <c r="N2756" i="11"/>
  <c r="N2752" i="11"/>
  <c r="N2748" i="11"/>
  <c r="N2744" i="11"/>
  <c r="N2740" i="11"/>
  <c r="N2736" i="11"/>
  <c r="N2732" i="11"/>
  <c r="N2728" i="11"/>
  <c r="N2724" i="11"/>
  <c r="N2720" i="11"/>
  <c r="N2716" i="11"/>
  <c r="N2712" i="11"/>
  <c r="N2708" i="11"/>
  <c r="N2704" i="11"/>
  <c r="N2700" i="11"/>
  <c r="N2696" i="11"/>
  <c r="N2692" i="11"/>
  <c r="N2688" i="11"/>
  <c r="N2684" i="11"/>
  <c r="N2680" i="11"/>
  <c r="N2676" i="11"/>
  <c r="N2672" i="11"/>
  <c r="N2668" i="11"/>
  <c r="N2664" i="11"/>
  <c r="N2660" i="11"/>
  <c r="N2656" i="11"/>
  <c r="N2652" i="11"/>
  <c r="N2648" i="11"/>
  <c r="N2644" i="11"/>
  <c r="N2640" i="11"/>
  <c r="N2636" i="11"/>
  <c r="N2632" i="11"/>
  <c r="N2628" i="11"/>
  <c r="N2624" i="11"/>
  <c r="N2620" i="11"/>
  <c r="N2616" i="11"/>
  <c r="N2612" i="11"/>
  <c r="N2608" i="11"/>
  <c r="N2604" i="11"/>
  <c r="N2600" i="11"/>
  <c r="N2596" i="11"/>
  <c r="N2592" i="11"/>
  <c r="N2588" i="11"/>
  <c r="N2584" i="11"/>
  <c r="N2580" i="11"/>
  <c r="N2576" i="11"/>
  <c r="N2572" i="11"/>
  <c r="N2568" i="11"/>
  <c r="N2564" i="11"/>
  <c r="N2560" i="11"/>
  <c r="N2556" i="11"/>
  <c r="N2552" i="11"/>
  <c r="N2548" i="11"/>
  <c r="N2544" i="11"/>
  <c r="N2540" i="11"/>
  <c r="N2536" i="11"/>
  <c r="N2532" i="11"/>
  <c r="N2528" i="11"/>
  <c r="N2524" i="11"/>
  <c r="N2520" i="11"/>
  <c r="N2516" i="11"/>
  <c r="N2512" i="11"/>
  <c r="N2508" i="11"/>
  <c r="N2504" i="11"/>
  <c r="N2500" i="11"/>
  <c r="I6185" i="11"/>
  <c r="N6185" i="11"/>
  <c r="I6183" i="11"/>
  <c r="N6183" i="11"/>
  <c r="I6181" i="11"/>
  <c r="N6181" i="11"/>
  <c r="I6179" i="11"/>
  <c r="N6179" i="11"/>
  <c r="I6177" i="11"/>
  <c r="N6177" i="11"/>
  <c r="I6175" i="11"/>
  <c r="N6175" i="11"/>
  <c r="I6173" i="11"/>
  <c r="N6173" i="11"/>
  <c r="I6171" i="11"/>
  <c r="N6171" i="11"/>
  <c r="I6169" i="11"/>
  <c r="N6169" i="11"/>
  <c r="I6167" i="11"/>
  <c r="N6167" i="11"/>
  <c r="I6165" i="11"/>
  <c r="N6165" i="11"/>
  <c r="I6163" i="11"/>
  <c r="N6163" i="11"/>
  <c r="I6161" i="11"/>
  <c r="N6161" i="11"/>
  <c r="I6159" i="11"/>
  <c r="N6159" i="11"/>
  <c r="I6157" i="11"/>
  <c r="N6157" i="11"/>
  <c r="I6155" i="11"/>
  <c r="N6155" i="11"/>
  <c r="I6153" i="11"/>
  <c r="N6153" i="11"/>
  <c r="I6151" i="11"/>
  <c r="N6151" i="11"/>
  <c r="I6149" i="11"/>
  <c r="N6149" i="11"/>
  <c r="I6147" i="11"/>
  <c r="N6147" i="11"/>
  <c r="I6145" i="11"/>
  <c r="N6145" i="11"/>
  <c r="I6143" i="11"/>
  <c r="N6143" i="11"/>
  <c r="I6141" i="11"/>
  <c r="N6141" i="11"/>
  <c r="I6139" i="11"/>
  <c r="N6139" i="11"/>
  <c r="I6137" i="11"/>
  <c r="N6137" i="11"/>
  <c r="I6135" i="11"/>
  <c r="N6135" i="11"/>
  <c r="I6133" i="11"/>
  <c r="N6133" i="11"/>
  <c r="I6131" i="11"/>
  <c r="N6131" i="11"/>
  <c r="I6129" i="11"/>
  <c r="N6129" i="11"/>
  <c r="I6127" i="11"/>
  <c r="N6127" i="11"/>
  <c r="I6125" i="11"/>
  <c r="N6125" i="11"/>
  <c r="I6123" i="11"/>
  <c r="N6123" i="11"/>
  <c r="I6121" i="11"/>
  <c r="N6121" i="11"/>
  <c r="I6119" i="11"/>
  <c r="N6119" i="11"/>
  <c r="I6117" i="11"/>
  <c r="N6117" i="11"/>
  <c r="I6115" i="11"/>
  <c r="N6115" i="11"/>
  <c r="I6113" i="11"/>
  <c r="N6113" i="11"/>
  <c r="I6111" i="11"/>
  <c r="N6111" i="11"/>
  <c r="I6109" i="11"/>
  <c r="N6109" i="11"/>
  <c r="I6107" i="11"/>
  <c r="N6107" i="11"/>
  <c r="I6105" i="11"/>
  <c r="N6105" i="11"/>
  <c r="I6103" i="11"/>
  <c r="N6103" i="11"/>
  <c r="I6101" i="11"/>
  <c r="N6101" i="11"/>
  <c r="I6099" i="11"/>
  <c r="N6099" i="11"/>
  <c r="I6097" i="11"/>
  <c r="N6097" i="11"/>
  <c r="I6095" i="11"/>
  <c r="N6095" i="11"/>
  <c r="I6093" i="11"/>
  <c r="N6093" i="11"/>
  <c r="I6091" i="11"/>
  <c r="N6091" i="11"/>
  <c r="I6089" i="11"/>
  <c r="N6089" i="11"/>
  <c r="I6087" i="11"/>
  <c r="N6087" i="11"/>
  <c r="I6085" i="11"/>
  <c r="N6085" i="11"/>
  <c r="I6083" i="11"/>
  <c r="N6083" i="11"/>
  <c r="I6081" i="11"/>
  <c r="N6081" i="11"/>
  <c r="I6079" i="11"/>
  <c r="N6079" i="11"/>
  <c r="I6077" i="11"/>
  <c r="N6077" i="11"/>
  <c r="I6075" i="11"/>
  <c r="N6075" i="11"/>
  <c r="I6073" i="11"/>
  <c r="N6073" i="11"/>
  <c r="I6071" i="11"/>
  <c r="N6071" i="11"/>
  <c r="I6069" i="11"/>
  <c r="N6069" i="11"/>
  <c r="I6067" i="11"/>
  <c r="N6067" i="11"/>
  <c r="I6065" i="11"/>
  <c r="N6065" i="11"/>
  <c r="I6063" i="11"/>
  <c r="N6063" i="11"/>
  <c r="I6061" i="11"/>
  <c r="N6061" i="11"/>
  <c r="I6059" i="11"/>
  <c r="N6059" i="11"/>
  <c r="I6057" i="11"/>
  <c r="N6057" i="11"/>
  <c r="I6055" i="11"/>
  <c r="N6055" i="11"/>
  <c r="I6053" i="11"/>
  <c r="N6053" i="11"/>
  <c r="I6051" i="11"/>
  <c r="N6051" i="11"/>
  <c r="I6049" i="11"/>
  <c r="N6049" i="11"/>
  <c r="I6047" i="11"/>
  <c r="N6047" i="11"/>
  <c r="I6045" i="11"/>
  <c r="N6045" i="11"/>
  <c r="I6043" i="11"/>
  <c r="N6043" i="11"/>
  <c r="I6041" i="11"/>
  <c r="N6041" i="11"/>
  <c r="I6039" i="11"/>
  <c r="N6039" i="11"/>
  <c r="I6037" i="11"/>
  <c r="N6037" i="11"/>
  <c r="I6035" i="11"/>
  <c r="N6035" i="11"/>
  <c r="I6033" i="11"/>
  <c r="N6033" i="11"/>
  <c r="I6031" i="11"/>
  <c r="N6031" i="11"/>
  <c r="I6029" i="11"/>
  <c r="N6029" i="11"/>
  <c r="I6027" i="11"/>
  <c r="N6027" i="11"/>
  <c r="I6025" i="11"/>
  <c r="N6025" i="11"/>
  <c r="I6023" i="11"/>
  <c r="N6023" i="11"/>
  <c r="I6021" i="11"/>
  <c r="N6021" i="11"/>
  <c r="I6019" i="11"/>
  <c r="N6019" i="11"/>
  <c r="I6017" i="11"/>
  <c r="N6017" i="11"/>
  <c r="I6015" i="11"/>
  <c r="N6015" i="11"/>
  <c r="I6013" i="11"/>
  <c r="N6013" i="11"/>
  <c r="I6011" i="11"/>
  <c r="N6011" i="11"/>
  <c r="I6009" i="11"/>
  <c r="N6009" i="11"/>
  <c r="I6007" i="11"/>
  <c r="N6007" i="11"/>
  <c r="I6005" i="11"/>
  <c r="N6005" i="11"/>
  <c r="I6003" i="11"/>
  <c r="N6003" i="11"/>
  <c r="I6001" i="11"/>
  <c r="N6001" i="11"/>
  <c r="I5999" i="11"/>
  <c r="N5999" i="11"/>
  <c r="I5997" i="11"/>
  <c r="N5997" i="11"/>
  <c r="I5995" i="11"/>
  <c r="N5995" i="11"/>
  <c r="I5993" i="11"/>
  <c r="N5993" i="11"/>
  <c r="I5991" i="11"/>
  <c r="N5991" i="11"/>
  <c r="I5989" i="11"/>
  <c r="N5989" i="11"/>
  <c r="I5987" i="11"/>
  <c r="N5987" i="11"/>
  <c r="I5985" i="11"/>
  <c r="N5985" i="11"/>
  <c r="I5983" i="11"/>
  <c r="N5983" i="11"/>
  <c r="I5981" i="11"/>
  <c r="N5981" i="11"/>
  <c r="I5979" i="11"/>
  <c r="N5979" i="11"/>
  <c r="I5977" i="11"/>
  <c r="N5977" i="11"/>
  <c r="I5975" i="11"/>
  <c r="N5975" i="11"/>
  <c r="I5973" i="11"/>
  <c r="N5973" i="11"/>
  <c r="I5971" i="11"/>
  <c r="N5971" i="11"/>
  <c r="I5969" i="11"/>
  <c r="N5969" i="11"/>
  <c r="I5967" i="11"/>
  <c r="N5967" i="11"/>
  <c r="I5965" i="11"/>
  <c r="N5965" i="11"/>
  <c r="I5963" i="11"/>
  <c r="N5963" i="11"/>
  <c r="I5961" i="11"/>
  <c r="N5961" i="11"/>
  <c r="I5959" i="11"/>
  <c r="N5959" i="11"/>
  <c r="I5957" i="11"/>
  <c r="N5957" i="11"/>
  <c r="I5955" i="11"/>
  <c r="N5955" i="11"/>
  <c r="I5953" i="11"/>
  <c r="N5953" i="11"/>
  <c r="I5951" i="11"/>
  <c r="N5951" i="11"/>
  <c r="I5949" i="11"/>
  <c r="N5949" i="11"/>
  <c r="I5947" i="11"/>
  <c r="N5947" i="11"/>
  <c r="I5945" i="11"/>
  <c r="N5945" i="11"/>
  <c r="I5943" i="11"/>
  <c r="N5943" i="11"/>
  <c r="I5941" i="11"/>
  <c r="N5941" i="11"/>
  <c r="I5939" i="11"/>
  <c r="N5939" i="11"/>
  <c r="I5937" i="11"/>
  <c r="N5937" i="11"/>
  <c r="I5935" i="11"/>
  <c r="N5935" i="11"/>
  <c r="I5933" i="11"/>
  <c r="N5933" i="11"/>
  <c r="I5931" i="11"/>
  <c r="N5931" i="11"/>
  <c r="I5929" i="11"/>
  <c r="N5929" i="11"/>
  <c r="I5927" i="11"/>
  <c r="N5927" i="11"/>
  <c r="I5925" i="11"/>
  <c r="N5925" i="11"/>
  <c r="I5923" i="11"/>
  <c r="N5923" i="11"/>
  <c r="I5921" i="11"/>
  <c r="N5921" i="11"/>
  <c r="I5919" i="11"/>
  <c r="N5919" i="11"/>
  <c r="I5917" i="11"/>
  <c r="N5917" i="11"/>
  <c r="I5915" i="11"/>
  <c r="N5915" i="11"/>
  <c r="I5913" i="11"/>
  <c r="N5913" i="11"/>
  <c r="I5911" i="11"/>
  <c r="N5911" i="11"/>
  <c r="I5909" i="11"/>
  <c r="N5909" i="11"/>
  <c r="I5907" i="11"/>
  <c r="N5907" i="11"/>
  <c r="I5905" i="11"/>
  <c r="N5905" i="11"/>
  <c r="I5903" i="11"/>
  <c r="N5903" i="11"/>
  <c r="I5901" i="11"/>
  <c r="N5901" i="11"/>
  <c r="I5899" i="11"/>
  <c r="N5899" i="11"/>
  <c r="I5897" i="11"/>
  <c r="N5897" i="11"/>
  <c r="I5895" i="11"/>
  <c r="N5895" i="11"/>
  <c r="I5893" i="11"/>
  <c r="N5893" i="11"/>
  <c r="I5891" i="11"/>
  <c r="N5891" i="11"/>
  <c r="I5889" i="11"/>
  <c r="N5889" i="11"/>
  <c r="I5887" i="11"/>
  <c r="N5887" i="11"/>
  <c r="I5885" i="11"/>
  <c r="N5885" i="11"/>
  <c r="I5883" i="11"/>
  <c r="N5883" i="11"/>
  <c r="I5881" i="11"/>
  <c r="N5881" i="11"/>
  <c r="I5879" i="11"/>
  <c r="N5879" i="11"/>
  <c r="I5877" i="11"/>
  <c r="N5877" i="11"/>
  <c r="I5875" i="11"/>
  <c r="N5875" i="11"/>
  <c r="I5873" i="11"/>
  <c r="N5873" i="11"/>
  <c r="I5871" i="11"/>
  <c r="N5871" i="11"/>
  <c r="I5869" i="11"/>
  <c r="N5869" i="11"/>
  <c r="I5867" i="11"/>
  <c r="N5867" i="11"/>
  <c r="I5865" i="11"/>
  <c r="N5865" i="11"/>
  <c r="I5863" i="11"/>
  <c r="N5863" i="11"/>
  <c r="I5861" i="11"/>
  <c r="N5861" i="11"/>
  <c r="I5859" i="11"/>
  <c r="N5859" i="11"/>
  <c r="I5857" i="11"/>
  <c r="N5857" i="11"/>
  <c r="I5855" i="11"/>
  <c r="N5855" i="11"/>
  <c r="I5853" i="11"/>
  <c r="N5853" i="11"/>
  <c r="I5851" i="11"/>
  <c r="N5851" i="11"/>
  <c r="I5849" i="11"/>
  <c r="N5849" i="11"/>
  <c r="I5847" i="11"/>
  <c r="N5847" i="11"/>
  <c r="I5845" i="11"/>
  <c r="N5845" i="11"/>
  <c r="I5843" i="11"/>
  <c r="N5843" i="11"/>
  <c r="I5841" i="11"/>
  <c r="N5841" i="11"/>
  <c r="I5839" i="11"/>
  <c r="N5839" i="11"/>
  <c r="I5837" i="11"/>
  <c r="N5837" i="11"/>
  <c r="I5835" i="11"/>
  <c r="N5835" i="11"/>
  <c r="I5833" i="11"/>
  <c r="N5833" i="11"/>
  <c r="I5831" i="11"/>
  <c r="N5831" i="11"/>
  <c r="I5829" i="11"/>
  <c r="N5829" i="11"/>
  <c r="I5827" i="11"/>
  <c r="N5827" i="11"/>
  <c r="I5825" i="11"/>
  <c r="N5825" i="11"/>
  <c r="I5823" i="11"/>
  <c r="N5823" i="11"/>
  <c r="I5821" i="11"/>
  <c r="N5821" i="11"/>
  <c r="I5819" i="11"/>
  <c r="N5819" i="11"/>
  <c r="I5817" i="11"/>
  <c r="N5817" i="11"/>
  <c r="I5815" i="11"/>
  <c r="N5815" i="11"/>
  <c r="I5813" i="11"/>
  <c r="N5813" i="11"/>
  <c r="I5811" i="11"/>
  <c r="N5811" i="11"/>
  <c r="I5809" i="11"/>
  <c r="N5809" i="11"/>
  <c r="I5807" i="11"/>
  <c r="N5807" i="11"/>
  <c r="I5805" i="11"/>
  <c r="N5805" i="11"/>
  <c r="I5803" i="11"/>
  <c r="N5803" i="11"/>
  <c r="I5801" i="11"/>
  <c r="N5801" i="11"/>
  <c r="I5799" i="11"/>
  <c r="N5799" i="11"/>
  <c r="I5797" i="11"/>
  <c r="N5797" i="11"/>
  <c r="I5795" i="11"/>
  <c r="N5795" i="11"/>
  <c r="I5793" i="11"/>
  <c r="N5793" i="11"/>
  <c r="I5791" i="11"/>
  <c r="N5791" i="11"/>
  <c r="I5789" i="11"/>
  <c r="N5789" i="11"/>
  <c r="I5787" i="11"/>
  <c r="N5787" i="11"/>
  <c r="I5785" i="11"/>
  <c r="N5785" i="11"/>
  <c r="I5783" i="11"/>
  <c r="N5783" i="11"/>
  <c r="I5781" i="11"/>
  <c r="N5781" i="11"/>
  <c r="I5779" i="11"/>
  <c r="N5779" i="11"/>
  <c r="I5777" i="11"/>
  <c r="N5777" i="11"/>
  <c r="I5775" i="11"/>
  <c r="N5775" i="11"/>
  <c r="I5773" i="11"/>
  <c r="N5773" i="11"/>
  <c r="I5771" i="11"/>
  <c r="N5771" i="11"/>
  <c r="I5769" i="11"/>
  <c r="N5769" i="11"/>
  <c r="I5767" i="11"/>
  <c r="N5767" i="11"/>
  <c r="I5765" i="11"/>
  <c r="N5765" i="11"/>
  <c r="I5763" i="11"/>
  <c r="N5763" i="11"/>
  <c r="I5761" i="11"/>
  <c r="N5761" i="11"/>
  <c r="I5759" i="11"/>
  <c r="N5759" i="11"/>
  <c r="I5757" i="11"/>
  <c r="N5757" i="11"/>
  <c r="I5755" i="11"/>
  <c r="N5755" i="11"/>
  <c r="I5753" i="11"/>
  <c r="N5753" i="11"/>
  <c r="I5751" i="11"/>
  <c r="N5751" i="11"/>
  <c r="I5749" i="11"/>
  <c r="N5749" i="11"/>
  <c r="I5747" i="11"/>
  <c r="N5747" i="11"/>
  <c r="I5745" i="11"/>
  <c r="N5745" i="11"/>
  <c r="I5743" i="11"/>
  <c r="N5743" i="11"/>
  <c r="I5741" i="11"/>
  <c r="N5741" i="11"/>
  <c r="I5739" i="11"/>
  <c r="N5739" i="11"/>
  <c r="I5737" i="11"/>
  <c r="N5737" i="11"/>
  <c r="I5735" i="11"/>
  <c r="N5735" i="11"/>
  <c r="I5733" i="11"/>
  <c r="N5733" i="11"/>
  <c r="I5731" i="11"/>
  <c r="N5731" i="11"/>
  <c r="I5729" i="11"/>
  <c r="N5729" i="11"/>
  <c r="I5727" i="11"/>
  <c r="N5727" i="11"/>
  <c r="I5725" i="11"/>
  <c r="N5725" i="11"/>
  <c r="I5723" i="11"/>
  <c r="N5723" i="11"/>
  <c r="I5721" i="11"/>
  <c r="N5721" i="11"/>
  <c r="I5719" i="11"/>
  <c r="N5719" i="11"/>
  <c r="I5717" i="11"/>
  <c r="N5717" i="11"/>
  <c r="I5715" i="11"/>
  <c r="N5715" i="11"/>
  <c r="I5713" i="11"/>
  <c r="N5713" i="11"/>
  <c r="I5711" i="11"/>
  <c r="N5711" i="11"/>
  <c r="I5709" i="11"/>
  <c r="N5709" i="11"/>
  <c r="I5707" i="11"/>
  <c r="N5707" i="11"/>
  <c r="I5705" i="11"/>
  <c r="N5705" i="11"/>
  <c r="I5703" i="11"/>
  <c r="N5703" i="11"/>
  <c r="I5701" i="11"/>
  <c r="N5701" i="11"/>
  <c r="I5699" i="11"/>
  <c r="N5699" i="11"/>
  <c r="I5697" i="11"/>
  <c r="N5697" i="11"/>
  <c r="I5695" i="11"/>
  <c r="N5695" i="11"/>
  <c r="I5693" i="11"/>
  <c r="N5693" i="11"/>
  <c r="I5691" i="11"/>
  <c r="N5691" i="11"/>
  <c r="I5689" i="11"/>
  <c r="N5689" i="11"/>
  <c r="I5687" i="11"/>
  <c r="N5687" i="11"/>
  <c r="I5685" i="11"/>
  <c r="N5685" i="11"/>
  <c r="I5683" i="11"/>
  <c r="N5683" i="11"/>
  <c r="I5681" i="11"/>
  <c r="N5681" i="11"/>
  <c r="I5679" i="11"/>
  <c r="N5679" i="11"/>
  <c r="I5677" i="11"/>
  <c r="N5677" i="11"/>
  <c r="I5675" i="11"/>
  <c r="N5675" i="11"/>
  <c r="I5673" i="11"/>
  <c r="N5673" i="11"/>
  <c r="I5671" i="11"/>
  <c r="N5671" i="11"/>
  <c r="I5669" i="11"/>
  <c r="N5669" i="11"/>
  <c r="I5667" i="11"/>
  <c r="N5667" i="11"/>
  <c r="I5665" i="11"/>
  <c r="N5665" i="11"/>
  <c r="I5663" i="11"/>
  <c r="N5663" i="11"/>
  <c r="I5661" i="11"/>
  <c r="N5661" i="11"/>
  <c r="I5659" i="11"/>
  <c r="N5659" i="11"/>
  <c r="I5657" i="11"/>
  <c r="N5657" i="11"/>
  <c r="I5655" i="11"/>
  <c r="N5655" i="11"/>
  <c r="I5653" i="11"/>
  <c r="N5653" i="11"/>
  <c r="I5651" i="11"/>
  <c r="N5651" i="11"/>
  <c r="I5649" i="11"/>
  <c r="N5649" i="11"/>
  <c r="I5647" i="11"/>
  <c r="N5647" i="11"/>
  <c r="I5645" i="11"/>
  <c r="N5645" i="11"/>
  <c r="I5643" i="11"/>
  <c r="N5643" i="11"/>
  <c r="I5641" i="11"/>
  <c r="N5641" i="11"/>
  <c r="I5639" i="11"/>
  <c r="N5639" i="11"/>
  <c r="I5637" i="11"/>
  <c r="N5637" i="11"/>
  <c r="I5635" i="11"/>
  <c r="N5635" i="11"/>
  <c r="I5633" i="11"/>
  <c r="N5633" i="11"/>
  <c r="I5631" i="11"/>
  <c r="N5631" i="11"/>
  <c r="I5629" i="11"/>
  <c r="N5629" i="11"/>
  <c r="I5627" i="11"/>
  <c r="N5627" i="11"/>
  <c r="I5625" i="11"/>
  <c r="N5625" i="11"/>
  <c r="I5623" i="11"/>
  <c r="N5623" i="11"/>
  <c r="I5621" i="11"/>
  <c r="N5621" i="11"/>
  <c r="I5619" i="11"/>
  <c r="N5619" i="11"/>
  <c r="I5617" i="11"/>
  <c r="N5617" i="11"/>
  <c r="I5615" i="11"/>
  <c r="N5615" i="11"/>
  <c r="I5613" i="11"/>
  <c r="N5613" i="11"/>
  <c r="I5611" i="11"/>
  <c r="N5611" i="11"/>
  <c r="I5609" i="11"/>
  <c r="N5609" i="11"/>
  <c r="I5607" i="11"/>
  <c r="N5607" i="11"/>
  <c r="I5605" i="11"/>
  <c r="N5605" i="11"/>
  <c r="I5603" i="11"/>
  <c r="N5603" i="11"/>
  <c r="I5601" i="11"/>
  <c r="N5601" i="11"/>
  <c r="I5599" i="11"/>
  <c r="N5599" i="11"/>
  <c r="I5597" i="11"/>
  <c r="N5597" i="11"/>
  <c r="I5595" i="11"/>
  <c r="N5595" i="11"/>
  <c r="I5593" i="11"/>
  <c r="N5593" i="11"/>
  <c r="I5591" i="11"/>
  <c r="N5591" i="11"/>
  <c r="I5589" i="11"/>
  <c r="N5589" i="11"/>
  <c r="I5587" i="11"/>
  <c r="N5587" i="11"/>
  <c r="I5585" i="11"/>
  <c r="N5585" i="11"/>
  <c r="I5583" i="11"/>
  <c r="N5583" i="11"/>
  <c r="I5581" i="11"/>
  <c r="N5581" i="11"/>
  <c r="I5579" i="11"/>
  <c r="N5579" i="11"/>
  <c r="I5577" i="11"/>
  <c r="N5577" i="11"/>
  <c r="I5575" i="11"/>
  <c r="N5575" i="11"/>
  <c r="I5573" i="11"/>
  <c r="N5573" i="11"/>
  <c r="I5571" i="11"/>
  <c r="N5571" i="11"/>
  <c r="I5569" i="11"/>
  <c r="N5569" i="11"/>
  <c r="I5567" i="11"/>
  <c r="N5567" i="11"/>
  <c r="I5565" i="11"/>
  <c r="N5565" i="11"/>
  <c r="I5563" i="11"/>
  <c r="N5563" i="11"/>
  <c r="I5561" i="11"/>
  <c r="N5561" i="11"/>
  <c r="I5559" i="11"/>
  <c r="N5559" i="11"/>
  <c r="I5557" i="11"/>
  <c r="N5557" i="11"/>
  <c r="I5555" i="11"/>
  <c r="N5555" i="11"/>
  <c r="I5553" i="11"/>
  <c r="N5553" i="11"/>
  <c r="I5551" i="11"/>
  <c r="N5551" i="11"/>
  <c r="I5549" i="11"/>
  <c r="N5549" i="11"/>
  <c r="I5547" i="11"/>
  <c r="N5547" i="11"/>
  <c r="I5545" i="11"/>
  <c r="N5545" i="11"/>
  <c r="I5543" i="11"/>
  <c r="N5543" i="11"/>
  <c r="I5541" i="11"/>
  <c r="N5541" i="11"/>
  <c r="I5539" i="11"/>
  <c r="N5539" i="11"/>
  <c r="I5537" i="11"/>
  <c r="N5537" i="11"/>
  <c r="I5535" i="11"/>
  <c r="N5535" i="11"/>
  <c r="I5533" i="11"/>
  <c r="N5533" i="11"/>
  <c r="I5531" i="11"/>
  <c r="N5531" i="11"/>
  <c r="I5529" i="11"/>
  <c r="N5529" i="11"/>
  <c r="I5527" i="11"/>
  <c r="N5527" i="11"/>
  <c r="I5525" i="11"/>
  <c r="N5525" i="11"/>
  <c r="I5523" i="11"/>
  <c r="N5523" i="11"/>
  <c r="I5521" i="11"/>
  <c r="N5521" i="11"/>
  <c r="I5519" i="11"/>
  <c r="N5519" i="11"/>
  <c r="I5517" i="11"/>
  <c r="N5517" i="11"/>
  <c r="I5515" i="11"/>
  <c r="N5515" i="11"/>
  <c r="I5513" i="11"/>
  <c r="N5513" i="11"/>
  <c r="I5511" i="11"/>
  <c r="N5511" i="11"/>
  <c r="I5509" i="11"/>
  <c r="N5509" i="11"/>
  <c r="I5507" i="11"/>
  <c r="N5507" i="11"/>
  <c r="I5505" i="11"/>
  <c r="N5505" i="11"/>
  <c r="I5503" i="11"/>
  <c r="N5503" i="11"/>
  <c r="I5501" i="11"/>
  <c r="N5501" i="11"/>
  <c r="I5499" i="11"/>
  <c r="N5499" i="11"/>
  <c r="I5497" i="11"/>
  <c r="N5497" i="11"/>
  <c r="I5495" i="11"/>
  <c r="N5495" i="11"/>
  <c r="I5493" i="11"/>
  <c r="N5493" i="11"/>
  <c r="I5491" i="11"/>
  <c r="N5491" i="11"/>
  <c r="I5489" i="11"/>
  <c r="N5489" i="11"/>
  <c r="I5487" i="11"/>
  <c r="N5487" i="11"/>
  <c r="I5485" i="11"/>
  <c r="N5485" i="11"/>
  <c r="I5483" i="11"/>
  <c r="N5483" i="11"/>
  <c r="I5481" i="11"/>
  <c r="N5481" i="11"/>
  <c r="I5479" i="11"/>
  <c r="N5479" i="11"/>
  <c r="I5477" i="11"/>
  <c r="N5477" i="11"/>
  <c r="I5475" i="11"/>
  <c r="N5475" i="11"/>
  <c r="I5473" i="11"/>
  <c r="N5473" i="11"/>
  <c r="I5471" i="11"/>
  <c r="N5471" i="11"/>
  <c r="I5469" i="11"/>
  <c r="N5469" i="11"/>
  <c r="I5467" i="11"/>
  <c r="N5467" i="11"/>
  <c r="I5465" i="11"/>
  <c r="N5465" i="11"/>
  <c r="I5463" i="11"/>
  <c r="N5463" i="11"/>
  <c r="I5461" i="11"/>
  <c r="N5461" i="11"/>
  <c r="I5459" i="11"/>
  <c r="N5459" i="11"/>
  <c r="I5457" i="11"/>
  <c r="N5457" i="11"/>
  <c r="I5455" i="11"/>
  <c r="N5455" i="11"/>
  <c r="I5453" i="11"/>
  <c r="N5453" i="11"/>
  <c r="I5451" i="11"/>
  <c r="N5451" i="11"/>
  <c r="I5449" i="11"/>
  <c r="N5449" i="11"/>
  <c r="I5447" i="11"/>
  <c r="N5447" i="11"/>
  <c r="I5445" i="11"/>
  <c r="N5445" i="11"/>
  <c r="I5443" i="11"/>
  <c r="N5443" i="11"/>
  <c r="I5441" i="11"/>
  <c r="N5441" i="11"/>
  <c r="I5439" i="11"/>
  <c r="N5439" i="11"/>
  <c r="I5437" i="11"/>
  <c r="N5437" i="11"/>
  <c r="I5435" i="11"/>
  <c r="N5435" i="11"/>
  <c r="I5433" i="11"/>
  <c r="N5433" i="11"/>
  <c r="I5431" i="11"/>
  <c r="N5431" i="11"/>
  <c r="I5429" i="11"/>
  <c r="N5429" i="11"/>
  <c r="I5427" i="11"/>
  <c r="N5427" i="11"/>
  <c r="I5425" i="11"/>
  <c r="N5425" i="11"/>
  <c r="I5423" i="11"/>
  <c r="N5423" i="11"/>
  <c r="I5421" i="11"/>
  <c r="N5421" i="11"/>
  <c r="I5419" i="11"/>
  <c r="N5419" i="11"/>
  <c r="I5417" i="11"/>
  <c r="N5417" i="11"/>
  <c r="I5415" i="11"/>
  <c r="N5415" i="11"/>
  <c r="I5413" i="11"/>
  <c r="N5413" i="11"/>
  <c r="I5411" i="11"/>
  <c r="N5411" i="11"/>
  <c r="I5409" i="11"/>
  <c r="N5409" i="11"/>
  <c r="I5407" i="11"/>
  <c r="N5407" i="11"/>
  <c r="I5405" i="11"/>
  <c r="N5405" i="11"/>
  <c r="I5403" i="11"/>
  <c r="N5403" i="11"/>
  <c r="I5401" i="11"/>
  <c r="N5401" i="11"/>
  <c r="I5399" i="11"/>
  <c r="N5399" i="11"/>
  <c r="I5397" i="11"/>
  <c r="N5397" i="11"/>
  <c r="I5395" i="11"/>
  <c r="N5395" i="11"/>
  <c r="I5393" i="11"/>
  <c r="N5393" i="11"/>
  <c r="I5391" i="11"/>
  <c r="N5391" i="11"/>
  <c r="I5389" i="11"/>
  <c r="N5389" i="11"/>
  <c r="I5387" i="11"/>
  <c r="N5387" i="11"/>
  <c r="I5385" i="11"/>
  <c r="N5385" i="11"/>
  <c r="I5383" i="11"/>
  <c r="N5383" i="11"/>
  <c r="I5381" i="11"/>
  <c r="N5381" i="11"/>
  <c r="I5379" i="11"/>
  <c r="N5379" i="11"/>
  <c r="I5377" i="11"/>
  <c r="N5377" i="11"/>
  <c r="I5375" i="11"/>
  <c r="N5375" i="11"/>
  <c r="I5373" i="11"/>
  <c r="N5373" i="11"/>
  <c r="I5371" i="11"/>
  <c r="N5371" i="11"/>
  <c r="I5369" i="11"/>
  <c r="N5369" i="11"/>
  <c r="I5367" i="11"/>
  <c r="N5367" i="11"/>
  <c r="I5365" i="11"/>
  <c r="N5365" i="11"/>
  <c r="I5363" i="11"/>
  <c r="N5363" i="11"/>
  <c r="I5361" i="11"/>
  <c r="N5361" i="11"/>
  <c r="I5359" i="11"/>
  <c r="N5359" i="11"/>
  <c r="I5357" i="11"/>
  <c r="N5357" i="11"/>
  <c r="I5355" i="11"/>
  <c r="N5355" i="11"/>
  <c r="I5353" i="11"/>
  <c r="N5353" i="11"/>
  <c r="I5351" i="11"/>
  <c r="N5351" i="11"/>
  <c r="I5349" i="11"/>
  <c r="N5349" i="11"/>
  <c r="I5347" i="11"/>
  <c r="N5347" i="11"/>
  <c r="I5345" i="11"/>
  <c r="N5345" i="11"/>
  <c r="I5343" i="11"/>
  <c r="N5343" i="11"/>
  <c r="I5341" i="11"/>
  <c r="N5341" i="11"/>
  <c r="I5339" i="11"/>
  <c r="N5339" i="11"/>
  <c r="I5337" i="11"/>
  <c r="N5337" i="11"/>
  <c r="I5335" i="11"/>
  <c r="N5335" i="11"/>
  <c r="I5333" i="11"/>
  <c r="N5333" i="11"/>
  <c r="I5331" i="11"/>
  <c r="N5331" i="11"/>
  <c r="I5329" i="11"/>
  <c r="N5329" i="11"/>
  <c r="I5327" i="11"/>
  <c r="N5327" i="11"/>
  <c r="I5325" i="11"/>
  <c r="N5325" i="11"/>
  <c r="I5323" i="11"/>
  <c r="N5323" i="11"/>
  <c r="I5321" i="11"/>
  <c r="N5321" i="11"/>
  <c r="I5319" i="11"/>
  <c r="N5319" i="11"/>
  <c r="I5317" i="11"/>
  <c r="N5317" i="11"/>
  <c r="I5315" i="11"/>
  <c r="N5315" i="11"/>
  <c r="I5313" i="11"/>
  <c r="N5313" i="11"/>
  <c r="I5311" i="11"/>
  <c r="N5311" i="11"/>
  <c r="I5309" i="11"/>
  <c r="N5309" i="11"/>
  <c r="I5307" i="11"/>
  <c r="N5307" i="11"/>
  <c r="I5305" i="11"/>
  <c r="N5305" i="11"/>
  <c r="I5303" i="11"/>
  <c r="N5303" i="11"/>
  <c r="I5301" i="11"/>
  <c r="N5301" i="11"/>
  <c r="I5299" i="11"/>
  <c r="N5299" i="11"/>
  <c r="I5297" i="11"/>
  <c r="N5297" i="11"/>
  <c r="I5295" i="11"/>
  <c r="N5295" i="11"/>
  <c r="I5293" i="11"/>
  <c r="N5293" i="11"/>
  <c r="I5291" i="11"/>
  <c r="N5291" i="11"/>
  <c r="I5289" i="11"/>
  <c r="N5289" i="11"/>
  <c r="I5287" i="11"/>
  <c r="N5287" i="11"/>
  <c r="I5285" i="11"/>
  <c r="N5285" i="11"/>
  <c r="I5283" i="11"/>
  <c r="N5283" i="11"/>
  <c r="I5281" i="11"/>
  <c r="N5281" i="11"/>
  <c r="I5279" i="11"/>
  <c r="N5279" i="11"/>
  <c r="I5277" i="11"/>
  <c r="N5277" i="11"/>
  <c r="I5275" i="11"/>
  <c r="N5275" i="11"/>
  <c r="I5273" i="11"/>
  <c r="N5273" i="11"/>
  <c r="I5271" i="11"/>
  <c r="N5271" i="11"/>
  <c r="I5269" i="11"/>
  <c r="N5269" i="11"/>
  <c r="I5267" i="11"/>
  <c r="N5267" i="11"/>
  <c r="I5265" i="11"/>
  <c r="N5265" i="11"/>
  <c r="I5263" i="11"/>
  <c r="N5263" i="11"/>
  <c r="I5261" i="11"/>
  <c r="N5261" i="11"/>
  <c r="I5259" i="11"/>
  <c r="N5259" i="11"/>
  <c r="I5257" i="11"/>
  <c r="N5257" i="11"/>
  <c r="I5255" i="11"/>
  <c r="N5255" i="11"/>
  <c r="I5253" i="11"/>
  <c r="N5253" i="11"/>
  <c r="I5251" i="11"/>
  <c r="N5251" i="11"/>
  <c r="I5249" i="11"/>
  <c r="N5249" i="11"/>
  <c r="I5247" i="11"/>
  <c r="N5247" i="11"/>
  <c r="I5245" i="11"/>
  <c r="N5245" i="11"/>
  <c r="I5243" i="11"/>
  <c r="N5243" i="11"/>
  <c r="I5241" i="11"/>
  <c r="N5241" i="11"/>
  <c r="I5239" i="11"/>
  <c r="N5239" i="11"/>
  <c r="I5237" i="11"/>
  <c r="N5237" i="11"/>
  <c r="I5235" i="11"/>
  <c r="N5235" i="11"/>
  <c r="I5233" i="11"/>
  <c r="N5233" i="11"/>
  <c r="I5231" i="11"/>
  <c r="N5231" i="11"/>
  <c r="I5229" i="11"/>
  <c r="N5229" i="11"/>
  <c r="I5227" i="11"/>
  <c r="N5227" i="11"/>
  <c r="I5225" i="11"/>
  <c r="N5225" i="11"/>
  <c r="I5223" i="11"/>
  <c r="N5223" i="11"/>
  <c r="I5221" i="11"/>
  <c r="N5221" i="11"/>
  <c r="I5219" i="11"/>
  <c r="N5219" i="11"/>
  <c r="I5217" i="11"/>
  <c r="N5217" i="11"/>
  <c r="I5215" i="11"/>
  <c r="N5215" i="11"/>
  <c r="I5213" i="11"/>
  <c r="N5213" i="11"/>
  <c r="I5211" i="11"/>
  <c r="N5211" i="11"/>
  <c r="I5209" i="11"/>
  <c r="N5209" i="11"/>
  <c r="I5207" i="11"/>
  <c r="N5207" i="11"/>
  <c r="I5205" i="11"/>
  <c r="N5205" i="11"/>
  <c r="I5203" i="11"/>
  <c r="N5203" i="11"/>
  <c r="I5201" i="11"/>
  <c r="N5201" i="11"/>
  <c r="I5199" i="11"/>
  <c r="N5199" i="11"/>
  <c r="I5197" i="11"/>
  <c r="N5197" i="11"/>
  <c r="I5195" i="11"/>
  <c r="N5195" i="11"/>
  <c r="I5193" i="11"/>
  <c r="N5193" i="11"/>
  <c r="I5191" i="11"/>
  <c r="N5191" i="11"/>
  <c r="I5189" i="11"/>
  <c r="N5189" i="11"/>
  <c r="I5187" i="11"/>
  <c r="N5187" i="11"/>
  <c r="I5185" i="11"/>
  <c r="N5185" i="11"/>
  <c r="I5183" i="11"/>
  <c r="N5183" i="11"/>
  <c r="I5181" i="11"/>
  <c r="N5181" i="11"/>
  <c r="I5179" i="11"/>
  <c r="N5179" i="11"/>
  <c r="I5177" i="11"/>
  <c r="N5177" i="11"/>
  <c r="I5175" i="11"/>
  <c r="N5175" i="11"/>
  <c r="I5173" i="11"/>
  <c r="N5173" i="11"/>
  <c r="I5171" i="11"/>
  <c r="N5171" i="11"/>
  <c r="I5169" i="11"/>
  <c r="N5169" i="11"/>
  <c r="I5167" i="11"/>
  <c r="N5167" i="11"/>
  <c r="I5165" i="11"/>
  <c r="N5165" i="11"/>
  <c r="I5163" i="11"/>
  <c r="N5163" i="11"/>
  <c r="I5161" i="11"/>
  <c r="N5161" i="11"/>
  <c r="I5159" i="11"/>
  <c r="N5159" i="11"/>
  <c r="I5157" i="11"/>
  <c r="N5157" i="11"/>
  <c r="I5155" i="11"/>
  <c r="N5155" i="11"/>
  <c r="I5153" i="11"/>
  <c r="N5153" i="11"/>
  <c r="I5151" i="11"/>
  <c r="N5151" i="11"/>
  <c r="I5149" i="11"/>
  <c r="N5149" i="11"/>
  <c r="I5147" i="11"/>
  <c r="N5147" i="11"/>
  <c r="I5145" i="11"/>
  <c r="N5145" i="11"/>
  <c r="I5143" i="11"/>
  <c r="N5143" i="11"/>
  <c r="I5141" i="11"/>
  <c r="N5141" i="11"/>
  <c r="I5139" i="11"/>
  <c r="N5139" i="11"/>
  <c r="I5137" i="11"/>
  <c r="N5137" i="11"/>
  <c r="I5135" i="11"/>
  <c r="N5135" i="11"/>
  <c r="I5133" i="11"/>
  <c r="N5133" i="11"/>
  <c r="I5131" i="11"/>
  <c r="N5131" i="11"/>
  <c r="I5129" i="11"/>
  <c r="N5129" i="11"/>
  <c r="I5127" i="11"/>
  <c r="N5127" i="11"/>
  <c r="I5125" i="11"/>
  <c r="N5125" i="11"/>
  <c r="I5123" i="11"/>
  <c r="N5123" i="11"/>
  <c r="I5121" i="11"/>
  <c r="N5121" i="11"/>
  <c r="I5119" i="11"/>
  <c r="N5119" i="11"/>
  <c r="I5117" i="11"/>
  <c r="N5117" i="11"/>
  <c r="I5115" i="11"/>
  <c r="N5115" i="11"/>
  <c r="I5113" i="11"/>
  <c r="N5113" i="11"/>
  <c r="I5111" i="11"/>
  <c r="N5111" i="11"/>
  <c r="I5109" i="11"/>
  <c r="N5109" i="11"/>
  <c r="I5107" i="11"/>
  <c r="N5107" i="11"/>
  <c r="I5105" i="11"/>
  <c r="N5105" i="11"/>
  <c r="I5103" i="11"/>
  <c r="N5103" i="11"/>
  <c r="I5101" i="11"/>
  <c r="N5101" i="11"/>
  <c r="I5099" i="11"/>
  <c r="N5099" i="11"/>
  <c r="I5097" i="11"/>
  <c r="N5097" i="11"/>
  <c r="I5095" i="11"/>
  <c r="N5095" i="11"/>
  <c r="I5093" i="11"/>
  <c r="N5093" i="11"/>
  <c r="I5091" i="11"/>
  <c r="N5091" i="11"/>
  <c r="I5089" i="11"/>
  <c r="N5089" i="11"/>
  <c r="I5087" i="11"/>
  <c r="N5087" i="11"/>
  <c r="I5085" i="11"/>
  <c r="N5085" i="11"/>
  <c r="I5083" i="11"/>
  <c r="N5083" i="11"/>
  <c r="I5081" i="11"/>
  <c r="N5081" i="11"/>
  <c r="I5079" i="11"/>
  <c r="N5079" i="11"/>
  <c r="I5077" i="11"/>
  <c r="N5077" i="11"/>
  <c r="I5075" i="11"/>
  <c r="N5075" i="11"/>
  <c r="I5073" i="11"/>
  <c r="N5073" i="11"/>
  <c r="I5071" i="11"/>
  <c r="N5071" i="11"/>
  <c r="I5069" i="11"/>
  <c r="N5069" i="11"/>
  <c r="I5067" i="11"/>
  <c r="N5067" i="11"/>
  <c r="I5065" i="11"/>
  <c r="N5065" i="11"/>
  <c r="I5063" i="11"/>
  <c r="N5063" i="11"/>
  <c r="I5061" i="11"/>
  <c r="N5061" i="11"/>
  <c r="I5059" i="11"/>
  <c r="N5059" i="11"/>
  <c r="I5057" i="11"/>
  <c r="N5057" i="11"/>
  <c r="I5055" i="11"/>
  <c r="N5055" i="11"/>
  <c r="I5053" i="11"/>
  <c r="N5053" i="11"/>
  <c r="I5051" i="11"/>
  <c r="N5051" i="11"/>
  <c r="I5049" i="11"/>
  <c r="N5049" i="11"/>
  <c r="I5047" i="11"/>
  <c r="N5047" i="11"/>
  <c r="I5045" i="11"/>
  <c r="N5045" i="11"/>
  <c r="I5043" i="11"/>
  <c r="N5043" i="11"/>
  <c r="I5041" i="11"/>
  <c r="N5041" i="11"/>
  <c r="I5039" i="11"/>
  <c r="N5039" i="11"/>
  <c r="I5037" i="11"/>
  <c r="N5037" i="11"/>
  <c r="I5035" i="11"/>
  <c r="N5035" i="11"/>
  <c r="I5033" i="11"/>
  <c r="N5033" i="11"/>
  <c r="I5031" i="11"/>
  <c r="N5031" i="11"/>
  <c r="I5029" i="11"/>
  <c r="N5029" i="11"/>
  <c r="I5027" i="11"/>
  <c r="N5027" i="11"/>
  <c r="I5025" i="11"/>
  <c r="N5025" i="11"/>
  <c r="I5023" i="11"/>
  <c r="N5023" i="11"/>
  <c r="I5021" i="11"/>
  <c r="N5021" i="11"/>
  <c r="I5019" i="11"/>
  <c r="N5019" i="11"/>
  <c r="I5017" i="11"/>
  <c r="N5017" i="11"/>
  <c r="I5015" i="11"/>
  <c r="N5015" i="11"/>
  <c r="I5013" i="11"/>
  <c r="N5013" i="11"/>
  <c r="I5011" i="11"/>
  <c r="N5011" i="11"/>
  <c r="I5009" i="11"/>
  <c r="N5009" i="11"/>
  <c r="I5007" i="11"/>
  <c r="N5007" i="11"/>
  <c r="I5005" i="11"/>
  <c r="N5005" i="11"/>
  <c r="I5003" i="11"/>
  <c r="N5003" i="11"/>
  <c r="I5001" i="11"/>
  <c r="N5001" i="11"/>
  <c r="I4999" i="11"/>
  <c r="N4999" i="11"/>
  <c r="I4997" i="11"/>
  <c r="N4997" i="11"/>
  <c r="I4995" i="11"/>
  <c r="N4995" i="11"/>
  <c r="I4993" i="11"/>
  <c r="N4993" i="11"/>
  <c r="I4991" i="11"/>
  <c r="N4991" i="11"/>
  <c r="I4989" i="11"/>
  <c r="N4989" i="11"/>
  <c r="I4987" i="11"/>
  <c r="N4987" i="11"/>
  <c r="I4985" i="11"/>
  <c r="N4985" i="11"/>
  <c r="I4983" i="11"/>
  <c r="N4983" i="11"/>
  <c r="I4981" i="11"/>
  <c r="N4981" i="11"/>
  <c r="I4979" i="11"/>
  <c r="N4979" i="11"/>
  <c r="I4977" i="11"/>
  <c r="N4977" i="11"/>
  <c r="I4975" i="11"/>
  <c r="N4975" i="11"/>
  <c r="I4973" i="11"/>
  <c r="N4973" i="11"/>
  <c r="I4971" i="11"/>
  <c r="N4971" i="11"/>
  <c r="I4969" i="11"/>
  <c r="N4969" i="11"/>
  <c r="I4967" i="11"/>
  <c r="N4967" i="11"/>
  <c r="I4965" i="11"/>
  <c r="N4965" i="11"/>
  <c r="I4963" i="11"/>
  <c r="N4963" i="11"/>
  <c r="I4961" i="11"/>
  <c r="N4961" i="11"/>
  <c r="I4959" i="11"/>
  <c r="N4959" i="11"/>
  <c r="I4957" i="11"/>
  <c r="N4957" i="11"/>
  <c r="I4955" i="11"/>
  <c r="N4955" i="11"/>
  <c r="I4953" i="11"/>
  <c r="N4953" i="11"/>
  <c r="I4951" i="11"/>
  <c r="N4951" i="11"/>
  <c r="I4949" i="11"/>
  <c r="N4949" i="11"/>
  <c r="I4947" i="11"/>
  <c r="N4947" i="11"/>
  <c r="I4945" i="11"/>
  <c r="N4945" i="11"/>
  <c r="I4943" i="11"/>
  <c r="N4943" i="11"/>
  <c r="I4941" i="11"/>
  <c r="N4941" i="11"/>
  <c r="I4939" i="11"/>
  <c r="N4939" i="11"/>
  <c r="I4937" i="11"/>
  <c r="N4937" i="11"/>
  <c r="I4935" i="11"/>
  <c r="N4935" i="11"/>
  <c r="I4933" i="11"/>
  <c r="N4933" i="11"/>
  <c r="I4931" i="11"/>
  <c r="N4931" i="11"/>
  <c r="I4929" i="11"/>
  <c r="N4929" i="11"/>
  <c r="I4927" i="11"/>
  <c r="N4927" i="11"/>
  <c r="I4925" i="11"/>
  <c r="N4925" i="11"/>
  <c r="I4923" i="11"/>
  <c r="N4923" i="11"/>
  <c r="I4921" i="11"/>
  <c r="N4921" i="11"/>
  <c r="I4919" i="11"/>
  <c r="N4919" i="11"/>
  <c r="I4917" i="11"/>
  <c r="N4917" i="11"/>
  <c r="I4915" i="11"/>
  <c r="N4915" i="11"/>
  <c r="I4913" i="11"/>
  <c r="N4913" i="11"/>
  <c r="I4911" i="11"/>
  <c r="N4911" i="11"/>
  <c r="I4909" i="11"/>
  <c r="N4909" i="11"/>
  <c r="I4907" i="11"/>
  <c r="N4907" i="11"/>
  <c r="I4905" i="11"/>
  <c r="N4905" i="11"/>
  <c r="I4903" i="11"/>
  <c r="N4903" i="11"/>
  <c r="I4901" i="11"/>
  <c r="N4901" i="11"/>
  <c r="I4899" i="11"/>
  <c r="N4899" i="11"/>
  <c r="I4897" i="11"/>
  <c r="N4897" i="11"/>
  <c r="I4895" i="11"/>
  <c r="N4895" i="11"/>
  <c r="I4893" i="11"/>
  <c r="N4893" i="11"/>
  <c r="I4891" i="11"/>
  <c r="N4891" i="11"/>
  <c r="I4889" i="11"/>
  <c r="N4889" i="11"/>
  <c r="I4887" i="11"/>
  <c r="N4887" i="11"/>
  <c r="I4885" i="11"/>
  <c r="N4885" i="11"/>
  <c r="I4883" i="11"/>
  <c r="N4883" i="11"/>
  <c r="I4881" i="11"/>
  <c r="N4881" i="11"/>
  <c r="I4879" i="11"/>
  <c r="N4879" i="11"/>
  <c r="I4877" i="11"/>
  <c r="N4877" i="11"/>
  <c r="I4875" i="11"/>
  <c r="N4875" i="11"/>
  <c r="I4873" i="11"/>
  <c r="N4873" i="11"/>
  <c r="I4871" i="11"/>
  <c r="N4871" i="11"/>
  <c r="I4869" i="11"/>
  <c r="N4869" i="11"/>
  <c r="I4867" i="11"/>
  <c r="N4867" i="11"/>
  <c r="I4865" i="11"/>
  <c r="N4865" i="11"/>
  <c r="I4863" i="11"/>
  <c r="N4863" i="11"/>
  <c r="I4861" i="11"/>
  <c r="N4861" i="11"/>
  <c r="I4859" i="11"/>
  <c r="N4859" i="11"/>
  <c r="I4857" i="11"/>
  <c r="N4857" i="11"/>
  <c r="I4855" i="11"/>
  <c r="N4855" i="11"/>
  <c r="I4853" i="11"/>
  <c r="N4853" i="11"/>
  <c r="I4851" i="11"/>
  <c r="N4851" i="11"/>
  <c r="I4849" i="11"/>
  <c r="N4849" i="11"/>
  <c r="I4847" i="11"/>
  <c r="N4847" i="11"/>
  <c r="I4845" i="11"/>
  <c r="N4845" i="11"/>
  <c r="I4843" i="11"/>
  <c r="N4843" i="11"/>
  <c r="I4841" i="11"/>
  <c r="N4841" i="11"/>
  <c r="I4839" i="11"/>
  <c r="N4839" i="11"/>
  <c r="I4837" i="11"/>
  <c r="N4837" i="11"/>
  <c r="I4835" i="11"/>
  <c r="N4835" i="11"/>
  <c r="I4833" i="11"/>
  <c r="N4833" i="11"/>
  <c r="I4831" i="11"/>
  <c r="N4831" i="11"/>
  <c r="I4829" i="11"/>
  <c r="N4829" i="11"/>
  <c r="I4827" i="11"/>
  <c r="N4827" i="11"/>
  <c r="I4825" i="11"/>
  <c r="N4825" i="11"/>
  <c r="I4823" i="11"/>
  <c r="N4823" i="11"/>
  <c r="I4821" i="11"/>
  <c r="N4821" i="11"/>
  <c r="I4819" i="11"/>
  <c r="N4819" i="11"/>
  <c r="I4817" i="11"/>
  <c r="N4817" i="11"/>
  <c r="I4815" i="11"/>
  <c r="N4815" i="11"/>
  <c r="I4813" i="11"/>
  <c r="N4813" i="11"/>
  <c r="I4811" i="11"/>
  <c r="N4811" i="11"/>
  <c r="I4809" i="11"/>
  <c r="N4809" i="11"/>
  <c r="I4807" i="11"/>
  <c r="N4807" i="11"/>
  <c r="I4805" i="11"/>
  <c r="N4805" i="11"/>
  <c r="I4803" i="11"/>
  <c r="N4803" i="11"/>
  <c r="I4801" i="11"/>
  <c r="N4801" i="11"/>
  <c r="I4799" i="11"/>
  <c r="N4799" i="11"/>
  <c r="I4797" i="11"/>
  <c r="N4797" i="11"/>
  <c r="I4795" i="11"/>
  <c r="N4795" i="11"/>
  <c r="I4793" i="11"/>
  <c r="N4793" i="11"/>
  <c r="I4791" i="11"/>
  <c r="N4791" i="11"/>
  <c r="I4789" i="11"/>
  <c r="N4789" i="11"/>
  <c r="I4787" i="11"/>
  <c r="N4787" i="11"/>
  <c r="I4785" i="11"/>
  <c r="N4785" i="11"/>
  <c r="I4783" i="11"/>
  <c r="N4783" i="11"/>
  <c r="I4781" i="11"/>
  <c r="N4781" i="11"/>
  <c r="I4779" i="11"/>
  <c r="N4779" i="11"/>
  <c r="I4777" i="11"/>
  <c r="N4777" i="11"/>
  <c r="I4775" i="11"/>
  <c r="N4775" i="11"/>
  <c r="I4773" i="11"/>
  <c r="N4773" i="11"/>
  <c r="I4771" i="11"/>
  <c r="N4771" i="11"/>
  <c r="I4769" i="11"/>
  <c r="N4769" i="11"/>
  <c r="I4767" i="11"/>
  <c r="N4767" i="11"/>
  <c r="I4765" i="11"/>
  <c r="N4765" i="11"/>
  <c r="I4763" i="11"/>
  <c r="N4763" i="11"/>
  <c r="I4761" i="11"/>
  <c r="N4761" i="11"/>
  <c r="I4759" i="11"/>
  <c r="N4759" i="11"/>
  <c r="I4757" i="11"/>
  <c r="N4757" i="11"/>
  <c r="I4755" i="11"/>
  <c r="N4755" i="11"/>
  <c r="I4753" i="11"/>
  <c r="N4753" i="11"/>
  <c r="I4751" i="11"/>
  <c r="N4751" i="11"/>
  <c r="I4749" i="11"/>
  <c r="N4749" i="11"/>
  <c r="I4747" i="11"/>
  <c r="N4747" i="11"/>
  <c r="I4745" i="11"/>
  <c r="N4745" i="11"/>
  <c r="I4743" i="11"/>
  <c r="N4743" i="11"/>
  <c r="I4741" i="11"/>
  <c r="N4741" i="11"/>
  <c r="I4739" i="11"/>
  <c r="N4739" i="11"/>
  <c r="I4737" i="11"/>
  <c r="N4737" i="11"/>
  <c r="I4735" i="11"/>
  <c r="N4735" i="11"/>
  <c r="I4733" i="11"/>
  <c r="N4733" i="11"/>
  <c r="I4731" i="11"/>
  <c r="N4731" i="11"/>
  <c r="I4729" i="11"/>
  <c r="N4729" i="11"/>
  <c r="I4727" i="11"/>
  <c r="N4727" i="11"/>
  <c r="I4725" i="11"/>
  <c r="N4725" i="11"/>
  <c r="I4723" i="11"/>
  <c r="N4723" i="11"/>
  <c r="I4721" i="11"/>
  <c r="N4721" i="11"/>
  <c r="I4719" i="11"/>
  <c r="N4719" i="11"/>
  <c r="I4717" i="11"/>
  <c r="N4717" i="11"/>
  <c r="I4715" i="11"/>
  <c r="N4715" i="11"/>
  <c r="I4713" i="11"/>
  <c r="N4713" i="11"/>
  <c r="I4711" i="11"/>
  <c r="N4711" i="11"/>
  <c r="I4709" i="11"/>
  <c r="N4709" i="11"/>
  <c r="I4707" i="11"/>
  <c r="N4707" i="11"/>
  <c r="I4705" i="11"/>
  <c r="N4705" i="11"/>
  <c r="I4703" i="11"/>
  <c r="N4703" i="11"/>
  <c r="I4701" i="11"/>
  <c r="N4701" i="11"/>
  <c r="I4699" i="11"/>
  <c r="N4699" i="11"/>
  <c r="I4697" i="11"/>
  <c r="N4697" i="11"/>
  <c r="I4695" i="11"/>
  <c r="N4695" i="11"/>
  <c r="I4693" i="11"/>
  <c r="N4693" i="11"/>
  <c r="I4691" i="11"/>
  <c r="N4691" i="11"/>
  <c r="I4689" i="11"/>
  <c r="N4689" i="11"/>
  <c r="I4687" i="11"/>
  <c r="N4687" i="11"/>
  <c r="I4685" i="11"/>
  <c r="N4685" i="11"/>
  <c r="I4683" i="11"/>
  <c r="N4683" i="11"/>
  <c r="I4681" i="11"/>
  <c r="N4681" i="11"/>
  <c r="I4679" i="11"/>
  <c r="N4679" i="11"/>
  <c r="I4677" i="11"/>
  <c r="N4677" i="11"/>
  <c r="I4675" i="11"/>
  <c r="N4675" i="11"/>
  <c r="I4673" i="11"/>
  <c r="N4673" i="11"/>
  <c r="I4671" i="11"/>
  <c r="N4671" i="11"/>
  <c r="I4669" i="11"/>
  <c r="N4669" i="11"/>
  <c r="I4667" i="11"/>
  <c r="N4667" i="11"/>
  <c r="I4665" i="11"/>
  <c r="N4665" i="11"/>
  <c r="I4663" i="11"/>
  <c r="N4663" i="11"/>
  <c r="I4661" i="11"/>
  <c r="N4661" i="11"/>
  <c r="I4659" i="11"/>
  <c r="N4659" i="11"/>
  <c r="I4657" i="11"/>
  <c r="N4657" i="11"/>
  <c r="I4655" i="11"/>
  <c r="N4655" i="11"/>
  <c r="I4653" i="11"/>
  <c r="N4653" i="11"/>
  <c r="I4651" i="11"/>
  <c r="N4651" i="11"/>
  <c r="I4649" i="11"/>
  <c r="N4649" i="11"/>
  <c r="I4647" i="11"/>
  <c r="N4647" i="11"/>
  <c r="I4645" i="11"/>
  <c r="N4645" i="11"/>
  <c r="I4643" i="11"/>
  <c r="N4643" i="11"/>
  <c r="I4641" i="11"/>
  <c r="N4641" i="11"/>
  <c r="I4639" i="11"/>
  <c r="N4639" i="11"/>
  <c r="I4637" i="11"/>
  <c r="N4637" i="11"/>
  <c r="I4635" i="11"/>
  <c r="N4635" i="11"/>
  <c r="I4633" i="11"/>
  <c r="N4633" i="11"/>
  <c r="I4631" i="11"/>
  <c r="N4631" i="11"/>
  <c r="I4629" i="11"/>
  <c r="N4629" i="11"/>
  <c r="I4627" i="11"/>
  <c r="N4627" i="11"/>
  <c r="I4625" i="11"/>
  <c r="N4625" i="11"/>
  <c r="I4623" i="11"/>
  <c r="N4623" i="11"/>
  <c r="I4621" i="11"/>
  <c r="N4621" i="11"/>
  <c r="I4619" i="11"/>
  <c r="N4619" i="11"/>
  <c r="I4617" i="11"/>
  <c r="N4617" i="11"/>
  <c r="I4615" i="11"/>
  <c r="N4615" i="11"/>
  <c r="I4613" i="11"/>
  <c r="N4613" i="11"/>
  <c r="I4611" i="11"/>
  <c r="N4611" i="11"/>
  <c r="I4609" i="11"/>
  <c r="N4609" i="11"/>
  <c r="I4607" i="11"/>
  <c r="N4607" i="11"/>
  <c r="I4605" i="11"/>
  <c r="N4605" i="11"/>
  <c r="I4603" i="11"/>
  <c r="N4603" i="11"/>
  <c r="I4601" i="11"/>
  <c r="N4601" i="11"/>
  <c r="I4599" i="11"/>
  <c r="N4599" i="11"/>
  <c r="I4597" i="11"/>
  <c r="N4597" i="11"/>
  <c r="I4595" i="11"/>
  <c r="N4595" i="11"/>
  <c r="I4593" i="11"/>
  <c r="N4593" i="11"/>
  <c r="I4591" i="11"/>
  <c r="N4591" i="11"/>
  <c r="I4589" i="11"/>
  <c r="N4589" i="11"/>
  <c r="I4587" i="11"/>
  <c r="N4587" i="11"/>
  <c r="I4585" i="11"/>
  <c r="N4585" i="11"/>
  <c r="I4583" i="11"/>
  <c r="N4583" i="11"/>
  <c r="I4581" i="11"/>
  <c r="N4581" i="11"/>
  <c r="I4579" i="11"/>
  <c r="N4579" i="11"/>
  <c r="I4577" i="11"/>
  <c r="N4577" i="11"/>
  <c r="I4575" i="11"/>
  <c r="N4575" i="11"/>
  <c r="I4573" i="11"/>
  <c r="N4573" i="11"/>
  <c r="I4571" i="11"/>
  <c r="N4571" i="11"/>
  <c r="I4569" i="11"/>
  <c r="N4569" i="11"/>
  <c r="I4567" i="11"/>
  <c r="N4567" i="11"/>
  <c r="I4565" i="11"/>
  <c r="N4565" i="11"/>
  <c r="I4563" i="11"/>
  <c r="N4563" i="11"/>
  <c r="I4561" i="11"/>
  <c r="N4561" i="11"/>
  <c r="I4559" i="11"/>
  <c r="N4559" i="11"/>
  <c r="I4557" i="11"/>
  <c r="N4557" i="11"/>
  <c r="I4555" i="11"/>
  <c r="N4555" i="11"/>
  <c r="I4553" i="11"/>
  <c r="N4553" i="11"/>
  <c r="I4551" i="11"/>
  <c r="N4551" i="11"/>
  <c r="I4549" i="11"/>
  <c r="N4549" i="11"/>
  <c r="I4547" i="11"/>
  <c r="N4547" i="11"/>
  <c r="I4545" i="11"/>
  <c r="N4545" i="11"/>
  <c r="I4543" i="11"/>
  <c r="N4543" i="11"/>
  <c r="I4541" i="11"/>
  <c r="N4541" i="11"/>
  <c r="I4539" i="11"/>
  <c r="N4539" i="11"/>
  <c r="I4537" i="11"/>
  <c r="N4537" i="11"/>
  <c r="I4535" i="11"/>
  <c r="N4535" i="11"/>
  <c r="I4533" i="11"/>
  <c r="N4533" i="11"/>
  <c r="I4531" i="11"/>
  <c r="N4531" i="11"/>
  <c r="I4529" i="11"/>
  <c r="N4529" i="11"/>
  <c r="I4527" i="11"/>
  <c r="N4527" i="11"/>
  <c r="I4525" i="11"/>
  <c r="N4525" i="11"/>
  <c r="I4523" i="11"/>
  <c r="N4523" i="11"/>
  <c r="I4521" i="11"/>
  <c r="N4521" i="11"/>
  <c r="I4519" i="11"/>
  <c r="N4519" i="11"/>
  <c r="I4517" i="11"/>
  <c r="N4517" i="11"/>
  <c r="I4515" i="11"/>
  <c r="N4515" i="11"/>
  <c r="I4513" i="11"/>
  <c r="N4513" i="11"/>
  <c r="I4511" i="11"/>
  <c r="N4511" i="11"/>
  <c r="I4509" i="11"/>
  <c r="N4509" i="11"/>
  <c r="I4507" i="11"/>
  <c r="N4507" i="11"/>
  <c r="I4505" i="11"/>
  <c r="N4505" i="11"/>
  <c r="I4503" i="11"/>
  <c r="N4503" i="11"/>
  <c r="I4501" i="11"/>
  <c r="N4501" i="11"/>
  <c r="I4499" i="11"/>
  <c r="N4499" i="11"/>
  <c r="I4497" i="11"/>
  <c r="N4497" i="11"/>
  <c r="I4495" i="11"/>
  <c r="N4495" i="11"/>
  <c r="I4493" i="11"/>
  <c r="N4493" i="11"/>
  <c r="I4491" i="11"/>
  <c r="N4491" i="11"/>
  <c r="I4489" i="11"/>
  <c r="N4489" i="11"/>
  <c r="I4487" i="11"/>
  <c r="N4487" i="11"/>
  <c r="I4485" i="11"/>
  <c r="N4485" i="11"/>
  <c r="I4483" i="11"/>
  <c r="N4483" i="11"/>
  <c r="I4481" i="11"/>
  <c r="N4481" i="11"/>
  <c r="I4479" i="11"/>
  <c r="N4479" i="11"/>
  <c r="I4477" i="11"/>
  <c r="N4477" i="11"/>
  <c r="I4475" i="11"/>
  <c r="N4475" i="11"/>
  <c r="I4473" i="11"/>
  <c r="N4473" i="11"/>
  <c r="I4471" i="11"/>
  <c r="N4471" i="11"/>
  <c r="I4469" i="11"/>
  <c r="N4469" i="11"/>
  <c r="I4467" i="11"/>
  <c r="N4467" i="11"/>
  <c r="I4465" i="11"/>
  <c r="N4465" i="11"/>
  <c r="I4463" i="11"/>
  <c r="N4463" i="11"/>
  <c r="I4461" i="11"/>
  <c r="N4461" i="11"/>
  <c r="I4459" i="11"/>
  <c r="N4459" i="11"/>
  <c r="I4457" i="11"/>
  <c r="N4457" i="11"/>
  <c r="I4455" i="11"/>
  <c r="N4455" i="11"/>
  <c r="I4453" i="11"/>
  <c r="N4453" i="11"/>
  <c r="I4451" i="11"/>
  <c r="N4451" i="11"/>
  <c r="I4449" i="11"/>
  <c r="N4449" i="11"/>
  <c r="I4447" i="11"/>
  <c r="N4447" i="11"/>
  <c r="I4445" i="11"/>
  <c r="N4445" i="11"/>
  <c r="I4443" i="11"/>
  <c r="N4443" i="11"/>
  <c r="I4441" i="11"/>
  <c r="N4441" i="11"/>
  <c r="I4439" i="11"/>
  <c r="N4439" i="11"/>
  <c r="I4437" i="11"/>
  <c r="N4437" i="11"/>
  <c r="I4435" i="11"/>
  <c r="N4435" i="11"/>
  <c r="I4433" i="11"/>
  <c r="N4433" i="11"/>
  <c r="I4431" i="11"/>
  <c r="N4431" i="11"/>
  <c r="I4429" i="11"/>
  <c r="N4429" i="11"/>
  <c r="I4427" i="11"/>
  <c r="N4427" i="11"/>
  <c r="I4425" i="11"/>
  <c r="N4425" i="11"/>
  <c r="I4423" i="11"/>
  <c r="N4423" i="11"/>
  <c r="I4421" i="11"/>
  <c r="N4421" i="11"/>
  <c r="I4419" i="11"/>
  <c r="N4419" i="11"/>
  <c r="I4417" i="11"/>
  <c r="N4417" i="11"/>
  <c r="I4415" i="11"/>
  <c r="N4415" i="11"/>
  <c r="I4413" i="11"/>
  <c r="N4413" i="11"/>
  <c r="I4411" i="11"/>
  <c r="N4411" i="11"/>
  <c r="I4409" i="11"/>
  <c r="N4409" i="11"/>
  <c r="I4407" i="11"/>
  <c r="N4407" i="11"/>
  <c r="I4405" i="11"/>
  <c r="N4405" i="11"/>
  <c r="I4403" i="11"/>
  <c r="N4403" i="11"/>
  <c r="I4401" i="11"/>
  <c r="N4401" i="11"/>
  <c r="I4399" i="11"/>
  <c r="N4399" i="11"/>
  <c r="I4397" i="11"/>
  <c r="N4397" i="11"/>
  <c r="I4395" i="11"/>
  <c r="N4395" i="11"/>
  <c r="I4393" i="11"/>
  <c r="N4393" i="11"/>
  <c r="I4391" i="11"/>
  <c r="N4391" i="11"/>
  <c r="I4389" i="11"/>
  <c r="N4389" i="11"/>
  <c r="I4387" i="11"/>
  <c r="N4387" i="11"/>
  <c r="I4385" i="11"/>
  <c r="N4385" i="11"/>
  <c r="I4383" i="11"/>
  <c r="N4383" i="11"/>
  <c r="I4381" i="11"/>
  <c r="N4381" i="11"/>
  <c r="I4379" i="11"/>
  <c r="N4379" i="11"/>
  <c r="I4377" i="11"/>
  <c r="N4377" i="11"/>
  <c r="I4375" i="11"/>
  <c r="N4375" i="11"/>
  <c r="I4373" i="11"/>
  <c r="N4373" i="11"/>
  <c r="I4371" i="11"/>
  <c r="N4371" i="11"/>
  <c r="I4369" i="11"/>
  <c r="N4369" i="11"/>
  <c r="I4367" i="11"/>
  <c r="N4367" i="11"/>
  <c r="I4365" i="11"/>
  <c r="N4365" i="11"/>
  <c r="I4363" i="11"/>
  <c r="N4363" i="11"/>
  <c r="I4361" i="11"/>
  <c r="N4361" i="11"/>
  <c r="I4359" i="11"/>
  <c r="N4359" i="11"/>
  <c r="I4357" i="11"/>
  <c r="N4357" i="11"/>
  <c r="I4355" i="11"/>
  <c r="N4355" i="11"/>
  <c r="I4353" i="11"/>
  <c r="N4353" i="11"/>
  <c r="I4351" i="11"/>
  <c r="N4351" i="11"/>
  <c r="I4349" i="11"/>
  <c r="N4349" i="11"/>
  <c r="I4347" i="11"/>
  <c r="N4347" i="11"/>
  <c r="I4345" i="11"/>
  <c r="N4345" i="11"/>
  <c r="I4343" i="11"/>
  <c r="N4343" i="11"/>
  <c r="I4341" i="11"/>
  <c r="N4341" i="11"/>
  <c r="I4339" i="11"/>
  <c r="N4339" i="11"/>
  <c r="I4337" i="11"/>
  <c r="N4337" i="11"/>
  <c r="I4335" i="11"/>
  <c r="N4335" i="11"/>
  <c r="I4333" i="11"/>
  <c r="N4333" i="11"/>
  <c r="I4331" i="11"/>
  <c r="N4331" i="11"/>
  <c r="I4329" i="11"/>
  <c r="N4329" i="11"/>
  <c r="I4327" i="11"/>
  <c r="N4327" i="11"/>
  <c r="I4325" i="11"/>
  <c r="N4325" i="11"/>
  <c r="I4323" i="11"/>
  <c r="N4323" i="11"/>
  <c r="I4321" i="11"/>
  <c r="N4321" i="11"/>
  <c r="I4319" i="11"/>
  <c r="N4319" i="11"/>
  <c r="I4317" i="11"/>
  <c r="N4317" i="11"/>
  <c r="I4315" i="11"/>
  <c r="N4315" i="11"/>
  <c r="I4313" i="11"/>
  <c r="N4313" i="11"/>
  <c r="I4311" i="11"/>
  <c r="N4311" i="11"/>
  <c r="I4309" i="11"/>
  <c r="N4309" i="11"/>
  <c r="I4307" i="11"/>
  <c r="N4307" i="11"/>
  <c r="I4305" i="11"/>
  <c r="N4305" i="11"/>
  <c r="I4303" i="11"/>
  <c r="N4303" i="11"/>
  <c r="I4301" i="11"/>
  <c r="N4301" i="11"/>
  <c r="I4299" i="11"/>
  <c r="N4299" i="11"/>
  <c r="I4297" i="11"/>
  <c r="N4297" i="11"/>
  <c r="I4295" i="11"/>
  <c r="N4295" i="11"/>
  <c r="I4293" i="11"/>
  <c r="N4293" i="11"/>
  <c r="I4291" i="11"/>
  <c r="N4291" i="11"/>
  <c r="I4289" i="11"/>
  <c r="N4289" i="11"/>
  <c r="I4287" i="11"/>
  <c r="N4287" i="11"/>
  <c r="I4285" i="11"/>
  <c r="N4285" i="11"/>
  <c r="I4283" i="11"/>
  <c r="N4283" i="11"/>
  <c r="I4281" i="11"/>
  <c r="N4281" i="11"/>
  <c r="I4279" i="11"/>
  <c r="N4279" i="11"/>
  <c r="I4277" i="11"/>
  <c r="N4277" i="11"/>
  <c r="I4275" i="11"/>
  <c r="N4275" i="11"/>
  <c r="I4273" i="11"/>
  <c r="N4273" i="11"/>
  <c r="I4271" i="11"/>
  <c r="N4271" i="11"/>
  <c r="I4269" i="11"/>
  <c r="N4269" i="11"/>
  <c r="I4267" i="11"/>
  <c r="N4267" i="11"/>
  <c r="I4265" i="11"/>
  <c r="N4265" i="11"/>
  <c r="I4263" i="11"/>
  <c r="N4263" i="11"/>
  <c r="I4261" i="11"/>
  <c r="N4261" i="11"/>
  <c r="I4259" i="11"/>
  <c r="N4259" i="11"/>
  <c r="I4257" i="11"/>
  <c r="N4257" i="11"/>
  <c r="I4255" i="11"/>
  <c r="N4255" i="11"/>
  <c r="I4253" i="11"/>
  <c r="N4253" i="11"/>
  <c r="I4251" i="11"/>
  <c r="N4251" i="11"/>
  <c r="I4249" i="11"/>
  <c r="N4249" i="11"/>
  <c r="I4247" i="11"/>
  <c r="N4247" i="11"/>
  <c r="I4245" i="11"/>
  <c r="N4245" i="11"/>
  <c r="I4243" i="11"/>
  <c r="N4243" i="11"/>
  <c r="I4241" i="11"/>
  <c r="N4241" i="11"/>
  <c r="I4239" i="11"/>
  <c r="N4239" i="11"/>
  <c r="I4237" i="11"/>
  <c r="N4237" i="11"/>
  <c r="I4235" i="11"/>
  <c r="N4235" i="11"/>
  <c r="I4233" i="11"/>
  <c r="N4233" i="11"/>
  <c r="I4231" i="11"/>
  <c r="N4231" i="11"/>
  <c r="I4229" i="11"/>
  <c r="N4229" i="11"/>
  <c r="I4227" i="11"/>
  <c r="N4227" i="11"/>
  <c r="I4225" i="11"/>
  <c r="N4225" i="11"/>
  <c r="I4223" i="11"/>
  <c r="N4223" i="11"/>
  <c r="I4221" i="11"/>
  <c r="N4221" i="11"/>
  <c r="I4219" i="11"/>
  <c r="N4219" i="11"/>
  <c r="I4217" i="11"/>
  <c r="N4217" i="11"/>
  <c r="I4215" i="11"/>
  <c r="N4215" i="11"/>
  <c r="I4213" i="11"/>
  <c r="N4213" i="11"/>
  <c r="I4211" i="11"/>
  <c r="N4211" i="11"/>
  <c r="I4209" i="11"/>
  <c r="N4209" i="11"/>
  <c r="I4207" i="11"/>
  <c r="N4207" i="11"/>
  <c r="I4205" i="11"/>
  <c r="N4205" i="11"/>
  <c r="I4203" i="11"/>
  <c r="N4203" i="11"/>
  <c r="I4201" i="11"/>
  <c r="N4201" i="11"/>
  <c r="I4199" i="11"/>
  <c r="N4199" i="11"/>
  <c r="I4197" i="11"/>
  <c r="N4197" i="11"/>
  <c r="I4195" i="11"/>
  <c r="N4195" i="11"/>
  <c r="I4193" i="11"/>
  <c r="N4193" i="11"/>
  <c r="I4191" i="11"/>
  <c r="N4191" i="11"/>
  <c r="I4189" i="11"/>
  <c r="N4189" i="11"/>
  <c r="I4187" i="11"/>
  <c r="N4187" i="11"/>
  <c r="I4185" i="11"/>
  <c r="N4185" i="11"/>
  <c r="I4183" i="11"/>
  <c r="N4183" i="11"/>
  <c r="I4181" i="11"/>
  <c r="N4181" i="11"/>
  <c r="I4179" i="11"/>
  <c r="N4179" i="11"/>
  <c r="I4177" i="11"/>
  <c r="N4177" i="11"/>
  <c r="I4175" i="11"/>
  <c r="N4175" i="11"/>
  <c r="I4173" i="11"/>
  <c r="N4173" i="11"/>
  <c r="I4171" i="11"/>
  <c r="N4171" i="11"/>
  <c r="I4169" i="11"/>
  <c r="N4169" i="11"/>
  <c r="I4167" i="11"/>
  <c r="N4167" i="11"/>
  <c r="I4165" i="11"/>
  <c r="N4165" i="11"/>
  <c r="I4163" i="11"/>
  <c r="N4163" i="11"/>
  <c r="I4161" i="11"/>
  <c r="N4161" i="11"/>
  <c r="I4159" i="11"/>
  <c r="N4159" i="11"/>
  <c r="I4157" i="11"/>
  <c r="N4157" i="11"/>
  <c r="I4155" i="11"/>
  <c r="N4155" i="11"/>
  <c r="I4153" i="11"/>
  <c r="N4153" i="11"/>
  <c r="I4151" i="11"/>
  <c r="N4151" i="11"/>
  <c r="I4149" i="11"/>
  <c r="N4149" i="11"/>
  <c r="I4147" i="11"/>
  <c r="N4147" i="11"/>
  <c r="I4145" i="11"/>
  <c r="N4145" i="11"/>
  <c r="I4143" i="11"/>
  <c r="N4143" i="11"/>
  <c r="I4141" i="11"/>
  <c r="N4141" i="11"/>
  <c r="I4139" i="11"/>
  <c r="N4139" i="11"/>
  <c r="I4137" i="11"/>
  <c r="N4137" i="11"/>
  <c r="I4135" i="11"/>
  <c r="N4135" i="11"/>
  <c r="I4133" i="11"/>
  <c r="N4133" i="11"/>
  <c r="I4131" i="11"/>
  <c r="N4131" i="11"/>
  <c r="I4129" i="11"/>
  <c r="N4129" i="11"/>
  <c r="I4127" i="11"/>
  <c r="N4127" i="11"/>
  <c r="I4125" i="11"/>
  <c r="N4125" i="11"/>
  <c r="I4123" i="11"/>
  <c r="N4123" i="11"/>
  <c r="I4121" i="11"/>
  <c r="N4121" i="11"/>
  <c r="I4119" i="11"/>
  <c r="N4119" i="11"/>
  <c r="I4117" i="11"/>
  <c r="N4117" i="11"/>
  <c r="I4115" i="11"/>
  <c r="N4115" i="11"/>
  <c r="I4113" i="11"/>
  <c r="N4113" i="11"/>
  <c r="I4111" i="11"/>
  <c r="N4111" i="11"/>
  <c r="I4109" i="11"/>
  <c r="N4109" i="11"/>
  <c r="I4107" i="11"/>
  <c r="N4107" i="11"/>
  <c r="I4105" i="11"/>
  <c r="N4105" i="11"/>
  <c r="I4103" i="11"/>
  <c r="N4103" i="11"/>
  <c r="I4101" i="11"/>
  <c r="N4101" i="11"/>
  <c r="I4099" i="11"/>
  <c r="N4099" i="11"/>
  <c r="I4097" i="11"/>
  <c r="N4097" i="11"/>
  <c r="I4095" i="11"/>
  <c r="N4095" i="11"/>
  <c r="I4093" i="11"/>
  <c r="N4093" i="11"/>
  <c r="I4091" i="11"/>
  <c r="N4091" i="11"/>
  <c r="I4089" i="11"/>
  <c r="N4089" i="11"/>
  <c r="I4087" i="11"/>
  <c r="N4087" i="11"/>
  <c r="I4085" i="11"/>
  <c r="N4085" i="11"/>
  <c r="I4083" i="11"/>
  <c r="N4083" i="11"/>
  <c r="I4081" i="11"/>
  <c r="N4081" i="11"/>
  <c r="I4079" i="11"/>
  <c r="N4079" i="11"/>
  <c r="I4077" i="11"/>
  <c r="N4077" i="11"/>
  <c r="I4075" i="11"/>
  <c r="N4075" i="11"/>
  <c r="I4073" i="11"/>
  <c r="N4073" i="11"/>
  <c r="I4071" i="11"/>
  <c r="N4071" i="11"/>
  <c r="I4069" i="11"/>
  <c r="N4069" i="11"/>
  <c r="I4067" i="11"/>
  <c r="N4067" i="11"/>
  <c r="I4065" i="11"/>
  <c r="N4065" i="11"/>
  <c r="I4063" i="11"/>
  <c r="N4063" i="11"/>
  <c r="I4061" i="11"/>
  <c r="N4061" i="11"/>
  <c r="I4059" i="11"/>
  <c r="N4059" i="11"/>
  <c r="I4057" i="11"/>
  <c r="N4057" i="11"/>
  <c r="I4055" i="11"/>
  <c r="N4055" i="11"/>
  <c r="I4053" i="11"/>
  <c r="N4053" i="11"/>
  <c r="I4051" i="11"/>
  <c r="N4051" i="11"/>
  <c r="I4049" i="11"/>
  <c r="N4049" i="11"/>
  <c r="I4047" i="11"/>
  <c r="N4047" i="11"/>
  <c r="I4045" i="11"/>
  <c r="N4045" i="11"/>
  <c r="I4043" i="11"/>
  <c r="N4043" i="11"/>
  <c r="I4041" i="11"/>
  <c r="N4041" i="11"/>
  <c r="I4039" i="11"/>
  <c r="N4039" i="11"/>
  <c r="I4037" i="11"/>
  <c r="N4037" i="11"/>
  <c r="I4035" i="11"/>
  <c r="N4035" i="11"/>
  <c r="I4033" i="11"/>
  <c r="N4033" i="11"/>
  <c r="I4031" i="11"/>
  <c r="N4031" i="11"/>
  <c r="I4029" i="11"/>
  <c r="N4029" i="11"/>
  <c r="I4027" i="11"/>
  <c r="N4027" i="11"/>
  <c r="I4025" i="11"/>
  <c r="N4025" i="11"/>
  <c r="I4023" i="11"/>
  <c r="N4023" i="11"/>
  <c r="I4021" i="11"/>
  <c r="N4021" i="11"/>
  <c r="I4019" i="11"/>
  <c r="N4019" i="11"/>
  <c r="I4017" i="11"/>
  <c r="N4017" i="11"/>
  <c r="I4015" i="11"/>
  <c r="N4015" i="11"/>
  <c r="I4013" i="11"/>
  <c r="N4013" i="11"/>
  <c r="I4011" i="11"/>
  <c r="N4011" i="11"/>
  <c r="I4009" i="11"/>
  <c r="N4009" i="11"/>
  <c r="I4007" i="11"/>
  <c r="N4007" i="11"/>
  <c r="I4005" i="11"/>
  <c r="N4005" i="11"/>
  <c r="I4003" i="11"/>
  <c r="N4003" i="11"/>
  <c r="I4001" i="11"/>
  <c r="N4001" i="11"/>
  <c r="I3999" i="11"/>
  <c r="N3999" i="11"/>
  <c r="I3997" i="11"/>
  <c r="N3997" i="11"/>
  <c r="I3995" i="11"/>
  <c r="N3995" i="11"/>
  <c r="I3993" i="11"/>
  <c r="N3993" i="11"/>
  <c r="I3991" i="11"/>
  <c r="N3991" i="11"/>
  <c r="I3989" i="11"/>
  <c r="N3989" i="11"/>
  <c r="I3987" i="11"/>
  <c r="N3987" i="11"/>
  <c r="I3985" i="11"/>
  <c r="N3985" i="11"/>
  <c r="I3983" i="11"/>
  <c r="N3983" i="11"/>
  <c r="I3981" i="11"/>
  <c r="N3981" i="11"/>
  <c r="I3979" i="11"/>
  <c r="N3979" i="11"/>
  <c r="I3977" i="11"/>
  <c r="N3977" i="11"/>
  <c r="I3975" i="11"/>
  <c r="N3975" i="11"/>
  <c r="I3973" i="11"/>
  <c r="N3973" i="11"/>
  <c r="I3971" i="11"/>
  <c r="N3971" i="11"/>
  <c r="I3969" i="11"/>
  <c r="N3969" i="11"/>
  <c r="I3967" i="11"/>
  <c r="N3967" i="11"/>
  <c r="I3965" i="11"/>
  <c r="N3965" i="11"/>
  <c r="I3963" i="11"/>
  <c r="N3963" i="11"/>
  <c r="I3961" i="11"/>
  <c r="N3961" i="11"/>
  <c r="I3959" i="11"/>
  <c r="N3959" i="11"/>
  <c r="I3957" i="11"/>
  <c r="N3957" i="11"/>
  <c r="I3955" i="11"/>
  <c r="N3955" i="11"/>
  <c r="I3953" i="11"/>
  <c r="N3953" i="11"/>
  <c r="I3951" i="11"/>
  <c r="N3951" i="11"/>
  <c r="I3949" i="11"/>
  <c r="N3949" i="11"/>
  <c r="I3947" i="11"/>
  <c r="N3947" i="11"/>
  <c r="I3945" i="11"/>
  <c r="N3945" i="11"/>
  <c r="I3943" i="11"/>
  <c r="N3943" i="11"/>
  <c r="I3941" i="11"/>
  <c r="N3941" i="11"/>
  <c r="I3939" i="11"/>
  <c r="N3939" i="11"/>
  <c r="I3937" i="11"/>
  <c r="N3937" i="11"/>
  <c r="I3935" i="11"/>
  <c r="N3935" i="11"/>
  <c r="I3933" i="11"/>
  <c r="N3933" i="11"/>
  <c r="I3931" i="11"/>
  <c r="N3931" i="11"/>
  <c r="I3929" i="11"/>
  <c r="N3929" i="11"/>
  <c r="I3927" i="11"/>
  <c r="N3927" i="11"/>
  <c r="I3925" i="11"/>
  <c r="N3925" i="11"/>
  <c r="I3923" i="11"/>
  <c r="N3923" i="11"/>
  <c r="I3921" i="11"/>
  <c r="N3921" i="11"/>
  <c r="I3919" i="11"/>
  <c r="N3919" i="11"/>
  <c r="I3917" i="11"/>
  <c r="N3917" i="11"/>
  <c r="I3915" i="11"/>
  <c r="N3915" i="11"/>
  <c r="I3913" i="11"/>
  <c r="N3913" i="11"/>
  <c r="I3911" i="11"/>
  <c r="N3911" i="11"/>
  <c r="I3909" i="11"/>
  <c r="N3909" i="11"/>
  <c r="I3907" i="11"/>
  <c r="N3907" i="11"/>
  <c r="I3905" i="11"/>
  <c r="N3905" i="11"/>
  <c r="I3903" i="11"/>
  <c r="N3903" i="11"/>
  <c r="I3901" i="11"/>
  <c r="N3901" i="11"/>
  <c r="I3899" i="11"/>
  <c r="N3899" i="11"/>
  <c r="I3897" i="11"/>
  <c r="N3897" i="11"/>
  <c r="I3895" i="11"/>
  <c r="N3895" i="11"/>
  <c r="I3893" i="11"/>
  <c r="N3893" i="11"/>
  <c r="I3891" i="11"/>
  <c r="N3891" i="11"/>
  <c r="I3889" i="11"/>
  <c r="N3889" i="11"/>
  <c r="I3887" i="11"/>
  <c r="N3887" i="11"/>
  <c r="I3885" i="11"/>
  <c r="N3885" i="11"/>
  <c r="I3883" i="11"/>
  <c r="N3883" i="11"/>
  <c r="I3881" i="11"/>
  <c r="N3881" i="11"/>
  <c r="I3879" i="11"/>
  <c r="N3879" i="11"/>
  <c r="I3877" i="11"/>
  <c r="N3877" i="11"/>
  <c r="I3875" i="11"/>
  <c r="N3875" i="11"/>
  <c r="I3873" i="11"/>
  <c r="N3873" i="11"/>
  <c r="I3871" i="11"/>
  <c r="N3871" i="11"/>
  <c r="I3869" i="11"/>
  <c r="N3869" i="11"/>
  <c r="I3867" i="11"/>
  <c r="N3867" i="11"/>
  <c r="I3865" i="11"/>
  <c r="N3865" i="11"/>
  <c r="I3863" i="11"/>
  <c r="N3863" i="11"/>
  <c r="I3861" i="11"/>
  <c r="N3861" i="11"/>
  <c r="I3859" i="11"/>
  <c r="N3859" i="11"/>
  <c r="I3857" i="11"/>
  <c r="N3857" i="11"/>
  <c r="I3855" i="11"/>
  <c r="N3855" i="11"/>
  <c r="I3853" i="11"/>
  <c r="N3853" i="11"/>
  <c r="I3851" i="11"/>
  <c r="N3851" i="11"/>
  <c r="I3849" i="11"/>
  <c r="N3849" i="11"/>
  <c r="I3847" i="11"/>
  <c r="N3847" i="11"/>
  <c r="I3845" i="11"/>
  <c r="N3845" i="11"/>
  <c r="I3843" i="11"/>
  <c r="N3843" i="11"/>
  <c r="I3841" i="11"/>
  <c r="N3841" i="11"/>
  <c r="I3839" i="11"/>
  <c r="N3839" i="11"/>
  <c r="I3837" i="11"/>
  <c r="N3837" i="11"/>
  <c r="I3835" i="11"/>
  <c r="N3835" i="11"/>
  <c r="I3833" i="11"/>
  <c r="N3833" i="11"/>
  <c r="I3831" i="11"/>
  <c r="N3831" i="11"/>
  <c r="I3829" i="11"/>
  <c r="N3829" i="11"/>
  <c r="I3827" i="11"/>
  <c r="N3827" i="11"/>
  <c r="I3825" i="11"/>
  <c r="N3825" i="11"/>
  <c r="I3823" i="11"/>
  <c r="N3823" i="11"/>
  <c r="I3821" i="11"/>
  <c r="N3821" i="11"/>
  <c r="I3819" i="11"/>
  <c r="N3819" i="11"/>
  <c r="I3817" i="11"/>
  <c r="N3817" i="11"/>
  <c r="I3815" i="11"/>
  <c r="N3815" i="11"/>
  <c r="I3813" i="11"/>
  <c r="N3813" i="11"/>
  <c r="I3811" i="11"/>
  <c r="N3811" i="11"/>
  <c r="I3809" i="11"/>
  <c r="N3809" i="11"/>
  <c r="I3807" i="11"/>
  <c r="N3807" i="11"/>
  <c r="I3805" i="11"/>
  <c r="N3805" i="11"/>
  <c r="I3803" i="11"/>
  <c r="N3803" i="11"/>
  <c r="I3801" i="11"/>
  <c r="N3801" i="11"/>
  <c r="I3799" i="11"/>
  <c r="N3799" i="11"/>
  <c r="I3797" i="11"/>
  <c r="N3797" i="11"/>
  <c r="I3795" i="11"/>
  <c r="N3795" i="11"/>
  <c r="I3793" i="11"/>
  <c r="N3793" i="11"/>
  <c r="I3791" i="11"/>
  <c r="N3791" i="11"/>
  <c r="I3789" i="11"/>
  <c r="N3789" i="11"/>
  <c r="I3787" i="11"/>
  <c r="N3787" i="11"/>
  <c r="I3785" i="11"/>
  <c r="N3785" i="11"/>
  <c r="I3783" i="11"/>
  <c r="N3783" i="11"/>
  <c r="I3781" i="11"/>
  <c r="N3781" i="11"/>
  <c r="I3779" i="11"/>
  <c r="N3779" i="11"/>
  <c r="I3777" i="11"/>
  <c r="N3777" i="11"/>
  <c r="I3775" i="11"/>
  <c r="N3775" i="11"/>
  <c r="I3773" i="11"/>
  <c r="N3773" i="11"/>
  <c r="I3771" i="11"/>
  <c r="N3771" i="11"/>
  <c r="I3769" i="11"/>
  <c r="N3769" i="11"/>
  <c r="I3767" i="11"/>
  <c r="N3767" i="11"/>
  <c r="I3765" i="11"/>
  <c r="N3765" i="11"/>
  <c r="I3763" i="11"/>
  <c r="N3763" i="11"/>
  <c r="I3761" i="11"/>
  <c r="N3761" i="11"/>
  <c r="I3759" i="11"/>
  <c r="N3759" i="11"/>
  <c r="I3757" i="11"/>
  <c r="N3757" i="11"/>
  <c r="I3755" i="11"/>
  <c r="N3755" i="11"/>
  <c r="I3753" i="11"/>
  <c r="N3753" i="11"/>
  <c r="I3751" i="11"/>
  <c r="N3751" i="11"/>
  <c r="I3749" i="11"/>
  <c r="N3749" i="11"/>
  <c r="I3747" i="11"/>
  <c r="N3747" i="11"/>
  <c r="I3745" i="11"/>
  <c r="N3745" i="11"/>
  <c r="I3743" i="11"/>
  <c r="N3743" i="11"/>
  <c r="I3741" i="11"/>
  <c r="N3741" i="11"/>
  <c r="I3739" i="11"/>
  <c r="N3739" i="11"/>
  <c r="I3737" i="11"/>
  <c r="N3737" i="11"/>
  <c r="I3735" i="11"/>
  <c r="N3735" i="11"/>
  <c r="I3733" i="11"/>
  <c r="N3733" i="11"/>
  <c r="I3731" i="11"/>
  <c r="N3731" i="11"/>
  <c r="I3729" i="11"/>
  <c r="N3729" i="11"/>
  <c r="I3727" i="11"/>
  <c r="N3727" i="11"/>
  <c r="I3725" i="11"/>
  <c r="N3725" i="11"/>
  <c r="I3723" i="11"/>
  <c r="N3723" i="11"/>
  <c r="I3721" i="11"/>
  <c r="N3721" i="11"/>
  <c r="I3719" i="11"/>
  <c r="N3719" i="11"/>
  <c r="I3717" i="11"/>
  <c r="N3717" i="11"/>
  <c r="I3715" i="11"/>
  <c r="N3715" i="11"/>
  <c r="I3713" i="11"/>
  <c r="N3713" i="11"/>
  <c r="I3711" i="11"/>
  <c r="N3711" i="11"/>
  <c r="I3709" i="11"/>
  <c r="N3709" i="11"/>
  <c r="I3707" i="11"/>
  <c r="N3707" i="11"/>
  <c r="I3705" i="11"/>
  <c r="N3705" i="11"/>
  <c r="I3703" i="11"/>
  <c r="N3703" i="11"/>
  <c r="I3701" i="11"/>
  <c r="N3701" i="11"/>
  <c r="I3699" i="11"/>
  <c r="N3699" i="11"/>
  <c r="I3697" i="11"/>
  <c r="N3697" i="11"/>
  <c r="I3695" i="11"/>
  <c r="N3695" i="11"/>
  <c r="I3693" i="11"/>
  <c r="N3693" i="11"/>
  <c r="I3691" i="11"/>
  <c r="N3691" i="11"/>
  <c r="I3689" i="11"/>
  <c r="N3689" i="11"/>
  <c r="I3687" i="11"/>
  <c r="N3687" i="11"/>
  <c r="I3685" i="11"/>
  <c r="N3685" i="11"/>
  <c r="I3683" i="11"/>
  <c r="N3683" i="11"/>
  <c r="I3681" i="11"/>
  <c r="N3681" i="11"/>
  <c r="I3679" i="11"/>
  <c r="N3679" i="11"/>
  <c r="I3677" i="11"/>
  <c r="N3677" i="11"/>
  <c r="I3675" i="11"/>
  <c r="N3675" i="11"/>
  <c r="I3673" i="11"/>
  <c r="N3673" i="11"/>
  <c r="I3671" i="11"/>
  <c r="N3671" i="11"/>
  <c r="I3669" i="11"/>
  <c r="N3669" i="11"/>
  <c r="I3667" i="11"/>
  <c r="N3667" i="11"/>
  <c r="I3665" i="11"/>
  <c r="N3665" i="11"/>
  <c r="I3663" i="11"/>
  <c r="N3663" i="11"/>
  <c r="I3661" i="11"/>
  <c r="N3661" i="11"/>
  <c r="I3659" i="11"/>
  <c r="N3659" i="11"/>
  <c r="I3657" i="11"/>
  <c r="N3657" i="11"/>
  <c r="I3655" i="11"/>
  <c r="N3655" i="11"/>
  <c r="I3653" i="11"/>
  <c r="N3653" i="11"/>
  <c r="I3651" i="11"/>
  <c r="N3651" i="11"/>
  <c r="I3649" i="11"/>
  <c r="N3649" i="11"/>
  <c r="I3647" i="11"/>
  <c r="N3647" i="11"/>
  <c r="I3645" i="11"/>
  <c r="N3645" i="11"/>
  <c r="I3643" i="11"/>
  <c r="N3643" i="11"/>
  <c r="I3641" i="11"/>
  <c r="N3641" i="11"/>
  <c r="I3639" i="11"/>
  <c r="N3639" i="11"/>
  <c r="I3637" i="11"/>
  <c r="N3637" i="11"/>
  <c r="I3635" i="11"/>
  <c r="N3635" i="11"/>
  <c r="I3633" i="11"/>
  <c r="N3633" i="11"/>
  <c r="I3631" i="11"/>
  <c r="N3631" i="11"/>
  <c r="I3629" i="11"/>
  <c r="N3629" i="11"/>
  <c r="I3627" i="11"/>
  <c r="N3627" i="11"/>
  <c r="I3625" i="11"/>
  <c r="N3625" i="11"/>
  <c r="I3623" i="11"/>
  <c r="N3623" i="11"/>
  <c r="I3621" i="11"/>
  <c r="N3621" i="11"/>
  <c r="I3619" i="11"/>
  <c r="N3619" i="11"/>
  <c r="I3617" i="11"/>
  <c r="N3617" i="11"/>
  <c r="I3615" i="11"/>
  <c r="N3615" i="11"/>
  <c r="I3613" i="11"/>
  <c r="N3613" i="11"/>
  <c r="I3611" i="11"/>
  <c r="N3611" i="11"/>
  <c r="I3609" i="11"/>
  <c r="N3609" i="11"/>
  <c r="I3607" i="11"/>
  <c r="N3607" i="11"/>
  <c r="I3605" i="11"/>
  <c r="N3605" i="11"/>
  <c r="I3603" i="11"/>
  <c r="N3603" i="11"/>
  <c r="I3601" i="11"/>
  <c r="N3601" i="11"/>
  <c r="I3599" i="11"/>
  <c r="N3599" i="11"/>
  <c r="I3597" i="11"/>
  <c r="N3597" i="11"/>
  <c r="I3595" i="11"/>
  <c r="N3595" i="11"/>
  <c r="I3593" i="11"/>
  <c r="N3593" i="11"/>
  <c r="I3591" i="11"/>
  <c r="N3591" i="11"/>
  <c r="I3589" i="11"/>
  <c r="N3589" i="11"/>
  <c r="I3587" i="11"/>
  <c r="N3587" i="11"/>
  <c r="I3585" i="11"/>
  <c r="N3585" i="11"/>
  <c r="I3583" i="11"/>
  <c r="N3583" i="11"/>
  <c r="I3581" i="11"/>
  <c r="N3581" i="11"/>
  <c r="I3579" i="11"/>
  <c r="N3579" i="11"/>
  <c r="I3577" i="11"/>
  <c r="N3577" i="11"/>
  <c r="I3575" i="11"/>
  <c r="N3575" i="11"/>
  <c r="I3573" i="11"/>
  <c r="N3573" i="11"/>
  <c r="I3571" i="11"/>
  <c r="N3571" i="11"/>
  <c r="I3569" i="11"/>
  <c r="N3569" i="11"/>
  <c r="I3567" i="11"/>
  <c r="N3567" i="11"/>
  <c r="I3565" i="11"/>
  <c r="N3565" i="11"/>
  <c r="I3563" i="11"/>
  <c r="N3563" i="11"/>
  <c r="I3561" i="11"/>
  <c r="N3561" i="11"/>
  <c r="I3559" i="11"/>
  <c r="N3559" i="11"/>
  <c r="I3557" i="11"/>
  <c r="N3557" i="11"/>
  <c r="I3555" i="11"/>
  <c r="N3555" i="11"/>
  <c r="I3553" i="11"/>
  <c r="N3553" i="11"/>
  <c r="I3551" i="11"/>
  <c r="N3551" i="11"/>
  <c r="I3549" i="11"/>
  <c r="N3549" i="11"/>
  <c r="I3547" i="11"/>
  <c r="N3547" i="11"/>
  <c r="I3545" i="11"/>
  <c r="N3545" i="11"/>
  <c r="I3543" i="11"/>
  <c r="N3543" i="11"/>
  <c r="I3541" i="11"/>
  <c r="N3541" i="11"/>
  <c r="I3539" i="11"/>
  <c r="N3539" i="11"/>
  <c r="I3537" i="11"/>
  <c r="N3537" i="11"/>
  <c r="I3535" i="11"/>
  <c r="N3535" i="11"/>
  <c r="I3533" i="11"/>
  <c r="N3533" i="11"/>
  <c r="I3531" i="11"/>
  <c r="N3531" i="11"/>
  <c r="I3529" i="11"/>
  <c r="N3529" i="11"/>
  <c r="I3527" i="11"/>
  <c r="N3527" i="11"/>
  <c r="I3525" i="11"/>
  <c r="N3525" i="11"/>
  <c r="I3523" i="11"/>
  <c r="N3523" i="11"/>
  <c r="I3521" i="11"/>
  <c r="N3521" i="11"/>
  <c r="I3519" i="11"/>
  <c r="N3519" i="11"/>
  <c r="I3517" i="11"/>
  <c r="N3517" i="11"/>
  <c r="I3515" i="11"/>
  <c r="N3515" i="11"/>
  <c r="I3513" i="11"/>
  <c r="N3513" i="11"/>
  <c r="I3511" i="11"/>
  <c r="N3511" i="11"/>
  <c r="I3509" i="11"/>
  <c r="N3509" i="11"/>
  <c r="I3507" i="11"/>
  <c r="N3507" i="11"/>
  <c r="I3505" i="11"/>
  <c r="N3505" i="11"/>
  <c r="I3503" i="11"/>
  <c r="N3503" i="11"/>
  <c r="I3501" i="11"/>
  <c r="N3501" i="11"/>
  <c r="I3499" i="11"/>
  <c r="N3499" i="11"/>
  <c r="I3497" i="11"/>
  <c r="N3497" i="11"/>
  <c r="I3495" i="11"/>
  <c r="N3495" i="11"/>
  <c r="I3493" i="11"/>
  <c r="N3493" i="11"/>
  <c r="I3491" i="11"/>
  <c r="N3491" i="11"/>
  <c r="I3489" i="11"/>
  <c r="N3489" i="11"/>
  <c r="I3487" i="11"/>
  <c r="N3487" i="11"/>
  <c r="I3485" i="11"/>
  <c r="N3485" i="11"/>
  <c r="I3483" i="11"/>
  <c r="N3483" i="11"/>
  <c r="I3481" i="11"/>
  <c r="N3481" i="11"/>
  <c r="I3479" i="11"/>
  <c r="N3479" i="11"/>
  <c r="I3477" i="11"/>
  <c r="N3477" i="11"/>
  <c r="I3475" i="11"/>
  <c r="N3475" i="11"/>
  <c r="I3473" i="11"/>
  <c r="N3473" i="11"/>
  <c r="I3471" i="11"/>
  <c r="N3471" i="11"/>
  <c r="I3469" i="11"/>
  <c r="N3469" i="11"/>
  <c r="I3467" i="11"/>
  <c r="N3467" i="11"/>
  <c r="I3465" i="11"/>
  <c r="N3465" i="11"/>
  <c r="I3463" i="11"/>
  <c r="N3463" i="11"/>
  <c r="I3461" i="11"/>
  <c r="N3461" i="11"/>
  <c r="I3459" i="11"/>
  <c r="N3459" i="11"/>
  <c r="I3457" i="11"/>
  <c r="N3457" i="11"/>
  <c r="I3455" i="11"/>
  <c r="N3455" i="11"/>
  <c r="I3453" i="11"/>
  <c r="N3453" i="11"/>
  <c r="I3451" i="11"/>
  <c r="N3451" i="11"/>
  <c r="I3449" i="11"/>
  <c r="N3449" i="11"/>
  <c r="I3447" i="11"/>
  <c r="N3447" i="11"/>
  <c r="I3445" i="11"/>
  <c r="N3445" i="11"/>
  <c r="I3443" i="11"/>
  <c r="N3443" i="11"/>
  <c r="I3441" i="11"/>
  <c r="N3441" i="11"/>
  <c r="I3439" i="11"/>
  <c r="N3439" i="11"/>
  <c r="I3437" i="11"/>
  <c r="N3437" i="11"/>
  <c r="I3435" i="11"/>
  <c r="N3435" i="11"/>
  <c r="I3433" i="11"/>
  <c r="N3433" i="11"/>
  <c r="I3431" i="11"/>
  <c r="N3431" i="11"/>
  <c r="I3429" i="11"/>
  <c r="N3429" i="11"/>
  <c r="I3427" i="11"/>
  <c r="N3427" i="11"/>
  <c r="I3425" i="11"/>
  <c r="N3425" i="11"/>
  <c r="I3423" i="11"/>
  <c r="N3423" i="11"/>
  <c r="I3421" i="11"/>
  <c r="N3421" i="11"/>
  <c r="I3419" i="11"/>
  <c r="N3419" i="11"/>
  <c r="I3417" i="11"/>
  <c r="N3417" i="11"/>
  <c r="I3415" i="11"/>
  <c r="N3415" i="11"/>
  <c r="I3413" i="11"/>
  <c r="N3413" i="11"/>
  <c r="I3411" i="11"/>
  <c r="N3411" i="11"/>
  <c r="I3409" i="11"/>
  <c r="N3409" i="11"/>
  <c r="I3407" i="11"/>
  <c r="N3407" i="11"/>
  <c r="I3405" i="11"/>
  <c r="N3405" i="11"/>
  <c r="I3403" i="11"/>
  <c r="N3403" i="11"/>
  <c r="I3401" i="11"/>
  <c r="N3401" i="11"/>
  <c r="I3399" i="11"/>
  <c r="N3399" i="11"/>
  <c r="I3397" i="11"/>
  <c r="N3397" i="11"/>
  <c r="I3395" i="11"/>
  <c r="N3395" i="11"/>
  <c r="I3393" i="11"/>
  <c r="N3393" i="11"/>
  <c r="I3391" i="11"/>
  <c r="N3391" i="11"/>
  <c r="I3389" i="11"/>
  <c r="N3389" i="11"/>
  <c r="I3387" i="11"/>
  <c r="N3387" i="11"/>
  <c r="I3385" i="11"/>
  <c r="N3385" i="11"/>
  <c r="I3383" i="11"/>
  <c r="N3383" i="11"/>
  <c r="I3381" i="11"/>
  <c r="N3381" i="11"/>
  <c r="I3379" i="11"/>
  <c r="N3379" i="11"/>
  <c r="I3377" i="11"/>
  <c r="N3377" i="11"/>
  <c r="I3375" i="11"/>
  <c r="N3375" i="11"/>
  <c r="I3373" i="11"/>
  <c r="N3373" i="11"/>
  <c r="I3371" i="11"/>
  <c r="N3371" i="11"/>
  <c r="I3369" i="11"/>
  <c r="N3369" i="11"/>
  <c r="I3367" i="11"/>
  <c r="N3367" i="11"/>
  <c r="I3365" i="11"/>
  <c r="N3365" i="11"/>
  <c r="I3363" i="11"/>
  <c r="N3363" i="11"/>
  <c r="I3361" i="11"/>
  <c r="N3361" i="11"/>
  <c r="I3359" i="11"/>
  <c r="N3359" i="11"/>
  <c r="I3357" i="11"/>
  <c r="N3357" i="11"/>
  <c r="I3355" i="11"/>
  <c r="N3355" i="11"/>
  <c r="I3353" i="11"/>
  <c r="N3353" i="11"/>
  <c r="I3351" i="11"/>
  <c r="N3351" i="11"/>
  <c r="I3349" i="11"/>
  <c r="N3349" i="11"/>
  <c r="I3347" i="11"/>
  <c r="N3347" i="11"/>
  <c r="I3345" i="11"/>
  <c r="N3345" i="11"/>
  <c r="I3343" i="11"/>
  <c r="N3343" i="11"/>
  <c r="I3341" i="11"/>
  <c r="N3341" i="11"/>
  <c r="I3339" i="11"/>
  <c r="N3339" i="11"/>
  <c r="I3337" i="11"/>
  <c r="N3337" i="11"/>
  <c r="I3335" i="11"/>
  <c r="N3335" i="11"/>
  <c r="I3333" i="11"/>
  <c r="N3333" i="11"/>
  <c r="I3331" i="11"/>
  <c r="N3331" i="11"/>
  <c r="I3329" i="11"/>
  <c r="N3329" i="11"/>
  <c r="I3327" i="11"/>
  <c r="N3327" i="11"/>
  <c r="I3325" i="11"/>
  <c r="N3325" i="11"/>
  <c r="I3323" i="11"/>
  <c r="N3323" i="11"/>
  <c r="I3321" i="11"/>
  <c r="N3321" i="11"/>
  <c r="I3319" i="11"/>
  <c r="N3319" i="11"/>
  <c r="I3317" i="11"/>
  <c r="N3317" i="11"/>
  <c r="I3315" i="11"/>
  <c r="N3315" i="11"/>
  <c r="I3313" i="11"/>
  <c r="N3313" i="11"/>
  <c r="I3311" i="11"/>
  <c r="N3311" i="11"/>
  <c r="I3309" i="11"/>
  <c r="N3309" i="11"/>
  <c r="I3307" i="11"/>
  <c r="N3307" i="11"/>
  <c r="I3305" i="11"/>
  <c r="N3305" i="11"/>
  <c r="I3303" i="11"/>
  <c r="N3303" i="11"/>
  <c r="I3301" i="11"/>
  <c r="N3301" i="11"/>
  <c r="I3299" i="11"/>
  <c r="N3299" i="11"/>
  <c r="I3297" i="11"/>
  <c r="N3297" i="11"/>
  <c r="I3295" i="11"/>
  <c r="N3295" i="11"/>
  <c r="I3293" i="11"/>
  <c r="N3293" i="11"/>
  <c r="I3291" i="11"/>
  <c r="N3291" i="11"/>
  <c r="I3289" i="11"/>
  <c r="N3289" i="11"/>
  <c r="I3287" i="11"/>
  <c r="N3287" i="11"/>
  <c r="I3285" i="11"/>
  <c r="N3285" i="11"/>
  <c r="I3283" i="11"/>
  <c r="N3283" i="11"/>
  <c r="I3281" i="11"/>
  <c r="N3281" i="11"/>
  <c r="I3279" i="11"/>
  <c r="N3279" i="11"/>
  <c r="I3277" i="11"/>
  <c r="N3277" i="11"/>
  <c r="I3275" i="11"/>
  <c r="N3275" i="11"/>
  <c r="I3273" i="11"/>
  <c r="N3273" i="11"/>
  <c r="I3271" i="11"/>
  <c r="N3271" i="11"/>
  <c r="I3269" i="11"/>
  <c r="N3269" i="11"/>
  <c r="I3267" i="11"/>
  <c r="N3267" i="11"/>
  <c r="I3265" i="11"/>
  <c r="N3265" i="11"/>
  <c r="I3263" i="11"/>
  <c r="N3263" i="11"/>
  <c r="I3261" i="11"/>
  <c r="N3261" i="11"/>
  <c r="I3259" i="11"/>
  <c r="N3259" i="11"/>
  <c r="I3257" i="11"/>
  <c r="N3257" i="11"/>
  <c r="I3255" i="11"/>
  <c r="N3255" i="11"/>
  <c r="I3253" i="11"/>
  <c r="N3253" i="11"/>
  <c r="I3251" i="11"/>
  <c r="N3251" i="11"/>
  <c r="I3249" i="11"/>
  <c r="N3249" i="11"/>
  <c r="I3247" i="11"/>
  <c r="N3247" i="11"/>
  <c r="I3245" i="11"/>
  <c r="N3245" i="11"/>
  <c r="I3243" i="11"/>
  <c r="N3243" i="11"/>
  <c r="I3241" i="11"/>
  <c r="N3241" i="11"/>
  <c r="I3239" i="11"/>
  <c r="N3239" i="11"/>
  <c r="I3237" i="11"/>
  <c r="N3237" i="11"/>
  <c r="I3235" i="11"/>
  <c r="N3235" i="11"/>
  <c r="I3233" i="11"/>
  <c r="N3233" i="11"/>
  <c r="I3231" i="11"/>
  <c r="N3231" i="11"/>
  <c r="I3229" i="11"/>
  <c r="N3229" i="11"/>
  <c r="I3227" i="11"/>
  <c r="N3227" i="11"/>
  <c r="I3225" i="11"/>
  <c r="N3225" i="11"/>
  <c r="I3223" i="11"/>
  <c r="N3223" i="11"/>
  <c r="I3221" i="11"/>
  <c r="N3221" i="11"/>
  <c r="I3219" i="11"/>
  <c r="N3219" i="11"/>
  <c r="I3217" i="11"/>
  <c r="N3217" i="11"/>
  <c r="I3215" i="11"/>
  <c r="N3215" i="11"/>
  <c r="I3213" i="11"/>
  <c r="N3213" i="11"/>
  <c r="I3211" i="11"/>
  <c r="N3211" i="11"/>
  <c r="I3209" i="11"/>
  <c r="N3209" i="11"/>
  <c r="I3207" i="11"/>
  <c r="N3207" i="11"/>
  <c r="I3205" i="11"/>
  <c r="N3205" i="11"/>
  <c r="I3203" i="11"/>
  <c r="N3203" i="11"/>
  <c r="I3201" i="11"/>
  <c r="N3201" i="11"/>
  <c r="I3199" i="11"/>
  <c r="N3199" i="11"/>
  <c r="I3197" i="11"/>
  <c r="N3197" i="11"/>
  <c r="I3195" i="11"/>
  <c r="N3195" i="11"/>
  <c r="I3193" i="11"/>
  <c r="N3193" i="11"/>
  <c r="I3191" i="11"/>
  <c r="N3191" i="11"/>
  <c r="I3189" i="11"/>
  <c r="N3189" i="11"/>
  <c r="I3187" i="11"/>
  <c r="N3187" i="11"/>
  <c r="I3185" i="11"/>
  <c r="N3185" i="11"/>
  <c r="I3183" i="11"/>
  <c r="N3183" i="11"/>
  <c r="I3181" i="11"/>
  <c r="N3181" i="11"/>
  <c r="I3179" i="11"/>
  <c r="N3179" i="11"/>
  <c r="I3177" i="11"/>
  <c r="N3177" i="11"/>
  <c r="I3175" i="11"/>
  <c r="N3175" i="11"/>
  <c r="I3173" i="11"/>
  <c r="N3173" i="11"/>
  <c r="I3171" i="11"/>
  <c r="N3171" i="11"/>
  <c r="I3169" i="11"/>
  <c r="N3169" i="11"/>
  <c r="I3167" i="11"/>
  <c r="N3167" i="11"/>
  <c r="I3165" i="11"/>
  <c r="N3165" i="11"/>
  <c r="I3163" i="11"/>
  <c r="N3163" i="11"/>
  <c r="I3161" i="11"/>
  <c r="N3161" i="11"/>
  <c r="I3159" i="11"/>
  <c r="N3159" i="11"/>
  <c r="I3157" i="11"/>
  <c r="N3157" i="11"/>
  <c r="I3155" i="11"/>
  <c r="N3155" i="11"/>
  <c r="I3153" i="11"/>
  <c r="N3153" i="11"/>
  <c r="I3151" i="11"/>
  <c r="N3151" i="11"/>
  <c r="I3149" i="11"/>
  <c r="N3149" i="11"/>
  <c r="I3147" i="11"/>
  <c r="N3147" i="11"/>
  <c r="I3145" i="11"/>
  <c r="N3145" i="11"/>
  <c r="I3143" i="11"/>
  <c r="N3143" i="11"/>
  <c r="I3141" i="11"/>
  <c r="N3141" i="11"/>
  <c r="I3139" i="11"/>
  <c r="N3139" i="11"/>
  <c r="I3137" i="11"/>
  <c r="N3137" i="11"/>
  <c r="I3135" i="11"/>
  <c r="N3135" i="11"/>
  <c r="I3133" i="11"/>
  <c r="N3133" i="11"/>
  <c r="I3131" i="11"/>
  <c r="N3131" i="11"/>
  <c r="I3129" i="11"/>
  <c r="N3129" i="11"/>
  <c r="I3127" i="11"/>
  <c r="N3127" i="11"/>
  <c r="I3125" i="11"/>
  <c r="N3125" i="11"/>
  <c r="I3123" i="11"/>
  <c r="N3123" i="11"/>
  <c r="I3121" i="11"/>
  <c r="N3121" i="11"/>
  <c r="I3119" i="11"/>
  <c r="N3119" i="11"/>
  <c r="I3117" i="11"/>
  <c r="N3117" i="11"/>
  <c r="I3115" i="11"/>
  <c r="N3115" i="11"/>
  <c r="I3113" i="11"/>
  <c r="N3113" i="11"/>
  <c r="I3111" i="11"/>
  <c r="N3111" i="11"/>
  <c r="I3109" i="11"/>
  <c r="N3109" i="11"/>
  <c r="I3107" i="11"/>
  <c r="N3107" i="11"/>
  <c r="I3105" i="11"/>
  <c r="N3105" i="11"/>
  <c r="I3103" i="11"/>
  <c r="N3103" i="11"/>
  <c r="I3101" i="11"/>
  <c r="N3101" i="11"/>
  <c r="I3099" i="11"/>
  <c r="N3099" i="11"/>
  <c r="I3097" i="11"/>
  <c r="N3097" i="11"/>
  <c r="I3095" i="11"/>
  <c r="N3095" i="11"/>
  <c r="I3093" i="11"/>
  <c r="N3093" i="11"/>
  <c r="I3091" i="11"/>
  <c r="N3091" i="11"/>
  <c r="I3089" i="11"/>
  <c r="N3089" i="11"/>
  <c r="I3087" i="11"/>
  <c r="N3087" i="11"/>
  <c r="I3085" i="11"/>
  <c r="N3085" i="11"/>
  <c r="I3083" i="11"/>
  <c r="N3083" i="11"/>
  <c r="I3081" i="11"/>
  <c r="N3081" i="11"/>
  <c r="I3079" i="11"/>
  <c r="N3079" i="11"/>
  <c r="I3077" i="11"/>
  <c r="N3077" i="11"/>
  <c r="I3075" i="11"/>
  <c r="N3075" i="11"/>
  <c r="I3073" i="11"/>
  <c r="N3073" i="11"/>
  <c r="I3071" i="11"/>
  <c r="N3071" i="11"/>
  <c r="I3069" i="11"/>
  <c r="N3069" i="11"/>
  <c r="I3067" i="11"/>
  <c r="N3067" i="11"/>
  <c r="I3065" i="11"/>
  <c r="N3065" i="11"/>
  <c r="I3063" i="11"/>
  <c r="N3063" i="11"/>
  <c r="I3061" i="11"/>
  <c r="N3061" i="11"/>
  <c r="I3059" i="11"/>
  <c r="N3059" i="11"/>
  <c r="I3057" i="11"/>
  <c r="N3057" i="11"/>
  <c r="I3055" i="11"/>
  <c r="N3055" i="11"/>
  <c r="I3053" i="11"/>
  <c r="N3053" i="11"/>
  <c r="I3051" i="11"/>
  <c r="N3051" i="11"/>
  <c r="I3049" i="11"/>
  <c r="N3049" i="11"/>
  <c r="I3047" i="11"/>
  <c r="N3047" i="11"/>
  <c r="I3045" i="11"/>
  <c r="N3045" i="11"/>
  <c r="I3043" i="11"/>
  <c r="N3043" i="11"/>
  <c r="I3041" i="11"/>
  <c r="N3041" i="11"/>
  <c r="I3039" i="11"/>
  <c r="N3039" i="11"/>
  <c r="I3037" i="11"/>
  <c r="N3037" i="11"/>
  <c r="I3035" i="11"/>
  <c r="N3035" i="11"/>
  <c r="I3033" i="11"/>
  <c r="N3033" i="11"/>
  <c r="I3031" i="11"/>
  <c r="N3031" i="11"/>
  <c r="I3029" i="11"/>
  <c r="N3029" i="11"/>
  <c r="I3027" i="11"/>
  <c r="N3027" i="11"/>
  <c r="I3025" i="11"/>
  <c r="N3025" i="11"/>
  <c r="I3023" i="11"/>
  <c r="N3023" i="11"/>
  <c r="I3021" i="11"/>
  <c r="N3021" i="11"/>
  <c r="I3019" i="11"/>
  <c r="N3019" i="11"/>
  <c r="I3017" i="11"/>
  <c r="N3017" i="11"/>
  <c r="I3015" i="11"/>
  <c r="N3015" i="11"/>
  <c r="I3013" i="11"/>
  <c r="N3013" i="11"/>
  <c r="I3011" i="11"/>
  <c r="N3011" i="11"/>
  <c r="I3009" i="11"/>
  <c r="N3009" i="11"/>
  <c r="I3007" i="11"/>
  <c r="N3007" i="11"/>
  <c r="I3005" i="11"/>
  <c r="N3005" i="11"/>
  <c r="I3003" i="11"/>
  <c r="N3003" i="11"/>
  <c r="I3001" i="11"/>
  <c r="N3001" i="11"/>
  <c r="I2999" i="11"/>
  <c r="N2999" i="11"/>
  <c r="I2997" i="11"/>
  <c r="N2997" i="11"/>
  <c r="I2995" i="11"/>
  <c r="N2995" i="11"/>
  <c r="I2993" i="11"/>
  <c r="N2993" i="11"/>
  <c r="I2991" i="11"/>
  <c r="N2991" i="11"/>
  <c r="I2989" i="11"/>
  <c r="N2989" i="11"/>
  <c r="I2987" i="11"/>
  <c r="N2987" i="11"/>
  <c r="I2985" i="11"/>
  <c r="N2985" i="11"/>
  <c r="I2983" i="11"/>
  <c r="N2983" i="11"/>
  <c r="I2981" i="11"/>
  <c r="N2981" i="11"/>
  <c r="I2979" i="11"/>
  <c r="N2979" i="11"/>
  <c r="I2977" i="11"/>
  <c r="N2977" i="11"/>
  <c r="I2975" i="11"/>
  <c r="N2975" i="11"/>
  <c r="I2973" i="11"/>
  <c r="N2973" i="11"/>
  <c r="I2971" i="11"/>
  <c r="N2971" i="11"/>
  <c r="I2969" i="11"/>
  <c r="N2969" i="11"/>
  <c r="I2967" i="11"/>
  <c r="N2967" i="11"/>
  <c r="I2965" i="11"/>
  <c r="N2965" i="11"/>
  <c r="I2963" i="11"/>
  <c r="N2963" i="11"/>
  <c r="I2961" i="11"/>
  <c r="N2961" i="11"/>
  <c r="I2959" i="11"/>
  <c r="N2959" i="11"/>
  <c r="I2957" i="11"/>
  <c r="N2957" i="11"/>
  <c r="I2955" i="11"/>
  <c r="N2955" i="11"/>
  <c r="I2953" i="11"/>
  <c r="N2953" i="11"/>
  <c r="I2951" i="11"/>
  <c r="N2951" i="11"/>
  <c r="I2949" i="11"/>
  <c r="N2949" i="11"/>
  <c r="I2947" i="11"/>
  <c r="N2947" i="11"/>
  <c r="I2945" i="11"/>
  <c r="N2945" i="11"/>
  <c r="I2943" i="11"/>
  <c r="N2943" i="11"/>
  <c r="I2941" i="11"/>
  <c r="N2941" i="11"/>
  <c r="I2939" i="11"/>
  <c r="N2939" i="11"/>
  <c r="I2937" i="11"/>
  <c r="N2937" i="11"/>
  <c r="I2935" i="11"/>
  <c r="N2935" i="11"/>
  <c r="I2933" i="11"/>
  <c r="N2933" i="11"/>
  <c r="I2931" i="11"/>
  <c r="N2931" i="11"/>
  <c r="I2929" i="11"/>
  <c r="N2929" i="11"/>
  <c r="I2927" i="11"/>
  <c r="N2927" i="11"/>
  <c r="I2925" i="11"/>
  <c r="N2925" i="11"/>
  <c r="I2923" i="11"/>
  <c r="N2923" i="11"/>
  <c r="I2921" i="11"/>
  <c r="N2921" i="11"/>
  <c r="I2919" i="11"/>
  <c r="N2919" i="11"/>
  <c r="I2917" i="11"/>
  <c r="N2917" i="11"/>
  <c r="I2915" i="11"/>
  <c r="N2915" i="11"/>
  <c r="I2913" i="11"/>
  <c r="N2913" i="11"/>
  <c r="I2911" i="11"/>
  <c r="N2911" i="11"/>
  <c r="I2909" i="11"/>
  <c r="N2909" i="11"/>
  <c r="I2907" i="11"/>
  <c r="N2907" i="11"/>
  <c r="I2905" i="11"/>
  <c r="N2905" i="11"/>
  <c r="I2903" i="11"/>
  <c r="N2903" i="11"/>
  <c r="I2901" i="11"/>
  <c r="N2901" i="11"/>
  <c r="I2899" i="11"/>
  <c r="N2899" i="11"/>
  <c r="I2897" i="11"/>
  <c r="N2897" i="11"/>
  <c r="I2895" i="11"/>
  <c r="N2895" i="11"/>
  <c r="I2893" i="11"/>
  <c r="N2893" i="11"/>
  <c r="I2891" i="11"/>
  <c r="N2891" i="11"/>
  <c r="I2889" i="11"/>
  <c r="N2889" i="11"/>
  <c r="I2887" i="11"/>
  <c r="N2887" i="11"/>
  <c r="I2885" i="11"/>
  <c r="N2885" i="11"/>
  <c r="I2883" i="11"/>
  <c r="N2883" i="11"/>
  <c r="I2881" i="11"/>
  <c r="N2881" i="11"/>
  <c r="I2879" i="11"/>
  <c r="N2879" i="11"/>
  <c r="I2877" i="11"/>
  <c r="N2877" i="11"/>
  <c r="I2875" i="11"/>
  <c r="N2875" i="11"/>
  <c r="I2873" i="11"/>
  <c r="N2873" i="11"/>
  <c r="I2871" i="11"/>
  <c r="N2871" i="11"/>
  <c r="I2869" i="11"/>
  <c r="N2869" i="11"/>
  <c r="I2867" i="11"/>
  <c r="N2867" i="11"/>
  <c r="I2865" i="11"/>
  <c r="N2865" i="11"/>
  <c r="I2863" i="11"/>
  <c r="N2863" i="11"/>
  <c r="I2861" i="11"/>
  <c r="N2861" i="11"/>
  <c r="I2859" i="11"/>
  <c r="N2859" i="11"/>
  <c r="I2857" i="11"/>
  <c r="N2857" i="11"/>
  <c r="I2855" i="11"/>
  <c r="N2855" i="11"/>
  <c r="I2853" i="11"/>
  <c r="N2853" i="11"/>
  <c r="I2851" i="11"/>
  <c r="N2851" i="11"/>
  <c r="I2849" i="11"/>
  <c r="N2849" i="11"/>
  <c r="I2847" i="11"/>
  <c r="N2847" i="11"/>
  <c r="I2845" i="11"/>
  <c r="N2845" i="11"/>
  <c r="I2843" i="11"/>
  <c r="N2843" i="11"/>
  <c r="I2841" i="11"/>
  <c r="N2841" i="11"/>
  <c r="I2839" i="11"/>
  <c r="N2839" i="11"/>
  <c r="I2837" i="11"/>
  <c r="N2837" i="11"/>
  <c r="I2835" i="11"/>
  <c r="N2835" i="11"/>
  <c r="I2833" i="11"/>
  <c r="N2833" i="11"/>
  <c r="I2831" i="11"/>
  <c r="N2831" i="11"/>
  <c r="I2829" i="11"/>
  <c r="N2829" i="11"/>
  <c r="I2827" i="11"/>
  <c r="N2827" i="11"/>
  <c r="I2825" i="11"/>
  <c r="N2825" i="11"/>
  <c r="I2823" i="11"/>
  <c r="N2823" i="11"/>
  <c r="I2821" i="11"/>
  <c r="N2821" i="11"/>
  <c r="I2819" i="11"/>
  <c r="N2819" i="11"/>
  <c r="I2817" i="11"/>
  <c r="N2817" i="11"/>
  <c r="I2815" i="11"/>
  <c r="N2815" i="11"/>
  <c r="I2813" i="11"/>
  <c r="N2813" i="11"/>
  <c r="I2811" i="11"/>
  <c r="N2811" i="11"/>
  <c r="I2809" i="11"/>
  <c r="N2809" i="11"/>
  <c r="I2807" i="11"/>
  <c r="N2807" i="11"/>
  <c r="I2805" i="11"/>
  <c r="N2805" i="11"/>
  <c r="I2803" i="11"/>
  <c r="N2803" i="11"/>
  <c r="I2801" i="11"/>
  <c r="N2801" i="11"/>
  <c r="I2799" i="11"/>
  <c r="N2799" i="11"/>
  <c r="I2797" i="11"/>
  <c r="N2797" i="11"/>
  <c r="I2795" i="11"/>
  <c r="N2795" i="11"/>
  <c r="I2793" i="11"/>
  <c r="N2793" i="11"/>
  <c r="I2791" i="11"/>
  <c r="N2791" i="11"/>
  <c r="I2789" i="11"/>
  <c r="N2789" i="11"/>
  <c r="I2787" i="11"/>
  <c r="N2787" i="11"/>
  <c r="I2785" i="11"/>
  <c r="N2785" i="11"/>
  <c r="I2783" i="11"/>
  <c r="N2783" i="11"/>
  <c r="I2781" i="11"/>
  <c r="N2781" i="11"/>
  <c r="I2779" i="11"/>
  <c r="N2779" i="11"/>
  <c r="I2777" i="11"/>
  <c r="N2777" i="11"/>
  <c r="I2775" i="11"/>
  <c r="N2775" i="11"/>
  <c r="I2773" i="11"/>
  <c r="N2773" i="11"/>
  <c r="I2771" i="11"/>
  <c r="N2771" i="11"/>
  <c r="I2769" i="11"/>
  <c r="N2769" i="11"/>
  <c r="I2767" i="11"/>
  <c r="N2767" i="11"/>
  <c r="I2765" i="11"/>
  <c r="N2765" i="11"/>
  <c r="I2763" i="11"/>
  <c r="N2763" i="11"/>
  <c r="I2761" i="11"/>
  <c r="N2761" i="11"/>
  <c r="I2759" i="11"/>
  <c r="N2759" i="11"/>
  <c r="I2757" i="11"/>
  <c r="N2757" i="11"/>
  <c r="I2755" i="11"/>
  <c r="N2755" i="11"/>
  <c r="I2753" i="11"/>
  <c r="N2753" i="11"/>
  <c r="I2751" i="11"/>
  <c r="N2751" i="11"/>
  <c r="I2749" i="11"/>
  <c r="N2749" i="11"/>
  <c r="I2747" i="11"/>
  <c r="N2747" i="11"/>
  <c r="I2745" i="11"/>
  <c r="N2745" i="11"/>
  <c r="I2743" i="11"/>
  <c r="N2743" i="11"/>
  <c r="I2741" i="11"/>
  <c r="N2741" i="11"/>
  <c r="I2739" i="11"/>
  <c r="N2739" i="11"/>
  <c r="I2737" i="11"/>
  <c r="N2737" i="11"/>
  <c r="I2735" i="11"/>
  <c r="N2735" i="11"/>
  <c r="I2733" i="11"/>
  <c r="N2733" i="11"/>
  <c r="I2731" i="11"/>
  <c r="N2731" i="11"/>
  <c r="I2729" i="11"/>
  <c r="N2729" i="11"/>
  <c r="I2727" i="11"/>
  <c r="N2727" i="11"/>
  <c r="I2725" i="11"/>
  <c r="N2725" i="11"/>
  <c r="I2723" i="11"/>
  <c r="N2723" i="11"/>
  <c r="I2721" i="11"/>
  <c r="N2721" i="11"/>
  <c r="I2719" i="11"/>
  <c r="N2719" i="11"/>
  <c r="I2717" i="11"/>
  <c r="N2717" i="11"/>
  <c r="I2715" i="11"/>
  <c r="N2715" i="11"/>
  <c r="I2713" i="11"/>
  <c r="N2713" i="11"/>
  <c r="I2711" i="11"/>
  <c r="N2711" i="11"/>
  <c r="I2709" i="11"/>
  <c r="N2709" i="11"/>
  <c r="I2707" i="11"/>
  <c r="N2707" i="11"/>
  <c r="I2705" i="11"/>
  <c r="N2705" i="11"/>
  <c r="I2703" i="11"/>
  <c r="N2703" i="11"/>
  <c r="I2701" i="11"/>
  <c r="N2701" i="11"/>
  <c r="I2699" i="11"/>
  <c r="N2699" i="11"/>
  <c r="I2697" i="11"/>
  <c r="N2697" i="11"/>
  <c r="I2695" i="11"/>
  <c r="N2695" i="11"/>
  <c r="I2693" i="11"/>
  <c r="N2693" i="11"/>
  <c r="I2691" i="11"/>
  <c r="N2691" i="11"/>
  <c r="I2689" i="11"/>
  <c r="N2689" i="11"/>
  <c r="I2687" i="11"/>
  <c r="N2687" i="11"/>
  <c r="I2685" i="11"/>
  <c r="N2685" i="11"/>
  <c r="I2683" i="11"/>
  <c r="N2683" i="11"/>
  <c r="I2681" i="11"/>
  <c r="N2681" i="11"/>
  <c r="I2679" i="11"/>
  <c r="N2679" i="11"/>
  <c r="I2677" i="11"/>
  <c r="N2677" i="11"/>
  <c r="I2675" i="11"/>
  <c r="N2675" i="11"/>
  <c r="I2673" i="11"/>
  <c r="N2673" i="11"/>
  <c r="I2671" i="11"/>
  <c r="N2671" i="11"/>
  <c r="I2669" i="11"/>
  <c r="N2669" i="11"/>
  <c r="I2667" i="11"/>
  <c r="N2667" i="11"/>
  <c r="I2665" i="11"/>
  <c r="N2665" i="11"/>
  <c r="I2663" i="11"/>
  <c r="N2663" i="11"/>
  <c r="I2661" i="11"/>
  <c r="N2661" i="11"/>
  <c r="I2659" i="11"/>
  <c r="N2659" i="11"/>
  <c r="I2657" i="11"/>
  <c r="N2657" i="11"/>
  <c r="I2655" i="11"/>
  <c r="N2655" i="11"/>
  <c r="I2653" i="11"/>
  <c r="N2653" i="11"/>
  <c r="I2651" i="11"/>
  <c r="N2651" i="11"/>
  <c r="I2649" i="11"/>
  <c r="N2649" i="11"/>
  <c r="I2647" i="11"/>
  <c r="N2647" i="11"/>
  <c r="I2645" i="11"/>
  <c r="N2645" i="11"/>
  <c r="I2643" i="11"/>
  <c r="N2643" i="11"/>
  <c r="I2641" i="11"/>
  <c r="N2641" i="11"/>
  <c r="I2639" i="11"/>
  <c r="N2639" i="11"/>
  <c r="I2637" i="11"/>
  <c r="N2637" i="11"/>
  <c r="I2635" i="11"/>
  <c r="N2635" i="11"/>
  <c r="I2633" i="11"/>
  <c r="N2633" i="11"/>
  <c r="I2631" i="11"/>
  <c r="N2631" i="11"/>
  <c r="I2629" i="11"/>
  <c r="N2629" i="11"/>
  <c r="I2627" i="11"/>
  <c r="N2627" i="11"/>
  <c r="I2625" i="11"/>
  <c r="N2625" i="11"/>
  <c r="I2623" i="11"/>
  <c r="N2623" i="11"/>
  <c r="I2621" i="11"/>
  <c r="N2621" i="11"/>
  <c r="I2619" i="11"/>
  <c r="N2619" i="11"/>
  <c r="I2617" i="11"/>
  <c r="N2617" i="11"/>
  <c r="I2615" i="11"/>
  <c r="N2615" i="11"/>
  <c r="I2613" i="11"/>
  <c r="N2613" i="11"/>
  <c r="I2611" i="11"/>
  <c r="N2611" i="11"/>
  <c r="I2609" i="11"/>
  <c r="N2609" i="11"/>
  <c r="I2607" i="11"/>
  <c r="N2607" i="11"/>
  <c r="I2605" i="11"/>
  <c r="N2605" i="11"/>
  <c r="I2603" i="11"/>
  <c r="N2603" i="11"/>
  <c r="I2601" i="11"/>
  <c r="N2601" i="11"/>
  <c r="I2599" i="11"/>
  <c r="N2599" i="11"/>
  <c r="I2597" i="11"/>
  <c r="N2597" i="11"/>
  <c r="I2595" i="11"/>
  <c r="N2595" i="11"/>
  <c r="I2593" i="11"/>
  <c r="N2593" i="11"/>
  <c r="I2591" i="11"/>
  <c r="N2591" i="11"/>
  <c r="I2589" i="11"/>
  <c r="N2589" i="11"/>
  <c r="I2587" i="11"/>
  <c r="N2587" i="11"/>
  <c r="I2585" i="11"/>
  <c r="N2585" i="11"/>
  <c r="I2583" i="11"/>
  <c r="N2583" i="11"/>
  <c r="I2581" i="11"/>
  <c r="N2581" i="11"/>
  <c r="I2579" i="11"/>
  <c r="N2579" i="11"/>
  <c r="I2577" i="11"/>
  <c r="N2577" i="11"/>
  <c r="I2575" i="11"/>
  <c r="N2575" i="11"/>
  <c r="I2573" i="11"/>
  <c r="N2573" i="11"/>
  <c r="I2571" i="11"/>
  <c r="N2571" i="11"/>
  <c r="I2569" i="11"/>
  <c r="N2569" i="11"/>
  <c r="I2567" i="11"/>
  <c r="N2567" i="11"/>
  <c r="I2565" i="11"/>
  <c r="N2565" i="11"/>
  <c r="I2563" i="11"/>
  <c r="N2563" i="11"/>
  <c r="I2561" i="11"/>
  <c r="N2561" i="11"/>
  <c r="I2559" i="11"/>
  <c r="N2559" i="11"/>
  <c r="I2557" i="11"/>
  <c r="N2557" i="11"/>
  <c r="I2555" i="11"/>
  <c r="N2555" i="11"/>
  <c r="I2553" i="11"/>
  <c r="N2553" i="11"/>
  <c r="I2551" i="11"/>
  <c r="N2551" i="11"/>
  <c r="I2549" i="11"/>
  <c r="N2549" i="11"/>
  <c r="I2547" i="11"/>
  <c r="N2547" i="11"/>
  <c r="I2545" i="11"/>
  <c r="N2545" i="11"/>
  <c r="I2543" i="11"/>
  <c r="N2543" i="11"/>
  <c r="I2541" i="11"/>
  <c r="N2541" i="11"/>
  <c r="I2539" i="11"/>
  <c r="N2539" i="11"/>
  <c r="I2537" i="11"/>
  <c r="N2537" i="11"/>
  <c r="I2535" i="11"/>
  <c r="N2535" i="11"/>
  <c r="I2533" i="11"/>
  <c r="N2533" i="11"/>
  <c r="I2531" i="11"/>
  <c r="N2531" i="11"/>
  <c r="I2529" i="11"/>
  <c r="N2529" i="11"/>
  <c r="I2527" i="11"/>
  <c r="N2527" i="11"/>
  <c r="I2525" i="11"/>
  <c r="N2525" i="11"/>
  <c r="I2523" i="11"/>
  <c r="N2523" i="11"/>
  <c r="I2521" i="11"/>
  <c r="N2521" i="11"/>
  <c r="I2519" i="11"/>
  <c r="N2519" i="11"/>
  <c r="I2517" i="11"/>
  <c r="N2517" i="11"/>
  <c r="I2515" i="11"/>
  <c r="N2515" i="11"/>
  <c r="I2513" i="11"/>
  <c r="N2513" i="11"/>
  <c r="I2511" i="11"/>
  <c r="N2511" i="11"/>
  <c r="I2509" i="11"/>
  <c r="N2509" i="11"/>
  <c r="I2507" i="11"/>
  <c r="N2507" i="11"/>
  <c r="I2505" i="11"/>
  <c r="N2505" i="11"/>
  <c r="I2503" i="11"/>
  <c r="N2503" i="11"/>
  <c r="I2501" i="11"/>
  <c r="N2501" i="11"/>
  <c r="I2499" i="11"/>
  <c r="N2499" i="11"/>
  <c r="I2497" i="11"/>
  <c r="N2497" i="11"/>
  <c r="I2495" i="11"/>
  <c r="N2495" i="11"/>
  <c r="I2493" i="11"/>
  <c r="N2493" i="11"/>
  <c r="I2491" i="11"/>
  <c r="N2491" i="11"/>
  <c r="I2489" i="11"/>
  <c r="N2489" i="11"/>
  <c r="I2487" i="11"/>
  <c r="N2487" i="11"/>
  <c r="I2485" i="11"/>
  <c r="N2485" i="11"/>
  <c r="I2483" i="11"/>
  <c r="N2483" i="11"/>
  <c r="I2481" i="11"/>
  <c r="N2481" i="11"/>
  <c r="I2479" i="11"/>
  <c r="N2479" i="11"/>
  <c r="I2477" i="11"/>
  <c r="N2477" i="11"/>
  <c r="I2475" i="11"/>
  <c r="N2475" i="11"/>
  <c r="I2473" i="11"/>
  <c r="N2473" i="11"/>
  <c r="I2471" i="11"/>
  <c r="N2471" i="11"/>
  <c r="I2469" i="11"/>
  <c r="N2469" i="11"/>
  <c r="I2467" i="11"/>
  <c r="N2467" i="11"/>
  <c r="I2465" i="11"/>
  <c r="N2465" i="11"/>
  <c r="I2463" i="11"/>
  <c r="N2463" i="11"/>
  <c r="I2461" i="11"/>
  <c r="N2461" i="11"/>
  <c r="I2459" i="11"/>
  <c r="N2459" i="11"/>
  <c r="I2457" i="11"/>
  <c r="N2457" i="11"/>
  <c r="I2455" i="11"/>
  <c r="N2455" i="11"/>
  <c r="I2453" i="11"/>
  <c r="N2453" i="11"/>
  <c r="I2451" i="11"/>
  <c r="N2451" i="11"/>
  <c r="I2449" i="11"/>
  <c r="N2449" i="11"/>
  <c r="I2447" i="11"/>
  <c r="N2447" i="11"/>
  <c r="I2445" i="11"/>
  <c r="N2445" i="11"/>
  <c r="I2443" i="11"/>
  <c r="N2443" i="11"/>
  <c r="I2441" i="11"/>
  <c r="N2441" i="11"/>
  <c r="I2439" i="11"/>
  <c r="N2439" i="11"/>
  <c r="I2437" i="11"/>
  <c r="N2437" i="11"/>
  <c r="I2435" i="11"/>
  <c r="N2435" i="11"/>
  <c r="I2433" i="11"/>
  <c r="N2433" i="11"/>
  <c r="I2431" i="11"/>
  <c r="N2431" i="11"/>
  <c r="I2429" i="11"/>
  <c r="N2429" i="11"/>
  <c r="I2427" i="11"/>
  <c r="N2427" i="11"/>
  <c r="I2425" i="11"/>
  <c r="N2425" i="11"/>
  <c r="I2423" i="11"/>
  <c r="N2423" i="11"/>
  <c r="I2421" i="11"/>
  <c r="N2421" i="11"/>
  <c r="I2419" i="11"/>
  <c r="N2419" i="11"/>
  <c r="I2417" i="11"/>
  <c r="N2417" i="11"/>
  <c r="I2415" i="11"/>
  <c r="N2415" i="11"/>
  <c r="I2413" i="11"/>
  <c r="N2413" i="11"/>
  <c r="I2411" i="11"/>
  <c r="N2411" i="11"/>
  <c r="I2409" i="11"/>
  <c r="N2409" i="11"/>
  <c r="I2407" i="11"/>
  <c r="N2407" i="11"/>
  <c r="I2405" i="11"/>
  <c r="N2405" i="11"/>
  <c r="I2403" i="11"/>
  <c r="N2403" i="11"/>
  <c r="I2401" i="11"/>
  <c r="N2401" i="11"/>
  <c r="I2399" i="11"/>
  <c r="N2399" i="11"/>
  <c r="I2397" i="11"/>
  <c r="N2397" i="11"/>
  <c r="I2395" i="11"/>
  <c r="N2395" i="11"/>
  <c r="I2393" i="11"/>
  <c r="N2393" i="11"/>
  <c r="I2391" i="11"/>
  <c r="N2391" i="11"/>
  <c r="I2389" i="11"/>
  <c r="N2389" i="11"/>
  <c r="I2387" i="11"/>
  <c r="N2387" i="11"/>
  <c r="I2385" i="11"/>
  <c r="N2385" i="11"/>
  <c r="I2383" i="11"/>
  <c r="N2383" i="11"/>
  <c r="I2381" i="11"/>
  <c r="N2381" i="11"/>
  <c r="I2379" i="11"/>
  <c r="N2379" i="11"/>
  <c r="I2377" i="11"/>
  <c r="N2377" i="11"/>
  <c r="I2375" i="11"/>
  <c r="N2375" i="11"/>
  <c r="I2373" i="11"/>
  <c r="N2373" i="11"/>
  <c r="I2371" i="11"/>
  <c r="N2371" i="11"/>
  <c r="I2369" i="11"/>
  <c r="N2369" i="11"/>
  <c r="I2367" i="11"/>
  <c r="N2367" i="11"/>
  <c r="I2365" i="11"/>
  <c r="N2365" i="11"/>
  <c r="I2363" i="11"/>
  <c r="N2363" i="11"/>
  <c r="I2361" i="11"/>
  <c r="N2361" i="11"/>
  <c r="I2359" i="11"/>
  <c r="N2359" i="11"/>
  <c r="I2357" i="11"/>
  <c r="N2357" i="11"/>
  <c r="I2355" i="11"/>
  <c r="N2355" i="11"/>
  <c r="I2353" i="11"/>
  <c r="N2353" i="11"/>
  <c r="I2351" i="11"/>
  <c r="N2351" i="11"/>
  <c r="I2349" i="11"/>
  <c r="N2349" i="11"/>
  <c r="I2347" i="11"/>
  <c r="N2347" i="11"/>
  <c r="I2345" i="11"/>
  <c r="N2345" i="11"/>
  <c r="I2343" i="11"/>
  <c r="N2343" i="11"/>
  <c r="I2341" i="11"/>
  <c r="N2341" i="11"/>
  <c r="I2339" i="11"/>
  <c r="N2339" i="11"/>
  <c r="I2337" i="11"/>
  <c r="N2337" i="11"/>
  <c r="I2335" i="11"/>
  <c r="N2335" i="11"/>
  <c r="I2333" i="11"/>
  <c r="N2333" i="11"/>
  <c r="I2331" i="11"/>
  <c r="N2331" i="11"/>
  <c r="I2329" i="11"/>
  <c r="N2329" i="11"/>
  <c r="I2327" i="11"/>
  <c r="N2327" i="11"/>
  <c r="I2325" i="11"/>
  <c r="N2325" i="11"/>
  <c r="I2323" i="11"/>
  <c r="N2323" i="11"/>
  <c r="I2321" i="11"/>
  <c r="N2321" i="11"/>
  <c r="I2319" i="11"/>
  <c r="N2319" i="11"/>
  <c r="I2317" i="11"/>
  <c r="N2317" i="11"/>
  <c r="I2315" i="11"/>
  <c r="N2315" i="11"/>
  <c r="I2313" i="11"/>
  <c r="N2313" i="11"/>
  <c r="I2311" i="11"/>
  <c r="N2311" i="11"/>
  <c r="I2309" i="11"/>
  <c r="N2309" i="11"/>
  <c r="I2307" i="11"/>
  <c r="N2307" i="11"/>
  <c r="I2305" i="11"/>
  <c r="N2305" i="11"/>
  <c r="I2303" i="11"/>
  <c r="N2303" i="11"/>
  <c r="I2301" i="11"/>
  <c r="N2301" i="11"/>
  <c r="I2299" i="11"/>
  <c r="N2299" i="11"/>
  <c r="I2297" i="11"/>
  <c r="N2297" i="11"/>
  <c r="I2295" i="11"/>
  <c r="N2295" i="11"/>
  <c r="I2293" i="11"/>
  <c r="N2293" i="11"/>
  <c r="I2291" i="11"/>
  <c r="N2291" i="11"/>
  <c r="I2289" i="11"/>
  <c r="N2289" i="11"/>
  <c r="I2287" i="11"/>
  <c r="N2287" i="11"/>
  <c r="I2285" i="11"/>
  <c r="N2285" i="11"/>
  <c r="I2283" i="11"/>
  <c r="N2283" i="11"/>
  <c r="I2281" i="11"/>
  <c r="N2281" i="11"/>
  <c r="I2279" i="11"/>
  <c r="N2279" i="11"/>
  <c r="I2277" i="11"/>
  <c r="N2277" i="11"/>
  <c r="I2275" i="11"/>
  <c r="N2275" i="11"/>
  <c r="I2273" i="11"/>
  <c r="N2273" i="11"/>
  <c r="I2271" i="11"/>
  <c r="N2271" i="11"/>
  <c r="I2269" i="11"/>
  <c r="N2269" i="11"/>
  <c r="I2267" i="11"/>
  <c r="N2267" i="11"/>
  <c r="I2265" i="11"/>
  <c r="N2265" i="11"/>
  <c r="I2263" i="11"/>
  <c r="N2263" i="11"/>
  <c r="I2261" i="11"/>
  <c r="N2261" i="11"/>
  <c r="I2259" i="11"/>
  <c r="N2259" i="11"/>
  <c r="I2257" i="11"/>
  <c r="N2257" i="11"/>
  <c r="I2255" i="11"/>
  <c r="N2255" i="11"/>
  <c r="I2253" i="11"/>
  <c r="N2253" i="11"/>
  <c r="I2251" i="11"/>
  <c r="N2251" i="11"/>
  <c r="I2249" i="11"/>
  <c r="N2249" i="11"/>
  <c r="I2247" i="11"/>
  <c r="N2247" i="11"/>
  <c r="I2245" i="11"/>
  <c r="N2245" i="11"/>
  <c r="I2243" i="11"/>
  <c r="N2243" i="11"/>
  <c r="I2241" i="11"/>
  <c r="N2241" i="11"/>
  <c r="I2239" i="11"/>
  <c r="N2239" i="11"/>
  <c r="I2237" i="11"/>
  <c r="N2237" i="11"/>
  <c r="I2235" i="11"/>
  <c r="N2235" i="11"/>
  <c r="I2233" i="11"/>
  <c r="N2233" i="11"/>
  <c r="I2231" i="11"/>
  <c r="N2231" i="11"/>
  <c r="I2229" i="11"/>
  <c r="N2229" i="11"/>
  <c r="I2227" i="11"/>
  <c r="N2227" i="11"/>
  <c r="I2225" i="11"/>
  <c r="N2225" i="11"/>
  <c r="I2223" i="11"/>
  <c r="N2223" i="11"/>
  <c r="I2221" i="11"/>
  <c r="N2221" i="11"/>
  <c r="I2219" i="11"/>
  <c r="N2219" i="11"/>
  <c r="I2217" i="11"/>
  <c r="N2217" i="11"/>
  <c r="I2215" i="11"/>
  <c r="N2215" i="11"/>
  <c r="I2213" i="11"/>
  <c r="N2213" i="11"/>
  <c r="I2211" i="11"/>
  <c r="N2211" i="11"/>
  <c r="I2209" i="11"/>
  <c r="N2209" i="11"/>
  <c r="I2207" i="11"/>
  <c r="N2207" i="11"/>
  <c r="I2205" i="11"/>
  <c r="N2205" i="11"/>
  <c r="I2203" i="11"/>
  <c r="N2203" i="11"/>
  <c r="I2201" i="11"/>
  <c r="N2201" i="11"/>
  <c r="I2199" i="11"/>
  <c r="N2199" i="11"/>
  <c r="I2197" i="11"/>
  <c r="N2197" i="11"/>
  <c r="I2195" i="11"/>
  <c r="N2195" i="11"/>
  <c r="I2193" i="11"/>
  <c r="N2193" i="11"/>
  <c r="I2191" i="11"/>
  <c r="N2191" i="11"/>
  <c r="I2189" i="11"/>
  <c r="N2189" i="11"/>
  <c r="I2187" i="11"/>
  <c r="N2187" i="11"/>
  <c r="I2185" i="11"/>
  <c r="N2185" i="11"/>
  <c r="I2183" i="11"/>
  <c r="N2183" i="11"/>
  <c r="I2181" i="11"/>
  <c r="N2181" i="11"/>
  <c r="I2179" i="11"/>
  <c r="N2179" i="11"/>
  <c r="I2177" i="11"/>
  <c r="N2177" i="11"/>
  <c r="I2175" i="11"/>
  <c r="N2175" i="11"/>
  <c r="I2173" i="11"/>
  <c r="N2173" i="11"/>
  <c r="I2171" i="11"/>
  <c r="N2171" i="11"/>
  <c r="I2169" i="11"/>
  <c r="N2169" i="11"/>
  <c r="I2167" i="11"/>
  <c r="N2167" i="11"/>
  <c r="I2165" i="11"/>
  <c r="N2165" i="11"/>
  <c r="I2163" i="11"/>
  <c r="N2163" i="11"/>
  <c r="I2161" i="11"/>
  <c r="N2161" i="11"/>
  <c r="I2159" i="11"/>
  <c r="N2159" i="11"/>
  <c r="I2157" i="11"/>
  <c r="N2157" i="11"/>
  <c r="I2155" i="11"/>
  <c r="N2155" i="11"/>
  <c r="I2153" i="11"/>
  <c r="N2153" i="11"/>
  <c r="I2151" i="11"/>
  <c r="N2151" i="11"/>
  <c r="I2149" i="11"/>
  <c r="N2149" i="11"/>
  <c r="I2147" i="11"/>
  <c r="N2147" i="11"/>
  <c r="I2145" i="11"/>
  <c r="N2145" i="11"/>
  <c r="I2143" i="11"/>
  <c r="N2143" i="11"/>
  <c r="I2141" i="11"/>
  <c r="N2141" i="11"/>
  <c r="I2139" i="11"/>
  <c r="N2139" i="11"/>
  <c r="I2137" i="11"/>
  <c r="N2137" i="11"/>
  <c r="I2135" i="11"/>
  <c r="N2135" i="11"/>
  <c r="I2133" i="11"/>
  <c r="N2133" i="11"/>
  <c r="I2131" i="11"/>
  <c r="N2131" i="11"/>
  <c r="I2129" i="11"/>
  <c r="N2129" i="11"/>
  <c r="I2127" i="11"/>
  <c r="N2127" i="11"/>
  <c r="I2125" i="11"/>
  <c r="N2125" i="11"/>
  <c r="I2123" i="11"/>
  <c r="N2123" i="11"/>
  <c r="I2121" i="11"/>
  <c r="N2121" i="11"/>
  <c r="I2119" i="11"/>
  <c r="N2119" i="11"/>
  <c r="I2117" i="11"/>
  <c r="N2117" i="11"/>
  <c r="I2115" i="11"/>
  <c r="N2115" i="11"/>
  <c r="I2113" i="11"/>
  <c r="N2113" i="11"/>
  <c r="I2111" i="11"/>
  <c r="N2111" i="11"/>
  <c r="I2109" i="11"/>
  <c r="N2109" i="11"/>
  <c r="I2107" i="11"/>
  <c r="N2107" i="11"/>
  <c r="I2105" i="11"/>
  <c r="N2105" i="11"/>
  <c r="I2103" i="11"/>
  <c r="N2103" i="11"/>
  <c r="I2101" i="11"/>
  <c r="N2101" i="11"/>
  <c r="I2099" i="11"/>
  <c r="N2099" i="11"/>
  <c r="I2097" i="11"/>
  <c r="N2097" i="11"/>
  <c r="I2095" i="11"/>
  <c r="N2095" i="11"/>
  <c r="I2093" i="11"/>
  <c r="N2093" i="11"/>
  <c r="I2091" i="11"/>
  <c r="N2091" i="11"/>
  <c r="I2089" i="11"/>
  <c r="N2089" i="11"/>
  <c r="I2087" i="11"/>
  <c r="N2087" i="11"/>
  <c r="I2085" i="11"/>
  <c r="N2085" i="11"/>
  <c r="I2083" i="11"/>
  <c r="N2083" i="11"/>
  <c r="I2081" i="11"/>
  <c r="N2081" i="11"/>
  <c r="I2079" i="11"/>
  <c r="N2079" i="11"/>
  <c r="I2077" i="11"/>
  <c r="N2077" i="11"/>
  <c r="I2075" i="11"/>
  <c r="N2075" i="11"/>
  <c r="I2073" i="11"/>
  <c r="N2073" i="11"/>
  <c r="I2071" i="11"/>
  <c r="N2071" i="11"/>
  <c r="I2069" i="11"/>
  <c r="N2069" i="11"/>
  <c r="I2067" i="11"/>
  <c r="N2067" i="11"/>
  <c r="I2065" i="11"/>
  <c r="N2065" i="11"/>
  <c r="I2063" i="11"/>
  <c r="N2063" i="11"/>
  <c r="I2061" i="11"/>
  <c r="N2061" i="11"/>
  <c r="I2059" i="11"/>
  <c r="N2059" i="11"/>
  <c r="I2057" i="11"/>
  <c r="N2057" i="11"/>
  <c r="I2055" i="11"/>
  <c r="N2055" i="11"/>
  <c r="I2053" i="11"/>
  <c r="N2053" i="11"/>
  <c r="I2051" i="11"/>
  <c r="N2051" i="11"/>
  <c r="I2049" i="11"/>
  <c r="N2049" i="11"/>
  <c r="I2047" i="11"/>
  <c r="N2047" i="11"/>
  <c r="I2045" i="11"/>
  <c r="N2045" i="11"/>
  <c r="I2043" i="11"/>
  <c r="N2043" i="11"/>
  <c r="I2041" i="11"/>
  <c r="N2041" i="11"/>
  <c r="I2039" i="11"/>
  <c r="N2039" i="11"/>
  <c r="I2037" i="11"/>
  <c r="N2037" i="11"/>
  <c r="I2035" i="11"/>
  <c r="N2035" i="11"/>
  <c r="I2033" i="11"/>
  <c r="N2033" i="11"/>
  <c r="I2031" i="11"/>
  <c r="N2031" i="11"/>
  <c r="I2029" i="11"/>
  <c r="N2029" i="11"/>
  <c r="I2027" i="11"/>
  <c r="N2027" i="11"/>
  <c r="I2025" i="11"/>
  <c r="N2025" i="11"/>
  <c r="I2023" i="11"/>
  <c r="N2023" i="11"/>
  <c r="I2021" i="11"/>
  <c r="N2021" i="11"/>
  <c r="I2019" i="11"/>
  <c r="N2019" i="11"/>
  <c r="I2017" i="11"/>
  <c r="N2017" i="11"/>
  <c r="I2015" i="11"/>
  <c r="N2015" i="11"/>
  <c r="I2013" i="11"/>
  <c r="N2013" i="11"/>
  <c r="I2011" i="11"/>
  <c r="N2011" i="11"/>
  <c r="I2009" i="11"/>
  <c r="N2009" i="11"/>
  <c r="I2007" i="11"/>
  <c r="N2007" i="11"/>
  <c r="I2005" i="11"/>
  <c r="N2005" i="11"/>
  <c r="I2003" i="11"/>
  <c r="N2003" i="11"/>
  <c r="I2001" i="11"/>
  <c r="N2001" i="11"/>
  <c r="I1999" i="11"/>
  <c r="N1999" i="11"/>
  <c r="I1997" i="11"/>
  <c r="N1997" i="11"/>
  <c r="I1995" i="11"/>
  <c r="N1995" i="11"/>
  <c r="I1993" i="11"/>
  <c r="N1993" i="11"/>
  <c r="I1991" i="11"/>
  <c r="N1991" i="11"/>
  <c r="I1989" i="11"/>
  <c r="N1989" i="11"/>
  <c r="I1987" i="11"/>
  <c r="N1987" i="11"/>
  <c r="I1985" i="11"/>
  <c r="N1985" i="11"/>
  <c r="I1983" i="11"/>
  <c r="N1983" i="11"/>
  <c r="I1981" i="11"/>
  <c r="N1981" i="11"/>
  <c r="I1979" i="11"/>
  <c r="N1979" i="11"/>
  <c r="I1977" i="11"/>
  <c r="N1977" i="11"/>
  <c r="I1975" i="11"/>
  <c r="N1975" i="11"/>
  <c r="I1973" i="11"/>
  <c r="N1973" i="11"/>
  <c r="I1971" i="11"/>
  <c r="N1971" i="11"/>
  <c r="I1969" i="11"/>
  <c r="N1969" i="11"/>
  <c r="I1967" i="11"/>
  <c r="N1967" i="11"/>
  <c r="I1965" i="11"/>
  <c r="N1965" i="11"/>
  <c r="I1963" i="11"/>
  <c r="N1963" i="11"/>
  <c r="I1961" i="11"/>
  <c r="N1961" i="11"/>
  <c r="I1959" i="11"/>
  <c r="N1959" i="11"/>
  <c r="I1957" i="11"/>
  <c r="N1957" i="11"/>
  <c r="I1955" i="11"/>
  <c r="N1955" i="11"/>
  <c r="I1953" i="11"/>
  <c r="N1953" i="11"/>
  <c r="I1951" i="11"/>
  <c r="N1951" i="11"/>
  <c r="I1949" i="11"/>
  <c r="N1949" i="11"/>
  <c r="I1947" i="11"/>
  <c r="N1947" i="11"/>
  <c r="I1945" i="11"/>
  <c r="N1945" i="11"/>
  <c r="I1943" i="11"/>
  <c r="N1943" i="11"/>
  <c r="I1941" i="11"/>
  <c r="N1941" i="11"/>
  <c r="I1939" i="11"/>
  <c r="N1939" i="11"/>
  <c r="I1937" i="11"/>
  <c r="N1937" i="11"/>
  <c r="I1935" i="11"/>
  <c r="N1935" i="11"/>
  <c r="I1933" i="11"/>
  <c r="N1933" i="11"/>
  <c r="I1931" i="11"/>
  <c r="N1931" i="11"/>
  <c r="I1929" i="11"/>
  <c r="N1929" i="11"/>
  <c r="I1927" i="11"/>
  <c r="N1927" i="11"/>
  <c r="I1925" i="11"/>
  <c r="N1925" i="11"/>
  <c r="I1923" i="11"/>
  <c r="N1923" i="11"/>
  <c r="I1921" i="11"/>
  <c r="N1921" i="11"/>
  <c r="I1919" i="11"/>
  <c r="N1919" i="11"/>
  <c r="I1917" i="11"/>
  <c r="N1917" i="11"/>
  <c r="I1915" i="11"/>
  <c r="N1915" i="11"/>
  <c r="I1913" i="11"/>
  <c r="N1913" i="11"/>
  <c r="I1911" i="11"/>
  <c r="N1911" i="11"/>
  <c r="I1909" i="11"/>
  <c r="N1909" i="11"/>
  <c r="I1907" i="11"/>
  <c r="N1907" i="11"/>
  <c r="I1905" i="11"/>
  <c r="N1905" i="11"/>
  <c r="I1903" i="11"/>
  <c r="N1903" i="11"/>
  <c r="I1901" i="11"/>
  <c r="N1901" i="11"/>
  <c r="I1899" i="11"/>
  <c r="N1899" i="11"/>
  <c r="I1897" i="11"/>
  <c r="N1897" i="11"/>
  <c r="I1895" i="11"/>
  <c r="N1895" i="11"/>
  <c r="I1893" i="11"/>
  <c r="N1893" i="11"/>
  <c r="I1891" i="11"/>
  <c r="N1891" i="11"/>
  <c r="I1889" i="11"/>
  <c r="N1889" i="11"/>
  <c r="I1887" i="11"/>
  <c r="N1887" i="11"/>
  <c r="I1885" i="11"/>
  <c r="N1885" i="11"/>
  <c r="I1883" i="11"/>
  <c r="N1883" i="11"/>
  <c r="I1881" i="11"/>
  <c r="N1881" i="11"/>
  <c r="I1879" i="11"/>
  <c r="N1879" i="11"/>
  <c r="I1877" i="11"/>
  <c r="N1877" i="11"/>
  <c r="I1875" i="11"/>
  <c r="N1875" i="11"/>
  <c r="I1873" i="11"/>
  <c r="N1873" i="11"/>
  <c r="I1871" i="11"/>
  <c r="N1871" i="11"/>
  <c r="I1869" i="11"/>
  <c r="N1869" i="11"/>
  <c r="I1867" i="11"/>
  <c r="N1867" i="11"/>
  <c r="I1865" i="11"/>
  <c r="N1865" i="11"/>
  <c r="I1863" i="11"/>
  <c r="N1863" i="11"/>
  <c r="I1861" i="11"/>
  <c r="N1861" i="11"/>
  <c r="I1859" i="11"/>
  <c r="N1859" i="11"/>
  <c r="I1857" i="11"/>
  <c r="N1857" i="11"/>
  <c r="I1855" i="11"/>
  <c r="N1855" i="11"/>
  <c r="I1853" i="11"/>
  <c r="N1853" i="11"/>
  <c r="I1851" i="11"/>
  <c r="N1851" i="11"/>
  <c r="I1849" i="11"/>
  <c r="N1849" i="11"/>
  <c r="I1847" i="11"/>
  <c r="N1847" i="11"/>
  <c r="I1845" i="11"/>
  <c r="N1845" i="11"/>
  <c r="I1843" i="11"/>
  <c r="N1843" i="11"/>
  <c r="I1841" i="11"/>
  <c r="N1841" i="11"/>
  <c r="I1839" i="11"/>
  <c r="N1839" i="11"/>
  <c r="I1837" i="11"/>
  <c r="N1837" i="11"/>
  <c r="I1835" i="11"/>
  <c r="N1835" i="11"/>
  <c r="I1833" i="11"/>
  <c r="N1833" i="11"/>
  <c r="I1831" i="11"/>
  <c r="N1831" i="11"/>
  <c r="I1829" i="11"/>
  <c r="N1829" i="11"/>
  <c r="I1827" i="11"/>
  <c r="N1827" i="11"/>
  <c r="I1825" i="11"/>
  <c r="N1825" i="11"/>
  <c r="I1823" i="11"/>
  <c r="N1823" i="11"/>
  <c r="I1821" i="11"/>
  <c r="N1821" i="11"/>
  <c r="I1819" i="11"/>
  <c r="N1819" i="11"/>
  <c r="I1817" i="11"/>
  <c r="N1817" i="11"/>
  <c r="I1815" i="11"/>
  <c r="N1815" i="11"/>
  <c r="I1813" i="11"/>
  <c r="N1813" i="11"/>
  <c r="I1811" i="11"/>
  <c r="N1811" i="11"/>
  <c r="I1809" i="11"/>
  <c r="N1809" i="11"/>
  <c r="I1807" i="11"/>
  <c r="N1807" i="11"/>
  <c r="I1805" i="11"/>
  <c r="N1805" i="11"/>
  <c r="I1803" i="11"/>
  <c r="N1803" i="11"/>
  <c r="I1801" i="11"/>
  <c r="N1801" i="11"/>
  <c r="I1799" i="11"/>
  <c r="N1799" i="11"/>
  <c r="I1797" i="11"/>
  <c r="N1797" i="11"/>
  <c r="I1795" i="11"/>
  <c r="N1795" i="11"/>
  <c r="I1793" i="11"/>
  <c r="N1793" i="11"/>
  <c r="I1791" i="11"/>
  <c r="N1791" i="11"/>
  <c r="I1789" i="11"/>
  <c r="N1789" i="11"/>
  <c r="I1787" i="11"/>
  <c r="N1787" i="11"/>
  <c r="I1785" i="11"/>
  <c r="N1785" i="11"/>
  <c r="I1783" i="11"/>
  <c r="N1783" i="11"/>
  <c r="I1781" i="11"/>
  <c r="N1781" i="11"/>
  <c r="I1779" i="11"/>
  <c r="N1779" i="11"/>
  <c r="I1777" i="11"/>
  <c r="N1777" i="11"/>
  <c r="I1775" i="11"/>
  <c r="N1775" i="11"/>
  <c r="I1773" i="11"/>
  <c r="N1773" i="11"/>
  <c r="I1771" i="11"/>
  <c r="N1771" i="11"/>
  <c r="I1769" i="11"/>
  <c r="N1769" i="11"/>
  <c r="I1767" i="11"/>
  <c r="N1767" i="11"/>
  <c r="I1765" i="11"/>
  <c r="N1765" i="11"/>
  <c r="I1763" i="11"/>
  <c r="N1763" i="11"/>
  <c r="I1761" i="11"/>
  <c r="N1761" i="11"/>
  <c r="I1759" i="11"/>
  <c r="N1759" i="11"/>
  <c r="I1757" i="11"/>
  <c r="N1757" i="11"/>
  <c r="I1755" i="11"/>
  <c r="N1755" i="11"/>
  <c r="I1753" i="11"/>
  <c r="N1753" i="11"/>
  <c r="I1751" i="11"/>
  <c r="N1751" i="11"/>
  <c r="I1749" i="11"/>
  <c r="N1749" i="11"/>
  <c r="I1747" i="11"/>
  <c r="N1747" i="11"/>
  <c r="I1745" i="11"/>
  <c r="N1745" i="11"/>
  <c r="I1743" i="11"/>
  <c r="N1743" i="11"/>
  <c r="I1741" i="11"/>
  <c r="N1741" i="11"/>
  <c r="I1739" i="11"/>
  <c r="N1739" i="11"/>
  <c r="I1737" i="11"/>
  <c r="N1737" i="11"/>
  <c r="I1735" i="11"/>
  <c r="N1735" i="11"/>
  <c r="I1733" i="11"/>
  <c r="N1733" i="11"/>
  <c r="I1731" i="11"/>
  <c r="N1731" i="11"/>
  <c r="I1729" i="11"/>
  <c r="N1729" i="11"/>
  <c r="I1727" i="11"/>
  <c r="N1727" i="11"/>
  <c r="I1725" i="11"/>
  <c r="N1725" i="11"/>
  <c r="I1723" i="11"/>
  <c r="N1723" i="11"/>
  <c r="I1721" i="11"/>
  <c r="N1721" i="11"/>
  <c r="I1719" i="11"/>
  <c r="N1719" i="11"/>
  <c r="I1717" i="11"/>
  <c r="N1717" i="11"/>
  <c r="I1715" i="11"/>
  <c r="N1715" i="11"/>
  <c r="I1713" i="11"/>
  <c r="N1713" i="11"/>
  <c r="I1711" i="11"/>
  <c r="N1711" i="11"/>
  <c r="I1709" i="11"/>
  <c r="N1709" i="11"/>
  <c r="I1707" i="11"/>
  <c r="N1707" i="11"/>
  <c r="I1705" i="11"/>
  <c r="N1705" i="11"/>
  <c r="I1703" i="11"/>
  <c r="N1703" i="11"/>
  <c r="I1701" i="11"/>
  <c r="N1701" i="11"/>
  <c r="I1699" i="11"/>
  <c r="N1699" i="11"/>
  <c r="I1697" i="11"/>
  <c r="N1697" i="11"/>
  <c r="I1695" i="11"/>
  <c r="N1695" i="11"/>
  <c r="I1693" i="11"/>
  <c r="N1693" i="11"/>
  <c r="I1691" i="11"/>
  <c r="N1691" i="11"/>
  <c r="I1689" i="11"/>
  <c r="N1689" i="11"/>
  <c r="I1687" i="11"/>
  <c r="N1687" i="11"/>
  <c r="I1685" i="11"/>
  <c r="N1685" i="11"/>
  <c r="I1683" i="11"/>
  <c r="N1683" i="11"/>
  <c r="I1681" i="11"/>
  <c r="N1681" i="11"/>
  <c r="I1679" i="11"/>
  <c r="N1679" i="11"/>
  <c r="I1677" i="11"/>
  <c r="N1677" i="11"/>
  <c r="I1675" i="11"/>
  <c r="N1675" i="11"/>
  <c r="I1673" i="11"/>
  <c r="N1673" i="11"/>
  <c r="I1671" i="11"/>
  <c r="N1671" i="11"/>
  <c r="I1669" i="11"/>
  <c r="N1669" i="11"/>
  <c r="I1667" i="11"/>
  <c r="N1667" i="11"/>
  <c r="I1665" i="11"/>
  <c r="N1665" i="11"/>
  <c r="I1663" i="11"/>
  <c r="N1663" i="11"/>
  <c r="I1661" i="11"/>
  <c r="N1661" i="11"/>
  <c r="I1659" i="11"/>
  <c r="N1659" i="11"/>
  <c r="I1657" i="11"/>
  <c r="N1657" i="11"/>
  <c r="I1655" i="11"/>
  <c r="N1655" i="11"/>
  <c r="I1653" i="11"/>
  <c r="N1653" i="11"/>
  <c r="I1651" i="11"/>
  <c r="N1651" i="11"/>
  <c r="I1649" i="11"/>
  <c r="N1649" i="11"/>
  <c r="I1647" i="11"/>
  <c r="N1647" i="11"/>
  <c r="I1645" i="11"/>
  <c r="N1645" i="11"/>
  <c r="I1643" i="11"/>
  <c r="N1643" i="11"/>
  <c r="I1641" i="11"/>
  <c r="N1641" i="11"/>
  <c r="I1639" i="11"/>
  <c r="N1639" i="11"/>
  <c r="I1637" i="11"/>
  <c r="N1637" i="11"/>
  <c r="I1635" i="11"/>
  <c r="N1635" i="11"/>
  <c r="I1633" i="11"/>
  <c r="N1633" i="11"/>
  <c r="I1631" i="11"/>
  <c r="N1631" i="11"/>
  <c r="I1629" i="11"/>
  <c r="N1629" i="11"/>
  <c r="I1627" i="11"/>
  <c r="N1627" i="11"/>
  <c r="I1625" i="11"/>
  <c r="N1625" i="11"/>
  <c r="I1623" i="11"/>
  <c r="N1623" i="11"/>
  <c r="I1621" i="11"/>
  <c r="N1621" i="11"/>
  <c r="I1619" i="11"/>
  <c r="N1619" i="11"/>
  <c r="I1617" i="11"/>
  <c r="N1617" i="11"/>
  <c r="I1615" i="11"/>
  <c r="N1615" i="11"/>
  <c r="I1613" i="11"/>
  <c r="N1613" i="11"/>
  <c r="I1611" i="11"/>
  <c r="N1611" i="11"/>
  <c r="I1609" i="11"/>
  <c r="N1609" i="11"/>
  <c r="I1607" i="11"/>
  <c r="N1607" i="11"/>
  <c r="I1605" i="11"/>
  <c r="N1605" i="11"/>
  <c r="I1603" i="11"/>
  <c r="N1603" i="11"/>
  <c r="I1601" i="11"/>
  <c r="N1601" i="11"/>
  <c r="I1599" i="11"/>
  <c r="N1599" i="11"/>
  <c r="I1597" i="11"/>
  <c r="N1597" i="11"/>
  <c r="I1595" i="11"/>
  <c r="N1595" i="11"/>
  <c r="I1593" i="11"/>
  <c r="N1593" i="11"/>
  <c r="I1591" i="11"/>
  <c r="N1591" i="11"/>
  <c r="I1589" i="11"/>
  <c r="N1589" i="11"/>
  <c r="I1587" i="11"/>
  <c r="N1587" i="11"/>
  <c r="I1585" i="11"/>
  <c r="N1585" i="11"/>
  <c r="I1583" i="11"/>
  <c r="N1583" i="11"/>
  <c r="I1581" i="11"/>
  <c r="N1581" i="11"/>
  <c r="I1579" i="11"/>
  <c r="N1579" i="11"/>
  <c r="I1577" i="11"/>
  <c r="N1577" i="11"/>
  <c r="I1575" i="11"/>
  <c r="N1575" i="11"/>
  <c r="I1573" i="11"/>
  <c r="N1573" i="11"/>
  <c r="I1571" i="11"/>
  <c r="N1571" i="11"/>
  <c r="I1569" i="11"/>
  <c r="N1569" i="11"/>
  <c r="I1567" i="11"/>
  <c r="N1567" i="11"/>
  <c r="I1565" i="11"/>
  <c r="N1565" i="11"/>
  <c r="I1563" i="11"/>
  <c r="N1563" i="11"/>
  <c r="I1561" i="11"/>
  <c r="N1561" i="11"/>
  <c r="I1559" i="11"/>
  <c r="N1559" i="11"/>
  <c r="I1557" i="11"/>
  <c r="N1557" i="11"/>
  <c r="I1555" i="11"/>
  <c r="N1555" i="11"/>
  <c r="I1553" i="11"/>
  <c r="N1553" i="11"/>
  <c r="I1551" i="11"/>
  <c r="N1551" i="11"/>
  <c r="I1549" i="11"/>
  <c r="N1549" i="11"/>
  <c r="I1547" i="11"/>
  <c r="N1547" i="11"/>
  <c r="I1545" i="11"/>
  <c r="N1545" i="11"/>
  <c r="I1543" i="11"/>
  <c r="N1543" i="11"/>
  <c r="I1541" i="11"/>
  <c r="N1541" i="11"/>
  <c r="I1539" i="11"/>
  <c r="N1539" i="11"/>
  <c r="I1537" i="11"/>
  <c r="N1537" i="11"/>
  <c r="I1535" i="11"/>
  <c r="N1535" i="11"/>
  <c r="I1533" i="11"/>
  <c r="N1533" i="11"/>
  <c r="I1531" i="11"/>
  <c r="N1531" i="11"/>
  <c r="I1529" i="11"/>
  <c r="N1529" i="11"/>
  <c r="I1527" i="11"/>
  <c r="N1527" i="11"/>
  <c r="I1525" i="11"/>
  <c r="N1525" i="11"/>
  <c r="I1523" i="11"/>
  <c r="N1523" i="11"/>
  <c r="I1521" i="11"/>
  <c r="N1521" i="11"/>
  <c r="I1519" i="11"/>
  <c r="N1519" i="11"/>
  <c r="I1517" i="11"/>
  <c r="N1517" i="11"/>
  <c r="I1515" i="11"/>
  <c r="N1515" i="11"/>
  <c r="I1513" i="11"/>
  <c r="N1513" i="11"/>
  <c r="I1511" i="11"/>
  <c r="N1511" i="11"/>
  <c r="I1509" i="11"/>
  <c r="N1509" i="11"/>
  <c r="I1507" i="11"/>
  <c r="N1507" i="11"/>
  <c r="I1505" i="11"/>
  <c r="N1505" i="11"/>
  <c r="I1503" i="11"/>
  <c r="N1503" i="11"/>
  <c r="I1501" i="11"/>
  <c r="N1501" i="11"/>
  <c r="I1499" i="11"/>
  <c r="N1499" i="11"/>
  <c r="I1497" i="11"/>
  <c r="N1497" i="11"/>
  <c r="I1495" i="11"/>
  <c r="N1495" i="11"/>
  <c r="I1493" i="11"/>
  <c r="N1493" i="11"/>
  <c r="I1491" i="11"/>
  <c r="N1491" i="11"/>
  <c r="I1489" i="11"/>
  <c r="N1489" i="11"/>
  <c r="I1487" i="11"/>
  <c r="N1487" i="11"/>
  <c r="I1485" i="11"/>
  <c r="N1485" i="11"/>
  <c r="I1483" i="11"/>
  <c r="N1483" i="11"/>
  <c r="I1481" i="11"/>
  <c r="N1481" i="11"/>
  <c r="I1479" i="11"/>
  <c r="N1479" i="11"/>
  <c r="I1477" i="11"/>
  <c r="N1477" i="11"/>
  <c r="I1475" i="11"/>
  <c r="N1475" i="11"/>
  <c r="I1473" i="11"/>
  <c r="N1473" i="11"/>
  <c r="I1471" i="11"/>
  <c r="N1471" i="11"/>
  <c r="I1469" i="11"/>
  <c r="N1469" i="11"/>
  <c r="I1467" i="11"/>
  <c r="N1467" i="11"/>
  <c r="I1465" i="11"/>
  <c r="N1465" i="11"/>
  <c r="I1463" i="11"/>
  <c r="N1463" i="11"/>
  <c r="I1461" i="11"/>
  <c r="N1461" i="11"/>
  <c r="I1459" i="11"/>
  <c r="N1459" i="11"/>
  <c r="I1457" i="11"/>
  <c r="N1457" i="11"/>
  <c r="I1455" i="11"/>
  <c r="N1455" i="11"/>
  <c r="I1453" i="11"/>
  <c r="N1453" i="11"/>
  <c r="I1451" i="11"/>
  <c r="N1451" i="11"/>
  <c r="I1449" i="11"/>
  <c r="N1449" i="11"/>
  <c r="I1447" i="11"/>
  <c r="N1447" i="11"/>
  <c r="I1445" i="11"/>
  <c r="N1445" i="11"/>
  <c r="I1443" i="11"/>
  <c r="N1443" i="11"/>
  <c r="I1441" i="11"/>
  <c r="N1441" i="11"/>
  <c r="I1439" i="11"/>
  <c r="N1439" i="11"/>
  <c r="I1437" i="11"/>
  <c r="N1437" i="11"/>
  <c r="I1435" i="11"/>
  <c r="N1435" i="11"/>
  <c r="I1433" i="11"/>
  <c r="N1433" i="11"/>
  <c r="I1431" i="11"/>
  <c r="N1431" i="11"/>
  <c r="I1429" i="11"/>
  <c r="N1429" i="11"/>
  <c r="I1427" i="11"/>
  <c r="N1427" i="11"/>
  <c r="I1425" i="11"/>
  <c r="N1425" i="11"/>
  <c r="I1423" i="11"/>
  <c r="N1423" i="11"/>
  <c r="I1421" i="11"/>
  <c r="N1421" i="11"/>
  <c r="I1419" i="11"/>
  <c r="N1419" i="11"/>
  <c r="I1417" i="11"/>
  <c r="N1417" i="11"/>
  <c r="I1415" i="11"/>
  <c r="N1415" i="11"/>
  <c r="I1413" i="11"/>
  <c r="N1413" i="11"/>
  <c r="I1411" i="11"/>
  <c r="N1411" i="11"/>
  <c r="I1409" i="11"/>
  <c r="N1409" i="11"/>
  <c r="I1407" i="11"/>
  <c r="N1407" i="11"/>
  <c r="I1405" i="11"/>
  <c r="N1405" i="11"/>
  <c r="I1403" i="11"/>
  <c r="N1403" i="11"/>
  <c r="I1401" i="11"/>
  <c r="N1401" i="11"/>
  <c r="I1399" i="11"/>
  <c r="N1399" i="11"/>
  <c r="I1397" i="11"/>
  <c r="N1397" i="11"/>
  <c r="I1395" i="11"/>
  <c r="N1395" i="11"/>
  <c r="I1393" i="11"/>
  <c r="N1393" i="11"/>
  <c r="I1391" i="11"/>
  <c r="N1391" i="11"/>
  <c r="I1389" i="11"/>
  <c r="N1389" i="11"/>
  <c r="I1387" i="11"/>
  <c r="N1387" i="11"/>
  <c r="I1385" i="11"/>
  <c r="N1385" i="11"/>
  <c r="I1383" i="11"/>
  <c r="N1383" i="11"/>
  <c r="I1381" i="11"/>
  <c r="N1381" i="11"/>
  <c r="I1379" i="11"/>
  <c r="N1379" i="11"/>
  <c r="I1377" i="11"/>
  <c r="N1377" i="11"/>
  <c r="I1375" i="11"/>
  <c r="N1375" i="11"/>
  <c r="I1373" i="11"/>
  <c r="N1373" i="11"/>
  <c r="I1371" i="11"/>
  <c r="N1371" i="11"/>
  <c r="I1369" i="11"/>
  <c r="N1369" i="11"/>
  <c r="I1367" i="11"/>
  <c r="N1367" i="11"/>
  <c r="I1365" i="11"/>
  <c r="N1365" i="11"/>
  <c r="I1363" i="11"/>
  <c r="N1363" i="11"/>
  <c r="I1361" i="11"/>
  <c r="N1361" i="11"/>
  <c r="I1359" i="11"/>
  <c r="N1359" i="11"/>
  <c r="I1357" i="11"/>
  <c r="N1357" i="11"/>
  <c r="I1355" i="11"/>
  <c r="N1355" i="11"/>
  <c r="I1353" i="11"/>
  <c r="N1353" i="11"/>
  <c r="I1351" i="11"/>
  <c r="N1351" i="11"/>
  <c r="I1349" i="11"/>
  <c r="N1349" i="11"/>
  <c r="I1347" i="11"/>
  <c r="N1347" i="11"/>
  <c r="I1345" i="11"/>
  <c r="N1345" i="11"/>
  <c r="I1343" i="11"/>
  <c r="N1343" i="11"/>
  <c r="I1341" i="11"/>
  <c r="N1341" i="11"/>
  <c r="I1339" i="11"/>
  <c r="N1339" i="11"/>
  <c r="I1337" i="11"/>
  <c r="N1337" i="11"/>
  <c r="I1335" i="11"/>
  <c r="N1335" i="11"/>
  <c r="I1333" i="11"/>
  <c r="N1333" i="11"/>
  <c r="I1331" i="11"/>
  <c r="N1331" i="11"/>
  <c r="I1329" i="11"/>
  <c r="N1329" i="11"/>
  <c r="I1327" i="11"/>
  <c r="N1327" i="11"/>
  <c r="I1325" i="11"/>
  <c r="N1325" i="11"/>
  <c r="I1323" i="11"/>
  <c r="N1323" i="11"/>
  <c r="I1321" i="11"/>
  <c r="N1321" i="11"/>
  <c r="I1319" i="11"/>
  <c r="N1319" i="11"/>
  <c r="I1317" i="11"/>
  <c r="N1317" i="11"/>
  <c r="I1315" i="11"/>
  <c r="N1315" i="11"/>
  <c r="I1313" i="11"/>
  <c r="N1313" i="11"/>
  <c r="I1311" i="11"/>
  <c r="N1311" i="11"/>
  <c r="I1309" i="11"/>
  <c r="N1309" i="11"/>
  <c r="I1307" i="11"/>
  <c r="N1307" i="11"/>
  <c r="I1305" i="11"/>
  <c r="N1305" i="11"/>
  <c r="I1303" i="11"/>
  <c r="N1303" i="11"/>
  <c r="I1301" i="11"/>
  <c r="N1301" i="11"/>
  <c r="I1299" i="11"/>
  <c r="N1299" i="11"/>
  <c r="I1297" i="11"/>
  <c r="N1297" i="11"/>
  <c r="I1295" i="11"/>
  <c r="N1295" i="11"/>
  <c r="I1293" i="11"/>
  <c r="N1293" i="11"/>
  <c r="I1291" i="11"/>
  <c r="N1291" i="11"/>
  <c r="I1289" i="11"/>
  <c r="N1289" i="11"/>
  <c r="I1287" i="11"/>
  <c r="N1287" i="11"/>
  <c r="I1285" i="11"/>
  <c r="N1285" i="11"/>
  <c r="I1283" i="11"/>
  <c r="N1283" i="11"/>
  <c r="I1281" i="11"/>
  <c r="N1281" i="11"/>
  <c r="I1279" i="11"/>
  <c r="N1279" i="11"/>
  <c r="I1277" i="11"/>
  <c r="N1277" i="11"/>
  <c r="I1275" i="11"/>
  <c r="N1275" i="11"/>
  <c r="I1273" i="11"/>
  <c r="N1273" i="11"/>
  <c r="I1271" i="11"/>
  <c r="N1271" i="11"/>
  <c r="I1269" i="11"/>
  <c r="N1269" i="11"/>
  <c r="I1267" i="11"/>
  <c r="N1267" i="11"/>
  <c r="I1265" i="11"/>
  <c r="N1265" i="11"/>
  <c r="I1263" i="11"/>
  <c r="N1263" i="11"/>
  <c r="I1261" i="11"/>
  <c r="N1261" i="11"/>
  <c r="I1259" i="11"/>
  <c r="N1259" i="11"/>
  <c r="I1257" i="11"/>
  <c r="N1257" i="11"/>
  <c r="I1255" i="11"/>
  <c r="N1255" i="11"/>
  <c r="I1253" i="11"/>
  <c r="N1253" i="11"/>
  <c r="I1251" i="11"/>
  <c r="N1251" i="11"/>
  <c r="I1249" i="11"/>
  <c r="N1249" i="11"/>
  <c r="I1247" i="11"/>
  <c r="N1247" i="11"/>
  <c r="I1245" i="11"/>
  <c r="N1245" i="11"/>
  <c r="I1243" i="11"/>
  <c r="N1243" i="11"/>
  <c r="I1241" i="11"/>
  <c r="N1241" i="11"/>
  <c r="I1239" i="11"/>
  <c r="N1239" i="11"/>
  <c r="I1237" i="11"/>
  <c r="N1237" i="11"/>
  <c r="I1235" i="11"/>
  <c r="N1235" i="11"/>
  <c r="I1233" i="11"/>
  <c r="N1233" i="11"/>
  <c r="I1231" i="11"/>
  <c r="N1231" i="11"/>
  <c r="I1229" i="11"/>
  <c r="N1229" i="11"/>
  <c r="I1227" i="11"/>
  <c r="N1227" i="11"/>
  <c r="I1225" i="11"/>
  <c r="N1225" i="11"/>
  <c r="I1223" i="11"/>
  <c r="N1223" i="11"/>
  <c r="I1221" i="11"/>
  <c r="N1221" i="11"/>
  <c r="I1219" i="11"/>
  <c r="N1219" i="11"/>
  <c r="I1217" i="11"/>
  <c r="N1217" i="11"/>
  <c r="I1215" i="11"/>
  <c r="N1215" i="11"/>
  <c r="I1213" i="11"/>
  <c r="N1213" i="11"/>
  <c r="I1211" i="11"/>
  <c r="N1211" i="11"/>
  <c r="I1209" i="11"/>
  <c r="N1209" i="11"/>
  <c r="I1207" i="11"/>
  <c r="N1207" i="11"/>
  <c r="I1205" i="11"/>
  <c r="N1205" i="11"/>
  <c r="I1203" i="11"/>
  <c r="N1203" i="11"/>
  <c r="I1201" i="11"/>
  <c r="N1201" i="11"/>
  <c r="I1199" i="11"/>
  <c r="N1199" i="11"/>
  <c r="I1197" i="11"/>
  <c r="N1197" i="11"/>
  <c r="I1195" i="11"/>
  <c r="N1195" i="11"/>
  <c r="I1193" i="11"/>
  <c r="N1193" i="11"/>
  <c r="I1191" i="11"/>
  <c r="N1191" i="11"/>
  <c r="I1189" i="11"/>
  <c r="N1189" i="11"/>
  <c r="I1187" i="11"/>
  <c r="N1187" i="11"/>
  <c r="I1185" i="11"/>
  <c r="N1185" i="11"/>
  <c r="I1183" i="11"/>
  <c r="N1183" i="11"/>
  <c r="I1181" i="11"/>
  <c r="N1181" i="11"/>
  <c r="I1179" i="11"/>
  <c r="N1179" i="11"/>
  <c r="I1177" i="11"/>
  <c r="N1177" i="11"/>
  <c r="I1175" i="11"/>
  <c r="N1175" i="11"/>
  <c r="I1173" i="11"/>
  <c r="N1173" i="11"/>
  <c r="I1171" i="11"/>
  <c r="N1171" i="11"/>
  <c r="I1169" i="11"/>
  <c r="N1169" i="11"/>
  <c r="I1167" i="11"/>
  <c r="N1167" i="11"/>
  <c r="I1165" i="11"/>
  <c r="N1165" i="11"/>
  <c r="I1163" i="11"/>
  <c r="N1163" i="11"/>
  <c r="I1161" i="11"/>
  <c r="N1161" i="11"/>
  <c r="I1159" i="11"/>
  <c r="N1159" i="11"/>
  <c r="I1157" i="11"/>
  <c r="N1157" i="11"/>
  <c r="I1155" i="11"/>
  <c r="N1155" i="11"/>
  <c r="I1153" i="11"/>
  <c r="N1153" i="11"/>
  <c r="I1151" i="11"/>
  <c r="N1151" i="11"/>
  <c r="I1149" i="11"/>
  <c r="N1149" i="11"/>
  <c r="I1147" i="11"/>
  <c r="N1147" i="11"/>
  <c r="I1145" i="11"/>
  <c r="N1145" i="11"/>
  <c r="I1143" i="11"/>
  <c r="N1143" i="11"/>
  <c r="I1141" i="11"/>
  <c r="N1141" i="11"/>
  <c r="I1139" i="11"/>
  <c r="N1139" i="11"/>
  <c r="I1137" i="11"/>
  <c r="N1137" i="11"/>
  <c r="I1135" i="11"/>
  <c r="N1135" i="11"/>
  <c r="I1133" i="11"/>
  <c r="N1133" i="11"/>
  <c r="I1131" i="11"/>
  <c r="N1131" i="11"/>
  <c r="I1129" i="11"/>
  <c r="N1129" i="11"/>
  <c r="I1127" i="11"/>
  <c r="N1127" i="11"/>
  <c r="I1125" i="11"/>
  <c r="N1125" i="11"/>
  <c r="I1123" i="11"/>
  <c r="N1123" i="11"/>
  <c r="I1121" i="11"/>
  <c r="N1121" i="11"/>
  <c r="I1119" i="11"/>
  <c r="N1119" i="11"/>
  <c r="I1117" i="11"/>
  <c r="N1117" i="11"/>
  <c r="I1115" i="11"/>
  <c r="N1115" i="11"/>
  <c r="I1113" i="11"/>
  <c r="N1113" i="11"/>
  <c r="I1111" i="11"/>
  <c r="N1111" i="11"/>
  <c r="I1109" i="11"/>
  <c r="N1109" i="11"/>
  <c r="I1107" i="11"/>
  <c r="N1107" i="11"/>
  <c r="I1105" i="11"/>
  <c r="N1105" i="11"/>
  <c r="I1103" i="11"/>
  <c r="N1103" i="11"/>
  <c r="I1101" i="11"/>
  <c r="N1101" i="11"/>
  <c r="I1099" i="11"/>
  <c r="N1099" i="11"/>
  <c r="I1097" i="11"/>
  <c r="N1097" i="11"/>
  <c r="I1095" i="11"/>
  <c r="N1095" i="11"/>
  <c r="I1093" i="11"/>
  <c r="N1093" i="11"/>
  <c r="I1091" i="11"/>
  <c r="N1091" i="11"/>
  <c r="I1089" i="11"/>
  <c r="N1089" i="11"/>
  <c r="I1087" i="11"/>
  <c r="N1087" i="11"/>
  <c r="I1085" i="11"/>
  <c r="N1085" i="11"/>
  <c r="I1083" i="11"/>
  <c r="N1083" i="11"/>
  <c r="I1081" i="11"/>
  <c r="N1081" i="11"/>
  <c r="I1079" i="11"/>
  <c r="N1079" i="11"/>
  <c r="I1077" i="11"/>
  <c r="N1077" i="11"/>
  <c r="I1075" i="11"/>
  <c r="N1075" i="11"/>
  <c r="I1073" i="11"/>
  <c r="N1073" i="11"/>
  <c r="I1071" i="11"/>
  <c r="N1071" i="11"/>
  <c r="I1069" i="11"/>
  <c r="N1069" i="11"/>
  <c r="I1067" i="11"/>
  <c r="N1067" i="11"/>
  <c r="I1065" i="11"/>
  <c r="N1065" i="11"/>
  <c r="I1063" i="11"/>
  <c r="N1063" i="11"/>
  <c r="I1061" i="11"/>
  <c r="N1061" i="11"/>
  <c r="I1059" i="11"/>
  <c r="N1059" i="11"/>
  <c r="I1057" i="11"/>
  <c r="N1057" i="11"/>
  <c r="I1055" i="11"/>
  <c r="N1055" i="11"/>
  <c r="I1053" i="11"/>
  <c r="N1053" i="11"/>
  <c r="I1051" i="11"/>
  <c r="N1051" i="11"/>
  <c r="I1049" i="11"/>
  <c r="N1049" i="11"/>
  <c r="I1047" i="11"/>
  <c r="N1047" i="11"/>
  <c r="I1045" i="11"/>
  <c r="N1045" i="11"/>
  <c r="I1043" i="11"/>
  <c r="N1043" i="11"/>
  <c r="I1041" i="11"/>
  <c r="N1041" i="11"/>
  <c r="I1039" i="11"/>
  <c r="N1039" i="11"/>
  <c r="I1037" i="11"/>
  <c r="N1037" i="11"/>
  <c r="I1035" i="11"/>
  <c r="N1035" i="11"/>
  <c r="I1033" i="11"/>
  <c r="N1033" i="11"/>
  <c r="I1031" i="11"/>
  <c r="N1031" i="11"/>
  <c r="I1029" i="11"/>
  <c r="N1029" i="11"/>
  <c r="I1027" i="11"/>
  <c r="N1027" i="11"/>
  <c r="I1025" i="11"/>
  <c r="N1025" i="11"/>
  <c r="I1023" i="11"/>
  <c r="N1023" i="11"/>
  <c r="I1021" i="11"/>
  <c r="N1021" i="11"/>
  <c r="I1019" i="11"/>
  <c r="N1019" i="11"/>
  <c r="I1017" i="11"/>
  <c r="N1017" i="11"/>
  <c r="I1015" i="11"/>
  <c r="N1015" i="11"/>
  <c r="I1013" i="11"/>
  <c r="N1013" i="11"/>
  <c r="I1011" i="11"/>
  <c r="N1011" i="11"/>
  <c r="I1009" i="11"/>
  <c r="N1009" i="11"/>
  <c r="I1007" i="11"/>
  <c r="N1007" i="11"/>
  <c r="I1005" i="11"/>
  <c r="N1005" i="11"/>
  <c r="I1003" i="11"/>
  <c r="N1003" i="11"/>
  <c r="I1001" i="11"/>
  <c r="N1001" i="11"/>
  <c r="I999" i="11"/>
  <c r="N999" i="11"/>
  <c r="I997" i="11"/>
  <c r="N997" i="11"/>
  <c r="I995" i="11"/>
  <c r="N995" i="11"/>
  <c r="I993" i="11"/>
  <c r="N993" i="11"/>
  <c r="I991" i="11"/>
  <c r="N991" i="11"/>
  <c r="I989" i="11"/>
  <c r="N989" i="11"/>
  <c r="I987" i="11"/>
  <c r="N987" i="11"/>
  <c r="I985" i="11"/>
  <c r="N985" i="11"/>
  <c r="I983" i="11"/>
  <c r="N983" i="11"/>
  <c r="I981" i="11"/>
  <c r="N981" i="11"/>
  <c r="I979" i="11"/>
  <c r="N979" i="11"/>
  <c r="I977" i="11"/>
  <c r="N977" i="11"/>
  <c r="I975" i="11"/>
  <c r="N975" i="11"/>
  <c r="I973" i="11"/>
  <c r="N973" i="11"/>
  <c r="I971" i="11"/>
  <c r="N971" i="11"/>
  <c r="I969" i="11"/>
  <c r="N969" i="11"/>
  <c r="I967" i="11"/>
  <c r="N967" i="11"/>
  <c r="I965" i="11"/>
  <c r="N965" i="11"/>
  <c r="I963" i="11"/>
  <c r="N963" i="11"/>
  <c r="I961" i="11"/>
  <c r="N961" i="11"/>
  <c r="I959" i="11"/>
  <c r="N959" i="11"/>
  <c r="I957" i="11"/>
  <c r="N957" i="11"/>
  <c r="I955" i="11"/>
  <c r="N955" i="11"/>
  <c r="I953" i="11"/>
  <c r="N953" i="11"/>
  <c r="I951" i="11"/>
  <c r="N951" i="11"/>
  <c r="I949" i="11"/>
  <c r="N949" i="11"/>
  <c r="I947" i="11"/>
  <c r="N947" i="11"/>
  <c r="I945" i="11"/>
  <c r="J945" i="11" s="1"/>
  <c r="T945" i="11" s="1"/>
  <c r="N945" i="11"/>
  <c r="I943" i="11"/>
  <c r="N943" i="11"/>
  <c r="I941" i="11"/>
  <c r="N941" i="11"/>
  <c r="I939" i="11"/>
  <c r="N939" i="11"/>
  <c r="I937" i="11"/>
  <c r="J937" i="11" s="1"/>
  <c r="T937" i="11" s="1"/>
  <c r="N937" i="11"/>
  <c r="I935" i="11"/>
  <c r="N935" i="11"/>
  <c r="I933" i="11"/>
  <c r="N933" i="11"/>
  <c r="I931" i="11"/>
  <c r="N931" i="11"/>
  <c r="I929" i="11"/>
  <c r="N929" i="11"/>
  <c r="I927" i="11"/>
  <c r="N927" i="11"/>
  <c r="I925" i="11"/>
  <c r="N925" i="11"/>
  <c r="I923" i="11"/>
  <c r="N923" i="11"/>
  <c r="I921" i="11"/>
  <c r="J921" i="11" s="1"/>
  <c r="T921" i="11" s="1"/>
  <c r="N921" i="11"/>
  <c r="I919" i="11"/>
  <c r="N919" i="11"/>
  <c r="I917" i="11"/>
  <c r="N917" i="11"/>
  <c r="I915" i="11"/>
  <c r="N915" i="11"/>
  <c r="I913" i="11"/>
  <c r="J913" i="11" s="1"/>
  <c r="T913" i="11" s="1"/>
  <c r="N913" i="11"/>
  <c r="I911" i="11"/>
  <c r="N911" i="11"/>
  <c r="I909" i="11"/>
  <c r="N909" i="11"/>
  <c r="I907" i="11"/>
  <c r="N907" i="11"/>
  <c r="I905" i="11"/>
  <c r="N905" i="11"/>
  <c r="I903" i="11"/>
  <c r="N903" i="11"/>
  <c r="I901" i="11"/>
  <c r="N901" i="11"/>
  <c r="I899" i="11"/>
  <c r="N899" i="11"/>
  <c r="I897" i="11"/>
  <c r="J897" i="11" s="1"/>
  <c r="T897" i="11" s="1"/>
  <c r="N897" i="11"/>
  <c r="I895" i="11"/>
  <c r="N895" i="11"/>
  <c r="I893" i="11"/>
  <c r="N893" i="11"/>
  <c r="I891" i="11"/>
  <c r="N891" i="11"/>
  <c r="I889" i="11"/>
  <c r="J889" i="11" s="1"/>
  <c r="T889" i="11" s="1"/>
  <c r="N889" i="11"/>
  <c r="I887" i="11"/>
  <c r="N887" i="11"/>
  <c r="I885" i="11"/>
  <c r="N885" i="11"/>
  <c r="I883" i="11"/>
  <c r="N883" i="11"/>
  <c r="I881" i="11"/>
  <c r="N881" i="11"/>
  <c r="I879" i="11"/>
  <c r="N879" i="11"/>
  <c r="I877" i="11"/>
  <c r="N877" i="11"/>
  <c r="I875" i="11"/>
  <c r="N875" i="11"/>
  <c r="I873" i="11"/>
  <c r="J873" i="11" s="1"/>
  <c r="T873" i="11" s="1"/>
  <c r="N873" i="11"/>
  <c r="I871" i="11"/>
  <c r="N871" i="11"/>
  <c r="I869" i="11"/>
  <c r="N869" i="11"/>
  <c r="I867" i="11"/>
  <c r="N867" i="11"/>
  <c r="I865" i="11"/>
  <c r="J865" i="11" s="1"/>
  <c r="T865" i="11" s="1"/>
  <c r="N865" i="11"/>
  <c r="I863" i="11"/>
  <c r="N863" i="11"/>
  <c r="I861" i="11"/>
  <c r="N861" i="11"/>
  <c r="I859" i="11"/>
  <c r="N859" i="11"/>
  <c r="I857" i="11"/>
  <c r="N857" i="11"/>
  <c r="I855" i="11"/>
  <c r="N855" i="11"/>
  <c r="I853" i="11"/>
  <c r="N853" i="11"/>
  <c r="I851" i="11"/>
  <c r="N851" i="11"/>
  <c r="I849" i="11"/>
  <c r="J849" i="11" s="1"/>
  <c r="T849" i="11" s="1"/>
  <c r="N849" i="11"/>
  <c r="I847" i="11"/>
  <c r="N847" i="11"/>
  <c r="I845" i="11"/>
  <c r="N845" i="11"/>
  <c r="I843" i="11"/>
  <c r="N843" i="11"/>
  <c r="I841" i="11"/>
  <c r="J841" i="11" s="1"/>
  <c r="T841" i="11" s="1"/>
  <c r="N841" i="11"/>
  <c r="I839" i="11"/>
  <c r="N839" i="11"/>
  <c r="I837" i="11"/>
  <c r="N837" i="11"/>
  <c r="I835" i="11"/>
  <c r="N835" i="11"/>
  <c r="I833" i="11"/>
  <c r="N833" i="11"/>
  <c r="I831" i="11"/>
  <c r="N831" i="11"/>
  <c r="I829" i="11"/>
  <c r="N829" i="11"/>
  <c r="I827" i="11"/>
  <c r="N827" i="11"/>
  <c r="I825" i="11"/>
  <c r="J825" i="11" s="1"/>
  <c r="T825" i="11" s="1"/>
  <c r="N825" i="11"/>
  <c r="I823" i="11"/>
  <c r="N823" i="11"/>
  <c r="I821" i="11"/>
  <c r="N821" i="11"/>
  <c r="I819" i="11"/>
  <c r="N819" i="11"/>
  <c r="I817" i="11"/>
  <c r="J817" i="11" s="1"/>
  <c r="T817" i="11" s="1"/>
  <c r="N817" i="11"/>
  <c r="I815" i="11"/>
  <c r="N815" i="11"/>
  <c r="I813" i="11"/>
  <c r="N813" i="11"/>
  <c r="I811" i="11"/>
  <c r="N811" i="11"/>
  <c r="I809" i="11"/>
  <c r="N809" i="11"/>
  <c r="I807" i="11"/>
  <c r="N807" i="11"/>
  <c r="I805" i="11"/>
  <c r="N805" i="11"/>
  <c r="I803" i="11"/>
  <c r="N803" i="11"/>
  <c r="I801" i="11"/>
  <c r="J801" i="11" s="1"/>
  <c r="T801" i="11" s="1"/>
  <c r="N801" i="11"/>
  <c r="I799" i="11"/>
  <c r="N799" i="11"/>
  <c r="I797" i="11"/>
  <c r="N797" i="11"/>
  <c r="I795" i="11"/>
  <c r="N795" i="11"/>
  <c r="I793" i="11"/>
  <c r="J793" i="11" s="1"/>
  <c r="T793" i="11" s="1"/>
  <c r="N793" i="11"/>
  <c r="I791" i="11"/>
  <c r="N791" i="11"/>
  <c r="I789" i="11"/>
  <c r="N789" i="11"/>
  <c r="I787" i="11"/>
  <c r="N787" i="11"/>
  <c r="I785" i="11"/>
  <c r="N785" i="11"/>
  <c r="I783" i="11"/>
  <c r="N783" i="11"/>
  <c r="I781" i="11"/>
  <c r="N781" i="11"/>
  <c r="I779" i="11"/>
  <c r="N779" i="11"/>
  <c r="I777" i="11"/>
  <c r="J777" i="11" s="1"/>
  <c r="T777" i="11" s="1"/>
  <c r="N777" i="11"/>
  <c r="I775" i="11"/>
  <c r="N775" i="11"/>
  <c r="I773" i="11"/>
  <c r="N773" i="11"/>
  <c r="I771" i="11"/>
  <c r="N771" i="11"/>
  <c r="I769" i="11"/>
  <c r="J769" i="11" s="1"/>
  <c r="T769" i="11" s="1"/>
  <c r="N769" i="11"/>
  <c r="I767" i="11"/>
  <c r="N767" i="11"/>
  <c r="I765" i="11"/>
  <c r="N765" i="11"/>
  <c r="I763" i="11"/>
  <c r="N763" i="11"/>
  <c r="I761" i="11"/>
  <c r="N761" i="11"/>
  <c r="I759" i="11"/>
  <c r="N759" i="11"/>
  <c r="I757" i="11"/>
  <c r="N757" i="11"/>
  <c r="I755" i="11"/>
  <c r="N755" i="11"/>
  <c r="I753" i="11"/>
  <c r="J753" i="11" s="1"/>
  <c r="T753" i="11" s="1"/>
  <c r="N753" i="11"/>
  <c r="I751" i="11"/>
  <c r="N751" i="11"/>
  <c r="I749" i="11"/>
  <c r="N749" i="11"/>
  <c r="I747" i="11"/>
  <c r="N747" i="11"/>
  <c r="I745" i="11"/>
  <c r="J745" i="11" s="1"/>
  <c r="T745" i="11" s="1"/>
  <c r="N745" i="11"/>
  <c r="I743" i="11"/>
  <c r="N743" i="11"/>
  <c r="I741" i="11"/>
  <c r="N741" i="11"/>
  <c r="I739" i="11"/>
  <c r="N739" i="11"/>
  <c r="I737" i="11"/>
  <c r="N737" i="11"/>
  <c r="I735" i="11"/>
  <c r="N735" i="11"/>
  <c r="I733" i="11"/>
  <c r="N733" i="11"/>
  <c r="I731" i="11"/>
  <c r="N731" i="11"/>
  <c r="I729" i="11"/>
  <c r="J729" i="11" s="1"/>
  <c r="T729" i="11" s="1"/>
  <c r="N729" i="11"/>
  <c r="I727" i="11"/>
  <c r="N727" i="11"/>
  <c r="I725" i="11"/>
  <c r="N725" i="11"/>
  <c r="I723" i="11"/>
  <c r="N723" i="11"/>
  <c r="I721" i="11"/>
  <c r="J721" i="11" s="1"/>
  <c r="T721" i="11" s="1"/>
  <c r="N721" i="11"/>
  <c r="I719" i="11"/>
  <c r="N719" i="11"/>
  <c r="I717" i="11"/>
  <c r="N717" i="11"/>
  <c r="I715" i="11"/>
  <c r="N715" i="11"/>
  <c r="I713" i="11"/>
  <c r="N713" i="11"/>
  <c r="I711" i="11"/>
  <c r="N711" i="11"/>
  <c r="I709" i="11"/>
  <c r="N709" i="11"/>
  <c r="I707" i="11"/>
  <c r="N707" i="11"/>
  <c r="I705" i="11"/>
  <c r="J705" i="11" s="1"/>
  <c r="T705" i="11" s="1"/>
  <c r="N705" i="11"/>
  <c r="I703" i="11"/>
  <c r="N703" i="11"/>
  <c r="I701" i="11"/>
  <c r="N701" i="11"/>
  <c r="I699" i="11"/>
  <c r="N699" i="11"/>
  <c r="I697" i="11"/>
  <c r="J697" i="11" s="1"/>
  <c r="T697" i="11" s="1"/>
  <c r="N697" i="11"/>
  <c r="I695" i="11"/>
  <c r="N695" i="11"/>
  <c r="I693" i="11"/>
  <c r="N693" i="11"/>
  <c r="I691" i="11"/>
  <c r="N691" i="11"/>
  <c r="I689" i="11"/>
  <c r="N689" i="11"/>
  <c r="I687" i="11"/>
  <c r="N687" i="11"/>
  <c r="I685" i="11"/>
  <c r="N685" i="11"/>
  <c r="I683" i="11"/>
  <c r="N683" i="11"/>
  <c r="I681" i="11"/>
  <c r="J681" i="11" s="1"/>
  <c r="T681" i="11" s="1"/>
  <c r="N681" i="11"/>
  <c r="I679" i="11"/>
  <c r="N679" i="11"/>
  <c r="I677" i="11"/>
  <c r="N677" i="11"/>
  <c r="I675" i="11"/>
  <c r="N675" i="11"/>
  <c r="I673" i="11"/>
  <c r="J673" i="11" s="1"/>
  <c r="T673" i="11" s="1"/>
  <c r="N673" i="11"/>
  <c r="I671" i="11"/>
  <c r="N671" i="11"/>
  <c r="I669" i="11"/>
  <c r="N669" i="11"/>
  <c r="I667" i="11"/>
  <c r="N667" i="11"/>
  <c r="I665" i="11"/>
  <c r="N665" i="11"/>
  <c r="I663" i="11"/>
  <c r="N663" i="11"/>
  <c r="I661" i="11"/>
  <c r="N661" i="11"/>
  <c r="I659" i="11"/>
  <c r="N659" i="11"/>
  <c r="I657" i="11"/>
  <c r="J657" i="11" s="1"/>
  <c r="T657" i="11" s="1"/>
  <c r="N657" i="11"/>
  <c r="I655" i="11"/>
  <c r="N655" i="11"/>
  <c r="I653" i="11"/>
  <c r="N653" i="11"/>
  <c r="I651" i="11"/>
  <c r="N651" i="11"/>
  <c r="I649" i="11"/>
  <c r="J649" i="11" s="1"/>
  <c r="T649" i="11" s="1"/>
  <c r="N649" i="11"/>
  <c r="I647" i="11"/>
  <c r="N647" i="11"/>
  <c r="I645" i="11"/>
  <c r="N645" i="11"/>
  <c r="I643" i="11"/>
  <c r="N643" i="11"/>
  <c r="I641" i="11"/>
  <c r="N641" i="11"/>
  <c r="I639" i="11"/>
  <c r="N639" i="11"/>
  <c r="I637" i="11"/>
  <c r="N637" i="11"/>
  <c r="I635" i="11"/>
  <c r="N635" i="11"/>
  <c r="I633" i="11"/>
  <c r="J633" i="11" s="1"/>
  <c r="T633" i="11" s="1"/>
  <c r="N633" i="11"/>
  <c r="I631" i="11"/>
  <c r="N631" i="11"/>
  <c r="I629" i="11"/>
  <c r="N629" i="11"/>
  <c r="I627" i="11"/>
  <c r="N627" i="11"/>
  <c r="I625" i="11"/>
  <c r="J625" i="11" s="1"/>
  <c r="T625" i="11" s="1"/>
  <c r="N625" i="11"/>
  <c r="I623" i="11"/>
  <c r="N623" i="11"/>
  <c r="I621" i="11"/>
  <c r="N621" i="11"/>
  <c r="I619" i="11"/>
  <c r="N619" i="11"/>
  <c r="I617" i="11"/>
  <c r="N617" i="11"/>
  <c r="I615" i="11"/>
  <c r="N615" i="11"/>
  <c r="I613" i="11"/>
  <c r="N613" i="11"/>
  <c r="I611" i="11"/>
  <c r="N611" i="11"/>
  <c r="I609" i="11"/>
  <c r="J609" i="11" s="1"/>
  <c r="T609" i="11" s="1"/>
  <c r="N609" i="11"/>
  <c r="I607" i="11"/>
  <c r="N607" i="11"/>
  <c r="I605" i="11"/>
  <c r="N605" i="11"/>
  <c r="I603" i="11"/>
  <c r="N603" i="11"/>
  <c r="I601" i="11"/>
  <c r="J601" i="11" s="1"/>
  <c r="T601" i="11" s="1"/>
  <c r="N601" i="11"/>
  <c r="I599" i="11"/>
  <c r="N599" i="11"/>
  <c r="I597" i="11"/>
  <c r="N597" i="11"/>
  <c r="I595" i="11"/>
  <c r="N595" i="11"/>
  <c r="I593" i="11"/>
  <c r="N593" i="11"/>
  <c r="I591" i="11"/>
  <c r="N591" i="11"/>
  <c r="I589" i="11"/>
  <c r="N589" i="11"/>
  <c r="I587" i="11"/>
  <c r="N587" i="11"/>
  <c r="I585" i="11"/>
  <c r="J585" i="11" s="1"/>
  <c r="T585" i="11" s="1"/>
  <c r="N585" i="11"/>
  <c r="I583" i="11"/>
  <c r="N583" i="11"/>
  <c r="I581" i="11"/>
  <c r="N581" i="11"/>
  <c r="I579" i="11"/>
  <c r="N579" i="11"/>
  <c r="I577" i="11"/>
  <c r="J577" i="11" s="1"/>
  <c r="T577" i="11" s="1"/>
  <c r="N577" i="11"/>
  <c r="I575" i="11"/>
  <c r="N575" i="11"/>
  <c r="I573" i="11"/>
  <c r="N573" i="11"/>
  <c r="I571" i="11"/>
  <c r="N571" i="11"/>
  <c r="I569" i="11"/>
  <c r="N569" i="11"/>
  <c r="I567" i="11"/>
  <c r="N567" i="11"/>
  <c r="I565" i="11"/>
  <c r="N565" i="11"/>
  <c r="I563" i="11"/>
  <c r="N563" i="11"/>
  <c r="I561" i="11"/>
  <c r="J561" i="11" s="1"/>
  <c r="T561" i="11" s="1"/>
  <c r="N561" i="11"/>
  <c r="I559" i="11"/>
  <c r="N559" i="11"/>
  <c r="I557" i="11"/>
  <c r="N557" i="11"/>
  <c r="I555" i="11"/>
  <c r="N555" i="11"/>
  <c r="I553" i="11"/>
  <c r="J553" i="11" s="1"/>
  <c r="T553" i="11" s="1"/>
  <c r="N553" i="11"/>
  <c r="I551" i="11"/>
  <c r="N551" i="11"/>
  <c r="I549" i="11"/>
  <c r="N549" i="11"/>
  <c r="I547" i="11"/>
  <c r="N547" i="11"/>
  <c r="I545" i="11"/>
  <c r="N545" i="11"/>
  <c r="I543" i="11"/>
  <c r="N543" i="11"/>
  <c r="I541" i="11"/>
  <c r="N541" i="11"/>
  <c r="I539" i="11"/>
  <c r="N539" i="11"/>
  <c r="I537" i="11"/>
  <c r="J537" i="11" s="1"/>
  <c r="T537" i="11" s="1"/>
  <c r="N537" i="11"/>
  <c r="I535" i="11"/>
  <c r="N535" i="11"/>
  <c r="I533" i="11"/>
  <c r="N533" i="11"/>
  <c r="I531" i="11"/>
  <c r="N531" i="11"/>
  <c r="I529" i="11"/>
  <c r="J529" i="11" s="1"/>
  <c r="T529" i="11" s="1"/>
  <c r="N529" i="11"/>
  <c r="I527" i="11"/>
  <c r="N527" i="11"/>
  <c r="I525" i="11"/>
  <c r="N525" i="11"/>
  <c r="I523" i="11"/>
  <c r="N523" i="11"/>
  <c r="I521" i="11"/>
  <c r="N521" i="11"/>
  <c r="I519" i="11"/>
  <c r="N519" i="11"/>
  <c r="I517" i="11"/>
  <c r="N517" i="11"/>
  <c r="I515" i="11"/>
  <c r="N515" i="11"/>
  <c r="I513" i="11"/>
  <c r="J513" i="11" s="1"/>
  <c r="T513" i="11" s="1"/>
  <c r="N513" i="11"/>
  <c r="I511" i="11"/>
  <c r="N511" i="11"/>
  <c r="I509" i="11"/>
  <c r="N509" i="11"/>
  <c r="I507" i="11"/>
  <c r="N507" i="11"/>
  <c r="I505" i="11"/>
  <c r="J505" i="11" s="1"/>
  <c r="T505" i="11" s="1"/>
  <c r="N505" i="11"/>
  <c r="I503" i="11"/>
  <c r="N503" i="11"/>
  <c r="I501" i="11"/>
  <c r="J501" i="11" s="1"/>
  <c r="T501" i="11" s="1"/>
  <c r="N501" i="11"/>
  <c r="I499" i="11"/>
  <c r="N499" i="11"/>
  <c r="I497" i="11"/>
  <c r="N497" i="11"/>
  <c r="I495" i="11"/>
  <c r="N495" i="11"/>
  <c r="I493" i="11"/>
  <c r="J493" i="11" s="1"/>
  <c r="T493" i="11" s="1"/>
  <c r="N493" i="11"/>
  <c r="I491" i="11"/>
  <c r="N491" i="11"/>
  <c r="I489" i="11"/>
  <c r="J489" i="11" s="1"/>
  <c r="T489" i="11" s="1"/>
  <c r="N489" i="11"/>
  <c r="I487" i="11"/>
  <c r="N487" i="11"/>
  <c r="I485" i="11"/>
  <c r="N485" i="11"/>
  <c r="I483" i="11"/>
  <c r="N483" i="11"/>
  <c r="I481" i="11"/>
  <c r="J481" i="11" s="1"/>
  <c r="T481" i="11" s="1"/>
  <c r="N481" i="11"/>
  <c r="I479" i="11"/>
  <c r="N479" i="11"/>
  <c r="I477" i="11"/>
  <c r="J477" i="11" s="1"/>
  <c r="T477" i="11" s="1"/>
  <c r="N477" i="11"/>
  <c r="I475" i="11"/>
  <c r="N475" i="11"/>
  <c r="I473" i="11"/>
  <c r="N473" i="11"/>
  <c r="I471" i="11"/>
  <c r="N471" i="11"/>
  <c r="I469" i="11"/>
  <c r="J469" i="11" s="1"/>
  <c r="T469" i="11" s="1"/>
  <c r="N469" i="11"/>
  <c r="I467" i="11"/>
  <c r="N467" i="11"/>
  <c r="I465" i="11"/>
  <c r="J465" i="11" s="1"/>
  <c r="T465" i="11" s="1"/>
  <c r="N465" i="11"/>
  <c r="I463" i="11"/>
  <c r="N463" i="11"/>
  <c r="I461" i="11"/>
  <c r="N461" i="11"/>
  <c r="I459" i="11"/>
  <c r="N459" i="11"/>
  <c r="I457" i="11"/>
  <c r="J457" i="11" s="1"/>
  <c r="T457" i="11" s="1"/>
  <c r="N457" i="11"/>
  <c r="I455" i="11"/>
  <c r="N455" i="11"/>
  <c r="I453" i="11"/>
  <c r="J453" i="11" s="1"/>
  <c r="T453" i="11" s="1"/>
  <c r="N453" i="11"/>
  <c r="I451" i="11"/>
  <c r="N451" i="11"/>
  <c r="I449" i="11"/>
  <c r="N449" i="11"/>
  <c r="I447" i="11"/>
  <c r="N447" i="11"/>
  <c r="I445" i="11"/>
  <c r="J445" i="11" s="1"/>
  <c r="T445" i="11" s="1"/>
  <c r="N445" i="11"/>
  <c r="I443" i="11"/>
  <c r="N443" i="11"/>
  <c r="I441" i="11"/>
  <c r="J441" i="11" s="1"/>
  <c r="T441" i="11" s="1"/>
  <c r="N441" i="11"/>
  <c r="I439" i="11"/>
  <c r="N439" i="11"/>
  <c r="I437" i="11"/>
  <c r="N437" i="11"/>
  <c r="I435" i="11"/>
  <c r="N435" i="11"/>
  <c r="I433" i="11"/>
  <c r="J433" i="11" s="1"/>
  <c r="T433" i="11" s="1"/>
  <c r="N433" i="11"/>
  <c r="I431" i="11"/>
  <c r="N431" i="11"/>
  <c r="I429" i="11"/>
  <c r="J429" i="11" s="1"/>
  <c r="T429" i="11" s="1"/>
  <c r="N429" i="11"/>
  <c r="I427" i="11"/>
  <c r="N427" i="11"/>
  <c r="I425" i="11"/>
  <c r="N425" i="11"/>
  <c r="I423" i="11"/>
  <c r="N423" i="11"/>
  <c r="I421" i="11"/>
  <c r="J421" i="11" s="1"/>
  <c r="T421" i="11" s="1"/>
  <c r="N421" i="11"/>
  <c r="I419" i="11"/>
  <c r="N419" i="11"/>
  <c r="I417" i="11"/>
  <c r="J417" i="11" s="1"/>
  <c r="T417" i="11" s="1"/>
  <c r="N417" i="11"/>
  <c r="I415" i="11"/>
  <c r="N415" i="11"/>
  <c r="I413" i="11"/>
  <c r="N413" i="11"/>
  <c r="I411" i="11"/>
  <c r="N411" i="11"/>
  <c r="I409" i="11"/>
  <c r="J409" i="11" s="1"/>
  <c r="T409" i="11" s="1"/>
  <c r="N409" i="11"/>
  <c r="I407" i="11"/>
  <c r="N407" i="11"/>
  <c r="I405" i="11"/>
  <c r="J405" i="11" s="1"/>
  <c r="T405" i="11" s="1"/>
  <c r="N405" i="11"/>
  <c r="I403" i="11"/>
  <c r="N403" i="11"/>
  <c r="I401" i="11"/>
  <c r="N401" i="11"/>
  <c r="I399" i="11"/>
  <c r="N399" i="11"/>
  <c r="I397" i="11"/>
  <c r="J397" i="11" s="1"/>
  <c r="T397" i="11" s="1"/>
  <c r="N397" i="11"/>
  <c r="I395" i="11"/>
  <c r="N395" i="11"/>
  <c r="I393" i="11"/>
  <c r="J393" i="11" s="1"/>
  <c r="T393" i="11" s="1"/>
  <c r="N393" i="11"/>
  <c r="I391" i="11"/>
  <c r="N391" i="11"/>
  <c r="I389" i="11"/>
  <c r="N389" i="11"/>
  <c r="I387" i="11"/>
  <c r="N387" i="11"/>
  <c r="I385" i="11"/>
  <c r="J385" i="11" s="1"/>
  <c r="T385" i="11" s="1"/>
  <c r="N385" i="11"/>
  <c r="I383" i="11"/>
  <c r="N383" i="11"/>
  <c r="I381" i="11"/>
  <c r="J381" i="11" s="1"/>
  <c r="T381" i="11" s="1"/>
  <c r="N381" i="11"/>
  <c r="I379" i="11"/>
  <c r="N379" i="11"/>
  <c r="I377" i="11"/>
  <c r="N377" i="11"/>
  <c r="I375" i="11"/>
  <c r="N375" i="11"/>
  <c r="I373" i="11"/>
  <c r="J373" i="11" s="1"/>
  <c r="T373" i="11" s="1"/>
  <c r="N373" i="11"/>
  <c r="I371" i="11"/>
  <c r="N371" i="11"/>
  <c r="I369" i="11"/>
  <c r="J369" i="11" s="1"/>
  <c r="T369" i="11" s="1"/>
  <c r="N369" i="11"/>
  <c r="I367" i="11"/>
  <c r="N367" i="11"/>
  <c r="I365" i="11"/>
  <c r="N365" i="11"/>
  <c r="I363" i="11"/>
  <c r="N363" i="11"/>
  <c r="I361" i="11"/>
  <c r="J361" i="11" s="1"/>
  <c r="T361" i="11" s="1"/>
  <c r="N361" i="11"/>
  <c r="I359" i="11"/>
  <c r="N359" i="11"/>
  <c r="I357" i="11"/>
  <c r="J357" i="11" s="1"/>
  <c r="T357" i="11" s="1"/>
  <c r="N357" i="11"/>
  <c r="I355" i="11"/>
  <c r="N355" i="11"/>
  <c r="I353" i="11"/>
  <c r="N353" i="11"/>
  <c r="I351" i="11"/>
  <c r="N351" i="11"/>
  <c r="I349" i="11"/>
  <c r="J349" i="11" s="1"/>
  <c r="T349" i="11" s="1"/>
  <c r="N349" i="11"/>
  <c r="I347" i="11"/>
  <c r="N347" i="11"/>
  <c r="I345" i="11"/>
  <c r="J345" i="11" s="1"/>
  <c r="T345" i="11" s="1"/>
  <c r="N345" i="11"/>
  <c r="I343" i="11"/>
  <c r="N343" i="11"/>
  <c r="I341" i="11"/>
  <c r="N341" i="11"/>
  <c r="I339" i="11"/>
  <c r="N339" i="11"/>
  <c r="I337" i="11"/>
  <c r="J337" i="11" s="1"/>
  <c r="T337" i="11" s="1"/>
  <c r="N337" i="11"/>
  <c r="I335" i="11"/>
  <c r="N335" i="11"/>
  <c r="I333" i="11"/>
  <c r="J333" i="11" s="1"/>
  <c r="T333" i="11" s="1"/>
  <c r="N333" i="11"/>
  <c r="I331" i="11"/>
  <c r="N331" i="11"/>
  <c r="I329" i="11"/>
  <c r="N329" i="11"/>
  <c r="I327" i="11"/>
  <c r="N327" i="11"/>
  <c r="I325" i="11"/>
  <c r="J325" i="11" s="1"/>
  <c r="T325" i="11" s="1"/>
  <c r="N325" i="11"/>
  <c r="I323" i="11"/>
  <c r="N323" i="11"/>
  <c r="I321" i="11"/>
  <c r="J321" i="11" s="1"/>
  <c r="T321" i="11" s="1"/>
  <c r="N321" i="11"/>
  <c r="I319" i="11"/>
  <c r="N319" i="11"/>
  <c r="I317" i="11"/>
  <c r="N317" i="11"/>
  <c r="I315" i="11"/>
  <c r="N315" i="11"/>
  <c r="I313" i="11"/>
  <c r="J313" i="11" s="1"/>
  <c r="T313" i="11" s="1"/>
  <c r="N313" i="11"/>
  <c r="I311" i="11"/>
  <c r="N311" i="11"/>
  <c r="I309" i="11"/>
  <c r="J309" i="11" s="1"/>
  <c r="T309" i="11" s="1"/>
  <c r="N309" i="11"/>
  <c r="I307" i="11"/>
  <c r="N307" i="11"/>
  <c r="I305" i="11"/>
  <c r="N305" i="11"/>
  <c r="I303" i="11"/>
  <c r="N303" i="11"/>
  <c r="I301" i="11"/>
  <c r="J301" i="11" s="1"/>
  <c r="T301" i="11" s="1"/>
  <c r="N301" i="11"/>
  <c r="I299" i="11"/>
  <c r="N299" i="11"/>
  <c r="I297" i="11"/>
  <c r="J297" i="11" s="1"/>
  <c r="T297" i="11" s="1"/>
  <c r="N297" i="11"/>
  <c r="I295" i="11"/>
  <c r="N295" i="11"/>
  <c r="I293" i="11"/>
  <c r="N293" i="11"/>
  <c r="I291" i="11"/>
  <c r="N291" i="11"/>
  <c r="I289" i="11"/>
  <c r="J289" i="11" s="1"/>
  <c r="T289" i="11" s="1"/>
  <c r="N289" i="11"/>
  <c r="I287" i="11"/>
  <c r="N287" i="11"/>
  <c r="I285" i="11"/>
  <c r="J285" i="11" s="1"/>
  <c r="T285" i="11" s="1"/>
  <c r="N285" i="11"/>
  <c r="I283" i="11"/>
  <c r="N283" i="11"/>
  <c r="I281" i="11"/>
  <c r="N281" i="11"/>
  <c r="I279" i="11"/>
  <c r="N279" i="11"/>
  <c r="I277" i="11"/>
  <c r="J277" i="11" s="1"/>
  <c r="T277" i="11" s="1"/>
  <c r="N277" i="11"/>
  <c r="I275" i="11"/>
  <c r="N275" i="11"/>
  <c r="I273" i="11"/>
  <c r="J273" i="11" s="1"/>
  <c r="T273" i="11" s="1"/>
  <c r="N273" i="11"/>
  <c r="I271" i="11"/>
  <c r="N271" i="11"/>
  <c r="I269" i="11"/>
  <c r="N269" i="11"/>
  <c r="I267" i="11"/>
  <c r="N267" i="11"/>
  <c r="I265" i="11"/>
  <c r="J265" i="11" s="1"/>
  <c r="T265" i="11" s="1"/>
  <c r="N265" i="11"/>
  <c r="I263" i="11"/>
  <c r="N263" i="11"/>
  <c r="I261" i="11"/>
  <c r="J261" i="11" s="1"/>
  <c r="T261" i="11" s="1"/>
  <c r="N261" i="11"/>
  <c r="I259" i="11"/>
  <c r="N259" i="11"/>
  <c r="I257" i="11"/>
  <c r="N257" i="11"/>
  <c r="I255" i="11"/>
  <c r="N255" i="11"/>
  <c r="I253" i="11"/>
  <c r="J253" i="11" s="1"/>
  <c r="T253" i="11" s="1"/>
  <c r="N253" i="11"/>
  <c r="I251" i="11"/>
  <c r="N251" i="11"/>
  <c r="I249" i="11"/>
  <c r="J249" i="11" s="1"/>
  <c r="T249" i="11" s="1"/>
  <c r="N249" i="11"/>
  <c r="I247" i="11"/>
  <c r="N247" i="11"/>
  <c r="I245" i="11"/>
  <c r="N245" i="11"/>
  <c r="I243" i="11"/>
  <c r="N243" i="11"/>
  <c r="I241" i="11"/>
  <c r="J241" i="11" s="1"/>
  <c r="T241" i="11" s="1"/>
  <c r="N241" i="11"/>
  <c r="I239" i="11"/>
  <c r="N239" i="11"/>
  <c r="I237" i="11"/>
  <c r="J237" i="11" s="1"/>
  <c r="T237" i="11" s="1"/>
  <c r="N237" i="11"/>
  <c r="I235" i="11"/>
  <c r="N235" i="11"/>
  <c r="I233" i="11"/>
  <c r="N233" i="11"/>
  <c r="I231" i="11"/>
  <c r="N231" i="11"/>
  <c r="I229" i="11"/>
  <c r="J229" i="11" s="1"/>
  <c r="T229" i="11" s="1"/>
  <c r="N229" i="11"/>
  <c r="I227" i="11"/>
  <c r="N227" i="11"/>
  <c r="I225" i="11"/>
  <c r="J225" i="11" s="1"/>
  <c r="T225" i="11" s="1"/>
  <c r="N225" i="11"/>
  <c r="I223" i="11"/>
  <c r="N223" i="11"/>
  <c r="I221" i="11"/>
  <c r="N221" i="11"/>
  <c r="I219" i="11"/>
  <c r="N219" i="11"/>
  <c r="I217" i="11"/>
  <c r="J217" i="11" s="1"/>
  <c r="T217" i="11" s="1"/>
  <c r="N217" i="11"/>
  <c r="I215" i="11"/>
  <c r="N215" i="11"/>
  <c r="I213" i="11"/>
  <c r="J213" i="11" s="1"/>
  <c r="T213" i="11" s="1"/>
  <c r="N213" i="11"/>
  <c r="I211" i="11"/>
  <c r="N211" i="11"/>
  <c r="I209" i="11"/>
  <c r="N209" i="11"/>
  <c r="I207" i="11"/>
  <c r="N207" i="11"/>
  <c r="I205" i="11"/>
  <c r="J205" i="11" s="1"/>
  <c r="T205" i="11" s="1"/>
  <c r="N205" i="11"/>
  <c r="I203" i="11"/>
  <c r="N203" i="11"/>
  <c r="I201" i="11"/>
  <c r="J201" i="11" s="1"/>
  <c r="T201" i="11" s="1"/>
  <c r="N201" i="11"/>
  <c r="I199" i="11"/>
  <c r="N199" i="11"/>
  <c r="I197" i="11"/>
  <c r="N197" i="11"/>
  <c r="I195" i="11"/>
  <c r="N195" i="11"/>
  <c r="I193" i="11"/>
  <c r="J193" i="11" s="1"/>
  <c r="T193" i="11" s="1"/>
  <c r="N193" i="11"/>
  <c r="I191" i="11"/>
  <c r="N191" i="11"/>
  <c r="I189" i="11"/>
  <c r="J189" i="11" s="1"/>
  <c r="T189" i="11" s="1"/>
  <c r="N189" i="11"/>
  <c r="I187" i="11"/>
  <c r="N187" i="11"/>
  <c r="I185" i="11"/>
  <c r="N185" i="11"/>
  <c r="I183" i="11"/>
  <c r="N183" i="11"/>
  <c r="I181" i="11"/>
  <c r="J181" i="11" s="1"/>
  <c r="T181" i="11" s="1"/>
  <c r="N181" i="11"/>
  <c r="I179" i="11"/>
  <c r="N179" i="11"/>
  <c r="I177" i="11"/>
  <c r="J177" i="11" s="1"/>
  <c r="T177" i="11" s="1"/>
  <c r="N177" i="11"/>
  <c r="I175" i="11"/>
  <c r="N175" i="11"/>
  <c r="I173" i="11"/>
  <c r="N173" i="11"/>
  <c r="I171" i="11"/>
  <c r="N171" i="11"/>
  <c r="I169" i="11"/>
  <c r="J169" i="11" s="1"/>
  <c r="T169" i="11" s="1"/>
  <c r="N169" i="11"/>
  <c r="I167" i="11"/>
  <c r="N167" i="11"/>
  <c r="I165" i="11"/>
  <c r="J165" i="11" s="1"/>
  <c r="T165" i="11" s="1"/>
  <c r="N165" i="11"/>
  <c r="I163" i="11"/>
  <c r="N163" i="11"/>
  <c r="I161" i="11"/>
  <c r="N161" i="11"/>
  <c r="I159" i="11"/>
  <c r="N159" i="11"/>
  <c r="I157" i="11"/>
  <c r="J157" i="11" s="1"/>
  <c r="T157" i="11" s="1"/>
  <c r="N157" i="11"/>
  <c r="I155" i="11"/>
  <c r="N155" i="11"/>
  <c r="I153" i="11"/>
  <c r="J153" i="11" s="1"/>
  <c r="T153" i="11" s="1"/>
  <c r="N153" i="11"/>
  <c r="I151" i="11"/>
  <c r="N151" i="11"/>
  <c r="I149" i="11"/>
  <c r="N149" i="11"/>
  <c r="I147" i="11"/>
  <c r="N147" i="11"/>
  <c r="I145" i="11"/>
  <c r="J145" i="11" s="1"/>
  <c r="T145" i="11" s="1"/>
  <c r="N145" i="11"/>
  <c r="I143" i="11"/>
  <c r="N143" i="11"/>
  <c r="I141" i="11"/>
  <c r="J141" i="11" s="1"/>
  <c r="T141" i="11" s="1"/>
  <c r="N141" i="11"/>
  <c r="I139" i="11"/>
  <c r="N139" i="11"/>
  <c r="I137" i="11"/>
  <c r="N137" i="11"/>
  <c r="I135" i="11"/>
  <c r="N135" i="11"/>
  <c r="I133" i="11"/>
  <c r="J133" i="11" s="1"/>
  <c r="T133" i="11" s="1"/>
  <c r="N133" i="11"/>
  <c r="I131" i="11"/>
  <c r="N131" i="11"/>
  <c r="I129" i="11"/>
  <c r="J129" i="11" s="1"/>
  <c r="T129" i="11" s="1"/>
  <c r="N129" i="11"/>
  <c r="I127" i="11"/>
  <c r="N127" i="11"/>
  <c r="I125" i="11"/>
  <c r="N125" i="11"/>
  <c r="I123" i="11"/>
  <c r="N123" i="11"/>
  <c r="I121" i="11"/>
  <c r="J121" i="11" s="1"/>
  <c r="T121" i="11" s="1"/>
  <c r="N121" i="11"/>
  <c r="I119" i="11"/>
  <c r="N119" i="11"/>
  <c r="I117" i="11"/>
  <c r="J117" i="11" s="1"/>
  <c r="T117" i="11" s="1"/>
  <c r="N117" i="11"/>
  <c r="I115" i="11"/>
  <c r="N115" i="11"/>
  <c r="I113" i="11"/>
  <c r="N113" i="11"/>
  <c r="I111" i="11"/>
  <c r="N111" i="11"/>
  <c r="I109" i="11"/>
  <c r="J109" i="11" s="1"/>
  <c r="T109" i="11" s="1"/>
  <c r="N109" i="11"/>
  <c r="I107" i="11"/>
  <c r="N107" i="11"/>
  <c r="I105" i="11"/>
  <c r="J105" i="11" s="1"/>
  <c r="T105" i="11" s="1"/>
  <c r="N105" i="11"/>
  <c r="I103" i="11"/>
  <c r="N103" i="11"/>
  <c r="I101" i="11"/>
  <c r="N101" i="11"/>
  <c r="I99" i="11"/>
  <c r="N99" i="11"/>
  <c r="I97" i="11"/>
  <c r="J97" i="11" s="1"/>
  <c r="T97" i="11" s="1"/>
  <c r="N97" i="11"/>
  <c r="I95" i="11"/>
  <c r="N95" i="11"/>
  <c r="I93" i="11"/>
  <c r="J93" i="11" s="1"/>
  <c r="T93" i="11" s="1"/>
  <c r="N93" i="11"/>
  <c r="I91" i="11"/>
  <c r="N91" i="11"/>
  <c r="I89" i="11"/>
  <c r="N89" i="11"/>
  <c r="I87" i="11"/>
  <c r="N87" i="11"/>
  <c r="I85" i="11"/>
  <c r="J85" i="11" s="1"/>
  <c r="T85" i="11" s="1"/>
  <c r="N85" i="11"/>
  <c r="I83" i="11"/>
  <c r="N83" i="11"/>
  <c r="I81" i="11"/>
  <c r="J81" i="11" s="1"/>
  <c r="T81" i="11" s="1"/>
  <c r="N81" i="11"/>
  <c r="I79" i="11"/>
  <c r="N79" i="11"/>
  <c r="I77" i="11"/>
  <c r="N77" i="11"/>
  <c r="I75" i="11"/>
  <c r="N75" i="11"/>
  <c r="I73" i="11"/>
  <c r="J73" i="11" s="1"/>
  <c r="T73" i="11" s="1"/>
  <c r="N73" i="11"/>
  <c r="I71" i="11"/>
  <c r="N71" i="11"/>
  <c r="I69" i="11"/>
  <c r="J69" i="11" s="1"/>
  <c r="T69" i="11" s="1"/>
  <c r="N69" i="11"/>
  <c r="I67" i="11"/>
  <c r="N67" i="11"/>
  <c r="I65" i="11"/>
  <c r="N65" i="11"/>
  <c r="I63" i="11"/>
  <c r="N63" i="11"/>
  <c r="I61" i="11"/>
  <c r="J61" i="11" s="1"/>
  <c r="T61" i="11" s="1"/>
  <c r="N61" i="11"/>
  <c r="I59" i="11"/>
  <c r="N59" i="11"/>
  <c r="I57" i="11"/>
  <c r="J57" i="11" s="1"/>
  <c r="T57" i="11" s="1"/>
  <c r="N57" i="11"/>
  <c r="I55" i="11"/>
  <c r="N55" i="11"/>
  <c r="I53" i="11"/>
  <c r="N53" i="11"/>
  <c r="I51" i="11"/>
  <c r="N51" i="11"/>
  <c r="I49" i="11"/>
  <c r="J49" i="11" s="1"/>
  <c r="T49" i="11" s="1"/>
  <c r="N49" i="11"/>
  <c r="I47" i="11"/>
  <c r="N47" i="11"/>
  <c r="I45" i="11"/>
  <c r="J45" i="11" s="1"/>
  <c r="T45" i="11" s="1"/>
  <c r="N45" i="11"/>
  <c r="I43" i="11"/>
  <c r="N43" i="11"/>
  <c r="I41" i="11"/>
  <c r="N41" i="11"/>
  <c r="I39" i="11"/>
  <c r="N39" i="11"/>
  <c r="I37" i="11"/>
  <c r="J37" i="11" s="1"/>
  <c r="T37" i="11" s="1"/>
  <c r="N37" i="11"/>
  <c r="I35" i="11"/>
  <c r="N35" i="11"/>
  <c r="I33" i="11"/>
  <c r="J33" i="11" s="1"/>
  <c r="T33" i="11" s="1"/>
  <c r="N33" i="11"/>
  <c r="I31" i="11"/>
  <c r="N31" i="11"/>
  <c r="I29" i="11"/>
  <c r="N29" i="11"/>
  <c r="I27" i="11"/>
  <c r="N27" i="11"/>
  <c r="I25" i="11"/>
  <c r="J25" i="11" s="1"/>
  <c r="T25" i="11" s="1"/>
  <c r="N25" i="11"/>
  <c r="I23" i="11"/>
  <c r="N23" i="11"/>
  <c r="I21" i="11"/>
  <c r="J21" i="11" s="1"/>
  <c r="T21" i="11" s="1"/>
  <c r="N21" i="11"/>
  <c r="I19" i="11"/>
  <c r="N19" i="11"/>
  <c r="I17" i="11"/>
  <c r="N17" i="11"/>
  <c r="N6186" i="11"/>
  <c r="N6182" i="11"/>
  <c r="N6178" i="11"/>
  <c r="N6174" i="11"/>
  <c r="N6170" i="11"/>
  <c r="N6166" i="11"/>
  <c r="N6162" i="11"/>
  <c r="N6158" i="11"/>
  <c r="N6154" i="11"/>
  <c r="N6150" i="11"/>
  <c r="N6146" i="11"/>
  <c r="N6142" i="11"/>
  <c r="N6138" i="11"/>
  <c r="N6134" i="11"/>
  <c r="N6130" i="11"/>
  <c r="N6126" i="11"/>
  <c r="N6122" i="11"/>
  <c r="N6118" i="11"/>
  <c r="N6114" i="11"/>
  <c r="N6110" i="11"/>
  <c r="N6106" i="11"/>
  <c r="N6102" i="11"/>
  <c r="N6098" i="11"/>
  <c r="N6094" i="11"/>
  <c r="N6090" i="11"/>
  <c r="N6086" i="11"/>
  <c r="N6082" i="11"/>
  <c r="N6078" i="11"/>
  <c r="N6074" i="11"/>
  <c r="N6070" i="11"/>
  <c r="N6066" i="11"/>
  <c r="N6062" i="11"/>
  <c r="N6058" i="11"/>
  <c r="N6054" i="11"/>
  <c r="N6050" i="11"/>
  <c r="N6046" i="11"/>
  <c r="N6042" i="11"/>
  <c r="N6038" i="11"/>
  <c r="N6034" i="11"/>
  <c r="N6030" i="11"/>
  <c r="N6026" i="11"/>
  <c r="N6022" i="11"/>
  <c r="N6018" i="11"/>
  <c r="N6014" i="11"/>
  <c r="N6010" i="11"/>
  <c r="N6006" i="11"/>
  <c r="N6002" i="11"/>
  <c r="N5998" i="11"/>
  <c r="N5994" i="11"/>
  <c r="N5990" i="11"/>
  <c r="N5986" i="11"/>
  <c r="N5982" i="11"/>
  <c r="N5978" i="11"/>
  <c r="N5974" i="11"/>
  <c r="N5970" i="11"/>
  <c r="N5966" i="11"/>
  <c r="N5962" i="11"/>
  <c r="N5958" i="11"/>
  <c r="N5954" i="11"/>
  <c r="N5950" i="11"/>
  <c r="N5946" i="11"/>
  <c r="N5942" i="11"/>
  <c r="N5938" i="11"/>
  <c r="N5934" i="11"/>
  <c r="N5930" i="11"/>
  <c r="N5926" i="11"/>
  <c r="N5922" i="11"/>
  <c r="N5918" i="11"/>
  <c r="N5914" i="11"/>
  <c r="N5910" i="11"/>
  <c r="N5906" i="11"/>
  <c r="N5902" i="11"/>
  <c r="N5898" i="11"/>
  <c r="N5894" i="11"/>
  <c r="N5890" i="11"/>
  <c r="N5886" i="11"/>
  <c r="N5882" i="11"/>
  <c r="N5878" i="11"/>
  <c r="N5874" i="11"/>
  <c r="N5870" i="11"/>
  <c r="N5866" i="11"/>
  <c r="N5862" i="11"/>
  <c r="N5858" i="11"/>
  <c r="N5854" i="11"/>
  <c r="N5850" i="11"/>
  <c r="N5846" i="11"/>
  <c r="N5842" i="11"/>
  <c r="N5838" i="11"/>
  <c r="N5834" i="11"/>
  <c r="N5830" i="11"/>
  <c r="N5826" i="11"/>
  <c r="N5822" i="11"/>
  <c r="N5818" i="11"/>
  <c r="N5814" i="11"/>
  <c r="N5810" i="11"/>
  <c r="N5806" i="11"/>
  <c r="N5802" i="11"/>
  <c r="N5798" i="11"/>
  <c r="N5794" i="11"/>
  <c r="N5790" i="11"/>
  <c r="N5786" i="11"/>
  <c r="N5782" i="11"/>
  <c r="N5778" i="11"/>
  <c r="N5774" i="11"/>
  <c r="N5770" i="11"/>
  <c r="N5766" i="11"/>
  <c r="N5762" i="11"/>
  <c r="N5758" i="11"/>
  <c r="N5754" i="11"/>
  <c r="N5750" i="11"/>
  <c r="N5746" i="11"/>
  <c r="N5742" i="11"/>
  <c r="N5738" i="11"/>
  <c r="N5734" i="11"/>
  <c r="N5730" i="11"/>
  <c r="N5726" i="11"/>
  <c r="N5722" i="11"/>
  <c r="N5718" i="11"/>
  <c r="N5714" i="11"/>
  <c r="N5710" i="11"/>
  <c r="N5706" i="11"/>
  <c r="N5702" i="11"/>
  <c r="N5698" i="11"/>
  <c r="N5694" i="11"/>
  <c r="N5690" i="11"/>
  <c r="N5686" i="11"/>
  <c r="N5682" i="11"/>
  <c r="N5678" i="11"/>
  <c r="N5674" i="11"/>
  <c r="N5670" i="11"/>
  <c r="N5666" i="11"/>
  <c r="N5662" i="11"/>
  <c r="N5658" i="11"/>
  <c r="N5654" i="11"/>
  <c r="N5650" i="11"/>
  <c r="N5646" i="11"/>
  <c r="N5642" i="11"/>
  <c r="N5638" i="11"/>
  <c r="N5634" i="11"/>
  <c r="N5630" i="11"/>
  <c r="N5626" i="11"/>
  <c r="N5622" i="11"/>
  <c r="N5618" i="11"/>
  <c r="N5614" i="11"/>
  <c r="N5610" i="11"/>
  <c r="N5606" i="11"/>
  <c r="N5602" i="11"/>
  <c r="N5598" i="11"/>
  <c r="N5594" i="11"/>
  <c r="N5590" i="11"/>
  <c r="N5586" i="11"/>
  <c r="N5582" i="11"/>
  <c r="N5578" i="11"/>
  <c r="N5574" i="11"/>
  <c r="N5570" i="11"/>
  <c r="N5566" i="11"/>
  <c r="N5562" i="11"/>
  <c r="N5558" i="11"/>
  <c r="N5554" i="11"/>
  <c r="N5550" i="11"/>
  <c r="N5546" i="11"/>
  <c r="N5542" i="11"/>
  <c r="N5538" i="11"/>
  <c r="N5534" i="11"/>
  <c r="N5530" i="11"/>
  <c r="N5526" i="11"/>
  <c r="N5522" i="11"/>
  <c r="N5518" i="11"/>
  <c r="N5514" i="11"/>
  <c r="N5510" i="11"/>
  <c r="N5506" i="11"/>
  <c r="N5502" i="11"/>
  <c r="N5498" i="11"/>
  <c r="N5494" i="11"/>
  <c r="N5490" i="11"/>
  <c r="N5486" i="11"/>
  <c r="N5482" i="11"/>
  <c r="N5478" i="11"/>
  <c r="N5474" i="11"/>
  <c r="N5470" i="11"/>
  <c r="N5466" i="11"/>
  <c r="N5462" i="11"/>
  <c r="N5458" i="11"/>
  <c r="N5454" i="11"/>
  <c r="N5450" i="11"/>
  <c r="N5446" i="11"/>
  <c r="N5442" i="11"/>
  <c r="N5438" i="11"/>
  <c r="N5434" i="11"/>
  <c r="N5430" i="11"/>
  <c r="N5426" i="11"/>
  <c r="N5422" i="11"/>
  <c r="N5418" i="11"/>
  <c r="N5414" i="11"/>
  <c r="N5410" i="11"/>
  <c r="N5406" i="11"/>
  <c r="N5402" i="11"/>
  <c r="N5398" i="11"/>
  <c r="N5394" i="11"/>
  <c r="N5390" i="11"/>
  <c r="N5386" i="11"/>
  <c r="N5382" i="11"/>
  <c r="N5378" i="11"/>
  <c r="N5374" i="11"/>
  <c r="N5370" i="11"/>
  <c r="N5366" i="11"/>
  <c r="N5362" i="11"/>
  <c r="N5358" i="11"/>
  <c r="N5354" i="11"/>
  <c r="N5350" i="11"/>
  <c r="N5346" i="11"/>
  <c r="N5342" i="11"/>
  <c r="N5338" i="11"/>
  <c r="N5334" i="11"/>
  <c r="N5330" i="11"/>
  <c r="N5326" i="11"/>
  <c r="N5322" i="11"/>
  <c r="N5318" i="11"/>
  <c r="N5314" i="11"/>
  <c r="N5310" i="11"/>
  <c r="N5306" i="11"/>
  <c r="N5302" i="11"/>
  <c r="N5298" i="11"/>
  <c r="N5294" i="11"/>
  <c r="N5290" i="11"/>
  <c r="N5286" i="11"/>
  <c r="N5282" i="11"/>
  <c r="N5278" i="11"/>
  <c r="N5274" i="11"/>
  <c r="N5270" i="11"/>
  <c r="N5266" i="11"/>
  <c r="N5262" i="11"/>
  <c r="N5258" i="11"/>
  <c r="N5254" i="11"/>
  <c r="N5250" i="11"/>
  <c r="N5246" i="11"/>
  <c r="N5242" i="11"/>
  <c r="N5238" i="11"/>
  <c r="N5234" i="11"/>
  <c r="N5230" i="11"/>
  <c r="N5226" i="11"/>
  <c r="N5222" i="11"/>
  <c r="N5218" i="11"/>
  <c r="N5214" i="11"/>
  <c r="N5210" i="11"/>
  <c r="N5206" i="11"/>
  <c r="N5202" i="11"/>
  <c r="N5198" i="11"/>
  <c r="N5194" i="11"/>
  <c r="N5190" i="11"/>
  <c r="N5186" i="11"/>
  <c r="N5182" i="11"/>
  <c r="N5178" i="11"/>
  <c r="N5174" i="11"/>
  <c r="N5170" i="11"/>
  <c r="N5166" i="11"/>
  <c r="N5162" i="11"/>
  <c r="N5158" i="11"/>
  <c r="N5154" i="11"/>
  <c r="N5150" i="11"/>
  <c r="N5146" i="11"/>
  <c r="N5142" i="11"/>
  <c r="N5138" i="11"/>
  <c r="N5134" i="11"/>
  <c r="N5130" i="11"/>
  <c r="N5126" i="11"/>
  <c r="N5122" i="11"/>
  <c r="N5118" i="11"/>
  <c r="N5114" i="11"/>
  <c r="N5110" i="11"/>
  <c r="N5106" i="11"/>
  <c r="N5102" i="11"/>
  <c r="N5098" i="11"/>
  <c r="N5094" i="11"/>
  <c r="N5090" i="11"/>
  <c r="N5086" i="11"/>
  <c r="N5082" i="11"/>
  <c r="N5078" i="11"/>
  <c r="N5074" i="11"/>
  <c r="N5070" i="11"/>
  <c r="N5066" i="11"/>
  <c r="N5062" i="11"/>
  <c r="N5058" i="11"/>
  <c r="N5054" i="11"/>
  <c r="N5050" i="11"/>
  <c r="N5046" i="11"/>
  <c r="N5042" i="11"/>
  <c r="N5038" i="11"/>
  <c r="N5034" i="11"/>
  <c r="N5030" i="11"/>
  <c r="N5026" i="11"/>
  <c r="N5022" i="11"/>
  <c r="N5018" i="11"/>
  <c r="N5014" i="11"/>
  <c r="N5010" i="11"/>
  <c r="N5006" i="11"/>
  <c r="N5002" i="11"/>
  <c r="N4998" i="11"/>
  <c r="N4994" i="11"/>
  <c r="N4990" i="11"/>
  <c r="N4986" i="11"/>
  <c r="N4982" i="11"/>
  <c r="N4978" i="11"/>
  <c r="N4974" i="11"/>
  <c r="N4970" i="11"/>
  <c r="N4966" i="11"/>
  <c r="N4962" i="11"/>
  <c r="N4958" i="11"/>
  <c r="N4954" i="11"/>
  <c r="N4950" i="11"/>
  <c r="N4946" i="11"/>
  <c r="N4942" i="11"/>
  <c r="N4938" i="11"/>
  <c r="N4934" i="11"/>
  <c r="N4930" i="11"/>
  <c r="N4926" i="11"/>
  <c r="N4922" i="11"/>
  <c r="N4918" i="11"/>
  <c r="N4914" i="11"/>
  <c r="N4910" i="11"/>
  <c r="N4906" i="11"/>
  <c r="N4902" i="11"/>
  <c r="N4898" i="11"/>
  <c r="N4894" i="11"/>
  <c r="N4890" i="11"/>
  <c r="N4886" i="11"/>
  <c r="N4882" i="11"/>
  <c r="N4878" i="11"/>
  <c r="N4874" i="11"/>
  <c r="N4870" i="11"/>
  <c r="N4866" i="11"/>
  <c r="N4862" i="11"/>
  <c r="N4858" i="11"/>
  <c r="N4854" i="11"/>
  <c r="N4850" i="11"/>
  <c r="N4846" i="11"/>
  <c r="N4842" i="11"/>
  <c r="N4838" i="11"/>
  <c r="N4834" i="11"/>
  <c r="N4830" i="11"/>
  <c r="N4826" i="11"/>
  <c r="N4822" i="11"/>
  <c r="N4818" i="11"/>
  <c r="N4814" i="11"/>
  <c r="N4810" i="11"/>
  <c r="N4806" i="11"/>
  <c r="N4802" i="11"/>
  <c r="N4798" i="11"/>
  <c r="N4794" i="11"/>
  <c r="N4790" i="11"/>
  <c r="N4786" i="11"/>
  <c r="N4782" i="11"/>
  <c r="N4778" i="11"/>
  <c r="N4774" i="11"/>
  <c r="N4770" i="11"/>
  <c r="N4766" i="11"/>
  <c r="N4762" i="11"/>
  <c r="N4758" i="11"/>
  <c r="N4754" i="11"/>
  <c r="N4750" i="11"/>
  <c r="N4746" i="11"/>
  <c r="N4742" i="11"/>
  <c r="N4738" i="11"/>
  <c r="N4734" i="11"/>
  <c r="N4730" i="11"/>
  <c r="N4726" i="11"/>
  <c r="N4722" i="11"/>
  <c r="N4718" i="11"/>
  <c r="N4714" i="11"/>
  <c r="N4710" i="11"/>
  <c r="N4706" i="11"/>
  <c r="N4702" i="11"/>
  <c r="N4698" i="11"/>
  <c r="N4694" i="11"/>
  <c r="N4690" i="11"/>
  <c r="N4686" i="11"/>
  <c r="N4682" i="11"/>
  <c r="N4678" i="11"/>
  <c r="N4674" i="11"/>
  <c r="N4670" i="11"/>
  <c r="N4666" i="11"/>
  <c r="N4662" i="11"/>
  <c r="N4658" i="11"/>
  <c r="N4654" i="11"/>
  <c r="N4650" i="11"/>
  <c r="N4646" i="11"/>
  <c r="N4642" i="11"/>
  <c r="N4638" i="11"/>
  <c r="N4634" i="11"/>
  <c r="N4630" i="11"/>
  <c r="N4626" i="11"/>
  <c r="N4622" i="11"/>
  <c r="N4618" i="11"/>
  <c r="N4614" i="11"/>
  <c r="N4610" i="11"/>
  <c r="N4606" i="11"/>
  <c r="N4602" i="11"/>
  <c r="N4598" i="11"/>
  <c r="N4594" i="11"/>
  <c r="N4590" i="11"/>
  <c r="N4586" i="11"/>
  <c r="N4582" i="11"/>
  <c r="N4578" i="11"/>
  <c r="N4574" i="11"/>
  <c r="N4570" i="11"/>
  <c r="N4566" i="11"/>
  <c r="N4562" i="11"/>
  <c r="N4558" i="11"/>
  <c r="N4554" i="11"/>
  <c r="N4550" i="11"/>
  <c r="N4546" i="11"/>
  <c r="N4542" i="11"/>
  <c r="N4538" i="11"/>
  <c r="N4534" i="11"/>
  <c r="N4530" i="11"/>
  <c r="N4526" i="11"/>
  <c r="N4522" i="11"/>
  <c r="N4518" i="11"/>
  <c r="N4514" i="11"/>
  <c r="N4510" i="11"/>
  <c r="N4506" i="11"/>
  <c r="N4502" i="11"/>
  <c r="N4498" i="11"/>
  <c r="N4494" i="11"/>
  <c r="N4490" i="11"/>
  <c r="N4486" i="11"/>
  <c r="N4482" i="11"/>
  <c r="N4478" i="11"/>
  <c r="N4474" i="11"/>
  <c r="N4470" i="11"/>
  <c r="N4466" i="11"/>
  <c r="N4462" i="11"/>
  <c r="N4458" i="11"/>
  <c r="N4454" i="11"/>
  <c r="N4450" i="11"/>
  <c r="N4446" i="11"/>
  <c r="N4442" i="11"/>
  <c r="N4438" i="11"/>
  <c r="N4434" i="11"/>
  <c r="N4430" i="11"/>
  <c r="N4426" i="11"/>
  <c r="N4422" i="11"/>
  <c r="N4418" i="11"/>
  <c r="N4414" i="11"/>
  <c r="N4410" i="11"/>
  <c r="N4406" i="11"/>
  <c r="N4402" i="11"/>
  <c r="N4398" i="11"/>
  <c r="N4394" i="11"/>
  <c r="N4390" i="11"/>
  <c r="N4386" i="11"/>
  <c r="N4382" i="11"/>
  <c r="N4378" i="11"/>
  <c r="N4374" i="11"/>
  <c r="N4370" i="11"/>
  <c r="N4366" i="11"/>
  <c r="N4362" i="11"/>
  <c r="N4358" i="11"/>
  <c r="N4354" i="11"/>
  <c r="N4350" i="11"/>
  <c r="N4346" i="11"/>
  <c r="N4342" i="11"/>
  <c r="N4338" i="11"/>
  <c r="N4334" i="11"/>
  <c r="N4330" i="11"/>
  <c r="N4326" i="11"/>
  <c r="N4322" i="11"/>
  <c r="N4318" i="11"/>
  <c r="N4314" i="11"/>
  <c r="N4310" i="11"/>
  <c r="N4306" i="11"/>
  <c r="N4302" i="11"/>
  <c r="N4298" i="11"/>
  <c r="N4294" i="11"/>
  <c r="N4290" i="11"/>
  <c r="N4286" i="11"/>
  <c r="N4282" i="11"/>
  <c r="N4278" i="11"/>
  <c r="N4274" i="11"/>
  <c r="N4270" i="11"/>
  <c r="N4266" i="11"/>
  <c r="N4262" i="11"/>
  <c r="N4258" i="11"/>
  <c r="N4254" i="11"/>
  <c r="N4250" i="11"/>
  <c r="N4246" i="11"/>
  <c r="N4242" i="11"/>
  <c r="N4238" i="11"/>
  <c r="N4234" i="11"/>
  <c r="N4230" i="11"/>
  <c r="N4226" i="11"/>
  <c r="N4222" i="11"/>
  <c r="N4218" i="11"/>
  <c r="N4214" i="11"/>
  <c r="N4210" i="11"/>
  <c r="N4206" i="11"/>
  <c r="N4202" i="11"/>
  <c r="N4198" i="11"/>
  <c r="N4194" i="11"/>
  <c r="N4190" i="11"/>
  <c r="N4186" i="11"/>
  <c r="N4182" i="11"/>
  <c r="N4178" i="11"/>
  <c r="N4174" i="11"/>
  <c r="N4170" i="11"/>
  <c r="N4166" i="11"/>
  <c r="N4162" i="11"/>
  <c r="N4158" i="11"/>
  <c r="N4154" i="11"/>
  <c r="N4150" i="11"/>
  <c r="N4146" i="11"/>
  <c r="N4142" i="11"/>
  <c r="N4138" i="11"/>
  <c r="N4134" i="11"/>
  <c r="N4130" i="11"/>
  <c r="N4126" i="11"/>
  <c r="N4122" i="11"/>
  <c r="N4118" i="11"/>
  <c r="N4114" i="11"/>
  <c r="N4110" i="11"/>
  <c r="N4106" i="11"/>
  <c r="N4102" i="11"/>
  <c r="N4098" i="11"/>
  <c r="N4094" i="11"/>
  <c r="N4090" i="11"/>
  <c r="N4086" i="11"/>
  <c r="N4082" i="11"/>
  <c r="N4078" i="11"/>
  <c r="N4074" i="11"/>
  <c r="N4070" i="11"/>
  <c r="N4066" i="11"/>
  <c r="N4062" i="11"/>
  <c r="N4058" i="11"/>
  <c r="N4054" i="11"/>
  <c r="N4050" i="11"/>
  <c r="N4046" i="11"/>
  <c r="N4042" i="11"/>
  <c r="N4038" i="11"/>
  <c r="N4034" i="11"/>
  <c r="N4030" i="11"/>
  <c r="N4026" i="11"/>
  <c r="N4022" i="11"/>
  <c r="N4018" i="11"/>
  <c r="N4014" i="11"/>
  <c r="N4010" i="11"/>
  <c r="N4006" i="11"/>
  <c r="N4002" i="11"/>
  <c r="N3998" i="11"/>
  <c r="N3994" i="11"/>
  <c r="N3990" i="11"/>
  <c r="N3986" i="11"/>
  <c r="N3982" i="11"/>
  <c r="N3978" i="11"/>
  <c r="N3974" i="11"/>
  <c r="N3970" i="11"/>
  <c r="N3966" i="11"/>
  <c r="N3962" i="11"/>
  <c r="N3958" i="11"/>
  <c r="N3954" i="11"/>
  <c r="N3950" i="11"/>
  <c r="N3946" i="11"/>
  <c r="N3942" i="11"/>
  <c r="N3938" i="11"/>
  <c r="N3934" i="11"/>
  <c r="N3930" i="11"/>
  <c r="N3926" i="11"/>
  <c r="N3922" i="11"/>
  <c r="N3918" i="11"/>
  <c r="N3914" i="11"/>
  <c r="N3910" i="11"/>
  <c r="N3906" i="11"/>
  <c r="N3902" i="11"/>
  <c r="N3898" i="11"/>
  <c r="N3894" i="11"/>
  <c r="N3890" i="11"/>
  <c r="N3886" i="11"/>
  <c r="N3882" i="11"/>
  <c r="N3878" i="11"/>
  <c r="N3874" i="11"/>
  <c r="N3870" i="11"/>
  <c r="N3866" i="11"/>
  <c r="N3862" i="11"/>
  <c r="N3858" i="11"/>
  <c r="N3854" i="11"/>
  <c r="N3850" i="11"/>
  <c r="N3846" i="11"/>
  <c r="N3842" i="11"/>
  <c r="N3838" i="11"/>
  <c r="N3834" i="11"/>
  <c r="N3830" i="11"/>
  <c r="N3826" i="11"/>
  <c r="N3822" i="11"/>
  <c r="N3818" i="11"/>
  <c r="N3814" i="11"/>
  <c r="N3810" i="11"/>
  <c r="N3806" i="11"/>
  <c r="N3802" i="11"/>
  <c r="N3798" i="11"/>
  <c r="N3794" i="11"/>
  <c r="N3790" i="11"/>
  <c r="N3786" i="11"/>
  <c r="N3782" i="11"/>
  <c r="N3778" i="11"/>
  <c r="N3774" i="11"/>
  <c r="N3770" i="11"/>
  <c r="N3766" i="11"/>
  <c r="N3762" i="11"/>
  <c r="N3758" i="11"/>
  <c r="N3754" i="11"/>
  <c r="N3750" i="11"/>
  <c r="N3746" i="11"/>
  <c r="N3742" i="11"/>
  <c r="N3738" i="11"/>
  <c r="N3734" i="11"/>
  <c r="N3730" i="11"/>
  <c r="N3726" i="11"/>
  <c r="N3722" i="11"/>
  <c r="N3718" i="11"/>
  <c r="N3714" i="11"/>
  <c r="N3710" i="11"/>
  <c r="N3706" i="11"/>
  <c r="N3702" i="11"/>
  <c r="N3698" i="11"/>
  <c r="N3694" i="11"/>
  <c r="N3690" i="11"/>
  <c r="N3686" i="11"/>
  <c r="N3682" i="11"/>
  <c r="N3678" i="11"/>
  <c r="N3674" i="11"/>
  <c r="N3670" i="11"/>
  <c r="N3666" i="11"/>
  <c r="N3662" i="11"/>
  <c r="N3658" i="11"/>
  <c r="N3654" i="11"/>
  <c r="N3650" i="11"/>
  <c r="N3646" i="11"/>
  <c r="N3642" i="11"/>
  <c r="N3638" i="11"/>
  <c r="N3634" i="11"/>
  <c r="N3630" i="11"/>
  <c r="N3626" i="11"/>
  <c r="N3622" i="11"/>
  <c r="N3618" i="11"/>
  <c r="N3614" i="11"/>
  <c r="N3610" i="11"/>
  <c r="N3606" i="11"/>
  <c r="N3602" i="11"/>
  <c r="N3598" i="11"/>
  <c r="N3594" i="11"/>
  <c r="N3590" i="11"/>
  <c r="N3586" i="11"/>
  <c r="N3582" i="11"/>
  <c r="N3578" i="11"/>
  <c r="N3574" i="11"/>
  <c r="N3570" i="11"/>
  <c r="N3566" i="11"/>
  <c r="N3562" i="11"/>
  <c r="N3558" i="11"/>
  <c r="N3554" i="11"/>
  <c r="N3550" i="11"/>
  <c r="N3546" i="11"/>
  <c r="N3542" i="11"/>
  <c r="N3538" i="11"/>
  <c r="N3534" i="11"/>
  <c r="N3530" i="11"/>
  <c r="N3526" i="11"/>
  <c r="N3522" i="11"/>
  <c r="N3518" i="11"/>
  <c r="N3514" i="11"/>
  <c r="N3510" i="11"/>
  <c r="N3506" i="11"/>
  <c r="N3502" i="11"/>
  <c r="N3498" i="11"/>
  <c r="N3494" i="11"/>
  <c r="N3490" i="11"/>
  <c r="N3486" i="11"/>
  <c r="N3482" i="11"/>
  <c r="N3478" i="11"/>
  <c r="N3474" i="11"/>
  <c r="N3470" i="11"/>
  <c r="N3466" i="11"/>
  <c r="N3462" i="11"/>
  <c r="N3458" i="11"/>
  <c r="N3454" i="11"/>
  <c r="N3450" i="11"/>
  <c r="N3446" i="11"/>
  <c r="N3442" i="11"/>
  <c r="N3438" i="11"/>
  <c r="N3434" i="11"/>
  <c r="N3430" i="11"/>
  <c r="N3426" i="11"/>
  <c r="N3422" i="11"/>
  <c r="N3418" i="11"/>
  <c r="N3414" i="11"/>
  <c r="N3410" i="11"/>
  <c r="N3406" i="11"/>
  <c r="N3402" i="11"/>
  <c r="N3398" i="11"/>
  <c r="N3394" i="11"/>
  <c r="N3390" i="11"/>
  <c r="N3386" i="11"/>
  <c r="N3382" i="11"/>
  <c r="N3378" i="11"/>
  <c r="N3374" i="11"/>
  <c r="N3370" i="11"/>
  <c r="N3366" i="11"/>
  <c r="N3362" i="11"/>
  <c r="N3358" i="11"/>
  <c r="N3354" i="11"/>
  <c r="N3350" i="11"/>
  <c r="N3346" i="11"/>
  <c r="N3342" i="11"/>
  <c r="N3338" i="11"/>
  <c r="N3334" i="11"/>
  <c r="N3330" i="11"/>
  <c r="N3326" i="11"/>
  <c r="N3322" i="11"/>
  <c r="N3318" i="11"/>
  <c r="N3314" i="11"/>
  <c r="N3310" i="11"/>
  <c r="N3306" i="11"/>
  <c r="N3302" i="11"/>
  <c r="N3298" i="11"/>
  <c r="N3294" i="11"/>
  <c r="N3290" i="11"/>
  <c r="N3286" i="11"/>
  <c r="N3282" i="11"/>
  <c r="N3278" i="11"/>
  <c r="N3274" i="11"/>
  <c r="N3270" i="11"/>
  <c r="N3266" i="11"/>
  <c r="N3262" i="11"/>
  <c r="N3258" i="11"/>
  <c r="N3254" i="11"/>
  <c r="N3250" i="11"/>
  <c r="N3246" i="11"/>
  <c r="N3242" i="11"/>
  <c r="N3238" i="11"/>
  <c r="N3234" i="11"/>
  <c r="N3230" i="11"/>
  <c r="N3226" i="11"/>
  <c r="N3222" i="11"/>
  <c r="N3218" i="11"/>
  <c r="N3214" i="11"/>
  <c r="N3210" i="11"/>
  <c r="N3206" i="11"/>
  <c r="N3202" i="11"/>
  <c r="N3198" i="11"/>
  <c r="N3194" i="11"/>
  <c r="N3190" i="11"/>
  <c r="N3186" i="11"/>
  <c r="N3182" i="11"/>
  <c r="N3178" i="11"/>
  <c r="N3174" i="11"/>
  <c r="N3170" i="11"/>
  <c r="N3166" i="11"/>
  <c r="N3162" i="11"/>
  <c r="N3158" i="11"/>
  <c r="N3154" i="11"/>
  <c r="N3150" i="11"/>
  <c r="N3146" i="11"/>
  <c r="N3142" i="11"/>
  <c r="N3138" i="11"/>
  <c r="N3134" i="11"/>
  <c r="N3130" i="11"/>
  <c r="N3126" i="11"/>
  <c r="N3122" i="11"/>
  <c r="N3118" i="11"/>
  <c r="N3114" i="11"/>
  <c r="N3110" i="11"/>
  <c r="N3106" i="11"/>
  <c r="N3102" i="11"/>
  <c r="N3098" i="11"/>
  <c r="N3094" i="11"/>
  <c r="N3090" i="11"/>
  <c r="N3086" i="11"/>
  <c r="N3082" i="11"/>
  <c r="N3078" i="11"/>
  <c r="N3074" i="11"/>
  <c r="N3070" i="11"/>
  <c r="N3066" i="11"/>
  <c r="N3062" i="11"/>
  <c r="N3058" i="11"/>
  <c r="N3054" i="11"/>
  <c r="N3050" i="11"/>
  <c r="N3046" i="11"/>
  <c r="N3042" i="11"/>
  <c r="N3038" i="11"/>
  <c r="N3034" i="11"/>
  <c r="N3030" i="11"/>
  <c r="N3026" i="11"/>
  <c r="N3022" i="11"/>
  <c r="N3018" i="11"/>
  <c r="N3014" i="11"/>
  <c r="N3010" i="11"/>
  <c r="N3006" i="11"/>
  <c r="N3002" i="11"/>
  <c r="N2998" i="11"/>
  <c r="N2994" i="11"/>
  <c r="N2990" i="11"/>
  <c r="N2986" i="11"/>
  <c r="N2982" i="11"/>
  <c r="N2978" i="11"/>
  <c r="N2974" i="11"/>
  <c r="N2970" i="11"/>
  <c r="N2966" i="11"/>
  <c r="N2962" i="11"/>
  <c r="N2958" i="11"/>
  <c r="N2954" i="11"/>
  <c r="N2950" i="11"/>
  <c r="N2946" i="11"/>
  <c r="N2942" i="11"/>
  <c r="N2938" i="11"/>
  <c r="N2934" i="11"/>
  <c r="N2930" i="11"/>
  <c r="N2926" i="11"/>
  <c r="N2922" i="11"/>
  <c r="N2918" i="11"/>
  <c r="N2914" i="11"/>
  <c r="N2910" i="11"/>
  <c r="N2906" i="11"/>
  <c r="N2902" i="11"/>
  <c r="N2898" i="11"/>
  <c r="N2894" i="11"/>
  <c r="N2890" i="11"/>
  <c r="N2886" i="11"/>
  <c r="N2882" i="11"/>
  <c r="N2878" i="11"/>
  <c r="N2874" i="11"/>
  <c r="N2870" i="11"/>
  <c r="N2866" i="11"/>
  <c r="N2862" i="11"/>
  <c r="N2858" i="11"/>
  <c r="N2854" i="11"/>
  <c r="N2850" i="11"/>
  <c r="N2846" i="11"/>
  <c r="N2842" i="11"/>
  <c r="N2838" i="11"/>
  <c r="N2834" i="11"/>
  <c r="N2830" i="11"/>
  <c r="N2826" i="11"/>
  <c r="N2822" i="11"/>
  <c r="N2818" i="11"/>
  <c r="N2814" i="11"/>
  <c r="N2810" i="11"/>
  <c r="N2806" i="11"/>
  <c r="N2802" i="11"/>
  <c r="N2798" i="11"/>
  <c r="N2794" i="11"/>
  <c r="N2790" i="11"/>
  <c r="N2786" i="11"/>
  <c r="N2782" i="11"/>
  <c r="N2778" i="11"/>
  <c r="N2774" i="11"/>
  <c r="N2770" i="11"/>
  <c r="N2766" i="11"/>
  <c r="N2762" i="11"/>
  <c r="N2758" i="11"/>
  <c r="N2754" i="11"/>
  <c r="N2750" i="11"/>
  <c r="N2746" i="11"/>
  <c r="N2742" i="11"/>
  <c r="N2738" i="11"/>
  <c r="N2734" i="11"/>
  <c r="N2730" i="11"/>
  <c r="N2726" i="11"/>
  <c r="N2722" i="11"/>
  <c r="N2718" i="11"/>
  <c r="N2714" i="11"/>
  <c r="N2710" i="11"/>
  <c r="N2706" i="11"/>
  <c r="N2702" i="11"/>
  <c r="N2698" i="11"/>
  <c r="N2694" i="11"/>
  <c r="N2690" i="11"/>
  <c r="N2686" i="11"/>
  <c r="N2682" i="11"/>
  <c r="N2678" i="11"/>
  <c r="N2674" i="11"/>
  <c r="N2670" i="11"/>
  <c r="N2666" i="11"/>
  <c r="N2662" i="11"/>
  <c r="N2658" i="11"/>
  <c r="N2654" i="11"/>
  <c r="N2650" i="11"/>
  <c r="N2646" i="11"/>
  <c r="N2642" i="11"/>
  <c r="N2638" i="11"/>
  <c r="N2634" i="11"/>
  <c r="N2630" i="11"/>
  <c r="N2626" i="11"/>
  <c r="N2622" i="11"/>
  <c r="N2618" i="11"/>
  <c r="N2614" i="11"/>
  <c r="N2610" i="11"/>
  <c r="N2606" i="11"/>
  <c r="N2602" i="11"/>
  <c r="N2598" i="11"/>
  <c r="N2594" i="11"/>
  <c r="N2590" i="11"/>
  <c r="N2586" i="11"/>
  <c r="N2582" i="11"/>
  <c r="N2578" i="11"/>
  <c r="N2574" i="11"/>
  <c r="N2570" i="11"/>
  <c r="N2566" i="11"/>
  <c r="N2562" i="11"/>
  <c r="N2558" i="11"/>
  <c r="N2554" i="11"/>
  <c r="N2550" i="11"/>
  <c r="N2546" i="11"/>
  <c r="N2542" i="11"/>
  <c r="N2538" i="11"/>
  <c r="N2534" i="11"/>
  <c r="N2530" i="11"/>
  <c r="N2526" i="11"/>
  <c r="N2522" i="11"/>
  <c r="N2518" i="11"/>
  <c r="N2514" i="11"/>
  <c r="N2510" i="11"/>
  <c r="N2506" i="11"/>
  <c r="N2502" i="11"/>
  <c r="N2498" i="11"/>
  <c r="J15" i="11"/>
  <c r="T15" i="11"/>
  <c r="K15" i="11"/>
  <c r="J14" i="11"/>
  <c r="T14" i="11"/>
  <c r="K14" i="11"/>
  <c r="N15" i="11"/>
  <c r="N14" i="11"/>
  <c r="I13" i="11"/>
  <c r="N13" i="11"/>
  <c r="K12" i="11"/>
  <c r="J12" i="11"/>
  <c r="T12" i="11"/>
  <c r="N12" i="11"/>
  <c r="I10" i="11"/>
  <c r="N10" i="11"/>
  <c r="I8" i="11"/>
  <c r="N7" i="11"/>
  <c r="O7" i="11"/>
  <c r="U7" i="11" s="1"/>
  <c r="R7" i="11" s="1"/>
  <c r="T7" i="11"/>
  <c r="K7" i="11"/>
  <c r="P5" i="11"/>
  <c r="F12" i="9"/>
  <c r="B14" i="9"/>
  <c r="E13" i="9"/>
  <c r="C13" i="9"/>
  <c r="D13" i="9"/>
  <c r="J17" i="11"/>
  <c r="T17" i="11"/>
  <c r="K17" i="11"/>
  <c r="K19" i="11"/>
  <c r="J19" i="11"/>
  <c r="T19" i="11"/>
  <c r="K21" i="11"/>
  <c r="K23" i="11"/>
  <c r="J23" i="11"/>
  <c r="T23" i="11"/>
  <c r="K25" i="11"/>
  <c r="K27" i="11"/>
  <c r="J27" i="11"/>
  <c r="T27" i="11"/>
  <c r="J29" i="11"/>
  <c r="T29" i="11"/>
  <c r="K29" i="11"/>
  <c r="K31" i="11"/>
  <c r="J31" i="11"/>
  <c r="T31" i="11"/>
  <c r="K33" i="11"/>
  <c r="K35" i="11"/>
  <c r="J35" i="11"/>
  <c r="T35" i="11"/>
  <c r="K37" i="11"/>
  <c r="K39" i="11"/>
  <c r="J39" i="11"/>
  <c r="T39" i="11"/>
  <c r="J41" i="11"/>
  <c r="T41" i="11"/>
  <c r="K41" i="11"/>
  <c r="K43" i="11"/>
  <c r="J43" i="11"/>
  <c r="T43" i="11"/>
  <c r="K45" i="11"/>
  <c r="K47" i="11"/>
  <c r="J47" i="11"/>
  <c r="T47" i="11"/>
  <c r="K49" i="11"/>
  <c r="K51" i="11"/>
  <c r="J51" i="11"/>
  <c r="T51" i="11"/>
  <c r="J53" i="11"/>
  <c r="T53" i="11"/>
  <c r="K53" i="11"/>
  <c r="K55" i="11"/>
  <c r="J55" i="11"/>
  <c r="T55" i="11"/>
  <c r="K57" i="11"/>
  <c r="K59" i="11"/>
  <c r="J59" i="11"/>
  <c r="T59" i="11"/>
  <c r="K61" i="11"/>
  <c r="K63" i="11"/>
  <c r="J63" i="11"/>
  <c r="T63" i="11"/>
  <c r="J65" i="11"/>
  <c r="T65" i="11"/>
  <c r="K65" i="11"/>
  <c r="K67" i="11"/>
  <c r="J67" i="11"/>
  <c r="T67" i="11"/>
  <c r="K69" i="11"/>
  <c r="K71" i="11"/>
  <c r="J71" i="11"/>
  <c r="T71" i="11"/>
  <c r="K73" i="11"/>
  <c r="K75" i="11"/>
  <c r="J75" i="11"/>
  <c r="T75" i="11"/>
  <c r="J77" i="11"/>
  <c r="T77" i="11"/>
  <c r="K77" i="11"/>
  <c r="K79" i="11"/>
  <c r="J79" i="11"/>
  <c r="T79" i="11"/>
  <c r="K81" i="11"/>
  <c r="K83" i="11"/>
  <c r="J83" i="11"/>
  <c r="T83" i="11"/>
  <c r="K85" i="11"/>
  <c r="K87" i="11"/>
  <c r="J87" i="11"/>
  <c r="T87" i="11"/>
  <c r="J89" i="11"/>
  <c r="T89" i="11"/>
  <c r="K89" i="11"/>
  <c r="K91" i="11"/>
  <c r="J91" i="11"/>
  <c r="T91" i="11"/>
  <c r="K93" i="11"/>
  <c r="K95" i="11"/>
  <c r="J95" i="11"/>
  <c r="T95" i="11"/>
  <c r="K97" i="11"/>
  <c r="K99" i="11"/>
  <c r="J99" i="11"/>
  <c r="T99" i="11"/>
  <c r="J101" i="11"/>
  <c r="T101" i="11"/>
  <c r="K101" i="11"/>
  <c r="K103" i="11"/>
  <c r="J103" i="11"/>
  <c r="T103" i="11"/>
  <c r="K105" i="11"/>
  <c r="K107" i="11"/>
  <c r="J107" i="11"/>
  <c r="T107" i="11"/>
  <c r="K109" i="11"/>
  <c r="K111" i="11"/>
  <c r="J111" i="11"/>
  <c r="T111" i="11"/>
  <c r="J113" i="11"/>
  <c r="T113" i="11"/>
  <c r="K113" i="11"/>
  <c r="K115" i="11"/>
  <c r="J115" i="11"/>
  <c r="T115" i="11"/>
  <c r="K117" i="11"/>
  <c r="K119" i="11"/>
  <c r="J119" i="11"/>
  <c r="T119" i="11"/>
  <c r="K121" i="11"/>
  <c r="K123" i="11"/>
  <c r="J123" i="11"/>
  <c r="T123" i="11"/>
  <c r="J125" i="11"/>
  <c r="T125" i="11"/>
  <c r="K125" i="11"/>
  <c r="K127" i="11"/>
  <c r="J127" i="11"/>
  <c r="T127" i="11"/>
  <c r="K129" i="11"/>
  <c r="K131" i="11"/>
  <c r="J131" i="11"/>
  <c r="T131" i="11"/>
  <c r="K133" i="11"/>
  <c r="K135" i="11"/>
  <c r="J135" i="11"/>
  <c r="T135" i="11"/>
  <c r="J137" i="11"/>
  <c r="T137" i="11"/>
  <c r="K137" i="11"/>
  <c r="K139" i="11"/>
  <c r="J139" i="11"/>
  <c r="T139" i="11"/>
  <c r="K141" i="11"/>
  <c r="K143" i="11"/>
  <c r="J143" i="11"/>
  <c r="T143" i="11"/>
  <c r="K145" i="11"/>
  <c r="K147" i="11"/>
  <c r="J147" i="11"/>
  <c r="T147" i="11"/>
  <c r="J149" i="11"/>
  <c r="T149" i="11"/>
  <c r="K149" i="11"/>
  <c r="K151" i="11"/>
  <c r="J151" i="11"/>
  <c r="T151" i="11"/>
  <c r="K153" i="11"/>
  <c r="K155" i="11"/>
  <c r="J155" i="11"/>
  <c r="T155" i="11"/>
  <c r="K157" i="11"/>
  <c r="K159" i="11"/>
  <c r="J159" i="11"/>
  <c r="T159" i="11"/>
  <c r="J161" i="11"/>
  <c r="T161" i="11"/>
  <c r="K161" i="11"/>
  <c r="K163" i="11"/>
  <c r="J163" i="11"/>
  <c r="T163" i="11"/>
  <c r="K165" i="11"/>
  <c r="K167" i="11"/>
  <c r="J167" i="11"/>
  <c r="T167" i="11"/>
  <c r="K169" i="11"/>
  <c r="K171" i="11"/>
  <c r="J171" i="11"/>
  <c r="T171" i="11"/>
  <c r="J173" i="11"/>
  <c r="T173" i="11"/>
  <c r="K173" i="11"/>
  <c r="K175" i="11"/>
  <c r="J175" i="11"/>
  <c r="T175" i="11"/>
  <c r="K177" i="11"/>
  <c r="K179" i="11"/>
  <c r="J179" i="11"/>
  <c r="T179" i="11"/>
  <c r="K181" i="11"/>
  <c r="K183" i="11"/>
  <c r="J183" i="11"/>
  <c r="T183" i="11"/>
  <c r="J185" i="11"/>
  <c r="T185" i="11"/>
  <c r="K185" i="11"/>
  <c r="K187" i="11"/>
  <c r="J187" i="11"/>
  <c r="T187" i="11"/>
  <c r="K189" i="11"/>
  <c r="K191" i="11"/>
  <c r="J191" i="11"/>
  <c r="T191" i="11"/>
  <c r="K193" i="11"/>
  <c r="K195" i="11"/>
  <c r="J195" i="11"/>
  <c r="T195" i="11"/>
  <c r="J197" i="11"/>
  <c r="T197" i="11"/>
  <c r="K197" i="11"/>
  <c r="K199" i="11"/>
  <c r="J199" i="11"/>
  <c r="T199" i="11"/>
  <c r="K201" i="11"/>
  <c r="K203" i="11"/>
  <c r="J203" i="11"/>
  <c r="T203" i="11"/>
  <c r="K205" i="11"/>
  <c r="K207" i="11"/>
  <c r="J207" i="11"/>
  <c r="T207" i="11"/>
  <c r="J209" i="11"/>
  <c r="T209" i="11"/>
  <c r="K209" i="11"/>
  <c r="K211" i="11"/>
  <c r="J211" i="11"/>
  <c r="T211" i="11"/>
  <c r="K213" i="11"/>
  <c r="K215" i="11"/>
  <c r="J215" i="11"/>
  <c r="T215" i="11"/>
  <c r="K217" i="11"/>
  <c r="K219" i="11"/>
  <c r="J219" i="11"/>
  <c r="T219" i="11"/>
  <c r="J221" i="11"/>
  <c r="T221" i="11"/>
  <c r="K221" i="11"/>
  <c r="K223" i="11"/>
  <c r="J223" i="11"/>
  <c r="T223" i="11"/>
  <c r="K225" i="11"/>
  <c r="K227" i="11"/>
  <c r="J227" i="11"/>
  <c r="T227" i="11"/>
  <c r="K229" i="11"/>
  <c r="K231" i="11"/>
  <c r="J231" i="11"/>
  <c r="T231" i="11"/>
  <c r="J233" i="11"/>
  <c r="T233" i="11"/>
  <c r="K233" i="11"/>
  <c r="K235" i="11"/>
  <c r="J235" i="11"/>
  <c r="T235" i="11"/>
  <c r="K237" i="11"/>
  <c r="K239" i="11"/>
  <c r="J239" i="11"/>
  <c r="T239" i="11"/>
  <c r="K241" i="11"/>
  <c r="K243" i="11"/>
  <c r="J243" i="11"/>
  <c r="T243" i="11"/>
  <c r="J245" i="11"/>
  <c r="T245" i="11"/>
  <c r="K245" i="11"/>
  <c r="K247" i="11"/>
  <c r="J247" i="11"/>
  <c r="T247" i="11"/>
  <c r="K249" i="11"/>
  <c r="K251" i="11"/>
  <c r="J251" i="11"/>
  <c r="T251" i="11"/>
  <c r="K253" i="11"/>
  <c r="K255" i="11"/>
  <c r="J255" i="11"/>
  <c r="T255" i="11"/>
  <c r="J257" i="11"/>
  <c r="T257" i="11"/>
  <c r="K257" i="11"/>
  <c r="K259" i="11"/>
  <c r="J259" i="11"/>
  <c r="T259" i="11"/>
  <c r="K261" i="11"/>
  <c r="K263" i="11"/>
  <c r="J263" i="11"/>
  <c r="T263" i="11"/>
  <c r="K265" i="11"/>
  <c r="K267" i="11"/>
  <c r="J267" i="11"/>
  <c r="T267" i="11"/>
  <c r="J269" i="11"/>
  <c r="T269" i="11"/>
  <c r="K269" i="11"/>
  <c r="K271" i="11"/>
  <c r="J271" i="11"/>
  <c r="T271" i="11"/>
  <c r="K273" i="11"/>
  <c r="K275" i="11"/>
  <c r="J275" i="11"/>
  <c r="T275" i="11"/>
  <c r="K277" i="11"/>
  <c r="K279" i="11"/>
  <c r="J279" i="11"/>
  <c r="T279" i="11"/>
  <c r="J281" i="11"/>
  <c r="T281" i="11"/>
  <c r="K281" i="11"/>
  <c r="K283" i="11"/>
  <c r="J283" i="11"/>
  <c r="T283" i="11"/>
  <c r="K285" i="11"/>
  <c r="K287" i="11"/>
  <c r="J287" i="11"/>
  <c r="T287" i="11"/>
  <c r="K289" i="11"/>
  <c r="K291" i="11"/>
  <c r="J291" i="11"/>
  <c r="T291" i="11"/>
  <c r="J293" i="11"/>
  <c r="T293" i="11"/>
  <c r="K293" i="11"/>
  <c r="K295" i="11"/>
  <c r="J295" i="11"/>
  <c r="T295" i="11"/>
  <c r="K297" i="11"/>
  <c r="K299" i="11"/>
  <c r="J299" i="11"/>
  <c r="T299" i="11"/>
  <c r="K301" i="11"/>
  <c r="K303" i="11"/>
  <c r="J303" i="11"/>
  <c r="T303" i="11"/>
  <c r="J305" i="11"/>
  <c r="T305" i="11"/>
  <c r="K305" i="11"/>
  <c r="K307" i="11"/>
  <c r="J307" i="11"/>
  <c r="T307" i="11"/>
  <c r="K309" i="11"/>
  <c r="K311" i="11"/>
  <c r="J311" i="11"/>
  <c r="T311" i="11"/>
  <c r="K313" i="11"/>
  <c r="K315" i="11"/>
  <c r="J315" i="11"/>
  <c r="T315" i="11"/>
  <c r="J317" i="11"/>
  <c r="T317" i="11"/>
  <c r="K317" i="11"/>
  <c r="K319" i="11"/>
  <c r="J319" i="11"/>
  <c r="T319" i="11"/>
  <c r="K321" i="11"/>
  <c r="K323" i="11"/>
  <c r="J323" i="11"/>
  <c r="T323" i="11"/>
  <c r="K325" i="11"/>
  <c r="K327" i="11"/>
  <c r="J327" i="11"/>
  <c r="T327" i="11"/>
  <c r="J329" i="11"/>
  <c r="T329" i="11"/>
  <c r="K329" i="11"/>
  <c r="K331" i="11"/>
  <c r="J331" i="11"/>
  <c r="T331" i="11"/>
  <c r="K333" i="11"/>
  <c r="K335" i="11"/>
  <c r="J335" i="11"/>
  <c r="T335" i="11"/>
  <c r="K337" i="11"/>
  <c r="K339" i="11"/>
  <c r="J339" i="11"/>
  <c r="T339" i="11"/>
  <c r="J341" i="11"/>
  <c r="T341" i="11"/>
  <c r="K341" i="11"/>
  <c r="K343" i="11"/>
  <c r="J343" i="11"/>
  <c r="T343" i="11"/>
  <c r="K345" i="11"/>
  <c r="K347" i="11"/>
  <c r="J347" i="11"/>
  <c r="T347" i="11"/>
  <c r="K349" i="11"/>
  <c r="K351" i="11"/>
  <c r="J351" i="11"/>
  <c r="T351" i="11"/>
  <c r="J353" i="11"/>
  <c r="T353" i="11"/>
  <c r="K353" i="11"/>
  <c r="K355" i="11"/>
  <c r="J355" i="11"/>
  <c r="T355" i="11"/>
  <c r="K357" i="11"/>
  <c r="K359" i="11"/>
  <c r="J359" i="11"/>
  <c r="T359" i="11"/>
  <c r="K361" i="11"/>
  <c r="K363" i="11"/>
  <c r="J363" i="11"/>
  <c r="T363" i="11"/>
  <c r="J365" i="11"/>
  <c r="T365" i="11"/>
  <c r="K365" i="11"/>
  <c r="K367" i="11"/>
  <c r="J367" i="11"/>
  <c r="T367" i="11"/>
  <c r="K369" i="11"/>
  <c r="K371" i="11"/>
  <c r="J371" i="11"/>
  <c r="T371" i="11"/>
  <c r="K373" i="11"/>
  <c r="K375" i="11"/>
  <c r="J375" i="11"/>
  <c r="T375" i="11"/>
  <c r="J377" i="11"/>
  <c r="T377" i="11"/>
  <c r="K377" i="11"/>
  <c r="K379" i="11"/>
  <c r="J379" i="11"/>
  <c r="T379" i="11"/>
  <c r="K381" i="11"/>
  <c r="K383" i="11"/>
  <c r="J383" i="11"/>
  <c r="T383" i="11"/>
  <c r="K385" i="11"/>
  <c r="K387" i="11"/>
  <c r="J387" i="11"/>
  <c r="T387" i="11"/>
  <c r="J389" i="11"/>
  <c r="T389" i="11"/>
  <c r="K389" i="11"/>
  <c r="K391" i="11"/>
  <c r="J391" i="11"/>
  <c r="T391" i="11"/>
  <c r="K393" i="11"/>
  <c r="K395" i="11"/>
  <c r="J395" i="11"/>
  <c r="T395" i="11"/>
  <c r="K397" i="11"/>
  <c r="K399" i="11"/>
  <c r="J399" i="11"/>
  <c r="T399" i="11"/>
  <c r="J401" i="11"/>
  <c r="T401" i="11"/>
  <c r="K401" i="11"/>
  <c r="K403" i="11"/>
  <c r="J403" i="11"/>
  <c r="T403" i="11"/>
  <c r="K405" i="11"/>
  <c r="K407" i="11"/>
  <c r="J407" i="11"/>
  <c r="T407" i="11"/>
  <c r="K409" i="11"/>
  <c r="K411" i="11"/>
  <c r="J411" i="11"/>
  <c r="T411" i="11"/>
  <c r="J413" i="11"/>
  <c r="T413" i="11"/>
  <c r="K413" i="11"/>
  <c r="K415" i="11"/>
  <c r="J415" i="11"/>
  <c r="T415" i="11"/>
  <c r="K417" i="11"/>
  <c r="K419" i="11"/>
  <c r="J419" i="11"/>
  <c r="T419" i="11"/>
  <c r="K421" i="11"/>
  <c r="K423" i="11"/>
  <c r="J423" i="11"/>
  <c r="T423" i="11"/>
  <c r="J425" i="11"/>
  <c r="T425" i="11"/>
  <c r="K425" i="11"/>
  <c r="K427" i="11"/>
  <c r="J427" i="11"/>
  <c r="T427" i="11"/>
  <c r="K429" i="11"/>
  <c r="K431" i="11"/>
  <c r="J431" i="11"/>
  <c r="T431" i="11"/>
  <c r="K433" i="11"/>
  <c r="K435" i="11"/>
  <c r="J435" i="11"/>
  <c r="T435" i="11"/>
  <c r="J437" i="11"/>
  <c r="T437" i="11"/>
  <c r="K437" i="11"/>
  <c r="K439" i="11"/>
  <c r="J439" i="11"/>
  <c r="T439" i="11"/>
  <c r="K441" i="11"/>
  <c r="K443" i="11"/>
  <c r="J443" i="11"/>
  <c r="T443" i="11"/>
  <c r="K445" i="11"/>
  <c r="K447" i="11"/>
  <c r="J447" i="11"/>
  <c r="T447" i="11"/>
  <c r="J449" i="11"/>
  <c r="T449" i="11"/>
  <c r="K449" i="11"/>
  <c r="K451" i="11"/>
  <c r="J451" i="11"/>
  <c r="T451" i="11"/>
  <c r="K453" i="11"/>
  <c r="K455" i="11"/>
  <c r="J455" i="11"/>
  <c r="T455" i="11"/>
  <c r="K457" i="11"/>
  <c r="K459" i="11"/>
  <c r="J459" i="11"/>
  <c r="T459" i="11"/>
  <c r="J461" i="11"/>
  <c r="T461" i="11"/>
  <c r="K461" i="11"/>
  <c r="K463" i="11"/>
  <c r="J463" i="11"/>
  <c r="T463" i="11"/>
  <c r="K465" i="11"/>
  <c r="K467" i="11"/>
  <c r="J467" i="11"/>
  <c r="T467" i="11"/>
  <c r="K469" i="11"/>
  <c r="K471" i="11"/>
  <c r="J471" i="11"/>
  <c r="T471" i="11"/>
  <c r="J473" i="11"/>
  <c r="T473" i="11"/>
  <c r="K473" i="11"/>
  <c r="K475" i="11"/>
  <c r="J475" i="11"/>
  <c r="T475" i="11"/>
  <c r="K477" i="11"/>
  <c r="K479" i="11"/>
  <c r="J479" i="11"/>
  <c r="T479" i="11"/>
  <c r="K481" i="11"/>
  <c r="K483" i="11"/>
  <c r="J483" i="11"/>
  <c r="T483" i="11"/>
  <c r="J485" i="11"/>
  <c r="T485" i="11"/>
  <c r="K485" i="11"/>
  <c r="K487" i="11"/>
  <c r="J487" i="11"/>
  <c r="T487" i="11"/>
  <c r="K489" i="11"/>
  <c r="K491" i="11"/>
  <c r="J491" i="11"/>
  <c r="T491" i="11"/>
  <c r="K493" i="11"/>
  <c r="K495" i="11"/>
  <c r="J495" i="11"/>
  <c r="T495" i="11"/>
  <c r="J497" i="11"/>
  <c r="T497" i="11"/>
  <c r="K497" i="11"/>
  <c r="K499" i="11"/>
  <c r="J499" i="11"/>
  <c r="T499" i="11"/>
  <c r="K501" i="11"/>
  <c r="K503" i="11"/>
  <c r="J503" i="11"/>
  <c r="T503" i="11"/>
  <c r="K505" i="11"/>
  <c r="K507" i="11"/>
  <c r="J507" i="11"/>
  <c r="T507" i="11"/>
  <c r="J509" i="11"/>
  <c r="T509" i="11"/>
  <c r="K509" i="11"/>
  <c r="K511" i="11"/>
  <c r="J511" i="11"/>
  <c r="T511" i="11"/>
  <c r="K513" i="11"/>
  <c r="K515" i="11"/>
  <c r="J515" i="11"/>
  <c r="T515" i="11"/>
  <c r="J517" i="11"/>
  <c r="T517" i="11"/>
  <c r="K517" i="11"/>
  <c r="K519" i="11"/>
  <c r="J519" i="11"/>
  <c r="T519" i="11"/>
  <c r="J521" i="11"/>
  <c r="T521" i="11"/>
  <c r="K521" i="11"/>
  <c r="K523" i="11"/>
  <c r="J523" i="11"/>
  <c r="T523" i="11"/>
  <c r="J525" i="11"/>
  <c r="T525" i="11"/>
  <c r="K525" i="11"/>
  <c r="K527" i="11"/>
  <c r="J527" i="11"/>
  <c r="T527" i="11"/>
  <c r="K529" i="11"/>
  <c r="K531" i="11"/>
  <c r="J531" i="11"/>
  <c r="T531" i="11"/>
  <c r="J533" i="11"/>
  <c r="T533" i="11"/>
  <c r="K533" i="11"/>
  <c r="K535" i="11"/>
  <c r="J535" i="11"/>
  <c r="T535" i="11"/>
  <c r="K537" i="11"/>
  <c r="K539" i="11"/>
  <c r="J539" i="11"/>
  <c r="T539" i="11"/>
  <c r="J541" i="11"/>
  <c r="T541" i="11"/>
  <c r="K541" i="11"/>
  <c r="K543" i="11"/>
  <c r="J543" i="11"/>
  <c r="T543" i="11"/>
  <c r="J545" i="11"/>
  <c r="T545" i="11"/>
  <c r="K545" i="11"/>
  <c r="K547" i="11"/>
  <c r="J547" i="11"/>
  <c r="T547" i="11"/>
  <c r="J549" i="11"/>
  <c r="T549" i="11"/>
  <c r="K549" i="11"/>
  <c r="K551" i="11"/>
  <c r="J551" i="11"/>
  <c r="T551" i="11"/>
  <c r="K553" i="11"/>
  <c r="K555" i="11"/>
  <c r="J555" i="11"/>
  <c r="T555" i="11"/>
  <c r="J557" i="11"/>
  <c r="T557" i="11"/>
  <c r="K557" i="11"/>
  <c r="K559" i="11"/>
  <c r="J559" i="11"/>
  <c r="T559" i="11"/>
  <c r="K561" i="11"/>
  <c r="K563" i="11"/>
  <c r="J563" i="11"/>
  <c r="T563" i="11"/>
  <c r="J565" i="11"/>
  <c r="T565" i="11"/>
  <c r="K565" i="11"/>
  <c r="K567" i="11"/>
  <c r="J567" i="11"/>
  <c r="T567" i="11"/>
  <c r="J569" i="11"/>
  <c r="T569" i="11"/>
  <c r="K569" i="11"/>
  <c r="K571" i="11"/>
  <c r="J571" i="11"/>
  <c r="T571" i="11"/>
  <c r="J573" i="11"/>
  <c r="T573" i="11"/>
  <c r="K573" i="11"/>
  <c r="K575" i="11"/>
  <c r="J575" i="11"/>
  <c r="T575" i="11"/>
  <c r="K577" i="11"/>
  <c r="K579" i="11"/>
  <c r="J579" i="11"/>
  <c r="T579" i="11"/>
  <c r="J581" i="11"/>
  <c r="T581" i="11"/>
  <c r="K581" i="11"/>
  <c r="K583" i="11"/>
  <c r="J583" i="11"/>
  <c r="T583" i="11"/>
  <c r="K585" i="11"/>
  <c r="K587" i="11"/>
  <c r="J587" i="11"/>
  <c r="T587" i="11"/>
  <c r="J589" i="11"/>
  <c r="T589" i="11"/>
  <c r="K589" i="11"/>
  <c r="K591" i="11"/>
  <c r="J591" i="11"/>
  <c r="T591" i="11"/>
  <c r="J593" i="11"/>
  <c r="T593" i="11"/>
  <c r="K593" i="11"/>
  <c r="K595" i="11"/>
  <c r="J595" i="11"/>
  <c r="T595" i="11"/>
  <c r="J597" i="11"/>
  <c r="T597" i="11"/>
  <c r="K597" i="11"/>
  <c r="K599" i="11"/>
  <c r="J599" i="11"/>
  <c r="T599" i="11"/>
  <c r="K601" i="11"/>
  <c r="K603" i="11"/>
  <c r="J603" i="11"/>
  <c r="T603" i="11"/>
  <c r="J605" i="11"/>
  <c r="T605" i="11"/>
  <c r="K605" i="11"/>
  <c r="K607" i="11"/>
  <c r="J607" i="11"/>
  <c r="T607" i="11"/>
  <c r="K609" i="11"/>
  <c r="K611" i="11"/>
  <c r="J611" i="11"/>
  <c r="T611" i="11"/>
  <c r="J613" i="11"/>
  <c r="T613" i="11"/>
  <c r="K613" i="11"/>
  <c r="K615" i="11"/>
  <c r="J615" i="11"/>
  <c r="T615" i="11"/>
  <c r="J617" i="11"/>
  <c r="T617" i="11"/>
  <c r="K617" i="11"/>
  <c r="K619" i="11"/>
  <c r="J619" i="11"/>
  <c r="T619" i="11"/>
  <c r="J621" i="11"/>
  <c r="T621" i="11"/>
  <c r="K621" i="11"/>
  <c r="K623" i="11"/>
  <c r="J623" i="11"/>
  <c r="T623" i="11"/>
  <c r="K625" i="11"/>
  <c r="K627" i="11"/>
  <c r="J627" i="11"/>
  <c r="T627" i="11"/>
  <c r="J629" i="11"/>
  <c r="T629" i="11"/>
  <c r="K629" i="11"/>
  <c r="K631" i="11"/>
  <c r="J631" i="11"/>
  <c r="T631" i="11"/>
  <c r="K633" i="11"/>
  <c r="K635" i="11"/>
  <c r="J635" i="11"/>
  <c r="T635" i="11"/>
  <c r="J637" i="11"/>
  <c r="T637" i="11"/>
  <c r="K637" i="11"/>
  <c r="K639" i="11"/>
  <c r="J639" i="11"/>
  <c r="T639" i="11"/>
  <c r="J641" i="11"/>
  <c r="T641" i="11"/>
  <c r="K641" i="11"/>
  <c r="K643" i="11"/>
  <c r="J643" i="11"/>
  <c r="T643" i="11"/>
  <c r="J645" i="11"/>
  <c r="T645" i="11"/>
  <c r="K645" i="11"/>
  <c r="K647" i="11"/>
  <c r="J647" i="11"/>
  <c r="T647" i="11"/>
  <c r="K649" i="11"/>
  <c r="K651" i="11"/>
  <c r="J651" i="11"/>
  <c r="T651" i="11"/>
  <c r="J653" i="11"/>
  <c r="T653" i="11"/>
  <c r="K653" i="11"/>
  <c r="K655" i="11"/>
  <c r="J655" i="11"/>
  <c r="T655" i="11"/>
  <c r="K657" i="11"/>
  <c r="K659" i="11"/>
  <c r="J659" i="11"/>
  <c r="T659" i="11"/>
  <c r="J661" i="11"/>
  <c r="T661" i="11"/>
  <c r="K661" i="11"/>
  <c r="K663" i="11"/>
  <c r="J663" i="11"/>
  <c r="T663" i="11"/>
  <c r="J665" i="11"/>
  <c r="T665" i="11"/>
  <c r="K665" i="11"/>
  <c r="K667" i="11"/>
  <c r="J667" i="11"/>
  <c r="T667" i="11"/>
  <c r="J669" i="11"/>
  <c r="T669" i="11"/>
  <c r="K669" i="11"/>
  <c r="K671" i="11"/>
  <c r="J671" i="11"/>
  <c r="T671" i="11"/>
  <c r="K673" i="11"/>
  <c r="K675" i="11"/>
  <c r="J675" i="11"/>
  <c r="T675" i="11"/>
  <c r="J677" i="11"/>
  <c r="T677" i="11"/>
  <c r="K677" i="11"/>
  <c r="K679" i="11"/>
  <c r="J679" i="11"/>
  <c r="T679" i="11"/>
  <c r="K681" i="11"/>
  <c r="K683" i="11"/>
  <c r="J683" i="11"/>
  <c r="T683" i="11"/>
  <c r="J685" i="11"/>
  <c r="T685" i="11"/>
  <c r="K685" i="11"/>
  <c r="K687" i="11"/>
  <c r="J687" i="11"/>
  <c r="T687" i="11"/>
  <c r="J689" i="11"/>
  <c r="T689" i="11"/>
  <c r="K689" i="11"/>
  <c r="K691" i="11"/>
  <c r="J691" i="11"/>
  <c r="T691" i="11"/>
  <c r="J693" i="11"/>
  <c r="T693" i="11"/>
  <c r="K693" i="11"/>
  <c r="K695" i="11"/>
  <c r="J695" i="11"/>
  <c r="T695" i="11"/>
  <c r="K697" i="11"/>
  <c r="K699" i="11"/>
  <c r="J699" i="11"/>
  <c r="T699" i="11"/>
  <c r="J701" i="11"/>
  <c r="T701" i="11"/>
  <c r="K701" i="11"/>
  <c r="K703" i="11"/>
  <c r="J703" i="11"/>
  <c r="T703" i="11"/>
  <c r="K705" i="11"/>
  <c r="K707" i="11"/>
  <c r="J707" i="11"/>
  <c r="T707" i="11"/>
  <c r="J709" i="11"/>
  <c r="T709" i="11"/>
  <c r="K709" i="11"/>
  <c r="K711" i="11"/>
  <c r="J711" i="11"/>
  <c r="T711" i="11"/>
  <c r="J713" i="11"/>
  <c r="T713" i="11"/>
  <c r="K713" i="11"/>
  <c r="K715" i="11"/>
  <c r="J715" i="11"/>
  <c r="T715" i="11"/>
  <c r="J717" i="11"/>
  <c r="T717" i="11"/>
  <c r="K717" i="11"/>
  <c r="K719" i="11"/>
  <c r="J719" i="11"/>
  <c r="T719" i="11"/>
  <c r="K721" i="11"/>
  <c r="K723" i="11"/>
  <c r="J723" i="11"/>
  <c r="T723" i="11"/>
  <c r="J725" i="11"/>
  <c r="T725" i="11"/>
  <c r="K725" i="11"/>
  <c r="K727" i="11"/>
  <c r="J727" i="11"/>
  <c r="T727" i="11"/>
  <c r="K729" i="11"/>
  <c r="K731" i="11"/>
  <c r="J731" i="11"/>
  <c r="T731" i="11"/>
  <c r="J733" i="11"/>
  <c r="T733" i="11"/>
  <c r="K733" i="11"/>
  <c r="K735" i="11"/>
  <c r="J735" i="11"/>
  <c r="T735" i="11"/>
  <c r="J737" i="11"/>
  <c r="T737" i="11"/>
  <c r="K737" i="11"/>
  <c r="K739" i="11"/>
  <c r="J739" i="11"/>
  <c r="T739" i="11"/>
  <c r="J741" i="11"/>
  <c r="T741" i="11"/>
  <c r="K741" i="11"/>
  <c r="K743" i="11"/>
  <c r="J743" i="11"/>
  <c r="T743" i="11"/>
  <c r="K745" i="11"/>
  <c r="K747" i="11"/>
  <c r="J747" i="11"/>
  <c r="T747" i="11"/>
  <c r="J749" i="11"/>
  <c r="T749" i="11"/>
  <c r="K749" i="11"/>
  <c r="K751" i="11"/>
  <c r="J751" i="11"/>
  <c r="T751" i="11"/>
  <c r="K753" i="11"/>
  <c r="K755" i="11"/>
  <c r="J755" i="11"/>
  <c r="T755" i="11"/>
  <c r="J757" i="11"/>
  <c r="T757" i="11"/>
  <c r="K757" i="11"/>
  <c r="K759" i="11"/>
  <c r="J759" i="11"/>
  <c r="T759" i="11"/>
  <c r="J761" i="11"/>
  <c r="T761" i="11"/>
  <c r="K761" i="11"/>
  <c r="K763" i="11"/>
  <c r="J763" i="11"/>
  <c r="T763" i="11"/>
  <c r="J765" i="11"/>
  <c r="T765" i="11"/>
  <c r="K765" i="11"/>
  <c r="K767" i="11"/>
  <c r="J767" i="11"/>
  <c r="T767" i="11"/>
  <c r="K769" i="11"/>
  <c r="K771" i="11"/>
  <c r="J771" i="11"/>
  <c r="T771" i="11"/>
  <c r="J773" i="11"/>
  <c r="T773" i="11"/>
  <c r="K773" i="11"/>
  <c r="K775" i="11"/>
  <c r="J775" i="11"/>
  <c r="T775" i="11"/>
  <c r="K777" i="11"/>
  <c r="K779" i="11"/>
  <c r="J779" i="11"/>
  <c r="T779" i="11"/>
  <c r="J781" i="11"/>
  <c r="T781" i="11"/>
  <c r="K781" i="11"/>
  <c r="K783" i="11"/>
  <c r="J783" i="11"/>
  <c r="T783" i="11"/>
  <c r="J785" i="11"/>
  <c r="T785" i="11"/>
  <c r="K785" i="11"/>
  <c r="K787" i="11"/>
  <c r="J787" i="11"/>
  <c r="T787" i="11"/>
  <c r="J789" i="11"/>
  <c r="T789" i="11"/>
  <c r="K789" i="11"/>
  <c r="K791" i="11"/>
  <c r="J791" i="11"/>
  <c r="T791" i="11"/>
  <c r="K793" i="11"/>
  <c r="K795" i="11"/>
  <c r="J795" i="11"/>
  <c r="T795" i="11"/>
  <c r="J797" i="11"/>
  <c r="T797" i="11"/>
  <c r="K797" i="11"/>
  <c r="K799" i="11"/>
  <c r="J799" i="11"/>
  <c r="T799" i="11"/>
  <c r="K801" i="11"/>
  <c r="K803" i="11"/>
  <c r="J803" i="11"/>
  <c r="T803" i="11"/>
  <c r="J805" i="11"/>
  <c r="T805" i="11"/>
  <c r="K805" i="11"/>
  <c r="K807" i="11"/>
  <c r="J807" i="11"/>
  <c r="T807" i="11"/>
  <c r="J809" i="11"/>
  <c r="T809" i="11"/>
  <c r="K809" i="11"/>
  <c r="K811" i="11"/>
  <c r="J811" i="11"/>
  <c r="T811" i="11"/>
  <c r="J813" i="11"/>
  <c r="T813" i="11"/>
  <c r="K813" i="11"/>
  <c r="K815" i="11"/>
  <c r="J815" i="11"/>
  <c r="T815" i="11"/>
  <c r="K817" i="11"/>
  <c r="K819" i="11"/>
  <c r="J819" i="11"/>
  <c r="T819" i="11"/>
  <c r="J821" i="11"/>
  <c r="T821" i="11"/>
  <c r="K821" i="11"/>
  <c r="K823" i="11"/>
  <c r="J823" i="11"/>
  <c r="T823" i="11"/>
  <c r="K825" i="11"/>
  <c r="K827" i="11"/>
  <c r="J827" i="11"/>
  <c r="T827" i="11"/>
  <c r="J829" i="11"/>
  <c r="T829" i="11"/>
  <c r="K829" i="11"/>
  <c r="K831" i="11"/>
  <c r="J831" i="11"/>
  <c r="T831" i="11"/>
  <c r="J833" i="11"/>
  <c r="T833" i="11"/>
  <c r="K833" i="11"/>
  <c r="K835" i="11"/>
  <c r="J835" i="11"/>
  <c r="T835" i="11"/>
  <c r="J837" i="11"/>
  <c r="T837" i="11"/>
  <c r="K837" i="11"/>
  <c r="K839" i="11"/>
  <c r="J839" i="11"/>
  <c r="T839" i="11"/>
  <c r="K841" i="11"/>
  <c r="K843" i="11"/>
  <c r="J843" i="11"/>
  <c r="T843" i="11"/>
  <c r="J845" i="11"/>
  <c r="T845" i="11"/>
  <c r="K845" i="11"/>
  <c r="K847" i="11"/>
  <c r="J847" i="11"/>
  <c r="T847" i="11"/>
  <c r="K849" i="11"/>
  <c r="K851" i="11"/>
  <c r="J851" i="11"/>
  <c r="T851" i="11"/>
  <c r="J853" i="11"/>
  <c r="T853" i="11"/>
  <c r="K853" i="11"/>
  <c r="K855" i="11"/>
  <c r="J855" i="11"/>
  <c r="T855" i="11"/>
  <c r="J857" i="11"/>
  <c r="T857" i="11"/>
  <c r="K857" i="11"/>
  <c r="K859" i="11"/>
  <c r="J859" i="11"/>
  <c r="T859" i="11"/>
  <c r="J861" i="11"/>
  <c r="T861" i="11"/>
  <c r="K861" i="11"/>
  <c r="K863" i="11"/>
  <c r="J863" i="11"/>
  <c r="T863" i="11"/>
  <c r="K865" i="11"/>
  <c r="K867" i="11"/>
  <c r="J867" i="11"/>
  <c r="T867" i="11"/>
  <c r="J869" i="11"/>
  <c r="T869" i="11"/>
  <c r="K869" i="11"/>
  <c r="K871" i="11"/>
  <c r="J871" i="11"/>
  <c r="T871" i="11"/>
  <c r="K873" i="11"/>
  <c r="K875" i="11"/>
  <c r="J875" i="11"/>
  <c r="T875" i="11"/>
  <c r="J877" i="11"/>
  <c r="T877" i="11"/>
  <c r="K877" i="11"/>
  <c r="K879" i="11"/>
  <c r="J879" i="11"/>
  <c r="T879" i="11"/>
  <c r="J881" i="11"/>
  <c r="T881" i="11"/>
  <c r="K881" i="11"/>
  <c r="K883" i="11"/>
  <c r="J883" i="11"/>
  <c r="T883" i="11"/>
  <c r="J885" i="11"/>
  <c r="T885" i="11"/>
  <c r="K885" i="11"/>
  <c r="K887" i="11"/>
  <c r="J887" i="11"/>
  <c r="T887" i="11"/>
  <c r="K889" i="11"/>
  <c r="K891" i="11"/>
  <c r="J891" i="11"/>
  <c r="T891" i="11"/>
  <c r="J893" i="11"/>
  <c r="T893" i="11"/>
  <c r="K893" i="11"/>
  <c r="K895" i="11"/>
  <c r="J895" i="11"/>
  <c r="T895" i="11"/>
  <c r="K897" i="11"/>
  <c r="K899" i="11"/>
  <c r="J899" i="11"/>
  <c r="T899" i="11"/>
  <c r="J901" i="11"/>
  <c r="T901" i="11"/>
  <c r="K901" i="11"/>
  <c r="K903" i="11"/>
  <c r="J903" i="11"/>
  <c r="T903" i="11"/>
  <c r="J905" i="11"/>
  <c r="T905" i="11"/>
  <c r="K905" i="11"/>
  <c r="K907" i="11"/>
  <c r="J907" i="11"/>
  <c r="T907" i="11"/>
  <c r="J909" i="11"/>
  <c r="T909" i="11"/>
  <c r="K909" i="11"/>
  <c r="K911" i="11"/>
  <c r="J911" i="11"/>
  <c r="T911" i="11"/>
  <c r="K913" i="11"/>
  <c r="K915" i="11"/>
  <c r="J915" i="11"/>
  <c r="T915" i="11"/>
  <c r="J917" i="11"/>
  <c r="T917" i="11"/>
  <c r="K917" i="11"/>
  <c r="K919" i="11"/>
  <c r="J919" i="11"/>
  <c r="T919" i="11"/>
  <c r="K921" i="11"/>
  <c r="K923" i="11"/>
  <c r="J923" i="11"/>
  <c r="T923" i="11"/>
  <c r="J925" i="11"/>
  <c r="T925" i="11"/>
  <c r="K925" i="11"/>
  <c r="K927" i="11"/>
  <c r="J927" i="11"/>
  <c r="T927" i="11"/>
  <c r="J929" i="11"/>
  <c r="T929" i="11"/>
  <c r="K929" i="11"/>
  <c r="K931" i="11"/>
  <c r="J931" i="11"/>
  <c r="T931" i="11"/>
  <c r="J933" i="11"/>
  <c r="T933" i="11"/>
  <c r="K933" i="11"/>
  <c r="K935" i="11"/>
  <c r="J935" i="11"/>
  <c r="T935" i="11"/>
  <c r="K937" i="11"/>
  <c r="K939" i="11"/>
  <c r="J939" i="11"/>
  <c r="T939" i="11"/>
  <c r="J941" i="11"/>
  <c r="T941" i="11"/>
  <c r="K941" i="11"/>
  <c r="K943" i="11"/>
  <c r="J943" i="11"/>
  <c r="T943" i="11"/>
  <c r="K945" i="11"/>
  <c r="K947" i="11"/>
  <c r="J947" i="11"/>
  <c r="T947" i="11"/>
  <c r="J949" i="11"/>
  <c r="T949" i="11"/>
  <c r="K949" i="11"/>
  <c r="K951" i="11"/>
  <c r="J951" i="11"/>
  <c r="T951" i="11"/>
  <c r="J953" i="11"/>
  <c r="T953" i="11"/>
  <c r="K953" i="11"/>
  <c r="K955" i="11"/>
  <c r="J955" i="11"/>
  <c r="T955" i="11"/>
  <c r="J957" i="11"/>
  <c r="T957" i="11"/>
  <c r="K957" i="11"/>
  <c r="K959" i="11"/>
  <c r="J959" i="11"/>
  <c r="T959" i="11"/>
  <c r="J961" i="11"/>
  <c r="T961" i="11"/>
  <c r="K961" i="11"/>
  <c r="K963" i="11"/>
  <c r="J963" i="11"/>
  <c r="T963" i="11"/>
  <c r="J965" i="11"/>
  <c r="T965" i="11"/>
  <c r="K965" i="11"/>
  <c r="K967" i="11"/>
  <c r="J967" i="11"/>
  <c r="T967" i="11"/>
  <c r="J969" i="11"/>
  <c r="T969" i="11"/>
  <c r="K969" i="11"/>
  <c r="K971" i="11"/>
  <c r="J971" i="11"/>
  <c r="T971" i="11"/>
  <c r="J973" i="11"/>
  <c r="T973" i="11"/>
  <c r="K973" i="11"/>
  <c r="K975" i="11"/>
  <c r="J975" i="11"/>
  <c r="T975" i="11"/>
  <c r="J977" i="11"/>
  <c r="T977" i="11"/>
  <c r="K977" i="11"/>
  <c r="K979" i="11"/>
  <c r="J979" i="11"/>
  <c r="T979" i="11"/>
  <c r="J981" i="11"/>
  <c r="T981" i="11"/>
  <c r="K981" i="11"/>
  <c r="K983" i="11"/>
  <c r="J983" i="11"/>
  <c r="T983" i="11"/>
  <c r="J985" i="11"/>
  <c r="T985" i="11"/>
  <c r="K985" i="11"/>
  <c r="K987" i="11"/>
  <c r="J987" i="11"/>
  <c r="T987" i="11"/>
  <c r="J989" i="11"/>
  <c r="T989" i="11"/>
  <c r="K989" i="11"/>
  <c r="K991" i="11"/>
  <c r="J991" i="11"/>
  <c r="T991" i="11"/>
  <c r="J993" i="11"/>
  <c r="T993" i="11"/>
  <c r="K993" i="11"/>
  <c r="K995" i="11"/>
  <c r="J995" i="11"/>
  <c r="T995" i="11"/>
  <c r="J997" i="11"/>
  <c r="T997" i="11"/>
  <c r="K997" i="11"/>
  <c r="K999" i="11"/>
  <c r="J999" i="11"/>
  <c r="T999" i="11"/>
  <c r="J1001" i="11"/>
  <c r="T1001" i="11"/>
  <c r="K1001" i="11"/>
  <c r="K1003" i="11"/>
  <c r="J1003" i="11"/>
  <c r="T1003" i="11"/>
  <c r="J1005" i="11"/>
  <c r="T1005" i="11"/>
  <c r="K1005" i="11"/>
  <c r="K1007" i="11"/>
  <c r="J1007" i="11"/>
  <c r="T1007" i="11"/>
  <c r="J1009" i="11"/>
  <c r="T1009" i="11"/>
  <c r="K1009" i="11"/>
  <c r="K1011" i="11"/>
  <c r="J1011" i="11"/>
  <c r="T1011" i="11"/>
  <c r="J1013" i="11"/>
  <c r="T1013" i="11"/>
  <c r="K1013" i="11"/>
  <c r="K1015" i="11"/>
  <c r="J1015" i="11"/>
  <c r="T1015" i="11"/>
  <c r="J1017" i="11"/>
  <c r="T1017" i="11"/>
  <c r="K1017" i="11"/>
  <c r="K1019" i="11"/>
  <c r="J1019" i="11"/>
  <c r="T1019" i="11"/>
  <c r="J1021" i="11"/>
  <c r="T1021" i="11"/>
  <c r="K1021" i="11"/>
  <c r="K1023" i="11"/>
  <c r="J1023" i="11"/>
  <c r="T1023" i="11"/>
  <c r="J1025" i="11"/>
  <c r="T1025" i="11"/>
  <c r="K1025" i="11"/>
  <c r="K1027" i="11"/>
  <c r="J1027" i="11"/>
  <c r="T1027" i="11"/>
  <c r="J1029" i="11"/>
  <c r="T1029" i="11"/>
  <c r="K1029" i="11"/>
  <c r="K1031" i="11"/>
  <c r="J1031" i="11"/>
  <c r="T1031" i="11"/>
  <c r="J1033" i="11"/>
  <c r="T1033" i="11"/>
  <c r="K1033" i="11"/>
  <c r="K1035" i="11"/>
  <c r="J1035" i="11"/>
  <c r="T1035" i="11"/>
  <c r="J1037" i="11"/>
  <c r="T1037" i="11"/>
  <c r="K1037" i="11"/>
  <c r="K1039" i="11"/>
  <c r="J1039" i="11"/>
  <c r="T1039" i="11"/>
  <c r="J1041" i="11"/>
  <c r="T1041" i="11"/>
  <c r="K1041" i="11"/>
  <c r="K1043" i="11"/>
  <c r="J1043" i="11"/>
  <c r="T1043" i="11"/>
  <c r="J1045" i="11"/>
  <c r="T1045" i="11"/>
  <c r="K1045" i="11"/>
  <c r="K1047" i="11"/>
  <c r="J1047" i="11"/>
  <c r="T1047" i="11"/>
  <c r="J1049" i="11"/>
  <c r="T1049" i="11"/>
  <c r="K1049" i="11"/>
  <c r="K1051" i="11"/>
  <c r="J1051" i="11"/>
  <c r="T1051" i="11"/>
  <c r="J1053" i="11"/>
  <c r="T1053" i="11"/>
  <c r="K1053" i="11"/>
  <c r="K1055" i="11"/>
  <c r="J1055" i="11"/>
  <c r="T1055" i="11"/>
  <c r="J1057" i="11"/>
  <c r="T1057" i="11"/>
  <c r="K1057" i="11"/>
  <c r="K1059" i="11"/>
  <c r="J1059" i="11"/>
  <c r="T1059" i="11"/>
  <c r="J1061" i="11"/>
  <c r="T1061" i="11"/>
  <c r="K1061" i="11"/>
  <c r="K1063" i="11"/>
  <c r="J1063" i="11"/>
  <c r="T1063" i="11"/>
  <c r="J1065" i="11"/>
  <c r="T1065" i="11"/>
  <c r="K1065" i="11"/>
  <c r="K1067" i="11"/>
  <c r="J1067" i="11"/>
  <c r="T1067" i="11"/>
  <c r="J1069" i="11"/>
  <c r="T1069" i="11"/>
  <c r="K1069" i="11"/>
  <c r="K1071" i="11"/>
  <c r="J1071" i="11"/>
  <c r="T1071" i="11"/>
  <c r="J1073" i="11"/>
  <c r="T1073" i="11"/>
  <c r="K1073" i="11"/>
  <c r="K1075" i="11"/>
  <c r="J1075" i="11"/>
  <c r="T1075" i="11"/>
  <c r="J1077" i="11"/>
  <c r="T1077" i="11"/>
  <c r="K1077" i="11"/>
  <c r="K1079" i="11"/>
  <c r="J1079" i="11"/>
  <c r="T1079" i="11"/>
  <c r="J1081" i="11"/>
  <c r="T1081" i="11"/>
  <c r="K1081" i="11"/>
  <c r="K1083" i="11"/>
  <c r="J1083" i="11"/>
  <c r="T1083" i="11"/>
  <c r="J1085" i="11"/>
  <c r="T1085" i="11"/>
  <c r="K1085" i="11"/>
  <c r="K1087" i="11"/>
  <c r="J1087" i="11"/>
  <c r="T1087" i="11"/>
  <c r="J1089" i="11"/>
  <c r="T1089" i="11"/>
  <c r="K1089" i="11"/>
  <c r="K1091" i="11"/>
  <c r="J1091" i="11"/>
  <c r="T1091" i="11"/>
  <c r="J1093" i="11"/>
  <c r="T1093" i="11"/>
  <c r="K1093" i="11"/>
  <c r="K1095" i="11"/>
  <c r="J1095" i="11"/>
  <c r="T1095" i="11"/>
  <c r="J1097" i="11"/>
  <c r="T1097" i="11"/>
  <c r="K1097" i="11"/>
  <c r="K1099" i="11"/>
  <c r="J1099" i="11"/>
  <c r="T1099" i="11"/>
  <c r="J1101" i="11"/>
  <c r="T1101" i="11"/>
  <c r="K1101" i="11"/>
  <c r="K1103" i="11"/>
  <c r="J1103" i="11"/>
  <c r="T1103" i="11"/>
  <c r="J1105" i="11"/>
  <c r="T1105" i="11"/>
  <c r="K1105" i="11"/>
  <c r="K1107" i="11"/>
  <c r="J1107" i="11"/>
  <c r="T1107" i="11"/>
  <c r="J1109" i="11"/>
  <c r="T1109" i="11"/>
  <c r="K1109" i="11"/>
  <c r="K1111" i="11"/>
  <c r="J1111" i="11"/>
  <c r="T1111" i="11"/>
  <c r="J1113" i="11"/>
  <c r="T1113" i="11"/>
  <c r="K1113" i="11"/>
  <c r="K1115" i="11"/>
  <c r="J1115" i="11"/>
  <c r="T1115" i="11"/>
  <c r="J1117" i="11"/>
  <c r="T1117" i="11"/>
  <c r="K1117" i="11"/>
  <c r="K1119" i="11"/>
  <c r="J1119" i="11"/>
  <c r="T1119" i="11"/>
  <c r="J1121" i="11"/>
  <c r="T1121" i="11"/>
  <c r="K1121" i="11"/>
  <c r="K1123" i="11"/>
  <c r="J1123" i="11"/>
  <c r="T1123" i="11"/>
  <c r="J1125" i="11"/>
  <c r="T1125" i="11"/>
  <c r="K1125" i="11"/>
  <c r="K1127" i="11"/>
  <c r="J1127" i="11"/>
  <c r="T1127" i="11"/>
  <c r="J1129" i="11"/>
  <c r="T1129" i="11"/>
  <c r="K1129" i="11"/>
  <c r="K1131" i="11"/>
  <c r="J1131" i="11"/>
  <c r="T1131" i="11"/>
  <c r="J1133" i="11"/>
  <c r="T1133" i="11"/>
  <c r="K1133" i="11"/>
  <c r="K1135" i="11"/>
  <c r="J1135" i="11"/>
  <c r="T1135" i="11"/>
  <c r="J1137" i="11"/>
  <c r="T1137" i="11"/>
  <c r="K1137" i="11"/>
  <c r="K1139" i="11"/>
  <c r="J1139" i="11"/>
  <c r="T1139" i="11"/>
  <c r="J1141" i="11"/>
  <c r="T1141" i="11"/>
  <c r="K1141" i="11"/>
  <c r="K1143" i="11"/>
  <c r="J1143" i="11"/>
  <c r="T1143" i="11"/>
  <c r="J1145" i="11"/>
  <c r="T1145" i="11"/>
  <c r="K1145" i="11"/>
  <c r="K1147" i="11"/>
  <c r="J1147" i="11"/>
  <c r="T1147" i="11"/>
  <c r="J1149" i="11"/>
  <c r="T1149" i="11"/>
  <c r="K1149" i="11"/>
  <c r="K1151" i="11"/>
  <c r="J1151" i="11"/>
  <c r="T1151" i="11"/>
  <c r="J1153" i="11"/>
  <c r="T1153" i="11"/>
  <c r="K1153" i="11"/>
  <c r="K1155" i="11"/>
  <c r="J1155" i="11"/>
  <c r="T1155" i="11"/>
  <c r="J1157" i="11"/>
  <c r="T1157" i="11"/>
  <c r="K1157" i="11"/>
  <c r="K1159" i="11"/>
  <c r="J1159" i="11"/>
  <c r="T1159" i="11"/>
  <c r="J1161" i="11"/>
  <c r="T1161" i="11"/>
  <c r="K1161" i="11"/>
  <c r="K1163" i="11"/>
  <c r="J1163" i="11"/>
  <c r="T1163" i="11"/>
  <c r="J1165" i="11"/>
  <c r="T1165" i="11"/>
  <c r="K1165" i="11"/>
  <c r="K1167" i="11"/>
  <c r="J1167" i="11"/>
  <c r="T1167" i="11"/>
  <c r="J1169" i="11"/>
  <c r="T1169" i="11"/>
  <c r="K1169" i="11"/>
  <c r="K1171" i="11"/>
  <c r="J1171" i="11"/>
  <c r="T1171" i="11"/>
  <c r="J1173" i="11"/>
  <c r="T1173" i="11"/>
  <c r="K1173" i="11"/>
  <c r="K1175" i="11"/>
  <c r="J1175" i="11"/>
  <c r="T1175" i="11"/>
  <c r="J1177" i="11"/>
  <c r="T1177" i="11"/>
  <c r="K1177" i="11"/>
  <c r="K1179" i="11"/>
  <c r="J1179" i="11"/>
  <c r="T1179" i="11"/>
  <c r="J1181" i="11"/>
  <c r="T1181" i="11"/>
  <c r="K1181" i="11"/>
  <c r="K1183" i="11"/>
  <c r="J1183" i="11"/>
  <c r="T1183" i="11"/>
  <c r="J1185" i="11"/>
  <c r="T1185" i="11"/>
  <c r="K1185" i="11"/>
  <c r="K1187" i="11"/>
  <c r="J1187" i="11"/>
  <c r="T1187" i="11"/>
  <c r="J1189" i="11"/>
  <c r="T1189" i="11"/>
  <c r="K1189" i="11"/>
  <c r="K1191" i="11"/>
  <c r="J1191" i="11"/>
  <c r="T1191" i="11"/>
  <c r="J1193" i="11"/>
  <c r="T1193" i="11"/>
  <c r="K1193" i="11"/>
  <c r="K1195" i="11"/>
  <c r="J1195" i="11"/>
  <c r="T1195" i="11"/>
  <c r="J1197" i="11"/>
  <c r="T1197" i="11"/>
  <c r="K1197" i="11"/>
  <c r="K1199" i="11"/>
  <c r="J1199" i="11"/>
  <c r="T1199" i="11"/>
  <c r="J1201" i="11"/>
  <c r="T1201" i="11"/>
  <c r="K1201" i="11"/>
  <c r="K1203" i="11"/>
  <c r="J1203" i="11"/>
  <c r="T1203" i="11"/>
  <c r="J1205" i="11"/>
  <c r="T1205" i="11"/>
  <c r="K1205" i="11"/>
  <c r="K1207" i="11"/>
  <c r="J1207" i="11"/>
  <c r="T1207" i="11"/>
  <c r="J1209" i="11"/>
  <c r="T1209" i="11"/>
  <c r="K1209" i="11"/>
  <c r="K1211" i="11"/>
  <c r="J1211" i="11"/>
  <c r="T1211" i="11"/>
  <c r="J1213" i="11"/>
  <c r="T1213" i="11"/>
  <c r="K1213" i="11"/>
  <c r="K1215" i="11"/>
  <c r="J1215" i="11"/>
  <c r="T1215" i="11"/>
  <c r="J1217" i="11"/>
  <c r="T1217" i="11"/>
  <c r="K1217" i="11"/>
  <c r="K1219" i="11"/>
  <c r="J1219" i="11"/>
  <c r="T1219" i="11"/>
  <c r="J1221" i="11"/>
  <c r="T1221" i="11"/>
  <c r="K1221" i="11"/>
  <c r="K1223" i="11"/>
  <c r="J1223" i="11"/>
  <c r="T1223" i="11"/>
  <c r="J1225" i="11"/>
  <c r="T1225" i="11"/>
  <c r="K1225" i="11"/>
  <c r="K1227" i="11"/>
  <c r="J1227" i="11"/>
  <c r="T1227" i="11"/>
  <c r="J1229" i="11"/>
  <c r="T1229" i="11"/>
  <c r="K1229" i="11"/>
  <c r="K1231" i="11"/>
  <c r="J1231" i="11"/>
  <c r="T1231" i="11"/>
  <c r="J1233" i="11"/>
  <c r="T1233" i="11"/>
  <c r="K1233" i="11"/>
  <c r="K1235" i="11"/>
  <c r="J1235" i="11"/>
  <c r="T1235" i="11"/>
  <c r="J1237" i="11"/>
  <c r="T1237" i="11"/>
  <c r="K1237" i="11"/>
  <c r="K1239" i="11"/>
  <c r="J1239" i="11"/>
  <c r="T1239" i="11"/>
  <c r="J1241" i="11"/>
  <c r="T1241" i="11"/>
  <c r="K1241" i="11"/>
  <c r="K1243" i="11"/>
  <c r="J1243" i="11"/>
  <c r="T1243" i="11"/>
  <c r="J1245" i="11"/>
  <c r="T1245" i="11"/>
  <c r="K1245" i="11"/>
  <c r="K1247" i="11"/>
  <c r="J1247" i="11"/>
  <c r="T1247" i="11"/>
  <c r="J1249" i="11"/>
  <c r="T1249" i="11"/>
  <c r="K1249" i="11"/>
  <c r="K1251" i="11"/>
  <c r="J1251" i="11"/>
  <c r="T1251" i="11"/>
  <c r="J1253" i="11"/>
  <c r="T1253" i="11"/>
  <c r="K1253" i="11"/>
  <c r="K1255" i="11"/>
  <c r="J1255" i="11"/>
  <c r="T1255" i="11"/>
  <c r="J1257" i="11"/>
  <c r="T1257" i="11"/>
  <c r="K1257" i="11"/>
  <c r="K1259" i="11"/>
  <c r="J1259" i="11"/>
  <c r="T1259" i="11"/>
  <c r="J1261" i="11"/>
  <c r="T1261" i="11"/>
  <c r="K1261" i="11"/>
  <c r="K1263" i="11"/>
  <c r="J1263" i="11"/>
  <c r="T1263" i="11"/>
  <c r="J1265" i="11"/>
  <c r="T1265" i="11"/>
  <c r="K1265" i="11"/>
  <c r="K1267" i="11"/>
  <c r="J1267" i="11"/>
  <c r="T1267" i="11"/>
  <c r="J1269" i="11"/>
  <c r="T1269" i="11"/>
  <c r="K1269" i="11"/>
  <c r="K1271" i="11"/>
  <c r="J1271" i="11"/>
  <c r="T1271" i="11"/>
  <c r="J1273" i="11"/>
  <c r="T1273" i="11"/>
  <c r="K1273" i="11"/>
  <c r="K1275" i="11"/>
  <c r="J1275" i="11"/>
  <c r="T1275" i="11"/>
  <c r="J1277" i="11"/>
  <c r="T1277" i="11"/>
  <c r="K1277" i="11"/>
  <c r="K1279" i="11"/>
  <c r="J1279" i="11"/>
  <c r="T1279" i="11"/>
  <c r="J1281" i="11"/>
  <c r="T1281" i="11"/>
  <c r="K1281" i="11"/>
  <c r="K1283" i="11"/>
  <c r="J1283" i="11"/>
  <c r="T1283" i="11"/>
  <c r="J1285" i="11"/>
  <c r="T1285" i="11"/>
  <c r="K1285" i="11"/>
  <c r="K1287" i="11"/>
  <c r="J1287" i="11"/>
  <c r="T1287" i="11"/>
  <c r="J1289" i="11"/>
  <c r="T1289" i="11"/>
  <c r="K1289" i="11"/>
  <c r="K1291" i="11"/>
  <c r="J1291" i="11"/>
  <c r="T1291" i="11"/>
  <c r="J1293" i="11"/>
  <c r="T1293" i="11"/>
  <c r="K1293" i="11"/>
  <c r="K1295" i="11"/>
  <c r="J1295" i="11"/>
  <c r="T1295" i="11"/>
  <c r="J1297" i="11"/>
  <c r="T1297" i="11"/>
  <c r="K1297" i="11"/>
  <c r="K1299" i="11"/>
  <c r="J1299" i="11"/>
  <c r="T1299" i="11"/>
  <c r="J1301" i="11"/>
  <c r="T1301" i="11"/>
  <c r="K1301" i="11"/>
  <c r="K1303" i="11"/>
  <c r="J1303" i="11"/>
  <c r="T1303" i="11"/>
  <c r="J1305" i="11"/>
  <c r="T1305" i="11"/>
  <c r="K1305" i="11"/>
  <c r="K1307" i="11"/>
  <c r="J1307" i="11"/>
  <c r="T1307" i="11"/>
  <c r="J1309" i="11"/>
  <c r="T1309" i="11"/>
  <c r="K1309" i="11"/>
  <c r="K1311" i="11"/>
  <c r="J1311" i="11"/>
  <c r="T1311" i="11"/>
  <c r="J1313" i="11"/>
  <c r="T1313" i="11"/>
  <c r="K1313" i="11"/>
  <c r="K1315" i="11"/>
  <c r="J1315" i="11"/>
  <c r="T1315" i="11"/>
  <c r="J1317" i="11"/>
  <c r="T1317" i="11"/>
  <c r="K1317" i="11"/>
  <c r="K1319" i="11"/>
  <c r="J1319" i="11"/>
  <c r="T1319" i="11"/>
  <c r="J1321" i="11"/>
  <c r="T1321" i="11"/>
  <c r="K1321" i="11"/>
  <c r="K1323" i="11"/>
  <c r="J1323" i="11"/>
  <c r="T1323" i="11"/>
  <c r="J1325" i="11"/>
  <c r="T1325" i="11"/>
  <c r="K1325" i="11"/>
  <c r="K1327" i="11"/>
  <c r="J1327" i="11"/>
  <c r="T1327" i="11"/>
  <c r="J1329" i="11"/>
  <c r="T1329" i="11"/>
  <c r="K1329" i="11"/>
  <c r="K1331" i="11"/>
  <c r="J1331" i="11"/>
  <c r="T1331" i="11"/>
  <c r="J1333" i="11"/>
  <c r="T1333" i="11"/>
  <c r="K1333" i="11"/>
  <c r="K1335" i="11"/>
  <c r="J1335" i="11"/>
  <c r="T1335" i="11"/>
  <c r="J1337" i="11"/>
  <c r="T1337" i="11"/>
  <c r="K1337" i="11"/>
  <c r="K1339" i="11"/>
  <c r="J1339" i="11"/>
  <c r="T1339" i="11"/>
  <c r="J1341" i="11"/>
  <c r="T1341" i="11"/>
  <c r="K1341" i="11"/>
  <c r="K1343" i="11"/>
  <c r="J1343" i="11"/>
  <c r="T1343" i="11"/>
  <c r="J1345" i="11"/>
  <c r="T1345" i="11"/>
  <c r="K1345" i="11"/>
  <c r="K1347" i="11"/>
  <c r="J1347" i="11"/>
  <c r="T1347" i="11"/>
  <c r="J1349" i="11"/>
  <c r="T1349" i="11"/>
  <c r="K1349" i="11"/>
  <c r="K1351" i="11"/>
  <c r="J1351" i="11"/>
  <c r="T1351" i="11"/>
  <c r="J1353" i="11"/>
  <c r="T1353" i="11"/>
  <c r="K1353" i="11"/>
  <c r="K1355" i="11"/>
  <c r="J1355" i="11"/>
  <c r="T1355" i="11"/>
  <c r="J1357" i="11"/>
  <c r="T1357" i="11"/>
  <c r="K1357" i="11"/>
  <c r="K1359" i="11"/>
  <c r="J1359" i="11"/>
  <c r="T1359" i="11"/>
  <c r="J1361" i="11"/>
  <c r="T1361" i="11"/>
  <c r="K1361" i="11"/>
  <c r="K1363" i="11"/>
  <c r="J1363" i="11"/>
  <c r="T1363" i="11"/>
  <c r="J1365" i="11"/>
  <c r="T1365" i="11"/>
  <c r="K1365" i="11"/>
  <c r="K1367" i="11"/>
  <c r="J1367" i="11"/>
  <c r="T1367" i="11"/>
  <c r="J1369" i="11"/>
  <c r="T1369" i="11"/>
  <c r="K1369" i="11"/>
  <c r="K1371" i="11"/>
  <c r="J1371" i="11"/>
  <c r="T1371" i="11"/>
  <c r="J1373" i="11"/>
  <c r="T1373" i="11"/>
  <c r="K1373" i="11"/>
  <c r="K1375" i="11"/>
  <c r="J1375" i="11"/>
  <c r="T1375" i="11"/>
  <c r="J1377" i="11"/>
  <c r="T1377" i="11"/>
  <c r="K1377" i="11"/>
  <c r="K1379" i="11"/>
  <c r="J1379" i="11"/>
  <c r="T1379" i="11"/>
  <c r="J1381" i="11"/>
  <c r="T1381" i="11"/>
  <c r="K1381" i="11"/>
  <c r="K1383" i="11"/>
  <c r="J1383" i="11"/>
  <c r="T1383" i="11"/>
  <c r="J1385" i="11"/>
  <c r="T1385" i="11"/>
  <c r="K1385" i="11"/>
  <c r="K1387" i="11"/>
  <c r="J1387" i="11"/>
  <c r="T1387" i="11"/>
  <c r="J1389" i="11"/>
  <c r="T1389" i="11"/>
  <c r="K1389" i="11"/>
  <c r="K1391" i="11"/>
  <c r="J1391" i="11"/>
  <c r="T1391" i="11"/>
  <c r="J1393" i="11"/>
  <c r="T1393" i="11"/>
  <c r="K1393" i="11"/>
  <c r="K1395" i="11"/>
  <c r="J1395" i="11"/>
  <c r="T1395" i="11"/>
  <c r="J1397" i="11"/>
  <c r="T1397" i="11"/>
  <c r="K1397" i="11"/>
  <c r="K1399" i="11"/>
  <c r="J1399" i="11"/>
  <c r="T1399" i="11"/>
  <c r="J1401" i="11"/>
  <c r="T1401" i="11"/>
  <c r="K1401" i="11"/>
  <c r="K1403" i="11"/>
  <c r="J1403" i="11"/>
  <c r="T1403" i="11"/>
  <c r="J1405" i="11"/>
  <c r="T1405" i="11"/>
  <c r="K1405" i="11"/>
  <c r="K1407" i="11"/>
  <c r="J1407" i="11"/>
  <c r="T1407" i="11"/>
  <c r="J1409" i="11"/>
  <c r="T1409" i="11"/>
  <c r="K1409" i="11"/>
  <c r="K1411" i="11"/>
  <c r="J1411" i="11"/>
  <c r="T1411" i="11"/>
  <c r="J1413" i="11"/>
  <c r="T1413" i="11"/>
  <c r="K1413" i="11"/>
  <c r="K1415" i="11"/>
  <c r="J1415" i="11"/>
  <c r="T1415" i="11"/>
  <c r="J1417" i="11"/>
  <c r="T1417" i="11"/>
  <c r="K1417" i="11"/>
  <c r="K1419" i="11"/>
  <c r="J1419" i="11"/>
  <c r="T1419" i="11"/>
  <c r="J1421" i="11"/>
  <c r="T1421" i="11"/>
  <c r="K1421" i="11"/>
  <c r="K1423" i="11"/>
  <c r="J1423" i="11"/>
  <c r="T1423" i="11"/>
  <c r="J1425" i="11"/>
  <c r="T1425" i="11"/>
  <c r="K1425" i="11"/>
  <c r="K1427" i="11"/>
  <c r="J1427" i="11"/>
  <c r="T1427" i="11"/>
  <c r="J1429" i="11"/>
  <c r="T1429" i="11"/>
  <c r="K1429" i="11"/>
  <c r="K1431" i="11"/>
  <c r="J1431" i="11"/>
  <c r="T1431" i="11"/>
  <c r="J1433" i="11"/>
  <c r="T1433" i="11"/>
  <c r="K1433" i="11"/>
  <c r="K1435" i="11"/>
  <c r="J1435" i="11"/>
  <c r="T1435" i="11"/>
  <c r="J1437" i="11"/>
  <c r="T1437" i="11"/>
  <c r="K1437" i="11"/>
  <c r="K1439" i="11"/>
  <c r="J1439" i="11"/>
  <c r="T1439" i="11"/>
  <c r="J1441" i="11"/>
  <c r="T1441" i="11"/>
  <c r="K1441" i="11"/>
  <c r="K1443" i="11"/>
  <c r="J1443" i="11"/>
  <c r="T1443" i="11"/>
  <c r="J1445" i="11"/>
  <c r="T1445" i="11"/>
  <c r="K1445" i="11"/>
  <c r="K1447" i="11"/>
  <c r="J1447" i="11"/>
  <c r="T1447" i="11"/>
  <c r="J1449" i="11"/>
  <c r="T1449" i="11"/>
  <c r="K1449" i="11"/>
  <c r="K1451" i="11"/>
  <c r="J1451" i="11"/>
  <c r="T1451" i="11"/>
  <c r="J1453" i="11"/>
  <c r="T1453" i="11"/>
  <c r="K1453" i="11"/>
  <c r="K1455" i="11"/>
  <c r="J1455" i="11"/>
  <c r="T1455" i="11"/>
  <c r="J1457" i="11"/>
  <c r="T1457" i="11"/>
  <c r="K1457" i="11"/>
  <c r="K1459" i="11"/>
  <c r="J1459" i="11"/>
  <c r="T1459" i="11"/>
  <c r="J1461" i="11"/>
  <c r="T1461" i="11"/>
  <c r="K1461" i="11"/>
  <c r="K1463" i="11"/>
  <c r="J1463" i="11"/>
  <c r="T1463" i="11"/>
  <c r="J1465" i="11"/>
  <c r="T1465" i="11"/>
  <c r="K1465" i="11"/>
  <c r="K1467" i="11"/>
  <c r="J1467" i="11"/>
  <c r="T1467" i="11"/>
  <c r="J1469" i="11"/>
  <c r="T1469" i="11"/>
  <c r="K1469" i="11"/>
  <c r="K1471" i="11"/>
  <c r="J1471" i="11"/>
  <c r="T1471" i="11"/>
  <c r="J1473" i="11"/>
  <c r="T1473" i="11"/>
  <c r="K1473" i="11"/>
  <c r="K1475" i="11"/>
  <c r="J1475" i="11"/>
  <c r="T1475" i="11"/>
  <c r="J1477" i="11"/>
  <c r="T1477" i="11"/>
  <c r="K1477" i="11"/>
  <c r="K1479" i="11"/>
  <c r="J1479" i="11"/>
  <c r="T1479" i="11"/>
  <c r="J1481" i="11"/>
  <c r="T1481" i="11"/>
  <c r="K1481" i="11"/>
  <c r="K1483" i="11"/>
  <c r="J1483" i="11"/>
  <c r="T1483" i="11"/>
  <c r="J1485" i="11"/>
  <c r="T1485" i="11"/>
  <c r="K1485" i="11"/>
  <c r="K1487" i="11"/>
  <c r="J1487" i="11"/>
  <c r="T1487" i="11"/>
  <c r="J1489" i="11"/>
  <c r="T1489" i="11"/>
  <c r="K1489" i="11"/>
  <c r="K1491" i="11"/>
  <c r="J1491" i="11"/>
  <c r="T1491" i="11"/>
  <c r="J1493" i="11"/>
  <c r="T1493" i="11"/>
  <c r="K1493" i="11"/>
  <c r="K1495" i="11"/>
  <c r="J1495" i="11"/>
  <c r="T1495" i="11"/>
  <c r="J1497" i="11"/>
  <c r="T1497" i="11"/>
  <c r="K1497" i="11"/>
  <c r="K1499" i="11"/>
  <c r="J1499" i="11"/>
  <c r="T1499" i="11"/>
  <c r="J1501" i="11"/>
  <c r="T1501" i="11"/>
  <c r="K1501" i="11"/>
  <c r="K1503" i="11"/>
  <c r="J1503" i="11"/>
  <c r="T1503" i="11"/>
  <c r="J1505" i="11"/>
  <c r="T1505" i="11"/>
  <c r="K1505" i="11"/>
  <c r="K1507" i="11"/>
  <c r="J1507" i="11"/>
  <c r="T1507" i="11"/>
  <c r="J1509" i="11"/>
  <c r="T1509" i="11"/>
  <c r="K1509" i="11"/>
  <c r="K1511" i="11"/>
  <c r="J1511" i="11"/>
  <c r="T1511" i="11"/>
  <c r="J1513" i="11"/>
  <c r="T1513" i="11"/>
  <c r="K1513" i="11"/>
  <c r="K1515" i="11"/>
  <c r="J1515" i="11"/>
  <c r="T1515" i="11"/>
  <c r="J1517" i="11"/>
  <c r="T1517" i="11"/>
  <c r="K1517" i="11"/>
  <c r="K1519" i="11"/>
  <c r="J1519" i="11"/>
  <c r="T1519" i="11"/>
  <c r="J1521" i="11"/>
  <c r="T1521" i="11"/>
  <c r="K1521" i="11"/>
  <c r="K1523" i="11"/>
  <c r="J1523" i="11"/>
  <c r="T1523" i="11"/>
  <c r="J1525" i="11"/>
  <c r="T1525" i="11"/>
  <c r="K1525" i="11"/>
  <c r="K1527" i="11"/>
  <c r="J1527" i="11"/>
  <c r="T1527" i="11"/>
  <c r="J1529" i="11"/>
  <c r="T1529" i="11"/>
  <c r="K1529" i="11"/>
  <c r="K1531" i="11"/>
  <c r="J1531" i="11"/>
  <c r="T1531" i="11"/>
  <c r="J1533" i="11"/>
  <c r="T1533" i="11"/>
  <c r="K1533" i="11"/>
  <c r="K1535" i="11"/>
  <c r="J1535" i="11"/>
  <c r="T1535" i="11"/>
  <c r="J1537" i="11"/>
  <c r="T1537" i="11"/>
  <c r="K1537" i="11"/>
  <c r="K1539" i="11"/>
  <c r="J1539" i="11"/>
  <c r="T1539" i="11"/>
  <c r="J1541" i="11"/>
  <c r="T1541" i="11"/>
  <c r="K1541" i="11"/>
  <c r="K1543" i="11"/>
  <c r="J1543" i="11"/>
  <c r="T1543" i="11"/>
  <c r="J1545" i="11"/>
  <c r="T1545" i="11"/>
  <c r="K1545" i="11"/>
  <c r="K1547" i="11"/>
  <c r="J1547" i="11"/>
  <c r="T1547" i="11"/>
  <c r="J1549" i="11"/>
  <c r="T1549" i="11"/>
  <c r="K1549" i="11"/>
  <c r="K1551" i="11"/>
  <c r="J1551" i="11"/>
  <c r="T1551" i="11"/>
  <c r="J1553" i="11"/>
  <c r="T1553" i="11"/>
  <c r="K1553" i="11"/>
  <c r="K1555" i="11"/>
  <c r="J1555" i="11"/>
  <c r="T1555" i="11"/>
  <c r="J1557" i="11"/>
  <c r="T1557" i="11"/>
  <c r="K1557" i="11"/>
  <c r="K1559" i="11"/>
  <c r="J1559" i="11"/>
  <c r="T1559" i="11"/>
  <c r="J1561" i="11"/>
  <c r="T1561" i="11"/>
  <c r="K1561" i="11"/>
  <c r="K1563" i="11"/>
  <c r="J1563" i="11"/>
  <c r="T1563" i="11"/>
  <c r="J1565" i="11"/>
  <c r="T1565" i="11"/>
  <c r="K1565" i="11"/>
  <c r="K1567" i="11"/>
  <c r="J1567" i="11"/>
  <c r="T1567" i="11"/>
  <c r="J1569" i="11"/>
  <c r="T1569" i="11"/>
  <c r="K1569" i="11"/>
  <c r="K1571" i="11"/>
  <c r="J1571" i="11"/>
  <c r="T1571" i="11"/>
  <c r="J1573" i="11"/>
  <c r="T1573" i="11"/>
  <c r="K1573" i="11"/>
  <c r="K1575" i="11"/>
  <c r="J1575" i="11"/>
  <c r="T1575" i="11"/>
  <c r="J1577" i="11"/>
  <c r="T1577" i="11"/>
  <c r="K1577" i="11"/>
  <c r="K1579" i="11"/>
  <c r="J1579" i="11"/>
  <c r="T1579" i="11"/>
  <c r="J1581" i="11"/>
  <c r="T1581" i="11"/>
  <c r="K1581" i="11"/>
  <c r="K1583" i="11"/>
  <c r="J1583" i="11"/>
  <c r="T1583" i="11"/>
  <c r="J1585" i="11"/>
  <c r="T1585" i="11"/>
  <c r="K1585" i="11"/>
  <c r="K1587" i="11"/>
  <c r="J1587" i="11"/>
  <c r="T1587" i="11"/>
  <c r="J1589" i="11"/>
  <c r="T1589" i="11"/>
  <c r="K1589" i="11"/>
  <c r="K1591" i="11"/>
  <c r="J1591" i="11"/>
  <c r="T1591" i="11"/>
  <c r="J1593" i="11"/>
  <c r="T1593" i="11"/>
  <c r="K1593" i="11"/>
  <c r="K1595" i="11"/>
  <c r="J1595" i="11"/>
  <c r="T1595" i="11"/>
  <c r="J1597" i="11"/>
  <c r="T1597" i="11"/>
  <c r="K1597" i="11"/>
  <c r="K1599" i="11"/>
  <c r="J1599" i="11"/>
  <c r="T1599" i="11"/>
  <c r="J1601" i="11"/>
  <c r="T1601" i="11"/>
  <c r="K1601" i="11"/>
  <c r="K1603" i="11"/>
  <c r="J1603" i="11"/>
  <c r="T1603" i="11"/>
  <c r="J1605" i="11"/>
  <c r="T1605" i="11"/>
  <c r="K1605" i="11"/>
  <c r="K1607" i="11"/>
  <c r="J1607" i="11"/>
  <c r="T1607" i="11"/>
  <c r="J1609" i="11"/>
  <c r="T1609" i="11"/>
  <c r="K1609" i="11"/>
  <c r="K1611" i="11"/>
  <c r="J1611" i="11"/>
  <c r="T1611" i="11"/>
  <c r="J1613" i="11"/>
  <c r="T1613" i="11"/>
  <c r="K1613" i="11"/>
  <c r="K1615" i="11"/>
  <c r="J1615" i="11"/>
  <c r="T1615" i="11"/>
  <c r="J1617" i="11"/>
  <c r="T1617" i="11"/>
  <c r="K1617" i="11"/>
  <c r="K1619" i="11"/>
  <c r="J1619" i="11"/>
  <c r="T1619" i="11"/>
  <c r="J1621" i="11"/>
  <c r="T1621" i="11"/>
  <c r="K1621" i="11"/>
  <c r="K1623" i="11"/>
  <c r="J1623" i="11"/>
  <c r="T1623" i="11"/>
  <c r="J1625" i="11"/>
  <c r="T1625" i="11"/>
  <c r="K1625" i="11"/>
  <c r="K1627" i="11"/>
  <c r="J1627" i="11"/>
  <c r="T1627" i="11"/>
  <c r="J1629" i="11"/>
  <c r="T1629" i="11"/>
  <c r="K1629" i="11"/>
  <c r="K1631" i="11"/>
  <c r="J1631" i="11"/>
  <c r="T1631" i="11"/>
  <c r="J1633" i="11"/>
  <c r="T1633" i="11"/>
  <c r="K1633" i="11"/>
  <c r="K1635" i="11"/>
  <c r="J1635" i="11"/>
  <c r="T1635" i="11"/>
  <c r="J1637" i="11"/>
  <c r="T1637" i="11"/>
  <c r="K1637" i="11"/>
  <c r="K1639" i="11"/>
  <c r="J1639" i="11"/>
  <c r="T1639" i="11"/>
  <c r="J1641" i="11"/>
  <c r="T1641" i="11"/>
  <c r="K1641" i="11"/>
  <c r="K1643" i="11"/>
  <c r="J1643" i="11"/>
  <c r="T1643" i="11"/>
  <c r="J1645" i="11"/>
  <c r="T1645" i="11"/>
  <c r="K1645" i="11"/>
  <c r="K1647" i="11"/>
  <c r="J1647" i="11"/>
  <c r="T1647" i="11"/>
  <c r="J1649" i="11"/>
  <c r="T1649" i="11"/>
  <c r="K1649" i="11"/>
  <c r="K1651" i="11"/>
  <c r="J1651" i="11"/>
  <c r="T1651" i="11"/>
  <c r="J1653" i="11"/>
  <c r="T1653" i="11"/>
  <c r="K1653" i="11"/>
  <c r="K1655" i="11"/>
  <c r="J1655" i="11"/>
  <c r="T1655" i="11"/>
  <c r="J1657" i="11"/>
  <c r="T1657" i="11"/>
  <c r="K1657" i="11"/>
  <c r="K1659" i="11"/>
  <c r="J1659" i="11"/>
  <c r="T1659" i="11"/>
  <c r="J1661" i="11"/>
  <c r="T1661" i="11"/>
  <c r="K1661" i="11"/>
  <c r="K1663" i="11"/>
  <c r="J1663" i="11"/>
  <c r="T1663" i="11"/>
  <c r="J1665" i="11"/>
  <c r="T1665" i="11"/>
  <c r="K1665" i="11"/>
  <c r="K1667" i="11"/>
  <c r="J1667" i="11"/>
  <c r="T1667" i="11"/>
  <c r="J1669" i="11"/>
  <c r="T1669" i="11"/>
  <c r="K1669" i="11"/>
  <c r="K1671" i="11"/>
  <c r="J1671" i="11"/>
  <c r="T1671" i="11"/>
  <c r="J1673" i="11"/>
  <c r="T1673" i="11"/>
  <c r="K1673" i="11"/>
  <c r="K1675" i="11"/>
  <c r="J1675" i="11"/>
  <c r="T1675" i="11"/>
  <c r="J1677" i="11"/>
  <c r="T1677" i="11"/>
  <c r="K1677" i="11"/>
  <c r="K1679" i="11"/>
  <c r="J1679" i="11"/>
  <c r="T1679" i="11"/>
  <c r="J1681" i="11"/>
  <c r="T1681" i="11"/>
  <c r="K1681" i="11"/>
  <c r="K1683" i="11"/>
  <c r="J1683" i="11"/>
  <c r="T1683" i="11"/>
  <c r="J1685" i="11"/>
  <c r="T1685" i="11"/>
  <c r="K1685" i="11"/>
  <c r="K1687" i="11"/>
  <c r="J1687" i="11"/>
  <c r="T1687" i="11"/>
  <c r="J1689" i="11"/>
  <c r="T1689" i="11"/>
  <c r="K1689" i="11"/>
  <c r="K1691" i="11"/>
  <c r="J1691" i="11"/>
  <c r="T1691" i="11"/>
  <c r="J1693" i="11"/>
  <c r="T1693" i="11"/>
  <c r="K1693" i="11"/>
  <c r="K1695" i="11"/>
  <c r="J1695" i="11"/>
  <c r="T1695" i="11"/>
  <c r="J1697" i="11"/>
  <c r="T1697" i="11"/>
  <c r="K1697" i="11"/>
  <c r="K1699" i="11"/>
  <c r="J1699" i="11"/>
  <c r="T1699" i="11"/>
  <c r="J1701" i="11"/>
  <c r="T1701" i="11"/>
  <c r="K1701" i="11"/>
  <c r="K1703" i="11"/>
  <c r="J1703" i="11"/>
  <c r="T1703" i="11"/>
  <c r="J1705" i="11"/>
  <c r="T1705" i="11"/>
  <c r="K1705" i="11"/>
  <c r="K1707" i="11"/>
  <c r="J1707" i="11"/>
  <c r="T1707" i="11"/>
  <c r="J1709" i="11"/>
  <c r="T1709" i="11"/>
  <c r="K1709" i="11"/>
  <c r="K1711" i="11"/>
  <c r="J1711" i="11"/>
  <c r="T1711" i="11"/>
  <c r="J1713" i="11"/>
  <c r="T1713" i="11"/>
  <c r="K1713" i="11"/>
  <c r="K1715" i="11"/>
  <c r="J1715" i="11"/>
  <c r="T1715" i="11"/>
  <c r="J1717" i="11"/>
  <c r="T1717" i="11"/>
  <c r="K1717" i="11"/>
  <c r="K1719" i="11"/>
  <c r="J1719" i="11"/>
  <c r="T1719" i="11"/>
  <c r="J1721" i="11"/>
  <c r="T1721" i="11"/>
  <c r="K1721" i="11"/>
  <c r="K1723" i="11"/>
  <c r="J1723" i="11"/>
  <c r="T1723" i="11"/>
  <c r="J1725" i="11"/>
  <c r="T1725" i="11"/>
  <c r="K1725" i="11"/>
  <c r="K1727" i="11"/>
  <c r="J1727" i="11"/>
  <c r="T1727" i="11"/>
  <c r="J1729" i="11"/>
  <c r="T1729" i="11"/>
  <c r="K1729" i="11"/>
  <c r="K1731" i="11"/>
  <c r="J1731" i="11"/>
  <c r="T1731" i="11"/>
  <c r="J1733" i="11"/>
  <c r="T1733" i="11"/>
  <c r="K1733" i="11"/>
  <c r="K1735" i="11"/>
  <c r="J1735" i="11"/>
  <c r="T1735" i="11"/>
  <c r="J1737" i="11"/>
  <c r="T1737" i="11"/>
  <c r="K1737" i="11"/>
  <c r="K1739" i="11"/>
  <c r="J1739" i="11"/>
  <c r="T1739" i="11"/>
  <c r="J1741" i="11"/>
  <c r="T1741" i="11"/>
  <c r="K1741" i="11"/>
  <c r="K1743" i="11"/>
  <c r="J1743" i="11"/>
  <c r="T1743" i="11"/>
  <c r="J1745" i="11"/>
  <c r="T1745" i="11"/>
  <c r="K1745" i="11"/>
  <c r="K1747" i="11"/>
  <c r="J1747" i="11"/>
  <c r="T1747" i="11"/>
  <c r="J1749" i="11"/>
  <c r="T1749" i="11"/>
  <c r="K1749" i="11"/>
  <c r="K1751" i="11"/>
  <c r="J1751" i="11"/>
  <c r="T1751" i="11"/>
  <c r="J1753" i="11"/>
  <c r="T1753" i="11"/>
  <c r="K1753" i="11"/>
  <c r="K1755" i="11"/>
  <c r="J1755" i="11"/>
  <c r="T1755" i="11"/>
  <c r="J1757" i="11"/>
  <c r="T1757" i="11"/>
  <c r="K1757" i="11"/>
  <c r="K1759" i="11"/>
  <c r="J1759" i="11"/>
  <c r="T1759" i="11"/>
  <c r="J1761" i="11"/>
  <c r="T1761" i="11"/>
  <c r="K1761" i="11"/>
  <c r="K1763" i="11"/>
  <c r="J1763" i="11"/>
  <c r="T1763" i="11"/>
  <c r="J1765" i="11"/>
  <c r="T1765" i="11"/>
  <c r="K1765" i="11"/>
  <c r="K1767" i="11"/>
  <c r="J1767" i="11"/>
  <c r="T1767" i="11"/>
  <c r="J1769" i="11"/>
  <c r="T1769" i="11"/>
  <c r="K1769" i="11"/>
  <c r="K1771" i="11"/>
  <c r="J1771" i="11"/>
  <c r="T1771" i="11"/>
  <c r="J1773" i="11"/>
  <c r="T1773" i="11"/>
  <c r="K1773" i="11"/>
  <c r="K1775" i="11"/>
  <c r="J1775" i="11"/>
  <c r="T1775" i="11"/>
  <c r="J1777" i="11"/>
  <c r="T1777" i="11"/>
  <c r="K1777" i="11"/>
  <c r="K1779" i="11"/>
  <c r="J1779" i="11"/>
  <c r="T1779" i="11"/>
  <c r="J1781" i="11"/>
  <c r="T1781" i="11"/>
  <c r="K1781" i="11"/>
  <c r="K1783" i="11"/>
  <c r="J1783" i="11"/>
  <c r="T1783" i="11"/>
  <c r="J1785" i="11"/>
  <c r="T1785" i="11"/>
  <c r="K1785" i="11"/>
  <c r="K1787" i="11"/>
  <c r="J1787" i="11"/>
  <c r="T1787" i="11"/>
  <c r="J1789" i="11"/>
  <c r="T1789" i="11"/>
  <c r="K1789" i="11"/>
  <c r="K1791" i="11"/>
  <c r="J1791" i="11"/>
  <c r="T1791" i="11"/>
  <c r="J1793" i="11"/>
  <c r="T1793" i="11"/>
  <c r="K1793" i="11"/>
  <c r="K1795" i="11"/>
  <c r="J1795" i="11"/>
  <c r="T1795" i="11"/>
  <c r="J1797" i="11"/>
  <c r="T1797" i="11"/>
  <c r="K1797" i="11"/>
  <c r="K1799" i="11"/>
  <c r="J1799" i="11"/>
  <c r="T1799" i="11"/>
  <c r="J1801" i="11"/>
  <c r="T1801" i="11"/>
  <c r="K1801" i="11"/>
  <c r="K1803" i="11"/>
  <c r="J1803" i="11"/>
  <c r="T1803" i="11"/>
  <c r="J1805" i="11"/>
  <c r="T1805" i="11"/>
  <c r="K1805" i="11"/>
  <c r="K1807" i="11"/>
  <c r="J1807" i="11"/>
  <c r="T1807" i="11"/>
  <c r="J1809" i="11"/>
  <c r="T1809" i="11"/>
  <c r="K1809" i="11"/>
  <c r="K1811" i="11"/>
  <c r="J1811" i="11"/>
  <c r="T1811" i="11"/>
  <c r="J1813" i="11"/>
  <c r="T1813" i="11"/>
  <c r="K1813" i="11"/>
  <c r="K1815" i="11"/>
  <c r="J1815" i="11"/>
  <c r="T1815" i="11"/>
  <c r="J1817" i="11"/>
  <c r="T1817" i="11"/>
  <c r="K1817" i="11"/>
  <c r="K1819" i="11"/>
  <c r="J1819" i="11"/>
  <c r="T1819" i="11"/>
  <c r="J1821" i="11"/>
  <c r="T1821" i="11"/>
  <c r="K1821" i="11"/>
  <c r="K1823" i="11"/>
  <c r="J1823" i="11"/>
  <c r="T1823" i="11"/>
  <c r="J1825" i="11"/>
  <c r="T1825" i="11"/>
  <c r="K1825" i="11"/>
  <c r="K1827" i="11"/>
  <c r="J1827" i="11"/>
  <c r="T1827" i="11"/>
  <c r="J1829" i="11"/>
  <c r="T1829" i="11"/>
  <c r="K1829" i="11"/>
  <c r="K1831" i="11"/>
  <c r="J1831" i="11"/>
  <c r="T1831" i="11"/>
  <c r="J1833" i="11"/>
  <c r="T1833" i="11"/>
  <c r="K1833" i="11"/>
  <c r="K1835" i="11"/>
  <c r="J1835" i="11"/>
  <c r="T1835" i="11"/>
  <c r="J1837" i="11"/>
  <c r="T1837" i="11"/>
  <c r="K1837" i="11"/>
  <c r="K1839" i="11"/>
  <c r="J1839" i="11"/>
  <c r="T1839" i="11"/>
  <c r="J1841" i="11"/>
  <c r="T1841" i="11"/>
  <c r="K1841" i="11"/>
  <c r="K1843" i="11"/>
  <c r="J1843" i="11"/>
  <c r="T1843" i="11"/>
  <c r="J1845" i="11"/>
  <c r="T1845" i="11"/>
  <c r="K1845" i="11"/>
  <c r="K1847" i="11"/>
  <c r="J1847" i="11"/>
  <c r="T1847" i="11"/>
  <c r="J1849" i="11"/>
  <c r="T1849" i="11"/>
  <c r="K1849" i="11"/>
  <c r="K1851" i="11"/>
  <c r="J1851" i="11"/>
  <c r="T1851" i="11"/>
  <c r="J1853" i="11"/>
  <c r="T1853" i="11"/>
  <c r="K1853" i="11"/>
  <c r="K1855" i="11"/>
  <c r="J1855" i="11"/>
  <c r="T1855" i="11"/>
  <c r="J1857" i="11"/>
  <c r="T1857" i="11"/>
  <c r="K1857" i="11"/>
  <c r="K1859" i="11"/>
  <c r="J1859" i="11"/>
  <c r="T1859" i="11"/>
  <c r="J1861" i="11"/>
  <c r="T1861" i="11"/>
  <c r="K1861" i="11"/>
  <c r="K1863" i="11"/>
  <c r="J1863" i="11"/>
  <c r="T1863" i="11"/>
  <c r="J1865" i="11"/>
  <c r="T1865" i="11"/>
  <c r="K1865" i="11"/>
  <c r="K1867" i="11"/>
  <c r="J1867" i="11"/>
  <c r="T1867" i="11"/>
  <c r="J1869" i="11"/>
  <c r="T1869" i="11"/>
  <c r="K1869" i="11"/>
  <c r="K1871" i="11"/>
  <c r="J1871" i="11"/>
  <c r="T1871" i="11"/>
  <c r="J1873" i="11"/>
  <c r="T1873" i="11"/>
  <c r="K1873" i="11"/>
  <c r="K1875" i="11"/>
  <c r="J1875" i="11"/>
  <c r="T1875" i="11"/>
  <c r="J1877" i="11"/>
  <c r="T1877" i="11"/>
  <c r="K1877" i="11"/>
  <c r="K1879" i="11"/>
  <c r="J1879" i="11"/>
  <c r="T1879" i="11"/>
  <c r="J1881" i="11"/>
  <c r="T1881" i="11"/>
  <c r="K1881" i="11"/>
  <c r="K1883" i="11"/>
  <c r="J1883" i="11"/>
  <c r="T1883" i="11"/>
  <c r="J1885" i="11"/>
  <c r="T1885" i="11"/>
  <c r="K1885" i="11"/>
  <c r="K1887" i="11"/>
  <c r="J1887" i="11"/>
  <c r="T1887" i="11"/>
  <c r="J1889" i="11"/>
  <c r="T1889" i="11"/>
  <c r="K1889" i="11"/>
  <c r="K1891" i="11"/>
  <c r="J1891" i="11"/>
  <c r="T1891" i="11"/>
  <c r="J1893" i="11"/>
  <c r="T1893" i="11"/>
  <c r="K1893" i="11"/>
  <c r="K1895" i="11"/>
  <c r="J1895" i="11"/>
  <c r="T1895" i="11"/>
  <c r="J1897" i="11"/>
  <c r="T1897" i="11"/>
  <c r="K1897" i="11"/>
  <c r="K1899" i="11"/>
  <c r="J1899" i="11"/>
  <c r="T1899" i="11"/>
  <c r="J1901" i="11"/>
  <c r="T1901" i="11"/>
  <c r="K1901" i="11"/>
  <c r="K1903" i="11"/>
  <c r="J1903" i="11"/>
  <c r="T1903" i="11"/>
  <c r="J1905" i="11"/>
  <c r="T1905" i="11"/>
  <c r="K1905" i="11"/>
  <c r="K1907" i="11"/>
  <c r="J1907" i="11"/>
  <c r="T1907" i="11"/>
  <c r="J1909" i="11"/>
  <c r="T1909" i="11"/>
  <c r="K1909" i="11"/>
  <c r="K1911" i="11"/>
  <c r="J1911" i="11"/>
  <c r="T1911" i="11"/>
  <c r="J1913" i="11"/>
  <c r="T1913" i="11"/>
  <c r="K1913" i="11"/>
  <c r="K1915" i="11"/>
  <c r="J1915" i="11"/>
  <c r="T1915" i="11"/>
  <c r="J1917" i="11"/>
  <c r="T1917" i="11"/>
  <c r="K1917" i="11"/>
  <c r="K1919" i="11"/>
  <c r="J1919" i="11"/>
  <c r="T1919" i="11"/>
  <c r="J1921" i="11"/>
  <c r="T1921" i="11"/>
  <c r="K1921" i="11"/>
  <c r="K1923" i="11"/>
  <c r="J1923" i="11"/>
  <c r="T1923" i="11"/>
  <c r="J1925" i="11"/>
  <c r="T1925" i="11"/>
  <c r="K1925" i="11"/>
  <c r="K1927" i="11"/>
  <c r="J1927" i="11"/>
  <c r="T1927" i="11"/>
  <c r="J1929" i="11"/>
  <c r="T1929" i="11"/>
  <c r="K1929" i="11"/>
  <c r="K1931" i="11"/>
  <c r="J1931" i="11"/>
  <c r="T1931" i="11"/>
  <c r="J1933" i="11"/>
  <c r="T1933" i="11"/>
  <c r="K1933" i="11"/>
  <c r="K1935" i="11"/>
  <c r="J1935" i="11"/>
  <c r="T1935" i="11"/>
  <c r="J1937" i="11"/>
  <c r="T1937" i="11"/>
  <c r="K1937" i="11"/>
  <c r="K1939" i="11"/>
  <c r="J1939" i="11"/>
  <c r="T1939" i="11"/>
  <c r="J1941" i="11"/>
  <c r="T1941" i="11"/>
  <c r="K1941" i="11"/>
  <c r="K1943" i="11"/>
  <c r="J1943" i="11"/>
  <c r="T1943" i="11"/>
  <c r="J1945" i="11"/>
  <c r="T1945" i="11"/>
  <c r="K1945" i="11"/>
  <c r="K1947" i="11"/>
  <c r="J1947" i="11"/>
  <c r="T1947" i="11"/>
  <c r="K1949" i="11"/>
  <c r="J1949" i="11"/>
  <c r="T1949" i="11"/>
  <c r="K1951" i="11"/>
  <c r="J1951" i="11"/>
  <c r="T1951" i="11"/>
  <c r="K1953" i="11"/>
  <c r="J1953" i="11"/>
  <c r="T1953" i="11"/>
  <c r="K1955" i="11"/>
  <c r="J1955" i="11"/>
  <c r="T1955" i="11"/>
  <c r="K1957" i="11"/>
  <c r="J1957" i="11"/>
  <c r="T1957" i="11"/>
  <c r="K1959" i="11"/>
  <c r="J1959" i="11"/>
  <c r="T1959" i="11"/>
  <c r="K1961" i="11"/>
  <c r="J1961" i="11"/>
  <c r="T1961" i="11"/>
  <c r="K1963" i="11"/>
  <c r="J1963" i="11"/>
  <c r="T1963" i="11"/>
  <c r="K1965" i="11"/>
  <c r="J1965" i="11"/>
  <c r="T1965" i="11"/>
  <c r="K1967" i="11"/>
  <c r="J1967" i="11"/>
  <c r="T1967" i="11"/>
  <c r="K1969" i="11"/>
  <c r="J1969" i="11"/>
  <c r="T1969" i="11"/>
  <c r="K1971" i="11"/>
  <c r="J1971" i="11"/>
  <c r="T1971" i="11"/>
  <c r="K1973" i="11"/>
  <c r="J1973" i="11"/>
  <c r="T1973" i="11"/>
  <c r="K1975" i="11"/>
  <c r="J1975" i="11"/>
  <c r="T1975" i="11"/>
  <c r="K1977" i="11"/>
  <c r="J1977" i="11"/>
  <c r="T1977" i="11"/>
  <c r="K1979" i="11"/>
  <c r="J1979" i="11"/>
  <c r="T1979" i="11"/>
  <c r="K1981" i="11"/>
  <c r="J1981" i="11"/>
  <c r="T1981" i="11"/>
  <c r="K1983" i="11"/>
  <c r="J1983" i="11"/>
  <c r="T1983" i="11"/>
  <c r="K1985" i="11"/>
  <c r="J1985" i="11"/>
  <c r="T1985" i="11"/>
  <c r="K1987" i="11"/>
  <c r="J1987" i="11"/>
  <c r="T1987" i="11"/>
  <c r="K1989" i="11"/>
  <c r="J1989" i="11"/>
  <c r="T1989" i="11"/>
  <c r="K1991" i="11"/>
  <c r="J1991" i="11"/>
  <c r="T1991" i="11"/>
  <c r="K1993" i="11"/>
  <c r="J1993" i="11"/>
  <c r="T1993" i="11"/>
  <c r="K1995" i="11"/>
  <c r="J1995" i="11"/>
  <c r="T1995" i="11"/>
  <c r="K1997" i="11"/>
  <c r="J1997" i="11"/>
  <c r="T1997" i="11"/>
  <c r="K1999" i="11"/>
  <c r="J1999" i="11"/>
  <c r="T1999" i="11"/>
  <c r="K2001" i="11"/>
  <c r="J2001" i="11"/>
  <c r="T2001" i="11"/>
  <c r="K2003" i="11"/>
  <c r="J2003" i="11"/>
  <c r="T2003" i="11"/>
  <c r="K2005" i="11"/>
  <c r="J2005" i="11"/>
  <c r="T2005" i="11"/>
  <c r="K2007" i="11"/>
  <c r="J2007" i="11"/>
  <c r="T2007" i="11"/>
  <c r="K2009" i="11"/>
  <c r="J2009" i="11"/>
  <c r="T2009" i="11"/>
  <c r="K2011" i="11"/>
  <c r="J2011" i="11"/>
  <c r="T2011" i="11"/>
  <c r="K2013" i="11"/>
  <c r="J2013" i="11"/>
  <c r="T2013" i="11"/>
  <c r="K2015" i="11"/>
  <c r="J2015" i="11"/>
  <c r="T2015" i="11"/>
  <c r="K2017" i="11"/>
  <c r="J2017" i="11"/>
  <c r="T2017" i="11"/>
  <c r="K2019" i="11"/>
  <c r="J2019" i="11"/>
  <c r="T2019" i="11"/>
  <c r="K2021" i="11"/>
  <c r="J2021" i="11"/>
  <c r="T2021" i="11"/>
  <c r="K2023" i="11"/>
  <c r="J2023" i="11"/>
  <c r="T2023" i="11"/>
  <c r="K2025" i="11"/>
  <c r="J2025" i="11"/>
  <c r="T2025" i="11"/>
  <c r="K2027" i="11"/>
  <c r="J2027" i="11"/>
  <c r="T2027" i="11"/>
  <c r="K2029" i="11"/>
  <c r="J2029" i="11"/>
  <c r="T2029" i="11"/>
  <c r="K2031" i="11"/>
  <c r="J2031" i="11"/>
  <c r="T2031" i="11"/>
  <c r="K2033" i="11"/>
  <c r="J2033" i="11"/>
  <c r="T2033" i="11"/>
  <c r="K2035" i="11"/>
  <c r="J2035" i="11"/>
  <c r="T2035" i="11"/>
  <c r="K2037" i="11"/>
  <c r="J2037" i="11"/>
  <c r="T2037" i="11"/>
  <c r="K2039" i="11"/>
  <c r="J2039" i="11"/>
  <c r="T2039" i="11"/>
  <c r="K2041" i="11"/>
  <c r="J2041" i="11"/>
  <c r="T2041" i="11"/>
  <c r="K2043" i="11"/>
  <c r="J2043" i="11"/>
  <c r="T2043" i="11"/>
  <c r="K2045" i="11"/>
  <c r="J2045" i="11"/>
  <c r="T2045" i="11"/>
  <c r="K2047" i="11"/>
  <c r="J2047" i="11"/>
  <c r="T2047" i="11"/>
  <c r="K2049" i="11"/>
  <c r="J2049" i="11"/>
  <c r="T2049" i="11"/>
  <c r="K2051" i="11"/>
  <c r="J2051" i="11"/>
  <c r="T2051" i="11"/>
  <c r="K2053" i="11"/>
  <c r="J2053" i="11"/>
  <c r="T2053" i="11"/>
  <c r="K2055" i="11"/>
  <c r="J2055" i="11"/>
  <c r="T2055" i="11"/>
  <c r="K2057" i="11"/>
  <c r="J2057" i="11"/>
  <c r="T2057" i="11"/>
  <c r="K2059" i="11"/>
  <c r="J2059" i="11"/>
  <c r="T2059" i="11"/>
  <c r="K2061" i="11"/>
  <c r="J2061" i="11"/>
  <c r="T2061" i="11"/>
  <c r="K2063" i="11"/>
  <c r="J2063" i="11"/>
  <c r="T2063" i="11"/>
  <c r="K2065" i="11"/>
  <c r="J2065" i="11"/>
  <c r="T2065" i="11"/>
  <c r="K2067" i="11"/>
  <c r="J2067" i="11"/>
  <c r="T2067" i="11"/>
  <c r="K2069" i="11"/>
  <c r="J2069" i="11"/>
  <c r="T2069" i="11"/>
  <c r="K2071" i="11"/>
  <c r="J2071" i="11"/>
  <c r="T2071" i="11"/>
  <c r="K2073" i="11"/>
  <c r="J2073" i="11"/>
  <c r="T2073" i="11"/>
  <c r="K2075" i="11"/>
  <c r="J2075" i="11"/>
  <c r="T2075" i="11"/>
  <c r="K2077" i="11"/>
  <c r="J2077" i="11"/>
  <c r="T2077" i="11"/>
  <c r="K2079" i="11"/>
  <c r="J2079" i="11"/>
  <c r="T2079" i="11"/>
  <c r="K2081" i="11"/>
  <c r="J2081" i="11"/>
  <c r="T2081" i="11"/>
  <c r="K2083" i="11"/>
  <c r="J2083" i="11"/>
  <c r="T2083" i="11"/>
  <c r="K2085" i="11"/>
  <c r="J2085" i="11"/>
  <c r="T2085" i="11"/>
  <c r="K2087" i="11"/>
  <c r="J2087" i="11"/>
  <c r="T2087" i="11"/>
  <c r="K2089" i="11"/>
  <c r="J2089" i="11"/>
  <c r="T2089" i="11"/>
  <c r="K2091" i="11"/>
  <c r="J2091" i="11"/>
  <c r="T2091" i="11"/>
  <c r="K2093" i="11"/>
  <c r="J2093" i="11"/>
  <c r="T2093" i="11"/>
  <c r="K2095" i="11"/>
  <c r="J2095" i="11"/>
  <c r="T2095" i="11"/>
  <c r="K2097" i="11"/>
  <c r="J2097" i="11"/>
  <c r="T2097" i="11"/>
  <c r="K2099" i="11"/>
  <c r="J2099" i="11"/>
  <c r="T2099" i="11"/>
  <c r="K2101" i="11"/>
  <c r="J2101" i="11"/>
  <c r="T2101" i="11"/>
  <c r="K2103" i="11"/>
  <c r="J2103" i="11"/>
  <c r="T2103" i="11"/>
  <c r="K2105" i="11"/>
  <c r="J2105" i="11"/>
  <c r="T2105" i="11"/>
  <c r="K2107" i="11"/>
  <c r="J2107" i="11"/>
  <c r="T2107" i="11"/>
  <c r="K2109" i="11"/>
  <c r="J2109" i="11"/>
  <c r="T2109" i="11"/>
  <c r="K2111" i="11"/>
  <c r="J2111" i="11"/>
  <c r="T2111" i="11"/>
  <c r="K2113" i="11"/>
  <c r="J2113" i="11"/>
  <c r="T2113" i="11"/>
  <c r="K2115" i="11"/>
  <c r="J2115" i="11"/>
  <c r="T2115" i="11"/>
  <c r="K2117" i="11"/>
  <c r="J2117" i="11"/>
  <c r="T2117" i="11"/>
  <c r="K2119" i="11"/>
  <c r="J2119" i="11"/>
  <c r="T2119" i="11"/>
  <c r="K2121" i="11"/>
  <c r="J2121" i="11"/>
  <c r="T2121" i="11"/>
  <c r="K2123" i="11"/>
  <c r="J2123" i="11"/>
  <c r="T2123" i="11"/>
  <c r="K2125" i="11"/>
  <c r="J2125" i="11"/>
  <c r="T2125" i="11"/>
  <c r="K2127" i="11"/>
  <c r="J2127" i="11"/>
  <c r="T2127" i="11"/>
  <c r="K2129" i="11"/>
  <c r="J2129" i="11"/>
  <c r="T2129" i="11"/>
  <c r="K2131" i="11"/>
  <c r="J2131" i="11"/>
  <c r="T2131" i="11"/>
  <c r="K2133" i="11"/>
  <c r="J2133" i="11"/>
  <c r="T2133" i="11"/>
  <c r="K2135" i="11"/>
  <c r="J2135" i="11"/>
  <c r="T2135" i="11"/>
  <c r="K2137" i="11"/>
  <c r="J2137" i="11"/>
  <c r="T2137" i="11"/>
  <c r="K2139" i="11"/>
  <c r="J2139" i="11"/>
  <c r="T2139" i="11"/>
  <c r="K2141" i="11"/>
  <c r="J2141" i="11"/>
  <c r="T2141" i="11"/>
  <c r="K2143" i="11"/>
  <c r="J2143" i="11"/>
  <c r="T2143" i="11"/>
  <c r="K2145" i="11"/>
  <c r="J2145" i="11"/>
  <c r="T2145" i="11"/>
  <c r="K2147" i="11"/>
  <c r="J2147" i="11"/>
  <c r="T2147" i="11"/>
  <c r="K2149" i="11"/>
  <c r="J2149" i="11"/>
  <c r="T2149" i="11"/>
  <c r="K2151" i="11"/>
  <c r="J2151" i="11"/>
  <c r="T2151" i="11"/>
  <c r="K2153" i="11"/>
  <c r="J2153" i="11"/>
  <c r="T2153" i="11"/>
  <c r="K2155" i="11"/>
  <c r="J2155" i="11"/>
  <c r="T2155" i="11"/>
  <c r="K2157" i="11"/>
  <c r="J2157" i="11"/>
  <c r="T2157" i="11"/>
  <c r="K2159" i="11"/>
  <c r="J2159" i="11"/>
  <c r="T2159" i="11"/>
  <c r="K2161" i="11"/>
  <c r="J2161" i="11"/>
  <c r="T2161" i="11"/>
  <c r="K2163" i="11"/>
  <c r="J2163" i="11"/>
  <c r="T2163" i="11"/>
  <c r="K2165" i="11"/>
  <c r="J2165" i="11"/>
  <c r="T2165" i="11"/>
  <c r="K2167" i="11"/>
  <c r="J2167" i="11"/>
  <c r="T2167" i="11"/>
  <c r="K2169" i="11"/>
  <c r="J2169" i="11"/>
  <c r="T2169" i="11"/>
  <c r="K2171" i="11"/>
  <c r="J2171" i="11"/>
  <c r="T2171" i="11"/>
  <c r="K2173" i="11"/>
  <c r="J2173" i="11"/>
  <c r="T2173" i="11"/>
  <c r="K2175" i="11"/>
  <c r="J2175" i="11"/>
  <c r="T2175" i="11"/>
  <c r="K2177" i="11"/>
  <c r="J2177" i="11"/>
  <c r="T2177" i="11"/>
  <c r="K2179" i="11"/>
  <c r="J2179" i="11"/>
  <c r="T2179" i="11"/>
  <c r="K2181" i="11"/>
  <c r="J2181" i="11"/>
  <c r="T2181" i="11"/>
  <c r="K2183" i="11"/>
  <c r="J2183" i="11"/>
  <c r="T2183" i="11"/>
  <c r="K2185" i="11"/>
  <c r="J2185" i="11"/>
  <c r="T2185" i="11"/>
  <c r="K2187" i="11"/>
  <c r="J2187" i="11"/>
  <c r="T2187" i="11"/>
  <c r="K2189" i="11"/>
  <c r="J2189" i="11"/>
  <c r="T2189" i="11"/>
  <c r="K2191" i="11"/>
  <c r="J2191" i="11"/>
  <c r="T2191" i="11"/>
  <c r="K2193" i="11"/>
  <c r="J2193" i="11"/>
  <c r="T2193" i="11"/>
  <c r="K2195" i="11"/>
  <c r="J2195" i="11"/>
  <c r="T2195" i="11"/>
  <c r="K2197" i="11"/>
  <c r="J2197" i="11"/>
  <c r="T2197" i="11"/>
  <c r="K2199" i="11"/>
  <c r="J2199" i="11"/>
  <c r="T2199" i="11"/>
  <c r="K2201" i="11"/>
  <c r="J2201" i="11"/>
  <c r="T2201" i="11"/>
  <c r="K2203" i="11"/>
  <c r="J2203" i="11"/>
  <c r="T2203" i="11"/>
  <c r="K2205" i="11"/>
  <c r="J2205" i="11"/>
  <c r="T2205" i="11"/>
  <c r="K2207" i="11"/>
  <c r="J2207" i="11"/>
  <c r="T2207" i="11"/>
  <c r="K2209" i="11"/>
  <c r="J2209" i="11"/>
  <c r="T2209" i="11"/>
  <c r="K2211" i="11"/>
  <c r="J2211" i="11"/>
  <c r="T2211" i="11"/>
  <c r="K2213" i="11"/>
  <c r="J2213" i="11"/>
  <c r="T2213" i="11"/>
  <c r="K2215" i="11"/>
  <c r="J2215" i="11"/>
  <c r="T2215" i="11"/>
  <c r="K2217" i="11"/>
  <c r="J2217" i="11"/>
  <c r="T2217" i="11"/>
  <c r="K2219" i="11"/>
  <c r="J2219" i="11"/>
  <c r="T2219" i="11"/>
  <c r="K2221" i="11"/>
  <c r="J2221" i="11"/>
  <c r="T2221" i="11"/>
  <c r="K2223" i="11"/>
  <c r="J2223" i="11"/>
  <c r="T2223" i="11"/>
  <c r="K2225" i="11"/>
  <c r="J2225" i="11"/>
  <c r="T2225" i="11"/>
  <c r="K2227" i="11"/>
  <c r="J2227" i="11"/>
  <c r="T2227" i="11"/>
  <c r="K2229" i="11"/>
  <c r="J2229" i="11"/>
  <c r="T2229" i="11"/>
  <c r="K2231" i="11"/>
  <c r="J2231" i="11"/>
  <c r="T2231" i="11"/>
  <c r="K2233" i="11"/>
  <c r="J2233" i="11"/>
  <c r="T2233" i="11"/>
  <c r="K2235" i="11"/>
  <c r="J2235" i="11"/>
  <c r="T2235" i="11"/>
  <c r="K2237" i="11"/>
  <c r="J2237" i="11"/>
  <c r="T2237" i="11"/>
  <c r="K2239" i="11"/>
  <c r="J2239" i="11"/>
  <c r="T2239" i="11"/>
  <c r="K2241" i="11"/>
  <c r="J2241" i="11"/>
  <c r="T2241" i="11"/>
  <c r="K2243" i="11"/>
  <c r="J2243" i="11"/>
  <c r="T2243" i="11"/>
  <c r="K2245" i="11"/>
  <c r="J2245" i="11"/>
  <c r="T2245" i="11"/>
  <c r="K2247" i="11"/>
  <c r="J2247" i="11"/>
  <c r="T2247" i="11"/>
  <c r="K2249" i="11"/>
  <c r="J2249" i="11"/>
  <c r="T2249" i="11"/>
  <c r="K2251" i="11"/>
  <c r="J2251" i="11"/>
  <c r="T2251" i="11"/>
  <c r="K2253" i="11"/>
  <c r="J2253" i="11"/>
  <c r="T2253" i="11"/>
  <c r="K2255" i="11"/>
  <c r="J2255" i="11"/>
  <c r="T2255" i="11"/>
  <c r="K2257" i="11"/>
  <c r="J2257" i="11"/>
  <c r="T2257" i="11"/>
  <c r="K2259" i="11"/>
  <c r="J2259" i="11"/>
  <c r="T2259" i="11"/>
  <c r="K2261" i="11"/>
  <c r="J2261" i="11"/>
  <c r="T2261" i="11"/>
  <c r="K2263" i="11"/>
  <c r="J2263" i="11"/>
  <c r="T2263" i="11"/>
  <c r="K2265" i="11"/>
  <c r="J2265" i="11"/>
  <c r="T2265" i="11"/>
  <c r="K2267" i="11"/>
  <c r="J2267" i="11"/>
  <c r="T2267" i="11"/>
  <c r="K2269" i="11"/>
  <c r="J2269" i="11"/>
  <c r="T2269" i="11"/>
  <c r="K2271" i="11"/>
  <c r="J2271" i="11"/>
  <c r="T2271" i="11"/>
  <c r="K2273" i="11"/>
  <c r="J2273" i="11"/>
  <c r="T2273" i="11"/>
  <c r="K2275" i="11"/>
  <c r="J2275" i="11"/>
  <c r="T2275" i="11"/>
  <c r="K2277" i="11"/>
  <c r="J2277" i="11"/>
  <c r="T2277" i="11"/>
  <c r="K2279" i="11"/>
  <c r="J2279" i="11"/>
  <c r="T2279" i="11"/>
  <c r="K2281" i="11"/>
  <c r="J2281" i="11"/>
  <c r="T2281" i="11"/>
  <c r="K2283" i="11"/>
  <c r="J2283" i="11"/>
  <c r="T2283" i="11"/>
  <c r="K2285" i="11"/>
  <c r="J2285" i="11"/>
  <c r="T2285" i="11"/>
  <c r="K2287" i="11"/>
  <c r="J2287" i="11"/>
  <c r="T2287" i="11"/>
  <c r="K2289" i="11"/>
  <c r="J2289" i="11"/>
  <c r="T2289" i="11"/>
  <c r="K2291" i="11"/>
  <c r="J2291" i="11"/>
  <c r="T2291" i="11"/>
  <c r="K2293" i="11"/>
  <c r="J2293" i="11"/>
  <c r="T2293" i="11"/>
  <c r="K2295" i="11"/>
  <c r="J2295" i="11"/>
  <c r="T2295" i="11"/>
  <c r="K2297" i="11"/>
  <c r="J2297" i="11"/>
  <c r="T2297" i="11"/>
  <c r="K2299" i="11"/>
  <c r="J2299" i="11"/>
  <c r="T2299" i="11"/>
  <c r="K2301" i="11"/>
  <c r="J2301" i="11"/>
  <c r="T2301" i="11"/>
  <c r="K2303" i="11"/>
  <c r="J2303" i="11"/>
  <c r="T2303" i="11"/>
  <c r="K2305" i="11"/>
  <c r="J2305" i="11"/>
  <c r="T2305" i="11"/>
  <c r="K2307" i="11"/>
  <c r="J2307" i="11"/>
  <c r="T2307" i="11"/>
  <c r="K2309" i="11"/>
  <c r="J2309" i="11"/>
  <c r="T2309" i="11"/>
  <c r="K2311" i="11"/>
  <c r="J2311" i="11"/>
  <c r="T2311" i="11"/>
  <c r="K2313" i="11"/>
  <c r="J2313" i="11"/>
  <c r="T2313" i="11"/>
  <c r="K2315" i="11"/>
  <c r="J2315" i="11"/>
  <c r="T2315" i="11"/>
  <c r="K2317" i="11"/>
  <c r="J2317" i="11"/>
  <c r="T2317" i="11"/>
  <c r="K2319" i="11"/>
  <c r="J2319" i="11"/>
  <c r="T2319" i="11"/>
  <c r="K2321" i="11"/>
  <c r="J2321" i="11"/>
  <c r="T2321" i="11"/>
  <c r="K2323" i="11"/>
  <c r="J2323" i="11"/>
  <c r="T2323" i="11"/>
  <c r="K2325" i="11"/>
  <c r="J2325" i="11"/>
  <c r="T2325" i="11"/>
  <c r="K2327" i="11"/>
  <c r="J2327" i="11"/>
  <c r="T2327" i="11"/>
  <c r="K2329" i="11"/>
  <c r="J2329" i="11"/>
  <c r="T2329" i="11"/>
  <c r="K2331" i="11"/>
  <c r="J2331" i="11"/>
  <c r="T2331" i="11"/>
  <c r="K2333" i="11"/>
  <c r="J2333" i="11"/>
  <c r="T2333" i="11"/>
  <c r="K2335" i="11"/>
  <c r="J2335" i="11"/>
  <c r="T2335" i="11"/>
  <c r="K2337" i="11"/>
  <c r="J2337" i="11"/>
  <c r="T2337" i="11"/>
  <c r="K2339" i="11"/>
  <c r="J2339" i="11"/>
  <c r="T2339" i="11"/>
  <c r="K2341" i="11"/>
  <c r="J2341" i="11"/>
  <c r="T2341" i="11"/>
  <c r="K2343" i="11"/>
  <c r="J2343" i="11"/>
  <c r="T2343" i="11"/>
  <c r="K2345" i="11"/>
  <c r="J2345" i="11"/>
  <c r="T2345" i="11"/>
  <c r="K2347" i="11"/>
  <c r="J2347" i="11"/>
  <c r="T2347" i="11"/>
  <c r="K2349" i="11"/>
  <c r="J2349" i="11"/>
  <c r="T2349" i="11"/>
  <c r="K2351" i="11"/>
  <c r="J2351" i="11"/>
  <c r="T2351" i="11"/>
  <c r="K2353" i="11"/>
  <c r="J2353" i="11"/>
  <c r="T2353" i="11"/>
  <c r="K2355" i="11"/>
  <c r="J2355" i="11"/>
  <c r="T2355" i="11"/>
  <c r="K2357" i="11"/>
  <c r="J2357" i="11"/>
  <c r="T2357" i="11"/>
  <c r="K2359" i="11"/>
  <c r="J2359" i="11"/>
  <c r="T2359" i="11"/>
  <c r="K2361" i="11"/>
  <c r="J2361" i="11"/>
  <c r="T2361" i="11"/>
  <c r="K2363" i="11"/>
  <c r="J2363" i="11"/>
  <c r="T2363" i="11"/>
  <c r="K2365" i="11"/>
  <c r="J2365" i="11"/>
  <c r="T2365" i="11"/>
  <c r="K2367" i="11"/>
  <c r="J2367" i="11"/>
  <c r="T2367" i="11"/>
  <c r="K2369" i="11"/>
  <c r="J2369" i="11"/>
  <c r="T2369" i="11"/>
  <c r="K2371" i="11"/>
  <c r="J2371" i="11"/>
  <c r="T2371" i="11"/>
  <c r="K2373" i="11"/>
  <c r="J2373" i="11"/>
  <c r="T2373" i="11"/>
  <c r="K2375" i="11"/>
  <c r="J2375" i="11"/>
  <c r="T2375" i="11"/>
  <c r="K2377" i="11"/>
  <c r="J2377" i="11"/>
  <c r="T2377" i="11"/>
  <c r="K2379" i="11"/>
  <c r="J2379" i="11"/>
  <c r="T2379" i="11"/>
  <c r="K2381" i="11"/>
  <c r="J2381" i="11"/>
  <c r="T2381" i="11"/>
  <c r="K2383" i="11"/>
  <c r="J2383" i="11"/>
  <c r="T2383" i="11"/>
  <c r="K2385" i="11"/>
  <c r="J2385" i="11"/>
  <c r="T2385" i="11"/>
  <c r="K2387" i="11"/>
  <c r="J2387" i="11"/>
  <c r="T2387" i="11"/>
  <c r="K2389" i="11"/>
  <c r="J2389" i="11"/>
  <c r="T2389" i="11"/>
  <c r="K2391" i="11"/>
  <c r="J2391" i="11"/>
  <c r="T2391" i="11"/>
  <c r="K2393" i="11"/>
  <c r="J2393" i="11"/>
  <c r="T2393" i="11"/>
  <c r="K2395" i="11"/>
  <c r="J2395" i="11"/>
  <c r="T2395" i="11"/>
  <c r="K2397" i="11"/>
  <c r="J2397" i="11"/>
  <c r="T2397" i="11"/>
  <c r="K2399" i="11"/>
  <c r="J2399" i="11"/>
  <c r="T2399" i="11"/>
  <c r="K2401" i="11"/>
  <c r="J2401" i="11"/>
  <c r="T2401" i="11"/>
  <c r="K2403" i="11"/>
  <c r="J2403" i="11"/>
  <c r="T2403" i="11"/>
  <c r="K2405" i="11"/>
  <c r="J2405" i="11"/>
  <c r="T2405" i="11"/>
  <c r="K2407" i="11"/>
  <c r="J2407" i="11"/>
  <c r="T2407" i="11"/>
  <c r="K2409" i="11"/>
  <c r="J2409" i="11"/>
  <c r="T2409" i="11"/>
  <c r="K2411" i="11"/>
  <c r="J2411" i="11"/>
  <c r="T2411" i="11"/>
  <c r="K2413" i="11"/>
  <c r="J2413" i="11"/>
  <c r="T2413" i="11"/>
  <c r="K2415" i="11"/>
  <c r="J2415" i="11"/>
  <c r="T2415" i="11"/>
  <c r="K2417" i="11"/>
  <c r="J2417" i="11"/>
  <c r="T2417" i="11"/>
  <c r="K2419" i="11"/>
  <c r="J2419" i="11"/>
  <c r="T2419" i="11"/>
  <c r="K2421" i="11"/>
  <c r="J2421" i="11"/>
  <c r="T2421" i="11"/>
  <c r="K2423" i="11"/>
  <c r="J2423" i="11"/>
  <c r="T2423" i="11"/>
  <c r="K2425" i="11"/>
  <c r="J2425" i="11"/>
  <c r="T2425" i="11"/>
  <c r="K2427" i="11"/>
  <c r="J2427" i="11"/>
  <c r="T2427" i="11"/>
  <c r="K2429" i="11"/>
  <c r="J2429" i="11"/>
  <c r="T2429" i="11"/>
  <c r="K2431" i="11"/>
  <c r="J2431" i="11"/>
  <c r="T2431" i="11"/>
  <c r="K2433" i="11"/>
  <c r="J2433" i="11"/>
  <c r="T2433" i="11"/>
  <c r="K2435" i="11"/>
  <c r="J2435" i="11"/>
  <c r="T2435" i="11"/>
  <c r="K2437" i="11"/>
  <c r="J2437" i="11"/>
  <c r="T2437" i="11"/>
  <c r="K2439" i="11"/>
  <c r="J2439" i="11"/>
  <c r="T2439" i="11"/>
  <c r="K2441" i="11"/>
  <c r="J2441" i="11"/>
  <c r="T2441" i="11"/>
  <c r="K2443" i="11"/>
  <c r="J2443" i="11"/>
  <c r="T2443" i="11"/>
  <c r="K2445" i="11"/>
  <c r="J2445" i="11"/>
  <c r="T2445" i="11"/>
  <c r="K2447" i="11"/>
  <c r="J2447" i="11"/>
  <c r="T2447" i="11"/>
  <c r="K2449" i="11"/>
  <c r="J2449" i="11"/>
  <c r="T2449" i="11"/>
  <c r="K2451" i="11"/>
  <c r="J2451" i="11"/>
  <c r="T2451" i="11"/>
  <c r="K2453" i="11"/>
  <c r="J2453" i="11"/>
  <c r="T2453" i="11"/>
  <c r="K2455" i="11"/>
  <c r="J2455" i="11"/>
  <c r="T2455" i="11"/>
  <c r="K2457" i="11"/>
  <c r="J2457" i="11"/>
  <c r="T2457" i="11"/>
  <c r="K2459" i="11"/>
  <c r="J2459" i="11"/>
  <c r="T2459" i="11"/>
  <c r="K2461" i="11"/>
  <c r="J2461" i="11"/>
  <c r="T2461" i="11"/>
  <c r="K2463" i="11"/>
  <c r="J2463" i="11"/>
  <c r="T2463" i="11"/>
  <c r="K2465" i="11"/>
  <c r="J2465" i="11"/>
  <c r="T2465" i="11"/>
  <c r="K2467" i="11"/>
  <c r="J2467" i="11"/>
  <c r="T2467" i="11"/>
  <c r="K2469" i="11"/>
  <c r="J2469" i="11"/>
  <c r="T2469" i="11"/>
  <c r="K2471" i="11"/>
  <c r="J2471" i="11"/>
  <c r="T2471" i="11"/>
  <c r="K2473" i="11"/>
  <c r="J2473" i="11"/>
  <c r="T2473" i="11"/>
  <c r="K2475" i="11"/>
  <c r="J2475" i="11"/>
  <c r="T2475" i="11"/>
  <c r="K2477" i="11"/>
  <c r="J2477" i="11"/>
  <c r="T2477" i="11"/>
  <c r="K2479" i="11"/>
  <c r="J2479" i="11"/>
  <c r="T2479" i="11"/>
  <c r="K2481" i="11"/>
  <c r="J2481" i="11"/>
  <c r="T2481" i="11"/>
  <c r="K2483" i="11"/>
  <c r="J2483" i="11"/>
  <c r="T2483" i="11"/>
  <c r="K2485" i="11"/>
  <c r="J2485" i="11"/>
  <c r="T2485" i="11"/>
  <c r="K2487" i="11"/>
  <c r="J2487" i="11"/>
  <c r="T2487" i="11"/>
  <c r="K2489" i="11"/>
  <c r="J2489" i="11"/>
  <c r="T2489" i="11"/>
  <c r="K2491" i="11"/>
  <c r="J2491" i="11"/>
  <c r="T2491" i="11"/>
  <c r="K2493" i="11"/>
  <c r="J2493" i="11"/>
  <c r="T2493" i="11"/>
  <c r="K2495" i="11"/>
  <c r="J2495" i="11"/>
  <c r="T2495" i="11"/>
  <c r="K2497" i="11"/>
  <c r="J2497" i="11"/>
  <c r="T2497" i="11"/>
  <c r="K2499" i="11"/>
  <c r="J2499" i="11"/>
  <c r="T2499" i="11"/>
  <c r="K2501" i="11"/>
  <c r="J2501" i="11"/>
  <c r="T2501" i="11"/>
  <c r="K2503" i="11"/>
  <c r="J2503" i="11"/>
  <c r="T2503" i="11"/>
  <c r="K2505" i="11"/>
  <c r="J2505" i="11"/>
  <c r="T2505" i="11"/>
  <c r="K2507" i="11"/>
  <c r="J2507" i="11"/>
  <c r="T2507" i="11"/>
  <c r="K2509" i="11"/>
  <c r="J2509" i="11"/>
  <c r="T2509" i="11"/>
  <c r="K2511" i="11"/>
  <c r="J2511" i="11"/>
  <c r="T2511" i="11"/>
  <c r="K2513" i="11"/>
  <c r="J2513" i="11"/>
  <c r="T2513" i="11"/>
  <c r="K2515" i="11"/>
  <c r="J2515" i="11"/>
  <c r="T2515" i="11"/>
  <c r="K2517" i="11"/>
  <c r="J2517" i="11"/>
  <c r="T2517" i="11"/>
  <c r="K2519" i="11"/>
  <c r="J2519" i="11"/>
  <c r="T2519" i="11"/>
  <c r="K2521" i="11"/>
  <c r="J2521" i="11"/>
  <c r="T2521" i="11"/>
  <c r="K2523" i="11"/>
  <c r="J2523" i="11"/>
  <c r="T2523" i="11"/>
  <c r="K2525" i="11"/>
  <c r="J2525" i="11"/>
  <c r="T2525" i="11"/>
  <c r="K2527" i="11"/>
  <c r="J2527" i="11"/>
  <c r="T2527" i="11"/>
  <c r="K2529" i="11"/>
  <c r="J2529" i="11"/>
  <c r="T2529" i="11"/>
  <c r="K2531" i="11"/>
  <c r="J2531" i="11"/>
  <c r="T2531" i="11"/>
  <c r="K2533" i="11"/>
  <c r="J2533" i="11"/>
  <c r="T2533" i="11"/>
  <c r="K2535" i="11"/>
  <c r="J2535" i="11"/>
  <c r="T2535" i="11"/>
  <c r="K2537" i="11"/>
  <c r="J2537" i="11"/>
  <c r="T2537" i="11"/>
  <c r="K2539" i="11"/>
  <c r="J2539" i="11"/>
  <c r="T2539" i="11"/>
  <c r="K2541" i="11"/>
  <c r="J2541" i="11"/>
  <c r="T2541" i="11"/>
  <c r="K2543" i="11"/>
  <c r="J2543" i="11"/>
  <c r="T2543" i="11"/>
  <c r="K2545" i="11"/>
  <c r="J2545" i="11"/>
  <c r="T2545" i="11"/>
  <c r="K2547" i="11"/>
  <c r="J2547" i="11"/>
  <c r="T2547" i="11"/>
  <c r="K2549" i="11"/>
  <c r="J2549" i="11"/>
  <c r="T2549" i="11"/>
  <c r="K2551" i="11"/>
  <c r="J2551" i="11"/>
  <c r="T2551" i="11"/>
  <c r="K2553" i="11"/>
  <c r="J2553" i="11"/>
  <c r="T2553" i="11"/>
  <c r="K2555" i="11"/>
  <c r="J2555" i="11"/>
  <c r="T2555" i="11"/>
  <c r="K2557" i="11"/>
  <c r="J2557" i="11"/>
  <c r="T2557" i="11"/>
  <c r="K2559" i="11"/>
  <c r="J2559" i="11"/>
  <c r="T2559" i="11"/>
  <c r="K2561" i="11"/>
  <c r="J2561" i="11"/>
  <c r="T2561" i="11"/>
  <c r="K2563" i="11"/>
  <c r="J2563" i="11"/>
  <c r="T2563" i="11"/>
  <c r="K2565" i="11"/>
  <c r="J2565" i="11"/>
  <c r="T2565" i="11"/>
  <c r="K2567" i="11"/>
  <c r="J2567" i="11"/>
  <c r="T2567" i="11"/>
  <c r="K2569" i="11"/>
  <c r="J2569" i="11"/>
  <c r="T2569" i="11"/>
  <c r="K2571" i="11"/>
  <c r="J2571" i="11"/>
  <c r="T2571" i="11"/>
  <c r="K2573" i="11"/>
  <c r="J2573" i="11"/>
  <c r="T2573" i="11"/>
  <c r="K2575" i="11"/>
  <c r="J2575" i="11"/>
  <c r="T2575" i="11"/>
  <c r="K2577" i="11"/>
  <c r="J2577" i="11"/>
  <c r="T2577" i="11"/>
  <c r="K2579" i="11"/>
  <c r="J2579" i="11"/>
  <c r="T2579" i="11"/>
  <c r="K2581" i="11"/>
  <c r="J2581" i="11"/>
  <c r="T2581" i="11"/>
  <c r="K2583" i="11"/>
  <c r="J2583" i="11"/>
  <c r="T2583" i="11"/>
  <c r="K2585" i="11"/>
  <c r="J2585" i="11"/>
  <c r="T2585" i="11"/>
  <c r="K2587" i="11"/>
  <c r="J2587" i="11"/>
  <c r="T2587" i="11"/>
  <c r="K2589" i="11"/>
  <c r="J2589" i="11"/>
  <c r="T2589" i="11"/>
  <c r="K2591" i="11"/>
  <c r="J2591" i="11"/>
  <c r="T2591" i="11"/>
  <c r="K2593" i="11"/>
  <c r="J2593" i="11"/>
  <c r="T2593" i="11"/>
  <c r="K2595" i="11"/>
  <c r="J2595" i="11"/>
  <c r="T2595" i="11"/>
  <c r="K2597" i="11"/>
  <c r="J2597" i="11"/>
  <c r="T2597" i="11"/>
  <c r="K2599" i="11"/>
  <c r="J2599" i="11"/>
  <c r="T2599" i="11"/>
  <c r="K2601" i="11"/>
  <c r="J2601" i="11"/>
  <c r="T2601" i="11"/>
  <c r="K2603" i="11"/>
  <c r="J2603" i="11"/>
  <c r="T2603" i="11"/>
  <c r="K2605" i="11"/>
  <c r="J2605" i="11"/>
  <c r="T2605" i="11"/>
  <c r="K2607" i="11"/>
  <c r="J2607" i="11"/>
  <c r="T2607" i="11"/>
  <c r="K2609" i="11"/>
  <c r="J2609" i="11"/>
  <c r="T2609" i="11"/>
  <c r="K2611" i="11"/>
  <c r="J2611" i="11"/>
  <c r="T2611" i="11"/>
  <c r="K2613" i="11"/>
  <c r="J2613" i="11"/>
  <c r="T2613" i="11"/>
  <c r="K2615" i="11"/>
  <c r="J2615" i="11"/>
  <c r="T2615" i="11"/>
  <c r="K2617" i="11"/>
  <c r="J2617" i="11"/>
  <c r="T2617" i="11"/>
  <c r="K2619" i="11"/>
  <c r="J2619" i="11"/>
  <c r="T2619" i="11"/>
  <c r="K2621" i="11"/>
  <c r="J2621" i="11"/>
  <c r="T2621" i="11"/>
  <c r="K2623" i="11"/>
  <c r="J2623" i="11"/>
  <c r="T2623" i="11"/>
  <c r="K2625" i="11"/>
  <c r="J2625" i="11"/>
  <c r="T2625" i="11"/>
  <c r="K2627" i="11"/>
  <c r="J2627" i="11"/>
  <c r="T2627" i="11"/>
  <c r="K2629" i="11"/>
  <c r="J2629" i="11"/>
  <c r="T2629" i="11"/>
  <c r="K2631" i="11"/>
  <c r="J2631" i="11"/>
  <c r="T2631" i="11"/>
  <c r="K2633" i="11"/>
  <c r="J2633" i="11"/>
  <c r="T2633" i="11"/>
  <c r="K2635" i="11"/>
  <c r="J2635" i="11"/>
  <c r="T2635" i="11"/>
  <c r="K2637" i="11"/>
  <c r="J2637" i="11"/>
  <c r="T2637" i="11"/>
  <c r="K2639" i="11"/>
  <c r="J2639" i="11"/>
  <c r="T2639" i="11"/>
  <c r="K2641" i="11"/>
  <c r="J2641" i="11"/>
  <c r="T2641" i="11"/>
  <c r="K2643" i="11"/>
  <c r="J2643" i="11"/>
  <c r="T2643" i="11"/>
  <c r="K2645" i="11"/>
  <c r="J2645" i="11"/>
  <c r="T2645" i="11"/>
  <c r="K2647" i="11"/>
  <c r="J2647" i="11"/>
  <c r="T2647" i="11"/>
  <c r="K2649" i="11"/>
  <c r="J2649" i="11"/>
  <c r="T2649" i="11"/>
  <c r="K2651" i="11"/>
  <c r="J2651" i="11"/>
  <c r="T2651" i="11"/>
  <c r="K2653" i="11"/>
  <c r="J2653" i="11"/>
  <c r="T2653" i="11"/>
  <c r="K2655" i="11"/>
  <c r="J2655" i="11"/>
  <c r="T2655" i="11"/>
  <c r="K2657" i="11"/>
  <c r="J2657" i="11"/>
  <c r="T2657" i="11"/>
  <c r="K2659" i="11"/>
  <c r="J2659" i="11"/>
  <c r="T2659" i="11"/>
  <c r="K2661" i="11"/>
  <c r="J2661" i="11"/>
  <c r="T2661" i="11"/>
  <c r="K2663" i="11"/>
  <c r="J2663" i="11"/>
  <c r="T2663" i="11"/>
  <c r="K2665" i="11"/>
  <c r="J2665" i="11"/>
  <c r="T2665" i="11"/>
  <c r="K2667" i="11"/>
  <c r="J2667" i="11"/>
  <c r="T2667" i="11"/>
  <c r="K2669" i="11"/>
  <c r="J2669" i="11"/>
  <c r="T2669" i="11"/>
  <c r="K2671" i="11"/>
  <c r="J2671" i="11"/>
  <c r="T2671" i="11"/>
  <c r="K2673" i="11"/>
  <c r="J2673" i="11"/>
  <c r="T2673" i="11"/>
  <c r="K2675" i="11"/>
  <c r="J2675" i="11"/>
  <c r="T2675" i="11"/>
  <c r="K2677" i="11"/>
  <c r="J2677" i="11"/>
  <c r="T2677" i="11"/>
  <c r="K2679" i="11"/>
  <c r="J2679" i="11"/>
  <c r="T2679" i="11"/>
  <c r="K2681" i="11"/>
  <c r="J2681" i="11"/>
  <c r="T2681" i="11"/>
  <c r="K2683" i="11"/>
  <c r="J2683" i="11"/>
  <c r="T2683" i="11"/>
  <c r="K2685" i="11"/>
  <c r="J2685" i="11"/>
  <c r="T2685" i="11"/>
  <c r="K2687" i="11"/>
  <c r="J2687" i="11"/>
  <c r="T2687" i="11"/>
  <c r="K2689" i="11"/>
  <c r="J2689" i="11"/>
  <c r="T2689" i="11"/>
  <c r="K2691" i="11"/>
  <c r="J2691" i="11"/>
  <c r="T2691" i="11"/>
  <c r="K2693" i="11"/>
  <c r="J2693" i="11"/>
  <c r="T2693" i="11"/>
  <c r="K2695" i="11"/>
  <c r="J2695" i="11"/>
  <c r="T2695" i="11"/>
  <c r="K2697" i="11"/>
  <c r="J2697" i="11"/>
  <c r="T2697" i="11"/>
  <c r="K2699" i="11"/>
  <c r="J2699" i="11"/>
  <c r="T2699" i="11"/>
  <c r="K2701" i="11"/>
  <c r="J2701" i="11"/>
  <c r="T2701" i="11"/>
  <c r="K2703" i="11"/>
  <c r="J2703" i="11"/>
  <c r="T2703" i="11"/>
  <c r="K2705" i="11"/>
  <c r="J2705" i="11"/>
  <c r="T2705" i="11"/>
  <c r="K2707" i="11"/>
  <c r="J2707" i="11"/>
  <c r="T2707" i="11"/>
  <c r="K2709" i="11"/>
  <c r="J2709" i="11"/>
  <c r="T2709" i="11"/>
  <c r="K2711" i="11"/>
  <c r="J2711" i="11"/>
  <c r="T2711" i="11"/>
  <c r="K2713" i="11"/>
  <c r="J2713" i="11"/>
  <c r="T2713" i="11"/>
  <c r="K2715" i="11"/>
  <c r="J2715" i="11"/>
  <c r="T2715" i="11"/>
  <c r="K2717" i="11"/>
  <c r="J2717" i="11"/>
  <c r="T2717" i="11"/>
  <c r="K2719" i="11"/>
  <c r="J2719" i="11"/>
  <c r="T2719" i="11"/>
  <c r="K2721" i="11"/>
  <c r="J2721" i="11"/>
  <c r="T2721" i="11"/>
  <c r="K2723" i="11"/>
  <c r="J2723" i="11"/>
  <c r="T2723" i="11"/>
  <c r="K2725" i="11"/>
  <c r="J2725" i="11"/>
  <c r="T2725" i="11"/>
  <c r="K2727" i="11"/>
  <c r="J2727" i="11"/>
  <c r="T2727" i="11"/>
  <c r="K2729" i="11"/>
  <c r="J2729" i="11"/>
  <c r="T2729" i="11"/>
  <c r="K2731" i="11"/>
  <c r="J2731" i="11"/>
  <c r="T2731" i="11"/>
  <c r="K2733" i="11"/>
  <c r="J2733" i="11"/>
  <c r="T2733" i="11"/>
  <c r="K2735" i="11"/>
  <c r="J2735" i="11"/>
  <c r="T2735" i="11"/>
  <c r="K2737" i="11"/>
  <c r="J2737" i="11"/>
  <c r="T2737" i="11"/>
  <c r="K2739" i="11"/>
  <c r="J2739" i="11"/>
  <c r="T2739" i="11"/>
  <c r="K2741" i="11"/>
  <c r="J2741" i="11"/>
  <c r="T2741" i="11"/>
  <c r="K2743" i="11"/>
  <c r="J2743" i="11"/>
  <c r="T2743" i="11"/>
  <c r="K2745" i="11"/>
  <c r="J2745" i="11"/>
  <c r="T2745" i="11"/>
  <c r="K2747" i="11"/>
  <c r="J2747" i="11"/>
  <c r="T2747" i="11"/>
  <c r="K2749" i="11"/>
  <c r="J2749" i="11"/>
  <c r="T2749" i="11"/>
  <c r="K2751" i="11"/>
  <c r="J2751" i="11"/>
  <c r="T2751" i="11"/>
  <c r="K2753" i="11"/>
  <c r="J2753" i="11"/>
  <c r="T2753" i="11"/>
  <c r="K2755" i="11"/>
  <c r="J2755" i="11"/>
  <c r="T2755" i="11"/>
  <c r="K2757" i="11"/>
  <c r="J2757" i="11"/>
  <c r="T2757" i="11"/>
  <c r="K2759" i="11"/>
  <c r="J2759" i="11"/>
  <c r="T2759" i="11"/>
  <c r="K2761" i="11"/>
  <c r="J2761" i="11"/>
  <c r="T2761" i="11"/>
  <c r="K2763" i="11"/>
  <c r="J2763" i="11"/>
  <c r="T2763" i="11"/>
  <c r="K2765" i="11"/>
  <c r="J2765" i="11"/>
  <c r="T2765" i="11"/>
  <c r="K2767" i="11"/>
  <c r="J2767" i="11"/>
  <c r="T2767" i="11"/>
  <c r="K2769" i="11"/>
  <c r="J2769" i="11"/>
  <c r="T2769" i="11"/>
  <c r="K2771" i="11"/>
  <c r="J2771" i="11"/>
  <c r="T2771" i="11"/>
  <c r="K2773" i="11"/>
  <c r="J2773" i="11"/>
  <c r="T2773" i="11"/>
  <c r="K2775" i="11"/>
  <c r="J2775" i="11"/>
  <c r="T2775" i="11"/>
  <c r="K2777" i="11"/>
  <c r="J2777" i="11"/>
  <c r="T2777" i="11"/>
  <c r="K2779" i="11"/>
  <c r="J2779" i="11"/>
  <c r="T2779" i="11"/>
  <c r="K2781" i="11"/>
  <c r="J2781" i="11"/>
  <c r="T2781" i="11"/>
  <c r="K2783" i="11"/>
  <c r="J2783" i="11"/>
  <c r="T2783" i="11"/>
  <c r="K2785" i="11"/>
  <c r="J2785" i="11"/>
  <c r="T2785" i="11"/>
  <c r="K2787" i="11"/>
  <c r="J2787" i="11"/>
  <c r="T2787" i="11"/>
  <c r="K2789" i="11"/>
  <c r="J2789" i="11"/>
  <c r="T2789" i="11"/>
  <c r="K2791" i="11"/>
  <c r="J2791" i="11"/>
  <c r="T2791" i="11"/>
  <c r="K2793" i="11"/>
  <c r="J2793" i="11"/>
  <c r="T2793" i="11"/>
  <c r="K2795" i="11"/>
  <c r="J2795" i="11"/>
  <c r="T2795" i="11"/>
  <c r="K2797" i="11"/>
  <c r="J2797" i="11"/>
  <c r="T2797" i="11"/>
  <c r="K2799" i="11"/>
  <c r="J2799" i="11"/>
  <c r="T2799" i="11"/>
  <c r="K2801" i="11"/>
  <c r="J2801" i="11"/>
  <c r="T2801" i="11"/>
  <c r="K2803" i="11"/>
  <c r="J2803" i="11"/>
  <c r="T2803" i="11"/>
  <c r="K2805" i="11"/>
  <c r="J2805" i="11"/>
  <c r="T2805" i="11"/>
  <c r="K2807" i="11"/>
  <c r="J2807" i="11"/>
  <c r="T2807" i="11"/>
  <c r="K2809" i="11"/>
  <c r="J2809" i="11"/>
  <c r="T2809" i="11"/>
  <c r="K2811" i="11"/>
  <c r="J2811" i="11"/>
  <c r="T2811" i="11"/>
  <c r="K2813" i="11"/>
  <c r="J2813" i="11"/>
  <c r="T2813" i="11"/>
  <c r="K2815" i="11"/>
  <c r="J2815" i="11"/>
  <c r="T2815" i="11"/>
  <c r="K2817" i="11"/>
  <c r="J2817" i="11"/>
  <c r="T2817" i="11"/>
  <c r="K2819" i="11"/>
  <c r="J2819" i="11"/>
  <c r="T2819" i="11"/>
  <c r="K2821" i="11"/>
  <c r="J2821" i="11"/>
  <c r="T2821" i="11"/>
  <c r="K2823" i="11"/>
  <c r="J2823" i="11"/>
  <c r="T2823" i="11"/>
  <c r="K2825" i="11"/>
  <c r="J2825" i="11"/>
  <c r="T2825" i="11"/>
  <c r="K2827" i="11"/>
  <c r="J2827" i="11"/>
  <c r="T2827" i="11"/>
  <c r="K2829" i="11"/>
  <c r="J2829" i="11"/>
  <c r="T2829" i="11"/>
  <c r="K2831" i="11"/>
  <c r="J2831" i="11"/>
  <c r="T2831" i="11"/>
  <c r="K2833" i="11"/>
  <c r="J2833" i="11"/>
  <c r="T2833" i="11"/>
  <c r="K2835" i="11"/>
  <c r="J2835" i="11"/>
  <c r="T2835" i="11"/>
  <c r="K2837" i="11"/>
  <c r="J2837" i="11"/>
  <c r="T2837" i="11"/>
  <c r="K2839" i="11"/>
  <c r="J2839" i="11"/>
  <c r="T2839" i="11"/>
  <c r="K2841" i="11"/>
  <c r="J2841" i="11"/>
  <c r="T2841" i="11"/>
  <c r="K2843" i="11"/>
  <c r="J2843" i="11"/>
  <c r="T2843" i="11"/>
  <c r="K2845" i="11"/>
  <c r="J2845" i="11"/>
  <c r="T2845" i="11"/>
  <c r="K2847" i="11"/>
  <c r="J2847" i="11"/>
  <c r="T2847" i="11"/>
  <c r="K2849" i="11"/>
  <c r="J2849" i="11"/>
  <c r="T2849" i="11"/>
  <c r="K2851" i="11"/>
  <c r="J2851" i="11"/>
  <c r="T2851" i="11"/>
  <c r="K2853" i="11"/>
  <c r="J2853" i="11"/>
  <c r="T2853" i="11"/>
  <c r="K2855" i="11"/>
  <c r="J2855" i="11"/>
  <c r="T2855" i="11"/>
  <c r="K2857" i="11"/>
  <c r="J2857" i="11"/>
  <c r="T2857" i="11"/>
  <c r="K2859" i="11"/>
  <c r="J2859" i="11"/>
  <c r="T2859" i="11"/>
  <c r="K2861" i="11"/>
  <c r="J2861" i="11"/>
  <c r="T2861" i="11"/>
  <c r="K2863" i="11"/>
  <c r="J2863" i="11"/>
  <c r="T2863" i="11"/>
  <c r="K2865" i="11"/>
  <c r="J2865" i="11"/>
  <c r="T2865" i="11"/>
  <c r="K2867" i="11"/>
  <c r="J2867" i="11"/>
  <c r="T2867" i="11"/>
  <c r="K2869" i="11"/>
  <c r="J2869" i="11"/>
  <c r="T2869" i="11"/>
  <c r="K2871" i="11"/>
  <c r="J2871" i="11"/>
  <c r="T2871" i="11"/>
  <c r="K2873" i="11"/>
  <c r="J2873" i="11"/>
  <c r="T2873" i="11"/>
  <c r="K2875" i="11"/>
  <c r="J2875" i="11"/>
  <c r="T2875" i="11"/>
  <c r="K2877" i="11"/>
  <c r="J2877" i="11"/>
  <c r="T2877" i="11"/>
  <c r="K2879" i="11"/>
  <c r="J2879" i="11"/>
  <c r="T2879" i="11"/>
  <c r="K2881" i="11"/>
  <c r="J2881" i="11"/>
  <c r="T2881" i="11"/>
  <c r="K2883" i="11"/>
  <c r="J2883" i="11"/>
  <c r="T2883" i="11"/>
  <c r="K2885" i="11"/>
  <c r="J2885" i="11"/>
  <c r="T2885" i="11"/>
  <c r="K2887" i="11"/>
  <c r="J2887" i="11"/>
  <c r="T2887" i="11"/>
  <c r="K2889" i="11"/>
  <c r="J2889" i="11"/>
  <c r="T2889" i="11"/>
  <c r="K2891" i="11"/>
  <c r="J2891" i="11"/>
  <c r="T2891" i="11"/>
  <c r="K2893" i="11"/>
  <c r="J2893" i="11"/>
  <c r="T2893" i="11"/>
  <c r="K2895" i="11"/>
  <c r="J2895" i="11"/>
  <c r="T2895" i="11"/>
  <c r="K2897" i="11"/>
  <c r="J2897" i="11"/>
  <c r="T2897" i="11"/>
  <c r="K2899" i="11"/>
  <c r="J2899" i="11"/>
  <c r="T2899" i="11"/>
  <c r="K2901" i="11"/>
  <c r="J2901" i="11"/>
  <c r="T2901" i="11"/>
  <c r="K2903" i="11"/>
  <c r="J2903" i="11"/>
  <c r="T2903" i="11"/>
  <c r="K2905" i="11"/>
  <c r="J2905" i="11"/>
  <c r="T2905" i="11"/>
  <c r="K2907" i="11"/>
  <c r="J2907" i="11"/>
  <c r="T2907" i="11"/>
  <c r="K2909" i="11"/>
  <c r="J2909" i="11"/>
  <c r="T2909" i="11"/>
  <c r="K2911" i="11"/>
  <c r="J2911" i="11"/>
  <c r="T2911" i="11"/>
  <c r="K2913" i="11"/>
  <c r="J2913" i="11"/>
  <c r="T2913" i="11"/>
  <c r="K2915" i="11"/>
  <c r="J2915" i="11"/>
  <c r="T2915" i="11"/>
  <c r="K2917" i="11"/>
  <c r="J2917" i="11"/>
  <c r="T2917" i="11"/>
  <c r="K2919" i="11"/>
  <c r="J2919" i="11"/>
  <c r="T2919" i="11"/>
  <c r="K2921" i="11"/>
  <c r="J2921" i="11"/>
  <c r="T2921" i="11"/>
  <c r="K2923" i="11"/>
  <c r="J2923" i="11"/>
  <c r="T2923" i="11"/>
  <c r="K2925" i="11"/>
  <c r="J2925" i="11"/>
  <c r="T2925" i="11"/>
  <c r="K2927" i="11"/>
  <c r="J2927" i="11"/>
  <c r="T2927" i="11"/>
  <c r="K2929" i="11"/>
  <c r="J2929" i="11"/>
  <c r="T2929" i="11"/>
  <c r="K2931" i="11"/>
  <c r="J2931" i="11"/>
  <c r="T2931" i="11"/>
  <c r="K2933" i="11"/>
  <c r="J2933" i="11"/>
  <c r="T2933" i="11"/>
  <c r="K2935" i="11"/>
  <c r="J2935" i="11"/>
  <c r="T2935" i="11"/>
  <c r="K2937" i="11"/>
  <c r="J2937" i="11"/>
  <c r="T2937" i="11"/>
  <c r="K2939" i="11"/>
  <c r="J2939" i="11"/>
  <c r="T2939" i="11"/>
  <c r="K2941" i="11"/>
  <c r="J2941" i="11"/>
  <c r="T2941" i="11"/>
  <c r="K2943" i="11"/>
  <c r="J2943" i="11"/>
  <c r="T2943" i="11"/>
  <c r="K2945" i="11"/>
  <c r="J2945" i="11"/>
  <c r="T2945" i="11"/>
  <c r="K2947" i="11"/>
  <c r="J2947" i="11"/>
  <c r="T2947" i="11"/>
  <c r="K2949" i="11"/>
  <c r="J2949" i="11"/>
  <c r="T2949" i="11"/>
  <c r="K2951" i="11"/>
  <c r="J2951" i="11"/>
  <c r="T2951" i="11"/>
  <c r="K2953" i="11"/>
  <c r="J2953" i="11"/>
  <c r="T2953" i="11"/>
  <c r="K2955" i="11"/>
  <c r="J2955" i="11"/>
  <c r="T2955" i="11"/>
  <c r="K2957" i="11"/>
  <c r="J2957" i="11"/>
  <c r="T2957" i="11"/>
  <c r="K2959" i="11"/>
  <c r="J2959" i="11"/>
  <c r="T2959" i="11"/>
  <c r="K2961" i="11"/>
  <c r="J2961" i="11"/>
  <c r="T2961" i="11"/>
  <c r="K2963" i="11"/>
  <c r="J2963" i="11"/>
  <c r="T2963" i="11"/>
  <c r="K2965" i="11"/>
  <c r="J2965" i="11"/>
  <c r="T2965" i="11"/>
  <c r="K2967" i="11"/>
  <c r="J2967" i="11"/>
  <c r="T2967" i="11"/>
  <c r="K2969" i="11"/>
  <c r="J2969" i="11"/>
  <c r="T2969" i="11"/>
  <c r="K2971" i="11"/>
  <c r="J2971" i="11"/>
  <c r="T2971" i="11"/>
  <c r="K2973" i="11"/>
  <c r="J2973" i="11"/>
  <c r="T2973" i="11"/>
  <c r="K2975" i="11"/>
  <c r="J2975" i="11"/>
  <c r="T2975" i="11"/>
  <c r="K2977" i="11"/>
  <c r="J2977" i="11"/>
  <c r="T2977" i="11"/>
  <c r="K2979" i="11"/>
  <c r="J2979" i="11"/>
  <c r="T2979" i="11"/>
  <c r="K2981" i="11"/>
  <c r="J2981" i="11"/>
  <c r="T2981" i="11"/>
  <c r="K2983" i="11"/>
  <c r="J2983" i="11"/>
  <c r="T2983" i="11"/>
  <c r="K2985" i="11"/>
  <c r="J2985" i="11"/>
  <c r="T2985" i="11"/>
  <c r="K2987" i="11"/>
  <c r="J2987" i="11"/>
  <c r="T2987" i="11"/>
  <c r="K2989" i="11"/>
  <c r="J2989" i="11"/>
  <c r="T2989" i="11"/>
  <c r="K2991" i="11"/>
  <c r="J2991" i="11"/>
  <c r="T2991" i="11"/>
  <c r="K2993" i="11"/>
  <c r="J2993" i="11"/>
  <c r="T2993" i="11"/>
  <c r="K2995" i="11"/>
  <c r="J2995" i="11"/>
  <c r="T2995" i="11"/>
  <c r="K2997" i="11"/>
  <c r="J2997" i="11"/>
  <c r="T2997" i="11"/>
  <c r="K2999" i="11"/>
  <c r="J2999" i="11"/>
  <c r="T2999" i="11"/>
  <c r="K3001" i="11"/>
  <c r="J3001" i="11"/>
  <c r="T3001" i="11"/>
  <c r="K3003" i="11"/>
  <c r="J3003" i="11"/>
  <c r="T3003" i="11"/>
  <c r="K3005" i="11"/>
  <c r="J3005" i="11"/>
  <c r="T3005" i="11"/>
  <c r="K3007" i="11"/>
  <c r="J3007" i="11"/>
  <c r="T3007" i="11"/>
  <c r="K3009" i="11"/>
  <c r="J3009" i="11"/>
  <c r="T3009" i="11"/>
  <c r="K3011" i="11"/>
  <c r="J3011" i="11"/>
  <c r="T3011" i="11"/>
  <c r="K3013" i="11"/>
  <c r="J3013" i="11"/>
  <c r="T3013" i="11"/>
  <c r="K3015" i="11"/>
  <c r="J3015" i="11"/>
  <c r="T3015" i="11"/>
  <c r="K3017" i="11"/>
  <c r="J3017" i="11"/>
  <c r="T3017" i="11"/>
  <c r="K3019" i="11"/>
  <c r="J3019" i="11"/>
  <c r="T3019" i="11"/>
  <c r="K3021" i="11"/>
  <c r="J3021" i="11"/>
  <c r="T3021" i="11"/>
  <c r="K3023" i="11"/>
  <c r="J3023" i="11"/>
  <c r="T3023" i="11"/>
  <c r="K3025" i="11"/>
  <c r="J3025" i="11"/>
  <c r="T3025" i="11"/>
  <c r="K3027" i="11"/>
  <c r="J3027" i="11"/>
  <c r="T3027" i="11"/>
  <c r="K3029" i="11"/>
  <c r="J3029" i="11"/>
  <c r="T3029" i="11"/>
  <c r="K3031" i="11"/>
  <c r="J3031" i="11"/>
  <c r="T3031" i="11"/>
  <c r="K3033" i="11"/>
  <c r="J3033" i="11"/>
  <c r="T3033" i="11"/>
  <c r="K3035" i="11"/>
  <c r="J3035" i="11"/>
  <c r="T3035" i="11"/>
  <c r="K3037" i="11"/>
  <c r="J3037" i="11"/>
  <c r="T3037" i="11"/>
  <c r="K3039" i="11"/>
  <c r="J3039" i="11"/>
  <c r="T3039" i="11"/>
  <c r="K3041" i="11"/>
  <c r="J3041" i="11"/>
  <c r="T3041" i="11"/>
  <c r="K3043" i="11"/>
  <c r="J3043" i="11"/>
  <c r="T3043" i="11"/>
  <c r="K3045" i="11"/>
  <c r="J3045" i="11"/>
  <c r="T3045" i="11"/>
  <c r="K3047" i="11"/>
  <c r="J3047" i="11"/>
  <c r="T3047" i="11"/>
  <c r="K3049" i="11"/>
  <c r="J3049" i="11"/>
  <c r="T3049" i="11"/>
  <c r="K3051" i="11"/>
  <c r="J3051" i="11"/>
  <c r="T3051" i="11"/>
  <c r="K3053" i="11"/>
  <c r="J3053" i="11"/>
  <c r="T3053" i="11"/>
  <c r="K3055" i="11"/>
  <c r="J3055" i="11"/>
  <c r="T3055" i="11"/>
  <c r="K3057" i="11"/>
  <c r="J3057" i="11"/>
  <c r="T3057" i="11"/>
  <c r="K3059" i="11"/>
  <c r="J3059" i="11"/>
  <c r="T3059" i="11"/>
  <c r="K3061" i="11"/>
  <c r="J3061" i="11"/>
  <c r="T3061" i="11"/>
  <c r="K3063" i="11"/>
  <c r="J3063" i="11"/>
  <c r="T3063" i="11"/>
  <c r="K3065" i="11"/>
  <c r="J3065" i="11"/>
  <c r="T3065" i="11"/>
  <c r="K3067" i="11"/>
  <c r="J3067" i="11"/>
  <c r="T3067" i="11"/>
  <c r="K3069" i="11"/>
  <c r="J3069" i="11"/>
  <c r="T3069" i="11"/>
  <c r="K3071" i="11"/>
  <c r="J3071" i="11"/>
  <c r="T3071" i="11"/>
  <c r="K3073" i="11"/>
  <c r="J3073" i="11"/>
  <c r="T3073" i="11"/>
  <c r="K3075" i="11"/>
  <c r="J3075" i="11"/>
  <c r="T3075" i="11"/>
  <c r="K3077" i="11"/>
  <c r="J3077" i="11"/>
  <c r="T3077" i="11"/>
  <c r="K3079" i="11"/>
  <c r="J3079" i="11"/>
  <c r="T3079" i="11"/>
  <c r="K3081" i="11"/>
  <c r="J3081" i="11"/>
  <c r="T3081" i="11"/>
  <c r="K3083" i="11"/>
  <c r="J3083" i="11"/>
  <c r="T3083" i="11"/>
  <c r="K3085" i="11"/>
  <c r="J3085" i="11"/>
  <c r="T3085" i="11"/>
  <c r="K3087" i="11"/>
  <c r="J3087" i="11"/>
  <c r="T3087" i="11"/>
  <c r="K3089" i="11"/>
  <c r="J3089" i="11"/>
  <c r="T3089" i="11"/>
  <c r="K3091" i="11"/>
  <c r="J3091" i="11"/>
  <c r="T3091" i="11"/>
  <c r="K3093" i="11"/>
  <c r="J3093" i="11"/>
  <c r="T3093" i="11"/>
  <c r="K3095" i="11"/>
  <c r="J3095" i="11"/>
  <c r="T3095" i="11"/>
  <c r="K3097" i="11"/>
  <c r="J3097" i="11"/>
  <c r="T3097" i="11"/>
  <c r="K3099" i="11"/>
  <c r="J3099" i="11"/>
  <c r="T3099" i="11"/>
  <c r="K3101" i="11"/>
  <c r="J3101" i="11"/>
  <c r="T3101" i="11"/>
  <c r="K3103" i="11"/>
  <c r="J3103" i="11"/>
  <c r="T3103" i="11"/>
  <c r="K3105" i="11"/>
  <c r="J3105" i="11"/>
  <c r="T3105" i="11"/>
  <c r="K3107" i="11"/>
  <c r="J3107" i="11"/>
  <c r="T3107" i="11"/>
  <c r="K3109" i="11"/>
  <c r="J3109" i="11"/>
  <c r="T3109" i="11"/>
  <c r="K3111" i="11"/>
  <c r="J3111" i="11"/>
  <c r="T3111" i="11"/>
  <c r="K3113" i="11"/>
  <c r="J3113" i="11"/>
  <c r="T3113" i="11"/>
  <c r="K3115" i="11"/>
  <c r="J3115" i="11"/>
  <c r="T3115" i="11"/>
  <c r="K3117" i="11"/>
  <c r="J3117" i="11"/>
  <c r="T3117" i="11"/>
  <c r="K3119" i="11"/>
  <c r="J3119" i="11"/>
  <c r="T3119" i="11"/>
  <c r="K3121" i="11"/>
  <c r="J3121" i="11"/>
  <c r="T3121" i="11"/>
  <c r="K3123" i="11"/>
  <c r="J3123" i="11"/>
  <c r="T3123" i="11"/>
  <c r="K3125" i="11"/>
  <c r="J3125" i="11"/>
  <c r="T3125" i="11"/>
  <c r="K3127" i="11"/>
  <c r="J3127" i="11"/>
  <c r="T3127" i="11"/>
  <c r="K3129" i="11"/>
  <c r="J3129" i="11"/>
  <c r="T3129" i="11"/>
  <c r="K3131" i="11"/>
  <c r="J3131" i="11"/>
  <c r="T3131" i="11"/>
  <c r="K3133" i="11"/>
  <c r="J3133" i="11"/>
  <c r="T3133" i="11"/>
  <c r="K3135" i="11"/>
  <c r="J3135" i="11"/>
  <c r="T3135" i="11"/>
  <c r="K3137" i="11"/>
  <c r="J3137" i="11"/>
  <c r="T3137" i="11"/>
  <c r="K3139" i="11"/>
  <c r="J3139" i="11"/>
  <c r="T3139" i="11"/>
  <c r="K3141" i="11"/>
  <c r="J3141" i="11"/>
  <c r="T3141" i="11"/>
  <c r="K3143" i="11"/>
  <c r="J3143" i="11"/>
  <c r="T3143" i="11"/>
  <c r="K3145" i="11"/>
  <c r="J3145" i="11"/>
  <c r="T3145" i="11"/>
  <c r="K3147" i="11"/>
  <c r="J3147" i="11"/>
  <c r="T3147" i="11"/>
  <c r="K3149" i="11"/>
  <c r="J3149" i="11"/>
  <c r="T3149" i="11"/>
  <c r="K3151" i="11"/>
  <c r="J3151" i="11"/>
  <c r="T3151" i="11"/>
  <c r="K3153" i="11"/>
  <c r="J3153" i="11"/>
  <c r="T3153" i="11"/>
  <c r="K3155" i="11"/>
  <c r="J3155" i="11"/>
  <c r="T3155" i="11"/>
  <c r="K3157" i="11"/>
  <c r="J3157" i="11"/>
  <c r="T3157" i="11"/>
  <c r="K3159" i="11"/>
  <c r="J3159" i="11"/>
  <c r="T3159" i="11"/>
  <c r="K3161" i="11"/>
  <c r="J3161" i="11"/>
  <c r="T3161" i="11"/>
  <c r="K3163" i="11"/>
  <c r="J3163" i="11"/>
  <c r="T3163" i="11"/>
  <c r="K3165" i="11"/>
  <c r="J3165" i="11"/>
  <c r="T3165" i="11"/>
  <c r="K3167" i="11"/>
  <c r="J3167" i="11"/>
  <c r="T3167" i="11"/>
  <c r="K3169" i="11"/>
  <c r="J3169" i="11"/>
  <c r="T3169" i="11"/>
  <c r="K3171" i="11"/>
  <c r="J3171" i="11"/>
  <c r="T3171" i="11"/>
  <c r="K3173" i="11"/>
  <c r="J3173" i="11"/>
  <c r="T3173" i="11"/>
  <c r="K3175" i="11"/>
  <c r="J3175" i="11"/>
  <c r="T3175" i="11"/>
  <c r="K3177" i="11"/>
  <c r="J3177" i="11"/>
  <c r="T3177" i="11"/>
  <c r="K3179" i="11"/>
  <c r="J3179" i="11"/>
  <c r="T3179" i="11"/>
  <c r="K3181" i="11"/>
  <c r="J3181" i="11"/>
  <c r="T3181" i="11"/>
  <c r="K3183" i="11"/>
  <c r="J3183" i="11"/>
  <c r="T3183" i="11"/>
  <c r="K3185" i="11"/>
  <c r="J3185" i="11"/>
  <c r="T3185" i="11"/>
  <c r="K3187" i="11"/>
  <c r="J3187" i="11"/>
  <c r="T3187" i="11"/>
  <c r="K3189" i="11"/>
  <c r="J3189" i="11"/>
  <c r="T3189" i="11"/>
  <c r="K3191" i="11"/>
  <c r="J3191" i="11"/>
  <c r="T3191" i="11"/>
  <c r="K3193" i="11"/>
  <c r="J3193" i="11"/>
  <c r="T3193" i="11"/>
  <c r="K3195" i="11"/>
  <c r="J3195" i="11"/>
  <c r="T3195" i="11"/>
  <c r="K3197" i="11"/>
  <c r="J3197" i="11"/>
  <c r="T3197" i="11"/>
  <c r="K3199" i="11"/>
  <c r="J3199" i="11"/>
  <c r="T3199" i="11"/>
  <c r="K3201" i="11"/>
  <c r="J3201" i="11"/>
  <c r="T3201" i="11"/>
  <c r="K3203" i="11"/>
  <c r="J3203" i="11"/>
  <c r="T3203" i="11"/>
  <c r="K3205" i="11"/>
  <c r="J3205" i="11"/>
  <c r="T3205" i="11"/>
  <c r="K3207" i="11"/>
  <c r="J3207" i="11"/>
  <c r="T3207" i="11"/>
  <c r="K3209" i="11"/>
  <c r="J3209" i="11"/>
  <c r="T3209" i="11"/>
  <c r="K3211" i="11"/>
  <c r="J3211" i="11"/>
  <c r="T3211" i="11"/>
  <c r="K3213" i="11"/>
  <c r="J3213" i="11"/>
  <c r="T3213" i="11"/>
  <c r="K3215" i="11"/>
  <c r="J3215" i="11"/>
  <c r="T3215" i="11"/>
  <c r="K3217" i="11"/>
  <c r="J3217" i="11"/>
  <c r="T3217" i="11"/>
  <c r="K3219" i="11"/>
  <c r="J3219" i="11"/>
  <c r="T3219" i="11"/>
  <c r="K3221" i="11"/>
  <c r="J3221" i="11"/>
  <c r="T3221" i="11"/>
  <c r="K3223" i="11"/>
  <c r="J3223" i="11"/>
  <c r="T3223" i="11"/>
  <c r="K3225" i="11"/>
  <c r="J3225" i="11"/>
  <c r="T3225" i="11"/>
  <c r="K3227" i="11"/>
  <c r="J3227" i="11"/>
  <c r="T3227" i="11"/>
  <c r="K3229" i="11"/>
  <c r="J3229" i="11"/>
  <c r="T3229" i="11"/>
  <c r="K3231" i="11"/>
  <c r="J3231" i="11"/>
  <c r="T3231" i="11"/>
  <c r="K3233" i="11"/>
  <c r="J3233" i="11"/>
  <c r="T3233" i="11"/>
  <c r="K3235" i="11"/>
  <c r="J3235" i="11"/>
  <c r="T3235" i="11"/>
  <c r="K3237" i="11"/>
  <c r="J3237" i="11"/>
  <c r="T3237" i="11"/>
  <c r="K3239" i="11"/>
  <c r="J3239" i="11"/>
  <c r="T3239" i="11"/>
  <c r="K3241" i="11"/>
  <c r="J3241" i="11"/>
  <c r="T3241" i="11"/>
  <c r="K3243" i="11"/>
  <c r="J3243" i="11"/>
  <c r="T3243" i="11"/>
  <c r="K3245" i="11"/>
  <c r="J3245" i="11"/>
  <c r="T3245" i="11"/>
  <c r="K3247" i="11"/>
  <c r="J3247" i="11"/>
  <c r="T3247" i="11"/>
  <c r="K3249" i="11"/>
  <c r="J3249" i="11"/>
  <c r="T3249" i="11"/>
  <c r="K3251" i="11"/>
  <c r="J3251" i="11"/>
  <c r="T3251" i="11"/>
  <c r="K3253" i="11"/>
  <c r="J3253" i="11"/>
  <c r="T3253" i="11"/>
  <c r="K3255" i="11"/>
  <c r="J3255" i="11"/>
  <c r="T3255" i="11"/>
  <c r="K3257" i="11"/>
  <c r="J3257" i="11"/>
  <c r="T3257" i="11"/>
  <c r="K3259" i="11"/>
  <c r="J3259" i="11"/>
  <c r="T3259" i="11"/>
  <c r="K3261" i="11"/>
  <c r="J3261" i="11"/>
  <c r="T3261" i="11"/>
  <c r="K3263" i="11"/>
  <c r="J3263" i="11"/>
  <c r="T3263" i="11"/>
  <c r="K3265" i="11"/>
  <c r="J3265" i="11"/>
  <c r="T3265" i="11"/>
  <c r="K3267" i="11"/>
  <c r="J3267" i="11"/>
  <c r="T3267" i="11"/>
  <c r="K3269" i="11"/>
  <c r="J3269" i="11"/>
  <c r="T3269" i="11"/>
  <c r="K3271" i="11"/>
  <c r="J3271" i="11"/>
  <c r="T3271" i="11"/>
  <c r="K3273" i="11"/>
  <c r="J3273" i="11"/>
  <c r="T3273" i="11"/>
  <c r="K3275" i="11"/>
  <c r="J3275" i="11"/>
  <c r="T3275" i="11"/>
  <c r="K3277" i="11"/>
  <c r="J3277" i="11"/>
  <c r="T3277" i="11"/>
  <c r="K3279" i="11"/>
  <c r="J3279" i="11"/>
  <c r="T3279" i="11"/>
  <c r="K3281" i="11"/>
  <c r="J3281" i="11"/>
  <c r="T3281" i="11"/>
  <c r="K3283" i="11"/>
  <c r="J3283" i="11"/>
  <c r="T3283" i="11"/>
  <c r="K3285" i="11"/>
  <c r="J3285" i="11"/>
  <c r="T3285" i="11"/>
  <c r="K3287" i="11"/>
  <c r="J3287" i="11"/>
  <c r="T3287" i="11"/>
  <c r="K3289" i="11"/>
  <c r="J3289" i="11"/>
  <c r="T3289" i="11"/>
  <c r="K3291" i="11"/>
  <c r="J3291" i="11"/>
  <c r="T3291" i="11"/>
  <c r="K3293" i="11"/>
  <c r="J3293" i="11"/>
  <c r="T3293" i="11"/>
  <c r="K3295" i="11"/>
  <c r="J3295" i="11"/>
  <c r="T3295" i="11"/>
  <c r="K3297" i="11"/>
  <c r="J3297" i="11"/>
  <c r="T3297" i="11"/>
  <c r="K3299" i="11"/>
  <c r="J3299" i="11"/>
  <c r="T3299" i="11"/>
  <c r="K3301" i="11"/>
  <c r="J3301" i="11"/>
  <c r="T3301" i="11"/>
  <c r="K3303" i="11"/>
  <c r="J3303" i="11"/>
  <c r="T3303" i="11"/>
  <c r="K3305" i="11"/>
  <c r="J3305" i="11"/>
  <c r="T3305" i="11"/>
  <c r="K3307" i="11"/>
  <c r="J3307" i="11"/>
  <c r="T3307" i="11"/>
  <c r="K3309" i="11"/>
  <c r="J3309" i="11"/>
  <c r="T3309" i="11"/>
  <c r="K3311" i="11"/>
  <c r="J3311" i="11"/>
  <c r="T3311" i="11"/>
  <c r="K3313" i="11"/>
  <c r="J3313" i="11"/>
  <c r="T3313" i="11"/>
  <c r="K3315" i="11"/>
  <c r="J3315" i="11"/>
  <c r="T3315" i="11"/>
  <c r="K3317" i="11"/>
  <c r="J3317" i="11"/>
  <c r="T3317" i="11"/>
  <c r="K3319" i="11"/>
  <c r="J3319" i="11"/>
  <c r="T3319" i="11"/>
  <c r="K3321" i="11"/>
  <c r="J3321" i="11"/>
  <c r="T3321" i="11"/>
  <c r="K3323" i="11"/>
  <c r="J3323" i="11"/>
  <c r="T3323" i="11"/>
  <c r="K3325" i="11"/>
  <c r="J3325" i="11"/>
  <c r="T3325" i="11"/>
  <c r="K3327" i="11"/>
  <c r="J3327" i="11"/>
  <c r="T3327" i="11"/>
  <c r="K3329" i="11"/>
  <c r="J3329" i="11"/>
  <c r="T3329" i="11"/>
  <c r="K3331" i="11"/>
  <c r="J3331" i="11"/>
  <c r="T3331" i="11"/>
  <c r="K3333" i="11"/>
  <c r="J3333" i="11"/>
  <c r="T3333" i="11"/>
  <c r="K3335" i="11"/>
  <c r="J3335" i="11"/>
  <c r="T3335" i="11"/>
  <c r="K3337" i="11"/>
  <c r="J3337" i="11"/>
  <c r="T3337" i="11"/>
  <c r="K3339" i="11"/>
  <c r="J3339" i="11"/>
  <c r="T3339" i="11"/>
  <c r="K3341" i="11"/>
  <c r="J3341" i="11"/>
  <c r="T3341" i="11"/>
  <c r="K3343" i="11"/>
  <c r="J3343" i="11"/>
  <c r="T3343" i="11"/>
  <c r="K3345" i="11"/>
  <c r="J3345" i="11"/>
  <c r="T3345" i="11"/>
  <c r="K3347" i="11"/>
  <c r="J3347" i="11"/>
  <c r="T3347" i="11"/>
  <c r="K3349" i="11"/>
  <c r="J3349" i="11"/>
  <c r="T3349" i="11"/>
  <c r="K3351" i="11"/>
  <c r="J3351" i="11"/>
  <c r="T3351" i="11"/>
  <c r="K3353" i="11"/>
  <c r="J3353" i="11"/>
  <c r="T3353" i="11"/>
  <c r="K3355" i="11"/>
  <c r="J3355" i="11"/>
  <c r="T3355" i="11"/>
  <c r="K3357" i="11"/>
  <c r="J3357" i="11"/>
  <c r="T3357" i="11"/>
  <c r="K3359" i="11"/>
  <c r="J3359" i="11"/>
  <c r="T3359" i="11"/>
  <c r="K3361" i="11"/>
  <c r="J3361" i="11"/>
  <c r="T3361" i="11"/>
  <c r="K3363" i="11"/>
  <c r="J3363" i="11"/>
  <c r="T3363" i="11"/>
  <c r="K3365" i="11"/>
  <c r="J3365" i="11"/>
  <c r="T3365" i="11"/>
  <c r="K3367" i="11"/>
  <c r="J3367" i="11"/>
  <c r="T3367" i="11"/>
  <c r="K3369" i="11"/>
  <c r="J3369" i="11"/>
  <c r="T3369" i="11"/>
  <c r="K3371" i="11"/>
  <c r="J3371" i="11"/>
  <c r="T3371" i="11"/>
  <c r="K3373" i="11"/>
  <c r="J3373" i="11"/>
  <c r="T3373" i="11"/>
  <c r="K3375" i="11"/>
  <c r="J3375" i="11"/>
  <c r="T3375" i="11"/>
  <c r="K3377" i="11"/>
  <c r="J3377" i="11"/>
  <c r="T3377" i="11"/>
  <c r="K3379" i="11"/>
  <c r="J3379" i="11"/>
  <c r="T3379" i="11"/>
  <c r="K3381" i="11"/>
  <c r="J3381" i="11"/>
  <c r="T3381" i="11"/>
  <c r="K3383" i="11"/>
  <c r="J3383" i="11"/>
  <c r="T3383" i="11"/>
  <c r="K3385" i="11"/>
  <c r="J3385" i="11"/>
  <c r="T3385" i="11"/>
  <c r="K3387" i="11"/>
  <c r="J3387" i="11"/>
  <c r="T3387" i="11"/>
  <c r="K3389" i="11"/>
  <c r="J3389" i="11"/>
  <c r="T3389" i="11"/>
  <c r="K3391" i="11"/>
  <c r="J3391" i="11"/>
  <c r="T3391" i="11"/>
  <c r="K3393" i="11"/>
  <c r="J3393" i="11"/>
  <c r="T3393" i="11"/>
  <c r="K3395" i="11"/>
  <c r="J3395" i="11"/>
  <c r="T3395" i="11"/>
  <c r="K3397" i="11"/>
  <c r="J3397" i="11"/>
  <c r="T3397" i="11"/>
  <c r="K3399" i="11"/>
  <c r="J3399" i="11"/>
  <c r="T3399" i="11"/>
  <c r="K3401" i="11"/>
  <c r="J3401" i="11"/>
  <c r="T3401" i="11"/>
  <c r="K3403" i="11"/>
  <c r="J3403" i="11"/>
  <c r="T3403" i="11"/>
  <c r="K3405" i="11"/>
  <c r="J3405" i="11"/>
  <c r="T3405" i="11"/>
  <c r="K3407" i="11"/>
  <c r="J3407" i="11"/>
  <c r="T3407" i="11"/>
  <c r="K3409" i="11"/>
  <c r="J3409" i="11"/>
  <c r="T3409" i="11"/>
  <c r="K3411" i="11"/>
  <c r="J3411" i="11"/>
  <c r="T3411" i="11"/>
  <c r="K3413" i="11"/>
  <c r="J3413" i="11"/>
  <c r="T3413" i="11"/>
  <c r="K3415" i="11"/>
  <c r="J3415" i="11"/>
  <c r="T3415" i="11"/>
  <c r="K3417" i="11"/>
  <c r="J3417" i="11"/>
  <c r="T3417" i="11"/>
  <c r="K3419" i="11"/>
  <c r="J3419" i="11"/>
  <c r="T3419" i="11"/>
  <c r="K3421" i="11"/>
  <c r="J3421" i="11"/>
  <c r="T3421" i="11"/>
  <c r="K3423" i="11"/>
  <c r="J3423" i="11"/>
  <c r="T3423" i="11"/>
  <c r="K3425" i="11"/>
  <c r="J3425" i="11"/>
  <c r="T3425" i="11"/>
  <c r="K3427" i="11"/>
  <c r="J3427" i="11"/>
  <c r="T3427" i="11"/>
  <c r="K3429" i="11"/>
  <c r="J3429" i="11"/>
  <c r="T3429" i="11"/>
  <c r="K3431" i="11"/>
  <c r="J3431" i="11"/>
  <c r="T3431" i="11"/>
  <c r="K3433" i="11"/>
  <c r="J3433" i="11"/>
  <c r="T3433" i="11"/>
  <c r="K3435" i="11"/>
  <c r="J3435" i="11"/>
  <c r="T3435" i="11"/>
  <c r="K3437" i="11"/>
  <c r="J3437" i="11"/>
  <c r="T3437" i="11"/>
  <c r="K3439" i="11"/>
  <c r="J3439" i="11"/>
  <c r="T3439" i="11"/>
  <c r="K3441" i="11"/>
  <c r="J3441" i="11"/>
  <c r="T3441" i="11"/>
  <c r="K3443" i="11"/>
  <c r="J3443" i="11"/>
  <c r="T3443" i="11"/>
  <c r="K3445" i="11"/>
  <c r="J3445" i="11"/>
  <c r="T3445" i="11"/>
  <c r="K3447" i="11"/>
  <c r="J3447" i="11"/>
  <c r="T3447" i="11"/>
  <c r="K3449" i="11"/>
  <c r="J3449" i="11"/>
  <c r="T3449" i="11"/>
  <c r="K3451" i="11"/>
  <c r="J3451" i="11"/>
  <c r="T3451" i="11"/>
  <c r="K3453" i="11"/>
  <c r="J3453" i="11"/>
  <c r="T3453" i="11"/>
  <c r="K3455" i="11"/>
  <c r="J3455" i="11"/>
  <c r="T3455" i="11"/>
  <c r="K3457" i="11"/>
  <c r="J3457" i="11"/>
  <c r="T3457" i="11"/>
  <c r="K3459" i="11"/>
  <c r="J3459" i="11"/>
  <c r="T3459" i="11"/>
  <c r="K3461" i="11"/>
  <c r="J3461" i="11"/>
  <c r="T3461" i="11"/>
  <c r="K3463" i="11"/>
  <c r="J3463" i="11"/>
  <c r="T3463" i="11"/>
  <c r="K3465" i="11"/>
  <c r="J3465" i="11"/>
  <c r="T3465" i="11"/>
  <c r="K3467" i="11"/>
  <c r="J3467" i="11"/>
  <c r="T3467" i="11"/>
  <c r="K3469" i="11"/>
  <c r="J3469" i="11"/>
  <c r="T3469" i="11"/>
  <c r="K3471" i="11"/>
  <c r="J3471" i="11"/>
  <c r="T3471" i="11"/>
  <c r="K3473" i="11"/>
  <c r="J3473" i="11"/>
  <c r="T3473" i="11"/>
  <c r="K3475" i="11"/>
  <c r="J3475" i="11"/>
  <c r="T3475" i="11"/>
  <c r="K3477" i="11"/>
  <c r="J3477" i="11"/>
  <c r="T3477" i="11"/>
  <c r="K3479" i="11"/>
  <c r="J3479" i="11"/>
  <c r="T3479" i="11"/>
  <c r="K3481" i="11"/>
  <c r="J3481" i="11"/>
  <c r="T3481" i="11"/>
  <c r="K3483" i="11"/>
  <c r="J3483" i="11"/>
  <c r="T3483" i="11"/>
  <c r="K3485" i="11"/>
  <c r="J3485" i="11"/>
  <c r="T3485" i="11"/>
  <c r="K3487" i="11"/>
  <c r="J3487" i="11"/>
  <c r="T3487" i="11"/>
  <c r="K3489" i="11"/>
  <c r="J3489" i="11"/>
  <c r="T3489" i="11"/>
  <c r="K3491" i="11"/>
  <c r="J3491" i="11"/>
  <c r="T3491" i="11"/>
  <c r="K3493" i="11"/>
  <c r="J3493" i="11"/>
  <c r="T3493" i="11"/>
  <c r="K3495" i="11"/>
  <c r="J3495" i="11"/>
  <c r="T3495" i="11"/>
  <c r="K3497" i="11"/>
  <c r="J3497" i="11"/>
  <c r="T3497" i="11"/>
  <c r="K3499" i="11"/>
  <c r="J3499" i="11"/>
  <c r="T3499" i="11"/>
  <c r="K3501" i="11"/>
  <c r="J3501" i="11"/>
  <c r="T3501" i="11"/>
  <c r="K3503" i="11"/>
  <c r="J3503" i="11"/>
  <c r="T3503" i="11"/>
  <c r="K3505" i="11"/>
  <c r="J3505" i="11"/>
  <c r="T3505" i="11"/>
  <c r="K3507" i="11"/>
  <c r="J3507" i="11"/>
  <c r="T3507" i="11"/>
  <c r="K3509" i="11"/>
  <c r="J3509" i="11"/>
  <c r="T3509" i="11"/>
  <c r="K3511" i="11"/>
  <c r="J3511" i="11"/>
  <c r="T3511" i="11"/>
  <c r="K3513" i="11"/>
  <c r="J3513" i="11"/>
  <c r="T3513" i="11"/>
  <c r="K3515" i="11"/>
  <c r="J3515" i="11"/>
  <c r="T3515" i="11"/>
  <c r="K3517" i="11"/>
  <c r="J3517" i="11"/>
  <c r="T3517" i="11"/>
  <c r="K3519" i="11"/>
  <c r="J3519" i="11"/>
  <c r="T3519" i="11"/>
  <c r="K3521" i="11"/>
  <c r="J3521" i="11"/>
  <c r="T3521" i="11"/>
  <c r="K3523" i="11"/>
  <c r="J3523" i="11"/>
  <c r="T3523" i="11"/>
  <c r="K3525" i="11"/>
  <c r="J3525" i="11"/>
  <c r="T3525" i="11"/>
  <c r="K3527" i="11"/>
  <c r="J3527" i="11"/>
  <c r="T3527" i="11"/>
  <c r="K3529" i="11"/>
  <c r="J3529" i="11"/>
  <c r="T3529" i="11"/>
  <c r="K3531" i="11"/>
  <c r="J3531" i="11"/>
  <c r="T3531" i="11"/>
  <c r="K3533" i="11"/>
  <c r="J3533" i="11"/>
  <c r="T3533" i="11"/>
  <c r="K3535" i="11"/>
  <c r="J3535" i="11"/>
  <c r="T3535" i="11"/>
  <c r="K3537" i="11"/>
  <c r="J3537" i="11"/>
  <c r="T3537" i="11"/>
  <c r="K3539" i="11"/>
  <c r="J3539" i="11"/>
  <c r="T3539" i="11"/>
  <c r="K3541" i="11"/>
  <c r="J3541" i="11"/>
  <c r="T3541" i="11"/>
  <c r="K3543" i="11"/>
  <c r="J3543" i="11"/>
  <c r="T3543" i="11"/>
  <c r="K3545" i="11"/>
  <c r="J3545" i="11"/>
  <c r="T3545" i="11"/>
  <c r="K3547" i="11"/>
  <c r="J3547" i="11"/>
  <c r="T3547" i="11"/>
  <c r="K3549" i="11"/>
  <c r="J3549" i="11"/>
  <c r="T3549" i="11"/>
  <c r="K3551" i="11"/>
  <c r="J3551" i="11"/>
  <c r="T3551" i="11"/>
  <c r="K3553" i="11"/>
  <c r="J3553" i="11"/>
  <c r="T3553" i="11"/>
  <c r="K3555" i="11"/>
  <c r="J3555" i="11"/>
  <c r="T3555" i="11"/>
  <c r="K3557" i="11"/>
  <c r="J3557" i="11"/>
  <c r="T3557" i="11"/>
  <c r="K3559" i="11"/>
  <c r="J3559" i="11"/>
  <c r="T3559" i="11"/>
  <c r="K3561" i="11"/>
  <c r="J3561" i="11"/>
  <c r="T3561" i="11"/>
  <c r="K3563" i="11"/>
  <c r="J3563" i="11"/>
  <c r="T3563" i="11"/>
  <c r="K3565" i="11"/>
  <c r="J3565" i="11"/>
  <c r="T3565" i="11"/>
  <c r="K3567" i="11"/>
  <c r="J3567" i="11"/>
  <c r="T3567" i="11"/>
  <c r="K3569" i="11"/>
  <c r="J3569" i="11"/>
  <c r="T3569" i="11"/>
  <c r="K3571" i="11"/>
  <c r="J3571" i="11"/>
  <c r="T3571" i="11"/>
  <c r="K3573" i="11"/>
  <c r="J3573" i="11"/>
  <c r="T3573" i="11"/>
  <c r="K3575" i="11"/>
  <c r="J3575" i="11"/>
  <c r="T3575" i="11"/>
  <c r="K3577" i="11"/>
  <c r="J3577" i="11"/>
  <c r="T3577" i="11"/>
  <c r="K3579" i="11"/>
  <c r="J3579" i="11"/>
  <c r="T3579" i="11"/>
  <c r="K3581" i="11"/>
  <c r="J3581" i="11"/>
  <c r="T3581" i="11"/>
  <c r="K3583" i="11"/>
  <c r="J3583" i="11"/>
  <c r="T3583" i="11"/>
  <c r="K3585" i="11"/>
  <c r="J3585" i="11"/>
  <c r="T3585" i="11"/>
  <c r="K3587" i="11"/>
  <c r="J3587" i="11"/>
  <c r="T3587" i="11"/>
  <c r="K3589" i="11"/>
  <c r="J3589" i="11"/>
  <c r="T3589" i="11"/>
  <c r="K3591" i="11"/>
  <c r="J3591" i="11"/>
  <c r="T3591" i="11"/>
  <c r="K3593" i="11"/>
  <c r="J3593" i="11"/>
  <c r="T3593" i="11"/>
  <c r="K3595" i="11"/>
  <c r="J3595" i="11"/>
  <c r="T3595" i="11"/>
  <c r="K3597" i="11"/>
  <c r="J3597" i="11"/>
  <c r="T3597" i="11"/>
  <c r="K3599" i="11"/>
  <c r="J3599" i="11"/>
  <c r="T3599" i="11"/>
  <c r="K3601" i="11"/>
  <c r="J3601" i="11"/>
  <c r="T3601" i="11"/>
  <c r="K3603" i="11"/>
  <c r="J3603" i="11"/>
  <c r="T3603" i="11"/>
  <c r="K3605" i="11"/>
  <c r="J3605" i="11"/>
  <c r="T3605" i="11"/>
  <c r="K3607" i="11"/>
  <c r="J3607" i="11"/>
  <c r="T3607" i="11"/>
  <c r="K3609" i="11"/>
  <c r="J3609" i="11"/>
  <c r="T3609" i="11"/>
  <c r="K3611" i="11"/>
  <c r="J3611" i="11"/>
  <c r="T3611" i="11"/>
  <c r="K3613" i="11"/>
  <c r="J3613" i="11"/>
  <c r="T3613" i="11"/>
  <c r="K3615" i="11"/>
  <c r="J3615" i="11"/>
  <c r="T3615" i="11"/>
  <c r="K3617" i="11"/>
  <c r="J3617" i="11"/>
  <c r="T3617" i="11"/>
  <c r="K3619" i="11"/>
  <c r="J3619" i="11"/>
  <c r="T3619" i="11"/>
  <c r="K3621" i="11"/>
  <c r="J3621" i="11"/>
  <c r="T3621" i="11"/>
  <c r="K3623" i="11"/>
  <c r="J3623" i="11"/>
  <c r="T3623" i="11"/>
  <c r="K3625" i="11"/>
  <c r="J3625" i="11"/>
  <c r="T3625" i="11"/>
  <c r="K3627" i="11"/>
  <c r="J3627" i="11"/>
  <c r="T3627" i="11"/>
  <c r="K3629" i="11"/>
  <c r="J3629" i="11"/>
  <c r="T3629" i="11"/>
  <c r="K3631" i="11"/>
  <c r="J3631" i="11"/>
  <c r="T3631" i="11"/>
  <c r="K3633" i="11"/>
  <c r="J3633" i="11"/>
  <c r="T3633" i="11"/>
  <c r="K3635" i="11"/>
  <c r="J3635" i="11"/>
  <c r="T3635" i="11"/>
  <c r="K3637" i="11"/>
  <c r="J3637" i="11"/>
  <c r="T3637" i="11"/>
  <c r="K3639" i="11"/>
  <c r="J3639" i="11"/>
  <c r="T3639" i="11"/>
  <c r="K3641" i="11"/>
  <c r="J3641" i="11"/>
  <c r="T3641" i="11"/>
  <c r="K3643" i="11"/>
  <c r="J3643" i="11"/>
  <c r="T3643" i="11"/>
  <c r="K3645" i="11"/>
  <c r="J3645" i="11"/>
  <c r="T3645" i="11"/>
  <c r="K3647" i="11"/>
  <c r="J3647" i="11"/>
  <c r="T3647" i="11"/>
  <c r="K3649" i="11"/>
  <c r="J3649" i="11"/>
  <c r="T3649" i="11"/>
  <c r="K3651" i="11"/>
  <c r="J3651" i="11"/>
  <c r="T3651" i="11"/>
  <c r="K3653" i="11"/>
  <c r="J3653" i="11"/>
  <c r="T3653" i="11"/>
  <c r="K3655" i="11"/>
  <c r="J3655" i="11"/>
  <c r="T3655" i="11"/>
  <c r="K3657" i="11"/>
  <c r="J3657" i="11"/>
  <c r="T3657" i="11"/>
  <c r="K3659" i="11"/>
  <c r="J3659" i="11"/>
  <c r="T3659" i="11"/>
  <c r="K3661" i="11"/>
  <c r="J3661" i="11"/>
  <c r="T3661" i="11"/>
  <c r="K3663" i="11"/>
  <c r="J3663" i="11"/>
  <c r="T3663" i="11"/>
  <c r="K3665" i="11"/>
  <c r="J3665" i="11"/>
  <c r="T3665" i="11"/>
  <c r="K3667" i="11"/>
  <c r="J3667" i="11"/>
  <c r="T3667" i="11"/>
  <c r="K3669" i="11"/>
  <c r="J3669" i="11"/>
  <c r="T3669" i="11"/>
  <c r="K3671" i="11"/>
  <c r="J3671" i="11"/>
  <c r="T3671" i="11"/>
  <c r="K3673" i="11"/>
  <c r="J3673" i="11"/>
  <c r="T3673" i="11"/>
  <c r="K3675" i="11"/>
  <c r="J3675" i="11"/>
  <c r="T3675" i="11"/>
  <c r="K3677" i="11"/>
  <c r="J3677" i="11"/>
  <c r="T3677" i="11"/>
  <c r="K3679" i="11"/>
  <c r="J3679" i="11"/>
  <c r="T3679" i="11"/>
  <c r="K3681" i="11"/>
  <c r="J3681" i="11"/>
  <c r="T3681" i="11"/>
  <c r="K3683" i="11"/>
  <c r="J3683" i="11"/>
  <c r="T3683" i="11"/>
  <c r="K3685" i="11"/>
  <c r="J3685" i="11"/>
  <c r="T3685" i="11"/>
  <c r="K3687" i="11"/>
  <c r="J3687" i="11"/>
  <c r="T3687" i="11"/>
  <c r="K3689" i="11"/>
  <c r="J3689" i="11"/>
  <c r="T3689" i="11"/>
  <c r="K3691" i="11"/>
  <c r="J3691" i="11"/>
  <c r="T3691" i="11"/>
  <c r="K3693" i="11"/>
  <c r="J3693" i="11"/>
  <c r="T3693" i="11"/>
  <c r="K3695" i="11"/>
  <c r="J3695" i="11"/>
  <c r="T3695" i="11"/>
  <c r="K3697" i="11"/>
  <c r="J3697" i="11"/>
  <c r="T3697" i="11"/>
  <c r="K3699" i="11"/>
  <c r="J3699" i="11"/>
  <c r="T3699" i="11"/>
  <c r="K3701" i="11"/>
  <c r="J3701" i="11"/>
  <c r="T3701" i="11"/>
  <c r="K3703" i="11"/>
  <c r="J3703" i="11"/>
  <c r="T3703" i="11"/>
  <c r="K3705" i="11"/>
  <c r="J3705" i="11"/>
  <c r="T3705" i="11"/>
  <c r="K3707" i="11"/>
  <c r="J3707" i="11"/>
  <c r="T3707" i="11"/>
  <c r="K3709" i="11"/>
  <c r="J3709" i="11"/>
  <c r="T3709" i="11"/>
  <c r="K3711" i="11"/>
  <c r="J3711" i="11"/>
  <c r="T3711" i="11"/>
  <c r="K3713" i="11"/>
  <c r="J3713" i="11"/>
  <c r="T3713" i="11"/>
  <c r="K3715" i="11"/>
  <c r="J3715" i="11"/>
  <c r="T3715" i="11"/>
  <c r="K3717" i="11"/>
  <c r="J3717" i="11"/>
  <c r="T3717" i="11"/>
  <c r="K3719" i="11"/>
  <c r="J3719" i="11"/>
  <c r="T3719" i="11"/>
  <c r="K3721" i="11"/>
  <c r="J3721" i="11"/>
  <c r="T3721" i="11"/>
  <c r="K3723" i="11"/>
  <c r="J3723" i="11"/>
  <c r="T3723" i="11"/>
  <c r="K3725" i="11"/>
  <c r="J3725" i="11"/>
  <c r="T3725" i="11"/>
  <c r="K3727" i="11"/>
  <c r="J3727" i="11"/>
  <c r="T3727" i="11"/>
  <c r="K3729" i="11"/>
  <c r="J3729" i="11"/>
  <c r="T3729" i="11"/>
  <c r="K3731" i="11"/>
  <c r="J3731" i="11"/>
  <c r="T3731" i="11"/>
  <c r="K3733" i="11"/>
  <c r="J3733" i="11"/>
  <c r="T3733" i="11"/>
  <c r="K3735" i="11"/>
  <c r="J3735" i="11"/>
  <c r="T3735" i="11"/>
  <c r="K3737" i="11"/>
  <c r="J3737" i="11"/>
  <c r="T3737" i="11"/>
  <c r="K3739" i="11"/>
  <c r="J3739" i="11"/>
  <c r="T3739" i="11"/>
  <c r="K3741" i="11"/>
  <c r="J3741" i="11"/>
  <c r="T3741" i="11"/>
  <c r="K3743" i="11"/>
  <c r="J3743" i="11"/>
  <c r="T3743" i="11"/>
  <c r="K3745" i="11"/>
  <c r="J3745" i="11"/>
  <c r="T3745" i="11"/>
  <c r="K3747" i="11"/>
  <c r="J3747" i="11"/>
  <c r="T3747" i="11"/>
  <c r="K3749" i="11"/>
  <c r="J3749" i="11"/>
  <c r="T3749" i="11"/>
  <c r="K3751" i="11"/>
  <c r="J3751" i="11"/>
  <c r="T3751" i="11"/>
  <c r="K3753" i="11"/>
  <c r="J3753" i="11"/>
  <c r="T3753" i="11"/>
  <c r="K3755" i="11"/>
  <c r="J3755" i="11"/>
  <c r="T3755" i="11"/>
  <c r="K3757" i="11"/>
  <c r="J3757" i="11"/>
  <c r="T3757" i="11"/>
  <c r="K3759" i="11"/>
  <c r="J3759" i="11"/>
  <c r="T3759" i="11"/>
  <c r="K3761" i="11"/>
  <c r="J3761" i="11"/>
  <c r="T3761" i="11"/>
  <c r="K3763" i="11"/>
  <c r="J3763" i="11"/>
  <c r="T3763" i="11"/>
  <c r="K3765" i="11"/>
  <c r="J3765" i="11"/>
  <c r="T3765" i="11"/>
  <c r="K3767" i="11"/>
  <c r="J3767" i="11"/>
  <c r="T3767" i="11"/>
  <c r="K3769" i="11"/>
  <c r="J3769" i="11"/>
  <c r="T3769" i="11"/>
  <c r="K3771" i="11"/>
  <c r="J3771" i="11"/>
  <c r="T3771" i="11"/>
  <c r="K3773" i="11"/>
  <c r="J3773" i="11"/>
  <c r="T3773" i="11"/>
  <c r="K3775" i="11"/>
  <c r="J3775" i="11"/>
  <c r="T3775" i="11"/>
  <c r="K3777" i="11"/>
  <c r="J3777" i="11"/>
  <c r="T3777" i="11"/>
  <c r="K3779" i="11"/>
  <c r="J3779" i="11"/>
  <c r="T3779" i="11"/>
  <c r="K3781" i="11"/>
  <c r="J3781" i="11"/>
  <c r="T3781" i="11"/>
  <c r="K3783" i="11"/>
  <c r="J3783" i="11"/>
  <c r="T3783" i="11"/>
  <c r="K3785" i="11"/>
  <c r="J3785" i="11"/>
  <c r="T3785" i="11"/>
  <c r="K3787" i="11"/>
  <c r="J3787" i="11"/>
  <c r="T3787" i="11"/>
  <c r="K3789" i="11"/>
  <c r="J3789" i="11"/>
  <c r="T3789" i="11"/>
  <c r="K3791" i="11"/>
  <c r="J3791" i="11"/>
  <c r="T3791" i="11"/>
  <c r="K3793" i="11"/>
  <c r="J3793" i="11"/>
  <c r="T3793" i="11"/>
  <c r="K3795" i="11"/>
  <c r="J3795" i="11"/>
  <c r="T3795" i="11"/>
  <c r="K3797" i="11"/>
  <c r="J3797" i="11"/>
  <c r="T3797" i="11"/>
  <c r="K3799" i="11"/>
  <c r="J3799" i="11"/>
  <c r="T3799" i="11"/>
  <c r="K3801" i="11"/>
  <c r="J3801" i="11"/>
  <c r="T3801" i="11"/>
  <c r="K3803" i="11"/>
  <c r="J3803" i="11"/>
  <c r="T3803" i="11"/>
  <c r="K3805" i="11"/>
  <c r="J3805" i="11"/>
  <c r="T3805" i="11"/>
  <c r="K3807" i="11"/>
  <c r="J3807" i="11"/>
  <c r="T3807" i="11"/>
  <c r="K3809" i="11"/>
  <c r="J3809" i="11"/>
  <c r="T3809" i="11"/>
  <c r="K3811" i="11"/>
  <c r="J3811" i="11"/>
  <c r="T3811" i="11"/>
  <c r="K3813" i="11"/>
  <c r="J3813" i="11"/>
  <c r="T3813" i="11"/>
  <c r="K3815" i="11"/>
  <c r="J3815" i="11"/>
  <c r="T3815" i="11"/>
  <c r="K3817" i="11"/>
  <c r="J3817" i="11"/>
  <c r="T3817" i="11"/>
  <c r="K3819" i="11"/>
  <c r="J3819" i="11"/>
  <c r="T3819" i="11"/>
  <c r="K3821" i="11"/>
  <c r="J3821" i="11"/>
  <c r="T3821" i="11"/>
  <c r="K3823" i="11"/>
  <c r="J3823" i="11"/>
  <c r="T3823" i="11"/>
  <c r="K3825" i="11"/>
  <c r="J3825" i="11"/>
  <c r="T3825" i="11"/>
  <c r="K3827" i="11"/>
  <c r="J3827" i="11"/>
  <c r="T3827" i="11"/>
  <c r="K3829" i="11"/>
  <c r="J3829" i="11"/>
  <c r="T3829" i="11"/>
  <c r="K3831" i="11"/>
  <c r="J3831" i="11"/>
  <c r="T3831" i="11"/>
  <c r="K3833" i="11"/>
  <c r="J3833" i="11"/>
  <c r="T3833" i="11"/>
  <c r="K3835" i="11"/>
  <c r="J3835" i="11"/>
  <c r="T3835" i="11"/>
  <c r="K3837" i="11"/>
  <c r="J3837" i="11"/>
  <c r="T3837" i="11"/>
  <c r="K3839" i="11"/>
  <c r="J3839" i="11"/>
  <c r="T3839" i="11"/>
  <c r="K3841" i="11"/>
  <c r="J3841" i="11"/>
  <c r="T3841" i="11"/>
  <c r="K3843" i="11"/>
  <c r="J3843" i="11"/>
  <c r="T3843" i="11"/>
  <c r="K3845" i="11"/>
  <c r="J3845" i="11"/>
  <c r="T3845" i="11"/>
  <c r="K3847" i="11"/>
  <c r="J3847" i="11"/>
  <c r="T3847" i="11"/>
  <c r="K3849" i="11"/>
  <c r="J3849" i="11"/>
  <c r="T3849" i="11"/>
  <c r="K3851" i="11"/>
  <c r="J3851" i="11"/>
  <c r="T3851" i="11"/>
  <c r="K3853" i="11"/>
  <c r="J3853" i="11"/>
  <c r="T3853" i="11"/>
  <c r="K3855" i="11"/>
  <c r="J3855" i="11"/>
  <c r="T3855" i="11"/>
  <c r="K3857" i="11"/>
  <c r="J3857" i="11"/>
  <c r="T3857" i="11"/>
  <c r="K3859" i="11"/>
  <c r="J3859" i="11"/>
  <c r="T3859" i="11"/>
  <c r="K3861" i="11"/>
  <c r="J3861" i="11"/>
  <c r="T3861" i="11"/>
  <c r="K3863" i="11"/>
  <c r="J3863" i="11"/>
  <c r="T3863" i="11"/>
  <c r="K3865" i="11"/>
  <c r="J3865" i="11"/>
  <c r="T3865" i="11"/>
  <c r="K3867" i="11"/>
  <c r="J3867" i="11"/>
  <c r="T3867" i="11"/>
  <c r="K3869" i="11"/>
  <c r="J3869" i="11"/>
  <c r="T3869" i="11"/>
  <c r="K3871" i="11"/>
  <c r="J3871" i="11"/>
  <c r="T3871" i="11"/>
  <c r="K3873" i="11"/>
  <c r="J3873" i="11"/>
  <c r="T3873" i="11"/>
  <c r="K3875" i="11"/>
  <c r="J3875" i="11"/>
  <c r="T3875" i="11"/>
  <c r="K3877" i="11"/>
  <c r="J3877" i="11"/>
  <c r="T3877" i="11"/>
  <c r="K3879" i="11"/>
  <c r="J3879" i="11"/>
  <c r="T3879" i="11"/>
  <c r="K3881" i="11"/>
  <c r="J3881" i="11"/>
  <c r="T3881" i="11"/>
  <c r="K3883" i="11"/>
  <c r="J3883" i="11"/>
  <c r="T3883" i="11"/>
  <c r="K3885" i="11"/>
  <c r="J3885" i="11"/>
  <c r="T3885" i="11"/>
  <c r="K3887" i="11"/>
  <c r="J3887" i="11"/>
  <c r="T3887" i="11"/>
  <c r="K3889" i="11"/>
  <c r="J3889" i="11"/>
  <c r="T3889" i="11"/>
  <c r="K3891" i="11"/>
  <c r="J3891" i="11"/>
  <c r="T3891" i="11"/>
  <c r="K3893" i="11"/>
  <c r="J3893" i="11"/>
  <c r="T3893" i="11"/>
  <c r="K3895" i="11"/>
  <c r="J3895" i="11"/>
  <c r="T3895" i="11"/>
  <c r="K3897" i="11"/>
  <c r="J3897" i="11"/>
  <c r="T3897" i="11"/>
  <c r="K3899" i="11"/>
  <c r="J3899" i="11"/>
  <c r="T3899" i="11"/>
  <c r="K3901" i="11"/>
  <c r="J3901" i="11"/>
  <c r="T3901" i="11"/>
  <c r="K3903" i="11"/>
  <c r="J3903" i="11"/>
  <c r="T3903" i="11"/>
  <c r="K3905" i="11"/>
  <c r="J3905" i="11"/>
  <c r="T3905" i="11"/>
  <c r="K3907" i="11"/>
  <c r="J3907" i="11"/>
  <c r="T3907" i="11"/>
  <c r="K3909" i="11"/>
  <c r="J3909" i="11"/>
  <c r="T3909" i="11"/>
  <c r="K3911" i="11"/>
  <c r="J3911" i="11"/>
  <c r="T3911" i="11"/>
  <c r="K3913" i="11"/>
  <c r="J3913" i="11"/>
  <c r="T3913" i="11"/>
  <c r="K3915" i="11"/>
  <c r="J3915" i="11"/>
  <c r="T3915" i="11"/>
  <c r="K3917" i="11"/>
  <c r="J3917" i="11"/>
  <c r="T3917" i="11"/>
  <c r="K3919" i="11"/>
  <c r="J3919" i="11"/>
  <c r="T3919" i="11"/>
  <c r="K3921" i="11"/>
  <c r="J3921" i="11"/>
  <c r="T3921" i="11"/>
  <c r="K3923" i="11"/>
  <c r="J3923" i="11"/>
  <c r="T3923" i="11"/>
  <c r="K3925" i="11"/>
  <c r="J3925" i="11"/>
  <c r="T3925" i="11"/>
  <c r="K3927" i="11"/>
  <c r="J3927" i="11"/>
  <c r="T3927" i="11"/>
  <c r="K3929" i="11"/>
  <c r="J3929" i="11"/>
  <c r="T3929" i="11"/>
  <c r="K3931" i="11"/>
  <c r="J3931" i="11"/>
  <c r="T3931" i="11"/>
  <c r="K3933" i="11"/>
  <c r="J3933" i="11"/>
  <c r="T3933" i="11"/>
  <c r="K3935" i="11"/>
  <c r="J3935" i="11"/>
  <c r="T3935" i="11"/>
  <c r="K3937" i="11"/>
  <c r="J3937" i="11"/>
  <c r="T3937" i="11"/>
  <c r="K3939" i="11"/>
  <c r="J3939" i="11"/>
  <c r="T3939" i="11"/>
  <c r="K3941" i="11"/>
  <c r="J3941" i="11"/>
  <c r="T3941" i="11"/>
  <c r="K3943" i="11"/>
  <c r="J3943" i="11"/>
  <c r="T3943" i="11"/>
  <c r="K3945" i="11"/>
  <c r="J3945" i="11"/>
  <c r="T3945" i="11"/>
  <c r="K3947" i="11"/>
  <c r="J3947" i="11"/>
  <c r="T3947" i="11"/>
  <c r="K3949" i="11"/>
  <c r="J3949" i="11"/>
  <c r="T3949" i="11"/>
  <c r="K3951" i="11"/>
  <c r="J3951" i="11"/>
  <c r="T3951" i="11"/>
  <c r="K3953" i="11"/>
  <c r="J3953" i="11"/>
  <c r="T3953" i="11"/>
  <c r="K3955" i="11"/>
  <c r="J3955" i="11"/>
  <c r="T3955" i="11"/>
  <c r="K3957" i="11"/>
  <c r="J3957" i="11"/>
  <c r="T3957" i="11"/>
  <c r="K3959" i="11"/>
  <c r="J3959" i="11"/>
  <c r="T3959" i="11"/>
  <c r="K3961" i="11"/>
  <c r="J3961" i="11"/>
  <c r="T3961" i="11"/>
  <c r="K3963" i="11"/>
  <c r="J3963" i="11"/>
  <c r="T3963" i="11"/>
  <c r="K3965" i="11"/>
  <c r="J3965" i="11"/>
  <c r="T3965" i="11"/>
  <c r="K3967" i="11"/>
  <c r="J3967" i="11"/>
  <c r="T3967" i="11"/>
  <c r="J3969" i="11"/>
  <c r="T3969" i="11"/>
  <c r="K3969" i="11"/>
  <c r="J3971" i="11"/>
  <c r="T3971" i="11" s="1"/>
  <c r="K3971" i="11"/>
  <c r="J3973" i="11"/>
  <c r="T3973" i="11"/>
  <c r="K3973" i="11"/>
  <c r="J3975" i="11"/>
  <c r="T3975" i="11" s="1"/>
  <c r="K3975" i="11"/>
  <c r="J3977" i="11"/>
  <c r="T3977" i="11"/>
  <c r="K3977" i="11"/>
  <c r="J3979" i="11"/>
  <c r="T3979" i="11" s="1"/>
  <c r="K3979" i="11"/>
  <c r="J3981" i="11"/>
  <c r="T3981" i="11"/>
  <c r="K3981" i="11"/>
  <c r="J3983" i="11"/>
  <c r="T3983" i="11" s="1"/>
  <c r="K3983" i="11"/>
  <c r="J3985" i="11"/>
  <c r="T3985" i="11"/>
  <c r="K3985" i="11"/>
  <c r="J3987" i="11"/>
  <c r="T3987" i="11" s="1"/>
  <c r="K3987" i="11"/>
  <c r="J3989" i="11"/>
  <c r="T3989" i="11"/>
  <c r="K3989" i="11"/>
  <c r="J3991" i="11"/>
  <c r="T3991" i="11" s="1"/>
  <c r="K3991" i="11"/>
  <c r="J3993" i="11"/>
  <c r="T3993" i="11"/>
  <c r="K3993" i="11"/>
  <c r="J3995" i="11"/>
  <c r="T3995" i="11" s="1"/>
  <c r="K3995" i="11"/>
  <c r="J3997" i="11"/>
  <c r="T3997" i="11"/>
  <c r="K3997" i="11"/>
  <c r="J3999" i="11"/>
  <c r="T3999" i="11" s="1"/>
  <c r="K3999" i="11"/>
  <c r="J4001" i="11"/>
  <c r="T4001" i="11"/>
  <c r="K4001" i="11"/>
  <c r="J4003" i="11"/>
  <c r="T4003" i="11" s="1"/>
  <c r="K4003" i="11"/>
  <c r="J4005" i="11"/>
  <c r="T4005" i="11"/>
  <c r="K4005" i="11"/>
  <c r="J4007" i="11"/>
  <c r="T4007" i="11" s="1"/>
  <c r="K4007" i="11"/>
  <c r="J4009" i="11"/>
  <c r="T4009" i="11"/>
  <c r="K4009" i="11"/>
  <c r="J4011" i="11"/>
  <c r="T4011" i="11" s="1"/>
  <c r="K4011" i="11"/>
  <c r="J4013" i="11"/>
  <c r="T4013" i="11"/>
  <c r="K4013" i="11"/>
  <c r="J4015" i="11"/>
  <c r="T4015" i="11" s="1"/>
  <c r="K4015" i="11"/>
  <c r="J4017" i="11"/>
  <c r="T4017" i="11"/>
  <c r="K4017" i="11"/>
  <c r="J4019" i="11"/>
  <c r="T4019" i="11" s="1"/>
  <c r="K4019" i="11"/>
  <c r="J4021" i="11"/>
  <c r="T4021" i="11"/>
  <c r="K4021" i="11"/>
  <c r="J4023" i="11"/>
  <c r="T4023" i="11" s="1"/>
  <c r="K4023" i="11"/>
  <c r="J4025" i="11"/>
  <c r="T4025" i="11"/>
  <c r="K4025" i="11"/>
  <c r="J4027" i="11"/>
  <c r="T4027" i="11" s="1"/>
  <c r="K4027" i="11"/>
  <c r="J4029" i="11"/>
  <c r="T4029" i="11"/>
  <c r="K4029" i="11"/>
  <c r="J4031" i="11"/>
  <c r="T4031" i="11" s="1"/>
  <c r="K4031" i="11"/>
  <c r="J4033" i="11"/>
  <c r="T4033" i="11"/>
  <c r="K4033" i="11"/>
  <c r="J4035" i="11"/>
  <c r="T4035" i="11" s="1"/>
  <c r="K4035" i="11"/>
  <c r="J4037" i="11"/>
  <c r="T4037" i="11"/>
  <c r="K4037" i="11"/>
  <c r="J4039" i="11"/>
  <c r="T4039" i="11" s="1"/>
  <c r="K4039" i="11"/>
  <c r="J4041" i="11"/>
  <c r="T4041" i="11"/>
  <c r="K4041" i="11"/>
  <c r="J4043" i="11"/>
  <c r="T4043" i="11" s="1"/>
  <c r="K4043" i="11"/>
  <c r="J4045" i="11"/>
  <c r="T4045" i="11"/>
  <c r="K4045" i="11"/>
  <c r="J4047" i="11"/>
  <c r="T4047" i="11" s="1"/>
  <c r="K4047" i="11"/>
  <c r="J4049" i="11"/>
  <c r="T4049" i="11"/>
  <c r="K4049" i="11"/>
  <c r="J4051" i="11"/>
  <c r="T4051" i="11" s="1"/>
  <c r="K4051" i="11"/>
  <c r="J4053" i="11"/>
  <c r="T4053" i="11"/>
  <c r="K4053" i="11"/>
  <c r="J4055" i="11"/>
  <c r="T4055" i="11" s="1"/>
  <c r="K4055" i="11"/>
  <c r="J4057" i="11"/>
  <c r="T4057" i="11"/>
  <c r="K4057" i="11"/>
  <c r="J4059" i="11"/>
  <c r="T4059" i="11" s="1"/>
  <c r="K4059" i="11"/>
  <c r="J4061" i="11"/>
  <c r="T4061" i="11"/>
  <c r="K4061" i="11"/>
  <c r="J4063" i="11"/>
  <c r="T4063" i="11" s="1"/>
  <c r="K4063" i="11"/>
  <c r="J4065" i="11"/>
  <c r="T4065" i="11"/>
  <c r="K4065" i="11"/>
  <c r="J4067" i="11"/>
  <c r="T4067" i="11" s="1"/>
  <c r="K4067" i="11"/>
  <c r="J4069" i="11"/>
  <c r="T4069" i="11"/>
  <c r="K4069" i="11"/>
  <c r="J4071" i="11"/>
  <c r="T4071" i="11" s="1"/>
  <c r="K4071" i="11"/>
  <c r="J4073" i="11"/>
  <c r="T4073" i="11"/>
  <c r="K4073" i="11"/>
  <c r="J4075" i="11"/>
  <c r="T4075" i="11" s="1"/>
  <c r="K4075" i="11"/>
  <c r="J4077" i="11"/>
  <c r="T4077" i="11"/>
  <c r="K4077" i="11"/>
  <c r="J4079" i="11"/>
  <c r="T4079" i="11" s="1"/>
  <c r="K4079" i="11"/>
  <c r="J4081" i="11"/>
  <c r="T4081" i="11"/>
  <c r="K4081" i="11"/>
  <c r="J4083" i="11"/>
  <c r="T4083" i="11" s="1"/>
  <c r="K4083" i="11"/>
  <c r="J4085" i="11"/>
  <c r="T4085" i="11"/>
  <c r="K4085" i="11"/>
  <c r="J4087" i="11"/>
  <c r="T4087" i="11" s="1"/>
  <c r="K4087" i="11"/>
  <c r="J4089" i="11"/>
  <c r="T4089" i="11"/>
  <c r="K4089" i="11"/>
  <c r="J4091" i="11"/>
  <c r="T4091" i="11" s="1"/>
  <c r="K4091" i="11"/>
  <c r="J4093" i="11"/>
  <c r="T4093" i="11"/>
  <c r="K4093" i="11"/>
  <c r="J4095" i="11"/>
  <c r="T4095" i="11" s="1"/>
  <c r="K4095" i="11"/>
  <c r="J4097" i="11"/>
  <c r="T4097" i="11"/>
  <c r="K4097" i="11"/>
  <c r="J4099" i="11"/>
  <c r="T4099" i="11" s="1"/>
  <c r="K4099" i="11"/>
  <c r="J4101" i="11"/>
  <c r="T4101" i="11"/>
  <c r="K4101" i="11"/>
  <c r="J4103" i="11"/>
  <c r="T4103" i="11" s="1"/>
  <c r="K4103" i="11"/>
  <c r="J4105" i="11"/>
  <c r="T4105" i="11"/>
  <c r="K4105" i="11"/>
  <c r="J4107" i="11"/>
  <c r="T4107" i="11" s="1"/>
  <c r="K4107" i="11"/>
  <c r="J4109" i="11"/>
  <c r="T4109" i="11"/>
  <c r="K4109" i="11"/>
  <c r="J4111" i="11"/>
  <c r="T4111" i="11" s="1"/>
  <c r="K4111" i="11"/>
  <c r="J4113" i="11"/>
  <c r="T4113" i="11"/>
  <c r="K4113" i="11"/>
  <c r="J4115" i="11"/>
  <c r="T4115" i="11" s="1"/>
  <c r="K4115" i="11"/>
  <c r="J4117" i="11"/>
  <c r="T4117" i="11"/>
  <c r="K4117" i="11"/>
  <c r="J4119" i="11"/>
  <c r="T4119" i="11" s="1"/>
  <c r="K4119" i="11"/>
  <c r="J4121" i="11"/>
  <c r="T4121" i="11"/>
  <c r="K4121" i="11"/>
  <c r="J4123" i="11"/>
  <c r="T4123" i="11" s="1"/>
  <c r="K4123" i="11"/>
  <c r="J4125" i="11"/>
  <c r="T4125" i="11"/>
  <c r="K4125" i="11"/>
  <c r="J4127" i="11"/>
  <c r="T4127" i="11" s="1"/>
  <c r="K4127" i="11"/>
  <c r="J4129" i="11"/>
  <c r="T4129" i="11"/>
  <c r="K4129" i="11"/>
  <c r="J4131" i="11"/>
  <c r="T4131" i="11" s="1"/>
  <c r="K4131" i="11"/>
  <c r="J4133" i="11"/>
  <c r="T4133" i="11"/>
  <c r="K4133" i="11"/>
  <c r="J4135" i="11"/>
  <c r="T4135" i="11" s="1"/>
  <c r="K4135" i="11"/>
  <c r="J4137" i="11"/>
  <c r="T4137" i="11"/>
  <c r="K4137" i="11"/>
  <c r="J4139" i="11"/>
  <c r="T4139" i="11" s="1"/>
  <c r="K4139" i="11"/>
  <c r="J4141" i="11"/>
  <c r="T4141" i="11"/>
  <c r="K4141" i="11"/>
  <c r="J4143" i="11"/>
  <c r="T4143" i="11" s="1"/>
  <c r="K4143" i="11"/>
  <c r="J4145" i="11"/>
  <c r="T4145" i="11"/>
  <c r="K4145" i="11"/>
  <c r="J4147" i="11"/>
  <c r="T4147" i="11" s="1"/>
  <c r="K4147" i="11"/>
  <c r="J4149" i="11"/>
  <c r="T4149" i="11"/>
  <c r="K4149" i="11"/>
  <c r="J4151" i="11"/>
  <c r="T4151" i="11" s="1"/>
  <c r="K4151" i="11"/>
  <c r="J4153" i="11"/>
  <c r="T4153" i="11"/>
  <c r="K4153" i="11"/>
  <c r="J4155" i="11"/>
  <c r="T4155" i="11" s="1"/>
  <c r="K4155" i="11"/>
  <c r="J4157" i="11"/>
  <c r="T4157" i="11"/>
  <c r="K4157" i="11"/>
  <c r="J4159" i="11"/>
  <c r="T4159" i="11" s="1"/>
  <c r="K4159" i="11"/>
  <c r="J4161" i="11"/>
  <c r="T4161" i="11"/>
  <c r="K4161" i="11"/>
  <c r="J4163" i="11"/>
  <c r="T4163" i="11" s="1"/>
  <c r="K4163" i="11"/>
  <c r="J4165" i="11"/>
  <c r="T4165" i="11"/>
  <c r="K4165" i="11"/>
  <c r="J4167" i="11"/>
  <c r="T4167" i="11" s="1"/>
  <c r="K4167" i="11"/>
  <c r="J4169" i="11"/>
  <c r="T4169" i="11"/>
  <c r="K4169" i="11"/>
  <c r="J4171" i="11"/>
  <c r="T4171" i="11" s="1"/>
  <c r="K4171" i="11"/>
  <c r="J4173" i="11"/>
  <c r="T4173" i="11"/>
  <c r="K4173" i="11"/>
  <c r="J4175" i="11"/>
  <c r="T4175" i="11" s="1"/>
  <c r="K4175" i="11"/>
  <c r="J4177" i="11"/>
  <c r="T4177" i="11"/>
  <c r="K4177" i="11"/>
  <c r="J4179" i="11"/>
  <c r="T4179" i="11" s="1"/>
  <c r="K4179" i="11"/>
  <c r="J4181" i="11"/>
  <c r="T4181" i="11"/>
  <c r="K4181" i="11"/>
  <c r="J4183" i="11"/>
  <c r="T4183" i="11" s="1"/>
  <c r="K4183" i="11"/>
  <c r="J4185" i="11"/>
  <c r="T4185" i="11"/>
  <c r="K4185" i="11"/>
  <c r="J4187" i="11"/>
  <c r="T4187" i="11" s="1"/>
  <c r="K4187" i="11"/>
  <c r="J4189" i="11"/>
  <c r="T4189" i="11"/>
  <c r="K4189" i="11"/>
  <c r="J4191" i="11"/>
  <c r="T4191" i="11" s="1"/>
  <c r="K4191" i="11"/>
  <c r="J4193" i="11"/>
  <c r="T4193" i="11"/>
  <c r="K4193" i="11"/>
  <c r="J4195" i="11"/>
  <c r="T4195" i="11" s="1"/>
  <c r="K4195" i="11"/>
  <c r="J4197" i="11"/>
  <c r="T4197" i="11"/>
  <c r="K4197" i="11"/>
  <c r="J4199" i="11"/>
  <c r="T4199" i="11" s="1"/>
  <c r="K4199" i="11"/>
  <c r="J4201" i="11"/>
  <c r="T4201" i="11"/>
  <c r="K4201" i="11"/>
  <c r="J4203" i="11"/>
  <c r="T4203" i="11" s="1"/>
  <c r="K4203" i="11"/>
  <c r="J4205" i="11"/>
  <c r="T4205" i="11"/>
  <c r="K4205" i="11"/>
  <c r="J4207" i="11"/>
  <c r="T4207" i="11" s="1"/>
  <c r="K4207" i="11"/>
  <c r="J4209" i="11"/>
  <c r="T4209" i="11"/>
  <c r="K4209" i="11"/>
  <c r="J4211" i="11"/>
  <c r="T4211" i="11" s="1"/>
  <c r="K4211" i="11"/>
  <c r="J4213" i="11"/>
  <c r="T4213" i="11"/>
  <c r="K4213" i="11"/>
  <c r="J4215" i="11"/>
  <c r="T4215" i="11" s="1"/>
  <c r="K4215" i="11"/>
  <c r="J4217" i="11"/>
  <c r="T4217" i="11"/>
  <c r="K4217" i="11"/>
  <c r="J4219" i="11"/>
  <c r="T4219" i="11" s="1"/>
  <c r="K4219" i="11"/>
  <c r="J4221" i="11"/>
  <c r="T4221" i="11"/>
  <c r="K4221" i="11"/>
  <c r="J4223" i="11"/>
  <c r="T4223" i="11" s="1"/>
  <c r="K4223" i="11"/>
  <c r="J4225" i="11"/>
  <c r="T4225" i="11"/>
  <c r="K4225" i="11"/>
  <c r="J4227" i="11"/>
  <c r="T4227" i="11" s="1"/>
  <c r="K4227" i="11"/>
  <c r="J4229" i="11"/>
  <c r="T4229" i="11"/>
  <c r="K4229" i="11"/>
  <c r="J4231" i="11"/>
  <c r="T4231" i="11" s="1"/>
  <c r="K4231" i="11"/>
  <c r="J4233" i="11"/>
  <c r="T4233" i="11"/>
  <c r="K4233" i="11"/>
  <c r="J4235" i="11"/>
  <c r="T4235" i="11" s="1"/>
  <c r="K4235" i="11"/>
  <c r="J4237" i="11"/>
  <c r="T4237" i="11"/>
  <c r="K4237" i="11"/>
  <c r="J4239" i="11"/>
  <c r="T4239" i="11" s="1"/>
  <c r="K4239" i="11"/>
  <c r="J4241" i="11"/>
  <c r="T4241" i="11"/>
  <c r="K4241" i="11"/>
  <c r="J4243" i="11"/>
  <c r="T4243" i="11" s="1"/>
  <c r="K4243" i="11"/>
  <c r="J4245" i="11"/>
  <c r="T4245" i="11"/>
  <c r="K4245" i="11"/>
  <c r="J4247" i="11"/>
  <c r="T4247" i="11" s="1"/>
  <c r="K4247" i="11"/>
  <c r="J4249" i="11"/>
  <c r="T4249" i="11"/>
  <c r="K4249" i="11"/>
  <c r="J4251" i="11"/>
  <c r="T4251" i="11" s="1"/>
  <c r="K4251" i="11"/>
  <c r="J4253" i="11"/>
  <c r="T4253" i="11"/>
  <c r="K4253" i="11"/>
  <c r="J4255" i="11"/>
  <c r="T4255" i="11" s="1"/>
  <c r="K4255" i="11"/>
  <c r="J4257" i="11"/>
  <c r="T4257" i="11"/>
  <c r="K4257" i="11"/>
  <c r="J4259" i="11"/>
  <c r="T4259" i="11" s="1"/>
  <c r="K4259" i="11"/>
  <c r="J4261" i="11"/>
  <c r="T4261" i="11"/>
  <c r="K4261" i="11"/>
  <c r="J4263" i="11"/>
  <c r="T4263" i="11" s="1"/>
  <c r="K4263" i="11"/>
  <c r="J4265" i="11"/>
  <c r="T4265" i="11"/>
  <c r="K4265" i="11"/>
  <c r="J4267" i="11"/>
  <c r="T4267" i="11" s="1"/>
  <c r="K4267" i="11"/>
  <c r="J4269" i="11"/>
  <c r="T4269" i="11"/>
  <c r="K4269" i="11"/>
  <c r="J4271" i="11"/>
  <c r="T4271" i="11" s="1"/>
  <c r="K4271" i="11"/>
  <c r="J4273" i="11"/>
  <c r="T4273" i="11"/>
  <c r="K4273" i="11"/>
  <c r="J4275" i="11"/>
  <c r="T4275" i="11" s="1"/>
  <c r="K4275" i="11"/>
  <c r="J4277" i="11"/>
  <c r="T4277" i="11"/>
  <c r="K4277" i="11"/>
  <c r="J4279" i="11"/>
  <c r="T4279" i="11" s="1"/>
  <c r="K4279" i="11"/>
  <c r="J4281" i="11"/>
  <c r="T4281" i="11"/>
  <c r="K4281" i="11"/>
  <c r="J4283" i="11"/>
  <c r="T4283" i="11" s="1"/>
  <c r="K4283" i="11"/>
  <c r="J4285" i="11"/>
  <c r="T4285" i="11"/>
  <c r="K4285" i="11"/>
  <c r="J4287" i="11"/>
  <c r="T4287" i="11" s="1"/>
  <c r="K4287" i="11"/>
  <c r="J4289" i="11"/>
  <c r="T4289" i="11"/>
  <c r="K4289" i="11"/>
  <c r="J4291" i="11"/>
  <c r="T4291" i="11" s="1"/>
  <c r="K4291" i="11"/>
  <c r="J4293" i="11"/>
  <c r="T4293" i="11"/>
  <c r="K4293" i="11"/>
  <c r="J4295" i="11"/>
  <c r="T4295" i="11" s="1"/>
  <c r="K4295" i="11"/>
  <c r="J4297" i="11"/>
  <c r="T4297" i="11"/>
  <c r="K4297" i="11"/>
  <c r="J4299" i="11"/>
  <c r="T4299" i="11" s="1"/>
  <c r="K4299" i="11"/>
  <c r="J4301" i="11"/>
  <c r="T4301" i="11"/>
  <c r="K4301" i="11"/>
  <c r="J4303" i="11"/>
  <c r="T4303" i="11" s="1"/>
  <c r="K4303" i="11"/>
  <c r="J4305" i="11"/>
  <c r="T4305" i="11"/>
  <c r="K4305" i="11"/>
  <c r="J4307" i="11"/>
  <c r="T4307" i="11" s="1"/>
  <c r="K4307" i="11"/>
  <c r="J4309" i="11"/>
  <c r="T4309" i="11"/>
  <c r="K4309" i="11"/>
  <c r="J4311" i="11"/>
  <c r="T4311" i="11" s="1"/>
  <c r="K4311" i="11"/>
  <c r="J4313" i="11"/>
  <c r="T4313" i="11"/>
  <c r="K4313" i="11"/>
  <c r="J4315" i="11"/>
  <c r="T4315" i="11" s="1"/>
  <c r="K4315" i="11"/>
  <c r="J4317" i="11"/>
  <c r="T4317" i="11"/>
  <c r="K4317" i="11"/>
  <c r="J4319" i="11"/>
  <c r="T4319" i="11" s="1"/>
  <c r="K4319" i="11"/>
  <c r="J4321" i="11"/>
  <c r="T4321" i="11"/>
  <c r="K4321" i="11"/>
  <c r="J4323" i="11"/>
  <c r="T4323" i="11" s="1"/>
  <c r="K4323" i="11"/>
  <c r="J4325" i="11"/>
  <c r="T4325" i="11"/>
  <c r="K4325" i="11"/>
  <c r="J4327" i="11"/>
  <c r="T4327" i="11" s="1"/>
  <c r="K4327" i="11"/>
  <c r="J4329" i="11"/>
  <c r="T4329" i="11"/>
  <c r="K4329" i="11"/>
  <c r="J4331" i="11"/>
  <c r="T4331" i="11" s="1"/>
  <c r="K4331" i="11"/>
  <c r="J4333" i="11"/>
  <c r="T4333" i="11"/>
  <c r="K4333" i="11"/>
  <c r="J4335" i="11"/>
  <c r="T4335" i="11" s="1"/>
  <c r="K4335" i="11"/>
  <c r="J4337" i="11"/>
  <c r="T4337" i="11"/>
  <c r="K4337" i="11"/>
  <c r="J4339" i="11"/>
  <c r="T4339" i="11" s="1"/>
  <c r="K4339" i="11"/>
  <c r="J4341" i="11"/>
  <c r="T4341" i="11"/>
  <c r="K4341" i="11"/>
  <c r="J4343" i="11"/>
  <c r="T4343" i="11" s="1"/>
  <c r="K4343" i="11"/>
  <c r="J4345" i="11"/>
  <c r="T4345" i="11"/>
  <c r="K4345" i="11"/>
  <c r="J4347" i="11"/>
  <c r="T4347" i="11" s="1"/>
  <c r="K4347" i="11"/>
  <c r="J4349" i="11"/>
  <c r="T4349" i="11"/>
  <c r="K4349" i="11"/>
  <c r="J4351" i="11"/>
  <c r="T4351" i="11" s="1"/>
  <c r="K4351" i="11"/>
  <c r="J4353" i="11"/>
  <c r="T4353" i="11"/>
  <c r="K4353" i="11"/>
  <c r="J4355" i="11"/>
  <c r="T4355" i="11" s="1"/>
  <c r="K4355" i="11"/>
  <c r="J4357" i="11"/>
  <c r="T4357" i="11"/>
  <c r="K4357" i="11"/>
  <c r="J4359" i="11"/>
  <c r="T4359" i="11" s="1"/>
  <c r="K4359" i="11"/>
  <c r="J4361" i="11"/>
  <c r="T4361" i="11"/>
  <c r="K4361" i="11"/>
  <c r="J4363" i="11"/>
  <c r="T4363" i="11" s="1"/>
  <c r="K4363" i="11"/>
  <c r="J4365" i="11"/>
  <c r="T4365" i="11"/>
  <c r="K4365" i="11"/>
  <c r="J4367" i="11"/>
  <c r="T4367" i="11" s="1"/>
  <c r="K4367" i="11"/>
  <c r="J4369" i="11"/>
  <c r="T4369" i="11"/>
  <c r="K4369" i="11"/>
  <c r="J4371" i="11"/>
  <c r="T4371" i="11" s="1"/>
  <c r="K4371" i="11"/>
  <c r="J4373" i="11"/>
  <c r="T4373" i="11"/>
  <c r="K4373" i="11"/>
  <c r="J4375" i="11"/>
  <c r="T4375" i="11" s="1"/>
  <c r="K4375" i="11"/>
  <c r="J4377" i="11"/>
  <c r="T4377" i="11"/>
  <c r="K4377" i="11"/>
  <c r="J4379" i="11"/>
  <c r="T4379" i="11" s="1"/>
  <c r="K4379" i="11"/>
  <c r="J4381" i="11"/>
  <c r="T4381" i="11"/>
  <c r="K4381" i="11"/>
  <c r="J4383" i="11"/>
  <c r="T4383" i="11" s="1"/>
  <c r="K4383" i="11"/>
  <c r="J4385" i="11"/>
  <c r="T4385" i="11"/>
  <c r="K4385" i="11"/>
  <c r="J4387" i="11"/>
  <c r="T4387" i="11" s="1"/>
  <c r="K4387" i="11"/>
  <c r="J4389" i="11"/>
  <c r="T4389" i="11"/>
  <c r="K4389" i="11"/>
  <c r="J4391" i="11"/>
  <c r="T4391" i="11" s="1"/>
  <c r="K4391" i="11"/>
  <c r="J4393" i="11"/>
  <c r="T4393" i="11"/>
  <c r="K4393" i="11"/>
  <c r="J4395" i="11"/>
  <c r="T4395" i="11" s="1"/>
  <c r="K4395" i="11"/>
  <c r="J4397" i="11"/>
  <c r="T4397" i="11"/>
  <c r="K4397" i="11"/>
  <c r="J4399" i="11"/>
  <c r="T4399" i="11" s="1"/>
  <c r="K4399" i="11"/>
  <c r="J4401" i="11"/>
  <c r="T4401" i="11"/>
  <c r="K4401" i="11"/>
  <c r="J4403" i="11"/>
  <c r="T4403" i="11" s="1"/>
  <c r="K4403" i="11"/>
  <c r="J4405" i="11"/>
  <c r="T4405" i="11"/>
  <c r="K4405" i="11"/>
  <c r="J4407" i="11"/>
  <c r="T4407" i="11" s="1"/>
  <c r="K4407" i="11"/>
  <c r="J4409" i="11"/>
  <c r="T4409" i="11"/>
  <c r="K4409" i="11"/>
  <c r="J4411" i="11"/>
  <c r="T4411" i="11" s="1"/>
  <c r="K4411" i="11"/>
  <c r="J4413" i="11"/>
  <c r="T4413" i="11"/>
  <c r="K4413" i="11"/>
  <c r="J4415" i="11"/>
  <c r="T4415" i="11" s="1"/>
  <c r="K4415" i="11"/>
  <c r="J4417" i="11"/>
  <c r="T4417" i="11"/>
  <c r="K4417" i="11"/>
  <c r="J4419" i="11"/>
  <c r="T4419" i="11" s="1"/>
  <c r="K4419" i="11"/>
  <c r="J4421" i="11"/>
  <c r="T4421" i="11"/>
  <c r="K4421" i="11"/>
  <c r="J4423" i="11"/>
  <c r="T4423" i="11" s="1"/>
  <c r="K4423" i="11"/>
  <c r="J4425" i="11"/>
  <c r="T4425" i="11"/>
  <c r="K4425" i="11"/>
  <c r="J4427" i="11"/>
  <c r="T4427" i="11" s="1"/>
  <c r="K4427" i="11"/>
  <c r="J4429" i="11"/>
  <c r="T4429" i="11"/>
  <c r="K4429" i="11"/>
  <c r="J4431" i="11"/>
  <c r="T4431" i="11" s="1"/>
  <c r="K4431" i="11"/>
  <c r="J4433" i="11"/>
  <c r="T4433" i="11"/>
  <c r="K4433" i="11"/>
  <c r="J4435" i="11"/>
  <c r="T4435" i="11" s="1"/>
  <c r="K4435" i="11"/>
  <c r="J4437" i="11"/>
  <c r="T4437" i="11"/>
  <c r="K4437" i="11"/>
  <c r="J4439" i="11"/>
  <c r="T4439" i="11" s="1"/>
  <c r="K4439" i="11"/>
  <c r="J4441" i="11"/>
  <c r="T4441" i="11"/>
  <c r="K4441" i="11"/>
  <c r="J4443" i="11"/>
  <c r="T4443" i="11" s="1"/>
  <c r="K4443" i="11"/>
  <c r="J4445" i="11"/>
  <c r="T4445" i="11"/>
  <c r="K4445" i="11"/>
  <c r="J4447" i="11"/>
  <c r="T4447" i="11" s="1"/>
  <c r="K4447" i="11"/>
  <c r="J4449" i="11"/>
  <c r="T4449" i="11"/>
  <c r="K4449" i="11"/>
  <c r="J4451" i="11"/>
  <c r="T4451" i="11" s="1"/>
  <c r="K4451" i="11"/>
  <c r="J4453" i="11"/>
  <c r="T4453" i="11"/>
  <c r="K4453" i="11"/>
  <c r="J4455" i="11"/>
  <c r="T4455" i="11" s="1"/>
  <c r="K4455" i="11"/>
  <c r="J4457" i="11"/>
  <c r="T4457" i="11"/>
  <c r="K4457" i="11"/>
  <c r="J4459" i="11"/>
  <c r="T4459" i="11" s="1"/>
  <c r="K4459" i="11"/>
  <c r="J4461" i="11"/>
  <c r="T4461" i="11"/>
  <c r="K4461" i="11"/>
  <c r="J4463" i="11"/>
  <c r="T4463" i="11" s="1"/>
  <c r="K4463" i="11"/>
  <c r="J4465" i="11"/>
  <c r="T4465" i="11"/>
  <c r="K4465" i="11"/>
  <c r="J4467" i="11"/>
  <c r="T4467" i="11" s="1"/>
  <c r="K4467" i="11"/>
  <c r="J4469" i="11"/>
  <c r="T4469" i="11"/>
  <c r="K4469" i="11"/>
  <c r="J4471" i="11"/>
  <c r="T4471" i="11" s="1"/>
  <c r="K4471" i="11"/>
  <c r="J4473" i="11"/>
  <c r="T4473" i="11"/>
  <c r="K4473" i="11"/>
  <c r="J4475" i="11"/>
  <c r="T4475" i="11" s="1"/>
  <c r="K4475" i="11"/>
  <c r="J4477" i="11"/>
  <c r="T4477" i="11"/>
  <c r="K4477" i="11"/>
  <c r="J4479" i="11"/>
  <c r="T4479" i="11" s="1"/>
  <c r="K4479" i="11"/>
  <c r="J4481" i="11"/>
  <c r="T4481" i="11"/>
  <c r="K4481" i="11"/>
  <c r="J4483" i="11"/>
  <c r="T4483" i="11" s="1"/>
  <c r="K4483" i="11"/>
  <c r="J4485" i="11"/>
  <c r="T4485" i="11"/>
  <c r="K4485" i="11"/>
  <c r="J4487" i="11"/>
  <c r="T4487" i="11" s="1"/>
  <c r="K4487" i="11"/>
  <c r="J4489" i="11"/>
  <c r="T4489" i="11"/>
  <c r="K4489" i="11"/>
  <c r="J4491" i="11"/>
  <c r="T4491" i="11" s="1"/>
  <c r="K4491" i="11"/>
  <c r="J4493" i="11"/>
  <c r="T4493" i="11"/>
  <c r="K4493" i="11"/>
  <c r="J4495" i="11"/>
  <c r="T4495" i="11" s="1"/>
  <c r="K4495" i="11"/>
  <c r="J4497" i="11"/>
  <c r="T4497" i="11"/>
  <c r="K4497" i="11"/>
  <c r="J4499" i="11"/>
  <c r="T4499" i="11" s="1"/>
  <c r="K4499" i="11"/>
  <c r="J4501" i="11"/>
  <c r="T4501" i="11"/>
  <c r="K4501" i="11"/>
  <c r="J4503" i="11"/>
  <c r="T4503" i="11" s="1"/>
  <c r="K4503" i="11"/>
  <c r="J4505" i="11"/>
  <c r="T4505" i="11"/>
  <c r="K4505" i="11"/>
  <c r="J4507" i="11"/>
  <c r="T4507" i="11" s="1"/>
  <c r="K4507" i="11"/>
  <c r="J4509" i="11"/>
  <c r="T4509" i="11"/>
  <c r="K4509" i="11"/>
  <c r="J4511" i="11"/>
  <c r="T4511" i="11" s="1"/>
  <c r="K4511" i="11"/>
  <c r="J4513" i="11"/>
  <c r="T4513" i="11"/>
  <c r="K4513" i="11"/>
  <c r="J4515" i="11"/>
  <c r="T4515" i="11" s="1"/>
  <c r="K4515" i="11"/>
  <c r="J4517" i="11"/>
  <c r="T4517" i="11"/>
  <c r="K4517" i="11"/>
  <c r="J4519" i="11"/>
  <c r="T4519" i="11" s="1"/>
  <c r="K4519" i="11"/>
  <c r="J4521" i="11"/>
  <c r="T4521" i="11"/>
  <c r="K4521" i="11"/>
  <c r="J4523" i="11"/>
  <c r="T4523" i="11" s="1"/>
  <c r="K4523" i="11"/>
  <c r="J4525" i="11"/>
  <c r="T4525" i="11"/>
  <c r="K4525" i="11"/>
  <c r="J4527" i="11"/>
  <c r="T4527" i="11" s="1"/>
  <c r="K4527" i="11"/>
  <c r="J4529" i="11"/>
  <c r="T4529" i="11"/>
  <c r="K4529" i="11"/>
  <c r="J4531" i="11"/>
  <c r="T4531" i="11" s="1"/>
  <c r="K4531" i="11"/>
  <c r="J4533" i="11"/>
  <c r="T4533" i="11"/>
  <c r="K4533" i="11"/>
  <c r="J4535" i="11"/>
  <c r="T4535" i="11" s="1"/>
  <c r="K4535" i="11"/>
  <c r="J4537" i="11"/>
  <c r="T4537" i="11"/>
  <c r="K4537" i="11"/>
  <c r="J4539" i="11"/>
  <c r="T4539" i="11" s="1"/>
  <c r="K4539" i="11"/>
  <c r="J4541" i="11"/>
  <c r="T4541" i="11"/>
  <c r="K4541" i="11"/>
  <c r="J4543" i="11"/>
  <c r="T4543" i="11" s="1"/>
  <c r="K4543" i="11"/>
  <c r="J4545" i="11"/>
  <c r="T4545" i="11"/>
  <c r="K4545" i="11"/>
  <c r="J4547" i="11"/>
  <c r="T4547" i="11" s="1"/>
  <c r="K4547" i="11"/>
  <c r="J4549" i="11"/>
  <c r="T4549" i="11"/>
  <c r="K4549" i="11"/>
  <c r="J4551" i="11"/>
  <c r="T4551" i="11" s="1"/>
  <c r="K4551" i="11"/>
  <c r="J4553" i="11"/>
  <c r="T4553" i="11"/>
  <c r="K4553" i="11"/>
  <c r="J4555" i="11"/>
  <c r="T4555" i="11" s="1"/>
  <c r="K4555" i="11"/>
  <c r="J4557" i="11"/>
  <c r="T4557" i="11"/>
  <c r="K4557" i="11"/>
  <c r="J4559" i="11"/>
  <c r="T4559" i="11" s="1"/>
  <c r="K4559" i="11"/>
  <c r="J4561" i="11"/>
  <c r="T4561" i="11"/>
  <c r="K4561" i="11"/>
  <c r="J4563" i="11"/>
  <c r="T4563" i="11" s="1"/>
  <c r="K4563" i="11"/>
  <c r="J4565" i="11"/>
  <c r="T4565" i="11"/>
  <c r="K4565" i="11"/>
  <c r="J4567" i="11"/>
  <c r="T4567" i="11" s="1"/>
  <c r="K4567" i="11"/>
  <c r="J4569" i="11"/>
  <c r="T4569" i="11"/>
  <c r="K4569" i="11"/>
  <c r="J4571" i="11"/>
  <c r="T4571" i="11" s="1"/>
  <c r="K4571" i="11"/>
  <c r="J4573" i="11"/>
  <c r="T4573" i="11"/>
  <c r="K4573" i="11"/>
  <c r="J4575" i="11"/>
  <c r="T4575" i="11" s="1"/>
  <c r="K4575" i="11"/>
  <c r="J4577" i="11"/>
  <c r="T4577" i="11"/>
  <c r="K4577" i="11"/>
  <c r="J4579" i="11"/>
  <c r="T4579" i="11" s="1"/>
  <c r="K4579" i="11"/>
  <c r="J4581" i="11"/>
  <c r="T4581" i="11"/>
  <c r="K4581" i="11"/>
  <c r="J4583" i="11"/>
  <c r="T4583" i="11" s="1"/>
  <c r="K4583" i="11"/>
  <c r="J4585" i="11"/>
  <c r="T4585" i="11"/>
  <c r="K4585" i="11"/>
  <c r="J4587" i="11"/>
  <c r="T4587" i="11" s="1"/>
  <c r="K4587" i="11"/>
  <c r="J4589" i="11"/>
  <c r="T4589" i="11"/>
  <c r="K4589" i="11"/>
  <c r="J4591" i="11"/>
  <c r="T4591" i="11" s="1"/>
  <c r="K4591" i="11"/>
  <c r="J4593" i="11"/>
  <c r="T4593" i="11"/>
  <c r="K4593" i="11"/>
  <c r="J4595" i="11"/>
  <c r="T4595" i="11" s="1"/>
  <c r="K4595" i="11"/>
  <c r="J4597" i="11"/>
  <c r="T4597" i="11"/>
  <c r="K4597" i="11"/>
  <c r="J4599" i="11"/>
  <c r="T4599" i="11" s="1"/>
  <c r="K4599" i="11"/>
  <c r="J4601" i="11"/>
  <c r="T4601" i="11"/>
  <c r="K4601" i="11"/>
  <c r="J4603" i="11"/>
  <c r="T4603" i="11" s="1"/>
  <c r="K4603" i="11"/>
  <c r="J4605" i="11"/>
  <c r="T4605" i="11"/>
  <c r="K4605" i="11"/>
  <c r="J4607" i="11"/>
  <c r="T4607" i="11" s="1"/>
  <c r="K4607" i="11"/>
  <c r="J4609" i="11"/>
  <c r="T4609" i="11"/>
  <c r="K4609" i="11"/>
  <c r="J4611" i="11"/>
  <c r="T4611" i="11" s="1"/>
  <c r="K4611" i="11"/>
  <c r="J4613" i="11"/>
  <c r="T4613" i="11"/>
  <c r="K4613" i="11"/>
  <c r="J4615" i="11"/>
  <c r="T4615" i="11" s="1"/>
  <c r="K4615" i="11"/>
  <c r="J4617" i="11"/>
  <c r="T4617" i="11"/>
  <c r="K4617" i="11"/>
  <c r="J4619" i="11"/>
  <c r="T4619" i="11" s="1"/>
  <c r="K4619" i="11"/>
  <c r="J4621" i="11"/>
  <c r="T4621" i="11"/>
  <c r="K4621" i="11"/>
  <c r="J4623" i="11"/>
  <c r="T4623" i="11" s="1"/>
  <c r="K4623" i="11"/>
  <c r="J4625" i="11"/>
  <c r="T4625" i="11"/>
  <c r="K4625" i="11"/>
  <c r="J4627" i="11"/>
  <c r="T4627" i="11" s="1"/>
  <c r="K4627" i="11"/>
  <c r="J4629" i="11"/>
  <c r="T4629" i="11"/>
  <c r="K4629" i="11"/>
  <c r="J4631" i="11"/>
  <c r="T4631" i="11" s="1"/>
  <c r="K4631" i="11"/>
  <c r="J4633" i="11"/>
  <c r="T4633" i="11"/>
  <c r="K4633" i="11"/>
  <c r="J4635" i="11"/>
  <c r="T4635" i="11" s="1"/>
  <c r="K4635" i="11"/>
  <c r="J4637" i="11"/>
  <c r="T4637" i="11"/>
  <c r="K4637" i="11"/>
  <c r="J4639" i="11"/>
  <c r="T4639" i="11" s="1"/>
  <c r="K4639" i="11"/>
  <c r="J4641" i="11"/>
  <c r="T4641" i="11"/>
  <c r="K4641" i="11"/>
  <c r="J4643" i="11"/>
  <c r="T4643" i="11" s="1"/>
  <c r="K4643" i="11"/>
  <c r="J4645" i="11"/>
  <c r="T4645" i="11"/>
  <c r="K4645" i="11"/>
  <c r="J4647" i="11"/>
  <c r="T4647" i="11" s="1"/>
  <c r="K4647" i="11"/>
  <c r="J4649" i="11"/>
  <c r="T4649" i="11"/>
  <c r="K4649" i="11"/>
  <c r="J4651" i="11"/>
  <c r="T4651" i="11" s="1"/>
  <c r="K4651" i="11"/>
  <c r="J4653" i="11"/>
  <c r="T4653" i="11"/>
  <c r="K4653" i="11"/>
  <c r="J4655" i="11"/>
  <c r="T4655" i="11" s="1"/>
  <c r="K4655" i="11"/>
  <c r="J4657" i="11"/>
  <c r="T4657" i="11"/>
  <c r="K4657" i="11"/>
  <c r="J4659" i="11"/>
  <c r="T4659" i="11" s="1"/>
  <c r="K4659" i="11"/>
  <c r="J4661" i="11"/>
  <c r="T4661" i="11"/>
  <c r="K4661" i="11"/>
  <c r="J4663" i="11"/>
  <c r="T4663" i="11" s="1"/>
  <c r="K4663" i="11"/>
  <c r="J4665" i="11"/>
  <c r="T4665" i="11"/>
  <c r="K4665" i="11"/>
  <c r="J4667" i="11"/>
  <c r="T4667" i="11" s="1"/>
  <c r="K4667" i="11"/>
  <c r="J4669" i="11"/>
  <c r="T4669" i="11"/>
  <c r="K4669" i="11"/>
  <c r="J4671" i="11"/>
  <c r="T4671" i="11" s="1"/>
  <c r="K4671" i="11"/>
  <c r="J4673" i="11"/>
  <c r="T4673" i="11"/>
  <c r="K4673" i="11"/>
  <c r="J4675" i="11"/>
  <c r="T4675" i="11" s="1"/>
  <c r="K4675" i="11"/>
  <c r="J4677" i="11"/>
  <c r="T4677" i="11"/>
  <c r="K4677" i="11"/>
  <c r="J4679" i="11"/>
  <c r="T4679" i="11" s="1"/>
  <c r="K4679" i="11"/>
  <c r="J4681" i="11"/>
  <c r="T4681" i="11"/>
  <c r="K4681" i="11"/>
  <c r="J4683" i="11"/>
  <c r="T4683" i="11" s="1"/>
  <c r="K4683" i="11"/>
  <c r="J4685" i="11"/>
  <c r="T4685" i="11"/>
  <c r="K4685" i="11"/>
  <c r="J4687" i="11"/>
  <c r="T4687" i="11" s="1"/>
  <c r="K4687" i="11"/>
  <c r="J4689" i="11"/>
  <c r="T4689" i="11"/>
  <c r="K4689" i="11"/>
  <c r="J4691" i="11"/>
  <c r="T4691" i="11" s="1"/>
  <c r="K4691" i="11"/>
  <c r="J4693" i="11"/>
  <c r="T4693" i="11"/>
  <c r="K4693" i="11"/>
  <c r="J4695" i="11"/>
  <c r="T4695" i="11" s="1"/>
  <c r="K4695" i="11"/>
  <c r="J4697" i="11"/>
  <c r="T4697" i="11"/>
  <c r="K4697" i="11"/>
  <c r="J4699" i="11"/>
  <c r="T4699" i="11" s="1"/>
  <c r="K4699" i="11"/>
  <c r="J4701" i="11"/>
  <c r="T4701" i="11"/>
  <c r="K4701" i="11"/>
  <c r="J4703" i="11"/>
  <c r="T4703" i="11" s="1"/>
  <c r="K4703" i="11"/>
  <c r="J4705" i="11"/>
  <c r="T4705" i="11"/>
  <c r="K4705" i="11"/>
  <c r="J4707" i="11"/>
  <c r="T4707" i="11" s="1"/>
  <c r="K4707" i="11"/>
  <c r="J4709" i="11"/>
  <c r="T4709" i="11"/>
  <c r="K4709" i="11"/>
  <c r="J4711" i="11"/>
  <c r="T4711" i="11" s="1"/>
  <c r="K4711" i="11"/>
  <c r="J4713" i="11"/>
  <c r="T4713" i="11"/>
  <c r="K4713" i="11"/>
  <c r="J4715" i="11"/>
  <c r="T4715" i="11" s="1"/>
  <c r="K4715" i="11"/>
  <c r="J4717" i="11"/>
  <c r="T4717" i="11"/>
  <c r="K4717" i="11"/>
  <c r="J4719" i="11"/>
  <c r="T4719" i="11" s="1"/>
  <c r="K4719" i="11"/>
  <c r="J4721" i="11"/>
  <c r="T4721" i="11"/>
  <c r="K4721" i="11"/>
  <c r="J4723" i="11"/>
  <c r="T4723" i="11" s="1"/>
  <c r="K4723" i="11"/>
  <c r="J4725" i="11"/>
  <c r="T4725" i="11"/>
  <c r="K4725" i="11"/>
  <c r="J4727" i="11"/>
  <c r="T4727" i="11" s="1"/>
  <c r="K4727" i="11"/>
  <c r="J4729" i="11"/>
  <c r="T4729" i="11"/>
  <c r="K4729" i="11"/>
  <c r="J4731" i="11"/>
  <c r="T4731" i="11" s="1"/>
  <c r="K4731" i="11"/>
  <c r="J4733" i="11"/>
  <c r="T4733" i="11"/>
  <c r="K4733" i="11"/>
  <c r="J4735" i="11"/>
  <c r="T4735" i="11" s="1"/>
  <c r="K4735" i="11"/>
  <c r="J4737" i="11"/>
  <c r="T4737" i="11"/>
  <c r="K4737" i="11"/>
  <c r="J4739" i="11"/>
  <c r="T4739" i="11" s="1"/>
  <c r="K4739" i="11"/>
  <c r="J4741" i="11"/>
  <c r="T4741" i="11"/>
  <c r="K4741" i="11"/>
  <c r="J4743" i="11"/>
  <c r="T4743" i="11" s="1"/>
  <c r="K4743" i="11"/>
  <c r="J4745" i="11"/>
  <c r="T4745" i="11"/>
  <c r="K4745" i="11"/>
  <c r="J4747" i="11"/>
  <c r="T4747" i="11" s="1"/>
  <c r="K4747" i="11"/>
  <c r="J4749" i="11"/>
  <c r="T4749" i="11"/>
  <c r="K4749" i="11"/>
  <c r="J4751" i="11"/>
  <c r="T4751" i="11" s="1"/>
  <c r="K4751" i="11"/>
  <c r="J4753" i="11"/>
  <c r="T4753" i="11"/>
  <c r="K4753" i="11"/>
  <c r="J4755" i="11"/>
  <c r="T4755" i="11" s="1"/>
  <c r="K4755" i="11"/>
  <c r="J4757" i="11"/>
  <c r="T4757" i="11"/>
  <c r="K4757" i="11"/>
  <c r="J4759" i="11"/>
  <c r="T4759" i="11" s="1"/>
  <c r="K4759" i="11"/>
  <c r="J4761" i="11"/>
  <c r="T4761" i="11"/>
  <c r="K4761" i="11"/>
  <c r="J4763" i="11"/>
  <c r="T4763" i="11" s="1"/>
  <c r="K4763" i="11"/>
  <c r="J4765" i="11"/>
  <c r="T4765" i="11"/>
  <c r="K4765" i="11"/>
  <c r="J4767" i="11"/>
  <c r="T4767" i="11" s="1"/>
  <c r="K4767" i="11"/>
  <c r="J4769" i="11"/>
  <c r="T4769" i="11"/>
  <c r="K4769" i="11"/>
  <c r="J4771" i="11"/>
  <c r="T4771" i="11" s="1"/>
  <c r="K4771" i="11"/>
  <c r="J4773" i="11"/>
  <c r="T4773" i="11"/>
  <c r="K4773" i="11"/>
  <c r="J4775" i="11"/>
  <c r="T4775" i="11" s="1"/>
  <c r="K4775" i="11"/>
  <c r="J4777" i="11"/>
  <c r="T4777" i="11"/>
  <c r="K4777" i="11"/>
  <c r="J4779" i="11"/>
  <c r="T4779" i="11" s="1"/>
  <c r="K4779" i="11"/>
  <c r="J4781" i="11"/>
  <c r="T4781" i="11"/>
  <c r="K4781" i="11"/>
  <c r="J4783" i="11"/>
  <c r="T4783" i="11" s="1"/>
  <c r="K4783" i="11"/>
  <c r="J4785" i="11"/>
  <c r="T4785" i="11"/>
  <c r="K4785" i="11"/>
  <c r="J4787" i="11"/>
  <c r="T4787" i="11" s="1"/>
  <c r="K4787" i="11"/>
  <c r="J4789" i="11"/>
  <c r="T4789" i="11"/>
  <c r="K4789" i="11"/>
  <c r="J4791" i="11"/>
  <c r="T4791" i="11" s="1"/>
  <c r="K4791" i="11"/>
  <c r="J4793" i="11"/>
  <c r="T4793" i="11"/>
  <c r="K4793" i="11"/>
  <c r="J4795" i="11"/>
  <c r="T4795" i="11" s="1"/>
  <c r="K4795" i="11"/>
  <c r="J4797" i="11"/>
  <c r="T4797" i="11"/>
  <c r="K4797" i="11"/>
  <c r="J4799" i="11"/>
  <c r="T4799" i="11" s="1"/>
  <c r="K4799" i="11"/>
  <c r="J4801" i="11"/>
  <c r="T4801" i="11"/>
  <c r="K4801" i="11"/>
  <c r="J4803" i="11"/>
  <c r="T4803" i="11" s="1"/>
  <c r="K4803" i="11"/>
  <c r="J4805" i="11"/>
  <c r="T4805" i="11"/>
  <c r="K4805" i="11"/>
  <c r="J4807" i="11"/>
  <c r="T4807" i="11" s="1"/>
  <c r="K4807" i="11"/>
  <c r="J4809" i="11"/>
  <c r="T4809" i="11"/>
  <c r="K4809" i="11"/>
  <c r="J4811" i="11"/>
  <c r="T4811" i="11" s="1"/>
  <c r="K4811" i="11"/>
  <c r="J4813" i="11"/>
  <c r="T4813" i="11"/>
  <c r="K4813" i="11"/>
  <c r="J4815" i="11"/>
  <c r="T4815" i="11" s="1"/>
  <c r="K4815" i="11"/>
  <c r="J4817" i="11"/>
  <c r="T4817" i="11"/>
  <c r="K4817" i="11"/>
  <c r="J4819" i="11"/>
  <c r="T4819" i="11" s="1"/>
  <c r="K4819" i="11"/>
  <c r="J4821" i="11"/>
  <c r="T4821" i="11"/>
  <c r="K4821" i="11"/>
  <c r="J4823" i="11"/>
  <c r="T4823" i="11" s="1"/>
  <c r="K4823" i="11"/>
  <c r="J4825" i="11"/>
  <c r="T4825" i="11"/>
  <c r="K4825" i="11"/>
  <c r="J4827" i="11"/>
  <c r="T4827" i="11" s="1"/>
  <c r="K4827" i="11"/>
  <c r="J4829" i="11"/>
  <c r="T4829" i="11"/>
  <c r="K4829" i="11"/>
  <c r="J4831" i="11"/>
  <c r="T4831" i="11" s="1"/>
  <c r="K4831" i="11"/>
  <c r="J4833" i="11"/>
  <c r="T4833" i="11"/>
  <c r="K4833" i="11"/>
  <c r="J4835" i="11"/>
  <c r="T4835" i="11" s="1"/>
  <c r="K4835" i="11"/>
  <c r="J4837" i="11"/>
  <c r="T4837" i="11"/>
  <c r="K4837" i="11"/>
  <c r="J4839" i="11"/>
  <c r="T4839" i="11" s="1"/>
  <c r="K4839" i="11"/>
  <c r="J4841" i="11"/>
  <c r="T4841" i="11"/>
  <c r="K4841" i="11"/>
  <c r="J4843" i="11"/>
  <c r="T4843" i="11" s="1"/>
  <c r="K4843" i="11"/>
  <c r="J4845" i="11"/>
  <c r="T4845" i="11"/>
  <c r="K4845" i="11"/>
  <c r="J4847" i="11"/>
  <c r="T4847" i="11" s="1"/>
  <c r="K4847" i="11"/>
  <c r="J4849" i="11"/>
  <c r="T4849" i="11"/>
  <c r="K4849" i="11"/>
  <c r="J4851" i="11"/>
  <c r="T4851" i="11" s="1"/>
  <c r="K4851" i="11"/>
  <c r="J4853" i="11"/>
  <c r="T4853" i="11"/>
  <c r="K4853" i="11"/>
  <c r="J4855" i="11"/>
  <c r="T4855" i="11" s="1"/>
  <c r="K4855" i="11"/>
  <c r="J4857" i="11"/>
  <c r="T4857" i="11"/>
  <c r="K4857" i="11"/>
  <c r="J4859" i="11"/>
  <c r="T4859" i="11" s="1"/>
  <c r="K4859" i="11"/>
  <c r="J4861" i="11"/>
  <c r="T4861" i="11"/>
  <c r="K4861" i="11"/>
  <c r="J4863" i="11"/>
  <c r="T4863" i="11" s="1"/>
  <c r="K4863" i="11"/>
  <c r="J4865" i="11"/>
  <c r="T4865" i="11"/>
  <c r="K4865" i="11"/>
  <c r="J4867" i="11"/>
  <c r="T4867" i="11" s="1"/>
  <c r="K4867" i="11"/>
  <c r="J4869" i="11"/>
  <c r="T4869" i="11"/>
  <c r="K4869" i="11"/>
  <c r="J4871" i="11"/>
  <c r="T4871" i="11" s="1"/>
  <c r="K4871" i="11"/>
  <c r="J4873" i="11"/>
  <c r="T4873" i="11"/>
  <c r="K4873" i="11"/>
  <c r="J4875" i="11"/>
  <c r="T4875" i="11" s="1"/>
  <c r="K4875" i="11"/>
  <c r="J4877" i="11"/>
  <c r="T4877" i="11"/>
  <c r="K4877" i="11"/>
  <c r="J4879" i="11"/>
  <c r="T4879" i="11" s="1"/>
  <c r="K4879" i="11"/>
  <c r="J4881" i="11"/>
  <c r="T4881" i="11"/>
  <c r="K4881" i="11"/>
  <c r="J4883" i="11"/>
  <c r="T4883" i="11" s="1"/>
  <c r="K4883" i="11"/>
  <c r="J4885" i="11"/>
  <c r="T4885" i="11"/>
  <c r="K4885" i="11"/>
  <c r="J4887" i="11"/>
  <c r="T4887" i="11" s="1"/>
  <c r="K4887" i="11"/>
  <c r="J4889" i="11"/>
  <c r="T4889" i="11"/>
  <c r="K4889" i="11"/>
  <c r="J4891" i="11"/>
  <c r="T4891" i="11" s="1"/>
  <c r="K4891" i="11"/>
  <c r="J4893" i="11"/>
  <c r="T4893" i="11"/>
  <c r="K4893" i="11"/>
  <c r="J4895" i="11"/>
  <c r="T4895" i="11" s="1"/>
  <c r="K4895" i="11"/>
  <c r="J4897" i="11"/>
  <c r="T4897" i="11"/>
  <c r="K4897" i="11"/>
  <c r="J4899" i="11"/>
  <c r="T4899" i="11" s="1"/>
  <c r="K4899" i="11"/>
  <c r="J4901" i="11"/>
  <c r="T4901" i="11"/>
  <c r="K4901" i="11"/>
  <c r="J4903" i="11"/>
  <c r="T4903" i="11" s="1"/>
  <c r="K4903" i="11"/>
  <c r="J4905" i="11"/>
  <c r="T4905" i="11"/>
  <c r="K4905" i="11"/>
  <c r="J4907" i="11"/>
  <c r="T4907" i="11" s="1"/>
  <c r="K4907" i="11"/>
  <c r="J4909" i="11"/>
  <c r="T4909" i="11"/>
  <c r="K4909" i="11"/>
  <c r="J4911" i="11"/>
  <c r="T4911" i="11" s="1"/>
  <c r="K4911" i="11"/>
  <c r="J4913" i="11"/>
  <c r="T4913" i="11"/>
  <c r="K4913" i="11"/>
  <c r="J4915" i="11"/>
  <c r="T4915" i="11" s="1"/>
  <c r="K4915" i="11"/>
  <c r="J4917" i="11"/>
  <c r="T4917" i="11"/>
  <c r="K4917" i="11"/>
  <c r="J4919" i="11"/>
  <c r="T4919" i="11" s="1"/>
  <c r="K4919" i="11"/>
  <c r="J4921" i="11"/>
  <c r="T4921" i="11"/>
  <c r="K4921" i="11"/>
  <c r="J4923" i="11"/>
  <c r="T4923" i="11" s="1"/>
  <c r="K4923" i="11"/>
  <c r="J4925" i="11"/>
  <c r="T4925" i="11"/>
  <c r="K4925" i="11"/>
  <c r="J4927" i="11"/>
  <c r="T4927" i="11" s="1"/>
  <c r="K4927" i="11"/>
  <c r="J4929" i="11"/>
  <c r="T4929" i="11"/>
  <c r="K4929" i="11"/>
  <c r="J4931" i="11"/>
  <c r="T4931" i="11" s="1"/>
  <c r="K4931" i="11"/>
  <c r="J4933" i="11"/>
  <c r="T4933" i="11"/>
  <c r="K4933" i="11"/>
  <c r="J4935" i="11"/>
  <c r="T4935" i="11" s="1"/>
  <c r="K4935" i="11"/>
  <c r="J4937" i="11"/>
  <c r="T4937" i="11"/>
  <c r="K4937" i="11"/>
  <c r="J4939" i="11"/>
  <c r="T4939" i="11" s="1"/>
  <c r="K4939" i="11"/>
  <c r="J4941" i="11"/>
  <c r="T4941" i="11"/>
  <c r="K4941" i="11"/>
  <c r="J4943" i="11"/>
  <c r="T4943" i="11" s="1"/>
  <c r="K4943" i="11"/>
  <c r="J4945" i="11"/>
  <c r="T4945" i="11"/>
  <c r="K4945" i="11"/>
  <c r="J4947" i="11"/>
  <c r="T4947" i="11" s="1"/>
  <c r="K4947" i="11"/>
  <c r="J4949" i="11"/>
  <c r="T4949" i="11"/>
  <c r="K4949" i="11"/>
  <c r="J4951" i="11"/>
  <c r="T4951" i="11" s="1"/>
  <c r="K4951" i="11"/>
  <c r="J4953" i="11"/>
  <c r="T4953" i="11"/>
  <c r="K4953" i="11"/>
  <c r="J4955" i="11"/>
  <c r="T4955" i="11" s="1"/>
  <c r="K4955" i="11"/>
  <c r="J4957" i="11"/>
  <c r="T4957" i="11"/>
  <c r="K4957" i="11"/>
  <c r="J4959" i="11"/>
  <c r="T4959" i="11" s="1"/>
  <c r="K4959" i="11"/>
  <c r="J4961" i="11"/>
  <c r="T4961" i="11"/>
  <c r="K4961" i="11"/>
  <c r="J4963" i="11"/>
  <c r="T4963" i="11" s="1"/>
  <c r="K4963" i="11"/>
  <c r="J4965" i="11"/>
  <c r="T4965" i="11"/>
  <c r="K4965" i="11"/>
  <c r="J4967" i="11"/>
  <c r="T4967" i="11" s="1"/>
  <c r="K4967" i="11"/>
  <c r="J4969" i="11"/>
  <c r="T4969" i="11"/>
  <c r="K4969" i="11"/>
  <c r="J4971" i="11"/>
  <c r="T4971" i="11" s="1"/>
  <c r="K4971" i="11"/>
  <c r="J4973" i="11"/>
  <c r="T4973" i="11"/>
  <c r="K4973" i="11"/>
  <c r="J4975" i="11"/>
  <c r="T4975" i="11" s="1"/>
  <c r="K4975" i="11"/>
  <c r="J4977" i="11"/>
  <c r="T4977" i="11"/>
  <c r="K4977" i="11"/>
  <c r="J4979" i="11"/>
  <c r="T4979" i="11" s="1"/>
  <c r="K4979" i="11"/>
  <c r="J4981" i="11"/>
  <c r="T4981" i="11"/>
  <c r="K4981" i="11"/>
  <c r="J4983" i="11"/>
  <c r="T4983" i="11" s="1"/>
  <c r="K4983" i="11"/>
  <c r="J4985" i="11"/>
  <c r="T4985" i="11"/>
  <c r="K4985" i="11"/>
  <c r="J4987" i="11"/>
  <c r="T4987" i="11" s="1"/>
  <c r="K4987" i="11"/>
  <c r="J4989" i="11"/>
  <c r="T4989" i="11"/>
  <c r="K4989" i="11"/>
  <c r="J4991" i="11"/>
  <c r="T4991" i="11" s="1"/>
  <c r="K4991" i="11"/>
  <c r="J4993" i="11"/>
  <c r="T4993" i="11"/>
  <c r="K4993" i="11"/>
  <c r="J4995" i="11"/>
  <c r="T4995" i="11" s="1"/>
  <c r="K4995" i="11"/>
  <c r="J4997" i="11"/>
  <c r="T4997" i="11"/>
  <c r="K4997" i="11"/>
  <c r="J4999" i="11"/>
  <c r="T4999" i="11" s="1"/>
  <c r="K4999" i="11"/>
  <c r="J5001" i="11"/>
  <c r="T5001" i="11"/>
  <c r="K5001" i="11"/>
  <c r="J5003" i="11"/>
  <c r="T5003" i="11" s="1"/>
  <c r="K5003" i="11"/>
  <c r="J5005" i="11"/>
  <c r="T5005" i="11"/>
  <c r="K5005" i="11"/>
  <c r="J5007" i="11"/>
  <c r="T5007" i="11" s="1"/>
  <c r="K5007" i="11"/>
  <c r="J5009" i="11"/>
  <c r="T5009" i="11"/>
  <c r="K5009" i="11"/>
  <c r="J5011" i="11"/>
  <c r="T5011" i="11" s="1"/>
  <c r="K5011" i="11"/>
  <c r="J5013" i="11"/>
  <c r="T5013" i="11"/>
  <c r="K5013" i="11"/>
  <c r="J5015" i="11"/>
  <c r="T5015" i="11" s="1"/>
  <c r="K5015" i="11"/>
  <c r="J5017" i="11"/>
  <c r="T5017" i="11"/>
  <c r="K5017" i="11"/>
  <c r="J5019" i="11"/>
  <c r="T5019" i="11" s="1"/>
  <c r="K5019" i="11"/>
  <c r="J5021" i="11"/>
  <c r="T5021" i="11"/>
  <c r="K5021" i="11"/>
  <c r="J5023" i="11"/>
  <c r="T5023" i="11" s="1"/>
  <c r="K5023" i="11"/>
  <c r="J5025" i="11"/>
  <c r="T5025" i="11"/>
  <c r="K5025" i="11"/>
  <c r="J5027" i="11"/>
  <c r="T5027" i="11" s="1"/>
  <c r="K5027" i="11"/>
  <c r="J5029" i="11"/>
  <c r="T5029" i="11"/>
  <c r="K5029" i="11"/>
  <c r="J5031" i="11"/>
  <c r="T5031" i="11" s="1"/>
  <c r="K5031" i="11"/>
  <c r="J5033" i="11"/>
  <c r="T5033" i="11"/>
  <c r="K5033" i="11"/>
  <c r="J5035" i="11"/>
  <c r="T5035" i="11" s="1"/>
  <c r="K5035" i="11"/>
  <c r="J5037" i="11"/>
  <c r="T5037" i="11"/>
  <c r="K5037" i="11"/>
  <c r="J5039" i="11"/>
  <c r="T5039" i="11" s="1"/>
  <c r="K5039" i="11"/>
  <c r="J5041" i="11"/>
  <c r="T5041" i="11"/>
  <c r="K5041" i="11"/>
  <c r="J5043" i="11"/>
  <c r="T5043" i="11" s="1"/>
  <c r="K5043" i="11"/>
  <c r="J5045" i="11"/>
  <c r="T5045" i="11"/>
  <c r="K5045" i="11"/>
  <c r="J5047" i="11"/>
  <c r="T5047" i="11" s="1"/>
  <c r="K5047" i="11"/>
  <c r="J5049" i="11"/>
  <c r="T5049" i="11"/>
  <c r="K5049" i="11"/>
  <c r="J5051" i="11"/>
  <c r="T5051" i="11" s="1"/>
  <c r="K5051" i="11"/>
  <c r="J5053" i="11"/>
  <c r="T5053" i="11"/>
  <c r="K5053" i="11"/>
  <c r="J5055" i="11"/>
  <c r="T5055" i="11" s="1"/>
  <c r="K5055" i="11"/>
  <c r="J5057" i="11"/>
  <c r="T5057" i="11"/>
  <c r="K5057" i="11"/>
  <c r="J5059" i="11"/>
  <c r="T5059" i="11" s="1"/>
  <c r="K5059" i="11"/>
  <c r="J5061" i="11"/>
  <c r="T5061" i="11"/>
  <c r="K5061" i="11"/>
  <c r="J5063" i="11"/>
  <c r="T5063" i="11" s="1"/>
  <c r="K5063" i="11"/>
  <c r="J5065" i="11"/>
  <c r="T5065" i="11"/>
  <c r="K5065" i="11"/>
  <c r="J5067" i="11"/>
  <c r="T5067" i="11" s="1"/>
  <c r="K5067" i="11"/>
  <c r="J5069" i="11"/>
  <c r="T5069" i="11"/>
  <c r="K5069" i="11"/>
  <c r="J5071" i="11"/>
  <c r="T5071" i="11" s="1"/>
  <c r="K5071" i="11"/>
  <c r="J5073" i="11"/>
  <c r="T5073" i="11"/>
  <c r="K5073" i="11"/>
  <c r="J5075" i="11"/>
  <c r="T5075" i="11" s="1"/>
  <c r="K5075" i="11"/>
  <c r="J5077" i="11"/>
  <c r="T5077" i="11"/>
  <c r="K5077" i="11"/>
  <c r="J5079" i="11"/>
  <c r="T5079" i="11" s="1"/>
  <c r="K5079" i="11"/>
  <c r="J5081" i="11"/>
  <c r="T5081" i="11"/>
  <c r="K5081" i="11"/>
  <c r="J5083" i="11"/>
  <c r="T5083" i="11" s="1"/>
  <c r="K5083" i="11"/>
  <c r="J5085" i="11"/>
  <c r="T5085" i="11"/>
  <c r="K5085" i="11"/>
  <c r="J5087" i="11"/>
  <c r="T5087" i="11" s="1"/>
  <c r="K5087" i="11"/>
  <c r="J5089" i="11"/>
  <c r="T5089" i="11"/>
  <c r="K5089" i="11"/>
  <c r="J5091" i="11"/>
  <c r="T5091" i="11" s="1"/>
  <c r="K5091" i="11"/>
  <c r="J5093" i="11"/>
  <c r="T5093" i="11"/>
  <c r="K5093" i="11"/>
  <c r="J5095" i="11"/>
  <c r="T5095" i="11" s="1"/>
  <c r="K5095" i="11"/>
  <c r="J5097" i="11"/>
  <c r="T5097" i="11"/>
  <c r="K5097" i="11"/>
  <c r="J5099" i="11"/>
  <c r="T5099" i="11" s="1"/>
  <c r="K5099" i="11"/>
  <c r="J5101" i="11"/>
  <c r="T5101" i="11"/>
  <c r="K5101" i="11"/>
  <c r="J5103" i="11"/>
  <c r="T5103" i="11" s="1"/>
  <c r="K5103" i="11"/>
  <c r="J5105" i="11"/>
  <c r="T5105" i="11"/>
  <c r="K5105" i="11"/>
  <c r="J5107" i="11"/>
  <c r="T5107" i="11" s="1"/>
  <c r="K5107" i="11"/>
  <c r="J5109" i="11"/>
  <c r="T5109" i="11"/>
  <c r="K5109" i="11"/>
  <c r="J5111" i="11"/>
  <c r="T5111" i="11" s="1"/>
  <c r="K5111" i="11"/>
  <c r="J5113" i="11"/>
  <c r="T5113" i="11"/>
  <c r="K5113" i="11"/>
  <c r="J5115" i="11"/>
  <c r="T5115" i="11" s="1"/>
  <c r="K5115" i="11"/>
  <c r="J5117" i="11"/>
  <c r="T5117" i="11"/>
  <c r="K5117" i="11"/>
  <c r="J5119" i="11"/>
  <c r="T5119" i="11" s="1"/>
  <c r="K5119" i="11"/>
  <c r="J5121" i="11"/>
  <c r="T5121" i="11"/>
  <c r="K5121" i="11"/>
  <c r="J5123" i="11"/>
  <c r="T5123" i="11" s="1"/>
  <c r="K5123" i="11"/>
  <c r="J5125" i="11"/>
  <c r="T5125" i="11"/>
  <c r="K5125" i="11"/>
  <c r="J5127" i="11"/>
  <c r="T5127" i="11" s="1"/>
  <c r="K5127" i="11"/>
  <c r="J5129" i="11"/>
  <c r="T5129" i="11"/>
  <c r="K5129" i="11"/>
  <c r="J5131" i="11"/>
  <c r="T5131" i="11" s="1"/>
  <c r="K5131" i="11"/>
  <c r="J5133" i="11"/>
  <c r="T5133" i="11"/>
  <c r="K5133" i="11"/>
  <c r="J5135" i="11"/>
  <c r="T5135" i="11" s="1"/>
  <c r="K5135" i="11"/>
  <c r="J5137" i="11"/>
  <c r="T5137" i="11"/>
  <c r="K5137" i="11"/>
  <c r="J5139" i="11"/>
  <c r="T5139" i="11" s="1"/>
  <c r="K5139" i="11"/>
  <c r="J5141" i="11"/>
  <c r="T5141" i="11"/>
  <c r="K5141" i="11"/>
  <c r="J5143" i="11"/>
  <c r="T5143" i="11" s="1"/>
  <c r="K5143" i="11"/>
  <c r="J5145" i="11"/>
  <c r="T5145" i="11"/>
  <c r="K5145" i="11"/>
  <c r="J5147" i="11"/>
  <c r="T5147" i="11" s="1"/>
  <c r="K5147" i="11"/>
  <c r="J5149" i="11"/>
  <c r="T5149" i="11"/>
  <c r="K5149" i="11"/>
  <c r="J5151" i="11"/>
  <c r="T5151" i="11" s="1"/>
  <c r="K5151" i="11"/>
  <c r="J5153" i="11"/>
  <c r="T5153" i="11"/>
  <c r="K5153" i="11"/>
  <c r="J5155" i="11"/>
  <c r="T5155" i="11" s="1"/>
  <c r="K5155" i="11"/>
  <c r="J5157" i="11"/>
  <c r="T5157" i="11"/>
  <c r="K5157" i="11"/>
  <c r="J5159" i="11"/>
  <c r="T5159" i="11" s="1"/>
  <c r="K5159" i="11"/>
  <c r="J5161" i="11"/>
  <c r="T5161" i="11"/>
  <c r="K5161" i="11"/>
  <c r="J5163" i="11"/>
  <c r="T5163" i="11" s="1"/>
  <c r="K5163" i="11"/>
  <c r="J5165" i="11"/>
  <c r="T5165" i="11"/>
  <c r="K5165" i="11"/>
  <c r="J5167" i="11"/>
  <c r="T5167" i="11" s="1"/>
  <c r="K5167" i="11"/>
  <c r="J5169" i="11"/>
  <c r="T5169" i="11"/>
  <c r="K5169" i="11"/>
  <c r="J5171" i="11"/>
  <c r="T5171" i="11" s="1"/>
  <c r="K5171" i="11"/>
  <c r="J5173" i="11"/>
  <c r="T5173" i="11"/>
  <c r="K5173" i="11"/>
  <c r="J5175" i="11"/>
  <c r="T5175" i="11" s="1"/>
  <c r="K5175" i="11"/>
  <c r="J5177" i="11"/>
  <c r="T5177" i="11"/>
  <c r="K5177" i="11"/>
  <c r="J5179" i="11"/>
  <c r="T5179" i="11" s="1"/>
  <c r="K5179" i="11"/>
  <c r="J5181" i="11"/>
  <c r="T5181" i="11"/>
  <c r="K5181" i="11"/>
  <c r="J5183" i="11"/>
  <c r="T5183" i="11" s="1"/>
  <c r="K5183" i="11"/>
  <c r="J5185" i="11"/>
  <c r="T5185" i="11"/>
  <c r="K5185" i="11"/>
  <c r="J5187" i="11"/>
  <c r="T5187" i="11" s="1"/>
  <c r="K5187" i="11"/>
  <c r="J5189" i="11"/>
  <c r="T5189" i="11"/>
  <c r="K5189" i="11"/>
  <c r="J5191" i="11"/>
  <c r="T5191" i="11" s="1"/>
  <c r="K5191" i="11"/>
  <c r="J5193" i="11"/>
  <c r="T5193" i="11"/>
  <c r="K5193" i="11"/>
  <c r="J5195" i="11"/>
  <c r="T5195" i="11" s="1"/>
  <c r="K5195" i="11"/>
  <c r="J5197" i="11"/>
  <c r="T5197" i="11"/>
  <c r="K5197" i="11"/>
  <c r="J5199" i="11"/>
  <c r="T5199" i="11" s="1"/>
  <c r="K5199" i="11"/>
  <c r="J5201" i="11"/>
  <c r="T5201" i="11"/>
  <c r="K5201" i="11"/>
  <c r="J5203" i="11"/>
  <c r="T5203" i="11" s="1"/>
  <c r="K5203" i="11"/>
  <c r="J5205" i="11"/>
  <c r="T5205" i="11"/>
  <c r="K5205" i="11"/>
  <c r="J5207" i="11"/>
  <c r="T5207" i="11" s="1"/>
  <c r="K5207" i="11"/>
  <c r="J5209" i="11"/>
  <c r="T5209" i="11"/>
  <c r="K5209" i="11"/>
  <c r="J5211" i="11"/>
  <c r="T5211" i="11" s="1"/>
  <c r="K5211" i="11"/>
  <c r="J5213" i="11"/>
  <c r="T5213" i="11"/>
  <c r="K5213" i="11"/>
  <c r="J5215" i="11"/>
  <c r="T5215" i="11" s="1"/>
  <c r="K5215" i="11"/>
  <c r="J5217" i="11"/>
  <c r="T5217" i="11"/>
  <c r="K5217" i="11"/>
  <c r="J5219" i="11"/>
  <c r="T5219" i="11" s="1"/>
  <c r="K5219" i="11"/>
  <c r="J5221" i="11"/>
  <c r="T5221" i="11"/>
  <c r="K5221" i="11"/>
  <c r="J5223" i="11"/>
  <c r="T5223" i="11" s="1"/>
  <c r="K5223" i="11"/>
  <c r="J5225" i="11"/>
  <c r="T5225" i="11"/>
  <c r="K5225" i="11"/>
  <c r="J5227" i="11"/>
  <c r="T5227" i="11" s="1"/>
  <c r="K5227" i="11"/>
  <c r="J5229" i="11"/>
  <c r="T5229" i="11"/>
  <c r="K5229" i="11"/>
  <c r="J5231" i="11"/>
  <c r="T5231" i="11" s="1"/>
  <c r="K5231" i="11"/>
  <c r="J5233" i="11"/>
  <c r="T5233" i="11"/>
  <c r="K5233" i="11"/>
  <c r="J5235" i="11"/>
  <c r="T5235" i="11" s="1"/>
  <c r="K5235" i="11"/>
  <c r="J5237" i="11"/>
  <c r="T5237" i="11"/>
  <c r="K5237" i="11"/>
  <c r="J5239" i="11"/>
  <c r="T5239" i="11" s="1"/>
  <c r="K5239" i="11"/>
  <c r="J5241" i="11"/>
  <c r="T5241" i="11"/>
  <c r="K5241" i="11"/>
  <c r="J5243" i="11"/>
  <c r="T5243" i="11" s="1"/>
  <c r="K5243" i="11"/>
  <c r="J5245" i="11"/>
  <c r="T5245" i="11"/>
  <c r="K5245" i="11"/>
  <c r="J5247" i="11"/>
  <c r="T5247" i="11" s="1"/>
  <c r="K5247" i="11"/>
  <c r="J5249" i="11"/>
  <c r="T5249" i="11"/>
  <c r="K5249" i="11"/>
  <c r="J5251" i="11"/>
  <c r="T5251" i="11" s="1"/>
  <c r="K5251" i="11"/>
  <c r="J5253" i="11"/>
  <c r="T5253" i="11"/>
  <c r="K5253" i="11"/>
  <c r="J5255" i="11"/>
  <c r="T5255" i="11" s="1"/>
  <c r="K5255" i="11"/>
  <c r="J5257" i="11"/>
  <c r="T5257" i="11"/>
  <c r="K5257" i="11"/>
  <c r="J5259" i="11"/>
  <c r="T5259" i="11" s="1"/>
  <c r="K5259" i="11"/>
  <c r="J5261" i="11"/>
  <c r="T5261" i="11"/>
  <c r="K5261" i="11"/>
  <c r="J5263" i="11"/>
  <c r="T5263" i="11" s="1"/>
  <c r="K5263" i="11"/>
  <c r="J5265" i="11"/>
  <c r="T5265" i="11"/>
  <c r="K5265" i="11"/>
  <c r="J5267" i="11"/>
  <c r="T5267" i="11" s="1"/>
  <c r="K5267" i="11"/>
  <c r="J5269" i="11"/>
  <c r="T5269" i="11"/>
  <c r="K5269" i="11"/>
  <c r="J5271" i="11"/>
  <c r="T5271" i="11" s="1"/>
  <c r="K5271" i="11"/>
  <c r="J5273" i="11"/>
  <c r="T5273" i="11"/>
  <c r="K5273" i="11"/>
  <c r="J5275" i="11"/>
  <c r="T5275" i="11" s="1"/>
  <c r="K5275" i="11"/>
  <c r="J5277" i="11"/>
  <c r="T5277" i="11"/>
  <c r="K5277" i="11"/>
  <c r="J5279" i="11"/>
  <c r="T5279" i="11" s="1"/>
  <c r="K5279" i="11"/>
  <c r="J5281" i="11"/>
  <c r="T5281" i="11"/>
  <c r="K5281" i="11"/>
  <c r="J5283" i="11"/>
  <c r="T5283" i="11" s="1"/>
  <c r="K5283" i="11"/>
  <c r="J5285" i="11"/>
  <c r="T5285" i="11"/>
  <c r="K5285" i="11"/>
  <c r="J5287" i="11"/>
  <c r="T5287" i="11" s="1"/>
  <c r="K5287" i="11"/>
  <c r="J5289" i="11"/>
  <c r="T5289" i="11"/>
  <c r="K5289" i="11"/>
  <c r="J5291" i="11"/>
  <c r="T5291" i="11" s="1"/>
  <c r="K5291" i="11"/>
  <c r="J5293" i="11"/>
  <c r="T5293" i="11"/>
  <c r="K5293" i="11"/>
  <c r="J5295" i="11"/>
  <c r="T5295" i="11" s="1"/>
  <c r="K5295" i="11"/>
  <c r="J5297" i="11"/>
  <c r="T5297" i="11"/>
  <c r="K5297" i="11"/>
  <c r="J5299" i="11"/>
  <c r="T5299" i="11" s="1"/>
  <c r="K5299" i="11"/>
  <c r="J5301" i="11"/>
  <c r="T5301" i="11"/>
  <c r="K5301" i="11"/>
  <c r="J5303" i="11"/>
  <c r="T5303" i="11" s="1"/>
  <c r="K5303" i="11"/>
  <c r="J5305" i="11"/>
  <c r="T5305" i="11"/>
  <c r="K5305" i="11"/>
  <c r="J5307" i="11"/>
  <c r="T5307" i="11" s="1"/>
  <c r="K5307" i="11"/>
  <c r="J5309" i="11"/>
  <c r="T5309" i="11"/>
  <c r="K5309" i="11"/>
  <c r="J5311" i="11"/>
  <c r="T5311" i="11" s="1"/>
  <c r="K5311" i="11"/>
  <c r="J5313" i="11"/>
  <c r="T5313" i="11"/>
  <c r="K5313" i="11"/>
  <c r="J5315" i="11"/>
  <c r="T5315" i="11" s="1"/>
  <c r="K5315" i="11"/>
  <c r="J5317" i="11"/>
  <c r="T5317" i="11"/>
  <c r="K5317" i="11"/>
  <c r="J5319" i="11"/>
  <c r="T5319" i="11" s="1"/>
  <c r="K5319" i="11"/>
  <c r="J5321" i="11"/>
  <c r="T5321" i="11"/>
  <c r="K5321" i="11"/>
  <c r="J5323" i="11"/>
  <c r="T5323" i="11" s="1"/>
  <c r="K5323" i="11"/>
  <c r="J5325" i="11"/>
  <c r="T5325" i="11"/>
  <c r="K5325" i="11"/>
  <c r="J5327" i="11"/>
  <c r="T5327" i="11" s="1"/>
  <c r="K5327" i="11"/>
  <c r="J5329" i="11"/>
  <c r="T5329" i="11"/>
  <c r="K5329" i="11"/>
  <c r="J5331" i="11"/>
  <c r="T5331" i="11" s="1"/>
  <c r="K5331" i="11"/>
  <c r="J5333" i="11"/>
  <c r="T5333" i="11"/>
  <c r="K5333" i="11"/>
  <c r="J5335" i="11"/>
  <c r="T5335" i="11" s="1"/>
  <c r="K5335" i="11"/>
  <c r="J5337" i="11"/>
  <c r="T5337" i="11"/>
  <c r="K5337" i="11"/>
  <c r="J5339" i="11"/>
  <c r="T5339" i="11" s="1"/>
  <c r="K5339" i="11"/>
  <c r="J5341" i="11"/>
  <c r="T5341" i="11"/>
  <c r="K5341" i="11"/>
  <c r="J5343" i="11"/>
  <c r="T5343" i="11" s="1"/>
  <c r="K5343" i="11"/>
  <c r="J5345" i="11"/>
  <c r="T5345" i="11"/>
  <c r="K5345" i="11"/>
  <c r="J5347" i="11"/>
  <c r="T5347" i="11" s="1"/>
  <c r="K5347" i="11"/>
  <c r="J5349" i="11"/>
  <c r="T5349" i="11"/>
  <c r="K5349" i="11"/>
  <c r="J5351" i="11"/>
  <c r="T5351" i="11" s="1"/>
  <c r="K5351" i="11"/>
  <c r="J5353" i="11"/>
  <c r="T5353" i="11"/>
  <c r="K5353" i="11"/>
  <c r="J5355" i="11"/>
  <c r="T5355" i="11" s="1"/>
  <c r="K5355" i="11"/>
  <c r="J5357" i="11"/>
  <c r="T5357" i="11"/>
  <c r="K5357" i="11"/>
  <c r="J5359" i="11"/>
  <c r="T5359" i="11" s="1"/>
  <c r="K5359" i="11"/>
  <c r="J5361" i="11"/>
  <c r="T5361" i="11"/>
  <c r="K5361" i="11"/>
  <c r="J5363" i="11"/>
  <c r="T5363" i="11" s="1"/>
  <c r="K5363" i="11"/>
  <c r="J5365" i="11"/>
  <c r="T5365" i="11"/>
  <c r="K5365" i="11"/>
  <c r="J5367" i="11"/>
  <c r="T5367" i="11" s="1"/>
  <c r="K5367" i="11"/>
  <c r="J5369" i="11"/>
  <c r="T5369" i="11"/>
  <c r="K5369" i="11"/>
  <c r="J5371" i="11"/>
  <c r="T5371" i="11" s="1"/>
  <c r="K5371" i="11"/>
  <c r="J5373" i="11"/>
  <c r="T5373" i="11"/>
  <c r="K5373" i="11"/>
  <c r="J5375" i="11"/>
  <c r="T5375" i="11" s="1"/>
  <c r="K5375" i="11"/>
  <c r="J5377" i="11"/>
  <c r="T5377" i="11"/>
  <c r="K5377" i="11"/>
  <c r="J5379" i="11"/>
  <c r="T5379" i="11" s="1"/>
  <c r="K5379" i="11"/>
  <c r="J5381" i="11"/>
  <c r="T5381" i="11"/>
  <c r="K5381" i="11"/>
  <c r="J5383" i="11"/>
  <c r="T5383" i="11" s="1"/>
  <c r="K5383" i="11"/>
  <c r="J5385" i="11"/>
  <c r="T5385" i="11"/>
  <c r="K5385" i="11"/>
  <c r="J5387" i="11"/>
  <c r="T5387" i="11" s="1"/>
  <c r="K5387" i="11"/>
  <c r="J5389" i="11"/>
  <c r="T5389" i="11"/>
  <c r="K5389" i="11"/>
  <c r="J5391" i="11"/>
  <c r="T5391" i="11" s="1"/>
  <c r="K5391" i="11"/>
  <c r="J5393" i="11"/>
  <c r="T5393" i="11"/>
  <c r="K5393" i="11"/>
  <c r="J5395" i="11"/>
  <c r="T5395" i="11" s="1"/>
  <c r="K5395" i="11"/>
  <c r="J5397" i="11"/>
  <c r="T5397" i="11"/>
  <c r="K5397" i="11"/>
  <c r="J5399" i="11"/>
  <c r="T5399" i="11" s="1"/>
  <c r="K5399" i="11"/>
  <c r="J5401" i="11"/>
  <c r="T5401" i="11"/>
  <c r="K5401" i="11"/>
  <c r="J5403" i="11"/>
  <c r="T5403" i="11" s="1"/>
  <c r="K5403" i="11"/>
  <c r="J5405" i="11"/>
  <c r="T5405" i="11"/>
  <c r="K5405" i="11"/>
  <c r="J5407" i="11"/>
  <c r="T5407" i="11" s="1"/>
  <c r="K5407" i="11"/>
  <c r="J5409" i="11"/>
  <c r="T5409" i="11"/>
  <c r="K5409" i="11"/>
  <c r="J5411" i="11"/>
  <c r="T5411" i="11" s="1"/>
  <c r="K5411" i="11"/>
  <c r="J5413" i="11"/>
  <c r="T5413" i="11"/>
  <c r="K5413" i="11"/>
  <c r="J5415" i="11"/>
  <c r="T5415" i="11" s="1"/>
  <c r="K5415" i="11"/>
  <c r="J5417" i="11"/>
  <c r="T5417" i="11"/>
  <c r="K5417" i="11"/>
  <c r="J5419" i="11"/>
  <c r="T5419" i="11" s="1"/>
  <c r="K5419" i="11"/>
  <c r="J5421" i="11"/>
  <c r="T5421" i="11"/>
  <c r="K5421" i="11"/>
  <c r="J5423" i="11"/>
  <c r="T5423" i="11" s="1"/>
  <c r="K5423" i="11"/>
  <c r="J5425" i="11"/>
  <c r="T5425" i="11"/>
  <c r="K5425" i="11"/>
  <c r="J5427" i="11"/>
  <c r="T5427" i="11" s="1"/>
  <c r="K5427" i="11"/>
  <c r="J5429" i="11"/>
  <c r="T5429" i="11"/>
  <c r="K5429" i="11"/>
  <c r="J5431" i="11"/>
  <c r="T5431" i="11" s="1"/>
  <c r="K5431" i="11"/>
  <c r="J5433" i="11"/>
  <c r="T5433" i="11"/>
  <c r="K5433" i="11"/>
  <c r="J5435" i="11"/>
  <c r="T5435" i="11" s="1"/>
  <c r="K5435" i="11"/>
  <c r="J5437" i="11"/>
  <c r="T5437" i="11"/>
  <c r="K5437" i="11"/>
  <c r="J5439" i="11"/>
  <c r="T5439" i="11" s="1"/>
  <c r="K5439" i="11"/>
  <c r="J5441" i="11"/>
  <c r="T5441" i="11"/>
  <c r="K5441" i="11"/>
  <c r="J5443" i="11"/>
  <c r="T5443" i="11" s="1"/>
  <c r="K5443" i="11"/>
  <c r="J5445" i="11"/>
  <c r="T5445" i="11"/>
  <c r="K5445" i="11"/>
  <c r="J5447" i="11"/>
  <c r="T5447" i="11" s="1"/>
  <c r="K5447" i="11"/>
  <c r="J5449" i="11"/>
  <c r="T5449" i="11"/>
  <c r="K5449" i="11"/>
  <c r="J5451" i="11"/>
  <c r="T5451" i="11" s="1"/>
  <c r="K5451" i="11"/>
  <c r="J5453" i="11"/>
  <c r="T5453" i="11"/>
  <c r="K5453" i="11"/>
  <c r="J5455" i="11"/>
  <c r="T5455" i="11" s="1"/>
  <c r="K5455" i="11"/>
  <c r="J5457" i="11"/>
  <c r="T5457" i="11"/>
  <c r="K5457" i="11"/>
  <c r="J5459" i="11"/>
  <c r="T5459" i="11" s="1"/>
  <c r="K5459" i="11"/>
  <c r="J5461" i="11"/>
  <c r="T5461" i="11"/>
  <c r="K5461" i="11"/>
  <c r="J5463" i="11"/>
  <c r="T5463" i="11" s="1"/>
  <c r="K5463" i="11"/>
  <c r="J5465" i="11"/>
  <c r="T5465" i="11"/>
  <c r="K5465" i="11"/>
  <c r="J5467" i="11"/>
  <c r="T5467" i="11" s="1"/>
  <c r="K5467" i="11"/>
  <c r="J5469" i="11"/>
  <c r="T5469" i="11"/>
  <c r="K5469" i="11"/>
  <c r="J5471" i="11"/>
  <c r="T5471" i="11" s="1"/>
  <c r="K5471" i="11"/>
  <c r="J5473" i="11"/>
  <c r="T5473" i="11"/>
  <c r="K5473" i="11"/>
  <c r="J5475" i="11"/>
  <c r="T5475" i="11" s="1"/>
  <c r="K5475" i="11"/>
  <c r="J5477" i="11"/>
  <c r="T5477" i="11"/>
  <c r="K5477" i="11"/>
  <c r="J5479" i="11"/>
  <c r="T5479" i="11" s="1"/>
  <c r="K5479" i="11"/>
  <c r="J5481" i="11"/>
  <c r="T5481" i="11"/>
  <c r="K5481" i="11"/>
  <c r="J5483" i="11"/>
  <c r="T5483" i="11" s="1"/>
  <c r="K5483" i="11"/>
  <c r="J5485" i="11"/>
  <c r="T5485" i="11"/>
  <c r="K5485" i="11"/>
  <c r="J5487" i="11"/>
  <c r="T5487" i="11" s="1"/>
  <c r="K5487" i="11"/>
  <c r="J5489" i="11"/>
  <c r="T5489" i="11"/>
  <c r="K5489" i="11"/>
  <c r="J5491" i="11"/>
  <c r="T5491" i="11" s="1"/>
  <c r="K5491" i="11"/>
  <c r="J5493" i="11"/>
  <c r="T5493" i="11"/>
  <c r="K5493" i="11"/>
  <c r="J5495" i="11"/>
  <c r="T5495" i="11" s="1"/>
  <c r="K5495" i="11"/>
  <c r="J5497" i="11"/>
  <c r="T5497" i="11"/>
  <c r="K5497" i="11"/>
  <c r="J5499" i="11"/>
  <c r="T5499" i="11" s="1"/>
  <c r="K5499" i="11"/>
  <c r="J5501" i="11"/>
  <c r="T5501" i="11"/>
  <c r="K5501" i="11"/>
  <c r="J5503" i="11"/>
  <c r="T5503" i="11" s="1"/>
  <c r="K5503" i="11"/>
  <c r="J5505" i="11"/>
  <c r="T5505" i="11"/>
  <c r="K5505" i="11"/>
  <c r="J5507" i="11"/>
  <c r="T5507" i="11" s="1"/>
  <c r="K5507" i="11"/>
  <c r="J5509" i="11"/>
  <c r="T5509" i="11"/>
  <c r="K5509" i="11"/>
  <c r="J5511" i="11"/>
  <c r="T5511" i="11" s="1"/>
  <c r="K5511" i="11"/>
  <c r="J5513" i="11"/>
  <c r="T5513" i="11"/>
  <c r="K5513" i="11"/>
  <c r="J5515" i="11"/>
  <c r="T5515" i="11" s="1"/>
  <c r="K5515" i="11"/>
  <c r="J5517" i="11"/>
  <c r="T5517" i="11"/>
  <c r="K5517" i="11"/>
  <c r="J5519" i="11"/>
  <c r="T5519" i="11" s="1"/>
  <c r="K5519" i="11"/>
  <c r="J5521" i="11"/>
  <c r="T5521" i="11"/>
  <c r="K5521" i="11"/>
  <c r="J5523" i="11"/>
  <c r="T5523" i="11" s="1"/>
  <c r="K5523" i="11"/>
  <c r="J5525" i="11"/>
  <c r="T5525" i="11"/>
  <c r="K5525" i="11"/>
  <c r="J5527" i="11"/>
  <c r="T5527" i="11" s="1"/>
  <c r="K5527" i="11"/>
  <c r="J5529" i="11"/>
  <c r="T5529" i="11"/>
  <c r="K5529" i="11"/>
  <c r="J5531" i="11"/>
  <c r="T5531" i="11" s="1"/>
  <c r="K5531" i="11"/>
  <c r="J5533" i="11"/>
  <c r="T5533" i="11"/>
  <c r="K5533" i="11"/>
  <c r="J5535" i="11"/>
  <c r="T5535" i="11" s="1"/>
  <c r="K5535" i="11"/>
  <c r="J5537" i="11"/>
  <c r="T5537" i="11"/>
  <c r="K5537" i="11"/>
  <c r="J5539" i="11"/>
  <c r="T5539" i="11" s="1"/>
  <c r="K5539" i="11"/>
  <c r="J5541" i="11"/>
  <c r="T5541" i="11"/>
  <c r="K5541" i="11"/>
  <c r="J5543" i="11"/>
  <c r="T5543" i="11" s="1"/>
  <c r="K5543" i="11"/>
  <c r="J5545" i="11"/>
  <c r="T5545" i="11"/>
  <c r="K5545" i="11"/>
  <c r="J5547" i="11"/>
  <c r="T5547" i="11" s="1"/>
  <c r="K5547" i="11"/>
  <c r="J5549" i="11"/>
  <c r="T5549" i="11"/>
  <c r="K5549" i="11"/>
  <c r="J5551" i="11"/>
  <c r="T5551" i="11" s="1"/>
  <c r="K5551" i="11"/>
  <c r="J5553" i="11"/>
  <c r="T5553" i="11"/>
  <c r="K5553" i="11"/>
  <c r="J5555" i="11"/>
  <c r="T5555" i="11" s="1"/>
  <c r="K5555" i="11"/>
  <c r="J5557" i="11"/>
  <c r="T5557" i="11"/>
  <c r="K5557" i="11"/>
  <c r="J5559" i="11"/>
  <c r="T5559" i="11" s="1"/>
  <c r="K5559" i="11"/>
  <c r="J5561" i="11"/>
  <c r="T5561" i="11"/>
  <c r="K5561" i="11"/>
  <c r="J5563" i="11"/>
  <c r="T5563" i="11" s="1"/>
  <c r="K5563" i="11"/>
  <c r="J5565" i="11"/>
  <c r="T5565" i="11"/>
  <c r="K5565" i="11"/>
  <c r="J5567" i="11"/>
  <c r="T5567" i="11" s="1"/>
  <c r="K5567" i="11"/>
  <c r="J5569" i="11"/>
  <c r="T5569" i="11"/>
  <c r="K5569" i="11"/>
  <c r="J5571" i="11"/>
  <c r="T5571" i="11" s="1"/>
  <c r="K5571" i="11"/>
  <c r="J5573" i="11"/>
  <c r="T5573" i="11"/>
  <c r="K5573" i="11"/>
  <c r="J5575" i="11"/>
  <c r="T5575" i="11" s="1"/>
  <c r="K5575" i="11"/>
  <c r="J5577" i="11"/>
  <c r="T5577" i="11"/>
  <c r="K5577" i="11"/>
  <c r="J5579" i="11"/>
  <c r="T5579" i="11" s="1"/>
  <c r="K5579" i="11"/>
  <c r="J5581" i="11"/>
  <c r="T5581" i="11"/>
  <c r="K5581" i="11"/>
  <c r="J5583" i="11"/>
  <c r="T5583" i="11" s="1"/>
  <c r="K5583" i="11"/>
  <c r="J5585" i="11"/>
  <c r="T5585" i="11"/>
  <c r="K5585" i="11"/>
  <c r="J5587" i="11"/>
  <c r="T5587" i="11" s="1"/>
  <c r="K5587" i="11"/>
  <c r="J5589" i="11"/>
  <c r="T5589" i="11"/>
  <c r="K5589" i="11"/>
  <c r="J5591" i="11"/>
  <c r="T5591" i="11" s="1"/>
  <c r="K5591" i="11"/>
  <c r="J5593" i="11"/>
  <c r="T5593" i="11"/>
  <c r="K5593" i="11"/>
  <c r="J5595" i="11"/>
  <c r="T5595" i="11" s="1"/>
  <c r="K5595" i="11"/>
  <c r="J5597" i="11"/>
  <c r="T5597" i="11"/>
  <c r="K5597" i="11"/>
  <c r="J5599" i="11"/>
  <c r="T5599" i="11" s="1"/>
  <c r="K5599" i="11"/>
  <c r="J5601" i="11"/>
  <c r="T5601" i="11"/>
  <c r="K5601" i="11"/>
  <c r="J5603" i="11"/>
  <c r="T5603" i="11" s="1"/>
  <c r="K5603" i="11"/>
  <c r="J5605" i="11"/>
  <c r="T5605" i="11"/>
  <c r="K5605" i="11"/>
  <c r="J5607" i="11"/>
  <c r="T5607" i="11" s="1"/>
  <c r="K5607" i="11"/>
  <c r="J5609" i="11"/>
  <c r="T5609" i="11"/>
  <c r="K5609" i="11"/>
  <c r="J5611" i="11"/>
  <c r="T5611" i="11" s="1"/>
  <c r="K5611" i="11"/>
  <c r="J5613" i="11"/>
  <c r="T5613" i="11"/>
  <c r="K5613" i="11"/>
  <c r="J5615" i="11"/>
  <c r="T5615" i="11" s="1"/>
  <c r="K5615" i="11"/>
  <c r="J5617" i="11"/>
  <c r="T5617" i="11"/>
  <c r="K5617" i="11"/>
  <c r="J5619" i="11"/>
  <c r="T5619" i="11" s="1"/>
  <c r="K5619" i="11"/>
  <c r="J5621" i="11"/>
  <c r="T5621" i="11"/>
  <c r="K5621" i="11"/>
  <c r="J5623" i="11"/>
  <c r="T5623" i="11" s="1"/>
  <c r="K5623" i="11"/>
  <c r="J5625" i="11"/>
  <c r="T5625" i="11"/>
  <c r="K5625" i="11"/>
  <c r="J5627" i="11"/>
  <c r="T5627" i="11" s="1"/>
  <c r="K5627" i="11"/>
  <c r="J5629" i="11"/>
  <c r="T5629" i="11"/>
  <c r="K5629" i="11"/>
  <c r="J5631" i="11"/>
  <c r="T5631" i="11" s="1"/>
  <c r="K5631" i="11"/>
  <c r="J5633" i="11"/>
  <c r="T5633" i="11"/>
  <c r="K5633" i="11"/>
  <c r="J5635" i="11"/>
  <c r="T5635" i="11" s="1"/>
  <c r="K5635" i="11"/>
  <c r="J5637" i="11"/>
  <c r="T5637" i="11"/>
  <c r="K5637" i="11"/>
  <c r="J5639" i="11"/>
  <c r="T5639" i="11" s="1"/>
  <c r="K5639" i="11"/>
  <c r="J5641" i="11"/>
  <c r="T5641" i="11"/>
  <c r="K5641" i="11"/>
  <c r="J5643" i="11"/>
  <c r="T5643" i="11" s="1"/>
  <c r="K5643" i="11"/>
  <c r="J5645" i="11"/>
  <c r="T5645" i="11"/>
  <c r="K5645" i="11"/>
  <c r="J5647" i="11"/>
  <c r="T5647" i="11" s="1"/>
  <c r="K5647" i="11"/>
  <c r="J5649" i="11"/>
  <c r="T5649" i="11"/>
  <c r="K5649" i="11"/>
  <c r="J5651" i="11"/>
  <c r="T5651" i="11" s="1"/>
  <c r="K5651" i="11"/>
  <c r="J5653" i="11"/>
  <c r="T5653" i="11"/>
  <c r="K5653" i="11"/>
  <c r="J5655" i="11"/>
  <c r="T5655" i="11" s="1"/>
  <c r="K5655" i="11"/>
  <c r="J5657" i="11"/>
  <c r="T5657" i="11"/>
  <c r="K5657" i="11"/>
  <c r="J5659" i="11"/>
  <c r="T5659" i="11" s="1"/>
  <c r="K5659" i="11"/>
  <c r="J5661" i="11"/>
  <c r="T5661" i="11"/>
  <c r="K5661" i="11"/>
  <c r="J5663" i="11"/>
  <c r="T5663" i="11" s="1"/>
  <c r="K5663" i="11"/>
  <c r="J5665" i="11"/>
  <c r="T5665" i="11"/>
  <c r="K5665" i="11"/>
  <c r="J5667" i="11"/>
  <c r="T5667" i="11" s="1"/>
  <c r="K5667" i="11"/>
  <c r="J5669" i="11"/>
  <c r="T5669" i="11"/>
  <c r="K5669" i="11"/>
  <c r="J5671" i="11"/>
  <c r="T5671" i="11" s="1"/>
  <c r="K5671" i="11"/>
  <c r="J5673" i="11"/>
  <c r="T5673" i="11"/>
  <c r="K5673" i="11"/>
  <c r="J5675" i="11"/>
  <c r="T5675" i="11" s="1"/>
  <c r="K5675" i="11"/>
  <c r="J5677" i="11"/>
  <c r="T5677" i="11"/>
  <c r="K5677" i="11"/>
  <c r="J5679" i="11"/>
  <c r="T5679" i="11" s="1"/>
  <c r="K5679" i="11"/>
  <c r="J5681" i="11"/>
  <c r="T5681" i="11"/>
  <c r="K5681" i="11"/>
  <c r="J5683" i="11"/>
  <c r="T5683" i="11" s="1"/>
  <c r="K5683" i="11"/>
  <c r="J5685" i="11"/>
  <c r="T5685" i="11"/>
  <c r="K5685" i="11"/>
  <c r="J5687" i="11"/>
  <c r="T5687" i="11" s="1"/>
  <c r="K5687" i="11"/>
  <c r="J5689" i="11"/>
  <c r="T5689" i="11"/>
  <c r="K5689" i="11"/>
  <c r="J5691" i="11"/>
  <c r="T5691" i="11" s="1"/>
  <c r="K5691" i="11"/>
  <c r="J5693" i="11"/>
  <c r="T5693" i="11"/>
  <c r="K5693" i="11"/>
  <c r="J5695" i="11"/>
  <c r="T5695" i="11" s="1"/>
  <c r="K5695" i="11"/>
  <c r="J5697" i="11"/>
  <c r="T5697" i="11"/>
  <c r="K5697" i="11"/>
  <c r="J5699" i="11"/>
  <c r="T5699" i="11" s="1"/>
  <c r="K5699" i="11"/>
  <c r="J5701" i="11"/>
  <c r="T5701" i="11"/>
  <c r="K5701" i="11"/>
  <c r="J5703" i="11"/>
  <c r="T5703" i="11" s="1"/>
  <c r="K5703" i="11"/>
  <c r="J5705" i="11"/>
  <c r="T5705" i="11"/>
  <c r="K5705" i="11"/>
  <c r="J5707" i="11"/>
  <c r="T5707" i="11" s="1"/>
  <c r="K5707" i="11"/>
  <c r="J5709" i="11"/>
  <c r="T5709" i="11"/>
  <c r="K5709" i="11"/>
  <c r="J5711" i="11"/>
  <c r="T5711" i="11" s="1"/>
  <c r="K5711" i="11"/>
  <c r="J5713" i="11"/>
  <c r="T5713" i="11"/>
  <c r="K5713" i="11"/>
  <c r="J5715" i="11"/>
  <c r="T5715" i="11" s="1"/>
  <c r="K5715" i="11"/>
  <c r="J5717" i="11"/>
  <c r="T5717" i="11"/>
  <c r="K5717" i="11"/>
  <c r="J5719" i="11"/>
  <c r="T5719" i="11" s="1"/>
  <c r="K5719" i="11"/>
  <c r="J5721" i="11"/>
  <c r="T5721" i="11"/>
  <c r="K5721" i="11"/>
  <c r="J5723" i="11"/>
  <c r="T5723" i="11" s="1"/>
  <c r="K5723" i="11"/>
  <c r="J5725" i="11"/>
  <c r="T5725" i="11"/>
  <c r="K5725" i="11"/>
  <c r="J5727" i="11"/>
  <c r="T5727" i="11" s="1"/>
  <c r="K5727" i="11"/>
  <c r="J5729" i="11"/>
  <c r="T5729" i="11"/>
  <c r="K5729" i="11"/>
  <c r="J5731" i="11"/>
  <c r="T5731" i="11" s="1"/>
  <c r="K5731" i="11"/>
  <c r="J5733" i="11"/>
  <c r="T5733" i="11"/>
  <c r="K5733" i="11"/>
  <c r="J5735" i="11"/>
  <c r="T5735" i="11" s="1"/>
  <c r="K5735" i="11"/>
  <c r="J5737" i="11"/>
  <c r="T5737" i="11"/>
  <c r="K5737" i="11"/>
  <c r="J5739" i="11"/>
  <c r="T5739" i="11" s="1"/>
  <c r="K5739" i="11"/>
  <c r="J5741" i="11"/>
  <c r="T5741" i="11"/>
  <c r="K5741" i="11"/>
  <c r="J5743" i="11"/>
  <c r="T5743" i="11" s="1"/>
  <c r="K5743" i="11"/>
  <c r="J5745" i="11"/>
  <c r="T5745" i="11"/>
  <c r="K5745" i="11"/>
  <c r="J5747" i="11"/>
  <c r="T5747" i="11" s="1"/>
  <c r="K5747" i="11"/>
  <c r="J5749" i="11"/>
  <c r="T5749" i="11"/>
  <c r="K5749" i="11"/>
  <c r="J5751" i="11"/>
  <c r="T5751" i="11" s="1"/>
  <c r="K5751" i="11"/>
  <c r="J5753" i="11"/>
  <c r="T5753" i="11"/>
  <c r="K5753" i="11"/>
  <c r="J5755" i="11"/>
  <c r="T5755" i="11" s="1"/>
  <c r="K5755" i="11"/>
  <c r="J5757" i="11"/>
  <c r="T5757" i="11"/>
  <c r="K5757" i="11"/>
  <c r="J5759" i="11"/>
  <c r="T5759" i="11" s="1"/>
  <c r="K5759" i="11"/>
  <c r="J5761" i="11"/>
  <c r="T5761" i="11"/>
  <c r="K5761" i="11"/>
  <c r="J5763" i="11"/>
  <c r="T5763" i="11" s="1"/>
  <c r="K5763" i="11"/>
  <c r="J5765" i="11"/>
  <c r="T5765" i="11"/>
  <c r="K5765" i="11"/>
  <c r="J5767" i="11"/>
  <c r="T5767" i="11" s="1"/>
  <c r="K5767" i="11"/>
  <c r="J5769" i="11"/>
  <c r="T5769" i="11"/>
  <c r="K5769" i="11"/>
  <c r="J5771" i="11"/>
  <c r="T5771" i="11" s="1"/>
  <c r="K5771" i="11"/>
  <c r="J5773" i="11"/>
  <c r="T5773" i="11"/>
  <c r="K5773" i="11"/>
  <c r="J5775" i="11"/>
  <c r="T5775" i="11" s="1"/>
  <c r="K5775" i="11"/>
  <c r="J5777" i="11"/>
  <c r="T5777" i="11"/>
  <c r="K5777" i="11"/>
  <c r="J5779" i="11"/>
  <c r="T5779" i="11" s="1"/>
  <c r="K5779" i="11"/>
  <c r="J5781" i="11"/>
  <c r="T5781" i="11"/>
  <c r="K5781" i="11"/>
  <c r="J5783" i="11"/>
  <c r="T5783" i="11" s="1"/>
  <c r="K5783" i="11"/>
  <c r="J5785" i="11"/>
  <c r="T5785" i="11"/>
  <c r="K5785" i="11"/>
  <c r="J5787" i="11"/>
  <c r="T5787" i="11" s="1"/>
  <c r="K5787" i="11"/>
  <c r="J5789" i="11"/>
  <c r="T5789" i="11"/>
  <c r="K5789" i="11"/>
  <c r="J5791" i="11"/>
  <c r="T5791" i="11" s="1"/>
  <c r="K5791" i="11"/>
  <c r="J5793" i="11"/>
  <c r="T5793" i="11"/>
  <c r="K5793" i="11"/>
  <c r="J5795" i="11"/>
  <c r="T5795" i="11" s="1"/>
  <c r="K5795" i="11"/>
  <c r="J5797" i="11"/>
  <c r="T5797" i="11"/>
  <c r="K5797" i="11"/>
  <c r="J5799" i="11"/>
  <c r="T5799" i="11" s="1"/>
  <c r="K5799" i="11"/>
  <c r="J5801" i="11"/>
  <c r="T5801" i="11"/>
  <c r="K5801" i="11"/>
  <c r="J5803" i="11"/>
  <c r="T5803" i="11" s="1"/>
  <c r="K5803" i="11"/>
  <c r="J5805" i="11"/>
  <c r="T5805" i="11"/>
  <c r="K5805" i="11"/>
  <c r="J5807" i="11"/>
  <c r="T5807" i="11" s="1"/>
  <c r="K5807" i="11"/>
  <c r="J5809" i="11"/>
  <c r="T5809" i="11"/>
  <c r="K5809" i="11"/>
  <c r="J5811" i="11"/>
  <c r="T5811" i="11" s="1"/>
  <c r="K5811" i="11"/>
  <c r="J5813" i="11"/>
  <c r="T5813" i="11"/>
  <c r="K5813" i="11"/>
  <c r="J5815" i="11"/>
  <c r="T5815" i="11" s="1"/>
  <c r="K5815" i="11"/>
  <c r="J5817" i="11"/>
  <c r="T5817" i="11"/>
  <c r="K5817" i="11"/>
  <c r="J5819" i="11"/>
  <c r="T5819" i="11" s="1"/>
  <c r="K5819" i="11"/>
  <c r="J5821" i="11"/>
  <c r="T5821" i="11"/>
  <c r="K5821" i="11"/>
  <c r="J5823" i="11"/>
  <c r="T5823" i="11" s="1"/>
  <c r="K5823" i="11"/>
  <c r="J5825" i="11"/>
  <c r="T5825" i="11"/>
  <c r="K5825" i="11"/>
  <c r="J5827" i="11"/>
  <c r="T5827" i="11" s="1"/>
  <c r="K5827" i="11"/>
  <c r="J5829" i="11"/>
  <c r="T5829" i="11"/>
  <c r="K5829" i="11"/>
  <c r="J5831" i="11"/>
  <c r="T5831" i="11" s="1"/>
  <c r="K5831" i="11"/>
  <c r="J5833" i="11"/>
  <c r="T5833" i="11"/>
  <c r="K5833" i="11"/>
  <c r="J5835" i="11"/>
  <c r="T5835" i="11" s="1"/>
  <c r="K5835" i="11"/>
  <c r="J5837" i="11"/>
  <c r="T5837" i="11"/>
  <c r="K5837" i="11"/>
  <c r="J5839" i="11"/>
  <c r="T5839" i="11" s="1"/>
  <c r="K5839" i="11"/>
  <c r="J5841" i="11"/>
  <c r="T5841" i="11"/>
  <c r="K5841" i="11"/>
  <c r="J5843" i="11"/>
  <c r="T5843" i="11" s="1"/>
  <c r="K5843" i="11"/>
  <c r="J5845" i="11"/>
  <c r="T5845" i="11"/>
  <c r="K5845" i="11"/>
  <c r="J5847" i="11"/>
  <c r="T5847" i="11" s="1"/>
  <c r="K5847" i="11"/>
  <c r="J5849" i="11"/>
  <c r="T5849" i="11"/>
  <c r="K5849" i="11"/>
  <c r="J5851" i="11"/>
  <c r="T5851" i="11" s="1"/>
  <c r="K5851" i="11"/>
  <c r="J5853" i="11"/>
  <c r="T5853" i="11"/>
  <c r="K5853" i="11"/>
  <c r="J5855" i="11"/>
  <c r="T5855" i="11" s="1"/>
  <c r="K5855" i="11"/>
  <c r="J5857" i="11"/>
  <c r="T5857" i="11"/>
  <c r="K5857" i="11"/>
  <c r="J5859" i="11"/>
  <c r="T5859" i="11" s="1"/>
  <c r="K5859" i="11"/>
  <c r="J5861" i="11"/>
  <c r="T5861" i="11"/>
  <c r="K5861" i="11"/>
  <c r="J5863" i="11"/>
  <c r="T5863" i="11" s="1"/>
  <c r="K5863" i="11"/>
  <c r="J5865" i="11"/>
  <c r="T5865" i="11"/>
  <c r="K5865" i="11"/>
  <c r="J5867" i="11"/>
  <c r="T5867" i="11" s="1"/>
  <c r="K5867" i="11"/>
  <c r="J5869" i="11"/>
  <c r="T5869" i="11"/>
  <c r="K5869" i="11"/>
  <c r="J5871" i="11"/>
  <c r="T5871" i="11" s="1"/>
  <c r="K5871" i="11"/>
  <c r="J5873" i="11"/>
  <c r="T5873" i="11"/>
  <c r="K5873" i="11"/>
  <c r="J5875" i="11"/>
  <c r="T5875" i="11" s="1"/>
  <c r="K5875" i="11"/>
  <c r="J5877" i="11"/>
  <c r="T5877" i="11"/>
  <c r="K5877" i="11"/>
  <c r="J5879" i="11"/>
  <c r="T5879" i="11" s="1"/>
  <c r="K5879" i="11"/>
  <c r="J5881" i="11"/>
  <c r="T5881" i="11"/>
  <c r="K5881" i="11"/>
  <c r="J5883" i="11"/>
  <c r="T5883" i="11" s="1"/>
  <c r="K5883" i="11"/>
  <c r="J5885" i="11"/>
  <c r="T5885" i="11"/>
  <c r="K5885" i="11"/>
  <c r="J5887" i="11"/>
  <c r="T5887" i="11" s="1"/>
  <c r="K5887" i="11"/>
  <c r="J5889" i="11"/>
  <c r="T5889" i="11"/>
  <c r="K5889" i="11"/>
  <c r="J5891" i="11"/>
  <c r="T5891" i="11" s="1"/>
  <c r="K5891" i="11"/>
  <c r="J5893" i="11"/>
  <c r="T5893" i="11"/>
  <c r="K5893" i="11"/>
  <c r="J5895" i="11"/>
  <c r="T5895" i="11" s="1"/>
  <c r="K5895" i="11"/>
  <c r="J5897" i="11"/>
  <c r="T5897" i="11"/>
  <c r="K5897" i="11"/>
  <c r="J5899" i="11"/>
  <c r="T5899" i="11" s="1"/>
  <c r="K5899" i="11"/>
  <c r="J5901" i="11"/>
  <c r="T5901" i="11"/>
  <c r="K5901" i="11"/>
  <c r="J5903" i="11"/>
  <c r="T5903" i="11" s="1"/>
  <c r="K5903" i="11"/>
  <c r="J5905" i="11"/>
  <c r="T5905" i="11"/>
  <c r="K5905" i="11"/>
  <c r="J5907" i="11"/>
  <c r="T5907" i="11" s="1"/>
  <c r="K5907" i="11"/>
  <c r="J5909" i="11"/>
  <c r="T5909" i="11"/>
  <c r="K5909" i="11"/>
  <c r="J5911" i="11"/>
  <c r="T5911" i="11" s="1"/>
  <c r="K5911" i="11"/>
  <c r="J5913" i="11"/>
  <c r="T5913" i="11"/>
  <c r="K5913" i="11"/>
  <c r="J5915" i="11"/>
  <c r="T5915" i="11" s="1"/>
  <c r="K5915" i="11"/>
  <c r="J5917" i="11"/>
  <c r="T5917" i="11"/>
  <c r="K5917" i="11"/>
  <c r="J5919" i="11"/>
  <c r="T5919" i="11" s="1"/>
  <c r="K5919" i="11"/>
  <c r="J5921" i="11"/>
  <c r="T5921" i="11"/>
  <c r="K5921" i="11"/>
  <c r="J5923" i="11"/>
  <c r="T5923" i="11" s="1"/>
  <c r="K5923" i="11"/>
  <c r="J5925" i="11"/>
  <c r="T5925" i="11"/>
  <c r="K5925" i="11"/>
  <c r="J5927" i="11"/>
  <c r="T5927" i="11" s="1"/>
  <c r="K5927" i="11"/>
  <c r="J5929" i="11"/>
  <c r="T5929" i="11"/>
  <c r="K5929" i="11"/>
  <c r="J5931" i="11"/>
  <c r="T5931" i="11" s="1"/>
  <c r="K5931" i="11"/>
  <c r="J5933" i="11"/>
  <c r="T5933" i="11"/>
  <c r="K5933" i="11"/>
  <c r="J5935" i="11"/>
  <c r="T5935" i="11" s="1"/>
  <c r="K5935" i="11"/>
  <c r="J5937" i="11"/>
  <c r="T5937" i="11"/>
  <c r="K5937" i="11"/>
  <c r="J5939" i="11"/>
  <c r="T5939" i="11" s="1"/>
  <c r="K5939" i="11"/>
  <c r="J5941" i="11"/>
  <c r="T5941" i="11"/>
  <c r="K5941" i="11"/>
  <c r="J5943" i="11"/>
  <c r="T5943" i="11" s="1"/>
  <c r="K5943" i="11"/>
  <c r="J5945" i="11"/>
  <c r="T5945" i="11"/>
  <c r="K5945" i="11"/>
  <c r="J5947" i="11"/>
  <c r="T5947" i="11" s="1"/>
  <c r="K5947" i="11"/>
  <c r="J5949" i="11"/>
  <c r="T5949" i="11"/>
  <c r="K5949" i="11"/>
  <c r="J5951" i="11"/>
  <c r="T5951" i="11" s="1"/>
  <c r="K5951" i="11"/>
  <c r="J5953" i="11"/>
  <c r="T5953" i="11"/>
  <c r="K5953" i="11"/>
  <c r="J5955" i="11"/>
  <c r="T5955" i="11" s="1"/>
  <c r="K5955" i="11"/>
  <c r="J5957" i="11"/>
  <c r="T5957" i="11"/>
  <c r="K5957" i="11"/>
  <c r="J5959" i="11"/>
  <c r="T5959" i="11" s="1"/>
  <c r="K5959" i="11"/>
  <c r="J5961" i="11"/>
  <c r="T5961" i="11"/>
  <c r="K5961" i="11"/>
  <c r="J5963" i="11"/>
  <c r="T5963" i="11" s="1"/>
  <c r="K5963" i="11"/>
  <c r="J5965" i="11"/>
  <c r="T5965" i="11"/>
  <c r="K5965" i="11"/>
  <c r="J5967" i="11"/>
  <c r="T5967" i="11" s="1"/>
  <c r="K5967" i="11"/>
  <c r="J5969" i="11"/>
  <c r="T5969" i="11"/>
  <c r="K5969" i="11"/>
  <c r="J5971" i="11"/>
  <c r="T5971" i="11" s="1"/>
  <c r="K5971" i="11"/>
  <c r="J5973" i="11"/>
  <c r="T5973" i="11"/>
  <c r="K5973" i="11"/>
  <c r="J5975" i="11"/>
  <c r="T5975" i="11" s="1"/>
  <c r="K5975" i="11"/>
  <c r="J5977" i="11"/>
  <c r="T5977" i="11"/>
  <c r="K5977" i="11"/>
  <c r="J5979" i="11"/>
  <c r="T5979" i="11" s="1"/>
  <c r="K5979" i="11"/>
  <c r="J5981" i="11"/>
  <c r="T5981" i="11"/>
  <c r="K5981" i="11"/>
  <c r="J5983" i="11"/>
  <c r="T5983" i="11" s="1"/>
  <c r="K5983" i="11"/>
  <c r="J5985" i="11"/>
  <c r="T5985" i="11"/>
  <c r="K5985" i="11"/>
  <c r="J5987" i="11"/>
  <c r="T5987" i="11" s="1"/>
  <c r="K5987" i="11"/>
  <c r="J5989" i="11"/>
  <c r="T5989" i="11"/>
  <c r="K5989" i="11"/>
  <c r="J5991" i="11"/>
  <c r="T5991" i="11" s="1"/>
  <c r="K5991" i="11"/>
  <c r="J5993" i="11"/>
  <c r="T5993" i="11"/>
  <c r="K5993" i="11"/>
  <c r="J5995" i="11"/>
  <c r="T5995" i="11" s="1"/>
  <c r="K5995" i="11"/>
  <c r="J5997" i="11"/>
  <c r="T5997" i="11"/>
  <c r="K5997" i="11"/>
  <c r="J5999" i="11"/>
  <c r="T5999" i="11" s="1"/>
  <c r="K5999" i="11"/>
  <c r="J6001" i="11"/>
  <c r="T6001" i="11"/>
  <c r="K6001" i="11"/>
  <c r="J6003" i="11"/>
  <c r="T6003" i="11" s="1"/>
  <c r="K6003" i="11"/>
  <c r="J6005" i="11"/>
  <c r="T6005" i="11"/>
  <c r="K6005" i="11"/>
  <c r="J6007" i="11"/>
  <c r="T6007" i="11" s="1"/>
  <c r="K6007" i="11"/>
  <c r="J6009" i="11"/>
  <c r="T6009" i="11"/>
  <c r="K6009" i="11"/>
  <c r="J6011" i="11"/>
  <c r="T6011" i="11" s="1"/>
  <c r="K6011" i="11"/>
  <c r="J6013" i="11"/>
  <c r="T6013" i="11"/>
  <c r="K6013" i="11"/>
  <c r="J6015" i="11"/>
  <c r="T6015" i="11" s="1"/>
  <c r="K6015" i="11"/>
  <c r="J6017" i="11"/>
  <c r="T6017" i="11"/>
  <c r="K6017" i="11"/>
  <c r="J6019" i="11"/>
  <c r="T6019" i="11" s="1"/>
  <c r="K6019" i="11"/>
  <c r="J6021" i="11"/>
  <c r="T6021" i="11"/>
  <c r="K6021" i="11"/>
  <c r="J6023" i="11"/>
  <c r="T6023" i="11" s="1"/>
  <c r="K6023" i="11"/>
  <c r="J6025" i="11"/>
  <c r="T6025" i="11"/>
  <c r="K6025" i="11"/>
  <c r="J6027" i="11"/>
  <c r="T6027" i="11" s="1"/>
  <c r="K6027" i="11"/>
  <c r="J6029" i="11"/>
  <c r="T6029" i="11"/>
  <c r="K6029" i="11"/>
  <c r="J6031" i="11"/>
  <c r="T6031" i="11" s="1"/>
  <c r="K6031" i="11"/>
  <c r="J6033" i="11"/>
  <c r="T6033" i="11"/>
  <c r="K6033" i="11"/>
  <c r="J6035" i="11"/>
  <c r="T6035" i="11" s="1"/>
  <c r="K6035" i="11"/>
  <c r="J6037" i="11"/>
  <c r="T6037" i="11"/>
  <c r="K6037" i="11"/>
  <c r="J6039" i="11"/>
  <c r="T6039" i="11" s="1"/>
  <c r="K6039" i="11"/>
  <c r="J6041" i="11"/>
  <c r="T6041" i="11"/>
  <c r="K6041" i="11"/>
  <c r="J6043" i="11"/>
  <c r="T6043" i="11" s="1"/>
  <c r="K6043" i="11"/>
  <c r="J6045" i="11"/>
  <c r="T6045" i="11"/>
  <c r="K6045" i="11"/>
  <c r="J6047" i="11"/>
  <c r="T6047" i="11" s="1"/>
  <c r="K6047" i="11"/>
  <c r="J6049" i="11"/>
  <c r="T6049" i="11"/>
  <c r="K6049" i="11"/>
  <c r="J6051" i="11"/>
  <c r="T6051" i="11" s="1"/>
  <c r="K6051" i="11"/>
  <c r="J6053" i="11"/>
  <c r="T6053" i="11"/>
  <c r="K6053" i="11"/>
  <c r="J6055" i="11"/>
  <c r="T6055" i="11" s="1"/>
  <c r="K6055" i="11"/>
  <c r="J6057" i="11"/>
  <c r="T6057" i="11"/>
  <c r="K6057" i="11"/>
  <c r="J6059" i="11"/>
  <c r="T6059" i="11" s="1"/>
  <c r="K6059" i="11"/>
  <c r="J6061" i="11"/>
  <c r="T6061" i="11"/>
  <c r="K6061" i="11"/>
  <c r="J6063" i="11"/>
  <c r="T6063" i="11" s="1"/>
  <c r="K6063" i="11"/>
  <c r="J6065" i="11"/>
  <c r="T6065" i="11"/>
  <c r="K6065" i="11"/>
  <c r="J6067" i="11"/>
  <c r="T6067" i="11" s="1"/>
  <c r="K6067" i="11"/>
  <c r="J6069" i="11"/>
  <c r="T6069" i="11"/>
  <c r="K6069" i="11"/>
  <c r="J6071" i="11"/>
  <c r="T6071" i="11" s="1"/>
  <c r="K6071" i="11"/>
  <c r="J6073" i="11"/>
  <c r="T6073" i="11"/>
  <c r="K6073" i="11"/>
  <c r="J6075" i="11"/>
  <c r="T6075" i="11" s="1"/>
  <c r="K6075" i="11"/>
  <c r="J6077" i="11"/>
  <c r="T6077" i="11"/>
  <c r="K6077" i="11"/>
  <c r="J6079" i="11"/>
  <c r="T6079" i="11" s="1"/>
  <c r="K6079" i="11"/>
  <c r="J6081" i="11"/>
  <c r="T6081" i="11"/>
  <c r="K6081" i="11"/>
  <c r="J6083" i="11"/>
  <c r="T6083" i="11" s="1"/>
  <c r="K6083" i="11"/>
  <c r="J6085" i="11"/>
  <c r="T6085" i="11"/>
  <c r="K6085" i="11"/>
  <c r="J6087" i="11"/>
  <c r="T6087" i="11" s="1"/>
  <c r="K6087" i="11"/>
  <c r="J6089" i="11"/>
  <c r="T6089" i="11"/>
  <c r="K6089" i="11"/>
  <c r="J6091" i="11"/>
  <c r="T6091" i="11" s="1"/>
  <c r="K6091" i="11"/>
  <c r="J6093" i="11"/>
  <c r="T6093" i="11"/>
  <c r="K6093" i="11"/>
  <c r="J6095" i="11"/>
  <c r="T6095" i="11" s="1"/>
  <c r="K6095" i="11"/>
  <c r="J6097" i="11"/>
  <c r="T6097" i="11"/>
  <c r="K6097" i="11"/>
  <c r="J6099" i="11"/>
  <c r="T6099" i="11" s="1"/>
  <c r="K6099" i="11"/>
  <c r="J6101" i="11"/>
  <c r="T6101" i="11"/>
  <c r="K6101" i="11"/>
  <c r="J6103" i="11"/>
  <c r="T6103" i="11" s="1"/>
  <c r="K6103" i="11"/>
  <c r="J6105" i="11"/>
  <c r="T6105" i="11"/>
  <c r="K6105" i="11"/>
  <c r="J6107" i="11"/>
  <c r="T6107" i="11" s="1"/>
  <c r="K6107" i="11"/>
  <c r="J6109" i="11"/>
  <c r="T6109" i="11"/>
  <c r="K6109" i="11"/>
  <c r="J6111" i="11"/>
  <c r="T6111" i="11" s="1"/>
  <c r="K6111" i="11"/>
  <c r="J6113" i="11"/>
  <c r="T6113" i="11"/>
  <c r="K6113" i="11"/>
  <c r="J6115" i="11"/>
  <c r="T6115" i="11" s="1"/>
  <c r="K6115" i="11"/>
  <c r="J6117" i="11"/>
  <c r="T6117" i="11"/>
  <c r="K6117" i="11"/>
  <c r="J6119" i="11"/>
  <c r="T6119" i="11" s="1"/>
  <c r="K6119" i="11"/>
  <c r="J6121" i="11"/>
  <c r="T6121" i="11"/>
  <c r="K6121" i="11"/>
  <c r="J6123" i="11"/>
  <c r="T6123" i="11" s="1"/>
  <c r="K6123" i="11"/>
  <c r="J6125" i="11"/>
  <c r="T6125" i="11"/>
  <c r="K6125" i="11"/>
  <c r="J6127" i="11"/>
  <c r="T6127" i="11" s="1"/>
  <c r="K6127" i="11"/>
  <c r="J6129" i="11"/>
  <c r="T6129" i="11"/>
  <c r="K6129" i="11"/>
  <c r="J6131" i="11"/>
  <c r="T6131" i="11" s="1"/>
  <c r="K6131" i="11"/>
  <c r="J6133" i="11"/>
  <c r="T6133" i="11"/>
  <c r="K6133" i="11"/>
  <c r="J6135" i="11"/>
  <c r="T6135" i="11" s="1"/>
  <c r="K6135" i="11"/>
  <c r="J6137" i="11"/>
  <c r="T6137" i="11"/>
  <c r="K6137" i="11"/>
  <c r="J6139" i="11"/>
  <c r="T6139" i="11" s="1"/>
  <c r="K6139" i="11"/>
  <c r="J6141" i="11"/>
  <c r="T6141" i="11"/>
  <c r="K6141" i="11"/>
  <c r="J6143" i="11"/>
  <c r="T6143" i="11" s="1"/>
  <c r="K6143" i="11"/>
  <c r="J6145" i="11"/>
  <c r="T6145" i="11"/>
  <c r="K6145" i="11"/>
  <c r="J6147" i="11"/>
  <c r="T6147" i="11" s="1"/>
  <c r="K6147" i="11"/>
  <c r="J6149" i="11"/>
  <c r="T6149" i="11"/>
  <c r="K6149" i="11"/>
  <c r="J6151" i="11"/>
  <c r="T6151" i="11" s="1"/>
  <c r="K6151" i="11"/>
  <c r="J6153" i="11"/>
  <c r="T6153" i="11"/>
  <c r="K6153" i="11"/>
  <c r="J6155" i="11"/>
  <c r="T6155" i="11" s="1"/>
  <c r="K6155" i="11"/>
  <c r="J6157" i="11"/>
  <c r="T6157" i="11"/>
  <c r="K6157" i="11"/>
  <c r="J6159" i="11"/>
  <c r="T6159" i="11" s="1"/>
  <c r="K6159" i="11"/>
  <c r="J6161" i="11"/>
  <c r="T6161" i="11"/>
  <c r="K6161" i="11"/>
  <c r="J6163" i="11"/>
  <c r="T6163" i="11" s="1"/>
  <c r="K6163" i="11"/>
  <c r="J6165" i="11"/>
  <c r="T6165" i="11"/>
  <c r="K6165" i="11"/>
  <c r="J6167" i="11"/>
  <c r="T6167" i="11" s="1"/>
  <c r="K6167" i="11"/>
  <c r="J6169" i="11"/>
  <c r="T6169" i="11"/>
  <c r="K6169" i="11"/>
  <c r="J6171" i="11"/>
  <c r="T6171" i="11" s="1"/>
  <c r="K6171" i="11"/>
  <c r="J6173" i="11"/>
  <c r="T6173" i="11"/>
  <c r="K6173" i="11"/>
  <c r="J6175" i="11"/>
  <c r="T6175" i="11" s="1"/>
  <c r="K6175" i="11"/>
  <c r="J6177" i="11"/>
  <c r="T6177" i="11"/>
  <c r="K6177" i="11"/>
  <c r="J6179" i="11"/>
  <c r="T6179" i="11" s="1"/>
  <c r="K6179" i="11"/>
  <c r="J6181" i="11"/>
  <c r="T6181" i="11"/>
  <c r="K6181" i="11"/>
  <c r="J6183" i="11"/>
  <c r="T6183" i="11" s="1"/>
  <c r="K6183" i="11"/>
  <c r="J6185" i="11"/>
  <c r="T6185" i="11"/>
  <c r="K6185" i="11"/>
  <c r="J18" i="11"/>
  <c r="T18" i="11" s="1"/>
  <c r="K18" i="11"/>
  <c r="J22" i="11"/>
  <c r="T22" i="11"/>
  <c r="K22" i="11"/>
  <c r="J26" i="11"/>
  <c r="T26" i="11" s="1"/>
  <c r="K26" i="11"/>
  <c r="J30" i="11"/>
  <c r="T30" i="11"/>
  <c r="K30" i="11"/>
  <c r="J34" i="11"/>
  <c r="T34" i="11" s="1"/>
  <c r="K34" i="11"/>
  <c r="J38" i="11"/>
  <c r="T38" i="11"/>
  <c r="K38" i="11"/>
  <c r="J42" i="11"/>
  <c r="T42" i="11" s="1"/>
  <c r="K42" i="11"/>
  <c r="J46" i="11"/>
  <c r="T46" i="11"/>
  <c r="K46" i="11"/>
  <c r="J50" i="11"/>
  <c r="T50" i="11" s="1"/>
  <c r="K50" i="11"/>
  <c r="J54" i="11"/>
  <c r="T54" i="11"/>
  <c r="K54" i="11"/>
  <c r="J58" i="11"/>
  <c r="T58" i="11" s="1"/>
  <c r="K58" i="11"/>
  <c r="J62" i="11"/>
  <c r="T62" i="11"/>
  <c r="K62" i="11"/>
  <c r="J66" i="11"/>
  <c r="T66" i="11" s="1"/>
  <c r="K66" i="11"/>
  <c r="J70" i="11"/>
  <c r="T70" i="11"/>
  <c r="K70" i="11"/>
  <c r="J74" i="11"/>
  <c r="T74" i="11" s="1"/>
  <c r="K74" i="11"/>
  <c r="J78" i="11"/>
  <c r="T78" i="11"/>
  <c r="K78" i="11"/>
  <c r="J82" i="11"/>
  <c r="T82" i="11" s="1"/>
  <c r="K82" i="11"/>
  <c r="J86" i="11"/>
  <c r="T86" i="11"/>
  <c r="K86" i="11"/>
  <c r="J90" i="11"/>
  <c r="T90" i="11" s="1"/>
  <c r="K90" i="11"/>
  <c r="J94" i="11"/>
  <c r="T94" i="11"/>
  <c r="K94" i="11"/>
  <c r="J98" i="11"/>
  <c r="T98" i="11" s="1"/>
  <c r="K98" i="11"/>
  <c r="J102" i="11"/>
  <c r="T102" i="11"/>
  <c r="K102" i="11"/>
  <c r="J106" i="11"/>
  <c r="T106" i="11" s="1"/>
  <c r="K106" i="11"/>
  <c r="J110" i="11"/>
  <c r="T110" i="11"/>
  <c r="K110" i="11"/>
  <c r="J114" i="11"/>
  <c r="T114" i="11" s="1"/>
  <c r="K114" i="11"/>
  <c r="J118" i="11"/>
  <c r="T118" i="11"/>
  <c r="K118" i="11"/>
  <c r="J122" i="11"/>
  <c r="T122" i="11" s="1"/>
  <c r="K122" i="11"/>
  <c r="J126" i="11"/>
  <c r="T126" i="11"/>
  <c r="K126" i="11"/>
  <c r="J130" i="11"/>
  <c r="T130" i="11" s="1"/>
  <c r="K130" i="11"/>
  <c r="J134" i="11"/>
  <c r="T134" i="11"/>
  <c r="K134" i="11"/>
  <c r="J138" i="11"/>
  <c r="T138" i="11" s="1"/>
  <c r="K138" i="11"/>
  <c r="J142" i="11"/>
  <c r="T142" i="11"/>
  <c r="K142" i="11"/>
  <c r="J146" i="11"/>
  <c r="T146" i="11" s="1"/>
  <c r="K146" i="11"/>
  <c r="J150" i="11"/>
  <c r="T150" i="11"/>
  <c r="K150" i="11"/>
  <c r="J154" i="11"/>
  <c r="T154" i="11" s="1"/>
  <c r="K154" i="11"/>
  <c r="J158" i="11"/>
  <c r="T158" i="11"/>
  <c r="K158" i="11"/>
  <c r="J162" i="11"/>
  <c r="T162" i="11" s="1"/>
  <c r="K162" i="11"/>
  <c r="J166" i="11"/>
  <c r="T166" i="11"/>
  <c r="K166" i="11"/>
  <c r="J170" i="11"/>
  <c r="T170" i="11" s="1"/>
  <c r="K170" i="11"/>
  <c r="J174" i="11"/>
  <c r="T174" i="11"/>
  <c r="K174" i="11"/>
  <c r="J178" i="11"/>
  <c r="T178" i="11" s="1"/>
  <c r="K178" i="11"/>
  <c r="J182" i="11"/>
  <c r="T182" i="11"/>
  <c r="K182" i="11"/>
  <c r="J186" i="11"/>
  <c r="T186" i="11" s="1"/>
  <c r="K186" i="11"/>
  <c r="J190" i="11"/>
  <c r="T190" i="11"/>
  <c r="K190" i="11"/>
  <c r="J194" i="11"/>
  <c r="T194" i="11" s="1"/>
  <c r="K194" i="11"/>
  <c r="J198" i="11"/>
  <c r="T198" i="11"/>
  <c r="K198" i="11"/>
  <c r="J202" i="11"/>
  <c r="T202" i="11" s="1"/>
  <c r="K202" i="11"/>
  <c r="J206" i="11"/>
  <c r="T206" i="11"/>
  <c r="K206" i="11"/>
  <c r="J210" i="11"/>
  <c r="T210" i="11" s="1"/>
  <c r="K210" i="11"/>
  <c r="J214" i="11"/>
  <c r="T214" i="11"/>
  <c r="K214" i="11"/>
  <c r="J218" i="11"/>
  <c r="T218" i="11" s="1"/>
  <c r="K218" i="11"/>
  <c r="J222" i="11"/>
  <c r="T222" i="11"/>
  <c r="K222" i="11"/>
  <c r="J226" i="11"/>
  <c r="T226" i="11" s="1"/>
  <c r="K226" i="11"/>
  <c r="J230" i="11"/>
  <c r="T230" i="11"/>
  <c r="K230" i="11"/>
  <c r="J234" i="11"/>
  <c r="T234" i="11" s="1"/>
  <c r="K234" i="11"/>
  <c r="J238" i="11"/>
  <c r="T238" i="11"/>
  <c r="K238" i="11"/>
  <c r="J242" i="11"/>
  <c r="T242" i="11" s="1"/>
  <c r="K242" i="11"/>
  <c r="J246" i="11"/>
  <c r="T246" i="11"/>
  <c r="K246" i="11"/>
  <c r="J250" i="11"/>
  <c r="T250" i="11" s="1"/>
  <c r="K250" i="11"/>
  <c r="J254" i="11"/>
  <c r="T254" i="11"/>
  <c r="K254" i="11"/>
  <c r="J258" i="11"/>
  <c r="T258" i="11" s="1"/>
  <c r="K258" i="11"/>
  <c r="J262" i="11"/>
  <c r="T262" i="11"/>
  <c r="K262" i="11"/>
  <c r="J266" i="11"/>
  <c r="T266" i="11" s="1"/>
  <c r="K266" i="11"/>
  <c r="J270" i="11"/>
  <c r="T270" i="11"/>
  <c r="K270" i="11"/>
  <c r="J274" i="11"/>
  <c r="T274" i="11" s="1"/>
  <c r="K274" i="11"/>
  <c r="J278" i="11"/>
  <c r="T278" i="11"/>
  <c r="K278" i="11"/>
  <c r="J282" i="11"/>
  <c r="T282" i="11" s="1"/>
  <c r="K282" i="11"/>
  <c r="J286" i="11"/>
  <c r="T286" i="11"/>
  <c r="K286" i="11"/>
  <c r="J290" i="11"/>
  <c r="T290" i="11" s="1"/>
  <c r="K290" i="11"/>
  <c r="J294" i="11"/>
  <c r="T294" i="11"/>
  <c r="K294" i="11"/>
  <c r="J298" i="11"/>
  <c r="T298" i="11" s="1"/>
  <c r="K298" i="11"/>
  <c r="J302" i="11"/>
  <c r="T302" i="11"/>
  <c r="K302" i="11"/>
  <c r="J306" i="11"/>
  <c r="T306" i="11" s="1"/>
  <c r="K306" i="11"/>
  <c r="J310" i="11"/>
  <c r="T310" i="11"/>
  <c r="K310" i="11"/>
  <c r="J314" i="11"/>
  <c r="T314" i="11" s="1"/>
  <c r="K314" i="11"/>
  <c r="J318" i="11"/>
  <c r="T318" i="11"/>
  <c r="K318" i="11"/>
  <c r="J322" i="11"/>
  <c r="T322" i="11" s="1"/>
  <c r="K322" i="11"/>
  <c r="J326" i="11"/>
  <c r="T326" i="11"/>
  <c r="K326" i="11"/>
  <c r="J330" i="11"/>
  <c r="T330" i="11" s="1"/>
  <c r="K330" i="11"/>
  <c r="J334" i="11"/>
  <c r="T334" i="11"/>
  <c r="K334" i="11"/>
  <c r="J338" i="11"/>
  <c r="T338" i="11" s="1"/>
  <c r="K338" i="11"/>
  <c r="J342" i="11"/>
  <c r="T342" i="11"/>
  <c r="K342" i="11"/>
  <c r="J346" i="11"/>
  <c r="T346" i="11" s="1"/>
  <c r="K346" i="11"/>
  <c r="J350" i="11"/>
  <c r="T350" i="11"/>
  <c r="K350" i="11"/>
  <c r="J354" i="11"/>
  <c r="T354" i="11" s="1"/>
  <c r="K354" i="11"/>
  <c r="J358" i="11"/>
  <c r="T358" i="11"/>
  <c r="K358" i="11"/>
  <c r="J362" i="11"/>
  <c r="T362" i="11" s="1"/>
  <c r="K362" i="11"/>
  <c r="J366" i="11"/>
  <c r="T366" i="11"/>
  <c r="K366" i="11"/>
  <c r="J370" i="11"/>
  <c r="T370" i="11" s="1"/>
  <c r="K370" i="11"/>
  <c r="J374" i="11"/>
  <c r="T374" i="11"/>
  <c r="K374" i="11"/>
  <c r="J378" i="11"/>
  <c r="T378" i="11" s="1"/>
  <c r="K378" i="11"/>
  <c r="J382" i="11"/>
  <c r="T382" i="11"/>
  <c r="K382" i="11"/>
  <c r="J386" i="11"/>
  <c r="T386" i="11" s="1"/>
  <c r="K386" i="11"/>
  <c r="J390" i="11"/>
  <c r="T390" i="11"/>
  <c r="K390" i="11"/>
  <c r="J394" i="11"/>
  <c r="T394" i="11" s="1"/>
  <c r="K394" i="11"/>
  <c r="J398" i="11"/>
  <c r="T398" i="11"/>
  <c r="K398" i="11"/>
  <c r="J402" i="11"/>
  <c r="T402" i="11" s="1"/>
  <c r="K402" i="11"/>
  <c r="J406" i="11"/>
  <c r="T406" i="11"/>
  <c r="K406" i="11"/>
  <c r="J410" i="11"/>
  <c r="T410" i="11" s="1"/>
  <c r="K410" i="11"/>
  <c r="J414" i="11"/>
  <c r="T414" i="11"/>
  <c r="K414" i="11"/>
  <c r="J418" i="11"/>
  <c r="T418" i="11" s="1"/>
  <c r="K418" i="11"/>
  <c r="J422" i="11"/>
  <c r="T422" i="11"/>
  <c r="K422" i="11"/>
  <c r="J426" i="11"/>
  <c r="T426" i="11" s="1"/>
  <c r="K426" i="11"/>
  <c r="J430" i="11"/>
  <c r="T430" i="11"/>
  <c r="K430" i="11"/>
  <c r="J434" i="11"/>
  <c r="T434" i="11" s="1"/>
  <c r="K434" i="11"/>
  <c r="J438" i="11"/>
  <c r="T438" i="11"/>
  <c r="K438" i="11"/>
  <c r="J442" i="11"/>
  <c r="T442" i="11" s="1"/>
  <c r="K442" i="11"/>
  <c r="J446" i="11"/>
  <c r="T446" i="11"/>
  <c r="K446" i="11"/>
  <c r="J450" i="11"/>
  <c r="T450" i="11" s="1"/>
  <c r="K450" i="11"/>
  <c r="J454" i="11"/>
  <c r="T454" i="11"/>
  <c r="K454" i="11"/>
  <c r="J458" i="11"/>
  <c r="T458" i="11" s="1"/>
  <c r="K458" i="11"/>
  <c r="J462" i="11"/>
  <c r="T462" i="11"/>
  <c r="K462" i="11"/>
  <c r="J466" i="11"/>
  <c r="T466" i="11" s="1"/>
  <c r="K466" i="11"/>
  <c r="J470" i="11"/>
  <c r="T470" i="11"/>
  <c r="K470" i="11"/>
  <c r="J474" i="11"/>
  <c r="T474" i="11" s="1"/>
  <c r="K474" i="11"/>
  <c r="J478" i="11"/>
  <c r="T478" i="11"/>
  <c r="K478" i="11"/>
  <c r="J482" i="11"/>
  <c r="T482" i="11" s="1"/>
  <c r="K482" i="11"/>
  <c r="J486" i="11"/>
  <c r="T486" i="11"/>
  <c r="K486" i="11"/>
  <c r="J490" i="11"/>
  <c r="T490" i="11" s="1"/>
  <c r="K490" i="11"/>
  <c r="J494" i="11"/>
  <c r="T494" i="11"/>
  <c r="K494" i="11"/>
  <c r="J498" i="11"/>
  <c r="T498" i="11" s="1"/>
  <c r="K498" i="11"/>
  <c r="J502" i="11"/>
  <c r="T502" i="11"/>
  <c r="K502" i="11"/>
  <c r="J506" i="11"/>
  <c r="T506" i="11" s="1"/>
  <c r="K506" i="11"/>
  <c r="J510" i="11"/>
  <c r="T510" i="11"/>
  <c r="K510" i="11"/>
  <c r="J514" i="11"/>
  <c r="T514" i="11" s="1"/>
  <c r="K514" i="11"/>
  <c r="J518" i="11"/>
  <c r="T518" i="11"/>
  <c r="K518" i="11"/>
  <c r="J522" i="11"/>
  <c r="T522" i="11" s="1"/>
  <c r="K522" i="11"/>
  <c r="J526" i="11"/>
  <c r="T526" i="11"/>
  <c r="K526" i="11"/>
  <c r="J530" i="11"/>
  <c r="T530" i="11" s="1"/>
  <c r="K530" i="11"/>
  <c r="J534" i="11"/>
  <c r="T534" i="11"/>
  <c r="K534" i="11"/>
  <c r="J538" i="11"/>
  <c r="T538" i="11" s="1"/>
  <c r="K538" i="11"/>
  <c r="J542" i="11"/>
  <c r="T542" i="11"/>
  <c r="K542" i="11"/>
  <c r="J546" i="11"/>
  <c r="T546" i="11" s="1"/>
  <c r="K546" i="11"/>
  <c r="J550" i="11"/>
  <c r="T550" i="11"/>
  <c r="K550" i="11"/>
  <c r="J554" i="11"/>
  <c r="T554" i="11" s="1"/>
  <c r="K554" i="11"/>
  <c r="J558" i="11"/>
  <c r="T558" i="11"/>
  <c r="K558" i="11"/>
  <c r="J562" i="11"/>
  <c r="T562" i="11" s="1"/>
  <c r="K562" i="11"/>
  <c r="J566" i="11"/>
  <c r="T566" i="11"/>
  <c r="K566" i="11"/>
  <c r="J570" i="11"/>
  <c r="T570" i="11" s="1"/>
  <c r="K570" i="11"/>
  <c r="J574" i="11"/>
  <c r="T574" i="11"/>
  <c r="K574" i="11"/>
  <c r="J578" i="11"/>
  <c r="T578" i="11" s="1"/>
  <c r="K578" i="11"/>
  <c r="J582" i="11"/>
  <c r="T582" i="11"/>
  <c r="K582" i="11"/>
  <c r="J586" i="11"/>
  <c r="T586" i="11" s="1"/>
  <c r="K586" i="11"/>
  <c r="J590" i="11"/>
  <c r="T590" i="11"/>
  <c r="K590" i="11"/>
  <c r="J594" i="11"/>
  <c r="T594" i="11" s="1"/>
  <c r="K594" i="11"/>
  <c r="J598" i="11"/>
  <c r="T598" i="11"/>
  <c r="K598" i="11"/>
  <c r="J602" i="11"/>
  <c r="T602" i="11" s="1"/>
  <c r="K602" i="11"/>
  <c r="J606" i="11"/>
  <c r="T606" i="11"/>
  <c r="K606" i="11"/>
  <c r="J610" i="11"/>
  <c r="T610" i="11" s="1"/>
  <c r="K610" i="11"/>
  <c r="J614" i="11"/>
  <c r="T614" i="11"/>
  <c r="K614" i="11"/>
  <c r="J618" i="11"/>
  <c r="T618" i="11" s="1"/>
  <c r="K618" i="11"/>
  <c r="J622" i="11"/>
  <c r="T622" i="11"/>
  <c r="K622" i="11"/>
  <c r="J626" i="11"/>
  <c r="T626" i="11" s="1"/>
  <c r="K626" i="11"/>
  <c r="J630" i="11"/>
  <c r="T630" i="11"/>
  <c r="K630" i="11"/>
  <c r="J634" i="11"/>
  <c r="T634" i="11" s="1"/>
  <c r="K634" i="11"/>
  <c r="J638" i="11"/>
  <c r="T638" i="11"/>
  <c r="K638" i="11"/>
  <c r="J642" i="11"/>
  <c r="T642" i="11" s="1"/>
  <c r="K642" i="11"/>
  <c r="J646" i="11"/>
  <c r="T646" i="11"/>
  <c r="K646" i="11"/>
  <c r="J650" i="11"/>
  <c r="T650" i="11" s="1"/>
  <c r="K650" i="11"/>
  <c r="J654" i="11"/>
  <c r="T654" i="11"/>
  <c r="K654" i="11"/>
  <c r="J658" i="11"/>
  <c r="T658" i="11" s="1"/>
  <c r="K658" i="11"/>
  <c r="J662" i="11"/>
  <c r="T662" i="11"/>
  <c r="K662" i="11"/>
  <c r="J666" i="11"/>
  <c r="T666" i="11" s="1"/>
  <c r="K666" i="11"/>
  <c r="J670" i="11"/>
  <c r="T670" i="11"/>
  <c r="K670" i="11"/>
  <c r="J674" i="11"/>
  <c r="T674" i="11" s="1"/>
  <c r="K674" i="11"/>
  <c r="J678" i="11"/>
  <c r="T678" i="11"/>
  <c r="K678" i="11"/>
  <c r="J682" i="11"/>
  <c r="T682" i="11" s="1"/>
  <c r="K682" i="11"/>
  <c r="J686" i="11"/>
  <c r="T686" i="11"/>
  <c r="K686" i="11"/>
  <c r="J690" i="11"/>
  <c r="T690" i="11" s="1"/>
  <c r="K690" i="11"/>
  <c r="J694" i="11"/>
  <c r="T694" i="11"/>
  <c r="K694" i="11"/>
  <c r="J698" i="11"/>
  <c r="T698" i="11" s="1"/>
  <c r="K698" i="11"/>
  <c r="J702" i="11"/>
  <c r="T702" i="11"/>
  <c r="K702" i="11"/>
  <c r="J706" i="11"/>
  <c r="T706" i="11" s="1"/>
  <c r="K706" i="11"/>
  <c r="J710" i="11"/>
  <c r="T710" i="11"/>
  <c r="K710" i="11"/>
  <c r="J714" i="11"/>
  <c r="T714" i="11" s="1"/>
  <c r="K714" i="11"/>
  <c r="J718" i="11"/>
  <c r="T718" i="11"/>
  <c r="K718" i="11"/>
  <c r="J722" i="11"/>
  <c r="T722" i="11" s="1"/>
  <c r="K722" i="11"/>
  <c r="J726" i="11"/>
  <c r="T726" i="11"/>
  <c r="K726" i="11"/>
  <c r="J730" i="11"/>
  <c r="T730" i="11" s="1"/>
  <c r="K730" i="11"/>
  <c r="J734" i="11"/>
  <c r="T734" i="11"/>
  <c r="K734" i="11"/>
  <c r="J738" i="11"/>
  <c r="T738" i="11" s="1"/>
  <c r="K738" i="11"/>
  <c r="J742" i="11"/>
  <c r="T742" i="11"/>
  <c r="K742" i="11"/>
  <c r="J746" i="11"/>
  <c r="T746" i="11" s="1"/>
  <c r="K746" i="11"/>
  <c r="J750" i="11"/>
  <c r="T750" i="11"/>
  <c r="K750" i="11"/>
  <c r="J754" i="11"/>
  <c r="T754" i="11" s="1"/>
  <c r="K754" i="11"/>
  <c r="J758" i="11"/>
  <c r="T758" i="11"/>
  <c r="K758" i="11"/>
  <c r="J762" i="11"/>
  <c r="T762" i="11" s="1"/>
  <c r="K762" i="11"/>
  <c r="J766" i="11"/>
  <c r="T766" i="11"/>
  <c r="K766" i="11"/>
  <c r="J770" i="11"/>
  <c r="T770" i="11" s="1"/>
  <c r="K770" i="11"/>
  <c r="J774" i="11"/>
  <c r="T774" i="11"/>
  <c r="K774" i="11"/>
  <c r="J778" i="11"/>
  <c r="T778" i="11" s="1"/>
  <c r="K778" i="11"/>
  <c r="J782" i="11"/>
  <c r="T782" i="11"/>
  <c r="K782" i="11"/>
  <c r="J786" i="11"/>
  <c r="T786" i="11" s="1"/>
  <c r="K786" i="11"/>
  <c r="J790" i="11"/>
  <c r="T790" i="11"/>
  <c r="K790" i="11"/>
  <c r="J794" i="11"/>
  <c r="T794" i="11" s="1"/>
  <c r="K794" i="11"/>
  <c r="J798" i="11"/>
  <c r="T798" i="11"/>
  <c r="K798" i="11"/>
  <c r="J802" i="11"/>
  <c r="T802" i="11" s="1"/>
  <c r="K802" i="11"/>
  <c r="J806" i="11"/>
  <c r="T806" i="11"/>
  <c r="K806" i="11"/>
  <c r="J810" i="11"/>
  <c r="T810" i="11" s="1"/>
  <c r="K810" i="11"/>
  <c r="J814" i="11"/>
  <c r="T814" i="11"/>
  <c r="K814" i="11"/>
  <c r="J818" i="11"/>
  <c r="T818" i="11" s="1"/>
  <c r="K818" i="11"/>
  <c r="J822" i="11"/>
  <c r="T822" i="11"/>
  <c r="K822" i="11"/>
  <c r="J826" i="11"/>
  <c r="T826" i="11" s="1"/>
  <c r="K826" i="11"/>
  <c r="J830" i="11"/>
  <c r="T830" i="11"/>
  <c r="K830" i="11"/>
  <c r="J834" i="11"/>
  <c r="T834" i="11" s="1"/>
  <c r="K834" i="11"/>
  <c r="J838" i="11"/>
  <c r="T838" i="11"/>
  <c r="K838" i="11"/>
  <c r="J842" i="11"/>
  <c r="T842" i="11" s="1"/>
  <c r="K842" i="11"/>
  <c r="J846" i="11"/>
  <c r="T846" i="11"/>
  <c r="K846" i="11"/>
  <c r="J850" i="11"/>
  <c r="T850" i="11" s="1"/>
  <c r="K850" i="11"/>
  <c r="J854" i="11"/>
  <c r="T854" i="11"/>
  <c r="K854" i="11"/>
  <c r="J858" i="11"/>
  <c r="T858" i="11" s="1"/>
  <c r="K858" i="11"/>
  <c r="J862" i="11"/>
  <c r="T862" i="11"/>
  <c r="K862" i="11"/>
  <c r="J866" i="11"/>
  <c r="T866" i="11" s="1"/>
  <c r="K866" i="11"/>
  <c r="J870" i="11"/>
  <c r="T870" i="11"/>
  <c r="K870" i="11"/>
  <c r="J874" i="11"/>
  <c r="T874" i="11" s="1"/>
  <c r="K874" i="11"/>
  <c r="J878" i="11"/>
  <c r="T878" i="11"/>
  <c r="K878" i="11"/>
  <c r="J882" i="11"/>
  <c r="T882" i="11" s="1"/>
  <c r="K882" i="11"/>
  <c r="J886" i="11"/>
  <c r="T886" i="11"/>
  <c r="K886" i="11"/>
  <c r="J890" i="11"/>
  <c r="T890" i="11" s="1"/>
  <c r="K890" i="11"/>
  <c r="J894" i="11"/>
  <c r="T894" i="11"/>
  <c r="K894" i="11"/>
  <c r="J898" i="11"/>
  <c r="T898" i="11" s="1"/>
  <c r="K898" i="11"/>
  <c r="J902" i="11"/>
  <c r="T902" i="11"/>
  <c r="K902" i="11"/>
  <c r="J906" i="11"/>
  <c r="T906" i="11" s="1"/>
  <c r="K906" i="11"/>
  <c r="J910" i="11"/>
  <c r="T910" i="11"/>
  <c r="K910" i="11"/>
  <c r="J914" i="11"/>
  <c r="T914" i="11" s="1"/>
  <c r="K914" i="11"/>
  <c r="J918" i="11"/>
  <c r="T918" i="11"/>
  <c r="K918" i="11"/>
  <c r="J922" i="11"/>
  <c r="T922" i="11" s="1"/>
  <c r="K922" i="11"/>
  <c r="J926" i="11"/>
  <c r="T926" i="11"/>
  <c r="K926" i="11"/>
  <c r="J930" i="11"/>
  <c r="T930" i="11" s="1"/>
  <c r="K930" i="11"/>
  <c r="J934" i="11"/>
  <c r="T934" i="11"/>
  <c r="K934" i="11"/>
  <c r="J938" i="11"/>
  <c r="T938" i="11" s="1"/>
  <c r="K938" i="11"/>
  <c r="J942" i="11"/>
  <c r="T942" i="11"/>
  <c r="K942" i="11"/>
  <c r="J946" i="11"/>
  <c r="T946" i="11" s="1"/>
  <c r="K946" i="11"/>
  <c r="J950" i="11"/>
  <c r="T950" i="11"/>
  <c r="K950" i="11"/>
  <c r="J954" i="11"/>
  <c r="T954" i="11" s="1"/>
  <c r="K954" i="11"/>
  <c r="J958" i="11"/>
  <c r="T958" i="11"/>
  <c r="K958" i="11"/>
  <c r="J962" i="11"/>
  <c r="T962" i="11" s="1"/>
  <c r="K962" i="11"/>
  <c r="J966" i="11"/>
  <c r="T966" i="11"/>
  <c r="K966" i="11"/>
  <c r="J970" i="11"/>
  <c r="T970" i="11" s="1"/>
  <c r="K970" i="11"/>
  <c r="J974" i="11"/>
  <c r="T974" i="11"/>
  <c r="K974" i="11"/>
  <c r="J978" i="11"/>
  <c r="T978" i="11" s="1"/>
  <c r="K978" i="11"/>
  <c r="J982" i="11"/>
  <c r="T982" i="11"/>
  <c r="K982" i="11"/>
  <c r="J986" i="11"/>
  <c r="T986" i="11" s="1"/>
  <c r="K986" i="11"/>
  <c r="J990" i="11"/>
  <c r="T990" i="11"/>
  <c r="K990" i="11"/>
  <c r="J994" i="11"/>
  <c r="T994" i="11" s="1"/>
  <c r="K994" i="11"/>
  <c r="J998" i="11"/>
  <c r="T998" i="11"/>
  <c r="K998" i="11"/>
  <c r="J1002" i="11"/>
  <c r="T1002" i="11" s="1"/>
  <c r="K1002" i="11"/>
  <c r="J1006" i="11"/>
  <c r="T1006" i="11"/>
  <c r="K1006" i="11"/>
  <c r="J1010" i="11"/>
  <c r="T1010" i="11" s="1"/>
  <c r="K1010" i="11"/>
  <c r="J1014" i="11"/>
  <c r="T1014" i="11"/>
  <c r="K1014" i="11"/>
  <c r="J1018" i="11"/>
  <c r="T1018" i="11" s="1"/>
  <c r="K1018" i="11"/>
  <c r="J1022" i="11"/>
  <c r="T1022" i="11"/>
  <c r="K1022" i="11"/>
  <c r="J1026" i="11"/>
  <c r="T1026" i="11" s="1"/>
  <c r="K1026" i="11"/>
  <c r="J1030" i="11"/>
  <c r="T1030" i="11"/>
  <c r="K1030" i="11"/>
  <c r="J1034" i="11"/>
  <c r="T1034" i="11" s="1"/>
  <c r="K1034" i="11"/>
  <c r="J1038" i="11"/>
  <c r="T1038" i="11"/>
  <c r="K1038" i="11"/>
  <c r="J1042" i="11"/>
  <c r="T1042" i="11" s="1"/>
  <c r="K1042" i="11"/>
  <c r="J1046" i="11"/>
  <c r="T1046" i="11"/>
  <c r="K1046" i="11"/>
  <c r="J1050" i="11"/>
  <c r="T1050" i="11" s="1"/>
  <c r="K1050" i="11"/>
  <c r="J1054" i="11"/>
  <c r="T1054" i="11"/>
  <c r="K1054" i="11"/>
  <c r="J1058" i="11"/>
  <c r="T1058" i="11" s="1"/>
  <c r="K1058" i="11"/>
  <c r="J1062" i="11"/>
  <c r="T1062" i="11"/>
  <c r="K1062" i="11"/>
  <c r="J1066" i="11"/>
  <c r="T1066" i="11" s="1"/>
  <c r="K1066" i="11"/>
  <c r="J1070" i="11"/>
  <c r="T1070" i="11"/>
  <c r="K1070" i="11"/>
  <c r="J1074" i="11"/>
  <c r="T1074" i="11" s="1"/>
  <c r="K1074" i="11"/>
  <c r="J1078" i="11"/>
  <c r="T1078" i="11"/>
  <c r="K1078" i="11"/>
  <c r="J1082" i="11"/>
  <c r="T1082" i="11" s="1"/>
  <c r="K1082" i="11"/>
  <c r="J1086" i="11"/>
  <c r="T1086" i="11"/>
  <c r="K1086" i="11"/>
  <c r="J1090" i="11"/>
  <c r="T1090" i="11" s="1"/>
  <c r="K1090" i="11"/>
  <c r="J1094" i="11"/>
  <c r="T1094" i="11"/>
  <c r="K1094" i="11"/>
  <c r="J1098" i="11"/>
  <c r="T1098" i="11" s="1"/>
  <c r="K1098" i="11"/>
  <c r="J1102" i="11"/>
  <c r="T1102" i="11"/>
  <c r="K1102" i="11"/>
  <c r="J1106" i="11"/>
  <c r="T1106" i="11" s="1"/>
  <c r="K1106" i="11"/>
  <c r="J1110" i="11"/>
  <c r="T1110" i="11"/>
  <c r="K1110" i="11"/>
  <c r="J1114" i="11"/>
  <c r="T1114" i="11" s="1"/>
  <c r="K1114" i="11"/>
  <c r="J1118" i="11"/>
  <c r="T1118" i="11"/>
  <c r="K1118" i="11"/>
  <c r="J1122" i="11"/>
  <c r="T1122" i="11" s="1"/>
  <c r="K1122" i="11"/>
  <c r="J1126" i="11"/>
  <c r="T1126" i="11"/>
  <c r="K1126" i="11"/>
  <c r="J1130" i="11"/>
  <c r="T1130" i="11" s="1"/>
  <c r="K1130" i="11"/>
  <c r="J1134" i="11"/>
  <c r="T1134" i="11"/>
  <c r="K1134" i="11"/>
  <c r="J1138" i="11"/>
  <c r="T1138" i="11" s="1"/>
  <c r="K1138" i="11"/>
  <c r="J1142" i="11"/>
  <c r="T1142" i="11"/>
  <c r="K1142" i="11"/>
  <c r="J1146" i="11"/>
  <c r="T1146" i="11" s="1"/>
  <c r="K1146" i="11"/>
  <c r="J1150" i="11"/>
  <c r="T1150" i="11"/>
  <c r="K1150" i="11"/>
  <c r="J1154" i="11"/>
  <c r="T1154" i="11" s="1"/>
  <c r="K1154" i="11"/>
  <c r="J1158" i="11"/>
  <c r="T1158" i="11"/>
  <c r="K1158" i="11"/>
  <c r="J1162" i="11"/>
  <c r="T1162" i="11" s="1"/>
  <c r="K1162" i="11"/>
  <c r="J1166" i="11"/>
  <c r="T1166" i="11"/>
  <c r="K1166" i="11"/>
  <c r="J1170" i="11"/>
  <c r="T1170" i="11" s="1"/>
  <c r="K1170" i="11"/>
  <c r="J1174" i="11"/>
  <c r="T1174" i="11"/>
  <c r="K1174" i="11"/>
  <c r="J1178" i="11"/>
  <c r="T1178" i="11" s="1"/>
  <c r="K1178" i="11"/>
  <c r="J1182" i="11"/>
  <c r="T1182" i="11"/>
  <c r="K1182" i="11"/>
  <c r="J1186" i="11"/>
  <c r="T1186" i="11" s="1"/>
  <c r="K1186" i="11"/>
  <c r="J1190" i="11"/>
  <c r="T1190" i="11"/>
  <c r="K1190" i="11"/>
  <c r="J1194" i="11"/>
  <c r="T1194" i="11" s="1"/>
  <c r="K1194" i="11"/>
  <c r="J1198" i="11"/>
  <c r="T1198" i="11"/>
  <c r="K1198" i="11"/>
  <c r="J1202" i="11"/>
  <c r="T1202" i="11" s="1"/>
  <c r="K1202" i="11"/>
  <c r="J1206" i="11"/>
  <c r="T1206" i="11"/>
  <c r="K1206" i="11"/>
  <c r="J1210" i="11"/>
  <c r="T1210" i="11" s="1"/>
  <c r="K1210" i="11"/>
  <c r="J1214" i="11"/>
  <c r="T1214" i="11"/>
  <c r="K1214" i="11"/>
  <c r="J1218" i="11"/>
  <c r="T1218" i="11" s="1"/>
  <c r="K1218" i="11"/>
  <c r="J1222" i="11"/>
  <c r="T1222" i="11"/>
  <c r="K1222" i="11"/>
  <c r="J1226" i="11"/>
  <c r="T1226" i="11" s="1"/>
  <c r="K1226" i="11"/>
  <c r="J1230" i="11"/>
  <c r="T1230" i="11"/>
  <c r="K1230" i="11"/>
  <c r="J1234" i="11"/>
  <c r="T1234" i="11" s="1"/>
  <c r="K1234" i="11"/>
  <c r="J1238" i="11"/>
  <c r="T1238" i="11"/>
  <c r="K1238" i="11"/>
  <c r="J1242" i="11"/>
  <c r="T1242" i="11" s="1"/>
  <c r="K1242" i="11"/>
  <c r="J1246" i="11"/>
  <c r="T1246" i="11"/>
  <c r="K1246" i="11"/>
  <c r="J1250" i="11"/>
  <c r="T1250" i="11" s="1"/>
  <c r="K1250" i="11"/>
  <c r="J1254" i="11"/>
  <c r="T1254" i="11"/>
  <c r="K1254" i="11"/>
  <c r="J1258" i="11"/>
  <c r="T1258" i="11" s="1"/>
  <c r="K1258" i="11"/>
  <c r="J1262" i="11"/>
  <c r="T1262" i="11"/>
  <c r="K1262" i="11"/>
  <c r="J1266" i="11"/>
  <c r="T1266" i="11" s="1"/>
  <c r="K1266" i="11"/>
  <c r="J1270" i="11"/>
  <c r="T1270" i="11"/>
  <c r="K1270" i="11"/>
  <c r="J1274" i="11"/>
  <c r="T1274" i="11" s="1"/>
  <c r="K1274" i="11"/>
  <c r="J1278" i="11"/>
  <c r="T1278" i="11"/>
  <c r="K1278" i="11"/>
  <c r="J1282" i="11"/>
  <c r="T1282" i="11" s="1"/>
  <c r="K1282" i="11"/>
  <c r="J1286" i="11"/>
  <c r="T1286" i="11"/>
  <c r="K1286" i="11"/>
  <c r="J1290" i="11"/>
  <c r="T1290" i="11" s="1"/>
  <c r="K1290" i="11"/>
  <c r="J1294" i="11"/>
  <c r="T1294" i="11"/>
  <c r="K1294" i="11"/>
  <c r="J1298" i="11"/>
  <c r="T1298" i="11" s="1"/>
  <c r="K1298" i="11"/>
  <c r="J1302" i="11"/>
  <c r="T1302" i="11"/>
  <c r="K1302" i="11"/>
  <c r="J1306" i="11"/>
  <c r="T1306" i="11" s="1"/>
  <c r="K1306" i="11"/>
  <c r="J1310" i="11"/>
  <c r="T1310" i="11"/>
  <c r="K1310" i="11"/>
  <c r="J1314" i="11"/>
  <c r="T1314" i="11" s="1"/>
  <c r="K1314" i="11"/>
  <c r="J1318" i="11"/>
  <c r="T1318" i="11"/>
  <c r="K1318" i="11"/>
  <c r="J1322" i="11"/>
  <c r="T1322" i="11" s="1"/>
  <c r="K1322" i="11"/>
  <c r="J1326" i="11"/>
  <c r="T1326" i="11"/>
  <c r="K1326" i="11"/>
  <c r="J1330" i="11"/>
  <c r="T1330" i="11" s="1"/>
  <c r="K1330" i="11"/>
  <c r="J1334" i="11"/>
  <c r="T1334" i="11"/>
  <c r="K1334" i="11"/>
  <c r="J1338" i="11"/>
  <c r="T1338" i="11" s="1"/>
  <c r="K1338" i="11"/>
  <c r="J1342" i="11"/>
  <c r="T1342" i="11"/>
  <c r="K1342" i="11"/>
  <c r="J1346" i="11"/>
  <c r="T1346" i="11" s="1"/>
  <c r="K1346" i="11"/>
  <c r="J1350" i="11"/>
  <c r="T1350" i="11"/>
  <c r="K1350" i="11"/>
  <c r="J1354" i="11"/>
  <c r="T1354" i="11" s="1"/>
  <c r="K1354" i="11"/>
  <c r="J1358" i="11"/>
  <c r="T1358" i="11"/>
  <c r="K1358" i="11"/>
  <c r="J1362" i="11"/>
  <c r="T1362" i="11" s="1"/>
  <c r="K1362" i="11"/>
  <c r="J1366" i="11"/>
  <c r="T1366" i="11"/>
  <c r="K1366" i="11"/>
  <c r="J1370" i="11"/>
  <c r="T1370" i="11" s="1"/>
  <c r="K1370" i="11"/>
  <c r="J1374" i="11"/>
  <c r="T1374" i="11"/>
  <c r="K1374" i="11"/>
  <c r="J1378" i="11"/>
  <c r="T1378" i="11" s="1"/>
  <c r="K1378" i="11"/>
  <c r="J1382" i="11"/>
  <c r="T1382" i="11"/>
  <c r="K1382" i="11"/>
  <c r="J1386" i="11"/>
  <c r="T1386" i="11" s="1"/>
  <c r="K1386" i="11"/>
  <c r="J1390" i="11"/>
  <c r="T1390" i="11"/>
  <c r="K1390" i="11"/>
  <c r="J1394" i="11"/>
  <c r="T1394" i="11" s="1"/>
  <c r="K1394" i="11"/>
  <c r="J1398" i="11"/>
  <c r="T1398" i="11"/>
  <c r="K1398" i="11"/>
  <c r="J1402" i="11"/>
  <c r="T1402" i="11" s="1"/>
  <c r="K1402" i="11"/>
  <c r="J1406" i="11"/>
  <c r="T1406" i="11"/>
  <c r="K1406" i="11"/>
  <c r="J1410" i="11"/>
  <c r="T1410" i="11" s="1"/>
  <c r="K1410" i="11"/>
  <c r="J1414" i="11"/>
  <c r="T1414" i="11"/>
  <c r="K1414" i="11"/>
  <c r="J1418" i="11"/>
  <c r="T1418" i="11" s="1"/>
  <c r="K1418" i="11"/>
  <c r="J1422" i="11"/>
  <c r="T1422" i="11"/>
  <c r="K1422" i="11"/>
  <c r="J1426" i="11"/>
  <c r="T1426" i="11" s="1"/>
  <c r="K1426" i="11"/>
  <c r="J1430" i="11"/>
  <c r="T1430" i="11"/>
  <c r="K1430" i="11"/>
  <c r="J1434" i="11"/>
  <c r="T1434" i="11" s="1"/>
  <c r="K1434" i="11"/>
  <c r="J1438" i="11"/>
  <c r="T1438" i="11"/>
  <c r="K1438" i="11"/>
  <c r="J1442" i="11"/>
  <c r="T1442" i="11" s="1"/>
  <c r="K1442" i="11"/>
  <c r="J1446" i="11"/>
  <c r="T1446" i="11"/>
  <c r="K1446" i="11"/>
  <c r="J1450" i="11"/>
  <c r="T1450" i="11" s="1"/>
  <c r="K1450" i="11"/>
  <c r="J1454" i="11"/>
  <c r="T1454" i="11"/>
  <c r="K1454" i="11"/>
  <c r="J1458" i="11"/>
  <c r="T1458" i="11" s="1"/>
  <c r="K1458" i="11"/>
  <c r="J1462" i="11"/>
  <c r="T1462" i="11"/>
  <c r="K1462" i="11"/>
  <c r="J1466" i="11"/>
  <c r="T1466" i="11" s="1"/>
  <c r="K1466" i="11"/>
  <c r="J1470" i="11"/>
  <c r="T1470" i="11"/>
  <c r="K1470" i="11"/>
  <c r="J1474" i="11"/>
  <c r="T1474" i="11" s="1"/>
  <c r="K1474" i="11"/>
  <c r="J1478" i="11"/>
  <c r="T1478" i="11"/>
  <c r="K1478" i="11"/>
  <c r="J1482" i="11"/>
  <c r="T1482" i="11" s="1"/>
  <c r="K1482" i="11"/>
  <c r="J1486" i="11"/>
  <c r="T1486" i="11"/>
  <c r="K1486" i="11"/>
  <c r="J1490" i="11"/>
  <c r="T1490" i="11" s="1"/>
  <c r="K1490" i="11"/>
  <c r="J1494" i="11"/>
  <c r="T1494" i="11"/>
  <c r="K1494" i="11"/>
  <c r="J1498" i="11"/>
  <c r="T1498" i="11" s="1"/>
  <c r="K1498" i="11"/>
  <c r="J1502" i="11"/>
  <c r="T1502" i="11"/>
  <c r="K1502" i="11"/>
  <c r="J1506" i="11"/>
  <c r="T1506" i="11" s="1"/>
  <c r="K1506" i="11"/>
  <c r="J1510" i="11"/>
  <c r="T1510" i="11"/>
  <c r="K1510" i="11"/>
  <c r="J1514" i="11"/>
  <c r="T1514" i="11" s="1"/>
  <c r="K1514" i="11"/>
  <c r="J1518" i="11"/>
  <c r="T1518" i="11"/>
  <c r="K1518" i="11"/>
  <c r="J1522" i="11"/>
  <c r="T1522" i="11" s="1"/>
  <c r="K1522" i="11"/>
  <c r="J1526" i="11"/>
  <c r="T1526" i="11"/>
  <c r="K1526" i="11"/>
  <c r="J1530" i="11"/>
  <c r="T1530" i="11" s="1"/>
  <c r="K1530" i="11"/>
  <c r="J1534" i="11"/>
  <c r="T1534" i="11"/>
  <c r="K1534" i="11"/>
  <c r="J1538" i="11"/>
  <c r="T1538" i="11" s="1"/>
  <c r="K1538" i="11"/>
  <c r="J1542" i="11"/>
  <c r="T1542" i="11"/>
  <c r="K1542" i="11"/>
  <c r="J1546" i="11"/>
  <c r="T1546" i="11" s="1"/>
  <c r="K1546" i="11"/>
  <c r="J1550" i="11"/>
  <c r="T1550" i="11"/>
  <c r="K1550" i="11"/>
  <c r="J1554" i="11"/>
  <c r="T1554" i="11" s="1"/>
  <c r="K1554" i="11"/>
  <c r="J1558" i="11"/>
  <c r="T1558" i="11"/>
  <c r="K1558" i="11"/>
  <c r="J1562" i="11"/>
  <c r="T1562" i="11" s="1"/>
  <c r="K1562" i="11"/>
  <c r="J1566" i="11"/>
  <c r="T1566" i="11"/>
  <c r="K1566" i="11"/>
  <c r="J1570" i="11"/>
  <c r="T1570" i="11" s="1"/>
  <c r="K1570" i="11"/>
  <c r="J1574" i="11"/>
  <c r="T1574" i="11"/>
  <c r="K1574" i="11"/>
  <c r="J1578" i="11"/>
  <c r="T1578" i="11" s="1"/>
  <c r="K1578" i="11"/>
  <c r="J1582" i="11"/>
  <c r="T1582" i="11"/>
  <c r="K1582" i="11"/>
  <c r="J1586" i="11"/>
  <c r="T1586" i="11" s="1"/>
  <c r="K1586" i="11"/>
  <c r="J1590" i="11"/>
  <c r="T1590" i="11"/>
  <c r="K1590" i="11"/>
  <c r="J1594" i="11"/>
  <c r="T1594" i="11" s="1"/>
  <c r="K1594" i="11"/>
  <c r="J1598" i="11"/>
  <c r="T1598" i="11"/>
  <c r="K1598" i="11"/>
  <c r="J1602" i="11"/>
  <c r="T1602" i="11" s="1"/>
  <c r="K1602" i="11"/>
  <c r="J1606" i="11"/>
  <c r="T1606" i="11"/>
  <c r="K1606" i="11"/>
  <c r="J1610" i="11"/>
  <c r="T1610" i="11" s="1"/>
  <c r="K1610" i="11"/>
  <c r="J1614" i="11"/>
  <c r="T1614" i="11"/>
  <c r="K1614" i="11"/>
  <c r="J1618" i="11"/>
  <c r="T1618" i="11" s="1"/>
  <c r="K1618" i="11"/>
  <c r="J1622" i="11"/>
  <c r="T1622" i="11"/>
  <c r="K1622" i="11"/>
  <c r="J1626" i="11"/>
  <c r="T1626" i="11" s="1"/>
  <c r="K1626" i="11"/>
  <c r="J1630" i="11"/>
  <c r="T1630" i="11"/>
  <c r="K1630" i="11"/>
  <c r="J1634" i="11"/>
  <c r="T1634" i="11" s="1"/>
  <c r="K1634" i="11"/>
  <c r="J1638" i="11"/>
  <c r="T1638" i="11"/>
  <c r="K1638" i="11"/>
  <c r="J1642" i="11"/>
  <c r="T1642" i="11" s="1"/>
  <c r="K1642" i="11"/>
  <c r="J1646" i="11"/>
  <c r="T1646" i="11"/>
  <c r="K1646" i="11"/>
  <c r="J1650" i="11"/>
  <c r="T1650" i="11" s="1"/>
  <c r="K1650" i="11"/>
  <c r="J1654" i="11"/>
  <c r="T1654" i="11"/>
  <c r="K1654" i="11"/>
  <c r="J1658" i="11"/>
  <c r="T1658" i="11" s="1"/>
  <c r="K1658" i="11"/>
  <c r="J1662" i="11"/>
  <c r="T1662" i="11"/>
  <c r="K1662" i="11"/>
  <c r="J1666" i="11"/>
  <c r="T1666" i="11" s="1"/>
  <c r="K1666" i="11"/>
  <c r="J1670" i="11"/>
  <c r="T1670" i="11"/>
  <c r="K1670" i="11"/>
  <c r="J1674" i="11"/>
  <c r="T1674" i="11" s="1"/>
  <c r="K1674" i="11"/>
  <c r="J1678" i="11"/>
  <c r="T1678" i="11"/>
  <c r="K1678" i="11"/>
  <c r="J1682" i="11"/>
  <c r="T1682" i="11" s="1"/>
  <c r="K1682" i="11"/>
  <c r="J1686" i="11"/>
  <c r="T1686" i="11"/>
  <c r="K1686" i="11"/>
  <c r="J1690" i="11"/>
  <c r="T1690" i="11" s="1"/>
  <c r="K1690" i="11"/>
  <c r="J1694" i="11"/>
  <c r="T1694" i="11"/>
  <c r="K1694" i="11"/>
  <c r="J1698" i="11"/>
  <c r="T1698" i="11" s="1"/>
  <c r="K1698" i="11"/>
  <c r="J1702" i="11"/>
  <c r="T1702" i="11"/>
  <c r="K1702" i="11"/>
  <c r="J1706" i="11"/>
  <c r="T1706" i="11" s="1"/>
  <c r="K1706" i="11"/>
  <c r="J1710" i="11"/>
  <c r="T1710" i="11"/>
  <c r="K1710" i="11"/>
  <c r="J1714" i="11"/>
  <c r="T1714" i="11" s="1"/>
  <c r="K1714" i="11"/>
  <c r="J1718" i="11"/>
  <c r="T1718" i="11"/>
  <c r="K1718" i="11"/>
  <c r="J1722" i="11"/>
  <c r="T1722" i="11" s="1"/>
  <c r="K1722" i="11"/>
  <c r="J1726" i="11"/>
  <c r="T1726" i="11"/>
  <c r="K1726" i="11"/>
  <c r="J1730" i="11"/>
  <c r="T1730" i="11" s="1"/>
  <c r="K1730" i="11"/>
  <c r="J1734" i="11"/>
  <c r="T1734" i="11"/>
  <c r="K1734" i="11"/>
  <c r="J1738" i="11"/>
  <c r="T1738" i="11" s="1"/>
  <c r="K1738" i="11"/>
  <c r="J1742" i="11"/>
  <c r="T1742" i="11"/>
  <c r="K1742" i="11"/>
  <c r="J1746" i="11"/>
  <c r="T1746" i="11" s="1"/>
  <c r="K1746" i="11"/>
  <c r="J1750" i="11"/>
  <c r="T1750" i="11"/>
  <c r="K1750" i="11"/>
  <c r="J1754" i="11"/>
  <c r="T1754" i="11" s="1"/>
  <c r="K1754" i="11"/>
  <c r="J1758" i="11"/>
  <c r="T1758" i="11"/>
  <c r="K1758" i="11"/>
  <c r="J1762" i="11"/>
  <c r="T1762" i="11" s="1"/>
  <c r="K1762" i="11"/>
  <c r="J1766" i="11"/>
  <c r="T1766" i="11"/>
  <c r="K1766" i="11"/>
  <c r="J1770" i="11"/>
  <c r="T1770" i="11" s="1"/>
  <c r="K1770" i="11"/>
  <c r="J1774" i="11"/>
  <c r="T1774" i="11"/>
  <c r="K1774" i="11"/>
  <c r="J1778" i="11"/>
  <c r="T1778" i="11" s="1"/>
  <c r="K1778" i="11"/>
  <c r="J1782" i="11"/>
  <c r="T1782" i="11"/>
  <c r="K1782" i="11"/>
  <c r="J1786" i="11"/>
  <c r="T1786" i="11" s="1"/>
  <c r="K1786" i="11"/>
  <c r="J1790" i="11"/>
  <c r="T1790" i="11"/>
  <c r="K1790" i="11"/>
  <c r="J1794" i="11"/>
  <c r="T1794" i="11" s="1"/>
  <c r="K1794" i="11"/>
  <c r="J1796" i="11"/>
  <c r="T1796" i="11"/>
  <c r="K1796" i="11"/>
  <c r="J1798" i="11"/>
  <c r="T1798" i="11" s="1"/>
  <c r="K1798" i="11"/>
  <c r="J1800" i="11"/>
  <c r="T1800" i="11"/>
  <c r="K1800" i="11"/>
  <c r="J1802" i="11"/>
  <c r="T1802" i="11" s="1"/>
  <c r="K1802" i="11"/>
  <c r="J1804" i="11"/>
  <c r="T1804" i="11"/>
  <c r="K1804" i="11"/>
  <c r="J1806" i="11"/>
  <c r="T1806" i="11" s="1"/>
  <c r="K1806" i="11"/>
  <c r="J1808" i="11"/>
  <c r="T1808" i="11"/>
  <c r="K1808" i="11"/>
  <c r="J1810" i="11"/>
  <c r="T1810" i="11" s="1"/>
  <c r="K1810" i="11"/>
  <c r="J1812" i="11"/>
  <c r="T1812" i="11"/>
  <c r="K1812" i="11"/>
  <c r="J1814" i="11"/>
  <c r="T1814" i="11" s="1"/>
  <c r="K1814" i="11"/>
  <c r="J1816" i="11"/>
  <c r="T1816" i="11"/>
  <c r="K1816" i="11"/>
  <c r="J1818" i="11"/>
  <c r="T1818" i="11" s="1"/>
  <c r="K1818" i="11"/>
  <c r="J1820" i="11"/>
  <c r="T1820" i="11"/>
  <c r="K1820" i="11"/>
  <c r="J1822" i="11"/>
  <c r="T1822" i="11" s="1"/>
  <c r="K1822" i="11"/>
  <c r="J1824" i="11"/>
  <c r="T1824" i="11"/>
  <c r="K1824" i="11"/>
  <c r="J1826" i="11"/>
  <c r="T1826" i="11" s="1"/>
  <c r="K1826" i="11"/>
  <c r="J1828" i="11"/>
  <c r="T1828" i="11"/>
  <c r="K1828" i="11"/>
  <c r="J1830" i="11"/>
  <c r="T1830" i="11" s="1"/>
  <c r="K1830" i="11"/>
  <c r="J1832" i="11"/>
  <c r="T1832" i="11"/>
  <c r="K1832" i="11"/>
  <c r="J1834" i="11"/>
  <c r="T1834" i="11" s="1"/>
  <c r="K1834" i="11"/>
  <c r="J1836" i="11"/>
  <c r="T1836" i="11"/>
  <c r="K1836" i="11"/>
  <c r="J1838" i="11"/>
  <c r="T1838" i="11" s="1"/>
  <c r="K1838" i="11"/>
  <c r="J1840" i="11"/>
  <c r="T1840" i="11"/>
  <c r="K1840" i="11"/>
  <c r="J1842" i="11"/>
  <c r="T1842" i="11" s="1"/>
  <c r="K1842" i="11"/>
  <c r="J1844" i="11"/>
  <c r="T1844" i="11"/>
  <c r="K1844" i="11"/>
  <c r="J1846" i="11"/>
  <c r="T1846" i="11" s="1"/>
  <c r="K1846" i="11"/>
  <c r="J1848" i="11"/>
  <c r="T1848" i="11"/>
  <c r="K1848" i="11"/>
  <c r="J1850" i="11"/>
  <c r="T1850" i="11" s="1"/>
  <c r="K1850" i="11"/>
  <c r="J1852" i="11"/>
  <c r="T1852" i="11"/>
  <c r="K1852" i="11"/>
  <c r="J1854" i="11"/>
  <c r="T1854" i="11" s="1"/>
  <c r="K1854" i="11"/>
  <c r="J1856" i="11"/>
  <c r="T1856" i="11"/>
  <c r="K1856" i="11"/>
  <c r="J1858" i="11"/>
  <c r="T1858" i="11" s="1"/>
  <c r="K1858" i="11"/>
  <c r="J1860" i="11"/>
  <c r="T1860" i="11"/>
  <c r="K1860" i="11"/>
  <c r="J1862" i="11"/>
  <c r="T1862" i="11" s="1"/>
  <c r="K1862" i="11"/>
  <c r="J1864" i="11"/>
  <c r="T1864" i="11"/>
  <c r="K1864" i="11"/>
  <c r="J1866" i="11"/>
  <c r="T1866" i="11" s="1"/>
  <c r="K1866" i="11"/>
  <c r="J1868" i="11"/>
  <c r="T1868" i="11"/>
  <c r="K1868" i="11"/>
  <c r="J1870" i="11"/>
  <c r="T1870" i="11" s="1"/>
  <c r="K1870" i="11"/>
  <c r="J1872" i="11"/>
  <c r="T1872" i="11"/>
  <c r="K1872" i="11"/>
  <c r="J1874" i="11"/>
  <c r="T1874" i="11" s="1"/>
  <c r="K1874" i="11"/>
  <c r="J1876" i="11"/>
  <c r="T1876" i="11"/>
  <c r="K1876" i="11"/>
  <c r="J1878" i="11"/>
  <c r="T1878" i="11" s="1"/>
  <c r="K1878" i="11"/>
  <c r="J1880" i="11"/>
  <c r="T1880" i="11"/>
  <c r="K1880" i="11"/>
  <c r="J1882" i="11"/>
  <c r="T1882" i="11" s="1"/>
  <c r="K1882" i="11"/>
  <c r="J1884" i="11"/>
  <c r="T1884" i="11"/>
  <c r="K1884" i="11"/>
  <c r="J1886" i="11"/>
  <c r="T1886" i="11" s="1"/>
  <c r="K1886" i="11"/>
  <c r="J1888" i="11"/>
  <c r="T1888" i="11"/>
  <c r="K1888" i="11"/>
  <c r="J1890" i="11"/>
  <c r="T1890" i="11" s="1"/>
  <c r="K1890" i="11"/>
  <c r="J1892" i="11"/>
  <c r="T1892" i="11"/>
  <c r="K1892" i="11"/>
  <c r="J1894" i="11"/>
  <c r="T1894" i="11" s="1"/>
  <c r="K1894" i="11"/>
  <c r="J1896" i="11"/>
  <c r="T1896" i="11"/>
  <c r="K1896" i="11"/>
  <c r="J1898" i="11"/>
  <c r="T1898" i="11" s="1"/>
  <c r="K1898" i="11"/>
  <c r="J1900" i="11"/>
  <c r="T1900" i="11"/>
  <c r="K1900" i="11"/>
  <c r="J1902" i="11"/>
  <c r="T1902" i="11" s="1"/>
  <c r="K1902" i="11"/>
  <c r="J1904" i="11"/>
  <c r="T1904" i="11"/>
  <c r="K1904" i="11"/>
  <c r="J1906" i="11"/>
  <c r="T1906" i="11" s="1"/>
  <c r="K1906" i="11"/>
  <c r="J1908" i="11"/>
  <c r="T1908" i="11"/>
  <c r="K1908" i="11"/>
  <c r="J1910" i="11"/>
  <c r="T1910" i="11" s="1"/>
  <c r="K1910" i="11"/>
  <c r="J1912" i="11"/>
  <c r="T1912" i="11"/>
  <c r="K1912" i="11"/>
  <c r="J1914" i="11"/>
  <c r="T1914" i="11" s="1"/>
  <c r="K1914" i="11"/>
  <c r="J1916" i="11"/>
  <c r="T1916" i="11"/>
  <c r="K1916" i="11"/>
  <c r="J1918" i="11"/>
  <c r="T1918" i="11" s="1"/>
  <c r="K1918" i="11"/>
  <c r="J1920" i="11"/>
  <c r="T1920" i="11"/>
  <c r="K1920" i="11"/>
  <c r="J1922" i="11"/>
  <c r="T1922" i="11" s="1"/>
  <c r="K1922" i="11"/>
  <c r="J1924" i="11"/>
  <c r="T1924" i="11"/>
  <c r="K1924" i="11"/>
  <c r="J1926" i="11"/>
  <c r="T1926" i="11" s="1"/>
  <c r="K1926" i="11"/>
  <c r="J1928" i="11"/>
  <c r="T1928" i="11"/>
  <c r="K1928" i="11"/>
  <c r="J1930" i="11"/>
  <c r="T1930" i="11" s="1"/>
  <c r="K1930" i="11"/>
  <c r="J1932" i="11"/>
  <c r="T1932" i="11"/>
  <c r="K1932" i="11"/>
  <c r="J1934" i="11"/>
  <c r="T1934" i="11" s="1"/>
  <c r="K1934" i="11"/>
  <c r="J1936" i="11"/>
  <c r="T1936" i="11"/>
  <c r="K1936" i="11"/>
  <c r="J1938" i="11"/>
  <c r="T1938" i="11" s="1"/>
  <c r="K1938" i="11"/>
  <c r="J1940" i="11"/>
  <c r="T1940" i="11"/>
  <c r="K1940" i="11"/>
  <c r="J1942" i="11"/>
  <c r="T1942" i="11" s="1"/>
  <c r="K1942" i="11"/>
  <c r="J1944" i="11"/>
  <c r="T1944" i="11"/>
  <c r="K1944" i="11"/>
  <c r="J1946" i="11"/>
  <c r="T1946" i="11" s="1"/>
  <c r="K1946" i="11"/>
  <c r="J1948" i="11"/>
  <c r="T1948" i="11"/>
  <c r="K1948" i="11"/>
  <c r="J1950" i="11"/>
  <c r="T1950" i="11" s="1"/>
  <c r="K1950" i="11"/>
  <c r="J1952" i="11"/>
  <c r="T1952" i="11"/>
  <c r="K1952" i="11"/>
  <c r="J1954" i="11"/>
  <c r="T1954" i="11" s="1"/>
  <c r="K1954" i="11"/>
  <c r="J1956" i="11"/>
  <c r="T1956" i="11"/>
  <c r="K1956" i="11"/>
  <c r="J1958" i="11"/>
  <c r="T1958" i="11" s="1"/>
  <c r="K1958" i="11"/>
  <c r="J1960" i="11"/>
  <c r="T1960" i="11"/>
  <c r="K1960" i="11"/>
  <c r="J1962" i="11"/>
  <c r="T1962" i="11" s="1"/>
  <c r="K1962" i="11"/>
  <c r="J1964" i="11"/>
  <c r="T1964" i="11"/>
  <c r="K1964" i="11"/>
  <c r="J1966" i="11"/>
  <c r="T1966" i="11" s="1"/>
  <c r="K1966" i="11"/>
  <c r="J1968" i="11"/>
  <c r="T1968" i="11"/>
  <c r="K1968" i="11"/>
  <c r="J1970" i="11"/>
  <c r="T1970" i="11" s="1"/>
  <c r="K1970" i="11"/>
  <c r="J1972" i="11"/>
  <c r="T1972" i="11"/>
  <c r="K1972" i="11"/>
  <c r="J1974" i="11"/>
  <c r="T1974" i="11" s="1"/>
  <c r="K1974" i="11"/>
  <c r="J1976" i="11"/>
  <c r="T1976" i="11"/>
  <c r="K1976" i="11"/>
  <c r="J1978" i="11"/>
  <c r="T1978" i="11" s="1"/>
  <c r="K1978" i="11"/>
  <c r="J1980" i="11"/>
  <c r="T1980" i="11"/>
  <c r="K1980" i="11"/>
  <c r="J1982" i="11"/>
  <c r="T1982" i="11" s="1"/>
  <c r="K1982" i="11"/>
  <c r="J1984" i="11"/>
  <c r="T1984" i="11"/>
  <c r="K1984" i="11"/>
  <c r="J1986" i="11"/>
  <c r="T1986" i="11" s="1"/>
  <c r="K1986" i="11"/>
  <c r="J1988" i="11"/>
  <c r="T1988" i="11"/>
  <c r="K1988" i="11"/>
  <c r="J1990" i="11"/>
  <c r="T1990" i="11" s="1"/>
  <c r="K1990" i="11"/>
  <c r="J1992" i="11"/>
  <c r="T1992" i="11"/>
  <c r="K1992" i="11"/>
  <c r="J1994" i="11"/>
  <c r="T1994" i="11" s="1"/>
  <c r="K1994" i="11"/>
  <c r="J1996" i="11"/>
  <c r="T1996" i="11"/>
  <c r="K1996" i="11"/>
  <c r="J1998" i="11"/>
  <c r="T1998" i="11" s="1"/>
  <c r="K1998" i="11"/>
  <c r="J2000" i="11"/>
  <c r="T2000" i="11"/>
  <c r="K2000" i="11"/>
  <c r="J2002" i="11"/>
  <c r="T2002" i="11" s="1"/>
  <c r="K2002" i="11"/>
  <c r="J2004" i="11"/>
  <c r="T2004" i="11"/>
  <c r="K2004" i="11"/>
  <c r="J2006" i="11"/>
  <c r="T2006" i="11" s="1"/>
  <c r="K2006" i="11"/>
  <c r="J2008" i="11"/>
  <c r="T2008" i="11"/>
  <c r="K2008" i="11"/>
  <c r="J2010" i="11"/>
  <c r="T2010" i="11" s="1"/>
  <c r="K2010" i="11"/>
  <c r="J2012" i="11"/>
  <c r="T2012" i="11"/>
  <c r="K2012" i="11"/>
  <c r="J2014" i="11"/>
  <c r="T2014" i="11" s="1"/>
  <c r="K2014" i="11"/>
  <c r="J2016" i="11"/>
  <c r="T2016" i="11"/>
  <c r="K2016" i="11"/>
  <c r="J2018" i="11"/>
  <c r="T2018" i="11" s="1"/>
  <c r="K2018" i="11"/>
  <c r="J2020" i="11"/>
  <c r="T2020" i="11"/>
  <c r="K2020" i="11"/>
  <c r="J2022" i="11"/>
  <c r="T2022" i="11" s="1"/>
  <c r="K2022" i="11"/>
  <c r="J2024" i="11"/>
  <c r="T2024" i="11"/>
  <c r="K2024" i="11"/>
  <c r="J2026" i="11"/>
  <c r="T2026" i="11" s="1"/>
  <c r="K2026" i="11"/>
  <c r="J2028" i="11"/>
  <c r="T2028" i="11"/>
  <c r="K2028" i="11"/>
  <c r="J2030" i="11"/>
  <c r="T2030" i="11" s="1"/>
  <c r="K2030" i="11"/>
  <c r="J2032" i="11"/>
  <c r="T2032" i="11"/>
  <c r="K2032" i="11"/>
  <c r="J2034" i="11"/>
  <c r="T2034" i="11" s="1"/>
  <c r="K2034" i="11"/>
  <c r="J2036" i="11"/>
  <c r="T2036" i="11"/>
  <c r="K2036" i="11"/>
  <c r="J2038" i="11"/>
  <c r="T2038" i="11" s="1"/>
  <c r="K2038" i="11"/>
  <c r="J2040" i="11"/>
  <c r="T2040" i="11"/>
  <c r="K2040" i="11"/>
  <c r="J2042" i="11"/>
  <c r="T2042" i="11" s="1"/>
  <c r="K2042" i="11"/>
  <c r="J2044" i="11"/>
  <c r="T2044" i="11"/>
  <c r="K2044" i="11"/>
  <c r="J2046" i="11"/>
  <c r="T2046" i="11" s="1"/>
  <c r="K2046" i="11"/>
  <c r="J2048" i="11"/>
  <c r="T2048" i="11"/>
  <c r="K2048" i="11"/>
  <c r="J2050" i="11"/>
  <c r="T2050" i="11" s="1"/>
  <c r="K2050" i="11"/>
  <c r="J2052" i="11"/>
  <c r="T2052" i="11"/>
  <c r="K2052" i="11"/>
  <c r="J2054" i="11"/>
  <c r="T2054" i="11" s="1"/>
  <c r="K2054" i="11"/>
  <c r="J2056" i="11"/>
  <c r="T2056" i="11"/>
  <c r="K2056" i="11"/>
  <c r="J2058" i="11"/>
  <c r="T2058" i="11" s="1"/>
  <c r="K2058" i="11"/>
  <c r="J2060" i="11"/>
  <c r="T2060" i="11"/>
  <c r="K2060" i="11"/>
  <c r="J2062" i="11"/>
  <c r="T2062" i="11" s="1"/>
  <c r="K2062" i="11"/>
  <c r="J2064" i="11"/>
  <c r="T2064" i="11"/>
  <c r="K2064" i="11"/>
  <c r="J2066" i="11"/>
  <c r="T2066" i="11" s="1"/>
  <c r="K2066" i="11"/>
  <c r="J2068" i="11"/>
  <c r="T2068" i="11"/>
  <c r="K2068" i="11"/>
  <c r="J2070" i="11"/>
  <c r="T2070" i="11" s="1"/>
  <c r="K2070" i="11"/>
  <c r="J2072" i="11"/>
  <c r="T2072" i="11"/>
  <c r="K2072" i="11"/>
  <c r="J2074" i="11"/>
  <c r="T2074" i="11" s="1"/>
  <c r="K2074" i="11"/>
  <c r="J2076" i="11"/>
  <c r="T2076" i="11"/>
  <c r="K2076" i="11"/>
  <c r="J2078" i="11"/>
  <c r="T2078" i="11" s="1"/>
  <c r="K2078" i="11"/>
  <c r="J2080" i="11"/>
  <c r="T2080" i="11"/>
  <c r="K2080" i="11"/>
  <c r="J2082" i="11"/>
  <c r="T2082" i="11" s="1"/>
  <c r="K2082" i="11"/>
  <c r="J2084" i="11"/>
  <c r="T2084" i="11"/>
  <c r="K2084" i="11"/>
  <c r="J2086" i="11"/>
  <c r="T2086" i="11" s="1"/>
  <c r="K2086" i="11"/>
  <c r="J2088" i="11"/>
  <c r="T2088" i="11"/>
  <c r="K2088" i="11"/>
  <c r="J2090" i="11"/>
  <c r="T2090" i="11" s="1"/>
  <c r="K2090" i="11"/>
  <c r="J2092" i="11"/>
  <c r="T2092" i="11"/>
  <c r="K2092" i="11"/>
  <c r="J2094" i="11"/>
  <c r="T2094" i="11" s="1"/>
  <c r="K2094" i="11"/>
  <c r="J2096" i="11"/>
  <c r="T2096" i="11"/>
  <c r="K2096" i="11"/>
  <c r="J2098" i="11"/>
  <c r="T2098" i="11" s="1"/>
  <c r="K2098" i="11"/>
  <c r="J2100" i="11"/>
  <c r="T2100" i="11"/>
  <c r="K2100" i="11"/>
  <c r="J2102" i="11"/>
  <c r="T2102" i="11" s="1"/>
  <c r="K2102" i="11"/>
  <c r="J2104" i="11"/>
  <c r="T2104" i="11"/>
  <c r="K2104" i="11"/>
  <c r="J2106" i="11"/>
  <c r="T2106" i="11" s="1"/>
  <c r="K2106" i="11"/>
  <c r="J2108" i="11"/>
  <c r="T2108" i="11"/>
  <c r="K2108" i="11"/>
  <c r="J2110" i="11"/>
  <c r="T2110" i="11" s="1"/>
  <c r="K2110" i="11"/>
  <c r="J2112" i="11"/>
  <c r="T2112" i="11"/>
  <c r="K2112" i="11"/>
  <c r="J2114" i="11"/>
  <c r="T2114" i="11" s="1"/>
  <c r="K2114" i="11"/>
  <c r="J2116" i="11"/>
  <c r="T2116" i="11"/>
  <c r="K2116" i="11"/>
  <c r="J2118" i="11"/>
  <c r="T2118" i="11" s="1"/>
  <c r="K2118" i="11"/>
  <c r="J2120" i="11"/>
  <c r="T2120" i="11"/>
  <c r="K2120" i="11"/>
  <c r="J2122" i="11"/>
  <c r="T2122" i="11" s="1"/>
  <c r="K2122" i="11"/>
  <c r="J2124" i="11"/>
  <c r="T2124" i="11"/>
  <c r="K2124" i="11"/>
  <c r="J2126" i="11"/>
  <c r="T2126" i="11" s="1"/>
  <c r="K2126" i="11"/>
  <c r="J2128" i="11"/>
  <c r="T2128" i="11"/>
  <c r="K2128" i="11"/>
  <c r="J2130" i="11"/>
  <c r="T2130" i="11" s="1"/>
  <c r="K2130" i="11"/>
  <c r="J2132" i="11"/>
  <c r="T2132" i="11"/>
  <c r="K2132" i="11"/>
  <c r="J2134" i="11"/>
  <c r="T2134" i="11" s="1"/>
  <c r="K2134" i="11"/>
  <c r="J2136" i="11"/>
  <c r="T2136" i="11"/>
  <c r="K2136" i="11"/>
  <c r="J2138" i="11"/>
  <c r="T2138" i="11" s="1"/>
  <c r="K2138" i="11"/>
  <c r="J2140" i="11"/>
  <c r="T2140" i="11"/>
  <c r="K2140" i="11"/>
  <c r="J2142" i="11"/>
  <c r="T2142" i="11" s="1"/>
  <c r="K2142" i="11"/>
  <c r="J2144" i="11"/>
  <c r="T2144" i="11"/>
  <c r="K2144" i="11"/>
  <c r="J2146" i="11"/>
  <c r="T2146" i="11" s="1"/>
  <c r="K2146" i="11"/>
  <c r="J2148" i="11"/>
  <c r="T2148" i="11"/>
  <c r="K2148" i="11"/>
  <c r="J2150" i="11"/>
  <c r="T2150" i="11" s="1"/>
  <c r="K2150" i="11"/>
  <c r="J2152" i="11"/>
  <c r="T2152" i="11"/>
  <c r="K2152" i="11"/>
  <c r="J2154" i="11"/>
  <c r="T2154" i="11" s="1"/>
  <c r="K2154" i="11"/>
  <c r="J2156" i="11"/>
  <c r="T2156" i="11"/>
  <c r="K2156" i="11"/>
  <c r="J2158" i="11"/>
  <c r="T2158" i="11" s="1"/>
  <c r="K2158" i="11"/>
  <c r="J2160" i="11"/>
  <c r="T2160" i="11"/>
  <c r="K2160" i="11"/>
  <c r="J2162" i="11"/>
  <c r="T2162" i="11" s="1"/>
  <c r="K2162" i="11"/>
  <c r="J2164" i="11"/>
  <c r="T2164" i="11"/>
  <c r="K2164" i="11"/>
  <c r="J2166" i="11"/>
  <c r="T2166" i="11" s="1"/>
  <c r="K2166" i="11"/>
  <c r="J2168" i="11"/>
  <c r="T2168" i="11"/>
  <c r="K2168" i="11"/>
  <c r="J2170" i="11"/>
  <c r="T2170" i="11" s="1"/>
  <c r="K2170" i="11"/>
  <c r="J2172" i="11"/>
  <c r="T2172" i="11"/>
  <c r="K2172" i="11"/>
  <c r="J2174" i="11"/>
  <c r="T2174" i="11" s="1"/>
  <c r="K2174" i="11"/>
  <c r="J2176" i="11"/>
  <c r="T2176" i="11"/>
  <c r="K2176" i="11"/>
  <c r="J2178" i="11"/>
  <c r="T2178" i="11" s="1"/>
  <c r="K2178" i="11"/>
  <c r="J2180" i="11"/>
  <c r="T2180" i="11"/>
  <c r="K2180" i="11"/>
  <c r="J2182" i="11"/>
  <c r="T2182" i="11" s="1"/>
  <c r="K2182" i="11"/>
  <c r="J2184" i="11"/>
  <c r="T2184" i="11"/>
  <c r="K2184" i="11"/>
  <c r="J2186" i="11"/>
  <c r="T2186" i="11" s="1"/>
  <c r="K2186" i="11"/>
  <c r="J2188" i="11"/>
  <c r="T2188" i="11"/>
  <c r="K2188" i="11"/>
  <c r="J2190" i="11"/>
  <c r="T2190" i="11" s="1"/>
  <c r="K2190" i="11"/>
  <c r="J2192" i="11"/>
  <c r="T2192" i="11"/>
  <c r="K2192" i="11"/>
  <c r="J2194" i="11"/>
  <c r="T2194" i="11" s="1"/>
  <c r="K2194" i="11"/>
  <c r="J2196" i="11"/>
  <c r="T2196" i="11"/>
  <c r="K2196" i="11"/>
  <c r="J2198" i="11"/>
  <c r="T2198" i="11" s="1"/>
  <c r="K2198" i="11"/>
  <c r="J2200" i="11"/>
  <c r="T2200" i="11"/>
  <c r="K2200" i="11"/>
  <c r="J2202" i="11"/>
  <c r="T2202" i="11" s="1"/>
  <c r="K2202" i="11"/>
  <c r="J2204" i="11"/>
  <c r="T2204" i="11"/>
  <c r="K2204" i="11"/>
  <c r="J2206" i="11"/>
  <c r="T2206" i="11" s="1"/>
  <c r="K2206" i="11"/>
  <c r="J2208" i="11"/>
  <c r="T2208" i="11"/>
  <c r="K2208" i="11"/>
  <c r="J2210" i="11"/>
  <c r="T2210" i="11" s="1"/>
  <c r="K2210" i="11"/>
  <c r="J2212" i="11"/>
  <c r="T2212" i="11"/>
  <c r="K2212" i="11"/>
  <c r="J2214" i="11"/>
  <c r="T2214" i="11" s="1"/>
  <c r="K2214" i="11"/>
  <c r="J2216" i="11"/>
  <c r="T2216" i="11"/>
  <c r="K2216" i="11"/>
  <c r="J2218" i="11"/>
  <c r="T2218" i="11" s="1"/>
  <c r="K2218" i="11"/>
  <c r="J2220" i="11"/>
  <c r="T2220" i="11"/>
  <c r="K2220" i="11"/>
  <c r="J2222" i="11"/>
  <c r="T2222" i="11" s="1"/>
  <c r="K2222" i="11"/>
  <c r="J2224" i="11"/>
  <c r="T2224" i="11"/>
  <c r="K2224" i="11"/>
  <c r="J2226" i="11"/>
  <c r="T2226" i="11" s="1"/>
  <c r="K2226" i="11"/>
  <c r="J2228" i="11"/>
  <c r="T2228" i="11"/>
  <c r="K2228" i="11"/>
  <c r="J2230" i="11"/>
  <c r="T2230" i="11" s="1"/>
  <c r="K2230" i="11"/>
  <c r="J2232" i="11"/>
  <c r="T2232" i="11"/>
  <c r="K2232" i="11"/>
  <c r="J2234" i="11"/>
  <c r="T2234" i="11" s="1"/>
  <c r="K2234" i="11"/>
  <c r="J2236" i="11"/>
  <c r="T2236" i="11"/>
  <c r="K2236" i="11"/>
  <c r="J2238" i="11"/>
  <c r="T2238" i="11" s="1"/>
  <c r="K2238" i="11"/>
  <c r="J2240" i="11"/>
  <c r="T2240" i="11"/>
  <c r="K2240" i="11"/>
  <c r="J2242" i="11"/>
  <c r="T2242" i="11" s="1"/>
  <c r="K2242" i="11"/>
  <c r="J2244" i="11"/>
  <c r="T2244" i="11"/>
  <c r="K2244" i="11"/>
  <c r="J2246" i="11"/>
  <c r="T2246" i="11" s="1"/>
  <c r="K2246" i="11"/>
  <c r="J2248" i="11"/>
  <c r="T2248" i="11"/>
  <c r="K2248" i="11"/>
  <c r="J2250" i="11"/>
  <c r="T2250" i="11" s="1"/>
  <c r="K2250" i="11"/>
  <c r="J2252" i="11"/>
  <c r="T2252" i="11"/>
  <c r="K2252" i="11"/>
  <c r="J2254" i="11"/>
  <c r="T2254" i="11" s="1"/>
  <c r="K2254" i="11"/>
  <c r="J2256" i="11"/>
  <c r="T2256" i="11"/>
  <c r="K2256" i="11"/>
  <c r="J2258" i="11"/>
  <c r="T2258" i="11" s="1"/>
  <c r="K2258" i="11"/>
  <c r="J2260" i="11"/>
  <c r="T2260" i="11"/>
  <c r="K2260" i="11"/>
  <c r="J2262" i="11"/>
  <c r="T2262" i="11" s="1"/>
  <c r="K2262" i="11"/>
  <c r="J2264" i="11"/>
  <c r="T2264" i="11"/>
  <c r="K2264" i="11"/>
  <c r="J2266" i="11"/>
  <c r="T2266" i="11" s="1"/>
  <c r="K2266" i="11"/>
  <c r="J2268" i="11"/>
  <c r="T2268" i="11"/>
  <c r="K2268" i="11"/>
  <c r="J2270" i="11"/>
  <c r="T2270" i="11" s="1"/>
  <c r="K2270" i="11"/>
  <c r="J2272" i="11"/>
  <c r="T2272" i="11"/>
  <c r="K2272" i="11"/>
  <c r="J2274" i="11"/>
  <c r="T2274" i="11" s="1"/>
  <c r="K2274" i="11"/>
  <c r="J2276" i="11"/>
  <c r="T2276" i="11"/>
  <c r="K2276" i="11"/>
  <c r="J2278" i="11"/>
  <c r="T2278" i="11" s="1"/>
  <c r="K2278" i="11"/>
  <c r="J2280" i="11"/>
  <c r="T2280" i="11"/>
  <c r="K2280" i="11"/>
  <c r="J2282" i="11"/>
  <c r="T2282" i="11" s="1"/>
  <c r="K2282" i="11"/>
  <c r="J2284" i="11"/>
  <c r="T2284" i="11"/>
  <c r="K2284" i="11"/>
  <c r="J2286" i="11"/>
  <c r="T2286" i="11" s="1"/>
  <c r="K2286" i="11"/>
  <c r="J2288" i="11"/>
  <c r="T2288" i="11"/>
  <c r="K2288" i="11"/>
  <c r="J2290" i="11"/>
  <c r="T2290" i="11" s="1"/>
  <c r="K2290" i="11"/>
  <c r="J2292" i="11"/>
  <c r="T2292" i="11"/>
  <c r="K2292" i="11"/>
  <c r="J2294" i="11"/>
  <c r="T2294" i="11" s="1"/>
  <c r="K2294" i="11"/>
  <c r="J2296" i="11"/>
  <c r="T2296" i="11"/>
  <c r="K2296" i="11"/>
  <c r="J2298" i="11"/>
  <c r="T2298" i="11" s="1"/>
  <c r="K2298" i="11"/>
  <c r="J2300" i="11"/>
  <c r="T2300" i="11"/>
  <c r="K2300" i="11"/>
  <c r="J2302" i="11"/>
  <c r="T2302" i="11" s="1"/>
  <c r="K2302" i="11"/>
  <c r="J2304" i="11"/>
  <c r="T2304" i="11"/>
  <c r="K2304" i="11"/>
  <c r="J2306" i="11"/>
  <c r="T2306" i="11" s="1"/>
  <c r="K2306" i="11"/>
  <c r="J2308" i="11"/>
  <c r="T2308" i="11"/>
  <c r="K2308" i="11"/>
  <c r="J2310" i="11"/>
  <c r="T2310" i="11" s="1"/>
  <c r="K2310" i="11"/>
  <c r="J2312" i="11"/>
  <c r="T2312" i="11"/>
  <c r="K2312" i="11"/>
  <c r="J2314" i="11"/>
  <c r="T2314" i="11" s="1"/>
  <c r="K2314" i="11"/>
  <c r="J2316" i="11"/>
  <c r="T2316" i="11"/>
  <c r="K2316" i="11"/>
  <c r="J2318" i="11"/>
  <c r="T2318" i="11" s="1"/>
  <c r="K2318" i="11"/>
  <c r="J2320" i="11"/>
  <c r="T2320" i="11"/>
  <c r="K2320" i="11"/>
  <c r="J2322" i="11"/>
  <c r="T2322" i="11" s="1"/>
  <c r="K2322" i="11"/>
  <c r="J2324" i="11"/>
  <c r="T2324" i="11"/>
  <c r="K2324" i="11"/>
  <c r="J2326" i="11"/>
  <c r="T2326" i="11" s="1"/>
  <c r="K2326" i="11"/>
  <c r="J2328" i="11"/>
  <c r="T2328" i="11"/>
  <c r="K2328" i="11"/>
  <c r="J2330" i="11"/>
  <c r="T2330" i="11" s="1"/>
  <c r="K2330" i="11"/>
  <c r="J2332" i="11"/>
  <c r="T2332" i="11"/>
  <c r="K2332" i="11"/>
  <c r="J2334" i="11"/>
  <c r="T2334" i="11" s="1"/>
  <c r="K2334" i="11"/>
  <c r="J2336" i="11"/>
  <c r="T2336" i="11"/>
  <c r="K2336" i="11"/>
  <c r="J2338" i="11"/>
  <c r="T2338" i="11" s="1"/>
  <c r="K2338" i="11"/>
  <c r="J2340" i="11"/>
  <c r="T2340" i="11"/>
  <c r="K2340" i="11"/>
  <c r="J2342" i="11"/>
  <c r="T2342" i="11" s="1"/>
  <c r="K2342" i="11"/>
  <c r="J2344" i="11"/>
  <c r="T2344" i="11"/>
  <c r="K2344" i="11"/>
  <c r="J2346" i="11"/>
  <c r="T2346" i="11" s="1"/>
  <c r="K2346" i="11"/>
  <c r="J2348" i="11"/>
  <c r="T2348" i="11"/>
  <c r="K2348" i="11"/>
  <c r="J2350" i="11"/>
  <c r="T2350" i="11" s="1"/>
  <c r="K2350" i="11"/>
  <c r="J2352" i="11"/>
  <c r="T2352" i="11"/>
  <c r="K2352" i="11"/>
  <c r="J2354" i="11"/>
  <c r="T2354" i="11" s="1"/>
  <c r="K2354" i="11"/>
  <c r="J2356" i="11"/>
  <c r="T2356" i="11"/>
  <c r="K2356" i="11"/>
  <c r="J2358" i="11"/>
  <c r="T2358" i="11" s="1"/>
  <c r="K2358" i="11"/>
  <c r="J2360" i="11"/>
  <c r="T2360" i="11"/>
  <c r="K2360" i="11"/>
  <c r="J2362" i="11"/>
  <c r="T2362" i="11" s="1"/>
  <c r="K2362" i="11"/>
  <c r="J2364" i="11"/>
  <c r="T2364" i="11"/>
  <c r="K2364" i="11"/>
  <c r="J2366" i="11"/>
  <c r="T2366" i="11" s="1"/>
  <c r="K2366" i="11"/>
  <c r="J2368" i="11"/>
  <c r="T2368" i="11"/>
  <c r="K2368" i="11"/>
  <c r="J2370" i="11"/>
  <c r="T2370" i="11" s="1"/>
  <c r="K2370" i="11"/>
  <c r="J2372" i="11"/>
  <c r="T2372" i="11"/>
  <c r="K2372" i="11"/>
  <c r="J2374" i="11"/>
  <c r="T2374" i="11" s="1"/>
  <c r="K2374" i="11"/>
  <c r="J2376" i="11"/>
  <c r="T2376" i="11"/>
  <c r="K2376" i="11"/>
  <c r="J2378" i="11"/>
  <c r="T2378" i="11" s="1"/>
  <c r="K2378" i="11"/>
  <c r="J2380" i="11"/>
  <c r="T2380" i="11"/>
  <c r="K2380" i="11"/>
  <c r="J2382" i="11"/>
  <c r="T2382" i="11" s="1"/>
  <c r="K2382" i="11"/>
  <c r="J2384" i="11"/>
  <c r="T2384" i="11"/>
  <c r="K2384" i="11"/>
  <c r="J2386" i="11"/>
  <c r="T2386" i="11" s="1"/>
  <c r="K2386" i="11"/>
  <c r="J2388" i="11"/>
  <c r="T2388" i="11"/>
  <c r="K2388" i="11"/>
  <c r="J2390" i="11"/>
  <c r="T2390" i="11" s="1"/>
  <c r="K2390" i="11"/>
  <c r="J2392" i="11"/>
  <c r="T2392" i="11"/>
  <c r="K2392" i="11"/>
  <c r="J2394" i="11"/>
  <c r="T2394" i="11" s="1"/>
  <c r="K2394" i="11"/>
  <c r="J2396" i="11"/>
  <c r="T2396" i="11"/>
  <c r="K2396" i="11"/>
  <c r="J2398" i="11"/>
  <c r="T2398" i="11" s="1"/>
  <c r="K2398" i="11"/>
  <c r="J2400" i="11"/>
  <c r="T2400" i="11"/>
  <c r="K2400" i="11"/>
  <c r="J2402" i="11"/>
  <c r="T2402" i="11" s="1"/>
  <c r="K2402" i="11"/>
  <c r="J2404" i="11"/>
  <c r="T2404" i="11"/>
  <c r="K2404" i="11"/>
  <c r="J2406" i="11"/>
  <c r="T2406" i="11" s="1"/>
  <c r="K2406" i="11"/>
  <c r="J2408" i="11"/>
  <c r="T2408" i="11"/>
  <c r="K2408" i="11"/>
  <c r="J2410" i="11"/>
  <c r="T2410" i="11" s="1"/>
  <c r="K2410" i="11"/>
  <c r="J2412" i="11"/>
  <c r="T2412" i="11"/>
  <c r="K2412" i="11"/>
  <c r="J2414" i="11"/>
  <c r="T2414" i="11" s="1"/>
  <c r="K2414" i="11"/>
  <c r="J2416" i="11"/>
  <c r="T2416" i="11"/>
  <c r="K2416" i="11"/>
  <c r="J2418" i="11"/>
  <c r="T2418" i="11" s="1"/>
  <c r="K2418" i="11"/>
  <c r="J2420" i="11"/>
  <c r="T2420" i="11"/>
  <c r="K2420" i="11"/>
  <c r="J2422" i="11"/>
  <c r="T2422" i="11" s="1"/>
  <c r="K2422" i="11"/>
  <c r="J2424" i="11"/>
  <c r="T2424" i="11"/>
  <c r="K2424" i="11"/>
  <c r="J2426" i="11"/>
  <c r="T2426" i="11" s="1"/>
  <c r="K2426" i="11"/>
  <c r="J2428" i="11"/>
  <c r="T2428" i="11"/>
  <c r="K2428" i="11"/>
  <c r="J2430" i="11"/>
  <c r="T2430" i="11" s="1"/>
  <c r="K2430" i="11"/>
  <c r="J2432" i="11"/>
  <c r="T2432" i="11"/>
  <c r="K2432" i="11"/>
  <c r="J2434" i="11"/>
  <c r="T2434" i="11" s="1"/>
  <c r="K2434" i="11"/>
  <c r="J2436" i="11"/>
  <c r="T2436" i="11"/>
  <c r="K2436" i="11"/>
  <c r="J2438" i="11"/>
  <c r="T2438" i="11" s="1"/>
  <c r="K2438" i="11"/>
  <c r="J2440" i="11"/>
  <c r="T2440" i="11"/>
  <c r="K2440" i="11"/>
  <c r="J2442" i="11"/>
  <c r="T2442" i="11" s="1"/>
  <c r="K2442" i="11"/>
  <c r="J2444" i="11"/>
  <c r="T2444" i="11"/>
  <c r="K2444" i="11"/>
  <c r="J2446" i="11"/>
  <c r="T2446" i="11" s="1"/>
  <c r="K2446" i="11"/>
  <c r="J2448" i="11"/>
  <c r="T2448" i="11"/>
  <c r="K2448" i="11"/>
  <c r="J2450" i="11"/>
  <c r="T2450" i="11" s="1"/>
  <c r="K2450" i="11"/>
  <c r="J2452" i="11"/>
  <c r="T2452" i="11"/>
  <c r="K2452" i="11"/>
  <c r="J2454" i="11"/>
  <c r="T2454" i="11" s="1"/>
  <c r="K2454" i="11"/>
  <c r="J2456" i="11"/>
  <c r="T2456" i="11"/>
  <c r="K2456" i="11"/>
  <c r="J2458" i="11"/>
  <c r="T2458" i="11" s="1"/>
  <c r="K2458" i="11"/>
  <c r="J2460" i="11"/>
  <c r="T2460" i="11"/>
  <c r="K2460" i="11"/>
  <c r="J2462" i="11"/>
  <c r="T2462" i="11" s="1"/>
  <c r="K2462" i="11"/>
  <c r="J2464" i="11"/>
  <c r="T2464" i="11"/>
  <c r="K2464" i="11"/>
  <c r="J2466" i="11"/>
  <c r="T2466" i="11" s="1"/>
  <c r="K2466" i="11"/>
  <c r="J2468" i="11"/>
  <c r="T2468" i="11"/>
  <c r="K2468" i="11"/>
  <c r="J2470" i="11"/>
  <c r="T2470" i="11" s="1"/>
  <c r="K2470" i="11"/>
  <c r="J2472" i="11"/>
  <c r="T2472" i="11"/>
  <c r="K2472" i="11"/>
  <c r="J2474" i="11"/>
  <c r="T2474" i="11" s="1"/>
  <c r="K2474" i="11"/>
  <c r="J2476" i="11"/>
  <c r="T2476" i="11"/>
  <c r="K2476" i="11"/>
  <c r="J2478" i="11"/>
  <c r="T2478" i="11" s="1"/>
  <c r="K2478" i="11"/>
  <c r="J2480" i="11"/>
  <c r="T2480" i="11"/>
  <c r="K2480" i="11"/>
  <c r="J2482" i="11"/>
  <c r="T2482" i="11" s="1"/>
  <c r="K2482" i="11"/>
  <c r="J2484" i="11"/>
  <c r="T2484" i="11"/>
  <c r="K2484" i="11"/>
  <c r="J2486" i="11"/>
  <c r="T2486" i="11" s="1"/>
  <c r="K2486" i="11"/>
  <c r="J2488" i="11"/>
  <c r="T2488" i="11"/>
  <c r="K2488" i="11"/>
  <c r="J2490" i="11"/>
  <c r="T2490" i="11" s="1"/>
  <c r="K2490" i="11"/>
  <c r="J2492" i="11"/>
  <c r="T2492" i="11"/>
  <c r="K2492" i="11"/>
  <c r="J2494" i="11"/>
  <c r="T2494" i="11" s="1"/>
  <c r="K2494" i="11"/>
  <c r="J2496" i="11"/>
  <c r="T2496" i="11"/>
  <c r="K2496" i="11"/>
  <c r="J16" i="11"/>
  <c r="T16" i="11" s="1"/>
  <c r="K16" i="11"/>
  <c r="J20" i="11"/>
  <c r="T20" i="11"/>
  <c r="K20" i="11"/>
  <c r="J24" i="11"/>
  <c r="T24" i="11" s="1"/>
  <c r="K24" i="11"/>
  <c r="J28" i="11"/>
  <c r="T28" i="11"/>
  <c r="K28" i="11"/>
  <c r="J32" i="11"/>
  <c r="T32" i="11" s="1"/>
  <c r="K32" i="11"/>
  <c r="J36" i="11"/>
  <c r="T36" i="11"/>
  <c r="K36" i="11"/>
  <c r="J40" i="11"/>
  <c r="T40" i="11" s="1"/>
  <c r="K40" i="11"/>
  <c r="J44" i="11"/>
  <c r="T44" i="11"/>
  <c r="K44" i="11"/>
  <c r="J48" i="11"/>
  <c r="T48" i="11" s="1"/>
  <c r="K48" i="11"/>
  <c r="J52" i="11"/>
  <c r="T52" i="11"/>
  <c r="K52" i="11"/>
  <c r="J56" i="11"/>
  <c r="T56" i="11" s="1"/>
  <c r="K56" i="11"/>
  <c r="J60" i="11"/>
  <c r="T60" i="11"/>
  <c r="K60" i="11"/>
  <c r="J64" i="11"/>
  <c r="T64" i="11" s="1"/>
  <c r="K64" i="11"/>
  <c r="J68" i="11"/>
  <c r="T68" i="11"/>
  <c r="K68" i="11"/>
  <c r="J72" i="11"/>
  <c r="T72" i="11" s="1"/>
  <c r="K72" i="11"/>
  <c r="J76" i="11"/>
  <c r="T76" i="11"/>
  <c r="K76" i="11"/>
  <c r="J80" i="11"/>
  <c r="T80" i="11" s="1"/>
  <c r="K80" i="11"/>
  <c r="J84" i="11"/>
  <c r="T84" i="11"/>
  <c r="K84" i="11"/>
  <c r="J88" i="11"/>
  <c r="T88" i="11" s="1"/>
  <c r="K88" i="11"/>
  <c r="J92" i="11"/>
  <c r="T92" i="11"/>
  <c r="K92" i="11"/>
  <c r="J96" i="11"/>
  <c r="T96" i="11" s="1"/>
  <c r="K96" i="11"/>
  <c r="J100" i="11"/>
  <c r="T100" i="11"/>
  <c r="K100" i="11"/>
  <c r="J104" i="11"/>
  <c r="T104" i="11" s="1"/>
  <c r="K104" i="11"/>
  <c r="J108" i="11"/>
  <c r="T108" i="11"/>
  <c r="K108" i="11"/>
  <c r="J112" i="11"/>
  <c r="T112" i="11" s="1"/>
  <c r="K112" i="11"/>
  <c r="J116" i="11"/>
  <c r="T116" i="11"/>
  <c r="K116" i="11"/>
  <c r="J120" i="11"/>
  <c r="T120" i="11" s="1"/>
  <c r="K120" i="11"/>
  <c r="J124" i="11"/>
  <c r="T124" i="11"/>
  <c r="K124" i="11"/>
  <c r="J128" i="11"/>
  <c r="T128" i="11" s="1"/>
  <c r="K128" i="11"/>
  <c r="J132" i="11"/>
  <c r="T132" i="11"/>
  <c r="K132" i="11"/>
  <c r="J136" i="11"/>
  <c r="T136" i="11" s="1"/>
  <c r="K136" i="11"/>
  <c r="J140" i="11"/>
  <c r="T140" i="11"/>
  <c r="K140" i="11"/>
  <c r="J144" i="11"/>
  <c r="T144" i="11" s="1"/>
  <c r="K144" i="11"/>
  <c r="J148" i="11"/>
  <c r="T148" i="11"/>
  <c r="K148" i="11"/>
  <c r="J152" i="11"/>
  <c r="T152" i="11" s="1"/>
  <c r="K152" i="11"/>
  <c r="J156" i="11"/>
  <c r="T156" i="11"/>
  <c r="K156" i="11"/>
  <c r="J160" i="11"/>
  <c r="T160" i="11" s="1"/>
  <c r="K160" i="11"/>
  <c r="J164" i="11"/>
  <c r="T164" i="11"/>
  <c r="K164" i="11"/>
  <c r="J168" i="11"/>
  <c r="T168" i="11" s="1"/>
  <c r="K168" i="11"/>
  <c r="J172" i="11"/>
  <c r="T172" i="11"/>
  <c r="K172" i="11"/>
  <c r="J176" i="11"/>
  <c r="T176" i="11" s="1"/>
  <c r="K176" i="11"/>
  <c r="J180" i="11"/>
  <c r="T180" i="11"/>
  <c r="K180" i="11"/>
  <c r="J184" i="11"/>
  <c r="T184" i="11" s="1"/>
  <c r="K184" i="11"/>
  <c r="J188" i="11"/>
  <c r="T188" i="11"/>
  <c r="K188" i="11"/>
  <c r="J192" i="11"/>
  <c r="T192" i="11" s="1"/>
  <c r="K192" i="11"/>
  <c r="J196" i="11"/>
  <c r="T196" i="11"/>
  <c r="K196" i="11"/>
  <c r="J200" i="11"/>
  <c r="T200" i="11" s="1"/>
  <c r="K200" i="11"/>
  <c r="J204" i="11"/>
  <c r="T204" i="11"/>
  <c r="K204" i="11"/>
  <c r="J208" i="11"/>
  <c r="T208" i="11" s="1"/>
  <c r="K208" i="11"/>
  <c r="J212" i="11"/>
  <c r="T212" i="11"/>
  <c r="K212" i="11"/>
  <c r="J216" i="11"/>
  <c r="T216" i="11" s="1"/>
  <c r="K216" i="11"/>
  <c r="J220" i="11"/>
  <c r="T220" i="11"/>
  <c r="K220" i="11"/>
  <c r="J224" i="11"/>
  <c r="T224" i="11" s="1"/>
  <c r="K224" i="11"/>
  <c r="J228" i="11"/>
  <c r="T228" i="11"/>
  <c r="K228" i="11"/>
  <c r="J232" i="11"/>
  <c r="T232" i="11" s="1"/>
  <c r="K232" i="11"/>
  <c r="J236" i="11"/>
  <c r="T236" i="11"/>
  <c r="K236" i="11"/>
  <c r="J240" i="11"/>
  <c r="T240" i="11" s="1"/>
  <c r="K240" i="11"/>
  <c r="J244" i="11"/>
  <c r="T244" i="11"/>
  <c r="K244" i="11"/>
  <c r="J248" i="11"/>
  <c r="T248" i="11" s="1"/>
  <c r="K248" i="11"/>
  <c r="J252" i="11"/>
  <c r="T252" i="11"/>
  <c r="K252" i="11"/>
  <c r="J256" i="11"/>
  <c r="T256" i="11" s="1"/>
  <c r="K256" i="11"/>
  <c r="J260" i="11"/>
  <c r="T260" i="11"/>
  <c r="K260" i="11"/>
  <c r="J264" i="11"/>
  <c r="T264" i="11" s="1"/>
  <c r="K264" i="11"/>
  <c r="J268" i="11"/>
  <c r="T268" i="11"/>
  <c r="K268" i="11"/>
  <c r="J272" i="11"/>
  <c r="T272" i="11" s="1"/>
  <c r="K272" i="11"/>
  <c r="J276" i="11"/>
  <c r="T276" i="11"/>
  <c r="K276" i="11"/>
  <c r="J280" i="11"/>
  <c r="T280" i="11" s="1"/>
  <c r="K280" i="11"/>
  <c r="J284" i="11"/>
  <c r="T284" i="11"/>
  <c r="K284" i="11"/>
  <c r="J288" i="11"/>
  <c r="T288" i="11" s="1"/>
  <c r="K288" i="11"/>
  <c r="J292" i="11"/>
  <c r="T292" i="11"/>
  <c r="K292" i="11"/>
  <c r="J296" i="11"/>
  <c r="T296" i="11" s="1"/>
  <c r="K296" i="11"/>
  <c r="J300" i="11"/>
  <c r="T300" i="11"/>
  <c r="K300" i="11"/>
  <c r="J304" i="11"/>
  <c r="T304" i="11" s="1"/>
  <c r="K304" i="11"/>
  <c r="J308" i="11"/>
  <c r="T308" i="11"/>
  <c r="K308" i="11"/>
  <c r="J312" i="11"/>
  <c r="T312" i="11" s="1"/>
  <c r="K312" i="11"/>
  <c r="J316" i="11"/>
  <c r="T316" i="11"/>
  <c r="K316" i="11"/>
  <c r="J320" i="11"/>
  <c r="T320" i="11" s="1"/>
  <c r="K320" i="11"/>
  <c r="J324" i="11"/>
  <c r="T324" i="11"/>
  <c r="K324" i="11"/>
  <c r="J328" i="11"/>
  <c r="T328" i="11" s="1"/>
  <c r="K328" i="11"/>
  <c r="J332" i="11"/>
  <c r="T332" i="11"/>
  <c r="K332" i="11"/>
  <c r="J336" i="11"/>
  <c r="T336" i="11" s="1"/>
  <c r="K336" i="11"/>
  <c r="J340" i="11"/>
  <c r="T340" i="11"/>
  <c r="K340" i="11"/>
  <c r="J344" i="11"/>
  <c r="T344" i="11" s="1"/>
  <c r="K344" i="11"/>
  <c r="J348" i="11"/>
  <c r="T348" i="11"/>
  <c r="K348" i="11"/>
  <c r="J352" i="11"/>
  <c r="T352" i="11" s="1"/>
  <c r="K352" i="11"/>
  <c r="J356" i="11"/>
  <c r="T356" i="11"/>
  <c r="K356" i="11"/>
  <c r="J360" i="11"/>
  <c r="T360" i="11" s="1"/>
  <c r="K360" i="11"/>
  <c r="J364" i="11"/>
  <c r="T364" i="11"/>
  <c r="K364" i="11"/>
  <c r="J368" i="11"/>
  <c r="T368" i="11" s="1"/>
  <c r="K368" i="11"/>
  <c r="J372" i="11"/>
  <c r="T372" i="11"/>
  <c r="K372" i="11"/>
  <c r="J376" i="11"/>
  <c r="T376" i="11" s="1"/>
  <c r="K376" i="11"/>
  <c r="J380" i="11"/>
  <c r="T380" i="11"/>
  <c r="K380" i="11"/>
  <c r="J384" i="11"/>
  <c r="T384" i="11" s="1"/>
  <c r="K384" i="11"/>
  <c r="J388" i="11"/>
  <c r="T388" i="11"/>
  <c r="K388" i="11"/>
  <c r="J392" i="11"/>
  <c r="T392" i="11" s="1"/>
  <c r="K392" i="11"/>
  <c r="J396" i="11"/>
  <c r="T396" i="11"/>
  <c r="K396" i="11"/>
  <c r="J400" i="11"/>
  <c r="T400" i="11" s="1"/>
  <c r="K400" i="11"/>
  <c r="J404" i="11"/>
  <c r="T404" i="11"/>
  <c r="K404" i="11"/>
  <c r="J408" i="11"/>
  <c r="T408" i="11" s="1"/>
  <c r="K408" i="11"/>
  <c r="J412" i="11"/>
  <c r="T412" i="11"/>
  <c r="K412" i="11"/>
  <c r="J416" i="11"/>
  <c r="T416" i="11" s="1"/>
  <c r="K416" i="11"/>
  <c r="J420" i="11"/>
  <c r="T420" i="11"/>
  <c r="K420" i="11"/>
  <c r="J424" i="11"/>
  <c r="T424" i="11" s="1"/>
  <c r="K424" i="11"/>
  <c r="J428" i="11"/>
  <c r="T428" i="11"/>
  <c r="K428" i="11"/>
  <c r="J432" i="11"/>
  <c r="T432" i="11" s="1"/>
  <c r="K432" i="11"/>
  <c r="J436" i="11"/>
  <c r="T436" i="11"/>
  <c r="K436" i="11"/>
  <c r="J440" i="11"/>
  <c r="T440" i="11" s="1"/>
  <c r="K440" i="11"/>
  <c r="J444" i="11"/>
  <c r="T444" i="11"/>
  <c r="K444" i="11"/>
  <c r="J448" i="11"/>
  <c r="T448" i="11" s="1"/>
  <c r="K448" i="11"/>
  <c r="J452" i="11"/>
  <c r="T452" i="11"/>
  <c r="K452" i="11"/>
  <c r="J456" i="11"/>
  <c r="T456" i="11" s="1"/>
  <c r="K456" i="11"/>
  <c r="J460" i="11"/>
  <c r="T460" i="11"/>
  <c r="K460" i="11"/>
  <c r="J464" i="11"/>
  <c r="T464" i="11" s="1"/>
  <c r="K464" i="11"/>
  <c r="J468" i="11"/>
  <c r="T468" i="11"/>
  <c r="K468" i="11"/>
  <c r="J472" i="11"/>
  <c r="T472" i="11" s="1"/>
  <c r="K472" i="11"/>
  <c r="J476" i="11"/>
  <c r="T476" i="11"/>
  <c r="K476" i="11"/>
  <c r="J480" i="11"/>
  <c r="T480" i="11" s="1"/>
  <c r="K480" i="11"/>
  <c r="J484" i="11"/>
  <c r="T484" i="11"/>
  <c r="K484" i="11"/>
  <c r="J488" i="11"/>
  <c r="T488" i="11" s="1"/>
  <c r="K488" i="11"/>
  <c r="J492" i="11"/>
  <c r="T492" i="11"/>
  <c r="K492" i="11"/>
  <c r="J496" i="11"/>
  <c r="T496" i="11" s="1"/>
  <c r="K496" i="11"/>
  <c r="J500" i="11"/>
  <c r="T500" i="11"/>
  <c r="K500" i="11"/>
  <c r="J504" i="11"/>
  <c r="T504" i="11" s="1"/>
  <c r="K504" i="11"/>
  <c r="J508" i="11"/>
  <c r="T508" i="11"/>
  <c r="K508" i="11"/>
  <c r="J512" i="11"/>
  <c r="T512" i="11" s="1"/>
  <c r="K512" i="11"/>
  <c r="J516" i="11"/>
  <c r="T516" i="11"/>
  <c r="K516" i="11"/>
  <c r="J520" i="11"/>
  <c r="T520" i="11" s="1"/>
  <c r="K520" i="11"/>
  <c r="J524" i="11"/>
  <c r="T524" i="11"/>
  <c r="K524" i="11"/>
  <c r="J528" i="11"/>
  <c r="T528" i="11" s="1"/>
  <c r="K528" i="11"/>
  <c r="J532" i="11"/>
  <c r="T532" i="11"/>
  <c r="K532" i="11"/>
  <c r="J536" i="11"/>
  <c r="T536" i="11" s="1"/>
  <c r="K536" i="11"/>
  <c r="J540" i="11"/>
  <c r="T540" i="11"/>
  <c r="K540" i="11"/>
  <c r="J544" i="11"/>
  <c r="T544" i="11" s="1"/>
  <c r="K544" i="11"/>
  <c r="J548" i="11"/>
  <c r="T548" i="11"/>
  <c r="K548" i="11"/>
  <c r="J552" i="11"/>
  <c r="T552" i="11" s="1"/>
  <c r="K552" i="11"/>
  <c r="J556" i="11"/>
  <c r="T556" i="11"/>
  <c r="K556" i="11"/>
  <c r="J560" i="11"/>
  <c r="T560" i="11" s="1"/>
  <c r="K560" i="11"/>
  <c r="J564" i="11"/>
  <c r="T564" i="11"/>
  <c r="K564" i="11"/>
  <c r="J568" i="11"/>
  <c r="T568" i="11" s="1"/>
  <c r="K568" i="11"/>
  <c r="J572" i="11"/>
  <c r="T572" i="11"/>
  <c r="K572" i="11"/>
  <c r="J576" i="11"/>
  <c r="T576" i="11" s="1"/>
  <c r="K576" i="11"/>
  <c r="J580" i="11"/>
  <c r="T580" i="11"/>
  <c r="K580" i="11"/>
  <c r="J584" i="11"/>
  <c r="T584" i="11" s="1"/>
  <c r="K584" i="11"/>
  <c r="J588" i="11"/>
  <c r="T588" i="11"/>
  <c r="K588" i="11"/>
  <c r="J592" i="11"/>
  <c r="T592" i="11" s="1"/>
  <c r="K592" i="11"/>
  <c r="J596" i="11"/>
  <c r="T596" i="11"/>
  <c r="K596" i="11"/>
  <c r="J600" i="11"/>
  <c r="T600" i="11" s="1"/>
  <c r="K600" i="11"/>
  <c r="J604" i="11"/>
  <c r="T604" i="11"/>
  <c r="K604" i="11"/>
  <c r="J608" i="11"/>
  <c r="T608" i="11" s="1"/>
  <c r="K608" i="11"/>
  <c r="J612" i="11"/>
  <c r="T612" i="11"/>
  <c r="K612" i="11"/>
  <c r="J616" i="11"/>
  <c r="T616" i="11" s="1"/>
  <c r="K616" i="11"/>
  <c r="J620" i="11"/>
  <c r="T620" i="11"/>
  <c r="K620" i="11"/>
  <c r="J624" i="11"/>
  <c r="T624" i="11" s="1"/>
  <c r="K624" i="11"/>
  <c r="J628" i="11"/>
  <c r="T628" i="11"/>
  <c r="K628" i="11"/>
  <c r="J632" i="11"/>
  <c r="T632" i="11" s="1"/>
  <c r="K632" i="11"/>
  <c r="J636" i="11"/>
  <c r="T636" i="11"/>
  <c r="K636" i="11"/>
  <c r="J640" i="11"/>
  <c r="T640" i="11" s="1"/>
  <c r="K640" i="11"/>
  <c r="J644" i="11"/>
  <c r="T644" i="11"/>
  <c r="K644" i="11"/>
  <c r="J648" i="11"/>
  <c r="T648" i="11" s="1"/>
  <c r="K648" i="11"/>
  <c r="J652" i="11"/>
  <c r="T652" i="11"/>
  <c r="K652" i="11"/>
  <c r="J656" i="11"/>
  <c r="T656" i="11" s="1"/>
  <c r="K656" i="11"/>
  <c r="J660" i="11"/>
  <c r="T660" i="11"/>
  <c r="K660" i="11"/>
  <c r="J664" i="11"/>
  <c r="T664" i="11" s="1"/>
  <c r="K664" i="11"/>
  <c r="J668" i="11"/>
  <c r="T668" i="11"/>
  <c r="K668" i="11"/>
  <c r="J672" i="11"/>
  <c r="T672" i="11" s="1"/>
  <c r="K672" i="11"/>
  <c r="J676" i="11"/>
  <c r="T676" i="11"/>
  <c r="K676" i="11"/>
  <c r="J680" i="11"/>
  <c r="T680" i="11" s="1"/>
  <c r="K680" i="11"/>
  <c r="J684" i="11"/>
  <c r="T684" i="11"/>
  <c r="K684" i="11"/>
  <c r="J688" i="11"/>
  <c r="T688" i="11" s="1"/>
  <c r="K688" i="11"/>
  <c r="J692" i="11"/>
  <c r="T692" i="11"/>
  <c r="K692" i="11"/>
  <c r="J696" i="11"/>
  <c r="T696" i="11" s="1"/>
  <c r="K696" i="11"/>
  <c r="J700" i="11"/>
  <c r="T700" i="11"/>
  <c r="K700" i="11"/>
  <c r="J704" i="11"/>
  <c r="T704" i="11" s="1"/>
  <c r="K704" i="11"/>
  <c r="J708" i="11"/>
  <c r="T708" i="11"/>
  <c r="K708" i="11"/>
  <c r="J712" i="11"/>
  <c r="T712" i="11" s="1"/>
  <c r="K712" i="11"/>
  <c r="J716" i="11"/>
  <c r="T716" i="11"/>
  <c r="K716" i="11"/>
  <c r="J720" i="11"/>
  <c r="T720" i="11" s="1"/>
  <c r="K720" i="11"/>
  <c r="J724" i="11"/>
  <c r="T724" i="11"/>
  <c r="K724" i="11"/>
  <c r="J728" i="11"/>
  <c r="T728" i="11" s="1"/>
  <c r="K728" i="11"/>
  <c r="J732" i="11"/>
  <c r="T732" i="11"/>
  <c r="K732" i="11"/>
  <c r="J736" i="11"/>
  <c r="T736" i="11" s="1"/>
  <c r="K736" i="11"/>
  <c r="J740" i="11"/>
  <c r="T740" i="11"/>
  <c r="K740" i="11"/>
  <c r="J744" i="11"/>
  <c r="T744" i="11" s="1"/>
  <c r="K744" i="11"/>
  <c r="J748" i="11"/>
  <c r="T748" i="11"/>
  <c r="K748" i="11"/>
  <c r="J752" i="11"/>
  <c r="T752" i="11" s="1"/>
  <c r="K752" i="11"/>
  <c r="J756" i="11"/>
  <c r="T756" i="11"/>
  <c r="K756" i="11"/>
  <c r="J760" i="11"/>
  <c r="T760" i="11" s="1"/>
  <c r="K760" i="11"/>
  <c r="J764" i="11"/>
  <c r="T764" i="11"/>
  <c r="K764" i="11"/>
  <c r="J768" i="11"/>
  <c r="T768" i="11" s="1"/>
  <c r="K768" i="11"/>
  <c r="J772" i="11"/>
  <c r="T772" i="11"/>
  <c r="K772" i="11"/>
  <c r="J776" i="11"/>
  <c r="T776" i="11" s="1"/>
  <c r="K776" i="11"/>
  <c r="J780" i="11"/>
  <c r="T780" i="11"/>
  <c r="K780" i="11"/>
  <c r="J784" i="11"/>
  <c r="T784" i="11" s="1"/>
  <c r="K784" i="11"/>
  <c r="J788" i="11"/>
  <c r="T788" i="11"/>
  <c r="K788" i="11"/>
  <c r="J792" i="11"/>
  <c r="T792" i="11" s="1"/>
  <c r="K792" i="11"/>
  <c r="J796" i="11"/>
  <c r="T796" i="11"/>
  <c r="K796" i="11"/>
  <c r="J800" i="11"/>
  <c r="T800" i="11" s="1"/>
  <c r="K800" i="11"/>
  <c r="J804" i="11"/>
  <c r="T804" i="11"/>
  <c r="K804" i="11"/>
  <c r="J808" i="11"/>
  <c r="T808" i="11" s="1"/>
  <c r="K808" i="11"/>
  <c r="J812" i="11"/>
  <c r="T812" i="11"/>
  <c r="K812" i="11"/>
  <c r="J816" i="11"/>
  <c r="T816" i="11" s="1"/>
  <c r="K816" i="11"/>
  <c r="J820" i="11"/>
  <c r="T820" i="11"/>
  <c r="K820" i="11"/>
  <c r="J824" i="11"/>
  <c r="T824" i="11" s="1"/>
  <c r="K824" i="11"/>
  <c r="J828" i="11"/>
  <c r="T828" i="11"/>
  <c r="K828" i="11"/>
  <c r="J832" i="11"/>
  <c r="T832" i="11" s="1"/>
  <c r="K832" i="11"/>
  <c r="J836" i="11"/>
  <c r="T836" i="11"/>
  <c r="K836" i="11"/>
  <c r="J840" i="11"/>
  <c r="T840" i="11" s="1"/>
  <c r="K840" i="11"/>
  <c r="J844" i="11"/>
  <c r="T844" i="11"/>
  <c r="K844" i="11"/>
  <c r="J848" i="11"/>
  <c r="T848" i="11" s="1"/>
  <c r="K848" i="11"/>
  <c r="J852" i="11"/>
  <c r="T852" i="11"/>
  <c r="K852" i="11"/>
  <c r="J856" i="11"/>
  <c r="T856" i="11" s="1"/>
  <c r="K856" i="11"/>
  <c r="J860" i="11"/>
  <c r="T860" i="11"/>
  <c r="K860" i="11"/>
  <c r="J864" i="11"/>
  <c r="T864" i="11" s="1"/>
  <c r="K864" i="11"/>
  <c r="J868" i="11"/>
  <c r="T868" i="11"/>
  <c r="K868" i="11"/>
  <c r="J872" i="11"/>
  <c r="T872" i="11" s="1"/>
  <c r="K872" i="11"/>
  <c r="J876" i="11"/>
  <c r="T876" i="11"/>
  <c r="K876" i="11"/>
  <c r="J880" i="11"/>
  <c r="T880" i="11" s="1"/>
  <c r="K880" i="11"/>
  <c r="J884" i="11"/>
  <c r="T884" i="11"/>
  <c r="K884" i="11"/>
  <c r="J888" i="11"/>
  <c r="T888" i="11" s="1"/>
  <c r="K888" i="11"/>
  <c r="J892" i="11"/>
  <c r="T892" i="11"/>
  <c r="K892" i="11"/>
  <c r="J896" i="11"/>
  <c r="T896" i="11" s="1"/>
  <c r="K896" i="11"/>
  <c r="J900" i="11"/>
  <c r="T900" i="11"/>
  <c r="K900" i="11"/>
  <c r="J904" i="11"/>
  <c r="T904" i="11" s="1"/>
  <c r="K904" i="11"/>
  <c r="J908" i="11"/>
  <c r="T908" i="11"/>
  <c r="K908" i="11"/>
  <c r="J912" i="11"/>
  <c r="T912" i="11" s="1"/>
  <c r="K912" i="11"/>
  <c r="J916" i="11"/>
  <c r="T916" i="11"/>
  <c r="K916" i="11"/>
  <c r="J920" i="11"/>
  <c r="T920" i="11" s="1"/>
  <c r="K920" i="11"/>
  <c r="J924" i="11"/>
  <c r="T924" i="11"/>
  <c r="K924" i="11"/>
  <c r="J928" i="11"/>
  <c r="T928" i="11" s="1"/>
  <c r="K928" i="11"/>
  <c r="J932" i="11"/>
  <c r="T932" i="11"/>
  <c r="K932" i="11"/>
  <c r="J936" i="11"/>
  <c r="T936" i="11" s="1"/>
  <c r="K936" i="11"/>
  <c r="J940" i="11"/>
  <c r="T940" i="11"/>
  <c r="K940" i="11"/>
  <c r="J944" i="11"/>
  <c r="T944" i="11" s="1"/>
  <c r="K944" i="11"/>
  <c r="J948" i="11"/>
  <c r="T948" i="11"/>
  <c r="K948" i="11"/>
  <c r="J952" i="11"/>
  <c r="T952" i="11" s="1"/>
  <c r="K952" i="11"/>
  <c r="J956" i="11"/>
  <c r="T956" i="11"/>
  <c r="K956" i="11"/>
  <c r="J960" i="11"/>
  <c r="T960" i="11" s="1"/>
  <c r="K960" i="11"/>
  <c r="J964" i="11"/>
  <c r="T964" i="11"/>
  <c r="K964" i="11"/>
  <c r="J968" i="11"/>
  <c r="T968" i="11" s="1"/>
  <c r="K968" i="11"/>
  <c r="J972" i="11"/>
  <c r="T972" i="11"/>
  <c r="K972" i="11"/>
  <c r="J976" i="11"/>
  <c r="T976" i="11" s="1"/>
  <c r="K976" i="11"/>
  <c r="J980" i="11"/>
  <c r="T980" i="11"/>
  <c r="K980" i="11"/>
  <c r="J984" i="11"/>
  <c r="T984" i="11" s="1"/>
  <c r="K984" i="11"/>
  <c r="J988" i="11"/>
  <c r="T988" i="11"/>
  <c r="K988" i="11"/>
  <c r="J992" i="11"/>
  <c r="T992" i="11" s="1"/>
  <c r="K992" i="11"/>
  <c r="J996" i="11"/>
  <c r="T996" i="11"/>
  <c r="K996" i="11"/>
  <c r="J1000" i="11"/>
  <c r="T1000" i="11" s="1"/>
  <c r="K1000" i="11"/>
  <c r="J1004" i="11"/>
  <c r="T1004" i="11"/>
  <c r="K1004" i="11"/>
  <c r="J1008" i="11"/>
  <c r="T1008" i="11" s="1"/>
  <c r="K1008" i="11"/>
  <c r="J1012" i="11"/>
  <c r="T1012" i="11"/>
  <c r="K1012" i="11"/>
  <c r="J1016" i="11"/>
  <c r="T1016" i="11" s="1"/>
  <c r="K1016" i="11"/>
  <c r="J1020" i="11"/>
  <c r="T1020" i="11"/>
  <c r="K1020" i="11"/>
  <c r="J1024" i="11"/>
  <c r="T1024" i="11" s="1"/>
  <c r="K1024" i="11"/>
  <c r="J1028" i="11"/>
  <c r="T1028" i="11"/>
  <c r="K1028" i="11"/>
  <c r="J1032" i="11"/>
  <c r="T1032" i="11" s="1"/>
  <c r="K1032" i="11"/>
  <c r="J1036" i="11"/>
  <c r="T1036" i="11"/>
  <c r="K1036" i="11"/>
  <c r="J1040" i="11"/>
  <c r="T1040" i="11" s="1"/>
  <c r="K1040" i="11"/>
  <c r="J1044" i="11"/>
  <c r="T1044" i="11"/>
  <c r="K1044" i="11"/>
  <c r="J1048" i="11"/>
  <c r="T1048" i="11" s="1"/>
  <c r="K1048" i="11"/>
  <c r="J1052" i="11"/>
  <c r="T1052" i="11"/>
  <c r="K1052" i="11"/>
  <c r="J1056" i="11"/>
  <c r="T1056" i="11" s="1"/>
  <c r="K1056" i="11"/>
  <c r="J1060" i="11"/>
  <c r="T1060" i="11"/>
  <c r="K1060" i="11"/>
  <c r="J1064" i="11"/>
  <c r="T1064" i="11" s="1"/>
  <c r="K1064" i="11"/>
  <c r="J1068" i="11"/>
  <c r="T1068" i="11"/>
  <c r="K1068" i="11"/>
  <c r="J1072" i="11"/>
  <c r="T1072" i="11" s="1"/>
  <c r="K1072" i="11"/>
  <c r="J1076" i="11"/>
  <c r="T1076" i="11"/>
  <c r="K1076" i="11"/>
  <c r="J1080" i="11"/>
  <c r="T1080" i="11" s="1"/>
  <c r="K1080" i="11"/>
  <c r="J1084" i="11"/>
  <c r="T1084" i="11"/>
  <c r="K1084" i="11"/>
  <c r="J1088" i="11"/>
  <c r="T1088" i="11" s="1"/>
  <c r="K1088" i="11"/>
  <c r="J1092" i="11"/>
  <c r="T1092" i="11"/>
  <c r="K1092" i="11"/>
  <c r="J1096" i="11"/>
  <c r="T1096" i="11" s="1"/>
  <c r="K1096" i="11"/>
  <c r="J1100" i="11"/>
  <c r="T1100" i="11"/>
  <c r="K1100" i="11"/>
  <c r="J1104" i="11"/>
  <c r="T1104" i="11" s="1"/>
  <c r="K1104" i="11"/>
  <c r="J1108" i="11"/>
  <c r="T1108" i="11"/>
  <c r="K1108" i="11"/>
  <c r="J1112" i="11"/>
  <c r="T1112" i="11" s="1"/>
  <c r="K1112" i="11"/>
  <c r="J1116" i="11"/>
  <c r="T1116" i="11"/>
  <c r="K1116" i="11"/>
  <c r="J1120" i="11"/>
  <c r="T1120" i="11" s="1"/>
  <c r="K1120" i="11"/>
  <c r="J1124" i="11"/>
  <c r="T1124" i="11"/>
  <c r="K1124" i="11"/>
  <c r="J1128" i="11"/>
  <c r="T1128" i="11" s="1"/>
  <c r="K1128" i="11"/>
  <c r="J1132" i="11"/>
  <c r="T1132" i="11"/>
  <c r="K1132" i="11"/>
  <c r="J1136" i="11"/>
  <c r="T1136" i="11" s="1"/>
  <c r="K1136" i="11"/>
  <c r="J1140" i="11"/>
  <c r="T1140" i="11"/>
  <c r="K1140" i="11"/>
  <c r="J1144" i="11"/>
  <c r="T1144" i="11" s="1"/>
  <c r="K1144" i="11"/>
  <c r="J1148" i="11"/>
  <c r="T1148" i="11"/>
  <c r="K1148" i="11"/>
  <c r="J1152" i="11"/>
  <c r="T1152" i="11" s="1"/>
  <c r="K1152" i="11"/>
  <c r="J1156" i="11"/>
  <c r="T1156" i="11"/>
  <c r="K1156" i="11"/>
  <c r="J1160" i="11"/>
  <c r="T1160" i="11" s="1"/>
  <c r="K1160" i="11"/>
  <c r="J1164" i="11"/>
  <c r="T1164" i="11"/>
  <c r="K1164" i="11"/>
  <c r="J1168" i="11"/>
  <c r="T1168" i="11" s="1"/>
  <c r="K1168" i="11"/>
  <c r="J1172" i="11"/>
  <c r="T1172" i="11"/>
  <c r="K1172" i="11"/>
  <c r="J1176" i="11"/>
  <c r="T1176" i="11" s="1"/>
  <c r="K1176" i="11"/>
  <c r="J1180" i="11"/>
  <c r="T1180" i="11"/>
  <c r="K1180" i="11"/>
  <c r="J1184" i="11"/>
  <c r="T1184" i="11" s="1"/>
  <c r="K1184" i="11"/>
  <c r="J1188" i="11"/>
  <c r="T1188" i="11"/>
  <c r="K1188" i="11"/>
  <c r="J1192" i="11"/>
  <c r="T1192" i="11" s="1"/>
  <c r="K1192" i="11"/>
  <c r="J1196" i="11"/>
  <c r="T1196" i="11"/>
  <c r="K1196" i="11"/>
  <c r="J1200" i="11"/>
  <c r="T1200" i="11" s="1"/>
  <c r="K1200" i="11"/>
  <c r="J1204" i="11"/>
  <c r="T1204" i="11"/>
  <c r="K1204" i="11"/>
  <c r="J1208" i="11"/>
  <c r="T1208" i="11" s="1"/>
  <c r="K1208" i="11"/>
  <c r="J1212" i="11"/>
  <c r="T1212" i="11"/>
  <c r="K1212" i="11"/>
  <c r="J1216" i="11"/>
  <c r="T1216" i="11" s="1"/>
  <c r="K1216" i="11"/>
  <c r="J1220" i="11"/>
  <c r="T1220" i="11"/>
  <c r="K1220" i="11"/>
  <c r="J1224" i="11"/>
  <c r="T1224" i="11" s="1"/>
  <c r="K1224" i="11"/>
  <c r="J1228" i="11"/>
  <c r="T1228" i="11"/>
  <c r="K1228" i="11"/>
  <c r="J1232" i="11"/>
  <c r="T1232" i="11" s="1"/>
  <c r="K1232" i="11"/>
  <c r="J1236" i="11"/>
  <c r="T1236" i="11"/>
  <c r="K1236" i="11"/>
  <c r="J1240" i="11"/>
  <c r="T1240" i="11" s="1"/>
  <c r="K1240" i="11"/>
  <c r="J1244" i="11"/>
  <c r="T1244" i="11"/>
  <c r="K1244" i="11"/>
  <c r="J1248" i="11"/>
  <c r="T1248" i="11" s="1"/>
  <c r="K1248" i="11"/>
  <c r="J1252" i="11"/>
  <c r="T1252" i="11"/>
  <c r="K1252" i="11"/>
  <c r="J1256" i="11"/>
  <c r="T1256" i="11" s="1"/>
  <c r="K1256" i="11"/>
  <c r="J1260" i="11"/>
  <c r="T1260" i="11"/>
  <c r="K1260" i="11"/>
  <c r="J1264" i="11"/>
  <c r="T1264" i="11" s="1"/>
  <c r="K1264" i="11"/>
  <c r="J1268" i="11"/>
  <c r="T1268" i="11"/>
  <c r="K1268" i="11"/>
  <c r="J1272" i="11"/>
  <c r="T1272" i="11" s="1"/>
  <c r="K1272" i="11"/>
  <c r="J1276" i="11"/>
  <c r="T1276" i="11"/>
  <c r="K1276" i="11"/>
  <c r="J1280" i="11"/>
  <c r="T1280" i="11" s="1"/>
  <c r="K1280" i="11"/>
  <c r="J1284" i="11"/>
  <c r="T1284" i="11"/>
  <c r="K1284" i="11"/>
  <c r="J1288" i="11"/>
  <c r="T1288" i="11" s="1"/>
  <c r="K1288" i="11"/>
  <c r="J1292" i="11"/>
  <c r="T1292" i="11"/>
  <c r="K1292" i="11"/>
  <c r="J1296" i="11"/>
  <c r="T1296" i="11" s="1"/>
  <c r="K1296" i="11"/>
  <c r="J1300" i="11"/>
  <c r="T1300" i="11"/>
  <c r="K1300" i="11"/>
  <c r="J1304" i="11"/>
  <c r="T1304" i="11" s="1"/>
  <c r="K1304" i="11"/>
  <c r="J1308" i="11"/>
  <c r="T1308" i="11"/>
  <c r="K1308" i="11"/>
  <c r="J1312" i="11"/>
  <c r="T1312" i="11" s="1"/>
  <c r="K1312" i="11"/>
  <c r="J1316" i="11"/>
  <c r="T1316" i="11"/>
  <c r="K1316" i="11"/>
  <c r="J1320" i="11"/>
  <c r="T1320" i="11" s="1"/>
  <c r="K1320" i="11"/>
  <c r="J1324" i="11"/>
  <c r="T1324" i="11"/>
  <c r="K1324" i="11"/>
  <c r="J1328" i="11"/>
  <c r="T1328" i="11" s="1"/>
  <c r="K1328" i="11"/>
  <c r="J1332" i="11"/>
  <c r="T1332" i="11"/>
  <c r="K1332" i="11"/>
  <c r="J1336" i="11"/>
  <c r="T1336" i="11" s="1"/>
  <c r="K1336" i="11"/>
  <c r="J1340" i="11"/>
  <c r="T1340" i="11"/>
  <c r="K1340" i="11"/>
  <c r="J1344" i="11"/>
  <c r="T1344" i="11" s="1"/>
  <c r="K1344" i="11"/>
  <c r="J1348" i="11"/>
  <c r="T1348" i="11"/>
  <c r="K1348" i="11"/>
  <c r="J1352" i="11"/>
  <c r="T1352" i="11" s="1"/>
  <c r="K1352" i="11"/>
  <c r="J1356" i="11"/>
  <c r="T1356" i="11"/>
  <c r="K1356" i="11"/>
  <c r="J1360" i="11"/>
  <c r="T1360" i="11" s="1"/>
  <c r="K1360" i="11"/>
  <c r="J1364" i="11"/>
  <c r="T1364" i="11"/>
  <c r="K1364" i="11"/>
  <c r="J1368" i="11"/>
  <c r="T1368" i="11" s="1"/>
  <c r="K1368" i="11"/>
  <c r="J1372" i="11"/>
  <c r="T1372" i="11"/>
  <c r="K1372" i="11"/>
  <c r="J1376" i="11"/>
  <c r="T1376" i="11" s="1"/>
  <c r="K1376" i="11"/>
  <c r="J1380" i="11"/>
  <c r="T1380" i="11"/>
  <c r="K1380" i="11"/>
  <c r="J1384" i="11"/>
  <c r="T1384" i="11" s="1"/>
  <c r="K1384" i="11"/>
  <c r="J1388" i="11"/>
  <c r="T1388" i="11"/>
  <c r="K1388" i="11"/>
  <c r="J1392" i="11"/>
  <c r="T1392" i="11" s="1"/>
  <c r="K1392" i="11"/>
  <c r="J1396" i="11"/>
  <c r="T1396" i="11"/>
  <c r="K1396" i="11"/>
  <c r="J1400" i="11"/>
  <c r="T1400" i="11" s="1"/>
  <c r="K1400" i="11"/>
  <c r="J1404" i="11"/>
  <c r="T1404" i="11"/>
  <c r="K1404" i="11"/>
  <c r="J1408" i="11"/>
  <c r="T1408" i="11" s="1"/>
  <c r="K1408" i="11"/>
  <c r="J1412" i="11"/>
  <c r="T1412" i="11"/>
  <c r="K1412" i="11"/>
  <c r="J1416" i="11"/>
  <c r="T1416" i="11" s="1"/>
  <c r="K1416" i="11"/>
  <c r="J1420" i="11"/>
  <c r="T1420" i="11"/>
  <c r="K1420" i="11"/>
  <c r="J1424" i="11"/>
  <c r="T1424" i="11" s="1"/>
  <c r="K1424" i="11"/>
  <c r="J1428" i="11"/>
  <c r="T1428" i="11"/>
  <c r="K1428" i="11"/>
  <c r="J1432" i="11"/>
  <c r="T1432" i="11" s="1"/>
  <c r="K1432" i="11"/>
  <c r="J1436" i="11"/>
  <c r="T1436" i="11"/>
  <c r="K1436" i="11"/>
  <c r="J1440" i="11"/>
  <c r="T1440" i="11" s="1"/>
  <c r="K1440" i="11"/>
  <c r="J1444" i="11"/>
  <c r="T1444" i="11"/>
  <c r="K1444" i="11"/>
  <c r="J1448" i="11"/>
  <c r="T1448" i="11" s="1"/>
  <c r="K1448" i="11"/>
  <c r="J1452" i="11"/>
  <c r="T1452" i="11"/>
  <c r="K1452" i="11"/>
  <c r="J1456" i="11"/>
  <c r="T1456" i="11" s="1"/>
  <c r="K1456" i="11"/>
  <c r="J1460" i="11"/>
  <c r="T1460" i="11"/>
  <c r="K1460" i="11"/>
  <c r="J1464" i="11"/>
  <c r="T1464" i="11" s="1"/>
  <c r="K1464" i="11"/>
  <c r="J1468" i="11"/>
  <c r="T1468" i="11"/>
  <c r="K1468" i="11"/>
  <c r="J1472" i="11"/>
  <c r="T1472" i="11" s="1"/>
  <c r="K1472" i="11"/>
  <c r="J1476" i="11"/>
  <c r="T1476" i="11"/>
  <c r="K1476" i="11"/>
  <c r="J1480" i="11"/>
  <c r="T1480" i="11" s="1"/>
  <c r="K1480" i="11"/>
  <c r="J1484" i="11"/>
  <c r="T1484" i="11"/>
  <c r="K1484" i="11"/>
  <c r="J1488" i="11"/>
  <c r="T1488" i="11" s="1"/>
  <c r="K1488" i="11"/>
  <c r="J1492" i="11"/>
  <c r="T1492" i="11"/>
  <c r="K1492" i="11"/>
  <c r="J1496" i="11"/>
  <c r="T1496" i="11" s="1"/>
  <c r="K1496" i="11"/>
  <c r="J1500" i="11"/>
  <c r="T1500" i="11"/>
  <c r="K1500" i="11"/>
  <c r="J1504" i="11"/>
  <c r="T1504" i="11" s="1"/>
  <c r="K1504" i="11"/>
  <c r="J1508" i="11"/>
  <c r="T1508" i="11"/>
  <c r="K1508" i="11"/>
  <c r="J1512" i="11"/>
  <c r="T1512" i="11" s="1"/>
  <c r="K1512" i="11"/>
  <c r="J1516" i="11"/>
  <c r="T1516" i="11"/>
  <c r="K1516" i="11"/>
  <c r="J1520" i="11"/>
  <c r="T1520" i="11" s="1"/>
  <c r="K1520" i="11"/>
  <c r="J1524" i="11"/>
  <c r="T1524" i="11"/>
  <c r="K1524" i="11"/>
  <c r="J1528" i="11"/>
  <c r="T1528" i="11" s="1"/>
  <c r="K1528" i="11"/>
  <c r="J1532" i="11"/>
  <c r="T1532" i="11"/>
  <c r="K1532" i="11"/>
  <c r="J1536" i="11"/>
  <c r="T1536" i="11" s="1"/>
  <c r="K1536" i="11"/>
  <c r="J1540" i="11"/>
  <c r="T1540" i="11"/>
  <c r="K1540" i="11"/>
  <c r="J1544" i="11"/>
  <c r="T1544" i="11" s="1"/>
  <c r="K1544" i="11"/>
  <c r="J1548" i="11"/>
  <c r="T1548" i="11"/>
  <c r="K1548" i="11"/>
  <c r="J1552" i="11"/>
  <c r="T1552" i="11" s="1"/>
  <c r="K1552" i="11"/>
  <c r="J1556" i="11"/>
  <c r="T1556" i="11"/>
  <c r="K1556" i="11"/>
  <c r="J1560" i="11"/>
  <c r="T1560" i="11" s="1"/>
  <c r="K1560" i="11"/>
  <c r="J1564" i="11"/>
  <c r="T1564" i="11"/>
  <c r="K1564" i="11"/>
  <c r="J1568" i="11"/>
  <c r="T1568" i="11" s="1"/>
  <c r="K1568" i="11"/>
  <c r="J1572" i="11"/>
  <c r="T1572" i="11"/>
  <c r="K1572" i="11"/>
  <c r="J1576" i="11"/>
  <c r="T1576" i="11" s="1"/>
  <c r="K1576" i="11"/>
  <c r="J1580" i="11"/>
  <c r="T1580" i="11"/>
  <c r="K1580" i="11"/>
  <c r="J1584" i="11"/>
  <c r="T1584" i="11" s="1"/>
  <c r="K1584" i="11"/>
  <c r="J1588" i="11"/>
  <c r="T1588" i="11"/>
  <c r="K1588" i="11"/>
  <c r="J1592" i="11"/>
  <c r="T1592" i="11" s="1"/>
  <c r="K1592" i="11"/>
  <c r="J1596" i="11"/>
  <c r="T1596" i="11"/>
  <c r="K1596" i="11"/>
  <c r="J1600" i="11"/>
  <c r="T1600" i="11" s="1"/>
  <c r="K1600" i="11"/>
  <c r="J1604" i="11"/>
  <c r="T1604" i="11"/>
  <c r="K1604" i="11"/>
  <c r="J1608" i="11"/>
  <c r="T1608" i="11" s="1"/>
  <c r="K1608" i="11"/>
  <c r="J1612" i="11"/>
  <c r="T1612" i="11"/>
  <c r="K1612" i="11"/>
  <c r="J1616" i="11"/>
  <c r="T1616" i="11" s="1"/>
  <c r="K1616" i="11"/>
  <c r="J1620" i="11"/>
  <c r="T1620" i="11"/>
  <c r="K1620" i="11"/>
  <c r="J1624" i="11"/>
  <c r="T1624" i="11" s="1"/>
  <c r="K1624" i="11"/>
  <c r="J1628" i="11"/>
  <c r="T1628" i="11"/>
  <c r="K1628" i="11"/>
  <c r="J1632" i="11"/>
  <c r="T1632" i="11" s="1"/>
  <c r="K1632" i="11"/>
  <c r="J1636" i="11"/>
  <c r="T1636" i="11"/>
  <c r="K1636" i="11"/>
  <c r="J1640" i="11"/>
  <c r="T1640" i="11" s="1"/>
  <c r="K1640" i="11"/>
  <c r="J1644" i="11"/>
  <c r="T1644" i="11"/>
  <c r="K1644" i="11"/>
  <c r="J1648" i="11"/>
  <c r="T1648" i="11" s="1"/>
  <c r="K1648" i="11"/>
  <c r="J1652" i="11"/>
  <c r="T1652" i="11"/>
  <c r="K1652" i="11"/>
  <c r="J1656" i="11"/>
  <c r="T1656" i="11" s="1"/>
  <c r="K1656" i="11"/>
  <c r="J1660" i="11"/>
  <c r="T1660" i="11"/>
  <c r="K1660" i="11"/>
  <c r="J1664" i="11"/>
  <c r="T1664" i="11" s="1"/>
  <c r="K1664" i="11"/>
  <c r="J1668" i="11"/>
  <c r="T1668" i="11"/>
  <c r="K1668" i="11"/>
  <c r="J1672" i="11"/>
  <c r="T1672" i="11" s="1"/>
  <c r="K1672" i="11"/>
  <c r="J1676" i="11"/>
  <c r="T1676" i="11"/>
  <c r="K1676" i="11"/>
  <c r="J1680" i="11"/>
  <c r="T1680" i="11" s="1"/>
  <c r="K1680" i="11"/>
  <c r="J1684" i="11"/>
  <c r="T1684" i="11"/>
  <c r="K1684" i="11"/>
  <c r="J1688" i="11"/>
  <c r="T1688" i="11" s="1"/>
  <c r="K1688" i="11"/>
  <c r="J1692" i="11"/>
  <c r="T1692" i="11"/>
  <c r="K1692" i="11"/>
  <c r="J1696" i="11"/>
  <c r="T1696" i="11" s="1"/>
  <c r="K1696" i="11"/>
  <c r="J1700" i="11"/>
  <c r="T1700" i="11"/>
  <c r="K1700" i="11"/>
  <c r="J1704" i="11"/>
  <c r="T1704" i="11" s="1"/>
  <c r="K1704" i="11"/>
  <c r="J1708" i="11"/>
  <c r="T1708" i="11"/>
  <c r="K1708" i="11"/>
  <c r="J1712" i="11"/>
  <c r="T1712" i="11" s="1"/>
  <c r="K1712" i="11"/>
  <c r="J1716" i="11"/>
  <c r="T1716" i="11"/>
  <c r="K1716" i="11"/>
  <c r="J1720" i="11"/>
  <c r="T1720" i="11" s="1"/>
  <c r="K1720" i="11"/>
  <c r="J1724" i="11"/>
  <c r="T1724" i="11"/>
  <c r="K1724" i="11"/>
  <c r="J1728" i="11"/>
  <c r="T1728" i="11" s="1"/>
  <c r="K1728" i="11"/>
  <c r="J1732" i="11"/>
  <c r="T1732" i="11"/>
  <c r="K1732" i="11"/>
  <c r="J1736" i="11"/>
  <c r="T1736" i="11" s="1"/>
  <c r="K1736" i="11"/>
  <c r="J1740" i="11"/>
  <c r="T1740" i="11"/>
  <c r="K1740" i="11"/>
  <c r="J1744" i="11"/>
  <c r="T1744" i="11" s="1"/>
  <c r="K1744" i="11"/>
  <c r="J1748" i="11"/>
  <c r="T1748" i="11"/>
  <c r="K1748" i="11"/>
  <c r="J1752" i="11"/>
  <c r="T1752" i="11" s="1"/>
  <c r="K1752" i="11"/>
  <c r="J1756" i="11"/>
  <c r="T1756" i="11"/>
  <c r="K1756" i="11"/>
  <c r="J1760" i="11"/>
  <c r="T1760" i="11" s="1"/>
  <c r="K1760" i="11"/>
  <c r="J1764" i="11"/>
  <c r="T1764" i="11"/>
  <c r="K1764" i="11"/>
  <c r="J1768" i="11"/>
  <c r="T1768" i="11" s="1"/>
  <c r="K1768" i="11"/>
  <c r="J1772" i="11"/>
  <c r="T1772" i="11"/>
  <c r="K1772" i="11"/>
  <c r="J1776" i="11"/>
  <c r="T1776" i="11" s="1"/>
  <c r="K1776" i="11"/>
  <c r="J1780" i="11"/>
  <c r="T1780" i="11"/>
  <c r="K1780" i="11"/>
  <c r="J1784" i="11"/>
  <c r="T1784" i="11" s="1"/>
  <c r="K1784" i="11"/>
  <c r="J1788" i="11"/>
  <c r="T1788" i="11"/>
  <c r="K1788" i="11"/>
  <c r="J1792" i="11"/>
  <c r="T1792" i="11" s="1"/>
  <c r="K1792" i="11"/>
  <c r="K13" i="11"/>
  <c r="J13" i="11"/>
  <c r="T13" i="11"/>
  <c r="K10" i="11"/>
  <c r="J10" i="11"/>
  <c r="T10" i="11" s="1"/>
  <c r="K8" i="11"/>
  <c r="J8" i="11"/>
  <c r="T8" i="11"/>
  <c r="B15" i="9"/>
  <c r="E14" i="9"/>
  <c r="D14" i="9"/>
  <c r="C14" i="9"/>
  <c r="F13" i="9" l="1"/>
  <c r="S6186" i="11"/>
  <c r="R6186" i="11"/>
  <c r="S6108" i="11"/>
  <c r="R6108" i="11"/>
  <c r="S6089" i="11"/>
  <c r="R6089" i="11"/>
  <c r="S6029" i="11"/>
  <c r="R6029" i="11"/>
  <c r="S5682" i="11"/>
  <c r="R5682" i="11"/>
  <c r="S6048" i="11"/>
  <c r="R6048" i="11"/>
  <c r="S5952" i="11"/>
  <c r="R5952" i="11"/>
  <c r="S5766" i="11"/>
  <c r="R5766" i="11"/>
  <c r="R6038" i="11"/>
  <c r="S6038" i="11"/>
  <c r="R6086" i="11"/>
  <c r="S6086" i="11"/>
  <c r="S6077" i="11"/>
  <c r="R6077" i="11"/>
  <c r="S5940" i="11"/>
  <c r="R5940" i="11"/>
  <c r="S5774" i="11"/>
  <c r="R5774" i="11"/>
  <c r="S5753" i="11"/>
  <c r="R5753" i="11"/>
  <c r="S6125" i="11"/>
  <c r="R6125" i="11"/>
  <c r="S6096" i="11"/>
  <c r="R6096" i="11"/>
  <c r="S6036" i="11"/>
  <c r="R6036" i="11"/>
  <c r="S6005" i="11"/>
  <c r="R6005" i="11"/>
  <c r="S5993" i="11"/>
  <c r="R5993" i="11"/>
  <c r="S5981" i="11"/>
  <c r="R5981" i="11"/>
  <c r="S5928" i="11"/>
  <c r="R5928" i="11"/>
  <c r="S6065" i="11"/>
  <c r="R6065" i="11"/>
  <c r="S6179" i="11"/>
  <c r="R6179" i="11"/>
  <c r="S5969" i="11"/>
  <c r="R5969" i="11"/>
  <c r="S5750" i="11"/>
  <c r="R5750" i="11"/>
  <c r="S5654" i="11"/>
  <c r="R5654" i="11"/>
  <c r="S6149" i="11"/>
  <c r="R6149" i="11"/>
  <c r="S6132" i="11"/>
  <c r="R6132" i="11"/>
  <c r="S6113" i="11"/>
  <c r="R6113" i="11"/>
  <c r="S6053" i="11"/>
  <c r="R6053" i="11"/>
  <c r="S6024" i="11"/>
  <c r="R6024" i="11"/>
  <c r="R6014" i="11"/>
  <c r="S6014" i="11"/>
  <c r="S6002" i="11"/>
  <c r="R6002" i="11"/>
  <c r="S5990" i="11"/>
  <c r="R5990" i="11"/>
  <c r="S6062" i="11"/>
  <c r="R6062" i="11"/>
  <c r="S6101" i="11"/>
  <c r="R6101" i="11"/>
  <c r="S6012" i="11"/>
  <c r="R6012" i="11"/>
  <c r="S6000" i="11"/>
  <c r="R6000" i="11"/>
  <c r="S5673" i="11"/>
  <c r="R5673" i="11"/>
  <c r="S5826" i="11"/>
  <c r="R5826" i="11"/>
  <c r="S6155" i="11"/>
  <c r="R6155" i="11"/>
  <c r="S6120" i="11"/>
  <c r="R6120" i="11"/>
  <c r="S6071" i="11"/>
  <c r="R6071" i="11"/>
  <c r="S5787" i="11"/>
  <c r="R5787" i="11"/>
  <c r="R5884" i="11"/>
  <c r="R6124" i="11"/>
  <c r="R6100" i="11"/>
  <c r="R6076" i="11"/>
  <c r="R6052" i="11"/>
  <c r="R6171" i="11"/>
  <c r="R6163" i="11"/>
  <c r="R6115" i="11"/>
  <c r="R6091" i="11"/>
  <c r="R6067" i="11"/>
  <c r="R5995" i="11"/>
  <c r="R5947" i="11"/>
  <c r="R5923" i="11"/>
  <c r="R5717" i="11"/>
  <c r="R5833" i="11"/>
  <c r="R2958" i="11"/>
  <c r="R2497" i="11"/>
  <c r="R6178" i="11"/>
  <c r="R2550" i="11"/>
  <c r="R6033" i="11"/>
  <c r="R5872" i="11"/>
  <c r="R5741" i="11"/>
  <c r="R5677" i="11"/>
  <c r="R6127" i="11"/>
  <c r="R6103" i="11"/>
  <c r="R6055" i="11"/>
  <c r="R6007" i="11"/>
  <c r="R5911" i="11"/>
  <c r="R5869" i="11"/>
  <c r="R5853" i="11"/>
  <c r="R5659" i="11"/>
  <c r="R6165" i="11"/>
  <c r="R6141" i="11"/>
  <c r="R5893" i="11"/>
  <c r="R5811" i="11"/>
  <c r="R5746" i="11"/>
  <c r="R5578" i="11"/>
  <c r="J6180" i="11"/>
  <c r="T6180" i="11" s="1"/>
  <c r="K6180" i="11"/>
  <c r="J6164" i="11"/>
  <c r="T6164" i="11" s="1"/>
  <c r="K6164" i="11"/>
  <c r="J6008" i="11"/>
  <c r="T6008" i="11" s="1"/>
  <c r="K6008" i="11"/>
  <c r="J5942" i="11"/>
  <c r="T5942" i="11" s="1"/>
  <c r="K5942" i="11"/>
  <c r="K5906" i="11"/>
  <c r="J5906" i="11"/>
  <c r="T5906" i="11" s="1"/>
  <c r="J5868" i="11"/>
  <c r="T5868" i="11" s="1"/>
  <c r="K5868" i="11"/>
  <c r="K5850" i="11"/>
  <c r="J5850" i="11"/>
  <c r="T5850" i="11" s="1"/>
  <c r="K5834" i="11"/>
  <c r="J5834" i="11"/>
  <c r="T5834" i="11" s="1"/>
  <c r="J5774" i="11"/>
  <c r="T5774" i="11" s="1"/>
  <c r="K5774" i="11"/>
  <c r="J5726" i="11"/>
  <c r="T5726" i="11" s="1"/>
  <c r="K5726" i="11"/>
  <c r="J5636" i="11"/>
  <c r="T5636" i="11" s="1"/>
  <c r="K5636" i="11"/>
  <c r="K5522" i="11"/>
  <c r="J5522" i="11"/>
  <c r="T5522" i="11" s="1"/>
  <c r="J5456" i="11"/>
  <c r="T5456" i="11" s="1"/>
  <c r="K5456" i="11"/>
  <c r="J5438" i="11"/>
  <c r="T5438" i="11" s="1"/>
  <c r="K5438" i="11"/>
  <c r="J5390" i="11"/>
  <c r="T5390" i="11" s="1"/>
  <c r="K5390" i="11"/>
  <c r="J5372" i="11"/>
  <c r="T5372" i="11" s="1"/>
  <c r="K5372" i="11"/>
  <c r="J5192" i="11"/>
  <c r="T5192" i="11" s="1"/>
  <c r="K5192" i="11"/>
  <c r="J5126" i="11"/>
  <c r="T5126" i="11" s="1"/>
  <c r="K5126" i="11"/>
  <c r="K4994" i="11"/>
  <c r="J4994" i="11"/>
  <c r="T4994" i="11" s="1"/>
  <c r="J4976" i="11"/>
  <c r="T4976" i="11" s="1"/>
  <c r="K4976" i="11"/>
  <c r="J4910" i="11"/>
  <c r="T4910" i="11" s="1"/>
  <c r="K4910" i="11"/>
  <c r="J4844" i="11"/>
  <c r="T4844" i="11" s="1"/>
  <c r="K4844" i="11"/>
  <c r="K4826" i="11"/>
  <c r="J4826" i="11"/>
  <c r="T4826" i="11" s="1"/>
  <c r="K4778" i="11"/>
  <c r="J4778" i="11"/>
  <c r="T4778" i="11" s="1"/>
  <c r="K6146" i="11"/>
  <c r="J6146" i="11"/>
  <c r="J6128" i="11"/>
  <c r="T6128" i="11" s="1"/>
  <c r="K6128" i="11"/>
  <c r="J6110" i="11"/>
  <c r="K6110" i="11"/>
  <c r="J6092" i="11"/>
  <c r="T6092" i="11" s="1"/>
  <c r="K6092" i="11"/>
  <c r="K6074" i="11"/>
  <c r="J6074" i="11"/>
  <c r="J6056" i="11"/>
  <c r="T6056" i="11" s="1"/>
  <c r="K6056" i="11"/>
  <c r="J5990" i="11"/>
  <c r="K5990" i="11"/>
  <c r="J5940" i="11"/>
  <c r="T5940" i="11" s="1"/>
  <c r="K5940" i="11"/>
  <c r="J5924" i="11"/>
  <c r="T5924" i="11" s="1"/>
  <c r="K5924" i="11"/>
  <c r="J5804" i="11"/>
  <c r="T5804" i="11" s="1"/>
  <c r="K5804" i="11"/>
  <c r="J5756" i="11"/>
  <c r="T5756" i="11" s="1"/>
  <c r="K5756" i="11"/>
  <c r="J5740" i="11"/>
  <c r="T5740" i="11" s="1"/>
  <c r="K5740" i="11"/>
  <c r="J5710" i="11"/>
  <c r="T5710" i="11" s="1"/>
  <c r="K5710" i="11"/>
  <c r="J5678" i="11"/>
  <c r="T5678" i="11" s="1"/>
  <c r="K5678" i="11"/>
  <c r="K5570" i="11"/>
  <c r="J5570" i="11"/>
  <c r="T5570" i="11" s="1"/>
  <c r="J5486" i="11"/>
  <c r="T5486" i="11" s="1"/>
  <c r="K5486" i="11"/>
  <c r="K5354" i="11"/>
  <c r="J5354" i="11"/>
  <c r="T5354" i="11" s="1"/>
  <c r="K5306" i="11"/>
  <c r="J5306" i="11"/>
  <c r="T5306" i="11" s="1"/>
  <c r="J4958" i="11"/>
  <c r="T4958" i="11" s="1"/>
  <c r="K4958" i="11"/>
  <c r="J6108" i="11"/>
  <c r="T6108" i="11" s="1"/>
  <c r="K6108" i="11"/>
  <c r="K6090" i="11"/>
  <c r="J6090" i="11"/>
  <c r="J6072" i="11"/>
  <c r="T6072" i="11" s="1"/>
  <c r="K6072" i="11"/>
  <c r="J6038" i="11"/>
  <c r="K6038" i="11"/>
  <c r="J5988" i="11"/>
  <c r="T5988" i="11" s="1"/>
  <c r="K5988" i="11"/>
  <c r="J5972" i="11"/>
  <c r="T5972" i="11" s="1"/>
  <c r="K5972" i="11"/>
  <c r="K5738" i="11"/>
  <c r="J5738" i="11"/>
  <c r="T5738" i="11" s="1"/>
  <c r="J5708" i="11"/>
  <c r="T5708" i="11" s="1"/>
  <c r="K5708" i="11"/>
  <c r="J5648" i="11"/>
  <c r="T5648" i="11" s="1"/>
  <c r="K5648" i="11"/>
  <c r="J5552" i="11"/>
  <c r="T5552" i="11" s="1"/>
  <c r="K5552" i="11"/>
  <c r="J5336" i="11"/>
  <c r="T5336" i="11" s="1"/>
  <c r="K5336" i="11"/>
  <c r="J5222" i="11"/>
  <c r="T5222" i="11" s="1"/>
  <c r="K5222" i="11"/>
  <c r="J5156" i="11"/>
  <c r="T5156" i="11" s="1"/>
  <c r="K5156" i="11"/>
  <c r="K5042" i="11"/>
  <c r="J5042" i="11"/>
  <c r="T5042" i="11" s="1"/>
  <c r="J4940" i="11"/>
  <c r="T4940" i="11" s="1"/>
  <c r="K4940" i="11"/>
  <c r="J6176" i="11"/>
  <c r="T6176" i="11" s="1"/>
  <c r="K6176" i="11"/>
  <c r="J6036" i="11"/>
  <c r="T6036" i="11" s="1"/>
  <c r="K6036" i="11"/>
  <c r="J5902" i="11"/>
  <c r="T5902" i="11" s="1"/>
  <c r="K5902" i="11"/>
  <c r="J5864" i="11"/>
  <c r="T5864" i="11" s="1"/>
  <c r="K5864" i="11"/>
  <c r="J5846" i="11"/>
  <c r="T5846" i="11" s="1"/>
  <c r="K5846" i="11"/>
  <c r="J5816" i="11"/>
  <c r="T5816" i="11" s="1"/>
  <c r="K5816" i="11"/>
  <c r="K5786" i="11"/>
  <c r="J5786" i="11"/>
  <c r="T5786" i="11" s="1"/>
  <c r="K5770" i="11"/>
  <c r="J5770" i="11"/>
  <c r="T5770" i="11" s="1"/>
  <c r="J5600" i="11"/>
  <c r="T5600" i="11" s="1"/>
  <c r="K5600" i="11"/>
  <c r="K5402" i="11"/>
  <c r="J5402" i="11"/>
  <c r="T5402" i="11" s="1"/>
  <c r="J5270" i="11"/>
  <c r="T5270" i="11" s="1"/>
  <c r="K5270" i="11"/>
  <c r="K5138" i="11"/>
  <c r="J5138" i="11"/>
  <c r="T5138" i="11" s="1"/>
  <c r="K5090" i="11"/>
  <c r="J5090" i="11"/>
  <c r="T5090" i="11" s="1"/>
  <c r="J5024" i="11"/>
  <c r="T5024" i="11" s="1"/>
  <c r="K5024" i="11"/>
  <c r="J5006" i="11"/>
  <c r="T5006" i="11" s="1"/>
  <c r="K5006" i="11"/>
  <c r="K4874" i="11"/>
  <c r="J4874" i="11"/>
  <c r="T4874" i="11" s="1"/>
  <c r="J4790" i="11"/>
  <c r="T4790" i="11" s="1"/>
  <c r="K4790" i="11"/>
  <c r="J6020" i="11"/>
  <c r="T6020" i="11" s="1"/>
  <c r="K6020" i="11"/>
  <c r="K5954" i="11"/>
  <c r="J5954" i="11"/>
  <c r="T5954" i="11" s="1"/>
  <c r="J5936" i="11"/>
  <c r="T5936" i="11" s="1"/>
  <c r="K5936" i="11"/>
  <c r="J5920" i="11"/>
  <c r="T5920" i="11" s="1"/>
  <c r="K5920" i="11"/>
  <c r="J5900" i="11"/>
  <c r="T5900" i="11" s="1"/>
  <c r="K5900" i="11"/>
  <c r="K5882" i="11"/>
  <c r="J5882" i="11"/>
  <c r="T5882" i="11" s="1"/>
  <c r="J5862" i="11"/>
  <c r="T5862" i="11" s="1"/>
  <c r="K5862" i="11"/>
  <c r="J5768" i="11"/>
  <c r="T5768" i="11" s="1"/>
  <c r="K5768" i="11"/>
  <c r="J5752" i="11"/>
  <c r="T5752" i="11" s="1"/>
  <c r="K5752" i="11"/>
  <c r="K5690" i="11"/>
  <c r="J5690" i="11"/>
  <c r="T5690" i="11" s="1"/>
  <c r="J5660" i="11"/>
  <c r="T5660" i="11" s="1"/>
  <c r="K5660" i="11"/>
  <c r="J5534" i="11"/>
  <c r="T5534" i="11" s="1"/>
  <c r="K5534" i="11"/>
  <c r="J5516" i="11"/>
  <c r="T5516" i="11" s="1"/>
  <c r="K5516" i="11"/>
  <c r="K5450" i="11"/>
  <c r="J5450" i="11"/>
  <c r="T5450" i="11" s="1"/>
  <c r="J5384" i="11"/>
  <c r="T5384" i="11" s="1"/>
  <c r="K5384" i="11"/>
  <c r="J5366" i="11"/>
  <c r="T5366" i="11" s="1"/>
  <c r="K5366" i="11"/>
  <c r="J5204" i="11"/>
  <c r="T5204" i="11" s="1"/>
  <c r="K5204" i="11"/>
  <c r="K5186" i="11"/>
  <c r="J5186" i="11"/>
  <c r="T5186" i="11" s="1"/>
  <c r="J5120" i="11"/>
  <c r="T5120" i="11" s="1"/>
  <c r="K5120" i="11"/>
  <c r="J4988" i="11"/>
  <c r="T4988" i="11" s="1"/>
  <c r="K4988" i="11"/>
  <c r="K4970" i="11"/>
  <c r="J4970" i="11"/>
  <c r="T4970" i="11" s="1"/>
  <c r="J4904" i="11"/>
  <c r="T4904" i="11" s="1"/>
  <c r="K4904" i="11"/>
  <c r="J4838" i="11"/>
  <c r="T4838" i="11" s="1"/>
  <c r="K4838" i="11"/>
  <c r="J6158" i="11"/>
  <c r="K6158" i="11"/>
  <c r="K6122" i="11"/>
  <c r="J6122" i="11"/>
  <c r="J6104" i="11"/>
  <c r="T6104" i="11" s="1"/>
  <c r="K6104" i="11"/>
  <c r="J6086" i="11"/>
  <c r="K6086" i="11"/>
  <c r="J6068" i="11"/>
  <c r="T6068" i="11" s="1"/>
  <c r="K6068" i="11"/>
  <c r="K6050" i="11"/>
  <c r="J6050" i="11"/>
  <c r="K6018" i="11"/>
  <c r="J6018" i="11"/>
  <c r="K6002" i="11"/>
  <c r="J6002" i="11"/>
  <c r="J5984" i="11"/>
  <c r="T5984" i="11" s="1"/>
  <c r="K5984" i="11"/>
  <c r="J5918" i="11"/>
  <c r="T5918" i="11" s="1"/>
  <c r="K5918" i="11"/>
  <c r="K5898" i="11"/>
  <c r="J5898" i="11"/>
  <c r="T5898" i="11" s="1"/>
  <c r="J5880" i="11"/>
  <c r="T5880" i="11" s="1"/>
  <c r="K5880" i="11"/>
  <c r="J5828" i="11"/>
  <c r="T5828" i="11" s="1"/>
  <c r="K5828" i="11"/>
  <c r="J5750" i="11"/>
  <c r="T5750" i="11" s="1"/>
  <c r="K5750" i="11"/>
  <c r="J5720" i="11"/>
  <c r="T5720" i="11" s="1"/>
  <c r="K5720" i="11"/>
  <c r="J5704" i="11"/>
  <c r="T5704" i="11" s="1"/>
  <c r="K5704" i="11"/>
  <c r="J5630" i="11"/>
  <c r="T5630" i="11" s="1"/>
  <c r="K5630" i="11"/>
  <c r="K5498" i="11"/>
  <c r="J5498" i="11"/>
  <c r="T5498" i="11" s="1"/>
  <c r="J5480" i="11"/>
  <c r="T5480" i="11" s="1"/>
  <c r="K5480" i="11"/>
  <c r="J5300" i="11"/>
  <c r="T5300" i="11" s="1"/>
  <c r="K5300" i="11"/>
  <c r="J6156" i="11"/>
  <c r="T6156" i="11" s="1"/>
  <c r="K6156" i="11"/>
  <c r="J6140" i="11"/>
  <c r="T6140" i="11" s="1"/>
  <c r="K6140" i="11"/>
  <c r="J6120" i="11"/>
  <c r="T6120" i="11" s="1"/>
  <c r="K6120" i="11"/>
  <c r="J6084" i="11"/>
  <c r="T6084" i="11" s="1"/>
  <c r="K6084" i="11"/>
  <c r="K6066" i="11"/>
  <c r="J6066" i="11"/>
  <c r="J6032" i="11"/>
  <c r="T6032" i="11" s="1"/>
  <c r="K6032" i="11"/>
  <c r="J6000" i="11"/>
  <c r="T6000" i="11" s="1"/>
  <c r="K6000" i="11"/>
  <c r="J5916" i="11"/>
  <c r="T5916" i="11" s="1"/>
  <c r="K5916" i="11"/>
  <c r="J5878" i="11"/>
  <c r="T5878" i="11" s="1"/>
  <c r="K5878" i="11"/>
  <c r="J5798" i="11"/>
  <c r="T5798" i="11" s="1"/>
  <c r="K5798" i="11"/>
  <c r="J5702" i="11"/>
  <c r="T5702" i="11" s="1"/>
  <c r="K5702" i="11"/>
  <c r="J5672" i="11"/>
  <c r="T5672" i="11" s="1"/>
  <c r="K5672" i="11"/>
  <c r="K5330" i="11"/>
  <c r="J5330" i="11"/>
  <c r="T5330" i="11" s="1"/>
  <c r="K5234" i="11"/>
  <c r="J5234" i="11"/>
  <c r="T5234" i="11" s="1"/>
  <c r="J5168" i="11"/>
  <c r="T5168" i="11" s="1"/>
  <c r="K5168" i="11"/>
  <c r="J5150" i="11"/>
  <c r="T5150" i="11" s="1"/>
  <c r="K5150" i="11"/>
  <c r="J5054" i="11"/>
  <c r="T5054" i="11" s="1"/>
  <c r="K5054" i="11"/>
  <c r="J4934" i="11"/>
  <c r="T4934" i="11" s="1"/>
  <c r="K4934" i="11"/>
  <c r="K6170" i="11"/>
  <c r="J6170" i="11"/>
  <c r="K6138" i="11"/>
  <c r="J6138" i="11"/>
  <c r="J5966" i="11"/>
  <c r="T5966" i="11" s="1"/>
  <c r="K5966" i="11"/>
  <c r="J5950" i="11"/>
  <c r="T5950" i="11" s="1"/>
  <c r="K5950" i="11"/>
  <c r="K5914" i="11"/>
  <c r="J5914" i="11"/>
  <c r="T5914" i="11" s="1"/>
  <c r="J5876" i="11"/>
  <c r="T5876" i="11" s="1"/>
  <c r="K5876" i="11"/>
  <c r="K5858" i="11"/>
  <c r="J5858" i="11"/>
  <c r="T5858" i="11" s="1"/>
  <c r="J5764" i="11"/>
  <c r="T5764" i="11" s="1"/>
  <c r="K5764" i="11"/>
  <c r="J5732" i="11"/>
  <c r="T5732" i="11" s="1"/>
  <c r="K5732" i="11"/>
  <c r="J5686" i="11"/>
  <c r="T5686" i="11" s="1"/>
  <c r="K5686" i="11"/>
  <c r="K5642" i="11"/>
  <c r="J5642" i="11"/>
  <c r="T5642" i="11" s="1"/>
  <c r="K5594" i="11"/>
  <c r="J5594" i="11"/>
  <c r="T5594" i="11" s="1"/>
  <c r="J5414" i="11"/>
  <c r="T5414" i="11" s="1"/>
  <c r="K5414" i="11"/>
  <c r="J5264" i="11"/>
  <c r="T5264" i="11" s="1"/>
  <c r="K5264" i="11"/>
  <c r="J5084" i="11"/>
  <c r="T5084" i="11" s="1"/>
  <c r="K5084" i="11"/>
  <c r="K5018" i="11"/>
  <c r="J5018" i="11"/>
  <c r="T5018" i="11" s="1"/>
  <c r="J4868" i="11"/>
  <c r="T4868" i="11" s="1"/>
  <c r="K4868" i="11"/>
  <c r="K4802" i="11"/>
  <c r="J4802" i="11"/>
  <c r="T4802" i="11" s="1"/>
  <c r="K6186" i="11"/>
  <c r="J6186" i="11"/>
  <c r="J6136" i="11"/>
  <c r="T6136" i="11" s="1"/>
  <c r="K6136" i="11"/>
  <c r="J6014" i="11"/>
  <c r="K6014" i="11"/>
  <c r="J5964" i="11"/>
  <c r="T5964" i="11" s="1"/>
  <c r="K5964" i="11"/>
  <c r="J5948" i="11"/>
  <c r="T5948" i="11" s="1"/>
  <c r="K5948" i="11"/>
  <c r="J5912" i="11"/>
  <c r="T5912" i="11" s="1"/>
  <c r="K5912" i="11"/>
  <c r="J5894" i="11"/>
  <c r="T5894" i="11" s="1"/>
  <c r="K5894" i="11"/>
  <c r="K5874" i="11"/>
  <c r="J5874" i="11"/>
  <c r="T5874" i="11" s="1"/>
  <c r="J5856" i="11"/>
  <c r="T5856" i="11" s="1"/>
  <c r="K5856" i="11"/>
  <c r="J5840" i="11"/>
  <c r="T5840" i="11" s="1"/>
  <c r="K5840" i="11"/>
  <c r="K5810" i="11"/>
  <c r="J5810" i="11"/>
  <c r="T5810" i="11" s="1"/>
  <c r="J5780" i="11"/>
  <c r="T5780" i="11" s="1"/>
  <c r="K5780" i="11"/>
  <c r="K5762" i="11"/>
  <c r="J5762" i="11"/>
  <c r="T5762" i="11" s="1"/>
  <c r="J5684" i="11"/>
  <c r="T5684" i="11" s="1"/>
  <c r="K5684" i="11"/>
  <c r="J5528" i="11"/>
  <c r="T5528" i="11" s="1"/>
  <c r="K5528" i="11"/>
  <c r="J5510" i="11"/>
  <c r="T5510" i="11" s="1"/>
  <c r="K5510" i="11"/>
  <c r="J5444" i="11"/>
  <c r="T5444" i="11" s="1"/>
  <c r="K5444" i="11"/>
  <c r="K5378" i="11"/>
  <c r="J5378" i="11"/>
  <c r="T5378" i="11" s="1"/>
  <c r="J5198" i="11"/>
  <c r="T5198" i="11" s="1"/>
  <c r="K5198" i="11"/>
  <c r="K5114" i="11"/>
  <c r="J5114" i="11"/>
  <c r="T5114" i="11" s="1"/>
  <c r="J4982" i="11"/>
  <c r="T4982" i="11" s="1"/>
  <c r="K4982" i="11"/>
  <c r="J4916" i="11"/>
  <c r="T4916" i="11" s="1"/>
  <c r="K4916" i="11"/>
  <c r="K4898" i="11"/>
  <c r="J4898" i="11"/>
  <c r="T4898" i="11" s="1"/>
  <c r="K4850" i="11"/>
  <c r="J4850" i="11"/>
  <c r="T4850" i="11" s="1"/>
  <c r="J4832" i="11"/>
  <c r="T4832" i="11" s="1"/>
  <c r="K4832" i="11"/>
  <c r="J6152" i="11"/>
  <c r="T6152" i="11" s="1"/>
  <c r="K6152" i="11"/>
  <c r="J6134" i="11"/>
  <c r="K6134" i="11"/>
  <c r="J6116" i="11"/>
  <c r="T6116" i="11" s="1"/>
  <c r="K6116" i="11"/>
  <c r="K6098" i="11"/>
  <c r="J6098" i="11"/>
  <c r="J6080" i="11"/>
  <c r="T6080" i="11" s="1"/>
  <c r="K6080" i="11"/>
  <c r="J6062" i="11"/>
  <c r="K6062" i="11"/>
  <c r="J6012" i="11"/>
  <c r="T6012" i="11" s="1"/>
  <c r="K6012" i="11"/>
  <c r="J5996" i="11"/>
  <c r="T5996" i="11" s="1"/>
  <c r="K5996" i="11"/>
  <c r="K5978" i="11"/>
  <c r="J5978" i="11"/>
  <c r="K5946" i="11"/>
  <c r="J5946" i="11"/>
  <c r="T5946" i="11" s="1"/>
  <c r="K5930" i="11"/>
  <c r="J5930" i="11"/>
  <c r="T5930" i="11" s="1"/>
  <c r="J5910" i="11"/>
  <c r="T5910" i="11" s="1"/>
  <c r="K5910" i="11"/>
  <c r="J5892" i="11"/>
  <c r="T5892" i="11" s="1"/>
  <c r="K5892" i="11"/>
  <c r="K5794" i="11"/>
  <c r="J5794" i="11"/>
  <c r="T5794" i="11" s="1"/>
  <c r="J5654" i="11"/>
  <c r="T5654" i="11" s="1"/>
  <c r="K5654" i="11"/>
  <c r="J5624" i="11"/>
  <c r="T5624" i="11" s="1"/>
  <c r="K5624" i="11"/>
  <c r="J5492" i="11"/>
  <c r="T5492" i="11" s="1"/>
  <c r="K5492" i="11"/>
  <c r="J5294" i="11"/>
  <c r="T5294" i="11" s="1"/>
  <c r="K5294" i="11"/>
  <c r="J6132" i="11"/>
  <c r="T6132" i="11" s="1"/>
  <c r="K6132" i="11"/>
  <c r="K6114" i="11"/>
  <c r="J6114" i="11"/>
  <c r="J6096" i="11"/>
  <c r="T6096" i="11" s="1"/>
  <c r="K6096" i="11"/>
  <c r="J6060" i="11"/>
  <c r="T6060" i="11" s="1"/>
  <c r="K6060" i="11"/>
  <c r="J6044" i="11"/>
  <c r="T6044" i="11" s="1"/>
  <c r="K6044" i="11"/>
  <c r="K5994" i="11"/>
  <c r="J5994" i="11"/>
  <c r="J5928" i="11"/>
  <c r="T5928" i="11" s="1"/>
  <c r="K5928" i="11"/>
  <c r="K5890" i="11"/>
  <c r="J5890" i="11"/>
  <c r="T5890" i="11" s="1"/>
  <c r="J5822" i="11"/>
  <c r="T5822" i="11" s="1"/>
  <c r="K5822" i="11"/>
  <c r="J5792" i="11"/>
  <c r="T5792" i="11" s="1"/>
  <c r="K5792" i="11"/>
  <c r="J5744" i="11"/>
  <c r="T5744" i="11" s="1"/>
  <c r="K5744" i="11"/>
  <c r="K5714" i="11"/>
  <c r="J5714" i="11"/>
  <c r="T5714" i="11" s="1"/>
  <c r="J5558" i="11"/>
  <c r="T5558" i="11" s="1"/>
  <c r="K5558" i="11"/>
  <c r="J5342" i="11"/>
  <c r="T5342" i="11" s="1"/>
  <c r="K5342" i="11"/>
  <c r="J5228" i="11"/>
  <c r="T5228" i="11" s="1"/>
  <c r="K5228" i="11"/>
  <c r="K5162" i="11"/>
  <c r="J5162" i="11"/>
  <c r="T5162" i="11" s="1"/>
  <c r="J5048" i="11"/>
  <c r="T5048" i="11" s="1"/>
  <c r="K5048" i="11"/>
  <c r="K4946" i="11"/>
  <c r="J4946" i="11"/>
  <c r="T4946" i="11" s="1"/>
  <c r="J6182" i="11"/>
  <c r="K6182" i="11"/>
  <c r="K6042" i="11"/>
  <c r="J6042" i="11"/>
  <c r="T6042" i="11" s="1"/>
  <c r="K6026" i="11"/>
  <c r="J6026" i="11"/>
  <c r="T6026" i="11" s="1"/>
  <c r="J5960" i="11"/>
  <c r="T5960" i="11" s="1"/>
  <c r="K5960" i="11"/>
  <c r="J5888" i="11"/>
  <c r="T5888" i="11" s="1"/>
  <c r="K5888" i="11"/>
  <c r="J5870" i="11"/>
  <c r="T5870" i="11" s="1"/>
  <c r="K5870" i="11"/>
  <c r="J5852" i="11"/>
  <c r="T5852" i="11" s="1"/>
  <c r="K5852" i="11"/>
  <c r="J5836" i="11"/>
  <c r="T5836" i="11" s="1"/>
  <c r="K5836" i="11"/>
  <c r="J5776" i="11"/>
  <c r="T5776" i="11" s="1"/>
  <c r="K5776" i="11"/>
  <c r="J5696" i="11"/>
  <c r="T5696" i="11" s="1"/>
  <c r="K5696" i="11"/>
  <c r="K5666" i="11"/>
  <c r="J5666" i="11"/>
  <c r="T5666" i="11" s="1"/>
  <c r="J5606" i="11"/>
  <c r="T5606" i="11" s="1"/>
  <c r="K5606" i="11"/>
  <c r="J5588" i="11"/>
  <c r="T5588" i="11" s="1"/>
  <c r="K5588" i="11"/>
  <c r="J5408" i="11"/>
  <c r="T5408" i="11" s="1"/>
  <c r="K5408" i="11"/>
  <c r="J5276" i="11"/>
  <c r="T5276" i="11" s="1"/>
  <c r="K5276" i="11"/>
  <c r="K5258" i="11"/>
  <c r="J5258" i="11"/>
  <c r="T5258" i="11" s="1"/>
  <c r="J5078" i="11"/>
  <c r="T5078" i="11" s="1"/>
  <c r="K5078" i="11"/>
  <c r="J5030" i="11"/>
  <c r="T5030" i="11" s="1"/>
  <c r="K5030" i="11"/>
  <c r="J5012" i="11"/>
  <c r="T5012" i="11" s="1"/>
  <c r="K5012" i="11"/>
  <c r="J4862" i="11"/>
  <c r="T4862" i="11" s="1"/>
  <c r="K4862" i="11"/>
  <c r="J4796" i="11"/>
  <c r="T4796" i="11" s="1"/>
  <c r="K4796" i="11"/>
  <c r="T5978" i="11"/>
  <c r="T5994" i="11"/>
  <c r="T6002" i="11"/>
  <c r="T6018" i="11"/>
  <c r="T6050" i="11"/>
  <c r="T6066" i="11"/>
  <c r="T6074" i="11"/>
  <c r="T6090" i="11"/>
  <c r="T6098" i="11"/>
  <c r="T6114" i="11"/>
  <c r="T6122" i="11"/>
  <c r="T6138" i="11"/>
  <c r="T6146" i="11"/>
  <c r="T6170" i="11"/>
  <c r="T6186" i="11"/>
  <c r="I6174" i="11"/>
  <c r="I6150" i="11"/>
  <c r="I6126" i="11"/>
  <c r="I6102" i="11"/>
  <c r="I6078" i="11"/>
  <c r="I6054" i="11"/>
  <c r="I5982" i="11"/>
  <c r="T5990" i="11"/>
  <c r="T6014" i="11"/>
  <c r="T6038" i="11"/>
  <c r="T6062" i="11"/>
  <c r="T6086" i="11"/>
  <c r="T6110" i="11"/>
  <c r="T6134" i="11"/>
  <c r="T6158" i="11"/>
  <c r="T6182" i="11"/>
  <c r="R5364" i="11"/>
  <c r="R5220" i="11"/>
  <c r="S5220" i="11"/>
  <c r="R5076" i="11"/>
  <c r="S5076" i="11"/>
  <c r="S4614" i="11"/>
  <c r="R4614" i="11"/>
  <c r="S4158" i="11"/>
  <c r="R4158" i="11"/>
  <c r="R4932" i="11"/>
  <c r="S4932" i="11"/>
  <c r="S4925" i="11"/>
  <c r="R4925" i="11"/>
  <c r="S4662" i="11"/>
  <c r="R4662" i="11"/>
  <c r="R5295" i="11"/>
  <c r="R5316" i="11"/>
  <c r="S5316" i="11"/>
  <c r="R5172" i="11"/>
  <c r="S5172" i="11"/>
  <c r="R5028" i="11"/>
  <c r="S5028" i="11"/>
  <c r="R5069" i="11"/>
  <c r="R4884" i="11"/>
  <c r="S4884" i="11"/>
  <c r="S4877" i="11"/>
  <c r="R4877" i="11"/>
  <c r="S7" i="11"/>
  <c r="R5268" i="11"/>
  <c r="S5268" i="11"/>
  <c r="R5124" i="11"/>
  <c r="S5124" i="11"/>
  <c r="R4980" i="11"/>
  <c r="S4980" i="11"/>
  <c r="S4973" i="11"/>
  <c r="R4973" i="11"/>
  <c r="R5213" i="11"/>
  <c r="S11" i="11"/>
  <c r="R11" i="11"/>
  <c r="I11" i="11"/>
  <c r="N11" i="11"/>
  <c r="F14" i="9"/>
  <c r="B16" i="9"/>
  <c r="E15" i="9"/>
  <c r="F15" i="9" s="1"/>
  <c r="D15" i="9"/>
  <c r="C15" i="9"/>
  <c r="R10" i="11"/>
  <c r="S10" i="11"/>
  <c r="I9" i="11"/>
  <c r="J9" i="11" s="1"/>
  <c r="T9" i="11" s="1"/>
  <c r="M9" i="11"/>
  <c r="Q5" i="11"/>
  <c r="J6054" i="11" l="1"/>
  <c r="T6054" i="11" s="1"/>
  <c r="K6054" i="11"/>
  <c r="J5982" i="11"/>
  <c r="T5982" i="11" s="1"/>
  <c r="K5982" i="11"/>
  <c r="J6078" i="11"/>
  <c r="T6078" i="11" s="1"/>
  <c r="K6078" i="11"/>
  <c r="J6126" i="11"/>
  <c r="T6126" i="11" s="1"/>
  <c r="K6126" i="11"/>
  <c r="J6174" i="11"/>
  <c r="T6174" i="11" s="1"/>
  <c r="K6174" i="11"/>
  <c r="J6150" i="11"/>
  <c r="T6150" i="11" s="1"/>
  <c r="K6150" i="11"/>
  <c r="J6102" i="11"/>
  <c r="T6102" i="11" s="1"/>
  <c r="K6102" i="11"/>
  <c r="N9" i="11"/>
  <c r="O9" i="11" s="1"/>
  <c r="U9" i="11" s="1"/>
  <c r="S9" i="11" s="1"/>
  <c r="K9" i="11"/>
  <c r="K11" i="11"/>
  <c r="J11" i="11"/>
  <c r="T11" i="11" s="1"/>
  <c r="B17" i="9"/>
  <c r="E16" i="9"/>
  <c r="F16" i="9" s="1"/>
  <c r="D16" i="9"/>
  <c r="C16" i="9"/>
  <c r="R9" i="11" l="1"/>
  <c r="E17" i="9"/>
  <c r="F17" i="9" s="1"/>
  <c r="B18" i="9"/>
  <c r="C17" i="9"/>
  <c r="D17" i="9"/>
  <c r="C18" i="9" l="1"/>
  <c r="E18" i="9"/>
  <c r="F18" i="9" s="1"/>
  <c r="B19" i="9"/>
  <c r="D18" i="9"/>
  <c r="C19" i="9" l="1"/>
  <c r="D19" i="9"/>
  <c r="B20" i="9"/>
  <c r="F19" i="9"/>
  <c r="E19" i="9"/>
  <c r="C20" i="9" l="1"/>
  <c r="D20" i="9"/>
  <c r="B21" i="9"/>
  <c r="E20" i="9"/>
  <c r="F20" i="9"/>
  <c r="E21" i="9" l="1"/>
  <c r="B22" i="9"/>
  <c r="F21" i="9"/>
  <c r="C21" i="9"/>
  <c r="D21" i="9"/>
  <c r="E22" i="9" l="1"/>
  <c r="F22" i="9"/>
  <c r="B23" i="9"/>
  <c r="D22" i="9"/>
  <c r="C22" i="9"/>
  <c r="B24" i="9" l="1"/>
  <c r="C23" i="9"/>
  <c r="E23" i="9"/>
  <c r="F23" i="9"/>
  <c r="D23" i="9"/>
  <c r="F24" i="9" l="1"/>
  <c r="B25" i="9"/>
  <c r="D24" i="9"/>
  <c r="C24" i="9"/>
  <c r="E24" i="9"/>
  <c r="B26" i="9" l="1"/>
  <c r="C25" i="9"/>
  <c r="D25" i="9"/>
  <c r="F25" i="9"/>
  <c r="E25" i="9"/>
  <c r="F26" i="9" l="1"/>
  <c r="D26" i="9"/>
  <c r="C26" i="9"/>
  <c r="B27" i="9"/>
  <c r="E26" i="9"/>
  <c r="E27" i="9" l="1"/>
  <c r="F27" i="9"/>
  <c r="B28" i="9"/>
  <c r="C27" i="9"/>
  <c r="D27" i="9"/>
  <c r="F28" i="9" l="1"/>
  <c r="E28" i="9"/>
  <c r="C28" i="9"/>
  <c r="D28" i="9"/>
  <c r="B29" i="9"/>
  <c r="E29" i="9" l="1"/>
  <c r="F29" i="9"/>
  <c r="B30" i="9"/>
  <c r="C29" i="9"/>
  <c r="D29" i="9"/>
  <c r="C30" i="9" l="1"/>
  <c r="F30" i="9"/>
  <c r="B31" i="9"/>
  <c r="D30" i="9"/>
  <c r="E30" i="9"/>
  <c r="B32" i="9" l="1"/>
  <c r="C31" i="9"/>
  <c r="D31" i="9"/>
  <c r="E31" i="9"/>
  <c r="F31" i="9"/>
  <c r="C32" i="9" l="1"/>
  <c r="E32" i="9"/>
  <c r="F32" i="9"/>
  <c r="B33" i="9"/>
  <c r="D32" i="9"/>
  <c r="E33" i="9" l="1"/>
  <c r="B34" i="9"/>
  <c r="C33" i="9"/>
  <c r="D33" i="9"/>
  <c r="F33" i="9"/>
  <c r="D34" i="9" l="1"/>
  <c r="E34" i="9"/>
  <c r="B35" i="9"/>
  <c r="F34" i="9"/>
  <c r="C34" i="9"/>
  <c r="B36" i="9" l="1"/>
  <c r="C35" i="9"/>
  <c r="E35" i="9"/>
  <c r="F35" i="9"/>
  <c r="D35" i="9"/>
  <c r="F36" i="9" l="1"/>
  <c r="B37" i="9"/>
  <c r="D36" i="9"/>
  <c r="C36" i="9"/>
  <c r="E36" i="9"/>
  <c r="B38" i="9" l="1"/>
  <c r="C37" i="9"/>
  <c r="D37" i="9"/>
  <c r="E37" i="9"/>
  <c r="F37" i="9"/>
  <c r="C38" i="9" l="1"/>
  <c r="B39" i="9"/>
  <c r="D38" i="9"/>
  <c r="F38" i="9"/>
  <c r="E38" i="9"/>
  <c r="E39" i="9" l="1"/>
  <c r="D39" i="9"/>
  <c r="F39" i="9"/>
  <c r="B40" i="9"/>
  <c r="C39" i="9"/>
  <c r="F40" i="9" l="1"/>
  <c r="E40" i="9"/>
  <c r="B41" i="9"/>
  <c r="D40" i="9"/>
  <c r="C40" i="9"/>
  <c r="E41" i="9" l="1"/>
  <c r="F41" i="9"/>
  <c r="B42" i="9"/>
  <c r="D41" i="9"/>
  <c r="C41" i="9"/>
  <c r="C42" i="9" l="1"/>
  <c r="E42" i="9"/>
  <c r="B43" i="9"/>
  <c r="F42" i="9"/>
  <c r="D42" i="9"/>
  <c r="B44" i="9" l="1"/>
  <c r="C43" i="9"/>
  <c r="D43" i="9"/>
  <c r="E43" i="9"/>
  <c r="F43" i="9"/>
  <c r="C44" i="9" l="1"/>
  <c r="B45" i="9"/>
  <c r="D44" i="9"/>
  <c r="E44" i="9"/>
  <c r="F44" i="9"/>
  <c r="E45" i="9" l="1"/>
  <c r="F45" i="9"/>
  <c r="D45" i="9"/>
  <c r="B46" i="9"/>
  <c r="C45" i="9"/>
  <c r="E46" i="9" l="1"/>
  <c r="F46" i="9"/>
  <c r="B47" i="9"/>
  <c r="D46" i="9"/>
  <c r="C46" i="9"/>
  <c r="B48" i="9" l="1"/>
  <c r="C47" i="9"/>
  <c r="E47" i="9"/>
  <c r="F47" i="9"/>
  <c r="D47" i="9"/>
  <c r="F48" i="9" l="1"/>
  <c r="B49" i="9"/>
  <c r="D48" i="9"/>
  <c r="C48" i="9"/>
  <c r="E48" i="9"/>
  <c r="B50" i="9" l="1"/>
  <c r="D49" i="9"/>
  <c r="C49" i="9"/>
  <c r="F49" i="9"/>
  <c r="E49" i="9"/>
  <c r="C50" i="9" l="1"/>
  <c r="D50" i="9"/>
  <c r="E50" i="9"/>
  <c r="F50" i="9"/>
  <c r="B51" i="9"/>
  <c r="E51" i="9" l="1"/>
  <c r="F51" i="9"/>
  <c r="B52" i="9"/>
  <c r="C51" i="9"/>
  <c r="D51" i="9"/>
  <c r="F52" i="9" l="1"/>
  <c r="E52" i="9"/>
  <c r="C52" i="9"/>
  <c r="B53" i="9"/>
  <c r="D52" i="9"/>
  <c r="E53" i="9" l="1"/>
  <c r="B54" i="9"/>
  <c r="F53" i="9"/>
  <c r="D53" i="9"/>
  <c r="C53" i="9"/>
  <c r="F54" i="9" l="1"/>
  <c r="B55" i="9"/>
  <c r="E54" i="9"/>
  <c r="D54" i="9"/>
  <c r="C54" i="9"/>
  <c r="B56" i="9" l="1"/>
  <c r="E55" i="9"/>
  <c r="F55" i="9"/>
  <c r="C55" i="9"/>
  <c r="D55" i="9"/>
  <c r="F56" i="9" l="1"/>
  <c r="E56" i="9"/>
  <c r="B57" i="9"/>
  <c r="C56" i="9"/>
  <c r="D56" i="9"/>
  <c r="E57" i="9" l="1"/>
  <c r="F57" i="9"/>
  <c r="D57" i="9"/>
  <c r="C57" i="9"/>
  <c r="B58" i="9"/>
  <c r="E58" i="9" l="1"/>
  <c r="D58" i="9"/>
  <c r="F58" i="9"/>
  <c r="B59" i="9"/>
  <c r="C58" i="9"/>
  <c r="B60" i="9" l="1"/>
  <c r="E59" i="9"/>
  <c r="F59" i="9"/>
  <c r="C59" i="9"/>
  <c r="D59" i="9"/>
  <c r="F60" i="9" l="1"/>
  <c r="B61" i="9"/>
  <c r="E60" i="9"/>
  <c r="C60" i="9"/>
  <c r="D60" i="9"/>
  <c r="E61" i="9" l="1"/>
  <c r="F61" i="9"/>
  <c r="B62" i="9"/>
  <c r="D61" i="9"/>
  <c r="C61" i="9"/>
  <c r="D62" i="9" l="1"/>
  <c r="F62" i="9"/>
  <c r="E62" i="9"/>
  <c r="C62" i="9"/>
  <c r="B63" i="9"/>
  <c r="E63" i="9" l="1"/>
  <c r="C63" i="9"/>
  <c r="D63" i="9"/>
  <c r="F63" i="9"/>
  <c r="B64" i="9"/>
  <c r="F64" i="9" l="1"/>
  <c r="D64" i="9"/>
  <c r="C64" i="9"/>
  <c r="E64" i="9"/>
  <c r="B65" i="9"/>
  <c r="C65" i="9" l="1"/>
  <c r="F65" i="9"/>
  <c r="B66" i="9"/>
  <c r="D65" i="9"/>
  <c r="E65" i="9"/>
  <c r="F66" i="9" l="1"/>
  <c r="C66" i="9"/>
  <c r="D66" i="9"/>
  <c r="B67" i="9"/>
  <c r="E66" i="9"/>
  <c r="E67" i="9" l="1"/>
  <c r="F67" i="9"/>
  <c r="B68" i="9"/>
  <c r="C67" i="9"/>
  <c r="D67" i="9"/>
  <c r="F68" i="9" l="1"/>
  <c r="E68" i="9"/>
  <c r="D68" i="9"/>
  <c r="C68" i="9"/>
  <c r="B69" i="9"/>
  <c r="C69" i="9" l="1"/>
  <c r="F69" i="9"/>
  <c r="E69" i="9"/>
  <c r="D69" i="9"/>
  <c r="B70" i="9"/>
  <c r="F70" i="9" l="1"/>
  <c r="D70" i="9"/>
  <c r="C70" i="9"/>
  <c r="B71" i="9"/>
  <c r="E70" i="9"/>
  <c r="F71" i="9" l="1"/>
  <c r="D71" i="9"/>
  <c r="B72" i="9"/>
  <c r="C71" i="9"/>
  <c r="E71" i="9"/>
  <c r="E72" i="9" l="1"/>
  <c r="B73" i="9"/>
  <c r="F72" i="9"/>
  <c r="D72" i="9"/>
  <c r="C72" i="9"/>
  <c r="E73" i="9" l="1"/>
  <c r="B74" i="9"/>
  <c r="D73" i="9"/>
  <c r="F73" i="9"/>
  <c r="C73" i="9"/>
  <c r="B75" i="9" l="1"/>
  <c r="E74" i="9"/>
  <c r="D74" i="9"/>
  <c r="F74" i="9"/>
  <c r="C74" i="9"/>
  <c r="E75" i="9" l="1"/>
  <c r="B76" i="9"/>
  <c r="C75" i="9"/>
  <c r="F75" i="9"/>
  <c r="D75" i="9"/>
  <c r="B77" i="9" l="1"/>
  <c r="D76" i="9"/>
  <c r="F76" i="9"/>
  <c r="C76" i="9"/>
  <c r="E76" i="9"/>
  <c r="F77" i="9" l="1"/>
  <c r="C77" i="9"/>
  <c r="B78" i="9"/>
  <c r="E77" i="9"/>
  <c r="D77" i="9"/>
  <c r="E78" i="9" l="1"/>
  <c r="B79" i="9"/>
  <c r="D78" i="9"/>
  <c r="F78" i="9"/>
  <c r="C78" i="9"/>
  <c r="E79" i="9" l="1"/>
  <c r="F79" i="9"/>
  <c r="D79" i="9"/>
  <c r="C79" i="9"/>
  <c r="B80" i="9"/>
  <c r="E80" i="9" l="1"/>
  <c r="B81" i="9"/>
  <c r="D80" i="9"/>
  <c r="F80" i="9"/>
  <c r="C80" i="9"/>
  <c r="F81" i="9" l="1"/>
  <c r="C81" i="9"/>
  <c r="E81" i="9"/>
  <c r="B82" i="9"/>
  <c r="D81" i="9"/>
  <c r="B83" i="9" l="1"/>
  <c r="E82" i="9"/>
  <c r="F82" i="9"/>
  <c r="C82" i="9"/>
  <c r="D82" i="9"/>
  <c r="F83" i="9" l="1"/>
  <c r="D83" i="9"/>
  <c r="E83" i="9"/>
  <c r="B84" i="9"/>
  <c r="C83" i="9"/>
  <c r="F84" i="9" l="1"/>
  <c r="C84" i="9"/>
  <c r="B85" i="9"/>
  <c r="D84" i="9"/>
  <c r="E84" i="9"/>
  <c r="E85" i="9" l="1"/>
  <c r="B86" i="9"/>
  <c r="D85" i="9"/>
  <c r="F85" i="9"/>
  <c r="C85" i="9"/>
  <c r="B87" i="9" l="1"/>
  <c r="D86" i="9"/>
  <c r="E86" i="9"/>
  <c r="F86" i="9"/>
  <c r="C86" i="9"/>
  <c r="E87" i="9" l="1"/>
  <c r="B88" i="9"/>
  <c r="C87" i="9"/>
  <c r="F87" i="9"/>
  <c r="D87" i="9"/>
  <c r="B89" i="9" l="1"/>
  <c r="D88" i="9"/>
  <c r="F88" i="9"/>
  <c r="C88" i="9"/>
  <c r="E88" i="9"/>
  <c r="F89" i="9" l="1"/>
  <c r="C89" i="9"/>
  <c r="E89" i="9"/>
  <c r="B90" i="9"/>
  <c r="D89" i="9"/>
  <c r="F90" i="9" l="1"/>
  <c r="C90" i="9"/>
  <c r="D90" i="9"/>
  <c r="B91" i="9"/>
  <c r="E90" i="9"/>
  <c r="E91" i="9" l="1"/>
  <c r="B92" i="9"/>
  <c r="C91" i="9"/>
  <c r="F91" i="9"/>
  <c r="D91" i="9"/>
  <c r="E92" i="9" l="1"/>
  <c r="B93" i="9"/>
  <c r="D92" i="9"/>
  <c r="F92" i="9"/>
  <c r="C92" i="9"/>
  <c r="F93" i="9" l="1"/>
  <c r="C93" i="9"/>
  <c r="E93" i="9"/>
  <c r="B94" i="9"/>
  <c r="D93" i="9"/>
  <c r="B95" i="9" l="1"/>
  <c r="D94" i="9"/>
  <c r="F94" i="9"/>
  <c r="C94" i="9"/>
  <c r="E94" i="9"/>
  <c r="F95" i="9" l="1"/>
  <c r="D95" i="9"/>
  <c r="B96" i="9"/>
  <c r="C95" i="9"/>
  <c r="E95" i="9"/>
  <c r="E96" i="9" l="1"/>
  <c r="B97" i="9"/>
  <c r="F96" i="9"/>
  <c r="D96" i="9"/>
  <c r="C96" i="9"/>
  <c r="E97" i="9" l="1"/>
  <c r="B98" i="9"/>
  <c r="D97" i="9"/>
  <c r="F97" i="9"/>
  <c r="C97" i="9"/>
  <c r="B99" i="9" l="1"/>
  <c r="E98" i="9"/>
  <c r="D98" i="9"/>
  <c r="C98" i="9"/>
  <c r="F98" i="9"/>
  <c r="E99" i="9" l="1"/>
  <c r="B100" i="9"/>
  <c r="C99" i="9"/>
  <c r="F99" i="9"/>
  <c r="D99" i="9"/>
  <c r="B101" i="9" l="1"/>
  <c r="D100" i="9"/>
  <c r="F100" i="9"/>
  <c r="C100" i="9"/>
  <c r="E100" i="9"/>
  <c r="F101" i="9" l="1"/>
  <c r="C101" i="9"/>
  <c r="E101" i="9"/>
  <c r="D101" i="9"/>
  <c r="B102" i="9"/>
  <c r="E102" i="9" l="1"/>
  <c r="B103" i="9"/>
  <c r="D102" i="9"/>
  <c r="F102" i="9"/>
  <c r="C102" i="9"/>
  <c r="E103" i="9" l="1"/>
  <c r="F103" i="9"/>
  <c r="D103" i="9"/>
  <c r="C103" i="9"/>
  <c r="B104" i="9"/>
  <c r="E104" i="9" l="1"/>
  <c r="B105" i="9"/>
  <c r="D104" i="9"/>
  <c r="F104" i="9"/>
  <c r="C104" i="9"/>
  <c r="F105" i="9" l="1"/>
  <c r="C105" i="9"/>
  <c r="E105" i="9"/>
  <c r="B106" i="9"/>
  <c r="D105" i="9"/>
  <c r="B107" i="9" l="1"/>
  <c r="E106" i="9"/>
  <c r="F106" i="9"/>
  <c r="C106" i="9"/>
  <c r="D106" i="9"/>
  <c r="F107" i="9" l="1"/>
  <c r="D107" i="9"/>
  <c r="E107" i="9"/>
  <c r="B108" i="9"/>
  <c r="C107" i="9"/>
  <c r="B109" i="9" l="1"/>
  <c r="D108" i="9"/>
  <c r="F108" i="9"/>
  <c r="C108" i="9"/>
  <c r="E108" i="9"/>
  <c r="E109" i="9" l="1"/>
  <c r="B110" i="9"/>
  <c r="D109" i="9"/>
  <c r="F109" i="9"/>
  <c r="C109" i="9"/>
  <c r="B111" i="9" l="1"/>
  <c r="D110" i="9"/>
  <c r="E110" i="9"/>
  <c r="F110" i="9"/>
  <c r="C110" i="9"/>
  <c r="E111" i="9" l="1"/>
  <c r="B112" i="9"/>
  <c r="C111" i="9"/>
  <c r="F111" i="9"/>
  <c r="D111" i="9"/>
  <c r="B113" i="9" l="1"/>
  <c r="D112" i="9"/>
  <c r="F112" i="9"/>
  <c r="C112" i="9"/>
  <c r="E112" i="9"/>
  <c r="F113" i="9" l="1"/>
  <c r="C113" i="9"/>
  <c r="B114" i="9"/>
  <c r="D113" i="9"/>
  <c r="E113" i="9"/>
  <c r="F114" i="9" l="1"/>
  <c r="C114" i="9"/>
  <c r="D114" i="9"/>
  <c r="B115" i="9"/>
  <c r="E114" i="9"/>
  <c r="E115" i="9" l="1"/>
  <c r="B116" i="9"/>
  <c r="C115" i="9"/>
  <c r="F115" i="9"/>
  <c r="D115" i="9"/>
  <c r="E116" i="9" l="1"/>
  <c r="B117" i="9"/>
  <c r="D116" i="9"/>
  <c r="F116" i="9"/>
  <c r="C116" i="9"/>
  <c r="F117" i="9" l="1"/>
  <c r="C117" i="9"/>
  <c r="E117" i="9"/>
  <c r="B118" i="9"/>
  <c r="D117" i="9"/>
  <c r="B119" i="9" l="1"/>
  <c r="D118" i="9"/>
  <c r="F118" i="9"/>
  <c r="C118" i="9"/>
  <c r="E118" i="9"/>
  <c r="F119" i="9" l="1"/>
  <c r="D119" i="9"/>
  <c r="B120" i="9"/>
  <c r="C119" i="9"/>
  <c r="E119" i="9"/>
  <c r="E120" i="9" l="1"/>
  <c r="D120" i="9"/>
  <c r="C120" i="9"/>
  <c r="B121" i="9"/>
  <c r="F120" i="9"/>
  <c r="E121" i="9" l="1"/>
  <c r="B122" i="9"/>
  <c r="D121" i="9"/>
  <c r="F121" i="9"/>
  <c r="C121" i="9"/>
  <c r="B123" i="9" l="1"/>
  <c r="E122" i="9"/>
  <c r="D122" i="9"/>
  <c r="C122" i="9"/>
  <c r="F122" i="9"/>
  <c r="E123" i="9" l="1"/>
  <c r="B124" i="9"/>
  <c r="C123" i="9"/>
  <c r="F123" i="9"/>
  <c r="D123" i="9"/>
  <c r="B125" i="9" l="1"/>
  <c r="D124" i="9"/>
  <c r="F124" i="9"/>
  <c r="C124" i="9"/>
  <c r="E124" i="9"/>
  <c r="F125" i="9" l="1"/>
  <c r="C125" i="9"/>
  <c r="E125" i="9"/>
  <c r="D125" i="9"/>
  <c r="B126" i="9"/>
  <c r="E126" i="9" l="1"/>
  <c r="B127" i="9"/>
  <c r="D126" i="9"/>
  <c r="F126" i="9"/>
  <c r="C126" i="9"/>
  <c r="E127" i="9" l="1"/>
  <c r="F127" i="9"/>
  <c r="D127" i="9"/>
  <c r="B128" i="9"/>
  <c r="C127" i="9"/>
  <c r="E128" i="9" l="1"/>
  <c r="B129" i="9"/>
  <c r="D128" i="9"/>
  <c r="F128" i="9"/>
  <c r="C128" i="9"/>
  <c r="F129" i="9" l="1"/>
  <c r="C129" i="9"/>
  <c r="E129" i="9"/>
  <c r="B130" i="9"/>
  <c r="D129" i="9"/>
  <c r="B131" i="9" l="1"/>
  <c r="E130" i="9"/>
  <c r="F130" i="9"/>
  <c r="C130" i="9"/>
  <c r="D130" i="9"/>
  <c r="F131" i="9" l="1"/>
  <c r="D131" i="9"/>
  <c r="E131" i="9"/>
  <c r="B132" i="9"/>
  <c r="C131" i="9"/>
  <c r="F132" i="9" l="1"/>
  <c r="C132" i="9"/>
  <c r="B133" i="9"/>
  <c r="D132" i="9"/>
  <c r="E132" i="9"/>
  <c r="E133" i="9" l="1"/>
  <c r="B134" i="9"/>
  <c r="D133" i="9"/>
  <c r="F133" i="9"/>
  <c r="C133" i="9"/>
  <c r="B135" i="9" l="1"/>
  <c r="D134" i="9"/>
  <c r="E134" i="9"/>
  <c r="F134" i="9"/>
  <c r="C134" i="9"/>
  <c r="E135" i="9" l="1"/>
  <c r="B136" i="9"/>
  <c r="C135" i="9"/>
  <c r="F135" i="9"/>
  <c r="D135" i="9"/>
  <c r="B137" i="9" l="1"/>
  <c r="D136" i="9"/>
  <c r="F136" i="9"/>
  <c r="C136" i="9"/>
  <c r="E136" i="9"/>
  <c r="F137" i="9" l="1"/>
  <c r="C137" i="9"/>
  <c r="E137" i="9"/>
  <c r="B138" i="9"/>
  <c r="D137" i="9"/>
  <c r="F138" i="9" l="1"/>
  <c r="C138" i="9"/>
  <c r="D138" i="9"/>
  <c r="B139" i="9"/>
  <c r="E138" i="9"/>
  <c r="E139" i="9" l="1"/>
  <c r="B140" i="9"/>
  <c r="C139" i="9"/>
  <c r="D139" i="9"/>
  <c r="F139" i="9"/>
  <c r="E140" i="9" l="1"/>
  <c r="B141" i="9"/>
  <c r="D140" i="9"/>
  <c r="F140" i="9"/>
  <c r="C140" i="9"/>
  <c r="F141" i="9" l="1"/>
  <c r="C141" i="9"/>
  <c r="E141" i="9"/>
  <c r="B142" i="9"/>
  <c r="D141" i="9"/>
  <c r="B143" i="9" l="1"/>
  <c r="D142" i="9"/>
  <c r="F142" i="9"/>
  <c r="C142" i="9"/>
  <c r="E142" i="9"/>
  <c r="F143" i="9" l="1"/>
  <c r="D143" i="9"/>
  <c r="B144" i="9"/>
  <c r="C143" i="9"/>
  <c r="E143" i="9"/>
  <c r="E144" i="9" l="1"/>
  <c r="D144" i="9"/>
  <c r="C144" i="9"/>
  <c r="B145" i="9"/>
  <c r="F144" i="9"/>
  <c r="E145" i="9" l="1"/>
  <c r="B146" i="9"/>
  <c r="D145" i="9"/>
  <c r="F145" i="9"/>
  <c r="C145" i="9"/>
  <c r="B147" i="9" l="1"/>
  <c r="E146" i="9"/>
  <c r="D146" i="9"/>
  <c r="F146" i="9"/>
  <c r="C146" i="9"/>
  <c r="E147" i="9" l="1"/>
  <c r="B148" i="9"/>
  <c r="C147" i="9"/>
  <c r="F147" i="9"/>
  <c r="D147" i="9"/>
  <c r="B149" i="9" l="1"/>
  <c r="D148" i="9"/>
  <c r="F148" i="9"/>
  <c r="C148" i="9"/>
  <c r="E148" i="9"/>
  <c r="F149" i="9" l="1"/>
  <c r="C149" i="9"/>
  <c r="B150" i="9"/>
  <c r="E149" i="9"/>
  <c r="D149" i="9"/>
  <c r="E150" i="9" l="1"/>
  <c r="B151" i="9"/>
  <c r="D150" i="9"/>
  <c r="F150" i="9"/>
  <c r="C150" i="9"/>
  <c r="E151" i="9" l="1"/>
  <c r="F151" i="9"/>
  <c r="D151" i="9"/>
  <c r="B152" i="9"/>
  <c r="C151" i="9"/>
  <c r="E152" i="9" l="1"/>
  <c r="B153" i="9"/>
  <c r="D152" i="9"/>
  <c r="F152" i="9"/>
  <c r="C152" i="9"/>
  <c r="F153" i="9" l="1"/>
  <c r="C153" i="9"/>
  <c r="E153" i="9"/>
  <c r="B154" i="9"/>
  <c r="D153" i="9"/>
  <c r="B155" i="9" l="1"/>
  <c r="E154" i="9"/>
  <c r="F154" i="9"/>
  <c r="C154" i="9"/>
  <c r="D154" i="9"/>
  <c r="F155" i="9" l="1"/>
  <c r="D155" i="9"/>
  <c r="E155" i="9"/>
  <c r="B156" i="9"/>
  <c r="C155" i="9"/>
  <c r="B157" i="9" l="1"/>
  <c r="D156" i="9"/>
  <c r="F156" i="9"/>
  <c r="C156" i="9"/>
  <c r="E156" i="9"/>
  <c r="E157" i="9" l="1"/>
  <c r="B158" i="9"/>
  <c r="D157" i="9"/>
  <c r="F157" i="9"/>
  <c r="C157" i="9"/>
  <c r="B159" i="9" l="1"/>
  <c r="D158" i="9"/>
  <c r="E158" i="9"/>
  <c r="F158" i="9"/>
  <c r="C158" i="9"/>
  <c r="E159" i="9" l="1"/>
  <c r="B160" i="9"/>
  <c r="C159" i="9"/>
  <c r="F159" i="9"/>
  <c r="D159" i="9"/>
  <c r="B161" i="9" l="1"/>
  <c r="D160" i="9"/>
  <c r="F160" i="9"/>
  <c r="C160" i="9"/>
  <c r="E160" i="9"/>
  <c r="F161" i="9" l="1"/>
  <c r="C161" i="9"/>
  <c r="B162" i="9"/>
  <c r="D161" i="9"/>
  <c r="E161" i="9"/>
  <c r="F162" i="9" l="1"/>
  <c r="C162" i="9"/>
  <c r="D162" i="9"/>
  <c r="B163" i="9"/>
  <c r="E162" i="9"/>
  <c r="E163" i="9" l="1"/>
  <c r="B164" i="9"/>
  <c r="C163" i="9"/>
  <c r="D163" i="9"/>
  <c r="F163" i="9"/>
  <c r="E164" i="9" l="1"/>
  <c r="B165" i="9"/>
  <c r="D164" i="9"/>
  <c r="F164" i="9"/>
  <c r="C164" i="9"/>
  <c r="F165" i="9" l="1"/>
  <c r="C165" i="9"/>
  <c r="E165" i="9"/>
  <c r="B166" i="9"/>
  <c r="D165" i="9"/>
  <c r="B167" i="9" l="1"/>
  <c r="D166" i="9"/>
  <c r="F166" i="9"/>
  <c r="C166" i="9"/>
  <c r="E166" i="9"/>
  <c r="F167" i="9" l="1"/>
  <c r="D167" i="9"/>
  <c r="B168" i="9"/>
  <c r="C167" i="9"/>
  <c r="E167" i="9"/>
  <c r="E168" i="9" l="1"/>
  <c r="B169" i="9"/>
  <c r="F168" i="9"/>
  <c r="D168" i="9"/>
  <c r="C168" i="9"/>
  <c r="E169" i="9" l="1"/>
  <c r="B170" i="9"/>
  <c r="D169" i="9"/>
  <c r="F169" i="9"/>
  <c r="C169" i="9"/>
  <c r="B171" i="9" l="1"/>
  <c r="E170" i="9"/>
  <c r="D170" i="9"/>
  <c r="F170" i="9"/>
  <c r="C170" i="9"/>
  <c r="E171" i="9" l="1"/>
  <c r="B172" i="9"/>
  <c r="C171" i="9"/>
  <c r="F171" i="9"/>
  <c r="D171" i="9"/>
  <c r="B173" i="9" l="1"/>
  <c r="D172" i="9"/>
  <c r="F172" i="9"/>
  <c r="C172" i="9"/>
  <c r="E172" i="9"/>
  <c r="F173" i="9" l="1"/>
  <c r="C173" i="9"/>
  <c r="B174" i="9"/>
  <c r="E173" i="9"/>
  <c r="D173" i="9"/>
  <c r="E174" i="9" l="1"/>
  <c r="B175" i="9"/>
  <c r="D174" i="9"/>
  <c r="F174" i="9"/>
  <c r="C174" i="9"/>
  <c r="E175" i="9" l="1"/>
  <c r="F175" i="9"/>
  <c r="C175" i="9"/>
  <c r="D175" i="9"/>
  <c r="B176" i="9"/>
  <c r="E176" i="9" l="1"/>
  <c r="B177" i="9"/>
  <c r="D176" i="9"/>
  <c r="F176" i="9"/>
  <c r="C176" i="9"/>
  <c r="F177" i="9" l="1"/>
  <c r="C177" i="9"/>
  <c r="E177" i="9"/>
  <c r="B178" i="9"/>
  <c r="D177" i="9"/>
  <c r="B179" i="9" l="1"/>
  <c r="E178" i="9"/>
  <c r="F178" i="9"/>
  <c r="C178" i="9"/>
  <c r="D178" i="9"/>
  <c r="F179" i="9" l="1"/>
  <c r="D179" i="9"/>
  <c r="E179" i="9"/>
  <c r="B180" i="9"/>
  <c r="C179" i="9"/>
  <c r="F180" i="9" l="1"/>
  <c r="C180" i="9"/>
  <c r="B181" i="9"/>
  <c r="D180" i="9"/>
  <c r="E180" i="9"/>
  <c r="E181" i="9" l="1"/>
  <c r="B182" i="9"/>
  <c r="D181" i="9"/>
  <c r="F181" i="9"/>
  <c r="C181" i="9"/>
  <c r="B183" i="9" l="1"/>
  <c r="D182" i="9"/>
  <c r="E182" i="9"/>
  <c r="F182" i="9"/>
  <c r="C182" i="9"/>
  <c r="E183" i="9" l="1"/>
  <c r="B184" i="9"/>
  <c r="C183" i="9"/>
  <c r="F183" i="9"/>
  <c r="D183" i="9"/>
  <c r="B185" i="9" l="1"/>
  <c r="D184" i="9"/>
  <c r="F184" i="9"/>
  <c r="C184" i="9"/>
  <c r="E184" i="9"/>
  <c r="F185" i="9" l="1"/>
  <c r="C185" i="9"/>
  <c r="B186" i="9"/>
  <c r="D185" i="9"/>
  <c r="E185" i="9"/>
  <c r="F186" i="9" l="1"/>
  <c r="C186" i="9"/>
  <c r="D186" i="9"/>
  <c r="B187" i="9"/>
  <c r="E186" i="9"/>
  <c r="E187" i="9" l="1"/>
  <c r="B188" i="9"/>
  <c r="C187" i="9"/>
  <c r="F187" i="9"/>
  <c r="D187" i="9"/>
  <c r="E188" i="9" l="1"/>
  <c r="B189" i="9"/>
  <c r="D188" i="9"/>
  <c r="F188" i="9"/>
  <c r="C188" i="9"/>
  <c r="F189" i="9" l="1"/>
  <c r="C189" i="9"/>
  <c r="E189" i="9"/>
  <c r="B190" i="9"/>
  <c r="D189" i="9"/>
  <c r="B191" i="9" l="1"/>
  <c r="D190" i="9"/>
  <c r="F190" i="9"/>
  <c r="C190" i="9"/>
  <c r="E190" i="9"/>
  <c r="F191" i="9" l="1"/>
  <c r="D191" i="9"/>
  <c r="B192" i="9"/>
  <c r="C191" i="9"/>
  <c r="E191" i="9"/>
  <c r="E192" i="9" l="1"/>
  <c r="D192" i="9"/>
  <c r="C192" i="9"/>
  <c r="B193" i="9"/>
  <c r="F192" i="9"/>
  <c r="E193" i="9" l="1"/>
  <c r="B194" i="9"/>
  <c r="D193" i="9"/>
  <c r="F193" i="9"/>
  <c r="C193" i="9"/>
  <c r="B195" i="9" l="1"/>
  <c r="E194" i="9"/>
  <c r="D194" i="9"/>
  <c r="C194" i="9"/>
  <c r="F194" i="9"/>
  <c r="E195" i="9" l="1"/>
  <c r="B196" i="9"/>
  <c r="C195" i="9"/>
  <c r="F195" i="9"/>
  <c r="D195" i="9"/>
  <c r="B197" i="9" l="1"/>
  <c r="D196" i="9"/>
  <c r="F196" i="9"/>
  <c r="C196" i="9"/>
  <c r="E196" i="9"/>
  <c r="F197" i="9" l="1"/>
  <c r="C197" i="9"/>
  <c r="E197" i="9"/>
  <c r="D197" i="9"/>
  <c r="B198" i="9"/>
  <c r="E198" i="9" l="1"/>
  <c r="B199" i="9"/>
  <c r="D198" i="9"/>
  <c r="F198" i="9"/>
  <c r="C198" i="9"/>
  <c r="C199" i="9" l="1"/>
  <c r="F199" i="9"/>
  <c r="E199" i="9"/>
  <c r="D199" i="9"/>
  <c r="B200" i="9"/>
  <c r="E200" i="9" l="1"/>
  <c r="B201" i="9"/>
  <c r="D200" i="9"/>
  <c r="F200" i="9"/>
  <c r="C200" i="9"/>
  <c r="F201" i="9" l="1"/>
  <c r="C201" i="9"/>
  <c r="E201" i="9"/>
  <c r="B202" i="9"/>
  <c r="D201" i="9"/>
  <c r="B203" i="9" l="1"/>
  <c r="D202" i="9"/>
  <c r="F202" i="9"/>
  <c r="C202" i="9"/>
  <c r="E202" i="9"/>
  <c r="F203" i="9" l="1"/>
  <c r="D203" i="9"/>
  <c r="E203" i="9"/>
  <c r="B204" i="9"/>
  <c r="C203" i="9"/>
  <c r="F204" i="9" l="1"/>
  <c r="C204" i="9"/>
  <c r="D204" i="9"/>
  <c r="B205" i="9"/>
  <c r="E204" i="9"/>
  <c r="E205" i="9" l="1"/>
  <c r="B206" i="9"/>
  <c r="D205" i="9"/>
  <c r="F205" i="9"/>
  <c r="C205" i="9"/>
  <c r="B207" i="9" l="1"/>
  <c r="D206" i="9"/>
  <c r="E206" i="9"/>
  <c r="F206" i="9"/>
  <c r="C206" i="9"/>
  <c r="C207" i="9" l="1"/>
  <c r="B208" i="9"/>
  <c r="E207" i="9"/>
  <c r="F207" i="9"/>
  <c r="D207" i="9"/>
  <c r="B209" i="9" l="1"/>
  <c r="D208" i="9"/>
  <c r="F208" i="9"/>
  <c r="C208" i="9"/>
  <c r="E208" i="9"/>
  <c r="F209" i="9" l="1"/>
  <c r="C209" i="9"/>
  <c r="B210" i="9"/>
  <c r="D209" i="9"/>
  <c r="E209" i="9"/>
  <c r="F210" i="9" l="1"/>
  <c r="C210" i="9"/>
  <c r="E210" i="9"/>
  <c r="B211" i="9"/>
  <c r="D210" i="9"/>
  <c r="E211" i="9" l="1"/>
  <c r="B212" i="9"/>
  <c r="C211" i="9"/>
  <c r="D211" i="9"/>
  <c r="F211" i="9"/>
  <c r="E212" i="9" l="1"/>
  <c r="B213" i="9"/>
  <c r="D212" i="9"/>
  <c r="F212" i="9"/>
  <c r="C212" i="9"/>
  <c r="F213" i="9" l="1"/>
  <c r="C213" i="9"/>
  <c r="E213" i="9"/>
  <c r="B214" i="9"/>
  <c r="D213" i="9"/>
  <c r="D9" i="9" s="1"/>
  <c r="B215" i="9" l="1"/>
  <c r="F214" i="9"/>
  <c r="D214" i="9"/>
  <c r="E214" i="9"/>
  <c r="E9" i="9" s="1"/>
  <c r="C214" i="9"/>
  <c r="F215" i="9" l="1"/>
  <c r="B216" i="9"/>
  <c r="D215" i="9"/>
  <c r="C215" i="9"/>
  <c r="E215" i="9"/>
  <c r="C216" i="9" l="1"/>
  <c r="D216" i="9"/>
  <c r="B217" i="9"/>
  <c r="F216" i="9"/>
  <c r="E216" i="9"/>
  <c r="E217" i="9" l="1"/>
  <c r="D217" i="9"/>
  <c r="B218" i="9"/>
  <c r="F217" i="9"/>
  <c r="C217" i="9"/>
  <c r="B219" i="9" l="1"/>
  <c r="E218" i="9"/>
  <c r="D218" i="9"/>
  <c r="F218" i="9"/>
  <c r="C218" i="9"/>
  <c r="B220" i="9" l="1"/>
  <c r="F219" i="9"/>
  <c r="D219" i="9"/>
  <c r="E219" i="9"/>
  <c r="C219" i="9"/>
  <c r="B221" i="9" l="1"/>
  <c r="F220" i="9"/>
  <c r="D220" i="9"/>
  <c r="C220" i="9"/>
  <c r="E220" i="9"/>
  <c r="F221" i="9" l="1"/>
  <c r="C221" i="9"/>
  <c r="D221" i="9"/>
  <c r="B222" i="9"/>
  <c r="E221" i="9"/>
  <c r="E222" i="9" l="1"/>
  <c r="B223" i="9"/>
  <c r="F222" i="9"/>
  <c r="D222" i="9"/>
  <c r="C222" i="9"/>
  <c r="C223" i="9" l="1"/>
  <c r="D223" i="9"/>
  <c r="B224" i="9"/>
  <c r="F223" i="9"/>
  <c r="E223" i="9"/>
  <c r="B225" i="9" l="1"/>
  <c r="D224" i="9"/>
  <c r="F224" i="9"/>
  <c r="C224" i="9"/>
  <c r="E224" i="9"/>
  <c r="E225" i="9" l="1"/>
  <c r="B226" i="9"/>
  <c r="D225" i="9"/>
  <c r="F225" i="9"/>
  <c r="C225" i="9"/>
  <c r="B227" i="9" l="1"/>
  <c r="D226" i="9"/>
  <c r="E226" i="9"/>
  <c r="F226" i="9"/>
  <c r="C226" i="9"/>
  <c r="F227" i="9" l="1"/>
  <c r="D227" i="9"/>
  <c r="B228" i="9"/>
  <c r="E227" i="9"/>
  <c r="C227" i="9"/>
  <c r="F228" i="9" l="1"/>
  <c r="C228" i="9"/>
  <c r="B229" i="9"/>
  <c r="E228" i="9"/>
  <c r="D228" i="9"/>
  <c r="E229" i="9" l="1"/>
  <c r="B230" i="9"/>
  <c r="D229" i="9"/>
  <c r="F229" i="9"/>
  <c r="C229" i="9"/>
  <c r="E230" i="9" l="1"/>
  <c r="B231" i="9"/>
  <c r="D230" i="9"/>
  <c r="F230" i="9"/>
  <c r="C230" i="9"/>
  <c r="F231" i="9" l="1"/>
  <c r="D231" i="9"/>
  <c r="C231" i="9"/>
  <c r="B232" i="9"/>
  <c r="E231" i="9"/>
  <c r="B233" i="9" l="1"/>
  <c r="D232" i="9"/>
  <c r="F232" i="9"/>
  <c r="C232" i="9"/>
  <c r="E232" i="9"/>
  <c r="F233" i="9" l="1"/>
  <c r="C233" i="9"/>
  <c r="B234" i="9"/>
  <c r="D233" i="9"/>
  <c r="E233" i="9"/>
  <c r="E234" i="9" l="1"/>
  <c r="B235" i="9"/>
  <c r="D234" i="9"/>
  <c r="C234" i="9"/>
  <c r="F234" i="9"/>
  <c r="E235" i="9" l="1"/>
  <c r="B236" i="9"/>
  <c r="F235" i="9"/>
  <c r="C235" i="9"/>
  <c r="D235" i="9"/>
  <c r="B237" i="9" l="1"/>
  <c r="D236" i="9"/>
  <c r="F236" i="9"/>
  <c r="C236" i="9"/>
  <c r="E236" i="9"/>
  <c r="E237" i="9" l="1"/>
  <c r="B238" i="9"/>
  <c r="D237" i="9"/>
  <c r="F237" i="9"/>
  <c r="C237" i="9"/>
  <c r="B239" i="9" l="1"/>
  <c r="D238" i="9"/>
  <c r="E238" i="9"/>
  <c r="F238" i="9"/>
  <c r="C238" i="9"/>
  <c r="F239" i="9" l="1"/>
  <c r="D239" i="9"/>
  <c r="C239" i="9"/>
  <c r="B240" i="9"/>
  <c r="E239" i="9"/>
  <c r="F240" i="9" l="1"/>
  <c r="C240" i="9"/>
  <c r="B241" i="9"/>
  <c r="E240" i="9"/>
  <c r="D240" i="9"/>
  <c r="E241" i="9" l="1"/>
  <c r="B242" i="9"/>
  <c r="D241" i="9"/>
  <c r="F241" i="9"/>
  <c r="C241" i="9"/>
  <c r="E242" i="9" l="1"/>
  <c r="B243" i="9"/>
  <c r="D242" i="9"/>
  <c r="F242" i="9"/>
  <c r="C242" i="9"/>
  <c r="F243" i="9" l="1"/>
  <c r="D243" i="9"/>
  <c r="E243" i="9"/>
  <c r="B244" i="9"/>
  <c r="C243" i="9"/>
  <c r="B245" i="9" l="1"/>
  <c r="D244" i="9"/>
  <c r="F244" i="9"/>
  <c r="C244" i="9"/>
  <c r="E244" i="9"/>
  <c r="F245" i="9" l="1"/>
  <c r="C245" i="9"/>
  <c r="B246" i="9"/>
  <c r="D245" i="9"/>
  <c r="E245" i="9"/>
  <c r="E246" i="9" l="1"/>
  <c r="D246" i="9"/>
  <c r="C246" i="9"/>
  <c r="B247" i="9"/>
  <c r="F246" i="9"/>
  <c r="C247" i="9" l="1"/>
  <c r="F247" i="9"/>
  <c r="E247" i="9"/>
  <c r="D247" i="9"/>
  <c r="B248" i="9"/>
  <c r="B249" i="9" l="1"/>
  <c r="D248" i="9"/>
  <c r="F248" i="9"/>
  <c r="C248" i="9"/>
  <c r="E248" i="9"/>
  <c r="E249" i="9" l="1"/>
  <c r="B250" i="9"/>
  <c r="D249" i="9"/>
  <c r="F249" i="9"/>
  <c r="C249" i="9"/>
  <c r="B251" i="9" l="1"/>
  <c r="D250" i="9"/>
  <c r="E250" i="9"/>
  <c r="F250" i="9"/>
  <c r="C250" i="9"/>
  <c r="F251" i="9" l="1"/>
  <c r="D251" i="9"/>
  <c r="B252" i="9"/>
  <c r="E251" i="9"/>
  <c r="C251" i="9"/>
  <c r="F252" i="9" l="1"/>
  <c r="C252" i="9"/>
  <c r="D252" i="9"/>
  <c r="B253" i="9"/>
  <c r="E252" i="9"/>
  <c r="E253" i="9" l="1"/>
  <c r="B254" i="9"/>
  <c r="D253" i="9"/>
  <c r="C253" i="9"/>
  <c r="F253" i="9"/>
  <c r="E254" i="9" l="1"/>
  <c r="B255" i="9"/>
  <c r="D254" i="9"/>
  <c r="C254" i="9"/>
  <c r="F254" i="9"/>
  <c r="F255" i="9" l="1"/>
  <c r="D255" i="9"/>
  <c r="C255" i="9"/>
  <c r="B256" i="9"/>
  <c r="E255" i="9"/>
  <c r="B257" i="9" l="1"/>
  <c r="D256" i="9"/>
  <c r="F256" i="9"/>
  <c r="C256" i="9"/>
  <c r="E256" i="9"/>
  <c r="F257" i="9" l="1"/>
  <c r="C257" i="9"/>
  <c r="B258" i="9"/>
  <c r="E257" i="9"/>
  <c r="D257" i="9"/>
  <c r="E258" i="9" l="1"/>
  <c r="B259" i="9"/>
  <c r="F258" i="9"/>
  <c r="D258" i="9"/>
  <c r="C258" i="9"/>
  <c r="E259" i="9" l="1"/>
  <c r="C259" i="9"/>
  <c r="D259" i="9"/>
  <c r="B260" i="9"/>
  <c r="F259" i="9"/>
  <c r="B261" i="9" l="1"/>
  <c r="D260" i="9"/>
  <c r="F260" i="9"/>
  <c r="C260" i="9"/>
  <c r="E260" i="9"/>
  <c r="E261" i="9" l="1"/>
  <c r="B262" i="9"/>
  <c r="D261" i="9"/>
  <c r="F261" i="9"/>
  <c r="C261" i="9"/>
  <c r="B263" i="9" l="1"/>
  <c r="D262" i="9"/>
  <c r="F262" i="9"/>
  <c r="C262" i="9"/>
  <c r="E262" i="9"/>
  <c r="F263" i="9" l="1"/>
  <c r="D263" i="9"/>
  <c r="B264" i="9"/>
  <c r="C263" i="9"/>
  <c r="E263" i="9"/>
  <c r="F264" i="9" l="1"/>
  <c r="C264" i="9"/>
  <c r="B265" i="9"/>
  <c r="E264" i="9"/>
  <c r="D264" i="9"/>
  <c r="E265" i="9" l="1"/>
  <c r="B266" i="9"/>
  <c r="D265" i="9"/>
  <c r="C265" i="9"/>
  <c r="F265" i="9"/>
  <c r="E266" i="9" l="1"/>
  <c r="B267" i="9"/>
  <c r="D266" i="9"/>
  <c r="C266" i="9"/>
  <c r="F266" i="9"/>
  <c r="F267" i="9" l="1"/>
  <c r="D267" i="9"/>
  <c r="E267" i="9"/>
  <c r="B268" i="9"/>
  <c r="C267" i="9"/>
  <c r="B269" i="9" l="1"/>
  <c r="D268" i="9"/>
  <c r="F268" i="9"/>
  <c r="C268" i="9"/>
  <c r="E268" i="9"/>
  <c r="F269" i="9" l="1"/>
  <c r="C269" i="9"/>
  <c r="E269" i="9"/>
  <c r="D269" i="9"/>
  <c r="B270" i="9"/>
  <c r="E270" i="9" l="1"/>
  <c r="C270" i="9"/>
  <c r="B271" i="9"/>
  <c r="F270" i="9"/>
  <c r="D270" i="9"/>
  <c r="C271" i="9" l="1"/>
  <c r="E271" i="9"/>
  <c r="B272" i="9"/>
  <c r="F271" i="9"/>
  <c r="D271" i="9"/>
  <c r="B273" i="9" l="1"/>
  <c r="D272" i="9"/>
  <c r="F272" i="9"/>
  <c r="C272" i="9"/>
  <c r="E272" i="9"/>
  <c r="E273" i="9" l="1"/>
  <c r="B274" i="9"/>
  <c r="D273" i="9"/>
  <c r="F273" i="9"/>
  <c r="C273" i="9"/>
  <c r="B275" i="9" l="1"/>
  <c r="D274" i="9"/>
  <c r="F274" i="9"/>
  <c r="C274" i="9"/>
  <c r="E274" i="9"/>
  <c r="F275" i="9" l="1"/>
  <c r="D275" i="9"/>
  <c r="B276" i="9"/>
  <c r="E275" i="9"/>
  <c r="C275" i="9"/>
  <c r="D276" i="9" l="1"/>
  <c r="C276" i="9"/>
  <c r="B277" i="9"/>
  <c r="F276" i="9"/>
  <c r="E276" i="9"/>
  <c r="E277" i="9" l="1"/>
  <c r="B278" i="9"/>
  <c r="D277" i="9"/>
  <c r="C277" i="9"/>
  <c r="F277" i="9"/>
  <c r="E278" i="9" l="1"/>
  <c r="B279" i="9"/>
  <c r="D278" i="9"/>
  <c r="C278" i="9"/>
  <c r="F278" i="9"/>
  <c r="F279" i="9" l="1"/>
  <c r="D279" i="9"/>
  <c r="C279" i="9"/>
  <c r="B280" i="9"/>
  <c r="E279" i="9"/>
  <c r="B281" i="9" l="1"/>
  <c r="D280" i="9"/>
  <c r="F280" i="9"/>
  <c r="C280" i="9"/>
  <c r="E280" i="9"/>
  <c r="F281" i="9" l="1"/>
  <c r="C281" i="9"/>
  <c r="B282" i="9"/>
  <c r="E281" i="9"/>
  <c r="D281" i="9"/>
  <c r="E282" i="9" l="1"/>
  <c r="D282" i="9"/>
  <c r="C282" i="9"/>
  <c r="B283" i="9"/>
  <c r="F282" i="9"/>
  <c r="E283" i="9" l="1"/>
  <c r="D283" i="9"/>
  <c r="B284" i="9"/>
  <c r="F283" i="9"/>
  <c r="C283" i="9"/>
  <c r="B285" i="9" l="1"/>
  <c r="D284" i="9"/>
  <c r="F284" i="9"/>
  <c r="C284" i="9"/>
  <c r="E284" i="9"/>
  <c r="E285" i="9" l="1"/>
  <c r="B286" i="9"/>
  <c r="D285" i="9"/>
  <c r="F285" i="9"/>
  <c r="C285" i="9"/>
  <c r="B287" i="9" l="1"/>
  <c r="D286" i="9"/>
  <c r="F286" i="9"/>
  <c r="C286" i="9"/>
  <c r="E286" i="9"/>
  <c r="F287" i="9" l="1"/>
  <c r="D287" i="9"/>
  <c r="B288" i="9"/>
  <c r="C287" i="9"/>
  <c r="E287" i="9"/>
  <c r="E288" i="9" l="1"/>
  <c r="D288" i="9"/>
  <c r="B289" i="9"/>
  <c r="F288" i="9"/>
  <c r="C288" i="9"/>
  <c r="E289" i="9" l="1"/>
  <c r="B290" i="9"/>
  <c r="D289" i="9"/>
  <c r="C289" i="9"/>
  <c r="F289" i="9"/>
  <c r="E290" i="9" l="1"/>
  <c r="B291" i="9"/>
  <c r="D290" i="9"/>
  <c r="C290" i="9"/>
  <c r="F290" i="9"/>
  <c r="F291" i="9" l="1"/>
  <c r="D291" i="9"/>
  <c r="E291" i="9"/>
  <c r="B292" i="9"/>
  <c r="C291" i="9"/>
  <c r="B293" i="9" l="1"/>
  <c r="D292" i="9"/>
  <c r="F292" i="9"/>
  <c r="C292" i="9"/>
  <c r="E292" i="9"/>
  <c r="F293" i="9" l="1"/>
  <c r="C293" i="9"/>
  <c r="D293" i="9"/>
  <c r="B294" i="9"/>
  <c r="E293" i="9"/>
  <c r="E294" i="9" l="1"/>
  <c r="D294" i="9"/>
  <c r="C294" i="9"/>
  <c r="B295" i="9"/>
  <c r="F294" i="9"/>
  <c r="C295" i="9" l="1"/>
  <c r="E295" i="9"/>
  <c r="D295" i="9"/>
  <c r="F295" i="9"/>
  <c r="B296" i="9"/>
  <c r="B297" i="9" l="1"/>
  <c r="D296" i="9"/>
  <c r="F296" i="9"/>
  <c r="C296" i="9"/>
  <c r="E296" i="9"/>
  <c r="E297" i="9" l="1"/>
  <c r="B298" i="9"/>
  <c r="D297" i="9"/>
  <c r="F297" i="9"/>
  <c r="C297" i="9"/>
  <c r="B299" i="9" l="1"/>
  <c r="D298" i="9"/>
  <c r="F298" i="9"/>
  <c r="C298" i="9"/>
  <c r="E298" i="9"/>
  <c r="F299" i="9" l="1"/>
  <c r="D299" i="9"/>
  <c r="C299" i="9"/>
  <c r="B300" i="9"/>
  <c r="E299" i="9"/>
  <c r="E300" i="9" l="1"/>
  <c r="C300" i="9"/>
  <c r="F300" i="9"/>
  <c r="B301" i="9"/>
  <c r="D300" i="9"/>
  <c r="E301" i="9" l="1"/>
  <c r="B302" i="9"/>
  <c r="D301" i="9"/>
  <c r="C301" i="9"/>
  <c r="F301" i="9"/>
  <c r="E302" i="9" l="1"/>
  <c r="B303" i="9"/>
  <c r="D302" i="9"/>
  <c r="C302" i="9"/>
  <c r="F302" i="9"/>
  <c r="F303" i="9" l="1"/>
  <c r="D303" i="9"/>
  <c r="C303" i="9"/>
  <c r="B304" i="9"/>
  <c r="E303" i="9"/>
  <c r="B305" i="9" l="1"/>
  <c r="D304" i="9"/>
  <c r="F304" i="9"/>
  <c r="C304" i="9"/>
  <c r="E304" i="9"/>
  <c r="F305" i="9" l="1"/>
  <c r="C305" i="9"/>
  <c r="E305" i="9"/>
  <c r="D305" i="9"/>
  <c r="B306" i="9"/>
  <c r="E306" i="9" l="1"/>
  <c r="C306" i="9"/>
  <c r="B307" i="9"/>
  <c r="F306" i="9"/>
  <c r="D306" i="9"/>
  <c r="E307" i="9" l="1"/>
  <c r="C307" i="9"/>
  <c r="D307" i="9"/>
  <c r="B308" i="9"/>
  <c r="F307" i="9"/>
  <c r="B309" i="9" l="1"/>
  <c r="D308" i="9"/>
  <c r="F308" i="9"/>
  <c r="C308" i="9"/>
  <c r="E308" i="9"/>
  <c r="E309" i="9" l="1"/>
  <c r="B310" i="9"/>
  <c r="D309" i="9"/>
  <c r="F309" i="9"/>
  <c r="C309" i="9"/>
  <c r="B311" i="9" l="1"/>
  <c r="D310" i="9"/>
  <c r="F310" i="9"/>
  <c r="C310" i="9"/>
  <c r="E310" i="9"/>
  <c r="F311" i="9" l="1"/>
  <c r="D311" i="9"/>
  <c r="C311" i="9"/>
  <c r="E311" i="9"/>
  <c r="B312" i="9"/>
  <c r="E312" i="9" l="1"/>
  <c r="D312" i="9"/>
  <c r="C312" i="9"/>
  <c r="B313" i="9"/>
  <c r="F312" i="9"/>
  <c r="E313" i="9" l="1"/>
  <c r="B314" i="9"/>
  <c r="D313" i="9"/>
  <c r="C313" i="9"/>
  <c r="F313" i="9"/>
  <c r="E314" i="9" l="1"/>
  <c r="B315" i="9"/>
  <c r="D314" i="9"/>
  <c r="C314" i="9"/>
  <c r="F314" i="9"/>
  <c r="F315" i="9" l="1"/>
  <c r="D315" i="9"/>
  <c r="E315" i="9"/>
  <c r="B316" i="9"/>
  <c r="C315" i="9"/>
  <c r="B317" i="9" l="1"/>
  <c r="D316" i="9"/>
  <c r="F316" i="9"/>
  <c r="C316" i="9"/>
  <c r="E316" i="9"/>
  <c r="F317" i="9" l="1"/>
  <c r="C317" i="9"/>
  <c r="E317" i="9"/>
  <c r="B318" i="9"/>
  <c r="D317" i="9"/>
  <c r="E318" i="9" l="1"/>
  <c r="D318" i="9"/>
  <c r="C318" i="9"/>
  <c r="F318" i="9"/>
  <c r="B319" i="9"/>
  <c r="C319" i="9" l="1"/>
  <c r="D319" i="9"/>
  <c r="E319" i="9"/>
  <c r="B320" i="9"/>
  <c r="F319" i="9"/>
  <c r="B321" i="9" l="1"/>
  <c r="D320" i="9"/>
  <c r="F320" i="9"/>
  <c r="E320" i="9"/>
  <c r="C320" i="9"/>
  <c r="E321" i="9" l="1"/>
  <c r="B322" i="9"/>
  <c r="D321" i="9"/>
  <c r="F321" i="9"/>
  <c r="C321" i="9"/>
  <c r="B323" i="9" l="1"/>
  <c r="D322" i="9"/>
  <c r="F322" i="9"/>
  <c r="E322" i="9"/>
  <c r="C322" i="9"/>
  <c r="F323" i="9" l="1"/>
  <c r="C323" i="9"/>
  <c r="E323" i="9"/>
  <c r="B324" i="9"/>
  <c r="D323" i="9"/>
  <c r="C324" i="9" l="1"/>
  <c r="B325" i="9"/>
  <c r="F324" i="9"/>
  <c r="E324" i="9"/>
  <c r="D324" i="9"/>
  <c r="B326" i="9" l="1"/>
  <c r="E325" i="9"/>
  <c r="C325" i="9"/>
  <c r="F325" i="9"/>
  <c r="D325" i="9"/>
  <c r="B327" i="9" l="1"/>
  <c r="F326" i="9"/>
  <c r="E326" i="9"/>
  <c r="C326" i="9"/>
  <c r="D326" i="9"/>
  <c r="F327" i="9" l="1"/>
  <c r="B328" i="9"/>
  <c r="C327" i="9"/>
  <c r="E327" i="9"/>
  <c r="D327" i="9"/>
  <c r="B329" i="9" l="1"/>
  <c r="F328" i="9"/>
  <c r="E328" i="9"/>
  <c r="C328" i="9"/>
  <c r="D328" i="9"/>
  <c r="F329" i="9" l="1"/>
  <c r="D329" i="9"/>
  <c r="B330" i="9"/>
  <c r="C329" i="9"/>
  <c r="E329" i="9"/>
  <c r="C330" i="9" l="1"/>
  <c r="B331" i="9"/>
  <c r="E330" i="9"/>
  <c r="F330" i="9"/>
  <c r="D330" i="9"/>
  <c r="F331" i="9" l="1"/>
  <c r="B332" i="9"/>
  <c r="E331" i="9"/>
  <c r="C331" i="9"/>
  <c r="D331" i="9"/>
  <c r="B333" i="9" l="1"/>
  <c r="F332" i="9"/>
  <c r="C332" i="9"/>
  <c r="E332" i="9"/>
  <c r="D332" i="9"/>
  <c r="C333" i="9" l="1"/>
  <c r="F333" i="9"/>
  <c r="B334" i="9"/>
  <c r="E333" i="9"/>
  <c r="D333" i="9"/>
  <c r="E334" i="9" l="1"/>
  <c r="F334" i="9"/>
  <c r="C334" i="9"/>
  <c r="B335" i="9"/>
  <c r="D334" i="9"/>
  <c r="B336" i="9" l="1"/>
  <c r="E335" i="9"/>
  <c r="F335" i="9"/>
  <c r="C335" i="9"/>
  <c r="D335" i="9"/>
  <c r="F336" i="9" l="1"/>
  <c r="C336" i="9"/>
  <c r="D336" i="9"/>
  <c r="B337" i="9"/>
  <c r="E336" i="9"/>
  <c r="B338" i="9" l="1"/>
  <c r="F337" i="9"/>
  <c r="D337" i="9"/>
  <c r="C337" i="9"/>
  <c r="E337" i="9"/>
  <c r="B339" i="9" l="1"/>
  <c r="F338" i="9"/>
  <c r="E338" i="9"/>
  <c r="D338" i="9"/>
  <c r="C338" i="9"/>
  <c r="C339" i="9" l="1"/>
  <c r="D339" i="9"/>
  <c r="B340" i="9"/>
  <c r="F339" i="9"/>
  <c r="E339" i="9"/>
  <c r="E340" i="9" l="1"/>
  <c r="B341" i="9"/>
  <c r="F340" i="9"/>
  <c r="D340" i="9"/>
  <c r="C340" i="9"/>
  <c r="B342" i="9" l="1"/>
  <c r="D341" i="9"/>
  <c r="E341" i="9"/>
  <c r="F341" i="9"/>
  <c r="C341" i="9"/>
  <c r="F342" i="9" l="1"/>
  <c r="C342" i="9"/>
  <c r="E342" i="9"/>
  <c r="D342" i="9"/>
  <c r="B343" i="9"/>
  <c r="B344" i="9" l="1"/>
  <c r="C343" i="9"/>
  <c r="E343" i="9"/>
  <c r="D343" i="9"/>
  <c r="F343" i="9"/>
  <c r="B345" i="9" l="1"/>
  <c r="F344" i="9"/>
  <c r="E344" i="9"/>
  <c r="D344" i="9"/>
  <c r="C344" i="9"/>
  <c r="E345" i="9" l="1"/>
  <c r="D345" i="9"/>
  <c r="B346" i="9"/>
  <c r="F345" i="9"/>
  <c r="C345" i="9"/>
  <c r="E346" i="9" l="1"/>
  <c r="B347" i="9"/>
  <c r="D346" i="9"/>
  <c r="C346" i="9"/>
  <c r="F346" i="9"/>
  <c r="B348" i="9" l="1"/>
  <c r="C347" i="9"/>
  <c r="F347" i="9"/>
  <c r="E347" i="9"/>
  <c r="D347" i="9"/>
  <c r="F348" i="9" l="1"/>
  <c r="C348" i="9"/>
  <c r="E348" i="9"/>
  <c r="D348" i="9"/>
  <c r="B349" i="9"/>
  <c r="B350" i="9" l="1"/>
  <c r="F349" i="9"/>
  <c r="E349" i="9"/>
  <c r="C349" i="9"/>
  <c r="D349" i="9"/>
  <c r="E350" i="9" l="1"/>
  <c r="B351" i="9"/>
  <c r="F350" i="9"/>
  <c r="D350" i="9"/>
  <c r="C350" i="9"/>
  <c r="C351" i="9" l="1"/>
  <c r="B352" i="9"/>
  <c r="E351" i="9"/>
  <c r="D351" i="9"/>
  <c r="F351" i="9"/>
  <c r="E352" i="9" l="1"/>
  <c r="F352" i="9"/>
  <c r="D352" i="9"/>
  <c r="C352" i="9"/>
  <c r="B353" i="9"/>
  <c r="B354" i="9" l="1"/>
  <c r="D353" i="9"/>
  <c r="F353" i="9"/>
  <c r="E353" i="9"/>
  <c r="C353" i="9"/>
  <c r="F354" i="9" l="1"/>
  <c r="C354" i="9"/>
  <c r="D354" i="9"/>
  <c r="B355" i="9"/>
  <c r="E354" i="9"/>
  <c r="F355" i="9" l="1"/>
  <c r="C355" i="9"/>
  <c r="E355" i="9"/>
  <c r="D355" i="9"/>
  <c r="B356" i="9"/>
  <c r="C356" i="9" l="1"/>
  <c r="B357" i="9"/>
  <c r="F356" i="9"/>
  <c r="E356" i="9"/>
  <c r="D356" i="9"/>
  <c r="F357" i="9" l="1"/>
  <c r="E357" i="9"/>
  <c r="C357" i="9"/>
  <c r="B358" i="9"/>
  <c r="D357" i="9"/>
  <c r="E358" i="9" l="1"/>
  <c r="B359" i="9"/>
  <c r="F358" i="9"/>
  <c r="D358" i="9"/>
  <c r="C358" i="9"/>
  <c r="B360" i="9" l="1"/>
  <c r="E359" i="9"/>
  <c r="D359" i="9"/>
  <c r="F359" i="9"/>
  <c r="C359" i="9"/>
  <c r="F360" i="9" l="1"/>
  <c r="C360" i="9"/>
  <c r="B361" i="9"/>
  <c r="E360" i="9"/>
  <c r="D360" i="9"/>
  <c r="B362" i="9" l="1"/>
  <c r="E361" i="9"/>
  <c r="F361" i="9"/>
  <c r="C361" i="9"/>
  <c r="D361" i="9"/>
  <c r="D362" i="9" l="1"/>
  <c r="C362" i="9"/>
  <c r="B363" i="9"/>
  <c r="F362" i="9"/>
  <c r="E362" i="9"/>
  <c r="B364" i="9" l="1"/>
  <c r="F363" i="9"/>
  <c r="C363" i="9"/>
  <c r="D363" i="9"/>
  <c r="E363" i="9"/>
  <c r="E364" i="9" l="1"/>
  <c r="B365" i="9"/>
  <c r="F364" i="9"/>
  <c r="D364" i="9"/>
  <c r="C364" i="9"/>
  <c r="B366" i="9" l="1"/>
  <c r="D365" i="9"/>
  <c r="E365" i="9"/>
  <c r="C365" i="9"/>
  <c r="F365" i="9"/>
  <c r="F366" i="9" l="1"/>
  <c r="C366" i="9"/>
  <c r="B367" i="9"/>
  <c r="D366" i="9"/>
  <c r="E366" i="9"/>
  <c r="B368" i="9" l="1"/>
  <c r="C367" i="9"/>
  <c r="F367" i="9"/>
  <c r="E367" i="9"/>
  <c r="D367" i="9"/>
  <c r="D368" i="9" l="1"/>
  <c r="B369" i="9"/>
  <c r="F368" i="9"/>
  <c r="E368" i="9"/>
  <c r="C368" i="9"/>
  <c r="B370" i="9" l="1"/>
  <c r="E369" i="9"/>
  <c r="D369" i="9"/>
  <c r="C369" i="9"/>
  <c r="F369" i="9"/>
  <c r="D370" i="9" l="1"/>
  <c r="E370" i="9"/>
  <c r="B371" i="9"/>
  <c r="F370" i="9"/>
  <c r="C370" i="9"/>
  <c r="B372" i="9" l="1"/>
  <c r="C371" i="9"/>
  <c r="E371" i="9"/>
  <c r="F371" i="9"/>
  <c r="D371" i="9"/>
  <c r="F372" i="9" l="1"/>
  <c r="C372" i="9"/>
  <c r="B373" i="9"/>
  <c r="D372" i="9"/>
  <c r="E372" i="9"/>
  <c r="B374" i="9" l="1"/>
  <c r="F373" i="9"/>
  <c r="E373" i="9"/>
  <c r="D373" i="9"/>
  <c r="C373" i="9"/>
  <c r="E374" i="9" l="1"/>
  <c r="B375" i="9"/>
  <c r="F374" i="9"/>
  <c r="C374" i="9"/>
  <c r="D374" i="9"/>
  <c r="B376" i="9" l="1"/>
  <c r="F375" i="9"/>
  <c r="E375" i="9"/>
  <c r="D375" i="9"/>
  <c r="C375" i="9"/>
  <c r="D376" i="9" l="1"/>
  <c r="F376" i="9"/>
  <c r="B377" i="9"/>
  <c r="E376" i="9"/>
  <c r="C376" i="9"/>
  <c r="B378" i="9" l="1"/>
  <c r="D377" i="9"/>
  <c r="E377" i="9"/>
  <c r="F377" i="9"/>
  <c r="C377" i="9"/>
  <c r="F378" i="9" l="1"/>
  <c r="C378" i="9"/>
  <c r="E378" i="9"/>
  <c r="D378" i="9"/>
  <c r="B379" i="9"/>
  <c r="C379" i="9" l="1"/>
  <c r="B380" i="9"/>
  <c r="F379" i="9"/>
  <c r="E379" i="9"/>
  <c r="D379" i="9"/>
  <c r="F380" i="9" l="1"/>
  <c r="E380" i="9"/>
  <c r="C380" i="9"/>
  <c r="B381" i="9"/>
  <c r="D380" i="9"/>
  <c r="B382" i="9" l="1"/>
  <c r="F381" i="9"/>
  <c r="C381" i="9"/>
  <c r="E381" i="9"/>
  <c r="D381" i="9"/>
  <c r="D382" i="9" l="1"/>
  <c r="C382" i="9"/>
  <c r="F382" i="9"/>
  <c r="B383" i="9"/>
  <c r="E382" i="9"/>
  <c r="B384" i="9" l="1"/>
  <c r="C383" i="9"/>
  <c r="F383" i="9"/>
  <c r="E383" i="9"/>
  <c r="D383" i="9"/>
  <c r="F384" i="9" l="1"/>
  <c r="C384" i="9"/>
  <c r="B385" i="9"/>
  <c r="D384" i="9"/>
  <c r="E384" i="9"/>
  <c r="D385" i="9" l="1"/>
  <c r="B386" i="9"/>
  <c r="F385" i="9"/>
  <c r="C385" i="9"/>
  <c r="E385" i="9"/>
  <c r="B387" i="9" l="1"/>
  <c r="F386" i="9"/>
  <c r="E386" i="9"/>
  <c r="C386" i="9"/>
  <c r="D386" i="9"/>
  <c r="B388" i="9" l="1"/>
  <c r="F387" i="9"/>
  <c r="D387" i="9"/>
  <c r="C387" i="9"/>
  <c r="E387" i="9"/>
  <c r="D388" i="9" l="1"/>
  <c r="E388" i="9"/>
  <c r="C388" i="9"/>
  <c r="B389" i="9"/>
  <c r="F388" i="9"/>
  <c r="B390" i="9" l="1"/>
  <c r="D389" i="9"/>
  <c r="F389" i="9"/>
  <c r="E389" i="9"/>
  <c r="C389" i="9"/>
  <c r="F390" i="9" l="1"/>
  <c r="C390" i="9"/>
  <c r="B391" i="9"/>
  <c r="D390" i="9"/>
  <c r="E390" i="9"/>
  <c r="E391" i="9" l="1"/>
  <c r="B392" i="9"/>
  <c r="F391" i="9"/>
  <c r="C391" i="9"/>
  <c r="D391" i="9"/>
  <c r="F392" i="9" l="1"/>
  <c r="D392" i="9"/>
  <c r="E392" i="9"/>
  <c r="C392" i="9"/>
  <c r="B393" i="9"/>
  <c r="B394" i="9" l="1"/>
  <c r="D393" i="9"/>
  <c r="F393" i="9"/>
  <c r="E393" i="9"/>
  <c r="C393" i="9"/>
  <c r="D394" i="9" l="1"/>
  <c r="C394" i="9"/>
  <c r="B395" i="9"/>
  <c r="F394" i="9"/>
  <c r="E394" i="9"/>
  <c r="B396" i="9" l="1"/>
  <c r="D395" i="9"/>
  <c r="E395" i="9"/>
  <c r="C395" i="9"/>
  <c r="F395" i="9"/>
  <c r="F396" i="9" l="1"/>
  <c r="C396" i="9"/>
  <c r="D396" i="9"/>
  <c r="B397" i="9"/>
  <c r="E396" i="9"/>
  <c r="E397" i="9" l="1"/>
  <c r="B398" i="9"/>
  <c r="D397" i="9"/>
  <c r="C397" i="9"/>
  <c r="F397" i="9"/>
  <c r="B399" i="9" l="1"/>
  <c r="D398" i="9"/>
  <c r="C398" i="9"/>
  <c r="E398" i="9"/>
  <c r="F398" i="9"/>
  <c r="F399" i="9" l="1"/>
  <c r="B400" i="9"/>
  <c r="E399" i="9"/>
  <c r="C399" i="9"/>
  <c r="D399" i="9"/>
  <c r="D400" i="9" l="1"/>
  <c r="C400" i="9"/>
  <c r="B401" i="9"/>
  <c r="F400" i="9"/>
  <c r="E400" i="9"/>
  <c r="B402" i="9" l="1"/>
  <c r="D401" i="9"/>
  <c r="F401" i="9"/>
  <c r="C401" i="9"/>
  <c r="E401" i="9"/>
  <c r="F402" i="9" l="1"/>
  <c r="C402" i="9"/>
  <c r="B403" i="9"/>
  <c r="D402" i="9"/>
  <c r="E402" i="9"/>
  <c r="F403" i="9" l="1"/>
  <c r="E403" i="9"/>
  <c r="D403" i="9"/>
  <c r="C403" i="9"/>
  <c r="B404" i="9"/>
  <c r="F404" i="9" l="1"/>
  <c r="E404" i="9"/>
  <c r="C404" i="9"/>
  <c r="D404" i="9"/>
  <c r="B405" i="9"/>
  <c r="C405" i="9" l="1"/>
  <c r="F405" i="9"/>
  <c r="B406" i="9"/>
  <c r="E405" i="9"/>
  <c r="D405" i="9"/>
  <c r="D406" i="9" l="1"/>
  <c r="F406" i="9"/>
  <c r="C406" i="9"/>
  <c r="B407" i="9"/>
  <c r="E406" i="9"/>
  <c r="B408" i="9" l="1"/>
  <c r="C407" i="9"/>
  <c r="F407" i="9"/>
  <c r="D407" i="9"/>
  <c r="E407" i="9"/>
  <c r="F408" i="9" l="1"/>
  <c r="C408" i="9"/>
  <c r="E408" i="9"/>
  <c r="B409" i="9"/>
  <c r="D408" i="9"/>
  <c r="B410" i="9" l="1"/>
  <c r="D409" i="9"/>
  <c r="C409" i="9"/>
  <c r="E409" i="9"/>
  <c r="F409" i="9"/>
  <c r="B411" i="9" l="1"/>
  <c r="C410" i="9"/>
  <c r="F410" i="9"/>
  <c r="D410" i="9"/>
  <c r="E410" i="9"/>
  <c r="D411" i="9" l="1"/>
  <c r="F411" i="9"/>
  <c r="B412" i="9"/>
  <c r="E411" i="9"/>
  <c r="C411" i="9"/>
  <c r="D412" i="9" l="1"/>
  <c r="B413" i="9"/>
  <c r="E412" i="9"/>
  <c r="C412" i="9"/>
  <c r="F412" i="9"/>
  <c r="B414" i="9" l="1"/>
  <c r="D413" i="9"/>
  <c r="F413" i="9"/>
  <c r="E413" i="9"/>
  <c r="C413" i="9"/>
  <c r="F414" i="9" l="1"/>
  <c r="C414" i="9"/>
  <c r="D414" i="9"/>
  <c r="B415" i="9"/>
  <c r="E414" i="9"/>
  <c r="B416" i="9" l="1"/>
  <c r="E415" i="9"/>
  <c r="C415" i="9"/>
  <c r="D415" i="9"/>
  <c r="F415" i="9"/>
  <c r="B417" i="9" l="1"/>
  <c r="E416" i="9"/>
  <c r="D416" i="9"/>
  <c r="F416" i="9"/>
  <c r="C416" i="9"/>
  <c r="E417" i="9" l="1"/>
  <c r="C417" i="9"/>
  <c r="B418" i="9"/>
  <c r="F417" i="9"/>
  <c r="D417" i="9"/>
  <c r="D418" i="9" l="1"/>
  <c r="E418" i="9"/>
  <c r="C418" i="9"/>
  <c r="B419" i="9"/>
  <c r="F418" i="9"/>
  <c r="B420" i="9" l="1"/>
  <c r="D419" i="9"/>
  <c r="E419" i="9"/>
  <c r="F419" i="9"/>
  <c r="C419" i="9"/>
  <c r="F420" i="9" l="1"/>
  <c r="C420" i="9"/>
  <c r="D420" i="9"/>
  <c r="B421" i="9"/>
  <c r="E420" i="9"/>
  <c r="B422" i="9" l="1"/>
  <c r="F421" i="9"/>
  <c r="E421" i="9"/>
  <c r="C421" i="9"/>
  <c r="D421" i="9"/>
  <c r="E422" i="9" l="1"/>
  <c r="F422" i="9"/>
  <c r="B423" i="9"/>
  <c r="D422" i="9"/>
  <c r="C422" i="9"/>
  <c r="E423" i="9" l="1"/>
  <c r="C423" i="9"/>
  <c r="B424" i="9"/>
  <c r="F423" i="9"/>
  <c r="D423" i="9"/>
  <c r="D424" i="9" l="1"/>
  <c r="E424" i="9"/>
  <c r="C424" i="9"/>
  <c r="B425" i="9"/>
  <c r="F424" i="9"/>
  <c r="B426" i="9" l="1"/>
  <c r="E425" i="9"/>
  <c r="D425" i="9"/>
  <c r="F425" i="9"/>
  <c r="C425" i="9"/>
  <c r="F426" i="9" l="1"/>
  <c r="C426" i="9"/>
  <c r="D426" i="9"/>
  <c r="B427" i="9"/>
  <c r="E426" i="9"/>
  <c r="B428" i="9" l="1"/>
  <c r="C427" i="9"/>
  <c r="F427" i="9"/>
  <c r="E427" i="9"/>
  <c r="D427" i="9"/>
  <c r="D428" i="9" l="1"/>
  <c r="E428" i="9"/>
  <c r="F428" i="9"/>
  <c r="C428" i="9"/>
  <c r="B429" i="9"/>
  <c r="F429" i="9" l="1"/>
  <c r="C429" i="9"/>
  <c r="D429" i="9"/>
  <c r="E429" i="9"/>
  <c r="B430" i="9"/>
  <c r="C430" i="9" l="1"/>
  <c r="F430" i="9"/>
  <c r="D430" i="9"/>
  <c r="B431" i="9"/>
  <c r="E430" i="9"/>
  <c r="E431" i="9" l="1"/>
  <c r="D431" i="9"/>
  <c r="B432" i="9"/>
  <c r="F431" i="9"/>
  <c r="C431" i="9"/>
  <c r="D432" i="9" l="1"/>
  <c r="E432" i="9"/>
  <c r="C432" i="9"/>
  <c r="F43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Jmiguel</author>
  </authors>
  <commentList>
    <comment ref="R6" authorId="0" shapeId="0" xr:uid="{207FD923-CB9C-4466-B3BF-DD6943E4B8B9}">
      <text>
        <r>
          <rPr>
            <sz val="9"/>
            <color indexed="81"/>
            <rFont val="Tahoma"/>
            <family val="2"/>
          </rPr>
          <t xml:space="preserve">
VALOR DE LA CUOTA MAS ESL VALOR DE LOS DIAS EN MORA</t>
        </r>
      </text>
    </comment>
    <comment ref="S6" authorId="0" shapeId="0" xr:uid="{52AD8C74-72D3-4222-BEF7-815524A2A647}">
      <text>
        <r>
          <rPr>
            <sz val="9"/>
            <color indexed="81"/>
            <rFont val="Tahoma"/>
            <family val="2"/>
          </rPr>
          <t xml:space="preserve">La formula tiene encuenta los dias en mora y calcula el valor según la deuda actual y el porcentaje de interes mensual
</t>
        </r>
      </text>
    </comment>
    <comment ref="T6" authorId="0" shapeId="0" xr:uid="{5980D07E-10EA-4D28-8328-7DD239B5AA87}">
      <text>
        <r>
          <rPr>
            <b/>
            <sz val="9"/>
            <color indexed="81"/>
            <rFont val="Tahoma"/>
            <family val="2"/>
          </rPr>
          <t xml:space="preserve">VALOR DE LA DSEUDA ACTUAL MAS EL VALOR DE LOS INTERESES POR EL ULTIMO MES DE PRESTAMO
</t>
        </r>
      </text>
    </comment>
  </commentList>
</comments>
</file>

<file path=xl/sharedStrings.xml><?xml version="1.0" encoding="utf-8"?>
<sst xmlns="http://schemas.openxmlformats.org/spreadsheetml/2006/main" count="52" uniqueCount="51">
  <si>
    <t>DEUDOR</t>
  </si>
  <si>
    <t>VALOR PRESTAMO</t>
  </si>
  <si>
    <t xml:space="preserve">% INTERES </t>
  </si>
  <si>
    <t>VALOR CUOTAS</t>
  </si>
  <si>
    <t>DEUDA ACTUAL</t>
  </si>
  <si>
    <t>QUINCENAL</t>
  </si>
  <si>
    <t>MENSUAL</t>
  </si>
  <si>
    <t>DATOS CLIENTES</t>
  </si>
  <si>
    <t>NOMBRE</t>
  </si>
  <si>
    <t># DE IDENTIFICACION</t>
  </si>
  <si>
    <t>TELEFONO 1</t>
  </si>
  <si>
    <t>TELEFONO 2</t>
  </si>
  <si>
    <t>DIRECCION</t>
  </si>
  <si>
    <t>CIUDAD</t>
  </si>
  <si>
    <t>OBSERVACIONES</t>
  </si>
  <si>
    <t>Valor Prestamo</t>
  </si>
  <si>
    <t>% de Interes mensual</t>
  </si>
  <si>
    <t>VALOR CUOTA</t>
  </si>
  <si>
    <t>INTERES</t>
  </si>
  <si>
    <t>ABONO A CAPITAL</t>
  </si>
  <si>
    <t>Valor Cuotas Fijas</t>
  </si>
  <si>
    <t>DEUDA CAPITAL</t>
  </si>
  <si>
    <t>PAGO A CAPITAL</t>
  </si>
  <si>
    <t>PAGO DE INTERESES</t>
  </si>
  <si>
    <t>PAGO A CAPITAL CUOTA</t>
  </si>
  <si>
    <t>ESTADO</t>
  </si>
  <si>
    <t>FECHA SIG. PAGO</t>
  </si>
  <si>
    <t>PERIODO DE PAGO</t>
  </si>
  <si>
    <t>SEMANAL</t>
  </si>
  <si>
    <t>No. DE CUOTAS</t>
  </si>
  <si>
    <t>Numero de Cuotas</t>
  </si>
  <si>
    <t>SOLO INTERES</t>
  </si>
  <si>
    <t>INTERES + CAPITAL</t>
  </si>
  <si>
    <t>INTERES PAGADOS</t>
  </si>
  <si>
    <t>PAGO TOTAL</t>
  </si>
  <si>
    <t>UTILIDAD</t>
  </si>
  <si>
    <t>FORMA DE PAGO</t>
  </si>
  <si>
    <t>DIAS HABILES O MORA</t>
  </si>
  <si>
    <t>REGISTROS DE UTILIDAD</t>
  </si>
  <si>
    <t>MES</t>
  </si>
  <si>
    <t>VALOR</t>
  </si>
  <si>
    <t>UTILIDAD TOTAL</t>
  </si>
  <si>
    <t>TABLA DE AMORTIZACION (cuotas fijas)</t>
  </si>
  <si>
    <t>VALOR CUOTA MAS DIAS DE  MORA</t>
  </si>
  <si>
    <t>VALOR DE DIAS POR MORA</t>
  </si>
  <si>
    <t>SIGUIENTE CUOTA</t>
  </si>
  <si>
    <t>CUOTAS PAGADAS</t>
  </si>
  <si>
    <t>INTERES  CUOTA</t>
  </si>
  <si>
    <t>FECHA</t>
  </si>
  <si>
    <t>CUOTA #</t>
  </si>
  <si>
    <t>Excel Prestamos By Zarfala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</si>
</sst>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$&quot;* #,##0.00_-;\-&quot;$&quot;* #,##0.00_-;_-&quot;$&quot;* &quot;-&quot;??_-;_-@_-"/>
    <numFmt numFmtId="165" formatCode="0.0"/>
    <numFmt numFmtId="166" formatCode="&quot;$&quot;#,##0"/>
    <numFmt numFmtId="167" formatCode="[$-80A]dddd\,\ d&quot; de &quot;mmmm&quot; de &quot;yyyy"/>
    <numFmt numFmtId="168" formatCode="&quot;$&quot;#,##0.0"/>
    <numFmt numFmtId="169" formatCode="0.0%"/>
    <numFmt numFmtId="170" formatCode="_-&quot;$&quot;* #,##0.0_-;\-&quot;$&quot;* #,##0.0_-;_-&quot;$&quot;* &quot;-&quot;??_-;_-@_-"/>
    <numFmt numFmtId="171" formatCode="&quot;$&quot;#,##0.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36"/>
      <color theme="8" tint="-0.499984740745262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3"/>
      <name val="Arial"/>
      <family val="2"/>
    </font>
    <font>
      <b/>
      <sz val="13"/>
      <color rgb="FFC00000"/>
      <name val="Arial"/>
      <family val="2"/>
    </font>
    <font>
      <b/>
      <sz val="13"/>
      <color rgb="FF6C0000"/>
      <name val="Arial"/>
      <family val="2"/>
    </font>
    <font>
      <sz val="13"/>
      <color theme="1"/>
      <name val="Calibri"/>
      <family val="2"/>
      <scheme val="minor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name val="Arial"/>
      <family val="2"/>
    </font>
    <font>
      <b/>
      <sz val="13"/>
      <color rgb="FF7030A0"/>
      <name val="Arial"/>
      <family val="2"/>
    </font>
    <font>
      <sz val="13"/>
      <color theme="0"/>
      <name val="Arial"/>
      <family val="2"/>
    </font>
    <font>
      <sz val="9"/>
      <color indexed="81"/>
      <name val="Tahoma"/>
      <family val="2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4"/>
      <name val="Arial"/>
      <family val="2"/>
    </font>
    <font>
      <b/>
      <sz val="22"/>
      <color rgb="FF0070C0"/>
      <name val="Arial"/>
      <family val="2"/>
    </font>
    <font>
      <b/>
      <sz val="12"/>
      <color rgb="FFC00000"/>
      <name val="Arial"/>
      <family val="2"/>
    </font>
    <font>
      <b/>
      <sz val="11"/>
      <color rgb="FFC00000"/>
      <name val="Arial"/>
      <family val="2"/>
    </font>
    <font>
      <b/>
      <sz val="18"/>
      <name val="Arial"/>
      <family val="2"/>
    </font>
    <font>
      <b/>
      <sz val="13"/>
      <color theme="1"/>
      <name val="Calibri"/>
      <family val="2"/>
      <scheme val="minor"/>
    </font>
    <font>
      <sz val="16"/>
      <name val="Arial"/>
      <family val="2"/>
    </font>
    <font>
      <sz val="16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4"/>
      <color rgb="FFC00000"/>
      <name val="Arial"/>
      <family val="2"/>
    </font>
    <font>
      <b/>
      <sz val="9"/>
      <color indexed="81"/>
      <name val="Tahoma"/>
      <family val="2"/>
    </font>
    <font>
      <b/>
      <sz val="13"/>
      <color theme="0"/>
      <name val="Arial"/>
      <family val="2"/>
    </font>
    <font>
      <b/>
      <sz val="13"/>
      <color theme="0"/>
      <name val="Calibri"/>
      <family val="2"/>
      <scheme val="minor"/>
    </font>
    <font>
      <u/>
      <sz val="13"/>
      <color theme="1"/>
      <name val="Arial"/>
      <family val="2"/>
    </font>
    <font>
      <b/>
      <sz val="22"/>
      <color theme="9"/>
      <name val="Arial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1E3866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6" fillId="6" borderId="0" applyNumberFormat="0" applyBorder="0" applyAlignment="0" applyProtection="0"/>
    <xf numFmtId="0" fontId="37" fillId="7" borderId="11" applyNumberFormat="0" applyAlignment="0" applyProtection="0"/>
    <xf numFmtId="0" fontId="38" fillId="7" borderId="10" applyNumberFormat="0" applyAlignment="0" applyProtection="0"/>
  </cellStyleXfs>
  <cellXfs count="129">
    <xf numFmtId="0" fontId="0" fillId="0" borderId="0" xfId="0"/>
    <xf numFmtId="0" fontId="0" fillId="0" borderId="0" xfId="0" applyAlignment="1">
      <alignment horizontal="center"/>
    </xf>
    <xf numFmtId="0" fontId="3" fillId="4" borderId="4" xfId="0" applyFont="1" applyFill="1" applyBorder="1" applyAlignme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/>
    </xf>
    <xf numFmtId="0" fontId="2" fillId="0" borderId="6" xfId="0" applyFont="1" applyBorder="1"/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3" fillId="4" borderId="3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2" fillId="0" borderId="8" xfId="0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Protection="1">
      <protection hidden="1"/>
    </xf>
    <xf numFmtId="168" fontId="0" fillId="0" borderId="0" xfId="0" applyNumberFormat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6" fontId="8" fillId="3" borderId="3" xfId="0" applyNumberFormat="1" applyFont="1" applyFill="1" applyBorder="1" applyAlignment="1" applyProtection="1">
      <alignment horizontal="left" vertical="center" wrapText="1"/>
      <protection hidden="1"/>
    </xf>
    <xf numFmtId="0" fontId="11" fillId="0" borderId="0" xfId="0" applyFont="1" applyAlignment="1" applyProtection="1">
      <alignment horizontal="center"/>
      <protection locked="0"/>
    </xf>
    <xf numFmtId="166" fontId="13" fillId="0" borderId="0" xfId="0" applyNumberFormat="1" applyFont="1" applyProtection="1">
      <protection hidden="1"/>
    </xf>
    <xf numFmtId="0" fontId="14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0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hidden="1"/>
    </xf>
    <xf numFmtId="0" fontId="7" fillId="0" borderId="0" xfId="0" applyFont="1" applyProtection="1">
      <protection locked="0"/>
    </xf>
    <xf numFmtId="166" fontId="7" fillId="0" borderId="0" xfId="0" applyNumberFormat="1" applyFont="1" applyAlignment="1" applyProtection="1">
      <alignment horizontal="center"/>
      <protection locked="0"/>
    </xf>
    <xf numFmtId="169" fontId="11" fillId="0" borderId="0" xfId="4" applyNumberFormat="1" applyFont="1" applyProtection="1">
      <protection locked="0"/>
    </xf>
    <xf numFmtId="9" fontId="11" fillId="0" borderId="0" xfId="4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166" fontId="13" fillId="0" borderId="0" xfId="0" applyNumberFormat="1" applyFont="1" applyProtection="1">
      <protection locked="0"/>
    </xf>
    <xf numFmtId="15" fontId="15" fillId="0" borderId="0" xfId="0" applyNumberFormat="1" applyFont="1" applyProtection="1">
      <protection locked="0"/>
    </xf>
    <xf numFmtId="169" fontId="13" fillId="0" borderId="0" xfId="4" applyNumberFormat="1" applyFont="1" applyProtection="1">
      <protection locked="0"/>
    </xf>
    <xf numFmtId="9" fontId="13" fillId="0" borderId="0" xfId="4" applyFont="1" applyProtection="1">
      <protection locked="0"/>
    </xf>
    <xf numFmtId="165" fontId="13" fillId="0" borderId="0" xfId="0" applyNumberFormat="1" applyFont="1" applyAlignment="1" applyProtection="1">
      <alignment horizontal="center"/>
      <protection locked="0"/>
    </xf>
    <xf numFmtId="165" fontId="7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15" fontId="11" fillId="0" borderId="0" xfId="0" applyNumberFormat="1" applyFont="1" applyProtection="1">
      <protection locked="0"/>
    </xf>
    <xf numFmtId="166" fontId="7" fillId="0" borderId="2" xfId="0" applyNumberFormat="1" applyFont="1" applyBorder="1" applyAlignment="1" applyProtection="1">
      <alignment horizontal="center"/>
      <protection locked="0"/>
    </xf>
    <xf numFmtId="166" fontId="12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hidden="1"/>
    </xf>
    <xf numFmtId="15" fontId="13" fillId="0" borderId="0" xfId="1" applyNumberFormat="1" applyFont="1" applyFill="1" applyBorder="1" applyAlignment="1" applyProtection="1">
      <alignment vertical="center"/>
      <protection hidden="1"/>
    </xf>
    <xf numFmtId="15" fontId="13" fillId="0" borderId="0" xfId="0" applyNumberFormat="1" applyFont="1" applyProtection="1">
      <protection hidden="1"/>
    </xf>
    <xf numFmtId="15" fontId="8" fillId="3" borderId="3" xfId="0" applyNumberFormat="1" applyFont="1" applyFill="1" applyBorder="1" applyAlignment="1" applyProtection="1">
      <alignment horizontal="left" vertical="center" wrapText="1"/>
      <protection hidden="1"/>
    </xf>
    <xf numFmtId="0" fontId="7" fillId="0" borderId="0" xfId="0" applyFont="1" applyProtection="1">
      <protection hidden="1"/>
    </xf>
    <xf numFmtId="0" fontId="17" fillId="0" borderId="0" xfId="0" applyFont="1" applyProtection="1">
      <protection hidden="1"/>
    </xf>
    <xf numFmtId="166" fontId="17" fillId="0" borderId="0" xfId="0" applyNumberFormat="1" applyFont="1" applyProtection="1">
      <protection hidden="1"/>
    </xf>
    <xf numFmtId="166" fontId="18" fillId="0" borderId="0" xfId="0" applyNumberFormat="1" applyFont="1" applyProtection="1">
      <protection hidden="1"/>
    </xf>
    <xf numFmtId="15" fontId="18" fillId="0" borderId="0" xfId="0" applyNumberFormat="1" applyFont="1" applyProtection="1">
      <protection hidden="1"/>
    </xf>
    <xf numFmtId="15" fontId="13" fillId="0" borderId="0" xfId="0" applyNumberFormat="1" applyFont="1" applyAlignment="1" applyProtection="1">
      <alignment horizontal="center"/>
      <protection hidden="1"/>
    </xf>
    <xf numFmtId="166" fontId="7" fillId="0" borderId="0" xfId="0" applyNumberFormat="1" applyFont="1" applyAlignment="1" applyProtection="1">
      <alignment horizontal="center"/>
      <protection hidden="1"/>
    </xf>
    <xf numFmtId="166" fontId="13" fillId="0" borderId="0" xfId="0" applyNumberFormat="1" applyFont="1" applyAlignment="1" applyProtection="1">
      <alignment horizontal="center"/>
      <protection hidden="1"/>
    </xf>
    <xf numFmtId="170" fontId="0" fillId="0" borderId="0" xfId="1" applyNumberFormat="1" applyFont="1" applyProtection="1">
      <protection hidden="1"/>
    </xf>
    <xf numFmtId="0" fontId="2" fillId="0" borderId="2" xfId="0" applyFont="1" applyBorder="1" applyAlignment="1">
      <alignment horizontal="right"/>
    </xf>
    <xf numFmtId="0" fontId="2" fillId="0" borderId="7" xfId="0" applyFont="1" applyBorder="1"/>
    <xf numFmtId="0" fontId="2" fillId="0" borderId="1" xfId="0" applyFont="1" applyBorder="1" applyAlignment="1">
      <alignment horizontal="right"/>
    </xf>
    <xf numFmtId="0" fontId="2" fillId="0" borderId="9" xfId="0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1" fontId="23" fillId="0" borderId="0" xfId="0" applyNumberFormat="1" applyFont="1" applyProtection="1">
      <protection hidden="1"/>
    </xf>
    <xf numFmtId="1" fontId="21" fillId="3" borderId="3" xfId="0" applyNumberFormat="1" applyFont="1" applyFill="1" applyBorder="1" applyAlignment="1" applyProtection="1">
      <alignment horizontal="left" vertical="center" wrapText="1"/>
      <protection hidden="1"/>
    </xf>
    <xf numFmtId="0" fontId="24" fillId="0" borderId="0" xfId="0" applyFont="1" applyProtection="1">
      <protection locked="0"/>
    </xf>
    <xf numFmtId="0" fontId="12" fillId="0" borderId="0" xfId="0" applyFont="1" applyAlignment="1" applyProtection="1">
      <alignment horizontal="left"/>
      <protection locked="0"/>
    </xf>
    <xf numFmtId="168" fontId="13" fillId="0" borderId="0" xfId="0" applyNumberFormat="1" applyFont="1" applyProtection="1">
      <protection hidden="1"/>
    </xf>
    <xf numFmtId="168" fontId="7" fillId="0" borderId="0" xfId="1" applyNumberFormat="1" applyFont="1" applyFill="1" applyBorder="1" applyAlignment="1" applyProtection="1">
      <alignment vertical="center"/>
      <protection hidden="1"/>
    </xf>
    <xf numFmtId="168" fontId="7" fillId="0" borderId="0" xfId="0" applyNumberFormat="1" applyFont="1" applyProtection="1">
      <protection hidden="1"/>
    </xf>
    <xf numFmtId="168" fontId="8" fillId="3" borderId="3" xfId="0" applyNumberFormat="1" applyFont="1" applyFill="1" applyBorder="1" applyAlignment="1" applyProtection="1">
      <alignment horizontal="left" vertical="center" wrapText="1"/>
      <protection hidden="1"/>
    </xf>
    <xf numFmtId="168" fontId="25" fillId="0" borderId="0" xfId="0" applyNumberFormat="1" applyFont="1" applyProtection="1">
      <protection hidden="1"/>
    </xf>
    <xf numFmtId="168" fontId="25" fillId="0" borderId="0" xfId="1" applyNumberFormat="1" applyFont="1" applyFill="1" applyBorder="1" applyAlignment="1" applyProtection="1">
      <alignment vertical="center"/>
      <protection hidden="1"/>
    </xf>
    <xf numFmtId="168" fontId="26" fillId="0" borderId="0" xfId="0" applyNumberFormat="1" applyFont="1" applyProtection="1">
      <protection hidden="1"/>
    </xf>
    <xf numFmtId="168" fontId="4" fillId="2" borderId="1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Alignment="1" applyProtection="1">
      <alignment horizontal="right"/>
      <protection hidden="1"/>
    </xf>
    <xf numFmtId="0" fontId="9" fillId="3" borderId="1" xfId="0" applyFont="1" applyFill="1" applyBorder="1" applyAlignment="1" applyProtection="1">
      <alignment horizontal="left" vertical="center" wrapText="1"/>
      <protection locked="0"/>
    </xf>
    <xf numFmtId="0" fontId="28" fillId="0" borderId="0" xfId="0" applyFont="1" applyAlignment="1">
      <alignment vertical="center"/>
    </xf>
    <xf numFmtId="0" fontId="4" fillId="0" borderId="3" xfId="0" applyFont="1" applyBorder="1"/>
    <xf numFmtId="0" fontId="29" fillId="0" borderId="0" xfId="0" applyFont="1" applyProtection="1">
      <protection locked="0"/>
    </xf>
    <xf numFmtId="9" fontId="15" fillId="0" borderId="0" xfId="4" applyFont="1" applyProtection="1">
      <protection locked="0"/>
    </xf>
    <xf numFmtId="168" fontId="13" fillId="0" borderId="0" xfId="1" applyNumberFormat="1" applyFont="1" applyFill="1" applyBorder="1" applyAlignment="1" applyProtection="1">
      <alignment vertical="center"/>
      <protection hidden="1"/>
    </xf>
    <xf numFmtId="168" fontId="3" fillId="0" borderId="0" xfId="0" applyNumberFormat="1" applyFont="1" applyAlignment="1" applyProtection="1">
      <alignment horizontal="center" wrapText="1"/>
      <protection hidden="1"/>
    </xf>
    <xf numFmtId="168" fontId="19" fillId="0" borderId="0" xfId="0" applyNumberFormat="1" applyFont="1" applyAlignment="1" applyProtection="1">
      <alignment horizontal="center" vertical="center"/>
      <protection hidden="1"/>
    </xf>
    <xf numFmtId="168" fontId="22" fillId="3" borderId="3" xfId="0" applyNumberFormat="1" applyFont="1" applyFill="1" applyBorder="1" applyAlignment="1" applyProtection="1">
      <alignment horizontal="left" vertical="center" wrapText="1"/>
      <protection hidden="1"/>
    </xf>
    <xf numFmtId="168" fontId="13" fillId="0" borderId="0" xfId="0" applyNumberFormat="1" applyFont="1" applyAlignment="1" applyProtection="1">
      <alignment horizontal="center"/>
      <protection hidden="1"/>
    </xf>
    <xf numFmtId="166" fontId="0" fillId="2" borderId="1" xfId="0" applyNumberFormat="1" applyFill="1" applyBorder="1" applyAlignment="1" applyProtection="1">
      <alignment horizontal="center"/>
      <protection locked="0"/>
    </xf>
    <xf numFmtId="9" fontId="4" fillId="2" borderId="1" xfId="4" applyFont="1" applyFill="1" applyBorder="1" applyAlignment="1" applyProtection="1">
      <alignment horizontal="center"/>
      <protection locked="0"/>
    </xf>
    <xf numFmtId="1" fontId="4" fillId="2" borderId="1" xfId="0" applyNumberFormat="1" applyFont="1" applyFill="1" applyBorder="1" applyAlignment="1" applyProtection="1">
      <alignment horizontal="center"/>
      <protection locked="0"/>
    </xf>
    <xf numFmtId="168" fontId="7" fillId="0" borderId="2" xfId="0" applyNumberFormat="1" applyFont="1" applyBorder="1" applyProtection="1">
      <protection hidden="1"/>
    </xf>
    <xf numFmtId="168" fontId="7" fillId="0" borderId="0" xfId="0" applyNumberFormat="1" applyFont="1" applyAlignment="1" applyProtection="1">
      <alignment horizontal="center"/>
      <protection hidden="1"/>
    </xf>
    <xf numFmtId="171" fontId="28" fillId="0" borderId="0" xfId="0" applyNumberFormat="1" applyFont="1" applyAlignment="1">
      <alignment vertical="center"/>
    </xf>
    <xf numFmtId="171" fontId="27" fillId="0" borderId="0" xfId="0" applyNumberFormat="1" applyFont="1"/>
    <xf numFmtId="171" fontId="4" fillId="0" borderId="3" xfId="0" applyNumberFormat="1" applyFont="1" applyBorder="1"/>
    <xf numFmtId="171" fontId="0" fillId="0" borderId="0" xfId="0" applyNumberFormat="1"/>
    <xf numFmtId="168" fontId="25" fillId="0" borderId="1" xfId="0" applyNumberFormat="1" applyFont="1" applyBorder="1" applyProtection="1">
      <protection hidden="1"/>
    </xf>
    <xf numFmtId="168" fontId="19" fillId="2" borderId="2" xfId="0" applyNumberFormat="1" applyFont="1" applyFill="1" applyBorder="1" applyProtection="1">
      <protection hidden="1"/>
    </xf>
    <xf numFmtId="166" fontId="30" fillId="3" borderId="3" xfId="0" applyNumberFormat="1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Protection="1">
      <protection locked="0"/>
    </xf>
    <xf numFmtId="9" fontId="32" fillId="0" borderId="0" xfId="4" applyFont="1" applyProtection="1">
      <protection locked="0"/>
    </xf>
    <xf numFmtId="169" fontId="34" fillId="0" borderId="0" xfId="4" applyNumberFormat="1" applyFont="1" applyProtection="1">
      <protection locked="0"/>
    </xf>
    <xf numFmtId="0" fontId="6" fillId="0" borderId="1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8" borderId="3" xfId="0" applyFont="1" applyFill="1" applyBorder="1" applyAlignment="1" applyProtection="1">
      <alignment horizontal="left" vertical="center"/>
      <protection locked="0"/>
    </xf>
    <xf numFmtId="166" fontId="32" fillId="8" borderId="3" xfId="0" applyNumberFormat="1" applyFont="1" applyFill="1" applyBorder="1" applyAlignment="1" applyProtection="1">
      <alignment horizontal="left" vertical="center" wrapText="1"/>
      <protection locked="0"/>
    </xf>
    <xf numFmtId="169" fontId="39" fillId="8" borderId="3" xfId="4" applyNumberFormat="1" applyFont="1" applyFill="1" applyBorder="1" applyAlignment="1" applyProtection="1">
      <alignment horizontal="left" vertical="center" wrapText="1"/>
      <protection locked="0"/>
    </xf>
    <xf numFmtId="9" fontId="32" fillId="8" borderId="3" xfId="4" applyFont="1" applyFill="1" applyBorder="1" applyAlignment="1" applyProtection="1">
      <alignment horizontal="left" vertical="center" wrapText="1"/>
      <protection locked="0"/>
    </xf>
    <xf numFmtId="0" fontId="32" fillId="8" borderId="3" xfId="0" applyFont="1" applyFill="1" applyBorder="1" applyAlignment="1" applyProtection="1">
      <alignment horizontal="left" vertical="center" wrapText="1"/>
      <protection locked="0"/>
    </xf>
    <xf numFmtId="15" fontId="32" fillId="8" borderId="3" xfId="0" applyNumberFormat="1" applyFont="1" applyFill="1" applyBorder="1" applyAlignment="1" applyProtection="1">
      <alignment horizontal="left" vertical="center"/>
      <protection locked="0"/>
    </xf>
    <xf numFmtId="168" fontId="38" fillId="7" borderId="10" xfId="7" applyNumberFormat="1" applyProtection="1">
      <protection hidden="1"/>
    </xf>
    <xf numFmtId="168" fontId="22" fillId="6" borderId="10" xfId="5" applyNumberFormat="1" applyFont="1" applyBorder="1" applyAlignment="1" applyProtection="1">
      <alignment horizontal="center" vertical="center" wrapText="1"/>
      <protection hidden="1"/>
    </xf>
    <xf numFmtId="0" fontId="22" fillId="3" borderId="3" xfId="0" applyFont="1" applyFill="1" applyBorder="1" applyAlignment="1" applyProtection="1">
      <alignment horizontal="center" vertical="center" wrapText="1"/>
      <protection hidden="1"/>
    </xf>
    <xf numFmtId="168" fontId="37" fillId="7" borderId="11" xfId="6" applyNumberFormat="1" applyProtection="1">
      <protection hidden="1"/>
    </xf>
    <xf numFmtId="168" fontId="0" fillId="9" borderId="1" xfId="0" applyNumberFormat="1" applyFill="1" applyBorder="1" applyAlignment="1" applyProtection="1">
      <alignment horizontal="right"/>
      <protection hidden="1"/>
    </xf>
    <xf numFmtId="166" fontId="0" fillId="9" borderId="1" xfId="0" applyNumberFormat="1" applyFill="1" applyBorder="1" applyProtection="1">
      <protection hidden="1"/>
    </xf>
    <xf numFmtId="170" fontId="40" fillId="8" borderId="1" xfId="1" applyNumberFormat="1" applyFont="1" applyFill="1" applyBorder="1" applyAlignment="1" applyProtection="1">
      <alignment horizontal="center" vertical="center" wrapText="1"/>
      <protection hidden="1"/>
    </xf>
    <xf numFmtId="0" fontId="40" fillId="8" borderId="1" xfId="0" applyFont="1" applyFill="1" applyBorder="1" applyAlignment="1" applyProtection="1">
      <alignment horizontal="center" vertical="center"/>
      <protection hidden="1"/>
    </xf>
    <xf numFmtId="168" fontId="40" fillId="8" borderId="1" xfId="0" applyNumberFormat="1" applyFont="1" applyFill="1" applyBorder="1" applyAlignment="1" applyProtection="1">
      <alignment horizontal="right" vertical="center"/>
      <protection hidden="1"/>
    </xf>
    <xf numFmtId="168" fontId="40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8" borderId="1" xfId="0" applyFont="1" applyFill="1" applyBorder="1" applyAlignment="1" applyProtection="1">
      <alignment horizontal="center" vertical="center" wrapText="1"/>
      <protection hidden="1"/>
    </xf>
    <xf numFmtId="171" fontId="28" fillId="0" borderId="1" xfId="0" applyNumberFormat="1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166" fontId="35" fillId="5" borderId="1" xfId="0" applyNumberFormat="1" applyFont="1" applyFill="1" applyBorder="1" applyAlignment="1" applyProtection="1">
      <alignment horizontal="center" vertical="center" wrapText="1"/>
      <protection locked="0"/>
    </xf>
    <xf numFmtId="166" fontId="20" fillId="5" borderId="1" xfId="0" applyNumberFormat="1" applyFont="1" applyFill="1" applyBorder="1" applyAlignment="1" applyProtection="1">
      <alignment horizontal="center" vertical="center" wrapText="1"/>
      <protection locked="0"/>
    </xf>
    <xf numFmtId="167" fontId="13" fillId="0" borderId="9" xfId="0" applyNumberFormat="1" applyFont="1" applyBorder="1" applyAlignment="1" applyProtection="1">
      <alignment horizontal="center"/>
      <protection locked="0"/>
    </xf>
    <xf numFmtId="167" fontId="13" fillId="0" borderId="8" xfId="0" applyNumberFormat="1" applyFont="1" applyBorder="1" applyAlignment="1" applyProtection="1">
      <alignment horizontal="center"/>
      <protection locked="0"/>
    </xf>
    <xf numFmtId="0" fontId="9" fillId="3" borderId="1" xfId="0" applyFont="1" applyFill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5" borderId="1" xfId="0" applyFont="1" applyFill="1" applyBorder="1" applyAlignment="1" applyProtection="1">
      <alignment horizontal="left"/>
      <protection hidden="1"/>
    </xf>
    <xf numFmtId="0" fontId="4" fillId="5" borderId="1" xfId="0" applyFont="1" applyFill="1" applyBorder="1" applyAlignment="1" applyProtection="1">
      <alignment horizontal="center"/>
      <protection hidden="1"/>
    </xf>
  </cellXfs>
  <cellStyles count="8">
    <cellStyle name="Cálculo" xfId="7" builtinId="22"/>
    <cellStyle name="Moneda" xfId="1" builtinId="4"/>
    <cellStyle name="Neutral" xfId="5" builtinId="28"/>
    <cellStyle name="Normal" xfId="0" builtinId="0"/>
    <cellStyle name="Normal 2" xfId="2" xr:uid="{8C559666-E24D-480D-8F79-026D72747994}"/>
    <cellStyle name="Porcentaje" xfId="4" builtinId="5"/>
    <cellStyle name="Porcentaje 2" xfId="3" xr:uid="{E8EC5C70-29E2-47E3-8035-C4F92219CCDF}"/>
    <cellStyle name="Salida" xfId="6" builtinId="21"/>
  </cellStyles>
  <dxfs count="53">
    <dxf>
      <numFmt numFmtId="171" formatCode="&quot;$&quot;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8" tint="0.3999755851924192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Arial"/>
        <family val="2"/>
        <scheme val="none"/>
      </font>
      <numFmt numFmtId="1" formatCode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6" formatCode="&quot;$&quot;#,##0"/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8" formatCode="&quot;$&quot;#,##0.0"/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8" formatCode="&quot;$&quot;#,##0.0"/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8" formatCode="&quot;$&quot;#,##0.0"/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8" formatCode="&quot;$&quot;#,##0.0"/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6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20" formatCode="dd\-mmm\-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numFmt numFmtId="168" formatCode="&quot;$&quot;#,##0.0"/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8" formatCode="&quot;$&quot;#,##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8" formatCode="&quot;$&quot;#,##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168" formatCode="&quot;$&quot;#,##0.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numFmt numFmtId="169" formatCode="0.0%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numFmt numFmtId="166" formatCode="&quot;$&quot;#,##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numFmt numFmtId="20" formatCode="dd\-mmm\-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protection locked="0" hidden="0"/>
    </dxf>
    <dxf>
      <border outline="0">
        <right style="thin">
          <color rgb="FF000000"/>
        </right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3"/>
      </font>
      <protection locked="0" hidden="0"/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3"/>
      </font>
      <alignment horizontal="left" textRotation="0" indent="0" justifyLastLine="0" shrinkToFit="0" readingOrder="0"/>
      <protection locked="0" hidden="0"/>
    </dxf>
    <dxf>
      <font>
        <color rgb="FF9C0006"/>
      </font>
    </dxf>
    <dxf>
      <font>
        <color theme="9" tint="-0.499984740745262"/>
      </font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1E3866"/>
      <color rgb="FFCCCCFF"/>
      <color rgb="FFB2B2B2"/>
      <color rgb="FFCCFFFF"/>
      <color rgb="FFCCFF66"/>
      <color rgb="FFFFFF66"/>
      <color rgb="FFCA9CBB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342A6F-341B-43D1-98C8-48C5C27E8EA2}" name="Tabla14" displayName="Tabla14" ref="A6:U6186" totalsRowShown="0" headerRowDxfId="41" dataDxfId="39" headerRowBorderDxfId="40" tableBorderDxfId="38">
  <autoFilter ref="A6:U6186" xr:uid="{58B2903B-D967-4863-B5C9-D3A3333A160E}"/>
  <tableColumns count="21">
    <tableColumn id="1" xr3:uid="{3E36EEDA-3956-4BD8-8565-7DF25E356187}" name="DEUDOR" dataDxfId="37"/>
    <tableColumn id="2" xr3:uid="{66884BE7-9791-4075-A2E3-5E88260DE156}" name="FECHA" dataDxfId="36"/>
    <tableColumn id="3" xr3:uid="{FD5CF319-0073-485E-AB2B-A3AC0B19605C}" name="VALOR PRESTAMO" dataDxfId="35"/>
    <tableColumn id="4" xr3:uid="{FAAF89DD-FE35-4B4C-AE99-899F447A9A46}" name="% INTERES " dataDxfId="34" dataCellStyle="Porcentaje"/>
    <tableColumn id="5" xr3:uid="{0E41E8FE-B008-44C0-B1CC-1254C7579526}" name="PERIODO DE PAGO" dataDxfId="33" dataCellStyle="Porcentaje"/>
    <tableColumn id="6" xr3:uid="{9C8AE310-E341-42E0-B653-7F9977BC2E5E}" name="FORMA DE PAGO" dataDxfId="32" dataCellStyle="Porcentaje"/>
    <tableColumn id="7" xr3:uid="{952C4EEF-CF20-431B-B43F-484DF0722436}" name="No. DE CUOTAS" dataDxfId="31"/>
    <tableColumn id="8" xr3:uid="{968C5D61-20C1-4523-BA94-42CCC6A03ACD}" name="CUOTAS PAGADAS" dataDxfId="30"/>
    <tableColumn id="9" xr3:uid="{77A74E9F-6D8C-4203-849C-0B8FBA0EA757}" name="SIGUIENTE CUOTA" dataDxfId="29">
      <calculatedColumnFormula>IF(C7&lt;0,"",IF(Q7=0,0,IF(G7=0,H7+1,IF(H7&lt;G7,H7+1,IF(G7=H7,0)))))</calculatedColumnFormula>
    </tableColumn>
    <tableColumn id="10" xr3:uid="{0470B494-03CB-4E2F-90EC-2638FAAB794B}" name="INTERES  CUOTA" dataDxfId="28">
      <calculatedColumnFormula>IF(F7="SOLO INTERES",Q7*D7,-IPMT(D7,I7,G7,C7))</calculatedColumnFormula>
    </tableColumn>
    <tableColumn id="11" xr3:uid="{E3B3E4C4-AD93-430E-91A2-CD2E83F11FD4}" name="PAGO A CAPITAL CUOTA" dataDxfId="27">
      <calculatedColumnFormula>IF(F7="SOLO INTERES",0,-PPMT(D7,I7,G7,C7))</calculatedColumnFormula>
    </tableColumn>
    <tableColumn id="12" xr3:uid="{B2E94EFC-4E78-44C3-AE96-24B0331DEC7B}" name="PAGO DE INTERESES" dataDxfId="26">
      <calculatedColumnFormula>IF(F7="SOLO INTERES",SUM(Y7:AAE7),IFERROR(-CUMIPMT(D7,G7,C7,1,H7,0),0)+SUM(Y7:WY7))</calculatedColumnFormula>
    </tableColumn>
    <tableColumn id="13" xr3:uid="{95B9E4FD-8720-4418-B397-B43CE0CC558F}" name="VALOR CUOTAS" dataDxfId="25" dataCellStyle="Cálculo">
      <calculatedColumnFormula>IFERROR(IF(F7="SOLO INTERES",Q7*D7,-PMT(D7,G7,C7,0)),"")</calculatedColumnFormula>
    </tableColumn>
    <tableColumn id="14" xr3:uid="{B8FE28E4-4B50-4079-B237-AB7C0FBB1A1A}" name="FECHA SIG. PAGO" dataDxfId="24">
      <calculatedColumnFormula>IF(Q7=0,"",IF(E7="MENSUAL",EDATE(B7,I7),IF(E7="QUINCENAL",B7+(I7*15),IF(E7="SEMANAL",B7+(I7*7)))))</calculatedColumnFormula>
    </tableColumn>
    <tableColumn id="15" xr3:uid="{C7279991-A8B7-4763-8740-3EB0EC26202B}" name="ESTADO" dataDxfId="23">
      <calculatedColumnFormula>IF(C7=0,"",IF(Q7&lt;1,"PAGADO",IF(N7=$A$3,"COBRAR HOY",IF(N7&lt;$A$3,"EN MORA",IF(N7&gt;$A$3,"AL DIA")))))</calculatedColumnFormula>
    </tableColumn>
    <tableColumn id="16" xr3:uid="{6897C362-14D2-4933-BCAC-B3C3E0566B16}" name="PAGO A CAPITAL" dataDxfId="22">
      <calculatedColumnFormula>IFERROR(-CUMPRINC(D7,G7,C7,1,H7,0),0)+W7</calculatedColumnFormula>
    </tableColumn>
    <tableColumn id="17" xr3:uid="{CD6E8EF5-A521-4BBB-B2BC-6864BBCD63DC}" name="DEUDA CAPITAL" dataDxfId="21">
      <calculatedColumnFormula>IFERROR(C7-P7,"")</calculatedColumnFormula>
    </tableColumn>
    <tableColumn id="20" xr3:uid="{203CCEB2-1986-4296-BAF2-3B3FD58A58A4}" name="VALOR CUOTA MAS DIAS DE  MORA" dataDxfId="20">
      <calculatedColumnFormula>-IF(Tabla14[[#This Row],[DIAS HABILES O MORA]]&lt;0,(Tabla14[[#This Row],[VALOR PRESTAMO]]*Tabla14[[#This Row],[% INTERES ]]/30*U7))+Tabla14[[#This Row],[VALOR CUOTAS]]</calculatedColumnFormula>
    </tableColumn>
    <tableColumn id="21" xr3:uid="{3905910C-A75B-4BD8-9CBA-B52587714427}" name="VALOR DE DIAS POR MORA" dataDxfId="19">
      <calculatedColumnFormula>-IF(Tabla14[[#This Row],[DIAS HABILES O MORA]]&lt;0,(Tabla14[[#This Row],[VALOR PRESTAMO]]*Tabla14[[#This Row],[% INTERES ]]/30*U7))</calculatedColumnFormula>
    </tableColumn>
    <tableColumn id="19" xr3:uid="{AEAC8F2C-87EC-48B1-8948-6578E82D0F89}" name="PAGO TOTAL" dataDxfId="18">
      <calculatedColumnFormula>Tabla14[[#This Row],[DEUDA CAPITAL]]+Tabla14[[#This Row],[INTERES  CUOTA]]</calculatedColumnFormula>
    </tableColumn>
    <tableColumn id="18" xr3:uid="{486772F1-FCC4-4B61-8217-C1C0EC66075F}" name="DIAS HABILES O MORA" dataDxfId="17">
      <calculatedColumnFormula>IF(O7="PAGADO","",IFERROR(-IF(C7=0,"",$A$3-N7),""))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4DBC6-C9E3-4FE0-B6C4-AC175A93CDB5}" name="Tabla13" displayName="Tabla13" ref="A4:G11" totalsRowShown="0" headerRowDxfId="16" dataDxfId="14" headerRowBorderDxfId="15" tableBorderDxfId="13" totalsRowBorderDxfId="12">
  <autoFilter ref="A4:G11" xr:uid="{05D8E8AE-42B6-428D-AEEB-AB03F1BE38D8}"/>
  <tableColumns count="7">
    <tableColumn id="1" xr3:uid="{92599863-C389-4EC9-98DA-B02CC4CC58B9}" name="NOMBRE" dataDxfId="11"/>
    <tableColumn id="2" xr3:uid="{BB3E0207-4B18-4E69-84C4-BBCA3370B798}" name="# DE IDENTIFICACION" dataDxfId="10"/>
    <tableColumn id="3" xr3:uid="{471DEB06-C175-4A22-BDC1-23EF63DB34B4}" name="TELEFONO 1" dataDxfId="9"/>
    <tableColumn id="4" xr3:uid="{565A509D-63C7-44FE-993F-69F6A14A4517}" name="TELEFONO 2" dataDxfId="8"/>
    <tableColumn id="5" xr3:uid="{E584EA04-0335-40C9-B4FB-075F76A3D65C}" name="DIRECCION" dataDxfId="7"/>
    <tableColumn id="6" xr3:uid="{C94F5DDE-6EFC-43E0-A411-E79DBD2DFF10}" name="CIUDAD" dataDxfId="6"/>
    <tableColumn id="7" xr3:uid="{74675BC1-918D-4A05-9571-0D6D34A345FD}" name="OBSERVACIONES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A6FC6D-4373-4407-8529-521260AB567D}" name="Tabla4" displayName="Tabla4" ref="B5:C10" totalsRowShown="0" headerRowDxfId="3" headerRowBorderDxfId="2" tableBorderDxfId="1">
  <autoFilter ref="B5:C10" xr:uid="{EDA6FC6D-4373-4407-8529-521260AB567D}"/>
  <tableColumns count="2">
    <tableColumn id="1" xr3:uid="{5D6F7EC4-1CDF-4450-91E5-498679851333}" name="MES"/>
    <tableColumn id="2" xr3:uid="{50FE6CFF-3E7A-4B01-93E4-6160B91EED29}" name="VALOR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4B534-470B-43B6-992A-906DACA05B56}">
  <sheetPr codeName="Hoja1">
    <tabColor rgb="FFCCFFFF"/>
  </sheetPr>
  <dimension ref="A1:AL6186"/>
  <sheetViews>
    <sheetView tabSelected="1" zoomScale="70" zoomScaleNormal="70" workbookViewId="0">
      <selection activeCell="F23" sqref="F23"/>
    </sheetView>
  </sheetViews>
  <sheetFormatPr baseColWidth="10" defaultColWidth="15.85546875" defaultRowHeight="24.75" customHeight="1" x14ac:dyDescent="0.35"/>
  <cols>
    <col min="1" max="1" width="28.5703125" style="23" customWidth="1"/>
    <col min="2" max="2" width="14.85546875" style="39" customWidth="1"/>
    <col min="3" max="3" width="18.28515625" style="41" customWidth="1"/>
    <col min="4" max="4" width="12.7109375" style="28" customWidth="1"/>
    <col min="5" max="5" width="16.140625" style="29" customWidth="1"/>
    <col min="6" max="6" width="23.85546875" style="29" customWidth="1"/>
    <col min="7" max="7" width="12.28515625" style="20" customWidth="1"/>
    <col min="8" max="8" width="13.7109375" style="20" customWidth="1"/>
    <col min="9" max="9" width="15.28515625" style="46" customWidth="1"/>
    <col min="10" max="10" width="17" style="65" customWidth="1"/>
    <col min="11" max="11" width="15.5703125" style="65" customWidth="1"/>
    <col min="12" max="12" width="17.7109375" style="65" customWidth="1"/>
    <col min="13" max="13" width="19.5703125" style="69" customWidth="1"/>
    <col min="14" max="14" width="16.140625" style="44" customWidth="1"/>
    <col min="15" max="15" width="17" style="25" customWidth="1"/>
    <col min="16" max="16" width="17.28515625" style="67" customWidth="1"/>
    <col min="17" max="17" width="17.5703125" style="67" customWidth="1"/>
    <col min="18" max="19" width="17.5703125" style="67" hidden="1" customWidth="1"/>
    <col min="20" max="20" width="16.42578125" style="21" hidden="1" customWidth="1"/>
    <col min="21" max="21" width="12.7109375" style="61" customWidth="1"/>
    <col min="22" max="22" width="3" style="31" customWidth="1"/>
    <col min="23" max="23" width="15.85546875" style="23"/>
    <col min="24" max="24" width="1.42578125" style="23" customWidth="1"/>
    <col min="25" max="16384" width="15.85546875" style="23"/>
  </cols>
  <sheetData>
    <row r="1" spans="1:38" ht="24.75" customHeight="1" x14ac:dyDescent="0.35">
      <c r="A1" s="120" t="s">
        <v>50</v>
      </c>
      <c r="B1" s="121"/>
      <c r="C1" s="121"/>
      <c r="D1" s="121"/>
      <c r="E1" s="77" t="s">
        <v>6</v>
      </c>
      <c r="F1" s="77"/>
      <c r="V1" s="22"/>
    </row>
    <row r="2" spans="1:38" ht="24.75" customHeight="1" x14ac:dyDescent="0.35">
      <c r="A2" s="121"/>
      <c r="B2" s="121"/>
      <c r="C2" s="121"/>
      <c r="D2" s="121"/>
      <c r="E2" s="77" t="s">
        <v>5</v>
      </c>
      <c r="F2" s="96" t="s">
        <v>31</v>
      </c>
      <c r="H2" s="24"/>
      <c r="I2" s="47"/>
      <c r="J2" s="66"/>
      <c r="K2" s="79"/>
      <c r="L2" s="79"/>
      <c r="M2" s="70"/>
      <c r="N2" s="43"/>
      <c r="P2" s="66"/>
      <c r="V2" s="26"/>
    </row>
    <row r="3" spans="1:38" ht="24.75" customHeight="1" x14ac:dyDescent="0.35">
      <c r="A3" s="122">
        <f ca="1">TODAY()</f>
        <v>45372</v>
      </c>
      <c r="B3" s="123"/>
      <c r="C3" s="27"/>
      <c r="E3" s="78" t="s">
        <v>28</v>
      </c>
      <c r="F3" s="97" t="s">
        <v>32</v>
      </c>
      <c r="G3" s="30"/>
      <c r="J3" s="65" t="e">
        <f ca="1">si.conjunto(#REF!=0,#REF!+1,#REF!=#REF!,0,#REF!&lt;#REF!,#REF!+1)</f>
        <v>#NAME?</v>
      </c>
      <c r="L3" s="15"/>
      <c r="O3" s="48"/>
      <c r="V3" s="26"/>
    </row>
    <row r="4" spans="1:38" ht="36.75" customHeight="1" x14ac:dyDescent="0.35">
      <c r="A4" s="32"/>
      <c r="B4" s="33"/>
      <c r="C4" s="27"/>
      <c r="D4" s="34"/>
      <c r="E4" s="35"/>
      <c r="F4" s="35"/>
      <c r="H4" s="36"/>
      <c r="I4" s="37"/>
      <c r="K4" s="80" t="s">
        <v>41</v>
      </c>
      <c r="L4" s="93">
        <f>SUM(L7:L16133)</f>
        <v>0</v>
      </c>
    </row>
    <row r="5" spans="1:38" ht="24.75" customHeight="1" x14ac:dyDescent="0.35">
      <c r="A5" s="38"/>
      <c r="C5" s="40">
        <f>SUM(C9:C9999)</f>
        <v>0</v>
      </c>
      <c r="D5" s="34"/>
      <c r="E5" s="35"/>
      <c r="F5" s="35"/>
      <c r="H5" s="36"/>
      <c r="I5" s="37"/>
      <c r="K5" s="81" t="s">
        <v>35</v>
      </c>
      <c r="L5" s="94">
        <f>L4-'REGISTRO DE UTILIDAD'!C4</f>
        <v>0</v>
      </c>
      <c r="M5" s="71"/>
      <c r="N5" s="50"/>
      <c r="O5" s="49"/>
      <c r="P5" s="87">
        <f>SUM(P7:P16133)</f>
        <v>0</v>
      </c>
      <c r="Q5" s="87">
        <f>SUM(Q7:Q16133)</f>
        <v>0</v>
      </c>
    </row>
    <row r="6" spans="1:38" s="64" customFormat="1" ht="60" customHeight="1" x14ac:dyDescent="0.3">
      <c r="A6" s="101" t="s">
        <v>0</v>
      </c>
      <c r="B6" s="106" t="s">
        <v>48</v>
      </c>
      <c r="C6" s="102" t="s">
        <v>1</v>
      </c>
      <c r="D6" s="103" t="s">
        <v>2</v>
      </c>
      <c r="E6" s="104" t="s">
        <v>27</v>
      </c>
      <c r="F6" s="104" t="s">
        <v>36</v>
      </c>
      <c r="G6" s="105" t="s">
        <v>29</v>
      </c>
      <c r="H6" s="105" t="s">
        <v>46</v>
      </c>
      <c r="I6" s="109" t="s">
        <v>45</v>
      </c>
      <c r="J6" s="68" t="s">
        <v>47</v>
      </c>
      <c r="K6" s="82" t="s">
        <v>24</v>
      </c>
      <c r="L6" s="68" t="s">
        <v>23</v>
      </c>
      <c r="M6" s="108" t="s">
        <v>3</v>
      </c>
      <c r="N6" s="45" t="s">
        <v>26</v>
      </c>
      <c r="O6" s="19" t="s">
        <v>25</v>
      </c>
      <c r="P6" s="68" t="s">
        <v>22</v>
      </c>
      <c r="Q6" s="68" t="s">
        <v>21</v>
      </c>
      <c r="R6" s="68" t="s">
        <v>43</v>
      </c>
      <c r="S6" s="68" t="s">
        <v>44</v>
      </c>
      <c r="T6" s="95" t="s">
        <v>34</v>
      </c>
      <c r="U6" s="62" t="s">
        <v>37</v>
      </c>
      <c r="V6" s="63"/>
      <c r="W6" s="74" t="s">
        <v>19</v>
      </c>
      <c r="X6" s="63"/>
      <c r="Y6" s="124" t="s">
        <v>33</v>
      </c>
      <c r="Z6" s="124"/>
      <c r="AA6" s="124"/>
      <c r="AB6" s="124"/>
      <c r="AC6" s="124"/>
      <c r="AD6" s="124"/>
      <c r="AE6" s="124"/>
      <c r="AF6" s="124"/>
      <c r="AG6" s="124"/>
      <c r="AH6" s="124"/>
      <c r="AI6" s="124"/>
      <c r="AJ6" s="124"/>
      <c r="AK6" s="124"/>
      <c r="AL6" s="124"/>
    </row>
    <row r="7" spans="1:38" ht="24.75" hidden="1" customHeight="1" x14ac:dyDescent="0.35">
      <c r="C7" s="41">
        <v>0</v>
      </c>
      <c r="I7" s="42">
        <f>IF(C7&lt;0,"",IF(Q7=0,0,IF(G7=0,H7+1,IF(H7&lt;G7,H7+1,IF(G7=H7,0)))))</f>
        <v>0</v>
      </c>
      <c r="J7" s="65" t="e">
        <f t="shared" ref="J7:J13" si="0">IF(F7="SOLO INTERES",Q7*D7,-IPMT(D7,I7,G7,C7))</f>
        <v>#NUM!</v>
      </c>
      <c r="K7" s="83" t="e">
        <f t="shared" ref="K7:K13" si="1">IF(F7="SOLO INTERES",0,-PPMT(D7,I7,G7,C7))</f>
        <v>#NUM!</v>
      </c>
      <c r="L7" s="83">
        <f>IF(F7="SOLO INTERES",SUM(Y7:AAE7),IFERROR(-CUMIPMT(D7,G7,C7,1,H7,0),0)+SUM(Y7:WY7))</f>
        <v>0</v>
      </c>
      <c r="M7" s="107" t="str">
        <f t="shared" ref="M7:M15" si="2">IFERROR(IF(F7="SOLO INTERES",Q7*D7,-PMT(D7,G7,C7,0)),"")</f>
        <v/>
      </c>
      <c r="N7" s="51" t="str">
        <f>IF(Q7=0,"",IF(E7="MENSUAL",EDATE(B7,I7),IF(E7="QUINCENAL",B7+(I7*15),IF(E7="SEMANAL",B7+(I7*7)))))</f>
        <v/>
      </c>
      <c r="O7" s="52" t="str">
        <f>IF(C7=0,"",IF(Q7&lt;1,"PAGADO",IF(N7=$A$3,"COBRAR HOY",IF(N7&lt;$A$3,"EN MORA",IF(N7&gt;$A$3,"AL DIA")))))</f>
        <v/>
      </c>
      <c r="P7" s="88">
        <f t="shared" ref="P7:P13" si="3">IFERROR(-CUMPRINC(D7,G7,C7,1,H7,0),0)+W7</f>
        <v>0</v>
      </c>
      <c r="Q7" s="88">
        <f t="shared" ref="Q7:Q13" si="4">IFERROR(C7-P7,"")</f>
        <v>0</v>
      </c>
      <c r="R7" s="88" t="e">
        <f>-IF(Tabla14[[#This Row],[DIAS HABILES O MORA]]&lt;0,(Tabla14[[#This Row],[VALOR PRESTAMO]]*Tabla14[[#This Row],[% INTERES ]]/30*U7))+Tabla14[[#This Row],[VALOR CUOTAS]]</f>
        <v>#VALUE!</v>
      </c>
      <c r="S7" s="88">
        <f>-IF(Tabla14[[#This Row],[DIAS HABILES O MORA]]&lt;0,(Tabla14[[#This Row],[VALOR PRESTAMO]]*Tabla14[[#This Row],[% INTERES ]]/30*U7))</f>
        <v>0</v>
      </c>
      <c r="T7" s="53" t="e">
        <f>Tabla14[[#This Row],[DEUDA CAPITAL]]+Tabla14[[#This Row],[INTERES  CUOTA]]</f>
        <v>#NUM!</v>
      </c>
      <c r="U7" s="61" t="str">
        <f t="shared" ref="U7:U13" si="5">IF(O7="PAGADO","",IFERROR(-IF(C7=0,"",$A$3-N7),""))</f>
        <v/>
      </c>
    </row>
    <row r="8" spans="1:38" ht="24.75" hidden="1" customHeight="1" x14ac:dyDescent="0.35">
      <c r="C8" s="41">
        <v>0</v>
      </c>
      <c r="I8" s="42">
        <f t="shared" ref="I8:I13" si="6">IF(C8&lt;0,"",IF(Q8=0,0,IF(G8=0,H8+1,IF(H8&lt;G8,H8+1,IF(G8=H8,0)))))</f>
        <v>0</v>
      </c>
      <c r="J8" s="65" t="e">
        <f t="shared" si="0"/>
        <v>#NUM!</v>
      </c>
      <c r="K8" s="83" t="e">
        <f t="shared" si="1"/>
        <v>#NUM!</v>
      </c>
      <c r="L8" s="83">
        <f t="shared" ref="L8:L13" si="7">IF(F8="SOLO INTERES",SUM(Y8:AAE8),IFERROR(-CUMIPMT(D8,G8,C8,1,H8,0),0)+SUM(Y8:WY8))</f>
        <v>0</v>
      </c>
      <c r="M8" s="107" t="str">
        <f t="shared" si="2"/>
        <v/>
      </c>
      <c r="N8" s="51" t="str">
        <f t="shared" ref="N8:N13" si="8">IF(Q8=0,"",IF(E8="MENSUAL",EDATE(B8,I8),IF(E8="QUINCENAL",B8+(I8*15),IF(E8="SEMANAL",B8+(I8*7)))))</f>
        <v/>
      </c>
      <c r="O8" s="52" t="str">
        <f t="shared" ref="O8:O13" si="9">IF(C8=0,"",IF(Q8&lt;1,"PAGADO",IF(N8=$A$3,"COBRAR HOY",IF(N8&lt;$A$3,"EN MORA",IF(N8&gt;$A$3,"AL DIA")))))</f>
        <v/>
      </c>
      <c r="P8" s="88">
        <f t="shared" si="3"/>
        <v>0</v>
      </c>
      <c r="Q8" s="88">
        <f t="shared" si="4"/>
        <v>0</v>
      </c>
      <c r="R8" s="88" t="e">
        <f>-IF(Tabla14[[#This Row],[DIAS HABILES O MORA]]&lt;0,(Tabla14[[#This Row],[VALOR PRESTAMO]]*Tabla14[[#This Row],[% INTERES ]]/30*U8))+Tabla14[[#This Row],[VALOR CUOTAS]]</f>
        <v>#VALUE!</v>
      </c>
      <c r="S8" s="88">
        <f>-IF(Tabla14[[#This Row],[DIAS HABILES O MORA]]&lt;0,(Tabla14[[#This Row],[VALOR PRESTAMO]]*Tabla14[[#This Row],[% INTERES ]]/30*U8))</f>
        <v>0</v>
      </c>
      <c r="T8" s="53" t="e">
        <f>Tabla14[[#This Row],[DEUDA CAPITAL]]+Tabla14[[#This Row],[INTERES  CUOTA]]</f>
        <v>#NUM!</v>
      </c>
      <c r="U8" s="61" t="str">
        <f t="shared" si="5"/>
        <v/>
      </c>
      <c r="W8"/>
      <c r="X8"/>
      <c r="Y8"/>
      <c r="Z8"/>
      <c r="AA8"/>
      <c r="AB8"/>
    </row>
    <row r="9" spans="1:38" ht="24.75" customHeight="1" x14ac:dyDescent="0.35">
      <c r="I9" s="42">
        <f t="shared" si="6"/>
        <v>0</v>
      </c>
      <c r="J9" s="65" t="e">
        <f t="shared" si="0"/>
        <v>#NUM!</v>
      </c>
      <c r="K9" s="83" t="e">
        <f t="shared" si="1"/>
        <v>#NUM!</v>
      </c>
      <c r="L9" s="83">
        <f t="shared" si="7"/>
        <v>0</v>
      </c>
      <c r="M9" s="110" t="str">
        <f t="shared" si="2"/>
        <v/>
      </c>
      <c r="N9" s="51" t="str">
        <f>IF(Q9=0,"",IF(E9="MENSUAL",EDATE(B9,I9),IF(E9="QUINCENAL",B9+(I9*15),IF(E9="SEMANAL",B9+(I9*7)))))</f>
        <v/>
      </c>
      <c r="O9" s="52" t="str">
        <f t="shared" si="9"/>
        <v/>
      </c>
      <c r="P9" s="88">
        <f t="shared" si="3"/>
        <v>0</v>
      </c>
      <c r="Q9" s="88">
        <f t="shared" si="4"/>
        <v>0</v>
      </c>
      <c r="R9" s="88" t="e">
        <f>-IF(Tabla14[[#This Row],[DIAS HABILES O MORA]]&lt;0,(Tabla14[[#This Row],[VALOR PRESTAMO]]*Tabla14[[#This Row],[% INTERES ]]/30*U9))+Tabla14[[#This Row],[VALOR CUOTAS]]</f>
        <v>#VALUE!</v>
      </c>
      <c r="S9" s="88">
        <f>-IF(Tabla14[[#This Row],[DIAS HABILES O MORA]]&lt;0,(Tabla14[[#This Row],[VALOR PRESTAMO]]*Tabla14[[#This Row],[% INTERES ]]/30*U9))</f>
        <v>0</v>
      </c>
      <c r="T9" s="53" t="e">
        <f>Tabla14[[#This Row],[DEUDA CAPITAL]]+Tabla14[[#This Row],[INTERES  CUOTA]]</f>
        <v>#NUM!</v>
      </c>
      <c r="U9" s="61" t="str">
        <f t="shared" si="5"/>
        <v/>
      </c>
    </row>
    <row r="10" spans="1:38" ht="24.75" customHeight="1" x14ac:dyDescent="0.35">
      <c r="I10" s="42">
        <f t="shared" si="6"/>
        <v>0</v>
      </c>
      <c r="J10" s="65" t="e">
        <f t="shared" si="0"/>
        <v>#NUM!</v>
      </c>
      <c r="K10" s="83" t="e">
        <f t="shared" si="1"/>
        <v>#NUM!</v>
      </c>
      <c r="L10" s="83">
        <f t="shared" si="7"/>
        <v>0</v>
      </c>
      <c r="M10" s="110" t="str">
        <f t="shared" si="2"/>
        <v/>
      </c>
      <c r="N10" s="51" t="str">
        <f>IF(Q10=0,"",IF(E10="MENSUAL",EDATE(B10,I10),IF(E10="QUINCENAL",B10+(I10*15),IF(E10="SEMANAL",B10+(I10*7)))))</f>
        <v/>
      </c>
      <c r="O10" s="52" t="str">
        <f t="shared" si="9"/>
        <v/>
      </c>
      <c r="P10" s="88">
        <f t="shared" si="3"/>
        <v>0</v>
      </c>
      <c r="Q10" s="88">
        <f t="shared" si="4"/>
        <v>0</v>
      </c>
      <c r="R10" s="88" t="e">
        <f>-IF(Tabla14[[#This Row],[DIAS HABILES O MORA]]&lt;0,(Tabla14[[#This Row],[VALOR PRESTAMO]]*Tabla14[[#This Row],[% INTERES ]]/30*U10))+Tabla14[[#This Row],[VALOR CUOTAS]]</f>
        <v>#VALUE!</v>
      </c>
      <c r="S10" s="88">
        <f>-IF(Tabla14[[#This Row],[DIAS HABILES O MORA]]&lt;0,(Tabla14[[#This Row],[VALOR PRESTAMO]]*Tabla14[[#This Row],[% INTERES ]]/30*U10))</f>
        <v>0</v>
      </c>
      <c r="T10" s="53" t="e">
        <f>Tabla14[[#This Row],[DEUDA CAPITAL]]+Tabla14[[#This Row],[INTERES  CUOTA]]</f>
        <v>#NUM!</v>
      </c>
      <c r="U10" s="61" t="str">
        <f t="shared" si="5"/>
        <v/>
      </c>
    </row>
    <row r="11" spans="1:38" ht="24.75" customHeight="1" x14ac:dyDescent="0.35">
      <c r="I11" s="42">
        <f t="shared" si="6"/>
        <v>0</v>
      </c>
      <c r="J11" s="65" t="e">
        <f t="shared" si="0"/>
        <v>#NUM!</v>
      </c>
      <c r="K11" s="83" t="e">
        <f t="shared" si="1"/>
        <v>#NUM!</v>
      </c>
      <c r="L11" s="83">
        <f t="shared" si="7"/>
        <v>0</v>
      </c>
      <c r="M11" s="110" t="str">
        <f t="shared" si="2"/>
        <v/>
      </c>
      <c r="N11" s="51" t="str">
        <f t="shared" si="8"/>
        <v/>
      </c>
      <c r="O11" s="52" t="str">
        <f t="shared" si="9"/>
        <v/>
      </c>
      <c r="P11" s="88">
        <f t="shared" si="3"/>
        <v>0</v>
      </c>
      <c r="Q11" s="88">
        <f t="shared" si="4"/>
        <v>0</v>
      </c>
      <c r="R11" s="88" t="e">
        <f>-IF(Tabla14[[#This Row],[DIAS HABILES O MORA]]&lt;0,(Tabla14[[#This Row],[VALOR PRESTAMO]]*Tabla14[[#This Row],[% INTERES ]]/30*U11))+Tabla14[[#This Row],[VALOR CUOTAS]]</f>
        <v>#VALUE!</v>
      </c>
      <c r="S11" s="88">
        <f>-IF(Tabla14[[#This Row],[DIAS HABILES O MORA]]&lt;0,(Tabla14[[#This Row],[VALOR PRESTAMO]]*Tabla14[[#This Row],[% INTERES ]]/30*U11))</f>
        <v>0</v>
      </c>
      <c r="T11" s="53" t="e">
        <f>Tabla14[[#This Row],[DEUDA CAPITAL]]+Tabla14[[#This Row],[INTERES  CUOTA]]</f>
        <v>#NUM!</v>
      </c>
      <c r="U11" s="61" t="str">
        <f t="shared" si="5"/>
        <v/>
      </c>
    </row>
    <row r="12" spans="1:38" ht="24.75" customHeight="1" x14ac:dyDescent="0.35">
      <c r="I12" s="42">
        <f t="shared" si="6"/>
        <v>0</v>
      </c>
      <c r="J12" s="65" t="e">
        <f t="shared" si="0"/>
        <v>#NUM!</v>
      </c>
      <c r="K12" s="83" t="e">
        <f t="shared" si="1"/>
        <v>#NUM!</v>
      </c>
      <c r="L12" s="83">
        <f t="shared" si="7"/>
        <v>0</v>
      </c>
      <c r="M12" s="110" t="str">
        <f t="shared" si="2"/>
        <v/>
      </c>
      <c r="N12" s="51" t="str">
        <f t="shared" si="8"/>
        <v/>
      </c>
      <c r="O12" s="52" t="str">
        <f t="shared" si="9"/>
        <v/>
      </c>
      <c r="P12" s="88">
        <f t="shared" si="3"/>
        <v>0</v>
      </c>
      <c r="Q12" s="88">
        <f t="shared" si="4"/>
        <v>0</v>
      </c>
      <c r="R12" s="88" t="e">
        <f>-IF(Tabla14[[#This Row],[DIAS HABILES O MORA]]&lt;0,(Tabla14[[#This Row],[VALOR PRESTAMO]]*Tabla14[[#This Row],[% INTERES ]]/30*U12))+Tabla14[[#This Row],[VALOR CUOTAS]]</f>
        <v>#VALUE!</v>
      </c>
      <c r="S12" s="88">
        <f>-IF(Tabla14[[#This Row],[DIAS HABILES O MORA]]&lt;0,(Tabla14[[#This Row],[VALOR PRESTAMO]]*Tabla14[[#This Row],[% INTERES ]]/30*U12))</f>
        <v>0</v>
      </c>
      <c r="T12" s="53" t="e">
        <f>Tabla14[[#This Row],[DEUDA CAPITAL]]+Tabla14[[#This Row],[INTERES  CUOTA]]</f>
        <v>#NUM!</v>
      </c>
      <c r="U12" s="61" t="str">
        <f t="shared" si="5"/>
        <v/>
      </c>
    </row>
    <row r="13" spans="1:38" ht="24.75" customHeight="1" x14ac:dyDescent="0.35">
      <c r="I13" s="42">
        <f t="shared" si="6"/>
        <v>0</v>
      </c>
      <c r="J13" s="65" t="e">
        <f t="shared" si="0"/>
        <v>#NUM!</v>
      </c>
      <c r="K13" s="83" t="e">
        <f t="shared" si="1"/>
        <v>#NUM!</v>
      </c>
      <c r="L13" s="83">
        <f t="shared" si="7"/>
        <v>0</v>
      </c>
      <c r="M13" s="110" t="str">
        <f t="shared" si="2"/>
        <v/>
      </c>
      <c r="N13" s="51" t="str">
        <f t="shared" si="8"/>
        <v/>
      </c>
      <c r="O13" s="52" t="str">
        <f t="shared" si="9"/>
        <v/>
      </c>
      <c r="P13" s="88">
        <f t="shared" si="3"/>
        <v>0</v>
      </c>
      <c r="Q13" s="88">
        <f t="shared" si="4"/>
        <v>0</v>
      </c>
      <c r="R13" s="88" t="e">
        <f>-IF(Tabla14[[#This Row],[DIAS HABILES O MORA]]&lt;0,(Tabla14[[#This Row],[VALOR PRESTAMO]]*Tabla14[[#This Row],[% INTERES ]]/30*U13))+Tabla14[[#This Row],[VALOR CUOTAS]]</f>
        <v>#VALUE!</v>
      </c>
      <c r="S13" s="88">
        <f>-IF(Tabla14[[#This Row],[DIAS HABILES O MORA]]&lt;0,(Tabla14[[#This Row],[VALOR PRESTAMO]]*Tabla14[[#This Row],[% INTERES ]]/30*U13))</f>
        <v>0</v>
      </c>
      <c r="T13" s="53" t="e">
        <f>Tabla14[[#This Row],[DEUDA CAPITAL]]+Tabla14[[#This Row],[INTERES  CUOTA]]</f>
        <v>#NUM!</v>
      </c>
      <c r="U13" s="61" t="str">
        <f t="shared" si="5"/>
        <v/>
      </c>
    </row>
    <row r="14" spans="1:38" ht="24.75" customHeight="1" x14ac:dyDescent="0.35">
      <c r="I14" s="42">
        <f>IF(C14&lt;0,"",IF(Q14=0,0,IF(G14=0,H14+1,IF(H14&lt;G14,H14+1,IF(G14=H14,0)))))</f>
        <v>0</v>
      </c>
      <c r="J14" s="65" t="e">
        <f>IF(F14="SOLO INTERES",Q14*D14,-IPMT(D14,I14,G14,C14))</f>
        <v>#NUM!</v>
      </c>
      <c r="K14" s="83" t="e">
        <f>IF(F14="SOLO INTERES",0,-PPMT(D14,I14,G14,C14))</f>
        <v>#NUM!</v>
      </c>
      <c r="L14" s="83">
        <f>IF(F14="SOLO INTERES",SUM(Y14:AAE14),IFERROR(-CUMIPMT(D14,G14,C14,1,H14,0),0)+SUM(Y14:WY14))</f>
        <v>0</v>
      </c>
      <c r="M14" s="110" t="str">
        <f t="shared" si="2"/>
        <v/>
      </c>
      <c r="N14" s="51" t="str">
        <f>IF(Q14=0,"",IF(E14="MENSUAL",EDATE(B14,I14),IF(E14="QUINCENAL",B14+(I14*15),IF(E14="SEMANAL",B14+(I14*7)))))</f>
        <v/>
      </c>
      <c r="O14" s="52" t="str">
        <f>IF(C14=0,"",IF(Q14&lt;1,"PAGADO",IF(N14=$A$3,"COBRAR HOY",IF(N14&lt;$A$3,"EN MORA",IF(N14&gt;$A$3,"AL DIA")))))</f>
        <v/>
      </c>
      <c r="P14" s="88">
        <f>IFERROR(-CUMPRINC(D14,G14,C14,1,H14,0),0)+W14</f>
        <v>0</v>
      </c>
      <c r="Q14" s="88">
        <f>IFERROR(C14-P14,"")</f>
        <v>0</v>
      </c>
      <c r="R14" s="88" t="e">
        <f>-IF(Tabla14[[#This Row],[DIAS HABILES O MORA]]&lt;0,(Tabla14[[#This Row],[VALOR PRESTAMO]]*Tabla14[[#This Row],[% INTERES ]]/30*U14))+Tabla14[[#This Row],[VALOR CUOTAS]]</f>
        <v>#VALUE!</v>
      </c>
      <c r="S14" s="88">
        <f>-IF(Tabla14[[#This Row],[DIAS HABILES O MORA]]&lt;0,(Tabla14[[#This Row],[VALOR PRESTAMO]]*Tabla14[[#This Row],[% INTERES ]]/30*U14))</f>
        <v>0</v>
      </c>
      <c r="T14" s="53" t="e">
        <f>Tabla14[[#This Row],[DEUDA CAPITAL]]+Tabla14[[#This Row],[INTERES  CUOTA]]</f>
        <v>#NUM!</v>
      </c>
      <c r="U14" s="61" t="str">
        <f>IF(O14="PAGADO","",IFERROR(-IF(C14=0,"",$A$3-N14),""))</f>
        <v/>
      </c>
    </row>
    <row r="15" spans="1:38" ht="24.75" customHeight="1" x14ac:dyDescent="0.35">
      <c r="D15" s="98"/>
      <c r="I15" s="42">
        <f>IF(C15&lt;0,"",IF(Q15=0,0,IF(G15=0,H15+1,IF(H15&lt;G15,H15+1,IF(G15=H15,0)))))</f>
        <v>0</v>
      </c>
      <c r="J15" s="65" t="e">
        <f>IF(F15="SOLO INTERES",Q15*D15,-IPMT(D15,I15,G15,C15))</f>
        <v>#NUM!</v>
      </c>
      <c r="K15" s="83" t="e">
        <f>IF(F15="SOLO INTERES",0,-PPMT(D15,I15,G15,C15))</f>
        <v>#NUM!</v>
      </c>
      <c r="L15" s="83">
        <f>IF(F15="SOLO INTERES",SUM(Y15:AAE15),IFERROR(-CUMIPMT(D15,G15,C15,1,H15,0),0)+SUM(Y15:WY15))</f>
        <v>0</v>
      </c>
      <c r="M15" s="110" t="str">
        <f t="shared" si="2"/>
        <v/>
      </c>
      <c r="N15" s="51" t="str">
        <f>IF(Q15=0,"",IF(E15="MENSUAL",EDATE(B15,I15),IF(E15="QUINCENAL",B15+(I15*15),IF(E15="SEMANAL",B15+(I15*7)))))</f>
        <v/>
      </c>
      <c r="O15" s="52" t="str">
        <f>IF(C15=0,"",IF(Q15&lt;1,"PAGADO",IF(N15=$A$3,"COBRAR HOY",IF(N15&lt;$A$3,"EN MORA",IF(N15&gt;$A$3,"AL DIA")))))</f>
        <v/>
      </c>
      <c r="P15" s="88">
        <f>IFERROR(-CUMPRINC(D15,G15,C15,1,H15,0),0)+W15</f>
        <v>0</v>
      </c>
      <c r="Q15" s="88">
        <f>IFERROR(C15-P15,"")</f>
        <v>0</v>
      </c>
      <c r="R15" s="88" t="e">
        <f>-IF(Tabla14[[#This Row],[DIAS HABILES O MORA]]&lt;0,(Tabla14[[#This Row],[VALOR PRESTAMO]]*Tabla14[[#This Row],[% INTERES ]]/30*U15))+Tabla14[[#This Row],[VALOR CUOTAS]]</f>
        <v>#VALUE!</v>
      </c>
      <c r="S15" s="88">
        <f>-IF(Tabla14[[#This Row],[DIAS HABILES O MORA]]&lt;0,(Tabla14[[#This Row],[VALOR PRESTAMO]]*Tabla14[[#This Row],[% INTERES ]]/30*U15))</f>
        <v>0</v>
      </c>
      <c r="T15" s="53" t="e">
        <f>Tabla14[[#This Row],[DEUDA CAPITAL]]+Tabla14[[#This Row],[INTERES  CUOTA]]</f>
        <v>#NUM!</v>
      </c>
      <c r="U15" s="61" t="str">
        <f>IF(O15="PAGADO","",IFERROR(-IF(C15=0,"",$A$3-N15),""))</f>
        <v/>
      </c>
    </row>
    <row r="16" spans="1:38" ht="24.75" customHeight="1" x14ac:dyDescent="0.35">
      <c r="I16" s="42">
        <f t="shared" ref="I16:I79" si="10">IF(C16&lt;0,"",IF(Q16=0,0,IF(G16=0,H16+1,IF(H16&lt;G16,H16+1,IF(G16=H16,0)))))</f>
        <v>0</v>
      </c>
      <c r="J16" s="65" t="e">
        <f t="shared" ref="J16:J79" si="11">IF(F16="SOLO INTERES",Q16*D16,-IPMT(D16,I16,G16,C16))</f>
        <v>#NUM!</v>
      </c>
      <c r="K16" s="83" t="e">
        <f t="shared" ref="K16:K79" si="12">IF(F16="SOLO INTERES",0,-PPMT(D16,I16,G16,C16))</f>
        <v>#NUM!</v>
      </c>
      <c r="L16" s="83">
        <f t="shared" ref="L16:L79" si="13">IF(F16="SOLO INTERES",SUM(Y16:AAE16),IFERROR(-CUMIPMT(D16,G16,C16,1,H16,0),0)+SUM(Y16:WY16))</f>
        <v>0</v>
      </c>
      <c r="M16" s="110" t="str">
        <f t="shared" ref="M16:M79" si="14">IFERROR(IF(F16="SOLO INTERES",Q16*D16,-PMT(D16,G16,C16,0)),"")</f>
        <v/>
      </c>
      <c r="N16" s="51" t="str">
        <f t="shared" ref="N16:N79" si="15">IF(Q16=0,"",IF(E16="MENSUAL",EDATE(B16,I16),IF(E16="QUINCENAL",B16+(I16*15),IF(E16="SEMANAL",B16+(I16*7)))))</f>
        <v/>
      </c>
      <c r="O16" s="52" t="str">
        <f t="shared" ref="O16:O79" si="16">IF(C16=0,"",IF(Q16&lt;1,"PAGADO",IF(N16=$A$3,"COBRAR HOY",IF(N16&lt;$A$3,"EN MORA",IF(N16&gt;$A$3,"AL DIA")))))</f>
        <v/>
      </c>
      <c r="P16" s="88">
        <f t="shared" ref="P16:P79" si="17">IFERROR(-CUMPRINC(D16,G16,C16,1,H16,0),0)+W16</f>
        <v>0</v>
      </c>
      <c r="Q16" s="88">
        <f t="shared" ref="Q16:Q79" si="18">IFERROR(C16-P16,"")</f>
        <v>0</v>
      </c>
      <c r="R16" s="88" t="e">
        <f>-IF(Tabla14[[#This Row],[DIAS HABILES O MORA]]&lt;0,(Tabla14[[#This Row],[VALOR PRESTAMO]]*Tabla14[[#This Row],[% INTERES ]]/30*U16))+Tabla14[[#This Row],[VALOR CUOTAS]]</f>
        <v>#VALUE!</v>
      </c>
      <c r="S16" s="88">
        <f>-IF(Tabla14[[#This Row],[DIAS HABILES O MORA]]&lt;0,(Tabla14[[#This Row],[VALOR PRESTAMO]]*Tabla14[[#This Row],[% INTERES ]]/30*U16))</f>
        <v>0</v>
      </c>
      <c r="T16" s="53" t="e">
        <f>Tabla14[[#This Row],[DEUDA CAPITAL]]+Tabla14[[#This Row],[INTERES  CUOTA]]</f>
        <v>#NUM!</v>
      </c>
      <c r="U16" s="61" t="str">
        <f t="shared" ref="U16:U79" si="19">IF(O16="PAGADO","",IFERROR(-IF(C16=0,"",$A$3-N16),""))</f>
        <v/>
      </c>
    </row>
    <row r="17" spans="9:21" ht="24.75" customHeight="1" x14ac:dyDescent="0.35">
      <c r="I17" s="42">
        <f t="shared" si="10"/>
        <v>0</v>
      </c>
      <c r="J17" s="65" t="e">
        <f t="shared" si="11"/>
        <v>#NUM!</v>
      </c>
      <c r="K17" s="83" t="e">
        <f t="shared" si="12"/>
        <v>#NUM!</v>
      </c>
      <c r="L17" s="83">
        <f t="shared" si="13"/>
        <v>0</v>
      </c>
      <c r="M17" s="110" t="str">
        <f t="shared" si="14"/>
        <v/>
      </c>
      <c r="N17" s="51" t="str">
        <f t="shared" si="15"/>
        <v/>
      </c>
      <c r="O17" s="52" t="str">
        <f t="shared" si="16"/>
        <v/>
      </c>
      <c r="P17" s="88">
        <f t="shared" si="17"/>
        <v>0</v>
      </c>
      <c r="Q17" s="88">
        <f t="shared" si="18"/>
        <v>0</v>
      </c>
      <c r="R17" s="88" t="e">
        <f>-IF(Tabla14[[#This Row],[DIAS HABILES O MORA]]&lt;0,(Tabla14[[#This Row],[VALOR PRESTAMO]]*Tabla14[[#This Row],[% INTERES ]]/30*U17))+Tabla14[[#This Row],[VALOR CUOTAS]]</f>
        <v>#VALUE!</v>
      </c>
      <c r="S17" s="88">
        <f>-IF(Tabla14[[#This Row],[DIAS HABILES O MORA]]&lt;0,(Tabla14[[#This Row],[VALOR PRESTAMO]]*Tabla14[[#This Row],[% INTERES ]]/30*U17))</f>
        <v>0</v>
      </c>
      <c r="T17" s="53" t="e">
        <f>Tabla14[[#This Row],[DEUDA CAPITAL]]+Tabla14[[#This Row],[INTERES  CUOTA]]</f>
        <v>#NUM!</v>
      </c>
      <c r="U17" s="61" t="str">
        <f t="shared" si="19"/>
        <v/>
      </c>
    </row>
    <row r="18" spans="9:21" ht="24.75" customHeight="1" x14ac:dyDescent="0.35">
      <c r="I18" s="42">
        <f t="shared" si="10"/>
        <v>0</v>
      </c>
      <c r="J18" s="65" t="e">
        <f t="shared" si="11"/>
        <v>#NUM!</v>
      </c>
      <c r="K18" s="83" t="e">
        <f t="shared" si="12"/>
        <v>#NUM!</v>
      </c>
      <c r="L18" s="83">
        <f t="shared" si="13"/>
        <v>0</v>
      </c>
      <c r="M18" s="110" t="str">
        <f t="shared" si="14"/>
        <v/>
      </c>
      <c r="N18" s="51" t="str">
        <f t="shared" si="15"/>
        <v/>
      </c>
      <c r="O18" s="52" t="str">
        <f t="shared" si="16"/>
        <v/>
      </c>
      <c r="P18" s="88">
        <f t="shared" si="17"/>
        <v>0</v>
      </c>
      <c r="Q18" s="88">
        <f t="shared" si="18"/>
        <v>0</v>
      </c>
      <c r="R18" s="88" t="e">
        <f>-IF(Tabla14[[#This Row],[DIAS HABILES O MORA]]&lt;0,(Tabla14[[#This Row],[VALOR PRESTAMO]]*Tabla14[[#This Row],[% INTERES ]]/30*U18))+Tabla14[[#This Row],[VALOR CUOTAS]]</f>
        <v>#VALUE!</v>
      </c>
      <c r="S18" s="88">
        <f>-IF(Tabla14[[#This Row],[DIAS HABILES O MORA]]&lt;0,(Tabla14[[#This Row],[VALOR PRESTAMO]]*Tabla14[[#This Row],[% INTERES ]]/30*U18))</f>
        <v>0</v>
      </c>
      <c r="T18" s="53" t="e">
        <f>Tabla14[[#This Row],[DEUDA CAPITAL]]+Tabla14[[#This Row],[INTERES  CUOTA]]</f>
        <v>#NUM!</v>
      </c>
      <c r="U18" s="61" t="str">
        <f t="shared" si="19"/>
        <v/>
      </c>
    </row>
    <row r="19" spans="9:21" ht="24.75" customHeight="1" x14ac:dyDescent="0.35">
      <c r="I19" s="42">
        <f t="shared" si="10"/>
        <v>0</v>
      </c>
      <c r="J19" s="65" t="e">
        <f t="shared" si="11"/>
        <v>#NUM!</v>
      </c>
      <c r="K19" s="83" t="e">
        <f t="shared" si="12"/>
        <v>#NUM!</v>
      </c>
      <c r="L19" s="83">
        <f t="shared" si="13"/>
        <v>0</v>
      </c>
      <c r="M19" s="110" t="str">
        <f t="shared" si="14"/>
        <v/>
      </c>
      <c r="N19" s="51" t="str">
        <f t="shared" si="15"/>
        <v/>
      </c>
      <c r="O19" s="52" t="str">
        <f t="shared" si="16"/>
        <v/>
      </c>
      <c r="P19" s="88">
        <f t="shared" si="17"/>
        <v>0</v>
      </c>
      <c r="Q19" s="88">
        <f t="shared" si="18"/>
        <v>0</v>
      </c>
      <c r="R19" s="88" t="e">
        <f>-IF(Tabla14[[#This Row],[DIAS HABILES O MORA]]&lt;0,(Tabla14[[#This Row],[VALOR PRESTAMO]]*Tabla14[[#This Row],[% INTERES ]]/30*U19))+Tabla14[[#This Row],[VALOR CUOTAS]]</f>
        <v>#VALUE!</v>
      </c>
      <c r="S19" s="88">
        <f>-IF(Tabla14[[#This Row],[DIAS HABILES O MORA]]&lt;0,(Tabla14[[#This Row],[VALOR PRESTAMO]]*Tabla14[[#This Row],[% INTERES ]]/30*U19))</f>
        <v>0</v>
      </c>
      <c r="T19" s="53" t="e">
        <f>Tabla14[[#This Row],[DEUDA CAPITAL]]+Tabla14[[#This Row],[INTERES  CUOTA]]</f>
        <v>#NUM!</v>
      </c>
      <c r="U19" s="61" t="str">
        <f t="shared" si="19"/>
        <v/>
      </c>
    </row>
    <row r="20" spans="9:21" ht="24.75" customHeight="1" x14ac:dyDescent="0.35">
      <c r="I20" s="42">
        <f t="shared" si="10"/>
        <v>0</v>
      </c>
      <c r="J20" s="65" t="e">
        <f t="shared" si="11"/>
        <v>#NUM!</v>
      </c>
      <c r="K20" s="83" t="e">
        <f t="shared" si="12"/>
        <v>#NUM!</v>
      </c>
      <c r="L20" s="83">
        <f t="shared" si="13"/>
        <v>0</v>
      </c>
      <c r="M20" s="110" t="str">
        <f t="shared" si="14"/>
        <v/>
      </c>
      <c r="N20" s="51" t="str">
        <f t="shared" si="15"/>
        <v/>
      </c>
      <c r="O20" s="52" t="str">
        <f t="shared" si="16"/>
        <v/>
      </c>
      <c r="P20" s="88">
        <f t="shared" si="17"/>
        <v>0</v>
      </c>
      <c r="Q20" s="88">
        <f t="shared" si="18"/>
        <v>0</v>
      </c>
      <c r="R20" s="88" t="e">
        <f>-IF(Tabla14[[#This Row],[DIAS HABILES O MORA]]&lt;0,(Tabla14[[#This Row],[VALOR PRESTAMO]]*Tabla14[[#This Row],[% INTERES ]]/30*U20))+Tabla14[[#This Row],[VALOR CUOTAS]]</f>
        <v>#VALUE!</v>
      </c>
      <c r="S20" s="88">
        <f>-IF(Tabla14[[#This Row],[DIAS HABILES O MORA]]&lt;0,(Tabla14[[#This Row],[VALOR PRESTAMO]]*Tabla14[[#This Row],[% INTERES ]]/30*U20))</f>
        <v>0</v>
      </c>
      <c r="T20" s="53" t="e">
        <f>Tabla14[[#This Row],[DEUDA CAPITAL]]+Tabla14[[#This Row],[INTERES  CUOTA]]</f>
        <v>#NUM!</v>
      </c>
      <c r="U20" s="61" t="str">
        <f t="shared" si="19"/>
        <v/>
      </c>
    </row>
    <row r="21" spans="9:21" ht="24.75" customHeight="1" x14ac:dyDescent="0.35">
      <c r="I21" s="42">
        <f t="shared" si="10"/>
        <v>0</v>
      </c>
      <c r="J21" s="65" t="e">
        <f t="shared" si="11"/>
        <v>#NUM!</v>
      </c>
      <c r="K21" s="83" t="e">
        <f t="shared" si="12"/>
        <v>#NUM!</v>
      </c>
      <c r="L21" s="83">
        <f t="shared" si="13"/>
        <v>0</v>
      </c>
      <c r="M21" s="110" t="str">
        <f t="shared" si="14"/>
        <v/>
      </c>
      <c r="N21" s="51" t="str">
        <f t="shared" si="15"/>
        <v/>
      </c>
      <c r="O21" s="52" t="str">
        <f t="shared" si="16"/>
        <v/>
      </c>
      <c r="P21" s="88">
        <f t="shared" si="17"/>
        <v>0</v>
      </c>
      <c r="Q21" s="88">
        <f t="shared" si="18"/>
        <v>0</v>
      </c>
      <c r="R21" s="88" t="e">
        <f>-IF(Tabla14[[#This Row],[DIAS HABILES O MORA]]&lt;0,(Tabla14[[#This Row],[VALOR PRESTAMO]]*Tabla14[[#This Row],[% INTERES ]]/30*U21))+Tabla14[[#This Row],[VALOR CUOTAS]]</f>
        <v>#VALUE!</v>
      </c>
      <c r="S21" s="88">
        <f>-IF(Tabla14[[#This Row],[DIAS HABILES O MORA]]&lt;0,(Tabla14[[#This Row],[VALOR PRESTAMO]]*Tabla14[[#This Row],[% INTERES ]]/30*U21))</f>
        <v>0</v>
      </c>
      <c r="T21" s="53" t="e">
        <f>Tabla14[[#This Row],[DEUDA CAPITAL]]+Tabla14[[#This Row],[INTERES  CUOTA]]</f>
        <v>#NUM!</v>
      </c>
      <c r="U21" s="61" t="str">
        <f t="shared" si="19"/>
        <v/>
      </c>
    </row>
    <row r="22" spans="9:21" ht="24.75" customHeight="1" x14ac:dyDescent="0.35">
      <c r="I22" s="42">
        <f t="shared" si="10"/>
        <v>0</v>
      </c>
      <c r="J22" s="65" t="e">
        <f t="shared" si="11"/>
        <v>#NUM!</v>
      </c>
      <c r="K22" s="83" t="e">
        <f t="shared" si="12"/>
        <v>#NUM!</v>
      </c>
      <c r="L22" s="83">
        <f t="shared" si="13"/>
        <v>0</v>
      </c>
      <c r="M22" s="110" t="str">
        <f t="shared" si="14"/>
        <v/>
      </c>
      <c r="N22" s="51" t="str">
        <f t="shared" si="15"/>
        <v/>
      </c>
      <c r="O22" s="52" t="str">
        <f t="shared" si="16"/>
        <v/>
      </c>
      <c r="P22" s="88">
        <f t="shared" si="17"/>
        <v>0</v>
      </c>
      <c r="Q22" s="88">
        <f t="shared" si="18"/>
        <v>0</v>
      </c>
      <c r="R22" s="88" t="e">
        <f>-IF(Tabla14[[#This Row],[DIAS HABILES O MORA]]&lt;0,(Tabla14[[#This Row],[VALOR PRESTAMO]]*Tabla14[[#This Row],[% INTERES ]]/30*U22))+Tabla14[[#This Row],[VALOR CUOTAS]]</f>
        <v>#VALUE!</v>
      </c>
      <c r="S22" s="88">
        <f>-IF(Tabla14[[#This Row],[DIAS HABILES O MORA]]&lt;0,(Tabla14[[#This Row],[VALOR PRESTAMO]]*Tabla14[[#This Row],[% INTERES ]]/30*U22))</f>
        <v>0</v>
      </c>
      <c r="T22" s="53" t="e">
        <f>Tabla14[[#This Row],[DEUDA CAPITAL]]+Tabla14[[#This Row],[INTERES  CUOTA]]</f>
        <v>#NUM!</v>
      </c>
      <c r="U22" s="61" t="str">
        <f t="shared" si="19"/>
        <v/>
      </c>
    </row>
    <row r="23" spans="9:21" ht="24.75" customHeight="1" x14ac:dyDescent="0.35">
      <c r="I23" s="42">
        <f t="shared" si="10"/>
        <v>0</v>
      </c>
      <c r="J23" s="65" t="e">
        <f t="shared" si="11"/>
        <v>#NUM!</v>
      </c>
      <c r="K23" s="83" t="e">
        <f t="shared" si="12"/>
        <v>#NUM!</v>
      </c>
      <c r="L23" s="83">
        <f t="shared" si="13"/>
        <v>0</v>
      </c>
      <c r="M23" s="110" t="str">
        <f t="shared" si="14"/>
        <v/>
      </c>
      <c r="N23" s="51" t="str">
        <f t="shared" si="15"/>
        <v/>
      </c>
      <c r="O23" s="52" t="str">
        <f t="shared" si="16"/>
        <v/>
      </c>
      <c r="P23" s="88">
        <f t="shared" si="17"/>
        <v>0</v>
      </c>
      <c r="Q23" s="88">
        <f t="shared" si="18"/>
        <v>0</v>
      </c>
      <c r="R23" s="88" t="e">
        <f>-IF(Tabla14[[#This Row],[DIAS HABILES O MORA]]&lt;0,(Tabla14[[#This Row],[VALOR PRESTAMO]]*Tabla14[[#This Row],[% INTERES ]]/30*U23))+Tabla14[[#This Row],[VALOR CUOTAS]]</f>
        <v>#VALUE!</v>
      </c>
      <c r="S23" s="88">
        <f>-IF(Tabla14[[#This Row],[DIAS HABILES O MORA]]&lt;0,(Tabla14[[#This Row],[VALOR PRESTAMO]]*Tabla14[[#This Row],[% INTERES ]]/30*U23))</f>
        <v>0</v>
      </c>
      <c r="T23" s="53" t="e">
        <f>Tabla14[[#This Row],[DEUDA CAPITAL]]+Tabla14[[#This Row],[INTERES  CUOTA]]</f>
        <v>#NUM!</v>
      </c>
      <c r="U23" s="61" t="str">
        <f t="shared" si="19"/>
        <v/>
      </c>
    </row>
    <row r="24" spans="9:21" ht="24.75" customHeight="1" x14ac:dyDescent="0.35">
      <c r="I24" s="42">
        <f t="shared" si="10"/>
        <v>0</v>
      </c>
      <c r="J24" s="65" t="e">
        <f t="shared" si="11"/>
        <v>#NUM!</v>
      </c>
      <c r="K24" s="83" t="e">
        <f t="shared" si="12"/>
        <v>#NUM!</v>
      </c>
      <c r="L24" s="83">
        <f t="shared" si="13"/>
        <v>0</v>
      </c>
      <c r="M24" s="110" t="str">
        <f t="shared" si="14"/>
        <v/>
      </c>
      <c r="N24" s="51" t="str">
        <f t="shared" si="15"/>
        <v/>
      </c>
      <c r="O24" s="52" t="str">
        <f t="shared" si="16"/>
        <v/>
      </c>
      <c r="P24" s="88">
        <f t="shared" si="17"/>
        <v>0</v>
      </c>
      <c r="Q24" s="88">
        <f t="shared" si="18"/>
        <v>0</v>
      </c>
      <c r="R24" s="88" t="e">
        <f>-IF(Tabla14[[#This Row],[DIAS HABILES O MORA]]&lt;0,(Tabla14[[#This Row],[VALOR PRESTAMO]]*Tabla14[[#This Row],[% INTERES ]]/30*U24))+Tabla14[[#This Row],[VALOR CUOTAS]]</f>
        <v>#VALUE!</v>
      </c>
      <c r="S24" s="88">
        <f>-IF(Tabla14[[#This Row],[DIAS HABILES O MORA]]&lt;0,(Tabla14[[#This Row],[VALOR PRESTAMO]]*Tabla14[[#This Row],[% INTERES ]]/30*U24))</f>
        <v>0</v>
      </c>
      <c r="T24" s="53" t="e">
        <f>Tabla14[[#This Row],[DEUDA CAPITAL]]+Tabla14[[#This Row],[INTERES  CUOTA]]</f>
        <v>#NUM!</v>
      </c>
      <c r="U24" s="61" t="str">
        <f t="shared" si="19"/>
        <v/>
      </c>
    </row>
    <row r="25" spans="9:21" ht="24.75" customHeight="1" x14ac:dyDescent="0.35">
      <c r="I25" s="42">
        <f t="shared" si="10"/>
        <v>0</v>
      </c>
      <c r="J25" s="65" t="e">
        <f t="shared" si="11"/>
        <v>#NUM!</v>
      </c>
      <c r="K25" s="83" t="e">
        <f t="shared" si="12"/>
        <v>#NUM!</v>
      </c>
      <c r="L25" s="83">
        <f t="shared" si="13"/>
        <v>0</v>
      </c>
      <c r="M25" s="110" t="str">
        <f t="shared" si="14"/>
        <v/>
      </c>
      <c r="N25" s="51" t="str">
        <f t="shared" si="15"/>
        <v/>
      </c>
      <c r="O25" s="52" t="str">
        <f t="shared" si="16"/>
        <v/>
      </c>
      <c r="P25" s="88">
        <f t="shared" si="17"/>
        <v>0</v>
      </c>
      <c r="Q25" s="88">
        <f t="shared" si="18"/>
        <v>0</v>
      </c>
      <c r="R25" s="88" t="e">
        <f>-IF(Tabla14[[#This Row],[DIAS HABILES O MORA]]&lt;0,(Tabla14[[#This Row],[VALOR PRESTAMO]]*Tabla14[[#This Row],[% INTERES ]]/30*U25))+Tabla14[[#This Row],[VALOR CUOTAS]]</f>
        <v>#VALUE!</v>
      </c>
      <c r="S25" s="88">
        <f>-IF(Tabla14[[#This Row],[DIAS HABILES O MORA]]&lt;0,(Tabla14[[#This Row],[VALOR PRESTAMO]]*Tabla14[[#This Row],[% INTERES ]]/30*U25))</f>
        <v>0</v>
      </c>
      <c r="T25" s="53" t="e">
        <f>Tabla14[[#This Row],[DEUDA CAPITAL]]+Tabla14[[#This Row],[INTERES  CUOTA]]</f>
        <v>#NUM!</v>
      </c>
      <c r="U25" s="61" t="str">
        <f t="shared" si="19"/>
        <v/>
      </c>
    </row>
    <row r="26" spans="9:21" ht="24.75" customHeight="1" x14ac:dyDescent="0.35">
      <c r="I26" s="42">
        <f t="shared" si="10"/>
        <v>0</v>
      </c>
      <c r="J26" s="65" t="e">
        <f t="shared" si="11"/>
        <v>#NUM!</v>
      </c>
      <c r="K26" s="83" t="e">
        <f t="shared" si="12"/>
        <v>#NUM!</v>
      </c>
      <c r="L26" s="83">
        <f t="shared" si="13"/>
        <v>0</v>
      </c>
      <c r="M26" s="110" t="str">
        <f t="shared" si="14"/>
        <v/>
      </c>
      <c r="N26" s="51" t="str">
        <f t="shared" si="15"/>
        <v/>
      </c>
      <c r="O26" s="52" t="str">
        <f t="shared" si="16"/>
        <v/>
      </c>
      <c r="P26" s="88">
        <f t="shared" si="17"/>
        <v>0</v>
      </c>
      <c r="Q26" s="88">
        <f t="shared" si="18"/>
        <v>0</v>
      </c>
      <c r="R26" s="88" t="e">
        <f>-IF(Tabla14[[#This Row],[DIAS HABILES O MORA]]&lt;0,(Tabla14[[#This Row],[VALOR PRESTAMO]]*Tabla14[[#This Row],[% INTERES ]]/30*U26))+Tabla14[[#This Row],[VALOR CUOTAS]]</f>
        <v>#VALUE!</v>
      </c>
      <c r="S26" s="88">
        <f>-IF(Tabla14[[#This Row],[DIAS HABILES O MORA]]&lt;0,(Tabla14[[#This Row],[VALOR PRESTAMO]]*Tabla14[[#This Row],[% INTERES ]]/30*U26))</f>
        <v>0</v>
      </c>
      <c r="T26" s="53" t="e">
        <f>Tabla14[[#This Row],[DEUDA CAPITAL]]+Tabla14[[#This Row],[INTERES  CUOTA]]</f>
        <v>#NUM!</v>
      </c>
      <c r="U26" s="61" t="str">
        <f t="shared" si="19"/>
        <v/>
      </c>
    </row>
    <row r="27" spans="9:21" ht="24.75" customHeight="1" x14ac:dyDescent="0.35">
      <c r="I27" s="42">
        <f t="shared" si="10"/>
        <v>0</v>
      </c>
      <c r="J27" s="65" t="e">
        <f t="shared" si="11"/>
        <v>#NUM!</v>
      </c>
      <c r="K27" s="83" t="e">
        <f t="shared" si="12"/>
        <v>#NUM!</v>
      </c>
      <c r="L27" s="83">
        <f t="shared" si="13"/>
        <v>0</v>
      </c>
      <c r="M27" s="110" t="str">
        <f t="shared" si="14"/>
        <v/>
      </c>
      <c r="N27" s="51" t="str">
        <f t="shared" si="15"/>
        <v/>
      </c>
      <c r="O27" s="52" t="str">
        <f t="shared" si="16"/>
        <v/>
      </c>
      <c r="P27" s="88">
        <f t="shared" si="17"/>
        <v>0</v>
      </c>
      <c r="Q27" s="88">
        <f t="shared" si="18"/>
        <v>0</v>
      </c>
      <c r="R27" s="88" t="e">
        <f>-IF(Tabla14[[#This Row],[DIAS HABILES O MORA]]&lt;0,(Tabla14[[#This Row],[VALOR PRESTAMO]]*Tabla14[[#This Row],[% INTERES ]]/30*U27))+Tabla14[[#This Row],[VALOR CUOTAS]]</f>
        <v>#VALUE!</v>
      </c>
      <c r="S27" s="88">
        <f>-IF(Tabla14[[#This Row],[DIAS HABILES O MORA]]&lt;0,(Tabla14[[#This Row],[VALOR PRESTAMO]]*Tabla14[[#This Row],[% INTERES ]]/30*U27))</f>
        <v>0</v>
      </c>
      <c r="T27" s="53" t="e">
        <f>Tabla14[[#This Row],[DEUDA CAPITAL]]+Tabla14[[#This Row],[INTERES  CUOTA]]</f>
        <v>#NUM!</v>
      </c>
      <c r="U27" s="61" t="str">
        <f t="shared" si="19"/>
        <v/>
      </c>
    </row>
    <row r="28" spans="9:21" ht="24.75" customHeight="1" x14ac:dyDescent="0.35">
      <c r="I28" s="42">
        <f t="shared" si="10"/>
        <v>0</v>
      </c>
      <c r="J28" s="65" t="e">
        <f t="shared" si="11"/>
        <v>#NUM!</v>
      </c>
      <c r="K28" s="83" t="e">
        <f t="shared" si="12"/>
        <v>#NUM!</v>
      </c>
      <c r="L28" s="83">
        <f t="shared" si="13"/>
        <v>0</v>
      </c>
      <c r="M28" s="110" t="str">
        <f t="shared" si="14"/>
        <v/>
      </c>
      <c r="N28" s="51" t="str">
        <f t="shared" si="15"/>
        <v/>
      </c>
      <c r="O28" s="52" t="str">
        <f t="shared" si="16"/>
        <v/>
      </c>
      <c r="P28" s="88">
        <f t="shared" si="17"/>
        <v>0</v>
      </c>
      <c r="Q28" s="88">
        <f t="shared" si="18"/>
        <v>0</v>
      </c>
      <c r="R28" s="88" t="e">
        <f>-IF(Tabla14[[#This Row],[DIAS HABILES O MORA]]&lt;0,(Tabla14[[#This Row],[VALOR PRESTAMO]]*Tabla14[[#This Row],[% INTERES ]]/30*U28))+Tabla14[[#This Row],[VALOR CUOTAS]]</f>
        <v>#VALUE!</v>
      </c>
      <c r="S28" s="88">
        <f>-IF(Tabla14[[#This Row],[DIAS HABILES O MORA]]&lt;0,(Tabla14[[#This Row],[VALOR PRESTAMO]]*Tabla14[[#This Row],[% INTERES ]]/30*U28))</f>
        <v>0</v>
      </c>
      <c r="T28" s="53" t="e">
        <f>Tabla14[[#This Row],[DEUDA CAPITAL]]+Tabla14[[#This Row],[INTERES  CUOTA]]</f>
        <v>#NUM!</v>
      </c>
      <c r="U28" s="61" t="str">
        <f t="shared" si="19"/>
        <v/>
      </c>
    </row>
    <row r="29" spans="9:21" ht="24.75" customHeight="1" x14ac:dyDescent="0.35">
      <c r="I29" s="42">
        <f t="shared" si="10"/>
        <v>0</v>
      </c>
      <c r="J29" s="65" t="e">
        <f t="shared" si="11"/>
        <v>#NUM!</v>
      </c>
      <c r="K29" s="83" t="e">
        <f t="shared" si="12"/>
        <v>#NUM!</v>
      </c>
      <c r="L29" s="83">
        <f t="shared" si="13"/>
        <v>0</v>
      </c>
      <c r="M29" s="110" t="str">
        <f t="shared" si="14"/>
        <v/>
      </c>
      <c r="N29" s="51" t="str">
        <f t="shared" si="15"/>
        <v/>
      </c>
      <c r="O29" s="52" t="str">
        <f t="shared" si="16"/>
        <v/>
      </c>
      <c r="P29" s="88">
        <f t="shared" si="17"/>
        <v>0</v>
      </c>
      <c r="Q29" s="88">
        <f t="shared" si="18"/>
        <v>0</v>
      </c>
      <c r="R29" s="88" t="e">
        <f>-IF(Tabla14[[#This Row],[DIAS HABILES O MORA]]&lt;0,(Tabla14[[#This Row],[VALOR PRESTAMO]]*Tabla14[[#This Row],[% INTERES ]]/30*U29))+Tabla14[[#This Row],[VALOR CUOTAS]]</f>
        <v>#VALUE!</v>
      </c>
      <c r="S29" s="88">
        <f>-IF(Tabla14[[#This Row],[DIAS HABILES O MORA]]&lt;0,(Tabla14[[#This Row],[VALOR PRESTAMO]]*Tabla14[[#This Row],[% INTERES ]]/30*U29))</f>
        <v>0</v>
      </c>
      <c r="T29" s="53" t="e">
        <f>Tabla14[[#This Row],[DEUDA CAPITAL]]+Tabla14[[#This Row],[INTERES  CUOTA]]</f>
        <v>#NUM!</v>
      </c>
      <c r="U29" s="61" t="str">
        <f t="shared" si="19"/>
        <v/>
      </c>
    </row>
    <row r="30" spans="9:21" ht="24.75" customHeight="1" x14ac:dyDescent="0.35">
      <c r="I30" s="42">
        <f t="shared" si="10"/>
        <v>0</v>
      </c>
      <c r="J30" s="65" t="e">
        <f t="shared" si="11"/>
        <v>#NUM!</v>
      </c>
      <c r="K30" s="83" t="e">
        <f t="shared" si="12"/>
        <v>#NUM!</v>
      </c>
      <c r="L30" s="83">
        <f t="shared" si="13"/>
        <v>0</v>
      </c>
      <c r="M30" s="110" t="str">
        <f t="shared" si="14"/>
        <v/>
      </c>
      <c r="N30" s="51" t="str">
        <f t="shared" si="15"/>
        <v/>
      </c>
      <c r="O30" s="52" t="str">
        <f t="shared" si="16"/>
        <v/>
      </c>
      <c r="P30" s="88">
        <f t="shared" si="17"/>
        <v>0</v>
      </c>
      <c r="Q30" s="88">
        <f t="shared" si="18"/>
        <v>0</v>
      </c>
      <c r="R30" s="88" t="e">
        <f>-IF(Tabla14[[#This Row],[DIAS HABILES O MORA]]&lt;0,(Tabla14[[#This Row],[VALOR PRESTAMO]]*Tabla14[[#This Row],[% INTERES ]]/30*U30))+Tabla14[[#This Row],[VALOR CUOTAS]]</f>
        <v>#VALUE!</v>
      </c>
      <c r="S30" s="88">
        <f>-IF(Tabla14[[#This Row],[DIAS HABILES O MORA]]&lt;0,(Tabla14[[#This Row],[VALOR PRESTAMO]]*Tabla14[[#This Row],[% INTERES ]]/30*U30))</f>
        <v>0</v>
      </c>
      <c r="T30" s="53" t="e">
        <f>Tabla14[[#This Row],[DEUDA CAPITAL]]+Tabla14[[#This Row],[INTERES  CUOTA]]</f>
        <v>#NUM!</v>
      </c>
      <c r="U30" s="61" t="str">
        <f t="shared" si="19"/>
        <v/>
      </c>
    </row>
    <row r="31" spans="9:21" ht="24.75" customHeight="1" x14ac:dyDescent="0.35">
      <c r="I31" s="42">
        <f t="shared" si="10"/>
        <v>0</v>
      </c>
      <c r="J31" s="65" t="e">
        <f t="shared" si="11"/>
        <v>#NUM!</v>
      </c>
      <c r="K31" s="83" t="e">
        <f t="shared" si="12"/>
        <v>#NUM!</v>
      </c>
      <c r="L31" s="83">
        <f t="shared" si="13"/>
        <v>0</v>
      </c>
      <c r="M31" s="110" t="str">
        <f t="shared" si="14"/>
        <v/>
      </c>
      <c r="N31" s="51" t="str">
        <f t="shared" si="15"/>
        <v/>
      </c>
      <c r="O31" s="52" t="str">
        <f t="shared" si="16"/>
        <v/>
      </c>
      <c r="P31" s="88">
        <f t="shared" si="17"/>
        <v>0</v>
      </c>
      <c r="Q31" s="88">
        <f t="shared" si="18"/>
        <v>0</v>
      </c>
      <c r="R31" s="88" t="e">
        <f>-IF(Tabla14[[#This Row],[DIAS HABILES O MORA]]&lt;0,(Tabla14[[#This Row],[VALOR PRESTAMO]]*Tabla14[[#This Row],[% INTERES ]]/30*U31))+Tabla14[[#This Row],[VALOR CUOTAS]]</f>
        <v>#VALUE!</v>
      </c>
      <c r="S31" s="88">
        <f>-IF(Tabla14[[#This Row],[DIAS HABILES O MORA]]&lt;0,(Tabla14[[#This Row],[VALOR PRESTAMO]]*Tabla14[[#This Row],[% INTERES ]]/30*U31))</f>
        <v>0</v>
      </c>
      <c r="T31" s="53" t="e">
        <f>Tabla14[[#This Row],[DEUDA CAPITAL]]+Tabla14[[#This Row],[INTERES  CUOTA]]</f>
        <v>#NUM!</v>
      </c>
      <c r="U31" s="61" t="str">
        <f t="shared" si="19"/>
        <v/>
      </c>
    </row>
    <row r="32" spans="9:21" ht="24.75" customHeight="1" x14ac:dyDescent="0.35">
      <c r="I32" s="42">
        <f t="shared" si="10"/>
        <v>0</v>
      </c>
      <c r="J32" s="65" t="e">
        <f t="shared" si="11"/>
        <v>#NUM!</v>
      </c>
      <c r="K32" s="83" t="e">
        <f t="shared" si="12"/>
        <v>#NUM!</v>
      </c>
      <c r="L32" s="83">
        <f t="shared" si="13"/>
        <v>0</v>
      </c>
      <c r="M32" s="110" t="str">
        <f t="shared" si="14"/>
        <v/>
      </c>
      <c r="N32" s="51" t="str">
        <f t="shared" si="15"/>
        <v/>
      </c>
      <c r="O32" s="52" t="str">
        <f t="shared" si="16"/>
        <v/>
      </c>
      <c r="P32" s="88">
        <f t="shared" si="17"/>
        <v>0</v>
      </c>
      <c r="Q32" s="88">
        <f t="shared" si="18"/>
        <v>0</v>
      </c>
      <c r="R32" s="88" t="e">
        <f>-IF(Tabla14[[#This Row],[DIAS HABILES O MORA]]&lt;0,(Tabla14[[#This Row],[VALOR PRESTAMO]]*Tabla14[[#This Row],[% INTERES ]]/30*U32))+Tabla14[[#This Row],[VALOR CUOTAS]]</f>
        <v>#VALUE!</v>
      </c>
      <c r="S32" s="88">
        <f>-IF(Tabla14[[#This Row],[DIAS HABILES O MORA]]&lt;0,(Tabla14[[#This Row],[VALOR PRESTAMO]]*Tabla14[[#This Row],[% INTERES ]]/30*U32))</f>
        <v>0</v>
      </c>
      <c r="T32" s="53" t="e">
        <f>Tabla14[[#This Row],[DEUDA CAPITAL]]+Tabla14[[#This Row],[INTERES  CUOTA]]</f>
        <v>#NUM!</v>
      </c>
      <c r="U32" s="61" t="str">
        <f t="shared" si="19"/>
        <v/>
      </c>
    </row>
    <row r="33" spans="9:21" ht="24.75" customHeight="1" x14ac:dyDescent="0.35">
      <c r="I33" s="42">
        <f t="shared" si="10"/>
        <v>0</v>
      </c>
      <c r="J33" s="65" t="e">
        <f t="shared" si="11"/>
        <v>#NUM!</v>
      </c>
      <c r="K33" s="83" t="e">
        <f t="shared" si="12"/>
        <v>#NUM!</v>
      </c>
      <c r="L33" s="83">
        <f t="shared" si="13"/>
        <v>0</v>
      </c>
      <c r="M33" s="110" t="str">
        <f t="shared" si="14"/>
        <v/>
      </c>
      <c r="N33" s="51" t="str">
        <f t="shared" si="15"/>
        <v/>
      </c>
      <c r="O33" s="52" t="str">
        <f t="shared" si="16"/>
        <v/>
      </c>
      <c r="P33" s="88">
        <f t="shared" si="17"/>
        <v>0</v>
      </c>
      <c r="Q33" s="88">
        <f t="shared" si="18"/>
        <v>0</v>
      </c>
      <c r="R33" s="88" t="e">
        <f>-IF(Tabla14[[#This Row],[DIAS HABILES O MORA]]&lt;0,(Tabla14[[#This Row],[VALOR PRESTAMO]]*Tabla14[[#This Row],[% INTERES ]]/30*U33))+Tabla14[[#This Row],[VALOR CUOTAS]]</f>
        <v>#VALUE!</v>
      </c>
      <c r="S33" s="88">
        <f>-IF(Tabla14[[#This Row],[DIAS HABILES O MORA]]&lt;0,(Tabla14[[#This Row],[VALOR PRESTAMO]]*Tabla14[[#This Row],[% INTERES ]]/30*U33))</f>
        <v>0</v>
      </c>
      <c r="T33" s="53" t="e">
        <f>Tabla14[[#This Row],[DEUDA CAPITAL]]+Tabla14[[#This Row],[INTERES  CUOTA]]</f>
        <v>#NUM!</v>
      </c>
      <c r="U33" s="61" t="str">
        <f t="shared" si="19"/>
        <v/>
      </c>
    </row>
    <row r="34" spans="9:21" ht="24.75" customHeight="1" x14ac:dyDescent="0.35">
      <c r="I34" s="42">
        <f t="shared" si="10"/>
        <v>0</v>
      </c>
      <c r="J34" s="65" t="e">
        <f t="shared" si="11"/>
        <v>#NUM!</v>
      </c>
      <c r="K34" s="83" t="e">
        <f t="shared" si="12"/>
        <v>#NUM!</v>
      </c>
      <c r="L34" s="83">
        <f t="shared" si="13"/>
        <v>0</v>
      </c>
      <c r="M34" s="110" t="str">
        <f t="shared" si="14"/>
        <v/>
      </c>
      <c r="N34" s="51" t="str">
        <f t="shared" si="15"/>
        <v/>
      </c>
      <c r="O34" s="52" t="str">
        <f t="shared" si="16"/>
        <v/>
      </c>
      <c r="P34" s="88">
        <f t="shared" si="17"/>
        <v>0</v>
      </c>
      <c r="Q34" s="88">
        <f t="shared" si="18"/>
        <v>0</v>
      </c>
      <c r="R34" s="88" t="e">
        <f>-IF(Tabla14[[#This Row],[DIAS HABILES O MORA]]&lt;0,(Tabla14[[#This Row],[VALOR PRESTAMO]]*Tabla14[[#This Row],[% INTERES ]]/30*U34))+Tabla14[[#This Row],[VALOR CUOTAS]]</f>
        <v>#VALUE!</v>
      </c>
      <c r="S34" s="88">
        <f>-IF(Tabla14[[#This Row],[DIAS HABILES O MORA]]&lt;0,(Tabla14[[#This Row],[VALOR PRESTAMO]]*Tabla14[[#This Row],[% INTERES ]]/30*U34))</f>
        <v>0</v>
      </c>
      <c r="T34" s="53" t="e">
        <f>Tabla14[[#This Row],[DEUDA CAPITAL]]+Tabla14[[#This Row],[INTERES  CUOTA]]</f>
        <v>#NUM!</v>
      </c>
      <c r="U34" s="61" t="str">
        <f t="shared" si="19"/>
        <v/>
      </c>
    </row>
    <row r="35" spans="9:21" ht="24.75" customHeight="1" x14ac:dyDescent="0.35">
      <c r="I35" s="42">
        <f t="shared" si="10"/>
        <v>0</v>
      </c>
      <c r="J35" s="65" t="e">
        <f t="shared" si="11"/>
        <v>#NUM!</v>
      </c>
      <c r="K35" s="83" t="e">
        <f t="shared" si="12"/>
        <v>#NUM!</v>
      </c>
      <c r="L35" s="83">
        <f t="shared" si="13"/>
        <v>0</v>
      </c>
      <c r="M35" s="110" t="str">
        <f t="shared" si="14"/>
        <v/>
      </c>
      <c r="N35" s="51" t="str">
        <f t="shared" si="15"/>
        <v/>
      </c>
      <c r="O35" s="52" t="str">
        <f t="shared" si="16"/>
        <v/>
      </c>
      <c r="P35" s="88">
        <f t="shared" si="17"/>
        <v>0</v>
      </c>
      <c r="Q35" s="88">
        <f t="shared" si="18"/>
        <v>0</v>
      </c>
      <c r="R35" s="88" t="e">
        <f>-IF(Tabla14[[#This Row],[DIAS HABILES O MORA]]&lt;0,(Tabla14[[#This Row],[VALOR PRESTAMO]]*Tabla14[[#This Row],[% INTERES ]]/30*U35))+Tabla14[[#This Row],[VALOR CUOTAS]]</f>
        <v>#VALUE!</v>
      </c>
      <c r="S35" s="88">
        <f>-IF(Tabla14[[#This Row],[DIAS HABILES O MORA]]&lt;0,(Tabla14[[#This Row],[VALOR PRESTAMO]]*Tabla14[[#This Row],[% INTERES ]]/30*U35))</f>
        <v>0</v>
      </c>
      <c r="T35" s="53" t="e">
        <f>Tabla14[[#This Row],[DEUDA CAPITAL]]+Tabla14[[#This Row],[INTERES  CUOTA]]</f>
        <v>#NUM!</v>
      </c>
      <c r="U35" s="61" t="str">
        <f t="shared" si="19"/>
        <v/>
      </c>
    </row>
    <row r="36" spans="9:21" ht="24.75" customHeight="1" x14ac:dyDescent="0.35">
      <c r="I36" s="42">
        <f t="shared" si="10"/>
        <v>0</v>
      </c>
      <c r="J36" s="65" t="e">
        <f t="shared" si="11"/>
        <v>#NUM!</v>
      </c>
      <c r="K36" s="83" t="e">
        <f t="shared" si="12"/>
        <v>#NUM!</v>
      </c>
      <c r="L36" s="83">
        <f t="shared" si="13"/>
        <v>0</v>
      </c>
      <c r="M36" s="110" t="str">
        <f t="shared" si="14"/>
        <v/>
      </c>
      <c r="N36" s="51" t="str">
        <f t="shared" si="15"/>
        <v/>
      </c>
      <c r="O36" s="52" t="str">
        <f t="shared" si="16"/>
        <v/>
      </c>
      <c r="P36" s="88">
        <f t="shared" si="17"/>
        <v>0</v>
      </c>
      <c r="Q36" s="88">
        <f t="shared" si="18"/>
        <v>0</v>
      </c>
      <c r="R36" s="88" t="e">
        <f>-IF(Tabla14[[#This Row],[DIAS HABILES O MORA]]&lt;0,(Tabla14[[#This Row],[VALOR PRESTAMO]]*Tabla14[[#This Row],[% INTERES ]]/30*U36))+Tabla14[[#This Row],[VALOR CUOTAS]]</f>
        <v>#VALUE!</v>
      </c>
      <c r="S36" s="88">
        <f>-IF(Tabla14[[#This Row],[DIAS HABILES O MORA]]&lt;0,(Tabla14[[#This Row],[VALOR PRESTAMO]]*Tabla14[[#This Row],[% INTERES ]]/30*U36))</f>
        <v>0</v>
      </c>
      <c r="T36" s="53" t="e">
        <f>Tabla14[[#This Row],[DEUDA CAPITAL]]+Tabla14[[#This Row],[INTERES  CUOTA]]</f>
        <v>#NUM!</v>
      </c>
      <c r="U36" s="61" t="str">
        <f t="shared" si="19"/>
        <v/>
      </c>
    </row>
    <row r="37" spans="9:21" ht="24.75" customHeight="1" x14ac:dyDescent="0.35">
      <c r="I37" s="42">
        <f t="shared" si="10"/>
        <v>0</v>
      </c>
      <c r="J37" s="65" t="e">
        <f t="shared" si="11"/>
        <v>#NUM!</v>
      </c>
      <c r="K37" s="83" t="e">
        <f t="shared" si="12"/>
        <v>#NUM!</v>
      </c>
      <c r="L37" s="83">
        <f t="shared" si="13"/>
        <v>0</v>
      </c>
      <c r="M37" s="110" t="str">
        <f t="shared" si="14"/>
        <v/>
      </c>
      <c r="N37" s="51" t="str">
        <f t="shared" si="15"/>
        <v/>
      </c>
      <c r="O37" s="52" t="str">
        <f t="shared" si="16"/>
        <v/>
      </c>
      <c r="P37" s="88">
        <f t="shared" si="17"/>
        <v>0</v>
      </c>
      <c r="Q37" s="88">
        <f t="shared" si="18"/>
        <v>0</v>
      </c>
      <c r="R37" s="88" t="e">
        <f>-IF(Tabla14[[#This Row],[DIAS HABILES O MORA]]&lt;0,(Tabla14[[#This Row],[VALOR PRESTAMO]]*Tabla14[[#This Row],[% INTERES ]]/30*U37))+Tabla14[[#This Row],[VALOR CUOTAS]]</f>
        <v>#VALUE!</v>
      </c>
      <c r="S37" s="88">
        <f>-IF(Tabla14[[#This Row],[DIAS HABILES O MORA]]&lt;0,(Tabla14[[#This Row],[VALOR PRESTAMO]]*Tabla14[[#This Row],[% INTERES ]]/30*U37))</f>
        <v>0</v>
      </c>
      <c r="T37" s="53" t="e">
        <f>Tabla14[[#This Row],[DEUDA CAPITAL]]+Tabla14[[#This Row],[INTERES  CUOTA]]</f>
        <v>#NUM!</v>
      </c>
      <c r="U37" s="61" t="str">
        <f t="shared" si="19"/>
        <v/>
      </c>
    </row>
    <row r="38" spans="9:21" ht="24.75" customHeight="1" x14ac:dyDescent="0.35">
      <c r="I38" s="42">
        <f t="shared" si="10"/>
        <v>0</v>
      </c>
      <c r="J38" s="65" t="e">
        <f t="shared" si="11"/>
        <v>#NUM!</v>
      </c>
      <c r="K38" s="83" t="e">
        <f t="shared" si="12"/>
        <v>#NUM!</v>
      </c>
      <c r="L38" s="83">
        <f t="shared" si="13"/>
        <v>0</v>
      </c>
      <c r="M38" s="110" t="str">
        <f t="shared" si="14"/>
        <v/>
      </c>
      <c r="N38" s="51" t="str">
        <f t="shared" si="15"/>
        <v/>
      </c>
      <c r="O38" s="52" t="str">
        <f t="shared" si="16"/>
        <v/>
      </c>
      <c r="P38" s="88">
        <f t="shared" si="17"/>
        <v>0</v>
      </c>
      <c r="Q38" s="88">
        <f t="shared" si="18"/>
        <v>0</v>
      </c>
      <c r="R38" s="88" t="e">
        <f>-IF(Tabla14[[#This Row],[DIAS HABILES O MORA]]&lt;0,(Tabla14[[#This Row],[VALOR PRESTAMO]]*Tabla14[[#This Row],[% INTERES ]]/30*U38))+Tabla14[[#This Row],[VALOR CUOTAS]]</f>
        <v>#VALUE!</v>
      </c>
      <c r="S38" s="88">
        <f>-IF(Tabla14[[#This Row],[DIAS HABILES O MORA]]&lt;0,(Tabla14[[#This Row],[VALOR PRESTAMO]]*Tabla14[[#This Row],[% INTERES ]]/30*U38))</f>
        <v>0</v>
      </c>
      <c r="T38" s="53" t="e">
        <f>Tabla14[[#This Row],[DEUDA CAPITAL]]+Tabla14[[#This Row],[INTERES  CUOTA]]</f>
        <v>#NUM!</v>
      </c>
      <c r="U38" s="61" t="str">
        <f t="shared" si="19"/>
        <v/>
      </c>
    </row>
    <row r="39" spans="9:21" ht="24.75" customHeight="1" x14ac:dyDescent="0.35">
      <c r="I39" s="42">
        <f t="shared" si="10"/>
        <v>0</v>
      </c>
      <c r="J39" s="65" t="e">
        <f t="shared" si="11"/>
        <v>#NUM!</v>
      </c>
      <c r="K39" s="83" t="e">
        <f t="shared" si="12"/>
        <v>#NUM!</v>
      </c>
      <c r="L39" s="83">
        <f t="shared" si="13"/>
        <v>0</v>
      </c>
      <c r="M39" s="110" t="str">
        <f t="shared" si="14"/>
        <v/>
      </c>
      <c r="N39" s="51" t="str">
        <f t="shared" si="15"/>
        <v/>
      </c>
      <c r="O39" s="52" t="str">
        <f t="shared" si="16"/>
        <v/>
      </c>
      <c r="P39" s="88">
        <f t="shared" si="17"/>
        <v>0</v>
      </c>
      <c r="Q39" s="88">
        <f t="shared" si="18"/>
        <v>0</v>
      </c>
      <c r="R39" s="88" t="e">
        <f>-IF(Tabla14[[#This Row],[DIAS HABILES O MORA]]&lt;0,(Tabla14[[#This Row],[VALOR PRESTAMO]]*Tabla14[[#This Row],[% INTERES ]]/30*U39))+Tabla14[[#This Row],[VALOR CUOTAS]]</f>
        <v>#VALUE!</v>
      </c>
      <c r="S39" s="88">
        <f>-IF(Tabla14[[#This Row],[DIAS HABILES O MORA]]&lt;0,(Tabla14[[#This Row],[VALOR PRESTAMO]]*Tabla14[[#This Row],[% INTERES ]]/30*U39))</f>
        <v>0</v>
      </c>
      <c r="T39" s="53" t="e">
        <f>Tabla14[[#This Row],[DEUDA CAPITAL]]+Tabla14[[#This Row],[INTERES  CUOTA]]</f>
        <v>#NUM!</v>
      </c>
      <c r="U39" s="61" t="str">
        <f t="shared" si="19"/>
        <v/>
      </c>
    </row>
    <row r="40" spans="9:21" ht="24.75" customHeight="1" x14ac:dyDescent="0.35">
      <c r="I40" s="42">
        <f t="shared" si="10"/>
        <v>0</v>
      </c>
      <c r="J40" s="65" t="e">
        <f t="shared" si="11"/>
        <v>#NUM!</v>
      </c>
      <c r="K40" s="83" t="e">
        <f t="shared" si="12"/>
        <v>#NUM!</v>
      </c>
      <c r="L40" s="83">
        <f t="shared" si="13"/>
        <v>0</v>
      </c>
      <c r="M40" s="110" t="str">
        <f t="shared" si="14"/>
        <v/>
      </c>
      <c r="N40" s="51" t="str">
        <f t="shared" si="15"/>
        <v/>
      </c>
      <c r="O40" s="52" t="str">
        <f t="shared" si="16"/>
        <v/>
      </c>
      <c r="P40" s="88">
        <f t="shared" si="17"/>
        <v>0</v>
      </c>
      <c r="Q40" s="88">
        <f t="shared" si="18"/>
        <v>0</v>
      </c>
      <c r="R40" s="88" t="e">
        <f>-IF(Tabla14[[#This Row],[DIAS HABILES O MORA]]&lt;0,(Tabla14[[#This Row],[VALOR PRESTAMO]]*Tabla14[[#This Row],[% INTERES ]]/30*U40))+Tabla14[[#This Row],[VALOR CUOTAS]]</f>
        <v>#VALUE!</v>
      </c>
      <c r="S40" s="88">
        <f>-IF(Tabla14[[#This Row],[DIAS HABILES O MORA]]&lt;0,(Tabla14[[#This Row],[VALOR PRESTAMO]]*Tabla14[[#This Row],[% INTERES ]]/30*U40))</f>
        <v>0</v>
      </c>
      <c r="T40" s="53" t="e">
        <f>Tabla14[[#This Row],[DEUDA CAPITAL]]+Tabla14[[#This Row],[INTERES  CUOTA]]</f>
        <v>#NUM!</v>
      </c>
      <c r="U40" s="61" t="str">
        <f t="shared" si="19"/>
        <v/>
      </c>
    </row>
    <row r="41" spans="9:21" ht="24.75" customHeight="1" x14ac:dyDescent="0.35">
      <c r="I41" s="42">
        <f t="shared" si="10"/>
        <v>0</v>
      </c>
      <c r="J41" s="65" t="e">
        <f t="shared" si="11"/>
        <v>#NUM!</v>
      </c>
      <c r="K41" s="83" t="e">
        <f t="shared" si="12"/>
        <v>#NUM!</v>
      </c>
      <c r="L41" s="83">
        <f t="shared" si="13"/>
        <v>0</v>
      </c>
      <c r="M41" s="110" t="str">
        <f t="shared" si="14"/>
        <v/>
      </c>
      <c r="N41" s="51" t="str">
        <f t="shared" si="15"/>
        <v/>
      </c>
      <c r="O41" s="52" t="str">
        <f t="shared" si="16"/>
        <v/>
      </c>
      <c r="P41" s="88">
        <f t="shared" si="17"/>
        <v>0</v>
      </c>
      <c r="Q41" s="88">
        <f t="shared" si="18"/>
        <v>0</v>
      </c>
      <c r="R41" s="88" t="e">
        <f>-IF(Tabla14[[#This Row],[DIAS HABILES O MORA]]&lt;0,(Tabla14[[#This Row],[VALOR PRESTAMO]]*Tabla14[[#This Row],[% INTERES ]]/30*U41))+Tabla14[[#This Row],[VALOR CUOTAS]]</f>
        <v>#VALUE!</v>
      </c>
      <c r="S41" s="88">
        <f>-IF(Tabla14[[#This Row],[DIAS HABILES O MORA]]&lt;0,(Tabla14[[#This Row],[VALOR PRESTAMO]]*Tabla14[[#This Row],[% INTERES ]]/30*U41))</f>
        <v>0</v>
      </c>
      <c r="T41" s="53" t="e">
        <f>Tabla14[[#This Row],[DEUDA CAPITAL]]+Tabla14[[#This Row],[INTERES  CUOTA]]</f>
        <v>#NUM!</v>
      </c>
      <c r="U41" s="61" t="str">
        <f t="shared" si="19"/>
        <v/>
      </c>
    </row>
    <row r="42" spans="9:21" ht="24.75" customHeight="1" x14ac:dyDescent="0.35">
      <c r="I42" s="42">
        <f t="shared" si="10"/>
        <v>0</v>
      </c>
      <c r="J42" s="65" t="e">
        <f t="shared" si="11"/>
        <v>#NUM!</v>
      </c>
      <c r="K42" s="83" t="e">
        <f t="shared" si="12"/>
        <v>#NUM!</v>
      </c>
      <c r="L42" s="83">
        <f t="shared" si="13"/>
        <v>0</v>
      </c>
      <c r="M42" s="110" t="str">
        <f t="shared" si="14"/>
        <v/>
      </c>
      <c r="N42" s="51" t="str">
        <f t="shared" si="15"/>
        <v/>
      </c>
      <c r="O42" s="52" t="str">
        <f t="shared" si="16"/>
        <v/>
      </c>
      <c r="P42" s="88">
        <f t="shared" si="17"/>
        <v>0</v>
      </c>
      <c r="Q42" s="88">
        <f t="shared" si="18"/>
        <v>0</v>
      </c>
      <c r="R42" s="88" t="e">
        <f>-IF(Tabla14[[#This Row],[DIAS HABILES O MORA]]&lt;0,(Tabla14[[#This Row],[VALOR PRESTAMO]]*Tabla14[[#This Row],[% INTERES ]]/30*U42))+Tabla14[[#This Row],[VALOR CUOTAS]]</f>
        <v>#VALUE!</v>
      </c>
      <c r="S42" s="88">
        <f>-IF(Tabla14[[#This Row],[DIAS HABILES O MORA]]&lt;0,(Tabla14[[#This Row],[VALOR PRESTAMO]]*Tabla14[[#This Row],[% INTERES ]]/30*U42))</f>
        <v>0</v>
      </c>
      <c r="T42" s="53" t="e">
        <f>Tabla14[[#This Row],[DEUDA CAPITAL]]+Tabla14[[#This Row],[INTERES  CUOTA]]</f>
        <v>#NUM!</v>
      </c>
      <c r="U42" s="61" t="str">
        <f t="shared" si="19"/>
        <v/>
      </c>
    </row>
    <row r="43" spans="9:21" ht="24.75" customHeight="1" x14ac:dyDescent="0.35">
      <c r="I43" s="42">
        <f t="shared" si="10"/>
        <v>0</v>
      </c>
      <c r="J43" s="65" t="e">
        <f t="shared" si="11"/>
        <v>#NUM!</v>
      </c>
      <c r="K43" s="83" t="e">
        <f t="shared" si="12"/>
        <v>#NUM!</v>
      </c>
      <c r="L43" s="83">
        <f t="shared" si="13"/>
        <v>0</v>
      </c>
      <c r="M43" s="110" t="str">
        <f t="shared" si="14"/>
        <v/>
      </c>
      <c r="N43" s="51" t="str">
        <f t="shared" si="15"/>
        <v/>
      </c>
      <c r="O43" s="52" t="str">
        <f t="shared" si="16"/>
        <v/>
      </c>
      <c r="P43" s="88">
        <f t="shared" si="17"/>
        <v>0</v>
      </c>
      <c r="Q43" s="88">
        <f t="shared" si="18"/>
        <v>0</v>
      </c>
      <c r="R43" s="88" t="e">
        <f>-IF(Tabla14[[#This Row],[DIAS HABILES O MORA]]&lt;0,(Tabla14[[#This Row],[VALOR PRESTAMO]]*Tabla14[[#This Row],[% INTERES ]]/30*U43))+Tabla14[[#This Row],[VALOR CUOTAS]]</f>
        <v>#VALUE!</v>
      </c>
      <c r="S43" s="88">
        <f>-IF(Tabla14[[#This Row],[DIAS HABILES O MORA]]&lt;0,(Tabla14[[#This Row],[VALOR PRESTAMO]]*Tabla14[[#This Row],[% INTERES ]]/30*U43))</f>
        <v>0</v>
      </c>
      <c r="T43" s="53" t="e">
        <f>Tabla14[[#This Row],[DEUDA CAPITAL]]+Tabla14[[#This Row],[INTERES  CUOTA]]</f>
        <v>#NUM!</v>
      </c>
      <c r="U43" s="61" t="str">
        <f t="shared" si="19"/>
        <v/>
      </c>
    </row>
    <row r="44" spans="9:21" ht="24.75" customHeight="1" x14ac:dyDescent="0.35">
      <c r="I44" s="42">
        <f t="shared" si="10"/>
        <v>0</v>
      </c>
      <c r="J44" s="65" t="e">
        <f t="shared" si="11"/>
        <v>#NUM!</v>
      </c>
      <c r="K44" s="83" t="e">
        <f t="shared" si="12"/>
        <v>#NUM!</v>
      </c>
      <c r="L44" s="83">
        <f t="shared" si="13"/>
        <v>0</v>
      </c>
      <c r="M44" s="110" t="str">
        <f t="shared" si="14"/>
        <v/>
      </c>
      <c r="N44" s="51" t="str">
        <f t="shared" si="15"/>
        <v/>
      </c>
      <c r="O44" s="52" t="str">
        <f t="shared" si="16"/>
        <v/>
      </c>
      <c r="P44" s="88">
        <f t="shared" si="17"/>
        <v>0</v>
      </c>
      <c r="Q44" s="88">
        <f t="shared" si="18"/>
        <v>0</v>
      </c>
      <c r="R44" s="88" t="e">
        <f>-IF(Tabla14[[#This Row],[DIAS HABILES O MORA]]&lt;0,(Tabla14[[#This Row],[VALOR PRESTAMO]]*Tabla14[[#This Row],[% INTERES ]]/30*U44))+Tabla14[[#This Row],[VALOR CUOTAS]]</f>
        <v>#VALUE!</v>
      </c>
      <c r="S44" s="88">
        <f>-IF(Tabla14[[#This Row],[DIAS HABILES O MORA]]&lt;0,(Tabla14[[#This Row],[VALOR PRESTAMO]]*Tabla14[[#This Row],[% INTERES ]]/30*U44))</f>
        <v>0</v>
      </c>
      <c r="T44" s="53" t="e">
        <f>Tabla14[[#This Row],[DEUDA CAPITAL]]+Tabla14[[#This Row],[INTERES  CUOTA]]</f>
        <v>#NUM!</v>
      </c>
      <c r="U44" s="61" t="str">
        <f t="shared" si="19"/>
        <v/>
      </c>
    </row>
    <row r="45" spans="9:21" ht="24.75" customHeight="1" x14ac:dyDescent="0.35">
      <c r="I45" s="42">
        <f t="shared" si="10"/>
        <v>0</v>
      </c>
      <c r="J45" s="65" t="e">
        <f t="shared" si="11"/>
        <v>#NUM!</v>
      </c>
      <c r="K45" s="83" t="e">
        <f t="shared" si="12"/>
        <v>#NUM!</v>
      </c>
      <c r="L45" s="83">
        <f t="shared" si="13"/>
        <v>0</v>
      </c>
      <c r="M45" s="110" t="str">
        <f t="shared" si="14"/>
        <v/>
      </c>
      <c r="N45" s="51" t="str">
        <f t="shared" si="15"/>
        <v/>
      </c>
      <c r="O45" s="52" t="str">
        <f t="shared" si="16"/>
        <v/>
      </c>
      <c r="P45" s="88">
        <f t="shared" si="17"/>
        <v>0</v>
      </c>
      <c r="Q45" s="88">
        <f t="shared" si="18"/>
        <v>0</v>
      </c>
      <c r="R45" s="88" t="e">
        <f>-IF(Tabla14[[#This Row],[DIAS HABILES O MORA]]&lt;0,(Tabla14[[#This Row],[VALOR PRESTAMO]]*Tabla14[[#This Row],[% INTERES ]]/30*U45))+Tabla14[[#This Row],[VALOR CUOTAS]]</f>
        <v>#VALUE!</v>
      </c>
      <c r="S45" s="88">
        <f>-IF(Tabla14[[#This Row],[DIAS HABILES O MORA]]&lt;0,(Tabla14[[#This Row],[VALOR PRESTAMO]]*Tabla14[[#This Row],[% INTERES ]]/30*U45))</f>
        <v>0</v>
      </c>
      <c r="T45" s="53" t="e">
        <f>Tabla14[[#This Row],[DEUDA CAPITAL]]+Tabla14[[#This Row],[INTERES  CUOTA]]</f>
        <v>#NUM!</v>
      </c>
      <c r="U45" s="61" t="str">
        <f t="shared" si="19"/>
        <v/>
      </c>
    </row>
    <row r="46" spans="9:21" ht="24.75" customHeight="1" x14ac:dyDescent="0.35">
      <c r="I46" s="42">
        <f t="shared" si="10"/>
        <v>0</v>
      </c>
      <c r="J46" s="65" t="e">
        <f t="shared" si="11"/>
        <v>#NUM!</v>
      </c>
      <c r="K46" s="83" t="e">
        <f t="shared" si="12"/>
        <v>#NUM!</v>
      </c>
      <c r="L46" s="83">
        <f t="shared" si="13"/>
        <v>0</v>
      </c>
      <c r="M46" s="110" t="str">
        <f t="shared" si="14"/>
        <v/>
      </c>
      <c r="N46" s="51" t="str">
        <f t="shared" si="15"/>
        <v/>
      </c>
      <c r="O46" s="52" t="str">
        <f t="shared" si="16"/>
        <v/>
      </c>
      <c r="P46" s="88">
        <f t="shared" si="17"/>
        <v>0</v>
      </c>
      <c r="Q46" s="88">
        <f t="shared" si="18"/>
        <v>0</v>
      </c>
      <c r="R46" s="88" t="e">
        <f>-IF(Tabla14[[#This Row],[DIAS HABILES O MORA]]&lt;0,(Tabla14[[#This Row],[VALOR PRESTAMO]]*Tabla14[[#This Row],[% INTERES ]]/30*U46))+Tabla14[[#This Row],[VALOR CUOTAS]]</f>
        <v>#VALUE!</v>
      </c>
      <c r="S46" s="88">
        <f>-IF(Tabla14[[#This Row],[DIAS HABILES O MORA]]&lt;0,(Tabla14[[#This Row],[VALOR PRESTAMO]]*Tabla14[[#This Row],[% INTERES ]]/30*U46))</f>
        <v>0</v>
      </c>
      <c r="T46" s="53" t="e">
        <f>Tabla14[[#This Row],[DEUDA CAPITAL]]+Tabla14[[#This Row],[INTERES  CUOTA]]</f>
        <v>#NUM!</v>
      </c>
      <c r="U46" s="61" t="str">
        <f t="shared" si="19"/>
        <v/>
      </c>
    </row>
    <row r="47" spans="9:21" ht="24.75" customHeight="1" x14ac:dyDescent="0.35">
      <c r="I47" s="42">
        <f t="shared" si="10"/>
        <v>0</v>
      </c>
      <c r="J47" s="65" t="e">
        <f t="shared" si="11"/>
        <v>#NUM!</v>
      </c>
      <c r="K47" s="83" t="e">
        <f t="shared" si="12"/>
        <v>#NUM!</v>
      </c>
      <c r="L47" s="83">
        <f t="shared" si="13"/>
        <v>0</v>
      </c>
      <c r="M47" s="110" t="str">
        <f t="shared" si="14"/>
        <v/>
      </c>
      <c r="N47" s="51" t="str">
        <f t="shared" si="15"/>
        <v/>
      </c>
      <c r="O47" s="52" t="str">
        <f t="shared" si="16"/>
        <v/>
      </c>
      <c r="P47" s="88">
        <f t="shared" si="17"/>
        <v>0</v>
      </c>
      <c r="Q47" s="88">
        <f t="shared" si="18"/>
        <v>0</v>
      </c>
      <c r="R47" s="88" t="e">
        <f>-IF(Tabla14[[#This Row],[DIAS HABILES O MORA]]&lt;0,(Tabla14[[#This Row],[VALOR PRESTAMO]]*Tabla14[[#This Row],[% INTERES ]]/30*U47))+Tabla14[[#This Row],[VALOR CUOTAS]]</f>
        <v>#VALUE!</v>
      </c>
      <c r="S47" s="88">
        <f>-IF(Tabla14[[#This Row],[DIAS HABILES O MORA]]&lt;0,(Tabla14[[#This Row],[VALOR PRESTAMO]]*Tabla14[[#This Row],[% INTERES ]]/30*U47))</f>
        <v>0</v>
      </c>
      <c r="T47" s="53" t="e">
        <f>Tabla14[[#This Row],[DEUDA CAPITAL]]+Tabla14[[#This Row],[INTERES  CUOTA]]</f>
        <v>#NUM!</v>
      </c>
      <c r="U47" s="61" t="str">
        <f t="shared" si="19"/>
        <v/>
      </c>
    </row>
    <row r="48" spans="9:21" ht="24.75" customHeight="1" x14ac:dyDescent="0.35">
      <c r="I48" s="42">
        <f t="shared" si="10"/>
        <v>0</v>
      </c>
      <c r="J48" s="65" t="e">
        <f t="shared" si="11"/>
        <v>#NUM!</v>
      </c>
      <c r="K48" s="83" t="e">
        <f t="shared" si="12"/>
        <v>#NUM!</v>
      </c>
      <c r="L48" s="83">
        <f t="shared" si="13"/>
        <v>0</v>
      </c>
      <c r="M48" s="110" t="str">
        <f t="shared" si="14"/>
        <v/>
      </c>
      <c r="N48" s="51" t="str">
        <f t="shared" si="15"/>
        <v/>
      </c>
      <c r="O48" s="52" t="str">
        <f t="shared" si="16"/>
        <v/>
      </c>
      <c r="P48" s="88">
        <f t="shared" si="17"/>
        <v>0</v>
      </c>
      <c r="Q48" s="88">
        <f t="shared" si="18"/>
        <v>0</v>
      </c>
      <c r="R48" s="88" t="e">
        <f>-IF(Tabla14[[#This Row],[DIAS HABILES O MORA]]&lt;0,(Tabla14[[#This Row],[VALOR PRESTAMO]]*Tabla14[[#This Row],[% INTERES ]]/30*U48))+Tabla14[[#This Row],[VALOR CUOTAS]]</f>
        <v>#VALUE!</v>
      </c>
      <c r="S48" s="88">
        <f>-IF(Tabla14[[#This Row],[DIAS HABILES O MORA]]&lt;0,(Tabla14[[#This Row],[VALOR PRESTAMO]]*Tabla14[[#This Row],[% INTERES ]]/30*U48))</f>
        <v>0</v>
      </c>
      <c r="T48" s="53" t="e">
        <f>Tabla14[[#This Row],[DEUDA CAPITAL]]+Tabla14[[#This Row],[INTERES  CUOTA]]</f>
        <v>#NUM!</v>
      </c>
      <c r="U48" s="61" t="str">
        <f t="shared" si="19"/>
        <v/>
      </c>
    </row>
    <row r="49" spans="9:21" ht="24.75" customHeight="1" x14ac:dyDescent="0.35">
      <c r="I49" s="42">
        <f t="shared" si="10"/>
        <v>0</v>
      </c>
      <c r="J49" s="65" t="e">
        <f t="shared" si="11"/>
        <v>#NUM!</v>
      </c>
      <c r="K49" s="83" t="e">
        <f t="shared" si="12"/>
        <v>#NUM!</v>
      </c>
      <c r="L49" s="83">
        <f t="shared" si="13"/>
        <v>0</v>
      </c>
      <c r="M49" s="110" t="str">
        <f t="shared" si="14"/>
        <v/>
      </c>
      <c r="N49" s="51" t="str">
        <f t="shared" si="15"/>
        <v/>
      </c>
      <c r="O49" s="52" t="str">
        <f t="shared" si="16"/>
        <v/>
      </c>
      <c r="P49" s="88">
        <f t="shared" si="17"/>
        <v>0</v>
      </c>
      <c r="Q49" s="88">
        <f t="shared" si="18"/>
        <v>0</v>
      </c>
      <c r="R49" s="88" t="e">
        <f>-IF(Tabla14[[#This Row],[DIAS HABILES O MORA]]&lt;0,(Tabla14[[#This Row],[VALOR PRESTAMO]]*Tabla14[[#This Row],[% INTERES ]]/30*U49))+Tabla14[[#This Row],[VALOR CUOTAS]]</f>
        <v>#VALUE!</v>
      </c>
      <c r="S49" s="88">
        <f>-IF(Tabla14[[#This Row],[DIAS HABILES O MORA]]&lt;0,(Tabla14[[#This Row],[VALOR PRESTAMO]]*Tabla14[[#This Row],[% INTERES ]]/30*U49))</f>
        <v>0</v>
      </c>
      <c r="T49" s="53" t="e">
        <f>Tabla14[[#This Row],[DEUDA CAPITAL]]+Tabla14[[#This Row],[INTERES  CUOTA]]</f>
        <v>#NUM!</v>
      </c>
      <c r="U49" s="61" t="str">
        <f t="shared" si="19"/>
        <v/>
      </c>
    </row>
    <row r="50" spans="9:21" ht="24.75" customHeight="1" x14ac:dyDescent="0.35">
      <c r="I50" s="42">
        <f t="shared" si="10"/>
        <v>0</v>
      </c>
      <c r="J50" s="65" t="e">
        <f t="shared" si="11"/>
        <v>#NUM!</v>
      </c>
      <c r="K50" s="83" t="e">
        <f t="shared" si="12"/>
        <v>#NUM!</v>
      </c>
      <c r="L50" s="83">
        <f t="shared" si="13"/>
        <v>0</v>
      </c>
      <c r="M50" s="110" t="str">
        <f t="shared" si="14"/>
        <v/>
      </c>
      <c r="N50" s="51" t="str">
        <f t="shared" si="15"/>
        <v/>
      </c>
      <c r="O50" s="52" t="str">
        <f t="shared" si="16"/>
        <v/>
      </c>
      <c r="P50" s="88">
        <f t="shared" si="17"/>
        <v>0</v>
      </c>
      <c r="Q50" s="88">
        <f t="shared" si="18"/>
        <v>0</v>
      </c>
      <c r="R50" s="88" t="e">
        <f>-IF(Tabla14[[#This Row],[DIAS HABILES O MORA]]&lt;0,(Tabla14[[#This Row],[VALOR PRESTAMO]]*Tabla14[[#This Row],[% INTERES ]]/30*U50))+Tabla14[[#This Row],[VALOR CUOTAS]]</f>
        <v>#VALUE!</v>
      </c>
      <c r="S50" s="88">
        <f>-IF(Tabla14[[#This Row],[DIAS HABILES O MORA]]&lt;0,(Tabla14[[#This Row],[VALOR PRESTAMO]]*Tabla14[[#This Row],[% INTERES ]]/30*U50))</f>
        <v>0</v>
      </c>
      <c r="T50" s="53" t="e">
        <f>Tabla14[[#This Row],[DEUDA CAPITAL]]+Tabla14[[#This Row],[INTERES  CUOTA]]</f>
        <v>#NUM!</v>
      </c>
      <c r="U50" s="61" t="str">
        <f t="shared" si="19"/>
        <v/>
      </c>
    </row>
    <row r="51" spans="9:21" ht="24.75" customHeight="1" x14ac:dyDescent="0.35">
      <c r="I51" s="42">
        <f t="shared" si="10"/>
        <v>0</v>
      </c>
      <c r="J51" s="65" t="e">
        <f t="shared" si="11"/>
        <v>#NUM!</v>
      </c>
      <c r="K51" s="83" t="e">
        <f t="shared" si="12"/>
        <v>#NUM!</v>
      </c>
      <c r="L51" s="83">
        <f t="shared" si="13"/>
        <v>0</v>
      </c>
      <c r="M51" s="110" t="str">
        <f t="shared" si="14"/>
        <v/>
      </c>
      <c r="N51" s="51" t="str">
        <f t="shared" si="15"/>
        <v/>
      </c>
      <c r="O51" s="52" t="str">
        <f t="shared" si="16"/>
        <v/>
      </c>
      <c r="P51" s="88">
        <f t="shared" si="17"/>
        <v>0</v>
      </c>
      <c r="Q51" s="88">
        <f t="shared" si="18"/>
        <v>0</v>
      </c>
      <c r="R51" s="88" t="e">
        <f>-IF(Tabla14[[#This Row],[DIAS HABILES O MORA]]&lt;0,(Tabla14[[#This Row],[VALOR PRESTAMO]]*Tabla14[[#This Row],[% INTERES ]]/30*U51))+Tabla14[[#This Row],[VALOR CUOTAS]]</f>
        <v>#VALUE!</v>
      </c>
      <c r="S51" s="88">
        <f>-IF(Tabla14[[#This Row],[DIAS HABILES O MORA]]&lt;0,(Tabla14[[#This Row],[VALOR PRESTAMO]]*Tabla14[[#This Row],[% INTERES ]]/30*U51))</f>
        <v>0</v>
      </c>
      <c r="T51" s="53" t="e">
        <f>Tabla14[[#This Row],[DEUDA CAPITAL]]+Tabla14[[#This Row],[INTERES  CUOTA]]</f>
        <v>#NUM!</v>
      </c>
      <c r="U51" s="61" t="str">
        <f t="shared" si="19"/>
        <v/>
      </c>
    </row>
    <row r="52" spans="9:21" ht="24.75" customHeight="1" x14ac:dyDescent="0.35">
      <c r="I52" s="42">
        <f t="shared" si="10"/>
        <v>0</v>
      </c>
      <c r="J52" s="65" t="e">
        <f t="shared" si="11"/>
        <v>#NUM!</v>
      </c>
      <c r="K52" s="83" t="e">
        <f t="shared" si="12"/>
        <v>#NUM!</v>
      </c>
      <c r="L52" s="83">
        <f t="shared" si="13"/>
        <v>0</v>
      </c>
      <c r="M52" s="110" t="str">
        <f t="shared" si="14"/>
        <v/>
      </c>
      <c r="N52" s="51" t="str">
        <f t="shared" si="15"/>
        <v/>
      </c>
      <c r="O52" s="52" t="str">
        <f t="shared" si="16"/>
        <v/>
      </c>
      <c r="P52" s="88">
        <f t="shared" si="17"/>
        <v>0</v>
      </c>
      <c r="Q52" s="88">
        <f t="shared" si="18"/>
        <v>0</v>
      </c>
      <c r="R52" s="88" t="e">
        <f>-IF(Tabla14[[#This Row],[DIAS HABILES O MORA]]&lt;0,(Tabla14[[#This Row],[VALOR PRESTAMO]]*Tabla14[[#This Row],[% INTERES ]]/30*U52))+Tabla14[[#This Row],[VALOR CUOTAS]]</f>
        <v>#VALUE!</v>
      </c>
      <c r="S52" s="88">
        <f>-IF(Tabla14[[#This Row],[DIAS HABILES O MORA]]&lt;0,(Tabla14[[#This Row],[VALOR PRESTAMO]]*Tabla14[[#This Row],[% INTERES ]]/30*U52))</f>
        <v>0</v>
      </c>
      <c r="T52" s="53" t="e">
        <f>Tabla14[[#This Row],[DEUDA CAPITAL]]+Tabla14[[#This Row],[INTERES  CUOTA]]</f>
        <v>#NUM!</v>
      </c>
      <c r="U52" s="61" t="str">
        <f t="shared" si="19"/>
        <v/>
      </c>
    </row>
    <row r="53" spans="9:21" ht="24.75" customHeight="1" x14ac:dyDescent="0.35">
      <c r="I53" s="42">
        <f t="shared" si="10"/>
        <v>0</v>
      </c>
      <c r="J53" s="65" t="e">
        <f t="shared" si="11"/>
        <v>#NUM!</v>
      </c>
      <c r="K53" s="83" t="e">
        <f t="shared" si="12"/>
        <v>#NUM!</v>
      </c>
      <c r="L53" s="83">
        <f t="shared" si="13"/>
        <v>0</v>
      </c>
      <c r="M53" s="110" t="str">
        <f t="shared" si="14"/>
        <v/>
      </c>
      <c r="N53" s="51" t="str">
        <f t="shared" si="15"/>
        <v/>
      </c>
      <c r="O53" s="52" t="str">
        <f t="shared" si="16"/>
        <v/>
      </c>
      <c r="P53" s="88">
        <f t="shared" si="17"/>
        <v>0</v>
      </c>
      <c r="Q53" s="88">
        <f t="shared" si="18"/>
        <v>0</v>
      </c>
      <c r="R53" s="88" t="e">
        <f>-IF(Tabla14[[#This Row],[DIAS HABILES O MORA]]&lt;0,(Tabla14[[#This Row],[VALOR PRESTAMO]]*Tabla14[[#This Row],[% INTERES ]]/30*U53))+Tabla14[[#This Row],[VALOR CUOTAS]]</f>
        <v>#VALUE!</v>
      </c>
      <c r="S53" s="88">
        <f>-IF(Tabla14[[#This Row],[DIAS HABILES O MORA]]&lt;0,(Tabla14[[#This Row],[VALOR PRESTAMO]]*Tabla14[[#This Row],[% INTERES ]]/30*U53))</f>
        <v>0</v>
      </c>
      <c r="T53" s="53" t="e">
        <f>Tabla14[[#This Row],[DEUDA CAPITAL]]+Tabla14[[#This Row],[INTERES  CUOTA]]</f>
        <v>#NUM!</v>
      </c>
      <c r="U53" s="61" t="str">
        <f t="shared" si="19"/>
        <v/>
      </c>
    </row>
    <row r="54" spans="9:21" ht="24.75" customHeight="1" x14ac:dyDescent="0.35">
      <c r="I54" s="42">
        <f t="shared" si="10"/>
        <v>0</v>
      </c>
      <c r="J54" s="65" t="e">
        <f t="shared" si="11"/>
        <v>#NUM!</v>
      </c>
      <c r="K54" s="83" t="e">
        <f t="shared" si="12"/>
        <v>#NUM!</v>
      </c>
      <c r="L54" s="83">
        <f t="shared" si="13"/>
        <v>0</v>
      </c>
      <c r="M54" s="110" t="str">
        <f t="shared" si="14"/>
        <v/>
      </c>
      <c r="N54" s="51" t="str">
        <f t="shared" si="15"/>
        <v/>
      </c>
      <c r="O54" s="52" t="str">
        <f t="shared" si="16"/>
        <v/>
      </c>
      <c r="P54" s="88">
        <f t="shared" si="17"/>
        <v>0</v>
      </c>
      <c r="Q54" s="88">
        <f t="shared" si="18"/>
        <v>0</v>
      </c>
      <c r="R54" s="88" t="e">
        <f>-IF(Tabla14[[#This Row],[DIAS HABILES O MORA]]&lt;0,(Tabla14[[#This Row],[VALOR PRESTAMO]]*Tabla14[[#This Row],[% INTERES ]]/30*U54))+Tabla14[[#This Row],[VALOR CUOTAS]]</f>
        <v>#VALUE!</v>
      </c>
      <c r="S54" s="88">
        <f>-IF(Tabla14[[#This Row],[DIAS HABILES O MORA]]&lt;0,(Tabla14[[#This Row],[VALOR PRESTAMO]]*Tabla14[[#This Row],[% INTERES ]]/30*U54))</f>
        <v>0</v>
      </c>
      <c r="T54" s="53" t="e">
        <f>Tabla14[[#This Row],[DEUDA CAPITAL]]+Tabla14[[#This Row],[INTERES  CUOTA]]</f>
        <v>#NUM!</v>
      </c>
      <c r="U54" s="61" t="str">
        <f t="shared" si="19"/>
        <v/>
      </c>
    </row>
    <row r="55" spans="9:21" ht="24.75" customHeight="1" x14ac:dyDescent="0.35">
      <c r="I55" s="42">
        <f t="shared" si="10"/>
        <v>0</v>
      </c>
      <c r="J55" s="65" t="e">
        <f t="shared" si="11"/>
        <v>#NUM!</v>
      </c>
      <c r="K55" s="83" t="e">
        <f t="shared" si="12"/>
        <v>#NUM!</v>
      </c>
      <c r="L55" s="83">
        <f t="shared" si="13"/>
        <v>0</v>
      </c>
      <c r="M55" s="110" t="str">
        <f t="shared" si="14"/>
        <v/>
      </c>
      <c r="N55" s="51" t="str">
        <f t="shared" si="15"/>
        <v/>
      </c>
      <c r="O55" s="52" t="str">
        <f t="shared" si="16"/>
        <v/>
      </c>
      <c r="P55" s="88">
        <f t="shared" si="17"/>
        <v>0</v>
      </c>
      <c r="Q55" s="88">
        <f t="shared" si="18"/>
        <v>0</v>
      </c>
      <c r="R55" s="88" t="e">
        <f>-IF(Tabla14[[#This Row],[DIAS HABILES O MORA]]&lt;0,(Tabla14[[#This Row],[VALOR PRESTAMO]]*Tabla14[[#This Row],[% INTERES ]]/30*U55))+Tabla14[[#This Row],[VALOR CUOTAS]]</f>
        <v>#VALUE!</v>
      </c>
      <c r="S55" s="88">
        <f>-IF(Tabla14[[#This Row],[DIAS HABILES O MORA]]&lt;0,(Tabla14[[#This Row],[VALOR PRESTAMO]]*Tabla14[[#This Row],[% INTERES ]]/30*U55))</f>
        <v>0</v>
      </c>
      <c r="T55" s="53" t="e">
        <f>Tabla14[[#This Row],[DEUDA CAPITAL]]+Tabla14[[#This Row],[INTERES  CUOTA]]</f>
        <v>#NUM!</v>
      </c>
      <c r="U55" s="61" t="str">
        <f t="shared" si="19"/>
        <v/>
      </c>
    </row>
    <row r="56" spans="9:21" ht="24.75" customHeight="1" x14ac:dyDescent="0.35">
      <c r="I56" s="42">
        <f t="shared" si="10"/>
        <v>0</v>
      </c>
      <c r="J56" s="65" t="e">
        <f t="shared" si="11"/>
        <v>#NUM!</v>
      </c>
      <c r="K56" s="83" t="e">
        <f t="shared" si="12"/>
        <v>#NUM!</v>
      </c>
      <c r="L56" s="83">
        <f t="shared" si="13"/>
        <v>0</v>
      </c>
      <c r="M56" s="110" t="str">
        <f t="shared" si="14"/>
        <v/>
      </c>
      <c r="N56" s="51" t="str">
        <f t="shared" si="15"/>
        <v/>
      </c>
      <c r="O56" s="52" t="str">
        <f t="shared" si="16"/>
        <v/>
      </c>
      <c r="P56" s="88">
        <f t="shared" si="17"/>
        <v>0</v>
      </c>
      <c r="Q56" s="88">
        <f t="shared" si="18"/>
        <v>0</v>
      </c>
      <c r="R56" s="88" t="e">
        <f>-IF(Tabla14[[#This Row],[DIAS HABILES O MORA]]&lt;0,(Tabla14[[#This Row],[VALOR PRESTAMO]]*Tabla14[[#This Row],[% INTERES ]]/30*U56))+Tabla14[[#This Row],[VALOR CUOTAS]]</f>
        <v>#VALUE!</v>
      </c>
      <c r="S56" s="88">
        <f>-IF(Tabla14[[#This Row],[DIAS HABILES O MORA]]&lt;0,(Tabla14[[#This Row],[VALOR PRESTAMO]]*Tabla14[[#This Row],[% INTERES ]]/30*U56))</f>
        <v>0</v>
      </c>
      <c r="T56" s="53" t="e">
        <f>Tabla14[[#This Row],[DEUDA CAPITAL]]+Tabla14[[#This Row],[INTERES  CUOTA]]</f>
        <v>#NUM!</v>
      </c>
      <c r="U56" s="61" t="str">
        <f t="shared" si="19"/>
        <v/>
      </c>
    </row>
    <row r="57" spans="9:21" ht="24.75" customHeight="1" x14ac:dyDescent="0.35">
      <c r="I57" s="42">
        <f t="shared" si="10"/>
        <v>0</v>
      </c>
      <c r="J57" s="65" t="e">
        <f t="shared" si="11"/>
        <v>#NUM!</v>
      </c>
      <c r="K57" s="83" t="e">
        <f t="shared" si="12"/>
        <v>#NUM!</v>
      </c>
      <c r="L57" s="83">
        <f t="shared" si="13"/>
        <v>0</v>
      </c>
      <c r="M57" s="110" t="str">
        <f t="shared" si="14"/>
        <v/>
      </c>
      <c r="N57" s="51" t="str">
        <f t="shared" si="15"/>
        <v/>
      </c>
      <c r="O57" s="52" t="str">
        <f t="shared" si="16"/>
        <v/>
      </c>
      <c r="P57" s="88">
        <f t="shared" si="17"/>
        <v>0</v>
      </c>
      <c r="Q57" s="88">
        <f t="shared" si="18"/>
        <v>0</v>
      </c>
      <c r="R57" s="88" t="e">
        <f>-IF(Tabla14[[#This Row],[DIAS HABILES O MORA]]&lt;0,(Tabla14[[#This Row],[VALOR PRESTAMO]]*Tabla14[[#This Row],[% INTERES ]]/30*U57))+Tabla14[[#This Row],[VALOR CUOTAS]]</f>
        <v>#VALUE!</v>
      </c>
      <c r="S57" s="88">
        <f>-IF(Tabla14[[#This Row],[DIAS HABILES O MORA]]&lt;0,(Tabla14[[#This Row],[VALOR PRESTAMO]]*Tabla14[[#This Row],[% INTERES ]]/30*U57))</f>
        <v>0</v>
      </c>
      <c r="T57" s="53" t="e">
        <f>Tabla14[[#This Row],[DEUDA CAPITAL]]+Tabla14[[#This Row],[INTERES  CUOTA]]</f>
        <v>#NUM!</v>
      </c>
      <c r="U57" s="61" t="str">
        <f t="shared" si="19"/>
        <v/>
      </c>
    </row>
    <row r="58" spans="9:21" ht="24.75" customHeight="1" x14ac:dyDescent="0.35">
      <c r="I58" s="42">
        <f t="shared" si="10"/>
        <v>0</v>
      </c>
      <c r="J58" s="65" t="e">
        <f t="shared" si="11"/>
        <v>#NUM!</v>
      </c>
      <c r="K58" s="83" t="e">
        <f t="shared" si="12"/>
        <v>#NUM!</v>
      </c>
      <c r="L58" s="83">
        <f t="shared" si="13"/>
        <v>0</v>
      </c>
      <c r="M58" s="110" t="str">
        <f t="shared" si="14"/>
        <v/>
      </c>
      <c r="N58" s="51" t="str">
        <f t="shared" si="15"/>
        <v/>
      </c>
      <c r="O58" s="52" t="str">
        <f t="shared" si="16"/>
        <v/>
      </c>
      <c r="P58" s="88">
        <f t="shared" si="17"/>
        <v>0</v>
      </c>
      <c r="Q58" s="88">
        <f t="shared" si="18"/>
        <v>0</v>
      </c>
      <c r="R58" s="88" t="e">
        <f>-IF(Tabla14[[#This Row],[DIAS HABILES O MORA]]&lt;0,(Tabla14[[#This Row],[VALOR PRESTAMO]]*Tabla14[[#This Row],[% INTERES ]]/30*U58))+Tabla14[[#This Row],[VALOR CUOTAS]]</f>
        <v>#VALUE!</v>
      </c>
      <c r="S58" s="88">
        <f>-IF(Tabla14[[#This Row],[DIAS HABILES O MORA]]&lt;0,(Tabla14[[#This Row],[VALOR PRESTAMO]]*Tabla14[[#This Row],[% INTERES ]]/30*U58))</f>
        <v>0</v>
      </c>
      <c r="T58" s="53" t="e">
        <f>Tabla14[[#This Row],[DEUDA CAPITAL]]+Tabla14[[#This Row],[INTERES  CUOTA]]</f>
        <v>#NUM!</v>
      </c>
      <c r="U58" s="61" t="str">
        <f t="shared" si="19"/>
        <v/>
      </c>
    </row>
    <row r="59" spans="9:21" ht="24.75" customHeight="1" x14ac:dyDescent="0.35">
      <c r="I59" s="42">
        <f t="shared" si="10"/>
        <v>0</v>
      </c>
      <c r="J59" s="65" t="e">
        <f t="shared" si="11"/>
        <v>#NUM!</v>
      </c>
      <c r="K59" s="83" t="e">
        <f t="shared" si="12"/>
        <v>#NUM!</v>
      </c>
      <c r="L59" s="83">
        <f t="shared" si="13"/>
        <v>0</v>
      </c>
      <c r="M59" s="110" t="str">
        <f t="shared" si="14"/>
        <v/>
      </c>
      <c r="N59" s="51" t="str">
        <f t="shared" si="15"/>
        <v/>
      </c>
      <c r="O59" s="52" t="str">
        <f t="shared" si="16"/>
        <v/>
      </c>
      <c r="P59" s="88">
        <f t="shared" si="17"/>
        <v>0</v>
      </c>
      <c r="Q59" s="88">
        <f t="shared" si="18"/>
        <v>0</v>
      </c>
      <c r="R59" s="88" t="e">
        <f>-IF(Tabla14[[#This Row],[DIAS HABILES O MORA]]&lt;0,(Tabla14[[#This Row],[VALOR PRESTAMO]]*Tabla14[[#This Row],[% INTERES ]]/30*U59))+Tabla14[[#This Row],[VALOR CUOTAS]]</f>
        <v>#VALUE!</v>
      </c>
      <c r="S59" s="88">
        <f>-IF(Tabla14[[#This Row],[DIAS HABILES O MORA]]&lt;0,(Tabla14[[#This Row],[VALOR PRESTAMO]]*Tabla14[[#This Row],[% INTERES ]]/30*U59))</f>
        <v>0</v>
      </c>
      <c r="T59" s="53" t="e">
        <f>Tabla14[[#This Row],[DEUDA CAPITAL]]+Tabla14[[#This Row],[INTERES  CUOTA]]</f>
        <v>#NUM!</v>
      </c>
      <c r="U59" s="61" t="str">
        <f t="shared" si="19"/>
        <v/>
      </c>
    </row>
    <row r="60" spans="9:21" ht="24.75" customHeight="1" x14ac:dyDescent="0.35">
      <c r="I60" s="42">
        <f t="shared" si="10"/>
        <v>0</v>
      </c>
      <c r="J60" s="65" t="e">
        <f t="shared" si="11"/>
        <v>#NUM!</v>
      </c>
      <c r="K60" s="83" t="e">
        <f t="shared" si="12"/>
        <v>#NUM!</v>
      </c>
      <c r="L60" s="83">
        <f t="shared" si="13"/>
        <v>0</v>
      </c>
      <c r="M60" s="110" t="str">
        <f t="shared" si="14"/>
        <v/>
      </c>
      <c r="N60" s="51" t="str">
        <f t="shared" si="15"/>
        <v/>
      </c>
      <c r="O60" s="52" t="str">
        <f t="shared" si="16"/>
        <v/>
      </c>
      <c r="P60" s="88">
        <f t="shared" si="17"/>
        <v>0</v>
      </c>
      <c r="Q60" s="88">
        <f t="shared" si="18"/>
        <v>0</v>
      </c>
      <c r="R60" s="88" t="e">
        <f>-IF(Tabla14[[#This Row],[DIAS HABILES O MORA]]&lt;0,(Tabla14[[#This Row],[VALOR PRESTAMO]]*Tabla14[[#This Row],[% INTERES ]]/30*U60))+Tabla14[[#This Row],[VALOR CUOTAS]]</f>
        <v>#VALUE!</v>
      </c>
      <c r="S60" s="88">
        <f>-IF(Tabla14[[#This Row],[DIAS HABILES O MORA]]&lt;0,(Tabla14[[#This Row],[VALOR PRESTAMO]]*Tabla14[[#This Row],[% INTERES ]]/30*U60))</f>
        <v>0</v>
      </c>
      <c r="T60" s="53" t="e">
        <f>Tabla14[[#This Row],[DEUDA CAPITAL]]+Tabla14[[#This Row],[INTERES  CUOTA]]</f>
        <v>#NUM!</v>
      </c>
      <c r="U60" s="61" t="str">
        <f t="shared" si="19"/>
        <v/>
      </c>
    </row>
    <row r="61" spans="9:21" ht="24.75" customHeight="1" x14ac:dyDescent="0.35">
      <c r="I61" s="42">
        <f t="shared" si="10"/>
        <v>0</v>
      </c>
      <c r="J61" s="65" t="e">
        <f t="shared" si="11"/>
        <v>#NUM!</v>
      </c>
      <c r="K61" s="83" t="e">
        <f t="shared" si="12"/>
        <v>#NUM!</v>
      </c>
      <c r="L61" s="83">
        <f t="shared" si="13"/>
        <v>0</v>
      </c>
      <c r="M61" s="110" t="str">
        <f t="shared" si="14"/>
        <v/>
      </c>
      <c r="N61" s="51" t="str">
        <f t="shared" si="15"/>
        <v/>
      </c>
      <c r="O61" s="52" t="str">
        <f t="shared" si="16"/>
        <v/>
      </c>
      <c r="P61" s="88">
        <f t="shared" si="17"/>
        <v>0</v>
      </c>
      <c r="Q61" s="88">
        <f t="shared" si="18"/>
        <v>0</v>
      </c>
      <c r="R61" s="88" t="e">
        <f>-IF(Tabla14[[#This Row],[DIAS HABILES O MORA]]&lt;0,(Tabla14[[#This Row],[VALOR PRESTAMO]]*Tabla14[[#This Row],[% INTERES ]]/30*U61))+Tabla14[[#This Row],[VALOR CUOTAS]]</f>
        <v>#VALUE!</v>
      </c>
      <c r="S61" s="88">
        <f>-IF(Tabla14[[#This Row],[DIAS HABILES O MORA]]&lt;0,(Tabla14[[#This Row],[VALOR PRESTAMO]]*Tabla14[[#This Row],[% INTERES ]]/30*U61))</f>
        <v>0</v>
      </c>
      <c r="T61" s="53" t="e">
        <f>Tabla14[[#This Row],[DEUDA CAPITAL]]+Tabla14[[#This Row],[INTERES  CUOTA]]</f>
        <v>#NUM!</v>
      </c>
      <c r="U61" s="61" t="str">
        <f t="shared" si="19"/>
        <v/>
      </c>
    </row>
    <row r="62" spans="9:21" ht="24.75" customHeight="1" x14ac:dyDescent="0.35">
      <c r="I62" s="42">
        <f t="shared" si="10"/>
        <v>0</v>
      </c>
      <c r="J62" s="65" t="e">
        <f t="shared" si="11"/>
        <v>#NUM!</v>
      </c>
      <c r="K62" s="83" t="e">
        <f t="shared" si="12"/>
        <v>#NUM!</v>
      </c>
      <c r="L62" s="83">
        <f t="shared" si="13"/>
        <v>0</v>
      </c>
      <c r="M62" s="110" t="str">
        <f t="shared" si="14"/>
        <v/>
      </c>
      <c r="N62" s="51" t="str">
        <f t="shared" si="15"/>
        <v/>
      </c>
      <c r="O62" s="52" t="str">
        <f t="shared" si="16"/>
        <v/>
      </c>
      <c r="P62" s="88">
        <f t="shared" si="17"/>
        <v>0</v>
      </c>
      <c r="Q62" s="88">
        <f t="shared" si="18"/>
        <v>0</v>
      </c>
      <c r="R62" s="88" t="e">
        <f>-IF(Tabla14[[#This Row],[DIAS HABILES O MORA]]&lt;0,(Tabla14[[#This Row],[VALOR PRESTAMO]]*Tabla14[[#This Row],[% INTERES ]]/30*U62))+Tabla14[[#This Row],[VALOR CUOTAS]]</f>
        <v>#VALUE!</v>
      </c>
      <c r="S62" s="88">
        <f>-IF(Tabla14[[#This Row],[DIAS HABILES O MORA]]&lt;0,(Tabla14[[#This Row],[VALOR PRESTAMO]]*Tabla14[[#This Row],[% INTERES ]]/30*U62))</f>
        <v>0</v>
      </c>
      <c r="T62" s="53" t="e">
        <f>Tabla14[[#This Row],[DEUDA CAPITAL]]+Tabla14[[#This Row],[INTERES  CUOTA]]</f>
        <v>#NUM!</v>
      </c>
      <c r="U62" s="61" t="str">
        <f t="shared" si="19"/>
        <v/>
      </c>
    </row>
    <row r="63" spans="9:21" ht="24.75" customHeight="1" x14ac:dyDescent="0.35">
      <c r="I63" s="42">
        <f t="shared" si="10"/>
        <v>0</v>
      </c>
      <c r="J63" s="65" t="e">
        <f t="shared" si="11"/>
        <v>#NUM!</v>
      </c>
      <c r="K63" s="83" t="e">
        <f t="shared" si="12"/>
        <v>#NUM!</v>
      </c>
      <c r="L63" s="83">
        <f t="shared" si="13"/>
        <v>0</v>
      </c>
      <c r="M63" s="110" t="str">
        <f t="shared" si="14"/>
        <v/>
      </c>
      <c r="N63" s="51" t="str">
        <f t="shared" si="15"/>
        <v/>
      </c>
      <c r="O63" s="52" t="str">
        <f t="shared" si="16"/>
        <v/>
      </c>
      <c r="P63" s="88">
        <f t="shared" si="17"/>
        <v>0</v>
      </c>
      <c r="Q63" s="88">
        <f t="shared" si="18"/>
        <v>0</v>
      </c>
      <c r="R63" s="88" t="e">
        <f>-IF(Tabla14[[#This Row],[DIAS HABILES O MORA]]&lt;0,(Tabla14[[#This Row],[VALOR PRESTAMO]]*Tabla14[[#This Row],[% INTERES ]]/30*U63))+Tabla14[[#This Row],[VALOR CUOTAS]]</f>
        <v>#VALUE!</v>
      </c>
      <c r="S63" s="88">
        <f>-IF(Tabla14[[#This Row],[DIAS HABILES O MORA]]&lt;0,(Tabla14[[#This Row],[VALOR PRESTAMO]]*Tabla14[[#This Row],[% INTERES ]]/30*U63))</f>
        <v>0</v>
      </c>
      <c r="T63" s="53" t="e">
        <f>Tabla14[[#This Row],[DEUDA CAPITAL]]+Tabla14[[#This Row],[INTERES  CUOTA]]</f>
        <v>#NUM!</v>
      </c>
      <c r="U63" s="61" t="str">
        <f t="shared" si="19"/>
        <v/>
      </c>
    </row>
    <row r="64" spans="9:21" ht="24.75" customHeight="1" x14ac:dyDescent="0.35">
      <c r="I64" s="42">
        <f t="shared" si="10"/>
        <v>0</v>
      </c>
      <c r="J64" s="65" t="e">
        <f t="shared" si="11"/>
        <v>#NUM!</v>
      </c>
      <c r="K64" s="83" t="e">
        <f t="shared" si="12"/>
        <v>#NUM!</v>
      </c>
      <c r="L64" s="83">
        <f t="shared" si="13"/>
        <v>0</v>
      </c>
      <c r="M64" s="110" t="str">
        <f t="shared" si="14"/>
        <v/>
      </c>
      <c r="N64" s="51" t="str">
        <f t="shared" si="15"/>
        <v/>
      </c>
      <c r="O64" s="52" t="str">
        <f t="shared" si="16"/>
        <v/>
      </c>
      <c r="P64" s="88">
        <f t="shared" si="17"/>
        <v>0</v>
      </c>
      <c r="Q64" s="88">
        <f t="shared" si="18"/>
        <v>0</v>
      </c>
      <c r="R64" s="88" t="e">
        <f>-IF(Tabla14[[#This Row],[DIAS HABILES O MORA]]&lt;0,(Tabla14[[#This Row],[VALOR PRESTAMO]]*Tabla14[[#This Row],[% INTERES ]]/30*U64))+Tabla14[[#This Row],[VALOR CUOTAS]]</f>
        <v>#VALUE!</v>
      </c>
      <c r="S64" s="88">
        <f>-IF(Tabla14[[#This Row],[DIAS HABILES O MORA]]&lt;0,(Tabla14[[#This Row],[VALOR PRESTAMO]]*Tabla14[[#This Row],[% INTERES ]]/30*U64))</f>
        <v>0</v>
      </c>
      <c r="T64" s="53" t="e">
        <f>Tabla14[[#This Row],[DEUDA CAPITAL]]+Tabla14[[#This Row],[INTERES  CUOTA]]</f>
        <v>#NUM!</v>
      </c>
      <c r="U64" s="61" t="str">
        <f t="shared" si="19"/>
        <v/>
      </c>
    </row>
    <row r="65" spans="9:21" ht="24.75" customHeight="1" x14ac:dyDescent="0.35">
      <c r="I65" s="42">
        <f t="shared" si="10"/>
        <v>0</v>
      </c>
      <c r="J65" s="65" t="e">
        <f t="shared" si="11"/>
        <v>#NUM!</v>
      </c>
      <c r="K65" s="83" t="e">
        <f t="shared" si="12"/>
        <v>#NUM!</v>
      </c>
      <c r="L65" s="83">
        <f t="shared" si="13"/>
        <v>0</v>
      </c>
      <c r="M65" s="110" t="str">
        <f t="shared" si="14"/>
        <v/>
      </c>
      <c r="N65" s="51" t="str">
        <f t="shared" si="15"/>
        <v/>
      </c>
      <c r="O65" s="52" t="str">
        <f t="shared" si="16"/>
        <v/>
      </c>
      <c r="P65" s="88">
        <f t="shared" si="17"/>
        <v>0</v>
      </c>
      <c r="Q65" s="88">
        <f t="shared" si="18"/>
        <v>0</v>
      </c>
      <c r="R65" s="88" t="e">
        <f>-IF(Tabla14[[#This Row],[DIAS HABILES O MORA]]&lt;0,(Tabla14[[#This Row],[VALOR PRESTAMO]]*Tabla14[[#This Row],[% INTERES ]]/30*U65))+Tabla14[[#This Row],[VALOR CUOTAS]]</f>
        <v>#VALUE!</v>
      </c>
      <c r="S65" s="88">
        <f>-IF(Tabla14[[#This Row],[DIAS HABILES O MORA]]&lt;0,(Tabla14[[#This Row],[VALOR PRESTAMO]]*Tabla14[[#This Row],[% INTERES ]]/30*U65))</f>
        <v>0</v>
      </c>
      <c r="T65" s="53" t="e">
        <f>Tabla14[[#This Row],[DEUDA CAPITAL]]+Tabla14[[#This Row],[INTERES  CUOTA]]</f>
        <v>#NUM!</v>
      </c>
      <c r="U65" s="61" t="str">
        <f t="shared" si="19"/>
        <v/>
      </c>
    </row>
    <row r="66" spans="9:21" ht="24.75" customHeight="1" x14ac:dyDescent="0.35">
      <c r="I66" s="42">
        <f t="shared" si="10"/>
        <v>0</v>
      </c>
      <c r="J66" s="65" t="e">
        <f t="shared" si="11"/>
        <v>#NUM!</v>
      </c>
      <c r="K66" s="83" t="e">
        <f t="shared" si="12"/>
        <v>#NUM!</v>
      </c>
      <c r="L66" s="83">
        <f t="shared" si="13"/>
        <v>0</v>
      </c>
      <c r="M66" s="110" t="str">
        <f t="shared" si="14"/>
        <v/>
      </c>
      <c r="N66" s="51" t="str">
        <f t="shared" si="15"/>
        <v/>
      </c>
      <c r="O66" s="52" t="str">
        <f t="shared" si="16"/>
        <v/>
      </c>
      <c r="P66" s="88">
        <f t="shared" si="17"/>
        <v>0</v>
      </c>
      <c r="Q66" s="88">
        <f t="shared" si="18"/>
        <v>0</v>
      </c>
      <c r="R66" s="88" t="e">
        <f>-IF(Tabla14[[#This Row],[DIAS HABILES O MORA]]&lt;0,(Tabla14[[#This Row],[VALOR PRESTAMO]]*Tabla14[[#This Row],[% INTERES ]]/30*U66))+Tabla14[[#This Row],[VALOR CUOTAS]]</f>
        <v>#VALUE!</v>
      </c>
      <c r="S66" s="88">
        <f>-IF(Tabla14[[#This Row],[DIAS HABILES O MORA]]&lt;0,(Tabla14[[#This Row],[VALOR PRESTAMO]]*Tabla14[[#This Row],[% INTERES ]]/30*U66))</f>
        <v>0</v>
      </c>
      <c r="T66" s="53" t="e">
        <f>Tabla14[[#This Row],[DEUDA CAPITAL]]+Tabla14[[#This Row],[INTERES  CUOTA]]</f>
        <v>#NUM!</v>
      </c>
      <c r="U66" s="61" t="str">
        <f t="shared" si="19"/>
        <v/>
      </c>
    </row>
    <row r="67" spans="9:21" ht="24.75" customHeight="1" x14ac:dyDescent="0.35">
      <c r="I67" s="42">
        <f t="shared" si="10"/>
        <v>0</v>
      </c>
      <c r="J67" s="65" t="e">
        <f t="shared" si="11"/>
        <v>#NUM!</v>
      </c>
      <c r="K67" s="83" t="e">
        <f t="shared" si="12"/>
        <v>#NUM!</v>
      </c>
      <c r="L67" s="83">
        <f t="shared" si="13"/>
        <v>0</v>
      </c>
      <c r="M67" s="110" t="str">
        <f t="shared" si="14"/>
        <v/>
      </c>
      <c r="N67" s="51" t="str">
        <f t="shared" si="15"/>
        <v/>
      </c>
      <c r="O67" s="52" t="str">
        <f t="shared" si="16"/>
        <v/>
      </c>
      <c r="P67" s="88">
        <f t="shared" si="17"/>
        <v>0</v>
      </c>
      <c r="Q67" s="88">
        <f t="shared" si="18"/>
        <v>0</v>
      </c>
      <c r="R67" s="88" t="e">
        <f>-IF(Tabla14[[#This Row],[DIAS HABILES O MORA]]&lt;0,(Tabla14[[#This Row],[VALOR PRESTAMO]]*Tabla14[[#This Row],[% INTERES ]]/30*U67))+Tabla14[[#This Row],[VALOR CUOTAS]]</f>
        <v>#VALUE!</v>
      </c>
      <c r="S67" s="88">
        <f>-IF(Tabla14[[#This Row],[DIAS HABILES O MORA]]&lt;0,(Tabla14[[#This Row],[VALOR PRESTAMO]]*Tabla14[[#This Row],[% INTERES ]]/30*U67))</f>
        <v>0</v>
      </c>
      <c r="T67" s="53" t="e">
        <f>Tabla14[[#This Row],[DEUDA CAPITAL]]+Tabla14[[#This Row],[INTERES  CUOTA]]</f>
        <v>#NUM!</v>
      </c>
      <c r="U67" s="61" t="str">
        <f t="shared" si="19"/>
        <v/>
      </c>
    </row>
    <row r="68" spans="9:21" ht="24.75" customHeight="1" x14ac:dyDescent="0.35">
      <c r="I68" s="42">
        <f t="shared" si="10"/>
        <v>0</v>
      </c>
      <c r="J68" s="65" t="e">
        <f t="shared" si="11"/>
        <v>#NUM!</v>
      </c>
      <c r="K68" s="83" t="e">
        <f t="shared" si="12"/>
        <v>#NUM!</v>
      </c>
      <c r="L68" s="83">
        <f t="shared" si="13"/>
        <v>0</v>
      </c>
      <c r="M68" s="110" t="str">
        <f t="shared" si="14"/>
        <v/>
      </c>
      <c r="N68" s="51" t="str">
        <f t="shared" si="15"/>
        <v/>
      </c>
      <c r="O68" s="52" t="str">
        <f t="shared" si="16"/>
        <v/>
      </c>
      <c r="P68" s="88">
        <f t="shared" si="17"/>
        <v>0</v>
      </c>
      <c r="Q68" s="88">
        <f t="shared" si="18"/>
        <v>0</v>
      </c>
      <c r="R68" s="88" t="e">
        <f>-IF(Tabla14[[#This Row],[DIAS HABILES O MORA]]&lt;0,(Tabla14[[#This Row],[VALOR PRESTAMO]]*Tabla14[[#This Row],[% INTERES ]]/30*U68))+Tabla14[[#This Row],[VALOR CUOTAS]]</f>
        <v>#VALUE!</v>
      </c>
      <c r="S68" s="88">
        <f>-IF(Tabla14[[#This Row],[DIAS HABILES O MORA]]&lt;0,(Tabla14[[#This Row],[VALOR PRESTAMO]]*Tabla14[[#This Row],[% INTERES ]]/30*U68))</f>
        <v>0</v>
      </c>
      <c r="T68" s="53" t="e">
        <f>Tabla14[[#This Row],[DEUDA CAPITAL]]+Tabla14[[#This Row],[INTERES  CUOTA]]</f>
        <v>#NUM!</v>
      </c>
      <c r="U68" s="61" t="str">
        <f t="shared" si="19"/>
        <v/>
      </c>
    </row>
    <row r="69" spans="9:21" ht="24.75" customHeight="1" x14ac:dyDescent="0.35">
      <c r="I69" s="42">
        <f t="shared" si="10"/>
        <v>0</v>
      </c>
      <c r="J69" s="65" t="e">
        <f t="shared" si="11"/>
        <v>#NUM!</v>
      </c>
      <c r="K69" s="83" t="e">
        <f t="shared" si="12"/>
        <v>#NUM!</v>
      </c>
      <c r="L69" s="83">
        <f t="shared" si="13"/>
        <v>0</v>
      </c>
      <c r="M69" s="110" t="str">
        <f t="shared" si="14"/>
        <v/>
      </c>
      <c r="N69" s="51" t="str">
        <f t="shared" si="15"/>
        <v/>
      </c>
      <c r="O69" s="52" t="str">
        <f t="shared" si="16"/>
        <v/>
      </c>
      <c r="P69" s="88">
        <f t="shared" si="17"/>
        <v>0</v>
      </c>
      <c r="Q69" s="88">
        <f t="shared" si="18"/>
        <v>0</v>
      </c>
      <c r="R69" s="88" t="e">
        <f>-IF(Tabla14[[#This Row],[DIAS HABILES O MORA]]&lt;0,(Tabla14[[#This Row],[VALOR PRESTAMO]]*Tabla14[[#This Row],[% INTERES ]]/30*U69))+Tabla14[[#This Row],[VALOR CUOTAS]]</f>
        <v>#VALUE!</v>
      </c>
      <c r="S69" s="88">
        <f>-IF(Tabla14[[#This Row],[DIAS HABILES O MORA]]&lt;0,(Tabla14[[#This Row],[VALOR PRESTAMO]]*Tabla14[[#This Row],[% INTERES ]]/30*U69))</f>
        <v>0</v>
      </c>
      <c r="T69" s="53" t="e">
        <f>Tabla14[[#This Row],[DEUDA CAPITAL]]+Tabla14[[#This Row],[INTERES  CUOTA]]</f>
        <v>#NUM!</v>
      </c>
      <c r="U69" s="61" t="str">
        <f t="shared" si="19"/>
        <v/>
      </c>
    </row>
    <row r="70" spans="9:21" ht="24.75" customHeight="1" x14ac:dyDescent="0.35">
      <c r="I70" s="42">
        <f t="shared" si="10"/>
        <v>0</v>
      </c>
      <c r="J70" s="65" t="e">
        <f t="shared" si="11"/>
        <v>#NUM!</v>
      </c>
      <c r="K70" s="83" t="e">
        <f t="shared" si="12"/>
        <v>#NUM!</v>
      </c>
      <c r="L70" s="83">
        <f t="shared" si="13"/>
        <v>0</v>
      </c>
      <c r="M70" s="110" t="str">
        <f t="shared" si="14"/>
        <v/>
      </c>
      <c r="N70" s="51" t="str">
        <f t="shared" si="15"/>
        <v/>
      </c>
      <c r="O70" s="52" t="str">
        <f t="shared" si="16"/>
        <v/>
      </c>
      <c r="P70" s="88">
        <f t="shared" si="17"/>
        <v>0</v>
      </c>
      <c r="Q70" s="88">
        <f t="shared" si="18"/>
        <v>0</v>
      </c>
      <c r="R70" s="88" t="e">
        <f>-IF(Tabla14[[#This Row],[DIAS HABILES O MORA]]&lt;0,(Tabla14[[#This Row],[VALOR PRESTAMO]]*Tabla14[[#This Row],[% INTERES ]]/30*U70))+Tabla14[[#This Row],[VALOR CUOTAS]]</f>
        <v>#VALUE!</v>
      </c>
      <c r="S70" s="88">
        <f>-IF(Tabla14[[#This Row],[DIAS HABILES O MORA]]&lt;0,(Tabla14[[#This Row],[VALOR PRESTAMO]]*Tabla14[[#This Row],[% INTERES ]]/30*U70))</f>
        <v>0</v>
      </c>
      <c r="T70" s="53" t="e">
        <f>Tabla14[[#This Row],[DEUDA CAPITAL]]+Tabla14[[#This Row],[INTERES  CUOTA]]</f>
        <v>#NUM!</v>
      </c>
      <c r="U70" s="61" t="str">
        <f t="shared" si="19"/>
        <v/>
      </c>
    </row>
    <row r="71" spans="9:21" ht="24.75" customHeight="1" x14ac:dyDescent="0.35">
      <c r="I71" s="42">
        <f t="shared" si="10"/>
        <v>0</v>
      </c>
      <c r="J71" s="65" t="e">
        <f t="shared" si="11"/>
        <v>#NUM!</v>
      </c>
      <c r="K71" s="83" t="e">
        <f t="shared" si="12"/>
        <v>#NUM!</v>
      </c>
      <c r="L71" s="83">
        <f t="shared" si="13"/>
        <v>0</v>
      </c>
      <c r="M71" s="110" t="str">
        <f t="shared" si="14"/>
        <v/>
      </c>
      <c r="N71" s="51" t="str">
        <f t="shared" si="15"/>
        <v/>
      </c>
      <c r="O71" s="52" t="str">
        <f t="shared" si="16"/>
        <v/>
      </c>
      <c r="P71" s="88">
        <f t="shared" si="17"/>
        <v>0</v>
      </c>
      <c r="Q71" s="88">
        <f t="shared" si="18"/>
        <v>0</v>
      </c>
      <c r="R71" s="88" t="e">
        <f>-IF(Tabla14[[#This Row],[DIAS HABILES O MORA]]&lt;0,(Tabla14[[#This Row],[VALOR PRESTAMO]]*Tabla14[[#This Row],[% INTERES ]]/30*U71))+Tabla14[[#This Row],[VALOR CUOTAS]]</f>
        <v>#VALUE!</v>
      </c>
      <c r="S71" s="88">
        <f>-IF(Tabla14[[#This Row],[DIAS HABILES O MORA]]&lt;0,(Tabla14[[#This Row],[VALOR PRESTAMO]]*Tabla14[[#This Row],[% INTERES ]]/30*U71))</f>
        <v>0</v>
      </c>
      <c r="T71" s="53" t="e">
        <f>Tabla14[[#This Row],[DEUDA CAPITAL]]+Tabla14[[#This Row],[INTERES  CUOTA]]</f>
        <v>#NUM!</v>
      </c>
      <c r="U71" s="61" t="str">
        <f t="shared" si="19"/>
        <v/>
      </c>
    </row>
    <row r="72" spans="9:21" ht="24.75" customHeight="1" x14ac:dyDescent="0.35">
      <c r="I72" s="42">
        <f t="shared" si="10"/>
        <v>0</v>
      </c>
      <c r="J72" s="65" t="e">
        <f t="shared" si="11"/>
        <v>#NUM!</v>
      </c>
      <c r="K72" s="83" t="e">
        <f t="shared" si="12"/>
        <v>#NUM!</v>
      </c>
      <c r="L72" s="83">
        <f t="shared" si="13"/>
        <v>0</v>
      </c>
      <c r="M72" s="110" t="str">
        <f t="shared" si="14"/>
        <v/>
      </c>
      <c r="N72" s="51" t="str">
        <f t="shared" si="15"/>
        <v/>
      </c>
      <c r="O72" s="52" t="str">
        <f t="shared" si="16"/>
        <v/>
      </c>
      <c r="P72" s="88">
        <f t="shared" si="17"/>
        <v>0</v>
      </c>
      <c r="Q72" s="88">
        <f t="shared" si="18"/>
        <v>0</v>
      </c>
      <c r="R72" s="88" t="e">
        <f>-IF(Tabla14[[#This Row],[DIAS HABILES O MORA]]&lt;0,(Tabla14[[#This Row],[VALOR PRESTAMO]]*Tabla14[[#This Row],[% INTERES ]]/30*U72))+Tabla14[[#This Row],[VALOR CUOTAS]]</f>
        <v>#VALUE!</v>
      </c>
      <c r="S72" s="88">
        <f>-IF(Tabla14[[#This Row],[DIAS HABILES O MORA]]&lt;0,(Tabla14[[#This Row],[VALOR PRESTAMO]]*Tabla14[[#This Row],[% INTERES ]]/30*U72))</f>
        <v>0</v>
      </c>
      <c r="T72" s="53" t="e">
        <f>Tabla14[[#This Row],[DEUDA CAPITAL]]+Tabla14[[#This Row],[INTERES  CUOTA]]</f>
        <v>#NUM!</v>
      </c>
      <c r="U72" s="61" t="str">
        <f t="shared" si="19"/>
        <v/>
      </c>
    </row>
    <row r="73" spans="9:21" ht="24.75" customHeight="1" x14ac:dyDescent="0.35">
      <c r="I73" s="42">
        <f t="shared" si="10"/>
        <v>0</v>
      </c>
      <c r="J73" s="65" t="e">
        <f t="shared" si="11"/>
        <v>#NUM!</v>
      </c>
      <c r="K73" s="83" t="e">
        <f t="shared" si="12"/>
        <v>#NUM!</v>
      </c>
      <c r="L73" s="83">
        <f t="shared" si="13"/>
        <v>0</v>
      </c>
      <c r="M73" s="110" t="str">
        <f t="shared" si="14"/>
        <v/>
      </c>
      <c r="N73" s="51" t="str">
        <f t="shared" si="15"/>
        <v/>
      </c>
      <c r="O73" s="52" t="str">
        <f t="shared" si="16"/>
        <v/>
      </c>
      <c r="P73" s="88">
        <f t="shared" si="17"/>
        <v>0</v>
      </c>
      <c r="Q73" s="88">
        <f t="shared" si="18"/>
        <v>0</v>
      </c>
      <c r="R73" s="88" t="e">
        <f>-IF(Tabla14[[#This Row],[DIAS HABILES O MORA]]&lt;0,(Tabla14[[#This Row],[VALOR PRESTAMO]]*Tabla14[[#This Row],[% INTERES ]]/30*U73))+Tabla14[[#This Row],[VALOR CUOTAS]]</f>
        <v>#VALUE!</v>
      </c>
      <c r="S73" s="88">
        <f>-IF(Tabla14[[#This Row],[DIAS HABILES O MORA]]&lt;0,(Tabla14[[#This Row],[VALOR PRESTAMO]]*Tabla14[[#This Row],[% INTERES ]]/30*U73))</f>
        <v>0</v>
      </c>
      <c r="T73" s="53" t="e">
        <f>Tabla14[[#This Row],[DEUDA CAPITAL]]+Tabla14[[#This Row],[INTERES  CUOTA]]</f>
        <v>#NUM!</v>
      </c>
      <c r="U73" s="61" t="str">
        <f t="shared" si="19"/>
        <v/>
      </c>
    </row>
    <row r="74" spans="9:21" ht="24.75" customHeight="1" x14ac:dyDescent="0.35">
      <c r="I74" s="42">
        <f t="shared" si="10"/>
        <v>0</v>
      </c>
      <c r="J74" s="65" t="e">
        <f t="shared" si="11"/>
        <v>#NUM!</v>
      </c>
      <c r="K74" s="83" t="e">
        <f t="shared" si="12"/>
        <v>#NUM!</v>
      </c>
      <c r="L74" s="83">
        <f t="shared" si="13"/>
        <v>0</v>
      </c>
      <c r="M74" s="110" t="str">
        <f t="shared" si="14"/>
        <v/>
      </c>
      <c r="N74" s="51" t="str">
        <f t="shared" si="15"/>
        <v/>
      </c>
      <c r="O74" s="52" t="str">
        <f t="shared" si="16"/>
        <v/>
      </c>
      <c r="P74" s="88">
        <f t="shared" si="17"/>
        <v>0</v>
      </c>
      <c r="Q74" s="88">
        <f t="shared" si="18"/>
        <v>0</v>
      </c>
      <c r="R74" s="88" t="e">
        <f>-IF(Tabla14[[#This Row],[DIAS HABILES O MORA]]&lt;0,(Tabla14[[#This Row],[VALOR PRESTAMO]]*Tabla14[[#This Row],[% INTERES ]]/30*U74))+Tabla14[[#This Row],[VALOR CUOTAS]]</f>
        <v>#VALUE!</v>
      </c>
      <c r="S74" s="88">
        <f>-IF(Tabla14[[#This Row],[DIAS HABILES O MORA]]&lt;0,(Tabla14[[#This Row],[VALOR PRESTAMO]]*Tabla14[[#This Row],[% INTERES ]]/30*U74))</f>
        <v>0</v>
      </c>
      <c r="T74" s="53" t="e">
        <f>Tabla14[[#This Row],[DEUDA CAPITAL]]+Tabla14[[#This Row],[INTERES  CUOTA]]</f>
        <v>#NUM!</v>
      </c>
      <c r="U74" s="61" t="str">
        <f t="shared" si="19"/>
        <v/>
      </c>
    </row>
    <row r="75" spans="9:21" ht="24.75" customHeight="1" x14ac:dyDescent="0.35">
      <c r="I75" s="42">
        <f t="shared" si="10"/>
        <v>0</v>
      </c>
      <c r="J75" s="65" t="e">
        <f t="shared" si="11"/>
        <v>#NUM!</v>
      </c>
      <c r="K75" s="83" t="e">
        <f t="shared" si="12"/>
        <v>#NUM!</v>
      </c>
      <c r="L75" s="83">
        <f t="shared" si="13"/>
        <v>0</v>
      </c>
      <c r="M75" s="110" t="str">
        <f t="shared" si="14"/>
        <v/>
      </c>
      <c r="N75" s="51" t="str">
        <f t="shared" si="15"/>
        <v/>
      </c>
      <c r="O75" s="52" t="str">
        <f t="shared" si="16"/>
        <v/>
      </c>
      <c r="P75" s="88">
        <f t="shared" si="17"/>
        <v>0</v>
      </c>
      <c r="Q75" s="88">
        <f t="shared" si="18"/>
        <v>0</v>
      </c>
      <c r="R75" s="88" t="e">
        <f>-IF(Tabla14[[#This Row],[DIAS HABILES O MORA]]&lt;0,(Tabla14[[#This Row],[VALOR PRESTAMO]]*Tabla14[[#This Row],[% INTERES ]]/30*U75))+Tabla14[[#This Row],[VALOR CUOTAS]]</f>
        <v>#VALUE!</v>
      </c>
      <c r="S75" s="88">
        <f>-IF(Tabla14[[#This Row],[DIAS HABILES O MORA]]&lt;0,(Tabla14[[#This Row],[VALOR PRESTAMO]]*Tabla14[[#This Row],[% INTERES ]]/30*U75))</f>
        <v>0</v>
      </c>
      <c r="T75" s="53" t="e">
        <f>Tabla14[[#This Row],[DEUDA CAPITAL]]+Tabla14[[#This Row],[INTERES  CUOTA]]</f>
        <v>#NUM!</v>
      </c>
      <c r="U75" s="61" t="str">
        <f t="shared" si="19"/>
        <v/>
      </c>
    </row>
    <row r="76" spans="9:21" ht="24.75" customHeight="1" x14ac:dyDescent="0.35">
      <c r="I76" s="42">
        <f t="shared" si="10"/>
        <v>0</v>
      </c>
      <c r="J76" s="65" t="e">
        <f t="shared" si="11"/>
        <v>#NUM!</v>
      </c>
      <c r="K76" s="83" t="e">
        <f t="shared" si="12"/>
        <v>#NUM!</v>
      </c>
      <c r="L76" s="83">
        <f t="shared" si="13"/>
        <v>0</v>
      </c>
      <c r="M76" s="110" t="str">
        <f t="shared" si="14"/>
        <v/>
      </c>
      <c r="N76" s="51" t="str">
        <f t="shared" si="15"/>
        <v/>
      </c>
      <c r="O76" s="52" t="str">
        <f t="shared" si="16"/>
        <v/>
      </c>
      <c r="P76" s="88">
        <f t="shared" si="17"/>
        <v>0</v>
      </c>
      <c r="Q76" s="88">
        <f t="shared" si="18"/>
        <v>0</v>
      </c>
      <c r="R76" s="88" t="e">
        <f>-IF(Tabla14[[#This Row],[DIAS HABILES O MORA]]&lt;0,(Tabla14[[#This Row],[VALOR PRESTAMO]]*Tabla14[[#This Row],[% INTERES ]]/30*U76))+Tabla14[[#This Row],[VALOR CUOTAS]]</f>
        <v>#VALUE!</v>
      </c>
      <c r="S76" s="88">
        <f>-IF(Tabla14[[#This Row],[DIAS HABILES O MORA]]&lt;0,(Tabla14[[#This Row],[VALOR PRESTAMO]]*Tabla14[[#This Row],[% INTERES ]]/30*U76))</f>
        <v>0</v>
      </c>
      <c r="T76" s="53" t="e">
        <f>Tabla14[[#This Row],[DEUDA CAPITAL]]+Tabla14[[#This Row],[INTERES  CUOTA]]</f>
        <v>#NUM!</v>
      </c>
      <c r="U76" s="61" t="str">
        <f t="shared" si="19"/>
        <v/>
      </c>
    </row>
    <row r="77" spans="9:21" ht="24.75" customHeight="1" x14ac:dyDescent="0.35">
      <c r="I77" s="42">
        <f t="shared" si="10"/>
        <v>0</v>
      </c>
      <c r="J77" s="65" t="e">
        <f t="shared" si="11"/>
        <v>#NUM!</v>
      </c>
      <c r="K77" s="83" t="e">
        <f t="shared" si="12"/>
        <v>#NUM!</v>
      </c>
      <c r="L77" s="83">
        <f t="shared" si="13"/>
        <v>0</v>
      </c>
      <c r="M77" s="110" t="str">
        <f t="shared" si="14"/>
        <v/>
      </c>
      <c r="N77" s="51" t="str">
        <f t="shared" si="15"/>
        <v/>
      </c>
      <c r="O77" s="52" t="str">
        <f t="shared" si="16"/>
        <v/>
      </c>
      <c r="P77" s="88">
        <f t="shared" si="17"/>
        <v>0</v>
      </c>
      <c r="Q77" s="88">
        <f t="shared" si="18"/>
        <v>0</v>
      </c>
      <c r="R77" s="88" t="e">
        <f>-IF(Tabla14[[#This Row],[DIAS HABILES O MORA]]&lt;0,(Tabla14[[#This Row],[VALOR PRESTAMO]]*Tabla14[[#This Row],[% INTERES ]]/30*U77))+Tabla14[[#This Row],[VALOR CUOTAS]]</f>
        <v>#VALUE!</v>
      </c>
      <c r="S77" s="88">
        <f>-IF(Tabla14[[#This Row],[DIAS HABILES O MORA]]&lt;0,(Tabla14[[#This Row],[VALOR PRESTAMO]]*Tabla14[[#This Row],[% INTERES ]]/30*U77))</f>
        <v>0</v>
      </c>
      <c r="T77" s="53" t="e">
        <f>Tabla14[[#This Row],[DEUDA CAPITAL]]+Tabla14[[#This Row],[INTERES  CUOTA]]</f>
        <v>#NUM!</v>
      </c>
      <c r="U77" s="61" t="str">
        <f t="shared" si="19"/>
        <v/>
      </c>
    </row>
    <row r="78" spans="9:21" ht="24.75" customHeight="1" x14ac:dyDescent="0.35">
      <c r="I78" s="42">
        <f t="shared" si="10"/>
        <v>0</v>
      </c>
      <c r="J78" s="65" t="e">
        <f t="shared" si="11"/>
        <v>#NUM!</v>
      </c>
      <c r="K78" s="83" t="e">
        <f t="shared" si="12"/>
        <v>#NUM!</v>
      </c>
      <c r="L78" s="83">
        <f t="shared" si="13"/>
        <v>0</v>
      </c>
      <c r="M78" s="110" t="str">
        <f t="shared" si="14"/>
        <v/>
      </c>
      <c r="N78" s="51" t="str">
        <f t="shared" si="15"/>
        <v/>
      </c>
      <c r="O78" s="52" t="str">
        <f t="shared" si="16"/>
        <v/>
      </c>
      <c r="P78" s="88">
        <f t="shared" si="17"/>
        <v>0</v>
      </c>
      <c r="Q78" s="88">
        <f t="shared" si="18"/>
        <v>0</v>
      </c>
      <c r="R78" s="88" t="e">
        <f>-IF(Tabla14[[#This Row],[DIAS HABILES O MORA]]&lt;0,(Tabla14[[#This Row],[VALOR PRESTAMO]]*Tabla14[[#This Row],[% INTERES ]]/30*U78))+Tabla14[[#This Row],[VALOR CUOTAS]]</f>
        <v>#VALUE!</v>
      </c>
      <c r="S78" s="88">
        <f>-IF(Tabla14[[#This Row],[DIAS HABILES O MORA]]&lt;0,(Tabla14[[#This Row],[VALOR PRESTAMO]]*Tabla14[[#This Row],[% INTERES ]]/30*U78))</f>
        <v>0</v>
      </c>
      <c r="T78" s="53" t="e">
        <f>Tabla14[[#This Row],[DEUDA CAPITAL]]+Tabla14[[#This Row],[INTERES  CUOTA]]</f>
        <v>#NUM!</v>
      </c>
      <c r="U78" s="61" t="str">
        <f t="shared" si="19"/>
        <v/>
      </c>
    </row>
    <row r="79" spans="9:21" ht="24.75" customHeight="1" x14ac:dyDescent="0.35">
      <c r="I79" s="42">
        <f t="shared" si="10"/>
        <v>0</v>
      </c>
      <c r="J79" s="65" t="e">
        <f t="shared" si="11"/>
        <v>#NUM!</v>
      </c>
      <c r="K79" s="83" t="e">
        <f t="shared" si="12"/>
        <v>#NUM!</v>
      </c>
      <c r="L79" s="83">
        <f t="shared" si="13"/>
        <v>0</v>
      </c>
      <c r="M79" s="110" t="str">
        <f t="shared" si="14"/>
        <v/>
      </c>
      <c r="N79" s="51" t="str">
        <f t="shared" si="15"/>
        <v/>
      </c>
      <c r="O79" s="52" t="str">
        <f t="shared" si="16"/>
        <v/>
      </c>
      <c r="P79" s="88">
        <f t="shared" si="17"/>
        <v>0</v>
      </c>
      <c r="Q79" s="88">
        <f t="shared" si="18"/>
        <v>0</v>
      </c>
      <c r="R79" s="88" t="e">
        <f>-IF(Tabla14[[#This Row],[DIAS HABILES O MORA]]&lt;0,(Tabla14[[#This Row],[VALOR PRESTAMO]]*Tabla14[[#This Row],[% INTERES ]]/30*U79))+Tabla14[[#This Row],[VALOR CUOTAS]]</f>
        <v>#VALUE!</v>
      </c>
      <c r="S79" s="88">
        <f>-IF(Tabla14[[#This Row],[DIAS HABILES O MORA]]&lt;0,(Tabla14[[#This Row],[VALOR PRESTAMO]]*Tabla14[[#This Row],[% INTERES ]]/30*U79))</f>
        <v>0</v>
      </c>
      <c r="T79" s="53" t="e">
        <f>Tabla14[[#This Row],[DEUDA CAPITAL]]+Tabla14[[#This Row],[INTERES  CUOTA]]</f>
        <v>#NUM!</v>
      </c>
      <c r="U79" s="61" t="str">
        <f t="shared" si="19"/>
        <v/>
      </c>
    </row>
    <row r="80" spans="9:21" ht="24.75" customHeight="1" x14ac:dyDescent="0.35">
      <c r="I80" s="42">
        <f t="shared" ref="I80:I143" si="20">IF(C80&lt;0,"",IF(Q80=0,0,IF(G80=0,H80+1,IF(H80&lt;G80,H80+1,IF(G80=H80,0)))))</f>
        <v>0</v>
      </c>
      <c r="J80" s="65" t="e">
        <f t="shared" ref="J80:J143" si="21">IF(F80="SOLO INTERES",Q80*D80,-IPMT(D80,I80,G80,C80))</f>
        <v>#NUM!</v>
      </c>
      <c r="K80" s="83" t="e">
        <f t="shared" ref="K80:K143" si="22">IF(F80="SOLO INTERES",0,-PPMT(D80,I80,G80,C80))</f>
        <v>#NUM!</v>
      </c>
      <c r="L80" s="83">
        <f t="shared" ref="L80:L143" si="23">IF(F80="SOLO INTERES",SUM(Y80:AAE80),IFERROR(-CUMIPMT(D80,G80,C80,1,H80,0),0)+SUM(Y80:WY80))</f>
        <v>0</v>
      </c>
      <c r="M80" s="110" t="str">
        <f t="shared" ref="M80:M143" si="24">IFERROR(IF(F80="SOLO INTERES",Q80*D80,-PMT(D80,G80,C80,0)),"")</f>
        <v/>
      </c>
      <c r="N80" s="51" t="str">
        <f t="shared" ref="N80:N143" si="25">IF(Q80=0,"",IF(E80="MENSUAL",EDATE(B80,I80),IF(E80="QUINCENAL",B80+(I80*15),IF(E80="SEMANAL",B80+(I80*7)))))</f>
        <v/>
      </c>
      <c r="O80" s="52" t="str">
        <f t="shared" ref="O80:O143" si="26">IF(C80=0,"",IF(Q80&lt;1,"PAGADO",IF(N80=$A$3,"COBRAR HOY",IF(N80&lt;$A$3,"EN MORA",IF(N80&gt;$A$3,"AL DIA")))))</f>
        <v/>
      </c>
      <c r="P80" s="88">
        <f t="shared" ref="P80:P143" si="27">IFERROR(-CUMPRINC(D80,G80,C80,1,H80,0),0)+W80</f>
        <v>0</v>
      </c>
      <c r="Q80" s="88">
        <f t="shared" ref="Q80:Q143" si="28">IFERROR(C80-P80,"")</f>
        <v>0</v>
      </c>
      <c r="R80" s="88" t="e">
        <f>-IF(Tabla14[[#This Row],[DIAS HABILES O MORA]]&lt;0,(Tabla14[[#This Row],[VALOR PRESTAMO]]*Tabla14[[#This Row],[% INTERES ]]/30*U80))+Tabla14[[#This Row],[VALOR CUOTAS]]</f>
        <v>#VALUE!</v>
      </c>
      <c r="S80" s="88">
        <f>-IF(Tabla14[[#This Row],[DIAS HABILES O MORA]]&lt;0,(Tabla14[[#This Row],[VALOR PRESTAMO]]*Tabla14[[#This Row],[% INTERES ]]/30*U80))</f>
        <v>0</v>
      </c>
      <c r="T80" s="53" t="e">
        <f>Tabla14[[#This Row],[DEUDA CAPITAL]]+Tabla14[[#This Row],[INTERES  CUOTA]]</f>
        <v>#NUM!</v>
      </c>
      <c r="U80" s="61" t="str">
        <f t="shared" ref="U80:U143" si="29">IF(O80="PAGADO","",IFERROR(-IF(C80=0,"",$A$3-N80),""))</f>
        <v/>
      </c>
    </row>
    <row r="81" spans="9:21" ht="24.75" customHeight="1" x14ac:dyDescent="0.35">
      <c r="I81" s="42">
        <f t="shared" si="20"/>
        <v>0</v>
      </c>
      <c r="J81" s="65" t="e">
        <f t="shared" si="21"/>
        <v>#NUM!</v>
      </c>
      <c r="K81" s="83" t="e">
        <f t="shared" si="22"/>
        <v>#NUM!</v>
      </c>
      <c r="L81" s="83">
        <f t="shared" si="23"/>
        <v>0</v>
      </c>
      <c r="M81" s="110" t="str">
        <f t="shared" si="24"/>
        <v/>
      </c>
      <c r="N81" s="51" t="str">
        <f t="shared" si="25"/>
        <v/>
      </c>
      <c r="O81" s="52" t="str">
        <f t="shared" si="26"/>
        <v/>
      </c>
      <c r="P81" s="88">
        <f t="shared" si="27"/>
        <v>0</v>
      </c>
      <c r="Q81" s="88">
        <f t="shared" si="28"/>
        <v>0</v>
      </c>
      <c r="R81" s="88" t="e">
        <f>-IF(Tabla14[[#This Row],[DIAS HABILES O MORA]]&lt;0,(Tabla14[[#This Row],[VALOR PRESTAMO]]*Tabla14[[#This Row],[% INTERES ]]/30*U81))+Tabla14[[#This Row],[VALOR CUOTAS]]</f>
        <v>#VALUE!</v>
      </c>
      <c r="S81" s="88">
        <f>-IF(Tabla14[[#This Row],[DIAS HABILES O MORA]]&lt;0,(Tabla14[[#This Row],[VALOR PRESTAMO]]*Tabla14[[#This Row],[% INTERES ]]/30*U81))</f>
        <v>0</v>
      </c>
      <c r="T81" s="53" t="e">
        <f>Tabla14[[#This Row],[DEUDA CAPITAL]]+Tabla14[[#This Row],[INTERES  CUOTA]]</f>
        <v>#NUM!</v>
      </c>
      <c r="U81" s="61" t="str">
        <f t="shared" si="29"/>
        <v/>
      </c>
    </row>
    <row r="82" spans="9:21" ht="24.75" customHeight="1" x14ac:dyDescent="0.35">
      <c r="I82" s="42">
        <f t="shared" si="20"/>
        <v>0</v>
      </c>
      <c r="J82" s="65" t="e">
        <f t="shared" si="21"/>
        <v>#NUM!</v>
      </c>
      <c r="K82" s="83" t="e">
        <f t="shared" si="22"/>
        <v>#NUM!</v>
      </c>
      <c r="L82" s="83">
        <f t="shared" si="23"/>
        <v>0</v>
      </c>
      <c r="M82" s="110" t="str">
        <f t="shared" si="24"/>
        <v/>
      </c>
      <c r="N82" s="51" t="str">
        <f t="shared" si="25"/>
        <v/>
      </c>
      <c r="O82" s="52" t="str">
        <f t="shared" si="26"/>
        <v/>
      </c>
      <c r="P82" s="88">
        <f t="shared" si="27"/>
        <v>0</v>
      </c>
      <c r="Q82" s="88">
        <f t="shared" si="28"/>
        <v>0</v>
      </c>
      <c r="R82" s="88" t="e">
        <f>-IF(Tabla14[[#This Row],[DIAS HABILES O MORA]]&lt;0,(Tabla14[[#This Row],[VALOR PRESTAMO]]*Tabla14[[#This Row],[% INTERES ]]/30*U82))+Tabla14[[#This Row],[VALOR CUOTAS]]</f>
        <v>#VALUE!</v>
      </c>
      <c r="S82" s="88">
        <f>-IF(Tabla14[[#This Row],[DIAS HABILES O MORA]]&lt;0,(Tabla14[[#This Row],[VALOR PRESTAMO]]*Tabla14[[#This Row],[% INTERES ]]/30*U82))</f>
        <v>0</v>
      </c>
      <c r="T82" s="53" t="e">
        <f>Tabla14[[#This Row],[DEUDA CAPITAL]]+Tabla14[[#This Row],[INTERES  CUOTA]]</f>
        <v>#NUM!</v>
      </c>
      <c r="U82" s="61" t="str">
        <f t="shared" si="29"/>
        <v/>
      </c>
    </row>
    <row r="83" spans="9:21" ht="24.75" customHeight="1" x14ac:dyDescent="0.35">
      <c r="I83" s="42">
        <f t="shared" si="20"/>
        <v>0</v>
      </c>
      <c r="J83" s="65" t="e">
        <f t="shared" si="21"/>
        <v>#NUM!</v>
      </c>
      <c r="K83" s="83" t="e">
        <f t="shared" si="22"/>
        <v>#NUM!</v>
      </c>
      <c r="L83" s="83">
        <f t="shared" si="23"/>
        <v>0</v>
      </c>
      <c r="M83" s="110" t="str">
        <f t="shared" si="24"/>
        <v/>
      </c>
      <c r="N83" s="51" t="str">
        <f t="shared" si="25"/>
        <v/>
      </c>
      <c r="O83" s="52" t="str">
        <f t="shared" si="26"/>
        <v/>
      </c>
      <c r="P83" s="88">
        <f t="shared" si="27"/>
        <v>0</v>
      </c>
      <c r="Q83" s="88">
        <f t="shared" si="28"/>
        <v>0</v>
      </c>
      <c r="R83" s="88" t="e">
        <f>-IF(Tabla14[[#This Row],[DIAS HABILES O MORA]]&lt;0,(Tabla14[[#This Row],[VALOR PRESTAMO]]*Tabla14[[#This Row],[% INTERES ]]/30*U83))+Tabla14[[#This Row],[VALOR CUOTAS]]</f>
        <v>#VALUE!</v>
      </c>
      <c r="S83" s="88">
        <f>-IF(Tabla14[[#This Row],[DIAS HABILES O MORA]]&lt;0,(Tabla14[[#This Row],[VALOR PRESTAMO]]*Tabla14[[#This Row],[% INTERES ]]/30*U83))</f>
        <v>0</v>
      </c>
      <c r="T83" s="53" t="e">
        <f>Tabla14[[#This Row],[DEUDA CAPITAL]]+Tabla14[[#This Row],[INTERES  CUOTA]]</f>
        <v>#NUM!</v>
      </c>
      <c r="U83" s="61" t="str">
        <f t="shared" si="29"/>
        <v/>
      </c>
    </row>
    <row r="84" spans="9:21" ht="24.75" customHeight="1" x14ac:dyDescent="0.35">
      <c r="I84" s="42">
        <f t="shared" si="20"/>
        <v>0</v>
      </c>
      <c r="J84" s="65" t="e">
        <f t="shared" si="21"/>
        <v>#NUM!</v>
      </c>
      <c r="K84" s="83" t="e">
        <f t="shared" si="22"/>
        <v>#NUM!</v>
      </c>
      <c r="L84" s="83">
        <f t="shared" si="23"/>
        <v>0</v>
      </c>
      <c r="M84" s="110" t="str">
        <f t="shared" si="24"/>
        <v/>
      </c>
      <c r="N84" s="51" t="str">
        <f t="shared" si="25"/>
        <v/>
      </c>
      <c r="O84" s="52" t="str">
        <f t="shared" si="26"/>
        <v/>
      </c>
      <c r="P84" s="88">
        <f t="shared" si="27"/>
        <v>0</v>
      </c>
      <c r="Q84" s="88">
        <f t="shared" si="28"/>
        <v>0</v>
      </c>
      <c r="R84" s="88" t="e">
        <f>-IF(Tabla14[[#This Row],[DIAS HABILES O MORA]]&lt;0,(Tabla14[[#This Row],[VALOR PRESTAMO]]*Tabla14[[#This Row],[% INTERES ]]/30*U84))+Tabla14[[#This Row],[VALOR CUOTAS]]</f>
        <v>#VALUE!</v>
      </c>
      <c r="S84" s="88">
        <f>-IF(Tabla14[[#This Row],[DIAS HABILES O MORA]]&lt;0,(Tabla14[[#This Row],[VALOR PRESTAMO]]*Tabla14[[#This Row],[% INTERES ]]/30*U84))</f>
        <v>0</v>
      </c>
      <c r="T84" s="53" t="e">
        <f>Tabla14[[#This Row],[DEUDA CAPITAL]]+Tabla14[[#This Row],[INTERES  CUOTA]]</f>
        <v>#NUM!</v>
      </c>
      <c r="U84" s="61" t="str">
        <f t="shared" si="29"/>
        <v/>
      </c>
    </row>
    <row r="85" spans="9:21" ht="24.75" customHeight="1" x14ac:dyDescent="0.35">
      <c r="I85" s="42">
        <f t="shared" si="20"/>
        <v>0</v>
      </c>
      <c r="J85" s="65" t="e">
        <f t="shared" si="21"/>
        <v>#NUM!</v>
      </c>
      <c r="K85" s="83" t="e">
        <f t="shared" si="22"/>
        <v>#NUM!</v>
      </c>
      <c r="L85" s="83">
        <f t="shared" si="23"/>
        <v>0</v>
      </c>
      <c r="M85" s="110" t="str">
        <f t="shared" si="24"/>
        <v/>
      </c>
      <c r="N85" s="51" t="str">
        <f t="shared" si="25"/>
        <v/>
      </c>
      <c r="O85" s="52" t="str">
        <f t="shared" si="26"/>
        <v/>
      </c>
      <c r="P85" s="88">
        <f t="shared" si="27"/>
        <v>0</v>
      </c>
      <c r="Q85" s="88">
        <f t="shared" si="28"/>
        <v>0</v>
      </c>
      <c r="R85" s="88" t="e">
        <f>-IF(Tabla14[[#This Row],[DIAS HABILES O MORA]]&lt;0,(Tabla14[[#This Row],[VALOR PRESTAMO]]*Tabla14[[#This Row],[% INTERES ]]/30*U85))+Tabla14[[#This Row],[VALOR CUOTAS]]</f>
        <v>#VALUE!</v>
      </c>
      <c r="S85" s="88">
        <f>-IF(Tabla14[[#This Row],[DIAS HABILES O MORA]]&lt;0,(Tabla14[[#This Row],[VALOR PRESTAMO]]*Tabla14[[#This Row],[% INTERES ]]/30*U85))</f>
        <v>0</v>
      </c>
      <c r="T85" s="53" t="e">
        <f>Tabla14[[#This Row],[DEUDA CAPITAL]]+Tabla14[[#This Row],[INTERES  CUOTA]]</f>
        <v>#NUM!</v>
      </c>
      <c r="U85" s="61" t="str">
        <f t="shared" si="29"/>
        <v/>
      </c>
    </row>
    <row r="86" spans="9:21" ht="24.75" customHeight="1" x14ac:dyDescent="0.35">
      <c r="I86" s="42">
        <f t="shared" si="20"/>
        <v>0</v>
      </c>
      <c r="J86" s="65" t="e">
        <f t="shared" si="21"/>
        <v>#NUM!</v>
      </c>
      <c r="K86" s="83" t="e">
        <f t="shared" si="22"/>
        <v>#NUM!</v>
      </c>
      <c r="L86" s="83">
        <f t="shared" si="23"/>
        <v>0</v>
      </c>
      <c r="M86" s="110" t="str">
        <f t="shared" si="24"/>
        <v/>
      </c>
      <c r="N86" s="51" t="str">
        <f t="shared" si="25"/>
        <v/>
      </c>
      <c r="O86" s="52" t="str">
        <f t="shared" si="26"/>
        <v/>
      </c>
      <c r="P86" s="88">
        <f t="shared" si="27"/>
        <v>0</v>
      </c>
      <c r="Q86" s="88">
        <f t="shared" si="28"/>
        <v>0</v>
      </c>
      <c r="R86" s="88" t="e">
        <f>-IF(Tabla14[[#This Row],[DIAS HABILES O MORA]]&lt;0,(Tabla14[[#This Row],[VALOR PRESTAMO]]*Tabla14[[#This Row],[% INTERES ]]/30*U86))+Tabla14[[#This Row],[VALOR CUOTAS]]</f>
        <v>#VALUE!</v>
      </c>
      <c r="S86" s="88">
        <f>-IF(Tabla14[[#This Row],[DIAS HABILES O MORA]]&lt;0,(Tabla14[[#This Row],[VALOR PRESTAMO]]*Tabla14[[#This Row],[% INTERES ]]/30*U86))</f>
        <v>0</v>
      </c>
      <c r="T86" s="53" t="e">
        <f>Tabla14[[#This Row],[DEUDA CAPITAL]]+Tabla14[[#This Row],[INTERES  CUOTA]]</f>
        <v>#NUM!</v>
      </c>
      <c r="U86" s="61" t="str">
        <f t="shared" si="29"/>
        <v/>
      </c>
    </row>
    <row r="87" spans="9:21" ht="24.75" customHeight="1" x14ac:dyDescent="0.35">
      <c r="I87" s="42">
        <f t="shared" si="20"/>
        <v>0</v>
      </c>
      <c r="J87" s="65" t="e">
        <f t="shared" si="21"/>
        <v>#NUM!</v>
      </c>
      <c r="K87" s="83" t="e">
        <f t="shared" si="22"/>
        <v>#NUM!</v>
      </c>
      <c r="L87" s="83">
        <f t="shared" si="23"/>
        <v>0</v>
      </c>
      <c r="M87" s="110" t="str">
        <f t="shared" si="24"/>
        <v/>
      </c>
      <c r="N87" s="51" t="str">
        <f t="shared" si="25"/>
        <v/>
      </c>
      <c r="O87" s="52" t="str">
        <f t="shared" si="26"/>
        <v/>
      </c>
      <c r="P87" s="88">
        <f t="shared" si="27"/>
        <v>0</v>
      </c>
      <c r="Q87" s="88">
        <f t="shared" si="28"/>
        <v>0</v>
      </c>
      <c r="R87" s="88" t="e">
        <f>-IF(Tabla14[[#This Row],[DIAS HABILES O MORA]]&lt;0,(Tabla14[[#This Row],[VALOR PRESTAMO]]*Tabla14[[#This Row],[% INTERES ]]/30*U87))+Tabla14[[#This Row],[VALOR CUOTAS]]</f>
        <v>#VALUE!</v>
      </c>
      <c r="S87" s="88">
        <f>-IF(Tabla14[[#This Row],[DIAS HABILES O MORA]]&lt;0,(Tabla14[[#This Row],[VALOR PRESTAMO]]*Tabla14[[#This Row],[% INTERES ]]/30*U87))</f>
        <v>0</v>
      </c>
      <c r="T87" s="53" t="e">
        <f>Tabla14[[#This Row],[DEUDA CAPITAL]]+Tabla14[[#This Row],[INTERES  CUOTA]]</f>
        <v>#NUM!</v>
      </c>
      <c r="U87" s="61" t="str">
        <f t="shared" si="29"/>
        <v/>
      </c>
    </row>
    <row r="88" spans="9:21" ht="24.75" customHeight="1" x14ac:dyDescent="0.35">
      <c r="I88" s="42">
        <f t="shared" si="20"/>
        <v>0</v>
      </c>
      <c r="J88" s="65" t="e">
        <f t="shared" si="21"/>
        <v>#NUM!</v>
      </c>
      <c r="K88" s="83" t="e">
        <f t="shared" si="22"/>
        <v>#NUM!</v>
      </c>
      <c r="L88" s="83">
        <f t="shared" si="23"/>
        <v>0</v>
      </c>
      <c r="M88" s="110" t="str">
        <f t="shared" si="24"/>
        <v/>
      </c>
      <c r="N88" s="51" t="str">
        <f t="shared" si="25"/>
        <v/>
      </c>
      <c r="O88" s="52" t="str">
        <f t="shared" si="26"/>
        <v/>
      </c>
      <c r="P88" s="88">
        <f t="shared" si="27"/>
        <v>0</v>
      </c>
      <c r="Q88" s="88">
        <f t="shared" si="28"/>
        <v>0</v>
      </c>
      <c r="R88" s="88" t="e">
        <f>-IF(Tabla14[[#This Row],[DIAS HABILES O MORA]]&lt;0,(Tabla14[[#This Row],[VALOR PRESTAMO]]*Tabla14[[#This Row],[% INTERES ]]/30*U88))+Tabla14[[#This Row],[VALOR CUOTAS]]</f>
        <v>#VALUE!</v>
      </c>
      <c r="S88" s="88">
        <f>-IF(Tabla14[[#This Row],[DIAS HABILES O MORA]]&lt;0,(Tabla14[[#This Row],[VALOR PRESTAMO]]*Tabla14[[#This Row],[% INTERES ]]/30*U88))</f>
        <v>0</v>
      </c>
      <c r="T88" s="53" t="e">
        <f>Tabla14[[#This Row],[DEUDA CAPITAL]]+Tabla14[[#This Row],[INTERES  CUOTA]]</f>
        <v>#NUM!</v>
      </c>
      <c r="U88" s="61" t="str">
        <f t="shared" si="29"/>
        <v/>
      </c>
    </row>
    <row r="89" spans="9:21" ht="24.75" customHeight="1" x14ac:dyDescent="0.35">
      <c r="I89" s="42">
        <f t="shared" si="20"/>
        <v>0</v>
      </c>
      <c r="J89" s="65" t="e">
        <f t="shared" si="21"/>
        <v>#NUM!</v>
      </c>
      <c r="K89" s="83" t="e">
        <f t="shared" si="22"/>
        <v>#NUM!</v>
      </c>
      <c r="L89" s="83">
        <f t="shared" si="23"/>
        <v>0</v>
      </c>
      <c r="M89" s="110" t="str">
        <f t="shared" si="24"/>
        <v/>
      </c>
      <c r="N89" s="51" t="str">
        <f t="shared" si="25"/>
        <v/>
      </c>
      <c r="O89" s="52" t="str">
        <f t="shared" si="26"/>
        <v/>
      </c>
      <c r="P89" s="88">
        <f t="shared" si="27"/>
        <v>0</v>
      </c>
      <c r="Q89" s="88">
        <f t="shared" si="28"/>
        <v>0</v>
      </c>
      <c r="R89" s="88" t="e">
        <f>-IF(Tabla14[[#This Row],[DIAS HABILES O MORA]]&lt;0,(Tabla14[[#This Row],[VALOR PRESTAMO]]*Tabla14[[#This Row],[% INTERES ]]/30*U89))+Tabla14[[#This Row],[VALOR CUOTAS]]</f>
        <v>#VALUE!</v>
      </c>
      <c r="S89" s="88">
        <f>-IF(Tabla14[[#This Row],[DIAS HABILES O MORA]]&lt;0,(Tabla14[[#This Row],[VALOR PRESTAMO]]*Tabla14[[#This Row],[% INTERES ]]/30*U89))</f>
        <v>0</v>
      </c>
      <c r="T89" s="53" t="e">
        <f>Tabla14[[#This Row],[DEUDA CAPITAL]]+Tabla14[[#This Row],[INTERES  CUOTA]]</f>
        <v>#NUM!</v>
      </c>
      <c r="U89" s="61" t="str">
        <f t="shared" si="29"/>
        <v/>
      </c>
    </row>
    <row r="90" spans="9:21" ht="24.75" customHeight="1" x14ac:dyDescent="0.35">
      <c r="I90" s="42">
        <f t="shared" si="20"/>
        <v>0</v>
      </c>
      <c r="J90" s="65" t="e">
        <f t="shared" si="21"/>
        <v>#NUM!</v>
      </c>
      <c r="K90" s="83" t="e">
        <f t="shared" si="22"/>
        <v>#NUM!</v>
      </c>
      <c r="L90" s="83">
        <f t="shared" si="23"/>
        <v>0</v>
      </c>
      <c r="M90" s="110" t="str">
        <f t="shared" si="24"/>
        <v/>
      </c>
      <c r="N90" s="51" t="str">
        <f t="shared" si="25"/>
        <v/>
      </c>
      <c r="O90" s="52" t="str">
        <f t="shared" si="26"/>
        <v/>
      </c>
      <c r="P90" s="88">
        <f t="shared" si="27"/>
        <v>0</v>
      </c>
      <c r="Q90" s="88">
        <f t="shared" si="28"/>
        <v>0</v>
      </c>
      <c r="R90" s="88" t="e">
        <f>-IF(Tabla14[[#This Row],[DIAS HABILES O MORA]]&lt;0,(Tabla14[[#This Row],[VALOR PRESTAMO]]*Tabla14[[#This Row],[% INTERES ]]/30*U90))+Tabla14[[#This Row],[VALOR CUOTAS]]</f>
        <v>#VALUE!</v>
      </c>
      <c r="S90" s="88">
        <f>-IF(Tabla14[[#This Row],[DIAS HABILES O MORA]]&lt;0,(Tabla14[[#This Row],[VALOR PRESTAMO]]*Tabla14[[#This Row],[% INTERES ]]/30*U90))</f>
        <v>0</v>
      </c>
      <c r="T90" s="53" t="e">
        <f>Tabla14[[#This Row],[DEUDA CAPITAL]]+Tabla14[[#This Row],[INTERES  CUOTA]]</f>
        <v>#NUM!</v>
      </c>
      <c r="U90" s="61" t="str">
        <f t="shared" si="29"/>
        <v/>
      </c>
    </row>
    <row r="91" spans="9:21" ht="24.75" customHeight="1" x14ac:dyDescent="0.35">
      <c r="I91" s="42">
        <f t="shared" si="20"/>
        <v>0</v>
      </c>
      <c r="J91" s="65" t="e">
        <f t="shared" si="21"/>
        <v>#NUM!</v>
      </c>
      <c r="K91" s="83" t="e">
        <f t="shared" si="22"/>
        <v>#NUM!</v>
      </c>
      <c r="L91" s="83">
        <f t="shared" si="23"/>
        <v>0</v>
      </c>
      <c r="M91" s="110" t="str">
        <f t="shared" si="24"/>
        <v/>
      </c>
      <c r="N91" s="51" t="str">
        <f t="shared" si="25"/>
        <v/>
      </c>
      <c r="O91" s="52" t="str">
        <f t="shared" si="26"/>
        <v/>
      </c>
      <c r="P91" s="88">
        <f t="shared" si="27"/>
        <v>0</v>
      </c>
      <c r="Q91" s="88">
        <f t="shared" si="28"/>
        <v>0</v>
      </c>
      <c r="R91" s="88" t="e">
        <f>-IF(Tabla14[[#This Row],[DIAS HABILES O MORA]]&lt;0,(Tabla14[[#This Row],[VALOR PRESTAMO]]*Tabla14[[#This Row],[% INTERES ]]/30*U91))+Tabla14[[#This Row],[VALOR CUOTAS]]</f>
        <v>#VALUE!</v>
      </c>
      <c r="S91" s="88">
        <f>-IF(Tabla14[[#This Row],[DIAS HABILES O MORA]]&lt;0,(Tabla14[[#This Row],[VALOR PRESTAMO]]*Tabla14[[#This Row],[% INTERES ]]/30*U91))</f>
        <v>0</v>
      </c>
      <c r="T91" s="53" t="e">
        <f>Tabla14[[#This Row],[DEUDA CAPITAL]]+Tabla14[[#This Row],[INTERES  CUOTA]]</f>
        <v>#NUM!</v>
      </c>
      <c r="U91" s="61" t="str">
        <f t="shared" si="29"/>
        <v/>
      </c>
    </row>
    <row r="92" spans="9:21" ht="24.75" customHeight="1" x14ac:dyDescent="0.35">
      <c r="I92" s="42">
        <f t="shared" si="20"/>
        <v>0</v>
      </c>
      <c r="J92" s="65" t="e">
        <f t="shared" si="21"/>
        <v>#NUM!</v>
      </c>
      <c r="K92" s="83" t="e">
        <f t="shared" si="22"/>
        <v>#NUM!</v>
      </c>
      <c r="L92" s="83">
        <f t="shared" si="23"/>
        <v>0</v>
      </c>
      <c r="M92" s="110" t="str">
        <f t="shared" si="24"/>
        <v/>
      </c>
      <c r="N92" s="51" t="str">
        <f t="shared" si="25"/>
        <v/>
      </c>
      <c r="O92" s="52" t="str">
        <f t="shared" si="26"/>
        <v/>
      </c>
      <c r="P92" s="88">
        <f t="shared" si="27"/>
        <v>0</v>
      </c>
      <c r="Q92" s="88">
        <f t="shared" si="28"/>
        <v>0</v>
      </c>
      <c r="R92" s="88" t="e">
        <f>-IF(Tabla14[[#This Row],[DIAS HABILES O MORA]]&lt;0,(Tabla14[[#This Row],[VALOR PRESTAMO]]*Tabla14[[#This Row],[% INTERES ]]/30*U92))+Tabla14[[#This Row],[VALOR CUOTAS]]</f>
        <v>#VALUE!</v>
      </c>
      <c r="S92" s="88">
        <f>-IF(Tabla14[[#This Row],[DIAS HABILES O MORA]]&lt;0,(Tabla14[[#This Row],[VALOR PRESTAMO]]*Tabla14[[#This Row],[% INTERES ]]/30*U92))</f>
        <v>0</v>
      </c>
      <c r="T92" s="53" t="e">
        <f>Tabla14[[#This Row],[DEUDA CAPITAL]]+Tabla14[[#This Row],[INTERES  CUOTA]]</f>
        <v>#NUM!</v>
      </c>
      <c r="U92" s="61" t="str">
        <f t="shared" si="29"/>
        <v/>
      </c>
    </row>
    <row r="93" spans="9:21" ht="24.75" customHeight="1" x14ac:dyDescent="0.35">
      <c r="I93" s="42">
        <f t="shared" si="20"/>
        <v>0</v>
      </c>
      <c r="J93" s="65" t="e">
        <f t="shared" si="21"/>
        <v>#NUM!</v>
      </c>
      <c r="K93" s="83" t="e">
        <f t="shared" si="22"/>
        <v>#NUM!</v>
      </c>
      <c r="L93" s="83">
        <f t="shared" si="23"/>
        <v>0</v>
      </c>
      <c r="M93" s="110" t="str">
        <f t="shared" si="24"/>
        <v/>
      </c>
      <c r="N93" s="51" t="str">
        <f t="shared" si="25"/>
        <v/>
      </c>
      <c r="O93" s="52" t="str">
        <f t="shared" si="26"/>
        <v/>
      </c>
      <c r="P93" s="88">
        <f t="shared" si="27"/>
        <v>0</v>
      </c>
      <c r="Q93" s="88">
        <f t="shared" si="28"/>
        <v>0</v>
      </c>
      <c r="R93" s="88" t="e">
        <f>-IF(Tabla14[[#This Row],[DIAS HABILES O MORA]]&lt;0,(Tabla14[[#This Row],[VALOR PRESTAMO]]*Tabla14[[#This Row],[% INTERES ]]/30*U93))+Tabla14[[#This Row],[VALOR CUOTAS]]</f>
        <v>#VALUE!</v>
      </c>
      <c r="S93" s="88">
        <f>-IF(Tabla14[[#This Row],[DIAS HABILES O MORA]]&lt;0,(Tabla14[[#This Row],[VALOR PRESTAMO]]*Tabla14[[#This Row],[% INTERES ]]/30*U93))</f>
        <v>0</v>
      </c>
      <c r="T93" s="53" t="e">
        <f>Tabla14[[#This Row],[DEUDA CAPITAL]]+Tabla14[[#This Row],[INTERES  CUOTA]]</f>
        <v>#NUM!</v>
      </c>
      <c r="U93" s="61" t="str">
        <f t="shared" si="29"/>
        <v/>
      </c>
    </row>
    <row r="94" spans="9:21" ht="24.75" customHeight="1" x14ac:dyDescent="0.35">
      <c r="I94" s="42">
        <f t="shared" si="20"/>
        <v>0</v>
      </c>
      <c r="J94" s="65" t="e">
        <f t="shared" si="21"/>
        <v>#NUM!</v>
      </c>
      <c r="K94" s="83" t="e">
        <f t="shared" si="22"/>
        <v>#NUM!</v>
      </c>
      <c r="L94" s="83">
        <f t="shared" si="23"/>
        <v>0</v>
      </c>
      <c r="M94" s="110" t="str">
        <f t="shared" si="24"/>
        <v/>
      </c>
      <c r="N94" s="51" t="str">
        <f t="shared" si="25"/>
        <v/>
      </c>
      <c r="O94" s="52" t="str">
        <f t="shared" si="26"/>
        <v/>
      </c>
      <c r="P94" s="88">
        <f t="shared" si="27"/>
        <v>0</v>
      </c>
      <c r="Q94" s="88">
        <f t="shared" si="28"/>
        <v>0</v>
      </c>
      <c r="R94" s="88" t="e">
        <f>-IF(Tabla14[[#This Row],[DIAS HABILES O MORA]]&lt;0,(Tabla14[[#This Row],[VALOR PRESTAMO]]*Tabla14[[#This Row],[% INTERES ]]/30*U94))+Tabla14[[#This Row],[VALOR CUOTAS]]</f>
        <v>#VALUE!</v>
      </c>
      <c r="S94" s="88">
        <f>-IF(Tabla14[[#This Row],[DIAS HABILES O MORA]]&lt;0,(Tabla14[[#This Row],[VALOR PRESTAMO]]*Tabla14[[#This Row],[% INTERES ]]/30*U94))</f>
        <v>0</v>
      </c>
      <c r="T94" s="53" t="e">
        <f>Tabla14[[#This Row],[DEUDA CAPITAL]]+Tabla14[[#This Row],[INTERES  CUOTA]]</f>
        <v>#NUM!</v>
      </c>
      <c r="U94" s="61" t="str">
        <f t="shared" si="29"/>
        <v/>
      </c>
    </row>
    <row r="95" spans="9:21" ht="24.75" customHeight="1" x14ac:dyDescent="0.35">
      <c r="I95" s="42">
        <f t="shared" si="20"/>
        <v>0</v>
      </c>
      <c r="J95" s="65" t="e">
        <f t="shared" si="21"/>
        <v>#NUM!</v>
      </c>
      <c r="K95" s="83" t="e">
        <f t="shared" si="22"/>
        <v>#NUM!</v>
      </c>
      <c r="L95" s="83">
        <f t="shared" si="23"/>
        <v>0</v>
      </c>
      <c r="M95" s="110" t="str">
        <f t="shared" si="24"/>
        <v/>
      </c>
      <c r="N95" s="51" t="str">
        <f t="shared" si="25"/>
        <v/>
      </c>
      <c r="O95" s="52" t="str">
        <f t="shared" si="26"/>
        <v/>
      </c>
      <c r="P95" s="88">
        <f t="shared" si="27"/>
        <v>0</v>
      </c>
      <c r="Q95" s="88">
        <f t="shared" si="28"/>
        <v>0</v>
      </c>
      <c r="R95" s="88" t="e">
        <f>-IF(Tabla14[[#This Row],[DIAS HABILES O MORA]]&lt;0,(Tabla14[[#This Row],[VALOR PRESTAMO]]*Tabla14[[#This Row],[% INTERES ]]/30*U95))+Tabla14[[#This Row],[VALOR CUOTAS]]</f>
        <v>#VALUE!</v>
      </c>
      <c r="S95" s="88">
        <f>-IF(Tabla14[[#This Row],[DIAS HABILES O MORA]]&lt;0,(Tabla14[[#This Row],[VALOR PRESTAMO]]*Tabla14[[#This Row],[% INTERES ]]/30*U95))</f>
        <v>0</v>
      </c>
      <c r="T95" s="53" t="e">
        <f>Tabla14[[#This Row],[DEUDA CAPITAL]]+Tabla14[[#This Row],[INTERES  CUOTA]]</f>
        <v>#NUM!</v>
      </c>
      <c r="U95" s="61" t="str">
        <f t="shared" si="29"/>
        <v/>
      </c>
    </row>
    <row r="96" spans="9:21" ht="24.75" customHeight="1" x14ac:dyDescent="0.35">
      <c r="I96" s="42">
        <f t="shared" si="20"/>
        <v>0</v>
      </c>
      <c r="J96" s="65" t="e">
        <f t="shared" si="21"/>
        <v>#NUM!</v>
      </c>
      <c r="K96" s="83" t="e">
        <f t="shared" si="22"/>
        <v>#NUM!</v>
      </c>
      <c r="L96" s="83">
        <f t="shared" si="23"/>
        <v>0</v>
      </c>
      <c r="M96" s="110" t="str">
        <f t="shared" si="24"/>
        <v/>
      </c>
      <c r="N96" s="51" t="str">
        <f t="shared" si="25"/>
        <v/>
      </c>
      <c r="O96" s="52" t="str">
        <f t="shared" si="26"/>
        <v/>
      </c>
      <c r="P96" s="88">
        <f t="shared" si="27"/>
        <v>0</v>
      </c>
      <c r="Q96" s="88">
        <f t="shared" si="28"/>
        <v>0</v>
      </c>
      <c r="R96" s="88" t="e">
        <f>-IF(Tabla14[[#This Row],[DIAS HABILES O MORA]]&lt;0,(Tabla14[[#This Row],[VALOR PRESTAMO]]*Tabla14[[#This Row],[% INTERES ]]/30*U96))+Tabla14[[#This Row],[VALOR CUOTAS]]</f>
        <v>#VALUE!</v>
      </c>
      <c r="S96" s="88">
        <f>-IF(Tabla14[[#This Row],[DIAS HABILES O MORA]]&lt;0,(Tabla14[[#This Row],[VALOR PRESTAMO]]*Tabla14[[#This Row],[% INTERES ]]/30*U96))</f>
        <v>0</v>
      </c>
      <c r="T96" s="53" t="e">
        <f>Tabla14[[#This Row],[DEUDA CAPITAL]]+Tabla14[[#This Row],[INTERES  CUOTA]]</f>
        <v>#NUM!</v>
      </c>
      <c r="U96" s="61" t="str">
        <f t="shared" si="29"/>
        <v/>
      </c>
    </row>
    <row r="97" spans="9:21" ht="24.75" customHeight="1" x14ac:dyDescent="0.35">
      <c r="I97" s="42">
        <f t="shared" si="20"/>
        <v>0</v>
      </c>
      <c r="J97" s="65" t="e">
        <f t="shared" si="21"/>
        <v>#NUM!</v>
      </c>
      <c r="K97" s="83" t="e">
        <f t="shared" si="22"/>
        <v>#NUM!</v>
      </c>
      <c r="L97" s="83">
        <f t="shared" si="23"/>
        <v>0</v>
      </c>
      <c r="M97" s="110" t="str">
        <f t="shared" si="24"/>
        <v/>
      </c>
      <c r="N97" s="51" t="str">
        <f t="shared" si="25"/>
        <v/>
      </c>
      <c r="O97" s="52" t="str">
        <f t="shared" si="26"/>
        <v/>
      </c>
      <c r="P97" s="88">
        <f t="shared" si="27"/>
        <v>0</v>
      </c>
      <c r="Q97" s="88">
        <f t="shared" si="28"/>
        <v>0</v>
      </c>
      <c r="R97" s="88" t="e">
        <f>-IF(Tabla14[[#This Row],[DIAS HABILES O MORA]]&lt;0,(Tabla14[[#This Row],[VALOR PRESTAMO]]*Tabla14[[#This Row],[% INTERES ]]/30*U97))+Tabla14[[#This Row],[VALOR CUOTAS]]</f>
        <v>#VALUE!</v>
      </c>
      <c r="S97" s="88">
        <f>-IF(Tabla14[[#This Row],[DIAS HABILES O MORA]]&lt;0,(Tabla14[[#This Row],[VALOR PRESTAMO]]*Tabla14[[#This Row],[% INTERES ]]/30*U97))</f>
        <v>0</v>
      </c>
      <c r="T97" s="53" t="e">
        <f>Tabla14[[#This Row],[DEUDA CAPITAL]]+Tabla14[[#This Row],[INTERES  CUOTA]]</f>
        <v>#NUM!</v>
      </c>
      <c r="U97" s="61" t="str">
        <f t="shared" si="29"/>
        <v/>
      </c>
    </row>
    <row r="98" spans="9:21" ht="24.75" customHeight="1" x14ac:dyDescent="0.35">
      <c r="I98" s="42">
        <f t="shared" si="20"/>
        <v>0</v>
      </c>
      <c r="J98" s="65" t="e">
        <f t="shared" si="21"/>
        <v>#NUM!</v>
      </c>
      <c r="K98" s="83" t="e">
        <f t="shared" si="22"/>
        <v>#NUM!</v>
      </c>
      <c r="L98" s="83">
        <f t="shared" si="23"/>
        <v>0</v>
      </c>
      <c r="M98" s="110" t="str">
        <f t="shared" si="24"/>
        <v/>
      </c>
      <c r="N98" s="51" t="str">
        <f t="shared" si="25"/>
        <v/>
      </c>
      <c r="O98" s="52" t="str">
        <f t="shared" si="26"/>
        <v/>
      </c>
      <c r="P98" s="88">
        <f t="shared" si="27"/>
        <v>0</v>
      </c>
      <c r="Q98" s="88">
        <f t="shared" si="28"/>
        <v>0</v>
      </c>
      <c r="R98" s="88" t="e">
        <f>-IF(Tabla14[[#This Row],[DIAS HABILES O MORA]]&lt;0,(Tabla14[[#This Row],[VALOR PRESTAMO]]*Tabla14[[#This Row],[% INTERES ]]/30*U98))+Tabla14[[#This Row],[VALOR CUOTAS]]</f>
        <v>#VALUE!</v>
      </c>
      <c r="S98" s="88">
        <f>-IF(Tabla14[[#This Row],[DIAS HABILES O MORA]]&lt;0,(Tabla14[[#This Row],[VALOR PRESTAMO]]*Tabla14[[#This Row],[% INTERES ]]/30*U98))</f>
        <v>0</v>
      </c>
      <c r="T98" s="53" t="e">
        <f>Tabla14[[#This Row],[DEUDA CAPITAL]]+Tabla14[[#This Row],[INTERES  CUOTA]]</f>
        <v>#NUM!</v>
      </c>
      <c r="U98" s="61" t="str">
        <f t="shared" si="29"/>
        <v/>
      </c>
    </row>
    <row r="99" spans="9:21" ht="24.75" customHeight="1" x14ac:dyDescent="0.35">
      <c r="I99" s="42">
        <f t="shared" si="20"/>
        <v>0</v>
      </c>
      <c r="J99" s="65" t="e">
        <f t="shared" si="21"/>
        <v>#NUM!</v>
      </c>
      <c r="K99" s="83" t="e">
        <f t="shared" si="22"/>
        <v>#NUM!</v>
      </c>
      <c r="L99" s="83">
        <f t="shared" si="23"/>
        <v>0</v>
      </c>
      <c r="M99" s="110" t="str">
        <f t="shared" si="24"/>
        <v/>
      </c>
      <c r="N99" s="51" t="str">
        <f t="shared" si="25"/>
        <v/>
      </c>
      <c r="O99" s="52" t="str">
        <f t="shared" si="26"/>
        <v/>
      </c>
      <c r="P99" s="88">
        <f t="shared" si="27"/>
        <v>0</v>
      </c>
      <c r="Q99" s="88">
        <f t="shared" si="28"/>
        <v>0</v>
      </c>
      <c r="R99" s="88" t="e">
        <f>-IF(Tabla14[[#This Row],[DIAS HABILES O MORA]]&lt;0,(Tabla14[[#This Row],[VALOR PRESTAMO]]*Tabla14[[#This Row],[% INTERES ]]/30*U99))+Tabla14[[#This Row],[VALOR CUOTAS]]</f>
        <v>#VALUE!</v>
      </c>
      <c r="S99" s="88">
        <f>-IF(Tabla14[[#This Row],[DIAS HABILES O MORA]]&lt;0,(Tabla14[[#This Row],[VALOR PRESTAMO]]*Tabla14[[#This Row],[% INTERES ]]/30*U99))</f>
        <v>0</v>
      </c>
      <c r="T99" s="53" t="e">
        <f>Tabla14[[#This Row],[DEUDA CAPITAL]]+Tabla14[[#This Row],[INTERES  CUOTA]]</f>
        <v>#NUM!</v>
      </c>
      <c r="U99" s="61" t="str">
        <f t="shared" si="29"/>
        <v/>
      </c>
    </row>
    <row r="100" spans="9:21" ht="24.75" customHeight="1" x14ac:dyDescent="0.35">
      <c r="I100" s="42">
        <f t="shared" si="20"/>
        <v>0</v>
      </c>
      <c r="J100" s="65" t="e">
        <f t="shared" si="21"/>
        <v>#NUM!</v>
      </c>
      <c r="K100" s="83" t="e">
        <f t="shared" si="22"/>
        <v>#NUM!</v>
      </c>
      <c r="L100" s="83">
        <f t="shared" si="23"/>
        <v>0</v>
      </c>
      <c r="M100" s="110" t="str">
        <f t="shared" si="24"/>
        <v/>
      </c>
      <c r="N100" s="51" t="str">
        <f t="shared" si="25"/>
        <v/>
      </c>
      <c r="O100" s="52" t="str">
        <f t="shared" si="26"/>
        <v/>
      </c>
      <c r="P100" s="88">
        <f t="shared" si="27"/>
        <v>0</v>
      </c>
      <c r="Q100" s="88">
        <f t="shared" si="28"/>
        <v>0</v>
      </c>
      <c r="R100" s="88" t="e">
        <f>-IF(Tabla14[[#This Row],[DIAS HABILES O MORA]]&lt;0,(Tabla14[[#This Row],[VALOR PRESTAMO]]*Tabla14[[#This Row],[% INTERES ]]/30*U100))+Tabla14[[#This Row],[VALOR CUOTAS]]</f>
        <v>#VALUE!</v>
      </c>
      <c r="S100" s="88">
        <f>-IF(Tabla14[[#This Row],[DIAS HABILES O MORA]]&lt;0,(Tabla14[[#This Row],[VALOR PRESTAMO]]*Tabla14[[#This Row],[% INTERES ]]/30*U100))</f>
        <v>0</v>
      </c>
      <c r="T100" s="53" t="e">
        <f>Tabla14[[#This Row],[DEUDA CAPITAL]]+Tabla14[[#This Row],[INTERES  CUOTA]]</f>
        <v>#NUM!</v>
      </c>
      <c r="U100" s="61" t="str">
        <f t="shared" si="29"/>
        <v/>
      </c>
    </row>
    <row r="101" spans="9:21" ht="24.75" customHeight="1" x14ac:dyDescent="0.35">
      <c r="I101" s="42">
        <f t="shared" si="20"/>
        <v>0</v>
      </c>
      <c r="J101" s="65" t="e">
        <f t="shared" si="21"/>
        <v>#NUM!</v>
      </c>
      <c r="K101" s="83" t="e">
        <f t="shared" si="22"/>
        <v>#NUM!</v>
      </c>
      <c r="L101" s="83">
        <f t="shared" si="23"/>
        <v>0</v>
      </c>
      <c r="M101" s="110" t="str">
        <f t="shared" si="24"/>
        <v/>
      </c>
      <c r="N101" s="51" t="str">
        <f t="shared" si="25"/>
        <v/>
      </c>
      <c r="O101" s="52" t="str">
        <f t="shared" si="26"/>
        <v/>
      </c>
      <c r="P101" s="88">
        <f t="shared" si="27"/>
        <v>0</v>
      </c>
      <c r="Q101" s="88">
        <f t="shared" si="28"/>
        <v>0</v>
      </c>
      <c r="R101" s="88" t="e">
        <f>-IF(Tabla14[[#This Row],[DIAS HABILES O MORA]]&lt;0,(Tabla14[[#This Row],[VALOR PRESTAMO]]*Tabla14[[#This Row],[% INTERES ]]/30*U101))+Tabla14[[#This Row],[VALOR CUOTAS]]</f>
        <v>#VALUE!</v>
      </c>
      <c r="S101" s="88">
        <f>-IF(Tabla14[[#This Row],[DIAS HABILES O MORA]]&lt;0,(Tabla14[[#This Row],[VALOR PRESTAMO]]*Tabla14[[#This Row],[% INTERES ]]/30*U101))</f>
        <v>0</v>
      </c>
      <c r="T101" s="53" t="e">
        <f>Tabla14[[#This Row],[DEUDA CAPITAL]]+Tabla14[[#This Row],[INTERES  CUOTA]]</f>
        <v>#NUM!</v>
      </c>
      <c r="U101" s="61" t="str">
        <f t="shared" si="29"/>
        <v/>
      </c>
    </row>
    <row r="102" spans="9:21" ht="24.75" customHeight="1" x14ac:dyDescent="0.35">
      <c r="I102" s="42">
        <f t="shared" si="20"/>
        <v>0</v>
      </c>
      <c r="J102" s="65" t="e">
        <f t="shared" si="21"/>
        <v>#NUM!</v>
      </c>
      <c r="K102" s="83" t="e">
        <f t="shared" si="22"/>
        <v>#NUM!</v>
      </c>
      <c r="L102" s="83">
        <f t="shared" si="23"/>
        <v>0</v>
      </c>
      <c r="M102" s="110" t="str">
        <f t="shared" si="24"/>
        <v/>
      </c>
      <c r="N102" s="51" t="str">
        <f t="shared" si="25"/>
        <v/>
      </c>
      <c r="O102" s="52" t="str">
        <f t="shared" si="26"/>
        <v/>
      </c>
      <c r="P102" s="88">
        <f t="shared" si="27"/>
        <v>0</v>
      </c>
      <c r="Q102" s="88">
        <f t="shared" si="28"/>
        <v>0</v>
      </c>
      <c r="R102" s="88" t="e">
        <f>-IF(Tabla14[[#This Row],[DIAS HABILES O MORA]]&lt;0,(Tabla14[[#This Row],[VALOR PRESTAMO]]*Tabla14[[#This Row],[% INTERES ]]/30*U102))+Tabla14[[#This Row],[VALOR CUOTAS]]</f>
        <v>#VALUE!</v>
      </c>
      <c r="S102" s="88">
        <f>-IF(Tabla14[[#This Row],[DIAS HABILES O MORA]]&lt;0,(Tabla14[[#This Row],[VALOR PRESTAMO]]*Tabla14[[#This Row],[% INTERES ]]/30*U102))</f>
        <v>0</v>
      </c>
      <c r="T102" s="53" t="e">
        <f>Tabla14[[#This Row],[DEUDA CAPITAL]]+Tabla14[[#This Row],[INTERES  CUOTA]]</f>
        <v>#NUM!</v>
      </c>
      <c r="U102" s="61" t="str">
        <f t="shared" si="29"/>
        <v/>
      </c>
    </row>
    <row r="103" spans="9:21" ht="24.75" customHeight="1" x14ac:dyDescent="0.35">
      <c r="I103" s="42">
        <f t="shared" si="20"/>
        <v>0</v>
      </c>
      <c r="J103" s="65" t="e">
        <f t="shared" si="21"/>
        <v>#NUM!</v>
      </c>
      <c r="K103" s="83" t="e">
        <f t="shared" si="22"/>
        <v>#NUM!</v>
      </c>
      <c r="L103" s="83">
        <f t="shared" si="23"/>
        <v>0</v>
      </c>
      <c r="M103" s="110" t="str">
        <f t="shared" si="24"/>
        <v/>
      </c>
      <c r="N103" s="51" t="str">
        <f t="shared" si="25"/>
        <v/>
      </c>
      <c r="O103" s="52" t="str">
        <f t="shared" si="26"/>
        <v/>
      </c>
      <c r="P103" s="88">
        <f t="shared" si="27"/>
        <v>0</v>
      </c>
      <c r="Q103" s="88">
        <f t="shared" si="28"/>
        <v>0</v>
      </c>
      <c r="R103" s="88" t="e">
        <f>-IF(Tabla14[[#This Row],[DIAS HABILES O MORA]]&lt;0,(Tabla14[[#This Row],[VALOR PRESTAMO]]*Tabla14[[#This Row],[% INTERES ]]/30*U103))+Tabla14[[#This Row],[VALOR CUOTAS]]</f>
        <v>#VALUE!</v>
      </c>
      <c r="S103" s="88">
        <f>-IF(Tabla14[[#This Row],[DIAS HABILES O MORA]]&lt;0,(Tabla14[[#This Row],[VALOR PRESTAMO]]*Tabla14[[#This Row],[% INTERES ]]/30*U103))</f>
        <v>0</v>
      </c>
      <c r="T103" s="53" t="e">
        <f>Tabla14[[#This Row],[DEUDA CAPITAL]]+Tabla14[[#This Row],[INTERES  CUOTA]]</f>
        <v>#NUM!</v>
      </c>
      <c r="U103" s="61" t="str">
        <f t="shared" si="29"/>
        <v/>
      </c>
    </row>
    <row r="104" spans="9:21" ht="24.75" customHeight="1" x14ac:dyDescent="0.35">
      <c r="I104" s="42">
        <f t="shared" si="20"/>
        <v>0</v>
      </c>
      <c r="J104" s="65" t="e">
        <f t="shared" si="21"/>
        <v>#NUM!</v>
      </c>
      <c r="K104" s="83" t="e">
        <f t="shared" si="22"/>
        <v>#NUM!</v>
      </c>
      <c r="L104" s="83">
        <f t="shared" si="23"/>
        <v>0</v>
      </c>
      <c r="M104" s="110" t="str">
        <f t="shared" si="24"/>
        <v/>
      </c>
      <c r="N104" s="51" t="str">
        <f t="shared" si="25"/>
        <v/>
      </c>
      <c r="O104" s="52" t="str">
        <f t="shared" si="26"/>
        <v/>
      </c>
      <c r="P104" s="88">
        <f t="shared" si="27"/>
        <v>0</v>
      </c>
      <c r="Q104" s="88">
        <f t="shared" si="28"/>
        <v>0</v>
      </c>
      <c r="R104" s="88" t="e">
        <f>-IF(Tabla14[[#This Row],[DIAS HABILES O MORA]]&lt;0,(Tabla14[[#This Row],[VALOR PRESTAMO]]*Tabla14[[#This Row],[% INTERES ]]/30*U104))+Tabla14[[#This Row],[VALOR CUOTAS]]</f>
        <v>#VALUE!</v>
      </c>
      <c r="S104" s="88">
        <f>-IF(Tabla14[[#This Row],[DIAS HABILES O MORA]]&lt;0,(Tabla14[[#This Row],[VALOR PRESTAMO]]*Tabla14[[#This Row],[% INTERES ]]/30*U104))</f>
        <v>0</v>
      </c>
      <c r="T104" s="53" t="e">
        <f>Tabla14[[#This Row],[DEUDA CAPITAL]]+Tabla14[[#This Row],[INTERES  CUOTA]]</f>
        <v>#NUM!</v>
      </c>
      <c r="U104" s="61" t="str">
        <f t="shared" si="29"/>
        <v/>
      </c>
    </row>
    <row r="105" spans="9:21" ht="24.75" customHeight="1" x14ac:dyDescent="0.35">
      <c r="I105" s="42">
        <f t="shared" si="20"/>
        <v>0</v>
      </c>
      <c r="J105" s="65" t="e">
        <f t="shared" si="21"/>
        <v>#NUM!</v>
      </c>
      <c r="K105" s="83" t="e">
        <f t="shared" si="22"/>
        <v>#NUM!</v>
      </c>
      <c r="L105" s="83">
        <f t="shared" si="23"/>
        <v>0</v>
      </c>
      <c r="M105" s="110" t="str">
        <f t="shared" si="24"/>
        <v/>
      </c>
      <c r="N105" s="51" t="str">
        <f t="shared" si="25"/>
        <v/>
      </c>
      <c r="O105" s="52" t="str">
        <f t="shared" si="26"/>
        <v/>
      </c>
      <c r="P105" s="88">
        <f t="shared" si="27"/>
        <v>0</v>
      </c>
      <c r="Q105" s="88">
        <f t="shared" si="28"/>
        <v>0</v>
      </c>
      <c r="R105" s="88" t="e">
        <f>-IF(Tabla14[[#This Row],[DIAS HABILES O MORA]]&lt;0,(Tabla14[[#This Row],[VALOR PRESTAMO]]*Tabla14[[#This Row],[% INTERES ]]/30*U105))+Tabla14[[#This Row],[VALOR CUOTAS]]</f>
        <v>#VALUE!</v>
      </c>
      <c r="S105" s="88">
        <f>-IF(Tabla14[[#This Row],[DIAS HABILES O MORA]]&lt;0,(Tabla14[[#This Row],[VALOR PRESTAMO]]*Tabla14[[#This Row],[% INTERES ]]/30*U105))</f>
        <v>0</v>
      </c>
      <c r="T105" s="53" t="e">
        <f>Tabla14[[#This Row],[DEUDA CAPITAL]]+Tabla14[[#This Row],[INTERES  CUOTA]]</f>
        <v>#NUM!</v>
      </c>
      <c r="U105" s="61" t="str">
        <f t="shared" si="29"/>
        <v/>
      </c>
    </row>
    <row r="106" spans="9:21" ht="24.75" customHeight="1" x14ac:dyDescent="0.35">
      <c r="I106" s="42">
        <f t="shared" si="20"/>
        <v>0</v>
      </c>
      <c r="J106" s="65" t="e">
        <f t="shared" si="21"/>
        <v>#NUM!</v>
      </c>
      <c r="K106" s="83" t="e">
        <f t="shared" si="22"/>
        <v>#NUM!</v>
      </c>
      <c r="L106" s="83">
        <f t="shared" si="23"/>
        <v>0</v>
      </c>
      <c r="M106" s="110" t="str">
        <f t="shared" si="24"/>
        <v/>
      </c>
      <c r="N106" s="51" t="str">
        <f t="shared" si="25"/>
        <v/>
      </c>
      <c r="O106" s="52" t="str">
        <f t="shared" si="26"/>
        <v/>
      </c>
      <c r="P106" s="88">
        <f t="shared" si="27"/>
        <v>0</v>
      </c>
      <c r="Q106" s="88">
        <f t="shared" si="28"/>
        <v>0</v>
      </c>
      <c r="R106" s="88" t="e">
        <f>-IF(Tabla14[[#This Row],[DIAS HABILES O MORA]]&lt;0,(Tabla14[[#This Row],[VALOR PRESTAMO]]*Tabla14[[#This Row],[% INTERES ]]/30*U106))+Tabla14[[#This Row],[VALOR CUOTAS]]</f>
        <v>#VALUE!</v>
      </c>
      <c r="S106" s="88">
        <f>-IF(Tabla14[[#This Row],[DIAS HABILES O MORA]]&lt;0,(Tabla14[[#This Row],[VALOR PRESTAMO]]*Tabla14[[#This Row],[% INTERES ]]/30*U106))</f>
        <v>0</v>
      </c>
      <c r="T106" s="53" t="e">
        <f>Tabla14[[#This Row],[DEUDA CAPITAL]]+Tabla14[[#This Row],[INTERES  CUOTA]]</f>
        <v>#NUM!</v>
      </c>
      <c r="U106" s="61" t="str">
        <f t="shared" si="29"/>
        <v/>
      </c>
    </row>
    <row r="107" spans="9:21" ht="24.75" customHeight="1" x14ac:dyDescent="0.35">
      <c r="I107" s="42">
        <f t="shared" si="20"/>
        <v>0</v>
      </c>
      <c r="J107" s="65" t="e">
        <f t="shared" si="21"/>
        <v>#NUM!</v>
      </c>
      <c r="K107" s="83" t="e">
        <f t="shared" si="22"/>
        <v>#NUM!</v>
      </c>
      <c r="L107" s="83">
        <f t="shared" si="23"/>
        <v>0</v>
      </c>
      <c r="M107" s="110" t="str">
        <f t="shared" si="24"/>
        <v/>
      </c>
      <c r="N107" s="51" t="str">
        <f t="shared" si="25"/>
        <v/>
      </c>
      <c r="O107" s="52" t="str">
        <f t="shared" si="26"/>
        <v/>
      </c>
      <c r="P107" s="88">
        <f t="shared" si="27"/>
        <v>0</v>
      </c>
      <c r="Q107" s="88">
        <f t="shared" si="28"/>
        <v>0</v>
      </c>
      <c r="R107" s="88" t="e">
        <f>-IF(Tabla14[[#This Row],[DIAS HABILES O MORA]]&lt;0,(Tabla14[[#This Row],[VALOR PRESTAMO]]*Tabla14[[#This Row],[% INTERES ]]/30*U107))+Tabla14[[#This Row],[VALOR CUOTAS]]</f>
        <v>#VALUE!</v>
      </c>
      <c r="S107" s="88">
        <f>-IF(Tabla14[[#This Row],[DIAS HABILES O MORA]]&lt;0,(Tabla14[[#This Row],[VALOR PRESTAMO]]*Tabla14[[#This Row],[% INTERES ]]/30*U107))</f>
        <v>0</v>
      </c>
      <c r="T107" s="53" t="e">
        <f>Tabla14[[#This Row],[DEUDA CAPITAL]]+Tabla14[[#This Row],[INTERES  CUOTA]]</f>
        <v>#NUM!</v>
      </c>
      <c r="U107" s="61" t="str">
        <f t="shared" si="29"/>
        <v/>
      </c>
    </row>
    <row r="108" spans="9:21" ht="24.75" customHeight="1" x14ac:dyDescent="0.35">
      <c r="I108" s="42">
        <f t="shared" si="20"/>
        <v>0</v>
      </c>
      <c r="J108" s="65" t="e">
        <f t="shared" si="21"/>
        <v>#NUM!</v>
      </c>
      <c r="K108" s="83" t="e">
        <f t="shared" si="22"/>
        <v>#NUM!</v>
      </c>
      <c r="L108" s="83">
        <f t="shared" si="23"/>
        <v>0</v>
      </c>
      <c r="M108" s="110" t="str">
        <f t="shared" si="24"/>
        <v/>
      </c>
      <c r="N108" s="51" t="str">
        <f t="shared" si="25"/>
        <v/>
      </c>
      <c r="O108" s="52" t="str">
        <f t="shared" si="26"/>
        <v/>
      </c>
      <c r="P108" s="88">
        <f t="shared" si="27"/>
        <v>0</v>
      </c>
      <c r="Q108" s="88">
        <f t="shared" si="28"/>
        <v>0</v>
      </c>
      <c r="R108" s="88" t="e">
        <f>-IF(Tabla14[[#This Row],[DIAS HABILES O MORA]]&lt;0,(Tabla14[[#This Row],[VALOR PRESTAMO]]*Tabla14[[#This Row],[% INTERES ]]/30*U108))+Tabla14[[#This Row],[VALOR CUOTAS]]</f>
        <v>#VALUE!</v>
      </c>
      <c r="S108" s="88">
        <f>-IF(Tabla14[[#This Row],[DIAS HABILES O MORA]]&lt;0,(Tabla14[[#This Row],[VALOR PRESTAMO]]*Tabla14[[#This Row],[% INTERES ]]/30*U108))</f>
        <v>0</v>
      </c>
      <c r="T108" s="53" t="e">
        <f>Tabla14[[#This Row],[DEUDA CAPITAL]]+Tabla14[[#This Row],[INTERES  CUOTA]]</f>
        <v>#NUM!</v>
      </c>
      <c r="U108" s="61" t="str">
        <f t="shared" si="29"/>
        <v/>
      </c>
    </row>
    <row r="109" spans="9:21" ht="24.75" customHeight="1" x14ac:dyDescent="0.35">
      <c r="I109" s="42">
        <f t="shared" si="20"/>
        <v>0</v>
      </c>
      <c r="J109" s="65" t="e">
        <f t="shared" si="21"/>
        <v>#NUM!</v>
      </c>
      <c r="K109" s="83" t="e">
        <f t="shared" si="22"/>
        <v>#NUM!</v>
      </c>
      <c r="L109" s="83">
        <f t="shared" si="23"/>
        <v>0</v>
      </c>
      <c r="M109" s="110" t="str">
        <f t="shared" si="24"/>
        <v/>
      </c>
      <c r="N109" s="51" t="str">
        <f t="shared" si="25"/>
        <v/>
      </c>
      <c r="O109" s="52" t="str">
        <f t="shared" si="26"/>
        <v/>
      </c>
      <c r="P109" s="88">
        <f t="shared" si="27"/>
        <v>0</v>
      </c>
      <c r="Q109" s="88">
        <f t="shared" si="28"/>
        <v>0</v>
      </c>
      <c r="R109" s="88" t="e">
        <f>-IF(Tabla14[[#This Row],[DIAS HABILES O MORA]]&lt;0,(Tabla14[[#This Row],[VALOR PRESTAMO]]*Tabla14[[#This Row],[% INTERES ]]/30*U109))+Tabla14[[#This Row],[VALOR CUOTAS]]</f>
        <v>#VALUE!</v>
      </c>
      <c r="S109" s="88">
        <f>-IF(Tabla14[[#This Row],[DIAS HABILES O MORA]]&lt;0,(Tabla14[[#This Row],[VALOR PRESTAMO]]*Tabla14[[#This Row],[% INTERES ]]/30*U109))</f>
        <v>0</v>
      </c>
      <c r="T109" s="53" t="e">
        <f>Tabla14[[#This Row],[DEUDA CAPITAL]]+Tabla14[[#This Row],[INTERES  CUOTA]]</f>
        <v>#NUM!</v>
      </c>
      <c r="U109" s="61" t="str">
        <f t="shared" si="29"/>
        <v/>
      </c>
    </row>
    <row r="110" spans="9:21" ht="24.75" customHeight="1" x14ac:dyDescent="0.35">
      <c r="I110" s="42">
        <f t="shared" si="20"/>
        <v>0</v>
      </c>
      <c r="J110" s="65" t="e">
        <f t="shared" si="21"/>
        <v>#NUM!</v>
      </c>
      <c r="K110" s="83" t="e">
        <f t="shared" si="22"/>
        <v>#NUM!</v>
      </c>
      <c r="L110" s="83">
        <f t="shared" si="23"/>
        <v>0</v>
      </c>
      <c r="M110" s="110" t="str">
        <f t="shared" si="24"/>
        <v/>
      </c>
      <c r="N110" s="51" t="str">
        <f t="shared" si="25"/>
        <v/>
      </c>
      <c r="O110" s="52" t="str">
        <f t="shared" si="26"/>
        <v/>
      </c>
      <c r="P110" s="88">
        <f t="shared" si="27"/>
        <v>0</v>
      </c>
      <c r="Q110" s="88">
        <f t="shared" si="28"/>
        <v>0</v>
      </c>
      <c r="R110" s="88" t="e">
        <f>-IF(Tabla14[[#This Row],[DIAS HABILES O MORA]]&lt;0,(Tabla14[[#This Row],[VALOR PRESTAMO]]*Tabla14[[#This Row],[% INTERES ]]/30*U110))+Tabla14[[#This Row],[VALOR CUOTAS]]</f>
        <v>#VALUE!</v>
      </c>
      <c r="S110" s="88">
        <f>-IF(Tabla14[[#This Row],[DIAS HABILES O MORA]]&lt;0,(Tabla14[[#This Row],[VALOR PRESTAMO]]*Tabla14[[#This Row],[% INTERES ]]/30*U110))</f>
        <v>0</v>
      </c>
      <c r="T110" s="53" t="e">
        <f>Tabla14[[#This Row],[DEUDA CAPITAL]]+Tabla14[[#This Row],[INTERES  CUOTA]]</f>
        <v>#NUM!</v>
      </c>
      <c r="U110" s="61" t="str">
        <f t="shared" si="29"/>
        <v/>
      </c>
    </row>
    <row r="111" spans="9:21" ht="24.75" customHeight="1" x14ac:dyDescent="0.35">
      <c r="I111" s="42">
        <f t="shared" si="20"/>
        <v>0</v>
      </c>
      <c r="J111" s="65" t="e">
        <f t="shared" si="21"/>
        <v>#NUM!</v>
      </c>
      <c r="K111" s="83" t="e">
        <f t="shared" si="22"/>
        <v>#NUM!</v>
      </c>
      <c r="L111" s="83">
        <f t="shared" si="23"/>
        <v>0</v>
      </c>
      <c r="M111" s="110" t="str">
        <f t="shared" si="24"/>
        <v/>
      </c>
      <c r="N111" s="51" t="str">
        <f t="shared" si="25"/>
        <v/>
      </c>
      <c r="O111" s="52" t="str">
        <f t="shared" si="26"/>
        <v/>
      </c>
      <c r="P111" s="88">
        <f t="shared" si="27"/>
        <v>0</v>
      </c>
      <c r="Q111" s="88">
        <f t="shared" si="28"/>
        <v>0</v>
      </c>
      <c r="R111" s="88" t="e">
        <f>-IF(Tabla14[[#This Row],[DIAS HABILES O MORA]]&lt;0,(Tabla14[[#This Row],[VALOR PRESTAMO]]*Tabla14[[#This Row],[% INTERES ]]/30*U111))+Tabla14[[#This Row],[VALOR CUOTAS]]</f>
        <v>#VALUE!</v>
      </c>
      <c r="S111" s="88">
        <f>-IF(Tabla14[[#This Row],[DIAS HABILES O MORA]]&lt;0,(Tabla14[[#This Row],[VALOR PRESTAMO]]*Tabla14[[#This Row],[% INTERES ]]/30*U111))</f>
        <v>0</v>
      </c>
      <c r="T111" s="53" t="e">
        <f>Tabla14[[#This Row],[DEUDA CAPITAL]]+Tabla14[[#This Row],[INTERES  CUOTA]]</f>
        <v>#NUM!</v>
      </c>
      <c r="U111" s="61" t="str">
        <f t="shared" si="29"/>
        <v/>
      </c>
    </row>
    <row r="112" spans="9:21" ht="24.75" customHeight="1" x14ac:dyDescent="0.35">
      <c r="I112" s="42">
        <f t="shared" si="20"/>
        <v>0</v>
      </c>
      <c r="J112" s="65" t="e">
        <f t="shared" si="21"/>
        <v>#NUM!</v>
      </c>
      <c r="K112" s="83" t="e">
        <f t="shared" si="22"/>
        <v>#NUM!</v>
      </c>
      <c r="L112" s="83">
        <f t="shared" si="23"/>
        <v>0</v>
      </c>
      <c r="M112" s="110" t="str">
        <f t="shared" si="24"/>
        <v/>
      </c>
      <c r="N112" s="51" t="str">
        <f t="shared" si="25"/>
        <v/>
      </c>
      <c r="O112" s="52" t="str">
        <f t="shared" si="26"/>
        <v/>
      </c>
      <c r="P112" s="88">
        <f t="shared" si="27"/>
        <v>0</v>
      </c>
      <c r="Q112" s="88">
        <f t="shared" si="28"/>
        <v>0</v>
      </c>
      <c r="R112" s="88" t="e">
        <f>-IF(Tabla14[[#This Row],[DIAS HABILES O MORA]]&lt;0,(Tabla14[[#This Row],[VALOR PRESTAMO]]*Tabla14[[#This Row],[% INTERES ]]/30*U112))+Tabla14[[#This Row],[VALOR CUOTAS]]</f>
        <v>#VALUE!</v>
      </c>
      <c r="S112" s="88">
        <f>-IF(Tabla14[[#This Row],[DIAS HABILES O MORA]]&lt;0,(Tabla14[[#This Row],[VALOR PRESTAMO]]*Tabla14[[#This Row],[% INTERES ]]/30*U112))</f>
        <v>0</v>
      </c>
      <c r="T112" s="53" t="e">
        <f>Tabla14[[#This Row],[DEUDA CAPITAL]]+Tabla14[[#This Row],[INTERES  CUOTA]]</f>
        <v>#NUM!</v>
      </c>
      <c r="U112" s="61" t="str">
        <f t="shared" si="29"/>
        <v/>
      </c>
    </row>
    <row r="113" spans="9:21" ht="24.75" customHeight="1" x14ac:dyDescent="0.35">
      <c r="I113" s="42">
        <f t="shared" si="20"/>
        <v>0</v>
      </c>
      <c r="J113" s="65" t="e">
        <f t="shared" si="21"/>
        <v>#NUM!</v>
      </c>
      <c r="K113" s="83" t="e">
        <f t="shared" si="22"/>
        <v>#NUM!</v>
      </c>
      <c r="L113" s="83">
        <f t="shared" si="23"/>
        <v>0</v>
      </c>
      <c r="M113" s="110" t="str">
        <f t="shared" si="24"/>
        <v/>
      </c>
      <c r="N113" s="51" t="str">
        <f t="shared" si="25"/>
        <v/>
      </c>
      <c r="O113" s="52" t="str">
        <f t="shared" si="26"/>
        <v/>
      </c>
      <c r="P113" s="88">
        <f t="shared" si="27"/>
        <v>0</v>
      </c>
      <c r="Q113" s="88">
        <f t="shared" si="28"/>
        <v>0</v>
      </c>
      <c r="R113" s="88" t="e">
        <f>-IF(Tabla14[[#This Row],[DIAS HABILES O MORA]]&lt;0,(Tabla14[[#This Row],[VALOR PRESTAMO]]*Tabla14[[#This Row],[% INTERES ]]/30*U113))+Tabla14[[#This Row],[VALOR CUOTAS]]</f>
        <v>#VALUE!</v>
      </c>
      <c r="S113" s="88">
        <f>-IF(Tabla14[[#This Row],[DIAS HABILES O MORA]]&lt;0,(Tabla14[[#This Row],[VALOR PRESTAMO]]*Tabla14[[#This Row],[% INTERES ]]/30*U113))</f>
        <v>0</v>
      </c>
      <c r="T113" s="53" t="e">
        <f>Tabla14[[#This Row],[DEUDA CAPITAL]]+Tabla14[[#This Row],[INTERES  CUOTA]]</f>
        <v>#NUM!</v>
      </c>
      <c r="U113" s="61" t="str">
        <f t="shared" si="29"/>
        <v/>
      </c>
    </row>
    <row r="114" spans="9:21" ht="24.75" customHeight="1" x14ac:dyDescent="0.35">
      <c r="I114" s="42">
        <f t="shared" si="20"/>
        <v>0</v>
      </c>
      <c r="J114" s="65" t="e">
        <f t="shared" si="21"/>
        <v>#NUM!</v>
      </c>
      <c r="K114" s="83" t="e">
        <f t="shared" si="22"/>
        <v>#NUM!</v>
      </c>
      <c r="L114" s="83">
        <f t="shared" si="23"/>
        <v>0</v>
      </c>
      <c r="M114" s="110" t="str">
        <f t="shared" si="24"/>
        <v/>
      </c>
      <c r="N114" s="51" t="str">
        <f t="shared" si="25"/>
        <v/>
      </c>
      <c r="O114" s="52" t="str">
        <f t="shared" si="26"/>
        <v/>
      </c>
      <c r="P114" s="88">
        <f t="shared" si="27"/>
        <v>0</v>
      </c>
      <c r="Q114" s="88">
        <f t="shared" si="28"/>
        <v>0</v>
      </c>
      <c r="R114" s="88" t="e">
        <f>-IF(Tabla14[[#This Row],[DIAS HABILES O MORA]]&lt;0,(Tabla14[[#This Row],[VALOR PRESTAMO]]*Tabla14[[#This Row],[% INTERES ]]/30*U114))+Tabla14[[#This Row],[VALOR CUOTAS]]</f>
        <v>#VALUE!</v>
      </c>
      <c r="S114" s="88">
        <f>-IF(Tabla14[[#This Row],[DIAS HABILES O MORA]]&lt;0,(Tabla14[[#This Row],[VALOR PRESTAMO]]*Tabla14[[#This Row],[% INTERES ]]/30*U114))</f>
        <v>0</v>
      </c>
      <c r="T114" s="53" t="e">
        <f>Tabla14[[#This Row],[DEUDA CAPITAL]]+Tabla14[[#This Row],[INTERES  CUOTA]]</f>
        <v>#NUM!</v>
      </c>
      <c r="U114" s="61" t="str">
        <f t="shared" si="29"/>
        <v/>
      </c>
    </row>
    <row r="115" spans="9:21" ht="24.75" customHeight="1" x14ac:dyDescent="0.35">
      <c r="I115" s="42">
        <f t="shared" si="20"/>
        <v>0</v>
      </c>
      <c r="J115" s="65" t="e">
        <f t="shared" si="21"/>
        <v>#NUM!</v>
      </c>
      <c r="K115" s="83" t="e">
        <f t="shared" si="22"/>
        <v>#NUM!</v>
      </c>
      <c r="L115" s="83">
        <f t="shared" si="23"/>
        <v>0</v>
      </c>
      <c r="M115" s="110" t="str">
        <f t="shared" si="24"/>
        <v/>
      </c>
      <c r="N115" s="51" t="str">
        <f t="shared" si="25"/>
        <v/>
      </c>
      <c r="O115" s="52" t="str">
        <f t="shared" si="26"/>
        <v/>
      </c>
      <c r="P115" s="88">
        <f t="shared" si="27"/>
        <v>0</v>
      </c>
      <c r="Q115" s="88">
        <f t="shared" si="28"/>
        <v>0</v>
      </c>
      <c r="R115" s="88" t="e">
        <f>-IF(Tabla14[[#This Row],[DIAS HABILES O MORA]]&lt;0,(Tabla14[[#This Row],[VALOR PRESTAMO]]*Tabla14[[#This Row],[% INTERES ]]/30*U115))+Tabla14[[#This Row],[VALOR CUOTAS]]</f>
        <v>#VALUE!</v>
      </c>
      <c r="S115" s="88">
        <f>-IF(Tabla14[[#This Row],[DIAS HABILES O MORA]]&lt;0,(Tabla14[[#This Row],[VALOR PRESTAMO]]*Tabla14[[#This Row],[% INTERES ]]/30*U115))</f>
        <v>0</v>
      </c>
      <c r="T115" s="53" t="e">
        <f>Tabla14[[#This Row],[DEUDA CAPITAL]]+Tabla14[[#This Row],[INTERES  CUOTA]]</f>
        <v>#NUM!</v>
      </c>
      <c r="U115" s="61" t="str">
        <f t="shared" si="29"/>
        <v/>
      </c>
    </row>
    <row r="116" spans="9:21" ht="24.75" customHeight="1" x14ac:dyDescent="0.35">
      <c r="I116" s="42">
        <f t="shared" si="20"/>
        <v>0</v>
      </c>
      <c r="J116" s="65" t="e">
        <f t="shared" si="21"/>
        <v>#NUM!</v>
      </c>
      <c r="K116" s="83" t="e">
        <f t="shared" si="22"/>
        <v>#NUM!</v>
      </c>
      <c r="L116" s="83">
        <f t="shared" si="23"/>
        <v>0</v>
      </c>
      <c r="M116" s="110" t="str">
        <f t="shared" si="24"/>
        <v/>
      </c>
      <c r="N116" s="51" t="str">
        <f t="shared" si="25"/>
        <v/>
      </c>
      <c r="O116" s="52" t="str">
        <f t="shared" si="26"/>
        <v/>
      </c>
      <c r="P116" s="88">
        <f t="shared" si="27"/>
        <v>0</v>
      </c>
      <c r="Q116" s="88">
        <f t="shared" si="28"/>
        <v>0</v>
      </c>
      <c r="R116" s="88" t="e">
        <f>-IF(Tabla14[[#This Row],[DIAS HABILES O MORA]]&lt;0,(Tabla14[[#This Row],[VALOR PRESTAMO]]*Tabla14[[#This Row],[% INTERES ]]/30*U116))+Tabla14[[#This Row],[VALOR CUOTAS]]</f>
        <v>#VALUE!</v>
      </c>
      <c r="S116" s="88">
        <f>-IF(Tabla14[[#This Row],[DIAS HABILES O MORA]]&lt;0,(Tabla14[[#This Row],[VALOR PRESTAMO]]*Tabla14[[#This Row],[% INTERES ]]/30*U116))</f>
        <v>0</v>
      </c>
      <c r="T116" s="53" t="e">
        <f>Tabla14[[#This Row],[DEUDA CAPITAL]]+Tabla14[[#This Row],[INTERES  CUOTA]]</f>
        <v>#NUM!</v>
      </c>
      <c r="U116" s="61" t="str">
        <f t="shared" si="29"/>
        <v/>
      </c>
    </row>
    <row r="117" spans="9:21" ht="24.75" customHeight="1" x14ac:dyDescent="0.35">
      <c r="I117" s="42">
        <f t="shared" si="20"/>
        <v>0</v>
      </c>
      <c r="J117" s="65" t="e">
        <f t="shared" si="21"/>
        <v>#NUM!</v>
      </c>
      <c r="K117" s="83" t="e">
        <f t="shared" si="22"/>
        <v>#NUM!</v>
      </c>
      <c r="L117" s="83">
        <f t="shared" si="23"/>
        <v>0</v>
      </c>
      <c r="M117" s="110" t="str">
        <f t="shared" si="24"/>
        <v/>
      </c>
      <c r="N117" s="51" t="str">
        <f t="shared" si="25"/>
        <v/>
      </c>
      <c r="O117" s="52" t="str">
        <f t="shared" si="26"/>
        <v/>
      </c>
      <c r="P117" s="88">
        <f t="shared" si="27"/>
        <v>0</v>
      </c>
      <c r="Q117" s="88">
        <f t="shared" si="28"/>
        <v>0</v>
      </c>
      <c r="R117" s="88" t="e">
        <f>-IF(Tabla14[[#This Row],[DIAS HABILES O MORA]]&lt;0,(Tabla14[[#This Row],[VALOR PRESTAMO]]*Tabla14[[#This Row],[% INTERES ]]/30*U117))+Tabla14[[#This Row],[VALOR CUOTAS]]</f>
        <v>#VALUE!</v>
      </c>
      <c r="S117" s="88">
        <f>-IF(Tabla14[[#This Row],[DIAS HABILES O MORA]]&lt;0,(Tabla14[[#This Row],[VALOR PRESTAMO]]*Tabla14[[#This Row],[% INTERES ]]/30*U117))</f>
        <v>0</v>
      </c>
      <c r="T117" s="53" t="e">
        <f>Tabla14[[#This Row],[DEUDA CAPITAL]]+Tabla14[[#This Row],[INTERES  CUOTA]]</f>
        <v>#NUM!</v>
      </c>
      <c r="U117" s="61" t="str">
        <f t="shared" si="29"/>
        <v/>
      </c>
    </row>
    <row r="118" spans="9:21" ht="24.75" customHeight="1" x14ac:dyDescent="0.35">
      <c r="I118" s="42">
        <f t="shared" si="20"/>
        <v>0</v>
      </c>
      <c r="J118" s="65" t="e">
        <f t="shared" si="21"/>
        <v>#NUM!</v>
      </c>
      <c r="K118" s="83" t="e">
        <f t="shared" si="22"/>
        <v>#NUM!</v>
      </c>
      <c r="L118" s="83">
        <f t="shared" si="23"/>
        <v>0</v>
      </c>
      <c r="M118" s="110" t="str">
        <f t="shared" si="24"/>
        <v/>
      </c>
      <c r="N118" s="51" t="str">
        <f t="shared" si="25"/>
        <v/>
      </c>
      <c r="O118" s="52" t="str">
        <f t="shared" si="26"/>
        <v/>
      </c>
      <c r="P118" s="88">
        <f t="shared" si="27"/>
        <v>0</v>
      </c>
      <c r="Q118" s="88">
        <f t="shared" si="28"/>
        <v>0</v>
      </c>
      <c r="R118" s="88" t="e">
        <f>-IF(Tabla14[[#This Row],[DIAS HABILES O MORA]]&lt;0,(Tabla14[[#This Row],[VALOR PRESTAMO]]*Tabla14[[#This Row],[% INTERES ]]/30*U118))+Tabla14[[#This Row],[VALOR CUOTAS]]</f>
        <v>#VALUE!</v>
      </c>
      <c r="S118" s="88">
        <f>-IF(Tabla14[[#This Row],[DIAS HABILES O MORA]]&lt;0,(Tabla14[[#This Row],[VALOR PRESTAMO]]*Tabla14[[#This Row],[% INTERES ]]/30*U118))</f>
        <v>0</v>
      </c>
      <c r="T118" s="53" t="e">
        <f>Tabla14[[#This Row],[DEUDA CAPITAL]]+Tabla14[[#This Row],[INTERES  CUOTA]]</f>
        <v>#NUM!</v>
      </c>
      <c r="U118" s="61" t="str">
        <f t="shared" si="29"/>
        <v/>
      </c>
    </row>
    <row r="119" spans="9:21" ht="24.75" customHeight="1" x14ac:dyDescent="0.35">
      <c r="I119" s="42">
        <f t="shared" si="20"/>
        <v>0</v>
      </c>
      <c r="J119" s="65" t="e">
        <f t="shared" si="21"/>
        <v>#NUM!</v>
      </c>
      <c r="K119" s="83" t="e">
        <f t="shared" si="22"/>
        <v>#NUM!</v>
      </c>
      <c r="L119" s="83">
        <f t="shared" si="23"/>
        <v>0</v>
      </c>
      <c r="M119" s="110" t="str">
        <f t="shared" si="24"/>
        <v/>
      </c>
      <c r="N119" s="51" t="str">
        <f t="shared" si="25"/>
        <v/>
      </c>
      <c r="O119" s="52" t="str">
        <f t="shared" si="26"/>
        <v/>
      </c>
      <c r="P119" s="88">
        <f t="shared" si="27"/>
        <v>0</v>
      </c>
      <c r="Q119" s="88">
        <f t="shared" si="28"/>
        <v>0</v>
      </c>
      <c r="R119" s="88" t="e">
        <f>-IF(Tabla14[[#This Row],[DIAS HABILES O MORA]]&lt;0,(Tabla14[[#This Row],[VALOR PRESTAMO]]*Tabla14[[#This Row],[% INTERES ]]/30*U119))+Tabla14[[#This Row],[VALOR CUOTAS]]</f>
        <v>#VALUE!</v>
      </c>
      <c r="S119" s="88">
        <f>-IF(Tabla14[[#This Row],[DIAS HABILES O MORA]]&lt;0,(Tabla14[[#This Row],[VALOR PRESTAMO]]*Tabla14[[#This Row],[% INTERES ]]/30*U119))</f>
        <v>0</v>
      </c>
      <c r="T119" s="53" t="e">
        <f>Tabla14[[#This Row],[DEUDA CAPITAL]]+Tabla14[[#This Row],[INTERES  CUOTA]]</f>
        <v>#NUM!</v>
      </c>
      <c r="U119" s="61" t="str">
        <f t="shared" si="29"/>
        <v/>
      </c>
    </row>
    <row r="120" spans="9:21" ht="24.75" customHeight="1" x14ac:dyDescent="0.35">
      <c r="I120" s="42">
        <f t="shared" si="20"/>
        <v>0</v>
      </c>
      <c r="J120" s="65" t="e">
        <f t="shared" si="21"/>
        <v>#NUM!</v>
      </c>
      <c r="K120" s="83" t="e">
        <f t="shared" si="22"/>
        <v>#NUM!</v>
      </c>
      <c r="L120" s="83">
        <f t="shared" si="23"/>
        <v>0</v>
      </c>
      <c r="M120" s="110" t="str">
        <f t="shared" si="24"/>
        <v/>
      </c>
      <c r="N120" s="51" t="str">
        <f t="shared" si="25"/>
        <v/>
      </c>
      <c r="O120" s="52" t="str">
        <f t="shared" si="26"/>
        <v/>
      </c>
      <c r="P120" s="88">
        <f t="shared" si="27"/>
        <v>0</v>
      </c>
      <c r="Q120" s="88">
        <f t="shared" si="28"/>
        <v>0</v>
      </c>
      <c r="R120" s="88" t="e">
        <f>-IF(Tabla14[[#This Row],[DIAS HABILES O MORA]]&lt;0,(Tabla14[[#This Row],[VALOR PRESTAMO]]*Tabla14[[#This Row],[% INTERES ]]/30*U120))+Tabla14[[#This Row],[VALOR CUOTAS]]</f>
        <v>#VALUE!</v>
      </c>
      <c r="S120" s="88">
        <f>-IF(Tabla14[[#This Row],[DIAS HABILES O MORA]]&lt;0,(Tabla14[[#This Row],[VALOR PRESTAMO]]*Tabla14[[#This Row],[% INTERES ]]/30*U120))</f>
        <v>0</v>
      </c>
      <c r="T120" s="53" t="e">
        <f>Tabla14[[#This Row],[DEUDA CAPITAL]]+Tabla14[[#This Row],[INTERES  CUOTA]]</f>
        <v>#NUM!</v>
      </c>
      <c r="U120" s="61" t="str">
        <f t="shared" si="29"/>
        <v/>
      </c>
    </row>
    <row r="121" spans="9:21" ht="24.75" customHeight="1" x14ac:dyDescent="0.35">
      <c r="I121" s="42">
        <f t="shared" si="20"/>
        <v>0</v>
      </c>
      <c r="J121" s="65" t="e">
        <f t="shared" si="21"/>
        <v>#NUM!</v>
      </c>
      <c r="K121" s="83" t="e">
        <f t="shared" si="22"/>
        <v>#NUM!</v>
      </c>
      <c r="L121" s="83">
        <f t="shared" si="23"/>
        <v>0</v>
      </c>
      <c r="M121" s="110" t="str">
        <f t="shared" si="24"/>
        <v/>
      </c>
      <c r="N121" s="51" t="str">
        <f t="shared" si="25"/>
        <v/>
      </c>
      <c r="O121" s="52" t="str">
        <f t="shared" si="26"/>
        <v/>
      </c>
      <c r="P121" s="88">
        <f t="shared" si="27"/>
        <v>0</v>
      </c>
      <c r="Q121" s="88">
        <f t="shared" si="28"/>
        <v>0</v>
      </c>
      <c r="R121" s="88" t="e">
        <f>-IF(Tabla14[[#This Row],[DIAS HABILES O MORA]]&lt;0,(Tabla14[[#This Row],[VALOR PRESTAMO]]*Tabla14[[#This Row],[% INTERES ]]/30*U121))+Tabla14[[#This Row],[VALOR CUOTAS]]</f>
        <v>#VALUE!</v>
      </c>
      <c r="S121" s="88">
        <f>-IF(Tabla14[[#This Row],[DIAS HABILES O MORA]]&lt;0,(Tabla14[[#This Row],[VALOR PRESTAMO]]*Tabla14[[#This Row],[% INTERES ]]/30*U121))</f>
        <v>0</v>
      </c>
      <c r="T121" s="53" t="e">
        <f>Tabla14[[#This Row],[DEUDA CAPITAL]]+Tabla14[[#This Row],[INTERES  CUOTA]]</f>
        <v>#NUM!</v>
      </c>
      <c r="U121" s="61" t="str">
        <f t="shared" si="29"/>
        <v/>
      </c>
    </row>
    <row r="122" spans="9:21" ht="24.75" customHeight="1" x14ac:dyDescent="0.35">
      <c r="I122" s="42">
        <f t="shared" si="20"/>
        <v>0</v>
      </c>
      <c r="J122" s="65" t="e">
        <f t="shared" si="21"/>
        <v>#NUM!</v>
      </c>
      <c r="K122" s="83" t="e">
        <f t="shared" si="22"/>
        <v>#NUM!</v>
      </c>
      <c r="L122" s="83">
        <f t="shared" si="23"/>
        <v>0</v>
      </c>
      <c r="M122" s="110" t="str">
        <f t="shared" si="24"/>
        <v/>
      </c>
      <c r="N122" s="51" t="str">
        <f t="shared" si="25"/>
        <v/>
      </c>
      <c r="O122" s="52" t="str">
        <f t="shared" si="26"/>
        <v/>
      </c>
      <c r="P122" s="88">
        <f t="shared" si="27"/>
        <v>0</v>
      </c>
      <c r="Q122" s="88">
        <f t="shared" si="28"/>
        <v>0</v>
      </c>
      <c r="R122" s="88" t="e">
        <f>-IF(Tabla14[[#This Row],[DIAS HABILES O MORA]]&lt;0,(Tabla14[[#This Row],[VALOR PRESTAMO]]*Tabla14[[#This Row],[% INTERES ]]/30*U122))+Tabla14[[#This Row],[VALOR CUOTAS]]</f>
        <v>#VALUE!</v>
      </c>
      <c r="S122" s="88">
        <f>-IF(Tabla14[[#This Row],[DIAS HABILES O MORA]]&lt;0,(Tabla14[[#This Row],[VALOR PRESTAMO]]*Tabla14[[#This Row],[% INTERES ]]/30*U122))</f>
        <v>0</v>
      </c>
      <c r="T122" s="53" t="e">
        <f>Tabla14[[#This Row],[DEUDA CAPITAL]]+Tabla14[[#This Row],[INTERES  CUOTA]]</f>
        <v>#NUM!</v>
      </c>
      <c r="U122" s="61" t="str">
        <f t="shared" si="29"/>
        <v/>
      </c>
    </row>
    <row r="123" spans="9:21" ht="24.75" customHeight="1" x14ac:dyDescent="0.35">
      <c r="I123" s="42">
        <f t="shared" si="20"/>
        <v>0</v>
      </c>
      <c r="J123" s="65" t="e">
        <f t="shared" si="21"/>
        <v>#NUM!</v>
      </c>
      <c r="K123" s="83" t="e">
        <f t="shared" si="22"/>
        <v>#NUM!</v>
      </c>
      <c r="L123" s="83">
        <f t="shared" si="23"/>
        <v>0</v>
      </c>
      <c r="M123" s="110" t="str">
        <f t="shared" si="24"/>
        <v/>
      </c>
      <c r="N123" s="51" t="str">
        <f t="shared" si="25"/>
        <v/>
      </c>
      <c r="O123" s="52" t="str">
        <f t="shared" si="26"/>
        <v/>
      </c>
      <c r="P123" s="88">
        <f t="shared" si="27"/>
        <v>0</v>
      </c>
      <c r="Q123" s="88">
        <f t="shared" si="28"/>
        <v>0</v>
      </c>
      <c r="R123" s="88" t="e">
        <f>-IF(Tabla14[[#This Row],[DIAS HABILES O MORA]]&lt;0,(Tabla14[[#This Row],[VALOR PRESTAMO]]*Tabla14[[#This Row],[% INTERES ]]/30*U123))+Tabla14[[#This Row],[VALOR CUOTAS]]</f>
        <v>#VALUE!</v>
      </c>
      <c r="S123" s="88">
        <f>-IF(Tabla14[[#This Row],[DIAS HABILES O MORA]]&lt;0,(Tabla14[[#This Row],[VALOR PRESTAMO]]*Tabla14[[#This Row],[% INTERES ]]/30*U123))</f>
        <v>0</v>
      </c>
      <c r="T123" s="53" t="e">
        <f>Tabla14[[#This Row],[DEUDA CAPITAL]]+Tabla14[[#This Row],[INTERES  CUOTA]]</f>
        <v>#NUM!</v>
      </c>
      <c r="U123" s="61" t="str">
        <f t="shared" si="29"/>
        <v/>
      </c>
    </row>
    <row r="124" spans="9:21" ht="24.75" customHeight="1" x14ac:dyDescent="0.35">
      <c r="I124" s="42">
        <f t="shared" si="20"/>
        <v>0</v>
      </c>
      <c r="J124" s="65" t="e">
        <f t="shared" si="21"/>
        <v>#NUM!</v>
      </c>
      <c r="K124" s="83" t="e">
        <f t="shared" si="22"/>
        <v>#NUM!</v>
      </c>
      <c r="L124" s="83">
        <f t="shared" si="23"/>
        <v>0</v>
      </c>
      <c r="M124" s="110" t="str">
        <f t="shared" si="24"/>
        <v/>
      </c>
      <c r="N124" s="51" t="str">
        <f t="shared" si="25"/>
        <v/>
      </c>
      <c r="O124" s="52" t="str">
        <f t="shared" si="26"/>
        <v/>
      </c>
      <c r="P124" s="88">
        <f t="shared" si="27"/>
        <v>0</v>
      </c>
      <c r="Q124" s="88">
        <f t="shared" si="28"/>
        <v>0</v>
      </c>
      <c r="R124" s="88" t="e">
        <f>-IF(Tabla14[[#This Row],[DIAS HABILES O MORA]]&lt;0,(Tabla14[[#This Row],[VALOR PRESTAMO]]*Tabla14[[#This Row],[% INTERES ]]/30*U124))+Tabla14[[#This Row],[VALOR CUOTAS]]</f>
        <v>#VALUE!</v>
      </c>
      <c r="S124" s="88">
        <f>-IF(Tabla14[[#This Row],[DIAS HABILES O MORA]]&lt;0,(Tabla14[[#This Row],[VALOR PRESTAMO]]*Tabla14[[#This Row],[% INTERES ]]/30*U124))</f>
        <v>0</v>
      </c>
      <c r="T124" s="53" t="e">
        <f>Tabla14[[#This Row],[DEUDA CAPITAL]]+Tabla14[[#This Row],[INTERES  CUOTA]]</f>
        <v>#NUM!</v>
      </c>
      <c r="U124" s="61" t="str">
        <f t="shared" si="29"/>
        <v/>
      </c>
    </row>
    <row r="125" spans="9:21" ht="24.75" customHeight="1" x14ac:dyDescent="0.35">
      <c r="I125" s="42">
        <f t="shared" si="20"/>
        <v>0</v>
      </c>
      <c r="J125" s="65" t="e">
        <f t="shared" si="21"/>
        <v>#NUM!</v>
      </c>
      <c r="K125" s="83" t="e">
        <f t="shared" si="22"/>
        <v>#NUM!</v>
      </c>
      <c r="L125" s="83">
        <f t="shared" si="23"/>
        <v>0</v>
      </c>
      <c r="M125" s="110" t="str">
        <f t="shared" si="24"/>
        <v/>
      </c>
      <c r="N125" s="51" t="str">
        <f t="shared" si="25"/>
        <v/>
      </c>
      <c r="O125" s="52" t="str">
        <f t="shared" si="26"/>
        <v/>
      </c>
      <c r="P125" s="88">
        <f t="shared" si="27"/>
        <v>0</v>
      </c>
      <c r="Q125" s="88">
        <f t="shared" si="28"/>
        <v>0</v>
      </c>
      <c r="R125" s="88" t="e">
        <f>-IF(Tabla14[[#This Row],[DIAS HABILES O MORA]]&lt;0,(Tabla14[[#This Row],[VALOR PRESTAMO]]*Tabla14[[#This Row],[% INTERES ]]/30*U125))+Tabla14[[#This Row],[VALOR CUOTAS]]</f>
        <v>#VALUE!</v>
      </c>
      <c r="S125" s="88">
        <f>-IF(Tabla14[[#This Row],[DIAS HABILES O MORA]]&lt;0,(Tabla14[[#This Row],[VALOR PRESTAMO]]*Tabla14[[#This Row],[% INTERES ]]/30*U125))</f>
        <v>0</v>
      </c>
      <c r="T125" s="53" t="e">
        <f>Tabla14[[#This Row],[DEUDA CAPITAL]]+Tabla14[[#This Row],[INTERES  CUOTA]]</f>
        <v>#NUM!</v>
      </c>
      <c r="U125" s="61" t="str">
        <f t="shared" si="29"/>
        <v/>
      </c>
    </row>
    <row r="126" spans="9:21" ht="24.75" customHeight="1" x14ac:dyDescent="0.35">
      <c r="I126" s="42">
        <f t="shared" si="20"/>
        <v>0</v>
      </c>
      <c r="J126" s="65" t="e">
        <f t="shared" si="21"/>
        <v>#NUM!</v>
      </c>
      <c r="K126" s="83" t="e">
        <f t="shared" si="22"/>
        <v>#NUM!</v>
      </c>
      <c r="L126" s="83">
        <f t="shared" si="23"/>
        <v>0</v>
      </c>
      <c r="M126" s="110" t="str">
        <f t="shared" si="24"/>
        <v/>
      </c>
      <c r="N126" s="51" t="str">
        <f t="shared" si="25"/>
        <v/>
      </c>
      <c r="O126" s="52" t="str">
        <f t="shared" si="26"/>
        <v/>
      </c>
      <c r="P126" s="88">
        <f t="shared" si="27"/>
        <v>0</v>
      </c>
      <c r="Q126" s="88">
        <f t="shared" si="28"/>
        <v>0</v>
      </c>
      <c r="R126" s="88" t="e">
        <f>-IF(Tabla14[[#This Row],[DIAS HABILES O MORA]]&lt;0,(Tabla14[[#This Row],[VALOR PRESTAMO]]*Tabla14[[#This Row],[% INTERES ]]/30*U126))+Tabla14[[#This Row],[VALOR CUOTAS]]</f>
        <v>#VALUE!</v>
      </c>
      <c r="S126" s="88">
        <f>-IF(Tabla14[[#This Row],[DIAS HABILES O MORA]]&lt;0,(Tabla14[[#This Row],[VALOR PRESTAMO]]*Tabla14[[#This Row],[% INTERES ]]/30*U126))</f>
        <v>0</v>
      </c>
      <c r="T126" s="53" t="e">
        <f>Tabla14[[#This Row],[DEUDA CAPITAL]]+Tabla14[[#This Row],[INTERES  CUOTA]]</f>
        <v>#NUM!</v>
      </c>
      <c r="U126" s="61" t="str">
        <f t="shared" si="29"/>
        <v/>
      </c>
    </row>
    <row r="127" spans="9:21" ht="24.75" customHeight="1" x14ac:dyDescent="0.35">
      <c r="I127" s="42">
        <f t="shared" si="20"/>
        <v>0</v>
      </c>
      <c r="J127" s="65" t="e">
        <f t="shared" si="21"/>
        <v>#NUM!</v>
      </c>
      <c r="K127" s="83" t="e">
        <f t="shared" si="22"/>
        <v>#NUM!</v>
      </c>
      <c r="L127" s="83">
        <f t="shared" si="23"/>
        <v>0</v>
      </c>
      <c r="M127" s="110" t="str">
        <f t="shared" si="24"/>
        <v/>
      </c>
      <c r="N127" s="51" t="str">
        <f t="shared" si="25"/>
        <v/>
      </c>
      <c r="O127" s="52" t="str">
        <f t="shared" si="26"/>
        <v/>
      </c>
      <c r="P127" s="88">
        <f t="shared" si="27"/>
        <v>0</v>
      </c>
      <c r="Q127" s="88">
        <f t="shared" si="28"/>
        <v>0</v>
      </c>
      <c r="R127" s="88" t="e">
        <f>-IF(Tabla14[[#This Row],[DIAS HABILES O MORA]]&lt;0,(Tabla14[[#This Row],[VALOR PRESTAMO]]*Tabla14[[#This Row],[% INTERES ]]/30*U127))+Tabla14[[#This Row],[VALOR CUOTAS]]</f>
        <v>#VALUE!</v>
      </c>
      <c r="S127" s="88">
        <f>-IF(Tabla14[[#This Row],[DIAS HABILES O MORA]]&lt;0,(Tabla14[[#This Row],[VALOR PRESTAMO]]*Tabla14[[#This Row],[% INTERES ]]/30*U127))</f>
        <v>0</v>
      </c>
      <c r="T127" s="53" t="e">
        <f>Tabla14[[#This Row],[DEUDA CAPITAL]]+Tabla14[[#This Row],[INTERES  CUOTA]]</f>
        <v>#NUM!</v>
      </c>
      <c r="U127" s="61" t="str">
        <f t="shared" si="29"/>
        <v/>
      </c>
    </row>
    <row r="128" spans="9:21" ht="24.75" customHeight="1" x14ac:dyDescent="0.35">
      <c r="I128" s="42">
        <f t="shared" si="20"/>
        <v>0</v>
      </c>
      <c r="J128" s="65" t="e">
        <f t="shared" si="21"/>
        <v>#NUM!</v>
      </c>
      <c r="K128" s="83" t="e">
        <f t="shared" si="22"/>
        <v>#NUM!</v>
      </c>
      <c r="L128" s="83">
        <f t="shared" si="23"/>
        <v>0</v>
      </c>
      <c r="M128" s="110" t="str">
        <f t="shared" si="24"/>
        <v/>
      </c>
      <c r="N128" s="51" t="str">
        <f t="shared" si="25"/>
        <v/>
      </c>
      <c r="O128" s="52" t="str">
        <f t="shared" si="26"/>
        <v/>
      </c>
      <c r="P128" s="88">
        <f t="shared" si="27"/>
        <v>0</v>
      </c>
      <c r="Q128" s="88">
        <f t="shared" si="28"/>
        <v>0</v>
      </c>
      <c r="R128" s="88" t="e">
        <f>-IF(Tabla14[[#This Row],[DIAS HABILES O MORA]]&lt;0,(Tabla14[[#This Row],[VALOR PRESTAMO]]*Tabla14[[#This Row],[% INTERES ]]/30*U128))+Tabla14[[#This Row],[VALOR CUOTAS]]</f>
        <v>#VALUE!</v>
      </c>
      <c r="S128" s="88">
        <f>-IF(Tabla14[[#This Row],[DIAS HABILES O MORA]]&lt;0,(Tabla14[[#This Row],[VALOR PRESTAMO]]*Tabla14[[#This Row],[% INTERES ]]/30*U128))</f>
        <v>0</v>
      </c>
      <c r="T128" s="53" t="e">
        <f>Tabla14[[#This Row],[DEUDA CAPITAL]]+Tabla14[[#This Row],[INTERES  CUOTA]]</f>
        <v>#NUM!</v>
      </c>
      <c r="U128" s="61" t="str">
        <f t="shared" si="29"/>
        <v/>
      </c>
    </row>
    <row r="129" spans="9:21" ht="24.75" customHeight="1" x14ac:dyDescent="0.35">
      <c r="I129" s="42">
        <f t="shared" si="20"/>
        <v>0</v>
      </c>
      <c r="J129" s="65" t="e">
        <f t="shared" si="21"/>
        <v>#NUM!</v>
      </c>
      <c r="K129" s="83" t="e">
        <f t="shared" si="22"/>
        <v>#NUM!</v>
      </c>
      <c r="L129" s="83">
        <f t="shared" si="23"/>
        <v>0</v>
      </c>
      <c r="M129" s="110" t="str">
        <f t="shared" si="24"/>
        <v/>
      </c>
      <c r="N129" s="51" t="str">
        <f t="shared" si="25"/>
        <v/>
      </c>
      <c r="O129" s="52" t="str">
        <f t="shared" si="26"/>
        <v/>
      </c>
      <c r="P129" s="88">
        <f t="shared" si="27"/>
        <v>0</v>
      </c>
      <c r="Q129" s="88">
        <f t="shared" si="28"/>
        <v>0</v>
      </c>
      <c r="R129" s="88" t="e">
        <f>-IF(Tabla14[[#This Row],[DIAS HABILES O MORA]]&lt;0,(Tabla14[[#This Row],[VALOR PRESTAMO]]*Tabla14[[#This Row],[% INTERES ]]/30*U129))+Tabla14[[#This Row],[VALOR CUOTAS]]</f>
        <v>#VALUE!</v>
      </c>
      <c r="S129" s="88">
        <f>-IF(Tabla14[[#This Row],[DIAS HABILES O MORA]]&lt;0,(Tabla14[[#This Row],[VALOR PRESTAMO]]*Tabla14[[#This Row],[% INTERES ]]/30*U129))</f>
        <v>0</v>
      </c>
      <c r="T129" s="53" t="e">
        <f>Tabla14[[#This Row],[DEUDA CAPITAL]]+Tabla14[[#This Row],[INTERES  CUOTA]]</f>
        <v>#NUM!</v>
      </c>
      <c r="U129" s="61" t="str">
        <f t="shared" si="29"/>
        <v/>
      </c>
    </row>
    <row r="130" spans="9:21" ht="24.75" customHeight="1" x14ac:dyDescent="0.35">
      <c r="I130" s="42">
        <f t="shared" si="20"/>
        <v>0</v>
      </c>
      <c r="J130" s="65" t="e">
        <f t="shared" si="21"/>
        <v>#NUM!</v>
      </c>
      <c r="K130" s="83" t="e">
        <f t="shared" si="22"/>
        <v>#NUM!</v>
      </c>
      <c r="L130" s="83">
        <f t="shared" si="23"/>
        <v>0</v>
      </c>
      <c r="M130" s="110" t="str">
        <f t="shared" si="24"/>
        <v/>
      </c>
      <c r="N130" s="51" t="str">
        <f t="shared" si="25"/>
        <v/>
      </c>
      <c r="O130" s="52" t="str">
        <f t="shared" si="26"/>
        <v/>
      </c>
      <c r="P130" s="88">
        <f t="shared" si="27"/>
        <v>0</v>
      </c>
      <c r="Q130" s="88">
        <f t="shared" si="28"/>
        <v>0</v>
      </c>
      <c r="R130" s="88" t="e">
        <f>-IF(Tabla14[[#This Row],[DIAS HABILES O MORA]]&lt;0,(Tabla14[[#This Row],[VALOR PRESTAMO]]*Tabla14[[#This Row],[% INTERES ]]/30*U130))+Tabla14[[#This Row],[VALOR CUOTAS]]</f>
        <v>#VALUE!</v>
      </c>
      <c r="S130" s="88">
        <f>-IF(Tabla14[[#This Row],[DIAS HABILES O MORA]]&lt;0,(Tabla14[[#This Row],[VALOR PRESTAMO]]*Tabla14[[#This Row],[% INTERES ]]/30*U130))</f>
        <v>0</v>
      </c>
      <c r="T130" s="53" t="e">
        <f>Tabla14[[#This Row],[DEUDA CAPITAL]]+Tabla14[[#This Row],[INTERES  CUOTA]]</f>
        <v>#NUM!</v>
      </c>
      <c r="U130" s="61" t="str">
        <f t="shared" si="29"/>
        <v/>
      </c>
    </row>
    <row r="131" spans="9:21" ht="24.75" customHeight="1" x14ac:dyDescent="0.35">
      <c r="I131" s="42">
        <f t="shared" si="20"/>
        <v>0</v>
      </c>
      <c r="J131" s="65" t="e">
        <f t="shared" si="21"/>
        <v>#NUM!</v>
      </c>
      <c r="K131" s="83" t="e">
        <f t="shared" si="22"/>
        <v>#NUM!</v>
      </c>
      <c r="L131" s="83">
        <f t="shared" si="23"/>
        <v>0</v>
      </c>
      <c r="M131" s="110" t="str">
        <f t="shared" si="24"/>
        <v/>
      </c>
      <c r="N131" s="51" t="str">
        <f t="shared" si="25"/>
        <v/>
      </c>
      <c r="O131" s="52" t="str">
        <f t="shared" si="26"/>
        <v/>
      </c>
      <c r="P131" s="88">
        <f t="shared" si="27"/>
        <v>0</v>
      </c>
      <c r="Q131" s="88">
        <f t="shared" si="28"/>
        <v>0</v>
      </c>
      <c r="R131" s="88" t="e">
        <f>-IF(Tabla14[[#This Row],[DIAS HABILES O MORA]]&lt;0,(Tabla14[[#This Row],[VALOR PRESTAMO]]*Tabla14[[#This Row],[% INTERES ]]/30*U131))+Tabla14[[#This Row],[VALOR CUOTAS]]</f>
        <v>#VALUE!</v>
      </c>
      <c r="S131" s="88">
        <f>-IF(Tabla14[[#This Row],[DIAS HABILES O MORA]]&lt;0,(Tabla14[[#This Row],[VALOR PRESTAMO]]*Tabla14[[#This Row],[% INTERES ]]/30*U131))</f>
        <v>0</v>
      </c>
      <c r="T131" s="53" t="e">
        <f>Tabla14[[#This Row],[DEUDA CAPITAL]]+Tabla14[[#This Row],[INTERES  CUOTA]]</f>
        <v>#NUM!</v>
      </c>
      <c r="U131" s="61" t="str">
        <f t="shared" si="29"/>
        <v/>
      </c>
    </row>
    <row r="132" spans="9:21" ht="24.75" customHeight="1" x14ac:dyDescent="0.35">
      <c r="I132" s="42">
        <f t="shared" si="20"/>
        <v>0</v>
      </c>
      <c r="J132" s="65" t="e">
        <f t="shared" si="21"/>
        <v>#NUM!</v>
      </c>
      <c r="K132" s="83" t="e">
        <f t="shared" si="22"/>
        <v>#NUM!</v>
      </c>
      <c r="L132" s="83">
        <f t="shared" si="23"/>
        <v>0</v>
      </c>
      <c r="M132" s="110" t="str">
        <f t="shared" si="24"/>
        <v/>
      </c>
      <c r="N132" s="51" t="str">
        <f t="shared" si="25"/>
        <v/>
      </c>
      <c r="O132" s="52" t="str">
        <f t="shared" si="26"/>
        <v/>
      </c>
      <c r="P132" s="88">
        <f t="shared" si="27"/>
        <v>0</v>
      </c>
      <c r="Q132" s="88">
        <f t="shared" si="28"/>
        <v>0</v>
      </c>
      <c r="R132" s="88" t="e">
        <f>-IF(Tabla14[[#This Row],[DIAS HABILES O MORA]]&lt;0,(Tabla14[[#This Row],[VALOR PRESTAMO]]*Tabla14[[#This Row],[% INTERES ]]/30*U132))+Tabla14[[#This Row],[VALOR CUOTAS]]</f>
        <v>#VALUE!</v>
      </c>
      <c r="S132" s="88">
        <f>-IF(Tabla14[[#This Row],[DIAS HABILES O MORA]]&lt;0,(Tabla14[[#This Row],[VALOR PRESTAMO]]*Tabla14[[#This Row],[% INTERES ]]/30*U132))</f>
        <v>0</v>
      </c>
      <c r="T132" s="53" t="e">
        <f>Tabla14[[#This Row],[DEUDA CAPITAL]]+Tabla14[[#This Row],[INTERES  CUOTA]]</f>
        <v>#NUM!</v>
      </c>
      <c r="U132" s="61" t="str">
        <f t="shared" si="29"/>
        <v/>
      </c>
    </row>
    <row r="133" spans="9:21" ht="24.75" customHeight="1" x14ac:dyDescent="0.35">
      <c r="I133" s="42">
        <f t="shared" si="20"/>
        <v>0</v>
      </c>
      <c r="J133" s="65" t="e">
        <f t="shared" si="21"/>
        <v>#NUM!</v>
      </c>
      <c r="K133" s="83" t="e">
        <f t="shared" si="22"/>
        <v>#NUM!</v>
      </c>
      <c r="L133" s="83">
        <f t="shared" si="23"/>
        <v>0</v>
      </c>
      <c r="M133" s="110" t="str">
        <f t="shared" si="24"/>
        <v/>
      </c>
      <c r="N133" s="51" t="str">
        <f t="shared" si="25"/>
        <v/>
      </c>
      <c r="O133" s="52" t="str">
        <f t="shared" si="26"/>
        <v/>
      </c>
      <c r="P133" s="88">
        <f t="shared" si="27"/>
        <v>0</v>
      </c>
      <c r="Q133" s="88">
        <f t="shared" si="28"/>
        <v>0</v>
      </c>
      <c r="R133" s="88" t="e">
        <f>-IF(Tabla14[[#This Row],[DIAS HABILES O MORA]]&lt;0,(Tabla14[[#This Row],[VALOR PRESTAMO]]*Tabla14[[#This Row],[% INTERES ]]/30*U133))+Tabla14[[#This Row],[VALOR CUOTAS]]</f>
        <v>#VALUE!</v>
      </c>
      <c r="S133" s="88">
        <f>-IF(Tabla14[[#This Row],[DIAS HABILES O MORA]]&lt;0,(Tabla14[[#This Row],[VALOR PRESTAMO]]*Tabla14[[#This Row],[% INTERES ]]/30*U133))</f>
        <v>0</v>
      </c>
      <c r="T133" s="53" t="e">
        <f>Tabla14[[#This Row],[DEUDA CAPITAL]]+Tabla14[[#This Row],[INTERES  CUOTA]]</f>
        <v>#NUM!</v>
      </c>
      <c r="U133" s="61" t="str">
        <f t="shared" si="29"/>
        <v/>
      </c>
    </row>
    <row r="134" spans="9:21" ht="24.75" customHeight="1" x14ac:dyDescent="0.35">
      <c r="I134" s="42">
        <f t="shared" si="20"/>
        <v>0</v>
      </c>
      <c r="J134" s="65" t="e">
        <f t="shared" si="21"/>
        <v>#NUM!</v>
      </c>
      <c r="K134" s="83" t="e">
        <f t="shared" si="22"/>
        <v>#NUM!</v>
      </c>
      <c r="L134" s="83">
        <f t="shared" si="23"/>
        <v>0</v>
      </c>
      <c r="M134" s="110" t="str">
        <f t="shared" si="24"/>
        <v/>
      </c>
      <c r="N134" s="51" t="str">
        <f t="shared" si="25"/>
        <v/>
      </c>
      <c r="O134" s="52" t="str">
        <f t="shared" si="26"/>
        <v/>
      </c>
      <c r="P134" s="88">
        <f t="shared" si="27"/>
        <v>0</v>
      </c>
      <c r="Q134" s="88">
        <f t="shared" si="28"/>
        <v>0</v>
      </c>
      <c r="R134" s="88" t="e">
        <f>-IF(Tabla14[[#This Row],[DIAS HABILES O MORA]]&lt;0,(Tabla14[[#This Row],[VALOR PRESTAMO]]*Tabla14[[#This Row],[% INTERES ]]/30*U134))+Tabla14[[#This Row],[VALOR CUOTAS]]</f>
        <v>#VALUE!</v>
      </c>
      <c r="S134" s="88">
        <f>-IF(Tabla14[[#This Row],[DIAS HABILES O MORA]]&lt;0,(Tabla14[[#This Row],[VALOR PRESTAMO]]*Tabla14[[#This Row],[% INTERES ]]/30*U134))</f>
        <v>0</v>
      </c>
      <c r="T134" s="53" t="e">
        <f>Tabla14[[#This Row],[DEUDA CAPITAL]]+Tabla14[[#This Row],[INTERES  CUOTA]]</f>
        <v>#NUM!</v>
      </c>
      <c r="U134" s="61" t="str">
        <f t="shared" si="29"/>
        <v/>
      </c>
    </row>
    <row r="135" spans="9:21" ht="24.75" customHeight="1" x14ac:dyDescent="0.35">
      <c r="I135" s="42">
        <f t="shared" si="20"/>
        <v>0</v>
      </c>
      <c r="J135" s="65" t="e">
        <f t="shared" si="21"/>
        <v>#NUM!</v>
      </c>
      <c r="K135" s="83" t="e">
        <f t="shared" si="22"/>
        <v>#NUM!</v>
      </c>
      <c r="L135" s="83">
        <f t="shared" si="23"/>
        <v>0</v>
      </c>
      <c r="M135" s="110" t="str">
        <f t="shared" si="24"/>
        <v/>
      </c>
      <c r="N135" s="51" t="str">
        <f t="shared" si="25"/>
        <v/>
      </c>
      <c r="O135" s="52" t="str">
        <f t="shared" si="26"/>
        <v/>
      </c>
      <c r="P135" s="88">
        <f t="shared" si="27"/>
        <v>0</v>
      </c>
      <c r="Q135" s="88">
        <f t="shared" si="28"/>
        <v>0</v>
      </c>
      <c r="R135" s="88" t="e">
        <f>-IF(Tabla14[[#This Row],[DIAS HABILES O MORA]]&lt;0,(Tabla14[[#This Row],[VALOR PRESTAMO]]*Tabla14[[#This Row],[% INTERES ]]/30*U135))+Tabla14[[#This Row],[VALOR CUOTAS]]</f>
        <v>#VALUE!</v>
      </c>
      <c r="S135" s="88">
        <f>-IF(Tabla14[[#This Row],[DIAS HABILES O MORA]]&lt;0,(Tabla14[[#This Row],[VALOR PRESTAMO]]*Tabla14[[#This Row],[% INTERES ]]/30*U135))</f>
        <v>0</v>
      </c>
      <c r="T135" s="53" t="e">
        <f>Tabla14[[#This Row],[DEUDA CAPITAL]]+Tabla14[[#This Row],[INTERES  CUOTA]]</f>
        <v>#NUM!</v>
      </c>
      <c r="U135" s="61" t="str">
        <f t="shared" si="29"/>
        <v/>
      </c>
    </row>
    <row r="136" spans="9:21" ht="24.75" customHeight="1" x14ac:dyDescent="0.35">
      <c r="I136" s="42">
        <f t="shared" si="20"/>
        <v>0</v>
      </c>
      <c r="J136" s="65" t="e">
        <f t="shared" si="21"/>
        <v>#NUM!</v>
      </c>
      <c r="K136" s="83" t="e">
        <f t="shared" si="22"/>
        <v>#NUM!</v>
      </c>
      <c r="L136" s="83">
        <f t="shared" si="23"/>
        <v>0</v>
      </c>
      <c r="M136" s="110" t="str">
        <f t="shared" si="24"/>
        <v/>
      </c>
      <c r="N136" s="51" t="str">
        <f t="shared" si="25"/>
        <v/>
      </c>
      <c r="O136" s="52" t="str">
        <f t="shared" si="26"/>
        <v/>
      </c>
      <c r="P136" s="88">
        <f t="shared" si="27"/>
        <v>0</v>
      </c>
      <c r="Q136" s="88">
        <f t="shared" si="28"/>
        <v>0</v>
      </c>
      <c r="R136" s="88" t="e">
        <f>-IF(Tabla14[[#This Row],[DIAS HABILES O MORA]]&lt;0,(Tabla14[[#This Row],[VALOR PRESTAMO]]*Tabla14[[#This Row],[% INTERES ]]/30*U136))+Tabla14[[#This Row],[VALOR CUOTAS]]</f>
        <v>#VALUE!</v>
      </c>
      <c r="S136" s="88">
        <f>-IF(Tabla14[[#This Row],[DIAS HABILES O MORA]]&lt;0,(Tabla14[[#This Row],[VALOR PRESTAMO]]*Tabla14[[#This Row],[% INTERES ]]/30*U136))</f>
        <v>0</v>
      </c>
      <c r="T136" s="53" t="e">
        <f>Tabla14[[#This Row],[DEUDA CAPITAL]]+Tabla14[[#This Row],[INTERES  CUOTA]]</f>
        <v>#NUM!</v>
      </c>
      <c r="U136" s="61" t="str">
        <f t="shared" si="29"/>
        <v/>
      </c>
    </row>
    <row r="137" spans="9:21" ht="24.75" customHeight="1" x14ac:dyDescent="0.35">
      <c r="I137" s="42">
        <f t="shared" si="20"/>
        <v>0</v>
      </c>
      <c r="J137" s="65" t="e">
        <f t="shared" si="21"/>
        <v>#NUM!</v>
      </c>
      <c r="K137" s="83" t="e">
        <f t="shared" si="22"/>
        <v>#NUM!</v>
      </c>
      <c r="L137" s="83">
        <f t="shared" si="23"/>
        <v>0</v>
      </c>
      <c r="M137" s="110" t="str">
        <f t="shared" si="24"/>
        <v/>
      </c>
      <c r="N137" s="51" t="str">
        <f t="shared" si="25"/>
        <v/>
      </c>
      <c r="O137" s="52" t="str">
        <f t="shared" si="26"/>
        <v/>
      </c>
      <c r="P137" s="88">
        <f t="shared" si="27"/>
        <v>0</v>
      </c>
      <c r="Q137" s="88">
        <f t="shared" si="28"/>
        <v>0</v>
      </c>
      <c r="R137" s="88" t="e">
        <f>-IF(Tabla14[[#This Row],[DIAS HABILES O MORA]]&lt;0,(Tabla14[[#This Row],[VALOR PRESTAMO]]*Tabla14[[#This Row],[% INTERES ]]/30*U137))+Tabla14[[#This Row],[VALOR CUOTAS]]</f>
        <v>#VALUE!</v>
      </c>
      <c r="S137" s="88">
        <f>-IF(Tabla14[[#This Row],[DIAS HABILES O MORA]]&lt;0,(Tabla14[[#This Row],[VALOR PRESTAMO]]*Tabla14[[#This Row],[% INTERES ]]/30*U137))</f>
        <v>0</v>
      </c>
      <c r="T137" s="53" t="e">
        <f>Tabla14[[#This Row],[DEUDA CAPITAL]]+Tabla14[[#This Row],[INTERES  CUOTA]]</f>
        <v>#NUM!</v>
      </c>
      <c r="U137" s="61" t="str">
        <f t="shared" si="29"/>
        <v/>
      </c>
    </row>
    <row r="138" spans="9:21" ht="24.75" customHeight="1" x14ac:dyDescent="0.35">
      <c r="I138" s="42">
        <f t="shared" si="20"/>
        <v>0</v>
      </c>
      <c r="J138" s="65" t="e">
        <f t="shared" si="21"/>
        <v>#NUM!</v>
      </c>
      <c r="K138" s="83" t="e">
        <f t="shared" si="22"/>
        <v>#NUM!</v>
      </c>
      <c r="L138" s="83">
        <f t="shared" si="23"/>
        <v>0</v>
      </c>
      <c r="M138" s="110" t="str">
        <f t="shared" si="24"/>
        <v/>
      </c>
      <c r="N138" s="51" t="str">
        <f t="shared" si="25"/>
        <v/>
      </c>
      <c r="O138" s="52" t="str">
        <f t="shared" si="26"/>
        <v/>
      </c>
      <c r="P138" s="88">
        <f t="shared" si="27"/>
        <v>0</v>
      </c>
      <c r="Q138" s="88">
        <f t="shared" si="28"/>
        <v>0</v>
      </c>
      <c r="R138" s="88" t="e">
        <f>-IF(Tabla14[[#This Row],[DIAS HABILES O MORA]]&lt;0,(Tabla14[[#This Row],[VALOR PRESTAMO]]*Tabla14[[#This Row],[% INTERES ]]/30*U138))+Tabla14[[#This Row],[VALOR CUOTAS]]</f>
        <v>#VALUE!</v>
      </c>
      <c r="S138" s="88">
        <f>-IF(Tabla14[[#This Row],[DIAS HABILES O MORA]]&lt;0,(Tabla14[[#This Row],[VALOR PRESTAMO]]*Tabla14[[#This Row],[% INTERES ]]/30*U138))</f>
        <v>0</v>
      </c>
      <c r="T138" s="53" t="e">
        <f>Tabla14[[#This Row],[DEUDA CAPITAL]]+Tabla14[[#This Row],[INTERES  CUOTA]]</f>
        <v>#NUM!</v>
      </c>
      <c r="U138" s="61" t="str">
        <f t="shared" si="29"/>
        <v/>
      </c>
    </row>
    <row r="139" spans="9:21" ht="24.75" customHeight="1" x14ac:dyDescent="0.35">
      <c r="I139" s="42">
        <f t="shared" si="20"/>
        <v>0</v>
      </c>
      <c r="J139" s="65" t="e">
        <f t="shared" si="21"/>
        <v>#NUM!</v>
      </c>
      <c r="K139" s="83" t="e">
        <f t="shared" si="22"/>
        <v>#NUM!</v>
      </c>
      <c r="L139" s="83">
        <f t="shared" si="23"/>
        <v>0</v>
      </c>
      <c r="M139" s="110" t="str">
        <f t="shared" si="24"/>
        <v/>
      </c>
      <c r="N139" s="51" t="str">
        <f t="shared" si="25"/>
        <v/>
      </c>
      <c r="O139" s="52" t="str">
        <f t="shared" si="26"/>
        <v/>
      </c>
      <c r="P139" s="88">
        <f t="shared" si="27"/>
        <v>0</v>
      </c>
      <c r="Q139" s="88">
        <f t="shared" si="28"/>
        <v>0</v>
      </c>
      <c r="R139" s="88" t="e">
        <f>-IF(Tabla14[[#This Row],[DIAS HABILES O MORA]]&lt;0,(Tabla14[[#This Row],[VALOR PRESTAMO]]*Tabla14[[#This Row],[% INTERES ]]/30*U139))+Tabla14[[#This Row],[VALOR CUOTAS]]</f>
        <v>#VALUE!</v>
      </c>
      <c r="S139" s="88">
        <f>-IF(Tabla14[[#This Row],[DIAS HABILES O MORA]]&lt;0,(Tabla14[[#This Row],[VALOR PRESTAMO]]*Tabla14[[#This Row],[% INTERES ]]/30*U139))</f>
        <v>0</v>
      </c>
      <c r="T139" s="53" t="e">
        <f>Tabla14[[#This Row],[DEUDA CAPITAL]]+Tabla14[[#This Row],[INTERES  CUOTA]]</f>
        <v>#NUM!</v>
      </c>
      <c r="U139" s="61" t="str">
        <f t="shared" si="29"/>
        <v/>
      </c>
    </row>
    <row r="140" spans="9:21" ht="24.75" customHeight="1" x14ac:dyDescent="0.35">
      <c r="I140" s="42">
        <f t="shared" si="20"/>
        <v>0</v>
      </c>
      <c r="J140" s="65" t="e">
        <f t="shared" si="21"/>
        <v>#NUM!</v>
      </c>
      <c r="K140" s="83" t="e">
        <f t="shared" si="22"/>
        <v>#NUM!</v>
      </c>
      <c r="L140" s="83">
        <f t="shared" si="23"/>
        <v>0</v>
      </c>
      <c r="M140" s="110" t="str">
        <f t="shared" si="24"/>
        <v/>
      </c>
      <c r="N140" s="51" t="str">
        <f t="shared" si="25"/>
        <v/>
      </c>
      <c r="O140" s="52" t="str">
        <f t="shared" si="26"/>
        <v/>
      </c>
      <c r="P140" s="88">
        <f t="shared" si="27"/>
        <v>0</v>
      </c>
      <c r="Q140" s="88">
        <f t="shared" si="28"/>
        <v>0</v>
      </c>
      <c r="R140" s="88" t="e">
        <f>-IF(Tabla14[[#This Row],[DIAS HABILES O MORA]]&lt;0,(Tabla14[[#This Row],[VALOR PRESTAMO]]*Tabla14[[#This Row],[% INTERES ]]/30*U140))+Tabla14[[#This Row],[VALOR CUOTAS]]</f>
        <v>#VALUE!</v>
      </c>
      <c r="S140" s="88">
        <f>-IF(Tabla14[[#This Row],[DIAS HABILES O MORA]]&lt;0,(Tabla14[[#This Row],[VALOR PRESTAMO]]*Tabla14[[#This Row],[% INTERES ]]/30*U140))</f>
        <v>0</v>
      </c>
      <c r="T140" s="53" t="e">
        <f>Tabla14[[#This Row],[DEUDA CAPITAL]]+Tabla14[[#This Row],[INTERES  CUOTA]]</f>
        <v>#NUM!</v>
      </c>
      <c r="U140" s="61" t="str">
        <f t="shared" si="29"/>
        <v/>
      </c>
    </row>
    <row r="141" spans="9:21" ht="24.75" customHeight="1" x14ac:dyDescent="0.35">
      <c r="I141" s="42">
        <f t="shared" si="20"/>
        <v>0</v>
      </c>
      <c r="J141" s="65" t="e">
        <f t="shared" si="21"/>
        <v>#NUM!</v>
      </c>
      <c r="K141" s="83" t="e">
        <f t="shared" si="22"/>
        <v>#NUM!</v>
      </c>
      <c r="L141" s="83">
        <f t="shared" si="23"/>
        <v>0</v>
      </c>
      <c r="M141" s="110" t="str">
        <f t="shared" si="24"/>
        <v/>
      </c>
      <c r="N141" s="51" t="str">
        <f t="shared" si="25"/>
        <v/>
      </c>
      <c r="O141" s="52" t="str">
        <f t="shared" si="26"/>
        <v/>
      </c>
      <c r="P141" s="88">
        <f t="shared" si="27"/>
        <v>0</v>
      </c>
      <c r="Q141" s="88">
        <f t="shared" si="28"/>
        <v>0</v>
      </c>
      <c r="R141" s="88" t="e">
        <f>-IF(Tabla14[[#This Row],[DIAS HABILES O MORA]]&lt;0,(Tabla14[[#This Row],[VALOR PRESTAMO]]*Tabla14[[#This Row],[% INTERES ]]/30*U141))+Tabla14[[#This Row],[VALOR CUOTAS]]</f>
        <v>#VALUE!</v>
      </c>
      <c r="S141" s="88">
        <f>-IF(Tabla14[[#This Row],[DIAS HABILES O MORA]]&lt;0,(Tabla14[[#This Row],[VALOR PRESTAMO]]*Tabla14[[#This Row],[% INTERES ]]/30*U141))</f>
        <v>0</v>
      </c>
      <c r="T141" s="53" t="e">
        <f>Tabla14[[#This Row],[DEUDA CAPITAL]]+Tabla14[[#This Row],[INTERES  CUOTA]]</f>
        <v>#NUM!</v>
      </c>
      <c r="U141" s="61" t="str">
        <f t="shared" si="29"/>
        <v/>
      </c>
    </row>
    <row r="142" spans="9:21" ht="24.75" customHeight="1" x14ac:dyDescent="0.35">
      <c r="I142" s="42">
        <f t="shared" si="20"/>
        <v>0</v>
      </c>
      <c r="J142" s="65" t="e">
        <f t="shared" si="21"/>
        <v>#NUM!</v>
      </c>
      <c r="K142" s="83" t="e">
        <f t="shared" si="22"/>
        <v>#NUM!</v>
      </c>
      <c r="L142" s="83">
        <f t="shared" si="23"/>
        <v>0</v>
      </c>
      <c r="M142" s="110" t="str">
        <f t="shared" si="24"/>
        <v/>
      </c>
      <c r="N142" s="51" t="str">
        <f t="shared" si="25"/>
        <v/>
      </c>
      <c r="O142" s="52" t="str">
        <f t="shared" si="26"/>
        <v/>
      </c>
      <c r="P142" s="88">
        <f t="shared" si="27"/>
        <v>0</v>
      </c>
      <c r="Q142" s="88">
        <f t="shared" si="28"/>
        <v>0</v>
      </c>
      <c r="R142" s="88" t="e">
        <f>-IF(Tabla14[[#This Row],[DIAS HABILES O MORA]]&lt;0,(Tabla14[[#This Row],[VALOR PRESTAMO]]*Tabla14[[#This Row],[% INTERES ]]/30*U142))+Tabla14[[#This Row],[VALOR CUOTAS]]</f>
        <v>#VALUE!</v>
      </c>
      <c r="S142" s="88">
        <f>-IF(Tabla14[[#This Row],[DIAS HABILES O MORA]]&lt;0,(Tabla14[[#This Row],[VALOR PRESTAMO]]*Tabla14[[#This Row],[% INTERES ]]/30*U142))</f>
        <v>0</v>
      </c>
      <c r="T142" s="53" t="e">
        <f>Tabla14[[#This Row],[DEUDA CAPITAL]]+Tabla14[[#This Row],[INTERES  CUOTA]]</f>
        <v>#NUM!</v>
      </c>
      <c r="U142" s="61" t="str">
        <f t="shared" si="29"/>
        <v/>
      </c>
    </row>
    <row r="143" spans="9:21" ht="24.75" customHeight="1" x14ac:dyDescent="0.35">
      <c r="I143" s="42">
        <f t="shared" si="20"/>
        <v>0</v>
      </c>
      <c r="J143" s="65" t="e">
        <f t="shared" si="21"/>
        <v>#NUM!</v>
      </c>
      <c r="K143" s="83" t="e">
        <f t="shared" si="22"/>
        <v>#NUM!</v>
      </c>
      <c r="L143" s="83">
        <f t="shared" si="23"/>
        <v>0</v>
      </c>
      <c r="M143" s="110" t="str">
        <f t="shared" si="24"/>
        <v/>
      </c>
      <c r="N143" s="51" t="str">
        <f t="shared" si="25"/>
        <v/>
      </c>
      <c r="O143" s="52" t="str">
        <f t="shared" si="26"/>
        <v/>
      </c>
      <c r="P143" s="88">
        <f t="shared" si="27"/>
        <v>0</v>
      </c>
      <c r="Q143" s="88">
        <f t="shared" si="28"/>
        <v>0</v>
      </c>
      <c r="R143" s="88" t="e">
        <f>-IF(Tabla14[[#This Row],[DIAS HABILES O MORA]]&lt;0,(Tabla14[[#This Row],[VALOR PRESTAMO]]*Tabla14[[#This Row],[% INTERES ]]/30*U143))+Tabla14[[#This Row],[VALOR CUOTAS]]</f>
        <v>#VALUE!</v>
      </c>
      <c r="S143" s="88">
        <f>-IF(Tabla14[[#This Row],[DIAS HABILES O MORA]]&lt;0,(Tabla14[[#This Row],[VALOR PRESTAMO]]*Tabla14[[#This Row],[% INTERES ]]/30*U143))</f>
        <v>0</v>
      </c>
      <c r="T143" s="53" t="e">
        <f>Tabla14[[#This Row],[DEUDA CAPITAL]]+Tabla14[[#This Row],[INTERES  CUOTA]]</f>
        <v>#NUM!</v>
      </c>
      <c r="U143" s="61" t="str">
        <f t="shared" si="29"/>
        <v/>
      </c>
    </row>
    <row r="144" spans="9:21" ht="24.75" customHeight="1" x14ac:dyDescent="0.35">
      <c r="I144" s="42">
        <f t="shared" ref="I144:I207" si="30">IF(C144&lt;0,"",IF(Q144=0,0,IF(G144=0,H144+1,IF(H144&lt;G144,H144+1,IF(G144=H144,0)))))</f>
        <v>0</v>
      </c>
      <c r="J144" s="65" t="e">
        <f t="shared" ref="J144:J207" si="31">IF(F144="SOLO INTERES",Q144*D144,-IPMT(D144,I144,G144,C144))</f>
        <v>#NUM!</v>
      </c>
      <c r="K144" s="83" t="e">
        <f t="shared" ref="K144:K207" si="32">IF(F144="SOLO INTERES",0,-PPMT(D144,I144,G144,C144))</f>
        <v>#NUM!</v>
      </c>
      <c r="L144" s="83">
        <f t="shared" ref="L144:L207" si="33">IF(F144="SOLO INTERES",SUM(Y144:AAE144),IFERROR(-CUMIPMT(D144,G144,C144,1,H144,0),0)+SUM(Y144:WY144))</f>
        <v>0</v>
      </c>
      <c r="M144" s="110" t="str">
        <f t="shared" ref="M144:M207" si="34">IFERROR(IF(F144="SOLO INTERES",Q144*D144,-PMT(D144,G144,C144,0)),"")</f>
        <v/>
      </c>
      <c r="N144" s="51" t="str">
        <f t="shared" ref="N144:N207" si="35">IF(Q144=0,"",IF(E144="MENSUAL",EDATE(B144,I144),IF(E144="QUINCENAL",B144+(I144*15),IF(E144="SEMANAL",B144+(I144*7)))))</f>
        <v/>
      </c>
      <c r="O144" s="52" t="str">
        <f t="shared" ref="O144:O207" si="36">IF(C144=0,"",IF(Q144&lt;1,"PAGADO",IF(N144=$A$3,"COBRAR HOY",IF(N144&lt;$A$3,"EN MORA",IF(N144&gt;$A$3,"AL DIA")))))</f>
        <v/>
      </c>
      <c r="P144" s="88">
        <f t="shared" ref="P144:P207" si="37">IFERROR(-CUMPRINC(D144,G144,C144,1,H144,0),0)+W144</f>
        <v>0</v>
      </c>
      <c r="Q144" s="88">
        <f t="shared" ref="Q144:Q207" si="38">IFERROR(C144-P144,"")</f>
        <v>0</v>
      </c>
      <c r="R144" s="88" t="e">
        <f>-IF(Tabla14[[#This Row],[DIAS HABILES O MORA]]&lt;0,(Tabla14[[#This Row],[VALOR PRESTAMO]]*Tabla14[[#This Row],[% INTERES ]]/30*U144))+Tabla14[[#This Row],[VALOR CUOTAS]]</f>
        <v>#VALUE!</v>
      </c>
      <c r="S144" s="88">
        <f>-IF(Tabla14[[#This Row],[DIAS HABILES O MORA]]&lt;0,(Tabla14[[#This Row],[VALOR PRESTAMO]]*Tabla14[[#This Row],[% INTERES ]]/30*U144))</f>
        <v>0</v>
      </c>
      <c r="T144" s="53" t="e">
        <f>Tabla14[[#This Row],[DEUDA CAPITAL]]+Tabla14[[#This Row],[INTERES  CUOTA]]</f>
        <v>#NUM!</v>
      </c>
      <c r="U144" s="61" t="str">
        <f t="shared" ref="U144:U207" si="39">IF(O144="PAGADO","",IFERROR(-IF(C144=0,"",$A$3-N144),""))</f>
        <v/>
      </c>
    </row>
    <row r="145" spans="9:21" ht="24.75" customHeight="1" x14ac:dyDescent="0.35">
      <c r="I145" s="42">
        <f t="shared" si="30"/>
        <v>0</v>
      </c>
      <c r="J145" s="65" t="e">
        <f t="shared" si="31"/>
        <v>#NUM!</v>
      </c>
      <c r="K145" s="83" t="e">
        <f t="shared" si="32"/>
        <v>#NUM!</v>
      </c>
      <c r="L145" s="83">
        <f t="shared" si="33"/>
        <v>0</v>
      </c>
      <c r="M145" s="110" t="str">
        <f t="shared" si="34"/>
        <v/>
      </c>
      <c r="N145" s="51" t="str">
        <f t="shared" si="35"/>
        <v/>
      </c>
      <c r="O145" s="52" t="str">
        <f t="shared" si="36"/>
        <v/>
      </c>
      <c r="P145" s="88">
        <f t="shared" si="37"/>
        <v>0</v>
      </c>
      <c r="Q145" s="88">
        <f t="shared" si="38"/>
        <v>0</v>
      </c>
      <c r="R145" s="88" t="e">
        <f>-IF(Tabla14[[#This Row],[DIAS HABILES O MORA]]&lt;0,(Tabla14[[#This Row],[VALOR PRESTAMO]]*Tabla14[[#This Row],[% INTERES ]]/30*U145))+Tabla14[[#This Row],[VALOR CUOTAS]]</f>
        <v>#VALUE!</v>
      </c>
      <c r="S145" s="88">
        <f>-IF(Tabla14[[#This Row],[DIAS HABILES O MORA]]&lt;0,(Tabla14[[#This Row],[VALOR PRESTAMO]]*Tabla14[[#This Row],[% INTERES ]]/30*U145))</f>
        <v>0</v>
      </c>
      <c r="T145" s="53" t="e">
        <f>Tabla14[[#This Row],[DEUDA CAPITAL]]+Tabla14[[#This Row],[INTERES  CUOTA]]</f>
        <v>#NUM!</v>
      </c>
      <c r="U145" s="61" t="str">
        <f t="shared" si="39"/>
        <v/>
      </c>
    </row>
    <row r="146" spans="9:21" ht="24.75" customHeight="1" x14ac:dyDescent="0.35">
      <c r="I146" s="42">
        <f t="shared" si="30"/>
        <v>0</v>
      </c>
      <c r="J146" s="65" t="e">
        <f t="shared" si="31"/>
        <v>#NUM!</v>
      </c>
      <c r="K146" s="83" t="e">
        <f t="shared" si="32"/>
        <v>#NUM!</v>
      </c>
      <c r="L146" s="83">
        <f t="shared" si="33"/>
        <v>0</v>
      </c>
      <c r="M146" s="110" t="str">
        <f t="shared" si="34"/>
        <v/>
      </c>
      <c r="N146" s="51" t="str">
        <f t="shared" si="35"/>
        <v/>
      </c>
      <c r="O146" s="52" t="str">
        <f t="shared" si="36"/>
        <v/>
      </c>
      <c r="P146" s="88">
        <f t="shared" si="37"/>
        <v>0</v>
      </c>
      <c r="Q146" s="88">
        <f t="shared" si="38"/>
        <v>0</v>
      </c>
      <c r="R146" s="88" t="e">
        <f>-IF(Tabla14[[#This Row],[DIAS HABILES O MORA]]&lt;0,(Tabla14[[#This Row],[VALOR PRESTAMO]]*Tabla14[[#This Row],[% INTERES ]]/30*U146))+Tabla14[[#This Row],[VALOR CUOTAS]]</f>
        <v>#VALUE!</v>
      </c>
      <c r="S146" s="88">
        <f>-IF(Tabla14[[#This Row],[DIAS HABILES O MORA]]&lt;0,(Tabla14[[#This Row],[VALOR PRESTAMO]]*Tabla14[[#This Row],[% INTERES ]]/30*U146))</f>
        <v>0</v>
      </c>
      <c r="T146" s="53" t="e">
        <f>Tabla14[[#This Row],[DEUDA CAPITAL]]+Tabla14[[#This Row],[INTERES  CUOTA]]</f>
        <v>#NUM!</v>
      </c>
      <c r="U146" s="61" t="str">
        <f t="shared" si="39"/>
        <v/>
      </c>
    </row>
    <row r="147" spans="9:21" ht="24.75" customHeight="1" x14ac:dyDescent="0.35">
      <c r="I147" s="42">
        <f t="shared" si="30"/>
        <v>0</v>
      </c>
      <c r="J147" s="65" t="e">
        <f t="shared" si="31"/>
        <v>#NUM!</v>
      </c>
      <c r="K147" s="83" t="e">
        <f t="shared" si="32"/>
        <v>#NUM!</v>
      </c>
      <c r="L147" s="83">
        <f t="shared" si="33"/>
        <v>0</v>
      </c>
      <c r="M147" s="110" t="str">
        <f t="shared" si="34"/>
        <v/>
      </c>
      <c r="N147" s="51" t="str">
        <f t="shared" si="35"/>
        <v/>
      </c>
      <c r="O147" s="52" t="str">
        <f t="shared" si="36"/>
        <v/>
      </c>
      <c r="P147" s="88">
        <f t="shared" si="37"/>
        <v>0</v>
      </c>
      <c r="Q147" s="88">
        <f t="shared" si="38"/>
        <v>0</v>
      </c>
      <c r="R147" s="88" t="e">
        <f>-IF(Tabla14[[#This Row],[DIAS HABILES O MORA]]&lt;0,(Tabla14[[#This Row],[VALOR PRESTAMO]]*Tabla14[[#This Row],[% INTERES ]]/30*U147))+Tabla14[[#This Row],[VALOR CUOTAS]]</f>
        <v>#VALUE!</v>
      </c>
      <c r="S147" s="88">
        <f>-IF(Tabla14[[#This Row],[DIAS HABILES O MORA]]&lt;0,(Tabla14[[#This Row],[VALOR PRESTAMO]]*Tabla14[[#This Row],[% INTERES ]]/30*U147))</f>
        <v>0</v>
      </c>
      <c r="T147" s="53" t="e">
        <f>Tabla14[[#This Row],[DEUDA CAPITAL]]+Tabla14[[#This Row],[INTERES  CUOTA]]</f>
        <v>#NUM!</v>
      </c>
      <c r="U147" s="61" t="str">
        <f t="shared" si="39"/>
        <v/>
      </c>
    </row>
    <row r="148" spans="9:21" ht="24.75" customHeight="1" x14ac:dyDescent="0.35">
      <c r="I148" s="42">
        <f t="shared" si="30"/>
        <v>0</v>
      </c>
      <c r="J148" s="65" t="e">
        <f t="shared" si="31"/>
        <v>#NUM!</v>
      </c>
      <c r="K148" s="83" t="e">
        <f t="shared" si="32"/>
        <v>#NUM!</v>
      </c>
      <c r="L148" s="83">
        <f t="shared" si="33"/>
        <v>0</v>
      </c>
      <c r="M148" s="110" t="str">
        <f t="shared" si="34"/>
        <v/>
      </c>
      <c r="N148" s="51" t="str">
        <f t="shared" si="35"/>
        <v/>
      </c>
      <c r="O148" s="52" t="str">
        <f t="shared" si="36"/>
        <v/>
      </c>
      <c r="P148" s="88">
        <f t="shared" si="37"/>
        <v>0</v>
      </c>
      <c r="Q148" s="88">
        <f t="shared" si="38"/>
        <v>0</v>
      </c>
      <c r="R148" s="88" t="e">
        <f>-IF(Tabla14[[#This Row],[DIAS HABILES O MORA]]&lt;0,(Tabla14[[#This Row],[VALOR PRESTAMO]]*Tabla14[[#This Row],[% INTERES ]]/30*U148))+Tabla14[[#This Row],[VALOR CUOTAS]]</f>
        <v>#VALUE!</v>
      </c>
      <c r="S148" s="88">
        <f>-IF(Tabla14[[#This Row],[DIAS HABILES O MORA]]&lt;0,(Tabla14[[#This Row],[VALOR PRESTAMO]]*Tabla14[[#This Row],[% INTERES ]]/30*U148))</f>
        <v>0</v>
      </c>
      <c r="T148" s="53" t="e">
        <f>Tabla14[[#This Row],[DEUDA CAPITAL]]+Tabla14[[#This Row],[INTERES  CUOTA]]</f>
        <v>#NUM!</v>
      </c>
      <c r="U148" s="61" t="str">
        <f t="shared" si="39"/>
        <v/>
      </c>
    </row>
    <row r="149" spans="9:21" ht="24.75" customHeight="1" x14ac:dyDescent="0.35">
      <c r="I149" s="42">
        <f t="shared" si="30"/>
        <v>0</v>
      </c>
      <c r="J149" s="65" t="e">
        <f t="shared" si="31"/>
        <v>#NUM!</v>
      </c>
      <c r="K149" s="83" t="e">
        <f t="shared" si="32"/>
        <v>#NUM!</v>
      </c>
      <c r="L149" s="83">
        <f t="shared" si="33"/>
        <v>0</v>
      </c>
      <c r="M149" s="110" t="str">
        <f t="shared" si="34"/>
        <v/>
      </c>
      <c r="N149" s="51" t="str">
        <f t="shared" si="35"/>
        <v/>
      </c>
      <c r="O149" s="52" t="str">
        <f t="shared" si="36"/>
        <v/>
      </c>
      <c r="P149" s="88">
        <f t="shared" si="37"/>
        <v>0</v>
      </c>
      <c r="Q149" s="88">
        <f t="shared" si="38"/>
        <v>0</v>
      </c>
      <c r="R149" s="88" t="e">
        <f>-IF(Tabla14[[#This Row],[DIAS HABILES O MORA]]&lt;0,(Tabla14[[#This Row],[VALOR PRESTAMO]]*Tabla14[[#This Row],[% INTERES ]]/30*U149))+Tabla14[[#This Row],[VALOR CUOTAS]]</f>
        <v>#VALUE!</v>
      </c>
      <c r="S149" s="88">
        <f>-IF(Tabla14[[#This Row],[DIAS HABILES O MORA]]&lt;0,(Tabla14[[#This Row],[VALOR PRESTAMO]]*Tabla14[[#This Row],[% INTERES ]]/30*U149))</f>
        <v>0</v>
      </c>
      <c r="T149" s="53" t="e">
        <f>Tabla14[[#This Row],[DEUDA CAPITAL]]+Tabla14[[#This Row],[INTERES  CUOTA]]</f>
        <v>#NUM!</v>
      </c>
      <c r="U149" s="61" t="str">
        <f t="shared" si="39"/>
        <v/>
      </c>
    </row>
    <row r="150" spans="9:21" ht="24.75" customHeight="1" x14ac:dyDescent="0.35">
      <c r="I150" s="42">
        <f t="shared" si="30"/>
        <v>0</v>
      </c>
      <c r="J150" s="65" t="e">
        <f t="shared" si="31"/>
        <v>#NUM!</v>
      </c>
      <c r="K150" s="83" t="e">
        <f t="shared" si="32"/>
        <v>#NUM!</v>
      </c>
      <c r="L150" s="83">
        <f t="shared" si="33"/>
        <v>0</v>
      </c>
      <c r="M150" s="110" t="str">
        <f t="shared" si="34"/>
        <v/>
      </c>
      <c r="N150" s="51" t="str">
        <f t="shared" si="35"/>
        <v/>
      </c>
      <c r="O150" s="52" t="str">
        <f t="shared" si="36"/>
        <v/>
      </c>
      <c r="P150" s="88">
        <f t="shared" si="37"/>
        <v>0</v>
      </c>
      <c r="Q150" s="88">
        <f t="shared" si="38"/>
        <v>0</v>
      </c>
      <c r="R150" s="88" t="e">
        <f>-IF(Tabla14[[#This Row],[DIAS HABILES O MORA]]&lt;0,(Tabla14[[#This Row],[VALOR PRESTAMO]]*Tabla14[[#This Row],[% INTERES ]]/30*U150))+Tabla14[[#This Row],[VALOR CUOTAS]]</f>
        <v>#VALUE!</v>
      </c>
      <c r="S150" s="88">
        <f>-IF(Tabla14[[#This Row],[DIAS HABILES O MORA]]&lt;0,(Tabla14[[#This Row],[VALOR PRESTAMO]]*Tabla14[[#This Row],[% INTERES ]]/30*U150))</f>
        <v>0</v>
      </c>
      <c r="T150" s="53" t="e">
        <f>Tabla14[[#This Row],[DEUDA CAPITAL]]+Tabla14[[#This Row],[INTERES  CUOTA]]</f>
        <v>#NUM!</v>
      </c>
      <c r="U150" s="61" t="str">
        <f t="shared" si="39"/>
        <v/>
      </c>
    </row>
    <row r="151" spans="9:21" ht="24.75" customHeight="1" x14ac:dyDescent="0.35">
      <c r="I151" s="42">
        <f t="shared" si="30"/>
        <v>0</v>
      </c>
      <c r="J151" s="65" t="e">
        <f t="shared" si="31"/>
        <v>#NUM!</v>
      </c>
      <c r="K151" s="83" t="e">
        <f t="shared" si="32"/>
        <v>#NUM!</v>
      </c>
      <c r="L151" s="83">
        <f t="shared" si="33"/>
        <v>0</v>
      </c>
      <c r="M151" s="110" t="str">
        <f t="shared" si="34"/>
        <v/>
      </c>
      <c r="N151" s="51" t="str">
        <f t="shared" si="35"/>
        <v/>
      </c>
      <c r="O151" s="52" t="str">
        <f t="shared" si="36"/>
        <v/>
      </c>
      <c r="P151" s="88">
        <f t="shared" si="37"/>
        <v>0</v>
      </c>
      <c r="Q151" s="88">
        <f t="shared" si="38"/>
        <v>0</v>
      </c>
      <c r="R151" s="88" t="e">
        <f>-IF(Tabla14[[#This Row],[DIAS HABILES O MORA]]&lt;0,(Tabla14[[#This Row],[VALOR PRESTAMO]]*Tabla14[[#This Row],[% INTERES ]]/30*U151))+Tabla14[[#This Row],[VALOR CUOTAS]]</f>
        <v>#VALUE!</v>
      </c>
      <c r="S151" s="88">
        <f>-IF(Tabla14[[#This Row],[DIAS HABILES O MORA]]&lt;0,(Tabla14[[#This Row],[VALOR PRESTAMO]]*Tabla14[[#This Row],[% INTERES ]]/30*U151))</f>
        <v>0</v>
      </c>
      <c r="T151" s="53" t="e">
        <f>Tabla14[[#This Row],[DEUDA CAPITAL]]+Tabla14[[#This Row],[INTERES  CUOTA]]</f>
        <v>#NUM!</v>
      </c>
      <c r="U151" s="61" t="str">
        <f t="shared" si="39"/>
        <v/>
      </c>
    </row>
    <row r="152" spans="9:21" ht="24.75" customHeight="1" x14ac:dyDescent="0.35">
      <c r="I152" s="42">
        <f t="shared" si="30"/>
        <v>0</v>
      </c>
      <c r="J152" s="65" t="e">
        <f t="shared" si="31"/>
        <v>#NUM!</v>
      </c>
      <c r="K152" s="83" t="e">
        <f t="shared" si="32"/>
        <v>#NUM!</v>
      </c>
      <c r="L152" s="83">
        <f t="shared" si="33"/>
        <v>0</v>
      </c>
      <c r="M152" s="110" t="str">
        <f t="shared" si="34"/>
        <v/>
      </c>
      <c r="N152" s="51" t="str">
        <f t="shared" si="35"/>
        <v/>
      </c>
      <c r="O152" s="52" t="str">
        <f t="shared" si="36"/>
        <v/>
      </c>
      <c r="P152" s="88">
        <f t="shared" si="37"/>
        <v>0</v>
      </c>
      <c r="Q152" s="88">
        <f t="shared" si="38"/>
        <v>0</v>
      </c>
      <c r="R152" s="88" t="e">
        <f>-IF(Tabla14[[#This Row],[DIAS HABILES O MORA]]&lt;0,(Tabla14[[#This Row],[VALOR PRESTAMO]]*Tabla14[[#This Row],[% INTERES ]]/30*U152))+Tabla14[[#This Row],[VALOR CUOTAS]]</f>
        <v>#VALUE!</v>
      </c>
      <c r="S152" s="88">
        <f>-IF(Tabla14[[#This Row],[DIAS HABILES O MORA]]&lt;0,(Tabla14[[#This Row],[VALOR PRESTAMO]]*Tabla14[[#This Row],[% INTERES ]]/30*U152))</f>
        <v>0</v>
      </c>
      <c r="T152" s="53" t="e">
        <f>Tabla14[[#This Row],[DEUDA CAPITAL]]+Tabla14[[#This Row],[INTERES  CUOTA]]</f>
        <v>#NUM!</v>
      </c>
      <c r="U152" s="61" t="str">
        <f t="shared" si="39"/>
        <v/>
      </c>
    </row>
    <row r="153" spans="9:21" ht="24.75" customHeight="1" x14ac:dyDescent="0.35">
      <c r="I153" s="42">
        <f t="shared" si="30"/>
        <v>0</v>
      </c>
      <c r="J153" s="65" t="e">
        <f t="shared" si="31"/>
        <v>#NUM!</v>
      </c>
      <c r="K153" s="83" t="e">
        <f t="shared" si="32"/>
        <v>#NUM!</v>
      </c>
      <c r="L153" s="83">
        <f t="shared" si="33"/>
        <v>0</v>
      </c>
      <c r="M153" s="110" t="str">
        <f t="shared" si="34"/>
        <v/>
      </c>
      <c r="N153" s="51" t="str">
        <f t="shared" si="35"/>
        <v/>
      </c>
      <c r="O153" s="52" t="str">
        <f t="shared" si="36"/>
        <v/>
      </c>
      <c r="P153" s="88">
        <f t="shared" si="37"/>
        <v>0</v>
      </c>
      <c r="Q153" s="88">
        <f t="shared" si="38"/>
        <v>0</v>
      </c>
      <c r="R153" s="88" t="e">
        <f>-IF(Tabla14[[#This Row],[DIAS HABILES O MORA]]&lt;0,(Tabla14[[#This Row],[VALOR PRESTAMO]]*Tabla14[[#This Row],[% INTERES ]]/30*U153))+Tabla14[[#This Row],[VALOR CUOTAS]]</f>
        <v>#VALUE!</v>
      </c>
      <c r="S153" s="88">
        <f>-IF(Tabla14[[#This Row],[DIAS HABILES O MORA]]&lt;0,(Tabla14[[#This Row],[VALOR PRESTAMO]]*Tabla14[[#This Row],[% INTERES ]]/30*U153))</f>
        <v>0</v>
      </c>
      <c r="T153" s="53" t="e">
        <f>Tabla14[[#This Row],[DEUDA CAPITAL]]+Tabla14[[#This Row],[INTERES  CUOTA]]</f>
        <v>#NUM!</v>
      </c>
      <c r="U153" s="61" t="str">
        <f t="shared" si="39"/>
        <v/>
      </c>
    </row>
    <row r="154" spans="9:21" ht="24.75" customHeight="1" x14ac:dyDescent="0.35">
      <c r="I154" s="42">
        <f t="shared" si="30"/>
        <v>0</v>
      </c>
      <c r="J154" s="65" t="e">
        <f t="shared" si="31"/>
        <v>#NUM!</v>
      </c>
      <c r="K154" s="83" t="e">
        <f t="shared" si="32"/>
        <v>#NUM!</v>
      </c>
      <c r="L154" s="83">
        <f t="shared" si="33"/>
        <v>0</v>
      </c>
      <c r="M154" s="110" t="str">
        <f t="shared" si="34"/>
        <v/>
      </c>
      <c r="N154" s="51" t="str">
        <f t="shared" si="35"/>
        <v/>
      </c>
      <c r="O154" s="52" t="str">
        <f t="shared" si="36"/>
        <v/>
      </c>
      <c r="P154" s="88">
        <f t="shared" si="37"/>
        <v>0</v>
      </c>
      <c r="Q154" s="88">
        <f t="shared" si="38"/>
        <v>0</v>
      </c>
      <c r="R154" s="88" t="e">
        <f>-IF(Tabla14[[#This Row],[DIAS HABILES O MORA]]&lt;0,(Tabla14[[#This Row],[VALOR PRESTAMO]]*Tabla14[[#This Row],[% INTERES ]]/30*U154))+Tabla14[[#This Row],[VALOR CUOTAS]]</f>
        <v>#VALUE!</v>
      </c>
      <c r="S154" s="88">
        <f>-IF(Tabla14[[#This Row],[DIAS HABILES O MORA]]&lt;0,(Tabla14[[#This Row],[VALOR PRESTAMO]]*Tabla14[[#This Row],[% INTERES ]]/30*U154))</f>
        <v>0</v>
      </c>
      <c r="T154" s="53" t="e">
        <f>Tabla14[[#This Row],[DEUDA CAPITAL]]+Tabla14[[#This Row],[INTERES  CUOTA]]</f>
        <v>#NUM!</v>
      </c>
      <c r="U154" s="61" t="str">
        <f t="shared" si="39"/>
        <v/>
      </c>
    </row>
    <row r="155" spans="9:21" ht="24.75" customHeight="1" x14ac:dyDescent="0.35">
      <c r="I155" s="42">
        <f t="shared" si="30"/>
        <v>0</v>
      </c>
      <c r="J155" s="65" t="e">
        <f t="shared" si="31"/>
        <v>#NUM!</v>
      </c>
      <c r="K155" s="83" t="e">
        <f t="shared" si="32"/>
        <v>#NUM!</v>
      </c>
      <c r="L155" s="83">
        <f t="shared" si="33"/>
        <v>0</v>
      </c>
      <c r="M155" s="110" t="str">
        <f t="shared" si="34"/>
        <v/>
      </c>
      <c r="N155" s="51" t="str">
        <f t="shared" si="35"/>
        <v/>
      </c>
      <c r="O155" s="52" t="str">
        <f t="shared" si="36"/>
        <v/>
      </c>
      <c r="P155" s="88">
        <f t="shared" si="37"/>
        <v>0</v>
      </c>
      <c r="Q155" s="88">
        <f t="shared" si="38"/>
        <v>0</v>
      </c>
      <c r="R155" s="88" t="e">
        <f>-IF(Tabla14[[#This Row],[DIAS HABILES O MORA]]&lt;0,(Tabla14[[#This Row],[VALOR PRESTAMO]]*Tabla14[[#This Row],[% INTERES ]]/30*U155))+Tabla14[[#This Row],[VALOR CUOTAS]]</f>
        <v>#VALUE!</v>
      </c>
      <c r="S155" s="88">
        <f>-IF(Tabla14[[#This Row],[DIAS HABILES O MORA]]&lt;0,(Tabla14[[#This Row],[VALOR PRESTAMO]]*Tabla14[[#This Row],[% INTERES ]]/30*U155))</f>
        <v>0</v>
      </c>
      <c r="T155" s="53" t="e">
        <f>Tabla14[[#This Row],[DEUDA CAPITAL]]+Tabla14[[#This Row],[INTERES  CUOTA]]</f>
        <v>#NUM!</v>
      </c>
      <c r="U155" s="61" t="str">
        <f t="shared" si="39"/>
        <v/>
      </c>
    </row>
    <row r="156" spans="9:21" ht="24.75" customHeight="1" x14ac:dyDescent="0.35">
      <c r="I156" s="42">
        <f t="shared" si="30"/>
        <v>0</v>
      </c>
      <c r="J156" s="65" t="e">
        <f t="shared" si="31"/>
        <v>#NUM!</v>
      </c>
      <c r="K156" s="83" t="e">
        <f t="shared" si="32"/>
        <v>#NUM!</v>
      </c>
      <c r="L156" s="83">
        <f t="shared" si="33"/>
        <v>0</v>
      </c>
      <c r="M156" s="110" t="str">
        <f t="shared" si="34"/>
        <v/>
      </c>
      <c r="N156" s="51" t="str">
        <f t="shared" si="35"/>
        <v/>
      </c>
      <c r="O156" s="52" t="str">
        <f t="shared" si="36"/>
        <v/>
      </c>
      <c r="P156" s="88">
        <f t="shared" si="37"/>
        <v>0</v>
      </c>
      <c r="Q156" s="88">
        <f t="shared" si="38"/>
        <v>0</v>
      </c>
      <c r="R156" s="88" t="e">
        <f>-IF(Tabla14[[#This Row],[DIAS HABILES O MORA]]&lt;0,(Tabla14[[#This Row],[VALOR PRESTAMO]]*Tabla14[[#This Row],[% INTERES ]]/30*U156))+Tabla14[[#This Row],[VALOR CUOTAS]]</f>
        <v>#VALUE!</v>
      </c>
      <c r="S156" s="88">
        <f>-IF(Tabla14[[#This Row],[DIAS HABILES O MORA]]&lt;0,(Tabla14[[#This Row],[VALOR PRESTAMO]]*Tabla14[[#This Row],[% INTERES ]]/30*U156))</f>
        <v>0</v>
      </c>
      <c r="T156" s="53" t="e">
        <f>Tabla14[[#This Row],[DEUDA CAPITAL]]+Tabla14[[#This Row],[INTERES  CUOTA]]</f>
        <v>#NUM!</v>
      </c>
      <c r="U156" s="61" t="str">
        <f t="shared" si="39"/>
        <v/>
      </c>
    </row>
    <row r="157" spans="9:21" ht="24.75" customHeight="1" x14ac:dyDescent="0.35">
      <c r="I157" s="42">
        <f t="shared" si="30"/>
        <v>0</v>
      </c>
      <c r="J157" s="65" t="e">
        <f t="shared" si="31"/>
        <v>#NUM!</v>
      </c>
      <c r="K157" s="83" t="e">
        <f t="shared" si="32"/>
        <v>#NUM!</v>
      </c>
      <c r="L157" s="83">
        <f t="shared" si="33"/>
        <v>0</v>
      </c>
      <c r="M157" s="110" t="str">
        <f t="shared" si="34"/>
        <v/>
      </c>
      <c r="N157" s="51" t="str">
        <f t="shared" si="35"/>
        <v/>
      </c>
      <c r="O157" s="52" t="str">
        <f t="shared" si="36"/>
        <v/>
      </c>
      <c r="P157" s="88">
        <f t="shared" si="37"/>
        <v>0</v>
      </c>
      <c r="Q157" s="88">
        <f t="shared" si="38"/>
        <v>0</v>
      </c>
      <c r="R157" s="88" t="e">
        <f>-IF(Tabla14[[#This Row],[DIAS HABILES O MORA]]&lt;0,(Tabla14[[#This Row],[VALOR PRESTAMO]]*Tabla14[[#This Row],[% INTERES ]]/30*U157))+Tabla14[[#This Row],[VALOR CUOTAS]]</f>
        <v>#VALUE!</v>
      </c>
      <c r="S157" s="88">
        <f>-IF(Tabla14[[#This Row],[DIAS HABILES O MORA]]&lt;0,(Tabla14[[#This Row],[VALOR PRESTAMO]]*Tabla14[[#This Row],[% INTERES ]]/30*U157))</f>
        <v>0</v>
      </c>
      <c r="T157" s="53" t="e">
        <f>Tabla14[[#This Row],[DEUDA CAPITAL]]+Tabla14[[#This Row],[INTERES  CUOTA]]</f>
        <v>#NUM!</v>
      </c>
      <c r="U157" s="61" t="str">
        <f t="shared" si="39"/>
        <v/>
      </c>
    </row>
    <row r="158" spans="9:21" ht="24.75" customHeight="1" x14ac:dyDescent="0.35">
      <c r="I158" s="42">
        <f t="shared" si="30"/>
        <v>0</v>
      </c>
      <c r="J158" s="65" t="e">
        <f t="shared" si="31"/>
        <v>#NUM!</v>
      </c>
      <c r="K158" s="83" t="e">
        <f t="shared" si="32"/>
        <v>#NUM!</v>
      </c>
      <c r="L158" s="83">
        <f t="shared" si="33"/>
        <v>0</v>
      </c>
      <c r="M158" s="110" t="str">
        <f t="shared" si="34"/>
        <v/>
      </c>
      <c r="N158" s="51" t="str">
        <f t="shared" si="35"/>
        <v/>
      </c>
      <c r="O158" s="52" t="str">
        <f t="shared" si="36"/>
        <v/>
      </c>
      <c r="P158" s="88">
        <f t="shared" si="37"/>
        <v>0</v>
      </c>
      <c r="Q158" s="88">
        <f t="shared" si="38"/>
        <v>0</v>
      </c>
      <c r="R158" s="88" t="e">
        <f>-IF(Tabla14[[#This Row],[DIAS HABILES O MORA]]&lt;0,(Tabla14[[#This Row],[VALOR PRESTAMO]]*Tabla14[[#This Row],[% INTERES ]]/30*U158))+Tabla14[[#This Row],[VALOR CUOTAS]]</f>
        <v>#VALUE!</v>
      </c>
      <c r="S158" s="88">
        <f>-IF(Tabla14[[#This Row],[DIAS HABILES O MORA]]&lt;0,(Tabla14[[#This Row],[VALOR PRESTAMO]]*Tabla14[[#This Row],[% INTERES ]]/30*U158))</f>
        <v>0</v>
      </c>
      <c r="T158" s="53" t="e">
        <f>Tabla14[[#This Row],[DEUDA CAPITAL]]+Tabla14[[#This Row],[INTERES  CUOTA]]</f>
        <v>#NUM!</v>
      </c>
      <c r="U158" s="61" t="str">
        <f t="shared" si="39"/>
        <v/>
      </c>
    </row>
    <row r="159" spans="9:21" ht="24.75" customHeight="1" x14ac:dyDescent="0.35">
      <c r="I159" s="42">
        <f t="shared" si="30"/>
        <v>0</v>
      </c>
      <c r="J159" s="65" t="e">
        <f t="shared" si="31"/>
        <v>#NUM!</v>
      </c>
      <c r="K159" s="83" t="e">
        <f t="shared" si="32"/>
        <v>#NUM!</v>
      </c>
      <c r="L159" s="83">
        <f t="shared" si="33"/>
        <v>0</v>
      </c>
      <c r="M159" s="110" t="str">
        <f t="shared" si="34"/>
        <v/>
      </c>
      <c r="N159" s="51" t="str">
        <f t="shared" si="35"/>
        <v/>
      </c>
      <c r="O159" s="52" t="str">
        <f t="shared" si="36"/>
        <v/>
      </c>
      <c r="P159" s="88">
        <f t="shared" si="37"/>
        <v>0</v>
      </c>
      <c r="Q159" s="88">
        <f t="shared" si="38"/>
        <v>0</v>
      </c>
      <c r="R159" s="88" t="e">
        <f>-IF(Tabla14[[#This Row],[DIAS HABILES O MORA]]&lt;0,(Tabla14[[#This Row],[VALOR PRESTAMO]]*Tabla14[[#This Row],[% INTERES ]]/30*U159))+Tabla14[[#This Row],[VALOR CUOTAS]]</f>
        <v>#VALUE!</v>
      </c>
      <c r="S159" s="88">
        <f>-IF(Tabla14[[#This Row],[DIAS HABILES O MORA]]&lt;0,(Tabla14[[#This Row],[VALOR PRESTAMO]]*Tabla14[[#This Row],[% INTERES ]]/30*U159))</f>
        <v>0</v>
      </c>
      <c r="T159" s="53" t="e">
        <f>Tabla14[[#This Row],[DEUDA CAPITAL]]+Tabla14[[#This Row],[INTERES  CUOTA]]</f>
        <v>#NUM!</v>
      </c>
      <c r="U159" s="61" t="str">
        <f t="shared" si="39"/>
        <v/>
      </c>
    </row>
    <row r="160" spans="9:21" ht="24.75" customHeight="1" x14ac:dyDescent="0.35">
      <c r="I160" s="42">
        <f t="shared" si="30"/>
        <v>0</v>
      </c>
      <c r="J160" s="65" t="e">
        <f t="shared" si="31"/>
        <v>#NUM!</v>
      </c>
      <c r="K160" s="83" t="e">
        <f t="shared" si="32"/>
        <v>#NUM!</v>
      </c>
      <c r="L160" s="83">
        <f t="shared" si="33"/>
        <v>0</v>
      </c>
      <c r="M160" s="110" t="str">
        <f t="shared" si="34"/>
        <v/>
      </c>
      <c r="N160" s="51" t="str">
        <f t="shared" si="35"/>
        <v/>
      </c>
      <c r="O160" s="52" t="str">
        <f t="shared" si="36"/>
        <v/>
      </c>
      <c r="P160" s="88">
        <f t="shared" si="37"/>
        <v>0</v>
      </c>
      <c r="Q160" s="88">
        <f t="shared" si="38"/>
        <v>0</v>
      </c>
      <c r="R160" s="88" t="e">
        <f>-IF(Tabla14[[#This Row],[DIAS HABILES O MORA]]&lt;0,(Tabla14[[#This Row],[VALOR PRESTAMO]]*Tabla14[[#This Row],[% INTERES ]]/30*U160))+Tabla14[[#This Row],[VALOR CUOTAS]]</f>
        <v>#VALUE!</v>
      </c>
      <c r="S160" s="88">
        <f>-IF(Tabla14[[#This Row],[DIAS HABILES O MORA]]&lt;0,(Tabla14[[#This Row],[VALOR PRESTAMO]]*Tabla14[[#This Row],[% INTERES ]]/30*U160))</f>
        <v>0</v>
      </c>
      <c r="T160" s="53" t="e">
        <f>Tabla14[[#This Row],[DEUDA CAPITAL]]+Tabla14[[#This Row],[INTERES  CUOTA]]</f>
        <v>#NUM!</v>
      </c>
      <c r="U160" s="61" t="str">
        <f t="shared" si="39"/>
        <v/>
      </c>
    </row>
    <row r="161" spans="9:21" ht="24.75" customHeight="1" x14ac:dyDescent="0.35">
      <c r="I161" s="42">
        <f t="shared" si="30"/>
        <v>0</v>
      </c>
      <c r="J161" s="65" t="e">
        <f t="shared" si="31"/>
        <v>#NUM!</v>
      </c>
      <c r="K161" s="83" t="e">
        <f t="shared" si="32"/>
        <v>#NUM!</v>
      </c>
      <c r="L161" s="83">
        <f t="shared" si="33"/>
        <v>0</v>
      </c>
      <c r="M161" s="110" t="str">
        <f t="shared" si="34"/>
        <v/>
      </c>
      <c r="N161" s="51" t="str">
        <f t="shared" si="35"/>
        <v/>
      </c>
      <c r="O161" s="52" t="str">
        <f t="shared" si="36"/>
        <v/>
      </c>
      <c r="P161" s="88">
        <f t="shared" si="37"/>
        <v>0</v>
      </c>
      <c r="Q161" s="88">
        <f t="shared" si="38"/>
        <v>0</v>
      </c>
      <c r="R161" s="88" t="e">
        <f>-IF(Tabla14[[#This Row],[DIAS HABILES O MORA]]&lt;0,(Tabla14[[#This Row],[VALOR PRESTAMO]]*Tabla14[[#This Row],[% INTERES ]]/30*U161))+Tabla14[[#This Row],[VALOR CUOTAS]]</f>
        <v>#VALUE!</v>
      </c>
      <c r="S161" s="88">
        <f>-IF(Tabla14[[#This Row],[DIAS HABILES O MORA]]&lt;0,(Tabla14[[#This Row],[VALOR PRESTAMO]]*Tabla14[[#This Row],[% INTERES ]]/30*U161))</f>
        <v>0</v>
      </c>
      <c r="T161" s="53" t="e">
        <f>Tabla14[[#This Row],[DEUDA CAPITAL]]+Tabla14[[#This Row],[INTERES  CUOTA]]</f>
        <v>#NUM!</v>
      </c>
      <c r="U161" s="61" t="str">
        <f t="shared" si="39"/>
        <v/>
      </c>
    </row>
    <row r="162" spans="9:21" ht="24.75" customHeight="1" x14ac:dyDescent="0.35">
      <c r="I162" s="42">
        <f t="shared" si="30"/>
        <v>0</v>
      </c>
      <c r="J162" s="65" t="e">
        <f t="shared" si="31"/>
        <v>#NUM!</v>
      </c>
      <c r="K162" s="83" t="e">
        <f t="shared" si="32"/>
        <v>#NUM!</v>
      </c>
      <c r="L162" s="83">
        <f t="shared" si="33"/>
        <v>0</v>
      </c>
      <c r="M162" s="110" t="str">
        <f t="shared" si="34"/>
        <v/>
      </c>
      <c r="N162" s="51" t="str">
        <f t="shared" si="35"/>
        <v/>
      </c>
      <c r="O162" s="52" t="str">
        <f t="shared" si="36"/>
        <v/>
      </c>
      <c r="P162" s="88">
        <f t="shared" si="37"/>
        <v>0</v>
      </c>
      <c r="Q162" s="88">
        <f t="shared" si="38"/>
        <v>0</v>
      </c>
      <c r="R162" s="88" t="e">
        <f>-IF(Tabla14[[#This Row],[DIAS HABILES O MORA]]&lt;0,(Tabla14[[#This Row],[VALOR PRESTAMO]]*Tabla14[[#This Row],[% INTERES ]]/30*U162))+Tabla14[[#This Row],[VALOR CUOTAS]]</f>
        <v>#VALUE!</v>
      </c>
      <c r="S162" s="88">
        <f>-IF(Tabla14[[#This Row],[DIAS HABILES O MORA]]&lt;0,(Tabla14[[#This Row],[VALOR PRESTAMO]]*Tabla14[[#This Row],[% INTERES ]]/30*U162))</f>
        <v>0</v>
      </c>
      <c r="T162" s="53" t="e">
        <f>Tabla14[[#This Row],[DEUDA CAPITAL]]+Tabla14[[#This Row],[INTERES  CUOTA]]</f>
        <v>#NUM!</v>
      </c>
      <c r="U162" s="61" t="str">
        <f t="shared" si="39"/>
        <v/>
      </c>
    </row>
    <row r="163" spans="9:21" ht="24.75" customHeight="1" x14ac:dyDescent="0.35">
      <c r="I163" s="42">
        <f t="shared" si="30"/>
        <v>0</v>
      </c>
      <c r="J163" s="65" t="e">
        <f t="shared" si="31"/>
        <v>#NUM!</v>
      </c>
      <c r="K163" s="83" t="e">
        <f t="shared" si="32"/>
        <v>#NUM!</v>
      </c>
      <c r="L163" s="83">
        <f t="shared" si="33"/>
        <v>0</v>
      </c>
      <c r="M163" s="110" t="str">
        <f t="shared" si="34"/>
        <v/>
      </c>
      <c r="N163" s="51" t="str">
        <f t="shared" si="35"/>
        <v/>
      </c>
      <c r="O163" s="52" t="str">
        <f t="shared" si="36"/>
        <v/>
      </c>
      <c r="P163" s="88">
        <f t="shared" si="37"/>
        <v>0</v>
      </c>
      <c r="Q163" s="88">
        <f t="shared" si="38"/>
        <v>0</v>
      </c>
      <c r="R163" s="88" t="e">
        <f>-IF(Tabla14[[#This Row],[DIAS HABILES O MORA]]&lt;0,(Tabla14[[#This Row],[VALOR PRESTAMO]]*Tabla14[[#This Row],[% INTERES ]]/30*U163))+Tabla14[[#This Row],[VALOR CUOTAS]]</f>
        <v>#VALUE!</v>
      </c>
      <c r="S163" s="88">
        <f>-IF(Tabla14[[#This Row],[DIAS HABILES O MORA]]&lt;0,(Tabla14[[#This Row],[VALOR PRESTAMO]]*Tabla14[[#This Row],[% INTERES ]]/30*U163))</f>
        <v>0</v>
      </c>
      <c r="T163" s="53" t="e">
        <f>Tabla14[[#This Row],[DEUDA CAPITAL]]+Tabla14[[#This Row],[INTERES  CUOTA]]</f>
        <v>#NUM!</v>
      </c>
      <c r="U163" s="61" t="str">
        <f t="shared" si="39"/>
        <v/>
      </c>
    </row>
    <row r="164" spans="9:21" ht="24.75" customHeight="1" x14ac:dyDescent="0.35">
      <c r="I164" s="42">
        <f t="shared" si="30"/>
        <v>0</v>
      </c>
      <c r="J164" s="65" t="e">
        <f t="shared" si="31"/>
        <v>#NUM!</v>
      </c>
      <c r="K164" s="83" t="e">
        <f t="shared" si="32"/>
        <v>#NUM!</v>
      </c>
      <c r="L164" s="83">
        <f t="shared" si="33"/>
        <v>0</v>
      </c>
      <c r="M164" s="110" t="str">
        <f t="shared" si="34"/>
        <v/>
      </c>
      <c r="N164" s="51" t="str">
        <f t="shared" si="35"/>
        <v/>
      </c>
      <c r="O164" s="52" t="str">
        <f t="shared" si="36"/>
        <v/>
      </c>
      <c r="P164" s="88">
        <f t="shared" si="37"/>
        <v>0</v>
      </c>
      <c r="Q164" s="88">
        <f t="shared" si="38"/>
        <v>0</v>
      </c>
      <c r="R164" s="88" t="e">
        <f>-IF(Tabla14[[#This Row],[DIAS HABILES O MORA]]&lt;0,(Tabla14[[#This Row],[VALOR PRESTAMO]]*Tabla14[[#This Row],[% INTERES ]]/30*U164))+Tabla14[[#This Row],[VALOR CUOTAS]]</f>
        <v>#VALUE!</v>
      </c>
      <c r="S164" s="88">
        <f>-IF(Tabla14[[#This Row],[DIAS HABILES O MORA]]&lt;0,(Tabla14[[#This Row],[VALOR PRESTAMO]]*Tabla14[[#This Row],[% INTERES ]]/30*U164))</f>
        <v>0</v>
      </c>
      <c r="T164" s="53" t="e">
        <f>Tabla14[[#This Row],[DEUDA CAPITAL]]+Tabla14[[#This Row],[INTERES  CUOTA]]</f>
        <v>#NUM!</v>
      </c>
      <c r="U164" s="61" t="str">
        <f t="shared" si="39"/>
        <v/>
      </c>
    </row>
    <row r="165" spans="9:21" ht="24.75" customHeight="1" x14ac:dyDescent="0.35">
      <c r="I165" s="42">
        <f t="shared" si="30"/>
        <v>0</v>
      </c>
      <c r="J165" s="65" t="e">
        <f t="shared" si="31"/>
        <v>#NUM!</v>
      </c>
      <c r="K165" s="83" t="e">
        <f t="shared" si="32"/>
        <v>#NUM!</v>
      </c>
      <c r="L165" s="83">
        <f t="shared" si="33"/>
        <v>0</v>
      </c>
      <c r="M165" s="110" t="str">
        <f t="shared" si="34"/>
        <v/>
      </c>
      <c r="N165" s="51" t="str">
        <f t="shared" si="35"/>
        <v/>
      </c>
      <c r="O165" s="52" t="str">
        <f t="shared" si="36"/>
        <v/>
      </c>
      <c r="P165" s="88">
        <f t="shared" si="37"/>
        <v>0</v>
      </c>
      <c r="Q165" s="88">
        <f t="shared" si="38"/>
        <v>0</v>
      </c>
      <c r="R165" s="88" t="e">
        <f>-IF(Tabla14[[#This Row],[DIAS HABILES O MORA]]&lt;0,(Tabla14[[#This Row],[VALOR PRESTAMO]]*Tabla14[[#This Row],[% INTERES ]]/30*U165))+Tabla14[[#This Row],[VALOR CUOTAS]]</f>
        <v>#VALUE!</v>
      </c>
      <c r="S165" s="88">
        <f>-IF(Tabla14[[#This Row],[DIAS HABILES O MORA]]&lt;0,(Tabla14[[#This Row],[VALOR PRESTAMO]]*Tabla14[[#This Row],[% INTERES ]]/30*U165))</f>
        <v>0</v>
      </c>
      <c r="T165" s="53" t="e">
        <f>Tabla14[[#This Row],[DEUDA CAPITAL]]+Tabla14[[#This Row],[INTERES  CUOTA]]</f>
        <v>#NUM!</v>
      </c>
      <c r="U165" s="61" t="str">
        <f t="shared" si="39"/>
        <v/>
      </c>
    </row>
    <row r="166" spans="9:21" ht="24.75" customHeight="1" x14ac:dyDescent="0.35">
      <c r="I166" s="42">
        <f t="shared" si="30"/>
        <v>0</v>
      </c>
      <c r="J166" s="65" t="e">
        <f t="shared" si="31"/>
        <v>#NUM!</v>
      </c>
      <c r="K166" s="83" t="e">
        <f t="shared" si="32"/>
        <v>#NUM!</v>
      </c>
      <c r="L166" s="83">
        <f t="shared" si="33"/>
        <v>0</v>
      </c>
      <c r="M166" s="110" t="str">
        <f t="shared" si="34"/>
        <v/>
      </c>
      <c r="N166" s="51" t="str">
        <f t="shared" si="35"/>
        <v/>
      </c>
      <c r="O166" s="52" t="str">
        <f t="shared" si="36"/>
        <v/>
      </c>
      <c r="P166" s="88">
        <f t="shared" si="37"/>
        <v>0</v>
      </c>
      <c r="Q166" s="88">
        <f t="shared" si="38"/>
        <v>0</v>
      </c>
      <c r="R166" s="88" t="e">
        <f>-IF(Tabla14[[#This Row],[DIAS HABILES O MORA]]&lt;0,(Tabla14[[#This Row],[VALOR PRESTAMO]]*Tabla14[[#This Row],[% INTERES ]]/30*U166))+Tabla14[[#This Row],[VALOR CUOTAS]]</f>
        <v>#VALUE!</v>
      </c>
      <c r="S166" s="88">
        <f>-IF(Tabla14[[#This Row],[DIAS HABILES O MORA]]&lt;0,(Tabla14[[#This Row],[VALOR PRESTAMO]]*Tabla14[[#This Row],[% INTERES ]]/30*U166))</f>
        <v>0</v>
      </c>
      <c r="T166" s="53" t="e">
        <f>Tabla14[[#This Row],[DEUDA CAPITAL]]+Tabla14[[#This Row],[INTERES  CUOTA]]</f>
        <v>#NUM!</v>
      </c>
      <c r="U166" s="61" t="str">
        <f t="shared" si="39"/>
        <v/>
      </c>
    </row>
    <row r="167" spans="9:21" ht="24.75" customHeight="1" x14ac:dyDescent="0.35">
      <c r="I167" s="42">
        <f t="shared" si="30"/>
        <v>0</v>
      </c>
      <c r="J167" s="65" t="e">
        <f t="shared" si="31"/>
        <v>#NUM!</v>
      </c>
      <c r="K167" s="83" t="e">
        <f t="shared" si="32"/>
        <v>#NUM!</v>
      </c>
      <c r="L167" s="83">
        <f t="shared" si="33"/>
        <v>0</v>
      </c>
      <c r="M167" s="110" t="str">
        <f t="shared" si="34"/>
        <v/>
      </c>
      <c r="N167" s="51" t="str">
        <f t="shared" si="35"/>
        <v/>
      </c>
      <c r="O167" s="52" t="str">
        <f t="shared" si="36"/>
        <v/>
      </c>
      <c r="P167" s="88">
        <f t="shared" si="37"/>
        <v>0</v>
      </c>
      <c r="Q167" s="88">
        <f t="shared" si="38"/>
        <v>0</v>
      </c>
      <c r="R167" s="88" t="e">
        <f>-IF(Tabla14[[#This Row],[DIAS HABILES O MORA]]&lt;0,(Tabla14[[#This Row],[VALOR PRESTAMO]]*Tabla14[[#This Row],[% INTERES ]]/30*U167))+Tabla14[[#This Row],[VALOR CUOTAS]]</f>
        <v>#VALUE!</v>
      </c>
      <c r="S167" s="88">
        <f>-IF(Tabla14[[#This Row],[DIAS HABILES O MORA]]&lt;0,(Tabla14[[#This Row],[VALOR PRESTAMO]]*Tabla14[[#This Row],[% INTERES ]]/30*U167))</f>
        <v>0</v>
      </c>
      <c r="T167" s="53" t="e">
        <f>Tabla14[[#This Row],[DEUDA CAPITAL]]+Tabla14[[#This Row],[INTERES  CUOTA]]</f>
        <v>#NUM!</v>
      </c>
      <c r="U167" s="61" t="str">
        <f t="shared" si="39"/>
        <v/>
      </c>
    </row>
    <row r="168" spans="9:21" ht="24.75" customHeight="1" x14ac:dyDescent="0.35">
      <c r="I168" s="42">
        <f t="shared" si="30"/>
        <v>0</v>
      </c>
      <c r="J168" s="65" t="e">
        <f t="shared" si="31"/>
        <v>#NUM!</v>
      </c>
      <c r="K168" s="83" t="e">
        <f t="shared" si="32"/>
        <v>#NUM!</v>
      </c>
      <c r="L168" s="83">
        <f t="shared" si="33"/>
        <v>0</v>
      </c>
      <c r="M168" s="110" t="str">
        <f t="shared" si="34"/>
        <v/>
      </c>
      <c r="N168" s="51" t="str">
        <f t="shared" si="35"/>
        <v/>
      </c>
      <c r="O168" s="52" t="str">
        <f t="shared" si="36"/>
        <v/>
      </c>
      <c r="P168" s="88">
        <f t="shared" si="37"/>
        <v>0</v>
      </c>
      <c r="Q168" s="88">
        <f t="shared" si="38"/>
        <v>0</v>
      </c>
      <c r="R168" s="88" t="e">
        <f>-IF(Tabla14[[#This Row],[DIAS HABILES O MORA]]&lt;0,(Tabla14[[#This Row],[VALOR PRESTAMO]]*Tabla14[[#This Row],[% INTERES ]]/30*U168))+Tabla14[[#This Row],[VALOR CUOTAS]]</f>
        <v>#VALUE!</v>
      </c>
      <c r="S168" s="88">
        <f>-IF(Tabla14[[#This Row],[DIAS HABILES O MORA]]&lt;0,(Tabla14[[#This Row],[VALOR PRESTAMO]]*Tabla14[[#This Row],[% INTERES ]]/30*U168))</f>
        <v>0</v>
      </c>
      <c r="T168" s="53" t="e">
        <f>Tabla14[[#This Row],[DEUDA CAPITAL]]+Tabla14[[#This Row],[INTERES  CUOTA]]</f>
        <v>#NUM!</v>
      </c>
      <c r="U168" s="61" t="str">
        <f t="shared" si="39"/>
        <v/>
      </c>
    </row>
    <row r="169" spans="9:21" ht="24.75" customHeight="1" x14ac:dyDescent="0.35">
      <c r="I169" s="42">
        <f t="shared" si="30"/>
        <v>0</v>
      </c>
      <c r="J169" s="65" t="e">
        <f t="shared" si="31"/>
        <v>#NUM!</v>
      </c>
      <c r="K169" s="83" t="e">
        <f t="shared" si="32"/>
        <v>#NUM!</v>
      </c>
      <c r="L169" s="83">
        <f t="shared" si="33"/>
        <v>0</v>
      </c>
      <c r="M169" s="110" t="str">
        <f t="shared" si="34"/>
        <v/>
      </c>
      <c r="N169" s="51" t="str">
        <f t="shared" si="35"/>
        <v/>
      </c>
      <c r="O169" s="52" t="str">
        <f t="shared" si="36"/>
        <v/>
      </c>
      <c r="P169" s="88">
        <f t="shared" si="37"/>
        <v>0</v>
      </c>
      <c r="Q169" s="88">
        <f t="shared" si="38"/>
        <v>0</v>
      </c>
      <c r="R169" s="88" t="e">
        <f>-IF(Tabla14[[#This Row],[DIAS HABILES O MORA]]&lt;0,(Tabla14[[#This Row],[VALOR PRESTAMO]]*Tabla14[[#This Row],[% INTERES ]]/30*U169))+Tabla14[[#This Row],[VALOR CUOTAS]]</f>
        <v>#VALUE!</v>
      </c>
      <c r="S169" s="88">
        <f>-IF(Tabla14[[#This Row],[DIAS HABILES O MORA]]&lt;0,(Tabla14[[#This Row],[VALOR PRESTAMO]]*Tabla14[[#This Row],[% INTERES ]]/30*U169))</f>
        <v>0</v>
      </c>
      <c r="T169" s="53" t="e">
        <f>Tabla14[[#This Row],[DEUDA CAPITAL]]+Tabla14[[#This Row],[INTERES  CUOTA]]</f>
        <v>#NUM!</v>
      </c>
      <c r="U169" s="61" t="str">
        <f t="shared" si="39"/>
        <v/>
      </c>
    </row>
    <row r="170" spans="9:21" ht="24.75" customHeight="1" x14ac:dyDescent="0.35">
      <c r="I170" s="42">
        <f t="shared" si="30"/>
        <v>0</v>
      </c>
      <c r="J170" s="65" t="e">
        <f t="shared" si="31"/>
        <v>#NUM!</v>
      </c>
      <c r="K170" s="83" t="e">
        <f t="shared" si="32"/>
        <v>#NUM!</v>
      </c>
      <c r="L170" s="83">
        <f t="shared" si="33"/>
        <v>0</v>
      </c>
      <c r="M170" s="110" t="str">
        <f t="shared" si="34"/>
        <v/>
      </c>
      <c r="N170" s="51" t="str">
        <f t="shared" si="35"/>
        <v/>
      </c>
      <c r="O170" s="52" t="str">
        <f t="shared" si="36"/>
        <v/>
      </c>
      <c r="P170" s="88">
        <f t="shared" si="37"/>
        <v>0</v>
      </c>
      <c r="Q170" s="88">
        <f t="shared" si="38"/>
        <v>0</v>
      </c>
      <c r="R170" s="88" t="e">
        <f>-IF(Tabla14[[#This Row],[DIAS HABILES O MORA]]&lt;0,(Tabla14[[#This Row],[VALOR PRESTAMO]]*Tabla14[[#This Row],[% INTERES ]]/30*U170))+Tabla14[[#This Row],[VALOR CUOTAS]]</f>
        <v>#VALUE!</v>
      </c>
      <c r="S170" s="88">
        <f>-IF(Tabla14[[#This Row],[DIAS HABILES O MORA]]&lt;0,(Tabla14[[#This Row],[VALOR PRESTAMO]]*Tabla14[[#This Row],[% INTERES ]]/30*U170))</f>
        <v>0</v>
      </c>
      <c r="T170" s="53" t="e">
        <f>Tabla14[[#This Row],[DEUDA CAPITAL]]+Tabla14[[#This Row],[INTERES  CUOTA]]</f>
        <v>#NUM!</v>
      </c>
      <c r="U170" s="61" t="str">
        <f t="shared" si="39"/>
        <v/>
      </c>
    </row>
    <row r="171" spans="9:21" ht="24.75" customHeight="1" x14ac:dyDescent="0.35">
      <c r="I171" s="42">
        <f t="shared" si="30"/>
        <v>0</v>
      </c>
      <c r="J171" s="65" t="e">
        <f t="shared" si="31"/>
        <v>#NUM!</v>
      </c>
      <c r="K171" s="83" t="e">
        <f t="shared" si="32"/>
        <v>#NUM!</v>
      </c>
      <c r="L171" s="83">
        <f t="shared" si="33"/>
        <v>0</v>
      </c>
      <c r="M171" s="110" t="str">
        <f t="shared" si="34"/>
        <v/>
      </c>
      <c r="N171" s="51" t="str">
        <f t="shared" si="35"/>
        <v/>
      </c>
      <c r="O171" s="52" t="str">
        <f t="shared" si="36"/>
        <v/>
      </c>
      <c r="P171" s="88">
        <f t="shared" si="37"/>
        <v>0</v>
      </c>
      <c r="Q171" s="88">
        <f t="shared" si="38"/>
        <v>0</v>
      </c>
      <c r="R171" s="88" t="e">
        <f>-IF(Tabla14[[#This Row],[DIAS HABILES O MORA]]&lt;0,(Tabla14[[#This Row],[VALOR PRESTAMO]]*Tabla14[[#This Row],[% INTERES ]]/30*U171))+Tabla14[[#This Row],[VALOR CUOTAS]]</f>
        <v>#VALUE!</v>
      </c>
      <c r="S171" s="88">
        <f>-IF(Tabla14[[#This Row],[DIAS HABILES O MORA]]&lt;0,(Tabla14[[#This Row],[VALOR PRESTAMO]]*Tabla14[[#This Row],[% INTERES ]]/30*U171))</f>
        <v>0</v>
      </c>
      <c r="T171" s="53" t="e">
        <f>Tabla14[[#This Row],[DEUDA CAPITAL]]+Tabla14[[#This Row],[INTERES  CUOTA]]</f>
        <v>#NUM!</v>
      </c>
      <c r="U171" s="61" t="str">
        <f t="shared" si="39"/>
        <v/>
      </c>
    </row>
    <row r="172" spans="9:21" ht="24.75" customHeight="1" x14ac:dyDescent="0.35">
      <c r="I172" s="42">
        <f t="shared" si="30"/>
        <v>0</v>
      </c>
      <c r="J172" s="65" t="e">
        <f t="shared" si="31"/>
        <v>#NUM!</v>
      </c>
      <c r="K172" s="83" t="e">
        <f t="shared" si="32"/>
        <v>#NUM!</v>
      </c>
      <c r="L172" s="83">
        <f t="shared" si="33"/>
        <v>0</v>
      </c>
      <c r="M172" s="110" t="str">
        <f t="shared" si="34"/>
        <v/>
      </c>
      <c r="N172" s="51" t="str">
        <f t="shared" si="35"/>
        <v/>
      </c>
      <c r="O172" s="52" t="str">
        <f t="shared" si="36"/>
        <v/>
      </c>
      <c r="P172" s="88">
        <f t="shared" si="37"/>
        <v>0</v>
      </c>
      <c r="Q172" s="88">
        <f t="shared" si="38"/>
        <v>0</v>
      </c>
      <c r="R172" s="88" t="e">
        <f>-IF(Tabla14[[#This Row],[DIAS HABILES O MORA]]&lt;0,(Tabla14[[#This Row],[VALOR PRESTAMO]]*Tabla14[[#This Row],[% INTERES ]]/30*U172))+Tabla14[[#This Row],[VALOR CUOTAS]]</f>
        <v>#VALUE!</v>
      </c>
      <c r="S172" s="88">
        <f>-IF(Tabla14[[#This Row],[DIAS HABILES O MORA]]&lt;0,(Tabla14[[#This Row],[VALOR PRESTAMO]]*Tabla14[[#This Row],[% INTERES ]]/30*U172))</f>
        <v>0</v>
      </c>
      <c r="T172" s="53" t="e">
        <f>Tabla14[[#This Row],[DEUDA CAPITAL]]+Tabla14[[#This Row],[INTERES  CUOTA]]</f>
        <v>#NUM!</v>
      </c>
      <c r="U172" s="61" t="str">
        <f t="shared" si="39"/>
        <v/>
      </c>
    </row>
    <row r="173" spans="9:21" ht="24.75" customHeight="1" x14ac:dyDescent="0.35">
      <c r="I173" s="42">
        <f t="shared" si="30"/>
        <v>0</v>
      </c>
      <c r="J173" s="65" t="e">
        <f t="shared" si="31"/>
        <v>#NUM!</v>
      </c>
      <c r="K173" s="83" t="e">
        <f t="shared" si="32"/>
        <v>#NUM!</v>
      </c>
      <c r="L173" s="83">
        <f t="shared" si="33"/>
        <v>0</v>
      </c>
      <c r="M173" s="110" t="str">
        <f t="shared" si="34"/>
        <v/>
      </c>
      <c r="N173" s="51" t="str">
        <f t="shared" si="35"/>
        <v/>
      </c>
      <c r="O173" s="52" t="str">
        <f t="shared" si="36"/>
        <v/>
      </c>
      <c r="P173" s="88">
        <f t="shared" si="37"/>
        <v>0</v>
      </c>
      <c r="Q173" s="88">
        <f t="shared" si="38"/>
        <v>0</v>
      </c>
      <c r="R173" s="88" t="e">
        <f>-IF(Tabla14[[#This Row],[DIAS HABILES O MORA]]&lt;0,(Tabla14[[#This Row],[VALOR PRESTAMO]]*Tabla14[[#This Row],[% INTERES ]]/30*U173))+Tabla14[[#This Row],[VALOR CUOTAS]]</f>
        <v>#VALUE!</v>
      </c>
      <c r="S173" s="88">
        <f>-IF(Tabla14[[#This Row],[DIAS HABILES O MORA]]&lt;0,(Tabla14[[#This Row],[VALOR PRESTAMO]]*Tabla14[[#This Row],[% INTERES ]]/30*U173))</f>
        <v>0</v>
      </c>
      <c r="T173" s="53" t="e">
        <f>Tabla14[[#This Row],[DEUDA CAPITAL]]+Tabla14[[#This Row],[INTERES  CUOTA]]</f>
        <v>#NUM!</v>
      </c>
      <c r="U173" s="61" t="str">
        <f t="shared" si="39"/>
        <v/>
      </c>
    </row>
    <row r="174" spans="9:21" ht="24.75" customHeight="1" x14ac:dyDescent="0.35">
      <c r="I174" s="42">
        <f t="shared" si="30"/>
        <v>0</v>
      </c>
      <c r="J174" s="65" t="e">
        <f t="shared" si="31"/>
        <v>#NUM!</v>
      </c>
      <c r="K174" s="83" t="e">
        <f t="shared" si="32"/>
        <v>#NUM!</v>
      </c>
      <c r="L174" s="83">
        <f t="shared" si="33"/>
        <v>0</v>
      </c>
      <c r="M174" s="110" t="str">
        <f t="shared" si="34"/>
        <v/>
      </c>
      <c r="N174" s="51" t="str">
        <f t="shared" si="35"/>
        <v/>
      </c>
      <c r="O174" s="52" t="str">
        <f t="shared" si="36"/>
        <v/>
      </c>
      <c r="P174" s="88">
        <f t="shared" si="37"/>
        <v>0</v>
      </c>
      <c r="Q174" s="88">
        <f t="shared" si="38"/>
        <v>0</v>
      </c>
      <c r="R174" s="88" t="e">
        <f>-IF(Tabla14[[#This Row],[DIAS HABILES O MORA]]&lt;0,(Tabla14[[#This Row],[VALOR PRESTAMO]]*Tabla14[[#This Row],[% INTERES ]]/30*U174))+Tabla14[[#This Row],[VALOR CUOTAS]]</f>
        <v>#VALUE!</v>
      </c>
      <c r="S174" s="88">
        <f>-IF(Tabla14[[#This Row],[DIAS HABILES O MORA]]&lt;0,(Tabla14[[#This Row],[VALOR PRESTAMO]]*Tabla14[[#This Row],[% INTERES ]]/30*U174))</f>
        <v>0</v>
      </c>
      <c r="T174" s="53" t="e">
        <f>Tabla14[[#This Row],[DEUDA CAPITAL]]+Tabla14[[#This Row],[INTERES  CUOTA]]</f>
        <v>#NUM!</v>
      </c>
      <c r="U174" s="61" t="str">
        <f t="shared" si="39"/>
        <v/>
      </c>
    </row>
    <row r="175" spans="9:21" ht="24.75" customHeight="1" x14ac:dyDescent="0.35">
      <c r="I175" s="42">
        <f t="shared" si="30"/>
        <v>0</v>
      </c>
      <c r="J175" s="65" t="e">
        <f t="shared" si="31"/>
        <v>#NUM!</v>
      </c>
      <c r="K175" s="83" t="e">
        <f t="shared" si="32"/>
        <v>#NUM!</v>
      </c>
      <c r="L175" s="83">
        <f t="shared" si="33"/>
        <v>0</v>
      </c>
      <c r="M175" s="110" t="str">
        <f t="shared" si="34"/>
        <v/>
      </c>
      <c r="N175" s="51" t="str">
        <f t="shared" si="35"/>
        <v/>
      </c>
      <c r="O175" s="52" t="str">
        <f t="shared" si="36"/>
        <v/>
      </c>
      <c r="P175" s="88">
        <f t="shared" si="37"/>
        <v>0</v>
      </c>
      <c r="Q175" s="88">
        <f t="shared" si="38"/>
        <v>0</v>
      </c>
      <c r="R175" s="88" t="e">
        <f>-IF(Tabla14[[#This Row],[DIAS HABILES O MORA]]&lt;0,(Tabla14[[#This Row],[VALOR PRESTAMO]]*Tabla14[[#This Row],[% INTERES ]]/30*U175))+Tabla14[[#This Row],[VALOR CUOTAS]]</f>
        <v>#VALUE!</v>
      </c>
      <c r="S175" s="88">
        <f>-IF(Tabla14[[#This Row],[DIAS HABILES O MORA]]&lt;0,(Tabla14[[#This Row],[VALOR PRESTAMO]]*Tabla14[[#This Row],[% INTERES ]]/30*U175))</f>
        <v>0</v>
      </c>
      <c r="T175" s="53" t="e">
        <f>Tabla14[[#This Row],[DEUDA CAPITAL]]+Tabla14[[#This Row],[INTERES  CUOTA]]</f>
        <v>#NUM!</v>
      </c>
      <c r="U175" s="61" t="str">
        <f t="shared" si="39"/>
        <v/>
      </c>
    </row>
    <row r="176" spans="9:21" ht="24.75" customHeight="1" x14ac:dyDescent="0.35">
      <c r="I176" s="42">
        <f t="shared" si="30"/>
        <v>0</v>
      </c>
      <c r="J176" s="65" t="e">
        <f t="shared" si="31"/>
        <v>#NUM!</v>
      </c>
      <c r="K176" s="83" t="e">
        <f t="shared" si="32"/>
        <v>#NUM!</v>
      </c>
      <c r="L176" s="83">
        <f t="shared" si="33"/>
        <v>0</v>
      </c>
      <c r="M176" s="110" t="str">
        <f t="shared" si="34"/>
        <v/>
      </c>
      <c r="N176" s="51" t="str">
        <f t="shared" si="35"/>
        <v/>
      </c>
      <c r="O176" s="52" t="str">
        <f t="shared" si="36"/>
        <v/>
      </c>
      <c r="P176" s="88">
        <f t="shared" si="37"/>
        <v>0</v>
      </c>
      <c r="Q176" s="88">
        <f t="shared" si="38"/>
        <v>0</v>
      </c>
      <c r="R176" s="88" t="e">
        <f>-IF(Tabla14[[#This Row],[DIAS HABILES O MORA]]&lt;0,(Tabla14[[#This Row],[VALOR PRESTAMO]]*Tabla14[[#This Row],[% INTERES ]]/30*U176))+Tabla14[[#This Row],[VALOR CUOTAS]]</f>
        <v>#VALUE!</v>
      </c>
      <c r="S176" s="88">
        <f>-IF(Tabla14[[#This Row],[DIAS HABILES O MORA]]&lt;0,(Tabla14[[#This Row],[VALOR PRESTAMO]]*Tabla14[[#This Row],[% INTERES ]]/30*U176))</f>
        <v>0</v>
      </c>
      <c r="T176" s="53" t="e">
        <f>Tabla14[[#This Row],[DEUDA CAPITAL]]+Tabla14[[#This Row],[INTERES  CUOTA]]</f>
        <v>#NUM!</v>
      </c>
      <c r="U176" s="61" t="str">
        <f t="shared" si="39"/>
        <v/>
      </c>
    </row>
    <row r="177" spans="9:21" ht="24.75" customHeight="1" x14ac:dyDescent="0.35">
      <c r="I177" s="42">
        <f t="shared" si="30"/>
        <v>0</v>
      </c>
      <c r="J177" s="65" t="e">
        <f t="shared" si="31"/>
        <v>#NUM!</v>
      </c>
      <c r="K177" s="83" t="e">
        <f t="shared" si="32"/>
        <v>#NUM!</v>
      </c>
      <c r="L177" s="83">
        <f t="shared" si="33"/>
        <v>0</v>
      </c>
      <c r="M177" s="110" t="str">
        <f t="shared" si="34"/>
        <v/>
      </c>
      <c r="N177" s="51" t="str">
        <f t="shared" si="35"/>
        <v/>
      </c>
      <c r="O177" s="52" t="str">
        <f t="shared" si="36"/>
        <v/>
      </c>
      <c r="P177" s="88">
        <f t="shared" si="37"/>
        <v>0</v>
      </c>
      <c r="Q177" s="88">
        <f t="shared" si="38"/>
        <v>0</v>
      </c>
      <c r="R177" s="88" t="e">
        <f>-IF(Tabla14[[#This Row],[DIAS HABILES O MORA]]&lt;0,(Tabla14[[#This Row],[VALOR PRESTAMO]]*Tabla14[[#This Row],[% INTERES ]]/30*U177))+Tabla14[[#This Row],[VALOR CUOTAS]]</f>
        <v>#VALUE!</v>
      </c>
      <c r="S177" s="88">
        <f>-IF(Tabla14[[#This Row],[DIAS HABILES O MORA]]&lt;0,(Tabla14[[#This Row],[VALOR PRESTAMO]]*Tabla14[[#This Row],[% INTERES ]]/30*U177))</f>
        <v>0</v>
      </c>
      <c r="T177" s="53" t="e">
        <f>Tabla14[[#This Row],[DEUDA CAPITAL]]+Tabla14[[#This Row],[INTERES  CUOTA]]</f>
        <v>#NUM!</v>
      </c>
      <c r="U177" s="61" t="str">
        <f t="shared" si="39"/>
        <v/>
      </c>
    </row>
    <row r="178" spans="9:21" ht="24.75" customHeight="1" x14ac:dyDescent="0.35">
      <c r="I178" s="42">
        <f t="shared" si="30"/>
        <v>0</v>
      </c>
      <c r="J178" s="65" t="e">
        <f t="shared" si="31"/>
        <v>#NUM!</v>
      </c>
      <c r="K178" s="83" t="e">
        <f t="shared" si="32"/>
        <v>#NUM!</v>
      </c>
      <c r="L178" s="83">
        <f t="shared" si="33"/>
        <v>0</v>
      </c>
      <c r="M178" s="110" t="str">
        <f t="shared" si="34"/>
        <v/>
      </c>
      <c r="N178" s="51" t="str">
        <f t="shared" si="35"/>
        <v/>
      </c>
      <c r="O178" s="52" t="str">
        <f t="shared" si="36"/>
        <v/>
      </c>
      <c r="P178" s="88">
        <f t="shared" si="37"/>
        <v>0</v>
      </c>
      <c r="Q178" s="88">
        <f t="shared" si="38"/>
        <v>0</v>
      </c>
      <c r="R178" s="88" t="e">
        <f>-IF(Tabla14[[#This Row],[DIAS HABILES O MORA]]&lt;0,(Tabla14[[#This Row],[VALOR PRESTAMO]]*Tabla14[[#This Row],[% INTERES ]]/30*U178))+Tabla14[[#This Row],[VALOR CUOTAS]]</f>
        <v>#VALUE!</v>
      </c>
      <c r="S178" s="88">
        <f>-IF(Tabla14[[#This Row],[DIAS HABILES O MORA]]&lt;0,(Tabla14[[#This Row],[VALOR PRESTAMO]]*Tabla14[[#This Row],[% INTERES ]]/30*U178))</f>
        <v>0</v>
      </c>
      <c r="T178" s="53" t="e">
        <f>Tabla14[[#This Row],[DEUDA CAPITAL]]+Tabla14[[#This Row],[INTERES  CUOTA]]</f>
        <v>#NUM!</v>
      </c>
      <c r="U178" s="61" t="str">
        <f t="shared" si="39"/>
        <v/>
      </c>
    </row>
    <row r="179" spans="9:21" ht="24.75" customHeight="1" x14ac:dyDescent="0.35">
      <c r="I179" s="42">
        <f t="shared" si="30"/>
        <v>0</v>
      </c>
      <c r="J179" s="65" t="e">
        <f t="shared" si="31"/>
        <v>#NUM!</v>
      </c>
      <c r="K179" s="83" t="e">
        <f t="shared" si="32"/>
        <v>#NUM!</v>
      </c>
      <c r="L179" s="83">
        <f t="shared" si="33"/>
        <v>0</v>
      </c>
      <c r="M179" s="110" t="str">
        <f t="shared" si="34"/>
        <v/>
      </c>
      <c r="N179" s="51" t="str">
        <f t="shared" si="35"/>
        <v/>
      </c>
      <c r="O179" s="52" t="str">
        <f t="shared" si="36"/>
        <v/>
      </c>
      <c r="P179" s="88">
        <f t="shared" si="37"/>
        <v>0</v>
      </c>
      <c r="Q179" s="88">
        <f t="shared" si="38"/>
        <v>0</v>
      </c>
      <c r="R179" s="88" t="e">
        <f>-IF(Tabla14[[#This Row],[DIAS HABILES O MORA]]&lt;0,(Tabla14[[#This Row],[VALOR PRESTAMO]]*Tabla14[[#This Row],[% INTERES ]]/30*U179))+Tabla14[[#This Row],[VALOR CUOTAS]]</f>
        <v>#VALUE!</v>
      </c>
      <c r="S179" s="88">
        <f>-IF(Tabla14[[#This Row],[DIAS HABILES O MORA]]&lt;0,(Tabla14[[#This Row],[VALOR PRESTAMO]]*Tabla14[[#This Row],[% INTERES ]]/30*U179))</f>
        <v>0</v>
      </c>
      <c r="T179" s="53" t="e">
        <f>Tabla14[[#This Row],[DEUDA CAPITAL]]+Tabla14[[#This Row],[INTERES  CUOTA]]</f>
        <v>#NUM!</v>
      </c>
      <c r="U179" s="61" t="str">
        <f t="shared" si="39"/>
        <v/>
      </c>
    </row>
    <row r="180" spans="9:21" ht="24.75" customHeight="1" x14ac:dyDescent="0.35">
      <c r="I180" s="42">
        <f t="shared" si="30"/>
        <v>0</v>
      </c>
      <c r="J180" s="65" t="e">
        <f t="shared" si="31"/>
        <v>#NUM!</v>
      </c>
      <c r="K180" s="83" t="e">
        <f t="shared" si="32"/>
        <v>#NUM!</v>
      </c>
      <c r="L180" s="83">
        <f t="shared" si="33"/>
        <v>0</v>
      </c>
      <c r="M180" s="110" t="str">
        <f t="shared" si="34"/>
        <v/>
      </c>
      <c r="N180" s="51" t="str">
        <f t="shared" si="35"/>
        <v/>
      </c>
      <c r="O180" s="52" t="str">
        <f t="shared" si="36"/>
        <v/>
      </c>
      <c r="P180" s="88">
        <f t="shared" si="37"/>
        <v>0</v>
      </c>
      <c r="Q180" s="88">
        <f t="shared" si="38"/>
        <v>0</v>
      </c>
      <c r="R180" s="88" t="e">
        <f>-IF(Tabla14[[#This Row],[DIAS HABILES O MORA]]&lt;0,(Tabla14[[#This Row],[VALOR PRESTAMO]]*Tabla14[[#This Row],[% INTERES ]]/30*U180))+Tabla14[[#This Row],[VALOR CUOTAS]]</f>
        <v>#VALUE!</v>
      </c>
      <c r="S180" s="88">
        <f>-IF(Tabla14[[#This Row],[DIAS HABILES O MORA]]&lt;0,(Tabla14[[#This Row],[VALOR PRESTAMO]]*Tabla14[[#This Row],[% INTERES ]]/30*U180))</f>
        <v>0</v>
      </c>
      <c r="T180" s="53" t="e">
        <f>Tabla14[[#This Row],[DEUDA CAPITAL]]+Tabla14[[#This Row],[INTERES  CUOTA]]</f>
        <v>#NUM!</v>
      </c>
      <c r="U180" s="61" t="str">
        <f t="shared" si="39"/>
        <v/>
      </c>
    </row>
    <row r="181" spans="9:21" ht="24.75" customHeight="1" x14ac:dyDescent="0.35">
      <c r="I181" s="42">
        <f t="shared" si="30"/>
        <v>0</v>
      </c>
      <c r="J181" s="65" t="e">
        <f t="shared" si="31"/>
        <v>#NUM!</v>
      </c>
      <c r="K181" s="83" t="e">
        <f t="shared" si="32"/>
        <v>#NUM!</v>
      </c>
      <c r="L181" s="83">
        <f t="shared" si="33"/>
        <v>0</v>
      </c>
      <c r="M181" s="110" t="str">
        <f t="shared" si="34"/>
        <v/>
      </c>
      <c r="N181" s="51" t="str">
        <f t="shared" si="35"/>
        <v/>
      </c>
      <c r="O181" s="52" t="str">
        <f t="shared" si="36"/>
        <v/>
      </c>
      <c r="P181" s="88">
        <f t="shared" si="37"/>
        <v>0</v>
      </c>
      <c r="Q181" s="88">
        <f t="shared" si="38"/>
        <v>0</v>
      </c>
      <c r="R181" s="88" t="e">
        <f>-IF(Tabla14[[#This Row],[DIAS HABILES O MORA]]&lt;0,(Tabla14[[#This Row],[VALOR PRESTAMO]]*Tabla14[[#This Row],[% INTERES ]]/30*U181))+Tabla14[[#This Row],[VALOR CUOTAS]]</f>
        <v>#VALUE!</v>
      </c>
      <c r="S181" s="88">
        <f>-IF(Tabla14[[#This Row],[DIAS HABILES O MORA]]&lt;0,(Tabla14[[#This Row],[VALOR PRESTAMO]]*Tabla14[[#This Row],[% INTERES ]]/30*U181))</f>
        <v>0</v>
      </c>
      <c r="T181" s="53" t="e">
        <f>Tabla14[[#This Row],[DEUDA CAPITAL]]+Tabla14[[#This Row],[INTERES  CUOTA]]</f>
        <v>#NUM!</v>
      </c>
      <c r="U181" s="61" t="str">
        <f t="shared" si="39"/>
        <v/>
      </c>
    </row>
    <row r="182" spans="9:21" ht="24.75" customHeight="1" x14ac:dyDescent="0.35">
      <c r="I182" s="42">
        <f t="shared" si="30"/>
        <v>0</v>
      </c>
      <c r="J182" s="65" t="e">
        <f t="shared" si="31"/>
        <v>#NUM!</v>
      </c>
      <c r="K182" s="83" t="e">
        <f t="shared" si="32"/>
        <v>#NUM!</v>
      </c>
      <c r="L182" s="83">
        <f t="shared" si="33"/>
        <v>0</v>
      </c>
      <c r="M182" s="110" t="str">
        <f t="shared" si="34"/>
        <v/>
      </c>
      <c r="N182" s="51" t="str">
        <f t="shared" si="35"/>
        <v/>
      </c>
      <c r="O182" s="52" t="str">
        <f t="shared" si="36"/>
        <v/>
      </c>
      <c r="P182" s="88">
        <f t="shared" si="37"/>
        <v>0</v>
      </c>
      <c r="Q182" s="88">
        <f t="shared" si="38"/>
        <v>0</v>
      </c>
      <c r="R182" s="88" t="e">
        <f>-IF(Tabla14[[#This Row],[DIAS HABILES O MORA]]&lt;0,(Tabla14[[#This Row],[VALOR PRESTAMO]]*Tabla14[[#This Row],[% INTERES ]]/30*U182))+Tabla14[[#This Row],[VALOR CUOTAS]]</f>
        <v>#VALUE!</v>
      </c>
      <c r="S182" s="88">
        <f>-IF(Tabla14[[#This Row],[DIAS HABILES O MORA]]&lt;0,(Tabla14[[#This Row],[VALOR PRESTAMO]]*Tabla14[[#This Row],[% INTERES ]]/30*U182))</f>
        <v>0</v>
      </c>
      <c r="T182" s="53" t="e">
        <f>Tabla14[[#This Row],[DEUDA CAPITAL]]+Tabla14[[#This Row],[INTERES  CUOTA]]</f>
        <v>#NUM!</v>
      </c>
      <c r="U182" s="61" t="str">
        <f t="shared" si="39"/>
        <v/>
      </c>
    </row>
    <row r="183" spans="9:21" ht="24.75" customHeight="1" x14ac:dyDescent="0.35">
      <c r="I183" s="42">
        <f t="shared" si="30"/>
        <v>0</v>
      </c>
      <c r="J183" s="65" t="e">
        <f t="shared" si="31"/>
        <v>#NUM!</v>
      </c>
      <c r="K183" s="83" t="e">
        <f t="shared" si="32"/>
        <v>#NUM!</v>
      </c>
      <c r="L183" s="83">
        <f t="shared" si="33"/>
        <v>0</v>
      </c>
      <c r="M183" s="110" t="str">
        <f t="shared" si="34"/>
        <v/>
      </c>
      <c r="N183" s="51" t="str">
        <f t="shared" si="35"/>
        <v/>
      </c>
      <c r="O183" s="52" t="str">
        <f t="shared" si="36"/>
        <v/>
      </c>
      <c r="P183" s="88">
        <f t="shared" si="37"/>
        <v>0</v>
      </c>
      <c r="Q183" s="88">
        <f t="shared" si="38"/>
        <v>0</v>
      </c>
      <c r="R183" s="88" t="e">
        <f>-IF(Tabla14[[#This Row],[DIAS HABILES O MORA]]&lt;0,(Tabla14[[#This Row],[VALOR PRESTAMO]]*Tabla14[[#This Row],[% INTERES ]]/30*U183))+Tabla14[[#This Row],[VALOR CUOTAS]]</f>
        <v>#VALUE!</v>
      </c>
      <c r="S183" s="88">
        <f>-IF(Tabla14[[#This Row],[DIAS HABILES O MORA]]&lt;0,(Tabla14[[#This Row],[VALOR PRESTAMO]]*Tabla14[[#This Row],[% INTERES ]]/30*U183))</f>
        <v>0</v>
      </c>
      <c r="T183" s="53" t="e">
        <f>Tabla14[[#This Row],[DEUDA CAPITAL]]+Tabla14[[#This Row],[INTERES  CUOTA]]</f>
        <v>#NUM!</v>
      </c>
      <c r="U183" s="61" t="str">
        <f t="shared" si="39"/>
        <v/>
      </c>
    </row>
    <row r="184" spans="9:21" ht="24.75" customHeight="1" x14ac:dyDescent="0.35">
      <c r="I184" s="42">
        <f t="shared" si="30"/>
        <v>0</v>
      </c>
      <c r="J184" s="65" t="e">
        <f t="shared" si="31"/>
        <v>#NUM!</v>
      </c>
      <c r="K184" s="83" t="e">
        <f t="shared" si="32"/>
        <v>#NUM!</v>
      </c>
      <c r="L184" s="83">
        <f t="shared" si="33"/>
        <v>0</v>
      </c>
      <c r="M184" s="110" t="str">
        <f t="shared" si="34"/>
        <v/>
      </c>
      <c r="N184" s="51" t="str">
        <f t="shared" si="35"/>
        <v/>
      </c>
      <c r="O184" s="52" t="str">
        <f t="shared" si="36"/>
        <v/>
      </c>
      <c r="P184" s="88">
        <f t="shared" si="37"/>
        <v>0</v>
      </c>
      <c r="Q184" s="88">
        <f t="shared" si="38"/>
        <v>0</v>
      </c>
      <c r="R184" s="88" t="e">
        <f>-IF(Tabla14[[#This Row],[DIAS HABILES O MORA]]&lt;0,(Tabla14[[#This Row],[VALOR PRESTAMO]]*Tabla14[[#This Row],[% INTERES ]]/30*U184))+Tabla14[[#This Row],[VALOR CUOTAS]]</f>
        <v>#VALUE!</v>
      </c>
      <c r="S184" s="88">
        <f>-IF(Tabla14[[#This Row],[DIAS HABILES O MORA]]&lt;0,(Tabla14[[#This Row],[VALOR PRESTAMO]]*Tabla14[[#This Row],[% INTERES ]]/30*U184))</f>
        <v>0</v>
      </c>
      <c r="T184" s="53" t="e">
        <f>Tabla14[[#This Row],[DEUDA CAPITAL]]+Tabla14[[#This Row],[INTERES  CUOTA]]</f>
        <v>#NUM!</v>
      </c>
      <c r="U184" s="61" t="str">
        <f t="shared" si="39"/>
        <v/>
      </c>
    </row>
    <row r="185" spans="9:21" ht="24.75" customHeight="1" x14ac:dyDescent="0.35">
      <c r="I185" s="42">
        <f t="shared" si="30"/>
        <v>0</v>
      </c>
      <c r="J185" s="65" t="e">
        <f t="shared" si="31"/>
        <v>#NUM!</v>
      </c>
      <c r="K185" s="83" t="e">
        <f t="shared" si="32"/>
        <v>#NUM!</v>
      </c>
      <c r="L185" s="83">
        <f t="shared" si="33"/>
        <v>0</v>
      </c>
      <c r="M185" s="110" t="str">
        <f t="shared" si="34"/>
        <v/>
      </c>
      <c r="N185" s="51" t="str">
        <f t="shared" si="35"/>
        <v/>
      </c>
      <c r="O185" s="52" t="str">
        <f t="shared" si="36"/>
        <v/>
      </c>
      <c r="P185" s="88">
        <f t="shared" si="37"/>
        <v>0</v>
      </c>
      <c r="Q185" s="88">
        <f t="shared" si="38"/>
        <v>0</v>
      </c>
      <c r="R185" s="88" t="e">
        <f>-IF(Tabla14[[#This Row],[DIAS HABILES O MORA]]&lt;0,(Tabla14[[#This Row],[VALOR PRESTAMO]]*Tabla14[[#This Row],[% INTERES ]]/30*U185))+Tabla14[[#This Row],[VALOR CUOTAS]]</f>
        <v>#VALUE!</v>
      </c>
      <c r="S185" s="88">
        <f>-IF(Tabla14[[#This Row],[DIAS HABILES O MORA]]&lt;0,(Tabla14[[#This Row],[VALOR PRESTAMO]]*Tabla14[[#This Row],[% INTERES ]]/30*U185))</f>
        <v>0</v>
      </c>
      <c r="T185" s="53" t="e">
        <f>Tabla14[[#This Row],[DEUDA CAPITAL]]+Tabla14[[#This Row],[INTERES  CUOTA]]</f>
        <v>#NUM!</v>
      </c>
      <c r="U185" s="61" t="str">
        <f t="shared" si="39"/>
        <v/>
      </c>
    </row>
    <row r="186" spans="9:21" ht="24.75" customHeight="1" x14ac:dyDescent="0.35">
      <c r="I186" s="42">
        <f t="shared" si="30"/>
        <v>0</v>
      </c>
      <c r="J186" s="65" t="e">
        <f t="shared" si="31"/>
        <v>#NUM!</v>
      </c>
      <c r="K186" s="83" t="e">
        <f t="shared" si="32"/>
        <v>#NUM!</v>
      </c>
      <c r="L186" s="83">
        <f t="shared" si="33"/>
        <v>0</v>
      </c>
      <c r="M186" s="110" t="str">
        <f t="shared" si="34"/>
        <v/>
      </c>
      <c r="N186" s="51" t="str">
        <f t="shared" si="35"/>
        <v/>
      </c>
      <c r="O186" s="52" t="str">
        <f t="shared" si="36"/>
        <v/>
      </c>
      <c r="P186" s="88">
        <f t="shared" si="37"/>
        <v>0</v>
      </c>
      <c r="Q186" s="88">
        <f t="shared" si="38"/>
        <v>0</v>
      </c>
      <c r="R186" s="88" t="e">
        <f>-IF(Tabla14[[#This Row],[DIAS HABILES O MORA]]&lt;0,(Tabla14[[#This Row],[VALOR PRESTAMO]]*Tabla14[[#This Row],[% INTERES ]]/30*U186))+Tabla14[[#This Row],[VALOR CUOTAS]]</f>
        <v>#VALUE!</v>
      </c>
      <c r="S186" s="88">
        <f>-IF(Tabla14[[#This Row],[DIAS HABILES O MORA]]&lt;0,(Tabla14[[#This Row],[VALOR PRESTAMO]]*Tabla14[[#This Row],[% INTERES ]]/30*U186))</f>
        <v>0</v>
      </c>
      <c r="T186" s="53" t="e">
        <f>Tabla14[[#This Row],[DEUDA CAPITAL]]+Tabla14[[#This Row],[INTERES  CUOTA]]</f>
        <v>#NUM!</v>
      </c>
      <c r="U186" s="61" t="str">
        <f t="shared" si="39"/>
        <v/>
      </c>
    </row>
    <row r="187" spans="9:21" ht="24.75" customHeight="1" x14ac:dyDescent="0.35">
      <c r="I187" s="42">
        <f t="shared" si="30"/>
        <v>0</v>
      </c>
      <c r="J187" s="65" t="e">
        <f t="shared" si="31"/>
        <v>#NUM!</v>
      </c>
      <c r="K187" s="83" t="e">
        <f t="shared" si="32"/>
        <v>#NUM!</v>
      </c>
      <c r="L187" s="83">
        <f t="shared" si="33"/>
        <v>0</v>
      </c>
      <c r="M187" s="110" t="str">
        <f t="shared" si="34"/>
        <v/>
      </c>
      <c r="N187" s="51" t="str">
        <f t="shared" si="35"/>
        <v/>
      </c>
      <c r="O187" s="52" t="str">
        <f t="shared" si="36"/>
        <v/>
      </c>
      <c r="P187" s="88">
        <f t="shared" si="37"/>
        <v>0</v>
      </c>
      <c r="Q187" s="88">
        <f t="shared" si="38"/>
        <v>0</v>
      </c>
      <c r="R187" s="88" t="e">
        <f>-IF(Tabla14[[#This Row],[DIAS HABILES O MORA]]&lt;0,(Tabla14[[#This Row],[VALOR PRESTAMO]]*Tabla14[[#This Row],[% INTERES ]]/30*U187))+Tabla14[[#This Row],[VALOR CUOTAS]]</f>
        <v>#VALUE!</v>
      </c>
      <c r="S187" s="88">
        <f>-IF(Tabla14[[#This Row],[DIAS HABILES O MORA]]&lt;0,(Tabla14[[#This Row],[VALOR PRESTAMO]]*Tabla14[[#This Row],[% INTERES ]]/30*U187))</f>
        <v>0</v>
      </c>
      <c r="T187" s="53" t="e">
        <f>Tabla14[[#This Row],[DEUDA CAPITAL]]+Tabla14[[#This Row],[INTERES  CUOTA]]</f>
        <v>#NUM!</v>
      </c>
      <c r="U187" s="61" t="str">
        <f t="shared" si="39"/>
        <v/>
      </c>
    </row>
    <row r="188" spans="9:21" ht="24.75" customHeight="1" x14ac:dyDescent="0.35">
      <c r="I188" s="42">
        <f t="shared" si="30"/>
        <v>0</v>
      </c>
      <c r="J188" s="65" t="e">
        <f t="shared" si="31"/>
        <v>#NUM!</v>
      </c>
      <c r="K188" s="83" t="e">
        <f t="shared" si="32"/>
        <v>#NUM!</v>
      </c>
      <c r="L188" s="83">
        <f t="shared" si="33"/>
        <v>0</v>
      </c>
      <c r="M188" s="110" t="str">
        <f t="shared" si="34"/>
        <v/>
      </c>
      <c r="N188" s="51" t="str">
        <f t="shared" si="35"/>
        <v/>
      </c>
      <c r="O188" s="52" t="str">
        <f t="shared" si="36"/>
        <v/>
      </c>
      <c r="P188" s="88">
        <f t="shared" si="37"/>
        <v>0</v>
      </c>
      <c r="Q188" s="88">
        <f t="shared" si="38"/>
        <v>0</v>
      </c>
      <c r="R188" s="88" t="e">
        <f>-IF(Tabla14[[#This Row],[DIAS HABILES O MORA]]&lt;0,(Tabla14[[#This Row],[VALOR PRESTAMO]]*Tabla14[[#This Row],[% INTERES ]]/30*U188))+Tabla14[[#This Row],[VALOR CUOTAS]]</f>
        <v>#VALUE!</v>
      </c>
      <c r="S188" s="88">
        <f>-IF(Tabla14[[#This Row],[DIAS HABILES O MORA]]&lt;0,(Tabla14[[#This Row],[VALOR PRESTAMO]]*Tabla14[[#This Row],[% INTERES ]]/30*U188))</f>
        <v>0</v>
      </c>
      <c r="T188" s="53" t="e">
        <f>Tabla14[[#This Row],[DEUDA CAPITAL]]+Tabla14[[#This Row],[INTERES  CUOTA]]</f>
        <v>#NUM!</v>
      </c>
      <c r="U188" s="61" t="str">
        <f t="shared" si="39"/>
        <v/>
      </c>
    </row>
    <row r="189" spans="9:21" ht="24.75" customHeight="1" x14ac:dyDescent="0.35">
      <c r="I189" s="42">
        <f t="shared" si="30"/>
        <v>0</v>
      </c>
      <c r="J189" s="65" t="e">
        <f t="shared" si="31"/>
        <v>#NUM!</v>
      </c>
      <c r="K189" s="83" t="e">
        <f t="shared" si="32"/>
        <v>#NUM!</v>
      </c>
      <c r="L189" s="83">
        <f t="shared" si="33"/>
        <v>0</v>
      </c>
      <c r="M189" s="110" t="str">
        <f t="shared" si="34"/>
        <v/>
      </c>
      <c r="N189" s="51" t="str">
        <f t="shared" si="35"/>
        <v/>
      </c>
      <c r="O189" s="52" t="str">
        <f t="shared" si="36"/>
        <v/>
      </c>
      <c r="P189" s="88">
        <f t="shared" si="37"/>
        <v>0</v>
      </c>
      <c r="Q189" s="88">
        <f t="shared" si="38"/>
        <v>0</v>
      </c>
      <c r="R189" s="88" t="e">
        <f>-IF(Tabla14[[#This Row],[DIAS HABILES O MORA]]&lt;0,(Tabla14[[#This Row],[VALOR PRESTAMO]]*Tabla14[[#This Row],[% INTERES ]]/30*U189))+Tabla14[[#This Row],[VALOR CUOTAS]]</f>
        <v>#VALUE!</v>
      </c>
      <c r="S189" s="88">
        <f>-IF(Tabla14[[#This Row],[DIAS HABILES O MORA]]&lt;0,(Tabla14[[#This Row],[VALOR PRESTAMO]]*Tabla14[[#This Row],[% INTERES ]]/30*U189))</f>
        <v>0</v>
      </c>
      <c r="T189" s="53" t="e">
        <f>Tabla14[[#This Row],[DEUDA CAPITAL]]+Tabla14[[#This Row],[INTERES  CUOTA]]</f>
        <v>#NUM!</v>
      </c>
      <c r="U189" s="61" t="str">
        <f t="shared" si="39"/>
        <v/>
      </c>
    </row>
    <row r="190" spans="9:21" ht="24.75" customHeight="1" x14ac:dyDescent="0.35">
      <c r="I190" s="42">
        <f t="shared" si="30"/>
        <v>0</v>
      </c>
      <c r="J190" s="65" t="e">
        <f t="shared" si="31"/>
        <v>#NUM!</v>
      </c>
      <c r="K190" s="83" t="e">
        <f t="shared" si="32"/>
        <v>#NUM!</v>
      </c>
      <c r="L190" s="83">
        <f t="shared" si="33"/>
        <v>0</v>
      </c>
      <c r="M190" s="110" t="str">
        <f t="shared" si="34"/>
        <v/>
      </c>
      <c r="N190" s="51" t="str">
        <f t="shared" si="35"/>
        <v/>
      </c>
      <c r="O190" s="52" t="str">
        <f t="shared" si="36"/>
        <v/>
      </c>
      <c r="P190" s="88">
        <f t="shared" si="37"/>
        <v>0</v>
      </c>
      <c r="Q190" s="88">
        <f t="shared" si="38"/>
        <v>0</v>
      </c>
      <c r="R190" s="88" t="e">
        <f>-IF(Tabla14[[#This Row],[DIAS HABILES O MORA]]&lt;0,(Tabla14[[#This Row],[VALOR PRESTAMO]]*Tabla14[[#This Row],[% INTERES ]]/30*U190))+Tabla14[[#This Row],[VALOR CUOTAS]]</f>
        <v>#VALUE!</v>
      </c>
      <c r="S190" s="88">
        <f>-IF(Tabla14[[#This Row],[DIAS HABILES O MORA]]&lt;0,(Tabla14[[#This Row],[VALOR PRESTAMO]]*Tabla14[[#This Row],[% INTERES ]]/30*U190))</f>
        <v>0</v>
      </c>
      <c r="T190" s="53" t="e">
        <f>Tabla14[[#This Row],[DEUDA CAPITAL]]+Tabla14[[#This Row],[INTERES  CUOTA]]</f>
        <v>#NUM!</v>
      </c>
      <c r="U190" s="61" t="str">
        <f t="shared" si="39"/>
        <v/>
      </c>
    </row>
    <row r="191" spans="9:21" ht="24.75" customHeight="1" x14ac:dyDescent="0.35">
      <c r="I191" s="42">
        <f t="shared" si="30"/>
        <v>0</v>
      </c>
      <c r="J191" s="65" t="e">
        <f t="shared" si="31"/>
        <v>#NUM!</v>
      </c>
      <c r="K191" s="83" t="e">
        <f t="shared" si="32"/>
        <v>#NUM!</v>
      </c>
      <c r="L191" s="83">
        <f t="shared" si="33"/>
        <v>0</v>
      </c>
      <c r="M191" s="110" t="str">
        <f t="shared" si="34"/>
        <v/>
      </c>
      <c r="N191" s="51" t="str">
        <f t="shared" si="35"/>
        <v/>
      </c>
      <c r="O191" s="52" t="str">
        <f t="shared" si="36"/>
        <v/>
      </c>
      <c r="P191" s="88">
        <f t="shared" si="37"/>
        <v>0</v>
      </c>
      <c r="Q191" s="88">
        <f t="shared" si="38"/>
        <v>0</v>
      </c>
      <c r="R191" s="88" t="e">
        <f>-IF(Tabla14[[#This Row],[DIAS HABILES O MORA]]&lt;0,(Tabla14[[#This Row],[VALOR PRESTAMO]]*Tabla14[[#This Row],[% INTERES ]]/30*U191))+Tabla14[[#This Row],[VALOR CUOTAS]]</f>
        <v>#VALUE!</v>
      </c>
      <c r="S191" s="88">
        <f>-IF(Tabla14[[#This Row],[DIAS HABILES O MORA]]&lt;0,(Tabla14[[#This Row],[VALOR PRESTAMO]]*Tabla14[[#This Row],[% INTERES ]]/30*U191))</f>
        <v>0</v>
      </c>
      <c r="T191" s="53" t="e">
        <f>Tabla14[[#This Row],[DEUDA CAPITAL]]+Tabla14[[#This Row],[INTERES  CUOTA]]</f>
        <v>#NUM!</v>
      </c>
      <c r="U191" s="61" t="str">
        <f t="shared" si="39"/>
        <v/>
      </c>
    </row>
    <row r="192" spans="9:21" ht="24.75" customHeight="1" x14ac:dyDescent="0.35">
      <c r="I192" s="42">
        <f t="shared" si="30"/>
        <v>0</v>
      </c>
      <c r="J192" s="65" t="e">
        <f t="shared" si="31"/>
        <v>#NUM!</v>
      </c>
      <c r="K192" s="83" t="e">
        <f t="shared" si="32"/>
        <v>#NUM!</v>
      </c>
      <c r="L192" s="83">
        <f t="shared" si="33"/>
        <v>0</v>
      </c>
      <c r="M192" s="110" t="str">
        <f t="shared" si="34"/>
        <v/>
      </c>
      <c r="N192" s="51" t="str">
        <f t="shared" si="35"/>
        <v/>
      </c>
      <c r="O192" s="52" t="str">
        <f t="shared" si="36"/>
        <v/>
      </c>
      <c r="P192" s="88">
        <f t="shared" si="37"/>
        <v>0</v>
      </c>
      <c r="Q192" s="88">
        <f t="shared" si="38"/>
        <v>0</v>
      </c>
      <c r="R192" s="88" t="e">
        <f>-IF(Tabla14[[#This Row],[DIAS HABILES O MORA]]&lt;0,(Tabla14[[#This Row],[VALOR PRESTAMO]]*Tabla14[[#This Row],[% INTERES ]]/30*U192))+Tabla14[[#This Row],[VALOR CUOTAS]]</f>
        <v>#VALUE!</v>
      </c>
      <c r="S192" s="88">
        <f>-IF(Tabla14[[#This Row],[DIAS HABILES O MORA]]&lt;0,(Tabla14[[#This Row],[VALOR PRESTAMO]]*Tabla14[[#This Row],[% INTERES ]]/30*U192))</f>
        <v>0</v>
      </c>
      <c r="T192" s="53" t="e">
        <f>Tabla14[[#This Row],[DEUDA CAPITAL]]+Tabla14[[#This Row],[INTERES  CUOTA]]</f>
        <v>#NUM!</v>
      </c>
      <c r="U192" s="61" t="str">
        <f t="shared" si="39"/>
        <v/>
      </c>
    </row>
    <row r="193" spans="9:21" ht="24.75" customHeight="1" x14ac:dyDescent="0.35">
      <c r="I193" s="42">
        <f t="shared" si="30"/>
        <v>0</v>
      </c>
      <c r="J193" s="65" t="e">
        <f t="shared" si="31"/>
        <v>#NUM!</v>
      </c>
      <c r="K193" s="83" t="e">
        <f t="shared" si="32"/>
        <v>#NUM!</v>
      </c>
      <c r="L193" s="83">
        <f t="shared" si="33"/>
        <v>0</v>
      </c>
      <c r="M193" s="110" t="str">
        <f t="shared" si="34"/>
        <v/>
      </c>
      <c r="N193" s="51" t="str">
        <f t="shared" si="35"/>
        <v/>
      </c>
      <c r="O193" s="52" t="str">
        <f t="shared" si="36"/>
        <v/>
      </c>
      <c r="P193" s="88">
        <f t="shared" si="37"/>
        <v>0</v>
      </c>
      <c r="Q193" s="88">
        <f t="shared" si="38"/>
        <v>0</v>
      </c>
      <c r="R193" s="88" t="e">
        <f>-IF(Tabla14[[#This Row],[DIAS HABILES O MORA]]&lt;0,(Tabla14[[#This Row],[VALOR PRESTAMO]]*Tabla14[[#This Row],[% INTERES ]]/30*U193))+Tabla14[[#This Row],[VALOR CUOTAS]]</f>
        <v>#VALUE!</v>
      </c>
      <c r="S193" s="88">
        <f>-IF(Tabla14[[#This Row],[DIAS HABILES O MORA]]&lt;0,(Tabla14[[#This Row],[VALOR PRESTAMO]]*Tabla14[[#This Row],[% INTERES ]]/30*U193))</f>
        <v>0</v>
      </c>
      <c r="T193" s="53" t="e">
        <f>Tabla14[[#This Row],[DEUDA CAPITAL]]+Tabla14[[#This Row],[INTERES  CUOTA]]</f>
        <v>#NUM!</v>
      </c>
      <c r="U193" s="61" t="str">
        <f t="shared" si="39"/>
        <v/>
      </c>
    </row>
    <row r="194" spans="9:21" ht="24.75" customHeight="1" x14ac:dyDescent="0.35">
      <c r="I194" s="42">
        <f t="shared" si="30"/>
        <v>0</v>
      </c>
      <c r="J194" s="65" t="e">
        <f t="shared" si="31"/>
        <v>#NUM!</v>
      </c>
      <c r="K194" s="83" t="e">
        <f t="shared" si="32"/>
        <v>#NUM!</v>
      </c>
      <c r="L194" s="83">
        <f t="shared" si="33"/>
        <v>0</v>
      </c>
      <c r="M194" s="110" t="str">
        <f t="shared" si="34"/>
        <v/>
      </c>
      <c r="N194" s="51" t="str">
        <f t="shared" si="35"/>
        <v/>
      </c>
      <c r="O194" s="52" t="str">
        <f t="shared" si="36"/>
        <v/>
      </c>
      <c r="P194" s="88">
        <f t="shared" si="37"/>
        <v>0</v>
      </c>
      <c r="Q194" s="88">
        <f t="shared" si="38"/>
        <v>0</v>
      </c>
      <c r="R194" s="88" t="e">
        <f>-IF(Tabla14[[#This Row],[DIAS HABILES O MORA]]&lt;0,(Tabla14[[#This Row],[VALOR PRESTAMO]]*Tabla14[[#This Row],[% INTERES ]]/30*U194))+Tabla14[[#This Row],[VALOR CUOTAS]]</f>
        <v>#VALUE!</v>
      </c>
      <c r="S194" s="88">
        <f>-IF(Tabla14[[#This Row],[DIAS HABILES O MORA]]&lt;0,(Tabla14[[#This Row],[VALOR PRESTAMO]]*Tabla14[[#This Row],[% INTERES ]]/30*U194))</f>
        <v>0</v>
      </c>
      <c r="T194" s="53" t="e">
        <f>Tabla14[[#This Row],[DEUDA CAPITAL]]+Tabla14[[#This Row],[INTERES  CUOTA]]</f>
        <v>#NUM!</v>
      </c>
      <c r="U194" s="61" t="str">
        <f t="shared" si="39"/>
        <v/>
      </c>
    </row>
    <row r="195" spans="9:21" ht="24.75" customHeight="1" x14ac:dyDescent="0.35">
      <c r="I195" s="42">
        <f t="shared" si="30"/>
        <v>0</v>
      </c>
      <c r="J195" s="65" t="e">
        <f t="shared" si="31"/>
        <v>#NUM!</v>
      </c>
      <c r="K195" s="83" t="e">
        <f t="shared" si="32"/>
        <v>#NUM!</v>
      </c>
      <c r="L195" s="83">
        <f t="shared" si="33"/>
        <v>0</v>
      </c>
      <c r="M195" s="110" t="str">
        <f t="shared" si="34"/>
        <v/>
      </c>
      <c r="N195" s="51" t="str">
        <f t="shared" si="35"/>
        <v/>
      </c>
      <c r="O195" s="52" t="str">
        <f t="shared" si="36"/>
        <v/>
      </c>
      <c r="P195" s="88">
        <f t="shared" si="37"/>
        <v>0</v>
      </c>
      <c r="Q195" s="88">
        <f t="shared" si="38"/>
        <v>0</v>
      </c>
      <c r="R195" s="88" t="e">
        <f>-IF(Tabla14[[#This Row],[DIAS HABILES O MORA]]&lt;0,(Tabla14[[#This Row],[VALOR PRESTAMO]]*Tabla14[[#This Row],[% INTERES ]]/30*U195))+Tabla14[[#This Row],[VALOR CUOTAS]]</f>
        <v>#VALUE!</v>
      </c>
      <c r="S195" s="88">
        <f>-IF(Tabla14[[#This Row],[DIAS HABILES O MORA]]&lt;0,(Tabla14[[#This Row],[VALOR PRESTAMO]]*Tabla14[[#This Row],[% INTERES ]]/30*U195))</f>
        <v>0</v>
      </c>
      <c r="T195" s="53" t="e">
        <f>Tabla14[[#This Row],[DEUDA CAPITAL]]+Tabla14[[#This Row],[INTERES  CUOTA]]</f>
        <v>#NUM!</v>
      </c>
      <c r="U195" s="61" t="str">
        <f t="shared" si="39"/>
        <v/>
      </c>
    </row>
    <row r="196" spans="9:21" ht="24.75" customHeight="1" x14ac:dyDescent="0.35">
      <c r="I196" s="42">
        <f t="shared" si="30"/>
        <v>0</v>
      </c>
      <c r="J196" s="65" t="e">
        <f t="shared" si="31"/>
        <v>#NUM!</v>
      </c>
      <c r="K196" s="83" t="e">
        <f t="shared" si="32"/>
        <v>#NUM!</v>
      </c>
      <c r="L196" s="83">
        <f t="shared" si="33"/>
        <v>0</v>
      </c>
      <c r="M196" s="110" t="str">
        <f t="shared" si="34"/>
        <v/>
      </c>
      <c r="N196" s="51" t="str">
        <f t="shared" si="35"/>
        <v/>
      </c>
      <c r="O196" s="52" t="str">
        <f t="shared" si="36"/>
        <v/>
      </c>
      <c r="P196" s="88">
        <f t="shared" si="37"/>
        <v>0</v>
      </c>
      <c r="Q196" s="88">
        <f t="shared" si="38"/>
        <v>0</v>
      </c>
      <c r="R196" s="88" t="e">
        <f>-IF(Tabla14[[#This Row],[DIAS HABILES O MORA]]&lt;0,(Tabla14[[#This Row],[VALOR PRESTAMO]]*Tabla14[[#This Row],[% INTERES ]]/30*U196))+Tabla14[[#This Row],[VALOR CUOTAS]]</f>
        <v>#VALUE!</v>
      </c>
      <c r="S196" s="88">
        <f>-IF(Tabla14[[#This Row],[DIAS HABILES O MORA]]&lt;0,(Tabla14[[#This Row],[VALOR PRESTAMO]]*Tabla14[[#This Row],[% INTERES ]]/30*U196))</f>
        <v>0</v>
      </c>
      <c r="T196" s="53" t="e">
        <f>Tabla14[[#This Row],[DEUDA CAPITAL]]+Tabla14[[#This Row],[INTERES  CUOTA]]</f>
        <v>#NUM!</v>
      </c>
      <c r="U196" s="61" t="str">
        <f t="shared" si="39"/>
        <v/>
      </c>
    </row>
    <row r="197" spans="9:21" ht="24.75" customHeight="1" x14ac:dyDescent="0.35">
      <c r="I197" s="42">
        <f t="shared" si="30"/>
        <v>0</v>
      </c>
      <c r="J197" s="65" t="e">
        <f t="shared" si="31"/>
        <v>#NUM!</v>
      </c>
      <c r="K197" s="83" t="e">
        <f t="shared" si="32"/>
        <v>#NUM!</v>
      </c>
      <c r="L197" s="83">
        <f t="shared" si="33"/>
        <v>0</v>
      </c>
      <c r="M197" s="110" t="str">
        <f t="shared" si="34"/>
        <v/>
      </c>
      <c r="N197" s="51" t="str">
        <f t="shared" si="35"/>
        <v/>
      </c>
      <c r="O197" s="52" t="str">
        <f t="shared" si="36"/>
        <v/>
      </c>
      <c r="P197" s="88">
        <f t="shared" si="37"/>
        <v>0</v>
      </c>
      <c r="Q197" s="88">
        <f t="shared" si="38"/>
        <v>0</v>
      </c>
      <c r="R197" s="88" t="e">
        <f>-IF(Tabla14[[#This Row],[DIAS HABILES O MORA]]&lt;0,(Tabla14[[#This Row],[VALOR PRESTAMO]]*Tabla14[[#This Row],[% INTERES ]]/30*U197))+Tabla14[[#This Row],[VALOR CUOTAS]]</f>
        <v>#VALUE!</v>
      </c>
      <c r="S197" s="88">
        <f>-IF(Tabla14[[#This Row],[DIAS HABILES O MORA]]&lt;0,(Tabla14[[#This Row],[VALOR PRESTAMO]]*Tabla14[[#This Row],[% INTERES ]]/30*U197))</f>
        <v>0</v>
      </c>
      <c r="T197" s="53" t="e">
        <f>Tabla14[[#This Row],[DEUDA CAPITAL]]+Tabla14[[#This Row],[INTERES  CUOTA]]</f>
        <v>#NUM!</v>
      </c>
      <c r="U197" s="61" t="str">
        <f t="shared" si="39"/>
        <v/>
      </c>
    </row>
    <row r="198" spans="9:21" ht="24.75" customHeight="1" x14ac:dyDescent="0.35">
      <c r="I198" s="42">
        <f t="shared" si="30"/>
        <v>0</v>
      </c>
      <c r="J198" s="65" t="e">
        <f t="shared" si="31"/>
        <v>#NUM!</v>
      </c>
      <c r="K198" s="83" t="e">
        <f t="shared" si="32"/>
        <v>#NUM!</v>
      </c>
      <c r="L198" s="83">
        <f t="shared" si="33"/>
        <v>0</v>
      </c>
      <c r="M198" s="110" t="str">
        <f t="shared" si="34"/>
        <v/>
      </c>
      <c r="N198" s="51" t="str">
        <f t="shared" si="35"/>
        <v/>
      </c>
      <c r="O198" s="52" t="str">
        <f t="shared" si="36"/>
        <v/>
      </c>
      <c r="P198" s="88">
        <f t="shared" si="37"/>
        <v>0</v>
      </c>
      <c r="Q198" s="88">
        <f t="shared" si="38"/>
        <v>0</v>
      </c>
      <c r="R198" s="88" t="e">
        <f>-IF(Tabla14[[#This Row],[DIAS HABILES O MORA]]&lt;0,(Tabla14[[#This Row],[VALOR PRESTAMO]]*Tabla14[[#This Row],[% INTERES ]]/30*U198))+Tabla14[[#This Row],[VALOR CUOTAS]]</f>
        <v>#VALUE!</v>
      </c>
      <c r="S198" s="88">
        <f>-IF(Tabla14[[#This Row],[DIAS HABILES O MORA]]&lt;0,(Tabla14[[#This Row],[VALOR PRESTAMO]]*Tabla14[[#This Row],[% INTERES ]]/30*U198))</f>
        <v>0</v>
      </c>
      <c r="T198" s="53" t="e">
        <f>Tabla14[[#This Row],[DEUDA CAPITAL]]+Tabla14[[#This Row],[INTERES  CUOTA]]</f>
        <v>#NUM!</v>
      </c>
      <c r="U198" s="61" t="str">
        <f t="shared" si="39"/>
        <v/>
      </c>
    </row>
    <row r="199" spans="9:21" ht="24.75" customHeight="1" x14ac:dyDescent="0.35">
      <c r="I199" s="42">
        <f t="shared" si="30"/>
        <v>0</v>
      </c>
      <c r="J199" s="65" t="e">
        <f t="shared" si="31"/>
        <v>#NUM!</v>
      </c>
      <c r="K199" s="83" t="e">
        <f t="shared" si="32"/>
        <v>#NUM!</v>
      </c>
      <c r="L199" s="83">
        <f t="shared" si="33"/>
        <v>0</v>
      </c>
      <c r="M199" s="110" t="str">
        <f t="shared" si="34"/>
        <v/>
      </c>
      <c r="N199" s="51" t="str">
        <f t="shared" si="35"/>
        <v/>
      </c>
      <c r="O199" s="52" t="str">
        <f t="shared" si="36"/>
        <v/>
      </c>
      <c r="P199" s="88">
        <f t="shared" si="37"/>
        <v>0</v>
      </c>
      <c r="Q199" s="88">
        <f t="shared" si="38"/>
        <v>0</v>
      </c>
      <c r="R199" s="88" t="e">
        <f>-IF(Tabla14[[#This Row],[DIAS HABILES O MORA]]&lt;0,(Tabla14[[#This Row],[VALOR PRESTAMO]]*Tabla14[[#This Row],[% INTERES ]]/30*U199))+Tabla14[[#This Row],[VALOR CUOTAS]]</f>
        <v>#VALUE!</v>
      </c>
      <c r="S199" s="88">
        <f>-IF(Tabla14[[#This Row],[DIAS HABILES O MORA]]&lt;0,(Tabla14[[#This Row],[VALOR PRESTAMO]]*Tabla14[[#This Row],[% INTERES ]]/30*U199))</f>
        <v>0</v>
      </c>
      <c r="T199" s="53" t="e">
        <f>Tabla14[[#This Row],[DEUDA CAPITAL]]+Tabla14[[#This Row],[INTERES  CUOTA]]</f>
        <v>#NUM!</v>
      </c>
      <c r="U199" s="61" t="str">
        <f t="shared" si="39"/>
        <v/>
      </c>
    </row>
    <row r="200" spans="9:21" ht="24.75" customHeight="1" x14ac:dyDescent="0.35">
      <c r="I200" s="42">
        <f t="shared" si="30"/>
        <v>0</v>
      </c>
      <c r="J200" s="65" t="e">
        <f t="shared" si="31"/>
        <v>#NUM!</v>
      </c>
      <c r="K200" s="83" t="e">
        <f t="shared" si="32"/>
        <v>#NUM!</v>
      </c>
      <c r="L200" s="83">
        <f t="shared" si="33"/>
        <v>0</v>
      </c>
      <c r="M200" s="110" t="str">
        <f t="shared" si="34"/>
        <v/>
      </c>
      <c r="N200" s="51" t="str">
        <f t="shared" si="35"/>
        <v/>
      </c>
      <c r="O200" s="52" t="str">
        <f t="shared" si="36"/>
        <v/>
      </c>
      <c r="P200" s="88">
        <f t="shared" si="37"/>
        <v>0</v>
      </c>
      <c r="Q200" s="88">
        <f t="shared" si="38"/>
        <v>0</v>
      </c>
      <c r="R200" s="88" t="e">
        <f>-IF(Tabla14[[#This Row],[DIAS HABILES O MORA]]&lt;0,(Tabla14[[#This Row],[VALOR PRESTAMO]]*Tabla14[[#This Row],[% INTERES ]]/30*U200))+Tabla14[[#This Row],[VALOR CUOTAS]]</f>
        <v>#VALUE!</v>
      </c>
      <c r="S200" s="88">
        <f>-IF(Tabla14[[#This Row],[DIAS HABILES O MORA]]&lt;0,(Tabla14[[#This Row],[VALOR PRESTAMO]]*Tabla14[[#This Row],[% INTERES ]]/30*U200))</f>
        <v>0</v>
      </c>
      <c r="T200" s="53" t="e">
        <f>Tabla14[[#This Row],[DEUDA CAPITAL]]+Tabla14[[#This Row],[INTERES  CUOTA]]</f>
        <v>#NUM!</v>
      </c>
      <c r="U200" s="61" t="str">
        <f t="shared" si="39"/>
        <v/>
      </c>
    </row>
    <row r="201" spans="9:21" ht="24.75" customHeight="1" x14ac:dyDescent="0.35">
      <c r="I201" s="42">
        <f t="shared" si="30"/>
        <v>0</v>
      </c>
      <c r="J201" s="65" t="e">
        <f t="shared" si="31"/>
        <v>#NUM!</v>
      </c>
      <c r="K201" s="83" t="e">
        <f t="shared" si="32"/>
        <v>#NUM!</v>
      </c>
      <c r="L201" s="83">
        <f t="shared" si="33"/>
        <v>0</v>
      </c>
      <c r="M201" s="110" t="str">
        <f t="shared" si="34"/>
        <v/>
      </c>
      <c r="N201" s="51" t="str">
        <f t="shared" si="35"/>
        <v/>
      </c>
      <c r="O201" s="52" t="str">
        <f t="shared" si="36"/>
        <v/>
      </c>
      <c r="P201" s="88">
        <f t="shared" si="37"/>
        <v>0</v>
      </c>
      <c r="Q201" s="88">
        <f t="shared" si="38"/>
        <v>0</v>
      </c>
      <c r="R201" s="88" t="e">
        <f>-IF(Tabla14[[#This Row],[DIAS HABILES O MORA]]&lt;0,(Tabla14[[#This Row],[VALOR PRESTAMO]]*Tabla14[[#This Row],[% INTERES ]]/30*U201))+Tabla14[[#This Row],[VALOR CUOTAS]]</f>
        <v>#VALUE!</v>
      </c>
      <c r="S201" s="88">
        <f>-IF(Tabla14[[#This Row],[DIAS HABILES O MORA]]&lt;0,(Tabla14[[#This Row],[VALOR PRESTAMO]]*Tabla14[[#This Row],[% INTERES ]]/30*U201))</f>
        <v>0</v>
      </c>
      <c r="T201" s="53" t="e">
        <f>Tabla14[[#This Row],[DEUDA CAPITAL]]+Tabla14[[#This Row],[INTERES  CUOTA]]</f>
        <v>#NUM!</v>
      </c>
      <c r="U201" s="61" t="str">
        <f t="shared" si="39"/>
        <v/>
      </c>
    </row>
    <row r="202" spans="9:21" ht="24.75" customHeight="1" x14ac:dyDescent="0.35">
      <c r="I202" s="42">
        <f t="shared" si="30"/>
        <v>0</v>
      </c>
      <c r="J202" s="65" t="e">
        <f t="shared" si="31"/>
        <v>#NUM!</v>
      </c>
      <c r="K202" s="83" t="e">
        <f t="shared" si="32"/>
        <v>#NUM!</v>
      </c>
      <c r="L202" s="83">
        <f t="shared" si="33"/>
        <v>0</v>
      </c>
      <c r="M202" s="110" t="str">
        <f t="shared" si="34"/>
        <v/>
      </c>
      <c r="N202" s="51" t="str">
        <f t="shared" si="35"/>
        <v/>
      </c>
      <c r="O202" s="52" t="str">
        <f t="shared" si="36"/>
        <v/>
      </c>
      <c r="P202" s="88">
        <f t="shared" si="37"/>
        <v>0</v>
      </c>
      <c r="Q202" s="88">
        <f t="shared" si="38"/>
        <v>0</v>
      </c>
      <c r="R202" s="88" t="e">
        <f>-IF(Tabla14[[#This Row],[DIAS HABILES O MORA]]&lt;0,(Tabla14[[#This Row],[VALOR PRESTAMO]]*Tabla14[[#This Row],[% INTERES ]]/30*U202))+Tabla14[[#This Row],[VALOR CUOTAS]]</f>
        <v>#VALUE!</v>
      </c>
      <c r="S202" s="88">
        <f>-IF(Tabla14[[#This Row],[DIAS HABILES O MORA]]&lt;0,(Tabla14[[#This Row],[VALOR PRESTAMO]]*Tabla14[[#This Row],[% INTERES ]]/30*U202))</f>
        <v>0</v>
      </c>
      <c r="T202" s="53" t="e">
        <f>Tabla14[[#This Row],[DEUDA CAPITAL]]+Tabla14[[#This Row],[INTERES  CUOTA]]</f>
        <v>#NUM!</v>
      </c>
      <c r="U202" s="61" t="str">
        <f t="shared" si="39"/>
        <v/>
      </c>
    </row>
    <row r="203" spans="9:21" ht="24.75" customHeight="1" x14ac:dyDescent="0.35">
      <c r="I203" s="42">
        <f t="shared" si="30"/>
        <v>0</v>
      </c>
      <c r="J203" s="65" t="e">
        <f t="shared" si="31"/>
        <v>#NUM!</v>
      </c>
      <c r="K203" s="83" t="e">
        <f t="shared" si="32"/>
        <v>#NUM!</v>
      </c>
      <c r="L203" s="83">
        <f t="shared" si="33"/>
        <v>0</v>
      </c>
      <c r="M203" s="110" t="str">
        <f t="shared" si="34"/>
        <v/>
      </c>
      <c r="N203" s="51" t="str">
        <f t="shared" si="35"/>
        <v/>
      </c>
      <c r="O203" s="52" t="str">
        <f t="shared" si="36"/>
        <v/>
      </c>
      <c r="P203" s="88">
        <f t="shared" si="37"/>
        <v>0</v>
      </c>
      <c r="Q203" s="88">
        <f t="shared" si="38"/>
        <v>0</v>
      </c>
      <c r="R203" s="88" t="e">
        <f>-IF(Tabla14[[#This Row],[DIAS HABILES O MORA]]&lt;0,(Tabla14[[#This Row],[VALOR PRESTAMO]]*Tabla14[[#This Row],[% INTERES ]]/30*U203))+Tabla14[[#This Row],[VALOR CUOTAS]]</f>
        <v>#VALUE!</v>
      </c>
      <c r="S203" s="88">
        <f>-IF(Tabla14[[#This Row],[DIAS HABILES O MORA]]&lt;0,(Tabla14[[#This Row],[VALOR PRESTAMO]]*Tabla14[[#This Row],[% INTERES ]]/30*U203))</f>
        <v>0</v>
      </c>
      <c r="T203" s="53" t="e">
        <f>Tabla14[[#This Row],[DEUDA CAPITAL]]+Tabla14[[#This Row],[INTERES  CUOTA]]</f>
        <v>#NUM!</v>
      </c>
      <c r="U203" s="61" t="str">
        <f t="shared" si="39"/>
        <v/>
      </c>
    </row>
    <row r="204" spans="9:21" ht="24.75" customHeight="1" x14ac:dyDescent="0.35">
      <c r="I204" s="42">
        <f t="shared" si="30"/>
        <v>0</v>
      </c>
      <c r="J204" s="65" t="e">
        <f t="shared" si="31"/>
        <v>#NUM!</v>
      </c>
      <c r="K204" s="83" t="e">
        <f t="shared" si="32"/>
        <v>#NUM!</v>
      </c>
      <c r="L204" s="83">
        <f t="shared" si="33"/>
        <v>0</v>
      </c>
      <c r="M204" s="110" t="str">
        <f t="shared" si="34"/>
        <v/>
      </c>
      <c r="N204" s="51" t="str">
        <f t="shared" si="35"/>
        <v/>
      </c>
      <c r="O204" s="52" t="str">
        <f t="shared" si="36"/>
        <v/>
      </c>
      <c r="P204" s="88">
        <f t="shared" si="37"/>
        <v>0</v>
      </c>
      <c r="Q204" s="88">
        <f t="shared" si="38"/>
        <v>0</v>
      </c>
      <c r="R204" s="88" t="e">
        <f>-IF(Tabla14[[#This Row],[DIAS HABILES O MORA]]&lt;0,(Tabla14[[#This Row],[VALOR PRESTAMO]]*Tabla14[[#This Row],[% INTERES ]]/30*U204))+Tabla14[[#This Row],[VALOR CUOTAS]]</f>
        <v>#VALUE!</v>
      </c>
      <c r="S204" s="88">
        <f>-IF(Tabla14[[#This Row],[DIAS HABILES O MORA]]&lt;0,(Tabla14[[#This Row],[VALOR PRESTAMO]]*Tabla14[[#This Row],[% INTERES ]]/30*U204))</f>
        <v>0</v>
      </c>
      <c r="T204" s="53" t="e">
        <f>Tabla14[[#This Row],[DEUDA CAPITAL]]+Tabla14[[#This Row],[INTERES  CUOTA]]</f>
        <v>#NUM!</v>
      </c>
      <c r="U204" s="61" t="str">
        <f t="shared" si="39"/>
        <v/>
      </c>
    </row>
    <row r="205" spans="9:21" ht="24.75" customHeight="1" x14ac:dyDescent="0.35">
      <c r="I205" s="42">
        <f t="shared" si="30"/>
        <v>0</v>
      </c>
      <c r="J205" s="65" t="e">
        <f t="shared" si="31"/>
        <v>#NUM!</v>
      </c>
      <c r="K205" s="83" t="e">
        <f t="shared" si="32"/>
        <v>#NUM!</v>
      </c>
      <c r="L205" s="83">
        <f t="shared" si="33"/>
        <v>0</v>
      </c>
      <c r="M205" s="110" t="str">
        <f t="shared" si="34"/>
        <v/>
      </c>
      <c r="N205" s="51" t="str">
        <f t="shared" si="35"/>
        <v/>
      </c>
      <c r="O205" s="52" t="str">
        <f t="shared" si="36"/>
        <v/>
      </c>
      <c r="P205" s="88">
        <f t="shared" si="37"/>
        <v>0</v>
      </c>
      <c r="Q205" s="88">
        <f t="shared" si="38"/>
        <v>0</v>
      </c>
      <c r="R205" s="88" t="e">
        <f>-IF(Tabla14[[#This Row],[DIAS HABILES O MORA]]&lt;0,(Tabla14[[#This Row],[VALOR PRESTAMO]]*Tabla14[[#This Row],[% INTERES ]]/30*U205))+Tabla14[[#This Row],[VALOR CUOTAS]]</f>
        <v>#VALUE!</v>
      </c>
      <c r="S205" s="88">
        <f>-IF(Tabla14[[#This Row],[DIAS HABILES O MORA]]&lt;0,(Tabla14[[#This Row],[VALOR PRESTAMO]]*Tabla14[[#This Row],[% INTERES ]]/30*U205))</f>
        <v>0</v>
      </c>
      <c r="T205" s="53" t="e">
        <f>Tabla14[[#This Row],[DEUDA CAPITAL]]+Tabla14[[#This Row],[INTERES  CUOTA]]</f>
        <v>#NUM!</v>
      </c>
      <c r="U205" s="61" t="str">
        <f t="shared" si="39"/>
        <v/>
      </c>
    </row>
    <row r="206" spans="9:21" ht="24.75" customHeight="1" x14ac:dyDescent="0.35">
      <c r="I206" s="42">
        <f t="shared" si="30"/>
        <v>0</v>
      </c>
      <c r="J206" s="65" t="e">
        <f t="shared" si="31"/>
        <v>#NUM!</v>
      </c>
      <c r="K206" s="83" t="e">
        <f t="shared" si="32"/>
        <v>#NUM!</v>
      </c>
      <c r="L206" s="83">
        <f t="shared" si="33"/>
        <v>0</v>
      </c>
      <c r="M206" s="110" t="str">
        <f t="shared" si="34"/>
        <v/>
      </c>
      <c r="N206" s="51" t="str">
        <f t="shared" si="35"/>
        <v/>
      </c>
      <c r="O206" s="52" t="str">
        <f t="shared" si="36"/>
        <v/>
      </c>
      <c r="P206" s="88">
        <f t="shared" si="37"/>
        <v>0</v>
      </c>
      <c r="Q206" s="88">
        <f t="shared" si="38"/>
        <v>0</v>
      </c>
      <c r="R206" s="88" t="e">
        <f>-IF(Tabla14[[#This Row],[DIAS HABILES O MORA]]&lt;0,(Tabla14[[#This Row],[VALOR PRESTAMO]]*Tabla14[[#This Row],[% INTERES ]]/30*U206))+Tabla14[[#This Row],[VALOR CUOTAS]]</f>
        <v>#VALUE!</v>
      </c>
      <c r="S206" s="88">
        <f>-IF(Tabla14[[#This Row],[DIAS HABILES O MORA]]&lt;0,(Tabla14[[#This Row],[VALOR PRESTAMO]]*Tabla14[[#This Row],[% INTERES ]]/30*U206))</f>
        <v>0</v>
      </c>
      <c r="T206" s="53" t="e">
        <f>Tabla14[[#This Row],[DEUDA CAPITAL]]+Tabla14[[#This Row],[INTERES  CUOTA]]</f>
        <v>#NUM!</v>
      </c>
      <c r="U206" s="61" t="str">
        <f t="shared" si="39"/>
        <v/>
      </c>
    </row>
    <row r="207" spans="9:21" ht="24.75" customHeight="1" x14ac:dyDescent="0.35">
      <c r="I207" s="42">
        <f t="shared" si="30"/>
        <v>0</v>
      </c>
      <c r="J207" s="65" t="e">
        <f t="shared" si="31"/>
        <v>#NUM!</v>
      </c>
      <c r="K207" s="83" t="e">
        <f t="shared" si="32"/>
        <v>#NUM!</v>
      </c>
      <c r="L207" s="83">
        <f t="shared" si="33"/>
        <v>0</v>
      </c>
      <c r="M207" s="110" t="str">
        <f t="shared" si="34"/>
        <v/>
      </c>
      <c r="N207" s="51" t="str">
        <f t="shared" si="35"/>
        <v/>
      </c>
      <c r="O207" s="52" t="str">
        <f t="shared" si="36"/>
        <v/>
      </c>
      <c r="P207" s="88">
        <f t="shared" si="37"/>
        <v>0</v>
      </c>
      <c r="Q207" s="88">
        <f t="shared" si="38"/>
        <v>0</v>
      </c>
      <c r="R207" s="88" t="e">
        <f>-IF(Tabla14[[#This Row],[DIAS HABILES O MORA]]&lt;0,(Tabla14[[#This Row],[VALOR PRESTAMO]]*Tabla14[[#This Row],[% INTERES ]]/30*U207))+Tabla14[[#This Row],[VALOR CUOTAS]]</f>
        <v>#VALUE!</v>
      </c>
      <c r="S207" s="88">
        <f>-IF(Tabla14[[#This Row],[DIAS HABILES O MORA]]&lt;0,(Tabla14[[#This Row],[VALOR PRESTAMO]]*Tabla14[[#This Row],[% INTERES ]]/30*U207))</f>
        <v>0</v>
      </c>
      <c r="T207" s="53" t="e">
        <f>Tabla14[[#This Row],[DEUDA CAPITAL]]+Tabla14[[#This Row],[INTERES  CUOTA]]</f>
        <v>#NUM!</v>
      </c>
      <c r="U207" s="61" t="str">
        <f t="shared" si="39"/>
        <v/>
      </c>
    </row>
    <row r="208" spans="9:21" ht="24.75" customHeight="1" x14ac:dyDescent="0.35">
      <c r="I208" s="42">
        <f t="shared" ref="I208:I271" si="40">IF(C208&lt;0,"",IF(Q208=0,0,IF(G208=0,H208+1,IF(H208&lt;G208,H208+1,IF(G208=H208,0)))))</f>
        <v>0</v>
      </c>
      <c r="J208" s="65" t="e">
        <f t="shared" ref="J208:J271" si="41">IF(F208="SOLO INTERES",Q208*D208,-IPMT(D208,I208,G208,C208))</f>
        <v>#NUM!</v>
      </c>
      <c r="K208" s="83" t="e">
        <f t="shared" ref="K208:K271" si="42">IF(F208="SOLO INTERES",0,-PPMT(D208,I208,G208,C208))</f>
        <v>#NUM!</v>
      </c>
      <c r="L208" s="83">
        <f t="shared" ref="L208:L271" si="43">IF(F208="SOLO INTERES",SUM(Y208:AAE208),IFERROR(-CUMIPMT(D208,G208,C208,1,H208,0),0)+SUM(Y208:WY208))</f>
        <v>0</v>
      </c>
      <c r="M208" s="110" t="str">
        <f t="shared" ref="M208:M271" si="44">IFERROR(IF(F208="SOLO INTERES",Q208*D208,-PMT(D208,G208,C208,0)),"")</f>
        <v/>
      </c>
      <c r="N208" s="51" t="str">
        <f t="shared" ref="N208:N271" si="45">IF(Q208=0,"",IF(E208="MENSUAL",EDATE(B208,I208),IF(E208="QUINCENAL",B208+(I208*15),IF(E208="SEMANAL",B208+(I208*7)))))</f>
        <v/>
      </c>
      <c r="O208" s="52" t="str">
        <f t="shared" ref="O208:O271" si="46">IF(C208=0,"",IF(Q208&lt;1,"PAGADO",IF(N208=$A$3,"COBRAR HOY",IF(N208&lt;$A$3,"EN MORA",IF(N208&gt;$A$3,"AL DIA")))))</f>
        <v/>
      </c>
      <c r="P208" s="88">
        <f t="shared" ref="P208:P271" si="47">IFERROR(-CUMPRINC(D208,G208,C208,1,H208,0),0)+W208</f>
        <v>0</v>
      </c>
      <c r="Q208" s="88">
        <f t="shared" ref="Q208:Q271" si="48">IFERROR(C208-P208,"")</f>
        <v>0</v>
      </c>
      <c r="R208" s="88" t="e">
        <f>-IF(Tabla14[[#This Row],[DIAS HABILES O MORA]]&lt;0,(Tabla14[[#This Row],[VALOR PRESTAMO]]*Tabla14[[#This Row],[% INTERES ]]/30*U208))+Tabla14[[#This Row],[VALOR CUOTAS]]</f>
        <v>#VALUE!</v>
      </c>
      <c r="S208" s="88">
        <f>-IF(Tabla14[[#This Row],[DIAS HABILES O MORA]]&lt;0,(Tabla14[[#This Row],[VALOR PRESTAMO]]*Tabla14[[#This Row],[% INTERES ]]/30*U208))</f>
        <v>0</v>
      </c>
      <c r="T208" s="53" t="e">
        <f>Tabla14[[#This Row],[DEUDA CAPITAL]]+Tabla14[[#This Row],[INTERES  CUOTA]]</f>
        <v>#NUM!</v>
      </c>
      <c r="U208" s="61" t="str">
        <f t="shared" ref="U208:U271" si="49">IF(O208="PAGADO","",IFERROR(-IF(C208=0,"",$A$3-N208),""))</f>
        <v/>
      </c>
    </row>
    <row r="209" spans="9:21" ht="24.75" customHeight="1" x14ac:dyDescent="0.35">
      <c r="I209" s="42">
        <f t="shared" si="40"/>
        <v>0</v>
      </c>
      <c r="J209" s="65" t="e">
        <f t="shared" si="41"/>
        <v>#NUM!</v>
      </c>
      <c r="K209" s="83" t="e">
        <f t="shared" si="42"/>
        <v>#NUM!</v>
      </c>
      <c r="L209" s="83">
        <f t="shared" si="43"/>
        <v>0</v>
      </c>
      <c r="M209" s="110" t="str">
        <f t="shared" si="44"/>
        <v/>
      </c>
      <c r="N209" s="51" t="str">
        <f t="shared" si="45"/>
        <v/>
      </c>
      <c r="O209" s="52" t="str">
        <f t="shared" si="46"/>
        <v/>
      </c>
      <c r="P209" s="88">
        <f t="shared" si="47"/>
        <v>0</v>
      </c>
      <c r="Q209" s="88">
        <f t="shared" si="48"/>
        <v>0</v>
      </c>
      <c r="R209" s="88" t="e">
        <f>-IF(Tabla14[[#This Row],[DIAS HABILES O MORA]]&lt;0,(Tabla14[[#This Row],[VALOR PRESTAMO]]*Tabla14[[#This Row],[% INTERES ]]/30*U209))+Tabla14[[#This Row],[VALOR CUOTAS]]</f>
        <v>#VALUE!</v>
      </c>
      <c r="S209" s="88">
        <f>-IF(Tabla14[[#This Row],[DIAS HABILES O MORA]]&lt;0,(Tabla14[[#This Row],[VALOR PRESTAMO]]*Tabla14[[#This Row],[% INTERES ]]/30*U209))</f>
        <v>0</v>
      </c>
      <c r="T209" s="53" t="e">
        <f>Tabla14[[#This Row],[DEUDA CAPITAL]]+Tabla14[[#This Row],[INTERES  CUOTA]]</f>
        <v>#NUM!</v>
      </c>
      <c r="U209" s="61" t="str">
        <f t="shared" si="49"/>
        <v/>
      </c>
    </row>
    <row r="210" spans="9:21" ht="24.75" customHeight="1" x14ac:dyDescent="0.35">
      <c r="I210" s="42">
        <f t="shared" si="40"/>
        <v>0</v>
      </c>
      <c r="J210" s="65" t="e">
        <f t="shared" si="41"/>
        <v>#NUM!</v>
      </c>
      <c r="K210" s="83" t="e">
        <f t="shared" si="42"/>
        <v>#NUM!</v>
      </c>
      <c r="L210" s="83">
        <f t="shared" si="43"/>
        <v>0</v>
      </c>
      <c r="M210" s="110" t="str">
        <f t="shared" si="44"/>
        <v/>
      </c>
      <c r="N210" s="51" t="str">
        <f t="shared" si="45"/>
        <v/>
      </c>
      <c r="O210" s="52" t="str">
        <f t="shared" si="46"/>
        <v/>
      </c>
      <c r="P210" s="88">
        <f t="shared" si="47"/>
        <v>0</v>
      </c>
      <c r="Q210" s="88">
        <f t="shared" si="48"/>
        <v>0</v>
      </c>
      <c r="R210" s="88" t="e">
        <f>-IF(Tabla14[[#This Row],[DIAS HABILES O MORA]]&lt;0,(Tabla14[[#This Row],[VALOR PRESTAMO]]*Tabla14[[#This Row],[% INTERES ]]/30*U210))+Tabla14[[#This Row],[VALOR CUOTAS]]</f>
        <v>#VALUE!</v>
      </c>
      <c r="S210" s="88">
        <f>-IF(Tabla14[[#This Row],[DIAS HABILES O MORA]]&lt;0,(Tabla14[[#This Row],[VALOR PRESTAMO]]*Tabla14[[#This Row],[% INTERES ]]/30*U210))</f>
        <v>0</v>
      </c>
      <c r="T210" s="53" t="e">
        <f>Tabla14[[#This Row],[DEUDA CAPITAL]]+Tabla14[[#This Row],[INTERES  CUOTA]]</f>
        <v>#NUM!</v>
      </c>
      <c r="U210" s="61" t="str">
        <f t="shared" si="49"/>
        <v/>
      </c>
    </row>
    <row r="211" spans="9:21" ht="24.75" customHeight="1" x14ac:dyDescent="0.35">
      <c r="I211" s="42">
        <f t="shared" si="40"/>
        <v>0</v>
      </c>
      <c r="J211" s="65" t="e">
        <f t="shared" si="41"/>
        <v>#NUM!</v>
      </c>
      <c r="K211" s="83" t="e">
        <f t="shared" si="42"/>
        <v>#NUM!</v>
      </c>
      <c r="L211" s="83">
        <f t="shared" si="43"/>
        <v>0</v>
      </c>
      <c r="M211" s="110" t="str">
        <f t="shared" si="44"/>
        <v/>
      </c>
      <c r="N211" s="51" t="str">
        <f t="shared" si="45"/>
        <v/>
      </c>
      <c r="O211" s="52" t="str">
        <f t="shared" si="46"/>
        <v/>
      </c>
      <c r="P211" s="88">
        <f t="shared" si="47"/>
        <v>0</v>
      </c>
      <c r="Q211" s="88">
        <f t="shared" si="48"/>
        <v>0</v>
      </c>
      <c r="R211" s="88" t="e">
        <f>-IF(Tabla14[[#This Row],[DIAS HABILES O MORA]]&lt;0,(Tabla14[[#This Row],[VALOR PRESTAMO]]*Tabla14[[#This Row],[% INTERES ]]/30*U211))+Tabla14[[#This Row],[VALOR CUOTAS]]</f>
        <v>#VALUE!</v>
      </c>
      <c r="S211" s="88">
        <f>-IF(Tabla14[[#This Row],[DIAS HABILES O MORA]]&lt;0,(Tabla14[[#This Row],[VALOR PRESTAMO]]*Tabla14[[#This Row],[% INTERES ]]/30*U211))</f>
        <v>0</v>
      </c>
      <c r="T211" s="53" t="e">
        <f>Tabla14[[#This Row],[DEUDA CAPITAL]]+Tabla14[[#This Row],[INTERES  CUOTA]]</f>
        <v>#NUM!</v>
      </c>
      <c r="U211" s="61" t="str">
        <f t="shared" si="49"/>
        <v/>
      </c>
    </row>
    <row r="212" spans="9:21" ht="24.75" customHeight="1" x14ac:dyDescent="0.35">
      <c r="I212" s="42">
        <f t="shared" si="40"/>
        <v>0</v>
      </c>
      <c r="J212" s="65" t="e">
        <f t="shared" si="41"/>
        <v>#NUM!</v>
      </c>
      <c r="K212" s="83" t="e">
        <f t="shared" si="42"/>
        <v>#NUM!</v>
      </c>
      <c r="L212" s="83">
        <f t="shared" si="43"/>
        <v>0</v>
      </c>
      <c r="M212" s="110" t="str">
        <f t="shared" si="44"/>
        <v/>
      </c>
      <c r="N212" s="51" t="str">
        <f t="shared" si="45"/>
        <v/>
      </c>
      <c r="O212" s="52" t="str">
        <f t="shared" si="46"/>
        <v/>
      </c>
      <c r="P212" s="88">
        <f t="shared" si="47"/>
        <v>0</v>
      </c>
      <c r="Q212" s="88">
        <f t="shared" si="48"/>
        <v>0</v>
      </c>
      <c r="R212" s="88" t="e">
        <f>-IF(Tabla14[[#This Row],[DIAS HABILES O MORA]]&lt;0,(Tabla14[[#This Row],[VALOR PRESTAMO]]*Tabla14[[#This Row],[% INTERES ]]/30*U212))+Tabla14[[#This Row],[VALOR CUOTAS]]</f>
        <v>#VALUE!</v>
      </c>
      <c r="S212" s="88">
        <f>-IF(Tabla14[[#This Row],[DIAS HABILES O MORA]]&lt;0,(Tabla14[[#This Row],[VALOR PRESTAMO]]*Tabla14[[#This Row],[% INTERES ]]/30*U212))</f>
        <v>0</v>
      </c>
      <c r="T212" s="53" t="e">
        <f>Tabla14[[#This Row],[DEUDA CAPITAL]]+Tabla14[[#This Row],[INTERES  CUOTA]]</f>
        <v>#NUM!</v>
      </c>
      <c r="U212" s="61" t="str">
        <f t="shared" si="49"/>
        <v/>
      </c>
    </row>
    <row r="213" spans="9:21" ht="24.75" customHeight="1" x14ac:dyDescent="0.35">
      <c r="I213" s="42">
        <f t="shared" si="40"/>
        <v>0</v>
      </c>
      <c r="J213" s="65" t="e">
        <f t="shared" si="41"/>
        <v>#NUM!</v>
      </c>
      <c r="K213" s="83" t="e">
        <f t="shared" si="42"/>
        <v>#NUM!</v>
      </c>
      <c r="L213" s="83">
        <f t="shared" si="43"/>
        <v>0</v>
      </c>
      <c r="M213" s="110" t="str">
        <f t="shared" si="44"/>
        <v/>
      </c>
      <c r="N213" s="51" t="str">
        <f t="shared" si="45"/>
        <v/>
      </c>
      <c r="O213" s="52" t="str">
        <f t="shared" si="46"/>
        <v/>
      </c>
      <c r="P213" s="88">
        <f t="shared" si="47"/>
        <v>0</v>
      </c>
      <c r="Q213" s="88">
        <f t="shared" si="48"/>
        <v>0</v>
      </c>
      <c r="R213" s="88" t="e">
        <f>-IF(Tabla14[[#This Row],[DIAS HABILES O MORA]]&lt;0,(Tabla14[[#This Row],[VALOR PRESTAMO]]*Tabla14[[#This Row],[% INTERES ]]/30*U213))+Tabla14[[#This Row],[VALOR CUOTAS]]</f>
        <v>#VALUE!</v>
      </c>
      <c r="S213" s="88">
        <f>-IF(Tabla14[[#This Row],[DIAS HABILES O MORA]]&lt;0,(Tabla14[[#This Row],[VALOR PRESTAMO]]*Tabla14[[#This Row],[% INTERES ]]/30*U213))</f>
        <v>0</v>
      </c>
      <c r="T213" s="53" t="e">
        <f>Tabla14[[#This Row],[DEUDA CAPITAL]]+Tabla14[[#This Row],[INTERES  CUOTA]]</f>
        <v>#NUM!</v>
      </c>
      <c r="U213" s="61" t="str">
        <f t="shared" si="49"/>
        <v/>
      </c>
    </row>
    <row r="214" spans="9:21" ht="24.75" customHeight="1" x14ac:dyDescent="0.35">
      <c r="I214" s="42">
        <f t="shared" si="40"/>
        <v>0</v>
      </c>
      <c r="J214" s="65" t="e">
        <f t="shared" si="41"/>
        <v>#NUM!</v>
      </c>
      <c r="K214" s="83" t="e">
        <f t="shared" si="42"/>
        <v>#NUM!</v>
      </c>
      <c r="L214" s="83">
        <f t="shared" si="43"/>
        <v>0</v>
      </c>
      <c r="M214" s="110" t="str">
        <f t="shared" si="44"/>
        <v/>
      </c>
      <c r="N214" s="51" t="str">
        <f t="shared" si="45"/>
        <v/>
      </c>
      <c r="O214" s="52" t="str">
        <f t="shared" si="46"/>
        <v/>
      </c>
      <c r="P214" s="88">
        <f t="shared" si="47"/>
        <v>0</v>
      </c>
      <c r="Q214" s="88">
        <f t="shared" si="48"/>
        <v>0</v>
      </c>
      <c r="R214" s="88" t="e">
        <f>-IF(Tabla14[[#This Row],[DIAS HABILES O MORA]]&lt;0,(Tabla14[[#This Row],[VALOR PRESTAMO]]*Tabla14[[#This Row],[% INTERES ]]/30*U214))+Tabla14[[#This Row],[VALOR CUOTAS]]</f>
        <v>#VALUE!</v>
      </c>
      <c r="S214" s="88">
        <f>-IF(Tabla14[[#This Row],[DIAS HABILES O MORA]]&lt;0,(Tabla14[[#This Row],[VALOR PRESTAMO]]*Tabla14[[#This Row],[% INTERES ]]/30*U214))</f>
        <v>0</v>
      </c>
      <c r="T214" s="53" t="e">
        <f>Tabla14[[#This Row],[DEUDA CAPITAL]]+Tabla14[[#This Row],[INTERES  CUOTA]]</f>
        <v>#NUM!</v>
      </c>
      <c r="U214" s="61" t="str">
        <f t="shared" si="49"/>
        <v/>
      </c>
    </row>
    <row r="215" spans="9:21" ht="24.75" customHeight="1" x14ac:dyDescent="0.35">
      <c r="I215" s="42">
        <f t="shared" si="40"/>
        <v>0</v>
      </c>
      <c r="J215" s="65" t="e">
        <f t="shared" si="41"/>
        <v>#NUM!</v>
      </c>
      <c r="K215" s="83" t="e">
        <f t="shared" si="42"/>
        <v>#NUM!</v>
      </c>
      <c r="L215" s="83">
        <f t="shared" si="43"/>
        <v>0</v>
      </c>
      <c r="M215" s="110" t="str">
        <f t="shared" si="44"/>
        <v/>
      </c>
      <c r="N215" s="51" t="str">
        <f t="shared" si="45"/>
        <v/>
      </c>
      <c r="O215" s="52" t="str">
        <f t="shared" si="46"/>
        <v/>
      </c>
      <c r="P215" s="88">
        <f t="shared" si="47"/>
        <v>0</v>
      </c>
      <c r="Q215" s="88">
        <f t="shared" si="48"/>
        <v>0</v>
      </c>
      <c r="R215" s="88" t="e">
        <f>-IF(Tabla14[[#This Row],[DIAS HABILES O MORA]]&lt;0,(Tabla14[[#This Row],[VALOR PRESTAMO]]*Tabla14[[#This Row],[% INTERES ]]/30*U215))+Tabla14[[#This Row],[VALOR CUOTAS]]</f>
        <v>#VALUE!</v>
      </c>
      <c r="S215" s="88">
        <f>-IF(Tabla14[[#This Row],[DIAS HABILES O MORA]]&lt;0,(Tabla14[[#This Row],[VALOR PRESTAMO]]*Tabla14[[#This Row],[% INTERES ]]/30*U215))</f>
        <v>0</v>
      </c>
      <c r="T215" s="53" t="e">
        <f>Tabla14[[#This Row],[DEUDA CAPITAL]]+Tabla14[[#This Row],[INTERES  CUOTA]]</f>
        <v>#NUM!</v>
      </c>
      <c r="U215" s="61" t="str">
        <f t="shared" si="49"/>
        <v/>
      </c>
    </row>
    <row r="216" spans="9:21" ht="24.75" customHeight="1" x14ac:dyDescent="0.35">
      <c r="I216" s="42">
        <f t="shared" si="40"/>
        <v>0</v>
      </c>
      <c r="J216" s="65" t="e">
        <f t="shared" si="41"/>
        <v>#NUM!</v>
      </c>
      <c r="K216" s="83" t="e">
        <f t="shared" si="42"/>
        <v>#NUM!</v>
      </c>
      <c r="L216" s="83">
        <f t="shared" si="43"/>
        <v>0</v>
      </c>
      <c r="M216" s="110" t="str">
        <f t="shared" si="44"/>
        <v/>
      </c>
      <c r="N216" s="51" t="str">
        <f t="shared" si="45"/>
        <v/>
      </c>
      <c r="O216" s="52" t="str">
        <f t="shared" si="46"/>
        <v/>
      </c>
      <c r="P216" s="88">
        <f t="shared" si="47"/>
        <v>0</v>
      </c>
      <c r="Q216" s="88">
        <f t="shared" si="48"/>
        <v>0</v>
      </c>
      <c r="R216" s="88" t="e">
        <f>-IF(Tabla14[[#This Row],[DIAS HABILES O MORA]]&lt;0,(Tabla14[[#This Row],[VALOR PRESTAMO]]*Tabla14[[#This Row],[% INTERES ]]/30*U216))+Tabla14[[#This Row],[VALOR CUOTAS]]</f>
        <v>#VALUE!</v>
      </c>
      <c r="S216" s="88">
        <f>-IF(Tabla14[[#This Row],[DIAS HABILES O MORA]]&lt;0,(Tabla14[[#This Row],[VALOR PRESTAMO]]*Tabla14[[#This Row],[% INTERES ]]/30*U216))</f>
        <v>0</v>
      </c>
      <c r="T216" s="53" t="e">
        <f>Tabla14[[#This Row],[DEUDA CAPITAL]]+Tabla14[[#This Row],[INTERES  CUOTA]]</f>
        <v>#NUM!</v>
      </c>
      <c r="U216" s="61" t="str">
        <f t="shared" si="49"/>
        <v/>
      </c>
    </row>
    <row r="217" spans="9:21" ht="24.75" customHeight="1" x14ac:dyDescent="0.35">
      <c r="I217" s="42">
        <f t="shared" si="40"/>
        <v>0</v>
      </c>
      <c r="J217" s="65" t="e">
        <f t="shared" si="41"/>
        <v>#NUM!</v>
      </c>
      <c r="K217" s="83" t="e">
        <f t="shared" si="42"/>
        <v>#NUM!</v>
      </c>
      <c r="L217" s="83">
        <f t="shared" si="43"/>
        <v>0</v>
      </c>
      <c r="M217" s="110" t="str">
        <f t="shared" si="44"/>
        <v/>
      </c>
      <c r="N217" s="51" t="str">
        <f t="shared" si="45"/>
        <v/>
      </c>
      <c r="O217" s="52" t="str">
        <f t="shared" si="46"/>
        <v/>
      </c>
      <c r="P217" s="88">
        <f t="shared" si="47"/>
        <v>0</v>
      </c>
      <c r="Q217" s="88">
        <f t="shared" si="48"/>
        <v>0</v>
      </c>
      <c r="R217" s="88" t="e">
        <f>-IF(Tabla14[[#This Row],[DIAS HABILES O MORA]]&lt;0,(Tabla14[[#This Row],[VALOR PRESTAMO]]*Tabla14[[#This Row],[% INTERES ]]/30*U217))+Tabla14[[#This Row],[VALOR CUOTAS]]</f>
        <v>#VALUE!</v>
      </c>
      <c r="S217" s="88">
        <f>-IF(Tabla14[[#This Row],[DIAS HABILES O MORA]]&lt;0,(Tabla14[[#This Row],[VALOR PRESTAMO]]*Tabla14[[#This Row],[% INTERES ]]/30*U217))</f>
        <v>0</v>
      </c>
      <c r="T217" s="53" t="e">
        <f>Tabla14[[#This Row],[DEUDA CAPITAL]]+Tabla14[[#This Row],[INTERES  CUOTA]]</f>
        <v>#NUM!</v>
      </c>
      <c r="U217" s="61" t="str">
        <f t="shared" si="49"/>
        <v/>
      </c>
    </row>
    <row r="218" spans="9:21" ht="24.75" customHeight="1" x14ac:dyDescent="0.35">
      <c r="I218" s="42">
        <f t="shared" si="40"/>
        <v>0</v>
      </c>
      <c r="J218" s="65" t="e">
        <f t="shared" si="41"/>
        <v>#NUM!</v>
      </c>
      <c r="K218" s="83" t="e">
        <f t="shared" si="42"/>
        <v>#NUM!</v>
      </c>
      <c r="L218" s="83">
        <f t="shared" si="43"/>
        <v>0</v>
      </c>
      <c r="M218" s="110" t="str">
        <f t="shared" si="44"/>
        <v/>
      </c>
      <c r="N218" s="51" t="str">
        <f t="shared" si="45"/>
        <v/>
      </c>
      <c r="O218" s="52" t="str">
        <f t="shared" si="46"/>
        <v/>
      </c>
      <c r="P218" s="88">
        <f t="shared" si="47"/>
        <v>0</v>
      </c>
      <c r="Q218" s="88">
        <f t="shared" si="48"/>
        <v>0</v>
      </c>
      <c r="R218" s="88" t="e">
        <f>-IF(Tabla14[[#This Row],[DIAS HABILES O MORA]]&lt;0,(Tabla14[[#This Row],[VALOR PRESTAMO]]*Tabla14[[#This Row],[% INTERES ]]/30*U218))+Tabla14[[#This Row],[VALOR CUOTAS]]</f>
        <v>#VALUE!</v>
      </c>
      <c r="S218" s="88">
        <f>-IF(Tabla14[[#This Row],[DIAS HABILES O MORA]]&lt;0,(Tabla14[[#This Row],[VALOR PRESTAMO]]*Tabla14[[#This Row],[% INTERES ]]/30*U218))</f>
        <v>0</v>
      </c>
      <c r="T218" s="53" t="e">
        <f>Tabla14[[#This Row],[DEUDA CAPITAL]]+Tabla14[[#This Row],[INTERES  CUOTA]]</f>
        <v>#NUM!</v>
      </c>
      <c r="U218" s="61" t="str">
        <f t="shared" si="49"/>
        <v/>
      </c>
    </row>
    <row r="219" spans="9:21" ht="24.75" customHeight="1" x14ac:dyDescent="0.35">
      <c r="I219" s="42">
        <f t="shared" si="40"/>
        <v>0</v>
      </c>
      <c r="J219" s="65" t="e">
        <f t="shared" si="41"/>
        <v>#NUM!</v>
      </c>
      <c r="K219" s="83" t="e">
        <f t="shared" si="42"/>
        <v>#NUM!</v>
      </c>
      <c r="L219" s="83">
        <f t="shared" si="43"/>
        <v>0</v>
      </c>
      <c r="M219" s="110" t="str">
        <f t="shared" si="44"/>
        <v/>
      </c>
      <c r="N219" s="51" t="str">
        <f t="shared" si="45"/>
        <v/>
      </c>
      <c r="O219" s="52" t="str">
        <f t="shared" si="46"/>
        <v/>
      </c>
      <c r="P219" s="88">
        <f t="shared" si="47"/>
        <v>0</v>
      </c>
      <c r="Q219" s="88">
        <f t="shared" si="48"/>
        <v>0</v>
      </c>
      <c r="R219" s="88" t="e">
        <f>-IF(Tabla14[[#This Row],[DIAS HABILES O MORA]]&lt;0,(Tabla14[[#This Row],[VALOR PRESTAMO]]*Tabla14[[#This Row],[% INTERES ]]/30*U219))+Tabla14[[#This Row],[VALOR CUOTAS]]</f>
        <v>#VALUE!</v>
      </c>
      <c r="S219" s="88">
        <f>-IF(Tabla14[[#This Row],[DIAS HABILES O MORA]]&lt;0,(Tabla14[[#This Row],[VALOR PRESTAMO]]*Tabla14[[#This Row],[% INTERES ]]/30*U219))</f>
        <v>0</v>
      </c>
      <c r="T219" s="53" t="e">
        <f>Tabla14[[#This Row],[DEUDA CAPITAL]]+Tabla14[[#This Row],[INTERES  CUOTA]]</f>
        <v>#NUM!</v>
      </c>
      <c r="U219" s="61" t="str">
        <f t="shared" si="49"/>
        <v/>
      </c>
    </row>
    <row r="220" spans="9:21" ht="24.75" customHeight="1" x14ac:dyDescent="0.35">
      <c r="I220" s="42">
        <f t="shared" si="40"/>
        <v>0</v>
      </c>
      <c r="J220" s="65" t="e">
        <f t="shared" si="41"/>
        <v>#NUM!</v>
      </c>
      <c r="K220" s="83" t="e">
        <f t="shared" si="42"/>
        <v>#NUM!</v>
      </c>
      <c r="L220" s="83">
        <f t="shared" si="43"/>
        <v>0</v>
      </c>
      <c r="M220" s="110" t="str">
        <f t="shared" si="44"/>
        <v/>
      </c>
      <c r="N220" s="51" t="str">
        <f t="shared" si="45"/>
        <v/>
      </c>
      <c r="O220" s="52" t="str">
        <f t="shared" si="46"/>
        <v/>
      </c>
      <c r="P220" s="88">
        <f t="shared" si="47"/>
        <v>0</v>
      </c>
      <c r="Q220" s="88">
        <f t="shared" si="48"/>
        <v>0</v>
      </c>
      <c r="R220" s="88" t="e">
        <f>-IF(Tabla14[[#This Row],[DIAS HABILES O MORA]]&lt;0,(Tabla14[[#This Row],[VALOR PRESTAMO]]*Tabla14[[#This Row],[% INTERES ]]/30*U220))+Tabla14[[#This Row],[VALOR CUOTAS]]</f>
        <v>#VALUE!</v>
      </c>
      <c r="S220" s="88">
        <f>-IF(Tabla14[[#This Row],[DIAS HABILES O MORA]]&lt;0,(Tabla14[[#This Row],[VALOR PRESTAMO]]*Tabla14[[#This Row],[% INTERES ]]/30*U220))</f>
        <v>0</v>
      </c>
      <c r="T220" s="53" t="e">
        <f>Tabla14[[#This Row],[DEUDA CAPITAL]]+Tabla14[[#This Row],[INTERES  CUOTA]]</f>
        <v>#NUM!</v>
      </c>
      <c r="U220" s="61" t="str">
        <f t="shared" si="49"/>
        <v/>
      </c>
    </row>
    <row r="221" spans="9:21" ht="24.75" customHeight="1" x14ac:dyDescent="0.35">
      <c r="I221" s="42">
        <f t="shared" si="40"/>
        <v>0</v>
      </c>
      <c r="J221" s="65" t="e">
        <f t="shared" si="41"/>
        <v>#NUM!</v>
      </c>
      <c r="K221" s="83" t="e">
        <f t="shared" si="42"/>
        <v>#NUM!</v>
      </c>
      <c r="L221" s="83">
        <f t="shared" si="43"/>
        <v>0</v>
      </c>
      <c r="M221" s="110" t="str">
        <f t="shared" si="44"/>
        <v/>
      </c>
      <c r="N221" s="51" t="str">
        <f t="shared" si="45"/>
        <v/>
      </c>
      <c r="O221" s="52" t="str">
        <f t="shared" si="46"/>
        <v/>
      </c>
      <c r="P221" s="88">
        <f t="shared" si="47"/>
        <v>0</v>
      </c>
      <c r="Q221" s="88">
        <f t="shared" si="48"/>
        <v>0</v>
      </c>
      <c r="R221" s="88" t="e">
        <f>-IF(Tabla14[[#This Row],[DIAS HABILES O MORA]]&lt;0,(Tabla14[[#This Row],[VALOR PRESTAMO]]*Tabla14[[#This Row],[% INTERES ]]/30*U221))+Tabla14[[#This Row],[VALOR CUOTAS]]</f>
        <v>#VALUE!</v>
      </c>
      <c r="S221" s="88">
        <f>-IF(Tabla14[[#This Row],[DIAS HABILES O MORA]]&lt;0,(Tabla14[[#This Row],[VALOR PRESTAMO]]*Tabla14[[#This Row],[% INTERES ]]/30*U221))</f>
        <v>0</v>
      </c>
      <c r="T221" s="53" t="e">
        <f>Tabla14[[#This Row],[DEUDA CAPITAL]]+Tabla14[[#This Row],[INTERES  CUOTA]]</f>
        <v>#NUM!</v>
      </c>
      <c r="U221" s="61" t="str">
        <f t="shared" si="49"/>
        <v/>
      </c>
    </row>
    <row r="222" spans="9:21" ht="24.75" customHeight="1" x14ac:dyDescent="0.35">
      <c r="I222" s="42">
        <f t="shared" si="40"/>
        <v>0</v>
      </c>
      <c r="J222" s="65" t="e">
        <f t="shared" si="41"/>
        <v>#NUM!</v>
      </c>
      <c r="K222" s="83" t="e">
        <f t="shared" si="42"/>
        <v>#NUM!</v>
      </c>
      <c r="L222" s="83">
        <f t="shared" si="43"/>
        <v>0</v>
      </c>
      <c r="M222" s="110" t="str">
        <f t="shared" si="44"/>
        <v/>
      </c>
      <c r="N222" s="51" t="str">
        <f t="shared" si="45"/>
        <v/>
      </c>
      <c r="O222" s="52" t="str">
        <f t="shared" si="46"/>
        <v/>
      </c>
      <c r="P222" s="88">
        <f t="shared" si="47"/>
        <v>0</v>
      </c>
      <c r="Q222" s="88">
        <f t="shared" si="48"/>
        <v>0</v>
      </c>
      <c r="R222" s="88" t="e">
        <f>-IF(Tabla14[[#This Row],[DIAS HABILES O MORA]]&lt;0,(Tabla14[[#This Row],[VALOR PRESTAMO]]*Tabla14[[#This Row],[% INTERES ]]/30*U222))+Tabla14[[#This Row],[VALOR CUOTAS]]</f>
        <v>#VALUE!</v>
      </c>
      <c r="S222" s="88">
        <f>-IF(Tabla14[[#This Row],[DIAS HABILES O MORA]]&lt;0,(Tabla14[[#This Row],[VALOR PRESTAMO]]*Tabla14[[#This Row],[% INTERES ]]/30*U222))</f>
        <v>0</v>
      </c>
      <c r="T222" s="53" t="e">
        <f>Tabla14[[#This Row],[DEUDA CAPITAL]]+Tabla14[[#This Row],[INTERES  CUOTA]]</f>
        <v>#NUM!</v>
      </c>
      <c r="U222" s="61" t="str">
        <f t="shared" si="49"/>
        <v/>
      </c>
    </row>
    <row r="223" spans="9:21" ht="24.75" customHeight="1" x14ac:dyDescent="0.35">
      <c r="I223" s="42">
        <f t="shared" si="40"/>
        <v>0</v>
      </c>
      <c r="J223" s="65" t="e">
        <f t="shared" si="41"/>
        <v>#NUM!</v>
      </c>
      <c r="K223" s="83" t="e">
        <f t="shared" si="42"/>
        <v>#NUM!</v>
      </c>
      <c r="L223" s="83">
        <f t="shared" si="43"/>
        <v>0</v>
      </c>
      <c r="M223" s="110" t="str">
        <f t="shared" si="44"/>
        <v/>
      </c>
      <c r="N223" s="51" t="str">
        <f t="shared" si="45"/>
        <v/>
      </c>
      <c r="O223" s="52" t="str">
        <f t="shared" si="46"/>
        <v/>
      </c>
      <c r="P223" s="88">
        <f t="shared" si="47"/>
        <v>0</v>
      </c>
      <c r="Q223" s="88">
        <f t="shared" si="48"/>
        <v>0</v>
      </c>
      <c r="R223" s="88" t="e">
        <f>-IF(Tabla14[[#This Row],[DIAS HABILES O MORA]]&lt;0,(Tabla14[[#This Row],[VALOR PRESTAMO]]*Tabla14[[#This Row],[% INTERES ]]/30*U223))+Tabla14[[#This Row],[VALOR CUOTAS]]</f>
        <v>#VALUE!</v>
      </c>
      <c r="S223" s="88">
        <f>-IF(Tabla14[[#This Row],[DIAS HABILES O MORA]]&lt;0,(Tabla14[[#This Row],[VALOR PRESTAMO]]*Tabla14[[#This Row],[% INTERES ]]/30*U223))</f>
        <v>0</v>
      </c>
      <c r="T223" s="53" t="e">
        <f>Tabla14[[#This Row],[DEUDA CAPITAL]]+Tabla14[[#This Row],[INTERES  CUOTA]]</f>
        <v>#NUM!</v>
      </c>
      <c r="U223" s="61" t="str">
        <f t="shared" si="49"/>
        <v/>
      </c>
    </row>
    <row r="224" spans="9:21" ht="24.75" customHeight="1" x14ac:dyDescent="0.35">
      <c r="I224" s="42">
        <f t="shared" si="40"/>
        <v>0</v>
      </c>
      <c r="J224" s="65" t="e">
        <f t="shared" si="41"/>
        <v>#NUM!</v>
      </c>
      <c r="K224" s="83" t="e">
        <f t="shared" si="42"/>
        <v>#NUM!</v>
      </c>
      <c r="L224" s="83">
        <f t="shared" si="43"/>
        <v>0</v>
      </c>
      <c r="M224" s="110" t="str">
        <f t="shared" si="44"/>
        <v/>
      </c>
      <c r="N224" s="51" t="str">
        <f t="shared" si="45"/>
        <v/>
      </c>
      <c r="O224" s="52" t="str">
        <f t="shared" si="46"/>
        <v/>
      </c>
      <c r="P224" s="88">
        <f t="shared" si="47"/>
        <v>0</v>
      </c>
      <c r="Q224" s="88">
        <f t="shared" si="48"/>
        <v>0</v>
      </c>
      <c r="R224" s="88" t="e">
        <f>-IF(Tabla14[[#This Row],[DIAS HABILES O MORA]]&lt;0,(Tabla14[[#This Row],[VALOR PRESTAMO]]*Tabla14[[#This Row],[% INTERES ]]/30*U224))+Tabla14[[#This Row],[VALOR CUOTAS]]</f>
        <v>#VALUE!</v>
      </c>
      <c r="S224" s="88">
        <f>-IF(Tabla14[[#This Row],[DIAS HABILES O MORA]]&lt;0,(Tabla14[[#This Row],[VALOR PRESTAMO]]*Tabla14[[#This Row],[% INTERES ]]/30*U224))</f>
        <v>0</v>
      </c>
      <c r="T224" s="53" t="e">
        <f>Tabla14[[#This Row],[DEUDA CAPITAL]]+Tabla14[[#This Row],[INTERES  CUOTA]]</f>
        <v>#NUM!</v>
      </c>
      <c r="U224" s="61" t="str">
        <f t="shared" si="49"/>
        <v/>
      </c>
    </row>
    <row r="225" spans="9:21" ht="24.75" customHeight="1" x14ac:dyDescent="0.35">
      <c r="I225" s="42">
        <f t="shared" si="40"/>
        <v>0</v>
      </c>
      <c r="J225" s="65" t="e">
        <f t="shared" si="41"/>
        <v>#NUM!</v>
      </c>
      <c r="K225" s="83" t="e">
        <f t="shared" si="42"/>
        <v>#NUM!</v>
      </c>
      <c r="L225" s="83">
        <f t="shared" si="43"/>
        <v>0</v>
      </c>
      <c r="M225" s="110" t="str">
        <f t="shared" si="44"/>
        <v/>
      </c>
      <c r="N225" s="51" t="str">
        <f t="shared" si="45"/>
        <v/>
      </c>
      <c r="O225" s="52" t="str">
        <f t="shared" si="46"/>
        <v/>
      </c>
      <c r="P225" s="88">
        <f t="shared" si="47"/>
        <v>0</v>
      </c>
      <c r="Q225" s="88">
        <f t="shared" si="48"/>
        <v>0</v>
      </c>
      <c r="R225" s="88" t="e">
        <f>-IF(Tabla14[[#This Row],[DIAS HABILES O MORA]]&lt;0,(Tabla14[[#This Row],[VALOR PRESTAMO]]*Tabla14[[#This Row],[% INTERES ]]/30*U225))+Tabla14[[#This Row],[VALOR CUOTAS]]</f>
        <v>#VALUE!</v>
      </c>
      <c r="S225" s="88">
        <f>-IF(Tabla14[[#This Row],[DIAS HABILES O MORA]]&lt;0,(Tabla14[[#This Row],[VALOR PRESTAMO]]*Tabla14[[#This Row],[% INTERES ]]/30*U225))</f>
        <v>0</v>
      </c>
      <c r="T225" s="53" t="e">
        <f>Tabla14[[#This Row],[DEUDA CAPITAL]]+Tabla14[[#This Row],[INTERES  CUOTA]]</f>
        <v>#NUM!</v>
      </c>
      <c r="U225" s="61" t="str">
        <f t="shared" si="49"/>
        <v/>
      </c>
    </row>
    <row r="226" spans="9:21" ht="24.75" customHeight="1" x14ac:dyDescent="0.35">
      <c r="I226" s="42">
        <f t="shared" si="40"/>
        <v>0</v>
      </c>
      <c r="J226" s="65" t="e">
        <f t="shared" si="41"/>
        <v>#NUM!</v>
      </c>
      <c r="K226" s="83" t="e">
        <f t="shared" si="42"/>
        <v>#NUM!</v>
      </c>
      <c r="L226" s="83">
        <f t="shared" si="43"/>
        <v>0</v>
      </c>
      <c r="M226" s="110" t="str">
        <f t="shared" si="44"/>
        <v/>
      </c>
      <c r="N226" s="51" t="str">
        <f t="shared" si="45"/>
        <v/>
      </c>
      <c r="O226" s="52" t="str">
        <f t="shared" si="46"/>
        <v/>
      </c>
      <c r="P226" s="88">
        <f t="shared" si="47"/>
        <v>0</v>
      </c>
      <c r="Q226" s="88">
        <f t="shared" si="48"/>
        <v>0</v>
      </c>
      <c r="R226" s="88" t="e">
        <f>-IF(Tabla14[[#This Row],[DIAS HABILES O MORA]]&lt;0,(Tabla14[[#This Row],[VALOR PRESTAMO]]*Tabla14[[#This Row],[% INTERES ]]/30*U226))+Tabla14[[#This Row],[VALOR CUOTAS]]</f>
        <v>#VALUE!</v>
      </c>
      <c r="S226" s="88">
        <f>-IF(Tabla14[[#This Row],[DIAS HABILES O MORA]]&lt;0,(Tabla14[[#This Row],[VALOR PRESTAMO]]*Tabla14[[#This Row],[% INTERES ]]/30*U226))</f>
        <v>0</v>
      </c>
      <c r="T226" s="53" t="e">
        <f>Tabla14[[#This Row],[DEUDA CAPITAL]]+Tabla14[[#This Row],[INTERES  CUOTA]]</f>
        <v>#NUM!</v>
      </c>
      <c r="U226" s="61" t="str">
        <f t="shared" si="49"/>
        <v/>
      </c>
    </row>
    <row r="227" spans="9:21" ht="24.75" customHeight="1" x14ac:dyDescent="0.35">
      <c r="I227" s="42">
        <f t="shared" si="40"/>
        <v>0</v>
      </c>
      <c r="J227" s="65" t="e">
        <f t="shared" si="41"/>
        <v>#NUM!</v>
      </c>
      <c r="K227" s="83" t="e">
        <f t="shared" si="42"/>
        <v>#NUM!</v>
      </c>
      <c r="L227" s="83">
        <f t="shared" si="43"/>
        <v>0</v>
      </c>
      <c r="M227" s="110" t="str">
        <f t="shared" si="44"/>
        <v/>
      </c>
      <c r="N227" s="51" t="str">
        <f t="shared" si="45"/>
        <v/>
      </c>
      <c r="O227" s="52" t="str">
        <f t="shared" si="46"/>
        <v/>
      </c>
      <c r="P227" s="88">
        <f t="shared" si="47"/>
        <v>0</v>
      </c>
      <c r="Q227" s="88">
        <f t="shared" si="48"/>
        <v>0</v>
      </c>
      <c r="R227" s="88" t="e">
        <f>-IF(Tabla14[[#This Row],[DIAS HABILES O MORA]]&lt;0,(Tabla14[[#This Row],[VALOR PRESTAMO]]*Tabla14[[#This Row],[% INTERES ]]/30*U227))+Tabla14[[#This Row],[VALOR CUOTAS]]</f>
        <v>#VALUE!</v>
      </c>
      <c r="S227" s="88">
        <f>-IF(Tabla14[[#This Row],[DIAS HABILES O MORA]]&lt;0,(Tabla14[[#This Row],[VALOR PRESTAMO]]*Tabla14[[#This Row],[% INTERES ]]/30*U227))</f>
        <v>0</v>
      </c>
      <c r="T227" s="53" t="e">
        <f>Tabla14[[#This Row],[DEUDA CAPITAL]]+Tabla14[[#This Row],[INTERES  CUOTA]]</f>
        <v>#NUM!</v>
      </c>
      <c r="U227" s="61" t="str">
        <f t="shared" si="49"/>
        <v/>
      </c>
    </row>
    <row r="228" spans="9:21" ht="24.75" customHeight="1" x14ac:dyDescent="0.35">
      <c r="I228" s="42">
        <f t="shared" si="40"/>
        <v>0</v>
      </c>
      <c r="J228" s="65" t="e">
        <f t="shared" si="41"/>
        <v>#NUM!</v>
      </c>
      <c r="K228" s="83" t="e">
        <f t="shared" si="42"/>
        <v>#NUM!</v>
      </c>
      <c r="L228" s="83">
        <f t="shared" si="43"/>
        <v>0</v>
      </c>
      <c r="M228" s="110" t="str">
        <f t="shared" si="44"/>
        <v/>
      </c>
      <c r="N228" s="51" t="str">
        <f t="shared" si="45"/>
        <v/>
      </c>
      <c r="O228" s="52" t="str">
        <f t="shared" si="46"/>
        <v/>
      </c>
      <c r="P228" s="88">
        <f t="shared" si="47"/>
        <v>0</v>
      </c>
      <c r="Q228" s="88">
        <f t="shared" si="48"/>
        <v>0</v>
      </c>
      <c r="R228" s="88" t="e">
        <f>-IF(Tabla14[[#This Row],[DIAS HABILES O MORA]]&lt;0,(Tabla14[[#This Row],[VALOR PRESTAMO]]*Tabla14[[#This Row],[% INTERES ]]/30*U228))+Tabla14[[#This Row],[VALOR CUOTAS]]</f>
        <v>#VALUE!</v>
      </c>
      <c r="S228" s="88">
        <f>-IF(Tabla14[[#This Row],[DIAS HABILES O MORA]]&lt;0,(Tabla14[[#This Row],[VALOR PRESTAMO]]*Tabla14[[#This Row],[% INTERES ]]/30*U228))</f>
        <v>0</v>
      </c>
      <c r="T228" s="53" t="e">
        <f>Tabla14[[#This Row],[DEUDA CAPITAL]]+Tabla14[[#This Row],[INTERES  CUOTA]]</f>
        <v>#NUM!</v>
      </c>
      <c r="U228" s="61" t="str">
        <f t="shared" si="49"/>
        <v/>
      </c>
    </row>
    <row r="229" spans="9:21" ht="24.75" customHeight="1" x14ac:dyDescent="0.35">
      <c r="I229" s="42">
        <f t="shared" si="40"/>
        <v>0</v>
      </c>
      <c r="J229" s="65" t="e">
        <f t="shared" si="41"/>
        <v>#NUM!</v>
      </c>
      <c r="K229" s="83" t="e">
        <f t="shared" si="42"/>
        <v>#NUM!</v>
      </c>
      <c r="L229" s="83">
        <f t="shared" si="43"/>
        <v>0</v>
      </c>
      <c r="M229" s="110" t="str">
        <f t="shared" si="44"/>
        <v/>
      </c>
      <c r="N229" s="51" t="str">
        <f t="shared" si="45"/>
        <v/>
      </c>
      <c r="O229" s="52" t="str">
        <f t="shared" si="46"/>
        <v/>
      </c>
      <c r="P229" s="88">
        <f t="shared" si="47"/>
        <v>0</v>
      </c>
      <c r="Q229" s="88">
        <f t="shared" si="48"/>
        <v>0</v>
      </c>
      <c r="R229" s="88" t="e">
        <f>-IF(Tabla14[[#This Row],[DIAS HABILES O MORA]]&lt;0,(Tabla14[[#This Row],[VALOR PRESTAMO]]*Tabla14[[#This Row],[% INTERES ]]/30*U229))+Tabla14[[#This Row],[VALOR CUOTAS]]</f>
        <v>#VALUE!</v>
      </c>
      <c r="S229" s="88">
        <f>-IF(Tabla14[[#This Row],[DIAS HABILES O MORA]]&lt;0,(Tabla14[[#This Row],[VALOR PRESTAMO]]*Tabla14[[#This Row],[% INTERES ]]/30*U229))</f>
        <v>0</v>
      </c>
      <c r="T229" s="53" t="e">
        <f>Tabla14[[#This Row],[DEUDA CAPITAL]]+Tabla14[[#This Row],[INTERES  CUOTA]]</f>
        <v>#NUM!</v>
      </c>
      <c r="U229" s="61" t="str">
        <f t="shared" si="49"/>
        <v/>
      </c>
    </row>
    <row r="230" spans="9:21" ht="24.75" customHeight="1" x14ac:dyDescent="0.35">
      <c r="I230" s="42">
        <f t="shared" si="40"/>
        <v>0</v>
      </c>
      <c r="J230" s="65" t="e">
        <f t="shared" si="41"/>
        <v>#NUM!</v>
      </c>
      <c r="K230" s="83" t="e">
        <f t="shared" si="42"/>
        <v>#NUM!</v>
      </c>
      <c r="L230" s="83">
        <f t="shared" si="43"/>
        <v>0</v>
      </c>
      <c r="M230" s="110" t="str">
        <f t="shared" si="44"/>
        <v/>
      </c>
      <c r="N230" s="51" t="str">
        <f t="shared" si="45"/>
        <v/>
      </c>
      <c r="O230" s="52" t="str">
        <f t="shared" si="46"/>
        <v/>
      </c>
      <c r="P230" s="88">
        <f t="shared" si="47"/>
        <v>0</v>
      </c>
      <c r="Q230" s="88">
        <f t="shared" si="48"/>
        <v>0</v>
      </c>
      <c r="R230" s="88" t="e">
        <f>-IF(Tabla14[[#This Row],[DIAS HABILES O MORA]]&lt;0,(Tabla14[[#This Row],[VALOR PRESTAMO]]*Tabla14[[#This Row],[% INTERES ]]/30*U230))+Tabla14[[#This Row],[VALOR CUOTAS]]</f>
        <v>#VALUE!</v>
      </c>
      <c r="S230" s="88">
        <f>-IF(Tabla14[[#This Row],[DIAS HABILES O MORA]]&lt;0,(Tabla14[[#This Row],[VALOR PRESTAMO]]*Tabla14[[#This Row],[% INTERES ]]/30*U230))</f>
        <v>0</v>
      </c>
      <c r="T230" s="53" t="e">
        <f>Tabla14[[#This Row],[DEUDA CAPITAL]]+Tabla14[[#This Row],[INTERES  CUOTA]]</f>
        <v>#NUM!</v>
      </c>
      <c r="U230" s="61" t="str">
        <f t="shared" si="49"/>
        <v/>
      </c>
    </row>
    <row r="231" spans="9:21" ht="24.75" customHeight="1" x14ac:dyDescent="0.35">
      <c r="I231" s="42">
        <f t="shared" si="40"/>
        <v>0</v>
      </c>
      <c r="J231" s="65" t="e">
        <f t="shared" si="41"/>
        <v>#NUM!</v>
      </c>
      <c r="K231" s="83" t="e">
        <f t="shared" si="42"/>
        <v>#NUM!</v>
      </c>
      <c r="L231" s="83">
        <f t="shared" si="43"/>
        <v>0</v>
      </c>
      <c r="M231" s="110" t="str">
        <f t="shared" si="44"/>
        <v/>
      </c>
      <c r="N231" s="51" t="str">
        <f t="shared" si="45"/>
        <v/>
      </c>
      <c r="O231" s="52" t="str">
        <f t="shared" si="46"/>
        <v/>
      </c>
      <c r="P231" s="88">
        <f t="shared" si="47"/>
        <v>0</v>
      </c>
      <c r="Q231" s="88">
        <f t="shared" si="48"/>
        <v>0</v>
      </c>
      <c r="R231" s="88" t="e">
        <f>-IF(Tabla14[[#This Row],[DIAS HABILES O MORA]]&lt;0,(Tabla14[[#This Row],[VALOR PRESTAMO]]*Tabla14[[#This Row],[% INTERES ]]/30*U231))+Tabla14[[#This Row],[VALOR CUOTAS]]</f>
        <v>#VALUE!</v>
      </c>
      <c r="S231" s="88">
        <f>-IF(Tabla14[[#This Row],[DIAS HABILES O MORA]]&lt;0,(Tabla14[[#This Row],[VALOR PRESTAMO]]*Tabla14[[#This Row],[% INTERES ]]/30*U231))</f>
        <v>0</v>
      </c>
      <c r="T231" s="53" t="e">
        <f>Tabla14[[#This Row],[DEUDA CAPITAL]]+Tabla14[[#This Row],[INTERES  CUOTA]]</f>
        <v>#NUM!</v>
      </c>
      <c r="U231" s="61" t="str">
        <f t="shared" si="49"/>
        <v/>
      </c>
    </row>
    <row r="232" spans="9:21" ht="24.75" customHeight="1" x14ac:dyDescent="0.35">
      <c r="I232" s="42">
        <f t="shared" si="40"/>
        <v>0</v>
      </c>
      <c r="J232" s="65" t="e">
        <f t="shared" si="41"/>
        <v>#NUM!</v>
      </c>
      <c r="K232" s="83" t="e">
        <f t="shared" si="42"/>
        <v>#NUM!</v>
      </c>
      <c r="L232" s="83">
        <f t="shared" si="43"/>
        <v>0</v>
      </c>
      <c r="M232" s="110" t="str">
        <f t="shared" si="44"/>
        <v/>
      </c>
      <c r="N232" s="51" t="str">
        <f t="shared" si="45"/>
        <v/>
      </c>
      <c r="O232" s="52" t="str">
        <f t="shared" si="46"/>
        <v/>
      </c>
      <c r="P232" s="88">
        <f t="shared" si="47"/>
        <v>0</v>
      </c>
      <c r="Q232" s="88">
        <f t="shared" si="48"/>
        <v>0</v>
      </c>
      <c r="R232" s="88" t="e">
        <f>-IF(Tabla14[[#This Row],[DIAS HABILES O MORA]]&lt;0,(Tabla14[[#This Row],[VALOR PRESTAMO]]*Tabla14[[#This Row],[% INTERES ]]/30*U232))+Tabla14[[#This Row],[VALOR CUOTAS]]</f>
        <v>#VALUE!</v>
      </c>
      <c r="S232" s="88">
        <f>-IF(Tabla14[[#This Row],[DIAS HABILES O MORA]]&lt;0,(Tabla14[[#This Row],[VALOR PRESTAMO]]*Tabla14[[#This Row],[% INTERES ]]/30*U232))</f>
        <v>0</v>
      </c>
      <c r="T232" s="53" t="e">
        <f>Tabla14[[#This Row],[DEUDA CAPITAL]]+Tabla14[[#This Row],[INTERES  CUOTA]]</f>
        <v>#NUM!</v>
      </c>
      <c r="U232" s="61" t="str">
        <f t="shared" si="49"/>
        <v/>
      </c>
    </row>
    <row r="233" spans="9:21" ht="24.75" customHeight="1" x14ac:dyDescent="0.35">
      <c r="I233" s="42">
        <f t="shared" si="40"/>
        <v>0</v>
      </c>
      <c r="J233" s="65" t="e">
        <f t="shared" si="41"/>
        <v>#NUM!</v>
      </c>
      <c r="K233" s="83" t="e">
        <f t="shared" si="42"/>
        <v>#NUM!</v>
      </c>
      <c r="L233" s="83">
        <f t="shared" si="43"/>
        <v>0</v>
      </c>
      <c r="M233" s="110" t="str">
        <f t="shared" si="44"/>
        <v/>
      </c>
      <c r="N233" s="51" t="str">
        <f t="shared" si="45"/>
        <v/>
      </c>
      <c r="O233" s="52" t="str">
        <f t="shared" si="46"/>
        <v/>
      </c>
      <c r="P233" s="88">
        <f t="shared" si="47"/>
        <v>0</v>
      </c>
      <c r="Q233" s="88">
        <f t="shared" si="48"/>
        <v>0</v>
      </c>
      <c r="R233" s="88" t="e">
        <f>-IF(Tabla14[[#This Row],[DIAS HABILES O MORA]]&lt;0,(Tabla14[[#This Row],[VALOR PRESTAMO]]*Tabla14[[#This Row],[% INTERES ]]/30*U233))+Tabla14[[#This Row],[VALOR CUOTAS]]</f>
        <v>#VALUE!</v>
      </c>
      <c r="S233" s="88">
        <f>-IF(Tabla14[[#This Row],[DIAS HABILES O MORA]]&lt;0,(Tabla14[[#This Row],[VALOR PRESTAMO]]*Tabla14[[#This Row],[% INTERES ]]/30*U233))</f>
        <v>0</v>
      </c>
      <c r="T233" s="53" t="e">
        <f>Tabla14[[#This Row],[DEUDA CAPITAL]]+Tabla14[[#This Row],[INTERES  CUOTA]]</f>
        <v>#NUM!</v>
      </c>
      <c r="U233" s="61" t="str">
        <f t="shared" si="49"/>
        <v/>
      </c>
    </row>
    <row r="234" spans="9:21" ht="24.75" customHeight="1" x14ac:dyDescent="0.35">
      <c r="I234" s="42">
        <f t="shared" si="40"/>
        <v>0</v>
      </c>
      <c r="J234" s="65" t="e">
        <f t="shared" si="41"/>
        <v>#NUM!</v>
      </c>
      <c r="K234" s="83" t="e">
        <f t="shared" si="42"/>
        <v>#NUM!</v>
      </c>
      <c r="L234" s="83">
        <f t="shared" si="43"/>
        <v>0</v>
      </c>
      <c r="M234" s="110" t="str">
        <f t="shared" si="44"/>
        <v/>
      </c>
      <c r="N234" s="51" t="str">
        <f t="shared" si="45"/>
        <v/>
      </c>
      <c r="O234" s="52" t="str">
        <f t="shared" si="46"/>
        <v/>
      </c>
      <c r="P234" s="88">
        <f t="shared" si="47"/>
        <v>0</v>
      </c>
      <c r="Q234" s="88">
        <f t="shared" si="48"/>
        <v>0</v>
      </c>
      <c r="R234" s="88" t="e">
        <f>-IF(Tabla14[[#This Row],[DIAS HABILES O MORA]]&lt;0,(Tabla14[[#This Row],[VALOR PRESTAMO]]*Tabla14[[#This Row],[% INTERES ]]/30*U234))+Tabla14[[#This Row],[VALOR CUOTAS]]</f>
        <v>#VALUE!</v>
      </c>
      <c r="S234" s="88">
        <f>-IF(Tabla14[[#This Row],[DIAS HABILES O MORA]]&lt;0,(Tabla14[[#This Row],[VALOR PRESTAMO]]*Tabla14[[#This Row],[% INTERES ]]/30*U234))</f>
        <v>0</v>
      </c>
      <c r="T234" s="53" t="e">
        <f>Tabla14[[#This Row],[DEUDA CAPITAL]]+Tabla14[[#This Row],[INTERES  CUOTA]]</f>
        <v>#NUM!</v>
      </c>
      <c r="U234" s="61" t="str">
        <f t="shared" si="49"/>
        <v/>
      </c>
    </row>
    <row r="235" spans="9:21" ht="24.75" customHeight="1" x14ac:dyDescent="0.35">
      <c r="I235" s="42">
        <f t="shared" si="40"/>
        <v>0</v>
      </c>
      <c r="J235" s="65" t="e">
        <f t="shared" si="41"/>
        <v>#NUM!</v>
      </c>
      <c r="K235" s="83" t="e">
        <f t="shared" si="42"/>
        <v>#NUM!</v>
      </c>
      <c r="L235" s="83">
        <f t="shared" si="43"/>
        <v>0</v>
      </c>
      <c r="M235" s="110" t="str">
        <f t="shared" si="44"/>
        <v/>
      </c>
      <c r="N235" s="51" t="str">
        <f t="shared" si="45"/>
        <v/>
      </c>
      <c r="O235" s="52" t="str">
        <f t="shared" si="46"/>
        <v/>
      </c>
      <c r="P235" s="88">
        <f t="shared" si="47"/>
        <v>0</v>
      </c>
      <c r="Q235" s="88">
        <f t="shared" si="48"/>
        <v>0</v>
      </c>
      <c r="R235" s="88" t="e">
        <f>-IF(Tabla14[[#This Row],[DIAS HABILES O MORA]]&lt;0,(Tabla14[[#This Row],[VALOR PRESTAMO]]*Tabla14[[#This Row],[% INTERES ]]/30*U235))+Tabla14[[#This Row],[VALOR CUOTAS]]</f>
        <v>#VALUE!</v>
      </c>
      <c r="S235" s="88">
        <f>-IF(Tabla14[[#This Row],[DIAS HABILES O MORA]]&lt;0,(Tabla14[[#This Row],[VALOR PRESTAMO]]*Tabla14[[#This Row],[% INTERES ]]/30*U235))</f>
        <v>0</v>
      </c>
      <c r="T235" s="53" t="e">
        <f>Tabla14[[#This Row],[DEUDA CAPITAL]]+Tabla14[[#This Row],[INTERES  CUOTA]]</f>
        <v>#NUM!</v>
      </c>
      <c r="U235" s="61" t="str">
        <f t="shared" si="49"/>
        <v/>
      </c>
    </row>
    <row r="236" spans="9:21" ht="24.75" customHeight="1" x14ac:dyDescent="0.35">
      <c r="I236" s="42">
        <f t="shared" si="40"/>
        <v>0</v>
      </c>
      <c r="J236" s="65" t="e">
        <f t="shared" si="41"/>
        <v>#NUM!</v>
      </c>
      <c r="K236" s="83" t="e">
        <f t="shared" si="42"/>
        <v>#NUM!</v>
      </c>
      <c r="L236" s="83">
        <f t="shared" si="43"/>
        <v>0</v>
      </c>
      <c r="M236" s="110" t="str">
        <f t="shared" si="44"/>
        <v/>
      </c>
      <c r="N236" s="51" t="str">
        <f t="shared" si="45"/>
        <v/>
      </c>
      <c r="O236" s="52" t="str">
        <f t="shared" si="46"/>
        <v/>
      </c>
      <c r="P236" s="88">
        <f t="shared" si="47"/>
        <v>0</v>
      </c>
      <c r="Q236" s="88">
        <f t="shared" si="48"/>
        <v>0</v>
      </c>
      <c r="R236" s="88" t="e">
        <f>-IF(Tabla14[[#This Row],[DIAS HABILES O MORA]]&lt;0,(Tabla14[[#This Row],[VALOR PRESTAMO]]*Tabla14[[#This Row],[% INTERES ]]/30*U236))+Tabla14[[#This Row],[VALOR CUOTAS]]</f>
        <v>#VALUE!</v>
      </c>
      <c r="S236" s="88">
        <f>-IF(Tabla14[[#This Row],[DIAS HABILES O MORA]]&lt;0,(Tabla14[[#This Row],[VALOR PRESTAMO]]*Tabla14[[#This Row],[% INTERES ]]/30*U236))</f>
        <v>0</v>
      </c>
      <c r="T236" s="53" t="e">
        <f>Tabla14[[#This Row],[DEUDA CAPITAL]]+Tabla14[[#This Row],[INTERES  CUOTA]]</f>
        <v>#NUM!</v>
      </c>
      <c r="U236" s="61" t="str">
        <f t="shared" si="49"/>
        <v/>
      </c>
    </row>
    <row r="237" spans="9:21" ht="24.75" customHeight="1" x14ac:dyDescent="0.35">
      <c r="I237" s="42">
        <f t="shared" si="40"/>
        <v>0</v>
      </c>
      <c r="J237" s="65" t="e">
        <f t="shared" si="41"/>
        <v>#NUM!</v>
      </c>
      <c r="K237" s="83" t="e">
        <f t="shared" si="42"/>
        <v>#NUM!</v>
      </c>
      <c r="L237" s="83">
        <f t="shared" si="43"/>
        <v>0</v>
      </c>
      <c r="M237" s="110" t="str">
        <f t="shared" si="44"/>
        <v/>
      </c>
      <c r="N237" s="51" t="str">
        <f t="shared" si="45"/>
        <v/>
      </c>
      <c r="O237" s="52" t="str">
        <f t="shared" si="46"/>
        <v/>
      </c>
      <c r="P237" s="88">
        <f t="shared" si="47"/>
        <v>0</v>
      </c>
      <c r="Q237" s="88">
        <f t="shared" si="48"/>
        <v>0</v>
      </c>
      <c r="R237" s="88" t="e">
        <f>-IF(Tabla14[[#This Row],[DIAS HABILES O MORA]]&lt;0,(Tabla14[[#This Row],[VALOR PRESTAMO]]*Tabla14[[#This Row],[% INTERES ]]/30*U237))+Tabla14[[#This Row],[VALOR CUOTAS]]</f>
        <v>#VALUE!</v>
      </c>
      <c r="S237" s="88">
        <f>-IF(Tabla14[[#This Row],[DIAS HABILES O MORA]]&lt;0,(Tabla14[[#This Row],[VALOR PRESTAMO]]*Tabla14[[#This Row],[% INTERES ]]/30*U237))</f>
        <v>0</v>
      </c>
      <c r="T237" s="53" t="e">
        <f>Tabla14[[#This Row],[DEUDA CAPITAL]]+Tabla14[[#This Row],[INTERES  CUOTA]]</f>
        <v>#NUM!</v>
      </c>
      <c r="U237" s="61" t="str">
        <f t="shared" si="49"/>
        <v/>
      </c>
    </row>
    <row r="238" spans="9:21" ht="24.75" customHeight="1" x14ac:dyDescent="0.35">
      <c r="I238" s="42">
        <f t="shared" si="40"/>
        <v>0</v>
      </c>
      <c r="J238" s="65" t="e">
        <f t="shared" si="41"/>
        <v>#NUM!</v>
      </c>
      <c r="K238" s="83" t="e">
        <f t="shared" si="42"/>
        <v>#NUM!</v>
      </c>
      <c r="L238" s="83">
        <f t="shared" si="43"/>
        <v>0</v>
      </c>
      <c r="M238" s="110" t="str">
        <f t="shared" si="44"/>
        <v/>
      </c>
      <c r="N238" s="51" t="str">
        <f t="shared" si="45"/>
        <v/>
      </c>
      <c r="O238" s="52" t="str">
        <f t="shared" si="46"/>
        <v/>
      </c>
      <c r="P238" s="88">
        <f t="shared" si="47"/>
        <v>0</v>
      </c>
      <c r="Q238" s="88">
        <f t="shared" si="48"/>
        <v>0</v>
      </c>
      <c r="R238" s="88" t="e">
        <f>-IF(Tabla14[[#This Row],[DIAS HABILES O MORA]]&lt;0,(Tabla14[[#This Row],[VALOR PRESTAMO]]*Tabla14[[#This Row],[% INTERES ]]/30*U238))+Tabla14[[#This Row],[VALOR CUOTAS]]</f>
        <v>#VALUE!</v>
      </c>
      <c r="S238" s="88">
        <f>-IF(Tabla14[[#This Row],[DIAS HABILES O MORA]]&lt;0,(Tabla14[[#This Row],[VALOR PRESTAMO]]*Tabla14[[#This Row],[% INTERES ]]/30*U238))</f>
        <v>0</v>
      </c>
      <c r="T238" s="53" t="e">
        <f>Tabla14[[#This Row],[DEUDA CAPITAL]]+Tabla14[[#This Row],[INTERES  CUOTA]]</f>
        <v>#NUM!</v>
      </c>
      <c r="U238" s="61" t="str">
        <f t="shared" si="49"/>
        <v/>
      </c>
    </row>
    <row r="239" spans="9:21" ht="24.75" customHeight="1" x14ac:dyDescent="0.35">
      <c r="I239" s="42">
        <f t="shared" si="40"/>
        <v>0</v>
      </c>
      <c r="J239" s="65" t="e">
        <f t="shared" si="41"/>
        <v>#NUM!</v>
      </c>
      <c r="K239" s="83" t="e">
        <f t="shared" si="42"/>
        <v>#NUM!</v>
      </c>
      <c r="L239" s="83">
        <f t="shared" si="43"/>
        <v>0</v>
      </c>
      <c r="M239" s="110" t="str">
        <f t="shared" si="44"/>
        <v/>
      </c>
      <c r="N239" s="51" t="str">
        <f t="shared" si="45"/>
        <v/>
      </c>
      <c r="O239" s="52" t="str">
        <f t="shared" si="46"/>
        <v/>
      </c>
      <c r="P239" s="88">
        <f t="shared" si="47"/>
        <v>0</v>
      </c>
      <c r="Q239" s="88">
        <f t="shared" si="48"/>
        <v>0</v>
      </c>
      <c r="R239" s="88" t="e">
        <f>-IF(Tabla14[[#This Row],[DIAS HABILES O MORA]]&lt;0,(Tabla14[[#This Row],[VALOR PRESTAMO]]*Tabla14[[#This Row],[% INTERES ]]/30*U239))+Tabla14[[#This Row],[VALOR CUOTAS]]</f>
        <v>#VALUE!</v>
      </c>
      <c r="S239" s="88">
        <f>-IF(Tabla14[[#This Row],[DIAS HABILES O MORA]]&lt;0,(Tabla14[[#This Row],[VALOR PRESTAMO]]*Tabla14[[#This Row],[% INTERES ]]/30*U239))</f>
        <v>0</v>
      </c>
      <c r="T239" s="53" t="e">
        <f>Tabla14[[#This Row],[DEUDA CAPITAL]]+Tabla14[[#This Row],[INTERES  CUOTA]]</f>
        <v>#NUM!</v>
      </c>
      <c r="U239" s="61" t="str">
        <f t="shared" si="49"/>
        <v/>
      </c>
    </row>
    <row r="240" spans="9:21" ht="24.75" customHeight="1" x14ac:dyDescent="0.35">
      <c r="I240" s="42">
        <f t="shared" si="40"/>
        <v>0</v>
      </c>
      <c r="J240" s="65" t="e">
        <f t="shared" si="41"/>
        <v>#NUM!</v>
      </c>
      <c r="K240" s="83" t="e">
        <f t="shared" si="42"/>
        <v>#NUM!</v>
      </c>
      <c r="L240" s="83">
        <f t="shared" si="43"/>
        <v>0</v>
      </c>
      <c r="M240" s="110" t="str">
        <f t="shared" si="44"/>
        <v/>
      </c>
      <c r="N240" s="51" t="str">
        <f t="shared" si="45"/>
        <v/>
      </c>
      <c r="O240" s="52" t="str">
        <f t="shared" si="46"/>
        <v/>
      </c>
      <c r="P240" s="88">
        <f t="shared" si="47"/>
        <v>0</v>
      </c>
      <c r="Q240" s="88">
        <f t="shared" si="48"/>
        <v>0</v>
      </c>
      <c r="R240" s="88" t="e">
        <f>-IF(Tabla14[[#This Row],[DIAS HABILES O MORA]]&lt;0,(Tabla14[[#This Row],[VALOR PRESTAMO]]*Tabla14[[#This Row],[% INTERES ]]/30*U240))+Tabla14[[#This Row],[VALOR CUOTAS]]</f>
        <v>#VALUE!</v>
      </c>
      <c r="S240" s="88">
        <f>-IF(Tabla14[[#This Row],[DIAS HABILES O MORA]]&lt;0,(Tabla14[[#This Row],[VALOR PRESTAMO]]*Tabla14[[#This Row],[% INTERES ]]/30*U240))</f>
        <v>0</v>
      </c>
      <c r="T240" s="53" t="e">
        <f>Tabla14[[#This Row],[DEUDA CAPITAL]]+Tabla14[[#This Row],[INTERES  CUOTA]]</f>
        <v>#NUM!</v>
      </c>
      <c r="U240" s="61" t="str">
        <f t="shared" si="49"/>
        <v/>
      </c>
    </row>
    <row r="241" spans="9:21" ht="24.75" customHeight="1" x14ac:dyDescent="0.35">
      <c r="I241" s="42">
        <f t="shared" si="40"/>
        <v>0</v>
      </c>
      <c r="J241" s="65" t="e">
        <f t="shared" si="41"/>
        <v>#NUM!</v>
      </c>
      <c r="K241" s="83" t="e">
        <f t="shared" si="42"/>
        <v>#NUM!</v>
      </c>
      <c r="L241" s="83">
        <f t="shared" si="43"/>
        <v>0</v>
      </c>
      <c r="M241" s="110" t="str">
        <f t="shared" si="44"/>
        <v/>
      </c>
      <c r="N241" s="51" t="str">
        <f t="shared" si="45"/>
        <v/>
      </c>
      <c r="O241" s="52" t="str">
        <f t="shared" si="46"/>
        <v/>
      </c>
      <c r="P241" s="88">
        <f t="shared" si="47"/>
        <v>0</v>
      </c>
      <c r="Q241" s="88">
        <f t="shared" si="48"/>
        <v>0</v>
      </c>
      <c r="R241" s="88" t="e">
        <f>-IF(Tabla14[[#This Row],[DIAS HABILES O MORA]]&lt;0,(Tabla14[[#This Row],[VALOR PRESTAMO]]*Tabla14[[#This Row],[% INTERES ]]/30*U241))+Tabla14[[#This Row],[VALOR CUOTAS]]</f>
        <v>#VALUE!</v>
      </c>
      <c r="S241" s="88">
        <f>-IF(Tabla14[[#This Row],[DIAS HABILES O MORA]]&lt;0,(Tabla14[[#This Row],[VALOR PRESTAMO]]*Tabla14[[#This Row],[% INTERES ]]/30*U241))</f>
        <v>0</v>
      </c>
      <c r="T241" s="53" t="e">
        <f>Tabla14[[#This Row],[DEUDA CAPITAL]]+Tabla14[[#This Row],[INTERES  CUOTA]]</f>
        <v>#NUM!</v>
      </c>
      <c r="U241" s="61" t="str">
        <f t="shared" si="49"/>
        <v/>
      </c>
    </row>
    <row r="242" spans="9:21" ht="24.75" customHeight="1" x14ac:dyDescent="0.35">
      <c r="I242" s="42">
        <f t="shared" si="40"/>
        <v>0</v>
      </c>
      <c r="J242" s="65" t="e">
        <f t="shared" si="41"/>
        <v>#NUM!</v>
      </c>
      <c r="K242" s="83" t="e">
        <f t="shared" si="42"/>
        <v>#NUM!</v>
      </c>
      <c r="L242" s="83">
        <f t="shared" si="43"/>
        <v>0</v>
      </c>
      <c r="M242" s="110" t="str">
        <f t="shared" si="44"/>
        <v/>
      </c>
      <c r="N242" s="51" t="str">
        <f t="shared" si="45"/>
        <v/>
      </c>
      <c r="O242" s="52" t="str">
        <f t="shared" si="46"/>
        <v/>
      </c>
      <c r="P242" s="88">
        <f t="shared" si="47"/>
        <v>0</v>
      </c>
      <c r="Q242" s="88">
        <f t="shared" si="48"/>
        <v>0</v>
      </c>
      <c r="R242" s="88" t="e">
        <f>-IF(Tabla14[[#This Row],[DIAS HABILES O MORA]]&lt;0,(Tabla14[[#This Row],[VALOR PRESTAMO]]*Tabla14[[#This Row],[% INTERES ]]/30*U242))+Tabla14[[#This Row],[VALOR CUOTAS]]</f>
        <v>#VALUE!</v>
      </c>
      <c r="S242" s="88">
        <f>-IF(Tabla14[[#This Row],[DIAS HABILES O MORA]]&lt;0,(Tabla14[[#This Row],[VALOR PRESTAMO]]*Tabla14[[#This Row],[% INTERES ]]/30*U242))</f>
        <v>0</v>
      </c>
      <c r="T242" s="53" t="e">
        <f>Tabla14[[#This Row],[DEUDA CAPITAL]]+Tabla14[[#This Row],[INTERES  CUOTA]]</f>
        <v>#NUM!</v>
      </c>
      <c r="U242" s="61" t="str">
        <f t="shared" si="49"/>
        <v/>
      </c>
    </row>
    <row r="243" spans="9:21" ht="24.75" customHeight="1" x14ac:dyDescent="0.35">
      <c r="I243" s="42">
        <f t="shared" si="40"/>
        <v>0</v>
      </c>
      <c r="J243" s="65" t="e">
        <f t="shared" si="41"/>
        <v>#NUM!</v>
      </c>
      <c r="K243" s="83" t="e">
        <f t="shared" si="42"/>
        <v>#NUM!</v>
      </c>
      <c r="L243" s="83">
        <f t="shared" si="43"/>
        <v>0</v>
      </c>
      <c r="M243" s="110" t="str">
        <f t="shared" si="44"/>
        <v/>
      </c>
      <c r="N243" s="51" t="str">
        <f t="shared" si="45"/>
        <v/>
      </c>
      <c r="O243" s="52" t="str">
        <f t="shared" si="46"/>
        <v/>
      </c>
      <c r="P243" s="88">
        <f t="shared" si="47"/>
        <v>0</v>
      </c>
      <c r="Q243" s="88">
        <f t="shared" si="48"/>
        <v>0</v>
      </c>
      <c r="R243" s="88" t="e">
        <f>-IF(Tabla14[[#This Row],[DIAS HABILES O MORA]]&lt;0,(Tabla14[[#This Row],[VALOR PRESTAMO]]*Tabla14[[#This Row],[% INTERES ]]/30*U243))+Tabla14[[#This Row],[VALOR CUOTAS]]</f>
        <v>#VALUE!</v>
      </c>
      <c r="S243" s="88">
        <f>-IF(Tabla14[[#This Row],[DIAS HABILES O MORA]]&lt;0,(Tabla14[[#This Row],[VALOR PRESTAMO]]*Tabla14[[#This Row],[% INTERES ]]/30*U243))</f>
        <v>0</v>
      </c>
      <c r="T243" s="53" t="e">
        <f>Tabla14[[#This Row],[DEUDA CAPITAL]]+Tabla14[[#This Row],[INTERES  CUOTA]]</f>
        <v>#NUM!</v>
      </c>
      <c r="U243" s="61" t="str">
        <f t="shared" si="49"/>
        <v/>
      </c>
    </row>
    <row r="244" spans="9:21" ht="24.75" customHeight="1" x14ac:dyDescent="0.35">
      <c r="I244" s="42">
        <f t="shared" si="40"/>
        <v>0</v>
      </c>
      <c r="J244" s="65" t="e">
        <f t="shared" si="41"/>
        <v>#NUM!</v>
      </c>
      <c r="K244" s="83" t="e">
        <f t="shared" si="42"/>
        <v>#NUM!</v>
      </c>
      <c r="L244" s="83">
        <f t="shared" si="43"/>
        <v>0</v>
      </c>
      <c r="M244" s="110" t="str">
        <f t="shared" si="44"/>
        <v/>
      </c>
      <c r="N244" s="51" t="str">
        <f t="shared" si="45"/>
        <v/>
      </c>
      <c r="O244" s="52" t="str">
        <f t="shared" si="46"/>
        <v/>
      </c>
      <c r="P244" s="88">
        <f t="shared" si="47"/>
        <v>0</v>
      </c>
      <c r="Q244" s="88">
        <f t="shared" si="48"/>
        <v>0</v>
      </c>
      <c r="R244" s="88" t="e">
        <f>-IF(Tabla14[[#This Row],[DIAS HABILES O MORA]]&lt;0,(Tabla14[[#This Row],[VALOR PRESTAMO]]*Tabla14[[#This Row],[% INTERES ]]/30*U244))+Tabla14[[#This Row],[VALOR CUOTAS]]</f>
        <v>#VALUE!</v>
      </c>
      <c r="S244" s="88">
        <f>-IF(Tabla14[[#This Row],[DIAS HABILES O MORA]]&lt;0,(Tabla14[[#This Row],[VALOR PRESTAMO]]*Tabla14[[#This Row],[% INTERES ]]/30*U244))</f>
        <v>0</v>
      </c>
      <c r="T244" s="53" t="e">
        <f>Tabla14[[#This Row],[DEUDA CAPITAL]]+Tabla14[[#This Row],[INTERES  CUOTA]]</f>
        <v>#NUM!</v>
      </c>
      <c r="U244" s="61" t="str">
        <f t="shared" si="49"/>
        <v/>
      </c>
    </row>
    <row r="245" spans="9:21" ht="24.75" customHeight="1" x14ac:dyDescent="0.35">
      <c r="I245" s="42">
        <f t="shared" si="40"/>
        <v>0</v>
      </c>
      <c r="J245" s="65" t="e">
        <f t="shared" si="41"/>
        <v>#NUM!</v>
      </c>
      <c r="K245" s="83" t="e">
        <f t="shared" si="42"/>
        <v>#NUM!</v>
      </c>
      <c r="L245" s="83">
        <f t="shared" si="43"/>
        <v>0</v>
      </c>
      <c r="M245" s="110" t="str">
        <f t="shared" si="44"/>
        <v/>
      </c>
      <c r="N245" s="51" t="str">
        <f t="shared" si="45"/>
        <v/>
      </c>
      <c r="O245" s="52" t="str">
        <f t="shared" si="46"/>
        <v/>
      </c>
      <c r="P245" s="88">
        <f t="shared" si="47"/>
        <v>0</v>
      </c>
      <c r="Q245" s="88">
        <f t="shared" si="48"/>
        <v>0</v>
      </c>
      <c r="R245" s="88" t="e">
        <f>-IF(Tabla14[[#This Row],[DIAS HABILES O MORA]]&lt;0,(Tabla14[[#This Row],[VALOR PRESTAMO]]*Tabla14[[#This Row],[% INTERES ]]/30*U245))+Tabla14[[#This Row],[VALOR CUOTAS]]</f>
        <v>#VALUE!</v>
      </c>
      <c r="S245" s="88">
        <f>-IF(Tabla14[[#This Row],[DIAS HABILES O MORA]]&lt;0,(Tabla14[[#This Row],[VALOR PRESTAMO]]*Tabla14[[#This Row],[% INTERES ]]/30*U245))</f>
        <v>0</v>
      </c>
      <c r="T245" s="53" t="e">
        <f>Tabla14[[#This Row],[DEUDA CAPITAL]]+Tabla14[[#This Row],[INTERES  CUOTA]]</f>
        <v>#NUM!</v>
      </c>
      <c r="U245" s="61" t="str">
        <f t="shared" si="49"/>
        <v/>
      </c>
    </row>
    <row r="246" spans="9:21" ht="24.75" customHeight="1" x14ac:dyDescent="0.35">
      <c r="I246" s="42">
        <f t="shared" si="40"/>
        <v>0</v>
      </c>
      <c r="J246" s="65" t="e">
        <f t="shared" si="41"/>
        <v>#NUM!</v>
      </c>
      <c r="K246" s="83" t="e">
        <f t="shared" si="42"/>
        <v>#NUM!</v>
      </c>
      <c r="L246" s="83">
        <f t="shared" si="43"/>
        <v>0</v>
      </c>
      <c r="M246" s="110" t="str">
        <f t="shared" si="44"/>
        <v/>
      </c>
      <c r="N246" s="51" t="str">
        <f t="shared" si="45"/>
        <v/>
      </c>
      <c r="O246" s="52" t="str">
        <f t="shared" si="46"/>
        <v/>
      </c>
      <c r="P246" s="88">
        <f t="shared" si="47"/>
        <v>0</v>
      </c>
      <c r="Q246" s="88">
        <f t="shared" si="48"/>
        <v>0</v>
      </c>
      <c r="R246" s="88" t="e">
        <f>-IF(Tabla14[[#This Row],[DIAS HABILES O MORA]]&lt;0,(Tabla14[[#This Row],[VALOR PRESTAMO]]*Tabla14[[#This Row],[% INTERES ]]/30*U246))+Tabla14[[#This Row],[VALOR CUOTAS]]</f>
        <v>#VALUE!</v>
      </c>
      <c r="S246" s="88">
        <f>-IF(Tabla14[[#This Row],[DIAS HABILES O MORA]]&lt;0,(Tabla14[[#This Row],[VALOR PRESTAMO]]*Tabla14[[#This Row],[% INTERES ]]/30*U246))</f>
        <v>0</v>
      </c>
      <c r="T246" s="53" t="e">
        <f>Tabla14[[#This Row],[DEUDA CAPITAL]]+Tabla14[[#This Row],[INTERES  CUOTA]]</f>
        <v>#NUM!</v>
      </c>
      <c r="U246" s="61" t="str">
        <f t="shared" si="49"/>
        <v/>
      </c>
    </row>
    <row r="247" spans="9:21" ht="24.75" customHeight="1" x14ac:dyDescent="0.35">
      <c r="I247" s="42">
        <f t="shared" si="40"/>
        <v>0</v>
      </c>
      <c r="J247" s="65" t="e">
        <f t="shared" si="41"/>
        <v>#NUM!</v>
      </c>
      <c r="K247" s="83" t="e">
        <f t="shared" si="42"/>
        <v>#NUM!</v>
      </c>
      <c r="L247" s="83">
        <f t="shared" si="43"/>
        <v>0</v>
      </c>
      <c r="M247" s="110" t="str">
        <f t="shared" si="44"/>
        <v/>
      </c>
      <c r="N247" s="51" t="str">
        <f t="shared" si="45"/>
        <v/>
      </c>
      <c r="O247" s="52" t="str">
        <f t="shared" si="46"/>
        <v/>
      </c>
      <c r="P247" s="88">
        <f t="shared" si="47"/>
        <v>0</v>
      </c>
      <c r="Q247" s="88">
        <f t="shared" si="48"/>
        <v>0</v>
      </c>
      <c r="R247" s="88" t="e">
        <f>-IF(Tabla14[[#This Row],[DIAS HABILES O MORA]]&lt;0,(Tabla14[[#This Row],[VALOR PRESTAMO]]*Tabla14[[#This Row],[% INTERES ]]/30*U247))+Tabla14[[#This Row],[VALOR CUOTAS]]</f>
        <v>#VALUE!</v>
      </c>
      <c r="S247" s="88">
        <f>-IF(Tabla14[[#This Row],[DIAS HABILES O MORA]]&lt;0,(Tabla14[[#This Row],[VALOR PRESTAMO]]*Tabla14[[#This Row],[% INTERES ]]/30*U247))</f>
        <v>0</v>
      </c>
      <c r="T247" s="53" t="e">
        <f>Tabla14[[#This Row],[DEUDA CAPITAL]]+Tabla14[[#This Row],[INTERES  CUOTA]]</f>
        <v>#NUM!</v>
      </c>
      <c r="U247" s="61" t="str">
        <f t="shared" si="49"/>
        <v/>
      </c>
    </row>
    <row r="248" spans="9:21" ht="24.75" customHeight="1" x14ac:dyDescent="0.35">
      <c r="I248" s="42">
        <f t="shared" si="40"/>
        <v>0</v>
      </c>
      <c r="J248" s="65" t="e">
        <f t="shared" si="41"/>
        <v>#NUM!</v>
      </c>
      <c r="K248" s="83" t="e">
        <f t="shared" si="42"/>
        <v>#NUM!</v>
      </c>
      <c r="L248" s="83">
        <f t="shared" si="43"/>
        <v>0</v>
      </c>
      <c r="M248" s="110" t="str">
        <f t="shared" si="44"/>
        <v/>
      </c>
      <c r="N248" s="51" t="str">
        <f t="shared" si="45"/>
        <v/>
      </c>
      <c r="O248" s="52" t="str">
        <f t="shared" si="46"/>
        <v/>
      </c>
      <c r="P248" s="88">
        <f t="shared" si="47"/>
        <v>0</v>
      </c>
      <c r="Q248" s="88">
        <f t="shared" si="48"/>
        <v>0</v>
      </c>
      <c r="R248" s="88" t="e">
        <f>-IF(Tabla14[[#This Row],[DIAS HABILES O MORA]]&lt;0,(Tabla14[[#This Row],[VALOR PRESTAMO]]*Tabla14[[#This Row],[% INTERES ]]/30*U248))+Tabla14[[#This Row],[VALOR CUOTAS]]</f>
        <v>#VALUE!</v>
      </c>
      <c r="S248" s="88">
        <f>-IF(Tabla14[[#This Row],[DIAS HABILES O MORA]]&lt;0,(Tabla14[[#This Row],[VALOR PRESTAMO]]*Tabla14[[#This Row],[% INTERES ]]/30*U248))</f>
        <v>0</v>
      </c>
      <c r="T248" s="53" t="e">
        <f>Tabla14[[#This Row],[DEUDA CAPITAL]]+Tabla14[[#This Row],[INTERES  CUOTA]]</f>
        <v>#NUM!</v>
      </c>
      <c r="U248" s="61" t="str">
        <f t="shared" si="49"/>
        <v/>
      </c>
    </row>
    <row r="249" spans="9:21" ht="24.75" customHeight="1" x14ac:dyDescent="0.35">
      <c r="I249" s="42">
        <f t="shared" si="40"/>
        <v>0</v>
      </c>
      <c r="J249" s="65" t="e">
        <f t="shared" si="41"/>
        <v>#NUM!</v>
      </c>
      <c r="K249" s="83" t="e">
        <f t="shared" si="42"/>
        <v>#NUM!</v>
      </c>
      <c r="L249" s="83">
        <f t="shared" si="43"/>
        <v>0</v>
      </c>
      <c r="M249" s="110" t="str">
        <f t="shared" si="44"/>
        <v/>
      </c>
      <c r="N249" s="51" t="str">
        <f t="shared" si="45"/>
        <v/>
      </c>
      <c r="O249" s="52" t="str">
        <f t="shared" si="46"/>
        <v/>
      </c>
      <c r="P249" s="88">
        <f t="shared" si="47"/>
        <v>0</v>
      </c>
      <c r="Q249" s="88">
        <f t="shared" si="48"/>
        <v>0</v>
      </c>
      <c r="R249" s="88" t="e">
        <f>-IF(Tabla14[[#This Row],[DIAS HABILES O MORA]]&lt;0,(Tabla14[[#This Row],[VALOR PRESTAMO]]*Tabla14[[#This Row],[% INTERES ]]/30*U249))+Tabla14[[#This Row],[VALOR CUOTAS]]</f>
        <v>#VALUE!</v>
      </c>
      <c r="S249" s="88">
        <f>-IF(Tabla14[[#This Row],[DIAS HABILES O MORA]]&lt;0,(Tabla14[[#This Row],[VALOR PRESTAMO]]*Tabla14[[#This Row],[% INTERES ]]/30*U249))</f>
        <v>0</v>
      </c>
      <c r="T249" s="53" t="e">
        <f>Tabla14[[#This Row],[DEUDA CAPITAL]]+Tabla14[[#This Row],[INTERES  CUOTA]]</f>
        <v>#NUM!</v>
      </c>
      <c r="U249" s="61" t="str">
        <f t="shared" si="49"/>
        <v/>
      </c>
    </row>
    <row r="250" spans="9:21" ht="24.75" customHeight="1" x14ac:dyDescent="0.35">
      <c r="I250" s="42">
        <f t="shared" si="40"/>
        <v>0</v>
      </c>
      <c r="J250" s="65" t="e">
        <f t="shared" si="41"/>
        <v>#NUM!</v>
      </c>
      <c r="K250" s="83" t="e">
        <f t="shared" si="42"/>
        <v>#NUM!</v>
      </c>
      <c r="L250" s="83">
        <f t="shared" si="43"/>
        <v>0</v>
      </c>
      <c r="M250" s="110" t="str">
        <f t="shared" si="44"/>
        <v/>
      </c>
      <c r="N250" s="51" t="str">
        <f t="shared" si="45"/>
        <v/>
      </c>
      <c r="O250" s="52" t="str">
        <f t="shared" si="46"/>
        <v/>
      </c>
      <c r="P250" s="88">
        <f t="shared" si="47"/>
        <v>0</v>
      </c>
      <c r="Q250" s="88">
        <f t="shared" si="48"/>
        <v>0</v>
      </c>
      <c r="R250" s="88" t="e">
        <f>-IF(Tabla14[[#This Row],[DIAS HABILES O MORA]]&lt;0,(Tabla14[[#This Row],[VALOR PRESTAMO]]*Tabla14[[#This Row],[% INTERES ]]/30*U250))+Tabla14[[#This Row],[VALOR CUOTAS]]</f>
        <v>#VALUE!</v>
      </c>
      <c r="S250" s="88">
        <f>-IF(Tabla14[[#This Row],[DIAS HABILES O MORA]]&lt;0,(Tabla14[[#This Row],[VALOR PRESTAMO]]*Tabla14[[#This Row],[% INTERES ]]/30*U250))</f>
        <v>0</v>
      </c>
      <c r="T250" s="53" t="e">
        <f>Tabla14[[#This Row],[DEUDA CAPITAL]]+Tabla14[[#This Row],[INTERES  CUOTA]]</f>
        <v>#NUM!</v>
      </c>
      <c r="U250" s="61" t="str">
        <f t="shared" si="49"/>
        <v/>
      </c>
    </row>
    <row r="251" spans="9:21" ht="24.75" customHeight="1" x14ac:dyDescent="0.35">
      <c r="I251" s="42">
        <f t="shared" si="40"/>
        <v>0</v>
      </c>
      <c r="J251" s="65" t="e">
        <f t="shared" si="41"/>
        <v>#NUM!</v>
      </c>
      <c r="K251" s="83" t="e">
        <f t="shared" si="42"/>
        <v>#NUM!</v>
      </c>
      <c r="L251" s="83">
        <f t="shared" si="43"/>
        <v>0</v>
      </c>
      <c r="M251" s="110" t="str">
        <f t="shared" si="44"/>
        <v/>
      </c>
      <c r="N251" s="51" t="str">
        <f t="shared" si="45"/>
        <v/>
      </c>
      <c r="O251" s="52" t="str">
        <f t="shared" si="46"/>
        <v/>
      </c>
      <c r="P251" s="88">
        <f t="shared" si="47"/>
        <v>0</v>
      </c>
      <c r="Q251" s="88">
        <f t="shared" si="48"/>
        <v>0</v>
      </c>
      <c r="R251" s="88" t="e">
        <f>-IF(Tabla14[[#This Row],[DIAS HABILES O MORA]]&lt;0,(Tabla14[[#This Row],[VALOR PRESTAMO]]*Tabla14[[#This Row],[% INTERES ]]/30*U251))+Tabla14[[#This Row],[VALOR CUOTAS]]</f>
        <v>#VALUE!</v>
      </c>
      <c r="S251" s="88">
        <f>-IF(Tabla14[[#This Row],[DIAS HABILES O MORA]]&lt;0,(Tabla14[[#This Row],[VALOR PRESTAMO]]*Tabla14[[#This Row],[% INTERES ]]/30*U251))</f>
        <v>0</v>
      </c>
      <c r="T251" s="53" t="e">
        <f>Tabla14[[#This Row],[DEUDA CAPITAL]]+Tabla14[[#This Row],[INTERES  CUOTA]]</f>
        <v>#NUM!</v>
      </c>
      <c r="U251" s="61" t="str">
        <f t="shared" si="49"/>
        <v/>
      </c>
    </row>
    <row r="252" spans="9:21" ht="24.75" customHeight="1" x14ac:dyDescent="0.35">
      <c r="I252" s="42">
        <f t="shared" si="40"/>
        <v>0</v>
      </c>
      <c r="J252" s="65" t="e">
        <f t="shared" si="41"/>
        <v>#NUM!</v>
      </c>
      <c r="K252" s="83" t="e">
        <f t="shared" si="42"/>
        <v>#NUM!</v>
      </c>
      <c r="L252" s="83">
        <f t="shared" si="43"/>
        <v>0</v>
      </c>
      <c r="M252" s="110" t="str">
        <f t="shared" si="44"/>
        <v/>
      </c>
      <c r="N252" s="51" t="str">
        <f t="shared" si="45"/>
        <v/>
      </c>
      <c r="O252" s="52" t="str">
        <f t="shared" si="46"/>
        <v/>
      </c>
      <c r="P252" s="88">
        <f t="shared" si="47"/>
        <v>0</v>
      </c>
      <c r="Q252" s="88">
        <f t="shared" si="48"/>
        <v>0</v>
      </c>
      <c r="R252" s="88" t="e">
        <f>-IF(Tabla14[[#This Row],[DIAS HABILES O MORA]]&lt;0,(Tabla14[[#This Row],[VALOR PRESTAMO]]*Tabla14[[#This Row],[% INTERES ]]/30*U252))+Tabla14[[#This Row],[VALOR CUOTAS]]</f>
        <v>#VALUE!</v>
      </c>
      <c r="S252" s="88">
        <f>-IF(Tabla14[[#This Row],[DIAS HABILES O MORA]]&lt;0,(Tabla14[[#This Row],[VALOR PRESTAMO]]*Tabla14[[#This Row],[% INTERES ]]/30*U252))</f>
        <v>0</v>
      </c>
      <c r="T252" s="53" t="e">
        <f>Tabla14[[#This Row],[DEUDA CAPITAL]]+Tabla14[[#This Row],[INTERES  CUOTA]]</f>
        <v>#NUM!</v>
      </c>
      <c r="U252" s="61" t="str">
        <f t="shared" si="49"/>
        <v/>
      </c>
    </row>
    <row r="253" spans="9:21" ht="24.75" customHeight="1" x14ac:dyDescent="0.35">
      <c r="I253" s="42">
        <f t="shared" si="40"/>
        <v>0</v>
      </c>
      <c r="J253" s="65" t="e">
        <f t="shared" si="41"/>
        <v>#NUM!</v>
      </c>
      <c r="K253" s="83" t="e">
        <f t="shared" si="42"/>
        <v>#NUM!</v>
      </c>
      <c r="L253" s="83">
        <f t="shared" si="43"/>
        <v>0</v>
      </c>
      <c r="M253" s="110" t="str">
        <f t="shared" si="44"/>
        <v/>
      </c>
      <c r="N253" s="51" t="str">
        <f t="shared" si="45"/>
        <v/>
      </c>
      <c r="O253" s="52" t="str">
        <f t="shared" si="46"/>
        <v/>
      </c>
      <c r="P253" s="88">
        <f t="shared" si="47"/>
        <v>0</v>
      </c>
      <c r="Q253" s="88">
        <f t="shared" si="48"/>
        <v>0</v>
      </c>
      <c r="R253" s="88" t="e">
        <f>-IF(Tabla14[[#This Row],[DIAS HABILES O MORA]]&lt;0,(Tabla14[[#This Row],[VALOR PRESTAMO]]*Tabla14[[#This Row],[% INTERES ]]/30*U253))+Tabla14[[#This Row],[VALOR CUOTAS]]</f>
        <v>#VALUE!</v>
      </c>
      <c r="S253" s="88">
        <f>-IF(Tabla14[[#This Row],[DIAS HABILES O MORA]]&lt;0,(Tabla14[[#This Row],[VALOR PRESTAMO]]*Tabla14[[#This Row],[% INTERES ]]/30*U253))</f>
        <v>0</v>
      </c>
      <c r="T253" s="53" t="e">
        <f>Tabla14[[#This Row],[DEUDA CAPITAL]]+Tabla14[[#This Row],[INTERES  CUOTA]]</f>
        <v>#NUM!</v>
      </c>
      <c r="U253" s="61" t="str">
        <f t="shared" si="49"/>
        <v/>
      </c>
    </row>
    <row r="254" spans="9:21" ht="24.75" customHeight="1" x14ac:dyDescent="0.35">
      <c r="I254" s="42">
        <f t="shared" si="40"/>
        <v>0</v>
      </c>
      <c r="J254" s="65" t="e">
        <f t="shared" si="41"/>
        <v>#NUM!</v>
      </c>
      <c r="K254" s="83" t="e">
        <f t="shared" si="42"/>
        <v>#NUM!</v>
      </c>
      <c r="L254" s="83">
        <f t="shared" si="43"/>
        <v>0</v>
      </c>
      <c r="M254" s="110" t="str">
        <f t="shared" si="44"/>
        <v/>
      </c>
      <c r="N254" s="51" t="str">
        <f t="shared" si="45"/>
        <v/>
      </c>
      <c r="O254" s="52" t="str">
        <f t="shared" si="46"/>
        <v/>
      </c>
      <c r="P254" s="88">
        <f t="shared" si="47"/>
        <v>0</v>
      </c>
      <c r="Q254" s="88">
        <f t="shared" si="48"/>
        <v>0</v>
      </c>
      <c r="R254" s="88" t="e">
        <f>-IF(Tabla14[[#This Row],[DIAS HABILES O MORA]]&lt;0,(Tabla14[[#This Row],[VALOR PRESTAMO]]*Tabla14[[#This Row],[% INTERES ]]/30*U254))+Tabla14[[#This Row],[VALOR CUOTAS]]</f>
        <v>#VALUE!</v>
      </c>
      <c r="S254" s="88">
        <f>-IF(Tabla14[[#This Row],[DIAS HABILES O MORA]]&lt;0,(Tabla14[[#This Row],[VALOR PRESTAMO]]*Tabla14[[#This Row],[% INTERES ]]/30*U254))</f>
        <v>0</v>
      </c>
      <c r="T254" s="53" t="e">
        <f>Tabla14[[#This Row],[DEUDA CAPITAL]]+Tabla14[[#This Row],[INTERES  CUOTA]]</f>
        <v>#NUM!</v>
      </c>
      <c r="U254" s="61" t="str">
        <f t="shared" si="49"/>
        <v/>
      </c>
    </row>
    <row r="255" spans="9:21" ht="24.75" customHeight="1" x14ac:dyDescent="0.35">
      <c r="I255" s="42">
        <f t="shared" si="40"/>
        <v>0</v>
      </c>
      <c r="J255" s="65" t="e">
        <f t="shared" si="41"/>
        <v>#NUM!</v>
      </c>
      <c r="K255" s="83" t="e">
        <f t="shared" si="42"/>
        <v>#NUM!</v>
      </c>
      <c r="L255" s="83">
        <f t="shared" si="43"/>
        <v>0</v>
      </c>
      <c r="M255" s="110" t="str">
        <f t="shared" si="44"/>
        <v/>
      </c>
      <c r="N255" s="51" t="str">
        <f t="shared" si="45"/>
        <v/>
      </c>
      <c r="O255" s="52" t="str">
        <f t="shared" si="46"/>
        <v/>
      </c>
      <c r="P255" s="88">
        <f t="shared" si="47"/>
        <v>0</v>
      </c>
      <c r="Q255" s="88">
        <f t="shared" si="48"/>
        <v>0</v>
      </c>
      <c r="R255" s="88" t="e">
        <f>-IF(Tabla14[[#This Row],[DIAS HABILES O MORA]]&lt;0,(Tabla14[[#This Row],[VALOR PRESTAMO]]*Tabla14[[#This Row],[% INTERES ]]/30*U255))+Tabla14[[#This Row],[VALOR CUOTAS]]</f>
        <v>#VALUE!</v>
      </c>
      <c r="S255" s="88">
        <f>-IF(Tabla14[[#This Row],[DIAS HABILES O MORA]]&lt;0,(Tabla14[[#This Row],[VALOR PRESTAMO]]*Tabla14[[#This Row],[% INTERES ]]/30*U255))</f>
        <v>0</v>
      </c>
      <c r="T255" s="53" t="e">
        <f>Tabla14[[#This Row],[DEUDA CAPITAL]]+Tabla14[[#This Row],[INTERES  CUOTA]]</f>
        <v>#NUM!</v>
      </c>
      <c r="U255" s="61" t="str">
        <f t="shared" si="49"/>
        <v/>
      </c>
    </row>
    <row r="256" spans="9:21" ht="24.75" customHeight="1" x14ac:dyDescent="0.35">
      <c r="I256" s="42">
        <f t="shared" si="40"/>
        <v>0</v>
      </c>
      <c r="J256" s="65" t="e">
        <f t="shared" si="41"/>
        <v>#NUM!</v>
      </c>
      <c r="K256" s="83" t="e">
        <f t="shared" si="42"/>
        <v>#NUM!</v>
      </c>
      <c r="L256" s="83">
        <f t="shared" si="43"/>
        <v>0</v>
      </c>
      <c r="M256" s="110" t="str">
        <f t="shared" si="44"/>
        <v/>
      </c>
      <c r="N256" s="51" t="str">
        <f t="shared" si="45"/>
        <v/>
      </c>
      <c r="O256" s="52" t="str">
        <f t="shared" si="46"/>
        <v/>
      </c>
      <c r="P256" s="88">
        <f t="shared" si="47"/>
        <v>0</v>
      </c>
      <c r="Q256" s="88">
        <f t="shared" si="48"/>
        <v>0</v>
      </c>
      <c r="R256" s="88" t="e">
        <f>-IF(Tabla14[[#This Row],[DIAS HABILES O MORA]]&lt;0,(Tabla14[[#This Row],[VALOR PRESTAMO]]*Tabla14[[#This Row],[% INTERES ]]/30*U256))+Tabla14[[#This Row],[VALOR CUOTAS]]</f>
        <v>#VALUE!</v>
      </c>
      <c r="S256" s="88">
        <f>-IF(Tabla14[[#This Row],[DIAS HABILES O MORA]]&lt;0,(Tabla14[[#This Row],[VALOR PRESTAMO]]*Tabla14[[#This Row],[% INTERES ]]/30*U256))</f>
        <v>0</v>
      </c>
      <c r="T256" s="53" t="e">
        <f>Tabla14[[#This Row],[DEUDA CAPITAL]]+Tabla14[[#This Row],[INTERES  CUOTA]]</f>
        <v>#NUM!</v>
      </c>
      <c r="U256" s="61" t="str">
        <f t="shared" si="49"/>
        <v/>
      </c>
    </row>
    <row r="257" spans="9:21" ht="24.75" customHeight="1" x14ac:dyDescent="0.35">
      <c r="I257" s="42">
        <f t="shared" si="40"/>
        <v>0</v>
      </c>
      <c r="J257" s="65" t="e">
        <f t="shared" si="41"/>
        <v>#NUM!</v>
      </c>
      <c r="K257" s="83" t="e">
        <f t="shared" si="42"/>
        <v>#NUM!</v>
      </c>
      <c r="L257" s="83">
        <f t="shared" si="43"/>
        <v>0</v>
      </c>
      <c r="M257" s="110" t="str">
        <f t="shared" si="44"/>
        <v/>
      </c>
      <c r="N257" s="51" t="str">
        <f t="shared" si="45"/>
        <v/>
      </c>
      <c r="O257" s="52" t="str">
        <f t="shared" si="46"/>
        <v/>
      </c>
      <c r="P257" s="88">
        <f t="shared" si="47"/>
        <v>0</v>
      </c>
      <c r="Q257" s="88">
        <f t="shared" si="48"/>
        <v>0</v>
      </c>
      <c r="R257" s="88" t="e">
        <f>-IF(Tabla14[[#This Row],[DIAS HABILES O MORA]]&lt;0,(Tabla14[[#This Row],[VALOR PRESTAMO]]*Tabla14[[#This Row],[% INTERES ]]/30*U257))+Tabla14[[#This Row],[VALOR CUOTAS]]</f>
        <v>#VALUE!</v>
      </c>
      <c r="S257" s="88">
        <f>-IF(Tabla14[[#This Row],[DIAS HABILES O MORA]]&lt;0,(Tabla14[[#This Row],[VALOR PRESTAMO]]*Tabla14[[#This Row],[% INTERES ]]/30*U257))</f>
        <v>0</v>
      </c>
      <c r="T257" s="53" t="e">
        <f>Tabla14[[#This Row],[DEUDA CAPITAL]]+Tabla14[[#This Row],[INTERES  CUOTA]]</f>
        <v>#NUM!</v>
      </c>
      <c r="U257" s="61" t="str">
        <f t="shared" si="49"/>
        <v/>
      </c>
    </row>
    <row r="258" spans="9:21" ht="24.75" customHeight="1" x14ac:dyDescent="0.35">
      <c r="I258" s="42">
        <f t="shared" si="40"/>
        <v>0</v>
      </c>
      <c r="J258" s="65" t="e">
        <f t="shared" si="41"/>
        <v>#NUM!</v>
      </c>
      <c r="K258" s="83" t="e">
        <f t="shared" si="42"/>
        <v>#NUM!</v>
      </c>
      <c r="L258" s="83">
        <f t="shared" si="43"/>
        <v>0</v>
      </c>
      <c r="M258" s="110" t="str">
        <f t="shared" si="44"/>
        <v/>
      </c>
      <c r="N258" s="51" t="str">
        <f t="shared" si="45"/>
        <v/>
      </c>
      <c r="O258" s="52" t="str">
        <f t="shared" si="46"/>
        <v/>
      </c>
      <c r="P258" s="88">
        <f t="shared" si="47"/>
        <v>0</v>
      </c>
      <c r="Q258" s="88">
        <f t="shared" si="48"/>
        <v>0</v>
      </c>
      <c r="R258" s="88" t="e">
        <f>-IF(Tabla14[[#This Row],[DIAS HABILES O MORA]]&lt;0,(Tabla14[[#This Row],[VALOR PRESTAMO]]*Tabla14[[#This Row],[% INTERES ]]/30*U258))+Tabla14[[#This Row],[VALOR CUOTAS]]</f>
        <v>#VALUE!</v>
      </c>
      <c r="S258" s="88">
        <f>-IF(Tabla14[[#This Row],[DIAS HABILES O MORA]]&lt;0,(Tabla14[[#This Row],[VALOR PRESTAMO]]*Tabla14[[#This Row],[% INTERES ]]/30*U258))</f>
        <v>0</v>
      </c>
      <c r="T258" s="53" t="e">
        <f>Tabla14[[#This Row],[DEUDA CAPITAL]]+Tabla14[[#This Row],[INTERES  CUOTA]]</f>
        <v>#NUM!</v>
      </c>
      <c r="U258" s="61" t="str">
        <f t="shared" si="49"/>
        <v/>
      </c>
    </row>
    <row r="259" spans="9:21" ht="24.75" customHeight="1" x14ac:dyDescent="0.35">
      <c r="I259" s="42">
        <f t="shared" si="40"/>
        <v>0</v>
      </c>
      <c r="J259" s="65" t="e">
        <f t="shared" si="41"/>
        <v>#NUM!</v>
      </c>
      <c r="K259" s="83" t="e">
        <f t="shared" si="42"/>
        <v>#NUM!</v>
      </c>
      <c r="L259" s="83">
        <f t="shared" si="43"/>
        <v>0</v>
      </c>
      <c r="M259" s="110" t="str">
        <f t="shared" si="44"/>
        <v/>
      </c>
      <c r="N259" s="51" t="str">
        <f t="shared" si="45"/>
        <v/>
      </c>
      <c r="O259" s="52" t="str">
        <f t="shared" si="46"/>
        <v/>
      </c>
      <c r="P259" s="88">
        <f t="shared" si="47"/>
        <v>0</v>
      </c>
      <c r="Q259" s="88">
        <f t="shared" si="48"/>
        <v>0</v>
      </c>
      <c r="R259" s="88" t="e">
        <f>-IF(Tabla14[[#This Row],[DIAS HABILES O MORA]]&lt;0,(Tabla14[[#This Row],[VALOR PRESTAMO]]*Tabla14[[#This Row],[% INTERES ]]/30*U259))+Tabla14[[#This Row],[VALOR CUOTAS]]</f>
        <v>#VALUE!</v>
      </c>
      <c r="S259" s="88">
        <f>-IF(Tabla14[[#This Row],[DIAS HABILES O MORA]]&lt;0,(Tabla14[[#This Row],[VALOR PRESTAMO]]*Tabla14[[#This Row],[% INTERES ]]/30*U259))</f>
        <v>0</v>
      </c>
      <c r="T259" s="53" t="e">
        <f>Tabla14[[#This Row],[DEUDA CAPITAL]]+Tabla14[[#This Row],[INTERES  CUOTA]]</f>
        <v>#NUM!</v>
      </c>
      <c r="U259" s="61" t="str">
        <f t="shared" si="49"/>
        <v/>
      </c>
    </row>
    <row r="260" spans="9:21" ht="24.75" customHeight="1" x14ac:dyDescent="0.35">
      <c r="I260" s="42">
        <f t="shared" si="40"/>
        <v>0</v>
      </c>
      <c r="J260" s="65" t="e">
        <f t="shared" si="41"/>
        <v>#NUM!</v>
      </c>
      <c r="K260" s="83" t="e">
        <f t="shared" si="42"/>
        <v>#NUM!</v>
      </c>
      <c r="L260" s="83">
        <f t="shared" si="43"/>
        <v>0</v>
      </c>
      <c r="M260" s="110" t="str">
        <f t="shared" si="44"/>
        <v/>
      </c>
      <c r="N260" s="51" t="str">
        <f t="shared" si="45"/>
        <v/>
      </c>
      <c r="O260" s="52" t="str">
        <f t="shared" si="46"/>
        <v/>
      </c>
      <c r="P260" s="88">
        <f t="shared" si="47"/>
        <v>0</v>
      </c>
      <c r="Q260" s="88">
        <f t="shared" si="48"/>
        <v>0</v>
      </c>
      <c r="R260" s="88" t="e">
        <f>-IF(Tabla14[[#This Row],[DIAS HABILES O MORA]]&lt;0,(Tabla14[[#This Row],[VALOR PRESTAMO]]*Tabla14[[#This Row],[% INTERES ]]/30*U260))+Tabla14[[#This Row],[VALOR CUOTAS]]</f>
        <v>#VALUE!</v>
      </c>
      <c r="S260" s="88">
        <f>-IF(Tabla14[[#This Row],[DIAS HABILES O MORA]]&lt;0,(Tabla14[[#This Row],[VALOR PRESTAMO]]*Tabla14[[#This Row],[% INTERES ]]/30*U260))</f>
        <v>0</v>
      </c>
      <c r="T260" s="53" t="e">
        <f>Tabla14[[#This Row],[DEUDA CAPITAL]]+Tabla14[[#This Row],[INTERES  CUOTA]]</f>
        <v>#NUM!</v>
      </c>
      <c r="U260" s="61" t="str">
        <f t="shared" si="49"/>
        <v/>
      </c>
    </row>
    <row r="261" spans="9:21" ht="24.75" customHeight="1" x14ac:dyDescent="0.35">
      <c r="I261" s="42">
        <f t="shared" si="40"/>
        <v>0</v>
      </c>
      <c r="J261" s="65" t="e">
        <f t="shared" si="41"/>
        <v>#NUM!</v>
      </c>
      <c r="K261" s="83" t="e">
        <f t="shared" si="42"/>
        <v>#NUM!</v>
      </c>
      <c r="L261" s="83">
        <f t="shared" si="43"/>
        <v>0</v>
      </c>
      <c r="M261" s="110" t="str">
        <f t="shared" si="44"/>
        <v/>
      </c>
      <c r="N261" s="51" t="str">
        <f t="shared" si="45"/>
        <v/>
      </c>
      <c r="O261" s="52" t="str">
        <f t="shared" si="46"/>
        <v/>
      </c>
      <c r="P261" s="88">
        <f t="shared" si="47"/>
        <v>0</v>
      </c>
      <c r="Q261" s="88">
        <f t="shared" si="48"/>
        <v>0</v>
      </c>
      <c r="R261" s="88" t="e">
        <f>-IF(Tabla14[[#This Row],[DIAS HABILES O MORA]]&lt;0,(Tabla14[[#This Row],[VALOR PRESTAMO]]*Tabla14[[#This Row],[% INTERES ]]/30*U261))+Tabla14[[#This Row],[VALOR CUOTAS]]</f>
        <v>#VALUE!</v>
      </c>
      <c r="S261" s="88">
        <f>-IF(Tabla14[[#This Row],[DIAS HABILES O MORA]]&lt;0,(Tabla14[[#This Row],[VALOR PRESTAMO]]*Tabla14[[#This Row],[% INTERES ]]/30*U261))</f>
        <v>0</v>
      </c>
      <c r="T261" s="53" t="e">
        <f>Tabla14[[#This Row],[DEUDA CAPITAL]]+Tabla14[[#This Row],[INTERES  CUOTA]]</f>
        <v>#NUM!</v>
      </c>
      <c r="U261" s="61" t="str">
        <f t="shared" si="49"/>
        <v/>
      </c>
    </row>
    <row r="262" spans="9:21" ht="24.75" customHeight="1" x14ac:dyDescent="0.35">
      <c r="I262" s="42">
        <f t="shared" si="40"/>
        <v>0</v>
      </c>
      <c r="J262" s="65" t="e">
        <f t="shared" si="41"/>
        <v>#NUM!</v>
      </c>
      <c r="K262" s="83" t="e">
        <f t="shared" si="42"/>
        <v>#NUM!</v>
      </c>
      <c r="L262" s="83">
        <f t="shared" si="43"/>
        <v>0</v>
      </c>
      <c r="M262" s="110" t="str">
        <f t="shared" si="44"/>
        <v/>
      </c>
      <c r="N262" s="51" t="str">
        <f t="shared" si="45"/>
        <v/>
      </c>
      <c r="O262" s="52" t="str">
        <f t="shared" si="46"/>
        <v/>
      </c>
      <c r="P262" s="88">
        <f t="shared" si="47"/>
        <v>0</v>
      </c>
      <c r="Q262" s="88">
        <f t="shared" si="48"/>
        <v>0</v>
      </c>
      <c r="R262" s="88" t="e">
        <f>-IF(Tabla14[[#This Row],[DIAS HABILES O MORA]]&lt;0,(Tabla14[[#This Row],[VALOR PRESTAMO]]*Tabla14[[#This Row],[% INTERES ]]/30*U262))+Tabla14[[#This Row],[VALOR CUOTAS]]</f>
        <v>#VALUE!</v>
      </c>
      <c r="S262" s="88">
        <f>-IF(Tabla14[[#This Row],[DIAS HABILES O MORA]]&lt;0,(Tabla14[[#This Row],[VALOR PRESTAMO]]*Tabla14[[#This Row],[% INTERES ]]/30*U262))</f>
        <v>0</v>
      </c>
      <c r="T262" s="53" t="e">
        <f>Tabla14[[#This Row],[DEUDA CAPITAL]]+Tabla14[[#This Row],[INTERES  CUOTA]]</f>
        <v>#NUM!</v>
      </c>
      <c r="U262" s="61" t="str">
        <f t="shared" si="49"/>
        <v/>
      </c>
    </row>
    <row r="263" spans="9:21" ht="24.75" customHeight="1" x14ac:dyDescent="0.35">
      <c r="I263" s="42">
        <f t="shared" si="40"/>
        <v>0</v>
      </c>
      <c r="J263" s="65" t="e">
        <f t="shared" si="41"/>
        <v>#NUM!</v>
      </c>
      <c r="K263" s="83" t="e">
        <f t="shared" si="42"/>
        <v>#NUM!</v>
      </c>
      <c r="L263" s="83">
        <f t="shared" si="43"/>
        <v>0</v>
      </c>
      <c r="M263" s="110" t="str">
        <f t="shared" si="44"/>
        <v/>
      </c>
      <c r="N263" s="51" t="str">
        <f t="shared" si="45"/>
        <v/>
      </c>
      <c r="O263" s="52" t="str">
        <f t="shared" si="46"/>
        <v/>
      </c>
      <c r="P263" s="88">
        <f t="shared" si="47"/>
        <v>0</v>
      </c>
      <c r="Q263" s="88">
        <f t="shared" si="48"/>
        <v>0</v>
      </c>
      <c r="R263" s="88" t="e">
        <f>-IF(Tabla14[[#This Row],[DIAS HABILES O MORA]]&lt;0,(Tabla14[[#This Row],[VALOR PRESTAMO]]*Tabla14[[#This Row],[% INTERES ]]/30*U263))+Tabla14[[#This Row],[VALOR CUOTAS]]</f>
        <v>#VALUE!</v>
      </c>
      <c r="S263" s="88">
        <f>-IF(Tabla14[[#This Row],[DIAS HABILES O MORA]]&lt;0,(Tabla14[[#This Row],[VALOR PRESTAMO]]*Tabla14[[#This Row],[% INTERES ]]/30*U263))</f>
        <v>0</v>
      </c>
      <c r="T263" s="53" t="e">
        <f>Tabla14[[#This Row],[DEUDA CAPITAL]]+Tabla14[[#This Row],[INTERES  CUOTA]]</f>
        <v>#NUM!</v>
      </c>
      <c r="U263" s="61" t="str">
        <f t="shared" si="49"/>
        <v/>
      </c>
    </row>
    <row r="264" spans="9:21" ht="24.75" customHeight="1" x14ac:dyDescent="0.35">
      <c r="I264" s="42">
        <f t="shared" si="40"/>
        <v>0</v>
      </c>
      <c r="J264" s="65" t="e">
        <f t="shared" si="41"/>
        <v>#NUM!</v>
      </c>
      <c r="K264" s="83" t="e">
        <f t="shared" si="42"/>
        <v>#NUM!</v>
      </c>
      <c r="L264" s="83">
        <f t="shared" si="43"/>
        <v>0</v>
      </c>
      <c r="M264" s="110" t="str">
        <f t="shared" si="44"/>
        <v/>
      </c>
      <c r="N264" s="51" t="str">
        <f t="shared" si="45"/>
        <v/>
      </c>
      <c r="O264" s="52" t="str">
        <f t="shared" si="46"/>
        <v/>
      </c>
      <c r="P264" s="88">
        <f t="shared" si="47"/>
        <v>0</v>
      </c>
      <c r="Q264" s="88">
        <f t="shared" si="48"/>
        <v>0</v>
      </c>
      <c r="R264" s="88" t="e">
        <f>-IF(Tabla14[[#This Row],[DIAS HABILES O MORA]]&lt;0,(Tabla14[[#This Row],[VALOR PRESTAMO]]*Tabla14[[#This Row],[% INTERES ]]/30*U264))+Tabla14[[#This Row],[VALOR CUOTAS]]</f>
        <v>#VALUE!</v>
      </c>
      <c r="S264" s="88">
        <f>-IF(Tabla14[[#This Row],[DIAS HABILES O MORA]]&lt;0,(Tabla14[[#This Row],[VALOR PRESTAMO]]*Tabla14[[#This Row],[% INTERES ]]/30*U264))</f>
        <v>0</v>
      </c>
      <c r="T264" s="53" t="e">
        <f>Tabla14[[#This Row],[DEUDA CAPITAL]]+Tabla14[[#This Row],[INTERES  CUOTA]]</f>
        <v>#NUM!</v>
      </c>
      <c r="U264" s="61" t="str">
        <f t="shared" si="49"/>
        <v/>
      </c>
    </row>
    <row r="265" spans="9:21" ht="24.75" customHeight="1" x14ac:dyDescent="0.35">
      <c r="I265" s="42">
        <f t="shared" si="40"/>
        <v>0</v>
      </c>
      <c r="J265" s="65" t="e">
        <f t="shared" si="41"/>
        <v>#NUM!</v>
      </c>
      <c r="K265" s="83" t="e">
        <f t="shared" si="42"/>
        <v>#NUM!</v>
      </c>
      <c r="L265" s="83">
        <f t="shared" si="43"/>
        <v>0</v>
      </c>
      <c r="M265" s="110" t="str">
        <f t="shared" si="44"/>
        <v/>
      </c>
      <c r="N265" s="51" t="str">
        <f t="shared" si="45"/>
        <v/>
      </c>
      <c r="O265" s="52" t="str">
        <f t="shared" si="46"/>
        <v/>
      </c>
      <c r="P265" s="88">
        <f t="shared" si="47"/>
        <v>0</v>
      </c>
      <c r="Q265" s="88">
        <f t="shared" si="48"/>
        <v>0</v>
      </c>
      <c r="R265" s="88" t="e">
        <f>-IF(Tabla14[[#This Row],[DIAS HABILES O MORA]]&lt;0,(Tabla14[[#This Row],[VALOR PRESTAMO]]*Tabla14[[#This Row],[% INTERES ]]/30*U265))+Tabla14[[#This Row],[VALOR CUOTAS]]</f>
        <v>#VALUE!</v>
      </c>
      <c r="S265" s="88">
        <f>-IF(Tabla14[[#This Row],[DIAS HABILES O MORA]]&lt;0,(Tabla14[[#This Row],[VALOR PRESTAMO]]*Tabla14[[#This Row],[% INTERES ]]/30*U265))</f>
        <v>0</v>
      </c>
      <c r="T265" s="53" t="e">
        <f>Tabla14[[#This Row],[DEUDA CAPITAL]]+Tabla14[[#This Row],[INTERES  CUOTA]]</f>
        <v>#NUM!</v>
      </c>
      <c r="U265" s="61" t="str">
        <f t="shared" si="49"/>
        <v/>
      </c>
    </row>
    <row r="266" spans="9:21" ht="24.75" customHeight="1" x14ac:dyDescent="0.35">
      <c r="I266" s="42">
        <f t="shared" si="40"/>
        <v>0</v>
      </c>
      <c r="J266" s="65" t="e">
        <f t="shared" si="41"/>
        <v>#NUM!</v>
      </c>
      <c r="K266" s="83" t="e">
        <f t="shared" si="42"/>
        <v>#NUM!</v>
      </c>
      <c r="L266" s="83">
        <f t="shared" si="43"/>
        <v>0</v>
      </c>
      <c r="M266" s="110" t="str">
        <f t="shared" si="44"/>
        <v/>
      </c>
      <c r="N266" s="51" t="str">
        <f t="shared" si="45"/>
        <v/>
      </c>
      <c r="O266" s="52" t="str">
        <f t="shared" si="46"/>
        <v/>
      </c>
      <c r="P266" s="88">
        <f t="shared" si="47"/>
        <v>0</v>
      </c>
      <c r="Q266" s="88">
        <f t="shared" si="48"/>
        <v>0</v>
      </c>
      <c r="R266" s="88" t="e">
        <f>-IF(Tabla14[[#This Row],[DIAS HABILES O MORA]]&lt;0,(Tabla14[[#This Row],[VALOR PRESTAMO]]*Tabla14[[#This Row],[% INTERES ]]/30*U266))+Tabla14[[#This Row],[VALOR CUOTAS]]</f>
        <v>#VALUE!</v>
      </c>
      <c r="S266" s="88">
        <f>-IF(Tabla14[[#This Row],[DIAS HABILES O MORA]]&lt;0,(Tabla14[[#This Row],[VALOR PRESTAMO]]*Tabla14[[#This Row],[% INTERES ]]/30*U266))</f>
        <v>0</v>
      </c>
      <c r="T266" s="53" t="e">
        <f>Tabla14[[#This Row],[DEUDA CAPITAL]]+Tabla14[[#This Row],[INTERES  CUOTA]]</f>
        <v>#NUM!</v>
      </c>
      <c r="U266" s="61" t="str">
        <f t="shared" si="49"/>
        <v/>
      </c>
    </row>
    <row r="267" spans="9:21" ht="24.75" customHeight="1" x14ac:dyDescent="0.35">
      <c r="I267" s="42">
        <f t="shared" si="40"/>
        <v>0</v>
      </c>
      <c r="J267" s="65" t="e">
        <f t="shared" si="41"/>
        <v>#NUM!</v>
      </c>
      <c r="K267" s="83" t="e">
        <f t="shared" si="42"/>
        <v>#NUM!</v>
      </c>
      <c r="L267" s="83">
        <f t="shared" si="43"/>
        <v>0</v>
      </c>
      <c r="M267" s="110" t="str">
        <f t="shared" si="44"/>
        <v/>
      </c>
      <c r="N267" s="51" t="str">
        <f t="shared" si="45"/>
        <v/>
      </c>
      <c r="O267" s="52" t="str">
        <f t="shared" si="46"/>
        <v/>
      </c>
      <c r="P267" s="88">
        <f t="shared" si="47"/>
        <v>0</v>
      </c>
      <c r="Q267" s="88">
        <f t="shared" si="48"/>
        <v>0</v>
      </c>
      <c r="R267" s="88" t="e">
        <f>-IF(Tabla14[[#This Row],[DIAS HABILES O MORA]]&lt;0,(Tabla14[[#This Row],[VALOR PRESTAMO]]*Tabla14[[#This Row],[% INTERES ]]/30*U267))+Tabla14[[#This Row],[VALOR CUOTAS]]</f>
        <v>#VALUE!</v>
      </c>
      <c r="S267" s="88">
        <f>-IF(Tabla14[[#This Row],[DIAS HABILES O MORA]]&lt;0,(Tabla14[[#This Row],[VALOR PRESTAMO]]*Tabla14[[#This Row],[% INTERES ]]/30*U267))</f>
        <v>0</v>
      </c>
      <c r="T267" s="53" t="e">
        <f>Tabla14[[#This Row],[DEUDA CAPITAL]]+Tabla14[[#This Row],[INTERES  CUOTA]]</f>
        <v>#NUM!</v>
      </c>
      <c r="U267" s="61" t="str">
        <f t="shared" si="49"/>
        <v/>
      </c>
    </row>
    <row r="268" spans="9:21" ht="24.75" customHeight="1" x14ac:dyDescent="0.35">
      <c r="I268" s="42">
        <f t="shared" si="40"/>
        <v>0</v>
      </c>
      <c r="J268" s="65" t="e">
        <f t="shared" si="41"/>
        <v>#NUM!</v>
      </c>
      <c r="K268" s="83" t="e">
        <f t="shared" si="42"/>
        <v>#NUM!</v>
      </c>
      <c r="L268" s="83">
        <f t="shared" si="43"/>
        <v>0</v>
      </c>
      <c r="M268" s="110" t="str">
        <f t="shared" si="44"/>
        <v/>
      </c>
      <c r="N268" s="51" t="str">
        <f t="shared" si="45"/>
        <v/>
      </c>
      <c r="O268" s="52" t="str">
        <f t="shared" si="46"/>
        <v/>
      </c>
      <c r="P268" s="88">
        <f t="shared" si="47"/>
        <v>0</v>
      </c>
      <c r="Q268" s="88">
        <f t="shared" si="48"/>
        <v>0</v>
      </c>
      <c r="R268" s="88" t="e">
        <f>-IF(Tabla14[[#This Row],[DIAS HABILES O MORA]]&lt;0,(Tabla14[[#This Row],[VALOR PRESTAMO]]*Tabla14[[#This Row],[% INTERES ]]/30*U268))+Tabla14[[#This Row],[VALOR CUOTAS]]</f>
        <v>#VALUE!</v>
      </c>
      <c r="S268" s="88">
        <f>-IF(Tabla14[[#This Row],[DIAS HABILES O MORA]]&lt;0,(Tabla14[[#This Row],[VALOR PRESTAMO]]*Tabla14[[#This Row],[% INTERES ]]/30*U268))</f>
        <v>0</v>
      </c>
      <c r="T268" s="53" t="e">
        <f>Tabla14[[#This Row],[DEUDA CAPITAL]]+Tabla14[[#This Row],[INTERES  CUOTA]]</f>
        <v>#NUM!</v>
      </c>
      <c r="U268" s="61" t="str">
        <f t="shared" si="49"/>
        <v/>
      </c>
    </row>
    <row r="269" spans="9:21" ht="24.75" customHeight="1" x14ac:dyDescent="0.35">
      <c r="I269" s="42">
        <f t="shared" si="40"/>
        <v>0</v>
      </c>
      <c r="J269" s="65" t="e">
        <f t="shared" si="41"/>
        <v>#NUM!</v>
      </c>
      <c r="K269" s="83" t="e">
        <f t="shared" si="42"/>
        <v>#NUM!</v>
      </c>
      <c r="L269" s="83">
        <f t="shared" si="43"/>
        <v>0</v>
      </c>
      <c r="M269" s="110" t="str">
        <f t="shared" si="44"/>
        <v/>
      </c>
      <c r="N269" s="51" t="str">
        <f t="shared" si="45"/>
        <v/>
      </c>
      <c r="O269" s="52" t="str">
        <f t="shared" si="46"/>
        <v/>
      </c>
      <c r="P269" s="88">
        <f t="shared" si="47"/>
        <v>0</v>
      </c>
      <c r="Q269" s="88">
        <f t="shared" si="48"/>
        <v>0</v>
      </c>
      <c r="R269" s="88" t="e">
        <f>-IF(Tabla14[[#This Row],[DIAS HABILES O MORA]]&lt;0,(Tabla14[[#This Row],[VALOR PRESTAMO]]*Tabla14[[#This Row],[% INTERES ]]/30*U269))+Tabla14[[#This Row],[VALOR CUOTAS]]</f>
        <v>#VALUE!</v>
      </c>
      <c r="S269" s="88">
        <f>-IF(Tabla14[[#This Row],[DIAS HABILES O MORA]]&lt;0,(Tabla14[[#This Row],[VALOR PRESTAMO]]*Tabla14[[#This Row],[% INTERES ]]/30*U269))</f>
        <v>0</v>
      </c>
      <c r="T269" s="53" t="e">
        <f>Tabla14[[#This Row],[DEUDA CAPITAL]]+Tabla14[[#This Row],[INTERES  CUOTA]]</f>
        <v>#NUM!</v>
      </c>
      <c r="U269" s="61" t="str">
        <f t="shared" si="49"/>
        <v/>
      </c>
    </row>
    <row r="270" spans="9:21" ht="24.75" customHeight="1" x14ac:dyDescent="0.35">
      <c r="I270" s="42">
        <f t="shared" si="40"/>
        <v>0</v>
      </c>
      <c r="J270" s="65" t="e">
        <f t="shared" si="41"/>
        <v>#NUM!</v>
      </c>
      <c r="K270" s="83" t="e">
        <f t="shared" si="42"/>
        <v>#NUM!</v>
      </c>
      <c r="L270" s="83">
        <f t="shared" si="43"/>
        <v>0</v>
      </c>
      <c r="M270" s="110" t="str">
        <f t="shared" si="44"/>
        <v/>
      </c>
      <c r="N270" s="51" t="str">
        <f t="shared" si="45"/>
        <v/>
      </c>
      <c r="O270" s="52" t="str">
        <f t="shared" si="46"/>
        <v/>
      </c>
      <c r="P270" s="88">
        <f t="shared" si="47"/>
        <v>0</v>
      </c>
      <c r="Q270" s="88">
        <f t="shared" si="48"/>
        <v>0</v>
      </c>
      <c r="R270" s="88" t="e">
        <f>-IF(Tabla14[[#This Row],[DIAS HABILES O MORA]]&lt;0,(Tabla14[[#This Row],[VALOR PRESTAMO]]*Tabla14[[#This Row],[% INTERES ]]/30*U270))+Tabla14[[#This Row],[VALOR CUOTAS]]</f>
        <v>#VALUE!</v>
      </c>
      <c r="S270" s="88">
        <f>-IF(Tabla14[[#This Row],[DIAS HABILES O MORA]]&lt;0,(Tabla14[[#This Row],[VALOR PRESTAMO]]*Tabla14[[#This Row],[% INTERES ]]/30*U270))</f>
        <v>0</v>
      </c>
      <c r="T270" s="53" t="e">
        <f>Tabla14[[#This Row],[DEUDA CAPITAL]]+Tabla14[[#This Row],[INTERES  CUOTA]]</f>
        <v>#NUM!</v>
      </c>
      <c r="U270" s="61" t="str">
        <f t="shared" si="49"/>
        <v/>
      </c>
    </row>
    <row r="271" spans="9:21" ht="24.75" customHeight="1" x14ac:dyDescent="0.35">
      <c r="I271" s="42">
        <f t="shared" si="40"/>
        <v>0</v>
      </c>
      <c r="J271" s="65" t="e">
        <f t="shared" si="41"/>
        <v>#NUM!</v>
      </c>
      <c r="K271" s="83" t="e">
        <f t="shared" si="42"/>
        <v>#NUM!</v>
      </c>
      <c r="L271" s="83">
        <f t="shared" si="43"/>
        <v>0</v>
      </c>
      <c r="M271" s="110" t="str">
        <f t="shared" si="44"/>
        <v/>
      </c>
      <c r="N271" s="51" t="str">
        <f t="shared" si="45"/>
        <v/>
      </c>
      <c r="O271" s="52" t="str">
        <f t="shared" si="46"/>
        <v/>
      </c>
      <c r="P271" s="88">
        <f t="shared" si="47"/>
        <v>0</v>
      </c>
      <c r="Q271" s="88">
        <f t="shared" si="48"/>
        <v>0</v>
      </c>
      <c r="R271" s="88" t="e">
        <f>-IF(Tabla14[[#This Row],[DIAS HABILES O MORA]]&lt;0,(Tabla14[[#This Row],[VALOR PRESTAMO]]*Tabla14[[#This Row],[% INTERES ]]/30*U271))+Tabla14[[#This Row],[VALOR CUOTAS]]</f>
        <v>#VALUE!</v>
      </c>
      <c r="S271" s="88">
        <f>-IF(Tabla14[[#This Row],[DIAS HABILES O MORA]]&lt;0,(Tabla14[[#This Row],[VALOR PRESTAMO]]*Tabla14[[#This Row],[% INTERES ]]/30*U271))</f>
        <v>0</v>
      </c>
      <c r="T271" s="53" t="e">
        <f>Tabla14[[#This Row],[DEUDA CAPITAL]]+Tabla14[[#This Row],[INTERES  CUOTA]]</f>
        <v>#NUM!</v>
      </c>
      <c r="U271" s="61" t="str">
        <f t="shared" si="49"/>
        <v/>
      </c>
    </row>
    <row r="272" spans="9:21" ht="24.75" customHeight="1" x14ac:dyDescent="0.35">
      <c r="I272" s="42">
        <f t="shared" ref="I272:I335" si="50">IF(C272&lt;0,"",IF(Q272=0,0,IF(G272=0,H272+1,IF(H272&lt;G272,H272+1,IF(G272=H272,0)))))</f>
        <v>0</v>
      </c>
      <c r="J272" s="65" t="e">
        <f t="shared" ref="J272:J335" si="51">IF(F272="SOLO INTERES",Q272*D272,-IPMT(D272,I272,G272,C272))</f>
        <v>#NUM!</v>
      </c>
      <c r="K272" s="83" t="e">
        <f t="shared" ref="K272:K335" si="52">IF(F272="SOLO INTERES",0,-PPMT(D272,I272,G272,C272))</f>
        <v>#NUM!</v>
      </c>
      <c r="L272" s="83">
        <f t="shared" ref="L272:L335" si="53">IF(F272="SOLO INTERES",SUM(Y272:AAE272),IFERROR(-CUMIPMT(D272,G272,C272,1,H272,0),0)+SUM(Y272:WY272))</f>
        <v>0</v>
      </c>
      <c r="M272" s="110" t="str">
        <f t="shared" ref="M272:M335" si="54">IFERROR(IF(F272="SOLO INTERES",Q272*D272,-PMT(D272,G272,C272,0)),"")</f>
        <v/>
      </c>
      <c r="N272" s="51" t="str">
        <f t="shared" ref="N272:N335" si="55">IF(Q272=0,"",IF(E272="MENSUAL",EDATE(B272,I272),IF(E272="QUINCENAL",B272+(I272*15),IF(E272="SEMANAL",B272+(I272*7)))))</f>
        <v/>
      </c>
      <c r="O272" s="52" t="str">
        <f t="shared" ref="O272:O335" si="56">IF(C272=0,"",IF(Q272&lt;1,"PAGADO",IF(N272=$A$3,"COBRAR HOY",IF(N272&lt;$A$3,"EN MORA",IF(N272&gt;$A$3,"AL DIA")))))</f>
        <v/>
      </c>
      <c r="P272" s="88">
        <f t="shared" ref="P272:P335" si="57">IFERROR(-CUMPRINC(D272,G272,C272,1,H272,0),0)+W272</f>
        <v>0</v>
      </c>
      <c r="Q272" s="88">
        <f t="shared" ref="Q272:Q335" si="58">IFERROR(C272-P272,"")</f>
        <v>0</v>
      </c>
      <c r="R272" s="88" t="e">
        <f>-IF(Tabla14[[#This Row],[DIAS HABILES O MORA]]&lt;0,(Tabla14[[#This Row],[VALOR PRESTAMO]]*Tabla14[[#This Row],[% INTERES ]]/30*U272))+Tabla14[[#This Row],[VALOR CUOTAS]]</f>
        <v>#VALUE!</v>
      </c>
      <c r="S272" s="88">
        <f>-IF(Tabla14[[#This Row],[DIAS HABILES O MORA]]&lt;0,(Tabla14[[#This Row],[VALOR PRESTAMO]]*Tabla14[[#This Row],[% INTERES ]]/30*U272))</f>
        <v>0</v>
      </c>
      <c r="T272" s="53" t="e">
        <f>Tabla14[[#This Row],[DEUDA CAPITAL]]+Tabla14[[#This Row],[INTERES  CUOTA]]</f>
        <v>#NUM!</v>
      </c>
      <c r="U272" s="61" t="str">
        <f t="shared" ref="U272:U335" si="59">IF(O272="PAGADO","",IFERROR(-IF(C272=0,"",$A$3-N272),""))</f>
        <v/>
      </c>
    </row>
    <row r="273" spans="9:21" ht="24.75" customHeight="1" x14ac:dyDescent="0.35">
      <c r="I273" s="42">
        <f t="shared" si="50"/>
        <v>0</v>
      </c>
      <c r="J273" s="65" t="e">
        <f t="shared" si="51"/>
        <v>#NUM!</v>
      </c>
      <c r="K273" s="83" t="e">
        <f t="shared" si="52"/>
        <v>#NUM!</v>
      </c>
      <c r="L273" s="83">
        <f t="shared" si="53"/>
        <v>0</v>
      </c>
      <c r="M273" s="110" t="str">
        <f t="shared" si="54"/>
        <v/>
      </c>
      <c r="N273" s="51" t="str">
        <f t="shared" si="55"/>
        <v/>
      </c>
      <c r="O273" s="52" t="str">
        <f t="shared" si="56"/>
        <v/>
      </c>
      <c r="P273" s="88">
        <f t="shared" si="57"/>
        <v>0</v>
      </c>
      <c r="Q273" s="88">
        <f t="shared" si="58"/>
        <v>0</v>
      </c>
      <c r="R273" s="88" t="e">
        <f>-IF(Tabla14[[#This Row],[DIAS HABILES O MORA]]&lt;0,(Tabla14[[#This Row],[VALOR PRESTAMO]]*Tabla14[[#This Row],[% INTERES ]]/30*U273))+Tabla14[[#This Row],[VALOR CUOTAS]]</f>
        <v>#VALUE!</v>
      </c>
      <c r="S273" s="88">
        <f>-IF(Tabla14[[#This Row],[DIAS HABILES O MORA]]&lt;0,(Tabla14[[#This Row],[VALOR PRESTAMO]]*Tabla14[[#This Row],[% INTERES ]]/30*U273))</f>
        <v>0</v>
      </c>
      <c r="T273" s="53" t="e">
        <f>Tabla14[[#This Row],[DEUDA CAPITAL]]+Tabla14[[#This Row],[INTERES  CUOTA]]</f>
        <v>#NUM!</v>
      </c>
      <c r="U273" s="61" t="str">
        <f t="shared" si="59"/>
        <v/>
      </c>
    </row>
    <row r="274" spans="9:21" ht="24.75" customHeight="1" x14ac:dyDescent="0.35">
      <c r="I274" s="42">
        <f t="shared" si="50"/>
        <v>0</v>
      </c>
      <c r="J274" s="65" t="e">
        <f t="shared" si="51"/>
        <v>#NUM!</v>
      </c>
      <c r="K274" s="83" t="e">
        <f t="shared" si="52"/>
        <v>#NUM!</v>
      </c>
      <c r="L274" s="83">
        <f t="shared" si="53"/>
        <v>0</v>
      </c>
      <c r="M274" s="110" t="str">
        <f t="shared" si="54"/>
        <v/>
      </c>
      <c r="N274" s="51" t="str">
        <f t="shared" si="55"/>
        <v/>
      </c>
      <c r="O274" s="52" t="str">
        <f t="shared" si="56"/>
        <v/>
      </c>
      <c r="P274" s="88">
        <f t="shared" si="57"/>
        <v>0</v>
      </c>
      <c r="Q274" s="88">
        <f t="shared" si="58"/>
        <v>0</v>
      </c>
      <c r="R274" s="88" t="e">
        <f>-IF(Tabla14[[#This Row],[DIAS HABILES O MORA]]&lt;0,(Tabla14[[#This Row],[VALOR PRESTAMO]]*Tabla14[[#This Row],[% INTERES ]]/30*U274))+Tabla14[[#This Row],[VALOR CUOTAS]]</f>
        <v>#VALUE!</v>
      </c>
      <c r="S274" s="88">
        <f>-IF(Tabla14[[#This Row],[DIAS HABILES O MORA]]&lt;0,(Tabla14[[#This Row],[VALOR PRESTAMO]]*Tabla14[[#This Row],[% INTERES ]]/30*U274))</f>
        <v>0</v>
      </c>
      <c r="T274" s="53" t="e">
        <f>Tabla14[[#This Row],[DEUDA CAPITAL]]+Tabla14[[#This Row],[INTERES  CUOTA]]</f>
        <v>#NUM!</v>
      </c>
      <c r="U274" s="61" t="str">
        <f t="shared" si="59"/>
        <v/>
      </c>
    </row>
    <row r="275" spans="9:21" ht="24.75" customHeight="1" x14ac:dyDescent="0.35">
      <c r="I275" s="42">
        <f t="shared" si="50"/>
        <v>0</v>
      </c>
      <c r="J275" s="65" t="e">
        <f t="shared" si="51"/>
        <v>#NUM!</v>
      </c>
      <c r="K275" s="83" t="e">
        <f t="shared" si="52"/>
        <v>#NUM!</v>
      </c>
      <c r="L275" s="83">
        <f t="shared" si="53"/>
        <v>0</v>
      </c>
      <c r="M275" s="110" t="str">
        <f t="shared" si="54"/>
        <v/>
      </c>
      <c r="N275" s="51" t="str">
        <f t="shared" si="55"/>
        <v/>
      </c>
      <c r="O275" s="52" t="str">
        <f t="shared" si="56"/>
        <v/>
      </c>
      <c r="P275" s="88">
        <f t="shared" si="57"/>
        <v>0</v>
      </c>
      <c r="Q275" s="88">
        <f t="shared" si="58"/>
        <v>0</v>
      </c>
      <c r="R275" s="88" t="e">
        <f>-IF(Tabla14[[#This Row],[DIAS HABILES O MORA]]&lt;0,(Tabla14[[#This Row],[VALOR PRESTAMO]]*Tabla14[[#This Row],[% INTERES ]]/30*U275))+Tabla14[[#This Row],[VALOR CUOTAS]]</f>
        <v>#VALUE!</v>
      </c>
      <c r="S275" s="88">
        <f>-IF(Tabla14[[#This Row],[DIAS HABILES O MORA]]&lt;0,(Tabla14[[#This Row],[VALOR PRESTAMO]]*Tabla14[[#This Row],[% INTERES ]]/30*U275))</f>
        <v>0</v>
      </c>
      <c r="T275" s="53" t="e">
        <f>Tabla14[[#This Row],[DEUDA CAPITAL]]+Tabla14[[#This Row],[INTERES  CUOTA]]</f>
        <v>#NUM!</v>
      </c>
      <c r="U275" s="61" t="str">
        <f t="shared" si="59"/>
        <v/>
      </c>
    </row>
    <row r="276" spans="9:21" ht="24.75" customHeight="1" x14ac:dyDescent="0.35">
      <c r="I276" s="42">
        <f t="shared" si="50"/>
        <v>0</v>
      </c>
      <c r="J276" s="65" t="e">
        <f t="shared" si="51"/>
        <v>#NUM!</v>
      </c>
      <c r="K276" s="83" t="e">
        <f t="shared" si="52"/>
        <v>#NUM!</v>
      </c>
      <c r="L276" s="83">
        <f t="shared" si="53"/>
        <v>0</v>
      </c>
      <c r="M276" s="110" t="str">
        <f t="shared" si="54"/>
        <v/>
      </c>
      <c r="N276" s="51" t="str">
        <f t="shared" si="55"/>
        <v/>
      </c>
      <c r="O276" s="52" t="str">
        <f t="shared" si="56"/>
        <v/>
      </c>
      <c r="P276" s="88">
        <f t="shared" si="57"/>
        <v>0</v>
      </c>
      <c r="Q276" s="88">
        <f t="shared" si="58"/>
        <v>0</v>
      </c>
      <c r="R276" s="88" t="e">
        <f>-IF(Tabla14[[#This Row],[DIAS HABILES O MORA]]&lt;0,(Tabla14[[#This Row],[VALOR PRESTAMO]]*Tabla14[[#This Row],[% INTERES ]]/30*U276))+Tabla14[[#This Row],[VALOR CUOTAS]]</f>
        <v>#VALUE!</v>
      </c>
      <c r="S276" s="88">
        <f>-IF(Tabla14[[#This Row],[DIAS HABILES O MORA]]&lt;0,(Tabla14[[#This Row],[VALOR PRESTAMO]]*Tabla14[[#This Row],[% INTERES ]]/30*U276))</f>
        <v>0</v>
      </c>
      <c r="T276" s="53" t="e">
        <f>Tabla14[[#This Row],[DEUDA CAPITAL]]+Tabla14[[#This Row],[INTERES  CUOTA]]</f>
        <v>#NUM!</v>
      </c>
      <c r="U276" s="61" t="str">
        <f t="shared" si="59"/>
        <v/>
      </c>
    </row>
    <row r="277" spans="9:21" ht="24.75" customHeight="1" x14ac:dyDescent="0.35">
      <c r="I277" s="42">
        <f t="shared" si="50"/>
        <v>0</v>
      </c>
      <c r="J277" s="65" t="e">
        <f t="shared" si="51"/>
        <v>#NUM!</v>
      </c>
      <c r="K277" s="83" t="e">
        <f t="shared" si="52"/>
        <v>#NUM!</v>
      </c>
      <c r="L277" s="83">
        <f t="shared" si="53"/>
        <v>0</v>
      </c>
      <c r="M277" s="110" t="str">
        <f t="shared" si="54"/>
        <v/>
      </c>
      <c r="N277" s="51" t="str">
        <f t="shared" si="55"/>
        <v/>
      </c>
      <c r="O277" s="52" t="str">
        <f t="shared" si="56"/>
        <v/>
      </c>
      <c r="P277" s="88">
        <f t="shared" si="57"/>
        <v>0</v>
      </c>
      <c r="Q277" s="88">
        <f t="shared" si="58"/>
        <v>0</v>
      </c>
      <c r="R277" s="88" t="e">
        <f>-IF(Tabla14[[#This Row],[DIAS HABILES O MORA]]&lt;0,(Tabla14[[#This Row],[VALOR PRESTAMO]]*Tabla14[[#This Row],[% INTERES ]]/30*U277))+Tabla14[[#This Row],[VALOR CUOTAS]]</f>
        <v>#VALUE!</v>
      </c>
      <c r="S277" s="88">
        <f>-IF(Tabla14[[#This Row],[DIAS HABILES O MORA]]&lt;0,(Tabla14[[#This Row],[VALOR PRESTAMO]]*Tabla14[[#This Row],[% INTERES ]]/30*U277))</f>
        <v>0</v>
      </c>
      <c r="T277" s="53" t="e">
        <f>Tabla14[[#This Row],[DEUDA CAPITAL]]+Tabla14[[#This Row],[INTERES  CUOTA]]</f>
        <v>#NUM!</v>
      </c>
      <c r="U277" s="61" t="str">
        <f t="shared" si="59"/>
        <v/>
      </c>
    </row>
    <row r="278" spans="9:21" ht="24.75" customHeight="1" x14ac:dyDescent="0.35">
      <c r="I278" s="42">
        <f t="shared" si="50"/>
        <v>0</v>
      </c>
      <c r="J278" s="65" t="e">
        <f t="shared" si="51"/>
        <v>#NUM!</v>
      </c>
      <c r="K278" s="83" t="e">
        <f t="shared" si="52"/>
        <v>#NUM!</v>
      </c>
      <c r="L278" s="83">
        <f t="shared" si="53"/>
        <v>0</v>
      </c>
      <c r="M278" s="110" t="str">
        <f t="shared" si="54"/>
        <v/>
      </c>
      <c r="N278" s="51" t="str">
        <f t="shared" si="55"/>
        <v/>
      </c>
      <c r="O278" s="52" t="str">
        <f t="shared" si="56"/>
        <v/>
      </c>
      <c r="P278" s="88">
        <f t="shared" si="57"/>
        <v>0</v>
      </c>
      <c r="Q278" s="88">
        <f t="shared" si="58"/>
        <v>0</v>
      </c>
      <c r="R278" s="88" t="e">
        <f>-IF(Tabla14[[#This Row],[DIAS HABILES O MORA]]&lt;0,(Tabla14[[#This Row],[VALOR PRESTAMO]]*Tabla14[[#This Row],[% INTERES ]]/30*U278))+Tabla14[[#This Row],[VALOR CUOTAS]]</f>
        <v>#VALUE!</v>
      </c>
      <c r="S278" s="88">
        <f>-IF(Tabla14[[#This Row],[DIAS HABILES O MORA]]&lt;0,(Tabla14[[#This Row],[VALOR PRESTAMO]]*Tabla14[[#This Row],[% INTERES ]]/30*U278))</f>
        <v>0</v>
      </c>
      <c r="T278" s="53" t="e">
        <f>Tabla14[[#This Row],[DEUDA CAPITAL]]+Tabla14[[#This Row],[INTERES  CUOTA]]</f>
        <v>#NUM!</v>
      </c>
      <c r="U278" s="61" t="str">
        <f t="shared" si="59"/>
        <v/>
      </c>
    </row>
    <row r="279" spans="9:21" ht="24.75" customHeight="1" x14ac:dyDescent="0.35">
      <c r="I279" s="42">
        <f t="shared" si="50"/>
        <v>0</v>
      </c>
      <c r="J279" s="65" t="e">
        <f t="shared" si="51"/>
        <v>#NUM!</v>
      </c>
      <c r="K279" s="83" t="e">
        <f t="shared" si="52"/>
        <v>#NUM!</v>
      </c>
      <c r="L279" s="83">
        <f t="shared" si="53"/>
        <v>0</v>
      </c>
      <c r="M279" s="110" t="str">
        <f t="shared" si="54"/>
        <v/>
      </c>
      <c r="N279" s="51" t="str">
        <f t="shared" si="55"/>
        <v/>
      </c>
      <c r="O279" s="52" t="str">
        <f t="shared" si="56"/>
        <v/>
      </c>
      <c r="P279" s="88">
        <f t="shared" si="57"/>
        <v>0</v>
      </c>
      <c r="Q279" s="88">
        <f t="shared" si="58"/>
        <v>0</v>
      </c>
      <c r="R279" s="88" t="e">
        <f>-IF(Tabla14[[#This Row],[DIAS HABILES O MORA]]&lt;0,(Tabla14[[#This Row],[VALOR PRESTAMO]]*Tabla14[[#This Row],[% INTERES ]]/30*U279))+Tabla14[[#This Row],[VALOR CUOTAS]]</f>
        <v>#VALUE!</v>
      </c>
      <c r="S279" s="88">
        <f>-IF(Tabla14[[#This Row],[DIAS HABILES O MORA]]&lt;0,(Tabla14[[#This Row],[VALOR PRESTAMO]]*Tabla14[[#This Row],[% INTERES ]]/30*U279))</f>
        <v>0</v>
      </c>
      <c r="T279" s="53" t="e">
        <f>Tabla14[[#This Row],[DEUDA CAPITAL]]+Tabla14[[#This Row],[INTERES  CUOTA]]</f>
        <v>#NUM!</v>
      </c>
      <c r="U279" s="61" t="str">
        <f t="shared" si="59"/>
        <v/>
      </c>
    </row>
    <row r="280" spans="9:21" ht="24.75" customHeight="1" x14ac:dyDescent="0.35">
      <c r="I280" s="42">
        <f t="shared" si="50"/>
        <v>0</v>
      </c>
      <c r="J280" s="65" t="e">
        <f t="shared" si="51"/>
        <v>#NUM!</v>
      </c>
      <c r="K280" s="83" t="e">
        <f t="shared" si="52"/>
        <v>#NUM!</v>
      </c>
      <c r="L280" s="83">
        <f t="shared" si="53"/>
        <v>0</v>
      </c>
      <c r="M280" s="110" t="str">
        <f t="shared" si="54"/>
        <v/>
      </c>
      <c r="N280" s="51" t="str">
        <f t="shared" si="55"/>
        <v/>
      </c>
      <c r="O280" s="52" t="str">
        <f t="shared" si="56"/>
        <v/>
      </c>
      <c r="P280" s="88">
        <f t="shared" si="57"/>
        <v>0</v>
      </c>
      <c r="Q280" s="88">
        <f t="shared" si="58"/>
        <v>0</v>
      </c>
      <c r="R280" s="88" t="e">
        <f>-IF(Tabla14[[#This Row],[DIAS HABILES O MORA]]&lt;0,(Tabla14[[#This Row],[VALOR PRESTAMO]]*Tabla14[[#This Row],[% INTERES ]]/30*U280))+Tabla14[[#This Row],[VALOR CUOTAS]]</f>
        <v>#VALUE!</v>
      </c>
      <c r="S280" s="88">
        <f>-IF(Tabla14[[#This Row],[DIAS HABILES O MORA]]&lt;0,(Tabla14[[#This Row],[VALOR PRESTAMO]]*Tabla14[[#This Row],[% INTERES ]]/30*U280))</f>
        <v>0</v>
      </c>
      <c r="T280" s="53" t="e">
        <f>Tabla14[[#This Row],[DEUDA CAPITAL]]+Tabla14[[#This Row],[INTERES  CUOTA]]</f>
        <v>#NUM!</v>
      </c>
      <c r="U280" s="61" t="str">
        <f t="shared" si="59"/>
        <v/>
      </c>
    </row>
    <row r="281" spans="9:21" ht="24.75" customHeight="1" x14ac:dyDescent="0.35">
      <c r="I281" s="42">
        <f t="shared" si="50"/>
        <v>0</v>
      </c>
      <c r="J281" s="65" t="e">
        <f t="shared" si="51"/>
        <v>#NUM!</v>
      </c>
      <c r="K281" s="83" t="e">
        <f t="shared" si="52"/>
        <v>#NUM!</v>
      </c>
      <c r="L281" s="83">
        <f t="shared" si="53"/>
        <v>0</v>
      </c>
      <c r="M281" s="110" t="str">
        <f t="shared" si="54"/>
        <v/>
      </c>
      <c r="N281" s="51" t="str">
        <f t="shared" si="55"/>
        <v/>
      </c>
      <c r="O281" s="52" t="str">
        <f t="shared" si="56"/>
        <v/>
      </c>
      <c r="P281" s="88">
        <f t="shared" si="57"/>
        <v>0</v>
      </c>
      <c r="Q281" s="88">
        <f t="shared" si="58"/>
        <v>0</v>
      </c>
      <c r="R281" s="88" t="e">
        <f>-IF(Tabla14[[#This Row],[DIAS HABILES O MORA]]&lt;0,(Tabla14[[#This Row],[VALOR PRESTAMO]]*Tabla14[[#This Row],[% INTERES ]]/30*U281))+Tabla14[[#This Row],[VALOR CUOTAS]]</f>
        <v>#VALUE!</v>
      </c>
      <c r="S281" s="88">
        <f>-IF(Tabla14[[#This Row],[DIAS HABILES O MORA]]&lt;0,(Tabla14[[#This Row],[VALOR PRESTAMO]]*Tabla14[[#This Row],[% INTERES ]]/30*U281))</f>
        <v>0</v>
      </c>
      <c r="T281" s="53" t="e">
        <f>Tabla14[[#This Row],[DEUDA CAPITAL]]+Tabla14[[#This Row],[INTERES  CUOTA]]</f>
        <v>#NUM!</v>
      </c>
      <c r="U281" s="61" t="str">
        <f t="shared" si="59"/>
        <v/>
      </c>
    </row>
    <row r="282" spans="9:21" ht="24.75" customHeight="1" x14ac:dyDescent="0.35">
      <c r="I282" s="42">
        <f t="shared" si="50"/>
        <v>0</v>
      </c>
      <c r="J282" s="65" t="e">
        <f t="shared" si="51"/>
        <v>#NUM!</v>
      </c>
      <c r="K282" s="83" t="e">
        <f t="shared" si="52"/>
        <v>#NUM!</v>
      </c>
      <c r="L282" s="83">
        <f t="shared" si="53"/>
        <v>0</v>
      </c>
      <c r="M282" s="110" t="str">
        <f t="shared" si="54"/>
        <v/>
      </c>
      <c r="N282" s="51" t="str">
        <f t="shared" si="55"/>
        <v/>
      </c>
      <c r="O282" s="52" t="str">
        <f t="shared" si="56"/>
        <v/>
      </c>
      <c r="P282" s="88">
        <f t="shared" si="57"/>
        <v>0</v>
      </c>
      <c r="Q282" s="88">
        <f t="shared" si="58"/>
        <v>0</v>
      </c>
      <c r="R282" s="88" t="e">
        <f>-IF(Tabla14[[#This Row],[DIAS HABILES O MORA]]&lt;0,(Tabla14[[#This Row],[VALOR PRESTAMO]]*Tabla14[[#This Row],[% INTERES ]]/30*U282))+Tabla14[[#This Row],[VALOR CUOTAS]]</f>
        <v>#VALUE!</v>
      </c>
      <c r="S282" s="88">
        <f>-IF(Tabla14[[#This Row],[DIAS HABILES O MORA]]&lt;0,(Tabla14[[#This Row],[VALOR PRESTAMO]]*Tabla14[[#This Row],[% INTERES ]]/30*U282))</f>
        <v>0</v>
      </c>
      <c r="T282" s="53" t="e">
        <f>Tabla14[[#This Row],[DEUDA CAPITAL]]+Tabla14[[#This Row],[INTERES  CUOTA]]</f>
        <v>#NUM!</v>
      </c>
      <c r="U282" s="61" t="str">
        <f t="shared" si="59"/>
        <v/>
      </c>
    </row>
    <row r="283" spans="9:21" ht="24.75" customHeight="1" x14ac:dyDescent="0.35">
      <c r="I283" s="42">
        <f t="shared" si="50"/>
        <v>0</v>
      </c>
      <c r="J283" s="65" t="e">
        <f t="shared" si="51"/>
        <v>#NUM!</v>
      </c>
      <c r="K283" s="83" t="e">
        <f t="shared" si="52"/>
        <v>#NUM!</v>
      </c>
      <c r="L283" s="83">
        <f t="shared" si="53"/>
        <v>0</v>
      </c>
      <c r="M283" s="110" t="str">
        <f t="shared" si="54"/>
        <v/>
      </c>
      <c r="N283" s="51" t="str">
        <f t="shared" si="55"/>
        <v/>
      </c>
      <c r="O283" s="52" t="str">
        <f t="shared" si="56"/>
        <v/>
      </c>
      <c r="P283" s="88">
        <f t="shared" si="57"/>
        <v>0</v>
      </c>
      <c r="Q283" s="88">
        <f t="shared" si="58"/>
        <v>0</v>
      </c>
      <c r="R283" s="88" t="e">
        <f>-IF(Tabla14[[#This Row],[DIAS HABILES O MORA]]&lt;0,(Tabla14[[#This Row],[VALOR PRESTAMO]]*Tabla14[[#This Row],[% INTERES ]]/30*U283))+Tabla14[[#This Row],[VALOR CUOTAS]]</f>
        <v>#VALUE!</v>
      </c>
      <c r="S283" s="88">
        <f>-IF(Tabla14[[#This Row],[DIAS HABILES O MORA]]&lt;0,(Tabla14[[#This Row],[VALOR PRESTAMO]]*Tabla14[[#This Row],[% INTERES ]]/30*U283))</f>
        <v>0</v>
      </c>
      <c r="T283" s="53" t="e">
        <f>Tabla14[[#This Row],[DEUDA CAPITAL]]+Tabla14[[#This Row],[INTERES  CUOTA]]</f>
        <v>#NUM!</v>
      </c>
      <c r="U283" s="61" t="str">
        <f t="shared" si="59"/>
        <v/>
      </c>
    </row>
    <row r="284" spans="9:21" ht="24.75" customHeight="1" x14ac:dyDescent="0.35">
      <c r="I284" s="42">
        <f t="shared" si="50"/>
        <v>0</v>
      </c>
      <c r="J284" s="65" t="e">
        <f t="shared" si="51"/>
        <v>#NUM!</v>
      </c>
      <c r="K284" s="83" t="e">
        <f t="shared" si="52"/>
        <v>#NUM!</v>
      </c>
      <c r="L284" s="83">
        <f t="shared" si="53"/>
        <v>0</v>
      </c>
      <c r="M284" s="110" t="str">
        <f t="shared" si="54"/>
        <v/>
      </c>
      <c r="N284" s="51" t="str">
        <f t="shared" si="55"/>
        <v/>
      </c>
      <c r="O284" s="52" t="str">
        <f t="shared" si="56"/>
        <v/>
      </c>
      <c r="P284" s="88">
        <f t="shared" si="57"/>
        <v>0</v>
      </c>
      <c r="Q284" s="88">
        <f t="shared" si="58"/>
        <v>0</v>
      </c>
      <c r="R284" s="88" t="e">
        <f>-IF(Tabla14[[#This Row],[DIAS HABILES O MORA]]&lt;0,(Tabla14[[#This Row],[VALOR PRESTAMO]]*Tabla14[[#This Row],[% INTERES ]]/30*U284))+Tabla14[[#This Row],[VALOR CUOTAS]]</f>
        <v>#VALUE!</v>
      </c>
      <c r="S284" s="88">
        <f>-IF(Tabla14[[#This Row],[DIAS HABILES O MORA]]&lt;0,(Tabla14[[#This Row],[VALOR PRESTAMO]]*Tabla14[[#This Row],[% INTERES ]]/30*U284))</f>
        <v>0</v>
      </c>
      <c r="T284" s="53" t="e">
        <f>Tabla14[[#This Row],[DEUDA CAPITAL]]+Tabla14[[#This Row],[INTERES  CUOTA]]</f>
        <v>#NUM!</v>
      </c>
      <c r="U284" s="61" t="str">
        <f t="shared" si="59"/>
        <v/>
      </c>
    </row>
    <row r="285" spans="9:21" ht="24.75" customHeight="1" x14ac:dyDescent="0.35">
      <c r="I285" s="42">
        <f t="shared" si="50"/>
        <v>0</v>
      </c>
      <c r="J285" s="65" t="e">
        <f t="shared" si="51"/>
        <v>#NUM!</v>
      </c>
      <c r="K285" s="83" t="e">
        <f t="shared" si="52"/>
        <v>#NUM!</v>
      </c>
      <c r="L285" s="83">
        <f t="shared" si="53"/>
        <v>0</v>
      </c>
      <c r="M285" s="110" t="str">
        <f t="shared" si="54"/>
        <v/>
      </c>
      <c r="N285" s="51" t="str">
        <f t="shared" si="55"/>
        <v/>
      </c>
      <c r="O285" s="52" t="str">
        <f t="shared" si="56"/>
        <v/>
      </c>
      <c r="P285" s="88">
        <f t="shared" si="57"/>
        <v>0</v>
      </c>
      <c r="Q285" s="88">
        <f t="shared" si="58"/>
        <v>0</v>
      </c>
      <c r="R285" s="88" t="e">
        <f>-IF(Tabla14[[#This Row],[DIAS HABILES O MORA]]&lt;0,(Tabla14[[#This Row],[VALOR PRESTAMO]]*Tabla14[[#This Row],[% INTERES ]]/30*U285))+Tabla14[[#This Row],[VALOR CUOTAS]]</f>
        <v>#VALUE!</v>
      </c>
      <c r="S285" s="88">
        <f>-IF(Tabla14[[#This Row],[DIAS HABILES O MORA]]&lt;0,(Tabla14[[#This Row],[VALOR PRESTAMO]]*Tabla14[[#This Row],[% INTERES ]]/30*U285))</f>
        <v>0</v>
      </c>
      <c r="T285" s="53" t="e">
        <f>Tabla14[[#This Row],[DEUDA CAPITAL]]+Tabla14[[#This Row],[INTERES  CUOTA]]</f>
        <v>#NUM!</v>
      </c>
      <c r="U285" s="61" t="str">
        <f t="shared" si="59"/>
        <v/>
      </c>
    </row>
    <row r="286" spans="9:21" ht="24.75" customHeight="1" x14ac:dyDescent="0.35">
      <c r="I286" s="42">
        <f t="shared" si="50"/>
        <v>0</v>
      </c>
      <c r="J286" s="65" t="e">
        <f t="shared" si="51"/>
        <v>#NUM!</v>
      </c>
      <c r="K286" s="83" t="e">
        <f t="shared" si="52"/>
        <v>#NUM!</v>
      </c>
      <c r="L286" s="83">
        <f t="shared" si="53"/>
        <v>0</v>
      </c>
      <c r="M286" s="110" t="str">
        <f t="shared" si="54"/>
        <v/>
      </c>
      <c r="N286" s="51" t="str">
        <f t="shared" si="55"/>
        <v/>
      </c>
      <c r="O286" s="52" t="str">
        <f t="shared" si="56"/>
        <v/>
      </c>
      <c r="P286" s="88">
        <f t="shared" si="57"/>
        <v>0</v>
      </c>
      <c r="Q286" s="88">
        <f t="shared" si="58"/>
        <v>0</v>
      </c>
      <c r="R286" s="88" t="e">
        <f>-IF(Tabla14[[#This Row],[DIAS HABILES O MORA]]&lt;0,(Tabla14[[#This Row],[VALOR PRESTAMO]]*Tabla14[[#This Row],[% INTERES ]]/30*U286))+Tabla14[[#This Row],[VALOR CUOTAS]]</f>
        <v>#VALUE!</v>
      </c>
      <c r="S286" s="88">
        <f>-IF(Tabla14[[#This Row],[DIAS HABILES O MORA]]&lt;0,(Tabla14[[#This Row],[VALOR PRESTAMO]]*Tabla14[[#This Row],[% INTERES ]]/30*U286))</f>
        <v>0</v>
      </c>
      <c r="T286" s="53" t="e">
        <f>Tabla14[[#This Row],[DEUDA CAPITAL]]+Tabla14[[#This Row],[INTERES  CUOTA]]</f>
        <v>#NUM!</v>
      </c>
      <c r="U286" s="61" t="str">
        <f t="shared" si="59"/>
        <v/>
      </c>
    </row>
    <row r="287" spans="9:21" ht="24.75" customHeight="1" x14ac:dyDescent="0.35">
      <c r="I287" s="42">
        <f t="shared" si="50"/>
        <v>0</v>
      </c>
      <c r="J287" s="65" t="e">
        <f t="shared" si="51"/>
        <v>#NUM!</v>
      </c>
      <c r="K287" s="83" t="e">
        <f t="shared" si="52"/>
        <v>#NUM!</v>
      </c>
      <c r="L287" s="83">
        <f t="shared" si="53"/>
        <v>0</v>
      </c>
      <c r="M287" s="110" t="str">
        <f t="shared" si="54"/>
        <v/>
      </c>
      <c r="N287" s="51" t="str">
        <f t="shared" si="55"/>
        <v/>
      </c>
      <c r="O287" s="52" t="str">
        <f t="shared" si="56"/>
        <v/>
      </c>
      <c r="P287" s="88">
        <f t="shared" si="57"/>
        <v>0</v>
      </c>
      <c r="Q287" s="88">
        <f t="shared" si="58"/>
        <v>0</v>
      </c>
      <c r="R287" s="88" t="e">
        <f>-IF(Tabla14[[#This Row],[DIAS HABILES O MORA]]&lt;0,(Tabla14[[#This Row],[VALOR PRESTAMO]]*Tabla14[[#This Row],[% INTERES ]]/30*U287))+Tabla14[[#This Row],[VALOR CUOTAS]]</f>
        <v>#VALUE!</v>
      </c>
      <c r="S287" s="88">
        <f>-IF(Tabla14[[#This Row],[DIAS HABILES O MORA]]&lt;0,(Tabla14[[#This Row],[VALOR PRESTAMO]]*Tabla14[[#This Row],[% INTERES ]]/30*U287))</f>
        <v>0</v>
      </c>
      <c r="T287" s="53" t="e">
        <f>Tabla14[[#This Row],[DEUDA CAPITAL]]+Tabla14[[#This Row],[INTERES  CUOTA]]</f>
        <v>#NUM!</v>
      </c>
      <c r="U287" s="61" t="str">
        <f t="shared" si="59"/>
        <v/>
      </c>
    </row>
    <row r="288" spans="9:21" ht="24.75" customHeight="1" x14ac:dyDescent="0.35">
      <c r="I288" s="42">
        <f t="shared" si="50"/>
        <v>0</v>
      </c>
      <c r="J288" s="65" t="e">
        <f t="shared" si="51"/>
        <v>#NUM!</v>
      </c>
      <c r="K288" s="83" t="e">
        <f t="shared" si="52"/>
        <v>#NUM!</v>
      </c>
      <c r="L288" s="83">
        <f t="shared" si="53"/>
        <v>0</v>
      </c>
      <c r="M288" s="110" t="str">
        <f t="shared" si="54"/>
        <v/>
      </c>
      <c r="N288" s="51" t="str">
        <f t="shared" si="55"/>
        <v/>
      </c>
      <c r="O288" s="52" t="str">
        <f t="shared" si="56"/>
        <v/>
      </c>
      <c r="P288" s="88">
        <f t="shared" si="57"/>
        <v>0</v>
      </c>
      <c r="Q288" s="88">
        <f t="shared" si="58"/>
        <v>0</v>
      </c>
      <c r="R288" s="88" t="e">
        <f>-IF(Tabla14[[#This Row],[DIAS HABILES O MORA]]&lt;0,(Tabla14[[#This Row],[VALOR PRESTAMO]]*Tabla14[[#This Row],[% INTERES ]]/30*U288))+Tabla14[[#This Row],[VALOR CUOTAS]]</f>
        <v>#VALUE!</v>
      </c>
      <c r="S288" s="88">
        <f>-IF(Tabla14[[#This Row],[DIAS HABILES O MORA]]&lt;0,(Tabla14[[#This Row],[VALOR PRESTAMO]]*Tabla14[[#This Row],[% INTERES ]]/30*U288))</f>
        <v>0</v>
      </c>
      <c r="T288" s="53" t="e">
        <f>Tabla14[[#This Row],[DEUDA CAPITAL]]+Tabla14[[#This Row],[INTERES  CUOTA]]</f>
        <v>#NUM!</v>
      </c>
      <c r="U288" s="61" t="str">
        <f t="shared" si="59"/>
        <v/>
      </c>
    </row>
    <row r="289" spans="9:21" ht="24.75" customHeight="1" x14ac:dyDescent="0.35">
      <c r="I289" s="42">
        <f t="shared" si="50"/>
        <v>0</v>
      </c>
      <c r="J289" s="65" t="e">
        <f t="shared" si="51"/>
        <v>#NUM!</v>
      </c>
      <c r="K289" s="83" t="e">
        <f t="shared" si="52"/>
        <v>#NUM!</v>
      </c>
      <c r="L289" s="83">
        <f t="shared" si="53"/>
        <v>0</v>
      </c>
      <c r="M289" s="110" t="str">
        <f t="shared" si="54"/>
        <v/>
      </c>
      <c r="N289" s="51" t="str">
        <f t="shared" si="55"/>
        <v/>
      </c>
      <c r="O289" s="52" t="str">
        <f t="shared" si="56"/>
        <v/>
      </c>
      <c r="P289" s="88">
        <f t="shared" si="57"/>
        <v>0</v>
      </c>
      <c r="Q289" s="88">
        <f t="shared" si="58"/>
        <v>0</v>
      </c>
      <c r="R289" s="88" t="e">
        <f>-IF(Tabla14[[#This Row],[DIAS HABILES O MORA]]&lt;0,(Tabla14[[#This Row],[VALOR PRESTAMO]]*Tabla14[[#This Row],[% INTERES ]]/30*U289))+Tabla14[[#This Row],[VALOR CUOTAS]]</f>
        <v>#VALUE!</v>
      </c>
      <c r="S289" s="88">
        <f>-IF(Tabla14[[#This Row],[DIAS HABILES O MORA]]&lt;0,(Tabla14[[#This Row],[VALOR PRESTAMO]]*Tabla14[[#This Row],[% INTERES ]]/30*U289))</f>
        <v>0</v>
      </c>
      <c r="T289" s="53" t="e">
        <f>Tabla14[[#This Row],[DEUDA CAPITAL]]+Tabla14[[#This Row],[INTERES  CUOTA]]</f>
        <v>#NUM!</v>
      </c>
      <c r="U289" s="61" t="str">
        <f t="shared" si="59"/>
        <v/>
      </c>
    </row>
    <row r="290" spans="9:21" ht="24.75" customHeight="1" x14ac:dyDescent="0.35">
      <c r="I290" s="42">
        <f t="shared" si="50"/>
        <v>0</v>
      </c>
      <c r="J290" s="65" t="e">
        <f t="shared" si="51"/>
        <v>#NUM!</v>
      </c>
      <c r="K290" s="83" t="e">
        <f t="shared" si="52"/>
        <v>#NUM!</v>
      </c>
      <c r="L290" s="83">
        <f t="shared" si="53"/>
        <v>0</v>
      </c>
      <c r="M290" s="110" t="str">
        <f t="shared" si="54"/>
        <v/>
      </c>
      <c r="N290" s="51" t="str">
        <f t="shared" si="55"/>
        <v/>
      </c>
      <c r="O290" s="52" t="str">
        <f t="shared" si="56"/>
        <v/>
      </c>
      <c r="P290" s="88">
        <f t="shared" si="57"/>
        <v>0</v>
      </c>
      <c r="Q290" s="88">
        <f t="shared" si="58"/>
        <v>0</v>
      </c>
      <c r="R290" s="88" t="e">
        <f>-IF(Tabla14[[#This Row],[DIAS HABILES O MORA]]&lt;0,(Tabla14[[#This Row],[VALOR PRESTAMO]]*Tabla14[[#This Row],[% INTERES ]]/30*U290))+Tabla14[[#This Row],[VALOR CUOTAS]]</f>
        <v>#VALUE!</v>
      </c>
      <c r="S290" s="88">
        <f>-IF(Tabla14[[#This Row],[DIAS HABILES O MORA]]&lt;0,(Tabla14[[#This Row],[VALOR PRESTAMO]]*Tabla14[[#This Row],[% INTERES ]]/30*U290))</f>
        <v>0</v>
      </c>
      <c r="T290" s="53" t="e">
        <f>Tabla14[[#This Row],[DEUDA CAPITAL]]+Tabla14[[#This Row],[INTERES  CUOTA]]</f>
        <v>#NUM!</v>
      </c>
      <c r="U290" s="61" t="str">
        <f t="shared" si="59"/>
        <v/>
      </c>
    </row>
    <row r="291" spans="9:21" ht="24.75" customHeight="1" x14ac:dyDescent="0.35">
      <c r="I291" s="42">
        <f t="shared" si="50"/>
        <v>0</v>
      </c>
      <c r="J291" s="65" t="e">
        <f t="shared" si="51"/>
        <v>#NUM!</v>
      </c>
      <c r="K291" s="83" t="e">
        <f t="shared" si="52"/>
        <v>#NUM!</v>
      </c>
      <c r="L291" s="83">
        <f t="shared" si="53"/>
        <v>0</v>
      </c>
      <c r="M291" s="110" t="str">
        <f t="shared" si="54"/>
        <v/>
      </c>
      <c r="N291" s="51" t="str">
        <f t="shared" si="55"/>
        <v/>
      </c>
      <c r="O291" s="52" t="str">
        <f t="shared" si="56"/>
        <v/>
      </c>
      <c r="P291" s="88">
        <f t="shared" si="57"/>
        <v>0</v>
      </c>
      <c r="Q291" s="88">
        <f t="shared" si="58"/>
        <v>0</v>
      </c>
      <c r="R291" s="88" t="e">
        <f>-IF(Tabla14[[#This Row],[DIAS HABILES O MORA]]&lt;0,(Tabla14[[#This Row],[VALOR PRESTAMO]]*Tabla14[[#This Row],[% INTERES ]]/30*U291))+Tabla14[[#This Row],[VALOR CUOTAS]]</f>
        <v>#VALUE!</v>
      </c>
      <c r="S291" s="88">
        <f>-IF(Tabla14[[#This Row],[DIAS HABILES O MORA]]&lt;0,(Tabla14[[#This Row],[VALOR PRESTAMO]]*Tabla14[[#This Row],[% INTERES ]]/30*U291))</f>
        <v>0</v>
      </c>
      <c r="T291" s="53" t="e">
        <f>Tabla14[[#This Row],[DEUDA CAPITAL]]+Tabla14[[#This Row],[INTERES  CUOTA]]</f>
        <v>#NUM!</v>
      </c>
      <c r="U291" s="61" t="str">
        <f t="shared" si="59"/>
        <v/>
      </c>
    </row>
    <row r="292" spans="9:21" ht="24.75" customHeight="1" x14ac:dyDescent="0.35">
      <c r="I292" s="42">
        <f t="shared" si="50"/>
        <v>0</v>
      </c>
      <c r="J292" s="65" t="e">
        <f t="shared" si="51"/>
        <v>#NUM!</v>
      </c>
      <c r="K292" s="83" t="e">
        <f t="shared" si="52"/>
        <v>#NUM!</v>
      </c>
      <c r="L292" s="83">
        <f t="shared" si="53"/>
        <v>0</v>
      </c>
      <c r="M292" s="110" t="str">
        <f t="shared" si="54"/>
        <v/>
      </c>
      <c r="N292" s="51" t="str">
        <f t="shared" si="55"/>
        <v/>
      </c>
      <c r="O292" s="52" t="str">
        <f t="shared" si="56"/>
        <v/>
      </c>
      <c r="P292" s="88">
        <f t="shared" si="57"/>
        <v>0</v>
      </c>
      <c r="Q292" s="88">
        <f t="shared" si="58"/>
        <v>0</v>
      </c>
      <c r="R292" s="88" t="e">
        <f>-IF(Tabla14[[#This Row],[DIAS HABILES O MORA]]&lt;0,(Tabla14[[#This Row],[VALOR PRESTAMO]]*Tabla14[[#This Row],[% INTERES ]]/30*U292))+Tabla14[[#This Row],[VALOR CUOTAS]]</f>
        <v>#VALUE!</v>
      </c>
      <c r="S292" s="88">
        <f>-IF(Tabla14[[#This Row],[DIAS HABILES O MORA]]&lt;0,(Tabla14[[#This Row],[VALOR PRESTAMO]]*Tabla14[[#This Row],[% INTERES ]]/30*U292))</f>
        <v>0</v>
      </c>
      <c r="T292" s="53" t="e">
        <f>Tabla14[[#This Row],[DEUDA CAPITAL]]+Tabla14[[#This Row],[INTERES  CUOTA]]</f>
        <v>#NUM!</v>
      </c>
      <c r="U292" s="61" t="str">
        <f t="shared" si="59"/>
        <v/>
      </c>
    </row>
    <row r="293" spans="9:21" ht="24.75" customHeight="1" x14ac:dyDescent="0.35">
      <c r="I293" s="42">
        <f t="shared" si="50"/>
        <v>0</v>
      </c>
      <c r="J293" s="65" t="e">
        <f t="shared" si="51"/>
        <v>#NUM!</v>
      </c>
      <c r="K293" s="83" t="e">
        <f t="shared" si="52"/>
        <v>#NUM!</v>
      </c>
      <c r="L293" s="83">
        <f t="shared" si="53"/>
        <v>0</v>
      </c>
      <c r="M293" s="110" t="str">
        <f t="shared" si="54"/>
        <v/>
      </c>
      <c r="N293" s="51" t="str">
        <f t="shared" si="55"/>
        <v/>
      </c>
      <c r="O293" s="52" t="str">
        <f t="shared" si="56"/>
        <v/>
      </c>
      <c r="P293" s="88">
        <f t="shared" si="57"/>
        <v>0</v>
      </c>
      <c r="Q293" s="88">
        <f t="shared" si="58"/>
        <v>0</v>
      </c>
      <c r="R293" s="88" t="e">
        <f>-IF(Tabla14[[#This Row],[DIAS HABILES O MORA]]&lt;0,(Tabla14[[#This Row],[VALOR PRESTAMO]]*Tabla14[[#This Row],[% INTERES ]]/30*U293))+Tabla14[[#This Row],[VALOR CUOTAS]]</f>
        <v>#VALUE!</v>
      </c>
      <c r="S293" s="88">
        <f>-IF(Tabla14[[#This Row],[DIAS HABILES O MORA]]&lt;0,(Tabla14[[#This Row],[VALOR PRESTAMO]]*Tabla14[[#This Row],[% INTERES ]]/30*U293))</f>
        <v>0</v>
      </c>
      <c r="T293" s="53" t="e">
        <f>Tabla14[[#This Row],[DEUDA CAPITAL]]+Tabla14[[#This Row],[INTERES  CUOTA]]</f>
        <v>#NUM!</v>
      </c>
      <c r="U293" s="61" t="str">
        <f t="shared" si="59"/>
        <v/>
      </c>
    </row>
    <row r="294" spans="9:21" ht="24.75" customHeight="1" x14ac:dyDescent="0.35">
      <c r="I294" s="42">
        <f t="shared" si="50"/>
        <v>0</v>
      </c>
      <c r="J294" s="65" t="e">
        <f t="shared" si="51"/>
        <v>#NUM!</v>
      </c>
      <c r="K294" s="83" t="e">
        <f t="shared" si="52"/>
        <v>#NUM!</v>
      </c>
      <c r="L294" s="83">
        <f t="shared" si="53"/>
        <v>0</v>
      </c>
      <c r="M294" s="110" t="str">
        <f t="shared" si="54"/>
        <v/>
      </c>
      <c r="N294" s="51" t="str">
        <f t="shared" si="55"/>
        <v/>
      </c>
      <c r="O294" s="52" t="str">
        <f t="shared" si="56"/>
        <v/>
      </c>
      <c r="P294" s="88">
        <f t="shared" si="57"/>
        <v>0</v>
      </c>
      <c r="Q294" s="88">
        <f t="shared" si="58"/>
        <v>0</v>
      </c>
      <c r="R294" s="88" t="e">
        <f>-IF(Tabla14[[#This Row],[DIAS HABILES O MORA]]&lt;0,(Tabla14[[#This Row],[VALOR PRESTAMO]]*Tabla14[[#This Row],[% INTERES ]]/30*U294))+Tabla14[[#This Row],[VALOR CUOTAS]]</f>
        <v>#VALUE!</v>
      </c>
      <c r="S294" s="88">
        <f>-IF(Tabla14[[#This Row],[DIAS HABILES O MORA]]&lt;0,(Tabla14[[#This Row],[VALOR PRESTAMO]]*Tabla14[[#This Row],[% INTERES ]]/30*U294))</f>
        <v>0</v>
      </c>
      <c r="T294" s="53" t="e">
        <f>Tabla14[[#This Row],[DEUDA CAPITAL]]+Tabla14[[#This Row],[INTERES  CUOTA]]</f>
        <v>#NUM!</v>
      </c>
      <c r="U294" s="61" t="str">
        <f t="shared" si="59"/>
        <v/>
      </c>
    </row>
    <row r="295" spans="9:21" ht="24.75" customHeight="1" x14ac:dyDescent="0.35">
      <c r="I295" s="42">
        <f t="shared" si="50"/>
        <v>0</v>
      </c>
      <c r="J295" s="65" t="e">
        <f t="shared" si="51"/>
        <v>#NUM!</v>
      </c>
      <c r="K295" s="83" t="e">
        <f t="shared" si="52"/>
        <v>#NUM!</v>
      </c>
      <c r="L295" s="83">
        <f t="shared" si="53"/>
        <v>0</v>
      </c>
      <c r="M295" s="110" t="str">
        <f t="shared" si="54"/>
        <v/>
      </c>
      <c r="N295" s="51" t="str">
        <f t="shared" si="55"/>
        <v/>
      </c>
      <c r="O295" s="52" t="str">
        <f t="shared" si="56"/>
        <v/>
      </c>
      <c r="P295" s="88">
        <f t="shared" si="57"/>
        <v>0</v>
      </c>
      <c r="Q295" s="88">
        <f t="shared" si="58"/>
        <v>0</v>
      </c>
      <c r="R295" s="88" t="e">
        <f>-IF(Tabla14[[#This Row],[DIAS HABILES O MORA]]&lt;0,(Tabla14[[#This Row],[VALOR PRESTAMO]]*Tabla14[[#This Row],[% INTERES ]]/30*U295))+Tabla14[[#This Row],[VALOR CUOTAS]]</f>
        <v>#VALUE!</v>
      </c>
      <c r="S295" s="88">
        <f>-IF(Tabla14[[#This Row],[DIAS HABILES O MORA]]&lt;0,(Tabla14[[#This Row],[VALOR PRESTAMO]]*Tabla14[[#This Row],[% INTERES ]]/30*U295))</f>
        <v>0</v>
      </c>
      <c r="T295" s="53" t="e">
        <f>Tabla14[[#This Row],[DEUDA CAPITAL]]+Tabla14[[#This Row],[INTERES  CUOTA]]</f>
        <v>#NUM!</v>
      </c>
      <c r="U295" s="61" t="str">
        <f t="shared" si="59"/>
        <v/>
      </c>
    </row>
    <row r="296" spans="9:21" ht="24.75" customHeight="1" x14ac:dyDescent="0.35">
      <c r="I296" s="42">
        <f t="shared" si="50"/>
        <v>0</v>
      </c>
      <c r="J296" s="65" t="e">
        <f t="shared" si="51"/>
        <v>#NUM!</v>
      </c>
      <c r="K296" s="83" t="e">
        <f t="shared" si="52"/>
        <v>#NUM!</v>
      </c>
      <c r="L296" s="83">
        <f t="shared" si="53"/>
        <v>0</v>
      </c>
      <c r="M296" s="110" t="str">
        <f t="shared" si="54"/>
        <v/>
      </c>
      <c r="N296" s="51" t="str">
        <f t="shared" si="55"/>
        <v/>
      </c>
      <c r="O296" s="52" t="str">
        <f t="shared" si="56"/>
        <v/>
      </c>
      <c r="P296" s="88">
        <f t="shared" si="57"/>
        <v>0</v>
      </c>
      <c r="Q296" s="88">
        <f t="shared" si="58"/>
        <v>0</v>
      </c>
      <c r="R296" s="88" t="e">
        <f>-IF(Tabla14[[#This Row],[DIAS HABILES O MORA]]&lt;0,(Tabla14[[#This Row],[VALOR PRESTAMO]]*Tabla14[[#This Row],[% INTERES ]]/30*U296))+Tabla14[[#This Row],[VALOR CUOTAS]]</f>
        <v>#VALUE!</v>
      </c>
      <c r="S296" s="88">
        <f>-IF(Tabla14[[#This Row],[DIAS HABILES O MORA]]&lt;0,(Tabla14[[#This Row],[VALOR PRESTAMO]]*Tabla14[[#This Row],[% INTERES ]]/30*U296))</f>
        <v>0</v>
      </c>
      <c r="T296" s="53" t="e">
        <f>Tabla14[[#This Row],[DEUDA CAPITAL]]+Tabla14[[#This Row],[INTERES  CUOTA]]</f>
        <v>#NUM!</v>
      </c>
      <c r="U296" s="61" t="str">
        <f t="shared" si="59"/>
        <v/>
      </c>
    </row>
    <row r="297" spans="9:21" ht="24.75" customHeight="1" x14ac:dyDescent="0.35">
      <c r="I297" s="42">
        <f t="shared" si="50"/>
        <v>0</v>
      </c>
      <c r="J297" s="65" t="e">
        <f t="shared" si="51"/>
        <v>#NUM!</v>
      </c>
      <c r="K297" s="83" t="e">
        <f t="shared" si="52"/>
        <v>#NUM!</v>
      </c>
      <c r="L297" s="83">
        <f t="shared" si="53"/>
        <v>0</v>
      </c>
      <c r="M297" s="110" t="str">
        <f t="shared" si="54"/>
        <v/>
      </c>
      <c r="N297" s="51" t="str">
        <f t="shared" si="55"/>
        <v/>
      </c>
      <c r="O297" s="52" t="str">
        <f t="shared" si="56"/>
        <v/>
      </c>
      <c r="P297" s="88">
        <f t="shared" si="57"/>
        <v>0</v>
      </c>
      <c r="Q297" s="88">
        <f t="shared" si="58"/>
        <v>0</v>
      </c>
      <c r="R297" s="88" t="e">
        <f>-IF(Tabla14[[#This Row],[DIAS HABILES O MORA]]&lt;0,(Tabla14[[#This Row],[VALOR PRESTAMO]]*Tabla14[[#This Row],[% INTERES ]]/30*U297))+Tabla14[[#This Row],[VALOR CUOTAS]]</f>
        <v>#VALUE!</v>
      </c>
      <c r="S297" s="88">
        <f>-IF(Tabla14[[#This Row],[DIAS HABILES O MORA]]&lt;0,(Tabla14[[#This Row],[VALOR PRESTAMO]]*Tabla14[[#This Row],[% INTERES ]]/30*U297))</f>
        <v>0</v>
      </c>
      <c r="T297" s="53" t="e">
        <f>Tabla14[[#This Row],[DEUDA CAPITAL]]+Tabla14[[#This Row],[INTERES  CUOTA]]</f>
        <v>#NUM!</v>
      </c>
      <c r="U297" s="61" t="str">
        <f t="shared" si="59"/>
        <v/>
      </c>
    </row>
    <row r="298" spans="9:21" ht="24.75" customHeight="1" x14ac:dyDescent="0.35">
      <c r="I298" s="42">
        <f t="shared" si="50"/>
        <v>0</v>
      </c>
      <c r="J298" s="65" t="e">
        <f t="shared" si="51"/>
        <v>#NUM!</v>
      </c>
      <c r="K298" s="83" t="e">
        <f t="shared" si="52"/>
        <v>#NUM!</v>
      </c>
      <c r="L298" s="83">
        <f t="shared" si="53"/>
        <v>0</v>
      </c>
      <c r="M298" s="110" t="str">
        <f t="shared" si="54"/>
        <v/>
      </c>
      <c r="N298" s="51" t="str">
        <f t="shared" si="55"/>
        <v/>
      </c>
      <c r="O298" s="52" t="str">
        <f t="shared" si="56"/>
        <v/>
      </c>
      <c r="P298" s="88">
        <f t="shared" si="57"/>
        <v>0</v>
      </c>
      <c r="Q298" s="88">
        <f t="shared" si="58"/>
        <v>0</v>
      </c>
      <c r="R298" s="88" t="e">
        <f>-IF(Tabla14[[#This Row],[DIAS HABILES O MORA]]&lt;0,(Tabla14[[#This Row],[VALOR PRESTAMO]]*Tabla14[[#This Row],[% INTERES ]]/30*U298))+Tabla14[[#This Row],[VALOR CUOTAS]]</f>
        <v>#VALUE!</v>
      </c>
      <c r="S298" s="88">
        <f>-IF(Tabla14[[#This Row],[DIAS HABILES O MORA]]&lt;0,(Tabla14[[#This Row],[VALOR PRESTAMO]]*Tabla14[[#This Row],[% INTERES ]]/30*U298))</f>
        <v>0</v>
      </c>
      <c r="T298" s="53" t="e">
        <f>Tabla14[[#This Row],[DEUDA CAPITAL]]+Tabla14[[#This Row],[INTERES  CUOTA]]</f>
        <v>#NUM!</v>
      </c>
      <c r="U298" s="61" t="str">
        <f t="shared" si="59"/>
        <v/>
      </c>
    </row>
    <row r="299" spans="9:21" ht="24.75" customHeight="1" x14ac:dyDescent="0.35">
      <c r="I299" s="42">
        <f t="shared" si="50"/>
        <v>0</v>
      </c>
      <c r="J299" s="65" t="e">
        <f t="shared" si="51"/>
        <v>#NUM!</v>
      </c>
      <c r="K299" s="83" t="e">
        <f t="shared" si="52"/>
        <v>#NUM!</v>
      </c>
      <c r="L299" s="83">
        <f t="shared" si="53"/>
        <v>0</v>
      </c>
      <c r="M299" s="110" t="str">
        <f t="shared" si="54"/>
        <v/>
      </c>
      <c r="N299" s="51" t="str">
        <f t="shared" si="55"/>
        <v/>
      </c>
      <c r="O299" s="52" t="str">
        <f t="shared" si="56"/>
        <v/>
      </c>
      <c r="P299" s="88">
        <f t="shared" si="57"/>
        <v>0</v>
      </c>
      <c r="Q299" s="88">
        <f t="shared" si="58"/>
        <v>0</v>
      </c>
      <c r="R299" s="88" t="e">
        <f>-IF(Tabla14[[#This Row],[DIAS HABILES O MORA]]&lt;0,(Tabla14[[#This Row],[VALOR PRESTAMO]]*Tabla14[[#This Row],[% INTERES ]]/30*U299))+Tabla14[[#This Row],[VALOR CUOTAS]]</f>
        <v>#VALUE!</v>
      </c>
      <c r="S299" s="88">
        <f>-IF(Tabla14[[#This Row],[DIAS HABILES O MORA]]&lt;0,(Tabla14[[#This Row],[VALOR PRESTAMO]]*Tabla14[[#This Row],[% INTERES ]]/30*U299))</f>
        <v>0</v>
      </c>
      <c r="T299" s="53" t="e">
        <f>Tabla14[[#This Row],[DEUDA CAPITAL]]+Tabla14[[#This Row],[INTERES  CUOTA]]</f>
        <v>#NUM!</v>
      </c>
      <c r="U299" s="61" t="str">
        <f t="shared" si="59"/>
        <v/>
      </c>
    </row>
    <row r="300" spans="9:21" ht="24.75" customHeight="1" x14ac:dyDescent="0.35">
      <c r="I300" s="42">
        <f t="shared" si="50"/>
        <v>0</v>
      </c>
      <c r="J300" s="65" t="e">
        <f t="shared" si="51"/>
        <v>#NUM!</v>
      </c>
      <c r="K300" s="83" t="e">
        <f t="shared" si="52"/>
        <v>#NUM!</v>
      </c>
      <c r="L300" s="83">
        <f t="shared" si="53"/>
        <v>0</v>
      </c>
      <c r="M300" s="110" t="str">
        <f t="shared" si="54"/>
        <v/>
      </c>
      <c r="N300" s="51" t="str">
        <f t="shared" si="55"/>
        <v/>
      </c>
      <c r="O300" s="52" t="str">
        <f t="shared" si="56"/>
        <v/>
      </c>
      <c r="P300" s="88">
        <f t="shared" si="57"/>
        <v>0</v>
      </c>
      <c r="Q300" s="88">
        <f t="shared" si="58"/>
        <v>0</v>
      </c>
      <c r="R300" s="88" t="e">
        <f>-IF(Tabla14[[#This Row],[DIAS HABILES O MORA]]&lt;0,(Tabla14[[#This Row],[VALOR PRESTAMO]]*Tabla14[[#This Row],[% INTERES ]]/30*U300))+Tabla14[[#This Row],[VALOR CUOTAS]]</f>
        <v>#VALUE!</v>
      </c>
      <c r="S300" s="88">
        <f>-IF(Tabla14[[#This Row],[DIAS HABILES O MORA]]&lt;0,(Tabla14[[#This Row],[VALOR PRESTAMO]]*Tabla14[[#This Row],[% INTERES ]]/30*U300))</f>
        <v>0</v>
      </c>
      <c r="T300" s="53" t="e">
        <f>Tabla14[[#This Row],[DEUDA CAPITAL]]+Tabla14[[#This Row],[INTERES  CUOTA]]</f>
        <v>#NUM!</v>
      </c>
      <c r="U300" s="61" t="str">
        <f t="shared" si="59"/>
        <v/>
      </c>
    </row>
    <row r="301" spans="9:21" ht="24.75" customHeight="1" x14ac:dyDescent="0.35">
      <c r="I301" s="42">
        <f t="shared" si="50"/>
        <v>0</v>
      </c>
      <c r="J301" s="65" t="e">
        <f t="shared" si="51"/>
        <v>#NUM!</v>
      </c>
      <c r="K301" s="83" t="e">
        <f t="shared" si="52"/>
        <v>#NUM!</v>
      </c>
      <c r="L301" s="83">
        <f t="shared" si="53"/>
        <v>0</v>
      </c>
      <c r="M301" s="110" t="str">
        <f t="shared" si="54"/>
        <v/>
      </c>
      <c r="N301" s="51" t="str">
        <f t="shared" si="55"/>
        <v/>
      </c>
      <c r="O301" s="52" t="str">
        <f t="shared" si="56"/>
        <v/>
      </c>
      <c r="P301" s="88">
        <f t="shared" si="57"/>
        <v>0</v>
      </c>
      <c r="Q301" s="88">
        <f t="shared" si="58"/>
        <v>0</v>
      </c>
      <c r="R301" s="88" t="e">
        <f>-IF(Tabla14[[#This Row],[DIAS HABILES O MORA]]&lt;0,(Tabla14[[#This Row],[VALOR PRESTAMO]]*Tabla14[[#This Row],[% INTERES ]]/30*U301))+Tabla14[[#This Row],[VALOR CUOTAS]]</f>
        <v>#VALUE!</v>
      </c>
      <c r="S301" s="88">
        <f>-IF(Tabla14[[#This Row],[DIAS HABILES O MORA]]&lt;0,(Tabla14[[#This Row],[VALOR PRESTAMO]]*Tabla14[[#This Row],[% INTERES ]]/30*U301))</f>
        <v>0</v>
      </c>
      <c r="T301" s="53" t="e">
        <f>Tabla14[[#This Row],[DEUDA CAPITAL]]+Tabla14[[#This Row],[INTERES  CUOTA]]</f>
        <v>#NUM!</v>
      </c>
      <c r="U301" s="61" t="str">
        <f t="shared" si="59"/>
        <v/>
      </c>
    </row>
    <row r="302" spans="9:21" ht="24.75" customHeight="1" x14ac:dyDescent="0.35">
      <c r="I302" s="42">
        <f t="shared" si="50"/>
        <v>0</v>
      </c>
      <c r="J302" s="65" t="e">
        <f t="shared" si="51"/>
        <v>#NUM!</v>
      </c>
      <c r="K302" s="83" t="e">
        <f t="shared" si="52"/>
        <v>#NUM!</v>
      </c>
      <c r="L302" s="83">
        <f t="shared" si="53"/>
        <v>0</v>
      </c>
      <c r="M302" s="110" t="str">
        <f t="shared" si="54"/>
        <v/>
      </c>
      <c r="N302" s="51" t="str">
        <f t="shared" si="55"/>
        <v/>
      </c>
      <c r="O302" s="52" t="str">
        <f t="shared" si="56"/>
        <v/>
      </c>
      <c r="P302" s="88">
        <f t="shared" si="57"/>
        <v>0</v>
      </c>
      <c r="Q302" s="88">
        <f t="shared" si="58"/>
        <v>0</v>
      </c>
      <c r="R302" s="88" t="e">
        <f>-IF(Tabla14[[#This Row],[DIAS HABILES O MORA]]&lt;0,(Tabla14[[#This Row],[VALOR PRESTAMO]]*Tabla14[[#This Row],[% INTERES ]]/30*U302))+Tabla14[[#This Row],[VALOR CUOTAS]]</f>
        <v>#VALUE!</v>
      </c>
      <c r="S302" s="88">
        <f>-IF(Tabla14[[#This Row],[DIAS HABILES O MORA]]&lt;0,(Tabla14[[#This Row],[VALOR PRESTAMO]]*Tabla14[[#This Row],[% INTERES ]]/30*U302))</f>
        <v>0</v>
      </c>
      <c r="T302" s="53" t="e">
        <f>Tabla14[[#This Row],[DEUDA CAPITAL]]+Tabla14[[#This Row],[INTERES  CUOTA]]</f>
        <v>#NUM!</v>
      </c>
      <c r="U302" s="61" t="str">
        <f t="shared" si="59"/>
        <v/>
      </c>
    </row>
    <row r="303" spans="9:21" ht="24.75" customHeight="1" x14ac:dyDescent="0.35">
      <c r="I303" s="42">
        <f t="shared" si="50"/>
        <v>0</v>
      </c>
      <c r="J303" s="65" t="e">
        <f t="shared" si="51"/>
        <v>#NUM!</v>
      </c>
      <c r="K303" s="83" t="e">
        <f t="shared" si="52"/>
        <v>#NUM!</v>
      </c>
      <c r="L303" s="83">
        <f t="shared" si="53"/>
        <v>0</v>
      </c>
      <c r="M303" s="110" t="str">
        <f t="shared" si="54"/>
        <v/>
      </c>
      <c r="N303" s="51" t="str">
        <f t="shared" si="55"/>
        <v/>
      </c>
      <c r="O303" s="52" t="str">
        <f t="shared" si="56"/>
        <v/>
      </c>
      <c r="P303" s="88">
        <f t="shared" si="57"/>
        <v>0</v>
      </c>
      <c r="Q303" s="88">
        <f t="shared" si="58"/>
        <v>0</v>
      </c>
      <c r="R303" s="88" t="e">
        <f>-IF(Tabla14[[#This Row],[DIAS HABILES O MORA]]&lt;0,(Tabla14[[#This Row],[VALOR PRESTAMO]]*Tabla14[[#This Row],[% INTERES ]]/30*U303))+Tabla14[[#This Row],[VALOR CUOTAS]]</f>
        <v>#VALUE!</v>
      </c>
      <c r="S303" s="88">
        <f>-IF(Tabla14[[#This Row],[DIAS HABILES O MORA]]&lt;0,(Tabla14[[#This Row],[VALOR PRESTAMO]]*Tabla14[[#This Row],[% INTERES ]]/30*U303))</f>
        <v>0</v>
      </c>
      <c r="T303" s="53" t="e">
        <f>Tabla14[[#This Row],[DEUDA CAPITAL]]+Tabla14[[#This Row],[INTERES  CUOTA]]</f>
        <v>#NUM!</v>
      </c>
      <c r="U303" s="61" t="str">
        <f t="shared" si="59"/>
        <v/>
      </c>
    </row>
    <row r="304" spans="9:21" ht="24.75" customHeight="1" x14ac:dyDescent="0.35">
      <c r="I304" s="42">
        <f t="shared" si="50"/>
        <v>0</v>
      </c>
      <c r="J304" s="65" t="e">
        <f t="shared" si="51"/>
        <v>#NUM!</v>
      </c>
      <c r="K304" s="83" t="e">
        <f t="shared" si="52"/>
        <v>#NUM!</v>
      </c>
      <c r="L304" s="83">
        <f t="shared" si="53"/>
        <v>0</v>
      </c>
      <c r="M304" s="110" t="str">
        <f t="shared" si="54"/>
        <v/>
      </c>
      <c r="N304" s="51" t="str">
        <f t="shared" si="55"/>
        <v/>
      </c>
      <c r="O304" s="52" t="str">
        <f t="shared" si="56"/>
        <v/>
      </c>
      <c r="P304" s="88">
        <f t="shared" si="57"/>
        <v>0</v>
      </c>
      <c r="Q304" s="88">
        <f t="shared" si="58"/>
        <v>0</v>
      </c>
      <c r="R304" s="88" t="e">
        <f>-IF(Tabla14[[#This Row],[DIAS HABILES O MORA]]&lt;0,(Tabla14[[#This Row],[VALOR PRESTAMO]]*Tabla14[[#This Row],[% INTERES ]]/30*U304))+Tabla14[[#This Row],[VALOR CUOTAS]]</f>
        <v>#VALUE!</v>
      </c>
      <c r="S304" s="88">
        <f>-IF(Tabla14[[#This Row],[DIAS HABILES O MORA]]&lt;0,(Tabla14[[#This Row],[VALOR PRESTAMO]]*Tabla14[[#This Row],[% INTERES ]]/30*U304))</f>
        <v>0</v>
      </c>
      <c r="T304" s="53" t="e">
        <f>Tabla14[[#This Row],[DEUDA CAPITAL]]+Tabla14[[#This Row],[INTERES  CUOTA]]</f>
        <v>#NUM!</v>
      </c>
      <c r="U304" s="61" t="str">
        <f t="shared" si="59"/>
        <v/>
      </c>
    </row>
    <row r="305" spans="9:21" ht="24.75" customHeight="1" x14ac:dyDescent="0.35">
      <c r="I305" s="42">
        <f t="shared" si="50"/>
        <v>0</v>
      </c>
      <c r="J305" s="65" t="e">
        <f t="shared" si="51"/>
        <v>#NUM!</v>
      </c>
      <c r="K305" s="83" t="e">
        <f t="shared" si="52"/>
        <v>#NUM!</v>
      </c>
      <c r="L305" s="83">
        <f t="shared" si="53"/>
        <v>0</v>
      </c>
      <c r="M305" s="110" t="str">
        <f t="shared" si="54"/>
        <v/>
      </c>
      <c r="N305" s="51" t="str">
        <f t="shared" si="55"/>
        <v/>
      </c>
      <c r="O305" s="52" t="str">
        <f t="shared" si="56"/>
        <v/>
      </c>
      <c r="P305" s="88">
        <f t="shared" si="57"/>
        <v>0</v>
      </c>
      <c r="Q305" s="88">
        <f t="shared" si="58"/>
        <v>0</v>
      </c>
      <c r="R305" s="88" t="e">
        <f>-IF(Tabla14[[#This Row],[DIAS HABILES O MORA]]&lt;0,(Tabla14[[#This Row],[VALOR PRESTAMO]]*Tabla14[[#This Row],[% INTERES ]]/30*U305))+Tabla14[[#This Row],[VALOR CUOTAS]]</f>
        <v>#VALUE!</v>
      </c>
      <c r="S305" s="88">
        <f>-IF(Tabla14[[#This Row],[DIAS HABILES O MORA]]&lt;0,(Tabla14[[#This Row],[VALOR PRESTAMO]]*Tabla14[[#This Row],[% INTERES ]]/30*U305))</f>
        <v>0</v>
      </c>
      <c r="T305" s="53" t="e">
        <f>Tabla14[[#This Row],[DEUDA CAPITAL]]+Tabla14[[#This Row],[INTERES  CUOTA]]</f>
        <v>#NUM!</v>
      </c>
      <c r="U305" s="61" t="str">
        <f t="shared" si="59"/>
        <v/>
      </c>
    </row>
    <row r="306" spans="9:21" ht="24.75" customHeight="1" x14ac:dyDescent="0.35">
      <c r="I306" s="42">
        <f t="shared" si="50"/>
        <v>0</v>
      </c>
      <c r="J306" s="65" t="e">
        <f t="shared" si="51"/>
        <v>#NUM!</v>
      </c>
      <c r="K306" s="83" t="e">
        <f t="shared" si="52"/>
        <v>#NUM!</v>
      </c>
      <c r="L306" s="83">
        <f t="shared" si="53"/>
        <v>0</v>
      </c>
      <c r="M306" s="110" t="str">
        <f t="shared" si="54"/>
        <v/>
      </c>
      <c r="N306" s="51" t="str">
        <f t="shared" si="55"/>
        <v/>
      </c>
      <c r="O306" s="52" t="str">
        <f t="shared" si="56"/>
        <v/>
      </c>
      <c r="P306" s="88">
        <f t="shared" si="57"/>
        <v>0</v>
      </c>
      <c r="Q306" s="88">
        <f t="shared" si="58"/>
        <v>0</v>
      </c>
      <c r="R306" s="88" t="e">
        <f>-IF(Tabla14[[#This Row],[DIAS HABILES O MORA]]&lt;0,(Tabla14[[#This Row],[VALOR PRESTAMO]]*Tabla14[[#This Row],[% INTERES ]]/30*U306))+Tabla14[[#This Row],[VALOR CUOTAS]]</f>
        <v>#VALUE!</v>
      </c>
      <c r="S306" s="88">
        <f>-IF(Tabla14[[#This Row],[DIAS HABILES O MORA]]&lt;0,(Tabla14[[#This Row],[VALOR PRESTAMO]]*Tabla14[[#This Row],[% INTERES ]]/30*U306))</f>
        <v>0</v>
      </c>
      <c r="T306" s="53" t="e">
        <f>Tabla14[[#This Row],[DEUDA CAPITAL]]+Tabla14[[#This Row],[INTERES  CUOTA]]</f>
        <v>#NUM!</v>
      </c>
      <c r="U306" s="61" t="str">
        <f t="shared" si="59"/>
        <v/>
      </c>
    </row>
    <row r="307" spans="9:21" ht="24.75" customHeight="1" x14ac:dyDescent="0.35">
      <c r="I307" s="42">
        <f t="shared" si="50"/>
        <v>0</v>
      </c>
      <c r="J307" s="65" t="e">
        <f t="shared" si="51"/>
        <v>#NUM!</v>
      </c>
      <c r="K307" s="83" t="e">
        <f t="shared" si="52"/>
        <v>#NUM!</v>
      </c>
      <c r="L307" s="83">
        <f t="shared" si="53"/>
        <v>0</v>
      </c>
      <c r="M307" s="110" t="str">
        <f t="shared" si="54"/>
        <v/>
      </c>
      <c r="N307" s="51" t="str">
        <f t="shared" si="55"/>
        <v/>
      </c>
      <c r="O307" s="52" t="str">
        <f t="shared" si="56"/>
        <v/>
      </c>
      <c r="P307" s="88">
        <f t="shared" si="57"/>
        <v>0</v>
      </c>
      <c r="Q307" s="88">
        <f t="shared" si="58"/>
        <v>0</v>
      </c>
      <c r="R307" s="88" t="e">
        <f>-IF(Tabla14[[#This Row],[DIAS HABILES O MORA]]&lt;0,(Tabla14[[#This Row],[VALOR PRESTAMO]]*Tabla14[[#This Row],[% INTERES ]]/30*U307))+Tabla14[[#This Row],[VALOR CUOTAS]]</f>
        <v>#VALUE!</v>
      </c>
      <c r="S307" s="88">
        <f>-IF(Tabla14[[#This Row],[DIAS HABILES O MORA]]&lt;0,(Tabla14[[#This Row],[VALOR PRESTAMO]]*Tabla14[[#This Row],[% INTERES ]]/30*U307))</f>
        <v>0</v>
      </c>
      <c r="T307" s="53" t="e">
        <f>Tabla14[[#This Row],[DEUDA CAPITAL]]+Tabla14[[#This Row],[INTERES  CUOTA]]</f>
        <v>#NUM!</v>
      </c>
      <c r="U307" s="61" t="str">
        <f t="shared" si="59"/>
        <v/>
      </c>
    </row>
    <row r="308" spans="9:21" ht="24.75" customHeight="1" x14ac:dyDescent="0.35">
      <c r="I308" s="42">
        <f t="shared" si="50"/>
        <v>0</v>
      </c>
      <c r="J308" s="65" t="e">
        <f t="shared" si="51"/>
        <v>#NUM!</v>
      </c>
      <c r="K308" s="83" t="e">
        <f t="shared" si="52"/>
        <v>#NUM!</v>
      </c>
      <c r="L308" s="83">
        <f t="shared" si="53"/>
        <v>0</v>
      </c>
      <c r="M308" s="110" t="str">
        <f t="shared" si="54"/>
        <v/>
      </c>
      <c r="N308" s="51" t="str">
        <f t="shared" si="55"/>
        <v/>
      </c>
      <c r="O308" s="52" t="str">
        <f t="shared" si="56"/>
        <v/>
      </c>
      <c r="P308" s="88">
        <f t="shared" si="57"/>
        <v>0</v>
      </c>
      <c r="Q308" s="88">
        <f t="shared" si="58"/>
        <v>0</v>
      </c>
      <c r="R308" s="88" t="e">
        <f>-IF(Tabla14[[#This Row],[DIAS HABILES O MORA]]&lt;0,(Tabla14[[#This Row],[VALOR PRESTAMO]]*Tabla14[[#This Row],[% INTERES ]]/30*U308))+Tabla14[[#This Row],[VALOR CUOTAS]]</f>
        <v>#VALUE!</v>
      </c>
      <c r="S308" s="88">
        <f>-IF(Tabla14[[#This Row],[DIAS HABILES O MORA]]&lt;0,(Tabla14[[#This Row],[VALOR PRESTAMO]]*Tabla14[[#This Row],[% INTERES ]]/30*U308))</f>
        <v>0</v>
      </c>
      <c r="T308" s="53" t="e">
        <f>Tabla14[[#This Row],[DEUDA CAPITAL]]+Tabla14[[#This Row],[INTERES  CUOTA]]</f>
        <v>#NUM!</v>
      </c>
      <c r="U308" s="61" t="str">
        <f t="shared" si="59"/>
        <v/>
      </c>
    </row>
    <row r="309" spans="9:21" ht="24.75" customHeight="1" x14ac:dyDescent="0.35">
      <c r="I309" s="42">
        <f t="shared" si="50"/>
        <v>0</v>
      </c>
      <c r="J309" s="65" t="e">
        <f t="shared" si="51"/>
        <v>#NUM!</v>
      </c>
      <c r="K309" s="83" t="e">
        <f t="shared" si="52"/>
        <v>#NUM!</v>
      </c>
      <c r="L309" s="83">
        <f t="shared" si="53"/>
        <v>0</v>
      </c>
      <c r="M309" s="110" t="str">
        <f t="shared" si="54"/>
        <v/>
      </c>
      <c r="N309" s="51" t="str">
        <f t="shared" si="55"/>
        <v/>
      </c>
      <c r="O309" s="52" t="str">
        <f t="shared" si="56"/>
        <v/>
      </c>
      <c r="P309" s="88">
        <f t="shared" si="57"/>
        <v>0</v>
      </c>
      <c r="Q309" s="88">
        <f t="shared" si="58"/>
        <v>0</v>
      </c>
      <c r="R309" s="88" t="e">
        <f>-IF(Tabla14[[#This Row],[DIAS HABILES O MORA]]&lt;0,(Tabla14[[#This Row],[VALOR PRESTAMO]]*Tabla14[[#This Row],[% INTERES ]]/30*U309))+Tabla14[[#This Row],[VALOR CUOTAS]]</f>
        <v>#VALUE!</v>
      </c>
      <c r="S309" s="88">
        <f>-IF(Tabla14[[#This Row],[DIAS HABILES O MORA]]&lt;0,(Tabla14[[#This Row],[VALOR PRESTAMO]]*Tabla14[[#This Row],[% INTERES ]]/30*U309))</f>
        <v>0</v>
      </c>
      <c r="T309" s="53" t="e">
        <f>Tabla14[[#This Row],[DEUDA CAPITAL]]+Tabla14[[#This Row],[INTERES  CUOTA]]</f>
        <v>#NUM!</v>
      </c>
      <c r="U309" s="61" t="str">
        <f t="shared" si="59"/>
        <v/>
      </c>
    </row>
    <row r="310" spans="9:21" ht="24.75" customHeight="1" x14ac:dyDescent="0.35">
      <c r="I310" s="42">
        <f t="shared" si="50"/>
        <v>0</v>
      </c>
      <c r="J310" s="65" t="e">
        <f t="shared" si="51"/>
        <v>#NUM!</v>
      </c>
      <c r="K310" s="83" t="e">
        <f t="shared" si="52"/>
        <v>#NUM!</v>
      </c>
      <c r="L310" s="83">
        <f t="shared" si="53"/>
        <v>0</v>
      </c>
      <c r="M310" s="110" t="str">
        <f t="shared" si="54"/>
        <v/>
      </c>
      <c r="N310" s="51" t="str">
        <f t="shared" si="55"/>
        <v/>
      </c>
      <c r="O310" s="52" t="str">
        <f t="shared" si="56"/>
        <v/>
      </c>
      <c r="P310" s="88">
        <f t="shared" si="57"/>
        <v>0</v>
      </c>
      <c r="Q310" s="88">
        <f t="shared" si="58"/>
        <v>0</v>
      </c>
      <c r="R310" s="88" t="e">
        <f>-IF(Tabla14[[#This Row],[DIAS HABILES O MORA]]&lt;0,(Tabla14[[#This Row],[VALOR PRESTAMO]]*Tabla14[[#This Row],[% INTERES ]]/30*U310))+Tabla14[[#This Row],[VALOR CUOTAS]]</f>
        <v>#VALUE!</v>
      </c>
      <c r="S310" s="88">
        <f>-IF(Tabla14[[#This Row],[DIAS HABILES O MORA]]&lt;0,(Tabla14[[#This Row],[VALOR PRESTAMO]]*Tabla14[[#This Row],[% INTERES ]]/30*U310))</f>
        <v>0</v>
      </c>
      <c r="T310" s="53" t="e">
        <f>Tabla14[[#This Row],[DEUDA CAPITAL]]+Tabla14[[#This Row],[INTERES  CUOTA]]</f>
        <v>#NUM!</v>
      </c>
      <c r="U310" s="61" t="str">
        <f t="shared" si="59"/>
        <v/>
      </c>
    </row>
    <row r="311" spans="9:21" ht="24.75" customHeight="1" x14ac:dyDescent="0.35">
      <c r="I311" s="42">
        <f t="shared" si="50"/>
        <v>0</v>
      </c>
      <c r="J311" s="65" t="e">
        <f t="shared" si="51"/>
        <v>#NUM!</v>
      </c>
      <c r="K311" s="83" t="e">
        <f t="shared" si="52"/>
        <v>#NUM!</v>
      </c>
      <c r="L311" s="83">
        <f t="shared" si="53"/>
        <v>0</v>
      </c>
      <c r="M311" s="110" t="str">
        <f t="shared" si="54"/>
        <v/>
      </c>
      <c r="N311" s="51" t="str">
        <f t="shared" si="55"/>
        <v/>
      </c>
      <c r="O311" s="52" t="str">
        <f t="shared" si="56"/>
        <v/>
      </c>
      <c r="P311" s="88">
        <f t="shared" si="57"/>
        <v>0</v>
      </c>
      <c r="Q311" s="88">
        <f t="shared" si="58"/>
        <v>0</v>
      </c>
      <c r="R311" s="88" t="e">
        <f>-IF(Tabla14[[#This Row],[DIAS HABILES O MORA]]&lt;0,(Tabla14[[#This Row],[VALOR PRESTAMO]]*Tabla14[[#This Row],[% INTERES ]]/30*U311))+Tabla14[[#This Row],[VALOR CUOTAS]]</f>
        <v>#VALUE!</v>
      </c>
      <c r="S311" s="88">
        <f>-IF(Tabla14[[#This Row],[DIAS HABILES O MORA]]&lt;0,(Tabla14[[#This Row],[VALOR PRESTAMO]]*Tabla14[[#This Row],[% INTERES ]]/30*U311))</f>
        <v>0</v>
      </c>
      <c r="T311" s="53" t="e">
        <f>Tabla14[[#This Row],[DEUDA CAPITAL]]+Tabla14[[#This Row],[INTERES  CUOTA]]</f>
        <v>#NUM!</v>
      </c>
      <c r="U311" s="61" t="str">
        <f t="shared" si="59"/>
        <v/>
      </c>
    </row>
    <row r="312" spans="9:21" ht="24.75" customHeight="1" x14ac:dyDescent="0.35">
      <c r="I312" s="42">
        <f t="shared" si="50"/>
        <v>0</v>
      </c>
      <c r="J312" s="65" t="e">
        <f t="shared" si="51"/>
        <v>#NUM!</v>
      </c>
      <c r="K312" s="83" t="e">
        <f t="shared" si="52"/>
        <v>#NUM!</v>
      </c>
      <c r="L312" s="83">
        <f t="shared" si="53"/>
        <v>0</v>
      </c>
      <c r="M312" s="110" t="str">
        <f t="shared" si="54"/>
        <v/>
      </c>
      <c r="N312" s="51" t="str">
        <f t="shared" si="55"/>
        <v/>
      </c>
      <c r="O312" s="52" t="str">
        <f t="shared" si="56"/>
        <v/>
      </c>
      <c r="P312" s="88">
        <f t="shared" si="57"/>
        <v>0</v>
      </c>
      <c r="Q312" s="88">
        <f t="shared" si="58"/>
        <v>0</v>
      </c>
      <c r="R312" s="88" t="e">
        <f>-IF(Tabla14[[#This Row],[DIAS HABILES O MORA]]&lt;0,(Tabla14[[#This Row],[VALOR PRESTAMO]]*Tabla14[[#This Row],[% INTERES ]]/30*U312))+Tabla14[[#This Row],[VALOR CUOTAS]]</f>
        <v>#VALUE!</v>
      </c>
      <c r="S312" s="88">
        <f>-IF(Tabla14[[#This Row],[DIAS HABILES O MORA]]&lt;0,(Tabla14[[#This Row],[VALOR PRESTAMO]]*Tabla14[[#This Row],[% INTERES ]]/30*U312))</f>
        <v>0</v>
      </c>
      <c r="T312" s="53" t="e">
        <f>Tabla14[[#This Row],[DEUDA CAPITAL]]+Tabla14[[#This Row],[INTERES  CUOTA]]</f>
        <v>#NUM!</v>
      </c>
      <c r="U312" s="61" t="str">
        <f t="shared" si="59"/>
        <v/>
      </c>
    </row>
    <row r="313" spans="9:21" ht="24.75" customHeight="1" x14ac:dyDescent="0.35">
      <c r="I313" s="42">
        <f t="shared" si="50"/>
        <v>0</v>
      </c>
      <c r="J313" s="65" t="e">
        <f t="shared" si="51"/>
        <v>#NUM!</v>
      </c>
      <c r="K313" s="83" t="e">
        <f t="shared" si="52"/>
        <v>#NUM!</v>
      </c>
      <c r="L313" s="83">
        <f t="shared" si="53"/>
        <v>0</v>
      </c>
      <c r="M313" s="110" t="str">
        <f t="shared" si="54"/>
        <v/>
      </c>
      <c r="N313" s="51" t="str">
        <f t="shared" si="55"/>
        <v/>
      </c>
      <c r="O313" s="52" t="str">
        <f t="shared" si="56"/>
        <v/>
      </c>
      <c r="P313" s="88">
        <f t="shared" si="57"/>
        <v>0</v>
      </c>
      <c r="Q313" s="88">
        <f t="shared" si="58"/>
        <v>0</v>
      </c>
      <c r="R313" s="88" t="e">
        <f>-IF(Tabla14[[#This Row],[DIAS HABILES O MORA]]&lt;0,(Tabla14[[#This Row],[VALOR PRESTAMO]]*Tabla14[[#This Row],[% INTERES ]]/30*U313))+Tabla14[[#This Row],[VALOR CUOTAS]]</f>
        <v>#VALUE!</v>
      </c>
      <c r="S313" s="88">
        <f>-IF(Tabla14[[#This Row],[DIAS HABILES O MORA]]&lt;0,(Tabla14[[#This Row],[VALOR PRESTAMO]]*Tabla14[[#This Row],[% INTERES ]]/30*U313))</f>
        <v>0</v>
      </c>
      <c r="T313" s="53" t="e">
        <f>Tabla14[[#This Row],[DEUDA CAPITAL]]+Tabla14[[#This Row],[INTERES  CUOTA]]</f>
        <v>#NUM!</v>
      </c>
      <c r="U313" s="61" t="str">
        <f t="shared" si="59"/>
        <v/>
      </c>
    </row>
    <row r="314" spans="9:21" ht="24.75" customHeight="1" x14ac:dyDescent="0.35">
      <c r="I314" s="42">
        <f t="shared" si="50"/>
        <v>0</v>
      </c>
      <c r="J314" s="65" t="e">
        <f t="shared" si="51"/>
        <v>#NUM!</v>
      </c>
      <c r="K314" s="83" t="e">
        <f t="shared" si="52"/>
        <v>#NUM!</v>
      </c>
      <c r="L314" s="83">
        <f t="shared" si="53"/>
        <v>0</v>
      </c>
      <c r="M314" s="110" t="str">
        <f t="shared" si="54"/>
        <v/>
      </c>
      <c r="N314" s="51" t="str">
        <f t="shared" si="55"/>
        <v/>
      </c>
      <c r="O314" s="52" t="str">
        <f t="shared" si="56"/>
        <v/>
      </c>
      <c r="P314" s="88">
        <f t="shared" si="57"/>
        <v>0</v>
      </c>
      <c r="Q314" s="88">
        <f t="shared" si="58"/>
        <v>0</v>
      </c>
      <c r="R314" s="88" t="e">
        <f>-IF(Tabla14[[#This Row],[DIAS HABILES O MORA]]&lt;0,(Tabla14[[#This Row],[VALOR PRESTAMO]]*Tabla14[[#This Row],[% INTERES ]]/30*U314))+Tabla14[[#This Row],[VALOR CUOTAS]]</f>
        <v>#VALUE!</v>
      </c>
      <c r="S314" s="88">
        <f>-IF(Tabla14[[#This Row],[DIAS HABILES O MORA]]&lt;0,(Tabla14[[#This Row],[VALOR PRESTAMO]]*Tabla14[[#This Row],[% INTERES ]]/30*U314))</f>
        <v>0</v>
      </c>
      <c r="T314" s="53" t="e">
        <f>Tabla14[[#This Row],[DEUDA CAPITAL]]+Tabla14[[#This Row],[INTERES  CUOTA]]</f>
        <v>#NUM!</v>
      </c>
      <c r="U314" s="61" t="str">
        <f t="shared" si="59"/>
        <v/>
      </c>
    </row>
    <row r="315" spans="9:21" ht="24.75" customHeight="1" x14ac:dyDescent="0.35">
      <c r="I315" s="42">
        <f t="shared" si="50"/>
        <v>0</v>
      </c>
      <c r="J315" s="65" t="e">
        <f t="shared" si="51"/>
        <v>#NUM!</v>
      </c>
      <c r="K315" s="83" t="e">
        <f t="shared" si="52"/>
        <v>#NUM!</v>
      </c>
      <c r="L315" s="83">
        <f t="shared" si="53"/>
        <v>0</v>
      </c>
      <c r="M315" s="110" t="str">
        <f t="shared" si="54"/>
        <v/>
      </c>
      <c r="N315" s="51" t="str">
        <f t="shared" si="55"/>
        <v/>
      </c>
      <c r="O315" s="52" t="str">
        <f t="shared" si="56"/>
        <v/>
      </c>
      <c r="P315" s="88">
        <f t="shared" si="57"/>
        <v>0</v>
      </c>
      <c r="Q315" s="88">
        <f t="shared" si="58"/>
        <v>0</v>
      </c>
      <c r="R315" s="88" t="e">
        <f>-IF(Tabla14[[#This Row],[DIAS HABILES O MORA]]&lt;0,(Tabla14[[#This Row],[VALOR PRESTAMO]]*Tabla14[[#This Row],[% INTERES ]]/30*U315))+Tabla14[[#This Row],[VALOR CUOTAS]]</f>
        <v>#VALUE!</v>
      </c>
      <c r="S315" s="88">
        <f>-IF(Tabla14[[#This Row],[DIAS HABILES O MORA]]&lt;0,(Tabla14[[#This Row],[VALOR PRESTAMO]]*Tabla14[[#This Row],[% INTERES ]]/30*U315))</f>
        <v>0</v>
      </c>
      <c r="T315" s="53" t="e">
        <f>Tabla14[[#This Row],[DEUDA CAPITAL]]+Tabla14[[#This Row],[INTERES  CUOTA]]</f>
        <v>#NUM!</v>
      </c>
      <c r="U315" s="61" t="str">
        <f t="shared" si="59"/>
        <v/>
      </c>
    </row>
    <row r="316" spans="9:21" ht="24.75" customHeight="1" x14ac:dyDescent="0.35">
      <c r="I316" s="42">
        <f t="shared" si="50"/>
        <v>0</v>
      </c>
      <c r="J316" s="65" t="e">
        <f t="shared" si="51"/>
        <v>#NUM!</v>
      </c>
      <c r="K316" s="83" t="e">
        <f t="shared" si="52"/>
        <v>#NUM!</v>
      </c>
      <c r="L316" s="83">
        <f t="shared" si="53"/>
        <v>0</v>
      </c>
      <c r="M316" s="110" t="str">
        <f t="shared" si="54"/>
        <v/>
      </c>
      <c r="N316" s="51" t="str">
        <f t="shared" si="55"/>
        <v/>
      </c>
      <c r="O316" s="52" t="str">
        <f t="shared" si="56"/>
        <v/>
      </c>
      <c r="P316" s="88">
        <f t="shared" si="57"/>
        <v>0</v>
      </c>
      <c r="Q316" s="88">
        <f t="shared" si="58"/>
        <v>0</v>
      </c>
      <c r="R316" s="88" t="e">
        <f>-IF(Tabla14[[#This Row],[DIAS HABILES O MORA]]&lt;0,(Tabla14[[#This Row],[VALOR PRESTAMO]]*Tabla14[[#This Row],[% INTERES ]]/30*U316))+Tabla14[[#This Row],[VALOR CUOTAS]]</f>
        <v>#VALUE!</v>
      </c>
      <c r="S316" s="88">
        <f>-IF(Tabla14[[#This Row],[DIAS HABILES O MORA]]&lt;0,(Tabla14[[#This Row],[VALOR PRESTAMO]]*Tabla14[[#This Row],[% INTERES ]]/30*U316))</f>
        <v>0</v>
      </c>
      <c r="T316" s="53" t="e">
        <f>Tabla14[[#This Row],[DEUDA CAPITAL]]+Tabla14[[#This Row],[INTERES  CUOTA]]</f>
        <v>#NUM!</v>
      </c>
      <c r="U316" s="61" t="str">
        <f t="shared" si="59"/>
        <v/>
      </c>
    </row>
    <row r="317" spans="9:21" ht="24.75" customHeight="1" x14ac:dyDescent="0.35">
      <c r="I317" s="42">
        <f t="shared" si="50"/>
        <v>0</v>
      </c>
      <c r="J317" s="65" t="e">
        <f t="shared" si="51"/>
        <v>#NUM!</v>
      </c>
      <c r="K317" s="83" t="e">
        <f t="shared" si="52"/>
        <v>#NUM!</v>
      </c>
      <c r="L317" s="83">
        <f t="shared" si="53"/>
        <v>0</v>
      </c>
      <c r="M317" s="110" t="str">
        <f t="shared" si="54"/>
        <v/>
      </c>
      <c r="N317" s="51" t="str">
        <f t="shared" si="55"/>
        <v/>
      </c>
      <c r="O317" s="52" t="str">
        <f t="shared" si="56"/>
        <v/>
      </c>
      <c r="P317" s="88">
        <f t="shared" si="57"/>
        <v>0</v>
      </c>
      <c r="Q317" s="88">
        <f t="shared" si="58"/>
        <v>0</v>
      </c>
      <c r="R317" s="88" t="e">
        <f>-IF(Tabla14[[#This Row],[DIAS HABILES O MORA]]&lt;0,(Tabla14[[#This Row],[VALOR PRESTAMO]]*Tabla14[[#This Row],[% INTERES ]]/30*U317))+Tabla14[[#This Row],[VALOR CUOTAS]]</f>
        <v>#VALUE!</v>
      </c>
      <c r="S317" s="88">
        <f>-IF(Tabla14[[#This Row],[DIAS HABILES O MORA]]&lt;0,(Tabla14[[#This Row],[VALOR PRESTAMO]]*Tabla14[[#This Row],[% INTERES ]]/30*U317))</f>
        <v>0</v>
      </c>
      <c r="T317" s="53" t="e">
        <f>Tabla14[[#This Row],[DEUDA CAPITAL]]+Tabla14[[#This Row],[INTERES  CUOTA]]</f>
        <v>#NUM!</v>
      </c>
      <c r="U317" s="61" t="str">
        <f t="shared" si="59"/>
        <v/>
      </c>
    </row>
    <row r="318" spans="9:21" ht="24.75" customHeight="1" x14ac:dyDescent="0.35">
      <c r="I318" s="42">
        <f t="shared" si="50"/>
        <v>0</v>
      </c>
      <c r="J318" s="65" t="e">
        <f t="shared" si="51"/>
        <v>#NUM!</v>
      </c>
      <c r="K318" s="83" t="e">
        <f t="shared" si="52"/>
        <v>#NUM!</v>
      </c>
      <c r="L318" s="83">
        <f t="shared" si="53"/>
        <v>0</v>
      </c>
      <c r="M318" s="110" t="str">
        <f t="shared" si="54"/>
        <v/>
      </c>
      <c r="N318" s="51" t="str">
        <f t="shared" si="55"/>
        <v/>
      </c>
      <c r="O318" s="52" t="str">
        <f t="shared" si="56"/>
        <v/>
      </c>
      <c r="P318" s="88">
        <f t="shared" si="57"/>
        <v>0</v>
      </c>
      <c r="Q318" s="88">
        <f t="shared" si="58"/>
        <v>0</v>
      </c>
      <c r="R318" s="88" t="e">
        <f>-IF(Tabla14[[#This Row],[DIAS HABILES O MORA]]&lt;0,(Tabla14[[#This Row],[VALOR PRESTAMO]]*Tabla14[[#This Row],[% INTERES ]]/30*U318))+Tabla14[[#This Row],[VALOR CUOTAS]]</f>
        <v>#VALUE!</v>
      </c>
      <c r="S318" s="88">
        <f>-IF(Tabla14[[#This Row],[DIAS HABILES O MORA]]&lt;0,(Tabla14[[#This Row],[VALOR PRESTAMO]]*Tabla14[[#This Row],[% INTERES ]]/30*U318))</f>
        <v>0</v>
      </c>
      <c r="T318" s="53" t="e">
        <f>Tabla14[[#This Row],[DEUDA CAPITAL]]+Tabla14[[#This Row],[INTERES  CUOTA]]</f>
        <v>#NUM!</v>
      </c>
      <c r="U318" s="61" t="str">
        <f t="shared" si="59"/>
        <v/>
      </c>
    </row>
    <row r="319" spans="9:21" ht="24.75" customHeight="1" x14ac:dyDescent="0.35">
      <c r="I319" s="42">
        <f t="shared" si="50"/>
        <v>0</v>
      </c>
      <c r="J319" s="65" t="e">
        <f t="shared" si="51"/>
        <v>#NUM!</v>
      </c>
      <c r="K319" s="83" t="e">
        <f t="shared" si="52"/>
        <v>#NUM!</v>
      </c>
      <c r="L319" s="83">
        <f t="shared" si="53"/>
        <v>0</v>
      </c>
      <c r="M319" s="110" t="str">
        <f t="shared" si="54"/>
        <v/>
      </c>
      <c r="N319" s="51" t="str">
        <f t="shared" si="55"/>
        <v/>
      </c>
      <c r="O319" s="52" t="str">
        <f t="shared" si="56"/>
        <v/>
      </c>
      <c r="P319" s="88">
        <f t="shared" si="57"/>
        <v>0</v>
      </c>
      <c r="Q319" s="88">
        <f t="shared" si="58"/>
        <v>0</v>
      </c>
      <c r="R319" s="88" t="e">
        <f>-IF(Tabla14[[#This Row],[DIAS HABILES O MORA]]&lt;0,(Tabla14[[#This Row],[VALOR PRESTAMO]]*Tabla14[[#This Row],[% INTERES ]]/30*U319))+Tabla14[[#This Row],[VALOR CUOTAS]]</f>
        <v>#VALUE!</v>
      </c>
      <c r="S319" s="88">
        <f>-IF(Tabla14[[#This Row],[DIAS HABILES O MORA]]&lt;0,(Tabla14[[#This Row],[VALOR PRESTAMO]]*Tabla14[[#This Row],[% INTERES ]]/30*U319))</f>
        <v>0</v>
      </c>
      <c r="T319" s="53" t="e">
        <f>Tabla14[[#This Row],[DEUDA CAPITAL]]+Tabla14[[#This Row],[INTERES  CUOTA]]</f>
        <v>#NUM!</v>
      </c>
      <c r="U319" s="61" t="str">
        <f t="shared" si="59"/>
        <v/>
      </c>
    </row>
    <row r="320" spans="9:21" ht="24.75" customHeight="1" x14ac:dyDescent="0.35">
      <c r="I320" s="42">
        <f t="shared" si="50"/>
        <v>0</v>
      </c>
      <c r="J320" s="65" t="e">
        <f t="shared" si="51"/>
        <v>#NUM!</v>
      </c>
      <c r="K320" s="83" t="e">
        <f t="shared" si="52"/>
        <v>#NUM!</v>
      </c>
      <c r="L320" s="83">
        <f t="shared" si="53"/>
        <v>0</v>
      </c>
      <c r="M320" s="110" t="str">
        <f t="shared" si="54"/>
        <v/>
      </c>
      <c r="N320" s="51" t="str">
        <f t="shared" si="55"/>
        <v/>
      </c>
      <c r="O320" s="52" t="str">
        <f t="shared" si="56"/>
        <v/>
      </c>
      <c r="P320" s="88">
        <f t="shared" si="57"/>
        <v>0</v>
      </c>
      <c r="Q320" s="88">
        <f t="shared" si="58"/>
        <v>0</v>
      </c>
      <c r="R320" s="88" t="e">
        <f>-IF(Tabla14[[#This Row],[DIAS HABILES O MORA]]&lt;0,(Tabla14[[#This Row],[VALOR PRESTAMO]]*Tabla14[[#This Row],[% INTERES ]]/30*U320))+Tabla14[[#This Row],[VALOR CUOTAS]]</f>
        <v>#VALUE!</v>
      </c>
      <c r="S320" s="88">
        <f>-IF(Tabla14[[#This Row],[DIAS HABILES O MORA]]&lt;0,(Tabla14[[#This Row],[VALOR PRESTAMO]]*Tabla14[[#This Row],[% INTERES ]]/30*U320))</f>
        <v>0</v>
      </c>
      <c r="T320" s="53" t="e">
        <f>Tabla14[[#This Row],[DEUDA CAPITAL]]+Tabla14[[#This Row],[INTERES  CUOTA]]</f>
        <v>#NUM!</v>
      </c>
      <c r="U320" s="61" t="str">
        <f t="shared" si="59"/>
        <v/>
      </c>
    </row>
    <row r="321" spans="9:21" ht="24.75" customHeight="1" x14ac:dyDescent="0.35">
      <c r="I321" s="42">
        <f t="shared" si="50"/>
        <v>0</v>
      </c>
      <c r="J321" s="65" t="e">
        <f t="shared" si="51"/>
        <v>#NUM!</v>
      </c>
      <c r="K321" s="83" t="e">
        <f t="shared" si="52"/>
        <v>#NUM!</v>
      </c>
      <c r="L321" s="83">
        <f t="shared" si="53"/>
        <v>0</v>
      </c>
      <c r="M321" s="110" t="str">
        <f t="shared" si="54"/>
        <v/>
      </c>
      <c r="N321" s="51" t="str">
        <f t="shared" si="55"/>
        <v/>
      </c>
      <c r="O321" s="52" t="str">
        <f t="shared" si="56"/>
        <v/>
      </c>
      <c r="P321" s="88">
        <f t="shared" si="57"/>
        <v>0</v>
      </c>
      <c r="Q321" s="88">
        <f t="shared" si="58"/>
        <v>0</v>
      </c>
      <c r="R321" s="88" t="e">
        <f>-IF(Tabla14[[#This Row],[DIAS HABILES O MORA]]&lt;0,(Tabla14[[#This Row],[VALOR PRESTAMO]]*Tabla14[[#This Row],[% INTERES ]]/30*U321))+Tabla14[[#This Row],[VALOR CUOTAS]]</f>
        <v>#VALUE!</v>
      </c>
      <c r="S321" s="88">
        <f>-IF(Tabla14[[#This Row],[DIAS HABILES O MORA]]&lt;0,(Tabla14[[#This Row],[VALOR PRESTAMO]]*Tabla14[[#This Row],[% INTERES ]]/30*U321))</f>
        <v>0</v>
      </c>
      <c r="T321" s="53" t="e">
        <f>Tabla14[[#This Row],[DEUDA CAPITAL]]+Tabla14[[#This Row],[INTERES  CUOTA]]</f>
        <v>#NUM!</v>
      </c>
      <c r="U321" s="61" t="str">
        <f t="shared" si="59"/>
        <v/>
      </c>
    </row>
    <row r="322" spans="9:21" ht="24.75" customHeight="1" x14ac:dyDescent="0.35">
      <c r="I322" s="42">
        <f t="shared" si="50"/>
        <v>0</v>
      </c>
      <c r="J322" s="65" t="e">
        <f t="shared" si="51"/>
        <v>#NUM!</v>
      </c>
      <c r="K322" s="83" t="e">
        <f t="shared" si="52"/>
        <v>#NUM!</v>
      </c>
      <c r="L322" s="83">
        <f t="shared" si="53"/>
        <v>0</v>
      </c>
      <c r="M322" s="110" t="str">
        <f t="shared" si="54"/>
        <v/>
      </c>
      <c r="N322" s="51" t="str">
        <f t="shared" si="55"/>
        <v/>
      </c>
      <c r="O322" s="52" t="str">
        <f t="shared" si="56"/>
        <v/>
      </c>
      <c r="P322" s="88">
        <f t="shared" si="57"/>
        <v>0</v>
      </c>
      <c r="Q322" s="88">
        <f t="shared" si="58"/>
        <v>0</v>
      </c>
      <c r="R322" s="88" t="e">
        <f>-IF(Tabla14[[#This Row],[DIAS HABILES O MORA]]&lt;0,(Tabla14[[#This Row],[VALOR PRESTAMO]]*Tabla14[[#This Row],[% INTERES ]]/30*U322))+Tabla14[[#This Row],[VALOR CUOTAS]]</f>
        <v>#VALUE!</v>
      </c>
      <c r="S322" s="88">
        <f>-IF(Tabla14[[#This Row],[DIAS HABILES O MORA]]&lt;0,(Tabla14[[#This Row],[VALOR PRESTAMO]]*Tabla14[[#This Row],[% INTERES ]]/30*U322))</f>
        <v>0</v>
      </c>
      <c r="T322" s="53" t="e">
        <f>Tabla14[[#This Row],[DEUDA CAPITAL]]+Tabla14[[#This Row],[INTERES  CUOTA]]</f>
        <v>#NUM!</v>
      </c>
      <c r="U322" s="61" t="str">
        <f t="shared" si="59"/>
        <v/>
      </c>
    </row>
    <row r="323" spans="9:21" ht="24.75" customHeight="1" x14ac:dyDescent="0.35">
      <c r="I323" s="42">
        <f t="shared" si="50"/>
        <v>0</v>
      </c>
      <c r="J323" s="65" t="e">
        <f t="shared" si="51"/>
        <v>#NUM!</v>
      </c>
      <c r="K323" s="83" t="e">
        <f t="shared" si="52"/>
        <v>#NUM!</v>
      </c>
      <c r="L323" s="83">
        <f t="shared" si="53"/>
        <v>0</v>
      </c>
      <c r="M323" s="110" t="str">
        <f t="shared" si="54"/>
        <v/>
      </c>
      <c r="N323" s="51" t="str">
        <f t="shared" si="55"/>
        <v/>
      </c>
      <c r="O323" s="52" t="str">
        <f t="shared" si="56"/>
        <v/>
      </c>
      <c r="P323" s="88">
        <f t="shared" si="57"/>
        <v>0</v>
      </c>
      <c r="Q323" s="88">
        <f t="shared" si="58"/>
        <v>0</v>
      </c>
      <c r="R323" s="88" t="e">
        <f>-IF(Tabla14[[#This Row],[DIAS HABILES O MORA]]&lt;0,(Tabla14[[#This Row],[VALOR PRESTAMO]]*Tabla14[[#This Row],[% INTERES ]]/30*U323))+Tabla14[[#This Row],[VALOR CUOTAS]]</f>
        <v>#VALUE!</v>
      </c>
      <c r="S323" s="88">
        <f>-IF(Tabla14[[#This Row],[DIAS HABILES O MORA]]&lt;0,(Tabla14[[#This Row],[VALOR PRESTAMO]]*Tabla14[[#This Row],[% INTERES ]]/30*U323))</f>
        <v>0</v>
      </c>
      <c r="T323" s="53" t="e">
        <f>Tabla14[[#This Row],[DEUDA CAPITAL]]+Tabla14[[#This Row],[INTERES  CUOTA]]</f>
        <v>#NUM!</v>
      </c>
      <c r="U323" s="61" t="str">
        <f t="shared" si="59"/>
        <v/>
      </c>
    </row>
    <row r="324" spans="9:21" ht="24.75" customHeight="1" x14ac:dyDescent="0.35">
      <c r="I324" s="42">
        <f t="shared" si="50"/>
        <v>0</v>
      </c>
      <c r="J324" s="65" t="e">
        <f t="shared" si="51"/>
        <v>#NUM!</v>
      </c>
      <c r="K324" s="83" t="e">
        <f t="shared" si="52"/>
        <v>#NUM!</v>
      </c>
      <c r="L324" s="83">
        <f t="shared" si="53"/>
        <v>0</v>
      </c>
      <c r="M324" s="110" t="str">
        <f t="shared" si="54"/>
        <v/>
      </c>
      <c r="N324" s="51" t="str">
        <f t="shared" si="55"/>
        <v/>
      </c>
      <c r="O324" s="52" t="str">
        <f t="shared" si="56"/>
        <v/>
      </c>
      <c r="P324" s="88">
        <f t="shared" si="57"/>
        <v>0</v>
      </c>
      <c r="Q324" s="88">
        <f t="shared" si="58"/>
        <v>0</v>
      </c>
      <c r="R324" s="88" t="e">
        <f>-IF(Tabla14[[#This Row],[DIAS HABILES O MORA]]&lt;0,(Tabla14[[#This Row],[VALOR PRESTAMO]]*Tabla14[[#This Row],[% INTERES ]]/30*U324))+Tabla14[[#This Row],[VALOR CUOTAS]]</f>
        <v>#VALUE!</v>
      </c>
      <c r="S324" s="88">
        <f>-IF(Tabla14[[#This Row],[DIAS HABILES O MORA]]&lt;0,(Tabla14[[#This Row],[VALOR PRESTAMO]]*Tabla14[[#This Row],[% INTERES ]]/30*U324))</f>
        <v>0</v>
      </c>
      <c r="T324" s="53" t="e">
        <f>Tabla14[[#This Row],[DEUDA CAPITAL]]+Tabla14[[#This Row],[INTERES  CUOTA]]</f>
        <v>#NUM!</v>
      </c>
      <c r="U324" s="61" t="str">
        <f t="shared" si="59"/>
        <v/>
      </c>
    </row>
    <row r="325" spans="9:21" ht="24.75" customHeight="1" x14ac:dyDescent="0.35">
      <c r="I325" s="42">
        <f t="shared" si="50"/>
        <v>0</v>
      </c>
      <c r="J325" s="65" t="e">
        <f t="shared" si="51"/>
        <v>#NUM!</v>
      </c>
      <c r="K325" s="83" t="e">
        <f t="shared" si="52"/>
        <v>#NUM!</v>
      </c>
      <c r="L325" s="83">
        <f t="shared" si="53"/>
        <v>0</v>
      </c>
      <c r="M325" s="110" t="str">
        <f t="shared" si="54"/>
        <v/>
      </c>
      <c r="N325" s="51" t="str">
        <f t="shared" si="55"/>
        <v/>
      </c>
      <c r="O325" s="52" t="str">
        <f t="shared" si="56"/>
        <v/>
      </c>
      <c r="P325" s="88">
        <f t="shared" si="57"/>
        <v>0</v>
      </c>
      <c r="Q325" s="88">
        <f t="shared" si="58"/>
        <v>0</v>
      </c>
      <c r="R325" s="88" t="e">
        <f>-IF(Tabla14[[#This Row],[DIAS HABILES O MORA]]&lt;0,(Tabla14[[#This Row],[VALOR PRESTAMO]]*Tabla14[[#This Row],[% INTERES ]]/30*U325))+Tabla14[[#This Row],[VALOR CUOTAS]]</f>
        <v>#VALUE!</v>
      </c>
      <c r="S325" s="88">
        <f>-IF(Tabla14[[#This Row],[DIAS HABILES O MORA]]&lt;0,(Tabla14[[#This Row],[VALOR PRESTAMO]]*Tabla14[[#This Row],[% INTERES ]]/30*U325))</f>
        <v>0</v>
      </c>
      <c r="T325" s="53" t="e">
        <f>Tabla14[[#This Row],[DEUDA CAPITAL]]+Tabla14[[#This Row],[INTERES  CUOTA]]</f>
        <v>#NUM!</v>
      </c>
      <c r="U325" s="61" t="str">
        <f t="shared" si="59"/>
        <v/>
      </c>
    </row>
    <row r="326" spans="9:21" ht="24.75" customHeight="1" x14ac:dyDescent="0.35">
      <c r="I326" s="42">
        <f t="shared" si="50"/>
        <v>0</v>
      </c>
      <c r="J326" s="65" t="e">
        <f t="shared" si="51"/>
        <v>#NUM!</v>
      </c>
      <c r="K326" s="83" t="e">
        <f t="shared" si="52"/>
        <v>#NUM!</v>
      </c>
      <c r="L326" s="83">
        <f t="shared" si="53"/>
        <v>0</v>
      </c>
      <c r="M326" s="110" t="str">
        <f t="shared" si="54"/>
        <v/>
      </c>
      <c r="N326" s="51" t="str">
        <f t="shared" si="55"/>
        <v/>
      </c>
      <c r="O326" s="52" t="str">
        <f t="shared" si="56"/>
        <v/>
      </c>
      <c r="P326" s="88">
        <f t="shared" si="57"/>
        <v>0</v>
      </c>
      <c r="Q326" s="88">
        <f t="shared" si="58"/>
        <v>0</v>
      </c>
      <c r="R326" s="88" t="e">
        <f>-IF(Tabla14[[#This Row],[DIAS HABILES O MORA]]&lt;0,(Tabla14[[#This Row],[VALOR PRESTAMO]]*Tabla14[[#This Row],[% INTERES ]]/30*U326))+Tabla14[[#This Row],[VALOR CUOTAS]]</f>
        <v>#VALUE!</v>
      </c>
      <c r="S326" s="88">
        <f>-IF(Tabla14[[#This Row],[DIAS HABILES O MORA]]&lt;0,(Tabla14[[#This Row],[VALOR PRESTAMO]]*Tabla14[[#This Row],[% INTERES ]]/30*U326))</f>
        <v>0</v>
      </c>
      <c r="T326" s="53" t="e">
        <f>Tabla14[[#This Row],[DEUDA CAPITAL]]+Tabla14[[#This Row],[INTERES  CUOTA]]</f>
        <v>#NUM!</v>
      </c>
      <c r="U326" s="61" t="str">
        <f t="shared" si="59"/>
        <v/>
      </c>
    </row>
    <row r="327" spans="9:21" ht="24.75" customHeight="1" x14ac:dyDescent="0.35">
      <c r="I327" s="42">
        <f t="shared" si="50"/>
        <v>0</v>
      </c>
      <c r="J327" s="65" t="e">
        <f t="shared" si="51"/>
        <v>#NUM!</v>
      </c>
      <c r="K327" s="83" t="e">
        <f t="shared" si="52"/>
        <v>#NUM!</v>
      </c>
      <c r="L327" s="83">
        <f t="shared" si="53"/>
        <v>0</v>
      </c>
      <c r="M327" s="110" t="str">
        <f t="shared" si="54"/>
        <v/>
      </c>
      <c r="N327" s="51" t="str">
        <f t="shared" si="55"/>
        <v/>
      </c>
      <c r="O327" s="52" t="str">
        <f t="shared" si="56"/>
        <v/>
      </c>
      <c r="P327" s="88">
        <f t="shared" si="57"/>
        <v>0</v>
      </c>
      <c r="Q327" s="88">
        <f t="shared" si="58"/>
        <v>0</v>
      </c>
      <c r="R327" s="88" t="e">
        <f>-IF(Tabla14[[#This Row],[DIAS HABILES O MORA]]&lt;0,(Tabla14[[#This Row],[VALOR PRESTAMO]]*Tabla14[[#This Row],[% INTERES ]]/30*U327))+Tabla14[[#This Row],[VALOR CUOTAS]]</f>
        <v>#VALUE!</v>
      </c>
      <c r="S327" s="88">
        <f>-IF(Tabla14[[#This Row],[DIAS HABILES O MORA]]&lt;0,(Tabla14[[#This Row],[VALOR PRESTAMO]]*Tabla14[[#This Row],[% INTERES ]]/30*U327))</f>
        <v>0</v>
      </c>
      <c r="T327" s="53" t="e">
        <f>Tabla14[[#This Row],[DEUDA CAPITAL]]+Tabla14[[#This Row],[INTERES  CUOTA]]</f>
        <v>#NUM!</v>
      </c>
      <c r="U327" s="61" t="str">
        <f t="shared" si="59"/>
        <v/>
      </c>
    </row>
    <row r="328" spans="9:21" ht="24.75" customHeight="1" x14ac:dyDescent="0.35">
      <c r="I328" s="42">
        <f t="shared" si="50"/>
        <v>0</v>
      </c>
      <c r="J328" s="65" t="e">
        <f t="shared" si="51"/>
        <v>#NUM!</v>
      </c>
      <c r="K328" s="83" t="e">
        <f t="shared" si="52"/>
        <v>#NUM!</v>
      </c>
      <c r="L328" s="83">
        <f t="shared" si="53"/>
        <v>0</v>
      </c>
      <c r="M328" s="110" t="str">
        <f t="shared" si="54"/>
        <v/>
      </c>
      <c r="N328" s="51" t="str">
        <f t="shared" si="55"/>
        <v/>
      </c>
      <c r="O328" s="52" t="str">
        <f t="shared" si="56"/>
        <v/>
      </c>
      <c r="P328" s="88">
        <f t="shared" si="57"/>
        <v>0</v>
      </c>
      <c r="Q328" s="88">
        <f t="shared" si="58"/>
        <v>0</v>
      </c>
      <c r="R328" s="88" t="e">
        <f>-IF(Tabla14[[#This Row],[DIAS HABILES O MORA]]&lt;0,(Tabla14[[#This Row],[VALOR PRESTAMO]]*Tabla14[[#This Row],[% INTERES ]]/30*U328))+Tabla14[[#This Row],[VALOR CUOTAS]]</f>
        <v>#VALUE!</v>
      </c>
      <c r="S328" s="88">
        <f>-IF(Tabla14[[#This Row],[DIAS HABILES O MORA]]&lt;0,(Tabla14[[#This Row],[VALOR PRESTAMO]]*Tabla14[[#This Row],[% INTERES ]]/30*U328))</f>
        <v>0</v>
      </c>
      <c r="T328" s="53" t="e">
        <f>Tabla14[[#This Row],[DEUDA CAPITAL]]+Tabla14[[#This Row],[INTERES  CUOTA]]</f>
        <v>#NUM!</v>
      </c>
      <c r="U328" s="61" t="str">
        <f t="shared" si="59"/>
        <v/>
      </c>
    </row>
    <row r="329" spans="9:21" ht="24.75" customHeight="1" x14ac:dyDescent="0.35">
      <c r="I329" s="42">
        <f t="shared" si="50"/>
        <v>0</v>
      </c>
      <c r="J329" s="65" t="e">
        <f t="shared" si="51"/>
        <v>#NUM!</v>
      </c>
      <c r="K329" s="83" t="e">
        <f t="shared" si="52"/>
        <v>#NUM!</v>
      </c>
      <c r="L329" s="83">
        <f t="shared" si="53"/>
        <v>0</v>
      </c>
      <c r="M329" s="110" t="str">
        <f t="shared" si="54"/>
        <v/>
      </c>
      <c r="N329" s="51" t="str">
        <f t="shared" si="55"/>
        <v/>
      </c>
      <c r="O329" s="52" t="str">
        <f t="shared" si="56"/>
        <v/>
      </c>
      <c r="P329" s="88">
        <f t="shared" si="57"/>
        <v>0</v>
      </c>
      <c r="Q329" s="88">
        <f t="shared" si="58"/>
        <v>0</v>
      </c>
      <c r="R329" s="88" t="e">
        <f>-IF(Tabla14[[#This Row],[DIAS HABILES O MORA]]&lt;0,(Tabla14[[#This Row],[VALOR PRESTAMO]]*Tabla14[[#This Row],[% INTERES ]]/30*U329))+Tabla14[[#This Row],[VALOR CUOTAS]]</f>
        <v>#VALUE!</v>
      </c>
      <c r="S329" s="88">
        <f>-IF(Tabla14[[#This Row],[DIAS HABILES O MORA]]&lt;0,(Tabla14[[#This Row],[VALOR PRESTAMO]]*Tabla14[[#This Row],[% INTERES ]]/30*U329))</f>
        <v>0</v>
      </c>
      <c r="T329" s="53" t="e">
        <f>Tabla14[[#This Row],[DEUDA CAPITAL]]+Tabla14[[#This Row],[INTERES  CUOTA]]</f>
        <v>#NUM!</v>
      </c>
      <c r="U329" s="61" t="str">
        <f t="shared" si="59"/>
        <v/>
      </c>
    </row>
    <row r="330" spans="9:21" ht="24.75" customHeight="1" x14ac:dyDescent="0.35">
      <c r="I330" s="42">
        <f t="shared" si="50"/>
        <v>0</v>
      </c>
      <c r="J330" s="65" t="e">
        <f t="shared" si="51"/>
        <v>#NUM!</v>
      </c>
      <c r="K330" s="83" t="e">
        <f t="shared" si="52"/>
        <v>#NUM!</v>
      </c>
      <c r="L330" s="83">
        <f t="shared" si="53"/>
        <v>0</v>
      </c>
      <c r="M330" s="110" t="str">
        <f t="shared" si="54"/>
        <v/>
      </c>
      <c r="N330" s="51" t="str">
        <f t="shared" si="55"/>
        <v/>
      </c>
      <c r="O330" s="52" t="str">
        <f t="shared" si="56"/>
        <v/>
      </c>
      <c r="P330" s="88">
        <f t="shared" si="57"/>
        <v>0</v>
      </c>
      <c r="Q330" s="88">
        <f t="shared" si="58"/>
        <v>0</v>
      </c>
      <c r="R330" s="88" t="e">
        <f>-IF(Tabla14[[#This Row],[DIAS HABILES O MORA]]&lt;0,(Tabla14[[#This Row],[VALOR PRESTAMO]]*Tabla14[[#This Row],[% INTERES ]]/30*U330))+Tabla14[[#This Row],[VALOR CUOTAS]]</f>
        <v>#VALUE!</v>
      </c>
      <c r="S330" s="88">
        <f>-IF(Tabla14[[#This Row],[DIAS HABILES O MORA]]&lt;0,(Tabla14[[#This Row],[VALOR PRESTAMO]]*Tabla14[[#This Row],[% INTERES ]]/30*U330))</f>
        <v>0</v>
      </c>
      <c r="T330" s="53" t="e">
        <f>Tabla14[[#This Row],[DEUDA CAPITAL]]+Tabla14[[#This Row],[INTERES  CUOTA]]</f>
        <v>#NUM!</v>
      </c>
      <c r="U330" s="61" t="str">
        <f t="shared" si="59"/>
        <v/>
      </c>
    </row>
    <row r="331" spans="9:21" ht="24.75" customHeight="1" x14ac:dyDescent="0.35">
      <c r="I331" s="42">
        <f t="shared" si="50"/>
        <v>0</v>
      </c>
      <c r="J331" s="65" t="e">
        <f t="shared" si="51"/>
        <v>#NUM!</v>
      </c>
      <c r="K331" s="83" t="e">
        <f t="shared" si="52"/>
        <v>#NUM!</v>
      </c>
      <c r="L331" s="83">
        <f t="shared" si="53"/>
        <v>0</v>
      </c>
      <c r="M331" s="110" t="str">
        <f t="shared" si="54"/>
        <v/>
      </c>
      <c r="N331" s="51" t="str">
        <f t="shared" si="55"/>
        <v/>
      </c>
      <c r="O331" s="52" t="str">
        <f t="shared" si="56"/>
        <v/>
      </c>
      <c r="P331" s="88">
        <f t="shared" si="57"/>
        <v>0</v>
      </c>
      <c r="Q331" s="88">
        <f t="shared" si="58"/>
        <v>0</v>
      </c>
      <c r="R331" s="88" t="e">
        <f>-IF(Tabla14[[#This Row],[DIAS HABILES O MORA]]&lt;0,(Tabla14[[#This Row],[VALOR PRESTAMO]]*Tabla14[[#This Row],[% INTERES ]]/30*U331))+Tabla14[[#This Row],[VALOR CUOTAS]]</f>
        <v>#VALUE!</v>
      </c>
      <c r="S331" s="88">
        <f>-IF(Tabla14[[#This Row],[DIAS HABILES O MORA]]&lt;0,(Tabla14[[#This Row],[VALOR PRESTAMO]]*Tabla14[[#This Row],[% INTERES ]]/30*U331))</f>
        <v>0</v>
      </c>
      <c r="T331" s="53" t="e">
        <f>Tabla14[[#This Row],[DEUDA CAPITAL]]+Tabla14[[#This Row],[INTERES  CUOTA]]</f>
        <v>#NUM!</v>
      </c>
      <c r="U331" s="61" t="str">
        <f t="shared" si="59"/>
        <v/>
      </c>
    </row>
    <row r="332" spans="9:21" ht="24.75" customHeight="1" x14ac:dyDescent="0.35">
      <c r="I332" s="42">
        <f t="shared" si="50"/>
        <v>0</v>
      </c>
      <c r="J332" s="65" t="e">
        <f t="shared" si="51"/>
        <v>#NUM!</v>
      </c>
      <c r="K332" s="83" t="e">
        <f t="shared" si="52"/>
        <v>#NUM!</v>
      </c>
      <c r="L332" s="83">
        <f t="shared" si="53"/>
        <v>0</v>
      </c>
      <c r="M332" s="110" t="str">
        <f t="shared" si="54"/>
        <v/>
      </c>
      <c r="N332" s="51" t="str">
        <f t="shared" si="55"/>
        <v/>
      </c>
      <c r="O332" s="52" t="str">
        <f t="shared" si="56"/>
        <v/>
      </c>
      <c r="P332" s="88">
        <f t="shared" si="57"/>
        <v>0</v>
      </c>
      <c r="Q332" s="88">
        <f t="shared" si="58"/>
        <v>0</v>
      </c>
      <c r="R332" s="88" t="e">
        <f>-IF(Tabla14[[#This Row],[DIAS HABILES O MORA]]&lt;0,(Tabla14[[#This Row],[VALOR PRESTAMO]]*Tabla14[[#This Row],[% INTERES ]]/30*U332))+Tabla14[[#This Row],[VALOR CUOTAS]]</f>
        <v>#VALUE!</v>
      </c>
      <c r="S332" s="88">
        <f>-IF(Tabla14[[#This Row],[DIAS HABILES O MORA]]&lt;0,(Tabla14[[#This Row],[VALOR PRESTAMO]]*Tabla14[[#This Row],[% INTERES ]]/30*U332))</f>
        <v>0</v>
      </c>
      <c r="T332" s="53" t="e">
        <f>Tabla14[[#This Row],[DEUDA CAPITAL]]+Tabla14[[#This Row],[INTERES  CUOTA]]</f>
        <v>#NUM!</v>
      </c>
      <c r="U332" s="61" t="str">
        <f t="shared" si="59"/>
        <v/>
      </c>
    </row>
    <row r="333" spans="9:21" ht="24.75" customHeight="1" x14ac:dyDescent="0.35">
      <c r="I333" s="42">
        <f t="shared" si="50"/>
        <v>0</v>
      </c>
      <c r="J333" s="65" t="e">
        <f t="shared" si="51"/>
        <v>#NUM!</v>
      </c>
      <c r="K333" s="83" t="e">
        <f t="shared" si="52"/>
        <v>#NUM!</v>
      </c>
      <c r="L333" s="83">
        <f t="shared" si="53"/>
        <v>0</v>
      </c>
      <c r="M333" s="110" t="str">
        <f t="shared" si="54"/>
        <v/>
      </c>
      <c r="N333" s="51" t="str">
        <f t="shared" si="55"/>
        <v/>
      </c>
      <c r="O333" s="52" t="str">
        <f t="shared" si="56"/>
        <v/>
      </c>
      <c r="P333" s="88">
        <f t="shared" si="57"/>
        <v>0</v>
      </c>
      <c r="Q333" s="88">
        <f t="shared" si="58"/>
        <v>0</v>
      </c>
      <c r="R333" s="88" t="e">
        <f>-IF(Tabla14[[#This Row],[DIAS HABILES O MORA]]&lt;0,(Tabla14[[#This Row],[VALOR PRESTAMO]]*Tabla14[[#This Row],[% INTERES ]]/30*U333))+Tabla14[[#This Row],[VALOR CUOTAS]]</f>
        <v>#VALUE!</v>
      </c>
      <c r="S333" s="88">
        <f>-IF(Tabla14[[#This Row],[DIAS HABILES O MORA]]&lt;0,(Tabla14[[#This Row],[VALOR PRESTAMO]]*Tabla14[[#This Row],[% INTERES ]]/30*U333))</f>
        <v>0</v>
      </c>
      <c r="T333" s="53" t="e">
        <f>Tabla14[[#This Row],[DEUDA CAPITAL]]+Tabla14[[#This Row],[INTERES  CUOTA]]</f>
        <v>#NUM!</v>
      </c>
      <c r="U333" s="61" t="str">
        <f t="shared" si="59"/>
        <v/>
      </c>
    </row>
    <row r="334" spans="9:21" ht="24.75" customHeight="1" x14ac:dyDescent="0.35">
      <c r="I334" s="42">
        <f t="shared" si="50"/>
        <v>0</v>
      </c>
      <c r="J334" s="65" t="e">
        <f t="shared" si="51"/>
        <v>#NUM!</v>
      </c>
      <c r="K334" s="83" t="e">
        <f t="shared" si="52"/>
        <v>#NUM!</v>
      </c>
      <c r="L334" s="83">
        <f t="shared" si="53"/>
        <v>0</v>
      </c>
      <c r="M334" s="110" t="str">
        <f t="shared" si="54"/>
        <v/>
      </c>
      <c r="N334" s="51" t="str">
        <f t="shared" si="55"/>
        <v/>
      </c>
      <c r="O334" s="52" t="str">
        <f t="shared" si="56"/>
        <v/>
      </c>
      <c r="P334" s="88">
        <f t="shared" si="57"/>
        <v>0</v>
      </c>
      <c r="Q334" s="88">
        <f t="shared" si="58"/>
        <v>0</v>
      </c>
      <c r="R334" s="88" t="e">
        <f>-IF(Tabla14[[#This Row],[DIAS HABILES O MORA]]&lt;0,(Tabla14[[#This Row],[VALOR PRESTAMO]]*Tabla14[[#This Row],[% INTERES ]]/30*U334))+Tabla14[[#This Row],[VALOR CUOTAS]]</f>
        <v>#VALUE!</v>
      </c>
      <c r="S334" s="88">
        <f>-IF(Tabla14[[#This Row],[DIAS HABILES O MORA]]&lt;0,(Tabla14[[#This Row],[VALOR PRESTAMO]]*Tabla14[[#This Row],[% INTERES ]]/30*U334))</f>
        <v>0</v>
      </c>
      <c r="T334" s="53" t="e">
        <f>Tabla14[[#This Row],[DEUDA CAPITAL]]+Tabla14[[#This Row],[INTERES  CUOTA]]</f>
        <v>#NUM!</v>
      </c>
      <c r="U334" s="61" t="str">
        <f t="shared" si="59"/>
        <v/>
      </c>
    </row>
    <row r="335" spans="9:21" ht="24.75" customHeight="1" x14ac:dyDescent="0.35">
      <c r="I335" s="42">
        <f t="shared" si="50"/>
        <v>0</v>
      </c>
      <c r="J335" s="65" t="e">
        <f t="shared" si="51"/>
        <v>#NUM!</v>
      </c>
      <c r="K335" s="83" t="e">
        <f t="shared" si="52"/>
        <v>#NUM!</v>
      </c>
      <c r="L335" s="83">
        <f t="shared" si="53"/>
        <v>0</v>
      </c>
      <c r="M335" s="110" t="str">
        <f t="shared" si="54"/>
        <v/>
      </c>
      <c r="N335" s="51" t="str">
        <f t="shared" si="55"/>
        <v/>
      </c>
      <c r="O335" s="52" t="str">
        <f t="shared" si="56"/>
        <v/>
      </c>
      <c r="P335" s="88">
        <f t="shared" si="57"/>
        <v>0</v>
      </c>
      <c r="Q335" s="88">
        <f t="shared" si="58"/>
        <v>0</v>
      </c>
      <c r="R335" s="88" t="e">
        <f>-IF(Tabla14[[#This Row],[DIAS HABILES O MORA]]&lt;0,(Tabla14[[#This Row],[VALOR PRESTAMO]]*Tabla14[[#This Row],[% INTERES ]]/30*U335))+Tabla14[[#This Row],[VALOR CUOTAS]]</f>
        <v>#VALUE!</v>
      </c>
      <c r="S335" s="88">
        <f>-IF(Tabla14[[#This Row],[DIAS HABILES O MORA]]&lt;0,(Tabla14[[#This Row],[VALOR PRESTAMO]]*Tabla14[[#This Row],[% INTERES ]]/30*U335))</f>
        <v>0</v>
      </c>
      <c r="T335" s="53" t="e">
        <f>Tabla14[[#This Row],[DEUDA CAPITAL]]+Tabla14[[#This Row],[INTERES  CUOTA]]</f>
        <v>#NUM!</v>
      </c>
      <c r="U335" s="61" t="str">
        <f t="shared" si="59"/>
        <v/>
      </c>
    </row>
    <row r="336" spans="9:21" ht="24.75" customHeight="1" x14ac:dyDescent="0.35">
      <c r="I336" s="42">
        <f t="shared" ref="I336:I399" si="60">IF(C336&lt;0,"",IF(Q336=0,0,IF(G336=0,H336+1,IF(H336&lt;G336,H336+1,IF(G336=H336,0)))))</f>
        <v>0</v>
      </c>
      <c r="J336" s="65" t="e">
        <f t="shared" ref="J336:J399" si="61">IF(F336="SOLO INTERES",Q336*D336,-IPMT(D336,I336,G336,C336))</f>
        <v>#NUM!</v>
      </c>
      <c r="K336" s="83" t="e">
        <f t="shared" ref="K336:K399" si="62">IF(F336="SOLO INTERES",0,-PPMT(D336,I336,G336,C336))</f>
        <v>#NUM!</v>
      </c>
      <c r="L336" s="83">
        <f t="shared" ref="L336:L399" si="63">IF(F336="SOLO INTERES",SUM(Y336:AAE336),IFERROR(-CUMIPMT(D336,G336,C336,1,H336,0),0)+SUM(Y336:WY336))</f>
        <v>0</v>
      </c>
      <c r="M336" s="110" t="str">
        <f t="shared" ref="M336:M399" si="64">IFERROR(IF(F336="SOLO INTERES",Q336*D336,-PMT(D336,G336,C336,0)),"")</f>
        <v/>
      </c>
      <c r="N336" s="51" t="str">
        <f t="shared" ref="N336:N399" si="65">IF(Q336=0,"",IF(E336="MENSUAL",EDATE(B336,I336),IF(E336="QUINCENAL",B336+(I336*15),IF(E336="SEMANAL",B336+(I336*7)))))</f>
        <v/>
      </c>
      <c r="O336" s="52" t="str">
        <f t="shared" ref="O336:O399" si="66">IF(C336=0,"",IF(Q336&lt;1,"PAGADO",IF(N336=$A$3,"COBRAR HOY",IF(N336&lt;$A$3,"EN MORA",IF(N336&gt;$A$3,"AL DIA")))))</f>
        <v/>
      </c>
      <c r="P336" s="88">
        <f t="shared" ref="P336:P399" si="67">IFERROR(-CUMPRINC(D336,G336,C336,1,H336,0),0)+W336</f>
        <v>0</v>
      </c>
      <c r="Q336" s="88">
        <f t="shared" ref="Q336:Q399" si="68">IFERROR(C336-P336,"")</f>
        <v>0</v>
      </c>
      <c r="R336" s="88" t="e">
        <f>-IF(Tabla14[[#This Row],[DIAS HABILES O MORA]]&lt;0,(Tabla14[[#This Row],[VALOR PRESTAMO]]*Tabla14[[#This Row],[% INTERES ]]/30*U336))+Tabla14[[#This Row],[VALOR CUOTAS]]</f>
        <v>#VALUE!</v>
      </c>
      <c r="S336" s="88">
        <f>-IF(Tabla14[[#This Row],[DIAS HABILES O MORA]]&lt;0,(Tabla14[[#This Row],[VALOR PRESTAMO]]*Tabla14[[#This Row],[% INTERES ]]/30*U336))</f>
        <v>0</v>
      </c>
      <c r="T336" s="53" t="e">
        <f>Tabla14[[#This Row],[DEUDA CAPITAL]]+Tabla14[[#This Row],[INTERES  CUOTA]]</f>
        <v>#NUM!</v>
      </c>
      <c r="U336" s="61" t="str">
        <f t="shared" ref="U336:U399" si="69">IF(O336="PAGADO","",IFERROR(-IF(C336=0,"",$A$3-N336),""))</f>
        <v/>
      </c>
    </row>
    <row r="337" spans="9:21" ht="24.75" customHeight="1" x14ac:dyDescent="0.35">
      <c r="I337" s="42">
        <f t="shared" si="60"/>
        <v>0</v>
      </c>
      <c r="J337" s="65" t="e">
        <f t="shared" si="61"/>
        <v>#NUM!</v>
      </c>
      <c r="K337" s="83" t="e">
        <f t="shared" si="62"/>
        <v>#NUM!</v>
      </c>
      <c r="L337" s="83">
        <f t="shared" si="63"/>
        <v>0</v>
      </c>
      <c r="M337" s="110" t="str">
        <f t="shared" si="64"/>
        <v/>
      </c>
      <c r="N337" s="51" t="str">
        <f t="shared" si="65"/>
        <v/>
      </c>
      <c r="O337" s="52" t="str">
        <f t="shared" si="66"/>
        <v/>
      </c>
      <c r="P337" s="88">
        <f t="shared" si="67"/>
        <v>0</v>
      </c>
      <c r="Q337" s="88">
        <f t="shared" si="68"/>
        <v>0</v>
      </c>
      <c r="R337" s="88" t="e">
        <f>-IF(Tabla14[[#This Row],[DIAS HABILES O MORA]]&lt;0,(Tabla14[[#This Row],[VALOR PRESTAMO]]*Tabla14[[#This Row],[% INTERES ]]/30*U337))+Tabla14[[#This Row],[VALOR CUOTAS]]</f>
        <v>#VALUE!</v>
      </c>
      <c r="S337" s="88">
        <f>-IF(Tabla14[[#This Row],[DIAS HABILES O MORA]]&lt;0,(Tabla14[[#This Row],[VALOR PRESTAMO]]*Tabla14[[#This Row],[% INTERES ]]/30*U337))</f>
        <v>0</v>
      </c>
      <c r="T337" s="53" t="e">
        <f>Tabla14[[#This Row],[DEUDA CAPITAL]]+Tabla14[[#This Row],[INTERES  CUOTA]]</f>
        <v>#NUM!</v>
      </c>
      <c r="U337" s="61" t="str">
        <f t="shared" si="69"/>
        <v/>
      </c>
    </row>
    <row r="338" spans="9:21" ht="24.75" customHeight="1" x14ac:dyDescent="0.35">
      <c r="I338" s="42">
        <f t="shared" si="60"/>
        <v>0</v>
      </c>
      <c r="J338" s="65" t="e">
        <f t="shared" si="61"/>
        <v>#NUM!</v>
      </c>
      <c r="K338" s="83" t="e">
        <f t="shared" si="62"/>
        <v>#NUM!</v>
      </c>
      <c r="L338" s="83">
        <f t="shared" si="63"/>
        <v>0</v>
      </c>
      <c r="M338" s="110" t="str">
        <f t="shared" si="64"/>
        <v/>
      </c>
      <c r="N338" s="51" t="str">
        <f t="shared" si="65"/>
        <v/>
      </c>
      <c r="O338" s="52" t="str">
        <f t="shared" si="66"/>
        <v/>
      </c>
      <c r="P338" s="88">
        <f t="shared" si="67"/>
        <v>0</v>
      </c>
      <c r="Q338" s="88">
        <f t="shared" si="68"/>
        <v>0</v>
      </c>
      <c r="R338" s="88" t="e">
        <f>-IF(Tabla14[[#This Row],[DIAS HABILES O MORA]]&lt;0,(Tabla14[[#This Row],[VALOR PRESTAMO]]*Tabla14[[#This Row],[% INTERES ]]/30*U338))+Tabla14[[#This Row],[VALOR CUOTAS]]</f>
        <v>#VALUE!</v>
      </c>
      <c r="S338" s="88">
        <f>-IF(Tabla14[[#This Row],[DIAS HABILES O MORA]]&lt;0,(Tabla14[[#This Row],[VALOR PRESTAMO]]*Tabla14[[#This Row],[% INTERES ]]/30*U338))</f>
        <v>0</v>
      </c>
      <c r="T338" s="53" t="e">
        <f>Tabla14[[#This Row],[DEUDA CAPITAL]]+Tabla14[[#This Row],[INTERES  CUOTA]]</f>
        <v>#NUM!</v>
      </c>
      <c r="U338" s="61" t="str">
        <f t="shared" si="69"/>
        <v/>
      </c>
    </row>
    <row r="339" spans="9:21" ht="24.75" customHeight="1" x14ac:dyDescent="0.35">
      <c r="I339" s="42">
        <f t="shared" si="60"/>
        <v>0</v>
      </c>
      <c r="J339" s="65" t="e">
        <f t="shared" si="61"/>
        <v>#NUM!</v>
      </c>
      <c r="K339" s="83" t="e">
        <f t="shared" si="62"/>
        <v>#NUM!</v>
      </c>
      <c r="L339" s="83">
        <f t="shared" si="63"/>
        <v>0</v>
      </c>
      <c r="M339" s="110" t="str">
        <f t="shared" si="64"/>
        <v/>
      </c>
      <c r="N339" s="51" t="str">
        <f t="shared" si="65"/>
        <v/>
      </c>
      <c r="O339" s="52" t="str">
        <f t="shared" si="66"/>
        <v/>
      </c>
      <c r="P339" s="88">
        <f t="shared" si="67"/>
        <v>0</v>
      </c>
      <c r="Q339" s="88">
        <f t="shared" si="68"/>
        <v>0</v>
      </c>
      <c r="R339" s="88" t="e">
        <f>-IF(Tabla14[[#This Row],[DIAS HABILES O MORA]]&lt;0,(Tabla14[[#This Row],[VALOR PRESTAMO]]*Tabla14[[#This Row],[% INTERES ]]/30*U339))+Tabla14[[#This Row],[VALOR CUOTAS]]</f>
        <v>#VALUE!</v>
      </c>
      <c r="S339" s="88">
        <f>-IF(Tabla14[[#This Row],[DIAS HABILES O MORA]]&lt;0,(Tabla14[[#This Row],[VALOR PRESTAMO]]*Tabla14[[#This Row],[% INTERES ]]/30*U339))</f>
        <v>0</v>
      </c>
      <c r="T339" s="53" t="e">
        <f>Tabla14[[#This Row],[DEUDA CAPITAL]]+Tabla14[[#This Row],[INTERES  CUOTA]]</f>
        <v>#NUM!</v>
      </c>
      <c r="U339" s="61" t="str">
        <f t="shared" si="69"/>
        <v/>
      </c>
    </row>
    <row r="340" spans="9:21" ht="24.75" customHeight="1" x14ac:dyDescent="0.35">
      <c r="I340" s="42">
        <f t="shared" si="60"/>
        <v>0</v>
      </c>
      <c r="J340" s="65" t="e">
        <f t="shared" si="61"/>
        <v>#NUM!</v>
      </c>
      <c r="K340" s="83" t="e">
        <f t="shared" si="62"/>
        <v>#NUM!</v>
      </c>
      <c r="L340" s="83">
        <f t="shared" si="63"/>
        <v>0</v>
      </c>
      <c r="M340" s="110" t="str">
        <f t="shared" si="64"/>
        <v/>
      </c>
      <c r="N340" s="51" t="str">
        <f t="shared" si="65"/>
        <v/>
      </c>
      <c r="O340" s="52" t="str">
        <f t="shared" si="66"/>
        <v/>
      </c>
      <c r="P340" s="88">
        <f t="shared" si="67"/>
        <v>0</v>
      </c>
      <c r="Q340" s="88">
        <f t="shared" si="68"/>
        <v>0</v>
      </c>
      <c r="R340" s="88" t="e">
        <f>-IF(Tabla14[[#This Row],[DIAS HABILES O MORA]]&lt;0,(Tabla14[[#This Row],[VALOR PRESTAMO]]*Tabla14[[#This Row],[% INTERES ]]/30*U340))+Tabla14[[#This Row],[VALOR CUOTAS]]</f>
        <v>#VALUE!</v>
      </c>
      <c r="S340" s="88">
        <f>-IF(Tabla14[[#This Row],[DIAS HABILES O MORA]]&lt;0,(Tabla14[[#This Row],[VALOR PRESTAMO]]*Tabla14[[#This Row],[% INTERES ]]/30*U340))</f>
        <v>0</v>
      </c>
      <c r="T340" s="53" t="e">
        <f>Tabla14[[#This Row],[DEUDA CAPITAL]]+Tabla14[[#This Row],[INTERES  CUOTA]]</f>
        <v>#NUM!</v>
      </c>
      <c r="U340" s="61" t="str">
        <f t="shared" si="69"/>
        <v/>
      </c>
    </row>
    <row r="341" spans="9:21" ht="24.75" customHeight="1" x14ac:dyDescent="0.35">
      <c r="I341" s="42">
        <f t="shared" si="60"/>
        <v>0</v>
      </c>
      <c r="J341" s="65" t="e">
        <f t="shared" si="61"/>
        <v>#NUM!</v>
      </c>
      <c r="K341" s="83" t="e">
        <f t="shared" si="62"/>
        <v>#NUM!</v>
      </c>
      <c r="L341" s="83">
        <f t="shared" si="63"/>
        <v>0</v>
      </c>
      <c r="M341" s="110" t="str">
        <f t="shared" si="64"/>
        <v/>
      </c>
      <c r="N341" s="51" t="str">
        <f t="shared" si="65"/>
        <v/>
      </c>
      <c r="O341" s="52" t="str">
        <f t="shared" si="66"/>
        <v/>
      </c>
      <c r="P341" s="88">
        <f t="shared" si="67"/>
        <v>0</v>
      </c>
      <c r="Q341" s="88">
        <f t="shared" si="68"/>
        <v>0</v>
      </c>
      <c r="R341" s="88" t="e">
        <f>-IF(Tabla14[[#This Row],[DIAS HABILES O MORA]]&lt;0,(Tabla14[[#This Row],[VALOR PRESTAMO]]*Tabla14[[#This Row],[% INTERES ]]/30*U341))+Tabla14[[#This Row],[VALOR CUOTAS]]</f>
        <v>#VALUE!</v>
      </c>
      <c r="S341" s="88">
        <f>-IF(Tabla14[[#This Row],[DIAS HABILES O MORA]]&lt;0,(Tabla14[[#This Row],[VALOR PRESTAMO]]*Tabla14[[#This Row],[% INTERES ]]/30*U341))</f>
        <v>0</v>
      </c>
      <c r="T341" s="53" t="e">
        <f>Tabla14[[#This Row],[DEUDA CAPITAL]]+Tabla14[[#This Row],[INTERES  CUOTA]]</f>
        <v>#NUM!</v>
      </c>
      <c r="U341" s="61" t="str">
        <f t="shared" si="69"/>
        <v/>
      </c>
    </row>
    <row r="342" spans="9:21" ht="24.75" customHeight="1" x14ac:dyDescent="0.35">
      <c r="I342" s="42">
        <f t="shared" si="60"/>
        <v>0</v>
      </c>
      <c r="J342" s="65" t="e">
        <f t="shared" si="61"/>
        <v>#NUM!</v>
      </c>
      <c r="K342" s="83" t="e">
        <f t="shared" si="62"/>
        <v>#NUM!</v>
      </c>
      <c r="L342" s="83">
        <f t="shared" si="63"/>
        <v>0</v>
      </c>
      <c r="M342" s="110" t="str">
        <f t="shared" si="64"/>
        <v/>
      </c>
      <c r="N342" s="51" t="str">
        <f t="shared" si="65"/>
        <v/>
      </c>
      <c r="O342" s="52" t="str">
        <f t="shared" si="66"/>
        <v/>
      </c>
      <c r="P342" s="88">
        <f t="shared" si="67"/>
        <v>0</v>
      </c>
      <c r="Q342" s="88">
        <f t="shared" si="68"/>
        <v>0</v>
      </c>
      <c r="R342" s="88" t="e">
        <f>-IF(Tabla14[[#This Row],[DIAS HABILES O MORA]]&lt;0,(Tabla14[[#This Row],[VALOR PRESTAMO]]*Tabla14[[#This Row],[% INTERES ]]/30*U342))+Tabla14[[#This Row],[VALOR CUOTAS]]</f>
        <v>#VALUE!</v>
      </c>
      <c r="S342" s="88">
        <f>-IF(Tabla14[[#This Row],[DIAS HABILES O MORA]]&lt;0,(Tabla14[[#This Row],[VALOR PRESTAMO]]*Tabla14[[#This Row],[% INTERES ]]/30*U342))</f>
        <v>0</v>
      </c>
      <c r="T342" s="53" t="e">
        <f>Tabla14[[#This Row],[DEUDA CAPITAL]]+Tabla14[[#This Row],[INTERES  CUOTA]]</f>
        <v>#NUM!</v>
      </c>
      <c r="U342" s="61" t="str">
        <f t="shared" si="69"/>
        <v/>
      </c>
    </row>
    <row r="343" spans="9:21" ht="24.75" customHeight="1" x14ac:dyDescent="0.35">
      <c r="I343" s="42">
        <f t="shared" si="60"/>
        <v>0</v>
      </c>
      <c r="J343" s="65" t="e">
        <f t="shared" si="61"/>
        <v>#NUM!</v>
      </c>
      <c r="K343" s="83" t="e">
        <f t="shared" si="62"/>
        <v>#NUM!</v>
      </c>
      <c r="L343" s="83">
        <f t="shared" si="63"/>
        <v>0</v>
      </c>
      <c r="M343" s="110" t="str">
        <f t="shared" si="64"/>
        <v/>
      </c>
      <c r="N343" s="51" t="str">
        <f t="shared" si="65"/>
        <v/>
      </c>
      <c r="O343" s="52" t="str">
        <f t="shared" si="66"/>
        <v/>
      </c>
      <c r="P343" s="88">
        <f t="shared" si="67"/>
        <v>0</v>
      </c>
      <c r="Q343" s="88">
        <f t="shared" si="68"/>
        <v>0</v>
      </c>
      <c r="R343" s="88" t="e">
        <f>-IF(Tabla14[[#This Row],[DIAS HABILES O MORA]]&lt;0,(Tabla14[[#This Row],[VALOR PRESTAMO]]*Tabla14[[#This Row],[% INTERES ]]/30*U343))+Tabla14[[#This Row],[VALOR CUOTAS]]</f>
        <v>#VALUE!</v>
      </c>
      <c r="S343" s="88">
        <f>-IF(Tabla14[[#This Row],[DIAS HABILES O MORA]]&lt;0,(Tabla14[[#This Row],[VALOR PRESTAMO]]*Tabla14[[#This Row],[% INTERES ]]/30*U343))</f>
        <v>0</v>
      </c>
      <c r="T343" s="53" t="e">
        <f>Tabla14[[#This Row],[DEUDA CAPITAL]]+Tabla14[[#This Row],[INTERES  CUOTA]]</f>
        <v>#NUM!</v>
      </c>
      <c r="U343" s="61" t="str">
        <f t="shared" si="69"/>
        <v/>
      </c>
    </row>
    <row r="344" spans="9:21" ht="24.75" customHeight="1" x14ac:dyDescent="0.35">
      <c r="I344" s="42">
        <f t="shared" si="60"/>
        <v>0</v>
      </c>
      <c r="J344" s="65" t="e">
        <f t="shared" si="61"/>
        <v>#NUM!</v>
      </c>
      <c r="K344" s="83" t="e">
        <f t="shared" si="62"/>
        <v>#NUM!</v>
      </c>
      <c r="L344" s="83">
        <f t="shared" si="63"/>
        <v>0</v>
      </c>
      <c r="M344" s="110" t="str">
        <f t="shared" si="64"/>
        <v/>
      </c>
      <c r="N344" s="51" t="str">
        <f t="shared" si="65"/>
        <v/>
      </c>
      <c r="O344" s="52" t="str">
        <f t="shared" si="66"/>
        <v/>
      </c>
      <c r="P344" s="88">
        <f t="shared" si="67"/>
        <v>0</v>
      </c>
      <c r="Q344" s="88">
        <f t="shared" si="68"/>
        <v>0</v>
      </c>
      <c r="R344" s="88" t="e">
        <f>-IF(Tabla14[[#This Row],[DIAS HABILES O MORA]]&lt;0,(Tabla14[[#This Row],[VALOR PRESTAMO]]*Tabla14[[#This Row],[% INTERES ]]/30*U344))+Tabla14[[#This Row],[VALOR CUOTAS]]</f>
        <v>#VALUE!</v>
      </c>
      <c r="S344" s="88">
        <f>-IF(Tabla14[[#This Row],[DIAS HABILES O MORA]]&lt;0,(Tabla14[[#This Row],[VALOR PRESTAMO]]*Tabla14[[#This Row],[% INTERES ]]/30*U344))</f>
        <v>0</v>
      </c>
      <c r="T344" s="53" t="e">
        <f>Tabla14[[#This Row],[DEUDA CAPITAL]]+Tabla14[[#This Row],[INTERES  CUOTA]]</f>
        <v>#NUM!</v>
      </c>
      <c r="U344" s="61" t="str">
        <f t="shared" si="69"/>
        <v/>
      </c>
    </row>
    <row r="345" spans="9:21" ht="24.75" customHeight="1" x14ac:dyDescent="0.35">
      <c r="I345" s="42">
        <f t="shared" si="60"/>
        <v>0</v>
      </c>
      <c r="J345" s="65" t="e">
        <f t="shared" si="61"/>
        <v>#NUM!</v>
      </c>
      <c r="K345" s="83" t="e">
        <f t="shared" si="62"/>
        <v>#NUM!</v>
      </c>
      <c r="L345" s="83">
        <f t="shared" si="63"/>
        <v>0</v>
      </c>
      <c r="M345" s="110" t="str">
        <f t="shared" si="64"/>
        <v/>
      </c>
      <c r="N345" s="51" t="str">
        <f t="shared" si="65"/>
        <v/>
      </c>
      <c r="O345" s="52" t="str">
        <f t="shared" si="66"/>
        <v/>
      </c>
      <c r="P345" s="88">
        <f t="shared" si="67"/>
        <v>0</v>
      </c>
      <c r="Q345" s="88">
        <f t="shared" si="68"/>
        <v>0</v>
      </c>
      <c r="R345" s="88" t="e">
        <f>-IF(Tabla14[[#This Row],[DIAS HABILES O MORA]]&lt;0,(Tabla14[[#This Row],[VALOR PRESTAMO]]*Tabla14[[#This Row],[% INTERES ]]/30*U345))+Tabla14[[#This Row],[VALOR CUOTAS]]</f>
        <v>#VALUE!</v>
      </c>
      <c r="S345" s="88">
        <f>-IF(Tabla14[[#This Row],[DIAS HABILES O MORA]]&lt;0,(Tabla14[[#This Row],[VALOR PRESTAMO]]*Tabla14[[#This Row],[% INTERES ]]/30*U345))</f>
        <v>0</v>
      </c>
      <c r="T345" s="53" t="e">
        <f>Tabla14[[#This Row],[DEUDA CAPITAL]]+Tabla14[[#This Row],[INTERES  CUOTA]]</f>
        <v>#NUM!</v>
      </c>
      <c r="U345" s="61" t="str">
        <f t="shared" si="69"/>
        <v/>
      </c>
    </row>
    <row r="346" spans="9:21" ht="24.75" customHeight="1" x14ac:dyDescent="0.35">
      <c r="I346" s="42">
        <f t="shared" si="60"/>
        <v>0</v>
      </c>
      <c r="J346" s="65" t="e">
        <f t="shared" si="61"/>
        <v>#NUM!</v>
      </c>
      <c r="K346" s="83" t="e">
        <f t="shared" si="62"/>
        <v>#NUM!</v>
      </c>
      <c r="L346" s="83">
        <f t="shared" si="63"/>
        <v>0</v>
      </c>
      <c r="M346" s="110" t="str">
        <f t="shared" si="64"/>
        <v/>
      </c>
      <c r="N346" s="51" t="str">
        <f t="shared" si="65"/>
        <v/>
      </c>
      <c r="O346" s="52" t="str">
        <f t="shared" si="66"/>
        <v/>
      </c>
      <c r="P346" s="88">
        <f t="shared" si="67"/>
        <v>0</v>
      </c>
      <c r="Q346" s="88">
        <f t="shared" si="68"/>
        <v>0</v>
      </c>
      <c r="R346" s="88" t="e">
        <f>-IF(Tabla14[[#This Row],[DIAS HABILES O MORA]]&lt;0,(Tabla14[[#This Row],[VALOR PRESTAMO]]*Tabla14[[#This Row],[% INTERES ]]/30*U346))+Tabla14[[#This Row],[VALOR CUOTAS]]</f>
        <v>#VALUE!</v>
      </c>
      <c r="S346" s="88">
        <f>-IF(Tabla14[[#This Row],[DIAS HABILES O MORA]]&lt;0,(Tabla14[[#This Row],[VALOR PRESTAMO]]*Tabla14[[#This Row],[% INTERES ]]/30*U346))</f>
        <v>0</v>
      </c>
      <c r="T346" s="53" t="e">
        <f>Tabla14[[#This Row],[DEUDA CAPITAL]]+Tabla14[[#This Row],[INTERES  CUOTA]]</f>
        <v>#NUM!</v>
      </c>
      <c r="U346" s="61" t="str">
        <f t="shared" si="69"/>
        <v/>
      </c>
    </row>
    <row r="347" spans="9:21" ht="24.75" customHeight="1" x14ac:dyDescent="0.35">
      <c r="I347" s="42">
        <f t="shared" si="60"/>
        <v>0</v>
      </c>
      <c r="J347" s="65" t="e">
        <f t="shared" si="61"/>
        <v>#NUM!</v>
      </c>
      <c r="K347" s="83" t="e">
        <f t="shared" si="62"/>
        <v>#NUM!</v>
      </c>
      <c r="L347" s="83">
        <f t="shared" si="63"/>
        <v>0</v>
      </c>
      <c r="M347" s="110" t="str">
        <f t="shared" si="64"/>
        <v/>
      </c>
      <c r="N347" s="51" t="str">
        <f t="shared" si="65"/>
        <v/>
      </c>
      <c r="O347" s="52" t="str">
        <f t="shared" si="66"/>
        <v/>
      </c>
      <c r="P347" s="88">
        <f t="shared" si="67"/>
        <v>0</v>
      </c>
      <c r="Q347" s="88">
        <f t="shared" si="68"/>
        <v>0</v>
      </c>
      <c r="R347" s="88" t="e">
        <f>-IF(Tabla14[[#This Row],[DIAS HABILES O MORA]]&lt;0,(Tabla14[[#This Row],[VALOR PRESTAMO]]*Tabla14[[#This Row],[% INTERES ]]/30*U347))+Tabla14[[#This Row],[VALOR CUOTAS]]</f>
        <v>#VALUE!</v>
      </c>
      <c r="S347" s="88">
        <f>-IF(Tabla14[[#This Row],[DIAS HABILES O MORA]]&lt;0,(Tabla14[[#This Row],[VALOR PRESTAMO]]*Tabla14[[#This Row],[% INTERES ]]/30*U347))</f>
        <v>0</v>
      </c>
      <c r="T347" s="53" t="e">
        <f>Tabla14[[#This Row],[DEUDA CAPITAL]]+Tabla14[[#This Row],[INTERES  CUOTA]]</f>
        <v>#NUM!</v>
      </c>
      <c r="U347" s="61" t="str">
        <f t="shared" si="69"/>
        <v/>
      </c>
    </row>
    <row r="348" spans="9:21" ht="24.75" customHeight="1" x14ac:dyDescent="0.35">
      <c r="I348" s="42">
        <f t="shared" si="60"/>
        <v>0</v>
      </c>
      <c r="J348" s="65" t="e">
        <f t="shared" si="61"/>
        <v>#NUM!</v>
      </c>
      <c r="K348" s="83" t="e">
        <f t="shared" si="62"/>
        <v>#NUM!</v>
      </c>
      <c r="L348" s="83">
        <f t="shared" si="63"/>
        <v>0</v>
      </c>
      <c r="M348" s="110" t="str">
        <f t="shared" si="64"/>
        <v/>
      </c>
      <c r="N348" s="51" t="str">
        <f t="shared" si="65"/>
        <v/>
      </c>
      <c r="O348" s="52" t="str">
        <f t="shared" si="66"/>
        <v/>
      </c>
      <c r="P348" s="88">
        <f t="shared" si="67"/>
        <v>0</v>
      </c>
      <c r="Q348" s="88">
        <f t="shared" si="68"/>
        <v>0</v>
      </c>
      <c r="R348" s="88" t="e">
        <f>-IF(Tabla14[[#This Row],[DIAS HABILES O MORA]]&lt;0,(Tabla14[[#This Row],[VALOR PRESTAMO]]*Tabla14[[#This Row],[% INTERES ]]/30*U348))+Tabla14[[#This Row],[VALOR CUOTAS]]</f>
        <v>#VALUE!</v>
      </c>
      <c r="S348" s="88">
        <f>-IF(Tabla14[[#This Row],[DIAS HABILES O MORA]]&lt;0,(Tabla14[[#This Row],[VALOR PRESTAMO]]*Tabla14[[#This Row],[% INTERES ]]/30*U348))</f>
        <v>0</v>
      </c>
      <c r="T348" s="53" t="e">
        <f>Tabla14[[#This Row],[DEUDA CAPITAL]]+Tabla14[[#This Row],[INTERES  CUOTA]]</f>
        <v>#NUM!</v>
      </c>
      <c r="U348" s="61" t="str">
        <f t="shared" si="69"/>
        <v/>
      </c>
    </row>
    <row r="349" spans="9:21" ht="24.75" customHeight="1" x14ac:dyDescent="0.35">
      <c r="I349" s="42">
        <f t="shared" si="60"/>
        <v>0</v>
      </c>
      <c r="J349" s="65" t="e">
        <f t="shared" si="61"/>
        <v>#NUM!</v>
      </c>
      <c r="K349" s="83" t="e">
        <f t="shared" si="62"/>
        <v>#NUM!</v>
      </c>
      <c r="L349" s="83">
        <f t="shared" si="63"/>
        <v>0</v>
      </c>
      <c r="M349" s="110" t="str">
        <f t="shared" si="64"/>
        <v/>
      </c>
      <c r="N349" s="51" t="str">
        <f t="shared" si="65"/>
        <v/>
      </c>
      <c r="O349" s="52" t="str">
        <f t="shared" si="66"/>
        <v/>
      </c>
      <c r="P349" s="88">
        <f t="shared" si="67"/>
        <v>0</v>
      </c>
      <c r="Q349" s="88">
        <f t="shared" si="68"/>
        <v>0</v>
      </c>
      <c r="R349" s="88" t="e">
        <f>-IF(Tabla14[[#This Row],[DIAS HABILES O MORA]]&lt;0,(Tabla14[[#This Row],[VALOR PRESTAMO]]*Tabla14[[#This Row],[% INTERES ]]/30*U349))+Tabla14[[#This Row],[VALOR CUOTAS]]</f>
        <v>#VALUE!</v>
      </c>
      <c r="S349" s="88">
        <f>-IF(Tabla14[[#This Row],[DIAS HABILES O MORA]]&lt;0,(Tabla14[[#This Row],[VALOR PRESTAMO]]*Tabla14[[#This Row],[% INTERES ]]/30*U349))</f>
        <v>0</v>
      </c>
      <c r="T349" s="53" t="e">
        <f>Tabla14[[#This Row],[DEUDA CAPITAL]]+Tabla14[[#This Row],[INTERES  CUOTA]]</f>
        <v>#NUM!</v>
      </c>
      <c r="U349" s="61" t="str">
        <f t="shared" si="69"/>
        <v/>
      </c>
    </row>
    <row r="350" spans="9:21" ht="24.75" customHeight="1" x14ac:dyDescent="0.35">
      <c r="I350" s="42">
        <f t="shared" si="60"/>
        <v>0</v>
      </c>
      <c r="J350" s="65" t="e">
        <f t="shared" si="61"/>
        <v>#NUM!</v>
      </c>
      <c r="K350" s="83" t="e">
        <f t="shared" si="62"/>
        <v>#NUM!</v>
      </c>
      <c r="L350" s="83">
        <f t="shared" si="63"/>
        <v>0</v>
      </c>
      <c r="M350" s="110" t="str">
        <f t="shared" si="64"/>
        <v/>
      </c>
      <c r="N350" s="51" t="str">
        <f t="shared" si="65"/>
        <v/>
      </c>
      <c r="O350" s="52" t="str">
        <f t="shared" si="66"/>
        <v/>
      </c>
      <c r="P350" s="88">
        <f t="shared" si="67"/>
        <v>0</v>
      </c>
      <c r="Q350" s="88">
        <f t="shared" si="68"/>
        <v>0</v>
      </c>
      <c r="R350" s="88" t="e">
        <f>-IF(Tabla14[[#This Row],[DIAS HABILES O MORA]]&lt;0,(Tabla14[[#This Row],[VALOR PRESTAMO]]*Tabla14[[#This Row],[% INTERES ]]/30*U350))+Tabla14[[#This Row],[VALOR CUOTAS]]</f>
        <v>#VALUE!</v>
      </c>
      <c r="S350" s="88">
        <f>-IF(Tabla14[[#This Row],[DIAS HABILES O MORA]]&lt;0,(Tabla14[[#This Row],[VALOR PRESTAMO]]*Tabla14[[#This Row],[% INTERES ]]/30*U350))</f>
        <v>0</v>
      </c>
      <c r="T350" s="53" t="e">
        <f>Tabla14[[#This Row],[DEUDA CAPITAL]]+Tabla14[[#This Row],[INTERES  CUOTA]]</f>
        <v>#NUM!</v>
      </c>
      <c r="U350" s="61" t="str">
        <f t="shared" si="69"/>
        <v/>
      </c>
    </row>
    <row r="351" spans="9:21" ht="24.75" customHeight="1" x14ac:dyDescent="0.35">
      <c r="I351" s="42">
        <f t="shared" si="60"/>
        <v>0</v>
      </c>
      <c r="J351" s="65" t="e">
        <f t="shared" si="61"/>
        <v>#NUM!</v>
      </c>
      <c r="K351" s="83" t="e">
        <f t="shared" si="62"/>
        <v>#NUM!</v>
      </c>
      <c r="L351" s="83">
        <f t="shared" si="63"/>
        <v>0</v>
      </c>
      <c r="M351" s="110" t="str">
        <f t="shared" si="64"/>
        <v/>
      </c>
      <c r="N351" s="51" t="str">
        <f t="shared" si="65"/>
        <v/>
      </c>
      <c r="O351" s="52" t="str">
        <f t="shared" si="66"/>
        <v/>
      </c>
      <c r="P351" s="88">
        <f t="shared" si="67"/>
        <v>0</v>
      </c>
      <c r="Q351" s="88">
        <f t="shared" si="68"/>
        <v>0</v>
      </c>
      <c r="R351" s="88" t="e">
        <f>-IF(Tabla14[[#This Row],[DIAS HABILES O MORA]]&lt;0,(Tabla14[[#This Row],[VALOR PRESTAMO]]*Tabla14[[#This Row],[% INTERES ]]/30*U351))+Tabla14[[#This Row],[VALOR CUOTAS]]</f>
        <v>#VALUE!</v>
      </c>
      <c r="S351" s="88">
        <f>-IF(Tabla14[[#This Row],[DIAS HABILES O MORA]]&lt;0,(Tabla14[[#This Row],[VALOR PRESTAMO]]*Tabla14[[#This Row],[% INTERES ]]/30*U351))</f>
        <v>0</v>
      </c>
      <c r="T351" s="53" t="e">
        <f>Tabla14[[#This Row],[DEUDA CAPITAL]]+Tabla14[[#This Row],[INTERES  CUOTA]]</f>
        <v>#NUM!</v>
      </c>
      <c r="U351" s="61" t="str">
        <f t="shared" si="69"/>
        <v/>
      </c>
    </row>
    <row r="352" spans="9:21" ht="24.75" customHeight="1" x14ac:dyDescent="0.35">
      <c r="I352" s="42">
        <f t="shared" si="60"/>
        <v>0</v>
      </c>
      <c r="J352" s="65" t="e">
        <f t="shared" si="61"/>
        <v>#NUM!</v>
      </c>
      <c r="K352" s="83" t="e">
        <f t="shared" si="62"/>
        <v>#NUM!</v>
      </c>
      <c r="L352" s="83">
        <f t="shared" si="63"/>
        <v>0</v>
      </c>
      <c r="M352" s="110" t="str">
        <f t="shared" si="64"/>
        <v/>
      </c>
      <c r="N352" s="51" t="str">
        <f t="shared" si="65"/>
        <v/>
      </c>
      <c r="O352" s="52" t="str">
        <f t="shared" si="66"/>
        <v/>
      </c>
      <c r="P352" s="88">
        <f t="shared" si="67"/>
        <v>0</v>
      </c>
      <c r="Q352" s="88">
        <f t="shared" si="68"/>
        <v>0</v>
      </c>
      <c r="R352" s="88" t="e">
        <f>-IF(Tabla14[[#This Row],[DIAS HABILES O MORA]]&lt;0,(Tabla14[[#This Row],[VALOR PRESTAMO]]*Tabla14[[#This Row],[% INTERES ]]/30*U352))+Tabla14[[#This Row],[VALOR CUOTAS]]</f>
        <v>#VALUE!</v>
      </c>
      <c r="S352" s="88">
        <f>-IF(Tabla14[[#This Row],[DIAS HABILES O MORA]]&lt;0,(Tabla14[[#This Row],[VALOR PRESTAMO]]*Tabla14[[#This Row],[% INTERES ]]/30*U352))</f>
        <v>0</v>
      </c>
      <c r="T352" s="53" t="e">
        <f>Tabla14[[#This Row],[DEUDA CAPITAL]]+Tabla14[[#This Row],[INTERES  CUOTA]]</f>
        <v>#NUM!</v>
      </c>
      <c r="U352" s="61" t="str">
        <f t="shared" si="69"/>
        <v/>
      </c>
    </row>
    <row r="353" spans="9:21" ht="24.75" customHeight="1" x14ac:dyDescent="0.35">
      <c r="I353" s="42">
        <f t="shared" si="60"/>
        <v>0</v>
      </c>
      <c r="J353" s="65" t="e">
        <f t="shared" si="61"/>
        <v>#NUM!</v>
      </c>
      <c r="K353" s="83" t="e">
        <f t="shared" si="62"/>
        <v>#NUM!</v>
      </c>
      <c r="L353" s="83">
        <f t="shared" si="63"/>
        <v>0</v>
      </c>
      <c r="M353" s="110" t="str">
        <f t="shared" si="64"/>
        <v/>
      </c>
      <c r="N353" s="51" t="str">
        <f t="shared" si="65"/>
        <v/>
      </c>
      <c r="O353" s="52" t="str">
        <f t="shared" si="66"/>
        <v/>
      </c>
      <c r="P353" s="88">
        <f t="shared" si="67"/>
        <v>0</v>
      </c>
      <c r="Q353" s="88">
        <f t="shared" si="68"/>
        <v>0</v>
      </c>
      <c r="R353" s="88" t="e">
        <f>-IF(Tabla14[[#This Row],[DIAS HABILES O MORA]]&lt;0,(Tabla14[[#This Row],[VALOR PRESTAMO]]*Tabla14[[#This Row],[% INTERES ]]/30*U353))+Tabla14[[#This Row],[VALOR CUOTAS]]</f>
        <v>#VALUE!</v>
      </c>
      <c r="S353" s="88">
        <f>-IF(Tabla14[[#This Row],[DIAS HABILES O MORA]]&lt;0,(Tabla14[[#This Row],[VALOR PRESTAMO]]*Tabla14[[#This Row],[% INTERES ]]/30*U353))</f>
        <v>0</v>
      </c>
      <c r="T353" s="53" t="e">
        <f>Tabla14[[#This Row],[DEUDA CAPITAL]]+Tabla14[[#This Row],[INTERES  CUOTA]]</f>
        <v>#NUM!</v>
      </c>
      <c r="U353" s="61" t="str">
        <f t="shared" si="69"/>
        <v/>
      </c>
    </row>
    <row r="354" spans="9:21" ht="24.75" customHeight="1" x14ac:dyDescent="0.35">
      <c r="I354" s="42">
        <f t="shared" si="60"/>
        <v>0</v>
      </c>
      <c r="J354" s="65" t="e">
        <f t="shared" si="61"/>
        <v>#NUM!</v>
      </c>
      <c r="K354" s="83" t="e">
        <f t="shared" si="62"/>
        <v>#NUM!</v>
      </c>
      <c r="L354" s="83">
        <f t="shared" si="63"/>
        <v>0</v>
      </c>
      <c r="M354" s="110" t="str">
        <f t="shared" si="64"/>
        <v/>
      </c>
      <c r="N354" s="51" t="str">
        <f t="shared" si="65"/>
        <v/>
      </c>
      <c r="O354" s="52" t="str">
        <f t="shared" si="66"/>
        <v/>
      </c>
      <c r="P354" s="88">
        <f t="shared" si="67"/>
        <v>0</v>
      </c>
      <c r="Q354" s="88">
        <f t="shared" si="68"/>
        <v>0</v>
      </c>
      <c r="R354" s="88" t="e">
        <f>-IF(Tabla14[[#This Row],[DIAS HABILES O MORA]]&lt;0,(Tabla14[[#This Row],[VALOR PRESTAMO]]*Tabla14[[#This Row],[% INTERES ]]/30*U354))+Tabla14[[#This Row],[VALOR CUOTAS]]</f>
        <v>#VALUE!</v>
      </c>
      <c r="S354" s="88">
        <f>-IF(Tabla14[[#This Row],[DIAS HABILES O MORA]]&lt;0,(Tabla14[[#This Row],[VALOR PRESTAMO]]*Tabla14[[#This Row],[% INTERES ]]/30*U354))</f>
        <v>0</v>
      </c>
      <c r="T354" s="53" t="e">
        <f>Tabla14[[#This Row],[DEUDA CAPITAL]]+Tabla14[[#This Row],[INTERES  CUOTA]]</f>
        <v>#NUM!</v>
      </c>
      <c r="U354" s="61" t="str">
        <f t="shared" si="69"/>
        <v/>
      </c>
    </row>
    <row r="355" spans="9:21" ht="24.75" customHeight="1" x14ac:dyDescent="0.35">
      <c r="I355" s="42">
        <f t="shared" si="60"/>
        <v>0</v>
      </c>
      <c r="J355" s="65" t="e">
        <f t="shared" si="61"/>
        <v>#NUM!</v>
      </c>
      <c r="K355" s="83" t="e">
        <f t="shared" si="62"/>
        <v>#NUM!</v>
      </c>
      <c r="L355" s="83">
        <f t="shared" si="63"/>
        <v>0</v>
      </c>
      <c r="M355" s="110" t="str">
        <f t="shared" si="64"/>
        <v/>
      </c>
      <c r="N355" s="51" t="str">
        <f t="shared" si="65"/>
        <v/>
      </c>
      <c r="O355" s="52" t="str">
        <f t="shared" si="66"/>
        <v/>
      </c>
      <c r="P355" s="88">
        <f t="shared" si="67"/>
        <v>0</v>
      </c>
      <c r="Q355" s="88">
        <f t="shared" si="68"/>
        <v>0</v>
      </c>
      <c r="R355" s="88" t="e">
        <f>-IF(Tabla14[[#This Row],[DIAS HABILES O MORA]]&lt;0,(Tabla14[[#This Row],[VALOR PRESTAMO]]*Tabla14[[#This Row],[% INTERES ]]/30*U355))+Tabla14[[#This Row],[VALOR CUOTAS]]</f>
        <v>#VALUE!</v>
      </c>
      <c r="S355" s="88">
        <f>-IF(Tabla14[[#This Row],[DIAS HABILES O MORA]]&lt;0,(Tabla14[[#This Row],[VALOR PRESTAMO]]*Tabla14[[#This Row],[% INTERES ]]/30*U355))</f>
        <v>0</v>
      </c>
      <c r="T355" s="53" t="e">
        <f>Tabla14[[#This Row],[DEUDA CAPITAL]]+Tabla14[[#This Row],[INTERES  CUOTA]]</f>
        <v>#NUM!</v>
      </c>
      <c r="U355" s="61" t="str">
        <f t="shared" si="69"/>
        <v/>
      </c>
    </row>
    <row r="356" spans="9:21" ht="24.75" customHeight="1" x14ac:dyDescent="0.35">
      <c r="I356" s="42">
        <f t="shared" si="60"/>
        <v>0</v>
      </c>
      <c r="J356" s="65" t="e">
        <f t="shared" si="61"/>
        <v>#NUM!</v>
      </c>
      <c r="K356" s="83" t="e">
        <f t="shared" si="62"/>
        <v>#NUM!</v>
      </c>
      <c r="L356" s="83">
        <f t="shared" si="63"/>
        <v>0</v>
      </c>
      <c r="M356" s="110" t="str">
        <f t="shared" si="64"/>
        <v/>
      </c>
      <c r="N356" s="51" t="str">
        <f t="shared" si="65"/>
        <v/>
      </c>
      <c r="O356" s="52" t="str">
        <f t="shared" si="66"/>
        <v/>
      </c>
      <c r="P356" s="88">
        <f t="shared" si="67"/>
        <v>0</v>
      </c>
      <c r="Q356" s="88">
        <f t="shared" si="68"/>
        <v>0</v>
      </c>
      <c r="R356" s="88" t="e">
        <f>-IF(Tabla14[[#This Row],[DIAS HABILES O MORA]]&lt;0,(Tabla14[[#This Row],[VALOR PRESTAMO]]*Tabla14[[#This Row],[% INTERES ]]/30*U356))+Tabla14[[#This Row],[VALOR CUOTAS]]</f>
        <v>#VALUE!</v>
      </c>
      <c r="S356" s="88">
        <f>-IF(Tabla14[[#This Row],[DIAS HABILES O MORA]]&lt;0,(Tabla14[[#This Row],[VALOR PRESTAMO]]*Tabla14[[#This Row],[% INTERES ]]/30*U356))</f>
        <v>0</v>
      </c>
      <c r="T356" s="53" t="e">
        <f>Tabla14[[#This Row],[DEUDA CAPITAL]]+Tabla14[[#This Row],[INTERES  CUOTA]]</f>
        <v>#NUM!</v>
      </c>
      <c r="U356" s="61" t="str">
        <f t="shared" si="69"/>
        <v/>
      </c>
    </row>
    <row r="357" spans="9:21" ht="24.75" customHeight="1" x14ac:dyDescent="0.35">
      <c r="I357" s="42">
        <f t="shared" si="60"/>
        <v>0</v>
      </c>
      <c r="J357" s="65" t="e">
        <f t="shared" si="61"/>
        <v>#NUM!</v>
      </c>
      <c r="K357" s="83" t="e">
        <f t="shared" si="62"/>
        <v>#NUM!</v>
      </c>
      <c r="L357" s="83">
        <f t="shared" si="63"/>
        <v>0</v>
      </c>
      <c r="M357" s="110" t="str">
        <f t="shared" si="64"/>
        <v/>
      </c>
      <c r="N357" s="51" t="str">
        <f t="shared" si="65"/>
        <v/>
      </c>
      <c r="O357" s="52" t="str">
        <f t="shared" si="66"/>
        <v/>
      </c>
      <c r="P357" s="88">
        <f t="shared" si="67"/>
        <v>0</v>
      </c>
      <c r="Q357" s="88">
        <f t="shared" si="68"/>
        <v>0</v>
      </c>
      <c r="R357" s="88" t="e">
        <f>-IF(Tabla14[[#This Row],[DIAS HABILES O MORA]]&lt;0,(Tabla14[[#This Row],[VALOR PRESTAMO]]*Tabla14[[#This Row],[% INTERES ]]/30*U357))+Tabla14[[#This Row],[VALOR CUOTAS]]</f>
        <v>#VALUE!</v>
      </c>
      <c r="S357" s="88">
        <f>-IF(Tabla14[[#This Row],[DIAS HABILES O MORA]]&lt;0,(Tabla14[[#This Row],[VALOR PRESTAMO]]*Tabla14[[#This Row],[% INTERES ]]/30*U357))</f>
        <v>0</v>
      </c>
      <c r="T357" s="53" t="e">
        <f>Tabla14[[#This Row],[DEUDA CAPITAL]]+Tabla14[[#This Row],[INTERES  CUOTA]]</f>
        <v>#NUM!</v>
      </c>
      <c r="U357" s="61" t="str">
        <f t="shared" si="69"/>
        <v/>
      </c>
    </row>
    <row r="358" spans="9:21" ht="24.75" customHeight="1" x14ac:dyDescent="0.35">
      <c r="I358" s="42">
        <f t="shared" si="60"/>
        <v>0</v>
      </c>
      <c r="J358" s="65" t="e">
        <f t="shared" si="61"/>
        <v>#NUM!</v>
      </c>
      <c r="K358" s="83" t="e">
        <f t="shared" si="62"/>
        <v>#NUM!</v>
      </c>
      <c r="L358" s="83">
        <f t="shared" si="63"/>
        <v>0</v>
      </c>
      <c r="M358" s="110" t="str">
        <f t="shared" si="64"/>
        <v/>
      </c>
      <c r="N358" s="51" t="str">
        <f t="shared" si="65"/>
        <v/>
      </c>
      <c r="O358" s="52" t="str">
        <f t="shared" si="66"/>
        <v/>
      </c>
      <c r="P358" s="88">
        <f t="shared" si="67"/>
        <v>0</v>
      </c>
      <c r="Q358" s="88">
        <f t="shared" si="68"/>
        <v>0</v>
      </c>
      <c r="R358" s="88" t="e">
        <f>-IF(Tabla14[[#This Row],[DIAS HABILES O MORA]]&lt;0,(Tabla14[[#This Row],[VALOR PRESTAMO]]*Tabla14[[#This Row],[% INTERES ]]/30*U358))+Tabla14[[#This Row],[VALOR CUOTAS]]</f>
        <v>#VALUE!</v>
      </c>
      <c r="S358" s="88">
        <f>-IF(Tabla14[[#This Row],[DIAS HABILES O MORA]]&lt;0,(Tabla14[[#This Row],[VALOR PRESTAMO]]*Tabla14[[#This Row],[% INTERES ]]/30*U358))</f>
        <v>0</v>
      </c>
      <c r="T358" s="53" t="e">
        <f>Tabla14[[#This Row],[DEUDA CAPITAL]]+Tabla14[[#This Row],[INTERES  CUOTA]]</f>
        <v>#NUM!</v>
      </c>
      <c r="U358" s="61" t="str">
        <f t="shared" si="69"/>
        <v/>
      </c>
    </row>
    <row r="359" spans="9:21" ht="24.75" customHeight="1" x14ac:dyDescent="0.35">
      <c r="I359" s="42">
        <f t="shared" si="60"/>
        <v>0</v>
      </c>
      <c r="J359" s="65" t="e">
        <f t="shared" si="61"/>
        <v>#NUM!</v>
      </c>
      <c r="K359" s="83" t="e">
        <f t="shared" si="62"/>
        <v>#NUM!</v>
      </c>
      <c r="L359" s="83">
        <f t="shared" si="63"/>
        <v>0</v>
      </c>
      <c r="M359" s="110" t="str">
        <f t="shared" si="64"/>
        <v/>
      </c>
      <c r="N359" s="51" t="str">
        <f t="shared" si="65"/>
        <v/>
      </c>
      <c r="O359" s="52" t="str">
        <f t="shared" si="66"/>
        <v/>
      </c>
      <c r="P359" s="88">
        <f t="shared" si="67"/>
        <v>0</v>
      </c>
      <c r="Q359" s="88">
        <f t="shared" si="68"/>
        <v>0</v>
      </c>
      <c r="R359" s="88" t="e">
        <f>-IF(Tabla14[[#This Row],[DIAS HABILES O MORA]]&lt;0,(Tabla14[[#This Row],[VALOR PRESTAMO]]*Tabla14[[#This Row],[% INTERES ]]/30*U359))+Tabla14[[#This Row],[VALOR CUOTAS]]</f>
        <v>#VALUE!</v>
      </c>
      <c r="S359" s="88">
        <f>-IF(Tabla14[[#This Row],[DIAS HABILES O MORA]]&lt;0,(Tabla14[[#This Row],[VALOR PRESTAMO]]*Tabla14[[#This Row],[% INTERES ]]/30*U359))</f>
        <v>0</v>
      </c>
      <c r="T359" s="53" t="e">
        <f>Tabla14[[#This Row],[DEUDA CAPITAL]]+Tabla14[[#This Row],[INTERES  CUOTA]]</f>
        <v>#NUM!</v>
      </c>
      <c r="U359" s="61" t="str">
        <f t="shared" si="69"/>
        <v/>
      </c>
    </row>
    <row r="360" spans="9:21" ht="24.75" customHeight="1" x14ac:dyDescent="0.35">
      <c r="I360" s="42">
        <f t="shared" si="60"/>
        <v>0</v>
      </c>
      <c r="J360" s="65" t="e">
        <f t="shared" si="61"/>
        <v>#NUM!</v>
      </c>
      <c r="K360" s="83" t="e">
        <f t="shared" si="62"/>
        <v>#NUM!</v>
      </c>
      <c r="L360" s="83">
        <f t="shared" si="63"/>
        <v>0</v>
      </c>
      <c r="M360" s="110" t="str">
        <f t="shared" si="64"/>
        <v/>
      </c>
      <c r="N360" s="51" t="str">
        <f t="shared" si="65"/>
        <v/>
      </c>
      <c r="O360" s="52" t="str">
        <f t="shared" si="66"/>
        <v/>
      </c>
      <c r="P360" s="88">
        <f t="shared" si="67"/>
        <v>0</v>
      </c>
      <c r="Q360" s="88">
        <f t="shared" si="68"/>
        <v>0</v>
      </c>
      <c r="R360" s="88" t="e">
        <f>-IF(Tabla14[[#This Row],[DIAS HABILES O MORA]]&lt;0,(Tabla14[[#This Row],[VALOR PRESTAMO]]*Tabla14[[#This Row],[% INTERES ]]/30*U360))+Tabla14[[#This Row],[VALOR CUOTAS]]</f>
        <v>#VALUE!</v>
      </c>
      <c r="S360" s="88">
        <f>-IF(Tabla14[[#This Row],[DIAS HABILES O MORA]]&lt;0,(Tabla14[[#This Row],[VALOR PRESTAMO]]*Tabla14[[#This Row],[% INTERES ]]/30*U360))</f>
        <v>0</v>
      </c>
      <c r="T360" s="53" t="e">
        <f>Tabla14[[#This Row],[DEUDA CAPITAL]]+Tabla14[[#This Row],[INTERES  CUOTA]]</f>
        <v>#NUM!</v>
      </c>
      <c r="U360" s="61" t="str">
        <f t="shared" si="69"/>
        <v/>
      </c>
    </row>
    <row r="361" spans="9:21" ht="24.75" customHeight="1" x14ac:dyDescent="0.35">
      <c r="I361" s="42">
        <f t="shared" si="60"/>
        <v>0</v>
      </c>
      <c r="J361" s="65" t="e">
        <f t="shared" si="61"/>
        <v>#NUM!</v>
      </c>
      <c r="K361" s="83" t="e">
        <f t="shared" si="62"/>
        <v>#NUM!</v>
      </c>
      <c r="L361" s="83">
        <f t="shared" si="63"/>
        <v>0</v>
      </c>
      <c r="M361" s="110" t="str">
        <f t="shared" si="64"/>
        <v/>
      </c>
      <c r="N361" s="51" t="str">
        <f t="shared" si="65"/>
        <v/>
      </c>
      <c r="O361" s="52" t="str">
        <f t="shared" si="66"/>
        <v/>
      </c>
      <c r="P361" s="88">
        <f t="shared" si="67"/>
        <v>0</v>
      </c>
      <c r="Q361" s="88">
        <f t="shared" si="68"/>
        <v>0</v>
      </c>
      <c r="R361" s="88" t="e">
        <f>-IF(Tabla14[[#This Row],[DIAS HABILES O MORA]]&lt;0,(Tabla14[[#This Row],[VALOR PRESTAMO]]*Tabla14[[#This Row],[% INTERES ]]/30*U361))+Tabla14[[#This Row],[VALOR CUOTAS]]</f>
        <v>#VALUE!</v>
      </c>
      <c r="S361" s="88">
        <f>-IF(Tabla14[[#This Row],[DIAS HABILES O MORA]]&lt;0,(Tabla14[[#This Row],[VALOR PRESTAMO]]*Tabla14[[#This Row],[% INTERES ]]/30*U361))</f>
        <v>0</v>
      </c>
      <c r="T361" s="53" t="e">
        <f>Tabla14[[#This Row],[DEUDA CAPITAL]]+Tabla14[[#This Row],[INTERES  CUOTA]]</f>
        <v>#NUM!</v>
      </c>
      <c r="U361" s="61" t="str">
        <f t="shared" si="69"/>
        <v/>
      </c>
    </row>
    <row r="362" spans="9:21" ht="24.75" customHeight="1" x14ac:dyDescent="0.35">
      <c r="I362" s="42">
        <f t="shared" si="60"/>
        <v>0</v>
      </c>
      <c r="J362" s="65" t="e">
        <f t="shared" si="61"/>
        <v>#NUM!</v>
      </c>
      <c r="K362" s="83" t="e">
        <f t="shared" si="62"/>
        <v>#NUM!</v>
      </c>
      <c r="L362" s="83">
        <f t="shared" si="63"/>
        <v>0</v>
      </c>
      <c r="M362" s="110" t="str">
        <f t="shared" si="64"/>
        <v/>
      </c>
      <c r="N362" s="51" t="str">
        <f t="shared" si="65"/>
        <v/>
      </c>
      <c r="O362" s="52" t="str">
        <f t="shared" si="66"/>
        <v/>
      </c>
      <c r="P362" s="88">
        <f t="shared" si="67"/>
        <v>0</v>
      </c>
      <c r="Q362" s="88">
        <f t="shared" si="68"/>
        <v>0</v>
      </c>
      <c r="R362" s="88" t="e">
        <f>-IF(Tabla14[[#This Row],[DIAS HABILES O MORA]]&lt;0,(Tabla14[[#This Row],[VALOR PRESTAMO]]*Tabla14[[#This Row],[% INTERES ]]/30*U362))+Tabla14[[#This Row],[VALOR CUOTAS]]</f>
        <v>#VALUE!</v>
      </c>
      <c r="S362" s="88">
        <f>-IF(Tabla14[[#This Row],[DIAS HABILES O MORA]]&lt;0,(Tabla14[[#This Row],[VALOR PRESTAMO]]*Tabla14[[#This Row],[% INTERES ]]/30*U362))</f>
        <v>0</v>
      </c>
      <c r="T362" s="53" t="e">
        <f>Tabla14[[#This Row],[DEUDA CAPITAL]]+Tabla14[[#This Row],[INTERES  CUOTA]]</f>
        <v>#NUM!</v>
      </c>
      <c r="U362" s="61" t="str">
        <f t="shared" si="69"/>
        <v/>
      </c>
    </row>
    <row r="363" spans="9:21" ht="24.75" customHeight="1" x14ac:dyDescent="0.35">
      <c r="I363" s="42">
        <f t="shared" si="60"/>
        <v>0</v>
      </c>
      <c r="J363" s="65" t="e">
        <f t="shared" si="61"/>
        <v>#NUM!</v>
      </c>
      <c r="K363" s="83" t="e">
        <f t="shared" si="62"/>
        <v>#NUM!</v>
      </c>
      <c r="L363" s="83">
        <f t="shared" si="63"/>
        <v>0</v>
      </c>
      <c r="M363" s="110" t="str">
        <f t="shared" si="64"/>
        <v/>
      </c>
      <c r="N363" s="51" t="str">
        <f t="shared" si="65"/>
        <v/>
      </c>
      <c r="O363" s="52" t="str">
        <f t="shared" si="66"/>
        <v/>
      </c>
      <c r="P363" s="88">
        <f t="shared" si="67"/>
        <v>0</v>
      </c>
      <c r="Q363" s="88">
        <f t="shared" si="68"/>
        <v>0</v>
      </c>
      <c r="R363" s="88" t="e">
        <f>-IF(Tabla14[[#This Row],[DIAS HABILES O MORA]]&lt;0,(Tabla14[[#This Row],[VALOR PRESTAMO]]*Tabla14[[#This Row],[% INTERES ]]/30*U363))+Tabla14[[#This Row],[VALOR CUOTAS]]</f>
        <v>#VALUE!</v>
      </c>
      <c r="S363" s="88">
        <f>-IF(Tabla14[[#This Row],[DIAS HABILES O MORA]]&lt;0,(Tabla14[[#This Row],[VALOR PRESTAMO]]*Tabla14[[#This Row],[% INTERES ]]/30*U363))</f>
        <v>0</v>
      </c>
      <c r="T363" s="53" t="e">
        <f>Tabla14[[#This Row],[DEUDA CAPITAL]]+Tabla14[[#This Row],[INTERES  CUOTA]]</f>
        <v>#NUM!</v>
      </c>
      <c r="U363" s="61" t="str">
        <f t="shared" si="69"/>
        <v/>
      </c>
    </row>
    <row r="364" spans="9:21" ht="24.75" customHeight="1" x14ac:dyDescent="0.35">
      <c r="I364" s="42">
        <f t="shared" si="60"/>
        <v>0</v>
      </c>
      <c r="J364" s="65" t="e">
        <f t="shared" si="61"/>
        <v>#NUM!</v>
      </c>
      <c r="K364" s="83" t="e">
        <f t="shared" si="62"/>
        <v>#NUM!</v>
      </c>
      <c r="L364" s="83">
        <f t="shared" si="63"/>
        <v>0</v>
      </c>
      <c r="M364" s="110" t="str">
        <f t="shared" si="64"/>
        <v/>
      </c>
      <c r="N364" s="51" t="str">
        <f t="shared" si="65"/>
        <v/>
      </c>
      <c r="O364" s="52" t="str">
        <f t="shared" si="66"/>
        <v/>
      </c>
      <c r="P364" s="88">
        <f t="shared" si="67"/>
        <v>0</v>
      </c>
      <c r="Q364" s="88">
        <f t="shared" si="68"/>
        <v>0</v>
      </c>
      <c r="R364" s="88" t="e">
        <f>-IF(Tabla14[[#This Row],[DIAS HABILES O MORA]]&lt;0,(Tabla14[[#This Row],[VALOR PRESTAMO]]*Tabla14[[#This Row],[% INTERES ]]/30*U364))+Tabla14[[#This Row],[VALOR CUOTAS]]</f>
        <v>#VALUE!</v>
      </c>
      <c r="S364" s="88">
        <f>-IF(Tabla14[[#This Row],[DIAS HABILES O MORA]]&lt;0,(Tabla14[[#This Row],[VALOR PRESTAMO]]*Tabla14[[#This Row],[% INTERES ]]/30*U364))</f>
        <v>0</v>
      </c>
      <c r="T364" s="53" t="e">
        <f>Tabla14[[#This Row],[DEUDA CAPITAL]]+Tabla14[[#This Row],[INTERES  CUOTA]]</f>
        <v>#NUM!</v>
      </c>
      <c r="U364" s="61" t="str">
        <f t="shared" si="69"/>
        <v/>
      </c>
    </row>
    <row r="365" spans="9:21" ht="24.75" customHeight="1" x14ac:dyDescent="0.35">
      <c r="I365" s="42">
        <f t="shared" si="60"/>
        <v>0</v>
      </c>
      <c r="J365" s="65" t="e">
        <f t="shared" si="61"/>
        <v>#NUM!</v>
      </c>
      <c r="K365" s="83" t="e">
        <f t="shared" si="62"/>
        <v>#NUM!</v>
      </c>
      <c r="L365" s="83">
        <f t="shared" si="63"/>
        <v>0</v>
      </c>
      <c r="M365" s="110" t="str">
        <f t="shared" si="64"/>
        <v/>
      </c>
      <c r="N365" s="51" t="str">
        <f t="shared" si="65"/>
        <v/>
      </c>
      <c r="O365" s="52" t="str">
        <f t="shared" si="66"/>
        <v/>
      </c>
      <c r="P365" s="88">
        <f t="shared" si="67"/>
        <v>0</v>
      </c>
      <c r="Q365" s="88">
        <f t="shared" si="68"/>
        <v>0</v>
      </c>
      <c r="R365" s="88" t="e">
        <f>-IF(Tabla14[[#This Row],[DIAS HABILES O MORA]]&lt;0,(Tabla14[[#This Row],[VALOR PRESTAMO]]*Tabla14[[#This Row],[% INTERES ]]/30*U365))+Tabla14[[#This Row],[VALOR CUOTAS]]</f>
        <v>#VALUE!</v>
      </c>
      <c r="S365" s="88">
        <f>-IF(Tabla14[[#This Row],[DIAS HABILES O MORA]]&lt;0,(Tabla14[[#This Row],[VALOR PRESTAMO]]*Tabla14[[#This Row],[% INTERES ]]/30*U365))</f>
        <v>0</v>
      </c>
      <c r="T365" s="53" t="e">
        <f>Tabla14[[#This Row],[DEUDA CAPITAL]]+Tabla14[[#This Row],[INTERES  CUOTA]]</f>
        <v>#NUM!</v>
      </c>
      <c r="U365" s="61" t="str">
        <f t="shared" si="69"/>
        <v/>
      </c>
    </row>
    <row r="366" spans="9:21" ht="24.75" customHeight="1" x14ac:dyDescent="0.35">
      <c r="I366" s="42">
        <f t="shared" si="60"/>
        <v>0</v>
      </c>
      <c r="J366" s="65" t="e">
        <f t="shared" si="61"/>
        <v>#NUM!</v>
      </c>
      <c r="K366" s="83" t="e">
        <f t="shared" si="62"/>
        <v>#NUM!</v>
      </c>
      <c r="L366" s="83">
        <f t="shared" si="63"/>
        <v>0</v>
      </c>
      <c r="M366" s="110" t="str">
        <f t="shared" si="64"/>
        <v/>
      </c>
      <c r="N366" s="51" t="str">
        <f t="shared" si="65"/>
        <v/>
      </c>
      <c r="O366" s="52" t="str">
        <f t="shared" si="66"/>
        <v/>
      </c>
      <c r="P366" s="88">
        <f t="shared" si="67"/>
        <v>0</v>
      </c>
      <c r="Q366" s="88">
        <f t="shared" si="68"/>
        <v>0</v>
      </c>
      <c r="R366" s="88" t="e">
        <f>-IF(Tabla14[[#This Row],[DIAS HABILES O MORA]]&lt;0,(Tabla14[[#This Row],[VALOR PRESTAMO]]*Tabla14[[#This Row],[% INTERES ]]/30*U366))+Tabla14[[#This Row],[VALOR CUOTAS]]</f>
        <v>#VALUE!</v>
      </c>
      <c r="S366" s="88">
        <f>-IF(Tabla14[[#This Row],[DIAS HABILES O MORA]]&lt;0,(Tabla14[[#This Row],[VALOR PRESTAMO]]*Tabla14[[#This Row],[% INTERES ]]/30*U366))</f>
        <v>0</v>
      </c>
      <c r="T366" s="53" t="e">
        <f>Tabla14[[#This Row],[DEUDA CAPITAL]]+Tabla14[[#This Row],[INTERES  CUOTA]]</f>
        <v>#NUM!</v>
      </c>
      <c r="U366" s="61" t="str">
        <f t="shared" si="69"/>
        <v/>
      </c>
    </row>
    <row r="367" spans="9:21" ht="24.75" customHeight="1" x14ac:dyDescent="0.35">
      <c r="I367" s="42">
        <f t="shared" si="60"/>
        <v>0</v>
      </c>
      <c r="J367" s="65" t="e">
        <f t="shared" si="61"/>
        <v>#NUM!</v>
      </c>
      <c r="K367" s="83" t="e">
        <f t="shared" si="62"/>
        <v>#NUM!</v>
      </c>
      <c r="L367" s="83">
        <f t="shared" si="63"/>
        <v>0</v>
      </c>
      <c r="M367" s="110" t="str">
        <f t="shared" si="64"/>
        <v/>
      </c>
      <c r="N367" s="51" t="str">
        <f t="shared" si="65"/>
        <v/>
      </c>
      <c r="O367" s="52" t="str">
        <f t="shared" si="66"/>
        <v/>
      </c>
      <c r="P367" s="88">
        <f t="shared" si="67"/>
        <v>0</v>
      </c>
      <c r="Q367" s="88">
        <f t="shared" si="68"/>
        <v>0</v>
      </c>
      <c r="R367" s="88" t="e">
        <f>-IF(Tabla14[[#This Row],[DIAS HABILES O MORA]]&lt;0,(Tabla14[[#This Row],[VALOR PRESTAMO]]*Tabla14[[#This Row],[% INTERES ]]/30*U367))+Tabla14[[#This Row],[VALOR CUOTAS]]</f>
        <v>#VALUE!</v>
      </c>
      <c r="S367" s="88">
        <f>-IF(Tabla14[[#This Row],[DIAS HABILES O MORA]]&lt;0,(Tabla14[[#This Row],[VALOR PRESTAMO]]*Tabla14[[#This Row],[% INTERES ]]/30*U367))</f>
        <v>0</v>
      </c>
      <c r="T367" s="53" t="e">
        <f>Tabla14[[#This Row],[DEUDA CAPITAL]]+Tabla14[[#This Row],[INTERES  CUOTA]]</f>
        <v>#NUM!</v>
      </c>
      <c r="U367" s="61" t="str">
        <f t="shared" si="69"/>
        <v/>
      </c>
    </row>
    <row r="368" spans="9:21" ht="24.75" customHeight="1" x14ac:dyDescent="0.35">
      <c r="I368" s="42">
        <f t="shared" si="60"/>
        <v>0</v>
      </c>
      <c r="J368" s="65" t="e">
        <f t="shared" si="61"/>
        <v>#NUM!</v>
      </c>
      <c r="K368" s="83" t="e">
        <f t="shared" si="62"/>
        <v>#NUM!</v>
      </c>
      <c r="L368" s="83">
        <f t="shared" si="63"/>
        <v>0</v>
      </c>
      <c r="M368" s="110" t="str">
        <f t="shared" si="64"/>
        <v/>
      </c>
      <c r="N368" s="51" t="str">
        <f t="shared" si="65"/>
        <v/>
      </c>
      <c r="O368" s="52" t="str">
        <f t="shared" si="66"/>
        <v/>
      </c>
      <c r="P368" s="88">
        <f t="shared" si="67"/>
        <v>0</v>
      </c>
      <c r="Q368" s="88">
        <f t="shared" si="68"/>
        <v>0</v>
      </c>
      <c r="R368" s="88" t="e">
        <f>-IF(Tabla14[[#This Row],[DIAS HABILES O MORA]]&lt;0,(Tabla14[[#This Row],[VALOR PRESTAMO]]*Tabla14[[#This Row],[% INTERES ]]/30*U368))+Tabla14[[#This Row],[VALOR CUOTAS]]</f>
        <v>#VALUE!</v>
      </c>
      <c r="S368" s="88">
        <f>-IF(Tabla14[[#This Row],[DIAS HABILES O MORA]]&lt;0,(Tabla14[[#This Row],[VALOR PRESTAMO]]*Tabla14[[#This Row],[% INTERES ]]/30*U368))</f>
        <v>0</v>
      </c>
      <c r="T368" s="53" t="e">
        <f>Tabla14[[#This Row],[DEUDA CAPITAL]]+Tabla14[[#This Row],[INTERES  CUOTA]]</f>
        <v>#NUM!</v>
      </c>
      <c r="U368" s="61" t="str">
        <f t="shared" si="69"/>
        <v/>
      </c>
    </row>
    <row r="369" spans="9:21" ht="24.75" customHeight="1" x14ac:dyDescent="0.35">
      <c r="I369" s="42">
        <f t="shared" si="60"/>
        <v>0</v>
      </c>
      <c r="J369" s="65" t="e">
        <f t="shared" si="61"/>
        <v>#NUM!</v>
      </c>
      <c r="K369" s="83" t="e">
        <f t="shared" si="62"/>
        <v>#NUM!</v>
      </c>
      <c r="L369" s="83">
        <f t="shared" si="63"/>
        <v>0</v>
      </c>
      <c r="M369" s="110" t="str">
        <f t="shared" si="64"/>
        <v/>
      </c>
      <c r="N369" s="51" t="str">
        <f t="shared" si="65"/>
        <v/>
      </c>
      <c r="O369" s="52" t="str">
        <f t="shared" si="66"/>
        <v/>
      </c>
      <c r="P369" s="88">
        <f t="shared" si="67"/>
        <v>0</v>
      </c>
      <c r="Q369" s="88">
        <f t="shared" si="68"/>
        <v>0</v>
      </c>
      <c r="R369" s="88" t="e">
        <f>-IF(Tabla14[[#This Row],[DIAS HABILES O MORA]]&lt;0,(Tabla14[[#This Row],[VALOR PRESTAMO]]*Tabla14[[#This Row],[% INTERES ]]/30*U369))+Tabla14[[#This Row],[VALOR CUOTAS]]</f>
        <v>#VALUE!</v>
      </c>
      <c r="S369" s="88">
        <f>-IF(Tabla14[[#This Row],[DIAS HABILES O MORA]]&lt;0,(Tabla14[[#This Row],[VALOR PRESTAMO]]*Tabla14[[#This Row],[% INTERES ]]/30*U369))</f>
        <v>0</v>
      </c>
      <c r="T369" s="53" t="e">
        <f>Tabla14[[#This Row],[DEUDA CAPITAL]]+Tabla14[[#This Row],[INTERES  CUOTA]]</f>
        <v>#NUM!</v>
      </c>
      <c r="U369" s="61" t="str">
        <f t="shared" si="69"/>
        <v/>
      </c>
    </row>
    <row r="370" spans="9:21" ht="24.75" customHeight="1" x14ac:dyDescent="0.35">
      <c r="I370" s="42">
        <f t="shared" si="60"/>
        <v>0</v>
      </c>
      <c r="J370" s="65" t="e">
        <f t="shared" si="61"/>
        <v>#NUM!</v>
      </c>
      <c r="K370" s="83" t="e">
        <f t="shared" si="62"/>
        <v>#NUM!</v>
      </c>
      <c r="L370" s="83">
        <f t="shared" si="63"/>
        <v>0</v>
      </c>
      <c r="M370" s="110" t="str">
        <f t="shared" si="64"/>
        <v/>
      </c>
      <c r="N370" s="51" t="str">
        <f t="shared" si="65"/>
        <v/>
      </c>
      <c r="O370" s="52" t="str">
        <f t="shared" si="66"/>
        <v/>
      </c>
      <c r="P370" s="88">
        <f t="shared" si="67"/>
        <v>0</v>
      </c>
      <c r="Q370" s="88">
        <f t="shared" si="68"/>
        <v>0</v>
      </c>
      <c r="R370" s="88" t="e">
        <f>-IF(Tabla14[[#This Row],[DIAS HABILES O MORA]]&lt;0,(Tabla14[[#This Row],[VALOR PRESTAMO]]*Tabla14[[#This Row],[% INTERES ]]/30*U370))+Tabla14[[#This Row],[VALOR CUOTAS]]</f>
        <v>#VALUE!</v>
      </c>
      <c r="S370" s="88">
        <f>-IF(Tabla14[[#This Row],[DIAS HABILES O MORA]]&lt;0,(Tabla14[[#This Row],[VALOR PRESTAMO]]*Tabla14[[#This Row],[% INTERES ]]/30*U370))</f>
        <v>0</v>
      </c>
      <c r="T370" s="53" t="e">
        <f>Tabla14[[#This Row],[DEUDA CAPITAL]]+Tabla14[[#This Row],[INTERES  CUOTA]]</f>
        <v>#NUM!</v>
      </c>
      <c r="U370" s="61" t="str">
        <f t="shared" si="69"/>
        <v/>
      </c>
    </row>
    <row r="371" spans="9:21" ht="24.75" customHeight="1" x14ac:dyDescent="0.35">
      <c r="I371" s="42">
        <f t="shared" si="60"/>
        <v>0</v>
      </c>
      <c r="J371" s="65" t="e">
        <f t="shared" si="61"/>
        <v>#NUM!</v>
      </c>
      <c r="K371" s="83" t="e">
        <f t="shared" si="62"/>
        <v>#NUM!</v>
      </c>
      <c r="L371" s="83">
        <f t="shared" si="63"/>
        <v>0</v>
      </c>
      <c r="M371" s="110" t="str">
        <f t="shared" si="64"/>
        <v/>
      </c>
      <c r="N371" s="51" t="str">
        <f t="shared" si="65"/>
        <v/>
      </c>
      <c r="O371" s="52" t="str">
        <f t="shared" si="66"/>
        <v/>
      </c>
      <c r="P371" s="88">
        <f t="shared" si="67"/>
        <v>0</v>
      </c>
      <c r="Q371" s="88">
        <f t="shared" si="68"/>
        <v>0</v>
      </c>
      <c r="R371" s="88" t="e">
        <f>-IF(Tabla14[[#This Row],[DIAS HABILES O MORA]]&lt;0,(Tabla14[[#This Row],[VALOR PRESTAMO]]*Tabla14[[#This Row],[% INTERES ]]/30*U371))+Tabla14[[#This Row],[VALOR CUOTAS]]</f>
        <v>#VALUE!</v>
      </c>
      <c r="S371" s="88">
        <f>-IF(Tabla14[[#This Row],[DIAS HABILES O MORA]]&lt;0,(Tabla14[[#This Row],[VALOR PRESTAMO]]*Tabla14[[#This Row],[% INTERES ]]/30*U371))</f>
        <v>0</v>
      </c>
      <c r="T371" s="53" t="e">
        <f>Tabla14[[#This Row],[DEUDA CAPITAL]]+Tabla14[[#This Row],[INTERES  CUOTA]]</f>
        <v>#NUM!</v>
      </c>
      <c r="U371" s="61" t="str">
        <f t="shared" si="69"/>
        <v/>
      </c>
    </row>
    <row r="372" spans="9:21" ht="24.75" customHeight="1" x14ac:dyDescent="0.35">
      <c r="I372" s="42">
        <f t="shared" si="60"/>
        <v>0</v>
      </c>
      <c r="J372" s="65" t="e">
        <f t="shared" si="61"/>
        <v>#NUM!</v>
      </c>
      <c r="K372" s="83" t="e">
        <f t="shared" si="62"/>
        <v>#NUM!</v>
      </c>
      <c r="L372" s="83">
        <f t="shared" si="63"/>
        <v>0</v>
      </c>
      <c r="M372" s="110" t="str">
        <f t="shared" si="64"/>
        <v/>
      </c>
      <c r="N372" s="51" t="str">
        <f t="shared" si="65"/>
        <v/>
      </c>
      <c r="O372" s="52" t="str">
        <f t="shared" si="66"/>
        <v/>
      </c>
      <c r="P372" s="88">
        <f t="shared" si="67"/>
        <v>0</v>
      </c>
      <c r="Q372" s="88">
        <f t="shared" si="68"/>
        <v>0</v>
      </c>
      <c r="R372" s="88" t="e">
        <f>-IF(Tabla14[[#This Row],[DIAS HABILES O MORA]]&lt;0,(Tabla14[[#This Row],[VALOR PRESTAMO]]*Tabla14[[#This Row],[% INTERES ]]/30*U372))+Tabla14[[#This Row],[VALOR CUOTAS]]</f>
        <v>#VALUE!</v>
      </c>
      <c r="S372" s="88">
        <f>-IF(Tabla14[[#This Row],[DIAS HABILES O MORA]]&lt;0,(Tabla14[[#This Row],[VALOR PRESTAMO]]*Tabla14[[#This Row],[% INTERES ]]/30*U372))</f>
        <v>0</v>
      </c>
      <c r="T372" s="53" t="e">
        <f>Tabla14[[#This Row],[DEUDA CAPITAL]]+Tabla14[[#This Row],[INTERES  CUOTA]]</f>
        <v>#NUM!</v>
      </c>
      <c r="U372" s="61" t="str">
        <f t="shared" si="69"/>
        <v/>
      </c>
    </row>
    <row r="373" spans="9:21" ht="24.75" customHeight="1" x14ac:dyDescent="0.35">
      <c r="I373" s="42">
        <f t="shared" si="60"/>
        <v>0</v>
      </c>
      <c r="J373" s="65" t="e">
        <f t="shared" si="61"/>
        <v>#NUM!</v>
      </c>
      <c r="K373" s="83" t="e">
        <f t="shared" si="62"/>
        <v>#NUM!</v>
      </c>
      <c r="L373" s="83">
        <f t="shared" si="63"/>
        <v>0</v>
      </c>
      <c r="M373" s="110" t="str">
        <f t="shared" si="64"/>
        <v/>
      </c>
      <c r="N373" s="51" t="str">
        <f t="shared" si="65"/>
        <v/>
      </c>
      <c r="O373" s="52" t="str">
        <f t="shared" si="66"/>
        <v/>
      </c>
      <c r="P373" s="88">
        <f t="shared" si="67"/>
        <v>0</v>
      </c>
      <c r="Q373" s="88">
        <f t="shared" si="68"/>
        <v>0</v>
      </c>
      <c r="R373" s="88" t="e">
        <f>-IF(Tabla14[[#This Row],[DIAS HABILES O MORA]]&lt;0,(Tabla14[[#This Row],[VALOR PRESTAMO]]*Tabla14[[#This Row],[% INTERES ]]/30*U373))+Tabla14[[#This Row],[VALOR CUOTAS]]</f>
        <v>#VALUE!</v>
      </c>
      <c r="S373" s="88">
        <f>-IF(Tabla14[[#This Row],[DIAS HABILES O MORA]]&lt;0,(Tabla14[[#This Row],[VALOR PRESTAMO]]*Tabla14[[#This Row],[% INTERES ]]/30*U373))</f>
        <v>0</v>
      </c>
      <c r="T373" s="53" t="e">
        <f>Tabla14[[#This Row],[DEUDA CAPITAL]]+Tabla14[[#This Row],[INTERES  CUOTA]]</f>
        <v>#NUM!</v>
      </c>
      <c r="U373" s="61" t="str">
        <f t="shared" si="69"/>
        <v/>
      </c>
    </row>
    <row r="374" spans="9:21" ht="24.75" customHeight="1" x14ac:dyDescent="0.35">
      <c r="I374" s="42">
        <f t="shared" si="60"/>
        <v>0</v>
      </c>
      <c r="J374" s="65" t="e">
        <f t="shared" si="61"/>
        <v>#NUM!</v>
      </c>
      <c r="K374" s="83" t="e">
        <f t="shared" si="62"/>
        <v>#NUM!</v>
      </c>
      <c r="L374" s="83">
        <f t="shared" si="63"/>
        <v>0</v>
      </c>
      <c r="M374" s="110" t="str">
        <f t="shared" si="64"/>
        <v/>
      </c>
      <c r="N374" s="51" t="str">
        <f t="shared" si="65"/>
        <v/>
      </c>
      <c r="O374" s="52" t="str">
        <f t="shared" si="66"/>
        <v/>
      </c>
      <c r="P374" s="88">
        <f t="shared" si="67"/>
        <v>0</v>
      </c>
      <c r="Q374" s="88">
        <f t="shared" si="68"/>
        <v>0</v>
      </c>
      <c r="R374" s="88" t="e">
        <f>-IF(Tabla14[[#This Row],[DIAS HABILES O MORA]]&lt;0,(Tabla14[[#This Row],[VALOR PRESTAMO]]*Tabla14[[#This Row],[% INTERES ]]/30*U374))+Tabla14[[#This Row],[VALOR CUOTAS]]</f>
        <v>#VALUE!</v>
      </c>
      <c r="S374" s="88">
        <f>-IF(Tabla14[[#This Row],[DIAS HABILES O MORA]]&lt;0,(Tabla14[[#This Row],[VALOR PRESTAMO]]*Tabla14[[#This Row],[% INTERES ]]/30*U374))</f>
        <v>0</v>
      </c>
      <c r="T374" s="53" t="e">
        <f>Tabla14[[#This Row],[DEUDA CAPITAL]]+Tabla14[[#This Row],[INTERES  CUOTA]]</f>
        <v>#NUM!</v>
      </c>
      <c r="U374" s="61" t="str">
        <f t="shared" si="69"/>
        <v/>
      </c>
    </row>
    <row r="375" spans="9:21" ht="24.75" customHeight="1" x14ac:dyDescent="0.35">
      <c r="I375" s="42">
        <f t="shared" si="60"/>
        <v>0</v>
      </c>
      <c r="J375" s="65" t="e">
        <f t="shared" si="61"/>
        <v>#NUM!</v>
      </c>
      <c r="K375" s="83" t="e">
        <f t="shared" si="62"/>
        <v>#NUM!</v>
      </c>
      <c r="L375" s="83">
        <f t="shared" si="63"/>
        <v>0</v>
      </c>
      <c r="M375" s="110" t="str">
        <f t="shared" si="64"/>
        <v/>
      </c>
      <c r="N375" s="51" t="str">
        <f t="shared" si="65"/>
        <v/>
      </c>
      <c r="O375" s="52" t="str">
        <f t="shared" si="66"/>
        <v/>
      </c>
      <c r="P375" s="88">
        <f t="shared" si="67"/>
        <v>0</v>
      </c>
      <c r="Q375" s="88">
        <f t="shared" si="68"/>
        <v>0</v>
      </c>
      <c r="R375" s="88" t="e">
        <f>-IF(Tabla14[[#This Row],[DIAS HABILES O MORA]]&lt;0,(Tabla14[[#This Row],[VALOR PRESTAMO]]*Tabla14[[#This Row],[% INTERES ]]/30*U375))+Tabla14[[#This Row],[VALOR CUOTAS]]</f>
        <v>#VALUE!</v>
      </c>
      <c r="S375" s="88">
        <f>-IF(Tabla14[[#This Row],[DIAS HABILES O MORA]]&lt;0,(Tabla14[[#This Row],[VALOR PRESTAMO]]*Tabla14[[#This Row],[% INTERES ]]/30*U375))</f>
        <v>0</v>
      </c>
      <c r="T375" s="53" t="e">
        <f>Tabla14[[#This Row],[DEUDA CAPITAL]]+Tabla14[[#This Row],[INTERES  CUOTA]]</f>
        <v>#NUM!</v>
      </c>
      <c r="U375" s="61" t="str">
        <f t="shared" si="69"/>
        <v/>
      </c>
    </row>
    <row r="376" spans="9:21" ht="24.75" customHeight="1" x14ac:dyDescent="0.35">
      <c r="I376" s="42">
        <f t="shared" si="60"/>
        <v>0</v>
      </c>
      <c r="J376" s="65" t="e">
        <f t="shared" si="61"/>
        <v>#NUM!</v>
      </c>
      <c r="K376" s="83" t="e">
        <f t="shared" si="62"/>
        <v>#NUM!</v>
      </c>
      <c r="L376" s="83">
        <f t="shared" si="63"/>
        <v>0</v>
      </c>
      <c r="M376" s="110" t="str">
        <f t="shared" si="64"/>
        <v/>
      </c>
      <c r="N376" s="51" t="str">
        <f t="shared" si="65"/>
        <v/>
      </c>
      <c r="O376" s="52" t="str">
        <f t="shared" si="66"/>
        <v/>
      </c>
      <c r="P376" s="88">
        <f t="shared" si="67"/>
        <v>0</v>
      </c>
      <c r="Q376" s="88">
        <f t="shared" si="68"/>
        <v>0</v>
      </c>
      <c r="R376" s="88" t="e">
        <f>-IF(Tabla14[[#This Row],[DIAS HABILES O MORA]]&lt;0,(Tabla14[[#This Row],[VALOR PRESTAMO]]*Tabla14[[#This Row],[% INTERES ]]/30*U376))+Tabla14[[#This Row],[VALOR CUOTAS]]</f>
        <v>#VALUE!</v>
      </c>
      <c r="S376" s="88">
        <f>-IF(Tabla14[[#This Row],[DIAS HABILES O MORA]]&lt;0,(Tabla14[[#This Row],[VALOR PRESTAMO]]*Tabla14[[#This Row],[% INTERES ]]/30*U376))</f>
        <v>0</v>
      </c>
      <c r="T376" s="53" t="e">
        <f>Tabla14[[#This Row],[DEUDA CAPITAL]]+Tabla14[[#This Row],[INTERES  CUOTA]]</f>
        <v>#NUM!</v>
      </c>
      <c r="U376" s="61" t="str">
        <f t="shared" si="69"/>
        <v/>
      </c>
    </row>
    <row r="377" spans="9:21" ht="24.75" customHeight="1" x14ac:dyDescent="0.35">
      <c r="I377" s="42">
        <f t="shared" si="60"/>
        <v>0</v>
      </c>
      <c r="J377" s="65" t="e">
        <f t="shared" si="61"/>
        <v>#NUM!</v>
      </c>
      <c r="K377" s="83" t="e">
        <f t="shared" si="62"/>
        <v>#NUM!</v>
      </c>
      <c r="L377" s="83">
        <f t="shared" si="63"/>
        <v>0</v>
      </c>
      <c r="M377" s="110" t="str">
        <f t="shared" si="64"/>
        <v/>
      </c>
      <c r="N377" s="51" t="str">
        <f t="shared" si="65"/>
        <v/>
      </c>
      <c r="O377" s="52" t="str">
        <f t="shared" si="66"/>
        <v/>
      </c>
      <c r="P377" s="88">
        <f t="shared" si="67"/>
        <v>0</v>
      </c>
      <c r="Q377" s="88">
        <f t="shared" si="68"/>
        <v>0</v>
      </c>
      <c r="R377" s="88" t="e">
        <f>-IF(Tabla14[[#This Row],[DIAS HABILES O MORA]]&lt;0,(Tabla14[[#This Row],[VALOR PRESTAMO]]*Tabla14[[#This Row],[% INTERES ]]/30*U377))+Tabla14[[#This Row],[VALOR CUOTAS]]</f>
        <v>#VALUE!</v>
      </c>
      <c r="S377" s="88">
        <f>-IF(Tabla14[[#This Row],[DIAS HABILES O MORA]]&lt;0,(Tabla14[[#This Row],[VALOR PRESTAMO]]*Tabla14[[#This Row],[% INTERES ]]/30*U377))</f>
        <v>0</v>
      </c>
      <c r="T377" s="53" t="e">
        <f>Tabla14[[#This Row],[DEUDA CAPITAL]]+Tabla14[[#This Row],[INTERES  CUOTA]]</f>
        <v>#NUM!</v>
      </c>
      <c r="U377" s="61" t="str">
        <f t="shared" si="69"/>
        <v/>
      </c>
    </row>
    <row r="378" spans="9:21" ht="24.75" customHeight="1" x14ac:dyDescent="0.35">
      <c r="I378" s="42">
        <f t="shared" si="60"/>
        <v>0</v>
      </c>
      <c r="J378" s="65" t="e">
        <f t="shared" si="61"/>
        <v>#NUM!</v>
      </c>
      <c r="K378" s="83" t="e">
        <f t="shared" si="62"/>
        <v>#NUM!</v>
      </c>
      <c r="L378" s="83">
        <f t="shared" si="63"/>
        <v>0</v>
      </c>
      <c r="M378" s="110" t="str">
        <f t="shared" si="64"/>
        <v/>
      </c>
      <c r="N378" s="51" t="str">
        <f t="shared" si="65"/>
        <v/>
      </c>
      <c r="O378" s="52" t="str">
        <f t="shared" si="66"/>
        <v/>
      </c>
      <c r="P378" s="88">
        <f t="shared" si="67"/>
        <v>0</v>
      </c>
      <c r="Q378" s="88">
        <f t="shared" si="68"/>
        <v>0</v>
      </c>
      <c r="R378" s="88" t="e">
        <f>-IF(Tabla14[[#This Row],[DIAS HABILES O MORA]]&lt;0,(Tabla14[[#This Row],[VALOR PRESTAMO]]*Tabla14[[#This Row],[% INTERES ]]/30*U378))+Tabla14[[#This Row],[VALOR CUOTAS]]</f>
        <v>#VALUE!</v>
      </c>
      <c r="S378" s="88">
        <f>-IF(Tabla14[[#This Row],[DIAS HABILES O MORA]]&lt;0,(Tabla14[[#This Row],[VALOR PRESTAMO]]*Tabla14[[#This Row],[% INTERES ]]/30*U378))</f>
        <v>0</v>
      </c>
      <c r="T378" s="53" t="e">
        <f>Tabla14[[#This Row],[DEUDA CAPITAL]]+Tabla14[[#This Row],[INTERES  CUOTA]]</f>
        <v>#NUM!</v>
      </c>
      <c r="U378" s="61" t="str">
        <f t="shared" si="69"/>
        <v/>
      </c>
    </row>
    <row r="379" spans="9:21" ht="24.75" customHeight="1" x14ac:dyDescent="0.35">
      <c r="I379" s="42">
        <f t="shared" si="60"/>
        <v>0</v>
      </c>
      <c r="J379" s="65" t="e">
        <f t="shared" si="61"/>
        <v>#NUM!</v>
      </c>
      <c r="K379" s="83" t="e">
        <f t="shared" si="62"/>
        <v>#NUM!</v>
      </c>
      <c r="L379" s="83">
        <f t="shared" si="63"/>
        <v>0</v>
      </c>
      <c r="M379" s="110" t="str">
        <f t="shared" si="64"/>
        <v/>
      </c>
      <c r="N379" s="51" t="str">
        <f t="shared" si="65"/>
        <v/>
      </c>
      <c r="O379" s="52" t="str">
        <f t="shared" si="66"/>
        <v/>
      </c>
      <c r="P379" s="88">
        <f t="shared" si="67"/>
        <v>0</v>
      </c>
      <c r="Q379" s="88">
        <f t="shared" si="68"/>
        <v>0</v>
      </c>
      <c r="R379" s="88" t="e">
        <f>-IF(Tabla14[[#This Row],[DIAS HABILES O MORA]]&lt;0,(Tabla14[[#This Row],[VALOR PRESTAMO]]*Tabla14[[#This Row],[% INTERES ]]/30*U379))+Tabla14[[#This Row],[VALOR CUOTAS]]</f>
        <v>#VALUE!</v>
      </c>
      <c r="S379" s="88">
        <f>-IF(Tabla14[[#This Row],[DIAS HABILES O MORA]]&lt;0,(Tabla14[[#This Row],[VALOR PRESTAMO]]*Tabla14[[#This Row],[% INTERES ]]/30*U379))</f>
        <v>0</v>
      </c>
      <c r="T379" s="53" t="e">
        <f>Tabla14[[#This Row],[DEUDA CAPITAL]]+Tabla14[[#This Row],[INTERES  CUOTA]]</f>
        <v>#NUM!</v>
      </c>
      <c r="U379" s="61" t="str">
        <f t="shared" si="69"/>
        <v/>
      </c>
    </row>
    <row r="380" spans="9:21" ht="24.75" customHeight="1" x14ac:dyDescent="0.35">
      <c r="I380" s="42">
        <f t="shared" si="60"/>
        <v>0</v>
      </c>
      <c r="J380" s="65" t="e">
        <f t="shared" si="61"/>
        <v>#NUM!</v>
      </c>
      <c r="K380" s="83" t="e">
        <f t="shared" si="62"/>
        <v>#NUM!</v>
      </c>
      <c r="L380" s="83">
        <f t="shared" si="63"/>
        <v>0</v>
      </c>
      <c r="M380" s="110" t="str">
        <f t="shared" si="64"/>
        <v/>
      </c>
      <c r="N380" s="51" t="str">
        <f t="shared" si="65"/>
        <v/>
      </c>
      <c r="O380" s="52" t="str">
        <f t="shared" si="66"/>
        <v/>
      </c>
      <c r="P380" s="88">
        <f t="shared" si="67"/>
        <v>0</v>
      </c>
      <c r="Q380" s="88">
        <f t="shared" si="68"/>
        <v>0</v>
      </c>
      <c r="R380" s="88" t="e">
        <f>-IF(Tabla14[[#This Row],[DIAS HABILES O MORA]]&lt;0,(Tabla14[[#This Row],[VALOR PRESTAMO]]*Tabla14[[#This Row],[% INTERES ]]/30*U380))+Tabla14[[#This Row],[VALOR CUOTAS]]</f>
        <v>#VALUE!</v>
      </c>
      <c r="S380" s="88">
        <f>-IF(Tabla14[[#This Row],[DIAS HABILES O MORA]]&lt;0,(Tabla14[[#This Row],[VALOR PRESTAMO]]*Tabla14[[#This Row],[% INTERES ]]/30*U380))</f>
        <v>0</v>
      </c>
      <c r="T380" s="53" t="e">
        <f>Tabla14[[#This Row],[DEUDA CAPITAL]]+Tabla14[[#This Row],[INTERES  CUOTA]]</f>
        <v>#NUM!</v>
      </c>
      <c r="U380" s="61" t="str">
        <f t="shared" si="69"/>
        <v/>
      </c>
    </row>
    <row r="381" spans="9:21" ht="24.75" customHeight="1" x14ac:dyDescent="0.35">
      <c r="I381" s="42">
        <f t="shared" si="60"/>
        <v>0</v>
      </c>
      <c r="J381" s="65" t="e">
        <f t="shared" si="61"/>
        <v>#NUM!</v>
      </c>
      <c r="K381" s="83" t="e">
        <f t="shared" si="62"/>
        <v>#NUM!</v>
      </c>
      <c r="L381" s="83">
        <f t="shared" si="63"/>
        <v>0</v>
      </c>
      <c r="M381" s="110" t="str">
        <f t="shared" si="64"/>
        <v/>
      </c>
      <c r="N381" s="51" t="str">
        <f t="shared" si="65"/>
        <v/>
      </c>
      <c r="O381" s="52" t="str">
        <f t="shared" si="66"/>
        <v/>
      </c>
      <c r="P381" s="88">
        <f t="shared" si="67"/>
        <v>0</v>
      </c>
      <c r="Q381" s="88">
        <f t="shared" si="68"/>
        <v>0</v>
      </c>
      <c r="R381" s="88" t="e">
        <f>-IF(Tabla14[[#This Row],[DIAS HABILES O MORA]]&lt;0,(Tabla14[[#This Row],[VALOR PRESTAMO]]*Tabla14[[#This Row],[% INTERES ]]/30*U381))+Tabla14[[#This Row],[VALOR CUOTAS]]</f>
        <v>#VALUE!</v>
      </c>
      <c r="S381" s="88">
        <f>-IF(Tabla14[[#This Row],[DIAS HABILES O MORA]]&lt;0,(Tabla14[[#This Row],[VALOR PRESTAMO]]*Tabla14[[#This Row],[% INTERES ]]/30*U381))</f>
        <v>0</v>
      </c>
      <c r="T381" s="53" t="e">
        <f>Tabla14[[#This Row],[DEUDA CAPITAL]]+Tabla14[[#This Row],[INTERES  CUOTA]]</f>
        <v>#NUM!</v>
      </c>
      <c r="U381" s="61" t="str">
        <f t="shared" si="69"/>
        <v/>
      </c>
    </row>
    <row r="382" spans="9:21" ht="24.75" customHeight="1" x14ac:dyDescent="0.35">
      <c r="I382" s="42">
        <f t="shared" si="60"/>
        <v>0</v>
      </c>
      <c r="J382" s="65" t="e">
        <f t="shared" si="61"/>
        <v>#NUM!</v>
      </c>
      <c r="K382" s="83" t="e">
        <f t="shared" si="62"/>
        <v>#NUM!</v>
      </c>
      <c r="L382" s="83">
        <f t="shared" si="63"/>
        <v>0</v>
      </c>
      <c r="M382" s="110" t="str">
        <f t="shared" si="64"/>
        <v/>
      </c>
      <c r="N382" s="51" t="str">
        <f t="shared" si="65"/>
        <v/>
      </c>
      <c r="O382" s="52" t="str">
        <f t="shared" si="66"/>
        <v/>
      </c>
      <c r="P382" s="88">
        <f t="shared" si="67"/>
        <v>0</v>
      </c>
      <c r="Q382" s="88">
        <f t="shared" si="68"/>
        <v>0</v>
      </c>
      <c r="R382" s="88" t="e">
        <f>-IF(Tabla14[[#This Row],[DIAS HABILES O MORA]]&lt;0,(Tabla14[[#This Row],[VALOR PRESTAMO]]*Tabla14[[#This Row],[% INTERES ]]/30*U382))+Tabla14[[#This Row],[VALOR CUOTAS]]</f>
        <v>#VALUE!</v>
      </c>
      <c r="S382" s="88">
        <f>-IF(Tabla14[[#This Row],[DIAS HABILES O MORA]]&lt;0,(Tabla14[[#This Row],[VALOR PRESTAMO]]*Tabla14[[#This Row],[% INTERES ]]/30*U382))</f>
        <v>0</v>
      </c>
      <c r="T382" s="53" t="e">
        <f>Tabla14[[#This Row],[DEUDA CAPITAL]]+Tabla14[[#This Row],[INTERES  CUOTA]]</f>
        <v>#NUM!</v>
      </c>
      <c r="U382" s="61" t="str">
        <f t="shared" si="69"/>
        <v/>
      </c>
    </row>
    <row r="383" spans="9:21" ht="24.75" customHeight="1" x14ac:dyDescent="0.35">
      <c r="I383" s="42">
        <f t="shared" si="60"/>
        <v>0</v>
      </c>
      <c r="J383" s="65" t="e">
        <f t="shared" si="61"/>
        <v>#NUM!</v>
      </c>
      <c r="K383" s="83" t="e">
        <f t="shared" si="62"/>
        <v>#NUM!</v>
      </c>
      <c r="L383" s="83">
        <f t="shared" si="63"/>
        <v>0</v>
      </c>
      <c r="M383" s="110" t="str">
        <f t="shared" si="64"/>
        <v/>
      </c>
      <c r="N383" s="51" t="str">
        <f t="shared" si="65"/>
        <v/>
      </c>
      <c r="O383" s="52" t="str">
        <f t="shared" si="66"/>
        <v/>
      </c>
      <c r="P383" s="88">
        <f t="shared" si="67"/>
        <v>0</v>
      </c>
      <c r="Q383" s="88">
        <f t="shared" si="68"/>
        <v>0</v>
      </c>
      <c r="R383" s="88" t="e">
        <f>-IF(Tabla14[[#This Row],[DIAS HABILES O MORA]]&lt;0,(Tabla14[[#This Row],[VALOR PRESTAMO]]*Tabla14[[#This Row],[% INTERES ]]/30*U383))+Tabla14[[#This Row],[VALOR CUOTAS]]</f>
        <v>#VALUE!</v>
      </c>
      <c r="S383" s="88">
        <f>-IF(Tabla14[[#This Row],[DIAS HABILES O MORA]]&lt;0,(Tabla14[[#This Row],[VALOR PRESTAMO]]*Tabla14[[#This Row],[% INTERES ]]/30*U383))</f>
        <v>0</v>
      </c>
      <c r="T383" s="53" t="e">
        <f>Tabla14[[#This Row],[DEUDA CAPITAL]]+Tabla14[[#This Row],[INTERES  CUOTA]]</f>
        <v>#NUM!</v>
      </c>
      <c r="U383" s="61" t="str">
        <f t="shared" si="69"/>
        <v/>
      </c>
    </row>
    <row r="384" spans="9:21" ht="24.75" customHeight="1" x14ac:dyDescent="0.35">
      <c r="I384" s="42">
        <f t="shared" si="60"/>
        <v>0</v>
      </c>
      <c r="J384" s="65" t="e">
        <f t="shared" si="61"/>
        <v>#NUM!</v>
      </c>
      <c r="K384" s="83" t="e">
        <f t="shared" si="62"/>
        <v>#NUM!</v>
      </c>
      <c r="L384" s="83">
        <f t="shared" si="63"/>
        <v>0</v>
      </c>
      <c r="M384" s="110" t="str">
        <f t="shared" si="64"/>
        <v/>
      </c>
      <c r="N384" s="51" t="str">
        <f t="shared" si="65"/>
        <v/>
      </c>
      <c r="O384" s="52" t="str">
        <f t="shared" si="66"/>
        <v/>
      </c>
      <c r="P384" s="88">
        <f t="shared" si="67"/>
        <v>0</v>
      </c>
      <c r="Q384" s="88">
        <f t="shared" si="68"/>
        <v>0</v>
      </c>
      <c r="R384" s="88" t="e">
        <f>-IF(Tabla14[[#This Row],[DIAS HABILES O MORA]]&lt;0,(Tabla14[[#This Row],[VALOR PRESTAMO]]*Tabla14[[#This Row],[% INTERES ]]/30*U384))+Tabla14[[#This Row],[VALOR CUOTAS]]</f>
        <v>#VALUE!</v>
      </c>
      <c r="S384" s="88">
        <f>-IF(Tabla14[[#This Row],[DIAS HABILES O MORA]]&lt;0,(Tabla14[[#This Row],[VALOR PRESTAMO]]*Tabla14[[#This Row],[% INTERES ]]/30*U384))</f>
        <v>0</v>
      </c>
      <c r="T384" s="53" t="e">
        <f>Tabla14[[#This Row],[DEUDA CAPITAL]]+Tabla14[[#This Row],[INTERES  CUOTA]]</f>
        <v>#NUM!</v>
      </c>
      <c r="U384" s="61" t="str">
        <f t="shared" si="69"/>
        <v/>
      </c>
    </row>
    <row r="385" spans="9:21" ht="24.75" customHeight="1" x14ac:dyDescent="0.35">
      <c r="I385" s="42">
        <f t="shared" si="60"/>
        <v>0</v>
      </c>
      <c r="J385" s="65" t="e">
        <f t="shared" si="61"/>
        <v>#NUM!</v>
      </c>
      <c r="K385" s="83" t="e">
        <f t="shared" si="62"/>
        <v>#NUM!</v>
      </c>
      <c r="L385" s="83">
        <f t="shared" si="63"/>
        <v>0</v>
      </c>
      <c r="M385" s="110" t="str">
        <f t="shared" si="64"/>
        <v/>
      </c>
      <c r="N385" s="51" t="str">
        <f t="shared" si="65"/>
        <v/>
      </c>
      <c r="O385" s="52" t="str">
        <f t="shared" si="66"/>
        <v/>
      </c>
      <c r="P385" s="88">
        <f t="shared" si="67"/>
        <v>0</v>
      </c>
      <c r="Q385" s="88">
        <f t="shared" si="68"/>
        <v>0</v>
      </c>
      <c r="R385" s="88" t="e">
        <f>-IF(Tabla14[[#This Row],[DIAS HABILES O MORA]]&lt;0,(Tabla14[[#This Row],[VALOR PRESTAMO]]*Tabla14[[#This Row],[% INTERES ]]/30*U385))+Tabla14[[#This Row],[VALOR CUOTAS]]</f>
        <v>#VALUE!</v>
      </c>
      <c r="S385" s="88">
        <f>-IF(Tabla14[[#This Row],[DIAS HABILES O MORA]]&lt;0,(Tabla14[[#This Row],[VALOR PRESTAMO]]*Tabla14[[#This Row],[% INTERES ]]/30*U385))</f>
        <v>0</v>
      </c>
      <c r="T385" s="53" t="e">
        <f>Tabla14[[#This Row],[DEUDA CAPITAL]]+Tabla14[[#This Row],[INTERES  CUOTA]]</f>
        <v>#NUM!</v>
      </c>
      <c r="U385" s="61" t="str">
        <f t="shared" si="69"/>
        <v/>
      </c>
    </row>
    <row r="386" spans="9:21" ht="24.75" customHeight="1" x14ac:dyDescent="0.35">
      <c r="I386" s="42">
        <f t="shared" si="60"/>
        <v>0</v>
      </c>
      <c r="J386" s="65" t="e">
        <f t="shared" si="61"/>
        <v>#NUM!</v>
      </c>
      <c r="K386" s="83" t="e">
        <f t="shared" si="62"/>
        <v>#NUM!</v>
      </c>
      <c r="L386" s="83">
        <f t="shared" si="63"/>
        <v>0</v>
      </c>
      <c r="M386" s="110" t="str">
        <f t="shared" si="64"/>
        <v/>
      </c>
      <c r="N386" s="51" t="str">
        <f t="shared" si="65"/>
        <v/>
      </c>
      <c r="O386" s="52" t="str">
        <f t="shared" si="66"/>
        <v/>
      </c>
      <c r="P386" s="88">
        <f t="shared" si="67"/>
        <v>0</v>
      </c>
      <c r="Q386" s="88">
        <f t="shared" si="68"/>
        <v>0</v>
      </c>
      <c r="R386" s="88" t="e">
        <f>-IF(Tabla14[[#This Row],[DIAS HABILES O MORA]]&lt;0,(Tabla14[[#This Row],[VALOR PRESTAMO]]*Tabla14[[#This Row],[% INTERES ]]/30*U386))+Tabla14[[#This Row],[VALOR CUOTAS]]</f>
        <v>#VALUE!</v>
      </c>
      <c r="S386" s="88">
        <f>-IF(Tabla14[[#This Row],[DIAS HABILES O MORA]]&lt;0,(Tabla14[[#This Row],[VALOR PRESTAMO]]*Tabla14[[#This Row],[% INTERES ]]/30*U386))</f>
        <v>0</v>
      </c>
      <c r="T386" s="53" t="e">
        <f>Tabla14[[#This Row],[DEUDA CAPITAL]]+Tabla14[[#This Row],[INTERES  CUOTA]]</f>
        <v>#NUM!</v>
      </c>
      <c r="U386" s="61" t="str">
        <f t="shared" si="69"/>
        <v/>
      </c>
    </row>
    <row r="387" spans="9:21" ht="24.75" customHeight="1" x14ac:dyDescent="0.35">
      <c r="I387" s="42">
        <f t="shared" si="60"/>
        <v>0</v>
      </c>
      <c r="J387" s="65" t="e">
        <f t="shared" si="61"/>
        <v>#NUM!</v>
      </c>
      <c r="K387" s="83" t="e">
        <f t="shared" si="62"/>
        <v>#NUM!</v>
      </c>
      <c r="L387" s="83">
        <f t="shared" si="63"/>
        <v>0</v>
      </c>
      <c r="M387" s="110" t="str">
        <f t="shared" si="64"/>
        <v/>
      </c>
      <c r="N387" s="51" t="str">
        <f t="shared" si="65"/>
        <v/>
      </c>
      <c r="O387" s="52" t="str">
        <f t="shared" si="66"/>
        <v/>
      </c>
      <c r="P387" s="88">
        <f t="shared" si="67"/>
        <v>0</v>
      </c>
      <c r="Q387" s="88">
        <f t="shared" si="68"/>
        <v>0</v>
      </c>
      <c r="R387" s="88" t="e">
        <f>-IF(Tabla14[[#This Row],[DIAS HABILES O MORA]]&lt;0,(Tabla14[[#This Row],[VALOR PRESTAMO]]*Tabla14[[#This Row],[% INTERES ]]/30*U387))+Tabla14[[#This Row],[VALOR CUOTAS]]</f>
        <v>#VALUE!</v>
      </c>
      <c r="S387" s="88">
        <f>-IF(Tabla14[[#This Row],[DIAS HABILES O MORA]]&lt;0,(Tabla14[[#This Row],[VALOR PRESTAMO]]*Tabla14[[#This Row],[% INTERES ]]/30*U387))</f>
        <v>0</v>
      </c>
      <c r="T387" s="53" t="e">
        <f>Tabla14[[#This Row],[DEUDA CAPITAL]]+Tabla14[[#This Row],[INTERES  CUOTA]]</f>
        <v>#NUM!</v>
      </c>
      <c r="U387" s="61" t="str">
        <f t="shared" si="69"/>
        <v/>
      </c>
    </row>
    <row r="388" spans="9:21" ht="24.75" customHeight="1" x14ac:dyDescent="0.35">
      <c r="I388" s="42">
        <f t="shared" si="60"/>
        <v>0</v>
      </c>
      <c r="J388" s="65" t="e">
        <f t="shared" si="61"/>
        <v>#NUM!</v>
      </c>
      <c r="K388" s="83" t="e">
        <f t="shared" si="62"/>
        <v>#NUM!</v>
      </c>
      <c r="L388" s="83">
        <f t="shared" si="63"/>
        <v>0</v>
      </c>
      <c r="M388" s="110" t="str">
        <f t="shared" si="64"/>
        <v/>
      </c>
      <c r="N388" s="51" t="str">
        <f t="shared" si="65"/>
        <v/>
      </c>
      <c r="O388" s="52" t="str">
        <f t="shared" si="66"/>
        <v/>
      </c>
      <c r="P388" s="88">
        <f t="shared" si="67"/>
        <v>0</v>
      </c>
      <c r="Q388" s="88">
        <f t="shared" si="68"/>
        <v>0</v>
      </c>
      <c r="R388" s="88" t="e">
        <f>-IF(Tabla14[[#This Row],[DIAS HABILES O MORA]]&lt;0,(Tabla14[[#This Row],[VALOR PRESTAMO]]*Tabla14[[#This Row],[% INTERES ]]/30*U388))+Tabla14[[#This Row],[VALOR CUOTAS]]</f>
        <v>#VALUE!</v>
      </c>
      <c r="S388" s="88">
        <f>-IF(Tabla14[[#This Row],[DIAS HABILES O MORA]]&lt;0,(Tabla14[[#This Row],[VALOR PRESTAMO]]*Tabla14[[#This Row],[% INTERES ]]/30*U388))</f>
        <v>0</v>
      </c>
      <c r="T388" s="53" t="e">
        <f>Tabla14[[#This Row],[DEUDA CAPITAL]]+Tabla14[[#This Row],[INTERES  CUOTA]]</f>
        <v>#NUM!</v>
      </c>
      <c r="U388" s="61" t="str">
        <f t="shared" si="69"/>
        <v/>
      </c>
    </row>
    <row r="389" spans="9:21" ht="24.75" customHeight="1" x14ac:dyDescent="0.35">
      <c r="I389" s="42">
        <f t="shared" si="60"/>
        <v>0</v>
      </c>
      <c r="J389" s="65" t="e">
        <f t="shared" si="61"/>
        <v>#NUM!</v>
      </c>
      <c r="K389" s="83" t="e">
        <f t="shared" si="62"/>
        <v>#NUM!</v>
      </c>
      <c r="L389" s="83">
        <f t="shared" si="63"/>
        <v>0</v>
      </c>
      <c r="M389" s="110" t="str">
        <f t="shared" si="64"/>
        <v/>
      </c>
      <c r="N389" s="51" t="str">
        <f t="shared" si="65"/>
        <v/>
      </c>
      <c r="O389" s="52" t="str">
        <f t="shared" si="66"/>
        <v/>
      </c>
      <c r="P389" s="88">
        <f t="shared" si="67"/>
        <v>0</v>
      </c>
      <c r="Q389" s="88">
        <f t="shared" si="68"/>
        <v>0</v>
      </c>
      <c r="R389" s="88" t="e">
        <f>-IF(Tabla14[[#This Row],[DIAS HABILES O MORA]]&lt;0,(Tabla14[[#This Row],[VALOR PRESTAMO]]*Tabla14[[#This Row],[% INTERES ]]/30*U389))+Tabla14[[#This Row],[VALOR CUOTAS]]</f>
        <v>#VALUE!</v>
      </c>
      <c r="S389" s="88">
        <f>-IF(Tabla14[[#This Row],[DIAS HABILES O MORA]]&lt;0,(Tabla14[[#This Row],[VALOR PRESTAMO]]*Tabla14[[#This Row],[% INTERES ]]/30*U389))</f>
        <v>0</v>
      </c>
      <c r="T389" s="53" t="e">
        <f>Tabla14[[#This Row],[DEUDA CAPITAL]]+Tabla14[[#This Row],[INTERES  CUOTA]]</f>
        <v>#NUM!</v>
      </c>
      <c r="U389" s="61" t="str">
        <f t="shared" si="69"/>
        <v/>
      </c>
    </row>
    <row r="390" spans="9:21" ht="24.75" customHeight="1" x14ac:dyDescent="0.35">
      <c r="I390" s="42">
        <f t="shared" si="60"/>
        <v>0</v>
      </c>
      <c r="J390" s="65" t="e">
        <f t="shared" si="61"/>
        <v>#NUM!</v>
      </c>
      <c r="K390" s="83" t="e">
        <f t="shared" si="62"/>
        <v>#NUM!</v>
      </c>
      <c r="L390" s="83">
        <f t="shared" si="63"/>
        <v>0</v>
      </c>
      <c r="M390" s="110" t="str">
        <f t="shared" si="64"/>
        <v/>
      </c>
      <c r="N390" s="51" t="str">
        <f t="shared" si="65"/>
        <v/>
      </c>
      <c r="O390" s="52" t="str">
        <f t="shared" si="66"/>
        <v/>
      </c>
      <c r="P390" s="88">
        <f t="shared" si="67"/>
        <v>0</v>
      </c>
      <c r="Q390" s="88">
        <f t="shared" si="68"/>
        <v>0</v>
      </c>
      <c r="R390" s="88" t="e">
        <f>-IF(Tabla14[[#This Row],[DIAS HABILES O MORA]]&lt;0,(Tabla14[[#This Row],[VALOR PRESTAMO]]*Tabla14[[#This Row],[% INTERES ]]/30*U390))+Tabla14[[#This Row],[VALOR CUOTAS]]</f>
        <v>#VALUE!</v>
      </c>
      <c r="S390" s="88">
        <f>-IF(Tabla14[[#This Row],[DIAS HABILES O MORA]]&lt;0,(Tabla14[[#This Row],[VALOR PRESTAMO]]*Tabla14[[#This Row],[% INTERES ]]/30*U390))</f>
        <v>0</v>
      </c>
      <c r="T390" s="53" t="e">
        <f>Tabla14[[#This Row],[DEUDA CAPITAL]]+Tabla14[[#This Row],[INTERES  CUOTA]]</f>
        <v>#NUM!</v>
      </c>
      <c r="U390" s="61" t="str">
        <f t="shared" si="69"/>
        <v/>
      </c>
    </row>
    <row r="391" spans="9:21" ht="24.75" customHeight="1" x14ac:dyDescent="0.35">
      <c r="I391" s="42">
        <f t="shared" si="60"/>
        <v>0</v>
      </c>
      <c r="J391" s="65" t="e">
        <f t="shared" si="61"/>
        <v>#NUM!</v>
      </c>
      <c r="K391" s="83" t="e">
        <f t="shared" si="62"/>
        <v>#NUM!</v>
      </c>
      <c r="L391" s="83">
        <f t="shared" si="63"/>
        <v>0</v>
      </c>
      <c r="M391" s="110" t="str">
        <f t="shared" si="64"/>
        <v/>
      </c>
      <c r="N391" s="51" t="str">
        <f t="shared" si="65"/>
        <v/>
      </c>
      <c r="O391" s="52" t="str">
        <f t="shared" si="66"/>
        <v/>
      </c>
      <c r="P391" s="88">
        <f t="shared" si="67"/>
        <v>0</v>
      </c>
      <c r="Q391" s="88">
        <f t="shared" si="68"/>
        <v>0</v>
      </c>
      <c r="R391" s="88" t="e">
        <f>-IF(Tabla14[[#This Row],[DIAS HABILES O MORA]]&lt;0,(Tabla14[[#This Row],[VALOR PRESTAMO]]*Tabla14[[#This Row],[% INTERES ]]/30*U391))+Tabla14[[#This Row],[VALOR CUOTAS]]</f>
        <v>#VALUE!</v>
      </c>
      <c r="S391" s="88">
        <f>-IF(Tabla14[[#This Row],[DIAS HABILES O MORA]]&lt;0,(Tabla14[[#This Row],[VALOR PRESTAMO]]*Tabla14[[#This Row],[% INTERES ]]/30*U391))</f>
        <v>0</v>
      </c>
      <c r="T391" s="53" t="e">
        <f>Tabla14[[#This Row],[DEUDA CAPITAL]]+Tabla14[[#This Row],[INTERES  CUOTA]]</f>
        <v>#NUM!</v>
      </c>
      <c r="U391" s="61" t="str">
        <f t="shared" si="69"/>
        <v/>
      </c>
    </row>
    <row r="392" spans="9:21" ht="24.75" customHeight="1" x14ac:dyDescent="0.35">
      <c r="I392" s="42">
        <f t="shared" si="60"/>
        <v>0</v>
      </c>
      <c r="J392" s="65" t="e">
        <f t="shared" si="61"/>
        <v>#NUM!</v>
      </c>
      <c r="K392" s="83" t="e">
        <f t="shared" si="62"/>
        <v>#NUM!</v>
      </c>
      <c r="L392" s="83">
        <f t="shared" si="63"/>
        <v>0</v>
      </c>
      <c r="M392" s="110" t="str">
        <f t="shared" si="64"/>
        <v/>
      </c>
      <c r="N392" s="51" t="str">
        <f t="shared" si="65"/>
        <v/>
      </c>
      <c r="O392" s="52" t="str">
        <f t="shared" si="66"/>
        <v/>
      </c>
      <c r="P392" s="88">
        <f t="shared" si="67"/>
        <v>0</v>
      </c>
      <c r="Q392" s="88">
        <f t="shared" si="68"/>
        <v>0</v>
      </c>
      <c r="R392" s="88" t="e">
        <f>-IF(Tabla14[[#This Row],[DIAS HABILES O MORA]]&lt;0,(Tabla14[[#This Row],[VALOR PRESTAMO]]*Tabla14[[#This Row],[% INTERES ]]/30*U392))+Tabla14[[#This Row],[VALOR CUOTAS]]</f>
        <v>#VALUE!</v>
      </c>
      <c r="S392" s="88">
        <f>-IF(Tabla14[[#This Row],[DIAS HABILES O MORA]]&lt;0,(Tabla14[[#This Row],[VALOR PRESTAMO]]*Tabla14[[#This Row],[% INTERES ]]/30*U392))</f>
        <v>0</v>
      </c>
      <c r="T392" s="53" t="e">
        <f>Tabla14[[#This Row],[DEUDA CAPITAL]]+Tabla14[[#This Row],[INTERES  CUOTA]]</f>
        <v>#NUM!</v>
      </c>
      <c r="U392" s="61" t="str">
        <f t="shared" si="69"/>
        <v/>
      </c>
    </row>
    <row r="393" spans="9:21" ht="24.75" customHeight="1" x14ac:dyDescent="0.35">
      <c r="I393" s="42">
        <f t="shared" si="60"/>
        <v>0</v>
      </c>
      <c r="J393" s="65" t="e">
        <f t="shared" si="61"/>
        <v>#NUM!</v>
      </c>
      <c r="K393" s="83" t="e">
        <f t="shared" si="62"/>
        <v>#NUM!</v>
      </c>
      <c r="L393" s="83">
        <f t="shared" si="63"/>
        <v>0</v>
      </c>
      <c r="M393" s="110" t="str">
        <f t="shared" si="64"/>
        <v/>
      </c>
      <c r="N393" s="51" t="str">
        <f t="shared" si="65"/>
        <v/>
      </c>
      <c r="O393" s="52" t="str">
        <f t="shared" si="66"/>
        <v/>
      </c>
      <c r="P393" s="88">
        <f t="shared" si="67"/>
        <v>0</v>
      </c>
      <c r="Q393" s="88">
        <f t="shared" si="68"/>
        <v>0</v>
      </c>
      <c r="R393" s="88" t="e">
        <f>-IF(Tabla14[[#This Row],[DIAS HABILES O MORA]]&lt;0,(Tabla14[[#This Row],[VALOR PRESTAMO]]*Tabla14[[#This Row],[% INTERES ]]/30*U393))+Tabla14[[#This Row],[VALOR CUOTAS]]</f>
        <v>#VALUE!</v>
      </c>
      <c r="S393" s="88">
        <f>-IF(Tabla14[[#This Row],[DIAS HABILES O MORA]]&lt;0,(Tabla14[[#This Row],[VALOR PRESTAMO]]*Tabla14[[#This Row],[% INTERES ]]/30*U393))</f>
        <v>0</v>
      </c>
      <c r="T393" s="53" t="e">
        <f>Tabla14[[#This Row],[DEUDA CAPITAL]]+Tabla14[[#This Row],[INTERES  CUOTA]]</f>
        <v>#NUM!</v>
      </c>
      <c r="U393" s="61" t="str">
        <f t="shared" si="69"/>
        <v/>
      </c>
    </row>
    <row r="394" spans="9:21" ht="24.75" customHeight="1" x14ac:dyDescent="0.35">
      <c r="I394" s="42">
        <f t="shared" si="60"/>
        <v>0</v>
      </c>
      <c r="J394" s="65" t="e">
        <f t="shared" si="61"/>
        <v>#NUM!</v>
      </c>
      <c r="K394" s="83" t="e">
        <f t="shared" si="62"/>
        <v>#NUM!</v>
      </c>
      <c r="L394" s="83">
        <f t="shared" si="63"/>
        <v>0</v>
      </c>
      <c r="M394" s="110" t="str">
        <f t="shared" si="64"/>
        <v/>
      </c>
      <c r="N394" s="51" t="str">
        <f t="shared" si="65"/>
        <v/>
      </c>
      <c r="O394" s="52" t="str">
        <f t="shared" si="66"/>
        <v/>
      </c>
      <c r="P394" s="88">
        <f t="shared" si="67"/>
        <v>0</v>
      </c>
      <c r="Q394" s="88">
        <f t="shared" si="68"/>
        <v>0</v>
      </c>
      <c r="R394" s="88" t="e">
        <f>-IF(Tabla14[[#This Row],[DIAS HABILES O MORA]]&lt;0,(Tabla14[[#This Row],[VALOR PRESTAMO]]*Tabla14[[#This Row],[% INTERES ]]/30*U394))+Tabla14[[#This Row],[VALOR CUOTAS]]</f>
        <v>#VALUE!</v>
      </c>
      <c r="S394" s="88">
        <f>-IF(Tabla14[[#This Row],[DIAS HABILES O MORA]]&lt;0,(Tabla14[[#This Row],[VALOR PRESTAMO]]*Tabla14[[#This Row],[% INTERES ]]/30*U394))</f>
        <v>0</v>
      </c>
      <c r="T394" s="53" t="e">
        <f>Tabla14[[#This Row],[DEUDA CAPITAL]]+Tabla14[[#This Row],[INTERES  CUOTA]]</f>
        <v>#NUM!</v>
      </c>
      <c r="U394" s="61" t="str">
        <f t="shared" si="69"/>
        <v/>
      </c>
    </row>
    <row r="395" spans="9:21" ht="24.75" customHeight="1" x14ac:dyDescent="0.35">
      <c r="I395" s="42">
        <f t="shared" si="60"/>
        <v>0</v>
      </c>
      <c r="J395" s="65" t="e">
        <f t="shared" si="61"/>
        <v>#NUM!</v>
      </c>
      <c r="K395" s="83" t="e">
        <f t="shared" si="62"/>
        <v>#NUM!</v>
      </c>
      <c r="L395" s="83">
        <f t="shared" si="63"/>
        <v>0</v>
      </c>
      <c r="M395" s="110" t="str">
        <f t="shared" si="64"/>
        <v/>
      </c>
      <c r="N395" s="51" t="str">
        <f t="shared" si="65"/>
        <v/>
      </c>
      <c r="O395" s="52" t="str">
        <f t="shared" si="66"/>
        <v/>
      </c>
      <c r="P395" s="88">
        <f t="shared" si="67"/>
        <v>0</v>
      </c>
      <c r="Q395" s="88">
        <f t="shared" si="68"/>
        <v>0</v>
      </c>
      <c r="R395" s="88" t="e">
        <f>-IF(Tabla14[[#This Row],[DIAS HABILES O MORA]]&lt;0,(Tabla14[[#This Row],[VALOR PRESTAMO]]*Tabla14[[#This Row],[% INTERES ]]/30*U395))+Tabla14[[#This Row],[VALOR CUOTAS]]</f>
        <v>#VALUE!</v>
      </c>
      <c r="S395" s="88">
        <f>-IF(Tabla14[[#This Row],[DIAS HABILES O MORA]]&lt;0,(Tabla14[[#This Row],[VALOR PRESTAMO]]*Tabla14[[#This Row],[% INTERES ]]/30*U395))</f>
        <v>0</v>
      </c>
      <c r="T395" s="53" t="e">
        <f>Tabla14[[#This Row],[DEUDA CAPITAL]]+Tabla14[[#This Row],[INTERES  CUOTA]]</f>
        <v>#NUM!</v>
      </c>
      <c r="U395" s="61" t="str">
        <f t="shared" si="69"/>
        <v/>
      </c>
    </row>
    <row r="396" spans="9:21" ht="24.75" customHeight="1" x14ac:dyDescent="0.35">
      <c r="I396" s="42">
        <f t="shared" si="60"/>
        <v>0</v>
      </c>
      <c r="J396" s="65" t="e">
        <f t="shared" si="61"/>
        <v>#NUM!</v>
      </c>
      <c r="K396" s="83" t="e">
        <f t="shared" si="62"/>
        <v>#NUM!</v>
      </c>
      <c r="L396" s="83">
        <f t="shared" si="63"/>
        <v>0</v>
      </c>
      <c r="M396" s="110" t="str">
        <f t="shared" si="64"/>
        <v/>
      </c>
      <c r="N396" s="51" t="str">
        <f t="shared" si="65"/>
        <v/>
      </c>
      <c r="O396" s="52" t="str">
        <f t="shared" si="66"/>
        <v/>
      </c>
      <c r="P396" s="88">
        <f t="shared" si="67"/>
        <v>0</v>
      </c>
      <c r="Q396" s="88">
        <f t="shared" si="68"/>
        <v>0</v>
      </c>
      <c r="R396" s="88" t="e">
        <f>-IF(Tabla14[[#This Row],[DIAS HABILES O MORA]]&lt;0,(Tabla14[[#This Row],[VALOR PRESTAMO]]*Tabla14[[#This Row],[% INTERES ]]/30*U396))+Tabla14[[#This Row],[VALOR CUOTAS]]</f>
        <v>#VALUE!</v>
      </c>
      <c r="S396" s="88">
        <f>-IF(Tabla14[[#This Row],[DIAS HABILES O MORA]]&lt;0,(Tabla14[[#This Row],[VALOR PRESTAMO]]*Tabla14[[#This Row],[% INTERES ]]/30*U396))</f>
        <v>0</v>
      </c>
      <c r="T396" s="53" t="e">
        <f>Tabla14[[#This Row],[DEUDA CAPITAL]]+Tabla14[[#This Row],[INTERES  CUOTA]]</f>
        <v>#NUM!</v>
      </c>
      <c r="U396" s="61" t="str">
        <f t="shared" si="69"/>
        <v/>
      </c>
    </row>
    <row r="397" spans="9:21" ht="24.75" customHeight="1" x14ac:dyDescent="0.35">
      <c r="I397" s="42">
        <f t="shared" si="60"/>
        <v>0</v>
      </c>
      <c r="J397" s="65" t="e">
        <f t="shared" si="61"/>
        <v>#NUM!</v>
      </c>
      <c r="K397" s="83" t="e">
        <f t="shared" si="62"/>
        <v>#NUM!</v>
      </c>
      <c r="L397" s="83">
        <f t="shared" si="63"/>
        <v>0</v>
      </c>
      <c r="M397" s="110" t="str">
        <f t="shared" si="64"/>
        <v/>
      </c>
      <c r="N397" s="51" t="str">
        <f t="shared" si="65"/>
        <v/>
      </c>
      <c r="O397" s="52" t="str">
        <f t="shared" si="66"/>
        <v/>
      </c>
      <c r="P397" s="88">
        <f t="shared" si="67"/>
        <v>0</v>
      </c>
      <c r="Q397" s="88">
        <f t="shared" si="68"/>
        <v>0</v>
      </c>
      <c r="R397" s="88" t="e">
        <f>-IF(Tabla14[[#This Row],[DIAS HABILES O MORA]]&lt;0,(Tabla14[[#This Row],[VALOR PRESTAMO]]*Tabla14[[#This Row],[% INTERES ]]/30*U397))+Tabla14[[#This Row],[VALOR CUOTAS]]</f>
        <v>#VALUE!</v>
      </c>
      <c r="S397" s="88">
        <f>-IF(Tabla14[[#This Row],[DIAS HABILES O MORA]]&lt;0,(Tabla14[[#This Row],[VALOR PRESTAMO]]*Tabla14[[#This Row],[% INTERES ]]/30*U397))</f>
        <v>0</v>
      </c>
      <c r="T397" s="53" t="e">
        <f>Tabla14[[#This Row],[DEUDA CAPITAL]]+Tabla14[[#This Row],[INTERES  CUOTA]]</f>
        <v>#NUM!</v>
      </c>
      <c r="U397" s="61" t="str">
        <f t="shared" si="69"/>
        <v/>
      </c>
    </row>
    <row r="398" spans="9:21" ht="24.75" customHeight="1" x14ac:dyDescent="0.35">
      <c r="I398" s="42">
        <f t="shared" si="60"/>
        <v>0</v>
      </c>
      <c r="J398" s="65" t="e">
        <f t="shared" si="61"/>
        <v>#NUM!</v>
      </c>
      <c r="K398" s="83" t="e">
        <f t="shared" si="62"/>
        <v>#NUM!</v>
      </c>
      <c r="L398" s="83">
        <f t="shared" si="63"/>
        <v>0</v>
      </c>
      <c r="M398" s="110" t="str">
        <f t="shared" si="64"/>
        <v/>
      </c>
      <c r="N398" s="51" t="str">
        <f t="shared" si="65"/>
        <v/>
      </c>
      <c r="O398" s="52" t="str">
        <f t="shared" si="66"/>
        <v/>
      </c>
      <c r="P398" s="88">
        <f t="shared" si="67"/>
        <v>0</v>
      </c>
      <c r="Q398" s="88">
        <f t="shared" si="68"/>
        <v>0</v>
      </c>
      <c r="R398" s="88" t="e">
        <f>-IF(Tabla14[[#This Row],[DIAS HABILES O MORA]]&lt;0,(Tabla14[[#This Row],[VALOR PRESTAMO]]*Tabla14[[#This Row],[% INTERES ]]/30*U398))+Tabla14[[#This Row],[VALOR CUOTAS]]</f>
        <v>#VALUE!</v>
      </c>
      <c r="S398" s="88">
        <f>-IF(Tabla14[[#This Row],[DIAS HABILES O MORA]]&lt;0,(Tabla14[[#This Row],[VALOR PRESTAMO]]*Tabla14[[#This Row],[% INTERES ]]/30*U398))</f>
        <v>0</v>
      </c>
      <c r="T398" s="53" t="e">
        <f>Tabla14[[#This Row],[DEUDA CAPITAL]]+Tabla14[[#This Row],[INTERES  CUOTA]]</f>
        <v>#NUM!</v>
      </c>
      <c r="U398" s="61" t="str">
        <f t="shared" si="69"/>
        <v/>
      </c>
    </row>
    <row r="399" spans="9:21" ht="24.75" customHeight="1" x14ac:dyDescent="0.35">
      <c r="I399" s="42">
        <f t="shared" si="60"/>
        <v>0</v>
      </c>
      <c r="J399" s="65" t="e">
        <f t="shared" si="61"/>
        <v>#NUM!</v>
      </c>
      <c r="K399" s="83" t="e">
        <f t="shared" si="62"/>
        <v>#NUM!</v>
      </c>
      <c r="L399" s="83">
        <f t="shared" si="63"/>
        <v>0</v>
      </c>
      <c r="M399" s="110" t="str">
        <f t="shared" si="64"/>
        <v/>
      </c>
      <c r="N399" s="51" t="str">
        <f t="shared" si="65"/>
        <v/>
      </c>
      <c r="O399" s="52" t="str">
        <f t="shared" si="66"/>
        <v/>
      </c>
      <c r="P399" s="88">
        <f t="shared" si="67"/>
        <v>0</v>
      </c>
      <c r="Q399" s="88">
        <f t="shared" si="68"/>
        <v>0</v>
      </c>
      <c r="R399" s="88" t="e">
        <f>-IF(Tabla14[[#This Row],[DIAS HABILES O MORA]]&lt;0,(Tabla14[[#This Row],[VALOR PRESTAMO]]*Tabla14[[#This Row],[% INTERES ]]/30*U399))+Tabla14[[#This Row],[VALOR CUOTAS]]</f>
        <v>#VALUE!</v>
      </c>
      <c r="S399" s="88">
        <f>-IF(Tabla14[[#This Row],[DIAS HABILES O MORA]]&lt;0,(Tabla14[[#This Row],[VALOR PRESTAMO]]*Tabla14[[#This Row],[% INTERES ]]/30*U399))</f>
        <v>0</v>
      </c>
      <c r="T399" s="53" t="e">
        <f>Tabla14[[#This Row],[DEUDA CAPITAL]]+Tabla14[[#This Row],[INTERES  CUOTA]]</f>
        <v>#NUM!</v>
      </c>
      <c r="U399" s="61" t="str">
        <f t="shared" si="69"/>
        <v/>
      </c>
    </row>
    <row r="400" spans="9:21" ht="24.75" customHeight="1" x14ac:dyDescent="0.35">
      <c r="I400" s="42">
        <f t="shared" ref="I400:I463" si="70">IF(C400&lt;0,"",IF(Q400=0,0,IF(G400=0,H400+1,IF(H400&lt;G400,H400+1,IF(G400=H400,0)))))</f>
        <v>0</v>
      </c>
      <c r="J400" s="65" t="e">
        <f t="shared" ref="J400:J463" si="71">IF(F400="SOLO INTERES",Q400*D400,-IPMT(D400,I400,G400,C400))</f>
        <v>#NUM!</v>
      </c>
      <c r="K400" s="83" t="e">
        <f t="shared" ref="K400:K463" si="72">IF(F400="SOLO INTERES",0,-PPMT(D400,I400,G400,C400))</f>
        <v>#NUM!</v>
      </c>
      <c r="L400" s="83">
        <f t="shared" ref="L400:L463" si="73">IF(F400="SOLO INTERES",SUM(Y400:AAE400),IFERROR(-CUMIPMT(D400,G400,C400,1,H400,0),0)+SUM(Y400:WY400))</f>
        <v>0</v>
      </c>
      <c r="M400" s="110" t="str">
        <f t="shared" ref="M400:M463" si="74">IFERROR(IF(F400="SOLO INTERES",Q400*D400,-PMT(D400,G400,C400,0)),"")</f>
        <v/>
      </c>
      <c r="N400" s="51" t="str">
        <f t="shared" ref="N400:N463" si="75">IF(Q400=0,"",IF(E400="MENSUAL",EDATE(B400,I400),IF(E400="QUINCENAL",B400+(I400*15),IF(E400="SEMANAL",B400+(I400*7)))))</f>
        <v/>
      </c>
      <c r="O400" s="52" t="str">
        <f t="shared" ref="O400:O463" si="76">IF(C400=0,"",IF(Q400&lt;1,"PAGADO",IF(N400=$A$3,"COBRAR HOY",IF(N400&lt;$A$3,"EN MORA",IF(N400&gt;$A$3,"AL DIA")))))</f>
        <v/>
      </c>
      <c r="P400" s="88">
        <f t="shared" ref="P400:P463" si="77">IFERROR(-CUMPRINC(D400,G400,C400,1,H400,0),0)+W400</f>
        <v>0</v>
      </c>
      <c r="Q400" s="88">
        <f t="shared" ref="Q400:Q463" si="78">IFERROR(C400-P400,"")</f>
        <v>0</v>
      </c>
      <c r="R400" s="88" t="e">
        <f>-IF(Tabla14[[#This Row],[DIAS HABILES O MORA]]&lt;0,(Tabla14[[#This Row],[VALOR PRESTAMO]]*Tabla14[[#This Row],[% INTERES ]]/30*U400))+Tabla14[[#This Row],[VALOR CUOTAS]]</f>
        <v>#VALUE!</v>
      </c>
      <c r="S400" s="88">
        <f>-IF(Tabla14[[#This Row],[DIAS HABILES O MORA]]&lt;0,(Tabla14[[#This Row],[VALOR PRESTAMO]]*Tabla14[[#This Row],[% INTERES ]]/30*U400))</f>
        <v>0</v>
      </c>
      <c r="T400" s="53" t="e">
        <f>Tabla14[[#This Row],[DEUDA CAPITAL]]+Tabla14[[#This Row],[INTERES  CUOTA]]</f>
        <v>#NUM!</v>
      </c>
      <c r="U400" s="61" t="str">
        <f t="shared" ref="U400:U463" si="79">IF(O400="PAGADO","",IFERROR(-IF(C400=0,"",$A$3-N400),""))</f>
        <v/>
      </c>
    </row>
    <row r="401" spans="9:21" ht="24.75" customHeight="1" x14ac:dyDescent="0.35">
      <c r="I401" s="42">
        <f t="shared" si="70"/>
        <v>0</v>
      </c>
      <c r="J401" s="65" t="e">
        <f t="shared" si="71"/>
        <v>#NUM!</v>
      </c>
      <c r="K401" s="83" t="e">
        <f t="shared" si="72"/>
        <v>#NUM!</v>
      </c>
      <c r="L401" s="83">
        <f t="shared" si="73"/>
        <v>0</v>
      </c>
      <c r="M401" s="110" t="str">
        <f t="shared" si="74"/>
        <v/>
      </c>
      <c r="N401" s="51" t="str">
        <f t="shared" si="75"/>
        <v/>
      </c>
      <c r="O401" s="52" t="str">
        <f t="shared" si="76"/>
        <v/>
      </c>
      <c r="P401" s="88">
        <f t="shared" si="77"/>
        <v>0</v>
      </c>
      <c r="Q401" s="88">
        <f t="shared" si="78"/>
        <v>0</v>
      </c>
      <c r="R401" s="88" t="e">
        <f>-IF(Tabla14[[#This Row],[DIAS HABILES O MORA]]&lt;0,(Tabla14[[#This Row],[VALOR PRESTAMO]]*Tabla14[[#This Row],[% INTERES ]]/30*U401))+Tabla14[[#This Row],[VALOR CUOTAS]]</f>
        <v>#VALUE!</v>
      </c>
      <c r="S401" s="88">
        <f>-IF(Tabla14[[#This Row],[DIAS HABILES O MORA]]&lt;0,(Tabla14[[#This Row],[VALOR PRESTAMO]]*Tabla14[[#This Row],[% INTERES ]]/30*U401))</f>
        <v>0</v>
      </c>
      <c r="T401" s="53" t="e">
        <f>Tabla14[[#This Row],[DEUDA CAPITAL]]+Tabla14[[#This Row],[INTERES  CUOTA]]</f>
        <v>#NUM!</v>
      </c>
      <c r="U401" s="61" t="str">
        <f t="shared" si="79"/>
        <v/>
      </c>
    </row>
    <row r="402" spans="9:21" ht="24.75" customHeight="1" x14ac:dyDescent="0.35">
      <c r="I402" s="42">
        <f t="shared" si="70"/>
        <v>0</v>
      </c>
      <c r="J402" s="65" t="e">
        <f t="shared" si="71"/>
        <v>#NUM!</v>
      </c>
      <c r="K402" s="83" t="e">
        <f t="shared" si="72"/>
        <v>#NUM!</v>
      </c>
      <c r="L402" s="83">
        <f t="shared" si="73"/>
        <v>0</v>
      </c>
      <c r="M402" s="110" t="str">
        <f t="shared" si="74"/>
        <v/>
      </c>
      <c r="N402" s="51" t="str">
        <f t="shared" si="75"/>
        <v/>
      </c>
      <c r="O402" s="52" t="str">
        <f t="shared" si="76"/>
        <v/>
      </c>
      <c r="P402" s="88">
        <f t="shared" si="77"/>
        <v>0</v>
      </c>
      <c r="Q402" s="88">
        <f t="shared" si="78"/>
        <v>0</v>
      </c>
      <c r="R402" s="88" t="e">
        <f>-IF(Tabla14[[#This Row],[DIAS HABILES O MORA]]&lt;0,(Tabla14[[#This Row],[VALOR PRESTAMO]]*Tabla14[[#This Row],[% INTERES ]]/30*U402))+Tabla14[[#This Row],[VALOR CUOTAS]]</f>
        <v>#VALUE!</v>
      </c>
      <c r="S402" s="88">
        <f>-IF(Tabla14[[#This Row],[DIAS HABILES O MORA]]&lt;0,(Tabla14[[#This Row],[VALOR PRESTAMO]]*Tabla14[[#This Row],[% INTERES ]]/30*U402))</f>
        <v>0</v>
      </c>
      <c r="T402" s="53" t="e">
        <f>Tabla14[[#This Row],[DEUDA CAPITAL]]+Tabla14[[#This Row],[INTERES  CUOTA]]</f>
        <v>#NUM!</v>
      </c>
      <c r="U402" s="61" t="str">
        <f t="shared" si="79"/>
        <v/>
      </c>
    </row>
    <row r="403" spans="9:21" ht="24.75" customHeight="1" x14ac:dyDescent="0.35">
      <c r="I403" s="42">
        <f t="shared" si="70"/>
        <v>0</v>
      </c>
      <c r="J403" s="65" t="e">
        <f t="shared" si="71"/>
        <v>#NUM!</v>
      </c>
      <c r="K403" s="83" t="e">
        <f t="shared" si="72"/>
        <v>#NUM!</v>
      </c>
      <c r="L403" s="83">
        <f t="shared" si="73"/>
        <v>0</v>
      </c>
      <c r="M403" s="110" t="str">
        <f t="shared" si="74"/>
        <v/>
      </c>
      <c r="N403" s="51" t="str">
        <f t="shared" si="75"/>
        <v/>
      </c>
      <c r="O403" s="52" t="str">
        <f t="shared" si="76"/>
        <v/>
      </c>
      <c r="P403" s="88">
        <f t="shared" si="77"/>
        <v>0</v>
      </c>
      <c r="Q403" s="88">
        <f t="shared" si="78"/>
        <v>0</v>
      </c>
      <c r="R403" s="88" t="e">
        <f>-IF(Tabla14[[#This Row],[DIAS HABILES O MORA]]&lt;0,(Tabla14[[#This Row],[VALOR PRESTAMO]]*Tabla14[[#This Row],[% INTERES ]]/30*U403))+Tabla14[[#This Row],[VALOR CUOTAS]]</f>
        <v>#VALUE!</v>
      </c>
      <c r="S403" s="88">
        <f>-IF(Tabla14[[#This Row],[DIAS HABILES O MORA]]&lt;0,(Tabla14[[#This Row],[VALOR PRESTAMO]]*Tabla14[[#This Row],[% INTERES ]]/30*U403))</f>
        <v>0</v>
      </c>
      <c r="T403" s="53" t="e">
        <f>Tabla14[[#This Row],[DEUDA CAPITAL]]+Tabla14[[#This Row],[INTERES  CUOTA]]</f>
        <v>#NUM!</v>
      </c>
      <c r="U403" s="61" t="str">
        <f t="shared" si="79"/>
        <v/>
      </c>
    </row>
    <row r="404" spans="9:21" ht="24.75" customHeight="1" x14ac:dyDescent="0.35">
      <c r="I404" s="42">
        <f t="shared" si="70"/>
        <v>0</v>
      </c>
      <c r="J404" s="65" t="e">
        <f t="shared" si="71"/>
        <v>#NUM!</v>
      </c>
      <c r="K404" s="83" t="e">
        <f t="shared" si="72"/>
        <v>#NUM!</v>
      </c>
      <c r="L404" s="83">
        <f t="shared" si="73"/>
        <v>0</v>
      </c>
      <c r="M404" s="110" t="str">
        <f t="shared" si="74"/>
        <v/>
      </c>
      <c r="N404" s="51" t="str">
        <f t="shared" si="75"/>
        <v/>
      </c>
      <c r="O404" s="52" t="str">
        <f t="shared" si="76"/>
        <v/>
      </c>
      <c r="P404" s="88">
        <f t="shared" si="77"/>
        <v>0</v>
      </c>
      <c r="Q404" s="88">
        <f t="shared" si="78"/>
        <v>0</v>
      </c>
      <c r="R404" s="88" t="e">
        <f>-IF(Tabla14[[#This Row],[DIAS HABILES O MORA]]&lt;0,(Tabla14[[#This Row],[VALOR PRESTAMO]]*Tabla14[[#This Row],[% INTERES ]]/30*U404))+Tabla14[[#This Row],[VALOR CUOTAS]]</f>
        <v>#VALUE!</v>
      </c>
      <c r="S404" s="88">
        <f>-IF(Tabla14[[#This Row],[DIAS HABILES O MORA]]&lt;0,(Tabla14[[#This Row],[VALOR PRESTAMO]]*Tabla14[[#This Row],[% INTERES ]]/30*U404))</f>
        <v>0</v>
      </c>
      <c r="T404" s="53" t="e">
        <f>Tabla14[[#This Row],[DEUDA CAPITAL]]+Tabla14[[#This Row],[INTERES  CUOTA]]</f>
        <v>#NUM!</v>
      </c>
      <c r="U404" s="61" t="str">
        <f t="shared" si="79"/>
        <v/>
      </c>
    </row>
    <row r="405" spans="9:21" ht="24.75" customHeight="1" x14ac:dyDescent="0.35">
      <c r="I405" s="42">
        <f t="shared" si="70"/>
        <v>0</v>
      </c>
      <c r="J405" s="65" t="e">
        <f t="shared" si="71"/>
        <v>#NUM!</v>
      </c>
      <c r="K405" s="83" t="e">
        <f t="shared" si="72"/>
        <v>#NUM!</v>
      </c>
      <c r="L405" s="83">
        <f t="shared" si="73"/>
        <v>0</v>
      </c>
      <c r="M405" s="110" t="str">
        <f t="shared" si="74"/>
        <v/>
      </c>
      <c r="N405" s="51" t="str">
        <f t="shared" si="75"/>
        <v/>
      </c>
      <c r="O405" s="52" t="str">
        <f t="shared" si="76"/>
        <v/>
      </c>
      <c r="P405" s="88">
        <f t="shared" si="77"/>
        <v>0</v>
      </c>
      <c r="Q405" s="88">
        <f t="shared" si="78"/>
        <v>0</v>
      </c>
      <c r="R405" s="88" t="e">
        <f>-IF(Tabla14[[#This Row],[DIAS HABILES O MORA]]&lt;0,(Tabla14[[#This Row],[VALOR PRESTAMO]]*Tabla14[[#This Row],[% INTERES ]]/30*U405))+Tabla14[[#This Row],[VALOR CUOTAS]]</f>
        <v>#VALUE!</v>
      </c>
      <c r="S405" s="88">
        <f>-IF(Tabla14[[#This Row],[DIAS HABILES O MORA]]&lt;0,(Tabla14[[#This Row],[VALOR PRESTAMO]]*Tabla14[[#This Row],[% INTERES ]]/30*U405))</f>
        <v>0</v>
      </c>
      <c r="T405" s="53" t="e">
        <f>Tabla14[[#This Row],[DEUDA CAPITAL]]+Tabla14[[#This Row],[INTERES  CUOTA]]</f>
        <v>#NUM!</v>
      </c>
      <c r="U405" s="61" t="str">
        <f t="shared" si="79"/>
        <v/>
      </c>
    </row>
    <row r="406" spans="9:21" ht="24.75" customHeight="1" x14ac:dyDescent="0.35">
      <c r="I406" s="42">
        <f t="shared" si="70"/>
        <v>0</v>
      </c>
      <c r="J406" s="65" t="e">
        <f t="shared" si="71"/>
        <v>#NUM!</v>
      </c>
      <c r="K406" s="83" t="e">
        <f t="shared" si="72"/>
        <v>#NUM!</v>
      </c>
      <c r="L406" s="83">
        <f t="shared" si="73"/>
        <v>0</v>
      </c>
      <c r="M406" s="110" t="str">
        <f t="shared" si="74"/>
        <v/>
      </c>
      <c r="N406" s="51" t="str">
        <f t="shared" si="75"/>
        <v/>
      </c>
      <c r="O406" s="52" t="str">
        <f t="shared" si="76"/>
        <v/>
      </c>
      <c r="P406" s="88">
        <f t="shared" si="77"/>
        <v>0</v>
      </c>
      <c r="Q406" s="88">
        <f t="shared" si="78"/>
        <v>0</v>
      </c>
      <c r="R406" s="88" t="e">
        <f>-IF(Tabla14[[#This Row],[DIAS HABILES O MORA]]&lt;0,(Tabla14[[#This Row],[VALOR PRESTAMO]]*Tabla14[[#This Row],[% INTERES ]]/30*U406))+Tabla14[[#This Row],[VALOR CUOTAS]]</f>
        <v>#VALUE!</v>
      </c>
      <c r="S406" s="88">
        <f>-IF(Tabla14[[#This Row],[DIAS HABILES O MORA]]&lt;0,(Tabla14[[#This Row],[VALOR PRESTAMO]]*Tabla14[[#This Row],[% INTERES ]]/30*U406))</f>
        <v>0</v>
      </c>
      <c r="T406" s="53" t="e">
        <f>Tabla14[[#This Row],[DEUDA CAPITAL]]+Tabla14[[#This Row],[INTERES  CUOTA]]</f>
        <v>#NUM!</v>
      </c>
      <c r="U406" s="61" t="str">
        <f t="shared" si="79"/>
        <v/>
      </c>
    </row>
    <row r="407" spans="9:21" ht="24.75" customHeight="1" x14ac:dyDescent="0.35">
      <c r="I407" s="42">
        <f t="shared" si="70"/>
        <v>0</v>
      </c>
      <c r="J407" s="65" t="e">
        <f t="shared" si="71"/>
        <v>#NUM!</v>
      </c>
      <c r="K407" s="83" t="e">
        <f t="shared" si="72"/>
        <v>#NUM!</v>
      </c>
      <c r="L407" s="83">
        <f t="shared" si="73"/>
        <v>0</v>
      </c>
      <c r="M407" s="110" t="str">
        <f t="shared" si="74"/>
        <v/>
      </c>
      <c r="N407" s="51" t="str">
        <f t="shared" si="75"/>
        <v/>
      </c>
      <c r="O407" s="52" t="str">
        <f t="shared" si="76"/>
        <v/>
      </c>
      <c r="P407" s="88">
        <f t="shared" si="77"/>
        <v>0</v>
      </c>
      <c r="Q407" s="88">
        <f t="shared" si="78"/>
        <v>0</v>
      </c>
      <c r="R407" s="88" t="e">
        <f>-IF(Tabla14[[#This Row],[DIAS HABILES O MORA]]&lt;0,(Tabla14[[#This Row],[VALOR PRESTAMO]]*Tabla14[[#This Row],[% INTERES ]]/30*U407))+Tabla14[[#This Row],[VALOR CUOTAS]]</f>
        <v>#VALUE!</v>
      </c>
      <c r="S407" s="88">
        <f>-IF(Tabla14[[#This Row],[DIAS HABILES O MORA]]&lt;0,(Tabla14[[#This Row],[VALOR PRESTAMO]]*Tabla14[[#This Row],[% INTERES ]]/30*U407))</f>
        <v>0</v>
      </c>
      <c r="T407" s="53" t="e">
        <f>Tabla14[[#This Row],[DEUDA CAPITAL]]+Tabla14[[#This Row],[INTERES  CUOTA]]</f>
        <v>#NUM!</v>
      </c>
      <c r="U407" s="61" t="str">
        <f t="shared" si="79"/>
        <v/>
      </c>
    </row>
    <row r="408" spans="9:21" ht="24.75" customHeight="1" x14ac:dyDescent="0.35">
      <c r="I408" s="42">
        <f t="shared" si="70"/>
        <v>0</v>
      </c>
      <c r="J408" s="65" t="e">
        <f t="shared" si="71"/>
        <v>#NUM!</v>
      </c>
      <c r="K408" s="83" t="e">
        <f t="shared" si="72"/>
        <v>#NUM!</v>
      </c>
      <c r="L408" s="83">
        <f t="shared" si="73"/>
        <v>0</v>
      </c>
      <c r="M408" s="110" t="str">
        <f t="shared" si="74"/>
        <v/>
      </c>
      <c r="N408" s="51" t="str">
        <f t="shared" si="75"/>
        <v/>
      </c>
      <c r="O408" s="52" t="str">
        <f t="shared" si="76"/>
        <v/>
      </c>
      <c r="P408" s="88">
        <f t="shared" si="77"/>
        <v>0</v>
      </c>
      <c r="Q408" s="88">
        <f t="shared" si="78"/>
        <v>0</v>
      </c>
      <c r="R408" s="88" t="e">
        <f>-IF(Tabla14[[#This Row],[DIAS HABILES O MORA]]&lt;0,(Tabla14[[#This Row],[VALOR PRESTAMO]]*Tabla14[[#This Row],[% INTERES ]]/30*U408))+Tabla14[[#This Row],[VALOR CUOTAS]]</f>
        <v>#VALUE!</v>
      </c>
      <c r="S408" s="88">
        <f>-IF(Tabla14[[#This Row],[DIAS HABILES O MORA]]&lt;0,(Tabla14[[#This Row],[VALOR PRESTAMO]]*Tabla14[[#This Row],[% INTERES ]]/30*U408))</f>
        <v>0</v>
      </c>
      <c r="T408" s="53" t="e">
        <f>Tabla14[[#This Row],[DEUDA CAPITAL]]+Tabla14[[#This Row],[INTERES  CUOTA]]</f>
        <v>#NUM!</v>
      </c>
      <c r="U408" s="61" t="str">
        <f t="shared" si="79"/>
        <v/>
      </c>
    </row>
    <row r="409" spans="9:21" ht="24.75" customHeight="1" x14ac:dyDescent="0.35">
      <c r="I409" s="42">
        <f t="shared" si="70"/>
        <v>0</v>
      </c>
      <c r="J409" s="65" t="e">
        <f t="shared" si="71"/>
        <v>#NUM!</v>
      </c>
      <c r="K409" s="83" t="e">
        <f t="shared" si="72"/>
        <v>#NUM!</v>
      </c>
      <c r="L409" s="83">
        <f t="shared" si="73"/>
        <v>0</v>
      </c>
      <c r="M409" s="110" t="str">
        <f t="shared" si="74"/>
        <v/>
      </c>
      <c r="N409" s="51" t="str">
        <f t="shared" si="75"/>
        <v/>
      </c>
      <c r="O409" s="52" t="str">
        <f t="shared" si="76"/>
        <v/>
      </c>
      <c r="P409" s="88">
        <f t="shared" si="77"/>
        <v>0</v>
      </c>
      <c r="Q409" s="88">
        <f t="shared" si="78"/>
        <v>0</v>
      </c>
      <c r="R409" s="88" t="e">
        <f>-IF(Tabla14[[#This Row],[DIAS HABILES O MORA]]&lt;0,(Tabla14[[#This Row],[VALOR PRESTAMO]]*Tabla14[[#This Row],[% INTERES ]]/30*U409))+Tabla14[[#This Row],[VALOR CUOTAS]]</f>
        <v>#VALUE!</v>
      </c>
      <c r="S409" s="88">
        <f>-IF(Tabla14[[#This Row],[DIAS HABILES O MORA]]&lt;0,(Tabla14[[#This Row],[VALOR PRESTAMO]]*Tabla14[[#This Row],[% INTERES ]]/30*U409))</f>
        <v>0</v>
      </c>
      <c r="T409" s="53" t="e">
        <f>Tabla14[[#This Row],[DEUDA CAPITAL]]+Tabla14[[#This Row],[INTERES  CUOTA]]</f>
        <v>#NUM!</v>
      </c>
      <c r="U409" s="61" t="str">
        <f t="shared" si="79"/>
        <v/>
      </c>
    </row>
    <row r="410" spans="9:21" ht="24.75" customHeight="1" x14ac:dyDescent="0.35">
      <c r="I410" s="42">
        <f t="shared" si="70"/>
        <v>0</v>
      </c>
      <c r="J410" s="65" t="e">
        <f t="shared" si="71"/>
        <v>#NUM!</v>
      </c>
      <c r="K410" s="83" t="e">
        <f t="shared" si="72"/>
        <v>#NUM!</v>
      </c>
      <c r="L410" s="83">
        <f t="shared" si="73"/>
        <v>0</v>
      </c>
      <c r="M410" s="110" t="str">
        <f t="shared" si="74"/>
        <v/>
      </c>
      <c r="N410" s="51" t="str">
        <f t="shared" si="75"/>
        <v/>
      </c>
      <c r="O410" s="52" t="str">
        <f t="shared" si="76"/>
        <v/>
      </c>
      <c r="P410" s="88">
        <f t="shared" si="77"/>
        <v>0</v>
      </c>
      <c r="Q410" s="88">
        <f t="shared" si="78"/>
        <v>0</v>
      </c>
      <c r="R410" s="88" t="e">
        <f>-IF(Tabla14[[#This Row],[DIAS HABILES O MORA]]&lt;0,(Tabla14[[#This Row],[VALOR PRESTAMO]]*Tabla14[[#This Row],[% INTERES ]]/30*U410))+Tabla14[[#This Row],[VALOR CUOTAS]]</f>
        <v>#VALUE!</v>
      </c>
      <c r="S410" s="88">
        <f>-IF(Tabla14[[#This Row],[DIAS HABILES O MORA]]&lt;0,(Tabla14[[#This Row],[VALOR PRESTAMO]]*Tabla14[[#This Row],[% INTERES ]]/30*U410))</f>
        <v>0</v>
      </c>
      <c r="T410" s="53" t="e">
        <f>Tabla14[[#This Row],[DEUDA CAPITAL]]+Tabla14[[#This Row],[INTERES  CUOTA]]</f>
        <v>#NUM!</v>
      </c>
      <c r="U410" s="61" t="str">
        <f t="shared" si="79"/>
        <v/>
      </c>
    </row>
    <row r="411" spans="9:21" ht="24.75" customHeight="1" x14ac:dyDescent="0.35">
      <c r="I411" s="42">
        <f t="shared" si="70"/>
        <v>0</v>
      </c>
      <c r="J411" s="65" t="e">
        <f t="shared" si="71"/>
        <v>#NUM!</v>
      </c>
      <c r="K411" s="83" t="e">
        <f t="shared" si="72"/>
        <v>#NUM!</v>
      </c>
      <c r="L411" s="83">
        <f t="shared" si="73"/>
        <v>0</v>
      </c>
      <c r="M411" s="110" t="str">
        <f t="shared" si="74"/>
        <v/>
      </c>
      <c r="N411" s="51" t="str">
        <f t="shared" si="75"/>
        <v/>
      </c>
      <c r="O411" s="52" t="str">
        <f t="shared" si="76"/>
        <v/>
      </c>
      <c r="P411" s="88">
        <f t="shared" si="77"/>
        <v>0</v>
      </c>
      <c r="Q411" s="88">
        <f t="shared" si="78"/>
        <v>0</v>
      </c>
      <c r="R411" s="88" t="e">
        <f>-IF(Tabla14[[#This Row],[DIAS HABILES O MORA]]&lt;0,(Tabla14[[#This Row],[VALOR PRESTAMO]]*Tabla14[[#This Row],[% INTERES ]]/30*U411))+Tabla14[[#This Row],[VALOR CUOTAS]]</f>
        <v>#VALUE!</v>
      </c>
      <c r="S411" s="88">
        <f>-IF(Tabla14[[#This Row],[DIAS HABILES O MORA]]&lt;0,(Tabla14[[#This Row],[VALOR PRESTAMO]]*Tabla14[[#This Row],[% INTERES ]]/30*U411))</f>
        <v>0</v>
      </c>
      <c r="T411" s="53" t="e">
        <f>Tabla14[[#This Row],[DEUDA CAPITAL]]+Tabla14[[#This Row],[INTERES  CUOTA]]</f>
        <v>#NUM!</v>
      </c>
      <c r="U411" s="61" t="str">
        <f t="shared" si="79"/>
        <v/>
      </c>
    </row>
    <row r="412" spans="9:21" ht="24.75" customHeight="1" x14ac:dyDescent="0.35">
      <c r="I412" s="42">
        <f t="shared" si="70"/>
        <v>0</v>
      </c>
      <c r="J412" s="65" t="e">
        <f t="shared" si="71"/>
        <v>#NUM!</v>
      </c>
      <c r="K412" s="83" t="e">
        <f t="shared" si="72"/>
        <v>#NUM!</v>
      </c>
      <c r="L412" s="83">
        <f t="shared" si="73"/>
        <v>0</v>
      </c>
      <c r="M412" s="110" t="str">
        <f t="shared" si="74"/>
        <v/>
      </c>
      <c r="N412" s="51" t="str">
        <f t="shared" si="75"/>
        <v/>
      </c>
      <c r="O412" s="52" t="str">
        <f t="shared" si="76"/>
        <v/>
      </c>
      <c r="P412" s="88">
        <f t="shared" si="77"/>
        <v>0</v>
      </c>
      <c r="Q412" s="88">
        <f t="shared" si="78"/>
        <v>0</v>
      </c>
      <c r="R412" s="88" t="e">
        <f>-IF(Tabla14[[#This Row],[DIAS HABILES O MORA]]&lt;0,(Tabla14[[#This Row],[VALOR PRESTAMO]]*Tabla14[[#This Row],[% INTERES ]]/30*U412))+Tabla14[[#This Row],[VALOR CUOTAS]]</f>
        <v>#VALUE!</v>
      </c>
      <c r="S412" s="88">
        <f>-IF(Tabla14[[#This Row],[DIAS HABILES O MORA]]&lt;0,(Tabla14[[#This Row],[VALOR PRESTAMO]]*Tabla14[[#This Row],[% INTERES ]]/30*U412))</f>
        <v>0</v>
      </c>
      <c r="T412" s="53" t="e">
        <f>Tabla14[[#This Row],[DEUDA CAPITAL]]+Tabla14[[#This Row],[INTERES  CUOTA]]</f>
        <v>#NUM!</v>
      </c>
      <c r="U412" s="61" t="str">
        <f t="shared" si="79"/>
        <v/>
      </c>
    </row>
    <row r="413" spans="9:21" ht="24.75" customHeight="1" x14ac:dyDescent="0.35">
      <c r="I413" s="42">
        <f t="shared" si="70"/>
        <v>0</v>
      </c>
      <c r="J413" s="65" t="e">
        <f t="shared" si="71"/>
        <v>#NUM!</v>
      </c>
      <c r="K413" s="83" t="e">
        <f t="shared" si="72"/>
        <v>#NUM!</v>
      </c>
      <c r="L413" s="83">
        <f t="shared" si="73"/>
        <v>0</v>
      </c>
      <c r="M413" s="110" t="str">
        <f t="shared" si="74"/>
        <v/>
      </c>
      <c r="N413" s="51" t="str">
        <f t="shared" si="75"/>
        <v/>
      </c>
      <c r="O413" s="52" t="str">
        <f t="shared" si="76"/>
        <v/>
      </c>
      <c r="P413" s="88">
        <f t="shared" si="77"/>
        <v>0</v>
      </c>
      <c r="Q413" s="88">
        <f t="shared" si="78"/>
        <v>0</v>
      </c>
      <c r="R413" s="88" t="e">
        <f>-IF(Tabla14[[#This Row],[DIAS HABILES O MORA]]&lt;0,(Tabla14[[#This Row],[VALOR PRESTAMO]]*Tabla14[[#This Row],[% INTERES ]]/30*U413))+Tabla14[[#This Row],[VALOR CUOTAS]]</f>
        <v>#VALUE!</v>
      </c>
      <c r="S413" s="88">
        <f>-IF(Tabla14[[#This Row],[DIAS HABILES O MORA]]&lt;0,(Tabla14[[#This Row],[VALOR PRESTAMO]]*Tabla14[[#This Row],[% INTERES ]]/30*U413))</f>
        <v>0</v>
      </c>
      <c r="T413" s="53" t="e">
        <f>Tabla14[[#This Row],[DEUDA CAPITAL]]+Tabla14[[#This Row],[INTERES  CUOTA]]</f>
        <v>#NUM!</v>
      </c>
      <c r="U413" s="61" t="str">
        <f t="shared" si="79"/>
        <v/>
      </c>
    </row>
    <row r="414" spans="9:21" ht="24.75" customHeight="1" x14ac:dyDescent="0.35">
      <c r="I414" s="42">
        <f t="shared" si="70"/>
        <v>0</v>
      </c>
      <c r="J414" s="65" t="e">
        <f t="shared" si="71"/>
        <v>#NUM!</v>
      </c>
      <c r="K414" s="83" t="e">
        <f t="shared" si="72"/>
        <v>#NUM!</v>
      </c>
      <c r="L414" s="83">
        <f t="shared" si="73"/>
        <v>0</v>
      </c>
      <c r="M414" s="110" t="str">
        <f t="shared" si="74"/>
        <v/>
      </c>
      <c r="N414" s="51" t="str">
        <f t="shared" si="75"/>
        <v/>
      </c>
      <c r="O414" s="52" t="str">
        <f t="shared" si="76"/>
        <v/>
      </c>
      <c r="P414" s="88">
        <f t="shared" si="77"/>
        <v>0</v>
      </c>
      <c r="Q414" s="88">
        <f t="shared" si="78"/>
        <v>0</v>
      </c>
      <c r="R414" s="88" t="e">
        <f>-IF(Tabla14[[#This Row],[DIAS HABILES O MORA]]&lt;0,(Tabla14[[#This Row],[VALOR PRESTAMO]]*Tabla14[[#This Row],[% INTERES ]]/30*U414))+Tabla14[[#This Row],[VALOR CUOTAS]]</f>
        <v>#VALUE!</v>
      </c>
      <c r="S414" s="88">
        <f>-IF(Tabla14[[#This Row],[DIAS HABILES O MORA]]&lt;0,(Tabla14[[#This Row],[VALOR PRESTAMO]]*Tabla14[[#This Row],[% INTERES ]]/30*U414))</f>
        <v>0</v>
      </c>
      <c r="T414" s="53" t="e">
        <f>Tabla14[[#This Row],[DEUDA CAPITAL]]+Tabla14[[#This Row],[INTERES  CUOTA]]</f>
        <v>#NUM!</v>
      </c>
      <c r="U414" s="61" t="str">
        <f t="shared" si="79"/>
        <v/>
      </c>
    </row>
    <row r="415" spans="9:21" ht="24.75" customHeight="1" x14ac:dyDescent="0.35">
      <c r="I415" s="42">
        <f t="shared" si="70"/>
        <v>0</v>
      </c>
      <c r="J415" s="65" t="e">
        <f t="shared" si="71"/>
        <v>#NUM!</v>
      </c>
      <c r="K415" s="83" t="e">
        <f t="shared" si="72"/>
        <v>#NUM!</v>
      </c>
      <c r="L415" s="83">
        <f t="shared" si="73"/>
        <v>0</v>
      </c>
      <c r="M415" s="110" t="str">
        <f t="shared" si="74"/>
        <v/>
      </c>
      <c r="N415" s="51" t="str">
        <f t="shared" si="75"/>
        <v/>
      </c>
      <c r="O415" s="52" t="str">
        <f t="shared" si="76"/>
        <v/>
      </c>
      <c r="P415" s="88">
        <f t="shared" si="77"/>
        <v>0</v>
      </c>
      <c r="Q415" s="88">
        <f t="shared" si="78"/>
        <v>0</v>
      </c>
      <c r="R415" s="88" t="e">
        <f>-IF(Tabla14[[#This Row],[DIAS HABILES O MORA]]&lt;0,(Tabla14[[#This Row],[VALOR PRESTAMO]]*Tabla14[[#This Row],[% INTERES ]]/30*U415))+Tabla14[[#This Row],[VALOR CUOTAS]]</f>
        <v>#VALUE!</v>
      </c>
      <c r="S415" s="88">
        <f>-IF(Tabla14[[#This Row],[DIAS HABILES O MORA]]&lt;0,(Tabla14[[#This Row],[VALOR PRESTAMO]]*Tabla14[[#This Row],[% INTERES ]]/30*U415))</f>
        <v>0</v>
      </c>
      <c r="T415" s="53" t="e">
        <f>Tabla14[[#This Row],[DEUDA CAPITAL]]+Tabla14[[#This Row],[INTERES  CUOTA]]</f>
        <v>#NUM!</v>
      </c>
      <c r="U415" s="61" t="str">
        <f t="shared" si="79"/>
        <v/>
      </c>
    </row>
    <row r="416" spans="9:21" ht="24.75" customHeight="1" x14ac:dyDescent="0.35">
      <c r="I416" s="42">
        <f t="shared" si="70"/>
        <v>0</v>
      </c>
      <c r="J416" s="65" t="e">
        <f t="shared" si="71"/>
        <v>#NUM!</v>
      </c>
      <c r="K416" s="83" t="e">
        <f t="shared" si="72"/>
        <v>#NUM!</v>
      </c>
      <c r="L416" s="83">
        <f t="shared" si="73"/>
        <v>0</v>
      </c>
      <c r="M416" s="110" t="str">
        <f t="shared" si="74"/>
        <v/>
      </c>
      <c r="N416" s="51" t="str">
        <f t="shared" si="75"/>
        <v/>
      </c>
      <c r="O416" s="52" t="str">
        <f t="shared" si="76"/>
        <v/>
      </c>
      <c r="P416" s="88">
        <f t="shared" si="77"/>
        <v>0</v>
      </c>
      <c r="Q416" s="88">
        <f t="shared" si="78"/>
        <v>0</v>
      </c>
      <c r="R416" s="88" t="e">
        <f>-IF(Tabla14[[#This Row],[DIAS HABILES O MORA]]&lt;0,(Tabla14[[#This Row],[VALOR PRESTAMO]]*Tabla14[[#This Row],[% INTERES ]]/30*U416))+Tabla14[[#This Row],[VALOR CUOTAS]]</f>
        <v>#VALUE!</v>
      </c>
      <c r="S416" s="88">
        <f>-IF(Tabla14[[#This Row],[DIAS HABILES O MORA]]&lt;0,(Tabla14[[#This Row],[VALOR PRESTAMO]]*Tabla14[[#This Row],[% INTERES ]]/30*U416))</f>
        <v>0</v>
      </c>
      <c r="T416" s="53" t="e">
        <f>Tabla14[[#This Row],[DEUDA CAPITAL]]+Tabla14[[#This Row],[INTERES  CUOTA]]</f>
        <v>#NUM!</v>
      </c>
      <c r="U416" s="61" t="str">
        <f t="shared" si="79"/>
        <v/>
      </c>
    </row>
    <row r="417" spans="9:21" ht="24.75" customHeight="1" x14ac:dyDescent="0.35">
      <c r="I417" s="42">
        <f t="shared" si="70"/>
        <v>0</v>
      </c>
      <c r="J417" s="65" t="e">
        <f t="shared" si="71"/>
        <v>#NUM!</v>
      </c>
      <c r="K417" s="83" t="e">
        <f t="shared" si="72"/>
        <v>#NUM!</v>
      </c>
      <c r="L417" s="83">
        <f t="shared" si="73"/>
        <v>0</v>
      </c>
      <c r="M417" s="110" t="str">
        <f t="shared" si="74"/>
        <v/>
      </c>
      <c r="N417" s="51" t="str">
        <f t="shared" si="75"/>
        <v/>
      </c>
      <c r="O417" s="52" t="str">
        <f t="shared" si="76"/>
        <v/>
      </c>
      <c r="P417" s="88">
        <f t="shared" si="77"/>
        <v>0</v>
      </c>
      <c r="Q417" s="88">
        <f t="shared" si="78"/>
        <v>0</v>
      </c>
      <c r="R417" s="88" t="e">
        <f>-IF(Tabla14[[#This Row],[DIAS HABILES O MORA]]&lt;0,(Tabla14[[#This Row],[VALOR PRESTAMO]]*Tabla14[[#This Row],[% INTERES ]]/30*U417))+Tabla14[[#This Row],[VALOR CUOTAS]]</f>
        <v>#VALUE!</v>
      </c>
      <c r="S417" s="88">
        <f>-IF(Tabla14[[#This Row],[DIAS HABILES O MORA]]&lt;0,(Tabla14[[#This Row],[VALOR PRESTAMO]]*Tabla14[[#This Row],[% INTERES ]]/30*U417))</f>
        <v>0</v>
      </c>
      <c r="T417" s="53" t="e">
        <f>Tabla14[[#This Row],[DEUDA CAPITAL]]+Tabla14[[#This Row],[INTERES  CUOTA]]</f>
        <v>#NUM!</v>
      </c>
      <c r="U417" s="61" t="str">
        <f t="shared" si="79"/>
        <v/>
      </c>
    </row>
    <row r="418" spans="9:21" ht="24.75" customHeight="1" x14ac:dyDescent="0.35">
      <c r="I418" s="42">
        <f t="shared" si="70"/>
        <v>0</v>
      </c>
      <c r="J418" s="65" t="e">
        <f t="shared" si="71"/>
        <v>#NUM!</v>
      </c>
      <c r="K418" s="83" t="e">
        <f t="shared" si="72"/>
        <v>#NUM!</v>
      </c>
      <c r="L418" s="83">
        <f t="shared" si="73"/>
        <v>0</v>
      </c>
      <c r="M418" s="110" t="str">
        <f t="shared" si="74"/>
        <v/>
      </c>
      <c r="N418" s="51" t="str">
        <f t="shared" si="75"/>
        <v/>
      </c>
      <c r="O418" s="52" t="str">
        <f t="shared" si="76"/>
        <v/>
      </c>
      <c r="P418" s="88">
        <f t="shared" si="77"/>
        <v>0</v>
      </c>
      <c r="Q418" s="88">
        <f t="shared" si="78"/>
        <v>0</v>
      </c>
      <c r="R418" s="88" t="e">
        <f>-IF(Tabla14[[#This Row],[DIAS HABILES O MORA]]&lt;0,(Tabla14[[#This Row],[VALOR PRESTAMO]]*Tabla14[[#This Row],[% INTERES ]]/30*U418))+Tabla14[[#This Row],[VALOR CUOTAS]]</f>
        <v>#VALUE!</v>
      </c>
      <c r="S418" s="88">
        <f>-IF(Tabla14[[#This Row],[DIAS HABILES O MORA]]&lt;0,(Tabla14[[#This Row],[VALOR PRESTAMO]]*Tabla14[[#This Row],[% INTERES ]]/30*U418))</f>
        <v>0</v>
      </c>
      <c r="T418" s="53" t="e">
        <f>Tabla14[[#This Row],[DEUDA CAPITAL]]+Tabla14[[#This Row],[INTERES  CUOTA]]</f>
        <v>#NUM!</v>
      </c>
      <c r="U418" s="61" t="str">
        <f t="shared" si="79"/>
        <v/>
      </c>
    </row>
    <row r="419" spans="9:21" ht="24.75" customHeight="1" x14ac:dyDescent="0.35">
      <c r="I419" s="42">
        <f t="shared" si="70"/>
        <v>0</v>
      </c>
      <c r="J419" s="65" t="e">
        <f t="shared" si="71"/>
        <v>#NUM!</v>
      </c>
      <c r="K419" s="83" t="e">
        <f t="shared" si="72"/>
        <v>#NUM!</v>
      </c>
      <c r="L419" s="83">
        <f t="shared" si="73"/>
        <v>0</v>
      </c>
      <c r="M419" s="110" t="str">
        <f t="shared" si="74"/>
        <v/>
      </c>
      <c r="N419" s="51" t="str">
        <f t="shared" si="75"/>
        <v/>
      </c>
      <c r="O419" s="52" t="str">
        <f t="shared" si="76"/>
        <v/>
      </c>
      <c r="P419" s="88">
        <f t="shared" si="77"/>
        <v>0</v>
      </c>
      <c r="Q419" s="88">
        <f t="shared" si="78"/>
        <v>0</v>
      </c>
      <c r="R419" s="88" t="e">
        <f>-IF(Tabla14[[#This Row],[DIAS HABILES O MORA]]&lt;0,(Tabla14[[#This Row],[VALOR PRESTAMO]]*Tabla14[[#This Row],[% INTERES ]]/30*U419))+Tabla14[[#This Row],[VALOR CUOTAS]]</f>
        <v>#VALUE!</v>
      </c>
      <c r="S419" s="88">
        <f>-IF(Tabla14[[#This Row],[DIAS HABILES O MORA]]&lt;0,(Tabla14[[#This Row],[VALOR PRESTAMO]]*Tabla14[[#This Row],[% INTERES ]]/30*U419))</f>
        <v>0</v>
      </c>
      <c r="T419" s="53" t="e">
        <f>Tabla14[[#This Row],[DEUDA CAPITAL]]+Tabla14[[#This Row],[INTERES  CUOTA]]</f>
        <v>#NUM!</v>
      </c>
      <c r="U419" s="61" t="str">
        <f t="shared" si="79"/>
        <v/>
      </c>
    </row>
    <row r="420" spans="9:21" ht="24.75" customHeight="1" x14ac:dyDescent="0.35">
      <c r="I420" s="42">
        <f t="shared" si="70"/>
        <v>0</v>
      </c>
      <c r="J420" s="65" t="e">
        <f t="shared" si="71"/>
        <v>#NUM!</v>
      </c>
      <c r="K420" s="83" t="e">
        <f t="shared" si="72"/>
        <v>#NUM!</v>
      </c>
      <c r="L420" s="83">
        <f t="shared" si="73"/>
        <v>0</v>
      </c>
      <c r="M420" s="110" t="str">
        <f t="shared" si="74"/>
        <v/>
      </c>
      <c r="N420" s="51" t="str">
        <f t="shared" si="75"/>
        <v/>
      </c>
      <c r="O420" s="52" t="str">
        <f t="shared" si="76"/>
        <v/>
      </c>
      <c r="P420" s="88">
        <f t="shared" si="77"/>
        <v>0</v>
      </c>
      <c r="Q420" s="88">
        <f t="shared" si="78"/>
        <v>0</v>
      </c>
      <c r="R420" s="88" t="e">
        <f>-IF(Tabla14[[#This Row],[DIAS HABILES O MORA]]&lt;0,(Tabla14[[#This Row],[VALOR PRESTAMO]]*Tabla14[[#This Row],[% INTERES ]]/30*U420))+Tabla14[[#This Row],[VALOR CUOTAS]]</f>
        <v>#VALUE!</v>
      </c>
      <c r="S420" s="88">
        <f>-IF(Tabla14[[#This Row],[DIAS HABILES O MORA]]&lt;0,(Tabla14[[#This Row],[VALOR PRESTAMO]]*Tabla14[[#This Row],[% INTERES ]]/30*U420))</f>
        <v>0</v>
      </c>
      <c r="T420" s="53" t="e">
        <f>Tabla14[[#This Row],[DEUDA CAPITAL]]+Tabla14[[#This Row],[INTERES  CUOTA]]</f>
        <v>#NUM!</v>
      </c>
      <c r="U420" s="61" t="str">
        <f t="shared" si="79"/>
        <v/>
      </c>
    </row>
    <row r="421" spans="9:21" ht="24.75" customHeight="1" x14ac:dyDescent="0.35">
      <c r="I421" s="42">
        <f t="shared" si="70"/>
        <v>0</v>
      </c>
      <c r="J421" s="65" t="e">
        <f t="shared" si="71"/>
        <v>#NUM!</v>
      </c>
      <c r="K421" s="83" t="e">
        <f t="shared" si="72"/>
        <v>#NUM!</v>
      </c>
      <c r="L421" s="83">
        <f t="shared" si="73"/>
        <v>0</v>
      </c>
      <c r="M421" s="110" t="str">
        <f t="shared" si="74"/>
        <v/>
      </c>
      <c r="N421" s="51" t="str">
        <f t="shared" si="75"/>
        <v/>
      </c>
      <c r="O421" s="52" t="str">
        <f t="shared" si="76"/>
        <v/>
      </c>
      <c r="P421" s="88">
        <f t="shared" si="77"/>
        <v>0</v>
      </c>
      <c r="Q421" s="88">
        <f t="shared" si="78"/>
        <v>0</v>
      </c>
      <c r="R421" s="88" t="e">
        <f>-IF(Tabla14[[#This Row],[DIAS HABILES O MORA]]&lt;0,(Tabla14[[#This Row],[VALOR PRESTAMO]]*Tabla14[[#This Row],[% INTERES ]]/30*U421))+Tabla14[[#This Row],[VALOR CUOTAS]]</f>
        <v>#VALUE!</v>
      </c>
      <c r="S421" s="88">
        <f>-IF(Tabla14[[#This Row],[DIAS HABILES O MORA]]&lt;0,(Tabla14[[#This Row],[VALOR PRESTAMO]]*Tabla14[[#This Row],[% INTERES ]]/30*U421))</f>
        <v>0</v>
      </c>
      <c r="T421" s="53" t="e">
        <f>Tabla14[[#This Row],[DEUDA CAPITAL]]+Tabla14[[#This Row],[INTERES  CUOTA]]</f>
        <v>#NUM!</v>
      </c>
      <c r="U421" s="61" t="str">
        <f t="shared" si="79"/>
        <v/>
      </c>
    </row>
    <row r="422" spans="9:21" ht="24.75" customHeight="1" x14ac:dyDescent="0.35">
      <c r="I422" s="42">
        <f t="shared" si="70"/>
        <v>0</v>
      </c>
      <c r="J422" s="65" t="e">
        <f t="shared" si="71"/>
        <v>#NUM!</v>
      </c>
      <c r="K422" s="83" t="e">
        <f t="shared" si="72"/>
        <v>#NUM!</v>
      </c>
      <c r="L422" s="83">
        <f t="shared" si="73"/>
        <v>0</v>
      </c>
      <c r="M422" s="110" t="str">
        <f t="shared" si="74"/>
        <v/>
      </c>
      <c r="N422" s="51" t="str">
        <f t="shared" si="75"/>
        <v/>
      </c>
      <c r="O422" s="52" t="str">
        <f t="shared" si="76"/>
        <v/>
      </c>
      <c r="P422" s="88">
        <f t="shared" si="77"/>
        <v>0</v>
      </c>
      <c r="Q422" s="88">
        <f t="shared" si="78"/>
        <v>0</v>
      </c>
      <c r="R422" s="88" t="e">
        <f>-IF(Tabla14[[#This Row],[DIAS HABILES O MORA]]&lt;0,(Tabla14[[#This Row],[VALOR PRESTAMO]]*Tabla14[[#This Row],[% INTERES ]]/30*U422))+Tabla14[[#This Row],[VALOR CUOTAS]]</f>
        <v>#VALUE!</v>
      </c>
      <c r="S422" s="88">
        <f>-IF(Tabla14[[#This Row],[DIAS HABILES O MORA]]&lt;0,(Tabla14[[#This Row],[VALOR PRESTAMO]]*Tabla14[[#This Row],[% INTERES ]]/30*U422))</f>
        <v>0</v>
      </c>
      <c r="T422" s="53" t="e">
        <f>Tabla14[[#This Row],[DEUDA CAPITAL]]+Tabla14[[#This Row],[INTERES  CUOTA]]</f>
        <v>#NUM!</v>
      </c>
      <c r="U422" s="61" t="str">
        <f t="shared" si="79"/>
        <v/>
      </c>
    </row>
    <row r="423" spans="9:21" ht="24.75" customHeight="1" x14ac:dyDescent="0.35">
      <c r="I423" s="42">
        <f t="shared" si="70"/>
        <v>0</v>
      </c>
      <c r="J423" s="65" t="e">
        <f t="shared" si="71"/>
        <v>#NUM!</v>
      </c>
      <c r="K423" s="83" t="e">
        <f t="shared" si="72"/>
        <v>#NUM!</v>
      </c>
      <c r="L423" s="83">
        <f t="shared" si="73"/>
        <v>0</v>
      </c>
      <c r="M423" s="110" t="str">
        <f t="shared" si="74"/>
        <v/>
      </c>
      <c r="N423" s="51" t="str">
        <f t="shared" si="75"/>
        <v/>
      </c>
      <c r="O423" s="52" t="str">
        <f t="shared" si="76"/>
        <v/>
      </c>
      <c r="P423" s="88">
        <f t="shared" si="77"/>
        <v>0</v>
      </c>
      <c r="Q423" s="88">
        <f t="shared" si="78"/>
        <v>0</v>
      </c>
      <c r="R423" s="88" t="e">
        <f>-IF(Tabla14[[#This Row],[DIAS HABILES O MORA]]&lt;0,(Tabla14[[#This Row],[VALOR PRESTAMO]]*Tabla14[[#This Row],[% INTERES ]]/30*U423))+Tabla14[[#This Row],[VALOR CUOTAS]]</f>
        <v>#VALUE!</v>
      </c>
      <c r="S423" s="88">
        <f>-IF(Tabla14[[#This Row],[DIAS HABILES O MORA]]&lt;0,(Tabla14[[#This Row],[VALOR PRESTAMO]]*Tabla14[[#This Row],[% INTERES ]]/30*U423))</f>
        <v>0</v>
      </c>
      <c r="T423" s="53" t="e">
        <f>Tabla14[[#This Row],[DEUDA CAPITAL]]+Tabla14[[#This Row],[INTERES  CUOTA]]</f>
        <v>#NUM!</v>
      </c>
      <c r="U423" s="61" t="str">
        <f t="shared" si="79"/>
        <v/>
      </c>
    </row>
    <row r="424" spans="9:21" ht="24.75" customHeight="1" x14ac:dyDescent="0.35">
      <c r="I424" s="42">
        <f t="shared" si="70"/>
        <v>0</v>
      </c>
      <c r="J424" s="65" t="e">
        <f t="shared" si="71"/>
        <v>#NUM!</v>
      </c>
      <c r="K424" s="83" t="e">
        <f t="shared" si="72"/>
        <v>#NUM!</v>
      </c>
      <c r="L424" s="83">
        <f t="shared" si="73"/>
        <v>0</v>
      </c>
      <c r="M424" s="110" t="str">
        <f t="shared" si="74"/>
        <v/>
      </c>
      <c r="N424" s="51" t="str">
        <f t="shared" si="75"/>
        <v/>
      </c>
      <c r="O424" s="52" t="str">
        <f t="shared" si="76"/>
        <v/>
      </c>
      <c r="P424" s="88">
        <f t="shared" si="77"/>
        <v>0</v>
      </c>
      <c r="Q424" s="88">
        <f t="shared" si="78"/>
        <v>0</v>
      </c>
      <c r="R424" s="88" t="e">
        <f>-IF(Tabla14[[#This Row],[DIAS HABILES O MORA]]&lt;0,(Tabla14[[#This Row],[VALOR PRESTAMO]]*Tabla14[[#This Row],[% INTERES ]]/30*U424))+Tabla14[[#This Row],[VALOR CUOTAS]]</f>
        <v>#VALUE!</v>
      </c>
      <c r="S424" s="88">
        <f>-IF(Tabla14[[#This Row],[DIAS HABILES O MORA]]&lt;0,(Tabla14[[#This Row],[VALOR PRESTAMO]]*Tabla14[[#This Row],[% INTERES ]]/30*U424))</f>
        <v>0</v>
      </c>
      <c r="T424" s="53" t="e">
        <f>Tabla14[[#This Row],[DEUDA CAPITAL]]+Tabla14[[#This Row],[INTERES  CUOTA]]</f>
        <v>#NUM!</v>
      </c>
      <c r="U424" s="61" t="str">
        <f t="shared" si="79"/>
        <v/>
      </c>
    </row>
    <row r="425" spans="9:21" ht="24.75" customHeight="1" x14ac:dyDescent="0.35">
      <c r="I425" s="42">
        <f t="shared" si="70"/>
        <v>0</v>
      </c>
      <c r="J425" s="65" t="e">
        <f t="shared" si="71"/>
        <v>#NUM!</v>
      </c>
      <c r="K425" s="83" t="e">
        <f t="shared" si="72"/>
        <v>#NUM!</v>
      </c>
      <c r="L425" s="83">
        <f t="shared" si="73"/>
        <v>0</v>
      </c>
      <c r="M425" s="110" t="str">
        <f t="shared" si="74"/>
        <v/>
      </c>
      <c r="N425" s="51" t="str">
        <f t="shared" si="75"/>
        <v/>
      </c>
      <c r="O425" s="52" t="str">
        <f t="shared" si="76"/>
        <v/>
      </c>
      <c r="P425" s="88">
        <f t="shared" si="77"/>
        <v>0</v>
      </c>
      <c r="Q425" s="88">
        <f t="shared" si="78"/>
        <v>0</v>
      </c>
      <c r="R425" s="88" t="e">
        <f>-IF(Tabla14[[#This Row],[DIAS HABILES O MORA]]&lt;0,(Tabla14[[#This Row],[VALOR PRESTAMO]]*Tabla14[[#This Row],[% INTERES ]]/30*U425))+Tabla14[[#This Row],[VALOR CUOTAS]]</f>
        <v>#VALUE!</v>
      </c>
      <c r="S425" s="88">
        <f>-IF(Tabla14[[#This Row],[DIAS HABILES O MORA]]&lt;0,(Tabla14[[#This Row],[VALOR PRESTAMO]]*Tabla14[[#This Row],[% INTERES ]]/30*U425))</f>
        <v>0</v>
      </c>
      <c r="T425" s="53" t="e">
        <f>Tabla14[[#This Row],[DEUDA CAPITAL]]+Tabla14[[#This Row],[INTERES  CUOTA]]</f>
        <v>#NUM!</v>
      </c>
      <c r="U425" s="61" t="str">
        <f t="shared" si="79"/>
        <v/>
      </c>
    </row>
    <row r="426" spans="9:21" ht="24.75" customHeight="1" x14ac:dyDescent="0.35">
      <c r="I426" s="42">
        <f t="shared" si="70"/>
        <v>0</v>
      </c>
      <c r="J426" s="65" t="e">
        <f t="shared" si="71"/>
        <v>#NUM!</v>
      </c>
      <c r="K426" s="83" t="e">
        <f t="shared" si="72"/>
        <v>#NUM!</v>
      </c>
      <c r="L426" s="83">
        <f t="shared" si="73"/>
        <v>0</v>
      </c>
      <c r="M426" s="110" t="str">
        <f t="shared" si="74"/>
        <v/>
      </c>
      <c r="N426" s="51" t="str">
        <f t="shared" si="75"/>
        <v/>
      </c>
      <c r="O426" s="52" t="str">
        <f t="shared" si="76"/>
        <v/>
      </c>
      <c r="P426" s="88">
        <f t="shared" si="77"/>
        <v>0</v>
      </c>
      <c r="Q426" s="88">
        <f t="shared" si="78"/>
        <v>0</v>
      </c>
      <c r="R426" s="88" t="e">
        <f>-IF(Tabla14[[#This Row],[DIAS HABILES O MORA]]&lt;0,(Tabla14[[#This Row],[VALOR PRESTAMO]]*Tabla14[[#This Row],[% INTERES ]]/30*U426))+Tabla14[[#This Row],[VALOR CUOTAS]]</f>
        <v>#VALUE!</v>
      </c>
      <c r="S426" s="88">
        <f>-IF(Tabla14[[#This Row],[DIAS HABILES O MORA]]&lt;0,(Tabla14[[#This Row],[VALOR PRESTAMO]]*Tabla14[[#This Row],[% INTERES ]]/30*U426))</f>
        <v>0</v>
      </c>
      <c r="T426" s="53" t="e">
        <f>Tabla14[[#This Row],[DEUDA CAPITAL]]+Tabla14[[#This Row],[INTERES  CUOTA]]</f>
        <v>#NUM!</v>
      </c>
      <c r="U426" s="61" t="str">
        <f t="shared" si="79"/>
        <v/>
      </c>
    </row>
    <row r="427" spans="9:21" ht="24.75" customHeight="1" x14ac:dyDescent="0.35">
      <c r="I427" s="42">
        <f t="shared" si="70"/>
        <v>0</v>
      </c>
      <c r="J427" s="65" t="e">
        <f t="shared" si="71"/>
        <v>#NUM!</v>
      </c>
      <c r="K427" s="83" t="e">
        <f t="shared" si="72"/>
        <v>#NUM!</v>
      </c>
      <c r="L427" s="83">
        <f t="shared" si="73"/>
        <v>0</v>
      </c>
      <c r="M427" s="110" t="str">
        <f t="shared" si="74"/>
        <v/>
      </c>
      <c r="N427" s="51" t="str">
        <f t="shared" si="75"/>
        <v/>
      </c>
      <c r="O427" s="52" t="str">
        <f t="shared" si="76"/>
        <v/>
      </c>
      <c r="P427" s="88">
        <f t="shared" si="77"/>
        <v>0</v>
      </c>
      <c r="Q427" s="88">
        <f t="shared" si="78"/>
        <v>0</v>
      </c>
      <c r="R427" s="88" t="e">
        <f>-IF(Tabla14[[#This Row],[DIAS HABILES O MORA]]&lt;0,(Tabla14[[#This Row],[VALOR PRESTAMO]]*Tabla14[[#This Row],[% INTERES ]]/30*U427))+Tabla14[[#This Row],[VALOR CUOTAS]]</f>
        <v>#VALUE!</v>
      </c>
      <c r="S427" s="88">
        <f>-IF(Tabla14[[#This Row],[DIAS HABILES O MORA]]&lt;0,(Tabla14[[#This Row],[VALOR PRESTAMO]]*Tabla14[[#This Row],[% INTERES ]]/30*U427))</f>
        <v>0</v>
      </c>
      <c r="T427" s="53" t="e">
        <f>Tabla14[[#This Row],[DEUDA CAPITAL]]+Tabla14[[#This Row],[INTERES  CUOTA]]</f>
        <v>#NUM!</v>
      </c>
      <c r="U427" s="61" t="str">
        <f t="shared" si="79"/>
        <v/>
      </c>
    </row>
    <row r="428" spans="9:21" ht="24.75" customHeight="1" x14ac:dyDescent="0.35">
      <c r="I428" s="42">
        <f t="shared" si="70"/>
        <v>0</v>
      </c>
      <c r="J428" s="65" t="e">
        <f t="shared" si="71"/>
        <v>#NUM!</v>
      </c>
      <c r="K428" s="83" t="e">
        <f t="shared" si="72"/>
        <v>#NUM!</v>
      </c>
      <c r="L428" s="83">
        <f t="shared" si="73"/>
        <v>0</v>
      </c>
      <c r="M428" s="110" t="str">
        <f t="shared" si="74"/>
        <v/>
      </c>
      <c r="N428" s="51" t="str">
        <f t="shared" si="75"/>
        <v/>
      </c>
      <c r="O428" s="52" t="str">
        <f t="shared" si="76"/>
        <v/>
      </c>
      <c r="P428" s="88">
        <f t="shared" si="77"/>
        <v>0</v>
      </c>
      <c r="Q428" s="88">
        <f t="shared" si="78"/>
        <v>0</v>
      </c>
      <c r="R428" s="88" t="e">
        <f>-IF(Tabla14[[#This Row],[DIAS HABILES O MORA]]&lt;0,(Tabla14[[#This Row],[VALOR PRESTAMO]]*Tabla14[[#This Row],[% INTERES ]]/30*U428))+Tabla14[[#This Row],[VALOR CUOTAS]]</f>
        <v>#VALUE!</v>
      </c>
      <c r="S428" s="88">
        <f>-IF(Tabla14[[#This Row],[DIAS HABILES O MORA]]&lt;0,(Tabla14[[#This Row],[VALOR PRESTAMO]]*Tabla14[[#This Row],[% INTERES ]]/30*U428))</f>
        <v>0</v>
      </c>
      <c r="T428" s="53" t="e">
        <f>Tabla14[[#This Row],[DEUDA CAPITAL]]+Tabla14[[#This Row],[INTERES  CUOTA]]</f>
        <v>#NUM!</v>
      </c>
      <c r="U428" s="61" t="str">
        <f t="shared" si="79"/>
        <v/>
      </c>
    </row>
    <row r="429" spans="9:21" ht="24.75" customHeight="1" x14ac:dyDescent="0.35">
      <c r="I429" s="42">
        <f t="shared" si="70"/>
        <v>0</v>
      </c>
      <c r="J429" s="65" t="e">
        <f t="shared" si="71"/>
        <v>#NUM!</v>
      </c>
      <c r="K429" s="83" t="e">
        <f t="shared" si="72"/>
        <v>#NUM!</v>
      </c>
      <c r="L429" s="83">
        <f t="shared" si="73"/>
        <v>0</v>
      </c>
      <c r="M429" s="110" t="str">
        <f t="shared" si="74"/>
        <v/>
      </c>
      <c r="N429" s="51" t="str">
        <f t="shared" si="75"/>
        <v/>
      </c>
      <c r="O429" s="52" t="str">
        <f t="shared" si="76"/>
        <v/>
      </c>
      <c r="P429" s="88">
        <f t="shared" si="77"/>
        <v>0</v>
      </c>
      <c r="Q429" s="88">
        <f t="shared" si="78"/>
        <v>0</v>
      </c>
      <c r="R429" s="88" t="e">
        <f>-IF(Tabla14[[#This Row],[DIAS HABILES O MORA]]&lt;0,(Tabla14[[#This Row],[VALOR PRESTAMO]]*Tabla14[[#This Row],[% INTERES ]]/30*U429))+Tabla14[[#This Row],[VALOR CUOTAS]]</f>
        <v>#VALUE!</v>
      </c>
      <c r="S429" s="88">
        <f>-IF(Tabla14[[#This Row],[DIAS HABILES O MORA]]&lt;0,(Tabla14[[#This Row],[VALOR PRESTAMO]]*Tabla14[[#This Row],[% INTERES ]]/30*U429))</f>
        <v>0</v>
      </c>
      <c r="T429" s="53" t="e">
        <f>Tabla14[[#This Row],[DEUDA CAPITAL]]+Tabla14[[#This Row],[INTERES  CUOTA]]</f>
        <v>#NUM!</v>
      </c>
      <c r="U429" s="61" t="str">
        <f t="shared" si="79"/>
        <v/>
      </c>
    </row>
    <row r="430" spans="9:21" ht="24.75" customHeight="1" x14ac:dyDescent="0.35">
      <c r="I430" s="42">
        <f t="shared" si="70"/>
        <v>0</v>
      </c>
      <c r="J430" s="65" t="e">
        <f t="shared" si="71"/>
        <v>#NUM!</v>
      </c>
      <c r="K430" s="83" t="e">
        <f t="shared" si="72"/>
        <v>#NUM!</v>
      </c>
      <c r="L430" s="83">
        <f t="shared" si="73"/>
        <v>0</v>
      </c>
      <c r="M430" s="110" t="str">
        <f t="shared" si="74"/>
        <v/>
      </c>
      <c r="N430" s="51" t="str">
        <f t="shared" si="75"/>
        <v/>
      </c>
      <c r="O430" s="52" t="str">
        <f t="shared" si="76"/>
        <v/>
      </c>
      <c r="P430" s="88">
        <f t="shared" si="77"/>
        <v>0</v>
      </c>
      <c r="Q430" s="88">
        <f t="shared" si="78"/>
        <v>0</v>
      </c>
      <c r="R430" s="88" t="e">
        <f>-IF(Tabla14[[#This Row],[DIAS HABILES O MORA]]&lt;0,(Tabla14[[#This Row],[VALOR PRESTAMO]]*Tabla14[[#This Row],[% INTERES ]]/30*U430))+Tabla14[[#This Row],[VALOR CUOTAS]]</f>
        <v>#VALUE!</v>
      </c>
      <c r="S430" s="88">
        <f>-IF(Tabla14[[#This Row],[DIAS HABILES O MORA]]&lt;0,(Tabla14[[#This Row],[VALOR PRESTAMO]]*Tabla14[[#This Row],[% INTERES ]]/30*U430))</f>
        <v>0</v>
      </c>
      <c r="T430" s="53" t="e">
        <f>Tabla14[[#This Row],[DEUDA CAPITAL]]+Tabla14[[#This Row],[INTERES  CUOTA]]</f>
        <v>#NUM!</v>
      </c>
      <c r="U430" s="61" t="str">
        <f t="shared" si="79"/>
        <v/>
      </c>
    </row>
    <row r="431" spans="9:21" ht="24.75" customHeight="1" x14ac:dyDescent="0.35">
      <c r="I431" s="42">
        <f t="shared" si="70"/>
        <v>0</v>
      </c>
      <c r="J431" s="65" t="e">
        <f t="shared" si="71"/>
        <v>#NUM!</v>
      </c>
      <c r="K431" s="83" t="e">
        <f t="shared" si="72"/>
        <v>#NUM!</v>
      </c>
      <c r="L431" s="83">
        <f t="shared" si="73"/>
        <v>0</v>
      </c>
      <c r="M431" s="110" t="str">
        <f t="shared" si="74"/>
        <v/>
      </c>
      <c r="N431" s="51" t="str">
        <f t="shared" si="75"/>
        <v/>
      </c>
      <c r="O431" s="52" t="str">
        <f t="shared" si="76"/>
        <v/>
      </c>
      <c r="P431" s="88">
        <f t="shared" si="77"/>
        <v>0</v>
      </c>
      <c r="Q431" s="88">
        <f t="shared" si="78"/>
        <v>0</v>
      </c>
      <c r="R431" s="88" t="e">
        <f>-IF(Tabla14[[#This Row],[DIAS HABILES O MORA]]&lt;0,(Tabla14[[#This Row],[VALOR PRESTAMO]]*Tabla14[[#This Row],[% INTERES ]]/30*U431))+Tabla14[[#This Row],[VALOR CUOTAS]]</f>
        <v>#VALUE!</v>
      </c>
      <c r="S431" s="88">
        <f>-IF(Tabla14[[#This Row],[DIAS HABILES O MORA]]&lt;0,(Tabla14[[#This Row],[VALOR PRESTAMO]]*Tabla14[[#This Row],[% INTERES ]]/30*U431))</f>
        <v>0</v>
      </c>
      <c r="T431" s="53" t="e">
        <f>Tabla14[[#This Row],[DEUDA CAPITAL]]+Tabla14[[#This Row],[INTERES  CUOTA]]</f>
        <v>#NUM!</v>
      </c>
      <c r="U431" s="61" t="str">
        <f t="shared" si="79"/>
        <v/>
      </c>
    </row>
    <row r="432" spans="9:21" ht="24.75" customHeight="1" x14ac:dyDescent="0.35">
      <c r="I432" s="42">
        <f t="shared" si="70"/>
        <v>0</v>
      </c>
      <c r="J432" s="65" t="e">
        <f t="shared" si="71"/>
        <v>#NUM!</v>
      </c>
      <c r="K432" s="83" t="e">
        <f t="shared" si="72"/>
        <v>#NUM!</v>
      </c>
      <c r="L432" s="83">
        <f t="shared" si="73"/>
        <v>0</v>
      </c>
      <c r="M432" s="110" t="str">
        <f t="shared" si="74"/>
        <v/>
      </c>
      <c r="N432" s="51" t="str">
        <f t="shared" si="75"/>
        <v/>
      </c>
      <c r="O432" s="52" t="str">
        <f t="shared" si="76"/>
        <v/>
      </c>
      <c r="P432" s="88">
        <f t="shared" si="77"/>
        <v>0</v>
      </c>
      <c r="Q432" s="88">
        <f t="shared" si="78"/>
        <v>0</v>
      </c>
      <c r="R432" s="88" t="e">
        <f>-IF(Tabla14[[#This Row],[DIAS HABILES O MORA]]&lt;0,(Tabla14[[#This Row],[VALOR PRESTAMO]]*Tabla14[[#This Row],[% INTERES ]]/30*U432))+Tabla14[[#This Row],[VALOR CUOTAS]]</f>
        <v>#VALUE!</v>
      </c>
      <c r="S432" s="88">
        <f>-IF(Tabla14[[#This Row],[DIAS HABILES O MORA]]&lt;0,(Tabla14[[#This Row],[VALOR PRESTAMO]]*Tabla14[[#This Row],[% INTERES ]]/30*U432))</f>
        <v>0</v>
      </c>
      <c r="T432" s="53" t="e">
        <f>Tabla14[[#This Row],[DEUDA CAPITAL]]+Tabla14[[#This Row],[INTERES  CUOTA]]</f>
        <v>#NUM!</v>
      </c>
      <c r="U432" s="61" t="str">
        <f t="shared" si="79"/>
        <v/>
      </c>
    </row>
    <row r="433" spans="9:21" ht="24.75" customHeight="1" x14ac:dyDescent="0.35">
      <c r="I433" s="42">
        <f t="shared" si="70"/>
        <v>0</v>
      </c>
      <c r="J433" s="65" t="e">
        <f t="shared" si="71"/>
        <v>#NUM!</v>
      </c>
      <c r="K433" s="83" t="e">
        <f t="shared" si="72"/>
        <v>#NUM!</v>
      </c>
      <c r="L433" s="83">
        <f t="shared" si="73"/>
        <v>0</v>
      </c>
      <c r="M433" s="110" t="str">
        <f t="shared" si="74"/>
        <v/>
      </c>
      <c r="N433" s="51" t="str">
        <f t="shared" si="75"/>
        <v/>
      </c>
      <c r="O433" s="52" t="str">
        <f t="shared" si="76"/>
        <v/>
      </c>
      <c r="P433" s="88">
        <f t="shared" si="77"/>
        <v>0</v>
      </c>
      <c r="Q433" s="88">
        <f t="shared" si="78"/>
        <v>0</v>
      </c>
      <c r="R433" s="88" t="e">
        <f>-IF(Tabla14[[#This Row],[DIAS HABILES O MORA]]&lt;0,(Tabla14[[#This Row],[VALOR PRESTAMO]]*Tabla14[[#This Row],[% INTERES ]]/30*U433))+Tabla14[[#This Row],[VALOR CUOTAS]]</f>
        <v>#VALUE!</v>
      </c>
      <c r="S433" s="88">
        <f>-IF(Tabla14[[#This Row],[DIAS HABILES O MORA]]&lt;0,(Tabla14[[#This Row],[VALOR PRESTAMO]]*Tabla14[[#This Row],[% INTERES ]]/30*U433))</f>
        <v>0</v>
      </c>
      <c r="T433" s="53" t="e">
        <f>Tabla14[[#This Row],[DEUDA CAPITAL]]+Tabla14[[#This Row],[INTERES  CUOTA]]</f>
        <v>#NUM!</v>
      </c>
      <c r="U433" s="61" t="str">
        <f t="shared" si="79"/>
        <v/>
      </c>
    </row>
    <row r="434" spans="9:21" ht="24.75" customHeight="1" x14ac:dyDescent="0.35">
      <c r="I434" s="42">
        <f t="shared" si="70"/>
        <v>0</v>
      </c>
      <c r="J434" s="65" t="e">
        <f t="shared" si="71"/>
        <v>#NUM!</v>
      </c>
      <c r="K434" s="83" t="e">
        <f t="shared" si="72"/>
        <v>#NUM!</v>
      </c>
      <c r="L434" s="83">
        <f t="shared" si="73"/>
        <v>0</v>
      </c>
      <c r="M434" s="110" t="str">
        <f t="shared" si="74"/>
        <v/>
      </c>
      <c r="N434" s="51" t="str">
        <f t="shared" si="75"/>
        <v/>
      </c>
      <c r="O434" s="52" t="str">
        <f t="shared" si="76"/>
        <v/>
      </c>
      <c r="P434" s="88">
        <f t="shared" si="77"/>
        <v>0</v>
      </c>
      <c r="Q434" s="88">
        <f t="shared" si="78"/>
        <v>0</v>
      </c>
      <c r="R434" s="88" t="e">
        <f>-IF(Tabla14[[#This Row],[DIAS HABILES O MORA]]&lt;0,(Tabla14[[#This Row],[VALOR PRESTAMO]]*Tabla14[[#This Row],[% INTERES ]]/30*U434))+Tabla14[[#This Row],[VALOR CUOTAS]]</f>
        <v>#VALUE!</v>
      </c>
      <c r="S434" s="88">
        <f>-IF(Tabla14[[#This Row],[DIAS HABILES O MORA]]&lt;0,(Tabla14[[#This Row],[VALOR PRESTAMO]]*Tabla14[[#This Row],[% INTERES ]]/30*U434))</f>
        <v>0</v>
      </c>
      <c r="T434" s="53" t="e">
        <f>Tabla14[[#This Row],[DEUDA CAPITAL]]+Tabla14[[#This Row],[INTERES  CUOTA]]</f>
        <v>#NUM!</v>
      </c>
      <c r="U434" s="61" t="str">
        <f t="shared" si="79"/>
        <v/>
      </c>
    </row>
    <row r="435" spans="9:21" ht="24.75" customHeight="1" x14ac:dyDescent="0.35">
      <c r="I435" s="42">
        <f t="shared" si="70"/>
        <v>0</v>
      </c>
      <c r="J435" s="65" t="e">
        <f t="shared" si="71"/>
        <v>#NUM!</v>
      </c>
      <c r="K435" s="83" t="e">
        <f t="shared" si="72"/>
        <v>#NUM!</v>
      </c>
      <c r="L435" s="83">
        <f t="shared" si="73"/>
        <v>0</v>
      </c>
      <c r="M435" s="110" t="str">
        <f t="shared" si="74"/>
        <v/>
      </c>
      <c r="N435" s="51" t="str">
        <f t="shared" si="75"/>
        <v/>
      </c>
      <c r="O435" s="52" t="str">
        <f t="shared" si="76"/>
        <v/>
      </c>
      <c r="P435" s="88">
        <f t="shared" si="77"/>
        <v>0</v>
      </c>
      <c r="Q435" s="88">
        <f t="shared" si="78"/>
        <v>0</v>
      </c>
      <c r="R435" s="88" t="e">
        <f>-IF(Tabla14[[#This Row],[DIAS HABILES O MORA]]&lt;0,(Tabla14[[#This Row],[VALOR PRESTAMO]]*Tabla14[[#This Row],[% INTERES ]]/30*U435))+Tabla14[[#This Row],[VALOR CUOTAS]]</f>
        <v>#VALUE!</v>
      </c>
      <c r="S435" s="88">
        <f>-IF(Tabla14[[#This Row],[DIAS HABILES O MORA]]&lt;0,(Tabla14[[#This Row],[VALOR PRESTAMO]]*Tabla14[[#This Row],[% INTERES ]]/30*U435))</f>
        <v>0</v>
      </c>
      <c r="T435" s="53" t="e">
        <f>Tabla14[[#This Row],[DEUDA CAPITAL]]+Tabla14[[#This Row],[INTERES  CUOTA]]</f>
        <v>#NUM!</v>
      </c>
      <c r="U435" s="61" t="str">
        <f t="shared" si="79"/>
        <v/>
      </c>
    </row>
    <row r="436" spans="9:21" ht="24.75" customHeight="1" x14ac:dyDescent="0.35">
      <c r="I436" s="42">
        <f t="shared" si="70"/>
        <v>0</v>
      </c>
      <c r="J436" s="65" t="e">
        <f t="shared" si="71"/>
        <v>#NUM!</v>
      </c>
      <c r="K436" s="83" t="e">
        <f t="shared" si="72"/>
        <v>#NUM!</v>
      </c>
      <c r="L436" s="83">
        <f t="shared" si="73"/>
        <v>0</v>
      </c>
      <c r="M436" s="110" t="str">
        <f t="shared" si="74"/>
        <v/>
      </c>
      <c r="N436" s="51" t="str">
        <f t="shared" si="75"/>
        <v/>
      </c>
      <c r="O436" s="52" t="str">
        <f t="shared" si="76"/>
        <v/>
      </c>
      <c r="P436" s="88">
        <f t="shared" si="77"/>
        <v>0</v>
      </c>
      <c r="Q436" s="88">
        <f t="shared" si="78"/>
        <v>0</v>
      </c>
      <c r="R436" s="88" t="e">
        <f>-IF(Tabla14[[#This Row],[DIAS HABILES O MORA]]&lt;0,(Tabla14[[#This Row],[VALOR PRESTAMO]]*Tabla14[[#This Row],[% INTERES ]]/30*U436))+Tabla14[[#This Row],[VALOR CUOTAS]]</f>
        <v>#VALUE!</v>
      </c>
      <c r="S436" s="88">
        <f>-IF(Tabla14[[#This Row],[DIAS HABILES O MORA]]&lt;0,(Tabla14[[#This Row],[VALOR PRESTAMO]]*Tabla14[[#This Row],[% INTERES ]]/30*U436))</f>
        <v>0</v>
      </c>
      <c r="T436" s="53" t="e">
        <f>Tabla14[[#This Row],[DEUDA CAPITAL]]+Tabla14[[#This Row],[INTERES  CUOTA]]</f>
        <v>#NUM!</v>
      </c>
      <c r="U436" s="61" t="str">
        <f t="shared" si="79"/>
        <v/>
      </c>
    </row>
    <row r="437" spans="9:21" ht="24.75" customHeight="1" x14ac:dyDescent="0.35">
      <c r="I437" s="42">
        <f t="shared" si="70"/>
        <v>0</v>
      </c>
      <c r="J437" s="65" t="e">
        <f t="shared" si="71"/>
        <v>#NUM!</v>
      </c>
      <c r="K437" s="83" t="e">
        <f t="shared" si="72"/>
        <v>#NUM!</v>
      </c>
      <c r="L437" s="83">
        <f t="shared" si="73"/>
        <v>0</v>
      </c>
      <c r="M437" s="110" t="str">
        <f t="shared" si="74"/>
        <v/>
      </c>
      <c r="N437" s="51" t="str">
        <f t="shared" si="75"/>
        <v/>
      </c>
      <c r="O437" s="52" t="str">
        <f t="shared" si="76"/>
        <v/>
      </c>
      <c r="P437" s="88">
        <f t="shared" si="77"/>
        <v>0</v>
      </c>
      <c r="Q437" s="88">
        <f t="shared" si="78"/>
        <v>0</v>
      </c>
      <c r="R437" s="88" t="e">
        <f>-IF(Tabla14[[#This Row],[DIAS HABILES O MORA]]&lt;0,(Tabla14[[#This Row],[VALOR PRESTAMO]]*Tabla14[[#This Row],[% INTERES ]]/30*U437))+Tabla14[[#This Row],[VALOR CUOTAS]]</f>
        <v>#VALUE!</v>
      </c>
      <c r="S437" s="88">
        <f>-IF(Tabla14[[#This Row],[DIAS HABILES O MORA]]&lt;0,(Tabla14[[#This Row],[VALOR PRESTAMO]]*Tabla14[[#This Row],[% INTERES ]]/30*U437))</f>
        <v>0</v>
      </c>
      <c r="T437" s="53" t="e">
        <f>Tabla14[[#This Row],[DEUDA CAPITAL]]+Tabla14[[#This Row],[INTERES  CUOTA]]</f>
        <v>#NUM!</v>
      </c>
      <c r="U437" s="61" t="str">
        <f t="shared" si="79"/>
        <v/>
      </c>
    </row>
    <row r="438" spans="9:21" ht="24.75" customHeight="1" x14ac:dyDescent="0.35">
      <c r="I438" s="42">
        <f t="shared" si="70"/>
        <v>0</v>
      </c>
      <c r="J438" s="65" t="e">
        <f t="shared" si="71"/>
        <v>#NUM!</v>
      </c>
      <c r="K438" s="83" t="e">
        <f t="shared" si="72"/>
        <v>#NUM!</v>
      </c>
      <c r="L438" s="83">
        <f t="shared" si="73"/>
        <v>0</v>
      </c>
      <c r="M438" s="110" t="str">
        <f t="shared" si="74"/>
        <v/>
      </c>
      <c r="N438" s="51" t="str">
        <f t="shared" si="75"/>
        <v/>
      </c>
      <c r="O438" s="52" t="str">
        <f t="shared" si="76"/>
        <v/>
      </c>
      <c r="P438" s="88">
        <f t="shared" si="77"/>
        <v>0</v>
      </c>
      <c r="Q438" s="88">
        <f t="shared" si="78"/>
        <v>0</v>
      </c>
      <c r="R438" s="88" t="e">
        <f>-IF(Tabla14[[#This Row],[DIAS HABILES O MORA]]&lt;0,(Tabla14[[#This Row],[VALOR PRESTAMO]]*Tabla14[[#This Row],[% INTERES ]]/30*U438))+Tabla14[[#This Row],[VALOR CUOTAS]]</f>
        <v>#VALUE!</v>
      </c>
      <c r="S438" s="88">
        <f>-IF(Tabla14[[#This Row],[DIAS HABILES O MORA]]&lt;0,(Tabla14[[#This Row],[VALOR PRESTAMO]]*Tabla14[[#This Row],[% INTERES ]]/30*U438))</f>
        <v>0</v>
      </c>
      <c r="T438" s="53" t="e">
        <f>Tabla14[[#This Row],[DEUDA CAPITAL]]+Tabla14[[#This Row],[INTERES  CUOTA]]</f>
        <v>#NUM!</v>
      </c>
      <c r="U438" s="61" t="str">
        <f t="shared" si="79"/>
        <v/>
      </c>
    </row>
    <row r="439" spans="9:21" ht="24.75" customHeight="1" x14ac:dyDescent="0.35">
      <c r="I439" s="42">
        <f t="shared" si="70"/>
        <v>0</v>
      </c>
      <c r="J439" s="65" t="e">
        <f t="shared" si="71"/>
        <v>#NUM!</v>
      </c>
      <c r="K439" s="83" t="e">
        <f t="shared" si="72"/>
        <v>#NUM!</v>
      </c>
      <c r="L439" s="83">
        <f t="shared" si="73"/>
        <v>0</v>
      </c>
      <c r="M439" s="110" t="str">
        <f t="shared" si="74"/>
        <v/>
      </c>
      <c r="N439" s="51" t="str">
        <f t="shared" si="75"/>
        <v/>
      </c>
      <c r="O439" s="52" t="str">
        <f t="shared" si="76"/>
        <v/>
      </c>
      <c r="P439" s="88">
        <f t="shared" si="77"/>
        <v>0</v>
      </c>
      <c r="Q439" s="88">
        <f t="shared" si="78"/>
        <v>0</v>
      </c>
      <c r="R439" s="88" t="e">
        <f>-IF(Tabla14[[#This Row],[DIAS HABILES O MORA]]&lt;0,(Tabla14[[#This Row],[VALOR PRESTAMO]]*Tabla14[[#This Row],[% INTERES ]]/30*U439))+Tabla14[[#This Row],[VALOR CUOTAS]]</f>
        <v>#VALUE!</v>
      </c>
      <c r="S439" s="88">
        <f>-IF(Tabla14[[#This Row],[DIAS HABILES O MORA]]&lt;0,(Tabla14[[#This Row],[VALOR PRESTAMO]]*Tabla14[[#This Row],[% INTERES ]]/30*U439))</f>
        <v>0</v>
      </c>
      <c r="T439" s="53" t="e">
        <f>Tabla14[[#This Row],[DEUDA CAPITAL]]+Tabla14[[#This Row],[INTERES  CUOTA]]</f>
        <v>#NUM!</v>
      </c>
      <c r="U439" s="61" t="str">
        <f t="shared" si="79"/>
        <v/>
      </c>
    </row>
    <row r="440" spans="9:21" ht="24.75" customHeight="1" x14ac:dyDescent="0.35">
      <c r="I440" s="42">
        <f t="shared" si="70"/>
        <v>0</v>
      </c>
      <c r="J440" s="65" t="e">
        <f t="shared" si="71"/>
        <v>#NUM!</v>
      </c>
      <c r="K440" s="83" t="e">
        <f t="shared" si="72"/>
        <v>#NUM!</v>
      </c>
      <c r="L440" s="83">
        <f t="shared" si="73"/>
        <v>0</v>
      </c>
      <c r="M440" s="110" t="str">
        <f t="shared" si="74"/>
        <v/>
      </c>
      <c r="N440" s="51" t="str">
        <f t="shared" si="75"/>
        <v/>
      </c>
      <c r="O440" s="52" t="str">
        <f t="shared" si="76"/>
        <v/>
      </c>
      <c r="P440" s="88">
        <f t="shared" si="77"/>
        <v>0</v>
      </c>
      <c r="Q440" s="88">
        <f t="shared" si="78"/>
        <v>0</v>
      </c>
      <c r="R440" s="88" t="e">
        <f>-IF(Tabla14[[#This Row],[DIAS HABILES O MORA]]&lt;0,(Tabla14[[#This Row],[VALOR PRESTAMO]]*Tabla14[[#This Row],[% INTERES ]]/30*U440))+Tabla14[[#This Row],[VALOR CUOTAS]]</f>
        <v>#VALUE!</v>
      </c>
      <c r="S440" s="88">
        <f>-IF(Tabla14[[#This Row],[DIAS HABILES O MORA]]&lt;0,(Tabla14[[#This Row],[VALOR PRESTAMO]]*Tabla14[[#This Row],[% INTERES ]]/30*U440))</f>
        <v>0</v>
      </c>
      <c r="T440" s="53" t="e">
        <f>Tabla14[[#This Row],[DEUDA CAPITAL]]+Tabla14[[#This Row],[INTERES  CUOTA]]</f>
        <v>#NUM!</v>
      </c>
      <c r="U440" s="61" t="str">
        <f t="shared" si="79"/>
        <v/>
      </c>
    </row>
    <row r="441" spans="9:21" ht="24.75" customHeight="1" x14ac:dyDescent="0.35">
      <c r="I441" s="42">
        <f t="shared" si="70"/>
        <v>0</v>
      </c>
      <c r="J441" s="65" t="e">
        <f t="shared" si="71"/>
        <v>#NUM!</v>
      </c>
      <c r="K441" s="83" t="e">
        <f t="shared" si="72"/>
        <v>#NUM!</v>
      </c>
      <c r="L441" s="83">
        <f t="shared" si="73"/>
        <v>0</v>
      </c>
      <c r="M441" s="110" t="str">
        <f t="shared" si="74"/>
        <v/>
      </c>
      <c r="N441" s="51" t="str">
        <f t="shared" si="75"/>
        <v/>
      </c>
      <c r="O441" s="52" t="str">
        <f t="shared" si="76"/>
        <v/>
      </c>
      <c r="P441" s="88">
        <f t="shared" si="77"/>
        <v>0</v>
      </c>
      <c r="Q441" s="88">
        <f t="shared" si="78"/>
        <v>0</v>
      </c>
      <c r="R441" s="88" t="e">
        <f>-IF(Tabla14[[#This Row],[DIAS HABILES O MORA]]&lt;0,(Tabla14[[#This Row],[VALOR PRESTAMO]]*Tabla14[[#This Row],[% INTERES ]]/30*U441))+Tabla14[[#This Row],[VALOR CUOTAS]]</f>
        <v>#VALUE!</v>
      </c>
      <c r="S441" s="88">
        <f>-IF(Tabla14[[#This Row],[DIAS HABILES O MORA]]&lt;0,(Tabla14[[#This Row],[VALOR PRESTAMO]]*Tabla14[[#This Row],[% INTERES ]]/30*U441))</f>
        <v>0</v>
      </c>
      <c r="T441" s="53" t="e">
        <f>Tabla14[[#This Row],[DEUDA CAPITAL]]+Tabla14[[#This Row],[INTERES  CUOTA]]</f>
        <v>#NUM!</v>
      </c>
      <c r="U441" s="61" t="str">
        <f t="shared" si="79"/>
        <v/>
      </c>
    </row>
    <row r="442" spans="9:21" ht="24.75" customHeight="1" x14ac:dyDescent="0.35">
      <c r="I442" s="42">
        <f t="shared" si="70"/>
        <v>0</v>
      </c>
      <c r="J442" s="65" t="e">
        <f t="shared" si="71"/>
        <v>#NUM!</v>
      </c>
      <c r="K442" s="83" t="e">
        <f t="shared" si="72"/>
        <v>#NUM!</v>
      </c>
      <c r="L442" s="83">
        <f t="shared" si="73"/>
        <v>0</v>
      </c>
      <c r="M442" s="110" t="str">
        <f t="shared" si="74"/>
        <v/>
      </c>
      <c r="N442" s="51" t="str">
        <f t="shared" si="75"/>
        <v/>
      </c>
      <c r="O442" s="52" t="str">
        <f t="shared" si="76"/>
        <v/>
      </c>
      <c r="P442" s="88">
        <f t="shared" si="77"/>
        <v>0</v>
      </c>
      <c r="Q442" s="88">
        <f t="shared" si="78"/>
        <v>0</v>
      </c>
      <c r="R442" s="88" t="e">
        <f>-IF(Tabla14[[#This Row],[DIAS HABILES O MORA]]&lt;0,(Tabla14[[#This Row],[VALOR PRESTAMO]]*Tabla14[[#This Row],[% INTERES ]]/30*U442))+Tabla14[[#This Row],[VALOR CUOTAS]]</f>
        <v>#VALUE!</v>
      </c>
      <c r="S442" s="88">
        <f>-IF(Tabla14[[#This Row],[DIAS HABILES O MORA]]&lt;0,(Tabla14[[#This Row],[VALOR PRESTAMO]]*Tabla14[[#This Row],[% INTERES ]]/30*U442))</f>
        <v>0</v>
      </c>
      <c r="T442" s="53" t="e">
        <f>Tabla14[[#This Row],[DEUDA CAPITAL]]+Tabla14[[#This Row],[INTERES  CUOTA]]</f>
        <v>#NUM!</v>
      </c>
      <c r="U442" s="61" t="str">
        <f t="shared" si="79"/>
        <v/>
      </c>
    </row>
    <row r="443" spans="9:21" ht="24.75" customHeight="1" x14ac:dyDescent="0.35">
      <c r="I443" s="42">
        <f t="shared" si="70"/>
        <v>0</v>
      </c>
      <c r="J443" s="65" t="e">
        <f t="shared" si="71"/>
        <v>#NUM!</v>
      </c>
      <c r="K443" s="83" t="e">
        <f t="shared" si="72"/>
        <v>#NUM!</v>
      </c>
      <c r="L443" s="83">
        <f t="shared" si="73"/>
        <v>0</v>
      </c>
      <c r="M443" s="110" t="str">
        <f t="shared" si="74"/>
        <v/>
      </c>
      <c r="N443" s="51" t="str">
        <f t="shared" si="75"/>
        <v/>
      </c>
      <c r="O443" s="52" t="str">
        <f t="shared" si="76"/>
        <v/>
      </c>
      <c r="P443" s="88">
        <f t="shared" si="77"/>
        <v>0</v>
      </c>
      <c r="Q443" s="88">
        <f t="shared" si="78"/>
        <v>0</v>
      </c>
      <c r="R443" s="88" t="e">
        <f>-IF(Tabla14[[#This Row],[DIAS HABILES O MORA]]&lt;0,(Tabla14[[#This Row],[VALOR PRESTAMO]]*Tabla14[[#This Row],[% INTERES ]]/30*U443))+Tabla14[[#This Row],[VALOR CUOTAS]]</f>
        <v>#VALUE!</v>
      </c>
      <c r="S443" s="88">
        <f>-IF(Tabla14[[#This Row],[DIAS HABILES O MORA]]&lt;0,(Tabla14[[#This Row],[VALOR PRESTAMO]]*Tabla14[[#This Row],[% INTERES ]]/30*U443))</f>
        <v>0</v>
      </c>
      <c r="T443" s="53" t="e">
        <f>Tabla14[[#This Row],[DEUDA CAPITAL]]+Tabla14[[#This Row],[INTERES  CUOTA]]</f>
        <v>#NUM!</v>
      </c>
      <c r="U443" s="61" t="str">
        <f t="shared" si="79"/>
        <v/>
      </c>
    </row>
    <row r="444" spans="9:21" ht="24.75" customHeight="1" x14ac:dyDescent="0.35">
      <c r="I444" s="42">
        <f t="shared" si="70"/>
        <v>0</v>
      </c>
      <c r="J444" s="65" t="e">
        <f t="shared" si="71"/>
        <v>#NUM!</v>
      </c>
      <c r="K444" s="83" t="e">
        <f t="shared" si="72"/>
        <v>#NUM!</v>
      </c>
      <c r="L444" s="83">
        <f t="shared" si="73"/>
        <v>0</v>
      </c>
      <c r="M444" s="110" t="str">
        <f t="shared" si="74"/>
        <v/>
      </c>
      <c r="N444" s="51" t="str">
        <f t="shared" si="75"/>
        <v/>
      </c>
      <c r="O444" s="52" t="str">
        <f t="shared" si="76"/>
        <v/>
      </c>
      <c r="P444" s="88">
        <f t="shared" si="77"/>
        <v>0</v>
      </c>
      <c r="Q444" s="88">
        <f t="shared" si="78"/>
        <v>0</v>
      </c>
      <c r="R444" s="88" t="e">
        <f>-IF(Tabla14[[#This Row],[DIAS HABILES O MORA]]&lt;0,(Tabla14[[#This Row],[VALOR PRESTAMO]]*Tabla14[[#This Row],[% INTERES ]]/30*U444))+Tabla14[[#This Row],[VALOR CUOTAS]]</f>
        <v>#VALUE!</v>
      </c>
      <c r="S444" s="88">
        <f>-IF(Tabla14[[#This Row],[DIAS HABILES O MORA]]&lt;0,(Tabla14[[#This Row],[VALOR PRESTAMO]]*Tabla14[[#This Row],[% INTERES ]]/30*U444))</f>
        <v>0</v>
      </c>
      <c r="T444" s="53" t="e">
        <f>Tabla14[[#This Row],[DEUDA CAPITAL]]+Tabla14[[#This Row],[INTERES  CUOTA]]</f>
        <v>#NUM!</v>
      </c>
      <c r="U444" s="61" t="str">
        <f t="shared" si="79"/>
        <v/>
      </c>
    </row>
    <row r="445" spans="9:21" ht="24.75" customHeight="1" x14ac:dyDescent="0.35">
      <c r="I445" s="42">
        <f t="shared" si="70"/>
        <v>0</v>
      </c>
      <c r="J445" s="65" t="e">
        <f t="shared" si="71"/>
        <v>#NUM!</v>
      </c>
      <c r="K445" s="83" t="e">
        <f t="shared" si="72"/>
        <v>#NUM!</v>
      </c>
      <c r="L445" s="83">
        <f t="shared" si="73"/>
        <v>0</v>
      </c>
      <c r="M445" s="110" t="str">
        <f t="shared" si="74"/>
        <v/>
      </c>
      <c r="N445" s="51" t="str">
        <f t="shared" si="75"/>
        <v/>
      </c>
      <c r="O445" s="52" t="str">
        <f t="shared" si="76"/>
        <v/>
      </c>
      <c r="P445" s="88">
        <f t="shared" si="77"/>
        <v>0</v>
      </c>
      <c r="Q445" s="88">
        <f t="shared" si="78"/>
        <v>0</v>
      </c>
      <c r="R445" s="88" t="e">
        <f>-IF(Tabla14[[#This Row],[DIAS HABILES O MORA]]&lt;0,(Tabla14[[#This Row],[VALOR PRESTAMO]]*Tabla14[[#This Row],[% INTERES ]]/30*U445))+Tabla14[[#This Row],[VALOR CUOTAS]]</f>
        <v>#VALUE!</v>
      </c>
      <c r="S445" s="88">
        <f>-IF(Tabla14[[#This Row],[DIAS HABILES O MORA]]&lt;0,(Tabla14[[#This Row],[VALOR PRESTAMO]]*Tabla14[[#This Row],[% INTERES ]]/30*U445))</f>
        <v>0</v>
      </c>
      <c r="T445" s="53" t="e">
        <f>Tabla14[[#This Row],[DEUDA CAPITAL]]+Tabla14[[#This Row],[INTERES  CUOTA]]</f>
        <v>#NUM!</v>
      </c>
      <c r="U445" s="61" t="str">
        <f t="shared" si="79"/>
        <v/>
      </c>
    </row>
    <row r="446" spans="9:21" ht="24.75" customHeight="1" x14ac:dyDescent="0.35">
      <c r="I446" s="42">
        <f t="shared" si="70"/>
        <v>0</v>
      </c>
      <c r="J446" s="65" t="e">
        <f t="shared" si="71"/>
        <v>#NUM!</v>
      </c>
      <c r="K446" s="83" t="e">
        <f t="shared" si="72"/>
        <v>#NUM!</v>
      </c>
      <c r="L446" s="83">
        <f t="shared" si="73"/>
        <v>0</v>
      </c>
      <c r="M446" s="110" t="str">
        <f t="shared" si="74"/>
        <v/>
      </c>
      <c r="N446" s="51" t="str">
        <f t="shared" si="75"/>
        <v/>
      </c>
      <c r="O446" s="52" t="str">
        <f t="shared" si="76"/>
        <v/>
      </c>
      <c r="P446" s="88">
        <f t="shared" si="77"/>
        <v>0</v>
      </c>
      <c r="Q446" s="88">
        <f t="shared" si="78"/>
        <v>0</v>
      </c>
      <c r="R446" s="88" t="e">
        <f>-IF(Tabla14[[#This Row],[DIAS HABILES O MORA]]&lt;0,(Tabla14[[#This Row],[VALOR PRESTAMO]]*Tabla14[[#This Row],[% INTERES ]]/30*U446))+Tabla14[[#This Row],[VALOR CUOTAS]]</f>
        <v>#VALUE!</v>
      </c>
      <c r="S446" s="88">
        <f>-IF(Tabla14[[#This Row],[DIAS HABILES O MORA]]&lt;0,(Tabla14[[#This Row],[VALOR PRESTAMO]]*Tabla14[[#This Row],[% INTERES ]]/30*U446))</f>
        <v>0</v>
      </c>
      <c r="T446" s="53" t="e">
        <f>Tabla14[[#This Row],[DEUDA CAPITAL]]+Tabla14[[#This Row],[INTERES  CUOTA]]</f>
        <v>#NUM!</v>
      </c>
      <c r="U446" s="61" t="str">
        <f t="shared" si="79"/>
        <v/>
      </c>
    </row>
    <row r="447" spans="9:21" ht="24.75" customHeight="1" x14ac:dyDescent="0.35">
      <c r="I447" s="42">
        <f t="shared" si="70"/>
        <v>0</v>
      </c>
      <c r="J447" s="65" t="e">
        <f t="shared" si="71"/>
        <v>#NUM!</v>
      </c>
      <c r="K447" s="83" t="e">
        <f t="shared" si="72"/>
        <v>#NUM!</v>
      </c>
      <c r="L447" s="83">
        <f t="shared" si="73"/>
        <v>0</v>
      </c>
      <c r="M447" s="110" t="str">
        <f t="shared" si="74"/>
        <v/>
      </c>
      <c r="N447" s="51" t="str">
        <f t="shared" si="75"/>
        <v/>
      </c>
      <c r="O447" s="52" t="str">
        <f t="shared" si="76"/>
        <v/>
      </c>
      <c r="P447" s="88">
        <f t="shared" si="77"/>
        <v>0</v>
      </c>
      <c r="Q447" s="88">
        <f t="shared" si="78"/>
        <v>0</v>
      </c>
      <c r="R447" s="88" t="e">
        <f>-IF(Tabla14[[#This Row],[DIAS HABILES O MORA]]&lt;0,(Tabla14[[#This Row],[VALOR PRESTAMO]]*Tabla14[[#This Row],[% INTERES ]]/30*U447))+Tabla14[[#This Row],[VALOR CUOTAS]]</f>
        <v>#VALUE!</v>
      </c>
      <c r="S447" s="88">
        <f>-IF(Tabla14[[#This Row],[DIAS HABILES O MORA]]&lt;0,(Tabla14[[#This Row],[VALOR PRESTAMO]]*Tabla14[[#This Row],[% INTERES ]]/30*U447))</f>
        <v>0</v>
      </c>
      <c r="T447" s="53" t="e">
        <f>Tabla14[[#This Row],[DEUDA CAPITAL]]+Tabla14[[#This Row],[INTERES  CUOTA]]</f>
        <v>#NUM!</v>
      </c>
      <c r="U447" s="61" t="str">
        <f t="shared" si="79"/>
        <v/>
      </c>
    </row>
    <row r="448" spans="9:21" ht="24.75" customHeight="1" x14ac:dyDescent="0.35">
      <c r="I448" s="42">
        <f t="shared" si="70"/>
        <v>0</v>
      </c>
      <c r="J448" s="65" t="e">
        <f t="shared" si="71"/>
        <v>#NUM!</v>
      </c>
      <c r="K448" s="83" t="e">
        <f t="shared" si="72"/>
        <v>#NUM!</v>
      </c>
      <c r="L448" s="83">
        <f t="shared" si="73"/>
        <v>0</v>
      </c>
      <c r="M448" s="110" t="str">
        <f t="shared" si="74"/>
        <v/>
      </c>
      <c r="N448" s="51" t="str">
        <f t="shared" si="75"/>
        <v/>
      </c>
      <c r="O448" s="52" t="str">
        <f t="shared" si="76"/>
        <v/>
      </c>
      <c r="P448" s="88">
        <f t="shared" si="77"/>
        <v>0</v>
      </c>
      <c r="Q448" s="88">
        <f t="shared" si="78"/>
        <v>0</v>
      </c>
      <c r="R448" s="88" t="e">
        <f>-IF(Tabla14[[#This Row],[DIAS HABILES O MORA]]&lt;0,(Tabla14[[#This Row],[VALOR PRESTAMO]]*Tabla14[[#This Row],[% INTERES ]]/30*U448))+Tabla14[[#This Row],[VALOR CUOTAS]]</f>
        <v>#VALUE!</v>
      </c>
      <c r="S448" s="88">
        <f>-IF(Tabla14[[#This Row],[DIAS HABILES O MORA]]&lt;0,(Tabla14[[#This Row],[VALOR PRESTAMO]]*Tabla14[[#This Row],[% INTERES ]]/30*U448))</f>
        <v>0</v>
      </c>
      <c r="T448" s="53" t="e">
        <f>Tabla14[[#This Row],[DEUDA CAPITAL]]+Tabla14[[#This Row],[INTERES  CUOTA]]</f>
        <v>#NUM!</v>
      </c>
      <c r="U448" s="61" t="str">
        <f t="shared" si="79"/>
        <v/>
      </c>
    </row>
    <row r="449" spans="9:21" ht="24.75" customHeight="1" x14ac:dyDescent="0.35">
      <c r="I449" s="42">
        <f t="shared" si="70"/>
        <v>0</v>
      </c>
      <c r="J449" s="65" t="e">
        <f t="shared" si="71"/>
        <v>#NUM!</v>
      </c>
      <c r="K449" s="83" t="e">
        <f t="shared" si="72"/>
        <v>#NUM!</v>
      </c>
      <c r="L449" s="83">
        <f t="shared" si="73"/>
        <v>0</v>
      </c>
      <c r="M449" s="110" t="str">
        <f t="shared" si="74"/>
        <v/>
      </c>
      <c r="N449" s="51" t="str">
        <f t="shared" si="75"/>
        <v/>
      </c>
      <c r="O449" s="52" t="str">
        <f t="shared" si="76"/>
        <v/>
      </c>
      <c r="P449" s="88">
        <f t="shared" si="77"/>
        <v>0</v>
      </c>
      <c r="Q449" s="88">
        <f t="shared" si="78"/>
        <v>0</v>
      </c>
      <c r="R449" s="88" t="e">
        <f>-IF(Tabla14[[#This Row],[DIAS HABILES O MORA]]&lt;0,(Tabla14[[#This Row],[VALOR PRESTAMO]]*Tabla14[[#This Row],[% INTERES ]]/30*U449))+Tabla14[[#This Row],[VALOR CUOTAS]]</f>
        <v>#VALUE!</v>
      </c>
      <c r="S449" s="88">
        <f>-IF(Tabla14[[#This Row],[DIAS HABILES O MORA]]&lt;0,(Tabla14[[#This Row],[VALOR PRESTAMO]]*Tabla14[[#This Row],[% INTERES ]]/30*U449))</f>
        <v>0</v>
      </c>
      <c r="T449" s="53" t="e">
        <f>Tabla14[[#This Row],[DEUDA CAPITAL]]+Tabla14[[#This Row],[INTERES  CUOTA]]</f>
        <v>#NUM!</v>
      </c>
      <c r="U449" s="61" t="str">
        <f t="shared" si="79"/>
        <v/>
      </c>
    </row>
    <row r="450" spans="9:21" ht="24.75" customHeight="1" x14ac:dyDescent="0.35">
      <c r="I450" s="42">
        <f t="shared" si="70"/>
        <v>0</v>
      </c>
      <c r="J450" s="65" t="e">
        <f t="shared" si="71"/>
        <v>#NUM!</v>
      </c>
      <c r="K450" s="83" t="e">
        <f t="shared" si="72"/>
        <v>#NUM!</v>
      </c>
      <c r="L450" s="83">
        <f t="shared" si="73"/>
        <v>0</v>
      </c>
      <c r="M450" s="110" t="str">
        <f t="shared" si="74"/>
        <v/>
      </c>
      <c r="N450" s="51" t="str">
        <f t="shared" si="75"/>
        <v/>
      </c>
      <c r="O450" s="52" t="str">
        <f t="shared" si="76"/>
        <v/>
      </c>
      <c r="P450" s="88">
        <f t="shared" si="77"/>
        <v>0</v>
      </c>
      <c r="Q450" s="88">
        <f t="shared" si="78"/>
        <v>0</v>
      </c>
      <c r="R450" s="88" t="e">
        <f>-IF(Tabla14[[#This Row],[DIAS HABILES O MORA]]&lt;0,(Tabla14[[#This Row],[VALOR PRESTAMO]]*Tabla14[[#This Row],[% INTERES ]]/30*U450))+Tabla14[[#This Row],[VALOR CUOTAS]]</f>
        <v>#VALUE!</v>
      </c>
      <c r="S450" s="88">
        <f>-IF(Tabla14[[#This Row],[DIAS HABILES O MORA]]&lt;0,(Tabla14[[#This Row],[VALOR PRESTAMO]]*Tabla14[[#This Row],[% INTERES ]]/30*U450))</f>
        <v>0</v>
      </c>
      <c r="T450" s="53" t="e">
        <f>Tabla14[[#This Row],[DEUDA CAPITAL]]+Tabla14[[#This Row],[INTERES  CUOTA]]</f>
        <v>#NUM!</v>
      </c>
      <c r="U450" s="61" t="str">
        <f t="shared" si="79"/>
        <v/>
      </c>
    </row>
    <row r="451" spans="9:21" ht="24.75" customHeight="1" x14ac:dyDescent="0.35">
      <c r="I451" s="42">
        <f t="shared" si="70"/>
        <v>0</v>
      </c>
      <c r="J451" s="65" t="e">
        <f t="shared" si="71"/>
        <v>#NUM!</v>
      </c>
      <c r="K451" s="83" t="e">
        <f t="shared" si="72"/>
        <v>#NUM!</v>
      </c>
      <c r="L451" s="83">
        <f t="shared" si="73"/>
        <v>0</v>
      </c>
      <c r="M451" s="110" t="str">
        <f t="shared" si="74"/>
        <v/>
      </c>
      <c r="N451" s="51" t="str">
        <f t="shared" si="75"/>
        <v/>
      </c>
      <c r="O451" s="52" t="str">
        <f t="shared" si="76"/>
        <v/>
      </c>
      <c r="P451" s="88">
        <f t="shared" si="77"/>
        <v>0</v>
      </c>
      <c r="Q451" s="88">
        <f t="shared" si="78"/>
        <v>0</v>
      </c>
      <c r="R451" s="88" t="e">
        <f>-IF(Tabla14[[#This Row],[DIAS HABILES O MORA]]&lt;0,(Tabla14[[#This Row],[VALOR PRESTAMO]]*Tabla14[[#This Row],[% INTERES ]]/30*U451))+Tabla14[[#This Row],[VALOR CUOTAS]]</f>
        <v>#VALUE!</v>
      </c>
      <c r="S451" s="88">
        <f>-IF(Tabla14[[#This Row],[DIAS HABILES O MORA]]&lt;0,(Tabla14[[#This Row],[VALOR PRESTAMO]]*Tabla14[[#This Row],[% INTERES ]]/30*U451))</f>
        <v>0</v>
      </c>
      <c r="T451" s="53" t="e">
        <f>Tabla14[[#This Row],[DEUDA CAPITAL]]+Tabla14[[#This Row],[INTERES  CUOTA]]</f>
        <v>#NUM!</v>
      </c>
      <c r="U451" s="61" t="str">
        <f t="shared" si="79"/>
        <v/>
      </c>
    </row>
    <row r="452" spans="9:21" ht="24.75" customHeight="1" x14ac:dyDescent="0.35">
      <c r="I452" s="42">
        <f t="shared" si="70"/>
        <v>0</v>
      </c>
      <c r="J452" s="65" t="e">
        <f t="shared" si="71"/>
        <v>#NUM!</v>
      </c>
      <c r="K452" s="83" t="e">
        <f t="shared" si="72"/>
        <v>#NUM!</v>
      </c>
      <c r="L452" s="83">
        <f t="shared" si="73"/>
        <v>0</v>
      </c>
      <c r="M452" s="110" t="str">
        <f t="shared" si="74"/>
        <v/>
      </c>
      <c r="N452" s="51" t="str">
        <f t="shared" si="75"/>
        <v/>
      </c>
      <c r="O452" s="52" t="str">
        <f t="shared" si="76"/>
        <v/>
      </c>
      <c r="P452" s="88">
        <f t="shared" si="77"/>
        <v>0</v>
      </c>
      <c r="Q452" s="88">
        <f t="shared" si="78"/>
        <v>0</v>
      </c>
      <c r="R452" s="88" t="e">
        <f>-IF(Tabla14[[#This Row],[DIAS HABILES O MORA]]&lt;0,(Tabla14[[#This Row],[VALOR PRESTAMO]]*Tabla14[[#This Row],[% INTERES ]]/30*U452))+Tabla14[[#This Row],[VALOR CUOTAS]]</f>
        <v>#VALUE!</v>
      </c>
      <c r="S452" s="88">
        <f>-IF(Tabla14[[#This Row],[DIAS HABILES O MORA]]&lt;0,(Tabla14[[#This Row],[VALOR PRESTAMO]]*Tabla14[[#This Row],[% INTERES ]]/30*U452))</f>
        <v>0</v>
      </c>
      <c r="T452" s="53" t="e">
        <f>Tabla14[[#This Row],[DEUDA CAPITAL]]+Tabla14[[#This Row],[INTERES  CUOTA]]</f>
        <v>#NUM!</v>
      </c>
      <c r="U452" s="61" t="str">
        <f t="shared" si="79"/>
        <v/>
      </c>
    </row>
    <row r="453" spans="9:21" ht="24.75" customHeight="1" x14ac:dyDescent="0.35">
      <c r="I453" s="42">
        <f t="shared" si="70"/>
        <v>0</v>
      </c>
      <c r="J453" s="65" t="e">
        <f t="shared" si="71"/>
        <v>#NUM!</v>
      </c>
      <c r="K453" s="83" t="e">
        <f t="shared" si="72"/>
        <v>#NUM!</v>
      </c>
      <c r="L453" s="83">
        <f t="shared" si="73"/>
        <v>0</v>
      </c>
      <c r="M453" s="110" t="str">
        <f t="shared" si="74"/>
        <v/>
      </c>
      <c r="N453" s="51" t="str">
        <f t="shared" si="75"/>
        <v/>
      </c>
      <c r="O453" s="52" t="str">
        <f t="shared" si="76"/>
        <v/>
      </c>
      <c r="P453" s="88">
        <f t="shared" si="77"/>
        <v>0</v>
      </c>
      <c r="Q453" s="88">
        <f t="shared" si="78"/>
        <v>0</v>
      </c>
      <c r="R453" s="88" t="e">
        <f>-IF(Tabla14[[#This Row],[DIAS HABILES O MORA]]&lt;0,(Tabla14[[#This Row],[VALOR PRESTAMO]]*Tabla14[[#This Row],[% INTERES ]]/30*U453))+Tabla14[[#This Row],[VALOR CUOTAS]]</f>
        <v>#VALUE!</v>
      </c>
      <c r="S453" s="88">
        <f>-IF(Tabla14[[#This Row],[DIAS HABILES O MORA]]&lt;0,(Tabla14[[#This Row],[VALOR PRESTAMO]]*Tabla14[[#This Row],[% INTERES ]]/30*U453))</f>
        <v>0</v>
      </c>
      <c r="T453" s="53" t="e">
        <f>Tabla14[[#This Row],[DEUDA CAPITAL]]+Tabla14[[#This Row],[INTERES  CUOTA]]</f>
        <v>#NUM!</v>
      </c>
      <c r="U453" s="61" t="str">
        <f t="shared" si="79"/>
        <v/>
      </c>
    </row>
    <row r="454" spans="9:21" ht="24.75" customHeight="1" x14ac:dyDescent="0.35">
      <c r="I454" s="42">
        <f t="shared" si="70"/>
        <v>0</v>
      </c>
      <c r="J454" s="65" t="e">
        <f t="shared" si="71"/>
        <v>#NUM!</v>
      </c>
      <c r="K454" s="83" t="e">
        <f t="shared" si="72"/>
        <v>#NUM!</v>
      </c>
      <c r="L454" s="83">
        <f t="shared" si="73"/>
        <v>0</v>
      </c>
      <c r="M454" s="110" t="str">
        <f t="shared" si="74"/>
        <v/>
      </c>
      <c r="N454" s="51" t="str">
        <f t="shared" si="75"/>
        <v/>
      </c>
      <c r="O454" s="52" t="str">
        <f t="shared" si="76"/>
        <v/>
      </c>
      <c r="P454" s="88">
        <f t="shared" si="77"/>
        <v>0</v>
      </c>
      <c r="Q454" s="88">
        <f t="shared" si="78"/>
        <v>0</v>
      </c>
      <c r="R454" s="88" t="e">
        <f>-IF(Tabla14[[#This Row],[DIAS HABILES O MORA]]&lt;0,(Tabla14[[#This Row],[VALOR PRESTAMO]]*Tabla14[[#This Row],[% INTERES ]]/30*U454))+Tabla14[[#This Row],[VALOR CUOTAS]]</f>
        <v>#VALUE!</v>
      </c>
      <c r="S454" s="88">
        <f>-IF(Tabla14[[#This Row],[DIAS HABILES O MORA]]&lt;0,(Tabla14[[#This Row],[VALOR PRESTAMO]]*Tabla14[[#This Row],[% INTERES ]]/30*U454))</f>
        <v>0</v>
      </c>
      <c r="T454" s="53" t="e">
        <f>Tabla14[[#This Row],[DEUDA CAPITAL]]+Tabla14[[#This Row],[INTERES  CUOTA]]</f>
        <v>#NUM!</v>
      </c>
      <c r="U454" s="61" t="str">
        <f t="shared" si="79"/>
        <v/>
      </c>
    </row>
    <row r="455" spans="9:21" ht="24.75" customHeight="1" x14ac:dyDescent="0.35">
      <c r="I455" s="42">
        <f t="shared" si="70"/>
        <v>0</v>
      </c>
      <c r="J455" s="65" t="e">
        <f t="shared" si="71"/>
        <v>#NUM!</v>
      </c>
      <c r="K455" s="83" t="e">
        <f t="shared" si="72"/>
        <v>#NUM!</v>
      </c>
      <c r="L455" s="83">
        <f t="shared" si="73"/>
        <v>0</v>
      </c>
      <c r="M455" s="110" t="str">
        <f t="shared" si="74"/>
        <v/>
      </c>
      <c r="N455" s="51" t="str">
        <f t="shared" si="75"/>
        <v/>
      </c>
      <c r="O455" s="52" t="str">
        <f t="shared" si="76"/>
        <v/>
      </c>
      <c r="P455" s="88">
        <f t="shared" si="77"/>
        <v>0</v>
      </c>
      <c r="Q455" s="88">
        <f t="shared" si="78"/>
        <v>0</v>
      </c>
      <c r="R455" s="88" t="e">
        <f>-IF(Tabla14[[#This Row],[DIAS HABILES O MORA]]&lt;0,(Tabla14[[#This Row],[VALOR PRESTAMO]]*Tabla14[[#This Row],[% INTERES ]]/30*U455))+Tabla14[[#This Row],[VALOR CUOTAS]]</f>
        <v>#VALUE!</v>
      </c>
      <c r="S455" s="88">
        <f>-IF(Tabla14[[#This Row],[DIAS HABILES O MORA]]&lt;0,(Tabla14[[#This Row],[VALOR PRESTAMO]]*Tabla14[[#This Row],[% INTERES ]]/30*U455))</f>
        <v>0</v>
      </c>
      <c r="T455" s="53" t="e">
        <f>Tabla14[[#This Row],[DEUDA CAPITAL]]+Tabla14[[#This Row],[INTERES  CUOTA]]</f>
        <v>#NUM!</v>
      </c>
      <c r="U455" s="61" t="str">
        <f t="shared" si="79"/>
        <v/>
      </c>
    </row>
    <row r="456" spans="9:21" ht="24.75" customHeight="1" x14ac:dyDescent="0.35">
      <c r="I456" s="42">
        <f t="shared" si="70"/>
        <v>0</v>
      </c>
      <c r="J456" s="65" t="e">
        <f t="shared" si="71"/>
        <v>#NUM!</v>
      </c>
      <c r="K456" s="83" t="e">
        <f t="shared" si="72"/>
        <v>#NUM!</v>
      </c>
      <c r="L456" s="83">
        <f t="shared" si="73"/>
        <v>0</v>
      </c>
      <c r="M456" s="110" t="str">
        <f t="shared" si="74"/>
        <v/>
      </c>
      <c r="N456" s="51" t="str">
        <f t="shared" si="75"/>
        <v/>
      </c>
      <c r="O456" s="52" t="str">
        <f t="shared" si="76"/>
        <v/>
      </c>
      <c r="P456" s="88">
        <f t="shared" si="77"/>
        <v>0</v>
      </c>
      <c r="Q456" s="88">
        <f t="shared" si="78"/>
        <v>0</v>
      </c>
      <c r="R456" s="88" t="e">
        <f>-IF(Tabla14[[#This Row],[DIAS HABILES O MORA]]&lt;0,(Tabla14[[#This Row],[VALOR PRESTAMO]]*Tabla14[[#This Row],[% INTERES ]]/30*U456))+Tabla14[[#This Row],[VALOR CUOTAS]]</f>
        <v>#VALUE!</v>
      </c>
      <c r="S456" s="88">
        <f>-IF(Tabla14[[#This Row],[DIAS HABILES O MORA]]&lt;0,(Tabla14[[#This Row],[VALOR PRESTAMO]]*Tabla14[[#This Row],[% INTERES ]]/30*U456))</f>
        <v>0</v>
      </c>
      <c r="T456" s="53" t="e">
        <f>Tabla14[[#This Row],[DEUDA CAPITAL]]+Tabla14[[#This Row],[INTERES  CUOTA]]</f>
        <v>#NUM!</v>
      </c>
      <c r="U456" s="61" t="str">
        <f t="shared" si="79"/>
        <v/>
      </c>
    </row>
    <row r="457" spans="9:21" ht="24.75" customHeight="1" x14ac:dyDescent="0.35">
      <c r="I457" s="42">
        <f t="shared" si="70"/>
        <v>0</v>
      </c>
      <c r="J457" s="65" t="e">
        <f t="shared" si="71"/>
        <v>#NUM!</v>
      </c>
      <c r="K457" s="83" t="e">
        <f t="shared" si="72"/>
        <v>#NUM!</v>
      </c>
      <c r="L457" s="83">
        <f t="shared" si="73"/>
        <v>0</v>
      </c>
      <c r="M457" s="110" t="str">
        <f t="shared" si="74"/>
        <v/>
      </c>
      <c r="N457" s="51" t="str">
        <f t="shared" si="75"/>
        <v/>
      </c>
      <c r="O457" s="52" t="str">
        <f t="shared" si="76"/>
        <v/>
      </c>
      <c r="P457" s="88">
        <f t="shared" si="77"/>
        <v>0</v>
      </c>
      <c r="Q457" s="88">
        <f t="shared" si="78"/>
        <v>0</v>
      </c>
      <c r="R457" s="88" t="e">
        <f>-IF(Tabla14[[#This Row],[DIAS HABILES O MORA]]&lt;0,(Tabla14[[#This Row],[VALOR PRESTAMO]]*Tabla14[[#This Row],[% INTERES ]]/30*U457))+Tabla14[[#This Row],[VALOR CUOTAS]]</f>
        <v>#VALUE!</v>
      </c>
      <c r="S457" s="88">
        <f>-IF(Tabla14[[#This Row],[DIAS HABILES O MORA]]&lt;0,(Tabla14[[#This Row],[VALOR PRESTAMO]]*Tabla14[[#This Row],[% INTERES ]]/30*U457))</f>
        <v>0</v>
      </c>
      <c r="T457" s="53" t="e">
        <f>Tabla14[[#This Row],[DEUDA CAPITAL]]+Tabla14[[#This Row],[INTERES  CUOTA]]</f>
        <v>#NUM!</v>
      </c>
      <c r="U457" s="61" t="str">
        <f t="shared" si="79"/>
        <v/>
      </c>
    </row>
    <row r="458" spans="9:21" ht="24.75" customHeight="1" x14ac:dyDescent="0.35">
      <c r="I458" s="42">
        <f t="shared" si="70"/>
        <v>0</v>
      </c>
      <c r="J458" s="65" t="e">
        <f t="shared" si="71"/>
        <v>#NUM!</v>
      </c>
      <c r="K458" s="83" t="e">
        <f t="shared" si="72"/>
        <v>#NUM!</v>
      </c>
      <c r="L458" s="83">
        <f t="shared" si="73"/>
        <v>0</v>
      </c>
      <c r="M458" s="110" t="str">
        <f t="shared" si="74"/>
        <v/>
      </c>
      <c r="N458" s="51" t="str">
        <f t="shared" si="75"/>
        <v/>
      </c>
      <c r="O458" s="52" t="str">
        <f t="shared" si="76"/>
        <v/>
      </c>
      <c r="P458" s="88">
        <f t="shared" si="77"/>
        <v>0</v>
      </c>
      <c r="Q458" s="88">
        <f t="shared" si="78"/>
        <v>0</v>
      </c>
      <c r="R458" s="88" t="e">
        <f>-IF(Tabla14[[#This Row],[DIAS HABILES O MORA]]&lt;0,(Tabla14[[#This Row],[VALOR PRESTAMO]]*Tabla14[[#This Row],[% INTERES ]]/30*U458))+Tabla14[[#This Row],[VALOR CUOTAS]]</f>
        <v>#VALUE!</v>
      </c>
      <c r="S458" s="88">
        <f>-IF(Tabla14[[#This Row],[DIAS HABILES O MORA]]&lt;0,(Tabla14[[#This Row],[VALOR PRESTAMO]]*Tabla14[[#This Row],[% INTERES ]]/30*U458))</f>
        <v>0</v>
      </c>
      <c r="T458" s="53" t="e">
        <f>Tabla14[[#This Row],[DEUDA CAPITAL]]+Tabla14[[#This Row],[INTERES  CUOTA]]</f>
        <v>#NUM!</v>
      </c>
      <c r="U458" s="61" t="str">
        <f t="shared" si="79"/>
        <v/>
      </c>
    </row>
    <row r="459" spans="9:21" ht="24.75" customHeight="1" x14ac:dyDescent="0.35">
      <c r="I459" s="42">
        <f t="shared" si="70"/>
        <v>0</v>
      </c>
      <c r="J459" s="65" t="e">
        <f t="shared" si="71"/>
        <v>#NUM!</v>
      </c>
      <c r="K459" s="83" t="e">
        <f t="shared" si="72"/>
        <v>#NUM!</v>
      </c>
      <c r="L459" s="83">
        <f t="shared" si="73"/>
        <v>0</v>
      </c>
      <c r="M459" s="110" t="str">
        <f t="shared" si="74"/>
        <v/>
      </c>
      <c r="N459" s="51" t="str">
        <f t="shared" si="75"/>
        <v/>
      </c>
      <c r="O459" s="52" t="str">
        <f t="shared" si="76"/>
        <v/>
      </c>
      <c r="P459" s="88">
        <f t="shared" si="77"/>
        <v>0</v>
      </c>
      <c r="Q459" s="88">
        <f t="shared" si="78"/>
        <v>0</v>
      </c>
      <c r="R459" s="88" t="e">
        <f>-IF(Tabla14[[#This Row],[DIAS HABILES O MORA]]&lt;0,(Tabla14[[#This Row],[VALOR PRESTAMO]]*Tabla14[[#This Row],[% INTERES ]]/30*U459))+Tabla14[[#This Row],[VALOR CUOTAS]]</f>
        <v>#VALUE!</v>
      </c>
      <c r="S459" s="88">
        <f>-IF(Tabla14[[#This Row],[DIAS HABILES O MORA]]&lt;0,(Tabla14[[#This Row],[VALOR PRESTAMO]]*Tabla14[[#This Row],[% INTERES ]]/30*U459))</f>
        <v>0</v>
      </c>
      <c r="T459" s="53" t="e">
        <f>Tabla14[[#This Row],[DEUDA CAPITAL]]+Tabla14[[#This Row],[INTERES  CUOTA]]</f>
        <v>#NUM!</v>
      </c>
      <c r="U459" s="61" t="str">
        <f t="shared" si="79"/>
        <v/>
      </c>
    </row>
    <row r="460" spans="9:21" ht="24.75" customHeight="1" x14ac:dyDescent="0.35">
      <c r="I460" s="42">
        <f t="shared" si="70"/>
        <v>0</v>
      </c>
      <c r="J460" s="65" t="e">
        <f t="shared" si="71"/>
        <v>#NUM!</v>
      </c>
      <c r="K460" s="83" t="e">
        <f t="shared" si="72"/>
        <v>#NUM!</v>
      </c>
      <c r="L460" s="83">
        <f t="shared" si="73"/>
        <v>0</v>
      </c>
      <c r="M460" s="110" t="str">
        <f t="shared" si="74"/>
        <v/>
      </c>
      <c r="N460" s="51" t="str">
        <f t="shared" si="75"/>
        <v/>
      </c>
      <c r="O460" s="52" t="str">
        <f t="shared" si="76"/>
        <v/>
      </c>
      <c r="P460" s="88">
        <f t="shared" si="77"/>
        <v>0</v>
      </c>
      <c r="Q460" s="88">
        <f t="shared" si="78"/>
        <v>0</v>
      </c>
      <c r="R460" s="88" t="e">
        <f>-IF(Tabla14[[#This Row],[DIAS HABILES O MORA]]&lt;0,(Tabla14[[#This Row],[VALOR PRESTAMO]]*Tabla14[[#This Row],[% INTERES ]]/30*U460))+Tabla14[[#This Row],[VALOR CUOTAS]]</f>
        <v>#VALUE!</v>
      </c>
      <c r="S460" s="88">
        <f>-IF(Tabla14[[#This Row],[DIAS HABILES O MORA]]&lt;0,(Tabla14[[#This Row],[VALOR PRESTAMO]]*Tabla14[[#This Row],[% INTERES ]]/30*U460))</f>
        <v>0</v>
      </c>
      <c r="T460" s="53" t="e">
        <f>Tabla14[[#This Row],[DEUDA CAPITAL]]+Tabla14[[#This Row],[INTERES  CUOTA]]</f>
        <v>#NUM!</v>
      </c>
      <c r="U460" s="61" t="str">
        <f t="shared" si="79"/>
        <v/>
      </c>
    </row>
    <row r="461" spans="9:21" ht="24.75" customHeight="1" x14ac:dyDescent="0.35">
      <c r="I461" s="42">
        <f t="shared" si="70"/>
        <v>0</v>
      </c>
      <c r="J461" s="65" t="e">
        <f t="shared" si="71"/>
        <v>#NUM!</v>
      </c>
      <c r="K461" s="83" t="e">
        <f t="shared" si="72"/>
        <v>#NUM!</v>
      </c>
      <c r="L461" s="83">
        <f t="shared" si="73"/>
        <v>0</v>
      </c>
      <c r="M461" s="110" t="str">
        <f t="shared" si="74"/>
        <v/>
      </c>
      <c r="N461" s="51" t="str">
        <f t="shared" si="75"/>
        <v/>
      </c>
      <c r="O461" s="52" t="str">
        <f t="shared" si="76"/>
        <v/>
      </c>
      <c r="P461" s="88">
        <f t="shared" si="77"/>
        <v>0</v>
      </c>
      <c r="Q461" s="88">
        <f t="shared" si="78"/>
        <v>0</v>
      </c>
      <c r="R461" s="88" t="e">
        <f>-IF(Tabla14[[#This Row],[DIAS HABILES O MORA]]&lt;0,(Tabla14[[#This Row],[VALOR PRESTAMO]]*Tabla14[[#This Row],[% INTERES ]]/30*U461))+Tabla14[[#This Row],[VALOR CUOTAS]]</f>
        <v>#VALUE!</v>
      </c>
      <c r="S461" s="88">
        <f>-IF(Tabla14[[#This Row],[DIAS HABILES O MORA]]&lt;0,(Tabla14[[#This Row],[VALOR PRESTAMO]]*Tabla14[[#This Row],[% INTERES ]]/30*U461))</f>
        <v>0</v>
      </c>
      <c r="T461" s="53" t="e">
        <f>Tabla14[[#This Row],[DEUDA CAPITAL]]+Tabla14[[#This Row],[INTERES  CUOTA]]</f>
        <v>#NUM!</v>
      </c>
      <c r="U461" s="61" t="str">
        <f t="shared" si="79"/>
        <v/>
      </c>
    </row>
    <row r="462" spans="9:21" ht="24.75" customHeight="1" x14ac:dyDescent="0.35">
      <c r="I462" s="42">
        <f t="shared" si="70"/>
        <v>0</v>
      </c>
      <c r="J462" s="65" t="e">
        <f t="shared" si="71"/>
        <v>#NUM!</v>
      </c>
      <c r="K462" s="83" t="e">
        <f t="shared" si="72"/>
        <v>#NUM!</v>
      </c>
      <c r="L462" s="83">
        <f t="shared" si="73"/>
        <v>0</v>
      </c>
      <c r="M462" s="110" t="str">
        <f t="shared" si="74"/>
        <v/>
      </c>
      <c r="N462" s="51" t="str">
        <f t="shared" si="75"/>
        <v/>
      </c>
      <c r="O462" s="52" t="str">
        <f t="shared" si="76"/>
        <v/>
      </c>
      <c r="P462" s="88">
        <f t="shared" si="77"/>
        <v>0</v>
      </c>
      <c r="Q462" s="88">
        <f t="shared" si="78"/>
        <v>0</v>
      </c>
      <c r="R462" s="88" t="e">
        <f>-IF(Tabla14[[#This Row],[DIAS HABILES O MORA]]&lt;0,(Tabla14[[#This Row],[VALOR PRESTAMO]]*Tabla14[[#This Row],[% INTERES ]]/30*U462))+Tabla14[[#This Row],[VALOR CUOTAS]]</f>
        <v>#VALUE!</v>
      </c>
      <c r="S462" s="88">
        <f>-IF(Tabla14[[#This Row],[DIAS HABILES O MORA]]&lt;0,(Tabla14[[#This Row],[VALOR PRESTAMO]]*Tabla14[[#This Row],[% INTERES ]]/30*U462))</f>
        <v>0</v>
      </c>
      <c r="T462" s="53" t="e">
        <f>Tabla14[[#This Row],[DEUDA CAPITAL]]+Tabla14[[#This Row],[INTERES  CUOTA]]</f>
        <v>#NUM!</v>
      </c>
      <c r="U462" s="61" t="str">
        <f t="shared" si="79"/>
        <v/>
      </c>
    </row>
    <row r="463" spans="9:21" ht="24.75" customHeight="1" x14ac:dyDescent="0.35">
      <c r="I463" s="42">
        <f t="shared" si="70"/>
        <v>0</v>
      </c>
      <c r="J463" s="65" t="e">
        <f t="shared" si="71"/>
        <v>#NUM!</v>
      </c>
      <c r="K463" s="83" t="e">
        <f t="shared" si="72"/>
        <v>#NUM!</v>
      </c>
      <c r="L463" s="83">
        <f t="shared" si="73"/>
        <v>0</v>
      </c>
      <c r="M463" s="110" t="str">
        <f t="shared" si="74"/>
        <v/>
      </c>
      <c r="N463" s="51" t="str">
        <f t="shared" si="75"/>
        <v/>
      </c>
      <c r="O463" s="52" t="str">
        <f t="shared" si="76"/>
        <v/>
      </c>
      <c r="P463" s="88">
        <f t="shared" si="77"/>
        <v>0</v>
      </c>
      <c r="Q463" s="88">
        <f t="shared" si="78"/>
        <v>0</v>
      </c>
      <c r="R463" s="88" t="e">
        <f>-IF(Tabla14[[#This Row],[DIAS HABILES O MORA]]&lt;0,(Tabla14[[#This Row],[VALOR PRESTAMO]]*Tabla14[[#This Row],[% INTERES ]]/30*U463))+Tabla14[[#This Row],[VALOR CUOTAS]]</f>
        <v>#VALUE!</v>
      </c>
      <c r="S463" s="88">
        <f>-IF(Tabla14[[#This Row],[DIAS HABILES O MORA]]&lt;0,(Tabla14[[#This Row],[VALOR PRESTAMO]]*Tabla14[[#This Row],[% INTERES ]]/30*U463))</f>
        <v>0</v>
      </c>
      <c r="T463" s="53" t="e">
        <f>Tabla14[[#This Row],[DEUDA CAPITAL]]+Tabla14[[#This Row],[INTERES  CUOTA]]</f>
        <v>#NUM!</v>
      </c>
      <c r="U463" s="61" t="str">
        <f t="shared" si="79"/>
        <v/>
      </c>
    </row>
    <row r="464" spans="9:21" ht="24.75" customHeight="1" x14ac:dyDescent="0.35">
      <c r="I464" s="42">
        <f t="shared" ref="I464:I527" si="80">IF(C464&lt;0,"",IF(Q464=0,0,IF(G464=0,H464+1,IF(H464&lt;G464,H464+1,IF(G464=H464,0)))))</f>
        <v>0</v>
      </c>
      <c r="J464" s="65" t="e">
        <f t="shared" ref="J464:J527" si="81">IF(F464="SOLO INTERES",Q464*D464,-IPMT(D464,I464,G464,C464))</f>
        <v>#NUM!</v>
      </c>
      <c r="K464" s="83" t="e">
        <f t="shared" ref="K464:K527" si="82">IF(F464="SOLO INTERES",0,-PPMT(D464,I464,G464,C464))</f>
        <v>#NUM!</v>
      </c>
      <c r="L464" s="83">
        <f t="shared" ref="L464:L527" si="83">IF(F464="SOLO INTERES",SUM(Y464:AAE464),IFERROR(-CUMIPMT(D464,G464,C464,1,H464,0),0)+SUM(Y464:WY464))</f>
        <v>0</v>
      </c>
      <c r="M464" s="110" t="str">
        <f t="shared" ref="M464:M527" si="84">IFERROR(IF(F464="SOLO INTERES",Q464*D464,-PMT(D464,G464,C464,0)),"")</f>
        <v/>
      </c>
      <c r="N464" s="51" t="str">
        <f t="shared" ref="N464:N527" si="85">IF(Q464=0,"",IF(E464="MENSUAL",EDATE(B464,I464),IF(E464="QUINCENAL",B464+(I464*15),IF(E464="SEMANAL",B464+(I464*7)))))</f>
        <v/>
      </c>
      <c r="O464" s="52" t="str">
        <f t="shared" ref="O464:O527" si="86">IF(C464=0,"",IF(Q464&lt;1,"PAGADO",IF(N464=$A$3,"COBRAR HOY",IF(N464&lt;$A$3,"EN MORA",IF(N464&gt;$A$3,"AL DIA")))))</f>
        <v/>
      </c>
      <c r="P464" s="88">
        <f t="shared" ref="P464:P527" si="87">IFERROR(-CUMPRINC(D464,G464,C464,1,H464,0),0)+W464</f>
        <v>0</v>
      </c>
      <c r="Q464" s="88">
        <f t="shared" ref="Q464:Q527" si="88">IFERROR(C464-P464,"")</f>
        <v>0</v>
      </c>
      <c r="R464" s="88" t="e">
        <f>-IF(Tabla14[[#This Row],[DIAS HABILES O MORA]]&lt;0,(Tabla14[[#This Row],[VALOR PRESTAMO]]*Tabla14[[#This Row],[% INTERES ]]/30*U464))+Tabla14[[#This Row],[VALOR CUOTAS]]</f>
        <v>#VALUE!</v>
      </c>
      <c r="S464" s="88">
        <f>-IF(Tabla14[[#This Row],[DIAS HABILES O MORA]]&lt;0,(Tabla14[[#This Row],[VALOR PRESTAMO]]*Tabla14[[#This Row],[% INTERES ]]/30*U464))</f>
        <v>0</v>
      </c>
      <c r="T464" s="53" t="e">
        <f>Tabla14[[#This Row],[DEUDA CAPITAL]]+Tabla14[[#This Row],[INTERES  CUOTA]]</f>
        <v>#NUM!</v>
      </c>
      <c r="U464" s="61" t="str">
        <f t="shared" ref="U464:U527" si="89">IF(O464="PAGADO","",IFERROR(-IF(C464=0,"",$A$3-N464),""))</f>
        <v/>
      </c>
    </row>
    <row r="465" spans="9:21" ht="24.75" customHeight="1" x14ac:dyDescent="0.35">
      <c r="I465" s="42">
        <f t="shared" si="80"/>
        <v>0</v>
      </c>
      <c r="J465" s="65" t="e">
        <f t="shared" si="81"/>
        <v>#NUM!</v>
      </c>
      <c r="K465" s="83" t="e">
        <f t="shared" si="82"/>
        <v>#NUM!</v>
      </c>
      <c r="L465" s="83">
        <f t="shared" si="83"/>
        <v>0</v>
      </c>
      <c r="M465" s="110" t="str">
        <f t="shared" si="84"/>
        <v/>
      </c>
      <c r="N465" s="51" t="str">
        <f t="shared" si="85"/>
        <v/>
      </c>
      <c r="O465" s="52" t="str">
        <f t="shared" si="86"/>
        <v/>
      </c>
      <c r="P465" s="88">
        <f t="shared" si="87"/>
        <v>0</v>
      </c>
      <c r="Q465" s="88">
        <f t="shared" si="88"/>
        <v>0</v>
      </c>
      <c r="R465" s="88" t="e">
        <f>-IF(Tabla14[[#This Row],[DIAS HABILES O MORA]]&lt;0,(Tabla14[[#This Row],[VALOR PRESTAMO]]*Tabla14[[#This Row],[% INTERES ]]/30*U465))+Tabla14[[#This Row],[VALOR CUOTAS]]</f>
        <v>#VALUE!</v>
      </c>
      <c r="S465" s="88">
        <f>-IF(Tabla14[[#This Row],[DIAS HABILES O MORA]]&lt;0,(Tabla14[[#This Row],[VALOR PRESTAMO]]*Tabla14[[#This Row],[% INTERES ]]/30*U465))</f>
        <v>0</v>
      </c>
      <c r="T465" s="53" t="e">
        <f>Tabla14[[#This Row],[DEUDA CAPITAL]]+Tabla14[[#This Row],[INTERES  CUOTA]]</f>
        <v>#NUM!</v>
      </c>
      <c r="U465" s="61" t="str">
        <f t="shared" si="89"/>
        <v/>
      </c>
    </row>
    <row r="466" spans="9:21" ht="24.75" customHeight="1" x14ac:dyDescent="0.35">
      <c r="I466" s="42">
        <f t="shared" si="80"/>
        <v>0</v>
      </c>
      <c r="J466" s="65" t="e">
        <f t="shared" si="81"/>
        <v>#NUM!</v>
      </c>
      <c r="K466" s="83" t="e">
        <f t="shared" si="82"/>
        <v>#NUM!</v>
      </c>
      <c r="L466" s="83">
        <f t="shared" si="83"/>
        <v>0</v>
      </c>
      <c r="M466" s="110" t="str">
        <f t="shared" si="84"/>
        <v/>
      </c>
      <c r="N466" s="51" t="str">
        <f t="shared" si="85"/>
        <v/>
      </c>
      <c r="O466" s="52" t="str">
        <f t="shared" si="86"/>
        <v/>
      </c>
      <c r="P466" s="88">
        <f t="shared" si="87"/>
        <v>0</v>
      </c>
      <c r="Q466" s="88">
        <f t="shared" si="88"/>
        <v>0</v>
      </c>
      <c r="R466" s="88" t="e">
        <f>-IF(Tabla14[[#This Row],[DIAS HABILES O MORA]]&lt;0,(Tabla14[[#This Row],[VALOR PRESTAMO]]*Tabla14[[#This Row],[% INTERES ]]/30*U466))+Tabla14[[#This Row],[VALOR CUOTAS]]</f>
        <v>#VALUE!</v>
      </c>
      <c r="S466" s="88">
        <f>-IF(Tabla14[[#This Row],[DIAS HABILES O MORA]]&lt;0,(Tabla14[[#This Row],[VALOR PRESTAMO]]*Tabla14[[#This Row],[% INTERES ]]/30*U466))</f>
        <v>0</v>
      </c>
      <c r="T466" s="53" t="e">
        <f>Tabla14[[#This Row],[DEUDA CAPITAL]]+Tabla14[[#This Row],[INTERES  CUOTA]]</f>
        <v>#NUM!</v>
      </c>
      <c r="U466" s="61" t="str">
        <f t="shared" si="89"/>
        <v/>
      </c>
    </row>
    <row r="467" spans="9:21" ht="24.75" customHeight="1" x14ac:dyDescent="0.35">
      <c r="I467" s="42">
        <f t="shared" si="80"/>
        <v>0</v>
      </c>
      <c r="J467" s="65" t="e">
        <f t="shared" si="81"/>
        <v>#NUM!</v>
      </c>
      <c r="K467" s="83" t="e">
        <f t="shared" si="82"/>
        <v>#NUM!</v>
      </c>
      <c r="L467" s="83">
        <f t="shared" si="83"/>
        <v>0</v>
      </c>
      <c r="M467" s="110" t="str">
        <f t="shared" si="84"/>
        <v/>
      </c>
      <c r="N467" s="51" t="str">
        <f t="shared" si="85"/>
        <v/>
      </c>
      <c r="O467" s="52" t="str">
        <f t="shared" si="86"/>
        <v/>
      </c>
      <c r="P467" s="88">
        <f t="shared" si="87"/>
        <v>0</v>
      </c>
      <c r="Q467" s="88">
        <f t="shared" si="88"/>
        <v>0</v>
      </c>
      <c r="R467" s="88" t="e">
        <f>-IF(Tabla14[[#This Row],[DIAS HABILES O MORA]]&lt;0,(Tabla14[[#This Row],[VALOR PRESTAMO]]*Tabla14[[#This Row],[% INTERES ]]/30*U467))+Tabla14[[#This Row],[VALOR CUOTAS]]</f>
        <v>#VALUE!</v>
      </c>
      <c r="S467" s="88">
        <f>-IF(Tabla14[[#This Row],[DIAS HABILES O MORA]]&lt;0,(Tabla14[[#This Row],[VALOR PRESTAMO]]*Tabla14[[#This Row],[% INTERES ]]/30*U467))</f>
        <v>0</v>
      </c>
      <c r="T467" s="53" t="e">
        <f>Tabla14[[#This Row],[DEUDA CAPITAL]]+Tabla14[[#This Row],[INTERES  CUOTA]]</f>
        <v>#NUM!</v>
      </c>
      <c r="U467" s="61" t="str">
        <f t="shared" si="89"/>
        <v/>
      </c>
    </row>
    <row r="468" spans="9:21" ht="24.75" customHeight="1" x14ac:dyDescent="0.35">
      <c r="I468" s="42">
        <f t="shared" si="80"/>
        <v>0</v>
      </c>
      <c r="J468" s="65" t="e">
        <f t="shared" si="81"/>
        <v>#NUM!</v>
      </c>
      <c r="K468" s="83" t="e">
        <f t="shared" si="82"/>
        <v>#NUM!</v>
      </c>
      <c r="L468" s="83">
        <f t="shared" si="83"/>
        <v>0</v>
      </c>
      <c r="M468" s="110" t="str">
        <f t="shared" si="84"/>
        <v/>
      </c>
      <c r="N468" s="51" t="str">
        <f t="shared" si="85"/>
        <v/>
      </c>
      <c r="O468" s="52" t="str">
        <f t="shared" si="86"/>
        <v/>
      </c>
      <c r="P468" s="88">
        <f t="shared" si="87"/>
        <v>0</v>
      </c>
      <c r="Q468" s="88">
        <f t="shared" si="88"/>
        <v>0</v>
      </c>
      <c r="R468" s="88" t="e">
        <f>-IF(Tabla14[[#This Row],[DIAS HABILES O MORA]]&lt;0,(Tabla14[[#This Row],[VALOR PRESTAMO]]*Tabla14[[#This Row],[% INTERES ]]/30*U468))+Tabla14[[#This Row],[VALOR CUOTAS]]</f>
        <v>#VALUE!</v>
      </c>
      <c r="S468" s="88">
        <f>-IF(Tabla14[[#This Row],[DIAS HABILES O MORA]]&lt;0,(Tabla14[[#This Row],[VALOR PRESTAMO]]*Tabla14[[#This Row],[% INTERES ]]/30*U468))</f>
        <v>0</v>
      </c>
      <c r="T468" s="53" t="e">
        <f>Tabla14[[#This Row],[DEUDA CAPITAL]]+Tabla14[[#This Row],[INTERES  CUOTA]]</f>
        <v>#NUM!</v>
      </c>
      <c r="U468" s="61" t="str">
        <f t="shared" si="89"/>
        <v/>
      </c>
    </row>
    <row r="469" spans="9:21" ht="24.75" customHeight="1" x14ac:dyDescent="0.35">
      <c r="I469" s="42">
        <f t="shared" si="80"/>
        <v>0</v>
      </c>
      <c r="J469" s="65" t="e">
        <f t="shared" si="81"/>
        <v>#NUM!</v>
      </c>
      <c r="K469" s="83" t="e">
        <f t="shared" si="82"/>
        <v>#NUM!</v>
      </c>
      <c r="L469" s="83">
        <f t="shared" si="83"/>
        <v>0</v>
      </c>
      <c r="M469" s="110" t="str">
        <f t="shared" si="84"/>
        <v/>
      </c>
      <c r="N469" s="51" t="str">
        <f t="shared" si="85"/>
        <v/>
      </c>
      <c r="O469" s="52" t="str">
        <f t="shared" si="86"/>
        <v/>
      </c>
      <c r="P469" s="88">
        <f t="shared" si="87"/>
        <v>0</v>
      </c>
      <c r="Q469" s="88">
        <f t="shared" si="88"/>
        <v>0</v>
      </c>
      <c r="R469" s="88" t="e">
        <f>-IF(Tabla14[[#This Row],[DIAS HABILES O MORA]]&lt;0,(Tabla14[[#This Row],[VALOR PRESTAMO]]*Tabla14[[#This Row],[% INTERES ]]/30*U469))+Tabla14[[#This Row],[VALOR CUOTAS]]</f>
        <v>#VALUE!</v>
      </c>
      <c r="S469" s="88">
        <f>-IF(Tabla14[[#This Row],[DIAS HABILES O MORA]]&lt;0,(Tabla14[[#This Row],[VALOR PRESTAMO]]*Tabla14[[#This Row],[% INTERES ]]/30*U469))</f>
        <v>0</v>
      </c>
      <c r="T469" s="53" t="e">
        <f>Tabla14[[#This Row],[DEUDA CAPITAL]]+Tabla14[[#This Row],[INTERES  CUOTA]]</f>
        <v>#NUM!</v>
      </c>
      <c r="U469" s="61" t="str">
        <f t="shared" si="89"/>
        <v/>
      </c>
    </row>
    <row r="470" spans="9:21" ht="24.75" customHeight="1" x14ac:dyDescent="0.35">
      <c r="I470" s="42">
        <f t="shared" si="80"/>
        <v>0</v>
      </c>
      <c r="J470" s="65" t="e">
        <f t="shared" si="81"/>
        <v>#NUM!</v>
      </c>
      <c r="K470" s="83" t="e">
        <f t="shared" si="82"/>
        <v>#NUM!</v>
      </c>
      <c r="L470" s="83">
        <f t="shared" si="83"/>
        <v>0</v>
      </c>
      <c r="M470" s="110" t="str">
        <f t="shared" si="84"/>
        <v/>
      </c>
      <c r="N470" s="51" t="str">
        <f t="shared" si="85"/>
        <v/>
      </c>
      <c r="O470" s="52" t="str">
        <f t="shared" si="86"/>
        <v/>
      </c>
      <c r="P470" s="88">
        <f t="shared" si="87"/>
        <v>0</v>
      </c>
      <c r="Q470" s="88">
        <f t="shared" si="88"/>
        <v>0</v>
      </c>
      <c r="R470" s="88" t="e">
        <f>-IF(Tabla14[[#This Row],[DIAS HABILES O MORA]]&lt;0,(Tabla14[[#This Row],[VALOR PRESTAMO]]*Tabla14[[#This Row],[% INTERES ]]/30*U470))+Tabla14[[#This Row],[VALOR CUOTAS]]</f>
        <v>#VALUE!</v>
      </c>
      <c r="S470" s="88">
        <f>-IF(Tabla14[[#This Row],[DIAS HABILES O MORA]]&lt;0,(Tabla14[[#This Row],[VALOR PRESTAMO]]*Tabla14[[#This Row],[% INTERES ]]/30*U470))</f>
        <v>0</v>
      </c>
      <c r="T470" s="53" t="e">
        <f>Tabla14[[#This Row],[DEUDA CAPITAL]]+Tabla14[[#This Row],[INTERES  CUOTA]]</f>
        <v>#NUM!</v>
      </c>
      <c r="U470" s="61" t="str">
        <f t="shared" si="89"/>
        <v/>
      </c>
    </row>
    <row r="471" spans="9:21" ht="24.75" customHeight="1" x14ac:dyDescent="0.35">
      <c r="I471" s="42">
        <f t="shared" si="80"/>
        <v>0</v>
      </c>
      <c r="J471" s="65" t="e">
        <f t="shared" si="81"/>
        <v>#NUM!</v>
      </c>
      <c r="K471" s="83" t="e">
        <f t="shared" si="82"/>
        <v>#NUM!</v>
      </c>
      <c r="L471" s="83">
        <f t="shared" si="83"/>
        <v>0</v>
      </c>
      <c r="M471" s="110" t="str">
        <f t="shared" si="84"/>
        <v/>
      </c>
      <c r="N471" s="51" t="str">
        <f t="shared" si="85"/>
        <v/>
      </c>
      <c r="O471" s="52" t="str">
        <f t="shared" si="86"/>
        <v/>
      </c>
      <c r="P471" s="88">
        <f t="shared" si="87"/>
        <v>0</v>
      </c>
      <c r="Q471" s="88">
        <f t="shared" si="88"/>
        <v>0</v>
      </c>
      <c r="R471" s="88" t="e">
        <f>-IF(Tabla14[[#This Row],[DIAS HABILES O MORA]]&lt;0,(Tabla14[[#This Row],[VALOR PRESTAMO]]*Tabla14[[#This Row],[% INTERES ]]/30*U471))+Tabla14[[#This Row],[VALOR CUOTAS]]</f>
        <v>#VALUE!</v>
      </c>
      <c r="S471" s="88">
        <f>-IF(Tabla14[[#This Row],[DIAS HABILES O MORA]]&lt;0,(Tabla14[[#This Row],[VALOR PRESTAMO]]*Tabla14[[#This Row],[% INTERES ]]/30*U471))</f>
        <v>0</v>
      </c>
      <c r="T471" s="53" t="e">
        <f>Tabla14[[#This Row],[DEUDA CAPITAL]]+Tabla14[[#This Row],[INTERES  CUOTA]]</f>
        <v>#NUM!</v>
      </c>
      <c r="U471" s="61" t="str">
        <f t="shared" si="89"/>
        <v/>
      </c>
    </row>
    <row r="472" spans="9:21" ht="24.75" customHeight="1" x14ac:dyDescent="0.35">
      <c r="I472" s="42">
        <f t="shared" si="80"/>
        <v>0</v>
      </c>
      <c r="J472" s="65" t="e">
        <f t="shared" si="81"/>
        <v>#NUM!</v>
      </c>
      <c r="K472" s="83" t="e">
        <f t="shared" si="82"/>
        <v>#NUM!</v>
      </c>
      <c r="L472" s="83">
        <f t="shared" si="83"/>
        <v>0</v>
      </c>
      <c r="M472" s="110" t="str">
        <f t="shared" si="84"/>
        <v/>
      </c>
      <c r="N472" s="51" t="str">
        <f t="shared" si="85"/>
        <v/>
      </c>
      <c r="O472" s="52" t="str">
        <f t="shared" si="86"/>
        <v/>
      </c>
      <c r="P472" s="88">
        <f t="shared" si="87"/>
        <v>0</v>
      </c>
      <c r="Q472" s="88">
        <f t="shared" si="88"/>
        <v>0</v>
      </c>
      <c r="R472" s="88" t="e">
        <f>-IF(Tabla14[[#This Row],[DIAS HABILES O MORA]]&lt;0,(Tabla14[[#This Row],[VALOR PRESTAMO]]*Tabla14[[#This Row],[% INTERES ]]/30*U472))+Tabla14[[#This Row],[VALOR CUOTAS]]</f>
        <v>#VALUE!</v>
      </c>
      <c r="S472" s="88">
        <f>-IF(Tabla14[[#This Row],[DIAS HABILES O MORA]]&lt;0,(Tabla14[[#This Row],[VALOR PRESTAMO]]*Tabla14[[#This Row],[% INTERES ]]/30*U472))</f>
        <v>0</v>
      </c>
      <c r="T472" s="53" t="e">
        <f>Tabla14[[#This Row],[DEUDA CAPITAL]]+Tabla14[[#This Row],[INTERES  CUOTA]]</f>
        <v>#NUM!</v>
      </c>
      <c r="U472" s="61" t="str">
        <f t="shared" si="89"/>
        <v/>
      </c>
    </row>
    <row r="473" spans="9:21" ht="24.75" customHeight="1" x14ac:dyDescent="0.35">
      <c r="I473" s="42">
        <f t="shared" si="80"/>
        <v>0</v>
      </c>
      <c r="J473" s="65" t="e">
        <f t="shared" si="81"/>
        <v>#NUM!</v>
      </c>
      <c r="K473" s="83" t="e">
        <f t="shared" si="82"/>
        <v>#NUM!</v>
      </c>
      <c r="L473" s="83">
        <f t="shared" si="83"/>
        <v>0</v>
      </c>
      <c r="M473" s="110" t="str">
        <f t="shared" si="84"/>
        <v/>
      </c>
      <c r="N473" s="51" t="str">
        <f t="shared" si="85"/>
        <v/>
      </c>
      <c r="O473" s="52" t="str">
        <f t="shared" si="86"/>
        <v/>
      </c>
      <c r="P473" s="88">
        <f t="shared" si="87"/>
        <v>0</v>
      </c>
      <c r="Q473" s="88">
        <f t="shared" si="88"/>
        <v>0</v>
      </c>
      <c r="R473" s="88" t="e">
        <f>-IF(Tabla14[[#This Row],[DIAS HABILES O MORA]]&lt;0,(Tabla14[[#This Row],[VALOR PRESTAMO]]*Tabla14[[#This Row],[% INTERES ]]/30*U473))+Tabla14[[#This Row],[VALOR CUOTAS]]</f>
        <v>#VALUE!</v>
      </c>
      <c r="S473" s="88">
        <f>-IF(Tabla14[[#This Row],[DIAS HABILES O MORA]]&lt;0,(Tabla14[[#This Row],[VALOR PRESTAMO]]*Tabla14[[#This Row],[% INTERES ]]/30*U473))</f>
        <v>0</v>
      </c>
      <c r="T473" s="53" t="e">
        <f>Tabla14[[#This Row],[DEUDA CAPITAL]]+Tabla14[[#This Row],[INTERES  CUOTA]]</f>
        <v>#NUM!</v>
      </c>
      <c r="U473" s="61" t="str">
        <f t="shared" si="89"/>
        <v/>
      </c>
    </row>
    <row r="474" spans="9:21" ht="24.75" customHeight="1" x14ac:dyDescent="0.35">
      <c r="I474" s="42">
        <f t="shared" si="80"/>
        <v>0</v>
      </c>
      <c r="J474" s="65" t="e">
        <f t="shared" si="81"/>
        <v>#NUM!</v>
      </c>
      <c r="K474" s="83" t="e">
        <f t="shared" si="82"/>
        <v>#NUM!</v>
      </c>
      <c r="L474" s="83">
        <f t="shared" si="83"/>
        <v>0</v>
      </c>
      <c r="M474" s="110" t="str">
        <f t="shared" si="84"/>
        <v/>
      </c>
      <c r="N474" s="51" t="str">
        <f t="shared" si="85"/>
        <v/>
      </c>
      <c r="O474" s="52" t="str">
        <f t="shared" si="86"/>
        <v/>
      </c>
      <c r="P474" s="88">
        <f t="shared" si="87"/>
        <v>0</v>
      </c>
      <c r="Q474" s="88">
        <f t="shared" si="88"/>
        <v>0</v>
      </c>
      <c r="R474" s="88" t="e">
        <f>-IF(Tabla14[[#This Row],[DIAS HABILES O MORA]]&lt;0,(Tabla14[[#This Row],[VALOR PRESTAMO]]*Tabla14[[#This Row],[% INTERES ]]/30*U474))+Tabla14[[#This Row],[VALOR CUOTAS]]</f>
        <v>#VALUE!</v>
      </c>
      <c r="S474" s="88">
        <f>-IF(Tabla14[[#This Row],[DIAS HABILES O MORA]]&lt;0,(Tabla14[[#This Row],[VALOR PRESTAMO]]*Tabla14[[#This Row],[% INTERES ]]/30*U474))</f>
        <v>0</v>
      </c>
      <c r="T474" s="53" t="e">
        <f>Tabla14[[#This Row],[DEUDA CAPITAL]]+Tabla14[[#This Row],[INTERES  CUOTA]]</f>
        <v>#NUM!</v>
      </c>
      <c r="U474" s="61" t="str">
        <f t="shared" si="89"/>
        <v/>
      </c>
    </row>
    <row r="475" spans="9:21" ht="24.75" customHeight="1" x14ac:dyDescent="0.35">
      <c r="I475" s="42">
        <f t="shared" si="80"/>
        <v>0</v>
      </c>
      <c r="J475" s="65" t="e">
        <f t="shared" si="81"/>
        <v>#NUM!</v>
      </c>
      <c r="K475" s="83" t="e">
        <f t="shared" si="82"/>
        <v>#NUM!</v>
      </c>
      <c r="L475" s="83">
        <f t="shared" si="83"/>
        <v>0</v>
      </c>
      <c r="M475" s="110" t="str">
        <f t="shared" si="84"/>
        <v/>
      </c>
      <c r="N475" s="51" t="str">
        <f t="shared" si="85"/>
        <v/>
      </c>
      <c r="O475" s="52" t="str">
        <f t="shared" si="86"/>
        <v/>
      </c>
      <c r="P475" s="88">
        <f t="shared" si="87"/>
        <v>0</v>
      </c>
      <c r="Q475" s="88">
        <f t="shared" si="88"/>
        <v>0</v>
      </c>
      <c r="R475" s="88" t="e">
        <f>-IF(Tabla14[[#This Row],[DIAS HABILES O MORA]]&lt;0,(Tabla14[[#This Row],[VALOR PRESTAMO]]*Tabla14[[#This Row],[% INTERES ]]/30*U475))+Tabla14[[#This Row],[VALOR CUOTAS]]</f>
        <v>#VALUE!</v>
      </c>
      <c r="S475" s="88">
        <f>-IF(Tabla14[[#This Row],[DIAS HABILES O MORA]]&lt;0,(Tabla14[[#This Row],[VALOR PRESTAMO]]*Tabla14[[#This Row],[% INTERES ]]/30*U475))</f>
        <v>0</v>
      </c>
      <c r="T475" s="53" t="e">
        <f>Tabla14[[#This Row],[DEUDA CAPITAL]]+Tabla14[[#This Row],[INTERES  CUOTA]]</f>
        <v>#NUM!</v>
      </c>
      <c r="U475" s="61" t="str">
        <f t="shared" si="89"/>
        <v/>
      </c>
    </row>
    <row r="476" spans="9:21" ht="24.75" customHeight="1" x14ac:dyDescent="0.35">
      <c r="I476" s="42">
        <f t="shared" si="80"/>
        <v>0</v>
      </c>
      <c r="J476" s="65" t="e">
        <f t="shared" si="81"/>
        <v>#NUM!</v>
      </c>
      <c r="K476" s="83" t="e">
        <f t="shared" si="82"/>
        <v>#NUM!</v>
      </c>
      <c r="L476" s="83">
        <f t="shared" si="83"/>
        <v>0</v>
      </c>
      <c r="M476" s="110" t="str">
        <f t="shared" si="84"/>
        <v/>
      </c>
      <c r="N476" s="51" t="str">
        <f t="shared" si="85"/>
        <v/>
      </c>
      <c r="O476" s="52" t="str">
        <f t="shared" si="86"/>
        <v/>
      </c>
      <c r="P476" s="88">
        <f t="shared" si="87"/>
        <v>0</v>
      </c>
      <c r="Q476" s="88">
        <f t="shared" si="88"/>
        <v>0</v>
      </c>
      <c r="R476" s="88" t="e">
        <f>-IF(Tabla14[[#This Row],[DIAS HABILES O MORA]]&lt;0,(Tabla14[[#This Row],[VALOR PRESTAMO]]*Tabla14[[#This Row],[% INTERES ]]/30*U476))+Tabla14[[#This Row],[VALOR CUOTAS]]</f>
        <v>#VALUE!</v>
      </c>
      <c r="S476" s="88">
        <f>-IF(Tabla14[[#This Row],[DIAS HABILES O MORA]]&lt;0,(Tabla14[[#This Row],[VALOR PRESTAMO]]*Tabla14[[#This Row],[% INTERES ]]/30*U476))</f>
        <v>0</v>
      </c>
      <c r="T476" s="53" t="e">
        <f>Tabla14[[#This Row],[DEUDA CAPITAL]]+Tabla14[[#This Row],[INTERES  CUOTA]]</f>
        <v>#NUM!</v>
      </c>
      <c r="U476" s="61" t="str">
        <f t="shared" si="89"/>
        <v/>
      </c>
    </row>
    <row r="477" spans="9:21" ht="24.75" customHeight="1" x14ac:dyDescent="0.35">
      <c r="I477" s="42">
        <f t="shared" si="80"/>
        <v>0</v>
      </c>
      <c r="J477" s="65" t="e">
        <f t="shared" si="81"/>
        <v>#NUM!</v>
      </c>
      <c r="K477" s="83" t="e">
        <f t="shared" si="82"/>
        <v>#NUM!</v>
      </c>
      <c r="L477" s="83">
        <f t="shared" si="83"/>
        <v>0</v>
      </c>
      <c r="M477" s="110" t="str">
        <f t="shared" si="84"/>
        <v/>
      </c>
      <c r="N477" s="51" t="str">
        <f t="shared" si="85"/>
        <v/>
      </c>
      <c r="O477" s="52" t="str">
        <f t="shared" si="86"/>
        <v/>
      </c>
      <c r="P477" s="88">
        <f t="shared" si="87"/>
        <v>0</v>
      </c>
      <c r="Q477" s="88">
        <f t="shared" si="88"/>
        <v>0</v>
      </c>
      <c r="R477" s="88" t="e">
        <f>-IF(Tabla14[[#This Row],[DIAS HABILES O MORA]]&lt;0,(Tabla14[[#This Row],[VALOR PRESTAMO]]*Tabla14[[#This Row],[% INTERES ]]/30*U477))+Tabla14[[#This Row],[VALOR CUOTAS]]</f>
        <v>#VALUE!</v>
      </c>
      <c r="S477" s="88">
        <f>-IF(Tabla14[[#This Row],[DIAS HABILES O MORA]]&lt;0,(Tabla14[[#This Row],[VALOR PRESTAMO]]*Tabla14[[#This Row],[% INTERES ]]/30*U477))</f>
        <v>0</v>
      </c>
      <c r="T477" s="53" t="e">
        <f>Tabla14[[#This Row],[DEUDA CAPITAL]]+Tabla14[[#This Row],[INTERES  CUOTA]]</f>
        <v>#NUM!</v>
      </c>
      <c r="U477" s="61" t="str">
        <f t="shared" si="89"/>
        <v/>
      </c>
    </row>
    <row r="478" spans="9:21" ht="24.75" customHeight="1" x14ac:dyDescent="0.35">
      <c r="I478" s="42">
        <f t="shared" si="80"/>
        <v>0</v>
      </c>
      <c r="J478" s="65" t="e">
        <f t="shared" si="81"/>
        <v>#NUM!</v>
      </c>
      <c r="K478" s="83" t="e">
        <f t="shared" si="82"/>
        <v>#NUM!</v>
      </c>
      <c r="L478" s="83">
        <f t="shared" si="83"/>
        <v>0</v>
      </c>
      <c r="M478" s="110" t="str">
        <f t="shared" si="84"/>
        <v/>
      </c>
      <c r="N478" s="51" t="str">
        <f t="shared" si="85"/>
        <v/>
      </c>
      <c r="O478" s="52" t="str">
        <f t="shared" si="86"/>
        <v/>
      </c>
      <c r="P478" s="88">
        <f t="shared" si="87"/>
        <v>0</v>
      </c>
      <c r="Q478" s="88">
        <f t="shared" si="88"/>
        <v>0</v>
      </c>
      <c r="R478" s="88" t="e">
        <f>-IF(Tabla14[[#This Row],[DIAS HABILES O MORA]]&lt;0,(Tabla14[[#This Row],[VALOR PRESTAMO]]*Tabla14[[#This Row],[% INTERES ]]/30*U478))+Tabla14[[#This Row],[VALOR CUOTAS]]</f>
        <v>#VALUE!</v>
      </c>
      <c r="S478" s="88">
        <f>-IF(Tabla14[[#This Row],[DIAS HABILES O MORA]]&lt;0,(Tabla14[[#This Row],[VALOR PRESTAMO]]*Tabla14[[#This Row],[% INTERES ]]/30*U478))</f>
        <v>0</v>
      </c>
      <c r="T478" s="53" t="e">
        <f>Tabla14[[#This Row],[DEUDA CAPITAL]]+Tabla14[[#This Row],[INTERES  CUOTA]]</f>
        <v>#NUM!</v>
      </c>
      <c r="U478" s="61" t="str">
        <f t="shared" si="89"/>
        <v/>
      </c>
    </row>
    <row r="479" spans="9:21" ht="24.75" customHeight="1" x14ac:dyDescent="0.35">
      <c r="I479" s="42">
        <f t="shared" si="80"/>
        <v>0</v>
      </c>
      <c r="J479" s="65" t="e">
        <f t="shared" si="81"/>
        <v>#NUM!</v>
      </c>
      <c r="K479" s="83" t="e">
        <f t="shared" si="82"/>
        <v>#NUM!</v>
      </c>
      <c r="L479" s="83">
        <f t="shared" si="83"/>
        <v>0</v>
      </c>
      <c r="M479" s="110" t="str">
        <f t="shared" si="84"/>
        <v/>
      </c>
      <c r="N479" s="51" t="str">
        <f t="shared" si="85"/>
        <v/>
      </c>
      <c r="O479" s="52" t="str">
        <f t="shared" si="86"/>
        <v/>
      </c>
      <c r="P479" s="88">
        <f t="shared" si="87"/>
        <v>0</v>
      </c>
      <c r="Q479" s="88">
        <f t="shared" si="88"/>
        <v>0</v>
      </c>
      <c r="R479" s="88" t="e">
        <f>-IF(Tabla14[[#This Row],[DIAS HABILES O MORA]]&lt;0,(Tabla14[[#This Row],[VALOR PRESTAMO]]*Tabla14[[#This Row],[% INTERES ]]/30*U479))+Tabla14[[#This Row],[VALOR CUOTAS]]</f>
        <v>#VALUE!</v>
      </c>
      <c r="S479" s="88">
        <f>-IF(Tabla14[[#This Row],[DIAS HABILES O MORA]]&lt;0,(Tabla14[[#This Row],[VALOR PRESTAMO]]*Tabla14[[#This Row],[% INTERES ]]/30*U479))</f>
        <v>0</v>
      </c>
      <c r="T479" s="53" t="e">
        <f>Tabla14[[#This Row],[DEUDA CAPITAL]]+Tabla14[[#This Row],[INTERES  CUOTA]]</f>
        <v>#NUM!</v>
      </c>
      <c r="U479" s="61" t="str">
        <f t="shared" si="89"/>
        <v/>
      </c>
    </row>
    <row r="480" spans="9:21" ht="24.75" customHeight="1" x14ac:dyDescent="0.35">
      <c r="I480" s="42">
        <f t="shared" si="80"/>
        <v>0</v>
      </c>
      <c r="J480" s="65" t="e">
        <f t="shared" si="81"/>
        <v>#NUM!</v>
      </c>
      <c r="K480" s="83" t="e">
        <f t="shared" si="82"/>
        <v>#NUM!</v>
      </c>
      <c r="L480" s="83">
        <f t="shared" si="83"/>
        <v>0</v>
      </c>
      <c r="M480" s="110" t="str">
        <f t="shared" si="84"/>
        <v/>
      </c>
      <c r="N480" s="51" t="str">
        <f t="shared" si="85"/>
        <v/>
      </c>
      <c r="O480" s="52" t="str">
        <f t="shared" si="86"/>
        <v/>
      </c>
      <c r="P480" s="88">
        <f t="shared" si="87"/>
        <v>0</v>
      </c>
      <c r="Q480" s="88">
        <f t="shared" si="88"/>
        <v>0</v>
      </c>
      <c r="R480" s="88" t="e">
        <f>-IF(Tabla14[[#This Row],[DIAS HABILES O MORA]]&lt;0,(Tabla14[[#This Row],[VALOR PRESTAMO]]*Tabla14[[#This Row],[% INTERES ]]/30*U480))+Tabla14[[#This Row],[VALOR CUOTAS]]</f>
        <v>#VALUE!</v>
      </c>
      <c r="S480" s="88">
        <f>-IF(Tabla14[[#This Row],[DIAS HABILES O MORA]]&lt;0,(Tabla14[[#This Row],[VALOR PRESTAMO]]*Tabla14[[#This Row],[% INTERES ]]/30*U480))</f>
        <v>0</v>
      </c>
      <c r="T480" s="53" t="e">
        <f>Tabla14[[#This Row],[DEUDA CAPITAL]]+Tabla14[[#This Row],[INTERES  CUOTA]]</f>
        <v>#NUM!</v>
      </c>
      <c r="U480" s="61" t="str">
        <f t="shared" si="89"/>
        <v/>
      </c>
    </row>
    <row r="481" spans="9:21" ht="24.75" customHeight="1" x14ac:dyDescent="0.35">
      <c r="I481" s="42">
        <f t="shared" si="80"/>
        <v>0</v>
      </c>
      <c r="J481" s="65" t="e">
        <f t="shared" si="81"/>
        <v>#NUM!</v>
      </c>
      <c r="K481" s="83" t="e">
        <f t="shared" si="82"/>
        <v>#NUM!</v>
      </c>
      <c r="L481" s="83">
        <f t="shared" si="83"/>
        <v>0</v>
      </c>
      <c r="M481" s="110" t="str">
        <f t="shared" si="84"/>
        <v/>
      </c>
      <c r="N481" s="51" t="str">
        <f t="shared" si="85"/>
        <v/>
      </c>
      <c r="O481" s="52" t="str">
        <f t="shared" si="86"/>
        <v/>
      </c>
      <c r="P481" s="88">
        <f t="shared" si="87"/>
        <v>0</v>
      </c>
      <c r="Q481" s="88">
        <f t="shared" si="88"/>
        <v>0</v>
      </c>
      <c r="R481" s="88" t="e">
        <f>-IF(Tabla14[[#This Row],[DIAS HABILES O MORA]]&lt;0,(Tabla14[[#This Row],[VALOR PRESTAMO]]*Tabla14[[#This Row],[% INTERES ]]/30*U481))+Tabla14[[#This Row],[VALOR CUOTAS]]</f>
        <v>#VALUE!</v>
      </c>
      <c r="S481" s="88">
        <f>-IF(Tabla14[[#This Row],[DIAS HABILES O MORA]]&lt;0,(Tabla14[[#This Row],[VALOR PRESTAMO]]*Tabla14[[#This Row],[% INTERES ]]/30*U481))</f>
        <v>0</v>
      </c>
      <c r="T481" s="53" t="e">
        <f>Tabla14[[#This Row],[DEUDA CAPITAL]]+Tabla14[[#This Row],[INTERES  CUOTA]]</f>
        <v>#NUM!</v>
      </c>
      <c r="U481" s="61" t="str">
        <f t="shared" si="89"/>
        <v/>
      </c>
    </row>
    <row r="482" spans="9:21" ht="24.75" customHeight="1" x14ac:dyDescent="0.35">
      <c r="I482" s="42">
        <f t="shared" si="80"/>
        <v>0</v>
      </c>
      <c r="J482" s="65" t="e">
        <f t="shared" si="81"/>
        <v>#NUM!</v>
      </c>
      <c r="K482" s="83" t="e">
        <f t="shared" si="82"/>
        <v>#NUM!</v>
      </c>
      <c r="L482" s="83">
        <f t="shared" si="83"/>
        <v>0</v>
      </c>
      <c r="M482" s="110" t="str">
        <f t="shared" si="84"/>
        <v/>
      </c>
      <c r="N482" s="51" t="str">
        <f t="shared" si="85"/>
        <v/>
      </c>
      <c r="O482" s="52" t="str">
        <f t="shared" si="86"/>
        <v/>
      </c>
      <c r="P482" s="88">
        <f t="shared" si="87"/>
        <v>0</v>
      </c>
      <c r="Q482" s="88">
        <f t="shared" si="88"/>
        <v>0</v>
      </c>
      <c r="R482" s="88" t="e">
        <f>-IF(Tabla14[[#This Row],[DIAS HABILES O MORA]]&lt;0,(Tabla14[[#This Row],[VALOR PRESTAMO]]*Tabla14[[#This Row],[% INTERES ]]/30*U482))+Tabla14[[#This Row],[VALOR CUOTAS]]</f>
        <v>#VALUE!</v>
      </c>
      <c r="S482" s="88">
        <f>-IF(Tabla14[[#This Row],[DIAS HABILES O MORA]]&lt;0,(Tabla14[[#This Row],[VALOR PRESTAMO]]*Tabla14[[#This Row],[% INTERES ]]/30*U482))</f>
        <v>0</v>
      </c>
      <c r="T482" s="53" t="e">
        <f>Tabla14[[#This Row],[DEUDA CAPITAL]]+Tabla14[[#This Row],[INTERES  CUOTA]]</f>
        <v>#NUM!</v>
      </c>
      <c r="U482" s="61" t="str">
        <f t="shared" si="89"/>
        <v/>
      </c>
    </row>
    <row r="483" spans="9:21" ht="24.75" customHeight="1" x14ac:dyDescent="0.35">
      <c r="I483" s="42">
        <f t="shared" si="80"/>
        <v>0</v>
      </c>
      <c r="J483" s="65" t="e">
        <f t="shared" si="81"/>
        <v>#NUM!</v>
      </c>
      <c r="K483" s="83" t="e">
        <f t="shared" si="82"/>
        <v>#NUM!</v>
      </c>
      <c r="L483" s="83">
        <f t="shared" si="83"/>
        <v>0</v>
      </c>
      <c r="M483" s="110" t="str">
        <f t="shared" si="84"/>
        <v/>
      </c>
      <c r="N483" s="51" t="str">
        <f t="shared" si="85"/>
        <v/>
      </c>
      <c r="O483" s="52" t="str">
        <f t="shared" si="86"/>
        <v/>
      </c>
      <c r="P483" s="88">
        <f t="shared" si="87"/>
        <v>0</v>
      </c>
      <c r="Q483" s="88">
        <f t="shared" si="88"/>
        <v>0</v>
      </c>
      <c r="R483" s="88" t="e">
        <f>-IF(Tabla14[[#This Row],[DIAS HABILES O MORA]]&lt;0,(Tabla14[[#This Row],[VALOR PRESTAMO]]*Tabla14[[#This Row],[% INTERES ]]/30*U483))+Tabla14[[#This Row],[VALOR CUOTAS]]</f>
        <v>#VALUE!</v>
      </c>
      <c r="S483" s="88">
        <f>-IF(Tabla14[[#This Row],[DIAS HABILES O MORA]]&lt;0,(Tabla14[[#This Row],[VALOR PRESTAMO]]*Tabla14[[#This Row],[% INTERES ]]/30*U483))</f>
        <v>0</v>
      </c>
      <c r="T483" s="53" t="e">
        <f>Tabla14[[#This Row],[DEUDA CAPITAL]]+Tabla14[[#This Row],[INTERES  CUOTA]]</f>
        <v>#NUM!</v>
      </c>
      <c r="U483" s="61" t="str">
        <f t="shared" si="89"/>
        <v/>
      </c>
    </row>
    <row r="484" spans="9:21" ht="24.75" customHeight="1" x14ac:dyDescent="0.35">
      <c r="I484" s="42">
        <f t="shared" si="80"/>
        <v>0</v>
      </c>
      <c r="J484" s="65" t="e">
        <f t="shared" si="81"/>
        <v>#NUM!</v>
      </c>
      <c r="K484" s="83" t="e">
        <f t="shared" si="82"/>
        <v>#NUM!</v>
      </c>
      <c r="L484" s="83">
        <f t="shared" si="83"/>
        <v>0</v>
      </c>
      <c r="M484" s="110" t="str">
        <f t="shared" si="84"/>
        <v/>
      </c>
      <c r="N484" s="51" t="str">
        <f t="shared" si="85"/>
        <v/>
      </c>
      <c r="O484" s="52" t="str">
        <f t="shared" si="86"/>
        <v/>
      </c>
      <c r="P484" s="88">
        <f t="shared" si="87"/>
        <v>0</v>
      </c>
      <c r="Q484" s="88">
        <f t="shared" si="88"/>
        <v>0</v>
      </c>
      <c r="R484" s="88" t="e">
        <f>-IF(Tabla14[[#This Row],[DIAS HABILES O MORA]]&lt;0,(Tabla14[[#This Row],[VALOR PRESTAMO]]*Tabla14[[#This Row],[% INTERES ]]/30*U484))+Tabla14[[#This Row],[VALOR CUOTAS]]</f>
        <v>#VALUE!</v>
      </c>
      <c r="S484" s="88">
        <f>-IF(Tabla14[[#This Row],[DIAS HABILES O MORA]]&lt;0,(Tabla14[[#This Row],[VALOR PRESTAMO]]*Tabla14[[#This Row],[% INTERES ]]/30*U484))</f>
        <v>0</v>
      </c>
      <c r="T484" s="53" t="e">
        <f>Tabla14[[#This Row],[DEUDA CAPITAL]]+Tabla14[[#This Row],[INTERES  CUOTA]]</f>
        <v>#NUM!</v>
      </c>
      <c r="U484" s="61" t="str">
        <f t="shared" si="89"/>
        <v/>
      </c>
    </row>
    <row r="485" spans="9:21" ht="24.75" customHeight="1" x14ac:dyDescent="0.35">
      <c r="I485" s="42">
        <f t="shared" si="80"/>
        <v>0</v>
      </c>
      <c r="J485" s="65" t="e">
        <f t="shared" si="81"/>
        <v>#NUM!</v>
      </c>
      <c r="K485" s="83" t="e">
        <f t="shared" si="82"/>
        <v>#NUM!</v>
      </c>
      <c r="L485" s="83">
        <f t="shared" si="83"/>
        <v>0</v>
      </c>
      <c r="M485" s="110" t="str">
        <f t="shared" si="84"/>
        <v/>
      </c>
      <c r="N485" s="51" t="str">
        <f t="shared" si="85"/>
        <v/>
      </c>
      <c r="O485" s="52" t="str">
        <f t="shared" si="86"/>
        <v/>
      </c>
      <c r="P485" s="88">
        <f t="shared" si="87"/>
        <v>0</v>
      </c>
      <c r="Q485" s="88">
        <f t="shared" si="88"/>
        <v>0</v>
      </c>
      <c r="R485" s="88" t="e">
        <f>-IF(Tabla14[[#This Row],[DIAS HABILES O MORA]]&lt;0,(Tabla14[[#This Row],[VALOR PRESTAMO]]*Tabla14[[#This Row],[% INTERES ]]/30*U485))+Tabla14[[#This Row],[VALOR CUOTAS]]</f>
        <v>#VALUE!</v>
      </c>
      <c r="S485" s="88">
        <f>-IF(Tabla14[[#This Row],[DIAS HABILES O MORA]]&lt;0,(Tabla14[[#This Row],[VALOR PRESTAMO]]*Tabla14[[#This Row],[% INTERES ]]/30*U485))</f>
        <v>0</v>
      </c>
      <c r="T485" s="53" t="e">
        <f>Tabla14[[#This Row],[DEUDA CAPITAL]]+Tabla14[[#This Row],[INTERES  CUOTA]]</f>
        <v>#NUM!</v>
      </c>
      <c r="U485" s="61" t="str">
        <f t="shared" si="89"/>
        <v/>
      </c>
    </row>
    <row r="486" spans="9:21" ht="24.75" customHeight="1" x14ac:dyDescent="0.35">
      <c r="I486" s="42">
        <f t="shared" si="80"/>
        <v>0</v>
      </c>
      <c r="J486" s="65" t="e">
        <f t="shared" si="81"/>
        <v>#NUM!</v>
      </c>
      <c r="K486" s="83" t="e">
        <f t="shared" si="82"/>
        <v>#NUM!</v>
      </c>
      <c r="L486" s="83">
        <f t="shared" si="83"/>
        <v>0</v>
      </c>
      <c r="M486" s="110" t="str">
        <f t="shared" si="84"/>
        <v/>
      </c>
      <c r="N486" s="51" t="str">
        <f t="shared" si="85"/>
        <v/>
      </c>
      <c r="O486" s="52" t="str">
        <f t="shared" si="86"/>
        <v/>
      </c>
      <c r="P486" s="88">
        <f t="shared" si="87"/>
        <v>0</v>
      </c>
      <c r="Q486" s="88">
        <f t="shared" si="88"/>
        <v>0</v>
      </c>
      <c r="R486" s="88" t="e">
        <f>-IF(Tabla14[[#This Row],[DIAS HABILES O MORA]]&lt;0,(Tabla14[[#This Row],[VALOR PRESTAMO]]*Tabla14[[#This Row],[% INTERES ]]/30*U486))+Tabla14[[#This Row],[VALOR CUOTAS]]</f>
        <v>#VALUE!</v>
      </c>
      <c r="S486" s="88">
        <f>-IF(Tabla14[[#This Row],[DIAS HABILES O MORA]]&lt;0,(Tabla14[[#This Row],[VALOR PRESTAMO]]*Tabla14[[#This Row],[% INTERES ]]/30*U486))</f>
        <v>0</v>
      </c>
      <c r="T486" s="53" t="e">
        <f>Tabla14[[#This Row],[DEUDA CAPITAL]]+Tabla14[[#This Row],[INTERES  CUOTA]]</f>
        <v>#NUM!</v>
      </c>
      <c r="U486" s="61" t="str">
        <f t="shared" si="89"/>
        <v/>
      </c>
    </row>
    <row r="487" spans="9:21" ht="24.75" customHeight="1" x14ac:dyDescent="0.35">
      <c r="I487" s="42">
        <f t="shared" si="80"/>
        <v>0</v>
      </c>
      <c r="J487" s="65" t="e">
        <f t="shared" si="81"/>
        <v>#NUM!</v>
      </c>
      <c r="K487" s="83" t="e">
        <f t="shared" si="82"/>
        <v>#NUM!</v>
      </c>
      <c r="L487" s="83">
        <f t="shared" si="83"/>
        <v>0</v>
      </c>
      <c r="M487" s="110" t="str">
        <f t="shared" si="84"/>
        <v/>
      </c>
      <c r="N487" s="51" t="str">
        <f t="shared" si="85"/>
        <v/>
      </c>
      <c r="O487" s="52" t="str">
        <f t="shared" si="86"/>
        <v/>
      </c>
      <c r="P487" s="88">
        <f t="shared" si="87"/>
        <v>0</v>
      </c>
      <c r="Q487" s="88">
        <f t="shared" si="88"/>
        <v>0</v>
      </c>
      <c r="R487" s="88" t="e">
        <f>-IF(Tabla14[[#This Row],[DIAS HABILES O MORA]]&lt;0,(Tabla14[[#This Row],[VALOR PRESTAMO]]*Tabla14[[#This Row],[% INTERES ]]/30*U487))+Tabla14[[#This Row],[VALOR CUOTAS]]</f>
        <v>#VALUE!</v>
      </c>
      <c r="S487" s="88">
        <f>-IF(Tabla14[[#This Row],[DIAS HABILES O MORA]]&lt;0,(Tabla14[[#This Row],[VALOR PRESTAMO]]*Tabla14[[#This Row],[% INTERES ]]/30*U487))</f>
        <v>0</v>
      </c>
      <c r="T487" s="53" t="e">
        <f>Tabla14[[#This Row],[DEUDA CAPITAL]]+Tabla14[[#This Row],[INTERES  CUOTA]]</f>
        <v>#NUM!</v>
      </c>
      <c r="U487" s="61" t="str">
        <f t="shared" si="89"/>
        <v/>
      </c>
    </row>
    <row r="488" spans="9:21" ht="24.75" customHeight="1" x14ac:dyDescent="0.35">
      <c r="I488" s="42">
        <f t="shared" si="80"/>
        <v>0</v>
      </c>
      <c r="J488" s="65" t="e">
        <f t="shared" si="81"/>
        <v>#NUM!</v>
      </c>
      <c r="K488" s="83" t="e">
        <f t="shared" si="82"/>
        <v>#NUM!</v>
      </c>
      <c r="L488" s="83">
        <f t="shared" si="83"/>
        <v>0</v>
      </c>
      <c r="M488" s="110" t="str">
        <f t="shared" si="84"/>
        <v/>
      </c>
      <c r="N488" s="51" t="str">
        <f t="shared" si="85"/>
        <v/>
      </c>
      <c r="O488" s="52" t="str">
        <f t="shared" si="86"/>
        <v/>
      </c>
      <c r="P488" s="88">
        <f t="shared" si="87"/>
        <v>0</v>
      </c>
      <c r="Q488" s="88">
        <f t="shared" si="88"/>
        <v>0</v>
      </c>
      <c r="R488" s="88" t="e">
        <f>-IF(Tabla14[[#This Row],[DIAS HABILES O MORA]]&lt;0,(Tabla14[[#This Row],[VALOR PRESTAMO]]*Tabla14[[#This Row],[% INTERES ]]/30*U488))+Tabla14[[#This Row],[VALOR CUOTAS]]</f>
        <v>#VALUE!</v>
      </c>
      <c r="S488" s="88">
        <f>-IF(Tabla14[[#This Row],[DIAS HABILES O MORA]]&lt;0,(Tabla14[[#This Row],[VALOR PRESTAMO]]*Tabla14[[#This Row],[% INTERES ]]/30*U488))</f>
        <v>0</v>
      </c>
      <c r="T488" s="53" t="e">
        <f>Tabla14[[#This Row],[DEUDA CAPITAL]]+Tabla14[[#This Row],[INTERES  CUOTA]]</f>
        <v>#NUM!</v>
      </c>
      <c r="U488" s="61" t="str">
        <f t="shared" si="89"/>
        <v/>
      </c>
    </row>
    <row r="489" spans="9:21" ht="24.75" customHeight="1" x14ac:dyDescent="0.35">
      <c r="I489" s="42">
        <f t="shared" si="80"/>
        <v>0</v>
      </c>
      <c r="J489" s="65" t="e">
        <f t="shared" si="81"/>
        <v>#NUM!</v>
      </c>
      <c r="K489" s="83" t="e">
        <f t="shared" si="82"/>
        <v>#NUM!</v>
      </c>
      <c r="L489" s="83">
        <f t="shared" si="83"/>
        <v>0</v>
      </c>
      <c r="M489" s="110" t="str">
        <f t="shared" si="84"/>
        <v/>
      </c>
      <c r="N489" s="51" t="str">
        <f t="shared" si="85"/>
        <v/>
      </c>
      <c r="O489" s="52" t="str">
        <f t="shared" si="86"/>
        <v/>
      </c>
      <c r="P489" s="88">
        <f t="shared" si="87"/>
        <v>0</v>
      </c>
      <c r="Q489" s="88">
        <f t="shared" si="88"/>
        <v>0</v>
      </c>
      <c r="R489" s="88" t="e">
        <f>-IF(Tabla14[[#This Row],[DIAS HABILES O MORA]]&lt;0,(Tabla14[[#This Row],[VALOR PRESTAMO]]*Tabla14[[#This Row],[% INTERES ]]/30*U489))+Tabla14[[#This Row],[VALOR CUOTAS]]</f>
        <v>#VALUE!</v>
      </c>
      <c r="S489" s="88">
        <f>-IF(Tabla14[[#This Row],[DIAS HABILES O MORA]]&lt;0,(Tabla14[[#This Row],[VALOR PRESTAMO]]*Tabla14[[#This Row],[% INTERES ]]/30*U489))</f>
        <v>0</v>
      </c>
      <c r="T489" s="53" t="e">
        <f>Tabla14[[#This Row],[DEUDA CAPITAL]]+Tabla14[[#This Row],[INTERES  CUOTA]]</f>
        <v>#NUM!</v>
      </c>
      <c r="U489" s="61" t="str">
        <f t="shared" si="89"/>
        <v/>
      </c>
    </row>
    <row r="490" spans="9:21" ht="24.75" customHeight="1" x14ac:dyDescent="0.35">
      <c r="I490" s="42">
        <f t="shared" si="80"/>
        <v>0</v>
      </c>
      <c r="J490" s="65" t="e">
        <f t="shared" si="81"/>
        <v>#NUM!</v>
      </c>
      <c r="K490" s="83" t="e">
        <f t="shared" si="82"/>
        <v>#NUM!</v>
      </c>
      <c r="L490" s="83">
        <f t="shared" si="83"/>
        <v>0</v>
      </c>
      <c r="M490" s="110" t="str">
        <f t="shared" si="84"/>
        <v/>
      </c>
      <c r="N490" s="51" t="str">
        <f t="shared" si="85"/>
        <v/>
      </c>
      <c r="O490" s="52" t="str">
        <f t="shared" si="86"/>
        <v/>
      </c>
      <c r="P490" s="88">
        <f t="shared" si="87"/>
        <v>0</v>
      </c>
      <c r="Q490" s="88">
        <f t="shared" si="88"/>
        <v>0</v>
      </c>
      <c r="R490" s="88" t="e">
        <f>-IF(Tabla14[[#This Row],[DIAS HABILES O MORA]]&lt;0,(Tabla14[[#This Row],[VALOR PRESTAMO]]*Tabla14[[#This Row],[% INTERES ]]/30*U490))+Tabla14[[#This Row],[VALOR CUOTAS]]</f>
        <v>#VALUE!</v>
      </c>
      <c r="S490" s="88">
        <f>-IF(Tabla14[[#This Row],[DIAS HABILES O MORA]]&lt;0,(Tabla14[[#This Row],[VALOR PRESTAMO]]*Tabla14[[#This Row],[% INTERES ]]/30*U490))</f>
        <v>0</v>
      </c>
      <c r="T490" s="53" t="e">
        <f>Tabla14[[#This Row],[DEUDA CAPITAL]]+Tabla14[[#This Row],[INTERES  CUOTA]]</f>
        <v>#NUM!</v>
      </c>
      <c r="U490" s="61" t="str">
        <f t="shared" si="89"/>
        <v/>
      </c>
    </row>
    <row r="491" spans="9:21" ht="24.75" customHeight="1" x14ac:dyDescent="0.35">
      <c r="I491" s="42">
        <f t="shared" si="80"/>
        <v>0</v>
      </c>
      <c r="J491" s="65" t="e">
        <f t="shared" si="81"/>
        <v>#NUM!</v>
      </c>
      <c r="K491" s="83" t="e">
        <f t="shared" si="82"/>
        <v>#NUM!</v>
      </c>
      <c r="L491" s="83">
        <f t="shared" si="83"/>
        <v>0</v>
      </c>
      <c r="M491" s="110" t="str">
        <f t="shared" si="84"/>
        <v/>
      </c>
      <c r="N491" s="51" t="str">
        <f t="shared" si="85"/>
        <v/>
      </c>
      <c r="O491" s="52" t="str">
        <f t="shared" si="86"/>
        <v/>
      </c>
      <c r="P491" s="88">
        <f t="shared" si="87"/>
        <v>0</v>
      </c>
      <c r="Q491" s="88">
        <f t="shared" si="88"/>
        <v>0</v>
      </c>
      <c r="R491" s="88" t="e">
        <f>-IF(Tabla14[[#This Row],[DIAS HABILES O MORA]]&lt;0,(Tabla14[[#This Row],[VALOR PRESTAMO]]*Tabla14[[#This Row],[% INTERES ]]/30*U491))+Tabla14[[#This Row],[VALOR CUOTAS]]</f>
        <v>#VALUE!</v>
      </c>
      <c r="S491" s="88">
        <f>-IF(Tabla14[[#This Row],[DIAS HABILES O MORA]]&lt;0,(Tabla14[[#This Row],[VALOR PRESTAMO]]*Tabla14[[#This Row],[% INTERES ]]/30*U491))</f>
        <v>0</v>
      </c>
      <c r="T491" s="53" t="e">
        <f>Tabla14[[#This Row],[DEUDA CAPITAL]]+Tabla14[[#This Row],[INTERES  CUOTA]]</f>
        <v>#NUM!</v>
      </c>
      <c r="U491" s="61" t="str">
        <f t="shared" si="89"/>
        <v/>
      </c>
    </row>
    <row r="492" spans="9:21" ht="24.75" customHeight="1" x14ac:dyDescent="0.35">
      <c r="I492" s="42">
        <f t="shared" si="80"/>
        <v>0</v>
      </c>
      <c r="J492" s="65" t="e">
        <f t="shared" si="81"/>
        <v>#NUM!</v>
      </c>
      <c r="K492" s="83" t="e">
        <f t="shared" si="82"/>
        <v>#NUM!</v>
      </c>
      <c r="L492" s="83">
        <f t="shared" si="83"/>
        <v>0</v>
      </c>
      <c r="M492" s="110" t="str">
        <f t="shared" si="84"/>
        <v/>
      </c>
      <c r="N492" s="51" t="str">
        <f t="shared" si="85"/>
        <v/>
      </c>
      <c r="O492" s="52" t="str">
        <f t="shared" si="86"/>
        <v/>
      </c>
      <c r="P492" s="88">
        <f t="shared" si="87"/>
        <v>0</v>
      </c>
      <c r="Q492" s="88">
        <f t="shared" si="88"/>
        <v>0</v>
      </c>
      <c r="R492" s="88" t="e">
        <f>-IF(Tabla14[[#This Row],[DIAS HABILES O MORA]]&lt;0,(Tabla14[[#This Row],[VALOR PRESTAMO]]*Tabla14[[#This Row],[% INTERES ]]/30*U492))+Tabla14[[#This Row],[VALOR CUOTAS]]</f>
        <v>#VALUE!</v>
      </c>
      <c r="S492" s="88">
        <f>-IF(Tabla14[[#This Row],[DIAS HABILES O MORA]]&lt;0,(Tabla14[[#This Row],[VALOR PRESTAMO]]*Tabla14[[#This Row],[% INTERES ]]/30*U492))</f>
        <v>0</v>
      </c>
      <c r="T492" s="53" t="e">
        <f>Tabla14[[#This Row],[DEUDA CAPITAL]]+Tabla14[[#This Row],[INTERES  CUOTA]]</f>
        <v>#NUM!</v>
      </c>
      <c r="U492" s="61" t="str">
        <f t="shared" si="89"/>
        <v/>
      </c>
    </row>
    <row r="493" spans="9:21" ht="24.75" customHeight="1" x14ac:dyDescent="0.35">
      <c r="I493" s="42">
        <f t="shared" si="80"/>
        <v>0</v>
      </c>
      <c r="J493" s="65" t="e">
        <f t="shared" si="81"/>
        <v>#NUM!</v>
      </c>
      <c r="K493" s="83" t="e">
        <f t="shared" si="82"/>
        <v>#NUM!</v>
      </c>
      <c r="L493" s="83">
        <f t="shared" si="83"/>
        <v>0</v>
      </c>
      <c r="M493" s="110" t="str">
        <f t="shared" si="84"/>
        <v/>
      </c>
      <c r="N493" s="51" t="str">
        <f t="shared" si="85"/>
        <v/>
      </c>
      <c r="O493" s="52" t="str">
        <f t="shared" si="86"/>
        <v/>
      </c>
      <c r="P493" s="88">
        <f t="shared" si="87"/>
        <v>0</v>
      </c>
      <c r="Q493" s="88">
        <f t="shared" si="88"/>
        <v>0</v>
      </c>
      <c r="R493" s="88" t="e">
        <f>-IF(Tabla14[[#This Row],[DIAS HABILES O MORA]]&lt;0,(Tabla14[[#This Row],[VALOR PRESTAMO]]*Tabla14[[#This Row],[% INTERES ]]/30*U493))+Tabla14[[#This Row],[VALOR CUOTAS]]</f>
        <v>#VALUE!</v>
      </c>
      <c r="S493" s="88">
        <f>-IF(Tabla14[[#This Row],[DIAS HABILES O MORA]]&lt;0,(Tabla14[[#This Row],[VALOR PRESTAMO]]*Tabla14[[#This Row],[% INTERES ]]/30*U493))</f>
        <v>0</v>
      </c>
      <c r="T493" s="53" t="e">
        <f>Tabla14[[#This Row],[DEUDA CAPITAL]]+Tabla14[[#This Row],[INTERES  CUOTA]]</f>
        <v>#NUM!</v>
      </c>
      <c r="U493" s="61" t="str">
        <f t="shared" si="89"/>
        <v/>
      </c>
    </row>
    <row r="494" spans="9:21" ht="24.75" customHeight="1" x14ac:dyDescent="0.35">
      <c r="I494" s="42">
        <f t="shared" si="80"/>
        <v>0</v>
      </c>
      <c r="J494" s="65" t="e">
        <f t="shared" si="81"/>
        <v>#NUM!</v>
      </c>
      <c r="K494" s="83" t="e">
        <f t="shared" si="82"/>
        <v>#NUM!</v>
      </c>
      <c r="L494" s="83">
        <f t="shared" si="83"/>
        <v>0</v>
      </c>
      <c r="M494" s="110" t="str">
        <f t="shared" si="84"/>
        <v/>
      </c>
      <c r="N494" s="51" t="str">
        <f t="shared" si="85"/>
        <v/>
      </c>
      <c r="O494" s="52" t="str">
        <f t="shared" si="86"/>
        <v/>
      </c>
      <c r="P494" s="88">
        <f t="shared" si="87"/>
        <v>0</v>
      </c>
      <c r="Q494" s="88">
        <f t="shared" si="88"/>
        <v>0</v>
      </c>
      <c r="R494" s="88" t="e">
        <f>-IF(Tabla14[[#This Row],[DIAS HABILES O MORA]]&lt;0,(Tabla14[[#This Row],[VALOR PRESTAMO]]*Tabla14[[#This Row],[% INTERES ]]/30*U494))+Tabla14[[#This Row],[VALOR CUOTAS]]</f>
        <v>#VALUE!</v>
      </c>
      <c r="S494" s="88">
        <f>-IF(Tabla14[[#This Row],[DIAS HABILES O MORA]]&lt;0,(Tabla14[[#This Row],[VALOR PRESTAMO]]*Tabla14[[#This Row],[% INTERES ]]/30*U494))</f>
        <v>0</v>
      </c>
      <c r="T494" s="53" t="e">
        <f>Tabla14[[#This Row],[DEUDA CAPITAL]]+Tabla14[[#This Row],[INTERES  CUOTA]]</f>
        <v>#NUM!</v>
      </c>
      <c r="U494" s="61" t="str">
        <f t="shared" si="89"/>
        <v/>
      </c>
    </row>
    <row r="495" spans="9:21" ht="24.75" customHeight="1" x14ac:dyDescent="0.35">
      <c r="I495" s="42">
        <f t="shared" si="80"/>
        <v>0</v>
      </c>
      <c r="J495" s="65" t="e">
        <f t="shared" si="81"/>
        <v>#NUM!</v>
      </c>
      <c r="K495" s="83" t="e">
        <f t="shared" si="82"/>
        <v>#NUM!</v>
      </c>
      <c r="L495" s="83">
        <f t="shared" si="83"/>
        <v>0</v>
      </c>
      <c r="M495" s="110" t="str">
        <f t="shared" si="84"/>
        <v/>
      </c>
      <c r="N495" s="51" t="str">
        <f t="shared" si="85"/>
        <v/>
      </c>
      <c r="O495" s="52" t="str">
        <f t="shared" si="86"/>
        <v/>
      </c>
      <c r="P495" s="88">
        <f t="shared" si="87"/>
        <v>0</v>
      </c>
      <c r="Q495" s="88">
        <f t="shared" si="88"/>
        <v>0</v>
      </c>
      <c r="R495" s="88" t="e">
        <f>-IF(Tabla14[[#This Row],[DIAS HABILES O MORA]]&lt;0,(Tabla14[[#This Row],[VALOR PRESTAMO]]*Tabla14[[#This Row],[% INTERES ]]/30*U495))+Tabla14[[#This Row],[VALOR CUOTAS]]</f>
        <v>#VALUE!</v>
      </c>
      <c r="S495" s="88">
        <f>-IF(Tabla14[[#This Row],[DIAS HABILES O MORA]]&lt;0,(Tabla14[[#This Row],[VALOR PRESTAMO]]*Tabla14[[#This Row],[% INTERES ]]/30*U495))</f>
        <v>0</v>
      </c>
      <c r="T495" s="53" t="e">
        <f>Tabla14[[#This Row],[DEUDA CAPITAL]]+Tabla14[[#This Row],[INTERES  CUOTA]]</f>
        <v>#NUM!</v>
      </c>
      <c r="U495" s="61" t="str">
        <f t="shared" si="89"/>
        <v/>
      </c>
    </row>
    <row r="496" spans="9:21" ht="24.75" customHeight="1" x14ac:dyDescent="0.35">
      <c r="I496" s="42">
        <f t="shared" si="80"/>
        <v>0</v>
      </c>
      <c r="J496" s="65" t="e">
        <f t="shared" si="81"/>
        <v>#NUM!</v>
      </c>
      <c r="K496" s="83" t="e">
        <f t="shared" si="82"/>
        <v>#NUM!</v>
      </c>
      <c r="L496" s="83">
        <f t="shared" si="83"/>
        <v>0</v>
      </c>
      <c r="M496" s="110" t="str">
        <f t="shared" si="84"/>
        <v/>
      </c>
      <c r="N496" s="51" t="str">
        <f t="shared" si="85"/>
        <v/>
      </c>
      <c r="O496" s="52" t="str">
        <f t="shared" si="86"/>
        <v/>
      </c>
      <c r="P496" s="88">
        <f t="shared" si="87"/>
        <v>0</v>
      </c>
      <c r="Q496" s="88">
        <f t="shared" si="88"/>
        <v>0</v>
      </c>
      <c r="R496" s="88" t="e">
        <f>-IF(Tabla14[[#This Row],[DIAS HABILES O MORA]]&lt;0,(Tabla14[[#This Row],[VALOR PRESTAMO]]*Tabla14[[#This Row],[% INTERES ]]/30*U496))+Tabla14[[#This Row],[VALOR CUOTAS]]</f>
        <v>#VALUE!</v>
      </c>
      <c r="S496" s="88">
        <f>-IF(Tabla14[[#This Row],[DIAS HABILES O MORA]]&lt;0,(Tabla14[[#This Row],[VALOR PRESTAMO]]*Tabla14[[#This Row],[% INTERES ]]/30*U496))</f>
        <v>0</v>
      </c>
      <c r="T496" s="53" t="e">
        <f>Tabla14[[#This Row],[DEUDA CAPITAL]]+Tabla14[[#This Row],[INTERES  CUOTA]]</f>
        <v>#NUM!</v>
      </c>
      <c r="U496" s="61" t="str">
        <f t="shared" si="89"/>
        <v/>
      </c>
    </row>
    <row r="497" spans="9:21" ht="24.75" customHeight="1" x14ac:dyDescent="0.35">
      <c r="I497" s="42">
        <f t="shared" si="80"/>
        <v>0</v>
      </c>
      <c r="J497" s="65" t="e">
        <f t="shared" si="81"/>
        <v>#NUM!</v>
      </c>
      <c r="K497" s="83" t="e">
        <f t="shared" si="82"/>
        <v>#NUM!</v>
      </c>
      <c r="L497" s="83">
        <f t="shared" si="83"/>
        <v>0</v>
      </c>
      <c r="M497" s="110" t="str">
        <f t="shared" si="84"/>
        <v/>
      </c>
      <c r="N497" s="51" t="str">
        <f t="shared" si="85"/>
        <v/>
      </c>
      <c r="O497" s="52" t="str">
        <f t="shared" si="86"/>
        <v/>
      </c>
      <c r="P497" s="88">
        <f t="shared" si="87"/>
        <v>0</v>
      </c>
      <c r="Q497" s="88">
        <f t="shared" si="88"/>
        <v>0</v>
      </c>
      <c r="R497" s="88" t="e">
        <f>-IF(Tabla14[[#This Row],[DIAS HABILES O MORA]]&lt;0,(Tabla14[[#This Row],[VALOR PRESTAMO]]*Tabla14[[#This Row],[% INTERES ]]/30*U497))+Tabla14[[#This Row],[VALOR CUOTAS]]</f>
        <v>#VALUE!</v>
      </c>
      <c r="S497" s="88">
        <f>-IF(Tabla14[[#This Row],[DIAS HABILES O MORA]]&lt;0,(Tabla14[[#This Row],[VALOR PRESTAMO]]*Tabla14[[#This Row],[% INTERES ]]/30*U497))</f>
        <v>0</v>
      </c>
      <c r="T497" s="53" t="e">
        <f>Tabla14[[#This Row],[DEUDA CAPITAL]]+Tabla14[[#This Row],[INTERES  CUOTA]]</f>
        <v>#NUM!</v>
      </c>
      <c r="U497" s="61" t="str">
        <f t="shared" si="89"/>
        <v/>
      </c>
    </row>
    <row r="498" spans="9:21" ht="24.75" customHeight="1" x14ac:dyDescent="0.35">
      <c r="I498" s="42">
        <f t="shared" si="80"/>
        <v>0</v>
      </c>
      <c r="J498" s="65" t="e">
        <f t="shared" si="81"/>
        <v>#NUM!</v>
      </c>
      <c r="K498" s="83" t="e">
        <f t="shared" si="82"/>
        <v>#NUM!</v>
      </c>
      <c r="L498" s="83">
        <f t="shared" si="83"/>
        <v>0</v>
      </c>
      <c r="M498" s="110" t="str">
        <f t="shared" si="84"/>
        <v/>
      </c>
      <c r="N498" s="51" t="str">
        <f t="shared" si="85"/>
        <v/>
      </c>
      <c r="O498" s="52" t="str">
        <f t="shared" si="86"/>
        <v/>
      </c>
      <c r="P498" s="88">
        <f t="shared" si="87"/>
        <v>0</v>
      </c>
      <c r="Q498" s="88">
        <f t="shared" si="88"/>
        <v>0</v>
      </c>
      <c r="R498" s="88" t="e">
        <f>-IF(Tabla14[[#This Row],[DIAS HABILES O MORA]]&lt;0,(Tabla14[[#This Row],[VALOR PRESTAMO]]*Tabla14[[#This Row],[% INTERES ]]/30*U498))+Tabla14[[#This Row],[VALOR CUOTAS]]</f>
        <v>#VALUE!</v>
      </c>
      <c r="S498" s="88">
        <f>-IF(Tabla14[[#This Row],[DIAS HABILES O MORA]]&lt;0,(Tabla14[[#This Row],[VALOR PRESTAMO]]*Tabla14[[#This Row],[% INTERES ]]/30*U498))</f>
        <v>0</v>
      </c>
      <c r="T498" s="53" t="e">
        <f>Tabla14[[#This Row],[DEUDA CAPITAL]]+Tabla14[[#This Row],[INTERES  CUOTA]]</f>
        <v>#NUM!</v>
      </c>
      <c r="U498" s="61" t="str">
        <f t="shared" si="89"/>
        <v/>
      </c>
    </row>
    <row r="499" spans="9:21" ht="24.75" customHeight="1" x14ac:dyDescent="0.35">
      <c r="I499" s="42">
        <f t="shared" si="80"/>
        <v>0</v>
      </c>
      <c r="J499" s="65" t="e">
        <f t="shared" si="81"/>
        <v>#NUM!</v>
      </c>
      <c r="K499" s="83" t="e">
        <f t="shared" si="82"/>
        <v>#NUM!</v>
      </c>
      <c r="L499" s="83">
        <f t="shared" si="83"/>
        <v>0</v>
      </c>
      <c r="M499" s="110" t="str">
        <f t="shared" si="84"/>
        <v/>
      </c>
      <c r="N499" s="51" t="str">
        <f t="shared" si="85"/>
        <v/>
      </c>
      <c r="O499" s="52" t="str">
        <f t="shared" si="86"/>
        <v/>
      </c>
      <c r="P499" s="88">
        <f t="shared" si="87"/>
        <v>0</v>
      </c>
      <c r="Q499" s="88">
        <f t="shared" si="88"/>
        <v>0</v>
      </c>
      <c r="R499" s="88" t="e">
        <f>-IF(Tabla14[[#This Row],[DIAS HABILES O MORA]]&lt;0,(Tabla14[[#This Row],[VALOR PRESTAMO]]*Tabla14[[#This Row],[% INTERES ]]/30*U499))+Tabla14[[#This Row],[VALOR CUOTAS]]</f>
        <v>#VALUE!</v>
      </c>
      <c r="S499" s="88">
        <f>-IF(Tabla14[[#This Row],[DIAS HABILES O MORA]]&lt;0,(Tabla14[[#This Row],[VALOR PRESTAMO]]*Tabla14[[#This Row],[% INTERES ]]/30*U499))</f>
        <v>0</v>
      </c>
      <c r="T499" s="53" t="e">
        <f>Tabla14[[#This Row],[DEUDA CAPITAL]]+Tabla14[[#This Row],[INTERES  CUOTA]]</f>
        <v>#NUM!</v>
      </c>
      <c r="U499" s="61" t="str">
        <f t="shared" si="89"/>
        <v/>
      </c>
    </row>
    <row r="500" spans="9:21" ht="24.75" customHeight="1" x14ac:dyDescent="0.35">
      <c r="I500" s="42">
        <f t="shared" si="80"/>
        <v>0</v>
      </c>
      <c r="J500" s="65" t="e">
        <f t="shared" si="81"/>
        <v>#NUM!</v>
      </c>
      <c r="K500" s="83" t="e">
        <f t="shared" si="82"/>
        <v>#NUM!</v>
      </c>
      <c r="L500" s="83">
        <f t="shared" si="83"/>
        <v>0</v>
      </c>
      <c r="M500" s="110" t="str">
        <f t="shared" si="84"/>
        <v/>
      </c>
      <c r="N500" s="51" t="str">
        <f t="shared" si="85"/>
        <v/>
      </c>
      <c r="O500" s="52" t="str">
        <f t="shared" si="86"/>
        <v/>
      </c>
      <c r="P500" s="88">
        <f t="shared" si="87"/>
        <v>0</v>
      </c>
      <c r="Q500" s="88">
        <f t="shared" si="88"/>
        <v>0</v>
      </c>
      <c r="R500" s="88" t="e">
        <f>-IF(Tabla14[[#This Row],[DIAS HABILES O MORA]]&lt;0,(Tabla14[[#This Row],[VALOR PRESTAMO]]*Tabla14[[#This Row],[% INTERES ]]/30*U500))+Tabla14[[#This Row],[VALOR CUOTAS]]</f>
        <v>#VALUE!</v>
      </c>
      <c r="S500" s="88">
        <f>-IF(Tabla14[[#This Row],[DIAS HABILES O MORA]]&lt;0,(Tabla14[[#This Row],[VALOR PRESTAMO]]*Tabla14[[#This Row],[% INTERES ]]/30*U500))</f>
        <v>0</v>
      </c>
      <c r="T500" s="53" t="e">
        <f>Tabla14[[#This Row],[DEUDA CAPITAL]]+Tabla14[[#This Row],[INTERES  CUOTA]]</f>
        <v>#NUM!</v>
      </c>
      <c r="U500" s="61" t="str">
        <f t="shared" si="89"/>
        <v/>
      </c>
    </row>
    <row r="501" spans="9:21" ht="24.75" customHeight="1" x14ac:dyDescent="0.35">
      <c r="I501" s="42">
        <f t="shared" si="80"/>
        <v>0</v>
      </c>
      <c r="J501" s="65" t="e">
        <f t="shared" si="81"/>
        <v>#NUM!</v>
      </c>
      <c r="K501" s="83" t="e">
        <f t="shared" si="82"/>
        <v>#NUM!</v>
      </c>
      <c r="L501" s="83">
        <f t="shared" si="83"/>
        <v>0</v>
      </c>
      <c r="M501" s="110" t="str">
        <f t="shared" si="84"/>
        <v/>
      </c>
      <c r="N501" s="51" t="str">
        <f t="shared" si="85"/>
        <v/>
      </c>
      <c r="O501" s="52" t="str">
        <f t="shared" si="86"/>
        <v/>
      </c>
      <c r="P501" s="88">
        <f t="shared" si="87"/>
        <v>0</v>
      </c>
      <c r="Q501" s="88">
        <f t="shared" si="88"/>
        <v>0</v>
      </c>
      <c r="R501" s="88" t="e">
        <f>-IF(Tabla14[[#This Row],[DIAS HABILES O MORA]]&lt;0,(Tabla14[[#This Row],[VALOR PRESTAMO]]*Tabla14[[#This Row],[% INTERES ]]/30*U501))+Tabla14[[#This Row],[VALOR CUOTAS]]</f>
        <v>#VALUE!</v>
      </c>
      <c r="S501" s="88">
        <f>-IF(Tabla14[[#This Row],[DIAS HABILES O MORA]]&lt;0,(Tabla14[[#This Row],[VALOR PRESTAMO]]*Tabla14[[#This Row],[% INTERES ]]/30*U501))</f>
        <v>0</v>
      </c>
      <c r="T501" s="53" t="e">
        <f>Tabla14[[#This Row],[DEUDA CAPITAL]]+Tabla14[[#This Row],[INTERES  CUOTA]]</f>
        <v>#NUM!</v>
      </c>
      <c r="U501" s="61" t="str">
        <f t="shared" si="89"/>
        <v/>
      </c>
    </row>
    <row r="502" spans="9:21" ht="24.75" customHeight="1" x14ac:dyDescent="0.35">
      <c r="I502" s="42">
        <f t="shared" si="80"/>
        <v>0</v>
      </c>
      <c r="J502" s="65" t="e">
        <f t="shared" si="81"/>
        <v>#NUM!</v>
      </c>
      <c r="K502" s="83" t="e">
        <f t="shared" si="82"/>
        <v>#NUM!</v>
      </c>
      <c r="L502" s="83">
        <f t="shared" si="83"/>
        <v>0</v>
      </c>
      <c r="M502" s="110" t="str">
        <f t="shared" si="84"/>
        <v/>
      </c>
      <c r="N502" s="51" t="str">
        <f t="shared" si="85"/>
        <v/>
      </c>
      <c r="O502" s="52" t="str">
        <f t="shared" si="86"/>
        <v/>
      </c>
      <c r="P502" s="88">
        <f t="shared" si="87"/>
        <v>0</v>
      </c>
      <c r="Q502" s="88">
        <f t="shared" si="88"/>
        <v>0</v>
      </c>
      <c r="R502" s="88" t="e">
        <f>-IF(Tabla14[[#This Row],[DIAS HABILES O MORA]]&lt;0,(Tabla14[[#This Row],[VALOR PRESTAMO]]*Tabla14[[#This Row],[% INTERES ]]/30*U502))+Tabla14[[#This Row],[VALOR CUOTAS]]</f>
        <v>#VALUE!</v>
      </c>
      <c r="S502" s="88">
        <f>-IF(Tabla14[[#This Row],[DIAS HABILES O MORA]]&lt;0,(Tabla14[[#This Row],[VALOR PRESTAMO]]*Tabla14[[#This Row],[% INTERES ]]/30*U502))</f>
        <v>0</v>
      </c>
      <c r="T502" s="53" t="e">
        <f>Tabla14[[#This Row],[DEUDA CAPITAL]]+Tabla14[[#This Row],[INTERES  CUOTA]]</f>
        <v>#NUM!</v>
      </c>
      <c r="U502" s="61" t="str">
        <f t="shared" si="89"/>
        <v/>
      </c>
    </row>
    <row r="503" spans="9:21" ht="24.75" customHeight="1" x14ac:dyDescent="0.35">
      <c r="I503" s="42">
        <f t="shared" si="80"/>
        <v>0</v>
      </c>
      <c r="J503" s="65" t="e">
        <f t="shared" si="81"/>
        <v>#NUM!</v>
      </c>
      <c r="K503" s="83" t="e">
        <f t="shared" si="82"/>
        <v>#NUM!</v>
      </c>
      <c r="L503" s="83">
        <f t="shared" si="83"/>
        <v>0</v>
      </c>
      <c r="M503" s="110" t="str">
        <f t="shared" si="84"/>
        <v/>
      </c>
      <c r="N503" s="51" t="str">
        <f t="shared" si="85"/>
        <v/>
      </c>
      <c r="O503" s="52" t="str">
        <f t="shared" si="86"/>
        <v/>
      </c>
      <c r="P503" s="88">
        <f t="shared" si="87"/>
        <v>0</v>
      </c>
      <c r="Q503" s="88">
        <f t="shared" si="88"/>
        <v>0</v>
      </c>
      <c r="R503" s="88" t="e">
        <f>-IF(Tabla14[[#This Row],[DIAS HABILES O MORA]]&lt;0,(Tabla14[[#This Row],[VALOR PRESTAMO]]*Tabla14[[#This Row],[% INTERES ]]/30*U503))+Tabla14[[#This Row],[VALOR CUOTAS]]</f>
        <v>#VALUE!</v>
      </c>
      <c r="S503" s="88">
        <f>-IF(Tabla14[[#This Row],[DIAS HABILES O MORA]]&lt;0,(Tabla14[[#This Row],[VALOR PRESTAMO]]*Tabla14[[#This Row],[% INTERES ]]/30*U503))</f>
        <v>0</v>
      </c>
      <c r="T503" s="53" t="e">
        <f>Tabla14[[#This Row],[DEUDA CAPITAL]]+Tabla14[[#This Row],[INTERES  CUOTA]]</f>
        <v>#NUM!</v>
      </c>
      <c r="U503" s="61" t="str">
        <f t="shared" si="89"/>
        <v/>
      </c>
    </row>
    <row r="504" spans="9:21" ht="24.75" customHeight="1" x14ac:dyDescent="0.35">
      <c r="I504" s="42">
        <f t="shared" si="80"/>
        <v>0</v>
      </c>
      <c r="J504" s="65" t="e">
        <f t="shared" si="81"/>
        <v>#NUM!</v>
      </c>
      <c r="K504" s="83" t="e">
        <f t="shared" si="82"/>
        <v>#NUM!</v>
      </c>
      <c r="L504" s="83">
        <f t="shared" si="83"/>
        <v>0</v>
      </c>
      <c r="M504" s="110" t="str">
        <f t="shared" si="84"/>
        <v/>
      </c>
      <c r="N504" s="51" t="str">
        <f t="shared" si="85"/>
        <v/>
      </c>
      <c r="O504" s="52" t="str">
        <f t="shared" si="86"/>
        <v/>
      </c>
      <c r="P504" s="88">
        <f t="shared" si="87"/>
        <v>0</v>
      </c>
      <c r="Q504" s="88">
        <f t="shared" si="88"/>
        <v>0</v>
      </c>
      <c r="R504" s="88" t="e">
        <f>-IF(Tabla14[[#This Row],[DIAS HABILES O MORA]]&lt;0,(Tabla14[[#This Row],[VALOR PRESTAMO]]*Tabla14[[#This Row],[% INTERES ]]/30*U504))+Tabla14[[#This Row],[VALOR CUOTAS]]</f>
        <v>#VALUE!</v>
      </c>
      <c r="S504" s="88">
        <f>-IF(Tabla14[[#This Row],[DIAS HABILES O MORA]]&lt;0,(Tabla14[[#This Row],[VALOR PRESTAMO]]*Tabla14[[#This Row],[% INTERES ]]/30*U504))</f>
        <v>0</v>
      </c>
      <c r="T504" s="53" t="e">
        <f>Tabla14[[#This Row],[DEUDA CAPITAL]]+Tabla14[[#This Row],[INTERES  CUOTA]]</f>
        <v>#NUM!</v>
      </c>
      <c r="U504" s="61" t="str">
        <f t="shared" si="89"/>
        <v/>
      </c>
    </row>
    <row r="505" spans="9:21" ht="24.75" customHeight="1" x14ac:dyDescent="0.35">
      <c r="I505" s="42">
        <f t="shared" si="80"/>
        <v>0</v>
      </c>
      <c r="J505" s="65" t="e">
        <f t="shared" si="81"/>
        <v>#NUM!</v>
      </c>
      <c r="K505" s="83" t="e">
        <f t="shared" si="82"/>
        <v>#NUM!</v>
      </c>
      <c r="L505" s="83">
        <f t="shared" si="83"/>
        <v>0</v>
      </c>
      <c r="M505" s="110" t="str">
        <f t="shared" si="84"/>
        <v/>
      </c>
      <c r="N505" s="51" t="str">
        <f t="shared" si="85"/>
        <v/>
      </c>
      <c r="O505" s="52" t="str">
        <f t="shared" si="86"/>
        <v/>
      </c>
      <c r="P505" s="88">
        <f t="shared" si="87"/>
        <v>0</v>
      </c>
      <c r="Q505" s="88">
        <f t="shared" si="88"/>
        <v>0</v>
      </c>
      <c r="R505" s="88" t="e">
        <f>-IF(Tabla14[[#This Row],[DIAS HABILES O MORA]]&lt;0,(Tabla14[[#This Row],[VALOR PRESTAMO]]*Tabla14[[#This Row],[% INTERES ]]/30*U505))+Tabla14[[#This Row],[VALOR CUOTAS]]</f>
        <v>#VALUE!</v>
      </c>
      <c r="S505" s="88">
        <f>-IF(Tabla14[[#This Row],[DIAS HABILES O MORA]]&lt;0,(Tabla14[[#This Row],[VALOR PRESTAMO]]*Tabla14[[#This Row],[% INTERES ]]/30*U505))</f>
        <v>0</v>
      </c>
      <c r="T505" s="53" t="e">
        <f>Tabla14[[#This Row],[DEUDA CAPITAL]]+Tabla14[[#This Row],[INTERES  CUOTA]]</f>
        <v>#NUM!</v>
      </c>
      <c r="U505" s="61" t="str">
        <f t="shared" si="89"/>
        <v/>
      </c>
    </row>
    <row r="506" spans="9:21" ht="24.75" customHeight="1" x14ac:dyDescent="0.35">
      <c r="I506" s="42">
        <f t="shared" si="80"/>
        <v>0</v>
      </c>
      <c r="J506" s="65" t="e">
        <f t="shared" si="81"/>
        <v>#NUM!</v>
      </c>
      <c r="K506" s="83" t="e">
        <f t="shared" si="82"/>
        <v>#NUM!</v>
      </c>
      <c r="L506" s="83">
        <f t="shared" si="83"/>
        <v>0</v>
      </c>
      <c r="M506" s="110" t="str">
        <f t="shared" si="84"/>
        <v/>
      </c>
      <c r="N506" s="51" t="str">
        <f t="shared" si="85"/>
        <v/>
      </c>
      <c r="O506" s="52" t="str">
        <f t="shared" si="86"/>
        <v/>
      </c>
      <c r="P506" s="88">
        <f t="shared" si="87"/>
        <v>0</v>
      </c>
      <c r="Q506" s="88">
        <f t="shared" si="88"/>
        <v>0</v>
      </c>
      <c r="R506" s="88" t="e">
        <f>-IF(Tabla14[[#This Row],[DIAS HABILES O MORA]]&lt;0,(Tabla14[[#This Row],[VALOR PRESTAMO]]*Tabla14[[#This Row],[% INTERES ]]/30*U506))+Tabla14[[#This Row],[VALOR CUOTAS]]</f>
        <v>#VALUE!</v>
      </c>
      <c r="S506" s="88">
        <f>-IF(Tabla14[[#This Row],[DIAS HABILES O MORA]]&lt;0,(Tabla14[[#This Row],[VALOR PRESTAMO]]*Tabla14[[#This Row],[% INTERES ]]/30*U506))</f>
        <v>0</v>
      </c>
      <c r="T506" s="53" t="e">
        <f>Tabla14[[#This Row],[DEUDA CAPITAL]]+Tabla14[[#This Row],[INTERES  CUOTA]]</f>
        <v>#NUM!</v>
      </c>
      <c r="U506" s="61" t="str">
        <f t="shared" si="89"/>
        <v/>
      </c>
    </row>
    <row r="507" spans="9:21" ht="24.75" customHeight="1" x14ac:dyDescent="0.35">
      <c r="I507" s="42">
        <f t="shared" si="80"/>
        <v>0</v>
      </c>
      <c r="J507" s="65" t="e">
        <f t="shared" si="81"/>
        <v>#NUM!</v>
      </c>
      <c r="K507" s="83" t="e">
        <f t="shared" si="82"/>
        <v>#NUM!</v>
      </c>
      <c r="L507" s="83">
        <f t="shared" si="83"/>
        <v>0</v>
      </c>
      <c r="M507" s="110" t="str">
        <f t="shared" si="84"/>
        <v/>
      </c>
      <c r="N507" s="51" t="str">
        <f t="shared" si="85"/>
        <v/>
      </c>
      <c r="O507" s="52" t="str">
        <f t="shared" si="86"/>
        <v/>
      </c>
      <c r="P507" s="88">
        <f t="shared" si="87"/>
        <v>0</v>
      </c>
      <c r="Q507" s="88">
        <f t="shared" si="88"/>
        <v>0</v>
      </c>
      <c r="R507" s="88" t="e">
        <f>-IF(Tabla14[[#This Row],[DIAS HABILES O MORA]]&lt;0,(Tabla14[[#This Row],[VALOR PRESTAMO]]*Tabla14[[#This Row],[% INTERES ]]/30*U507))+Tabla14[[#This Row],[VALOR CUOTAS]]</f>
        <v>#VALUE!</v>
      </c>
      <c r="S507" s="88">
        <f>-IF(Tabla14[[#This Row],[DIAS HABILES O MORA]]&lt;0,(Tabla14[[#This Row],[VALOR PRESTAMO]]*Tabla14[[#This Row],[% INTERES ]]/30*U507))</f>
        <v>0</v>
      </c>
      <c r="T507" s="53" t="e">
        <f>Tabla14[[#This Row],[DEUDA CAPITAL]]+Tabla14[[#This Row],[INTERES  CUOTA]]</f>
        <v>#NUM!</v>
      </c>
      <c r="U507" s="61" t="str">
        <f t="shared" si="89"/>
        <v/>
      </c>
    </row>
    <row r="508" spans="9:21" ht="24.75" customHeight="1" x14ac:dyDescent="0.35">
      <c r="I508" s="42">
        <f t="shared" si="80"/>
        <v>0</v>
      </c>
      <c r="J508" s="65" t="e">
        <f t="shared" si="81"/>
        <v>#NUM!</v>
      </c>
      <c r="K508" s="83" t="e">
        <f t="shared" si="82"/>
        <v>#NUM!</v>
      </c>
      <c r="L508" s="83">
        <f t="shared" si="83"/>
        <v>0</v>
      </c>
      <c r="M508" s="110" t="str">
        <f t="shared" si="84"/>
        <v/>
      </c>
      <c r="N508" s="51" t="str">
        <f t="shared" si="85"/>
        <v/>
      </c>
      <c r="O508" s="52" t="str">
        <f t="shared" si="86"/>
        <v/>
      </c>
      <c r="P508" s="88">
        <f t="shared" si="87"/>
        <v>0</v>
      </c>
      <c r="Q508" s="88">
        <f t="shared" si="88"/>
        <v>0</v>
      </c>
      <c r="R508" s="88" t="e">
        <f>-IF(Tabla14[[#This Row],[DIAS HABILES O MORA]]&lt;0,(Tabla14[[#This Row],[VALOR PRESTAMO]]*Tabla14[[#This Row],[% INTERES ]]/30*U508))+Tabla14[[#This Row],[VALOR CUOTAS]]</f>
        <v>#VALUE!</v>
      </c>
      <c r="S508" s="88">
        <f>-IF(Tabla14[[#This Row],[DIAS HABILES O MORA]]&lt;0,(Tabla14[[#This Row],[VALOR PRESTAMO]]*Tabla14[[#This Row],[% INTERES ]]/30*U508))</f>
        <v>0</v>
      </c>
      <c r="T508" s="53" t="e">
        <f>Tabla14[[#This Row],[DEUDA CAPITAL]]+Tabla14[[#This Row],[INTERES  CUOTA]]</f>
        <v>#NUM!</v>
      </c>
      <c r="U508" s="61" t="str">
        <f t="shared" si="89"/>
        <v/>
      </c>
    </row>
    <row r="509" spans="9:21" ht="24.75" customHeight="1" x14ac:dyDescent="0.35">
      <c r="I509" s="42">
        <f t="shared" si="80"/>
        <v>0</v>
      </c>
      <c r="J509" s="65" t="e">
        <f t="shared" si="81"/>
        <v>#NUM!</v>
      </c>
      <c r="K509" s="83" t="e">
        <f t="shared" si="82"/>
        <v>#NUM!</v>
      </c>
      <c r="L509" s="83">
        <f t="shared" si="83"/>
        <v>0</v>
      </c>
      <c r="M509" s="110" t="str">
        <f t="shared" si="84"/>
        <v/>
      </c>
      <c r="N509" s="51" t="str">
        <f t="shared" si="85"/>
        <v/>
      </c>
      <c r="O509" s="52" t="str">
        <f t="shared" si="86"/>
        <v/>
      </c>
      <c r="P509" s="88">
        <f t="shared" si="87"/>
        <v>0</v>
      </c>
      <c r="Q509" s="88">
        <f t="shared" si="88"/>
        <v>0</v>
      </c>
      <c r="R509" s="88" t="e">
        <f>-IF(Tabla14[[#This Row],[DIAS HABILES O MORA]]&lt;0,(Tabla14[[#This Row],[VALOR PRESTAMO]]*Tabla14[[#This Row],[% INTERES ]]/30*U509))+Tabla14[[#This Row],[VALOR CUOTAS]]</f>
        <v>#VALUE!</v>
      </c>
      <c r="S509" s="88">
        <f>-IF(Tabla14[[#This Row],[DIAS HABILES O MORA]]&lt;0,(Tabla14[[#This Row],[VALOR PRESTAMO]]*Tabla14[[#This Row],[% INTERES ]]/30*U509))</f>
        <v>0</v>
      </c>
      <c r="T509" s="53" t="e">
        <f>Tabla14[[#This Row],[DEUDA CAPITAL]]+Tabla14[[#This Row],[INTERES  CUOTA]]</f>
        <v>#NUM!</v>
      </c>
      <c r="U509" s="61" t="str">
        <f t="shared" si="89"/>
        <v/>
      </c>
    </row>
    <row r="510" spans="9:21" ht="24.75" customHeight="1" x14ac:dyDescent="0.35">
      <c r="I510" s="42">
        <f t="shared" si="80"/>
        <v>0</v>
      </c>
      <c r="J510" s="65" t="e">
        <f t="shared" si="81"/>
        <v>#NUM!</v>
      </c>
      <c r="K510" s="83" t="e">
        <f t="shared" si="82"/>
        <v>#NUM!</v>
      </c>
      <c r="L510" s="83">
        <f t="shared" si="83"/>
        <v>0</v>
      </c>
      <c r="M510" s="110" t="str">
        <f t="shared" si="84"/>
        <v/>
      </c>
      <c r="N510" s="51" t="str">
        <f t="shared" si="85"/>
        <v/>
      </c>
      <c r="O510" s="52" t="str">
        <f t="shared" si="86"/>
        <v/>
      </c>
      <c r="P510" s="88">
        <f t="shared" si="87"/>
        <v>0</v>
      </c>
      <c r="Q510" s="88">
        <f t="shared" si="88"/>
        <v>0</v>
      </c>
      <c r="R510" s="88" t="e">
        <f>-IF(Tabla14[[#This Row],[DIAS HABILES O MORA]]&lt;0,(Tabla14[[#This Row],[VALOR PRESTAMO]]*Tabla14[[#This Row],[% INTERES ]]/30*U510))+Tabla14[[#This Row],[VALOR CUOTAS]]</f>
        <v>#VALUE!</v>
      </c>
      <c r="S510" s="88">
        <f>-IF(Tabla14[[#This Row],[DIAS HABILES O MORA]]&lt;0,(Tabla14[[#This Row],[VALOR PRESTAMO]]*Tabla14[[#This Row],[% INTERES ]]/30*U510))</f>
        <v>0</v>
      </c>
      <c r="T510" s="53" t="e">
        <f>Tabla14[[#This Row],[DEUDA CAPITAL]]+Tabla14[[#This Row],[INTERES  CUOTA]]</f>
        <v>#NUM!</v>
      </c>
      <c r="U510" s="61" t="str">
        <f t="shared" si="89"/>
        <v/>
      </c>
    </row>
    <row r="511" spans="9:21" ht="24.75" customHeight="1" x14ac:dyDescent="0.35">
      <c r="I511" s="42">
        <f t="shared" si="80"/>
        <v>0</v>
      </c>
      <c r="J511" s="65" t="e">
        <f t="shared" si="81"/>
        <v>#NUM!</v>
      </c>
      <c r="K511" s="83" t="e">
        <f t="shared" si="82"/>
        <v>#NUM!</v>
      </c>
      <c r="L511" s="83">
        <f t="shared" si="83"/>
        <v>0</v>
      </c>
      <c r="M511" s="110" t="str">
        <f t="shared" si="84"/>
        <v/>
      </c>
      <c r="N511" s="51" t="str">
        <f t="shared" si="85"/>
        <v/>
      </c>
      <c r="O511" s="52" t="str">
        <f t="shared" si="86"/>
        <v/>
      </c>
      <c r="P511" s="88">
        <f t="shared" si="87"/>
        <v>0</v>
      </c>
      <c r="Q511" s="88">
        <f t="shared" si="88"/>
        <v>0</v>
      </c>
      <c r="R511" s="88" t="e">
        <f>-IF(Tabla14[[#This Row],[DIAS HABILES O MORA]]&lt;0,(Tabla14[[#This Row],[VALOR PRESTAMO]]*Tabla14[[#This Row],[% INTERES ]]/30*U511))+Tabla14[[#This Row],[VALOR CUOTAS]]</f>
        <v>#VALUE!</v>
      </c>
      <c r="S511" s="88">
        <f>-IF(Tabla14[[#This Row],[DIAS HABILES O MORA]]&lt;0,(Tabla14[[#This Row],[VALOR PRESTAMO]]*Tabla14[[#This Row],[% INTERES ]]/30*U511))</f>
        <v>0</v>
      </c>
      <c r="T511" s="53" t="e">
        <f>Tabla14[[#This Row],[DEUDA CAPITAL]]+Tabla14[[#This Row],[INTERES  CUOTA]]</f>
        <v>#NUM!</v>
      </c>
      <c r="U511" s="61" t="str">
        <f t="shared" si="89"/>
        <v/>
      </c>
    </row>
    <row r="512" spans="9:21" ht="24.75" customHeight="1" x14ac:dyDescent="0.35">
      <c r="I512" s="42">
        <f t="shared" si="80"/>
        <v>0</v>
      </c>
      <c r="J512" s="65" t="e">
        <f t="shared" si="81"/>
        <v>#NUM!</v>
      </c>
      <c r="K512" s="83" t="e">
        <f t="shared" si="82"/>
        <v>#NUM!</v>
      </c>
      <c r="L512" s="83">
        <f t="shared" si="83"/>
        <v>0</v>
      </c>
      <c r="M512" s="110" t="str">
        <f t="shared" si="84"/>
        <v/>
      </c>
      <c r="N512" s="51" t="str">
        <f t="shared" si="85"/>
        <v/>
      </c>
      <c r="O512" s="52" t="str">
        <f t="shared" si="86"/>
        <v/>
      </c>
      <c r="P512" s="88">
        <f t="shared" si="87"/>
        <v>0</v>
      </c>
      <c r="Q512" s="88">
        <f t="shared" si="88"/>
        <v>0</v>
      </c>
      <c r="R512" s="88" t="e">
        <f>-IF(Tabla14[[#This Row],[DIAS HABILES O MORA]]&lt;0,(Tabla14[[#This Row],[VALOR PRESTAMO]]*Tabla14[[#This Row],[% INTERES ]]/30*U512))+Tabla14[[#This Row],[VALOR CUOTAS]]</f>
        <v>#VALUE!</v>
      </c>
      <c r="S512" s="88">
        <f>-IF(Tabla14[[#This Row],[DIAS HABILES O MORA]]&lt;0,(Tabla14[[#This Row],[VALOR PRESTAMO]]*Tabla14[[#This Row],[% INTERES ]]/30*U512))</f>
        <v>0</v>
      </c>
      <c r="T512" s="53" t="e">
        <f>Tabla14[[#This Row],[DEUDA CAPITAL]]+Tabla14[[#This Row],[INTERES  CUOTA]]</f>
        <v>#NUM!</v>
      </c>
      <c r="U512" s="61" t="str">
        <f t="shared" si="89"/>
        <v/>
      </c>
    </row>
    <row r="513" spans="9:21" ht="24.75" customHeight="1" x14ac:dyDescent="0.35">
      <c r="I513" s="42">
        <f t="shared" si="80"/>
        <v>0</v>
      </c>
      <c r="J513" s="65" t="e">
        <f t="shared" si="81"/>
        <v>#NUM!</v>
      </c>
      <c r="K513" s="83" t="e">
        <f t="shared" si="82"/>
        <v>#NUM!</v>
      </c>
      <c r="L513" s="83">
        <f t="shared" si="83"/>
        <v>0</v>
      </c>
      <c r="M513" s="110" t="str">
        <f t="shared" si="84"/>
        <v/>
      </c>
      <c r="N513" s="51" t="str">
        <f t="shared" si="85"/>
        <v/>
      </c>
      <c r="O513" s="52" t="str">
        <f t="shared" si="86"/>
        <v/>
      </c>
      <c r="P513" s="88">
        <f t="shared" si="87"/>
        <v>0</v>
      </c>
      <c r="Q513" s="88">
        <f t="shared" si="88"/>
        <v>0</v>
      </c>
      <c r="R513" s="88" t="e">
        <f>-IF(Tabla14[[#This Row],[DIAS HABILES O MORA]]&lt;0,(Tabla14[[#This Row],[VALOR PRESTAMO]]*Tabla14[[#This Row],[% INTERES ]]/30*U513))+Tabla14[[#This Row],[VALOR CUOTAS]]</f>
        <v>#VALUE!</v>
      </c>
      <c r="S513" s="88">
        <f>-IF(Tabla14[[#This Row],[DIAS HABILES O MORA]]&lt;0,(Tabla14[[#This Row],[VALOR PRESTAMO]]*Tabla14[[#This Row],[% INTERES ]]/30*U513))</f>
        <v>0</v>
      </c>
      <c r="T513" s="53" t="e">
        <f>Tabla14[[#This Row],[DEUDA CAPITAL]]+Tabla14[[#This Row],[INTERES  CUOTA]]</f>
        <v>#NUM!</v>
      </c>
      <c r="U513" s="61" t="str">
        <f t="shared" si="89"/>
        <v/>
      </c>
    </row>
    <row r="514" spans="9:21" ht="24.75" customHeight="1" x14ac:dyDescent="0.35">
      <c r="I514" s="42">
        <f t="shared" si="80"/>
        <v>0</v>
      </c>
      <c r="J514" s="65" t="e">
        <f t="shared" si="81"/>
        <v>#NUM!</v>
      </c>
      <c r="K514" s="83" t="e">
        <f t="shared" si="82"/>
        <v>#NUM!</v>
      </c>
      <c r="L514" s="83">
        <f t="shared" si="83"/>
        <v>0</v>
      </c>
      <c r="M514" s="110" t="str">
        <f t="shared" si="84"/>
        <v/>
      </c>
      <c r="N514" s="51" t="str">
        <f t="shared" si="85"/>
        <v/>
      </c>
      <c r="O514" s="52" t="str">
        <f t="shared" si="86"/>
        <v/>
      </c>
      <c r="P514" s="88">
        <f t="shared" si="87"/>
        <v>0</v>
      </c>
      <c r="Q514" s="88">
        <f t="shared" si="88"/>
        <v>0</v>
      </c>
      <c r="R514" s="88" t="e">
        <f>-IF(Tabla14[[#This Row],[DIAS HABILES O MORA]]&lt;0,(Tabla14[[#This Row],[VALOR PRESTAMO]]*Tabla14[[#This Row],[% INTERES ]]/30*U514))+Tabla14[[#This Row],[VALOR CUOTAS]]</f>
        <v>#VALUE!</v>
      </c>
      <c r="S514" s="88">
        <f>-IF(Tabla14[[#This Row],[DIAS HABILES O MORA]]&lt;0,(Tabla14[[#This Row],[VALOR PRESTAMO]]*Tabla14[[#This Row],[% INTERES ]]/30*U514))</f>
        <v>0</v>
      </c>
      <c r="T514" s="53" t="e">
        <f>Tabla14[[#This Row],[DEUDA CAPITAL]]+Tabla14[[#This Row],[INTERES  CUOTA]]</f>
        <v>#NUM!</v>
      </c>
      <c r="U514" s="61" t="str">
        <f t="shared" si="89"/>
        <v/>
      </c>
    </row>
    <row r="515" spans="9:21" ht="24.75" customHeight="1" x14ac:dyDescent="0.35">
      <c r="I515" s="42">
        <f t="shared" si="80"/>
        <v>0</v>
      </c>
      <c r="J515" s="65" t="e">
        <f t="shared" si="81"/>
        <v>#NUM!</v>
      </c>
      <c r="K515" s="83" t="e">
        <f t="shared" si="82"/>
        <v>#NUM!</v>
      </c>
      <c r="L515" s="83">
        <f t="shared" si="83"/>
        <v>0</v>
      </c>
      <c r="M515" s="110" t="str">
        <f t="shared" si="84"/>
        <v/>
      </c>
      <c r="N515" s="51" t="str">
        <f t="shared" si="85"/>
        <v/>
      </c>
      <c r="O515" s="52" t="str">
        <f t="shared" si="86"/>
        <v/>
      </c>
      <c r="P515" s="88">
        <f t="shared" si="87"/>
        <v>0</v>
      </c>
      <c r="Q515" s="88">
        <f t="shared" si="88"/>
        <v>0</v>
      </c>
      <c r="R515" s="88" t="e">
        <f>-IF(Tabla14[[#This Row],[DIAS HABILES O MORA]]&lt;0,(Tabla14[[#This Row],[VALOR PRESTAMO]]*Tabla14[[#This Row],[% INTERES ]]/30*U515))+Tabla14[[#This Row],[VALOR CUOTAS]]</f>
        <v>#VALUE!</v>
      </c>
      <c r="S515" s="88">
        <f>-IF(Tabla14[[#This Row],[DIAS HABILES O MORA]]&lt;0,(Tabla14[[#This Row],[VALOR PRESTAMO]]*Tabla14[[#This Row],[% INTERES ]]/30*U515))</f>
        <v>0</v>
      </c>
      <c r="T515" s="53" t="e">
        <f>Tabla14[[#This Row],[DEUDA CAPITAL]]+Tabla14[[#This Row],[INTERES  CUOTA]]</f>
        <v>#NUM!</v>
      </c>
      <c r="U515" s="61" t="str">
        <f t="shared" si="89"/>
        <v/>
      </c>
    </row>
    <row r="516" spans="9:21" ht="24.75" customHeight="1" x14ac:dyDescent="0.35">
      <c r="I516" s="42">
        <f t="shared" si="80"/>
        <v>0</v>
      </c>
      <c r="J516" s="65" t="e">
        <f t="shared" si="81"/>
        <v>#NUM!</v>
      </c>
      <c r="K516" s="83" t="e">
        <f t="shared" si="82"/>
        <v>#NUM!</v>
      </c>
      <c r="L516" s="83">
        <f t="shared" si="83"/>
        <v>0</v>
      </c>
      <c r="M516" s="110" t="str">
        <f t="shared" si="84"/>
        <v/>
      </c>
      <c r="N516" s="51" t="str">
        <f t="shared" si="85"/>
        <v/>
      </c>
      <c r="O516" s="52" t="str">
        <f t="shared" si="86"/>
        <v/>
      </c>
      <c r="P516" s="88">
        <f t="shared" si="87"/>
        <v>0</v>
      </c>
      <c r="Q516" s="88">
        <f t="shared" si="88"/>
        <v>0</v>
      </c>
      <c r="R516" s="88" t="e">
        <f>-IF(Tabla14[[#This Row],[DIAS HABILES O MORA]]&lt;0,(Tabla14[[#This Row],[VALOR PRESTAMO]]*Tabla14[[#This Row],[% INTERES ]]/30*U516))+Tabla14[[#This Row],[VALOR CUOTAS]]</f>
        <v>#VALUE!</v>
      </c>
      <c r="S516" s="88">
        <f>-IF(Tabla14[[#This Row],[DIAS HABILES O MORA]]&lt;0,(Tabla14[[#This Row],[VALOR PRESTAMO]]*Tabla14[[#This Row],[% INTERES ]]/30*U516))</f>
        <v>0</v>
      </c>
      <c r="T516" s="53" t="e">
        <f>Tabla14[[#This Row],[DEUDA CAPITAL]]+Tabla14[[#This Row],[INTERES  CUOTA]]</f>
        <v>#NUM!</v>
      </c>
      <c r="U516" s="61" t="str">
        <f t="shared" si="89"/>
        <v/>
      </c>
    </row>
    <row r="517" spans="9:21" ht="24.75" customHeight="1" x14ac:dyDescent="0.35">
      <c r="I517" s="42">
        <f t="shared" si="80"/>
        <v>0</v>
      </c>
      <c r="J517" s="65" t="e">
        <f t="shared" si="81"/>
        <v>#NUM!</v>
      </c>
      <c r="K517" s="83" t="e">
        <f t="shared" si="82"/>
        <v>#NUM!</v>
      </c>
      <c r="L517" s="83">
        <f t="shared" si="83"/>
        <v>0</v>
      </c>
      <c r="M517" s="110" t="str">
        <f t="shared" si="84"/>
        <v/>
      </c>
      <c r="N517" s="51" t="str">
        <f t="shared" si="85"/>
        <v/>
      </c>
      <c r="O517" s="52" t="str">
        <f t="shared" si="86"/>
        <v/>
      </c>
      <c r="P517" s="88">
        <f t="shared" si="87"/>
        <v>0</v>
      </c>
      <c r="Q517" s="88">
        <f t="shared" si="88"/>
        <v>0</v>
      </c>
      <c r="R517" s="88" t="e">
        <f>-IF(Tabla14[[#This Row],[DIAS HABILES O MORA]]&lt;0,(Tabla14[[#This Row],[VALOR PRESTAMO]]*Tabla14[[#This Row],[% INTERES ]]/30*U517))+Tabla14[[#This Row],[VALOR CUOTAS]]</f>
        <v>#VALUE!</v>
      </c>
      <c r="S517" s="88">
        <f>-IF(Tabla14[[#This Row],[DIAS HABILES O MORA]]&lt;0,(Tabla14[[#This Row],[VALOR PRESTAMO]]*Tabla14[[#This Row],[% INTERES ]]/30*U517))</f>
        <v>0</v>
      </c>
      <c r="T517" s="53" t="e">
        <f>Tabla14[[#This Row],[DEUDA CAPITAL]]+Tabla14[[#This Row],[INTERES  CUOTA]]</f>
        <v>#NUM!</v>
      </c>
      <c r="U517" s="61" t="str">
        <f t="shared" si="89"/>
        <v/>
      </c>
    </row>
    <row r="518" spans="9:21" ht="24.75" customHeight="1" x14ac:dyDescent="0.35">
      <c r="I518" s="42">
        <f t="shared" si="80"/>
        <v>0</v>
      </c>
      <c r="J518" s="65" t="e">
        <f t="shared" si="81"/>
        <v>#NUM!</v>
      </c>
      <c r="K518" s="83" t="e">
        <f t="shared" si="82"/>
        <v>#NUM!</v>
      </c>
      <c r="L518" s="83">
        <f t="shared" si="83"/>
        <v>0</v>
      </c>
      <c r="M518" s="110" t="str">
        <f t="shared" si="84"/>
        <v/>
      </c>
      <c r="N518" s="51" t="str">
        <f t="shared" si="85"/>
        <v/>
      </c>
      <c r="O518" s="52" t="str">
        <f t="shared" si="86"/>
        <v/>
      </c>
      <c r="P518" s="88">
        <f t="shared" si="87"/>
        <v>0</v>
      </c>
      <c r="Q518" s="88">
        <f t="shared" si="88"/>
        <v>0</v>
      </c>
      <c r="R518" s="88" t="e">
        <f>-IF(Tabla14[[#This Row],[DIAS HABILES O MORA]]&lt;0,(Tabla14[[#This Row],[VALOR PRESTAMO]]*Tabla14[[#This Row],[% INTERES ]]/30*U518))+Tabla14[[#This Row],[VALOR CUOTAS]]</f>
        <v>#VALUE!</v>
      </c>
      <c r="S518" s="88">
        <f>-IF(Tabla14[[#This Row],[DIAS HABILES O MORA]]&lt;0,(Tabla14[[#This Row],[VALOR PRESTAMO]]*Tabla14[[#This Row],[% INTERES ]]/30*U518))</f>
        <v>0</v>
      </c>
      <c r="T518" s="53" t="e">
        <f>Tabla14[[#This Row],[DEUDA CAPITAL]]+Tabla14[[#This Row],[INTERES  CUOTA]]</f>
        <v>#NUM!</v>
      </c>
      <c r="U518" s="61" t="str">
        <f t="shared" si="89"/>
        <v/>
      </c>
    </row>
    <row r="519" spans="9:21" ht="24.75" customHeight="1" x14ac:dyDescent="0.35">
      <c r="I519" s="42">
        <f t="shared" si="80"/>
        <v>0</v>
      </c>
      <c r="J519" s="65" t="e">
        <f t="shared" si="81"/>
        <v>#NUM!</v>
      </c>
      <c r="K519" s="83" t="e">
        <f t="shared" si="82"/>
        <v>#NUM!</v>
      </c>
      <c r="L519" s="83">
        <f t="shared" si="83"/>
        <v>0</v>
      </c>
      <c r="M519" s="110" t="str">
        <f t="shared" si="84"/>
        <v/>
      </c>
      <c r="N519" s="51" t="str">
        <f t="shared" si="85"/>
        <v/>
      </c>
      <c r="O519" s="52" t="str">
        <f t="shared" si="86"/>
        <v/>
      </c>
      <c r="P519" s="88">
        <f t="shared" si="87"/>
        <v>0</v>
      </c>
      <c r="Q519" s="88">
        <f t="shared" si="88"/>
        <v>0</v>
      </c>
      <c r="R519" s="88" t="e">
        <f>-IF(Tabla14[[#This Row],[DIAS HABILES O MORA]]&lt;0,(Tabla14[[#This Row],[VALOR PRESTAMO]]*Tabla14[[#This Row],[% INTERES ]]/30*U519))+Tabla14[[#This Row],[VALOR CUOTAS]]</f>
        <v>#VALUE!</v>
      </c>
      <c r="S519" s="88">
        <f>-IF(Tabla14[[#This Row],[DIAS HABILES O MORA]]&lt;0,(Tabla14[[#This Row],[VALOR PRESTAMO]]*Tabla14[[#This Row],[% INTERES ]]/30*U519))</f>
        <v>0</v>
      </c>
      <c r="T519" s="53" t="e">
        <f>Tabla14[[#This Row],[DEUDA CAPITAL]]+Tabla14[[#This Row],[INTERES  CUOTA]]</f>
        <v>#NUM!</v>
      </c>
      <c r="U519" s="61" t="str">
        <f t="shared" si="89"/>
        <v/>
      </c>
    </row>
    <row r="520" spans="9:21" ht="24.75" customHeight="1" x14ac:dyDescent="0.35">
      <c r="I520" s="42">
        <f t="shared" si="80"/>
        <v>0</v>
      </c>
      <c r="J520" s="65" t="e">
        <f t="shared" si="81"/>
        <v>#NUM!</v>
      </c>
      <c r="K520" s="83" t="e">
        <f t="shared" si="82"/>
        <v>#NUM!</v>
      </c>
      <c r="L520" s="83">
        <f t="shared" si="83"/>
        <v>0</v>
      </c>
      <c r="M520" s="110" t="str">
        <f t="shared" si="84"/>
        <v/>
      </c>
      <c r="N520" s="51" t="str">
        <f t="shared" si="85"/>
        <v/>
      </c>
      <c r="O520" s="52" t="str">
        <f t="shared" si="86"/>
        <v/>
      </c>
      <c r="P520" s="88">
        <f t="shared" si="87"/>
        <v>0</v>
      </c>
      <c r="Q520" s="88">
        <f t="shared" si="88"/>
        <v>0</v>
      </c>
      <c r="R520" s="88" t="e">
        <f>-IF(Tabla14[[#This Row],[DIAS HABILES O MORA]]&lt;0,(Tabla14[[#This Row],[VALOR PRESTAMO]]*Tabla14[[#This Row],[% INTERES ]]/30*U520))+Tabla14[[#This Row],[VALOR CUOTAS]]</f>
        <v>#VALUE!</v>
      </c>
      <c r="S520" s="88">
        <f>-IF(Tabla14[[#This Row],[DIAS HABILES O MORA]]&lt;0,(Tabla14[[#This Row],[VALOR PRESTAMO]]*Tabla14[[#This Row],[% INTERES ]]/30*U520))</f>
        <v>0</v>
      </c>
      <c r="T520" s="53" t="e">
        <f>Tabla14[[#This Row],[DEUDA CAPITAL]]+Tabla14[[#This Row],[INTERES  CUOTA]]</f>
        <v>#NUM!</v>
      </c>
      <c r="U520" s="61" t="str">
        <f t="shared" si="89"/>
        <v/>
      </c>
    </row>
    <row r="521" spans="9:21" ht="24.75" customHeight="1" x14ac:dyDescent="0.35">
      <c r="I521" s="42">
        <f t="shared" si="80"/>
        <v>0</v>
      </c>
      <c r="J521" s="65" t="e">
        <f t="shared" si="81"/>
        <v>#NUM!</v>
      </c>
      <c r="K521" s="83" t="e">
        <f t="shared" si="82"/>
        <v>#NUM!</v>
      </c>
      <c r="L521" s="83">
        <f t="shared" si="83"/>
        <v>0</v>
      </c>
      <c r="M521" s="110" t="str">
        <f t="shared" si="84"/>
        <v/>
      </c>
      <c r="N521" s="51" t="str">
        <f t="shared" si="85"/>
        <v/>
      </c>
      <c r="O521" s="52" t="str">
        <f t="shared" si="86"/>
        <v/>
      </c>
      <c r="P521" s="88">
        <f t="shared" si="87"/>
        <v>0</v>
      </c>
      <c r="Q521" s="88">
        <f t="shared" si="88"/>
        <v>0</v>
      </c>
      <c r="R521" s="88" t="e">
        <f>-IF(Tabla14[[#This Row],[DIAS HABILES O MORA]]&lt;0,(Tabla14[[#This Row],[VALOR PRESTAMO]]*Tabla14[[#This Row],[% INTERES ]]/30*U521))+Tabla14[[#This Row],[VALOR CUOTAS]]</f>
        <v>#VALUE!</v>
      </c>
      <c r="S521" s="88">
        <f>-IF(Tabla14[[#This Row],[DIAS HABILES O MORA]]&lt;0,(Tabla14[[#This Row],[VALOR PRESTAMO]]*Tabla14[[#This Row],[% INTERES ]]/30*U521))</f>
        <v>0</v>
      </c>
      <c r="T521" s="53" t="e">
        <f>Tabla14[[#This Row],[DEUDA CAPITAL]]+Tabla14[[#This Row],[INTERES  CUOTA]]</f>
        <v>#NUM!</v>
      </c>
      <c r="U521" s="61" t="str">
        <f t="shared" si="89"/>
        <v/>
      </c>
    </row>
    <row r="522" spans="9:21" ht="24.75" customHeight="1" x14ac:dyDescent="0.35">
      <c r="I522" s="42">
        <f t="shared" si="80"/>
        <v>0</v>
      </c>
      <c r="J522" s="65" t="e">
        <f t="shared" si="81"/>
        <v>#NUM!</v>
      </c>
      <c r="K522" s="83" t="e">
        <f t="shared" si="82"/>
        <v>#NUM!</v>
      </c>
      <c r="L522" s="83">
        <f t="shared" si="83"/>
        <v>0</v>
      </c>
      <c r="M522" s="110" t="str">
        <f t="shared" si="84"/>
        <v/>
      </c>
      <c r="N522" s="51" t="str">
        <f t="shared" si="85"/>
        <v/>
      </c>
      <c r="O522" s="52" t="str">
        <f t="shared" si="86"/>
        <v/>
      </c>
      <c r="P522" s="88">
        <f t="shared" si="87"/>
        <v>0</v>
      </c>
      <c r="Q522" s="88">
        <f t="shared" si="88"/>
        <v>0</v>
      </c>
      <c r="R522" s="88" t="e">
        <f>-IF(Tabla14[[#This Row],[DIAS HABILES O MORA]]&lt;0,(Tabla14[[#This Row],[VALOR PRESTAMO]]*Tabla14[[#This Row],[% INTERES ]]/30*U522))+Tabla14[[#This Row],[VALOR CUOTAS]]</f>
        <v>#VALUE!</v>
      </c>
      <c r="S522" s="88">
        <f>-IF(Tabla14[[#This Row],[DIAS HABILES O MORA]]&lt;0,(Tabla14[[#This Row],[VALOR PRESTAMO]]*Tabla14[[#This Row],[% INTERES ]]/30*U522))</f>
        <v>0</v>
      </c>
      <c r="T522" s="53" t="e">
        <f>Tabla14[[#This Row],[DEUDA CAPITAL]]+Tabla14[[#This Row],[INTERES  CUOTA]]</f>
        <v>#NUM!</v>
      </c>
      <c r="U522" s="61" t="str">
        <f t="shared" si="89"/>
        <v/>
      </c>
    </row>
    <row r="523" spans="9:21" ht="24.75" customHeight="1" x14ac:dyDescent="0.35">
      <c r="I523" s="42">
        <f t="shared" si="80"/>
        <v>0</v>
      </c>
      <c r="J523" s="65" t="e">
        <f t="shared" si="81"/>
        <v>#NUM!</v>
      </c>
      <c r="K523" s="83" t="e">
        <f t="shared" si="82"/>
        <v>#NUM!</v>
      </c>
      <c r="L523" s="83">
        <f t="shared" si="83"/>
        <v>0</v>
      </c>
      <c r="M523" s="110" t="str">
        <f t="shared" si="84"/>
        <v/>
      </c>
      <c r="N523" s="51" t="str">
        <f t="shared" si="85"/>
        <v/>
      </c>
      <c r="O523" s="52" t="str">
        <f t="shared" si="86"/>
        <v/>
      </c>
      <c r="P523" s="88">
        <f t="shared" si="87"/>
        <v>0</v>
      </c>
      <c r="Q523" s="88">
        <f t="shared" si="88"/>
        <v>0</v>
      </c>
      <c r="R523" s="88" t="e">
        <f>-IF(Tabla14[[#This Row],[DIAS HABILES O MORA]]&lt;0,(Tabla14[[#This Row],[VALOR PRESTAMO]]*Tabla14[[#This Row],[% INTERES ]]/30*U523))+Tabla14[[#This Row],[VALOR CUOTAS]]</f>
        <v>#VALUE!</v>
      </c>
      <c r="S523" s="88">
        <f>-IF(Tabla14[[#This Row],[DIAS HABILES O MORA]]&lt;0,(Tabla14[[#This Row],[VALOR PRESTAMO]]*Tabla14[[#This Row],[% INTERES ]]/30*U523))</f>
        <v>0</v>
      </c>
      <c r="T523" s="53" t="e">
        <f>Tabla14[[#This Row],[DEUDA CAPITAL]]+Tabla14[[#This Row],[INTERES  CUOTA]]</f>
        <v>#NUM!</v>
      </c>
      <c r="U523" s="61" t="str">
        <f t="shared" si="89"/>
        <v/>
      </c>
    </row>
    <row r="524" spans="9:21" ht="24.75" customHeight="1" x14ac:dyDescent="0.35">
      <c r="I524" s="42">
        <f t="shared" si="80"/>
        <v>0</v>
      </c>
      <c r="J524" s="65" t="e">
        <f t="shared" si="81"/>
        <v>#NUM!</v>
      </c>
      <c r="K524" s="83" t="e">
        <f t="shared" si="82"/>
        <v>#NUM!</v>
      </c>
      <c r="L524" s="83">
        <f t="shared" si="83"/>
        <v>0</v>
      </c>
      <c r="M524" s="110" t="str">
        <f t="shared" si="84"/>
        <v/>
      </c>
      <c r="N524" s="51" t="str">
        <f t="shared" si="85"/>
        <v/>
      </c>
      <c r="O524" s="52" t="str">
        <f t="shared" si="86"/>
        <v/>
      </c>
      <c r="P524" s="88">
        <f t="shared" si="87"/>
        <v>0</v>
      </c>
      <c r="Q524" s="88">
        <f t="shared" si="88"/>
        <v>0</v>
      </c>
      <c r="R524" s="88" t="e">
        <f>-IF(Tabla14[[#This Row],[DIAS HABILES O MORA]]&lt;0,(Tabla14[[#This Row],[VALOR PRESTAMO]]*Tabla14[[#This Row],[% INTERES ]]/30*U524))+Tabla14[[#This Row],[VALOR CUOTAS]]</f>
        <v>#VALUE!</v>
      </c>
      <c r="S524" s="88">
        <f>-IF(Tabla14[[#This Row],[DIAS HABILES O MORA]]&lt;0,(Tabla14[[#This Row],[VALOR PRESTAMO]]*Tabla14[[#This Row],[% INTERES ]]/30*U524))</f>
        <v>0</v>
      </c>
      <c r="T524" s="53" t="e">
        <f>Tabla14[[#This Row],[DEUDA CAPITAL]]+Tabla14[[#This Row],[INTERES  CUOTA]]</f>
        <v>#NUM!</v>
      </c>
      <c r="U524" s="61" t="str">
        <f t="shared" si="89"/>
        <v/>
      </c>
    </row>
    <row r="525" spans="9:21" ht="24.75" customHeight="1" x14ac:dyDescent="0.35">
      <c r="I525" s="42">
        <f t="shared" si="80"/>
        <v>0</v>
      </c>
      <c r="J525" s="65" t="e">
        <f t="shared" si="81"/>
        <v>#NUM!</v>
      </c>
      <c r="K525" s="83" t="e">
        <f t="shared" si="82"/>
        <v>#NUM!</v>
      </c>
      <c r="L525" s="83">
        <f t="shared" si="83"/>
        <v>0</v>
      </c>
      <c r="M525" s="110" t="str">
        <f t="shared" si="84"/>
        <v/>
      </c>
      <c r="N525" s="51" t="str">
        <f t="shared" si="85"/>
        <v/>
      </c>
      <c r="O525" s="52" t="str">
        <f t="shared" si="86"/>
        <v/>
      </c>
      <c r="P525" s="88">
        <f t="shared" si="87"/>
        <v>0</v>
      </c>
      <c r="Q525" s="88">
        <f t="shared" si="88"/>
        <v>0</v>
      </c>
      <c r="R525" s="88" t="e">
        <f>-IF(Tabla14[[#This Row],[DIAS HABILES O MORA]]&lt;0,(Tabla14[[#This Row],[VALOR PRESTAMO]]*Tabla14[[#This Row],[% INTERES ]]/30*U525))+Tabla14[[#This Row],[VALOR CUOTAS]]</f>
        <v>#VALUE!</v>
      </c>
      <c r="S525" s="88">
        <f>-IF(Tabla14[[#This Row],[DIAS HABILES O MORA]]&lt;0,(Tabla14[[#This Row],[VALOR PRESTAMO]]*Tabla14[[#This Row],[% INTERES ]]/30*U525))</f>
        <v>0</v>
      </c>
      <c r="T525" s="53" t="e">
        <f>Tabla14[[#This Row],[DEUDA CAPITAL]]+Tabla14[[#This Row],[INTERES  CUOTA]]</f>
        <v>#NUM!</v>
      </c>
      <c r="U525" s="61" t="str">
        <f t="shared" si="89"/>
        <v/>
      </c>
    </row>
    <row r="526" spans="9:21" ht="24.75" customHeight="1" x14ac:dyDescent="0.35">
      <c r="I526" s="42">
        <f t="shared" si="80"/>
        <v>0</v>
      </c>
      <c r="J526" s="65" t="e">
        <f t="shared" si="81"/>
        <v>#NUM!</v>
      </c>
      <c r="K526" s="83" t="e">
        <f t="shared" si="82"/>
        <v>#NUM!</v>
      </c>
      <c r="L526" s="83">
        <f t="shared" si="83"/>
        <v>0</v>
      </c>
      <c r="M526" s="110" t="str">
        <f t="shared" si="84"/>
        <v/>
      </c>
      <c r="N526" s="51" t="str">
        <f t="shared" si="85"/>
        <v/>
      </c>
      <c r="O526" s="52" t="str">
        <f t="shared" si="86"/>
        <v/>
      </c>
      <c r="P526" s="88">
        <f t="shared" si="87"/>
        <v>0</v>
      </c>
      <c r="Q526" s="88">
        <f t="shared" si="88"/>
        <v>0</v>
      </c>
      <c r="R526" s="88" t="e">
        <f>-IF(Tabla14[[#This Row],[DIAS HABILES O MORA]]&lt;0,(Tabla14[[#This Row],[VALOR PRESTAMO]]*Tabla14[[#This Row],[% INTERES ]]/30*U526))+Tabla14[[#This Row],[VALOR CUOTAS]]</f>
        <v>#VALUE!</v>
      </c>
      <c r="S526" s="88">
        <f>-IF(Tabla14[[#This Row],[DIAS HABILES O MORA]]&lt;0,(Tabla14[[#This Row],[VALOR PRESTAMO]]*Tabla14[[#This Row],[% INTERES ]]/30*U526))</f>
        <v>0</v>
      </c>
      <c r="T526" s="53" t="e">
        <f>Tabla14[[#This Row],[DEUDA CAPITAL]]+Tabla14[[#This Row],[INTERES  CUOTA]]</f>
        <v>#NUM!</v>
      </c>
      <c r="U526" s="61" t="str">
        <f t="shared" si="89"/>
        <v/>
      </c>
    </row>
    <row r="527" spans="9:21" ht="24.75" customHeight="1" x14ac:dyDescent="0.35">
      <c r="I527" s="42">
        <f t="shared" si="80"/>
        <v>0</v>
      </c>
      <c r="J527" s="65" t="e">
        <f t="shared" si="81"/>
        <v>#NUM!</v>
      </c>
      <c r="K527" s="83" t="e">
        <f t="shared" si="82"/>
        <v>#NUM!</v>
      </c>
      <c r="L527" s="83">
        <f t="shared" si="83"/>
        <v>0</v>
      </c>
      <c r="M527" s="110" t="str">
        <f t="shared" si="84"/>
        <v/>
      </c>
      <c r="N527" s="51" t="str">
        <f t="shared" si="85"/>
        <v/>
      </c>
      <c r="O527" s="52" t="str">
        <f t="shared" si="86"/>
        <v/>
      </c>
      <c r="P527" s="88">
        <f t="shared" si="87"/>
        <v>0</v>
      </c>
      <c r="Q527" s="88">
        <f t="shared" si="88"/>
        <v>0</v>
      </c>
      <c r="R527" s="88" t="e">
        <f>-IF(Tabla14[[#This Row],[DIAS HABILES O MORA]]&lt;0,(Tabla14[[#This Row],[VALOR PRESTAMO]]*Tabla14[[#This Row],[% INTERES ]]/30*U527))+Tabla14[[#This Row],[VALOR CUOTAS]]</f>
        <v>#VALUE!</v>
      </c>
      <c r="S527" s="88">
        <f>-IF(Tabla14[[#This Row],[DIAS HABILES O MORA]]&lt;0,(Tabla14[[#This Row],[VALOR PRESTAMO]]*Tabla14[[#This Row],[% INTERES ]]/30*U527))</f>
        <v>0</v>
      </c>
      <c r="T527" s="53" t="e">
        <f>Tabla14[[#This Row],[DEUDA CAPITAL]]+Tabla14[[#This Row],[INTERES  CUOTA]]</f>
        <v>#NUM!</v>
      </c>
      <c r="U527" s="61" t="str">
        <f t="shared" si="89"/>
        <v/>
      </c>
    </row>
    <row r="528" spans="9:21" ht="24.75" customHeight="1" x14ac:dyDescent="0.35">
      <c r="I528" s="42">
        <f t="shared" ref="I528:I591" si="90">IF(C528&lt;0,"",IF(Q528=0,0,IF(G528=0,H528+1,IF(H528&lt;G528,H528+1,IF(G528=H528,0)))))</f>
        <v>0</v>
      </c>
      <c r="J528" s="65" t="e">
        <f t="shared" ref="J528:J591" si="91">IF(F528="SOLO INTERES",Q528*D528,-IPMT(D528,I528,G528,C528))</f>
        <v>#NUM!</v>
      </c>
      <c r="K528" s="83" t="e">
        <f t="shared" ref="K528:K591" si="92">IF(F528="SOLO INTERES",0,-PPMT(D528,I528,G528,C528))</f>
        <v>#NUM!</v>
      </c>
      <c r="L528" s="83">
        <f t="shared" ref="L528:L591" si="93">IF(F528="SOLO INTERES",SUM(Y528:AAE528),IFERROR(-CUMIPMT(D528,G528,C528,1,H528,0),0)+SUM(Y528:WY528))</f>
        <v>0</v>
      </c>
      <c r="M528" s="110" t="str">
        <f t="shared" ref="M528:M591" si="94">IFERROR(IF(F528="SOLO INTERES",Q528*D528,-PMT(D528,G528,C528,0)),"")</f>
        <v/>
      </c>
      <c r="N528" s="51" t="str">
        <f t="shared" ref="N528:N591" si="95">IF(Q528=0,"",IF(E528="MENSUAL",EDATE(B528,I528),IF(E528="QUINCENAL",B528+(I528*15),IF(E528="SEMANAL",B528+(I528*7)))))</f>
        <v/>
      </c>
      <c r="O528" s="52" t="str">
        <f t="shared" ref="O528:O591" si="96">IF(C528=0,"",IF(Q528&lt;1,"PAGADO",IF(N528=$A$3,"COBRAR HOY",IF(N528&lt;$A$3,"EN MORA",IF(N528&gt;$A$3,"AL DIA")))))</f>
        <v/>
      </c>
      <c r="P528" s="88">
        <f t="shared" ref="P528:P591" si="97">IFERROR(-CUMPRINC(D528,G528,C528,1,H528,0),0)+W528</f>
        <v>0</v>
      </c>
      <c r="Q528" s="88">
        <f t="shared" ref="Q528:Q591" si="98">IFERROR(C528-P528,"")</f>
        <v>0</v>
      </c>
      <c r="R528" s="88" t="e">
        <f>-IF(Tabla14[[#This Row],[DIAS HABILES O MORA]]&lt;0,(Tabla14[[#This Row],[VALOR PRESTAMO]]*Tabla14[[#This Row],[% INTERES ]]/30*U528))+Tabla14[[#This Row],[VALOR CUOTAS]]</f>
        <v>#VALUE!</v>
      </c>
      <c r="S528" s="88">
        <f>-IF(Tabla14[[#This Row],[DIAS HABILES O MORA]]&lt;0,(Tabla14[[#This Row],[VALOR PRESTAMO]]*Tabla14[[#This Row],[% INTERES ]]/30*U528))</f>
        <v>0</v>
      </c>
      <c r="T528" s="53" t="e">
        <f>Tabla14[[#This Row],[DEUDA CAPITAL]]+Tabla14[[#This Row],[INTERES  CUOTA]]</f>
        <v>#NUM!</v>
      </c>
      <c r="U528" s="61" t="str">
        <f t="shared" ref="U528:U591" si="99">IF(O528="PAGADO","",IFERROR(-IF(C528=0,"",$A$3-N528),""))</f>
        <v/>
      </c>
    </row>
    <row r="529" spans="9:21" ht="24.75" customHeight="1" x14ac:dyDescent="0.35">
      <c r="I529" s="42">
        <f t="shared" si="90"/>
        <v>0</v>
      </c>
      <c r="J529" s="65" t="e">
        <f t="shared" si="91"/>
        <v>#NUM!</v>
      </c>
      <c r="K529" s="83" t="e">
        <f t="shared" si="92"/>
        <v>#NUM!</v>
      </c>
      <c r="L529" s="83">
        <f t="shared" si="93"/>
        <v>0</v>
      </c>
      <c r="M529" s="110" t="str">
        <f t="shared" si="94"/>
        <v/>
      </c>
      <c r="N529" s="51" t="str">
        <f t="shared" si="95"/>
        <v/>
      </c>
      <c r="O529" s="52" t="str">
        <f t="shared" si="96"/>
        <v/>
      </c>
      <c r="P529" s="88">
        <f t="shared" si="97"/>
        <v>0</v>
      </c>
      <c r="Q529" s="88">
        <f t="shared" si="98"/>
        <v>0</v>
      </c>
      <c r="R529" s="88" t="e">
        <f>-IF(Tabla14[[#This Row],[DIAS HABILES O MORA]]&lt;0,(Tabla14[[#This Row],[VALOR PRESTAMO]]*Tabla14[[#This Row],[% INTERES ]]/30*U529))+Tabla14[[#This Row],[VALOR CUOTAS]]</f>
        <v>#VALUE!</v>
      </c>
      <c r="S529" s="88">
        <f>-IF(Tabla14[[#This Row],[DIAS HABILES O MORA]]&lt;0,(Tabla14[[#This Row],[VALOR PRESTAMO]]*Tabla14[[#This Row],[% INTERES ]]/30*U529))</f>
        <v>0</v>
      </c>
      <c r="T529" s="53" t="e">
        <f>Tabla14[[#This Row],[DEUDA CAPITAL]]+Tabla14[[#This Row],[INTERES  CUOTA]]</f>
        <v>#NUM!</v>
      </c>
      <c r="U529" s="61" t="str">
        <f t="shared" si="99"/>
        <v/>
      </c>
    </row>
    <row r="530" spans="9:21" ht="24.75" customHeight="1" x14ac:dyDescent="0.35">
      <c r="I530" s="42">
        <f t="shared" si="90"/>
        <v>0</v>
      </c>
      <c r="J530" s="65" t="e">
        <f t="shared" si="91"/>
        <v>#NUM!</v>
      </c>
      <c r="K530" s="83" t="e">
        <f t="shared" si="92"/>
        <v>#NUM!</v>
      </c>
      <c r="L530" s="83">
        <f t="shared" si="93"/>
        <v>0</v>
      </c>
      <c r="M530" s="110" t="str">
        <f t="shared" si="94"/>
        <v/>
      </c>
      <c r="N530" s="51" t="str">
        <f t="shared" si="95"/>
        <v/>
      </c>
      <c r="O530" s="52" t="str">
        <f t="shared" si="96"/>
        <v/>
      </c>
      <c r="P530" s="88">
        <f t="shared" si="97"/>
        <v>0</v>
      </c>
      <c r="Q530" s="88">
        <f t="shared" si="98"/>
        <v>0</v>
      </c>
      <c r="R530" s="88" t="e">
        <f>-IF(Tabla14[[#This Row],[DIAS HABILES O MORA]]&lt;0,(Tabla14[[#This Row],[VALOR PRESTAMO]]*Tabla14[[#This Row],[% INTERES ]]/30*U530))+Tabla14[[#This Row],[VALOR CUOTAS]]</f>
        <v>#VALUE!</v>
      </c>
      <c r="S530" s="88">
        <f>-IF(Tabla14[[#This Row],[DIAS HABILES O MORA]]&lt;0,(Tabla14[[#This Row],[VALOR PRESTAMO]]*Tabla14[[#This Row],[% INTERES ]]/30*U530))</f>
        <v>0</v>
      </c>
      <c r="T530" s="53" t="e">
        <f>Tabla14[[#This Row],[DEUDA CAPITAL]]+Tabla14[[#This Row],[INTERES  CUOTA]]</f>
        <v>#NUM!</v>
      </c>
      <c r="U530" s="61" t="str">
        <f t="shared" si="99"/>
        <v/>
      </c>
    </row>
    <row r="531" spans="9:21" ht="24.75" customHeight="1" x14ac:dyDescent="0.35">
      <c r="I531" s="42">
        <f t="shared" si="90"/>
        <v>0</v>
      </c>
      <c r="J531" s="65" t="e">
        <f t="shared" si="91"/>
        <v>#NUM!</v>
      </c>
      <c r="K531" s="83" t="e">
        <f t="shared" si="92"/>
        <v>#NUM!</v>
      </c>
      <c r="L531" s="83">
        <f t="shared" si="93"/>
        <v>0</v>
      </c>
      <c r="M531" s="110" t="str">
        <f t="shared" si="94"/>
        <v/>
      </c>
      <c r="N531" s="51" t="str">
        <f t="shared" si="95"/>
        <v/>
      </c>
      <c r="O531" s="52" t="str">
        <f t="shared" si="96"/>
        <v/>
      </c>
      <c r="P531" s="88">
        <f t="shared" si="97"/>
        <v>0</v>
      </c>
      <c r="Q531" s="88">
        <f t="shared" si="98"/>
        <v>0</v>
      </c>
      <c r="R531" s="88" t="e">
        <f>-IF(Tabla14[[#This Row],[DIAS HABILES O MORA]]&lt;0,(Tabla14[[#This Row],[VALOR PRESTAMO]]*Tabla14[[#This Row],[% INTERES ]]/30*U531))+Tabla14[[#This Row],[VALOR CUOTAS]]</f>
        <v>#VALUE!</v>
      </c>
      <c r="S531" s="88">
        <f>-IF(Tabla14[[#This Row],[DIAS HABILES O MORA]]&lt;0,(Tabla14[[#This Row],[VALOR PRESTAMO]]*Tabla14[[#This Row],[% INTERES ]]/30*U531))</f>
        <v>0</v>
      </c>
      <c r="T531" s="53" t="e">
        <f>Tabla14[[#This Row],[DEUDA CAPITAL]]+Tabla14[[#This Row],[INTERES  CUOTA]]</f>
        <v>#NUM!</v>
      </c>
      <c r="U531" s="61" t="str">
        <f t="shared" si="99"/>
        <v/>
      </c>
    </row>
    <row r="532" spans="9:21" ht="24.75" customHeight="1" x14ac:dyDescent="0.35">
      <c r="I532" s="42">
        <f t="shared" si="90"/>
        <v>0</v>
      </c>
      <c r="J532" s="65" t="e">
        <f t="shared" si="91"/>
        <v>#NUM!</v>
      </c>
      <c r="K532" s="83" t="e">
        <f t="shared" si="92"/>
        <v>#NUM!</v>
      </c>
      <c r="L532" s="83">
        <f t="shared" si="93"/>
        <v>0</v>
      </c>
      <c r="M532" s="110" t="str">
        <f t="shared" si="94"/>
        <v/>
      </c>
      <c r="N532" s="51" t="str">
        <f t="shared" si="95"/>
        <v/>
      </c>
      <c r="O532" s="52" t="str">
        <f t="shared" si="96"/>
        <v/>
      </c>
      <c r="P532" s="88">
        <f t="shared" si="97"/>
        <v>0</v>
      </c>
      <c r="Q532" s="88">
        <f t="shared" si="98"/>
        <v>0</v>
      </c>
      <c r="R532" s="88" t="e">
        <f>-IF(Tabla14[[#This Row],[DIAS HABILES O MORA]]&lt;0,(Tabla14[[#This Row],[VALOR PRESTAMO]]*Tabla14[[#This Row],[% INTERES ]]/30*U532))+Tabla14[[#This Row],[VALOR CUOTAS]]</f>
        <v>#VALUE!</v>
      </c>
      <c r="S532" s="88">
        <f>-IF(Tabla14[[#This Row],[DIAS HABILES O MORA]]&lt;0,(Tabla14[[#This Row],[VALOR PRESTAMO]]*Tabla14[[#This Row],[% INTERES ]]/30*U532))</f>
        <v>0</v>
      </c>
      <c r="T532" s="53" t="e">
        <f>Tabla14[[#This Row],[DEUDA CAPITAL]]+Tabla14[[#This Row],[INTERES  CUOTA]]</f>
        <v>#NUM!</v>
      </c>
      <c r="U532" s="61" t="str">
        <f t="shared" si="99"/>
        <v/>
      </c>
    </row>
    <row r="533" spans="9:21" ht="24.75" customHeight="1" x14ac:dyDescent="0.35">
      <c r="I533" s="42">
        <f t="shared" si="90"/>
        <v>0</v>
      </c>
      <c r="J533" s="65" t="e">
        <f t="shared" si="91"/>
        <v>#NUM!</v>
      </c>
      <c r="K533" s="83" t="e">
        <f t="shared" si="92"/>
        <v>#NUM!</v>
      </c>
      <c r="L533" s="83">
        <f t="shared" si="93"/>
        <v>0</v>
      </c>
      <c r="M533" s="110" t="str">
        <f t="shared" si="94"/>
        <v/>
      </c>
      <c r="N533" s="51" t="str">
        <f t="shared" si="95"/>
        <v/>
      </c>
      <c r="O533" s="52" t="str">
        <f t="shared" si="96"/>
        <v/>
      </c>
      <c r="P533" s="88">
        <f t="shared" si="97"/>
        <v>0</v>
      </c>
      <c r="Q533" s="88">
        <f t="shared" si="98"/>
        <v>0</v>
      </c>
      <c r="R533" s="88" t="e">
        <f>-IF(Tabla14[[#This Row],[DIAS HABILES O MORA]]&lt;0,(Tabla14[[#This Row],[VALOR PRESTAMO]]*Tabla14[[#This Row],[% INTERES ]]/30*U533))+Tabla14[[#This Row],[VALOR CUOTAS]]</f>
        <v>#VALUE!</v>
      </c>
      <c r="S533" s="88">
        <f>-IF(Tabla14[[#This Row],[DIAS HABILES O MORA]]&lt;0,(Tabla14[[#This Row],[VALOR PRESTAMO]]*Tabla14[[#This Row],[% INTERES ]]/30*U533))</f>
        <v>0</v>
      </c>
      <c r="T533" s="53" t="e">
        <f>Tabla14[[#This Row],[DEUDA CAPITAL]]+Tabla14[[#This Row],[INTERES  CUOTA]]</f>
        <v>#NUM!</v>
      </c>
      <c r="U533" s="61" t="str">
        <f t="shared" si="99"/>
        <v/>
      </c>
    </row>
    <row r="534" spans="9:21" ht="24.75" customHeight="1" x14ac:dyDescent="0.35">
      <c r="I534" s="42">
        <f t="shared" si="90"/>
        <v>0</v>
      </c>
      <c r="J534" s="65" t="e">
        <f t="shared" si="91"/>
        <v>#NUM!</v>
      </c>
      <c r="K534" s="83" t="e">
        <f t="shared" si="92"/>
        <v>#NUM!</v>
      </c>
      <c r="L534" s="83">
        <f t="shared" si="93"/>
        <v>0</v>
      </c>
      <c r="M534" s="110" t="str">
        <f t="shared" si="94"/>
        <v/>
      </c>
      <c r="N534" s="51" t="str">
        <f t="shared" si="95"/>
        <v/>
      </c>
      <c r="O534" s="52" t="str">
        <f t="shared" si="96"/>
        <v/>
      </c>
      <c r="P534" s="88">
        <f t="shared" si="97"/>
        <v>0</v>
      </c>
      <c r="Q534" s="88">
        <f t="shared" si="98"/>
        <v>0</v>
      </c>
      <c r="R534" s="88" t="e">
        <f>-IF(Tabla14[[#This Row],[DIAS HABILES O MORA]]&lt;0,(Tabla14[[#This Row],[VALOR PRESTAMO]]*Tabla14[[#This Row],[% INTERES ]]/30*U534))+Tabla14[[#This Row],[VALOR CUOTAS]]</f>
        <v>#VALUE!</v>
      </c>
      <c r="S534" s="88">
        <f>-IF(Tabla14[[#This Row],[DIAS HABILES O MORA]]&lt;0,(Tabla14[[#This Row],[VALOR PRESTAMO]]*Tabla14[[#This Row],[% INTERES ]]/30*U534))</f>
        <v>0</v>
      </c>
      <c r="T534" s="53" t="e">
        <f>Tabla14[[#This Row],[DEUDA CAPITAL]]+Tabla14[[#This Row],[INTERES  CUOTA]]</f>
        <v>#NUM!</v>
      </c>
      <c r="U534" s="61" t="str">
        <f t="shared" si="99"/>
        <v/>
      </c>
    </row>
    <row r="535" spans="9:21" ht="24.75" customHeight="1" x14ac:dyDescent="0.35">
      <c r="I535" s="42">
        <f t="shared" si="90"/>
        <v>0</v>
      </c>
      <c r="J535" s="65" t="e">
        <f t="shared" si="91"/>
        <v>#NUM!</v>
      </c>
      <c r="K535" s="83" t="e">
        <f t="shared" si="92"/>
        <v>#NUM!</v>
      </c>
      <c r="L535" s="83">
        <f t="shared" si="93"/>
        <v>0</v>
      </c>
      <c r="M535" s="110" t="str">
        <f t="shared" si="94"/>
        <v/>
      </c>
      <c r="N535" s="51" t="str">
        <f t="shared" si="95"/>
        <v/>
      </c>
      <c r="O535" s="52" t="str">
        <f t="shared" si="96"/>
        <v/>
      </c>
      <c r="P535" s="88">
        <f t="shared" si="97"/>
        <v>0</v>
      </c>
      <c r="Q535" s="88">
        <f t="shared" si="98"/>
        <v>0</v>
      </c>
      <c r="R535" s="88" t="e">
        <f>-IF(Tabla14[[#This Row],[DIAS HABILES O MORA]]&lt;0,(Tabla14[[#This Row],[VALOR PRESTAMO]]*Tabla14[[#This Row],[% INTERES ]]/30*U535))+Tabla14[[#This Row],[VALOR CUOTAS]]</f>
        <v>#VALUE!</v>
      </c>
      <c r="S535" s="88">
        <f>-IF(Tabla14[[#This Row],[DIAS HABILES O MORA]]&lt;0,(Tabla14[[#This Row],[VALOR PRESTAMO]]*Tabla14[[#This Row],[% INTERES ]]/30*U535))</f>
        <v>0</v>
      </c>
      <c r="T535" s="53" t="e">
        <f>Tabla14[[#This Row],[DEUDA CAPITAL]]+Tabla14[[#This Row],[INTERES  CUOTA]]</f>
        <v>#NUM!</v>
      </c>
      <c r="U535" s="61" t="str">
        <f t="shared" si="99"/>
        <v/>
      </c>
    </row>
    <row r="536" spans="9:21" ht="24.75" customHeight="1" x14ac:dyDescent="0.35">
      <c r="I536" s="42">
        <f t="shared" si="90"/>
        <v>0</v>
      </c>
      <c r="J536" s="65" t="e">
        <f t="shared" si="91"/>
        <v>#NUM!</v>
      </c>
      <c r="K536" s="83" t="e">
        <f t="shared" si="92"/>
        <v>#NUM!</v>
      </c>
      <c r="L536" s="83">
        <f t="shared" si="93"/>
        <v>0</v>
      </c>
      <c r="M536" s="110" t="str">
        <f t="shared" si="94"/>
        <v/>
      </c>
      <c r="N536" s="51" t="str">
        <f t="shared" si="95"/>
        <v/>
      </c>
      <c r="O536" s="52" t="str">
        <f t="shared" si="96"/>
        <v/>
      </c>
      <c r="P536" s="88">
        <f t="shared" si="97"/>
        <v>0</v>
      </c>
      <c r="Q536" s="88">
        <f t="shared" si="98"/>
        <v>0</v>
      </c>
      <c r="R536" s="88" t="e">
        <f>-IF(Tabla14[[#This Row],[DIAS HABILES O MORA]]&lt;0,(Tabla14[[#This Row],[VALOR PRESTAMO]]*Tabla14[[#This Row],[% INTERES ]]/30*U536))+Tabla14[[#This Row],[VALOR CUOTAS]]</f>
        <v>#VALUE!</v>
      </c>
      <c r="S536" s="88">
        <f>-IF(Tabla14[[#This Row],[DIAS HABILES O MORA]]&lt;0,(Tabla14[[#This Row],[VALOR PRESTAMO]]*Tabla14[[#This Row],[% INTERES ]]/30*U536))</f>
        <v>0</v>
      </c>
      <c r="T536" s="53" t="e">
        <f>Tabla14[[#This Row],[DEUDA CAPITAL]]+Tabla14[[#This Row],[INTERES  CUOTA]]</f>
        <v>#NUM!</v>
      </c>
      <c r="U536" s="61" t="str">
        <f t="shared" si="99"/>
        <v/>
      </c>
    </row>
    <row r="537" spans="9:21" ht="24.75" customHeight="1" x14ac:dyDescent="0.35">
      <c r="I537" s="42">
        <f t="shared" si="90"/>
        <v>0</v>
      </c>
      <c r="J537" s="65" t="e">
        <f t="shared" si="91"/>
        <v>#NUM!</v>
      </c>
      <c r="K537" s="83" t="e">
        <f t="shared" si="92"/>
        <v>#NUM!</v>
      </c>
      <c r="L537" s="83">
        <f t="shared" si="93"/>
        <v>0</v>
      </c>
      <c r="M537" s="110" t="str">
        <f t="shared" si="94"/>
        <v/>
      </c>
      <c r="N537" s="51" t="str">
        <f t="shared" si="95"/>
        <v/>
      </c>
      <c r="O537" s="52" t="str">
        <f t="shared" si="96"/>
        <v/>
      </c>
      <c r="P537" s="88">
        <f t="shared" si="97"/>
        <v>0</v>
      </c>
      <c r="Q537" s="88">
        <f t="shared" si="98"/>
        <v>0</v>
      </c>
      <c r="R537" s="88" t="e">
        <f>-IF(Tabla14[[#This Row],[DIAS HABILES O MORA]]&lt;0,(Tabla14[[#This Row],[VALOR PRESTAMO]]*Tabla14[[#This Row],[% INTERES ]]/30*U537))+Tabla14[[#This Row],[VALOR CUOTAS]]</f>
        <v>#VALUE!</v>
      </c>
      <c r="S537" s="88">
        <f>-IF(Tabla14[[#This Row],[DIAS HABILES O MORA]]&lt;0,(Tabla14[[#This Row],[VALOR PRESTAMO]]*Tabla14[[#This Row],[% INTERES ]]/30*U537))</f>
        <v>0</v>
      </c>
      <c r="T537" s="53" t="e">
        <f>Tabla14[[#This Row],[DEUDA CAPITAL]]+Tabla14[[#This Row],[INTERES  CUOTA]]</f>
        <v>#NUM!</v>
      </c>
      <c r="U537" s="61" t="str">
        <f t="shared" si="99"/>
        <v/>
      </c>
    </row>
    <row r="538" spans="9:21" ht="24.75" customHeight="1" x14ac:dyDescent="0.35">
      <c r="I538" s="42">
        <f t="shared" si="90"/>
        <v>0</v>
      </c>
      <c r="J538" s="65" t="e">
        <f t="shared" si="91"/>
        <v>#NUM!</v>
      </c>
      <c r="K538" s="83" t="e">
        <f t="shared" si="92"/>
        <v>#NUM!</v>
      </c>
      <c r="L538" s="83">
        <f t="shared" si="93"/>
        <v>0</v>
      </c>
      <c r="M538" s="110" t="str">
        <f t="shared" si="94"/>
        <v/>
      </c>
      <c r="N538" s="51" t="str">
        <f t="shared" si="95"/>
        <v/>
      </c>
      <c r="O538" s="52" t="str">
        <f t="shared" si="96"/>
        <v/>
      </c>
      <c r="P538" s="88">
        <f t="shared" si="97"/>
        <v>0</v>
      </c>
      <c r="Q538" s="88">
        <f t="shared" si="98"/>
        <v>0</v>
      </c>
      <c r="R538" s="88" t="e">
        <f>-IF(Tabla14[[#This Row],[DIAS HABILES O MORA]]&lt;0,(Tabla14[[#This Row],[VALOR PRESTAMO]]*Tabla14[[#This Row],[% INTERES ]]/30*U538))+Tabla14[[#This Row],[VALOR CUOTAS]]</f>
        <v>#VALUE!</v>
      </c>
      <c r="S538" s="88">
        <f>-IF(Tabla14[[#This Row],[DIAS HABILES O MORA]]&lt;0,(Tabla14[[#This Row],[VALOR PRESTAMO]]*Tabla14[[#This Row],[% INTERES ]]/30*U538))</f>
        <v>0</v>
      </c>
      <c r="T538" s="53" t="e">
        <f>Tabla14[[#This Row],[DEUDA CAPITAL]]+Tabla14[[#This Row],[INTERES  CUOTA]]</f>
        <v>#NUM!</v>
      </c>
      <c r="U538" s="61" t="str">
        <f t="shared" si="99"/>
        <v/>
      </c>
    </row>
    <row r="539" spans="9:21" ht="24.75" customHeight="1" x14ac:dyDescent="0.35">
      <c r="I539" s="42">
        <f t="shared" si="90"/>
        <v>0</v>
      </c>
      <c r="J539" s="65" t="e">
        <f t="shared" si="91"/>
        <v>#NUM!</v>
      </c>
      <c r="K539" s="83" t="e">
        <f t="shared" si="92"/>
        <v>#NUM!</v>
      </c>
      <c r="L539" s="83">
        <f t="shared" si="93"/>
        <v>0</v>
      </c>
      <c r="M539" s="110" t="str">
        <f t="shared" si="94"/>
        <v/>
      </c>
      <c r="N539" s="51" t="str">
        <f t="shared" si="95"/>
        <v/>
      </c>
      <c r="O539" s="52" t="str">
        <f t="shared" si="96"/>
        <v/>
      </c>
      <c r="P539" s="88">
        <f t="shared" si="97"/>
        <v>0</v>
      </c>
      <c r="Q539" s="88">
        <f t="shared" si="98"/>
        <v>0</v>
      </c>
      <c r="R539" s="88" t="e">
        <f>-IF(Tabla14[[#This Row],[DIAS HABILES O MORA]]&lt;0,(Tabla14[[#This Row],[VALOR PRESTAMO]]*Tabla14[[#This Row],[% INTERES ]]/30*U539))+Tabla14[[#This Row],[VALOR CUOTAS]]</f>
        <v>#VALUE!</v>
      </c>
      <c r="S539" s="88">
        <f>-IF(Tabla14[[#This Row],[DIAS HABILES O MORA]]&lt;0,(Tabla14[[#This Row],[VALOR PRESTAMO]]*Tabla14[[#This Row],[% INTERES ]]/30*U539))</f>
        <v>0</v>
      </c>
      <c r="T539" s="53" t="e">
        <f>Tabla14[[#This Row],[DEUDA CAPITAL]]+Tabla14[[#This Row],[INTERES  CUOTA]]</f>
        <v>#NUM!</v>
      </c>
      <c r="U539" s="61" t="str">
        <f t="shared" si="99"/>
        <v/>
      </c>
    </row>
    <row r="540" spans="9:21" ht="24.75" customHeight="1" x14ac:dyDescent="0.35">
      <c r="I540" s="42">
        <f t="shared" si="90"/>
        <v>0</v>
      </c>
      <c r="J540" s="65" t="e">
        <f t="shared" si="91"/>
        <v>#NUM!</v>
      </c>
      <c r="K540" s="83" t="e">
        <f t="shared" si="92"/>
        <v>#NUM!</v>
      </c>
      <c r="L540" s="83">
        <f t="shared" si="93"/>
        <v>0</v>
      </c>
      <c r="M540" s="110" t="str">
        <f t="shared" si="94"/>
        <v/>
      </c>
      <c r="N540" s="51" t="str">
        <f t="shared" si="95"/>
        <v/>
      </c>
      <c r="O540" s="52" t="str">
        <f t="shared" si="96"/>
        <v/>
      </c>
      <c r="P540" s="88">
        <f t="shared" si="97"/>
        <v>0</v>
      </c>
      <c r="Q540" s="88">
        <f t="shared" si="98"/>
        <v>0</v>
      </c>
      <c r="R540" s="88" t="e">
        <f>-IF(Tabla14[[#This Row],[DIAS HABILES O MORA]]&lt;0,(Tabla14[[#This Row],[VALOR PRESTAMO]]*Tabla14[[#This Row],[% INTERES ]]/30*U540))+Tabla14[[#This Row],[VALOR CUOTAS]]</f>
        <v>#VALUE!</v>
      </c>
      <c r="S540" s="88">
        <f>-IF(Tabla14[[#This Row],[DIAS HABILES O MORA]]&lt;0,(Tabla14[[#This Row],[VALOR PRESTAMO]]*Tabla14[[#This Row],[% INTERES ]]/30*U540))</f>
        <v>0</v>
      </c>
      <c r="T540" s="53" t="e">
        <f>Tabla14[[#This Row],[DEUDA CAPITAL]]+Tabla14[[#This Row],[INTERES  CUOTA]]</f>
        <v>#NUM!</v>
      </c>
      <c r="U540" s="61" t="str">
        <f t="shared" si="99"/>
        <v/>
      </c>
    </row>
    <row r="541" spans="9:21" ht="24.75" customHeight="1" x14ac:dyDescent="0.35">
      <c r="I541" s="42">
        <f t="shared" si="90"/>
        <v>0</v>
      </c>
      <c r="J541" s="65" t="e">
        <f t="shared" si="91"/>
        <v>#NUM!</v>
      </c>
      <c r="K541" s="83" t="e">
        <f t="shared" si="92"/>
        <v>#NUM!</v>
      </c>
      <c r="L541" s="83">
        <f t="shared" si="93"/>
        <v>0</v>
      </c>
      <c r="M541" s="110" t="str">
        <f t="shared" si="94"/>
        <v/>
      </c>
      <c r="N541" s="51" t="str">
        <f t="shared" si="95"/>
        <v/>
      </c>
      <c r="O541" s="52" t="str">
        <f t="shared" si="96"/>
        <v/>
      </c>
      <c r="P541" s="88">
        <f t="shared" si="97"/>
        <v>0</v>
      </c>
      <c r="Q541" s="88">
        <f t="shared" si="98"/>
        <v>0</v>
      </c>
      <c r="R541" s="88" t="e">
        <f>-IF(Tabla14[[#This Row],[DIAS HABILES O MORA]]&lt;0,(Tabla14[[#This Row],[VALOR PRESTAMO]]*Tabla14[[#This Row],[% INTERES ]]/30*U541))+Tabla14[[#This Row],[VALOR CUOTAS]]</f>
        <v>#VALUE!</v>
      </c>
      <c r="S541" s="88">
        <f>-IF(Tabla14[[#This Row],[DIAS HABILES O MORA]]&lt;0,(Tabla14[[#This Row],[VALOR PRESTAMO]]*Tabla14[[#This Row],[% INTERES ]]/30*U541))</f>
        <v>0</v>
      </c>
      <c r="T541" s="53" t="e">
        <f>Tabla14[[#This Row],[DEUDA CAPITAL]]+Tabla14[[#This Row],[INTERES  CUOTA]]</f>
        <v>#NUM!</v>
      </c>
      <c r="U541" s="61" t="str">
        <f t="shared" si="99"/>
        <v/>
      </c>
    </row>
    <row r="542" spans="9:21" ht="24.75" customHeight="1" x14ac:dyDescent="0.35">
      <c r="I542" s="42">
        <f t="shared" si="90"/>
        <v>0</v>
      </c>
      <c r="J542" s="65" t="e">
        <f t="shared" si="91"/>
        <v>#NUM!</v>
      </c>
      <c r="K542" s="83" t="e">
        <f t="shared" si="92"/>
        <v>#NUM!</v>
      </c>
      <c r="L542" s="83">
        <f t="shared" si="93"/>
        <v>0</v>
      </c>
      <c r="M542" s="110" t="str">
        <f t="shared" si="94"/>
        <v/>
      </c>
      <c r="N542" s="51" t="str">
        <f t="shared" si="95"/>
        <v/>
      </c>
      <c r="O542" s="52" t="str">
        <f t="shared" si="96"/>
        <v/>
      </c>
      <c r="P542" s="88">
        <f t="shared" si="97"/>
        <v>0</v>
      </c>
      <c r="Q542" s="88">
        <f t="shared" si="98"/>
        <v>0</v>
      </c>
      <c r="R542" s="88" t="e">
        <f>-IF(Tabla14[[#This Row],[DIAS HABILES O MORA]]&lt;0,(Tabla14[[#This Row],[VALOR PRESTAMO]]*Tabla14[[#This Row],[% INTERES ]]/30*U542))+Tabla14[[#This Row],[VALOR CUOTAS]]</f>
        <v>#VALUE!</v>
      </c>
      <c r="S542" s="88">
        <f>-IF(Tabla14[[#This Row],[DIAS HABILES O MORA]]&lt;0,(Tabla14[[#This Row],[VALOR PRESTAMO]]*Tabla14[[#This Row],[% INTERES ]]/30*U542))</f>
        <v>0</v>
      </c>
      <c r="T542" s="53" t="e">
        <f>Tabla14[[#This Row],[DEUDA CAPITAL]]+Tabla14[[#This Row],[INTERES  CUOTA]]</f>
        <v>#NUM!</v>
      </c>
      <c r="U542" s="61" t="str">
        <f t="shared" si="99"/>
        <v/>
      </c>
    </row>
    <row r="543" spans="9:21" ht="24.75" customHeight="1" x14ac:dyDescent="0.35">
      <c r="I543" s="42">
        <f t="shared" si="90"/>
        <v>0</v>
      </c>
      <c r="J543" s="65" t="e">
        <f t="shared" si="91"/>
        <v>#NUM!</v>
      </c>
      <c r="K543" s="83" t="e">
        <f t="shared" si="92"/>
        <v>#NUM!</v>
      </c>
      <c r="L543" s="83">
        <f t="shared" si="93"/>
        <v>0</v>
      </c>
      <c r="M543" s="110" t="str">
        <f t="shared" si="94"/>
        <v/>
      </c>
      <c r="N543" s="51" t="str">
        <f t="shared" si="95"/>
        <v/>
      </c>
      <c r="O543" s="52" t="str">
        <f t="shared" si="96"/>
        <v/>
      </c>
      <c r="P543" s="88">
        <f t="shared" si="97"/>
        <v>0</v>
      </c>
      <c r="Q543" s="88">
        <f t="shared" si="98"/>
        <v>0</v>
      </c>
      <c r="R543" s="88" t="e">
        <f>-IF(Tabla14[[#This Row],[DIAS HABILES O MORA]]&lt;0,(Tabla14[[#This Row],[VALOR PRESTAMO]]*Tabla14[[#This Row],[% INTERES ]]/30*U543))+Tabla14[[#This Row],[VALOR CUOTAS]]</f>
        <v>#VALUE!</v>
      </c>
      <c r="S543" s="88">
        <f>-IF(Tabla14[[#This Row],[DIAS HABILES O MORA]]&lt;0,(Tabla14[[#This Row],[VALOR PRESTAMO]]*Tabla14[[#This Row],[% INTERES ]]/30*U543))</f>
        <v>0</v>
      </c>
      <c r="T543" s="53" t="e">
        <f>Tabla14[[#This Row],[DEUDA CAPITAL]]+Tabla14[[#This Row],[INTERES  CUOTA]]</f>
        <v>#NUM!</v>
      </c>
      <c r="U543" s="61" t="str">
        <f t="shared" si="99"/>
        <v/>
      </c>
    </row>
    <row r="544" spans="9:21" ht="24.75" customHeight="1" x14ac:dyDescent="0.35">
      <c r="I544" s="42">
        <f t="shared" si="90"/>
        <v>0</v>
      </c>
      <c r="J544" s="65" t="e">
        <f t="shared" si="91"/>
        <v>#NUM!</v>
      </c>
      <c r="K544" s="83" t="e">
        <f t="shared" si="92"/>
        <v>#NUM!</v>
      </c>
      <c r="L544" s="83">
        <f t="shared" si="93"/>
        <v>0</v>
      </c>
      <c r="M544" s="110" t="str">
        <f t="shared" si="94"/>
        <v/>
      </c>
      <c r="N544" s="51" t="str">
        <f t="shared" si="95"/>
        <v/>
      </c>
      <c r="O544" s="52" t="str">
        <f t="shared" si="96"/>
        <v/>
      </c>
      <c r="P544" s="88">
        <f t="shared" si="97"/>
        <v>0</v>
      </c>
      <c r="Q544" s="88">
        <f t="shared" si="98"/>
        <v>0</v>
      </c>
      <c r="R544" s="88" t="e">
        <f>-IF(Tabla14[[#This Row],[DIAS HABILES O MORA]]&lt;0,(Tabla14[[#This Row],[VALOR PRESTAMO]]*Tabla14[[#This Row],[% INTERES ]]/30*U544))+Tabla14[[#This Row],[VALOR CUOTAS]]</f>
        <v>#VALUE!</v>
      </c>
      <c r="S544" s="88">
        <f>-IF(Tabla14[[#This Row],[DIAS HABILES O MORA]]&lt;0,(Tabla14[[#This Row],[VALOR PRESTAMO]]*Tabla14[[#This Row],[% INTERES ]]/30*U544))</f>
        <v>0</v>
      </c>
      <c r="T544" s="53" t="e">
        <f>Tabla14[[#This Row],[DEUDA CAPITAL]]+Tabla14[[#This Row],[INTERES  CUOTA]]</f>
        <v>#NUM!</v>
      </c>
      <c r="U544" s="61" t="str">
        <f t="shared" si="99"/>
        <v/>
      </c>
    </row>
    <row r="545" spans="9:21" ht="24.75" customHeight="1" x14ac:dyDescent="0.35">
      <c r="I545" s="42">
        <f t="shared" si="90"/>
        <v>0</v>
      </c>
      <c r="J545" s="65" t="e">
        <f t="shared" si="91"/>
        <v>#NUM!</v>
      </c>
      <c r="K545" s="83" t="e">
        <f t="shared" si="92"/>
        <v>#NUM!</v>
      </c>
      <c r="L545" s="83">
        <f t="shared" si="93"/>
        <v>0</v>
      </c>
      <c r="M545" s="110" t="str">
        <f t="shared" si="94"/>
        <v/>
      </c>
      <c r="N545" s="51" t="str">
        <f t="shared" si="95"/>
        <v/>
      </c>
      <c r="O545" s="52" t="str">
        <f t="shared" si="96"/>
        <v/>
      </c>
      <c r="P545" s="88">
        <f t="shared" si="97"/>
        <v>0</v>
      </c>
      <c r="Q545" s="88">
        <f t="shared" si="98"/>
        <v>0</v>
      </c>
      <c r="R545" s="88" t="e">
        <f>-IF(Tabla14[[#This Row],[DIAS HABILES O MORA]]&lt;0,(Tabla14[[#This Row],[VALOR PRESTAMO]]*Tabla14[[#This Row],[% INTERES ]]/30*U545))+Tabla14[[#This Row],[VALOR CUOTAS]]</f>
        <v>#VALUE!</v>
      </c>
      <c r="S545" s="88">
        <f>-IF(Tabla14[[#This Row],[DIAS HABILES O MORA]]&lt;0,(Tabla14[[#This Row],[VALOR PRESTAMO]]*Tabla14[[#This Row],[% INTERES ]]/30*U545))</f>
        <v>0</v>
      </c>
      <c r="T545" s="53" t="e">
        <f>Tabla14[[#This Row],[DEUDA CAPITAL]]+Tabla14[[#This Row],[INTERES  CUOTA]]</f>
        <v>#NUM!</v>
      </c>
      <c r="U545" s="61" t="str">
        <f t="shared" si="99"/>
        <v/>
      </c>
    </row>
    <row r="546" spans="9:21" ht="24.75" customHeight="1" x14ac:dyDescent="0.35">
      <c r="I546" s="42">
        <f t="shared" si="90"/>
        <v>0</v>
      </c>
      <c r="J546" s="65" t="e">
        <f t="shared" si="91"/>
        <v>#NUM!</v>
      </c>
      <c r="K546" s="83" t="e">
        <f t="shared" si="92"/>
        <v>#NUM!</v>
      </c>
      <c r="L546" s="83">
        <f t="shared" si="93"/>
        <v>0</v>
      </c>
      <c r="M546" s="110" t="str">
        <f t="shared" si="94"/>
        <v/>
      </c>
      <c r="N546" s="51" t="str">
        <f t="shared" si="95"/>
        <v/>
      </c>
      <c r="O546" s="52" t="str">
        <f t="shared" si="96"/>
        <v/>
      </c>
      <c r="P546" s="88">
        <f t="shared" si="97"/>
        <v>0</v>
      </c>
      <c r="Q546" s="88">
        <f t="shared" si="98"/>
        <v>0</v>
      </c>
      <c r="R546" s="88" t="e">
        <f>-IF(Tabla14[[#This Row],[DIAS HABILES O MORA]]&lt;0,(Tabla14[[#This Row],[VALOR PRESTAMO]]*Tabla14[[#This Row],[% INTERES ]]/30*U546))+Tabla14[[#This Row],[VALOR CUOTAS]]</f>
        <v>#VALUE!</v>
      </c>
      <c r="S546" s="88">
        <f>-IF(Tabla14[[#This Row],[DIAS HABILES O MORA]]&lt;0,(Tabla14[[#This Row],[VALOR PRESTAMO]]*Tabla14[[#This Row],[% INTERES ]]/30*U546))</f>
        <v>0</v>
      </c>
      <c r="T546" s="53" t="e">
        <f>Tabla14[[#This Row],[DEUDA CAPITAL]]+Tabla14[[#This Row],[INTERES  CUOTA]]</f>
        <v>#NUM!</v>
      </c>
      <c r="U546" s="61" t="str">
        <f t="shared" si="99"/>
        <v/>
      </c>
    </row>
    <row r="547" spans="9:21" ht="24.75" customHeight="1" x14ac:dyDescent="0.35">
      <c r="I547" s="42">
        <f t="shared" si="90"/>
        <v>0</v>
      </c>
      <c r="J547" s="65" t="e">
        <f t="shared" si="91"/>
        <v>#NUM!</v>
      </c>
      <c r="K547" s="83" t="e">
        <f t="shared" si="92"/>
        <v>#NUM!</v>
      </c>
      <c r="L547" s="83">
        <f t="shared" si="93"/>
        <v>0</v>
      </c>
      <c r="M547" s="110" t="str">
        <f t="shared" si="94"/>
        <v/>
      </c>
      <c r="N547" s="51" t="str">
        <f t="shared" si="95"/>
        <v/>
      </c>
      <c r="O547" s="52" t="str">
        <f t="shared" si="96"/>
        <v/>
      </c>
      <c r="P547" s="88">
        <f t="shared" si="97"/>
        <v>0</v>
      </c>
      <c r="Q547" s="88">
        <f t="shared" si="98"/>
        <v>0</v>
      </c>
      <c r="R547" s="88" t="e">
        <f>-IF(Tabla14[[#This Row],[DIAS HABILES O MORA]]&lt;0,(Tabla14[[#This Row],[VALOR PRESTAMO]]*Tabla14[[#This Row],[% INTERES ]]/30*U547))+Tabla14[[#This Row],[VALOR CUOTAS]]</f>
        <v>#VALUE!</v>
      </c>
      <c r="S547" s="88">
        <f>-IF(Tabla14[[#This Row],[DIAS HABILES O MORA]]&lt;0,(Tabla14[[#This Row],[VALOR PRESTAMO]]*Tabla14[[#This Row],[% INTERES ]]/30*U547))</f>
        <v>0</v>
      </c>
      <c r="T547" s="53" t="e">
        <f>Tabla14[[#This Row],[DEUDA CAPITAL]]+Tabla14[[#This Row],[INTERES  CUOTA]]</f>
        <v>#NUM!</v>
      </c>
      <c r="U547" s="61" t="str">
        <f t="shared" si="99"/>
        <v/>
      </c>
    </row>
    <row r="548" spans="9:21" ht="24.75" customHeight="1" x14ac:dyDescent="0.35">
      <c r="I548" s="42">
        <f t="shared" si="90"/>
        <v>0</v>
      </c>
      <c r="J548" s="65" t="e">
        <f t="shared" si="91"/>
        <v>#NUM!</v>
      </c>
      <c r="K548" s="83" t="e">
        <f t="shared" si="92"/>
        <v>#NUM!</v>
      </c>
      <c r="L548" s="83">
        <f t="shared" si="93"/>
        <v>0</v>
      </c>
      <c r="M548" s="110" t="str">
        <f t="shared" si="94"/>
        <v/>
      </c>
      <c r="N548" s="51" t="str">
        <f t="shared" si="95"/>
        <v/>
      </c>
      <c r="O548" s="52" t="str">
        <f t="shared" si="96"/>
        <v/>
      </c>
      <c r="P548" s="88">
        <f t="shared" si="97"/>
        <v>0</v>
      </c>
      <c r="Q548" s="88">
        <f t="shared" si="98"/>
        <v>0</v>
      </c>
      <c r="R548" s="88" t="e">
        <f>-IF(Tabla14[[#This Row],[DIAS HABILES O MORA]]&lt;0,(Tabla14[[#This Row],[VALOR PRESTAMO]]*Tabla14[[#This Row],[% INTERES ]]/30*U548))+Tabla14[[#This Row],[VALOR CUOTAS]]</f>
        <v>#VALUE!</v>
      </c>
      <c r="S548" s="88">
        <f>-IF(Tabla14[[#This Row],[DIAS HABILES O MORA]]&lt;0,(Tabla14[[#This Row],[VALOR PRESTAMO]]*Tabla14[[#This Row],[% INTERES ]]/30*U548))</f>
        <v>0</v>
      </c>
      <c r="T548" s="53" t="e">
        <f>Tabla14[[#This Row],[DEUDA CAPITAL]]+Tabla14[[#This Row],[INTERES  CUOTA]]</f>
        <v>#NUM!</v>
      </c>
      <c r="U548" s="61" t="str">
        <f t="shared" si="99"/>
        <v/>
      </c>
    </row>
    <row r="549" spans="9:21" ht="24.75" customHeight="1" x14ac:dyDescent="0.35">
      <c r="I549" s="42">
        <f t="shared" si="90"/>
        <v>0</v>
      </c>
      <c r="J549" s="65" t="e">
        <f t="shared" si="91"/>
        <v>#NUM!</v>
      </c>
      <c r="K549" s="83" t="e">
        <f t="shared" si="92"/>
        <v>#NUM!</v>
      </c>
      <c r="L549" s="83">
        <f t="shared" si="93"/>
        <v>0</v>
      </c>
      <c r="M549" s="110" t="str">
        <f t="shared" si="94"/>
        <v/>
      </c>
      <c r="N549" s="51" t="str">
        <f t="shared" si="95"/>
        <v/>
      </c>
      <c r="O549" s="52" t="str">
        <f t="shared" si="96"/>
        <v/>
      </c>
      <c r="P549" s="88">
        <f t="shared" si="97"/>
        <v>0</v>
      </c>
      <c r="Q549" s="88">
        <f t="shared" si="98"/>
        <v>0</v>
      </c>
      <c r="R549" s="88" t="e">
        <f>-IF(Tabla14[[#This Row],[DIAS HABILES O MORA]]&lt;0,(Tabla14[[#This Row],[VALOR PRESTAMO]]*Tabla14[[#This Row],[% INTERES ]]/30*U549))+Tabla14[[#This Row],[VALOR CUOTAS]]</f>
        <v>#VALUE!</v>
      </c>
      <c r="S549" s="88">
        <f>-IF(Tabla14[[#This Row],[DIAS HABILES O MORA]]&lt;0,(Tabla14[[#This Row],[VALOR PRESTAMO]]*Tabla14[[#This Row],[% INTERES ]]/30*U549))</f>
        <v>0</v>
      </c>
      <c r="T549" s="53" t="e">
        <f>Tabla14[[#This Row],[DEUDA CAPITAL]]+Tabla14[[#This Row],[INTERES  CUOTA]]</f>
        <v>#NUM!</v>
      </c>
      <c r="U549" s="61" t="str">
        <f t="shared" si="99"/>
        <v/>
      </c>
    </row>
    <row r="550" spans="9:21" ht="24.75" customHeight="1" x14ac:dyDescent="0.35">
      <c r="I550" s="42">
        <f t="shared" si="90"/>
        <v>0</v>
      </c>
      <c r="J550" s="65" t="e">
        <f t="shared" si="91"/>
        <v>#NUM!</v>
      </c>
      <c r="K550" s="83" t="e">
        <f t="shared" si="92"/>
        <v>#NUM!</v>
      </c>
      <c r="L550" s="83">
        <f t="shared" si="93"/>
        <v>0</v>
      </c>
      <c r="M550" s="110" t="str">
        <f t="shared" si="94"/>
        <v/>
      </c>
      <c r="N550" s="51" t="str">
        <f t="shared" si="95"/>
        <v/>
      </c>
      <c r="O550" s="52" t="str">
        <f t="shared" si="96"/>
        <v/>
      </c>
      <c r="P550" s="88">
        <f t="shared" si="97"/>
        <v>0</v>
      </c>
      <c r="Q550" s="88">
        <f t="shared" si="98"/>
        <v>0</v>
      </c>
      <c r="R550" s="88" t="e">
        <f>-IF(Tabla14[[#This Row],[DIAS HABILES O MORA]]&lt;0,(Tabla14[[#This Row],[VALOR PRESTAMO]]*Tabla14[[#This Row],[% INTERES ]]/30*U550))+Tabla14[[#This Row],[VALOR CUOTAS]]</f>
        <v>#VALUE!</v>
      </c>
      <c r="S550" s="88">
        <f>-IF(Tabla14[[#This Row],[DIAS HABILES O MORA]]&lt;0,(Tabla14[[#This Row],[VALOR PRESTAMO]]*Tabla14[[#This Row],[% INTERES ]]/30*U550))</f>
        <v>0</v>
      </c>
      <c r="T550" s="53" t="e">
        <f>Tabla14[[#This Row],[DEUDA CAPITAL]]+Tabla14[[#This Row],[INTERES  CUOTA]]</f>
        <v>#NUM!</v>
      </c>
      <c r="U550" s="61" t="str">
        <f t="shared" si="99"/>
        <v/>
      </c>
    </row>
    <row r="551" spans="9:21" ht="24.75" customHeight="1" x14ac:dyDescent="0.35">
      <c r="I551" s="42">
        <f t="shared" si="90"/>
        <v>0</v>
      </c>
      <c r="J551" s="65" t="e">
        <f t="shared" si="91"/>
        <v>#NUM!</v>
      </c>
      <c r="K551" s="83" t="e">
        <f t="shared" si="92"/>
        <v>#NUM!</v>
      </c>
      <c r="L551" s="83">
        <f t="shared" si="93"/>
        <v>0</v>
      </c>
      <c r="M551" s="110" t="str">
        <f t="shared" si="94"/>
        <v/>
      </c>
      <c r="N551" s="51" t="str">
        <f t="shared" si="95"/>
        <v/>
      </c>
      <c r="O551" s="52" t="str">
        <f t="shared" si="96"/>
        <v/>
      </c>
      <c r="P551" s="88">
        <f t="shared" si="97"/>
        <v>0</v>
      </c>
      <c r="Q551" s="88">
        <f t="shared" si="98"/>
        <v>0</v>
      </c>
      <c r="R551" s="88" t="e">
        <f>-IF(Tabla14[[#This Row],[DIAS HABILES O MORA]]&lt;0,(Tabla14[[#This Row],[VALOR PRESTAMO]]*Tabla14[[#This Row],[% INTERES ]]/30*U551))+Tabla14[[#This Row],[VALOR CUOTAS]]</f>
        <v>#VALUE!</v>
      </c>
      <c r="S551" s="88">
        <f>-IF(Tabla14[[#This Row],[DIAS HABILES O MORA]]&lt;0,(Tabla14[[#This Row],[VALOR PRESTAMO]]*Tabla14[[#This Row],[% INTERES ]]/30*U551))</f>
        <v>0</v>
      </c>
      <c r="T551" s="53" t="e">
        <f>Tabla14[[#This Row],[DEUDA CAPITAL]]+Tabla14[[#This Row],[INTERES  CUOTA]]</f>
        <v>#NUM!</v>
      </c>
      <c r="U551" s="61" t="str">
        <f t="shared" si="99"/>
        <v/>
      </c>
    </row>
    <row r="552" spans="9:21" ht="24.75" customHeight="1" x14ac:dyDescent="0.35">
      <c r="I552" s="42">
        <f t="shared" si="90"/>
        <v>0</v>
      </c>
      <c r="J552" s="65" t="e">
        <f t="shared" si="91"/>
        <v>#NUM!</v>
      </c>
      <c r="K552" s="83" t="e">
        <f t="shared" si="92"/>
        <v>#NUM!</v>
      </c>
      <c r="L552" s="83">
        <f t="shared" si="93"/>
        <v>0</v>
      </c>
      <c r="M552" s="110" t="str">
        <f t="shared" si="94"/>
        <v/>
      </c>
      <c r="N552" s="51" t="str">
        <f t="shared" si="95"/>
        <v/>
      </c>
      <c r="O552" s="52" t="str">
        <f t="shared" si="96"/>
        <v/>
      </c>
      <c r="P552" s="88">
        <f t="shared" si="97"/>
        <v>0</v>
      </c>
      <c r="Q552" s="88">
        <f t="shared" si="98"/>
        <v>0</v>
      </c>
      <c r="R552" s="88" t="e">
        <f>-IF(Tabla14[[#This Row],[DIAS HABILES O MORA]]&lt;0,(Tabla14[[#This Row],[VALOR PRESTAMO]]*Tabla14[[#This Row],[% INTERES ]]/30*U552))+Tabla14[[#This Row],[VALOR CUOTAS]]</f>
        <v>#VALUE!</v>
      </c>
      <c r="S552" s="88">
        <f>-IF(Tabla14[[#This Row],[DIAS HABILES O MORA]]&lt;0,(Tabla14[[#This Row],[VALOR PRESTAMO]]*Tabla14[[#This Row],[% INTERES ]]/30*U552))</f>
        <v>0</v>
      </c>
      <c r="T552" s="53" t="e">
        <f>Tabla14[[#This Row],[DEUDA CAPITAL]]+Tabla14[[#This Row],[INTERES  CUOTA]]</f>
        <v>#NUM!</v>
      </c>
      <c r="U552" s="61" t="str">
        <f t="shared" si="99"/>
        <v/>
      </c>
    </row>
    <row r="553" spans="9:21" ht="24.75" customHeight="1" x14ac:dyDescent="0.35">
      <c r="I553" s="42">
        <f t="shared" si="90"/>
        <v>0</v>
      </c>
      <c r="J553" s="65" t="e">
        <f t="shared" si="91"/>
        <v>#NUM!</v>
      </c>
      <c r="K553" s="83" t="e">
        <f t="shared" si="92"/>
        <v>#NUM!</v>
      </c>
      <c r="L553" s="83">
        <f t="shared" si="93"/>
        <v>0</v>
      </c>
      <c r="M553" s="110" t="str">
        <f t="shared" si="94"/>
        <v/>
      </c>
      <c r="N553" s="51" t="str">
        <f t="shared" si="95"/>
        <v/>
      </c>
      <c r="O553" s="52" t="str">
        <f t="shared" si="96"/>
        <v/>
      </c>
      <c r="P553" s="88">
        <f t="shared" si="97"/>
        <v>0</v>
      </c>
      <c r="Q553" s="88">
        <f t="shared" si="98"/>
        <v>0</v>
      </c>
      <c r="R553" s="88" t="e">
        <f>-IF(Tabla14[[#This Row],[DIAS HABILES O MORA]]&lt;0,(Tabla14[[#This Row],[VALOR PRESTAMO]]*Tabla14[[#This Row],[% INTERES ]]/30*U553))+Tabla14[[#This Row],[VALOR CUOTAS]]</f>
        <v>#VALUE!</v>
      </c>
      <c r="S553" s="88">
        <f>-IF(Tabla14[[#This Row],[DIAS HABILES O MORA]]&lt;0,(Tabla14[[#This Row],[VALOR PRESTAMO]]*Tabla14[[#This Row],[% INTERES ]]/30*U553))</f>
        <v>0</v>
      </c>
      <c r="T553" s="53" t="e">
        <f>Tabla14[[#This Row],[DEUDA CAPITAL]]+Tabla14[[#This Row],[INTERES  CUOTA]]</f>
        <v>#NUM!</v>
      </c>
      <c r="U553" s="61" t="str">
        <f t="shared" si="99"/>
        <v/>
      </c>
    </row>
    <row r="554" spans="9:21" ht="24.75" customHeight="1" x14ac:dyDescent="0.35">
      <c r="I554" s="42">
        <f t="shared" si="90"/>
        <v>0</v>
      </c>
      <c r="J554" s="65" t="e">
        <f t="shared" si="91"/>
        <v>#NUM!</v>
      </c>
      <c r="K554" s="83" t="e">
        <f t="shared" si="92"/>
        <v>#NUM!</v>
      </c>
      <c r="L554" s="83">
        <f t="shared" si="93"/>
        <v>0</v>
      </c>
      <c r="M554" s="110" t="str">
        <f t="shared" si="94"/>
        <v/>
      </c>
      <c r="N554" s="51" t="str">
        <f t="shared" si="95"/>
        <v/>
      </c>
      <c r="O554" s="52" t="str">
        <f t="shared" si="96"/>
        <v/>
      </c>
      <c r="P554" s="88">
        <f t="shared" si="97"/>
        <v>0</v>
      </c>
      <c r="Q554" s="88">
        <f t="shared" si="98"/>
        <v>0</v>
      </c>
      <c r="R554" s="88" t="e">
        <f>-IF(Tabla14[[#This Row],[DIAS HABILES O MORA]]&lt;0,(Tabla14[[#This Row],[VALOR PRESTAMO]]*Tabla14[[#This Row],[% INTERES ]]/30*U554))+Tabla14[[#This Row],[VALOR CUOTAS]]</f>
        <v>#VALUE!</v>
      </c>
      <c r="S554" s="88">
        <f>-IF(Tabla14[[#This Row],[DIAS HABILES O MORA]]&lt;0,(Tabla14[[#This Row],[VALOR PRESTAMO]]*Tabla14[[#This Row],[% INTERES ]]/30*U554))</f>
        <v>0</v>
      </c>
      <c r="T554" s="53" t="e">
        <f>Tabla14[[#This Row],[DEUDA CAPITAL]]+Tabla14[[#This Row],[INTERES  CUOTA]]</f>
        <v>#NUM!</v>
      </c>
      <c r="U554" s="61" t="str">
        <f t="shared" si="99"/>
        <v/>
      </c>
    </row>
    <row r="555" spans="9:21" ht="24.75" customHeight="1" x14ac:dyDescent="0.35">
      <c r="I555" s="42">
        <f t="shared" si="90"/>
        <v>0</v>
      </c>
      <c r="J555" s="65" t="e">
        <f t="shared" si="91"/>
        <v>#NUM!</v>
      </c>
      <c r="K555" s="83" t="e">
        <f t="shared" si="92"/>
        <v>#NUM!</v>
      </c>
      <c r="L555" s="83">
        <f t="shared" si="93"/>
        <v>0</v>
      </c>
      <c r="M555" s="110" t="str">
        <f t="shared" si="94"/>
        <v/>
      </c>
      <c r="N555" s="51" t="str">
        <f t="shared" si="95"/>
        <v/>
      </c>
      <c r="O555" s="52" t="str">
        <f t="shared" si="96"/>
        <v/>
      </c>
      <c r="P555" s="88">
        <f t="shared" si="97"/>
        <v>0</v>
      </c>
      <c r="Q555" s="88">
        <f t="shared" si="98"/>
        <v>0</v>
      </c>
      <c r="R555" s="88" t="e">
        <f>-IF(Tabla14[[#This Row],[DIAS HABILES O MORA]]&lt;0,(Tabla14[[#This Row],[VALOR PRESTAMO]]*Tabla14[[#This Row],[% INTERES ]]/30*U555))+Tabla14[[#This Row],[VALOR CUOTAS]]</f>
        <v>#VALUE!</v>
      </c>
      <c r="S555" s="88">
        <f>-IF(Tabla14[[#This Row],[DIAS HABILES O MORA]]&lt;0,(Tabla14[[#This Row],[VALOR PRESTAMO]]*Tabla14[[#This Row],[% INTERES ]]/30*U555))</f>
        <v>0</v>
      </c>
      <c r="T555" s="53" t="e">
        <f>Tabla14[[#This Row],[DEUDA CAPITAL]]+Tabla14[[#This Row],[INTERES  CUOTA]]</f>
        <v>#NUM!</v>
      </c>
      <c r="U555" s="61" t="str">
        <f t="shared" si="99"/>
        <v/>
      </c>
    </row>
    <row r="556" spans="9:21" ht="24.75" customHeight="1" x14ac:dyDescent="0.35">
      <c r="I556" s="42">
        <f t="shared" si="90"/>
        <v>0</v>
      </c>
      <c r="J556" s="65" t="e">
        <f t="shared" si="91"/>
        <v>#NUM!</v>
      </c>
      <c r="K556" s="83" t="e">
        <f t="shared" si="92"/>
        <v>#NUM!</v>
      </c>
      <c r="L556" s="83">
        <f t="shared" si="93"/>
        <v>0</v>
      </c>
      <c r="M556" s="110" t="str">
        <f t="shared" si="94"/>
        <v/>
      </c>
      <c r="N556" s="51" t="str">
        <f t="shared" si="95"/>
        <v/>
      </c>
      <c r="O556" s="52" t="str">
        <f t="shared" si="96"/>
        <v/>
      </c>
      <c r="P556" s="88">
        <f t="shared" si="97"/>
        <v>0</v>
      </c>
      <c r="Q556" s="88">
        <f t="shared" si="98"/>
        <v>0</v>
      </c>
      <c r="R556" s="88" t="e">
        <f>-IF(Tabla14[[#This Row],[DIAS HABILES O MORA]]&lt;0,(Tabla14[[#This Row],[VALOR PRESTAMO]]*Tabla14[[#This Row],[% INTERES ]]/30*U556))+Tabla14[[#This Row],[VALOR CUOTAS]]</f>
        <v>#VALUE!</v>
      </c>
      <c r="S556" s="88">
        <f>-IF(Tabla14[[#This Row],[DIAS HABILES O MORA]]&lt;0,(Tabla14[[#This Row],[VALOR PRESTAMO]]*Tabla14[[#This Row],[% INTERES ]]/30*U556))</f>
        <v>0</v>
      </c>
      <c r="T556" s="53" t="e">
        <f>Tabla14[[#This Row],[DEUDA CAPITAL]]+Tabla14[[#This Row],[INTERES  CUOTA]]</f>
        <v>#NUM!</v>
      </c>
      <c r="U556" s="61" t="str">
        <f t="shared" si="99"/>
        <v/>
      </c>
    </row>
    <row r="557" spans="9:21" ht="24.75" customHeight="1" x14ac:dyDescent="0.35">
      <c r="I557" s="42">
        <f t="shared" si="90"/>
        <v>0</v>
      </c>
      <c r="J557" s="65" t="e">
        <f t="shared" si="91"/>
        <v>#NUM!</v>
      </c>
      <c r="K557" s="83" t="e">
        <f t="shared" si="92"/>
        <v>#NUM!</v>
      </c>
      <c r="L557" s="83">
        <f t="shared" si="93"/>
        <v>0</v>
      </c>
      <c r="M557" s="110" t="str">
        <f t="shared" si="94"/>
        <v/>
      </c>
      <c r="N557" s="51" t="str">
        <f t="shared" si="95"/>
        <v/>
      </c>
      <c r="O557" s="52" t="str">
        <f t="shared" si="96"/>
        <v/>
      </c>
      <c r="P557" s="88">
        <f t="shared" si="97"/>
        <v>0</v>
      </c>
      <c r="Q557" s="88">
        <f t="shared" si="98"/>
        <v>0</v>
      </c>
      <c r="R557" s="88" t="e">
        <f>-IF(Tabla14[[#This Row],[DIAS HABILES O MORA]]&lt;0,(Tabla14[[#This Row],[VALOR PRESTAMO]]*Tabla14[[#This Row],[% INTERES ]]/30*U557))+Tabla14[[#This Row],[VALOR CUOTAS]]</f>
        <v>#VALUE!</v>
      </c>
      <c r="S557" s="88">
        <f>-IF(Tabla14[[#This Row],[DIAS HABILES O MORA]]&lt;0,(Tabla14[[#This Row],[VALOR PRESTAMO]]*Tabla14[[#This Row],[% INTERES ]]/30*U557))</f>
        <v>0</v>
      </c>
      <c r="T557" s="53" t="e">
        <f>Tabla14[[#This Row],[DEUDA CAPITAL]]+Tabla14[[#This Row],[INTERES  CUOTA]]</f>
        <v>#NUM!</v>
      </c>
      <c r="U557" s="61" t="str">
        <f t="shared" si="99"/>
        <v/>
      </c>
    </row>
    <row r="558" spans="9:21" ht="24.75" customHeight="1" x14ac:dyDescent="0.35">
      <c r="I558" s="42">
        <f t="shared" si="90"/>
        <v>0</v>
      </c>
      <c r="J558" s="65" t="e">
        <f t="shared" si="91"/>
        <v>#NUM!</v>
      </c>
      <c r="K558" s="83" t="e">
        <f t="shared" si="92"/>
        <v>#NUM!</v>
      </c>
      <c r="L558" s="83">
        <f t="shared" si="93"/>
        <v>0</v>
      </c>
      <c r="M558" s="110" t="str">
        <f t="shared" si="94"/>
        <v/>
      </c>
      <c r="N558" s="51" t="str">
        <f t="shared" si="95"/>
        <v/>
      </c>
      <c r="O558" s="52" t="str">
        <f t="shared" si="96"/>
        <v/>
      </c>
      <c r="P558" s="88">
        <f t="shared" si="97"/>
        <v>0</v>
      </c>
      <c r="Q558" s="88">
        <f t="shared" si="98"/>
        <v>0</v>
      </c>
      <c r="R558" s="88" t="e">
        <f>-IF(Tabla14[[#This Row],[DIAS HABILES O MORA]]&lt;0,(Tabla14[[#This Row],[VALOR PRESTAMO]]*Tabla14[[#This Row],[% INTERES ]]/30*U558))+Tabla14[[#This Row],[VALOR CUOTAS]]</f>
        <v>#VALUE!</v>
      </c>
      <c r="S558" s="88">
        <f>-IF(Tabla14[[#This Row],[DIAS HABILES O MORA]]&lt;0,(Tabla14[[#This Row],[VALOR PRESTAMO]]*Tabla14[[#This Row],[% INTERES ]]/30*U558))</f>
        <v>0</v>
      </c>
      <c r="T558" s="53" t="e">
        <f>Tabla14[[#This Row],[DEUDA CAPITAL]]+Tabla14[[#This Row],[INTERES  CUOTA]]</f>
        <v>#NUM!</v>
      </c>
      <c r="U558" s="61" t="str">
        <f t="shared" si="99"/>
        <v/>
      </c>
    </row>
    <row r="559" spans="9:21" ht="24.75" customHeight="1" x14ac:dyDescent="0.35">
      <c r="I559" s="42">
        <f t="shared" si="90"/>
        <v>0</v>
      </c>
      <c r="J559" s="65" t="e">
        <f t="shared" si="91"/>
        <v>#NUM!</v>
      </c>
      <c r="K559" s="83" t="e">
        <f t="shared" si="92"/>
        <v>#NUM!</v>
      </c>
      <c r="L559" s="83">
        <f t="shared" si="93"/>
        <v>0</v>
      </c>
      <c r="M559" s="110" t="str">
        <f t="shared" si="94"/>
        <v/>
      </c>
      <c r="N559" s="51" t="str">
        <f t="shared" si="95"/>
        <v/>
      </c>
      <c r="O559" s="52" t="str">
        <f t="shared" si="96"/>
        <v/>
      </c>
      <c r="P559" s="88">
        <f t="shared" si="97"/>
        <v>0</v>
      </c>
      <c r="Q559" s="88">
        <f t="shared" si="98"/>
        <v>0</v>
      </c>
      <c r="R559" s="88" t="e">
        <f>-IF(Tabla14[[#This Row],[DIAS HABILES O MORA]]&lt;0,(Tabla14[[#This Row],[VALOR PRESTAMO]]*Tabla14[[#This Row],[% INTERES ]]/30*U559))+Tabla14[[#This Row],[VALOR CUOTAS]]</f>
        <v>#VALUE!</v>
      </c>
      <c r="S559" s="88">
        <f>-IF(Tabla14[[#This Row],[DIAS HABILES O MORA]]&lt;0,(Tabla14[[#This Row],[VALOR PRESTAMO]]*Tabla14[[#This Row],[% INTERES ]]/30*U559))</f>
        <v>0</v>
      </c>
      <c r="T559" s="53" t="e">
        <f>Tabla14[[#This Row],[DEUDA CAPITAL]]+Tabla14[[#This Row],[INTERES  CUOTA]]</f>
        <v>#NUM!</v>
      </c>
      <c r="U559" s="61" t="str">
        <f t="shared" si="99"/>
        <v/>
      </c>
    </row>
    <row r="560" spans="9:21" ht="24.75" customHeight="1" x14ac:dyDescent="0.35">
      <c r="I560" s="42">
        <f t="shared" si="90"/>
        <v>0</v>
      </c>
      <c r="J560" s="65" t="e">
        <f t="shared" si="91"/>
        <v>#NUM!</v>
      </c>
      <c r="K560" s="83" t="e">
        <f t="shared" si="92"/>
        <v>#NUM!</v>
      </c>
      <c r="L560" s="83">
        <f t="shared" si="93"/>
        <v>0</v>
      </c>
      <c r="M560" s="110" t="str">
        <f t="shared" si="94"/>
        <v/>
      </c>
      <c r="N560" s="51" t="str">
        <f t="shared" si="95"/>
        <v/>
      </c>
      <c r="O560" s="52" t="str">
        <f t="shared" si="96"/>
        <v/>
      </c>
      <c r="P560" s="88">
        <f t="shared" si="97"/>
        <v>0</v>
      </c>
      <c r="Q560" s="88">
        <f t="shared" si="98"/>
        <v>0</v>
      </c>
      <c r="R560" s="88" t="e">
        <f>-IF(Tabla14[[#This Row],[DIAS HABILES O MORA]]&lt;0,(Tabla14[[#This Row],[VALOR PRESTAMO]]*Tabla14[[#This Row],[% INTERES ]]/30*U560))+Tabla14[[#This Row],[VALOR CUOTAS]]</f>
        <v>#VALUE!</v>
      </c>
      <c r="S560" s="88">
        <f>-IF(Tabla14[[#This Row],[DIAS HABILES O MORA]]&lt;0,(Tabla14[[#This Row],[VALOR PRESTAMO]]*Tabla14[[#This Row],[% INTERES ]]/30*U560))</f>
        <v>0</v>
      </c>
      <c r="T560" s="53" t="e">
        <f>Tabla14[[#This Row],[DEUDA CAPITAL]]+Tabla14[[#This Row],[INTERES  CUOTA]]</f>
        <v>#NUM!</v>
      </c>
      <c r="U560" s="61" t="str">
        <f t="shared" si="99"/>
        <v/>
      </c>
    </row>
    <row r="561" spans="9:21" ht="24.75" customHeight="1" x14ac:dyDescent="0.35">
      <c r="I561" s="42">
        <f t="shared" si="90"/>
        <v>0</v>
      </c>
      <c r="J561" s="65" t="e">
        <f t="shared" si="91"/>
        <v>#NUM!</v>
      </c>
      <c r="K561" s="83" t="e">
        <f t="shared" si="92"/>
        <v>#NUM!</v>
      </c>
      <c r="L561" s="83">
        <f t="shared" si="93"/>
        <v>0</v>
      </c>
      <c r="M561" s="110" t="str">
        <f t="shared" si="94"/>
        <v/>
      </c>
      <c r="N561" s="51" t="str">
        <f t="shared" si="95"/>
        <v/>
      </c>
      <c r="O561" s="52" t="str">
        <f t="shared" si="96"/>
        <v/>
      </c>
      <c r="P561" s="88">
        <f t="shared" si="97"/>
        <v>0</v>
      </c>
      <c r="Q561" s="88">
        <f t="shared" si="98"/>
        <v>0</v>
      </c>
      <c r="R561" s="88" t="e">
        <f>-IF(Tabla14[[#This Row],[DIAS HABILES O MORA]]&lt;0,(Tabla14[[#This Row],[VALOR PRESTAMO]]*Tabla14[[#This Row],[% INTERES ]]/30*U561))+Tabla14[[#This Row],[VALOR CUOTAS]]</f>
        <v>#VALUE!</v>
      </c>
      <c r="S561" s="88">
        <f>-IF(Tabla14[[#This Row],[DIAS HABILES O MORA]]&lt;0,(Tabla14[[#This Row],[VALOR PRESTAMO]]*Tabla14[[#This Row],[% INTERES ]]/30*U561))</f>
        <v>0</v>
      </c>
      <c r="T561" s="53" t="e">
        <f>Tabla14[[#This Row],[DEUDA CAPITAL]]+Tabla14[[#This Row],[INTERES  CUOTA]]</f>
        <v>#NUM!</v>
      </c>
      <c r="U561" s="61" t="str">
        <f t="shared" si="99"/>
        <v/>
      </c>
    </row>
    <row r="562" spans="9:21" ht="24.75" customHeight="1" x14ac:dyDescent="0.35">
      <c r="I562" s="42">
        <f t="shared" si="90"/>
        <v>0</v>
      </c>
      <c r="J562" s="65" t="e">
        <f t="shared" si="91"/>
        <v>#NUM!</v>
      </c>
      <c r="K562" s="83" t="e">
        <f t="shared" si="92"/>
        <v>#NUM!</v>
      </c>
      <c r="L562" s="83">
        <f t="shared" si="93"/>
        <v>0</v>
      </c>
      <c r="M562" s="110" t="str">
        <f t="shared" si="94"/>
        <v/>
      </c>
      <c r="N562" s="51" t="str">
        <f t="shared" si="95"/>
        <v/>
      </c>
      <c r="O562" s="52" t="str">
        <f t="shared" si="96"/>
        <v/>
      </c>
      <c r="P562" s="88">
        <f t="shared" si="97"/>
        <v>0</v>
      </c>
      <c r="Q562" s="88">
        <f t="shared" si="98"/>
        <v>0</v>
      </c>
      <c r="R562" s="88" t="e">
        <f>-IF(Tabla14[[#This Row],[DIAS HABILES O MORA]]&lt;0,(Tabla14[[#This Row],[VALOR PRESTAMO]]*Tabla14[[#This Row],[% INTERES ]]/30*U562))+Tabla14[[#This Row],[VALOR CUOTAS]]</f>
        <v>#VALUE!</v>
      </c>
      <c r="S562" s="88">
        <f>-IF(Tabla14[[#This Row],[DIAS HABILES O MORA]]&lt;0,(Tabla14[[#This Row],[VALOR PRESTAMO]]*Tabla14[[#This Row],[% INTERES ]]/30*U562))</f>
        <v>0</v>
      </c>
      <c r="T562" s="53" t="e">
        <f>Tabla14[[#This Row],[DEUDA CAPITAL]]+Tabla14[[#This Row],[INTERES  CUOTA]]</f>
        <v>#NUM!</v>
      </c>
      <c r="U562" s="61" t="str">
        <f t="shared" si="99"/>
        <v/>
      </c>
    </row>
    <row r="563" spans="9:21" ht="24.75" customHeight="1" x14ac:dyDescent="0.35">
      <c r="I563" s="42">
        <f t="shared" si="90"/>
        <v>0</v>
      </c>
      <c r="J563" s="65" t="e">
        <f t="shared" si="91"/>
        <v>#NUM!</v>
      </c>
      <c r="K563" s="83" t="e">
        <f t="shared" si="92"/>
        <v>#NUM!</v>
      </c>
      <c r="L563" s="83">
        <f t="shared" si="93"/>
        <v>0</v>
      </c>
      <c r="M563" s="110" t="str">
        <f t="shared" si="94"/>
        <v/>
      </c>
      <c r="N563" s="51" t="str">
        <f t="shared" si="95"/>
        <v/>
      </c>
      <c r="O563" s="52" t="str">
        <f t="shared" si="96"/>
        <v/>
      </c>
      <c r="P563" s="88">
        <f t="shared" si="97"/>
        <v>0</v>
      </c>
      <c r="Q563" s="88">
        <f t="shared" si="98"/>
        <v>0</v>
      </c>
      <c r="R563" s="88" t="e">
        <f>-IF(Tabla14[[#This Row],[DIAS HABILES O MORA]]&lt;0,(Tabla14[[#This Row],[VALOR PRESTAMO]]*Tabla14[[#This Row],[% INTERES ]]/30*U563))+Tabla14[[#This Row],[VALOR CUOTAS]]</f>
        <v>#VALUE!</v>
      </c>
      <c r="S563" s="88">
        <f>-IF(Tabla14[[#This Row],[DIAS HABILES O MORA]]&lt;0,(Tabla14[[#This Row],[VALOR PRESTAMO]]*Tabla14[[#This Row],[% INTERES ]]/30*U563))</f>
        <v>0</v>
      </c>
      <c r="T563" s="53" t="e">
        <f>Tabla14[[#This Row],[DEUDA CAPITAL]]+Tabla14[[#This Row],[INTERES  CUOTA]]</f>
        <v>#NUM!</v>
      </c>
      <c r="U563" s="61" t="str">
        <f t="shared" si="99"/>
        <v/>
      </c>
    </row>
    <row r="564" spans="9:21" ht="24.75" customHeight="1" x14ac:dyDescent="0.35">
      <c r="I564" s="42">
        <f t="shared" si="90"/>
        <v>0</v>
      </c>
      <c r="J564" s="65" t="e">
        <f t="shared" si="91"/>
        <v>#NUM!</v>
      </c>
      <c r="K564" s="83" t="e">
        <f t="shared" si="92"/>
        <v>#NUM!</v>
      </c>
      <c r="L564" s="83">
        <f t="shared" si="93"/>
        <v>0</v>
      </c>
      <c r="M564" s="110" t="str">
        <f t="shared" si="94"/>
        <v/>
      </c>
      <c r="N564" s="51" t="str">
        <f t="shared" si="95"/>
        <v/>
      </c>
      <c r="O564" s="52" t="str">
        <f t="shared" si="96"/>
        <v/>
      </c>
      <c r="P564" s="88">
        <f t="shared" si="97"/>
        <v>0</v>
      </c>
      <c r="Q564" s="88">
        <f t="shared" si="98"/>
        <v>0</v>
      </c>
      <c r="R564" s="88" t="e">
        <f>-IF(Tabla14[[#This Row],[DIAS HABILES O MORA]]&lt;0,(Tabla14[[#This Row],[VALOR PRESTAMO]]*Tabla14[[#This Row],[% INTERES ]]/30*U564))+Tabla14[[#This Row],[VALOR CUOTAS]]</f>
        <v>#VALUE!</v>
      </c>
      <c r="S564" s="88">
        <f>-IF(Tabla14[[#This Row],[DIAS HABILES O MORA]]&lt;0,(Tabla14[[#This Row],[VALOR PRESTAMO]]*Tabla14[[#This Row],[% INTERES ]]/30*U564))</f>
        <v>0</v>
      </c>
      <c r="T564" s="53" t="e">
        <f>Tabla14[[#This Row],[DEUDA CAPITAL]]+Tabla14[[#This Row],[INTERES  CUOTA]]</f>
        <v>#NUM!</v>
      </c>
      <c r="U564" s="61" t="str">
        <f t="shared" si="99"/>
        <v/>
      </c>
    </row>
    <row r="565" spans="9:21" ht="24.75" customHeight="1" x14ac:dyDescent="0.35">
      <c r="I565" s="42">
        <f t="shared" si="90"/>
        <v>0</v>
      </c>
      <c r="J565" s="65" t="e">
        <f t="shared" si="91"/>
        <v>#NUM!</v>
      </c>
      <c r="K565" s="83" t="e">
        <f t="shared" si="92"/>
        <v>#NUM!</v>
      </c>
      <c r="L565" s="83">
        <f t="shared" si="93"/>
        <v>0</v>
      </c>
      <c r="M565" s="110" t="str">
        <f t="shared" si="94"/>
        <v/>
      </c>
      <c r="N565" s="51" t="str">
        <f t="shared" si="95"/>
        <v/>
      </c>
      <c r="O565" s="52" t="str">
        <f t="shared" si="96"/>
        <v/>
      </c>
      <c r="P565" s="88">
        <f t="shared" si="97"/>
        <v>0</v>
      </c>
      <c r="Q565" s="88">
        <f t="shared" si="98"/>
        <v>0</v>
      </c>
      <c r="R565" s="88" t="e">
        <f>-IF(Tabla14[[#This Row],[DIAS HABILES O MORA]]&lt;0,(Tabla14[[#This Row],[VALOR PRESTAMO]]*Tabla14[[#This Row],[% INTERES ]]/30*U565))+Tabla14[[#This Row],[VALOR CUOTAS]]</f>
        <v>#VALUE!</v>
      </c>
      <c r="S565" s="88">
        <f>-IF(Tabla14[[#This Row],[DIAS HABILES O MORA]]&lt;0,(Tabla14[[#This Row],[VALOR PRESTAMO]]*Tabla14[[#This Row],[% INTERES ]]/30*U565))</f>
        <v>0</v>
      </c>
      <c r="T565" s="53" t="e">
        <f>Tabla14[[#This Row],[DEUDA CAPITAL]]+Tabla14[[#This Row],[INTERES  CUOTA]]</f>
        <v>#NUM!</v>
      </c>
      <c r="U565" s="61" t="str">
        <f t="shared" si="99"/>
        <v/>
      </c>
    </row>
    <row r="566" spans="9:21" ht="24.75" customHeight="1" x14ac:dyDescent="0.35">
      <c r="I566" s="42">
        <f t="shared" si="90"/>
        <v>0</v>
      </c>
      <c r="J566" s="65" t="e">
        <f t="shared" si="91"/>
        <v>#NUM!</v>
      </c>
      <c r="K566" s="83" t="e">
        <f t="shared" si="92"/>
        <v>#NUM!</v>
      </c>
      <c r="L566" s="83">
        <f t="shared" si="93"/>
        <v>0</v>
      </c>
      <c r="M566" s="110" t="str">
        <f t="shared" si="94"/>
        <v/>
      </c>
      <c r="N566" s="51" t="str">
        <f t="shared" si="95"/>
        <v/>
      </c>
      <c r="O566" s="52" t="str">
        <f t="shared" si="96"/>
        <v/>
      </c>
      <c r="P566" s="88">
        <f t="shared" si="97"/>
        <v>0</v>
      </c>
      <c r="Q566" s="88">
        <f t="shared" si="98"/>
        <v>0</v>
      </c>
      <c r="R566" s="88" t="e">
        <f>-IF(Tabla14[[#This Row],[DIAS HABILES O MORA]]&lt;0,(Tabla14[[#This Row],[VALOR PRESTAMO]]*Tabla14[[#This Row],[% INTERES ]]/30*U566))+Tabla14[[#This Row],[VALOR CUOTAS]]</f>
        <v>#VALUE!</v>
      </c>
      <c r="S566" s="88">
        <f>-IF(Tabla14[[#This Row],[DIAS HABILES O MORA]]&lt;0,(Tabla14[[#This Row],[VALOR PRESTAMO]]*Tabla14[[#This Row],[% INTERES ]]/30*U566))</f>
        <v>0</v>
      </c>
      <c r="T566" s="53" t="e">
        <f>Tabla14[[#This Row],[DEUDA CAPITAL]]+Tabla14[[#This Row],[INTERES  CUOTA]]</f>
        <v>#NUM!</v>
      </c>
      <c r="U566" s="61" t="str">
        <f t="shared" si="99"/>
        <v/>
      </c>
    </row>
    <row r="567" spans="9:21" ht="24.75" customHeight="1" x14ac:dyDescent="0.35">
      <c r="I567" s="42">
        <f t="shared" si="90"/>
        <v>0</v>
      </c>
      <c r="J567" s="65" t="e">
        <f t="shared" si="91"/>
        <v>#NUM!</v>
      </c>
      <c r="K567" s="83" t="e">
        <f t="shared" si="92"/>
        <v>#NUM!</v>
      </c>
      <c r="L567" s="83">
        <f t="shared" si="93"/>
        <v>0</v>
      </c>
      <c r="M567" s="110" t="str">
        <f t="shared" si="94"/>
        <v/>
      </c>
      <c r="N567" s="51" t="str">
        <f t="shared" si="95"/>
        <v/>
      </c>
      <c r="O567" s="52" t="str">
        <f t="shared" si="96"/>
        <v/>
      </c>
      <c r="P567" s="88">
        <f t="shared" si="97"/>
        <v>0</v>
      </c>
      <c r="Q567" s="88">
        <f t="shared" si="98"/>
        <v>0</v>
      </c>
      <c r="R567" s="88" t="e">
        <f>-IF(Tabla14[[#This Row],[DIAS HABILES O MORA]]&lt;0,(Tabla14[[#This Row],[VALOR PRESTAMO]]*Tabla14[[#This Row],[% INTERES ]]/30*U567))+Tabla14[[#This Row],[VALOR CUOTAS]]</f>
        <v>#VALUE!</v>
      </c>
      <c r="S567" s="88">
        <f>-IF(Tabla14[[#This Row],[DIAS HABILES O MORA]]&lt;0,(Tabla14[[#This Row],[VALOR PRESTAMO]]*Tabla14[[#This Row],[% INTERES ]]/30*U567))</f>
        <v>0</v>
      </c>
      <c r="T567" s="53" t="e">
        <f>Tabla14[[#This Row],[DEUDA CAPITAL]]+Tabla14[[#This Row],[INTERES  CUOTA]]</f>
        <v>#NUM!</v>
      </c>
      <c r="U567" s="61" t="str">
        <f t="shared" si="99"/>
        <v/>
      </c>
    </row>
    <row r="568" spans="9:21" ht="24.75" customHeight="1" x14ac:dyDescent="0.35">
      <c r="I568" s="42">
        <f t="shared" si="90"/>
        <v>0</v>
      </c>
      <c r="J568" s="65" t="e">
        <f t="shared" si="91"/>
        <v>#NUM!</v>
      </c>
      <c r="K568" s="83" t="e">
        <f t="shared" si="92"/>
        <v>#NUM!</v>
      </c>
      <c r="L568" s="83">
        <f t="shared" si="93"/>
        <v>0</v>
      </c>
      <c r="M568" s="110" t="str">
        <f t="shared" si="94"/>
        <v/>
      </c>
      <c r="N568" s="51" t="str">
        <f t="shared" si="95"/>
        <v/>
      </c>
      <c r="O568" s="52" t="str">
        <f t="shared" si="96"/>
        <v/>
      </c>
      <c r="P568" s="88">
        <f t="shared" si="97"/>
        <v>0</v>
      </c>
      <c r="Q568" s="88">
        <f t="shared" si="98"/>
        <v>0</v>
      </c>
      <c r="R568" s="88" t="e">
        <f>-IF(Tabla14[[#This Row],[DIAS HABILES O MORA]]&lt;0,(Tabla14[[#This Row],[VALOR PRESTAMO]]*Tabla14[[#This Row],[% INTERES ]]/30*U568))+Tabla14[[#This Row],[VALOR CUOTAS]]</f>
        <v>#VALUE!</v>
      </c>
      <c r="S568" s="88">
        <f>-IF(Tabla14[[#This Row],[DIAS HABILES O MORA]]&lt;0,(Tabla14[[#This Row],[VALOR PRESTAMO]]*Tabla14[[#This Row],[% INTERES ]]/30*U568))</f>
        <v>0</v>
      </c>
      <c r="T568" s="53" t="e">
        <f>Tabla14[[#This Row],[DEUDA CAPITAL]]+Tabla14[[#This Row],[INTERES  CUOTA]]</f>
        <v>#NUM!</v>
      </c>
      <c r="U568" s="61" t="str">
        <f t="shared" si="99"/>
        <v/>
      </c>
    </row>
    <row r="569" spans="9:21" ht="24.75" customHeight="1" x14ac:dyDescent="0.35">
      <c r="I569" s="42">
        <f t="shared" si="90"/>
        <v>0</v>
      </c>
      <c r="J569" s="65" t="e">
        <f t="shared" si="91"/>
        <v>#NUM!</v>
      </c>
      <c r="K569" s="83" t="e">
        <f t="shared" si="92"/>
        <v>#NUM!</v>
      </c>
      <c r="L569" s="83">
        <f t="shared" si="93"/>
        <v>0</v>
      </c>
      <c r="M569" s="110" t="str">
        <f t="shared" si="94"/>
        <v/>
      </c>
      <c r="N569" s="51" t="str">
        <f t="shared" si="95"/>
        <v/>
      </c>
      <c r="O569" s="52" t="str">
        <f t="shared" si="96"/>
        <v/>
      </c>
      <c r="P569" s="88">
        <f t="shared" si="97"/>
        <v>0</v>
      </c>
      <c r="Q569" s="88">
        <f t="shared" si="98"/>
        <v>0</v>
      </c>
      <c r="R569" s="88" t="e">
        <f>-IF(Tabla14[[#This Row],[DIAS HABILES O MORA]]&lt;0,(Tabla14[[#This Row],[VALOR PRESTAMO]]*Tabla14[[#This Row],[% INTERES ]]/30*U569))+Tabla14[[#This Row],[VALOR CUOTAS]]</f>
        <v>#VALUE!</v>
      </c>
      <c r="S569" s="88">
        <f>-IF(Tabla14[[#This Row],[DIAS HABILES O MORA]]&lt;0,(Tabla14[[#This Row],[VALOR PRESTAMO]]*Tabla14[[#This Row],[% INTERES ]]/30*U569))</f>
        <v>0</v>
      </c>
      <c r="T569" s="53" t="e">
        <f>Tabla14[[#This Row],[DEUDA CAPITAL]]+Tabla14[[#This Row],[INTERES  CUOTA]]</f>
        <v>#NUM!</v>
      </c>
      <c r="U569" s="61" t="str">
        <f t="shared" si="99"/>
        <v/>
      </c>
    </row>
    <row r="570" spans="9:21" ht="24.75" customHeight="1" x14ac:dyDescent="0.35">
      <c r="I570" s="42">
        <f t="shared" si="90"/>
        <v>0</v>
      </c>
      <c r="J570" s="65" t="e">
        <f t="shared" si="91"/>
        <v>#NUM!</v>
      </c>
      <c r="K570" s="83" t="e">
        <f t="shared" si="92"/>
        <v>#NUM!</v>
      </c>
      <c r="L570" s="83">
        <f t="shared" si="93"/>
        <v>0</v>
      </c>
      <c r="M570" s="110" t="str">
        <f t="shared" si="94"/>
        <v/>
      </c>
      <c r="N570" s="51" t="str">
        <f t="shared" si="95"/>
        <v/>
      </c>
      <c r="O570" s="52" t="str">
        <f t="shared" si="96"/>
        <v/>
      </c>
      <c r="P570" s="88">
        <f t="shared" si="97"/>
        <v>0</v>
      </c>
      <c r="Q570" s="88">
        <f t="shared" si="98"/>
        <v>0</v>
      </c>
      <c r="R570" s="88" t="e">
        <f>-IF(Tabla14[[#This Row],[DIAS HABILES O MORA]]&lt;0,(Tabla14[[#This Row],[VALOR PRESTAMO]]*Tabla14[[#This Row],[% INTERES ]]/30*U570))+Tabla14[[#This Row],[VALOR CUOTAS]]</f>
        <v>#VALUE!</v>
      </c>
      <c r="S570" s="88">
        <f>-IF(Tabla14[[#This Row],[DIAS HABILES O MORA]]&lt;0,(Tabla14[[#This Row],[VALOR PRESTAMO]]*Tabla14[[#This Row],[% INTERES ]]/30*U570))</f>
        <v>0</v>
      </c>
      <c r="T570" s="53" t="e">
        <f>Tabla14[[#This Row],[DEUDA CAPITAL]]+Tabla14[[#This Row],[INTERES  CUOTA]]</f>
        <v>#NUM!</v>
      </c>
      <c r="U570" s="61" t="str">
        <f t="shared" si="99"/>
        <v/>
      </c>
    </row>
    <row r="571" spans="9:21" ht="24.75" customHeight="1" x14ac:dyDescent="0.35">
      <c r="I571" s="42">
        <f t="shared" si="90"/>
        <v>0</v>
      </c>
      <c r="J571" s="65" t="e">
        <f t="shared" si="91"/>
        <v>#NUM!</v>
      </c>
      <c r="K571" s="83" t="e">
        <f t="shared" si="92"/>
        <v>#NUM!</v>
      </c>
      <c r="L571" s="83">
        <f t="shared" si="93"/>
        <v>0</v>
      </c>
      <c r="M571" s="110" t="str">
        <f t="shared" si="94"/>
        <v/>
      </c>
      <c r="N571" s="51" t="str">
        <f t="shared" si="95"/>
        <v/>
      </c>
      <c r="O571" s="52" t="str">
        <f t="shared" si="96"/>
        <v/>
      </c>
      <c r="P571" s="88">
        <f t="shared" si="97"/>
        <v>0</v>
      </c>
      <c r="Q571" s="88">
        <f t="shared" si="98"/>
        <v>0</v>
      </c>
      <c r="R571" s="88" t="e">
        <f>-IF(Tabla14[[#This Row],[DIAS HABILES O MORA]]&lt;0,(Tabla14[[#This Row],[VALOR PRESTAMO]]*Tabla14[[#This Row],[% INTERES ]]/30*U571))+Tabla14[[#This Row],[VALOR CUOTAS]]</f>
        <v>#VALUE!</v>
      </c>
      <c r="S571" s="88">
        <f>-IF(Tabla14[[#This Row],[DIAS HABILES O MORA]]&lt;0,(Tabla14[[#This Row],[VALOR PRESTAMO]]*Tabla14[[#This Row],[% INTERES ]]/30*U571))</f>
        <v>0</v>
      </c>
      <c r="T571" s="53" t="e">
        <f>Tabla14[[#This Row],[DEUDA CAPITAL]]+Tabla14[[#This Row],[INTERES  CUOTA]]</f>
        <v>#NUM!</v>
      </c>
      <c r="U571" s="61" t="str">
        <f t="shared" si="99"/>
        <v/>
      </c>
    </row>
    <row r="572" spans="9:21" ht="24.75" customHeight="1" x14ac:dyDescent="0.35">
      <c r="I572" s="42">
        <f t="shared" si="90"/>
        <v>0</v>
      </c>
      <c r="J572" s="65" t="e">
        <f t="shared" si="91"/>
        <v>#NUM!</v>
      </c>
      <c r="K572" s="83" t="e">
        <f t="shared" si="92"/>
        <v>#NUM!</v>
      </c>
      <c r="L572" s="83">
        <f t="shared" si="93"/>
        <v>0</v>
      </c>
      <c r="M572" s="110" t="str">
        <f t="shared" si="94"/>
        <v/>
      </c>
      <c r="N572" s="51" t="str">
        <f t="shared" si="95"/>
        <v/>
      </c>
      <c r="O572" s="52" t="str">
        <f t="shared" si="96"/>
        <v/>
      </c>
      <c r="P572" s="88">
        <f t="shared" si="97"/>
        <v>0</v>
      </c>
      <c r="Q572" s="88">
        <f t="shared" si="98"/>
        <v>0</v>
      </c>
      <c r="R572" s="88" t="e">
        <f>-IF(Tabla14[[#This Row],[DIAS HABILES O MORA]]&lt;0,(Tabla14[[#This Row],[VALOR PRESTAMO]]*Tabla14[[#This Row],[% INTERES ]]/30*U572))+Tabla14[[#This Row],[VALOR CUOTAS]]</f>
        <v>#VALUE!</v>
      </c>
      <c r="S572" s="88">
        <f>-IF(Tabla14[[#This Row],[DIAS HABILES O MORA]]&lt;0,(Tabla14[[#This Row],[VALOR PRESTAMO]]*Tabla14[[#This Row],[% INTERES ]]/30*U572))</f>
        <v>0</v>
      </c>
      <c r="T572" s="53" t="e">
        <f>Tabla14[[#This Row],[DEUDA CAPITAL]]+Tabla14[[#This Row],[INTERES  CUOTA]]</f>
        <v>#NUM!</v>
      </c>
      <c r="U572" s="61" t="str">
        <f t="shared" si="99"/>
        <v/>
      </c>
    </row>
    <row r="573" spans="9:21" ht="24.75" customHeight="1" x14ac:dyDescent="0.35">
      <c r="I573" s="42">
        <f t="shared" si="90"/>
        <v>0</v>
      </c>
      <c r="J573" s="65" t="e">
        <f t="shared" si="91"/>
        <v>#NUM!</v>
      </c>
      <c r="K573" s="83" t="e">
        <f t="shared" si="92"/>
        <v>#NUM!</v>
      </c>
      <c r="L573" s="83">
        <f t="shared" si="93"/>
        <v>0</v>
      </c>
      <c r="M573" s="110" t="str">
        <f t="shared" si="94"/>
        <v/>
      </c>
      <c r="N573" s="51" t="str">
        <f t="shared" si="95"/>
        <v/>
      </c>
      <c r="O573" s="52" t="str">
        <f t="shared" si="96"/>
        <v/>
      </c>
      <c r="P573" s="88">
        <f t="shared" si="97"/>
        <v>0</v>
      </c>
      <c r="Q573" s="88">
        <f t="shared" si="98"/>
        <v>0</v>
      </c>
      <c r="R573" s="88" t="e">
        <f>-IF(Tabla14[[#This Row],[DIAS HABILES O MORA]]&lt;0,(Tabla14[[#This Row],[VALOR PRESTAMO]]*Tabla14[[#This Row],[% INTERES ]]/30*U573))+Tabla14[[#This Row],[VALOR CUOTAS]]</f>
        <v>#VALUE!</v>
      </c>
      <c r="S573" s="88">
        <f>-IF(Tabla14[[#This Row],[DIAS HABILES O MORA]]&lt;0,(Tabla14[[#This Row],[VALOR PRESTAMO]]*Tabla14[[#This Row],[% INTERES ]]/30*U573))</f>
        <v>0</v>
      </c>
      <c r="T573" s="53" t="e">
        <f>Tabla14[[#This Row],[DEUDA CAPITAL]]+Tabla14[[#This Row],[INTERES  CUOTA]]</f>
        <v>#NUM!</v>
      </c>
      <c r="U573" s="61" t="str">
        <f t="shared" si="99"/>
        <v/>
      </c>
    </row>
    <row r="574" spans="9:21" ht="24.75" customHeight="1" x14ac:dyDescent="0.35">
      <c r="I574" s="42">
        <f t="shared" si="90"/>
        <v>0</v>
      </c>
      <c r="J574" s="65" t="e">
        <f t="shared" si="91"/>
        <v>#NUM!</v>
      </c>
      <c r="K574" s="83" t="e">
        <f t="shared" si="92"/>
        <v>#NUM!</v>
      </c>
      <c r="L574" s="83">
        <f t="shared" si="93"/>
        <v>0</v>
      </c>
      <c r="M574" s="110" t="str">
        <f t="shared" si="94"/>
        <v/>
      </c>
      <c r="N574" s="51" t="str">
        <f t="shared" si="95"/>
        <v/>
      </c>
      <c r="O574" s="52" t="str">
        <f t="shared" si="96"/>
        <v/>
      </c>
      <c r="P574" s="88">
        <f t="shared" si="97"/>
        <v>0</v>
      </c>
      <c r="Q574" s="88">
        <f t="shared" si="98"/>
        <v>0</v>
      </c>
      <c r="R574" s="88" t="e">
        <f>-IF(Tabla14[[#This Row],[DIAS HABILES O MORA]]&lt;0,(Tabla14[[#This Row],[VALOR PRESTAMO]]*Tabla14[[#This Row],[% INTERES ]]/30*U574))+Tabla14[[#This Row],[VALOR CUOTAS]]</f>
        <v>#VALUE!</v>
      </c>
      <c r="S574" s="88">
        <f>-IF(Tabla14[[#This Row],[DIAS HABILES O MORA]]&lt;0,(Tabla14[[#This Row],[VALOR PRESTAMO]]*Tabla14[[#This Row],[% INTERES ]]/30*U574))</f>
        <v>0</v>
      </c>
      <c r="T574" s="53" t="e">
        <f>Tabla14[[#This Row],[DEUDA CAPITAL]]+Tabla14[[#This Row],[INTERES  CUOTA]]</f>
        <v>#NUM!</v>
      </c>
      <c r="U574" s="61" t="str">
        <f t="shared" si="99"/>
        <v/>
      </c>
    </row>
    <row r="575" spans="9:21" ht="24.75" customHeight="1" x14ac:dyDescent="0.35">
      <c r="I575" s="42">
        <f t="shared" si="90"/>
        <v>0</v>
      </c>
      <c r="J575" s="65" t="e">
        <f t="shared" si="91"/>
        <v>#NUM!</v>
      </c>
      <c r="K575" s="83" t="e">
        <f t="shared" si="92"/>
        <v>#NUM!</v>
      </c>
      <c r="L575" s="83">
        <f t="shared" si="93"/>
        <v>0</v>
      </c>
      <c r="M575" s="110" t="str">
        <f t="shared" si="94"/>
        <v/>
      </c>
      <c r="N575" s="51" t="str">
        <f t="shared" si="95"/>
        <v/>
      </c>
      <c r="O575" s="52" t="str">
        <f t="shared" si="96"/>
        <v/>
      </c>
      <c r="P575" s="88">
        <f t="shared" si="97"/>
        <v>0</v>
      </c>
      <c r="Q575" s="88">
        <f t="shared" si="98"/>
        <v>0</v>
      </c>
      <c r="R575" s="88" t="e">
        <f>-IF(Tabla14[[#This Row],[DIAS HABILES O MORA]]&lt;0,(Tabla14[[#This Row],[VALOR PRESTAMO]]*Tabla14[[#This Row],[% INTERES ]]/30*U575))+Tabla14[[#This Row],[VALOR CUOTAS]]</f>
        <v>#VALUE!</v>
      </c>
      <c r="S575" s="88">
        <f>-IF(Tabla14[[#This Row],[DIAS HABILES O MORA]]&lt;0,(Tabla14[[#This Row],[VALOR PRESTAMO]]*Tabla14[[#This Row],[% INTERES ]]/30*U575))</f>
        <v>0</v>
      </c>
      <c r="T575" s="53" t="e">
        <f>Tabla14[[#This Row],[DEUDA CAPITAL]]+Tabla14[[#This Row],[INTERES  CUOTA]]</f>
        <v>#NUM!</v>
      </c>
      <c r="U575" s="61" t="str">
        <f t="shared" si="99"/>
        <v/>
      </c>
    </row>
    <row r="576" spans="9:21" ht="24.75" customHeight="1" x14ac:dyDescent="0.35">
      <c r="I576" s="42">
        <f t="shared" si="90"/>
        <v>0</v>
      </c>
      <c r="J576" s="65" t="e">
        <f t="shared" si="91"/>
        <v>#NUM!</v>
      </c>
      <c r="K576" s="83" t="e">
        <f t="shared" si="92"/>
        <v>#NUM!</v>
      </c>
      <c r="L576" s="83">
        <f t="shared" si="93"/>
        <v>0</v>
      </c>
      <c r="M576" s="110" t="str">
        <f t="shared" si="94"/>
        <v/>
      </c>
      <c r="N576" s="51" t="str">
        <f t="shared" si="95"/>
        <v/>
      </c>
      <c r="O576" s="52" t="str">
        <f t="shared" si="96"/>
        <v/>
      </c>
      <c r="P576" s="88">
        <f t="shared" si="97"/>
        <v>0</v>
      </c>
      <c r="Q576" s="88">
        <f t="shared" si="98"/>
        <v>0</v>
      </c>
      <c r="R576" s="88" t="e">
        <f>-IF(Tabla14[[#This Row],[DIAS HABILES O MORA]]&lt;0,(Tabla14[[#This Row],[VALOR PRESTAMO]]*Tabla14[[#This Row],[% INTERES ]]/30*U576))+Tabla14[[#This Row],[VALOR CUOTAS]]</f>
        <v>#VALUE!</v>
      </c>
      <c r="S576" s="88">
        <f>-IF(Tabla14[[#This Row],[DIAS HABILES O MORA]]&lt;0,(Tabla14[[#This Row],[VALOR PRESTAMO]]*Tabla14[[#This Row],[% INTERES ]]/30*U576))</f>
        <v>0</v>
      </c>
      <c r="T576" s="53" t="e">
        <f>Tabla14[[#This Row],[DEUDA CAPITAL]]+Tabla14[[#This Row],[INTERES  CUOTA]]</f>
        <v>#NUM!</v>
      </c>
      <c r="U576" s="61" t="str">
        <f t="shared" si="99"/>
        <v/>
      </c>
    </row>
    <row r="577" spans="9:21" ht="24.75" customHeight="1" x14ac:dyDescent="0.35">
      <c r="I577" s="42">
        <f t="shared" si="90"/>
        <v>0</v>
      </c>
      <c r="J577" s="65" t="e">
        <f t="shared" si="91"/>
        <v>#NUM!</v>
      </c>
      <c r="K577" s="83" t="e">
        <f t="shared" si="92"/>
        <v>#NUM!</v>
      </c>
      <c r="L577" s="83">
        <f t="shared" si="93"/>
        <v>0</v>
      </c>
      <c r="M577" s="110" t="str">
        <f t="shared" si="94"/>
        <v/>
      </c>
      <c r="N577" s="51" t="str">
        <f t="shared" si="95"/>
        <v/>
      </c>
      <c r="O577" s="52" t="str">
        <f t="shared" si="96"/>
        <v/>
      </c>
      <c r="P577" s="88">
        <f t="shared" si="97"/>
        <v>0</v>
      </c>
      <c r="Q577" s="88">
        <f t="shared" si="98"/>
        <v>0</v>
      </c>
      <c r="R577" s="88" t="e">
        <f>-IF(Tabla14[[#This Row],[DIAS HABILES O MORA]]&lt;0,(Tabla14[[#This Row],[VALOR PRESTAMO]]*Tabla14[[#This Row],[% INTERES ]]/30*U577))+Tabla14[[#This Row],[VALOR CUOTAS]]</f>
        <v>#VALUE!</v>
      </c>
      <c r="S577" s="88">
        <f>-IF(Tabla14[[#This Row],[DIAS HABILES O MORA]]&lt;0,(Tabla14[[#This Row],[VALOR PRESTAMO]]*Tabla14[[#This Row],[% INTERES ]]/30*U577))</f>
        <v>0</v>
      </c>
      <c r="T577" s="53" t="e">
        <f>Tabla14[[#This Row],[DEUDA CAPITAL]]+Tabla14[[#This Row],[INTERES  CUOTA]]</f>
        <v>#NUM!</v>
      </c>
      <c r="U577" s="61" t="str">
        <f t="shared" si="99"/>
        <v/>
      </c>
    </row>
    <row r="578" spans="9:21" ht="24.75" customHeight="1" x14ac:dyDescent="0.35">
      <c r="I578" s="42">
        <f t="shared" si="90"/>
        <v>0</v>
      </c>
      <c r="J578" s="65" t="e">
        <f t="shared" si="91"/>
        <v>#NUM!</v>
      </c>
      <c r="K578" s="83" t="e">
        <f t="shared" si="92"/>
        <v>#NUM!</v>
      </c>
      <c r="L578" s="83">
        <f t="shared" si="93"/>
        <v>0</v>
      </c>
      <c r="M578" s="110" t="str">
        <f t="shared" si="94"/>
        <v/>
      </c>
      <c r="N578" s="51" t="str">
        <f t="shared" si="95"/>
        <v/>
      </c>
      <c r="O578" s="52" t="str">
        <f t="shared" si="96"/>
        <v/>
      </c>
      <c r="P578" s="88">
        <f t="shared" si="97"/>
        <v>0</v>
      </c>
      <c r="Q578" s="88">
        <f t="shared" si="98"/>
        <v>0</v>
      </c>
      <c r="R578" s="88" t="e">
        <f>-IF(Tabla14[[#This Row],[DIAS HABILES O MORA]]&lt;0,(Tabla14[[#This Row],[VALOR PRESTAMO]]*Tabla14[[#This Row],[% INTERES ]]/30*U578))+Tabla14[[#This Row],[VALOR CUOTAS]]</f>
        <v>#VALUE!</v>
      </c>
      <c r="S578" s="88">
        <f>-IF(Tabla14[[#This Row],[DIAS HABILES O MORA]]&lt;0,(Tabla14[[#This Row],[VALOR PRESTAMO]]*Tabla14[[#This Row],[% INTERES ]]/30*U578))</f>
        <v>0</v>
      </c>
      <c r="T578" s="53" t="e">
        <f>Tabla14[[#This Row],[DEUDA CAPITAL]]+Tabla14[[#This Row],[INTERES  CUOTA]]</f>
        <v>#NUM!</v>
      </c>
      <c r="U578" s="61" t="str">
        <f t="shared" si="99"/>
        <v/>
      </c>
    </row>
    <row r="579" spans="9:21" ht="24.75" customHeight="1" x14ac:dyDescent="0.35">
      <c r="I579" s="42">
        <f t="shared" si="90"/>
        <v>0</v>
      </c>
      <c r="J579" s="65" t="e">
        <f t="shared" si="91"/>
        <v>#NUM!</v>
      </c>
      <c r="K579" s="83" t="e">
        <f t="shared" si="92"/>
        <v>#NUM!</v>
      </c>
      <c r="L579" s="83">
        <f t="shared" si="93"/>
        <v>0</v>
      </c>
      <c r="M579" s="110" t="str">
        <f t="shared" si="94"/>
        <v/>
      </c>
      <c r="N579" s="51" t="str">
        <f t="shared" si="95"/>
        <v/>
      </c>
      <c r="O579" s="52" t="str">
        <f t="shared" si="96"/>
        <v/>
      </c>
      <c r="P579" s="88">
        <f t="shared" si="97"/>
        <v>0</v>
      </c>
      <c r="Q579" s="88">
        <f t="shared" si="98"/>
        <v>0</v>
      </c>
      <c r="R579" s="88" t="e">
        <f>-IF(Tabla14[[#This Row],[DIAS HABILES O MORA]]&lt;0,(Tabla14[[#This Row],[VALOR PRESTAMO]]*Tabla14[[#This Row],[% INTERES ]]/30*U579))+Tabla14[[#This Row],[VALOR CUOTAS]]</f>
        <v>#VALUE!</v>
      </c>
      <c r="S579" s="88">
        <f>-IF(Tabla14[[#This Row],[DIAS HABILES O MORA]]&lt;0,(Tabla14[[#This Row],[VALOR PRESTAMO]]*Tabla14[[#This Row],[% INTERES ]]/30*U579))</f>
        <v>0</v>
      </c>
      <c r="T579" s="53" t="e">
        <f>Tabla14[[#This Row],[DEUDA CAPITAL]]+Tabla14[[#This Row],[INTERES  CUOTA]]</f>
        <v>#NUM!</v>
      </c>
      <c r="U579" s="61" t="str">
        <f t="shared" si="99"/>
        <v/>
      </c>
    </row>
    <row r="580" spans="9:21" ht="24.75" customHeight="1" x14ac:dyDescent="0.35">
      <c r="I580" s="42">
        <f t="shared" si="90"/>
        <v>0</v>
      </c>
      <c r="J580" s="65" t="e">
        <f t="shared" si="91"/>
        <v>#NUM!</v>
      </c>
      <c r="K580" s="83" t="e">
        <f t="shared" si="92"/>
        <v>#NUM!</v>
      </c>
      <c r="L580" s="83">
        <f t="shared" si="93"/>
        <v>0</v>
      </c>
      <c r="M580" s="110" t="str">
        <f t="shared" si="94"/>
        <v/>
      </c>
      <c r="N580" s="51" t="str">
        <f t="shared" si="95"/>
        <v/>
      </c>
      <c r="O580" s="52" t="str">
        <f t="shared" si="96"/>
        <v/>
      </c>
      <c r="P580" s="88">
        <f t="shared" si="97"/>
        <v>0</v>
      </c>
      <c r="Q580" s="88">
        <f t="shared" si="98"/>
        <v>0</v>
      </c>
      <c r="R580" s="88" t="e">
        <f>-IF(Tabla14[[#This Row],[DIAS HABILES O MORA]]&lt;0,(Tabla14[[#This Row],[VALOR PRESTAMO]]*Tabla14[[#This Row],[% INTERES ]]/30*U580))+Tabla14[[#This Row],[VALOR CUOTAS]]</f>
        <v>#VALUE!</v>
      </c>
      <c r="S580" s="88">
        <f>-IF(Tabla14[[#This Row],[DIAS HABILES O MORA]]&lt;0,(Tabla14[[#This Row],[VALOR PRESTAMO]]*Tabla14[[#This Row],[% INTERES ]]/30*U580))</f>
        <v>0</v>
      </c>
      <c r="T580" s="53" t="e">
        <f>Tabla14[[#This Row],[DEUDA CAPITAL]]+Tabla14[[#This Row],[INTERES  CUOTA]]</f>
        <v>#NUM!</v>
      </c>
      <c r="U580" s="61" t="str">
        <f t="shared" si="99"/>
        <v/>
      </c>
    </row>
    <row r="581" spans="9:21" ht="24.75" customHeight="1" x14ac:dyDescent="0.35">
      <c r="I581" s="42">
        <f t="shared" si="90"/>
        <v>0</v>
      </c>
      <c r="J581" s="65" t="e">
        <f t="shared" si="91"/>
        <v>#NUM!</v>
      </c>
      <c r="K581" s="83" t="e">
        <f t="shared" si="92"/>
        <v>#NUM!</v>
      </c>
      <c r="L581" s="83">
        <f t="shared" si="93"/>
        <v>0</v>
      </c>
      <c r="M581" s="110" t="str">
        <f t="shared" si="94"/>
        <v/>
      </c>
      <c r="N581" s="51" t="str">
        <f t="shared" si="95"/>
        <v/>
      </c>
      <c r="O581" s="52" t="str">
        <f t="shared" si="96"/>
        <v/>
      </c>
      <c r="P581" s="88">
        <f t="shared" si="97"/>
        <v>0</v>
      </c>
      <c r="Q581" s="88">
        <f t="shared" si="98"/>
        <v>0</v>
      </c>
      <c r="R581" s="88" t="e">
        <f>-IF(Tabla14[[#This Row],[DIAS HABILES O MORA]]&lt;0,(Tabla14[[#This Row],[VALOR PRESTAMO]]*Tabla14[[#This Row],[% INTERES ]]/30*U581))+Tabla14[[#This Row],[VALOR CUOTAS]]</f>
        <v>#VALUE!</v>
      </c>
      <c r="S581" s="88">
        <f>-IF(Tabla14[[#This Row],[DIAS HABILES O MORA]]&lt;0,(Tabla14[[#This Row],[VALOR PRESTAMO]]*Tabla14[[#This Row],[% INTERES ]]/30*U581))</f>
        <v>0</v>
      </c>
      <c r="T581" s="53" t="e">
        <f>Tabla14[[#This Row],[DEUDA CAPITAL]]+Tabla14[[#This Row],[INTERES  CUOTA]]</f>
        <v>#NUM!</v>
      </c>
      <c r="U581" s="61" t="str">
        <f t="shared" si="99"/>
        <v/>
      </c>
    </row>
    <row r="582" spans="9:21" ht="24.75" customHeight="1" x14ac:dyDescent="0.35">
      <c r="I582" s="42">
        <f t="shared" si="90"/>
        <v>0</v>
      </c>
      <c r="J582" s="65" t="e">
        <f t="shared" si="91"/>
        <v>#NUM!</v>
      </c>
      <c r="K582" s="83" t="e">
        <f t="shared" si="92"/>
        <v>#NUM!</v>
      </c>
      <c r="L582" s="83">
        <f t="shared" si="93"/>
        <v>0</v>
      </c>
      <c r="M582" s="110" t="str">
        <f t="shared" si="94"/>
        <v/>
      </c>
      <c r="N582" s="51" t="str">
        <f t="shared" si="95"/>
        <v/>
      </c>
      <c r="O582" s="52" t="str">
        <f t="shared" si="96"/>
        <v/>
      </c>
      <c r="P582" s="88">
        <f t="shared" si="97"/>
        <v>0</v>
      </c>
      <c r="Q582" s="88">
        <f t="shared" si="98"/>
        <v>0</v>
      </c>
      <c r="R582" s="88" t="e">
        <f>-IF(Tabla14[[#This Row],[DIAS HABILES O MORA]]&lt;0,(Tabla14[[#This Row],[VALOR PRESTAMO]]*Tabla14[[#This Row],[% INTERES ]]/30*U582))+Tabla14[[#This Row],[VALOR CUOTAS]]</f>
        <v>#VALUE!</v>
      </c>
      <c r="S582" s="88">
        <f>-IF(Tabla14[[#This Row],[DIAS HABILES O MORA]]&lt;0,(Tabla14[[#This Row],[VALOR PRESTAMO]]*Tabla14[[#This Row],[% INTERES ]]/30*U582))</f>
        <v>0</v>
      </c>
      <c r="T582" s="53" t="e">
        <f>Tabla14[[#This Row],[DEUDA CAPITAL]]+Tabla14[[#This Row],[INTERES  CUOTA]]</f>
        <v>#NUM!</v>
      </c>
      <c r="U582" s="61" t="str">
        <f t="shared" si="99"/>
        <v/>
      </c>
    </row>
    <row r="583" spans="9:21" ht="24.75" customHeight="1" x14ac:dyDescent="0.35">
      <c r="I583" s="42">
        <f t="shared" si="90"/>
        <v>0</v>
      </c>
      <c r="J583" s="65" t="e">
        <f t="shared" si="91"/>
        <v>#NUM!</v>
      </c>
      <c r="K583" s="83" t="e">
        <f t="shared" si="92"/>
        <v>#NUM!</v>
      </c>
      <c r="L583" s="83">
        <f t="shared" si="93"/>
        <v>0</v>
      </c>
      <c r="M583" s="110" t="str">
        <f t="shared" si="94"/>
        <v/>
      </c>
      <c r="N583" s="51" t="str">
        <f t="shared" si="95"/>
        <v/>
      </c>
      <c r="O583" s="52" t="str">
        <f t="shared" si="96"/>
        <v/>
      </c>
      <c r="P583" s="88">
        <f t="shared" si="97"/>
        <v>0</v>
      </c>
      <c r="Q583" s="88">
        <f t="shared" si="98"/>
        <v>0</v>
      </c>
      <c r="R583" s="88" t="e">
        <f>-IF(Tabla14[[#This Row],[DIAS HABILES O MORA]]&lt;0,(Tabla14[[#This Row],[VALOR PRESTAMO]]*Tabla14[[#This Row],[% INTERES ]]/30*U583))+Tabla14[[#This Row],[VALOR CUOTAS]]</f>
        <v>#VALUE!</v>
      </c>
      <c r="S583" s="88">
        <f>-IF(Tabla14[[#This Row],[DIAS HABILES O MORA]]&lt;0,(Tabla14[[#This Row],[VALOR PRESTAMO]]*Tabla14[[#This Row],[% INTERES ]]/30*U583))</f>
        <v>0</v>
      </c>
      <c r="T583" s="53" t="e">
        <f>Tabla14[[#This Row],[DEUDA CAPITAL]]+Tabla14[[#This Row],[INTERES  CUOTA]]</f>
        <v>#NUM!</v>
      </c>
      <c r="U583" s="61" t="str">
        <f t="shared" si="99"/>
        <v/>
      </c>
    </row>
    <row r="584" spans="9:21" ht="24.75" customHeight="1" x14ac:dyDescent="0.35">
      <c r="I584" s="42">
        <f t="shared" si="90"/>
        <v>0</v>
      </c>
      <c r="J584" s="65" t="e">
        <f t="shared" si="91"/>
        <v>#NUM!</v>
      </c>
      <c r="K584" s="83" t="e">
        <f t="shared" si="92"/>
        <v>#NUM!</v>
      </c>
      <c r="L584" s="83">
        <f t="shared" si="93"/>
        <v>0</v>
      </c>
      <c r="M584" s="110" t="str">
        <f t="shared" si="94"/>
        <v/>
      </c>
      <c r="N584" s="51" t="str">
        <f t="shared" si="95"/>
        <v/>
      </c>
      <c r="O584" s="52" t="str">
        <f t="shared" si="96"/>
        <v/>
      </c>
      <c r="P584" s="88">
        <f t="shared" si="97"/>
        <v>0</v>
      </c>
      <c r="Q584" s="88">
        <f t="shared" si="98"/>
        <v>0</v>
      </c>
      <c r="R584" s="88" t="e">
        <f>-IF(Tabla14[[#This Row],[DIAS HABILES O MORA]]&lt;0,(Tabla14[[#This Row],[VALOR PRESTAMO]]*Tabla14[[#This Row],[% INTERES ]]/30*U584))+Tabla14[[#This Row],[VALOR CUOTAS]]</f>
        <v>#VALUE!</v>
      </c>
      <c r="S584" s="88">
        <f>-IF(Tabla14[[#This Row],[DIAS HABILES O MORA]]&lt;0,(Tabla14[[#This Row],[VALOR PRESTAMO]]*Tabla14[[#This Row],[% INTERES ]]/30*U584))</f>
        <v>0</v>
      </c>
      <c r="T584" s="53" t="e">
        <f>Tabla14[[#This Row],[DEUDA CAPITAL]]+Tabla14[[#This Row],[INTERES  CUOTA]]</f>
        <v>#NUM!</v>
      </c>
      <c r="U584" s="61" t="str">
        <f t="shared" si="99"/>
        <v/>
      </c>
    </row>
    <row r="585" spans="9:21" ht="24.75" customHeight="1" x14ac:dyDescent="0.35">
      <c r="I585" s="42">
        <f t="shared" si="90"/>
        <v>0</v>
      </c>
      <c r="J585" s="65" t="e">
        <f t="shared" si="91"/>
        <v>#NUM!</v>
      </c>
      <c r="K585" s="83" t="e">
        <f t="shared" si="92"/>
        <v>#NUM!</v>
      </c>
      <c r="L585" s="83">
        <f t="shared" si="93"/>
        <v>0</v>
      </c>
      <c r="M585" s="110" t="str">
        <f t="shared" si="94"/>
        <v/>
      </c>
      <c r="N585" s="51" t="str">
        <f t="shared" si="95"/>
        <v/>
      </c>
      <c r="O585" s="52" t="str">
        <f t="shared" si="96"/>
        <v/>
      </c>
      <c r="P585" s="88">
        <f t="shared" si="97"/>
        <v>0</v>
      </c>
      <c r="Q585" s="88">
        <f t="shared" si="98"/>
        <v>0</v>
      </c>
      <c r="R585" s="88" t="e">
        <f>-IF(Tabla14[[#This Row],[DIAS HABILES O MORA]]&lt;0,(Tabla14[[#This Row],[VALOR PRESTAMO]]*Tabla14[[#This Row],[% INTERES ]]/30*U585))+Tabla14[[#This Row],[VALOR CUOTAS]]</f>
        <v>#VALUE!</v>
      </c>
      <c r="S585" s="88">
        <f>-IF(Tabla14[[#This Row],[DIAS HABILES O MORA]]&lt;0,(Tabla14[[#This Row],[VALOR PRESTAMO]]*Tabla14[[#This Row],[% INTERES ]]/30*U585))</f>
        <v>0</v>
      </c>
      <c r="T585" s="53" t="e">
        <f>Tabla14[[#This Row],[DEUDA CAPITAL]]+Tabla14[[#This Row],[INTERES  CUOTA]]</f>
        <v>#NUM!</v>
      </c>
      <c r="U585" s="61" t="str">
        <f t="shared" si="99"/>
        <v/>
      </c>
    </row>
    <row r="586" spans="9:21" ht="24.75" customHeight="1" x14ac:dyDescent="0.35">
      <c r="I586" s="42">
        <f t="shared" si="90"/>
        <v>0</v>
      </c>
      <c r="J586" s="65" t="e">
        <f t="shared" si="91"/>
        <v>#NUM!</v>
      </c>
      <c r="K586" s="83" t="e">
        <f t="shared" si="92"/>
        <v>#NUM!</v>
      </c>
      <c r="L586" s="83">
        <f t="shared" si="93"/>
        <v>0</v>
      </c>
      <c r="M586" s="110" t="str">
        <f t="shared" si="94"/>
        <v/>
      </c>
      <c r="N586" s="51" t="str">
        <f t="shared" si="95"/>
        <v/>
      </c>
      <c r="O586" s="52" t="str">
        <f t="shared" si="96"/>
        <v/>
      </c>
      <c r="P586" s="88">
        <f t="shared" si="97"/>
        <v>0</v>
      </c>
      <c r="Q586" s="88">
        <f t="shared" si="98"/>
        <v>0</v>
      </c>
      <c r="R586" s="88" t="e">
        <f>-IF(Tabla14[[#This Row],[DIAS HABILES O MORA]]&lt;0,(Tabla14[[#This Row],[VALOR PRESTAMO]]*Tabla14[[#This Row],[% INTERES ]]/30*U586))+Tabla14[[#This Row],[VALOR CUOTAS]]</f>
        <v>#VALUE!</v>
      </c>
      <c r="S586" s="88">
        <f>-IF(Tabla14[[#This Row],[DIAS HABILES O MORA]]&lt;0,(Tabla14[[#This Row],[VALOR PRESTAMO]]*Tabla14[[#This Row],[% INTERES ]]/30*U586))</f>
        <v>0</v>
      </c>
      <c r="T586" s="53" t="e">
        <f>Tabla14[[#This Row],[DEUDA CAPITAL]]+Tabla14[[#This Row],[INTERES  CUOTA]]</f>
        <v>#NUM!</v>
      </c>
      <c r="U586" s="61" t="str">
        <f t="shared" si="99"/>
        <v/>
      </c>
    </row>
    <row r="587" spans="9:21" ht="24.75" customHeight="1" x14ac:dyDescent="0.35">
      <c r="I587" s="42">
        <f t="shared" si="90"/>
        <v>0</v>
      </c>
      <c r="J587" s="65" t="e">
        <f t="shared" si="91"/>
        <v>#NUM!</v>
      </c>
      <c r="K587" s="83" t="e">
        <f t="shared" si="92"/>
        <v>#NUM!</v>
      </c>
      <c r="L587" s="83">
        <f t="shared" si="93"/>
        <v>0</v>
      </c>
      <c r="M587" s="110" t="str">
        <f t="shared" si="94"/>
        <v/>
      </c>
      <c r="N587" s="51" t="str">
        <f t="shared" si="95"/>
        <v/>
      </c>
      <c r="O587" s="52" t="str">
        <f t="shared" si="96"/>
        <v/>
      </c>
      <c r="P587" s="88">
        <f t="shared" si="97"/>
        <v>0</v>
      </c>
      <c r="Q587" s="88">
        <f t="shared" si="98"/>
        <v>0</v>
      </c>
      <c r="R587" s="88" t="e">
        <f>-IF(Tabla14[[#This Row],[DIAS HABILES O MORA]]&lt;0,(Tabla14[[#This Row],[VALOR PRESTAMO]]*Tabla14[[#This Row],[% INTERES ]]/30*U587))+Tabla14[[#This Row],[VALOR CUOTAS]]</f>
        <v>#VALUE!</v>
      </c>
      <c r="S587" s="88">
        <f>-IF(Tabla14[[#This Row],[DIAS HABILES O MORA]]&lt;0,(Tabla14[[#This Row],[VALOR PRESTAMO]]*Tabla14[[#This Row],[% INTERES ]]/30*U587))</f>
        <v>0</v>
      </c>
      <c r="T587" s="53" t="e">
        <f>Tabla14[[#This Row],[DEUDA CAPITAL]]+Tabla14[[#This Row],[INTERES  CUOTA]]</f>
        <v>#NUM!</v>
      </c>
      <c r="U587" s="61" t="str">
        <f t="shared" si="99"/>
        <v/>
      </c>
    </row>
    <row r="588" spans="9:21" ht="24.75" customHeight="1" x14ac:dyDescent="0.35">
      <c r="I588" s="42">
        <f t="shared" si="90"/>
        <v>0</v>
      </c>
      <c r="J588" s="65" t="e">
        <f t="shared" si="91"/>
        <v>#NUM!</v>
      </c>
      <c r="K588" s="83" t="e">
        <f t="shared" si="92"/>
        <v>#NUM!</v>
      </c>
      <c r="L588" s="83">
        <f t="shared" si="93"/>
        <v>0</v>
      </c>
      <c r="M588" s="110" t="str">
        <f t="shared" si="94"/>
        <v/>
      </c>
      <c r="N588" s="51" t="str">
        <f t="shared" si="95"/>
        <v/>
      </c>
      <c r="O588" s="52" t="str">
        <f t="shared" si="96"/>
        <v/>
      </c>
      <c r="P588" s="88">
        <f t="shared" si="97"/>
        <v>0</v>
      </c>
      <c r="Q588" s="88">
        <f t="shared" si="98"/>
        <v>0</v>
      </c>
      <c r="R588" s="88" t="e">
        <f>-IF(Tabla14[[#This Row],[DIAS HABILES O MORA]]&lt;0,(Tabla14[[#This Row],[VALOR PRESTAMO]]*Tabla14[[#This Row],[% INTERES ]]/30*U588))+Tabla14[[#This Row],[VALOR CUOTAS]]</f>
        <v>#VALUE!</v>
      </c>
      <c r="S588" s="88">
        <f>-IF(Tabla14[[#This Row],[DIAS HABILES O MORA]]&lt;0,(Tabla14[[#This Row],[VALOR PRESTAMO]]*Tabla14[[#This Row],[% INTERES ]]/30*U588))</f>
        <v>0</v>
      </c>
      <c r="T588" s="53" t="e">
        <f>Tabla14[[#This Row],[DEUDA CAPITAL]]+Tabla14[[#This Row],[INTERES  CUOTA]]</f>
        <v>#NUM!</v>
      </c>
      <c r="U588" s="61" t="str">
        <f t="shared" si="99"/>
        <v/>
      </c>
    </row>
    <row r="589" spans="9:21" ht="24.75" customHeight="1" x14ac:dyDescent="0.35">
      <c r="I589" s="42">
        <f t="shared" si="90"/>
        <v>0</v>
      </c>
      <c r="J589" s="65" t="e">
        <f t="shared" si="91"/>
        <v>#NUM!</v>
      </c>
      <c r="K589" s="83" t="e">
        <f t="shared" si="92"/>
        <v>#NUM!</v>
      </c>
      <c r="L589" s="83">
        <f t="shared" si="93"/>
        <v>0</v>
      </c>
      <c r="M589" s="110" t="str">
        <f t="shared" si="94"/>
        <v/>
      </c>
      <c r="N589" s="51" t="str">
        <f t="shared" si="95"/>
        <v/>
      </c>
      <c r="O589" s="52" t="str">
        <f t="shared" si="96"/>
        <v/>
      </c>
      <c r="P589" s="88">
        <f t="shared" si="97"/>
        <v>0</v>
      </c>
      <c r="Q589" s="88">
        <f t="shared" si="98"/>
        <v>0</v>
      </c>
      <c r="R589" s="88" t="e">
        <f>-IF(Tabla14[[#This Row],[DIAS HABILES O MORA]]&lt;0,(Tabla14[[#This Row],[VALOR PRESTAMO]]*Tabla14[[#This Row],[% INTERES ]]/30*U589))+Tabla14[[#This Row],[VALOR CUOTAS]]</f>
        <v>#VALUE!</v>
      </c>
      <c r="S589" s="88">
        <f>-IF(Tabla14[[#This Row],[DIAS HABILES O MORA]]&lt;0,(Tabla14[[#This Row],[VALOR PRESTAMO]]*Tabla14[[#This Row],[% INTERES ]]/30*U589))</f>
        <v>0</v>
      </c>
      <c r="T589" s="53" t="e">
        <f>Tabla14[[#This Row],[DEUDA CAPITAL]]+Tabla14[[#This Row],[INTERES  CUOTA]]</f>
        <v>#NUM!</v>
      </c>
      <c r="U589" s="61" t="str">
        <f t="shared" si="99"/>
        <v/>
      </c>
    </row>
    <row r="590" spans="9:21" ht="24.75" customHeight="1" x14ac:dyDescent="0.35">
      <c r="I590" s="42">
        <f t="shared" si="90"/>
        <v>0</v>
      </c>
      <c r="J590" s="65" t="e">
        <f t="shared" si="91"/>
        <v>#NUM!</v>
      </c>
      <c r="K590" s="83" t="e">
        <f t="shared" si="92"/>
        <v>#NUM!</v>
      </c>
      <c r="L590" s="83">
        <f t="shared" si="93"/>
        <v>0</v>
      </c>
      <c r="M590" s="110" t="str">
        <f t="shared" si="94"/>
        <v/>
      </c>
      <c r="N590" s="51" t="str">
        <f t="shared" si="95"/>
        <v/>
      </c>
      <c r="O590" s="52" t="str">
        <f t="shared" si="96"/>
        <v/>
      </c>
      <c r="P590" s="88">
        <f t="shared" si="97"/>
        <v>0</v>
      </c>
      <c r="Q590" s="88">
        <f t="shared" si="98"/>
        <v>0</v>
      </c>
      <c r="R590" s="88" t="e">
        <f>-IF(Tabla14[[#This Row],[DIAS HABILES O MORA]]&lt;0,(Tabla14[[#This Row],[VALOR PRESTAMO]]*Tabla14[[#This Row],[% INTERES ]]/30*U590))+Tabla14[[#This Row],[VALOR CUOTAS]]</f>
        <v>#VALUE!</v>
      </c>
      <c r="S590" s="88">
        <f>-IF(Tabla14[[#This Row],[DIAS HABILES O MORA]]&lt;0,(Tabla14[[#This Row],[VALOR PRESTAMO]]*Tabla14[[#This Row],[% INTERES ]]/30*U590))</f>
        <v>0</v>
      </c>
      <c r="T590" s="53" t="e">
        <f>Tabla14[[#This Row],[DEUDA CAPITAL]]+Tabla14[[#This Row],[INTERES  CUOTA]]</f>
        <v>#NUM!</v>
      </c>
      <c r="U590" s="61" t="str">
        <f t="shared" si="99"/>
        <v/>
      </c>
    </row>
    <row r="591" spans="9:21" ht="24.75" customHeight="1" x14ac:dyDescent="0.35">
      <c r="I591" s="42">
        <f t="shared" si="90"/>
        <v>0</v>
      </c>
      <c r="J591" s="65" t="e">
        <f t="shared" si="91"/>
        <v>#NUM!</v>
      </c>
      <c r="K591" s="83" t="e">
        <f t="shared" si="92"/>
        <v>#NUM!</v>
      </c>
      <c r="L591" s="83">
        <f t="shared" si="93"/>
        <v>0</v>
      </c>
      <c r="M591" s="110" t="str">
        <f t="shared" si="94"/>
        <v/>
      </c>
      <c r="N591" s="51" t="str">
        <f t="shared" si="95"/>
        <v/>
      </c>
      <c r="O591" s="52" t="str">
        <f t="shared" si="96"/>
        <v/>
      </c>
      <c r="P591" s="88">
        <f t="shared" si="97"/>
        <v>0</v>
      </c>
      <c r="Q591" s="88">
        <f t="shared" si="98"/>
        <v>0</v>
      </c>
      <c r="R591" s="88" t="e">
        <f>-IF(Tabla14[[#This Row],[DIAS HABILES O MORA]]&lt;0,(Tabla14[[#This Row],[VALOR PRESTAMO]]*Tabla14[[#This Row],[% INTERES ]]/30*U591))+Tabla14[[#This Row],[VALOR CUOTAS]]</f>
        <v>#VALUE!</v>
      </c>
      <c r="S591" s="88">
        <f>-IF(Tabla14[[#This Row],[DIAS HABILES O MORA]]&lt;0,(Tabla14[[#This Row],[VALOR PRESTAMO]]*Tabla14[[#This Row],[% INTERES ]]/30*U591))</f>
        <v>0</v>
      </c>
      <c r="T591" s="53" t="e">
        <f>Tabla14[[#This Row],[DEUDA CAPITAL]]+Tabla14[[#This Row],[INTERES  CUOTA]]</f>
        <v>#NUM!</v>
      </c>
      <c r="U591" s="61" t="str">
        <f t="shared" si="99"/>
        <v/>
      </c>
    </row>
    <row r="592" spans="9:21" ht="24.75" customHeight="1" x14ac:dyDescent="0.35">
      <c r="I592" s="42">
        <f t="shared" ref="I592:I655" si="100">IF(C592&lt;0,"",IF(Q592=0,0,IF(G592=0,H592+1,IF(H592&lt;G592,H592+1,IF(G592=H592,0)))))</f>
        <v>0</v>
      </c>
      <c r="J592" s="65" t="e">
        <f t="shared" ref="J592:J655" si="101">IF(F592="SOLO INTERES",Q592*D592,-IPMT(D592,I592,G592,C592))</f>
        <v>#NUM!</v>
      </c>
      <c r="K592" s="83" t="e">
        <f t="shared" ref="K592:K655" si="102">IF(F592="SOLO INTERES",0,-PPMT(D592,I592,G592,C592))</f>
        <v>#NUM!</v>
      </c>
      <c r="L592" s="83">
        <f t="shared" ref="L592:L655" si="103">IF(F592="SOLO INTERES",SUM(Y592:AAE592),IFERROR(-CUMIPMT(D592,G592,C592,1,H592,0),0)+SUM(Y592:WY592))</f>
        <v>0</v>
      </c>
      <c r="M592" s="110" t="str">
        <f t="shared" ref="M592:M655" si="104">IFERROR(IF(F592="SOLO INTERES",Q592*D592,-PMT(D592,G592,C592,0)),"")</f>
        <v/>
      </c>
      <c r="N592" s="51" t="str">
        <f t="shared" ref="N592:N655" si="105">IF(Q592=0,"",IF(E592="MENSUAL",EDATE(B592,I592),IF(E592="QUINCENAL",B592+(I592*15),IF(E592="SEMANAL",B592+(I592*7)))))</f>
        <v/>
      </c>
      <c r="O592" s="52" t="str">
        <f t="shared" ref="O592:O655" si="106">IF(C592=0,"",IF(Q592&lt;1,"PAGADO",IF(N592=$A$3,"COBRAR HOY",IF(N592&lt;$A$3,"EN MORA",IF(N592&gt;$A$3,"AL DIA")))))</f>
        <v/>
      </c>
      <c r="P592" s="88">
        <f t="shared" ref="P592:P655" si="107">IFERROR(-CUMPRINC(D592,G592,C592,1,H592,0),0)+W592</f>
        <v>0</v>
      </c>
      <c r="Q592" s="88">
        <f t="shared" ref="Q592:Q655" si="108">IFERROR(C592-P592,"")</f>
        <v>0</v>
      </c>
      <c r="R592" s="88" t="e">
        <f>-IF(Tabla14[[#This Row],[DIAS HABILES O MORA]]&lt;0,(Tabla14[[#This Row],[VALOR PRESTAMO]]*Tabla14[[#This Row],[% INTERES ]]/30*U592))+Tabla14[[#This Row],[VALOR CUOTAS]]</f>
        <v>#VALUE!</v>
      </c>
      <c r="S592" s="88">
        <f>-IF(Tabla14[[#This Row],[DIAS HABILES O MORA]]&lt;0,(Tabla14[[#This Row],[VALOR PRESTAMO]]*Tabla14[[#This Row],[% INTERES ]]/30*U592))</f>
        <v>0</v>
      </c>
      <c r="T592" s="53" t="e">
        <f>Tabla14[[#This Row],[DEUDA CAPITAL]]+Tabla14[[#This Row],[INTERES  CUOTA]]</f>
        <v>#NUM!</v>
      </c>
      <c r="U592" s="61" t="str">
        <f t="shared" ref="U592:U655" si="109">IF(O592="PAGADO","",IFERROR(-IF(C592=0,"",$A$3-N592),""))</f>
        <v/>
      </c>
    </row>
    <row r="593" spans="9:21" ht="24.75" customHeight="1" x14ac:dyDescent="0.35">
      <c r="I593" s="42">
        <f t="shared" si="100"/>
        <v>0</v>
      </c>
      <c r="J593" s="65" t="e">
        <f t="shared" si="101"/>
        <v>#NUM!</v>
      </c>
      <c r="K593" s="83" t="e">
        <f t="shared" si="102"/>
        <v>#NUM!</v>
      </c>
      <c r="L593" s="83">
        <f t="shared" si="103"/>
        <v>0</v>
      </c>
      <c r="M593" s="110" t="str">
        <f t="shared" si="104"/>
        <v/>
      </c>
      <c r="N593" s="51" t="str">
        <f t="shared" si="105"/>
        <v/>
      </c>
      <c r="O593" s="52" t="str">
        <f t="shared" si="106"/>
        <v/>
      </c>
      <c r="P593" s="88">
        <f t="shared" si="107"/>
        <v>0</v>
      </c>
      <c r="Q593" s="88">
        <f t="shared" si="108"/>
        <v>0</v>
      </c>
      <c r="R593" s="88" t="e">
        <f>-IF(Tabla14[[#This Row],[DIAS HABILES O MORA]]&lt;0,(Tabla14[[#This Row],[VALOR PRESTAMO]]*Tabla14[[#This Row],[% INTERES ]]/30*U593))+Tabla14[[#This Row],[VALOR CUOTAS]]</f>
        <v>#VALUE!</v>
      </c>
      <c r="S593" s="88">
        <f>-IF(Tabla14[[#This Row],[DIAS HABILES O MORA]]&lt;0,(Tabla14[[#This Row],[VALOR PRESTAMO]]*Tabla14[[#This Row],[% INTERES ]]/30*U593))</f>
        <v>0</v>
      </c>
      <c r="T593" s="53" t="e">
        <f>Tabla14[[#This Row],[DEUDA CAPITAL]]+Tabla14[[#This Row],[INTERES  CUOTA]]</f>
        <v>#NUM!</v>
      </c>
      <c r="U593" s="61" t="str">
        <f t="shared" si="109"/>
        <v/>
      </c>
    </row>
    <row r="594" spans="9:21" ht="24.75" customHeight="1" x14ac:dyDescent="0.35">
      <c r="I594" s="42">
        <f t="shared" si="100"/>
        <v>0</v>
      </c>
      <c r="J594" s="65" t="e">
        <f t="shared" si="101"/>
        <v>#NUM!</v>
      </c>
      <c r="K594" s="83" t="e">
        <f t="shared" si="102"/>
        <v>#NUM!</v>
      </c>
      <c r="L594" s="83">
        <f t="shared" si="103"/>
        <v>0</v>
      </c>
      <c r="M594" s="110" t="str">
        <f t="shared" si="104"/>
        <v/>
      </c>
      <c r="N594" s="51" t="str">
        <f t="shared" si="105"/>
        <v/>
      </c>
      <c r="O594" s="52" t="str">
        <f t="shared" si="106"/>
        <v/>
      </c>
      <c r="P594" s="88">
        <f t="shared" si="107"/>
        <v>0</v>
      </c>
      <c r="Q594" s="88">
        <f t="shared" si="108"/>
        <v>0</v>
      </c>
      <c r="R594" s="88" t="e">
        <f>-IF(Tabla14[[#This Row],[DIAS HABILES O MORA]]&lt;0,(Tabla14[[#This Row],[VALOR PRESTAMO]]*Tabla14[[#This Row],[% INTERES ]]/30*U594))+Tabla14[[#This Row],[VALOR CUOTAS]]</f>
        <v>#VALUE!</v>
      </c>
      <c r="S594" s="88">
        <f>-IF(Tabla14[[#This Row],[DIAS HABILES O MORA]]&lt;0,(Tabla14[[#This Row],[VALOR PRESTAMO]]*Tabla14[[#This Row],[% INTERES ]]/30*U594))</f>
        <v>0</v>
      </c>
      <c r="T594" s="53" t="e">
        <f>Tabla14[[#This Row],[DEUDA CAPITAL]]+Tabla14[[#This Row],[INTERES  CUOTA]]</f>
        <v>#NUM!</v>
      </c>
      <c r="U594" s="61" t="str">
        <f t="shared" si="109"/>
        <v/>
      </c>
    </row>
    <row r="595" spans="9:21" ht="24.75" customHeight="1" x14ac:dyDescent="0.35">
      <c r="I595" s="42">
        <f t="shared" si="100"/>
        <v>0</v>
      </c>
      <c r="J595" s="65" t="e">
        <f t="shared" si="101"/>
        <v>#NUM!</v>
      </c>
      <c r="K595" s="83" t="e">
        <f t="shared" si="102"/>
        <v>#NUM!</v>
      </c>
      <c r="L595" s="83">
        <f t="shared" si="103"/>
        <v>0</v>
      </c>
      <c r="M595" s="110" t="str">
        <f t="shared" si="104"/>
        <v/>
      </c>
      <c r="N595" s="51" t="str">
        <f t="shared" si="105"/>
        <v/>
      </c>
      <c r="O595" s="52" t="str">
        <f t="shared" si="106"/>
        <v/>
      </c>
      <c r="P595" s="88">
        <f t="shared" si="107"/>
        <v>0</v>
      </c>
      <c r="Q595" s="88">
        <f t="shared" si="108"/>
        <v>0</v>
      </c>
      <c r="R595" s="88" t="e">
        <f>-IF(Tabla14[[#This Row],[DIAS HABILES O MORA]]&lt;0,(Tabla14[[#This Row],[VALOR PRESTAMO]]*Tabla14[[#This Row],[% INTERES ]]/30*U595))+Tabla14[[#This Row],[VALOR CUOTAS]]</f>
        <v>#VALUE!</v>
      </c>
      <c r="S595" s="88">
        <f>-IF(Tabla14[[#This Row],[DIAS HABILES O MORA]]&lt;0,(Tabla14[[#This Row],[VALOR PRESTAMO]]*Tabla14[[#This Row],[% INTERES ]]/30*U595))</f>
        <v>0</v>
      </c>
      <c r="T595" s="53" t="e">
        <f>Tabla14[[#This Row],[DEUDA CAPITAL]]+Tabla14[[#This Row],[INTERES  CUOTA]]</f>
        <v>#NUM!</v>
      </c>
      <c r="U595" s="61" t="str">
        <f t="shared" si="109"/>
        <v/>
      </c>
    </row>
    <row r="596" spans="9:21" ht="24.75" customHeight="1" x14ac:dyDescent="0.35">
      <c r="I596" s="42">
        <f t="shared" si="100"/>
        <v>0</v>
      </c>
      <c r="J596" s="65" t="e">
        <f t="shared" si="101"/>
        <v>#NUM!</v>
      </c>
      <c r="K596" s="83" t="e">
        <f t="shared" si="102"/>
        <v>#NUM!</v>
      </c>
      <c r="L596" s="83">
        <f t="shared" si="103"/>
        <v>0</v>
      </c>
      <c r="M596" s="110" t="str">
        <f t="shared" si="104"/>
        <v/>
      </c>
      <c r="N596" s="51" t="str">
        <f t="shared" si="105"/>
        <v/>
      </c>
      <c r="O596" s="52" t="str">
        <f t="shared" si="106"/>
        <v/>
      </c>
      <c r="P596" s="88">
        <f t="shared" si="107"/>
        <v>0</v>
      </c>
      <c r="Q596" s="88">
        <f t="shared" si="108"/>
        <v>0</v>
      </c>
      <c r="R596" s="88" t="e">
        <f>-IF(Tabla14[[#This Row],[DIAS HABILES O MORA]]&lt;0,(Tabla14[[#This Row],[VALOR PRESTAMO]]*Tabla14[[#This Row],[% INTERES ]]/30*U596))+Tabla14[[#This Row],[VALOR CUOTAS]]</f>
        <v>#VALUE!</v>
      </c>
      <c r="S596" s="88">
        <f>-IF(Tabla14[[#This Row],[DIAS HABILES O MORA]]&lt;0,(Tabla14[[#This Row],[VALOR PRESTAMO]]*Tabla14[[#This Row],[% INTERES ]]/30*U596))</f>
        <v>0</v>
      </c>
      <c r="T596" s="53" t="e">
        <f>Tabla14[[#This Row],[DEUDA CAPITAL]]+Tabla14[[#This Row],[INTERES  CUOTA]]</f>
        <v>#NUM!</v>
      </c>
      <c r="U596" s="61" t="str">
        <f t="shared" si="109"/>
        <v/>
      </c>
    </row>
    <row r="597" spans="9:21" ht="24.75" customHeight="1" x14ac:dyDescent="0.35">
      <c r="I597" s="42">
        <f t="shared" si="100"/>
        <v>0</v>
      </c>
      <c r="J597" s="65" t="e">
        <f t="shared" si="101"/>
        <v>#NUM!</v>
      </c>
      <c r="K597" s="83" t="e">
        <f t="shared" si="102"/>
        <v>#NUM!</v>
      </c>
      <c r="L597" s="83">
        <f t="shared" si="103"/>
        <v>0</v>
      </c>
      <c r="M597" s="110" t="str">
        <f t="shared" si="104"/>
        <v/>
      </c>
      <c r="N597" s="51" t="str">
        <f t="shared" si="105"/>
        <v/>
      </c>
      <c r="O597" s="52" t="str">
        <f t="shared" si="106"/>
        <v/>
      </c>
      <c r="P597" s="88">
        <f t="shared" si="107"/>
        <v>0</v>
      </c>
      <c r="Q597" s="88">
        <f t="shared" si="108"/>
        <v>0</v>
      </c>
      <c r="R597" s="88" t="e">
        <f>-IF(Tabla14[[#This Row],[DIAS HABILES O MORA]]&lt;0,(Tabla14[[#This Row],[VALOR PRESTAMO]]*Tabla14[[#This Row],[% INTERES ]]/30*U597))+Tabla14[[#This Row],[VALOR CUOTAS]]</f>
        <v>#VALUE!</v>
      </c>
      <c r="S597" s="88">
        <f>-IF(Tabla14[[#This Row],[DIAS HABILES O MORA]]&lt;0,(Tabla14[[#This Row],[VALOR PRESTAMO]]*Tabla14[[#This Row],[% INTERES ]]/30*U597))</f>
        <v>0</v>
      </c>
      <c r="T597" s="53" t="e">
        <f>Tabla14[[#This Row],[DEUDA CAPITAL]]+Tabla14[[#This Row],[INTERES  CUOTA]]</f>
        <v>#NUM!</v>
      </c>
      <c r="U597" s="61" t="str">
        <f t="shared" si="109"/>
        <v/>
      </c>
    </row>
    <row r="598" spans="9:21" ht="24.75" customHeight="1" x14ac:dyDescent="0.35">
      <c r="I598" s="42">
        <f t="shared" si="100"/>
        <v>0</v>
      </c>
      <c r="J598" s="65" t="e">
        <f t="shared" si="101"/>
        <v>#NUM!</v>
      </c>
      <c r="K598" s="83" t="e">
        <f t="shared" si="102"/>
        <v>#NUM!</v>
      </c>
      <c r="L598" s="83">
        <f t="shared" si="103"/>
        <v>0</v>
      </c>
      <c r="M598" s="110" t="str">
        <f t="shared" si="104"/>
        <v/>
      </c>
      <c r="N598" s="51" t="str">
        <f t="shared" si="105"/>
        <v/>
      </c>
      <c r="O598" s="52" t="str">
        <f t="shared" si="106"/>
        <v/>
      </c>
      <c r="P598" s="88">
        <f t="shared" si="107"/>
        <v>0</v>
      </c>
      <c r="Q598" s="88">
        <f t="shared" si="108"/>
        <v>0</v>
      </c>
      <c r="R598" s="88" t="e">
        <f>-IF(Tabla14[[#This Row],[DIAS HABILES O MORA]]&lt;0,(Tabla14[[#This Row],[VALOR PRESTAMO]]*Tabla14[[#This Row],[% INTERES ]]/30*U598))+Tabla14[[#This Row],[VALOR CUOTAS]]</f>
        <v>#VALUE!</v>
      </c>
      <c r="S598" s="88">
        <f>-IF(Tabla14[[#This Row],[DIAS HABILES O MORA]]&lt;0,(Tabla14[[#This Row],[VALOR PRESTAMO]]*Tabla14[[#This Row],[% INTERES ]]/30*U598))</f>
        <v>0</v>
      </c>
      <c r="T598" s="53" t="e">
        <f>Tabla14[[#This Row],[DEUDA CAPITAL]]+Tabla14[[#This Row],[INTERES  CUOTA]]</f>
        <v>#NUM!</v>
      </c>
      <c r="U598" s="61" t="str">
        <f t="shared" si="109"/>
        <v/>
      </c>
    </row>
    <row r="599" spans="9:21" ht="24.75" customHeight="1" x14ac:dyDescent="0.35">
      <c r="I599" s="42">
        <f t="shared" si="100"/>
        <v>0</v>
      </c>
      <c r="J599" s="65" t="e">
        <f t="shared" si="101"/>
        <v>#NUM!</v>
      </c>
      <c r="K599" s="83" t="e">
        <f t="shared" si="102"/>
        <v>#NUM!</v>
      </c>
      <c r="L599" s="83">
        <f t="shared" si="103"/>
        <v>0</v>
      </c>
      <c r="M599" s="110" t="str">
        <f t="shared" si="104"/>
        <v/>
      </c>
      <c r="N599" s="51" t="str">
        <f t="shared" si="105"/>
        <v/>
      </c>
      <c r="O599" s="52" t="str">
        <f t="shared" si="106"/>
        <v/>
      </c>
      <c r="P599" s="88">
        <f t="shared" si="107"/>
        <v>0</v>
      </c>
      <c r="Q599" s="88">
        <f t="shared" si="108"/>
        <v>0</v>
      </c>
      <c r="R599" s="88" t="e">
        <f>-IF(Tabla14[[#This Row],[DIAS HABILES O MORA]]&lt;0,(Tabla14[[#This Row],[VALOR PRESTAMO]]*Tabla14[[#This Row],[% INTERES ]]/30*U599))+Tabla14[[#This Row],[VALOR CUOTAS]]</f>
        <v>#VALUE!</v>
      </c>
      <c r="S599" s="88">
        <f>-IF(Tabla14[[#This Row],[DIAS HABILES O MORA]]&lt;0,(Tabla14[[#This Row],[VALOR PRESTAMO]]*Tabla14[[#This Row],[% INTERES ]]/30*U599))</f>
        <v>0</v>
      </c>
      <c r="T599" s="53" t="e">
        <f>Tabla14[[#This Row],[DEUDA CAPITAL]]+Tabla14[[#This Row],[INTERES  CUOTA]]</f>
        <v>#NUM!</v>
      </c>
      <c r="U599" s="61" t="str">
        <f t="shared" si="109"/>
        <v/>
      </c>
    </row>
    <row r="600" spans="9:21" ht="24.75" customHeight="1" x14ac:dyDescent="0.35">
      <c r="I600" s="42">
        <f t="shared" si="100"/>
        <v>0</v>
      </c>
      <c r="J600" s="65" t="e">
        <f t="shared" si="101"/>
        <v>#NUM!</v>
      </c>
      <c r="K600" s="83" t="e">
        <f t="shared" si="102"/>
        <v>#NUM!</v>
      </c>
      <c r="L600" s="83">
        <f t="shared" si="103"/>
        <v>0</v>
      </c>
      <c r="M600" s="110" t="str">
        <f t="shared" si="104"/>
        <v/>
      </c>
      <c r="N600" s="51" t="str">
        <f t="shared" si="105"/>
        <v/>
      </c>
      <c r="O600" s="52" t="str">
        <f t="shared" si="106"/>
        <v/>
      </c>
      <c r="P600" s="88">
        <f t="shared" si="107"/>
        <v>0</v>
      </c>
      <c r="Q600" s="88">
        <f t="shared" si="108"/>
        <v>0</v>
      </c>
      <c r="R600" s="88" t="e">
        <f>-IF(Tabla14[[#This Row],[DIAS HABILES O MORA]]&lt;0,(Tabla14[[#This Row],[VALOR PRESTAMO]]*Tabla14[[#This Row],[% INTERES ]]/30*U600))+Tabla14[[#This Row],[VALOR CUOTAS]]</f>
        <v>#VALUE!</v>
      </c>
      <c r="S600" s="88">
        <f>-IF(Tabla14[[#This Row],[DIAS HABILES O MORA]]&lt;0,(Tabla14[[#This Row],[VALOR PRESTAMO]]*Tabla14[[#This Row],[% INTERES ]]/30*U600))</f>
        <v>0</v>
      </c>
      <c r="T600" s="53" t="e">
        <f>Tabla14[[#This Row],[DEUDA CAPITAL]]+Tabla14[[#This Row],[INTERES  CUOTA]]</f>
        <v>#NUM!</v>
      </c>
      <c r="U600" s="61" t="str">
        <f t="shared" si="109"/>
        <v/>
      </c>
    </row>
    <row r="601" spans="9:21" ht="24.75" customHeight="1" x14ac:dyDescent="0.35">
      <c r="I601" s="42">
        <f t="shared" si="100"/>
        <v>0</v>
      </c>
      <c r="J601" s="65" t="e">
        <f t="shared" si="101"/>
        <v>#NUM!</v>
      </c>
      <c r="K601" s="83" t="e">
        <f t="shared" si="102"/>
        <v>#NUM!</v>
      </c>
      <c r="L601" s="83">
        <f t="shared" si="103"/>
        <v>0</v>
      </c>
      <c r="M601" s="110" t="str">
        <f t="shared" si="104"/>
        <v/>
      </c>
      <c r="N601" s="51" t="str">
        <f t="shared" si="105"/>
        <v/>
      </c>
      <c r="O601" s="52" t="str">
        <f t="shared" si="106"/>
        <v/>
      </c>
      <c r="P601" s="88">
        <f t="shared" si="107"/>
        <v>0</v>
      </c>
      <c r="Q601" s="88">
        <f t="shared" si="108"/>
        <v>0</v>
      </c>
      <c r="R601" s="88" t="e">
        <f>-IF(Tabla14[[#This Row],[DIAS HABILES O MORA]]&lt;0,(Tabla14[[#This Row],[VALOR PRESTAMO]]*Tabla14[[#This Row],[% INTERES ]]/30*U601))+Tabla14[[#This Row],[VALOR CUOTAS]]</f>
        <v>#VALUE!</v>
      </c>
      <c r="S601" s="88">
        <f>-IF(Tabla14[[#This Row],[DIAS HABILES O MORA]]&lt;0,(Tabla14[[#This Row],[VALOR PRESTAMO]]*Tabla14[[#This Row],[% INTERES ]]/30*U601))</f>
        <v>0</v>
      </c>
      <c r="T601" s="53" t="e">
        <f>Tabla14[[#This Row],[DEUDA CAPITAL]]+Tabla14[[#This Row],[INTERES  CUOTA]]</f>
        <v>#NUM!</v>
      </c>
      <c r="U601" s="61" t="str">
        <f t="shared" si="109"/>
        <v/>
      </c>
    </row>
    <row r="602" spans="9:21" ht="24.75" customHeight="1" x14ac:dyDescent="0.35">
      <c r="I602" s="42">
        <f t="shared" si="100"/>
        <v>0</v>
      </c>
      <c r="J602" s="65" t="e">
        <f t="shared" si="101"/>
        <v>#NUM!</v>
      </c>
      <c r="K602" s="83" t="e">
        <f t="shared" si="102"/>
        <v>#NUM!</v>
      </c>
      <c r="L602" s="83">
        <f t="shared" si="103"/>
        <v>0</v>
      </c>
      <c r="M602" s="110" t="str">
        <f t="shared" si="104"/>
        <v/>
      </c>
      <c r="N602" s="51" t="str">
        <f t="shared" si="105"/>
        <v/>
      </c>
      <c r="O602" s="52" t="str">
        <f t="shared" si="106"/>
        <v/>
      </c>
      <c r="P602" s="88">
        <f t="shared" si="107"/>
        <v>0</v>
      </c>
      <c r="Q602" s="88">
        <f t="shared" si="108"/>
        <v>0</v>
      </c>
      <c r="R602" s="88" t="e">
        <f>-IF(Tabla14[[#This Row],[DIAS HABILES O MORA]]&lt;0,(Tabla14[[#This Row],[VALOR PRESTAMO]]*Tabla14[[#This Row],[% INTERES ]]/30*U602))+Tabla14[[#This Row],[VALOR CUOTAS]]</f>
        <v>#VALUE!</v>
      </c>
      <c r="S602" s="88">
        <f>-IF(Tabla14[[#This Row],[DIAS HABILES O MORA]]&lt;0,(Tabla14[[#This Row],[VALOR PRESTAMO]]*Tabla14[[#This Row],[% INTERES ]]/30*U602))</f>
        <v>0</v>
      </c>
      <c r="T602" s="53" t="e">
        <f>Tabla14[[#This Row],[DEUDA CAPITAL]]+Tabla14[[#This Row],[INTERES  CUOTA]]</f>
        <v>#NUM!</v>
      </c>
      <c r="U602" s="61" t="str">
        <f t="shared" si="109"/>
        <v/>
      </c>
    </row>
    <row r="603" spans="9:21" ht="24.75" customHeight="1" x14ac:dyDescent="0.35">
      <c r="I603" s="42">
        <f t="shared" si="100"/>
        <v>0</v>
      </c>
      <c r="J603" s="65" t="e">
        <f t="shared" si="101"/>
        <v>#NUM!</v>
      </c>
      <c r="K603" s="83" t="e">
        <f t="shared" si="102"/>
        <v>#NUM!</v>
      </c>
      <c r="L603" s="83">
        <f t="shared" si="103"/>
        <v>0</v>
      </c>
      <c r="M603" s="110" t="str">
        <f t="shared" si="104"/>
        <v/>
      </c>
      <c r="N603" s="51" t="str">
        <f t="shared" si="105"/>
        <v/>
      </c>
      <c r="O603" s="52" t="str">
        <f t="shared" si="106"/>
        <v/>
      </c>
      <c r="P603" s="88">
        <f t="shared" si="107"/>
        <v>0</v>
      </c>
      <c r="Q603" s="88">
        <f t="shared" si="108"/>
        <v>0</v>
      </c>
      <c r="R603" s="88" t="e">
        <f>-IF(Tabla14[[#This Row],[DIAS HABILES O MORA]]&lt;0,(Tabla14[[#This Row],[VALOR PRESTAMO]]*Tabla14[[#This Row],[% INTERES ]]/30*U603))+Tabla14[[#This Row],[VALOR CUOTAS]]</f>
        <v>#VALUE!</v>
      </c>
      <c r="S603" s="88">
        <f>-IF(Tabla14[[#This Row],[DIAS HABILES O MORA]]&lt;0,(Tabla14[[#This Row],[VALOR PRESTAMO]]*Tabla14[[#This Row],[% INTERES ]]/30*U603))</f>
        <v>0</v>
      </c>
      <c r="T603" s="53" t="e">
        <f>Tabla14[[#This Row],[DEUDA CAPITAL]]+Tabla14[[#This Row],[INTERES  CUOTA]]</f>
        <v>#NUM!</v>
      </c>
      <c r="U603" s="61" t="str">
        <f t="shared" si="109"/>
        <v/>
      </c>
    </row>
    <row r="604" spans="9:21" ht="24.75" customHeight="1" x14ac:dyDescent="0.35">
      <c r="I604" s="42">
        <f t="shared" si="100"/>
        <v>0</v>
      </c>
      <c r="J604" s="65" t="e">
        <f t="shared" si="101"/>
        <v>#NUM!</v>
      </c>
      <c r="K604" s="83" t="e">
        <f t="shared" si="102"/>
        <v>#NUM!</v>
      </c>
      <c r="L604" s="83">
        <f t="shared" si="103"/>
        <v>0</v>
      </c>
      <c r="M604" s="110" t="str">
        <f t="shared" si="104"/>
        <v/>
      </c>
      <c r="N604" s="51" t="str">
        <f t="shared" si="105"/>
        <v/>
      </c>
      <c r="O604" s="52" t="str">
        <f t="shared" si="106"/>
        <v/>
      </c>
      <c r="P604" s="88">
        <f t="shared" si="107"/>
        <v>0</v>
      </c>
      <c r="Q604" s="88">
        <f t="shared" si="108"/>
        <v>0</v>
      </c>
      <c r="R604" s="88" t="e">
        <f>-IF(Tabla14[[#This Row],[DIAS HABILES O MORA]]&lt;0,(Tabla14[[#This Row],[VALOR PRESTAMO]]*Tabla14[[#This Row],[% INTERES ]]/30*U604))+Tabla14[[#This Row],[VALOR CUOTAS]]</f>
        <v>#VALUE!</v>
      </c>
      <c r="S604" s="88">
        <f>-IF(Tabla14[[#This Row],[DIAS HABILES O MORA]]&lt;0,(Tabla14[[#This Row],[VALOR PRESTAMO]]*Tabla14[[#This Row],[% INTERES ]]/30*U604))</f>
        <v>0</v>
      </c>
      <c r="T604" s="53" t="e">
        <f>Tabla14[[#This Row],[DEUDA CAPITAL]]+Tabla14[[#This Row],[INTERES  CUOTA]]</f>
        <v>#NUM!</v>
      </c>
      <c r="U604" s="61" t="str">
        <f t="shared" si="109"/>
        <v/>
      </c>
    </row>
    <row r="605" spans="9:21" ht="24.75" customHeight="1" x14ac:dyDescent="0.35">
      <c r="I605" s="42">
        <f t="shared" si="100"/>
        <v>0</v>
      </c>
      <c r="J605" s="65" t="e">
        <f t="shared" si="101"/>
        <v>#NUM!</v>
      </c>
      <c r="K605" s="83" t="e">
        <f t="shared" si="102"/>
        <v>#NUM!</v>
      </c>
      <c r="L605" s="83">
        <f t="shared" si="103"/>
        <v>0</v>
      </c>
      <c r="M605" s="110" t="str">
        <f t="shared" si="104"/>
        <v/>
      </c>
      <c r="N605" s="51" t="str">
        <f t="shared" si="105"/>
        <v/>
      </c>
      <c r="O605" s="52" t="str">
        <f t="shared" si="106"/>
        <v/>
      </c>
      <c r="P605" s="88">
        <f t="shared" si="107"/>
        <v>0</v>
      </c>
      <c r="Q605" s="88">
        <f t="shared" si="108"/>
        <v>0</v>
      </c>
      <c r="R605" s="88" t="e">
        <f>-IF(Tabla14[[#This Row],[DIAS HABILES O MORA]]&lt;0,(Tabla14[[#This Row],[VALOR PRESTAMO]]*Tabla14[[#This Row],[% INTERES ]]/30*U605))+Tabla14[[#This Row],[VALOR CUOTAS]]</f>
        <v>#VALUE!</v>
      </c>
      <c r="S605" s="88">
        <f>-IF(Tabla14[[#This Row],[DIAS HABILES O MORA]]&lt;0,(Tabla14[[#This Row],[VALOR PRESTAMO]]*Tabla14[[#This Row],[% INTERES ]]/30*U605))</f>
        <v>0</v>
      </c>
      <c r="T605" s="53" t="e">
        <f>Tabla14[[#This Row],[DEUDA CAPITAL]]+Tabla14[[#This Row],[INTERES  CUOTA]]</f>
        <v>#NUM!</v>
      </c>
      <c r="U605" s="61" t="str">
        <f t="shared" si="109"/>
        <v/>
      </c>
    </row>
    <row r="606" spans="9:21" ht="24.75" customHeight="1" x14ac:dyDescent="0.35">
      <c r="I606" s="42">
        <f t="shared" si="100"/>
        <v>0</v>
      </c>
      <c r="J606" s="65" t="e">
        <f t="shared" si="101"/>
        <v>#NUM!</v>
      </c>
      <c r="K606" s="83" t="e">
        <f t="shared" si="102"/>
        <v>#NUM!</v>
      </c>
      <c r="L606" s="83">
        <f t="shared" si="103"/>
        <v>0</v>
      </c>
      <c r="M606" s="110" t="str">
        <f t="shared" si="104"/>
        <v/>
      </c>
      <c r="N606" s="51" t="str">
        <f t="shared" si="105"/>
        <v/>
      </c>
      <c r="O606" s="52" t="str">
        <f t="shared" si="106"/>
        <v/>
      </c>
      <c r="P606" s="88">
        <f t="shared" si="107"/>
        <v>0</v>
      </c>
      <c r="Q606" s="88">
        <f t="shared" si="108"/>
        <v>0</v>
      </c>
      <c r="R606" s="88" t="e">
        <f>-IF(Tabla14[[#This Row],[DIAS HABILES O MORA]]&lt;0,(Tabla14[[#This Row],[VALOR PRESTAMO]]*Tabla14[[#This Row],[% INTERES ]]/30*U606))+Tabla14[[#This Row],[VALOR CUOTAS]]</f>
        <v>#VALUE!</v>
      </c>
      <c r="S606" s="88">
        <f>-IF(Tabla14[[#This Row],[DIAS HABILES O MORA]]&lt;0,(Tabla14[[#This Row],[VALOR PRESTAMO]]*Tabla14[[#This Row],[% INTERES ]]/30*U606))</f>
        <v>0</v>
      </c>
      <c r="T606" s="53" t="e">
        <f>Tabla14[[#This Row],[DEUDA CAPITAL]]+Tabla14[[#This Row],[INTERES  CUOTA]]</f>
        <v>#NUM!</v>
      </c>
      <c r="U606" s="61" t="str">
        <f t="shared" si="109"/>
        <v/>
      </c>
    </row>
    <row r="607" spans="9:21" ht="24.75" customHeight="1" x14ac:dyDescent="0.35">
      <c r="I607" s="42">
        <f t="shared" si="100"/>
        <v>0</v>
      </c>
      <c r="J607" s="65" t="e">
        <f t="shared" si="101"/>
        <v>#NUM!</v>
      </c>
      <c r="K607" s="83" t="e">
        <f t="shared" si="102"/>
        <v>#NUM!</v>
      </c>
      <c r="L607" s="83">
        <f t="shared" si="103"/>
        <v>0</v>
      </c>
      <c r="M607" s="110" t="str">
        <f t="shared" si="104"/>
        <v/>
      </c>
      <c r="N607" s="51" t="str">
        <f t="shared" si="105"/>
        <v/>
      </c>
      <c r="O607" s="52" t="str">
        <f t="shared" si="106"/>
        <v/>
      </c>
      <c r="P607" s="88">
        <f t="shared" si="107"/>
        <v>0</v>
      </c>
      <c r="Q607" s="88">
        <f t="shared" si="108"/>
        <v>0</v>
      </c>
      <c r="R607" s="88" t="e">
        <f>-IF(Tabla14[[#This Row],[DIAS HABILES O MORA]]&lt;0,(Tabla14[[#This Row],[VALOR PRESTAMO]]*Tabla14[[#This Row],[% INTERES ]]/30*U607))+Tabla14[[#This Row],[VALOR CUOTAS]]</f>
        <v>#VALUE!</v>
      </c>
      <c r="S607" s="88">
        <f>-IF(Tabla14[[#This Row],[DIAS HABILES O MORA]]&lt;0,(Tabla14[[#This Row],[VALOR PRESTAMO]]*Tabla14[[#This Row],[% INTERES ]]/30*U607))</f>
        <v>0</v>
      </c>
      <c r="T607" s="53" t="e">
        <f>Tabla14[[#This Row],[DEUDA CAPITAL]]+Tabla14[[#This Row],[INTERES  CUOTA]]</f>
        <v>#NUM!</v>
      </c>
      <c r="U607" s="61" t="str">
        <f t="shared" si="109"/>
        <v/>
      </c>
    </row>
    <row r="608" spans="9:21" ht="24.75" customHeight="1" x14ac:dyDescent="0.35">
      <c r="I608" s="42">
        <f t="shared" si="100"/>
        <v>0</v>
      </c>
      <c r="J608" s="65" t="e">
        <f t="shared" si="101"/>
        <v>#NUM!</v>
      </c>
      <c r="K608" s="83" t="e">
        <f t="shared" si="102"/>
        <v>#NUM!</v>
      </c>
      <c r="L608" s="83">
        <f t="shared" si="103"/>
        <v>0</v>
      </c>
      <c r="M608" s="110" t="str">
        <f t="shared" si="104"/>
        <v/>
      </c>
      <c r="N608" s="51" t="str">
        <f t="shared" si="105"/>
        <v/>
      </c>
      <c r="O608" s="52" t="str">
        <f t="shared" si="106"/>
        <v/>
      </c>
      <c r="P608" s="88">
        <f t="shared" si="107"/>
        <v>0</v>
      </c>
      <c r="Q608" s="88">
        <f t="shared" si="108"/>
        <v>0</v>
      </c>
      <c r="R608" s="88" t="e">
        <f>-IF(Tabla14[[#This Row],[DIAS HABILES O MORA]]&lt;0,(Tabla14[[#This Row],[VALOR PRESTAMO]]*Tabla14[[#This Row],[% INTERES ]]/30*U608))+Tabla14[[#This Row],[VALOR CUOTAS]]</f>
        <v>#VALUE!</v>
      </c>
      <c r="S608" s="88">
        <f>-IF(Tabla14[[#This Row],[DIAS HABILES O MORA]]&lt;0,(Tabla14[[#This Row],[VALOR PRESTAMO]]*Tabla14[[#This Row],[% INTERES ]]/30*U608))</f>
        <v>0</v>
      </c>
      <c r="T608" s="53" t="e">
        <f>Tabla14[[#This Row],[DEUDA CAPITAL]]+Tabla14[[#This Row],[INTERES  CUOTA]]</f>
        <v>#NUM!</v>
      </c>
      <c r="U608" s="61" t="str">
        <f t="shared" si="109"/>
        <v/>
      </c>
    </row>
    <row r="609" spans="9:21" ht="24.75" customHeight="1" x14ac:dyDescent="0.35">
      <c r="I609" s="42">
        <f t="shared" si="100"/>
        <v>0</v>
      </c>
      <c r="J609" s="65" t="e">
        <f t="shared" si="101"/>
        <v>#NUM!</v>
      </c>
      <c r="K609" s="83" t="e">
        <f t="shared" si="102"/>
        <v>#NUM!</v>
      </c>
      <c r="L609" s="83">
        <f t="shared" si="103"/>
        <v>0</v>
      </c>
      <c r="M609" s="110" t="str">
        <f t="shared" si="104"/>
        <v/>
      </c>
      <c r="N609" s="51" t="str">
        <f t="shared" si="105"/>
        <v/>
      </c>
      <c r="O609" s="52" t="str">
        <f t="shared" si="106"/>
        <v/>
      </c>
      <c r="P609" s="88">
        <f t="shared" si="107"/>
        <v>0</v>
      </c>
      <c r="Q609" s="88">
        <f t="shared" si="108"/>
        <v>0</v>
      </c>
      <c r="R609" s="88" t="e">
        <f>-IF(Tabla14[[#This Row],[DIAS HABILES O MORA]]&lt;0,(Tabla14[[#This Row],[VALOR PRESTAMO]]*Tabla14[[#This Row],[% INTERES ]]/30*U609))+Tabla14[[#This Row],[VALOR CUOTAS]]</f>
        <v>#VALUE!</v>
      </c>
      <c r="S609" s="88">
        <f>-IF(Tabla14[[#This Row],[DIAS HABILES O MORA]]&lt;0,(Tabla14[[#This Row],[VALOR PRESTAMO]]*Tabla14[[#This Row],[% INTERES ]]/30*U609))</f>
        <v>0</v>
      </c>
      <c r="T609" s="53" t="e">
        <f>Tabla14[[#This Row],[DEUDA CAPITAL]]+Tabla14[[#This Row],[INTERES  CUOTA]]</f>
        <v>#NUM!</v>
      </c>
      <c r="U609" s="61" t="str">
        <f t="shared" si="109"/>
        <v/>
      </c>
    </row>
    <row r="610" spans="9:21" ht="24.75" customHeight="1" x14ac:dyDescent="0.35">
      <c r="I610" s="42">
        <f t="shared" si="100"/>
        <v>0</v>
      </c>
      <c r="J610" s="65" t="e">
        <f t="shared" si="101"/>
        <v>#NUM!</v>
      </c>
      <c r="K610" s="83" t="e">
        <f t="shared" si="102"/>
        <v>#NUM!</v>
      </c>
      <c r="L610" s="83">
        <f t="shared" si="103"/>
        <v>0</v>
      </c>
      <c r="M610" s="110" t="str">
        <f t="shared" si="104"/>
        <v/>
      </c>
      <c r="N610" s="51" t="str">
        <f t="shared" si="105"/>
        <v/>
      </c>
      <c r="O610" s="52" t="str">
        <f t="shared" si="106"/>
        <v/>
      </c>
      <c r="P610" s="88">
        <f t="shared" si="107"/>
        <v>0</v>
      </c>
      <c r="Q610" s="88">
        <f t="shared" si="108"/>
        <v>0</v>
      </c>
      <c r="R610" s="88" t="e">
        <f>-IF(Tabla14[[#This Row],[DIAS HABILES O MORA]]&lt;0,(Tabla14[[#This Row],[VALOR PRESTAMO]]*Tabla14[[#This Row],[% INTERES ]]/30*U610))+Tabla14[[#This Row],[VALOR CUOTAS]]</f>
        <v>#VALUE!</v>
      </c>
      <c r="S610" s="88">
        <f>-IF(Tabla14[[#This Row],[DIAS HABILES O MORA]]&lt;0,(Tabla14[[#This Row],[VALOR PRESTAMO]]*Tabla14[[#This Row],[% INTERES ]]/30*U610))</f>
        <v>0</v>
      </c>
      <c r="T610" s="53" t="e">
        <f>Tabla14[[#This Row],[DEUDA CAPITAL]]+Tabla14[[#This Row],[INTERES  CUOTA]]</f>
        <v>#NUM!</v>
      </c>
      <c r="U610" s="61" t="str">
        <f t="shared" si="109"/>
        <v/>
      </c>
    </row>
    <row r="611" spans="9:21" ht="24.75" customHeight="1" x14ac:dyDescent="0.35">
      <c r="I611" s="42">
        <f t="shared" si="100"/>
        <v>0</v>
      </c>
      <c r="J611" s="65" t="e">
        <f t="shared" si="101"/>
        <v>#NUM!</v>
      </c>
      <c r="K611" s="83" t="e">
        <f t="shared" si="102"/>
        <v>#NUM!</v>
      </c>
      <c r="L611" s="83">
        <f t="shared" si="103"/>
        <v>0</v>
      </c>
      <c r="M611" s="110" t="str">
        <f t="shared" si="104"/>
        <v/>
      </c>
      <c r="N611" s="51" t="str">
        <f t="shared" si="105"/>
        <v/>
      </c>
      <c r="O611" s="52" t="str">
        <f t="shared" si="106"/>
        <v/>
      </c>
      <c r="P611" s="88">
        <f t="shared" si="107"/>
        <v>0</v>
      </c>
      <c r="Q611" s="88">
        <f t="shared" si="108"/>
        <v>0</v>
      </c>
      <c r="R611" s="88" t="e">
        <f>-IF(Tabla14[[#This Row],[DIAS HABILES O MORA]]&lt;0,(Tabla14[[#This Row],[VALOR PRESTAMO]]*Tabla14[[#This Row],[% INTERES ]]/30*U611))+Tabla14[[#This Row],[VALOR CUOTAS]]</f>
        <v>#VALUE!</v>
      </c>
      <c r="S611" s="88">
        <f>-IF(Tabla14[[#This Row],[DIAS HABILES O MORA]]&lt;0,(Tabla14[[#This Row],[VALOR PRESTAMO]]*Tabla14[[#This Row],[% INTERES ]]/30*U611))</f>
        <v>0</v>
      </c>
      <c r="T611" s="53" t="e">
        <f>Tabla14[[#This Row],[DEUDA CAPITAL]]+Tabla14[[#This Row],[INTERES  CUOTA]]</f>
        <v>#NUM!</v>
      </c>
      <c r="U611" s="61" t="str">
        <f t="shared" si="109"/>
        <v/>
      </c>
    </row>
    <row r="612" spans="9:21" ht="24.75" customHeight="1" x14ac:dyDescent="0.35">
      <c r="I612" s="42">
        <f t="shared" si="100"/>
        <v>0</v>
      </c>
      <c r="J612" s="65" t="e">
        <f t="shared" si="101"/>
        <v>#NUM!</v>
      </c>
      <c r="K612" s="83" t="e">
        <f t="shared" si="102"/>
        <v>#NUM!</v>
      </c>
      <c r="L612" s="83">
        <f t="shared" si="103"/>
        <v>0</v>
      </c>
      <c r="M612" s="110" t="str">
        <f t="shared" si="104"/>
        <v/>
      </c>
      <c r="N612" s="51" t="str">
        <f t="shared" si="105"/>
        <v/>
      </c>
      <c r="O612" s="52" t="str">
        <f t="shared" si="106"/>
        <v/>
      </c>
      <c r="P612" s="88">
        <f t="shared" si="107"/>
        <v>0</v>
      </c>
      <c r="Q612" s="88">
        <f t="shared" si="108"/>
        <v>0</v>
      </c>
      <c r="R612" s="88" t="e">
        <f>-IF(Tabla14[[#This Row],[DIAS HABILES O MORA]]&lt;0,(Tabla14[[#This Row],[VALOR PRESTAMO]]*Tabla14[[#This Row],[% INTERES ]]/30*U612))+Tabla14[[#This Row],[VALOR CUOTAS]]</f>
        <v>#VALUE!</v>
      </c>
      <c r="S612" s="88">
        <f>-IF(Tabla14[[#This Row],[DIAS HABILES O MORA]]&lt;0,(Tabla14[[#This Row],[VALOR PRESTAMO]]*Tabla14[[#This Row],[% INTERES ]]/30*U612))</f>
        <v>0</v>
      </c>
      <c r="T612" s="53" t="e">
        <f>Tabla14[[#This Row],[DEUDA CAPITAL]]+Tabla14[[#This Row],[INTERES  CUOTA]]</f>
        <v>#NUM!</v>
      </c>
      <c r="U612" s="61" t="str">
        <f t="shared" si="109"/>
        <v/>
      </c>
    </row>
    <row r="613" spans="9:21" ht="24.75" customHeight="1" x14ac:dyDescent="0.35">
      <c r="I613" s="42">
        <f t="shared" si="100"/>
        <v>0</v>
      </c>
      <c r="J613" s="65" t="e">
        <f t="shared" si="101"/>
        <v>#NUM!</v>
      </c>
      <c r="K613" s="83" t="e">
        <f t="shared" si="102"/>
        <v>#NUM!</v>
      </c>
      <c r="L613" s="83">
        <f t="shared" si="103"/>
        <v>0</v>
      </c>
      <c r="M613" s="110" t="str">
        <f t="shared" si="104"/>
        <v/>
      </c>
      <c r="N613" s="51" t="str">
        <f t="shared" si="105"/>
        <v/>
      </c>
      <c r="O613" s="52" t="str">
        <f t="shared" si="106"/>
        <v/>
      </c>
      <c r="P613" s="88">
        <f t="shared" si="107"/>
        <v>0</v>
      </c>
      <c r="Q613" s="88">
        <f t="shared" si="108"/>
        <v>0</v>
      </c>
      <c r="R613" s="88" t="e">
        <f>-IF(Tabla14[[#This Row],[DIAS HABILES O MORA]]&lt;0,(Tabla14[[#This Row],[VALOR PRESTAMO]]*Tabla14[[#This Row],[% INTERES ]]/30*U613))+Tabla14[[#This Row],[VALOR CUOTAS]]</f>
        <v>#VALUE!</v>
      </c>
      <c r="S613" s="88">
        <f>-IF(Tabla14[[#This Row],[DIAS HABILES O MORA]]&lt;0,(Tabla14[[#This Row],[VALOR PRESTAMO]]*Tabla14[[#This Row],[% INTERES ]]/30*U613))</f>
        <v>0</v>
      </c>
      <c r="T613" s="53" t="e">
        <f>Tabla14[[#This Row],[DEUDA CAPITAL]]+Tabla14[[#This Row],[INTERES  CUOTA]]</f>
        <v>#NUM!</v>
      </c>
      <c r="U613" s="61" t="str">
        <f t="shared" si="109"/>
        <v/>
      </c>
    </row>
    <row r="614" spans="9:21" ht="24.75" customHeight="1" x14ac:dyDescent="0.35">
      <c r="I614" s="42">
        <f t="shared" si="100"/>
        <v>0</v>
      </c>
      <c r="J614" s="65" t="e">
        <f t="shared" si="101"/>
        <v>#NUM!</v>
      </c>
      <c r="K614" s="83" t="e">
        <f t="shared" si="102"/>
        <v>#NUM!</v>
      </c>
      <c r="L614" s="83">
        <f t="shared" si="103"/>
        <v>0</v>
      </c>
      <c r="M614" s="110" t="str">
        <f t="shared" si="104"/>
        <v/>
      </c>
      <c r="N614" s="51" t="str">
        <f t="shared" si="105"/>
        <v/>
      </c>
      <c r="O614" s="52" t="str">
        <f t="shared" si="106"/>
        <v/>
      </c>
      <c r="P614" s="88">
        <f t="shared" si="107"/>
        <v>0</v>
      </c>
      <c r="Q614" s="88">
        <f t="shared" si="108"/>
        <v>0</v>
      </c>
      <c r="R614" s="88" t="e">
        <f>-IF(Tabla14[[#This Row],[DIAS HABILES O MORA]]&lt;0,(Tabla14[[#This Row],[VALOR PRESTAMO]]*Tabla14[[#This Row],[% INTERES ]]/30*U614))+Tabla14[[#This Row],[VALOR CUOTAS]]</f>
        <v>#VALUE!</v>
      </c>
      <c r="S614" s="88">
        <f>-IF(Tabla14[[#This Row],[DIAS HABILES O MORA]]&lt;0,(Tabla14[[#This Row],[VALOR PRESTAMO]]*Tabla14[[#This Row],[% INTERES ]]/30*U614))</f>
        <v>0</v>
      </c>
      <c r="T614" s="53" t="e">
        <f>Tabla14[[#This Row],[DEUDA CAPITAL]]+Tabla14[[#This Row],[INTERES  CUOTA]]</f>
        <v>#NUM!</v>
      </c>
      <c r="U614" s="61" t="str">
        <f t="shared" si="109"/>
        <v/>
      </c>
    </row>
    <row r="615" spans="9:21" ht="24.75" customHeight="1" x14ac:dyDescent="0.35">
      <c r="I615" s="42">
        <f t="shared" si="100"/>
        <v>0</v>
      </c>
      <c r="J615" s="65" t="e">
        <f t="shared" si="101"/>
        <v>#NUM!</v>
      </c>
      <c r="K615" s="83" t="e">
        <f t="shared" si="102"/>
        <v>#NUM!</v>
      </c>
      <c r="L615" s="83">
        <f t="shared" si="103"/>
        <v>0</v>
      </c>
      <c r="M615" s="110" t="str">
        <f t="shared" si="104"/>
        <v/>
      </c>
      <c r="N615" s="51" t="str">
        <f t="shared" si="105"/>
        <v/>
      </c>
      <c r="O615" s="52" t="str">
        <f t="shared" si="106"/>
        <v/>
      </c>
      <c r="P615" s="88">
        <f t="shared" si="107"/>
        <v>0</v>
      </c>
      <c r="Q615" s="88">
        <f t="shared" si="108"/>
        <v>0</v>
      </c>
      <c r="R615" s="88" t="e">
        <f>-IF(Tabla14[[#This Row],[DIAS HABILES O MORA]]&lt;0,(Tabla14[[#This Row],[VALOR PRESTAMO]]*Tabla14[[#This Row],[% INTERES ]]/30*U615))+Tabla14[[#This Row],[VALOR CUOTAS]]</f>
        <v>#VALUE!</v>
      </c>
      <c r="S615" s="88">
        <f>-IF(Tabla14[[#This Row],[DIAS HABILES O MORA]]&lt;0,(Tabla14[[#This Row],[VALOR PRESTAMO]]*Tabla14[[#This Row],[% INTERES ]]/30*U615))</f>
        <v>0</v>
      </c>
      <c r="T615" s="53" t="e">
        <f>Tabla14[[#This Row],[DEUDA CAPITAL]]+Tabla14[[#This Row],[INTERES  CUOTA]]</f>
        <v>#NUM!</v>
      </c>
      <c r="U615" s="61" t="str">
        <f t="shared" si="109"/>
        <v/>
      </c>
    </row>
    <row r="616" spans="9:21" ht="24.75" customHeight="1" x14ac:dyDescent="0.35">
      <c r="I616" s="42">
        <f t="shared" si="100"/>
        <v>0</v>
      </c>
      <c r="J616" s="65" t="e">
        <f t="shared" si="101"/>
        <v>#NUM!</v>
      </c>
      <c r="K616" s="83" t="e">
        <f t="shared" si="102"/>
        <v>#NUM!</v>
      </c>
      <c r="L616" s="83">
        <f t="shared" si="103"/>
        <v>0</v>
      </c>
      <c r="M616" s="110" t="str">
        <f t="shared" si="104"/>
        <v/>
      </c>
      <c r="N616" s="51" t="str">
        <f t="shared" si="105"/>
        <v/>
      </c>
      <c r="O616" s="52" t="str">
        <f t="shared" si="106"/>
        <v/>
      </c>
      <c r="P616" s="88">
        <f t="shared" si="107"/>
        <v>0</v>
      </c>
      <c r="Q616" s="88">
        <f t="shared" si="108"/>
        <v>0</v>
      </c>
      <c r="R616" s="88" t="e">
        <f>-IF(Tabla14[[#This Row],[DIAS HABILES O MORA]]&lt;0,(Tabla14[[#This Row],[VALOR PRESTAMO]]*Tabla14[[#This Row],[% INTERES ]]/30*U616))+Tabla14[[#This Row],[VALOR CUOTAS]]</f>
        <v>#VALUE!</v>
      </c>
      <c r="S616" s="88">
        <f>-IF(Tabla14[[#This Row],[DIAS HABILES O MORA]]&lt;0,(Tabla14[[#This Row],[VALOR PRESTAMO]]*Tabla14[[#This Row],[% INTERES ]]/30*U616))</f>
        <v>0</v>
      </c>
      <c r="T616" s="53" t="e">
        <f>Tabla14[[#This Row],[DEUDA CAPITAL]]+Tabla14[[#This Row],[INTERES  CUOTA]]</f>
        <v>#NUM!</v>
      </c>
      <c r="U616" s="61" t="str">
        <f t="shared" si="109"/>
        <v/>
      </c>
    </row>
    <row r="617" spans="9:21" ht="24.75" customHeight="1" x14ac:dyDescent="0.35">
      <c r="I617" s="42">
        <f t="shared" si="100"/>
        <v>0</v>
      </c>
      <c r="J617" s="65" t="e">
        <f t="shared" si="101"/>
        <v>#NUM!</v>
      </c>
      <c r="K617" s="83" t="e">
        <f t="shared" si="102"/>
        <v>#NUM!</v>
      </c>
      <c r="L617" s="83">
        <f t="shared" si="103"/>
        <v>0</v>
      </c>
      <c r="M617" s="110" t="str">
        <f t="shared" si="104"/>
        <v/>
      </c>
      <c r="N617" s="51" t="str">
        <f t="shared" si="105"/>
        <v/>
      </c>
      <c r="O617" s="52" t="str">
        <f t="shared" si="106"/>
        <v/>
      </c>
      <c r="P617" s="88">
        <f t="shared" si="107"/>
        <v>0</v>
      </c>
      <c r="Q617" s="88">
        <f t="shared" si="108"/>
        <v>0</v>
      </c>
      <c r="R617" s="88" t="e">
        <f>-IF(Tabla14[[#This Row],[DIAS HABILES O MORA]]&lt;0,(Tabla14[[#This Row],[VALOR PRESTAMO]]*Tabla14[[#This Row],[% INTERES ]]/30*U617))+Tabla14[[#This Row],[VALOR CUOTAS]]</f>
        <v>#VALUE!</v>
      </c>
      <c r="S617" s="88">
        <f>-IF(Tabla14[[#This Row],[DIAS HABILES O MORA]]&lt;0,(Tabla14[[#This Row],[VALOR PRESTAMO]]*Tabla14[[#This Row],[% INTERES ]]/30*U617))</f>
        <v>0</v>
      </c>
      <c r="T617" s="53" t="e">
        <f>Tabla14[[#This Row],[DEUDA CAPITAL]]+Tabla14[[#This Row],[INTERES  CUOTA]]</f>
        <v>#NUM!</v>
      </c>
      <c r="U617" s="61" t="str">
        <f t="shared" si="109"/>
        <v/>
      </c>
    </row>
    <row r="618" spans="9:21" ht="24.75" customHeight="1" x14ac:dyDescent="0.35">
      <c r="I618" s="42">
        <f t="shared" si="100"/>
        <v>0</v>
      </c>
      <c r="J618" s="65" t="e">
        <f t="shared" si="101"/>
        <v>#NUM!</v>
      </c>
      <c r="K618" s="83" t="e">
        <f t="shared" si="102"/>
        <v>#NUM!</v>
      </c>
      <c r="L618" s="83">
        <f t="shared" si="103"/>
        <v>0</v>
      </c>
      <c r="M618" s="110" t="str">
        <f t="shared" si="104"/>
        <v/>
      </c>
      <c r="N618" s="51" t="str">
        <f t="shared" si="105"/>
        <v/>
      </c>
      <c r="O618" s="52" t="str">
        <f t="shared" si="106"/>
        <v/>
      </c>
      <c r="P618" s="88">
        <f t="shared" si="107"/>
        <v>0</v>
      </c>
      <c r="Q618" s="88">
        <f t="shared" si="108"/>
        <v>0</v>
      </c>
      <c r="R618" s="88" t="e">
        <f>-IF(Tabla14[[#This Row],[DIAS HABILES O MORA]]&lt;0,(Tabla14[[#This Row],[VALOR PRESTAMO]]*Tabla14[[#This Row],[% INTERES ]]/30*U618))+Tabla14[[#This Row],[VALOR CUOTAS]]</f>
        <v>#VALUE!</v>
      </c>
      <c r="S618" s="88">
        <f>-IF(Tabla14[[#This Row],[DIAS HABILES O MORA]]&lt;0,(Tabla14[[#This Row],[VALOR PRESTAMO]]*Tabla14[[#This Row],[% INTERES ]]/30*U618))</f>
        <v>0</v>
      </c>
      <c r="T618" s="53" t="e">
        <f>Tabla14[[#This Row],[DEUDA CAPITAL]]+Tabla14[[#This Row],[INTERES  CUOTA]]</f>
        <v>#NUM!</v>
      </c>
      <c r="U618" s="61" t="str">
        <f t="shared" si="109"/>
        <v/>
      </c>
    </row>
    <row r="619" spans="9:21" ht="24.75" customHeight="1" x14ac:dyDescent="0.35">
      <c r="I619" s="42">
        <f t="shared" si="100"/>
        <v>0</v>
      </c>
      <c r="J619" s="65" t="e">
        <f t="shared" si="101"/>
        <v>#NUM!</v>
      </c>
      <c r="K619" s="83" t="e">
        <f t="shared" si="102"/>
        <v>#NUM!</v>
      </c>
      <c r="L619" s="83">
        <f t="shared" si="103"/>
        <v>0</v>
      </c>
      <c r="M619" s="110" t="str">
        <f t="shared" si="104"/>
        <v/>
      </c>
      <c r="N619" s="51" t="str">
        <f t="shared" si="105"/>
        <v/>
      </c>
      <c r="O619" s="52" t="str">
        <f t="shared" si="106"/>
        <v/>
      </c>
      <c r="P619" s="88">
        <f t="shared" si="107"/>
        <v>0</v>
      </c>
      <c r="Q619" s="88">
        <f t="shared" si="108"/>
        <v>0</v>
      </c>
      <c r="R619" s="88" t="e">
        <f>-IF(Tabla14[[#This Row],[DIAS HABILES O MORA]]&lt;0,(Tabla14[[#This Row],[VALOR PRESTAMO]]*Tabla14[[#This Row],[% INTERES ]]/30*U619))+Tabla14[[#This Row],[VALOR CUOTAS]]</f>
        <v>#VALUE!</v>
      </c>
      <c r="S619" s="88">
        <f>-IF(Tabla14[[#This Row],[DIAS HABILES O MORA]]&lt;0,(Tabla14[[#This Row],[VALOR PRESTAMO]]*Tabla14[[#This Row],[% INTERES ]]/30*U619))</f>
        <v>0</v>
      </c>
      <c r="T619" s="53" t="e">
        <f>Tabla14[[#This Row],[DEUDA CAPITAL]]+Tabla14[[#This Row],[INTERES  CUOTA]]</f>
        <v>#NUM!</v>
      </c>
      <c r="U619" s="61" t="str">
        <f t="shared" si="109"/>
        <v/>
      </c>
    </row>
    <row r="620" spans="9:21" ht="24.75" customHeight="1" x14ac:dyDescent="0.35">
      <c r="I620" s="42">
        <f t="shared" si="100"/>
        <v>0</v>
      </c>
      <c r="J620" s="65" t="e">
        <f t="shared" si="101"/>
        <v>#NUM!</v>
      </c>
      <c r="K620" s="83" t="e">
        <f t="shared" si="102"/>
        <v>#NUM!</v>
      </c>
      <c r="L620" s="83">
        <f t="shared" si="103"/>
        <v>0</v>
      </c>
      <c r="M620" s="110" t="str">
        <f t="shared" si="104"/>
        <v/>
      </c>
      <c r="N620" s="51" t="str">
        <f t="shared" si="105"/>
        <v/>
      </c>
      <c r="O620" s="52" t="str">
        <f t="shared" si="106"/>
        <v/>
      </c>
      <c r="P620" s="88">
        <f t="shared" si="107"/>
        <v>0</v>
      </c>
      <c r="Q620" s="88">
        <f t="shared" si="108"/>
        <v>0</v>
      </c>
      <c r="R620" s="88" t="e">
        <f>-IF(Tabla14[[#This Row],[DIAS HABILES O MORA]]&lt;0,(Tabla14[[#This Row],[VALOR PRESTAMO]]*Tabla14[[#This Row],[% INTERES ]]/30*U620))+Tabla14[[#This Row],[VALOR CUOTAS]]</f>
        <v>#VALUE!</v>
      </c>
      <c r="S620" s="88">
        <f>-IF(Tabla14[[#This Row],[DIAS HABILES O MORA]]&lt;0,(Tabla14[[#This Row],[VALOR PRESTAMO]]*Tabla14[[#This Row],[% INTERES ]]/30*U620))</f>
        <v>0</v>
      </c>
      <c r="T620" s="53" t="e">
        <f>Tabla14[[#This Row],[DEUDA CAPITAL]]+Tabla14[[#This Row],[INTERES  CUOTA]]</f>
        <v>#NUM!</v>
      </c>
      <c r="U620" s="61" t="str">
        <f t="shared" si="109"/>
        <v/>
      </c>
    </row>
    <row r="621" spans="9:21" ht="24.75" customHeight="1" x14ac:dyDescent="0.35">
      <c r="I621" s="42">
        <f t="shared" si="100"/>
        <v>0</v>
      </c>
      <c r="J621" s="65" t="e">
        <f t="shared" si="101"/>
        <v>#NUM!</v>
      </c>
      <c r="K621" s="83" t="e">
        <f t="shared" si="102"/>
        <v>#NUM!</v>
      </c>
      <c r="L621" s="83">
        <f t="shared" si="103"/>
        <v>0</v>
      </c>
      <c r="M621" s="110" t="str">
        <f t="shared" si="104"/>
        <v/>
      </c>
      <c r="N621" s="51" t="str">
        <f t="shared" si="105"/>
        <v/>
      </c>
      <c r="O621" s="52" t="str">
        <f t="shared" si="106"/>
        <v/>
      </c>
      <c r="P621" s="88">
        <f t="shared" si="107"/>
        <v>0</v>
      </c>
      <c r="Q621" s="88">
        <f t="shared" si="108"/>
        <v>0</v>
      </c>
      <c r="R621" s="88" t="e">
        <f>-IF(Tabla14[[#This Row],[DIAS HABILES O MORA]]&lt;0,(Tabla14[[#This Row],[VALOR PRESTAMO]]*Tabla14[[#This Row],[% INTERES ]]/30*U621))+Tabla14[[#This Row],[VALOR CUOTAS]]</f>
        <v>#VALUE!</v>
      </c>
      <c r="S621" s="88">
        <f>-IF(Tabla14[[#This Row],[DIAS HABILES O MORA]]&lt;0,(Tabla14[[#This Row],[VALOR PRESTAMO]]*Tabla14[[#This Row],[% INTERES ]]/30*U621))</f>
        <v>0</v>
      </c>
      <c r="T621" s="53" t="e">
        <f>Tabla14[[#This Row],[DEUDA CAPITAL]]+Tabla14[[#This Row],[INTERES  CUOTA]]</f>
        <v>#NUM!</v>
      </c>
      <c r="U621" s="61" t="str">
        <f t="shared" si="109"/>
        <v/>
      </c>
    </row>
    <row r="622" spans="9:21" ht="24.75" customHeight="1" x14ac:dyDescent="0.35">
      <c r="I622" s="42">
        <f t="shared" si="100"/>
        <v>0</v>
      </c>
      <c r="J622" s="65" t="e">
        <f t="shared" si="101"/>
        <v>#NUM!</v>
      </c>
      <c r="K622" s="83" t="e">
        <f t="shared" si="102"/>
        <v>#NUM!</v>
      </c>
      <c r="L622" s="83">
        <f t="shared" si="103"/>
        <v>0</v>
      </c>
      <c r="M622" s="110" t="str">
        <f t="shared" si="104"/>
        <v/>
      </c>
      <c r="N622" s="51" t="str">
        <f t="shared" si="105"/>
        <v/>
      </c>
      <c r="O622" s="52" t="str">
        <f t="shared" si="106"/>
        <v/>
      </c>
      <c r="P622" s="88">
        <f t="shared" si="107"/>
        <v>0</v>
      </c>
      <c r="Q622" s="88">
        <f t="shared" si="108"/>
        <v>0</v>
      </c>
      <c r="R622" s="88" t="e">
        <f>-IF(Tabla14[[#This Row],[DIAS HABILES O MORA]]&lt;0,(Tabla14[[#This Row],[VALOR PRESTAMO]]*Tabla14[[#This Row],[% INTERES ]]/30*U622))+Tabla14[[#This Row],[VALOR CUOTAS]]</f>
        <v>#VALUE!</v>
      </c>
      <c r="S622" s="88">
        <f>-IF(Tabla14[[#This Row],[DIAS HABILES O MORA]]&lt;0,(Tabla14[[#This Row],[VALOR PRESTAMO]]*Tabla14[[#This Row],[% INTERES ]]/30*U622))</f>
        <v>0</v>
      </c>
      <c r="T622" s="53" t="e">
        <f>Tabla14[[#This Row],[DEUDA CAPITAL]]+Tabla14[[#This Row],[INTERES  CUOTA]]</f>
        <v>#NUM!</v>
      </c>
      <c r="U622" s="61" t="str">
        <f t="shared" si="109"/>
        <v/>
      </c>
    </row>
    <row r="623" spans="9:21" ht="24.75" customHeight="1" x14ac:dyDescent="0.35">
      <c r="I623" s="42">
        <f t="shared" si="100"/>
        <v>0</v>
      </c>
      <c r="J623" s="65" t="e">
        <f t="shared" si="101"/>
        <v>#NUM!</v>
      </c>
      <c r="K623" s="83" t="e">
        <f t="shared" si="102"/>
        <v>#NUM!</v>
      </c>
      <c r="L623" s="83">
        <f t="shared" si="103"/>
        <v>0</v>
      </c>
      <c r="M623" s="110" t="str">
        <f t="shared" si="104"/>
        <v/>
      </c>
      <c r="N623" s="51" t="str">
        <f t="shared" si="105"/>
        <v/>
      </c>
      <c r="O623" s="52" t="str">
        <f t="shared" si="106"/>
        <v/>
      </c>
      <c r="P623" s="88">
        <f t="shared" si="107"/>
        <v>0</v>
      </c>
      <c r="Q623" s="88">
        <f t="shared" si="108"/>
        <v>0</v>
      </c>
      <c r="R623" s="88" t="e">
        <f>-IF(Tabla14[[#This Row],[DIAS HABILES O MORA]]&lt;0,(Tabla14[[#This Row],[VALOR PRESTAMO]]*Tabla14[[#This Row],[% INTERES ]]/30*U623))+Tabla14[[#This Row],[VALOR CUOTAS]]</f>
        <v>#VALUE!</v>
      </c>
      <c r="S623" s="88">
        <f>-IF(Tabla14[[#This Row],[DIAS HABILES O MORA]]&lt;0,(Tabla14[[#This Row],[VALOR PRESTAMO]]*Tabla14[[#This Row],[% INTERES ]]/30*U623))</f>
        <v>0</v>
      </c>
      <c r="T623" s="53" t="e">
        <f>Tabla14[[#This Row],[DEUDA CAPITAL]]+Tabla14[[#This Row],[INTERES  CUOTA]]</f>
        <v>#NUM!</v>
      </c>
      <c r="U623" s="61" t="str">
        <f t="shared" si="109"/>
        <v/>
      </c>
    </row>
    <row r="624" spans="9:21" ht="24.75" customHeight="1" x14ac:dyDescent="0.35">
      <c r="I624" s="42">
        <f t="shared" si="100"/>
        <v>0</v>
      </c>
      <c r="J624" s="65" t="e">
        <f t="shared" si="101"/>
        <v>#NUM!</v>
      </c>
      <c r="K624" s="83" t="e">
        <f t="shared" si="102"/>
        <v>#NUM!</v>
      </c>
      <c r="L624" s="83">
        <f t="shared" si="103"/>
        <v>0</v>
      </c>
      <c r="M624" s="110" t="str">
        <f t="shared" si="104"/>
        <v/>
      </c>
      <c r="N624" s="51" t="str">
        <f t="shared" si="105"/>
        <v/>
      </c>
      <c r="O624" s="52" t="str">
        <f t="shared" si="106"/>
        <v/>
      </c>
      <c r="P624" s="88">
        <f t="shared" si="107"/>
        <v>0</v>
      </c>
      <c r="Q624" s="88">
        <f t="shared" si="108"/>
        <v>0</v>
      </c>
      <c r="R624" s="88" t="e">
        <f>-IF(Tabla14[[#This Row],[DIAS HABILES O MORA]]&lt;0,(Tabla14[[#This Row],[VALOR PRESTAMO]]*Tabla14[[#This Row],[% INTERES ]]/30*U624))+Tabla14[[#This Row],[VALOR CUOTAS]]</f>
        <v>#VALUE!</v>
      </c>
      <c r="S624" s="88">
        <f>-IF(Tabla14[[#This Row],[DIAS HABILES O MORA]]&lt;0,(Tabla14[[#This Row],[VALOR PRESTAMO]]*Tabla14[[#This Row],[% INTERES ]]/30*U624))</f>
        <v>0</v>
      </c>
      <c r="T624" s="53" t="e">
        <f>Tabla14[[#This Row],[DEUDA CAPITAL]]+Tabla14[[#This Row],[INTERES  CUOTA]]</f>
        <v>#NUM!</v>
      </c>
      <c r="U624" s="61" t="str">
        <f t="shared" si="109"/>
        <v/>
      </c>
    </row>
    <row r="625" spans="9:21" ht="24.75" customHeight="1" x14ac:dyDescent="0.35">
      <c r="I625" s="42">
        <f t="shared" si="100"/>
        <v>0</v>
      </c>
      <c r="J625" s="65" t="e">
        <f t="shared" si="101"/>
        <v>#NUM!</v>
      </c>
      <c r="K625" s="83" t="e">
        <f t="shared" si="102"/>
        <v>#NUM!</v>
      </c>
      <c r="L625" s="83">
        <f t="shared" si="103"/>
        <v>0</v>
      </c>
      <c r="M625" s="110" t="str">
        <f t="shared" si="104"/>
        <v/>
      </c>
      <c r="N625" s="51" t="str">
        <f t="shared" si="105"/>
        <v/>
      </c>
      <c r="O625" s="52" t="str">
        <f t="shared" si="106"/>
        <v/>
      </c>
      <c r="P625" s="88">
        <f t="shared" si="107"/>
        <v>0</v>
      </c>
      <c r="Q625" s="88">
        <f t="shared" si="108"/>
        <v>0</v>
      </c>
      <c r="R625" s="88" t="e">
        <f>-IF(Tabla14[[#This Row],[DIAS HABILES O MORA]]&lt;0,(Tabla14[[#This Row],[VALOR PRESTAMO]]*Tabla14[[#This Row],[% INTERES ]]/30*U625))+Tabla14[[#This Row],[VALOR CUOTAS]]</f>
        <v>#VALUE!</v>
      </c>
      <c r="S625" s="88">
        <f>-IF(Tabla14[[#This Row],[DIAS HABILES O MORA]]&lt;0,(Tabla14[[#This Row],[VALOR PRESTAMO]]*Tabla14[[#This Row],[% INTERES ]]/30*U625))</f>
        <v>0</v>
      </c>
      <c r="T625" s="53" t="e">
        <f>Tabla14[[#This Row],[DEUDA CAPITAL]]+Tabla14[[#This Row],[INTERES  CUOTA]]</f>
        <v>#NUM!</v>
      </c>
      <c r="U625" s="61" t="str">
        <f t="shared" si="109"/>
        <v/>
      </c>
    </row>
    <row r="626" spans="9:21" ht="24.75" customHeight="1" x14ac:dyDescent="0.35">
      <c r="I626" s="42">
        <f t="shared" si="100"/>
        <v>0</v>
      </c>
      <c r="J626" s="65" t="e">
        <f t="shared" si="101"/>
        <v>#NUM!</v>
      </c>
      <c r="K626" s="83" t="e">
        <f t="shared" si="102"/>
        <v>#NUM!</v>
      </c>
      <c r="L626" s="83">
        <f t="shared" si="103"/>
        <v>0</v>
      </c>
      <c r="M626" s="110" t="str">
        <f t="shared" si="104"/>
        <v/>
      </c>
      <c r="N626" s="51" t="str">
        <f t="shared" si="105"/>
        <v/>
      </c>
      <c r="O626" s="52" t="str">
        <f t="shared" si="106"/>
        <v/>
      </c>
      <c r="P626" s="88">
        <f t="shared" si="107"/>
        <v>0</v>
      </c>
      <c r="Q626" s="88">
        <f t="shared" si="108"/>
        <v>0</v>
      </c>
      <c r="R626" s="88" t="e">
        <f>-IF(Tabla14[[#This Row],[DIAS HABILES O MORA]]&lt;0,(Tabla14[[#This Row],[VALOR PRESTAMO]]*Tabla14[[#This Row],[% INTERES ]]/30*U626))+Tabla14[[#This Row],[VALOR CUOTAS]]</f>
        <v>#VALUE!</v>
      </c>
      <c r="S626" s="88">
        <f>-IF(Tabla14[[#This Row],[DIAS HABILES O MORA]]&lt;0,(Tabla14[[#This Row],[VALOR PRESTAMO]]*Tabla14[[#This Row],[% INTERES ]]/30*U626))</f>
        <v>0</v>
      </c>
      <c r="T626" s="53" t="e">
        <f>Tabla14[[#This Row],[DEUDA CAPITAL]]+Tabla14[[#This Row],[INTERES  CUOTA]]</f>
        <v>#NUM!</v>
      </c>
      <c r="U626" s="61" t="str">
        <f t="shared" si="109"/>
        <v/>
      </c>
    </row>
    <row r="627" spans="9:21" ht="24.75" customHeight="1" x14ac:dyDescent="0.35">
      <c r="I627" s="42">
        <f t="shared" si="100"/>
        <v>0</v>
      </c>
      <c r="J627" s="65" t="e">
        <f t="shared" si="101"/>
        <v>#NUM!</v>
      </c>
      <c r="K627" s="83" t="e">
        <f t="shared" si="102"/>
        <v>#NUM!</v>
      </c>
      <c r="L627" s="83">
        <f t="shared" si="103"/>
        <v>0</v>
      </c>
      <c r="M627" s="110" t="str">
        <f t="shared" si="104"/>
        <v/>
      </c>
      <c r="N627" s="51" t="str">
        <f t="shared" si="105"/>
        <v/>
      </c>
      <c r="O627" s="52" t="str">
        <f t="shared" si="106"/>
        <v/>
      </c>
      <c r="P627" s="88">
        <f t="shared" si="107"/>
        <v>0</v>
      </c>
      <c r="Q627" s="88">
        <f t="shared" si="108"/>
        <v>0</v>
      </c>
      <c r="R627" s="88" t="e">
        <f>-IF(Tabla14[[#This Row],[DIAS HABILES O MORA]]&lt;0,(Tabla14[[#This Row],[VALOR PRESTAMO]]*Tabla14[[#This Row],[% INTERES ]]/30*U627))+Tabla14[[#This Row],[VALOR CUOTAS]]</f>
        <v>#VALUE!</v>
      </c>
      <c r="S627" s="88">
        <f>-IF(Tabla14[[#This Row],[DIAS HABILES O MORA]]&lt;0,(Tabla14[[#This Row],[VALOR PRESTAMO]]*Tabla14[[#This Row],[% INTERES ]]/30*U627))</f>
        <v>0</v>
      </c>
      <c r="T627" s="53" t="e">
        <f>Tabla14[[#This Row],[DEUDA CAPITAL]]+Tabla14[[#This Row],[INTERES  CUOTA]]</f>
        <v>#NUM!</v>
      </c>
      <c r="U627" s="61" t="str">
        <f t="shared" si="109"/>
        <v/>
      </c>
    </row>
    <row r="628" spans="9:21" ht="24.75" customHeight="1" x14ac:dyDescent="0.35">
      <c r="I628" s="42">
        <f t="shared" si="100"/>
        <v>0</v>
      </c>
      <c r="J628" s="65" t="e">
        <f t="shared" si="101"/>
        <v>#NUM!</v>
      </c>
      <c r="K628" s="83" t="e">
        <f t="shared" si="102"/>
        <v>#NUM!</v>
      </c>
      <c r="L628" s="83">
        <f t="shared" si="103"/>
        <v>0</v>
      </c>
      <c r="M628" s="110" t="str">
        <f t="shared" si="104"/>
        <v/>
      </c>
      <c r="N628" s="51" t="str">
        <f t="shared" si="105"/>
        <v/>
      </c>
      <c r="O628" s="52" t="str">
        <f t="shared" si="106"/>
        <v/>
      </c>
      <c r="P628" s="88">
        <f t="shared" si="107"/>
        <v>0</v>
      </c>
      <c r="Q628" s="88">
        <f t="shared" si="108"/>
        <v>0</v>
      </c>
      <c r="R628" s="88" t="e">
        <f>-IF(Tabla14[[#This Row],[DIAS HABILES O MORA]]&lt;0,(Tabla14[[#This Row],[VALOR PRESTAMO]]*Tabla14[[#This Row],[% INTERES ]]/30*U628))+Tabla14[[#This Row],[VALOR CUOTAS]]</f>
        <v>#VALUE!</v>
      </c>
      <c r="S628" s="88">
        <f>-IF(Tabla14[[#This Row],[DIAS HABILES O MORA]]&lt;0,(Tabla14[[#This Row],[VALOR PRESTAMO]]*Tabla14[[#This Row],[% INTERES ]]/30*U628))</f>
        <v>0</v>
      </c>
      <c r="T628" s="53" t="e">
        <f>Tabla14[[#This Row],[DEUDA CAPITAL]]+Tabla14[[#This Row],[INTERES  CUOTA]]</f>
        <v>#NUM!</v>
      </c>
      <c r="U628" s="61" t="str">
        <f t="shared" si="109"/>
        <v/>
      </c>
    </row>
    <row r="629" spans="9:21" ht="24.75" customHeight="1" x14ac:dyDescent="0.35">
      <c r="I629" s="42">
        <f t="shared" si="100"/>
        <v>0</v>
      </c>
      <c r="J629" s="65" t="e">
        <f t="shared" si="101"/>
        <v>#NUM!</v>
      </c>
      <c r="K629" s="83" t="e">
        <f t="shared" si="102"/>
        <v>#NUM!</v>
      </c>
      <c r="L629" s="83">
        <f t="shared" si="103"/>
        <v>0</v>
      </c>
      <c r="M629" s="110" t="str">
        <f t="shared" si="104"/>
        <v/>
      </c>
      <c r="N629" s="51" t="str">
        <f t="shared" si="105"/>
        <v/>
      </c>
      <c r="O629" s="52" t="str">
        <f t="shared" si="106"/>
        <v/>
      </c>
      <c r="P629" s="88">
        <f t="shared" si="107"/>
        <v>0</v>
      </c>
      <c r="Q629" s="88">
        <f t="shared" si="108"/>
        <v>0</v>
      </c>
      <c r="R629" s="88" t="e">
        <f>-IF(Tabla14[[#This Row],[DIAS HABILES O MORA]]&lt;0,(Tabla14[[#This Row],[VALOR PRESTAMO]]*Tabla14[[#This Row],[% INTERES ]]/30*U629))+Tabla14[[#This Row],[VALOR CUOTAS]]</f>
        <v>#VALUE!</v>
      </c>
      <c r="S629" s="88">
        <f>-IF(Tabla14[[#This Row],[DIAS HABILES O MORA]]&lt;0,(Tabla14[[#This Row],[VALOR PRESTAMO]]*Tabla14[[#This Row],[% INTERES ]]/30*U629))</f>
        <v>0</v>
      </c>
      <c r="T629" s="53" t="e">
        <f>Tabla14[[#This Row],[DEUDA CAPITAL]]+Tabla14[[#This Row],[INTERES  CUOTA]]</f>
        <v>#NUM!</v>
      </c>
      <c r="U629" s="61" t="str">
        <f t="shared" si="109"/>
        <v/>
      </c>
    </row>
    <row r="630" spans="9:21" ht="24.75" customHeight="1" x14ac:dyDescent="0.35">
      <c r="I630" s="42">
        <f t="shared" si="100"/>
        <v>0</v>
      </c>
      <c r="J630" s="65" t="e">
        <f t="shared" si="101"/>
        <v>#NUM!</v>
      </c>
      <c r="K630" s="83" t="e">
        <f t="shared" si="102"/>
        <v>#NUM!</v>
      </c>
      <c r="L630" s="83">
        <f t="shared" si="103"/>
        <v>0</v>
      </c>
      <c r="M630" s="110" t="str">
        <f t="shared" si="104"/>
        <v/>
      </c>
      <c r="N630" s="51" t="str">
        <f t="shared" si="105"/>
        <v/>
      </c>
      <c r="O630" s="52" t="str">
        <f t="shared" si="106"/>
        <v/>
      </c>
      <c r="P630" s="88">
        <f t="shared" si="107"/>
        <v>0</v>
      </c>
      <c r="Q630" s="88">
        <f t="shared" si="108"/>
        <v>0</v>
      </c>
      <c r="R630" s="88" t="e">
        <f>-IF(Tabla14[[#This Row],[DIAS HABILES O MORA]]&lt;0,(Tabla14[[#This Row],[VALOR PRESTAMO]]*Tabla14[[#This Row],[% INTERES ]]/30*U630))+Tabla14[[#This Row],[VALOR CUOTAS]]</f>
        <v>#VALUE!</v>
      </c>
      <c r="S630" s="88">
        <f>-IF(Tabla14[[#This Row],[DIAS HABILES O MORA]]&lt;0,(Tabla14[[#This Row],[VALOR PRESTAMO]]*Tabla14[[#This Row],[% INTERES ]]/30*U630))</f>
        <v>0</v>
      </c>
      <c r="T630" s="53" t="e">
        <f>Tabla14[[#This Row],[DEUDA CAPITAL]]+Tabla14[[#This Row],[INTERES  CUOTA]]</f>
        <v>#NUM!</v>
      </c>
      <c r="U630" s="61" t="str">
        <f t="shared" si="109"/>
        <v/>
      </c>
    </row>
    <row r="631" spans="9:21" ht="24.75" customHeight="1" x14ac:dyDescent="0.35">
      <c r="I631" s="42">
        <f t="shared" si="100"/>
        <v>0</v>
      </c>
      <c r="J631" s="65" t="e">
        <f t="shared" si="101"/>
        <v>#NUM!</v>
      </c>
      <c r="K631" s="83" t="e">
        <f t="shared" si="102"/>
        <v>#NUM!</v>
      </c>
      <c r="L631" s="83">
        <f t="shared" si="103"/>
        <v>0</v>
      </c>
      <c r="M631" s="110" t="str">
        <f t="shared" si="104"/>
        <v/>
      </c>
      <c r="N631" s="51" t="str">
        <f t="shared" si="105"/>
        <v/>
      </c>
      <c r="O631" s="52" t="str">
        <f t="shared" si="106"/>
        <v/>
      </c>
      <c r="P631" s="88">
        <f t="shared" si="107"/>
        <v>0</v>
      </c>
      <c r="Q631" s="88">
        <f t="shared" si="108"/>
        <v>0</v>
      </c>
      <c r="R631" s="88" t="e">
        <f>-IF(Tabla14[[#This Row],[DIAS HABILES O MORA]]&lt;0,(Tabla14[[#This Row],[VALOR PRESTAMO]]*Tabla14[[#This Row],[% INTERES ]]/30*U631))+Tabla14[[#This Row],[VALOR CUOTAS]]</f>
        <v>#VALUE!</v>
      </c>
      <c r="S631" s="88">
        <f>-IF(Tabla14[[#This Row],[DIAS HABILES O MORA]]&lt;0,(Tabla14[[#This Row],[VALOR PRESTAMO]]*Tabla14[[#This Row],[% INTERES ]]/30*U631))</f>
        <v>0</v>
      </c>
      <c r="T631" s="53" t="e">
        <f>Tabla14[[#This Row],[DEUDA CAPITAL]]+Tabla14[[#This Row],[INTERES  CUOTA]]</f>
        <v>#NUM!</v>
      </c>
      <c r="U631" s="61" t="str">
        <f t="shared" si="109"/>
        <v/>
      </c>
    </row>
    <row r="632" spans="9:21" ht="24.75" customHeight="1" x14ac:dyDescent="0.35">
      <c r="I632" s="42">
        <f t="shared" si="100"/>
        <v>0</v>
      </c>
      <c r="J632" s="65" t="e">
        <f t="shared" si="101"/>
        <v>#NUM!</v>
      </c>
      <c r="K632" s="83" t="e">
        <f t="shared" si="102"/>
        <v>#NUM!</v>
      </c>
      <c r="L632" s="83">
        <f t="shared" si="103"/>
        <v>0</v>
      </c>
      <c r="M632" s="110" t="str">
        <f t="shared" si="104"/>
        <v/>
      </c>
      <c r="N632" s="51" t="str">
        <f t="shared" si="105"/>
        <v/>
      </c>
      <c r="O632" s="52" t="str">
        <f t="shared" si="106"/>
        <v/>
      </c>
      <c r="P632" s="88">
        <f t="shared" si="107"/>
        <v>0</v>
      </c>
      <c r="Q632" s="88">
        <f t="shared" si="108"/>
        <v>0</v>
      </c>
      <c r="R632" s="88" t="e">
        <f>-IF(Tabla14[[#This Row],[DIAS HABILES O MORA]]&lt;0,(Tabla14[[#This Row],[VALOR PRESTAMO]]*Tabla14[[#This Row],[% INTERES ]]/30*U632))+Tabla14[[#This Row],[VALOR CUOTAS]]</f>
        <v>#VALUE!</v>
      </c>
      <c r="S632" s="88">
        <f>-IF(Tabla14[[#This Row],[DIAS HABILES O MORA]]&lt;0,(Tabla14[[#This Row],[VALOR PRESTAMO]]*Tabla14[[#This Row],[% INTERES ]]/30*U632))</f>
        <v>0</v>
      </c>
      <c r="T632" s="53" t="e">
        <f>Tabla14[[#This Row],[DEUDA CAPITAL]]+Tabla14[[#This Row],[INTERES  CUOTA]]</f>
        <v>#NUM!</v>
      </c>
      <c r="U632" s="61" t="str">
        <f t="shared" si="109"/>
        <v/>
      </c>
    </row>
    <row r="633" spans="9:21" ht="24.75" customHeight="1" x14ac:dyDescent="0.35">
      <c r="I633" s="42">
        <f t="shared" si="100"/>
        <v>0</v>
      </c>
      <c r="J633" s="65" t="e">
        <f t="shared" si="101"/>
        <v>#NUM!</v>
      </c>
      <c r="K633" s="83" t="e">
        <f t="shared" si="102"/>
        <v>#NUM!</v>
      </c>
      <c r="L633" s="83">
        <f t="shared" si="103"/>
        <v>0</v>
      </c>
      <c r="M633" s="110" t="str">
        <f t="shared" si="104"/>
        <v/>
      </c>
      <c r="N633" s="51" t="str">
        <f t="shared" si="105"/>
        <v/>
      </c>
      <c r="O633" s="52" t="str">
        <f t="shared" si="106"/>
        <v/>
      </c>
      <c r="P633" s="88">
        <f t="shared" si="107"/>
        <v>0</v>
      </c>
      <c r="Q633" s="88">
        <f t="shared" si="108"/>
        <v>0</v>
      </c>
      <c r="R633" s="88" t="e">
        <f>-IF(Tabla14[[#This Row],[DIAS HABILES O MORA]]&lt;0,(Tabla14[[#This Row],[VALOR PRESTAMO]]*Tabla14[[#This Row],[% INTERES ]]/30*U633))+Tabla14[[#This Row],[VALOR CUOTAS]]</f>
        <v>#VALUE!</v>
      </c>
      <c r="S633" s="88">
        <f>-IF(Tabla14[[#This Row],[DIAS HABILES O MORA]]&lt;0,(Tabla14[[#This Row],[VALOR PRESTAMO]]*Tabla14[[#This Row],[% INTERES ]]/30*U633))</f>
        <v>0</v>
      </c>
      <c r="T633" s="53" t="e">
        <f>Tabla14[[#This Row],[DEUDA CAPITAL]]+Tabla14[[#This Row],[INTERES  CUOTA]]</f>
        <v>#NUM!</v>
      </c>
      <c r="U633" s="61" t="str">
        <f t="shared" si="109"/>
        <v/>
      </c>
    </row>
    <row r="634" spans="9:21" ht="24.75" customHeight="1" x14ac:dyDescent="0.35">
      <c r="I634" s="42">
        <f t="shared" si="100"/>
        <v>0</v>
      </c>
      <c r="J634" s="65" t="e">
        <f t="shared" si="101"/>
        <v>#NUM!</v>
      </c>
      <c r="K634" s="83" t="e">
        <f t="shared" si="102"/>
        <v>#NUM!</v>
      </c>
      <c r="L634" s="83">
        <f t="shared" si="103"/>
        <v>0</v>
      </c>
      <c r="M634" s="110" t="str">
        <f t="shared" si="104"/>
        <v/>
      </c>
      <c r="N634" s="51" t="str">
        <f t="shared" si="105"/>
        <v/>
      </c>
      <c r="O634" s="52" t="str">
        <f t="shared" si="106"/>
        <v/>
      </c>
      <c r="P634" s="88">
        <f t="shared" si="107"/>
        <v>0</v>
      </c>
      <c r="Q634" s="88">
        <f t="shared" si="108"/>
        <v>0</v>
      </c>
      <c r="R634" s="88" t="e">
        <f>-IF(Tabla14[[#This Row],[DIAS HABILES O MORA]]&lt;0,(Tabla14[[#This Row],[VALOR PRESTAMO]]*Tabla14[[#This Row],[% INTERES ]]/30*U634))+Tabla14[[#This Row],[VALOR CUOTAS]]</f>
        <v>#VALUE!</v>
      </c>
      <c r="S634" s="88">
        <f>-IF(Tabla14[[#This Row],[DIAS HABILES O MORA]]&lt;0,(Tabla14[[#This Row],[VALOR PRESTAMO]]*Tabla14[[#This Row],[% INTERES ]]/30*U634))</f>
        <v>0</v>
      </c>
      <c r="T634" s="53" t="e">
        <f>Tabla14[[#This Row],[DEUDA CAPITAL]]+Tabla14[[#This Row],[INTERES  CUOTA]]</f>
        <v>#NUM!</v>
      </c>
      <c r="U634" s="61" t="str">
        <f t="shared" si="109"/>
        <v/>
      </c>
    </row>
    <row r="635" spans="9:21" ht="24.75" customHeight="1" x14ac:dyDescent="0.35">
      <c r="I635" s="42">
        <f t="shared" si="100"/>
        <v>0</v>
      </c>
      <c r="J635" s="65" t="e">
        <f t="shared" si="101"/>
        <v>#NUM!</v>
      </c>
      <c r="K635" s="83" t="e">
        <f t="shared" si="102"/>
        <v>#NUM!</v>
      </c>
      <c r="L635" s="83">
        <f t="shared" si="103"/>
        <v>0</v>
      </c>
      <c r="M635" s="110" t="str">
        <f t="shared" si="104"/>
        <v/>
      </c>
      <c r="N635" s="51" t="str">
        <f t="shared" si="105"/>
        <v/>
      </c>
      <c r="O635" s="52" t="str">
        <f t="shared" si="106"/>
        <v/>
      </c>
      <c r="P635" s="88">
        <f t="shared" si="107"/>
        <v>0</v>
      </c>
      <c r="Q635" s="88">
        <f t="shared" si="108"/>
        <v>0</v>
      </c>
      <c r="R635" s="88" t="e">
        <f>-IF(Tabla14[[#This Row],[DIAS HABILES O MORA]]&lt;0,(Tabla14[[#This Row],[VALOR PRESTAMO]]*Tabla14[[#This Row],[% INTERES ]]/30*U635))+Tabla14[[#This Row],[VALOR CUOTAS]]</f>
        <v>#VALUE!</v>
      </c>
      <c r="S635" s="88">
        <f>-IF(Tabla14[[#This Row],[DIAS HABILES O MORA]]&lt;0,(Tabla14[[#This Row],[VALOR PRESTAMO]]*Tabla14[[#This Row],[% INTERES ]]/30*U635))</f>
        <v>0</v>
      </c>
      <c r="T635" s="53" t="e">
        <f>Tabla14[[#This Row],[DEUDA CAPITAL]]+Tabla14[[#This Row],[INTERES  CUOTA]]</f>
        <v>#NUM!</v>
      </c>
      <c r="U635" s="61" t="str">
        <f t="shared" si="109"/>
        <v/>
      </c>
    </row>
    <row r="636" spans="9:21" ht="24.75" customHeight="1" x14ac:dyDescent="0.35">
      <c r="I636" s="42">
        <f t="shared" si="100"/>
        <v>0</v>
      </c>
      <c r="J636" s="65" t="e">
        <f t="shared" si="101"/>
        <v>#NUM!</v>
      </c>
      <c r="K636" s="83" t="e">
        <f t="shared" si="102"/>
        <v>#NUM!</v>
      </c>
      <c r="L636" s="83">
        <f t="shared" si="103"/>
        <v>0</v>
      </c>
      <c r="M636" s="110" t="str">
        <f t="shared" si="104"/>
        <v/>
      </c>
      <c r="N636" s="51" t="str">
        <f t="shared" si="105"/>
        <v/>
      </c>
      <c r="O636" s="52" t="str">
        <f t="shared" si="106"/>
        <v/>
      </c>
      <c r="P636" s="88">
        <f t="shared" si="107"/>
        <v>0</v>
      </c>
      <c r="Q636" s="88">
        <f t="shared" si="108"/>
        <v>0</v>
      </c>
      <c r="R636" s="88" t="e">
        <f>-IF(Tabla14[[#This Row],[DIAS HABILES O MORA]]&lt;0,(Tabla14[[#This Row],[VALOR PRESTAMO]]*Tabla14[[#This Row],[% INTERES ]]/30*U636))+Tabla14[[#This Row],[VALOR CUOTAS]]</f>
        <v>#VALUE!</v>
      </c>
      <c r="S636" s="88">
        <f>-IF(Tabla14[[#This Row],[DIAS HABILES O MORA]]&lt;0,(Tabla14[[#This Row],[VALOR PRESTAMO]]*Tabla14[[#This Row],[% INTERES ]]/30*U636))</f>
        <v>0</v>
      </c>
      <c r="T636" s="53" t="e">
        <f>Tabla14[[#This Row],[DEUDA CAPITAL]]+Tabla14[[#This Row],[INTERES  CUOTA]]</f>
        <v>#NUM!</v>
      </c>
      <c r="U636" s="61" t="str">
        <f t="shared" si="109"/>
        <v/>
      </c>
    </row>
    <row r="637" spans="9:21" ht="24.75" customHeight="1" x14ac:dyDescent="0.35">
      <c r="I637" s="42">
        <f t="shared" si="100"/>
        <v>0</v>
      </c>
      <c r="J637" s="65" t="e">
        <f t="shared" si="101"/>
        <v>#NUM!</v>
      </c>
      <c r="K637" s="83" t="e">
        <f t="shared" si="102"/>
        <v>#NUM!</v>
      </c>
      <c r="L637" s="83">
        <f t="shared" si="103"/>
        <v>0</v>
      </c>
      <c r="M637" s="110" t="str">
        <f t="shared" si="104"/>
        <v/>
      </c>
      <c r="N637" s="51" t="str">
        <f t="shared" si="105"/>
        <v/>
      </c>
      <c r="O637" s="52" t="str">
        <f t="shared" si="106"/>
        <v/>
      </c>
      <c r="P637" s="88">
        <f t="shared" si="107"/>
        <v>0</v>
      </c>
      <c r="Q637" s="88">
        <f t="shared" si="108"/>
        <v>0</v>
      </c>
      <c r="R637" s="88" t="e">
        <f>-IF(Tabla14[[#This Row],[DIAS HABILES O MORA]]&lt;0,(Tabla14[[#This Row],[VALOR PRESTAMO]]*Tabla14[[#This Row],[% INTERES ]]/30*U637))+Tabla14[[#This Row],[VALOR CUOTAS]]</f>
        <v>#VALUE!</v>
      </c>
      <c r="S637" s="88">
        <f>-IF(Tabla14[[#This Row],[DIAS HABILES O MORA]]&lt;0,(Tabla14[[#This Row],[VALOR PRESTAMO]]*Tabla14[[#This Row],[% INTERES ]]/30*U637))</f>
        <v>0</v>
      </c>
      <c r="T637" s="53" t="e">
        <f>Tabla14[[#This Row],[DEUDA CAPITAL]]+Tabla14[[#This Row],[INTERES  CUOTA]]</f>
        <v>#NUM!</v>
      </c>
      <c r="U637" s="61" t="str">
        <f t="shared" si="109"/>
        <v/>
      </c>
    </row>
    <row r="638" spans="9:21" ht="24.75" customHeight="1" x14ac:dyDescent="0.35">
      <c r="I638" s="42">
        <f t="shared" si="100"/>
        <v>0</v>
      </c>
      <c r="J638" s="65" t="e">
        <f t="shared" si="101"/>
        <v>#NUM!</v>
      </c>
      <c r="K638" s="83" t="e">
        <f t="shared" si="102"/>
        <v>#NUM!</v>
      </c>
      <c r="L638" s="83">
        <f t="shared" si="103"/>
        <v>0</v>
      </c>
      <c r="M638" s="110" t="str">
        <f t="shared" si="104"/>
        <v/>
      </c>
      <c r="N638" s="51" t="str">
        <f t="shared" si="105"/>
        <v/>
      </c>
      <c r="O638" s="52" t="str">
        <f t="shared" si="106"/>
        <v/>
      </c>
      <c r="P638" s="88">
        <f t="shared" si="107"/>
        <v>0</v>
      </c>
      <c r="Q638" s="88">
        <f t="shared" si="108"/>
        <v>0</v>
      </c>
      <c r="R638" s="88" t="e">
        <f>-IF(Tabla14[[#This Row],[DIAS HABILES O MORA]]&lt;0,(Tabla14[[#This Row],[VALOR PRESTAMO]]*Tabla14[[#This Row],[% INTERES ]]/30*U638))+Tabla14[[#This Row],[VALOR CUOTAS]]</f>
        <v>#VALUE!</v>
      </c>
      <c r="S638" s="88">
        <f>-IF(Tabla14[[#This Row],[DIAS HABILES O MORA]]&lt;0,(Tabla14[[#This Row],[VALOR PRESTAMO]]*Tabla14[[#This Row],[% INTERES ]]/30*U638))</f>
        <v>0</v>
      </c>
      <c r="T638" s="53" t="e">
        <f>Tabla14[[#This Row],[DEUDA CAPITAL]]+Tabla14[[#This Row],[INTERES  CUOTA]]</f>
        <v>#NUM!</v>
      </c>
      <c r="U638" s="61" t="str">
        <f t="shared" si="109"/>
        <v/>
      </c>
    </row>
    <row r="639" spans="9:21" ht="24.75" customHeight="1" x14ac:dyDescent="0.35">
      <c r="I639" s="42">
        <f t="shared" si="100"/>
        <v>0</v>
      </c>
      <c r="J639" s="65" t="e">
        <f t="shared" si="101"/>
        <v>#NUM!</v>
      </c>
      <c r="K639" s="83" t="e">
        <f t="shared" si="102"/>
        <v>#NUM!</v>
      </c>
      <c r="L639" s="83">
        <f t="shared" si="103"/>
        <v>0</v>
      </c>
      <c r="M639" s="110" t="str">
        <f t="shared" si="104"/>
        <v/>
      </c>
      <c r="N639" s="51" t="str">
        <f t="shared" si="105"/>
        <v/>
      </c>
      <c r="O639" s="52" t="str">
        <f t="shared" si="106"/>
        <v/>
      </c>
      <c r="P639" s="88">
        <f t="shared" si="107"/>
        <v>0</v>
      </c>
      <c r="Q639" s="88">
        <f t="shared" si="108"/>
        <v>0</v>
      </c>
      <c r="R639" s="88" t="e">
        <f>-IF(Tabla14[[#This Row],[DIAS HABILES O MORA]]&lt;0,(Tabla14[[#This Row],[VALOR PRESTAMO]]*Tabla14[[#This Row],[% INTERES ]]/30*U639))+Tabla14[[#This Row],[VALOR CUOTAS]]</f>
        <v>#VALUE!</v>
      </c>
      <c r="S639" s="88">
        <f>-IF(Tabla14[[#This Row],[DIAS HABILES O MORA]]&lt;0,(Tabla14[[#This Row],[VALOR PRESTAMO]]*Tabla14[[#This Row],[% INTERES ]]/30*U639))</f>
        <v>0</v>
      </c>
      <c r="T639" s="53" t="e">
        <f>Tabla14[[#This Row],[DEUDA CAPITAL]]+Tabla14[[#This Row],[INTERES  CUOTA]]</f>
        <v>#NUM!</v>
      </c>
      <c r="U639" s="61" t="str">
        <f t="shared" si="109"/>
        <v/>
      </c>
    </row>
    <row r="640" spans="9:21" ht="24.75" customHeight="1" x14ac:dyDescent="0.35">
      <c r="I640" s="42">
        <f t="shared" si="100"/>
        <v>0</v>
      </c>
      <c r="J640" s="65" t="e">
        <f t="shared" si="101"/>
        <v>#NUM!</v>
      </c>
      <c r="K640" s="83" t="e">
        <f t="shared" si="102"/>
        <v>#NUM!</v>
      </c>
      <c r="L640" s="83">
        <f t="shared" si="103"/>
        <v>0</v>
      </c>
      <c r="M640" s="110" t="str">
        <f t="shared" si="104"/>
        <v/>
      </c>
      <c r="N640" s="51" t="str">
        <f t="shared" si="105"/>
        <v/>
      </c>
      <c r="O640" s="52" t="str">
        <f t="shared" si="106"/>
        <v/>
      </c>
      <c r="P640" s="88">
        <f t="shared" si="107"/>
        <v>0</v>
      </c>
      <c r="Q640" s="88">
        <f t="shared" si="108"/>
        <v>0</v>
      </c>
      <c r="R640" s="88" t="e">
        <f>-IF(Tabla14[[#This Row],[DIAS HABILES O MORA]]&lt;0,(Tabla14[[#This Row],[VALOR PRESTAMO]]*Tabla14[[#This Row],[% INTERES ]]/30*U640))+Tabla14[[#This Row],[VALOR CUOTAS]]</f>
        <v>#VALUE!</v>
      </c>
      <c r="S640" s="88">
        <f>-IF(Tabla14[[#This Row],[DIAS HABILES O MORA]]&lt;0,(Tabla14[[#This Row],[VALOR PRESTAMO]]*Tabla14[[#This Row],[% INTERES ]]/30*U640))</f>
        <v>0</v>
      </c>
      <c r="T640" s="53" t="e">
        <f>Tabla14[[#This Row],[DEUDA CAPITAL]]+Tabla14[[#This Row],[INTERES  CUOTA]]</f>
        <v>#NUM!</v>
      </c>
      <c r="U640" s="61" t="str">
        <f t="shared" si="109"/>
        <v/>
      </c>
    </row>
    <row r="641" spans="9:21" ht="24.75" customHeight="1" x14ac:dyDescent="0.35">
      <c r="I641" s="42">
        <f t="shared" si="100"/>
        <v>0</v>
      </c>
      <c r="J641" s="65" t="e">
        <f t="shared" si="101"/>
        <v>#NUM!</v>
      </c>
      <c r="K641" s="83" t="e">
        <f t="shared" si="102"/>
        <v>#NUM!</v>
      </c>
      <c r="L641" s="83">
        <f t="shared" si="103"/>
        <v>0</v>
      </c>
      <c r="M641" s="110" t="str">
        <f t="shared" si="104"/>
        <v/>
      </c>
      <c r="N641" s="51" t="str">
        <f t="shared" si="105"/>
        <v/>
      </c>
      <c r="O641" s="52" t="str">
        <f t="shared" si="106"/>
        <v/>
      </c>
      <c r="P641" s="88">
        <f t="shared" si="107"/>
        <v>0</v>
      </c>
      <c r="Q641" s="88">
        <f t="shared" si="108"/>
        <v>0</v>
      </c>
      <c r="R641" s="88" t="e">
        <f>-IF(Tabla14[[#This Row],[DIAS HABILES O MORA]]&lt;0,(Tabla14[[#This Row],[VALOR PRESTAMO]]*Tabla14[[#This Row],[% INTERES ]]/30*U641))+Tabla14[[#This Row],[VALOR CUOTAS]]</f>
        <v>#VALUE!</v>
      </c>
      <c r="S641" s="88">
        <f>-IF(Tabla14[[#This Row],[DIAS HABILES O MORA]]&lt;0,(Tabla14[[#This Row],[VALOR PRESTAMO]]*Tabla14[[#This Row],[% INTERES ]]/30*U641))</f>
        <v>0</v>
      </c>
      <c r="T641" s="53" t="e">
        <f>Tabla14[[#This Row],[DEUDA CAPITAL]]+Tabla14[[#This Row],[INTERES  CUOTA]]</f>
        <v>#NUM!</v>
      </c>
      <c r="U641" s="61" t="str">
        <f t="shared" si="109"/>
        <v/>
      </c>
    </row>
    <row r="642" spans="9:21" ht="24.75" customHeight="1" x14ac:dyDescent="0.35">
      <c r="I642" s="42">
        <f t="shared" si="100"/>
        <v>0</v>
      </c>
      <c r="J642" s="65" t="e">
        <f t="shared" si="101"/>
        <v>#NUM!</v>
      </c>
      <c r="K642" s="83" t="e">
        <f t="shared" si="102"/>
        <v>#NUM!</v>
      </c>
      <c r="L642" s="83">
        <f t="shared" si="103"/>
        <v>0</v>
      </c>
      <c r="M642" s="110" t="str">
        <f t="shared" si="104"/>
        <v/>
      </c>
      <c r="N642" s="51" t="str">
        <f t="shared" si="105"/>
        <v/>
      </c>
      <c r="O642" s="52" t="str">
        <f t="shared" si="106"/>
        <v/>
      </c>
      <c r="P642" s="88">
        <f t="shared" si="107"/>
        <v>0</v>
      </c>
      <c r="Q642" s="88">
        <f t="shared" si="108"/>
        <v>0</v>
      </c>
      <c r="R642" s="88" t="e">
        <f>-IF(Tabla14[[#This Row],[DIAS HABILES O MORA]]&lt;0,(Tabla14[[#This Row],[VALOR PRESTAMO]]*Tabla14[[#This Row],[% INTERES ]]/30*U642))+Tabla14[[#This Row],[VALOR CUOTAS]]</f>
        <v>#VALUE!</v>
      </c>
      <c r="S642" s="88">
        <f>-IF(Tabla14[[#This Row],[DIAS HABILES O MORA]]&lt;0,(Tabla14[[#This Row],[VALOR PRESTAMO]]*Tabla14[[#This Row],[% INTERES ]]/30*U642))</f>
        <v>0</v>
      </c>
      <c r="T642" s="53" t="e">
        <f>Tabla14[[#This Row],[DEUDA CAPITAL]]+Tabla14[[#This Row],[INTERES  CUOTA]]</f>
        <v>#NUM!</v>
      </c>
      <c r="U642" s="61" t="str">
        <f t="shared" si="109"/>
        <v/>
      </c>
    </row>
    <row r="643" spans="9:21" ht="24.75" customHeight="1" x14ac:dyDescent="0.35">
      <c r="I643" s="42">
        <f t="shared" si="100"/>
        <v>0</v>
      </c>
      <c r="J643" s="65" t="e">
        <f t="shared" si="101"/>
        <v>#NUM!</v>
      </c>
      <c r="K643" s="83" t="e">
        <f t="shared" si="102"/>
        <v>#NUM!</v>
      </c>
      <c r="L643" s="83">
        <f t="shared" si="103"/>
        <v>0</v>
      </c>
      <c r="M643" s="110" t="str">
        <f t="shared" si="104"/>
        <v/>
      </c>
      <c r="N643" s="51" t="str">
        <f t="shared" si="105"/>
        <v/>
      </c>
      <c r="O643" s="52" t="str">
        <f t="shared" si="106"/>
        <v/>
      </c>
      <c r="P643" s="88">
        <f t="shared" si="107"/>
        <v>0</v>
      </c>
      <c r="Q643" s="88">
        <f t="shared" si="108"/>
        <v>0</v>
      </c>
      <c r="R643" s="88" t="e">
        <f>-IF(Tabla14[[#This Row],[DIAS HABILES O MORA]]&lt;0,(Tabla14[[#This Row],[VALOR PRESTAMO]]*Tabla14[[#This Row],[% INTERES ]]/30*U643))+Tabla14[[#This Row],[VALOR CUOTAS]]</f>
        <v>#VALUE!</v>
      </c>
      <c r="S643" s="88">
        <f>-IF(Tabla14[[#This Row],[DIAS HABILES O MORA]]&lt;0,(Tabla14[[#This Row],[VALOR PRESTAMO]]*Tabla14[[#This Row],[% INTERES ]]/30*U643))</f>
        <v>0</v>
      </c>
      <c r="T643" s="53" t="e">
        <f>Tabla14[[#This Row],[DEUDA CAPITAL]]+Tabla14[[#This Row],[INTERES  CUOTA]]</f>
        <v>#NUM!</v>
      </c>
      <c r="U643" s="61" t="str">
        <f t="shared" si="109"/>
        <v/>
      </c>
    </row>
    <row r="644" spans="9:21" ht="24.75" customHeight="1" x14ac:dyDescent="0.35">
      <c r="I644" s="42">
        <f t="shared" si="100"/>
        <v>0</v>
      </c>
      <c r="J644" s="65" t="e">
        <f t="shared" si="101"/>
        <v>#NUM!</v>
      </c>
      <c r="K644" s="83" t="e">
        <f t="shared" si="102"/>
        <v>#NUM!</v>
      </c>
      <c r="L644" s="83">
        <f t="shared" si="103"/>
        <v>0</v>
      </c>
      <c r="M644" s="110" t="str">
        <f t="shared" si="104"/>
        <v/>
      </c>
      <c r="N644" s="51" t="str">
        <f t="shared" si="105"/>
        <v/>
      </c>
      <c r="O644" s="52" t="str">
        <f t="shared" si="106"/>
        <v/>
      </c>
      <c r="P644" s="88">
        <f t="shared" si="107"/>
        <v>0</v>
      </c>
      <c r="Q644" s="88">
        <f t="shared" si="108"/>
        <v>0</v>
      </c>
      <c r="R644" s="88" t="e">
        <f>-IF(Tabla14[[#This Row],[DIAS HABILES O MORA]]&lt;0,(Tabla14[[#This Row],[VALOR PRESTAMO]]*Tabla14[[#This Row],[% INTERES ]]/30*U644))+Tabla14[[#This Row],[VALOR CUOTAS]]</f>
        <v>#VALUE!</v>
      </c>
      <c r="S644" s="88">
        <f>-IF(Tabla14[[#This Row],[DIAS HABILES O MORA]]&lt;0,(Tabla14[[#This Row],[VALOR PRESTAMO]]*Tabla14[[#This Row],[% INTERES ]]/30*U644))</f>
        <v>0</v>
      </c>
      <c r="T644" s="53" t="e">
        <f>Tabla14[[#This Row],[DEUDA CAPITAL]]+Tabla14[[#This Row],[INTERES  CUOTA]]</f>
        <v>#NUM!</v>
      </c>
      <c r="U644" s="61" t="str">
        <f t="shared" si="109"/>
        <v/>
      </c>
    </row>
    <row r="645" spans="9:21" ht="24.75" customHeight="1" x14ac:dyDescent="0.35">
      <c r="I645" s="42">
        <f t="shared" si="100"/>
        <v>0</v>
      </c>
      <c r="J645" s="65" t="e">
        <f t="shared" si="101"/>
        <v>#NUM!</v>
      </c>
      <c r="K645" s="83" t="e">
        <f t="shared" si="102"/>
        <v>#NUM!</v>
      </c>
      <c r="L645" s="83">
        <f t="shared" si="103"/>
        <v>0</v>
      </c>
      <c r="M645" s="110" t="str">
        <f t="shared" si="104"/>
        <v/>
      </c>
      <c r="N645" s="51" t="str">
        <f t="shared" si="105"/>
        <v/>
      </c>
      <c r="O645" s="52" t="str">
        <f t="shared" si="106"/>
        <v/>
      </c>
      <c r="P645" s="88">
        <f t="shared" si="107"/>
        <v>0</v>
      </c>
      <c r="Q645" s="88">
        <f t="shared" si="108"/>
        <v>0</v>
      </c>
      <c r="R645" s="88" t="e">
        <f>-IF(Tabla14[[#This Row],[DIAS HABILES O MORA]]&lt;0,(Tabla14[[#This Row],[VALOR PRESTAMO]]*Tabla14[[#This Row],[% INTERES ]]/30*U645))+Tabla14[[#This Row],[VALOR CUOTAS]]</f>
        <v>#VALUE!</v>
      </c>
      <c r="S645" s="88">
        <f>-IF(Tabla14[[#This Row],[DIAS HABILES O MORA]]&lt;0,(Tabla14[[#This Row],[VALOR PRESTAMO]]*Tabla14[[#This Row],[% INTERES ]]/30*U645))</f>
        <v>0</v>
      </c>
      <c r="T645" s="53" t="e">
        <f>Tabla14[[#This Row],[DEUDA CAPITAL]]+Tabla14[[#This Row],[INTERES  CUOTA]]</f>
        <v>#NUM!</v>
      </c>
      <c r="U645" s="61" t="str">
        <f t="shared" si="109"/>
        <v/>
      </c>
    </row>
    <row r="646" spans="9:21" ht="24.75" customHeight="1" x14ac:dyDescent="0.35">
      <c r="I646" s="42">
        <f t="shared" si="100"/>
        <v>0</v>
      </c>
      <c r="J646" s="65" t="e">
        <f t="shared" si="101"/>
        <v>#NUM!</v>
      </c>
      <c r="K646" s="83" t="e">
        <f t="shared" si="102"/>
        <v>#NUM!</v>
      </c>
      <c r="L646" s="83">
        <f t="shared" si="103"/>
        <v>0</v>
      </c>
      <c r="M646" s="110" t="str">
        <f t="shared" si="104"/>
        <v/>
      </c>
      <c r="N646" s="51" t="str">
        <f t="shared" si="105"/>
        <v/>
      </c>
      <c r="O646" s="52" t="str">
        <f t="shared" si="106"/>
        <v/>
      </c>
      <c r="P646" s="88">
        <f t="shared" si="107"/>
        <v>0</v>
      </c>
      <c r="Q646" s="88">
        <f t="shared" si="108"/>
        <v>0</v>
      </c>
      <c r="R646" s="88" t="e">
        <f>-IF(Tabla14[[#This Row],[DIAS HABILES O MORA]]&lt;0,(Tabla14[[#This Row],[VALOR PRESTAMO]]*Tabla14[[#This Row],[% INTERES ]]/30*U646))+Tabla14[[#This Row],[VALOR CUOTAS]]</f>
        <v>#VALUE!</v>
      </c>
      <c r="S646" s="88">
        <f>-IF(Tabla14[[#This Row],[DIAS HABILES O MORA]]&lt;0,(Tabla14[[#This Row],[VALOR PRESTAMO]]*Tabla14[[#This Row],[% INTERES ]]/30*U646))</f>
        <v>0</v>
      </c>
      <c r="T646" s="53" t="e">
        <f>Tabla14[[#This Row],[DEUDA CAPITAL]]+Tabla14[[#This Row],[INTERES  CUOTA]]</f>
        <v>#NUM!</v>
      </c>
      <c r="U646" s="61" t="str">
        <f t="shared" si="109"/>
        <v/>
      </c>
    </row>
    <row r="647" spans="9:21" ht="24.75" customHeight="1" x14ac:dyDescent="0.35">
      <c r="I647" s="42">
        <f t="shared" si="100"/>
        <v>0</v>
      </c>
      <c r="J647" s="65" t="e">
        <f t="shared" si="101"/>
        <v>#NUM!</v>
      </c>
      <c r="K647" s="83" t="e">
        <f t="shared" si="102"/>
        <v>#NUM!</v>
      </c>
      <c r="L647" s="83">
        <f t="shared" si="103"/>
        <v>0</v>
      </c>
      <c r="M647" s="110" t="str">
        <f t="shared" si="104"/>
        <v/>
      </c>
      <c r="N647" s="51" t="str">
        <f t="shared" si="105"/>
        <v/>
      </c>
      <c r="O647" s="52" t="str">
        <f t="shared" si="106"/>
        <v/>
      </c>
      <c r="P647" s="88">
        <f t="shared" si="107"/>
        <v>0</v>
      </c>
      <c r="Q647" s="88">
        <f t="shared" si="108"/>
        <v>0</v>
      </c>
      <c r="R647" s="88" t="e">
        <f>-IF(Tabla14[[#This Row],[DIAS HABILES O MORA]]&lt;0,(Tabla14[[#This Row],[VALOR PRESTAMO]]*Tabla14[[#This Row],[% INTERES ]]/30*U647))+Tabla14[[#This Row],[VALOR CUOTAS]]</f>
        <v>#VALUE!</v>
      </c>
      <c r="S647" s="88">
        <f>-IF(Tabla14[[#This Row],[DIAS HABILES O MORA]]&lt;0,(Tabla14[[#This Row],[VALOR PRESTAMO]]*Tabla14[[#This Row],[% INTERES ]]/30*U647))</f>
        <v>0</v>
      </c>
      <c r="T647" s="53" t="e">
        <f>Tabla14[[#This Row],[DEUDA CAPITAL]]+Tabla14[[#This Row],[INTERES  CUOTA]]</f>
        <v>#NUM!</v>
      </c>
      <c r="U647" s="61" t="str">
        <f t="shared" si="109"/>
        <v/>
      </c>
    </row>
    <row r="648" spans="9:21" ht="24.75" customHeight="1" x14ac:dyDescent="0.35">
      <c r="I648" s="42">
        <f t="shared" si="100"/>
        <v>0</v>
      </c>
      <c r="J648" s="65" t="e">
        <f t="shared" si="101"/>
        <v>#NUM!</v>
      </c>
      <c r="K648" s="83" t="e">
        <f t="shared" si="102"/>
        <v>#NUM!</v>
      </c>
      <c r="L648" s="83">
        <f t="shared" si="103"/>
        <v>0</v>
      </c>
      <c r="M648" s="110" t="str">
        <f t="shared" si="104"/>
        <v/>
      </c>
      <c r="N648" s="51" t="str">
        <f t="shared" si="105"/>
        <v/>
      </c>
      <c r="O648" s="52" t="str">
        <f t="shared" si="106"/>
        <v/>
      </c>
      <c r="P648" s="88">
        <f t="shared" si="107"/>
        <v>0</v>
      </c>
      <c r="Q648" s="88">
        <f t="shared" si="108"/>
        <v>0</v>
      </c>
      <c r="R648" s="88" t="e">
        <f>-IF(Tabla14[[#This Row],[DIAS HABILES O MORA]]&lt;0,(Tabla14[[#This Row],[VALOR PRESTAMO]]*Tabla14[[#This Row],[% INTERES ]]/30*U648))+Tabla14[[#This Row],[VALOR CUOTAS]]</f>
        <v>#VALUE!</v>
      </c>
      <c r="S648" s="88">
        <f>-IF(Tabla14[[#This Row],[DIAS HABILES O MORA]]&lt;0,(Tabla14[[#This Row],[VALOR PRESTAMO]]*Tabla14[[#This Row],[% INTERES ]]/30*U648))</f>
        <v>0</v>
      </c>
      <c r="T648" s="53" t="e">
        <f>Tabla14[[#This Row],[DEUDA CAPITAL]]+Tabla14[[#This Row],[INTERES  CUOTA]]</f>
        <v>#NUM!</v>
      </c>
      <c r="U648" s="61" t="str">
        <f t="shared" si="109"/>
        <v/>
      </c>
    </row>
    <row r="649" spans="9:21" ht="24.75" customHeight="1" x14ac:dyDescent="0.35">
      <c r="I649" s="42">
        <f t="shared" si="100"/>
        <v>0</v>
      </c>
      <c r="J649" s="65" t="e">
        <f t="shared" si="101"/>
        <v>#NUM!</v>
      </c>
      <c r="K649" s="83" t="e">
        <f t="shared" si="102"/>
        <v>#NUM!</v>
      </c>
      <c r="L649" s="83">
        <f t="shared" si="103"/>
        <v>0</v>
      </c>
      <c r="M649" s="110" t="str">
        <f t="shared" si="104"/>
        <v/>
      </c>
      <c r="N649" s="51" t="str">
        <f t="shared" si="105"/>
        <v/>
      </c>
      <c r="O649" s="52" t="str">
        <f t="shared" si="106"/>
        <v/>
      </c>
      <c r="P649" s="88">
        <f t="shared" si="107"/>
        <v>0</v>
      </c>
      <c r="Q649" s="88">
        <f t="shared" si="108"/>
        <v>0</v>
      </c>
      <c r="R649" s="88" t="e">
        <f>-IF(Tabla14[[#This Row],[DIAS HABILES O MORA]]&lt;0,(Tabla14[[#This Row],[VALOR PRESTAMO]]*Tabla14[[#This Row],[% INTERES ]]/30*U649))+Tabla14[[#This Row],[VALOR CUOTAS]]</f>
        <v>#VALUE!</v>
      </c>
      <c r="S649" s="88">
        <f>-IF(Tabla14[[#This Row],[DIAS HABILES O MORA]]&lt;0,(Tabla14[[#This Row],[VALOR PRESTAMO]]*Tabla14[[#This Row],[% INTERES ]]/30*U649))</f>
        <v>0</v>
      </c>
      <c r="T649" s="53" t="e">
        <f>Tabla14[[#This Row],[DEUDA CAPITAL]]+Tabla14[[#This Row],[INTERES  CUOTA]]</f>
        <v>#NUM!</v>
      </c>
      <c r="U649" s="61" t="str">
        <f t="shared" si="109"/>
        <v/>
      </c>
    </row>
    <row r="650" spans="9:21" ht="24.75" customHeight="1" x14ac:dyDescent="0.35">
      <c r="I650" s="42">
        <f t="shared" si="100"/>
        <v>0</v>
      </c>
      <c r="J650" s="65" t="e">
        <f t="shared" si="101"/>
        <v>#NUM!</v>
      </c>
      <c r="K650" s="83" t="e">
        <f t="shared" si="102"/>
        <v>#NUM!</v>
      </c>
      <c r="L650" s="83">
        <f t="shared" si="103"/>
        <v>0</v>
      </c>
      <c r="M650" s="110" t="str">
        <f t="shared" si="104"/>
        <v/>
      </c>
      <c r="N650" s="51" t="str">
        <f t="shared" si="105"/>
        <v/>
      </c>
      <c r="O650" s="52" t="str">
        <f t="shared" si="106"/>
        <v/>
      </c>
      <c r="P650" s="88">
        <f t="shared" si="107"/>
        <v>0</v>
      </c>
      <c r="Q650" s="88">
        <f t="shared" si="108"/>
        <v>0</v>
      </c>
      <c r="R650" s="88" t="e">
        <f>-IF(Tabla14[[#This Row],[DIAS HABILES O MORA]]&lt;0,(Tabla14[[#This Row],[VALOR PRESTAMO]]*Tabla14[[#This Row],[% INTERES ]]/30*U650))+Tabla14[[#This Row],[VALOR CUOTAS]]</f>
        <v>#VALUE!</v>
      </c>
      <c r="S650" s="88">
        <f>-IF(Tabla14[[#This Row],[DIAS HABILES O MORA]]&lt;0,(Tabla14[[#This Row],[VALOR PRESTAMO]]*Tabla14[[#This Row],[% INTERES ]]/30*U650))</f>
        <v>0</v>
      </c>
      <c r="T650" s="53" t="e">
        <f>Tabla14[[#This Row],[DEUDA CAPITAL]]+Tabla14[[#This Row],[INTERES  CUOTA]]</f>
        <v>#NUM!</v>
      </c>
      <c r="U650" s="61" t="str">
        <f t="shared" si="109"/>
        <v/>
      </c>
    </row>
    <row r="651" spans="9:21" ht="24.75" customHeight="1" x14ac:dyDescent="0.35">
      <c r="I651" s="42">
        <f t="shared" si="100"/>
        <v>0</v>
      </c>
      <c r="J651" s="65" t="e">
        <f t="shared" si="101"/>
        <v>#NUM!</v>
      </c>
      <c r="K651" s="83" t="e">
        <f t="shared" si="102"/>
        <v>#NUM!</v>
      </c>
      <c r="L651" s="83">
        <f t="shared" si="103"/>
        <v>0</v>
      </c>
      <c r="M651" s="110" t="str">
        <f t="shared" si="104"/>
        <v/>
      </c>
      <c r="N651" s="51" t="str">
        <f t="shared" si="105"/>
        <v/>
      </c>
      <c r="O651" s="52" t="str">
        <f t="shared" si="106"/>
        <v/>
      </c>
      <c r="P651" s="88">
        <f t="shared" si="107"/>
        <v>0</v>
      </c>
      <c r="Q651" s="88">
        <f t="shared" si="108"/>
        <v>0</v>
      </c>
      <c r="R651" s="88" t="e">
        <f>-IF(Tabla14[[#This Row],[DIAS HABILES O MORA]]&lt;0,(Tabla14[[#This Row],[VALOR PRESTAMO]]*Tabla14[[#This Row],[% INTERES ]]/30*U651))+Tabla14[[#This Row],[VALOR CUOTAS]]</f>
        <v>#VALUE!</v>
      </c>
      <c r="S651" s="88">
        <f>-IF(Tabla14[[#This Row],[DIAS HABILES O MORA]]&lt;0,(Tabla14[[#This Row],[VALOR PRESTAMO]]*Tabla14[[#This Row],[% INTERES ]]/30*U651))</f>
        <v>0</v>
      </c>
      <c r="T651" s="53" t="e">
        <f>Tabla14[[#This Row],[DEUDA CAPITAL]]+Tabla14[[#This Row],[INTERES  CUOTA]]</f>
        <v>#NUM!</v>
      </c>
      <c r="U651" s="61" t="str">
        <f t="shared" si="109"/>
        <v/>
      </c>
    </row>
    <row r="652" spans="9:21" ht="24.75" customHeight="1" x14ac:dyDescent="0.35">
      <c r="I652" s="42">
        <f t="shared" si="100"/>
        <v>0</v>
      </c>
      <c r="J652" s="65" t="e">
        <f t="shared" si="101"/>
        <v>#NUM!</v>
      </c>
      <c r="K652" s="83" t="e">
        <f t="shared" si="102"/>
        <v>#NUM!</v>
      </c>
      <c r="L652" s="83">
        <f t="shared" si="103"/>
        <v>0</v>
      </c>
      <c r="M652" s="110" t="str">
        <f t="shared" si="104"/>
        <v/>
      </c>
      <c r="N652" s="51" t="str">
        <f t="shared" si="105"/>
        <v/>
      </c>
      <c r="O652" s="52" t="str">
        <f t="shared" si="106"/>
        <v/>
      </c>
      <c r="P652" s="88">
        <f t="shared" si="107"/>
        <v>0</v>
      </c>
      <c r="Q652" s="88">
        <f t="shared" si="108"/>
        <v>0</v>
      </c>
      <c r="R652" s="88" t="e">
        <f>-IF(Tabla14[[#This Row],[DIAS HABILES O MORA]]&lt;0,(Tabla14[[#This Row],[VALOR PRESTAMO]]*Tabla14[[#This Row],[% INTERES ]]/30*U652))+Tabla14[[#This Row],[VALOR CUOTAS]]</f>
        <v>#VALUE!</v>
      </c>
      <c r="S652" s="88">
        <f>-IF(Tabla14[[#This Row],[DIAS HABILES O MORA]]&lt;0,(Tabla14[[#This Row],[VALOR PRESTAMO]]*Tabla14[[#This Row],[% INTERES ]]/30*U652))</f>
        <v>0</v>
      </c>
      <c r="T652" s="53" t="e">
        <f>Tabla14[[#This Row],[DEUDA CAPITAL]]+Tabla14[[#This Row],[INTERES  CUOTA]]</f>
        <v>#NUM!</v>
      </c>
      <c r="U652" s="61" t="str">
        <f t="shared" si="109"/>
        <v/>
      </c>
    </row>
    <row r="653" spans="9:21" ht="24.75" customHeight="1" x14ac:dyDescent="0.35">
      <c r="I653" s="42">
        <f t="shared" si="100"/>
        <v>0</v>
      </c>
      <c r="J653" s="65" t="e">
        <f t="shared" si="101"/>
        <v>#NUM!</v>
      </c>
      <c r="K653" s="83" t="e">
        <f t="shared" si="102"/>
        <v>#NUM!</v>
      </c>
      <c r="L653" s="83">
        <f t="shared" si="103"/>
        <v>0</v>
      </c>
      <c r="M653" s="110" t="str">
        <f t="shared" si="104"/>
        <v/>
      </c>
      <c r="N653" s="51" t="str">
        <f t="shared" si="105"/>
        <v/>
      </c>
      <c r="O653" s="52" t="str">
        <f t="shared" si="106"/>
        <v/>
      </c>
      <c r="P653" s="88">
        <f t="shared" si="107"/>
        <v>0</v>
      </c>
      <c r="Q653" s="88">
        <f t="shared" si="108"/>
        <v>0</v>
      </c>
      <c r="R653" s="88" t="e">
        <f>-IF(Tabla14[[#This Row],[DIAS HABILES O MORA]]&lt;0,(Tabla14[[#This Row],[VALOR PRESTAMO]]*Tabla14[[#This Row],[% INTERES ]]/30*U653))+Tabla14[[#This Row],[VALOR CUOTAS]]</f>
        <v>#VALUE!</v>
      </c>
      <c r="S653" s="88">
        <f>-IF(Tabla14[[#This Row],[DIAS HABILES O MORA]]&lt;0,(Tabla14[[#This Row],[VALOR PRESTAMO]]*Tabla14[[#This Row],[% INTERES ]]/30*U653))</f>
        <v>0</v>
      </c>
      <c r="T653" s="53" t="e">
        <f>Tabla14[[#This Row],[DEUDA CAPITAL]]+Tabla14[[#This Row],[INTERES  CUOTA]]</f>
        <v>#NUM!</v>
      </c>
      <c r="U653" s="61" t="str">
        <f t="shared" si="109"/>
        <v/>
      </c>
    </row>
    <row r="654" spans="9:21" ht="24.75" customHeight="1" x14ac:dyDescent="0.35">
      <c r="I654" s="42">
        <f t="shared" si="100"/>
        <v>0</v>
      </c>
      <c r="J654" s="65" t="e">
        <f t="shared" si="101"/>
        <v>#NUM!</v>
      </c>
      <c r="K654" s="83" t="e">
        <f t="shared" si="102"/>
        <v>#NUM!</v>
      </c>
      <c r="L654" s="83">
        <f t="shared" si="103"/>
        <v>0</v>
      </c>
      <c r="M654" s="110" t="str">
        <f t="shared" si="104"/>
        <v/>
      </c>
      <c r="N654" s="51" t="str">
        <f t="shared" si="105"/>
        <v/>
      </c>
      <c r="O654" s="52" t="str">
        <f t="shared" si="106"/>
        <v/>
      </c>
      <c r="P654" s="88">
        <f t="shared" si="107"/>
        <v>0</v>
      </c>
      <c r="Q654" s="88">
        <f t="shared" si="108"/>
        <v>0</v>
      </c>
      <c r="R654" s="88" t="e">
        <f>-IF(Tabla14[[#This Row],[DIAS HABILES O MORA]]&lt;0,(Tabla14[[#This Row],[VALOR PRESTAMO]]*Tabla14[[#This Row],[% INTERES ]]/30*U654))+Tabla14[[#This Row],[VALOR CUOTAS]]</f>
        <v>#VALUE!</v>
      </c>
      <c r="S654" s="88">
        <f>-IF(Tabla14[[#This Row],[DIAS HABILES O MORA]]&lt;0,(Tabla14[[#This Row],[VALOR PRESTAMO]]*Tabla14[[#This Row],[% INTERES ]]/30*U654))</f>
        <v>0</v>
      </c>
      <c r="T654" s="53" t="e">
        <f>Tabla14[[#This Row],[DEUDA CAPITAL]]+Tabla14[[#This Row],[INTERES  CUOTA]]</f>
        <v>#NUM!</v>
      </c>
      <c r="U654" s="61" t="str">
        <f t="shared" si="109"/>
        <v/>
      </c>
    </row>
    <row r="655" spans="9:21" ht="24.75" customHeight="1" x14ac:dyDescent="0.35">
      <c r="I655" s="42">
        <f t="shared" si="100"/>
        <v>0</v>
      </c>
      <c r="J655" s="65" t="e">
        <f t="shared" si="101"/>
        <v>#NUM!</v>
      </c>
      <c r="K655" s="83" t="e">
        <f t="shared" si="102"/>
        <v>#NUM!</v>
      </c>
      <c r="L655" s="83">
        <f t="shared" si="103"/>
        <v>0</v>
      </c>
      <c r="M655" s="110" t="str">
        <f t="shared" si="104"/>
        <v/>
      </c>
      <c r="N655" s="51" t="str">
        <f t="shared" si="105"/>
        <v/>
      </c>
      <c r="O655" s="52" t="str">
        <f t="shared" si="106"/>
        <v/>
      </c>
      <c r="P655" s="88">
        <f t="shared" si="107"/>
        <v>0</v>
      </c>
      <c r="Q655" s="88">
        <f t="shared" si="108"/>
        <v>0</v>
      </c>
      <c r="R655" s="88" t="e">
        <f>-IF(Tabla14[[#This Row],[DIAS HABILES O MORA]]&lt;0,(Tabla14[[#This Row],[VALOR PRESTAMO]]*Tabla14[[#This Row],[% INTERES ]]/30*U655))+Tabla14[[#This Row],[VALOR CUOTAS]]</f>
        <v>#VALUE!</v>
      </c>
      <c r="S655" s="88">
        <f>-IF(Tabla14[[#This Row],[DIAS HABILES O MORA]]&lt;0,(Tabla14[[#This Row],[VALOR PRESTAMO]]*Tabla14[[#This Row],[% INTERES ]]/30*U655))</f>
        <v>0</v>
      </c>
      <c r="T655" s="53" t="e">
        <f>Tabla14[[#This Row],[DEUDA CAPITAL]]+Tabla14[[#This Row],[INTERES  CUOTA]]</f>
        <v>#NUM!</v>
      </c>
      <c r="U655" s="61" t="str">
        <f t="shared" si="109"/>
        <v/>
      </c>
    </row>
    <row r="656" spans="9:21" ht="24.75" customHeight="1" x14ac:dyDescent="0.35">
      <c r="I656" s="42">
        <f t="shared" ref="I656:I719" si="110">IF(C656&lt;0,"",IF(Q656=0,0,IF(G656=0,H656+1,IF(H656&lt;G656,H656+1,IF(G656=H656,0)))))</f>
        <v>0</v>
      </c>
      <c r="J656" s="65" t="e">
        <f t="shared" ref="J656:J719" si="111">IF(F656="SOLO INTERES",Q656*D656,-IPMT(D656,I656,G656,C656))</f>
        <v>#NUM!</v>
      </c>
      <c r="K656" s="83" t="e">
        <f t="shared" ref="K656:K719" si="112">IF(F656="SOLO INTERES",0,-PPMT(D656,I656,G656,C656))</f>
        <v>#NUM!</v>
      </c>
      <c r="L656" s="83">
        <f t="shared" ref="L656:L719" si="113">IF(F656="SOLO INTERES",SUM(Y656:AAE656),IFERROR(-CUMIPMT(D656,G656,C656,1,H656,0),0)+SUM(Y656:WY656))</f>
        <v>0</v>
      </c>
      <c r="M656" s="110" t="str">
        <f t="shared" ref="M656:M719" si="114">IFERROR(IF(F656="SOLO INTERES",Q656*D656,-PMT(D656,G656,C656,0)),"")</f>
        <v/>
      </c>
      <c r="N656" s="51" t="str">
        <f t="shared" ref="N656:N719" si="115">IF(Q656=0,"",IF(E656="MENSUAL",EDATE(B656,I656),IF(E656="QUINCENAL",B656+(I656*15),IF(E656="SEMANAL",B656+(I656*7)))))</f>
        <v/>
      </c>
      <c r="O656" s="52" t="str">
        <f t="shared" ref="O656:O719" si="116">IF(C656=0,"",IF(Q656&lt;1,"PAGADO",IF(N656=$A$3,"COBRAR HOY",IF(N656&lt;$A$3,"EN MORA",IF(N656&gt;$A$3,"AL DIA")))))</f>
        <v/>
      </c>
      <c r="P656" s="88">
        <f t="shared" ref="P656:P719" si="117">IFERROR(-CUMPRINC(D656,G656,C656,1,H656,0),0)+W656</f>
        <v>0</v>
      </c>
      <c r="Q656" s="88">
        <f t="shared" ref="Q656:Q719" si="118">IFERROR(C656-P656,"")</f>
        <v>0</v>
      </c>
      <c r="R656" s="88" t="e">
        <f>-IF(Tabla14[[#This Row],[DIAS HABILES O MORA]]&lt;0,(Tabla14[[#This Row],[VALOR PRESTAMO]]*Tabla14[[#This Row],[% INTERES ]]/30*U656))+Tabla14[[#This Row],[VALOR CUOTAS]]</f>
        <v>#VALUE!</v>
      </c>
      <c r="S656" s="88">
        <f>-IF(Tabla14[[#This Row],[DIAS HABILES O MORA]]&lt;0,(Tabla14[[#This Row],[VALOR PRESTAMO]]*Tabla14[[#This Row],[% INTERES ]]/30*U656))</f>
        <v>0</v>
      </c>
      <c r="T656" s="53" t="e">
        <f>Tabla14[[#This Row],[DEUDA CAPITAL]]+Tabla14[[#This Row],[INTERES  CUOTA]]</f>
        <v>#NUM!</v>
      </c>
      <c r="U656" s="61" t="str">
        <f t="shared" ref="U656:U719" si="119">IF(O656="PAGADO","",IFERROR(-IF(C656=0,"",$A$3-N656),""))</f>
        <v/>
      </c>
    </row>
    <row r="657" spans="9:21" ht="24.75" customHeight="1" x14ac:dyDescent="0.35">
      <c r="I657" s="42">
        <f t="shared" si="110"/>
        <v>0</v>
      </c>
      <c r="J657" s="65" t="e">
        <f t="shared" si="111"/>
        <v>#NUM!</v>
      </c>
      <c r="K657" s="83" t="e">
        <f t="shared" si="112"/>
        <v>#NUM!</v>
      </c>
      <c r="L657" s="83">
        <f t="shared" si="113"/>
        <v>0</v>
      </c>
      <c r="M657" s="110" t="str">
        <f t="shared" si="114"/>
        <v/>
      </c>
      <c r="N657" s="51" t="str">
        <f t="shared" si="115"/>
        <v/>
      </c>
      <c r="O657" s="52" t="str">
        <f t="shared" si="116"/>
        <v/>
      </c>
      <c r="P657" s="88">
        <f t="shared" si="117"/>
        <v>0</v>
      </c>
      <c r="Q657" s="88">
        <f t="shared" si="118"/>
        <v>0</v>
      </c>
      <c r="R657" s="88" t="e">
        <f>-IF(Tabla14[[#This Row],[DIAS HABILES O MORA]]&lt;0,(Tabla14[[#This Row],[VALOR PRESTAMO]]*Tabla14[[#This Row],[% INTERES ]]/30*U657))+Tabla14[[#This Row],[VALOR CUOTAS]]</f>
        <v>#VALUE!</v>
      </c>
      <c r="S657" s="88">
        <f>-IF(Tabla14[[#This Row],[DIAS HABILES O MORA]]&lt;0,(Tabla14[[#This Row],[VALOR PRESTAMO]]*Tabla14[[#This Row],[% INTERES ]]/30*U657))</f>
        <v>0</v>
      </c>
      <c r="T657" s="53" t="e">
        <f>Tabla14[[#This Row],[DEUDA CAPITAL]]+Tabla14[[#This Row],[INTERES  CUOTA]]</f>
        <v>#NUM!</v>
      </c>
      <c r="U657" s="61" t="str">
        <f t="shared" si="119"/>
        <v/>
      </c>
    </row>
    <row r="658" spans="9:21" ht="24.75" customHeight="1" x14ac:dyDescent="0.35">
      <c r="I658" s="42">
        <f t="shared" si="110"/>
        <v>0</v>
      </c>
      <c r="J658" s="65" t="e">
        <f t="shared" si="111"/>
        <v>#NUM!</v>
      </c>
      <c r="K658" s="83" t="e">
        <f t="shared" si="112"/>
        <v>#NUM!</v>
      </c>
      <c r="L658" s="83">
        <f t="shared" si="113"/>
        <v>0</v>
      </c>
      <c r="M658" s="110" t="str">
        <f t="shared" si="114"/>
        <v/>
      </c>
      <c r="N658" s="51" t="str">
        <f t="shared" si="115"/>
        <v/>
      </c>
      <c r="O658" s="52" t="str">
        <f t="shared" si="116"/>
        <v/>
      </c>
      <c r="P658" s="88">
        <f t="shared" si="117"/>
        <v>0</v>
      </c>
      <c r="Q658" s="88">
        <f t="shared" si="118"/>
        <v>0</v>
      </c>
      <c r="R658" s="88" t="e">
        <f>-IF(Tabla14[[#This Row],[DIAS HABILES O MORA]]&lt;0,(Tabla14[[#This Row],[VALOR PRESTAMO]]*Tabla14[[#This Row],[% INTERES ]]/30*U658))+Tabla14[[#This Row],[VALOR CUOTAS]]</f>
        <v>#VALUE!</v>
      </c>
      <c r="S658" s="88">
        <f>-IF(Tabla14[[#This Row],[DIAS HABILES O MORA]]&lt;0,(Tabla14[[#This Row],[VALOR PRESTAMO]]*Tabla14[[#This Row],[% INTERES ]]/30*U658))</f>
        <v>0</v>
      </c>
      <c r="T658" s="53" t="e">
        <f>Tabla14[[#This Row],[DEUDA CAPITAL]]+Tabla14[[#This Row],[INTERES  CUOTA]]</f>
        <v>#NUM!</v>
      </c>
      <c r="U658" s="61" t="str">
        <f t="shared" si="119"/>
        <v/>
      </c>
    </row>
    <row r="659" spans="9:21" ht="24.75" customHeight="1" x14ac:dyDescent="0.35">
      <c r="I659" s="42">
        <f t="shared" si="110"/>
        <v>0</v>
      </c>
      <c r="J659" s="65" t="e">
        <f t="shared" si="111"/>
        <v>#NUM!</v>
      </c>
      <c r="K659" s="83" t="e">
        <f t="shared" si="112"/>
        <v>#NUM!</v>
      </c>
      <c r="L659" s="83">
        <f t="shared" si="113"/>
        <v>0</v>
      </c>
      <c r="M659" s="110" t="str">
        <f t="shared" si="114"/>
        <v/>
      </c>
      <c r="N659" s="51" t="str">
        <f t="shared" si="115"/>
        <v/>
      </c>
      <c r="O659" s="52" t="str">
        <f t="shared" si="116"/>
        <v/>
      </c>
      <c r="P659" s="88">
        <f t="shared" si="117"/>
        <v>0</v>
      </c>
      <c r="Q659" s="88">
        <f t="shared" si="118"/>
        <v>0</v>
      </c>
      <c r="R659" s="88" t="e">
        <f>-IF(Tabla14[[#This Row],[DIAS HABILES O MORA]]&lt;0,(Tabla14[[#This Row],[VALOR PRESTAMO]]*Tabla14[[#This Row],[% INTERES ]]/30*U659))+Tabla14[[#This Row],[VALOR CUOTAS]]</f>
        <v>#VALUE!</v>
      </c>
      <c r="S659" s="88">
        <f>-IF(Tabla14[[#This Row],[DIAS HABILES O MORA]]&lt;0,(Tabla14[[#This Row],[VALOR PRESTAMO]]*Tabla14[[#This Row],[% INTERES ]]/30*U659))</f>
        <v>0</v>
      </c>
      <c r="T659" s="53" t="e">
        <f>Tabla14[[#This Row],[DEUDA CAPITAL]]+Tabla14[[#This Row],[INTERES  CUOTA]]</f>
        <v>#NUM!</v>
      </c>
      <c r="U659" s="61" t="str">
        <f t="shared" si="119"/>
        <v/>
      </c>
    </row>
    <row r="660" spans="9:21" ht="24.75" customHeight="1" x14ac:dyDescent="0.35">
      <c r="I660" s="42">
        <f t="shared" si="110"/>
        <v>0</v>
      </c>
      <c r="J660" s="65" t="e">
        <f t="shared" si="111"/>
        <v>#NUM!</v>
      </c>
      <c r="K660" s="83" t="e">
        <f t="shared" si="112"/>
        <v>#NUM!</v>
      </c>
      <c r="L660" s="83">
        <f t="shared" si="113"/>
        <v>0</v>
      </c>
      <c r="M660" s="110" t="str">
        <f t="shared" si="114"/>
        <v/>
      </c>
      <c r="N660" s="51" t="str">
        <f t="shared" si="115"/>
        <v/>
      </c>
      <c r="O660" s="52" t="str">
        <f t="shared" si="116"/>
        <v/>
      </c>
      <c r="P660" s="88">
        <f t="shared" si="117"/>
        <v>0</v>
      </c>
      <c r="Q660" s="88">
        <f t="shared" si="118"/>
        <v>0</v>
      </c>
      <c r="R660" s="88" t="e">
        <f>-IF(Tabla14[[#This Row],[DIAS HABILES O MORA]]&lt;0,(Tabla14[[#This Row],[VALOR PRESTAMO]]*Tabla14[[#This Row],[% INTERES ]]/30*U660))+Tabla14[[#This Row],[VALOR CUOTAS]]</f>
        <v>#VALUE!</v>
      </c>
      <c r="S660" s="88">
        <f>-IF(Tabla14[[#This Row],[DIAS HABILES O MORA]]&lt;0,(Tabla14[[#This Row],[VALOR PRESTAMO]]*Tabla14[[#This Row],[% INTERES ]]/30*U660))</f>
        <v>0</v>
      </c>
      <c r="T660" s="53" t="e">
        <f>Tabla14[[#This Row],[DEUDA CAPITAL]]+Tabla14[[#This Row],[INTERES  CUOTA]]</f>
        <v>#NUM!</v>
      </c>
      <c r="U660" s="61" t="str">
        <f t="shared" si="119"/>
        <v/>
      </c>
    </row>
    <row r="661" spans="9:21" ht="24.75" customHeight="1" x14ac:dyDescent="0.35">
      <c r="I661" s="42">
        <f t="shared" si="110"/>
        <v>0</v>
      </c>
      <c r="J661" s="65" t="e">
        <f t="shared" si="111"/>
        <v>#NUM!</v>
      </c>
      <c r="K661" s="83" t="e">
        <f t="shared" si="112"/>
        <v>#NUM!</v>
      </c>
      <c r="L661" s="83">
        <f t="shared" si="113"/>
        <v>0</v>
      </c>
      <c r="M661" s="110" t="str">
        <f t="shared" si="114"/>
        <v/>
      </c>
      <c r="N661" s="51" t="str">
        <f t="shared" si="115"/>
        <v/>
      </c>
      <c r="O661" s="52" t="str">
        <f t="shared" si="116"/>
        <v/>
      </c>
      <c r="P661" s="88">
        <f t="shared" si="117"/>
        <v>0</v>
      </c>
      <c r="Q661" s="88">
        <f t="shared" si="118"/>
        <v>0</v>
      </c>
      <c r="R661" s="88" t="e">
        <f>-IF(Tabla14[[#This Row],[DIAS HABILES O MORA]]&lt;0,(Tabla14[[#This Row],[VALOR PRESTAMO]]*Tabla14[[#This Row],[% INTERES ]]/30*U661))+Tabla14[[#This Row],[VALOR CUOTAS]]</f>
        <v>#VALUE!</v>
      </c>
      <c r="S661" s="88">
        <f>-IF(Tabla14[[#This Row],[DIAS HABILES O MORA]]&lt;0,(Tabla14[[#This Row],[VALOR PRESTAMO]]*Tabla14[[#This Row],[% INTERES ]]/30*U661))</f>
        <v>0</v>
      </c>
      <c r="T661" s="53" t="e">
        <f>Tabla14[[#This Row],[DEUDA CAPITAL]]+Tabla14[[#This Row],[INTERES  CUOTA]]</f>
        <v>#NUM!</v>
      </c>
      <c r="U661" s="61" t="str">
        <f t="shared" si="119"/>
        <v/>
      </c>
    </row>
    <row r="662" spans="9:21" ht="24.75" customHeight="1" x14ac:dyDescent="0.35">
      <c r="I662" s="42">
        <f t="shared" si="110"/>
        <v>0</v>
      </c>
      <c r="J662" s="65" t="e">
        <f t="shared" si="111"/>
        <v>#NUM!</v>
      </c>
      <c r="K662" s="83" t="e">
        <f t="shared" si="112"/>
        <v>#NUM!</v>
      </c>
      <c r="L662" s="83">
        <f t="shared" si="113"/>
        <v>0</v>
      </c>
      <c r="M662" s="110" t="str">
        <f t="shared" si="114"/>
        <v/>
      </c>
      <c r="N662" s="51" t="str">
        <f t="shared" si="115"/>
        <v/>
      </c>
      <c r="O662" s="52" t="str">
        <f t="shared" si="116"/>
        <v/>
      </c>
      <c r="P662" s="88">
        <f t="shared" si="117"/>
        <v>0</v>
      </c>
      <c r="Q662" s="88">
        <f t="shared" si="118"/>
        <v>0</v>
      </c>
      <c r="R662" s="88" t="e">
        <f>-IF(Tabla14[[#This Row],[DIAS HABILES O MORA]]&lt;0,(Tabla14[[#This Row],[VALOR PRESTAMO]]*Tabla14[[#This Row],[% INTERES ]]/30*U662))+Tabla14[[#This Row],[VALOR CUOTAS]]</f>
        <v>#VALUE!</v>
      </c>
      <c r="S662" s="88">
        <f>-IF(Tabla14[[#This Row],[DIAS HABILES O MORA]]&lt;0,(Tabla14[[#This Row],[VALOR PRESTAMO]]*Tabla14[[#This Row],[% INTERES ]]/30*U662))</f>
        <v>0</v>
      </c>
      <c r="T662" s="53" t="e">
        <f>Tabla14[[#This Row],[DEUDA CAPITAL]]+Tabla14[[#This Row],[INTERES  CUOTA]]</f>
        <v>#NUM!</v>
      </c>
      <c r="U662" s="61" t="str">
        <f t="shared" si="119"/>
        <v/>
      </c>
    </row>
    <row r="663" spans="9:21" ht="24.75" customHeight="1" x14ac:dyDescent="0.35">
      <c r="I663" s="42">
        <f t="shared" si="110"/>
        <v>0</v>
      </c>
      <c r="J663" s="65" t="e">
        <f t="shared" si="111"/>
        <v>#NUM!</v>
      </c>
      <c r="K663" s="83" t="e">
        <f t="shared" si="112"/>
        <v>#NUM!</v>
      </c>
      <c r="L663" s="83">
        <f t="shared" si="113"/>
        <v>0</v>
      </c>
      <c r="M663" s="110" t="str">
        <f t="shared" si="114"/>
        <v/>
      </c>
      <c r="N663" s="51" t="str">
        <f t="shared" si="115"/>
        <v/>
      </c>
      <c r="O663" s="52" t="str">
        <f t="shared" si="116"/>
        <v/>
      </c>
      <c r="P663" s="88">
        <f t="shared" si="117"/>
        <v>0</v>
      </c>
      <c r="Q663" s="88">
        <f t="shared" si="118"/>
        <v>0</v>
      </c>
      <c r="R663" s="88" t="e">
        <f>-IF(Tabla14[[#This Row],[DIAS HABILES O MORA]]&lt;0,(Tabla14[[#This Row],[VALOR PRESTAMO]]*Tabla14[[#This Row],[% INTERES ]]/30*U663))+Tabla14[[#This Row],[VALOR CUOTAS]]</f>
        <v>#VALUE!</v>
      </c>
      <c r="S663" s="88">
        <f>-IF(Tabla14[[#This Row],[DIAS HABILES O MORA]]&lt;0,(Tabla14[[#This Row],[VALOR PRESTAMO]]*Tabla14[[#This Row],[% INTERES ]]/30*U663))</f>
        <v>0</v>
      </c>
      <c r="T663" s="53" t="e">
        <f>Tabla14[[#This Row],[DEUDA CAPITAL]]+Tabla14[[#This Row],[INTERES  CUOTA]]</f>
        <v>#NUM!</v>
      </c>
      <c r="U663" s="61" t="str">
        <f t="shared" si="119"/>
        <v/>
      </c>
    </row>
    <row r="664" spans="9:21" ht="24.75" customHeight="1" x14ac:dyDescent="0.35">
      <c r="I664" s="42">
        <f t="shared" si="110"/>
        <v>0</v>
      </c>
      <c r="J664" s="65" t="e">
        <f t="shared" si="111"/>
        <v>#NUM!</v>
      </c>
      <c r="K664" s="83" t="e">
        <f t="shared" si="112"/>
        <v>#NUM!</v>
      </c>
      <c r="L664" s="83">
        <f t="shared" si="113"/>
        <v>0</v>
      </c>
      <c r="M664" s="110" t="str">
        <f t="shared" si="114"/>
        <v/>
      </c>
      <c r="N664" s="51" t="str">
        <f t="shared" si="115"/>
        <v/>
      </c>
      <c r="O664" s="52" t="str">
        <f t="shared" si="116"/>
        <v/>
      </c>
      <c r="P664" s="88">
        <f t="shared" si="117"/>
        <v>0</v>
      </c>
      <c r="Q664" s="88">
        <f t="shared" si="118"/>
        <v>0</v>
      </c>
      <c r="R664" s="88" t="e">
        <f>-IF(Tabla14[[#This Row],[DIAS HABILES O MORA]]&lt;0,(Tabla14[[#This Row],[VALOR PRESTAMO]]*Tabla14[[#This Row],[% INTERES ]]/30*U664))+Tabla14[[#This Row],[VALOR CUOTAS]]</f>
        <v>#VALUE!</v>
      </c>
      <c r="S664" s="88">
        <f>-IF(Tabla14[[#This Row],[DIAS HABILES O MORA]]&lt;0,(Tabla14[[#This Row],[VALOR PRESTAMO]]*Tabla14[[#This Row],[% INTERES ]]/30*U664))</f>
        <v>0</v>
      </c>
      <c r="T664" s="53" t="e">
        <f>Tabla14[[#This Row],[DEUDA CAPITAL]]+Tabla14[[#This Row],[INTERES  CUOTA]]</f>
        <v>#NUM!</v>
      </c>
      <c r="U664" s="61" t="str">
        <f t="shared" si="119"/>
        <v/>
      </c>
    </row>
    <row r="665" spans="9:21" ht="24.75" customHeight="1" x14ac:dyDescent="0.35">
      <c r="I665" s="42">
        <f t="shared" si="110"/>
        <v>0</v>
      </c>
      <c r="J665" s="65" t="e">
        <f t="shared" si="111"/>
        <v>#NUM!</v>
      </c>
      <c r="K665" s="83" t="e">
        <f t="shared" si="112"/>
        <v>#NUM!</v>
      </c>
      <c r="L665" s="83">
        <f t="shared" si="113"/>
        <v>0</v>
      </c>
      <c r="M665" s="110" t="str">
        <f t="shared" si="114"/>
        <v/>
      </c>
      <c r="N665" s="51" t="str">
        <f t="shared" si="115"/>
        <v/>
      </c>
      <c r="O665" s="52" t="str">
        <f t="shared" si="116"/>
        <v/>
      </c>
      <c r="P665" s="88">
        <f t="shared" si="117"/>
        <v>0</v>
      </c>
      <c r="Q665" s="88">
        <f t="shared" si="118"/>
        <v>0</v>
      </c>
      <c r="R665" s="88" t="e">
        <f>-IF(Tabla14[[#This Row],[DIAS HABILES O MORA]]&lt;0,(Tabla14[[#This Row],[VALOR PRESTAMO]]*Tabla14[[#This Row],[% INTERES ]]/30*U665))+Tabla14[[#This Row],[VALOR CUOTAS]]</f>
        <v>#VALUE!</v>
      </c>
      <c r="S665" s="88">
        <f>-IF(Tabla14[[#This Row],[DIAS HABILES O MORA]]&lt;0,(Tabla14[[#This Row],[VALOR PRESTAMO]]*Tabla14[[#This Row],[% INTERES ]]/30*U665))</f>
        <v>0</v>
      </c>
      <c r="T665" s="53" t="e">
        <f>Tabla14[[#This Row],[DEUDA CAPITAL]]+Tabla14[[#This Row],[INTERES  CUOTA]]</f>
        <v>#NUM!</v>
      </c>
      <c r="U665" s="61" t="str">
        <f t="shared" si="119"/>
        <v/>
      </c>
    </row>
    <row r="666" spans="9:21" ht="24.75" customHeight="1" x14ac:dyDescent="0.35">
      <c r="I666" s="42">
        <f t="shared" si="110"/>
        <v>0</v>
      </c>
      <c r="J666" s="65" t="e">
        <f t="shared" si="111"/>
        <v>#NUM!</v>
      </c>
      <c r="K666" s="83" t="e">
        <f t="shared" si="112"/>
        <v>#NUM!</v>
      </c>
      <c r="L666" s="83">
        <f t="shared" si="113"/>
        <v>0</v>
      </c>
      <c r="M666" s="110" t="str">
        <f t="shared" si="114"/>
        <v/>
      </c>
      <c r="N666" s="51" t="str">
        <f t="shared" si="115"/>
        <v/>
      </c>
      <c r="O666" s="52" t="str">
        <f t="shared" si="116"/>
        <v/>
      </c>
      <c r="P666" s="88">
        <f t="shared" si="117"/>
        <v>0</v>
      </c>
      <c r="Q666" s="88">
        <f t="shared" si="118"/>
        <v>0</v>
      </c>
      <c r="R666" s="88" t="e">
        <f>-IF(Tabla14[[#This Row],[DIAS HABILES O MORA]]&lt;0,(Tabla14[[#This Row],[VALOR PRESTAMO]]*Tabla14[[#This Row],[% INTERES ]]/30*U666))+Tabla14[[#This Row],[VALOR CUOTAS]]</f>
        <v>#VALUE!</v>
      </c>
      <c r="S666" s="88">
        <f>-IF(Tabla14[[#This Row],[DIAS HABILES O MORA]]&lt;0,(Tabla14[[#This Row],[VALOR PRESTAMO]]*Tabla14[[#This Row],[% INTERES ]]/30*U666))</f>
        <v>0</v>
      </c>
      <c r="T666" s="53" t="e">
        <f>Tabla14[[#This Row],[DEUDA CAPITAL]]+Tabla14[[#This Row],[INTERES  CUOTA]]</f>
        <v>#NUM!</v>
      </c>
      <c r="U666" s="61" t="str">
        <f t="shared" si="119"/>
        <v/>
      </c>
    </row>
    <row r="667" spans="9:21" ht="24.75" customHeight="1" x14ac:dyDescent="0.35">
      <c r="I667" s="42">
        <f t="shared" si="110"/>
        <v>0</v>
      </c>
      <c r="J667" s="65" t="e">
        <f t="shared" si="111"/>
        <v>#NUM!</v>
      </c>
      <c r="K667" s="83" t="e">
        <f t="shared" si="112"/>
        <v>#NUM!</v>
      </c>
      <c r="L667" s="83">
        <f t="shared" si="113"/>
        <v>0</v>
      </c>
      <c r="M667" s="110" t="str">
        <f t="shared" si="114"/>
        <v/>
      </c>
      <c r="N667" s="51" t="str">
        <f t="shared" si="115"/>
        <v/>
      </c>
      <c r="O667" s="52" t="str">
        <f t="shared" si="116"/>
        <v/>
      </c>
      <c r="P667" s="88">
        <f t="shared" si="117"/>
        <v>0</v>
      </c>
      <c r="Q667" s="88">
        <f t="shared" si="118"/>
        <v>0</v>
      </c>
      <c r="R667" s="88" t="e">
        <f>-IF(Tabla14[[#This Row],[DIAS HABILES O MORA]]&lt;0,(Tabla14[[#This Row],[VALOR PRESTAMO]]*Tabla14[[#This Row],[% INTERES ]]/30*U667))+Tabla14[[#This Row],[VALOR CUOTAS]]</f>
        <v>#VALUE!</v>
      </c>
      <c r="S667" s="88">
        <f>-IF(Tabla14[[#This Row],[DIAS HABILES O MORA]]&lt;0,(Tabla14[[#This Row],[VALOR PRESTAMO]]*Tabla14[[#This Row],[% INTERES ]]/30*U667))</f>
        <v>0</v>
      </c>
      <c r="T667" s="53" t="e">
        <f>Tabla14[[#This Row],[DEUDA CAPITAL]]+Tabla14[[#This Row],[INTERES  CUOTA]]</f>
        <v>#NUM!</v>
      </c>
      <c r="U667" s="61" t="str">
        <f t="shared" si="119"/>
        <v/>
      </c>
    </row>
    <row r="668" spans="9:21" ht="24.75" customHeight="1" x14ac:dyDescent="0.35">
      <c r="I668" s="42">
        <f t="shared" si="110"/>
        <v>0</v>
      </c>
      <c r="J668" s="65" t="e">
        <f t="shared" si="111"/>
        <v>#NUM!</v>
      </c>
      <c r="K668" s="83" t="e">
        <f t="shared" si="112"/>
        <v>#NUM!</v>
      </c>
      <c r="L668" s="83">
        <f t="shared" si="113"/>
        <v>0</v>
      </c>
      <c r="M668" s="110" t="str">
        <f t="shared" si="114"/>
        <v/>
      </c>
      <c r="N668" s="51" t="str">
        <f t="shared" si="115"/>
        <v/>
      </c>
      <c r="O668" s="52" t="str">
        <f t="shared" si="116"/>
        <v/>
      </c>
      <c r="P668" s="88">
        <f t="shared" si="117"/>
        <v>0</v>
      </c>
      <c r="Q668" s="88">
        <f t="shared" si="118"/>
        <v>0</v>
      </c>
      <c r="R668" s="88" t="e">
        <f>-IF(Tabla14[[#This Row],[DIAS HABILES O MORA]]&lt;0,(Tabla14[[#This Row],[VALOR PRESTAMO]]*Tabla14[[#This Row],[% INTERES ]]/30*U668))+Tabla14[[#This Row],[VALOR CUOTAS]]</f>
        <v>#VALUE!</v>
      </c>
      <c r="S668" s="88">
        <f>-IF(Tabla14[[#This Row],[DIAS HABILES O MORA]]&lt;0,(Tabla14[[#This Row],[VALOR PRESTAMO]]*Tabla14[[#This Row],[% INTERES ]]/30*U668))</f>
        <v>0</v>
      </c>
      <c r="T668" s="53" t="e">
        <f>Tabla14[[#This Row],[DEUDA CAPITAL]]+Tabla14[[#This Row],[INTERES  CUOTA]]</f>
        <v>#NUM!</v>
      </c>
      <c r="U668" s="61" t="str">
        <f t="shared" si="119"/>
        <v/>
      </c>
    </row>
    <row r="669" spans="9:21" ht="24.75" customHeight="1" x14ac:dyDescent="0.35">
      <c r="I669" s="42">
        <f t="shared" si="110"/>
        <v>0</v>
      </c>
      <c r="J669" s="65" t="e">
        <f t="shared" si="111"/>
        <v>#NUM!</v>
      </c>
      <c r="K669" s="83" t="e">
        <f t="shared" si="112"/>
        <v>#NUM!</v>
      </c>
      <c r="L669" s="83">
        <f t="shared" si="113"/>
        <v>0</v>
      </c>
      <c r="M669" s="110" t="str">
        <f t="shared" si="114"/>
        <v/>
      </c>
      <c r="N669" s="51" t="str">
        <f t="shared" si="115"/>
        <v/>
      </c>
      <c r="O669" s="52" t="str">
        <f t="shared" si="116"/>
        <v/>
      </c>
      <c r="P669" s="88">
        <f t="shared" si="117"/>
        <v>0</v>
      </c>
      <c r="Q669" s="88">
        <f t="shared" si="118"/>
        <v>0</v>
      </c>
      <c r="R669" s="88" t="e">
        <f>-IF(Tabla14[[#This Row],[DIAS HABILES O MORA]]&lt;0,(Tabla14[[#This Row],[VALOR PRESTAMO]]*Tabla14[[#This Row],[% INTERES ]]/30*U669))+Tabla14[[#This Row],[VALOR CUOTAS]]</f>
        <v>#VALUE!</v>
      </c>
      <c r="S669" s="88">
        <f>-IF(Tabla14[[#This Row],[DIAS HABILES O MORA]]&lt;0,(Tabla14[[#This Row],[VALOR PRESTAMO]]*Tabla14[[#This Row],[% INTERES ]]/30*U669))</f>
        <v>0</v>
      </c>
      <c r="T669" s="53" t="e">
        <f>Tabla14[[#This Row],[DEUDA CAPITAL]]+Tabla14[[#This Row],[INTERES  CUOTA]]</f>
        <v>#NUM!</v>
      </c>
      <c r="U669" s="61" t="str">
        <f t="shared" si="119"/>
        <v/>
      </c>
    </row>
    <row r="670" spans="9:21" ht="24.75" customHeight="1" x14ac:dyDescent="0.35">
      <c r="I670" s="42">
        <f t="shared" si="110"/>
        <v>0</v>
      </c>
      <c r="J670" s="65" t="e">
        <f t="shared" si="111"/>
        <v>#NUM!</v>
      </c>
      <c r="K670" s="83" t="e">
        <f t="shared" si="112"/>
        <v>#NUM!</v>
      </c>
      <c r="L670" s="83">
        <f t="shared" si="113"/>
        <v>0</v>
      </c>
      <c r="M670" s="110" t="str">
        <f t="shared" si="114"/>
        <v/>
      </c>
      <c r="N670" s="51" t="str">
        <f t="shared" si="115"/>
        <v/>
      </c>
      <c r="O670" s="52" t="str">
        <f t="shared" si="116"/>
        <v/>
      </c>
      <c r="P670" s="88">
        <f t="shared" si="117"/>
        <v>0</v>
      </c>
      <c r="Q670" s="88">
        <f t="shared" si="118"/>
        <v>0</v>
      </c>
      <c r="R670" s="88" t="e">
        <f>-IF(Tabla14[[#This Row],[DIAS HABILES O MORA]]&lt;0,(Tabla14[[#This Row],[VALOR PRESTAMO]]*Tabla14[[#This Row],[% INTERES ]]/30*U670))+Tabla14[[#This Row],[VALOR CUOTAS]]</f>
        <v>#VALUE!</v>
      </c>
      <c r="S670" s="88">
        <f>-IF(Tabla14[[#This Row],[DIAS HABILES O MORA]]&lt;0,(Tabla14[[#This Row],[VALOR PRESTAMO]]*Tabla14[[#This Row],[% INTERES ]]/30*U670))</f>
        <v>0</v>
      </c>
      <c r="T670" s="53" t="e">
        <f>Tabla14[[#This Row],[DEUDA CAPITAL]]+Tabla14[[#This Row],[INTERES  CUOTA]]</f>
        <v>#NUM!</v>
      </c>
      <c r="U670" s="61" t="str">
        <f t="shared" si="119"/>
        <v/>
      </c>
    </row>
    <row r="671" spans="9:21" ht="24.75" customHeight="1" x14ac:dyDescent="0.35">
      <c r="I671" s="42">
        <f t="shared" si="110"/>
        <v>0</v>
      </c>
      <c r="J671" s="65" t="e">
        <f t="shared" si="111"/>
        <v>#NUM!</v>
      </c>
      <c r="K671" s="83" t="e">
        <f t="shared" si="112"/>
        <v>#NUM!</v>
      </c>
      <c r="L671" s="83">
        <f t="shared" si="113"/>
        <v>0</v>
      </c>
      <c r="M671" s="110" t="str">
        <f t="shared" si="114"/>
        <v/>
      </c>
      <c r="N671" s="51" t="str">
        <f t="shared" si="115"/>
        <v/>
      </c>
      <c r="O671" s="52" t="str">
        <f t="shared" si="116"/>
        <v/>
      </c>
      <c r="P671" s="88">
        <f t="shared" si="117"/>
        <v>0</v>
      </c>
      <c r="Q671" s="88">
        <f t="shared" si="118"/>
        <v>0</v>
      </c>
      <c r="R671" s="88" t="e">
        <f>-IF(Tabla14[[#This Row],[DIAS HABILES O MORA]]&lt;0,(Tabla14[[#This Row],[VALOR PRESTAMO]]*Tabla14[[#This Row],[% INTERES ]]/30*U671))+Tabla14[[#This Row],[VALOR CUOTAS]]</f>
        <v>#VALUE!</v>
      </c>
      <c r="S671" s="88">
        <f>-IF(Tabla14[[#This Row],[DIAS HABILES O MORA]]&lt;0,(Tabla14[[#This Row],[VALOR PRESTAMO]]*Tabla14[[#This Row],[% INTERES ]]/30*U671))</f>
        <v>0</v>
      </c>
      <c r="T671" s="53" t="e">
        <f>Tabla14[[#This Row],[DEUDA CAPITAL]]+Tabla14[[#This Row],[INTERES  CUOTA]]</f>
        <v>#NUM!</v>
      </c>
      <c r="U671" s="61" t="str">
        <f t="shared" si="119"/>
        <v/>
      </c>
    </row>
    <row r="672" spans="9:21" ht="24.75" customHeight="1" x14ac:dyDescent="0.35">
      <c r="I672" s="42">
        <f t="shared" si="110"/>
        <v>0</v>
      </c>
      <c r="J672" s="65" t="e">
        <f t="shared" si="111"/>
        <v>#NUM!</v>
      </c>
      <c r="K672" s="83" t="e">
        <f t="shared" si="112"/>
        <v>#NUM!</v>
      </c>
      <c r="L672" s="83">
        <f t="shared" si="113"/>
        <v>0</v>
      </c>
      <c r="M672" s="110" t="str">
        <f t="shared" si="114"/>
        <v/>
      </c>
      <c r="N672" s="51" t="str">
        <f t="shared" si="115"/>
        <v/>
      </c>
      <c r="O672" s="52" t="str">
        <f t="shared" si="116"/>
        <v/>
      </c>
      <c r="P672" s="88">
        <f t="shared" si="117"/>
        <v>0</v>
      </c>
      <c r="Q672" s="88">
        <f t="shared" si="118"/>
        <v>0</v>
      </c>
      <c r="R672" s="88" t="e">
        <f>-IF(Tabla14[[#This Row],[DIAS HABILES O MORA]]&lt;0,(Tabla14[[#This Row],[VALOR PRESTAMO]]*Tabla14[[#This Row],[% INTERES ]]/30*U672))+Tabla14[[#This Row],[VALOR CUOTAS]]</f>
        <v>#VALUE!</v>
      </c>
      <c r="S672" s="88">
        <f>-IF(Tabla14[[#This Row],[DIAS HABILES O MORA]]&lt;0,(Tabla14[[#This Row],[VALOR PRESTAMO]]*Tabla14[[#This Row],[% INTERES ]]/30*U672))</f>
        <v>0</v>
      </c>
      <c r="T672" s="53" t="e">
        <f>Tabla14[[#This Row],[DEUDA CAPITAL]]+Tabla14[[#This Row],[INTERES  CUOTA]]</f>
        <v>#NUM!</v>
      </c>
      <c r="U672" s="61" t="str">
        <f t="shared" si="119"/>
        <v/>
      </c>
    </row>
    <row r="673" spans="9:21" ht="24.75" customHeight="1" x14ac:dyDescent="0.35">
      <c r="I673" s="42">
        <f t="shared" si="110"/>
        <v>0</v>
      </c>
      <c r="J673" s="65" t="e">
        <f t="shared" si="111"/>
        <v>#NUM!</v>
      </c>
      <c r="K673" s="83" t="e">
        <f t="shared" si="112"/>
        <v>#NUM!</v>
      </c>
      <c r="L673" s="83">
        <f t="shared" si="113"/>
        <v>0</v>
      </c>
      <c r="M673" s="110" t="str">
        <f t="shared" si="114"/>
        <v/>
      </c>
      <c r="N673" s="51" t="str">
        <f t="shared" si="115"/>
        <v/>
      </c>
      <c r="O673" s="52" t="str">
        <f t="shared" si="116"/>
        <v/>
      </c>
      <c r="P673" s="88">
        <f t="shared" si="117"/>
        <v>0</v>
      </c>
      <c r="Q673" s="88">
        <f t="shared" si="118"/>
        <v>0</v>
      </c>
      <c r="R673" s="88" t="e">
        <f>-IF(Tabla14[[#This Row],[DIAS HABILES O MORA]]&lt;0,(Tabla14[[#This Row],[VALOR PRESTAMO]]*Tabla14[[#This Row],[% INTERES ]]/30*U673))+Tabla14[[#This Row],[VALOR CUOTAS]]</f>
        <v>#VALUE!</v>
      </c>
      <c r="S673" s="88">
        <f>-IF(Tabla14[[#This Row],[DIAS HABILES O MORA]]&lt;0,(Tabla14[[#This Row],[VALOR PRESTAMO]]*Tabla14[[#This Row],[% INTERES ]]/30*U673))</f>
        <v>0</v>
      </c>
      <c r="T673" s="53" t="e">
        <f>Tabla14[[#This Row],[DEUDA CAPITAL]]+Tabla14[[#This Row],[INTERES  CUOTA]]</f>
        <v>#NUM!</v>
      </c>
      <c r="U673" s="61" t="str">
        <f t="shared" si="119"/>
        <v/>
      </c>
    </row>
    <row r="674" spans="9:21" ht="24.75" customHeight="1" x14ac:dyDescent="0.35">
      <c r="I674" s="42">
        <f t="shared" si="110"/>
        <v>0</v>
      </c>
      <c r="J674" s="65" t="e">
        <f t="shared" si="111"/>
        <v>#NUM!</v>
      </c>
      <c r="K674" s="83" t="e">
        <f t="shared" si="112"/>
        <v>#NUM!</v>
      </c>
      <c r="L674" s="83">
        <f t="shared" si="113"/>
        <v>0</v>
      </c>
      <c r="M674" s="110" t="str">
        <f t="shared" si="114"/>
        <v/>
      </c>
      <c r="N674" s="51" t="str">
        <f t="shared" si="115"/>
        <v/>
      </c>
      <c r="O674" s="52" t="str">
        <f t="shared" si="116"/>
        <v/>
      </c>
      <c r="P674" s="88">
        <f t="shared" si="117"/>
        <v>0</v>
      </c>
      <c r="Q674" s="88">
        <f t="shared" si="118"/>
        <v>0</v>
      </c>
      <c r="R674" s="88" t="e">
        <f>-IF(Tabla14[[#This Row],[DIAS HABILES O MORA]]&lt;0,(Tabla14[[#This Row],[VALOR PRESTAMO]]*Tabla14[[#This Row],[% INTERES ]]/30*U674))+Tabla14[[#This Row],[VALOR CUOTAS]]</f>
        <v>#VALUE!</v>
      </c>
      <c r="S674" s="88">
        <f>-IF(Tabla14[[#This Row],[DIAS HABILES O MORA]]&lt;0,(Tabla14[[#This Row],[VALOR PRESTAMO]]*Tabla14[[#This Row],[% INTERES ]]/30*U674))</f>
        <v>0</v>
      </c>
      <c r="T674" s="53" t="e">
        <f>Tabla14[[#This Row],[DEUDA CAPITAL]]+Tabla14[[#This Row],[INTERES  CUOTA]]</f>
        <v>#NUM!</v>
      </c>
      <c r="U674" s="61" t="str">
        <f t="shared" si="119"/>
        <v/>
      </c>
    </row>
    <row r="675" spans="9:21" ht="24.75" customHeight="1" x14ac:dyDescent="0.35">
      <c r="I675" s="42">
        <f t="shared" si="110"/>
        <v>0</v>
      </c>
      <c r="J675" s="65" t="e">
        <f t="shared" si="111"/>
        <v>#NUM!</v>
      </c>
      <c r="K675" s="83" t="e">
        <f t="shared" si="112"/>
        <v>#NUM!</v>
      </c>
      <c r="L675" s="83">
        <f t="shared" si="113"/>
        <v>0</v>
      </c>
      <c r="M675" s="110" t="str">
        <f t="shared" si="114"/>
        <v/>
      </c>
      <c r="N675" s="51" t="str">
        <f t="shared" si="115"/>
        <v/>
      </c>
      <c r="O675" s="52" t="str">
        <f t="shared" si="116"/>
        <v/>
      </c>
      <c r="P675" s="88">
        <f t="shared" si="117"/>
        <v>0</v>
      </c>
      <c r="Q675" s="88">
        <f t="shared" si="118"/>
        <v>0</v>
      </c>
      <c r="R675" s="88" t="e">
        <f>-IF(Tabla14[[#This Row],[DIAS HABILES O MORA]]&lt;0,(Tabla14[[#This Row],[VALOR PRESTAMO]]*Tabla14[[#This Row],[% INTERES ]]/30*U675))+Tabla14[[#This Row],[VALOR CUOTAS]]</f>
        <v>#VALUE!</v>
      </c>
      <c r="S675" s="88">
        <f>-IF(Tabla14[[#This Row],[DIAS HABILES O MORA]]&lt;0,(Tabla14[[#This Row],[VALOR PRESTAMO]]*Tabla14[[#This Row],[% INTERES ]]/30*U675))</f>
        <v>0</v>
      </c>
      <c r="T675" s="53" t="e">
        <f>Tabla14[[#This Row],[DEUDA CAPITAL]]+Tabla14[[#This Row],[INTERES  CUOTA]]</f>
        <v>#NUM!</v>
      </c>
      <c r="U675" s="61" t="str">
        <f t="shared" si="119"/>
        <v/>
      </c>
    </row>
    <row r="676" spans="9:21" ht="24.75" customHeight="1" x14ac:dyDescent="0.35">
      <c r="I676" s="42">
        <f t="shared" si="110"/>
        <v>0</v>
      </c>
      <c r="J676" s="65" t="e">
        <f t="shared" si="111"/>
        <v>#NUM!</v>
      </c>
      <c r="K676" s="83" t="e">
        <f t="shared" si="112"/>
        <v>#NUM!</v>
      </c>
      <c r="L676" s="83">
        <f t="shared" si="113"/>
        <v>0</v>
      </c>
      <c r="M676" s="110" t="str">
        <f t="shared" si="114"/>
        <v/>
      </c>
      <c r="N676" s="51" t="str">
        <f t="shared" si="115"/>
        <v/>
      </c>
      <c r="O676" s="52" t="str">
        <f t="shared" si="116"/>
        <v/>
      </c>
      <c r="P676" s="88">
        <f t="shared" si="117"/>
        <v>0</v>
      </c>
      <c r="Q676" s="88">
        <f t="shared" si="118"/>
        <v>0</v>
      </c>
      <c r="R676" s="88" t="e">
        <f>-IF(Tabla14[[#This Row],[DIAS HABILES O MORA]]&lt;0,(Tabla14[[#This Row],[VALOR PRESTAMO]]*Tabla14[[#This Row],[% INTERES ]]/30*U676))+Tabla14[[#This Row],[VALOR CUOTAS]]</f>
        <v>#VALUE!</v>
      </c>
      <c r="S676" s="88">
        <f>-IF(Tabla14[[#This Row],[DIAS HABILES O MORA]]&lt;0,(Tabla14[[#This Row],[VALOR PRESTAMO]]*Tabla14[[#This Row],[% INTERES ]]/30*U676))</f>
        <v>0</v>
      </c>
      <c r="T676" s="53" t="e">
        <f>Tabla14[[#This Row],[DEUDA CAPITAL]]+Tabla14[[#This Row],[INTERES  CUOTA]]</f>
        <v>#NUM!</v>
      </c>
      <c r="U676" s="61" t="str">
        <f t="shared" si="119"/>
        <v/>
      </c>
    </row>
    <row r="677" spans="9:21" ht="24.75" customHeight="1" x14ac:dyDescent="0.35">
      <c r="I677" s="42">
        <f t="shared" si="110"/>
        <v>0</v>
      </c>
      <c r="J677" s="65" t="e">
        <f t="shared" si="111"/>
        <v>#NUM!</v>
      </c>
      <c r="K677" s="83" t="e">
        <f t="shared" si="112"/>
        <v>#NUM!</v>
      </c>
      <c r="L677" s="83">
        <f t="shared" si="113"/>
        <v>0</v>
      </c>
      <c r="M677" s="110" t="str">
        <f t="shared" si="114"/>
        <v/>
      </c>
      <c r="N677" s="51" t="str">
        <f t="shared" si="115"/>
        <v/>
      </c>
      <c r="O677" s="52" t="str">
        <f t="shared" si="116"/>
        <v/>
      </c>
      <c r="P677" s="88">
        <f t="shared" si="117"/>
        <v>0</v>
      </c>
      <c r="Q677" s="88">
        <f t="shared" si="118"/>
        <v>0</v>
      </c>
      <c r="R677" s="88" t="e">
        <f>-IF(Tabla14[[#This Row],[DIAS HABILES O MORA]]&lt;0,(Tabla14[[#This Row],[VALOR PRESTAMO]]*Tabla14[[#This Row],[% INTERES ]]/30*U677))+Tabla14[[#This Row],[VALOR CUOTAS]]</f>
        <v>#VALUE!</v>
      </c>
      <c r="S677" s="88">
        <f>-IF(Tabla14[[#This Row],[DIAS HABILES O MORA]]&lt;0,(Tabla14[[#This Row],[VALOR PRESTAMO]]*Tabla14[[#This Row],[% INTERES ]]/30*U677))</f>
        <v>0</v>
      </c>
      <c r="T677" s="53" t="e">
        <f>Tabla14[[#This Row],[DEUDA CAPITAL]]+Tabla14[[#This Row],[INTERES  CUOTA]]</f>
        <v>#NUM!</v>
      </c>
      <c r="U677" s="61" t="str">
        <f t="shared" si="119"/>
        <v/>
      </c>
    </row>
    <row r="678" spans="9:21" ht="24.75" customHeight="1" x14ac:dyDescent="0.35">
      <c r="I678" s="42">
        <f t="shared" si="110"/>
        <v>0</v>
      </c>
      <c r="J678" s="65" t="e">
        <f t="shared" si="111"/>
        <v>#NUM!</v>
      </c>
      <c r="K678" s="83" t="e">
        <f t="shared" si="112"/>
        <v>#NUM!</v>
      </c>
      <c r="L678" s="83">
        <f t="shared" si="113"/>
        <v>0</v>
      </c>
      <c r="M678" s="110" t="str">
        <f t="shared" si="114"/>
        <v/>
      </c>
      <c r="N678" s="51" t="str">
        <f t="shared" si="115"/>
        <v/>
      </c>
      <c r="O678" s="52" t="str">
        <f t="shared" si="116"/>
        <v/>
      </c>
      <c r="P678" s="88">
        <f t="shared" si="117"/>
        <v>0</v>
      </c>
      <c r="Q678" s="88">
        <f t="shared" si="118"/>
        <v>0</v>
      </c>
      <c r="R678" s="88" t="e">
        <f>-IF(Tabla14[[#This Row],[DIAS HABILES O MORA]]&lt;0,(Tabla14[[#This Row],[VALOR PRESTAMO]]*Tabla14[[#This Row],[% INTERES ]]/30*U678))+Tabla14[[#This Row],[VALOR CUOTAS]]</f>
        <v>#VALUE!</v>
      </c>
      <c r="S678" s="88">
        <f>-IF(Tabla14[[#This Row],[DIAS HABILES O MORA]]&lt;0,(Tabla14[[#This Row],[VALOR PRESTAMO]]*Tabla14[[#This Row],[% INTERES ]]/30*U678))</f>
        <v>0</v>
      </c>
      <c r="T678" s="53" t="e">
        <f>Tabla14[[#This Row],[DEUDA CAPITAL]]+Tabla14[[#This Row],[INTERES  CUOTA]]</f>
        <v>#NUM!</v>
      </c>
      <c r="U678" s="61" t="str">
        <f t="shared" si="119"/>
        <v/>
      </c>
    </row>
    <row r="679" spans="9:21" ht="24.75" customHeight="1" x14ac:dyDescent="0.35">
      <c r="I679" s="42">
        <f t="shared" si="110"/>
        <v>0</v>
      </c>
      <c r="J679" s="65" t="e">
        <f t="shared" si="111"/>
        <v>#NUM!</v>
      </c>
      <c r="K679" s="83" t="e">
        <f t="shared" si="112"/>
        <v>#NUM!</v>
      </c>
      <c r="L679" s="83">
        <f t="shared" si="113"/>
        <v>0</v>
      </c>
      <c r="M679" s="110" t="str">
        <f t="shared" si="114"/>
        <v/>
      </c>
      <c r="N679" s="51" t="str">
        <f t="shared" si="115"/>
        <v/>
      </c>
      <c r="O679" s="52" t="str">
        <f t="shared" si="116"/>
        <v/>
      </c>
      <c r="P679" s="88">
        <f t="shared" si="117"/>
        <v>0</v>
      </c>
      <c r="Q679" s="88">
        <f t="shared" si="118"/>
        <v>0</v>
      </c>
      <c r="R679" s="88" t="e">
        <f>-IF(Tabla14[[#This Row],[DIAS HABILES O MORA]]&lt;0,(Tabla14[[#This Row],[VALOR PRESTAMO]]*Tabla14[[#This Row],[% INTERES ]]/30*U679))+Tabla14[[#This Row],[VALOR CUOTAS]]</f>
        <v>#VALUE!</v>
      </c>
      <c r="S679" s="88">
        <f>-IF(Tabla14[[#This Row],[DIAS HABILES O MORA]]&lt;0,(Tabla14[[#This Row],[VALOR PRESTAMO]]*Tabla14[[#This Row],[% INTERES ]]/30*U679))</f>
        <v>0</v>
      </c>
      <c r="T679" s="53" t="e">
        <f>Tabla14[[#This Row],[DEUDA CAPITAL]]+Tabla14[[#This Row],[INTERES  CUOTA]]</f>
        <v>#NUM!</v>
      </c>
      <c r="U679" s="61" t="str">
        <f t="shared" si="119"/>
        <v/>
      </c>
    </row>
    <row r="680" spans="9:21" ht="24.75" customHeight="1" x14ac:dyDescent="0.35">
      <c r="I680" s="42">
        <f t="shared" si="110"/>
        <v>0</v>
      </c>
      <c r="J680" s="65" t="e">
        <f t="shared" si="111"/>
        <v>#NUM!</v>
      </c>
      <c r="K680" s="83" t="e">
        <f t="shared" si="112"/>
        <v>#NUM!</v>
      </c>
      <c r="L680" s="83">
        <f t="shared" si="113"/>
        <v>0</v>
      </c>
      <c r="M680" s="110" t="str">
        <f t="shared" si="114"/>
        <v/>
      </c>
      <c r="N680" s="51" t="str">
        <f t="shared" si="115"/>
        <v/>
      </c>
      <c r="O680" s="52" t="str">
        <f t="shared" si="116"/>
        <v/>
      </c>
      <c r="P680" s="88">
        <f t="shared" si="117"/>
        <v>0</v>
      </c>
      <c r="Q680" s="88">
        <f t="shared" si="118"/>
        <v>0</v>
      </c>
      <c r="R680" s="88" t="e">
        <f>-IF(Tabla14[[#This Row],[DIAS HABILES O MORA]]&lt;0,(Tabla14[[#This Row],[VALOR PRESTAMO]]*Tabla14[[#This Row],[% INTERES ]]/30*U680))+Tabla14[[#This Row],[VALOR CUOTAS]]</f>
        <v>#VALUE!</v>
      </c>
      <c r="S680" s="88">
        <f>-IF(Tabla14[[#This Row],[DIAS HABILES O MORA]]&lt;0,(Tabla14[[#This Row],[VALOR PRESTAMO]]*Tabla14[[#This Row],[% INTERES ]]/30*U680))</f>
        <v>0</v>
      </c>
      <c r="T680" s="53" t="e">
        <f>Tabla14[[#This Row],[DEUDA CAPITAL]]+Tabla14[[#This Row],[INTERES  CUOTA]]</f>
        <v>#NUM!</v>
      </c>
      <c r="U680" s="61" t="str">
        <f t="shared" si="119"/>
        <v/>
      </c>
    </row>
    <row r="681" spans="9:21" ht="24.75" customHeight="1" x14ac:dyDescent="0.35">
      <c r="I681" s="42">
        <f t="shared" si="110"/>
        <v>0</v>
      </c>
      <c r="J681" s="65" t="e">
        <f t="shared" si="111"/>
        <v>#NUM!</v>
      </c>
      <c r="K681" s="83" t="e">
        <f t="shared" si="112"/>
        <v>#NUM!</v>
      </c>
      <c r="L681" s="83">
        <f t="shared" si="113"/>
        <v>0</v>
      </c>
      <c r="M681" s="110" t="str">
        <f t="shared" si="114"/>
        <v/>
      </c>
      <c r="N681" s="51" t="str">
        <f t="shared" si="115"/>
        <v/>
      </c>
      <c r="O681" s="52" t="str">
        <f t="shared" si="116"/>
        <v/>
      </c>
      <c r="P681" s="88">
        <f t="shared" si="117"/>
        <v>0</v>
      </c>
      <c r="Q681" s="88">
        <f t="shared" si="118"/>
        <v>0</v>
      </c>
      <c r="R681" s="88" t="e">
        <f>-IF(Tabla14[[#This Row],[DIAS HABILES O MORA]]&lt;0,(Tabla14[[#This Row],[VALOR PRESTAMO]]*Tabla14[[#This Row],[% INTERES ]]/30*U681))+Tabla14[[#This Row],[VALOR CUOTAS]]</f>
        <v>#VALUE!</v>
      </c>
      <c r="S681" s="88">
        <f>-IF(Tabla14[[#This Row],[DIAS HABILES O MORA]]&lt;0,(Tabla14[[#This Row],[VALOR PRESTAMO]]*Tabla14[[#This Row],[% INTERES ]]/30*U681))</f>
        <v>0</v>
      </c>
      <c r="T681" s="53" t="e">
        <f>Tabla14[[#This Row],[DEUDA CAPITAL]]+Tabla14[[#This Row],[INTERES  CUOTA]]</f>
        <v>#NUM!</v>
      </c>
      <c r="U681" s="61" t="str">
        <f t="shared" si="119"/>
        <v/>
      </c>
    </row>
    <row r="682" spans="9:21" ht="24.75" customHeight="1" x14ac:dyDescent="0.35">
      <c r="I682" s="42">
        <f t="shared" si="110"/>
        <v>0</v>
      </c>
      <c r="J682" s="65" t="e">
        <f t="shared" si="111"/>
        <v>#NUM!</v>
      </c>
      <c r="K682" s="83" t="e">
        <f t="shared" si="112"/>
        <v>#NUM!</v>
      </c>
      <c r="L682" s="83">
        <f t="shared" si="113"/>
        <v>0</v>
      </c>
      <c r="M682" s="110" t="str">
        <f t="shared" si="114"/>
        <v/>
      </c>
      <c r="N682" s="51" t="str">
        <f t="shared" si="115"/>
        <v/>
      </c>
      <c r="O682" s="52" t="str">
        <f t="shared" si="116"/>
        <v/>
      </c>
      <c r="P682" s="88">
        <f t="shared" si="117"/>
        <v>0</v>
      </c>
      <c r="Q682" s="88">
        <f t="shared" si="118"/>
        <v>0</v>
      </c>
      <c r="R682" s="88" t="e">
        <f>-IF(Tabla14[[#This Row],[DIAS HABILES O MORA]]&lt;0,(Tabla14[[#This Row],[VALOR PRESTAMO]]*Tabla14[[#This Row],[% INTERES ]]/30*U682))+Tabla14[[#This Row],[VALOR CUOTAS]]</f>
        <v>#VALUE!</v>
      </c>
      <c r="S682" s="88">
        <f>-IF(Tabla14[[#This Row],[DIAS HABILES O MORA]]&lt;0,(Tabla14[[#This Row],[VALOR PRESTAMO]]*Tabla14[[#This Row],[% INTERES ]]/30*U682))</f>
        <v>0</v>
      </c>
      <c r="T682" s="53" t="e">
        <f>Tabla14[[#This Row],[DEUDA CAPITAL]]+Tabla14[[#This Row],[INTERES  CUOTA]]</f>
        <v>#NUM!</v>
      </c>
      <c r="U682" s="61" t="str">
        <f t="shared" si="119"/>
        <v/>
      </c>
    </row>
    <row r="683" spans="9:21" ht="24.75" customHeight="1" x14ac:dyDescent="0.35">
      <c r="I683" s="42">
        <f t="shared" si="110"/>
        <v>0</v>
      </c>
      <c r="J683" s="65" t="e">
        <f t="shared" si="111"/>
        <v>#NUM!</v>
      </c>
      <c r="K683" s="83" t="e">
        <f t="shared" si="112"/>
        <v>#NUM!</v>
      </c>
      <c r="L683" s="83">
        <f t="shared" si="113"/>
        <v>0</v>
      </c>
      <c r="M683" s="110" t="str">
        <f t="shared" si="114"/>
        <v/>
      </c>
      <c r="N683" s="51" t="str">
        <f t="shared" si="115"/>
        <v/>
      </c>
      <c r="O683" s="52" t="str">
        <f t="shared" si="116"/>
        <v/>
      </c>
      <c r="P683" s="88">
        <f t="shared" si="117"/>
        <v>0</v>
      </c>
      <c r="Q683" s="88">
        <f t="shared" si="118"/>
        <v>0</v>
      </c>
      <c r="R683" s="88" t="e">
        <f>-IF(Tabla14[[#This Row],[DIAS HABILES O MORA]]&lt;0,(Tabla14[[#This Row],[VALOR PRESTAMO]]*Tabla14[[#This Row],[% INTERES ]]/30*U683))+Tabla14[[#This Row],[VALOR CUOTAS]]</f>
        <v>#VALUE!</v>
      </c>
      <c r="S683" s="88">
        <f>-IF(Tabla14[[#This Row],[DIAS HABILES O MORA]]&lt;0,(Tabla14[[#This Row],[VALOR PRESTAMO]]*Tabla14[[#This Row],[% INTERES ]]/30*U683))</f>
        <v>0</v>
      </c>
      <c r="T683" s="53" t="e">
        <f>Tabla14[[#This Row],[DEUDA CAPITAL]]+Tabla14[[#This Row],[INTERES  CUOTA]]</f>
        <v>#NUM!</v>
      </c>
      <c r="U683" s="61" t="str">
        <f t="shared" si="119"/>
        <v/>
      </c>
    </row>
    <row r="684" spans="9:21" ht="24.75" customHeight="1" x14ac:dyDescent="0.35">
      <c r="I684" s="42">
        <f t="shared" si="110"/>
        <v>0</v>
      </c>
      <c r="J684" s="65" t="e">
        <f t="shared" si="111"/>
        <v>#NUM!</v>
      </c>
      <c r="K684" s="83" t="e">
        <f t="shared" si="112"/>
        <v>#NUM!</v>
      </c>
      <c r="L684" s="83">
        <f t="shared" si="113"/>
        <v>0</v>
      </c>
      <c r="M684" s="110" t="str">
        <f t="shared" si="114"/>
        <v/>
      </c>
      <c r="N684" s="51" t="str">
        <f t="shared" si="115"/>
        <v/>
      </c>
      <c r="O684" s="52" t="str">
        <f t="shared" si="116"/>
        <v/>
      </c>
      <c r="P684" s="88">
        <f t="shared" si="117"/>
        <v>0</v>
      </c>
      <c r="Q684" s="88">
        <f t="shared" si="118"/>
        <v>0</v>
      </c>
      <c r="R684" s="88" t="e">
        <f>-IF(Tabla14[[#This Row],[DIAS HABILES O MORA]]&lt;0,(Tabla14[[#This Row],[VALOR PRESTAMO]]*Tabla14[[#This Row],[% INTERES ]]/30*U684))+Tabla14[[#This Row],[VALOR CUOTAS]]</f>
        <v>#VALUE!</v>
      </c>
      <c r="S684" s="88">
        <f>-IF(Tabla14[[#This Row],[DIAS HABILES O MORA]]&lt;0,(Tabla14[[#This Row],[VALOR PRESTAMO]]*Tabla14[[#This Row],[% INTERES ]]/30*U684))</f>
        <v>0</v>
      </c>
      <c r="T684" s="53" t="e">
        <f>Tabla14[[#This Row],[DEUDA CAPITAL]]+Tabla14[[#This Row],[INTERES  CUOTA]]</f>
        <v>#NUM!</v>
      </c>
      <c r="U684" s="61" t="str">
        <f t="shared" si="119"/>
        <v/>
      </c>
    </row>
    <row r="685" spans="9:21" ht="24.75" customHeight="1" x14ac:dyDescent="0.35">
      <c r="I685" s="42">
        <f t="shared" si="110"/>
        <v>0</v>
      </c>
      <c r="J685" s="65" t="e">
        <f t="shared" si="111"/>
        <v>#NUM!</v>
      </c>
      <c r="K685" s="83" t="e">
        <f t="shared" si="112"/>
        <v>#NUM!</v>
      </c>
      <c r="L685" s="83">
        <f t="shared" si="113"/>
        <v>0</v>
      </c>
      <c r="M685" s="110" t="str">
        <f t="shared" si="114"/>
        <v/>
      </c>
      <c r="N685" s="51" t="str">
        <f t="shared" si="115"/>
        <v/>
      </c>
      <c r="O685" s="52" t="str">
        <f t="shared" si="116"/>
        <v/>
      </c>
      <c r="P685" s="88">
        <f t="shared" si="117"/>
        <v>0</v>
      </c>
      <c r="Q685" s="88">
        <f t="shared" si="118"/>
        <v>0</v>
      </c>
      <c r="R685" s="88" t="e">
        <f>-IF(Tabla14[[#This Row],[DIAS HABILES O MORA]]&lt;0,(Tabla14[[#This Row],[VALOR PRESTAMO]]*Tabla14[[#This Row],[% INTERES ]]/30*U685))+Tabla14[[#This Row],[VALOR CUOTAS]]</f>
        <v>#VALUE!</v>
      </c>
      <c r="S685" s="88">
        <f>-IF(Tabla14[[#This Row],[DIAS HABILES O MORA]]&lt;0,(Tabla14[[#This Row],[VALOR PRESTAMO]]*Tabla14[[#This Row],[% INTERES ]]/30*U685))</f>
        <v>0</v>
      </c>
      <c r="T685" s="53" t="e">
        <f>Tabla14[[#This Row],[DEUDA CAPITAL]]+Tabla14[[#This Row],[INTERES  CUOTA]]</f>
        <v>#NUM!</v>
      </c>
      <c r="U685" s="61" t="str">
        <f t="shared" si="119"/>
        <v/>
      </c>
    </row>
    <row r="686" spans="9:21" ht="24.75" customHeight="1" x14ac:dyDescent="0.35">
      <c r="I686" s="42">
        <f t="shared" si="110"/>
        <v>0</v>
      </c>
      <c r="J686" s="65" t="e">
        <f t="shared" si="111"/>
        <v>#NUM!</v>
      </c>
      <c r="K686" s="83" t="e">
        <f t="shared" si="112"/>
        <v>#NUM!</v>
      </c>
      <c r="L686" s="83">
        <f t="shared" si="113"/>
        <v>0</v>
      </c>
      <c r="M686" s="110" t="str">
        <f t="shared" si="114"/>
        <v/>
      </c>
      <c r="N686" s="51" t="str">
        <f t="shared" si="115"/>
        <v/>
      </c>
      <c r="O686" s="52" t="str">
        <f t="shared" si="116"/>
        <v/>
      </c>
      <c r="P686" s="88">
        <f t="shared" si="117"/>
        <v>0</v>
      </c>
      <c r="Q686" s="88">
        <f t="shared" si="118"/>
        <v>0</v>
      </c>
      <c r="R686" s="88" t="e">
        <f>-IF(Tabla14[[#This Row],[DIAS HABILES O MORA]]&lt;0,(Tabla14[[#This Row],[VALOR PRESTAMO]]*Tabla14[[#This Row],[% INTERES ]]/30*U686))+Tabla14[[#This Row],[VALOR CUOTAS]]</f>
        <v>#VALUE!</v>
      </c>
      <c r="S686" s="88">
        <f>-IF(Tabla14[[#This Row],[DIAS HABILES O MORA]]&lt;0,(Tabla14[[#This Row],[VALOR PRESTAMO]]*Tabla14[[#This Row],[% INTERES ]]/30*U686))</f>
        <v>0</v>
      </c>
      <c r="T686" s="53" t="e">
        <f>Tabla14[[#This Row],[DEUDA CAPITAL]]+Tabla14[[#This Row],[INTERES  CUOTA]]</f>
        <v>#NUM!</v>
      </c>
      <c r="U686" s="61" t="str">
        <f t="shared" si="119"/>
        <v/>
      </c>
    </row>
    <row r="687" spans="9:21" ht="24.75" customHeight="1" x14ac:dyDescent="0.35">
      <c r="I687" s="42">
        <f t="shared" si="110"/>
        <v>0</v>
      </c>
      <c r="J687" s="65" t="e">
        <f t="shared" si="111"/>
        <v>#NUM!</v>
      </c>
      <c r="K687" s="83" t="e">
        <f t="shared" si="112"/>
        <v>#NUM!</v>
      </c>
      <c r="L687" s="83">
        <f t="shared" si="113"/>
        <v>0</v>
      </c>
      <c r="M687" s="110" t="str">
        <f t="shared" si="114"/>
        <v/>
      </c>
      <c r="N687" s="51" t="str">
        <f t="shared" si="115"/>
        <v/>
      </c>
      <c r="O687" s="52" t="str">
        <f t="shared" si="116"/>
        <v/>
      </c>
      <c r="P687" s="88">
        <f t="shared" si="117"/>
        <v>0</v>
      </c>
      <c r="Q687" s="88">
        <f t="shared" si="118"/>
        <v>0</v>
      </c>
      <c r="R687" s="88" t="e">
        <f>-IF(Tabla14[[#This Row],[DIAS HABILES O MORA]]&lt;0,(Tabla14[[#This Row],[VALOR PRESTAMO]]*Tabla14[[#This Row],[% INTERES ]]/30*U687))+Tabla14[[#This Row],[VALOR CUOTAS]]</f>
        <v>#VALUE!</v>
      </c>
      <c r="S687" s="88">
        <f>-IF(Tabla14[[#This Row],[DIAS HABILES O MORA]]&lt;0,(Tabla14[[#This Row],[VALOR PRESTAMO]]*Tabla14[[#This Row],[% INTERES ]]/30*U687))</f>
        <v>0</v>
      </c>
      <c r="T687" s="53" t="e">
        <f>Tabla14[[#This Row],[DEUDA CAPITAL]]+Tabla14[[#This Row],[INTERES  CUOTA]]</f>
        <v>#NUM!</v>
      </c>
      <c r="U687" s="61" t="str">
        <f t="shared" si="119"/>
        <v/>
      </c>
    </row>
    <row r="688" spans="9:21" ht="24.75" customHeight="1" x14ac:dyDescent="0.35">
      <c r="I688" s="42">
        <f t="shared" si="110"/>
        <v>0</v>
      </c>
      <c r="J688" s="65" t="e">
        <f t="shared" si="111"/>
        <v>#NUM!</v>
      </c>
      <c r="K688" s="83" t="e">
        <f t="shared" si="112"/>
        <v>#NUM!</v>
      </c>
      <c r="L688" s="83">
        <f t="shared" si="113"/>
        <v>0</v>
      </c>
      <c r="M688" s="110" t="str">
        <f t="shared" si="114"/>
        <v/>
      </c>
      <c r="N688" s="51" t="str">
        <f t="shared" si="115"/>
        <v/>
      </c>
      <c r="O688" s="52" t="str">
        <f t="shared" si="116"/>
        <v/>
      </c>
      <c r="P688" s="88">
        <f t="shared" si="117"/>
        <v>0</v>
      </c>
      <c r="Q688" s="88">
        <f t="shared" si="118"/>
        <v>0</v>
      </c>
      <c r="R688" s="88" t="e">
        <f>-IF(Tabla14[[#This Row],[DIAS HABILES O MORA]]&lt;0,(Tabla14[[#This Row],[VALOR PRESTAMO]]*Tabla14[[#This Row],[% INTERES ]]/30*U688))+Tabla14[[#This Row],[VALOR CUOTAS]]</f>
        <v>#VALUE!</v>
      </c>
      <c r="S688" s="88">
        <f>-IF(Tabla14[[#This Row],[DIAS HABILES O MORA]]&lt;0,(Tabla14[[#This Row],[VALOR PRESTAMO]]*Tabla14[[#This Row],[% INTERES ]]/30*U688))</f>
        <v>0</v>
      </c>
      <c r="T688" s="53" t="e">
        <f>Tabla14[[#This Row],[DEUDA CAPITAL]]+Tabla14[[#This Row],[INTERES  CUOTA]]</f>
        <v>#NUM!</v>
      </c>
      <c r="U688" s="61" t="str">
        <f t="shared" si="119"/>
        <v/>
      </c>
    </row>
    <row r="689" spans="9:21" ht="24.75" customHeight="1" x14ac:dyDescent="0.35">
      <c r="I689" s="42">
        <f t="shared" si="110"/>
        <v>0</v>
      </c>
      <c r="J689" s="65" t="e">
        <f t="shared" si="111"/>
        <v>#NUM!</v>
      </c>
      <c r="K689" s="83" t="e">
        <f t="shared" si="112"/>
        <v>#NUM!</v>
      </c>
      <c r="L689" s="83">
        <f t="shared" si="113"/>
        <v>0</v>
      </c>
      <c r="M689" s="110" t="str">
        <f t="shared" si="114"/>
        <v/>
      </c>
      <c r="N689" s="51" t="str">
        <f t="shared" si="115"/>
        <v/>
      </c>
      <c r="O689" s="52" t="str">
        <f t="shared" si="116"/>
        <v/>
      </c>
      <c r="P689" s="88">
        <f t="shared" si="117"/>
        <v>0</v>
      </c>
      <c r="Q689" s="88">
        <f t="shared" si="118"/>
        <v>0</v>
      </c>
      <c r="R689" s="88" t="e">
        <f>-IF(Tabla14[[#This Row],[DIAS HABILES O MORA]]&lt;0,(Tabla14[[#This Row],[VALOR PRESTAMO]]*Tabla14[[#This Row],[% INTERES ]]/30*U689))+Tabla14[[#This Row],[VALOR CUOTAS]]</f>
        <v>#VALUE!</v>
      </c>
      <c r="S689" s="88">
        <f>-IF(Tabla14[[#This Row],[DIAS HABILES O MORA]]&lt;0,(Tabla14[[#This Row],[VALOR PRESTAMO]]*Tabla14[[#This Row],[% INTERES ]]/30*U689))</f>
        <v>0</v>
      </c>
      <c r="T689" s="53" t="e">
        <f>Tabla14[[#This Row],[DEUDA CAPITAL]]+Tabla14[[#This Row],[INTERES  CUOTA]]</f>
        <v>#NUM!</v>
      </c>
      <c r="U689" s="61" t="str">
        <f t="shared" si="119"/>
        <v/>
      </c>
    </row>
    <row r="690" spans="9:21" ht="24.75" customHeight="1" x14ac:dyDescent="0.35">
      <c r="I690" s="42">
        <f t="shared" si="110"/>
        <v>0</v>
      </c>
      <c r="J690" s="65" t="e">
        <f t="shared" si="111"/>
        <v>#NUM!</v>
      </c>
      <c r="K690" s="83" t="e">
        <f t="shared" si="112"/>
        <v>#NUM!</v>
      </c>
      <c r="L690" s="83">
        <f t="shared" si="113"/>
        <v>0</v>
      </c>
      <c r="M690" s="110" t="str">
        <f t="shared" si="114"/>
        <v/>
      </c>
      <c r="N690" s="51" t="str">
        <f t="shared" si="115"/>
        <v/>
      </c>
      <c r="O690" s="52" t="str">
        <f t="shared" si="116"/>
        <v/>
      </c>
      <c r="P690" s="88">
        <f t="shared" si="117"/>
        <v>0</v>
      </c>
      <c r="Q690" s="88">
        <f t="shared" si="118"/>
        <v>0</v>
      </c>
      <c r="R690" s="88" t="e">
        <f>-IF(Tabla14[[#This Row],[DIAS HABILES O MORA]]&lt;0,(Tabla14[[#This Row],[VALOR PRESTAMO]]*Tabla14[[#This Row],[% INTERES ]]/30*U690))+Tabla14[[#This Row],[VALOR CUOTAS]]</f>
        <v>#VALUE!</v>
      </c>
      <c r="S690" s="88">
        <f>-IF(Tabla14[[#This Row],[DIAS HABILES O MORA]]&lt;0,(Tabla14[[#This Row],[VALOR PRESTAMO]]*Tabla14[[#This Row],[% INTERES ]]/30*U690))</f>
        <v>0</v>
      </c>
      <c r="T690" s="53" t="e">
        <f>Tabla14[[#This Row],[DEUDA CAPITAL]]+Tabla14[[#This Row],[INTERES  CUOTA]]</f>
        <v>#NUM!</v>
      </c>
      <c r="U690" s="61" t="str">
        <f t="shared" si="119"/>
        <v/>
      </c>
    </row>
    <row r="691" spans="9:21" ht="24.75" customHeight="1" x14ac:dyDescent="0.35">
      <c r="I691" s="42">
        <f t="shared" si="110"/>
        <v>0</v>
      </c>
      <c r="J691" s="65" t="e">
        <f t="shared" si="111"/>
        <v>#NUM!</v>
      </c>
      <c r="K691" s="83" t="e">
        <f t="shared" si="112"/>
        <v>#NUM!</v>
      </c>
      <c r="L691" s="83">
        <f t="shared" si="113"/>
        <v>0</v>
      </c>
      <c r="M691" s="110" t="str">
        <f t="shared" si="114"/>
        <v/>
      </c>
      <c r="N691" s="51" t="str">
        <f t="shared" si="115"/>
        <v/>
      </c>
      <c r="O691" s="52" t="str">
        <f t="shared" si="116"/>
        <v/>
      </c>
      <c r="P691" s="88">
        <f t="shared" si="117"/>
        <v>0</v>
      </c>
      <c r="Q691" s="88">
        <f t="shared" si="118"/>
        <v>0</v>
      </c>
      <c r="R691" s="88" t="e">
        <f>-IF(Tabla14[[#This Row],[DIAS HABILES O MORA]]&lt;0,(Tabla14[[#This Row],[VALOR PRESTAMO]]*Tabla14[[#This Row],[% INTERES ]]/30*U691))+Tabla14[[#This Row],[VALOR CUOTAS]]</f>
        <v>#VALUE!</v>
      </c>
      <c r="S691" s="88">
        <f>-IF(Tabla14[[#This Row],[DIAS HABILES O MORA]]&lt;0,(Tabla14[[#This Row],[VALOR PRESTAMO]]*Tabla14[[#This Row],[% INTERES ]]/30*U691))</f>
        <v>0</v>
      </c>
      <c r="T691" s="53" t="e">
        <f>Tabla14[[#This Row],[DEUDA CAPITAL]]+Tabla14[[#This Row],[INTERES  CUOTA]]</f>
        <v>#NUM!</v>
      </c>
      <c r="U691" s="61" t="str">
        <f t="shared" si="119"/>
        <v/>
      </c>
    </row>
    <row r="692" spans="9:21" ht="24.75" customHeight="1" x14ac:dyDescent="0.35">
      <c r="I692" s="42">
        <f t="shared" si="110"/>
        <v>0</v>
      </c>
      <c r="J692" s="65" t="e">
        <f t="shared" si="111"/>
        <v>#NUM!</v>
      </c>
      <c r="K692" s="83" t="e">
        <f t="shared" si="112"/>
        <v>#NUM!</v>
      </c>
      <c r="L692" s="83">
        <f t="shared" si="113"/>
        <v>0</v>
      </c>
      <c r="M692" s="110" t="str">
        <f t="shared" si="114"/>
        <v/>
      </c>
      <c r="N692" s="51" t="str">
        <f t="shared" si="115"/>
        <v/>
      </c>
      <c r="O692" s="52" t="str">
        <f t="shared" si="116"/>
        <v/>
      </c>
      <c r="P692" s="88">
        <f t="shared" si="117"/>
        <v>0</v>
      </c>
      <c r="Q692" s="88">
        <f t="shared" si="118"/>
        <v>0</v>
      </c>
      <c r="R692" s="88" t="e">
        <f>-IF(Tabla14[[#This Row],[DIAS HABILES O MORA]]&lt;0,(Tabla14[[#This Row],[VALOR PRESTAMO]]*Tabla14[[#This Row],[% INTERES ]]/30*U692))+Tabla14[[#This Row],[VALOR CUOTAS]]</f>
        <v>#VALUE!</v>
      </c>
      <c r="S692" s="88">
        <f>-IF(Tabla14[[#This Row],[DIAS HABILES O MORA]]&lt;0,(Tabla14[[#This Row],[VALOR PRESTAMO]]*Tabla14[[#This Row],[% INTERES ]]/30*U692))</f>
        <v>0</v>
      </c>
      <c r="T692" s="53" t="e">
        <f>Tabla14[[#This Row],[DEUDA CAPITAL]]+Tabla14[[#This Row],[INTERES  CUOTA]]</f>
        <v>#NUM!</v>
      </c>
      <c r="U692" s="61" t="str">
        <f t="shared" si="119"/>
        <v/>
      </c>
    </row>
    <row r="693" spans="9:21" ht="24.75" customHeight="1" x14ac:dyDescent="0.35">
      <c r="I693" s="42">
        <f t="shared" si="110"/>
        <v>0</v>
      </c>
      <c r="J693" s="65" t="e">
        <f t="shared" si="111"/>
        <v>#NUM!</v>
      </c>
      <c r="K693" s="83" t="e">
        <f t="shared" si="112"/>
        <v>#NUM!</v>
      </c>
      <c r="L693" s="83">
        <f t="shared" si="113"/>
        <v>0</v>
      </c>
      <c r="M693" s="110" t="str">
        <f t="shared" si="114"/>
        <v/>
      </c>
      <c r="N693" s="51" t="str">
        <f t="shared" si="115"/>
        <v/>
      </c>
      <c r="O693" s="52" t="str">
        <f t="shared" si="116"/>
        <v/>
      </c>
      <c r="P693" s="88">
        <f t="shared" si="117"/>
        <v>0</v>
      </c>
      <c r="Q693" s="88">
        <f t="shared" si="118"/>
        <v>0</v>
      </c>
      <c r="R693" s="88" t="e">
        <f>-IF(Tabla14[[#This Row],[DIAS HABILES O MORA]]&lt;0,(Tabla14[[#This Row],[VALOR PRESTAMO]]*Tabla14[[#This Row],[% INTERES ]]/30*U693))+Tabla14[[#This Row],[VALOR CUOTAS]]</f>
        <v>#VALUE!</v>
      </c>
      <c r="S693" s="88">
        <f>-IF(Tabla14[[#This Row],[DIAS HABILES O MORA]]&lt;0,(Tabla14[[#This Row],[VALOR PRESTAMO]]*Tabla14[[#This Row],[% INTERES ]]/30*U693))</f>
        <v>0</v>
      </c>
      <c r="T693" s="53" t="e">
        <f>Tabla14[[#This Row],[DEUDA CAPITAL]]+Tabla14[[#This Row],[INTERES  CUOTA]]</f>
        <v>#NUM!</v>
      </c>
      <c r="U693" s="61" t="str">
        <f t="shared" si="119"/>
        <v/>
      </c>
    </row>
    <row r="694" spans="9:21" ht="24.75" customHeight="1" x14ac:dyDescent="0.35">
      <c r="I694" s="42">
        <f t="shared" si="110"/>
        <v>0</v>
      </c>
      <c r="J694" s="65" t="e">
        <f t="shared" si="111"/>
        <v>#NUM!</v>
      </c>
      <c r="K694" s="83" t="e">
        <f t="shared" si="112"/>
        <v>#NUM!</v>
      </c>
      <c r="L694" s="83">
        <f t="shared" si="113"/>
        <v>0</v>
      </c>
      <c r="M694" s="110" t="str">
        <f t="shared" si="114"/>
        <v/>
      </c>
      <c r="N694" s="51" t="str">
        <f t="shared" si="115"/>
        <v/>
      </c>
      <c r="O694" s="52" t="str">
        <f t="shared" si="116"/>
        <v/>
      </c>
      <c r="P694" s="88">
        <f t="shared" si="117"/>
        <v>0</v>
      </c>
      <c r="Q694" s="88">
        <f t="shared" si="118"/>
        <v>0</v>
      </c>
      <c r="R694" s="88" t="e">
        <f>-IF(Tabla14[[#This Row],[DIAS HABILES O MORA]]&lt;0,(Tabla14[[#This Row],[VALOR PRESTAMO]]*Tabla14[[#This Row],[% INTERES ]]/30*U694))+Tabla14[[#This Row],[VALOR CUOTAS]]</f>
        <v>#VALUE!</v>
      </c>
      <c r="S694" s="88">
        <f>-IF(Tabla14[[#This Row],[DIAS HABILES O MORA]]&lt;0,(Tabla14[[#This Row],[VALOR PRESTAMO]]*Tabla14[[#This Row],[% INTERES ]]/30*U694))</f>
        <v>0</v>
      </c>
      <c r="T694" s="53" t="e">
        <f>Tabla14[[#This Row],[DEUDA CAPITAL]]+Tabla14[[#This Row],[INTERES  CUOTA]]</f>
        <v>#NUM!</v>
      </c>
      <c r="U694" s="61" t="str">
        <f t="shared" si="119"/>
        <v/>
      </c>
    </row>
    <row r="695" spans="9:21" ht="24.75" customHeight="1" x14ac:dyDescent="0.35">
      <c r="I695" s="42">
        <f t="shared" si="110"/>
        <v>0</v>
      </c>
      <c r="J695" s="65" t="e">
        <f t="shared" si="111"/>
        <v>#NUM!</v>
      </c>
      <c r="K695" s="83" t="e">
        <f t="shared" si="112"/>
        <v>#NUM!</v>
      </c>
      <c r="L695" s="83">
        <f t="shared" si="113"/>
        <v>0</v>
      </c>
      <c r="M695" s="110" t="str">
        <f t="shared" si="114"/>
        <v/>
      </c>
      <c r="N695" s="51" t="str">
        <f t="shared" si="115"/>
        <v/>
      </c>
      <c r="O695" s="52" t="str">
        <f t="shared" si="116"/>
        <v/>
      </c>
      <c r="P695" s="88">
        <f t="shared" si="117"/>
        <v>0</v>
      </c>
      <c r="Q695" s="88">
        <f t="shared" si="118"/>
        <v>0</v>
      </c>
      <c r="R695" s="88" t="e">
        <f>-IF(Tabla14[[#This Row],[DIAS HABILES O MORA]]&lt;0,(Tabla14[[#This Row],[VALOR PRESTAMO]]*Tabla14[[#This Row],[% INTERES ]]/30*U695))+Tabla14[[#This Row],[VALOR CUOTAS]]</f>
        <v>#VALUE!</v>
      </c>
      <c r="S695" s="88">
        <f>-IF(Tabla14[[#This Row],[DIAS HABILES O MORA]]&lt;0,(Tabla14[[#This Row],[VALOR PRESTAMO]]*Tabla14[[#This Row],[% INTERES ]]/30*U695))</f>
        <v>0</v>
      </c>
      <c r="T695" s="53" t="e">
        <f>Tabla14[[#This Row],[DEUDA CAPITAL]]+Tabla14[[#This Row],[INTERES  CUOTA]]</f>
        <v>#NUM!</v>
      </c>
      <c r="U695" s="61" t="str">
        <f t="shared" si="119"/>
        <v/>
      </c>
    </row>
    <row r="696" spans="9:21" ht="24.75" customHeight="1" x14ac:dyDescent="0.35">
      <c r="I696" s="42">
        <f t="shared" si="110"/>
        <v>0</v>
      </c>
      <c r="J696" s="65" t="e">
        <f t="shared" si="111"/>
        <v>#NUM!</v>
      </c>
      <c r="K696" s="83" t="e">
        <f t="shared" si="112"/>
        <v>#NUM!</v>
      </c>
      <c r="L696" s="83">
        <f t="shared" si="113"/>
        <v>0</v>
      </c>
      <c r="M696" s="110" t="str">
        <f t="shared" si="114"/>
        <v/>
      </c>
      <c r="N696" s="51" t="str">
        <f t="shared" si="115"/>
        <v/>
      </c>
      <c r="O696" s="52" t="str">
        <f t="shared" si="116"/>
        <v/>
      </c>
      <c r="P696" s="88">
        <f t="shared" si="117"/>
        <v>0</v>
      </c>
      <c r="Q696" s="88">
        <f t="shared" si="118"/>
        <v>0</v>
      </c>
      <c r="R696" s="88" t="e">
        <f>-IF(Tabla14[[#This Row],[DIAS HABILES O MORA]]&lt;0,(Tabla14[[#This Row],[VALOR PRESTAMO]]*Tabla14[[#This Row],[% INTERES ]]/30*U696))+Tabla14[[#This Row],[VALOR CUOTAS]]</f>
        <v>#VALUE!</v>
      </c>
      <c r="S696" s="88">
        <f>-IF(Tabla14[[#This Row],[DIAS HABILES O MORA]]&lt;0,(Tabla14[[#This Row],[VALOR PRESTAMO]]*Tabla14[[#This Row],[% INTERES ]]/30*U696))</f>
        <v>0</v>
      </c>
      <c r="T696" s="53" t="e">
        <f>Tabla14[[#This Row],[DEUDA CAPITAL]]+Tabla14[[#This Row],[INTERES  CUOTA]]</f>
        <v>#NUM!</v>
      </c>
      <c r="U696" s="61" t="str">
        <f t="shared" si="119"/>
        <v/>
      </c>
    </row>
    <row r="697" spans="9:21" ht="24.75" customHeight="1" x14ac:dyDescent="0.35">
      <c r="I697" s="42">
        <f t="shared" si="110"/>
        <v>0</v>
      </c>
      <c r="J697" s="65" t="e">
        <f t="shared" si="111"/>
        <v>#NUM!</v>
      </c>
      <c r="K697" s="83" t="e">
        <f t="shared" si="112"/>
        <v>#NUM!</v>
      </c>
      <c r="L697" s="83">
        <f t="shared" si="113"/>
        <v>0</v>
      </c>
      <c r="M697" s="110" t="str">
        <f t="shared" si="114"/>
        <v/>
      </c>
      <c r="N697" s="51" t="str">
        <f t="shared" si="115"/>
        <v/>
      </c>
      <c r="O697" s="52" t="str">
        <f t="shared" si="116"/>
        <v/>
      </c>
      <c r="P697" s="88">
        <f t="shared" si="117"/>
        <v>0</v>
      </c>
      <c r="Q697" s="88">
        <f t="shared" si="118"/>
        <v>0</v>
      </c>
      <c r="R697" s="88" t="e">
        <f>-IF(Tabla14[[#This Row],[DIAS HABILES O MORA]]&lt;0,(Tabla14[[#This Row],[VALOR PRESTAMO]]*Tabla14[[#This Row],[% INTERES ]]/30*U697))+Tabla14[[#This Row],[VALOR CUOTAS]]</f>
        <v>#VALUE!</v>
      </c>
      <c r="S697" s="88">
        <f>-IF(Tabla14[[#This Row],[DIAS HABILES O MORA]]&lt;0,(Tabla14[[#This Row],[VALOR PRESTAMO]]*Tabla14[[#This Row],[% INTERES ]]/30*U697))</f>
        <v>0</v>
      </c>
      <c r="T697" s="53" t="e">
        <f>Tabla14[[#This Row],[DEUDA CAPITAL]]+Tabla14[[#This Row],[INTERES  CUOTA]]</f>
        <v>#NUM!</v>
      </c>
      <c r="U697" s="61" t="str">
        <f t="shared" si="119"/>
        <v/>
      </c>
    </row>
    <row r="698" spans="9:21" ht="24.75" customHeight="1" x14ac:dyDescent="0.35">
      <c r="I698" s="42">
        <f t="shared" si="110"/>
        <v>0</v>
      </c>
      <c r="J698" s="65" t="e">
        <f t="shared" si="111"/>
        <v>#NUM!</v>
      </c>
      <c r="K698" s="83" t="e">
        <f t="shared" si="112"/>
        <v>#NUM!</v>
      </c>
      <c r="L698" s="83">
        <f t="shared" si="113"/>
        <v>0</v>
      </c>
      <c r="M698" s="110" t="str">
        <f t="shared" si="114"/>
        <v/>
      </c>
      <c r="N698" s="51" t="str">
        <f t="shared" si="115"/>
        <v/>
      </c>
      <c r="O698" s="52" t="str">
        <f t="shared" si="116"/>
        <v/>
      </c>
      <c r="P698" s="88">
        <f t="shared" si="117"/>
        <v>0</v>
      </c>
      <c r="Q698" s="88">
        <f t="shared" si="118"/>
        <v>0</v>
      </c>
      <c r="R698" s="88" t="e">
        <f>-IF(Tabla14[[#This Row],[DIAS HABILES O MORA]]&lt;0,(Tabla14[[#This Row],[VALOR PRESTAMO]]*Tabla14[[#This Row],[% INTERES ]]/30*U698))+Tabla14[[#This Row],[VALOR CUOTAS]]</f>
        <v>#VALUE!</v>
      </c>
      <c r="S698" s="88">
        <f>-IF(Tabla14[[#This Row],[DIAS HABILES O MORA]]&lt;0,(Tabla14[[#This Row],[VALOR PRESTAMO]]*Tabla14[[#This Row],[% INTERES ]]/30*U698))</f>
        <v>0</v>
      </c>
      <c r="T698" s="53" t="e">
        <f>Tabla14[[#This Row],[DEUDA CAPITAL]]+Tabla14[[#This Row],[INTERES  CUOTA]]</f>
        <v>#NUM!</v>
      </c>
      <c r="U698" s="61" t="str">
        <f t="shared" si="119"/>
        <v/>
      </c>
    </row>
    <row r="699" spans="9:21" ht="24.75" customHeight="1" x14ac:dyDescent="0.35">
      <c r="I699" s="42">
        <f t="shared" si="110"/>
        <v>0</v>
      </c>
      <c r="J699" s="65" t="e">
        <f t="shared" si="111"/>
        <v>#NUM!</v>
      </c>
      <c r="K699" s="83" t="e">
        <f t="shared" si="112"/>
        <v>#NUM!</v>
      </c>
      <c r="L699" s="83">
        <f t="shared" si="113"/>
        <v>0</v>
      </c>
      <c r="M699" s="110" t="str">
        <f t="shared" si="114"/>
        <v/>
      </c>
      <c r="N699" s="51" t="str">
        <f t="shared" si="115"/>
        <v/>
      </c>
      <c r="O699" s="52" t="str">
        <f t="shared" si="116"/>
        <v/>
      </c>
      <c r="P699" s="88">
        <f t="shared" si="117"/>
        <v>0</v>
      </c>
      <c r="Q699" s="88">
        <f t="shared" si="118"/>
        <v>0</v>
      </c>
      <c r="R699" s="88" t="e">
        <f>-IF(Tabla14[[#This Row],[DIAS HABILES O MORA]]&lt;0,(Tabla14[[#This Row],[VALOR PRESTAMO]]*Tabla14[[#This Row],[% INTERES ]]/30*U699))+Tabla14[[#This Row],[VALOR CUOTAS]]</f>
        <v>#VALUE!</v>
      </c>
      <c r="S699" s="88">
        <f>-IF(Tabla14[[#This Row],[DIAS HABILES O MORA]]&lt;0,(Tabla14[[#This Row],[VALOR PRESTAMO]]*Tabla14[[#This Row],[% INTERES ]]/30*U699))</f>
        <v>0</v>
      </c>
      <c r="T699" s="53" t="e">
        <f>Tabla14[[#This Row],[DEUDA CAPITAL]]+Tabla14[[#This Row],[INTERES  CUOTA]]</f>
        <v>#NUM!</v>
      </c>
      <c r="U699" s="61" t="str">
        <f t="shared" si="119"/>
        <v/>
      </c>
    </row>
    <row r="700" spans="9:21" ht="24.75" customHeight="1" x14ac:dyDescent="0.35">
      <c r="I700" s="42">
        <f t="shared" si="110"/>
        <v>0</v>
      </c>
      <c r="J700" s="65" t="e">
        <f t="shared" si="111"/>
        <v>#NUM!</v>
      </c>
      <c r="K700" s="83" t="e">
        <f t="shared" si="112"/>
        <v>#NUM!</v>
      </c>
      <c r="L700" s="83">
        <f t="shared" si="113"/>
        <v>0</v>
      </c>
      <c r="M700" s="110" t="str">
        <f t="shared" si="114"/>
        <v/>
      </c>
      <c r="N700" s="51" t="str">
        <f t="shared" si="115"/>
        <v/>
      </c>
      <c r="O700" s="52" t="str">
        <f t="shared" si="116"/>
        <v/>
      </c>
      <c r="P700" s="88">
        <f t="shared" si="117"/>
        <v>0</v>
      </c>
      <c r="Q700" s="88">
        <f t="shared" si="118"/>
        <v>0</v>
      </c>
      <c r="R700" s="88" t="e">
        <f>-IF(Tabla14[[#This Row],[DIAS HABILES O MORA]]&lt;0,(Tabla14[[#This Row],[VALOR PRESTAMO]]*Tabla14[[#This Row],[% INTERES ]]/30*U700))+Tabla14[[#This Row],[VALOR CUOTAS]]</f>
        <v>#VALUE!</v>
      </c>
      <c r="S700" s="88">
        <f>-IF(Tabla14[[#This Row],[DIAS HABILES O MORA]]&lt;0,(Tabla14[[#This Row],[VALOR PRESTAMO]]*Tabla14[[#This Row],[% INTERES ]]/30*U700))</f>
        <v>0</v>
      </c>
      <c r="T700" s="53" t="e">
        <f>Tabla14[[#This Row],[DEUDA CAPITAL]]+Tabla14[[#This Row],[INTERES  CUOTA]]</f>
        <v>#NUM!</v>
      </c>
      <c r="U700" s="61" t="str">
        <f t="shared" si="119"/>
        <v/>
      </c>
    </row>
    <row r="701" spans="9:21" ht="24.75" customHeight="1" x14ac:dyDescent="0.35">
      <c r="I701" s="42">
        <f t="shared" si="110"/>
        <v>0</v>
      </c>
      <c r="J701" s="65" t="e">
        <f t="shared" si="111"/>
        <v>#NUM!</v>
      </c>
      <c r="K701" s="83" t="e">
        <f t="shared" si="112"/>
        <v>#NUM!</v>
      </c>
      <c r="L701" s="83">
        <f t="shared" si="113"/>
        <v>0</v>
      </c>
      <c r="M701" s="110" t="str">
        <f t="shared" si="114"/>
        <v/>
      </c>
      <c r="N701" s="51" t="str">
        <f t="shared" si="115"/>
        <v/>
      </c>
      <c r="O701" s="52" t="str">
        <f t="shared" si="116"/>
        <v/>
      </c>
      <c r="P701" s="88">
        <f t="shared" si="117"/>
        <v>0</v>
      </c>
      <c r="Q701" s="88">
        <f t="shared" si="118"/>
        <v>0</v>
      </c>
      <c r="R701" s="88" t="e">
        <f>-IF(Tabla14[[#This Row],[DIAS HABILES O MORA]]&lt;0,(Tabla14[[#This Row],[VALOR PRESTAMO]]*Tabla14[[#This Row],[% INTERES ]]/30*U701))+Tabla14[[#This Row],[VALOR CUOTAS]]</f>
        <v>#VALUE!</v>
      </c>
      <c r="S701" s="88">
        <f>-IF(Tabla14[[#This Row],[DIAS HABILES O MORA]]&lt;0,(Tabla14[[#This Row],[VALOR PRESTAMO]]*Tabla14[[#This Row],[% INTERES ]]/30*U701))</f>
        <v>0</v>
      </c>
      <c r="T701" s="53" t="e">
        <f>Tabla14[[#This Row],[DEUDA CAPITAL]]+Tabla14[[#This Row],[INTERES  CUOTA]]</f>
        <v>#NUM!</v>
      </c>
      <c r="U701" s="61" t="str">
        <f t="shared" si="119"/>
        <v/>
      </c>
    </row>
    <row r="702" spans="9:21" ht="24.75" customHeight="1" x14ac:dyDescent="0.35">
      <c r="I702" s="42">
        <f t="shared" si="110"/>
        <v>0</v>
      </c>
      <c r="J702" s="65" t="e">
        <f t="shared" si="111"/>
        <v>#NUM!</v>
      </c>
      <c r="K702" s="83" t="e">
        <f t="shared" si="112"/>
        <v>#NUM!</v>
      </c>
      <c r="L702" s="83">
        <f t="shared" si="113"/>
        <v>0</v>
      </c>
      <c r="M702" s="110" t="str">
        <f t="shared" si="114"/>
        <v/>
      </c>
      <c r="N702" s="51" t="str">
        <f t="shared" si="115"/>
        <v/>
      </c>
      <c r="O702" s="52" t="str">
        <f t="shared" si="116"/>
        <v/>
      </c>
      <c r="P702" s="88">
        <f t="shared" si="117"/>
        <v>0</v>
      </c>
      <c r="Q702" s="88">
        <f t="shared" si="118"/>
        <v>0</v>
      </c>
      <c r="R702" s="88" t="e">
        <f>-IF(Tabla14[[#This Row],[DIAS HABILES O MORA]]&lt;0,(Tabla14[[#This Row],[VALOR PRESTAMO]]*Tabla14[[#This Row],[% INTERES ]]/30*U702))+Tabla14[[#This Row],[VALOR CUOTAS]]</f>
        <v>#VALUE!</v>
      </c>
      <c r="S702" s="88">
        <f>-IF(Tabla14[[#This Row],[DIAS HABILES O MORA]]&lt;0,(Tabla14[[#This Row],[VALOR PRESTAMO]]*Tabla14[[#This Row],[% INTERES ]]/30*U702))</f>
        <v>0</v>
      </c>
      <c r="T702" s="53" t="e">
        <f>Tabla14[[#This Row],[DEUDA CAPITAL]]+Tabla14[[#This Row],[INTERES  CUOTA]]</f>
        <v>#NUM!</v>
      </c>
      <c r="U702" s="61" t="str">
        <f t="shared" si="119"/>
        <v/>
      </c>
    </row>
    <row r="703" spans="9:21" ht="24.75" customHeight="1" x14ac:dyDescent="0.35">
      <c r="I703" s="42">
        <f t="shared" si="110"/>
        <v>0</v>
      </c>
      <c r="J703" s="65" t="e">
        <f t="shared" si="111"/>
        <v>#NUM!</v>
      </c>
      <c r="K703" s="83" t="e">
        <f t="shared" si="112"/>
        <v>#NUM!</v>
      </c>
      <c r="L703" s="83">
        <f t="shared" si="113"/>
        <v>0</v>
      </c>
      <c r="M703" s="110" t="str">
        <f t="shared" si="114"/>
        <v/>
      </c>
      <c r="N703" s="51" t="str">
        <f t="shared" si="115"/>
        <v/>
      </c>
      <c r="O703" s="52" t="str">
        <f t="shared" si="116"/>
        <v/>
      </c>
      <c r="P703" s="88">
        <f t="shared" si="117"/>
        <v>0</v>
      </c>
      <c r="Q703" s="88">
        <f t="shared" si="118"/>
        <v>0</v>
      </c>
      <c r="R703" s="88" t="e">
        <f>-IF(Tabla14[[#This Row],[DIAS HABILES O MORA]]&lt;0,(Tabla14[[#This Row],[VALOR PRESTAMO]]*Tabla14[[#This Row],[% INTERES ]]/30*U703))+Tabla14[[#This Row],[VALOR CUOTAS]]</f>
        <v>#VALUE!</v>
      </c>
      <c r="S703" s="88">
        <f>-IF(Tabla14[[#This Row],[DIAS HABILES O MORA]]&lt;0,(Tabla14[[#This Row],[VALOR PRESTAMO]]*Tabla14[[#This Row],[% INTERES ]]/30*U703))</f>
        <v>0</v>
      </c>
      <c r="T703" s="53" t="e">
        <f>Tabla14[[#This Row],[DEUDA CAPITAL]]+Tabla14[[#This Row],[INTERES  CUOTA]]</f>
        <v>#NUM!</v>
      </c>
      <c r="U703" s="61" t="str">
        <f t="shared" si="119"/>
        <v/>
      </c>
    </row>
    <row r="704" spans="9:21" ht="24.75" customHeight="1" x14ac:dyDescent="0.35">
      <c r="I704" s="42">
        <f t="shared" si="110"/>
        <v>0</v>
      </c>
      <c r="J704" s="65" t="e">
        <f t="shared" si="111"/>
        <v>#NUM!</v>
      </c>
      <c r="K704" s="83" t="e">
        <f t="shared" si="112"/>
        <v>#NUM!</v>
      </c>
      <c r="L704" s="83">
        <f t="shared" si="113"/>
        <v>0</v>
      </c>
      <c r="M704" s="110" t="str">
        <f t="shared" si="114"/>
        <v/>
      </c>
      <c r="N704" s="51" t="str">
        <f t="shared" si="115"/>
        <v/>
      </c>
      <c r="O704" s="52" t="str">
        <f t="shared" si="116"/>
        <v/>
      </c>
      <c r="P704" s="88">
        <f t="shared" si="117"/>
        <v>0</v>
      </c>
      <c r="Q704" s="88">
        <f t="shared" si="118"/>
        <v>0</v>
      </c>
      <c r="R704" s="88" t="e">
        <f>-IF(Tabla14[[#This Row],[DIAS HABILES O MORA]]&lt;0,(Tabla14[[#This Row],[VALOR PRESTAMO]]*Tabla14[[#This Row],[% INTERES ]]/30*U704))+Tabla14[[#This Row],[VALOR CUOTAS]]</f>
        <v>#VALUE!</v>
      </c>
      <c r="S704" s="88">
        <f>-IF(Tabla14[[#This Row],[DIAS HABILES O MORA]]&lt;0,(Tabla14[[#This Row],[VALOR PRESTAMO]]*Tabla14[[#This Row],[% INTERES ]]/30*U704))</f>
        <v>0</v>
      </c>
      <c r="T704" s="53" t="e">
        <f>Tabla14[[#This Row],[DEUDA CAPITAL]]+Tabla14[[#This Row],[INTERES  CUOTA]]</f>
        <v>#NUM!</v>
      </c>
      <c r="U704" s="61" t="str">
        <f t="shared" si="119"/>
        <v/>
      </c>
    </row>
    <row r="705" spans="9:21" ht="24.75" customHeight="1" x14ac:dyDescent="0.35">
      <c r="I705" s="42">
        <f t="shared" si="110"/>
        <v>0</v>
      </c>
      <c r="J705" s="65" t="e">
        <f t="shared" si="111"/>
        <v>#NUM!</v>
      </c>
      <c r="K705" s="83" t="e">
        <f t="shared" si="112"/>
        <v>#NUM!</v>
      </c>
      <c r="L705" s="83">
        <f t="shared" si="113"/>
        <v>0</v>
      </c>
      <c r="M705" s="110" t="str">
        <f t="shared" si="114"/>
        <v/>
      </c>
      <c r="N705" s="51" t="str">
        <f t="shared" si="115"/>
        <v/>
      </c>
      <c r="O705" s="52" t="str">
        <f t="shared" si="116"/>
        <v/>
      </c>
      <c r="P705" s="88">
        <f t="shared" si="117"/>
        <v>0</v>
      </c>
      <c r="Q705" s="88">
        <f t="shared" si="118"/>
        <v>0</v>
      </c>
      <c r="R705" s="88" t="e">
        <f>-IF(Tabla14[[#This Row],[DIAS HABILES O MORA]]&lt;0,(Tabla14[[#This Row],[VALOR PRESTAMO]]*Tabla14[[#This Row],[% INTERES ]]/30*U705))+Tabla14[[#This Row],[VALOR CUOTAS]]</f>
        <v>#VALUE!</v>
      </c>
      <c r="S705" s="88">
        <f>-IF(Tabla14[[#This Row],[DIAS HABILES O MORA]]&lt;0,(Tabla14[[#This Row],[VALOR PRESTAMO]]*Tabla14[[#This Row],[% INTERES ]]/30*U705))</f>
        <v>0</v>
      </c>
      <c r="T705" s="53" t="e">
        <f>Tabla14[[#This Row],[DEUDA CAPITAL]]+Tabla14[[#This Row],[INTERES  CUOTA]]</f>
        <v>#NUM!</v>
      </c>
      <c r="U705" s="61" t="str">
        <f t="shared" si="119"/>
        <v/>
      </c>
    </row>
    <row r="706" spans="9:21" ht="24.75" customHeight="1" x14ac:dyDescent="0.35">
      <c r="I706" s="42">
        <f t="shared" si="110"/>
        <v>0</v>
      </c>
      <c r="J706" s="65" t="e">
        <f t="shared" si="111"/>
        <v>#NUM!</v>
      </c>
      <c r="K706" s="83" t="e">
        <f t="shared" si="112"/>
        <v>#NUM!</v>
      </c>
      <c r="L706" s="83">
        <f t="shared" si="113"/>
        <v>0</v>
      </c>
      <c r="M706" s="110" t="str">
        <f t="shared" si="114"/>
        <v/>
      </c>
      <c r="N706" s="51" t="str">
        <f t="shared" si="115"/>
        <v/>
      </c>
      <c r="O706" s="52" t="str">
        <f t="shared" si="116"/>
        <v/>
      </c>
      <c r="P706" s="88">
        <f t="shared" si="117"/>
        <v>0</v>
      </c>
      <c r="Q706" s="88">
        <f t="shared" si="118"/>
        <v>0</v>
      </c>
      <c r="R706" s="88" t="e">
        <f>-IF(Tabla14[[#This Row],[DIAS HABILES O MORA]]&lt;0,(Tabla14[[#This Row],[VALOR PRESTAMO]]*Tabla14[[#This Row],[% INTERES ]]/30*U706))+Tabla14[[#This Row],[VALOR CUOTAS]]</f>
        <v>#VALUE!</v>
      </c>
      <c r="S706" s="88">
        <f>-IF(Tabla14[[#This Row],[DIAS HABILES O MORA]]&lt;0,(Tabla14[[#This Row],[VALOR PRESTAMO]]*Tabla14[[#This Row],[% INTERES ]]/30*U706))</f>
        <v>0</v>
      </c>
      <c r="T706" s="53" t="e">
        <f>Tabla14[[#This Row],[DEUDA CAPITAL]]+Tabla14[[#This Row],[INTERES  CUOTA]]</f>
        <v>#NUM!</v>
      </c>
      <c r="U706" s="61" t="str">
        <f t="shared" si="119"/>
        <v/>
      </c>
    </row>
    <row r="707" spans="9:21" ht="24.75" customHeight="1" x14ac:dyDescent="0.35">
      <c r="I707" s="42">
        <f t="shared" si="110"/>
        <v>0</v>
      </c>
      <c r="J707" s="65" t="e">
        <f t="shared" si="111"/>
        <v>#NUM!</v>
      </c>
      <c r="K707" s="83" t="e">
        <f t="shared" si="112"/>
        <v>#NUM!</v>
      </c>
      <c r="L707" s="83">
        <f t="shared" si="113"/>
        <v>0</v>
      </c>
      <c r="M707" s="110" t="str">
        <f t="shared" si="114"/>
        <v/>
      </c>
      <c r="N707" s="51" t="str">
        <f t="shared" si="115"/>
        <v/>
      </c>
      <c r="O707" s="52" t="str">
        <f t="shared" si="116"/>
        <v/>
      </c>
      <c r="P707" s="88">
        <f t="shared" si="117"/>
        <v>0</v>
      </c>
      <c r="Q707" s="88">
        <f t="shared" si="118"/>
        <v>0</v>
      </c>
      <c r="R707" s="88" t="e">
        <f>-IF(Tabla14[[#This Row],[DIAS HABILES O MORA]]&lt;0,(Tabla14[[#This Row],[VALOR PRESTAMO]]*Tabla14[[#This Row],[% INTERES ]]/30*U707))+Tabla14[[#This Row],[VALOR CUOTAS]]</f>
        <v>#VALUE!</v>
      </c>
      <c r="S707" s="88">
        <f>-IF(Tabla14[[#This Row],[DIAS HABILES O MORA]]&lt;0,(Tabla14[[#This Row],[VALOR PRESTAMO]]*Tabla14[[#This Row],[% INTERES ]]/30*U707))</f>
        <v>0</v>
      </c>
      <c r="T707" s="53" t="e">
        <f>Tabla14[[#This Row],[DEUDA CAPITAL]]+Tabla14[[#This Row],[INTERES  CUOTA]]</f>
        <v>#NUM!</v>
      </c>
      <c r="U707" s="61" t="str">
        <f t="shared" si="119"/>
        <v/>
      </c>
    </row>
    <row r="708" spans="9:21" ht="24.75" customHeight="1" x14ac:dyDescent="0.35">
      <c r="I708" s="42">
        <f t="shared" si="110"/>
        <v>0</v>
      </c>
      <c r="J708" s="65" t="e">
        <f t="shared" si="111"/>
        <v>#NUM!</v>
      </c>
      <c r="K708" s="83" t="e">
        <f t="shared" si="112"/>
        <v>#NUM!</v>
      </c>
      <c r="L708" s="83">
        <f t="shared" si="113"/>
        <v>0</v>
      </c>
      <c r="M708" s="110" t="str">
        <f t="shared" si="114"/>
        <v/>
      </c>
      <c r="N708" s="51" t="str">
        <f t="shared" si="115"/>
        <v/>
      </c>
      <c r="O708" s="52" t="str">
        <f t="shared" si="116"/>
        <v/>
      </c>
      <c r="P708" s="88">
        <f t="shared" si="117"/>
        <v>0</v>
      </c>
      <c r="Q708" s="88">
        <f t="shared" si="118"/>
        <v>0</v>
      </c>
      <c r="R708" s="88" t="e">
        <f>-IF(Tabla14[[#This Row],[DIAS HABILES O MORA]]&lt;0,(Tabla14[[#This Row],[VALOR PRESTAMO]]*Tabla14[[#This Row],[% INTERES ]]/30*U708))+Tabla14[[#This Row],[VALOR CUOTAS]]</f>
        <v>#VALUE!</v>
      </c>
      <c r="S708" s="88">
        <f>-IF(Tabla14[[#This Row],[DIAS HABILES O MORA]]&lt;0,(Tabla14[[#This Row],[VALOR PRESTAMO]]*Tabla14[[#This Row],[% INTERES ]]/30*U708))</f>
        <v>0</v>
      </c>
      <c r="T708" s="53" t="e">
        <f>Tabla14[[#This Row],[DEUDA CAPITAL]]+Tabla14[[#This Row],[INTERES  CUOTA]]</f>
        <v>#NUM!</v>
      </c>
      <c r="U708" s="61" t="str">
        <f t="shared" si="119"/>
        <v/>
      </c>
    </row>
    <row r="709" spans="9:21" ht="24.75" customHeight="1" x14ac:dyDescent="0.35">
      <c r="I709" s="42">
        <f t="shared" si="110"/>
        <v>0</v>
      </c>
      <c r="J709" s="65" t="e">
        <f t="shared" si="111"/>
        <v>#NUM!</v>
      </c>
      <c r="K709" s="83" t="e">
        <f t="shared" si="112"/>
        <v>#NUM!</v>
      </c>
      <c r="L709" s="83">
        <f t="shared" si="113"/>
        <v>0</v>
      </c>
      <c r="M709" s="110" t="str">
        <f t="shared" si="114"/>
        <v/>
      </c>
      <c r="N709" s="51" t="str">
        <f t="shared" si="115"/>
        <v/>
      </c>
      <c r="O709" s="52" t="str">
        <f t="shared" si="116"/>
        <v/>
      </c>
      <c r="P709" s="88">
        <f t="shared" si="117"/>
        <v>0</v>
      </c>
      <c r="Q709" s="88">
        <f t="shared" si="118"/>
        <v>0</v>
      </c>
      <c r="R709" s="88" t="e">
        <f>-IF(Tabla14[[#This Row],[DIAS HABILES O MORA]]&lt;0,(Tabla14[[#This Row],[VALOR PRESTAMO]]*Tabla14[[#This Row],[% INTERES ]]/30*U709))+Tabla14[[#This Row],[VALOR CUOTAS]]</f>
        <v>#VALUE!</v>
      </c>
      <c r="S709" s="88">
        <f>-IF(Tabla14[[#This Row],[DIAS HABILES O MORA]]&lt;0,(Tabla14[[#This Row],[VALOR PRESTAMO]]*Tabla14[[#This Row],[% INTERES ]]/30*U709))</f>
        <v>0</v>
      </c>
      <c r="T709" s="53" t="e">
        <f>Tabla14[[#This Row],[DEUDA CAPITAL]]+Tabla14[[#This Row],[INTERES  CUOTA]]</f>
        <v>#NUM!</v>
      </c>
      <c r="U709" s="61" t="str">
        <f t="shared" si="119"/>
        <v/>
      </c>
    </row>
    <row r="710" spans="9:21" ht="24.75" customHeight="1" x14ac:dyDescent="0.35">
      <c r="I710" s="42">
        <f t="shared" si="110"/>
        <v>0</v>
      </c>
      <c r="J710" s="65" t="e">
        <f t="shared" si="111"/>
        <v>#NUM!</v>
      </c>
      <c r="K710" s="83" t="e">
        <f t="shared" si="112"/>
        <v>#NUM!</v>
      </c>
      <c r="L710" s="83">
        <f t="shared" si="113"/>
        <v>0</v>
      </c>
      <c r="M710" s="110" t="str">
        <f t="shared" si="114"/>
        <v/>
      </c>
      <c r="N710" s="51" t="str">
        <f t="shared" si="115"/>
        <v/>
      </c>
      <c r="O710" s="52" t="str">
        <f t="shared" si="116"/>
        <v/>
      </c>
      <c r="P710" s="88">
        <f t="shared" si="117"/>
        <v>0</v>
      </c>
      <c r="Q710" s="88">
        <f t="shared" si="118"/>
        <v>0</v>
      </c>
      <c r="R710" s="88" t="e">
        <f>-IF(Tabla14[[#This Row],[DIAS HABILES O MORA]]&lt;0,(Tabla14[[#This Row],[VALOR PRESTAMO]]*Tabla14[[#This Row],[% INTERES ]]/30*U710))+Tabla14[[#This Row],[VALOR CUOTAS]]</f>
        <v>#VALUE!</v>
      </c>
      <c r="S710" s="88">
        <f>-IF(Tabla14[[#This Row],[DIAS HABILES O MORA]]&lt;0,(Tabla14[[#This Row],[VALOR PRESTAMO]]*Tabla14[[#This Row],[% INTERES ]]/30*U710))</f>
        <v>0</v>
      </c>
      <c r="T710" s="53" t="e">
        <f>Tabla14[[#This Row],[DEUDA CAPITAL]]+Tabla14[[#This Row],[INTERES  CUOTA]]</f>
        <v>#NUM!</v>
      </c>
      <c r="U710" s="61" t="str">
        <f t="shared" si="119"/>
        <v/>
      </c>
    </row>
    <row r="711" spans="9:21" ht="24.75" customHeight="1" x14ac:dyDescent="0.35">
      <c r="I711" s="42">
        <f t="shared" si="110"/>
        <v>0</v>
      </c>
      <c r="J711" s="65" t="e">
        <f t="shared" si="111"/>
        <v>#NUM!</v>
      </c>
      <c r="K711" s="83" t="e">
        <f t="shared" si="112"/>
        <v>#NUM!</v>
      </c>
      <c r="L711" s="83">
        <f t="shared" si="113"/>
        <v>0</v>
      </c>
      <c r="M711" s="110" t="str">
        <f t="shared" si="114"/>
        <v/>
      </c>
      <c r="N711" s="51" t="str">
        <f t="shared" si="115"/>
        <v/>
      </c>
      <c r="O711" s="52" t="str">
        <f t="shared" si="116"/>
        <v/>
      </c>
      <c r="P711" s="88">
        <f t="shared" si="117"/>
        <v>0</v>
      </c>
      <c r="Q711" s="88">
        <f t="shared" si="118"/>
        <v>0</v>
      </c>
      <c r="R711" s="88" t="e">
        <f>-IF(Tabla14[[#This Row],[DIAS HABILES O MORA]]&lt;0,(Tabla14[[#This Row],[VALOR PRESTAMO]]*Tabla14[[#This Row],[% INTERES ]]/30*U711))+Tabla14[[#This Row],[VALOR CUOTAS]]</f>
        <v>#VALUE!</v>
      </c>
      <c r="S711" s="88">
        <f>-IF(Tabla14[[#This Row],[DIAS HABILES O MORA]]&lt;0,(Tabla14[[#This Row],[VALOR PRESTAMO]]*Tabla14[[#This Row],[% INTERES ]]/30*U711))</f>
        <v>0</v>
      </c>
      <c r="T711" s="53" t="e">
        <f>Tabla14[[#This Row],[DEUDA CAPITAL]]+Tabla14[[#This Row],[INTERES  CUOTA]]</f>
        <v>#NUM!</v>
      </c>
      <c r="U711" s="61" t="str">
        <f t="shared" si="119"/>
        <v/>
      </c>
    </row>
    <row r="712" spans="9:21" ht="24.75" customHeight="1" x14ac:dyDescent="0.35">
      <c r="I712" s="42">
        <f t="shared" si="110"/>
        <v>0</v>
      </c>
      <c r="J712" s="65" t="e">
        <f t="shared" si="111"/>
        <v>#NUM!</v>
      </c>
      <c r="K712" s="83" t="e">
        <f t="shared" si="112"/>
        <v>#NUM!</v>
      </c>
      <c r="L712" s="83">
        <f t="shared" si="113"/>
        <v>0</v>
      </c>
      <c r="M712" s="110" t="str">
        <f t="shared" si="114"/>
        <v/>
      </c>
      <c r="N712" s="51" t="str">
        <f t="shared" si="115"/>
        <v/>
      </c>
      <c r="O712" s="52" t="str">
        <f t="shared" si="116"/>
        <v/>
      </c>
      <c r="P712" s="88">
        <f t="shared" si="117"/>
        <v>0</v>
      </c>
      <c r="Q712" s="88">
        <f t="shared" si="118"/>
        <v>0</v>
      </c>
      <c r="R712" s="88" t="e">
        <f>-IF(Tabla14[[#This Row],[DIAS HABILES O MORA]]&lt;0,(Tabla14[[#This Row],[VALOR PRESTAMO]]*Tabla14[[#This Row],[% INTERES ]]/30*U712))+Tabla14[[#This Row],[VALOR CUOTAS]]</f>
        <v>#VALUE!</v>
      </c>
      <c r="S712" s="88">
        <f>-IF(Tabla14[[#This Row],[DIAS HABILES O MORA]]&lt;0,(Tabla14[[#This Row],[VALOR PRESTAMO]]*Tabla14[[#This Row],[% INTERES ]]/30*U712))</f>
        <v>0</v>
      </c>
      <c r="T712" s="53" t="e">
        <f>Tabla14[[#This Row],[DEUDA CAPITAL]]+Tabla14[[#This Row],[INTERES  CUOTA]]</f>
        <v>#NUM!</v>
      </c>
      <c r="U712" s="61" t="str">
        <f t="shared" si="119"/>
        <v/>
      </c>
    </row>
    <row r="713" spans="9:21" ht="24.75" customHeight="1" x14ac:dyDescent="0.35">
      <c r="I713" s="42">
        <f t="shared" si="110"/>
        <v>0</v>
      </c>
      <c r="J713" s="65" t="e">
        <f t="shared" si="111"/>
        <v>#NUM!</v>
      </c>
      <c r="K713" s="83" t="e">
        <f t="shared" si="112"/>
        <v>#NUM!</v>
      </c>
      <c r="L713" s="83">
        <f t="shared" si="113"/>
        <v>0</v>
      </c>
      <c r="M713" s="110" t="str">
        <f t="shared" si="114"/>
        <v/>
      </c>
      <c r="N713" s="51" t="str">
        <f t="shared" si="115"/>
        <v/>
      </c>
      <c r="O713" s="52" t="str">
        <f t="shared" si="116"/>
        <v/>
      </c>
      <c r="P713" s="88">
        <f t="shared" si="117"/>
        <v>0</v>
      </c>
      <c r="Q713" s="88">
        <f t="shared" si="118"/>
        <v>0</v>
      </c>
      <c r="R713" s="88" t="e">
        <f>-IF(Tabla14[[#This Row],[DIAS HABILES O MORA]]&lt;0,(Tabla14[[#This Row],[VALOR PRESTAMO]]*Tabla14[[#This Row],[% INTERES ]]/30*U713))+Tabla14[[#This Row],[VALOR CUOTAS]]</f>
        <v>#VALUE!</v>
      </c>
      <c r="S713" s="88">
        <f>-IF(Tabla14[[#This Row],[DIAS HABILES O MORA]]&lt;0,(Tabla14[[#This Row],[VALOR PRESTAMO]]*Tabla14[[#This Row],[% INTERES ]]/30*U713))</f>
        <v>0</v>
      </c>
      <c r="T713" s="53" t="e">
        <f>Tabla14[[#This Row],[DEUDA CAPITAL]]+Tabla14[[#This Row],[INTERES  CUOTA]]</f>
        <v>#NUM!</v>
      </c>
      <c r="U713" s="61" t="str">
        <f t="shared" si="119"/>
        <v/>
      </c>
    </row>
    <row r="714" spans="9:21" ht="24.75" customHeight="1" x14ac:dyDescent="0.35">
      <c r="I714" s="42">
        <f t="shared" si="110"/>
        <v>0</v>
      </c>
      <c r="J714" s="65" t="e">
        <f t="shared" si="111"/>
        <v>#NUM!</v>
      </c>
      <c r="K714" s="83" t="e">
        <f t="shared" si="112"/>
        <v>#NUM!</v>
      </c>
      <c r="L714" s="83">
        <f t="shared" si="113"/>
        <v>0</v>
      </c>
      <c r="M714" s="110" t="str">
        <f t="shared" si="114"/>
        <v/>
      </c>
      <c r="N714" s="51" t="str">
        <f t="shared" si="115"/>
        <v/>
      </c>
      <c r="O714" s="52" t="str">
        <f t="shared" si="116"/>
        <v/>
      </c>
      <c r="P714" s="88">
        <f t="shared" si="117"/>
        <v>0</v>
      </c>
      <c r="Q714" s="88">
        <f t="shared" si="118"/>
        <v>0</v>
      </c>
      <c r="R714" s="88" t="e">
        <f>-IF(Tabla14[[#This Row],[DIAS HABILES O MORA]]&lt;0,(Tabla14[[#This Row],[VALOR PRESTAMO]]*Tabla14[[#This Row],[% INTERES ]]/30*U714))+Tabla14[[#This Row],[VALOR CUOTAS]]</f>
        <v>#VALUE!</v>
      </c>
      <c r="S714" s="88">
        <f>-IF(Tabla14[[#This Row],[DIAS HABILES O MORA]]&lt;0,(Tabla14[[#This Row],[VALOR PRESTAMO]]*Tabla14[[#This Row],[% INTERES ]]/30*U714))</f>
        <v>0</v>
      </c>
      <c r="T714" s="53" t="e">
        <f>Tabla14[[#This Row],[DEUDA CAPITAL]]+Tabla14[[#This Row],[INTERES  CUOTA]]</f>
        <v>#NUM!</v>
      </c>
      <c r="U714" s="61" t="str">
        <f t="shared" si="119"/>
        <v/>
      </c>
    </row>
    <row r="715" spans="9:21" ht="24.75" customHeight="1" x14ac:dyDescent="0.35">
      <c r="I715" s="42">
        <f t="shared" si="110"/>
        <v>0</v>
      </c>
      <c r="J715" s="65" t="e">
        <f t="shared" si="111"/>
        <v>#NUM!</v>
      </c>
      <c r="K715" s="83" t="e">
        <f t="shared" si="112"/>
        <v>#NUM!</v>
      </c>
      <c r="L715" s="83">
        <f t="shared" si="113"/>
        <v>0</v>
      </c>
      <c r="M715" s="110" t="str">
        <f t="shared" si="114"/>
        <v/>
      </c>
      <c r="N715" s="51" t="str">
        <f t="shared" si="115"/>
        <v/>
      </c>
      <c r="O715" s="52" t="str">
        <f t="shared" si="116"/>
        <v/>
      </c>
      <c r="P715" s="88">
        <f t="shared" si="117"/>
        <v>0</v>
      </c>
      <c r="Q715" s="88">
        <f t="shared" si="118"/>
        <v>0</v>
      </c>
      <c r="R715" s="88" t="e">
        <f>-IF(Tabla14[[#This Row],[DIAS HABILES O MORA]]&lt;0,(Tabla14[[#This Row],[VALOR PRESTAMO]]*Tabla14[[#This Row],[% INTERES ]]/30*U715))+Tabla14[[#This Row],[VALOR CUOTAS]]</f>
        <v>#VALUE!</v>
      </c>
      <c r="S715" s="88">
        <f>-IF(Tabla14[[#This Row],[DIAS HABILES O MORA]]&lt;0,(Tabla14[[#This Row],[VALOR PRESTAMO]]*Tabla14[[#This Row],[% INTERES ]]/30*U715))</f>
        <v>0</v>
      </c>
      <c r="T715" s="53" t="e">
        <f>Tabla14[[#This Row],[DEUDA CAPITAL]]+Tabla14[[#This Row],[INTERES  CUOTA]]</f>
        <v>#NUM!</v>
      </c>
      <c r="U715" s="61" t="str">
        <f t="shared" si="119"/>
        <v/>
      </c>
    </row>
    <row r="716" spans="9:21" ht="24.75" customHeight="1" x14ac:dyDescent="0.35">
      <c r="I716" s="42">
        <f t="shared" si="110"/>
        <v>0</v>
      </c>
      <c r="J716" s="65" t="e">
        <f t="shared" si="111"/>
        <v>#NUM!</v>
      </c>
      <c r="K716" s="83" t="e">
        <f t="shared" si="112"/>
        <v>#NUM!</v>
      </c>
      <c r="L716" s="83">
        <f t="shared" si="113"/>
        <v>0</v>
      </c>
      <c r="M716" s="110" t="str">
        <f t="shared" si="114"/>
        <v/>
      </c>
      <c r="N716" s="51" t="str">
        <f t="shared" si="115"/>
        <v/>
      </c>
      <c r="O716" s="52" t="str">
        <f t="shared" si="116"/>
        <v/>
      </c>
      <c r="P716" s="88">
        <f t="shared" si="117"/>
        <v>0</v>
      </c>
      <c r="Q716" s="88">
        <f t="shared" si="118"/>
        <v>0</v>
      </c>
      <c r="R716" s="88" t="e">
        <f>-IF(Tabla14[[#This Row],[DIAS HABILES O MORA]]&lt;0,(Tabla14[[#This Row],[VALOR PRESTAMO]]*Tabla14[[#This Row],[% INTERES ]]/30*U716))+Tabla14[[#This Row],[VALOR CUOTAS]]</f>
        <v>#VALUE!</v>
      </c>
      <c r="S716" s="88">
        <f>-IF(Tabla14[[#This Row],[DIAS HABILES O MORA]]&lt;0,(Tabla14[[#This Row],[VALOR PRESTAMO]]*Tabla14[[#This Row],[% INTERES ]]/30*U716))</f>
        <v>0</v>
      </c>
      <c r="T716" s="53" t="e">
        <f>Tabla14[[#This Row],[DEUDA CAPITAL]]+Tabla14[[#This Row],[INTERES  CUOTA]]</f>
        <v>#NUM!</v>
      </c>
      <c r="U716" s="61" t="str">
        <f t="shared" si="119"/>
        <v/>
      </c>
    </row>
    <row r="717" spans="9:21" ht="24.75" customHeight="1" x14ac:dyDescent="0.35">
      <c r="I717" s="42">
        <f t="shared" si="110"/>
        <v>0</v>
      </c>
      <c r="J717" s="65" t="e">
        <f t="shared" si="111"/>
        <v>#NUM!</v>
      </c>
      <c r="K717" s="83" t="e">
        <f t="shared" si="112"/>
        <v>#NUM!</v>
      </c>
      <c r="L717" s="83">
        <f t="shared" si="113"/>
        <v>0</v>
      </c>
      <c r="M717" s="110" t="str">
        <f t="shared" si="114"/>
        <v/>
      </c>
      <c r="N717" s="51" t="str">
        <f t="shared" si="115"/>
        <v/>
      </c>
      <c r="O717" s="52" t="str">
        <f t="shared" si="116"/>
        <v/>
      </c>
      <c r="P717" s="88">
        <f t="shared" si="117"/>
        <v>0</v>
      </c>
      <c r="Q717" s="88">
        <f t="shared" si="118"/>
        <v>0</v>
      </c>
      <c r="R717" s="88" t="e">
        <f>-IF(Tabla14[[#This Row],[DIAS HABILES O MORA]]&lt;0,(Tabla14[[#This Row],[VALOR PRESTAMO]]*Tabla14[[#This Row],[% INTERES ]]/30*U717))+Tabla14[[#This Row],[VALOR CUOTAS]]</f>
        <v>#VALUE!</v>
      </c>
      <c r="S717" s="88">
        <f>-IF(Tabla14[[#This Row],[DIAS HABILES O MORA]]&lt;0,(Tabla14[[#This Row],[VALOR PRESTAMO]]*Tabla14[[#This Row],[% INTERES ]]/30*U717))</f>
        <v>0</v>
      </c>
      <c r="T717" s="53" t="e">
        <f>Tabla14[[#This Row],[DEUDA CAPITAL]]+Tabla14[[#This Row],[INTERES  CUOTA]]</f>
        <v>#NUM!</v>
      </c>
      <c r="U717" s="61" t="str">
        <f t="shared" si="119"/>
        <v/>
      </c>
    </row>
    <row r="718" spans="9:21" ht="24.75" customHeight="1" x14ac:dyDescent="0.35">
      <c r="I718" s="42">
        <f t="shared" si="110"/>
        <v>0</v>
      </c>
      <c r="J718" s="65" t="e">
        <f t="shared" si="111"/>
        <v>#NUM!</v>
      </c>
      <c r="K718" s="83" t="e">
        <f t="shared" si="112"/>
        <v>#NUM!</v>
      </c>
      <c r="L718" s="83">
        <f t="shared" si="113"/>
        <v>0</v>
      </c>
      <c r="M718" s="110" t="str">
        <f t="shared" si="114"/>
        <v/>
      </c>
      <c r="N718" s="51" t="str">
        <f t="shared" si="115"/>
        <v/>
      </c>
      <c r="O718" s="52" t="str">
        <f t="shared" si="116"/>
        <v/>
      </c>
      <c r="P718" s="88">
        <f t="shared" si="117"/>
        <v>0</v>
      </c>
      <c r="Q718" s="88">
        <f t="shared" si="118"/>
        <v>0</v>
      </c>
      <c r="R718" s="88" t="e">
        <f>-IF(Tabla14[[#This Row],[DIAS HABILES O MORA]]&lt;0,(Tabla14[[#This Row],[VALOR PRESTAMO]]*Tabla14[[#This Row],[% INTERES ]]/30*U718))+Tabla14[[#This Row],[VALOR CUOTAS]]</f>
        <v>#VALUE!</v>
      </c>
      <c r="S718" s="88">
        <f>-IF(Tabla14[[#This Row],[DIAS HABILES O MORA]]&lt;0,(Tabla14[[#This Row],[VALOR PRESTAMO]]*Tabla14[[#This Row],[% INTERES ]]/30*U718))</f>
        <v>0</v>
      </c>
      <c r="T718" s="53" t="e">
        <f>Tabla14[[#This Row],[DEUDA CAPITAL]]+Tabla14[[#This Row],[INTERES  CUOTA]]</f>
        <v>#NUM!</v>
      </c>
      <c r="U718" s="61" t="str">
        <f t="shared" si="119"/>
        <v/>
      </c>
    </row>
    <row r="719" spans="9:21" ht="24.75" customHeight="1" x14ac:dyDescent="0.35">
      <c r="I719" s="42">
        <f t="shared" si="110"/>
        <v>0</v>
      </c>
      <c r="J719" s="65" t="e">
        <f t="shared" si="111"/>
        <v>#NUM!</v>
      </c>
      <c r="K719" s="83" t="e">
        <f t="shared" si="112"/>
        <v>#NUM!</v>
      </c>
      <c r="L719" s="83">
        <f t="shared" si="113"/>
        <v>0</v>
      </c>
      <c r="M719" s="110" t="str">
        <f t="shared" si="114"/>
        <v/>
      </c>
      <c r="N719" s="51" t="str">
        <f t="shared" si="115"/>
        <v/>
      </c>
      <c r="O719" s="52" t="str">
        <f t="shared" si="116"/>
        <v/>
      </c>
      <c r="P719" s="88">
        <f t="shared" si="117"/>
        <v>0</v>
      </c>
      <c r="Q719" s="88">
        <f t="shared" si="118"/>
        <v>0</v>
      </c>
      <c r="R719" s="88" t="e">
        <f>-IF(Tabla14[[#This Row],[DIAS HABILES O MORA]]&lt;0,(Tabla14[[#This Row],[VALOR PRESTAMO]]*Tabla14[[#This Row],[% INTERES ]]/30*U719))+Tabla14[[#This Row],[VALOR CUOTAS]]</f>
        <v>#VALUE!</v>
      </c>
      <c r="S719" s="88">
        <f>-IF(Tabla14[[#This Row],[DIAS HABILES O MORA]]&lt;0,(Tabla14[[#This Row],[VALOR PRESTAMO]]*Tabla14[[#This Row],[% INTERES ]]/30*U719))</f>
        <v>0</v>
      </c>
      <c r="T719" s="53" t="e">
        <f>Tabla14[[#This Row],[DEUDA CAPITAL]]+Tabla14[[#This Row],[INTERES  CUOTA]]</f>
        <v>#NUM!</v>
      </c>
      <c r="U719" s="61" t="str">
        <f t="shared" si="119"/>
        <v/>
      </c>
    </row>
    <row r="720" spans="9:21" ht="24.75" customHeight="1" x14ac:dyDescent="0.35">
      <c r="I720" s="42">
        <f t="shared" ref="I720:I783" si="120">IF(C720&lt;0,"",IF(Q720=0,0,IF(G720=0,H720+1,IF(H720&lt;G720,H720+1,IF(G720=H720,0)))))</f>
        <v>0</v>
      </c>
      <c r="J720" s="65" t="e">
        <f t="shared" ref="J720:J783" si="121">IF(F720="SOLO INTERES",Q720*D720,-IPMT(D720,I720,G720,C720))</f>
        <v>#NUM!</v>
      </c>
      <c r="K720" s="83" t="e">
        <f t="shared" ref="K720:K783" si="122">IF(F720="SOLO INTERES",0,-PPMT(D720,I720,G720,C720))</f>
        <v>#NUM!</v>
      </c>
      <c r="L720" s="83">
        <f t="shared" ref="L720:L783" si="123">IF(F720="SOLO INTERES",SUM(Y720:AAE720),IFERROR(-CUMIPMT(D720,G720,C720,1,H720,0),0)+SUM(Y720:WY720))</f>
        <v>0</v>
      </c>
      <c r="M720" s="110" t="str">
        <f t="shared" ref="M720:M783" si="124">IFERROR(IF(F720="SOLO INTERES",Q720*D720,-PMT(D720,G720,C720,0)),"")</f>
        <v/>
      </c>
      <c r="N720" s="51" t="str">
        <f t="shared" ref="N720:N783" si="125">IF(Q720=0,"",IF(E720="MENSUAL",EDATE(B720,I720),IF(E720="QUINCENAL",B720+(I720*15),IF(E720="SEMANAL",B720+(I720*7)))))</f>
        <v/>
      </c>
      <c r="O720" s="52" t="str">
        <f t="shared" ref="O720:O783" si="126">IF(C720=0,"",IF(Q720&lt;1,"PAGADO",IF(N720=$A$3,"COBRAR HOY",IF(N720&lt;$A$3,"EN MORA",IF(N720&gt;$A$3,"AL DIA")))))</f>
        <v/>
      </c>
      <c r="P720" s="88">
        <f t="shared" ref="P720:P783" si="127">IFERROR(-CUMPRINC(D720,G720,C720,1,H720,0),0)+W720</f>
        <v>0</v>
      </c>
      <c r="Q720" s="88">
        <f t="shared" ref="Q720:Q783" si="128">IFERROR(C720-P720,"")</f>
        <v>0</v>
      </c>
      <c r="R720" s="88" t="e">
        <f>-IF(Tabla14[[#This Row],[DIAS HABILES O MORA]]&lt;0,(Tabla14[[#This Row],[VALOR PRESTAMO]]*Tabla14[[#This Row],[% INTERES ]]/30*U720))+Tabla14[[#This Row],[VALOR CUOTAS]]</f>
        <v>#VALUE!</v>
      </c>
      <c r="S720" s="88">
        <f>-IF(Tabla14[[#This Row],[DIAS HABILES O MORA]]&lt;0,(Tabla14[[#This Row],[VALOR PRESTAMO]]*Tabla14[[#This Row],[% INTERES ]]/30*U720))</f>
        <v>0</v>
      </c>
      <c r="T720" s="53" t="e">
        <f>Tabla14[[#This Row],[DEUDA CAPITAL]]+Tabla14[[#This Row],[INTERES  CUOTA]]</f>
        <v>#NUM!</v>
      </c>
      <c r="U720" s="61" t="str">
        <f t="shared" ref="U720:U783" si="129">IF(O720="PAGADO","",IFERROR(-IF(C720=0,"",$A$3-N720),""))</f>
        <v/>
      </c>
    </row>
    <row r="721" spans="9:21" ht="24.75" customHeight="1" x14ac:dyDescent="0.35">
      <c r="I721" s="42">
        <f t="shared" si="120"/>
        <v>0</v>
      </c>
      <c r="J721" s="65" t="e">
        <f t="shared" si="121"/>
        <v>#NUM!</v>
      </c>
      <c r="K721" s="83" t="e">
        <f t="shared" si="122"/>
        <v>#NUM!</v>
      </c>
      <c r="L721" s="83">
        <f t="shared" si="123"/>
        <v>0</v>
      </c>
      <c r="M721" s="110" t="str">
        <f t="shared" si="124"/>
        <v/>
      </c>
      <c r="N721" s="51" t="str">
        <f t="shared" si="125"/>
        <v/>
      </c>
      <c r="O721" s="52" t="str">
        <f t="shared" si="126"/>
        <v/>
      </c>
      <c r="P721" s="88">
        <f t="shared" si="127"/>
        <v>0</v>
      </c>
      <c r="Q721" s="88">
        <f t="shared" si="128"/>
        <v>0</v>
      </c>
      <c r="R721" s="88" t="e">
        <f>-IF(Tabla14[[#This Row],[DIAS HABILES O MORA]]&lt;0,(Tabla14[[#This Row],[VALOR PRESTAMO]]*Tabla14[[#This Row],[% INTERES ]]/30*U721))+Tabla14[[#This Row],[VALOR CUOTAS]]</f>
        <v>#VALUE!</v>
      </c>
      <c r="S721" s="88">
        <f>-IF(Tabla14[[#This Row],[DIAS HABILES O MORA]]&lt;0,(Tabla14[[#This Row],[VALOR PRESTAMO]]*Tabla14[[#This Row],[% INTERES ]]/30*U721))</f>
        <v>0</v>
      </c>
      <c r="T721" s="53" t="e">
        <f>Tabla14[[#This Row],[DEUDA CAPITAL]]+Tabla14[[#This Row],[INTERES  CUOTA]]</f>
        <v>#NUM!</v>
      </c>
      <c r="U721" s="61" t="str">
        <f t="shared" si="129"/>
        <v/>
      </c>
    </row>
    <row r="722" spans="9:21" ht="24.75" customHeight="1" x14ac:dyDescent="0.35">
      <c r="I722" s="42">
        <f t="shared" si="120"/>
        <v>0</v>
      </c>
      <c r="J722" s="65" t="e">
        <f t="shared" si="121"/>
        <v>#NUM!</v>
      </c>
      <c r="K722" s="83" t="e">
        <f t="shared" si="122"/>
        <v>#NUM!</v>
      </c>
      <c r="L722" s="83">
        <f t="shared" si="123"/>
        <v>0</v>
      </c>
      <c r="M722" s="110" t="str">
        <f t="shared" si="124"/>
        <v/>
      </c>
      <c r="N722" s="51" t="str">
        <f t="shared" si="125"/>
        <v/>
      </c>
      <c r="O722" s="52" t="str">
        <f t="shared" si="126"/>
        <v/>
      </c>
      <c r="P722" s="88">
        <f t="shared" si="127"/>
        <v>0</v>
      </c>
      <c r="Q722" s="88">
        <f t="shared" si="128"/>
        <v>0</v>
      </c>
      <c r="R722" s="88" t="e">
        <f>-IF(Tabla14[[#This Row],[DIAS HABILES O MORA]]&lt;0,(Tabla14[[#This Row],[VALOR PRESTAMO]]*Tabla14[[#This Row],[% INTERES ]]/30*U722))+Tabla14[[#This Row],[VALOR CUOTAS]]</f>
        <v>#VALUE!</v>
      </c>
      <c r="S722" s="88">
        <f>-IF(Tabla14[[#This Row],[DIAS HABILES O MORA]]&lt;0,(Tabla14[[#This Row],[VALOR PRESTAMO]]*Tabla14[[#This Row],[% INTERES ]]/30*U722))</f>
        <v>0</v>
      </c>
      <c r="T722" s="53" t="e">
        <f>Tabla14[[#This Row],[DEUDA CAPITAL]]+Tabla14[[#This Row],[INTERES  CUOTA]]</f>
        <v>#NUM!</v>
      </c>
      <c r="U722" s="61" t="str">
        <f t="shared" si="129"/>
        <v/>
      </c>
    </row>
    <row r="723" spans="9:21" ht="24.75" customHeight="1" x14ac:dyDescent="0.35">
      <c r="I723" s="42">
        <f t="shared" si="120"/>
        <v>0</v>
      </c>
      <c r="J723" s="65" t="e">
        <f t="shared" si="121"/>
        <v>#NUM!</v>
      </c>
      <c r="K723" s="83" t="e">
        <f t="shared" si="122"/>
        <v>#NUM!</v>
      </c>
      <c r="L723" s="83">
        <f t="shared" si="123"/>
        <v>0</v>
      </c>
      <c r="M723" s="110" t="str">
        <f t="shared" si="124"/>
        <v/>
      </c>
      <c r="N723" s="51" t="str">
        <f t="shared" si="125"/>
        <v/>
      </c>
      <c r="O723" s="52" t="str">
        <f t="shared" si="126"/>
        <v/>
      </c>
      <c r="P723" s="88">
        <f t="shared" si="127"/>
        <v>0</v>
      </c>
      <c r="Q723" s="88">
        <f t="shared" si="128"/>
        <v>0</v>
      </c>
      <c r="R723" s="88" t="e">
        <f>-IF(Tabla14[[#This Row],[DIAS HABILES O MORA]]&lt;0,(Tabla14[[#This Row],[VALOR PRESTAMO]]*Tabla14[[#This Row],[% INTERES ]]/30*U723))+Tabla14[[#This Row],[VALOR CUOTAS]]</f>
        <v>#VALUE!</v>
      </c>
      <c r="S723" s="88">
        <f>-IF(Tabla14[[#This Row],[DIAS HABILES O MORA]]&lt;0,(Tabla14[[#This Row],[VALOR PRESTAMO]]*Tabla14[[#This Row],[% INTERES ]]/30*U723))</f>
        <v>0</v>
      </c>
      <c r="T723" s="53" t="e">
        <f>Tabla14[[#This Row],[DEUDA CAPITAL]]+Tabla14[[#This Row],[INTERES  CUOTA]]</f>
        <v>#NUM!</v>
      </c>
      <c r="U723" s="61" t="str">
        <f t="shared" si="129"/>
        <v/>
      </c>
    </row>
    <row r="724" spans="9:21" ht="24.75" customHeight="1" x14ac:dyDescent="0.35">
      <c r="I724" s="42">
        <f t="shared" si="120"/>
        <v>0</v>
      </c>
      <c r="J724" s="65" t="e">
        <f t="shared" si="121"/>
        <v>#NUM!</v>
      </c>
      <c r="K724" s="83" t="e">
        <f t="shared" si="122"/>
        <v>#NUM!</v>
      </c>
      <c r="L724" s="83">
        <f t="shared" si="123"/>
        <v>0</v>
      </c>
      <c r="M724" s="110" t="str">
        <f t="shared" si="124"/>
        <v/>
      </c>
      <c r="N724" s="51" t="str">
        <f t="shared" si="125"/>
        <v/>
      </c>
      <c r="O724" s="52" t="str">
        <f t="shared" si="126"/>
        <v/>
      </c>
      <c r="P724" s="88">
        <f t="shared" si="127"/>
        <v>0</v>
      </c>
      <c r="Q724" s="88">
        <f t="shared" si="128"/>
        <v>0</v>
      </c>
      <c r="R724" s="88" t="e">
        <f>-IF(Tabla14[[#This Row],[DIAS HABILES O MORA]]&lt;0,(Tabla14[[#This Row],[VALOR PRESTAMO]]*Tabla14[[#This Row],[% INTERES ]]/30*U724))+Tabla14[[#This Row],[VALOR CUOTAS]]</f>
        <v>#VALUE!</v>
      </c>
      <c r="S724" s="88">
        <f>-IF(Tabla14[[#This Row],[DIAS HABILES O MORA]]&lt;0,(Tabla14[[#This Row],[VALOR PRESTAMO]]*Tabla14[[#This Row],[% INTERES ]]/30*U724))</f>
        <v>0</v>
      </c>
      <c r="T724" s="53" t="e">
        <f>Tabla14[[#This Row],[DEUDA CAPITAL]]+Tabla14[[#This Row],[INTERES  CUOTA]]</f>
        <v>#NUM!</v>
      </c>
      <c r="U724" s="61" t="str">
        <f t="shared" si="129"/>
        <v/>
      </c>
    </row>
    <row r="725" spans="9:21" ht="24.75" customHeight="1" x14ac:dyDescent="0.35">
      <c r="I725" s="42">
        <f t="shared" si="120"/>
        <v>0</v>
      </c>
      <c r="J725" s="65" t="e">
        <f t="shared" si="121"/>
        <v>#NUM!</v>
      </c>
      <c r="K725" s="83" t="e">
        <f t="shared" si="122"/>
        <v>#NUM!</v>
      </c>
      <c r="L725" s="83">
        <f t="shared" si="123"/>
        <v>0</v>
      </c>
      <c r="M725" s="110" t="str">
        <f t="shared" si="124"/>
        <v/>
      </c>
      <c r="N725" s="51" t="str">
        <f t="shared" si="125"/>
        <v/>
      </c>
      <c r="O725" s="52" t="str">
        <f t="shared" si="126"/>
        <v/>
      </c>
      <c r="P725" s="88">
        <f t="shared" si="127"/>
        <v>0</v>
      </c>
      <c r="Q725" s="88">
        <f t="shared" si="128"/>
        <v>0</v>
      </c>
      <c r="R725" s="88" t="e">
        <f>-IF(Tabla14[[#This Row],[DIAS HABILES O MORA]]&lt;0,(Tabla14[[#This Row],[VALOR PRESTAMO]]*Tabla14[[#This Row],[% INTERES ]]/30*U725))+Tabla14[[#This Row],[VALOR CUOTAS]]</f>
        <v>#VALUE!</v>
      </c>
      <c r="S725" s="88">
        <f>-IF(Tabla14[[#This Row],[DIAS HABILES O MORA]]&lt;0,(Tabla14[[#This Row],[VALOR PRESTAMO]]*Tabla14[[#This Row],[% INTERES ]]/30*U725))</f>
        <v>0</v>
      </c>
      <c r="T725" s="53" t="e">
        <f>Tabla14[[#This Row],[DEUDA CAPITAL]]+Tabla14[[#This Row],[INTERES  CUOTA]]</f>
        <v>#NUM!</v>
      </c>
      <c r="U725" s="61" t="str">
        <f t="shared" si="129"/>
        <v/>
      </c>
    </row>
    <row r="726" spans="9:21" ht="24.75" customHeight="1" x14ac:dyDescent="0.35">
      <c r="I726" s="42">
        <f t="shared" si="120"/>
        <v>0</v>
      </c>
      <c r="J726" s="65" t="e">
        <f t="shared" si="121"/>
        <v>#NUM!</v>
      </c>
      <c r="K726" s="83" t="e">
        <f t="shared" si="122"/>
        <v>#NUM!</v>
      </c>
      <c r="L726" s="83">
        <f t="shared" si="123"/>
        <v>0</v>
      </c>
      <c r="M726" s="110" t="str">
        <f t="shared" si="124"/>
        <v/>
      </c>
      <c r="N726" s="51" t="str">
        <f t="shared" si="125"/>
        <v/>
      </c>
      <c r="O726" s="52" t="str">
        <f t="shared" si="126"/>
        <v/>
      </c>
      <c r="P726" s="88">
        <f t="shared" si="127"/>
        <v>0</v>
      </c>
      <c r="Q726" s="88">
        <f t="shared" si="128"/>
        <v>0</v>
      </c>
      <c r="R726" s="88" t="e">
        <f>-IF(Tabla14[[#This Row],[DIAS HABILES O MORA]]&lt;0,(Tabla14[[#This Row],[VALOR PRESTAMO]]*Tabla14[[#This Row],[% INTERES ]]/30*U726))+Tabla14[[#This Row],[VALOR CUOTAS]]</f>
        <v>#VALUE!</v>
      </c>
      <c r="S726" s="88">
        <f>-IF(Tabla14[[#This Row],[DIAS HABILES O MORA]]&lt;0,(Tabla14[[#This Row],[VALOR PRESTAMO]]*Tabla14[[#This Row],[% INTERES ]]/30*U726))</f>
        <v>0</v>
      </c>
      <c r="T726" s="53" t="e">
        <f>Tabla14[[#This Row],[DEUDA CAPITAL]]+Tabla14[[#This Row],[INTERES  CUOTA]]</f>
        <v>#NUM!</v>
      </c>
      <c r="U726" s="61" t="str">
        <f t="shared" si="129"/>
        <v/>
      </c>
    </row>
    <row r="727" spans="9:21" ht="24.75" customHeight="1" x14ac:dyDescent="0.35">
      <c r="I727" s="42">
        <f t="shared" si="120"/>
        <v>0</v>
      </c>
      <c r="J727" s="65" t="e">
        <f t="shared" si="121"/>
        <v>#NUM!</v>
      </c>
      <c r="K727" s="83" t="e">
        <f t="shared" si="122"/>
        <v>#NUM!</v>
      </c>
      <c r="L727" s="83">
        <f t="shared" si="123"/>
        <v>0</v>
      </c>
      <c r="M727" s="110" t="str">
        <f t="shared" si="124"/>
        <v/>
      </c>
      <c r="N727" s="51" t="str">
        <f t="shared" si="125"/>
        <v/>
      </c>
      <c r="O727" s="52" t="str">
        <f t="shared" si="126"/>
        <v/>
      </c>
      <c r="P727" s="88">
        <f t="shared" si="127"/>
        <v>0</v>
      </c>
      <c r="Q727" s="88">
        <f t="shared" si="128"/>
        <v>0</v>
      </c>
      <c r="R727" s="88" t="e">
        <f>-IF(Tabla14[[#This Row],[DIAS HABILES O MORA]]&lt;0,(Tabla14[[#This Row],[VALOR PRESTAMO]]*Tabla14[[#This Row],[% INTERES ]]/30*U727))+Tabla14[[#This Row],[VALOR CUOTAS]]</f>
        <v>#VALUE!</v>
      </c>
      <c r="S727" s="88">
        <f>-IF(Tabla14[[#This Row],[DIAS HABILES O MORA]]&lt;0,(Tabla14[[#This Row],[VALOR PRESTAMO]]*Tabla14[[#This Row],[% INTERES ]]/30*U727))</f>
        <v>0</v>
      </c>
      <c r="T727" s="53" t="e">
        <f>Tabla14[[#This Row],[DEUDA CAPITAL]]+Tabla14[[#This Row],[INTERES  CUOTA]]</f>
        <v>#NUM!</v>
      </c>
      <c r="U727" s="61" t="str">
        <f t="shared" si="129"/>
        <v/>
      </c>
    </row>
    <row r="728" spans="9:21" ht="24.75" customHeight="1" x14ac:dyDescent="0.35">
      <c r="I728" s="42">
        <f t="shared" si="120"/>
        <v>0</v>
      </c>
      <c r="J728" s="65" t="e">
        <f t="shared" si="121"/>
        <v>#NUM!</v>
      </c>
      <c r="K728" s="83" t="e">
        <f t="shared" si="122"/>
        <v>#NUM!</v>
      </c>
      <c r="L728" s="83">
        <f t="shared" si="123"/>
        <v>0</v>
      </c>
      <c r="M728" s="110" t="str">
        <f t="shared" si="124"/>
        <v/>
      </c>
      <c r="N728" s="51" t="str">
        <f t="shared" si="125"/>
        <v/>
      </c>
      <c r="O728" s="52" t="str">
        <f t="shared" si="126"/>
        <v/>
      </c>
      <c r="P728" s="88">
        <f t="shared" si="127"/>
        <v>0</v>
      </c>
      <c r="Q728" s="88">
        <f t="shared" si="128"/>
        <v>0</v>
      </c>
      <c r="R728" s="88" t="e">
        <f>-IF(Tabla14[[#This Row],[DIAS HABILES O MORA]]&lt;0,(Tabla14[[#This Row],[VALOR PRESTAMO]]*Tabla14[[#This Row],[% INTERES ]]/30*U728))+Tabla14[[#This Row],[VALOR CUOTAS]]</f>
        <v>#VALUE!</v>
      </c>
      <c r="S728" s="88">
        <f>-IF(Tabla14[[#This Row],[DIAS HABILES O MORA]]&lt;0,(Tabla14[[#This Row],[VALOR PRESTAMO]]*Tabla14[[#This Row],[% INTERES ]]/30*U728))</f>
        <v>0</v>
      </c>
      <c r="T728" s="53" t="e">
        <f>Tabla14[[#This Row],[DEUDA CAPITAL]]+Tabla14[[#This Row],[INTERES  CUOTA]]</f>
        <v>#NUM!</v>
      </c>
      <c r="U728" s="61" t="str">
        <f t="shared" si="129"/>
        <v/>
      </c>
    </row>
    <row r="729" spans="9:21" ht="24.75" customHeight="1" x14ac:dyDescent="0.35">
      <c r="I729" s="42">
        <f t="shared" si="120"/>
        <v>0</v>
      </c>
      <c r="J729" s="65" t="e">
        <f t="shared" si="121"/>
        <v>#NUM!</v>
      </c>
      <c r="K729" s="83" t="e">
        <f t="shared" si="122"/>
        <v>#NUM!</v>
      </c>
      <c r="L729" s="83">
        <f t="shared" si="123"/>
        <v>0</v>
      </c>
      <c r="M729" s="110" t="str">
        <f t="shared" si="124"/>
        <v/>
      </c>
      <c r="N729" s="51" t="str">
        <f t="shared" si="125"/>
        <v/>
      </c>
      <c r="O729" s="52" t="str">
        <f t="shared" si="126"/>
        <v/>
      </c>
      <c r="P729" s="88">
        <f t="shared" si="127"/>
        <v>0</v>
      </c>
      <c r="Q729" s="88">
        <f t="shared" si="128"/>
        <v>0</v>
      </c>
      <c r="R729" s="88" t="e">
        <f>-IF(Tabla14[[#This Row],[DIAS HABILES O MORA]]&lt;0,(Tabla14[[#This Row],[VALOR PRESTAMO]]*Tabla14[[#This Row],[% INTERES ]]/30*U729))+Tabla14[[#This Row],[VALOR CUOTAS]]</f>
        <v>#VALUE!</v>
      </c>
      <c r="S729" s="88">
        <f>-IF(Tabla14[[#This Row],[DIAS HABILES O MORA]]&lt;0,(Tabla14[[#This Row],[VALOR PRESTAMO]]*Tabla14[[#This Row],[% INTERES ]]/30*U729))</f>
        <v>0</v>
      </c>
      <c r="T729" s="53" t="e">
        <f>Tabla14[[#This Row],[DEUDA CAPITAL]]+Tabla14[[#This Row],[INTERES  CUOTA]]</f>
        <v>#NUM!</v>
      </c>
      <c r="U729" s="61" t="str">
        <f t="shared" si="129"/>
        <v/>
      </c>
    </row>
    <row r="730" spans="9:21" ht="24.75" customHeight="1" x14ac:dyDescent="0.35">
      <c r="I730" s="42">
        <f t="shared" si="120"/>
        <v>0</v>
      </c>
      <c r="J730" s="65" t="e">
        <f t="shared" si="121"/>
        <v>#NUM!</v>
      </c>
      <c r="K730" s="83" t="e">
        <f t="shared" si="122"/>
        <v>#NUM!</v>
      </c>
      <c r="L730" s="83">
        <f t="shared" si="123"/>
        <v>0</v>
      </c>
      <c r="M730" s="110" t="str">
        <f t="shared" si="124"/>
        <v/>
      </c>
      <c r="N730" s="51" t="str">
        <f t="shared" si="125"/>
        <v/>
      </c>
      <c r="O730" s="52" t="str">
        <f t="shared" si="126"/>
        <v/>
      </c>
      <c r="P730" s="88">
        <f t="shared" si="127"/>
        <v>0</v>
      </c>
      <c r="Q730" s="88">
        <f t="shared" si="128"/>
        <v>0</v>
      </c>
      <c r="R730" s="88" t="e">
        <f>-IF(Tabla14[[#This Row],[DIAS HABILES O MORA]]&lt;0,(Tabla14[[#This Row],[VALOR PRESTAMO]]*Tabla14[[#This Row],[% INTERES ]]/30*U730))+Tabla14[[#This Row],[VALOR CUOTAS]]</f>
        <v>#VALUE!</v>
      </c>
      <c r="S730" s="88">
        <f>-IF(Tabla14[[#This Row],[DIAS HABILES O MORA]]&lt;0,(Tabla14[[#This Row],[VALOR PRESTAMO]]*Tabla14[[#This Row],[% INTERES ]]/30*U730))</f>
        <v>0</v>
      </c>
      <c r="T730" s="53" t="e">
        <f>Tabla14[[#This Row],[DEUDA CAPITAL]]+Tabla14[[#This Row],[INTERES  CUOTA]]</f>
        <v>#NUM!</v>
      </c>
      <c r="U730" s="61" t="str">
        <f t="shared" si="129"/>
        <v/>
      </c>
    </row>
    <row r="731" spans="9:21" ht="24.75" customHeight="1" x14ac:dyDescent="0.35">
      <c r="I731" s="42">
        <f t="shared" si="120"/>
        <v>0</v>
      </c>
      <c r="J731" s="65" t="e">
        <f t="shared" si="121"/>
        <v>#NUM!</v>
      </c>
      <c r="K731" s="83" t="e">
        <f t="shared" si="122"/>
        <v>#NUM!</v>
      </c>
      <c r="L731" s="83">
        <f t="shared" si="123"/>
        <v>0</v>
      </c>
      <c r="M731" s="110" t="str">
        <f t="shared" si="124"/>
        <v/>
      </c>
      <c r="N731" s="51" t="str">
        <f t="shared" si="125"/>
        <v/>
      </c>
      <c r="O731" s="52" t="str">
        <f t="shared" si="126"/>
        <v/>
      </c>
      <c r="P731" s="88">
        <f t="shared" si="127"/>
        <v>0</v>
      </c>
      <c r="Q731" s="88">
        <f t="shared" si="128"/>
        <v>0</v>
      </c>
      <c r="R731" s="88" t="e">
        <f>-IF(Tabla14[[#This Row],[DIAS HABILES O MORA]]&lt;0,(Tabla14[[#This Row],[VALOR PRESTAMO]]*Tabla14[[#This Row],[% INTERES ]]/30*U731))+Tabla14[[#This Row],[VALOR CUOTAS]]</f>
        <v>#VALUE!</v>
      </c>
      <c r="S731" s="88">
        <f>-IF(Tabla14[[#This Row],[DIAS HABILES O MORA]]&lt;0,(Tabla14[[#This Row],[VALOR PRESTAMO]]*Tabla14[[#This Row],[% INTERES ]]/30*U731))</f>
        <v>0</v>
      </c>
      <c r="T731" s="53" t="e">
        <f>Tabla14[[#This Row],[DEUDA CAPITAL]]+Tabla14[[#This Row],[INTERES  CUOTA]]</f>
        <v>#NUM!</v>
      </c>
      <c r="U731" s="61" t="str">
        <f t="shared" si="129"/>
        <v/>
      </c>
    </row>
    <row r="732" spans="9:21" ht="24.75" customHeight="1" x14ac:dyDescent="0.35">
      <c r="I732" s="42">
        <f t="shared" si="120"/>
        <v>0</v>
      </c>
      <c r="J732" s="65" t="e">
        <f t="shared" si="121"/>
        <v>#NUM!</v>
      </c>
      <c r="K732" s="83" t="e">
        <f t="shared" si="122"/>
        <v>#NUM!</v>
      </c>
      <c r="L732" s="83">
        <f t="shared" si="123"/>
        <v>0</v>
      </c>
      <c r="M732" s="110" t="str">
        <f t="shared" si="124"/>
        <v/>
      </c>
      <c r="N732" s="51" t="str">
        <f t="shared" si="125"/>
        <v/>
      </c>
      <c r="O732" s="52" t="str">
        <f t="shared" si="126"/>
        <v/>
      </c>
      <c r="P732" s="88">
        <f t="shared" si="127"/>
        <v>0</v>
      </c>
      <c r="Q732" s="88">
        <f t="shared" si="128"/>
        <v>0</v>
      </c>
      <c r="R732" s="88" t="e">
        <f>-IF(Tabla14[[#This Row],[DIAS HABILES O MORA]]&lt;0,(Tabla14[[#This Row],[VALOR PRESTAMO]]*Tabla14[[#This Row],[% INTERES ]]/30*U732))+Tabla14[[#This Row],[VALOR CUOTAS]]</f>
        <v>#VALUE!</v>
      </c>
      <c r="S732" s="88">
        <f>-IF(Tabla14[[#This Row],[DIAS HABILES O MORA]]&lt;0,(Tabla14[[#This Row],[VALOR PRESTAMO]]*Tabla14[[#This Row],[% INTERES ]]/30*U732))</f>
        <v>0</v>
      </c>
      <c r="T732" s="53" t="e">
        <f>Tabla14[[#This Row],[DEUDA CAPITAL]]+Tabla14[[#This Row],[INTERES  CUOTA]]</f>
        <v>#NUM!</v>
      </c>
      <c r="U732" s="61" t="str">
        <f t="shared" si="129"/>
        <v/>
      </c>
    </row>
    <row r="733" spans="9:21" ht="24.75" customHeight="1" x14ac:dyDescent="0.35">
      <c r="I733" s="42">
        <f t="shared" si="120"/>
        <v>0</v>
      </c>
      <c r="J733" s="65" t="e">
        <f t="shared" si="121"/>
        <v>#NUM!</v>
      </c>
      <c r="K733" s="83" t="e">
        <f t="shared" si="122"/>
        <v>#NUM!</v>
      </c>
      <c r="L733" s="83">
        <f t="shared" si="123"/>
        <v>0</v>
      </c>
      <c r="M733" s="110" t="str">
        <f t="shared" si="124"/>
        <v/>
      </c>
      <c r="N733" s="51" t="str">
        <f t="shared" si="125"/>
        <v/>
      </c>
      <c r="O733" s="52" t="str">
        <f t="shared" si="126"/>
        <v/>
      </c>
      <c r="P733" s="88">
        <f t="shared" si="127"/>
        <v>0</v>
      </c>
      <c r="Q733" s="88">
        <f t="shared" si="128"/>
        <v>0</v>
      </c>
      <c r="R733" s="88" t="e">
        <f>-IF(Tabla14[[#This Row],[DIAS HABILES O MORA]]&lt;0,(Tabla14[[#This Row],[VALOR PRESTAMO]]*Tabla14[[#This Row],[% INTERES ]]/30*U733))+Tabla14[[#This Row],[VALOR CUOTAS]]</f>
        <v>#VALUE!</v>
      </c>
      <c r="S733" s="88">
        <f>-IF(Tabla14[[#This Row],[DIAS HABILES O MORA]]&lt;0,(Tabla14[[#This Row],[VALOR PRESTAMO]]*Tabla14[[#This Row],[% INTERES ]]/30*U733))</f>
        <v>0</v>
      </c>
      <c r="T733" s="53" t="e">
        <f>Tabla14[[#This Row],[DEUDA CAPITAL]]+Tabla14[[#This Row],[INTERES  CUOTA]]</f>
        <v>#NUM!</v>
      </c>
      <c r="U733" s="61" t="str">
        <f t="shared" si="129"/>
        <v/>
      </c>
    </row>
    <row r="734" spans="9:21" ht="24.75" customHeight="1" x14ac:dyDescent="0.35">
      <c r="I734" s="42">
        <f t="shared" si="120"/>
        <v>0</v>
      </c>
      <c r="J734" s="65" t="e">
        <f t="shared" si="121"/>
        <v>#NUM!</v>
      </c>
      <c r="K734" s="83" t="e">
        <f t="shared" si="122"/>
        <v>#NUM!</v>
      </c>
      <c r="L734" s="83">
        <f t="shared" si="123"/>
        <v>0</v>
      </c>
      <c r="M734" s="110" t="str">
        <f t="shared" si="124"/>
        <v/>
      </c>
      <c r="N734" s="51" t="str">
        <f t="shared" si="125"/>
        <v/>
      </c>
      <c r="O734" s="52" t="str">
        <f t="shared" si="126"/>
        <v/>
      </c>
      <c r="P734" s="88">
        <f t="shared" si="127"/>
        <v>0</v>
      </c>
      <c r="Q734" s="88">
        <f t="shared" si="128"/>
        <v>0</v>
      </c>
      <c r="R734" s="88" t="e">
        <f>-IF(Tabla14[[#This Row],[DIAS HABILES O MORA]]&lt;0,(Tabla14[[#This Row],[VALOR PRESTAMO]]*Tabla14[[#This Row],[% INTERES ]]/30*U734))+Tabla14[[#This Row],[VALOR CUOTAS]]</f>
        <v>#VALUE!</v>
      </c>
      <c r="S734" s="88">
        <f>-IF(Tabla14[[#This Row],[DIAS HABILES O MORA]]&lt;0,(Tabla14[[#This Row],[VALOR PRESTAMO]]*Tabla14[[#This Row],[% INTERES ]]/30*U734))</f>
        <v>0</v>
      </c>
      <c r="T734" s="53" t="e">
        <f>Tabla14[[#This Row],[DEUDA CAPITAL]]+Tabla14[[#This Row],[INTERES  CUOTA]]</f>
        <v>#NUM!</v>
      </c>
      <c r="U734" s="61" t="str">
        <f t="shared" si="129"/>
        <v/>
      </c>
    </row>
    <row r="735" spans="9:21" ht="24.75" customHeight="1" x14ac:dyDescent="0.35">
      <c r="I735" s="42">
        <f t="shared" si="120"/>
        <v>0</v>
      </c>
      <c r="J735" s="65" t="e">
        <f t="shared" si="121"/>
        <v>#NUM!</v>
      </c>
      <c r="K735" s="83" t="e">
        <f t="shared" si="122"/>
        <v>#NUM!</v>
      </c>
      <c r="L735" s="83">
        <f t="shared" si="123"/>
        <v>0</v>
      </c>
      <c r="M735" s="110" t="str">
        <f t="shared" si="124"/>
        <v/>
      </c>
      <c r="N735" s="51" t="str">
        <f t="shared" si="125"/>
        <v/>
      </c>
      <c r="O735" s="52" t="str">
        <f t="shared" si="126"/>
        <v/>
      </c>
      <c r="P735" s="88">
        <f t="shared" si="127"/>
        <v>0</v>
      </c>
      <c r="Q735" s="88">
        <f t="shared" si="128"/>
        <v>0</v>
      </c>
      <c r="R735" s="88" t="e">
        <f>-IF(Tabla14[[#This Row],[DIAS HABILES O MORA]]&lt;0,(Tabla14[[#This Row],[VALOR PRESTAMO]]*Tabla14[[#This Row],[% INTERES ]]/30*U735))+Tabla14[[#This Row],[VALOR CUOTAS]]</f>
        <v>#VALUE!</v>
      </c>
      <c r="S735" s="88">
        <f>-IF(Tabla14[[#This Row],[DIAS HABILES O MORA]]&lt;0,(Tabla14[[#This Row],[VALOR PRESTAMO]]*Tabla14[[#This Row],[% INTERES ]]/30*U735))</f>
        <v>0</v>
      </c>
      <c r="T735" s="53" t="e">
        <f>Tabla14[[#This Row],[DEUDA CAPITAL]]+Tabla14[[#This Row],[INTERES  CUOTA]]</f>
        <v>#NUM!</v>
      </c>
      <c r="U735" s="61" t="str">
        <f t="shared" si="129"/>
        <v/>
      </c>
    </row>
    <row r="736" spans="9:21" ht="24.75" customHeight="1" x14ac:dyDescent="0.35">
      <c r="I736" s="42">
        <f t="shared" si="120"/>
        <v>0</v>
      </c>
      <c r="J736" s="65" t="e">
        <f t="shared" si="121"/>
        <v>#NUM!</v>
      </c>
      <c r="K736" s="83" t="e">
        <f t="shared" si="122"/>
        <v>#NUM!</v>
      </c>
      <c r="L736" s="83">
        <f t="shared" si="123"/>
        <v>0</v>
      </c>
      <c r="M736" s="110" t="str">
        <f t="shared" si="124"/>
        <v/>
      </c>
      <c r="N736" s="51" t="str">
        <f t="shared" si="125"/>
        <v/>
      </c>
      <c r="O736" s="52" t="str">
        <f t="shared" si="126"/>
        <v/>
      </c>
      <c r="P736" s="88">
        <f t="shared" si="127"/>
        <v>0</v>
      </c>
      <c r="Q736" s="88">
        <f t="shared" si="128"/>
        <v>0</v>
      </c>
      <c r="R736" s="88" t="e">
        <f>-IF(Tabla14[[#This Row],[DIAS HABILES O MORA]]&lt;0,(Tabla14[[#This Row],[VALOR PRESTAMO]]*Tabla14[[#This Row],[% INTERES ]]/30*U736))+Tabla14[[#This Row],[VALOR CUOTAS]]</f>
        <v>#VALUE!</v>
      </c>
      <c r="S736" s="88">
        <f>-IF(Tabla14[[#This Row],[DIAS HABILES O MORA]]&lt;0,(Tabla14[[#This Row],[VALOR PRESTAMO]]*Tabla14[[#This Row],[% INTERES ]]/30*U736))</f>
        <v>0</v>
      </c>
      <c r="T736" s="53" t="e">
        <f>Tabla14[[#This Row],[DEUDA CAPITAL]]+Tabla14[[#This Row],[INTERES  CUOTA]]</f>
        <v>#NUM!</v>
      </c>
      <c r="U736" s="61" t="str">
        <f t="shared" si="129"/>
        <v/>
      </c>
    </row>
    <row r="737" spans="9:21" ht="24.75" customHeight="1" x14ac:dyDescent="0.35">
      <c r="I737" s="42">
        <f t="shared" si="120"/>
        <v>0</v>
      </c>
      <c r="J737" s="65" t="e">
        <f t="shared" si="121"/>
        <v>#NUM!</v>
      </c>
      <c r="K737" s="83" t="e">
        <f t="shared" si="122"/>
        <v>#NUM!</v>
      </c>
      <c r="L737" s="83">
        <f t="shared" si="123"/>
        <v>0</v>
      </c>
      <c r="M737" s="110" t="str">
        <f t="shared" si="124"/>
        <v/>
      </c>
      <c r="N737" s="51" t="str">
        <f t="shared" si="125"/>
        <v/>
      </c>
      <c r="O737" s="52" t="str">
        <f t="shared" si="126"/>
        <v/>
      </c>
      <c r="P737" s="88">
        <f t="shared" si="127"/>
        <v>0</v>
      </c>
      <c r="Q737" s="88">
        <f t="shared" si="128"/>
        <v>0</v>
      </c>
      <c r="R737" s="88" t="e">
        <f>-IF(Tabla14[[#This Row],[DIAS HABILES O MORA]]&lt;0,(Tabla14[[#This Row],[VALOR PRESTAMO]]*Tabla14[[#This Row],[% INTERES ]]/30*U737))+Tabla14[[#This Row],[VALOR CUOTAS]]</f>
        <v>#VALUE!</v>
      </c>
      <c r="S737" s="88">
        <f>-IF(Tabla14[[#This Row],[DIAS HABILES O MORA]]&lt;0,(Tabla14[[#This Row],[VALOR PRESTAMO]]*Tabla14[[#This Row],[% INTERES ]]/30*U737))</f>
        <v>0</v>
      </c>
      <c r="T737" s="53" t="e">
        <f>Tabla14[[#This Row],[DEUDA CAPITAL]]+Tabla14[[#This Row],[INTERES  CUOTA]]</f>
        <v>#NUM!</v>
      </c>
      <c r="U737" s="61" t="str">
        <f t="shared" si="129"/>
        <v/>
      </c>
    </row>
    <row r="738" spans="9:21" ht="24.75" customHeight="1" x14ac:dyDescent="0.35">
      <c r="I738" s="42">
        <f t="shared" si="120"/>
        <v>0</v>
      </c>
      <c r="J738" s="65" t="e">
        <f t="shared" si="121"/>
        <v>#NUM!</v>
      </c>
      <c r="K738" s="83" t="e">
        <f t="shared" si="122"/>
        <v>#NUM!</v>
      </c>
      <c r="L738" s="83">
        <f t="shared" si="123"/>
        <v>0</v>
      </c>
      <c r="M738" s="110" t="str">
        <f t="shared" si="124"/>
        <v/>
      </c>
      <c r="N738" s="51" t="str">
        <f t="shared" si="125"/>
        <v/>
      </c>
      <c r="O738" s="52" t="str">
        <f t="shared" si="126"/>
        <v/>
      </c>
      <c r="P738" s="88">
        <f t="shared" si="127"/>
        <v>0</v>
      </c>
      <c r="Q738" s="88">
        <f t="shared" si="128"/>
        <v>0</v>
      </c>
      <c r="R738" s="88" t="e">
        <f>-IF(Tabla14[[#This Row],[DIAS HABILES O MORA]]&lt;0,(Tabla14[[#This Row],[VALOR PRESTAMO]]*Tabla14[[#This Row],[% INTERES ]]/30*U738))+Tabla14[[#This Row],[VALOR CUOTAS]]</f>
        <v>#VALUE!</v>
      </c>
      <c r="S738" s="88">
        <f>-IF(Tabla14[[#This Row],[DIAS HABILES O MORA]]&lt;0,(Tabla14[[#This Row],[VALOR PRESTAMO]]*Tabla14[[#This Row],[% INTERES ]]/30*U738))</f>
        <v>0</v>
      </c>
      <c r="T738" s="53" t="e">
        <f>Tabla14[[#This Row],[DEUDA CAPITAL]]+Tabla14[[#This Row],[INTERES  CUOTA]]</f>
        <v>#NUM!</v>
      </c>
      <c r="U738" s="61" t="str">
        <f t="shared" si="129"/>
        <v/>
      </c>
    </row>
    <row r="739" spans="9:21" ht="24.75" customHeight="1" x14ac:dyDescent="0.35">
      <c r="I739" s="42">
        <f t="shared" si="120"/>
        <v>0</v>
      </c>
      <c r="J739" s="65" t="e">
        <f t="shared" si="121"/>
        <v>#NUM!</v>
      </c>
      <c r="K739" s="83" t="e">
        <f t="shared" si="122"/>
        <v>#NUM!</v>
      </c>
      <c r="L739" s="83">
        <f t="shared" si="123"/>
        <v>0</v>
      </c>
      <c r="M739" s="110" t="str">
        <f t="shared" si="124"/>
        <v/>
      </c>
      <c r="N739" s="51" t="str">
        <f t="shared" si="125"/>
        <v/>
      </c>
      <c r="O739" s="52" t="str">
        <f t="shared" si="126"/>
        <v/>
      </c>
      <c r="P739" s="88">
        <f t="shared" si="127"/>
        <v>0</v>
      </c>
      <c r="Q739" s="88">
        <f t="shared" si="128"/>
        <v>0</v>
      </c>
      <c r="R739" s="88" t="e">
        <f>-IF(Tabla14[[#This Row],[DIAS HABILES O MORA]]&lt;0,(Tabla14[[#This Row],[VALOR PRESTAMO]]*Tabla14[[#This Row],[% INTERES ]]/30*U739))+Tabla14[[#This Row],[VALOR CUOTAS]]</f>
        <v>#VALUE!</v>
      </c>
      <c r="S739" s="88">
        <f>-IF(Tabla14[[#This Row],[DIAS HABILES O MORA]]&lt;0,(Tabla14[[#This Row],[VALOR PRESTAMO]]*Tabla14[[#This Row],[% INTERES ]]/30*U739))</f>
        <v>0</v>
      </c>
      <c r="T739" s="53" t="e">
        <f>Tabla14[[#This Row],[DEUDA CAPITAL]]+Tabla14[[#This Row],[INTERES  CUOTA]]</f>
        <v>#NUM!</v>
      </c>
      <c r="U739" s="61" t="str">
        <f t="shared" si="129"/>
        <v/>
      </c>
    </row>
    <row r="740" spans="9:21" ht="24.75" customHeight="1" x14ac:dyDescent="0.35">
      <c r="I740" s="42">
        <f t="shared" si="120"/>
        <v>0</v>
      </c>
      <c r="J740" s="65" t="e">
        <f t="shared" si="121"/>
        <v>#NUM!</v>
      </c>
      <c r="K740" s="83" t="e">
        <f t="shared" si="122"/>
        <v>#NUM!</v>
      </c>
      <c r="L740" s="83">
        <f t="shared" si="123"/>
        <v>0</v>
      </c>
      <c r="M740" s="110" t="str">
        <f t="shared" si="124"/>
        <v/>
      </c>
      <c r="N740" s="51" t="str">
        <f t="shared" si="125"/>
        <v/>
      </c>
      <c r="O740" s="52" t="str">
        <f t="shared" si="126"/>
        <v/>
      </c>
      <c r="P740" s="88">
        <f t="shared" si="127"/>
        <v>0</v>
      </c>
      <c r="Q740" s="88">
        <f t="shared" si="128"/>
        <v>0</v>
      </c>
      <c r="R740" s="88" t="e">
        <f>-IF(Tabla14[[#This Row],[DIAS HABILES O MORA]]&lt;0,(Tabla14[[#This Row],[VALOR PRESTAMO]]*Tabla14[[#This Row],[% INTERES ]]/30*U740))+Tabla14[[#This Row],[VALOR CUOTAS]]</f>
        <v>#VALUE!</v>
      </c>
      <c r="S740" s="88">
        <f>-IF(Tabla14[[#This Row],[DIAS HABILES O MORA]]&lt;0,(Tabla14[[#This Row],[VALOR PRESTAMO]]*Tabla14[[#This Row],[% INTERES ]]/30*U740))</f>
        <v>0</v>
      </c>
      <c r="T740" s="53" t="e">
        <f>Tabla14[[#This Row],[DEUDA CAPITAL]]+Tabla14[[#This Row],[INTERES  CUOTA]]</f>
        <v>#NUM!</v>
      </c>
      <c r="U740" s="61" t="str">
        <f t="shared" si="129"/>
        <v/>
      </c>
    </row>
    <row r="741" spans="9:21" ht="24.75" customHeight="1" x14ac:dyDescent="0.35">
      <c r="I741" s="42">
        <f t="shared" si="120"/>
        <v>0</v>
      </c>
      <c r="J741" s="65" t="e">
        <f t="shared" si="121"/>
        <v>#NUM!</v>
      </c>
      <c r="K741" s="83" t="e">
        <f t="shared" si="122"/>
        <v>#NUM!</v>
      </c>
      <c r="L741" s="83">
        <f t="shared" si="123"/>
        <v>0</v>
      </c>
      <c r="M741" s="110" t="str">
        <f t="shared" si="124"/>
        <v/>
      </c>
      <c r="N741" s="51" t="str">
        <f t="shared" si="125"/>
        <v/>
      </c>
      <c r="O741" s="52" t="str">
        <f t="shared" si="126"/>
        <v/>
      </c>
      <c r="P741" s="88">
        <f t="shared" si="127"/>
        <v>0</v>
      </c>
      <c r="Q741" s="88">
        <f t="shared" si="128"/>
        <v>0</v>
      </c>
      <c r="R741" s="88" t="e">
        <f>-IF(Tabla14[[#This Row],[DIAS HABILES O MORA]]&lt;0,(Tabla14[[#This Row],[VALOR PRESTAMO]]*Tabla14[[#This Row],[% INTERES ]]/30*U741))+Tabla14[[#This Row],[VALOR CUOTAS]]</f>
        <v>#VALUE!</v>
      </c>
      <c r="S741" s="88">
        <f>-IF(Tabla14[[#This Row],[DIAS HABILES O MORA]]&lt;0,(Tabla14[[#This Row],[VALOR PRESTAMO]]*Tabla14[[#This Row],[% INTERES ]]/30*U741))</f>
        <v>0</v>
      </c>
      <c r="T741" s="53" t="e">
        <f>Tabla14[[#This Row],[DEUDA CAPITAL]]+Tabla14[[#This Row],[INTERES  CUOTA]]</f>
        <v>#NUM!</v>
      </c>
      <c r="U741" s="61" t="str">
        <f t="shared" si="129"/>
        <v/>
      </c>
    </row>
    <row r="742" spans="9:21" ht="24.75" customHeight="1" x14ac:dyDescent="0.35">
      <c r="I742" s="42">
        <f t="shared" si="120"/>
        <v>0</v>
      </c>
      <c r="J742" s="65" t="e">
        <f t="shared" si="121"/>
        <v>#NUM!</v>
      </c>
      <c r="K742" s="83" t="e">
        <f t="shared" si="122"/>
        <v>#NUM!</v>
      </c>
      <c r="L742" s="83">
        <f t="shared" si="123"/>
        <v>0</v>
      </c>
      <c r="M742" s="110" t="str">
        <f t="shared" si="124"/>
        <v/>
      </c>
      <c r="N742" s="51" t="str">
        <f t="shared" si="125"/>
        <v/>
      </c>
      <c r="O742" s="52" t="str">
        <f t="shared" si="126"/>
        <v/>
      </c>
      <c r="P742" s="88">
        <f t="shared" si="127"/>
        <v>0</v>
      </c>
      <c r="Q742" s="88">
        <f t="shared" si="128"/>
        <v>0</v>
      </c>
      <c r="R742" s="88" t="e">
        <f>-IF(Tabla14[[#This Row],[DIAS HABILES O MORA]]&lt;0,(Tabla14[[#This Row],[VALOR PRESTAMO]]*Tabla14[[#This Row],[% INTERES ]]/30*U742))+Tabla14[[#This Row],[VALOR CUOTAS]]</f>
        <v>#VALUE!</v>
      </c>
      <c r="S742" s="88">
        <f>-IF(Tabla14[[#This Row],[DIAS HABILES O MORA]]&lt;0,(Tabla14[[#This Row],[VALOR PRESTAMO]]*Tabla14[[#This Row],[% INTERES ]]/30*U742))</f>
        <v>0</v>
      </c>
      <c r="T742" s="53" t="e">
        <f>Tabla14[[#This Row],[DEUDA CAPITAL]]+Tabla14[[#This Row],[INTERES  CUOTA]]</f>
        <v>#NUM!</v>
      </c>
      <c r="U742" s="61" t="str">
        <f t="shared" si="129"/>
        <v/>
      </c>
    </row>
    <row r="743" spans="9:21" ht="24.75" customHeight="1" x14ac:dyDescent="0.35">
      <c r="I743" s="42">
        <f t="shared" si="120"/>
        <v>0</v>
      </c>
      <c r="J743" s="65" t="e">
        <f t="shared" si="121"/>
        <v>#NUM!</v>
      </c>
      <c r="K743" s="83" t="e">
        <f t="shared" si="122"/>
        <v>#NUM!</v>
      </c>
      <c r="L743" s="83">
        <f t="shared" si="123"/>
        <v>0</v>
      </c>
      <c r="M743" s="110" t="str">
        <f t="shared" si="124"/>
        <v/>
      </c>
      <c r="N743" s="51" t="str">
        <f t="shared" si="125"/>
        <v/>
      </c>
      <c r="O743" s="52" t="str">
        <f t="shared" si="126"/>
        <v/>
      </c>
      <c r="P743" s="88">
        <f t="shared" si="127"/>
        <v>0</v>
      </c>
      <c r="Q743" s="88">
        <f t="shared" si="128"/>
        <v>0</v>
      </c>
      <c r="R743" s="88" t="e">
        <f>-IF(Tabla14[[#This Row],[DIAS HABILES O MORA]]&lt;0,(Tabla14[[#This Row],[VALOR PRESTAMO]]*Tabla14[[#This Row],[% INTERES ]]/30*U743))+Tabla14[[#This Row],[VALOR CUOTAS]]</f>
        <v>#VALUE!</v>
      </c>
      <c r="S743" s="88">
        <f>-IF(Tabla14[[#This Row],[DIAS HABILES O MORA]]&lt;0,(Tabla14[[#This Row],[VALOR PRESTAMO]]*Tabla14[[#This Row],[% INTERES ]]/30*U743))</f>
        <v>0</v>
      </c>
      <c r="T743" s="53" t="e">
        <f>Tabla14[[#This Row],[DEUDA CAPITAL]]+Tabla14[[#This Row],[INTERES  CUOTA]]</f>
        <v>#NUM!</v>
      </c>
      <c r="U743" s="61" t="str">
        <f t="shared" si="129"/>
        <v/>
      </c>
    </row>
    <row r="744" spans="9:21" ht="24.75" customHeight="1" x14ac:dyDescent="0.35">
      <c r="I744" s="42">
        <f t="shared" si="120"/>
        <v>0</v>
      </c>
      <c r="J744" s="65" t="e">
        <f t="shared" si="121"/>
        <v>#NUM!</v>
      </c>
      <c r="K744" s="83" t="e">
        <f t="shared" si="122"/>
        <v>#NUM!</v>
      </c>
      <c r="L744" s="83">
        <f t="shared" si="123"/>
        <v>0</v>
      </c>
      <c r="M744" s="110" t="str">
        <f t="shared" si="124"/>
        <v/>
      </c>
      <c r="N744" s="51" t="str">
        <f t="shared" si="125"/>
        <v/>
      </c>
      <c r="O744" s="52" t="str">
        <f t="shared" si="126"/>
        <v/>
      </c>
      <c r="P744" s="88">
        <f t="shared" si="127"/>
        <v>0</v>
      </c>
      <c r="Q744" s="88">
        <f t="shared" si="128"/>
        <v>0</v>
      </c>
      <c r="R744" s="88" t="e">
        <f>-IF(Tabla14[[#This Row],[DIAS HABILES O MORA]]&lt;0,(Tabla14[[#This Row],[VALOR PRESTAMO]]*Tabla14[[#This Row],[% INTERES ]]/30*U744))+Tabla14[[#This Row],[VALOR CUOTAS]]</f>
        <v>#VALUE!</v>
      </c>
      <c r="S744" s="88">
        <f>-IF(Tabla14[[#This Row],[DIAS HABILES O MORA]]&lt;0,(Tabla14[[#This Row],[VALOR PRESTAMO]]*Tabla14[[#This Row],[% INTERES ]]/30*U744))</f>
        <v>0</v>
      </c>
      <c r="T744" s="53" t="e">
        <f>Tabla14[[#This Row],[DEUDA CAPITAL]]+Tabla14[[#This Row],[INTERES  CUOTA]]</f>
        <v>#NUM!</v>
      </c>
      <c r="U744" s="61" t="str">
        <f t="shared" si="129"/>
        <v/>
      </c>
    </row>
    <row r="745" spans="9:21" ht="24.75" customHeight="1" x14ac:dyDescent="0.35">
      <c r="I745" s="42">
        <f t="shared" si="120"/>
        <v>0</v>
      </c>
      <c r="J745" s="65" t="e">
        <f t="shared" si="121"/>
        <v>#NUM!</v>
      </c>
      <c r="K745" s="83" t="e">
        <f t="shared" si="122"/>
        <v>#NUM!</v>
      </c>
      <c r="L745" s="83">
        <f t="shared" si="123"/>
        <v>0</v>
      </c>
      <c r="M745" s="110" t="str">
        <f t="shared" si="124"/>
        <v/>
      </c>
      <c r="N745" s="51" t="str">
        <f t="shared" si="125"/>
        <v/>
      </c>
      <c r="O745" s="52" t="str">
        <f t="shared" si="126"/>
        <v/>
      </c>
      <c r="P745" s="88">
        <f t="shared" si="127"/>
        <v>0</v>
      </c>
      <c r="Q745" s="88">
        <f t="shared" si="128"/>
        <v>0</v>
      </c>
      <c r="R745" s="88" t="e">
        <f>-IF(Tabla14[[#This Row],[DIAS HABILES O MORA]]&lt;0,(Tabla14[[#This Row],[VALOR PRESTAMO]]*Tabla14[[#This Row],[% INTERES ]]/30*U745))+Tabla14[[#This Row],[VALOR CUOTAS]]</f>
        <v>#VALUE!</v>
      </c>
      <c r="S745" s="88">
        <f>-IF(Tabla14[[#This Row],[DIAS HABILES O MORA]]&lt;0,(Tabla14[[#This Row],[VALOR PRESTAMO]]*Tabla14[[#This Row],[% INTERES ]]/30*U745))</f>
        <v>0</v>
      </c>
      <c r="T745" s="53" t="e">
        <f>Tabla14[[#This Row],[DEUDA CAPITAL]]+Tabla14[[#This Row],[INTERES  CUOTA]]</f>
        <v>#NUM!</v>
      </c>
      <c r="U745" s="61" t="str">
        <f t="shared" si="129"/>
        <v/>
      </c>
    </row>
    <row r="746" spans="9:21" ht="24.75" customHeight="1" x14ac:dyDescent="0.35">
      <c r="I746" s="42">
        <f t="shared" si="120"/>
        <v>0</v>
      </c>
      <c r="J746" s="65" t="e">
        <f t="shared" si="121"/>
        <v>#NUM!</v>
      </c>
      <c r="K746" s="83" t="e">
        <f t="shared" si="122"/>
        <v>#NUM!</v>
      </c>
      <c r="L746" s="83">
        <f t="shared" si="123"/>
        <v>0</v>
      </c>
      <c r="M746" s="110" t="str">
        <f t="shared" si="124"/>
        <v/>
      </c>
      <c r="N746" s="51" t="str">
        <f t="shared" si="125"/>
        <v/>
      </c>
      <c r="O746" s="52" t="str">
        <f t="shared" si="126"/>
        <v/>
      </c>
      <c r="P746" s="88">
        <f t="shared" si="127"/>
        <v>0</v>
      </c>
      <c r="Q746" s="88">
        <f t="shared" si="128"/>
        <v>0</v>
      </c>
      <c r="R746" s="88" t="e">
        <f>-IF(Tabla14[[#This Row],[DIAS HABILES O MORA]]&lt;0,(Tabla14[[#This Row],[VALOR PRESTAMO]]*Tabla14[[#This Row],[% INTERES ]]/30*U746))+Tabla14[[#This Row],[VALOR CUOTAS]]</f>
        <v>#VALUE!</v>
      </c>
      <c r="S746" s="88">
        <f>-IF(Tabla14[[#This Row],[DIAS HABILES O MORA]]&lt;0,(Tabla14[[#This Row],[VALOR PRESTAMO]]*Tabla14[[#This Row],[% INTERES ]]/30*U746))</f>
        <v>0</v>
      </c>
      <c r="T746" s="53" t="e">
        <f>Tabla14[[#This Row],[DEUDA CAPITAL]]+Tabla14[[#This Row],[INTERES  CUOTA]]</f>
        <v>#NUM!</v>
      </c>
      <c r="U746" s="61" t="str">
        <f t="shared" si="129"/>
        <v/>
      </c>
    </row>
    <row r="747" spans="9:21" ht="24.75" customHeight="1" x14ac:dyDescent="0.35">
      <c r="I747" s="42">
        <f t="shared" si="120"/>
        <v>0</v>
      </c>
      <c r="J747" s="65" t="e">
        <f t="shared" si="121"/>
        <v>#NUM!</v>
      </c>
      <c r="K747" s="83" t="e">
        <f t="shared" si="122"/>
        <v>#NUM!</v>
      </c>
      <c r="L747" s="83">
        <f t="shared" si="123"/>
        <v>0</v>
      </c>
      <c r="M747" s="110" t="str">
        <f t="shared" si="124"/>
        <v/>
      </c>
      <c r="N747" s="51" t="str">
        <f t="shared" si="125"/>
        <v/>
      </c>
      <c r="O747" s="52" t="str">
        <f t="shared" si="126"/>
        <v/>
      </c>
      <c r="P747" s="88">
        <f t="shared" si="127"/>
        <v>0</v>
      </c>
      <c r="Q747" s="88">
        <f t="shared" si="128"/>
        <v>0</v>
      </c>
      <c r="R747" s="88" t="e">
        <f>-IF(Tabla14[[#This Row],[DIAS HABILES O MORA]]&lt;0,(Tabla14[[#This Row],[VALOR PRESTAMO]]*Tabla14[[#This Row],[% INTERES ]]/30*U747))+Tabla14[[#This Row],[VALOR CUOTAS]]</f>
        <v>#VALUE!</v>
      </c>
      <c r="S747" s="88">
        <f>-IF(Tabla14[[#This Row],[DIAS HABILES O MORA]]&lt;0,(Tabla14[[#This Row],[VALOR PRESTAMO]]*Tabla14[[#This Row],[% INTERES ]]/30*U747))</f>
        <v>0</v>
      </c>
      <c r="T747" s="53" t="e">
        <f>Tabla14[[#This Row],[DEUDA CAPITAL]]+Tabla14[[#This Row],[INTERES  CUOTA]]</f>
        <v>#NUM!</v>
      </c>
      <c r="U747" s="61" t="str">
        <f t="shared" si="129"/>
        <v/>
      </c>
    </row>
    <row r="748" spans="9:21" ht="24.75" customHeight="1" x14ac:dyDescent="0.35">
      <c r="I748" s="42">
        <f t="shared" si="120"/>
        <v>0</v>
      </c>
      <c r="J748" s="65" t="e">
        <f t="shared" si="121"/>
        <v>#NUM!</v>
      </c>
      <c r="K748" s="83" t="e">
        <f t="shared" si="122"/>
        <v>#NUM!</v>
      </c>
      <c r="L748" s="83">
        <f t="shared" si="123"/>
        <v>0</v>
      </c>
      <c r="M748" s="110" t="str">
        <f t="shared" si="124"/>
        <v/>
      </c>
      <c r="N748" s="51" t="str">
        <f t="shared" si="125"/>
        <v/>
      </c>
      <c r="O748" s="52" t="str">
        <f t="shared" si="126"/>
        <v/>
      </c>
      <c r="P748" s="88">
        <f t="shared" si="127"/>
        <v>0</v>
      </c>
      <c r="Q748" s="88">
        <f t="shared" si="128"/>
        <v>0</v>
      </c>
      <c r="R748" s="88" t="e">
        <f>-IF(Tabla14[[#This Row],[DIAS HABILES O MORA]]&lt;0,(Tabla14[[#This Row],[VALOR PRESTAMO]]*Tabla14[[#This Row],[% INTERES ]]/30*U748))+Tabla14[[#This Row],[VALOR CUOTAS]]</f>
        <v>#VALUE!</v>
      </c>
      <c r="S748" s="88">
        <f>-IF(Tabla14[[#This Row],[DIAS HABILES O MORA]]&lt;0,(Tabla14[[#This Row],[VALOR PRESTAMO]]*Tabla14[[#This Row],[% INTERES ]]/30*U748))</f>
        <v>0</v>
      </c>
      <c r="T748" s="53" t="e">
        <f>Tabla14[[#This Row],[DEUDA CAPITAL]]+Tabla14[[#This Row],[INTERES  CUOTA]]</f>
        <v>#NUM!</v>
      </c>
      <c r="U748" s="61" t="str">
        <f t="shared" si="129"/>
        <v/>
      </c>
    </row>
    <row r="749" spans="9:21" ht="24.75" customHeight="1" x14ac:dyDescent="0.35">
      <c r="I749" s="42">
        <f t="shared" si="120"/>
        <v>0</v>
      </c>
      <c r="J749" s="65" t="e">
        <f t="shared" si="121"/>
        <v>#NUM!</v>
      </c>
      <c r="K749" s="83" t="e">
        <f t="shared" si="122"/>
        <v>#NUM!</v>
      </c>
      <c r="L749" s="83">
        <f t="shared" si="123"/>
        <v>0</v>
      </c>
      <c r="M749" s="110" t="str">
        <f t="shared" si="124"/>
        <v/>
      </c>
      <c r="N749" s="51" t="str">
        <f t="shared" si="125"/>
        <v/>
      </c>
      <c r="O749" s="52" t="str">
        <f t="shared" si="126"/>
        <v/>
      </c>
      <c r="P749" s="88">
        <f t="shared" si="127"/>
        <v>0</v>
      </c>
      <c r="Q749" s="88">
        <f t="shared" si="128"/>
        <v>0</v>
      </c>
      <c r="R749" s="88" t="e">
        <f>-IF(Tabla14[[#This Row],[DIAS HABILES O MORA]]&lt;0,(Tabla14[[#This Row],[VALOR PRESTAMO]]*Tabla14[[#This Row],[% INTERES ]]/30*U749))+Tabla14[[#This Row],[VALOR CUOTAS]]</f>
        <v>#VALUE!</v>
      </c>
      <c r="S749" s="88">
        <f>-IF(Tabla14[[#This Row],[DIAS HABILES O MORA]]&lt;0,(Tabla14[[#This Row],[VALOR PRESTAMO]]*Tabla14[[#This Row],[% INTERES ]]/30*U749))</f>
        <v>0</v>
      </c>
      <c r="T749" s="53" t="e">
        <f>Tabla14[[#This Row],[DEUDA CAPITAL]]+Tabla14[[#This Row],[INTERES  CUOTA]]</f>
        <v>#NUM!</v>
      </c>
      <c r="U749" s="61" t="str">
        <f t="shared" si="129"/>
        <v/>
      </c>
    </row>
    <row r="750" spans="9:21" ht="24.75" customHeight="1" x14ac:dyDescent="0.35">
      <c r="I750" s="42">
        <f t="shared" si="120"/>
        <v>0</v>
      </c>
      <c r="J750" s="65" t="e">
        <f t="shared" si="121"/>
        <v>#NUM!</v>
      </c>
      <c r="K750" s="83" t="e">
        <f t="shared" si="122"/>
        <v>#NUM!</v>
      </c>
      <c r="L750" s="83">
        <f t="shared" si="123"/>
        <v>0</v>
      </c>
      <c r="M750" s="110" t="str">
        <f t="shared" si="124"/>
        <v/>
      </c>
      <c r="N750" s="51" t="str">
        <f t="shared" si="125"/>
        <v/>
      </c>
      <c r="O750" s="52" t="str">
        <f t="shared" si="126"/>
        <v/>
      </c>
      <c r="P750" s="88">
        <f t="shared" si="127"/>
        <v>0</v>
      </c>
      <c r="Q750" s="88">
        <f t="shared" si="128"/>
        <v>0</v>
      </c>
      <c r="R750" s="88" t="e">
        <f>-IF(Tabla14[[#This Row],[DIAS HABILES O MORA]]&lt;0,(Tabla14[[#This Row],[VALOR PRESTAMO]]*Tabla14[[#This Row],[% INTERES ]]/30*U750))+Tabla14[[#This Row],[VALOR CUOTAS]]</f>
        <v>#VALUE!</v>
      </c>
      <c r="S750" s="88">
        <f>-IF(Tabla14[[#This Row],[DIAS HABILES O MORA]]&lt;0,(Tabla14[[#This Row],[VALOR PRESTAMO]]*Tabla14[[#This Row],[% INTERES ]]/30*U750))</f>
        <v>0</v>
      </c>
      <c r="T750" s="53" t="e">
        <f>Tabla14[[#This Row],[DEUDA CAPITAL]]+Tabla14[[#This Row],[INTERES  CUOTA]]</f>
        <v>#NUM!</v>
      </c>
      <c r="U750" s="61" t="str">
        <f t="shared" si="129"/>
        <v/>
      </c>
    </row>
    <row r="751" spans="9:21" ht="24.75" customHeight="1" x14ac:dyDescent="0.35">
      <c r="I751" s="42">
        <f t="shared" si="120"/>
        <v>0</v>
      </c>
      <c r="J751" s="65" t="e">
        <f t="shared" si="121"/>
        <v>#NUM!</v>
      </c>
      <c r="K751" s="83" t="e">
        <f t="shared" si="122"/>
        <v>#NUM!</v>
      </c>
      <c r="L751" s="83">
        <f t="shared" si="123"/>
        <v>0</v>
      </c>
      <c r="M751" s="110" t="str">
        <f t="shared" si="124"/>
        <v/>
      </c>
      <c r="N751" s="51" t="str">
        <f t="shared" si="125"/>
        <v/>
      </c>
      <c r="O751" s="52" t="str">
        <f t="shared" si="126"/>
        <v/>
      </c>
      <c r="P751" s="88">
        <f t="shared" si="127"/>
        <v>0</v>
      </c>
      <c r="Q751" s="88">
        <f t="shared" si="128"/>
        <v>0</v>
      </c>
      <c r="R751" s="88" t="e">
        <f>-IF(Tabla14[[#This Row],[DIAS HABILES O MORA]]&lt;0,(Tabla14[[#This Row],[VALOR PRESTAMO]]*Tabla14[[#This Row],[% INTERES ]]/30*U751))+Tabla14[[#This Row],[VALOR CUOTAS]]</f>
        <v>#VALUE!</v>
      </c>
      <c r="S751" s="88">
        <f>-IF(Tabla14[[#This Row],[DIAS HABILES O MORA]]&lt;0,(Tabla14[[#This Row],[VALOR PRESTAMO]]*Tabla14[[#This Row],[% INTERES ]]/30*U751))</f>
        <v>0</v>
      </c>
      <c r="T751" s="53" t="e">
        <f>Tabla14[[#This Row],[DEUDA CAPITAL]]+Tabla14[[#This Row],[INTERES  CUOTA]]</f>
        <v>#NUM!</v>
      </c>
      <c r="U751" s="61" t="str">
        <f t="shared" si="129"/>
        <v/>
      </c>
    </row>
    <row r="752" spans="9:21" ht="24.75" customHeight="1" x14ac:dyDescent="0.35">
      <c r="I752" s="42">
        <f t="shared" si="120"/>
        <v>0</v>
      </c>
      <c r="J752" s="65" t="e">
        <f t="shared" si="121"/>
        <v>#NUM!</v>
      </c>
      <c r="K752" s="83" t="e">
        <f t="shared" si="122"/>
        <v>#NUM!</v>
      </c>
      <c r="L752" s="83">
        <f t="shared" si="123"/>
        <v>0</v>
      </c>
      <c r="M752" s="110" t="str">
        <f t="shared" si="124"/>
        <v/>
      </c>
      <c r="N752" s="51" t="str">
        <f t="shared" si="125"/>
        <v/>
      </c>
      <c r="O752" s="52" t="str">
        <f t="shared" si="126"/>
        <v/>
      </c>
      <c r="P752" s="88">
        <f t="shared" si="127"/>
        <v>0</v>
      </c>
      <c r="Q752" s="88">
        <f t="shared" si="128"/>
        <v>0</v>
      </c>
      <c r="R752" s="88" t="e">
        <f>-IF(Tabla14[[#This Row],[DIAS HABILES O MORA]]&lt;0,(Tabla14[[#This Row],[VALOR PRESTAMO]]*Tabla14[[#This Row],[% INTERES ]]/30*U752))+Tabla14[[#This Row],[VALOR CUOTAS]]</f>
        <v>#VALUE!</v>
      </c>
      <c r="S752" s="88">
        <f>-IF(Tabla14[[#This Row],[DIAS HABILES O MORA]]&lt;0,(Tabla14[[#This Row],[VALOR PRESTAMO]]*Tabla14[[#This Row],[% INTERES ]]/30*U752))</f>
        <v>0</v>
      </c>
      <c r="T752" s="53" t="e">
        <f>Tabla14[[#This Row],[DEUDA CAPITAL]]+Tabla14[[#This Row],[INTERES  CUOTA]]</f>
        <v>#NUM!</v>
      </c>
      <c r="U752" s="61" t="str">
        <f t="shared" si="129"/>
        <v/>
      </c>
    </row>
    <row r="753" spans="9:21" ht="24.75" customHeight="1" x14ac:dyDescent="0.35">
      <c r="I753" s="42">
        <f t="shared" si="120"/>
        <v>0</v>
      </c>
      <c r="J753" s="65" t="e">
        <f t="shared" si="121"/>
        <v>#NUM!</v>
      </c>
      <c r="K753" s="83" t="e">
        <f t="shared" si="122"/>
        <v>#NUM!</v>
      </c>
      <c r="L753" s="83">
        <f t="shared" si="123"/>
        <v>0</v>
      </c>
      <c r="M753" s="110" t="str">
        <f t="shared" si="124"/>
        <v/>
      </c>
      <c r="N753" s="51" t="str">
        <f t="shared" si="125"/>
        <v/>
      </c>
      <c r="O753" s="52" t="str">
        <f t="shared" si="126"/>
        <v/>
      </c>
      <c r="P753" s="88">
        <f t="shared" si="127"/>
        <v>0</v>
      </c>
      <c r="Q753" s="88">
        <f t="shared" si="128"/>
        <v>0</v>
      </c>
      <c r="R753" s="88" t="e">
        <f>-IF(Tabla14[[#This Row],[DIAS HABILES O MORA]]&lt;0,(Tabla14[[#This Row],[VALOR PRESTAMO]]*Tabla14[[#This Row],[% INTERES ]]/30*U753))+Tabla14[[#This Row],[VALOR CUOTAS]]</f>
        <v>#VALUE!</v>
      </c>
      <c r="S753" s="88">
        <f>-IF(Tabla14[[#This Row],[DIAS HABILES O MORA]]&lt;0,(Tabla14[[#This Row],[VALOR PRESTAMO]]*Tabla14[[#This Row],[% INTERES ]]/30*U753))</f>
        <v>0</v>
      </c>
      <c r="T753" s="53" t="e">
        <f>Tabla14[[#This Row],[DEUDA CAPITAL]]+Tabla14[[#This Row],[INTERES  CUOTA]]</f>
        <v>#NUM!</v>
      </c>
      <c r="U753" s="61" t="str">
        <f t="shared" si="129"/>
        <v/>
      </c>
    </row>
    <row r="754" spans="9:21" ht="24.75" customHeight="1" x14ac:dyDescent="0.35">
      <c r="I754" s="42">
        <f t="shared" si="120"/>
        <v>0</v>
      </c>
      <c r="J754" s="65" t="e">
        <f t="shared" si="121"/>
        <v>#NUM!</v>
      </c>
      <c r="K754" s="83" t="e">
        <f t="shared" si="122"/>
        <v>#NUM!</v>
      </c>
      <c r="L754" s="83">
        <f t="shared" si="123"/>
        <v>0</v>
      </c>
      <c r="M754" s="110" t="str">
        <f t="shared" si="124"/>
        <v/>
      </c>
      <c r="N754" s="51" t="str">
        <f t="shared" si="125"/>
        <v/>
      </c>
      <c r="O754" s="52" t="str">
        <f t="shared" si="126"/>
        <v/>
      </c>
      <c r="P754" s="88">
        <f t="shared" si="127"/>
        <v>0</v>
      </c>
      <c r="Q754" s="88">
        <f t="shared" si="128"/>
        <v>0</v>
      </c>
      <c r="R754" s="88" t="e">
        <f>-IF(Tabla14[[#This Row],[DIAS HABILES O MORA]]&lt;0,(Tabla14[[#This Row],[VALOR PRESTAMO]]*Tabla14[[#This Row],[% INTERES ]]/30*U754))+Tabla14[[#This Row],[VALOR CUOTAS]]</f>
        <v>#VALUE!</v>
      </c>
      <c r="S754" s="88">
        <f>-IF(Tabla14[[#This Row],[DIAS HABILES O MORA]]&lt;0,(Tabla14[[#This Row],[VALOR PRESTAMO]]*Tabla14[[#This Row],[% INTERES ]]/30*U754))</f>
        <v>0</v>
      </c>
      <c r="T754" s="53" t="e">
        <f>Tabla14[[#This Row],[DEUDA CAPITAL]]+Tabla14[[#This Row],[INTERES  CUOTA]]</f>
        <v>#NUM!</v>
      </c>
      <c r="U754" s="61" t="str">
        <f t="shared" si="129"/>
        <v/>
      </c>
    </row>
    <row r="755" spans="9:21" ht="24.75" customHeight="1" x14ac:dyDescent="0.35">
      <c r="I755" s="42">
        <f t="shared" si="120"/>
        <v>0</v>
      </c>
      <c r="J755" s="65" t="e">
        <f t="shared" si="121"/>
        <v>#NUM!</v>
      </c>
      <c r="K755" s="83" t="e">
        <f t="shared" si="122"/>
        <v>#NUM!</v>
      </c>
      <c r="L755" s="83">
        <f t="shared" si="123"/>
        <v>0</v>
      </c>
      <c r="M755" s="110" t="str">
        <f t="shared" si="124"/>
        <v/>
      </c>
      <c r="N755" s="51" t="str">
        <f t="shared" si="125"/>
        <v/>
      </c>
      <c r="O755" s="52" t="str">
        <f t="shared" si="126"/>
        <v/>
      </c>
      <c r="P755" s="88">
        <f t="shared" si="127"/>
        <v>0</v>
      </c>
      <c r="Q755" s="88">
        <f t="shared" si="128"/>
        <v>0</v>
      </c>
      <c r="R755" s="88" t="e">
        <f>-IF(Tabla14[[#This Row],[DIAS HABILES O MORA]]&lt;0,(Tabla14[[#This Row],[VALOR PRESTAMO]]*Tabla14[[#This Row],[% INTERES ]]/30*U755))+Tabla14[[#This Row],[VALOR CUOTAS]]</f>
        <v>#VALUE!</v>
      </c>
      <c r="S755" s="88">
        <f>-IF(Tabla14[[#This Row],[DIAS HABILES O MORA]]&lt;0,(Tabla14[[#This Row],[VALOR PRESTAMO]]*Tabla14[[#This Row],[% INTERES ]]/30*U755))</f>
        <v>0</v>
      </c>
      <c r="T755" s="53" t="e">
        <f>Tabla14[[#This Row],[DEUDA CAPITAL]]+Tabla14[[#This Row],[INTERES  CUOTA]]</f>
        <v>#NUM!</v>
      </c>
      <c r="U755" s="61" t="str">
        <f t="shared" si="129"/>
        <v/>
      </c>
    </row>
    <row r="756" spans="9:21" ht="24.75" customHeight="1" x14ac:dyDescent="0.35">
      <c r="I756" s="42">
        <f t="shared" si="120"/>
        <v>0</v>
      </c>
      <c r="J756" s="65" t="e">
        <f t="shared" si="121"/>
        <v>#NUM!</v>
      </c>
      <c r="K756" s="83" t="e">
        <f t="shared" si="122"/>
        <v>#NUM!</v>
      </c>
      <c r="L756" s="83">
        <f t="shared" si="123"/>
        <v>0</v>
      </c>
      <c r="M756" s="110" t="str">
        <f t="shared" si="124"/>
        <v/>
      </c>
      <c r="N756" s="51" t="str">
        <f t="shared" si="125"/>
        <v/>
      </c>
      <c r="O756" s="52" t="str">
        <f t="shared" si="126"/>
        <v/>
      </c>
      <c r="P756" s="88">
        <f t="shared" si="127"/>
        <v>0</v>
      </c>
      <c r="Q756" s="88">
        <f t="shared" si="128"/>
        <v>0</v>
      </c>
      <c r="R756" s="88" t="e">
        <f>-IF(Tabla14[[#This Row],[DIAS HABILES O MORA]]&lt;0,(Tabla14[[#This Row],[VALOR PRESTAMO]]*Tabla14[[#This Row],[% INTERES ]]/30*U756))+Tabla14[[#This Row],[VALOR CUOTAS]]</f>
        <v>#VALUE!</v>
      </c>
      <c r="S756" s="88">
        <f>-IF(Tabla14[[#This Row],[DIAS HABILES O MORA]]&lt;0,(Tabla14[[#This Row],[VALOR PRESTAMO]]*Tabla14[[#This Row],[% INTERES ]]/30*U756))</f>
        <v>0</v>
      </c>
      <c r="T756" s="53" t="e">
        <f>Tabla14[[#This Row],[DEUDA CAPITAL]]+Tabla14[[#This Row],[INTERES  CUOTA]]</f>
        <v>#NUM!</v>
      </c>
      <c r="U756" s="61" t="str">
        <f t="shared" si="129"/>
        <v/>
      </c>
    </row>
    <row r="757" spans="9:21" ht="24.75" customHeight="1" x14ac:dyDescent="0.35">
      <c r="I757" s="42">
        <f t="shared" si="120"/>
        <v>0</v>
      </c>
      <c r="J757" s="65" t="e">
        <f t="shared" si="121"/>
        <v>#NUM!</v>
      </c>
      <c r="K757" s="83" t="e">
        <f t="shared" si="122"/>
        <v>#NUM!</v>
      </c>
      <c r="L757" s="83">
        <f t="shared" si="123"/>
        <v>0</v>
      </c>
      <c r="M757" s="110" t="str">
        <f t="shared" si="124"/>
        <v/>
      </c>
      <c r="N757" s="51" t="str">
        <f t="shared" si="125"/>
        <v/>
      </c>
      <c r="O757" s="52" t="str">
        <f t="shared" si="126"/>
        <v/>
      </c>
      <c r="P757" s="88">
        <f t="shared" si="127"/>
        <v>0</v>
      </c>
      <c r="Q757" s="88">
        <f t="shared" si="128"/>
        <v>0</v>
      </c>
      <c r="R757" s="88" t="e">
        <f>-IF(Tabla14[[#This Row],[DIAS HABILES O MORA]]&lt;0,(Tabla14[[#This Row],[VALOR PRESTAMO]]*Tabla14[[#This Row],[% INTERES ]]/30*U757))+Tabla14[[#This Row],[VALOR CUOTAS]]</f>
        <v>#VALUE!</v>
      </c>
      <c r="S757" s="88">
        <f>-IF(Tabla14[[#This Row],[DIAS HABILES O MORA]]&lt;0,(Tabla14[[#This Row],[VALOR PRESTAMO]]*Tabla14[[#This Row],[% INTERES ]]/30*U757))</f>
        <v>0</v>
      </c>
      <c r="T757" s="53" t="e">
        <f>Tabla14[[#This Row],[DEUDA CAPITAL]]+Tabla14[[#This Row],[INTERES  CUOTA]]</f>
        <v>#NUM!</v>
      </c>
      <c r="U757" s="61" t="str">
        <f t="shared" si="129"/>
        <v/>
      </c>
    </row>
    <row r="758" spans="9:21" ht="24.75" customHeight="1" x14ac:dyDescent="0.35">
      <c r="I758" s="42">
        <f t="shared" si="120"/>
        <v>0</v>
      </c>
      <c r="J758" s="65" t="e">
        <f t="shared" si="121"/>
        <v>#NUM!</v>
      </c>
      <c r="K758" s="83" t="e">
        <f t="shared" si="122"/>
        <v>#NUM!</v>
      </c>
      <c r="L758" s="83">
        <f t="shared" si="123"/>
        <v>0</v>
      </c>
      <c r="M758" s="110" t="str">
        <f t="shared" si="124"/>
        <v/>
      </c>
      <c r="N758" s="51" t="str">
        <f t="shared" si="125"/>
        <v/>
      </c>
      <c r="O758" s="52" t="str">
        <f t="shared" si="126"/>
        <v/>
      </c>
      <c r="P758" s="88">
        <f t="shared" si="127"/>
        <v>0</v>
      </c>
      <c r="Q758" s="88">
        <f t="shared" si="128"/>
        <v>0</v>
      </c>
      <c r="R758" s="88" t="e">
        <f>-IF(Tabla14[[#This Row],[DIAS HABILES O MORA]]&lt;0,(Tabla14[[#This Row],[VALOR PRESTAMO]]*Tabla14[[#This Row],[% INTERES ]]/30*U758))+Tabla14[[#This Row],[VALOR CUOTAS]]</f>
        <v>#VALUE!</v>
      </c>
      <c r="S758" s="88">
        <f>-IF(Tabla14[[#This Row],[DIAS HABILES O MORA]]&lt;0,(Tabla14[[#This Row],[VALOR PRESTAMO]]*Tabla14[[#This Row],[% INTERES ]]/30*U758))</f>
        <v>0</v>
      </c>
      <c r="T758" s="53" t="e">
        <f>Tabla14[[#This Row],[DEUDA CAPITAL]]+Tabla14[[#This Row],[INTERES  CUOTA]]</f>
        <v>#NUM!</v>
      </c>
      <c r="U758" s="61" t="str">
        <f t="shared" si="129"/>
        <v/>
      </c>
    </row>
    <row r="759" spans="9:21" ht="24.75" customHeight="1" x14ac:dyDescent="0.35">
      <c r="I759" s="42">
        <f t="shared" si="120"/>
        <v>0</v>
      </c>
      <c r="J759" s="65" t="e">
        <f t="shared" si="121"/>
        <v>#NUM!</v>
      </c>
      <c r="K759" s="83" t="e">
        <f t="shared" si="122"/>
        <v>#NUM!</v>
      </c>
      <c r="L759" s="83">
        <f t="shared" si="123"/>
        <v>0</v>
      </c>
      <c r="M759" s="110" t="str">
        <f t="shared" si="124"/>
        <v/>
      </c>
      <c r="N759" s="51" t="str">
        <f t="shared" si="125"/>
        <v/>
      </c>
      <c r="O759" s="52" t="str">
        <f t="shared" si="126"/>
        <v/>
      </c>
      <c r="P759" s="88">
        <f t="shared" si="127"/>
        <v>0</v>
      </c>
      <c r="Q759" s="88">
        <f t="shared" si="128"/>
        <v>0</v>
      </c>
      <c r="R759" s="88" t="e">
        <f>-IF(Tabla14[[#This Row],[DIAS HABILES O MORA]]&lt;0,(Tabla14[[#This Row],[VALOR PRESTAMO]]*Tabla14[[#This Row],[% INTERES ]]/30*U759))+Tabla14[[#This Row],[VALOR CUOTAS]]</f>
        <v>#VALUE!</v>
      </c>
      <c r="S759" s="88">
        <f>-IF(Tabla14[[#This Row],[DIAS HABILES O MORA]]&lt;0,(Tabla14[[#This Row],[VALOR PRESTAMO]]*Tabla14[[#This Row],[% INTERES ]]/30*U759))</f>
        <v>0</v>
      </c>
      <c r="T759" s="53" t="e">
        <f>Tabla14[[#This Row],[DEUDA CAPITAL]]+Tabla14[[#This Row],[INTERES  CUOTA]]</f>
        <v>#NUM!</v>
      </c>
      <c r="U759" s="61" t="str">
        <f t="shared" si="129"/>
        <v/>
      </c>
    </row>
    <row r="760" spans="9:21" ht="24.75" customHeight="1" x14ac:dyDescent="0.35">
      <c r="I760" s="42">
        <f t="shared" si="120"/>
        <v>0</v>
      </c>
      <c r="J760" s="65" t="e">
        <f t="shared" si="121"/>
        <v>#NUM!</v>
      </c>
      <c r="K760" s="83" t="e">
        <f t="shared" si="122"/>
        <v>#NUM!</v>
      </c>
      <c r="L760" s="83">
        <f t="shared" si="123"/>
        <v>0</v>
      </c>
      <c r="M760" s="110" t="str">
        <f t="shared" si="124"/>
        <v/>
      </c>
      <c r="N760" s="51" t="str">
        <f t="shared" si="125"/>
        <v/>
      </c>
      <c r="O760" s="52" t="str">
        <f t="shared" si="126"/>
        <v/>
      </c>
      <c r="P760" s="88">
        <f t="shared" si="127"/>
        <v>0</v>
      </c>
      <c r="Q760" s="88">
        <f t="shared" si="128"/>
        <v>0</v>
      </c>
      <c r="R760" s="88" t="e">
        <f>-IF(Tabla14[[#This Row],[DIAS HABILES O MORA]]&lt;0,(Tabla14[[#This Row],[VALOR PRESTAMO]]*Tabla14[[#This Row],[% INTERES ]]/30*U760))+Tabla14[[#This Row],[VALOR CUOTAS]]</f>
        <v>#VALUE!</v>
      </c>
      <c r="S760" s="88">
        <f>-IF(Tabla14[[#This Row],[DIAS HABILES O MORA]]&lt;0,(Tabla14[[#This Row],[VALOR PRESTAMO]]*Tabla14[[#This Row],[% INTERES ]]/30*U760))</f>
        <v>0</v>
      </c>
      <c r="T760" s="53" t="e">
        <f>Tabla14[[#This Row],[DEUDA CAPITAL]]+Tabla14[[#This Row],[INTERES  CUOTA]]</f>
        <v>#NUM!</v>
      </c>
      <c r="U760" s="61" t="str">
        <f t="shared" si="129"/>
        <v/>
      </c>
    </row>
    <row r="761" spans="9:21" ht="24.75" customHeight="1" x14ac:dyDescent="0.35">
      <c r="I761" s="42">
        <f t="shared" si="120"/>
        <v>0</v>
      </c>
      <c r="J761" s="65" t="e">
        <f t="shared" si="121"/>
        <v>#NUM!</v>
      </c>
      <c r="K761" s="83" t="e">
        <f t="shared" si="122"/>
        <v>#NUM!</v>
      </c>
      <c r="L761" s="83">
        <f t="shared" si="123"/>
        <v>0</v>
      </c>
      <c r="M761" s="110" t="str">
        <f t="shared" si="124"/>
        <v/>
      </c>
      <c r="N761" s="51" t="str">
        <f t="shared" si="125"/>
        <v/>
      </c>
      <c r="O761" s="52" t="str">
        <f t="shared" si="126"/>
        <v/>
      </c>
      <c r="P761" s="88">
        <f t="shared" si="127"/>
        <v>0</v>
      </c>
      <c r="Q761" s="88">
        <f t="shared" si="128"/>
        <v>0</v>
      </c>
      <c r="R761" s="88" t="e">
        <f>-IF(Tabla14[[#This Row],[DIAS HABILES O MORA]]&lt;0,(Tabla14[[#This Row],[VALOR PRESTAMO]]*Tabla14[[#This Row],[% INTERES ]]/30*U761))+Tabla14[[#This Row],[VALOR CUOTAS]]</f>
        <v>#VALUE!</v>
      </c>
      <c r="S761" s="88">
        <f>-IF(Tabla14[[#This Row],[DIAS HABILES O MORA]]&lt;0,(Tabla14[[#This Row],[VALOR PRESTAMO]]*Tabla14[[#This Row],[% INTERES ]]/30*U761))</f>
        <v>0</v>
      </c>
      <c r="T761" s="53" t="e">
        <f>Tabla14[[#This Row],[DEUDA CAPITAL]]+Tabla14[[#This Row],[INTERES  CUOTA]]</f>
        <v>#NUM!</v>
      </c>
      <c r="U761" s="61" t="str">
        <f t="shared" si="129"/>
        <v/>
      </c>
    </row>
    <row r="762" spans="9:21" ht="24.75" customHeight="1" x14ac:dyDescent="0.35">
      <c r="I762" s="42">
        <f t="shared" si="120"/>
        <v>0</v>
      </c>
      <c r="J762" s="65" t="e">
        <f t="shared" si="121"/>
        <v>#NUM!</v>
      </c>
      <c r="K762" s="83" t="e">
        <f t="shared" si="122"/>
        <v>#NUM!</v>
      </c>
      <c r="L762" s="83">
        <f t="shared" si="123"/>
        <v>0</v>
      </c>
      <c r="M762" s="110" t="str">
        <f t="shared" si="124"/>
        <v/>
      </c>
      <c r="N762" s="51" t="str">
        <f t="shared" si="125"/>
        <v/>
      </c>
      <c r="O762" s="52" t="str">
        <f t="shared" si="126"/>
        <v/>
      </c>
      <c r="P762" s="88">
        <f t="shared" si="127"/>
        <v>0</v>
      </c>
      <c r="Q762" s="88">
        <f t="shared" si="128"/>
        <v>0</v>
      </c>
      <c r="R762" s="88" t="e">
        <f>-IF(Tabla14[[#This Row],[DIAS HABILES O MORA]]&lt;0,(Tabla14[[#This Row],[VALOR PRESTAMO]]*Tabla14[[#This Row],[% INTERES ]]/30*U762))+Tabla14[[#This Row],[VALOR CUOTAS]]</f>
        <v>#VALUE!</v>
      </c>
      <c r="S762" s="88">
        <f>-IF(Tabla14[[#This Row],[DIAS HABILES O MORA]]&lt;0,(Tabla14[[#This Row],[VALOR PRESTAMO]]*Tabla14[[#This Row],[% INTERES ]]/30*U762))</f>
        <v>0</v>
      </c>
      <c r="T762" s="53" t="e">
        <f>Tabla14[[#This Row],[DEUDA CAPITAL]]+Tabla14[[#This Row],[INTERES  CUOTA]]</f>
        <v>#NUM!</v>
      </c>
      <c r="U762" s="61" t="str">
        <f t="shared" si="129"/>
        <v/>
      </c>
    </row>
    <row r="763" spans="9:21" ht="24.75" customHeight="1" x14ac:dyDescent="0.35">
      <c r="I763" s="42">
        <f t="shared" si="120"/>
        <v>0</v>
      </c>
      <c r="J763" s="65" t="e">
        <f t="shared" si="121"/>
        <v>#NUM!</v>
      </c>
      <c r="K763" s="83" t="e">
        <f t="shared" si="122"/>
        <v>#NUM!</v>
      </c>
      <c r="L763" s="83">
        <f t="shared" si="123"/>
        <v>0</v>
      </c>
      <c r="M763" s="110" t="str">
        <f t="shared" si="124"/>
        <v/>
      </c>
      <c r="N763" s="51" t="str">
        <f t="shared" si="125"/>
        <v/>
      </c>
      <c r="O763" s="52" t="str">
        <f t="shared" si="126"/>
        <v/>
      </c>
      <c r="P763" s="88">
        <f t="shared" si="127"/>
        <v>0</v>
      </c>
      <c r="Q763" s="88">
        <f t="shared" si="128"/>
        <v>0</v>
      </c>
      <c r="R763" s="88" t="e">
        <f>-IF(Tabla14[[#This Row],[DIAS HABILES O MORA]]&lt;0,(Tabla14[[#This Row],[VALOR PRESTAMO]]*Tabla14[[#This Row],[% INTERES ]]/30*U763))+Tabla14[[#This Row],[VALOR CUOTAS]]</f>
        <v>#VALUE!</v>
      </c>
      <c r="S763" s="88">
        <f>-IF(Tabla14[[#This Row],[DIAS HABILES O MORA]]&lt;0,(Tabla14[[#This Row],[VALOR PRESTAMO]]*Tabla14[[#This Row],[% INTERES ]]/30*U763))</f>
        <v>0</v>
      </c>
      <c r="T763" s="53" t="e">
        <f>Tabla14[[#This Row],[DEUDA CAPITAL]]+Tabla14[[#This Row],[INTERES  CUOTA]]</f>
        <v>#NUM!</v>
      </c>
      <c r="U763" s="61" t="str">
        <f t="shared" si="129"/>
        <v/>
      </c>
    </row>
    <row r="764" spans="9:21" ht="24.75" customHeight="1" x14ac:dyDescent="0.35">
      <c r="I764" s="42">
        <f t="shared" si="120"/>
        <v>0</v>
      </c>
      <c r="J764" s="65" t="e">
        <f t="shared" si="121"/>
        <v>#NUM!</v>
      </c>
      <c r="K764" s="83" t="e">
        <f t="shared" si="122"/>
        <v>#NUM!</v>
      </c>
      <c r="L764" s="83">
        <f t="shared" si="123"/>
        <v>0</v>
      </c>
      <c r="M764" s="110" t="str">
        <f t="shared" si="124"/>
        <v/>
      </c>
      <c r="N764" s="51" t="str">
        <f t="shared" si="125"/>
        <v/>
      </c>
      <c r="O764" s="52" t="str">
        <f t="shared" si="126"/>
        <v/>
      </c>
      <c r="P764" s="88">
        <f t="shared" si="127"/>
        <v>0</v>
      </c>
      <c r="Q764" s="88">
        <f t="shared" si="128"/>
        <v>0</v>
      </c>
      <c r="R764" s="88" t="e">
        <f>-IF(Tabla14[[#This Row],[DIAS HABILES O MORA]]&lt;0,(Tabla14[[#This Row],[VALOR PRESTAMO]]*Tabla14[[#This Row],[% INTERES ]]/30*U764))+Tabla14[[#This Row],[VALOR CUOTAS]]</f>
        <v>#VALUE!</v>
      </c>
      <c r="S764" s="88">
        <f>-IF(Tabla14[[#This Row],[DIAS HABILES O MORA]]&lt;0,(Tabla14[[#This Row],[VALOR PRESTAMO]]*Tabla14[[#This Row],[% INTERES ]]/30*U764))</f>
        <v>0</v>
      </c>
      <c r="T764" s="53" t="e">
        <f>Tabla14[[#This Row],[DEUDA CAPITAL]]+Tabla14[[#This Row],[INTERES  CUOTA]]</f>
        <v>#NUM!</v>
      </c>
      <c r="U764" s="61" t="str">
        <f t="shared" si="129"/>
        <v/>
      </c>
    </row>
    <row r="765" spans="9:21" ht="24.75" customHeight="1" x14ac:dyDescent="0.35">
      <c r="I765" s="42">
        <f t="shared" si="120"/>
        <v>0</v>
      </c>
      <c r="J765" s="65" t="e">
        <f t="shared" si="121"/>
        <v>#NUM!</v>
      </c>
      <c r="K765" s="83" t="e">
        <f t="shared" si="122"/>
        <v>#NUM!</v>
      </c>
      <c r="L765" s="83">
        <f t="shared" si="123"/>
        <v>0</v>
      </c>
      <c r="M765" s="110" t="str">
        <f t="shared" si="124"/>
        <v/>
      </c>
      <c r="N765" s="51" t="str">
        <f t="shared" si="125"/>
        <v/>
      </c>
      <c r="O765" s="52" t="str">
        <f t="shared" si="126"/>
        <v/>
      </c>
      <c r="P765" s="88">
        <f t="shared" si="127"/>
        <v>0</v>
      </c>
      <c r="Q765" s="88">
        <f t="shared" si="128"/>
        <v>0</v>
      </c>
      <c r="R765" s="88" t="e">
        <f>-IF(Tabla14[[#This Row],[DIAS HABILES O MORA]]&lt;0,(Tabla14[[#This Row],[VALOR PRESTAMO]]*Tabla14[[#This Row],[% INTERES ]]/30*U765))+Tabla14[[#This Row],[VALOR CUOTAS]]</f>
        <v>#VALUE!</v>
      </c>
      <c r="S765" s="88">
        <f>-IF(Tabla14[[#This Row],[DIAS HABILES O MORA]]&lt;0,(Tabla14[[#This Row],[VALOR PRESTAMO]]*Tabla14[[#This Row],[% INTERES ]]/30*U765))</f>
        <v>0</v>
      </c>
      <c r="T765" s="53" t="e">
        <f>Tabla14[[#This Row],[DEUDA CAPITAL]]+Tabla14[[#This Row],[INTERES  CUOTA]]</f>
        <v>#NUM!</v>
      </c>
      <c r="U765" s="61" t="str">
        <f t="shared" si="129"/>
        <v/>
      </c>
    </row>
    <row r="766" spans="9:21" ht="24.75" customHeight="1" x14ac:dyDescent="0.35">
      <c r="I766" s="42">
        <f t="shared" si="120"/>
        <v>0</v>
      </c>
      <c r="J766" s="65" t="e">
        <f t="shared" si="121"/>
        <v>#NUM!</v>
      </c>
      <c r="K766" s="83" t="e">
        <f t="shared" si="122"/>
        <v>#NUM!</v>
      </c>
      <c r="L766" s="83">
        <f t="shared" si="123"/>
        <v>0</v>
      </c>
      <c r="M766" s="110" t="str">
        <f t="shared" si="124"/>
        <v/>
      </c>
      <c r="N766" s="51" t="str">
        <f t="shared" si="125"/>
        <v/>
      </c>
      <c r="O766" s="52" t="str">
        <f t="shared" si="126"/>
        <v/>
      </c>
      <c r="P766" s="88">
        <f t="shared" si="127"/>
        <v>0</v>
      </c>
      <c r="Q766" s="88">
        <f t="shared" si="128"/>
        <v>0</v>
      </c>
      <c r="R766" s="88" t="e">
        <f>-IF(Tabla14[[#This Row],[DIAS HABILES O MORA]]&lt;0,(Tabla14[[#This Row],[VALOR PRESTAMO]]*Tabla14[[#This Row],[% INTERES ]]/30*U766))+Tabla14[[#This Row],[VALOR CUOTAS]]</f>
        <v>#VALUE!</v>
      </c>
      <c r="S766" s="88">
        <f>-IF(Tabla14[[#This Row],[DIAS HABILES O MORA]]&lt;0,(Tabla14[[#This Row],[VALOR PRESTAMO]]*Tabla14[[#This Row],[% INTERES ]]/30*U766))</f>
        <v>0</v>
      </c>
      <c r="T766" s="53" t="e">
        <f>Tabla14[[#This Row],[DEUDA CAPITAL]]+Tabla14[[#This Row],[INTERES  CUOTA]]</f>
        <v>#NUM!</v>
      </c>
      <c r="U766" s="61" t="str">
        <f t="shared" si="129"/>
        <v/>
      </c>
    </row>
    <row r="767" spans="9:21" ht="24.75" customHeight="1" x14ac:dyDescent="0.35">
      <c r="I767" s="42">
        <f t="shared" si="120"/>
        <v>0</v>
      </c>
      <c r="J767" s="65" t="e">
        <f t="shared" si="121"/>
        <v>#NUM!</v>
      </c>
      <c r="K767" s="83" t="e">
        <f t="shared" si="122"/>
        <v>#NUM!</v>
      </c>
      <c r="L767" s="83">
        <f t="shared" si="123"/>
        <v>0</v>
      </c>
      <c r="M767" s="110" t="str">
        <f t="shared" si="124"/>
        <v/>
      </c>
      <c r="N767" s="51" t="str">
        <f t="shared" si="125"/>
        <v/>
      </c>
      <c r="O767" s="52" t="str">
        <f t="shared" si="126"/>
        <v/>
      </c>
      <c r="P767" s="88">
        <f t="shared" si="127"/>
        <v>0</v>
      </c>
      <c r="Q767" s="88">
        <f t="shared" si="128"/>
        <v>0</v>
      </c>
      <c r="R767" s="88" t="e">
        <f>-IF(Tabla14[[#This Row],[DIAS HABILES O MORA]]&lt;0,(Tabla14[[#This Row],[VALOR PRESTAMO]]*Tabla14[[#This Row],[% INTERES ]]/30*U767))+Tabla14[[#This Row],[VALOR CUOTAS]]</f>
        <v>#VALUE!</v>
      </c>
      <c r="S767" s="88">
        <f>-IF(Tabla14[[#This Row],[DIAS HABILES O MORA]]&lt;0,(Tabla14[[#This Row],[VALOR PRESTAMO]]*Tabla14[[#This Row],[% INTERES ]]/30*U767))</f>
        <v>0</v>
      </c>
      <c r="T767" s="53" t="e">
        <f>Tabla14[[#This Row],[DEUDA CAPITAL]]+Tabla14[[#This Row],[INTERES  CUOTA]]</f>
        <v>#NUM!</v>
      </c>
      <c r="U767" s="61" t="str">
        <f t="shared" si="129"/>
        <v/>
      </c>
    </row>
    <row r="768" spans="9:21" ht="24.75" customHeight="1" x14ac:dyDescent="0.35">
      <c r="I768" s="42">
        <f t="shared" si="120"/>
        <v>0</v>
      </c>
      <c r="J768" s="65" t="e">
        <f t="shared" si="121"/>
        <v>#NUM!</v>
      </c>
      <c r="K768" s="83" t="e">
        <f t="shared" si="122"/>
        <v>#NUM!</v>
      </c>
      <c r="L768" s="83">
        <f t="shared" si="123"/>
        <v>0</v>
      </c>
      <c r="M768" s="110" t="str">
        <f t="shared" si="124"/>
        <v/>
      </c>
      <c r="N768" s="51" t="str">
        <f t="shared" si="125"/>
        <v/>
      </c>
      <c r="O768" s="52" t="str">
        <f t="shared" si="126"/>
        <v/>
      </c>
      <c r="P768" s="88">
        <f t="shared" si="127"/>
        <v>0</v>
      </c>
      <c r="Q768" s="88">
        <f t="shared" si="128"/>
        <v>0</v>
      </c>
      <c r="R768" s="88" t="e">
        <f>-IF(Tabla14[[#This Row],[DIAS HABILES O MORA]]&lt;0,(Tabla14[[#This Row],[VALOR PRESTAMO]]*Tabla14[[#This Row],[% INTERES ]]/30*U768))+Tabla14[[#This Row],[VALOR CUOTAS]]</f>
        <v>#VALUE!</v>
      </c>
      <c r="S768" s="88">
        <f>-IF(Tabla14[[#This Row],[DIAS HABILES O MORA]]&lt;0,(Tabla14[[#This Row],[VALOR PRESTAMO]]*Tabla14[[#This Row],[% INTERES ]]/30*U768))</f>
        <v>0</v>
      </c>
      <c r="T768" s="53" t="e">
        <f>Tabla14[[#This Row],[DEUDA CAPITAL]]+Tabla14[[#This Row],[INTERES  CUOTA]]</f>
        <v>#NUM!</v>
      </c>
      <c r="U768" s="61" t="str">
        <f t="shared" si="129"/>
        <v/>
      </c>
    </row>
    <row r="769" spans="9:21" ht="24.75" customHeight="1" x14ac:dyDescent="0.35">
      <c r="I769" s="42">
        <f t="shared" si="120"/>
        <v>0</v>
      </c>
      <c r="J769" s="65" t="e">
        <f t="shared" si="121"/>
        <v>#NUM!</v>
      </c>
      <c r="K769" s="83" t="e">
        <f t="shared" si="122"/>
        <v>#NUM!</v>
      </c>
      <c r="L769" s="83">
        <f t="shared" si="123"/>
        <v>0</v>
      </c>
      <c r="M769" s="110" t="str">
        <f t="shared" si="124"/>
        <v/>
      </c>
      <c r="N769" s="51" t="str">
        <f t="shared" si="125"/>
        <v/>
      </c>
      <c r="O769" s="52" t="str">
        <f t="shared" si="126"/>
        <v/>
      </c>
      <c r="P769" s="88">
        <f t="shared" si="127"/>
        <v>0</v>
      </c>
      <c r="Q769" s="88">
        <f t="shared" si="128"/>
        <v>0</v>
      </c>
      <c r="R769" s="88" t="e">
        <f>-IF(Tabla14[[#This Row],[DIAS HABILES O MORA]]&lt;0,(Tabla14[[#This Row],[VALOR PRESTAMO]]*Tabla14[[#This Row],[% INTERES ]]/30*U769))+Tabla14[[#This Row],[VALOR CUOTAS]]</f>
        <v>#VALUE!</v>
      </c>
      <c r="S769" s="88">
        <f>-IF(Tabla14[[#This Row],[DIAS HABILES O MORA]]&lt;0,(Tabla14[[#This Row],[VALOR PRESTAMO]]*Tabla14[[#This Row],[% INTERES ]]/30*U769))</f>
        <v>0</v>
      </c>
      <c r="T769" s="53" t="e">
        <f>Tabla14[[#This Row],[DEUDA CAPITAL]]+Tabla14[[#This Row],[INTERES  CUOTA]]</f>
        <v>#NUM!</v>
      </c>
      <c r="U769" s="61" t="str">
        <f t="shared" si="129"/>
        <v/>
      </c>
    </row>
    <row r="770" spans="9:21" ht="24.75" customHeight="1" x14ac:dyDescent="0.35">
      <c r="I770" s="42">
        <f t="shared" si="120"/>
        <v>0</v>
      </c>
      <c r="J770" s="65" t="e">
        <f t="shared" si="121"/>
        <v>#NUM!</v>
      </c>
      <c r="K770" s="83" t="e">
        <f t="shared" si="122"/>
        <v>#NUM!</v>
      </c>
      <c r="L770" s="83">
        <f t="shared" si="123"/>
        <v>0</v>
      </c>
      <c r="M770" s="110" t="str">
        <f t="shared" si="124"/>
        <v/>
      </c>
      <c r="N770" s="51" t="str">
        <f t="shared" si="125"/>
        <v/>
      </c>
      <c r="O770" s="52" t="str">
        <f t="shared" si="126"/>
        <v/>
      </c>
      <c r="P770" s="88">
        <f t="shared" si="127"/>
        <v>0</v>
      </c>
      <c r="Q770" s="88">
        <f t="shared" si="128"/>
        <v>0</v>
      </c>
      <c r="R770" s="88" t="e">
        <f>-IF(Tabla14[[#This Row],[DIAS HABILES O MORA]]&lt;0,(Tabla14[[#This Row],[VALOR PRESTAMO]]*Tabla14[[#This Row],[% INTERES ]]/30*U770))+Tabla14[[#This Row],[VALOR CUOTAS]]</f>
        <v>#VALUE!</v>
      </c>
      <c r="S770" s="88">
        <f>-IF(Tabla14[[#This Row],[DIAS HABILES O MORA]]&lt;0,(Tabla14[[#This Row],[VALOR PRESTAMO]]*Tabla14[[#This Row],[% INTERES ]]/30*U770))</f>
        <v>0</v>
      </c>
      <c r="T770" s="53" t="e">
        <f>Tabla14[[#This Row],[DEUDA CAPITAL]]+Tabla14[[#This Row],[INTERES  CUOTA]]</f>
        <v>#NUM!</v>
      </c>
      <c r="U770" s="61" t="str">
        <f t="shared" si="129"/>
        <v/>
      </c>
    </row>
    <row r="771" spans="9:21" ht="24.75" customHeight="1" x14ac:dyDescent="0.35">
      <c r="I771" s="42">
        <f t="shared" si="120"/>
        <v>0</v>
      </c>
      <c r="J771" s="65" t="e">
        <f t="shared" si="121"/>
        <v>#NUM!</v>
      </c>
      <c r="K771" s="83" t="e">
        <f t="shared" si="122"/>
        <v>#NUM!</v>
      </c>
      <c r="L771" s="83">
        <f t="shared" si="123"/>
        <v>0</v>
      </c>
      <c r="M771" s="110" t="str">
        <f t="shared" si="124"/>
        <v/>
      </c>
      <c r="N771" s="51" t="str">
        <f t="shared" si="125"/>
        <v/>
      </c>
      <c r="O771" s="52" t="str">
        <f t="shared" si="126"/>
        <v/>
      </c>
      <c r="P771" s="88">
        <f t="shared" si="127"/>
        <v>0</v>
      </c>
      <c r="Q771" s="88">
        <f t="shared" si="128"/>
        <v>0</v>
      </c>
      <c r="R771" s="88" t="e">
        <f>-IF(Tabla14[[#This Row],[DIAS HABILES O MORA]]&lt;0,(Tabla14[[#This Row],[VALOR PRESTAMO]]*Tabla14[[#This Row],[% INTERES ]]/30*U771))+Tabla14[[#This Row],[VALOR CUOTAS]]</f>
        <v>#VALUE!</v>
      </c>
      <c r="S771" s="88">
        <f>-IF(Tabla14[[#This Row],[DIAS HABILES O MORA]]&lt;0,(Tabla14[[#This Row],[VALOR PRESTAMO]]*Tabla14[[#This Row],[% INTERES ]]/30*U771))</f>
        <v>0</v>
      </c>
      <c r="T771" s="53" t="e">
        <f>Tabla14[[#This Row],[DEUDA CAPITAL]]+Tabla14[[#This Row],[INTERES  CUOTA]]</f>
        <v>#NUM!</v>
      </c>
      <c r="U771" s="61" t="str">
        <f t="shared" si="129"/>
        <v/>
      </c>
    </row>
    <row r="772" spans="9:21" ht="24.75" customHeight="1" x14ac:dyDescent="0.35">
      <c r="I772" s="42">
        <f t="shared" si="120"/>
        <v>0</v>
      </c>
      <c r="J772" s="65" t="e">
        <f t="shared" si="121"/>
        <v>#NUM!</v>
      </c>
      <c r="K772" s="83" t="e">
        <f t="shared" si="122"/>
        <v>#NUM!</v>
      </c>
      <c r="L772" s="83">
        <f t="shared" si="123"/>
        <v>0</v>
      </c>
      <c r="M772" s="110" t="str">
        <f t="shared" si="124"/>
        <v/>
      </c>
      <c r="N772" s="51" t="str">
        <f t="shared" si="125"/>
        <v/>
      </c>
      <c r="O772" s="52" t="str">
        <f t="shared" si="126"/>
        <v/>
      </c>
      <c r="P772" s="88">
        <f t="shared" si="127"/>
        <v>0</v>
      </c>
      <c r="Q772" s="88">
        <f t="shared" si="128"/>
        <v>0</v>
      </c>
      <c r="R772" s="88" t="e">
        <f>-IF(Tabla14[[#This Row],[DIAS HABILES O MORA]]&lt;0,(Tabla14[[#This Row],[VALOR PRESTAMO]]*Tabla14[[#This Row],[% INTERES ]]/30*U772))+Tabla14[[#This Row],[VALOR CUOTAS]]</f>
        <v>#VALUE!</v>
      </c>
      <c r="S772" s="88">
        <f>-IF(Tabla14[[#This Row],[DIAS HABILES O MORA]]&lt;0,(Tabla14[[#This Row],[VALOR PRESTAMO]]*Tabla14[[#This Row],[% INTERES ]]/30*U772))</f>
        <v>0</v>
      </c>
      <c r="T772" s="53" t="e">
        <f>Tabla14[[#This Row],[DEUDA CAPITAL]]+Tabla14[[#This Row],[INTERES  CUOTA]]</f>
        <v>#NUM!</v>
      </c>
      <c r="U772" s="61" t="str">
        <f t="shared" si="129"/>
        <v/>
      </c>
    </row>
    <row r="773" spans="9:21" ht="24.75" customHeight="1" x14ac:dyDescent="0.35">
      <c r="I773" s="42">
        <f t="shared" si="120"/>
        <v>0</v>
      </c>
      <c r="J773" s="65" t="e">
        <f t="shared" si="121"/>
        <v>#NUM!</v>
      </c>
      <c r="K773" s="83" t="e">
        <f t="shared" si="122"/>
        <v>#NUM!</v>
      </c>
      <c r="L773" s="83">
        <f t="shared" si="123"/>
        <v>0</v>
      </c>
      <c r="M773" s="110" t="str">
        <f t="shared" si="124"/>
        <v/>
      </c>
      <c r="N773" s="51" t="str">
        <f t="shared" si="125"/>
        <v/>
      </c>
      <c r="O773" s="52" t="str">
        <f t="shared" si="126"/>
        <v/>
      </c>
      <c r="P773" s="88">
        <f t="shared" si="127"/>
        <v>0</v>
      </c>
      <c r="Q773" s="88">
        <f t="shared" si="128"/>
        <v>0</v>
      </c>
      <c r="R773" s="88" t="e">
        <f>-IF(Tabla14[[#This Row],[DIAS HABILES O MORA]]&lt;0,(Tabla14[[#This Row],[VALOR PRESTAMO]]*Tabla14[[#This Row],[% INTERES ]]/30*U773))+Tabla14[[#This Row],[VALOR CUOTAS]]</f>
        <v>#VALUE!</v>
      </c>
      <c r="S773" s="88">
        <f>-IF(Tabla14[[#This Row],[DIAS HABILES O MORA]]&lt;0,(Tabla14[[#This Row],[VALOR PRESTAMO]]*Tabla14[[#This Row],[% INTERES ]]/30*U773))</f>
        <v>0</v>
      </c>
      <c r="T773" s="53" t="e">
        <f>Tabla14[[#This Row],[DEUDA CAPITAL]]+Tabla14[[#This Row],[INTERES  CUOTA]]</f>
        <v>#NUM!</v>
      </c>
      <c r="U773" s="61" t="str">
        <f t="shared" si="129"/>
        <v/>
      </c>
    </row>
    <row r="774" spans="9:21" ht="24.75" customHeight="1" x14ac:dyDescent="0.35">
      <c r="I774" s="42">
        <f t="shared" si="120"/>
        <v>0</v>
      </c>
      <c r="J774" s="65" t="e">
        <f t="shared" si="121"/>
        <v>#NUM!</v>
      </c>
      <c r="K774" s="83" t="e">
        <f t="shared" si="122"/>
        <v>#NUM!</v>
      </c>
      <c r="L774" s="83">
        <f t="shared" si="123"/>
        <v>0</v>
      </c>
      <c r="M774" s="110" t="str">
        <f t="shared" si="124"/>
        <v/>
      </c>
      <c r="N774" s="51" t="str">
        <f t="shared" si="125"/>
        <v/>
      </c>
      <c r="O774" s="52" t="str">
        <f t="shared" si="126"/>
        <v/>
      </c>
      <c r="P774" s="88">
        <f t="shared" si="127"/>
        <v>0</v>
      </c>
      <c r="Q774" s="88">
        <f t="shared" si="128"/>
        <v>0</v>
      </c>
      <c r="R774" s="88" t="e">
        <f>-IF(Tabla14[[#This Row],[DIAS HABILES O MORA]]&lt;0,(Tabla14[[#This Row],[VALOR PRESTAMO]]*Tabla14[[#This Row],[% INTERES ]]/30*U774))+Tabla14[[#This Row],[VALOR CUOTAS]]</f>
        <v>#VALUE!</v>
      </c>
      <c r="S774" s="88">
        <f>-IF(Tabla14[[#This Row],[DIAS HABILES O MORA]]&lt;0,(Tabla14[[#This Row],[VALOR PRESTAMO]]*Tabla14[[#This Row],[% INTERES ]]/30*U774))</f>
        <v>0</v>
      </c>
      <c r="T774" s="53" t="e">
        <f>Tabla14[[#This Row],[DEUDA CAPITAL]]+Tabla14[[#This Row],[INTERES  CUOTA]]</f>
        <v>#NUM!</v>
      </c>
      <c r="U774" s="61" t="str">
        <f t="shared" si="129"/>
        <v/>
      </c>
    </row>
    <row r="775" spans="9:21" ht="24.75" customHeight="1" x14ac:dyDescent="0.35">
      <c r="I775" s="42">
        <f t="shared" si="120"/>
        <v>0</v>
      </c>
      <c r="J775" s="65" t="e">
        <f t="shared" si="121"/>
        <v>#NUM!</v>
      </c>
      <c r="K775" s="83" t="e">
        <f t="shared" si="122"/>
        <v>#NUM!</v>
      </c>
      <c r="L775" s="83">
        <f t="shared" si="123"/>
        <v>0</v>
      </c>
      <c r="M775" s="110" t="str">
        <f t="shared" si="124"/>
        <v/>
      </c>
      <c r="N775" s="51" t="str">
        <f t="shared" si="125"/>
        <v/>
      </c>
      <c r="O775" s="52" t="str">
        <f t="shared" si="126"/>
        <v/>
      </c>
      <c r="P775" s="88">
        <f t="shared" si="127"/>
        <v>0</v>
      </c>
      <c r="Q775" s="88">
        <f t="shared" si="128"/>
        <v>0</v>
      </c>
      <c r="R775" s="88" t="e">
        <f>-IF(Tabla14[[#This Row],[DIAS HABILES O MORA]]&lt;0,(Tabla14[[#This Row],[VALOR PRESTAMO]]*Tabla14[[#This Row],[% INTERES ]]/30*U775))+Tabla14[[#This Row],[VALOR CUOTAS]]</f>
        <v>#VALUE!</v>
      </c>
      <c r="S775" s="88">
        <f>-IF(Tabla14[[#This Row],[DIAS HABILES O MORA]]&lt;0,(Tabla14[[#This Row],[VALOR PRESTAMO]]*Tabla14[[#This Row],[% INTERES ]]/30*U775))</f>
        <v>0</v>
      </c>
      <c r="T775" s="53" t="e">
        <f>Tabla14[[#This Row],[DEUDA CAPITAL]]+Tabla14[[#This Row],[INTERES  CUOTA]]</f>
        <v>#NUM!</v>
      </c>
      <c r="U775" s="61" t="str">
        <f t="shared" si="129"/>
        <v/>
      </c>
    </row>
    <row r="776" spans="9:21" ht="24.75" customHeight="1" x14ac:dyDescent="0.35">
      <c r="I776" s="42">
        <f t="shared" si="120"/>
        <v>0</v>
      </c>
      <c r="J776" s="65" t="e">
        <f t="shared" si="121"/>
        <v>#NUM!</v>
      </c>
      <c r="K776" s="83" t="e">
        <f t="shared" si="122"/>
        <v>#NUM!</v>
      </c>
      <c r="L776" s="83">
        <f t="shared" si="123"/>
        <v>0</v>
      </c>
      <c r="M776" s="110" t="str">
        <f t="shared" si="124"/>
        <v/>
      </c>
      <c r="N776" s="51" t="str">
        <f t="shared" si="125"/>
        <v/>
      </c>
      <c r="O776" s="52" t="str">
        <f t="shared" si="126"/>
        <v/>
      </c>
      <c r="P776" s="88">
        <f t="shared" si="127"/>
        <v>0</v>
      </c>
      <c r="Q776" s="88">
        <f t="shared" si="128"/>
        <v>0</v>
      </c>
      <c r="R776" s="88" t="e">
        <f>-IF(Tabla14[[#This Row],[DIAS HABILES O MORA]]&lt;0,(Tabla14[[#This Row],[VALOR PRESTAMO]]*Tabla14[[#This Row],[% INTERES ]]/30*U776))+Tabla14[[#This Row],[VALOR CUOTAS]]</f>
        <v>#VALUE!</v>
      </c>
      <c r="S776" s="88">
        <f>-IF(Tabla14[[#This Row],[DIAS HABILES O MORA]]&lt;0,(Tabla14[[#This Row],[VALOR PRESTAMO]]*Tabla14[[#This Row],[% INTERES ]]/30*U776))</f>
        <v>0</v>
      </c>
      <c r="T776" s="53" t="e">
        <f>Tabla14[[#This Row],[DEUDA CAPITAL]]+Tabla14[[#This Row],[INTERES  CUOTA]]</f>
        <v>#NUM!</v>
      </c>
      <c r="U776" s="61" t="str">
        <f t="shared" si="129"/>
        <v/>
      </c>
    </row>
    <row r="777" spans="9:21" ht="24.75" customHeight="1" x14ac:dyDescent="0.35">
      <c r="I777" s="42">
        <f t="shared" si="120"/>
        <v>0</v>
      </c>
      <c r="J777" s="65" t="e">
        <f t="shared" si="121"/>
        <v>#NUM!</v>
      </c>
      <c r="K777" s="83" t="e">
        <f t="shared" si="122"/>
        <v>#NUM!</v>
      </c>
      <c r="L777" s="83">
        <f t="shared" si="123"/>
        <v>0</v>
      </c>
      <c r="M777" s="110" t="str">
        <f t="shared" si="124"/>
        <v/>
      </c>
      <c r="N777" s="51" t="str">
        <f t="shared" si="125"/>
        <v/>
      </c>
      <c r="O777" s="52" t="str">
        <f t="shared" si="126"/>
        <v/>
      </c>
      <c r="P777" s="88">
        <f t="shared" si="127"/>
        <v>0</v>
      </c>
      <c r="Q777" s="88">
        <f t="shared" si="128"/>
        <v>0</v>
      </c>
      <c r="R777" s="88" t="e">
        <f>-IF(Tabla14[[#This Row],[DIAS HABILES O MORA]]&lt;0,(Tabla14[[#This Row],[VALOR PRESTAMO]]*Tabla14[[#This Row],[% INTERES ]]/30*U777))+Tabla14[[#This Row],[VALOR CUOTAS]]</f>
        <v>#VALUE!</v>
      </c>
      <c r="S777" s="88">
        <f>-IF(Tabla14[[#This Row],[DIAS HABILES O MORA]]&lt;0,(Tabla14[[#This Row],[VALOR PRESTAMO]]*Tabla14[[#This Row],[% INTERES ]]/30*U777))</f>
        <v>0</v>
      </c>
      <c r="T777" s="53" t="e">
        <f>Tabla14[[#This Row],[DEUDA CAPITAL]]+Tabla14[[#This Row],[INTERES  CUOTA]]</f>
        <v>#NUM!</v>
      </c>
      <c r="U777" s="61" t="str">
        <f t="shared" si="129"/>
        <v/>
      </c>
    </row>
    <row r="778" spans="9:21" ht="24.75" customHeight="1" x14ac:dyDescent="0.35">
      <c r="I778" s="42">
        <f t="shared" si="120"/>
        <v>0</v>
      </c>
      <c r="J778" s="65" t="e">
        <f t="shared" si="121"/>
        <v>#NUM!</v>
      </c>
      <c r="K778" s="83" t="e">
        <f t="shared" si="122"/>
        <v>#NUM!</v>
      </c>
      <c r="L778" s="83">
        <f t="shared" si="123"/>
        <v>0</v>
      </c>
      <c r="M778" s="110" t="str">
        <f t="shared" si="124"/>
        <v/>
      </c>
      <c r="N778" s="51" t="str">
        <f t="shared" si="125"/>
        <v/>
      </c>
      <c r="O778" s="52" t="str">
        <f t="shared" si="126"/>
        <v/>
      </c>
      <c r="P778" s="88">
        <f t="shared" si="127"/>
        <v>0</v>
      </c>
      <c r="Q778" s="88">
        <f t="shared" si="128"/>
        <v>0</v>
      </c>
      <c r="R778" s="88" t="e">
        <f>-IF(Tabla14[[#This Row],[DIAS HABILES O MORA]]&lt;0,(Tabla14[[#This Row],[VALOR PRESTAMO]]*Tabla14[[#This Row],[% INTERES ]]/30*U778))+Tabla14[[#This Row],[VALOR CUOTAS]]</f>
        <v>#VALUE!</v>
      </c>
      <c r="S778" s="88">
        <f>-IF(Tabla14[[#This Row],[DIAS HABILES O MORA]]&lt;0,(Tabla14[[#This Row],[VALOR PRESTAMO]]*Tabla14[[#This Row],[% INTERES ]]/30*U778))</f>
        <v>0</v>
      </c>
      <c r="T778" s="53" t="e">
        <f>Tabla14[[#This Row],[DEUDA CAPITAL]]+Tabla14[[#This Row],[INTERES  CUOTA]]</f>
        <v>#NUM!</v>
      </c>
      <c r="U778" s="61" t="str">
        <f t="shared" si="129"/>
        <v/>
      </c>
    </row>
    <row r="779" spans="9:21" ht="24.75" customHeight="1" x14ac:dyDescent="0.35">
      <c r="I779" s="42">
        <f t="shared" si="120"/>
        <v>0</v>
      </c>
      <c r="J779" s="65" t="e">
        <f t="shared" si="121"/>
        <v>#NUM!</v>
      </c>
      <c r="K779" s="83" t="e">
        <f t="shared" si="122"/>
        <v>#NUM!</v>
      </c>
      <c r="L779" s="83">
        <f t="shared" si="123"/>
        <v>0</v>
      </c>
      <c r="M779" s="110" t="str">
        <f t="shared" si="124"/>
        <v/>
      </c>
      <c r="N779" s="51" t="str">
        <f t="shared" si="125"/>
        <v/>
      </c>
      <c r="O779" s="52" t="str">
        <f t="shared" si="126"/>
        <v/>
      </c>
      <c r="P779" s="88">
        <f t="shared" si="127"/>
        <v>0</v>
      </c>
      <c r="Q779" s="88">
        <f t="shared" si="128"/>
        <v>0</v>
      </c>
      <c r="R779" s="88" t="e">
        <f>-IF(Tabla14[[#This Row],[DIAS HABILES O MORA]]&lt;0,(Tabla14[[#This Row],[VALOR PRESTAMO]]*Tabla14[[#This Row],[% INTERES ]]/30*U779))+Tabla14[[#This Row],[VALOR CUOTAS]]</f>
        <v>#VALUE!</v>
      </c>
      <c r="S779" s="88">
        <f>-IF(Tabla14[[#This Row],[DIAS HABILES O MORA]]&lt;0,(Tabla14[[#This Row],[VALOR PRESTAMO]]*Tabla14[[#This Row],[% INTERES ]]/30*U779))</f>
        <v>0</v>
      </c>
      <c r="T779" s="53" t="e">
        <f>Tabla14[[#This Row],[DEUDA CAPITAL]]+Tabla14[[#This Row],[INTERES  CUOTA]]</f>
        <v>#NUM!</v>
      </c>
      <c r="U779" s="61" t="str">
        <f t="shared" si="129"/>
        <v/>
      </c>
    </row>
    <row r="780" spans="9:21" ht="24.75" customHeight="1" x14ac:dyDescent="0.35">
      <c r="I780" s="42">
        <f t="shared" si="120"/>
        <v>0</v>
      </c>
      <c r="J780" s="65" t="e">
        <f t="shared" si="121"/>
        <v>#NUM!</v>
      </c>
      <c r="K780" s="83" t="e">
        <f t="shared" si="122"/>
        <v>#NUM!</v>
      </c>
      <c r="L780" s="83">
        <f t="shared" si="123"/>
        <v>0</v>
      </c>
      <c r="M780" s="110" t="str">
        <f t="shared" si="124"/>
        <v/>
      </c>
      <c r="N780" s="51" t="str">
        <f t="shared" si="125"/>
        <v/>
      </c>
      <c r="O780" s="52" t="str">
        <f t="shared" si="126"/>
        <v/>
      </c>
      <c r="P780" s="88">
        <f t="shared" si="127"/>
        <v>0</v>
      </c>
      <c r="Q780" s="88">
        <f t="shared" si="128"/>
        <v>0</v>
      </c>
      <c r="R780" s="88" t="e">
        <f>-IF(Tabla14[[#This Row],[DIAS HABILES O MORA]]&lt;0,(Tabla14[[#This Row],[VALOR PRESTAMO]]*Tabla14[[#This Row],[% INTERES ]]/30*U780))+Tabla14[[#This Row],[VALOR CUOTAS]]</f>
        <v>#VALUE!</v>
      </c>
      <c r="S780" s="88">
        <f>-IF(Tabla14[[#This Row],[DIAS HABILES O MORA]]&lt;0,(Tabla14[[#This Row],[VALOR PRESTAMO]]*Tabla14[[#This Row],[% INTERES ]]/30*U780))</f>
        <v>0</v>
      </c>
      <c r="T780" s="53" t="e">
        <f>Tabla14[[#This Row],[DEUDA CAPITAL]]+Tabla14[[#This Row],[INTERES  CUOTA]]</f>
        <v>#NUM!</v>
      </c>
      <c r="U780" s="61" t="str">
        <f t="shared" si="129"/>
        <v/>
      </c>
    </row>
    <row r="781" spans="9:21" ht="24.75" customHeight="1" x14ac:dyDescent="0.35">
      <c r="I781" s="42">
        <f t="shared" si="120"/>
        <v>0</v>
      </c>
      <c r="J781" s="65" t="e">
        <f t="shared" si="121"/>
        <v>#NUM!</v>
      </c>
      <c r="K781" s="83" t="e">
        <f t="shared" si="122"/>
        <v>#NUM!</v>
      </c>
      <c r="L781" s="83">
        <f t="shared" si="123"/>
        <v>0</v>
      </c>
      <c r="M781" s="110" t="str">
        <f t="shared" si="124"/>
        <v/>
      </c>
      <c r="N781" s="51" t="str">
        <f t="shared" si="125"/>
        <v/>
      </c>
      <c r="O781" s="52" t="str">
        <f t="shared" si="126"/>
        <v/>
      </c>
      <c r="P781" s="88">
        <f t="shared" si="127"/>
        <v>0</v>
      </c>
      <c r="Q781" s="88">
        <f t="shared" si="128"/>
        <v>0</v>
      </c>
      <c r="R781" s="88" t="e">
        <f>-IF(Tabla14[[#This Row],[DIAS HABILES O MORA]]&lt;0,(Tabla14[[#This Row],[VALOR PRESTAMO]]*Tabla14[[#This Row],[% INTERES ]]/30*U781))+Tabla14[[#This Row],[VALOR CUOTAS]]</f>
        <v>#VALUE!</v>
      </c>
      <c r="S781" s="88">
        <f>-IF(Tabla14[[#This Row],[DIAS HABILES O MORA]]&lt;0,(Tabla14[[#This Row],[VALOR PRESTAMO]]*Tabla14[[#This Row],[% INTERES ]]/30*U781))</f>
        <v>0</v>
      </c>
      <c r="T781" s="53" t="e">
        <f>Tabla14[[#This Row],[DEUDA CAPITAL]]+Tabla14[[#This Row],[INTERES  CUOTA]]</f>
        <v>#NUM!</v>
      </c>
      <c r="U781" s="61" t="str">
        <f t="shared" si="129"/>
        <v/>
      </c>
    </row>
    <row r="782" spans="9:21" ht="24.75" customHeight="1" x14ac:dyDescent="0.35">
      <c r="I782" s="42">
        <f t="shared" si="120"/>
        <v>0</v>
      </c>
      <c r="J782" s="65" t="e">
        <f t="shared" si="121"/>
        <v>#NUM!</v>
      </c>
      <c r="K782" s="83" t="e">
        <f t="shared" si="122"/>
        <v>#NUM!</v>
      </c>
      <c r="L782" s="83">
        <f t="shared" si="123"/>
        <v>0</v>
      </c>
      <c r="M782" s="110" t="str">
        <f t="shared" si="124"/>
        <v/>
      </c>
      <c r="N782" s="51" t="str">
        <f t="shared" si="125"/>
        <v/>
      </c>
      <c r="O782" s="52" t="str">
        <f t="shared" si="126"/>
        <v/>
      </c>
      <c r="P782" s="88">
        <f t="shared" si="127"/>
        <v>0</v>
      </c>
      <c r="Q782" s="88">
        <f t="shared" si="128"/>
        <v>0</v>
      </c>
      <c r="R782" s="88" t="e">
        <f>-IF(Tabla14[[#This Row],[DIAS HABILES O MORA]]&lt;0,(Tabla14[[#This Row],[VALOR PRESTAMO]]*Tabla14[[#This Row],[% INTERES ]]/30*U782))+Tabla14[[#This Row],[VALOR CUOTAS]]</f>
        <v>#VALUE!</v>
      </c>
      <c r="S782" s="88">
        <f>-IF(Tabla14[[#This Row],[DIAS HABILES O MORA]]&lt;0,(Tabla14[[#This Row],[VALOR PRESTAMO]]*Tabla14[[#This Row],[% INTERES ]]/30*U782))</f>
        <v>0</v>
      </c>
      <c r="T782" s="53" t="e">
        <f>Tabla14[[#This Row],[DEUDA CAPITAL]]+Tabla14[[#This Row],[INTERES  CUOTA]]</f>
        <v>#NUM!</v>
      </c>
      <c r="U782" s="61" t="str">
        <f t="shared" si="129"/>
        <v/>
      </c>
    </row>
    <row r="783" spans="9:21" ht="24.75" customHeight="1" x14ac:dyDescent="0.35">
      <c r="I783" s="42">
        <f t="shared" si="120"/>
        <v>0</v>
      </c>
      <c r="J783" s="65" t="e">
        <f t="shared" si="121"/>
        <v>#NUM!</v>
      </c>
      <c r="K783" s="83" t="e">
        <f t="shared" si="122"/>
        <v>#NUM!</v>
      </c>
      <c r="L783" s="83">
        <f t="shared" si="123"/>
        <v>0</v>
      </c>
      <c r="M783" s="110" t="str">
        <f t="shared" si="124"/>
        <v/>
      </c>
      <c r="N783" s="51" t="str">
        <f t="shared" si="125"/>
        <v/>
      </c>
      <c r="O783" s="52" t="str">
        <f t="shared" si="126"/>
        <v/>
      </c>
      <c r="P783" s="88">
        <f t="shared" si="127"/>
        <v>0</v>
      </c>
      <c r="Q783" s="88">
        <f t="shared" si="128"/>
        <v>0</v>
      </c>
      <c r="R783" s="88" t="e">
        <f>-IF(Tabla14[[#This Row],[DIAS HABILES O MORA]]&lt;0,(Tabla14[[#This Row],[VALOR PRESTAMO]]*Tabla14[[#This Row],[% INTERES ]]/30*U783))+Tabla14[[#This Row],[VALOR CUOTAS]]</f>
        <v>#VALUE!</v>
      </c>
      <c r="S783" s="88">
        <f>-IF(Tabla14[[#This Row],[DIAS HABILES O MORA]]&lt;0,(Tabla14[[#This Row],[VALOR PRESTAMO]]*Tabla14[[#This Row],[% INTERES ]]/30*U783))</f>
        <v>0</v>
      </c>
      <c r="T783" s="53" t="e">
        <f>Tabla14[[#This Row],[DEUDA CAPITAL]]+Tabla14[[#This Row],[INTERES  CUOTA]]</f>
        <v>#NUM!</v>
      </c>
      <c r="U783" s="61" t="str">
        <f t="shared" si="129"/>
        <v/>
      </c>
    </row>
    <row r="784" spans="9:21" ht="24.75" customHeight="1" x14ac:dyDescent="0.35">
      <c r="I784" s="42">
        <f t="shared" ref="I784:I847" si="130">IF(C784&lt;0,"",IF(Q784=0,0,IF(G784=0,H784+1,IF(H784&lt;G784,H784+1,IF(G784=H784,0)))))</f>
        <v>0</v>
      </c>
      <c r="J784" s="65" t="e">
        <f t="shared" ref="J784:J847" si="131">IF(F784="SOLO INTERES",Q784*D784,-IPMT(D784,I784,G784,C784))</f>
        <v>#NUM!</v>
      </c>
      <c r="K784" s="83" t="e">
        <f t="shared" ref="K784:K847" si="132">IF(F784="SOLO INTERES",0,-PPMT(D784,I784,G784,C784))</f>
        <v>#NUM!</v>
      </c>
      <c r="L784" s="83">
        <f t="shared" ref="L784:L847" si="133">IF(F784="SOLO INTERES",SUM(Y784:AAE784),IFERROR(-CUMIPMT(D784,G784,C784,1,H784,0),0)+SUM(Y784:WY784))</f>
        <v>0</v>
      </c>
      <c r="M784" s="110" t="str">
        <f t="shared" ref="M784:M847" si="134">IFERROR(IF(F784="SOLO INTERES",Q784*D784,-PMT(D784,G784,C784,0)),"")</f>
        <v/>
      </c>
      <c r="N784" s="51" t="str">
        <f t="shared" ref="N784:N847" si="135">IF(Q784=0,"",IF(E784="MENSUAL",EDATE(B784,I784),IF(E784="QUINCENAL",B784+(I784*15),IF(E784="SEMANAL",B784+(I784*7)))))</f>
        <v/>
      </c>
      <c r="O784" s="52" t="str">
        <f t="shared" ref="O784:O847" si="136">IF(C784=0,"",IF(Q784&lt;1,"PAGADO",IF(N784=$A$3,"COBRAR HOY",IF(N784&lt;$A$3,"EN MORA",IF(N784&gt;$A$3,"AL DIA")))))</f>
        <v/>
      </c>
      <c r="P784" s="88">
        <f t="shared" ref="P784:P847" si="137">IFERROR(-CUMPRINC(D784,G784,C784,1,H784,0),0)+W784</f>
        <v>0</v>
      </c>
      <c r="Q784" s="88">
        <f t="shared" ref="Q784:Q847" si="138">IFERROR(C784-P784,"")</f>
        <v>0</v>
      </c>
      <c r="R784" s="88" t="e">
        <f>-IF(Tabla14[[#This Row],[DIAS HABILES O MORA]]&lt;0,(Tabla14[[#This Row],[VALOR PRESTAMO]]*Tabla14[[#This Row],[% INTERES ]]/30*U784))+Tabla14[[#This Row],[VALOR CUOTAS]]</f>
        <v>#VALUE!</v>
      </c>
      <c r="S784" s="88">
        <f>-IF(Tabla14[[#This Row],[DIAS HABILES O MORA]]&lt;0,(Tabla14[[#This Row],[VALOR PRESTAMO]]*Tabla14[[#This Row],[% INTERES ]]/30*U784))</f>
        <v>0</v>
      </c>
      <c r="T784" s="53" t="e">
        <f>Tabla14[[#This Row],[DEUDA CAPITAL]]+Tabla14[[#This Row],[INTERES  CUOTA]]</f>
        <v>#NUM!</v>
      </c>
      <c r="U784" s="61" t="str">
        <f t="shared" ref="U784:U847" si="139">IF(O784="PAGADO","",IFERROR(-IF(C784=0,"",$A$3-N784),""))</f>
        <v/>
      </c>
    </row>
    <row r="785" spans="9:21" ht="24.75" customHeight="1" x14ac:dyDescent="0.35">
      <c r="I785" s="42">
        <f t="shared" si="130"/>
        <v>0</v>
      </c>
      <c r="J785" s="65" t="e">
        <f t="shared" si="131"/>
        <v>#NUM!</v>
      </c>
      <c r="K785" s="83" t="e">
        <f t="shared" si="132"/>
        <v>#NUM!</v>
      </c>
      <c r="L785" s="83">
        <f t="shared" si="133"/>
        <v>0</v>
      </c>
      <c r="M785" s="110" t="str">
        <f t="shared" si="134"/>
        <v/>
      </c>
      <c r="N785" s="51" t="str">
        <f t="shared" si="135"/>
        <v/>
      </c>
      <c r="O785" s="52" t="str">
        <f t="shared" si="136"/>
        <v/>
      </c>
      <c r="P785" s="88">
        <f t="shared" si="137"/>
        <v>0</v>
      </c>
      <c r="Q785" s="88">
        <f t="shared" si="138"/>
        <v>0</v>
      </c>
      <c r="R785" s="88" t="e">
        <f>-IF(Tabla14[[#This Row],[DIAS HABILES O MORA]]&lt;0,(Tabla14[[#This Row],[VALOR PRESTAMO]]*Tabla14[[#This Row],[% INTERES ]]/30*U785))+Tabla14[[#This Row],[VALOR CUOTAS]]</f>
        <v>#VALUE!</v>
      </c>
      <c r="S785" s="88">
        <f>-IF(Tabla14[[#This Row],[DIAS HABILES O MORA]]&lt;0,(Tabla14[[#This Row],[VALOR PRESTAMO]]*Tabla14[[#This Row],[% INTERES ]]/30*U785))</f>
        <v>0</v>
      </c>
      <c r="T785" s="53" t="e">
        <f>Tabla14[[#This Row],[DEUDA CAPITAL]]+Tabla14[[#This Row],[INTERES  CUOTA]]</f>
        <v>#NUM!</v>
      </c>
      <c r="U785" s="61" t="str">
        <f t="shared" si="139"/>
        <v/>
      </c>
    </row>
    <row r="786" spans="9:21" ht="24.75" customHeight="1" x14ac:dyDescent="0.35">
      <c r="I786" s="42">
        <f t="shared" si="130"/>
        <v>0</v>
      </c>
      <c r="J786" s="65" t="e">
        <f t="shared" si="131"/>
        <v>#NUM!</v>
      </c>
      <c r="K786" s="83" t="e">
        <f t="shared" si="132"/>
        <v>#NUM!</v>
      </c>
      <c r="L786" s="83">
        <f t="shared" si="133"/>
        <v>0</v>
      </c>
      <c r="M786" s="110" t="str">
        <f t="shared" si="134"/>
        <v/>
      </c>
      <c r="N786" s="51" t="str">
        <f t="shared" si="135"/>
        <v/>
      </c>
      <c r="O786" s="52" t="str">
        <f t="shared" si="136"/>
        <v/>
      </c>
      <c r="P786" s="88">
        <f t="shared" si="137"/>
        <v>0</v>
      </c>
      <c r="Q786" s="88">
        <f t="shared" si="138"/>
        <v>0</v>
      </c>
      <c r="R786" s="88" t="e">
        <f>-IF(Tabla14[[#This Row],[DIAS HABILES O MORA]]&lt;0,(Tabla14[[#This Row],[VALOR PRESTAMO]]*Tabla14[[#This Row],[% INTERES ]]/30*U786))+Tabla14[[#This Row],[VALOR CUOTAS]]</f>
        <v>#VALUE!</v>
      </c>
      <c r="S786" s="88">
        <f>-IF(Tabla14[[#This Row],[DIAS HABILES O MORA]]&lt;0,(Tabla14[[#This Row],[VALOR PRESTAMO]]*Tabla14[[#This Row],[% INTERES ]]/30*U786))</f>
        <v>0</v>
      </c>
      <c r="T786" s="53" t="e">
        <f>Tabla14[[#This Row],[DEUDA CAPITAL]]+Tabla14[[#This Row],[INTERES  CUOTA]]</f>
        <v>#NUM!</v>
      </c>
      <c r="U786" s="61" t="str">
        <f t="shared" si="139"/>
        <v/>
      </c>
    </row>
    <row r="787" spans="9:21" ht="24.75" customHeight="1" x14ac:dyDescent="0.35">
      <c r="I787" s="42">
        <f t="shared" si="130"/>
        <v>0</v>
      </c>
      <c r="J787" s="65" t="e">
        <f t="shared" si="131"/>
        <v>#NUM!</v>
      </c>
      <c r="K787" s="83" t="e">
        <f t="shared" si="132"/>
        <v>#NUM!</v>
      </c>
      <c r="L787" s="83">
        <f t="shared" si="133"/>
        <v>0</v>
      </c>
      <c r="M787" s="110" t="str">
        <f t="shared" si="134"/>
        <v/>
      </c>
      <c r="N787" s="51" t="str">
        <f t="shared" si="135"/>
        <v/>
      </c>
      <c r="O787" s="52" t="str">
        <f t="shared" si="136"/>
        <v/>
      </c>
      <c r="P787" s="88">
        <f t="shared" si="137"/>
        <v>0</v>
      </c>
      <c r="Q787" s="88">
        <f t="shared" si="138"/>
        <v>0</v>
      </c>
      <c r="R787" s="88" t="e">
        <f>-IF(Tabla14[[#This Row],[DIAS HABILES O MORA]]&lt;0,(Tabla14[[#This Row],[VALOR PRESTAMO]]*Tabla14[[#This Row],[% INTERES ]]/30*U787))+Tabla14[[#This Row],[VALOR CUOTAS]]</f>
        <v>#VALUE!</v>
      </c>
      <c r="S787" s="88">
        <f>-IF(Tabla14[[#This Row],[DIAS HABILES O MORA]]&lt;0,(Tabla14[[#This Row],[VALOR PRESTAMO]]*Tabla14[[#This Row],[% INTERES ]]/30*U787))</f>
        <v>0</v>
      </c>
      <c r="T787" s="53" t="e">
        <f>Tabla14[[#This Row],[DEUDA CAPITAL]]+Tabla14[[#This Row],[INTERES  CUOTA]]</f>
        <v>#NUM!</v>
      </c>
      <c r="U787" s="61" t="str">
        <f t="shared" si="139"/>
        <v/>
      </c>
    </row>
    <row r="788" spans="9:21" ht="24.75" customHeight="1" x14ac:dyDescent="0.35">
      <c r="I788" s="42">
        <f t="shared" si="130"/>
        <v>0</v>
      </c>
      <c r="J788" s="65" t="e">
        <f t="shared" si="131"/>
        <v>#NUM!</v>
      </c>
      <c r="K788" s="83" t="e">
        <f t="shared" si="132"/>
        <v>#NUM!</v>
      </c>
      <c r="L788" s="83">
        <f t="shared" si="133"/>
        <v>0</v>
      </c>
      <c r="M788" s="110" t="str">
        <f t="shared" si="134"/>
        <v/>
      </c>
      <c r="N788" s="51" t="str">
        <f t="shared" si="135"/>
        <v/>
      </c>
      <c r="O788" s="52" t="str">
        <f t="shared" si="136"/>
        <v/>
      </c>
      <c r="P788" s="88">
        <f t="shared" si="137"/>
        <v>0</v>
      </c>
      <c r="Q788" s="88">
        <f t="shared" si="138"/>
        <v>0</v>
      </c>
      <c r="R788" s="88" t="e">
        <f>-IF(Tabla14[[#This Row],[DIAS HABILES O MORA]]&lt;0,(Tabla14[[#This Row],[VALOR PRESTAMO]]*Tabla14[[#This Row],[% INTERES ]]/30*U788))+Tabla14[[#This Row],[VALOR CUOTAS]]</f>
        <v>#VALUE!</v>
      </c>
      <c r="S788" s="88">
        <f>-IF(Tabla14[[#This Row],[DIAS HABILES O MORA]]&lt;0,(Tabla14[[#This Row],[VALOR PRESTAMO]]*Tabla14[[#This Row],[% INTERES ]]/30*U788))</f>
        <v>0</v>
      </c>
      <c r="T788" s="53" t="e">
        <f>Tabla14[[#This Row],[DEUDA CAPITAL]]+Tabla14[[#This Row],[INTERES  CUOTA]]</f>
        <v>#NUM!</v>
      </c>
      <c r="U788" s="61" t="str">
        <f t="shared" si="139"/>
        <v/>
      </c>
    </row>
    <row r="789" spans="9:21" ht="24.75" customHeight="1" x14ac:dyDescent="0.35">
      <c r="I789" s="42">
        <f t="shared" si="130"/>
        <v>0</v>
      </c>
      <c r="J789" s="65" t="e">
        <f t="shared" si="131"/>
        <v>#NUM!</v>
      </c>
      <c r="K789" s="83" t="e">
        <f t="shared" si="132"/>
        <v>#NUM!</v>
      </c>
      <c r="L789" s="83">
        <f t="shared" si="133"/>
        <v>0</v>
      </c>
      <c r="M789" s="110" t="str">
        <f t="shared" si="134"/>
        <v/>
      </c>
      <c r="N789" s="51" t="str">
        <f t="shared" si="135"/>
        <v/>
      </c>
      <c r="O789" s="52" t="str">
        <f t="shared" si="136"/>
        <v/>
      </c>
      <c r="P789" s="88">
        <f t="shared" si="137"/>
        <v>0</v>
      </c>
      <c r="Q789" s="88">
        <f t="shared" si="138"/>
        <v>0</v>
      </c>
      <c r="R789" s="88" t="e">
        <f>-IF(Tabla14[[#This Row],[DIAS HABILES O MORA]]&lt;0,(Tabla14[[#This Row],[VALOR PRESTAMO]]*Tabla14[[#This Row],[% INTERES ]]/30*U789))+Tabla14[[#This Row],[VALOR CUOTAS]]</f>
        <v>#VALUE!</v>
      </c>
      <c r="S789" s="88">
        <f>-IF(Tabla14[[#This Row],[DIAS HABILES O MORA]]&lt;0,(Tabla14[[#This Row],[VALOR PRESTAMO]]*Tabla14[[#This Row],[% INTERES ]]/30*U789))</f>
        <v>0</v>
      </c>
      <c r="T789" s="53" t="e">
        <f>Tabla14[[#This Row],[DEUDA CAPITAL]]+Tabla14[[#This Row],[INTERES  CUOTA]]</f>
        <v>#NUM!</v>
      </c>
      <c r="U789" s="61" t="str">
        <f t="shared" si="139"/>
        <v/>
      </c>
    </row>
    <row r="790" spans="9:21" ht="24.75" customHeight="1" x14ac:dyDescent="0.35">
      <c r="I790" s="42">
        <f t="shared" si="130"/>
        <v>0</v>
      </c>
      <c r="J790" s="65" t="e">
        <f t="shared" si="131"/>
        <v>#NUM!</v>
      </c>
      <c r="K790" s="83" t="e">
        <f t="shared" si="132"/>
        <v>#NUM!</v>
      </c>
      <c r="L790" s="83">
        <f t="shared" si="133"/>
        <v>0</v>
      </c>
      <c r="M790" s="110" t="str">
        <f t="shared" si="134"/>
        <v/>
      </c>
      <c r="N790" s="51" t="str">
        <f t="shared" si="135"/>
        <v/>
      </c>
      <c r="O790" s="52" t="str">
        <f t="shared" si="136"/>
        <v/>
      </c>
      <c r="P790" s="88">
        <f t="shared" si="137"/>
        <v>0</v>
      </c>
      <c r="Q790" s="88">
        <f t="shared" si="138"/>
        <v>0</v>
      </c>
      <c r="R790" s="88" t="e">
        <f>-IF(Tabla14[[#This Row],[DIAS HABILES O MORA]]&lt;0,(Tabla14[[#This Row],[VALOR PRESTAMO]]*Tabla14[[#This Row],[% INTERES ]]/30*U790))+Tabla14[[#This Row],[VALOR CUOTAS]]</f>
        <v>#VALUE!</v>
      </c>
      <c r="S790" s="88">
        <f>-IF(Tabla14[[#This Row],[DIAS HABILES O MORA]]&lt;0,(Tabla14[[#This Row],[VALOR PRESTAMO]]*Tabla14[[#This Row],[% INTERES ]]/30*U790))</f>
        <v>0</v>
      </c>
      <c r="T790" s="53" t="e">
        <f>Tabla14[[#This Row],[DEUDA CAPITAL]]+Tabla14[[#This Row],[INTERES  CUOTA]]</f>
        <v>#NUM!</v>
      </c>
      <c r="U790" s="61" t="str">
        <f t="shared" si="139"/>
        <v/>
      </c>
    </row>
    <row r="791" spans="9:21" ht="24.75" customHeight="1" x14ac:dyDescent="0.35">
      <c r="I791" s="42">
        <f t="shared" si="130"/>
        <v>0</v>
      </c>
      <c r="J791" s="65" t="e">
        <f t="shared" si="131"/>
        <v>#NUM!</v>
      </c>
      <c r="K791" s="83" t="e">
        <f t="shared" si="132"/>
        <v>#NUM!</v>
      </c>
      <c r="L791" s="83">
        <f t="shared" si="133"/>
        <v>0</v>
      </c>
      <c r="M791" s="110" t="str">
        <f t="shared" si="134"/>
        <v/>
      </c>
      <c r="N791" s="51" t="str">
        <f t="shared" si="135"/>
        <v/>
      </c>
      <c r="O791" s="52" t="str">
        <f t="shared" si="136"/>
        <v/>
      </c>
      <c r="P791" s="88">
        <f t="shared" si="137"/>
        <v>0</v>
      </c>
      <c r="Q791" s="88">
        <f t="shared" si="138"/>
        <v>0</v>
      </c>
      <c r="R791" s="88" t="e">
        <f>-IF(Tabla14[[#This Row],[DIAS HABILES O MORA]]&lt;0,(Tabla14[[#This Row],[VALOR PRESTAMO]]*Tabla14[[#This Row],[% INTERES ]]/30*U791))+Tabla14[[#This Row],[VALOR CUOTAS]]</f>
        <v>#VALUE!</v>
      </c>
      <c r="S791" s="88">
        <f>-IF(Tabla14[[#This Row],[DIAS HABILES O MORA]]&lt;0,(Tabla14[[#This Row],[VALOR PRESTAMO]]*Tabla14[[#This Row],[% INTERES ]]/30*U791))</f>
        <v>0</v>
      </c>
      <c r="T791" s="53" t="e">
        <f>Tabla14[[#This Row],[DEUDA CAPITAL]]+Tabla14[[#This Row],[INTERES  CUOTA]]</f>
        <v>#NUM!</v>
      </c>
      <c r="U791" s="61" t="str">
        <f t="shared" si="139"/>
        <v/>
      </c>
    </row>
    <row r="792" spans="9:21" ht="24.75" customHeight="1" x14ac:dyDescent="0.35">
      <c r="I792" s="42">
        <f t="shared" si="130"/>
        <v>0</v>
      </c>
      <c r="J792" s="65" t="e">
        <f t="shared" si="131"/>
        <v>#NUM!</v>
      </c>
      <c r="K792" s="83" t="e">
        <f t="shared" si="132"/>
        <v>#NUM!</v>
      </c>
      <c r="L792" s="83">
        <f t="shared" si="133"/>
        <v>0</v>
      </c>
      <c r="M792" s="110" t="str">
        <f t="shared" si="134"/>
        <v/>
      </c>
      <c r="N792" s="51" t="str">
        <f t="shared" si="135"/>
        <v/>
      </c>
      <c r="O792" s="52" t="str">
        <f t="shared" si="136"/>
        <v/>
      </c>
      <c r="P792" s="88">
        <f t="shared" si="137"/>
        <v>0</v>
      </c>
      <c r="Q792" s="88">
        <f t="shared" si="138"/>
        <v>0</v>
      </c>
      <c r="R792" s="88" t="e">
        <f>-IF(Tabla14[[#This Row],[DIAS HABILES O MORA]]&lt;0,(Tabla14[[#This Row],[VALOR PRESTAMO]]*Tabla14[[#This Row],[% INTERES ]]/30*U792))+Tabla14[[#This Row],[VALOR CUOTAS]]</f>
        <v>#VALUE!</v>
      </c>
      <c r="S792" s="88">
        <f>-IF(Tabla14[[#This Row],[DIAS HABILES O MORA]]&lt;0,(Tabla14[[#This Row],[VALOR PRESTAMO]]*Tabla14[[#This Row],[% INTERES ]]/30*U792))</f>
        <v>0</v>
      </c>
      <c r="T792" s="53" t="e">
        <f>Tabla14[[#This Row],[DEUDA CAPITAL]]+Tabla14[[#This Row],[INTERES  CUOTA]]</f>
        <v>#NUM!</v>
      </c>
      <c r="U792" s="61" t="str">
        <f t="shared" si="139"/>
        <v/>
      </c>
    </row>
    <row r="793" spans="9:21" ht="24.75" customHeight="1" x14ac:dyDescent="0.35">
      <c r="I793" s="42">
        <f t="shared" si="130"/>
        <v>0</v>
      </c>
      <c r="J793" s="65" t="e">
        <f t="shared" si="131"/>
        <v>#NUM!</v>
      </c>
      <c r="K793" s="83" t="e">
        <f t="shared" si="132"/>
        <v>#NUM!</v>
      </c>
      <c r="L793" s="83">
        <f t="shared" si="133"/>
        <v>0</v>
      </c>
      <c r="M793" s="110" t="str">
        <f t="shared" si="134"/>
        <v/>
      </c>
      <c r="N793" s="51" t="str">
        <f t="shared" si="135"/>
        <v/>
      </c>
      <c r="O793" s="52" t="str">
        <f t="shared" si="136"/>
        <v/>
      </c>
      <c r="P793" s="88">
        <f t="shared" si="137"/>
        <v>0</v>
      </c>
      <c r="Q793" s="88">
        <f t="shared" si="138"/>
        <v>0</v>
      </c>
      <c r="R793" s="88" t="e">
        <f>-IF(Tabla14[[#This Row],[DIAS HABILES O MORA]]&lt;0,(Tabla14[[#This Row],[VALOR PRESTAMO]]*Tabla14[[#This Row],[% INTERES ]]/30*U793))+Tabla14[[#This Row],[VALOR CUOTAS]]</f>
        <v>#VALUE!</v>
      </c>
      <c r="S793" s="88">
        <f>-IF(Tabla14[[#This Row],[DIAS HABILES O MORA]]&lt;0,(Tabla14[[#This Row],[VALOR PRESTAMO]]*Tabla14[[#This Row],[% INTERES ]]/30*U793))</f>
        <v>0</v>
      </c>
      <c r="T793" s="53" t="e">
        <f>Tabla14[[#This Row],[DEUDA CAPITAL]]+Tabla14[[#This Row],[INTERES  CUOTA]]</f>
        <v>#NUM!</v>
      </c>
      <c r="U793" s="61" t="str">
        <f t="shared" si="139"/>
        <v/>
      </c>
    </row>
    <row r="794" spans="9:21" ht="24.75" customHeight="1" x14ac:dyDescent="0.35">
      <c r="I794" s="42">
        <f t="shared" si="130"/>
        <v>0</v>
      </c>
      <c r="J794" s="65" t="e">
        <f t="shared" si="131"/>
        <v>#NUM!</v>
      </c>
      <c r="K794" s="83" t="e">
        <f t="shared" si="132"/>
        <v>#NUM!</v>
      </c>
      <c r="L794" s="83">
        <f t="shared" si="133"/>
        <v>0</v>
      </c>
      <c r="M794" s="110" t="str">
        <f t="shared" si="134"/>
        <v/>
      </c>
      <c r="N794" s="51" t="str">
        <f t="shared" si="135"/>
        <v/>
      </c>
      <c r="O794" s="52" t="str">
        <f t="shared" si="136"/>
        <v/>
      </c>
      <c r="P794" s="88">
        <f t="shared" si="137"/>
        <v>0</v>
      </c>
      <c r="Q794" s="88">
        <f t="shared" si="138"/>
        <v>0</v>
      </c>
      <c r="R794" s="88" t="e">
        <f>-IF(Tabla14[[#This Row],[DIAS HABILES O MORA]]&lt;0,(Tabla14[[#This Row],[VALOR PRESTAMO]]*Tabla14[[#This Row],[% INTERES ]]/30*U794))+Tabla14[[#This Row],[VALOR CUOTAS]]</f>
        <v>#VALUE!</v>
      </c>
      <c r="S794" s="88">
        <f>-IF(Tabla14[[#This Row],[DIAS HABILES O MORA]]&lt;0,(Tabla14[[#This Row],[VALOR PRESTAMO]]*Tabla14[[#This Row],[% INTERES ]]/30*U794))</f>
        <v>0</v>
      </c>
      <c r="T794" s="53" t="e">
        <f>Tabla14[[#This Row],[DEUDA CAPITAL]]+Tabla14[[#This Row],[INTERES  CUOTA]]</f>
        <v>#NUM!</v>
      </c>
      <c r="U794" s="61" t="str">
        <f t="shared" si="139"/>
        <v/>
      </c>
    </row>
    <row r="795" spans="9:21" ht="24.75" customHeight="1" x14ac:dyDescent="0.35">
      <c r="I795" s="42">
        <f t="shared" si="130"/>
        <v>0</v>
      </c>
      <c r="J795" s="65" t="e">
        <f t="shared" si="131"/>
        <v>#NUM!</v>
      </c>
      <c r="K795" s="83" t="e">
        <f t="shared" si="132"/>
        <v>#NUM!</v>
      </c>
      <c r="L795" s="83">
        <f t="shared" si="133"/>
        <v>0</v>
      </c>
      <c r="M795" s="110" t="str">
        <f t="shared" si="134"/>
        <v/>
      </c>
      <c r="N795" s="51" t="str">
        <f t="shared" si="135"/>
        <v/>
      </c>
      <c r="O795" s="52" t="str">
        <f t="shared" si="136"/>
        <v/>
      </c>
      <c r="P795" s="88">
        <f t="shared" si="137"/>
        <v>0</v>
      </c>
      <c r="Q795" s="88">
        <f t="shared" si="138"/>
        <v>0</v>
      </c>
      <c r="R795" s="88" t="e">
        <f>-IF(Tabla14[[#This Row],[DIAS HABILES O MORA]]&lt;0,(Tabla14[[#This Row],[VALOR PRESTAMO]]*Tabla14[[#This Row],[% INTERES ]]/30*U795))+Tabla14[[#This Row],[VALOR CUOTAS]]</f>
        <v>#VALUE!</v>
      </c>
      <c r="S795" s="88">
        <f>-IF(Tabla14[[#This Row],[DIAS HABILES O MORA]]&lt;0,(Tabla14[[#This Row],[VALOR PRESTAMO]]*Tabla14[[#This Row],[% INTERES ]]/30*U795))</f>
        <v>0</v>
      </c>
      <c r="T795" s="53" t="e">
        <f>Tabla14[[#This Row],[DEUDA CAPITAL]]+Tabla14[[#This Row],[INTERES  CUOTA]]</f>
        <v>#NUM!</v>
      </c>
      <c r="U795" s="61" t="str">
        <f t="shared" si="139"/>
        <v/>
      </c>
    </row>
    <row r="796" spans="9:21" ht="24.75" customHeight="1" x14ac:dyDescent="0.35">
      <c r="I796" s="42">
        <f t="shared" si="130"/>
        <v>0</v>
      </c>
      <c r="J796" s="65" t="e">
        <f t="shared" si="131"/>
        <v>#NUM!</v>
      </c>
      <c r="K796" s="83" t="e">
        <f t="shared" si="132"/>
        <v>#NUM!</v>
      </c>
      <c r="L796" s="83">
        <f t="shared" si="133"/>
        <v>0</v>
      </c>
      <c r="M796" s="110" t="str">
        <f t="shared" si="134"/>
        <v/>
      </c>
      <c r="N796" s="51" t="str">
        <f t="shared" si="135"/>
        <v/>
      </c>
      <c r="O796" s="52" t="str">
        <f t="shared" si="136"/>
        <v/>
      </c>
      <c r="P796" s="88">
        <f t="shared" si="137"/>
        <v>0</v>
      </c>
      <c r="Q796" s="88">
        <f t="shared" si="138"/>
        <v>0</v>
      </c>
      <c r="R796" s="88" t="e">
        <f>-IF(Tabla14[[#This Row],[DIAS HABILES O MORA]]&lt;0,(Tabla14[[#This Row],[VALOR PRESTAMO]]*Tabla14[[#This Row],[% INTERES ]]/30*U796))+Tabla14[[#This Row],[VALOR CUOTAS]]</f>
        <v>#VALUE!</v>
      </c>
      <c r="S796" s="88">
        <f>-IF(Tabla14[[#This Row],[DIAS HABILES O MORA]]&lt;0,(Tabla14[[#This Row],[VALOR PRESTAMO]]*Tabla14[[#This Row],[% INTERES ]]/30*U796))</f>
        <v>0</v>
      </c>
      <c r="T796" s="53" t="e">
        <f>Tabla14[[#This Row],[DEUDA CAPITAL]]+Tabla14[[#This Row],[INTERES  CUOTA]]</f>
        <v>#NUM!</v>
      </c>
      <c r="U796" s="61" t="str">
        <f t="shared" si="139"/>
        <v/>
      </c>
    </row>
    <row r="797" spans="9:21" ht="24.75" customHeight="1" x14ac:dyDescent="0.35">
      <c r="I797" s="42">
        <f t="shared" si="130"/>
        <v>0</v>
      </c>
      <c r="J797" s="65" t="e">
        <f t="shared" si="131"/>
        <v>#NUM!</v>
      </c>
      <c r="K797" s="83" t="e">
        <f t="shared" si="132"/>
        <v>#NUM!</v>
      </c>
      <c r="L797" s="83">
        <f t="shared" si="133"/>
        <v>0</v>
      </c>
      <c r="M797" s="110" t="str">
        <f t="shared" si="134"/>
        <v/>
      </c>
      <c r="N797" s="51" t="str">
        <f t="shared" si="135"/>
        <v/>
      </c>
      <c r="O797" s="52" t="str">
        <f t="shared" si="136"/>
        <v/>
      </c>
      <c r="P797" s="88">
        <f t="shared" si="137"/>
        <v>0</v>
      </c>
      <c r="Q797" s="88">
        <f t="shared" si="138"/>
        <v>0</v>
      </c>
      <c r="R797" s="88" t="e">
        <f>-IF(Tabla14[[#This Row],[DIAS HABILES O MORA]]&lt;0,(Tabla14[[#This Row],[VALOR PRESTAMO]]*Tabla14[[#This Row],[% INTERES ]]/30*U797))+Tabla14[[#This Row],[VALOR CUOTAS]]</f>
        <v>#VALUE!</v>
      </c>
      <c r="S797" s="88">
        <f>-IF(Tabla14[[#This Row],[DIAS HABILES O MORA]]&lt;0,(Tabla14[[#This Row],[VALOR PRESTAMO]]*Tabla14[[#This Row],[% INTERES ]]/30*U797))</f>
        <v>0</v>
      </c>
      <c r="T797" s="53" t="e">
        <f>Tabla14[[#This Row],[DEUDA CAPITAL]]+Tabla14[[#This Row],[INTERES  CUOTA]]</f>
        <v>#NUM!</v>
      </c>
      <c r="U797" s="61" t="str">
        <f t="shared" si="139"/>
        <v/>
      </c>
    </row>
    <row r="798" spans="9:21" ht="24.75" customHeight="1" x14ac:dyDescent="0.35">
      <c r="I798" s="42">
        <f t="shared" si="130"/>
        <v>0</v>
      </c>
      <c r="J798" s="65" t="e">
        <f t="shared" si="131"/>
        <v>#NUM!</v>
      </c>
      <c r="K798" s="83" t="e">
        <f t="shared" si="132"/>
        <v>#NUM!</v>
      </c>
      <c r="L798" s="83">
        <f t="shared" si="133"/>
        <v>0</v>
      </c>
      <c r="M798" s="110" t="str">
        <f t="shared" si="134"/>
        <v/>
      </c>
      <c r="N798" s="51" t="str">
        <f t="shared" si="135"/>
        <v/>
      </c>
      <c r="O798" s="52" t="str">
        <f t="shared" si="136"/>
        <v/>
      </c>
      <c r="P798" s="88">
        <f t="shared" si="137"/>
        <v>0</v>
      </c>
      <c r="Q798" s="88">
        <f t="shared" si="138"/>
        <v>0</v>
      </c>
      <c r="R798" s="88" t="e">
        <f>-IF(Tabla14[[#This Row],[DIAS HABILES O MORA]]&lt;0,(Tabla14[[#This Row],[VALOR PRESTAMO]]*Tabla14[[#This Row],[% INTERES ]]/30*U798))+Tabla14[[#This Row],[VALOR CUOTAS]]</f>
        <v>#VALUE!</v>
      </c>
      <c r="S798" s="88">
        <f>-IF(Tabla14[[#This Row],[DIAS HABILES O MORA]]&lt;0,(Tabla14[[#This Row],[VALOR PRESTAMO]]*Tabla14[[#This Row],[% INTERES ]]/30*U798))</f>
        <v>0</v>
      </c>
      <c r="T798" s="53" t="e">
        <f>Tabla14[[#This Row],[DEUDA CAPITAL]]+Tabla14[[#This Row],[INTERES  CUOTA]]</f>
        <v>#NUM!</v>
      </c>
      <c r="U798" s="61" t="str">
        <f t="shared" si="139"/>
        <v/>
      </c>
    </row>
    <row r="799" spans="9:21" ht="24.75" customHeight="1" x14ac:dyDescent="0.35">
      <c r="I799" s="42">
        <f t="shared" si="130"/>
        <v>0</v>
      </c>
      <c r="J799" s="65" t="e">
        <f t="shared" si="131"/>
        <v>#NUM!</v>
      </c>
      <c r="K799" s="83" t="e">
        <f t="shared" si="132"/>
        <v>#NUM!</v>
      </c>
      <c r="L799" s="83">
        <f t="shared" si="133"/>
        <v>0</v>
      </c>
      <c r="M799" s="110" t="str">
        <f t="shared" si="134"/>
        <v/>
      </c>
      <c r="N799" s="51" t="str">
        <f t="shared" si="135"/>
        <v/>
      </c>
      <c r="O799" s="52" t="str">
        <f t="shared" si="136"/>
        <v/>
      </c>
      <c r="P799" s="88">
        <f t="shared" si="137"/>
        <v>0</v>
      </c>
      <c r="Q799" s="88">
        <f t="shared" si="138"/>
        <v>0</v>
      </c>
      <c r="R799" s="88" t="e">
        <f>-IF(Tabla14[[#This Row],[DIAS HABILES O MORA]]&lt;0,(Tabla14[[#This Row],[VALOR PRESTAMO]]*Tabla14[[#This Row],[% INTERES ]]/30*U799))+Tabla14[[#This Row],[VALOR CUOTAS]]</f>
        <v>#VALUE!</v>
      </c>
      <c r="S799" s="88">
        <f>-IF(Tabla14[[#This Row],[DIAS HABILES O MORA]]&lt;0,(Tabla14[[#This Row],[VALOR PRESTAMO]]*Tabla14[[#This Row],[% INTERES ]]/30*U799))</f>
        <v>0</v>
      </c>
      <c r="T799" s="53" t="e">
        <f>Tabla14[[#This Row],[DEUDA CAPITAL]]+Tabla14[[#This Row],[INTERES  CUOTA]]</f>
        <v>#NUM!</v>
      </c>
      <c r="U799" s="61" t="str">
        <f t="shared" si="139"/>
        <v/>
      </c>
    </row>
    <row r="800" spans="9:21" ht="24.75" customHeight="1" x14ac:dyDescent="0.35">
      <c r="I800" s="42">
        <f t="shared" si="130"/>
        <v>0</v>
      </c>
      <c r="J800" s="65" t="e">
        <f t="shared" si="131"/>
        <v>#NUM!</v>
      </c>
      <c r="K800" s="83" t="e">
        <f t="shared" si="132"/>
        <v>#NUM!</v>
      </c>
      <c r="L800" s="83">
        <f t="shared" si="133"/>
        <v>0</v>
      </c>
      <c r="M800" s="110" t="str">
        <f t="shared" si="134"/>
        <v/>
      </c>
      <c r="N800" s="51" t="str">
        <f t="shared" si="135"/>
        <v/>
      </c>
      <c r="O800" s="52" t="str">
        <f t="shared" si="136"/>
        <v/>
      </c>
      <c r="P800" s="88">
        <f t="shared" si="137"/>
        <v>0</v>
      </c>
      <c r="Q800" s="88">
        <f t="shared" si="138"/>
        <v>0</v>
      </c>
      <c r="R800" s="88" t="e">
        <f>-IF(Tabla14[[#This Row],[DIAS HABILES O MORA]]&lt;0,(Tabla14[[#This Row],[VALOR PRESTAMO]]*Tabla14[[#This Row],[% INTERES ]]/30*U800))+Tabla14[[#This Row],[VALOR CUOTAS]]</f>
        <v>#VALUE!</v>
      </c>
      <c r="S800" s="88">
        <f>-IF(Tabla14[[#This Row],[DIAS HABILES O MORA]]&lt;0,(Tabla14[[#This Row],[VALOR PRESTAMO]]*Tabla14[[#This Row],[% INTERES ]]/30*U800))</f>
        <v>0</v>
      </c>
      <c r="T800" s="53" t="e">
        <f>Tabla14[[#This Row],[DEUDA CAPITAL]]+Tabla14[[#This Row],[INTERES  CUOTA]]</f>
        <v>#NUM!</v>
      </c>
      <c r="U800" s="61" t="str">
        <f t="shared" si="139"/>
        <v/>
      </c>
    </row>
    <row r="801" spans="9:21" ht="24.75" customHeight="1" x14ac:dyDescent="0.35">
      <c r="I801" s="42">
        <f t="shared" si="130"/>
        <v>0</v>
      </c>
      <c r="J801" s="65" t="e">
        <f t="shared" si="131"/>
        <v>#NUM!</v>
      </c>
      <c r="K801" s="83" t="e">
        <f t="shared" si="132"/>
        <v>#NUM!</v>
      </c>
      <c r="L801" s="83">
        <f t="shared" si="133"/>
        <v>0</v>
      </c>
      <c r="M801" s="110" t="str">
        <f t="shared" si="134"/>
        <v/>
      </c>
      <c r="N801" s="51" t="str">
        <f t="shared" si="135"/>
        <v/>
      </c>
      <c r="O801" s="52" t="str">
        <f t="shared" si="136"/>
        <v/>
      </c>
      <c r="P801" s="88">
        <f t="shared" si="137"/>
        <v>0</v>
      </c>
      <c r="Q801" s="88">
        <f t="shared" si="138"/>
        <v>0</v>
      </c>
      <c r="R801" s="88" t="e">
        <f>-IF(Tabla14[[#This Row],[DIAS HABILES O MORA]]&lt;0,(Tabla14[[#This Row],[VALOR PRESTAMO]]*Tabla14[[#This Row],[% INTERES ]]/30*U801))+Tabla14[[#This Row],[VALOR CUOTAS]]</f>
        <v>#VALUE!</v>
      </c>
      <c r="S801" s="88">
        <f>-IF(Tabla14[[#This Row],[DIAS HABILES O MORA]]&lt;0,(Tabla14[[#This Row],[VALOR PRESTAMO]]*Tabla14[[#This Row],[% INTERES ]]/30*U801))</f>
        <v>0</v>
      </c>
      <c r="T801" s="53" t="e">
        <f>Tabla14[[#This Row],[DEUDA CAPITAL]]+Tabla14[[#This Row],[INTERES  CUOTA]]</f>
        <v>#NUM!</v>
      </c>
      <c r="U801" s="61" t="str">
        <f t="shared" si="139"/>
        <v/>
      </c>
    </row>
    <row r="802" spans="9:21" ht="24.75" customHeight="1" x14ac:dyDescent="0.35">
      <c r="I802" s="42">
        <f t="shared" si="130"/>
        <v>0</v>
      </c>
      <c r="J802" s="65" t="e">
        <f t="shared" si="131"/>
        <v>#NUM!</v>
      </c>
      <c r="K802" s="83" t="e">
        <f t="shared" si="132"/>
        <v>#NUM!</v>
      </c>
      <c r="L802" s="83">
        <f t="shared" si="133"/>
        <v>0</v>
      </c>
      <c r="M802" s="110" t="str">
        <f t="shared" si="134"/>
        <v/>
      </c>
      <c r="N802" s="51" t="str">
        <f t="shared" si="135"/>
        <v/>
      </c>
      <c r="O802" s="52" t="str">
        <f t="shared" si="136"/>
        <v/>
      </c>
      <c r="P802" s="88">
        <f t="shared" si="137"/>
        <v>0</v>
      </c>
      <c r="Q802" s="88">
        <f t="shared" si="138"/>
        <v>0</v>
      </c>
      <c r="R802" s="88" t="e">
        <f>-IF(Tabla14[[#This Row],[DIAS HABILES O MORA]]&lt;0,(Tabla14[[#This Row],[VALOR PRESTAMO]]*Tabla14[[#This Row],[% INTERES ]]/30*U802))+Tabla14[[#This Row],[VALOR CUOTAS]]</f>
        <v>#VALUE!</v>
      </c>
      <c r="S802" s="88">
        <f>-IF(Tabla14[[#This Row],[DIAS HABILES O MORA]]&lt;0,(Tabla14[[#This Row],[VALOR PRESTAMO]]*Tabla14[[#This Row],[% INTERES ]]/30*U802))</f>
        <v>0</v>
      </c>
      <c r="T802" s="53" t="e">
        <f>Tabla14[[#This Row],[DEUDA CAPITAL]]+Tabla14[[#This Row],[INTERES  CUOTA]]</f>
        <v>#NUM!</v>
      </c>
      <c r="U802" s="61" t="str">
        <f t="shared" si="139"/>
        <v/>
      </c>
    </row>
    <row r="803" spans="9:21" ht="24.75" customHeight="1" x14ac:dyDescent="0.35">
      <c r="I803" s="42">
        <f t="shared" si="130"/>
        <v>0</v>
      </c>
      <c r="J803" s="65" t="e">
        <f t="shared" si="131"/>
        <v>#NUM!</v>
      </c>
      <c r="K803" s="83" t="e">
        <f t="shared" si="132"/>
        <v>#NUM!</v>
      </c>
      <c r="L803" s="83">
        <f t="shared" si="133"/>
        <v>0</v>
      </c>
      <c r="M803" s="110" t="str">
        <f t="shared" si="134"/>
        <v/>
      </c>
      <c r="N803" s="51" t="str">
        <f t="shared" si="135"/>
        <v/>
      </c>
      <c r="O803" s="52" t="str">
        <f t="shared" si="136"/>
        <v/>
      </c>
      <c r="P803" s="88">
        <f t="shared" si="137"/>
        <v>0</v>
      </c>
      <c r="Q803" s="88">
        <f t="shared" si="138"/>
        <v>0</v>
      </c>
      <c r="R803" s="88" t="e">
        <f>-IF(Tabla14[[#This Row],[DIAS HABILES O MORA]]&lt;0,(Tabla14[[#This Row],[VALOR PRESTAMO]]*Tabla14[[#This Row],[% INTERES ]]/30*U803))+Tabla14[[#This Row],[VALOR CUOTAS]]</f>
        <v>#VALUE!</v>
      </c>
      <c r="S803" s="88">
        <f>-IF(Tabla14[[#This Row],[DIAS HABILES O MORA]]&lt;0,(Tabla14[[#This Row],[VALOR PRESTAMO]]*Tabla14[[#This Row],[% INTERES ]]/30*U803))</f>
        <v>0</v>
      </c>
      <c r="T803" s="53" t="e">
        <f>Tabla14[[#This Row],[DEUDA CAPITAL]]+Tabla14[[#This Row],[INTERES  CUOTA]]</f>
        <v>#NUM!</v>
      </c>
      <c r="U803" s="61" t="str">
        <f t="shared" si="139"/>
        <v/>
      </c>
    </row>
    <row r="804" spans="9:21" ht="24.75" customHeight="1" x14ac:dyDescent="0.35">
      <c r="I804" s="42">
        <f t="shared" si="130"/>
        <v>0</v>
      </c>
      <c r="J804" s="65" t="e">
        <f t="shared" si="131"/>
        <v>#NUM!</v>
      </c>
      <c r="K804" s="83" t="e">
        <f t="shared" si="132"/>
        <v>#NUM!</v>
      </c>
      <c r="L804" s="83">
        <f t="shared" si="133"/>
        <v>0</v>
      </c>
      <c r="M804" s="110" t="str">
        <f t="shared" si="134"/>
        <v/>
      </c>
      <c r="N804" s="51" t="str">
        <f t="shared" si="135"/>
        <v/>
      </c>
      <c r="O804" s="52" t="str">
        <f t="shared" si="136"/>
        <v/>
      </c>
      <c r="P804" s="88">
        <f t="shared" si="137"/>
        <v>0</v>
      </c>
      <c r="Q804" s="88">
        <f t="shared" si="138"/>
        <v>0</v>
      </c>
      <c r="R804" s="88" t="e">
        <f>-IF(Tabla14[[#This Row],[DIAS HABILES O MORA]]&lt;0,(Tabla14[[#This Row],[VALOR PRESTAMO]]*Tabla14[[#This Row],[% INTERES ]]/30*U804))+Tabla14[[#This Row],[VALOR CUOTAS]]</f>
        <v>#VALUE!</v>
      </c>
      <c r="S804" s="88">
        <f>-IF(Tabla14[[#This Row],[DIAS HABILES O MORA]]&lt;0,(Tabla14[[#This Row],[VALOR PRESTAMO]]*Tabla14[[#This Row],[% INTERES ]]/30*U804))</f>
        <v>0</v>
      </c>
      <c r="T804" s="53" t="e">
        <f>Tabla14[[#This Row],[DEUDA CAPITAL]]+Tabla14[[#This Row],[INTERES  CUOTA]]</f>
        <v>#NUM!</v>
      </c>
      <c r="U804" s="61" t="str">
        <f t="shared" si="139"/>
        <v/>
      </c>
    </row>
    <row r="805" spans="9:21" ht="24.75" customHeight="1" x14ac:dyDescent="0.35">
      <c r="I805" s="42">
        <f t="shared" si="130"/>
        <v>0</v>
      </c>
      <c r="J805" s="65" t="e">
        <f t="shared" si="131"/>
        <v>#NUM!</v>
      </c>
      <c r="K805" s="83" t="e">
        <f t="shared" si="132"/>
        <v>#NUM!</v>
      </c>
      <c r="L805" s="83">
        <f t="shared" si="133"/>
        <v>0</v>
      </c>
      <c r="M805" s="110" t="str">
        <f t="shared" si="134"/>
        <v/>
      </c>
      <c r="N805" s="51" t="str">
        <f t="shared" si="135"/>
        <v/>
      </c>
      <c r="O805" s="52" t="str">
        <f t="shared" si="136"/>
        <v/>
      </c>
      <c r="P805" s="88">
        <f t="shared" si="137"/>
        <v>0</v>
      </c>
      <c r="Q805" s="88">
        <f t="shared" si="138"/>
        <v>0</v>
      </c>
      <c r="R805" s="88" t="e">
        <f>-IF(Tabla14[[#This Row],[DIAS HABILES O MORA]]&lt;0,(Tabla14[[#This Row],[VALOR PRESTAMO]]*Tabla14[[#This Row],[% INTERES ]]/30*U805))+Tabla14[[#This Row],[VALOR CUOTAS]]</f>
        <v>#VALUE!</v>
      </c>
      <c r="S805" s="88">
        <f>-IF(Tabla14[[#This Row],[DIAS HABILES O MORA]]&lt;0,(Tabla14[[#This Row],[VALOR PRESTAMO]]*Tabla14[[#This Row],[% INTERES ]]/30*U805))</f>
        <v>0</v>
      </c>
      <c r="T805" s="53" t="e">
        <f>Tabla14[[#This Row],[DEUDA CAPITAL]]+Tabla14[[#This Row],[INTERES  CUOTA]]</f>
        <v>#NUM!</v>
      </c>
      <c r="U805" s="61" t="str">
        <f t="shared" si="139"/>
        <v/>
      </c>
    </row>
    <row r="806" spans="9:21" ht="24.75" customHeight="1" x14ac:dyDescent="0.35">
      <c r="I806" s="42">
        <f t="shared" si="130"/>
        <v>0</v>
      </c>
      <c r="J806" s="65" t="e">
        <f t="shared" si="131"/>
        <v>#NUM!</v>
      </c>
      <c r="K806" s="83" t="e">
        <f t="shared" si="132"/>
        <v>#NUM!</v>
      </c>
      <c r="L806" s="83">
        <f t="shared" si="133"/>
        <v>0</v>
      </c>
      <c r="M806" s="110" t="str">
        <f t="shared" si="134"/>
        <v/>
      </c>
      <c r="N806" s="51" t="str">
        <f t="shared" si="135"/>
        <v/>
      </c>
      <c r="O806" s="52" t="str">
        <f t="shared" si="136"/>
        <v/>
      </c>
      <c r="P806" s="88">
        <f t="shared" si="137"/>
        <v>0</v>
      </c>
      <c r="Q806" s="88">
        <f t="shared" si="138"/>
        <v>0</v>
      </c>
      <c r="R806" s="88" t="e">
        <f>-IF(Tabla14[[#This Row],[DIAS HABILES O MORA]]&lt;0,(Tabla14[[#This Row],[VALOR PRESTAMO]]*Tabla14[[#This Row],[% INTERES ]]/30*U806))+Tabla14[[#This Row],[VALOR CUOTAS]]</f>
        <v>#VALUE!</v>
      </c>
      <c r="S806" s="88">
        <f>-IF(Tabla14[[#This Row],[DIAS HABILES O MORA]]&lt;0,(Tabla14[[#This Row],[VALOR PRESTAMO]]*Tabla14[[#This Row],[% INTERES ]]/30*U806))</f>
        <v>0</v>
      </c>
      <c r="T806" s="53" t="e">
        <f>Tabla14[[#This Row],[DEUDA CAPITAL]]+Tabla14[[#This Row],[INTERES  CUOTA]]</f>
        <v>#NUM!</v>
      </c>
      <c r="U806" s="61" t="str">
        <f t="shared" si="139"/>
        <v/>
      </c>
    </row>
    <row r="807" spans="9:21" ht="24.75" customHeight="1" x14ac:dyDescent="0.35">
      <c r="I807" s="42">
        <f t="shared" si="130"/>
        <v>0</v>
      </c>
      <c r="J807" s="65" t="e">
        <f t="shared" si="131"/>
        <v>#NUM!</v>
      </c>
      <c r="K807" s="83" t="e">
        <f t="shared" si="132"/>
        <v>#NUM!</v>
      </c>
      <c r="L807" s="83">
        <f t="shared" si="133"/>
        <v>0</v>
      </c>
      <c r="M807" s="110" t="str">
        <f t="shared" si="134"/>
        <v/>
      </c>
      <c r="N807" s="51" t="str">
        <f t="shared" si="135"/>
        <v/>
      </c>
      <c r="O807" s="52" t="str">
        <f t="shared" si="136"/>
        <v/>
      </c>
      <c r="P807" s="88">
        <f t="shared" si="137"/>
        <v>0</v>
      </c>
      <c r="Q807" s="88">
        <f t="shared" si="138"/>
        <v>0</v>
      </c>
      <c r="R807" s="88" t="e">
        <f>-IF(Tabla14[[#This Row],[DIAS HABILES O MORA]]&lt;0,(Tabla14[[#This Row],[VALOR PRESTAMO]]*Tabla14[[#This Row],[% INTERES ]]/30*U807))+Tabla14[[#This Row],[VALOR CUOTAS]]</f>
        <v>#VALUE!</v>
      </c>
      <c r="S807" s="88">
        <f>-IF(Tabla14[[#This Row],[DIAS HABILES O MORA]]&lt;0,(Tabla14[[#This Row],[VALOR PRESTAMO]]*Tabla14[[#This Row],[% INTERES ]]/30*U807))</f>
        <v>0</v>
      </c>
      <c r="T807" s="53" t="e">
        <f>Tabla14[[#This Row],[DEUDA CAPITAL]]+Tabla14[[#This Row],[INTERES  CUOTA]]</f>
        <v>#NUM!</v>
      </c>
      <c r="U807" s="61" t="str">
        <f t="shared" si="139"/>
        <v/>
      </c>
    </row>
    <row r="808" spans="9:21" ht="24.75" customHeight="1" x14ac:dyDescent="0.35">
      <c r="I808" s="42">
        <f t="shared" si="130"/>
        <v>0</v>
      </c>
      <c r="J808" s="65" t="e">
        <f t="shared" si="131"/>
        <v>#NUM!</v>
      </c>
      <c r="K808" s="83" t="e">
        <f t="shared" si="132"/>
        <v>#NUM!</v>
      </c>
      <c r="L808" s="83">
        <f t="shared" si="133"/>
        <v>0</v>
      </c>
      <c r="M808" s="110" t="str">
        <f t="shared" si="134"/>
        <v/>
      </c>
      <c r="N808" s="51" t="str">
        <f t="shared" si="135"/>
        <v/>
      </c>
      <c r="O808" s="52" t="str">
        <f t="shared" si="136"/>
        <v/>
      </c>
      <c r="P808" s="88">
        <f t="shared" si="137"/>
        <v>0</v>
      </c>
      <c r="Q808" s="88">
        <f t="shared" si="138"/>
        <v>0</v>
      </c>
      <c r="R808" s="88" t="e">
        <f>-IF(Tabla14[[#This Row],[DIAS HABILES O MORA]]&lt;0,(Tabla14[[#This Row],[VALOR PRESTAMO]]*Tabla14[[#This Row],[% INTERES ]]/30*U808))+Tabla14[[#This Row],[VALOR CUOTAS]]</f>
        <v>#VALUE!</v>
      </c>
      <c r="S808" s="88">
        <f>-IF(Tabla14[[#This Row],[DIAS HABILES O MORA]]&lt;0,(Tabla14[[#This Row],[VALOR PRESTAMO]]*Tabla14[[#This Row],[% INTERES ]]/30*U808))</f>
        <v>0</v>
      </c>
      <c r="T808" s="53" t="e">
        <f>Tabla14[[#This Row],[DEUDA CAPITAL]]+Tabla14[[#This Row],[INTERES  CUOTA]]</f>
        <v>#NUM!</v>
      </c>
      <c r="U808" s="61" t="str">
        <f t="shared" si="139"/>
        <v/>
      </c>
    </row>
    <row r="809" spans="9:21" ht="24.75" customHeight="1" x14ac:dyDescent="0.35">
      <c r="I809" s="42">
        <f t="shared" si="130"/>
        <v>0</v>
      </c>
      <c r="J809" s="65" t="e">
        <f t="shared" si="131"/>
        <v>#NUM!</v>
      </c>
      <c r="K809" s="83" t="e">
        <f t="shared" si="132"/>
        <v>#NUM!</v>
      </c>
      <c r="L809" s="83">
        <f t="shared" si="133"/>
        <v>0</v>
      </c>
      <c r="M809" s="110" t="str">
        <f t="shared" si="134"/>
        <v/>
      </c>
      <c r="N809" s="51" t="str">
        <f t="shared" si="135"/>
        <v/>
      </c>
      <c r="O809" s="52" t="str">
        <f t="shared" si="136"/>
        <v/>
      </c>
      <c r="P809" s="88">
        <f t="shared" si="137"/>
        <v>0</v>
      </c>
      <c r="Q809" s="88">
        <f t="shared" si="138"/>
        <v>0</v>
      </c>
      <c r="R809" s="88" t="e">
        <f>-IF(Tabla14[[#This Row],[DIAS HABILES O MORA]]&lt;0,(Tabla14[[#This Row],[VALOR PRESTAMO]]*Tabla14[[#This Row],[% INTERES ]]/30*U809))+Tabla14[[#This Row],[VALOR CUOTAS]]</f>
        <v>#VALUE!</v>
      </c>
      <c r="S809" s="88">
        <f>-IF(Tabla14[[#This Row],[DIAS HABILES O MORA]]&lt;0,(Tabla14[[#This Row],[VALOR PRESTAMO]]*Tabla14[[#This Row],[% INTERES ]]/30*U809))</f>
        <v>0</v>
      </c>
      <c r="T809" s="53" t="e">
        <f>Tabla14[[#This Row],[DEUDA CAPITAL]]+Tabla14[[#This Row],[INTERES  CUOTA]]</f>
        <v>#NUM!</v>
      </c>
      <c r="U809" s="61" t="str">
        <f t="shared" si="139"/>
        <v/>
      </c>
    </row>
    <row r="810" spans="9:21" ht="24.75" customHeight="1" x14ac:dyDescent="0.35">
      <c r="I810" s="42">
        <f t="shared" si="130"/>
        <v>0</v>
      </c>
      <c r="J810" s="65" t="e">
        <f t="shared" si="131"/>
        <v>#NUM!</v>
      </c>
      <c r="K810" s="83" t="e">
        <f t="shared" si="132"/>
        <v>#NUM!</v>
      </c>
      <c r="L810" s="83">
        <f t="shared" si="133"/>
        <v>0</v>
      </c>
      <c r="M810" s="110" t="str">
        <f t="shared" si="134"/>
        <v/>
      </c>
      <c r="N810" s="51" t="str">
        <f t="shared" si="135"/>
        <v/>
      </c>
      <c r="O810" s="52" t="str">
        <f t="shared" si="136"/>
        <v/>
      </c>
      <c r="P810" s="88">
        <f t="shared" si="137"/>
        <v>0</v>
      </c>
      <c r="Q810" s="88">
        <f t="shared" si="138"/>
        <v>0</v>
      </c>
      <c r="R810" s="88" t="e">
        <f>-IF(Tabla14[[#This Row],[DIAS HABILES O MORA]]&lt;0,(Tabla14[[#This Row],[VALOR PRESTAMO]]*Tabla14[[#This Row],[% INTERES ]]/30*U810))+Tabla14[[#This Row],[VALOR CUOTAS]]</f>
        <v>#VALUE!</v>
      </c>
      <c r="S810" s="88">
        <f>-IF(Tabla14[[#This Row],[DIAS HABILES O MORA]]&lt;0,(Tabla14[[#This Row],[VALOR PRESTAMO]]*Tabla14[[#This Row],[% INTERES ]]/30*U810))</f>
        <v>0</v>
      </c>
      <c r="T810" s="53" t="e">
        <f>Tabla14[[#This Row],[DEUDA CAPITAL]]+Tabla14[[#This Row],[INTERES  CUOTA]]</f>
        <v>#NUM!</v>
      </c>
      <c r="U810" s="61" t="str">
        <f t="shared" si="139"/>
        <v/>
      </c>
    </row>
    <row r="811" spans="9:21" ht="24.75" customHeight="1" x14ac:dyDescent="0.35">
      <c r="I811" s="42">
        <f t="shared" si="130"/>
        <v>0</v>
      </c>
      <c r="J811" s="65" t="e">
        <f t="shared" si="131"/>
        <v>#NUM!</v>
      </c>
      <c r="K811" s="83" t="e">
        <f t="shared" si="132"/>
        <v>#NUM!</v>
      </c>
      <c r="L811" s="83">
        <f t="shared" si="133"/>
        <v>0</v>
      </c>
      <c r="M811" s="110" t="str">
        <f t="shared" si="134"/>
        <v/>
      </c>
      <c r="N811" s="51" t="str">
        <f t="shared" si="135"/>
        <v/>
      </c>
      <c r="O811" s="52" t="str">
        <f t="shared" si="136"/>
        <v/>
      </c>
      <c r="P811" s="88">
        <f t="shared" si="137"/>
        <v>0</v>
      </c>
      <c r="Q811" s="88">
        <f t="shared" si="138"/>
        <v>0</v>
      </c>
      <c r="R811" s="88" t="e">
        <f>-IF(Tabla14[[#This Row],[DIAS HABILES O MORA]]&lt;0,(Tabla14[[#This Row],[VALOR PRESTAMO]]*Tabla14[[#This Row],[% INTERES ]]/30*U811))+Tabla14[[#This Row],[VALOR CUOTAS]]</f>
        <v>#VALUE!</v>
      </c>
      <c r="S811" s="88">
        <f>-IF(Tabla14[[#This Row],[DIAS HABILES O MORA]]&lt;0,(Tabla14[[#This Row],[VALOR PRESTAMO]]*Tabla14[[#This Row],[% INTERES ]]/30*U811))</f>
        <v>0</v>
      </c>
      <c r="T811" s="53" t="e">
        <f>Tabla14[[#This Row],[DEUDA CAPITAL]]+Tabla14[[#This Row],[INTERES  CUOTA]]</f>
        <v>#NUM!</v>
      </c>
      <c r="U811" s="61" t="str">
        <f t="shared" si="139"/>
        <v/>
      </c>
    </row>
    <row r="812" spans="9:21" ht="24.75" customHeight="1" x14ac:dyDescent="0.35">
      <c r="I812" s="42">
        <f t="shared" si="130"/>
        <v>0</v>
      </c>
      <c r="J812" s="65" t="e">
        <f t="shared" si="131"/>
        <v>#NUM!</v>
      </c>
      <c r="K812" s="83" t="e">
        <f t="shared" si="132"/>
        <v>#NUM!</v>
      </c>
      <c r="L812" s="83">
        <f t="shared" si="133"/>
        <v>0</v>
      </c>
      <c r="M812" s="110" t="str">
        <f t="shared" si="134"/>
        <v/>
      </c>
      <c r="N812" s="51" t="str">
        <f t="shared" si="135"/>
        <v/>
      </c>
      <c r="O812" s="52" t="str">
        <f t="shared" si="136"/>
        <v/>
      </c>
      <c r="P812" s="88">
        <f t="shared" si="137"/>
        <v>0</v>
      </c>
      <c r="Q812" s="88">
        <f t="shared" si="138"/>
        <v>0</v>
      </c>
      <c r="R812" s="88" t="e">
        <f>-IF(Tabla14[[#This Row],[DIAS HABILES O MORA]]&lt;0,(Tabla14[[#This Row],[VALOR PRESTAMO]]*Tabla14[[#This Row],[% INTERES ]]/30*U812))+Tabla14[[#This Row],[VALOR CUOTAS]]</f>
        <v>#VALUE!</v>
      </c>
      <c r="S812" s="88">
        <f>-IF(Tabla14[[#This Row],[DIAS HABILES O MORA]]&lt;0,(Tabla14[[#This Row],[VALOR PRESTAMO]]*Tabla14[[#This Row],[% INTERES ]]/30*U812))</f>
        <v>0</v>
      </c>
      <c r="T812" s="53" t="e">
        <f>Tabla14[[#This Row],[DEUDA CAPITAL]]+Tabla14[[#This Row],[INTERES  CUOTA]]</f>
        <v>#NUM!</v>
      </c>
      <c r="U812" s="61" t="str">
        <f t="shared" si="139"/>
        <v/>
      </c>
    </row>
    <row r="813" spans="9:21" ht="24.75" customHeight="1" x14ac:dyDescent="0.35">
      <c r="I813" s="42">
        <f t="shared" si="130"/>
        <v>0</v>
      </c>
      <c r="J813" s="65" t="e">
        <f t="shared" si="131"/>
        <v>#NUM!</v>
      </c>
      <c r="K813" s="83" t="e">
        <f t="shared" si="132"/>
        <v>#NUM!</v>
      </c>
      <c r="L813" s="83">
        <f t="shared" si="133"/>
        <v>0</v>
      </c>
      <c r="M813" s="110" t="str">
        <f t="shared" si="134"/>
        <v/>
      </c>
      <c r="N813" s="51" t="str">
        <f t="shared" si="135"/>
        <v/>
      </c>
      <c r="O813" s="52" t="str">
        <f t="shared" si="136"/>
        <v/>
      </c>
      <c r="P813" s="88">
        <f t="shared" si="137"/>
        <v>0</v>
      </c>
      <c r="Q813" s="88">
        <f t="shared" si="138"/>
        <v>0</v>
      </c>
      <c r="R813" s="88" t="e">
        <f>-IF(Tabla14[[#This Row],[DIAS HABILES O MORA]]&lt;0,(Tabla14[[#This Row],[VALOR PRESTAMO]]*Tabla14[[#This Row],[% INTERES ]]/30*U813))+Tabla14[[#This Row],[VALOR CUOTAS]]</f>
        <v>#VALUE!</v>
      </c>
      <c r="S813" s="88">
        <f>-IF(Tabla14[[#This Row],[DIAS HABILES O MORA]]&lt;0,(Tabla14[[#This Row],[VALOR PRESTAMO]]*Tabla14[[#This Row],[% INTERES ]]/30*U813))</f>
        <v>0</v>
      </c>
      <c r="T813" s="53" t="e">
        <f>Tabla14[[#This Row],[DEUDA CAPITAL]]+Tabla14[[#This Row],[INTERES  CUOTA]]</f>
        <v>#NUM!</v>
      </c>
      <c r="U813" s="61" t="str">
        <f t="shared" si="139"/>
        <v/>
      </c>
    </row>
    <row r="814" spans="9:21" ht="24.75" customHeight="1" x14ac:dyDescent="0.35">
      <c r="I814" s="42">
        <f t="shared" si="130"/>
        <v>0</v>
      </c>
      <c r="J814" s="65" t="e">
        <f t="shared" si="131"/>
        <v>#NUM!</v>
      </c>
      <c r="K814" s="83" t="e">
        <f t="shared" si="132"/>
        <v>#NUM!</v>
      </c>
      <c r="L814" s="83">
        <f t="shared" si="133"/>
        <v>0</v>
      </c>
      <c r="M814" s="110" t="str">
        <f t="shared" si="134"/>
        <v/>
      </c>
      <c r="N814" s="51" t="str">
        <f t="shared" si="135"/>
        <v/>
      </c>
      <c r="O814" s="52" t="str">
        <f t="shared" si="136"/>
        <v/>
      </c>
      <c r="P814" s="88">
        <f t="shared" si="137"/>
        <v>0</v>
      </c>
      <c r="Q814" s="88">
        <f t="shared" si="138"/>
        <v>0</v>
      </c>
      <c r="R814" s="88" t="e">
        <f>-IF(Tabla14[[#This Row],[DIAS HABILES O MORA]]&lt;0,(Tabla14[[#This Row],[VALOR PRESTAMO]]*Tabla14[[#This Row],[% INTERES ]]/30*U814))+Tabla14[[#This Row],[VALOR CUOTAS]]</f>
        <v>#VALUE!</v>
      </c>
      <c r="S814" s="88">
        <f>-IF(Tabla14[[#This Row],[DIAS HABILES O MORA]]&lt;0,(Tabla14[[#This Row],[VALOR PRESTAMO]]*Tabla14[[#This Row],[% INTERES ]]/30*U814))</f>
        <v>0</v>
      </c>
      <c r="T814" s="53" t="e">
        <f>Tabla14[[#This Row],[DEUDA CAPITAL]]+Tabla14[[#This Row],[INTERES  CUOTA]]</f>
        <v>#NUM!</v>
      </c>
      <c r="U814" s="61" t="str">
        <f t="shared" si="139"/>
        <v/>
      </c>
    </row>
    <row r="815" spans="9:21" ht="24.75" customHeight="1" x14ac:dyDescent="0.35">
      <c r="I815" s="42">
        <f t="shared" si="130"/>
        <v>0</v>
      </c>
      <c r="J815" s="65" t="e">
        <f t="shared" si="131"/>
        <v>#NUM!</v>
      </c>
      <c r="K815" s="83" t="e">
        <f t="shared" si="132"/>
        <v>#NUM!</v>
      </c>
      <c r="L815" s="83">
        <f t="shared" si="133"/>
        <v>0</v>
      </c>
      <c r="M815" s="110" t="str">
        <f t="shared" si="134"/>
        <v/>
      </c>
      <c r="N815" s="51" t="str">
        <f t="shared" si="135"/>
        <v/>
      </c>
      <c r="O815" s="52" t="str">
        <f t="shared" si="136"/>
        <v/>
      </c>
      <c r="P815" s="88">
        <f t="shared" si="137"/>
        <v>0</v>
      </c>
      <c r="Q815" s="88">
        <f t="shared" si="138"/>
        <v>0</v>
      </c>
      <c r="R815" s="88" t="e">
        <f>-IF(Tabla14[[#This Row],[DIAS HABILES O MORA]]&lt;0,(Tabla14[[#This Row],[VALOR PRESTAMO]]*Tabla14[[#This Row],[% INTERES ]]/30*U815))+Tabla14[[#This Row],[VALOR CUOTAS]]</f>
        <v>#VALUE!</v>
      </c>
      <c r="S815" s="88">
        <f>-IF(Tabla14[[#This Row],[DIAS HABILES O MORA]]&lt;0,(Tabla14[[#This Row],[VALOR PRESTAMO]]*Tabla14[[#This Row],[% INTERES ]]/30*U815))</f>
        <v>0</v>
      </c>
      <c r="T815" s="53" t="e">
        <f>Tabla14[[#This Row],[DEUDA CAPITAL]]+Tabla14[[#This Row],[INTERES  CUOTA]]</f>
        <v>#NUM!</v>
      </c>
      <c r="U815" s="61" t="str">
        <f t="shared" si="139"/>
        <v/>
      </c>
    </row>
    <row r="816" spans="9:21" ht="24.75" customHeight="1" x14ac:dyDescent="0.35">
      <c r="I816" s="42">
        <f t="shared" si="130"/>
        <v>0</v>
      </c>
      <c r="J816" s="65" t="e">
        <f t="shared" si="131"/>
        <v>#NUM!</v>
      </c>
      <c r="K816" s="83" t="e">
        <f t="shared" si="132"/>
        <v>#NUM!</v>
      </c>
      <c r="L816" s="83">
        <f t="shared" si="133"/>
        <v>0</v>
      </c>
      <c r="M816" s="110" t="str">
        <f t="shared" si="134"/>
        <v/>
      </c>
      <c r="N816" s="51" t="str">
        <f t="shared" si="135"/>
        <v/>
      </c>
      <c r="O816" s="52" t="str">
        <f t="shared" si="136"/>
        <v/>
      </c>
      <c r="P816" s="88">
        <f t="shared" si="137"/>
        <v>0</v>
      </c>
      <c r="Q816" s="88">
        <f t="shared" si="138"/>
        <v>0</v>
      </c>
      <c r="R816" s="88" t="e">
        <f>-IF(Tabla14[[#This Row],[DIAS HABILES O MORA]]&lt;0,(Tabla14[[#This Row],[VALOR PRESTAMO]]*Tabla14[[#This Row],[% INTERES ]]/30*U816))+Tabla14[[#This Row],[VALOR CUOTAS]]</f>
        <v>#VALUE!</v>
      </c>
      <c r="S816" s="88">
        <f>-IF(Tabla14[[#This Row],[DIAS HABILES O MORA]]&lt;0,(Tabla14[[#This Row],[VALOR PRESTAMO]]*Tabla14[[#This Row],[% INTERES ]]/30*U816))</f>
        <v>0</v>
      </c>
      <c r="T816" s="53" t="e">
        <f>Tabla14[[#This Row],[DEUDA CAPITAL]]+Tabla14[[#This Row],[INTERES  CUOTA]]</f>
        <v>#NUM!</v>
      </c>
      <c r="U816" s="61" t="str">
        <f t="shared" si="139"/>
        <v/>
      </c>
    </row>
    <row r="817" spans="9:21" ht="24.75" customHeight="1" x14ac:dyDescent="0.35">
      <c r="I817" s="42">
        <f t="shared" si="130"/>
        <v>0</v>
      </c>
      <c r="J817" s="65" t="e">
        <f t="shared" si="131"/>
        <v>#NUM!</v>
      </c>
      <c r="K817" s="83" t="e">
        <f t="shared" si="132"/>
        <v>#NUM!</v>
      </c>
      <c r="L817" s="83">
        <f t="shared" si="133"/>
        <v>0</v>
      </c>
      <c r="M817" s="110" t="str">
        <f t="shared" si="134"/>
        <v/>
      </c>
      <c r="N817" s="51" t="str">
        <f t="shared" si="135"/>
        <v/>
      </c>
      <c r="O817" s="52" t="str">
        <f t="shared" si="136"/>
        <v/>
      </c>
      <c r="P817" s="88">
        <f t="shared" si="137"/>
        <v>0</v>
      </c>
      <c r="Q817" s="88">
        <f t="shared" si="138"/>
        <v>0</v>
      </c>
      <c r="R817" s="88" t="e">
        <f>-IF(Tabla14[[#This Row],[DIAS HABILES O MORA]]&lt;0,(Tabla14[[#This Row],[VALOR PRESTAMO]]*Tabla14[[#This Row],[% INTERES ]]/30*U817))+Tabla14[[#This Row],[VALOR CUOTAS]]</f>
        <v>#VALUE!</v>
      </c>
      <c r="S817" s="88">
        <f>-IF(Tabla14[[#This Row],[DIAS HABILES O MORA]]&lt;0,(Tabla14[[#This Row],[VALOR PRESTAMO]]*Tabla14[[#This Row],[% INTERES ]]/30*U817))</f>
        <v>0</v>
      </c>
      <c r="T817" s="53" t="e">
        <f>Tabla14[[#This Row],[DEUDA CAPITAL]]+Tabla14[[#This Row],[INTERES  CUOTA]]</f>
        <v>#NUM!</v>
      </c>
      <c r="U817" s="61" t="str">
        <f t="shared" si="139"/>
        <v/>
      </c>
    </row>
    <row r="818" spans="9:21" ht="24.75" customHeight="1" x14ac:dyDescent="0.35">
      <c r="I818" s="42">
        <f t="shared" si="130"/>
        <v>0</v>
      </c>
      <c r="J818" s="65" t="e">
        <f t="shared" si="131"/>
        <v>#NUM!</v>
      </c>
      <c r="K818" s="83" t="e">
        <f t="shared" si="132"/>
        <v>#NUM!</v>
      </c>
      <c r="L818" s="83">
        <f t="shared" si="133"/>
        <v>0</v>
      </c>
      <c r="M818" s="110" t="str">
        <f t="shared" si="134"/>
        <v/>
      </c>
      <c r="N818" s="51" t="str">
        <f t="shared" si="135"/>
        <v/>
      </c>
      <c r="O818" s="52" t="str">
        <f t="shared" si="136"/>
        <v/>
      </c>
      <c r="P818" s="88">
        <f t="shared" si="137"/>
        <v>0</v>
      </c>
      <c r="Q818" s="88">
        <f t="shared" si="138"/>
        <v>0</v>
      </c>
      <c r="R818" s="88" t="e">
        <f>-IF(Tabla14[[#This Row],[DIAS HABILES O MORA]]&lt;0,(Tabla14[[#This Row],[VALOR PRESTAMO]]*Tabla14[[#This Row],[% INTERES ]]/30*U818))+Tabla14[[#This Row],[VALOR CUOTAS]]</f>
        <v>#VALUE!</v>
      </c>
      <c r="S818" s="88">
        <f>-IF(Tabla14[[#This Row],[DIAS HABILES O MORA]]&lt;0,(Tabla14[[#This Row],[VALOR PRESTAMO]]*Tabla14[[#This Row],[% INTERES ]]/30*U818))</f>
        <v>0</v>
      </c>
      <c r="T818" s="53" t="e">
        <f>Tabla14[[#This Row],[DEUDA CAPITAL]]+Tabla14[[#This Row],[INTERES  CUOTA]]</f>
        <v>#NUM!</v>
      </c>
      <c r="U818" s="61" t="str">
        <f t="shared" si="139"/>
        <v/>
      </c>
    </row>
    <row r="819" spans="9:21" ht="24.75" customHeight="1" x14ac:dyDescent="0.35">
      <c r="I819" s="42">
        <f t="shared" si="130"/>
        <v>0</v>
      </c>
      <c r="J819" s="65" t="e">
        <f t="shared" si="131"/>
        <v>#NUM!</v>
      </c>
      <c r="K819" s="83" t="e">
        <f t="shared" si="132"/>
        <v>#NUM!</v>
      </c>
      <c r="L819" s="83">
        <f t="shared" si="133"/>
        <v>0</v>
      </c>
      <c r="M819" s="110" t="str">
        <f t="shared" si="134"/>
        <v/>
      </c>
      <c r="N819" s="51" t="str">
        <f t="shared" si="135"/>
        <v/>
      </c>
      <c r="O819" s="52" t="str">
        <f t="shared" si="136"/>
        <v/>
      </c>
      <c r="P819" s="88">
        <f t="shared" si="137"/>
        <v>0</v>
      </c>
      <c r="Q819" s="88">
        <f t="shared" si="138"/>
        <v>0</v>
      </c>
      <c r="R819" s="88" t="e">
        <f>-IF(Tabla14[[#This Row],[DIAS HABILES O MORA]]&lt;0,(Tabla14[[#This Row],[VALOR PRESTAMO]]*Tabla14[[#This Row],[% INTERES ]]/30*U819))+Tabla14[[#This Row],[VALOR CUOTAS]]</f>
        <v>#VALUE!</v>
      </c>
      <c r="S819" s="88">
        <f>-IF(Tabla14[[#This Row],[DIAS HABILES O MORA]]&lt;0,(Tabla14[[#This Row],[VALOR PRESTAMO]]*Tabla14[[#This Row],[% INTERES ]]/30*U819))</f>
        <v>0</v>
      </c>
      <c r="T819" s="53" t="e">
        <f>Tabla14[[#This Row],[DEUDA CAPITAL]]+Tabla14[[#This Row],[INTERES  CUOTA]]</f>
        <v>#NUM!</v>
      </c>
      <c r="U819" s="61" t="str">
        <f t="shared" si="139"/>
        <v/>
      </c>
    </row>
    <row r="820" spans="9:21" ht="24.75" customHeight="1" x14ac:dyDescent="0.35">
      <c r="I820" s="42">
        <f t="shared" si="130"/>
        <v>0</v>
      </c>
      <c r="J820" s="65" t="e">
        <f t="shared" si="131"/>
        <v>#NUM!</v>
      </c>
      <c r="K820" s="83" t="e">
        <f t="shared" si="132"/>
        <v>#NUM!</v>
      </c>
      <c r="L820" s="83">
        <f t="shared" si="133"/>
        <v>0</v>
      </c>
      <c r="M820" s="110" t="str">
        <f t="shared" si="134"/>
        <v/>
      </c>
      <c r="N820" s="51" t="str">
        <f t="shared" si="135"/>
        <v/>
      </c>
      <c r="O820" s="52" t="str">
        <f t="shared" si="136"/>
        <v/>
      </c>
      <c r="P820" s="88">
        <f t="shared" si="137"/>
        <v>0</v>
      </c>
      <c r="Q820" s="88">
        <f t="shared" si="138"/>
        <v>0</v>
      </c>
      <c r="R820" s="88" t="e">
        <f>-IF(Tabla14[[#This Row],[DIAS HABILES O MORA]]&lt;0,(Tabla14[[#This Row],[VALOR PRESTAMO]]*Tabla14[[#This Row],[% INTERES ]]/30*U820))+Tabla14[[#This Row],[VALOR CUOTAS]]</f>
        <v>#VALUE!</v>
      </c>
      <c r="S820" s="88">
        <f>-IF(Tabla14[[#This Row],[DIAS HABILES O MORA]]&lt;0,(Tabla14[[#This Row],[VALOR PRESTAMO]]*Tabla14[[#This Row],[% INTERES ]]/30*U820))</f>
        <v>0</v>
      </c>
      <c r="T820" s="53" t="e">
        <f>Tabla14[[#This Row],[DEUDA CAPITAL]]+Tabla14[[#This Row],[INTERES  CUOTA]]</f>
        <v>#NUM!</v>
      </c>
      <c r="U820" s="61" t="str">
        <f t="shared" si="139"/>
        <v/>
      </c>
    </row>
    <row r="821" spans="9:21" ht="24.75" customHeight="1" x14ac:dyDescent="0.35">
      <c r="I821" s="42">
        <f t="shared" si="130"/>
        <v>0</v>
      </c>
      <c r="J821" s="65" t="e">
        <f t="shared" si="131"/>
        <v>#NUM!</v>
      </c>
      <c r="K821" s="83" t="e">
        <f t="shared" si="132"/>
        <v>#NUM!</v>
      </c>
      <c r="L821" s="83">
        <f t="shared" si="133"/>
        <v>0</v>
      </c>
      <c r="M821" s="110" t="str">
        <f t="shared" si="134"/>
        <v/>
      </c>
      <c r="N821" s="51" t="str">
        <f t="shared" si="135"/>
        <v/>
      </c>
      <c r="O821" s="52" t="str">
        <f t="shared" si="136"/>
        <v/>
      </c>
      <c r="P821" s="88">
        <f t="shared" si="137"/>
        <v>0</v>
      </c>
      <c r="Q821" s="88">
        <f t="shared" si="138"/>
        <v>0</v>
      </c>
      <c r="R821" s="88" t="e">
        <f>-IF(Tabla14[[#This Row],[DIAS HABILES O MORA]]&lt;0,(Tabla14[[#This Row],[VALOR PRESTAMO]]*Tabla14[[#This Row],[% INTERES ]]/30*U821))+Tabla14[[#This Row],[VALOR CUOTAS]]</f>
        <v>#VALUE!</v>
      </c>
      <c r="S821" s="88">
        <f>-IF(Tabla14[[#This Row],[DIAS HABILES O MORA]]&lt;0,(Tabla14[[#This Row],[VALOR PRESTAMO]]*Tabla14[[#This Row],[% INTERES ]]/30*U821))</f>
        <v>0</v>
      </c>
      <c r="T821" s="53" t="e">
        <f>Tabla14[[#This Row],[DEUDA CAPITAL]]+Tabla14[[#This Row],[INTERES  CUOTA]]</f>
        <v>#NUM!</v>
      </c>
      <c r="U821" s="61" t="str">
        <f t="shared" si="139"/>
        <v/>
      </c>
    </row>
    <row r="822" spans="9:21" ht="24.75" customHeight="1" x14ac:dyDescent="0.35">
      <c r="I822" s="42">
        <f t="shared" si="130"/>
        <v>0</v>
      </c>
      <c r="J822" s="65" t="e">
        <f t="shared" si="131"/>
        <v>#NUM!</v>
      </c>
      <c r="K822" s="83" t="e">
        <f t="shared" si="132"/>
        <v>#NUM!</v>
      </c>
      <c r="L822" s="83">
        <f t="shared" si="133"/>
        <v>0</v>
      </c>
      <c r="M822" s="110" t="str">
        <f t="shared" si="134"/>
        <v/>
      </c>
      <c r="N822" s="51" t="str">
        <f t="shared" si="135"/>
        <v/>
      </c>
      <c r="O822" s="52" t="str">
        <f t="shared" si="136"/>
        <v/>
      </c>
      <c r="P822" s="88">
        <f t="shared" si="137"/>
        <v>0</v>
      </c>
      <c r="Q822" s="88">
        <f t="shared" si="138"/>
        <v>0</v>
      </c>
      <c r="R822" s="88" t="e">
        <f>-IF(Tabla14[[#This Row],[DIAS HABILES O MORA]]&lt;0,(Tabla14[[#This Row],[VALOR PRESTAMO]]*Tabla14[[#This Row],[% INTERES ]]/30*U822))+Tabla14[[#This Row],[VALOR CUOTAS]]</f>
        <v>#VALUE!</v>
      </c>
      <c r="S822" s="88">
        <f>-IF(Tabla14[[#This Row],[DIAS HABILES O MORA]]&lt;0,(Tabla14[[#This Row],[VALOR PRESTAMO]]*Tabla14[[#This Row],[% INTERES ]]/30*U822))</f>
        <v>0</v>
      </c>
      <c r="T822" s="53" t="e">
        <f>Tabla14[[#This Row],[DEUDA CAPITAL]]+Tabla14[[#This Row],[INTERES  CUOTA]]</f>
        <v>#NUM!</v>
      </c>
      <c r="U822" s="61" t="str">
        <f t="shared" si="139"/>
        <v/>
      </c>
    </row>
    <row r="823" spans="9:21" ht="24.75" customHeight="1" x14ac:dyDescent="0.35">
      <c r="I823" s="42">
        <f t="shared" si="130"/>
        <v>0</v>
      </c>
      <c r="J823" s="65" t="e">
        <f t="shared" si="131"/>
        <v>#NUM!</v>
      </c>
      <c r="K823" s="83" t="e">
        <f t="shared" si="132"/>
        <v>#NUM!</v>
      </c>
      <c r="L823" s="83">
        <f t="shared" si="133"/>
        <v>0</v>
      </c>
      <c r="M823" s="110" t="str">
        <f t="shared" si="134"/>
        <v/>
      </c>
      <c r="N823" s="51" t="str">
        <f t="shared" si="135"/>
        <v/>
      </c>
      <c r="O823" s="52" t="str">
        <f t="shared" si="136"/>
        <v/>
      </c>
      <c r="P823" s="88">
        <f t="shared" si="137"/>
        <v>0</v>
      </c>
      <c r="Q823" s="88">
        <f t="shared" si="138"/>
        <v>0</v>
      </c>
      <c r="R823" s="88" t="e">
        <f>-IF(Tabla14[[#This Row],[DIAS HABILES O MORA]]&lt;0,(Tabla14[[#This Row],[VALOR PRESTAMO]]*Tabla14[[#This Row],[% INTERES ]]/30*U823))+Tabla14[[#This Row],[VALOR CUOTAS]]</f>
        <v>#VALUE!</v>
      </c>
      <c r="S823" s="88">
        <f>-IF(Tabla14[[#This Row],[DIAS HABILES O MORA]]&lt;0,(Tabla14[[#This Row],[VALOR PRESTAMO]]*Tabla14[[#This Row],[% INTERES ]]/30*U823))</f>
        <v>0</v>
      </c>
      <c r="T823" s="53" t="e">
        <f>Tabla14[[#This Row],[DEUDA CAPITAL]]+Tabla14[[#This Row],[INTERES  CUOTA]]</f>
        <v>#NUM!</v>
      </c>
      <c r="U823" s="61" t="str">
        <f t="shared" si="139"/>
        <v/>
      </c>
    </row>
    <row r="824" spans="9:21" ht="24.75" customHeight="1" x14ac:dyDescent="0.35">
      <c r="I824" s="42">
        <f t="shared" si="130"/>
        <v>0</v>
      </c>
      <c r="J824" s="65" t="e">
        <f t="shared" si="131"/>
        <v>#NUM!</v>
      </c>
      <c r="K824" s="83" t="e">
        <f t="shared" si="132"/>
        <v>#NUM!</v>
      </c>
      <c r="L824" s="83">
        <f t="shared" si="133"/>
        <v>0</v>
      </c>
      <c r="M824" s="110" t="str">
        <f t="shared" si="134"/>
        <v/>
      </c>
      <c r="N824" s="51" t="str">
        <f t="shared" si="135"/>
        <v/>
      </c>
      <c r="O824" s="52" t="str">
        <f t="shared" si="136"/>
        <v/>
      </c>
      <c r="P824" s="88">
        <f t="shared" si="137"/>
        <v>0</v>
      </c>
      <c r="Q824" s="88">
        <f t="shared" si="138"/>
        <v>0</v>
      </c>
      <c r="R824" s="88" t="e">
        <f>-IF(Tabla14[[#This Row],[DIAS HABILES O MORA]]&lt;0,(Tabla14[[#This Row],[VALOR PRESTAMO]]*Tabla14[[#This Row],[% INTERES ]]/30*U824))+Tabla14[[#This Row],[VALOR CUOTAS]]</f>
        <v>#VALUE!</v>
      </c>
      <c r="S824" s="88">
        <f>-IF(Tabla14[[#This Row],[DIAS HABILES O MORA]]&lt;0,(Tabla14[[#This Row],[VALOR PRESTAMO]]*Tabla14[[#This Row],[% INTERES ]]/30*U824))</f>
        <v>0</v>
      </c>
      <c r="T824" s="53" t="e">
        <f>Tabla14[[#This Row],[DEUDA CAPITAL]]+Tabla14[[#This Row],[INTERES  CUOTA]]</f>
        <v>#NUM!</v>
      </c>
      <c r="U824" s="61" t="str">
        <f t="shared" si="139"/>
        <v/>
      </c>
    </row>
    <row r="825" spans="9:21" ht="24.75" customHeight="1" x14ac:dyDescent="0.35">
      <c r="I825" s="42">
        <f t="shared" si="130"/>
        <v>0</v>
      </c>
      <c r="J825" s="65" t="e">
        <f t="shared" si="131"/>
        <v>#NUM!</v>
      </c>
      <c r="K825" s="83" t="e">
        <f t="shared" si="132"/>
        <v>#NUM!</v>
      </c>
      <c r="L825" s="83">
        <f t="shared" si="133"/>
        <v>0</v>
      </c>
      <c r="M825" s="110" t="str">
        <f t="shared" si="134"/>
        <v/>
      </c>
      <c r="N825" s="51" t="str">
        <f t="shared" si="135"/>
        <v/>
      </c>
      <c r="O825" s="52" t="str">
        <f t="shared" si="136"/>
        <v/>
      </c>
      <c r="P825" s="88">
        <f t="shared" si="137"/>
        <v>0</v>
      </c>
      <c r="Q825" s="88">
        <f t="shared" si="138"/>
        <v>0</v>
      </c>
      <c r="R825" s="88" t="e">
        <f>-IF(Tabla14[[#This Row],[DIAS HABILES O MORA]]&lt;0,(Tabla14[[#This Row],[VALOR PRESTAMO]]*Tabla14[[#This Row],[% INTERES ]]/30*U825))+Tabla14[[#This Row],[VALOR CUOTAS]]</f>
        <v>#VALUE!</v>
      </c>
      <c r="S825" s="88">
        <f>-IF(Tabla14[[#This Row],[DIAS HABILES O MORA]]&lt;0,(Tabla14[[#This Row],[VALOR PRESTAMO]]*Tabla14[[#This Row],[% INTERES ]]/30*U825))</f>
        <v>0</v>
      </c>
      <c r="T825" s="53" t="e">
        <f>Tabla14[[#This Row],[DEUDA CAPITAL]]+Tabla14[[#This Row],[INTERES  CUOTA]]</f>
        <v>#NUM!</v>
      </c>
      <c r="U825" s="61" t="str">
        <f t="shared" si="139"/>
        <v/>
      </c>
    </row>
    <row r="826" spans="9:21" ht="24.75" customHeight="1" x14ac:dyDescent="0.35">
      <c r="I826" s="42">
        <f t="shared" si="130"/>
        <v>0</v>
      </c>
      <c r="J826" s="65" t="e">
        <f t="shared" si="131"/>
        <v>#NUM!</v>
      </c>
      <c r="K826" s="83" t="e">
        <f t="shared" si="132"/>
        <v>#NUM!</v>
      </c>
      <c r="L826" s="83">
        <f t="shared" si="133"/>
        <v>0</v>
      </c>
      <c r="M826" s="110" t="str">
        <f t="shared" si="134"/>
        <v/>
      </c>
      <c r="N826" s="51" t="str">
        <f t="shared" si="135"/>
        <v/>
      </c>
      <c r="O826" s="52" t="str">
        <f t="shared" si="136"/>
        <v/>
      </c>
      <c r="P826" s="88">
        <f t="shared" si="137"/>
        <v>0</v>
      </c>
      <c r="Q826" s="88">
        <f t="shared" si="138"/>
        <v>0</v>
      </c>
      <c r="R826" s="88" t="e">
        <f>-IF(Tabla14[[#This Row],[DIAS HABILES O MORA]]&lt;0,(Tabla14[[#This Row],[VALOR PRESTAMO]]*Tabla14[[#This Row],[% INTERES ]]/30*U826))+Tabla14[[#This Row],[VALOR CUOTAS]]</f>
        <v>#VALUE!</v>
      </c>
      <c r="S826" s="88">
        <f>-IF(Tabla14[[#This Row],[DIAS HABILES O MORA]]&lt;0,(Tabla14[[#This Row],[VALOR PRESTAMO]]*Tabla14[[#This Row],[% INTERES ]]/30*U826))</f>
        <v>0</v>
      </c>
      <c r="T826" s="53" t="e">
        <f>Tabla14[[#This Row],[DEUDA CAPITAL]]+Tabla14[[#This Row],[INTERES  CUOTA]]</f>
        <v>#NUM!</v>
      </c>
      <c r="U826" s="61" t="str">
        <f t="shared" si="139"/>
        <v/>
      </c>
    </row>
    <row r="827" spans="9:21" ht="24.75" customHeight="1" x14ac:dyDescent="0.35">
      <c r="I827" s="42">
        <f t="shared" si="130"/>
        <v>0</v>
      </c>
      <c r="J827" s="65" t="e">
        <f t="shared" si="131"/>
        <v>#NUM!</v>
      </c>
      <c r="K827" s="83" t="e">
        <f t="shared" si="132"/>
        <v>#NUM!</v>
      </c>
      <c r="L827" s="83">
        <f t="shared" si="133"/>
        <v>0</v>
      </c>
      <c r="M827" s="110" t="str">
        <f t="shared" si="134"/>
        <v/>
      </c>
      <c r="N827" s="51" t="str">
        <f t="shared" si="135"/>
        <v/>
      </c>
      <c r="O827" s="52" t="str">
        <f t="shared" si="136"/>
        <v/>
      </c>
      <c r="P827" s="88">
        <f t="shared" si="137"/>
        <v>0</v>
      </c>
      <c r="Q827" s="88">
        <f t="shared" si="138"/>
        <v>0</v>
      </c>
      <c r="R827" s="88" t="e">
        <f>-IF(Tabla14[[#This Row],[DIAS HABILES O MORA]]&lt;0,(Tabla14[[#This Row],[VALOR PRESTAMO]]*Tabla14[[#This Row],[% INTERES ]]/30*U827))+Tabla14[[#This Row],[VALOR CUOTAS]]</f>
        <v>#VALUE!</v>
      </c>
      <c r="S827" s="88">
        <f>-IF(Tabla14[[#This Row],[DIAS HABILES O MORA]]&lt;0,(Tabla14[[#This Row],[VALOR PRESTAMO]]*Tabla14[[#This Row],[% INTERES ]]/30*U827))</f>
        <v>0</v>
      </c>
      <c r="T827" s="53" t="e">
        <f>Tabla14[[#This Row],[DEUDA CAPITAL]]+Tabla14[[#This Row],[INTERES  CUOTA]]</f>
        <v>#NUM!</v>
      </c>
      <c r="U827" s="61" t="str">
        <f t="shared" si="139"/>
        <v/>
      </c>
    </row>
    <row r="828" spans="9:21" ht="24.75" customHeight="1" x14ac:dyDescent="0.35">
      <c r="I828" s="42">
        <f t="shared" si="130"/>
        <v>0</v>
      </c>
      <c r="J828" s="65" t="e">
        <f t="shared" si="131"/>
        <v>#NUM!</v>
      </c>
      <c r="K828" s="83" t="e">
        <f t="shared" si="132"/>
        <v>#NUM!</v>
      </c>
      <c r="L828" s="83">
        <f t="shared" si="133"/>
        <v>0</v>
      </c>
      <c r="M828" s="110" t="str">
        <f t="shared" si="134"/>
        <v/>
      </c>
      <c r="N828" s="51" t="str">
        <f t="shared" si="135"/>
        <v/>
      </c>
      <c r="O828" s="52" t="str">
        <f t="shared" si="136"/>
        <v/>
      </c>
      <c r="P828" s="88">
        <f t="shared" si="137"/>
        <v>0</v>
      </c>
      <c r="Q828" s="88">
        <f t="shared" si="138"/>
        <v>0</v>
      </c>
      <c r="R828" s="88" t="e">
        <f>-IF(Tabla14[[#This Row],[DIAS HABILES O MORA]]&lt;0,(Tabla14[[#This Row],[VALOR PRESTAMO]]*Tabla14[[#This Row],[% INTERES ]]/30*U828))+Tabla14[[#This Row],[VALOR CUOTAS]]</f>
        <v>#VALUE!</v>
      </c>
      <c r="S828" s="88">
        <f>-IF(Tabla14[[#This Row],[DIAS HABILES O MORA]]&lt;0,(Tabla14[[#This Row],[VALOR PRESTAMO]]*Tabla14[[#This Row],[% INTERES ]]/30*U828))</f>
        <v>0</v>
      </c>
      <c r="T828" s="53" t="e">
        <f>Tabla14[[#This Row],[DEUDA CAPITAL]]+Tabla14[[#This Row],[INTERES  CUOTA]]</f>
        <v>#NUM!</v>
      </c>
      <c r="U828" s="61" t="str">
        <f t="shared" si="139"/>
        <v/>
      </c>
    </row>
    <row r="829" spans="9:21" ht="24.75" customHeight="1" x14ac:dyDescent="0.35">
      <c r="I829" s="42">
        <f t="shared" si="130"/>
        <v>0</v>
      </c>
      <c r="J829" s="65" t="e">
        <f t="shared" si="131"/>
        <v>#NUM!</v>
      </c>
      <c r="K829" s="83" t="e">
        <f t="shared" si="132"/>
        <v>#NUM!</v>
      </c>
      <c r="L829" s="83">
        <f t="shared" si="133"/>
        <v>0</v>
      </c>
      <c r="M829" s="110" t="str">
        <f t="shared" si="134"/>
        <v/>
      </c>
      <c r="N829" s="51" t="str">
        <f t="shared" si="135"/>
        <v/>
      </c>
      <c r="O829" s="52" t="str">
        <f t="shared" si="136"/>
        <v/>
      </c>
      <c r="P829" s="88">
        <f t="shared" si="137"/>
        <v>0</v>
      </c>
      <c r="Q829" s="88">
        <f t="shared" si="138"/>
        <v>0</v>
      </c>
      <c r="R829" s="88" t="e">
        <f>-IF(Tabla14[[#This Row],[DIAS HABILES O MORA]]&lt;0,(Tabla14[[#This Row],[VALOR PRESTAMO]]*Tabla14[[#This Row],[% INTERES ]]/30*U829))+Tabla14[[#This Row],[VALOR CUOTAS]]</f>
        <v>#VALUE!</v>
      </c>
      <c r="S829" s="88">
        <f>-IF(Tabla14[[#This Row],[DIAS HABILES O MORA]]&lt;0,(Tabla14[[#This Row],[VALOR PRESTAMO]]*Tabla14[[#This Row],[% INTERES ]]/30*U829))</f>
        <v>0</v>
      </c>
      <c r="T829" s="53" t="e">
        <f>Tabla14[[#This Row],[DEUDA CAPITAL]]+Tabla14[[#This Row],[INTERES  CUOTA]]</f>
        <v>#NUM!</v>
      </c>
      <c r="U829" s="61" t="str">
        <f t="shared" si="139"/>
        <v/>
      </c>
    </row>
    <row r="830" spans="9:21" ht="24.75" customHeight="1" x14ac:dyDescent="0.35">
      <c r="I830" s="42">
        <f t="shared" si="130"/>
        <v>0</v>
      </c>
      <c r="J830" s="65" t="e">
        <f t="shared" si="131"/>
        <v>#NUM!</v>
      </c>
      <c r="K830" s="83" t="e">
        <f t="shared" si="132"/>
        <v>#NUM!</v>
      </c>
      <c r="L830" s="83">
        <f t="shared" si="133"/>
        <v>0</v>
      </c>
      <c r="M830" s="110" t="str">
        <f t="shared" si="134"/>
        <v/>
      </c>
      <c r="N830" s="51" t="str">
        <f t="shared" si="135"/>
        <v/>
      </c>
      <c r="O830" s="52" t="str">
        <f t="shared" si="136"/>
        <v/>
      </c>
      <c r="P830" s="88">
        <f t="shared" si="137"/>
        <v>0</v>
      </c>
      <c r="Q830" s="88">
        <f t="shared" si="138"/>
        <v>0</v>
      </c>
      <c r="R830" s="88" t="e">
        <f>-IF(Tabla14[[#This Row],[DIAS HABILES O MORA]]&lt;0,(Tabla14[[#This Row],[VALOR PRESTAMO]]*Tabla14[[#This Row],[% INTERES ]]/30*U830))+Tabla14[[#This Row],[VALOR CUOTAS]]</f>
        <v>#VALUE!</v>
      </c>
      <c r="S830" s="88">
        <f>-IF(Tabla14[[#This Row],[DIAS HABILES O MORA]]&lt;0,(Tabla14[[#This Row],[VALOR PRESTAMO]]*Tabla14[[#This Row],[% INTERES ]]/30*U830))</f>
        <v>0</v>
      </c>
      <c r="T830" s="53" t="e">
        <f>Tabla14[[#This Row],[DEUDA CAPITAL]]+Tabla14[[#This Row],[INTERES  CUOTA]]</f>
        <v>#NUM!</v>
      </c>
      <c r="U830" s="61" t="str">
        <f t="shared" si="139"/>
        <v/>
      </c>
    </row>
    <row r="831" spans="9:21" ht="24.75" customHeight="1" x14ac:dyDescent="0.35">
      <c r="I831" s="42">
        <f t="shared" si="130"/>
        <v>0</v>
      </c>
      <c r="J831" s="65" t="e">
        <f t="shared" si="131"/>
        <v>#NUM!</v>
      </c>
      <c r="K831" s="83" t="e">
        <f t="shared" si="132"/>
        <v>#NUM!</v>
      </c>
      <c r="L831" s="83">
        <f t="shared" si="133"/>
        <v>0</v>
      </c>
      <c r="M831" s="110" t="str">
        <f t="shared" si="134"/>
        <v/>
      </c>
      <c r="N831" s="51" t="str">
        <f t="shared" si="135"/>
        <v/>
      </c>
      <c r="O831" s="52" t="str">
        <f t="shared" si="136"/>
        <v/>
      </c>
      <c r="P831" s="88">
        <f t="shared" si="137"/>
        <v>0</v>
      </c>
      <c r="Q831" s="88">
        <f t="shared" si="138"/>
        <v>0</v>
      </c>
      <c r="R831" s="88" t="e">
        <f>-IF(Tabla14[[#This Row],[DIAS HABILES O MORA]]&lt;0,(Tabla14[[#This Row],[VALOR PRESTAMO]]*Tabla14[[#This Row],[% INTERES ]]/30*U831))+Tabla14[[#This Row],[VALOR CUOTAS]]</f>
        <v>#VALUE!</v>
      </c>
      <c r="S831" s="88">
        <f>-IF(Tabla14[[#This Row],[DIAS HABILES O MORA]]&lt;0,(Tabla14[[#This Row],[VALOR PRESTAMO]]*Tabla14[[#This Row],[% INTERES ]]/30*U831))</f>
        <v>0</v>
      </c>
      <c r="T831" s="53" t="e">
        <f>Tabla14[[#This Row],[DEUDA CAPITAL]]+Tabla14[[#This Row],[INTERES  CUOTA]]</f>
        <v>#NUM!</v>
      </c>
      <c r="U831" s="61" t="str">
        <f t="shared" si="139"/>
        <v/>
      </c>
    </row>
    <row r="832" spans="9:21" ht="24.75" customHeight="1" x14ac:dyDescent="0.35">
      <c r="I832" s="42">
        <f t="shared" si="130"/>
        <v>0</v>
      </c>
      <c r="J832" s="65" t="e">
        <f t="shared" si="131"/>
        <v>#NUM!</v>
      </c>
      <c r="K832" s="83" t="e">
        <f t="shared" si="132"/>
        <v>#NUM!</v>
      </c>
      <c r="L832" s="83">
        <f t="shared" si="133"/>
        <v>0</v>
      </c>
      <c r="M832" s="110" t="str">
        <f t="shared" si="134"/>
        <v/>
      </c>
      <c r="N832" s="51" t="str">
        <f t="shared" si="135"/>
        <v/>
      </c>
      <c r="O832" s="52" t="str">
        <f t="shared" si="136"/>
        <v/>
      </c>
      <c r="P832" s="88">
        <f t="shared" si="137"/>
        <v>0</v>
      </c>
      <c r="Q832" s="88">
        <f t="shared" si="138"/>
        <v>0</v>
      </c>
      <c r="R832" s="88" t="e">
        <f>-IF(Tabla14[[#This Row],[DIAS HABILES O MORA]]&lt;0,(Tabla14[[#This Row],[VALOR PRESTAMO]]*Tabla14[[#This Row],[% INTERES ]]/30*U832))+Tabla14[[#This Row],[VALOR CUOTAS]]</f>
        <v>#VALUE!</v>
      </c>
      <c r="S832" s="88">
        <f>-IF(Tabla14[[#This Row],[DIAS HABILES O MORA]]&lt;0,(Tabla14[[#This Row],[VALOR PRESTAMO]]*Tabla14[[#This Row],[% INTERES ]]/30*U832))</f>
        <v>0</v>
      </c>
      <c r="T832" s="53" t="e">
        <f>Tabla14[[#This Row],[DEUDA CAPITAL]]+Tabla14[[#This Row],[INTERES  CUOTA]]</f>
        <v>#NUM!</v>
      </c>
      <c r="U832" s="61" t="str">
        <f t="shared" si="139"/>
        <v/>
      </c>
    </row>
    <row r="833" spans="9:21" ht="24.75" customHeight="1" x14ac:dyDescent="0.35">
      <c r="I833" s="42">
        <f t="shared" si="130"/>
        <v>0</v>
      </c>
      <c r="J833" s="65" t="e">
        <f t="shared" si="131"/>
        <v>#NUM!</v>
      </c>
      <c r="K833" s="83" t="e">
        <f t="shared" si="132"/>
        <v>#NUM!</v>
      </c>
      <c r="L833" s="83">
        <f t="shared" si="133"/>
        <v>0</v>
      </c>
      <c r="M833" s="110" t="str">
        <f t="shared" si="134"/>
        <v/>
      </c>
      <c r="N833" s="51" t="str">
        <f t="shared" si="135"/>
        <v/>
      </c>
      <c r="O833" s="52" t="str">
        <f t="shared" si="136"/>
        <v/>
      </c>
      <c r="P833" s="88">
        <f t="shared" si="137"/>
        <v>0</v>
      </c>
      <c r="Q833" s="88">
        <f t="shared" si="138"/>
        <v>0</v>
      </c>
      <c r="R833" s="88" t="e">
        <f>-IF(Tabla14[[#This Row],[DIAS HABILES O MORA]]&lt;0,(Tabla14[[#This Row],[VALOR PRESTAMO]]*Tabla14[[#This Row],[% INTERES ]]/30*U833))+Tabla14[[#This Row],[VALOR CUOTAS]]</f>
        <v>#VALUE!</v>
      </c>
      <c r="S833" s="88">
        <f>-IF(Tabla14[[#This Row],[DIAS HABILES O MORA]]&lt;0,(Tabla14[[#This Row],[VALOR PRESTAMO]]*Tabla14[[#This Row],[% INTERES ]]/30*U833))</f>
        <v>0</v>
      </c>
      <c r="T833" s="53" t="e">
        <f>Tabla14[[#This Row],[DEUDA CAPITAL]]+Tabla14[[#This Row],[INTERES  CUOTA]]</f>
        <v>#NUM!</v>
      </c>
      <c r="U833" s="61" t="str">
        <f t="shared" si="139"/>
        <v/>
      </c>
    </row>
    <row r="834" spans="9:21" ht="24.75" customHeight="1" x14ac:dyDescent="0.35">
      <c r="I834" s="42">
        <f t="shared" si="130"/>
        <v>0</v>
      </c>
      <c r="J834" s="65" t="e">
        <f t="shared" si="131"/>
        <v>#NUM!</v>
      </c>
      <c r="K834" s="83" t="e">
        <f t="shared" si="132"/>
        <v>#NUM!</v>
      </c>
      <c r="L834" s="83">
        <f t="shared" si="133"/>
        <v>0</v>
      </c>
      <c r="M834" s="110" t="str">
        <f t="shared" si="134"/>
        <v/>
      </c>
      <c r="N834" s="51" t="str">
        <f t="shared" si="135"/>
        <v/>
      </c>
      <c r="O834" s="52" t="str">
        <f t="shared" si="136"/>
        <v/>
      </c>
      <c r="P834" s="88">
        <f t="shared" si="137"/>
        <v>0</v>
      </c>
      <c r="Q834" s="88">
        <f t="shared" si="138"/>
        <v>0</v>
      </c>
      <c r="R834" s="88" t="e">
        <f>-IF(Tabla14[[#This Row],[DIAS HABILES O MORA]]&lt;0,(Tabla14[[#This Row],[VALOR PRESTAMO]]*Tabla14[[#This Row],[% INTERES ]]/30*U834))+Tabla14[[#This Row],[VALOR CUOTAS]]</f>
        <v>#VALUE!</v>
      </c>
      <c r="S834" s="88">
        <f>-IF(Tabla14[[#This Row],[DIAS HABILES O MORA]]&lt;0,(Tabla14[[#This Row],[VALOR PRESTAMO]]*Tabla14[[#This Row],[% INTERES ]]/30*U834))</f>
        <v>0</v>
      </c>
      <c r="T834" s="53" t="e">
        <f>Tabla14[[#This Row],[DEUDA CAPITAL]]+Tabla14[[#This Row],[INTERES  CUOTA]]</f>
        <v>#NUM!</v>
      </c>
      <c r="U834" s="61" t="str">
        <f t="shared" si="139"/>
        <v/>
      </c>
    </row>
    <row r="835" spans="9:21" ht="24.75" customHeight="1" x14ac:dyDescent="0.35">
      <c r="I835" s="42">
        <f t="shared" si="130"/>
        <v>0</v>
      </c>
      <c r="J835" s="65" t="e">
        <f t="shared" si="131"/>
        <v>#NUM!</v>
      </c>
      <c r="K835" s="83" t="e">
        <f t="shared" si="132"/>
        <v>#NUM!</v>
      </c>
      <c r="L835" s="83">
        <f t="shared" si="133"/>
        <v>0</v>
      </c>
      <c r="M835" s="110" t="str">
        <f t="shared" si="134"/>
        <v/>
      </c>
      <c r="N835" s="51" t="str">
        <f t="shared" si="135"/>
        <v/>
      </c>
      <c r="O835" s="52" t="str">
        <f t="shared" si="136"/>
        <v/>
      </c>
      <c r="P835" s="88">
        <f t="shared" si="137"/>
        <v>0</v>
      </c>
      <c r="Q835" s="88">
        <f t="shared" si="138"/>
        <v>0</v>
      </c>
      <c r="R835" s="88" t="e">
        <f>-IF(Tabla14[[#This Row],[DIAS HABILES O MORA]]&lt;0,(Tabla14[[#This Row],[VALOR PRESTAMO]]*Tabla14[[#This Row],[% INTERES ]]/30*U835))+Tabla14[[#This Row],[VALOR CUOTAS]]</f>
        <v>#VALUE!</v>
      </c>
      <c r="S835" s="88">
        <f>-IF(Tabla14[[#This Row],[DIAS HABILES O MORA]]&lt;0,(Tabla14[[#This Row],[VALOR PRESTAMO]]*Tabla14[[#This Row],[% INTERES ]]/30*U835))</f>
        <v>0</v>
      </c>
      <c r="T835" s="53" t="e">
        <f>Tabla14[[#This Row],[DEUDA CAPITAL]]+Tabla14[[#This Row],[INTERES  CUOTA]]</f>
        <v>#NUM!</v>
      </c>
      <c r="U835" s="61" t="str">
        <f t="shared" si="139"/>
        <v/>
      </c>
    </row>
    <row r="836" spans="9:21" ht="24.75" customHeight="1" x14ac:dyDescent="0.35">
      <c r="I836" s="42">
        <f t="shared" si="130"/>
        <v>0</v>
      </c>
      <c r="J836" s="65" t="e">
        <f t="shared" si="131"/>
        <v>#NUM!</v>
      </c>
      <c r="K836" s="83" t="e">
        <f t="shared" si="132"/>
        <v>#NUM!</v>
      </c>
      <c r="L836" s="83">
        <f t="shared" si="133"/>
        <v>0</v>
      </c>
      <c r="M836" s="110" t="str">
        <f t="shared" si="134"/>
        <v/>
      </c>
      <c r="N836" s="51" t="str">
        <f t="shared" si="135"/>
        <v/>
      </c>
      <c r="O836" s="52" t="str">
        <f t="shared" si="136"/>
        <v/>
      </c>
      <c r="P836" s="88">
        <f t="shared" si="137"/>
        <v>0</v>
      </c>
      <c r="Q836" s="88">
        <f t="shared" si="138"/>
        <v>0</v>
      </c>
      <c r="R836" s="88" t="e">
        <f>-IF(Tabla14[[#This Row],[DIAS HABILES O MORA]]&lt;0,(Tabla14[[#This Row],[VALOR PRESTAMO]]*Tabla14[[#This Row],[% INTERES ]]/30*U836))+Tabla14[[#This Row],[VALOR CUOTAS]]</f>
        <v>#VALUE!</v>
      </c>
      <c r="S836" s="88">
        <f>-IF(Tabla14[[#This Row],[DIAS HABILES O MORA]]&lt;0,(Tabla14[[#This Row],[VALOR PRESTAMO]]*Tabla14[[#This Row],[% INTERES ]]/30*U836))</f>
        <v>0</v>
      </c>
      <c r="T836" s="53" t="e">
        <f>Tabla14[[#This Row],[DEUDA CAPITAL]]+Tabla14[[#This Row],[INTERES  CUOTA]]</f>
        <v>#NUM!</v>
      </c>
      <c r="U836" s="61" t="str">
        <f t="shared" si="139"/>
        <v/>
      </c>
    </row>
    <row r="837" spans="9:21" ht="24.75" customHeight="1" x14ac:dyDescent="0.35">
      <c r="I837" s="42">
        <f t="shared" si="130"/>
        <v>0</v>
      </c>
      <c r="J837" s="65" t="e">
        <f t="shared" si="131"/>
        <v>#NUM!</v>
      </c>
      <c r="K837" s="83" t="e">
        <f t="shared" si="132"/>
        <v>#NUM!</v>
      </c>
      <c r="L837" s="83">
        <f t="shared" si="133"/>
        <v>0</v>
      </c>
      <c r="M837" s="110" t="str">
        <f t="shared" si="134"/>
        <v/>
      </c>
      <c r="N837" s="51" t="str">
        <f t="shared" si="135"/>
        <v/>
      </c>
      <c r="O837" s="52" t="str">
        <f t="shared" si="136"/>
        <v/>
      </c>
      <c r="P837" s="88">
        <f t="shared" si="137"/>
        <v>0</v>
      </c>
      <c r="Q837" s="88">
        <f t="shared" si="138"/>
        <v>0</v>
      </c>
      <c r="R837" s="88" t="e">
        <f>-IF(Tabla14[[#This Row],[DIAS HABILES O MORA]]&lt;0,(Tabla14[[#This Row],[VALOR PRESTAMO]]*Tabla14[[#This Row],[% INTERES ]]/30*U837))+Tabla14[[#This Row],[VALOR CUOTAS]]</f>
        <v>#VALUE!</v>
      </c>
      <c r="S837" s="88">
        <f>-IF(Tabla14[[#This Row],[DIAS HABILES O MORA]]&lt;0,(Tabla14[[#This Row],[VALOR PRESTAMO]]*Tabla14[[#This Row],[% INTERES ]]/30*U837))</f>
        <v>0</v>
      </c>
      <c r="T837" s="53" t="e">
        <f>Tabla14[[#This Row],[DEUDA CAPITAL]]+Tabla14[[#This Row],[INTERES  CUOTA]]</f>
        <v>#NUM!</v>
      </c>
      <c r="U837" s="61" t="str">
        <f t="shared" si="139"/>
        <v/>
      </c>
    </row>
    <row r="838" spans="9:21" ht="24.75" customHeight="1" x14ac:dyDescent="0.35">
      <c r="I838" s="42">
        <f t="shared" si="130"/>
        <v>0</v>
      </c>
      <c r="J838" s="65" t="e">
        <f t="shared" si="131"/>
        <v>#NUM!</v>
      </c>
      <c r="K838" s="83" t="e">
        <f t="shared" si="132"/>
        <v>#NUM!</v>
      </c>
      <c r="L838" s="83">
        <f t="shared" si="133"/>
        <v>0</v>
      </c>
      <c r="M838" s="110" t="str">
        <f t="shared" si="134"/>
        <v/>
      </c>
      <c r="N838" s="51" t="str">
        <f t="shared" si="135"/>
        <v/>
      </c>
      <c r="O838" s="52" t="str">
        <f t="shared" si="136"/>
        <v/>
      </c>
      <c r="P838" s="88">
        <f t="shared" si="137"/>
        <v>0</v>
      </c>
      <c r="Q838" s="88">
        <f t="shared" si="138"/>
        <v>0</v>
      </c>
      <c r="R838" s="88" t="e">
        <f>-IF(Tabla14[[#This Row],[DIAS HABILES O MORA]]&lt;0,(Tabla14[[#This Row],[VALOR PRESTAMO]]*Tabla14[[#This Row],[% INTERES ]]/30*U838))+Tabla14[[#This Row],[VALOR CUOTAS]]</f>
        <v>#VALUE!</v>
      </c>
      <c r="S838" s="88">
        <f>-IF(Tabla14[[#This Row],[DIAS HABILES O MORA]]&lt;0,(Tabla14[[#This Row],[VALOR PRESTAMO]]*Tabla14[[#This Row],[% INTERES ]]/30*U838))</f>
        <v>0</v>
      </c>
      <c r="T838" s="53" t="e">
        <f>Tabla14[[#This Row],[DEUDA CAPITAL]]+Tabla14[[#This Row],[INTERES  CUOTA]]</f>
        <v>#NUM!</v>
      </c>
      <c r="U838" s="61" t="str">
        <f t="shared" si="139"/>
        <v/>
      </c>
    </row>
    <row r="839" spans="9:21" ht="24.75" customHeight="1" x14ac:dyDescent="0.35">
      <c r="I839" s="42">
        <f t="shared" si="130"/>
        <v>0</v>
      </c>
      <c r="J839" s="65" t="e">
        <f t="shared" si="131"/>
        <v>#NUM!</v>
      </c>
      <c r="K839" s="83" t="e">
        <f t="shared" si="132"/>
        <v>#NUM!</v>
      </c>
      <c r="L839" s="83">
        <f t="shared" si="133"/>
        <v>0</v>
      </c>
      <c r="M839" s="110" t="str">
        <f t="shared" si="134"/>
        <v/>
      </c>
      <c r="N839" s="51" t="str">
        <f t="shared" si="135"/>
        <v/>
      </c>
      <c r="O839" s="52" t="str">
        <f t="shared" si="136"/>
        <v/>
      </c>
      <c r="P839" s="88">
        <f t="shared" si="137"/>
        <v>0</v>
      </c>
      <c r="Q839" s="88">
        <f t="shared" si="138"/>
        <v>0</v>
      </c>
      <c r="R839" s="88" t="e">
        <f>-IF(Tabla14[[#This Row],[DIAS HABILES O MORA]]&lt;0,(Tabla14[[#This Row],[VALOR PRESTAMO]]*Tabla14[[#This Row],[% INTERES ]]/30*U839))+Tabla14[[#This Row],[VALOR CUOTAS]]</f>
        <v>#VALUE!</v>
      </c>
      <c r="S839" s="88">
        <f>-IF(Tabla14[[#This Row],[DIAS HABILES O MORA]]&lt;0,(Tabla14[[#This Row],[VALOR PRESTAMO]]*Tabla14[[#This Row],[% INTERES ]]/30*U839))</f>
        <v>0</v>
      </c>
      <c r="T839" s="53" t="e">
        <f>Tabla14[[#This Row],[DEUDA CAPITAL]]+Tabla14[[#This Row],[INTERES  CUOTA]]</f>
        <v>#NUM!</v>
      </c>
      <c r="U839" s="61" t="str">
        <f t="shared" si="139"/>
        <v/>
      </c>
    </row>
    <row r="840" spans="9:21" ht="24.75" customHeight="1" x14ac:dyDescent="0.35">
      <c r="I840" s="42">
        <f t="shared" si="130"/>
        <v>0</v>
      </c>
      <c r="J840" s="65" t="e">
        <f t="shared" si="131"/>
        <v>#NUM!</v>
      </c>
      <c r="K840" s="83" t="e">
        <f t="shared" si="132"/>
        <v>#NUM!</v>
      </c>
      <c r="L840" s="83">
        <f t="shared" si="133"/>
        <v>0</v>
      </c>
      <c r="M840" s="110" t="str">
        <f t="shared" si="134"/>
        <v/>
      </c>
      <c r="N840" s="51" t="str">
        <f t="shared" si="135"/>
        <v/>
      </c>
      <c r="O840" s="52" t="str">
        <f t="shared" si="136"/>
        <v/>
      </c>
      <c r="P840" s="88">
        <f t="shared" si="137"/>
        <v>0</v>
      </c>
      <c r="Q840" s="88">
        <f t="shared" si="138"/>
        <v>0</v>
      </c>
      <c r="R840" s="88" t="e">
        <f>-IF(Tabla14[[#This Row],[DIAS HABILES O MORA]]&lt;0,(Tabla14[[#This Row],[VALOR PRESTAMO]]*Tabla14[[#This Row],[% INTERES ]]/30*U840))+Tabla14[[#This Row],[VALOR CUOTAS]]</f>
        <v>#VALUE!</v>
      </c>
      <c r="S840" s="88">
        <f>-IF(Tabla14[[#This Row],[DIAS HABILES O MORA]]&lt;0,(Tabla14[[#This Row],[VALOR PRESTAMO]]*Tabla14[[#This Row],[% INTERES ]]/30*U840))</f>
        <v>0</v>
      </c>
      <c r="T840" s="53" t="e">
        <f>Tabla14[[#This Row],[DEUDA CAPITAL]]+Tabla14[[#This Row],[INTERES  CUOTA]]</f>
        <v>#NUM!</v>
      </c>
      <c r="U840" s="61" t="str">
        <f t="shared" si="139"/>
        <v/>
      </c>
    </row>
    <row r="841" spans="9:21" ht="24.75" customHeight="1" x14ac:dyDescent="0.35">
      <c r="I841" s="42">
        <f t="shared" si="130"/>
        <v>0</v>
      </c>
      <c r="J841" s="65" t="e">
        <f t="shared" si="131"/>
        <v>#NUM!</v>
      </c>
      <c r="K841" s="83" t="e">
        <f t="shared" si="132"/>
        <v>#NUM!</v>
      </c>
      <c r="L841" s="83">
        <f t="shared" si="133"/>
        <v>0</v>
      </c>
      <c r="M841" s="110" t="str">
        <f t="shared" si="134"/>
        <v/>
      </c>
      <c r="N841" s="51" t="str">
        <f t="shared" si="135"/>
        <v/>
      </c>
      <c r="O841" s="52" t="str">
        <f t="shared" si="136"/>
        <v/>
      </c>
      <c r="P841" s="88">
        <f t="shared" si="137"/>
        <v>0</v>
      </c>
      <c r="Q841" s="88">
        <f t="shared" si="138"/>
        <v>0</v>
      </c>
      <c r="R841" s="88" t="e">
        <f>-IF(Tabla14[[#This Row],[DIAS HABILES O MORA]]&lt;0,(Tabla14[[#This Row],[VALOR PRESTAMO]]*Tabla14[[#This Row],[% INTERES ]]/30*U841))+Tabla14[[#This Row],[VALOR CUOTAS]]</f>
        <v>#VALUE!</v>
      </c>
      <c r="S841" s="88">
        <f>-IF(Tabla14[[#This Row],[DIAS HABILES O MORA]]&lt;0,(Tabla14[[#This Row],[VALOR PRESTAMO]]*Tabla14[[#This Row],[% INTERES ]]/30*U841))</f>
        <v>0</v>
      </c>
      <c r="T841" s="53" t="e">
        <f>Tabla14[[#This Row],[DEUDA CAPITAL]]+Tabla14[[#This Row],[INTERES  CUOTA]]</f>
        <v>#NUM!</v>
      </c>
      <c r="U841" s="61" t="str">
        <f t="shared" si="139"/>
        <v/>
      </c>
    </row>
    <row r="842" spans="9:21" ht="24.75" customHeight="1" x14ac:dyDescent="0.35">
      <c r="I842" s="42">
        <f t="shared" si="130"/>
        <v>0</v>
      </c>
      <c r="J842" s="65" t="e">
        <f t="shared" si="131"/>
        <v>#NUM!</v>
      </c>
      <c r="K842" s="83" t="e">
        <f t="shared" si="132"/>
        <v>#NUM!</v>
      </c>
      <c r="L842" s="83">
        <f t="shared" si="133"/>
        <v>0</v>
      </c>
      <c r="M842" s="110" t="str">
        <f t="shared" si="134"/>
        <v/>
      </c>
      <c r="N842" s="51" t="str">
        <f t="shared" si="135"/>
        <v/>
      </c>
      <c r="O842" s="52" t="str">
        <f t="shared" si="136"/>
        <v/>
      </c>
      <c r="P842" s="88">
        <f t="shared" si="137"/>
        <v>0</v>
      </c>
      <c r="Q842" s="88">
        <f t="shared" si="138"/>
        <v>0</v>
      </c>
      <c r="R842" s="88" t="e">
        <f>-IF(Tabla14[[#This Row],[DIAS HABILES O MORA]]&lt;0,(Tabla14[[#This Row],[VALOR PRESTAMO]]*Tabla14[[#This Row],[% INTERES ]]/30*U842))+Tabla14[[#This Row],[VALOR CUOTAS]]</f>
        <v>#VALUE!</v>
      </c>
      <c r="S842" s="88">
        <f>-IF(Tabla14[[#This Row],[DIAS HABILES O MORA]]&lt;0,(Tabla14[[#This Row],[VALOR PRESTAMO]]*Tabla14[[#This Row],[% INTERES ]]/30*U842))</f>
        <v>0</v>
      </c>
      <c r="T842" s="53" t="e">
        <f>Tabla14[[#This Row],[DEUDA CAPITAL]]+Tabla14[[#This Row],[INTERES  CUOTA]]</f>
        <v>#NUM!</v>
      </c>
      <c r="U842" s="61" t="str">
        <f t="shared" si="139"/>
        <v/>
      </c>
    </row>
    <row r="843" spans="9:21" ht="24.75" customHeight="1" x14ac:dyDescent="0.35">
      <c r="I843" s="42">
        <f t="shared" si="130"/>
        <v>0</v>
      </c>
      <c r="J843" s="65" t="e">
        <f t="shared" si="131"/>
        <v>#NUM!</v>
      </c>
      <c r="K843" s="83" t="e">
        <f t="shared" si="132"/>
        <v>#NUM!</v>
      </c>
      <c r="L843" s="83">
        <f t="shared" si="133"/>
        <v>0</v>
      </c>
      <c r="M843" s="110" t="str">
        <f t="shared" si="134"/>
        <v/>
      </c>
      <c r="N843" s="51" t="str">
        <f t="shared" si="135"/>
        <v/>
      </c>
      <c r="O843" s="52" t="str">
        <f t="shared" si="136"/>
        <v/>
      </c>
      <c r="P843" s="88">
        <f t="shared" si="137"/>
        <v>0</v>
      </c>
      <c r="Q843" s="88">
        <f t="shared" si="138"/>
        <v>0</v>
      </c>
      <c r="R843" s="88" t="e">
        <f>-IF(Tabla14[[#This Row],[DIAS HABILES O MORA]]&lt;0,(Tabla14[[#This Row],[VALOR PRESTAMO]]*Tabla14[[#This Row],[% INTERES ]]/30*U843))+Tabla14[[#This Row],[VALOR CUOTAS]]</f>
        <v>#VALUE!</v>
      </c>
      <c r="S843" s="88">
        <f>-IF(Tabla14[[#This Row],[DIAS HABILES O MORA]]&lt;0,(Tabla14[[#This Row],[VALOR PRESTAMO]]*Tabla14[[#This Row],[% INTERES ]]/30*U843))</f>
        <v>0</v>
      </c>
      <c r="T843" s="53" t="e">
        <f>Tabla14[[#This Row],[DEUDA CAPITAL]]+Tabla14[[#This Row],[INTERES  CUOTA]]</f>
        <v>#NUM!</v>
      </c>
      <c r="U843" s="61" t="str">
        <f t="shared" si="139"/>
        <v/>
      </c>
    </row>
    <row r="844" spans="9:21" ht="24.75" customHeight="1" x14ac:dyDescent="0.35">
      <c r="I844" s="42">
        <f t="shared" si="130"/>
        <v>0</v>
      </c>
      <c r="J844" s="65" t="e">
        <f t="shared" si="131"/>
        <v>#NUM!</v>
      </c>
      <c r="K844" s="83" t="e">
        <f t="shared" si="132"/>
        <v>#NUM!</v>
      </c>
      <c r="L844" s="83">
        <f t="shared" si="133"/>
        <v>0</v>
      </c>
      <c r="M844" s="110" t="str">
        <f t="shared" si="134"/>
        <v/>
      </c>
      <c r="N844" s="51" t="str">
        <f t="shared" si="135"/>
        <v/>
      </c>
      <c r="O844" s="52" t="str">
        <f t="shared" si="136"/>
        <v/>
      </c>
      <c r="P844" s="88">
        <f t="shared" si="137"/>
        <v>0</v>
      </c>
      <c r="Q844" s="88">
        <f t="shared" si="138"/>
        <v>0</v>
      </c>
      <c r="R844" s="88" t="e">
        <f>-IF(Tabla14[[#This Row],[DIAS HABILES O MORA]]&lt;0,(Tabla14[[#This Row],[VALOR PRESTAMO]]*Tabla14[[#This Row],[% INTERES ]]/30*U844))+Tabla14[[#This Row],[VALOR CUOTAS]]</f>
        <v>#VALUE!</v>
      </c>
      <c r="S844" s="88">
        <f>-IF(Tabla14[[#This Row],[DIAS HABILES O MORA]]&lt;0,(Tabla14[[#This Row],[VALOR PRESTAMO]]*Tabla14[[#This Row],[% INTERES ]]/30*U844))</f>
        <v>0</v>
      </c>
      <c r="T844" s="53" t="e">
        <f>Tabla14[[#This Row],[DEUDA CAPITAL]]+Tabla14[[#This Row],[INTERES  CUOTA]]</f>
        <v>#NUM!</v>
      </c>
      <c r="U844" s="61" t="str">
        <f t="shared" si="139"/>
        <v/>
      </c>
    </row>
    <row r="845" spans="9:21" ht="24.75" customHeight="1" x14ac:dyDescent="0.35">
      <c r="I845" s="42">
        <f t="shared" si="130"/>
        <v>0</v>
      </c>
      <c r="J845" s="65" t="e">
        <f t="shared" si="131"/>
        <v>#NUM!</v>
      </c>
      <c r="K845" s="83" t="e">
        <f t="shared" si="132"/>
        <v>#NUM!</v>
      </c>
      <c r="L845" s="83">
        <f t="shared" si="133"/>
        <v>0</v>
      </c>
      <c r="M845" s="110" t="str">
        <f t="shared" si="134"/>
        <v/>
      </c>
      <c r="N845" s="51" t="str">
        <f t="shared" si="135"/>
        <v/>
      </c>
      <c r="O845" s="52" t="str">
        <f t="shared" si="136"/>
        <v/>
      </c>
      <c r="P845" s="88">
        <f t="shared" si="137"/>
        <v>0</v>
      </c>
      <c r="Q845" s="88">
        <f t="shared" si="138"/>
        <v>0</v>
      </c>
      <c r="R845" s="88" t="e">
        <f>-IF(Tabla14[[#This Row],[DIAS HABILES O MORA]]&lt;0,(Tabla14[[#This Row],[VALOR PRESTAMO]]*Tabla14[[#This Row],[% INTERES ]]/30*U845))+Tabla14[[#This Row],[VALOR CUOTAS]]</f>
        <v>#VALUE!</v>
      </c>
      <c r="S845" s="88">
        <f>-IF(Tabla14[[#This Row],[DIAS HABILES O MORA]]&lt;0,(Tabla14[[#This Row],[VALOR PRESTAMO]]*Tabla14[[#This Row],[% INTERES ]]/30*U845))</f>
        <v>0</v>
      </c>
      <c r="T845" s="53" t="e">
        <f>Tabla14[[#This Row],[DEUDA CAPITAL]]+Tabla14[[#This Row],[INTERES  CUOTA]]</f>
        <v>#NUM!</v>
      </c>
      <c r="U845" s="61" t="str">
        <f t="shared" si="139"/>
        <v/>
      </c>
    </row>
    <row r="846" spans="9:21" ht="24.75" customHeight="1" x14ac:dyDescent="0.35">
      <c r="I846" s="42">
        <f t="shared" si="130"/>
        <v>0</v>
      </c>
      <c r="J846" s="65" t="e">
        <f t="shared" si="131"/>
        <v>#NUM!</v>
      </c>
      <c r="K846" s="83" t="e">
        <f t="shared" si="132"/>
        <v>#NUM!</v>
      </c>
      <c r="L846" s="83">
        <f t="shared" si="133"/>
        <v>0</v>
      </c>
      <c r="M846" s="110" t="str">
        <f t="shared" si="134"/>
        <v/>
      </c>
      <c r="N846" s="51" t="str">
        <f t="shared" si="135"/>
        <v/>
      </c>
      <c r="O846" s="52" t="str">
        <f t="shared" si="136"/>
        <v/>
      </c>
      <c r="P846" s="88">
        <f t="shared" si="137"/>
        <v>0</v>
      </c>
      <c r="Q846" s="88">
        <f t="shared" si="138"/>
        <v>0</v>
      </c>
      <c r="R846" s="88" t="e">
        <f>-IF(Tabla14[[#This Row],[DIAS HABILES O MORA]]&lt;0,(Tabla14[[#This Row],[VALOR PRESTAMO]]*Tabla14[[#This Row],[% INTERES ]]/30*U846))+Tabla14[[#This Row],[VALOR CUOTAS]]</f>
        <v>#VALUE!</v>
      </c>
      <c r="S846" s="88">
        <f>-IF(Tabla14[[#This Row],[DIAS HABILES O MORA]]&lt;0,(Tabla14[[#This Row],[VALOR PRESTAMO]]*Tabla14[[#This Row],[% INTERES ]]/30*U846))</f>
        <v>0</v>
      </c>
      <c r="T846" s="53" t="e">
        <f>Tabla14[[#This Row],[DEUDA CAPITAL]]+Tabla14[[#This Row],[INTERES  CUOTA]]</f>
        <v>#NUM!</v>
      </c>
      <c r="U846" s="61" t="str">
        <f t="shared" si="139"/>
        <v/>
      </c>
    </row>
    <row r="847" spans="9:21" ht="24.75" customHeight="1" x14ac:dyDescent="0.35">
      <c r="I847" s="42">
        <f t="shared" si="130"/>
        <v>0</v>
      </c>
      <c r="J847" s="65" t="e">
        <f t="shared" si="131"/>
        <v>#NUM!</v>
      </c>
      <c r="K847" s="83" t="e">
        <f t="shared" si="132"/>
        <v>#NUM!</v>
      </c>
      <c r="L847" s="83">
        <f t="shared" si="133"/>
        <v>0</v>
      </c>
      <c r="M847" s="110" t="str">
        <f t="shared" si="134"/>
        <v/>
      </c>
      <c r="N847" s="51" t="str">
        <f t="shared" si="135"/>
        <v/>
      </c>
      <c r="O847" s="52" t="str">
        <f t="shared" si="136"/>
        <v/>
      </c>
      <c r="P847" s="88">
        <f t="shared" si="137"/>
        <v>0</v>
      </c>
      <c r="Q847" s="88">
        <f t="shared" si="138"/>
        <v>0</v>
      </c>
      <c r="R847" s="88" t="e">
        <f>-IF(Tabla14[[#This Row],[DIAS HABILES O MORA]]&lt;0,(Tabla14[[#This Row],[VALOR PRESTAMO]]*Tabla14[[#This Row],[% INTERES ]]/30*U847))+Tabla14[[#This Row],[VALOR CUOTAS]]</f>
        <v>#VALUE!</v>
      </c>
      <c r="S847" s="88">
        <f>-IF(Tabla14[[#This Row],[DIAS HABILES O MORA]]&lt;0,(Tabla14[[#This Row],[VALOR PRESTAMO]]*Tabla14[[#This Row],[% INTERES ]]/30*U847))</f>
        <v>0</v>
      </c>
      <c r="T847" s="53" t="e">
        <f>Tabla14[[#This Row],[DEUDA CAPITAL]]+Tabla14[[#This Row],[INTERES  CUOTA]]</f>
        <v>#NUM!</v>
      </c>
      <c r="U847" s="61" t="str">
        <f t="shared" si="139"/>
        <v/>
      </c>
    </row>
    <row r="848" spans="9:21" ht="24.75" customHeight="1" x14ac:dyDescent="0.35">
      <c r="I848" s="42">
        <f t="shared" ref="I848:I911" si="140">IF(C848&lt;0,"",IF(Q848=0,0,IF(G848=0,H848+1,IF(H848&lt;G848,H848+1,IF(G848=H848,0)))))</f>
        <v>0</v>
      </c>
      <c r="J848" s="65" t="e">
        <f t="shared" ref="J848:J911" si="141">IF(F848="SOLO INTERES",Q848*D848,-IPMT(D848,I848,G848,C848))</f>
        <v>#NUM!</v>
      </c>
      <c r="K848" s="83" t="e">
        <f t="shared" ref="K848:K911" si="142">IF(F848="SOLO INTERES",0,-PPMT(D848,I848,G848,C848))</f>
        <v>#NUM!</v>
      </c>
      <c r="L848" s="83">
        <f t="shared" ref="L848:L911" si="143">IF(F848="SOLO INTERES",SUM(Y848:AAE848),IFERROR(-CUMIPMT(D848,G848,C848,1,H848,0),0)+SUM(Y848:WY848))</f>
        <v>0</v>
      </c>
      <c r="M848" s="110" t="str">
        <f t="shared" ref="M848:M911" si="144">IFERROR(IF(F848="SOLO INTERES",Q848*D848,-PMT(D848,G848,C848,0)),"")</f>
        <v/>
      </c>
      <c r="N848" s="51" t="str">
        <f t="shared" ref="N848:N911" si="145">IF(Q848=0,"",IF(E848="MENSUAL",EDATE(B848,I848),IF(E848="QUINCENAL",B848+(I848*15),IF(E848="SEMANAL",B848+(I848*7)))))</f>
        <v/>
      </c>
      <c r="O848" s="52" t="str">
        <f t="shared" ref="O848:O911" si="146">IF(C848=0,"",IF(Q848&lt;1,"PAGADO",IF(N848=$A$3,"COBRAR HOY",IF(N848&lt;$A$3,"EN MORA",IF(N848&gt;$A$3,"AL DIA")))))</f>
        <v/>
      </c>
      <c r="P848" s="88">
        <f t="shared" ref="P848:P911" si="147">IFERROR(-CUMPRINC(D848,G848,C848,1,H848,0),0)+W848</f>
        <v>0</v>
      </c>
      <c r="Q848" s="88">
        <f t="shared" ref="Q848:Q911" si="148">IFERROR(C848-P848,"")</f>
        <v>0</v>
      </c>
      <c r="R848" s="88" t="e">
        <f>-IF(Tabla14[[#This Row],[DIAS HABILES O MORA]]&lt;0,(Tabla14[[#This Row],[VALOR PRESTAMO]]*Tabla14[[#This Row],[% INTERES ]]/30*U848))+Tabla14[[#This Row],[VALOR CUOTAS]]</f>
        <v>#VALUE!</v>
      </c>
      <c r="S848" s="88">
        <f>-IF(Tabla14[[#This Row],[DIAS HABILES O MORA]]&lt;0,(Tabla14[[#This Row],[VALOR PRESTAMO]]*Tabla14[[#This Row],[% INTERES ]]/30*U848))</f>
        <v>0</v>
      </c>
      <c r="T848" s="53" t="e">
        <f>Tabla14[[#This Row],[DEUDA CAPITAL]]+Tabla14[[#This Row],[INTERES  CUOTA]]</f>
        <v>#NUM!</v>
      </c>
      <c r="U848" s="61" t="str">
        <f t="shared" ref="U848:U911" si="149">IF(O848="PAGADO","",IFERROR(-IF(C848=0,"",$A$3-N848),""))</f>
        <v/>
      </c>
    </row>
    <row r="849" spans="9:21" ht="24.75" customHeight="1" x14ac:dyDescent="0.35">
      <c r="I849" s="42">
        <f t="shared" si="140"/>
        <v>0</v>
      </c>
      <c r="J849" s="65" t="e">
        <f t="shared" si="141"/>
        <v>#NUM!</v>
      </c>
      <c r="K849" s="83" t="e">
        <f t="shared" si="142"/>
        <v>#NUM!</v>
      </c>
      <c r="L849" s="83">
        <f t="shared" si="143"/>
        <v>0</v>
      </c>
      <c r="M849" s="110" t="str">
        <f t="shared" si="144"/>
        <v/>
      </c>
      <c r="N849" s="51" t="str">
        <f t="shared" si="145"/>
        <v/>
      </c>
      <c r="O849" s="52" t="str">
        <f t="shared" si="146"/>
        <v/>
      </c>
      <c r="P849" s="88">
        <f t="shared" si="147"/>
        <v>0</v>
      </c>
      <c r="Q849" s="88">
        <f t="shared" si="148"/>
        <v>0</v>
      </c>
      <c r="R849" s="88" t="e">
        <f>-IF(Tabla14[[#This Row],[DIAS HABILES O MORA]]&lt;0,(Tabla14[[#This Row],[VALOR PRESTAMO]]*Tabla14[[#This Row],[% INTERES ]]/30*U849))+Tabla14[[#This Row],[VALOR CUOTAS]]</f>
        <v>#VALUE!</v>
      </c>
      <c r="S849" s="88">
        <f>-IF(Tabla14[[#This Row],[DIAS HABILES O MORA]]&lt;0,(Tabla14[[#This Row],[VALOR PRESTAMO]]*Tabla14[[#This Row],[% INTERES ]]/30*U849))</f>
        <v>0</v>
      </c>
      <c r="T849" s="53" t="e">
        <f>Tabla14[[#This Row],[DEUDA CAPITAL]]+Tabla14[[#This Row],[INTERES  CUOTA]]</f>
        <v>#NUM!</v>
      </c>
      <c r="U849" s="61" t="str">
        <f t="shared" si="149"/>
        <v/>
      </c>
    </row>
    <row r="850" spans="9:21" ht="24.75" customHeight="1" x14ac:dyDescent="0.35">
      <c r="I850" s="42">
        <f t="shared" si="140"/>
        <v>0</v>
      </c>
      <c r="J850" s="65" t="e">
        <f t="shared" si="141"/>
        <v>#NUM!</v>
      </c>
      <c r="K850" s="83" t="e">
        <f t="shared" si="142"/>
        <v>#NUM!</v>
      </c>
      <c r="L850" s="83">
        <f t="shared" si="143"/>
        <v>0</v>
      </c>
      <c r="M850" s="110" t="str">
        <f t="shared" si="144"/>
        <v/>
      </c>
      <c r="N850" s="51" t="str">
        <f t="shared" si="145"/>
        <v/>
      </c>
      <c r="O850" s="52" t="str">
        <f t="shared" si="146"/>
        <v/>
      </c>
      <c r="P850" s="88">
        <f t="shared" si="147"/>
        <v>0</v>
      </c>
      <c r="Q850" s="88">
        <f t="shared" si="148"/>
        <v>0</v>
      </c>
      <c r="R850" s="88" t="e">
        <f>-IF(Tabla14[[#This Row],[DIAS HABILES O MORA]]&lt;0,(Tabla14[[#This Row],[VALOR PRESTAMO]]*Tabla14[[#This Row],[% INTERES ]]/30*U850))+Tabla14[[#This Row],[VALOR CUOTAS]]</f>
        <v>#VALUE!</v>
      </c>
      <c r="S850" s="88">
        <f>-IF(Tabla14[[#This Row],[DIAS HABILES O MORA]]&lt;0,(Tabla14[[#This Row],[VALOR PRESTAMO]]*Tabla14[[#This Row],[% INTERES ]]/30*U850))</f>
        <v>0</v>
      </c>
      <c r="T850" s="53" t="e">
        <f>Tabla14[[#This Row],[DEUDA CAPITAL]]+Tabla14[[#This Row],[INTERES  CUOTA]]</f>
        <v>#NUM!</v>
      </c>
      <c r="U850" s="61" t="str">
        <f t="shared" si="149"/>
        <v/>
      </c>
    </row>
    <row r="851" spans="9:21" ht="24.75" customHeight="1" x14ac:dyDescent="0.35">
      <c r="I851" s="42">
        <f t="shared" si="140"/>
        <v>0</v>
      </c>
      <c r="J851" s="65" t="e">
        <f t="shared" si="141"/>
        <v>#NUM!</v>
      </c>
      <c r="K851" s="83" t="e">
        <f t="shared" si="142"/>
        <v>#NUM!</v>
      </c>
      <c r="L851" s="83">
        <f t="shared" si="143"/>
        <v>0</v>
      </c>
      <c r="M851" s="110" t="str">
        <f t="shared" si="144"/>
        <v/>
      </c>
      <c r="N851" s="51" t="str">
        <f t="shared" si="145"/>
        <v/>
      </c>
      <c r="O851" s="52" t="str">
        <f t="shared" si="146"/>
        <v/>
      </c>
      <c r="P851" s="88">
        <f t="shared" si="147"/>
        <v>0</v>
      </c>
      <c r="Q851" s="88">
        <f t="shared" si="148"/>
        <v>0</v>
      </c>
      <c r="R851" s="88" t="e">
        <f>-IF(Tabla14[[#This Row],[DIAS HABILES O MORA]]&lt;0,(Tabla14[[#This Row],[VALOR PRESTAMO]]*Tabla14[[#This Row],[% INTERES ]]/30*U851))+Tabla14[[#This Row],[VALOR CUOTAS]]</f>
        <v>#VALUE!</v>
      </c>
      <c r="S851" s="88">
        <f>-IF(Tabla14[[#This Row],[DIAS HABILES O MORA]]&lt;0,(Tabla14[[#This Row],[VALOR PRESTAMO]]*Tabla14[[#This Row],[% INTERES ]]/30*U851))</f>
        <v>0</v>
      </c>
      <c r="T851" s="53" t="e">
        <f>Tabla14[[#This Row],[DEUDA CAPITAL]]+Tabla14[[#This Row],[INTERES  CUOTA]]</f>
        <v>#NUM!</v>
      </c>
      <c r="U851" s="61" t="str">
        <f t="shared" si="149"/>
        <v/>
      </c>
    </row>
    <row r="852" spans="9:21" ht="24.75" customHeight="1" x14ac:dyDescent="0.35">
      <c r="I852" s="42">
        <f t="shared" si="140"/>
        <v>0</v>
      </c>
      <c r="J852" s="65" t="e">
        <f t="shared" si="141"/>
        <v>#NUM!</v>
      </c>
      <c r="K852" s="83" t="e">
        <f t="shared" si="142"/>
        <v>#NUM!</v>
      </c>
      <c r="L852" s="83">
        <f t="shared" si="143"/>
        <v>0</v>
      </c>
      <c r="M852" s="110" t="str">
        <f t="shared" si="144"/>
        <v/>
      </c>
      <c r="N852" s="51" t="str">
        <f t="shared" si="145"/>
        <v/>
      </c>
      <c r="O852" s="52" t="str">
        <f t="shared" si="146"/>
        <v/>
      </c>
      <c r="P852" s="88">
        <f t="shared" si="147"/>
        <v>0</v>
      </c>
      <c r="Q852" s="88">
        <f t="shared" si="148"/>
        <v>0</v>
      </c>
      <c r="R852" s="88" t="e">
        <f>-IF(Tabla14[[#This Row],[DIAS HABILES O MORA]]&lt;0,(Tabla14[[#This Row],[VALOR PRESTAMO]]*Tabla14[[#This Row],[% INTERES ]]/30*U852))+Tabla14[[#This Row],[VALOR CUOTAS]]</f>
        <v>#VALUE!</v>
      </c>
      <c r="S852" s="88">
        <f>-IF(Tabla14[[#This Row],[DIAS HABILES O MORA]]&lt;0,(Tabla14[[#This Row],[VALOR PRESTAMO]]*Tabla14[[#This Row],[% INTERES ]]/30*U852))</f>
        <v>0</v>
      </c>
      <c r="T852" s="53" t="e">
        <f>Tabla14[[#This Row],[DEUDA CAPITAL]]+Tabla14[[#This Row],[INTERES  CUOTA]]</f>
        <v>#NUM!</v>
      </c>
      <c r="U852" s="61" t="str">
        <f t="shared" si="149"/>
        <v/>
      </c>
    </row>
    <row r="853" spans="9:21" ht="24.75" customHeight="1" x14ac:dyDescent="0.35">
      <c r="I853" s="42">
        <f t="shared" si="140"/>
        <v>0</v>
      </c>
      <c r="J853" s="65" t="e">
        <f t="shared" si="141"/>
        <v>#NUM!</v>
      </c>
      <c r="K853" s="83" t="e">
        <f t="shared" si="142"/>
        <v>#NUM!</v>
      </c>
      <c r="L853" s="83">
        <f t="shared" si="143"/>
        <v>0</v>
      </c>
      <c r="M853" s="110" t="str">
        <f t="shared" si="144"/>
        <v/>
      </c>
      <c r="N853" s="51" t="str">
        <f t="shared" si="145"/>
        <v/>
      </c>
      <c r="O853" s="52" t="str">
        <f t="shared" si="146"/>
        <v/>
      </c>
      <c r="P853" s="88">
        <f t="shared" si="147"/>
        <v>0</v>
      </c>
      <c r="Q853" s="88">
        <f t="shared" si="148"/>
        <v>0</v>
      </c>
      <c r="R853" s="88" t="e">
        <f>-IF(Tabla14[[#This Row],[DIAS HABILES O MORA]]&lt;0,(Tabla14[[#This Row],[VALOR PRESTAMO]]*Tabla14[[#This Row],[% INTERES ]]/30*U853))+Tabla14[[#This Row],[VALOR CUOTAS]]</f>
        <v>#VALUE!</v>
      </c>
      <c r="S853" s="88">
        <f>-IF(Tabla14[[#This Row],[DIAS HABILES O MORA]]&lt;0,(Tabla14[[#This Row],[VALOR PRESTAMO]]*Tabla14[[#This Row],[% INTERES ]]/30*U853))</f>
        <v>0</v>
      </c>
      <c r="T853" s="53" t="e">
        <f>Tabla14[[#This Row],[DEUDA CAPITAL]]+Tabla14[[#This Row],[INTERES  CUOTA]]</f>
        <v>#NUM!</v>
      </c>
      <c r="U853" s="61" t="str">
        <f t="shared" si="149"/>
        <v/>
      </c>
    </row>
    <row r="854" spans="9:21" ht="24.75" customHeight="1" x14ac:dyDescent="0.35">
      <c r="I854" s="42">
        <f t="shared" si="140"/>
        <v>0</v>
      </c>
      <c r="J854" s="65" t="e">
        <f t="shared" si="141"/>
        <v>#NUM!</v>
      </c>
      <c r="K854" s="83" t="e">
        <f t="shared" si="142"/>
        <v>#NUM!</v>
      </c>
      <c r="L854" s="83">
        <f t="shared" si="143"/>
        <v>0</v>
      </c>
      <c r="M854" s="110" t="str">
        <f t="shared" si="144"/>
        <v/>
      </c>
      <c r="N854" s="51" t="str">
        <f t="shared" si="145"/>
        <v/>
      </c>
      <c r="O854" s="52" t="str">
        <f t="shared" si="146"/>
        <v/>
      </c>
      <c r="P854" s="88">
        <f t="shared" si="147"/>
        <v>0</v>
      </c>
      <c r="Q854" s="88">
        <f t="shared" si="148"/>
        <v>0</v>
      </c>
      <c r="R854" s="88" t="e">
        <f>-IF(Tabla14[[#This Row],[DIAS HABILES O MORA]]&lt;0,(Tabla14[[#This Row],[VALOR PRESTAMO]]*Tabla14[[#This Row],[% INTERES ]]/30*U854))+Tabla14[[#This Row],[VALOR CUOTAS]]</f>
        <v>#VALUE!</v>
      </c>
      <c r="S854" s="88">
        <f>-IF(Tabla14[[#This Row],[DIAS HABILES O MORA]]&lt;0,(Tabla14[[#This Row],[VALOR PRESTAMO]]*Tabla14[[#This Row],[% INTERES ]]/30*U854))</f>
        <v>0</v>
      </c>
      <c r="T854" s="53" t="e">
        <f>Tabla14[[#This Row],[DEUDA CAPITAL]]+Tabla14[[#This Row],[INTERES  CUOTA]]</f>
        <v>#NUM!</v>
      </c>
      <c r="U854" s="61" t="str">
        <f t="shared" si="149"/>
        <v/>
      </c>
    </row>
    <row r="855" spans="9:21" ht="24.75" customHeight="1" x14ac:dyDescent="0.35">
      <c r="I855" s="42">
        <f t="shared" si="140"/>
        <v>0</v>
      </c>
      <c r="J855" s="65" t="e">
        <f t="shared" si="141"/>
        <v>#NUM!</v>
      </c>
      <c r="K855" s="83" t="e">
        <f t="shared" si="142"/>
        <v>#NUM!</v>
      </c>
      <c r="L855" s="83">
        <f t="shared" si="143"/>
        <v>0</v>
      </c>
      <c r="M855" s="110" t="str">
        <f t="shared" si="144"/>
        <v/>
      </c>
      <c r="N855" s="51" t="str">
        <f t="shared" si="145"/>
        <v/>
      </c>
      <c r="O855" s="52" t="str">
        <f t="shared" si="146"/>
        <v/>
      </c>
      <c r="P855" s="88">
        <f t="shared" si="147"/>
        <v>0</v>
      </c>
      <c r="Q855" s="88">
        <f t="shared" si="148"/>
        <v>0</v>
      </c>
      <c r="R855" s="88" t="e">
        <f>-IF(Tabla14[[#This Row],[DIAS HABILES O MORA]]&lt;0,(Tabla14[[#This Row],[VALOR PRESTAMO]]*Tabla14[[#This Row],[% INTERES ]]/30*U855))+Tabla14[[#This Row],[VALOR CUOTAS]]</f>
        <v>#VALUE!</v>
      </c>
      <c r="S855" s="88">
        <f>-IF(Tabla14[[#This Row],[DIAS HABILES O MORA]]&lt;0,(Tabla14[[#This Row],[VALOR PRESTAMO]]*Tabla14[[#This Row],[% INTERES ]]/30*U855))</f>
        <v>0</v>
      </c>
      <c r="T855" s="53" t="e">
        <f>Tabla14[[#This Row],[DEUDA CAPITAL]]+Tabla14[[#This Row],[INTERES  CUOTA]]</f>
        <v>#NUM!</v>
      </c>
      <c r="U855" s="61" t="str">
        <f t="shared" si="149"/>
        <v/>
      </c>
    </row>
    <row r="856" spans="9:21" ht="24.75" customHeight="1" x14ac:dyDescent="0.35">
      <c r="I856" s="42">
        <f t="shared" si="140"/>
        <v>0</v>
      </c>
      <c r="J856" s="65" t="e">
        <f t="shared" si="141"/>
        <v>#NUM!</v>
      </c>
      <c r="K856" s="83" t="e">
        <f t="shared" si="142"/>
        <v>#NUM!</v>
      </c>
      <c r="L856" s="83">
        <f t="shared" si="143"/>
        <v>0</v>
      </c>
      <c r="M856" s="110" t="str">
        <f t="shared" si="144"/>
        <v/>
      </c>
      <c r="N856" s="51" t="str">
        <f t="shared" si="145"/>
        <v/>
      </c>
      <c r="O856" s="52" t="str">
        <f t="shared" si="146"/>
        <v/>
      </c>
      <c r="P856" s="88">
        <f t="shared" si="147"/>
        <v>0</v>
      </c>
      <c r="Q856" s="88">
        <f t="shared" si="148"/>
        <v>0</v>
      </c>
      <c r="R856" s="88" t="e">
        <f>-IF(Tabla14[[#This Row],[DIAS HABILES O MORA]]&lt;0,(Tabla14[[#This Row],[VALOR PRESTAMO]]*Tabla14[[#This Row],[% INTERES ]]/30*U856))+Tabla14[[#This Row],[VALOR CUOTAS]]</f>
        <v>#VALUE!</v>
      </c>
      <c r="S856" s="88">
        <f>-IF(Tabla14[[#This Row],[DIAS HABILES O MORA]]&lt;0,(Tabla14[[#This Row],[VALOR PRESTAMO]]*Tabla14[[#This Row],[% INTERES ]]/30*U856))</f>
        <v>0</v>
      </c>
      <c r="T856" s="53" t="e">
        <f>Tabla14[[#This Row],[DEUDA CAPITAL]]+Tabla14[[#This Row],[INTERES  CUOTA]]</f>
        <v>#NUM!</v>
      </c>
      <c r="U856" s="61" t="str">
        <f t="shared" si="149"/>
        <v/>
      </c>
    </row>
    <row r="857" spans="9:21" ht="24.75" customHeight="1" x14ac:dyDescent="0.35">
      <c r="I857" s="42">
        <f t="shared" si="140"/>
        <v>0</v>
      </c>
      <c r="J857" s="65" t="e">
        <f t="shared" si="141"/>
        <v>#NUM!</v>
      </c>
      <c r="K857" s="83" t="e">
        <f t="shared" si="142"/>
        <v>#NUM!</v>
      </c>
      <c r="L857" s="83">
        <f t="shared" si="143"/>
        <v>0</v>
      </c>
      <c r="M857" s="110" t="str">
        <f t="shared" si="144"/>
        <v/>
      </c>
      <c r="N857" s="51" t="str">
        <f t="shared" si="145"/>
        <v/>
      </c>
      <c r="O857" s="52" t="str">
        <f t="shared" si="146"/>
        <v/>
      </c>
      <c r="P857" s="88">
        <f t="shared" si="147"/>
        <v>0</v>
      </c>
      <c r="Q857" s="88">
        <f t="shared" si="148"/>
        <v>0</v>
      </c>
      <c r="R857" s="88" t="e">
        <f>-IF(Tabla14[[#This Row],[DIAS HABILES O MORA]]&lt;0,(Tabla14[[#This Row],[VALOR PRESTAMO]]*Tabla14[[#This Row],[% INTERES ]]/30*U857))+Tabla14[[#This Row],[VALOR CUOTAS]]</f>
        <v>#VALUE!</v>
      </c>
      <c r="S857" s="88">
        <f>-IF(Tabla14[[#This Row],[DIAS HABILES O MORA]]&lt;0,(Tabla14[[#This Row],[VALOR PRESTAMO]]*Tabla14[[#This Row],[% INTERES ]]/30*U857))</f>
        <v>0</v>
      </c>
      <c r="T857" s="53" t="e">
        <f>Tabla14[[#This Row],[DEUDA CAPITAL]]+Tabla14[[#This Row],[INTERES  CUOTA]]</f>
        <v>#NUM!</v>
      </c>
      <c r="U857" s="61" t="str">
        <f t="shared" si="149"/>
        <v/>
      </c>
    </row>
    <row r="858" spans="9:21" ht="24.75" customHeight="1" x14ac:dyDescent="0.35">
      <c r="I858" s="42">
        <f t="shared" si="140"/>
        <v>0</v>
      </c>
      <c r="J858" s="65" t="e">
        <f t="shared" si="141"/>
        <v>#NUM!</v>
      </c>
      <c r="K858" s="83" t="e">
        <f t="shared" si="142"/>
        <v>#NUM!</v>
      </c>
      <c r="L858" s="83">
        <f t="shared" si="143"/>
        <v>0</v>
      </c>
      <c r="M858" s="110" t="str">
        <f t="shared" si="144"/>
        <v/>
      </c>
      <c r="N858" s="51" t="str">
        <f t="shared" si="145"/>
        <v/>
      </c>
      <c r="O858" s="52" t="str">
        <f t="shared" si="146"/>
        <v/>
      </c>
      <c r="P858" s="88">
        <f t="shared" si="147"/>
        <v>0</v>
      </c>
      <c r="Q858" s="88">
        <f t="shared" si="148"/>
        <v>0</v>
      </c>
      <c r="R858" s="88" t="e">
        <f>-IF(Tabla14[[#This Row],[DIAS HABILES O MORA]]&lt;0,(Tabla14[[#This Row],[VALOR PRESTAMO]]*Tabla14[[#This Row],[% INTERES ]]/30*U858))+Tabla14[[#This Row],[VALOR CUOTAS]]</f>
        <v>#VALUE!</v>
      </c>
      <c r="S858" s="88">
        <f>-IF(Tabla14[[#This Row],[DIAS HABILES O MORA]]&lt;0,(Tabla14[[#This Row],[VALOR PRESTAMO]]*Tabla14[[#This Row],[% INTERES ]]/30*U858))</f>
        <v>0</v>
      </c>
      <c r="T858" s="53" t="e">
        <f>Tabla14[[#This Row],[DEUDA CAPITAL]]+Tabla14[[#This Row],[INTERES  CUOTA]]</f>
        <v>#NUM!</v>
      </c>
      <c r="U858" s="61" t="str">
        <f t="shared" si="149"/>
        <v/>
      </c>
    </row>
    <row r="859" spans="9:21" ht="24.75" customHeight="1" x14ac:dyDescent="0.35">
      <c r="I859" s="42">
        <f t="shared" si="140"/>
        <v>0</v>
      </c>
      <c r="J859" s="65" t="e">
        <f t="shared" si="141"/>
        <v>#NUM!</v>
      </c>
      <c r="K859" s="83" t="e">
        <f t="shared" si="142"/>
        <v>#NUM!</v>
      </c>
      <c r="L859" s="83">
        <f t="shared" si="143"/>
        <v>0</v>
      </c>
      <c r="M859" s="110" t="str">
        <f t="shared" si="144"/>
        <v/>
      </c>
      <c r="N859" s="51" t="str">
        <f t="shared" si="145"/>
        <v/>
      </c>
      <c r="O859" s="52" t="str">
        <f t="shared" si="146"/>
        <v/>
      </c>
      <c r="P859" s="88">
        <f t="shared" si="147"/>
        <v>0</v>
      </c>
      <c r="Q859" s="88">
        <f t="shared" si="148"/>
        <v>0</v>
      </c>
      <c r="R859" s="88" t="e">
        <f>-IF(Tabla14[[#This Row],[DIAS HABILES O MORA]]&lt;0,(Tabla14[[#This Row],[VALOR PRESTAMO]]*Tabla14[[#This Row],[% INTERES ]]/30*U859))+Tabla14[[#This Row],[VALOR CUOTAS]]</f>
        <v>#VALUE!</v>
      </c>
      <c r="S859" s="88">
        <f>-IF(Tabla14[[#This Row],[DIAS HABILES O MORA]]&lt;0,(Tabla14[[#This Row],[VALOR PRESTAMO]]*Tabla14[[#This Row],[% INTERES ]]/30*U859))</f>
        <v>0</v>
      </c>
      <c r="T859" s="53" t="e">
        <f>Tabla14[[#This Row],[DEUDA CAPITAL]]+Tabla14[[#This Row],[INTERES  CUOTA]]</f>
        <v>#NUM!</v>
      </c>
      <c r="U859" s="61" t="str">
        <f t="shared" si="149"/>
        <v/>
      </c>
    </row>
    <row r="860" spans="9:21" ht="24.75" customHeight="1" x14ac:dyDescent="0.35">
      <c r="I860" s="42">
        <f t="shared" si="140"/>
        <v>0</v>
      </c>
      <c r="J860" s="65" t="e">
        <f t="shared" si="141"/>
        <v>#NUM!</v>
      </c>
      <c r="K860" s="83" t="e">
        <f t="shared" si="142"/>
        <v>#NUM!</v>
      </c>
      <c r="L860" s="83">
        <f t="shared" si="143"/>
        <v>0</v>
      </c>
      <c r="M860" s="110" t="str">
        <f t="shared" si="144"/>
        <v/>
      </c>
      <c r="N860" s="51" t="str">
        <f t="shared" si="145"/>
        <v/>
      </c>
      <c r="O860" s="52" t="str">
        <f t="shared" si="146"/>
        <v/>
      </c>
      <c r="P860" s="88">
        <f t="shared" si="147"/>
        <v>0</v>
      </c>
      <c r="Q860" s="88">
        <f t="shared" si="148"/>
        <v>0</v>
      </c>
      <c r="R860" s="88" t="e">
        <f>-IF(Tabla14[[#This Row],[DIAS HABILES O MORA]]&lt;0,(Tabla14[[#This Row],[VALOR PRESTAMO]]*Tabla14[[#This Row],[% INTERES ]]/30*U860))+Tabla14[[#This Row],[VALOR CUOTAS]]</f>
        <v>#VALUE!</v>
      </c>
      <c r="S860" s="88">
        <f>-IF(Tabla14[[#This Row],[DIAS HABILES O MORA]]&lt;0,(Tabla14[[#This Row],[VALOR PRESTAMO]]*Tabla14[[#This Row],[% INTERES ]]/30*U860))</f>
        <v>0</v>
      </c>
      <c r="T860" s="53" t="e">
        <f>Tabla14[[#This Row],[DEUDA CAPITAL]]+Tabla14[[#This Row],[INTERES  CUOTA]]</f>
        <v>#NUM!</v>
      </c>
      <c r="U860" s="61" t="str">
        <f t="shared" si="149"/>
        <v/>
      </c>
    </row>
    <row r="861" spans="9:21" ht="24.75" customHeight="1" x14ac:dyDescent="0.35">
      <c r="I861" s="42">
        <f t="shared" si="140"/>
        <v>0</v>
      </c>
      <c r="J861" s="65" t="e">
        <f t="shared" si="141"/>
        <v>#NUM!</v>
      </c>
      <c r="K861" s="83" t="e">
        <f t="shared" si="142"/>
        <v>#NUM!</v>
      </c>
      <c r="L861" s="83">
        <f t="shared" si="143"/>
        <v>0</v>
      </c>
      <c r="M861" s="110" t="str">
        <f t="shared" si="144"/>
        <v/>
      </c>
      <c r="N861" s="51" t="str">
        <f t="shared" si="145"/>
        <v/>
      </c>
      <c r="O861" s="52" t="str">
        <f t="shared" si="146"/>
        <v/>
      </c>
      <c r="P861" s="88">
        <f t="shared" si="147"/>
        <v>0</v>
      </c>
      <c r="Q861" s="88">
        <f t="shared" si="148"/>
        <v>0</v>
      </c>
      <c r="R861" s="88" t="e">
        <f>-IF(Tabla14[[#This Row],[DIAS HABILES O MORA]]&lt;0,(Tabla14[[#This Row],[VALOR PRESTAMO]]*Tabla14[[#This Row],[% INTERES ]]/30*U861))+Tabla14[[#This Row],[VALOR CUOTAS]]</f>
        <v>#VALUE!</v>
      </c>
      <c r="S861" s="88">
        <f>-IF(Tabla14[[#This Row],[DIAS HABILES O MORA]]&lt;0,(Tabla14[[#This Row],[VALOR PRESTAMO]]*Tabla14[[#This Row],[% INTERES ]]/30*U861))</f>
        <v>0</v>
      </c>
      <c r="T861" s="53" t="e">
        <f>Tabla14[[#This Row],[DEUDA CAPITAL]]+Tabla14[[#This Row],[INTERES  CUOTA]]</f>
        <v>#NUM!</v>
      </c>
      <c r="U861" s="61" t="str">
        <f t="shared" si="149"/>
        <v/>
      </c>
    </row>
    <row r="862" spans="9:21" ht="24.75" customHeight="1" x14ac:dyDescent="0.35">
      <c r="I862" s="42">
        <f t="shared" si="140"/>
        <v>0</v>
      </c>
      <c r="J862" s="65" t="e">
        <f t="shared" si="141"/>
        <v>#NUM!</v>
      </c>
      <c r="K862" s="83" t="e">
        <f t="shared" si="142"/>
        <v>#NUM!</v>
      </c>
      <c r="L862" s="83">
        <f t="shared" si="143"/>
        <v>0</v>
      </c>
      <c r="M862" s="110" t="str">
        <f t="shared" si="144"/>
        <v/>
      </c>
      <c r="N862" s="51" t="str">
        <f t="shared" si="145"/>
        <v/>
      </c>
      <c r="O862" s="52" t="str">
        <f t="shared" si="146"/>
        <v/>
      </c>
      <c r="P862" s="88">
        <f t="shared" si="147"/>
        <v>0</v>
      </c>
      <c r="Q862" s="88">
        <f t="shared" si="148"/>
        <v>0</v>
      </c>
      <c r="R862" s="88" t="e">
        <f>-IF(Tabla14[[#This Row],[DIAS HABILES O MORA]]&lt;0,(Tabla14[[#This Row],[VALOR PRESTAMO]]*Tabla14[[#This Row],[% INTERES ]]/30*U862))+Tabla14[[#This Row],[VALOR CUOTAS]]</f>
        <v>#VALUE!</v>
      </c>
      <c r="S862" s="88">
        <f>-IF(Tabla14[[#This Row],[DIAS HABILES O MORA]]&lt;0,(Tabla14[[#This Row],[VALOR PRESTAMO]]*Tabla14[[#This Row],[% INTERES ]]/30*U862))</f>
        <v>0</v>
      </c>
      <c r="T862" s="53" t="e">
        <f>Tabla14[[#This Row],[DEUDA CAPITAL]]+Tabla14[[#This Row],[INTERES  CUOTA]]</f>
        <v>#NUM!</v>
      </c>
      <c r="U862" s="61" t="str">
        <f t="shared" si="149"/>
        <v/>
      </c>
    </row>
    <row r="863" spans="9:21" ht="24.75" customHeight="1" x14ac:dyDescent="0.35">
      <c r="I863" s="42">
        <f t="shared" si="140"/>
        <v>0</v>
      </c>
      <c r="J863" s="65" t="e">
        <f t="shared" si="141"/>
        <v>#NUM!</v>
      </c>
      <c r="K863" s="83" t="e">
        <f t="shared" si="142"/>
        <v>#NUM!</v>
      </c>
      <c r="L863" s="83">
        <f t="shared" si="143"/>
        <v>0</v>
      </c>
      <c r="M863" s="110" t="str">
        <f t="shared" si="144"/>
        <v/>
      </c>
      <c r="N863" s="51" t="str">
        <f t="shared" si="145"/>
        <v/>
      </c>
      <c r="O863" s="52" t="str">
        <f t="shared" si="146"/>
        <v/>
      </c>
      <c r="P863" s="88">
        <f t="shared" si="147"/>
        <v>0</v>
      </c>
      <c r="Q863" s="88">
        <f t="shared" si="148"/>
        <v>0</v>
      </c>
      <c r="R863" s="88" t="e">
        <f>-IF(Tabla14[[#This Row],[DIAS HABILES O MORA]]&lt;0,(Tabla14[[#This Row],[VALOR PRESTAMO]]*Tabla14[[#This Row],[% INTERES ]]/30*U863))+Tabla14[[#This Row],[VALOR CUOTAS]]</f>
        <v>#VALUE!</v>
      </c>
      <c r="S863" s="88">
        <f>-IF(Tabla14[[#This Row],[DIAS HABILES O MORA]]&lt;0,(Tabla14[[#This Row],[VALOR PRESTAMO]]*Tabla14[[#This Row],[% INTERES ]]/30*U863))</f>
        <v>0</v>
      </c>
      <c r="T863" s="53" t="e">
        <f>Tabla14[[#This Row],[DEUDA CAPITAL]]+Tabla14[[#This Row],[INTERES  CUOTA]]</f>
        <v>#NUM!</v>
      </c>
      <c r="U863" s="61" t="str">
        <f t="shared" si="149"/>
        <v/>
      </c>
    </row>
    <row r="864" spans="9:21" ht="24.75" customHeight="1" x14ac:dyDescent="0.35">
      <c r="I864" s="42">
        <f t="shared" si="140"/>
        <v>0</v>
      </c>
      <c r="J864" s="65" t="e">
        <f t="shared" si="141"/>
        <v>#NUM!</v>
      </c>
      <c r="K864" s="83" t="e">
        <f t="shared" si="142"/>
        <v>#NUM!</v>
      </c>
      <c r="L864" s="83">
        <f t="shared" si="143"/>
        <v>0</v>
      </c>
      <c r="M864" s="110" t="str">
        <f t="shared" si="144"/>
        <v/>
      </c>
      <c r="N864" s="51" t="str">
        <f t="shared" si="145"/>
        <v/>
      </c>
      <c r="O864" s="52" t="str">
        <f t="shared" si="146"/>
        <v/>
      </c>
      <c r="P864" s="88">
        <f t="shared" si="147"/>
        <v>0</v>
      </c>
      <c r="Q864" s="88">
        <f t="shared" si="148"/>
        <v>0</v>
      </c>
      <c r="R864" s="88" t="e">
        <f>-IF(Tabla14[[#This Row],[DIAS HABILES O MORA]]&lt;0,(Tabla14[[#This Row],[VALOR PRESTAMO]]*Tabla14[[#This Row],[% INTERES ]]/30*U864))+Tabla14[[#This Row],[VALOR CUOTAS]]</f>
        <v>#VALUE!</v>
      </c>
      <c r="S864" s="88">
        <f>-IF(Tabla14[[#This Row],[DIAS HABILES O MORA]]&lt;0,(Tabla14[[#This Row],[VALOR PRESTAMO]]*Tabla14[[#This Row],[% INTERES ]]/30*U864))</f>
        <v>0</v>
      </c>
      <c r="T864" s="53" t="e">
        <f>Tabla14[[#This Row],[DEUDA CAPITAL]]+Tabla14[[#This Row],[INTERES  CUOTA]]</f>
        <v>#NUM!</v>
      </c>
      <c r="U864" s="61" t="str">
        <f t="shared" si="149"/>
        <v/>
      </c>
    </row>
    <row r="865" spans="9:21" ht="24.75" customHeight="1" x14ac:dyDescent="0.35">
      <c r="I865" s="42">
        <f t="shared" si="140"/>
        <v>0</v>
      </c>
      <c r="J865" s="65" t="e">
        <f t="shared" si="141"/>
        <v>#NUM!</v>
      </c>
      <c r="K865" s="83" t="e">
        <f t="shared" si="142"/>
        <v>#NUM!</v>
      </c>
      <c r="L865" s="83">
        <f t="shared" si="143"/>
        <v>0</v>
      </c>
      <c r="M865" s="110" t="str">
        <f t="shared" si="144"/>
        <v/>
      </c>
      <c r="N865" s="51" t="str">
        <f t="shared" si="145"/>
        <v/>
      </c>
      <c r="O865" s="52" t="str">
        <f t="shared" si="146"/>
        <v/>
      </c>
      <c r="P865" s="88">
        <f t="shared" si="147"/>
        <v>0</v>
      </c>
      <c r="Q865" s="88">
        <f t="shared" si="148"/>
        <v>0</v>
      </c>
      <c r="R865" s="88" t="e">
        <f>-IF(Tabla14[[#This Row],[DIAS HABILES O MORA]]&lt;0,(Tabla14[[#This Row],[VALOR PRESTAMO]]*Tabla14[[#This Row],[% INTERES ]]/30*U865))+Tabla14[[#This Row],[VALOR CUOTAS]]</f>
        <v>#VALUE!</v>
      </c>
      <c r="S865" s="88">
        <f>-IF(Tabla14[[#This Row],[DIAS HABILES O MORA]]&lt;0,(Tabla14[[#This Row],[VALOR PRESTAMO]]*Tabla14[[#This Row],[% INTERES ]]/30*U865))</f>
        <v>0</v>
      </c>
      <c r="T865" s="53" t="e">
        <f>Tabla14[[#This Row],[DEUDA CAPITAL]]+Tabla14[[#This Row],[INTERES  CUOTA]]</f>
        <v>#NUM!</v>
      </c>
      <c r="U865" s="61" t="str">
        <f t="shared" si="149"/>
        <v/>
      </c>
    </row>
    <row r="866" spans="9:21" ht="24.75" customHeight="1" x14ac:dyDescent="0.35">
      <c r="I866" s="42">
        <f t="shared" si="140"/>
        <v>0</v>
      </c>
      <c r="J866" s="65" t="e">
        <f t="shared" si="141"/>
        <v>#NUM!</v>
      </c>
      <c r="K866" s="83" t="e">
        <f t="shared" si="142"/>
        <v>#NUM!</v>
      </c>
      <c r="L866" s="83">
        <f t="shared" si="143"/>
        <v>0</v>
      </c>
      <c r="M866" s="110" t="str">
        <f t="shared" si="144"/>
        <v/>
      </c>
      <c r="N866" s="51" t="str">
        <f t="shared" si="145"/>
        <v/>
      </c>
      <c r="O866" s="52" t="str">
        <f t="shared" si="146"/>
        <v/>
      </c>
      <c r="P866" s="88">
        <f t="shared" si="147"/>
        <v>0</v>
      </c>
      <c r="Q866" s="88">
        <f t="shared" si="148"/>
        <v>0</v>
      </c>
      <c r="R866" s="88" t="e">
        <f>-IF(Tabla14[[#This Row],[DIAS HABILES O MORA]]&lt;0,(Tabla14[[#This Row],[VALOR PRESTAMO]]*Tabla14[[#This Row],[% INTERES ]]/30*U866))+Tabla14[[#This Row],[VALOR CUOTAS]]</f>
        <v>#VALUE!</v>
      </c>
      <c r="S866" s="88">
        <f>-IF(Tabla14[[#This Row],[DIAS HABILES O MORA]]&lt;0,(Tabla14[[#This Row],[VALOR PRESTAMO]]*Tabla14[[#This Row],[% INTERES ]]/30*U866))</f>
        <v>0</v>
      </c>
      <c r="T866" s="53" t="e">
        <f>Tabla14[[#This Row],[DEUDA CAPITAL]]+Tabla14[[#This Row],[INTERES  CUOTA]]</f>
        <v>#NUM!</v>
      </c>
      <c r="U866" s="61" t="str">
        <f t="shared" si="149"/>
        <v/>
      </c>
    </row>
    <row r="867" spans="9:21" ht="24.75" customHeight="1" x14ac:dyDescent="0.35">
      <c r="I867" s="42">
        <f t="shared" si="140"/>
        <v>0</v>
      </c>
      <c r="J867" s="65" t="e">
        <f t="shared" si="141"/>
        <v>#NUM!</v>
      </c>
      <c r="K867" s="83" t="e">
        <f t="shared" si="142"/>
        <v>#NUM!</v>
      </c>
      <c r="L867" s="83">
        <f t="shared" si="143"/>
        <v>0</v>
      </c>
      <c r="M867" s="110" t="str">
        <f t="shared" si="144"/>
        <v/>
      </c>
      <c r="N867" s="51" t="str">
        <f t="shared" si="145"/>
        <v/>
      </c>
      <c r="O867" s="52" t="str">
        <f t="shared" si="146"/>
        <v/>
      </c>
      <c r="P867" s="88">
        <f t="shared" si="147"/>
        <v>0</v>
      </c>
      <c r="Q867" s="88">
        <f t="shared" si="148"/>
        <v>0</v>
      </c>
      <c r="R867" s="88" t="e">
        <f>-IF(Tabla14[[#This Row],[DIAS HABILES O MORA]]&lt;0,(Tabla14[[#This Row],[VALOR PRESTAMO]]*Tabla14[[#This Row],[% INTERES ]]/30*U867))+Tabla14[[#This Row],[VALOR CUOTAS]]</f>
        <v>#VALUE!</v>
      </c>
      <c r="S867" s="88">
        <f>-IF(Tabla14[[#This Row],[DIAS HABILES O MORA]]&lt;0,(Tabla14[[#This Row],[VALOR PRESTAMO]]*Tabla14[[#This Row],[% INTERES ]]/30*U867))</f>
        <v>0</v>
      </c>
      <c r="T867" s="53" t="e">
        <f>Tabla14[[#This Row],[DEUDA CAPITAL]]+Tabla14[[#This Row],[INTERES  CUOTA]]</f>
        <v>#NUM!</v>
      </c>
      <c r="U867" s="61" t="str">
        <f t="shared" si="149"/>
        <v/>
      </c>
    </row>
    <row r="868" spans="9:21" ht="24.75" customHeight="1" x14ac:dyDescent="0.35">
      <c r="I868" s="42">
        <f t="shared" si="140"/>
        <v>0</v>
      </c>
      <c r="J868" s="65" t="e">
        <f t="shared" si="141"/>
        <v>#NUM!</v>
      </c>
      <c r="K868" s="83" t="e">
        <f t="shared" si="142"/>
        <v>#NUM!</v>
      </c>
      <c r="L868" s="83">
        <f t="shared" si="143"/>
        <v>0</v>
      </c>
      <c r="M868" s="110" t="str">
        <f t="shared" si="144"/>
        <v/>
      </c>
      <c r="N868" s="51" t="str">
        <f t="shared" si="145"/>
        <v/>
      </c>
      <c r="O868" s="52" t="str">
        <f t="shared" si="146"/>
        <v/>
      </c>
      <c r="P868" s="88">
        <f t="shared" si="147"/>
        <v>0</v>
      </c>
      <c r="Q868" s="88">
        <f t="shared" si="148"/>
        <v>0</v>
      </c>
      <c r="R868" s="88" t="e">
        <f>-IF(Tabla14[[#This Row],[DIAS HABILES O MORA]]&lt;0,(Tabla14[[#This Row],[VALOR PRESTAMO]]*Tabla14[[#This Row],[% INTERES ]]/30*U868))+Tabla14[[#This Row],[VALOR CUOTAS]]</f>
        <v>#VALUE!</v>
      </c>
      <c r="S868" s="88">
        <f>-IF(Tabla14[[#This Row],[DIAS HABILES O MORA]]&lt;0,(Tabla14[[#This Row],[VALOR PRESTAMO]]*Tabla14[[#This Row],[% INTERES ]]/30*U868))</f>
        <v>0</v>
      </c>
      <c r="T868" s="53" t="e">
        <f>Tabla14[[#This Row],[DEUDA CAPITAL]]+Tabla14[[#This Row],[INTERES  CUOTA]]</f>
        <v>#NUM!</v>
      </c>
      <c r="U868" s="61" t="str">
        <f t="shared" si="149"/>
        <v/>
      </c>
    </row>
    <row r="869" spans="9:21" ht="24.75" customHeight="1" x14ac:dyDescent="0.35">
      <c r="I869" s="42">
        <f t="shared" si="140"/>
        <v>0</v>
      </c>
      <c r="J869" s="65" t="e">
        <f t="shared" si="141"/>
        <v>#NUM!</v>
      </c>
      <c r="K869" s="83" t="e">
        <f t="shared" si="142"/>
        <v>#NUM!</v>
      </c>
      <c r="L869" s="83">
        <f t="shared" si="143"/>
        <v>0</v>
      </c>
      <c r="M869" s="110" t="str">
        <f t="shared" si="144"/>
        <v/>
      </c>
      <c r="N869" s="51" t="str">
        <f t="shared" si="145"/>
        <v/>
      </c>
      <c r="O869" s="52" t="str">
        <f t="shared" si="146"/>
        <v/>
      </c>
      <c r="P869" s="88">
        <f t="shared" si="147"/>
        <v>0</v>
      </c>
      <c r="Q869" s="88">
        <f t="shared" si="148"/>
        <v>0</v>
      </c>
      <c r="R869" s="88" t="e">
        <f>-IF(Tabla14[[#This Row],[DIAS HABILES O MORA]]&lt;0,(Tabla14[[#This Row],[VALOR PRESTAMO]]*Tabla14[[#This Row],[% INTERES ]]/30*U869))+Tabla14[[#This Row],[VALOR CUOTAS]]</f>
        <v>#VALUE!</v>
      </c>
      <c r="S869" s="88">
        <f>-IF(Tabla14[[#This Row],[DIAS HABILES O MORA]]&lt;0,(Tabla14[[#This Row],[VALOR PRESTAMO]]*Tabla14[[#This Row],[% INTERES ]]/30*U869))</f>
        <v>0</v>
      </c>
      <c r="T869" s="53" t="e">
        <f>Tabla14[[#This Row],[DEUDA CAPITAL]]+Tabla14[[#This Row],[INTERES  CUOTA]]</f>
        <v>#NUM!</v>
      </c>
      <c r="U869" s="61" t="str">
        <f t="shared" si="149"/>
        <v/>
      </c>
    </row>
    <row r="870" spans="9:21" ht="24.75" customHeight="1" x14ac:dyDescent="0.35">
      <c r="I870" s="42">
        <f t="shared" si="140"/>
        <v>0</v>
      </c>
      <c r="J870" s="65" t="e">
        <f t="shared" si="141"/>
        <v>#NUM!</v>
      </c>
      <c r="K870" s="83" t="e">
        <f t="shared" si="142"/>
        <v>#NUM!</v>
      </c>
      <c r="L870" s="83">
        <f t="shared" si="143"/>
        <v>0</v>
      </c>
      <c r="M870" s="110" t="str">
        <f t="shared" si="144"/>
        <v/>
      </c>
      <c r="N870" s="51" t="str">
        <f t="shared" si="145"/>
        <v/>
      </c>
      <c r="O870" s="52" t="str">
        <f t="shared" si="146"/>
        <v/>
      </c>
      <c r="P870" s="88">
        <f t="shared" si="147"/>
        <v>0</v>
      </c>
      <c r="Q870" s="88">
        <f t="shared" si="148"/>
        <v>0</v>
      </c>
      <c r="R870" s="88" t="e">
        <f>-IF(Tabla14[[#This Row],[DIAS HABILES O MORA]]&lt;0,(Tabla14[[#This Row],[VALOR PRESTAMO]]*Tabla14[[#This Row],[% INTERES ]]/30*U870))+Tabla14[[#This Row],[VALOR CUOTAS]]</f>
        <v>#VALUE!</v>
      </c>
      <c r="S870" s="88">
        <f>-IF(Tabla14[[#This Row],[DIAS HABILES O MORA]]&lt;0,(Tabla14[[#This Row],[VALOR PRESTAMO]]*Tabla14[[#This Row],[% INTERES ]]/30*U870))</f>
        <v>0</v>
      </c>
      <c r="T870" s="53" t="e">
        <f>Tabla14[[#This Row],[DEUDA CAPITAL]]+Tabla14[[#This Row],[INTERES  CUOTA]]</f>
        <v>#NUM!</v>
      </c>
      <c r="U870" s="61" t="str">
        <f t="shared" si="149"/>
        <v/>
      </c>
    </row>
    <row r="871" spans="9:21" ht="24.75" customHeight="1" x14ac:dyDescent="0.35">
      <c r="I871" s="42">
        <f t="shared" si="140"/>
        <v>0</v>
      </c>
      <c r="J871" s="65" t="e">
        <f t="shared" si="141"/>
        <v>#NUM!</v>
      </c>
      <c r="K871" s="83" t="e">
        <f t="shared" si="142"/>
        <v>#NUM!</v>
      </c>
      <c r="L871" s="83">
        <f t="shared" si="143"/>
        <v>0</v>
      </c>
      <c r="M871" s="110" t="str">
        <f t="shared" si="144"/>
        <v/>
      </c>
      <c r="N871" s="51" t="str">
        <f t="shared" si="145"/>
        <v/>
      </c>
      <c r="O871" s="52" t="str">
        <f t="shared" si="146"/>
        <v/>
      </c>
      <c r="P871" s="88">
        <f t="shared" si="147"/>
        <v>0</v>
      </c>
      <c r="Q871" s="88">
        <f t="shared" si="148"/>
        <v>0</v>
      </c>
      <c r="R871" s="88" t="e">
        <f>-IF(Tabla14[[#This Row],[DIAS HABILES O MORA]]&lt;0,(Tabla14[[#This Row],[VALOR PRESTAMO]]*Tabla14[[#This Row],[% INTERES ]]/30*U871))+Tabla14[[#This Row],[VALOR CUOTAS]]</f>
        <v>#VALUE!</v>
      </c>
      <c r="S871" s="88">
        <f>-IF(Tabla14[[#This Row],[DIAS HABILES O MORA]]&lt;0,(Tabla14[[#This Row],[VALOR PRESTAMO]]*Tabla14[[#This Row],[% INTERES ]]/30*U871))</f>
        <v>0</v>
      </c>
      <c r="T871" s="53" t="e">
        <f>Tabla14[[#This Row],[DEUDA CAPITAL]]+Tabla14[[#This Row],[INTERES  CUOTA]]</f>
        <v>#NUM!</v>
      </c>
      <c r="U871" s="61" t="str">
        <f t="shared" si="149"/>
        <v/>
      </c>
    </row>
    <row r="872" spans="9:21" ht="24.75" customHeight="1" x14ac:dyDescent="0.35">
      <c r="I872" s="42">
        <f t="shared" si="140"/>
        <v>0</v>
      </c>
      <c r="J872" s="65" t="e">
        <f t="shared" si="141"/>
        <v>#NUM!</v>
      </c>
      <c r="K872" s="83" t="e">
        <f t="shared" si="142"/>
        <v>#NUM!</v>
      </c>
      <c r="L872" s="83">
        <f t="shared" si="143"/>
        <v>0</v>
      </c>
      <c r="M872" s="110" t="str">
        <f t="shared" si="144"/>
        <v/>
      </c>
      <c r="N872" s="51" t="str">
        <f t="shared" si="145"/>
        <v/>
      </c>
      <c r="O872" s="52" t="str">
        <f t="shared" si="146"/>
        <v/>
      </c>
      <c r="P872" s="88">
        <f t="shared" si="147"/>
        <v>0</v>
      </c>
      <c r="Q872" s="88">
        <f t="shared" si="148"/>
        <v>0</v>
      </c>
      <c r="R872" s="88" t="e">
        <f>-IF(Tabla14[[#This Row],[DIAS HABILES O MORA]]&lt;0,(Tabla14[[#This Row],[VALOR PRESTAMO]]*Tabla14[[#This Row],[% INTERES ]]/30*U872))+Tabla14[[#This Row],[VALOR CUOTAS]]</f>
        <v>#VALUE!</v>
      </c>
      <c r="S872" s="88">
        <f>-IF(Tabla14[[#This Row],[DIAS HABILES O MORA]]&lt;0,(Tabla14[[#This Row],[VALOR PRESTAMO]]*Tabla14[[#This Row],[% INTERES ]]/30*U872))</f>
        <v>0</v>
      </c>
      <c r="T872" s="53" t="e">
        <f>Tabla14[[#This Row],[DEUDA CAPITAL]]+Tabla14[[#This Row],[INTERES  CUOTA]]</f>
        <v>#NUM!</v>
      </c>
      <c r="U872" s="61" t="str">
        <f t="shared" si="149"/>
        <v/>
      </c>
    </row>
    <row r="873" spans="9:21" ht="24.75" customHeight="1" x14ac:dyDescent="0.35">
      <c r="I873" s="42">
        <f t="shared" si="140"/>
        <v>0</v>
      </c>
      <c r="J873" s="65" t="e">
        <f t="shared" si="141"/>
        <v>#NUM!</v>
      </c>
      <c r="K873" s="83" t="e">
        <f t="shared" si="142"/>
        <v>#NUM!</v>
      </c>
      <c r="L873" s="83">
        <f t="shared" si="143"/>
        <v>0</v>
      </c>
      <c r="M873" s="110" t="str">
        <f t="shared" si="144"/>
        <v/>
      </c>
      <c r="N873" s="51" t="str">
        <f t="shared" si="145"/>
        <v/>
      </c>
      <c r="O873" s="52" t="str">
        <f t="shared" si="146"/>
        <v/>
      </c>
      <c r="P873" s="88">
        <f t="shared" si="147"/>
        <v>0</v>
      </c>
      <c r="Q873" s="88">
        <f t="shared" si="148"/>
        <v>0</v>
      </c>
      <c r="R873" s="88" t="e">
        <f>-IF(Tabla14[[#This Row],[DIAS HABILES O MORA]]&lt;0,(Tabla14[[#This Row],[VALOR PRESTAMO]]*Tabla14[[#This Row],[% INTERES ]]/30*U873))+Tabla14[[#This Row],[VALOR CUOTAS]]</f>
        <v>#VALUE!</v>
      </c>
      <c r="S873" s="88">
        <f>-IF(Tabla14[[#This Row],[DIAS HABILES O MORA]]&lt;0,(Tabla14[[#This Row],[VALOR PRESTAMO]]*Tabla14[[#This Row],[% INTERES ]]/30*U873))</f>
        <v>0</v>
      </c>
      <c r="T873" s="53" t="e">
        <f>Tabla14[[#This Row],[DEUDA CAPITAL]]+Tabla14[[#This Row],[INTERES  CUOTA]]</f>
        <v>#NUM!</v>
      </c>
      <c r="U873" s="61" t="str">
        <f t="shared" si="149"/>
        <v/>
      </c>
    </row>
    <row r="874" spans="9:21" ht="24.75" customHeight="1" x14ac:dyDescent="0.35">
      <c r="I874" s="42">
        <f t="shared" si="140"/>
        <v>0</v>
      </c>
      <c r="J874" s="65" t="e">
        <f t="shared" si="141"/>
        <v>#NUM!</v>
      </c>
      <c r="K874" s="83" t="e">
        <f t="shared" si="142"/>
        <v>#NUM!</v>
      </c>
      <c r="L874" s="83">
        <f t="shared" si="143"/>
        <v>0</v>
      </c>
      <c r="M874" s="110" t="str">
        <f t="shared" si="144"/>
        <v/>
      </c>
      <c r="N874" s="51" t="str">
        <f t="shared" si="145"/>
        <v/>
      </c>
      <c r="O874" s="52" t="str">
        <f t="shared" si="146"/>
        <v/>
      </c>
      <c r="P874" s="88">
        <f t="shared" si="147"/>
        <v>0</v>
      </c>
      <c r="Q874" s="88">
        <f t="shared" si="148"/>
        <v>0</v>
      </c>
      <c r="R874" s="88" t="e">
        <f>-IF(Tabla14[[#This Row],[DIAS HABILES O MORA]]&lt;0,(Tabla14[[#This Row],[VALOR PRESTAMO]]*Tabla14[[#This Row],[% INTERES ]]/30*U874))+Tabla14[[#This Row],[VALOR CUOTAS]]</f>
        <v>#VALUE!</v>
      </c>
      <c r="S874" s="88">
        <f>-IF(Tabla14[[#This Row],[DIAS HABILES O MORA]]&lt;0,(Tabla14[[#This Row],[VALOR PRESTAMO]]*Tabla14[[#This Row],[% INTERES ]]/30*U874))</f>
        <v>0</v>
      </c>
      <c r="T874" s="53" t="e">
        <f>Tabla14[[#This Row],[DEUDA CAPITAL]]+Tabla14[[#This Row],[INTERES  CUOTA]]</f>
        <v>#NUM!</v>
      </c>
      <c r="U874" s="61" t="str">
        <f t="shared" si="149"/>
        <v/>
      </c>
    </row>
    <row r="875" spans="9:21" ht="24.75" customHeight="1" x14ac:dyDescent="0.35">
      <c r="I875" s="42">
        <f t="shared" si="140"/>
        <v>0</v>
      </c>
      <c r="J875" s="65" t="e">
        <f t="shared" si="141"/>
        <v>#NUM!</v>
      </c>
      <c r="K875" s="83" t="e">
        <f t="shared" si="142"/>
        <v>#NUM!</v>
      </c>
      <c r="L875" s="83">
        <f t="shared" si="143"/>
        <v>0</v>
      </c>
      <c r="M875" s="110" t="str">
        <f t="shared" si="144"/>
        <v/>
      </c>
      <c r="N875" s="51" t="str">
        <f t="shared" si="145"/>
        <v/>
      </c>
      <c r="O875" s="52" t="str">
        <f t="shared" si="146"/>
        <v/>
      </c>
      <c r="P875" s="88">
        <f t="shared" si="147"/>
        <v>0</v>
      </c>
      <c r="Q875" s="88">
        <f t="shared" si="148"/>
        <v>0</v>
      </c>
      <c r="R875" s="88" t="e">
        <f>-IF(Tabla14[[#This Row],[DIAS HABILES O MORA]]&lt;0,(Tabla14[[#This Row],[VALOR PRESTAMO]]*Tabla14[[#This Row],[% INTERES ]]/30*U875))+Tabla14[[#This Row],[VALOR CUOTAS]]</f>
        <v>#VALUE!</v>
      </c>
      <c r="S875" s="88">
        <f>-IF(Tabla14[[#This Row],[DIAS HABILES O MORA]]&lt;0,(Tabla14[[#This Row],[VALOR PRESTAMO]]*Tabla14[[#This Row],[% INTERES ]]/30*U875))</f>
        <v>0</v>
      </c>
      <c r="T875" s="53" t="e">
        <f>Tabla14[[#This Row],[DEUDA CAPITAL]]+Tabla14[[#This Row],[INTERES  CUOTA]]</f>
        <v>#NUM!</v>
      </c>
      <c r="U875" s="61" t="str">
        <f t="shared" si="149"/>
        <v/>
      </c>
    </row>
    <row r="876" spans="9:21" ht="24.75" customHeight="1" x14ac:dyDescent="0.35">
      <c r="I876" s="42">
        <f t="shared" si="140"/>
        <v>0</v>
      </c>
      <c r="J876" s="65" t="e">
        <f t="shared" si="141"/>
        <v>#NUM!</v>
      </c>
      <c r="K876" s="83" t="e">
        <f t="shared" si="142"/>
        <v>#NUM!</v>
      </c>
      <c r="L876" s="83">
        <f t="shared" si="143"/>
        <v>0</v>
      </c>
      <c r="M876" s="110" t="str">
        <f t="shared" si="144"/>
        <v/>
      </c>
      <c r="N876" s="51" t="str">
        <f t="shared" si="145"/>
        <v/>
      </c>
      <c r="O876" s="52" t="str">
        <f t="shared" si="146"/>
        <v/>
      </c>
      <c r="P876" s="88">
        <f t="shared" si="147"/>
        <v>0</v>
      </c>
      <c r="Q876" s="88">
        <f t="shared" si="148"/>
        <v>0</v>
      </c>
      <c r="R876" s="88" t="e">
        <f>-IF(Tabla14[[#This Row],[DIAS HABILES O MORA]]&lt;0,(Tabla14[[#This Row],[VALOR PRESTAMO]]*Tabla14[[#This Row],[% INTERES ]]/30*U876))+Tabla14[[#This Row],[VALOR CUOTAS]]</f>
        <v>#VALUE!</v>
      </c>
      <c r="S876" s="88">
        <f>-IF(Tabla14[[#This Row],[DIAS HABILES O MORA]]&lt;0,(Tabla14[[#This Row],[VALOR PRESTAMO]]*Tabla14[[#This Row],[% INTERES ]]/30*U876))</f>
        <v>0</v>
      </c>
      <c r="T876" s="53" t="e">
        <f>Tabla14[[#This Row],[DEUDA CAPITAL]]+Tabla14[[#This Row],[INTERES  CUOTA]]</f>
        <v>#NUM!</v>
      </c>
      <c r="U876" s="61" t="str">
        <f t="shared" si="149"/>
        <v/>
      </c>
    </row>
    <row r="877" spans="9:21" ht="24.75" customHeight="1" x14ac:dyDescent="0.35">
      <c r="I877" s="42">
        <f t="shared" si="140"/>
        <v>0</v>
      </c>
      <c r="J877" s="65" t="e">
        <f t="shared" si="141"/>
        <v>#NUM!</v>
      </c>
      <c r="K877" s="83" t="e">
        <f t="shared" si="142"/>
        <v>#NUM!</v>
      </c>
      <c r="L877" s="83">
        <f t="shared" si="143"/>
        <v>0</v>
      </c>
      <c r="M877" s="110" t="str">
        <f t="shared" si="144"/>
        <v/>
      </c>
      <c r="N877" s="51" t="str">
        <f t="shared" si="145"/>
        <v/>
      </c>
      <c r="O877" s="52" t="str">
        <f t="shared" si="146"/>
        <v/>
      </c>
      <c r="P877" s="88">
        <f t="shared" si="147"/>
        <v>0</v>
      </c>
      <c r="Q877" s="88">
        <f t="shared" si="148"/>
        <v>0</v>
      </c>
      <c r="R877" s="88" t="e">
        <f>-IF(Tabla14[[#This Row],[DIAS HABILES O MORA]]&lt;0,(Tabla14[[#This Row],[VALOR PRESTAMO]]*Tabla14[[#This Row],[% INTERES ]]/30*U877))+Tabla14[[#This Row],[VALOR CUOTAS]]</f>
        <v>#VALUE!</v>
      </c>
      <c r="S877" s="88">
        <f>-IF(Tabla14[[#This Row],[DIAS HABILES O MORA]]&lt;0,(Tabla14[[#This Row],[VALOR PRESTAMO]]*Tabla14[[#This Row],[% INTERES ]]/30*U877))</f>
        <v>0</v>
      </c>
      <c r="T877" s="53" t="e">
        <f>Tabla14[[#This Row],[DEUDA CAPITAL]]+Tabla14[[#This Row],[INTERES  CUOTA]]</f>
        <v>#NUM!</v>
      </c>
      <c r="U877" s="61" t="str">
        <f t="shared" si="149"/>
        <v/>
      </c>
    </row>
    <row r="878" spans="9:21" ht="24.75" customHeight="1" x14ac:dyDescent="0.35">
      <c r="I878" s="42">
        <f t="shared" si="140"/>
        <v>0</v>
      </c>
      <c r="J878" s="65" t="e">
        <f t="shared" si="141"/>
        <v>#NUM!</v>
      </c>
      <c r="K878" s="83" t="e">
        <f t="shared" si="142"/>
        <v>#NUM!</v>
      </c>
      <c r="L878" s="83">
        <f t="shared" si="143"/>
        <v>0</v>
      </c>
      <c r="M878" s="110" t="str">
        <f t="shared" si="144"/>
        <v/>
      </c>
      <c r="N878" s="51" t="str">
        <f t="shared" si="145"/>
        <v/>
      </c>
      <c r="O878" s="52" t="str">
        <f t="shared" si="146"/>
        <v/>
      </c>
      <c r="P878" s="88">
        <f t="shared" si="147"/>
        <v>0</v>
      </c>
      <c r="Q878" s="88">
        <f t="shared" si="148"/>
        <v>0</v>
      </c>
      <c r="R878" s="88" t="e">
        <f>-IF(Tabla14[[#This Row],[DIAS HABILES O MORA]]&lt;0,(Tabla14[[#This Row],[VALOR PRESTAMO]]*Tabla14[[#This Row],[% INTERES ]]/30*U878))+Tabla14[[#This Row],[VALOR CUOTAS]]</f>
        <v>#VALUE!</v>
      </c>
      <c r="S878" s="88">
        <f>-IF(Tabla14[[#This Row],[DIAS HABILES O MORA]]&lt;0,(Tabla14[[#This Row],[VALOR PRESTAMO]]*Tabla14[[#This Row],[% INTERES ]]/30*U878))</f>
        <v>0</v>
      </c>
      <c r="T878" s="53" t="e">
        <f>Tabla14[[#This Row],[DEUDA CAPITAL]]+Tabla14[[#This Row],[INTERES  CUOTA]]</f>
        <v>#NUM!</v>
      </c>
      <c r="U878" s="61" t="str">
        <f t="shared" si="149"/>
        <v/>
      </c>
    </row>
    <row r="879" spans="9:21" ht="24.75" customHeight="1" x14ac:dyDescent="0.35">
      <c r="I879" s="42">
        <f t="shared" si="140"/>
        <v>0</v>
      </c>
      <c r="J879" s="65" t="e">
        <f t="shared" si="141"/>
        <v>#NUM!</v>
      </c>
      <c r="K879" s="83" t="e">
        <f t="shared" si="142"/>
        <v>#NUM!</v>
      </c>
      <c r="L879" s="83">
        <f t="shared" si="143"/>
        <v>0</v>
      </c>
      <c r="M879" s="110" t="str">
        <f t="shared" si="144"/>
        <v/>
      </c>
      <c r="N879" s="51" t="str">
        <f t="shared" si="145"/>
        <v/>
      </c>
      <c r="O879" s="52" t="str">
        <f t="shared" si="146"/>
        <v/>
      </c>
      <c r="P879" s="88">
        <f t="shared" si="147"/>
        <v>0</v>
      </c>
      <c r="Q879" s="88">
        <f t="shared" si="148"/>
        <v>0</v>
      </c>
      <c r="R879" s="88" t="e">
        <f>-IF(Tabla14[[#This Row],[DIAS HABILES O MORA]]&lt;0,(Tabla14[[#This Row],[VALOR PRESTAMO]]*Tabla14[[#This Row],[% INTERES ]]/30*U879))+Tabla14[[#This Row],[VALOR CUOTAS]]</f>
        <v>#VALUE!</v>
      </c>
      <c r="S879" s="88">
        <f>-IF(Tabla14[[#This Row],[DIAS HABILES O MORA]]&lt;0,(Tabla14[[#This Row],[VALOR PRESTAMO]]*Tabla14[[#This Row],[% INTERES ]]/30*U879))</f>
        <v>0</v>
      </c>
      <c r="T879" s="53" t="e">
        <f>Tabla14[[#This Row],[DEUDA CAPITAL]]+Tabla14[[#This Row],[INTERES  CUOTA]]</f>
        <v>#NUM!</v>
      </c>
      <c r="U879" s="61" t="str">
        <f t="shared" si="149"/>
        <v/>
      </c>
    </row>
    <row r="880" spans="9:21" ht="24.75" customHeight="1" x14ac:dyDescent="0.35">
      <c r="I880" s="42">
        <f t="shared" si="140"/>
        <v>0</v>
      </c>
      <c r="J880" s="65" t="e">
        <f t="shared" si="141"/>
        <v>#NUM!</v>
      </c>
      <c r="K880" s="83" t="e">
        <f t="shared" si="142"/>
        <v>#NUM!</v>
      </c>
      <c r="L880" s="83">
        <f t="shared" si="143"/>
        <v>0</v>
      </c>
      <c r="M880" s="110" t="str">
        <f t="shared" si="144"/>
        <v/>
      </c>
      <c r="N880" s="51" t="str">
        <f t="shared" si="145"/>
        <v/>
      </c>
      <c r="O880" s="52" t="str">
        <f t="shared" si="146"/>
        <v/>
      </c>
      <c r="P880" s="88">
        <f t="shared" si="147"/>
        <v>0</v>
      </c>
      <c r="Q880" s="88">
        <f t="shared" si="148"/>
        <v>0</v>
      </c>
      <c r="R880" s="88" t="e">
        <f>-IF(Tabla14[[#This Row],[DIAS HABILES O MORA]]&lt;0,(Tabla14[[#This Row],[VALOR PRESTAMO]]*Tabla14[[#This Row],[% INTERES ]]/30*U880))+Tabla14[[#This Row],[VALOR CUOTAS]]</f>
        <v>#VALUE!</v>
      </c>
      <c r="S880" s="88">
        <f>-IF(Tabla14[[#This Row],[DIAS HABILES O MORA]]&lt;0,(Tabla14[[#This Row],[VALOR PRESTAMO]]*Tabla14[[#This Row],[% INTERES ]]/30*U880))</f>
        <v>0</v>
      </c>
      <c r="T880" s="53" t="e">
        <f>Tabla14[[#This Row],[DEUDA CAPITAL]]+Tabla14[[#This Row],[INTERES  CUOTA]]</f>
        <v>#NUM!</v>
      </c>
      <c r="U880" s="61" t="str">
        <f t="shared" si="149"/>
        <v/>
      </c>
    </row>
    <row r="881" spans="9:21" ht="24.75" customHeight="1" x14ac:dyDescent="0.35">
      <c r="I881" s="42">
        <f t="shared" si="140"/>
        <v>0</v>
      </c>
      <c r="J881" s="65" t="e">
        <f t="shared" si="141"/>
        <v>#NUM!</v>
      </c>
      <c r="K881" s="83" t="e">
        <f t="shared" si="142"/>
        <v>#NUM!</v>
      </c>
      <c r="L881" s="83">
        <f t="shared" si="143"/>
        <v>0</v>
      </c>
      <c r="M881" s="110" t="str">
        <f t="shared" si="144"/>
        <v/>
      </c>
      <c r="N881" s="51" t="str">
        <f t="shared" si="145"/>
        <v/>
      </c>
      <c r="O881" s="52" t="str">
        <f t="shared" si="146"/>
        <v/>
      </c>
      <c r="P881" s="88">
        <f t="shared" si="147"/>
        <v>0</v>
      </c>
      <c r="Q881" s="88">
        <f t="shared" si="148"/>
        <v>0</v>
      </c>
      <c r="R881" s="88" t="e">
        <f>-IF(Tabla14[[#This Row],[DIAS HABILES O MORA]]&lt;0,(Tabla14[[#This Row],[VALOR PRESTAMO]]*Tabla14[[#This Row],[% INTERES ]]/30*U881))+Tabla14[[#This Row],[VALOR CUOTAS]]</f>
        <v>#VALUE!</v>
      </c>
      <c r="S881" s="88">
        <f>-IF(Tabla14[[#This Row],[DIAS HABILES O MORA]]&lt;0,(Tabla14[[#This Row],[VALOR PRESTAMO]]*Tabla14[[#This Row],[% INTERES ]]/30*U881))</f>
        <v>0</v>
      </c>
      <c r="T881" s="53" t="e">
        <f>Tabla14[[#This Row],[DEUDA CAPITAL]]+Tabla14[[#This Row],[INTERES  CUOTA]]</f>
        <v>#NUM!</v>
      </c>
      <c r="U881" s="61" t="str">
        <f t="shared" si="149"/>
        <v/>
      </c>
    </row>
    <row r="882" spans="9:21" ht="24.75" customHeight="1" x14ac:dyDescent="0.35">
      <c r="I882" s="42">
        <f t="shared" si="140"/>
        <v>0</v>
      </c>
      <c r="J882" s="65" t="e">
        <f t="shared" si="141"/>
        <v>#NUM!</v>
      </c>
      <c r="K882" s="83" t="e">
        <f t="shared" si="142"/>
        <v>#NUM!</v>
      </c>
      <c r="L882" s="83">
        <f t="shared" si="143"/>
        <v>0</v>
      </c>
      <c r="M882" s="110" t="str">
        <f t="shared" si="144"/>
        <v/>
      </c>
      <c r="N882" s="51" t="str">
        <f t="shared" si="145"/>
        <v/>
      </c>
      <c r="O882" s="52" t="str">
        <f t="shared" si="146"/>
        <v/>
      </c>
      <c r="P882" s="88">
        <f t="shared" si="147"/>
        <v>0</v>
      </c>
      <c r="Q882" s="88">
        <f t="shared" si="148"/>
        <v>0</v>
      </c>
      <c r="R882" s="88" t="e">
        <f>-IF(Tabla14[[#This Row],[DIAS HABILES O MORA]]&lt;0,(Tabla14[[#This Row],[VALOR PRESTAMO]]*Tabla14[[#This Row],[% INTERES ]]/30*U882))+Tabla14[[#This Row],[VALOR CUOTAS]]</f>
        <v>#VALUE!</v>
      </c>
      <c r="S882" s="88">
        <f>-IF(Tabla14[[#This Row],[DIAS HABILES O MORA]]&lt;0,(Tabla14[[#This Row],[VALOR PRESTAMO]]*Tabla14[[#This Row],[% INTERES ]]/30*U882))</f>
        <v>0</v>
      </c>
      <c r="T882" s="53" t="e">
        <f>Tabla14[[#This Row],[DEUDA CAPITAL]]+Tabla14[[#This Row],[INTERES  CUOTA]]</f>
        <v>#NUM!</v>
      </c>
      <c r="U882" s="61" t="str">
        <f t="shared" si="149"/>
        <v/>
      </c>
    </row>
    <row r="883" spans="9:21" ht="24.75" customHeight="1" x14ac:dyDescent="0.35">
      <c r="I883" s="42">
        <f t="shared" si="140"/>
        <v>0</v>
      </c>
      <c r="J883" s="65" t="e">
        <f t="shared" si="141"/>
        <v>#NUM!</v>
      </c>
      <c r="K883" s="83" t="e">
        <f t="shared" si="142"/>
        <v>#NUM!</v>
      </c>
      <c r="L883" s="83">
        <f t="shared" si="143"/>
        <v>0</v>
      </c>
      <c r="M883" s="110" t="str">
        <f t="shared" si="144"/>
        <v/>
      </c>
      <c r="N883" s="51" t="str">
        <f t="shared" si="145"/>
        <v/>
      </c>
      <c r="O883" s="52" t="str">
        <f t="shared" si="146"/>
        <v/>
      </c>
      <c r="P883" s="88">
        <f t="shared" si="147"/>
        <v>0</v>
      </c>
      <c r="Q883" s="88">
        <f t="shared" si="148"/>
        <v>0</v>
      </c>
      <c r="R883" s="88" t="e">
        <f>-IF(Tabla14[[#This Row],[DIAS HABILES O MORA]]&lt;0,(Tabla14[[#This Row],[VALOR PRESTAMO]]*Tabla14[[#This Row],[% INTERES ]]/30*U883))+Tabla14[[#This Row],[VALOR CUOTAS]]</f>
        <v>#VALUE!</v>
      </c>
      <c r="S883" s="88">
        <f>-IF(Tabla14[[#This Row],[DIAS HABILES O MORA]]&lt;0,(Tabla14[[#This Row],[VALOR PRESTAMO]]*Tabla14[[#This Row],[% INTERES ]]/30*U883))</f>
        <v>0</v>
      </c>
      <c r="T883" s="53" t="e">
        <f>Tabla14[[#This Row],[DEUDA CAPITAL]]+Tabla14[[#This Row],[INTERES  CUOTA]]</f>
        <v>#NUM!</v>
      </c>
      <c r="U883" s="61" t="str">
        <f t="shared" si="149"/>
        <v/>
      </c>
    </row>
    <row r="884" spans="9:21" ht="24.75" customHeight="1" x14ac:dyDescent="0.35">
      <c r="I884" s="42">
        <f t="shared" si="140"/>
        <v>0</v>
      </c>
      <c r="J884" s="65" t="e">
        <f t="shared" si="141"/>
        <v>#NUM!</v>
      </c>
      <c r="K884" s="83" t="e">
        <f t="shared" si="142"/>
        <v>#NUM!</v>
      </c>
      <c r="L884" s="83">
        <f t="shared" si="143"/>
        <v>0</v>
      </c>
      <c r="M884" s="110" t="str">
        <f t="shared" si="144"/>
        <v/>
      </c>
      <c r="N884" s="51" t="str">
        <f t="shared" si="145"/>
        <v/>
      </c>
      <c r="O884" s="52" t="str">
        <f t="shared" si="146"/>
        <v/>
      </c>
      <c r="P884" s="88">
        <f t="shared" si="147"/>
        <v>0</v>
      </c>
      <c r="Q884" s="88">
        <f t="shared" si="148"/>
        <v>0</v>
      </c>
      <c r="R884" s="88" t="e">
        <f>-IF(Tabla14[[#This Row],[DIAS HABILES O MORA]]&lt;0,(Tabla14[[#This Row],[VALOR PRESTAMO]]*Tabla14[[#This Row],[% INTERES ]]/30*U884))+Tabla14[[#This Row],[VALOR CUOTAS]]</f>
        <v>#VALUE!</v>
      </c>
      <c r="S884" s="88">
        <f>-IF(Tabla14[[#This Row],[DIAS HABILES O MORA]]&lt;0,(Tabla14[[#This Row],[VALOR PRESTAMO]]*Tabla14[[#This Row],[% INTERES ]]/30*U884))</f>
        <v>0</v>
      </c>
      <c r="T884" s="53" t="e">
        <f>Tabla14[[#This Row],[DEUDA CAPITAL]]+Tabla14[[#This Row],[INTERES  CUOTA]]</f>
        <v>#NUM!</v>
      </c>
      <c r="U884" s="61" t="str">
        <f t="shared" si="149"/>
        <v/>
      </c>
    </row>
    <row r="885" spans="9:21" ht="24.75" customHeight="1" x14ac:dyDescent="0.35">
      <c r="I885" s="42">
        <f t="shared" si="140"/>
        <v>0</v>
      </c>
      <c r="J885" s="65" t="e">
        <f t="shared" si="141"/>
        <v>#NUM!</v>
      </c>
      <c r="K885" s="83" t="e">
        <f t="shared" si="142"/>
        <v>#NUM!</v>
      </c>
      <c r="L885" s="83">
        <f t="shared" si="143"/>
        <v>0</v>
      </c>
      <c r="M885" s="110" t="str">
        <f t="shared" si="144"/>
        <v/>
      </c>
      <c r="N885" s="51" t="str">
        <f t="shared" si="145"/>
        <v/>
      </c>
      <c r="O885" s="52" t="str">
        <f t="shared" si="146"/>
        <v/>
      </c>
      <c r="P885" s="88">
        <f t="shared" si="147"/>
        <v>0</v>
      </c>
      <c r="Q885" s="88">
        <f t="shared" si="148"/>
        <v>0</v>
      </c>
      <c r="R885" s="88" t="e">
        <f>-IF(Tabla14[[#This Row],[DIAS HABILES O MORA]]&lt;0,(Tabla14[[#This Row],[VALOR PRESTAMO]]*Tabla14[[#This Row],[% INTERES ]]/30*U885))+Tabla14[[#This Row],[VALOR CUOTAS]]</f>
        <v>#VALUE!</v>
      </c>
      <c r="S885" s="88">
        <f>-IF(Tabla14[[#This Row],[DIAS HABILES O MORA]]&lt;0,(Tabla14[[#This Row],[VALOR PRESTAMO]]*Tabla14[[#This Row],[% INTERES ]]/30*U885))</f>
        <v>0</v>
      </c>
      <c r="T885" s="53" t="e">
        <f>Tabla14[[#This Row],[DEUDA CAPITAL]]+Tabla14[[#This Row],[INTERES  CUOTA]]</f>
        <v>#NUM!</v>
      </c>
      <c r="U885" s="61" t="str">
        <f t="shared" si="149"/>
        <v/>
      </c>
    </row>
    <row r="886" spans="9:21" ht="24.75" customHeight="1" x14ac:dyDescent="0.35">
      <c r="I886" s="42">
        <f t="shared" si="140"/>
        <v>0</v>
      </c>
      <c r="J886" s="65" t="e">
        <f t="shared" si="141"/>
        <v>#NUM!</v>
      </c>
      <c r="K886" s="83" t="e">
        <f t="shared" si="142"/>
        <v>#NUM!</v>
      </c>
      <c r="L886" s="83">
        <f t="shared" si="143"/>
        <v>0</v>
      </c>
      <c r="M886" s="110" t="str">
        <f t="shared" si="144"/>
        <v/>
      </c>
      <c r="N886" s="51" t="str">
        <f t="shared" si="145"/>
        <v/>
      </c>
      <c r="O886" s="52" t="str">
        <f t="shared" si="146"/>
        <v/>
      </c>
      <c r="P886" s="88">
        <f t="shared" si="147"/>
        <v>0</v>
      </c>
      <c r="Q886" s="88">
        <f t="shared" si="148"/>
        <v>0</v>
      </c>
      <c r="R886" s="88" t="e">
        <f>-IF(Tabla14[[#This Row],[DIAS HABILES O MORA]]&lt;0,(Tabla14[[#This Row],[VALOR PRESTAMO]]*Tabla14[[#This Row],[% INTERES ]]/30*U886))+Tabla14[[#This Row],[VALOR CUOTAS]]</f>
        <v>#VALUE!</v>
      </c>
      <c r="S886" s="88">
        <f>-IF(Tabla14[[#This Row],[DIAS HABILES O MORA]]&lt;0,(Tabla14[[#This Row],[VALOR PRESTAMO]]*Tabla14[[#This Row],[% INTERES ]]/30*U886))</f>
        <v>0</v>
      </c>
      <c r="T886" s="53" t="e">
        <f>Tabla14[[#This Row],[DEUDA CAPITAL]]+Tabla14[[#This Row],[INTERES  CUOTA]]</f>
        <v>#NUM!</v>
      </c>
      <c r="U886" s="61" t="str">
        <f t="shared" si="149"/>
        <v/>
      </c>
    </row>
    <row r="887" spans="9:21" ht="24.75" customHeight="1" x14ac:dyDescent="0.35">
      <c r="I887" s="42">
        <f t="shared" si="140"/>
        <v>0</v>
      </c>
      <c r="J887" s="65" t="e">
        <f t="shared" si="141"/>
        <v>#NUM!</v>
      </c>
      <c r="K887" s="83" t="e">
        <f t="shared" si="142"/>
        <v>#NUM!</v>
      </c>
      <c r="L887" s="83">
        <f t="shared" si="143"/>
        <v>0</v>
      </c>
      <c r="M887" s="110" t="str">
        <f t="shared" si="144"/>
        <v/>
      </c>
      <c r="N887" s="51" t="str">
        <f t="shared" si="145"/>
        <v/>
      </c>
      <c r="O887" s="52" t="str">
        <f t="shared" si="146"/>
        <v/>
      </c>
      <c r="P887" s="88">
        <f t="shared" si="147"/>
        <v>0</v>
      </c>
      <c r="Q887" s="88">
        <f t="shared" si="148"/>
        <v>0</v>
      </c>
      <c r="R887" s="88" t="e">
        <f>-IF(Tabla14[[#This Row],[DIAS HABILES O MORA]]&lt;0,(Tabla14[[#This Row],[VALOR PRESTAMO]]*Tabla14[[#This Row],[% INTERES ]]/30*U887))+Tabla14[[#This Row],[VALOR CUOTAS]]</f>
        <v>#VALUE!</v>
      </c>
      <c r="S887" s="88">
        <f>-IF(Tabla14[[#This Row],[DIAS HABILES O MORA]]&lt;0,(Tabla14[[#This Row],[VALOR PRESTAMO]]*Tabla14[[#This Row],[% INTERES ]]/30*U887))</f>
        <v>0</v>
      </c>
      <c r="T887" s="53" t="e">
        <f>Tabla14[[#This Row],[DEUDA CAPITAL]]+Tabla14[[#This Row],[INTERES  CUOTA]]</f>
        <v>#NUM!</v>
      </c>
      <c r="U887" s="61" t="str">
        <f t="shared" si="149"/>
        <v/>
      </c>
    </row>
    <row r="888" spans="9:21" ht="24.75" customHeight="1" x14ac:dyDescent="0.35">
      <c r="I888" s="42">
        <f t="shared" si="140"/>
        <v>0</v>
      </c>
      <c r="J888" s="65" t="e">
        <f t="shared" si="141"/>
        <v>#NUM!</v>
      </c>
      <c r="K888" s="83" t="e">
        <f t="shared" si="142"/>
        <v>#NUM!</v>
      </c>
      <c r="L888" s="83">
        <f t="shared" si="143"/>
        <v>0</v>
      </c>
      <c r="M888" s="110" t="str">
        <f t="shared" si="144"/>
        <v/>
      </c>
      <c r="N888" s="51" t="str">
        <f t="shared" si="145"/>
        <v/>
      </c>
      <c r="O888" s="52" t="str">
        <f t="shared" si="146"/>
        <v/>
      </c>
      <c r="P888" s="88">
        <f t="shared" si="147"/>
        <v>0</v>
      </c>
      <c r="Q888" s="88">
        <f t="shared" si="148"/>
        <v>0</v>
      </c>
      <c r="R888" s="88" t="e">
        <f>-IF(Tabla14[[#This Row],[DIAS HABILES O MORA]]&lt;0,(Tabla14[[#This Row],[VALOR PRESTAMO]]*Tabla14[[#This Row],[% INTERES ]]/30*U888))+Tabla14[[#This Row],[VALOR CUOTAS]]</f>
        <v>#VALUE!</v>
      </c>
      <c r="S888" s="88">
        <f>-IF(Tabla14[[#This Row],[DIAS HABILES O MORA]]&lt;0,(Tabla14[[#This Row],[VALOR PRESTAMO]]*Tabla14[[#This Row],[% INTERES ]]/30*U888))</f>
        <v>0</v>
      </c>
      <c r="T888" s="53" t="e">
        <f>Tabla14[[#This Row],[DEUDA CAPITAL]]+Tabla14[[#This Row],[INTERES  CUOTA]]</f>
        <v>#NUM!</v>
      </c>
      <c r="U888" s="61" t="str">
        <f t="shared" si="149"/>
        <v/>
      </c>
    </row>
    <row r="889" spans="9:21" ht="24.75" customHeight="1" x14ac:dyDescent="0.35">
      <c r="I889" s="42">
        <f t="shared" si="140"/>
        <v>0</v>
      </c>
      <c r="J889" s="65" t="e">
        <f t="shared" si="141"/>
        <v>#NUM!</v>
      </c>
      <c r="K889" s="83" t="e">
        <f t="shared" si="142"/>
        <v>#NUM!</v>
      </c>
      <c r="L889" s="83">
        <f t="shared" si="143"/>
        <v>0</v>
      </c>
      <c r="M889" s="110" t="str">
        <f t="shared" si="144"/>
        <v/>
      </c>
      <c r="N889" s="51" t="str">
        <f t="shared" si="145"/>
        <v/>
      </c>
      <c r="O889" s="52" t="str">
        <f t="shared" si="146"/>
        <v/>
      </c>
      <c r="P889" s="88">
        <f t="shared" si="147"/>
        <v>0</v>
      </c>
      <c r="Q889" s="88">
        <f t="shared" si="148"/>
        <v>0</v>
      </c>
      <c r="R889" s="88" t="e">
        <f>-IF(Tabla14[[#This Row],[DIAS HABILES O MORA]]&lt;0,(Tabla14[[#This Row],[VALOR PRESTAMO]]*Tabla14[[#This Row],[% INTERES ]]/30*U889))+Tabla14[[#This Row],[VALOR CUOTAS]]</f>
        <v>#VALUE!</v>
      </c>
      <c r="S889" s="88">
        <f>-IF(Tabla14[[#This Row],[DIAS HABILES O MORA]]&lt;0,(Tabla14[[#This Row],[VALOR PRESTAMO]]*Tabla14[[#This Row],[% INTERES ]]/30*U889))</f>
        <v>0</v>
      </c>
      <c r="T889" s="53" t="e">
        <f>Tabla14[[#This Row],[DEUDA CAPITAL]]+Tabla14[[#This Row],[INTERES  CUOTA]]</f>
        <v>#NUM!</v>
      </c>
      <c r="U889" s="61" t="str">
        <f t="shared" si="149"/>
        <v/>
      </c>
    </row>
    <row r="890" spans="9:21" ht="24.75" customHeight="1" x14ac:dyDescent="0.35">
      <c r="I890" s="42">
        <f t="shared" si="140"/>
        <v>0</v>
      </c>
      <c r="J890" s="65" t="e">
        <f t="shared" si="141"/>
        <v>#NUM!</v>
      </c>
      <c r="K890" s="83" t="e">
        <f t="shared" si="142"/>
        <v>#NUM!</v>
      </c>
      <c r="L890" s="83">
        <f t="shared" si="143"/>
        <v>0</v>
      </c>
      <c r="M890" s="110" t="str">
        <f t="shared" si="144"/>
        <v/>
      </c>
      <c r="N890" s="51" t="str">
        <f t="shared" si="145"/>
        <v/>
      </c>
      <c r="O890" s="52" t="str">
        <f t="shared" si="146"/>
        <v/>
      </c>
      <c r="P890" s="88">
        <f t="shared" si="147"/>
        <v>0</v>
      </c>
      <c r="Q890" s="88">
        <f t="shared" si="148"/>
        <v>0</v>
      </c>
      <c r="R890" s="88" t="e">
        <f>-IF(Tabla14[[#This Row],[DIAS HABILES O MORA]]&lt;0,(Tabla14[[#This Row],[VALOR PRESTAMO]]*Tabla14[[#This Row],[% INTERES ]]/30*U890))+Tabla14[[#This Row],[VALOR CUOTAS]]</f>
        <v>#VALUE!</v>
      </c>
      <c r="S890" s="88">
        <f>-IF(Tabla14[[#This Row],[DIAS HABILES O MORA]]&lt;0,(Tabla14[[#This Row],[VALOR PRESTAMO]]*Tabla14[[#This Row],[% INTERES ]]/30*U890))</f>
        <v>0</v>
      </c>
      <c r="T890" s="53" t="e">
        <f>Tabla14[[#This Row],[DEUDA CAPITAL]]+Tabla14[[#This Row],[INTERES  CUOTA]]</f>
        <v>#NUM!</v>
      </c>
      <c r="U890" s="61" t="str">
        <f t="shared" si="149"/>
        <v/>
      </c>
    </row>
    <row r="891" spans="9:21" ht="24.75" customHeight="1" x14ac:dyDescent="0.35">
      <c r="I891" s="42">
        <f t="shared" si="140"/>
        <v>0</v>
      </c>
      <c r="J891" s="65" t="e">
        <f t="shared" si="141"/>
        <v>#NUM!</v>
      </c>
      <c r="K891" s="83" t="e">
        <f t="shared" si="142"/>
        <v>#NUM!</v>
      </c>
      <c r="L891" s="83">
        <f t="shared" si="143"/>
        <v>0</v>
      </c>
      <c r="M891" s="110" t="str">
        <f t="shared" si="144"/>
        <v/>
      </c>
      <c r="N891" s="51" t="str">
        <f t="shared" si="145"/>
        <v/>
      </c>
      <c r="O891" s="52" t="str">
        <f t="shared" si="146"/>
        <v/>
      </c>
      <c r="P891" s="88">
        <f t="shared" si="147"/>
        <v>0</v>
      </c>
      <c r="Q891" s="88">
        <f t="shared" si="148"/>
        <v>0</v>
      </c>
      <c r="R891" s="88" t="e">
        <f>-IF(Tabla14[[#This Row],[DIAS HABILES O MORA]]&lt;0,(Tabla14[[#This Row],[VALOR PRESTAMO]]*Tabla14[[#This Row],[% INTERES ]]/30*U891))+Tabla14[[#This Row],[VALOR CUOTAS]]</f>
        <v>#VALUE!</v>
      </c>
      <c r="S891" s="88">
        <f>-IF(Tabla14[[#This Row],[DIAS HABILES O MORA]]&lt;0,(Tabla14[[#This Row],[VALOR PRESTAMO]]*Tabla14[[#This Row],[% INTERES ]]/30*U891))</f>
        <v>0</v>
      </c>
      <c r="T891" s="53" t="e">
        <f>Tabla14[[#This Row],[DEUDA CAPITAL]]+Tabla14[[#This Row],[INTERES  CUOTA]]</f>
        <v>#NUM!</v>
      </c>
      <c r="U891" s="61" t="str">
        <f t="shared" si="149"/>
        <v/>
      </c>
    </row>
    <row r="892" spans="9:21" ht="24.75" customHeight="1" x14ac:dyDescent="0.35">
      <c r="I892" s="42">
        <f t="shared" si="140"/>
        <v>0</v>
      </c>
      <c r="J892" s="65" t="e">
        <f t="shared" si="141"/>
        <v>#NUM!</v>
      </c>
      <c r="K892" s="83" t="e">
        <f t="shared" si="142"/>
        <v>#NUM!</v>
      </c>
      <c r="L892" s="83">
        <f t="shared" si="143"/>
        <v>0</v>
      </c>
      <c r="M892" s="110" t="str">
        <f t="shared" si="144"/>
        <v/>
      </c>
      <c r="N892" s="51" t="str">
        <f t="shared" si="145"/>
        <v/>
      </c>
      <c r="O892" s="52" t="str">
        <f t="shared" si="146"/>
        <v/>
      </c>
      <c r="P892" s="88">
        <f t="shared" si="147"/>
        <v>0</v>
      </c>
      <c r="Q892" s="88">
        <f t="shared" si="148"/>
        <v>0</v>
      </c>
      <c r="R892" s="88" t="e">
        <f>-IF(Tabla14[[#This Row],[DIAS HABILES O MORA]]&lt;0,(Tabla14[[#This Row],[VALOR PRESTAMO]]*Tabla14[[#This Row],[% INTERES ]]/30*U892))+Tabla14[[#This Row],[VALOR CUOTAS]]</f>
        <v>#VALUE!</v>
      </c>
      <c r="S892" s="88">
        <f>-IF(Tabla14[[#This Row],[DIAS HABILES O MORA]]&lt;0,(Tabla14[[#This Row],[VALOR PRESTAMO]]*Tabla14[[#This Row],[% INTERES ]]/30*U892))</f>
        <v>0</v>
      </c>
      <c r="T892" s="53" t="e">
        <f>Tabla14[[#This Row],[DEUDA CAPITAL]]+Tabla14[[#This Row],[INTERES  CUOTA]]</f>
        <v>#NUM!</v>
      </c>
      <c r="U892" s="61" t="str">
        <f t="shared" si="149"/>
        <v/>
      </c>
    </row>
    <row r="893" spans="9:21" ht="24.75" customHeight="1" x14ac:dyDescent="0.35">
      <c r="I893" s="42">
        <f t="shared" si="140"/>
        <v>0</v>
      </c>
      <c r="J893" s="65" t="e">
        <f t="shared" si="141"/>
        <v>#NUM!</v>
      </c>
      <c r="K893" s="83" t="e">
        <f t="shared" si="142"/>
        <v>#NUM!</v>
      </c>
      <c r="L893" s="83">
        <f t="shared" si="143"/>
        <v>0</v>
      </c>
      <c r="M893" s="110" t="str">
        <f t="shared" si="144"/>
        <v/>
      </c>
      <c r="N893" s="51" t="str">
        <f t="shared" si="145"/>
        <v/>
      </c>
      <c r="O893" s="52" t="str">
        <f t="shared" si="146"/>
        <v/>
      </c>
      <c r="P893" s="88">
        <f t="shared" si="147"/>
        <v>0</v>
      </c>
      <c r="Q893" s="88">
        <f t="shared" si="148"/>
        <v>0</v>
      </c>
      <c r="R893" s="88" t="e">
        <f>-IF(Tabla14[[#This Row],[DIAS HABILES O MORA]]&lt;0,(Tabla14[[#This Row],[VALOR PRESTAMO]]*Tabla14[[#This Row],[% INTERES ]]/30*U893))+Tabla14[[#This Row],[VALOR CUOTAS]]</f>
        <v>#VALUE!</v>
      </c>
      <c r="S893" s="88">
        <f>-IF(Tabla14[[#This Row],[DIAS HABILES O MORA]]&lt;0,(Tabla14[[#This Row],[VALOR PRESTAMO]]*Tabla14[[#This Row],[% INTERES ]]/30*U893))</f>
        <v>0</v>
      </c>
      <c r="T893" s="53" t="e">
        <f>Tabla14[[#This Row],[DEUDA CAPITAL]]+Tabla14[[#This Row],[INTERES  CUOTA]]</f>
        <v>#NUM!</v>
      </c>
      <c r="U893" s="61" t="str">
        <f t="shared" si="149"/>
        <v/>
      </c>
    </row>
    <row r="894" spans="9:21" ht="24.75" customHeight="1" x14ac:dyDescent="0.35">
      <c r="I894" s="42">
        <f t="shared" si="140"/>
        <v>0</v>
      </c>
      <c r="J894" s="65" t="e">
        <f t="shared" si="141"/>
        <v>#NUM!</v>
      </c>
      <c r="K894" s="83" t="e">
        <f t="shared" si="142"/>
        <v>#NUM!</v>
      </c>
      <c r="L894" s="83">
        <f t="shared" si="143"/>
        <v>0</v>
      </c>
      <c r="M894" s="110" t="str">
        <f t="shared" si="144"/>
        <v/>
      </c>
      <c r="N894" s="51" t="str">
        <f t="shared" si="145"/>
        <v/>
      </c>
      <c r="O894" s="52" t="str">
        <f t="shared" si="146"/>
        <v/>
      </c>
      <c r="P894" s="88">
        <f t="shared" si="147"/>
        <v>0</v>
      </c>
      <c r="Q894" s="88">
        <f t="shared" si="148"/>
        <v>0</v>
      </c>
      <c r="R894" s="88" t="e">
        <f>-IF(Tabla14[[#This Row],[DIAS HABILES O MORA]]&lt;0,(Tabla14[[#This Row],[VALOR PRESTAMO]]*Tabla14[[#This Row],[% INTERES ]]/30*U894))+Tabla14[[#This Row],[VALOR CUOTAS]]</f>
        <v>#VALUE!</v>
      </c>
      <c r="S894" s="88">
        <f>-IF(Tabla14[[#This Row],[DIAS HABILES O MORA]]&lt;0,(Tabla14[[#This Row],[VALOR PRESTAMO]]*Tabla14[[#This Row],[% INTERES ]]/30*U894))</f>
        <v>0</v>
      </c>
      <c r="T894" s="53" t="e">
        <f>Tabla14[[#This Row],[DEUDA CAPITAL]]+Tabla14[[#This Row],[INTERES  CUOTA]]</f>
        <v>#NUM!</v>
      </c>
      <c r="U894" s="61" t="str">
        <f t="shared" si="149"/>
        <v/>
      </c>
    </row>
    <row r="895" spans="9:21" ht="24.75" customHeight="1" x14ac:dyDescent="0.35">
      <c r="I895" s="42">
        <f t="shared" si="140"/>
        <v>0</v>
      </c>
      <c r="J895" s="65" t="e">
        <f t="shared" si="141"/>
        <v>#NUM!</v>
      </c>
      <c r="K895" s="83" t="e">
        <f t="shared" si="142"/>
        <v>#NUM!</v>
      </c>
      <c r="L895" s="83">
        <f t="shared" si="143"/>
        <v>0</v>
      </c>
      <c r="M895" s="110" t="str">
        <f t="shared" si="144"/>
        <v/>
      </c>
      <c r="N895" s="51" t="str">
        <f t="shared" si="145"/>
        <v/>
      </c>
      <c r="O895" s="52" t="str">
        <f t="shared" si="146"/>
        <v/>
      </c>
      <c r="P895" s="88">
        <f t="shared" si="147"/>
        <v>0</v>
      </c>
      <c r="Q895" s="88">
        <f t="shared" si="148"/>
        <v>0</v>
      </c>
      <c r="R895" s="88" t="e">
        <f>-IF(Tabla14[[#This Row],[DIAS HABILES O MORA]]&lt;0,(Tabla14[[#This Row],[VALOR PRESTAMO]]*Tabla14[[#This Row],[% INTERES ]]/30*U895))+Tabla14[[#This Row],[VALOR CUOTAS]]</f>
        <v>#VALUE!</v>
      </c>
      <c r="S895" s="88">
        <f>-IF(Tabla14[[#This Row],[DIAS HABILES O MORA]]&lt;0,(Tabla14[[#This Row],[VALOR PRESTAMO]]*Tabla14[[#This Row],[% INTERES ]]/30*U895))</f>
        <v>0</v>
      </c>
      <c r="T895" s="53" t="e">
        <f>Tabla14[[#This Row],[DEUDA CAPITAL]]+Tabla14[[#This Row],[INTERES  CUOTA]]</f>
        <v>#NUM!</v>
      </c>
      <c r="U895" s="61" t="str">
        <f t="shared" si="149"/>
        <v/>
      </c>
    </row>
    <row r="896" spans="9:21" ht="24.75" customHeight="1" x14ac:dyDescent="0.35">
      <c r="I896" s="42">
        <f t="shared" si="140"/>
        <v>0</v>
      </c>
      <c r="J896" s="65" t="e">
        <f t="shared" si="141"/>
        <v>#NUM!</v>
      </c>
      <c r="K896" s="83" t="e">
        <f t="shared" si="142"/>
        <v>#NUM!</v>
      </c>
      <c r="L896" s="83">
        <f t="shared" si="143"/>
        <v>0</v>
      </c>
      <c r="M896" s="110" t="str">
        <f t="shared" si="144"/>
        <v/>
      </c>
      <c r="N896" s="51" t="str">
        <f t="shared" si="145"/>
        <v/>
      </c>
      <c r="O896" s="52" t="str">
        <f t="shared" si="146"/>
        <v/>
      </c>
      <c r="P896" s="88">
        <f t="shared" si="147"/>
        <v>0</v>
      </c>
      <c r="Q896" s="88">
        <f t="shared" si="148"/>
        <v>0</v>
      </c>
      <c r="R896" s="88" t="e">
        <f>-IF(Tabla14[[#This Row],[DIAS HABILES O MORA]]&lt;0,(Tabla14[[#This Row],[VALOR PRESTAMO]]*Tabla14[[#This Row],[% INTERES ]]/30*U896))+Tabla14[[#This Row],[VALOR CUOTAS]]</f>
        <v>#VALUE!</v>
      </c>
      <c r="S896" s="88">
        <f>-IF(Tabla14[[#This Row],[DIAS HABILES O MORA]]&lt;0,(Tabla14[[#This Row],[VALOR PRESTAMO]]*Tabla14[[#This Row],[% INTERES ]]/30*U896))</f>
        <v>0</v>
      </c>
      <c r="T896" s="53" t="e">
        <f>Tabla14[[#This Row],[DEUDA CAPITAL]]+Tabla14[[#This Row],[INTERES  CUOTA]]</f>
        <v>#NUM!</v>
      </c>
      <c r="U896" s="61" t="str">
        <f t="shared" si="149"/>
        <v/>
      </c>
    </row>
    <row r="897" spans="9:21" ht="24.75" customHeight="1" x14ac:dyDescent="0.35">
      <c r="I897" s="42">
        <f t="shared" si="140"/>
        <v>0</v>
      </c>
      <c r="J897" s="65" t="e">
        <f t="shared" si="141"/>
        <v>#NUM!</v>
      </c>
      <c r="K897" s="83" t="e">
        <f t="shared" si="142"/>
        <v>#NUM!</v>
      </c>
      <c r="L897" s="83">
        <f t="shared" si="143"/>
        <v>0</v>
      </c>
      <c r="M897" s="110" t="str">
        <f t="shared" si="144"/>
        <v/>
      </c>
      <c r="N897" s="51" t="str">
        <f t="shared" si="145"/>
        <v/>
      </c>
      <c r="O897" s="52" t="str">
        <f t="shared" si="146"/>
        <v/>
      </c>
      <c r="P897" s="88">
        <f t="shared" si="147"/>
        <v>0</v>
      </c>
      <c r="Q897" s="88">
        <f t="shared" si="148"/>
        <v>0</v>
      </c>
      <c r="R897" s="88" t="e">
        <f>-IF(Tabla14[[#This Row],[DIAS HABILES O MORA]]&lt;0,(Tabla14[[#This Row],[VALOR PRESTAMO]]*Tabla14[[#This Row],[% INTERES ]]/30*U897))+Tabla14[[#This Row],[VALOR CUOTAS]]</f>
        <v>#VALUE!</v>
      </c>
      <c r="S897" s="88">
        <f>-IF(Tabla14[[#This Row],[DIAS HABILES O MORA]]&lt;0,(Tabla14[[#This Row],[VALOR PRESTAMO]]*Tabla14[[#This Row],[% INTERES ]]/30*U897))</f>
        <v>0</v>
      </c>
      <c r="T897" s="53" t="e">
        <f>Tabla14[[#This Row],[DEUDA CAPITAL]]+Tabla14[[#This Row],[INTERES  CUOTA]]</f>
        <v>#NUM!</v>
      </c>
      <c r="U897" s="61" t="str">
        <f t="shared" si="149"/>
        <v/>
      </c>
    </row>
    <row r="898" spans="9:21" ht="24.75" customHeight="1" x14ac:dyDescent="0.35">
      <c r="I898" s="42">
        <f t="shared" si="140"/>
        <v>0</v>
      </c>
      <c r="J898" s="65" t="e">
        <f t="shared" si="141"/>
        <v>#NUM!</v>
      </c>
      <c r="K898" s="83" t="e">
        <f t="shared" si="142"/>
        <v>#NUM!</v>
      </c>
      <c r="L898" s="83">
        <f t="shared" si="143"/>
        <v>0</v>
      </c>
      <c r="M898" s="110" t="str">
        <f t="shared" si="144"/>
        <v/>
      </c>
      <c r="N898" s="51" t="str">
        <f t="shared" si="145"/>
        <v/>
      </c>
      <c r="O898" s="52" t="str">
        <f t="shared" si="146"/>
        <v/>
      </c>
      <c r="P898" s="88">
        <f t="shared" si="147"/>
        <v>0</v>
      </c>
      <c r="Q898" s="88">
        <f t="shared" si="148"/>
        <v>0</v>
      </c>
      <c r="R898" s="88" t="e">
        <f>-IF(Tabla14[[#This Row],[DIAS HABILES O MORA]]&lt;0,(Tabla14[[#This Row],[VALOR PRESTAMO]]*Tabla14[[#This Row],[% INTERES ]]/30*U898))+Tabla14[[#This Row],[VALOR CUOTAS]]</f>
        <v>#VALUE!</v>
      </c>
      <c r="S898" s="88">
        <f>-IF(Tabla14[[#This Row],[DIAS HABILES O MORA]]&lt;0,(Tabla14[[#This Row],[VALOR PRESTAMO]]*Tabla14[[#This Row],[% INTERES ]]/30*U898))</f>
        <v>0</v>
      </c>
      <c r="T898" s="53" t="e">
        <f>Tabla14[[#This Row],[DEUDA CAPITAL]]+Tabla14[[#This Row],[INTERES  CUOTA]]</f>
        <v>#NUM!</v>
      </c>
      <c r="U898" s="61" t="str">
        <f t="shared" si="149"/>
        <v/>
      </c>
    </row>
    <row r="899" spans="9:21" ht="24.75" customHeight="1" x14ac:dyDescent="0.35">
      <c r="I899" s="42">
        <f t="shared" si="140"/>
        <v>0</v>
      </c>
      <c r="J899" s="65" t="e">
        <f t="shared" si="141"/>
        <v>#NUM!</v>
      </c>
      <c r="K899" s="83" t="e">
        <f t="shared" si="142"/>
        <v>#NUM!</v>
      </c>
      <c r="L899" s="83">
        <f t="shared" si="143"/>
        <v>0</v>
      </c>
      <c r="M899" s="110" t="str">
        <f t="shared" si="144"/>
        <v/>
      </c>
      <c r="N899" s="51" t="str">
        <f t="shared" si="145"/>
        <v/>
      </c>
      <c r="O899" s="52" t="str">
        <f t="shared" si="146"/>
        <v/>
      </c>
      <c r="P899" s="88">
        <f t="shared" si="147"/>
        <v>0</v>
      </c>
      <c r="Q899" s="88">
        <f t="shared" si="148"/>
        <v>0</v>
      </c>
      <c r="R899" s="88" t="e">
        <f>-IF(Tabla14[[#This Row],[DIAS HABILES O MORA]]&lt;0,(Tabla14[[#This Row],[VALOR PRESTAMO]]*Tabla14[[#This Row],[% INTERES ]]/30*U899))+Tabla14[[#This Row],[VALOR CUOTAS]]</f>
        <v>#VALUE!</v>
      </c>
      <c r="S899" s="88">
        <f>-IF(Tabla14[[#This Row],[DIAS HABILES O MORA]]&lt;0,(Tabla14[[#This Row],[VALOR PRESTAMO]]*Tabla14[[#This Row],[% INTERES ]]/30*U899))</f>
        <v>0</v>
      </c>
      <c r="T899" s="53" t="e">
        <f>Tabla14[[#This Row],[DEUDA CAPITAL]]+Tabla14[[#This Row],[INTERES  CUOTA]]</f>
        <v>#NUM!</v>
      </c>
      <c r="U899" s="61" t="str">
        <f t="shared" si="149"/>
        <v/>
      </c>
    </row>
    <row r="900" spans="9:21" ht="24.75" customHeight="1" x14ac:dyDescent="0.35">
      <c r="I900" s="42">
        <f t="shared" si="140"/>
        <v>0</v>
      </c>
      <c r="J900" s="65" t="e">
        <f t="shared" si="141"/>
        <v>#NUM!</v>
      </c>
      <c r="K900" s="83" t="e">
        <f t="shared" si="142"/>
        <v>#NUM!</v>
      </c>
      <c r="L900" s="83">
        <f t="shared" si="143"/>
        <v>0</v>
      </c>
      <c r="M900" s="110" t="str">
        <f t="shared" si="144"/>
        <v/>
      </c>
      <c r="N900" s="51" t="str">
        <f t="shared" si="145"/>
        <v/>
      </c>
      <c r="O900" s="52" t="str">
        <f t="shared" si="146"/>
        <v/>
      </c>
      <c r="P900" s="88">
        <f t="shared" si="147"/>
        <v>0</v>
      </c>
      <c r="Q900" s="88">
        <f t="shared" si="148"/>
        <v>0</v>
      </c>
      <c r="R900" s="88" t="e">
        <f>-IF(Tabla14[[#This Row],[DIAS HABILES O MORA]]&lt;0,(Tabla14[[#This Row],[VALOR PRESTAMO]]*Tabla14[[#This Row],[% INTERES ]]/30*U900))+Tabla14[[#This Row],[VALOR CUOTAS]]</f>
        <v>#VALUE!</v>
      </c>
      <c r="S900" s="88">
        <f>-IF(Tabla14[[#This Row],[DIAS HABILES O MORA]]&lt;0,(Tabla14[[#This Row],[VALOR PRESTAMO]]*Tabla14[[#This Row],[% INTERES ]]/30*U900))</f>
        <v>0</v>
      </c>
      <c r="T900" s="53" t="e">
        <f>Tabla14[[#This Row],[DEUDA CAPITAL]]+Tabla14[[#This Row],[INTERES  CUOTA]]</f>
        <v>#NUM!</v>
      </c>
      <c r="U900" s="61" t="str">
        <f t="shared" si="149"/>
        <v/>
      </c>
    </row>
    <row r="901" spans="9:21" ht="24.75" customHeight="1" x14ac:dyDescent="0.35">
      <c r="I901" s="42">
        <f t="shared" si="140"/>
        <v>0</v>
      </c>
      <c r="J901" s="65" t="e">
        <f t="shared" si="141"/>
        <v>#NUM!</v>
      </c>
      <c r="K901" s="83" t="e">
        <f t="shared" si="142"/>
        <v>#NUM!</v>
      </c>
      <c r="L901" s="83">
        <f t="shared" si="143"/>
        <v>0</v>
      </c>
      <c r="M901" s="110" t="str">
        <f t="shared" si="144"/>
        <v/>
      </c>
      <c r="N901" s="51" t="str">
        <f t="shared" si="145"/>
        <v/>
      </c>
      <c r="O901" s="52" t="str">
        <f t="shared" si="146"/>
        <v/>
      </c>
      <c r="P901" s="88">
        <f t="shared" si="147"/>
        <v>0</v>
      </c>
      <c r="Q901" s="88">
        <f t="shared" si="148"/>
        <v>0</v>
      </c>
      <c r="R901" s="88" t="e">
        <f>-IF(Tabla14[[#This Row],[DIAS HABILES O MORA]]&lt;0,(Tabla14[[#This Row],[VALOR PRESTAMO]]*Tabla14[[#This Row],[% INTERES ]]/30*U901))+Tabla14[[#This Row],[VALOR CUOTAS]]</f>
        <v>#VALUE!</v>
      </c>
      <c r="S901" s="88">
        <f>-IF(Tabla14[[#This Row],[DIAS HABILES O MORA]]&lt;0,(Tabla14[[#This Row],[VALOR PRESTAMO]]*Tabla14[[#This Row],[% INTERES ]]/30*U901))</f>
        <v>0</v>
      </c>
      <c r="T901" s="53" t="e">
        <f>Tabla14[[#This Row],[DEUDA CAPITAL]]+Tabla14[[#This Row],[INTERES  CUOTA]]</f>
        <v>#NUM!</v>
      </c>
      <c r="U901" s="61" t="str">
        <f t="shared" si="149"/>
        <v/>
      </c>
    </row>
    <row r="902" spans="9:21" ht="24.75" customHeight="1" x14ac:dyDescent="0.35">
      <c r="I902" s="42">
        <f t="shared" si="140"/>
        <v>0</v>
      </c>
      <c r="J902" s="65" t="e">
        <f t="shared" si="141"/>
        <v>#NUM!</v>
      </c>
      <c r="K902" s="83" t="e">
        <f t="shared" si="142"/>
        <v>#NUM!</v>
      </c>
      <c r="L902" s="83">
        <f t="shared" si="143"/>
        <v>0</v>
      </c>
      <c r="M902" s="110" t="str">
        <f t="shared" si="144"/>
        <v/>
      </c>
      <c r="N902" s="51" t="str">
        <f t="shared" si="145"/>
        <v/>
      </c>
      <c r="O902" s="52" t="str">
        <f t="shared" si="146"/>
        <v/>
      </c>
      <c r="P902" s="88">
        <f t="shared" si="147"/>
        <v>0</v>
      </c>
      <c r="Q902" s="88">
        <f t="shared" si="148"/>
        <v>0</v>
      </c>
      <c r="R902" s="88" t="e">
        <f>-IF(Tabla14[[#This Row],[DIAS HABILES O MORA]]&lt;0,(Tabla14[[#This Row],[VALOR PRESTAMO]]*Tabla14[[#This Row],[% INTERES ]]/30*U902))+Tabla14[[#This Row],[VALOR CUOTAS]]</f>
        <v>#VALUE!</v>
      </c>
      <c r="S902" s="88">
        <f>-IF(Tabla14[[#This Row],[DIAS HABILES O MORA]]&lt;0,(Tabla14[[#This Row],[VALOR PRESTAMO]]*Tabla14[[#This Row],[% INTERES ]]/30*U902))</f>
        <v>0</v>
      </c>
      <c r="T902" s="53" t="e">
        <f>Tabla14[[#This Row],[DEUDA CAPITAL]]+Tabla14[[#This Row],[INTERES  CUOTA]]</f>
        <v>#NUM!</v>
      </c>
      <c r="U902" s="61" t="str">
        <f t="shared" si="149"/>
        <v/>
      </c>
    </row>
    <row r="903" spans="9:21" ht="24.75" customHeight="1" x14ac:dyDescent="0.35">
      <c r="I903" s="42">
        <f t="shared" si="140"/>
        <v>0</v>
      </c>
      <c r="J903" s="65" t="e">
        <f t="shared" si="141"/>
        <v>#NUM!</v>
      </c>
      <c r="K903" s="83" t="e">
        <f t="shared" si="142"/>
        <v>#NUM!</v>
      </c>
      <c r="L903" s="83">
        <f t="shared" si="143"/>
        <v>0</v>
      </c>
      <c r="M903" s="110" t="str">
        <f t="shared" si="144"/>
        <v/>
      </c>
      <c r="N903" s="51" t="str">
        <f t="shared" si="145"/>
        <v/>
      </c>
      <c r="O903" s="52" t="str">
        <f t="shared" si="146"/>
        <v/>
      </c>
      <c r="P903" s="88">
        <f t="shared" si="147"/>
        <v>0</v>
      </c>
      <c r="Q903" s="88">
        <f t="shared" si="148"/>
        <v>0</v>
      </c>
      <c r="R903" s="88" t="e">
        <f>-IF(Tabla14[[#This Row],[DIAS HABILES O MORA]]&lt;0,(Tabla14[[#This Row],[VALOR PRESTAMO]]*Tabla14[[#This Row],[% INTERES ]]/30*U903))+Tabla14[[#This Row],[VALOR CUOTAS]]</f>
        <v>#VALUE!</v>
      </c>
      <c r="S903" s="88">
        <f>-IF(Tabla14[[#This Row],[DIAS HABILES O MORA]]&lt;0,(Tabla14[[#This Row],[VALOR PRESTAMO]]*Tabla14[[#This Row],[% INTERES ]]/30*U903))</f>
        <v>0</v>
      </c>
      <c r="T903" s="53" t="e">
        <f>Tabla14[[#This Row],[DEUDA CAPITAL]]+Tabla14[[#This Row],[INTERES  CUOTA]]</f>
        <v>#NUM!</v>
      </c>
      <c r="U903" s="61" t="str">
        <f t="shared" si="149"/>
        <v/>
      </c>
    </row>
    <row r="904" spans="9:21" ht="24.75" customHeight="1" x14ac:dyDescent="0.35">
      <c r="I904" s="42">
        <f t="shared" si="140"/>
        <v>0</v>
      </c>
      <c r="J904" s="65" t="e">
        <f t="shared" si="141"/>
        <v>#NUM!</v>
      </c>
      <c r="K904" s="83" t="e">
        <f t="shared" si="142"/>
        <v>#NUM!</v>
      </c>
      <c r="L904" s="83">
        <f t="shared" si="143"/>
        <v>0</v>
      </c>
      <c r="M904" s="110" t="str">
        <f t="shared" si="144"/>
        <v/>
      </c>
      <c r="N904" s="51" t="str">
        <f t="shared" si="145"/>
        <v/>
      </c>
      <c r="O904" s="52" t="str">
        <f t="shared" si="146"/>
        <v/>
      </c>
      <c r="P904" s="88">
        <f t="shared" si="147"/>
        <v>0</v>
      </c>
      <c r="Q904" s="88">
        <f t="shared" si="148"/>
        <v>0</v>
      </c>
      <c r="R904" s="88" t="e">
        <f>-IF(Tabla14[[#This Row],[DIAS HABILES O MORA]]&lt;0,(Tabla14[[#This Row],[VALOR PRESTAMO]]*Tabla14[[#This Row],[% INTERES ]]/30*U904))+Tabla14[[#This Row],[VALOR CUOTAS]]</f>
        <v>#VALUE!</v>
      </c>
      <c r="S904" s="88">
        <f>-IF(Tabla14[[#This Row],[DIAS HABILES O MORA]]&lt;0,(Tabla14[[#This Row],[VALOR PRESTAMO]]*Tabla14[[#This Row],[% INTERES ]]/30*U904))</f>
        <v>0</v>
      </c>
      <c r="T904" s="53" t="e">
        <f>Tabla14[[#This Row],[DEUDA CAPITAL]]+Tabla14[[#This Row],[INTERES  CUOTA]]</f>
        <v>#NUM!</v>
      </c>
      <c r="U904" s="61" t="str">
        <f t="shared" si="149"/>
        <v/>
      </c>
    </row>
    <row r="905" spans="9:21" ht="24.75" customHeight="1" x14ac:dyDescent="0.35">
      <c r="I905" s="42">
        <f t="shared" si="140"/>
        <v>0</v>
      </c>
      <c r="J905" s="65" t="e">
        <f t="shared" si="141"/>
        <v>#NUM!</v>
      </c>
      <c r="K905" s="83" t="e">
        <f t="shared" si="142"/>
        <v>#NUM!</v>
      </c>
      <c r="L905" s="83">
        <f t="shared" si="143"/>
        <v>0</v>
      </c>
      <c r="M905" s="110" t="str">
        <f t="shared" si="144"/>
        <v/>
      </c>
      <c r="N905" s="51" t="str">
        <f t="shared" si="145"/>
        <v/>
      </c>
      <c r="O905" s="52" t="str">
        <f t="shared" si="146"/>
        <v/>
      </c>
      <c r="P905" s="88">
        <f t="shared" si="147"/>
        <v>0</v>
      </c>
      <c r="Q905" s="88">
        <f t="shared" si="148"/>
        <v>0</v>
      </c>
      <c r="R905" s="88" t="e">
        <f>-IF(Tabla14[[#This Row],[DIAS HABILES O MORA]]&lt;0,(Tabla14[[#This Row],[VALOR PRESTAMO]]*Tabla14[[#This Row],[% INTERES ]]/30*U905))+Tabla14[[#This Row],[VALOR CUOTAS]]</f>
        <v>#VALUE!</v>
      </c>
      <c r="S905" s="88">
        <f>-IF(Tabla14[[#This Row],[DIAS HABILES O MORA]]&lt;0,(Tabla14[[#This Row],[VALOR PRESTAMO]]*Tabla14[[#This Row],[% INTERES ]]/30*U905))</f>
        <v>0</v>
      </c>
      <c r="T905" s="53" t="e">
        <f>Tabla14[[#This Row],[DEUDA CAPITAL]]+Tabla14[[#This Row],[INTERES  CUOTA]]</f>
        <v>#NUM!</v>
      </c>
      <c r="U905" s="61" t="str">
        <f t="shared" si="149"/>
        <v/>
      </c>
    </row>
    <row r="906" spans="9:21" ht="24.75" customHeight="1" x14ac:dyDescent="0.35">
      <c r="I906" s="42">
        <f t="shared" si="140"/>
        <v>0</v>
      </c>
      <c r="J906" s="65" t="e">
        <f t="shared" si="141"/>
        <v>#NUM!</v>
      </c>
      <c r="K906" s="83" t="e">
        <f t="shared" si="142"/>
        <v>#NUM!</v>
      </c>
      <c r="L906" s="83">
        <f t="shared" si="143"/>
        <v>0</v>
      </c>
      <c r="M906" s="110" t="str">
        <f t="shared" si="144"/>
        <v/>
      </c>
      <c r="N906" s="51" t="str">
        <f t="shared" si="145"/>
        <v/>
      </c>
      <c r="O906" s="52" t="str">
        <f t="shared" si="146"/>
        <v/>
      </c>
      <c r="P906" s="88">
        <f t="shared" si="147"/>
        <v>0</v>
      </c>
      <c r="Q906" s="88">
        <f t="shared" si="148"/>
        <v>0</v>
      </c>
      <c r="R906" s="88" t="e">
        <f>-IF(Tabla14[[#This Row],[DIAS HABILES O MORA]]&lt;0,(Tabla14[[#This Row],[VALOR PRESTAMO]]*Tabla14[[#This Row],[% INTERES ]]/30*U906))+Tabla14[[#This Row],[VALOR CUOTAS]]</f>
        <v>#VALUE!</v>
      </c>
      <c r="S906" s="88">
        <f>-IF(Tabla14[[#This Row],[DIAS HABILES O MORA]]&lt;0,(Tabla14[[#This Row],[VALOR PRESTAMO]]*Tabla14[[#This Row],[% INTERES ]]/30*U906))</f>
        <v>0</v>
      </c>
      <c r="T906" s="53" t="e">
        <f>Tabla14[[#This Row],[DEUDA CAPITAL]]+Tabla14[[#This Row],[INTERES  CUOTA]]</f>
        <v>#NUM!</v>
      </c>
      <c r="U906" s="61" t="str">
        <f t="shared" si="149"/>
        <v/>
      </c>
    </row>
    <row r="907" spans="9:21" ht="24.75" customHeight="1" x14ac:dyDescent="0.35">
      <c r="I907" s="42">
        <f t="shared" si="140"/>
        <v>0</v>
      </c>
      <c r="J907" s="65" t="e">
        <f t="shared" si="141"/>
        <v>#NUM!</v>
      </c>
      <c r="K907" s="83" t="e">
        <f t="shared" si="142"/>
        <v>#NUM!</v>
      </c>
      <c r="L907" s="83">
        <f t="shared" si="143"/>
        <v>0</v>
      </c>
      <c r="M907" s="110" t="str">
        <f t="shared" si="144"/>
        <v/>
      </c>
      <c r="N907" s="51" t="str">
        <f t="shared" si="145"/>
        <v/>
      </c>
      <c r="O907" s="52" t="str">
        <f t="shared" si="146"/>
        <v/>
      </c>
      <c r="P907" s="88">
        <f t="shared" si="147"/>
        <v>0</v>
      </c>
      <c r="Q907" s="88">
        <f t="shared" si="148"/>
        <v>0</v>
      </c>
      <c r="R907" s="88" t="e">
        <f>-IF(Tabla14[[#This Row],[DIAS HABILES O MORA]]&lt;0,(Tabla14[[#This Row],[VALOR PRESTAMO]]*Tabla14[[#This Row],[% INTERES ]]/30*U907))+Tabla14[[#This Row],[VALOR CUOTAS]]</f>
        <v>#VALUE!</v>
      </c>
      <c r="S907" s="88">
        <f>-IF(Tabla14[[#This Row],[DIAS HABILES O MORA]]&lt;0,(Tabla14[[#This Row],[VALOR PRESTAMO]]*Tabla14[[#This Row],[% INTERES ]]/30*U907))</f>
        <v>0</v>
      </c>
      <c r="T907" s="53" t="e">
        <f>Tabla14[[#This Row],[DEUDA CAPITAL]]+Tabla14[[#This Row],[INTERES  CUOTA]]</f>
        <v>#NUM!</v>
      </c>
      <c r="U907" s="61" t="str">
        <f t="shared" si="149"/>
        <v/>
      </c>
    </row>
    <row r="908" spans="9:21" ht="24.75" customHeight="1" x14ac:dyDescent="0.35">
      <c r="I908" s="42">
        <f t="shared" si="140"/>
        <v>0</v>
      </c>
      <c r="J908" s="65" t="e">
        <f t="shared" si="141"/>
        <v>#NUM!</v>
      </c>
      <c r="K908" s="83" t="e">
        <f t="shared" si="142"/>
        <v>#NUM!</v>
      </c>
      <c r="L908" s="83">
        <f t="shared" si="143"/>
        <v>0</v>
      </c>
      <c r="M908" s="110" t="str">
        <f t="shared" si="144"/>
        <v/>
      </c>
      <c r="N908" s="51" t="str">
        <f t="shared" si="145"/>
        <v/>
      </c>
      <c r="O908" s="52" t="str">
        <f t="shared" si="146"/>
        <v/>
      </c>
      <c r="P908" s="88">
        <f t="shared" si="147"/>
        <v>0</v>
      </c>
      <c r="Q908" s="88">
        <f t="shared" si="148"/>
        <v>0</v>
      </c>
      <c r="R908" s="88" t="e">
        <f>-IF(Tabla14[[#This Row],[DIAS HABILES O MORA]]&lt;0,(Tabla14[[#This Row],[VALOR PRESTAMO]]*Tabla14[[#This Row],[% INTERES ]]/30*U908))+Tabla14[[#This Row],[VALOR CUOTAS]]</f>
        <v>#VALUE!</v>
      </c>
      <c r="S908" s="88">
        <f>-IF(Tabla14[[#This Row],[DIAS HABILES O MORA]]&lt;0,(Tabla14[[#This Row],[VALOR PRESTAMO]]*Tabla14[[#This Row],[% INTERES ]]/30*U908))</f>
        <v>0</v>
      </c>
      <c r="T908" s="53" t="e">
        <f>Tabla14[[#This Row],[DEUDA CAPITAL]]+Tabla14[[#This Row],[INTERES  CUOTA]]</f>
        <v>#NUM!</v>
      </c>
      <c r="U908" s="61" t="str">
        <f t="shared" si="149"/>
        <v/>
      </c>
    </row>
    <row r="909" spans="9:21" ht="24.75" customHeight="1" x14ac:dyDescent="0.35">
      <c r="I909" s="42">
        <f t="shared" si="140"/>
        <v>0</v>
      </c>
      <c r="J909" s="65" t="e">
        <f t="shared" si="141"/>
        <v>#NUM!</v>
      </c>
      <c r="K909" s="83" t="e">
        <f t="shared" si="142"/>
        <v>#NUM!</v>
      </c>
      <c r="L909" s="83">
        <f t="shared" si="143"/>
        <v>0</v>
      </c>
      <c r="M909" s="110" t="str">
        <f t="shared" si="144"/>
        <v/>
      </c>
      <c r="N909" s="51" t="str">
        <f t="shared" si="145"/>
        <v/>
      </c>
      <c r="O909" s="52" t="str">
        <f t="shared" si="146"/>
        <v/>
      </c>
      <c r="P909" s="88">
        <f t="shared" si="147"/>
        <v>0</v>
      </c>
      <c r="Q909" s="88">
        <f t="shared" si="148"/>
        <v>0</v>
      </c>
      <c r="R909" s="88" t="e">
        <f>-IF(Tabla14[[#This Row],[DIAS HABILES O MORA]]&lt;0,(Tabla14[[#This Row],[VALOR PRESTAMO]]*Tabla14[[#This Row],[% INTERES ]]/30*U909))+Tabla14[[#This Row],[VALOR CUOTAS]]</f>
        <v>#VALUE!</v>
      </c>
      <c r="S909" s="88">
        <f>-IF(Tabla14[[#This Row],[DIAS HABILES O MORA]]&lt;0,(Tabla14[[#This Row],[VALOR PRESTAMO]]*Tabla14[[#This Row],[% INTERES ]]/30*U909))</f>
        <v>0</v>
      </c>
      <c r="T909" s="53" t="e">
        <f>Tabla14[[#This Row],[DEUDA CAPITAL]]+Tabla14[[#This Row],[INTERES  CUOTA]]</f>
        <v>#NUM!</v>
      </c>
      <c r="U909" s="61" t="str">
        <f t="shared" si="149"/>
        <v/>
      </c>
    </row>
    <row r="910" spans="9:21" ht="24.75" customHeight="1" x14ac:dyDescent="0.35">
      <c r="I910" s="42">
        <f t="shared" si="140"/>
        <v>0</v>
      </c>
      <c r="J910" s="65" t="e">
        <f t="shared" si="141"/>
        <v>#NUM!</v>
      </c>
      <c r="K910" s="83" t="e">
        <f t="shared" si="142"/>
        <v>#NUM!</v>
      </c>
      <c r="L910" s="83">
        <f t="shared" si="143"/>
        <v>0</v>
      </c>
      <c r="M910" s="110" t="str">
        <f t="shared" si="144"/>
        <v/>
      </c>
      <c r="N910" s="51" t="str">
        <f t="shared" si="145"/>
        <v/>
      </c>
      <c r="O910" s="52" t="str">
        <f t="shared" si="146"/>
        <v/>
      </c>
      <c r="P910" s="88">
        <f t="shared" si="147"/>
        <v>0</v>
      </c>
      <c r="Q910" s="88">
        <f t="shared" si="148"/>
        <v>0</v>
      </c>
      <c r="R910" s="88" t="e">
        <f>-IF(Tabla14[[#This Row],[DIAS HABILES O MORA]]&lt;0,(Tabla14[[#This Row],[VALOR PRESTAMO]]*Tabla14[[#This Row],[% INTERES ]]/30*U910))+Tabla14[[#This Row],[VALOR CUOTAS]]</f>
        <v>#VALUE!</v>
      </c>
      <c r="S910" s="88">
        <f>-IF(Tabla14[[#This Row],[DIAS HABILES O MORA]]&lt;0,(Tabla14[[#This Row],[VALOR PRESTAMO]]*Tabla14[[#This Row],[% INTERES ]]/30*U910))</f>
        <v>0</v>
      </c>
      <c r="T910" s="53" t="e">
        <f>Tabla14[[#This Row],[DEUDA CAPITAL]]+Tabla14[[#This Row],[INTERES  CUOTA]]</f>
        <v>#NUM!</v>
      </c>
      <c r="U910" s="61" t="str">
        <f t="shared" si="149"/>
        <v/>
      </c>
    </row>
    <row r="911" spans="9:21" ht="24.75" customHeight="1" x14ac:dyDescent="0.35">
      <c r="I911" s="42">
        <f t="shared" si="140"/>
        <v>0</v>
      </c>
      <c r="J911" s="65" t="e">
        <f t="shared" si="141"/>
        <v>#NUM!</v>
      </c>
      <c r="K911" s="83" t="e">
        <f t="shared" si="142"/>
        <v>#NUM!</v>
      </c>
      <c r="L911" s="83">
        <f t="shared" si="143"/>
        <v>0</v>
      </c>
      <c r="M911" s="110" t="str">
        <f t="shared" si="144"/>
        <v/>
      </c>
      <c r="N911" s="51" t="str">
        <f t="shared" si="145"/>
        <v/>
      </c>
      <c r="O911" s="52" t="str">
        <f t="shared" si="146"/>
        <v/>
      </c>
      <c r="P911" s="88">
        <f t="shared" si="147"/>
        <v>0</v>
      </c>
      <c r="Q911" s="88">
        <f t="shared" si="148"/>
        <v>0</v>
      </c>
      <c r="R911" s="88" t="e">
        <f>-IF(Tabla14[[#This Row],[DIAS HABILES O MORA]]&lt;0,(Tabla14[[#This Row],[VALOR PRESTAMO]]*Tabla14[[#This Row],[% INTERES ]]/30*U911))+Tabla14[[#This Row],[VALOR CUOTAS]]</f>
        <v>#VALUE!</v>
      </c>
      <c r="S911" s="88">
        <f>-IF(Tabla14[[#This Row],[DIAS HABILES O MORA]]&lt;0,(Tabla14[[#This Row],[VALOR PRESTAMO]]*Tabla14[[#This Row],[% INTERES ]]/30*U911))</f>
        <v>0</v>
      </c>
      <c r="T911" s="53" t="e">
        <f>Tabla14[[#This Row],[DEUDA CAPITAL]]+Tabla14[[#This Row],[INTERES  CUOTA]]</f>
        <v>#NUM!</v>
      </c>
      <c r="U911" s="61" t="str">
        <f t="shared" si="149"/>
        <v/>
      </c>
    </row>
    <row r="912" spans="9:21" ht="24.75" customHeight="1" x14ac:dyDescent="0.35">
      <c r="I912" s="42">
        <f t="shared" ref="I912:I975" si="150">IF(C912&lt;0,"",IF(Q912=0,0,IF(G912=0,H912+1,IF(H912&lt;G912,H912+1,IF(G912=H912,0)))))</f>
        <v>0</v>
      </c>
      <c r="J912" s="65" t="e">
        <f t="shared" ref="J912:J975" si="151">IF(F912="SOLO INTERES",Q912*D912,-IPMT(D912,I912,G912,C912))</f>
        <v>#NUM!</v>
      </c>
      <c r="K912" s="83" t="e">
        <f t="shared" ref="K912:K975" si="152">IF(F912="SOLO INTERES",0,-PPMT(D912,I912,G912,C912))</f>
        <v>#NUM!</v>
      </c>
      <c r="L912" s="83">
        <f t="shared" ref="L912:L975" si="153">IF(F912="SOLO INTERES",SUM(Y912:AAE912),IFERROR(-CUMIPMT(D912,G912,C912,1,H912,0),0)+SUM(Y912:WY912))</f>
        <v>0</v>
      </c>
      <c r="M912" s="110" t="str">
        <f t="shared" ref="M912:M975" si="154">IFERROR(IF(F912="SOLO INTERES",Q912*D912,-PMT(D912,G912,C912,0)),"")</f>
        <v/>
      </c>
      <c r="N912" s="51" t="str">
        <f t="shared" ref="N912:N975" si="155">IF(Q912=0,"",IF(E912="MENSUAL",EDATE(B912,I912),IF(E912="QUINCENAL",B912+(I912*15),IF(E912="SEMANAL",B912+(I912*7)))))</f>
        <v/>
      </c>
      <c r="O912" s="52" t="str">
        <f t="shared" ref="O912:O975" si="156">IF(C912=0,"",IF(Q912&lt;1,"PAGADO",IF(N912=$A$3,"COBRAR HOY",IF(N912&lt;$A$3,"EN MORA",IF(N912&gt;$A$3,"AL DIA")))))</f>
        <v/>
      </c>
      <c r="P912" s="88">
        <f t="shared" ref="P912:P975" si="157">IFERROR(-CUMPRINC(D912,G912,C912,1,H912,0),0)+W912</f>
        <v>0</v>
      </c>
      <c r="Q912" s="88">
        <f t="shared" ref="Q912:Q975" si="158">IFERROR(C912-P912,"")</f>
        <v>0</v>
      </c>
      <c r="R912" s="88" t="e">
        <f>-IF(Tabla14[[#This Row],[DIAS HABILES O MORA]]&lt;0,(Tabla14[[#This Row],[VALOR PRESTAMO]]*Tabla14[[#This Row],[% INTERES ]]/30*U912))+Tabla14[[#This Row],[VALOR CUOTAS]]</f>
        <v>#VALUE!</v>
      </c>
      <c r="S912" s="88">
        <f>-IF(Tabla14[[#This Row],[DIAS HABILES O MORA]]&lt;0,(Tabla14[[#This Row],[VALOR PRESTAMO]]*Tabla14[[#This Row],[% INTERES ]]/30*U912))</f>
        <v>0</v>
      </c>
      <c r="T912" s="53" t="e">
        <f>Tabla14[[#This Row],[DEUDA CAPITAL]]+Tabla14[[#This Row],[INTERES  CUOTA]]</f>
        <v>#NUM!</v>
      </c>
      <c r="U912" s="61" t="str">
        <f t="shared" ref="U912:U975" si="159">IF(O912="PAGADO","",IFERROR(-IF(C912=0,"",$A$3-N912),""))</f>
        <v/>
      </c>
    </row>
    <row r="913" spans="9:21" ht="24.75" customHeight="1" x14ac:dyDescent="0.35">
      <c r="I913" s="42">
        <f t="shared" si="150"/>
        <v>0</v>
      </c>
      <c r="J913" s="65" t="e">
        <f t="shared" si="151"/>
        <v>#NUM!</v>
      </c>
      <c r="K913" s="83" t="e">
        <f t="shared" si="152"/>
        <v>#NUM!</v>
      </c>
      <c r="L913" s="83">
        <f t="shared" si="153"/>
        <v>0</v>
      </c>
      <c r="M913" s="110" t="str">
        <f t="shared" si="154"/>
        <v/>
      </c>
      <c r="N913" s="51" t="str">
        <f t="shared" si="155"/>
        <v/>
      </c>
      <c r="O913" s="52" t="str">
        <f t="shared" si="156"/>
        <v/>
      </c>
      <c r="P913" s="88">
        <f t="shared" si="157"/>
        <v>0</v>
      </c>
      <c r="Q913" s="88">
        <f t="shared" si="158"/>
        <v>0</v>
      </c>
      <c r="R913" s="88" t="e">
        <f>-IF(Tabla14[[#This Row],[DIAS HABILES O MORA]]&lt;0,(Tabla14[[#This Row],[VALOR PRESTAMO]]*Tabla14[[#This Row],[% INTERES ]]/30*U913))+Tabla14[[#This Row],[VALOR CUOTAS]]</f>
        <v>#VALUE!</v>
      </c>
      <c r="S913" s="88">
        <f>-IF(Tabla14[[#This Row],[DIAS HABILES O MORA]]&lt;0,(Tabla14[[#This Row],[VALOR PRESTAMO]]*Tabla14[[#This Row],[% INTERES ]]/30*U913))</f>
        <v>0</v>
      </c>
      <c r="T913" s="53" t="e">
        <f>Tabla14[[#This Row],[DEUDA CAPITAL]]+Tabla14[[#This Row],[INTERES  CUOTA]]</f>
        <v>#NUM!</v>
      </c>
      <c r="U913" s="61" t="str">
        <f t="shared" si="159"/>
        <v/>
      </c>
    </row>
    <row r="914" spans="9:21" ht="24.75" customHeight="1" x14ac:dyDescent="0.35">
      <c r="I914" s="42">
        <f t="shared" si="150"/>
        <v>0</v>
      </c>
      <c r="J914" s="65" t="e">
        <f t="shared" si="151"/>
        <v>#NUM!</v>
      </c>
      <c r="K914" s="83" t="e">
        <f t="shared" si="152"/>
        <v>#NUM!</v>
      </c>
      <c r="L914" s="83">
        <f t="shared" si="153"/>
        <v>0</v>
      </c>
      <c r="M914" s="110" t="str">
        <f t="shared" si="154"/>
        <v/>
      </c>
      <c r="N914" s="51" t="str">
        <f t="shared" si="155"/>
        <v/>
      </c>
      <c r="O914" s="52" t="str">
        <f t="shared" si="156"/>
        <v/>
      </c>
      <c r="P914" s="88">
        <f t="shared" si="157"/>
        <v>0</v>
      </c>
      <c r="Q914" s="88">
        <f t="shared" si="158"/>
        <v>0</v>
      </c>
      <c r="R914" s="88" t="e">
        <f>-IF(Tabla14[[#This Row],[DIAS HABILES O MORA]]&lt;0,(Tabla14[[#This Row],[VALOR PRESTAMO]]*Tabla14[[#This Row],[% INTERES ]]/30*U914))+Tabla14[[#This Row],[VALOR CUOTAS]]</f>
        <v>#VALUE!</v>
      </c>
      <c r="S914" s="88">
        <f>-IF(Tabla14[[#This Row],[DIAS HABILES O MORA]]&lt;0,(Tabla14[[#This Row],[VALOR PRESTAMO]]*Tabla14[[#This Row],[% INTERES ]]/30*U914))</f>
        <v>0</v>
      </c>
      <c r="T914" s="53" t="e">
        <f>Tabla14[[#This Row],[DEUDA CAPITAL]]+Tabla14[[#This Row],[INTERES  CUOTA]]</f>
        <v>#NUM!</v>
      </c>
      <c r="U914" s="61" t="str">
        <f t="shared" si="159"/>
        <v/>
      </c>
    </row>
    <row r="915" spans="9:21" ht="24.75" customHeight="1" x14ac:dyDescent="0.35">
      <c r="I915" s="42">
        <f t="shared" si="150"/>
        <v>0</v>
      </c>
      <c r="J915" s="65" t="e">
        <f t="shared" si="151"/>
        <v>#NUM!</v>
      </c>
      <c r="K915" s="83" t="e">
        <f t="shared" si="152"/>
        <v>#NUM!</v>
      </c>
      <c r="L915" s="83">
        <f t="shared" si="153"/>
        <v>0</v>
      </c>
      <c r="M915" s="110" t="str">
        <f t="shared" si="154"/>
        <v/>
      </c>
      <c r="N915" s="51" t="str">
        <f t="shared" si="155"/>
        <v/>
      </c>
      <c r="O915" s="52" t="str">
        <f t="shared" si="156"/>
        <v/>
      </c>
      <c r="P915" s="88">
        <f t="shared" si="157"/>
        <v>0</v>
      </c>
      <c r="Q915" s="88">
        <f t="shared" si="158"/>
        <v>0</v>
      </c>
      <c r="R915" s="88" t="e">
        <f>-IF(Tabla14[[#This Row],[DIAS HABILES O MORA]]&lt;0,(Tabla14[[#This Row],[VALOR PRESTAMO]]*Tabla14[[#This Row],[% INTERES ]]/30*U915))+Tabla14[[#This Row],[VALOR CUOTAS]]</f>
        <v>#VALUE!</v>
      </c>
      <c r="S915" s="88">
        <f>-IF(Tabla14[[#This Row],[DIAS HABILES O MORA]]&lt;0,(Tabla14[[#This Row],[VALOR PRESTAMO]]*Tabla14[[#This Row],[% INTERES ]]/30*U915))</f>
        <v>0</v>
      </c>
      <c r="T915" s="53" t="e">
        <f>Tabla14[[#This Row],[DEUDA CAPITAL]]+Tabla14[[#This Row],[INTERES  CUOTA]]</f>
        <v>#NUM!</v>
      </c>
      <c r="U915" s="61" t="str">
        <f t="shared" si="159"/>
        <v/>
      </c>
    </row>
    <row r="916" spans="9:21" ht="24.75" customHeight="1" x14ac:dyDescent="0.35">
      <c r="I916" s="42">
        <f t="shared" si="150"/>
        <v>0</v>
      </c>
      <c r="J916" s="65" t="e">
        <f t="shared" si="151"/>
        <v>#NUM!</v>
      </c>
      <c r="K916" s="83" t="e">
        <f t="shared" si="152"/>
        <v>#NUM!</v>
      </c>
      <c r="L916" s="83">
        <f t="shared" si="153"/>
        <v>0</v>
      </c>
      <c r="M916" s="110" t="str">
        <f t="shared" si="154"/>
        <v/>
      </c>
      <c r="N916" s="51" t="str">
        <f t="shared" si="155"/>
        <v/>
      </c>
      <c r="O916" s="52" t="str">
        <f t="shared" si="156"/>
        <v/>
      </c>
      <c r="P916" s="88">
        <f t="shared" si="157"/>
        <v>0</v>
      </c>
      <c r="Q916" s="88">
        <f t="shared" si="158"/>
        <v>0</v>
      </c>
      <c r="R916" s="88" t="e">
        <f>-IF(Tabla14[[#This Row],[DIAS HABILES O MORA]]&lt;0,(Tabla14[[#This Row],[VALOR PRESTAMO]]*Tabla14[[#This Row],[% INTERES ]]/30*U916))+Tabla14[[#This Row],[VALOR CUOTAS]]</f>
        <v>#VALUE!</v>
      </c>
      <c r="S916" s="88">
        <f>-IF(Tabla14[[#This Row],[DIAS HABILES O MORA]]&lt;0,(Tabla14[[#This Row],[VALOR PRESTAMO]]*Tabla14[[#This Row],[% INTERES ]]/30*U916))</f>
        <v>0</v>
      </c>
      <c r="T916" s="53" t="e">
        <f>Tabla14[[#This Row],[DEUDA CAPITAL]]+Tabla14[[#This Row],[INTERES  CUOTA]]</f>
        <v>#NUM!</v>
      </c>
      <c r="U916" s="61" t="str">
        <f t="shared" si="159"/>
        <v/>
      </c>
    </row>
    <row r="917" spans="9:21" ht="24.75" customHeight="1" x14ac:dyDescent="0.35">
      <c r="I917" s="42">
        <f t="shared" si="150"/>
        <v>0</v>
      </c>
      <c r="J917" s="65" t="e">
        <f t="shared" si="151"/>
        <v>#NUM!</v>
      </c>
      <c r="K917" s="83" t="e">
        <f t="shared" si="152"/>
        <v>#NUM!</v>
      </c>
      <c r="L917" s="83">
        <f t="shared" si="153"/>
        <v>0</v>
      </c>
      <c r="M917" s="110" t="str">
        <f t="shared" si="154"/>
        <v/>
      </c>
      <c r="N917" s="51" t="str">
        <f t="shared" si="155"/>
        <v/>
      </c>
      <c r="O917" s="52" t="str">
        <f t="shared" si="156"/>
        <v/>
      </c>
      <c r="P917" s="88">
        <f t="shared" si="157"/>
        <v>0</v>
      </c>
      <c r="Q917" s="88">
        <f t="shared" si="158"/>
        <v>0</v>
      </c>
      <c r="R917" s="88" t="e">
        <f>-IF(Tabla14[[#This Row],[DIAS HABILES O MORA]]&lt;0,(Tabla14[[#This Row],[VALOR PRESTAMO]]*Tabla14[[#This Row],[% INTERES ]]/30*U917))+Tabla14[[#This Row],[VALOR CUOTAS]]</f>
        <v>#VALUE!</v>
      </c>
      <c r="S917" s="88">
        <f>-IF(Tabla14[[#This Row],[DIAS HABILES O MORA]]&lt;0,(Tabla14[[#This Row],[VALOR PRESTAMO]]*Tabla14[[#This Row],[% INTERES ]]/30*U917))</f>
        <v>0</v>
      </c>
      <c r="T917" s="53" t="e">
        <f>Tabla14[[#This Row],[DEUDA CAPITAL]]+Tabla14[[#This Row],[INTERES  CUOTA]]</f>
        <v>#NUM!</v>
      </c>
      <c r="U917" s="61" t="str">
        <f t="shared" si="159"/>
        <v/>
      </c>
    </row>
    <row r="918" spans="9:21" ht="24.75" customHeight="1" x14ac:dyDescent="0.35">
      <c r="I918" s="42">
        <f t="shared" si="150"/>
        <v>0</v>
      </c>
      <c r="J918" s="65" t="e">
        <f t="shared" si="151"/>
        <v>#NUM!</v>
      </c>
      <c r="K918" s="83" t="e">
        <f t="shared" si="152"/>
        <v>#NUM!</v>
      </c>
      <c r="L918" s="83">
        <f t="shared" si="153"/>
        <v>0</v>
      </c>
      <c r="M918" s="110" t="str">
        <f t="shared" si="154"/>
        <v/>
      </c>
      <c r="N918" s="51" t="str">
        <f t="shared" si="155"/>
        <v/>
      </c>
      <c r="O918" s="52" t="str">
        <f t="shared" si="156"/>
        <v/>
      </c>
      <c r="P918" s="88">
        <f t="shared" si="157"/>
        <v>0</v>
      </c>
      <c r="Q918" s="88">
        <f t="shared" si="158"/>
        <v>0</v>
      </c>
      <c r="R918" s="88" t="e">
        <f>-IF(Tabla14[[#This Row],[DIAS HABILES O MORA]]&lt;0,(Tabla14[[#This Row],[VALOR PRESTAMO]]*Tabla14[[#This Row],[% INTERES ]]/30*U918))+Tabla14[[#This Row],[VALOR CUOTAS]]</f>
        <v>#VALUE!</v>
      </c>
      <c r="S918" s="88">
        <f>-IF(Tabla14[[#This Row],[DIAS HABILES O MORA]]&lt;0,(Tabla14[[#This Row],[VALOR PRESTAMO]]*Tabla14[[#This Row],[% INTERES ]]/30*U918))</f>
        <v>0</v>
      </c>
      <c r="T918" s="53" t="e">
        <f>Tabla14[[#This Row],[DEUDA CAPITAL]]+Tabla14[[#This Row],[INTERES  CUOTA]]</f>
        <v>#NUM!</v>
      </c>
      <c r="U918" s="61" t="str">
        <f t="shared" si="159"/>
        <v/>
      </c>
    </row>
    <row r="919" spans="9:21" ht="24.75" customHeight="1" x14ac:dyDescent="0.35">
      <c r="I919" s="42">
        <f t="shared" si="150"/>
        <v>0</v>
      </c>
      <c r="J919" s="65" t="e">
        <f t="shared" si="151"/>
        <v>#NUM!</v>
      </c>
      <c r="K919" s="83" t="e">
        <f t="shared" si="152"/>
        <v>#NUM!</v>
      </c>
      <c r="L919" s="83">
        <f t="shared" si="153"/>
        <v>0</v>
      </c>
      <c r="M919" s="110" t="str">
        <f t="shared" si="154"/>
        <v/>
      </c>
      <c r="N919" s="51" t="str">
        <f t="shared" si="155"/>
        <v/>
      </c>
      <c r="O919" s="52" t="str">
        <f t="shared" si="156"/>
        <v/>
      </c>
      <c r="P919" s="88">
        <f t="shared" si="157"/>
        <v>0</v>
      </c>
      <c r="Q919" s="88">
        <f t="shared" si="158"/>
        <v>0</v>
      </c>
      <c r="R919" s="88" t="e">
        <f>-IF(Tabla14[[#This Row],[DIAS HABILES O MORA]]&lt;0,(Tabla14[[#This Row],[VALOR PRESTAMO]]*Tabla14[[#This Row],[% INTERES ]]/30*U919))+Tabla14[[#This Row],[VALOR CUOTAS]]</f>
        <v>#VALUE!</v>
      </c>
      <c r="S919" s="88">
        <f>-IF(Tabla14[[#This Row],[DIAS HABILES O MORA]]&lt;0,(Tabla14[[#This Row],[VALOR PRESTAMO]]*Tabla14[[#This Row],[% INTERES ]]/30*U919))</f>
        <v>0</v>
      </c>
      <c r="T919" s="53" t="e">
        <f>Tabla14[[#This Row],[DEUDA CAPITAL]]+Tabla14[[#This Row],[INTERES  CUOTA]]</f>
        <v>#NUM!</v>
      </c>
      <c r="U919" s="61" t="str">
        <f t="shared" si="159"/>
        <v/>
      </c>
    </row>
    <row r="920" spans="9:21" ht="24.75" customHeight="1" x14ac:dyDescent="0.35">
      <c r="I920" s="42">
        <f t="shared" si="150"/>
        <v>0</v>
      </c>
      <c r="J920" s="65" t="e">
        <f t="shared" si="151"/>
        <v>#NUM!</v>
      </c>
      <c r="K920" s="83" t="e">
        <f t="shared" si="152"/>
        <v>#NUM!</v>
      </c>
      <c r="L920" s="83">
        <f t="shared" si="153"/>
        <v>0</v>
      </c>
      <c r="M920" s="110" t="str">
        <f t="shared" si="154"/>
        <v/>
      </c>
      <c r="N920" s="51" t="str">
        <f t="shared" si="155"/>
        <v/>
      </c>
      <c r="O920" s="52" t="str">
        <f t="shared" si="156"/>
        <v/>
      </c>
      <c r="P920" s="88">
        <f t="shared" si="157"/>
        <v>0</v>
      </c>
      <c r="Q920" s="88">
        <f t="shared" si="158"/>
        <v>0</v>
      </c>
      <c r="R920" s="88" t="e">
        <f>-IF(Tabla14[[#This Row],[DIAS HABILES O MORA]]&lt;0,(Tabla14[[#This Row],[VALOR PRESTAMO]]*Tabla14[[#This Row],[% INTERES ]]/30*U920))+Tabla14[[#This Row],[VALOR CUOTAS]]</f>
        <v>#VALUE!</v>
      </c>
      <c r="S920" s="88">
        <f>-IF(Tabla14[[#This Row],[DIAS HABILES O MORA]]&lt;0,(Tabla14[[#This Row],[VALOR PRESTAMO]]*Tabla14[[#This Row],[% INTERES ]]/30*U920))</f>
        <v>0</v>
      </c>
      <c r="T920" s="53" t="e">
        <f>Tabla14[[#This Row],[DEUDA CAPITAL]]+Tabla14[[#This Row],[INTERES  CUOTA]]</f>
        <v>#NUM!</v>
      </c>
      <c r="U920" s="61" t="str">
        <f t="shared" si="159"/>
        <v/>
      </c>
    </row>
    <row r="921" spans="9:21" ht="24.75" customHeight="1" x14ac:dyDescent="0.35">
      <c r="I921" s="42">
        <f t="shared" si="150"/>
        <v>0</v>
      </c>
      <c r="J921" s="65" t="e">
        <f t="shared" si="151"/>
        <v>#NUM!</v>
      </c>
      <c r="K921" s="83" t="e">
        <f t="shared" si="152"/>
        <v>#NUM!</v>
      </c>
      <c r="L921" s="83">
        <f t="shared" si="153"/>
        <v>0</v>
      </c>
      <c r="M921" s="110" t="str">
        <f t="shared" si="154"/>
        <v/>
      </c>
      <c r="N921" s="51" t="str">
        <f t="shared" si="155"/>
        <v/>
      </c>
      <c r="O921" s="52" t="str">
        <f t="shared" si="156"/>
        <v/>
      </c>
      <c r="P921" s="88">
        <f t="shared" si="157"/>
        <v>0</v>
      </c>
      <c r="Q921" s="88">
        <f t="shared" si="158"/>
        <v>0</v>
      </c>
      <c r="R921" s="88" t="e">
        <f>-IF(Tabla14[[#This Row],[DIAS HABILES O MORA]]&lt;0,(Tabla14[[#This Row],[VALOR PRESTAMO]]*Tabla14[[#This Row],[% INTERES ]]/30*U921))+Tabla14[[#This Row],[VALOR CUOTAS]]</f>
        <v>#VALUE!</v>
      </c>
      <c r="S921" s="88">
        <f>-IF(Tabla14[[#This Row],[DIAS HABILES O MORA]]&lt;0,(Tabla14[[#This Row],[VALOR PRESTAMO]]*Tabla14[[#This Row],[% INTERES ]]/30*U921))</f>
        <v>0</v>
      </c>
      <c r="T921" s="53" t="e">
        <f>Tabla14[[#This Row],[DEUDA CAPITAL]]+Tabla14[[#This Row],[INTERES  CUOTA]]</f>
        <v>#NUM!</v>
      </c>
      <c r="U921" s="61" t="str">
        <f t="shared" si="159"/>
        <v/>
      </c>
    </row>
    <row r="922" spans="9:21" ht="24.75" customHeight="1" x14ac:dyDescent="0.35">
      <c r="I922" s="42">
        <f t="shared" si="150"/>
        <v>0</v>
      </c>
      <c r="J922" s="65" t="e">
        <f t="shared" si="151"/>
        <v>#NUM!</v>
      </c>
      <c r="K922" s="83" t="e">
        <f t="shared" si="152"/>
        <v>#NUM!</v>
      </c>
      <c r="L922" s="83">
        <f t="shared" si="153"/>
        <v>0</v>
      </c>
      <c r="M922" s="110" t="str">
        <f t="shared" si="154"/>
        <v/>
      </c>
      <c r="N922" s="51" t="str">
        <f t="shared" si="155"/>
        <v/>
      </c>
      <c r="O922" s="52" t="str">
        <f t="shared" si="156"/>
        <v/>
      </c>
      <c r="P922" s="88">
        <f t="shared" si="157"/>
        <v>0</v>
      </c>
      <c r="Q922" s="88">
        <f t="shared" si="158"/>
        <v>0</v>
      </c>
      <c r="R922" s="88" t="e">
        <f>-IF(Tabla14[[#This Row],[DIAS HABILES O MORA]]&lt;0,(Tabla14[[#This Row],[VALOR PRESTAMO]]*Tabla14[[#This Row],[% INTERES ]]/30*U922))+Tabla14[[#This Row],[VALOR CUOTAS]]</f>
        <v>#VALUE!</v>
      </c>
      <c r="S922" s="88">
        <f>-IF(Tabla14[[#This Row],[DIAS HABILES O MORA]]&lt;0,(Tabla14[[#This Row],[VALOR PRESTAMO]]*Tabla14[[#This Row],[% INTERES ]]/30*U922))</f>
        <v>0</v>
      </c>
      <c r="T922" s="53" t="e">
        <f>Tabla14[[#This Row],[DEUDA CAPITAL]]+Tabla14[[#This Row],[INTERES  CUOTA]]</f>
        <v>#NUM!</v>
      </c>
      <c r="U922" s="61" t="str">
        <f t="shared" si="159"/>
        <v/>
      </c>
    </row>
    <row r="923" spans="9:21" ht="24.75" customHeight="1" x14ac:dyDescent="0.35">
      <c r="I923" s="42">
        <f t="shared" si="150"/>
        <v>0</v>
      </c>
      <c r="J923" s="65" t="e">
        <f t="shared" si="151"/>
        <v>#NUM!</v>
      </c>
      <c r="K923" s="83" t="e">
        <f t="shared" si="152"/>
        <v>#NUM!</v>
      </c>
      <c r="L923" s="83">
        <f t="shared" si="153"/>
        <v>0</v>
      </c>
      <c r="M923" s="110" t="str">
        <f t="shared" si="154"/>
        <v/>
      </c>
      <c r="N923" s="51" t="str">
        <f t="shared" si="155"/>
        <v/>
      </c>
      <c r="O923" s="52" t="str">
        <f t="shared" si="156"/>
        <v/>
      </c>
      <c r="P923" s="88">
        <f t="shared" si="157"/>
        <v>0</v>
      </c>
      <c r="Q923" s="88">
        <f t="shared" si="158"/>
        <v>0</v>
      </c>
      <c r="R923" s="88" t="e">
        <f>-IF(Tabla14[[#This Row],[DIAS HABILES O MORA]]&lt;0,(Tabla14[[#This Row],[VALOR PRESTAMO]]*Tabla14[[#This Row],[% INTERES ]]/30*U923))+Tabla14[[#This Row],[VALOR CUOTAS]]</f>
        <v>#VALUE!</v>
      </c>
      <c r="S923" s="88">
        <f>-IF(Tabla14[[#This Row],[DIAS HABILES O MORA]]&lt;0,(Tabla14[[#This Row],[VALOR PRESTAMO]]*Tabla14[[#This Row],[% INTERES ]]/30*U923))</f>
        <v>0</v>
      </c>
      <c r="T923" s="53" t="e">
        <f>Tabla14[[#This Row],[DEUDA CAPITAL]]+Tabla14[[#This Row],[INTERES  CUOTA]]</f>
        <v>#NUM!</v>
      </c>
      <c r="U923" s="61" t="str">
        <f t="shared" si="159"/>
        <v/>
      </c>
    </row>
    <row r="924" spans="9:21" ht="24.75" customHeight="1" x14ac:dyDescent="0.35">
      <c r="I924" s="42">
        <f t="shared" si="150"/>
        <v>0</v>
      </c>
      <c r="J924" s="65" t="e">
        <f t="shared" si="151"/>
        <v>#NUM!</v>
      </c>
      <c r="K924" s="83" t="e">
        <f t="shared" si="152"/>
        <v>#NUM!</v>
      </c>
      <c r="L924" s="83">
        <f t="shared" si="153"/>
        <v>0</v>
      </c>
      <c r="M924" s="110" t="str">
        <f t="shared" si="154"/>
        <v/>
      </c>
      <c r="N924" s="51" t="str">
        <f t="shared" si="155"/>
        <v/>
      </c>
      <c r="O924" s="52" t="str">
        <f t="shared" si="156"/>
        <v/>
      </c>
      <c r="P924" s="88">
        <f t="shared" si="157"/>
        <v>0</v>
      </c>
      <c r="Q924" s="88">
        <f t="shared" si="158"/>
        <v>0</v>
      </c>
      <c r="R924" s="88" t="e">
        <f>-IF(Tabla14[[#This Row],[DIAS HABILES O MORA]]&lt;0,(Tabla14[[#This Row],[VALOR PRESTAMO]]*Tabla14[[#This Row],[% INTERES ]]/30*U924))+Tabla14[[#This Row],[VALOR CUOTAS]]</f>
        <v>#VALUE!</v>
      </c>
      <c r="S924" s="88">
        <f>-IF(Tabla14[[#This Row],[DIAS HABILES O MORA]]&lt;0,(Tabla14[[#This Row],[VALOR PRESTAMO]]*Tabla14[[#This Row],[% INTERES ]]/30*U924))</f>
        <v>0</v>
      </c>
      <c r="T924" s="53" t="e">
        <f>Tabla14[[#This Row],[DEUDA CAPITAL]]+Tabla14[[#This Row],[INTERES  CUOTA]]</f>
        <v>#NUM!</v>
      </c>
      <c r="U924" s="61" t="str">
        <f t="shared" si="159"/>
        <v/>
      </c>
    </row>
    <row r="925" spans="9:21" ht="24.75" customHeight="1" x14ac:dyDescent="0.35">
      <c r="I925" s="42">
        <f t="shared" si="150"/>
        <v>0</v>
      </c>
      <c r="J925" s="65" t="e">
        <f t="shared" si="151"/>
        <v>#NUM!</v>
      </c>
      <c r="K925" s="83" t="e">
        <f t="shared" si="152"/>
        <v>#NUM!</v>
      </c>
      <c r="L925" s="83">
        <f t="shared" si="153"/>
        <v>0</v>
      </c>
      <c r="M925" s="110" t="str">
        <f t="shared" si="154"/>
        <v/>
      </c>
      <c r="N925" s="51" t="str">
        <f t="shared" si="155"/>
        <v/>
      </c>
      <c r="O925" s="52" t="str">
        <f t="shared" si="156"/>
        <v/>
      </c>
      <c r="P925" s="88">
        <f t="shared" si="157"/>
        <v>0</v>
      </c>
      <c r="Q925" s="88">
        <f t="shared" si="158"/>
        <v>0</v>
      </c>
      <c r="R925" s="88" t="e">
        <f>-IF(Tabla14[[#This Row],[DIAS HABILES O MORA]]&lt;0,(Tabla14[[#This Row],[VALOR PRESTAMO]]*Tabla14[[#This Row],[% INTERES ]]/30*U925))+Tabla14[[#This Row],[VALOR CUOTAS]]</f>
        <v>#VALUE!</v>
      </c>
      <c r="S925" s="88">
        <f>-IF(Tabla14[[#This Row],[DIAS HABILES O MORA]]&lt;0,(Tabla14[[#This Row],[VALOR PRESTAMO]]*Tabla14[[#This Row],[% INTERES ]]/30*U925))</f>
        <v>0</v>
      </c>
      <c r="T925" s="53" t="e">
        <f>Tabla14[[#This Row],[DEUDA CAPITAL]]+Tabla14[[#This Row],[INTERES  CUOTA]]</f>
        <v>#NUM!</v>
      </c>
      <c r="U925" s="61" t="str">
        <f t="shared" si="159"/>
        <v/>
      </c>
    </row>
    <row r="926" spans="9:21" ht="24.75" customHeight="1" x14ac:dyDescent="0.35">
      <c r="I926" s="42">
        <f t="shared" si="150"/>
        <v>0</v>
      </c>
      <c r="J926" s="65" t="e">
        <f t="shared" si="151"/>
        <v>#NUM!</v>
      </c>
      <c r="K926" s="83" t="e">
        <f t="shared" si="152"/>
        <v>#NUM!</v>
      </c>
      <c r="L926" s="83">
        <f t="shared" si="153"/>
        <v>0</v>
      </c>
      <c r="M926" s="110" t="str">
        <f t="shared" si="154"/>
        <v/>
      </c>
      <c r="N926" s="51" t="str">
        <f t="shared" si="155"/>
        <v/>
      </c>
      <c r="O926" s="52" t="str">
        <f t="shared" si="156"/>
        <v/>
      </c>
      <c r="P926" s="88">
        <f t="shared" si="157"/>
        <v>0</v>
      </c>
      <c r="Q926" s="88">
        <f t="shared" si="158"/>
        <v>0</v>
      </c>
      <c r="R926" s="88" t="e">
        <f>-IF(Tabla14[[#This Row],[DIAS HABILES O MORA]]&lt;0,(Tabla14[[#This Row],[VALOR PRESTAMO]]*Tabla14[[#This Row],[% INTERES ]]/30*U926))+Tabla14[[#This Row],[VALOR CUOTAS]]</f>
        <v>#VALUE!</v>
      </c>
      <c r="S926" s="88">
        <f>-IF(Tabla14[[#This Row],[DIAS HABILES O MORA]]&lt;0,(Tabla14[[#This Row],[VALOR PRESTAMO]]*Tabla14[[#This Row],[% INTERES ]]/30*U926))</f>
        <v>0</v>
      </c>
      <c r="T926" s="53" t="e">
        <f>Tabla14[[#This Row],[DEUDA CAPITAL]]+Tabla14[[#This Row],[INTERES  CUOTA]]</f>
        <v>#NUM!</v>
      </c>
      <c r="U926" s="61" t="str">
        <f t="shared" si="159"/>
        <v/>
      </c>
    </row>
    <row r="927" spans="9:21" ht="24.75" customHeight="1" x14ac:dyDescent="0.35">
      <c r="I927" s="42">
        <f t="shared" si="150"/>
        <v>0</v>
      </c>
      <c r="J927" s="65" t="e">
        <f t="shared" si="151"/>
        <v>#NUM!</v>
      </c>
      <c r="K927" s="83" t="e">
        <f t="shared" si="152"/>
        <v>#NUM!</v>
      </c>
      <c r="L927" s="83">
        <f t="shared" si="153"/>
        <v>0</v>
      </c>
      <c r="M927" s="110" t="str">
        <f t="shared" si="154"/>
        <v/>
      </c>
      <c r="N927" s="51" t="str">
        <f t="shared" si="155"/>
        <v/>
      </c>
      <c r="O927" s="52" t="str">
        <f t="shared" si="156"/>
        <v/>
      </c>
      <c r="P927" s="88">
        <f t="shared" si="157"/>
        <v>0</v>
      </c>
      <c r="Q927" s="88">
        <f t="shared" si="158"/>
        <v>0</v>
      </c>
      <c r="R927" s="88" t="e">
        <f>-IF(Tabla14[[#This Row],[DIAS HABILES O MORA]]&lt;0,(Tabla14[[#This Row],[VALOR PRESTAMO]]*Tabla14[[#This Row],[% INTERES ]]/30*U927))+Tabla14[[#This Row],[VALOR CUOTAS]]</f>
        <v>#VALUE!</v>
      </c>
      <c r="S927" s="88">
        <f>-IF(Tabla14[[#This Row],[DIAS HABILES O MORA]]&lt;0,(Tabla14[[#This Row],[VALOR PRESTAMO]]*Tabla14[[#This Row],[% INTERES ]]/30*U927))</f>
        <v>0</v>
      </c>
      <c r="T927" s="53" t="e">
        <f>Tabla14[[#This Row],[DEUDA CAPITAL]]+Tabla14[[#This Row],[INTERES  CUOTA]]</f>
        <v>#NUM!</v>
      </c>
      <c r="U927" s="61" t="str">
        <f t="shared" si="159"/>
        <v/>
      </c>
    </row>
    <row r="928" spans="9:21" ht="24.75" customHeight="1" x14ac:dyDescent="0.35">
      <c r="I928" s="42">
        <f t="shared" si="150"/>
        <v>0</v>
      </c>
      <c r="J928" s="65" t="e">
        <f t="shared" si="151"/>
        <v>#NUM!</v>
      </c>
      <c r="K928" s="83" t="e">
        <f t="shared" si="152"/>
        <v>#NUM!</v>
      </c>
      <c r="L928" s="83">
        <f t="shared" si="153"/>
        <v>0</v>
      </c>
      <c r="M928" s="110" t="str">
        <f t="shared" si="154"/>
        <v/>
      </c>
      <c r="N928" s="51" t="str">
        <f t="shared" si="155"/>
        <v/>
      </c>
      <c r="O928" s="52" t="str">
        <f t="shared" si="156"/>
        <v/>
      </c>
      <c r="P928" s="88">
        <f t="shared" si="157"/>
        <v>0</v>
      </c>
      <c r="Q928" s="88">
        <f t="shared" si="158"/>
        <v>0</v>
      </c>
      <c r="R928" s="88" t="e">
        <f>-IF(Tabla14[[#This Row],[DIAS HABILES O MORA]]&lt;0,(Tabla14[[#This Row],[VALOR PRESTAMO]]*Tabla14[[#This Row],[% INTERES ]]/30*U928))+Tabla14[[#This Row],[VALOR CUOTAS]]</f>
        <v>#VALUE!</v>
      </c>
      <c r="S928" s="88">
        <f>-IF(Tabla14[[#This Row],[DIAS HABILES O MORA]]&lt;0,(Tabla14[[#This Row],[VALOR PRESTAMO]]*Tabla14[[#This Row],[% INTERES ]]/30*U928))</f>
        <v>0</v>
      </c>
      <c r="T928" s="53" t="e">
        <f>Tabla14[[#This Row],[DEUDA CAPITAL]]+Tabla14[[#This Row],[INTERES  CUOTA]]</f>
        <v>#NUM!</v>
      </c>
      <c r="U928" s="61" t="str">
        <f t="shared" si="159"/>
        <v/>
      </c>
    </row>
    <row r="929" spans="9:21" ht="24.75" customHeight="1" x14ac:dyDescent="0.35">
      <c r="I929" s="42">
        <f t="shared" si="150"/>
        <v>0</v>
      </c>
      <c r="J929" s="65" t="e">
        <f t="shared" si="151"/>
        <v>#NUM!</v>
      </c>
      <c r="K929" s="83" t="e">
        <f t="shared" si="152"/>
        <v>#NUM!</v>
      </c>
      <c r="L929" s="83">
        <f t="shared" si="153"/>
        <v>0</v>
      </c>
      <c r="M929" s="110" t="str">
        <f t="shared" si="154"/>
        <v/>
      </c>
      <c r="N929" s="51" t="str">
        <f t="shared" si="155"/>
        <v/>
      </c>
      <c r="O929" s="52" t="str">
        <f t="shared" si="156"/>
        <v/>
      </c>
      <c r="P929" s="88">
        <f t="shared" si="157"/>
        <v>0</v>
      </c>
      <c r="Q929" s="88">
        <f t="shared" si="158"/>
        <v>0</v>
      </c>
      <c r="R929" s="88" t="e">
        <f>-IF(Tabla14[[#This Row],[DIAS HABILES O MORA]]&lt;0,(Tabla14[[#This Row],[VALOR PRESTAMO]]*Tabla14[[#This Row],[% INTERES ]]/30*U929))+Tabla14[[#This Row],[VALOR CUOTAS]]</f>
        <v>#VALUE!</v>
      </c>
      <c r="S929" s="88">
        <f>-IF(Tabla14[[#This Row],[DIAS HABILES O MORA]]&lt;0,(Tabla14[[#This Row],[VALOR PRESTAMO]]*Tabla14[[#This Row],[% INTERES ]]/30*U929))</f>
        <v>0</v>
      </c>
      <c r="T929" s="53" t="e">
        <f>Tabla14[[#This Row],[DEUDA CAPITAL]]+Tabla14[[#This Row],[INTERES  CUOTA]]</f>
        <v>#NUM!</v>
      </c>
      <c r="U929" s="61" t="str">
        <f t="shared" si="159"/>
        <v/>
      </c>
    </row>
    <row r="930" spans="9:21" ht="24.75" customHeight="1" x14ac:dyDescent="0.35">
      <c r="I930" s="42">
        <f t="shared" si="150"/>
        <v>0</v>
      </c>
      <c r="J930" s="65" t="e">
        <f t="shared" si="151"/>
        <v>#NUM!</v>
      </c>
      <c r="K930" s="83" t="e">
        <f t="shared" si="152"/>
        <v>#NUM!</v>
      </c>
      <c r="L930" s="83">
        <f t="shared" si="153"/>
        <v>0</v>
      </c>
      <c r="M930" s="110" t="str">
        <f t="shared" si="154"/>
        <v/>
      </c>
      <c r="N930" s="51" t="str">
        <f t="shared" si="155"/>
        <v/>
      </c>
      <c r="O930" s="52" t="str">
        <f t="shared" si="156"/>
        <v/>
      </c>
      <c r="P930" s="88">
        <f t="shared" si="157"/>
        <v>0</v>
      </c>
      <c r="Q930" s="88">
        <f t="shared" si="158"/>
        <v>0</v>
      </c>
      <c r="R930" s="88" t="e">
        <f>-IF(Tabla14[[#This Row],[DIAS HABILES O MORA]]&lt;0,(Tabla14[[#This Row],[VALOR PRESTAMO]]*Tabla14[[#This Row],[% INTERES ]]/30*U930))+Tabla14[[#This Row],[VALOR CUOTAS]]</f>
        <v>#VALUE!</v>
      </c>
      <c r="S930" s="88">
        <f>-IF(Tabla14[[#This Row],[DIAS HABILES O MORA]]&lt;0,(Tabla14[[#This Row],[VALOR PRESTAMO]]*Tabla14[[#This Row],[% INTERES ]]/30*U930))</f>
        <v>0</v>
      </c>
      <c r="T930" s="53" t="e">
        <f>Tabla14[[#This Row],[DEUDA CAPITAL]]+Tabla14[[#This Row],[INTERES  CUOTA]]</f>
        <v>#NUM!</v>
      </c>
      <c r="U930" s="61" t="str">
        <f t="shared" si="159"/>
        <v/>
      </c>
    </row>
    <row r="931" spans="9:21" ht="24.75" customHeight="1" x14ac:dyDescent="0.35">
      <c r="I931" s="42">
        <f t="shared" si="150"/>
        <v>0</v>
      </c>
      <c r="J931" s="65" t="e">
        <f t="shared" si="151"/>
        <v>#NUM!</v>
      </c>
      <c r="K931" s="83" t="e">
        <f t="shared" si="152"/>
        <v>#NUM!</v>
      </c>
      <c r="L931" s="83">
        <f t="shared" si="153"/>
        <v>0</v>
      </c>
      <c r="M931" s="110" t="str">
        <f t="shared" si="154"/>
        <v/>
      </c>
      <c r="N931" s="51" t="str">
        <f t="shared" si="155"/>
        <v/>
      </c>
      <c r="O931" s="52" t="str">
        <f t="shared" si="156"/>
        <v/>
      </c>
      <c r="P931" s="88">
        <f t="shared" si="157"/>
        <v>0</v>
      </c>
      <c r="Q931" s="88">
        <f t="shared" si="158"/>
        <v>0</v>
      </c>
      <c r="R931" s="88" t="e">
        <f>-IF(Tabla14[[#This Row],[DIAS HABILES O MORA]]&lt;0,(Tabla14[[#This Row],[VALOR PRESTAMO]]*Tabla14[[#This Row],[% INTERES ]]/30*U931))+Tabla14[[#This Row],[VALOR CUOTAS]]</f>
        <v>#VALUE!</v>
      </c>
      <c r="S931" s="88">
        <f>-IF(Tabla14[[#This Row],[DIAS HABILES O MORA]]&lt;0,(Tabla14[[#This Row],[VALOR PRESTAMO]]*Tabla14[[#This Row],[% INTERES ]]/30*U931))</f>
        <v>0</v>
      </c>
      <c r="T931" s="53" t="e">
        <f>Tabla14[[#This Row],[DEUDA CAPITAL]]+Tabla14[[#This Row],[INTERES  CUOTA]]</f>
        <v>#NUM!</v>
      </c>
      <c r="U931" s="61" t="str">
        <f t="shared" si="159"/>
        <v/>
      </c>
    </row>
    <row r="932" spans="9:21" ht="24.75" customHeight="1" x14ac:dyDescent="0.35">
      <c r="I932" s="42">
        <f t="shared" si="150"/>
        <v>0</v>
      </c>
      <c r="J932" s="65" t="e">
        <f t="shared" si="151"/>
        <v>#NUM!</v>
      </c>
      <c r="K932" s="83" t="e">
        <f t="shared" si="152"/>
        <v>#NUM!</v>
      </c>
      <c r="L932" s="83">
        <f t="shared" si="153"/>
        <v>0</v>
      </c>
      <c r="M932" s="110" t="str">
        <f t="shared" si="154"/>
        <v/>
      </c>
      <c r="N932" s="51" t="str">
        <f t="shared" si="155"/>
        <v/>
      </c>
      <c r="O932" s="52" t="str">
        <f t="shared" si="156"/>
        <v/>
      </c>
      <c r="P932" s="88">
        <f t="shared" si="157"/>
        <v>0</v>
      </c>
      <c r="Q932" s="88">
        <f t="shared" si="158"/>
        <v>0</v>
      </c>
      <c r="R932" s="88" t="e">
        <f>-IF(Tabla14[[#This Row],[DIAS HABILES O MORA]]&lt;0,(Tabla14[[#This Row],[VALOR PRESTAMO]]*Tabla14[[#This Row],[% INTERES ]]/30*U932))+Tabla14[[#This Row],[VALOR CUOTAS]]</f>
        <v>#VALUE!</v>
      </c>
      <c r="S932" s="88">
        <f>-IF(Tabla14[[#This Row],[DIAS HABILES O MORA]]&lt;0,(Tabla14[[#This Row],[VALOR PRESTAMO]]*Tabla14[[#This Row],[% INTERES ]]/30*U932))</f>
        <v>0</v>
      </c>
      <c r="T932" s="53" t="e">
        <f>Tabla14[[#This Row],[DEUDA CAPITAL]]+Tabla14[[#This Row],[INTERES  CUOTA]]</f>
        <v>#NUM!</v>
      </c>
      <c r="U932" s="61" t="str">
        <f t="shared" si="159"/>
        <v/>
      </c>
    </row>
    <row r="933" spans="9:21" ht="24.75" customHeight="1" x14ac:dyDescent="0.35">
      <c r="I933" s="42">
        <f t="shared" si="150"/>
        <v>0</v>
      </c>
      <c r="J933" s="65" t="e">
        <f t="shared" si="151"/>
        <v>#NUM!</v>
      </c>
      <c r="K933" s="83" t="e">
        <f t="shared" si="152"/>
        <v>#NUM!</v>
      </c>
      <c r="L933" s="83">
        <f t="shared" si="153"/>
        <v>0</v>
      </c>
      <c r="M933" s="110" t="str">
        <f t="shared" si="154"/>
        <v/>
      </c>
      <c r="N933" s="51" t="str">
        <f t="shared" si="155"/>
        <v/>
      </c>
      <c r="O933" s="52" t="str">
        <f t="shared" si="156"/>
        <v/>
      </c>
      <c r="P933" s="88">
        <f t="shared" si="157"/>
        <v>0</v>
      </c>
      <c r="Q933" s="88">
        <f t="shared" si="158"/>
        <v>0</v>
      </c>
      <c r="R933" s="88" t="e">
        <f>-IF(Tabla14[[#This Row],[DIAS HABILES O MORA]]&lt;0,(Tabla14[[#This Row],[VALOR PRESTAMO]]*Tabla14[[#This Row],[% INTERES ]]/30*U933))+Tabla14[[#This Row],[VALOR CUOTAS]]</f>
        <v>#VALUE!</v>
      </c>
      <c r="S933" s="88">
        <f>-IF(Tabla14[[#This Row],[DIAS HABILES O MORA]]&lt;0,(Tabla14[[#This Row],[VALOR PRESTAMO]]*Tabla14[[#This Row],[% INTERES ]]/30*U933))</f>
        <v>0</v>
      </c>
      <c r="T933" s="53" t="e">
        <f>Tabla14[[#This Row],[DEUDA CAPITAL]]+Tabla14[[#This Row],[INTERES  CUOTA]]</f>
        <v>#NUM!</v>
      </c>
      <c r="U933" s="61" t="str">
        <f t="shared" si="159"/>
        <v/>
      </c>
    </row>
    <row r="934" spans="9:21" ht="24.75" customHeight="1" x14ac:dyDescent="0.35">
      <c r="I934" s="42">
        <f t="shared" si="150"/>
        <v>0</v>
      </c>
      <c r="J934" s="65" t="e">
        <f t="shared" si="151"/>
        <v>#NUM!</v>
      </c>
      <c r="K934" s="83" t="e">
        <f t="shared" si="152"/>
        <v>#NUM!</v>
      </c>
      <c r="L934" s="83">
        <f t="shared" si="153"/>
        <v>0</v>
      </c>
      <c r="M934" s="110" t="str">
        <f t="shared" si="154"/>
        <v/>
      </c>
      <c r="N934" s="51" t="str">
        <f t="shared" si="155"/>
        <v/>
      </c>
      <c r="O934" s="52" t="str">
        <f t="shared" si="156"/>
        <v/>
      </c>
      <c r="P934" s="88">
        <f t="shared" si="157"/>
        <v>0</v>
      </c>
      <c r="Q934" s="88">
        <f t="shared" si="158"/>
        <v>0</v>
      </c>
      <c r="R934" s="88" t="e">
        <f>-IF(Tabla14[[#This Row],[DIAS HABILES O MORA]]&lt;0,(Tabla14[[#This Row],[VALOR PRESTAMO]]*Tabla14[[#This Row],[% INTERES ]]/30*U934))+Tabla14[[#This Row],[VALOR CUOTAS]]</f>
        <v>#VALUE!</v>
      </c>
      <c r="S934" s="88">
        <f>-IF(Tabla14[[#This Row],[DIAS HABILES O MORA]]&lt;0,(Tabla14[[#This Row],[VALOR PRESTAMO]]*Tabla14[[#This Row],[% INTERES ]]/30*U934))</f>
        <v>0</v>
      </c>
      <c r="T934" s="53" t="e">
        <f>Tabla14[[#This Row],[DEUDA CAPITAL]]+Tabla14[[#This Row],[INTERES  CUOTA]]</f>
        <v>#NUM!</v>
      </c>
      <c r="U934" s="61" t="str">
        <f t="shared" si="159"/>
        <v/>
      </c>
    </row>
    <row r="935" spans="9:21" ht="24.75" customHeight="1" x14ac:dyDescent="0.35">
      <c r="I935" s="42">
        <f t="shared" si="150"/>
        <v>0</v>
      </c>
      <c r="J935" s="65" t="e">
        <f t="shared" si="151"/>
        <v>#NUM!</v>
      </c>
      <c r="K935" s="83" t="e">
        <f t="shared" si="152"/>
        <v>#NUM!</v>
      </c>
      <c r="L935" s="83">
        <f t="shared" si="153"/>
        <v>0</v>
      </c>
      <c r="M935" s="110" t="str">
        <f t="shared" si="154"/>
        <v/>
      </c>
      <c r="N935" s="51" t="str">
        <f t="shared" si="155"/>
        <v/>
      </c>
      <c r="O935" s="52" t="str">
        <f t="shared" si="156"/>
        <v/>
      </c>
      <c r="P935" s="88">
        <f t="shared" si="157"/>
        <v>0</v>
      </c>
      <c r="Q935" s="88">
        <f t="shared" si="158"/>
        <v>0</v>
      </c>
      <c r="R935" s="88" t="e">
        <f>-IF(Tabla14[[#This Row],[DIAS HABILES O MORA]]&lt;0,(Tabla14[[#This Row],[VALOR PRESTAMO]]*Tabla14[[#This Row],[% INTERES ]]/30*U935))+Tabla14[[#This Row],[VALOR CUOTAS]]</f>
        <v>#VALUE!</v>
      </c>
      <c r="S935" s="88">
        <f>-IF(Tabla14[[#This Row],[DIAS HABILES O MORA]]&lt;0,(Tabla14[[#This Row],[VALOR PRESTAMO]]*Tabla14[[#This Row],[% INTERES ]]/30*U935))</f>
        <v>0</v>
      </c>
      <c r="T935" s="53" t="e">
        <f>Tabla14[[#This Row],[DEUDA CAPITAL]]+Tabla14[[#This Row],[INTERES  CUOTA]]</f>
        <v>#NUM!</v>
      </c>
      <c r="U935" s="61" t="str">
        <f t="shared" si="159"/>
        <v/>
      </c>
    </row>
    <row r="936" spans="9:21" ht="24.75" customHeight="1" x14ac:dyDescent="0.35">
      <c r="I936" s="42">
        <f t="shared" si="150"/>
        <v>0</v>
      </c>
      <c r="J936" s="65" t="e">
        <f t="shared" si="151"/>
        <v>#NUM!</v>
      </c>
      <c r="K936" s="83" t="e">
        <f t="shared" si="152"/>
        <v>#NUM!</v>
      </c>
      <c r="L936" s="83">
        <f t="shared" si="153"/>
        <v>0</v>
      </c>
      <c r="M936" s="110" t="str">
        <f t="shared" si="154"/>
        <v/>
      </c>
      <c r="N936" s="51" t="str">
        <f t="shared" si="155"/>
        <v/>
      </c>
      <c r="O936" s="52" t="str">
        <f t="shared" si="156"/>
        <v/>
      </c>
      <c r="P936" s="88">
        <f t="shared" si="157"/>
        <v>0</v>
      </c>
      <c r="Q936" s="88">
        <f t="shared" si="158"/>
        <v>0</v>
      </c>
      <c r="R936" s="88" t="e">
        <f>-IF(Tabla14[[#This Row],[DIAS HABILES O MORA]]&lt;0,(Tabla14[[#This Row],[VALOR PRESTAMO]]*Tabla14[[#This Row],[% INTERES ]]/30*U936))+Tabla14[[#This Row],[VALOR CUOTAS]]</f>
        <v>#VALUE!</v>
      </c>
      <c r="S936" s="88">
        <f>-IF(Tabla14[[#This Row],[DIAS HABILES O MORA]]&lt;0,(Tabla14[[#This Row],[VALOR PRESTAMO]]*Tabla14[[#This Row],[% INTERES ]]/30*U936))</f>
        <v>0</v>
      </c>
      <c r="T936" s="53" t="e">
        <f>Tabla14[[#This Row],[DEUDA CAPITAL]]+Tabla14[[#This Row],[INTERES  CUOTA]]</f>
        <v>#NUM!</v>
      </c>
      <c r="U936" s="61" t="str">
        <f t="shared" si="159"/>
        <v/>
      </c>
    </row>
    <row r="937" spans="9:21" ht="24.75" customHeight="1" x14ac:dyDescent="0.35">
      <c r="I937" s="42">
        <f t="shared" si="150"/>
        <v>0</v>
      </c>
      <c r="J937" s="65" t="e">
        <f t="shared" si="151"/>
        <v>#NUM!</v>
      </c>
      <c r="K937" s="83" t="e">
        <f t="shared" si="152"/>
        <v>#NUM!</v>
      </c>
      <c r="L937" s="83">
        <f t="shared" si="153"/>
        <v>0</v>
      </c>
      <c r="M937" s="110" t="str">
        <f t="shared" si="154"/>
        <v/>
      </c>
      <c r="N937" s="51" t="str">
        <f t="shared" si="155"/>
        <v/>
      </c>
      <c r="O937" s="52" t="str">
        <f t="shared" si="156"/>
        <v/>
      </c>
      <c r="P937" s="88">
        <f t="shared" si="157"/>
        <v>0</v>
      </c>
      <c r="Q937" s="88">
        <f t="shared" si="158"/>
        <v>0</v>
      </c>
      <c r="R937" s="88" t="e">
        <f>-IF(Tabla14[[#This Row],[DIAS HABILES O MORA]]&lt;0,(Tabla14[[#This Row],[VALOR PRESTAMO]]*Tabla14[[#This Row],[% INTERES ]]/30*U937))+Tabla14[[#This Row],[VALOR CUOTAS]]</f>
        <v>#VALUE!</v>
      </c>
      <c r="S937" s="88">
        <f>-IF(Tabla14[[#This Row],[DIAS HABILES O MORA]]&lt;0,(Tabla14[[#This Row],[VALOR PRESTAMO]]*Tabla14[[#This Row],[% INTERES ]]/30*U937))</f>
        <v>0</v>
      </c>
      <c r="T937" s="53" t="e">
        <f>Tabla14[[#This Row],[DEUDA CAPITAL]]+Tabla14[[#This Row],[INTERES  CUOTA]]</f>
        <v>#NUM!</v>
      </c>
      <c r="U937" s="61" t="str">
        <f t="shared" si="159"/>
        <v/>
      </c>
    </row>
    <row r="938" spans="9:21" ht="24.75" customHeight="1" x14ac:dyDescent="0.35">
      <c r="I938" s="42">
        <f t="shared" si="150"/>
        <v>0</v>
      </c>
      <c r="J938" s="65" t="e">
        <f t="shared" si="151"/>
        <v>#NUM!</v>
      </c>
      <c r="K938" s="83" t="e">
        <f t="shared" si="152"/>
        <v>#NUM!</v>
      </c>
      <c r="L938" s="83">
        <f t="shared" si="153"/>
        <v>0</v>
      </c>
      <c r="M938" s="110" t="str">
        <f t="shared" si="154"/>
        <v/>
      </c>
      <c r="N938" s="51" t="str">
        <f t="shared" si="155"/>
        <v/>
      </c>
      <c r="O938" s="52" t="str">
        <f t="shared" si="156"/>
        <v/>
      </c>
      <c r="P938" s="88">
        <f t="shared" si="157"/>
        <v>0</v>
      </c>
      <c r="Q938" s="88">
        <f t="shared" si="158"/>
        <v>0</v>
      </c>
      <c r="R938" s="88" t="e">
        <f>-IF(Tabla14[[#This Row],[DIAS HABILES O MORA]]&lt;0,(Tabla14[[#This Row],[VALOR PRESTAMO]]*Tabla14[[#This Row],[% INTERES ]]/30*U938))+Tabla14[[#This Row],[VALOR CUOTAS]]</f>
        <v>#VALUE!</v>
      </c>
      <c r="S938" s="88">
        <f>-IF(Tabla14[[#This Row],[DIAS HABILES O MORA]]&lt;0,(Tabla14[[#This Row],[VALOR PRESTAMO]]*Tabla14[[#This Row],[% INTERES ]]/30*U938))</f>
        <v>0</v>
      </c>
      <c r="T938" s="53" t="e">
        <f>Tabla14[[#This Row],[DEUDA CAPITAL]]+Tabla14[[#This Row],[INTERES  CUOTA]]</f>
        <v>#NUM!</v>
      </c>
      <c r="U938" s="61" t="str">
        <f t="shared" si="159"/>
        <v/>
      </c>
    </row>
    <row r="939" spans="9:21" ht="24.75" customHeight="1" x14ac:dyDescent="0.35">
      <c r="I939" s="42">
        <f t="shared" si="150"/>
        <v>0</v>
      </c>
      <c r="J939" s="65" t="e">
        <f t="shared" si="151"/>
        <v>#NUM!</v>
      </c>
      <c r="K939" s="83" t="e">
        <f t="shared" si="152"/>
        <v>#NUM!</v>
      </c>
      <c r="L939" s="83">
        <f t="shared" si="153"/>
        <v>0</v>
      </c>
      <c r="M939" s="110" t="str">
        <f t="shared" si="154"/>
        <v/>
      </c>
      <c r="N939" s="51" t="str">
        <f t="shared" si="155"/>
        <v/>
      </c>
      <c r="O939" s="52" t="str">
        <f t="shared" si="156"/>
        <v/>
      </c>
      <c r="P939" s="88">
        <f t="shared" si="157"/>
        <v>0</v>
      </c>
      <c r="Q939" s="88">
        <f t="shared" si="158"/>
        <v>0</v>
      </c>
      <c r="R939" s="88" t="e">
        <f>-IF(Tabla14[[#This Row],[DIAS HABILES O MORA]]&lt;0,(Tabla14[[#This Row],[VALOR PRESTAMO]]*Tabla14[[#This Row],[% INTERES ]]/30*U939))+Tabla14[[#This Row],[VALOR CUOTAS]]</f>
        <v>#VALUE!</v>
      </c>
      <c r="S939" s="88">
        <f>-IF(Tabla14[[#This Row],[DIAS HABILES O MORA]]&lt;0,(Tabla14[[#This Row],[VALOR PRESTAMO]]*Tabla14[[#This Row],[% INTERES ]]/30*U939))</f>
        <v>0</v>
      </c>
      <c r="T939" s="53" t="e">
        <f>Tabla14[[#This Row],[DEUDA CAPITAL]]+Tabla14[[#This Row],[INTERES  CUOTA]]</f>
        <v>#NUM!</v>
      </c>
      <c r="U939" s="61" t="str">
        <f t="shared" si="159"/>
        <v/>
      </c>
    </row>
    <row r="940" spans="9:21" ht="24.75" customHeight="1" x14ac:dyDescent="0.35">
      <c r="I940" s="42">
        <f t="shared" si="150"/>
        <v>0</v>
      </c>
      <c r="J940" s="65" t="e">
        <f t="shared" si="151"/>
        <v>#NUM!</v>
      </c>
      <c r="K940" s="83" t="e">
        <f t="shared" si="152"/>
        <v>#NUM!</v>
      </c>
      <c r="L940" s="83">
        <f t="shared" si="153"/>
        <v>0</v>
      </c>
      <c r="M940" s="110" t="str">
        <f t="shared" si="154"/>
        <v/>
      </c>
      <c r="N940" s="51" t="str">
        <f t="shared" si="155"/>
        <v/>
      </c>
      <c r="O940" s="52" t="str">
        <f t="shared" si="156"/>
        <v/>
      </c>
      <c r="P940" s="88">
        <f t="shared" si="157"/>
        <v>0</v>
      </c>
      <c r="Q940" s="88">
        <f t="shared" si="158"/>
        <v>0</v>
      </c>
      <c r="R940" s="88" t="e">
        <f>-IF(Tabla14[[#This Row],[DIAS HABILES O MORA]]&lt;0,(Tabla14[[#This Row],[VALOR PRESTAMO]]*Tabla14[[#This Row],[% INTERES ]]/30*U940))+Tabla14[[#This Row],[VALOR CUOTAS]]</f>
        <v>#VALUE!</v>
      </c>
      <c r="S940" s="88">
        <f>-IF(Tabla14[[#This Row],[DIAS HABILES O MORA]]&lt;0,(Tabla14[[#This Row],[VALOR PRESTAMO]]*Tabla14[[#This Row],[% INTERES ]]/30*U940))</f>
        <v>0</v>
      </c>
      <c r="T940" s="53" t="e">
        <f>Tabla14[[#This Row],[DEUDA CAPITAL]]+Tabla14[[#This Row],[INTERES  CUOTA]]</f>
        <v>#NUM!</v>
      </c>
      <c r="U940" s="61" t="str">
        <f t="shared" si="159"/>
        <v/>
      </c>
    </row>
    <row r="941" spans="9:21" ht="24.75" customHeight="1" x14ac:dyDescent="0.35">
      <c r="I941" s="42">
        <f t="shared" si="150"/>
        <v>0</v>
      </c>
      <c r="J941" s="65" t="e">
        <f t="shared" si="151"/>
        <v>#NUM!</v>
      </c>
      <c r="K941" s="83" t="e">
        <f t="shared" si="152"/>
        <v>#NUM!</v>
      </c>
      <c r="L941" s="83">
        <f t="shared" si="153"/>
        <v>0</v>
      </c>
      <c r="M941" s="110" t="str">
        <f t="shared" si="154"/>
        <v/>
      </c>
      <c r="N941" s="51" t="str">
        <f t="shared" si="155"/>
        <v/>
      </c>
      <c r="O941" s="52" t="str">
        <f t="shared" si="156"/>
        <v/>
      </c>
      <c r="P941" s="88">
        <f t="shared" si="157"/>
        <v>0</v>
      </c>
      <c r="Q941" s="88">
        <f t="shared" si="158"/>
        <v>0</v>
      </c>
      <c r="R941" s="88" t="e">
        <f>-IF(Tabla14[[#This Row],[DIAS HABILES O MORA]]&lt;0,(Tabla14[[#This Row],[VALOR PRESTAMO]]*Tabla14[[#This Row],[% INTERES ]]/30*U941))+Tabla14[[#This Row],[VALOR CUOTAS]]</f>
        <v>#VALUE!</v>
      </c>
      <c r="S941" s="88">
        <f>-IF(Tabla14[[#This Row],[DIAS HABILES O MORA]]&lt;0,(Tabla14[[#This Row],[VALOR PRESTAMO]]*Tabla14[[#This Row],[% INTERES ]]/30*U941))</f>
        <v>0</v>
      </c>
      <c r="T941" s="53" t="e">
        <f>Tabla14[[#This Row],[DEUDA CAPITAL]]+Tabla14[[#This Row],[INTERES  CUOTA]]</f>
        <v>#NUM!</v>
      </c>
      <c r="U941" s="61" t="str">
        <f t="shared" si="159"/>
        <v/>
      </c>
    </row>
    <row r="942" spans="9:21" ht="24.75" customHeight="1" x14ac:dyDescent="0.35">
      <c r="I942" s="42">
        <f t="shared" si="150"/>
        <v>0</v>
      </c>
      <c r="J942" s="65" t="e">
        <f t="shared" si="151"/>
        <v>#NUM!</v>
      </c>
      <c r="K942" s="83" t="e">
        <f t="shared" si="152"/>
        <v>#NUM!</v>
      </c>
      <c r="L942" s="83">
        <f t="shared" si="153"/>
        <v>0</v>
      </c>
      <c r="M942" s="110" t="str">
        <f t="shared" si="154"/>
        <v/>
      </c>
      <c r="N942" s="51" t="str">
        <f t="shared" si="155"/>
        <v/>
      </c>
      <c r="O942" s="52" t="str">
        <f t="shared" si="156"/>
        <v/>
      </c>
      <c r="P942" s="88">
        <f t="shared" si="157"/>
        <v>0</v>
      </c>
      <c r="Q942" s="88">
        <f t="shared" si="158"/>
        <v>0</v>
      </c>
      <c r="R942" s="88" t="e">
        <f>-IF(Tabla14[[#This Row],[DIAS HABILES O MORA]]&lt;0,(Tabla14[[#This Row],[VALOR PRESTAMO]]*Tabla14[[#This Row],[% INTERES ]]/30*U942))+Tabla14[[#This Row],[VALOR CUOTAS]]</f>
        <v>#VALUE!</v>
      </c>
      <c r="S942" s="88">
        <f>-IF(Tabla14[[#This Row],[DIAS HABILES O MORA]]&lt;0,(Tabla14[[#This Row],[VALOR PRESTAMO]]*Tabla14[[#This Row],[% INTERES ]]/30*U942))</f>
        <v>0</v>
      </c>
      <c r="T942" s="53" t="e">
        <f>Tabla14[[#This Row],[DEUDA CAPITAL]]+Tabla14[[#This Row],[INTERES  CUOTA]]</f>
        <v>#NUM!</v>
      </c>
      <c r="U942" s="61" t="str">
        <f t="shared" si="159"/>
        <v/>
      </c>
    </row>
    <row r="943" spans="9:21" ht="24.75" customHeight="1" x14ac:dyDescent="0.35">
      <c r="I943" s="42">
        <f t="shared" si="150"/>
        <v>0</v>
      </c>
      <c r="J943" s="65" t="e">
        <f t="shared" si="151"/>
        <v>#NUM!</v>
      </c>
      <c r="K943" s="83" t="e">
        <f t="shared" si="152"/>
        <v>#NUM!</v>
      </c>
      <c r="L943" s="83">
        <f t="shared" si="153"/>
        <v>0</v>
      </c>
      <c r="M943" s="110" t="str">
        <f t="shared" si="154"/>
        <v/>
      </c>
      <c r="N943" s="51" t="str">
        <f t="shared" si="155"/>
        <v/>
      </c>
      <c r="O943" s="52" t="str">
        <f t="shared" si="156"/>
        <v/>
      </c>
      <c r="P943" s="88">
        <f t="shared" si="157"/>
        <v>0</v>
      </c>
      <c r="Q943" s="88">
        <f t="shared" si="158"/>
        <v>0</v>
      </c>
      <c r="R943" s="88" t="e">
        <f>-IF(Tabla14[[#This Row],[DIAS HABILES O MORA]]&lt;0,(Tabla14[[#This Row],[VALOR PRESTAMO]]*Tabla14[[#This Row],[% INTERES ]]/30*U943))+Tabla14[[#This Row],[VALOR CUOTAS]]</f>
        <v>#VALUE!</v>
      </c>
      <c r="S943" s="88">
        <f>-IF(Tabla14[[#This Row],[DIAS HABILES O MORA]]&lt;0,(Tabla14[[#This Row],[VALOR PRESTAMO]]*Tabla14[[#This Row],[% INTERES ]]/30*U943))</f>
        <v>0</v>
      </c>
      <c r="T943" s="53" t="e">
        <f>Tabla14[[#This Row],[DEUDA CAPITAL]]+Tabla14[[#This Row],[INTERES  CUOTA]]</f>
        <v>#NUM!</v>
      </c>
      <c r="U943" s="61" t="str">
        <f t="shared" si="159"/>
        <v/>
      </c>
    </row>
    <row r="944" spans="9:21" ht="24.75" customHeight="1" x14ac:dyDescent="0.35">
      <c r="I944" s="42">
        <f t="shared" si="150"/>
        <v>0</v>
      </c>
      <c r="J944" s="65" t="e">
        <f t="shared" si="151"/>
        <v>#NUM!</v>
      </c>
      <c r="K944" s="83" t="e">
        <f t="shared" si="152"/>
        <v>#NUM!</v>
      </c>
      <c r="L944" s="83">
        <f t="shared" si="153"/>
        <v>0</v>
      </c>
      <c r="M944" s="110" t="str">
        <f t="shared" si="154"/>
        <v/>
      </c>
      <c r="N944" s="51" t="str">
        <f t="shared" si="155"/>
        <v/>
      </c>
      <c r="O944" s="52" t="str">
        <f t="shared" si="156"/>
        <v/>
      </c>
      <c r="P944" s="88">
        <f t="shared" si="157"/>
        <v>0</v>
      </c>
      <c r="Q944" s="88">
        <f t="shared" si="158"/>
        <v>0</v>
      </c>
      <c r="R944" s="88" t="e">
        <f>-IF(Tabla14[[#This Row],[DIAS HABILES O MORA]]&lt;0,(Tabla14[[#This Row],[VALOR PRESTAMO]]*Tabla14[[#This Row],[% INTERES ]]/30*U944))+Tabla14[[#This Row],[VALOR CUOTAS]]</f>
        <v>#VALUE!</v>
      </c>
      <c r="S944" s="88">
        <f>-IF(Tabla14[[#This Row],[DIAS HABILES O MORA]]&lt;0,(Tabla14[[#This Row],[VALOR PRESTAMO]]*Tabla14[[#This Row],[% INTERES ]]/30*U944))</f>
        <v>0</v>
      </c>
      <c r="T944" s="53" t="e">
        <f>Tabla14[[#This Row],[DEUDA CAPITAL]]+Tabla14[[#This Row],[INTERES  CUOTA]]</f>
        <v>#NUM!</v>
      </c>
      <c r="U944" s="61" t="str">
        <f t="shared" si="159"/>
        <v/>
      </c>
    </row>
    <row r="945" spans="9:21" ht="24.75" customHeight="1" x14ac:dyDescent="0.35">
      <c r="I945" s="42">
        <f t="shared" si="150"/>
        <v>0</v>
      </c>
      <c r="J945" s="65" t="e">
        <f t="shared" si="151"/>
        <v>#NUM!</v>
      </c>
      <c r="K945" s="83" t="e">
        <f t="shared" si="152"/>
        <v>#NUM!</v>
      </c>
      <c r="L945" s="83">
        <f t="shared" si="153"/>
        <v>0</v>
      </c>
      <c r="M945" s="110" t="str">
        <f t="shared" si="154"/>
        <v/>
      </c>
      <c r="N945" s="51" t="str">
        <f t="shared" si="155"/>
        <v/>
      </c>
      <c r="O945" s="52" t="str">
        <f t="shared" si="156"/>
        <v/>
      </c>
      <c r="P945" s="88">
        <f t="shared" si="157"/>
        <v>0</v>
      </c>
      <c r="Q945" s="88">
        <f t="shared" si="158"/>
        <v>0</v>
      </c>
      <c r="R945" s="88" t="e">
        <f>-IF(Tabla14[[#This Row],[DIAS HABILES O MORA]]&lt;0,(Tabla14[[#This Row],[VALOR PRESTAMO]]*Tabla14[[#This Row],[% INTERES ]]/30*U945))+Tabla14[[#This Row],[VALOR CUOTAS]]</f>
        <v>#VALUE!</v>
      </c>
      <c r="S945" s="88">
        <f>-IF(Tabla14[[#This Row],[DIAS HABILES O MORA]]&lt;0,(Tabla14[[#This Row],[VALOR PRESTAMO]]*Tabla14[[#This Row],[% INTERES ]]/30*U945))</f>
        <v>0</v>
      </c>
      <c r="T945" s="53" t="e">
        <f>Tabla14[[#This Row],[DEUDA CAPITAL]]+Tabla14[[#This Row],[INTERES  CUOTA]]</f>
        <v>#NUM!</v>
      </c>
      <c r="U945" s="61" t="str">
        <f t="shared" si="159"/>
        <v/>
      </c>
    </row>
    <row r="946" spans="9:21" ht="24.75" customHeight="1" x14ac:dyDescent="0.35">
      <c r="I946" s="42">
        <f t="shared" si="150"/>
        <v>0</v>
      </c>
      <c r="J946" s="65" t="e">
        <f t="shared" si="151"/>
        <v>#NUM!</v>
      </c>
      <c r="K946" s="83" t="e">
        <f t="shared" si="152"/>
        <v>#NUM!</v>
      </c>
      <c r="L946" s="83">
        <f t="shared" si="153"/>
        <v>0</v>
      </c>
      <c r="M946" s="110" t="str">
        <f t="shared" si="154"/>
        <v/>
      </c>
      <c r="N946" s="51" t="str">
        <f t="shared" si="155"/>
        <v/>
      </c>
      <c r="O946" s="52" t="str">
        <f t="shared" si="156"/>
        <v/>
      </c>
      <c r="P946" s="88">
        <f t="shared" si="157"/>
        <v>0</v>
      </c>
      <c r="Q946" s="88">
        <f t="shared" si="158"/>
        <v>0</v>
      </c>
      <c r="R946" s="88" t="e">
        <f>-IF(Tabla14[[#This Row],[DIAS HABILES O MORA]]&lt;0,(Tabla14[[#This Row],[VALOR PRESTAMO]]*Tabla14[[#This Row],[% INTERES ]]/30*U946))+Tabla14[[#This Row],[VALOR CUOTAS]]</f>
        <v>#VALUE!</v>
      </c>
      <c r="S946" s="88">
        <f>-IF(Tabla14[[#This Row],[DIAS HABILES O MORA]]&lt;0,(Tabla14[[#This Row],[VALOR PRESTAMO]]*Tabla14[[#This Row],[% INTERES ]]/30*U946))</f>
        <v>0</v>
      </c>
      <c r="T946" s="53" t="e">
        <f>Tabla14[[#This Row],[DEUDA CAPITAL]]+Tabla14[[#This Row],[INTERES  CUOTA]]</f>
        <v>#NUM!</v>
      </c>
      <c r="U946" s="61" t="str">
        <f t="shared" si="159"/>
        <v/>
      </c>
    </row>
    <row r="947" spans="9:21" ht="24.75" customHeight="1" x14ac:dyDescent="0.35">
      <c r="I947" s="42">
        <f t="shared" si="150"/>
        <v>0</v>
      </c>
      <c r="J947" s="65" t="e">
        <f t="shared" si="151"/>
        <v>#NUM!</v>
      </c>
      <c r="K947" s="83" t="e">
        <f t="shared" si="152"/>
        <v>#NUM!</v>
      </c>
      <c r="L947" s="83">
        <f t="shared" si="153"/>
        <v>0</v>
      </c>
      <c r="M947" s="110" t="str">
        <f t="shared" si="154"/>
        <v/>
      </c>
      <c r="N947" s="51" t="str">
        <f t="shared" si="155"/>
        <v/>
      </c>
      <c r="O947" s="52" t="str">
        <f t="shared" si="156"/>
        <v/>
      </c>
      <c r="P947" s="88">
        <f t="shared" si="157"/>
        <v>0</v>
      </c>
      <c r="Q947" s="88">
        <f t="shared" si="158"/>
        <v>0</v>
      </c>
      <c r="R947" s="88" t="e">
        <f>-IF(Tabla14[[#This Row],[DIAS HABILES O MORA]]&lt;0,(Tabla14[[#This Row],[VALOR PRESTAMO]]*Tabla14[[#This Row],[% INTERES ]]/30*U947))+Tabla14[[#This Row],[VALOR CUOTAS]]</f>
        <v>#VALUE!</v>
      </c>
      <c r="S947" s="88">
        <f>-IF(Tabla14[[#This Row],[DIAS HABILES O MORA]]&lt;0,(Tabla14[[#This Row],[VALOR PRESTAMO]]*Tabla14[[#This Row],[% INTERES ]]/30*U947))</f>
        <v>0</v>
      </c>
      <c r="T947" s="53" t="e">
        <f>Tabla14[[#This Row],[DEUDA CAPITAL]]+Tabla14[[#This Row],[INTERES  CUOTA]]</f>
        <v>#NUM!</v>
      </c>
      <c r="U947" s="61" t="str">
        <f t="shared" si="159"/>
        <v/>
      </c>
    </row>
    <row r="948" spans="9:21" ht="24.75" customHeight="1" x14ac:dyDescent="0.35">
      <c r="I948" s="42">
        <f t="shared" si="150"/>
        <v>0</v>
      </c>
      <c r="J948" s="65" t="e">
        <f t="shared" si="151"/>
        <v>#NUM!</v>
      </c>
      <c r="K948" s="83" t="e">
        <f t="shared" si="152"/>
        <v>#NUM!</v>
      </c>
      <c r="L948" s="83">
        <f t="shared" si="153"/>
        <v>0</v>
      </c>
      <c r="M948" s="110" t="str">
        <f t="shared" si="154"/>
        <v/>
      </c>
      <c r="N948" s="51" t="str">
        <f t="shared" si="155"/>
        <v/>
      </c>
      <c r="O948" s="52" t="str">
        <f t="shared" si="156"/>
        <v/>
      </c>
      <c r="P948" s="88">
        <f t="shared" si="157"/>
        <v>0</v>
      </c>
      <c r="Q948" s="88">
        <f t="shared" si="158"/>
        <v>0</v>
      </c>
      <c r="R948" s="88" t="e">
        <f>-IF(Tabla14[[#This Row],[DIAS HABILES O MORA]]&lt;0,(Tabla14[[#This Row],[VALOR PRESTAMO]]*Tabla14[[#This Row],[% INTERES ]]/30*U948))+Tabla14[[#This Row],[VALOR CUOTAS]]</f>
        <v>#VALUE!</v>
      </c>
      <c r="S948" s="88">
        <f>-IF(Tabla14[[#This Row],[DIAS HABILES O MORA]]&lt;0,(Tabla14[[#This Row],[VALOR PRESTAMO]]*Tabla14[[#This Row],[% INTERES ]]/30*U948))</f>
        <v>0</v>
      </c>
      <c r="T948" s="53" t="e">
        <f>Tabla14[[#This Row],[DEUDA CAPITAL]]+Tabla14[[#This Row],[INTERES  CUOTA]]</f>
        <v>#NUM!</v>
      </c>
      <c r="U948" s="61" t="str">
        <f t="shared" si="159"/>
        <v/>
      </c>
    </row>
    <row r="949" spans="9:21" ht="24.75" customHeight="1" x14ac:dyDescent="0.35">
      <c r="I949" s="42">
        <f t="shared" si="150"/>
        <v>0</v>
      </c>
      <c r="J949" s="65" t="e">
        <f t="shared" si="151"/>
        <v>#NUM!</v>
      </c>
      <c r="K949" s="83" t="e">
        <f t="shared" si="152"/>
        <v>#NUM!</v>
      </c>
      <c r="L949" s="83">
        <f t="shared" si="153"/>
        <v>0</v>
      </c>
      <c r="M949" s="110" t="str">
        <f t="shared" si="154"/>
        <v/>
      </c>
      <c r="N949" s="51" t="str">
        <f t="shared" si="155"/>
        <v/>
      </c>
      <c r="O949" s="52" t="str">
        <f t="shared" si="156"/>
        <v/>
      </c>
      <c r="P949" s="88">
        <f t="shared" si="157"/>
        <v>0</v>
      </c>
      <c r="Q949" s="88">
        <f t="shared" si="158"/>
        <v>0</v>
      </c>
      <c r="R949" s="88" t="e">
        <f>-IF(Tabla14[[#This Row],[DIAS HABILES O MORA]]&lt;0,(Tabla14[[#This Row],[VALOR PRESTAMO]]*Tabla14[[#This Row],[% INTERES ]]/30*U949))+Tabla14[[#This Row],[VALOR CUOTAS]]</f>
        <v>#VALUE!</v>
      </c>
      <c r="S949" s="88">
        <f>-IF(Tabla14[[#This Row],[DIAS HABILES O MORA]]&lt;0,(Tabla14[[#This Row],[VALOR PRESTAMO]]*Tabla14[[#This Row],[% INTERES ]]/30*U949))</f>
        <v>0</v>
      </c>
      <c r="T949" s="53" t="e">
        <f>Tabla14[[#This Row],[DEUDA CAPITAL]]+Tabla14[[#This Row],[INTERES  CUOTA]]</f>
        <v>#NUM!</v>
      </c>
      <c r="U949" s="61" t="str">
        <f t="shared" si="159"/>
        <v/>
      </c>
    </row>
    <row r="950" spans="9:21" ht="24.75" customHeight="1" x14ac:dyDescent="0.35">
      <c r="I950" s="42">
        <f t="shared" si="150"/>
        <v>0</v>
      </c>
      <c r="J950" s="65" t="e">
        <f t="shared" si="151"/>
        <v>#NUM!</v>
      </c>
      <c r="K950" s="83" t="e">
        <f t="shared" si="152"/>
        <v>#NUM!</v>
      </c>
      <c r="L950" s="83">
        <f t="shared" si="153"/>
        <v>0</v>
      </c>
      <c r="M950" s="110" t="str">
        <f t="shared" si="154"/>
        <v/>
      </c>
      <c r="N950" s="51" t="str">
        <f t="shared" si="155"/>
        <v/>
      </c>
      <c r="O950" s="52" t="str">
        <f t="shared" si="156"/>
        <v/>
      </c>
      <c r="P950" s="88">
        <f t="shared" si="157"/>
        <v>0</v>
      </c>
      <c r="Q950" s="88">
        <f t="shared" si="158"/>
        <v>0</v>
      </c>
      <c r="R950" s="88" t="e">
        <f>-IF(Tabla14[[#This Row],[DIAS HABILES O MORA]]&lt;0,(Tabla14[[#This Row],[VALOR PRESTAMO]]*Tabla14[[#This Row],[% INTERES ]]/30*U950))+Tabla14[[#This Row],[VALOR CUOTAS]]</f>
        <v>#VALUE!</v>
      </c>
      <c r="S950" s="88">
        <f>-IF(Tabla14[[#This Row],[DIAS HABILES O MORA]]&lt;0,(Tabla14[[#This Row],[VALOR PRESTAMO]]*Tabla14[[#This Row],[% INTERES ]]/30*U950))</f>
        <v>0</v>
      </c>
      <c r="T950" s="53" t="e">
        <f>Tabla14[[#This Row],[DEUDA CAPITAL]]+Tabla14[[#This Row],[INTERES  CUOTA]]</f>
        <v>#NUM!</v>
      </c>
      <c r="U950" s="61" t="str">
        <f t="shared" si="159"/>
        <v/>
      </c>
    </row>
    <row r="951" spans="9:21" ht="24.75" customHeight="1" x14ac:dyDescent="0.35">
      <c r="I951" s="42">
        <f t="shared" si="150"/>
        <v>0</v>
      </c>
      <c r="J951" s="65" t="e">
        <f t="shared" si="151"/>
        <v>#NUM!</v>
      </c>
      <c r="K951" s="83" t="e">
        <f t="shared" si="152"/>
        <v>#NUM!</v>
      </c>
      <c r="L951" s="83">
        <f t="shared" si="153"/>
        <v>0</v>
      </c>
      <c r="M951" s="110" t="str">
        <f t="shared" si="154"/>
        <v/>
      </c>
      <c r="N951" s="51" t="str">
        <f t="shared" si="155"/>
        <v/>
      </c>
      <c r="O951" s="52" t="str">
        <f t="shared" si="156"/>
        <v/>
      </c>
      <c r="P951" s="88">
        <f t="shared" si="157"/>
        <v>0</v>
      </c>
      <c r="Q951" s="88">
        <f t="shared" si="158"/>
        <v>0</v>
      </c>
      <c r="R951" s="88" t="e">
        <f>-IF(Tabla14[[#This Row],[DIAS HABILES O MORA]]&lt;0,(Tabla14[[#This Row],[VALOR PRESTAMO]]*Tabla14[[#This Row],[% INTERES ]]/30*U951))+Tabla14[[#This Row],[VALOR CUOTAS]]</f>
        <v>#VALUE!</v>
      </c>
      <c r="S951" s="88">
        <f>-IF(Tabla14[[#This Row],[DIAS HABILES O MORA]]&lt;0,(Tabla14[[#This Row],[VALOR PRESTAMO]]*Tabla14[[#This Row],[% INTERES ]]/30*U951))</f>
        <v>0</v>
      </c>
      <c r="T951" s="53" t="e">
        <f>Tabla14[[#This Row],[DEUDA CAPITAL]]+Tabla14[[#This Row],[INTERES  CUOTA]]</f>
        <v>#NUM!</v>
      </c>
      <c r="U951" s="61" t="str">
        <f t="shared" si="159"/>
        <v/>
      </c>
    </row>
    <row r="952" spans="9:21" ht="24.75" customHeight="1" x14ac:dyDescent="0.35">
      <c r="I952" s="42">
        <f t="shared" si="150"/>
        <v>0</v>
      </c>
      <c r="J952" s="65" t="e">
        <f t="shared" si="151"/>
        <v>#NUM!</v>
      </c>
      <c r="K952" s="83" t="e">
        <f t="shared" si="152"/>
        <v>#NUM!</v>
      </c>
      <c r="L952" s="83">
        <f t="shared" si="153"/>
        <v>0</v>
      </c>
      <c r="M952" s="110" t="str">
        <f t="shared" si="154"/>
        <v/>
      </c>
      <c r="N952" s="51" t="str">
        <f t="shared" si="155"/>
        <v/>
      </c>
      <c r="O952" s="52" t="str">
        <f t="shared" si="156"/>
        <v/>
      </c>
      <c r="P952" s="88">
        <f t="shared" si="157"/>
        <v>0</v>
      </c>
      <c r="Q952" s="88">
        <f t="shared" si="158"/>
        <v>0</v>
      </c>
      <c r="R952" s="88" t="e">
        <f>-IF(Tabla14[[#This Row],[DIAS HABILES O MORA]]&lt;0,(Tabla14[[#This Row],[VALOR PRESTAMO]]*Tabla14[[#This Row],[% INTERES ]]/30*U952))+Tabla14[[#This Row],[VALOR CUOTAS]]</f>
        <v>#VALUE!</v>
      </c>
      <c r="S952" s="88">
        <f>-IF(Tabla14[[#This Row],[DIAS HABILES O MORA]]&lt;0,(Tabla14[[#This Row],[VALOR PRESTAMO]]*Tabla14[[#This Row],[% INTERES ]]/30*U952))</f>
        <v>0</v>
      </c>
      <c r="T952" s="53" t="e">
        <f>Tabla14[[#This Row],[DEUDA CAPITAL]]+Tabla14[[#This Row],[INTERES  CUOTA]]</f>
        <v>#NUM!</v>
      </c>
      <c r="U952" s="61" t="str">
        <f t="shared" si="159"/>
        <v/>
      </c>
    </row>
    <row r="953" spans="9:21" ht="24.75" customHeight="1" x14ac:dyDescent="0.35">
      <c r="I953" s="42">
        <f t="shared" si="150"/>
        <v>0</v>
      </c>
      <c r="J953" s="65" t="e">
        <f t="shared" si="151"/>
        <v>#NUM!</v>
      </c>
      <c r="K953" s="83" t="e">
        <f t="shared" si="152"/>
        <v>#NUM!</v>
      </c>
      <c r="L953" s="83">
        <f t="shared" si="153"/>
        <v>0</v>
      </c>
      <c r="M953" s="110" t="str">
        <f t="shared" si="154"/>
        <v/>
      </c>
      <c r="N953" s="51" t="str">
        <f t="shared" si="155"/>
        <v/>
      </c>
      <c r="O953" s="52" t="str">
        <f t="shared" si="156"/>
        <v/>
      </c>
      <c r="P953" s="88">
        <f t="shared" si="157"/>
        <v>0</v>
      </c>
      <c r="Q953" s="88">
        <f t="shared" si="158"/>
        <v>0</v>
      </c>
      <c r="R953" s="88" t="e">
        <f>-IF(Tabla14[[#This Row],[DIAS HABILES O MORA]]&lt;0,(Tabla14[[#This Row],[VALOR PRESTAMO]]*Tabla14[[#This Row],[% INTERES ]]/30*U953))+Tabla14[[#This Row],[VALOR CUOTAS]]</f>
        <v>#VALUE!</v>
      </c>
      <c r="S953" s="88">
        <f>-IF(Tabla14[[#This Row],[DIAS HABILES O MORA]]&lt;0,(Tabla14[[#This Row],[VALOR PRESTAMO]]*Tabla14[[#This Row],[% INTERES ]]/30*U953))</f>
        <v>0</v>
      </c>
      <c r="T953" s="53" t="e">
        <f>Tabla14[[#This Row],[DEUDA CAPITAL]]+Tabla14[[#This Row],[INTERES  CUOTA]]</f>
        <v>#NUM!</v>
      </c>
      <c r="U953" s="61" t="str">
        <f t="shared" si="159"/>
        <v/>
      </c>
    </row>
    <row r="954" spans="9:21" ht="24.75" customHeight="1" x14ac:dyDescent="0.35">
      <c r="I954" s="42">
        <f t="shared" si="150"/>
        <v>0</v>
      </c>
      <c r="J954" s="65" t="e">
        <f t="shared" si="151"/>
        <v>#NUM!</v>
      </c>
      <c r="K954" s="83" t="e">
        <f t="shared" si="152"/>
        <v>#NUM!</v>
      </c>
      <c r="L954" s="83">
        <f t="shared" si="153"/>
        <v>0</v>
      </c>
      <c r="M954" s="110" t="str">
        <f t="shared" si="154"/>
        <v/>
      </c>
      <c r="N954" s="51" t="str">
        <f t="shared" si="155"/>
        <v/>
      </c>
      <c r="O954" s="52" t="str">
        <f t="shared" si="156"/>
        <v/>
      </c>
      <c r="P954" s="88">
        <f t="shared" si="157"/>
        <v>0</v>
      </c>
      <c r="Q954" s="88">
        <f t="shared" si="158"/>
        <v>0</v>
      </c>
      <c r="R954" s="88" t="e">
        <f>-IF(Tabla14[[#This Row],[DIAS HABILES O MORA]]&lt;0,(Tabla14[[#This Row],[VALOR PRESTAMO]]*Tabla14[[#This Row],[% INTERES ]]/30*U954))+Tabla14[[#This Row],[VALOR CUOTAS]]</f>
        <v>#VALUE!</v>
      </c>
      <c r="S954" s="88">
        <f>-IF(Tabla14[[#This Row],[DIAS HABILES O MORA]]&lt;0,(Tabla14[[#This Row],[VALOR PRESTAMO]]*Tabla14[[#This Row],[% INTERES ]]/30*U954))</f>
        <v>0</v>
      </c>
      <c r="T954" s="53" t="e">
        <f>Tabla14[[#This Row],[DEUDA CAPITAL]]+Tabla14[[#This Row],[INTERES  CUOTA]]</f>
        <v>#NUM!</v>
      </c>
      <c r="U954" s="61" t="str">
        <f t="shared" si="159"/>
        <v/>
      </c>
    </row>
    <row r="955" spans="9:21" ht="24.75" customHeight="1" x14ac:dyDescent="0.35">
      <c r="I955" s="42">
        <f t="shared" si="150"/>
        <v>0</v>
      </c>
      <c r="J955" s="65" t="e">
        <f t="shared" si="151"/>
        <v>#NUM!</v>
      </c>
      <c r="K955" s="83" t="e">
        <f t="shared" si="152"/>
        <v>#NUM!</v>
      </c>
      <c r="L955" s="83">
        <f t="shared" si="153"/>
        <v>0</v>
      </c>
      <c r="M955" s="110" t="str">
        <f t="shared" si="154"/>
        <v/>
      </c>
      <c r="N955" s="51" t="str">
        <f t="shared" si="155"/>
        <v/>
      </c>
      <c r="O955" s="52" t="str">
        <f t="shared" si="156"/>
        <v/>
      </c>
      <c r="P955" s="88">
        <f t="shared" si="157"/>
        <v>0</v>
      </c>
      <c r="Q955" s="88">
        <f t="shared" si="158"/>
        <v>0</v>
      </c>
      <c r="R955" s="88" t="e">
        <f>-IF(Tabla14[[#This Row],[DIAS HABILES O MORA]]&lt;0,(Tabla14[[#This Row],[VALOR PRESTAMO]]*Tabla14[[#This Row],[% INTERES ]]/30*U955))+Tabla14[[#This Row],[VALOR CUOTAS]]</f>
        <v>#VALUE!</v>
      </c>
      <c r="S955" s="88">
        <f>-IF(Tabla14[[#This Row],[DIAS HABILES O MORA]]&lt;0,(Tabla14[[#This Row],[VALOR PRESTAMO]]*Tabla14[[#This Row],[% INTERES ]]/30*U955))</f>
        <v>0</v>
      </c>
      <c r="T955" s="53" t="e">
        <f>Tabla14[[#This Row],[DEUDA CAPITAL]]+Tabla14[[#This Row],[INTERES  CUOTA]]</f>
        <v>#NUM!</v>
      </c>
      <c r="U955" s="61" t="str">
        <f t="shared" si="159"/>
        <v/>
      </c>
    </row>
    <row r="956" spans="9:21" ht="24.75" customHeight="1" x14ac:dyDescent="0.35">
      <c r="I956" s="42">
        <f t="shared" si="150"/>
        <v>0</v>
      </c>
      <c r="J956" s="65" t="e">
        <f t="shared" si="151"/>
        <v>#NUM!</v>
      </c>
      <c r="K956" s="83" t="e">
        <f t="shared" si="152"/>
        <v>#NUM!</v>
      </c>
      <c r="L956" s="83">
        <f t="shared" si="153"/>
        <v>0</v>
      </c>
      <c r="M956" s="110" t="str">
        <f t="shared" si="154"/>
        <v/>
      </c>
      <c r="N956" s="51" t="str">
        <f t="shared" si="155"/>
        <v/>
      </c>
      <c r="O956" s="52" t="str">
        <f t="shared" si="156"/>
        <v/>
      </c>
      <c r="P956" s="88">
        <f t="shared" si="157"/>
        <v>0</v>
      </c>
      <c r="Q956" s="88">
        <f t="shared" si="158"/>
        <v>0</v>
      </c>
      <c r="R956" s="88" t="e">
        <f>-IF(Tabla14[[#This Row],[DIAS HABILES O MORA]]&lt;0,(Tabla14[[#This Row],[VALOR PRESTAMO]]*Tabla14[[#This Row],[% INTERES ]]/30*U956))+Tabla14[[#This Row],[VALOR CUOTAS]]</f>
        <v>#VALUE!</v>
      </c>
      <c r="S956" s="88">
        <f>-IF(Tabla14[[#This Row],[DIAS HABILES O MORA]]&lt;0,(Tabla14[[#This Row],[VALOR PRESTAMO]]*Tabla14[[#This Row],[% INTERES ]]/30*U956))</f>
        <v>0</v>
      </c>
      <c r="T956" s="53" t="e">
        <f>Tabla14[[#This Row],[DEUDA CAPITAL]]+Tabla14[[#This Row],[INTERES  CUOTA]]</f>
        <v>#NUM!</v>
      </c>
      <c r="U956" s="61" t="str">
        <f t="shared" si="159"/>
        <v/>
      </c>
    </row>
    <row r="957" spans="9:21" ht="24.75" customHeight="1" x14ac:dyDescent="0.35">
      <c r="I957" s="42">
        <f t="shared" si="150"/>
        <v>0</v>
      </c>
      <c r="J957" s="65" t="e">
        <f t="shared" si="151"/>
        <v>#NUM!</v>
      </c>
      <c r="K957" s="83" t="e">
        <f t="shared" si="152"/>
        <v>#NUM!</v>
      </c>
      <c r="L957" s="83">
        <f t="shared" si="153"/>
        <v>0</v>
      </c>
      <c r="M957" s="110" t="str">
        <f t="shared" si="154"/>
        <v/>
      </c>
      <c r="N957" s="51" t="str">
        <f t="shared" si="155"/>
        <v/>
      </c>
      <c r="O957" s="52" t="str">
        <f t="shared" si="156"/>
        <v/>
      </c>
      <c r="P957" s="88">
        <f t="shared" si="157"/>
        <v>0</v>
      </c>
      <c r="Q957" s="88">
        <f t="shared" si="158"/>
        <v>0</v>
      </c>
      <c r="R957" s="88" t="e">
        <f>-IF(Tabla14[[#This Row],[DIAS HABILES O MORA]]&lt;0,(Tabla14[[#This Row],[VALOR PRESTAMO]]*Tabla14[[#This Row],[% INTERES ]]/30*U957))+Tabla14[[#This Row],[VALOR CUOTAS]]</f>
        <v>#VALUE!</v>
      </c>
      <c r="S957" s="88">
        <f>-IF(Tabla14[[#This Row],[DIAS HABILES O MORA]]&lt;0,(Tabla14[[#This Row],[VALOR PRESTAMO]]*Tabla14[[#This Row],[% INTERES ]]/30*U957))</f>
        <v>0</v>
      </c>
      <c r="T957" s="53" t="e">
        <f>Tabla14[[#This Row],[DEUDA CAPITAL]]+Tabla14[[#This Row],[INTERES  CUOTA]]</f>
        <v>#NUM!</v>
      </c>
      <c r="U957" s="61" t="str">
        <f t="shared" si="159"/>
        <v/>
      </c>
    </row>
    <row r="958" spans="9:21" ht="24.75" customHeight="1" x14ac:dyDescent="0.35">
      <c r="I958" s="42">
        <f t="shared" si="150"/>
        <v>0</v>
      </c>
      <c r="J958" s="65" t="e">
        <f t="shared" si="151"/>
        <v>#NUM!</v>
      </c>
      <c r="K958" s="83" t="e">
        <f t="shared" si="152"/>
        <v>#NUM!</v>
      </c>
      <c r="L958" s="83">
        <f t="shared" si="153"/>
        <v>0</v>
      </c>
      <c r="M958" s="110" t="str">
        <f t="shared" si="154"/>
        <v/>
      </c>
      <c r="N958" s="51" t="str">
        <f t="shared" si="155"/>
        <v/>
      </c>
      <c r="O958" s="52" t="str">
        <f t="shared" si="156"/>
        <v/>
      </c>
      <c r="P958" s="88">
        <f t="shared" si="157"/>
        <v>0</v>
      </c>
      <c r="Q958" s="88">
        <f t="shared" si="158"/>
        <v>0</v>
      </c>
      <c r="R958" s="88" t="e">
        <f>-IF(Tabla14[[#This Row],[DIAS HABILES O MORA]]&lt;0,(Tabla14[[#This Row],[VALOR PRESTAMO]]*Tabla14[[#This Row],[% INTERES ]]/30*U958))+Tabla14[[#This Row],[VALOR CUOTAS]]</f>
        <v>#VALUE!</v>
      </c>
      <c r="S958" s="88">
        <f>-IF(Tabla14[[#This Row],[DIAS HABILES O MORA]]&lt;0,(Tabla14[[#This Row],[VALOR PRESTAMO]]*Tabla14[[#This Row],[% INTERES ]]/30*U958))</f>
        <v>0</v>
      </c>
      <c r="T958" s="53" t="e">
        <f>Tabla14[[#This Row],[DEUDA CAPITAL]]+Tabla14[[#This Row],[INTERES  CUOTA]]</f>
        <v>#NUM!</v>
      </c>
      <c r="U958" s="61" t="str">
        <f t="shared" si="159"/>
        <v/>
      </c>
    </row>
    <row r="959" spans="9:21" ht="24.75" customHeight="1" x14ac:dyDescent="0.35">
      <c r="I959" s="42">
        <f t="shared" si="150"/>
        <v>0</v>
      </c>
      <c r="J959" s="65" t="e">
        <f t="shared" si="151"/>
        <v>#NUM!</v>
      </c>
      <c r="K959" s="83" t="e">
        <f t="shared" si="152"/>
        <v>#NUM!</v>
      </c>
      <c r="L959" s="83">
        <f t="shared" si="153"/>
        <v>0</v>
      </c>
      <c r="M959" s="110" t="str">
        <f t="shared" si="154"/>
        <v/>
      </c>
      <c r="N959" s="51" t="str">
        <f t="shared" si="155"/>
        <v/>
      </c>
      <c r="O959" s="52" t="str">
        <f t="shared" si="156"/>
        <v/>
      </c>
      <c r="P959" s="88">
        <f t="shared" si="157"/>
        <v>0</v>
      </c>
      <c r="Q959" s="88">
        <f t="shared" si="158"/>
        <v>0</v>
      </c>
      <c r="R959" s="88" t="e">
        <f>-IF(Tabla14[[#This Row],[DIAS HABILES O MORA]]&lt;0,(Tabla14[[#This Row],[VALOR PRESTAMO]]*Tabla14[[#This Row],[% INTERES ]]/30*U959))+Tabla14[[#This Row],[VALOR CUOTAS]]</f>
        <v>#VALUE!</v>
      </c>
      <c r="S959" s="88">
        <f>-IF(Tabla14[[#This Row],[DIAS HABILES O MORA]]&lt;0,(Tabla14[[#This Row],[VALOR PRESTAMO]]*Tabla14[[#This Row],[% INTERES ]]/30*U959))</f>
        <v>0</v>
      </c>
      <c r="T959" s="53" t="e">
        <f>Tabla14[[#This Row],[DEUDA CAPITAL]]+Tabla14[[#This Row],[INTERES  CUOTA]]</f>
        <v>#NUM!</v>
      </c>
      <c r="U959" s="61" t="str">
        <f t="shared" si="159"/>
        <v/>
      </c>
    </row>
    <row r="960" spans="9:21" ht="24.75" customHeight="1" x14ac:dyDescent="0.35">
      <c r="I960" s="42">
        <f t="shared" si="150"/>
        <v>0</v>
      </c>
      <c r="J960" s="65" t="e">
        <f t="shared" si="151"/>
        <v>#NUM!</v>
      </c>
      <c r="K960" s="83" t="e">
        <f t="shared" si="152"/>
        <v>#NUM!</v>
      </c>
      <c r="L960" s="83">
        <f t="shared" si="153"/>
        <v>0</v>
      </c>
      <c r="M960" s="110" t="str">
        <f t="shared" si="154"/>
        <v/>
      </c>
      <c r="N960" s="51" t="str">
        <f t="shared" si="155"/>
        <v/>
      </c>
      <c r="O960" s="52" t="str">
        <f t="shared" si="156"/>
        <v/>
      </c>
      <c r="P960" s="88">
        <f t="shared" si="157"/>
        <v>0</v>
      </c>
      <c r="Q960" s="88">
        <f t="shared" si="158"/>
        <v>0</v>
      </c>
      <c r="R960" s="88" t="e">
        <f>-IF(Tabla14[[#This Row],[DIAS HABILES O MORA]]&lt;0,(Tabla14[[#This Row],[VALOR PRESTAMO]]*Tabla14[[#This Row],[% INTERES ]]/30*U960))+Tabla14[[#This Row],[VALOR CUOTAS]]</f>
        <v>#VALUE!</v>
      </c>
      <c r="S960" s="88">
        <f>-IF(Tabla14[[#This Row],[DIAS HABILES O MORA]]&lt;0,(Tabla14[[#This Row],[VALOR PRESTAMO]]*Tabla14[[#This Row],[% INTERES ]]/30*U960))</f>
        <v>0</v>
      </c>
      <c r="T960" s="53" t="e">
        <f>Tabla14[[#This Row],[DEUDA CAPITAL]]+Tabla14[[#This Row],[INTERES  CUOTA]]</f>
        <v>#NUM!</v>
      </c>
      <c r="U960" s="61" t="str">
        <f t="shared" si="159"/>
        <v/>
      </c>
    </row>
    <row r="961" spans="9:21" ht="24.75" customHeight="1" x14ac:dyDescent="0.35">
      <c r="I961" s="42">
        <f t="shared" si="150"/>
        <v>0</v>
      </c>
      <c r="J961" s="65" t="e">
        <f t="shared" si="151"/>
        <v>#NUM!</v>
      </c>
      <c r="K961" s="83" t="e">
        <f t="shared" si="152"/>
        <v>#NUM!</v>
      </c>
      <c r="L961" s="83">
        <f t="shared" si="153"/>
        <v>0</v>
      </c>
      <c r="M961" s="110" t="str">
        <f t="shared" si="154"/>
        <v/>
      </c>
      <c r="N961" s="51" t="str">
        <f t="shared" si="155"/>
        <v/>
      </c>
      <c r="O961" s="52" t="str">
        <f t="shared" si="156"/>
        <v/>
      </c>
      <c r="P961" s="88">
        <f t="shared" si="157"/>
        <v>0</v>
      </c>
      <c r="Q961" s="88">
        <f t="shared" si="158"/>
        <v>0</v>
      </c>
      <c r="R961" s="88" t="e">
        <f>-IF(Tabla14[[#This Row],[DIAS HABILES O MORA]]&lt;0,(Tabla14[[#This Row],[VALOR PRESTAMO]]*Tabla14[[#This Row],[% INTERES ]]/30*U961))+Tabla14[[#This Row],[VALOR CUOTAS]]</f>
        <v>#VALUE!</v>
      </c>
      <c r="S961" s="88">
        <f>-IF(Tabla14[[#This Row],[DIAS HABILES O MORA]]&lt;0,(Tabla14[[#This Row],[VALOR PRESTAMO]]*Tabla14[[#This Row],[% INTERES ]]/30*U961))</f>
        <v>0</v>
      </c>
      <c r="T961" s="53" t="e">
        <f>Tabla14[[#This Row],[DEUDA CAPITAL]]+Tabla14[[#This Row],[INTERES  CUOTA]]</f>
        <v>#NUM!</v>
      </c>
      <c r="U961" s="61" t="str">
        <f t="shared" si="159"/>
        <v/>
      </c>
    </row>
    <row r="962" spans="9:21" ht="24.75" customHeight="1" x14ac:dyDescent="0.35">
      <c r="I962" s="42">
        <f t="shared" si="150"/>
        <v>0</v>
      </c>
      <c r="J962" s="65" t="e">
        <f t="shared" si="151"/>
        <v>#NUM!</v>
      </c>
      <c r="K962" s="83" t="e">
        <f t="shared" si="152"/>
        <v>#NUM!</v>
      </c>
      <c r="L962" s="83">
        <f t="shared" si="153"/>
        <v>0</v>
      </c>
      <c r="M962" s="110" t="str">
        <f t="shared" si="154"/>
        <v/>
      </c>
      <c r="N962" s="51" t="str">
        <f t="shared" si="155"/>
        <v/>
      </c>
      <c r="O962" s="52" t="str">
        <f t="shared" si="156"/>
        <v/>
      </c>
      <c r="P962" s="88">
        <f t="shared" si="157"/>
        <v>0</v>
      </c>
      <c r="Q962" s="88">
        <f t="shared" si="158"/>
        <v>0</v>
      </c>
      <c r="R962" s="88" t="e">
        <f>-IF(Tabla14[[#This Row],[DIAS HABILES O MORA]]&lt;0,(Tabla14[[#This Row],[VALOR PRESTAMO]]*Tabla14[[#This Row],[% INTERES ]]/30*U962))+Tabla14[[#This Row],[VALOR CUOTAS]]</f>
        <v>#VALUE!</v>
      </c>
      <c r="S962" s="88">
        <f>-IF(Tabla14[[#This Row],[DIAS HABILES O MORA]]&lt;0,(Tabla14[[#This Row],[VALOR PRESTAMO]]*Tabla14[[#This Row],[% INTERES ]]/30*U962))</f>
        <v>0</v>
      </c>
      <c r="T962" s="53" t="e">
        <f>Tabla14[[#This Row],[DEUDA CAPITAL]]+Tabla14[[#This Row],[INTERES  CUOTA]]</f>
        <v>#NUM!</v>
      </c>
      <c r="U962" s="61" t="str">
        <f t="shared" si="159"/>
        <v/>
      </c>
    </row>
    <row r="963" spans="9:21" ht="24.75" customHeight="1" x14ac:dyDescent="0.35">
      <c r="I963" s="42">
        <f t="shared" si="150"/>
        <v>0</v>
      </c>
      <c r="J963" s="65" t="e">
        <f t="shared" si="151"/>
        <v>#NUM!</v>
      </c>
      <c r="K963" s="83" t="e">
        <f t="shared" si="152"/>
        <v>#NUM!</v>
      </c>
      <c r="L963" s="83">
        <f t="shared" si="153"/>
        <v>0</v>
      </c>
      <c r="M963" s="110" t="str">
        <f t="shared" si="154"/>
        <v/>
      </c>
      <c r="N963" s="51" t="str">
        <f t="shared" si="155"/>
        <v/>
      </c>
      <c r="O963" s="52" t="str">
        <f t="shared" si="156"/>
        <v/>
      </c>
      <c r="P963" s="88">
        <f t="shared" si="157"/>
        <v>0</v>
      </c>
      <c r="Q963" s="88">
        <f t="shared" si="158"/>
        <v>0</v>
      </c>
      <c r="R963" s="88" t="e">
        <f>-IF(Tabla14[[#This Row],[DIAS HABILES O MORA]]&lt;0,(Tabla14[[#This Row],[VALOR PRESTAMO]]*Tabla14[[#This Row],[% INTERES ]]/30*U963))+Tabla14[[#This Row],[VALOR CUOTAS]]</f>
        <v>#VALUE!</v>
      </c>
      <c r="S963" s="88">
        <f>-IF(Tabla14[[#This Row],[DIAS HABILES O MORA]]&lt;0,(Tabla14[[#This Row],[VALOR PRESTAMO]]*Tabla14[[#This Row],[% INTERES ]]/30*U963))</f>
        <v>0</v>
      </c>
      <c r="T963" s="53" t="e">
        <f>Tabla14[[#This Row],[DEUDA CAPITAL]]+Tabla14[[#This Row],[INTERES  CUOTA]]</f>
        <v>#NUM!</v>
      </c>
      <c r="U963" s="61" t="str">
        <f t="shared" si="159"/>
        <v/>
      </c>
    </row>
    <row r="964" spans="9:21" ht="24.75" customHeight="1" x14ac:dyDescent="0.35">
      <c r="I964" s="42">
        <f t="shared" si="150"/>
        <v>0</v>
      </c>
      <c r="J964" s="65" t="e">
        <f t="shared" si="151"/>
        <v>#NUM!</v>
      </c>
      <c r="K964" s="83" t="e">
        <f t="shared" si="152"/>
        <v>#NUM!</v>
      </c>
      <c r="L964" s="83">
        <f t="shared" si="153"/>
        <v>0</v>
      </c>
      <c r="M964" s="110" t="str">
        <f t="shared" si="154"/>
        <v/>
      </c>
      <c r="N964" s="51" t="str">
        <f t="shared" si="155"/>
        <v/>
      </c>
      <c r="O964" s="52" t="str">
        <f t="shared" si="156"/>
        <v/>
      </c>
      <c r="P964" s="88">
        <f t="shared" si="157"/>
        <v>0</v>
      </c>
      <c r="Q964" s="88">
        <f t="shared" si="158"/>
        <v>0</v>
      </c>
      <c r="R964" s="88" t="e">
        <f>-IF(Tabla14[[#This Row],[DIAS HABILES O MORA]]&lt;0,(Tabla14[[#This Row],[VALOR PRESTAMO]]*Tabla14[[#This Row],[% INTERES ]]/30*U964))+Tabla14[[#This Row],[VALOR CUOTAS]]</f>
        <v>#VALUE!</v>
      </c>
      <c r="S964" s="88">
        <f>-IF(Tabla14[[#This Row],[DIAS HABILES O MORA]]&lt;0,(Tabla14[[#This Row],[VALOR PRESTAMO]]*Tabla14[[#This Row],[% INTERES ]]/30*U964))</f>
        <v>0</v>
      </c>
      <c r="T964" s="53" t="e">
        <f>Tabla14[[#This Row],[DEUDA CAPITAL]]+Tabla14[[#This Row],[INTERES  CUOTA]]</f>
        <v>#NUM!</v>
      </c>
      <c r="U964" s="61" t="str">
        <f t="shared" si="159"/>
        <v/>
      </c>
    </row>
    <row r="965" spans="9:21" ht="24.75" customHeight="1" x14ac:dyDescent="0.35">
      <c r="I965" s="42">
        <f t="shared" si="150"/>
        <v>0</v>
      </c>
      <c r="J965" s="65" t="e">
        <f t="shared" si="151"/>
        <v>#NUM!</v>
      </c>
      <c r="K965" s="83" t="e">
        <f t="shared" si="152"/>
        <v>#NUM!</v>
      </c>
      <c r="L965" s="83">
        <f t="shared" si="153"/>
        <v>0</v>
      </c>
      <c r="M965" s="110" t="str">
        <f t="shared" si="154"/>
        <v/>
      </c>
      <c r="N965" s="51" t="str">
        <f t="shared" si="155"/>
        <v/>
      </c>
      <c r="O965" s="52" t="str">
        <f t="shared" si="156"/>
        <v/>
      </c>
      <c r="P965" s="88">
        <f t="shared" si="157"/>
        <v>0</v>
      </c>
      <c r="Q965" s="88">
        <f t="shared" si="158"/>
        <v>0</v>
      </c>
      <c r="R965" s="88" t="e">
        <f>-IF(Tabla14[[#This Row],[DIAS HABILES O MORA]]&lt;0,(Tabla14[[#This Row],[VALOR PRESTAMO]]*Tabla14[[#This Row],[% INTERES ]]/30*U965))+Tabla14[[#This Row],[VALOR CUOTAS]]</f>
        <v>#VALUE!</v>
      </c>
      <c r="S965" s="88">
        <f>-IF(Tabla14[[#This Row],[DIAS HABILES O MORA]]&lt;0,(Tabla14[[#This Row],[VALOR PRESTAMO]]*Tabla14[[#This Row],[% INTERES ]]/30*U965))</f>
        <v>0</v>
      </c>
      <c r="T965" s="53" t="e">
        <f>Tabla14[[#This Row],[DEUDA CAPITAL]]+Tabla14[[#This Row],[INTERES  CUOTA]]</f>
        <v>#NUM!</v>
      </c>
      <c r="U965" s="61" t="str">
        <f t="shared" si="159"/>
        <v/>
      </c>
    </row>
    <row r="966" spans="9:21" ht="24.75" customHeight="1" x14ac:dyDescent="0.35">
      <c r="I966" s="42">
        <f t="shared" si="150"/>
        <v>0</v>
      </c>
      <c r="J966" s="65" t="e">
        <f t="shared" si="151"/>
        <v>#NUM!</v>
      </c>
      <c r="K966" s="83" t="e">
        <f t="shared" si="152"/>
        <v>#NUM!</v>
      </c>
      <c r="L966" s="83">
        <f t="shared" si="153"/>
        <v>0</v>
      </c>
      <c r="M966" s="110" t="str">
        <f t="shared" si="154"/>
        <v/>
      </c>
      <c r="N966" s="51" t="str">
        <f t="shared" si="155"/>
        <v/>
      </c>
      <c r="O966" s="52" t="str">
        <f t="shared" si="156"/>
        <v/>
      </c>
      <c r="P966" s="88">
        <f t="shared" si="157"/>
        <v>0</v>
      </c>
      <c r="Q966" s="88">
        <f t="shared" si="158"/>
        <v>0</v>
      </c>
      <c r="R966" s="88" t="e">
        <f>-IF(Tabla14[[#This Row],[DIAS HABILES O MORA]]&lt;0,(Tabla14[[#This Row],[VALOR PRESTAMO]]*Tabla14[[#This Row],[% INTERES ]]/30*U966))+Tabla14[[#This Row],[VALOR CUOTAS]]</f>
        <v>#VALUE!</v>
      </c>
      <c r="S966" s="88">
        <f>-IF(Tabla14[[#This Row],[DIAS HABILES O MORA]]&lt;0,(Tabla14[[#This Row],[VALOR PRESTAMO]]*Tabla14[[#This Row],[% INTERES ]]/30*U966))</f>
        <v>0</v>
      </c>
      <c r="T966" s="53" t="e">
        <f>Tabla14[[#This Row],[DEUDA CAPITAL]]+Tabla14[[#This Row],[INTERES  CUOTA]]</f>
        <v>#NUM!</v>
      </c>
      <c r="U966" s="61" t="str">
        <f t="shared" si="159"/>
        <v/>
      </c>
    </row>
    <row r="967" spans="9:21" ht="24.75" customHeight="1" x14ac:dyDescent="0.35">
      <c r="I967" s="42">
        <f t="shared" si="150"/>
        <v>0</v>
      </c>
      <c r="J967" s="65" t="e">
        <f t="shared" si="151"/>
        <v>#NUM!</v>
      </c>
      <c r="K967" s="83" t="e">
        <f t="shared" si="152"/>
        <v>#NUM!</v>
      </c>
      <c r="L967" s="83">
        <f t="shared" si="153"/>
        <v>0</v>
      </c>
      <c r="M967" s="110" t="str">
        <f t="shared" si="154"/>
        <v/>
      </c>
      <c r="N967" s="51" t="str">
        <f t="shared" si="155"/>
        <v/>
      </c>
      <c r="O967" s="52" t="str">
        <f t="shared" si="156"/>
        <v/>
      </c>
      <c r="P967" s="88">
        <f t="shared" si="157"/>
        <v>0</v>
      </c>
      <c r="Q967" s="88">
        <f t="shared" si="158"/>
        <v>0</v>
      </c>
      <c r="R967" s="88" t="e">
        <f>-IF(Tabla14[[#This Row],[DIAS HABILES O MORA]]&lt;0,(Tabla14[[#This Row],[VALOR PRESTAMO]]*Tabla14[[#This Row],[% INTERES ]]/30*U967))+Tabla14[[#This Row],[VALOR CUOTAS]]</f>
        <v>#VALUE!</v>
      </c>
      <c r="S967" s="88">
        <f>-IF(Tabla14[[#This Row],[DIAS HABILES O MORA]]&lt;0,(Tabla14[[#This Row],[VALOR PRESTAMO]]*Tabla14[[#This Row],[% INTERES ]]/30*U967))</f>
        <v>0</v>
      </c>
      <c r="T967" s="53" t="e">
        <f>Tabla14[[#This Row],[DEUDA CAPITAL]]+Tabla14[[#This Row],[INTERES  CUOTA]]</f>
        <v>#NUM!</v>
      </c>
      <c r="U967" s="61" t="str">
        <f t="shared" si="159"/>
        <v/>
      </c>
    </row>
    <row r="968" spans="9:21" ht="24.75" customHeight="1" x14ac:dyDescent="0.35">
      <c r="I968" s="42">
        <f t="shared" si="150"/>
        <v>0</v>
      </c>
      <c r="J968" s="65" t="e">
        <f t="shared" si="151"/>
        <v>#NUM!</v>
      </c>
      <c r="K968" s="83" t="e">
        <f t="shared" si="152"/>
        <v>#NUM!</v>
      </c>
      <c r="L968" s="83">
        <f t="shared" si="153"/>
        <v>0</v>
      </c>
      <c r="M968" s="110" t="str">
        <f t="shared" si="154"/>
        <v/>
      </c>
      <c r="N968" s="51" t="str">
        <f t="shared" si="155"/>
        <v/>
      </c>
      <c r="O968" s="52" t="str">
        <f t="shared" si="156"/>
        <v/>
      </c>
      <c r="P968" s="88">
        <f t="shared" si="157"/>
        <v>0</v>
      </c>
      <c r="Q968" s="88">
        <f t="shared" si="158"/>
        <v>0</v>
      </c>
      <c r="R968" s="88" t="e">
        <f>-IF(Tabla14[[#This Row],[DIAS HABILES O MORA]]&lt;0,(Tabla14[[#This Row],[VALOR PRESTAMO]]*Tabla14[[#This Row],[% INTERES ]]/30*U968))+Tabla14[[#This Row],[VALOR CUOTAS]]</f>
        <v>#VALUE!</v>
      </c>
      <c r="S968" s="88">
        <f>-IF(Tabla14[[#This Row],[DIAS HABILES O MORA]]&lt;0,(Tabla14[[#This Row],[VALOR PRESTAMO]]*Tabla14[[#This Row],[% INTERES ]]/30*U968))</f>
        <v>0</v>
      </c>
      <c r="T968" s="53" t="e">
        <f>Tabla14[[#This Row],[DEUDA CAPITAL]]+Tabla14[[#This Row],[INTERES  CUOTA]]</f>
        <v>#NUM!</v>
      </c>
      <c r="U968" s="61" t="str">
        <f t="shared" si="159"/>
        <v/>
      </c>
    </row>
    <row r="969" spans="9:21" ht="24.75" customHeight="1" x14ac:dyDescent="0.35">
      <c r="I969" s="42">
        <f t="shared" si="150"/>
        <v>0</v>
      </c>
      <c r="J969" s="65" t="e">
        <f t="shared" si="151"/>
        <v>#NUM!</v>
      </c>
      <c r="K969" s="83" t="e">
        <f t="shared" si="152"/>
        <v>#NUM!</v>
      </c>
      <c r="L969" s="83">
        <f t="shared" si="153"/>
        <v>0</v>
      </c>
      <c r="M969" s="110" t="str">
        <f t="shared" si="154"/>
        <v/>
      </c>
      <c r="N969" s="51" t="str">
        <f t="shared" si="155"/>
        <v/>
      </c>
      <c r="O969" s="52" t="str">
        <f t="shared" si="156"/>
        <v/>
      </c>
      <c r="P969" s="88">
        <f t="shared" si="157"/>
        <v>0</v>
      </c>
      <c r="Q969" s="88">
        <f t="shared" si="158"/>
        <v>0</v>
      </c>
      <c r="R969" s="88" t="e">
        <f>-IF(Tabla14[[#This Row],[DIAS HABILES O MORA]]&lt;0,(Tabla14[[#This Row],[VALOR PRESTAMO]]*Tabla14[[#This Row],[% INTERES ]]/30*U969))+Tabla14[[#This Row],[VALOR CUOTAS]]</f>
        <v>#VALUE!</v>
      </c>
      <c r="S969" s="88">
        <f>-IF(Tabla14[[#This Row],[DIAS HABILES O MORA]]&lt;0,(Tabla14[[#This Row],[VALOR PRESTAMO]]*Tabla14[[#This Row],[% INTERES ]]/30*U969))</f>
        <v>0</v>
      </c>
      <c r="T969" s="53" t="e">
        <f>Tabla14[[#This Row],[DEUDA CAPITAL]]+Tabla14[[#This Row],[INTERES  CUOTA]]</f>
        <v>#NUM!</v>
      </c>
      <c r="U969" s="61" t="str">
        <f t="shared" si="159"/>
        <v/>
      </c>
    </row>
    <row r="970" spans="9:21" ht="24.75" customHeight="1" x14ac:dyDescent="0.35">
      <c r="I970" s="42">
        <f t="shared" si="150"/>
        <v>0</v>
      </c>
      <c r="J970" s="65" t="e">
        <f t="shared" si="151"/>
        <v>#NUM!</v>
      </c>
      <c r="K970" s="83" t="e">
        <f t="shared" si="152"/>
        <v>#NUM!</v>
      </c>
      <c r="L970" s="83">
        <f t="shared" si="153"/>
        <v>0</v>
      </c>
      <c r="M970" s="110" t="str">
        <f t="shared" si="154"/>
        <v/>
      </c>
      <c r="N970" s="51" t="str">
        <f t="shared" si="155"/>
        <v/>
      </c>
      <c r="O970" s="52" t="str">
        <f t="shared" si="156"/>
        <v/>
      </c>
      <c r="P970" s="88">
        <f t="shared" si="157"/>
        <v>0</v>
      </c>
      <c r="Q970" s="88">
        <f t="shared" si="158"/>
        <v>0</v>
      </c>
      <c r="R970" s="88" t="e">
        <f>-IF(Tabla14[[#This Row],[DIAS HABILES O MORA]]&lt;0,(Tabla14[[#This Row],[VALOR PRESTAMO]]*Tabla14[[#This Row],[% INTERES ]]/30*U970))+Tabla14[[#This Row],[VALOR CUOTAS]]</f>
        <v>#VALUE!</v>
      </c>
      <c r="S970" s="88">
        <f>-IF(Tabla14[[#This Row],[DIAS HABILES O MORA]]&lt;0,(Tabla14[[#This Row],[VALOR PRESTAMO]]*Tabla14[[#This Row],[% INTERES ]]/30*U970))</f>
        <v>0</v>
      </c>
      <c r="T970" s="53" t="e">
        <f>Tabla14[[#This Row],[DEUDA CAPITAL]]+Tabla14[[#This Row],[INTERES  CUOTA]]</f>
        <v>#NUM!</v>
      </c>
      <c r="U970" s="61" t="str">
        <f t="shared" si="159"/>
        <v/>
      </c>
    </row>
    <row r="971" spans="9:21" ht="24.75" customHeight="1" x14ac:dyDescent="0.35">
      <c r="I971" s="42">
        <f t="shared" si="150"/>
        <v>0</v>
      </c>
      <c r="J971" s="65" t="e">
        <f t="shared" si="151"/>
        <v>#NUM!</v>
      </c>
      <c r="K971" s="83" t="e">
        <f t="shared" si="152"/>
        <v>#NUM!</v>
      </c>
      <c r="L971" s="83">
        <f t="shared" si="153"/>
        <v>0</v>
      </c>
      <c r="M971" s="110" t="str">
        <f t="shared" si="154"/>
        <v/>
      </c>
      <c r="N971" s="51" t="str">
        <f t="shared" si="155"/>
        <v/>
      </c>
      <c r="O971" s="52" t="str">
        <f t="shared" si="156"/>
        <v/>
      </c>
      <c r="P971" s="88">
        <f t="shared" si="157"/>
        <v>0</v>
      </c>
      <c r="Q971" s="88">
        <f t="shared" si="158"/>
        <v>0</v>
      </c>
      <c r="R971" s="88" t="e">
        <f>-IF(Tabla14[[#This Row],[DIAS HABILES O MORA]]&lt;0,(Tabla14[[#This Row],[VALOR PRESTAMO]]*Tabla14[[#This Row],[% INTERES ]]/30*U971))+Tabla14[[#This Row],[VALOR CUOTAS]]</f>
        <v>#VALUE!</v>
      </c>
      <c r="S971" s="88">
        <f>-IF(Tabla14[[#This Row],[DIAS HABILES O MORA]]&lt;0,(Tabla14[[#This Row],[VALOR PRESTAMO]]*Tabla14[[#This Row],[% INTERES ]]/30*U971))</f>
        <v>0</v>
      </c>
      <c r="T971" s="53" t="e">
        <f>Tabla14[[#This Row],[DEUDA CAPITAL]]+Tabla14[[#This Row],[INTERES  CUOTA]]</f>
        <v>#NUM!</v>
      </c>
      <c r="U971" s="61" t="str">
        <f t="shared" si="159"/>
        <v/>
      </c>
    </row>
    <row r="972" spans="9:21" ht="24.75" customHeight="1" x14ac:dyDescent="0.35">
      <c r="I972" s="42">
        <f t="shared" si="150"/>
        <v>0</v>
      </c>
      <c r="J972" s="65" t="e">
        <f t="shared" si="151"/>
        <v>#NUM!</v>
      </c>
      <c r="K972" s="83" t="e">
        <f t="shared" si="152"/>
        <v>#NUM!</v>
      </c>
      <c r="L972" s="83">
        <f t="shared" si="153"/>
        <v>0</v>
      </c>
      <c r="M972" s="110" t="str">
        <f t="shared" si="154"/>
        <v/>
      </c>
      <c r="N972" s="51" t="str">
        <f t="shared" si="155"/>
        <v/>
      </c>
      <c r="O972" s="52" t="str">
        <f t="shared" si="156"/>
        <v/>
      </c>
      <c r="P972" s="88">
        <f t="shared" si="157"/>
        <v>0</v>
      </c>
      <c r="Q972" s="88">
        <f t="shared" si="158"/>
        <v>0</v>
      </c>
      <c r="R972" s="88" t="e">
        <f>-IF(Tabla14[[#This Row],[DIAS HABILES O MORA]]&lt;0,(Tabla14[[#This Row],[VALOR PRESTAMO]]*Tabla14[[#This Row],[% INTERES ]]/30*U972))+Tabla14[[#This Row],[VALOR CUOTAS]]</f>
        <v>#VALUE!</v>
      </c>
      <c r="S972" s="88">
        <f>-IF(Tabla14[[#This Row],[DIAS HABILES O MORA]]&lt;0,(Tabla14[[#This Row],[VALOR PRESTAMO]]*Tabla14[[#This Row],[% INTERES ]]/30*U972))</f>
        <v>0</v>
      </c>
      <c r="T972" s="53" t="e">
        <f>Tabla14[[#This Row],[DEUDA CAPITAL]]+Tabla14[[#This Row],[INTERES  CUOTA]]</f>
        <v>#NUM!</v>
      </c>
      <c r="U972" s="61" t="str">
        <f t="shared" si="159"/>
        <v/>
      </c>
    </row>
    <row r="973" spans="9:21" ht="24.75" customHeight="1" x14ac:dyDescent="0.35">
      <c r="I973" s="42">
        <f t="shared" si="150"/>
        <v>0</v>
      </c>
      <c r="J973" s="65" t="e">
        <f t="shared" si="151"/>
        <v>#NUM!</v>
      </c>
      <c r="K973" s="83" t="e">
        <f t="shared" si="152"/>
        <v>#NUM!</v>
      </c>
      <c r="L973" s="83">
        <f t="shared" si="153"/>
        <v>0</v>
      </c>
      <c r="M973" s="110" t="str">
        <f t="shared" si="154"/>
        <v/>
      </c>
      <c r="N973" s="51" t="str">
        <f t="shared" si="155"/>
        <v/>
      </c>
      <c r="O973" s="52" t="str">
        <f t="shared" si="156"/>
        <v/>
      </c>
      <c r="P973" s="88">
        <f t="shared" si="157"/>
        <v>0</v>
      </c>
      <c r="Q973" s="88">
        <f t="shared" si="158"/>
        <v>0</v>
      </c>
      <c r="R973" s="88" t="e">
        <f>-IF(Tabla14[[#This Row],[DIAS HABILES O MORA]]&lt;0,(Tabla14[[#This Row],[VALOR PRESTAMO]]*Tabla14[[#This Row],[% INTERES ]]/30*U973))+Tabla14[[#This Row],[VALOR CUOTAS]]</f>
        <v>#VALUE!</v>
      </c>
      <c r="S973" s="88">
        <f>-IF(Tabla14[[#This Row],[DIAS HABILES O MORA]]&lt;0,(Tabla14[[#This Row],[VALOR PRESTAMO]]*Tabla14[[#This Row],[% INTERES ]]/30*U973))</f>
        <v>0</v>
      </c>
      <c r="T973" s="53" t="e">
        <f>Tabla14[[#This Row],[DEUDA CAPITAL]]+Tabla14[[#This Row],[INTERES  CUOTA]]</f>
        <v>#NUM!</v>
      </c>
      <c r="U973" s="61" t="str">
        <f t="shared" si="159"/>
        <v/>
      </c>
    </row>
    <row r="974" spans="9:21" ht="24.75" customHeight="1" x14ac:dyDescent="0.35">
      <c r="I974" s="42">
        <f t="shared" si="150"/>
        <v>0</v>
      </c>
      <c r="J974" s="65" t="e">
        <f t="shared" si="151"/>
        <v>#NUM!</v>
      </c>
      <c r="K974" s="83" t="e">
        <f t="shared" si="152"/>
        <v>#NUM!</v>
      </c>
      <c r="L974" s="83">
        <f t="shared" si="153"/>
        <v>0</v>
      </c>
      <c r="M974" s="110" t="str">
        <f t="shared" si="154"/>
        <v/>
      </c>
      <c r="N974" s="51" t="str">
        <f t="shared" si="155"/>
        <v/>
      </c>
      <c r="O974" s="52" t="str">
        <f t="shared" si="156"/>
        <v/>
      </c>
      <c r="P974" s="88">
        <f t="shared" si="157"/>
        <v>0</v>
      </c>
      <c r="Q974" s="88">
        <f t="shared" si="158"/>
        <v>0</v>
      </c>
      <c r="R974" s="88" t="e">
        <f>-IF(Tabla14[[#This Row],[DIAS HABILES O MORA]]&lt;0,(Tabla14[[#This Row],[VALOR PRESTAMO]]*Tabla14[[#This Row],[% INTERES ]]/30*U974))+Tabla14[[#This Row],[VALOR CUOTAS]]</f>
        <v>#VALUE!</v>
      </c>
      <c r="S974" s="88">
        <f>-IF(Tabla14[[#This Row],[DIAS HABILES O MORA]]&lt;0,(Tabla14[[#This Row],[VALOR PRESTAMO]]*Tabla14[[#This Row],[% INTERES ]]/30*U974))</f>
        <v>0</v>
      </c>
      <c r="T974" s="53" t="e">
        <f>Tabla14[[#This Row],[DEUDA CAPITAL]]+Tabla14[[#This Row],[INTERES  CUOTA]]</f>
        <v>#NUM!</v>
      </c>
      <c r="U974" s="61" t="str">
        <f t="shared" si="159"/>
        <v/>
      </c>
    </row>
    <row r="975" spans="9:21" ht="24.75" customHeight="1" x14ac:dyDescent="0.35">
      <c r="I975" s="42">
        <f t="shared" si="150"/>
        <v>0</v>
      </c>
      <c r="J975" s="65" t="e">
        <f t="shared" si="151"/>
        <v>#NUM!</v>
      </c>
      <c r="K975" s="83" t="e">
        <f t="shared" si="152"/>
        <v>#NUM!</v>
      </c>
      <c r="L975" s="83">
        <f t="shared" si="153"/>
        <v>0</v>
      </c>
      <c r="M975" s="110" t="str">
        <f t="shared" si="154"/>
        <v/>
      </c>
      <c r="N975" s="51" t="str">
        <f t="shared" si="155"/>
        <v/>
      </c>
      <c r="O975" s="52" t="str">
        <f t="shared" si="156"/>
        <v/>
      </c>
      <c r="P975" s="88">
        <f t="shared" si="157"/>
        <v>0</v>
      </c>
      <c r="Q975" s="88">
        <f t="shared" si="158"/>
        <v>0</v>
      </c>
      <c r="R975" s="88" t="e">
        <f>-IF(Tabla14[[#This Row],[DIAS HABILES O MORA]]&lt;0,(Tabla14[[#This Row],[VALOR PRESTAMO]]*Tabla14[[#This Row],[% INTERES ]]/30*U975))+Tabla14[[#This Row],[VALOR CUOTAS]]</f>
        <v>#VALUE!</v>
      </c>
      <c r="S975" s="88">
        <f>-IF(Tabla14[[#This Row],[DIAS HABILES O MORA]]&lt;0,(Tabla14[[#This Row],[VALOR PRESTAMO]]*Tabla14[[#This Row],[% INTERES ]]/30*U975))</f>
        <v>0</v>
      </c>
      <c r="T975" s="53" t="e">
        <f>Tabla14[[#This Row],[DEUDA CAPITAL]]+Tabla14[[#This Row],[INTERES  CUOTA]]</f>
        <v>#NUM!</v>
      </c>
      <c r="U975" s="61" t="str">
        <f t="shared" si="159"/>
        <v/>
      </c>
    </row>
    <row r="976" spans="9:21" ht="24.75" customHeight="1" x14ac:dyDescent="0.35">
      <c r="I976" s="42">
        <f t="shared" ref="I976:I1039" si="160">IF(C976&lt;0,"",IF(Q976=0,0,IF(G976=0,H976+1,IF(H976&lt;G976,H976+1,IF(G976=H976,0)))))</f>
        <v>0</v>
      </c>
      <c r="J976" s="65" t="e">
        <f t="shared" ref="J976:J1039" si="161">IF(F976="SOLO INTERES",Q976*D976,-IPMT(D976,I976,G976,C976))</f>
        <v>#NUM!</v>
      </c>
      <c r="K976" s="83" t="e">
        <f t="shared" ref="K976:K1039" si="162">IF(F976="SOLO INTERES",0,-PPMT(D976,I976,G976,C976))</f>
        <v>#NUM!</v>
      </c>
      <c r="L976" s="83">
        <f t="shared" ref="L976:L1039" si="163">IF(F976="SOLO INTERES",SUM(Y976:AAE976),IFERROR(-CUMIPMT(D976,G976,C976,1,H976,0),0)+SUM(Y976:WY976))</f>
        <v>0</v>
      </c>
      <c r="M976" s="110" t="str">
        <f t="shared" ref="M976:M1039" si="164">IFERROR(IF(F976="SOLO INTERES",Q976*D976,-PMT(D976,G976,C976,0)),"")</f>
        <v/>
      </c>
      <c r="N976" s="51" t="str">
        <f t="shared" ref="N976:N1039" si="165">IF(Q976=0,"",IF(E976="MENSUAL",EDATE(B976,I976),IF(E976="QUINCENAL",B976+(I976*15),IF(E976="SEMANAL",B976+(I976*7)))))</f>
        <v/>
      </c>
      <c r="O976" s="52" t="str">
        <f t="shared" ref="O976:O1039" si="166">IF(C976=0,"",IF(Q976&lt;1,"PAGADO",IF(N976=$A$3,"COBRAR HOY",IF(N976&lt;$A$3,"EN MORA",IF(N976&gt;$A$3,"AL DIA")))))</f>
        <v/>
      </c>
      <c r="P976" s="88">
        <f t="shared" ref="P976:P1039" si="167">IFERROR(-CUMPRINC(D976,G976,C976,1,H976,0),0)+W976</f>
        <v>0</v>
      </c>
      <c r="Q976" s="88">
        <f t="shared" ref="Q976:Q1039" si="168">IFERROR(C976-P976,"")</f>
        <v>0</v>
      </c>
      <c r="R976" s="88" t="e">
        <f>-IF(Tabla14[[#This Row],[DIAS HABILES O MORA]]&lt;0,(Tabla14[[#This Row],[VALOR PRESTAMO]]*Tabla14[[#This Row],[% INTERES ]]/30*U976))+Tabla14[[#This Row],[VALOR CUOTAS]]</f>
        <v>#VALUE!</v>
      </c>
      <c r="S976" s="88">
        <f>-IF(Tabla14[[#This Row],[DIAS HABILES O MORA]]&lt;0,(Tabla14[[#This Row],[VALOR PRESTAMO]]*Tabla14[[#This Row],[% INTERES ]]/30*U976))</f>
        <v>0</v>
      </c>
      <c r="T976" s="53" t="e">
        <f>Tabla14[[#This Row],[DEUDA CAPITAL]]+Tabla14[[#This Row],[INTERES  CUOTA]]</f>
        <v>#NUM!</v>
      </c>
      <c r="U976" s="61" t="str">
        <f t="shared" ref="U976:U1039" si="169">IF(O976="PAGADO","",IFERROR(-IF(C976=0,"",$A$3-N976),""))</f>
        <v/>
      </c>
    </row>
    <row r="977" spans="9:21" ht="24.75" customHeight="1" x14ac:dyDescent="0.35">
      <c r="I977" s="42">
        <f t="shared" si="160"/>
        <v>0</v>
      </c>
      <c r="J977" s="65" t="e">
        <f t="shared" si="161"/>
        <v>#NUM!</v>
      </c>
      <c r="K977" s="83" t="e">
        <f t="shared" si="162"/>
        <v>#NUM!</v>
      </c>
      <c r="L977" s="83">
        <f t="shared" si="163"/>
        <v>0</v>
      </c>
      <c r="M977" s="110" t="str">
        <f t="shared" si="164"/>
        <v/>
      </c>
      <c r="N977" s="51" t="str">
        <f t="shared" si="165"/>
        <v/>
      </c>
      <c r="O977" s="52" t="str">
        <f t="shared" si="166"/>
        <v/>
      </c>
      <c r="P977" s="88">
        <f t="shared" si="167"/>
        <v>0</v>
      </c>
      <c r="Q977" s="88">
        <f t="shared" si="168"/>
        <v>0</v>
      </c>
      <c r="R977" s="88" t="e">
        <f>-IF(Tabla14[[#This Row],[DIAS HABILES O MORA]]&lt;0,(Tabla14[[#This Row],[VALOR PRESTAMO]]*Tabla14[[#This Row],[% INTERES ]]/30*U977))+Tabla14[[#This Row],[VALOR CUOTAS]]</f>
        <v>#VALUE!</v>
      </c>
      <c r="S977" s="88">
        <f>-IF(Tabla14[[#This Row],[DIAS HABILES O MORA]]&lt;0,(Tabla14[[#This Row],[VALOR PRESTAMO]]*Tabla14[[#This Row],[% INTERES ]]/30*U977))</f>
        <v>0</v>
      </c>
      <c r="T977" s="53" t="e">
        <f>Tabla14[[#This Row],[DEUDA CAPITAL]]+Tabla14[[#This Row],[INTERES  CUOTA]]</f>
        <v>#NUM!</v>
      </c>
      <c r="U977" s="61" t="str">
        <f t="shared" si="169"/>
        <v/>
      </c>
    </row>
    <row r="978" spans="9:21" ht="24.75" customHeight="1" x14ac:dyDescent="0.35">
      <c r="I978" s="42">
        <f t="shared" si="160"/>
        <v>0</v>
      </c>
      <c r="J978" s="65" t="e">
        <f t="shared" si="161"/>
        <v>#NUM!</v>
      </c>
      <c r="K978" s="83" t="e">
        <f t="shared" si="162"/>
        <v>#NUM!</v>
      </c>
      <c r="L978" s="83">
        <f t="shared" si="163"/>
        <v>0</v>
      </c>
      <c r="M978" s="110" t="str">
        <f t="shared" si="164"/>
        <v/>
      </c>
      <c r="N978" s="51" t="str">
        <f t="shared" si="165"/>
        <v/>
      </c>
      <c r="O978" s="52" t="str">
        <f t="shared" si="166"/>
        <v/>
      </c>
      <c r="P978" s="88">
        <f t="shared" si="167"/>
        <v>0</v>
      </c>
      <c r="Q978" s="88">
        <f t="shared" si="168"/>
        <v>0</v>
      </c>
      <c r="R978" s="88" t="e">
        <f>-IF(Tabla14[[#This Row],[DIAS HABILES O MORA]]&lt;0,(Tabla14[[#This Row],[VALOR PRESTAMO]]*Tabla14[[#This Row],[% INTERES ]]/30*U978))+Tabla14[[#This Row],[VALOR CUOTAS]]</f>
        <v>#VALUE!</v>
      </c>
      <c r="S978" s="88">
        <f>-IF(Tabla14[[#This Row],[DIAS HABILES O MORA]]&lt;0,(Tabla14[[#This Row],[VALOR PRESTAMO]]*Tabla14[[#This Row],[% INTERES ]]/30*U978))</f>
        <v>0</v>
      </c>
      <c r="T978" s="53" t="e">
        <f>Tabla14[[#This Row],[DEUDA CAPITAL]]+Tabla14[[#This Row],[INTERES  CUOTA]]</f>
        <v>#NUM!</v>
      </c>
      <c r="U978" s="61" t="str">
        <f t="shared" si="169"/>
        <v/>
      </c>
    </row>
    <row r="979" spans="9:21" ht="24.75" customHeight="1" x14ac:dyDescent="0.35">
      <c r="I979" s="42">
        <f t="shared" si="160"/>
        <v>0</v>
      </c>
      <c r="J979" s="65" t="e">
        <f t="shared" si="161"/>
        <v>#NUM!</v>
      </c>
      <c r="K979" s="83" t="e">
        <f t="shared" si="162"/>
        <v>#NUM!</v>
      </c>
      <c r="L979" s="83">
        <f t="shared" si="163"/>
        <v>0</v>
      </c>
      <c r="M979" s="110" t="str">
        <f t="shared" si="164"/>
        <v/>
      </c>
      <c r="N979" s="51" t="str">
        <f t="shared" si="165"/>
        <v/>
      </c>
      <c r="O979" s="52" t="str">
        <f t="shared" si="166"/>
        <v/>
      </c>
      <c r="P979" s="88">
        <f t="shared" si="167"/>
        <v>0</v>
      </c>
      <c r="Q979" s="88">
        <f t="shared" si="168"/>
        <v>0</v>
      </c>
      <c r="R979" s="88" t="e">
        <f>-IF(Tabla14[[#This Row],[DIAS HABILES O MORA]]&lt;0,(Tabla14[[#This Row],[VALOR PRESTAMO]]*Tabla14[[#This Row],[% INTERES ]]/30*U979))+Tabla14[[#This Row],[VALOR CUOTAS]]</f>
        <v>#VALUE!</v>
      </c>
      <c r="S979" s="88">
        <f>-IF(Tabla14[[#This Row],[DIAS HABILES O MORA]]&lt;0,(Tabla14[[#This Row],[VALOR PRESTAMO]]*Tabla14[[#This Row],[% INTERES ]]/30*U979))</f>
        <v>0</v>
      </c>
      <c r="T979" s="53" t="e">
        <f>Tabla14[[#This Row],[DEUDA CAPITAL]]+Tabla14[[#This Row],[INTERES  CUOTA]]</f>
        <v>#NUM!</v>
      </c>
      <c r="U979" s="61" t="str">
        <f t="shared" si="169"/>
        <v/>
      </c>
    </row>
    <row r="980" spans="9:21" ht="24.75" customHeight="1" x14ac:dyDescent="0.35">
      <c r="I980" s="42">
        <f t="shared" si="160"/>
        <v>0</v>
      </c>
      <c r="J980" s="65" t="e">
        <f t="shared" si="161"/>
        <v>#NUM!</v>
      </c>
      <c r="K980" s="83" t="e">
        <f t="shared" si="162"/>
        <v>#NUM!</v>
      </c>
      <c r="L980" s="83">
        <f t="shared" si="163"/>
        <v>0</v>
      </c>
      <c r="M980" s="110" t="str">
        <f t="shared" si="164"/>
        <v/>
      </c>
      <c r="N980" s="51" t="str">
        <f t="shared" si="165"/>
        <v/>
      </c>
      <c r="O980" s="52" t="str">
        <f t="shared" si="166"/>
        <v/>
      </c>
      <c r="P980" s="88">
        <f t="shared" si="167"/>
        <v>0</v>
      </c>
      <c r="Q980" s="88">
        <f t="shared" si="168"/>
        <v>0</v>
      </c>
      <c r="R980" s="88" t="e">
        <f>-IF(Tabla14[[#This Row],[DIAS HABILES O MORA]]&lt;0,(Tabla14[[#This Row],[VALOR PRESTAMO]]*Tabla14[[#This Row],[% INTERES ]]/30*U980))+Tabla14[[#This Row],[VALOR CUOTAS]]</f>
        <v>#VALUE!</v>
      </c>
      <c r="S980" s="88">
        <f>-IF(Tabla14[[#This Row],[DIAS HABILES O MORA]]&lt;0,(Tabla14[[#This Row],[VALOR PRESTAMO]]*Tabla14[[#This Row],[% INTERES ]]/30*U980))</f>
        <v>0</v>
      </c>
      <c r="T980" s="53" t="e">
        <f>Tabla14[[#This Row],[DEUDA CAPITAL]]+Tabla14[[#This Row],[INTERES  CUOTA]]</f>
        <v>#NUM!</v>
      </c>
      <c r="U980" s="61" t="str">
        <f t="shared" si="169"/>
        <v/>
      </c>
    </row>
    <row r="981" spans="9:21" ht="24.75" customHeight="1" x14ac:dyDescent="0.35">
      <c r="I981" s="42">
        <f t="shared" si="160"/>
        <v>0</v>
      </c>
      <c r="J981" s="65" t="e">
        <f t="shared" si="161"/>
        <v>#NUM!</v>
      </c>
      <c r="K981" s="83" t="e">
        <f t="shared" si="162"/>
        <v>#NUM!</v>
      </c>
      <c r="L981" s="83">
        <f t="shared" si="163"/>
        <v>0</v>
      </c>
      <c r="M981" s="110" t="str">
        <f t="shared" si="164"/>
        <v/>
      </c>
      <c r="N981" s="51" t="str">
        <f t="shared" si="165"/>
        <v/>
      </c>
      <c r="O981" s="52" t="str">
        <f t="shared" si="166"/>
        <v/>
      </c>
      <c r="P981" s="88">
        <f t="shared" si="167"/>
        <v>0</v>
      </c>
      <c r="Q981" s="88">
        <f t="shared" si="168"/>
        <v>0</v>
      </c>
      <c r="R981" s="88" t="e">
        <f>-IF(Tabla14[[#This Row],[DIAS HABILES O MORA]]&lt;0,(Tabla14[[#This Row],[VALOR PRESTAMO]]*Tabla14[[#This Row],[% INTERES ]]/30*U981))+Tabla14[[#This Row],[VALOR CUOTAS]]</f>
        <v>#VALUE!</v>
      </c>
      <c r="S981" s="88">
        <f>-IF(Tabla14[[#This Row],[DIAS HABILES O MORA]]&lt;0,(Tabla14[[#This Row],[VALOR PRESTAMO]]*Tabla14[[#This Row],[% INTERES ]]/30*U981))</f>
        <v>0</v>
      </c>
      <c r="T981" s="53" t="e">
        <f>Tabla14[[#This Row],[DEUDA CAPITAL]]+Tabla14[[#This Row],[INTERES  CUOTA]]</f>
        <v>#NUM!</v>
      </c>
      <c r="U981" s="61" t="str">
        <f t="shared" si="169"/>
        <v/>
      </c>
    </row>
    <row r="982" spans="9:21" ht="24.75" customHeight="1" x14ac:dyDescent="0.35">
      <c r="I982" s="42">
        <f t="shared" si="160"/>
        <v>0</v>
      </c>
      <c r="J982" s="65" t="e">
        <f t="shared" si="161"/>
        <v>#NUM!</v>
      </c>
      <c r="K982" s="83" t="e">
        <f t="shared" si="162"/>
        <v>#NUM!</v>
      </c>
      <c r="L982" s="83">
        <f t="shared" si="163"/>
        <v>0</v>
      </c>
      <c r="M982" s="110" t="str">
        <f t="shared" si="164"/>
        <v/>
      </c>
      <c r="N982" s="51" t="str">
        <f t="shared" si="165"/>
        <v/>
      </c>
      <c r="O982" s="52" t="str">
        <f t="shared" si="166"/>
        <v/>
      </c>
      <c r="P982" s="88">
        <f t="shared" si="167"/>
        <v>0</v>
      </c>
      <c r="Q982" s="88">
        <f t="shared" si="168"/>
        <v>0</v>
      </c>
      <c r="R982" s="88" t="e">
        <f>-IF(Tabla14[[#This Row],[DIAS HABILES O MORA]]&lt;0,(Tabla14[[#This Row],[VALOR PRESTAMO]]*Tabla14[[#This Row],[% INTERES ]]/30*U982))+Tabla14[[#This Row],[VALOR CUOTAS]]</f>
        <v>#VALUE!</v>
      </c>
      <c r="S982" s="88">
        <f>-IF(Tabla14[[#This Row],[DIAS HABILES O MORA]]&lt;0,(Tabla14[[#This Row],[VALOR PRESTAMO]]*Tabla14[[#This Row],[% INTERES ]]/30*U982))</f>
        <v>0</v>
      </c>
      <c r="T982" s="53" t="e">
        <f>Tabla14[[#This Row],[DEUDA CAPITAL]]+Tabla14[[#This Row],[INTERES  CUOTA]]</f>
        <v>#NUM!</v>
      </c>
      <c r="U982" s="61" t="str">
        <f t="shared" si="169"/>
        <v/>
      </c>
    </row>
    <row r="983" spans="9:21" ht="24.75" customHeight="1" x14ac:dyDescent="0.35">
      <c r="I983" s="42">
        <f t="shared" si="160"/>
        <v>0</v>
      </c>
      <c r="J983" s="65" t="e">
        <f t="shared" si="161"/>
        <v>#NUM!</v>
      </c>
      <c r="K983" s="83" t="e">
        <f t="shared" si="162"/>
        <v>#NUM!</v>
      </c>
      <c r="L983" s="83">
        <f t="shared" si="163"/>
        <v>0</v>
      </c>
      <c r="M983" s="110" t="str">
        <f t="shared" si="164"/>
        <v/>
      </c>
      <c r="N983" s="51" t="str">
        <f t="shared" si="165"/>
        <v/>
      </c>
      <c r="O983" s="52" t="str">
        <f t="shared" si="166"/>
        <v/>
      </c>
      <c r="P983" s="88">
        <f t="shared" si="167"/>
        <v>0</v>
      </c>
      <c r="Q983" s="88">
        <f t="shared" si="168"/>
        <v>0</v>
      </c>
      <c r="R983" s="88" t="e">
        <f>-IF(Tabla14[[#This Row],[DIAS HABILES O MORA]]&lt;0,(Tabla14[[#This Row],[VALOR PRESTAMO]]*Tabla14[[#This Row],[% INTERES ]]/30*U983))+Tabla14[[#This Row],[VALOR CUOTAS]]</f>
        <v>#VALUE!</v>
      </c>
      <c r="S983" s="88">
        <f>-IF(Tabla14[[#This Row],[DIAS HABILES O MORA]]&lt;0,(Tabla14[[#This Row],[VALOR PRESTAMO]]*Tabla14[[#This Row],[% INTERES ]]/30*U983))</f>
        <v>0</v>
      </c>
      <c r="T983" s="53" t="e">
        <f>Tabla14[[#This Row],[DEUDA CAPITAL]]+Tabla14[[#This Row],[INTERES  CUOTA]]</f>
        <v>#NUM!</v>
      </c>
      <c r="U983" s="61" t="str">
        <f t="shared" si="169"/>
        <v/>
      </c>
    </row>
    <row r="984" spans="9:21" ht="24.75" customHeight="1" x14ac:dyDescent="0.35">
      <c r="I984" s="42">
        <f t="shared" si="160"/>
        <v>0</v>
      </c>
      <c r="J984" s="65" t="e">
        <f t="shared" si="161"/>
        <v>#NUM!</v>
      </c>
      <c r="K984" s="83" t="e">
        <f t="shared" si="162"/>
        <v>#NUM!</v>
      </c>
      <c r="L984" s="83">
        <f t="shared" si="163"/>
        <v>0</v>
      </c>
      <c r="M984" s="110" t="str">
        <f t="shared" si="164"/>
        <v/>
      </c>
      <c r="N984" s="51" t="str">
        <f t="shared" si="165"/>
        <v/>
      </c>
      <c r="O984" s="52" t="str">
        <f t="shared" si="166"/>
        <v/>
      </c>
      <c r="P984" s="88">
        <f t="shared" si="167"/>
        <v>0</v>
      </c>
      <c r="Q984" s="88">
        <f t="shared" si="168"/>
        <v>0</v>
      </c>
      <c r="R984" s="88" t="e">
        <f>-IF(Tabla14[[#This Row],[DIAS HABILES O MORA]]&lt;0,(Tabla14[[#This Row],[VALOR PRESTAMO]]*Tabla14[[#This Row],[% INTERES ]]/30*U984))+Tabla14[[#This Row],[VALOR CUOTAS]]</f>
        <v>#VALUE!</v>
      </c>
      <c r="S984" s="88">
        <f>-IF(Tabla14[[#This Row],[DIAS HABILES O MORA]]&lt;0,(Tabla14[[#This Row],[VALOR PRESTAMO]]*Tabla14[[#This Row],[% INTERES ]]/30*U984))</f>
        <v>0</v>
      </c>
      <c r="T984" s="53" t="e">
        <f>Tabla14[[#This Row],[DEUDA CAPITAL]]+Tabla14[[#This Row],[INTERES  CUOTA]]</f>
        <v>#NUM!</v>
      </c>
      <c r="U984" s="61" t="str">
        <f t="shared" si="169"/>
        <v/>
      </c>
    </row>
    <row r="985" spans="9:21" ht="24.75" customHeight="1" x14ac:dyDescent="0.35">
      <c r="I985" s="42">
        <f t="shared" si="160"/>
        <v>0</v>
      </c>
      <c r="J985" s="65" t="e">
        <f t="shared" si="161"/>
        <v>#NUM!</v>
      </c>
      <c r="K985" s="83" t="e">
        <f t="shared" si="162"/>
        <v>#NUM!</v>
      </c>
      <c r="L985" s="83">
        <f t="shared" si="163"/>
        <v>0</v>
      </c>
      <c r="M985" s="110" t="str">
        <f t="shared" si="164"/>
        <v/>
      </c>
      <c r="N985" s="51" t="str">
        <f t="shared" si="165"/>
        <v/>
      </c>
      <c r="O985" s="52" t="str">
        <f t="shared" si="166"/>
        <v/>
      </c>
      <c r="P985" s="88">
        <f t="shared" si="167"/>
        <v>0</v>
      </c>
      <c r="Q985" s="88">
        <f t="shared" si="168"/>
        <v>0</v>
      </c>
      <c r="R985" s="88" t="e">
        <f>-IF(Tabla14[[#This Row],[DIAS HABILES O MORA]]&lt;0,(Tabla14[[#This Row],[VALOR PRESTAMO]]*Tabla14[[#This Row],[% INTERES ]]/30*U985))+Tabla14[[#This Row],[VALOR CUOTAS]]</f>
        <v>#VALUE!</v>
      </c>
      <c r="S985" s="88">
        <f>-IF(Tabla14[[#This Row],[DIAS HABILES O MORA]]&lt;0,(Tabla14[[#This Row],[VALOR PRESTAMO]]*Tabla14[[#This Row],[% INTERES ]]/30*U985))</f>
        <v>0</v>
      </c>
      <c r="T985" s="53" t="e">
        <f>Tabla14[[#This Row],[DEUDA CAPITAL]]+Tabla14[[#This Row],[INTERES  CUOTA]]</f>
        <v>#NUM!</v>
      </c>
      <c r="U985" s="61" t="str">
        <f t="shared" si="169"/>
        <v/>
      </c>
    </row>
    <row r="986" spans="9:21" ht="24.75" customHeight="1" x14ac:dyDescent="0.35">
      <c r="I986" s="42">
        <f t="shared" si="160"/>
        <v>0</v>
      </c>
      <c r="J986" s="65" t="e">
        <f t="shared" si="161"/>
        <v>#NUM!</v>
      </c>
      <c r="K986" s="83" t="e">
        <f t="shared" si="162"/>
        <v>#NUM!</v>
      </c>
      <c r="L986" s="83">
        <f t="shared" si="163"/>
        <v>0</v>
      </c>
      <c r="M986" s="110" t="str">
        <f t="shared" si="164"/>
        <v/>
      </c>
      <c r="N986" s="51" t="str">
        <f t="shared" si="165"/>
        <v/>
      </c>
      <c r="O986" s="52" t="str">
        <f t="shared" si="166"/>
        <v/>
      </c>
      <c r="P986" s="88">
        <f t="shared" si="167"/>
        <v>0</v>
      </c>
      <c r="Q986" s="88">
        <f t="shared" si="168"/>
        <v>0</v>
      </c>
      <c r="R986" s="88" t="e">
        <f>-IF(Tabla14[[#This Row],[DIAS HABILES O MORA]]&lt;0,(Tabla14[[#This Row],[VALOR PRESTAMO]]*Tabla14[[#This Row],[% INTERES ]]/30*U986))+Tabla14[[#This Row],[VALOR CUOTAS]]</f>
        <v>#VALUE!</v>
      </c>
      <c r="S986" s="88">
        <f>-IF(Tabla14[[#This Row],[DIAS HABILES O MORA]]&lt;0,(Tabla14[[#This Row],[VALOR PRESTAMO]]*Tabla14[[#This Row],[% INTERES ]]/30*U986))</f>
        <v>0</v>
      </c>
      <c r="T986" s="53" t="e">
        <f>Tabla14[[#This Row],[DEUDA CAPITAL]]+Tabla14[[#This Row],[INTERES  CUOTA]]</f>
        <v>#NUM!</v>
      </c>
      <c r="U986" s="61" t="str">
        <f t="shared" si="169"/>
        <v/>
      </c>
    </row>
    <row r="987" spans="9:21" ht="24.75" customHeight="1" x14ac:dyDescent="0.35">
      <c r="I987" s="42">
        <f t="shared" si="160"/>
        <v>0</v>
      </c>
      <c r="J987" s="65" t="e">
        <f t="shared" si="161"/>
        <v>#NUM!</v>
      </c>
      <c r="K987" s="83" t="e">
        <f t="shared" si="162"/>
        <v>#NUM!</v>
      </c>
      <c r="L987" s="83">
        <f t="shared" si="163"/>
        <v>0</v>
      </c>
      <c r="M987" s="110" t="str">
        <f t="shared" si="164"/>
        <v/>
      </c>
      <c r="N987" s="51" t="str">
        <f t="shared" si="165"/>
        <v/>
      </c>
      <c r="O987" s="52" t="str">
        <f t="shared" si="166"/>
        <v/>
      </c>
      <c r="P987" s="88">
        <f t="shared" si="167"/>
        <v>0</v>
      </c>
      <c r="Q987" s="88">
        <f t="shared" si="168"/>
        <v>0</v>
      </c>
      <c r="R987" s="88" t="e">
        <f>-IF(Tabla14[[#This Row],[DIAS HABILES O MORA]]&lt;0,(Tabla14[[#This Row],[VALOR PRESTAMO]]*Tabla14[[#This Row],[% INTERES ]]/30*U987))+Tabla14[[#This Row],[VALOR CUOTAS]]</f>
        <v>#VALUE!</v>
      </c>
      <c r="S987" s="88">
        <f>-IF(Tabla14[[#This Row],[DIAS HABILES O MORA]]&lt;0,(Tabla14[[#This Row],[VALOR PRESTAMO]]*Tabla14[[#This Row],[% INTERES ]]/30*U987))</f>
        <v>0</v>
      </c>
      <c r="T987" s="53" t="e">
        <f>Tabla14[[#This Row],[DEUDA CAPITAL]]+Tabla14[[#This Row],[INTERES  CUOTA]]</f>
        <v>#NUM!</v>
      </c>
      <c r="U987" s="61" t="str">
        <f t="shared" si="169"/>
        <v/>
      </c>
    </row>
    <row r="988" spans="9:21" ht="24.75" customHeight="1" x14ac:dyDescent="0.35">
      <c r="I988" s="42">
        <f t="shared" si="160"/>
        <v>0</v>
      </c>
      <c r="J988" s="65" t="e">
        <f t="shared" si="161"/>
        <v>#NUM!</v>
      </c>
      <c r="K988" s="83" t="e">
        <f t="shared" si="162"/>
        <v>#NUM!</v>
      </c>
      <c r="L988" s="83">
        <f t="shared" si="163"/>
        <v>0</v>
      </c>
      <c r="M988" s="110" t="str">
        <f t="shared" si="164"/>
        <v/>
      </c>
      <c r="N988" s="51" t="str">
        <f t="shared" si="165"/>
        <v/>
      </c>
      <c r="O988" s="52" t="str">
        <f t="shared" si="166"/>
        <v/>
      </c>
      <c r="P988" s="88">
        <f t="shared" si="167"/>
        <v>0</v>
      </c>
      <c r="Q988" s="88">
        <f t="shared" si="168"/>
        <v>0</v>
      </c>
      <c r="R988" s="88" t="e">
        <f>-IF(Tabla14[[#This Row],[DIAS HABILES O MORA]]&lt;0,(Tabla14[[#This Row],[VALOR PRESTAMO]]*Tabla14[[#This Row],[% INTERES ]]/30*U988))+Tabla14[[#This Row],[VALOR CUOTAS]]</f>
        <v>#VALUE!</v>
      </c>
      <c r="S988" s="88">
        <f>-IF(Tabla14[[#This Row],[DIAS HABILES O MORA]]&lt;0,(Tabla14[[#This Row],[VALOR PRESTAMO]]*Tabla14[[#This Row],[% INTERES ]]/30*U988))</f>
        <v>0</v>
      </c>
      <c r="T988" s="53" t="e">
        <f>Tabla14[[#This Row],[DEUDA CAPITAL]]+Tabla14[[#This Row],[INTERES  CUOTA]]</f>
        <v>#NUM!</v>
      </c>
      <c r="U988" s="61" t="str">
        <f t="shared" si="169"/>
        <v/>
      </c>
    </row>
    <row r="989" spans="9:21" ht="24.75" customHeight="1" x14ac:dyDescent="0.35">
      <c r="I989" s="42">
        <f t="shared" si="160"/>
        <v>0</v>
      </c>
      <c r="J989" s="65" t="e">
        <f t="shared" si="161"/>
        <v>#NUM!</v>
      </c>
      <c r="K989" s="83" t="e">
        <f t="shared" si="162"/>
        <v>#NUM!</v>
      </c>
      <c r="L989" s="83">
        <f t="shared" si="163"/>
        <v>0</v>
      </c>
      <c r="M989" s="110" t="str">
        <f t="shared" si="164"/>
        <v/>
      </c>
      <c r="N989" s="51" t="str">
        <f t="shared" si="165"/>
        <v/>
      </c>
      <c r="O989" s="52" t="str">
        <f t="shared" si="166"/>
        <v/>
      </c>
      <c r="P989" s="88">
        <f t="shared" si="167"/>
        <v>0</v>
      </c>
      <c r="Q989" s="88">
        <f t="shared" si="168"/>
        <v>0</v>
      </c>
      <c r="R989" s="88" t="e">
        <f>-IF(Tabla14[[#This Row],[DIAS HABILES O MORA]]&lt;0,(Tabla14[[#This Row],[VALOR PRESTAMO]]*Tabla14[[#This Row],[% INTERES ]]/30*U989))+Tabla14[[#This Row],[VALOR CUOTAS]]</f>
        <v>#VALUE!</v>
      </c>
      <c r="S989" s="88">
        <f>-IF(Tabla14[[#This Row],[DIAS HABILES O MORA]]&lt;0,(Tabla14[[#This Row],[VALOR PRESTAMO]]*Tabla14[[#This Row],[% INTERES ]]/30*U989))</f>
        <v>0</v>
      </c>
      <c r="T989" s="53" t="e">
        <f>Tabla14[[#This Row],[DEUDA CAPITAL]]+Tabla14[[#This Row],[INTERES  CUOTA]]</f>
        <v>#NUM!</v>
      </c>
      <c r="U989" s="61" t="str">
        <f t="shared" si="169"/>
        <v/>
      </c>
    </row>
    <row r="990" spans="9:21" ht="24.75" customHeight="1" x14ac:dyDescent="0.35">
      <c r="I990" s="42">
        <f t="shared" si="160"/>
        <v>0</v>
      </c>
      <c r="J990" s="65" t="e">
        <f t="shared" si="161"/>
        <v>#NUM!</v>
      </c>
      <c r="K990" s="83" t="e">
        <f t="shared" si="162"/>
        <v>#NUM!</v>
      </c>
      <c r="L990" s="83">
        <f t="shared" si="163"/>
        <v>0</v>
      </c>
      <c r="M990" s="110" t="str">
        <f t="shared" si="164"/>
        <v/>
      </c>
      <c r="N990" s="51" t="str">
        <f t="shared" si="165"/>
        <v/>
      </c>
      <c r="O990" s="52" t="str">
        <f t="shared" si="166"/>
        <v/>
      </c>
      <c r="P990" s="88">
        <f t="shared" si="167"/>
        <v>0</v>
      </c>
      <c r="Q990" s="88">
        <f t="shared" si="168"/>
        <v>0</v>
      </c>
      <c r="R990" s="88" t="e">
        <f>-IF(Tabla14[[#This Row],[DIAS HABILES O MORA]]&lt;0,(Tabla14[[#This Row],[VALOR PRESTAMO]]*Tabla14[[#This Row],[% INTERES ]]/30*U990))+Tabla14[[#This Row],[VALOR CUOTAS]]</f>
        <v>#VALUE!</v>
      </c>
      <c r="S990" s="88">
        <f>-IF(Tabla14[[#This Row],[DIAS HABILES O MORA]]&lt;0,(Tabla14[[#This Row],[VALOR PRESTAMO]]*Tabla14[[#This Row],[% INTERES ]]/30*U990))</f>
        <v>0</v>
      </c>
      <c r="T990" s="53" t="e">
        <f>Tabla14[[#This Row],[DEUDA CAPITAL]]+Tabla14[[#This Row],[INTERES  CUOTA]]</f>
        <v>#NUM!</v>
      </c>
      <c r="U990" s="61" t="str">
        <f t="shared" si="169"/>
        <v/>
      </c>
    </row>
    <row r="991" spans="9:21" ht="24.75" customHeight="1" x14ac:dyDescent="0.35">
      <c r="I991" s="42">
        <f t="shared" si="160"/>
        <v>0</v>
      </c>
      <c r="J991" s="65" t="e">
        <f t="shared" si="161"/>
        <v>#NUM!</v>
      </c>
      <c r="K991" s="83" t="e">
        <f t="shared" si="162"/>
        <v>#NUM!</v>
      </c>
      <c r="L991" s="83">
        <f t="shared" si="163"/>
        <v>0</v>
      </c>
      <c r="M991" s="110" t="str">
        <f t="shared" si="164"/>
        <v/>
      </c>
      <c r="N991" s="51" t="str">
        <f t="shared" si="165"/>
        <v/>
      </c>
      <c r="O991" s="52" t="str">
        <f t="shared" si="166"/>
        <v/>
      </c>
      <c r="P991" s="88">
        <f t="shared" si="167"/>
        <v>0</v>
      </c>
      <c r="Q991" s="88">
        <f t="shared" si="168"/>
        <v>0</v>
      </c>
      <c r="R991" s="88" t="e">
        <f>-IF(Tabla14[[#This Row],[DIAS HABILES O MORA]]&lt;0,(Tabla14[[#This Row],[VALOR PRESTAMO]]*Tabla14[[#This Row],[% INTERES ]]/30*U991))+Tabla14[[#This Row],[VALOR CUOTAS]]</f>
        <v>#VALUE!</v>
      </c>
      <c r="S991" s="88">
        <f>-IF(Tabla14[[#This Row],[DIAS HABILES O MORA]]&lt;0,(Tabla14[[#This Row],[VALOR PRESTAMO]]*Tabla14[[#This Row],[% INTERES ]]/30*U991))</f>
        <v>0</v>
      </c>
      <c r="T991" s="53" t="e">
        <f>Tabla14[[#This Row],[DEUDA CAPITAL]]+Tabla14[[#This Row],[INTERES  CUOTA]]</f>
        <v>#NUM!</v>
      </c>
      <c r="U991" s="61" t="str">
        <f t="shared" si="169"/>
        <v/>
      </c>
    </row>
    <row r="992" spans="9:21" ht="24.75" customHeight="1" x14ac:dyDescent="0.35">
      <c r="I992" s="42">
        <f t="shared" si="160"/>
        <v>0</v>
      </c>
      <c r="J992" s="65" t="e">
        <f t="shared" si="161"/>
        <v>#NUM!</v>
      </c>
      <c r="K992" s="83" t="e">
        <f t="shared" si="162"/>
        <v>#NUM!</v>
      </c>
      <c r="L992" s="83">
        <f t="shared" si="163"/>
        <v>0</v>
      </c>
      <c r="M992" s="110" t="str">
        <f t="shared" si="164"/>
        <v/>
      </c>
      <c r="N992" s="51" t="str">
        <f t="shared" si="165"/>
        <v/>
      </c>
      <c r="O992" s="52" t="str">
        <f t="shared" si="166"/>
        <v/>
      </c>
      <c r="P992" s="88">
        <f t="shared" si="167"/>
        <v>0</v>
      </c>
      <c r="Q992" s="88">
        <f t="shared" si="168"/>
        <v>0</v>
      </c>
      <c r="R992" s="88" t="e">
        <f>-IF(Tabla14[[#This Row],[DIAS HABILES O MORA]]&lt;0,(Tabla14[[#This Row],[VALOR PRESTAMO]]*Tabla14[[#This Row],[% INTERES ]]/30*U992))+Tabla14[[#This Row],[VALOR CUOTAS]]</f>
        <v>#VALUE!</v>
      </c>
      <c r="S992" s="88">
        <f>-IF(Tabla14[[#This Row],[DIAS HABILES O MORA]]&lt;0,(Tabla14[[#This Row],[VALOR PRESTAMO]]*Tabla14[[#This Row],[% INTERES ]]/30*U992))</f>
        <v>0</v>
      </c>
      <c r="T992" s="53" t="e">
        <f>Tabla14[[#This Row],[DEUDA CAPITAL]]+Tabla14[[#This Row],[INTERES  CUOTA]]</f>
        <v>#NUM!</v>
      </c>
      <c r="U992" s="61" t="str">
        <f t="shared" si="169"/>
        <v/>
      </c>
    </row>
    <row r="993" spans="9:21" ht="24.75" customHeight="1" x14ac:dyDescent="0.35">
      <c r="I993" s="42">
        <f t="shared" si="160"/>
        <v>0</v>
      </c>
      <c r="J993" s="65" t="e">
        <f t="shared" si="161"/>
        <v>#NUM!</v>
      </c>
      <c r="K993" s="83" t="e">
        <f t="shared" si="162"/>
        <v>#NUM!</v>
      </c>
      <c r="L993" s="83">
        <f t="shared" si="163"/>
        <v>0</v>
      </c>
      <c r="M993" s="110" t="str">
        <f t="shared" si="164"/>
        <v/>
      </c>
      <c r="N993" s="51" t="str">
        <f t="shared" si="165"/>
        <v/>
      </c>
      <c r="O993" s="52" t="str">
        <f t="shared" si="166"/>
        <v/>
      </c>
      <c r="P993" s="88">
        <f t="shared" si="167"/>
        <v>0</v>
      </c>
      <c r="Q993" s="88">
        <f t="shared" si="168"/>
        <v>0</v>
      </c>
      <c r="R993" s="88" t="e">
        <f>-IF(Tabla14[[#This Row],[DIAS HABILES O MORA]]&lt;0,(Tabla14[[#This Row],[VALOR PRESTAMO]]*Tabla14[[#This Row],[% INTERES ]]/30*U993))+Tabla14[[#This Row],[VALOR CUOTAS]]</f>
        <v>#VALUE!</v>
      </c>
      <c r="S993" s="88">
        <f>-IF(Tabla14[[#This Row],[DIAS HABILES O MORA]]&lt;0,(Tabla14[[#This Row],[VALOR PRESTAMO]]*Tabla14[[#This Row],[% INTERES ]]/30*U993))</f>
        <v>0</v>
      </c>
      <c r="T993" s="53" t="e">
        <f>Tabla14[[#This Row],[DEUDA CAPITAL]]+Tabla14[[#This Row],[INTERES  CUOTA]]</f>
        <v>#NUM!</v>
      </c>
      <c r="U993" s="61" t="str">
        <f t="shared" si="169"/>
        <v/>
      </c>
    </row>
    <row r="994" spans="9:21" ht="24.75" customHeight="1" x14ac:dyDescent="0.35">
      <c r="I994" s="42">
        <f t="shared" si="160"/>
        <v>0</v>
      </c>
      <c r="J994" s="65" t="e">
        <f t="shared" si="161"/>
        <v>#NUM!</v>
      </c>
      <c r="K994" s="83" t="e">
        <f t="shared" si="162"/>
        <v>#NUM!</v>
      </c>
      <c r="L994" s="83">
        <f t="shared" si="163"/>
        <v>0</v>
      </c>
      <c r="M994" s="110" t="str">
        <f t="shared" si="164"/>
        <v/>
      </c>
      <c r="N994" s="51" t="str">
        <f t="shared" si="165"/>
        <v/>
      </c>
      <c r="O994" s="52" t="str">
        <f t="shared" si="166"/>
        <v/>
      </c>
      <c r="P994" s="88">
        <f t="shared" si="167"/>
        <v>0</v>
      </c>
      <c r="Q994" s="88">
        <f t="shared" si="168"/>
        <v>0</v>
      </c>
      <c r="R994" s="88" t="e">
        <f>-IF(Tabla14[[#This Row],[DIAS HABILES O MORA]]&lt;0,(Tabla14[[#This Row],[VALOR PRESTAMO]]*Tabla14[[#This Row],[% INTERES ]]/30*U994))+Tabla14[[#This Row],[VALOR CUOTAS]]</f>
        <v>#VALUE!</v>
      </c>
      <c r="S994" s="88">
        <f>-IF(Tabla14[[#This Row],[DIAS HABILES O MORA]]&lt;0,(Tabla14[[#This Row],[VALOR PRESTAMO]]*Tabla14[[#This Row],[% INTERES ]]/30*U994))</f>
        <v>0</v>
      </c>
      <c r="T994" s="53" t="e">
        <f>Tabla14[[#This Row],[DEUDA CAPITAL]]+Tabla14[[#This Row],[INTERES  CUOTA]]</f>
        <v>#NUM!</v>
      </c>
      <c r="U994" s="61" t="str">
        <f t="shared" si="169"/>
        <v/>
      </c>
    </row>
    <row r="995" spans="9:21" ht="24.75" customHeight="1" x14ac:dyDescent="0.35">
      <c r="I995" s="42">
        <f t="shared" si="160"/>
        <v>0</v>
      </c>
      <c r="J995" s="65" t="e">
        <f t="shared" si="161"/>
        <v>#NUM!</v>
      </c>
      <c r="K995" s="83" t="e">
        <f t="shared" si="162"/>
        <v>#NUM!</v>
      </c>
      <c r="L995" s="83">
        <f t="shared" si="163"/>
        <v>0</v>
      </c>
      <c r="M995" s="110" t="str">
        <f t="shared" si="164"/>
        <v/>
      </c>
      <c r="N995" s="51" t="str">
        <f t="shared" si="165"/>
        <v/>
      </c>
      <c r="O995" s="52" t="str">
        <f t="shared" si="166"/>
        <v/>
      </c>
      <c r="P995" s="88">
        <f t="shared" si="167"/>
        <v>0</v>
      </c>
      <c r="Q995" s="88">
        <f t="shared" si="168"/>
        <v>0</v>
      </c>
      <c r="R995" s="88" t="e">
        <f>-IF(Tabla14[[#This Row],[DIAS HABILES O MORA]]&lt;0,(Tabla14[[#This Row],[VALOR PRESTAMO]]*Tabla14[[#This Row],[% INTERES ]]/30*U995))+Tabla14[[#This Row],[VALOR CUOTAS]]</f>
        <v>#VALUE!</v>
      </c>
      <c r="S995" s="88">
        <f>-IF(Tabla14[[#This Row],[DIAS HABILES O MORA]]&lt;0,(Tabla14[[#This Row],[VALOR PRESTAMO]]*Tabla14[[#This Row],[% INTERES ]]/30*U995))</f>
        <v>0</v>
      </c>
      <c r="T995" s="53" t="e">
        <f>Tabla14[[#This Row],[DEUDA CAPITAL]]+Tabla14[[#This Row],[INTERES  CUOTA]]</f>
        <v>#NUM!</v>
      </c>
      <c r="U995" s="61" t="str">
        <f t="shared" si="169"/>
        <v/>
      </c>
    </row>
    <row r="996" spans="9:21" ht="24.75" customHeight="1" x14ac:dyDescent="0.35">
      <c r="I996" s="42">
        <f t="shared" si="160"/>
        <v>0</v>
      </c>
      <c r="J996" s="65" t="e">
        <f t="shared" si="161"/>
        <v>#NUM!</v>
      </c>
      <c r="K996" s="83" t="e">
        <f t="shared" si="162"/>
        <v>#NUM!</v>
      </c>
      <c r="L996" s="83">
        <f t="shared" si="163"/>
        <v>0</v>
      </c>
      <c r="M996" s="110" t="str">
        <f t="shared" si="164"/>
        <v/>
      </c>
      <c r="N996" s="51" t="str">
        <f t="shared" si="165"/>
        <v/>
      </c>
      <c r="O996" s="52" t="str">
        <f t="shared" si="166"/>
        <v/>
      </c>
      <c r="P996" s="88">
        <f t="shared" si="167"/>
        <v>0</v>
      </c>
      <c r="Q996" s="88">
        <f t="shared" si="168"/>
        <v>0</v>
      </c>
      <c r="R996" s="88" t="e">
        <f>-IF(Tabla14[[#This Row],[DIAS HABILES O MORA]]&lt;0,(Tabla14[[#This Row],[VALOR PRESTAMO]]*Tabla14[[#This Row],[% INTERES ]]/30*U996))+Tabla14[[#This Row],[VALOR CUOTAS]]</f>
        <v>#VALUE!</v>
      </c>
      <c r="S996" s="88">
        <f>-IF(Tabla14[[#This Row],[DIAS HABILES O MORA]]&lt;0,(Tabla14[[#This Row],[VALOR PRESTAMO]]*Tabla14[[#This Row],[% INTERES ]]/30*U996))</f>
        <v>0</v>
      </c>
      <c r="T996" s="53" t="e">
        <f>Tabla14[[#This Row],[DEUDA CAPITAL]]+Tabla14[[#This Row],[INTERES  CUOTA]]</f>
        <v>#NUM!</v>
      </c>
      <c r="U996" s="61" t="str">
        <f t="shared" si="169"/>
        <v/>
      </c>
    </row>
    <row r="997" spans="9:21" ht="24.75" customHeight="1" x14ac:dyDescent="0.35">
      <c r="I997" s="42">
        <f t="shared" si="160"/>
        <v>0</v>
      </c>
      <c r="J997" s="65" t="e">
        <f t="shared" si="161"/>
        <v>#NUM!</v>
      </c>
      <c r="K997" s="83" t="e">
        <f t="shared" si="162"/>
        <v>#NUM!</v>
      </c>
      <c r="L997" s="83">
        <f t="shared" si="163"/>
        <v>0</v>
      </c>
      <c r="M997" s="110" t="str">
        <f t="shared" si="164"/>
        <v/>
      </c>
      <c r="N997" s="51" t="str">
        <f t="shared" si="165"/>
        <v/>
      </c>
      <c r="O997" s="52" t="str">
        <f t="shared" si="166"/>
        <v/>
      </c>
      <c r="P997" s="88">
        <f t="shared" si="167"/>
        <v>0</v>
      </c>
      <c r="Q997" s="88">
        <f t="shared" si="168"/>
        <v>0</v>
      </c>
      <c r="R997" s="88" t="e">
        <f>-IF(Tabla14[[#This Row],[DIAS HABILES O MORA]]&lt;0,(Tabla14[[#This Row],[VALOR PRESTAMO]]*Tabla14[[#This Row],[% INTERES ]]/30*U997))+Tabla14[[#This Row],[VALOR CUOTAS]]</f>
        <v>#VALUE!</v>
      </c>
      <c r="S997" s="88">
        <f>-IF(Tabla14[[#This Row],[DIAS HABILES O MORA]]&lt;0,(Tabla14[[#This Row],[VALOR PRESTAMO]]*Tabla14[[#This Row],[% INTERES ]]/30*U997))</f>
        <v>0</v>
      </c>
      <c r="T997" s="53" t="e">
        <f>Tabla14[[#This Row],[DEUDA CAPITAL]]+Tabla14[[#This Row],[INTERES  CUOTA]]</f>
        <v>#NUM!</v>
      </c>
      <c r="U997" s="61" t="str">
        <f t="shared" si="169"/>
        <v/>
      </c>
    </row>
    <row r="998" spans="9:21" ht="24.75" customHeight="1" x14ac:dyDescent="0.35">
      <c r="I998" s="42">
        <f t="shared" si="160"/>
        <v>0</v>
      </c>
      <c r="J998" s="65" t="e">
        <f t="shared" si="161"/>
        <v>#NUM!</v>
      </c>
      <c r="K998" s="83" t="e">
        <f t="shared" si="162"/>
        <v>#NUM!</v>
      </c>
      <c r="L998" s="83">
        <f t="shared" si="163"/>
        <v>0</v>
      </c>
      <c r="M998" s="110" t="str">
        <f t="shared" si="164"/>
        <v/>
      </c>
      <c r="N998" s="51" t="str">
        <f t="shared" si="165"/>
        <v/>
      </c>
      <c r="O998" s="52" t="str">
        <f t="shared" si="166"/>
        <v/>
      </c>
      <c r="P998" s="88">
        <f t="shared" si="167"/>
        <v>0</v>
      </c>
      <c r="Q998" s="88">
        <f t="shared" si="168"/>
        <v>0</v>
      </c>
      <c r="R998" s="88" t="e">
        <f>-IF(Tabla14[[#This Row],[DIAS HABILES O MORA]]&lt;0,(Tabla14[[#This Row],[VALOR PRESTAMO]]*Tabla14[[#This Row],[% INTERES ]]/30*U998))+Tabla14[[#This Row],[VALOR CUOTAS]]</f>
        <v>#VALUE!</v>
      </c>
      <c r="S998" s="88">
        <f>-IF(Tabla14[[#This Row],[DIAS HABILES O MORA]]&lt;0,(Tabla14[[#This Row],[VALOR PRESTAMO]]*Tabla14[[#This Row],[% INTERES ]]/30*U998))</f>
        <v>0</v>
      </c>
      <c r="T998" s="53" t="e">
        <f>Tabla14[[#This Row],[DEUDA CAPITAL]]+Tabla14[[#This Row],[INTERES  CUOTA]]</f>
        <v>#NUM!</v>
      </c>
      <c r="U998" s="61" t="str">
        <f t="shared" si="169"/>
        <v/>
      </c>
    </row>
    <row r="999" spans="9:21" ht="24.75" customHeight="1" x14ac:dyDescent="0.35">
      <c r="I999" s="42">
        <f t="shared" si="160"/>
        <v>0</v>
      </c>
      <c r="J999" s="65" t="e">
        <f t="shared" si="161"/>
        <v>#NUM!</v>
      </c>
      <c r="K999" s="83" t="e">
        <f t="shared" si="162"/>
        <v>#NUM!</v>
      </c>
      <c r="L999" s="83">
        <f t="shared" si="163"/>
        <v>0</v>
      </c>
      <c r="M999" s="110" t="str">
        <f t="shared" si="164"/>
        <v/>
      </c>
      <c r="N999" s="51" t="str">
        <f t="shared" si="165"/>
        <v/>
      </c>
      <c r="O999" s="52" t="str">
        <f t="shared" si="166"/>
        <v/>
      </c>
      <c r="P999" s="88">
        <f t="shared" si="167"/>
        <v>0</v>
      </c>
      <c r="Q999" s="88">
        <f t="shared" si="168"/>
        <v>0</v>
      </c>
      <c r="R999" s="88" t="e">
        <f>-IF(Tabla14[[#This Row],[DIAS HABILES O MORA]]&lt;0,(Tabla14[[#This Row],[VALOR PRESTAMO]]*Tabla14[[#This Row],[% INTERES ]]/30*U999))+Tabla14[[#This Row],[VALOR CUOTAS]]</f>
        <v>#VALUE!</v>
      </c>
      <c r="S999" s="88">
        <f>-IF(Tabla14[[#This Row],[DIAS HABILES O MORA]]&lt;0,(Tabla14[[#This Row],[VALOR PRESTAMO]]*Tabla14[[#This Row],[% INTERES ]]/30*U999))</f>
        <v>0</v>
      </c>
      <c r="T999" s="53" t="e">
        <f>Tabla14[[#This Row],[DEUDA CAPITAL]]+Tabla14[[#This Row],[INTERES  CUOTA]]</f>
        <v>#NUM!</v>
      </c>
      <c r="U999" s="61" t="str">
        <f t="shared" si="169"/>
        <v/>
      </c>
    </row>
    <row r="1000" spans="9:21" ht="24.75" customHeight="1" x14ac:dyDescent="0.35">
      <c r="I1000" s="42">
        <f t="shared" si="160"/>
        <v>0</v>
      </c>
      <c r="J1000" s="65" t="e">
        <f t="shared" si="161"/>
        <v>#NUM!</v>
      </c>
      <c r="K1000" s="83" t="e">
        <f t="shared" si="162"/>
        <v>#NUM!</v>
      </c>
      <c r="L1000" s="83">
        <f t="shared" si="163"/>
        <v>0</v>
      </c>
      <c r="M1000" s="110" t="str">
        <f t="shared" si="164"/>
        <v/>
      </c>
      <c r="N1000" s="51" t="str">
        <f t="shared" si="165"/>
        <v/>
      </c>
      <c r="O1000" s="52" t="str">
        <f t="shared" si="166"/>
        <v/>
      </c>
      <c r="P1000" s="88">
        <f t="shared" si="167"/>
        <v>0</v>
      </c>
      <c r="Q1000" s="88">
        <f t="shared" si="168"/>
        <v>0</v>
      </c>
      <c r="R1000" s="88" t="e">
        <f>-IF(Tabla14[[#This Row],[DIAS HABILES O MORA]]&lt;0,(Tabla14[[#This Row],[VALOR PRESTAMO]]*Tabla14[[#This Row],[% INTERES ]]/30*U1000))+Tabla14[[#This Row],[VALOR CUOTAS]]</f>
        <v>#VALUE!</v>
      </c>
      <c r="S1000" s="88">
        <f>-IF(Tabla14[[#This Row],[DIAS HABILES O MORA]]&lt;0,(Tabla14[[#This Row],[VALOR PRESTAMO]]*Tabla14[[#This Row],[% INTERES ]]/30*U1000))</f>
        <v>0</v>
      </c>
      <c r="T1000" s="53" t="e">
        <f>Tabla14[[#This Row],[DEUDA CAPITAL]]+Tabla14[[#This Row],[INTERES  CUOTA]]</f>
        <v>#NUM!</v>
      </c>
      <c r="U1000" s="61" t="str">
        <f t="shared" si="169"/>
        <v/>
      </c>
    </row>
    <row r="1001" spans="9:21" ht="24.75" customHeight="1" x14ac:dyDescent="0.35">
      <c r="I1001" s="42">
        <f t="shared" si="160"/>
        <v>0</v>
      </c>
      <c r="J1001" s="65" t="e">
        <f t="shared" si="161"/>
        <v>#NUM!</v>
      </c>
      <c r="K1001" s="83" t="e">
        <f t="shared" si="162"/>
        <v>#NUM!</v>
      </c>
      <c r="L1001" s="83">
        <f t="shared" si="163"/>
        <v>0</v>
      </c>
      <c r="M1001" s="110" t="str">
        <f t="shared" si="164"/>
        <v/>
      </c>
      <c r="N1001" s="51" t="str">
        <f t="shared" si="165"/>
        <v/>
      </c>
      <c r="O1001" s="52" t="str">
        <f t="shared" si="166"/>
        <v/>
      </c>
      <c r="P1001" s="88">
        <f t="shared" si="167"/>
        <v>0</v>
      </c>
      <c r="Q1001" s="88">
        <f t="shared" si="168"/>
        <v>0</v>
      </c>
      <c r="R1001" s="88" t="e">
        <f>-IF(Tabla14[[#This Row],[DIAS HABILES O MORA]]&lt;0,(Tabla14[[#This Row],[VALOR PRESTAMO]]*Tabla14[[#This Row],[% INTERES ]]/30*U1001))+Tabla14[[#This Row],[VALOR CUOTAS]]</f>
        <v>#VALUE!</v>
      </c>
      <c r="S1001" s="88">
        <f>-IF(Tabla14[[#This Row],[DIAS HABILES O MORA]]&lt;0,(Tabla14[[#This Row],[VALOR PRESTAMO]]*Tabla14[[#This Row],[% INTERES ]]/30*U1001))</f>
        <v>0</v>
      </c>
      <c r="T1001" s="53" t="e">
        <f>Tabla14[[#This Row],[DEUDA CAPITAL]]+Tabla14[[#This Row],[INTERES  CUOTA]]</f>
        <v>#NUM!</v>
      </c>
      <c r="U1001" s="61" t="str">
        <f t="shared" si="169"/>
        <v/>
      </c>
    </row>
    <row r="1002" spans="9:21" ht="24.75" customHeight="1" x14ac:dyDescent="0.35">
      <c r="I1002" s="42">
        <f t="shared" si="160"/>
        <v>0</v>
      </c>
      <c r="J1002" s="65" t="e">
        <f t="shared" si="161"/>
        <v>#NUM!</v>
      </c>
      <c r="K1002" s="83" t="e">
        <f t="shared" si="162"/>
        <v>#NUM!</v>
      </c>
      <c r="L1002" s="83">
        <f t="shared" si="163"/>
        <v>0</v>
      </c>
      <c r="M1002" s="110" t="str">
        <f t="shared" si="164"/>
        <v/>
      </c>
      <c r="N1002" s="51" t="str">
        <f t="shared" si="165"/>
        <v/>
      </c>
      <c r="O1002" s="52" t="str">
        <f t="shared" si="166"/>
        <v/>
      </c>
      <c r="P1002" s="88">
        <f t="shared" si="167"/>
        <v>0</v>
      </c>
      <c r="Q1002" s="88">
        <f t="shared" si="168"/>
        <v>0</v>
      </c>
      <c r="R1002" s="88" t="e">
        <f>-IF(Tabla14[[#This Row],[DIAS HABILES O MORA]]&lt;0,(Tabla14[[#This Row],[VALOR PRESTAMO]]*Tabla14[[#This Row],[% INTERES ]]/30*U1002))+Tabla14[[#This Row],[VALOR CUOTAS]]</f>
        <v>#VALUE!</v>
      </c>
      <c r="S1002" s="88">
        <f>-IF(Tabla14[[#This Row],[DIAS HABILES O MORA]]&lt;0,(Tabla14[[#This Row],[VALOR PRESTAMO]]*Tabla14[[#This Row],[% INTERES ]]/30*U1002))</f>
        <v>0</v>
      </c>
      <c r="T1002" s="53" t="e">
        <f>Tabla14[[#This Row],[DEUDA CAPITAL]]+Tabla14[[#This Row],[INTERES  CUOTA]]</f>
        <v>#NUM!</v>
      </c>
      <c r="U1002" s="61" t="str">
        <f t="shared" si="169"/>
        <v/>
      </c>
    </row>
    <row r="1003" spans="9:21" ht="24.75" customHeight="1" x14ac:dyDescent="0.35">
      <c r="I1003" s="42">
        <f t="shared" si="160"/>
        <v>0</v>
      </c>
      <c r="J1003" s="65" t="e">
        <f t="shared" si="161"/>
        <v>#NUM!</v>
      </c>
      <c r="K1003" s="83" t="e">
        <f t="shared" si="162"/>
        <v>#NUM!</v>
      </c>
      <c r="L1003" s="83">
        <f t="shared" si="163"/>
        <v>0</v>
      </c>
      <c r="M1003" s="110" t="str">
        <f t="shared" si="164"/>
        <v/>
      </c>
      <c r="N1003" s="51" t="str">
        <f t="shared" si="165"/>
        <v/>
      </c>
      <c r="O1003" s="52" t="str">
        <f t="shared" si="166"/>
        <v/>
      </c>
      <c r="P1003" s="88">
        <f t="shared" si="167"/>
        <v>0</v>
      </c>
      <c r="Q1003" s="88">
        <f t="shared" si="168"/>
        <v>0</v>
      </c>
      <c r="R1003" s="88" t="e">
        <f>-IF(Tabla14[[#This Row],[DIAS HABILES O MORA]]&lt;0,(Tabla14[[#This Row],[VALOR PRESTAMO]]*Tabla14[[#This Row],[% INTERES ]]/30*U1003))+Tabla14[[#This Row],[VALOR CUOTAS]]</f>
        <v>#VALUE!</v>
      </c>
      <c r="S1003" s="88">
        <f>-IF(Tabla14[[#This Row],[DIAS HABILES O MORA]]&lt;0,(Tabla14[[#This Row],[VALOR PRESTAMO]]*Tabla14[[#This Row],[% INTERES ]]/30*U1003))</f>
        <v>0</v>
      </c>
      <c r="T1003" s="53" t="e">
        <f>Tabla14[[#This Row],[DEUDA CAPITAL]]+Tabla14[[#This Row],[INTERES  CUOTA]]</f>
        <v>#NUM!</v>
      </c>
      <c r="U1003" s="61" t="str">
        <f t="shared" si="169"/>
        <v/>
      </c>
    </row>
    <row r="1004" spans="9:21" ht="24.75" customHeight="1" x14ac:dyDescent="0.35">
      <c r="I1004" s="42">
        <f t="shared" si="160"/>
        <v>0</v>
      </c>
      <c r="J1004" s="65" t="e">
        <f t="shared" si="161"/>
        <v>#NUM!</v>
      </c>
      <c r="K1004" s="83" t="e">
        <f t="shared" si="162"/>
        <v>#NUM!</v>
      </c>
      <c r="L1004" s="83">
        <f t="shared" si="163"/>
        <v>0</v>
      </c>
      <c r="M1004" s="110" t="str">
        <f t="shared" si="164"/>
        <v/>
      </c>
      <c r="N1004" s="51" t="str">
        <f t="shared" si="165"/>
        <v/>
      </c>
      <c r="O1004" s="52" t="str">
        <f t="shared" si="166"/>
        <v/>
      </c>
      <c r="P1004" s="88">
        <f t="shared" si="167"/>
        <v>0</v>
      </c>
      <c r="Q1004" s="88">
        <f t="shared" si="168"/>
        <v>0</v>
      </c>
      <c r="R1004" s="88" t="e">
        <f>-IF(Tabla14[[#This Row],[DIAS HABILES O MORA]]&lt;0,(Tabla14[[#This Row],[VALOR PRESTAMO]]*Tabla14[[#This Row],[% INTERES ]]/30*U1004))+Tabla14[[#This Row],[VALOR CUOTAS]]</f>
        <v>#VALUE!</v>
      </c>
      <c r="S1004" s="88">
        <f>-IF(Tabla14[[#This Row],[DIAS HABILES O MORA]]&lt;0,(Tabla14[[#This Row],[VALOR PRESTAMO]]*Tabla14[[#This Row],[% INTERES ]]/30*U1004))</f>
        <v>0</v>
      </c>
      <c r="T1004" s="53" t="e">
        <f>Tabla14[[#This Row],[DEUDA CAPITAL]]+Tabla14[[#This Row],[INTERES  CUOTA]]</f>
        <v>#NUM!</v>
      </c>
      <c r="U1004" s="61" t="str">
        <f t="shared" si="169"/>
        <v/>
      </c>
    </row>
    <row r="1005" spans="9:21" ht="24.75" customHeight="1" x14ac:dyDescent="0.35">
      <c r="I1005" s="42">
        <f t="shared" si="160"/>
        <v>0</v>
      </c>
      <c r="J1005" s="65" t="e">
        <f t="shared" si="161"/>
        <v>#NUM!</v>
      </c>
      <c r="K1005" s="83" t="e">
        <f t="shared" si="162"/>
        <v>#NUM!</v>
      </c>
      <c r="L1005" s="83">
        <f t="shared" si="163"/>
        <v>0</v>
      </c>
      <c r="M1005" s="110" t="str">
        <f t="shared" si="164"/>
        <v/>
      </c>
      <c r="N1005" s="51" t="str">
        <f t="shared" si="165"/>
        <v/>
      </c>
      <c r="O1005" s="52" t="str">
        <f t="shared" si="166"/>
        <v/>
      </c>
      <c r="P1005" s="88">
        <f t="shared" si="167"/>
        <v>0</v>
      </c>
      <c r="Q1005" s="88">
        <f t="shared" si="168"/>
        <v>0</v>
      </c>
      <c r="R1005" s="88" t="e">
        <f>-IF(Tabla14[[#This Row],[DIAS HABILES O MORA]]&lt;0,(Tabla14[[#This Row],[VALOR PRESTAMO]]*Tabla14[[#This Row],[% INTERES ]]/30*U1005))+Tabla14[[#This Row],[VALOR CUOTAS]]</f>
        <v>#VALUE!</v>
      </c>
      <c r="S1005" s="88">
        <f>-IF(Tabla14[[#This Row],[DIAS HABILES O MORA]]&lt;0,(Tabla14[[#This Row],[VALOR PRESTAMO]]*Tabla14[[#This Row],[% INTERES ]]/30*U1005))</f>
        <v>0</v>
      </c>
      <c r="T1005" s="53" t="e">
        <f>Tabla14[[#This Row],[DEUDA CAPITAL]]+Tabla14[[#This Row],[INTERES  CUOTA]]</f>
        <v>#NUM!</v>
      </c>
      <c r="U1005" s="61" t="str">
        <f t="shared" si="169"/>
        <v/>
      </c>
    </row>
    <row r="1006" spans="9:21" ht="24.75" customHeight="1" x14ac:dyDescent="0.35">
      <c r="I1006" s="42">
        <f t="shared" si="160"/>
        <v>0</v>
      </c>
      <c r="J1006" s="65" t="e">
        <f t="shared" si="161"/>
        <v>#NUM!</v>
      </c>
      <c r="K1006" s="83" t="e">
        <f t="shared" si="162"/>
        <v>#NUM!</v>
      </c>
      <c r="L1006" s="83">
        <f t="shared" si="163"/>
        <v>0</v>
      </c>
      <c r="M1006" s="110" t="str">
        <f t="shared" si="164"/>
        <v/>
      </c>
      <c r="N1006" s="51" t="str">
        <f t="shared" si="165"/>
        <v/>
      </c>
      <c r="O1006" s="52" t="str">
        <f t="shared" si="166"/>
        <v/>
      </c>
      <c r="P1006" s="88">
        <f t="shared" si="167"/>
        <v>0</v>
      </c>
      <c r="Q1006" s="88">
        <f t="shared" si="168"/>
        <v>0</v>
      </c>
      <c r="R1006" s="88" t="e">
        <f>-IF(Tabla14[[#This Row],[DIAS HABILES O MORA]]&lt;0,(Tabla14[[#This Row],[VALOR PRESTAMO]]*Tabla14[[#This Row],[% INTERES ]]/30*U1006))+Tabla14[[#This Row],[VALOR CUOTAS]]</f>
        <v>#VALUE!</v>
      </c>
      <c r="S1006" s="88">
        <f>-IF(Tabla14[[#This Row],[DIAS HABILES O MORA]]&lt;0,(Tabla14[[#This Row],[VALOR PRESTAMO]]*Tabla14[[#This Row],[% INTERES ]]/30*U1006))</f>
        <v>0</v>
      </c>
      <c r="T1006" s="53" t="e">
        <f>Tabla14[[#This Row],[DEUDA CAPITAL]]+Tabla14[[#This Row],[INTERES  CUOTA]]</f>
        <v>#NUM!</v>
      </c>
      <c r="U1006" s="61" t="str">
        <f t="shared" si="169"/>
        <v/>
      </c>
    </row>
    <row r="1007" spans="9:21" ht="24.75" customHeight="1" x14ac:dyDescent="0.35">
      <c r="I1007" s="42">
        <f t="shared" si="160"/>
        <v>0</v>
      </c>
      <c r="J1007" s="65" t="e">
        <f t="shared" si="161"/>
        <v>#NUM!</v>
      </c>
      <c r="K1007" s="83" t="e">
        <f t="shared" si="162"/>
        <v>#NUM!</v>
      </c>
      <c r="L1007" s="83">
        <f t="shared" si="163"/>
        <v>0</v>
      </c>
      <c r="M1007" s="110" t="str">
        <f t="shared" si="164"/>
        <v/>
      </c>
      <c r="N1007" s="51" t="str">
        <f t="shared" si="165"/>
        <v/>
      </c>
      <c r="O1007" s="52" t="str">
        <f t="shared" si="166"/>
        <v/>
      </c>
      <c r="P1007" s="88">
        <f t="shared" si="167"/>
        <v>0</v>
      </c>
      <c r="Q1007" s="88">
        <f t="shared" si="168"/>
        <v>0</v>
      </c>
      <c r="R1007" s="88" t="e">
        <f>-IF(Tabla14[[#This Row],[DIAS HABILES O MORA]]&lt;0,(Tabla14[[#This Row],[VALOR PRESTAMO]]*Tabla14[[#This Row],[% INTERES ]]/30*U1007))+Tabla14[[#This Row],[VALOR CUOTAS]]</f>
        <v>#VALUE!</v>
      </c>
      <c r="S1007" s="88">
        <f>-IF(Tabla14[[#This Row],[DIAS HABILES O MORA]]&lt;0,(Tabla14[[#This Row],[VALOR PRESTAMO]]*Tabla14[[#This Row],[% INTERES ]]/30*U1007))</f>
        <v>0</v>
      </c>
      <c r="T1007" s="53" t="e">
        <f>Tabla14[[#This Row],[DEUDA CAPITAL]]+Tabla14[[#This Row],[INTERES  CUOTA]]</f>
        <v>#NUM!</v>
      </c>
      <c r="U1007" s="61" t="str">
        <f t="shared" si="169"/>
        <v/>
      </c>
    </row>
    <row r="1008" spans="9:21" ht="24.75" customHeight="1" x14ac:dyDescent="0.35">
      <c r="I1008" s="42">
        <f t="shared" si="160"/>
        <v>0</v>
      </c>
      <c r="J1008" s="65" t="e">
        <f t="shared" si="161"/>
        <v>#NUM!</v>
      </c>
      <c r="K1008" s="83" t="e">
        <f t="shared" si="162"/>
        <v>#NUM!</v>
      </c>
      <c r="L1008" s="83">
        <f t="shared" si="163"/>
        <v>0</v>
      </c>
      <c r="M1008" s="110" t="str">
        <f t="shared" si="164"/>
        <v/>
      </c>
      <c r="N1008" s="51" t="str">
        <f t="shared" si="165"/>
        <v/>
      </c>
      <c r="O1008" s="52" t="str">
        <f t="shared" si="166"/>
        <v/>
      </c>
      <c r="P1008" s="88">
        <f t="shared" si="167"/>
        <v>0</v>
      </c>
      <c r="Q1008" s="88">
        <f t="shared" si="168"/>
        <v>0</v>
      </c>
      <c r="R1008" s="88" t="e">
        <f>-IF(Tabla14[[#This Row],[DIAS HABILES O MORA]]&lt;0,(Tabla14[[#This Row],[VALOR PRESTAMO]]*Tabla14[[#This Row],[% INTERES ]]/30*U1008))+Tabla14[[#This Row],[VALOR CUOTAS]]</f>
        <v>#VALUE!</v>
      </c>
      <c r="S1008" s="88">
        <f>-IF(Tabla14[[#This Row],[DIAS HABILES O MORA]]&lt;0,(Tabla14[[#This Row],[VALOR PRESTAMO]]*Tabla14[[#This Row],[% INTERES ]]/30*U1008))</f>
        <v>0</v>
      </c>
      <c r="T1008" s="53" t="e">
        <f>Tabla14[[#This Row],[DEUDA CAPITAL]]+Tabla14[[#This Row],[INTERES  CUOTA]]</f>
        <v>#NUM!</v>
      </c>
      <c r="U1008" s="61" t="str">
        <f t="shared" si="169"/>
        <v/>
      </c>
    </row>
    <row r="1009" spans="9:21" ht="24.75" customHeight="1" x14ac:dyDescent="0.35">
      <c r="I1009" s="42">
        <f t="shared" si="160"/>
        <v>0</v>
      </c>
      <c r="J1009" s="65" t="e">
        <f t="shared" si="161"/>
        <v>#NUM!</v>
      </c>
      <c r="K1009" s="83" t="e">
        <f t="shared" si="162"/>
        <v>#NUM!</v>
      </c>
      <c r="L1009" s="83">
        <f t="shared" si="163"/>
        <v>0</v>
      </c>
      <c r="M1009" s="110" t="str">
        <f t="shared" si="164"/>
        <v/>
      </c>
      <c r="N1009" s="51" t="str">
        <f t="shared" si="165"/>
        <v/>
      </c>
      <c r="O1009" s="52" t="str">
        <f t="shared" si="166"/>
        <v/>
      </c>
      <c r="P1009" s="88">
        <f t="shared" si="167"/>
        <v>0</v>
      </c>
      <c r="Q1009" s="88">
        <f t="shared" si="168"/>
        <v>0</v>
      </c>
      <c r="R1009" s="88" t="e">
        <f>-IF(Tabla14[[#This Row],[DIAS HABILES O MORA]]&lt;0,(Tabla14[[#This Row],[VALOR PRESTAMO]]*Tabla14[[#This Row],[% INTERES ]]/30*U1009))+Tabla14[[#This Row],[VALOR CUOTAS]]</f>
        <v>#VALUE!</v>
      </c>
      <c r="S1009" s="88">
        <f>-IF(Tabla14[[#This Row],[DIAS HABILES O MORA]]&lt;0,(Tabla14[[#This Row],[VALOR PRESTAMO]]*Tabla14[[#This Row],[% INTERES ]]/30*U1009))</f>
        <v>0</v>
      </c>
      <c r="T1009" s="53" t="e">
        <f>Tabla14[[#This Row],[DEUDA CAPITAL]]+Tabla14[[#This Row],[INTERES  CUOTA]]</f>
        <v>#NUM!</v>
      </c>
      <c r="U1009" s="61" t="str">
        <f t="shared" si="169"/>
        <v/>
      </c>
    </row>
    <row r="1010" spans="9:21" ht="24.75" customHeight="1" x14ac:dyDescent="0.35">
      <c r="I1010" s="42">
        <f t="shared" si="160"/>
        <v>0</v>
      </c>
      <c r="J1010" s="65" t="e">
        <f t="shared" si="161"/>
        <v>#NUM!</v>
      </c>
      <c r="K1010" s="83" t="e">
        <f t="shared" si="162"/>
        <v>#NUM!</v>
      </c>
      <c r="L1010" s="83">
        <f t="shared" si="163"/>
        <v>0</v>
      </c>
      <c r="M1010" s="110" t="str">
        <f t="shared" si="164"/>
        <v/>
      </c>
      <c r="N1010" s="51" t="str">
        <f t="shared" si="165"/>
        <v/>
      </c>
      <c r="O1010" s="52" t="str">
        <f t="shared" si="166"/>
        <v/>
      </c>
      <c r="P1010" s="88">
        <f t="shared" si="167"/>
        <v>0</v>
      </c>
      <c r="Q1010" s="88">
        <f t="shared" si="168"/>
        <v>0</v>
      </c>
      <c r="R1010" s="88" t="e">
        <f>-IF(Tabla14[[#This Row],[DIAS HABILES O MORA]]&lt;0,(Tabla14[[#This Row],[VALOR PRESTAMO]]*Tabla14[[#This Row],[% INTERES ]]/30*U1010))+Tabla14[[#This Row],[VALOR CUOTAS]]</f>
        <v>#VALUE!</v>
      </c>
      <c r="S1010" s="88">
        <f>-IF(Tabla14[[#This Row],[DIAS HABILES O MORA]]&lt;0,(Tabla14[[#This Row],[VALOR PRESTAMO]]*Tabla14[[#This Row],[% INTERES ]]/30*U1010))</f>
        <v>0</v>
      </c>
      <c r="T1010" s="53" t="e">
        <f>Tabla14[[#This Row],[DEUDA CAPITAL]]+Tabla14[[#This Row],[INTERES  CUOTA]]</f>
        <v>#NUM!</v>
      </c>
      <c r="U1010" s="61" t="str">
        <f t="shared" si="169"/>
        <v/>
      </c>
    </row>
    <row r="1011" spans="9:21" ht="24.75" customHeight="1" x14ac:dyDescent="0.35">
      <c r="I1011" s="42">
        <f t="shared" si="160"/>
        <v>0</v>
      </c>
      <c r="J1011" s="65" t="e">
        <f t="shared" si="161"/>
        <v>#NUM!</v>
      </c>
      <c r="K1011" s="83" t="e">
        <f t="shared" si="162"/>
        <v>#NUM!</v>
      </c>
      <c r="L1011" s="83">
        <f t="shared" si="163"/>
        <v>0</v>
      </c>
      <c r="M1011" s="110" t="str">
        <f t="shared" si="164"/>
        <v/>
      </c>
      <c r="N1011" s="51" t="str">
        <f t="shared" si="165"/>
        <v/>
      </c>
      <c r="O1011" s="52" t="str">
        <f t="shared" si="166"/>
        <v/>
      </c>
      <c r="P1011" s="88">
        <f t="shared" si="167"/>
        <v>0</v>
      </c>
      <c r="Q1011" s="88">
        <f t="shared" si="168"/>
        <v>0</v>
      </c>
      <c r="R1011" s="88" t="e">
        <f>-IF(Tabla14[[#This Row],[DIAS HABILES O MORA]]&lt;0,(Tabla14[[#This Row],[VALOR PRESTAMO]]*Tabla14[[#This Row],[% INTERES ]]/30*U1011))+Tabla14[[#This Row],[VALOR CUOTAS]]</f>
        <v>#VALUE!</v>
      </c>
      <c r="S1011" s="88">
        <f>-IF(Tabla14[[#This Row],[DIAS HABILES O MORA]]&lt;0,(Tabla14[[#This Row],[VALOR PRESTAMO]]*Tabla14[[#This Row],[% INTERES ]]/30*U1011))</f>
        <v>0</v>
      </c>
      <c r="T1011" s="53" t="e">
        <f>Tabla14[[#This Row],[DEUDA CAPITAL]]+Tabla14[[#This Row],[INTERES  CUOTA]]</f>
        <v>#NUM!</v>
      </c>
      <c r="U1011" s="61" t="str">
        <f t="shared" si="169"/>
        <v/>
      </c>
    </row>
    <row r="1012" spans="9:21" ht="24.75" customHeight="1" x14ac:dyDescent="0.35">
      <c r="I1012" s="42">
        <f t="shared" si="160"/>
        <v>0</v>
      </c>
      <c r="J1012" s="65" t="e">
        <f t="shared" si="161"/>
        <v>#NUM!</v>
      </c>
      <c r="K1012" s="83" t="e">
        <f t="shared" si="162"/>
        <v>#NUM!</v>
      </c>
      <c r="L1012" s="83">
        <f t="shared" si="163"/>
        <v>0</v>
      </c>
      <c r="M1012" s="110" t="str">
        <f t="shared" si="164"/>
        <v/>
      </c>
      <c r="N1012" s="51" t="str">
        <f t="shared" si="165"/>
        <v/>
      </c>
      <c r="O1012" s="52" t="str">
        <f t="shared" si="166"/>
        <v/>
      </c>
      <c r="P1012" s="88">
        <f t="shared" si="167"/>
        <v>0</v>
      </c>
      <c r="Q1012" s="88">
        <f t="shared" si="168"/>
        <v>0</v>
      </c>
      <c r="R1012" s="88" t="e">
        <f>-IF(Tabla14[[#This Row],[DIAS HABILES O MORA]]&lt;0,(Tabla14[[#This Row],[VALOR PRESTAMO]]*Tabla14[[#This Row],[% INTERES ]]/30*U1012))+Tabla14[[#This Row],[VALOR CUOTAS]]</f>
        <v>#VALUE!</v>
      </c>
      <c r="S1012" s="88">
        <f>-IF(Tabla14[[#This Row],[DIAS HABILES O MORA]]&lt;0,(Tabla14[[#This Row],[VALOR PRESTAMO]]*Tabla14[[#This Row],[% INTERES ]]/30*U1012))</f>
        <v>0</v>
      </c>
      <c r="T1012" s="53" t="e">
        <f>Tabla14[[#This Row],[DEUDA CAPITAL]]+Tabla14[[#This Row],[INTERES  CUOTA]]</f>
        <v>#NUM!</v>
      </c>
      <c r="U1012" s="61" t="str">
        <f t="shared" si="169"/>
        <v/>
      </c>
    </row>
    <row r="1013" spans="9:21" ht="24.75" customHeight="1" x14ac:dyDescent="0.35">
      <c r="I1013" s="42">
        <f t="shared" si="160"/>
        <v>0</v>
      </c>
      <c r="J1013" s="65" t="e">
        <f t="shared" si="161"/>
        <v>#NUM!</v>
      </c>
      <c r="K1013" s="83" t="e">
        <f t="shared" si="162"/>
        <v>#NUM!</v>
      </c>
      <c r="L1013" s="83">
        <f t="shared" si="163"/>
        <v>0</v>
      </c>
      <c r="M1013" s="110" t="str">
        <f t="shared" si="164"/>
        <v/>
      </c>
      <c r="N1013" s="51" t="str">
        <f t="shared" si="165"/>
        <v/>
      </c>
      <c r="O1013" s="52" t="str">
        <f t="shared" si="166"/>
        <v/>
      </c>
      <c r="P1013" s="88">
        <f t="shared" si="167"/>
        <v>0</v>
      </c>
      <c r="Q1013" s="88">
        <f t="shared" si="168"/>
        <v>0</v>
      </c>
      <c r="R1013" s="88" t="e">
        <f>-IF(Tabla14[[#This Row],[DIAS HABILES O MORA]]&lt;0,(Tabla14[[#This Row],[VALOR PRESTAMO]]*Tabla14[[#This Row],[% INTERES ]]/30*U1013))+Tabla14[[#This Row],[VALOR CUOTAS]]</f>
        <v>#VALUE!</v>
      </c>
      <c r="S1013" s="88">
        <f>-IF(Tabla14[[#This Row],[DIAS HABILES O MORA]]&lt;0,(Tabla14[[#This Row],[VALOR PRESTAMO]]*Tabla14[[#This Row],[% INTERES ]]/30*U1013))</f>
        <v>0</v>
      </c>
      <c r="T1013" s="53" t="e">
        <f>Tabla14[[#This Row],[DEUDA CAPITAL]]+Tabla14[[#This Row],[INTERES  CUOTA]]</f>
        <v>#NUM!</v>
      </c>
      <c r="U1013" s="61" t="str">
        <f t="shared" si="169"/>
        <v/>
      </c>
    </row>
    <row r="1014" spans="9:21" ht="24.75" customHeight="1" x14ac:dyDescent="0.35">
      <c r="I1014" s="42">
        <f t="shared" si="160"/>
        <v>0</v>
      </c>
      <c r="J1014" s="65" t="e">
        <f t="shared" si="161"/>
        <v>#NUM!</v>
      </c>
      <c r="K1014" s="83" t="e">
        <f t="shared" si="162"/>
        <v>#NUM!</v>
      </c>
      <c r="L1014" s="83">
        <f t="shared" si="163"/>
        <v>0</v>
      </c>
      <c r="M1014" s="110" t="str">
        <f t="shared" si="164"/>
        <v/>
      </c>
      <c r="N1014" s="51" t="str">
        <f t="shared" si="165"/>
        <v/>
      </c>
      <c r="O1014" s="52" t="str">
        <f t="shared" si="166"/>
        <v/>
      </c>
      <c r="P1014" s="88">
        <f t="shared" si="167"/>
        <v>0</v>
      </c>
      <c r="Q1014" s="88">
        <f t="shared" si="168"/>
        <v>0</v>
      </c>
      <c r="R1014" s="88" t="e">
        <f>-IF(Tabla14[[#This Row],[DIAS HABILES O MORA]]&lt;0,(Tabla14[[#This Row],[VALOR PRESTAMO]]*Tabla14[[#This Row],[% INTERES ]]/30*U1014))+Tabla14[[#This Row],[VALOR CUOTAS]]</f>
        <v>#VALUE!</v>
      </c>
      <c r="S1014" s="88">
        <f>-IF(Tabla14[[#This Row],[DIAS HABILES O MORA]]&lt;0,(Tabla14[[#This Row],[VALOR PRESTAMO]]*Tabla14[[#This Row],[% INTERES ]]/30*U1014))</f>
        <v>0</v>
      </c>
      <c r="T1014" s="53" t="e">
        <f>Tabla14[[#This Row],[DEUDA CAPITAL]]+Tabla14[[#This Row],[INTERES  CUOTA]]</f>
        <v>#NUM!</v>
      </c>
      <c r="U1014" s="61" t="str">
        <f t="shared" si="169"/>
        <v/>
      </c>
    </row>
    <row r="1015" spans="9:21" ht="24.75" customHeight="1" x14ac:dyDescent="0.35">
      <c r="I1015" s="42">
        <f t="shared" si="160"/>
        <v>0</v>
      </c>
      <c r="J1015" s="65" t="e">
        <f t="shared" si="161"/>
        <v>#NUM!</v>
      </c>
      <c r="K1015" s="83" t="e">
        <f t="shared" si="162"/>
        <v>#NUM!</v>
      </c>
      <c r="L1015" s="83">
        <f t="shared" si="163"/>
        <v>0</v>
      </c>
      <c r="M1015" s="110" t="str">
        <f t="shared" si="164"/>
        <v/>
      </c>
      <c r="N1015" s="51" t="str">
        <f t="shared" si="165"/>
        <v/>
      </c>
      <c r="O1015" s="52" t="str">
        <f t="shared" si="166"/>
        <v/>
      </c>
      <c r="P1015" s="88">
        <f t="shared" si="167"/>
        <v>0</v>
      </c>
      <c r="Q1015" s="88">
        <f t="shared" si="168"/>
        <v>0</v>
      </c>
      <c r="R1015" s="88" t="e">
        <f>-IF(Tabla14[[#This Row],[DIAS HABILES O MORA]]&lt;0,(Tabla14[[#This Row],[VALOR PRESTAMO]]*Tabla14[[#This Row],[% INTERES ]]/30*U1015))+Tabla14[[#This Row],[VALOR CUOTAS]]</f>
        <v>#VALUE!</v>
      </c>
      <c r="S1015" s="88">
        <f>-IF(Tabla14[[#This Row],[DIAS HABILES O MORA]]&lt;0,(Tabla14[[#This Row],[VALOR PRESTAMO]]*Tabla14[[#This Row],[% INTERES ]]/30*U1015))</f>
        <v>0</v>
      </c>
      <c r="T1015" s="53" t="e">
        <f>Tabla14[[#This Row],[DEUDA CAPITAL]]+Tabla14[[#This Row],[INTERES  CUOTA]]</f>
        <v>#NUM!</v>
      </c>
      <c r="U1015" s="61" t="str">
        <f t="shared" si="169"/>
        <v/>
      </c>
    </row>
    <row r="1016" spans="9:21" ht="24.75" customHeight="1" x14ac:dyDescent="0.35">
      <c r="I1016" s="42">
        <f t="shared" si="160"/>
        <v>0</v>
      </c>
      <c r="J1016" s="65" t="e">
        <f t="shared" si="161"/>
        <v>#NUM!</v>
      </c>
      <c r="K1016" s="83" t="e">
        <f t="shared" si="162"/>
        <v>#NUM!</v>
      </c>
      <c r="L1016" s="83">
        <f t="shared" si="163"/>
        <v>0</v>
      </c>
      <c r="M1016" s="110" t="str">
        <f t="shared" si="164"/>
        <v/>
      </c>
      <c r="N1016" s="51" t="str">
        <f t="shared" si="165"/>
        <v/>
      </c>
      <c r="O1016" s="52" t="str">
        <f t="shared" si="166"/>
        <v/>
      </c>
      <c r="P1016" s="88">
        <f t="shared" si="167"/>
        <v>0</v>
      </c>
      <c r="Q1016" s="88">
        <f t="shared" si="168"/>
        <v>0</v>
      </c>
      <c r="R1016" s="88" t="e">
        <f>-IF(Tabla14[[#This Row],[DIAS HABILES O MORA]]&lt;0,(Tabla14[[#This Row],[VALOR PRESTAMO]]*Tabla14[[#This Row],[% INTERES ]]/30*U1016))+Tabla14[[#This Row],[VALOR CUOTAS]]</f>
        <v>#VALUE!</v>
      </c>
      <c r="S1016" s="88">
        <f>-IF(Tabla14[[#This Row],[DIAS HABILES O MORA]]&lt;0,(Tabla14[[#This Row],[VALOR PRESTAMO]]*Tabla14[[#This Row],[% INTERES ]]/30*U1016))</f>
        <v>0</v>
      </c>
      <c r="T1016" s="53" t="e">
        <f>Tabla14[[#This Row],[DEUDA CAPITAL]]+Tabla14[[#This Row],[INTERES  CUOTA]]</f>
        <v>#NUM!</v>
      </c>
      <c r="U1016" s="61" t="str">
        <f t="shared" si="169"/>
        <v/>
      </c>
    </row>
    <row r="1017" spans="9:21" ht="24.75" customHeight="1" x14ac:dyDescent="0.35">
      <c r="I1017" s="42">
        <f t="shared" si="160"/>
        <v>0</v>
      </c>
      <c r="J1017" s="65" t="e">
        <f t="shared" si="161"/>
        <v>#NUM!</v>
      </c>
      <c r="K1017" s="83" t="e">
        <f t="shared" si="162"/>
        <v>#NUM!</v>
      </c>
      <c r="L1017" s="83">
        <f t="shared" si="163"/>
        <v>0</v>
      </c>
      <c r="M1017" s="110" t="str">
        <f t="shared" si="164"/>
        <v/>
      </c>
      <c r="N1017" s="51" t="str">
        <f t="shared" si="165"/>
        <v/>
      </c>
      <c r="O1017" s="52" t="str">
        <f t="shared" si="166"/>
        <v/>
      </c>
      <c r="P1017" s="88">
        <f t="shared" si="167"/>
        <v>0</v>
      </c>
      <c r="Q1017" s="88">
        <f t="shared" si="168"/>
        <v>0</v>
      </c>
      <c r="R1017" s="88" t="e">
        <f>-IF(Tabla14[[#This Row],[DIAS HABILES O MORA]]&lt;0,(Tabla14[[#This Row],[VALOR PRESTAMO]]*Tabla14[[#This Row],[% INTERES ]]/30*U1017))+Tabla14[[#This Row],[VALOR CUOTAS]]</f>
        <v>#VALUE!</v>
      </c>
      <c r="S1017" s="88">
        <f>-IF(Tabla14[[#This Row],[DIAS HABILES O MORA]]&lt;0,(Tabla14[[#This Row],[VALOR PRESTAMO]]*Tabla14[[#This Row],[% INTERES ]]/30*U1017))</f>
        <v>0</v>
      </c>
      <c r="T1017" s="53" t="e">
        <f>Tabla14[[#This Row],[DEUDA CAPITAL]]+Tabla14[[#This Row],[INTERES  CUOTA]]</f>
        <v>#NUM!</v>
      </c>
      <c r="U1017" s="61" t="str">
        <f t="shared" si="169"/>
        <v/>
      </c>
    </row>
    <row r="1018" spans="9:21" ht="24.75" customHeight="1" x14ac:dyDescent="0.35">
      <c r="I1018" s="42">
        <f t="shared" si="160"/>
        <v>0</v>
      </c>
      <c r="J1018" s="65" t="e">
        <f t="shared" si="161"/>
        <v>#NUM!</v>
      </c>
      <c r="K1018" s="83" t="e">
        <f t="shared" si="162"/>
        <v>#NUM!</v>
      </c>
      <c r="L1018" s="83">
        <f t="shared" si="163"/>
        <v>0</v>
      </c>
      <c r="M1018" s="110" t="str">
        <f t="shared" si="164"/>
        <v/>
      </c>
      <c r="N1018" s="51" t="str">
        <f t="shared" si="165"/>
        <v/>
      </c>
      <c r="O1018" s="52" t="str">
        <f t="shared" si="166"/>
        <v/>
      </c>
      <c r="P1018" s="88">
        <f t="shared" si="167"/>
        <v>0</v>
      </c>
      <c r="Q1018" s="88">
        <f t="shared" si="168"/>
        <v>0</v>
      </c>
      <c r="R1018" s="88" t="e">
        <f>-IF(Tabla14[[#This Row],[DIAS HABILES O MORA]]&lt;0,(Tabla14[[#This Row],[VALOR PRESTAMO]]*Tabla14[[#This Row],[% INTERES ]]/30*U1018))+Tabla14[[#This Row],[VALOR CUOTAS]]</f>
        <v>#VALUE!</v>
      </c>
      <c r="S1018" s="88">
        <f>-IF(Tabla14[[#This Row],[DIAS HABILES O MORA]]&lt;0,(Tabla14[[#This Row],[VALOR PRESTAMO]]*Tabla14[[#This Row],[% INTERES ]]/30*U1018))</f>
        <v>0</v>
      </c>
      <c r="T1018" s="53" t="e">
        <f>Tabla14[[#This Row],[DEUDA CAPITAL]]+Tabla14[[#This Row],[INTERES  CUOTA]]</f>
        <v>#NUM!</v>
      </c>
      <c r="U1018" s="61" t="str">
        <f t="shared" si="169"/>
        <v/>
      </c>
    </row>
    <row r="1019" spans="9:21" ht="24.75" customHeight="1" x14ac:dyDescent="0.35">
      <c r="I1019" s="42">
        <f t="shared" si="160"/>
        <v>0</v>
      </c>
      <c r="J1019" s="65" t="e">
        <f t="shared" si="161"/>
        <v>#NUM!</v>
      </c>
      <c r="K1019" s="83" t="e">
        <f t="shared" si="162"/>
        <v>#NUM!</v>
      </c>
      <c r="L1019" s="83">
        <f t="shared" si="163"/>
        <v>0</v>
      </c>
      <c r="M1019" s="110" t="str">
        <f t="shared" si="164"/>
        <v/>
      </c>
      <c r="N1019" s="51" t="str">
        <f t="shared" si="165"/>
        <v/>
      </c>
      <c r="O1019" s="52" t="str">
        <f t="shared" si="166"/>
        <v/>
      </c>
      <c r="P1019" s="88">
        <f t="shared" si="167"/>
        <v>0</v>
      </c>
      <c r="Q1019" s="88">
        <f t="shared" si="168"/>
        <v>0</v>
      </c>
      <c r="R1019" s="88" t="e">
        <f>-IF(Tabla14[[#This Row],[DIAS HABILES O MORA]]&lt;0,(Tabla14[[#This Row],[VALOR PRESTAMO]]*Tabla14[[#This Row],[% INTERES ]]/30*U1019))+Tabla14[[#This Row],[VALOR CUOTAS]]</f>
        <v>#VALUE!</v>
      </c>
      <c r="S1019" s="88">
        <f>-IF(Tabla14[[#This Row],[DIAS HABILES O MORA]]&lt;0,(Tabla14[[#This Row],[VALOR PRESTAMO]]*Tabla14[[#This Row],[% INTERES ]]/30*U1019))</f>
        <v>0</v>
      </c>
      <c r="T1019" s="53" t="e">
        <f>Tabla14[[#This Row],[DEUDA CAPITAL]]+Tabla14[[#This Row],[INTERES  CUOTA]]</f>
        <v>#NUM!</v>
      </c>
      <c r="U1019" s="61" t="str">
        <f t="shared" si="169"/>
        <v/>
      </c>
    </row>
    <row r="1020" spans="9:21" ht="24.75" customHeight="1" x14ac:dyDescent="0.35">
      <c r="I1020" s="42">
        <f t="shared" si="160"/>
        <v>0</v>
      </c>
      <c r="J1020" s="65" t="e">
        <f t="shared" si="161"/>
        <v>#NUM!</v>
      </c>
      <c r="K1020" s="83" t="e">
        <f t="shared" si="162"/>
        <v>#NUM!</v>
      </c>
      <c r="L1020" s="83">
        <f t="shared" si="163"/>
        <v>0</v>
      </c>
      <c r="M1020" s="110" t="str">
        <f t="shared" si="164"/>
        <v/>
      </c>
      <c r="N1020" s="51" t="str">
        <f t="shared" si="165"/>
        <v/>
      </c>
      <c r="O1020" s="52" t="str">
        <f t="shared" si="166"/>
        <v/>
      </c>
      <c r="P1020" s="88">
        <f t="shared" si="167"/>
        <v>0</v>
      </c>
      <c r="Q1020" s="88">
        <f t="shared" si="168"/>
        <v>0</v>
      </c>
      <c r="R1020" s="88" t="e">
        <f>-IF(Tabla14[[#This Row],[DIAS HABILES O MORA]]&lt;0,(Tabla14[[#This Row],[VALOR PRESTAMO]]*Tabla14[[#This Row],[% INTERES ]]/30*U1020))+Tabla14[[#This Row],[VALOR CUOTAS]]</f>
        <v>#VALUE!</v>
      </c>
      <c r="S1020" s="88">
        <f>-IF(Tabla14[[#This Row],[DIAS HABILES O MORA]]&lt;0,(Tabla14[[#This Row],[VALOR PRESTAMO]]*Tabla14[[#This Row],[% INTERES ]]/30*U1020))</f>
        <v>0</v>
      </c>
      <c r="T1020" s="53" t="e">
        <f>Tabla14[[#This Row],[DEUDA CAPITAL]]+Tabla14[[#This Row],[INTERES  CUOTA]]</f>
        <v>#NUM!</v>
      </c>
      <c r="U1020" s="61" t="str">
        <f t="shared" si="169"/>
        <v/>
      </c>
    </row>
    <row r="1021" spans="9:21" ht="24.75" customHeight="1" x14ac:dyDescent="0.35">
      <c r="I1021" s="42">
        <f t="shared" si="160"/>
        <v>0</v>
      </c>
      <c r="J1021" s="65" t="e">
        <f t="shared" si="161"/>
        <v>#NUM!</v>
      </c>
      <c r="K1021" s="83" t="e">
        <f t="shared" si="162"/>
        <v>#NUM!</v>
      </c>
      <c r="L1021" s="83">
        <f t="shared" si="163"/>
        <v>0</v>
      </c>
      <c r="M1021" s="110" t="str">
        <f t="shared" si="164"/>
        <v/>
      </c>
      <c r="N1021" s="51" t="str">
        <f t="shared" si="165"/>
        <v/>
      </c>
      <c r="O1021" s="52" t="str">
        <f t="shared" si="166"/>
        <v/>
      </c>
      <c r="P1021" s="88">
        <f t="shared" si="167"/>
        <v>0</v>
      </c>
      <c r="Q1021" s="88">
        <f t="shared" si="168"/>
        <v>0</v>
      </c>
      <c r="R1021" s="88" t="e">
        <f>-IF(Tabla14[[#This Row],[DIAS HABILES O MORA]]&lt;0,(Tabla14[[#This Row],[VALOR PRESTAMO]]*Tabla14[[#This Row],[% INTERES ]]/30*U1021))+Tabla14[[#This Row],[VALOR CUOTAS]]</f>
        <v>#VALUE!</v>
      </c>
      <c r="S1021" s="88">
        <f>-IF(Tabla14[[#This Row],[DIAS HABILES O MORA]]&lt;0,(Tabla14[[#This Row],[VALOR PRESTAMO]]*Tabla14[[#This Row],[% INTERES ]]/30*U1021))</f>
        <v>0</v>
      </c>
      <c r="T1021" s="53" t="e">
        <f>Tabla14[[#This Row],[DEUDA CAPITAL]]+Tabla14[[#This Row],[INTERES  CUOTA]]</f>
        <v>#NUM!</v>
      </c>
      <c r="U1021" s="61" t="str">
        <f t="shared" si="169"/>
        <v/>
      </c>
    </row>
    <row r="1022" spans="9:21" ht="24.75" customHeight="1" x14ac:dyDescent="0.35">
      <c r="I1022" s="42">
        <f t="shared" si="160"/>
        <v>0</v>
      </c>
      <c r="J1022" s="65" t="e">
        <f t="shared" si="161"/>
        <v>#NUM!</v>
      </c>
      <c r="K1022" s="83" t="e">
        <f t="shared" si="162"/>
        <v>#NUM!</v>
      </c>
      <c r="L1022" s="83">
        <f t="shared" si="163"/>
        <v>0</v>
      </c>
      <c r="M1022" s="110" t="str">
        <f t="shared" si="164"/>
        <v/>
      </c>
      <c r="N1022" s="51" t="str">
        <f t="shared" si="165"/>
        <v/>
      </c>
      <c r="O1022" s="52" t="str">
        <f t="shared" si="166"/>
        <v/>
      </c>
      <c r="P1022" s="88">
        <f t="shared" si="167"/>
        <v>0</v>
      </c>
      <c r="Q1022" s="88">
        <f t="shared" si="168"/>
        <v>0</v>
      </c>
      <c r="R1022" s="88" t="e">
        <f>-IF(Tabla14[[#This Row],[DIAS HABILES O MORA]]&lt;0,(Tabla14[[#This Row],[VALOR PRESTAMO]]*Tabla14[[#This Row],[% INTERES ]]/30*U1022))+Tabla14[[#This Row],[VALOR CUOTAS]]</f>
        <v>#VALUE!</v>
      </c>
      <c r="S1022" s="88">
        <f>-IF(Tabla14[[#This Row],[DIAS HABILES O MORA]]&lt;0,(Tabla14[[#This Row],[VALOR PRESTAMO]]*Tabla14[[#This Row],[% INTERES ]]/30*U1022))</f>
        <v>0</v>
      </c>
      <c r="T1022" s="53" t="e">
        <f>Tabla14[[#This Row],[DEUDA CAPITAL]]+Tabla14[[#This Row],[INTERES  CUOTA]]</f>
        <v>#NUM!</v>
      </c>
      <c r="U1022" s="61" t="str">
        <f t="shared" si="169"/>
        <v/>
      </c>
    </row>
    <row r="1023" spans="9:21" ht="24.75" customHeight="1" x14ac:dyDescent="0.35">
      <c r="I1023" s="42">
        <f t="shared" si="160"/>
        <v>0</v>
      </c>
      <c r="J1023" s="65" t="e">
        <f t="shared" si="161"/>
        <v>#NUM!</v>
      </c>
      <c r="K1023" s="83" t="e">
        <f t="shared" si="162"/>
        <v>#NUM!</v>
      </c>
      <c r="L1023" s="83">
        <f t="shared" si="163"/>
        <v>0</v>
      </c>
      <c r="M1023" s="110" t="str">
        <f t="shared" si="164"/>
        <v/>
      </c>
      <c r="N1023" s="51" t="str">
        <f t="shared" si="165"/>
        <v/>
      </c>
      <c r="O1023" s="52" t="str">
        <f t="shared" si="166"/>
        <v/>
      </c>
      <c r="P1023" s="88">
        <f t="shared" si="167"/>
        <v>0</v>
      </c>
      <c r="Q1023" s="88">
        <f t="shared" si="168"/>
        <v>0</v>
      </c>
      <c r="R1023" s="88" t="e">
        <f>-IF(Tabla14[[#This Row],[DIAS HABILES O MORA]]&lt;0,(Tabla14[[#This Row],[VALOR PRESTAMO]]*Tabla14[[#This Row],[% INTERES ]]/30*U1023))+Tabla14[[#This Row],[VALOR CUOTAS]]</f>
        <v>#VALUE!</v>
      </c>
      <c r="S1023" s="88">
        <f>-IF(Tabla14[[#This Row],[DIAS HABILES O MORA]]&lt;0,(Tabla14[[#This Row],[VALOR PRESTAMO]]*Tabla14[[#This Row],[% INTERES ]]/30*U1023))</f>
        <v>0</v>
      </c>
      <c r="T1023" s="53" t="e">
        <f>Tabla14[[#This Row],[DEUDA CAPITAL]]+Tabla14[[#This Row],[INTERES  CUOTA]]</f>
        <v>#NUM!</v>
      </c>
      <c r="U1023" s="61" t="str">
        <f t="shared" si="169"/>
        <v/>
      </c>
    </row>
    <row r="1024" spans="9:21" ht="24.75" customHeight="1" x14ac:dyDescent="0.35">
      <c r="I1024" s="42">
        <f t="shared" si="160"/>
        <v>0</v>
      </c>
      <c r="J1024" s="65" t="e">
        <f t="shared" si="161"/>
        <v>#NUM!</v>
      </c>
      <c r="K1024" s="83" t="e">
        <f t="shared" si="162"/>
        <v>#NUM!</v>
      </c>
      <c r="L1024" s="83">
        <f t="shared" si="163"/>
        <v>0</v>
      </c>
      <c r="M1024" s="110" t="str">
        <f t="shared" si="164"/>
        <v/>
      </c>
      <c r="N1024" s="51" t="str">
        <f t="shared" si="165"/>
        <v/>
      </c>
      <c r="O1024" s="52" t="str">
        <f t="shared" si="166"/>
        <v/>
      </c>
      <c r="P1024" s="88">
        <f t="shared" si="167"/>
        <v>0</v>
      </c>
      <c r="Q1024" s="88">
        <f t="shared" si="168"/>
        <v>0</v>
      </c>
      <c r="R1024" s="88" t="e">
        <f>-IF(Tabla14[[#This Row],[DIAS HABILES O MORA]]&lt;0,(Tabla14[[#This Row],[VALOR PRESTAMO]]*Tabla14[[#This Row],[% INTERES ]]/30*U1024))+Tabla14[[#This Row],[VALOR CUOTAS]]</f>
        <v>#VALUE!</v>
      </c>
      <c r="S1024" s="88">
        <f>-IF(Tabla14[[#This Row],[DIAS HABILES O MORA]]&lt;0,(Tabla14[[#This Row],[VALOR PRESTAMO]]*Tabla14[[#This Row],[% INTERES ]]/30*U1024))</f>
        <v>0</v>
      </c>
      <c r="T1024" s="53" t="e">
        <f>Tabla14[[#This Row],[DEUDA CAPITAL]]+Tabla14[[#This Row],[INTERES  CUOTA]]</f>
        <v>#NUM!</v>
      </c>
      <c r="U1024" s="61" t="str">
        <f t="shared" si="169"/>
        <v/>
      </c>
    </row>
    <row r="1025" spans="9:21" ht="24.75" customHeight="1" x14ac:dyDescent="0.35">
      <c r="I1025" s="42">
        <f t="shared" si="160"/>
        <v>0</v>
      </c>
      <c r="J1025" s="65" t="e">
        <f t="shared" si="161"/>
        <v>#NUM!</v>
      </c>
      <c r="K1025" s="83" t="e">
        <f t="shared" si="162"/>
        <v>#NUM!</v>
      </c>
      <c r="L1025" s="83">
        <f t="shared" si="163"/>
        <v>0</v>
      </c>
      <c r="M1025" s="110" t="str">
        <f t="shared" si="164"/>
        <v/>
      </c>
      <c r="N1025" s="51" t="str">
        <f t="shared" si="165"/>
        <v/>
      </c>
      <c r="O1025" s="52" t="str">
        <f t="shared" si="166"/>
        <v/>
      </c>
      <c r="P1025" s="88">
        <f t="shared" si="167"/>
        <v>0</v>
      </c>
      <c r="Q1025" s="88">
        <f t="shared" si="168"/>
        <v>0</v>
      </c>
      <c r="R1025" s="88" t="e">
        <f>-IF(Tabla14[[#This Row],[DIAS HABILES O MORA]]&lt;0,(Tabla14[[#This Row],[VALOR PRESTAMO]]*Tabla14[[#This Row],[% INTERES ]]/30*U1025))+Tabla14[[#This Row],[VALOR CUOTAS]]</f>
        <v>#VALUE!</v>
      </c>
      <c r="S1025" s="88">
        <f>-IF(Tabla14[[#This Row],[DIAS HABILES O MORA]]&lt;0,(Tabla14[[#This Row],[VALOR PRESTAMO]]*Tabla14[[#This Row],[% INTERES ]]/30*U1025))</f>
        <v>0</v>
      </c>
      <c r="T1025" s="53" t="e">
        <f>Tabla14[[#This Row],[DEUDA CAPITAL]]+Tabla14[[#This Row],[INTERES  CUOTA]]</f>
        <v>#NUM!</v>
      </c>
      <c r="U1025" s="61" t="str">
        <f t="shared" si="169"/>
        <v/>
      </c>
    </row>
    <row r="1026" spans="9:21" ht="24.75" customHeight="1" x14ac:dyDescent="0.35">
      <c r="I1026" s="42">
        <f t="shared" si="160"/>
        <v>0</v>
      </c>
      <c r="J1026" s="65" t="e">
        <f t="shared" si="161"/>
        <v>#NUM!</v>
      </c>
      <c r="K1026" s="83" t="e">
        <f t="shared" si="162"/>
        <v>#NUM!</v>
      </c>
      <c r="L1026" s="83">
        <f t="shared" si="163"/>
        <v>0</v>
      </c>
      <c r="M1026" s="110" t="str">
        <f t="shared" si="164"/>
        <v/>
      </c>
      <c r="N1026" s="51" t="str">
        <f t="shared" si="165"/>
        <v/>
      </c>
      <c r="O1026" s="52" t="str">
        <f t="shared" si="166"/>
        <v/>
      </c>
      <c r="P1026" s="88">
        <f t="shared" si="167"/>
        <v>0</v>
      </c>
      <c r="Q1026" s="88">
        <f t="shared" si="168"/>
        <v>0</v>
      </c>
      <c r="R1026" s="88" t="e">
        <f>-IF(Tabla14[[#This Row],[DIAS HABILES O MORA]]&lt;0,(Tabla14[[#This Row],[VALOR PRESTAMO]]*Tabla14[[#This Row],[% INTERES ]]/30*U1026))+Tabla14[[#This Row],[VALOR CUOTAS]]</f>
        <v>#VALUE!</v>
      </c>
      <c r="S1026" s="88">
        <f>-IF(Tabla14[[#This Row],[DIAS HABILES O MORA]]&lt;0,(Tabla14[[#This Row],[VALOR PRESTAMO]]*Tabla14[[#This Row],[% INTERES ]]/30*U1026))</f>
        <v>0</v>
      </c>
      <c r="T1026" s="53" t="e">
        <f>Tabla14[[#This Row],[DEUDA CAPITAL]]+Tabla14[[#This Row],[INTERES  CUOTA]]</f>
        <v>#NUM!</v>
      </c>
      <c r="U1026" s="61" t="str">
        <f t="shared" si="169"/>
        <v/>
      </c>
    </row>
    <row r="1027" spans="9:21" ht="24.75" customHeight="1" x14ac:dyDescent="0.35">
      <c r="I1027" s="42">
        <f t="shared" si="160"/>
        <v>0</v>
      </c>
      <c r="J1027" s="65" t="e">
        <f t="shared" si="161"/>
        <v>#NUM!</v>
      </c>
      <c r="K1027" s="83" t="e">
        <f t="shared" si="162"/>
        <v>#NUM!</v>
      </c>
      <c r="L1027" s="83">
        <f t="shared" si="163"/>
        <v>0</v>
      </c>
      <c r="M1027" s="110" t="str">
        <f t="shared" si="164"/>
        <v/>
      </c>
      <c r="N1027" s="51" t="str">
        <f t="shared" si="165"/>
        <v/>
      </c>
      <c r="O1027" s="52" t="str">
        <f t="shared" si="166"/>
        <v/>
      </c>
      <c r="P1027" s="88">
        <f t="shared" si="167"/>
        <v>0</v>
      </c>
      <c r="Q1027" s="88">
        <f t="shared" si="168"/>
        <v>0</v>
      </c>
      <c r="R1027" s="88" t="e">
        <f>-IF(Tabla14[[#This Row],[DIAS HABILES O MORA]]&lt;0,(Tabla14[[#This Row],[VALOR PRESTAMO]]*Tabla14[[#This Row],[% INTERES ]]/30*U1027))+Tabla14[[#This Row],[VALOR CUOTAS]]</f>
        <v>#VALUE!</v>
      </c>
      <c r="S1027" s="88">
        <f>-IF(Tabla14[[#This Row],[DIAS HABILES O MORA]]&lt;0,(Tabla14[[#This Row],[VALOR PRESTAMO]]*Tabla14[[#This Row],[% INTERES ]]/30*U1027))</f>
        <v>0</v>
      </c>
      <c r="T1027" s="53" t="e">
        <f>Tabla14[[#This Row],[DEUDA CAPITAL]]+Tabla14[[#This Row],[INTERES  CUOTA]]</f>
        <v>#NUM!</v>
      </c>
      <c r="U1027" s="61" t="str">
        <f t="shared" si="169"/>
        <v/>
      </c>
    </row>
    <row r="1028" spans="9:21" ht="24.75" customHeight="1" x14ac:dyDescent="0.35">
      <c r="I1028" s="42">
        <f t="shared" si="160"/>
        <v>0</v>
      </c>
      <c r="J1028" s="65" t="e">
        <f t="shared" si="161"/>
        <v>#NUM!</v>
      </c>
      <c r="K1028" s="83" t="e">
        <f t="shared" si="162"/>
        <v>#NUM!</v>
      </c>
      <c r="L1028" s="83">
        <f t="shared" si="163"/>
        <v>0</v>
      </c>
      <c r="M1028" s="110" t="str">
        <f t="shared" si="164"/>
        <v/>
      </c>
      <c r="N1028" s="51" t="str">
        <f t="shared" si="165"/>
        <v/>
      </c>
      <c r="O1028" s="52" t="str">
        <f t="shared" si="166"/>
        <v/>
      </c>
      <c r="P1028" s="88">
        <f t="shared" si="167"/>
        <v>0</v>
      </c>
      <c r="Q1028" s="88">
        <f t="shared" si="168"/>
        <v>0</v>
      </c>
      <c r="R1028" s="88" t="e">
        <f>-IF(Tabla14[[#This Row],[DIAS HABILES O MORA]]&lt;0,(Tabla14[[#This Row],[VALOR PRESTAMO]]*Tabla14[[#This Row],[% INTERES ]]/30*U1028))+Tabla14[[#This Row],[VALOR CUOTAS]]</f>
        <v>#VALUE!</v>
      </c>
      <c r="S1028" s="88">
        <f>-IF(Tabla14[[#This Row],[DIAS HABILES O MORA]]&lt;0,(Tabla14[[#This Row],[VALOR PRESTAMO]]*Tabla14[[#This Row],[% INTERES ]]/30*U1028))</f>
        <v>0</v>
      </c>
      <c r="T1028" s="53" t="e">
        <f>Tabla14[[#This Row],[DEUDA CAPITAL]]+Tabla14[[#This Row],[INTERES  CUOTA]]</f>
        <v>#NUM!</v>
      </c>
      <c r="U1028" s="61" t="str">
        <f t="shared" si="169"/>
        <v/>
      </c>
    </row>
    <row r="1029" spans="9:21" ht="24.75" customHeight="1" x14ac:dyDescent="0.35">
      <c r="I1029" s="42">
        <f t="shared" si="160"/>
        <v>0</v>
      </c>
      <c r="J1029" s="65" t="e">
        <f t="shared" si="161"/>
        <v>#NUM!</v>
      </c>
      <c r="K1029" s="83" t="e">
        <f t="shared" si="162"/>
        <v>#NUM!</v>
      </c>
      <c r="L1029" s="83">
        <f t="shared" si="163"/>
        <v>0</v>
      </c>
      <c r="M1029" s="110" t="str">
        <f t="shared" si="164"/>
        <v/>
      </c>
      <c r="N1029" s="51" t="str">
        <f t="shared" si="165"/>
        <v/>
      </c>
      <c r="O1029" s="52" t="str">
        <f t="shared" si="166"/>
        <v/>
      </c>
      <c r="P1029" s="88">
        <f t="shared" si="167"/>
        <v>0</v>
      </c>
      <c r="Q1029" s="88">
        <f t="shared" si="168"/>
        <v>0</v>
      </c>
      <c r="R1029" s="88" t="e">
        <f>-IF(Tabla14[[#This Row],[DIAS HABILES O MORA]]&lt;0,(Tabla14[[#This Row],[VALOR PRESTAMO]]*Tabla14[[#This Row],[% INTERES ]]/30*U1029))+Tabla14[[#This Row],[VALOR CUOTAS]]</f>
        <v>#VALUE!</v>
      </c>
      <c r="S1029" s="88">
        <f>-IF(Tabla14[[#This Row],[DIAS HABILES O MORA]]&lt;0,(Tabla14[[#This Row],[VALOR PRESTAMO]]*Tabla14[[#This Row],[% INTERES ]]/30*U1029))</f>
        <v>0</v>
      </c>
      <c r="T1029" s="53" t="e">
        <f>Tabla14[[#This Row],[DEUDA CAPITAL]]+Tabla14[[#This Row],[INTERES  CUOTA]]</f>
        <v>#NUM!</v>
      </c>
      <c r="U1029" s="61" t="str">
        <f t="shared" si="169"/>
        <v/>
      </c>
    </row>
    <row r="1030" spans="9:21" ht="24.75" customHeight="1" x14ac:dyDescent="0.35">
      <c r="I1030" s="42">
        <f t="shared" si="160"/>
        <v>0</v>
      </c>
      <c r="J1030" s="65" t="e">
        <f t="shared" si="161"/>
        <v>#NUM!</v>
      </c>
      <c r="K1030" s="83" t="e">
        <f t="shared" si="162"/>
        <v>#NUM!</v>
      </c>
      <c r="L1030" s="83">
        <f t="shared" si="163"/>
        <v>0</v>
      </c>
      <c r="M1030" s="110" t="str">
        <f t="shared" si="164"/>
        <v/>
      </c>
      <c r="N1030" s="51" t="str">
        <f t="shared" si="165"/>
        <v/>
      </c>
      <c r="O1030" s="52" t="str">
        <f t="shared" si="166"/>
        <v/>
      </c>
      <c r="P1030" s="88">
        <f t="shared" si="167"/>
        <v>0</v>
      </c>
      <c r="Q1030" s="88">
        <f t="shared" si="168"/>
        <v>0</v>
      </c>
      <c r="R1030" s="88" t="e">
        <f>-IF(Tabla14[[#This Row],[DIAS HABILES O MORA]]&lt;0,(Tabla14[[#This Row],[VALOR PRESTAMO]]*Tabla14[[#This Row],[% INTERES ]]/30*U1030))+Tabla14[[#This Row],[VALOR CUOTAS]]</f>
        <v>#VALUE!</v>
      </c>
      <c r="S1030" s="88">
        <f>-IF(Tabla14[[#This Row],[DIAS HABILES O MORA]]&lt;0,(Tabla14[[#This Row],[VALOR PRESTAMO]]*Tabla14[[#This Row],[% INTERES ]]/30*U1030))</f>
        <v>0</v>
      </c>
      <c r="T1030" s="53" t="e">
        <f>Tabla14[[#This Row],[DEUDA CAPITAL]]+Tabla14[[#This Row],[INTERES  CUOTA]]</f>
        <v>#NUM!</v>
      </c>
      <c r="U1030" s="61" t="str">
        <f t="shared" si="169"/>
        <v/>
      </c>
    </row>
    <row r="1031" spans="9:21" ht="24.75" customHeight="1" x14ac:dyDescent="0.35">
      <c r="I1031" s="42">
        <f t="shared" si="160"/>
        <v>0</v>
      </c>
      <c r="J1031" s="65" t="e">
        <f t="shared" si="161"/>
        <v>#NUM!</v>
      </c>
      <c r="K1031" s="83" t="e">
        <f t="shared" si="162"/>
        <v>#NUM!</v>
      </c>
      <c r="L1031" s="83">
        <f t="shared" si="163"/>
        <v>0</v>
      </c>
      <c r="M1031" s="110" t="str">
        <f t="shared" si="164"/>
        <v/>
      </c>
      <c r="N1031" s="51" t="str">
        <f t="shared" si="165"/>
        <v/>
      </c>
      <c r="O1031" s="52" t="str">
        <f t="shared" si="166"/>
        <v/>
      </c>
      <c r="P1031" s="88">
        <f t="shared" si="167"/>
        <v>0</v>
      </c>
      <c r="Q1031" s="88">
        <f t="shared" si="168"/>
        <v>0</v>
      </c>
      <c r="R1031" s="88" t="e">
        <f>-IF(Tabla14[[#This Row],[DIAS HABILES O MORA]]&lt;0,(Tabla14[[#This Row],[VALOR PRESTAMO]]*Tabla14[[#This Row],[% INTERES ]]/30*U1031))+Tabla14[[#This Row],[VALOR CUOTAS]]</f>
        <v>#VALUE!</v>
      </c>
      <c r="S1031" s="88">
        <f>-IF(Tabla14[[#This Row],[DIAS HABILES O MORA]]&lt;0,(Tabla14[[#This Row],[VALOR PRESTAMO]]*Tabla14[[#This Row],[% INTERES ]]/30*U1031))</f>
        <v>0</v>
      </c>
      <c r="T1031" s="53" t="e">
        <f>Tabla14[[#This Row],[DEUDA CAPITAL]]+Tabla14[[#This Row],[INTERES  CUOTA]]</f>
        <v>#NUM!</v>
      </c>
      <c r="U1031" s="61" t="str">
        <f t="shared" si="169"/>
        <v/>
      </c>
    </row>
    <row r="1032" spans="9:21" ht="24.75" customHeight="1" x14ac:dyDescent="0.35">
      <c r="I1032" s="42">
        <f t="shared" si="160"/>
        <v>0</v>
      </c>
      <c r="J1032" s="65" t="e">
        <f t="shared" si="161"/>
        <v>#NUM!</v>
      </c>
      <c r="K1032" s="83" t="e">
        <f t="shared" si="162"/>
        <v>#NUM!</v>
      </c>
      <c r="L1032" s="83">
        <f t="shared" si="163"/>
        <v>0</v>
      </c>
      <c r="M1032" s="110" t="str">
        <f t="shared" si="164"/>
        <v/>
      </c>
      <c r="N1032" s="51" t="str">
        <f t="shared" si="165"/>
        <v/>
      </c>
      <c r="O1032" s="52" t="str">
        <f t="shared" si="166"/>
        <v/>
      </c>
      <c r="P1032" s="88">
        <f t="shared" si="167"/>
        <v>0</v>
      </c>
      <c r="Q1032" s="88">
        <f t="shared" si="168"/>
        <v>0</v>
      </c>
      <c r="R1032" s="88" t="e">
        <f>-IF(Tabla14[[#This Row],[DIAS HABILES O MORA]]&lt;0,(Tabla14[[#This Row],[VALOR PRESTAMO]]*Tabla14[[#This Row],[% INTERES ]]/30*U1032))+Tabla14[[#This Row],[VALOR CUOTAS]]</f>
        <v>#VALUE!</v>
      </c>
      <c r="S1032" s="88">
        <f>-IF(Tabla14[[#This Row],[DIAS HABILES O MORA]]&lt;0,(Tabla14[[#This Row],[VALOR PRESTAMO]]*Tabla14[[#This Row],[% INTERES ]]/30*U1032))</f>
        <v>0</v>
      </c>
      <c r="T1032" s="53" t="e">
        <f>Tabla14[[#This Row],[DEUDA CAPITAL]]+Tabla14[[#This Row],[INTERES  CUOTA]]</f>
        <v>#NUM!</v>
      </c>
      <c r="U1032" s="61" t="str">
        <f t="shared" si="169"/>
        <v/>
      </c>
    </row>
    <row r="1033" spans="9:21" ht="24.75" customHeight="1" x14ac:dyDescent="0.35">
      <c r="I1033" s="42">
        <f t="shared" si="160"/>
        <v>0</v>
      </c>
      <c r="J1033" s="65" t="e">
        <f t="shared" si="161"/>
        <v>#NUM!</v>
      </c>
      <c r="K1033" s="83" t="e">
        <f t="shared" si="162"/>
        <v>#NUM!</v>
      </c>
      <c r="L1033" s="83">
        <f t="shared" si="163"/>
        <v>0</v>
      </c>
      <c r="M1033" s="110" t="str">
        <f t="shared" si="164"/>
        <v/>
      </c>
      <c r="N1033" s="51" t="str">
        <f t="shared" si="165"/>
        <v/>
      </c>
      <c r="O1033" s="52" t="str">
        <f t="shared" si="166"/>
        <v/>
      </c>
      <c r="P1033" s="88">
        <f t="shared" si="167"/>
        <v>0</v>
      </c>
      <c r="Q1033" s="88">
        <f t="shared" si="168"/>
        <v>0</v>
      </c>
      <c r="R1033" s="88" t="e">
        <f>-IF(Tabla14[[#This Row],[DIAS HABILES O MORA]]&lt;0,(Tabla14[[#This Row],[VALOR PRESTAMO]]*Tabla14[[#This Row],[% INTERES ]]/30*U1033))+Tabla14[[#This Row],[VALOR CUOTAS]]</f>
        <v>#VALUE!</v>
      </c>
      <c r="S1033" s="88">
        <f>-IF(Tabla14[[#This Row],[DIAS HABILES O MORA]]&lt;0,(Tabla14[[#This Row],[VALOR PRESTAMO]]*Tabla14[[#This Row],[% INTERES ]]/30*U1033))</f>
        <v>0</v>
      </c>
      <c r="T1033" s="53" t="e">
        <f>Tabla14[[#This Row],[DEUDA CAPITAL]]+Tabla14[[#This Row],[INTERES  CUOTA]]</f>
        <v>#NUM!</v>
      </c>
      <c r="U1033" s="61" t="str">
        <f t="shared" si="169"/>
        <v/>
      </c>
    </row>
    <row r="1034" spans="9:21" ht="24.75" customHeight="1" x14ac:dyDescent="0.35">
      <c r="I1034" s="42">
        <f t="shared" si="160"/>
        <v>0</v>
      </c>
      <c r="J1034" s="65" t="e">
        <f t="shared" si="161"/>
        <v>#NUM!</v>
      </c>
      <c r="K1034" s="83" t="e">
        <f t="shared" si="162"/>
        <v>#NUM!</v>
      </c>
      <c r="L1034" s="83">
        <f t="shared" si="163"/>
        <v>0</v>
      </c>
      <c r="M1034" s="110" t="str">
        <f t="shared" si="164"/>
        <v/>
      </c>
      <c r="N1034" s="51" t="str">
        <f t="shared" si="165"/>
        <v/>
      </c>
      <c r="O1034" s="52" t="str">
        <f t="shared" si="166"/>
        <v/>
      </c>
      <c r="P1034" s="88">
        <f t="shared" si="167"/>
        <v>0</v>
      </c>
      <c r="Q1034" s="88">
        <f t="shared" si="168"/>
        <v>0</v>
      </c>
      <c r="R1034" s="88" t="e">
        <f>-IF(Tabla14[[#This Row],[DIAS HABILES O MORA]]&lt;0,(Tabla14[[#This Row],[VALOR PRESTAMO]]*Tabla14[[#This Row],[% INTERES ]]/30*U1034))+Tabla14[[#This Row],[VALOR CUOTAS]]</f>
        <v>#VALUE!</v>
      </c>
      <c r="S1034" s="88">
        <f>-IF(Tabla14[[#This Row],[DIAS HABILES O MORA]]&lt;0,(Tabla14[[#This Row],[VALOR PRESTAMO]]*Tabla14[[#This Row],[% INTERES ]]/30*U1034))</f>
        <v>0</v>
      </c>
      <c r="T1034" s="53" t="e">
        <f>Tabla14[[#This Row],[DEUDA CAPITAL]]+Tabla14[[#This Row],[INTERES  CUOTA]]</f>
        <v>#NUM!</v>
      </c>
      <c r="U1034" s="61" t="str">
        <f t="shared" si="169"/>
        <v/>
      </c>
    </row>
    <row r="1035" spans="9:21" ht="24.75" customHeight="1" x14ac:dyDescent="0.35">
      <c r="I1035" s="42">
        <f t="shared" si="160"/>
        <v>0</v>
      </c>
      <c r="J1035" s="65" t="e">
        <f t="shared" si="161"/>
        <v>#NUM!</v>
      </c>
      <c r="K1035" s="83" t="e">
        <f t="shared" si="162"/>
        <v>#NUM!</v>
      </c>
      <c r="L1035" s="83">
        <f t="shared" si="163"/>
        <v>0</v>
      </c>
      <c r="M1035" s="110" t="str">
        <f t="shared" si="164"/>
        <v/>
      </c>
      <c r="N1035" s="51" t="str">
        <f t="shared" si="165"/>
        <v/>
      </c>
      <c r="O1035" s="52" t="str">
        <f t="shared" si="166"/>
        <v/>
      </c>
      <c r="P1035" s="88">
        <f t="shared" si="167"/>
        <v>0</v>
      </c>
      <c r="Q1035" s="88">
        <f t="shared" si="168"/>
        <v>0</v>
      </c>
      <c r="R1035" s="88" t="e">
        <f>-IF(Tabla14[[#This Row],[DIAS HABILES O MORA]]&lt;0,(Tabla14[[#This Row],[VALOR PRESTAMO]]*Tabla14[[#This Row],[% INTERES ]]/30*U1035))+Tabla14[[#This Row],[VALOR CUOTAS]]</f>
        <v>#VALUE!</v>
      </c>
      <c r="S1035" s="88">
        <f>-IF(Tabla14[[#This Row],[DIAS HABILES O MORA]]&lt;0,(Tabla14[[#This Row],[VALOR PRESTAMO]]*Tabla14[[#This Row],[% INTERES ]]/30*U1035))</f>
        <v>0</v>
      </c>
      <c r="T1035" s="53" t="e">
        <f>Tabla14[[#This Row],[DEUDA CAPITAL]]+Tabla14[[#This Row],[INTERES  CUOTA]]</f>
        <v>#NUM!</v>
      </c>
      <c r="U1035" s="61" t="str">
        <f t="shared" si="169"/>
        <v/>
      </c>
    </row>
    <row r="1036" spans="9:21" ht="24.75" customHeight="1" x14ac:dyDescent="0.35">
      <c r="I1036" s="42">
        <f t="shared" si="160"/>
        <v>0</v>
      </c>
      <c r="J1036" s="65" t="e">
        <f t="shared" si="161"/>
        <v>#NUM!</v>
      </c>
      <c r="K1036" s="83" t="e">
        <f t="shared" si="162"/>
        <v>#NUM!</v>
      </c>
      <c r="L1036" s="83">
        <f t="shared" si="163"/>
        <v>0</v>
      </c>
      <c r="M1036" s="110" t="str">
        <f t="shared" si="164"/>
        <v/>
      </c>
      <c r="N1036" s="51" t="str">
        <f t="shared" si="165"/>
        <v/>
      </c>
      <c r="O1036" s="52" t="str">
        <f t="shared" si="166"/>
        <v/>
      </c>
      <c r="P1036" s="88">
        <f t="shared" si="167"/>
        <v>0</v>
      </c>
      <c r="Q1036" s="88">
        <f t="shared" si="168"/>
        <v>0</v>
      </c>
      <c r="R1036" s="88" t="e">
        <f>-IF(Tabla14[[#This Row],[DIAS HABILES O MORA]]&lt;0,(Tabla14[[#This Row],[VALOR PRESTAMO]]*Tabla14[[#This Row],[% INTERES ]]/30*U1036))+Tabla14[[#This Row],[VALOR CUOTAS]]</f>
        <v>#VALUE!</v>
      </c>
      <c r="S1036" s="88">
        <f>-IF(Tabla14[[#This Row],[DIAS HABILES O MORA]]&lt;0,(Tabla14[[#This Row],[VALOR PRESTAMO]]*Tabla14[[#This Row],[% INTERES ]]/30*U1036))</f>
        <v>0</v>
      </c>
      <c r="T1036" s="53" t="e">
        <f>Tabla14[[#This Row],[DEUDA CAPITAL]]+Tabla14[[#This Row],[INTERES  CUOTA]]</f>
        <v>#NUM!</v>
      </c>
      <c r="U1036" s="61" t="str">
        <f t="shared" si="169"/>
        <v/>
      </c>
    </row>
    <row r="1037" spans="9:21" ht="24.75" customHeight="1" x14ac:dyDescent="0.35">
      <c r="I1037" s="42">
        <f t="shared" si="160"/>
        <v>0</v>
      </c>
      <c r="J1037" s="65" t="e">
        <f t="shared" si="161"/>
        <v>#NUM!</v>
      </c>
      <c r="K1037" s="83" t="e">
        <f t="shared" si="162"/>
        <v>#NUM!</v>
      </c>
      <c r="L1037" s="83">
        <f t="shared" si="163"/>
        <v>0</v>
      </c>
      <c r="M1037" s="110" t="str">
        <f t="shared" si="164"/>
        <v/>
      </c>
      <c r="N1037" s="51" t="str">
        <f t="shared" si="165"/>
        <v/>
      </c>
      <c r="O1037" s="52" t="str">
        <f t="shared" si="166"/>
        <v/>
      </c>
      <c r="P1037" s="88">
        <f t="shared" si="167"/>
        <v>0</v>
      </c>
      <c r="Q1037" s="88">
        <f t="shared" si="168"/>
        <v>0</v>
      </c>
      <c r="R1037" s="88" t="e">
        <f>-IF(Tabla14[[#This Row],[DIAS HABILES O MORA]]&lt;0,(Tabla14[[#This Row],[VALOR PRESTAMO]]*Tabla14[[#This Row],[% INTERES ]]/30*U1037))+Tabla14[[#This Row],[VALOR CUOTAS]]</f>
        <v>#VALUE!</v>
      </c>
      <c r="S1037" s="88">
        <f>-IF(Tabla14[[#This Row],[DIAS HABILES O MORA]]&lt;0,(Tabla14[[#This Row],[VALOR PRESTAMO]]*Tabla14[[#This Row],[% INTERES ]]/30*U1037))</f>
        <v>0</v>
      </c>
      <c r="T1037" s="53" t="e">
        <f>Tabla14[[#This Row],[DEUDA CAPITAL]]+Tabla14[[#This Row],[INTERES  CUOTA]]</f>
        <v>#NUM!</v>
      </c>
      <c r="U1037" s="61" t="str">
        <f t="shared" si="169"/>
        <v/>
      </c>
    </row>
    <row r="1038" spans="9:21" ht="24.75" customHeight="1" x14ac:dyDescent="0.35">
      <c r="I1038" s="42">
        <f t="shared" si="160"/>
        <v>0</v>
      </c>
      <c r="J1038" s="65" t="e">
        <f t="shared" si="161"/>
        <v>#NUM!</v>
      </c>
      <c r="K1038" s="83" t="e">
        <f t="shared" si="162"/>
        <v>#NUM!</v>
      </c>
      <c r="L1038" s="83">
        <f t="shared" si="163"/>
        <v>0</v>
      </c>
      <c r="M1038" s="110" t="str">
        <f t="shared" si="164"/>
        <v/>
      </c>
      <c r="N1038" s="51" t="str">
        <f t="shared" si="165"/>
        <v/>
      </c>
      <c r="O1038" s="52" t="str">
        <f t="shared" si="166"/>
        <v/>
      </c>
      <c r="P1038" s="88">
        <f t="shared" si="167"/>
        <v>0</v>
      </c>
      <c r="Q1038" s="88">
        <f t="shared" si="168"/>
        <v>0</v>
      </c>
      <c r="R1038" s="88" t="e">
        <f>-IF(Tabla14[[#This Row],[DIAS HABILES O MORA]]&lt;0,(Tabla14[[#This Row],[VALOR PRESTAMO]]*Tabla14[[#This Row],[% INTERES ]]/30*U1038))+Tabla14[[#This Row],[VALOR CUOTAS]]</f>
        <v>#VALUE!</v>
      </c>
      <c r="S1038" s="88">
        <f>-IF(Tabla14[[#This Row],[DIAS HABILES O MORA]]&lt;0,(Tabla14[[#This Row],[VALOR PRESTAMO]]*Tabla14[[#This Row],[% INTERES ]]/30*U1038))</f>
        <v>0</v>
      </c>
      <c r="T1038" s="53" t="e">
        <f>Tabla14[[#This Row],[DEUDA CAPITAL]]+Tabla14[[#This Row],[INTERES  CUOTA]]</f>
        <v>#NUM!</v>
      </c>
      <c r="U1038" s="61" t="str">
        <f t="shared" si="169"/>
        <v/>
      </c>
    </row>
    <row r="1039" spans="9:21" ht="24.75" customHeight="1" x14ac:dyDescent="0.35">
      <c r="I1039" s="42">
        <f t="shared" si="160"/>
        <v>0</v>
      </c>
      <c r="J1039" s="65" t="e">
        <f t="shared" si="161"/>
        <v>#NUM!</v>
      </c>
      <c r="K1039" s="83" t="e">
        <f t="shared" si="162"/>
        <v>#NUM!</v>
      </c>
      <c r="L1039" s="83">
        <f t="shared" si="163"/>
        <v>0</v>
      </c>
      <c r="M1039" s="110" t="str">
        <f t="shared" si="164"/>
        <v/>
      </c>
      <c r="N1039" s="51" t="str">
        <f t="shared" si="165"/>
        <v/>
      </c>
      <c r="O1039" s="52" t="str">
        <f t="shared" si="166"/>
        <v/>
      </c>
      <c r="P1039" s="88">
        <f t="shared" si="167"/>
        <v>0</v>
      </c>
      <c r="Q1039" s="88">
        <f t="shared" si="168"/>
        <v>0</v>
      </c>
      <c r="R1039" s="88" t="e">
        <f>-IF(Tabla14[[#This Row],[DIAS HABILES O MORA]]&lt;0,(Tabla14[[#This Row],[VALOR PRESTAMO]]*Tabla14[[#This Row],[% INTERES ]]/30*U1039))+Tabla14[[#This Row],[VALOR CUOTAS]]</f>
        <v>#VALUE!</v>
      </c>
      <c r="S1039" s="88">
        <f>-IF(Tabla14[[#This Row],[DIAS HABILES O MORA]]&lt;0,(Tabla14[[#This Row],[VALOR PRESTAMO]]*Tabla14[[#This Row],[% INTERES ]]/30*U1039))</f>
        <v>0</v>
      </c>
      <c r="T1039" s="53" t="e">
        <f>Tabla14[[#This Row],[DEUDA CAPITAL]]+Tabla14[[#This Row],[INTERES  CUOTA]]</f>
        <v>#NUM!</v>
      </c>
      <c r="U1039" s="61" t="str">
        <f t="shared" si="169"/>
        <v/>
      </c>
    </row>
    <row r="1040" spans="9:21" ht="24.75" customHeight="1" x14ac:dyDescent="0.35">
      <c r="I1040" s="42">
        <f t="shared" ref="I1040:I1103" si="170">IF(C1040&lt;0,"",IF(Q1040=0,0,IF(G1040=0,H1040+1,IF(H1040&lt;G1040,H1040+1,IF(G1040=H1040,0)))))</f>
        <v>0</v>
      </c>
      <c r="J1040" s="65" t="e">
        <f t="shared" ref="J1040:J1103" si="171">IF(F1040="SOLO INTERES",Q1040*D1040,-IPMT(D1040,I1040,G1040,C1040))</f>
        <v>#NUM!</v>
      </c>
      <c r="K1040" s="83" t="e">
        <f t="shared" ref="K1040:K1103" si="172">IF(F1040="SOLO INTERES",0,-PPMT(D1040,I1040,G1040,C1040))</f>
        <v>#NUM!</v>
      </c>
      <c r="L1040" s="83">
        <f t="shared" ref="L1040:L1103" si="173">IF(F1040="SOLO INTERES",SUM(Y1040:AAE1040),IFERROR(-CUMIPMT(D1040,G1040,C1040,1,H1040,0),0)+SUM(Y1040:WY1040))</f>
        <v>0</v>
      </c>
      <c r="M1040" s="110" t="str">
        <f t="shared" ref="M1040:M1103" si="174">IFERROR(IF(F1040="SOLO INTERES",Q1040*D1040,-PMT(D1040,G1040,C1040,0)),"")</f>
        <v/>
      </c>
      <c r="N1040" s="51" t="str">
        <f t="shared" ref="N1040:N1103" si="175">IF(Q1040=0,"",IF(E1040="MENSUAL",EDATE(B1040,I1040),IF(E1040="QUINCENAL",B1040+(I1040*15),IF(E1040="SEMANAL",B1040+(I1040*7)))))</f>
        <v/>
      </c>
      <c r="O1040" s="52" t="str">
        <f t="shared" ref="O1040:O1103" si="176">IF(C1040=0,"",IF(Q1040&lt;1,"PAGADO",IF(N1040=$A$3,"COBRAR HOY",IF(N1040&lt;$A$3,"EN MORA",IF(N1040&gt;$A$3,"AL DIA")))))</f>
        <v/>
      </c>
      <c r="P1040" s="88">
        <f t="shared" ref="P1040:P1103" si="177">IFERROR(-CUMPRINC(D1040,G1040,C1040,1,H1040,0),0)+W1040</f>
        <v>0</v>
      </c>
      <c r="Q1040" s="88">
        <f t="shared" ref="Q1040:Q1103" si="178">IFERROR(C1040-P1040,"")</f>
        <v>0</v>
      </c>
      <c r="R1040" s="88" t="e">
        <f>-IF(Tabla14[[#This Row],[DIAS HABILES O MORA]]&lt;0,(Tabla14[[#This Row],[VALOR PRESTAMO]]*Tabla14[[#This Row],[% INTERES ]]/30*U1040))+Tabla14[[#This Row],[VALOR CUOTAS]]</f>
        <v>#VALUE!</v>
      </c>
      <c r="S1040" s="88">
        <f>-IF(Tabla14[[#This Row],[DIAS HABILES O MORA]]&lt;0,(Tabla14[[#This Row],[VALOR PRESTAMO]]*Tabla14[[#This Row],[% INTERES ]]/30*U1040))</f>
        <v>0</v>
      </c>
      <c r="T1040" s="53" t="e">
        <f>Tabla14[[#This Row],[DEUDA CAPITAL]]+Tabla14[[#This Row],[INTERES  CUOTA]]</f>
        <v>#NUM!</v>
      </c>
      <c r="U1040" s="61" t="str">
        <f t="shared" ref="U1040:U1103" si="179">IF(O1040="PAGADO","",IFERROR(-IF(C1040=0,"",$A$3-N1040),""))</f>
        <v/>
      </c>
    </row>
    <row r="1041" spans="9:21" ht="24.75" customHeight="1" x14ac:dyDescent="0.35">
      <c r="I1041" s="42">
        <f t="shared" si="170"/>
        <v>0</v>
      </c>
      <c r="J1041" s="65" t="e">
        <f t="shared" si="171"/>
        <v>#NUM!</v>
      </c>
      <c r="K1041" s="83" t="e">
        <f t="shared" si="172"/>
        <v>#NUM!</v>
      </c>
      <c r="L1041" s="83">
        <f t="shared" si="173"/>
        <v>0</v>
      </c>
      <c r="M1041" s="110" t="str">
        <f t="shared" si="174"/>
        <v/>
      </c>
      <c r="N1041" s="51" t="str">
        <f t="shared" si="175"/>
        <v/>
      </c>
      <c r="O1041" s="52" t="str">
        <f t="shared" si="176"/>
        <v/>
      </c>
      <c r="P1041" s="88">
        <f t="shared" si="177"/>
        <v>0</v>
      </c>
      <c r="Q1041" s="88">
        <f t="shared" si="178"/>
        <v>0</v>
      </c>
      <c r="R1041" s="88" t="e">
        <f>-IF(Tabla14[[#This Row],[DIAS HABILES O MORA]]&lt;0,(Tabla14[[#This Row],[VALOR PRESTAMO]]*Tabla14[[#This Row],[% INTERES ]]/30*U1041))+Tabla14[[#This Row],[VALOR CUOTAS]]</f>
        <v>#VALUE!</v>
      </c>
      <c r="S1041" s="88">
        <f>-IF(Tabla14[[#This Row],[DIAS HABILES O MORA]]&lt;0,(Tabla14[[#This Row],[VALOR PRESTAMO]]*Tabla14[[#This Row],[% INTERES ]]/30*U1041))</f>
        <v>0</v>
      </c>
      <c r="T1041" s="53" t="e">
        <f>Tabla14[[#This Row],[DEUDA CAPITAL]]+Tabla14[[#This Row],[INTERES  CUOTA]]</f>
        <v>#NUM!</v>
      </c>
      <c r="U1041" s="61" t="str">
        <f t="shared" si="179"/>
        <v/>
      </c>
    </row>
    <row r="1042" spans="9:21" ht="24.75" customHeight="1" x14ac:dyDescent="0.35">
      <c r="I1042" s="42">
        <f t="shared" si="170"/>
        <v>0</v>
      </c>
      <c r="J1042" s="65" t="e">
        <f t="shared" si="171"/>
        <v>#NUM!</v>
      </c>
      <c r="K1042" s="83" t="e">
        <f t="shared" si="172"/>
        <v>#NUM!</v>
      </c>
      <c r="L1042" s="83">
        <f t="shared" si="173"/>
        <v>0</v>
      </c>
      <c r="M1042" s="110" t="str">
        <f t="shared" si="174"/>
        <v/>
      </c>
      <c r="N1042" s="51" t="str">
        <f t="shared" si="175"/>
        <v/>
      </c>
      <c r="O1042" s="52" t="str">
        <f t="shared" si="176"/>
        <v/>
      </c>
      <c r="P1042" s="88">
        <f t="shared" si="177"/>
        <v>0</v>
      </c>
      <c r="Q1042" s="88">
        <f t="shared" si="178"/>
        <v>0</v>
      </c>
      <c r="R1042" s="88" t="e">
        <f>-IF(Tabla14[[#This Row],[DIAS HABILES O MORA]]&lt;0,(Tabla14[[#This Row],[VALOR PRESTAMO]]*Tabla14[[#This Row],[% INTERES ]]/30*U1042))+Tabla14[[#This Row],[VALOR CUOTAS]]</f>
        <v>#VALUE!</v>
      </c>
      <c r="S1042" s="88">
        <f>-IF(Tabla14[[#This Row],[DIAS HABILES O MORA]]&lt;0,(Tabla14[[#This Row],[VALOR PRESTAMO]]*Tabla14[[#This Row],[% INTERES ]]/30*U1042))</f>
        <v>0</v>
      </c>
      <c r="T1042" s="53" t="e">
        <f>Tabla14[[#This Row],[DEUDA CAPITAL]]+Tabla14[[#This Row],[INTERES  CUOTA]]</f>
        <v>#NUM!</v>
      </c>
      <c r="U1042" s="61" t="str">
        <f t="shared" si="179"/>
        <v/>
      </c>
    </row>
    <row r="1043" spans="9:21" ht="24.75" customHeight="1" x14ac:dyDescent="0.35">
      <c r="I1043" s="42">
        <f t="shared" si="170"/>
        <v>0</v>
      </c>
      <c r="J1043" s="65" t="e">
        <f t="shared" si="171"/>
        <v>#NUM!</v>
      </c>
      <c r="K1043" s="83" t="e">
        <f t="shared" si="172"/>
        <v>#NUM!</v>
      </c>
      <c r="L1043" s="83">
        <f t="shared" si="173"/>
        <v>0</v>
      </c>
      <c r="M1043" s="110" t="str">
        <f t="shared" si="174"/>
        <v/>
      </c>
      <c r="N1043" s="51" t="str">
        <f t="shared" si="175"/>
        <v/>
      </c>
      <c r="O1043" s="52" t="str">
        <f t="shared" si="176"/>
        <v/>
      </c>
      <c r="P1043" s="88">
        <f t="shared" si="177"/>
        <v>0</v>
      </c>
      <c r="Q1043" s="88">
        <f t="shared" si="178"/>
        <v>0</v>
      </c>
      <c r="R1043" s="88" t="e">
        <f>-IF(Tabla14[[#This Row],[DIAS HABILES O MORA]]&lt;0,(Tabla14[[#This Row],[VALOR PRESTAMO]]*Tabla14[[#This Row],[% INTERES ]]/30*U1043))+Tabla14[[#This Row],[VALOR CUOTAS]]</f>
        <v>#VALUE!</v>
      </c>
      <c r="S1043" s="88">
        <f>-IF(Tabla14[[#This Row],[DIAS HABILES O MORA]]&lt;0,(Tabla14[[#This Row],[VALOR PRESTAMO]]*Tabla14[[#This Row],[% INTERES ]]/30*U1043))</f>
        <v>0</v>
      </c>
      <c r="T1043" s="53" t="e">
        <f>Tabla14[[#This Row],[DEUDA CAPITAL]]+Tabla14[[#This Row],[INTERES  CUOTA]]</f>
        <v>#NUM!</v>
      </c>
      <c r="U1043" s="61" t="str">
        <f t="shared" si="179"/>
        <v/>
      </c>
    </row>
    <row r="1044" spans="9:21" ht="24.75" customHeight="1" x14ac:dyDescent="0.35">
      <c r="I1044" s="42">
        <f t="shared" si="170"/>
        <v>0</v>
      </c>
      <c r="J1044" s="65" t="e">
        <f t="shared" si="171"/>
        <v>#NUM!</v>
      </c>
      <c r="K1044" s="83" t="e">
        <f t="shared" si="172"/>
        <v>#NUM!</v>
      </c>
      <c r="L1044" s="83">
        <f t="shared" si="173"/>
        <v>0</v>
      </c>
      <c r="M1044" s="110" t="str">
        <f t="shared" si="174"/>
        <v/>
      </c>
      <c r="N1044" s="51" t="str">
        <f t="shared" si="175"/>
        <v/>
      </c>
      <c r="O1044" s="52" t="str">
        <f t="shared" si="176"/>
        <v/>
      </c>
      <c r="P1044" s="88">
        <f t="shared" si="177"/>
        <v>0</v>
      </c>
      <c r="Q1044" s="88">
        <f t="shared" si="178"/>
        <v>0</v>
      </c>
      <c r="R1044" s="88" t="e">
        <f>-IF(Tabla14[[#This Row],[DIAS HABILES O MORA]]&lt;0,(Tabla14[[#This Row],[VALOR PRESTAMO]]*Tabla14[[#This Row],[% INTERES ]]/30*U1044))+Tabla14[[#This Row],[VALOR CUOTAS]]</f>
        <v>#VALUE!</v>
      </c>
      <c r="S1044" s="88">
        <f>-IF(Tabla14[[#This Row],[DIAS HABILES O MORA]]&lt;0,(Tabla14[[#This Row],[VALOR PRESTAMO]]*Tabla14[[#This Row],[% INTERES ]]/30*U1044))</f>
        <v>0</v>
      </c>
      <c r="T1044" s="53" t="e">
        <f>Tabla14[[#This Row],[DEUDA CAPITAL]]+Tabla14[[#This Row],[INTERES  CUOTA]]</f>
        <v>#NUM!</v>
      </c>
      <c r="U1044" s="61" t="str">
        <f t="shared" si="179"/>
        <v/>
      </c>
    </row>
    <row r="1045" spans="9:21" ht="24.75" customHeight="1" x14ac:dyDescent="0.35">
      <c r="I1045" s="42">
        <f t="shared" si="170"/>
        <v>0</v>
      </c>
      <c r="J1045" s="65" t="e">
        <f t="shared" si="171"/>
        <v>#NUM!</v>
      </c>
      <c r="K1045" s="83" t="e">
        <f t="shared" si="172"/>
        <v>#NUM!</v>
      </c>
      <c r="L1045" s="83">
        <f t="shared" si="173"/>
        <v>0</v>
      </c>
      <c r="M1045" s="110" t="str">
        <f t="shared" si="174"/>
        <v/>
      </c>
      <c r="N1045" s="51" t="str">
        <f t="shared" si="175"/>
        <v/>
      </c>
      <c r="O1045" s="52" t="str">
        <f t="shared" si="176"/>
        <v/>
      </c>
      <c r="P1045" s="88">
        <f t="shared" si="177"/>
        <v>0</v>
      </c>
      <c r="Q1045" s="88">
        <f t="shared" si="178"/>
        <v>0</v>
      </c>
      <c r="R1045" s="88" t="e">
        <f>-IF(Tabla14[[#This Row],[DIAS HABILES O MORA]]&lt;0,(Tabla14[[#This Row],[VALOR PRESTAMO]]*Tabla14[[#This Row],[% INTERES ]]/30*U1045))+Tabla14[[#This Row],[VALOR CUOTAS]]</f>
        <v>#VALUE!</v>
      </c>
      <c r="S1045" s="88">
        <f>-IF(Tabla14[[#This Row],[DIAS HABILES O MORA]]&lt;0,(Tabla14[[#This Row],[VALOR PRESTAMO]]*Tabla14[[#This Row],[% INTERES ]]/30*U1045))</f>
        <v>0</v>
      </c>
      <c r="T1045" s="53" t="e">
        <f>Tabla14[[#This Row],[DEUDA CAPITAL]]+Tabla14[[#This Row],[INTERES  CUOTA]]</f>
        <v>#NUM!</v>
      </c>
      <c r="U1045" s="61" t="str">
        <f t="shared" si="179"/>
        <v/>
      </c>
    </row>
    <row r="1046" spans="9:21" ht="24.75" customHeight="1" x14ac:dyDescent="0.35">
      <c r="I1046" s="42">
        <f t="shared" si="170"/>
        <v>0</v>
      </c>
      <c r="J1046" s="65" t="e">
        <f t="shared" si="171"/>
        <v>#NUM!</v>
      </c>
      <c r="K1046" s="83" t="e">
        <f t="shared" si="172"/>
        <v>#NUM!</v>
      </c>
      <c r="L1046" s="83">
        <f t="shared" si="173"/>
        <v>0</v>
      </c>
      <c r="M1046" s="110" t="str">
        <f t="shared" si="174"/>
        <v/>
      </c>
      <c r="N1046" s="51" t="str">
        <f t="shared" si="175"/>
        <v/>
      </c>
      <c r="O1046" s="52" t="str">
        <f t="shared" si="176"/>
        <v/>
      </c>
      <c r="P1046" s="88">
        <f t="shared" si="177"/>
        <v>0</v>
      </c>
      <c r="Q1046" s="88">
        <f t="shared" si="178"/>
        <v>0</v>
      </c>
      <c r="R1046" s="88" t="e">
        <f>-IF(Tabla14[[#This Row],[DIAS HABILES O MORA]]&lt;0,(Tabla14[[#This Row],[VALOR PRESTAMO]]*Tabla14[[#This Row],[% INTERES ]]/30*U1046))+Tabla14[[#This Row],[VALOR CUOTAS]]</f>
        <v>#VALUE!</v>
      </c>
      <c r="S1046" s="88">
        <f>-IF(Tabla14[[#This Row],[DIAS HABILES O MORA]]&lt;0,(Tabla14[[#This Row],[VALOR PRESTAMO]]*Tabla14[[#This Row],[% INTERES ]]/30*U1046))</f>
        <v>0</v>
      </c>
      <c r="T1046" s="53" t="e">
        <f>Tabla14[[#This Row],[DEUDA CAPITAL]]+Tabla14[[#This Row],[INTERES  CUOTA]]</f>
        <v>#NUM!</v>
      </c>
      <c r="U1046" s="61" t="str">
        <f t="shared" si="179"/>
        <v/>
      </c>
    </row>
    <row r="1047" spans="9:21" ht="24.75" customHeight="1" x14ac:dyDescent="0.35">
      <c r="I1047" s="42">
        <f t="shared" si="170"/>
        <v>0</v>
      </c>
      <c r="J1047" s="65" t="e">
        <f t="shared" si="171"/>
        <v>#NUM!</v>
      </c>
      <c r="K1047" s="83" t="e">
        <f t="shared" si="172"/>
        <v>#NUM!</v>
      </c>
      <c r="L1047" s="83">
        <f t="shared" si="173"/>
        <v>0</v>
      </c>
      <c r="M1047" s="110" t="str">
        <f t="shared" si="174"/>
        <v/>
      </c>
      <c r="N1047" s="51" t="str">
        <f t="shared" si="175"/>
        <v/>
      </c>
      <c r="O1047" s="52" t="str">
        <f t="shared" si="176"/>
        <v/>
      </c>
      <c r="P1047" s="88">
        <f t="shared" si="177"/>
        <v>0</v>
      </c>
      <c r="Q1047" s="88">
        <f t="shared" si="178"/>
        <v>0</v>
      </c>
      <c r="R1047" s="88" t="e">
        <f>-IF(Tabla14[[#This Row],[DIAS HABILES O MORA]]&lt;0,(Tabla14[[#This Row],[VALOR PRESTAMO]]*Tabla14[[#This Row],[% INTERES ]]/30*U1047))+Tabla14[[#This Row],[VALOR CUOTAS]]</f>
        <v>#VALUE!</v>
      </c>
      <c r="S1047" s="88">
        <f>-IF(Tabla14[[#This Row],[DIAS HABILES O MORA]]&lt;0,(Tabla14[[#This Row],[VALOR PRESTAMO]]*Tabla14[[#This Row],[% INTERES ]]/30*U1047))</f>
        <v>0</v>
      </c>
      <c r="T1047" s="53" t="e">
        <f>Tabla14[[#This Row],[DEUDA CAPITAL]]+Tabla14[[#This Row],[INTERES  CUOTA]]</f>
        <v>#NUM!</v>
      </c>
      <c r="U1047" s="61" t="str">
        <f t="shared" si="179"/>
        <v/>
      </c>
    </row>
    <row r="1048" spans="9:21" ht="24.75" customHeight="1" x14ac:dyDescent="0.35">
      <c r="I1048" s="42">
        <f t="shared" si="170"/>
        <v>0</v>
      </c>
      <c r="J1048" s="65" t="e">
        <f t="shared" si="171"/>
        <v>#NUM!</v>
      </c>
      <c r="K1048" s="83" t="e">
        <f t="shared" si="172"/>
        <v>#NUM!</v>
      </c>
      <c r="L1048" s="83">
        <f t="shared" si="173"/>
        <v>0</v>
      </c>
      <c r="M1048" s="110" t="str">
        <f t="shared" si="174"/>
        <v/>
      </c>
      <c r="N1048" s="51" t="str">
        <f t="shared" si="175"/>
        <v/>
      </c>
      <c r="O1048" s="52" t="str">
        <f t="shared" si="176"/>
        <v/>
      </c>
      <c r="P1048" s="88">
        <f t="shared" si="177"/>
        <v>0</v>
      </c>
      <c r="Q1048" s="88">
        <f t="shared" si="178"/>
        <v>0</v>
      </c>
      <c r="R1048" s="88" t="e">
        <f>-IF(Tabla14[[#This Row],[DIAS HABILES O MORA]]&lt;0,(Tabla14[[#This Row],[VALOR PRESTAMO]]*Tabla14[[#This Row],[% INTERES ]]/30*U1048))+Tabla14[[#This Row],[VALOR CUOTAS]]</f>
        <v>#VALUE!</v>
      </c>
      <c r="S1048" s="88">
        <f>-IF(Tabla14[[#This Row],[DIAS HABILES O MORA]]&lt;0,(Tabla14[[#This Row],[VALOR PRESTAMO]]*Tabla14[[#This Row],[% INTERES ]]/30*U1048))</f>
        <v>0</v>
      </c>
      <c r="T1048" s="53" t="e">
        <f>Tabla14[[#This Row],[DEUDA CAPITAL]]+Tabla14[[#This Row],[INTERES  CUOTA]]</f>
        <v>#NUM!</v>
      </c>
      <c r="U1048" s="61" t="str">
        <f t="shared" si="179"/>
        <v/>
      </c>
    </row>
    <row r="1049" spans="9:21" ht="24.75" customHeight="1" x14ac:dyDescent="0.35">
      <c r="I1049" s="42">
        <f t="shared" si="170"/>
        <v>0</v>
      </c>
      <c r="J1049" s="65" t="e">
        <f t="shared" si="171"/>
        <v>#NUM!</v>
      </c>
      <c r="K1049" s="83" t="e">
        <f t="shared" si="172"/>
        <v>#NUM!</v>
      </c>
      <c r="L1049" s="83">
        <f t="shared" si="173"/>
        <v>0</v>
      </c>
      <c r="M1049" s="110" t="str">
        <f t="shared" si="174"/>
        <v/>
      </c>
      <c r="N1049" s="51" t="str">
        <f t="shared" si="175"/>
        <v/>
      </c>
      <c r="O1049" s="52" t="str">
        <f t="shared" si="176"/>
        <v/>
      </c>
      <c r="P1049" s="88">
        <f t="shared" si="177"/>
        <v>0</v>
      </c>
      <c r="Q1049" s="88">
        <f t="shared" si="178"/>
        <v>0</v>
      </c>
      <c r="R1049" s="88" t="e">
        <f>-IF(Tabla14[[#This Row],[DIAS HABILES O MORA]]&lt;0,(Tabla14[[#This Row],[VALOR PRESTAMO]]*Tabla14[[#This Row],[% INTERES ]]/30*U1049))+Tabla14[[#This Row],[VALOR CUOTAS]]</f>
        <v>#VALUE!</v>
      </c>
      <c r="S1049" s="88">
        <f>-IF(Tabla14[[#This Row],[DIAS HABILES O MORA]]&lt;0,(Tabla14[[#This Row],[VALOR PRESTAMO]]*Tabla14[[#This Row],[% INTERES ]]/30*U1049))</f>
        <v>0</v>
      </c>
      <c r="T1049" s="53" t="e">
        <f>Tabla14[[#This Row],[DEUDA CAPITAL]]+Tabla14[[#This Row],[INTERES  CUOTA]]</f>
        <v>#NUM!</v>
      </c>
      <c r="U1049" s="61" t="str">
        <f t="shared" si="179"/>
        <v/>
      </c>
    </row>
    <row r="1050" spans="9:21" ht="24.75" customHeight="1" x14ac:dyDescent="0.35">
      <c r="I1050" s="42">
        <f t="shared" si="170"/>
        <v>0</v>
      </c>
      <c r="J1050" s="65" t="e">
        <f t="shared" si="171"/>
        <v>#NUM!</v>
      </c>
      <c r="K1050" s="83" t="e">
        <f t="shared" si="172"/>
        <v>#NUM!</v>
      </c>
      <c r="L1050" s="83">
        <f t="shared" si="173"/>
        <v>0</v>
      </c>
      <c r="M1050" s="110" t="str">
        <f t="shared" si="174"/>
        <v/>
      </c>
      <c r="N1050" s="51" t="str">
        <f t="shared" si="175"/>
        <v/>
      </c>
      <c r="O1050" s="52" t="str">
        <f t="shared" si="176"/>
        <v/>
      </c>
      <c r="P1050" s="88">
        <f t="shared" si="177"/>
        <v>0</v>
      </c>
      <c r="Q1050" s="88">
        <f t="shared" si="178"/>
        <v>0</v>
      </c>
      <c r="R1050" s="88" t="e">
        <f>-IF(Tabla14[[#This Row],[DIAS HABILES O MORA]]&lt;0,(Tabla14[[#This Row],[VALOR PRESTAMO]]*Tabla14[[#This Row],[% INTERES ]]/30*U1050))+Tabla14[[#This Row],[VALOR CUOTAS]]</f>
        <v>#VALUE!</v>
      </c>
      <c r="S1050" s="88">
        <f>-IF(Tabla14[[#This Row],[DIAS HABILES O MORA]]&lt;0,(Tabla14[[#This Row],[VALOR PRESTAMO]]*Tabla14[[#This Row],[% INTERES ]]/30*U1050))</f>
        <v>0</v>
      </c>
      <c r="T1050" s="53" t="e">
        <f>Tabla14[[#This Row],[DEUDA CAPITAL]]+Tabla14[[#This Row],[INTERES  CUOTA]]</f>
        <v>#NUM!</v>
      </c>
      <c r="U1050" s="61" t="str">
        <f t="shared" si="179"/>
        <v/>
      </c>
    </row>
    <row r="1051" spans="9:21" ht="24.75" customHeight="1" x14ac:dyDescent="0.35">
      <c r="I1051" s="42">
        <f t="shared" si="170"/>
        <v>0</v>
      </c>
      <c r="J1051" s="65" t="e">
        <f t="shared" si="171"/>
        <v>#NUM!</v>
      </c>
      <c r="K1051" s="83" t="e">
        <f t="shared" si="172"/>
        <v>#NUM!</v>
      </c>
      <c r="L1051" s="83">
        <f t="shared" si="173"/>
        <v>0</v>
      </c>
      <c r="M1051" s="110" t="str">
        <f t="shared" si="174"/>
        <v/>
      </c>
      <c r="N1051" s="51" t="str">
        <f t="shared" si="175"/>
        <v/>
      </c>
      <c r="O1051" s="52" t="str">
        <f t="shared" si="176"/>
        <v/>
      </c>
      <c r="P1051" s="88">
        <f t="shared" si="177"/>
        <v>0</v>
      </c>
      <c r="Q1051" s="88">
        <f t="shared" si="178"/>
        <v>0</v>
      </c>
      <c r="R1051" s="88" t="e">
        <f>-IF(Tabla14[[#This Row],[DIAS HABILES O MORA]]&lt;0,(Tabla14[[#This Row],[VALOR PRESTAMO]]*Tabla14[[#This Row],[% INTERES ]]/30*U1051))+Tabla14[[#This Row],[VALOR CUOTAS]]</f>
        <v>#VALUE!</v>
      </c>
      <c r="S1051" s="88">
        <f>-IF(Tabla14[[#This Row],[DIAS HABILES O MORA]]&lt;0,(Tabla14[[#This Row],[VALOR PRESTAMO]]*Tabla14[[#This Row],[% INTERES ]]/30*U1051))</f>
        <v>0</v>
      </c>
      <c r="T1051" s="53" t="e">
        <f>Tabla14[[#This Row],[DEUDA CAPITAL]]+Tabla14[[#This Row],[INTERES  CUOTA]]</f>
        <v>#NUM!</v>
      </c>
      <c r="U1051" s="61" t="str">
        <f t="shared" si="179"/>
        <v/>
      </c>
    </row>
    <row r="1052" spans="9:21" ht="24.75" customHeight="1" x14ac:dyDescent="0.35">
      <c r="I1052" s="42">
        <f t="shared" si="170"/>
        <v>0</v>
      </c>
      <c r="J1052" s="65" t="e">
        <f t="shared" si="171"/>
        <v>#NUM!</v>
      </c>
      <c r="K1052" s="83" t="e">
        <f t="shared" si="172"/>
        <v>#NUM!</v>
      </c>
      <c r="L1052" s="83">
        <f t="shared" si="173"/>
        <v>0</v>
      </c>
      <c r="M1052" s="110" t="str">
        <f t="shared" si="174"/>
        <v/>
      </c>
      <c r="N1052" s="51" t="str">
        <f t="shared" si="175"/>
        <v/>
      </c>
      <c r="O1052" s="52" t="str">
        <f t="shared" si="176"/>
        <v/>
      </c>
      <c r="P1052" s="88">
        <f t="shared" si="177"/>
        <v>0</v>
      </c>
      <c r="Q1052" s="88">
        <f t="shared" si="178"/>
        <v>0</v>
      </c>
      <c r="R1052" s="88" t="e">
        <f>-IF(Tabla14[[#This Row],[DIAS HABILES O MORA]]&lt;0,(Tabla14[[#This Row],[VALOR PRESTAMO]]*Tabla14[[#This Row],[% INTERES ]]/30*U1052))+Tabla14[[#This Row],[VALOR CUOTAS]]</f>
        <v>#VALUE!</v>
      </c>
      <c r="S1052" s="88">
        <f>-IF(Tabla14[[#This Row],[DIAS HABILES O MORA]]&lt;0,(Tabla14[[#This Row],[VALOR PRESTAMO]]*Tabla14[[#This Row],[% INTERES ]]/30*U1052))</f>
        <v>0</v>
      </c>
      <c r="T1052" s="53" t="e">
        <f>Tabla14[[#This Row],[DEUDA CAPITAL]]+Tabla14[[#This Row],[INTERES  CUOTA]]</f>
        <v>#NUM!</v>
      </c>
      <c r="U1052" s="61" t="str">
        <f t="shared" si="179"/>
        <v/>
      </c>
    </row>
    <row r="1053" spans="9:21" ht="24.75" customHeight="1" x14ac:dyDescent="0.35">
      <c r="I1053" s="42">
        <f t="shared" si="170"/>
        <v>0</v>
      </c>
      <c r="J1053" s="65" t="e">
        <f t="shared" si="171"/>
        <v>#NUM!</v>
      </c>
      <c r="K1053" s="83" t="e">
        <f t="shared" si="172"/>
        <v>#NUM!</v>
      </c>
      <c r="L1053" s="83">
        <f t="shared" si="173"/>
        <v>0</v>
      </c>
      <c r="M1053" s="110" t="str">
        <f t="shared" si="174"/>
        <v/>
      </c>
      <c r="N1053" s="51" t="str">
        <f t="shared" si="175"/>
        <v/>
      </c>
      <c r="O1053" s="52" t="str">
        <f t="shared" si="176"/>
        <v/>
      </c>
      <c r="P1053" s="88">
        <f t="shared" si="177"/>
        <v>0</v>
      </c>
      <c r="Q1053" s="88">
        <f t="shared" si="178"/>
        <v>0</v>
      </c>
      <c r="R1053" s="88" t="e">
        <f>-IF(Tabla14[[#This Row],[DIAS HABILES O MORA]]&lt;0,(Tabla14[[#This Row],[VALOR PRESTAMO]]*Tabla14[[#This Row],[% INTERES ]]/30*U1053))+Tabla14[[#This Row],[VALOR CUOTAS]]</f>
        <v>#VALUE!</v>
      </c>
      <c r="S1053" s="88">
        <f>-IF(Tabla14[[#This Row],[DIAS HABILES O MORA]]&lt;0,(Tabla14[[#This Row],[VALOR PRESTAMO]]*Tabla14[[#This Row],[% INTERES ]]/30*U1053))</f>
        <v>0</v>
      </c>
      <c r="T1053" s="53" t="e">
        <f>Tabla14[[#This Row],[DEUDA CAPITAL]]+Tabla14[[#This Row],[INTERES  CUOTA]]</f>
        <v>#NUM!</v>
      </c>
      <c r="U1053" s="61" t="str">
        <f t="shared" si="179"/>
        <v/>
      </c>
    </row>
    <row r="1054" spans="9:21" ht="24.75" customHeight="1" x14ac:dyDescent="0.35">
      <c r="I1054" s="42">
        <f t="shared" si="170"/>
        <v>0</v>
      </c>
      <c r="J1054" s="65" t="e">
        <f t="shared" si="171"/>
        <v>#NUM!</v>
      </c>
      <c r="K1054" s="83" t="e">
        <f t="shared" si="172"/>
        <v>#NUM!</v>
      </c>
      <c r="L1054" s="83">
        <f t="shared" si="173"/>
        <v>0</v>
      </c>
      <c r="M1054" s="110" t="str">
        <f t="shared" si="174"/>
        <v/>
      </c>
      <c r="N1054" s="51" t="str">
        <f t="shared" si="175"/>
        <v/>
      </c>
      <c r="O1054" s="52" t="str">
        <f t="shared" si="176"/>
        <v/>
      </c>
      <c r="P1054" s="88">
        <f t="shared" si="177"/>
        <v>0</v>
      </c>
      <c r="Q1054" s="88">
        <f t="shared" si="178"/>
        <v>0</v>
      </c>
      <c r="R1054" s="88" t="e">
        <f>-IF(Tabla14[[#This Row],[DIAS HABILES O MORA]]&lt;0,(Tabla14[[#This Row],[VALOR PRESTAMO]]*Tabla14[[#This Row],[% INTERES ]]/30*U1054))+Tabla14[[#This Row],[VALOR CUOTAS]]</f>
        <v>#VALUE!</v>
      </c>
      <c r="S1054" s="88">
        <f>-IF(Tabla14[[#This Row],[DIAS HABILES O MORA]]&lt;0,(Tabla14[[#This Row],[VALOR PRESTAMO]]*Tabla14[[#This Row],[% INTERES ]]/30*U1054))</f>
        <v>0</v>
      </c>
      <c r="T1054" s="53" t="e">
        <f>Tabla14[[#This Row],[DEUDA CAPITAL]]+Tabla14[[#This Row],[INTERES  CUOTA]]</f>
        <v>#NUM!</v>
      </c>
      <c r="U1054" s="61" t="str">
        <f t="shared" si="179"/>
        <v/>
      </c>
    </row>
    <row r="1055" spans="9:21" ht="24.75" customHeight="1" x14ac:dyDescent="0.35">
      <c r="I1055" s="42">
        <f t="shared" si="170"/>
        <v>0</v>
      </c>
      <c r="J1055" s="65" t="e">
        <f t="shared" si="171"/>
        <v>#NUM!</v>
      </c>
      <c r="K1055" s="83" t="e">
        <f t="shared" si="172"/>
        <v>#NUM!</v>
      </c>
      <c r="L1055" s="83">
        <f t="shared" si="173"/>
        <v>0</v>
      </c>
      <c r="M1055" s="110" t="str">
        <f t="shared" si="174"/>
        <v/>
      </c>
      <c r="N1055" s="51" t="str">
        <f t="shared" si="175"/>
        <v/>
      </c>
      <c r="O1055" s="52" t="str">
        <f t="shared" si="176"/>
        <v/>
      </c>
      <c r="P1055" s="88">
        <f t="shared" si="177"/>
        <v>0</v>
      </c>
      <c r="Q1055" s="88">
        <f t="shared" si="178"/>
        <v>0</v>
      </c>
      <c r="R1055" s="88" t="e">
        <f>-IF(Tabla14[[#This Row],[DIAS HABILES O MORA]]&lt;0,(Tabla14[[#This Row],[VALOR PRESTAMO]]*Tabla14[[#This Row],[% INTERES ]]/30*U1055))+Tabla14[[#This Row],[VALOR CUOTAS]]</f>
        <v>#VALUE!</v>
      </c>
      <c r="S1055" s="88">
        <f>-IF(Tabla14[[#This Row],[DIAS HABILES O MORA]]&lt;0,(Tabla14[[#This Row],[VALOR PRESTAMO]]*Tabla14[[#This Row],[% INTERES ]]/30*U1055))</f>
        <v>0</v>
      </c>
      <c r="T1055" s="53" t="e">
        <f>Tabla14[[#This Row],[DEUDA CAPITAL]]+Tabla14[[#This Row],[INTERES  CUOTA]]</f>
        <v>#NUM!</v>
      </c>
      <c r="U1055" s="61" t="str">
        <f t="shared" si="179"/>
        <v/>
      </c>
    </row>
    <row r="1056" spans="9:21" ht="24.75" customHeight="1" x14ac:dyDescent="0.35">
      <c r="I1056" s="42">
        <f t="shared" si="170"/>
        <v>0</v>
      </c>
      <c r="J1056" s="65" t="e">
        <f t="shared" si="171"/>
        <v>#NUM!</v>
      </c>
      <c r="K1056" s="83" t="e">
        <f t="shared" si="172"/>
        <v>#NUM!</v>
      </c>
      <c r="L1056" s="83">
        <f t="shared" si="173"/>
        <v>0</v>
      </c>
      <c r="M1056" s="110" t="str">
        <f t="shared" si="174"/>
        <v/>
      </c>
      <c r="N1056" s="51" t="str">
        <f t="shared" si="175"/>
        <v/>
      </c>
      <c r="O1056" s="52" t="str">
        <f t="shared" si="176"/>
        <v/>
      </c>
      <c r="P1056" s="88">
        <f t="shared" si="177"/>
        <v>0</v>
      </c>
      <c r="Q1056" s="88">
        <f t="shared" si="178"/>
        <v>0</v>
      </c>
      <c r="R1056" s="88" t="e">
        <f>-IF(Tabla14[[#This Row],[DIAS HABILES O MORA]]&lt;0,(Tabla14[[#This Row],[VALOR PRESTAMO]]*Tabla14[[#This Row],[% INTERES ]]/30*U1056))+Tabla14[[#This Row],[VALOR CUOTAS]]</f>
        <v>#VALUE!</v>
      </c>
      <c r="S1056" s="88">
        <f>-IF(Tabla14[[#This Row],[DIAS HABILES O MORA]]&lt;0,(Tabla14[[#This Row],[VALOR PRESTAMO]]*Tabla14[[#This Row],[% INTERES ]]/30*U1056))</f>
        <v>0</v>
      </c>
      <c r="T1056" s="53" t="e">
        <f>Tabla14[[#This Row],[DEUDA CAPITAL]]+Tabla14[[#This Row],[INTERES  CUOTA]]</f>
        <v>#NUM!</v>
      </c>
      <c r="U1056" s="61" t="str">
        <f t="shared" si="179"/>
        <v/>
      </c>
    </row>
    <row r="1057" spans="9:21" ht="24.75" customHeight="1" x14ac:dyDescent="0.35">
      <c r="I1057" s="42">
        <f t="shared" si="170"/>
        <v>0</v>
      </c>
      <c r="J1057" s="65" t="e">
        <f t="shared" si="171"/>
        <v>#NUM!</v>
      </c>
      <c r="K1057" s="83" t="e">
        <f t="shared" si="172"/>
        <v>#NUM!</v>
      </c>
      <c r="L1057" s="83">
        <f t="shared" si="173"/>
        <v>0</v>
      </c>
      <c r="M1057" s="110" t="str">
        <f t="shared" si="174"/>
        <v/>
      </c>
      <c r="N1057" s="51" t="str">
        <f t="shared" si="175"/>
        <v/>
      </c>
      <c r="O1057" s="52" t="str">
        <f t="shared" si="176"/>
        <v/>
      </c>
      <c r="P1057" s="88">
        <f t="shared" si="177"/>
        <v>0</v>
      </c>
      <c r="Q1057" s="88">
        <f t="shared" si="178"/>
        <v>0</v>
      </c>
      <c r="R1057" s="88" t="e">
        <f>-IF(Tabla14[[#This Row],[DIAS HABILES O MORA]]&lt;0,(Tabla14[[#This Row],[VALOR PRESTAMO]]*Tabla14[[#This Row],[% INTERES ]]/30*U1057))+Tabla14[[#This Row],[VALOR CUOTAS]]</f>
        <v>#VALUE!</v>
      </c>
      <c r="S1057" s="88">
        <f>-IF(Tabla14[[#This Row],[DIAS HABILES O MORA]]&lt;0,(Tabla14[[#This Row],[VALOR PRESTAMO]]*Tabla14[[#This Row],[% INTERES ]]/30*U1057))</f>
        <v>0</v>
      </c>
      <c r="T1057" s="53" t="e">
        <f>Tabla14[[#This Row],[DEUDA CAPITAL]]+Tabla14[[#This Row],[INTERES  CUOTA]]</f>
        <v>#NUM!</v>
      </c>
      <c r="U1057" s="61" t="str">
        <f t="shared" si="179"/>
        <v/>
      </c>
    </row>
    <row r="1058" spans="9:21" ht="24.75" customHeight="1" x14ac:dyDescent="0.35">
      <c r="I1058" s="42">
        <f t="shared" si="170"/>
        <v>0</v>
      </c>
      <c r="J1058" s="65" t="e">
        <f t="shared" si="171"/>
        <v>#NUM!</v>
      </c>
      <c r="K1058" s="83" t="e">
        <f t="shared" si="172"/>
        <v>#NUM!</v>
      </c>
      <c r="L1058" s="83">
        <f t="shared" si="173"/>
        <v>0</v>
      </c>
      <c r="M1058" s="110" t="str">
        <f t="shared" si="174"/>
        <v/>
      </c>
      <c r="N1058" s="51" t="str">
        <f t="shared" si="175"/>
        <v/>
      </c>
      <c r="O1058" s="52" t="str">
        <f t="shared" si="176"/>
        <v/>
      </c>
      <c r="P1058" s="88">
        <f t="shared" si="177"/>
        <v>0</v>
      </c>
      <c r="Q1058" s="88">
        <f t="shared" si="178"/>
        <v>0</v>
      </c>
      <c r="R1058" s="88" t="e">
        <f>-IF(Tabla14[[#This Row],[DIAS HABILES O MORA]]&lt;0,(Tabla14[[#This Row],[VALOR PRESTAMO]]*Tabla14[[#This Row],[% INTERES ]]/30*U1058))+Tabla14[[#This Row],[VALOR CUOTAS]]</f>
        <v>#VALUE!</v>
      </c>
      <c r="S1058" s="88">
        <f>-IF(Tabla14[[#This Row],[DIAS HABILES O MORA]]&lt;0,(Tabla14[[#This Row],[VALOR PRESTAMO]]*Tabla14[[#This Row],[% INTERES ]]/30*U1058))</f>
        <v>0</v>
      </c>
      <c r="T1058" s="53" t="e">
        <f>Tabla14[[#This Row],[DEUDA CAPITAL]]+Tabla14[[#This Row],[INTERES  CUOTA]]</f>
        <v>#NUM!</v>
      </c>
      <c r="U1058" s="61" t="str">
        <f t="shared" si="179"/>
        <v/>
      </c>
    </row>
    <row r="1059" spans="9:21" ht="24.75" customHeight="1" x14ac:dyDescent="0.35">
      <c r="I1059" s="42">
        <f t="shared" si="170"/>
        <v>0</v>
      </c>
      <c r="J1059" s="65" t="e">
        <f t="shared" si="171"/>
        <v>#NUM!</v>
      </c>
      <c r="K1059" s="83" t="e">
        <f t="shared" si="172"/>
        <v>#NUM!</v>
      </c>
      <c r="L1059" s="83">
        <f t="shared" si="173"/>
        <v>0</v>
      </c>
      <c r="M1059" s="110" t="str">
        <f t="shared" si="174"/>
        <v/>
      </c>
      <c r="N1059" s="51" t="str">
        <f t="shared" si="175"/>
        <v/>
      </c>
      <c r="O1059" s="52" t="str">
        <f t="shared" si="176"/>
        <v/>
      </c>
      <c r="P1059" s="88">
        <f t="shared" si="177"/>
        <v>0</v>
      </c>
      <c r="Q1059" s="88">
        <f t="shared" si="178"/>
        <v>0</v>
      </c>
      <c r="R1059" s="88" t="e">
        <f>-IF(Tabla14[[#This Row],[DIAS HABILES O MORA]]&lt;0,(Tabla14[[#This Row],[VALOR PRESTAMO]]*Tabla14[[#This Row],[% INTERES ]]/30*U1059))+Tabla14[[#This Row],[VALOR CUOTAS]]</f>
        <v>#VALUE!</v>
      </c>
      <c r="S1059" s="88">
        <f>-IF(Tabla14[[#This Row],[DIAS HABILES O MORA]]&lt;0,(Tabla14[[#This Row],[VALOR PRESTAMO]]*Tabla14[[#This Row],[% INTERES ]]/30*U1059))</f>
        <v>0</v>
      </c>
      <c r="T1059" s="53" t="e">
        <f>Tabla14[[#This Row],[DEUDA CAPITAL]]+Tabla14[[#This Row],[INTERES  CUOTA]]</f>
        <v>#NUM!</v>
      </c>
      <c r="U1059" s="61" t="str">
        <f t="shared" si="179"/>
        <v/>
      </c>
    </row>
    <row r="1060" spans="9:21" ht="24.75" customHeight="1" x14ac:dyDescent="0.35">
      <c r="I1060" s="42">
        <f t="shared" si="170"/>
        <v>0</v>
      </c>
      <c r="J1060" s="65" t="e">
        <f t="shared" si="171"/>
        <v>#NUM!</v>
      </c>
      <c r="K1060" s="83" t="e">
        <f t="shared" si="172"/>
        <v>#NUM!</v>
      </c>
      <c r="L1060" s="83">
        <f t="shared" si="173"/>
        <v>0</v>
      </c>
      <c r="M1060" s="110" t="str">
        <f t="shared" si="174"/>
        <v/>
      </c>
      <c r="N1060" s="51" t="str">
        <f t="shared" si="175"/>
        <v/>
      </c>
      <c r="O1060" s="52" t="str">
        <f t="shared" si="176"/>
        <v/>
      </c>
      <c r="P1060" s="88">
        <f t="shared" si="177"/>
        <v>0</v>
      </c>
      <c r="Q1060" s="88">
        <f t="shared" si="178"/>
        <v>0</v>
      </c>
      <c r="R1060" s="88" t="e">
        <f>-IF(Tabla14[[#This Row],[DIAS HABILES O MORA]]&lt;0,(Tabla14[[#This Row],[VALOR PRESTAMO]]*Tabla14[[#This Row],[% INTERES ]]/30*U1060))+Tabla14[[#This Row],[VALOR CUOTAS]]</f>
        <v>#VALUE!</v>
      </c>
      <c r="S1060" s="88">
        <f>-IF(Tabla14[[#This Row],[DIAS HABILES O MORA]]&lt;0,(Tabla14[[#This Row],[VALOR PRESTAMO]]*Tabla14[[#This Row],[% INTERES ]]/30*U1060))</f>
        <v>0</v>
      </c>
      <c r="T1060" s="53" t="e">
        <f>Tabla14[[#This Row],[DEUDA CAPITAL]]+Tabla14[[#This Row],[INTERES  CUOTA]]</f>
        <v>#NUM!</v>
      </c>
      <c r="U1060" s="61" t="str">
        <f t="shared" si="179"/>
        <v/>
      </c>
    </row>
    <row r="1061" spans="9:21" ht="24.75" customHeight="1" x14ac:dyDescent="0.35">
      <c r="I1061" s="42">
        <f t="shared" si="170"/>
        <v>0</v>
      </c>
      <c r="J1061" s="65" t="e">
        <f t="shared" si="171"/>
        <v>#NUM!</v>
      </c>
      <c r="K1061" s="83" t="e">
        <f t="shared" si="172"/>
        <v>#NUM!</v>
      </c>
      <c r="L1061" s="83">
        <f t="shared" si="173"/>
        <v>0</v>
      </c>
      <c r="M1061" s="110" t="str">
        <f t="shared" si="174"/>
        <v/>
      </c>
      <c r="N1061" s="51" t="str">
        <f t="shared" si="175"/>
        <v/>
      </c>
      <c r="O1061" s="52" t="str">
        <f t="shared" si="176"/>
        <v/>
      </c>
      <c r="P1061" s="88">
        <f t="shared" si="177"/>
        <v>0</v>
      </c>
      <c r="Q1061" s="88">
        <f t="shared" si="178"/>
        <v>0</v>
      </c>
      <c r="R1061" s="88" t="e">
        <f>-IF(Tabla14[[#This Row],[DIAS HABILES O MORA]]&lt;0,(Tabla14[[#This Row],[VALOR PRESTAMO]]*Tabla14[[#This Row],[% INTERES ]]/30*U1061))+Tabla14[[#This Row],[VALOR CUOTAS]]</f>
        <v>#VALUE!</v>
      </c>
      <c r="S1061" s="88">
        <f>-IF(Tabla14[[#This Row],[DIAS HABILES O MORA]]&lt;0,(Tabla14[[#This Row],[VALOR PRESTAMO]]*Tabla14[[#This Row],[% INTERES ]]/30*U1061))</f>
        <v>0</v>
      </c>
      <c r="T1061" s="53" t="e">
        <f>Tabla14[[#This Row],[DEUDA CAPITAL]]+Tabla14[[#This Row],[INTERES  CUOTA]]</f>
        <v>#NUM!</v>
      </c>
      <c r="U1061" s="61" t="str">
        <f t="shared" si="179"/>
        <v/>
      </c>
    </row>
    <row r="1062" spans="9:21" ht="24.75" customHeight="1" x14ac:dyDescent="0.35">
      <c r="I1062" s="42">
        <f t="shared" si="170"/>
        <v>0</v>
      </c>
      <c r="J1062" s="65" t="e">
        <f t="shared" si="171"/>
        <v>#NUM!</v>
      </c>
      <c r="K1062" s="83" t="e">
        <f t="shared" si="172"/>
        <v>#NUM!</v>
      </c>
      <c r="L1062" s="83">
        <f t="shared" si="173"/>
        <v>0</v>
      </c>
      <c r="M1062" s="110" t="str">
        <f t="shared" si="174"/>
        <v/>
      </c>
      <c r="N1062" s="51" t="str">
        <f t="shared" si="175"/>
        <v/>
      </c>
      <c r="O1062" s="52" t="str">
        <f t="shared" si="176"/>
        <v/>
      </c>
      <c r="P1062" s="88">
        <f t="shared" si="177"/>
        <v>0</v>
      </c>
      <c r="Q1062" s="88">
        <f t="shared" si="178"/>
        <v>0</v>
      </c>
      <c r="R1062" s="88" t="e">
        <f>-IF(Tabla14[[#This Row],[DIAS HABILES O MORA]]&lt;0,(Tabla14[[#This Row],[VALOR PRESTAMO]]*Tabla14[[#This Row],[% INTERES ]]/30*U1062))+Tabla14[[#This Row],[VALOR CUOTAS]]</f>
        <v>#VALUE!</v>
      </c>
      <c r="S1062" s="88">
        <f>-IF(Tabla14[[#This Row],[DIAS HABILES O MORA]]&lt;0,(Tabla14[[#This Row],[VALOR PRESTAMO]]*Tabla14[[#This Row],[% INTERES ]]/30*U1062))</f>
        <v>0</v>
      </c>
      <c r="T1062" s="53" t="e">
        <f>Tabla14[[#This Row],[DEUDA CAPITAL]]+Tabla14[[#This Row],[INTERES  CUOTA]]</f>
        <v>#NUM!</v>
      </c>
      <c r="U1062" s="61" t="str">
        <f t="shared" si="179"/>
        <v/>
      </c>
    </row>
    <row r="1063" spans="9:21" ht="24.75" customHeight="1" x14ac:dyDescent="0.35">
      <c r="I1063" s="42">
        <f t="shared" si="170"/>
        <v>0</v>
      </c>
      <c r="J1063" s="65" t="e">
        <f t="shared" si="171"/>
        <v>#NUM!</v>
      </c>
      <c r="K1063" s="83" t="e">
        <f t="shared" si="172"/>
        <v>#NUM!</v>
      </c>
      <c r="L1063" s="83">
        <f t="shared" si="173"/>
        <v>0</v>
      </c>
      <c r="M1063" s="110" t="str">
        <f t="shared" si="174"/>
        <v/>
      </c>
      <c r="N1063" s="51" t="str">
        <f t="shared" si="175"/>
        <v/>
      </c>
      <c r="O1063" s="52" t="str">
        <f t="shared" si="176"/>
        <v/>
      </c>
      <c r="P1063" s="88">
        <f t="shared" si="177"/>
        <v>0</v>
      </c>
      <c r="Q1063" s="88">
        <f t="shared" si="178"/>
        <v>0</v>
      </c>
      <c r="R1063" s="88" t="e">
        <f>-IF(Tabla14[[#This Row],[DIAS HABILES O MORA]]&lt;0,(Tabla14[[#This Row],[VALOR PRESTAMO]]*Tabla14[[#This Row],[% INTERES ]]/30*U1063))+Tabla14[[#This Row],[VALOR CUOTAS]]</f>
        <v>#VALUE!</v>
      </c>
      <c r="S1063" s="88">
        <f>-IF(Tabla14[[#This Row],[DIAS HABILES O MORA]]&lt;0,(Tabla14[[#This Row],[VALOR PRESTAMO]]*Tabla14[[#This Row],[% INTERES ]]/30*U1063))</f>
        <v>0</v>
      </c>
      <c r="T1063" s="53" t="e">
        <f>Tabla14[[#This Row],[DEUDA CAPITAL]]+Tabla14[[#This Row],[INTERES  CUOTA]]</f>
        <v>#NUM!</v>
      </c>
      <c r="U1063" s="61" t="str">
        <f t="shared" si="179"/>
        <v/>
      </c>
    </row>
    <row r="1064" spans="9:21" ht="24.75" customHeight="1" x14ac:dyDescent="0.35">
      <c r="I1064" s="42">
        <f t="shared" si="170"/>
        <v>0</v>
      </c>
      <c r="J1064" s="65" t="e">
        <f t="shared" si="171"/>
        <v>#NUM!</v>
      </c>
      <c r="K1064" s="83" t="e">
        <f t="shared" si="172"/>
        <v>#NUM!</v>
      </c>
      <c r="L1064" s="83">
        <f t="shared" si="173"/>
        <v>0</v>
      </c>
      <c r="M1064" s="110" t="str">
        <f t="shared" si="174"/>
        <v/>
      </c>
      <c r="N1064" s="51" t="str">
        <f t="shared" si="175"/>
        <v/>
      </c>
      <c r="O1064" s="52" t="str">
        <f t="shared" si="176"/>
        <v/>
      </c>
      <c r="P1064" s="88">
        <f t="shared" si="177"/>
        <v>0</v>
      </c>
      <c r="Q1064" s="88">
        <f t="shared" si="178"/>
        <v>0</v>
      </c>
      <c r="R1064" s="88" t="e">
        <f>-IF(Tabla14[[#This Row],[DIAS HABILES O MORA]]&lt;0,(Tabla14[[#This Row],[VALOR PRESTAMO]]*Tabla14[[#This Row],[% INTERES ]]/30*U1064))+Tabla14[[#This Row],[VALOR CUOTAS]]</f>
        <v>#VALUE!</v>
      </c>
      <c r="S1064" s="88">
        <f>-IF(Tabla14[[#This Row],[DIAS HABILES O MORA]]&lt;0,(Tabla14[[#This Row],[VALOR PRESTAMO]]*Tabla14[[#This Row],[% INTERES ]]/30*U1064))</f>
        <v>0</v>
      </c>
      <c r="T1064" s="53" t="e">
        <f>Tabla14[[#This Row],[DEUDA CAPITAL]]+Tabla14[[#This Row],[INTERES  CUOTA]]</f>
        <v>#NUM!</v>
      </c>
      <c r="U1064" s="61" t="str">
        <f t="shared" si="179"/>
        <v/>
      </c>
    </row>
    <row r="1065" spans="9:21" ht="24.75" customHeight="1" x14ac:dyDescent="0.35">
      <c r="I1065" s="42">
        <f t="shared" si="170"/>
        <v>0</v>
      </c>
      <c r="J1065" s="65" t="e">
        <f t="shared" si="171"/>
        <v>#NUM!</v>
      </c>
      <c r="K1065" s="83" t="e">
        <f t="shared" si="172"/>
        <v>#NUM!</v>
      </c>
      <c r="L1065" s="83">
        <f t="shared" si="173"/>
        <v>0</v>
      </c>
      <c r="M1065" s="110" t="str">
        <f t="shared" si="174"/>
        <v/>
      </c>
      <c r="N1065" s="51" t="str">
        <f t="shared" si="175"/>
        <v/>
      </c>
      <c r="O1065" s="52" t="str">
        <f t="shared" si="176"/>
        <v/>
      </c>
      <c r="P1065" s="88">
        <f t="shared" si="177"/>
        <v>0</v>
      </c>
      <c r="Q1065" s="88">
        <f t="shared" si="178"/>
        <v>0</v>
      </c>
      <c r="R1065" s="88" t="e">
        <f>-IF(Tabla14[[#This Row],[DIAS HABILES O MORA]]&lt;0,(Tabla14[[#This Row],[VALOR PRESTAMO]]*Tabla14[[#This Row],[% INTERES ]]/30*U1065))+Tabla14[[#This Row],[VALOR CUOTAS]]</f>
        <v>#VALUE!</v>
      </c>
      <c r="S1065" s="88">
        <f>-IF(Tabla14[[#This Row],[DIAS HABILES O MORA]]&lt;0,(Tabla14[[#This Row],[VALOR PRESTAMO]]*Tabla14[[#This Row],[% INTERES ]]/30*U1065))</f>
        <v>0</v>
      </c>
      <c r="T1065" s="53" t="e">
        <f>Tabla14[[#This Row],[DEUDA CAPITAL]]+Tabla14[[#This Row],[INTERES  CUOTA]]</f>
        <v>#NUM!</v>
      </c>
      <c r="U1065" s="61" t="str">
        <f t="shared" si="179"/>
        <v/>
      </c>
    </row>
    <row r="1066" spans="9:21" ht="24.75" customHeight="1" x14ac:dyDescent="0.35">
      <c r="I1066" s="42">
        <f t="shared" si="170"/>
        <v>0</v>
      </c>
      <c r="J1066" s="65" t="e">
        <f t="shared" si="171"/>
        <v>#NUM!</v>
      </c>
      <c r="K1066" s="83" t="e">
        <f t="shared" si="172"/>
        <v>#NUM!</v>
      </c>
      <c r="L1066" s="83">
        <f t="shared" si="173"/>
        <v>0</v>
      </c>
      <c r="M1066" s="110" t="str">
        <f t="shared" si="174"/>
        <v/>
      </c>
      <c r="N1066" s="51" t="str">
        <f t="shared" si="175"/>
        <v/>
      </c>
      <c r="O1066" s="52" t="str">
        <f t="shared" si="176"/>
        <v/>
      </c>
      <c r="P1066" s="88">
        <f t="shared" si="177"/>
        <v>0</v>
      </c>
      <c r="Q1066" s="88">
        <f t="shared" si="178"/>
        <v>0</v>
      </c>
      <c r="R1066" s="88" t="e">
        <f>-IF(Tabla14[[#This Row],[DIAS HABILES O MORA]]&lt;0,(Tabla14[[#This Row],[VALOR PRESTAMO]]*Tabla14[[#This Row],[% INTERES ]]/30*U1066))+Tabla14[[#This Row],[VALOR CUOTAS]]</f>
        <v>#VALUE!</v>
      </c>
      <c r="S1066" s="88">
        <f>-IF(Tabla14[[#This Row],[DIAS HABILES O MORA]]&lt;0,(Tabla14[[#This Row],[VALOR PRESTAMO]]*Tabla14[[#This Row],[% INTERES ]]/30*U1066))</f>
        <v>0</v>
      </c>
      <c r="T1066" s="53" t="e">
        <f>Tabla14[[#This Row],[DEUDA CAPITAL]]+Tabla14[[#This Row],[INTERES  CUOTA]]</f>
        <v>#NUM!</v>
      </c>
      <c r="U1066" s="61" t="str">
        <f t="shared" si="179"/>
        <v/>
      </c>
    </row>
    <row r="1067" spans="9:21" ht="24.75" customHeight="1" x14ac:dyDescent="0.35">
      <c r="I1067" s="42">
        <f t="shared" si="170"/>
        <v>0</v>
      </c>
      <c r="J1067" s="65" t="e">
        <f t="shared" si="171"/>
        <v>#NUM!</v>
      </c>
      <c r="K1067" s="83" t="e">
        <f t="shared" si="172"/>
        <v>#NUM!</v>
      </c>
      <c r="L1067" s="83">
        <f t="shared" si="173"/>
        <v>0</v>
      </c>
      <c r="M1067" s="110" t="str">
        <f t="shared" si="174"/>
        <v/>
      </c>
      <c r="N1067" s="51" t="str">
        <f t="shared" si="175"/>
        <v/>
      </c>
      <c r="O1067" s="52" t="str">
        <f t="shared" si="176"/>
        <v/>
      </c>
      <c r="P1067" s="88">
        <f t="shared" si="177"/>
        <v>0</v>
      </c>
      <c r="Q1067" s="88">
        <f t="shared" si="178"/>
        <v>0</v>
      </c>
      <c r="R1067" s="88" t="e">
        <f>-IF(Tabla14[[#This Row],[DIAS HABILES O MORA]]&lt;0,(Tabla14[[#This Row],[VALOR PRESTAMO]]*Tabla14[[#This Row],[% INTERES ]]/30*U1067))+Tabla14[[#This Row],[VALOR CUOTAS]]</f>
        <v>#VALUE!</v>
      </c>
      <c r="S1067" s="88">
        <f>-IF(Tabla14[[#This Row],[DIAS HABILES O MORA]]&lt;0,(Tabla14[[#This Row],[VALOR PRESTAMO]]*Tabla14[[#This Row],[% INTERES ]]/30*U1067))</f>
        <v>0</v>
      </c>
      <c r="T1067" s="53" t="e">
        <f>Tabla14[[#This Row],[DEUDA CAPITAL]]+Tabla14[[#This Row],[INTERES  CUOTA]]</f>
        <v>#NUM!</v>
      </c>
      <c r="U1067" s="61" t="str">
        <f t="shared" si="179"/>
        <v/>
      </c>
    </row>
    <row r="1068" spans="9:21" ht="24.75" customHeight="1" x14ac:dyDescent="0.35">
      <c r="I1068" s="42">
        <f t="shared" si="170"/>
        <v>0</v>
      </c>
      <c r="J1068" s="65" t="e">
        <f t="shared" si="171"/>
        <v>#NUM!</v>
      </c>
      <c r="K1068" s="83" t="e">
        <f t="shared" si="172"/>
        <v>#NUM!</v>
      </c>
      <c r="L1068" s="83">
        <f t="shared" si="173"/>
        <v>0</v>
      </c>
      <c r="M1068" s="110" t="str">
        <f t="shared" si="174"/>
        <v/>
      </c>
      <c r="N1068" s="51" t="str">
        <f t="shared" si="175"/>
        <v/>
      </c>
      <c r="O1068" s="52" t="str">
        <f t="shared" si="176"/>
        <v/>
      </c>
      <c r="P1068" s="88">
        <f t="shared" si="177"/>
        <v>0</v>
      </c>
      <c r="Q1068" s="88">
        <f t="shared" si="178"/>
        <v>0</v>
      </c>
      <c r="R1068" s="88" t="e">
        <f>-IF(Tabla14[[#This Row],[DIAS HABILES O MORA]]&lt;0,(Tabla14[[#This Row],[VALOR PRESTAMO]]*Tabla14[[#This Row],[% INTERES ]]/30*U1068))+Tabla14[[#This Row],[VALOR CUOTAS]]</f>
        <v>#VALUE!</v>
      </c>
      <c r="S1068" s="88">
        <f>-IF(Tabla14[[#This Row],[DIAS HABILES O MORA]]&lt;0,(Tabla14[[#This Row],[VALOR PRESTAMO]]*Tabla14[[#This Row],[% INTERES ]]/30*U1068))</f>
        <v>0</v>
      </c>
      <c r="T1068" s="53" t="e">
        <f>Tabla14[[#This Row],[DEUDA CAPITAL]]+Tabla14[[#This Row],[INTERES  CUOTA]]</f>
        <v>#NUM!</v>
      </c>
      <c r="U1068" s="61" t="str">
        <f t="shared" si="179"/>
        <v/>
      </c>
    </row>
    <row r="1069" spans="9:21" ht="24.75" customHeight="1" x14ac:dyDescent="0.35">
      <c r="I1069" s="42">
        <f t="shared" si="170"/>
        <v>0</v>
      </c>
      <c r="J1069" s="65" t="e">
        <f t="shared" si="171"/>
        <v>#NUM!</v>
      </c>
      <c r="K1069" s="83" t="e">
        <f t="shared" si="172"/>
        <v>#NUM!</v>
      </c>
      <c r="L1069" s="83">
        <f t="shared" si="173"/>
        <v>0</v>
      </c>
      <c r="M1069" s="110" t="str">
        <f t="shared" si="174"/>
        <v/>
      </c>
      <c r="N1069" s="51" t="str">
        <f t="shared" si="175"/>
        <v/>
      </c>
      <c r="O1069" s="52" t="str">
        <f t="shared" si="176"/>
        <v/>
      </c>
      <c r="P1069" s="88">
        <f t="shared" si="177"/>
        <v>0</v>
      </c>
      <c r="Q1069" s="88">
        <f t="shared" si="178"/>
        <v>0</v>
      </c>
      <c r="R1069" s="88" t="e">
        <f>-IF(Tabla14[[#This Row],[DIAS HABILES O MORA]]&lt;0,(Tabla14[[#This Row],[VALOR PRESTAMO]]*Tabla14[[#This Row],[% INTERES ]]/30*U1069))+Tabla14[[#This Row],[VALOR CUOTAS]]</f>
        <v>#VALUE!</v>
      </c>
      <c r="S1069" s="88">
        <f>-IF(Tabla14[[#This Row],[DIAS HABILES O MORA]]&lt;0,(Tabla14[[#This Row],[VALOR PRESTAMO]]*Tabla14[[#This Row],[% INTERES ]]/30*U1069))</f>
        <v>0</v>
      </c>
      <c r="T1069" s="53" t="e">
        <f>Tabla14[[#This Row],[DEUDA CAPITAL]]+Tabla14[[#This Row],[INTERES  CUOTA]]</f>
        <v>#NUM!</v>
      </c>
      <c r="U1069" s="61" t="str">
        <f t="shared" si="179"/>
        <v/>
      </c>
    </row>
    <row r="1070" spans="9:21" ht="24.75" customHeight="1" x14ac:dyDescent="0.35">
      <c r="I1070" s="42">
        <f t="shared" si="170"/>
        <v>0</v>
      </c>
      <c r="J1070" s="65" t="e">
        <f t="shared" si="171"/>
        <v>#NUM!</v>
      </c>
      <c r="K1070" s="83" t="e">
        <f t="shared" si="172"/>
        <v>#NUM!</v>
      </c>
      <c r="L1070" s="83">
        <f t="shared" si="173"/>
        <v>0</v>
      </c>
      <c r="M1070" s="110" t="str">
        <f t="shared" si="174"/>
        <v/>
      </c>
      <c r="N1070" s="51" t="str">
        <f t="shared" si="175"/>
        <v/>
      </c>
      <c r="O1070" s="52" t="str">
        <f t="shared" si="176"/>
        <v/>
      </c>
      <c r="P1070" s="88">
        <f t="shared" si="177"/>
        <v>0</v>
      </c>
      <c r="Q1070" s="88">
        <f t="shared" si="178"/>
        <v>0</v>
      </c>
      <c r="R1070" s="88" t="e">
        <f>-IF(Tabla14[[#This Row],[DIAS HABILES O MORA]]&lt;0,(Tabla14[[#This Row],[VALOR PRESTAMO]]*Tabla14[[#This Row],[% INTERES ]]/30*U1070))+Tabla14[[#This Row],[VALOR CUOTAS]]</f>
        <v>#VALUE!</v>
      </c>
      <c r="S1070" s="88">
        <f>-IF(Tabla14[[#This Row],[DIAS HABILES O MORA]]&lt;0,(Tabla14[[#This Row],[VALOR PRESTAMO]]*Tabla14[[#This Row],[% INTERES ]]/30*U1070))</f>
        <v>0</v>
      </c>
      <c r="T1070" s="53" t="e">
        <f>Tabla14[[#This Row],[DEUDA CAPITAL]]+Tabla14[[#This Row],[INTERES  CUOTA]]</f>
        <v>#NUM!</v>
      </c>
      <c r="U1070" s="61" t="str">
        <f t="shared" si="179"/>
        <v/>
      </c>
    </row>
    <row r="1071" spans="9:21" ht="24.75" customHeight="1" x14ac:dyDescent="0.35">
      <c r="I1071" s="42">
        <f t="shared" si="170"/>
        <v>0</v>
      </c>
      <c r="J1071" s="65" t="e">
        <f t="shared" si="171"/>
        <v>#NUM!</v>
      </c>
      <c r="K1071" s="83" t="e">
        <f t="shared" si="172"/>
        <v>#NUM!</v>
      </c>
      <c r="L1071" s="83">
        <f t="shared" si="173"/>
        <v>0</v>
      </c>
      <c r="M1071" s="110" t="str">
        <f t="shared" si="174"/>
        <v/>
      </c>
      <c r="N1071" s="51" t="str">
        <f t="shared" si="175"/>
        <v/>
      </c>
      <c r="O1071" s="52" t="str">
        <f t="shared" si="176"/>
        <v/>
      </c>
      <c r="P1071" s="88">
        <f t="shared" si="177"/>
        <v>0</v>
      </c>
      <c r="Q1071" s="88">
        <f t="shared" si="178"/>
        <v>0</v>
      </c>
      <c r="R1071" s="88" t="e">
        <f>-IF(Tabla14[[#This Row],[DIAS HABILES O MORA]]&lt;0,(Tabla14[[#This Row],[VALOR PRESTAMO]]*Tabla14[[#This Row],[% INTERES ]]/30*U1071))+Tabla14[[#This Row],[VALOR CUOTAS]]</f>
        <v>#VALUE!</v>
      </c>
      <c r="S1071" s="88">
        <f>-IF(Tabla14[[#This Row],[DIAS HABILES O MORA]]&lt;0,(Tabla14[[#This Row],[VALOR PRESTAMO]]*Tabla14[[#This Row],[% INTERES ]]/30*U1071))</f>
        <v>0</v>
      </c>
      <c r="T1071" s="53" t="e">
        <f>Tabla14[[#This Row],[DEUDA CAPITAL]]+Tabla14[[#This Row],[INTERES  CUOTA]]</f>
        <v>#NUM!</v>
      </c>
      <c r="U1071" s="61" t="str">
        <f t="shared" si="179"/>
        <v/>
      </c>
    </row>
    <row r="1072" spans="9:21" ht="24.75" customHeight="1" x14ac:dyDescent="0.35">
      <c r="I1072" s="42">
        <f t="shared" si="170"/>
        <v>0</v>
      </c>
      <c r="J1072" s="65" t="e">
        <f t="shared" si="171"/>
        <v>#NUM!</v>
      </c>
      <c r="K1072" s="83" t="e">
        <f t="shared" si="172"/>
        <v>#NUM!</v>
      </c>
      <c r="L1072" s="83">
        <f t="shared" si="173"/>
        <v>0</v>
      </c>
      <c r="M1072" s="110" t="str">
        <f t="shared" si="174"/>
        <v/>
      </c>
      <c r="N1072" s="51" t="str">
        <f t="shared" si="175"/>
        <v/>
      </c>
      <c r="O1072" s="52" t="str">
        <f t="shared" si="176"/>
        <v/>
      </c>
      <c r="P1072" s="88">
        <f t="shared" si="177"/>
        <v>0</v>
      </c>
      <c r="Q1072" s="88">
        <f t="shared" si="178"/>
        <v>0</v>
      </c>
      <c r="R1072" s="88" t="e">
        <f>-IF(Tabla14[[#This Row],[DIAS HABILES O MORA]]&lt;0,(Tabla14[[#This Row],[VALOR PRESTAMO]]*Tabla14[[#This Row],[% INTERES ]]/30*U1072))+Tabla14[[#This Row],[VALOR CUOTAS]]</f>
        <v>#VALUE!</v>
      </c>
      <c r="S1072" s="88">
        <f>-IF(Tabla14[[#This Row],[DIAS HABILES O MORA]]&lt;0,(Tabla14[[#This Row],[VALOR PRESTAMO]]*Tabla14[[#This Row],[% INTERES ]]/30*U1072))</f>
        <v>0</v>
      </c>
      <c r="T1072" s="53" t="e">
        <f>Tabla14[[#This Row],[DEUDA CAPITAL]]+Tabla14[[#This Row],[INTERES  CUOTA]]</f>
        <v>#NUM!</v>
      </c>
      <c r="U1072" s="61" t="str">
        <f t="shared" si="179"/>
        <v/>
      </c>
    </row>
    <row r="1073" spans="9:21" ht="24.75" customHeight="1" x14ac:dyDescent="0.35">
      <c r="I1073" s="42">
        <f t="shared" si="170"/>
        <v>0</v>
      </c>
      <c r="J1073" s="65" t="e">
        <f t="shared" si="171"/>
        <v>#NUM!</v>
      </c>
      <c r="K1073" s="83" t="e">
        <f t="shared" si="172"/>
        <v>#NUM!</v>
      </c>
      <c r="L1073" s="83">
        <f t="shared" si="173"/>
        <v>0</v>
      </c>
      <c r="M1073" s="110" t="str">
        <f t="shared" si="174"/>
        <v/>
      </c>
      <c r="N1073" s="51" t="str">
        <f t="shared" si="175"/>
        <v/>
      </c>
      <c r="O1073" s="52" t="str">
        <f t="shared" si="176"/>
        <v/>
      </c>
      <c r="P1073" s="88">
        <f t="shared" si="177"/>
        <v>0</v>
      </c>
      <c r="Q1073" s="88">
        <f t="shared" si="178"/>
        <v>0</v>
      </c>
      <c r="R1073" s="88" t="e">
        <f>-IF(Tabla14[[#This Row],[DIAS HABILES O MORA]]&lt;0,(Tabla14[[#This Row],[VALOR PRESTAMO]]*Tabla14[[#This Row],[% INTERES ]]/30*U1073))+Tabla14[[#This Row],[VALOR CUOTAS]]</f>
        <v>#VALUE!</v>
      </c>
      <c r="S1073" s="88">
        <f>-IF(Tabla14[[#This Row],[DIAS HABILES O MORA]]&lt;0,(Tabla14[[#This Row],[VALOR PRESTAMO]]*Tabla14[[#This Row],[% INTERES ]]/30*U1073))</f>
        <v>0</v>
      </c>
      <c r="T1073" s="53" t="e">
        <f>Tabla14[[#This Row],[DEUDA CAPITAL]]+Tabla14[[#This Row],[INTERES  CUOTA]]</f>
        <v>#NUM!</v>
      </c>
      <c r="U1073" s="61" t="str">
        <f t="shared" si="179"/>
        <v/>
      </c>
    </row>
    <row r="1074" spans="9:21" ht="24.75" customHeight="1" x14ac:dyDescent="0.35">
      <c r="I1074" s="42">
        <f t="shared" si="170"/>
        <v>0</v>
      </c>
      <c r="J1074" s="65" t="e">
        <f t="shared" si="171"/>
        <v>#NUM!</v>
      </c>
      <c r="K1074" s="83" t="e">
        <f t="shared" si="172"/>
        <v>#NUM!</v>
      </c>
      <c r="L1074" s="83">
        <f t="shared" si="173"/>
        <v>0</v>
      </c>
      <c r="M1074" s="110" t="str">
        <f t="shared" si="174"/>
        <v/>
      </c>
      <c r="N1074" s="51" t="str">
        <f t="shared" si="175"/>
        <v/>
      </c>
      <c r="O1074" s="52" t="str">
        <f t="shared" si="176"/>
        <v/>
      </c>
      <c r="P1074" s="88">
        <f t="shared" si="177"/>
        <v>0</v>
      </c>
      <c r="Q1074" s="88">
        <f t="shared" si="178"/>
        <v>0</v>
      </c>
      <c r="R1074" s="88" t="e">
        <f>-IF(Tabla14[[#This Row],[DIAS HABILES O MORA]]&lt;0,(Tabla14[[#This Row],[VALOR PRESTAMO]]*Tabla14[[#This Row],[% INTERES ]]/30*U1074))+Tabla14[[#This Row],[VALOR CUOTAS]]</f>
        <v>#VALUE!</v>
      </c>
      <c r="S1074" s="88">
        <f>-IF(Tabla14[[#This Row],[DIAS HABILES O MORA]]&lt;0,(Tabla14[[#This Row],[VALOR PRESTAMO]]*Tabla14[[#This Row],[% INTERES ]]/30*U1074))</f>
        <v>0</v>
      </c>
      <c r="T1074" s="53" t="e">
        <f>Tabla14[[#This Row],[DEUDA CAPITAL]]+Tabla14[[#This Row],[INTERES  CUOTA]]</f>
        <v>#NUM!</v>
      </c>
      <c r="U1074" s="61" t="str">
        <f t="shared" si="179"/>
        <v/>
      </c>
    </row>
    <row r="1075" spans="9:21" ht="24.75" customHeight="1" x14ac:dyDescent="0.35">
      <c r="I1075" s="42">
        <f t="shared" si="170"/>
        <v>0</v>
      </c>
      <c r="J1075" s="65" t="e">
        <f t="shared" si="171"/>
        <v>#NUM!</v>
      </c>
      <c r="K1075" s="83" t="e">
        <f t="shared" si="172"/>
        <v>#NUM!</v>
      </c>
      <c r="L1075" s="83">
        <f t="shared" si="173"/>
        <v>0</v>
      </c>
      <c r="M1075" s="110" t="str">
        <f t="shared" si="174"/>
        <v/>
      </c>
      <c r="N1075" s="51" t="str">
        <f t="shared" si="175"/>
        <v/>
      </c>
      <c r="O1075" s="52" t="str">
        <f t="shared" si="176"/>
        <v/>
      </c>
      <c r="P1075" s="88">
        <f t="shared" si="177"/>
        <v>0</v>
      </c>
      <c r="Q1075" s="88">
        <f t="shared" si="178"/>
        <v>0</v>
      </c>
      <c r="R1075" s="88" t="e">
        <f>-IF(Tabla14[[#This Row],[DIAS HABILES O MORA]]&lt;0,(Tabla14[[#This Row],[VALOR PRESTAMO]]*Tabla14[[#This Row],[% INTERES ]]/30*U1075))+Tabla14[[#This Row],[VALOR CUOTAS]]</f>
        <v>#VALUE!</v>
      </c>
      <c r="S1075" s="88">
        <f>-IF(Tabla14[[#This Row],[DIAS HABILES O MORA]]&lt;0,(Tabla14[[#This Row],[VALOR PRESTAMO]]*Tabla14[[#This Row],[% INTERES ]]/30*U1075))</f>
        <v>0</v>
      </c>
      <c r="T1075" s="53" t="e">
        <f>Tabla14[[#This Row],[DEUDA CAPITAL]]+Tabla14[[#This Row],[INTERES  CUOTA]]</f>
        <v>#NUM!</v>
      </c>
      <c r="U1075" s="61" t="str">
        <f t="shared" si="179"/>
        <v/>
      </c>
    </row>
    <row r="1076" spans="9:21" ht="24.75" customHeight="1" x14ac:dyDescent="0.35">
      <c r="I1076" s="42">
        <f t="shared" si="170"/>
        <v>0</v>
      </c>
      <c r="J1076" s="65" t="e">
        <f t="shared" si="171"/>
        <v>#NUM!</v>
      </c>
      <c r="K1076" s="83" t="e">
        <f t="shared" si="172"/>
        <v>#NUM!</v>
      </c>
      <c r="L1076" s="83">
        <f t="shared" si="173"/>
        <v>0</v>
      </c>
      <c r="M1076" s="110" t="str">
        <f t="shared" si="174"/>
        <v/>
      </c>
      <c r="N1076" s="51" t="str">
        <f t="shared" si="175"/>
        <v/>
      </c>
      <c r="O1076" s="52" t="str">
        <f t="shared" si="176"/>
        <v/>
      </c>
      <c r="P1076" s="88">
        <f t="shared" si="177"/>
        <v>0</v>
      </c>
      <c r="Q1076" s="88">
        <f t="shared" si="178"/>
        <v>0</v>
      </c>
      <c r="R1076" s="88" t="e">
        <f>-IF(Tabla14[[#This Row],[DIAS HABILES O MORA]]&lt;0,(Tabla14[[#This Row],[VALOR PRESTAMO]]*Tabla14[[#This Row],[% INTERES ]]/30*U1076))+Tabla14[[#This Row],[VALOR CUOTAS]]</f>
        <v>#VALUE!</v>
      </c>
      <c r="S1076" s="88">
        <f>-IF(Tabla14[[#This Row],[DIAS HABILES O MORA]]&lt;0,(Tabla14[[#This Row],[VALOR PRESTAMO]]*Tabla14[[#This Row],[% INTERES ]]/30*U1076))</f>
        <v>0</v>
      </c>
      <c r="T1076" s="53" t="e">
        <f>Tabla14[[#This Row],[DEUDA CAPITAL]]+Tabla14[[#This Row],[INTERES  CUOTA]]</f>
        <v>#NUM!</v>
      </c>
      <c r="U1076" s="61" t="str">
        <f t="shared" si="179"/>
        <v/>
      </c>
    </row>
    <row r="1077" spans="9:21" ht="24.75" customHeight="1" x14ac:dyDescent="0.35">
      <c r="I1077" s="42">
        <f t="shared" si="170"/>
        <v>0</v>
      </c>
      <c r="J1077" s="65" t="e">
        <f t="shared" si="171"/>
        <v>#NUM!</v>
      </c>
      <c r="K1077" s="83" t="e">
        <f t="shared" si="172"/>
        <v>#NUM!</v>
      </c>
      <c r="L1077" s="83">
        <f t="shared" si="173"/>
        <v>0</v>
      </c>
      <c r="M1077" s="110" t="str">
        <f t="shared" si="174"/>
        <v/>
      </c>
      <c r="N1077" s="51" t="str">
        <f t="shared" si="175"/>
        <v/>
      </c>
      <c r="O1077" s="52" t="str">
        <f t="shared" si="176"/>
        <v/>
      </c>
      <c r="P1077" s="88">
        <f t="shared" si="177"/>
        <v>0</v>
      </c>
      <c r="Q1077" s="88">
        <f t="shared" si="178"/>
        <v>0</v>
      </c>
      <c r="R1077" s="88" t="e">
        <f>-IF(Tabla14[[#This Row],[DIAS HABILES O MORA]]&lt;0,(Tabla14[[#This Row],[VALOR PRESTAMO]]*Tabla14[[#This Row],[% INTERES ]]/30*U1077))+Tabla14[[#This Row],[VALOR CUOTAS]]</f>
        <v>#VALUE!</v>
      </c>
      <c r="S1077" s="88">
        <f>-IF(Tabla14[[#This Row],[DIAS HABILES O MORA]]&lt;0,(Tabla14[[#This Row],[VALOR PRESTAMO]]*Tabla14[[#This Row],[% INTERES ]]/30*U1077))</f>
        <v>0</v>
      </c>
      <c r="T1077" s="53" t="e">
        <f>Tabla14[[#This Row],[DEUDA CAPITAL]]+Tabla14[[#This Row],[INTERES  CUOTA]]</f>
        <v>#NUM!</v>
      </c>
      <c r="U1077" s="61" t="str">
        <f t="shared" si="179"/>
        <v/>
      </c>
    </row>
    <row r="1078" spans="9:21" ht="24.75" customHeight="1" x14ac:dyDescent="0.35">
      <c r="I1078" s="42">
        <f t="shared" si="170"/>
        <v>0</v>
      </c>
      <c r="J1078" s="65" t="e">
        <f t="shared" si="171"/>
        <v>#NUM!</v>
      </c>
      <c r="K1078" s="83" t="e">
        <f t="shared" si="172"/>
        <v>#NUM!</v>
      </c>
      <c r="L1078" s="83">
        <f t="shared" si="173"/>
        <v>0</v>
      </c>
      <c r="M1078" s="110" t="str">
        <f t="shared" si="174"/>
        <v/>
      </c>
      <c r="N1078" s="51" t="str">
        <f t="shared" si="175"/>
        <v/>
      </c>
      <c r="O1078" s="52" t="str">
        <f t="shared" si="176"/>
        <v/>
      </c>
      <c r="P1078" s="88">
        <f t="shared" si="177"/>
        <v>0</v>
      </c>
      <c r="Q1078" s="88">
        <f t="shared" si="178"/>
        <v>0</v>
      </c>
      <c r="R1078" s="88" t="e">
        <f>-IF(Tabla14[[#This Row],[DIAS HABILES O MORA]]&lt;0,(Tabla14[[#This Row],[VALOR PRESTAMO]]*Tabla14[[#This Row],[% INTERES ]]/30*U1078))+Tabla14[[#This Row],[VALOR CUOTAS]]</f>
        <v>#VALUE!</v>
      </c>
      <c r="S1078" s="88">
        <f>-IF(Tabla14[[#This Row],[DIAS HABILES O MORA]]&lt;0,(Tabla14[[#This Row],[VALOR PRESTAMO]]*Tabla14[[#This Row],[% INTERES ]]/30*U1078))</f>
        <v>0</v>
      </c>
      <c r="T1078" s="53" t="e">
        <f>Tabla14[[#This Row],[DEUDA CAPITAL]]+Tabla14[[#This Row],[INTERES  CUOTA]]</f>
        <v>#NUM!</v>
      </c>
      <c r="U1078" s="61" t="str">
        <f t="shared" si="179"/>
        <v/>
      </c>
    </row>
    <row r="1079" spans="9:21" ht="24.75" customHeight="1" x14ac:dyDescent="0.35">
      <c r="I1079" s="42">
        <f t="shared" si="170"/>
        <v>0</v>
      </c>
      <c r="J1079" s="65" t="e">
        <f t="shared" si="171"/>
        <v>#NUM!</v>
      </c>
      <c r="K1079" s="83" t="e">
        <f t="shared" si="172"/>
        <v>#NUM!</v>
      </c>
      <c r="L1079" s="83">
        <f t="shared" si="173"/>
        <v>0</v>
      </c>
      <c r="M1079" s="110" t="str">
        <f t="shared" si="174"/>
        <v/>
      </c>
      <c r="N1079" s="51" t="str">
        <f t="shared" si="175"/>
        <v/>
      </c>
      <c r="O1079" s="52" t="str">
        <f t="shared" si="176"/>
        <v/>
      </c>
      <c r="P1079" s="88">
        <f t="shared" si="177"/>
        <v>0</v>
      </c>
      <c r="Q1079" s="88">
        <f t="shared" si="178"/>
        <v>0</v>
      </c>
      <c r="R1079" s="88" t="e">
        <f>-IF(Tabla14[[#This Row],[DIAS HABILES O MORA]]&lt;0,(Tabla14[[#This Row],[VALOR PRESTAMO]]*Tabla14[[#This Row],[% INTERES ]]/30*U1079))+Tabla14[[#This Row],[VALOR CUOTAS]]</f>
        <v>#VALUE!</v>
      </c>
      <c r="S1079" s="88">
        <f>-IF(Tabla14[[#This Row],[DIAS HABILES O MORA]]&lt;0,(Tabla14[[#This Row],[VALOR PRESTAMO]]*Tabla14[[#This Row],[% INTERES ]]/30*U1079))</f>
        <v>0</v>
      </c>
      <c r="T1079" s="53" t="e">
        <f>Tabla14[[#This Row],[DEUDA CAPITAL]]+Tabla14[[#This Row],[INTERES  CUOTA]]</f>
        <v>#NUM!</v>
      </c>
      <c r="U1079" s="61" t="str">
        <f t="shared" si="179"/>
        <v/>
      </c>
    </row>
    <row r="1080" spans="9:21" ht="24.75" customHeight="1" x14ac:dyDescent="0.35">
      <c r="I1080" s="42">
        <f t="shared" si="170"/>
        <v>0</v>
      </c>
      <c r="J1080" s="65" t="e">
        <f t="shared" si="171"/>
        <v>#NUM!</v>
      </c>
      <c r="K1080" s="83" t="e">
        <f t="shared" si="172"/>
        <v>#NUM!</v>
      </c>
      <c r="L1080" s="83">
        <f t="shared" si="173"/>
        <v>0</v>
      </c>
      <c r="M1080" s="110" t="str">
        <f t="shared" si="174"/>
        <v/>
      </c>
      <c r="N1080" s="51" t="str">
        <f t="shared" si="175"/>
        <v/>
      </c>
      <c r="O1080" s="52" t="str">
        <f t="shared" si="176"/>
        <v/>
      </c>
      <c r="P1080" s="88">
        <f t="shared" si="177"/>
        <v>0</v>
      </c>
      <c r="Q1080" s="88">
        <f t="shared" si="178"/>
        <v>0</v>
      </c>
      <c r="R1080" s="88" t="e">
        <f>-IF(Tabla14[[#This Row],[DIAS HABILES O MORA]]&lt;0,(Tabla14[[#This Row],[VALOR PRESTAMO]]*Tabla14[[#This Row],[% INTERES ]]/30*U1080))+Tabla14[[#This Row],[VALOR CUOTAS]]</f>
        <v>#VALUE!</v>
      </c>
      <c r="S1080" s="88">
        <f>-IF(Tabla14[[#This Row],[DIAS HABILES O MORA]]&lt;0,(Tabla14[[#This Row],[VALOR PRESTAMO]]*Tabla14[[#This Row],[% INTERES ]]/30*U1080))</f>
        <v>0</v>
      </c>
      <c r="T1080" s="53" t="e">
        <f>Tabla14[[#This Row],[DEUDA CAPITAL]]+Tabla14[[#This Row],[INTERES  CUOTA]]</f>
        <v>#NUM!</v>
      </c>
      <c r="U1080" s="61" t="str">
        <f t="shared" si="179"/>
        <v/>
      </c>
    </row>
    <row r="1081" spans="9:21" ht="24.75" customHeight="1" x14ac:dyDescent="0.35">
      <c r="I1081" s="42">
        <f t="shared" si="170"/>
        <v>0</v>
      </c>
      <c r="J1081" s="65" t="e">
        <f t="shared" si="171"/>
        <v>#NUM!</v>
      </c>
      <c r="K1081" s="83" t="e">
        <f t="shared" si="172"/>
        <v>#NUM!</v>
      </c>
      <c r="L1081" s="83">
        <f t="shared" si="173"/>
        <v>0</v>
      </c>
      <c r="M1081" s="110" t="str">
        <f t="shared" si="174"/>
        <v/>
      </c>
      <c r="N1081" s="51" t="str">
        <f t="shared" si="175"/>
        <v/>
      </c>
      <c r="O1081" s="52" t="str">
        <f t="shared" si="176"/>
        <v/>
      </c>
      <c r="P1081" s="88">
        <f t="shared" si="177"/>
        <v>0</v>
      </c>
      <c r="Q1081" s="88">
        <f t="shared" si="178"/>
        <v>0</v>
      </c>
      <c r="R1081" s="88" t="e">
        <f>-IF(Tabla14[[#This Row],[DIAS HABILES O MORA]]&lt;0,(Tabla14[[#This Row],[VALOR PRESTAMO]]*Tabla14[[#This Row],[% INTERES ]]/30*U1081))+Tabla14[[#This Row],[VALOR CUOTAS]]</f>
        <v>#VALUE!</v>
      </c>
      <c r="S1081" s="88">
        <f>-IF(Tabla14[[#This Row],[DIAS HABILES O MORA]]&lt;0,(Tabla14[[#This Row],[VALOR PRESTAMO]]*Tabla14[[#This Row],[% INTERES ]]/30*U1081))</f>
        <v>0</v>
      </c>
      <c r="T1081" s="53" t="e">
        <f>Tabla14[[#This Row],[DEUDA CAPITAL]]+Tabla14[[#This Row],[INTERES  CUOTA]]</f>
        <v>#NUM!</v>
      </c>
      <c r="U1081" s="61" t="str">
        <f t="shared" si="179"/>
        <v/>
      </c>
    </row>
    <row r="1082" spans="9:21" ht="24.75" customHeight="1" x14ac:dyDescent="0.35">
      <c r="I1082" s="42">
        <f t="shared" si="170"/>
        <v>0</v>
      </c>
      <c r="J1082" s="65" t="e">
        <f t="shared" si="171"/>
        <v>#NUM!</v>
      </c>
      <c r="K1082" s="83" t="e">
        <f t="shared" si="172"/>
        <v>#NUM!</v>
      </c>
      <c r="L1082" s="83">
        <f t="shared" si="173"/>
        <v>0</v>
      </c>
      <c r="M1082" s="110" t="str">
        <f t="shared" si="174"/>
        <v/>
      </c>
      <c r="N1082" s="51" t="str">
        <f t="shared" si="175"/>
        <v/>
      </c>
      <c r="O1082" s="52" t="str">
        <f t="shared" si="176"/>
        <v/>
      </c>
      <c r="P1082" s="88">
        <f t="shared" si="177"/>
        <v>0</v>
      </c>
      <c r="Q1082" s="88">
        <f t="shared" si="178"/>
        <v>0</v>
      </c>
      <c r="R1082" s="88" t="e">
        <f>-IF(Tabla14[[#This Row],[DIAS HABILES O MORA]]&lt;0,(Tabla14[[#This Row],[VALOR PRESTAMO]]*Tabla14[[#This Row],[% INTERES ]]/30*U1082))+Tabla14[[#This Row],[VALOR CUOTAS]]</f>
        <v>#VALUE!</v>
      </c>
      <c r="S1082" s="88">
        <f>-IF(Tabla14[[#This Row],[DIAS HABILES O MORA]]&lt;0,(Tabla14[[#This Row],[VALOR PRESTAMO]]*Tabla14[[#This Row],[% INTERES ]]/30*U1082))</f>
        <v>0</v>
      </c>
      <c r="T1082" s="53" t="e">
        <f>Tabla14[[#This Row],[DEUDA CAPITAL]]+Tabla14[[#This Row],[INTERES  CUOTA]]</f>
        <v>#NUM!</v>
      </c>
      <c r="U1082" s="61" t="str">
        <f t="shared" si="179"/>
        <v/>
      </c>
    </row>
    <row r="1083" spans="9:21" ht="24.75" customHeight="1" x14ac:dyDescent="0.35">
      <c r="I1083" s="42">
        <f t="shared" si="170"/>
        <v>0</v>
      </c>
      <c r="J1083" s="65" t="e">
        <f t="shared" si="171"/>
        <v>#NUM!</v>
      </c>
      <c r="K1083" s="83" t="e">
        <f t="shared" si="172"/>
        <v>#NUM!</v>
      </c>
      <c r="L1083" s="83">
        <f t="shared" si="173"/>
        <v>0</v>
      </c>
      <c r="M1083" s="110" t="str">
        <f t="shared" si="174"/>
        <v/>
      </c>
      <c r="N1083" s="51" t="str">
        <f t="shared" si="175"/>
        <v/>
      </c>
      <c r="O1083" s="52" t="str">
        <f t="shared" si="176"/>
        <v/>
      </c>
      <c r="P1083" s="88">
        <f t="shared" si="177"/>
        <v>0</v>
      </c>
      <c r="Q1083" s="88">
        <f t="shared" si="178"/>
        <v>0</v>
      </c>
      <c r="R1083" s="88" t="e">
        <f>-IF(Tabla14[[#This Row],[DIAS HABILES O MORA]]&lt;0,(Tabla14[[#This Row],[VALOR PRESTAMO]]*Tabla14[[#This Row],[% INTERES ]]/30*U1083))+Tabla14[[#This Row],[VALOR CUOTAS]]</f>
        <v>#VALUE!</v>
      </c>
      <c r="S1083" s="88">
        <f>-IF(Tabla14[[#This Row],[DIAS HABILES O MORA]]&lt;0,(Tabla14[[#This Row],[VALOR PRESTAMO]]*Tabla14[[#This Row],[% INTERES ]]/30*U1083))</f>
        <v>0</v>
      </c>
      <c r="T1083" s="53" t="e">
        <f>Tabla14[[#This Row],[DEUDA CAPITAL]]+Tabla14[[#This Row],[INTERES  CUOTA]]</f>
        <v>#NUM!</v>
      </c>
      <c r="U1083" s="61" t="str">
        <f t="shared" si="179"/>
        <v/>
      </c>
    </row>
    <row r="1084" spans="9:21" ht="24.75" customHeight="1" x14ac:dyDescent="0.35">
      <c r="I1084" s="42">
        <f t="shared" si="170"/>
        <v>0</v>
      </c>
      <c r="J1084" s="65" t="e">
        <f t="shared" si="171"/>
        <v>#NUM!</v>
      </c>
      <c r="K1084" s="83" t="e">
        <f t="shared" si="172"/>
        <v>#NUM!</v>
      </c>
      <c r="L1084" s="83">
        <f t="shared" si="173"/>
        <v>0</v>
      </c>
      <c r="M1084" s="110" t="str">
        <f t="shared" si="174"/>
        <v/>
      </c>
      <c r="N1084" s="51" t="str">
        <f t="shared" si="175"/>
        <v/>
      </c>
      <c r="O1084" s="52" t="str">
        <f t="shared" si="176"/>
        <v/>
      </c>
      <c r="P1084" s="88">
        <f t="shared" si="177"/>
        <v>0</v>
      </c>
      <c r="Q1084" s="88">
        <f t="shared" si="178"/>
        <v>0</v>
      </c>
      <c r="R1084" s="88" t="e">
        <f>-IF(Tabla14[[#This Row],[DIAS HABILES O MORA]]&lt;0,(Tabla14[[#This Row],[VALOR PRESTAMO]]*Tabla14[[#This Row],[% INTERES ]]/30*U1084))+Tabla14[[#This Row],[VALOR CUOTAS]]</f>
        <v>#VALUE!</v>
      </c>
      <c r="S1084" s="88">
        <f>-IF(Tabla14[[#This Row],[DIAS HABILES O MORA]]&lt;0,(Tabla14[[#This Row],[VALOR PRESTAMO]]*Tabla14[[#This Row],[% INTERES ]]/30*U1084))</f>
        <v>0</v>
      </c>
      <c r="T1084" s="53" t="e">
        <f>Tabla14[[#This Row],[DEUDA CAPITAL]]+Tabla14[[#This Row],[INTERES  CUOTA]]</f>
        <v>#NUM!</v>
      </c>
      <c r="U1084" s="61" t="str">
        <f t="shared" si="179"/>
        <v/>
      </c>
    </row>
    <row r="1085" spans="9:21" ht="24.75" customHeight="1" x14ac:dyDescent="0.35">
      <c r="I1085" s="42">
        <f t="shared" si="170"/>
        <v>0</v>
      </c>
      <c r="J1085" s="65" t="e">
        <f t="shared" si="171"/>
        <v>#NUM!</v>
      </c>
      <c r="K1085" s="83" t="e">
        <f t="shared" si="172"/>
        <v>#NUM!</v>
      </c>
      <c r="L1085" s="83">
        <f t="shared" si="173"/>
        <v>0</v>
      </c>
      <c r="M1085" s="110" t="str">
        <f t="shared" si="174"/>
        <v/>
      </c>
      <c r="N1085" s="51" t="str">
        <f t="shared" si="175"/>
        <v/>
      </c>
      <c r="O1085" s="52" t="str">
        <f t="shared" si="176"/>
        <v/>
      </c>
      <c r="P1085" s="88">
        <f t="shared" si="177"/>
        <v>0</v>
      </c>
      <c r="Q1085" s="88">
        <f t="shared" si="178"/>
        <v>0</v>
      </c>
      <c r="R1085" s="88" t="e">
        <f>-IF(Tabla14[[#This Row],[DIAS HABILES O MORA]]&lt;0,(Tabla14[[#This Row],[VALOR PRESTAMO]]*Tabla14[[#This Row],[% INTERES ]]/30*U1085))+Tabla14[[#This Row],[VALOR CUOTAS]]</f>
        <v>#VALUE!</v>
      </c>
      <c r="S1085" s="88">
        <f>-IF(Tabla14[[#This Row],[DIAS HABILES O MORA]]&lt;0,(Tabla14[[#This Row],[VALOR PRESTAMO]]*Tabla14[[#This Row],[% INTERES ]]/30*U1085))</f>
        <v>0</v>
      </c>
      <c r="T1085" s="53" t="e">
        <f>Tabla14[[#This Row],[DEUDA CAPITAL]]+Tabla14[[#This Row],[INTERES  CUOTA]]</f>
        <v>#NUM!</v>
      </c>
      <c r="U1085" s="61" t="str">
        <f t="shared" si="179"/>
        <v/>
      </c>
    </row>
    <row r="1086" spans="9:21" ht="24.75" customHeight="1" x14ac:dyDescent="0.35">
      <c r="I1086" s="42">
        <f t="shared" si="170"/>
        <v>0</v>
      </c>
      <c r="J1086" s="65" t="e">
        <f t="shared" si="171"/>
        <v>#NUM!</v>
      </c>
      <c r="K1086" s="83" t="e">
        <f t="shared" si="172"/>
        <v>#NUM!</v>
      </c>
      <c r="L1086" s="83">
        <f t="shared" si="173"/>
        <v>0</v>
      </c>
      <c r="M1086" s="110" t="str">
        <f t="shared" si="174"/>
        <v/>
      </c>
      <c r="N1086" s="51" t="str">
        <f t="shared" si="175"/>
        <v/>
      </c>
      <c r="O1086" s="52" t="str">
        <f t="shared" si="176"/>
        <v/>
      </c>
      <c r="P1086" s="88">
        <f t="shared" si="177"/>
        <v>0</v>
      </c>
      <c r="Q1086" s="88">
        <f t="shared" si="178"/>
        <v>0</v>
      </c>
      <c r="R1086" s="88" t="e">
        <f>-IF(Tabla14[[#This Row],[DIAS HABILES O MORA]]&lt;0,(Tabla14[[#This Row],[VALOR PRESTAMO]]*Tabla14[[#This Row],[% INTERES ]]/30*U1086))+Tabla14[[#This Row],[VALOR CUOTAS]]</f>
        <v>#VALUE!</v>
      </c>
      <c r="S1086" s="88">
        <f>-IF(Tabla14[[#This Row],[DIAS HABILES O MORA]]&lt;0,(Tabla14[[#This Row],[VALOR PRESTAMO]]*Tabla14[[#This Row],[% INTERES ]]/30*U1086))</f>
        <v>0</v>
      </c>
      <c r="T1086" s="53" t="e">
        <f>Tabla14[[#This Row],[DEUDA CAPITAL]]+Tabla14[[#This Row],[INTERES  CUOTA]]</f>
        <v>#NUM!</v>
      </c>
      <c r="U1086" s="61" t="str">
        <f t="shared" si="179"/>
        <v/>
      </c>
    </row>
    <row r="1087" spans="9:21" ht="24.75" customHeight="1" x14ac:dyDescent="0.35">
      <c r="I1087" s="42">
        <f t="shared" si="170"/>
        <v>0</v>
      </c>
      <c r="J1087" s="65" t="e">
        <f t="shared" si="171"/>
        <v>#NUM!</v>
      </c>
      <c r="K1087" s="83" t="e">
        <f t="shared" si="172"/>
        <v>#NUM!</v>
      </c>
      <c r="L1087" s="83">
        <f t="shared" si="173"/>
        <v>0</v>
      </c>
      <c r="M1087" s="110" t="str">
        <f t="shared" si="174"/>
        <v/>
      </c>
      <c r="N1087" s="51" t="str">
        <f t="shared" si="175"/>
        <v/>
      </c>
      <c r="O1087" s="52" t="str">
        <f t="shared" si="176"/>
        <v/>
      </c>
      <c r="P1087" s="88">
        <f t="shared" si="177"/>
        <v>0</v>
      </c>
      <c r="Q1087" s="88">
        <f t="shared" si="178"/>
        <v>0</v>
      </c>
      <c r="R1087" s="88" t="e">
        <f>-IF(Tabla14[[#This Row],[DIAS HABILES O MORA]]&lt;0,(Tabla14[[#This Row],[VALOR PRESTAMO]]*Tabla14[[#This Row],[% INTERES ]]/30*U1087))+Tabla14[[#This Row],[VALOR CUOTAS]]</f>
        <v>#VALUE!</v>
      </c>
      <c r="S1087" s="88">
        <f>-IF(Tabla14[[#This Row],[DIAS HABILES O MORA]]&lt;0,(Tabla14[[#This Row],[VALOR PRESTAMO]]*Tabla14[[#This Row],[% INTERES ]]/30*U1087))</f>
        <v>0</v>
      </c>
      <c r="T1087" s="53" t="e">
        <f>Tabla14[[#This Row],[DEUDA CAPITAL]]+Tabla14[[#This Row],[INTERES  CUOTA]]</f>
        <v>#NUM!</v>
      </c>
      <c r="U1087" s="61" t="str">
        <f t="shared" si="179"/>
        <v/>
      </c>
    </row>
    <row r="1088" spans="9:21" ht="24.75" customHeight="1" x14ac:dyDescent="0.35">
      <c r="I1088" s="42">
        <f t="shared" si="170"/>
        <v>0</v>
      </c>
      <c r="J1088" s="65" t="e">
        <f t="shared" si="171"/>
        <v>#NUM!</v>
      </c>
      <c r="K1088" s="83" t="e">
        <f t="shared" si="172"/>
        <v>#NUM!</v>
      </c>
      <c r="L1088" s="83">
        <f t="shared" si="173"/>
        <v>0</v>
      </c>
      <c r="M1088" s="110" t="str">
        <f t="shared" si="174"/>
        <v/>
      </c>
      <c r="N1088" s="51" t="str">
        <f t="shared" si="175"/>
        <v/>
      </c>
      <c r="O1088" s="52" t="str">
        <f t="shared" si="176"/>
        <v/>
      </c>
      <c r="P1088" s="88">
        <f t="shared" si="177"/>
        <v>0</v>
      </c>
      <c r="Q1088" s="88">
        <f t="shared" si="178"/>
        <v>0</v>
      </c>
      <c r="R1088" s="88" t="e">
        <f>-IF(Tabla14[[#This Row],[DIAS HABILES O MORA]]&lt;0,(Tabla14[[#This Row],[VALOR PRESTAMO]]*Tabla14[[#This Row],[% INTERES ]]/30*U1088))+Tabla14[[#This Row],[VALOR CUOTAS]]</f>
        <v>#VALUE!</v>
      </c>
      <c r="S1088" s="88">
        <f>-IF(Tabla14[[#This Row],[DIAS HABILES O MORA]]&lt;0,(Tabla14[[#This Row],[VALOR PRESTAMO]]*Tabla14[[#This Row],[% INTERES ]]/30*U1088))</f>
        <v>0</v>
      </c>
      <c r="T1088" s="53" t="e">
        <f>Tabla14[[#This Row],[DEUDA CAPITAL]]+Tabla14[[#This Row],[INTERES  CUOTA]]</f>
        <v>#NUM!</v>
      </c>
      <c r="U1088" s="61" t="str">
        <f t="shared" si="179"/>
        <v/>
      </c>
    </row>
    <row r="1089" spans="9:21" ht="24.75" customHeight="1" x14ac:dyDescent="0.35">
      <c r="I1089" s="42">
        <f t="shared" si="170"/>
        <v>0</v>
      </c>
      <c r="J1089" s="65" t="e">
        <f t="shared" si="171"/>
        <v>#NUM!</v>
      </c>
      <c r="K1089" s="83" t="e">
        <f t="shared" si="172"/>
        <v>#NUM!</v>
      </c>
      <c r="L1089" s="83">
        <f t="shared" si="173"/>
        <v>0</v>
      </c>
      <c r="M1089" s="110" t="str">
        <f t="shared" si="174"/>
        <v/>
      </c>
      <c r="N1089" s="51" t="str">
        <f t="shared" si="175"/>
        <v/>
      </c>
      <c r="O1089" s="52" t="str">
        <f t="shared" si="176"/>
        <v/>
      </c>
      <c r="P1089" s="88">
        <f t="shared" si="177"/>
        <v>0</v>
      </c>
      <c r="Q1089" s="88">
        <f t="shared" si="178"/>
        <v>0</v>
      </c>
      <c r="R1089" s="88" t="e">
        <f>-IF(Tabla14[[#This Row],[DIAS HABILES O MORA]]&lt;0,(Tabla14[[#This Row],[VALOR PRESTAMO]]*Tabla14[[#This Row],[% INTERES ]]/30*U1089))+Tabla14[[#This Row],[VALOR CUOTAS]]</f>
        <v>#VALUE!</v>
      </c>
      <c r="S1089" s="88">
        <f>-IF(Tabla14[[#This Row],[DIAS HABILES O MORA]]&lt;0,(Tabla14[[#This Row],[VALOR PRESTAMO]]*Tabla14[[#This Row],[% INTERES ]]/30*U1089))</f>
        <v>0</v>
      </c>
      <c r="T1089" s="53" t="e">
        <f>Tabla14[[#This Row],[DEUDA CAPITAL]]+Tabla14[[#This Row],[INTERES  CUOTA]]</f>
        <v>#NUM!</v>
      </c>
      <c r="U1089" s="61" t="str">
        <f t="shared" si="179"/>
        <v/>
      </c>
    </row>
    <row r="1090" spans="9:21" ht="24.75" customHeight="1" x14ac:dyDescent="0.35">
      <c r="I1090" s="42">
        <f t="shared" si="170"/>
        <v>0</v>
      </c>
      <c r="J1090" s="65" t="e">
        <f t="shared" si="171"/>
        <v>#NUM!</v>
      </c>
      <c r="K1090" s="83" t="e">
        <f t="shared" si="172"/>
        <v>#NUM!</v>
      </c>
      <c r="L1090" s="83">
        <f t="shared" si="173"/>
        <v>0</v>
      </c>
      <c r="M1090" s="110" t="str">
        <f t="shared" si="174"/>
        <v/>
      </c>
      <c r="N1090" s="51" t="str">
        <f t="shared" si="175"/>
        <v/>
      </c>
      <c r="O1090" s="52" t="str">
        <f t="shared" si="176"/>
        <v/>
      </c>
      <c r="P1090" s="88">
        <f t="shared" si="177"/>
        <v>0</v>
      </c>
      <c r="Q1090" s="88">
        <f t="shared" si="178"/>
        <v>0</v>
      </c>
      <c r="R1090" s="88" t="e">
        <f>-IF(Tabla14[[#This Row],[DIAS HABILES O MORA]]&lt;0,(Tabla14[[#This Row],[VALOR PRESTAMO]]*Tabla14[[#This Row],[% INTERES ]]/30*U1090))+Tabla14[[#This Row],[VALOR CUOTAS]]</f>
        <v>#VALUE!</v>
      </c>
      <c r="S1090" s="88">
        <f>-IF(Tabla14[[#This Row],[DIAS HABILES O MORA]]&lt;0,(Tabla14[[#This Row],[VALOR PRESTAMO]]*Tabla14[[#This Row],[% INTERES ]]/30*U1090))</f>
        <v>0</v>
      </c>
      <c r="T1090" s="53" t="e">
        <f>Tabla14[[#This Row],[DEUDA CAPITAL]]+Tabla14[[#This Row],[INTERES  CUOTA]]</f>
        <v>#NUM!</v>
      </c>
      <c r="U1090" s="61" t="str">
        <f t="shared" si="179"/>
        <v/>
      </c>
    </row>
    <row r="1091" spans="9:21" ht="24.75" customHeight="1" x14ac:dyDescent="0.35">
      <c r="I1091" s="42">
        <f t="shared" si="170"/>
        <v>0</v>
      </c>
      <c r="J1091" s="65" t="e">
        <f t="shared" si="171"/>
        <v>#NUM!</v>
      </c>
      <c r="K1091" s="83" t="e">
        <f t="shared" si="172"/>
        <v>#NUM!</v>
      </c>
      <c r="L1091" s="83">
        <f t="shared" si="173"/>
        <v>0</v>
      </c>
      <c r="M1091" s="110" t="str">
        <f t="shared" si="174"/>
        <v/>
      </c>
      <c r="N1091" s="51" t="str">
        <f t="shared" si="175"/>
        <v/>
      </c>
      <c r="O1091" s="52" t="str">
        <f t="shared" si="176"/>
        <v/>
      </c>
      <c r="P1091" s="88">
        <f t="shared" si="177"/>
        <v>0</v>
      </c>
      <c r="Q1091" s="88">
        <f t="shared" si="178"/>
        <v>0</v>
      </c>
      <c r="R1091" s="88" t="e">
        <f>-IF(Tabla14[[#This Row],[DIAS HABILES O MORA]]&lt;0,(Tabla14[[#This Row],[VALOR PRESTAMO]]*Tabla14[[#This Row],[% INTERES ]]/30*U1091))+Tabla14[[#This Row],[VALOR CUOTAS]]</f>
        <v>#VALUE!</v>
      </c>
      <c r="S1091" s="88">
        <f>-IF(Tabla14[[#This Row],[DIAS HABILES O MORA]]&lt;0,(Tabla14[[#This Row],[VALOR PRESTAMO]]*Tabla14[[#This Row],[% INTERES ]]/30*U1091))</f>
        <v>0</v>
      </c>
      <c r="T1091" s="53" t="e">
        <f>Tabla14[[#This Row],[DEUDA CAPITAL]]+Tabla14[[#This Row],[INTERES  CUOTA]]</f>
        <v>#NUM!</v>
      </c>
      <c r="U1091" s="61" t="str">
        <f t="shared" si="179"/>
        <v/>
      </c>
    </row>
    <row r="1092" spans="9:21" ht="24.75" customHeight="1" x14ac:dyDescent="0.35">
      <c r="I1092" s="42">
        <f t="shared" si="170"/>
        <v>0</v>
      </c>
      <c r="J1092" s="65" t="e">
        <f t="shared" si="171"/>
        <v>#NUM!</v>
      </c>
      <c r="K1092" s="83" t="e">
        <f t="shared" si="172"/>
        <v>#NUM!</v>
      </c>
      <c r="L1092" s="83">
        <f t="shared" si="173"/>
        <v>0</v>
      </c>
      <c r="M1092" s="110" t="str">
        <f t="shared" si="174"/>
        <v/>
      </c>
      <c r="N1092" s="51" t="str">
        <f t="shared" si="175"/>
        <v/>
      </c>
      <c r="O1092" s="52" t="str">
        <f t="shared" si="176"/>
        <v/>
      </c>
      <c r="P1092" s="88">
        <f t="shared" si="177"/>
        <v>0</v>
      </c>
      <c r="Q1092" s="88">
        <f t="shared" si="178"/>
        <v>0</v>
      </c>
      <c r="R1092" s="88" t="e">
        <f>-IF(Tabla14[[#This Row],[DIAS HABILES O MORA]]&lt;0,(Tabla14[[#This Row],[VALOR PRESTAMO]]*Tabla14[[#This Row],[% INTERES ]]/30*U1092))+Tabla14[[#This Row],[VALOR CUOTAS]]</f>
        <v>#VALUE!</v>
      </c>
      <c r="S1092" s="88">
        <f>-IF(Tabla14[[#This Row],[DIAS HABILES O MORA]]&lt;0,(Tabla14[[#This Row],[VALOR PRESTAMO]]*Tabla14[[#This Row],[% INTERES ]]/30*U1092))</f>
        <v>0</v>
      </c>
      <c r="T1092" s="53" t="e">
        <f>Tabla14[[#This Row],[DEUDA CAPITAL]]+Tabla14[[#This Row],[INTERES  CUOTA]]</f>
        <v>#NUM!</v>
      </c>
      <c r="U1092" s="61" t="str">
        <f t="shared" si="179"/>
        <v/>
      </c>
    </row>
    <row r="1093" spans="9:21" ht="24.75" customHeight="1" x14ac:dyDescent="0.35">
      <c r="I1093" s="42">
        <f t="shared" si="170"/>
        <v>0</v>
      </c>
      <c r="J1093" s="65" t="e">
        <f t="shared" si="171"/>
        <v>#NUM!</v>
      </c>
      <c r="K1093" s="83" t="e">
        <f t="shared" si="172"/>
        <v>#NUM!</v>
      </c>
      <c r="L1093" s="83">
        <f t="shared" si="173"/>
        <v>0</v>
      </c>
      <c r="M1093" s="110" t="str">
        <f t="shared" si="174"/>
        <v/>
      </c>
      <c r="N1093" s="51" t="str">
        <f t="shared" si="175"/>
        <v/>
      </c>
      <c r="O1093" s="52" t="str">
        <f t="shared" si="176"/>
        <v/>
      </c>
      <c r="P1093" s="88">
        <f t="shared" si="177"/>
        <v>0</v>
      </c>
      <c r="Q1093" s="88">
        <f t="shared" si="178"/>
        <v>0</v>
      </c>
      <c r="R1093" s="88" t="e">
        <f>-IF(Tabla14[[#This Row],[DIAS HABILES O MORA]]&lt;0,(Tabla14[[#This Row],[VALOR PRESTAMO]]*Tabla14[[#This Row],[% INTERES ]]/30*U1093))+Tabla14[[#This Row],[VALOR CUOTAS]]</f>
        <v>#VALUE!</v>
      </c>
      <c r="S1093" s="88">
        <f>-IF(Tabla14[[#This Row],[DIAS HABILES O MORA]]&lt;0,(Tabla14[[#This Row],[VALOR PRESTAMO]]*Tabla14[[#This Row],[% INTERES ]]/30*U1093))</f>
        <v>0</v>
      </c>
      <c r="T1093" s="53" t="e">
        <f>Tabla14[[#This Row],[DEUDA CAPITAL]]+Tabla14[[#This Row],[INTERES  CUOTA]]</f>
        <v>#NUM!</v>
      </c>
      <c r="U1093" s="61" t="str">
        <f t="shared" si="179"/>
        <v/>
      </c>
    </row>
    <row r="1094" spans="9:21" ht="24.75" customHeight="1" x14ac:dyDescent="0.35">
      <c r="I1094" s="42">
        <f t="shared" si="170"/>
        <v>0</v>
      </c>
      <c r="J1094" s="65" t="e">
        <f t="shared" si="171"/>
        <v>#NUM!</v>
      </c>
      <c r="K1094" s="83" t="e">
        <f t="shared" si="172"/>
        <v>#NUM!</v>
      </c>
      <c r="L1094" s="83">
        <f t="shared" si="173"/>
        <v>0</v>
      </c>
      <c r="M1094" s="110" t="str">
        <f t="shared" si="174"/>
        <v/>
      </c>
      <c r="N1094" s="51" t="str">
        <f t="shared" si="175"/>
        <v/>
      </c>
      <c r="O1094" s="52" t="str">
        <f t="shared" si="176"/>
        <v/>
      </c>
      <c r="P1094" s="88">
        <f t="shared" si="177"/>
        <v>0</v>
      </c>
      <c r="Q1094" s="88">
        <f t="shared" si="178"/>
        <v>0</v>
      </c>
      <c r="R1094" s="88" t="e">
        <f>-IF(Tabla14[[#This Row],[DIAS HABILES O MORA]]&lt;0,(Tabla14[[#This Row],[VALOR PRESTAMO]]*Tabla14[[#This Row],[% INTERES ]]/30*U1094))+Tabla14[[#This Row],[VALOR CUOTAS]]</f>
        <v>#VALUE!</v>
      </c>
      <c r="S1094" s="88">
        <f>-IF(Tabla14[[#This Row],[DIAS HABILES O MORA]]&lt;0,(Tabla14[[#This Row],[VALOR PRESTAMO]]*Tabla14[[#This Row],[% INTERES ]]/30*U1094))</f>
        <v>0</v>
      </c>
      <c r="T1094" s="53" t="e">
        <f>Tabla14[[#This Row],[DEUDA CAPITAL]]+Tabla14[[#This Row],[INTERES  CUOTA]]</f>
        <v>#NUM!</v>
      </c>
      <c r="U1094" s="61" t="str">
        <f t="shared" si="179"/>
        <v/>
      </c>
    </row>
    <row r="1095" spans="9:21" ht="24.75" customHeight="1" x14ac:dyDescent="0.35">
      <c r="I1095" s="42">
        <f t="shared" si="170"/>
        <v>0</v>
      </c>
      <c r="J1095" s="65" t="e">
        <f t="shared" si="171"/>
        <v>#NUM!</v>
      </c>
      <c r="K1095" s="83" t="e">
        <f t="shared" si="172"/>
        <v>#NUM!</v>
      </c>
      <c r="L1095" s="83">
        <f t="shared" si="173"/>
        <v>0</v>
      </c>
      <c r="M1095" s="110" t="str">
        <f t="shared" si="174"/>
        <v/>
      </c>
      <c r="N1095" s="51" t="str">
        <f t="shared" si="175"/>
        <v/>
      </c>
      <c r="O1095" s="52" t="str">
        <f t="shared" si="176"/>
        <v/>
      </c>
      <c r="P1095" s="88">
        <f t="shared" si="177"/>
        <v>0</v>
      </c>
      <c r="Q1095" s="88">
        <f t="shared" si="178"/>
        <v>0</v>
      </c>
      <c r="R1095" s="88" t="e">
        <f>-IF(Tabla14[[#This Row],[DIAS HABILES O MORA]]&lt;0,(Tabla14[[#This Row],[VALOR PRESTAMO]]*Tabla14[[#This Row],[% INTERES ]]/30*U1095))+Tabla14[[#This Row],[VALOR CUOTAS]]</f>
        <v>#VALUE!</v>
      </c>
      <c r="S1095" s="88">
        <f>-IF(Tabla14[[#This Row],[DIAS HABILES O MORA]]&lt;0,(Tabla14[[#This Row],[VALOR PRESTAMO]]*Tabla14[[#This Row],[% INTERES ]]/30*U1095))</f>
        <v>0</v>
      </c>
      <c r="T1095" s="53" t="e">
        <f>Tabla14[[#This Row],[DEUDA CAPITAL]]+Tabla14[[#This Row],[INTERES  CUOTA]]</f>
        <v>#NUM!</v>
      </c>
      <c r="U1095" s="61" t="str">
        <f t="shared" si="179"/>
        <v/>
      </c>
    </row>
    <row r="1096" spans="9:21" ht="24.75" customHeight="1" x14ac:dyDescent="0.35">
      <c r="I1096" s="42">
        <f t="shared" si="170"/>
        <v>0</v>
      </c>
      <c r="J1096" s="65" t="e">
        <f t="shared" si="171"/>
        <v>#NUM!</v>
      </c>
      <c r="K1096" s="83" t="e">
        <f t="shared" si="172"/>
        <v>#NUM!</v>
      </c>
      <c r="L1096" s="83">
        <f t="shared" si="173"/>
        <v>0</v>
      </c>
      <c r="M1096" s="110" t="str">
        <f t="shared" si="174"/>
        <v/>
      </c>
      <c r="N1096" s="51" t="str">
        <f t="shared" si="175"/>
        <v/>
      </c>
      <c r="O1096" s="52" t="str">
        <f t="shared" si="176"/>
        <v/>
      </c>
      <c r="P1096" s="88">
        <f t="shared" si="177"/>
        <v>0</v>
      </c>
      <c r="Q1096" s="88">
        <f t="shared" si="178"/>
        <v>0</v>
      </c>
      <c r="R1096" s="88" t="e">
        <f>-IF(Tabla14[[#This Row],[DIAS HABILES O MORA]]&lt;0,(Tabla14[[#This Row],[VALOR PRESTAMO]]*Tabla14[[#This Row],[% INTERES ]]/30*U1096))+Tabla14[[#This Row],[VALOR CUOTAS]]</f>
        <v>#VALUE!</v>
      </c>
      <c r="S1096" s="88">
        <f>-IF(Tabla14[[#This Row],[DIAS HABILES O MORA]]&lt;0,(Tabla14[[#This Row],[VALOR PRESTAMO]]*Tabla14[[#This Row],[% INTERES ]]/30*U1096))</f>
        <v>0</v>
      </c>
      <c r="T1096" s="53" t="e">
        <f>Tabla14[[#This Row],[DEUDA CAPITAL]]+Tabla14[[#This Row],[INTERES  CUOTA]]</f>
        <v>#NUM!</v>
      </c>
      <c r="U1096" s="61" t="str">
        <f t="shared" si="179"/>
        <v/>
      </c>
    </row>
    <row r="1097" spans="9:21" ht="24.75" customHeight="1" x14ac:dyDescent="0.35">
      <c r="I1097" s="42">
        <f t="shared" si="170"/>
        <v>0</v>
      </c>
      <c r="J1097" s="65" t="e">
        <f t="shared" si="171"/>
        <v>#NUM!</v>
      </c>
      <c r="K1097" s="83" t="e">
        <f t="shared" si="172"/>
        <v>#NUM!</v>
      </c>
      <c r="L1097" s="83">
        <f t="shared" si="173"/>
        <v>0</v>
      </c>
      <c r="M1097" s="110" t="str">
        <f t="shared" si="174"/>
        <v/>
      </c>
      <c r="N1097" s="51" t="str">
        <f t="shared" si="175"/>
        <v/>
      </c>
      <c r="O1097" s="52" t="str">
        <f t="shared" si="176"/>
        <v/>
      </c>
      <c r="P1097" s="88">
        <f t="shared" si="177"/>
        <v>0</v>
      </c>
      <c r="Q1097" s="88">
        <f t="shared" si="178"/>
        <v>0</v>
      </c>
      <c r="R1097" s="88" t="e">
        <f>-IF(Tabla14[[#This Row],[DIAS HABILES O MORA]]&lt;0,(Tabla14[[#This Row],[VALOR PRESTAMO]]*Tabla14[[#This Row],[% INTERES ]]/30*U1097))+Tabla14[[#This Row],[VALOR CUOTAS]]</f>
        <v>#VALUE!</v>
      </c>
      <c r="S1097" s="88">
        <f>-IF(Tabla14[[#This Row],[DIAS HABILES O MORA]]&lt;0,(Tabla14[[#This Row],[VALOR PRESTAMO]]*Tabla14[[#This Row],[% INTERES ]]/30*U1097))</f>
        <v>0</v>
      </c>
      <c r="T1097" s="53" t="e">
        <f>Tabla14[[#This Row],[DEUDA CAPITAL]]+Tabla14[[#This Row],[INTERES  CUOTA]]</f>
        <v>#NUM!</v>
      </c>
      <c r="U1097" s="61" t="str">
        <f t="shared" si="179"/>
        <v/>
      </c>
    </row>
    <row r="1098" spans="9:21" ht="24.75" customHeight="1" x14ac:dyDescent="0.35">
      <c r="I1098" s="42">
        <f t="shared" si="170"/>
        <v>0</v>
      </c>
      <c r="J1098" s="65" t="e">
        <f t="shared" si="171"/>
        <v>#NUM!</v>
      </c>
      <c r="K1098" s="83" t="e">
        <f t="shared" si="172"/>
        <v>#NUM!</v>
      </c>
      <c r="L1098" s="83">
        <f t="shared" si="173"/>
        <v>0</v>
      </c>
      <c r="M1098" s="110" t="str">
        <f t="shared" si="174"/>
        <v/>
      </c>
      <c r="N1098" s="51" t="str">
        <f t="shared" si="175"/>
        <v/>
      </c>
      <c r="O1098" s="52" t="str">
        <f t="shared" si="176"/>
        <v/>
      </c>
      <c r="P1098" s="88">
        <f t="shared" si="177"/>
        <v>0</v>
      </c>
      <c r="Q1098" s="88">
        <f t="shared" si="178"/>
        <v>0</v>
      </c>
      <c r="R1098" s="88" t="e">
        <f>-IF(Tabla14[[#This Row],[DIAS HABILES O MORA]]&lt;0,(Tabla14[[#This Row],[VALOR PRESTAMO]]*Tabla14[[#This Row],[% INTERES ]]/30*U1098))+Tabla14[[#This Row],[VALOR CUOTAS]]</f>
        <v>#VALUE!</v>
      </c>
      <c r="S1098" s="88">
        <f>-IF(Tabla14[[#This Row],[DIAS HABILES O MORA]]&lt;0,(Tabla14[[#This Row],[VALOR PRESTAMO]]*Tabla14[[#This Row],[% INTERES ]]/30*U1098))</f>
        <v>0</v>
      </c>
      <c r="T1098" s="53" t="e">
        <f>Tabla14[[#This Row],[DEUDA CAPITAL]]+Tabla14[[#This Row],[INTERES  CUOTA]]</f>
        <v>#NUM!</v>
      </c>
      <c r="U1098" s="61" t="str">
        <f t="shared" si="179"/>
        <v/>
      </c>
    </row>
    <row r="1099" spans="9:21" ht="24.75" customHeight="1" x14ac:dyDescent="0.35">
      <c r="I1099" s="42">
        <f t="shared" si="170"/>
        <v>0</v>
      </c>
      <c r="J1099" s="65" t="e">
        <f t="shared" si="171"/>
        <v>#NUM!</v>
      </c>
      <c r="K1099" s="83" t="e">
        <f t="shared" si="172"/>
        <v>#NUM!</v>
      </c>
      <c r="L1099" s="83">
        <f t="shared" si="173"/>
        <v>0</v>
      </c>
      <c r="M1099" s="110" t="str">
        <f t="shared" si="174"/>
        <v/>
      </c>
      <c r="N1099" s="51" t="str">
        <f t="shared" si="175"/>
        <v/>
      </c>
      <c r="O1099" s="52" t="str">
        <f t="shared" si="176"/>
        <v/>
      </c>
      <c r="P1099" s="88">
        <f t="shared" si="177"/>
        <v>0</v>
      </c>
      <c r="Q1099" s="88">
        <f t="shared" si="178"/>
        <v>0</v>
      </c>
      <c r="R1099" s="88" t="e">
        <f>-IF(Tabla14[[#This Row],[DIAS HABILES O MORA]]&lt;0,(Tabla14[[#This Row],[VALOR PRESTAMO]]*Tabla14[[#This Row],[% INTERES ]]/30*U1099))+Tabla14[[#This Row],[VALOR CUOTAS]]</f>
        <v>#VALUE!</v>
      </c>
      <c r="S1099" s="88">
        <f>-IF(Tabla14[[#This Row],[DIAS HABILES O MORA]]&lt;0,(Tabla14[[#This Row],[VALOR PRESTAMO]]*Tabla14[[#This Row],[% INTERES ]]/30*U1099))</f>
        <v>0</v>
      </c>
      <c r="T1099" s="53" t="e">
        <f>Tabla14[[#This Row],[DEUDA CAPITAL]]+Tabla14[[#This Row],[INTERES  CUOTA]]</f>
        <v>#NUM!</v>
      </c>
      <c r="U1099" s="61" t="str">
        <f t="shared" si="179"/>
        <v/>
      </c>
    </row>
    <row r="1100" spans="9:21" ht="24.75" customHeight="1" x14ac:dyDescent="0.35">
      <c r="I1100" s="42">
        <f t="shared" si="170"/>
        <v>0</v>
      </c>
      <c r="J1100" s="65" t="e">
        <f t="shared" si="171"/>
        <v>#NUM!</v>
      </c>
      <c r="K1100" s="83" t="e">
        <f t="shared" si="172"/>
        <v>#NUM!</v>
      </c>
      <c r="L1100" s="83">
        <f t="shared" si="173"/>
        <v>0</v>
      </c>
      <c r="M1100" s="110" t="str">
        <f t="shared" si="174"/>
        <v/>
      </c>
      <c r="N1100" s="51" t="str">
        <f t="shared" si="175"/>
        <v/>
      </c>
      <c r="O1100" s="52" t="str">
        <f t="shared" si="176"/>
        <v/>
      </c>
      <c r="P1100" s="88">
        <f t="shared" si="177"/>
        <v>0</v>
      </c>
      <c r="Q1100" s="88">
        <f t="shared" si="178"/>
        <v>0</v>
      </c>
      <c r="R1100" s="88" t="e">
        <f>-IF(Tabla14[[#This Row],[DIAS HABILES O MORA]]&lt;0,(Tabla14[[#This Row],[VALOR PRESTAMO]]*Tabla14[[#This Row],[% INTERES ]]/30*U1100))+Tabla14[[#This Row],[VALOR CUOTAS]]</f>
        <v>#VALUE!</v>
      </c>
      <c r="S1100" s="88">
        <f>-IF(Tabla14[[#This Row],[DIAS HABILES O MORA]]&lt;0,(Tabla14[[#This Row],[VALOR PRESTAMO]]*Tabla14[[#This Row],[% INTERES ]]/30*U1100))</f>
        <v>0</v>
      </c>
      <c r="T1100" s="53" t="e">
        <f>Tabla14[[#This Row],[DEUDA CAPITAL]]+Tabla14[[#This Row],[INTERES  CUOTA]]</f>
        <v>#NUM!</v>
      </c>
      <c r="U1100" s="61" t="str">
        <f t="shared" si="179"/>
        <v/>
      </c>
    </row>
    <row r="1101" spans="9:21" ht="24.75" customHeight="1" x14ac:dyDescent="0.35">
      <c r="I1101" s="42">
        <f t="shared" si="170"/>
        <v>0</v>
      </c>
      <c r="J1101" s="65" t="e">
        <f t="shared" si="171"/>
        <v>#NUM!</v>
      </c>
      <c r="K1101" s="83" t="e">
        <f t="shared" si="172"/>
        <v>#NUM!</v>
      </c>
      <c r="L1101" s="83">
        <f t="shared" si="173"/>
        <v>0</v>
      </c>
      <c r="M1101" s="110" t="str">
        <f t="shared" si="174"/>
        <v/>
      </c>
      <c r="N1101" s="51" t="str">
        <f t="shared" si="175"/>
        <v/>
      </c>
      <c r="O1101" s="52" t="str">
        <f t="shared" si="176"/>
        <v/>
      </c>
      <c r="P1101" s="88">
        <f t="shared" si="177"/>
        <v>0</v>
      </c>
      <c r="Q1101" s="88">
        <f t="shared" si="178"/>
        <v>0</v>
      </c>
      <c r="R1101" s="88" t="e">
        <f>-IF(Tabla14[[#This Row],[DIAS HABILES O MORA]]&lt;0,(Tabla14[[#This Row],[VALOR PRESTAMO]]*Tabla14[[#This Row],[% INTERES ]]/30*U1101))+Tabla14[[#This Row],[VALOR CUOTAS]]</f>
        <v>#VALUE!</v>
      </c>
      <c r="S1101" s="88">
        <f>-IF(Tabla14[[#This Row],[DIAS HABILES O MORA]]&lt;0,(Tabla14[[#This Row],[VALOR PRESTAMO]]*Tabla14[[#This Row],[% INTERES ]]/30*U1101))</f>
        <v>0</v>
      </c>
      <c r="T1101" s="53" t="e">
        <f>Tabla14[[#This Row],[DEUDA CAPITAL]]+Tabla14[[#This Row],[INTERES  CUOTA]]</f>
        <v>#NUM!</v>
      </c>
      <c r="U1101" s="61" t="str">
        <f t="shared" si="179"/>
        <v/>
      </c>
    </row>
    <row r="1102" spans="9:21" ht="24.75" customHeight="1" x14ac:dyDescent="0.35">
      <c r="I1102" s="42">
        <f t="shared" si="170"/>
        <v>0</v>
      </c>
      <c r="J1102" s="65" t="e">
        <f t="shared" si="171"/>
        <v>#NUM!</v>
      </c>
      <c r="K1102" s="83" t="e">
        <f t="shared" si="172"/>
        <v>#NUM!</v>
      </c>
      <c r="L1102" s="83">
        <f t="shared" si="173"/>
        <v>0</v>
      </c>
      <c r="M1102" s="110" t="str">
        <f t="shared" si="174"/>
        <v/>
      </c>
      <c r="N1102" s="51" t="str">
        <f t="shared" si="175"/>
        <v/>
      </c>
      <c r="O1102" s="52" t="str">
        <f t="shared" si="176"/>
        <v/>
      </c>
      <c r="P1102" s="88">
        <f t="shared" si="177"/>
        <v>0</v>
      </c>
      <c r="Q1102" s="88">
        <f t="shared" si="178"/>
        <v>0</v>
      </c>
      <c r="R1102" s="88" t="e">
        <f>-IF(Tabla14[[#This Row],[DIAS HABILES O MORA]]&lt;0,(Tabla14[[#This Row],[VALOR PRESTAMO]]*Tabla14[[#This Row],[% INTERES ]]/30*U1102))+Tabla14[[#This Row],[VALOR CUOTAS]]</f>
        <v>#VALUE!</v>
      </c>
      <c r="S1102" s="88">
        <f>-IF(Tabla14[[#This Row],[DIAS HABILES O MORA]]&lt;0,(Tabla14[[#This Row],[VALOR PRESTAMO]]*Tabla14[[#This Row],[% INTERES ]]/30*U1102))</f>
        <v>0</v>
      </c>
      <c r="T1102" s="53" t="e">
        <f>Tabla14[[#This Row],[DEUDA CAPITAL]]+Tabla14[[#This Row],[INTERES  CUOTA]]</f>
        <v>#NUM!</v>
      </c>
      <c r="U1102" s="61" t="str">
        <f t="shared" si="179"/>
        <v/>
      </c>
    </row>
    <row r="1103" spans="9:21" ht="24.75" customHeight="1" x14ac:dyDescent="0.35">
      <c r="I1103" s="42">
        <f t="shared" si="170"/>
        <v>0</v>
      </c>
      <c r="J1103" s="65" t="e">
        <f t="shared" si="171"/>
        <v>#NUM!</v>
      </c>
      <c r="K1103" s="83" t="e">
        <f t="shared" si="172"/>
        <v>#NUM!</v>
      </c>
      <c r="L1103" s="83">
        <f t="shared" si="173"/>
        <v>0</v>
      </c>
      <c r="M1103" s="110" t="str">
        <f t="shared" si="174"/>
        <v/>
      </c>
      <c r="N1103" s="51" t="str">
        <f t="shared" si="175"/>
        <v/>
      </c>
      <c r="O1103" s="52" t="str">
        <f t="shared" si="176"/>
        <v/>
      </c>
      <c r="P1103" s="88">
        <f t="shared" si="177"/>
        <v>0</v>
      </c>
      <c r="Q1103" s="88">
        <f t="shared" si="178"/>
        <v>0</v>
      </c>
      <c r="R1103" s="88" t="e">
        <f>-IF(Tabla14[[#This Row],[DIAS HABILES O MORA]]&lt;0,(Tabla14[[#This Row],[VALOR PRESTAMO]]*Tabla14[[#This Row],[% INTERES ]]/30*U1103))+Tabla14[[#This Row],[VALOR CUOTAS]]</f>
        <v>#VALUE!</v>
      </c>
      <c r="S1103" s="88">
        <f>-IF(Tabla14[[#This Row],[DIAS HABILES O MORA]]&lt;0,(Tabla14[[#This Row],[VALOR PRESTAMO]]*Tabla14[[#This Row],[% INTERES ]]/30*U1103))</f>
        <v>0</v>
      </c>
      <c r="T1103" s="53" t="e">
        <f>Tabla14[[#This Row],[DEUDA CAPITAL]]+Tabla14[[#This Row],[INTERES  CUOTA]]</f>
        <v>#NUM!</v>
      </c>
      <c r="U1103" s="61" t="str">
        <f t="shared" si="179"/>
        <v/>
      </c>
    </row>
    <row r="1104" spans="9:21" ht="24.75" customHeight="1" x14ac:dyDescent="0.35">
      <c r="I1104" s="42">
        <f t="shared" ref="I1104:I1167" si="180">IF(C1104&lt;0,"",IF(Q1104=0,0,IF(G1104=0,H1104+1,IF(H1104&lt;G1104,H1104+1,IF(G1104=H1104,0)))))</f>
        <v>0</v>
      </c>
      <c r="J1104" s="65" t="e">
        <f t="shared" ref="J1104:J1167" si="181">IF(F1104="SOLO INTERES",Q1104*D1104,-IPMT(D1104,I1104,G1104,C1104))</f>
        <v>#NUM!</v>
      </c>
      <c r="K1104" s="83" t="e">
        <f t="shared" ref="K1104:K1167" si="182">IF(F1104="SOLO INTERES",0,-PPMT(D1104,I1104,G1104,C1104))</f>
        <v>#NUM!</v>
      </c>
      <c r="L1104" s="83">
        <f t="shared" ref="L1104:L1167" si="183">IF(F1104="SOLO INTERES",SUM(Y1104:AAE1104),IFERROR(-CUMIPMT(D1104,G1104,C1104,1,H1104,0),0)+SUM(Y1104:WY1104))</f>
        <v>0</v>
      </c>
      <c r="M1104" s="110" t="str">
        <f t="shared" ref="M1104:M1167" si="184">IFERROR(IF(F1104="SOLO INTERES",Q1104*D1104,-PMT(D1104,G1104,C1104,0)),"")</f>
        <v/>
      </c>
      <c r="N1104" s="51" t="str">
        <f t="shared" ref="N1104:N1167" si="185">IF(Q1104=0,"",IF(E1104="MENSUAL",EDATE(B1104,I1104),IF(E1104="QUINCENAL",B1104+(I1104*15),IF(E1104="SEMANAL",B1104+(I1104*7)))))</f>
        <v/>
      </c>
      <c r="O1104" s="52" t="str">
        <f t="shared" ref="O1104:O1167" si="186">IF(C1104=0,"",IF(Q1104&lt;1,"PAGADO",IF(N1104=$A$3,"COBRAR HOY",IF(N1104&lt;$A$3,"EN MORA",IF(N1104&gt;$A$3,"AL DIA")))))</f>
        <v/>
      </c>
      <c r="P1104" s="88">
        <f t="shared" ref="P1104:P1167" si="187">IFERROR(-CUMPRINC(D1104,G1104,C1104,1,H1104,0),0)+W1104</f>
        <v>0</v>
      </c>
      <c r="Q1104" s="88">
        <f t="shared" ref="Q1104:Q1167" si="188">IFERROR(C1104-P1104,"")</f>
        <v>0</v>
      </c>
      <c r="R1104" s="88" t="e">
        <f>-IF(Tabla14[[#This Row],[DIAS HABILES O MORA]]&lt;0,(Tabla14[[#This Row],[VALOR PRESTAMO]]*Tabla14[[#This Row],[% INTERES ]]/30*U1104))+Tabla14[[#This Row],[VALOR CUOTAS]]</f>
        <v>#VALUE!</v>
      </c>
      <c r="S1104" s="88">
        <f>-IF(Tabla14[[#This Row],[DIAS HABILES O MORA]]&lt;0,(Tabla14[[#This Row],[VALOR PRESTAMO]]*Tabla14[[#This Row],[% INTERES ]]/30*U1104))</f>
        <v>0</v>
      </c>
      <c r="T1104" s="53" t="e">
        <f>Tabla14[[#This Row],[DEUDA CAPITAL]]+Tabla14[[#This Row],[INTERES  CUOTA]]</f>
        <v>#NUM!</v>
      </c>
      <c r="U1104" s="61" t="str">
        <f t="shared" ref="U1104:U1167" si="189">IF(O1104="PAGADO","",IFERROR(-IF(C1104=0,"",$A$3-N1104),""))</f>
        <v/>
      </c>
    </row>
    <row r="1105" spans="9:21" ht="24.75" customHeight="1" x14ac:dyDescent="0.35">
      <c r="I1105" s="42">
        <f t="shared" si="180"/>
        <v>0</v>
      </c>
      <c r="J1105" s="65" t="e">
        <f t="shared" si="181"/>
        <v>#NUM!</v>
      </c>
      <c r="K1105" s="83" t="e">
        <f t="shared" si="182"/>
        <v>#NUM!</v>
      </c>
      <c r="L1105" s="83">
        <f t="shared" si="183"/>
        <v>0</v>
      </c>
      <c r="M1105" s="110" t="str">
        <f t="shared" si="184"/>
        <v/>
      </c>
      <c r="N1105" s="51" t="str">
        <f t="shared" si="185"/>
        <v/>
      </c>
      <c r="O1105" s="52" t="str">
        <f t="shared" si="186"/>
        <v/>
      </c>
      <c r="P1105" s="88">
        <f t="shared" si="187"/>
        <v>0</v>
      </c>
      <c r="Q1105" s="88">
        <f t="shared" si="188"/>
        <v>0</v>
      </c>
      <c r="R1105" s="88" t="e">
        <f>-IF(Tabla14[[#This Row],[DIAS HABILES O MORA]]&lt;0,(Tabla14[[#This Row],[VALOR PRESTAMO]]*Tabla14[[#This Row],[% INTERES ]]/30*U1105))+Tabla14[[#This Row],[VALOR CUOTAS]]</f>
        <v>#VALUE!</v>
      </c>
      <c r="S1105" s="88">
        <f>-IF(Tabla14[[#This Row],[DIAS HABILES O MORA]]&lt;0,(Tabla14[[#This Row],[VALOR PRESTAMO]]*Tabla14[[#This Row],[% INTERES ]]/30*U1105))</f>
        <v>0</v>
      </c>
      <c r="T1105" s="53" t="e">
        <f>Tabla14[[#This Row],[DEUDA CAPITAL]]+Tabla14[[#This Row],[INTERES  CUOTA]]</f>
        <v>#NUM!</v>
      </c>
      <c r="U1105" s="61" t="str">
        <f t="shared" si="189"/>
        <v/>
      </c>
    </row>
    <row r="1106" spans="9:21" ht="24.75" customHeight="1" x14ac:dyDescent="0.35">
      <c r="I1106" s="42">
        <f t="shared" si="180"/>
        <v>0</v>
      </c>
      <c r="J1106" s="65" t="e">
        <f t="shared" si="181"/>
        <v>#NUM!</v>
      </c>
      <c r="K1106" s="83" t="e">
        <f t="shared" si="182"/>
        <v>#NUM!</v>
      </c>
      <c r="L1106" s="83">
        <f t="shared" si="183"/>
        <v>0</v>
      </c>
      <c r="M1106" s="110" t="str">
        <f t="shared" si="184"/>
        <v/>
      </c>
      <c r="N1106" s="51" t="str">
        <f t="shared" si="185"/>
        <v/>
      </c>
      <c r="O1106" s="52" t="str">
        <f t="shared" si="186"/>
        <v/>
      </c>
      <c r="P1106" s="88">
        <f t="shared" si="187"/>
        <v>0</v>
      </c>
      <c r="Q1106" s="88">
        <f t="shared" si="188"/>
        <v>0</v>
      </c>
      <c r="R1106" s="88" t="e">
        <f>-IF(Tabla14[[#This Row],[DIAS HABILES O MORA]]&lt;0,(Tabla14[[#This Row],[VALOR PRESTAMO]]*Tabla14[[#This Row],[% INTERES ]]/30*U1106))+Tabla14[[#This Row],[VALOR CUOTAS]]</f>
        <v>#VALUE!</v>
      </c>
      <c r="S1106" s="88">
        <f>-IF(Tabla14[[#This Row],[DIAS HABILES O MORA]]&lt;0,(Tabla14[[#This Row],[VALOR PRESTAMO]]*Tabla14[[#This Row],[% INTERES ]]/30*U1106))</f>
        <v>0</v>
      </c>
      <c r="T1106" s="53" t="e">
        <f>Tabla14[[#This Row],[DEUDA CAPITAL]]+Tabla14[[#This Row],[INTERES  CUOTA]]</f>
        <v>#NUM!</v>
      </c>
      <c r="U1106" s="61" t="str">
        <f t="shared" si="189"/>
        <v/>
      </c>
    </row>
    <row r="1107" spans="9:21" ht="24.75" customHeight="1" x14ac:dyDescent="0.35">
      <c r="I1107" s="42">
        <f t="shared" si="180"/>
        <v>0</v>
      </c>
      <c r="J1107" s="65" t="e">
        <f t="shared" si="181"/>
        <v>#NUM!</v>
      </c>
      <c r="K1107" s="83" t="e">
        <f t="shared" si="182"/>
        <v>#NUM!</v>
      </c>
      <c r="L1107" s="83">
        <f t="shared" si="183"/>
        <v>0</v>
      </c>
      <c r="M1107" s="110" t="str">
        <f t="shared" si="184"/>
        <v/>
      </c>
      <c r="N1107" s="51" t="str">
        <f t="shared" si="185"/>
        <v/>
      </c>
      <c r="O1107" s="52" t="str">
        <f t="shared" si="186"/>
        <v/>
      </c>
      <c r="P1107" s="88">
        <f t="shared" si="187"/>
        <v>0</v>
      </c>
      <c r="Q1107" s="88">
        <f t="shared" si="188"/>
        <v>0</v>
      </c>
      <c r="R1107" s="88" t="e">
        <f>-IF(Tabla14[[#This Row],[DIAS HABILES O MORA]]&lt;0,(Tabla14[[#This Row],[VALOR PRESTAMO]]*Tabla14[[#This Row],[% INTERES ]]/30*U1107))+Tabla14[[#This Row],[VALOR CUOTAS]]</f>
        <v>#VALUE!</v>
      </c>
      <c r="S1107" s="88">
        <f>-IF(Tabla14[[#This Row],[DIAS HABILES O MORA]]&lt;0,(Tabla14[[#This Row],[VALOR PRESTAMO]]*Tabla14[[#This Row],[% INTERES ]]/30*U1107))</f>
        <v>0</v>
      </c>
      <c r="T1107" s="53" t="e">
        <f>Tabla14[[#This Row],[DEUDA CAPITAL]]+Tabla14[[#This Row],[INTERES  CUOTA]]</f>
        <v>#NUM!</v>
      </c>
      <c r="U1107" s="61" t="str">
        <f t="shared" si="189"/>
        <v/>
      </c>
    </row>
    <row r="1108" spans="9:21" ht="24.75" customHeight="1" x14ac:dyDescent="0.35">
      <c r="I1108" s="42">
        <f t="shared" si="180"/>
        <v>0</v>
      </c>
      <c r="J1108" s="65" t="e">
        <f t="shared" si="181"/>
        <v>#NUM!</v>
      </c>
      <c r="K1108" s="83" t="e">
        <f t="shared" si="182"/>
        <v>#NUM!</v>
      </c>
      <c r="L1108" s="83">
        <f t="shared" si="183"/>
        <v>0</v>
      </c>
      <c r="M1108" s="110" t="str">
        <f t="shared" si="184"/>
        <v/>
      </c>
      <c r="N1108" s="51" t="str">
        <f t="shared" si="185"/>
        <v/>
      </c>
      <c r="O1108" s="52" t="str">
        <f t="shared" si="186"/>
        <v/>
      </c>
      <c r="P1108" s="88">
        <f t="shared" si="187"/>
        <v>0</v>
      </c>
      <c r="Q1108" s="88">
        <f t="shared" si="188"/>
        <v>0</v>
      </c>
      <c r="R1108" s="88" t="e">
        <f>-IF(Tabla14[[#This Row],[DIAS HABILES O MORA]]&lt;0,(Tabla14[[#This Row],[VALOR PRESTAMO]]*Tabla14[[#This Row],[% INTERES ]]/30*U1108))+Tabla14[[#This Row],[VALOR CUOTAS]]</f>
        <v>#VALUE!</v>
      </c>
      <c r="S1108" s="88">
        <f>-IF(Tabla14[[#This Row],[DIAS HABILES O MORA]]&lt;0,(Tabla14[[#This Row],[VALOR PRESTAMO]]*Tabla14[[#This Row],[% INTERES ]]/30*U1108))</f>
        <v>0</v>
      </c>
      <c r="T1108" s="53" t="e">
        <f>Tabla14[[#This Row],[DEUDA CAPITAL]]+Tabla14[[#This Row],[INTERES  CUOTA]]</f>
        <v>#NUM!</v>
      </c>
      <c r="U1108" s="61" t="str">
        <f t="shared" si="189"/>
        <v/>
      </c>
    </row>
    <row r="1109" spans="9:21" ht="24.75" customHeight="1" x14ac:dyDescent="0.35">
      <c r="I1109" s="42">
        <f t="shared" si="180"/>
        <v>0</v>
      </c>
      <c r="J1109" s="65" t="e">
        <f t="shared" si="181"/>
        <v>#NUM!</v>
      </c>
      <c r="K1109" s="83" t="e">
        <f t="shared" si="182"/>
        <v>#NUM!</v>
      </c>
      <c r="L1109" s="83">
        <f t="shared" si="183"/>
        <v>0</v>
      </c>
      <c r="M1109" s="110" t="str">
        <f t="shared" si="184"/>
        <v/>
      </c>
      <c r="N1109" s="51" t="str">
        <f t="shared" si="185"/>
        <v/>
      </c>
      <c r="O1109" s="52" t="str">
        <f t="shared" si="186"/>
        <v/>
      </c>
      <c r="P1109" s="88">
        <f t="shared" si="187"/>
        <v>0</v>
      </c>
      <c r="Q1109" s="88">
        <f t="shared" si="188"/>
        <v>0</v>
      </c>
      <c r="R1109" s="88" t="e">
        <f>-IF(Tabla14[[#This Row],[DIAS HABILES O MORA]]&lt;0,(Tabla14[[#This Row],[VALOR PRESTAMO]]*Tabla14[[#This Row],[% INTERES ]]/30*U1109))+Tabla14[[#This Row],[VALOR CUOTAS]]</f>
        <v>#VALUE!</v>
      </c>
      <c r="S1109" s="88">
        <f>-IF(Tabla14[[#This Row],[DIAS HABILES O MORA]]&lt;0,(Tabla14[[#This Row],[VALOR PRESTAMO]]*Tabla14[[#This Row],[% INTERES ]]/30*U1109))</f>
        <v>0</v>
      </c>
      <c r="T1109" s="53" t="e">
        <f>Tabla14[[#This Row],[DEUDA CAPITAL]]+Tabla14[[#This Row],[INTERES  CUOTA]]</f>
        <v>#NUM!</v>
      </c>
      <c r="U1109" s="61" t="str">
        <f t="shared" si="189"/>
        <v/>
      </c>
    </row>
    <row r="1110" spans="9:21" ht="24.75" customHeight="1" x14ac:dyDescent="0.35">
      <c r="I1110" s="42">
        <f t="shared" si="180"/>
        <v>0</v>
      </c>
      <c r="J1110" s="65" t="e">
        <f t="shared" si="181"/>
        <v>#NUM!</v>
      </c>
      <c r="K1110" s="83" t="e">
        <f t="shared" si="182"/>
        <v>#NUM!</v>
      </c>
      <c r="L1110" s="83">
        <f t="shared" si="183"/>
        <v>0</v>
      </c>
      <c r="M1110" s="110" t="str">
        <f t="shared" si="184"/>
        <v/>
      </c>
      <c r="N1110" s="51" t="str">
        <f t="shared" si="185"/>
        <v/>
      </c>
      <c r="O1110" s="52" t="str">
        <f t="shared" si="186"/>
        <v/>
      </c>
      <c r="P1110" s="88">
        <f t="shared" si="187"/>
        <v>0</v>
      </c>
      <c r="Q1110" s="88">
        <f t="shared" si="188"/>
        <v>0</v>
      </c>
      <c r="R1110" s="88" t="e">
        <f>-IF(Tabla14[[#This Row],[DIAS HABILES O MORA]]&lt;0,(Tabla14[[#This Row],[VALOR PRESTAMO]]*Tabla14[[#This Row],[% INTERES ]]/30*U1110))+Tabla14[[#This Row],[VALOR CUOTAS]]</f>
        <v>#VALUE!</v>
      </c>
      <c r="S1110" s="88">
        <f>-IF(Tabla14[[#This Row],[DIAS HABILES O MORA]]&lt;0,(Tabla14[[#This Row],[VALOR PRESTAMO]]*Tabla14[[#This Row],[% INTERES ]]/30*U1110))</f>
        <v>0</v>
      </c>
      <c r="T1110" s="53" t="e">
        <f>Tabla14[[#This Row],[DEUDA CAPITAL]]+Tabla14[[#This Row],[INTERES  CUOTA]]</f>
        <v>#NUM!</v>
      </c>
      <c r="U1110" s="61" t="str">
        <f t="shared" si="189"/>
        <v/>
      </c>
    </row>
    <row r="1111" spans="9:21" ht="24.75" customHeight="1" x14ac:dyDescent="0.35">
      <c r="I1111" s="42">
        <f t="shared" si="180"/>
        <v>0</v>
      </c>
      <c r="J1111" s="65" t="e">
        <f t="shared" si="181"/>
        <v>#NUM!</v>
      </c>
      <c r="K1111" s="83" t="e">
        <f t="shared" si="182"/>
        <v>#NUM!</v>
      </c>
      <c r="L1111" s="83">
        <f t="shared" si="183"/>
        <v>0</v>
      </c>
      <c r="M1111" s="110" t="str">
        <f t="shared" si="184"/>
        <v/>
      </c>
      <c r="N1111" s="51" t="str">
        <f t="shared" si="185"/>
        <v/>
      </c>
      <c r="O1111" s="52" t="str">
        <f t="shared" si="186"/>
        <v/>
      </c>
      <c r="P1111" s="88">
        <f t="shared" si="187"/>
        <v>0</v>
      </c>
      <c r="Q1111" s="88">
        <f t="shared" si="188"/>
        <v>0</v>
      </c>
      <c r="R1111" s="88" t="e">
        <f>-IF(Tabla14[[#This Row],[DIAS HABILES O MORA]]&lt;0,(Tabla14[[#This Row],[VALOR PRESTAMO]]*Tabla14[[#This Row],[% INTERES ]]/30*U1111))+Tabla14[[#This Row],[VALOR CUOTAS]]</f>
        <v>#VALUE!</v>
      </c>
      <c r="S1111" s="88">
        <f>-IF(Tabla14[[#This Row],[DIAS HABILES O MORA]]&lt;0,(Tabla14[[#This Row],[VALOR PRESTAMO]]*Tabla14[[#This Row],[% INTERES ]]/30*U1111))</f>
        <v>0</v>
      </c>
      <c r="T1111" s="53" t="e">
        <f>Tabla14[[#This Row],[DEUDA CAPITAL]]+Tabla14[[#This Row],[INTERES  CUOTA]]</f>
        <v>#NUM!</v>
      </c>
      <c r="U1111" s="61" t="str">
        <f t="shared" si="189"/>
        <v/>
      </c>
    </row>
    <row r="1112" spans="9:21" ht="24.75" customHeight="1" x14ac:dyDescent="0.35">
      <c r="I1112" s="42">
        <f t="shared" si="180"/>
        <v>0</v>
      </c>
      <c r="J1112" s="65" t="e">
        <f t="shared" si="181"/>
        <v>#NUM!</v>
      </c>
      <c r="K1112" s="83" t="e">
        <f t="shared" si="182"/>
        <v>#NUM!</v>
      </c>
      <c r="L1112" s="83">
        <f t="shared" si="183"/>
        <v>0</v>
      </c>
      <c r="M1112" s="110" t="str">
        <f t="shared" si="184"/>
        <v/>
      </c>
      <c r="N1112" s="51" t="str">
        <f t="shared" si="185"/>
        <v/>
      </c>
      <c r="O1112" s="52" t="str">
        <f t="shared" si="186"/>
        <v/>
      </c>
      <c r="P1112" s="88">
        <f t="shared" si="187"/>
        <v>0</v>
      </c>
      <c r="Q1112" s="88">
        <f t="shared" si="188"/>
        <v>0</v>
      </c>
      <c r="R1112" s="88" t="e">
        <f>-IF(Tabla14[[#This Row],[DIAS HABILES O MORA]]&lt;0,(Tabla14[[#This Row],[VALOR PRESTAMO]]*Tabla14[[#This Row],[% INTERES ]]/30*U1112))+Tabla14[[#This Row],[VALOR CUOTAS]]</f>
        <v>#VALUE!</v>
      </c>
      <c r="S1112" s="88">
        <f>-IF(Tabla14[[#This Row],[DIAS HABILES O MORA]]&lt;0,(Tabla14[[#This Row],[VALOR PRESTAMO]]*Tabla14[[#This Row],[% INTERES ]]/30*U1112))</f>
        <v>0</v>
      </c>
      <c r="T1112" s="53" t="e">
        <f>Tabla14[[#This Row],[DEUDA CAPITAL]]+Tabla14[[#This Row],[INTERES  CUOTA]]</f>
        <v>#NUM!</v>
      </c>
      <c r="U1112" s="61" t="str">
        <f t="shared" si="189"/>
        <v/>
      </c>
    </row>
    <row r="1113" spans="9:21" ht="24.75" customHeight="1" x14ac:dyDescent="0.35">
      <c r="I1113" s="42">
        <f t="shared" si="180"/>
        <v>0</v>
      </c>
      <c r="J1113" s="65" t="e">
        <f t="shared" si="181"/>
        <v>#NUM!</v>
      </c>
      <c r="K1113" s="83" t="e">
        <f t="shared" si="182"/>
        <v>#NUM!</v>
      </c>
      <c r="L1113" s="83">
        <f t="shared" si="183"/>
        <v>0</v>
      </c>
      <c r="M1113" s="110" t="str">
        <f t="shared" si="184"/>
        <v/>
      </c>
      <c r="N1113" s="51" t="str">
        <f t="shared" si="185"/>
        <v/>
      </c>
      <c r="O1113" s="52" t="str">
        <f t="shared" si="186"/>
        <v/>
      </c>
      <c r="P1113" s="88">
        <f t="shared" si="187"/>
        <v>0</v>
      </c>
      <c r="Q1113" s="88">
        <f t="shared" si="188"/>
        <v>0</v>
      </c>
      <c r="R1113" s="88" t="e">
        <f>-IF(Tabla14[[#This Row],[DIAS HABILES O MORA]]&lt;0,(Tabla14[[#This Row],[VALOR PRESTAMO]]*Tabla14[[#This Row],[% INTERES ]]/30*U1113))+Tabla14[[#This Row],[VALOR CUOTAS]]</f>
        <v>#VALUE!</v>
      </c>
      <c r="S1113" s="88">
        <f>-IF(Tabla14[[#This Row],[DIAS HABILES O MORA]]&lt;0,(Tabla14[[#This Row],[VALOR PRESTAMO]]*Tabla14[[#This Row],[% INTERES ]]/30*U1113))</f>
        <v>0</v>
      </c>
      <c r="T1113" s="53" t="e">
        <f>Tabla14[[#This Row],[DEUDA CAPITAL]]+Tabla14[[#This Row],[INTERES  CUOTA]]</f>
        <v>#NUM!</v>
      </c>
      <c r="U1113" s="61" t="str">
        <f t="shared" si="189"/>
        <v/>
      </c>
    </row>
    <row r="1114" spans="9:21" ht="24.75" customHeight="1" x14ac:dyDescent="0.35">
      <c r="I1114" s="42">
        <f t="shared" si="180"/>
        <v>0</v>
      </c>
      <c r="J1114" s="65" t="e">
        <f t="shared" si="181"/>
        <v>#NUM!</v>
      </c>
      <c r="K1114" s="83" t="e">
        <f t="shared" si="182"/>
        <v>#NUM!</v>
      </c>
      <c r="L1114" s="83">
        <f t="shared" si="183"/>
        <v>0</v>
      </c>
      <c r="M1114" s="110" t="str">
        <f t="shared" si="184"/>
        <v/>
      </c>
      <c r="N1114" s="51" t="str">
        <f t="shared" si="185"/>
        <v/>
      </c>
      <c r="O1114" s="52" t="str">
        <f t="shared" si="186"/>
        <v/>
      </c>
      <c r="P1114" s="88">
        <f t="shared" si="187"/>
        <v>0</v>
      </c>
      <c r="Q1114" s="88">
        <f t="shared" si="188"/>
        <v>0</v>
      </c>
      <c r="R1114" s="88" t="e">
        <f>-IF(Tabla14[[#This Row],[DIAS HABILES O MORA]]&lt;0,(Tabla14[[#This Row],[VALOR PRESTAMO]]*Tabla14[[#This Row],[% INTERES ]]/30*U1114))+Tabla14[[#This Row],[VALOR CUOTAS]]</f>
        <v>#VALUE!</v>
      </c>
      <c r="S1114" s="88">
        <f>-IF(Tabla14[[#This Row],[DIAS HABILES O MORA]]&lt;0,(Tabla14[[#This Row],[VALOR PRESTAMO]]*Tabla14[[#This Row],[% INTERES ]]/30*U1114))</f>
        <v>0</v>
      </c>
      <c r="T1114" s="53" t="e">
        <f>Tabla14[[#This Row],[DEUDA CAPITAL]]+Tabla14[[#This Row],[INTERES  CUOTA]]</f>
        <v>#NUM!</v>
      </c>
      <c r="U1114" s="61" t="str">
        <f t="shared" si="189"/>
        <v/>
      </c>
    </row>
    <row r="1115" spans="9:21" ht="24.75" customHeight="1" x14ac:dyDescent="0.35">
      <c r="I1115" s="42">
        <f t="shared" si="180"/>
        <v>0</v>
      </c>
      <c r="J1115" s="65" t="e">
        <f t="shared" si="181"/>
        <v>#NUM!</v>
      </c>
      <c r="K1115" s="83" t="e">
        <f t="shared" si="182"/>
        <v>#NUM!</v>
      </c>
      <c r="L1115" s="83">
        <f t="shared" si="183"/>
        <v>0</v>
      </c>
      <c r="M1115" s="110" t="str">
        <f t="shared" si="184"/>
        <v/>
      </c>
      <c r="N1115" s="51" t="str">
        <f t="shared" si="185"/>
        <v/>
      </c>
      <c r="O1115" s="52" t="str">
        <f t="shared" si="186"/>
        <v/>
      </c>
      <c r="P1115" s="88">
        <f t="shared" si="187"/>
        <v>0</v>
      </c>
      <c r="Q1115" s="88">
        <f t="shared" si="188"/>
        <v>0</v>
      </c>
      <c r="R1115" s="88" t="e">
        <f>-IF(Tabla14[[#This Row],[DIAS HABILES O MORA]]&lt;0,(Tabla14[[#This Row],[VALOR PRESTAMO]]*Tabla14[[#This Row],[% INTERES ]]/30*U1115))+Tabla14[[#This Row],[VALOR CUOTAS]]</f>
        <v>#VALUE!</v>
      </c>
      <c r="S1115" s="88">
        <f>-IF(Tabla14[[#This Row],[DIAS HABILES O MORA]]&lt;0,(Tabla14[[#This Row],[VALOR PRESTAMO]]*Tabla14[[#This Row],[% INTERES ]]/30*U1115))</f>
        <v>0</v>
      </c>
      <c r="T1115" s="53" t="e">
        <f>Tabla14[[#This Row],[DEUDA CAPITAL]]+Tabla14[[#This Row],[INTERES  CUOTA]]</f>
        <v>#NUM!</v>
      </c>
      <c r="U1115" s="61" t="str">
        <f t="shared" si="189"/>
        <v/>
      </c>
    </row>
    <row r="1116" spans="9:21" ht="24.75" customHeight="1" x14ac:dyDescent="0.35">
      <c r="I1116" s="42">
        <f t="shared" si="180"/>
        <v>0</v>
      </c>
      <c r="J1116" s="65" t="e">
        <f t="shared" si="181"/>
        <v>#NUM!</v>
      </c>
      <c r="K1116" s="83" t="e">
        <f t="shared" si="182"/>
        <v>#NUM!</v>
      </c>
      <c r="L1116" s="83">
        <f t="shared" si="183"/>
        <v>0</v>
      </c>
      <c r="M1116" s="110" t="str">
        <f t="shared" si="184"/>
        <v/>
      </c>
      <c r="N1116" s="51" t="str">
        <f t="shared" si="185"/>
        <v/>
      </c>
      <c r="O1116" s="52" t="str">
        <f t="shared" si="186"/>
        <v/>
      </c>
      <c r="P1116" s="88">
        <f t="shared" si="187"/>
        <v>0</v>
      </c>
      <c r="Q1116" s="88">
        <f t="shared" si="188"/>
        <v>0</v>
      </c>
      <c r="R1116" s="88" t="e">
        <f>-IF(Tabla14[[#This Row],[DIAS HABILES O MORA]]&lt;0,(Tabla14[[#This Row],[VALOR PRESTAMO]]*Tabla14[[#This Row],[% INTERES ]]/30*U1116))+Tabla14[[#This Row],[VALOR CUOTAS]]</f>
        <v>#VALUE!</v>
      </c>
      <c r="S1116" s="88">
        <f>-IF(Tabla14[[#This Row],[DIAS HABILES O MORA]]&lt;0,(Tabla14[[#This Row],[VALOR PRESTAMO]]*Tabla14[[#This Row],[% INTERES ]]/30*U1116))</f>
        <v>0</v>
      </c>
      <c r="T1116" s="53" t="e">
        <f>Tabla14[[#This Row],[DEUDA CAPITAL]]+Tabla14[[#This Row],[INTERES  CUOTA]]</f>
        <v>#NUM!</v>
      </c>
      <c r="U1116" s="61" t="str">
        <f t="shared" si="189"/>
        <v/>
      </c>
    </row>
    <row r="1117" spans="9:21" ht="24.75" customHeight="1" x14ac:dyDescent="0.35">
      <c r="I1117" s="42">
        <f t="shared" si="180"/>
        <v>0</v>
      </c>
      <c r="J1117" s="65" t="e">
        <f t="shared" si="181"/>
        <v>#NUM!</v>
      </c>
      <c r="K1117" s="83" t="e">
        <f t="shared" si="182"/>
        <v>#NUM!</v>
      </c>
      <c r="L1117" s="83">
        <f t="shared" si="183"/>
        <v>0</v>
      </c>
      <c r="M1117" s="110" t="str">
        <f t="shared" si="184"/>
        <v/>
      </c>
      <c r="N1117" s="51" t="str">
        <f t="shared" si="185"/>
        <v/>
      </c>
      <c r="O1117" s="52" t="str">
        <f t="shared" si="186"/>
        <v/>
      </c>
      <c r="P1117" s="88">
        <f t="shared" si="187"/>
        <v>0</v>
      </c>
      <c r="Q1117" s="88">
        <f t="shared" si="188"/>
        <v>0</v>
      </c>
      <c r="R1117" s="88" t="e">
        <f>-IF(Tabla14[[#This Row],[DIAS HABILES O MORA]]&lt;0,(Tabla14[[#This Row],[VALOR PRESTAMO]]*Tabla14[[#This Row],[% INTERES ]]/30*U1117))+Tabla14[[#This Row],[VALOR CUOTAS]]</f>
        <v>#VALUE!</v>
      </c>
      <c r="S1117" s="88">
        <f>-IF(Tabla14[[#This Row],[DIAS HABILES O MORA]]&lt;0,(Tabla14[[#This Row],[VALOR PRESTAMO]]*Tabla14[[#This Row],[% INTERES ]]/30*U1117))</f>
        <v>0</v>
      </c>
      <c r="T1117" s="53" t="e">
        <f>Tabla14[[#This Row],[DEUDA CAPITAL]]+Tabla14[[#This Row],[INTERES  CUOTA]]</f>
        <v>#NUM!</v>
      </c>
      <c r="U1117" s="61" t="str">
        <f t="shared" si="189"/>
        <v/>
      </c>
    </row>
    <row r="1118" spans="9:21" ht="24.75" customHeight="1" x14ac:dyDescent="0.35">
      <c r="I1118" s="42">
        <f t="shared" si="180"/>
        <v>0</v>
      </c>
      <c r="J1118" s="65" t="e">
        <f t="shared" si="181"/>
        <v>#NUM!</v>
      </c>
      <c r="K1118" s="83" t="e">
        <f t="shared" si="182"/>
        <v>#NUM!</v>
      </c>
      <c r="L1118" s="83">
        <f t="shared" si="183"/>
        <v>0</v>
      </c>
      <c r="M1118" s="110" t="str">
        <f t="shared" si="184"/>
        <v/>
      </c>
      <c r="N1118" s="51" t="str">
        <f t="shared" si="185"/>
        <v/>
      </c>
      <c r="O1118" s="52" t="str">
        <f t="shared" si="186"/>
        <v/>
      </c>
      <c r="P1118" s="88">
        <f t="shared" si="187"/>
        <v>0</v>
      </c>
      <c r="Q1118" s="88">
        <f t="shared" si="188"/>
        <v>0</v>
      </c>
      <c r="R1118" s="88" t="e">
        <f>-IF(Tabla14[[#This Row],[DIAS HABILES O MORA]]&lt;0,(Tabla14[[#This Row],[VALOR PRESTAMO]]*Tabla14[[#This Row],[% INTERES ]]/30*U1118))+Tabla14[[#This Row],[VALOR CUOTAS]]</f>
        <v>#VALUE!</v>
      </c>
      <c r="S1118" s="88">
        <f>-IF(Tabla14[[#This Row],[DIAS HABILES O MORA]]&lt;0,(Tabla14[[#This Row],[VALOR PRESTAMO]]*Tabla14[[#This Row],[% INTERES ]]/30*U1118))</f>
        <v>0</v>
      </c>
      <c r="T1118" s="53" t="e">
        <f>Tabla14[[#This Row],[DEUDA CAPITAL]]+Tabla14[[#This Row],[INTERES  CUOTA]]</f>
        <v>#NUM!</v>
      </c>
      <c r="U1118" s="61" t="str">
        <f t="shared" si="189"/>
        <v/>
      </c>
    </row>
    <row r="1119" spans="9:21" ht="24.75" customHeight="1" x14ac:dyDescent="0.35">
      <c r="I1119" s="42">
        <f t="shared" si="180"/>
        <v>0</v>
      </c>
      <c r="J1119" s="65" t="e">
        <f t="shared" si="181"/>
        <v>#NUM!</v>
      </c>
      <c r="K1119" s="83" t="e">
        <f t="shared" si="182"/>
        <v>#NUM!</v>
      </c>
      <c r="L1119" s="83">
        <f t="shared" si="183"/>
        <v>0</v>
      </c>
      <c r="M1119" s="110" t="str">
        <f t="shared" si="184"/>
        <v/>
      </c>
      <c r="N1119" s="51" t="str">
        <f t="shared" si="185"/>
        <v/>
      </c>
      <c r="O1119" s="52" t="str">
        <f t="shared" si="186"/>
        <v/>
      </c>
      <c r="P1119" s="88">
        <f t="shared" si="187"/>
        <v>0</v>
      </c>
      <c r="Q1119" s="88">
        <f t="shared" si="188"/>
        <v>0</v>
      </c>
      <c r="R1119" s="88" t="e">
        <f>-IF(Tabla14[[#This Row],[DIAS HABILES O MORA]]&lt;0,(Tabla14[[#This Row],[VALOR PRESTAMO]]*Tabla14[[#This Row],[% INTERES ]]/30*U1119))+Tabla14[[#This Row],[VALOR CUOTAS]]</f>
        <v>#VALUE!</v>
      </c>
      <c r="S1119" s="88">
        <f>-IF(Tabla14[[#This Row],[DIAS HABILES O MORA]]&lt;0,(Tabla14[[#This Row],[VALOR PRESTAMO]]*Tabla14[[#This Row],[% INTERES ]]/30*U1119))</f>
        <v>0</v>
      </c>
      <c r="T1119" s="53" t="e">
        <f>Tabla14[[#This Row],[DEUDA CAPITAL]]+Tabla14[[#This Row],[INTERES  CUOTA]]</f>
        <v>#NUM!</v>
      </c>
      <c r="U1119" s="61" t="str">
        <f t="shared" si="189"/>
        <v/>
      </c>
    </row>
    <row r="1120" spans="9:21" ht="24.75" customHeight="1" x14ac:dyDescent="0.35">
      <c r="I1120" s="42">
        <f t="shared" si="180"/>
        <v>0</v>
      </c>
      <c r="J1120" s="65" t="e">
        <f t="shared" si="181"/>
        <v>#NUM!</v>
      </c>
      <c r="K1120" s="83" t="e">
        <f t="shared" si="182"/>
        <v>#NUM!</v>
      </c>
      <c r="L1120" s="83">
        <f t="shared" si="183"/>
        <v>0</v>
      </c>
      <c r="M1120" s="110" t="str">
        <f t="shared" si="184"/>
        <v/>
      </c>
      <c r="N1120" s="51" t="str">
        <f t="shared" si="185"/>
        <v/>
      </c>
      <c r="O1120" s="52" t="str">
        <f t="shared" si="186"/>
        <v/>
      </c>
      <c r="P1120" s="88">
        <f t="shared" si="187"/>
        <v>0</v>
      </c>
      <c r="Q1120" s="88">
        <f t="shared" si="188"/>
        <v>0</v>
      </c>
      <c r="R1120" s="88" t="e">
        <f>-IF(Tabla14[[#This Row],[DIAS HABILES O MORA]]&lt;0,(Tabla14[[#This Row],[VALOR PRESTAMO]]*Tabla14[[#This Row],[% INTERES ]]/30*U1120))+Tabla14[[#This Row],[VALOR CUOTAS]]</f>
        <v>#VALUE!</v>
      </c>
      <c r="S1120" s="88">
        <f>-IF(Tabla14[[#This Row],[DIAS HABILES O MORA]]&lt;0,(Tabla14[[#This Row],[VALOR PRESTAMO]]*Tabla14[[#This Row],[% INTERES ]]/30*U1120))</f>
        <v>0</v>
      </c>
      <c r="T1120" s="53" t="e">
        <f>Tabla14[[#This Row],[DEUDA CAPITAL]]+Tabla14[[#This Row],[INTERES  CUOTA]]</f>
        <v>#NUM!</v>
      </c>
      <c r="U1120" s="61" t="str">
        <f t="shared" si="189"/>
        <v/>
      </c>
    </row>
    <row r="1121" spans="9:21" ht="24.75" customHeight="1" x14ac:dyDescent="0.35">
      <c r="I1121" s="42">
        <f t="shared" si="180"/>
        <v>0</v>
      </c>
      <c r="J1121" s="65" t="e">
        <f t="shared" si="181"/>
        <v>#NUM!</v>
      </c>
      <c r="K1121" s="83" t="e">
        <f t="shared" si="182"/>
        <v>#NUM!</v>
      </c>
      <c r="L1121" s="83">
        <f t="shared" si="183"/>
        <v>0</v>
      </c>
      <c r="M1121" s="110" t="str">
        <f t="shared" si="184"/>
        <v/>
      </c>
      <c r="N1121" s="51" t="str">
        <f t="shared" si="185"/>
        <v/>
      </c>
      <c r="O1121" s="52" t="str">
        <f t="shared" si="186"/>
        <v/>
      </c>
      <c r="P1121" s="88">
        <f t="shared" si="187"/>
        <v>0</v>
      </c>
      <c r="Q1121" s="88">
        <f t="shared" si="188"/>
        <v>0</v>
      </c>
      <c r="R1121" s="88" t="e">
        <f>-IF(Tabla14[[#This Row],[DIAS HABILES O MORA]]&lt;0,(Tabla14[[#This Row],[VALOR PRESTAMO]]*Tabla14[[#This Row],[% INTERES ]]/30*U1121))+Tabla14[[#This Row],[VALOR CUOTAS]]</f>
        <v>#VALUE!</v>
      </c>
      <c r="S1121" s="88">
        <f>-IF(Tabla14[[#This Row],[DIAS HABILES O MORA]]&lt;0,(Tabla14[[#This Row],[VALOR PRESTAMO]]*Tabla14[[#This Row],[% INTERES ]]/30*U1121))</f>
        <v>0</v>
      </c>
      <c r="T1121" s="53" t="e">
        <f>Tabla14[[#This Row],[DEUDA CAPITAL]]+Tabla14[[#This Row],[INTERES  CUOTA]]</f>
        <v>#NUM!</v>
      </c>
      <c r="U1121" s="61" t="str">
        <f t="shared" si="189"/>
        <v/>
      </c>
    </row>
    <row r="1122" spans="9:21" ht="24.75" customHeight="1" x14ac:dyDescent="0.35">
      <c r="I1122" s="42">
        <f t="shared" si="180"/>
        <v>0</v>
      </c>
      <c r="J1122" s="65" t="e">
        <f t="shared" si="181"/>
        <v>#NUM!</v>
      </c>
      <c r="K1122" s="83" t="e">
        <f t="shared" si="182"/>
        <v>#NUM!</v>
      </c>
      <c r="L1122" s="83">
        <f t="shared" si="183"/>
        <v>0</v>
      </c>
      <c r="M1122" s="110" t="str">
        <f t="shared" si="184"/>
        <v/>
      </c>
      <c r="N1122" s="51" t="str">
        <f t="shared" si="185"/>
        <v/>
      </c>
      <c r="O1122" s="52" t="str">
        <f t="shared" si="186"/>
        <v/>
      </c>
      <c r="P1122" s="88">
        <f t="shared" si="187"/>
        <v>0</v>
      </c>
      <c r="Q1122" s="88">
        <f t="shared" si="188"/>
        <v>0</v>
      </c>
      <c r="R1122" s="88" t="e">
        <f>-IF(Tabla14[[#This Row],[DIAS HABILES O MORA]]&lt;0,(Tabla14[[#This Row],[VALOR PRESTAMO]]*Tabla14[[#This Row],[% INTERES ]]/30*U1122))+Tabla14[[#This Row],[VALOR CUOTAS]]</f>
        <v>#VALUE!</v>
      </c>
      <c r="S1122" s="88">
        <f>-IF(Tabla14[[#This Row],[DIAS HABILES O MORA]]&lt;0,(Tabla14[[#This Row],[VALOR PRESTAMO]]*Tabla14[[#This Row],[% INTERES ]]/30*U1122))</f>
        <v>0</v>
      </c>
      <c r="T1122" s="53" t="e">
        <f>Tabla14[[#This Row],[DEUDA CAPITAL]]+Tabla14[[#This Row],[INTERES  CUOTA]]</f>
        <v>#NUM!</v>
      </c>
      <c r="U1122" s="61" t="str">
        <f t="shared" si="189"/>
        <v/>
      </c>
    </row>
    <row r="1123" spans="9:21" ht="24.75" customHeight="1" x14ac:dyDescent="0.35">
      <c r="I1123" s="42">
        <f t="shared" si="180"/>
        <v>0</v>
      </c>
      <c r="J1123" s="65" t="e">
        <f t="shared" si="181"/>
        <v>#NUM!</v>
      </c>
      <c r="K1123" s="83" t="e">
        <f t="shared" si="182"/>
        <v>#NUM!</v>
      </c>
      <c r="L1123" s="83">
        <f t="shared" si="183"/>
        <v>0</v>
      </c>
      <c r="M1123" s="110" t="str">
        <f t="shared" si="184"/>
        <v/>
      </c>
      <c r="N1123" s="51" t="str">
        <f t="shared" si="185"/>
        <v/>
      </c>
      <c r="O1123" s="52" t="str">
        <f t="shared" si="186"/>
        <v/>
      </c>
      <c r="P1123" s="88">
        <f t="shared" si="187"/>
        <v>0</v>
      </c>
      <c r="Q1123" s="88">
        <f t="shared" si="188"/>
        <v>0</v>
      </c>
      <c r="R1123" s="88" t="e">
        <f>-IF(Tabla14[[#This Row],[DIAS HABILES O MORA]]&lt;0,(Tabla14[[#This Row],[VALOR PRESTAMO]]*Tabla14[[#This Row],[% INTERES ]]/30*U1123))+Tabla14[[#This Row],[VALOR CUOTAS]]</f>
        <v>#VALUE!</v>
      </c>
      <c r="S1123" s="88">
        <f>-IF(Tabla14[[#This Row],[DIAS HABILES O MORA]]&lt;0,(Tabla14[[#This Row],[VALOR PRESTAMO]]*Tabla14[[#This Row],[% INTERES ]]/30*U1123))</f>
        <v>0</v>
      </c>
      <c r="T1123" s="53" t="e">
        <f>Tabla14[[#This Row],[DEUDA CAPITAL]]+Tabla14[[#This Row],[INTERES  CUOTA]]</f>
        <v>#NUM!</v>
      </c>
      <c r="U1123" s="61" t="str">
        <f t="shared" si="189"/>
        <v/>
      </c>
    </row>
    <row r="1124" spans="9:21" ht="24.75" customHeight="1" x14ac:dyDescent="0.35">
      <c r="I1124" s="42">
        <f t="shared" si="180"/>
        <v>0</v>
      </c>
      <c r="J1124" s="65" t="e">
        <f t="shared" si="181"/>
        <v>#NUM!</v>
      </c>
      <c r="K1124" s="83" t="e">
        <f t="shared" si="182"/>
        <v>#NUM!</v>
      </c>
      <c r="L1124" s="83">
        <f t="shared" si="183"/>
        <v>0</v>
      </c>
      <c r="M1124" s="110" t="str">
        <f t="shared" si="184"/>
        <v/>
      </c>
      <c r="N1124" s="51" t="str">
        <f t="shared" si="185"/>
        <v/>
      </c>
      <c r="O1124" s="52" t="str">
        <f t="shared" si="186"/>
        <v/>
      </c>
      <c r="P1124" s="88">
        <f t="shared" si="187"/>
        <v>0</v>
      </c>
      <c r="Q1124" s="88">
        <f t="shared" si="188"/>
        <v>0</v>
      </c>
      <c r="R1124" s="88" t="e">
        <f>-IF(Tabla14[[#This Row],[DIAS HABILES O MORA]]&lt;0,(Tabla14[[#This Row],[VALOR PRESTAMO]]*Tabla14[[#This Row],[% INTERES ]]/30*U1124))+Tabla14[[#This Row],[VALOR CUOTAS]]</f>
        <v>#VALUE!</v>
      </c>
      <c r="S1124" s="88">
        <f>-IF(Tabla14[[#This Row],[DIAS HABILES O MORA]]&lt;0,(Tabla14[[#This Row],[VALOR PRESTAMO]]*Tabla14[[#This Row],[% INTERES ]]/30*U1124))</f>
        <v>0</v>
      </c>
      <c r="T1124" s="53" t="e">
        <f>Tabla14[[#This Row],[DEUDA CAPITAL]]+Tabla14[[#This Row],[INTERES  CUOTA]]</f>
        <v>#NUM!</v>
      </c>
      <c r="U1124" s="61" t="str">
        <f t="shared" si="189"/>
        <v/>
      </c>
    </row>
    <row r="1125" spans="9:21" ht="24.75" customHeight="1" x14ac:dyDescent="0.35">
      <c r="I1125" s="42">
        <f t="shared" si="180"/>
        <v>0</v>
      </c>
      <c r="J1125" s="65" t="e">
        <f t="shared" si="181"/>
        <v>#NUM!</v>
      </c>
      <c r="K1125" s="83" t="e">
        <f t="shared" si="182"/>
        <v>#NUM!</v>
      </c>
      <c r="L1125" s="83">
        <f t="shared" si="183"/>
        <v>0</v>
      </c>
      <c r="M1125" s="110" t="str">
        <f t="shared" si="184"/>
        <v/>
      </c>
      <c r="N1125" s="51" t="str">
        <f t="shared" si="185"/>
        <v/>
      </c>
      <c r="O1125" s="52" t="str">
        <f t="shared" si="186"/>
        <v/>
      </c>
      <c r="P1125" s="88">
        <f t="shared" si="187"/>
        <v>0</v>
      </c>
      <c r="Q1125" s="88">
        <f t="shared" si="188"/>
        <v>0</v>
      </c>
      <c r="R1125" s="88" t="e">
        <f>-IF(Tabla14[[#This Row],[DIAS HABILES O MORA]]&lt;0,(Tabla14[[#This Row],[VALOR PRESTAMO]]*Tabla14[[#This Row],[% INTERES ]]/30*U1125))+Tabla14[[#This Row],[VALOR CUOTAS]]</f>
        <v>#VALUE!</v>
      </c>
      <c r="S1125" s="88">
        <f>-IF(Tabla14[[#This Row],[DIAS HABILES O MORA]]&lt;0,(Tabla14[[#This Row],[VALOR PRESTAMO]]*Tabla14[[#This Row],[% INTERES ]]/30*U1125))</f>
        <v>0</v>
      </c>
      <c r="T1125" s="53" t="e">
        <f>Tabla14[[#This Row],[DEUDA CAPITAL]]+Tabla14[[#This Row],[INTERES  CUOTA]]</f>
        <v>#NUM!</v>
      </c>
      <c r="U1125" s="61" t="str">
        <f t="shared" si="189"/>
        <v/>
      </c>
    </row>
    <row r="1126" spans="9:21" ht="24.75" customHeight="1" x14ac:dyDescent="0.35">
      <c r="I1126" s="42">
        <f t="shared" si="180"/>
        <v>0</v>
      </c>
      <c r="J1126" s="65" t="e">
        <f t="shared" si="181"/>
        <v>#NUM!</v>
      </c>
      <c r="K1126" s="83" t="e">
        <f t="shared" si="182"/>
        <v>#NUM!</v>
      </c>
      <c r="L1126" s="83">
        <f t="shared" si="183"/>
        <v>0</v>
      </c>
      <c r="M1126" s="110" t="str">
        <f t="shared" si="184"/>
        <v/>
      </c>
      <c r="N1126" s="51" t="str">
        <f t="shared" si="185"/>
        <v/>
      </c>
      <c r="O1126" s="52" t="str">
        <f t="shared" si="186"/>
        <v/>
      </c>
      <c r="P1126" s="88">
        <f t="shared" si="187"/>
        <v>0</v>
      </c>
      <c r="Q1126" s="88">
        <f t="shared" si="188"/>
        <v>0</v>
      </c>
      <c r="R1126" s="88" t="e">
        <f>-IF(Tabla14[[#This Row],[DIAS HABILES O MORA]]&lt;0,(Tabla14[[#This Row],[VALOR PRESTAMO]]*Tabla14[[#This Row],[% INTERES ]]/30*U1126))+Tabla14[[#This Row],[VALOR CUOTAS]]</f>
        <v>#VALUE!</v>
      </c>
      <c r="S1126" s="88">
        <f>-IF(Tabla14[[#This Row],[DIAS HABILES O MORA]]&lt;0,(Tabla14[[#This Row],[VALOR PRESTAMO]]*Tabla14[[#This Row],[% INTERES ]]/30*U1126))</f>
        <v>0</v>
      </c>
      <c r="T1126" s="53" t="e">
        <f>Tabla14[[#This Row],[DEUDA CAPITAL]]+Tabla14[[#This Row],[INTERES  CUOTA]]</f>
        <v>#NUM!</v>
      </c>
      <c r="U1126" s="61" t="str">
        <f t="shared" si="189"/>
        <v/>
      </c>
    </row>
    <row r="1127" spans="9:21" ht="24.75" customHeight="1" x14ac:dyDescent="0.35">
      <c r="I1127" s="42">
        <f t="shared" si="180"/>
        <v>0</v>
      </c>
      <c r="J1127" s="65" t="e">
        <f t="shared" si="181"/>
        <v>#NUM!</v>
      </c>
      <c r="K1127" s="83" t="e">
        <f t="shared" si="182"/>
        <v>#NUM!</v>
      </c>
      <c r="L1127" s="83">
        <f t="shared" si="183"/>
        <v>0</v>
      </c>
      <c r="M1127" s="110" t="str">
        <f t="shared" si="184"/>
        <v/>
      </c>
      <c r="N1127" s="51" t="str">
        <f t="shared" si="185"/>
        <v/>
      </c>
      <c r="O1127" s="52" t="str">
        <f t="shared" si="186"/>
        <v/>
      </c>
      <c r="P1127" s="88">
        <f t="shared" si="187"/>
        <v>0</v>
      </c>
      <c r="Q1127" s="88">
        <f t="shared" si="188"/>
        <v>0</v>
      </c>
      <c r="R1127" s="88" t="e">
        <f>-IF(Tabla14[[#This Row],[DIAS HABILES O MORA]]&lt;0,(Tabla14[[#This Row],[VALOR PRESTAMO]]*Tabla14[[#This Row],[% INTERES ]]/30*U1127))+Tabla14[[#This Row],[VALOR CUOTAS]]</f>
        <v>#VALUE!</v>
      </c>
      <c r="S1127" s="88">
        <f>-IF(Tabla14[[#This Row],[DIAS HABILES O MORA]]&lt;0,(Tabla14[[#This Row],[VALOR PRESTAMO]]*Tabla14[[#This Row],[% INTERES ]]/30*U1127))</f>
        <v>0</v>
      </c>
      <c r="T1127" s="53" t="e">
        <f>Tabla14[[#This Row],[DEUDA CAPITAL]]+Tabla14[[#This Row],[INTERES  CUOTA]]</f>
        <v>#NUM!</v>
      </c>
      <c r="U1127" s="61" t="str">
        <f t="shared" si="189"/>
        <v/>
      </c>
    </row>
    <row r="1128" spans="9:21" ht="24.75" customHeight="1" x14ac:dyDescent="0.35">
      <c r="I1128" s="42">
        <f t="shared" si="180"/>
        <v>0</v>
      </c>
      <c r="J1128" s="65" t="e">
        <f t="shared" si="181"/>
        <v>#NUM!</v>
      </c>
      <c r="K1128" s="83" t="e">
        <f t="shared" si="182"/>
        <v>#NUM!</v>
      </c>
      <c r="L1128" s="83">
        <f t="shared" si="183"/>
        <v>0</v>
      </c>
      <c r="M1128" s="110" t="str">
        <f t="shared" si="184"/>
        <v/>
      </c>
      <c r="N1128" s="51" t="str">
        <f t="shared" si="185"/>
        <v/>
      </c>
      <c r="O1128" s="52" t="str">
        <f t="shared" si="186"/>
        <v/>
      </c>
      <c r="P1128" s="88">
        <f t="shared" si="187"/>
        <v>0</v>
      </c>
      <c r="Q1128" s="88">
        <f t="shared" si="188"/>
        <v>0</v>
      </c>
      <c r="R1128" s="88" t="e">
        <f>-IF(Tabla14[[#This Row],[DIAS HABILES O MORA]]&lt;0,(Tabla14[[#This Row],[VALOR PRESTAMO]]*Tabla14[[#This Row],[% INTERES ]]/30*U1128))+Tabla14[[#This Row],[VALOR CUOTAS]]</f>
        <v>#VALUE!</v>
      </c>
      <c r="S1128" s="88">
        <f>-IF(Tabla14[[#This Row],[DIAS HABILES O MORA]]&lt;0,(Tabla14[[#This Row],[VALOR PRESTAMO]]*Tabla14[[#This Row],[% INTERES ]]/30*U1128))</f>
        <v>0</v>
      </c>
      <c r="T1128" s="53" t="e">
        <f>Tabla14[[#This Row],[DEUDA CAPITAL]]+Tabla14[[#This Row],[INTERES  CUOTA]]</f>
        <v>#NUM!</v>
      </c>
      <c r="U1128" s="61" t="str">
        <f t="shared" si="189"/>
        <v/>
      </c>
    </row>
    <row r="1129" spans="9:21" ht="24.75" customHeight="1" x14ac:dyDescent="0.35">
      <c r="I1129" s="42">
        <f t="shared" si="180"/>
        <v>0</v>
      </c>
      <c r="J1129" s="65" t="e">
        <f t="shared" si="181"/>
        <v>#NUM!</v>
      </c>
      <c r="K1129" s="83" t="e">
        <f t="shared" si="182"/>
        <v>#NUM!</v>
      </c>
      <c r="L1129" s="83">
        <f t="shared" si="183"/>
        <v>0</v>
      </c>
      <c r="M1129" s="110" t="str">
        <f t="shared" si="184"/>
        <v/>
      </c>
      <c r="N1129" s="51" t="str">
        <f t="shared" si="185"/>
        <v/>
      </c>
      <c r="O1129" s="52" t="str">
        <f t="shared" si="186"/>
        <v/>
      </c>
      <c r="P1129" s="88">
        <f t="shared" si="187"/>
        <v>0</v>
      </c>
      <c r="Q1129" s="88">
        <f t="shared" si="188"/>
        <v>0</v>
      </c>
      <c r="R1129" s="88" t="e">
        <f>-IF(Tabla14[[#This Row],[DIAS HABILES O MORA]]&lt;0,(Tabla14[[#This Row],[VALOR PRESTAMO]]*Tabla14[[#This Row],[% INTERES ]]/30*U1129))+Tabla14[[#This Row],[VALOR CUOTAS]]</f>
        <v>#VALUE!</v>
      </c>
      <c r="S1129" s="88">
        <f>-IF(Tabla14[[#This Row],[DIAS HABILES O MORA]]&lt;0,(Tabla14[[#This Row],[VALOR PRESTAMO]]*Tabla14[[#This Row],[% INTERES ]]/30*U1129))</f>
        <v>0</v>
      </c>
      <c r="T1129" s="53" t="e">
        <f>Tabla14[[#This Row],[DEUDA CAPITAL]]+Tabla14[[#This Row],[INTERES  CUOTA]]</f>
        <v>#NUM!</v>
      </c>
      <c r="U1129" s="61" t="str">
        <f t="shared" si="189"/>
        <v/>
      </c>
    </row>
    <row r="1130" spans="9:21" ht="24.75" customHeight="1" x14ac:dyDescent="0.35">
      <c r="I1130" s="42">
        <f t="shared" si="180"/>
        <v>0</v>
      </c>
      <c r="J1130" s="65" t="e">
        <f t="shared" si="181"/>
        <v>#NUM!</v>
      </c>
      <c r="K1130" s="83" t="e">
        <f t="shared" si="182"/>
        <v>#NUM!</v>
      </c>
      <c r="L1130" s="83">
        <f t="shared" si="183"/>
        <v>0</v>
      </c>
      <c r="M1130" s="110" t="str">
        <f t="shared" si="184"/>
        <v/>
      </c>
      <c r="N1130" s="51" t="str">
        <f t="shared" si="185"/>
        <v/>
      </c>
      <c r="O1130" s="52" t="str">
        <f t="shared" si="186"/>
        <v/>
      </c>
      <c r="P1130" s="88">
        <f t="shared" si="187"/>
        <v>0</v>
      </c>
      <c r="Q1130" s="88">
        <f t="shared" si="188"/>
        <v>0</v>
      </c>
      <c r="R1130" s="88" t="e">
        <f>-IF(Tabla14[[#This Row],[DIAS HABILES O MORA]]&lt;0,(Tabla14[[#This Row],[VALOR PRESTAMO]]*Tabla14[[#This Row],[% INTERES ]]/30*U1130))+Tabla14[[#This Row],[VALOR CUOTAS]]</f>
        <v>#VALUE!</v>
      </c>
      <c r="S1130" s="88">
        <f>-IF(Tabla14[[#This Row],[DIAS HABILES O MORA]]&lt;0,(Tabla14[[#This Row],[VALOR PRESTAMO]]*Tabla14[[#This Row],[% INTERES ]]/30*U1130))</f>
        <v>0</v>
      </c>
      <c r="T1130" s="53" t="e">
        <f>Tabla14[[#This Row],[DEUDA CAPITAL]]+Tabla14[[#This Row],[INTERES  CUOTA]]</f>
        <v>#NUM!</v>
      </c>
      <c r="U1130" s="61" t="str">
        <f t="shared" si="189"/>
        <v/>
      </c>
    </row>
    <row r="1131" spans="9:21" ht="24.75" customHeight="1" x14ac:dyDescent="0.35">
      <c r="I1131" s="42">
        <f t="shared" si="180"/>
        <v>0</v>
      </c>
      <c r="J1131" s="65" t="e">
        <f t="shared" si="181"/>
        <v>#NUM!</v>
      </c>
      <c r="K1131" s="83" t="e">
        <f t="shared" si="182"/>
        <v>#NUM!</v>
      </c>
      <c r="L1131" s="83">
        <f t="shared" si="183"/>
        <v>0</v>
      </c>
      <c r="M1131" s="110" t="str">
        <f t="shared" si="184"/>
        <v/>
      </c>
      <c r="N1131" s="51" t="str">
        <f t="shared" si="185"/>
        <v/>
      </c>
      <c r="O1131" s="52" t="str">
        <f t="shared" si="186"/>
        <v/>
      </c>
      <c r="P1131" s="88">
        <f t="shared" si="187"/>
        <v>0</v>
      </c>
      <c r="Q1131" s="88">
        <f t="shared" si="188"/>
        <v>0</v>
      </c>
      <c r="R1131" s="88" t="e">
        <f>-IF(Tabla14[[#This Row],[DIAS HABILES O MORA]]&lt;0,(Tabla14[[#This Row],[VALOR PRESTAMO]]*Tabla14[[#This Row],[% INTERES ]]/30*U1131))+Tabla14[[#This Row],[VALOR CUOTAS]]</f>
        <v>#VALUE!</v>
      </c>
      <c r="S1131" s="88">
        <f>-IF(Tabla14[[#This Row],[DIAS HABILES O MORA]]&lt;0,(Tabla14[[#This Row],[VALOR PRESTAMO]]*Tabla14[[#This Row],[% INTERES ]]/30*U1131))</f>
        <v>0</v>
      </c>
      <c r="T1131" s="53" t="e">
        <f>Tabla14[[#This Row],[DEUDA CAPITAL]]+Tabla14[[#This Row],[INTERES  CUOTA]]</f>
        <v>#NUM!</v>
      </c>
      <c r="U1131" s="61" t="str">
        <f t="shared" si="189"/>
        <v/>
      </c>
    </row>
    <row r="1132" spans="9:21" ht="24.75" customHeight="1" x14ac:dyDescent="0.35">
      <c r="I1132" s="42">
        <f t="shared" si="180"/>
        <v>0</v>
      </c>
      <c r="J1132" s="65" t="e">
        <f t="shared" si="181"/>
        <v>#NUM!</v>
      </c>
      <c r="K1132" s="83" t="e">
        <f t="shared" si="182"/>
        <v>#NUM!</v>
      </c>
      <c r="L1132" s="83">
        <f t="shared" si="183"/>
        <v>0</v>
      </c>
      <c r="M1132" s="110" t="str">
        <f t="shared" si="184"/>
        <v/>
      </c>
      <c r="N1132" s="51" t="str">
        <f t="shared" si="185"/>
        <v/>
      </c>
      <c r="O1132" s="52" t="str">
        <f t="shared" si="186"/>
        <v/>
      </c>
      <c r="P1132" s="88">
        <f t="shared" si="187"/>
        <v>0</v>
      </c>
      <c r="Q1132" s="88">
        <f t="shared" si="188"/>
        <v>0</v>
      </c>
      <c r="R1132" s="88" t="e">
        <f>-IF(Tabla14[[#This Row],[DIAS HABILES O MORA]]&lt;0,(Tabla14[[#This Row],[VALOR PRESTAMO]]*Tabla14[[#This Row],[% INTERES ]]/30*U1132))+Tabla14[[#This Row],[VALOR CUOTAS]]</f>
        <v>#VALUE!</v>
      </c>
      <c r="S1132" s="88">
        <f>-IF(Tabla14[[#This Row],[DIAS HABILES O MORA]]&lt;0,(Tabla14[[#This Row],[VALOR PRESTAMO]]*Tabla14[[#This Row],[% INTERES ]]/30*U1132))</f>
        <v>0</v>
      </c>
      <c r="T1132" s="53" t="e">
        <f>Tabla14[[#This Row],[DEUDA CAPITAL]]+Tabla14[[#This Row],[INTERES  CUOTA]]</f>
        <v>#NUM!</v>
      </c>
      <c r="U1132" s="61" t="str">
        <f t="shared" si="189"/>
        <v/>
      </c>
    </row>
    <row r="1133" spans="9:21" ht="24.75" customHeight="1" x14ac:dyDescent="0.35">
      <c r="I1133" s="42">
        <f t="shared" si="180"/>
        <v>0</v>
      </c>
      <c r="J1133" s="65" t="e">
        <f t="shared" si="181"/>
        <v>#NUM!</v>
      </c>
      <c r="K1133" s="83" t="e">
        <f t="shared" si="182"/>
        <v>#NUM!</v>
      </c>
      <c r="L1133" s="83">
        <f t="shared" si="183"/>
        <v>0</v>
      </c>
      <c r="M1133" s="110" t="str">
        <f t="shared" si="184"/>
        <v/>
      </c>
      <c r="N1133" s="51" t="str">
        <f t="shared" si="185"/>
        <v/>
      </c>
      <c r="O1133" s="52" t="str">
        <f t="shared" si="186"/>
        <v/>
      </c>
      <c r="P1133" s="88">
        <f t="shared" si="187"/>
        <v>0</v>
      </c>
      <c r="Q1133" s="88">
        <f t="shared" si="188"/>
        <v>0</v>
      </c>
      <c r="R1133" s="88" t="e">
        <f>-IF(Tabla14[[#This Row],[DIAS HABILES O MORA]]&lt;0,(Tabla14[[#This Row],[VALOR PRESTAMO]]*Tabla14[[#This Row],[% INTERES ]]/30*U1133))+Tabla14[[#This Row],[VALOR CUOTAS]]</f>
        <v>#VALUE!</v>
      </c>
      <c r="S1133" s="88">
        <f>-IF(Tabla14[[#This Row],[DIAS HABILES O MORA]]&lt;0,(Tabla14[[#This Row],[VALOR PRESTAMO]]*Tabla14[[#This Row],[% INTERES ]]/30*U1133))</f>
        <v>0</v>
      </c>
      <c r="T1133" s="53" t="e">
        <f>Tabla14[[#This Row],[DEUDA CAPITAL]]+Tabla14[[#This Row],[INTERES  CUOTA]]</f>
        <v>#NUM!</v>
      </c>
      <c r="U1133" s="61" t="str">
        <f t="shared" si="189"/>
        <v/>
      </c>
    </row>
    <row r="1134" spans="9:21" ht="24.75" customHeight="1" x14ac:dyDescent="0.35">
      <c r="I1134" s="42">
        <f t="shared" si="180"/>
        <v>0</v>
      </c>
      <c r="J1134" s="65" t="e">
        <f t="shared" si="181"/>
        <v>#NUM!</v>
      </c>
      <c r="K1134" s="83" t="e">
        <f t="shared" si="182"/>
        <v>#NUM!</v>
      </c>
      <c r="L1134" s="83">
        <f t="shared" si="183"/>
        <v>0</v>
      </c>
      <c r="M1134" s="110" t="str">
        <f t="shared" si="184"/>
        <v/>
      </c>
      <c r="N1134" s="51" t="str">
        <f t="shared" si="185"/>
        <v/>
      </c>
      <c r="O1134" s="52" t="str">
        <f t="shared" si="186"/>
        <v/>
      </c>
      <c r="P1134" s="88">
        <f t="shared" si="187"/>
        <v>0</v>
      </c>
      <c r="Q1134" s="88">
        <f t="shared" si="188"/>
        <v>0</v>
      </c>
      <c r="R1134" s="88" t="e">
        <f>-IF(Tabla14[[#This Row],[DIAS HABILES O MORA]]&lt;0,(Tabla14[[#This Row],[VALOR PRESTAMO]]*Tabla14[[#This Row],[% INTERES ]]/30*U1134))+Tabla14[[#This Row],[VALOR CUOTAS]]</f>
        <v>#VALUE!</v>
      </c>
      <c r="S1134" s="88">
        <f>-IF(Tabla14[[#This Row],[DIAS HABILES O MORA]]&lt;0,(Tabla14[[#This Row],[VALOR PRESTAMO]]*Tabla14[[#This Row],[% INTERES ]]/30*U1134))</f>
        <v>0</v>
      </c>
      <c r="T1134" s="53" t="e">
        <f>Tabla14[[#This Row],[DEUDA CAPITAL]]+Tabla14[[#This Row],[INTERES  CUOTA]]</f>
        <v>#NUM!</v>
      </c>
      <c r="U1134" s="61" t="str">
        <f t="shared" si="189"/>
        <v/>
      </c>
    </row>
    <row r="1135" spans="9:21" ht="24.75" customHeight="1" x14ac:dyDescent="0.35">
      <c r="I1135" s="42">
        <f t="shared" si="180"/>
        <v>0</v>
      </c>
      <c r="J1135" s="65" t="e">
        <f t="shared" si="181"/>
        <v>#NUM!</v>
      </c>
      <c r="K1135" s="83" t="e">
        <f t="shared" si="182"/>
        <v>#NUM!</v>
      </c>
      <c r="L1135" s="83">
        <f t="shared" si="183"/>
        <v>0</v>
      </c>
      <c r="M1135" s="110" t="str">
        <f t="shared" si="184"/>
        <v/>
      </c>
      <c r="N1135" s="51" t="str">
        <f t="shared" si="185"/>
        <v/>
      </c>
      <c r="O1135" s="52" t="str">
        <f t="shared" si="186"/>
        <v/>
      </c>
      <c r="P1135" s="88">
        <f t="shared" si="187"/>
        <v>0</v>
      </c>
      <c r="Q1135" s="88">
        <f t="shared" si="188"/>
        <v>0</v>
      </c>
      <c r="R1135" s="88" t="e">
        <f>-IF(Tabla14[[#This Row],[DIAS HABILES O MORA]]&lt;0,(Tabla14[[#This Row],[VALOR PRESTAMO]]*Tabla14[[#This Row],[% INTERES ]]/30*U1135))+Tabla14[[#This Row],[VALOR CUOTAS]]</f>
        <v>#VALUE!</v>
      </c>
      <c r="S1135" s="88">
        <f>-IF(Tabla14[[#This Row],[DIAS HABILES O MORA]]&lt;0,(Tabla14[[#This Row],[VALOR PRESTAMO]]*Tabla14[[#This Row],[% INTERES ]]/30*U1135))</f>
        <v>0</v>
      </c>
      <c r="T1135" s="53" t="e">
        <f>Tabla14[[#This Row],[DEUDA CAPITAL]]+Tabla14[[#This Row],[INTERES  CUOTA]]</f>
        <v>#NUM!</v>
      </c>
      <c r="U1135" s="61" t="str">
        <f t="shared" si="189"/>
        <v/>
      </c>
    </row>
    <row r="1136" spans="9:21" ht="24.75" customHeight="1" x14ac:dyDescent="0.35">
      <c r="I1136" s="42">
        <f t="shared" si="180"/>
        <v>0</v>
      </c>
      <c r="J1136" s="65" t="e">
        <f t="shared" si="181"/>
        <v>#NUM!</v>
      </c>
      <c r="K1136" s="83" t="e">
        <f t="shared" si="182"/>
        <v>#NUM!</v>
      </c>
      <c r="L1136" s="83">
        <f t="shared" si="183"/>
        <v>0</v>
      </c>
      <c r="M1136" s="110" t="str">
        <f t="shared" si="184"/>
        <v/>
      </c>
      <c r="N1136" s="51" t="str">
        <f t="shared" si="185"/>
        <v/>
      </c>
      <c r="O1136" s="52" t="str">
        <f t="shared" si="186"/>
        <v/>
      </c>
      <c r="P1136" s="88">
        <f t="shared" si="187"/>
        <v>0</v>
      </c>
      <c r="Q1136" s="88">
        <f t="shared" si="188"/>
        <v>0</v>
      </c>
      <c r="R1136" s="88" t="e">
        <f>-IF(Tabla14[[#This Row],[DIAS HABILES O MORA]]&lt;0,(Tabla14[[#This Row],[VALOR PRESTAMO]]*Tabla14[[#This Row],[% INTERES ]]/30*U1136))+Tabla14[[#This Row],[VALOR CUOTAS]]</f>
        <v>#VALUE!</v>
      </c>
      <c r="S1136" s="88">
        <f>-IF(Tabla14[[#This Row],[DIAS HABILES O MORA]]&lt;0,(Tabla14[[#This Row],[VALOR PRESTAMO]]*Tabla14[[#This Row],[% INTERES ]]/30*U1136))</f>
        <v>0</v>
      </c>
      <c r="T1136" s="53" t="e">
        <f>Tabla14[[#This Row],[DEUDA CAPITAL]]+Tabla14[[#This Row],[INTERES  CUOTA]]</f>
        <v>#NUM!</v>
      </c>
      <c r="U1136" s="61" t="str">
        <f t="shared" si="189"/>
        <v/>
      </c>
    </row>
    <row r="1137" spans="9:21" ht="24.75" customHeight="1" x14ac:dyDescent="0.35">
      <c r="I1137" s="42">
        <f t="shared" si="180"/>
        <v>0</v>
      </c>
      <c r="J1137" s="65" t="e">
        <f t="shared" si="181"/>
        <v>#NUM!</v>
      </c>
      <c r="K1137" s="83" t="e">
        <f t="shared" si="182"/>
        <v>#NUM!</v>
      </c>
      <c r="L1137" s="83">
        <f t="shared" si="183"/>
        <v>0</v>
      </c>
      <c r="M1137" s="110" t="str">
        <f t="shared" si="184"/>
        <v/>
      </c>
      <c r="N1137" s="51" t="str">
        <f t="shared" si="185"/>
        <v/>
      </c>
      <c r="O1137" s="52" t="str">
        <f t="shared" si="186"/>
        <v/>
      </c>
      <c r="P1137" s="88">
        <f t="shared" si="187"/>
        <v>0</v>
      </c>
      <c r="Q1137" s="88">
        <f t="shared" si="188"/>
        <v>0</v>
      </c>
      <c r="R1137" s="88" t="e">
        <f>-IF(Tabla14[[#This Row],[DIAS HABILES O MORA]]&lt;0,(Tabla14[[#This Row],[VALOR PRESTAMO]]*Tabla14[[#This Row],[% INTERES ]]/30*U1137))+Tabla14[[#This Row],[VALOR CUOTAS]]</f>
        <v>#VALUE!</v>
      </c>
      <c r="S1137" s="88">
        <f>-IF(Tabla14[[#This Row],[DIAS HABILES O MORA]]&lt;0,(Tabla14[[#This Row],[VALOR PRESTAMO]]*Tabla14[[#This Row],[% INTERES ]]/30*U1137))</f>
        <v>0</v>
      </c>
      <c r="T1137" s="53" t="e">
        <f>Tabla14[[#This Row],[DEUDA CAPITAL]]+Tabla14[[#This Row],[INTERES  CUOTA]]</f>
        <v>#NUM!</v>
      </c>
      <c r="U1137" s="61" t="str">
        <f t="shared" si="189"/>
        <v/>
      </c>
    </row>
    <row r="1138" spans="9:21" ht="24.75" customHeight="1" x14ac:dyDescent="0.35">
      <c r="I1138" s="42">
        <f t="shared" si="180"/>
        <v>0</v>
      </c>
      <c r="J1138" s="65" t="e">
        <f t="shared" si="181"/>
        <v>#NUM!</v>
      </c>
      <c r="K1138" s="83" t="e">
        <f t="shared" si="182"/>
        <v>#NUM!</v>
      </c>
      <c r="L1138" s="83">
        <f t="shared" si="183"/>
        <v>0</v>
      </c>
      <c r="M1138" s="110" t="str">
        <f t="shared" si="184"/>
        <v/>
      </c>
      <c r="N1138" s="51" t="str">
        <f t="shared" si="185"/>
        <v/>
      </c>
      <c r="O1138" s="52" t="str">
        <f t="shared" si="186"/>
        <v/>
      </c>
      <c r="P1138" s="88">
        <f t="shared" si="187"/>
        <v>0</v>
      </c>
      <c r="Q1138" s="88">
        <f t="shared" si="188"/>
        <v>0</v>
      </c>
      <c r="R1138" s="88" t="e">
        <f>-IF(Tabla14[[#This Row],[DIAS HABILES O MORA]]&lt;0,(Tabla14[[#This Row],[VALOR PRESTAMO]]*Tabla14[[#This Row],[% INTERES ]]/30*U1138))+Tabla14[[#This Row],[VALOR CUOTAS]]</f>
        <v>#VALUE!</v>
      </c>
      <c r="S1138" s="88">
        <f>-IF(Tabla14[[#This Row],[DIAS HABILES O MORA]]&lt;0,(Tabla14[[#This Row],[VALOR PRESTAMO]]*Tabla14[[#This Row],[% INTERES ]]/30*U1138))</f>
        <v>0</v>
      </c>
      <c r="T1138" s="53" t="e">
        <f>Tabla14[[#This Row],[DEUDA CAPITAL]]+Tabla14[[#This Row],[INTERES  CUOTA]]</f>
        <v>#NUM!</v>
      </c>
      <c r="U1138" s="61" t="str">
        <f t="shared" si="189"/>
        <v/>
      </c>
    </row>
    <row r="1139" spans="9:21" ht="24.75" customHeight="1" x14ac:dyDescent="0.35">
      <c r="I1139" s="42">
        <f t="shared" si="180"/>
        <v>0</v>
      </c>
      <c r="J1139" s="65" t="e">
        <f t="shared" si="181"/>
        <v>#NUM!</v>
      </c>
      <c r="K1139" s="83" t="e">
        <f t="shared" si="182"/>
        <v>#NUM!</v>
      </c>
      <c r="L1139" s="83">
        <f t="shared" si="183"/>
        <v>0</v>
      </c>
      <c r="M1139" s="110" t="str">
        <f t="shared" si="184"/>
        <v/>
      </c>
      <c r="N1139" s="51" t="str">
        <f t="shared" si="185"/>
        <v/>
      </c>
      <c r="O1139" s="52" t="str">
        <f t="shared" si="186"/>
        <v/>
      </c>
      <c r="P1139" s="88">
        <f t="shared" si="187"/>
        <v>0</v>
      </c>
      <c r="Q1139" s="88">
        <f t="shared" si="188"/>
        <v>0</v>
      </c>
      <c r="R1139" s="88" t="e">
        <f>-IF(Tabla14[[#This Row],[DIAS HABILES O MORA]]&lt;0,(Tabla14[[#This Row],[VALOR PRESTAMO]]*Tabla14[[#This Row],[% INTERES ]]/30*U1139))+Tabla14[[#This Row],[VALOR CUOTAS]]</f>
        <v>#VALUE!</v>
      </c>
      <c r="S1139" s="88">
        <f>-IF(Tabla14[[#This Row],[DIAS HABILES O MORA]]&lt;0,(Tabla14[[#This Row],[VALOR PRESTAMO]]*Tabla14[[#This Row],[% INTERES ]]/30*U1139))</f>
        <v>0</v>
      </c>
      <c r="T1139" s="53" t="e">
        <f>Tabla14[[#This Row],[DEUDA CAPITAL]]+Tabla14[[#This Row],[INTERES  CUOTA]]</f>
        <v>#NUM!</v>
      </c>
      <c r="U1139" s="61" t="str">
        <f t="shared" si="189"/>
        <v/>
      </c>
    </row>
    <row r="1140" spans="9:21" ht="24.75" customHeight="1" x14ac:dyDescent="0.35">
      <c r="I1140" s="42">
        <f t="shared" si="180"/>
        <v>0</v>
      </c>
      <c r="J1140" s="65" t="e">
        <f t="shared" si="181"/>
        <v>#NUM!</v>
      </c>
      <c r="K1140" s="83" t="e">
        <f t="shared" si="182"/>
        <v>#NUM!</v>
      </c>
      <c r="L1140" s="83">
        <f t="shared" si="183"/>
        <v>0</v>
      </c>
      <c r="M1140" s="110" t="str">
        <f t="shared" si="184"/>
        <v/>
      </c>
      <c r="N1140" s="51" t="str">
        <f t="shared" si="185"/>
        <v/>
      </c>
      <c r="O1140" s="52" t="str">
        <f t="shared" si="186"/>
        <v/>
      </c>
      <c r="P1140" s="88">
        <f t="shared" si="187"/>
        <v>0</v>
      </c>
      <c r="Q1140" s="88">
        <f t="shared" si="188"/>
        <v>0</v>
      </c>
      <c r="R1140" s="88" t="e">
        <f>-IF(Tabla14[[#This Row],[DIAS HABILES O MORA]]&lt;0,(Tabla14[[#This Row],[VALOR PRESTAMO]]*Tabla14[[#This Row],[% INTERES ]]/30*U1140))+Tabla14[[#This Row],[VALOR CUOTAS]]</f>
        <v>#VALUE!</v>
      </c>
      <c r="S1140" s="88">
        <f>-IF(Tabla14[[#This Row],[DIAS HABILES O MORA]]&lt;0,(Tabla14[[#This Row],[VALOR PRESTAMO]]*Tabla14[[#This Row],[% INTERES ]]/30*U1140))</f>
        <v>0</v>
      </c>
      <c r="T1140" s="53" t="e">
        <f>Tabla14[[#This Row],[DEUDA CAPITAL]]+Tabla14[[#This Row],[INTERES  CUOTA]]</f>
        <v>#NUM!</v>
      </c>
      <c r="U1140" s="61" t="str">
        <f t="shared" si="189"/>
        <v/>
      </c>
    </row>
    <row r="1141" spans="9:21" ht="24.75" customHeight="1" x14ac:dyDescent="0.35">
      <c r="I1141" s="42">
        <f t="shared" si="180"/>
        <v>0</v>
      </c>
      <c r="J1141" s="65" t="e">
        <f t="shared" si="181"/>
        <v>#NUM!</v>
      </c>
      <c r="K1141" s="83" t="e">
        <f t="shared" si="182"/>
        <v>#NUM!</v>
      </c>
      <c r="L1141" s="83">
        <f t="shared" si="183"/>
        <v>0</v>
      </c>
      <c r="M1141" s="110" t="str">
        <f t="shared" si="184"/>
        <v/>
      </c>
      <c r="N1141" s="51" t="str">
        <f t="shared" si="185"/>
        <v/>
      </c>
      <c r="O1141" s="52" t="str">
        <f t="shared" si="186"/>
        <v/>
      </c>
      <c r="P1141" s="88">
        <f t="shared" si="187"/>
        <v>0</v>
      </c>
      <c r="Q1141" s="88">
        <f t="shared" si="188"/>
        <v>0</v>
      </c>
      <c r="R1141" s="88" t="e">
        <f>-IF(Tabla14[[#This Row],[DIAS HABILES O MORA]]&lt;0,(Tabla14[[#This Row],[VALOR PRESTAMO]]*Tabla14[[#This Row],[% INTERES ]]/30*U1141))+Tabla14[[#This Row],[VALOR CUOTAS]]</f>
        <v>#VALUE!</v>
      </c>
      <c r="S1141" s="88">
        <f>-IF(Tabla14[[#This Row],[DIAS HABILES O MORA]]&lt;0,(Tabla14[[#This Row],[VALOR PRESTAMO]]*Tabla14[[#This Row],[% INTERES ]]/30*U1141))</f>
        <v>0</v>
      </c>
      <c r="T1141" s="53" t="e">
        <f>Tabla14[[#This Row],[DEUDA CAPITAL]]+Tabla14[[#This Row],[INTERES  CUOTA]]</f>
        <v>#NUM!</v>
      </c>
      <c r="U1141" s="61" t="str">
        <f t="shared" si="189"/>
        <v/>
      </c>
    </row>
    <row r="1142" spans="9:21" ht="24.75" customHeight="1" x14ac:dyDescent="0.35">
      <c r="I1142" s="42">
        <f t="shared" si="180"/>
        <v>0</v>
      </c>
      <c r="J1142" s="65" t="e">
        <f t="shared" si="181"/>
        <v>#NUM!</v>
      </c>
      <c r="K1142" s="83" t="e">
        <f t="shared" si="182"/>
        <v>#NUM!</v>
      </c>
      <c r="L1142" s="83">
        <f t="shared" si="183"/>
        <v>0</v>
      </c>
      <c r="M1142" s="110" t="str">
        <f t="shared" si="184"/>
        <v/>
      </c>
      <c r="N1142" s="51" t="str">
        <f t="shared" si="185"/>
        <v/>
      </c>
      <c r="O1142" s="52" t="str">
        <f t="shared" si="186"/>
        <v/>
      </c>
      <c r="P1142" s="88">
        <f t="shared" si="187"/>
        <v>0</v>
      </c>
      <c r="Q1142" s="88">
        <f t="shared" si="188"/>
        <v>0</v>
      </c>
      <c r="R1142" s="88" t="e">
        <f>-IF(Tabla14[[#This Row],[DIAS HABILES O MORA]]&lt;0,(Tabla14[[#This Row],[VALOR PRESTAMO]]*Tabla14[[#This Row],[% INTERES ]]/30*U1142))+Tabla14[[#This Row],[VALOR CUOTAS]]</f>
        <v>#VALUE!</v>
      </c>
      <c r="S1142" s="88">
        <f>-IF(Tabla14[[#This Row],[DIAS HABILES O MORA]]&lt;0,(Tabla14[[#This Row],[VALOR PRESTAMO]]*Tabla14[[#This Row],[% INTERES ]]/30*U1142))</f>
        <v>0</v>
      </c>
      <c r="T1142" s="53" t="e">
        <f>Tabla14[[#This Row],[DEUDA CAPITAL]]+Tabla14[[#This Row],[INTERES  CUOTA]]</f>
        <v>#NUM!</v>
      </c>
      <c r="U1142" s="61" t="str">
        <f t="shared" si="189"/>
        <v/>
      </c>
    </row>
    <row r="1143" spans="9:21" ht="24.75" customHeight="1" x14ac:dyDescent="0.35">
      <c r="I1143" s="42">
        <f t="shared" si="180"/>
        <v>0</v>
      </c>
      <c r="J1143" s="65" t="e">
        <f t="shared" si="181"/>
        <v>#NUM!</v>
      </c>
      <c r="K1143" s="83" t="e">
        <f t="shared" si="182"/>
        <v>#NUM!</v>
      </c>
      <c r="L1143" s="83">
        <f t="shared" si="183"/>
        <v>0</v>
      </c>
      <c r="M1143" s="110" t="str">
        <f t="shared" si="184"/>
        <v/>
      </c>
      <c r="N1143" s="51" t="str">
        <f t="shared" si="185"/>
        <v/>
      </c>
      <c r="O1143" s="52" t="str">
        <f t="shared" si="186"/>
        <v/>
      </c>
      <c r="P1143" s="88">
        <f t="shared" si="187"/>
        <v>0</v>
      </c>
      <c r="Q1143" s="88">
        <f t="shared" si="188"/>
        <v>0</v>
      </c>
      <c r="R1143" s="88" t="e">
        <f>-IF(Tabla14[[#This Row],[DIAS HABILES O MORA]]&lt;0,(Tabla14[[#This Row],[VALOR PRESTAMO]]*Tabla14[[#This Row],[% INTERES ]]/30*U1143))+Tabla14[[#This Row],[VALOR CUOTAS]]</f>
        <v>#VALUE!</v>
      </c>
      <c r="S1143" s="88">
        <f>-IF(Tabla14[[#This Row],[DIAS HABILES O MORA]]&lt;0,(Tabla14[[#This Row],[VALOR PRESTAMO]]*Tabla14[[#This Row],[% INTERES ]]/30*U1143))</f>
        <v>0</v>
      </c>
      <c r="T1143" s="53" t="e">
        <f>Tabla14[[#This Row],[DEUDA CAPITAL]]+Tabla14[[#This Row],[INTERES  CUOTA]]</f>
        <v>#NUM!</v>
      </c>
      <c r="U1143" s="61" t="str">
        <f t="shared" si="189"/>
        <v/>
      </c>
    </row>
    <row r="1144" spans="9:21" ht="24.75" customHeight="1" x14ac:dyDescent="0.35">
      <c r="I1144" s="42">
        <f t="shared" si="180"/>
        <v>0</v>
      </c>
      <c r="J1144" s="65" t="e">
        <f t="shared" si="181"/>
        <v>#NUM!</v>
      </c>
      <c r="K1144" s="83" t="e">
        <f t="shared" si="182"/>
        <v>#NUM!</v>
      </c>
      <c r="L1144" s="83">
        <f t="shared" si="183"/>
        <v>0</v>
      </c>
      <c r="M1144" s="110" t="str">
        <f t="shared" si="184"/>
        <v/>
      </c>
      <c r="N1144" s="51" t="str">
        <f t="shared" si="185"/>
        <v/>
      </c>
      <c r="O1144" s="52" t="str">
        <f t="shared" si="186"/>
        <v/>
      </c>
      <c r="P1144" s="88">
        <f t="shared" si="187"/>
        <v>0</v>
      </c>
      <c r="Q1144" s="88">
        <f t="shared" si="188"/>
        <v>0</v>
      </c>
      <c r="R1144" s="88" t="e">
        <f>-IF(Tabla14[[#This Row],[DIAS HABILES O MORA]]&lt;0,(Tabla14[[#This Row],[VALOR PRESTAMO]]*Tabla14[[#This Row],[% INTERES ]]/30*U1144))+Tabla14[[#This Row],[VALOR CUOTAS]]</f>
        <v>#VALUE!</v>
      </c>
      <c r="S1144" s="88">
        <f>-IF(Tabla14[[#This Row],[DIAS HABILES O MORA]]&lt;0,(Tabla14[[#This Row],[VALOR PRESTAMO]]*Tabla14[[#This Row],[% INTERES ]]/30*U1144))</f>
        <v>0</v>
      </c>
      <c r="T1144" s="53" t="e">
        <f>Tabla14[[#This Row],[DEUDA CAPITAL]]+Tabla14[[#This Row],[INTERES  CUOTA]]</f>
        <v>#NUM!</v>
      </c>
      <c r="U1144" s="61" t="str">
        <f t="shared" si="189"/>
        <v/>
      </c>
    </row>
    <row r="1145" spans="9:21" ht="24.75" customHeight="1" x14ac:dyDescent="0.35">
      <c r="I1145" s="42">
        <f t="shared" si="180"/>
        <v>0</v>
      </c>
      <c r="J1145" s="65" t="e">
        <f t="shared" si="181"/>
        <v>#NUM!</v>
      </c>
      <c r="K1145" s="83" t="e">
        <f t="shared" si="182"/>
        <v>#NUM!</v>
      </c>
      <c r="L1145" s="83">
        <f t="shared" si="183"/>
        <v>0</v>
      </c>
      <c r="M1145" s="110" t="str">
        <f t="shared" si="184"/>
        <v/>
      </c>
      <c r="N1145" s="51" t="str">
        <f t="shared" si="185"/>
        <v/>
      </c>
      <c r="O1145" s="52" t="str">
        <f t="shared" si="186"/>
        <v/>
      </c>
      <c r="P1145" s="88">
        <f t="shared" si="187"/>
        <v>0</v>
      </c>
      <c r="Q1145" s="88">
        <f t="shared" si="188"/>
        <v>0</v>
      </c>
      <c r="R1145" s="88" t="e">
        <f>-IF(Tabla14[[#This Row],[DIAS HABILES O MORA]]&lt;0,(Tabla14[[#This Row],[VALOR PRESTAMO]]*Tabla14[[#This Row],[% INTERES ]]/30*U1145))+Tabla14[[#This Row],[VALOR CUOTAS]]</f>
        <v>#VALUE!</v>
      </c>
      <c r="S1145" s="88">
        <f>-IF(Tabla14[[#This Row],[DIAS HABILES O MORA]]&lt;0,(Tabla14[[#This Row],[VALOR PRESTAMO]]*Tabla14[[#This Row],[% INTERES ]]/30*U1145))</f>
        <v>0</v>
      </c>
      <c r="T1145" s="53" t="e">
        <f>Tabla14[[#This Row],[DEUDA CAPITAL]]+Tabla14[[#This Row],[INTERES  CUOTA]]</f>
        <v>#NUM!</v>
      </c>
      <c r="U1145" s="61" t="str">
        <f t="shared" si="189"/>
        <v/>
      </c>
    </row>
    <row r="1146" spans="9:21" ht="24.75" customHeight="1" x14ac:dyDescent="0.35">
      <c r="I1146" s="42">
        <f t="shared" si="180"/>
        <v>0</v>
      </c>
      <c r="J1146" s="65" t="e">
        <f t="shared" si="181"/>
        <v>#NUM!</v>
      </c>
      <c r="K1146" s="83" t="e">
        <f t="shared" si="182"/>
        <v>#NUM!</v>
      </c>
      <c r="L1146" s="83">
        <f t="shared" si="183"/>
        <v>0</v>
      </c>
      <c r="M1146" s="110" t="str">
        <f t="shared" si="184"/>
        <v/>
      </c>
      <c r="N1146" s="51" t="str">
        <f t="shared" si="185"/>
        <v/>
      </c>
      <c r="O1146" s="52" t="str">
        <f t="shared" si="186"/>
        <v/>
      </c>
      <c r="P1146" s="88">
        <f t="shared" si="187"/>
        <v>0</v>
      </c>
      <c r="Q1146" s="88">
        <f t="shared" si="188"/>
        <v>0</v>
      </c>
      <c r="R1146" s="88" t="e">
        <f>-IF(Tabla14[[#This Row],[DIAS HABILES O MORA]]&lt;0,(Tabla14[[#This Row],[VALOR PRESTAMO]]*Tabla14[[#This Row],[% INTERES ]]/30*U1146))+Tabla14[[#This Row],[VALOR CUOTAS]]</f>
        <v>#VALUE!</v>
      </c>
      <c r="S1146" s="88">
        <f>-IF(Tabla14[[#This Row],[DIAS HABILES O MORA]]&lt;0,(Tabla14[[#This Row],[VALOR PRESTAMO]]*Tabla14[[#This Row],[% INTERES ]]/30*U1146))</f>
        <v>0</v>
      </c>
      <c r="T1146" s="53" t="e">
        <f>Tabla14[[#This Row],[DEUDA CAPITAL]]+Tabla14[[#This Row],[INTERES  CUOTA]]</f>
        <v>#NUM!</v>
      </c>
      <c r="U1146" s="61" t="str">
        <f t="shared" si="189"/>
        <v/>
      </c>
    </row>
    <row r="1147" spans="9:21" ht="24.75" customHeight="1" x14ac:dyDescent="0.35">
      <c r="I1147" s="42">
        <f t="shared" si="180"/>
        <v>0</v>
      </c>
      <c r="J1147" s="65" t="e">
        <f t="shared" si="181"/>
        <v>#NUM!</v>
      </c>
      <c r="K1147" s="83" t="e">
        <f t="shared" si="182"/>
        <v>#NUM!</v>
      </c>
      <c r="L1147" s="83">
        <f t="shared" si="183"/>
        <v>0</v>
      </c>
      <c r="M1147" s="110" t="str">
        <f t="shared" si="184"/>
        <v/>
      </c>
      <c r="N1147" s="51" t="str">
        <f t="shared" si="185"/>
        <v/>
      </c>
      <c r="O1147" s="52" t="str">
        <f t="shared" si="186"/>
        <v/>
      </c>
      <c r="P1147" s="88">
        <f t="shared" si="187"/>
        <v>0</v>
      </c>
      <c r="Q1147" s="88">
        <f t="shared" si="188"/>
        <v>0</v>
      </c>
      <c r="R1147" s="88" t="e">
        <f>-IF(Tabla14[[#This Row],[DIAS HABILES O MORA]]&lt;0,(Tabla14[[#This Row],[VALOR PRESTAMO]]*Tabla14[[#This Row],[% INTERES ]]/30*U1147))+Tabla14[[#This Row],[VALOR CUOTAS]]</f>
        <v>#VALUE!</v>
      </c>
      <c r="S1147" s="88">
        <f>-IF(Tabla14[[#This Row],[DIAS HABILES O MORA]]&lt;0,(Tabla14[[#This Row],[VALOR PRESTAMO]]*Tabla14[[#This Row],[% INTERES ]]/30*U1147))</f>
        <v>0</v>
      </c>
      <c r="T1147" s="53" t="e">
        <f>Tabla14[[#This Row],[DEUDA CAPITAL]]+Tabla14[[#This Row],[INTERES  CUOTA]]</f>
        <v>#NUM!</v>
      </c>
      <c r="U1147" s="61" t="str">
        <f t="shared" si="189"/>
        <v/>
      </c>
    </row>
    <row r="1148" spans="9:21" ht="24.75" customHeight="1" x14ac:dyDescent="0.35">
      <c r="I1148" s="42">
        <f t="shared" si="180"/>
        <v>0</v>
      </c>
      <c r="J1148" s="65" t="e">
        <f t="shared" si="181"/>
        <v>#NUM!</v>
      </c>
      <c r="K1148" s="83" t="e">
        <f t="shared" si="182"/>
        <v>#NUM!</v>
      </c>
      <c r="L1148" s="83">
        <f t="shared" si="183"/>
        <v>0</v>
      </c>
      <c r="M1148" s="110" t="str">
        <f t="shared" si="184"/>
        <v/>
      </c>
      <c r="N1148" s="51" t="str">
        <f t="shared" si="185"/>
        <v/>
      </c>
      <c r="O1148" s="52" t="str">
        <f t="shared" si="186"/>
        <v/>
      </c>
      <c r="P1148" s="88">
        <f t="shared" si="187"/>
        <v>0</v>
      </c>
      <c r="Q1148" s="88">
        <f t="shared" si="188"/>
        <v>0</v>
      </c>
      <c r="R1148" s="88" t="e">
        <f>-IF(Tabla14[[#This Row],[DIAS HABILES O MORA]]&lt;0,(Tabla14[[#This Row],[VALOR PRESTAMO]]*Tabla14[[#This Row],[% INTERES ]]/30*U1148))+Tabla14[[#This Row],[VALOR CUOTAS]]</f>
        <v>#VALUE!</v>
      </c>
      <c r="S1148" s="88">
        <f>-IF(Tabla14[[#This Row],[DIAS HABILES O MORA]]&lt;0,(Tabla14[[#This Row],[VALOR PRESTAMO]]*Tabla14[[#This Row],[% INTERES ]]/30*U1148))</f>
        <v>0</v>
      </c>
      <c r="T1148" s="53" t="e">
        <f>Tabla14[[#This Row],[DEUDA CAPITAL]]+Tabla14[[#This Row],[INTERES  CUOTA]]</f>
        <v>#NUM!</v>
      </c>
      <c r="U1148" s="61" t="str">
        <f t="shared" si="189"/>
        <v/>
      </c>
    </row>
    <row r="1149" spans="9:21" ht="24.75" customHeight="1" x14ac:dyDescent="0.35">
      <c r="I1149" s="42">
        <f t="shared" si="180"/>
        <v>0</v>
      </c>
      <c r="J1149" s="65" t="e">
        <f t="shared" si="181"/>
        <v>#NUM!</v>
      </c>
      <c r="K1149" s="83" t="e">
        <f t="shared" si="182"/>
        <v>#NUM!</v>
      </c>
      <c r="L1149" s="83">
        <f t="shared" si="183"/>
        <v>0</v>
      </c>
      <c r="M1149" s="110" t="str">
        <f t="shared" si="184"/>
        <v/>
      </c>
      <c r="N1149" s="51" t="str">
        <f t="shared" si="185"/>
        <v/>
      </c>
      <c r="O1149" s="52" t="str">
        <f t="shared" si="186"/>
        <v/>
      </c>
      <c r="P1149" s="88">
        <f t="shared" si="187"/>
        <v>0</v>
      </c>
      <c r="Q1149" s="88">
        <f t="shared" si="188"/>
        <v>0</v>
      </c>
      <c r="R1149" s="88" t="e">
        <f>-IF(Tabla14[[#This Row],[DIAS HABILES O MORA]]&lt;0,(Tabla14[[#This Row],[VALOR PRESTAMO]]*Tabla14[[#This Row],[% INTERES ]]/30*U1149))+Tabla14[[#This Row],[VALOR CUOTAS]]</f>
        <v>#VALUE!</v>
      </c>
      <c r="S1149" s="88">
        <f>-IF(Tabla14[[#This Row],[DIAS HABILES O MORA]]&lt;0,(Tabla14[[#This Row],[VALOR PRESTAMO]]*Tabla14[[#This Row],[% INTERES ]]/30*U1149))</f>
        <v>0</v>
      </c>
      <c r="T1149" s="53" t="e">
        <f>Tabla14[[#This Row],[DEUDA CAPITAL]]+Tabla14[[#This Row],[INTERES  CUOTA]]</f>
        <v>#NUM!</v>
      </c>
      <c r="U1149" s="61" t="str">
        <f t="shared" si="189"/>
        <v/>
      </c>
    </row>
    <row r="1150" spans="9:21" ht="24.75" customHeight="1" x14ac:dyDescent="0.35">
      <c r="I1150" s="42">
        <f t="shared" si="180"/>
        <v>0</v>
      </c>
      <c r="J1150" s="65" t="e">
        <f t="shared" si="181"/>
        <v>#NUM!</v>
      </c>
      <c r="K1150" s="83" t="e">
        <f t="shared" si="182"/>
        <v>#NUM!</v>
      </c>
      <c r="L1150" s="83">
        <f t="shared" si="183"/>
        <v>0</v>
      </c>
      <c r="M1150" s="110" t="str">
        <f t="shared" si="184"/>
        <v/>
      </c>
      <c r="N1150" s="51" t="str">
        <f t="shared" si="185"/>
        <v/>
      </c>
      <c r="O1150" s="52" t="str">
        <f t="shared" si="186"/>
        <v/>
      </c>
      <c r="P1150" s="88">
        <f t="shared" si="187"/>
        <v>0</v>
      </c>
      <c r="Q1150" s="88">
        <f t="shared" si="188"/>
        <v>0</v>
      </c>
      <c r="R1150" s="88" t="e">
        <f>-IF(Tabla14[[#This Row],[DIAS HABILES O MORA]]&lt;0,(Tabla14[[#This Row],[VALOR PRESTAMO]]*Tabla14[[#This Row],[% INTERES ]]/30*U1150))+Tabla14[[#This Row],[VALOR CUOTAS]]</f>
        <v>#VALUE!</v>
      </c>
      <c r="S1150" s="88">
        <f>-IF(Tabla14[[#This Row],[DIAS HABILES O MORA]]&lt;0,(Tabla14[[#This Row],[VALOR PRESTAMO]]*Tabla14[[#This Row],[% INTERES ]]/30*U1150))</f>
        <v>0</v>
      </c>
      <c r="T1150" s="53" t="e">
        <f>Tabla14[[#This Row],[DEUDA CAPITAL]]+Tabla14[[#This Row],[INTERES  CUOTA]]</f>
        <v>#NUM!</v>
      </c>
      <c r="U1150" s="61" t="str">
        <f t="shared" si="189"/>
        <v/>
      </c>
    </row>
    <row r="1151" spans="9:21" ht="24.75" customHeight="1" x14ac:dyDescent="0.35">
      <c r="I1151" s="42">
        <f t="shared" si="180"/>
        <v>0</v>
      </c>
      <c r="J1151" s="65" t="e">
        <f t="shared" si="181"/>
        <v>#NUM!</v>
      </c>
      <c r="K1151" s="83" t="e">
        <f t="shared" si="182"/>
        <v>#NUM!</v>
      </c>
      <c r="L1151" s="83">
        <f t="shared" si="183"/>
        <v>0</v>
      </c>
      <c r="M1151" s="110" t="str">
        <f t="shared" si="184"/>
        <v/>
      </c>
      <c r="N1151" s="51" t="str">
        <f t="shared" si="185"/>
        <v/>
      </c>
      <c r="O1151" s="52" t="str">
        <f t="shared" si="186"/>
        <v/>
      </c>
      <c r="P1151" s="88">
        <f t="shared" si="187"/>
        <v>0</v>
      </c>
      <c r="Q1151" s="88">
        <f t="shared" si="188"/>
        <v>0</v>
      </c>
      <c r="R1151" s="88" t="e">
        <f>-IF(Tabla14[[#This Row],[DIAS HABILES O MORA]]&lt;0,(Tabla14[[#This Row],[VALOR PRESTAMO]]*Tabla14[[#This Row],[% INTERES ]]/30*U1151))+Tabla14[[#This Row],[VALOR CUOTAS]]</f>
        <v>#VALUE!</v>
      </c>
      <c r="S1151" s="88">
        <f>-IF(Tabla14[[#This Row],[DIAS HABILES O MORA]]&lt;0,(Tabla14[[#This Row],[VALOR PRESTAMO]]*Tabla14[[#This Row],[% INTERES ]]/30*U1151))</f>
        <v>0</v>
      </c>
      <c r="T1151" s="53" t="e">
        <f>Tabla14[[#This Row],[DEUDA CAPITAL]]+Tabla14[[#This Row],[INTERES  CUOTA]]</f>
        <v>#NUM!</v>
      </c>
      <c r="U1151" s="61" t="str">
        <f t="shared" si="189"/>
        <v/>
      </c>
    </row>
    <row r="1152" spans="9:21" ht="24.75" customHeight="1" x14ac:dyDescent="0.35">
      <c r="I1152" s="42">
        <f t="shared" si="180"/>
        <v>0</v>
      </c>
      <c r="J1152" s="65" t="e">
        <f t="shared" si="181"/>
        <v>#NUM!</v>
      </c>
      <c r="K1152" s="83" t="e">
        <f t="shared" si="182"/>
        <v>#NUM!</v>
      </c>
      <c r="L1152" s="83">
        <f t="shared" si="183"/>
        <v>0</v>
      </c>
      <c r="M1152" s="110" t="str">
        <f t="shared" si="184"/>
        <v/>
      </c>
      <c r="N1152" s="51" t="str">
        <f t="shared" si="185"/>
        <v/>
      </c>
      <c r="O1152" s="52" t="str">
        <f t="shared" si="186"/>
        <v/>
      </c>
      <c r="P1152" s="88">
        <f t="shared" si="187"/>
        <v>0</v>
      </c>
      <c r="Q1152" s="88">
        <f t="shared" si="188"/>
        <v>0</v>
      </c>
      <c r="R1152" s="88" t="e">
        <f>-IF(Tabla14[[#This Row],[DIAS HABILES O MORA]]&lt;0,(Tabla14[[#This Row],[VALOR PRESTAMO]]*Tabla14[[#This Row],[% INTERES ]]/30*U1152))+Tabla14[[#This Row],[VALOR CUOTAS]]</f>
        <v>#VALUE!</v>
      </c>
      <c r="S1152" s="88">
        <f>-IF(Tabla14[[#This Row],[DIAS HABILES O MORA]]&lt;0,(Tabla14[[#This Row],[VALOR PRESTAMO]]*Tabla14[[#This Row],[% INTERES ]]/30*U1152))</f>
        <v>0</v>
      </c>
      <c r="T1152" s="53" t="e">
        <f>Tabla14[[#This Row],[DEUDA CAPITAL]]+Tabla14[[#This Row],[INTERES  CUOTA]]</f>
        <v>#NUM!</v>
      </c>
      <c r="U1152" s="61" t="str">
        <f t="shared" si="189"/>
        <v/>
      </c>
    </row>
    <row r="1153" spans="9:21" ht="24.75" customHeight="1" x14ac:dyDescent="0.35">
      <c r="I1153" s="42">
        <f t="shared" si="180"/>
        <v>0</v>
      </c>
      <c r="J1153" s="65" t="e">
        <f t="shared" si="181"/>
        <v>#NUM!</v>
      </c>
      <c r="K1153" s="83" t="e">
        <f t="shared" si="182"/>
        <v>#NUM!</v>
      </c>
      <c r="L1153" s="83">
        <f t="shared" si="183"/>
        <v>0</v>
      </c>
      <c r="M1153" s="110" t="str">
        <f t="shared" si="184"/>
        <v/>
      </c>
      <c r="N1153" s="51" t="str">
        <f t="shared" si="185"/>
        <v/>
      </c>
      <c r="O1153" s="52" t="str">
        <f t="shared" si="186"/>
        <v/>
      </c>
      <c r="P1153" s="88">
        <f t="shared" si="187"/>
        <v>0</v>
      </c>
      <c r="Q1153" s="88">
        <f t="shared" si="188"/>
        <v>0</v>
      </c>
      <c r="R1153" s="88" t="e">
        <f>-IF(Tabla14[[#This Row],[DIAS HABILES O MORA]]&lt;0,(Tabla14[[#This Row],[VALOR PRESTAMO]]*Tabla14[[#This Row],[% INTERES ]]/30*U1153))+Tabla14[[#This Row],[VALOR CUOTAS]]</f>
        <v>#VALUE!</v>
      </c>
      <c r="S1153" s="88">
        <f>-IF(Tabla14[[#This Row],[DIAS HABILES O MORA]]&lt;0,(Tabla14[[#This Row],[VALOR PRESTAMO]]*Tabla14[[#This Row],[% INTERES ]]/30*U1153))</f>
        <v>0</v>
      </c>
      <c r="T1153" s="53" t="e">
        <f>Tabla14[[#This Row],[DEUDA CAPITAL]]+Tabla14[[#This Row],[INTERES  CUOTA]]</f>
        <v>#NUM!</v>
      </c>
      <c r="U1153" s="61" t="str">
        <f t="shared" si="189"/>
        <v/>
      </c>
    </row>
    <row r="1154" spans="9:21" ht="24.75" customHeight="1" x14ac:dyDescent="0.35">
      <c r="I1154" s="42">
        <f t="shared" si="180"/>
        <v>0</v>
      </c>
      <c r="J1154" s="65" t="e">
        <f t="shared" si="181"/>
        <v>#NUM!</v>
      </c>
      <c r="K1154" s="83" t="e">
        <f t="shared" si="182"/>
        <v>#NUM!</v>
      </c>
      <c r="L1154" s="83">
        <f t="shared" si="183"/>
        <v>0</v>
      </c>
      <c r="M1154" s="110" t="str">
        <f t="shared" si="184"/>
        <v/>
      </c>
      <c r="N1154" s="51" t="str">
        <f t="shared" si="185"/>
        <v/>
      </c>
      <c r="O1154" s="52" t="str">
        <f t="shared" si="186"/>
        <v/>
      </c>
      <c r="P1154" s="88">
        <f t="shared" si="187"/>
        <v>0</v>
      </c>
      <c r="Q1154" s="88">
        <f t="shared" si="188"/>
        <v>0</v>
      </c>
      <c r="R1154" s="88" t="e">
        <f>-IF(Tabla14[[#This Row],[DIAS HABILES O MORA]]&lt;0,(Tabla14[[#This Row],[VALOR PRESTAMO]]*Tabla14[[#This Row],[% INTERES ]]/30*U1154))+Tabla14[[#This Row],[VALOR CUOTAS]]</f>
        <v>#VALUE!</v>
      </c>
      <c r="S1154" s="88">
        <f>-IF(Tabla14[[#This Row],[DIAS HABILES O MORA]]&lt;0,(Tabla14[[#This Row],[VALOR PRESTAMO]]*Tabla14[[#This Row],[% INTERES ]]/30*U1154))</f>
        <v>0</v>
      </c>
      <c r="T1154" s="53" t="e">
        <f>Tabla14[[#This Row],[DEUDA CAPITAL]]+Tabla14[[#This Row],[INTERES  CUOTA]]</f>
        <v>#NUM!</v>
      </c>
      <c r="U1154" s="61" t="str">
        <f t="shared" si="189"/>
        <v/>
      </c>
    </row>
    <row r="1155" spans="9:21" ht="24.75" customHeight="1" x14ac:dyDescent="0.35">
      <c r="I1155" s="42">
        <f t="shared" si="180"/>
        <v>0</v>
      </c>
      <c r="J1155" s="65" t="e">
        <f t="shared" si="181"/>
        <v>#NUM!</v>
      </c>
      <c r="K1155" s="83" t="e">
        <f t="shared" si="182"/>
        <v>#NUM!</v>
      </c>
      <c r="L1155" s="83">
        <f t="shared" si="183"/>
        <v>0</v>
      </c>
      <c r="M1155" s="110" t="str">
        <f t="shared" si="184"/>
        <v/>
      </c>
      <c r="N1155" s="51" t="str">
        <f t="shared" si="185"/>
        <v/>
      </c>
      <c r="O1155" s="52" t="str">
        <f t="shared" si="186"/>
        <v/>
      </c>
      <c r="P1155" s="88">
        <f t="shared" si="187"/>
        <v>0</v>
      </c>
      <c r="Q1155" s="88">
        <f t="shared" si="188"/>
        <v>0</v>
      </c>
      <c r="R1155" s="88" t="e">
        <f>-IF(Tabla14[[#This Row],[DIAS HABILES O MORA]]&lt;0,(Tabla14[[#This Row],[VALOR PRESTAMO]]*Tabla14[[#This Row],[% INTERES ]]/30*U1155))+Tabla14[[#This Row],[VALOR CUOTAS]]</f>
        <v>#VALUE!</v>
      </c>
      <c r="S1155" s="88">
        <f>-IF(Tabla14[[#This Row],[DIAS HABILES O MORA]]&lt;0,(Tabla14[[#This Row],[VALOR PRESTAMO]]*Tabla14[[#This Row],[% INTERES ]]/30*U1155))</f>
        <v>0</v>
      </c>
      <c r="T1155" s="53" t="e">
        <f>Tabla14[[#This Row],[DEUDA CAPITAL]]+Tabla14[[#This Row],[INTERES  CUOTA]]</f>
        <v>#NUM!</v>
      </c>
      <c r="U1155" s="61" t="str">
        <f t="shared" si="189"/>
        <v/>
      </c>
    </row>
    <row r="1156" spans="9:21" ht="24.75" customHeight="1" x14ac:dyDescent="0.35">
      <c r="I1156" s="42">
        <f t="shared" si="180"/>
        <v>0</v>
      </c>
      <c r="J1156" s="65" t="e">
        <f t="shared" si="181"/>
        <v>#NUM!</v>
      </c>
      <c r="K1156" s="83" t="e">
        <f t="shared" si="182"/>
        <v>#NUM!</v>
      </c>
      <c r="L1156" s="83">
        <f t="shared" si="183"/>
        <v>0</v>
      </c>
      <c r="M1156" s="110" t="str">
        <f t="shared" si="184"/>
        <v/>
      </c>
      <c r="N1156" s="51" t="str">
        <f t="shared" si="185"/>
        <v/>
      </c>
      <c r="O1156" s="52" t="str">
        <f t="shared" si="186"/>
        <v/>
      </c>
      <c r="P1156" s="88">
        <f t="shared" si="187"/>
        <v>0</v>
      </c>
      <c r="Q1156" s="88">
        <f t="shared" si="188"/>
        <v>0</v>
      </c>
      <c r="R1156" s="88" t="e">
        <f>-IF(Tabla14[[#This Row],[DIAS HABILES O MORA]]&lt;0,(Tabla14[[#This Row],[VALOR PRESTAMO]]*Tabla14[[#This Row],[% INTERES ]]/30*U1156))+Tabla14[[#This Row],[VALOR CUOTAS]]</f>
        <v>#VALUE!</v>
      </c>
      <c r="S1156" s="88">
        <f>-IF(Tabla14[[#This Row],[DIAS HABILES O MORA]]&lt;0,(Tabla14[[#This Row],[VALOR PRESTAMO]]*Tabla14[[#This Row],[% INTERES ]]/30*U1156))</f>
        <v>0</v>
      </c>
      <c r="T1156" s="53" t="e">
        <f>Tabla14[[#This Row],[DEUDA CAPITAL]]+Tabla14[[#This Row],[INTERES  CUOTA]]</f>
        <v>#NUM!</v>
      </c>
      <c r="U1156" s="61" t="str">
        <f t="shared" si="189"/>
        <v/>
      </c>
    </row>
    <row r="1157" spans="9:21" ht="24.75" customHeight="1" x14ac:dyDescent="0.35">
      <c r="I1157" s="42">
        <f t="shared" si="180"/>
        <v>0</v>
      </c>
      <c r="J1157" s="65" t="e">
        <f t="shared" si="181"/>
        <v>#NUM!</v>
      </c>
      <c r="K1157" s="83" t="e">
        <f t="shared" si="182"/>
        <v>#NUM!</v>
      </c>
      <c r="L1157" s="83">
        <f t="shared" si="183"/>
        <v>0</v>
      </c>
      <c r="M1157" s="110" t="str">
        <f t="shared" si="184"/>
        <v/>
      </c>
      <c r="N1157" s="51" t="str">
        <f t="shared" si="185"/>
        <v/>
      </c>
      <c r="O1157" s="52" t="str">
        <f t="shared" si="186"/>
        <v/>
      </c>
      <c r="P1157" s="88">
        <f t="shared" si="187"/>
        <v>0</v>
      </c>
      <c r="Q1157" s="88">
        <f t="shared" si="188"/>
        <v>0</v>
      </c>
      <c r="R1157" s="88" t="e">
        <f>-IF(Tabla14[[#This Row],[DIAS HABILES O MORA]]&lt;0,(Tabla14[[#This Row],[VALOR PRESTAMO]]*Tabla14[[#This Row],[% INTERES ]]/30*U1157))+Tabla14[[#This Row],[VALOR CUOTAS]]</f>
        <v>#VALUE!</v>
      </c>
      <c r="S1157" s="88">
        <f>-IF(Tabla14[[#This Row],[DIAS HABILES O MORA]]&lt;0,(Tabla14[[#This Row],[VALOR PRESTAMO]]*Tabla14[[#This Row],[% INTERES ]]/30*U1157))</f>
        <v>0</v>
      </c>
      <c r="T1157" s="53" t="e">
        <f>Tabla14[[#This Row],[DEUDA CAPITAL]]+Tabla14[[#This Row],[INTERES  CUOTA]]</f>
        <v>#NUM!</v>
      </c>
      <c r="U1157" s="61" t="str">
        <f t="shared" si="189"/>
        <v/>
      </c>
    </row>
    <row r="1158" spans="9:21" ht="24.75" customHeight="1" x14ac:dyDescent="0.35">
      <c r="I1158" s="42">
        <f t="shared" si="180"/>
        <v>0</v>
      </c>
      <c r="J1158" s="65" t="e">
        <f t="shared" si="181"/>
        <v>#NUM!</v>
      </c>
      <c r="K1158" s="83" t="e">
        <f t="shared" si="182"/>
        <v>#NUM!</v>
      </c>
      <c r="L1158" s="83">
        <f t="shared" si="183"/>
        <v>0</v>
      </c>
      <c r="M1158" s="110" t="str">
        <f t="shared" si="184"/>
        <v/>
      </c>
      <c r="N1158" s="51" t="str">
        <f t="shared" si="185"/>
        <v/>
      </c>
      <c r="O1158" s="52" t="str">
        <f t="shared" si="186"/>
        <v/>
      </c>
      <c r="P1158" s="88">
        <f t="shared" si="187"/>
        <v>0</v>
      </c>
      <c r="Q1158" s="88">
        <f t="shared" si="188"/>
        <v>0</v>
      </c>
      <c r="R1158" s="88" t="e">
        <f>-IF(Tabla14[[#This Row],[DIAS HABILES O MORA]]&lt;0,(Tabla14[[#This Row],[VALOR PRESTAMO]]*Tabla14[[#This Row],[% INTERES ]]/30*U1158))+Tabla14[[#This Row],[VALOR CUOTAS]]</f>
        <v>#VALUE!</v>
      </c>
      <c r="S1158" s="88">
        <f>-IF(Tabla14[[#This Row],[DIAS HABILES O MORA]]&lt;0,(Tabla14[[#This Row],[VALOR PRESTAMO]]*Tabla14[[#This Row],[% INTERES ]]/30*U1158))</f>
        <v>0</v>
      </c>
      <c r="T1158" s="53" t="e">
        <f>Tabla14[[#This Row],[DEUDA CAPITAL]]+Tabla14[[#This Row],[INTERES  CUOTA]]</f>
        <v>#NUM!</v>
      </c>
      <c r="U1158" s="61" t="str">
        <f t="shared" si="189"/>
        <v/>
      </c>
    </row>
    <row r="1159" spans="9:21" ht="24.75" customHeight="1" x14ac:dyDescent="0.35">
      <c r="I1159" s="42">
        <f t="shared" si="180"/>
        <v>0</v>
      </c>
      <c r="J1159" s="65" t="e">
        <f t="shared" si="181"/>
        <v>#NUM!</v>
      </c>
      <c r="K1159" s="83" t="e">
        <f t="shared" si="182"/>
        <v>#NUM!</v>
      </c>
      <c r="L1159" s="83">
        <f t="shared" si="183"/>
        <v>0</v>
      </c>
      <c r="M1159" s="110" t="str">
        <f t="shared" si="184"/>
        <v/>
      </c>
      <c r="N1159" s="51" t="str">
        <f t="shared" si="185"/>
        <v/>
      </c>
      <c r="O1159" s="52" t="str">
        <f t="shared" si="186"/>
        <v/>
      </c>
      <c r="P1159" s="88">
        <f t="shared" si="187"/>
        <v>0</v>
      </c>
      <c r="Q1159" s="88">
        <f t="shared" si="188"/>
        <v>0</v>
      </c>
      <c r="R1159" s="88" t="e">
        <f>-IF(Tabla14[[#This Row],[DIAS HABILES O MORA]]&lt;0,(Tabla14[[#This Row],[VALOR PRESTAMO]]*Tabla14[[#This Row],[% INTERES ]]/30*U1159))+Tabla14[[#This Row],[VALOR CUOTAS]]</f>
        <v>#VALUE!</v>
      </c>
      <c r="S1159" s="88">
        <f>-IF(Tabla14[[#This Row],[DIAS HABILES O MORA]]&lt;0,(Tabla14[[#This Row],[VALOR PRESTAMO]]*Tabla14[[#This Row],[% INTERES ]]/30*U1159))</f>
        <v>0</v>
      </c>
      <c r="T1159" s="53" t="e">
        <f>Tabla14[[#This Row],[DEUDA CAPITAL]]+Tabla14[[#This Row],[INTERES  CUOTA]]</f>
        <v>#NUM!</v>
      </c>
      <c r="U1159" s="61" t="str">
        <f t="shared" si="189"/>
        <v/>
      </c>
    </row>
    <row r="1160" spans="9:21" ht="24.75" customHeight="1" x14ac:dyDescent="0.35">
      <c r="I1160" s="42">
        <f t="shared" si="180"/>
        <v>0</v>
      </c>
      <c r="J1160" s="65" t="e">
        <f t="shared" si="181"/>
        <v>#NUM!</v>
      </c>
      <c r="K1160" s="83" t="e">
        <f t="shared" si="182"/>
        <v>#NUM!</v>
      </c>
      <c r="L1160" s="83">
        <f t="shared" si="183"/>
        <v>0</v>
      </c>
      <c r="M1160" s="110" t="str">
        <f t="shared" si="184"/>
        <v/>
      </c>
      <c r="N1160" s="51" t="str">
        <f t="shared" si="185"/>
        <v/>
      </c>
      <c r="O1160" s="52" t="str">
        <f t="shared" si="186"/>
        <v/>
      </c>
      <c r="P1160" s="88">
        <f t="shared" si="187"/>
        <v>0</v>
      </c>
      <c r="Q1160" s="88">
        <f t="shared" si="188"/>
        <v>0</v>
      </c>
      <c r="R1160" s="88" t="e">
        <f>-IF(Tabla14[[#This Row],[DIAS HABILES O MORA]]&lt;0,(Tabla14[[#This Row],[VALOR PRESTAMO]]*Tabla14[[#This Row],[% INTERES ]]/30*U1160))+Tabla14[[#This Row],[VALOR CUOTAS]]</f>
        <v>#VALUE!</v>
      </c>
      <c r="S1160" s="88">
        <f>-IF(Tabla14[[#This Row],[DIAS HABILES O MORA]]&lt;0,(Tabla14[[#This Row],[VALOR PRESTAMO]]*Tabla14[[#This Row],[% INTERES ]]/30*U1160))</f>
        <v>0</v>
      </c>
      <c r="T1160" s="53" t="e">
        <f>Tabla14[[#This Row],[DEUDA CAPITAL]]+Tabla14[[#This Row],[INTERES  CUOTA]]</f>
        <v>#NUM!</v>
      </c>
      <c r="U1160" s="61" t="str">
        <f t="shared" si="189"/>
        <v/>
      </c>
    </row>
    <row r="1161" spans="9:21" ht="24.75" customHeight="1" x14ac:dyDescent="0.35">
      <c r="I1161" s="42">
        <f t="shared" si="180"/>
        <v>0</v>
      </c>
      <c r="J1161" s="65" t="e">
        <f t="shared" si="181"/>
        <v>#NUM!</v>
      </c>
      <c r="K1161" s="83" t="e">
        <f t="shared" si="182"/>
        <v>#NUM!</v>
      </c>
      <c r="L1161" s="83">
        <f t="shared" si="183"/>
        <v>0</v>
      </c>
      <c r="M1161" s="110" t="str">
        <f t="shared" si="184"/>
        <v/>
      </c>
      <c r="N1161" s="51" t="str">
        <f t="shared" si="185"/>
        <v/>
      </c>
      <c r="O1161" s="52" t="str">
        <f t="shared" si="186"/>
        <v/>
      </c>
      <c r="P1161" s="88">
        <f t="shared" si="187"/>
        <v>0</v>
      </c>
      <c r="Q1161" s="88">
        <f t="shared" si="188"/>
        <v>0</v>
      </c>
      <c r="R1161" s="88" t="e">
        <f>-IF(Tabla14[[#This Row],[DIAS HABILES O MORA]]&lt;0,(Tabla14[[#This Row],[VALOR PRESTAMO]]*Tabla14[[#This Row],[% INTERES ]]/30*U1161))+Tabla14[[#This Row],[VALOR CUOTAS]]</f>
        <v>#VALUE!</v>
      </c>
      <c r="S1161" s="88">
        <f>-IF(Tabla14[[#This Row],[DIAS HABILES O MORA]]&lt;0,(Tabla14[[#This Row],[VALOR PRESTAMO]]*Tabla14[[#This Row],[% INTERES ]]/30*U1161))</f>
        <v>0</v>
      </c>
      <c r="T1161" s="53" t="e">
        <f>Tabla14[[#This Row],[DEUDA CAPITAL]]+Tabla14[[#This Row],[INTERES  CUOTA]]</f>
        <v>#NUM!</v>
      </c>
      <c r="U1161" s="61" t="str">
        <f t="shared" si="189"/>
        <v/>
      </c>
    </row>
    <row r="1162" spans="9:21" ht="24.75" customHeight="1" x14ac:dyDescent="0.35">
      <c r="I1162" s="42">
        <f t="shared" si="180"/>
        <v>0</v>
      </c>
      <c r="J1162" s="65" t="e">
        <f t="shared" si="181"/>
        <v>#NUM!</v>
      </c>
      <c r="K1162" s="83" t="e">
        <f t="shared" si="182"/>
        <v>#NUM!</v>
      </c>
      <c r="L1162" s="83">
        <f t="shared" si="183"/>
        <v>0</v>
      </c>
      <c r="M1162" s="110" t="str">
        <f t="shared" si="184"/>
        <v/>
      </c>
      <c r="N1162" s="51" t="str">
        <f t="shared" si="185"/>
        <v/>
      </c>
      <c r="O1162" s="52" t="str">
        <f t="shared" si="186"/>
        <v/>
      </c>
      <c r="P1162" s="88">
        <f t="shared" si="187"/>
        <v>0</v>
      </c>
      <c r="Q1162" s="88">
        <f t="shared" si="188"/>
        <v>0</v>
      </c>
      <c r="R1162" s="88" t="e">
        <f>-IF(Tabla14[[#This Row],[DIAS HABILES O MORA]]&lt;0,(Tabla14[[#This Row],[VALOR PRESTAMO]]*Tabla14[[#This Row],[% INTERES ]]/30*U1162))+Tabla14[[#This Row],[VALOR CUOTAS]]</f>
        <v>#VALUE!</v>
      </c>
      <c r="S1162" s="88">
        <f>-IF(Tabla14[[#This Row],[DIAS HABILES O MORA]]&lt;0,(Tabla14[[#This Row],[VALOR PRESTAMO]]*Tabla14[[#This Row],[% INTERES ]]/30*U1162))</f>
        <v>0</v>
      </c>
      <c r="T1162" s="53" t="e">
        <f>Tabla14[[#This Row],[DEUDA CAPITAL]]+Tabla14[[#This Row],[INTERES  CUOTA]]</f>
        <v>#NUM!</v>
      </c>
      <c r="U1162" s="61" t="str">
        <f t="shared" si="189"/>
        <v/>
      </c>
    </row>
    <row r="1163" spans="9:21" ht="24.75" customHeight="1" x14ac:dyDescent="0.35">
      <c r="I1163" s="42">
        <f t="shared" si="180"/>
        <v>0</v>
      </c>
      <c r="J1163" s="65" t="e">
        <f t="shared" si="181"/>
        <v>#NUM!</v>
      </c>
      <c r="K1163" s="83" t="e">
        <f t="shared" si="182"/>
        <v>#NUM!</v>
      </c>
      <c r="L1163" s="83">
        <f t="shared" si="183"/>
        <v>0</v>
      </c>
      <c r="M1163" s="110" t="str">
        <f t="shared" si="184"/>
        <v/>
      </c>
      <c r="N1163" s="51" t="str">
        <f t="shared" si="185"/>
        <v/>
      </c>
      <c r="O1163" s="52" t="str">
        <f t="shared" si="186"/>
        <v/>
      </c>
      <c r="P1163" s="88">
        <f t="shared" si="187"/>
        <v>0</v>
      </c>
      <c r="Q1163" s="88">
        <f t="shared" si="188"/>
        <v>0</v>
      </c>
      <c r="R1163" s="88" t="e">
        <f>-IF(Tabla14[[#This Row],[DIAS HABILES O MORA]]&lt;0,(Tabla14[[#This Row],[VALOR PRESTAMO]]*Tabla14[[#This Row],[% INTERES ]]/30*U1163))+Tabla14[[#This Row],[VALOR CUOTAS]]</f>
        <v>#VALUE!</v>
      </c>
      <c r="S1163" s="88">
        <f>-IF(Tabla14[[#This Row],[DIAS HABILES O MORA]]&lt;0,(Tabla14[[#This Row],[VALOR PRESTAMO]]*Tabla14[[#This Row],[% INTERES ]]/30*U1163))</f>
        <v>0</v>
      </c>
      <c r="T1163" s="53" t="e">
        <f>Tabla14[[#This Row],[DEUDA CAPITAL]]+Tabla14[[#This Row],[INTERES  CUOTA]]</f>
        <v>#NUM!</v>
      </c>
      <c r="U1163" s="61" t="str">
        <f t="shared" si="189"/>
        <v/>
      </c>
    </row>
    <row r="1164" spans="9:21" ht="24.75" customHeight="1" x14ac:dyDescent="0.35">
      <c r="I1164" s="42">
        <f t="shared" si="180"/>
        <v>0</v>
      </c>
      <c r="J1164" s="65" t="e">
        <f t="shared" si="181"/>
        <v>#NUM!</v>
      </c>
      <c r="K1164" s="83" t="e">
        <f t="shared" si="182"/>
        <v>#NUM!</v>
      </c>
      <c r="L1164" s="83">
        <f t="shared" si="183"/>
        <v>0</v>
      </c>
      <c r="M1164" s="110" t="str">
        <f t="shared" si="184"/>
        <v/>
      </c>
      <c r="N1164" s="51" t="str">
        <f t="shared" si="185"/>
        <v/>
      </c>
      <c r="O1164" s="52" t="str">
        <f t="shared" si="186"/>
        <v/>
      </c>
      <c r="P1164" s="88">
        <f t="shared" si="187"/>
        <v>0</v>
      </c>
      <c r="Q1164" s="88">
        <f t="shared" si="188"/>
        <v>0</v>
      </c>
      <c r="R1164" s="88" t="e">
        <f>-IF(Tabla14[[#This Row],[DIAS HABILES O MORA]]&lt;0,(Tabla14[[#This Row],[VALOR PRESTAMO]]*Tabla14[[#This Row],[% INTERES ]]/30*U1164))+Tabla14[[#This Row],[VALOR CUOTAS]]</f>
        <v>#VALUE!</v>
      </c>
      <c r="S1164" s="88">
        <f>-IF(Tabla14[[#This Row],[DIAS HABILES O MORA]]&lt;0,(Tabla14[[#This Row],[VALOR PRESTAMO]]*Tabla14[[#This Row],[% INTERES ]]/30*U1164))</f>
        <v>0</v>
      </c>
      <c r="T1164" s="53" t="e">
        <f>Tabla14[[#This Row],[DEUDA CAPITAL]]+Tabla14[[#This Row],[INTERES  CUOTA]]</f>
        <v>#NUM!</v>
      </c>
      <c r="U1164" s="61" t="str">
        <f t="shared" si="189"/>
        <v/>
      </c>
    </row>
    <row r="1165" spans="9:21" ht="24.75" customHeight="1" x14ac:dyDescent="0.35">
      <c r="I1165" s="42">
        <f t="shared" si="180"/>
        <v>0</v>
      </c>
      <c r="J1165" s="65" t="e">
        <f t="shared" si="181"/>
        <v>#NUM!</v>
      </c>
      <c r="K1165" s="83" t="e">
        <f t="shared" si="182"/>
        <v>#NUM!</v>
      </c>
      <c r="L1165" s="83">
        <f t="shared" si="183"/>
        <v>0</v>
      </c>
      <c r="M1165" s="110" t="str">
        <f t="shared" si="184"/>
        <v/>
      </c>
      <c r="N1165" s="51" t="str">
        <f t="shared" si="185"/>
        <v/>
      </c>
      <c r="O1165" s="52" t="str">
        <f t="shared" si="186"/>
        <v/>
      </c>
      <c r="P1165" s="88">
        <f t="shared" si="187"/>
        <v>0</v>
      </c>
      <c r="Q1165" s="88">
        <f t="shared" si="188"/>
        <v>0</v>
      </c>
      <c r="R1165" s="88" t="e">
        <f>-IF(Tabla14[[#This Row],[DIAS HABILES O MORA]]&lt;0,(Tabla14[[#This Row],[VALOR PRESTAMO]]*Tabla14[[#This Row],[% INTERES ]]/30*U1165))+Tabla14[[#This Row],[VALOR CUOTAS]]</f>
        <v>#VALUE!</v>
      </c>
      <c r="S1165" s="88">
        <f>-IF(Tabla14[[#This Row],[DIAS HABILES O MORA]]&lt;0,(Tabla14[[#This Row],[VALOR PRESTAMO]]*Tabla14[[#This Row],[% INTERES ]]/30*U1165))</f>
        <v>0</v>
      </c>
      <c r="T1165" s="53" t="e">
        <f>Tabla14[[#This Row],[DEUDA CAPITAL]]+Tabla14[[#This Row],[INTERES  CUOTA]]</f>
        <v>#NUM!</v>
      </c>
      <c r="U1165" s="61" t="str">
        <f t="shared" si="189"/>
        <v/>
      </c>
    </row>
    <row r="1166" spans="9:21" ht="24.75" customHeight="1" x14ac:dyDescent="0.35">
      <c r="I1166" s="42">
        <f t="shared" si="180"/>
        <v>0</v>
      </c>
      <c r="J1166" s="65" t="e">
        <f t="shared" si="181"/>
        <v>#NUM!</v>
      </c>
      <c r="K1166" s="83" t="e">
        <f t="shared" si="182"/>
        <v>#NUM!</v>
      </c>
      <c r="L1166" s="83">
        <f t="shared" si="183"/>
        <v>0</v>
      </c>
      <c r="M1166" s="110" t="str">
        <f t="shared" si="184"/>
        <v/>
      </c>
      <c r="N1166" s="51" t="str">
        <f t="shared" si="185"/>
        <v/>
      </c>
      <c r="O1166" s="52" t="str">
        <f t="shared" si="186"/>
        <v/>
      </c>
      <c r="P1166" s="88">
        <f t="shared" si="187"/>
        <v>0</v>
      </c>
      <c r="Q1166" s="88">
        <f t="shared" si="188"/>
        <v>0</v>
      </c>
      <c r="R1166" s="88" t="e">
        <f>-IF(Tabla14[[#This Row],[DIAS HABILES O MORA]]&lt;0,(Tabla14[[#This Row],[VALOR PRESTAMO]]*Tabla14[[#This Row],[% INTERES ]]/30*U1166))+Tabla14[[#This Row],[VALOR CUOTAS]]</f>
        <v>#VALUE!</v>
      </c>
      <c r="S1166" s="88">
        <f>-IF(Tabla14[[#This Row],[DIAS HABILES O MORA]]&lt;0,(Tabla14[[#This Row],[VALOR PRESTAMO]]*Tabla14[[#This Row],[% INTERES ]]/30*U1166))</f>
        <v>0</v>
      </c>
      <c r="T1166" s="53" t="e">
        <f>Tabla14[[#This Row],[DEUDA CAPITAL]]+Tabla14[[#This Row],[INTERES  CUOTA]]</f>
        <v>#NUM!</v>
      </c>
      <c r="U1166" s="61" t="str">
        <f t="shared" si="189"/>
        <v/>
      </c>
    </row>
    <row r="1167" spans="9:21" ht="24.75" customHeight="1" x14ac:dyDescent="0.35">
      <c r="I1167" s="42">
        <f t="shared" si="180"/>
        <v>0</v>
      </c>
      <c r="J1167" s="65" t="e">
        <f t="shared" si="181"/>
        <v>#NUM!</v>
      </c>
      <c r="K1167" s="83" t="e">
        <f t="shared" si="182"/>
        <v>#NUM!</v>
      </c>
      <c r="L1167" s="83">
        <f t="shared" si="183"/>
        <v>0</v>
      </c>
      <c r="M1167" s="110" t="str">
        <f t="shared" si="184"/>
        <v/>
      </c>
      <c r="N1167" s="51" t="str">
        <f t="shared" si="185"/>
        <v/>
      </c>
      <c r="O1167" s="52" t="str">
        <f t="shared" si="186"/>
        <v/>
      </c>
      <c r="P1167" s="88">
        <f t="shared" si="187"/>
        <v>0</v>
      </c>
      <c r="Q1167" s="88">
        <f t="shared" si="188"/>
        <v>0</v>
      </c>
      <c r="R1167" s="88" t="e">
        <f>-IF(Tabla14[[#This Row],[DIAS HABILES O MORA]]&lt;0,(Tabla14[[#This Row],[VALOR PRESTAMO]]*Tabla14[[#This Row],[% INTERES ]]/30*U1167))+Tabla14[[#This Row],[VALOR CUOTAS]]</f>
        <v>#VALUE!</v>
      </c>
      <c r="S1167" s="88">
        <f>-IF(Tabla14[[#This Row],[DIAS HABILES O MORA]]&lt;0,(Tabla14[[#This Row],[VALOR PRESTAMO]]*Tabla14[[#This Row],[% INTERES ]]/30*U1167))</f>
        <v>0</v>
      </c>
      <c r="T1167" s="53" t="e">
        <f>Tabla14[[#This Row],[DEUDA CAPITAL]]+Tabla14[[#This Row],[INTERES  CUOTA]]</f>
        <v>#NUM!</v>
      </c>
      <c r="U1167" s="61" t="str">
        <f t="shared" si="189"/>
        <v/>
      </c>
    </row>
    <row r="1168" spans="9:21" ht="24.75" customHeight="1" x14ac:dyDescent="0.35">
      <c r="I1168" s="42">
        <f t="shared" ref="I1168:I1231" si="190">IF(C1168&lt;0,"",IF(Q1168=0,0,IF(G1168=0,H1168+1,IF(H1168&lt;G1168,H1168+1,IF(G1168=H1168,0)))))</f>
        <v>0</v>
      </c>
      <c r="J1168" s="65" t="e">
        <f t="shared" ref="J1168:J1231" si="191">IF(F1168="SOLO INTERES",Q1168*D1168,-IPMT(D1168,I1168,G1168,C1168))</f>
        <v>#NUM!</v>
      </c>
      <c r="K1168" s="83" t="e">
        <f t="shared" ref="K1168:K1231" si="192">IF(F1168="SOLO INTERES",0,-PPMT(D1168,I1168,G1168,C1168))</f>
        <v>#NUM!</v>
      </c>
      <c r="L1168" s="83">
        <f t="shared" ref="L1168:L1231" si="193">IF(F1168="SOLO INTERES",SUM(Y1168:AAE1168),IFERROR(-CUMIPMT(D1168,G1168,C1168,1,H1168,0),0)+SUM(Y1168:WY1168))</f>
        <v>0</v>
      </c>
      <c r="M1168" s="110" t="str">
        <f t="shared" ref="M1168:M1231" si="194">IFERROR(IF(F1168="SOLO INTERES",Q1168*D1168,-PMT(D1168,G1168,C1168,0)),"")</f>
        <v/>
      </c>
      <c r="N1168" s="51" t="str">
        <f t="shared" ref="N1168:N1231" si="195">IF(Q1168=0,"",IF(E1168="MENSUAL",EDATE(B1168,I1168),IF(E1168="QUINCENAL",B1168+(I1168*15),IF(E1168="SEMANAL",B1168+(I1168*7)))))</f>
        <v/>
      </c>
      <c r="O1168" s="52" t="str">
        <f t="shared" ref="O1168:O1231" si="196">IF(C1168=0,"",IF(Q1168&lt;1,"PAGADO",IF(N1168=$A$3,"COBRAR HOY",IF(N1168&lt;$A$3,"EN MORA",IF(N1168&gt;$A$3,"AL DIA")))))</f>
        <v/>
      </c>
      <c r="P1168" s="88">
        <f t="shared" ref="P1168:P1231" si="197">IFERROR(-CUMPRINC(D1168,G1168,C1168,1,H1168,0),0)+W1168</f>
        <v>0</v>
      </c>
      <c r="Q1168" s="88">
        <f t="shared" ref="Q1168:Q1231" si="198">IFERROR(C1168-P1168,"")</f>
        <v>0</v>
      </c>
      <c r="R1168" s="88" t="e">
        <f>-IF(Tabla14[[#This Row],[DIAS HABILES O MORA]]&lt;0,(Tabla14[[#This Row],[VALOR PRESTAMO]]*Tabla14[[#This Row],[% INTERES ]]/30*U1168))+Tabla14[[#This Row],[VALOR CUOTAS]]</f>
        <v>#VALUE!</v>
      </c>
      <c r="S1168" s="88">
        <f>-IF(Tabla14[[#This Row],[DIAS HABILES O MORA]]&lt;0,(Tabla14[[#This Row],[VALOR PRESTAMO]]*Tabla14[[#This Row],[% INTERES ]]/30*U1168))</f>
        <v>0</v>
      </c>
      <c r="T1168" s="53" t="e">
        <f>Tabla14[[#This Row],[DEUDA CAPITAL]]+Tabla14[[#This Row],[INTERES  CUOTA]]</f>
        <v>#NUM!</v>
      </c>
      <c r="U1168" s="61" t="str">
        <f t="shared" ref="U1168:U1231" si="199">IF(O1168="PAGADO","",IFERROR(-IF(C1168=0,"",$A$3-N1168),""))</f>
        <v/>
      </c>
    </row>
    <row r="1169" spans="9:21" ht="24.75" customHeight="1" x14ac:dyDescent="0.35">
      <c r="I1169" s="42">
        <f t="shared" si="190"/>
        <v>0</v>
      </c>
      <c r="J1169" s="65" t="e">
        <f t="shared" si="191"/>
        <v>#NUM!</v>
      </c>
      <c r="K1169" s="83" t="e">
        <f t="shared" si="192"/>
        <v>#NUM!</v>
      </c>
      <c r="L1169" s="83">
        <f t="shared" si="193"/>
        <v>0</v>
      </c>
      <c r="M1169" s="110" t="str">
        <f t="shared" si="194"/>
        <v/>
      </c>
      <c r="N1169" s="51" t="str">
        <f t="shared" si="195"/>
        <v/>
      </c>
      <c r="O1169" s="52" t="str">
        <f t="shared" si="196"/>
        <v/>
      </c>
      <c r="P1169" s="88">
        <f t="shared" si="197"/>
        <v>0</v>
      </c>
      <c r="Q1169" s="88">
        <f t="shared" si="198"/>
        <v>0</v>
      </c>
      <c r="R1169" s="88" t="e">
        <f>-IF(Tabla14[[#This Row],[DIAS HABILES O MORA]]&lt;0,(Tabla14[[#This Row],[VALOR PRESTAMO]]*Tabla14[[#This Row],[% INTERES ]]/30*U1169))+Tabla14[[#This Row],[VALOR CUOTAS]]</f>
        <v>#VALUE!</v>
      </c>
      <c r="S1169" s="88">
        <f>-IF(Tabla14[[#This Row],[DIAS HABILES O MORA]]&lt;0,(Tabla14[[#This Row],[VALOR PRESTAMO]]*Tabla14[[#This Row],[% INTERES ]]/30*U1169))</f>
        <v>0</v>
      </c>
      <c r="T1169" s="53" t="e">
        <f>Tabla14[[#This Row],[DEUDA CAPITAL]]+Tabla14[[#This Row],[INTERES  CUOTA]]</f>
        <v>#NUM!</v>
      </c>
      <c r="U1169" s="61" t="str">
        <f t="shared" si="199"/>
        <v/>
      </c>
    </row>
    <row r="1170" spans="9:21" ht="24.75" customHeight="1" x14ac:dyDescent="0.35">
      <c r="I1170" s="42">
        <f t="shared" si="190"/>
        <v>0</v>
      </c>
      <c r="J1170" s="65" t="e">
        <f t="shared" si="191"/>
        <v>#NUM!</v>
      </c>
      <c r="K1170" s="83" t="e">
        <f t="shared" si="192"/>
        <v>#NUM!</v>
      </c>
      <c r="L1170" s="83">
        <f t="shared" si="193"/>
        <v>0</v>
      </c>
      <c r="M1170" s="110" t="str">
        <f t="shared" si="194"/>
        <v/>
      </c>
      <c r="N1170" s="51" t="str">
        <f t="shared" si="195"/>
        <v/>
      </c>
      <c r="O1170" s="52" t="str">
        <f t="shared" si="196"/>
        <v/>
      </c>
      <c r="P1170" s="88">
        <f t="shared" si="197"/>
        <v>0</v>
      </c>
      <c r="Q1170" s="88">
        <f t="shared" si="198"/>
        <v>0</v>
      </c>
      <c r="R1170" s="88" t="e">
        <f>-IF(Tabla14[[#This Row],[DIAS HABILES O MORA]]&lt;0,(Tabla14[[#This Row],[VALOR PRESTAMO]]*Tabla14[[#This Row],[% INTERES ]]/30*U1170))+Tabla14[[#This Row],[VALOR CUOTAS]]</f>
        <v>#VALUE!</v>
      </c>
      <c r="S1170" s="88">
        <f>-IF(Tabla14[[#This Row],[DIAS HABILES O MORA]]&lt;0,(Tabla14[[#This Row],[VALOR PRESTAMO]]*Tabla14[[#This Row],[% INTERES ]]/30*U1170))</f>
        <v>0</v>
      </c>
      <c r="T1170" s="53" t="e">
        <f>Tabla14[[#This Row],[DEUDA CAPITAL]]+Tabla14[[#This Row],[INTERES  CUOTA]]</f>
        <v>#NUM!</v>
      </c>
      <c r="U1170" s="61" t="str">
        <f t="shared" si="199"/>
        <v/>
      </c>
    </row>
    <row r="1171" spans="9:21" ht="24.75" customHeight="1" x14ac:dyDescent="0.35">
      <c r="I1171" s="42">
        <f t="shared" si="190"/>
        <v>0</v>
      </c>
      <c r="J1171" s="65" t="e">
        <f t="shared" si="191"/>
        <v>#NUM!</v>
      </c>
      <c r="K1171" s="83" t="e">
        <f t="shared" si="192"/>
        <v>#NUM!</v>
      </c>
      <c r="L1171" s="83">
        <f t="shared" si="193"/>
        <v>0</v>
      </c>
      <c r="M1171" s="110" t="str">
        <f t="shared" si="194"/>
        <v/>
      </c>
      <c r="N1171" s="51" t="str">
        <f t="shared" si="195"/>
        <v/>
      </c>
      <c r="O1171" s="52" t="str">
        <f t="shared" si="196"/>
        <v/>
      </c>
      <c r="P1171" s="88">
        <f t="shared" si="197"/>
        <v>0</v>
      </c>
      <c r="Q1171" s="88">
        <f t="shared" si="198"/>
        <v>0</v>
      </c>
      <c r="R1171" s="88" t="e">
        <f>-IF(Tabla14[[#This Row],[DIAS HABILES O MORA]]&lt;0,(Tabla14[[#This Row],[VALOR PRESTAMO]]*Tabla14[[#This Row],[% INTERES ]]/30*U1171))+Tabla14[[#This Row],[VALOR CUOTAS]]</f>
        <v>#VALUE!</v>
      </c>
      <c r="S1171" s="88">
        <f>-IF(Tabla14[[#This Row],[DIAS HABILES O MORA]]&lt;0,(Tabla14[[#This Row],[VALOR PRESTAMO]]*Tabla14[[#This Row],[% INTERES ]]/30*U1171))</f>
        <v>0</v>
      </c>
      <c r="T1171" s="53" t="e">
        <f>Tabla14[[#This Row],[DEUDA CAPITAL]]+Tabla14[[#This Row],[INTERES  CUOTA]]</f>
        <v>#NUM!</v>
      </c>
      <c r="U1171" s="61" t="str">
        <f t="shared" si="199"/>
        <v/>
      </c>
    </row>
    <row r="1172" spans="9:21" ht="24.75" customHeight="1" x14ac:dyDescent="0.35">
      <c r="I1172" s="42">
        <f t="shared" si="190"/>
        <v>0</v>
      </c>
      <c r="J1172" s="65" t="e">
        <f t="shared" si="191"/>
        <v>#NUM!</v>
      </c>
      <c r="K1172" s="83" t="e">
        <f t="shared" si="192"/>
        <v>#NUM!</v>
      </c>
      <c r="L1172" s="83">
        <f t="shared" si="193"/>
        <v>0</v>
      </c>
      <c r="M1172" s="110" t="str">
        <f t="shared" si="194"/>
        <v/>
      </c>
      <c r="N1172" s="51" t="str">
        <f t="shared" si="195"/>
        <v/>
      </c>
      <c r="O1172" s="52" t="str">
        <f t="shared" si="196"/>
        <v/>
      </c>
      <c r="P1172" s="88">
        <f t="shared" si="197"/>
        <v>0</v>
      </c>
      <c r="Q1172" s="88">
        <f t="shared" si="198"/>
        <v>0</v>
      </c>
      <c r="R1172" s="88" t="e">
        <f>-IF(Tabla14[[#This Row],[DIAS HABILES O MORA]]&lt;0,(Tabla14[[#This Row],[VALOR PRESTAMO]]*Tabla14[[#This Row],[% INTERES ]]/30*U1172))+Tabla14[[#This Row],[VALOR CUOTAS]]</f>
        <v>#VALUE!</v>
      </c>
      <c r="S1172" s="88">
        <f>-IF(Tabla14[[#This Row],[DIAS HABILES O MORA]]&lt;0,(Tabla14[[#This Row],[VALOR PRESTAMO]]*Tabla14[[#This Row],[% INTERES ]]/30*U1172))</f>
        <v>0</v>
      </c>
      <c r="T1172" s="53" t="e">
        <f>Tabla14[[#This Row],[DEUDA CAPITAL]]+Tabla14[[#This Row],[INTERES  CUOTA]]</f>
        <v>#NUM!</v>
      </c>
      <c r="U1172" s="61" t="str">
        <f t="shared" si="199"/>
        <v/>
      </c>
    </row>
    <row r="1173" spans="9:21" ht="24.75" customHeight="1" x14ac:dyDescent="0.35">
      <c r="I1173" s="42">
        <f t="shared" si="190"/>
        <v>0</v>
      </c>
      <c r="J1173" s="65" t="e">
        <f t="shared" si="191"/>
        <v>#NUM!</v>
      </c>
      <c r="K1173" s="83" t="e">
        <f t="shared" si="192"/>
        <v>#NUM!</v>
      </c>
      <c r="L1173" s="83">
        <f t="shared" si="193"/>
        <v>0</v>
      </c>
      <c r="M1173" s="110" t="str">
        <f t="shared" si="194"/>
        <v/>
      </c>
      <c r="N1173" s="51" t="str">
        <f t="shared" si="195"/>
        <v/>
      </c>
      <c r="O1173" s="52" t="str">
        <f t="shared" si="196"/>
        <v/>
      </c>
      <c r="P1173" s="88">
        <f t="shared" si="197"/>
        <v>0</v>
      </c>
      <c r="Q1173" s="88">
        <f t="shared" si="198"/>
        <v>0</v>
      </c>
      <c r="R1173" s="88" t="e">
        <f>-IF(Tabla14[[#This Row],[DIAS HABILES O MORA]]&lt;0,(Tabla14[[#This Row],[VALOR PRESTAMO]]*Tabla14[[#This Row],[% INTERES ]]/30*U1173))+Tabla14[[#This Row],[VALOR CUOTAS]]</f>
        <v>#VALUE!</v>
      </c>
      <c r="S1173" s="88">
        <f>-IF(Tabla14[[#This Row],[DIAS HABILES O MORA]]&lt;0,(Tabla14[[#This Row],[VALOR PRESTAMO]]*Tabla14[[#This Row],[% INTERES ]]/30*U1173))</f>
        <v>0</v>
      </c>
      <c r="T1173" s="53" t="e">
        <f>Tabla14[[#This Row],[DEUDA CAPITAL]]+Tabla14[[#This Row],[INTERES  CUOTA]]</f>
        <v>#NUM!</v>
      </c>
      <c r="U1173" s="61" t="str">
        <f t="shared" si="199"/>
        <v/>
      </c>
    </row>
    <row r="1174" spans="9:21" ht="24.75" customHeight="1" x14ac:dyDescent="0.35">
      <c r="I1174" s="42">
        <f t="shared" si="190"/>
        <v>0</v>
      </c>
      <c r="J1174" s="65" t="e">
        <f t="shared" si="191"/>
        <v>#NUM!</v>
      </c>
      <c r="K1174" s="83" t="e">
        <f t="shared" si="192"/>
        <v>#NUM!</v>
      </c>
      <c r="L1174" s="83">
        <f t="shared" si="193"/>
        <v>0</v>
      </c>
      <c r="M1174" s="110" t="str">
        <f t="shared" si="194"/>
        <v/>
      </c>
      <c r="N1174" s="51" t="str">
        <f t="shared" si="195"/>
        <v/>
      </c>
      <c r="O1174" s="52" t="str">
        <f t="shared" si="196"/>
        <v/>
      </c>
      <c r="P1174" s="88">
        <f t="shared" si="197"/>
        <v>0</v>
      </c>
      <c r="Q1174" s="88">
        <f t="shared" si="198"/>
        <v>0</v>
      </c>
      <c r="R1174" s="88" t="e">
        <f>-IF(Tabla14[[#This Row],[DIAS HABILES O MORA]]&lt;0,(Tabla14[[#This Row],[VALOR PRESTAMO]]*Tabla14[[#This Row],[% INTERES ]]/30*U1174))+Tabla14[[#This Row],[VALOR CUOTAS]]</f>
        <v>#VALUE!</v>
      </c>
      <c r="S1174" s="88">
        <f>-IF(Tabla14[[#This Row],[DIAS HABILES O MORA]]&lt;0,(Tabla14[[#This Row],[VALOR PRESTAMO]]*Tabla14[[#This Row],[% INTERES ]]/30*U1174))</f>
        <v>0</v>
      </c>
      <c r="T1174" s="53" t="e">
        <f>Tabla14[[#This Row],[DEUDA CAPITAL]]+Tabla14[[#This Row],[INTERES  CUOTA]]</f>
        <v>#NUM!</v>
      </c>
      <c r="U1174" s="61" t="str">
        <f t="shared" si="199"/>
        <v/>
      </c>
    </row>
    <row r="1175" spans="9:21" ht="24.75" customHeight="1" x14ac:dyDescent="0.35">
      <c r="I1175" s="42">
        <f t="shared" si="190"/>
        <v>0</v>
      </c>
      <c r="J1175" s="65" t="e">
        <f t="shared" si="191"/>
        <v>#NUM!</v>
      </c>
      <c r="K1175" s="83" t="e">
        <f t="shared" si="192"/>
        <v>#NUM!</v>
      </c>
      <c r="L1175" s="83">
        <f t="shared" si="193"/>
        <v>0</v>
      </c>
      <c r="M1175" s="110" t="str">
        <f t="shared" si="194"/>
        <v/>
      </c>
      <c r="N1175" s="51" t="str">
        <f t="shared" si="195"/>
        <v/>
      </c>
      <c r="O1175" s="52" t="str">
        <f t="shared" si="196"/>
        <v/>
      </c>
      <c r="P1175" s="88">
        <f t="shared" si="197"/>
        <v>0</v>
      </c>
      <c r="Q1175" s="88">
        <f t="shared" si="198"/>
        <v>0</v>
      </c>
      <c r="R1175" s="88" t="e">
        <f>-IF(Tabla14[[#This Row],[DIAS HABILES O MORA]]&lt;0,(Tabla14[[#This Row],[VALOR PRESTAMO]]*Tabla14[[#This Row],[% INTERES ]]/30*U1175))+Tabla14[[#This Row],[VALOR CUOTAS]]</f>
        <v>#VALUE!</v>
      </c>
      <c r="S1175" s="88">
        <f>-IF(Tabla14[[#This Row],[DIAS HABILES O MORA]]&lt;0,(Tabla14[[#This Row],[VALOR PRESTAMO]]*Tabla14[[#This Row],[% INTERES ]]/30*U1175))</f>
        <v>0</v>
      </c>
      <c r="T1175" s="53" t="e">
        <f>Tabla14[[#This Row],[DEUDA CAPITAL]]+Tabla14[[#This Row],[INTERES  CUOTA]]</f>
        <v>#NUM!</v>
      </c>
      <c r="U1175" s="61" t="str">
        <f t="shared" si="199"/>
        <v/>
      </c>
    </row>
    <row r="1176" spans="9:21" ht="24.75" customHeight="1" x14ac:dyDescent="0.35">
      <c r="I1176" s="42">
        <f t="shared" si="190"/>
        <v>0</v>
      </c>
      <c r="J1176" s="65" t="e">
        <f t="shared" si="191"/>
        <v>#NUM!</v>
      </c>
      <c r="K1176" s="83" t="e">
        <f t="shared" si="192"/>
        <v>#NUM!</v>
      </c>
      <c r="L1176" s="83">
        <f t="shared" si="193"/>
        <v>0</v>
      </c>
      <c r="M1176" s="110" t="str">
        <f t="shared" si="194"/>
        <v/>
      </c>
      <c r="N1176" s="51" t="str">
        <f t="shared" si="195"/>
        <v/>
      </c>
      <c r="O1176" s="52" t="str">
        <f t="shared" si="196"/>
        <v/>
      </c>
      <c r="P1176" s="88">
        <f t="shared" si="197"/>
        <v>0</v>
      </c>
      <c r="Q1176" s="88">
        <f t="shared" si="198"/>
        <v>0</v>
      </c>
      <c r="R1176" s="88" t="e">
        <f>-IF(Tabla14[[#This Row],[DIAS HABILES O MORA]]&lt;0,(Tabla14[[#This Row],[VALOR PRESTAMO]]*Tabla14[[#This Row],[% INTERES ]]/30*U1176))+Tabla14[[#This Row],[VALOR CUOTAS]]</f>
        <v>#VALUE!</v>
      </c>
      <c r="S1176" s="88">
        <f>-IF(Tabla14[[#This Row],[DIAS HABILES O MORA]]&lt;0,(Tabla14[[#This Row],[VALOR PRESTAMO]]*Tabla14[[#This Row],[% INTERES ]]/30*U1176))</f>
        <v>0</v>
      </c>
      <c r="T1176" s="53" t="e">
        <f>Tabla14[[#This Row],[DEUDA CAPITAL]]+Tabla14[[#This Row],[INTERES  CUOTA]]</f>
        <v>#NUM!</v>
      </c>
      <c r="U1176" s="61" t="str">
        <f t="shared" si="199"/>
        <v/>
      </c>
    </row>
    <row r="1177" spans="9:21" ht="24.75" customHeight="1" x14ac:dyDescent="0.35">
      <c r="I1177" s="42">
        <f t="shared" si="190"/>
        <v>0</v>
      </c>
      <c r="J1177" s="65" t="e">
        <f t="shared" si="191"/>
        <v>#NUM!</v>
      </c>
      <c r="K1177" s="83" t="e">
        <f t="shared" si="192"/>
        <v>#NUM!</v>
      </c>
      <c r="L1177" s="83">
        <f t="shared" si="193"/>
        <v>0</v>
      </c>
      <c r="M1177" s="110" t="str">
        <f t="shared" si="194"/>
        <v/>
      </c>
      <c r="N1177" s="51" t="str">
        <f t="shared" si="195"/>
        <v/>
      </c>
      <c r="O1177" s="52" t="str">
        <f t="shared" si="196"/>
        <v/>
      </c>
      <c r="P1177" s="88">
        <f t="shared" si="197"/>
        <v>0</v>
      </c>
      <c r="Q1177" s="88">
        <f t="shared" si="198"/>
        <v>0</v>
      </c>
      <c r="R1177" s="88" t="e">
        <f>-IF(Tabla14[[#This Row],[DIAS HABILES O MORA]]&lt;0,(Tabla14[[#This Row],[VALOR PRESTAMO]]*Tabla14[[#This Row],[% INTERES ]]/30*U1177))+Tabla14[[#This Row],[VALOR CUOTAS]]</f>
        <v>#VALUE!</v>
      </c>
      <c r="S1177" s="88">
        <f>-IF(Tabla14[[#This Row],[DIAS HABILES O MORA]]&lt;0,(Tabla14[[#This Row],[VALOR PRESTAMO]]*Tabla14[[#This Row],[% INTERES ]]/30*U1177))</f>
        <v>0</v>
      </c>
      <c r="T1177" s="53" t="e">
        <f>Tabla14[[#This Row],[DEUDA CAPITAL]]+Tabla14[[#This Row],[INTERES  CUOTA]]</f>
        <v>#NUM!</v>
      </c>
      <c r="U1177" s="61" t="str">
        <f t="shared" si="199"/>
        <v/>
      </c>
    </row>
    <row r="1178" spans="9:21" ht="24.75" customHeight="1" x14ac:dyDescent="0.35">
      <c r="I1178" s="42">
        <f t="shared" si="190"/>
        <v>0</v>
      </c>
      <c r="J1178" s="65" t="e">
        <f t="shared" si="191"/>
        <v>#NUM!</v>
      </c>
      <c r="K1178" s="83" t="e">
        <f t="shared" si="192"/>
        <v>#NUM!</v>
      </c>
      <c r="L1178" s="83">
        <f t="shared" si="193"/>
        <v>0</v>
      </c>
      <c r="M1178" s="110" t="str">
        <f t="shared" si="194"/>
        <v/>
      </c>
      <c r="N1178" s="51" t="str">
        <f t="shared" si="195"/>
        <v/>
      </c>
      <c r="O1178" s="52" t="str">
        <f t="shared" si="196"/>
        <v/>
      </c>
      <c r="P1178" s="88">
        <f t="shared" si="197"/>
        <v>0</v>
      </c>
      <c r="Q1178" s="88">
        <f t="shared" si="198"/>
        <v>0</v>
      </c>
      <c r="R1178" s="88" t="e">
        <f>-IF(Tabla14[[#This Row],[DIAS HABILES O MORA]]&lt;0,(Tabla14[[#This Row],[VALOR PRESTAMO]]*Tabla14[[#This Row],[% INTERES ]]/30*U1178))+Tabla14[[#This Row],[VALOR CUOTAS]]</f>
        <v>#VALUE!</v>
      </c>
      <c r="S1178" s="88">
        <f>-IF(Tabla14[[#This Row],[DIAS HABILES O MORA]]&lt;0,(Tabla14[[#This Row],[VALOR PRESTAMO]]*Tabla14[[#This Row],[% INTERES ]]/30*U1178))</f>
        <v>0</v>
      </c>
      <c r="T1178" s="53" t="e">
        <f>Tabla14[[#This Row],[DEUDA CAPITAL]]+Tabla14[[#This Row],[INTERES  CUOTA]]</f>
        <v>#NUM!</v>
      </c>
      <c r="U1178" s="61" t="str">
        <f t="shared" si="199"/>
        <v/>
      </c>
    </row>
    <row r="1179" spans="9:21" ht="24.75" customHeight="1" x14ac:dyDescent="0.35">
      <c r="I1179" s="42">
        <f t="shared" si="190"/>
        <v>0</v>
      </c>
      <c r="J1179" s="65" t="e">
        <f t="shared" si="191"/>
        <v>#NUM!</v>
      </c>
      <c r="K1179" s="83" t="e">
        <f t="shared" si="192"/>
        <v>#NUM!</v>
      </c>
      <c r="L1179" s="83">
        <f t="shared" si="193"/>
        <v>0</v>
      </c>
      <c r="M1179" s="110" t="str">
        <f t="shared" si="194"/>
        <v/>
      </c>
      <c r="N1179" s="51" t="str">
        <f t="shared" si="195"/>
        <v/>
      </c>
      <c r="O1179" s="52" t="str">
        <f t="shared" si="196"/>
        <v/>
      </c>
      <c r="P1179" s="88">
        <f t="shared" si="197"/>
        <v>0</v>
      </c>
      <c r="Q1179" s="88">
        <f t="shared" si="198"/>
        <v>0</v>
      </c>
      <c r="R1179" s="88" t="e">
        <f>-IF(Tabla14[[#This Row],[DIAS HABILES O MORA]]&lt;0,(Tabla14[[#This Row],[VALOR PRESTAMO]]*Tabla14[[#This Row],[% INTERES ]]/30*U1179))+Tabla14[[#This Row],[VALOR CUOTAS]]</f>
        <v>#VALUE!</v>
      </c>
      <c r="S1179" s="88">
        <f>-IF(Tabla14[[#This Row],[DIAS HABILES O MORA]]&lt;0,(Tabla14[[#This Row],[VALOR PRESTAMO]]*Tabla14[[#This Row],[% INTERES ]]/30*U1179))</f>
        <v>0</v>
      </c>
      <c r="T1179" s="53" t="e">
        <f>Tabla14[[#This Row],[DEUDA CAPITAL]]+Tabla14[[#This Row],[INTERES  CUOTA]]</f>
        <v>#NUM!</v>
      </c>
      <c r="U1179" s="61" t="str">
        <f t="shared" si="199"/>
        <v/>
      </c>
    </row>
    <row r="1180" spans="9:21" ht="24.75" customHeight="1" x14ac:dyDescent="0.35">
      <c r="I1180" s="42">
        <f t="shared" si="190"/>
        <v>0</v>
      </c>
      <c r="J1180" s="65" t="e">
        <f t="shared" si="191"/>
        <v>#NUM!</v>
      </c>
      <c r="K1180" s="83" t="e">
        <f t="shared" si="192"/>
        <v>#NUM!</v>
      </c>
      <c r="L1180" s="83">
        <f t="shared" si="193"/>
        <v>0</v>
      </c>
      <c r="M1180" s="110" t="str">
        <f t="shared" si="194"/>
        <v/>
      </c>
      <c r="N1180" s="51" t="str">
        <f t="shared" si="195"/>
        <v/>
      </c>
      <c r="O1180" s="52" t="str">
        <f t="shared" si="196"/>
        <v/>
      </c>
      <c r="P1180" s="88">
        <f t="shared" si="197"/>
        <v>0</v>
      </c>
      <c r="Q1180" s="88">
        <f t="shared" si="198"/>
        <v>0</v>
      </c>
      <c r="R1180" s="88" t="e">
        <f>-IF(Tabla14[[#This Row],[DIAS HABILES O MORA]]&lt;0,(Tabla14[[#This Row],[VALOR PRESTAMO]]*Tabla14[[#This Row],[% INTERES ]]/30*U1180))+Tabla14[[#This Row],[VALOR CUOTAS]]</f>
        <v>#VALUE!</v>
      </c>
      <c r="S1180" s="88">
        <f>-IF(Tabla14[[#This Row],[DIAS HABILES O MORA]]&lt;0,(Tabla14[[#This Row],[VALOR PRESTAMO]]*Tabla14[[#This Row],[% INTERES ]]/30*U1180))</f>
        <v>0</v>
      </c>
      <c r="T1180" s="53" t="e">
        <f>Tabla14[[#This Row],[DEUDA CAPITAL]]+Tabla14[[#This Row],[INTERES  CUOTA]]</f>
        <v>#NUM!</v>
      </c>
      <c r="U1180" s="61" t="str">
        <f t="shared" si="199"/>
        <v/>
      </c>
    </row>
    <row r="1181" spans="9:21" ht="24.75" customHeight="1" x14ac:dyDescent="0.35">
      <c r="I1181" s="42">
        <f t="shared" si="190"/>
        <v>0</v>
      </c>
      <c r="J1181" s="65" t="e">
        <f t="shared" si="191"/>
        <v>#NUM!</v>
      </c>
      <c r="K1181" s="83" t="e">
        <f t="shared" si="192"/>
        <v>#NUM!</v>
      </c>
      <c r="L1181" s="83">
        <f t="shared" si="193"/>
        <v>0</v>
      </c>
      <c r="M1181" s="110" t="str">
        <f t="shared" si="194"/>
        <v/>
      </c>
      <c r="N1181" s="51" t="str">
        <f t="shared" si="195"/>
        <v/>
      </c>
      <c r="O1181" s="52" t="str">
        <f t="shared" si="196"/>
        <v/>
      </c>
      <c r="P1181" s="88">
        <f t="shared" si="197"/>
        <v>0</v>
      </c>
      <c r="Q1181" s="88">
        <f t="shared" si="198"/>
        <v>0</v>
      </c>
      <c r="R1181" s="88" t="e">
        <f>-IF(Tabla14[[#This Row],[DIAS HABILES O MORA]]&lt;0,(Tabla14[[#This Row],[VALOR PRESTAMO]]*Tabla14[[#This Row],[% INTERES ]]/30*U1181))+Tabla14[[#This Row],[VALOR CUOTAS]]</f>
        <v>#VALUE!</v>
      </c>
      <c r="S1181" s="88">
        <f>-IF(Tabla14[[#This Row],[DIAS HABILES O MORA]]&lt;0,(Tabla14[[#This Row],[VALOR PRESTAMO]]*Tabla14[[#This Row],[% INTERES ]]/30*U1181))</f>
        <v>0</v>
      </c>
      <c r="T1181" s="53" t="e">
        <f>Tabla14[[#This Row],[DEUDA CAPITAL]]+Tabla14[[#This Row],[INTERES  CUOTA]]</f>
        <v>#NUM!</v>
      </c>
      <c r="U1181" s="61" t="str">
        <f t="shared" si="199"/>
        <v/>
      </c>
    </row>
    <row r="1182" spans="9:21" ht="24.75" customHeight="1" x14ac:dyDescent="0.35">
      <c r="I1182" s="42">
        <f t="shared" si="190"/>
        <v>0</v>
      </c>
      <c r="J1182" s="65" t="e">
        <f t="shared" si="191"/>
        <v>#NUM!</v>
      </c>
      <c r="K1182" s="83" t="e">
        <f t="shared" si="192"/>
        <v>#NUM!</v>
      </c>
      <c r="L1182" s="83">
        <f t="shared" si="193"/>
        <v>0</v>
      </c>
      <c r="M1182" s="110" t="str">
        <f t="shared" si="194"/>
        <v/>
      </c>
      <c r="N1182" s="51" t="str">
        <f t="shared" si="195"/>
        <v/>
      </c>
      <c r="O1182" s="52" t="str">
        <f t="shared" si="196"/>
        <v/>
      </c>
      <c r="P1182" s="88">
        <f t="shared" si="197"/>
        <v>0</v>
      </c>
      <c r="Q1182" s="88">
        <f t="shared" si="198"/>
        <v>0</v>
      </c>
      <c r="R1182" s="88" t="e">
        <f>-IF(Tabla14[[#This Row],[DIAS HABILES O MORA]]&lt;0,(Tabla14[[#This Row],[VALOR PRESTAMO]]*Tabla14[[#This Row],[% INTERES ]]/30*U1182))+Tabla14[[#This Row],[VALOR CUOTAS]]</f>
        <v>#VALUE!</v>
      </c>
      <c r="S1182" s="88">
        <f>-IF(Tabla14[[#This Row],[DIAS HABILES O MORA]]&lt;0,(Tabla14[[#This Row],[VALOR PRESTAMO]]*Tabla14[[#This Row],[% INTERES ]]/30*U1182))</f>
        <v>0</v>
      </c>
      <c r="T1182" s="53" t="e">
        <f>Tabla14[[#This Row],[DEUDA CAPITAL]]+Tabla14[[#This Row],[INTERES  CUOTA]]</f>
        <v>#NUM!</v>
      </c>
      <c r="U1182" s="61" t="str">
        <f t="shared" si="199"/>
        <v/>
      </c>
    </row>
    <row r="1183" spans="9:21" ht="24.75" customHeight="1" x14ac:dyDescent="0.35">
      <c r="I1183" s="42">
        <f t="shared" si="190"/>
        <v>0</v>
      </c>
      <c r="J1183" s="65" t="e">
        <f t="shared" si="191"/>
        <v>#NUM!</v>
      </c>
      <c r="K1183" s="83" t="e">
        <f t="shared" si="192"/>
        <v>#NUM!</v>
      </c>
      <c r="L1183" s="83">
        <f t="shared" si="193"/>
        <v>0</v>
      </c>
      <c r="M1183" s="110" t="str">
        <f t="shared" si="194"/>
        <v/>
      </c>
      <c r="N1183" s="51" t="str">
        <f t="shared" si="195"/>
        <v/>
      </c>
      <c r="O1183" s="52" t="str">
        <f t="shared" si="196"/>
        <v/>
      </c>
      <c r="P1183" s="88">
        <f t="shared" si="197"/>
        <v>0</v>
      </c>
      <c r="Q1183" s="88">
        <f t="shared" si="198"/>
        <v>0</v>
      </c>
      <c r="R1183" s="88" t="e">
        <f>-IF(Tabla14[[#This Row],[DIAS HABILES O MORA]]&lt;0,(Tabla14[[#This Row],[VALOR PRESTAMO]]*Tabla14[[#This Row],[% INTERES ]]/30*U1183))+Tabla14[[#This Row],[VALOR CUOTAS]]</f>
        <v>#VALUE!</v>
      </c>
      <c r="S1183" s="88">
        <f>-IF(Tabla14[[#This Row],[DIAS HABILES O MORA]]&lt;0,(Tabla14[[#This Row],[VALOR PRESTAMO]]*Tabla14[[#This Row],[% INTERES ]]/30*U1183))</f>
        <v>0</v>
      </c>
      <c r="T1183" s="53" t="e">
        <f>Tabla14[[#This Row],[DEUDA CAPITAL]]+Tabla14[[#This Row],[INTERES  CUOTA]]</f>
        <v>#NUM!</v>
      </c>
      <c r="U1183" s="61" t="str">
        <f t="shared" si="199"/>
        <v/>
      </c>
    </row>
    <row r="1184" spans="9:21" ht="24.75" customHeight="1" x14ac:dyDescent="0.35">
      <c r="I1184" s="42">
        <f t="shared" si="190"/>
        <v>0</v>
      </c>
      <c r="J1184" s="65" t="e">
        <f t="shared" si="191"/>
        <v>#NUM!</v>
      </c>
      <c r="K1184" s="83" t="e">
        <f t="shared" si="192"/>
        <v>#NUM!</v>
      </c>
      <c r="L1184" s="83">
        <f t="shared" si="193"/>
        <v>0</v>
      </c>
      <c r="M1184" s="110" t="str">
        <f t="shared" si="194"/>
        <v/>
      </c>
      <c r="N1184" s="51" t="str">
        <f t="shared" si="195"/>
        <v/>
      </c>
      <c r="O1184" s="52" t="str">
        <f t="shared" si="196"/>
        <v/>
      </c>
      <c r="P1184" s="88">
        <f t="shared" si="197"/>
        <v>0</v>
      </c>
      <c r="Q1184" s="88">
        <f t="shared" si="198"/>
        <v>0</v>
      </c>
      <c r="R1184" s="88" t="e">
        <f>-IF(Tabla14[[#This Row],[DIAS HABILES O MORA]]&lt;0,(Tabla14[[#This Row],[VALOR PRESTAMO]]*Tabla14[[#This Row],[% INTERES ]]/30*U1184))+Tabla14[[#This Row],[VALOR CUOTAS]]</f>
        <v>#VALUE!</v>
      </c>
      <c r="S1184" s="88">
        <f>-IF(Tabla14[[#This Row],[DIAS HABILES O MORA]]&lt;0,(Tabla14[[#This Row],[VALOR PRESTAMO]]*Tabla14[[#This Row],[% INTERES ]]/30*U1184))</f>
        <v>0</v>
      </c>
      <c r="T1184" s="53" t="e">
        <f>Tabla14[[#This Row],[DEUDA CAPITAL]]+Tabla14[[#This Row],[INTERES  CUOTA]]</f>
        <v>#NUM!</v>
      </c>
      <c r="U1184" s="61" t="str">
        <f t="shared" si="199"/>
        <v/>
      </c>
    </row>
    <row r="1185" spans="9:21" ht="24.75" customHeight="1" x14ac:dyDescent="0.35">
      <c r="I1185" s="42">
        <f t="shared" si="190"/>
        <v>0</v>
      </c>
      <c r="J1185" s="65" t="e">
        <f t="shared" si="191"/>
        <v>#NUM!</v>
      </c>
      <c r="K1185" s="83" t="e">
        <f t="shared" si="192"/>
        <v>#NUM!</v>
      </c>
      <c r="L1185" s="83">
        <f t="shared" si="193"/>
        <v>0</v>
      </c>
      <c r="M1185" s="110" t="str">
        <f t="shared" si="194"/>
        <v/>
      </c>
      <c r="N1185" s="51" t="str">
        <f t="shared" si="195"/>
        <v/>
      </c>
      <c r="O1185" s="52" t="str">
        <f t="shared" si="196"/>
        <v/>
      </c>
      <c r="P1185" s="88">
        <f t="shared" si="197"/>
        <v>0</v>
      </c>
      <c r="Q1185" s="88">
        <f t="shared" si="198"/>
        <v>0</v>
      </c>
      <c r="R1185" s="88" t="e">
        <f>-IF(Tabla14[[#This Row],[DIAS HABILES O MORA]]&lt;0,(Tabla14[[#This Row],[VALOR PRESTAMO]]*Tabla14[[#This Row],[% INTERES ]]/30*U1185))+Tabla14[[#This Row],[VALOR CUOTAS]]</f>
        <v>#VALUE!</v>
      </c>
      <c r="S1185" s="88">
        <f>-IF(Tabla14[[#This Row],[DIAS HABILES O MORA]]&lt;0,(Tabla14[[#This Row],[VALOR PRESTAMO]]*Tabla14[[#This Row],[% INTERES ]]/30*U1185))</f>
        <v>0</v>
      </c>
      <c r="T1185" s="53" t="e">
        <f>Tabla14[[#This Row],[DEUDA CAPITAL]]+Tabla14[[#This Row],[INTERES  CUOTA]]</f>
        <v>#NUM!</v>
      </c>
      <c r="U1185" s="61" t="str">
        <f t="shared" si="199"/>
        <v/>
      </c>
    </row>
    <row r="1186" spans="9:21" ht="24.75" customHeight="1" x14ac:dyDescent="0.35">
      <c r="I1186" s="42">
        <f t="shared" si="190"/>
        <v>0</v>
      </c>
      <c r="J1186" s="65" t="e">
        <f t="shared" si="191"/>
        <v>#NUM!</v>
      </c>
      <c r="K1186" s="83" t="e">
        <f t="shared" si="192"/>
        <v>#NUM!</v>
      </c>
      <c r="L1186" s="83">
        <f t="shared" si="193"/>
        <v>0</v>
      </c>
      <c r="M1186" s="110" t="str">
        <f t="shared" si="194"/>
        <v/>
      </c>
      <c r="N1186" s="51" t="str">
        <f t="shared" si="195"/>
        <v/>
      </c>
      <c r="O1186" s="52" t="str">
        <f t="shared" si="196"/>
        <v/>
      </c>
      <c r="P1186" s="88">
        <f t="shared" si="197"/>
        <v>0</v>
      </c>
      <c r="Q1186" s="88">
        <f t="shared" si="198"/>
        <v>0</v>
      </c>
      <c r="R1186" s="88" t="e">
        <f>-IF(Tabla14[[#This Row],[DIAS HABILES O MORA]]&lt;0,(Tabla14[[#This Row],[VALOR PRESTAMO]]*Tabla14[[#This Row],[% INTERES ]]/30*U1186))+Tabla14[[#This Row],[VALOR CUOTAS]]</f>
        <v>#VALUE!</v>
      </c>
      <c r="S1186" s="88">
        <f>-IF(Tabla14[[#This Row],[DIAS HABILES O MORA]]&lt;0,(Tabla14[[#This Row],[VALOR PRESTAMO]]*Tabla14[[#This Row],[% INTERES ]]/30*U1186))</f>
        <v>0</v>
      </c>
      <c r="T1186" s="53" t="e">
        <f>Tabla14[[#This Row],[DEUDA CAPITAL]]+Tabla14[[#This Row],[INTERES  CUOTA]]</f>
        <v>#NUM!</v>
      </c>
      <c r="U1186" s="61" t="str">
        <f t="shared" si="199"/>
        <v/>
      </c>
    </row>
    <row r="1187" spans="9:21" ht="24.75" customHeight="1" x14ac:dyDescent="0.35">
      <c r="I1187" s="42">
        <f t="shared" si="190"/>
        <v>0</v>
      </c>
      <c r="J1187" s="65" t="e">
        <f t="shared" si="191"/>
        <v>#NUM!</v>
      </c>
      <c r="K1187" s="83" t="e">
        <f t="shared" si="192"/>
        <v>#NUM!</v>
      </c>
      <c r="L1187" s="83">
        <f t="shared" si="193"/>
        <v>0</v>
      </c>
      <c r="M1187" s="110" t="str">
        <f t="shared" si="194"/>
        <v/>
      </c>
      <c r="N1187" s="51" t="str">
        <f t="shared" si="195"/>
        <v/>
      </c>
      <c r="O1187" s="52" t="str">
        <f t="shared" si="196"/>
        <v/>
      </c>
      <c r="P1187" s="88">
        <f t="shared" si="197"/>
        <v>0</v>
      </c>
      <c r="Q1187" s="88">
        <f t="shared" si="198"/>
        <v>0</v>
      </c>
      <c r="R1187" s="88" t="e">
        <f>-IF(Tabla14[[#This Row],[DIAS HABILES O MORA]]&lt;0,(Tabla14[[#This Row],[VALOR PRESTAMO]]*Tabla14[[#This Row],[% INTERES ]]/30*U1187))+Tabla14[[#This Row],[VALOR CUOTAS]]</f>
        <v>#VALUE!</v>
      </c>
      <c r="S1187" s="88">
        <f>-IF(Tabla14[[#This Row],[DIAS HABILES O MORA]]&lt;0,(Tabla14[[#This Row],[VALOR PRESTAMO]]*Tabla14[[#This Row],[% INTERES ]]/30*U1187))</f>
        <v>0</v>
      </c>
      <c r="T1187" s="53" t="e">
        <f>Tabla14[[#This Row],[DEUDA CAPITAL]]+Tabla14[[#This Row],[INTERES  CUOTA]]</f>
        <v>#NUM!</v>
      </c>
      <c r="U1187" s="61" t="str">
        <f t="shared" si="199"/>
        <v/>
      </c>
    </row>
    <row r="1188" spans="9:21" ht="24.75" customHeight="1" x14ac:dyDescent="0.35">
      <c r="I1188" s="42">
        <f t="shared" si="190"/>
        <v>0</v>
      </c>
      <c r="J1188" s="65" t="e">
        <f t="shared" si="191"/>
        <v>#NUM!</v>
      </c>
      <c r="K1188" s="83" t="e">
        <f t="shared" si="192"/>
        <v>#NUM!</v>
      </c>
      <c r="L1188" s="83">
        <f t="shared" si="193"/>
        <v>0</v>
      </c>
      <c r="M1188" s="110" t="str">
        <f t="shared" si="194"/>
        <v/>
      </c>
      <c r="N1188" s="51" t="str">
        <f t="shared" si="195"/>
        <v/>
      </c>
      <c r="O1188" s="52" t="str">
        <f t="shared" si="196"/>
        <v/>
      </c>
      <c r="P1188" s="88">
        <f t="shared" si="197"/>
        <v>0</v>
      </c>
      <c r="Q1188" s="88">
        <f t="shared" si="198"/>
        <v>0</v>
      </c>
      <c r="R1188" s="88" t="e">
        <f>-IF(Tabla14[[#This Row],[DIAS HABILES O MORA]]&lt;0,(Tabla14[[#This Row],[VALOR PRESTAMO]]*Tabla14[[#This Row],[% INTERES ]]/30*U1188))+Tabla14[[#This Row],[VALOR CUOTAS]]</f>
        <v>#VALUE!</v>
      </c>
      <c r="S1188" s="88">
        <f>-IF(Tabla14[[#This Row],[DIAS HABILES O MORA]]&lt;0,(Tabla14[[#This Row],[VALOR PRESTAMO]]*Tabla14[[#This Row],[% INTERES ]]/30*U1188))</f>
        <v>0</v>
      </c>
      <c r="T1188" s="53" t="e">
        <f>Tabla14[[#This Row],[DEUDA CAPITAL]]+Tabla14[[#This Row],[INTERES  CUOTA]]</f>
        <v>#NUM!</v>
      </c>
      <c r="U1188" s="61" t="str">
        <f t="shared" si="199"/>
        <v/>
      </c>
    </row>
    <row r="1189" spans="9:21" ht="24.75" customHeight="1" x14ac:dyDescent="0.35">
      <c r="I1189" s="42">
        <f t="shared" si="190"/>
        <v>0</v>
      </c>
      <c r="J1189" s="65" t="e">
        <f t="shared" si="191"/>
        <v>#NUM!</v>
      </c>
      <c r="K1189" s="83" t="e">
        <f t="shared" si="192"/>
        <v>#NUM!</v>
      </c>
      <c r="L1189" s="83">
        <f t="shared" si="193"/>
        <v>0</v>
      </c>
      <c r="M1189" s="110" t="str">
        <f t="shared" si="194"/>
        <v/>
      </c>
      <c r="N1189" s="51" t="str">
        <f t="shared" si="195"/>
        <v/>
      </c>
      <c r="O1189" s="52" t="str">
        <f t="shared" si="196"/>
        <v/>
      </c>
      <c r="P1189" s="88">
        <f t="shared" si="197"/>
        <v>0</v>
      </c>
      <c r="Q1189" s="88">
        <f t="shared" si="198"/>
        <v>0</v>
      </c>
      <c r="R1189" s="88" t="e">
        <f>-IF(Tabla14[[#This Row],[DIAS HABILES O MORA]]&lt;0,(Tabla14[[#This Row],[VALOR PRESTAMO]]*Tabla14[[#This Row],[% INTERES ]]/30*U1189))+Tabla14[[#This Row],[VALOR CUOTAS]]</f>
        <v>#VALUE!</v>
      </c>
      <c r="S1189" s="88">
        <f>-IF(Tabla14[[#This Row],[DIAS HABILES O MORA]]&lt;0,(Tabla14[[#This Row],[VALOR PRESTAMO]]*Tabla14[[#This Row],[% INTERES ]]/30*U1189))</f>
        <v>0</v>
      </c>
      <c r="T1189" s="53" t="e">
        <f>Tabla14[[#This Row],[DEUDA CAPITAL]]+Tabla14[[#This Row],[INTERES  CUOTA]]</f>
        <v>#NUM!</v>
      </c>
      <c r="U1189" s="61" t="str">
        <f t="shared" si="199"/>
        <v/>
      </c>
    </row>
    <row r="1190" spans="9:21" ht="24.75" customHeight="1" x14ac:dyDescent="0.35">
      <c r="I1190" s="42">
        <f t="shared" si="190"/>
        <v>0</v>
      </c>
      <c r="J1190" s="65" t="e">
        <f t="shared" si="191"/>
        <v>#NUM!</v>
      </c>
      <c r="K1190" s="83" t="e">
        <f t="shared" si="192"/>
        <v>#NUM!</v>
      </c>
      <c r="L1190" s="83">
        <f t="shared" si="193"/>
        <v>0</v>
      </c>
      <c r="M1190" s="110" t="str">
        <f t="shared" si="194"/>
        <v/>
      </c>
      <c r="N1190" s="51" t="str">
        <f t="shared" si="195"/>
        <v/>
      </c>
      <c r="O1190" s="52" t="str">
        <f t="shared" si="196"/>
        <v/>
      </c>
      <c r="P1190" s="88">
        <f t="shared" si="197"/>
        <v>0</v>
      </c>
      <c r="Q1190" s="88">
        <f t="shared" si="198"/>
        <v>0</v>
      </c>
      <c r="R1190" s="88" t="e">
        <f>-IF(Tabla14[[#This Row],[DIAS HABILES O MORA]]&lt;0,(Tabla14[[#This Row],[VALOR PRESTAMO]]*Tabla14[[#This Row],[% INTERES ]]/30*U1190))+Tabla14[[#This Row],[VALOR CUOTAS]]</f>
        <v>#VALUE!</v>
      </c>
      <c r="S1190" s="88">
        <f>-IF(Tabla14[[#This Row],[DIAS HABILES O MORA]]&lt;0,(Tabla14[[#This Row],[VALOR PRESTAMO]]*Tabla14[[#This Row],[% INTERES ]]/30*U1190))</f>
        <v>0</v>
      </c>
      <c r="T1190" s="53" t="e">
        <f>Tabla14[[#This Row],[DEUDA CAPITAL]]+Tabla14[[#This Row],[INTERES  CUOTA]]</f>
        <v>#NUM!</v>
      </c>
      <c r="U1190" s="61" t="str">
        <f t="shared" si="199"/>
        <v/>
      </c>
    </row>
    <row r="1191" spans="9:21" ht="24.75" customHeight="1" x14ac:dyDescent="0.35">
      <c r="I1191" s="42">
        <f t="shared" si="190"/>
        <v>0</v>
      </c>
      <c r="J1191" s="65" t="e">
        <f t="shared" si="191"/>
        <v>#NUM!</v>
      </c>
      <c r="K1191" s="83" t="e">
        <f t="shared" si="192"/>
        <v>#NUM!</v>
      </c>
      <c r="L1191" s="83">
        <f t="shared" si="193"/>
        <v>0</v>
      </c>
      <c r="M1191" s="110" t="str">
        <f t="shared" si="194"/>
        <v/>
      </c>
      <c r="N1191" s="51" t="str">
        <f t="shared" si="195"/>
        <v/>
      </c>
      <c r="O1191" s="52" t="str">
        <f t="shared" si="196"/>
        <v/>
      </c>
      <c r="P1191" s="88">
        <f t="shared" si="197"/>
        <v>0</v>
      </c>
      <c r="Q1191" s="88">
        <f t="shared" si="198"/>
        <v>0</v>
      </c>
      <c r="R1191" s="88" t="e">
        <f>-IF(Tabla14[[#This Row],[DIAS HABILES O MORA]]&lt;0,(Tabla14[[#This Row],[VALOR PRESTAMO]]*Tabla14[[#This Row],[% INTERES ]]/30*U1191))+Tabla14[[#This Row],[VALOR CUOTAS]]</f>
        <v>#VALUE!</v>
      </c>
      <c r="S1191" s="88">
        <f>-IF(Tabla14[[#This Row],[DIAS HABILES O MORA]]&lt;0,(Tabla14[[#This Row],[VALOR PRESTAMO]]*Tabla14[[#This Row],[% INTERES ]]/30*U1191))</f>
        <v>0</v>
      </c>
      <c r="T1191" s="53" t="e">
        <f>Tabla14[[#This Row],[DEUDA CAPITAL]]+Tabla14[[#This Row],[INTERES  CUOTA]]</f>
        <v>#NUM!</v>
      </c>
      <c r="U1191" s="61" t="str">
        <f t="shared" si="199"/>
        <v/>
      </c>
    </row>
    <row r="1192" spans="9:21" ht="24.75" customHeight="1" x14ac:dyDescent="0.35">
      <c r="I1192" s="42">
        <f t="shared" si="190"/>
        <v>0</v>
      </c>
      <c r="J1192" s="65" t="e">
        <f t="shared" si="191"/>
        <v>#NUM!</v>
      </c>
      <c r="K1192" s="83" t="e">
        <f t="shared" si="192"/>
        <v>#NUM!</v>
      </c>
      <c r="L1192" s="83">
        <f t="shared" si="193"/>
        <v>0</v>
      </c>
      <c r="M1192" s="110" t="str">
        <f t="shared" si="194"/>
        <v/>
      </c>
      <c r="N1192" s="51" t="str">
        <f t="shared" si="195"/>
        <v/>
      </c>
      <c r="O1192" s="52" t="str">
        <f t="shared" si="196"/>
        <v/>
      </c>
      <c r="P1192" s="88">
        <f t="shared" si="197"/>
        <v>0</v>
      </c>
      <c r="Q1192" s="88">
        <f t="shared" si="198"/>
        <v>0</v>
      </c>
      <c r="R1192" s="88" t="e">
        <f>-IF(Tabla14[[#This Row],[DIAS HABILES O MORA]]&lt;0,(Tabla14[[#This Row],[VALOR PRESTAMO]]*Tabla14[[#This Row],[% INTERES ]]/30*U1192))+Tabla14[[#This Row],[VALOR CUOTAS]]</f>
        <v>#VALUE!</v>
      </c>
      <c r="S1192" s="88">
        <f>-IF(Tabla14[[#This Row],[DIAS HABILES O MORA]]&lt;0,(Tabla14[[#This Row],[VALOR PRESTAMO]]*Tabla14[[#This Row],[% INTERES ]]/30*U1192))</f>
        <v>0</v>
      </c>
      <c r="T1192" s="53" t="e">
        <f>Tabla14[[#This Row],[DEUDA CAPITAL]]+Tabla14[[#This Row],[INTERES  CUOTA]]</f>
        <v>#NUM!</v>
      </c>
      <c r="U1192" s="61" t="str">
        <f t="shared" si="199"/>
        <v/>
      </c>
    </row>
    <row r="1193" spans="9:21" ht="24.75" customHeight="1" x14ac:dyDescent="0.35">
      <c r="I1193" s="42">
        <f t="shared" si="190"/>
        <v>0</v>
      </c>
      <c r="J1193" s="65" t="e">
        <f t="shared" si="191"/>
        <v>#NUM!</v>
      </c>
      <c r="K1193" s="83" t="e">
        <f t="shared" si="192"/>
        <v>#NUM!</v>
      </c>
      <c r="L1193" s="83">
        <f t="shared" si="193"/>
        <v>0</v>
      </c>
      <c r="M1193" s="110" t="str">
        <f t="shared" si="194"/>
        <v/>
      </c>
      <c r="N1193" s="51" t="str">
        <f t="shared" si="195"/>
        <v/>
      </c>
      <c r="O1193" s="52" t="str">
        <f t="shared" si="196"/>
        <v/>
      </c>
      <c r="P1193" s="88">
        <f t="shared" si="197"/>
        <v>0</v>
      </c>
      <c r="Q1193" s="88">
        <f t="shared" si="198"/>
        <v>0</v>
      </c>
      <c r="R1193" s="88" t="e">
        <f>-IF(Tabla14[[#This Row],[DIAS HABILES O MORA]]&lt;0,(Tabla14[[#This Row],[VALOR PRESTAMO]]*Tabla14[[#This Row],[% INTERES ]]/30*U1193))+Tabla14[[#This Row],[VALOR CUOTAS]]</f>
        <v>#VALUE!</v>
      </c>
      <c r="S1193" s="88">
        <f>-IF(Tabla14[[#This Row],[DIAS HABILES O MORA]]&lt;0,(Tabla14[[#This Row],[VALOR PRESTAMO]]*Tabla14[[#This Row],[% INTERES ]]/30*U1193))</f>
        <v>0</v>
      </c>
      <c r="T1193" s="53" t="e">
        <f>Tabla14[[#This Row],[DEUDA CAPITAL]]+Tabla14[[#This Row],[INTERES  CUOTA]]</f>
        <v>#NUM!</v>
      </c>
      <c r="U1193" s="61" t="str">
        <f t="shared" si="199"/>
        <v/>
      </c>
    </row>
    <row r="1194" spans="9:21" ht="24.75" customHeight="1" x14ac:dyDescent="0.35">
      <c r="I1194" s="42">
        <f t="shared" si="190"/>
        <v>0</v>
      </c>
      <c r="J1194" s="65" t="e">
        <f t="shared" si="191"/>
        <v>#NUM!</v>
      </c>
      <c r="K1194" s="83" t="e">
        <f t="shared" si="192"/>
        <v>#NUM!</v>
      </c>
      <c r="L1194" s="83">
        <f t="shared" si="193"/>
        <v>0</v>
      </c>
      <c r="M1194" s="110" t="str">
        <f t="shared" si="194"/>
        <v/>
      </c>
      <c r="N1194" s="51" t="str">
        <f t="shared" si="195"/>
        <v/>
      </c>
      <c r="O1194" s="52" t="str">
        <f t="shared" si="196"/>
        <v/>
      </c>
      <c r="P1194" s="88">
        <f t="shared" si="197"/>
        <v>0</v>
      </c>
      <c r="Q1194" s="88">
        <f t="shared" si="198"/>
        <v>0</v>
      </c>
      <c r="R1194" s="88" t="e">
        <f>-IF(Tabla14[[#This Row],[DIAS HABILES O MORA]]&lt;0,(Tabla14[[#This Row],[VALOR PRESTAMO]]*Tabla14[[#This Row],[% INTERES ]]/30*U1194))+Tabla14[[#This Row],[VALOR CUOTAS]]</f>
        <v>#VALUE!</v>
      </c>
      <c r="S1194" s="88">
        <f>-IF(Tabla14[[#This Row],[DIAS HABILES O MORA]]&lt;0,(Tabla14[[#This Row],[VALOR PRESTAMO]]*Tabla14[[#This Row],[% INTERES ]]/30*U1194))</f>
        <v>0</v>
      </c>
      <c r="T1194" s="53" t="e">
        <f>Tabla14[[#This Row],[DEUDA CAPITAL]]+Tabla14[[#This Row],[INTERES  CUOTA]]</f>
        <v>#NUM!</v>
      </c>
      <c r="U1194" s="61" t="str">
        <f t="shared" si="199"/>
        <v/>
      </c>
    </row>
    <row r="1195" spans="9:21" ht="24.75" customHeight="1" x14ac:dyDescent="0.35">
      <c r="I1195" s="42">
        <f t="shared" si="190"/>
        <v>0</v>
      </c>
      <c r="J1195" s="65" t="e">
        <f t="shared" si="191"/>
        <v>#NUM!</v>
      </c>
      <c r="K1195" s="83" t="e">
        <f t="shared" si="192"/>
        <v>#NUM!</v>
      </c>
      <c r="L1195" s="83">
        <f t="shared" si="193"/>
        <v>0</v>
      </c>
      <c r="M1195" s="110" t="str">
        <f t="shared" si="194"/>
        <v/>
      </c>
      <c r="N1195" s="51" t="str">
        <f t="shared" si="195"/>
        <v/>
      </c>
      <c r="O1195" s="52" t="str">
        <f t="shared" si="196"/>
        <v/>
      </c>
      <c r="P1195" s="88">
        <f t="shared" si="197"/>
        <v>0</v>
      </c>
      <c r="Q1195" s="88">
        <f t="shared" si="198"/>
        <v>0</v>
      </c>
      <c r="R1195" s="88" t="e">
        <f>-IF(Tabla14[[#This Row],[DIAS HABILES O MORA]]&lt;0,(Tabla14[[#This Row],[VALOR PRESTAMO]]*Tabla14[[#This Row],[% INTERES ]]/30*U1195))+Tabla14[[#This Row],[VALOR CUOTAS]]</f>
        <v>#VALUE!</v>
      </c>
      <c r="S1195" s="88">
        <f>-IF(Tabla14[[#This Row],[DIAS HABILES O MORA]]&lt;0,(Tabla14[[#This Row],[VALOR PRESTAMO]]*Tabla14[[#This Row],[% INTERES ]]/30*U1195))</f>
        <v>0</v>
      </c>
      <c r="T1195" s="53" t="e">
        <f>Tabla14[[#This Row],[DEUDA CAPITAL]]+Tabla14[[#This Row],[INTERES  CUOTA]]</f>
        <v>#NUM!</v>
      </c>
      <c r="U1195" s="61" t="str">
        <f t="shared" si="199"/>
        <v/>
      </c>
    </row>
    <row r="1196" spans="9:21" ht="24.75" customHeight="1" x14ac:dyDescent="0.35">
      <c r="I1196" s="42">
        <f t="shared" si="190"/>
        <v>0</v>
      </c>
      <c r="J1196" s="65" t="e">
        <f t="shared" si="191"/>
        <v>#NUM!</v>
      </c>
      <c r="K1196" s="83" t="e">
        <f t="shared" si="192"/>
        <v>#NUM!</v>
      </c>
      <c r="L1196" s="83">
        <f t="shared" si="193"/>
        <v>0</v>
      </c>
      <c r="M1196" s="110" t="str">
        <f t="shared" si="194"/>
        <v/>
      </c>
      <c r="N1196" s="51" t="str">
        <f t="shared" si="195"/>
        <v/>
      </c>
      <c r="O1196" s="52" t="str">
        <f t="shared" si="196"/>
        <v/>
      </c>
      <c r="P1196" s="88">
        <f t="shared" si="197"/>
        <v>0</v>
      </c>
      <c r="Q1196" s="88">
        <f t="shared" si="198"/>
        <v>0</v>
      </c>
      <c r="R1196" s="88" t="e">
        <f>-IF(Tabla14[[#This Row],[DIAS HABILES O MORA]]&lt;0,(Tabla14[[#This Row],[VALOR PRESTAMO]]*Tabla14[[#This Row],[% INTERES ]]/30*U1196))+Tabla14[[#This Row],[VALOR CUOTAS]]</f>
        <v>#VALUE!</v>
      </c>
      <c r="S1196" s="88">
        <f>-IF(Tabla14[[#This Row],[DIAS HABILES O MORA]]&lt;0,(Tabla14[[#This Row],[VALOR PRESTAMO]]*Tabla14[[#This Row],[% INTERES ]]/30*U1196))</f>
        <v>0</v>
      </c>
      <c r="T1196" s="53" t="e">
        <f>Tabla14[[#This Row],[DEUDA CAPITAL]]+Tabla14[[#This Row],[INTERES  CUOTA]]</f>
        <v>#NUM!</v>
      </c>
      <c r="U1196" s="61" t="str">
        <f t="shared" si="199"/>
        <v/>
      </c>
    </row>
    <row r="1197" spans="9:21" ht="24.75" customHeight="1" x14ac:dyDescent="0.35">
      <c r="I1197" s="42">
        <f t="shared" si="190"/>
        <v>0</v>
      </c>
      <c r="J1197" s="65" t="e">
        <f t="shared" si="191"/>
        <v>#NUM!</v>
      </c>
      <c r="K1197" s="83" t="e">
        <f t="shared" si="192"/>
        <v>#NUM!</v>
      </c>
      <c r="L1197" s="83">
        <f t="shared" si="193"/>
        <v>0</v>
      </c>
      <c r="M1197" s="110" t="str">
        <f t="shared" si="194"/>
        <v/>
      </c>
      <c r="N1197" s="51" t="str">
        <f t="shared" si="195"/>
        <v/>
      </c>
      <c r="O1197" s="52" t="str">
        <f t="shared" si="196"/>
        <v/>
      </c>
      <c r="P1197" s="88">
        <f t="shared" si="197"/>
        <v>0</v>
      </c>
      <c r="Q1197" s="88">
        <f t="shared" si="198"/>
        <v>0</v>
      </c>
      <c r="R1197" s="88" t="e">
        <f>-IF(Tabla14[[#This Row],[DIAS HABILES O MORA]]&lt;0,(Tabla14[[#This Row],[VALOR PRESTAMO]]*Tabla14[[#This Row],[% INTERES ]]/30*U1197))+Tabla14[[#This Row],[VALOR CUOTAS]]</f>
        <v>#VALUE!</v>
      </c>
      <c r="S1197" s="88">
        <f>-IF(Tabla14[[#This Row],[DIAS HABILES O MORA]]&lt;0,(Tabla14[[#This Row],[VALOR PRESTAMO]]*Tabla14[[#This Row],[% INTERES ]]/30*U1197))</f>
        <v>0</v>
      </c>
      <c r="T1197" s="53" t="e">
        <f>Tabla14[[#This Row],[DEUDA CAPITAL]]+Tabla14[[#This Row],[INTERES  CUOTA]]</f>
        <v>#NUM!</v>
      </c>
      <c r="U1197" s="61" t="str">
        <f t="shared" si="199"/>
        <v/>
      </c>
    </row>
    <row r="1198" spans="9:21" ht="24.75" customHeight="1" x14ac:dyDescent="0.35">
      <c r="I1198" s="42">
        <f t="shared" si="190"/>
        <v>0</v>
      </c>
      <c r="J1198" s="65" t="e">
        <f t="shared" si="191"/>
        <v>#NUM!</v>
      </c>
      <c r="K1198" s="83" t="e">
        <f t="shared" si="192"/>
        <v>#NUM!</v>
      </c>
      <c r="L1198" s="83">
        <f t="shared" si="193"/>
        <v>0</v>
      </c>
      <c r="M1198" s="110" t="str">
        <f t="shared" si="194"/>
        <v/>
      </c>
      <c r="N1198" s="51" t="str">
        <f t="shared" si="195"/>
        <v/>
      </c>
      <c r="O1198" s="52" t="str">
        <f t="shared" si="196"/>
        <v/>
      </c>
      <c r="P1198" s="88">
        <f t="shared" si="197"/>
        <v>0</v>
      </c>
      <c r="Q1198" s="88">
        <f t="shared" si="198"/>
        <v>0</v>
      </c>
      <c r="R1198" s="88" t="e">
        <f>-IF(Tabla14[[#This Row],[DIAS HABILES O MORA]]&lt;0,(Tabla14[[#This Row],[VALOR PRESTAMO]]*Tabla14[[#This Row],[% INTERES ]]/30*U1198))+Tabla14[[#This Row],[VALOR CUOTAS]]</f>
        <v>#VALUE!</v>
      </c>
      <c r="S1198" s="88">
        <f>-IF(Tabla14[[#This Row],[DIAS HABILES O MORA]]&lt;0,(Tabla14[[#This Row],[VALOR PRESTAMO]]*Tabla14[[#This Row],[% INTERES ]]/30*U1198))</f>
        <v>0</v>
      </c>
      <c r="T1198" s="53" t="e">
        <f>Tabla14[[#This Row],[DEUDA CAPITAL]]+Tabla14[[#This Row],[INTERES  CUOTA]]</f>
        <v>#NUM!</v>
      </c>
      <c r="U1198" s="61" t="str">
        <f t="shared" si="199"/>
        <v/>
      </c>
    </row>
    <row r="1199" spans="9:21" ht="24.75" customHeight="1" x14ac:dyDescent="0.35">
      <c r="I1199" s="42">
        <f t="shared" si="190"/>
        <v>0</v>
      </c>
      <c r="J1199" s="65" t="e">
        <f t="shared" si="191"/>
        <v>#NUM!</v>
      </c>
      <c r="K1199" s="83" t="e">
        <f t="shared" si="192"/>
        <v>#NUM!</v>
      </c>
      <c r="L1199" s="83">
        <f t="shared" si="193"/>
        <v>0</v>
      </c>
      <c r="M1199" s="110" t="str">
        <f t="shared" si="194"/>
        <v/>
      </c>
      <c r="N1199" s="51" t="str">
        <f t="shared" si="195"/>
        <v/>
      </c>
      <c r="O1199" s="52" t="str">
        <f t="shared" si="196"/>
        <v/>
      </c>
      <c r="P1199" s="88">
        <f t="shared" si="197"/>
        <v>0</v>
      </c>
      <c r="Q1199" s="88">
        <f t="shared" si="198"/>
        <v>0</v>
      </c>
      <c r="R1199" s="88" t="e">
        <f>-IF(Tabla14[[#This Row],[DIAS HABILES O MORA]]&lt;0,(Tabla14[[#This Row],[VALOR PRESTAMO]]*Tabla14[[#This Row],[% INTERES ]]/30*U1199))+Tabla14[[#This Row],[VALOR CUOTAS]]</f>
        <v>#VALUE!</v>
      </c>
      <c r="S1199" s="88">
        <f>-IF(Tabla14[[#This Row],[DIAS HABILES O MORA]]&lt;0,(Tabla14[[#This Row],[VALOR PRESTAMO]]*Tabla14[[#This Row],[% INTERES ]]/30*U1199))</f>
        <v>0</v>
      </c>
      <c r="T1199" s="53" t="e">
        <f>Tabla14[[#This Row],[DEUDA CAPITAL]]+Tabla14[[#This Row],[INTERES  CUOTA]]</f>
        <v>#NUM!</v>
      </c>
      <c r="U1199" s="61" t="str">
        <f t="shared" si="199"/>
        <v/>
      </c>
    </row>
    <row r="1200" spans="9:21" ht="24.75" customHeight="1" x14ac:dyDescent="0.35">
      <c r="I1200" s="42">
        <f t="shared" si="190"/>
        <v>0</v>
      </c>
      <c r="J1200" s="65" t="e">
        <f t="shared" si="191"/>
        <v>#NUM!</v>
      </c>
      <c r="K1200" s="83" t="e">
        <f t="shared" si="192"/>
        <v>#NUM!</v>
      </c>
      <c r="L1200" s="83">
        <f t="shared" si="193"/>
        <v>0</v>
      </c>
      <c r="M1200" s="110" t="str">
        <f t="shared" si="194"/>
        <v/>
      </c>
      <c r="N1200" s="51" t="str">
        <f t="shared" si="195"/>
        <v/>
      </c>
      <c r="O1200" s="52" t="str">
        <f t="shared" si="196"/>
        <v/>
      </c>
      <c r="P1200" s="88">
        <f t="shared" si="197"/>
        <v>0</v>
      </c>
      <c r="Q1200" s="88">
        <f t="shared" si="198"/>
        <v>0</v>
      </c>
      <c r="R1200" s="88" t="e">
        <f>-IF(Tabla14[[#This Row],[DIAS HABILES O MORA]]&lt;0,(Tabla14[[#This Row],[VALOR PRESTAMO]]*Tabla14[[#This Row],[% INTERES ]]/30*U1200))+Tabla14[[#This Row],[VALOR CUOTAS]]</f>
        <v>#VALUE!</v>
      </c>
      <c r="S1200" s="88">
        <f>-IF(Tabla14[[#This Row],[DIAS HABILES O MORA]]&lt;0,(Tabla14[[#This Row],[VALOR PRESTAMO]]*Tabla14[[#This Row],[% INTERES ]]/30*U1200))</f>
        <v>0</v>
      </c>
      <c r="T1200" s="53" t="e">
        <f>Tabla14[[#This Row],[DEUDA CAPITAL]]+Tabla14[[#This Row],[INTERES  CUOTA]]</f>
        <v>#NUM!</v>
      </c>
      <c r="U1200" s="61" t="str">
        <f t="shared" si="199"/>
        <v/>
      </c>
    </row>
    <row r="1201" spans="9:21" ht="24.75" customHeight="1" x14ac:dyDescent="0.35">
      <c r="I1201" s="42">
        <f t="shared" si="190"/>
        <v>0</v>
      </c>
      <c r="J1201" s="65" t="e">
        <f t="shared" si="191"/>
        <v>#NUM!</v>
      </c>
      <c r="K1201" s="83" t="e">
        <f t="shared" si="192"/>
        <v>#NUM!</v>
      </c>
      <c r="L1201" s="83">
        <f t="shared" si="193"/>
        <v>0</v>
      </c>
      <c r="M1201" s="110" t="str">
        <f t="shared" si="194"/>
        <v/>
      </c>
      <c r="N1201" s="51" t="str">
        <f t="shared" si="195"/>
        <v/>
      </c>
      <c r="O1201" s="52" t="str">
        <f t="shared" si="196"/>
        <v/>
      </c>
      <c r="P1201" s="88">
        <f t="shared" si="197"/>
        <v>0</v>
      </c>
      <c r="Q1201" s="88">
        <f t="shared" si="198"/>
        <v>0</v>
      </c>
      <c r="R1201" s="88" t="e">
        <f>-IF(Tabla14[[#This Row],[DIAS HABILES O MORA]]&lt;0,(Tabla14[[#This Row],[VALOR PRESTAMO]]*Tabla14[[#This Row],[% INTERES ]]/30*U1201))+Tabla14[[#This Row],[VALOR CUOTAS]]</f>
        <v>#VALUE!</v>
      </c>
      <c r="S1201" s="88">
        <f>-IF(Tabla14[[#This Row],[DIAS HABILES O MORA]]&lt;0,(Tabla14[[#This Row],[VALOR PRESTAMO]]*Tabla14[[#This Row],[% INTERES ]]/30*U1201))</f>
        <v>0</v>
      </c>
      <c r="T1201" s="53" t="e">
        <f>Tabla14[[#This Row],[DEUDA CAPITAL]]+Tabla14[[#This Row],[INTERES  CUOTA]]</f>
        <v>#NUM!</v>
      </c>
      <c r="U1201" s="61" t="str">
        <f t="shared" si="199"/>
        <v/>
      </c>
    </row>
    <row r="1202" spans="9:21" ht="24.75" customHeight="1" x14ac:dyDescent="0.35">
      <c r="I1202" s="42">
        <f t="shared" si="190"/>
        <v>0</v>
      </c>
      <c r="J1202" s="65" t="e">
        <f t="shared" si="191"/>
        <v>#NUM!</v>
      </c>
      <c r="K1202" s="83" t="e">
        <f t="shared" si="192"/>
        <v>#NUM!</v>
      </c>
      <c r="L1202" s="83">
        <f t="shared" si="193"/>
        <v>0</v>
      </c>
      <c r="M1202" s="110" t="str">
        <f t="shared" si="194"/>
        <v/>
      </c>
      <c r="N1202" s="51" t="str">
        <f t="shared" si="195"/>
        <v/>
      </c>
      <c r="O1202" s="52" t="str">
        <f t="shared" si="196"/>
        <v/>
      </c>
      <c r="P1202" s="88">
        <f t="shared" si="197"/>
        <v>0</v>
      </c>
      <c r="Q1202" s="88">
        <f t="shared" si="198"/>
        <v>0</v>
      </c>
      <c r="R1202" s="88" t="e">
        <f>-IF(Tabla14[[#This Row],[DIAS HABILES O MORA]]&lt;0,(Tabla14[[#This Row],[VALOR PRESTAMO]]*Tabla14[[#This Row],[% INTERES ]]/30*U1202))+Tabla14[[#This Row],[VALOR CUOTAS]]</f>
        <v>#VALUE!</v>
      </c>
      <c r="S1202" s="88">
        <f>-IF(Tabla14[[#This Row],[DIAS HABILES O MORA]]&lt;0,(Tabla14[[#This Row],[VALOR PRESTAMO]]*Tabla14[[#This Row],[% INTERES ]]/30*U1202))</f>
        <v>0</v>
      </c>
      <c r="T1202" s="53" t="e">
        <f>Tabla14[[#This Row],[DEUDA CAPITAL]]+Tabla14[[#This Row],[INTERES  CUOTA]]</f>
        <v>#NUM!</v>
      </c>
      <c r="U1202" s="61" t="str">
        <f t="shared" si="199"/>
        <v/>
      </c>
    </row>
    <row r="1203" spans="9:21" ht="24.75" customHeight="1" x14ac:dyDescent="0.35">
      <c r="I1203" s="42">
        <f t="shared" si="190"/>
        <v>0</v>
      </c>
      <c r="J1203" s="65" t="e">
        <f t="shared" si="191"/>
        <v>#NUM!</v>
      </c>
      <c r="K1203" s="83" t="e">
        <f t="shared" si="192"/>
        <v>#NUM!</v>
      </c>
      <c r="L1203" s="83">
        <f t="shared" si="193"/>
        <v>0</v>
      </c>
      <c r="M1203" s="110" t="str">
        <f t="shared" si="194"/>
        <v/>
      </c>
      <c r="N1203" s="51" t="str">
        <f t="shared" si="195"/>
        <v/>
      </c>
      <c r="O1203" s="52" t="str">
        <f t="shared" si="196"/>
        <v/>
      </c>
      <c r="P1203" s="88">
        <f t="shared" si="197"/>
        <v>0</v>
      </c>
      <c r="Q1203" s="88">
        <f t="shared" si="198"/>
        <v>0</v>
      </c>
      <c r="R1203" s="88" t="e">
        <f>-IF(Tabla14[[#This Row],[DIAS HABILES O MORA]]&lt;0,(Tabla14[[#This Row],[VALOR PRESTAMO]]*Tabla14[[#This Row],[% INTERES ]]/30*U1203))+Tabla14[[#This Row],[VALOR CUOTAS]]</f>
        <v>#VALUE!</v>
      </c>
      <c r="S1203" s="88">
        <f>-IF(Tabla14[[#This Row],[DIAS HABILES O MORA]]&lt;0,(Tabla14[[#This Row],[VALOR PRESTAMO]]*Tabla14[[#This Row],[% INTERES ]]/30*U1203))</f>
        <v>0</v>
      </c>
      <c r="T1203" s="53" t="e">
        <f>Tabla14[[#This Row],[DEUDA CAPITAL]]+Tabla14[[#This Row],[INTERES  CUOTA]]</f>
        <v>#NUM!</v>
      </c>
      <c r="U1203" s="61" t="str">
        <f t="shared" si="199"/>
        <v/>
      </c>
    </row>
    <row r="1204" spans="9:21" ht="24.75" customHeight="1" x14ac:dyDescent="0.35">
      <c r="I1204" s="42">
        <f t="shared" si="190"/>
        <v>0</v>
      </c>
      <c r="J1204" s="65" t="e">
        <f t="shared" si="191"/>
        <v>#NUM!</v>
      </c>
      <c r="K1204" s="83" t="e">
        <f t="shared" si="192"/>
        <v>#NUM!</v>
      </c>
      <c r="L1204" s="83">
        <f t="shared" si="193"/>
        <v>0</v>
      </c>
      <c r="M1204" s="110" t="str">
        <f t="shared" si="194"/>
        <v/>
      </c>
      <c r="N1204" s="51" t="str">
        <f t="shared" si="195"/>
        <v/>
      </c>
      <c r="O1204" s="52" t="str">
        <f t="shared" si="196"/>
        <v/>
      </c>
      <c r="P1204" s="88">
        <f t="shared" si="197"/>
        <v>0</v>
      </c>
      <c r="Q1204" s="88">
        <f t="shared" si="198"/>
        <v>0</v>
      </c>
      <c r="R1204" s="88" t="e">
        <f>-IF(Tabla14[[#This Row],[DIAS HABILES O MORA]]&lt;0,(Tabla14[[#This Row],[VALOR PRESTAMO]]*Tabla14[[#This Row],[% INTERES ]]/30*U1204))+Tabla14[[#This Row],[VALOR CUOTAS]]</f>
        <v>#VALUE!</v>
      </c>
      <c r="S1204" s="88">
        <f>-IF(Tabla14[[#This Row],[DIAS HABILES O MORA]]&lt;0,(Tabla14[[#This Row],[VALOR PRESTAMO]]*Tabla14[[#This Row],[% INTERES ]]/30*U1204))</f>
        <v>0</v>
      </c>
      <c r="T1204" s="53" t="e">
        <f>Tabla14[[#This Row],[DEUDA CAPITAL]]+Tabla14[[#This Row],[INTERES  CUOTA]]</f>
        <v>#NUM!</v>
      </c>
      <c r="U1204" s="61" t="str">
        <f t="shared" si="199"/>
        <v/>
      </c>
    </row>
    <row r="1205" spans="9:21" ht="24.75" customHeight="1" x14ac:dyDescent="0.35">
      <c r="I1205" s="42">
        <f t="shared" si="190"/>
        <v>0</v>
      </c>
      <c r="J1205" s="65" t="e">
        <f t="shared" si="191"/>
        <v>#NUM!</v>
      </c>
      <c r="K1205" s="83" t="e">
        <f t="shared" si="192"/>
        <v>#NUM!</v>
      </c>
      <c r="L1205" s="83">
        <f t="shared" si="193"/>
        <v>0</v>
      </c>
      <c r="M1205" s="110" t="str">
        <f t="shared" si="194"/>
        <v/>
      </c>
      <c r="N1205" s="51" t="str">
        <f t="shared" si="195"/>
        <v/>
      </c>
      <c r="O1205" s="52" t="str">
        <f t="shared" si="196"/>
        <v/>
      </c>
      <c r="P1205" s="88">
        <f t="shared" si="197"/>
        <v>0</v>
      </c>
      <c r="Q1205" s="88">
        <f t="shared" si="198"/>
        <v>0</v>
      </c>
      <c r="R1205" s="88" t="e">
        <f>-IF(Tabla14[[#This Row],[DIAS HABILES O MORA]]&lt;0,(Tabla14[[#This Row],[VALOR PRESTAMO]]*Tabla14[[#This Row],[% INTERES ]]/30*U1205))+Tabla14[[#This Row],[VALOR CUOTAS]]</f>
        <v>#VALUE!</v>
      </c>
      <c r="S1205" s="88">
        <f>-IF(Tabla14[[#This Row],[DIAS HABILES O MORA]]&lt;0,(Tabla14[[#This Row],[VALOR PRESTAMO]]*Tabla14[[#This Row],[% INTERES ]]/30*U1205))</f>
        <v>0</v>
      </c>
      <c r="T1205" s="53" t="e">
        <f>Tabla14[[#This Row],[DEUDA CAPITAL]]+Tabla14[[#This Row],[INTERES  CUOTA]]</f>
        <v>#NUM!</v>
      </c>
      <c r="U1205" s="61" t="str">
        <f t="shared" si="199"/>
        <v/>
      </c>
    </row>
    <row r="1206" spans="9:21" ht="24.75" customHeight="1" x14ac:dyDescent="0.35">
      <c r="I1206" s="42">
        <f t="shared" si="190"/>
        <v>0</v>
      </c>
      <c r="J1206" s="65" t="e">
        <f t="shared" si="191"/>
        <v>#NUM!</v>
      </c>
      <c r="K1206" s="83" t="e">
        <f t="shared" si="192"/>
        <v>#NUM!</v>
      </c>
      <c r="L1206" s="83">
        <f t="shared" si="193"/>
        <v>0</v>
      </c>
      <c r="M1206" s="110" t="str">
        <f t="shared" si="194"/>
        <v/>
      </c>
      <c r="N1206" s="51" t="str">
        <f t="shared" si="195"/>
        <v/>
      </c>
      <c r="O1206" s="52" t="str">
        <f t="shared" si="196"/>
        <v/>
      </c>
      <c r="P1206" s="88">
        <f t="shared" si="197"/>
        <v>0</v>
      </c>
      <c r="Q1206" s="88">
        <f t="shared" si="198"/>
        <v>0</v>
      </c>
      <c r="R1206" s="88" t="e">
        <f>-IF(Tabla14[[#This Row],[DIAS HABILES O MORA]]&lt;0,(Tabla14[[#This Row],[VALOR PRESTAMO]]*Tabla14[[#This Row],[% INTERES ]]/30*U1206))+Tabla14[[#This Row],[VALOR CUOTAS]]</f>
        <v>#VALUE!</v>
      </c>
      <c r="S1206" s="88">
        <f>-IF(Tabla14[[#This Row],[DIAS HABILES O MORA]]&lt;0,(Tabla14[[#This Row],[VALOR PRESTAMO]]*Tabla14[[#This Row],[% INTERES ]]/30*U1206))</f>
        <v>0</v>
      </c>
      <c r="T1206" s="53" t="e">
        <f>Tabla14[[#This Row],[DEUDA CAPITAL]]+Tabla14[[#This Row],[INTERES  CUOTA]]</f>
        <v>#NUM!</v>
      </c>
      <c r="U1206" s="61" t="str">
        <f t="shared" si="199"/>
        <v/>
      </c>
    </row>
    <row r="1207" spans="9:21" ht="24.75" customHeight="1" x14ac:dyDescent="0.35">
      <c r="I1207" s="42">
        <f t="shared" si="190"/>
        <v>0</v>
      </c>
      <c r="J1207" s="65" t="e">
        <f t="shared" si="191"/>
        <v>#NUM!</v>
      </c>
      <c r="K1207" s="83" t="e">
        <f t="shared" si="192"/>
        <v>#NUM!</v>
      </c>
      <c r="L1207" s="83">
        <f t="shared" si="193"/>
        <v>0</v>
      </c>
      <c r="M1207" s="110" t="str">
        <f t="shared" si="194"/>
        <v/>
      </c>
      <c r="N1207" s="51" t="str">
        <f t="shared" si="195"/>
        <v/>
      </c>
      <c r="O1207" s="52" t="str">
        <f t="shared" si="196"/>
        <v/>
      </c>
      <c r="P1207" s="88">
        <f t="shared" si="197"/>
        <v>0</v>
      </c>
      <c r="Q1207" s="88">
        <f t="shared" si="198"/>
        <v>0</v>
      </c>
      <c r="R1207" s="88" t="e">
        <f>-IF(Tabla14[[#This Row],[DIAS HABILES O MORA]]&lt;0,(Tabla14[[#This Row],[VALOR PRESTAMO]]*Tabla14[[#This Row],[% INTERES ]]/30*U1207))+Tabla14[[#This Row],[VALOR CUOTAS]]</f>
        <v>#VALUE!</v>
      </c>
      <c r="S1207" s="88">
        <f>-IF(Tabla14[[#This Row],[DIAS HABILES O MORA]]&lt;0,(Tabla14[[#This Row],[VALOR PRESTAMO]]*Tabla14[[#This Row],[% INTERES ]]/30*U1207))</f>
        <v>0</v>
      </c>
      <c r="T1207" s="53" t="e">
        <f>Tabla14[[#This Row],[DEUDA CAPITAL]]+Tabla14[[#This Row],[INTERES  CUOTA]]</f>
        <v>#NUM!</v>
      </c>
      <c r="U1207" s="61" t="str">
        <f t="shared" si="199"/>
        <v/>
      </c>
    </row>
    <row r="1208" spans="9:21" ht="24.75" customHeight="1" x14ac:dyDescent="0.35">
      <c r="I1208" s="42">
        <f t="shared" si="190"/>
        <v>0</v>
      </c>
      <c r="J1208" s="65" t="e">
        <f t="shared" si="191"/>
        <v>#NUM!</v>
      </c>
      <c r="K1208" s="83" t="e">
        <f t="shared" si="192"/>
        <v>#NUM!</v>
      </c>
      <c r="L1208" s="83">
        <f t="shared" si="193"/>
        <v>0</v>
      </c>
      <c r="M1208" s="110" t="str">
        <f t="shared" si="194"/>
        <v/>
      </c>
      <c r="N1208" s="51" t="str">
        <f t="shared" si="195"/>
        <v/>
      </c>
      <c r="O1208" s="52" t="str">
        <f t="shared" si="196"/>
        <v/>
      </c>
      <c r="P1208" s="88">
        <f t="shared" si="197"/>
        <v>0</v>
      </c>
      <c r="Q1208" s="88">
        <f t="shared" si="198"/>
        <v>0</v>
      </c>
      <c r="R1208" s="88" t="e">
        <f>-IF(Tabla14[[#This Row],[DIAS HABILES O MORA]]&lt;0,(Tabla14[[#This Row],[VALOR PRESTAMO]]*Tabla14[[#This Row],[% INTERES ]]/30*U1208))+Tabla14[[#This Row],[VALOR CUOTAS]]</f>
        <v>#VALUE!</v>
      </c>
      <c r="S1208" s="88">
        <f>-IF(Tabla14[[#This Row],[DIAS HABILES O MORA]]&lt;0,(Tabla14[[#This Row],[VALOR PRESTAMO]]*Tabla14[[#This Row],[% INTERES ]]/30*U1208))</f>
        <v>0</v>
      </c>
      <c r="T1208" s="53" t="e">
        <f>Tabla14[[#This Row],[DEUDA CAPITAL]]+Tabla14[[#This Row],[INTERES  CUOTA]]</f>
        <v>#NUM!</v>
      </c>
      <c r="U1208" s="61" t="str">
        <f t="shared" si="199"/>
        <v/>
      </c>
    </row>
    <row r="1209" spans="9:21" ht="24.75" customHeight="1" x14ac:dyDescent="0.35">
      <c r="I1209" s="42">
        <f t="shared" si="190"/>
        <v>0</v>
      </c>
      <c r="J1209" s="65" t="e">
        <f t="shared" si="191"/>
        <v>#NUM!</v>
      </c>
      <c r="K1209" s="83" t="e">
        <f t="shared" si="192"/>
        <v>#NUM!</v>
      </c>
      <c r="L1209" s="83">
        <f t="shared" si="193"/>
        <v>0</v>
      </c>
      <c r="M1209" s="110" t="str">
        <f t="shared" si="194"/>
        <v/>
      </c>
      <c r="N1209" s="51" t="str">
        <f t="shared" si="195"/>
        <v/>
      </c>
      <c r="O1209" s="52" t="str">
        <f t="shared" si="196"/>
        <v/>
      </c>
      <c r="P1209" s="88">
        <f t="shared" si="197"/>
        <v>0</v>
      </c>
      <c r="Q1209" s="88">
        <f t="shared" si="198"/>
        <v>0</v>
      </c>
      <c r="R1209" s="88" t="e">
        <f>-IF(Tabla14[[#This Row],[DIAS HABILES O MORA]]&lt;0,(Tabla14[[#This Row],[VALOR PRESTAMO]]*Tabla14[[#This Row],[% INTERES ]]/30*U1209))+Tabla14[[#This Row],[VALOR CUOTAS]]</f>
        <v>#VALUE!</v>
      </c>
      <c r="S1209" s="88">
        <f>-IF(Tabla14[[#This Row],[DIAS HABILES O MORA]]&lt;0,(Tabla14[[#This Row],[VALOR PRESTAMO]]*Tabla14[[#This Row],[% INTERES ]]/30*U1209))</f>
        <v>0</v>
      </c>
      <c r="T1209" s="53" t="e">
        <f>Tabla14[[#This Row],[DEUDA CAPITAL]]+Tabla14[[#This Row],[INTERES  CUOTA]]</f>
        <v>#NUM!</v>
      </c>
      <c r="U1209" s="61" t="str">
        <f t="shared" si="199"/>
        <v/>
      </c>
    </row>
    <row r="1210" spans="9:21" ht="24.75" customHeight="1" x14ac:dyDescent="0.35">
      <c r="I1210" s="42">
        <f t="shared" si="190"/>
        <v>0</v>
      </c>
      <c r="J1210" s="65" t="e">
        <f t="shared" si="191"/>
        <v>#NUM!</v>
      </c>
      <c r="K1210" s="83" t="e">
        <f t="shared" si="192"/>
        <v>#NUM!</v>
      </c>
      <c r="L1210" s="83">
        <f t="shared" si="193"/>
        <v>0</v>
      </c>
      <c r="M1210" s="110" t="str">
        <f t="shared" si="194"/>
        <v/>
      </c>
      <c r="N1210" s="51" t="str">
        <f t="shared" si="195"/>
        <v/>
      </c>
      <c r="O1210" s="52" t="str">
        <f t="shared" si="196"/>
        <v/>
      </c>
      <c r="P1210" s="88">
        <f t="shared" si="197"/>
        <v>0</v>
      </c>
      <c r="Q1210" s="88">
        <f t="shared" si="198"/>
        <v>0</v>
      </c>
      <c r="R1210" s="88" t="e">
        <f>-IF(Tabla14[[#This Row],[DIAS HABILES O MORA]]&lt;0,(Tabla14[[#This Row],[VALOR PRESTAMO]]*Tabla14[[#This Row],[% INTERES ]]/30*U1210))+Tabla14[[#This Row],[VALOR CUOTAS]]</f>
        <v>#VALUE!</v>
      </c>
      <c r="S1210" s="88">
        <f>-IF(Tabla14[[#This Row],[DIAS HABILES O MORA]]&lt;0,(Tabla14[[#This Row],[VALOR PRESTAMO]]*Tabla14[[#This Row],[% INTERES ]]/30*U1210))</f>
        <v>0</v>
      </c>
      <c r="T1210" s="53" t="e">
        <f>Tabla14[[#This Row],[DEUDA CAPITAL]]+Tabla14[[#This Row],[INTERES  CUOTA]]</f>
        <v>#NUM!</v>
      </c>
      <c r="U1210" s="61" t="str">
        <f t="shared" si="199"/>
        <v/>
      </c>
    </row>
    <row r="1211" spans="9:21" ht="24.75" customHeight="1" x14ac:dyDescent="0.35">
      <c r="I1211" s="42">
        <f t="shared" si="190"/>
        <v>0</v>
      </c>
      <c r="J1211" s="65" t="e">
        <f t="shared" si="191"/>
        <v>#NUM!</v>
      </c>
      <c r="K1211" s="83" t="e">
        <f t="shared" si="192"/>
        <v>#NUM!</v>
      </c>
      <c r="L1211" s="83">
        <f t="shared" si="193"/>
        <v>0</v>
      </c>
      <c r="M1211" s="110" t="str">
        <f t="shared" si="194"/>
        <v/>
      </c>
      <c r="N1211" s="51" t="str">
        <f t="shared" si="195"/>
        <v/>
      </c>
      <c r="O1211" s="52" t="str">
        <f t="shared" si="196"/>
        <v/>
      </c>
      <c r="P1211" s="88">
        <f t="shared" si="197"/>
        <v>0</v>
      </c>
      <c r="Q1211" s="88">
        <f t="shared" si="198"/>
        <v>0</v>
      </c>
      <c r="R1211" s="88" t="e">
        <f>-IF(Tabla14[[#This Row],[DIAS HABILES O MORA]]&lt;0,(Tabla14[[#This Row],[VALOR PRESTAMO]]*Tabla14[[#This Row],[% INTERES ]]/30*U1211))+Tabla14[[#This Row],[VALOR CUOTAS]]</f>
        <v>#VALUE!</v>
      </c>
      <c r="S1211" s="88">
        <f>-IF(Tabla14[[#This Row],[DIAS HABILES O MORA]]&lt;0,(Tabla14[[#This Row],[VALOR PRESTAMO]]*Tabla14[[#This Row],[% INTERES ]]/30*U1211))</f>
        <v>0</v>
      </c>
      <c r="T1211" s="53" t="e">
        <f>Tabla14[[#This Row],[DEUDA CAPITAL]]+Tabla14[[#This Row],[INTERES  CUOTA]]</f>
        <v>#NUM!</v>
      </c>
      <c r="U1211" s="61" t="str">
        <f t="shared" si="199"/>
        <v/>
      </c>
    </row>
    <row r="1212" spans="9:21" ht="24.75" customHeight="1" x14ac:dyDescent="0.35">
      <c r="I1212" s="42">
        <f t="shared" si="190"/>
        <v>0</v>
      </c>
      <c r="J1212" s="65" t="e">
        <f t="shared" si="191"/>
        <v>#NUM!</v>
      </c>
      <c r="K1212" s="83" t="e">
        <f t="shared" si="192"/>
        <v>#NUM!</v>
      </c>
      <c r="L1212" s="83">
        <f t="shared" si="193"/>
        <v>0</v>
      </c>
      <c r="M1212" s="110" t="str">
        <f t="shared" si="194"/>
        <v/>
      </c>
      <c r="N1212" s="51" t="str">
        <f t="shared" si="195"/>
        <v/>
      </c>
      <c r="O1212" s="52" t="str">
        <f t="shared" si="196"/>
        <v/>
      </c>
      <c r="P1212" s="88">
        <f t="shared" si="197"/>
        <v>0</v>
      </c>
      <c r="Q1212" s="88">
        <f t="shared" si="198"/>
        <v>0</v>
      </c>
      <c r="R1212" s="88" t="e">
        <f>-IF(Tabla14[[#This Row],[DIAS HABILES O MORA]]&lt;0,(Tabla14[[#This Row],[VALOR PRESTAMO]]*Tabla14[[#This Row],[% INTERES ]]/30*U1212))+Tabla14[[#This Row],[VALOR CUOTAS]]</f>
        <v>#VALUE!</v>
      </c>
      <c r="S1212" s="88">
        <f>-IF(Tabla14[[#This Row],[DIAS HABILES O MORA]]&lt;0,(Tabla14[[#This Row],[VALOR PRESTAMO]]*Tabla14[[#This Row],[% INTERES ]]/30*U1212))</f>
        <v>0</v>
      </c>
      <c r="T1212" s="53" t="e">
        <f>Tabla14[[#This Row],[DEUDA CAPITAL]]+Tabla14[[#This Row],[INTERES  CUOTA]]</f>
        <v>#NUM!</v>
      </c>
      <c r="U1212" s="61" t="str">
        <f t="shared" si="199"/>
        <v/>
      </c>
    </row>
    <row r="1213" spans="9:21" ht="24.75" customHeight="1" x14ac:dyDescent="0.35">
      <c r="I1213" s="42">
        <f t="shared" si="190"/>
        <v>0</v>
      </c>
      <c r="J1213" s="65" t="e">
        <f t="shared" si="191"/>
        <v>#NUM!</v>
      </c>
      <c r="K1213" s="83" t="e">
        <f t="shared" si="192"/>
        <v>#NUM!</v>
      </c>
      <c r="L1213" s="83">
        <f t="shared" si="193"/>
        <v>0</v>
      </c>
      <c r="M1213" s="110" t="str">
        <f t="shared" si="194"/>
        <v/>
      </c>
      <c r="N1213" s="51" t="str">
        <f t="shared" si="195"/>
        <v/>
      </c>
      <c r="O1213" s="52" t="str">
        <f t="shared" si="196"/>
        <v/>
      </c>
      <c r="P1213" s="88">
        <f t="shared" si="197"/>
        <v>0</v>
      </c>
      <c r="Q1213" s="88">
        <f t="shared" si="198"/>
        <v>0</v>
      </c>
      <c r="R1213" s="88" t="e">
        <f>-IF(Tabla14[[#This Row],[DIAS HABILES O MORA]]&lt;0,(Tabla14[[#This Row],[VALOR PRESTAMO]]*Tabla14[[#This Row],[% INTERES ]]/30*U1213))+Tabla14[[#This Row],[VALOR CUOTAS]]</f>
        <v>#VALUE!</v>
      </c>
      <c r="S1213" s="88">
        <f>-IF(Tabla14[[#This Row],[DIAS HABILES O MORA]]&lt;0,(Tabla14[[#This Row],[VALOR PRESTAMO]]*Tabla14[[#This Row],[% INTERES ]]/30*U1213))</f>
        <v>0</v>
      </c>
      <c r="T1213" s="53" t="e">
        <f>Tabla14[[#This Row],[DEUDA CAPITAL]]+Tabla14[[#This Row],[INTERES  CUOTA]]</f>
        <v>#NUM!</v>
      </c>
      <c r="U1213" s="61" t="str">
        <f t="shared" si="199"/>
        <v/>
      </c>
    </row>
    <row r="1214" spans="9:21" ht="24.75" customHeight="1" x14ac:dyDescent="0.35">
      <c r="I1214" s="42">
        <f t="shared" si="190"/>
        <v>0</v>
      </c>
      <c r="J1214" s="65" t="e">
        <f t="shared" si="191"/>
        <v>#NUM!</v>
      </c>
      <c r="K1214" s="83" t="e">
        <f t="shared" si="192"/>
        <v>#NUM!</v>
      </c>
      <c r="L1214" s="83">
        <f t="shared" si="193"/>
        <v>0</v>
      </c>
      <c r="M1214" s="110" t="str">
        <f t="shared" si="194"/>
        <v/>
      </c>
      <c r="N1214" s="51" t="str">
        <f t="shared" si="195"/>
        <v/>
      </c>
      <c r="O1214" s="52" t="str">
        <f t="shared" si="196"/>
        <v/>
      </c>
      <c r="P1214" s="88">
        <f t="shared" si="197"/>
        <v>0</v>
      </c>
      <c r="Q1214" s="88">
        <f t="shared" si="198"/>
        <v>0</v>
      </c>
      <c r="R1214" s="88" t="e">
        <f>-IF(Tabla14[[#This Row],[DIAS HABILES O MORA]]&lt;0,(Tabla14[[#This Row],[VALOR PRESTAMO]]*Tabla14[[#This Row],[% INTERES ]]/30*U1214))+Tabla14[[#This Row],[VALOR CUOTAS]]</f>
        <v>#VALUE!</v>
      </c>
      <c r="S1214" s="88">
        <f>-IF(Tabla14[[#This Row],[DIAS HABILES O MORA]]&lt;0,(Tabla14[[#This Row],[VALOR PRESTAMO]]*Tabla14[[#This Row],[% INTERES ]]/30*U1214))</f>
        <v>0</v>
      </c>
      <c r="T1214" s="53" t="e">
        <f>Tabla14[[#This Row],[DEUDA CAPITAL]]+Tabla14[[#This Row],[INTERES  CUOTA]]</f>
        <v>#NUM!</v>
      </c>
      <c r="U1214" s="61" t="str">
        <f t="shared" si="199"/>
        <v/>
      </c>
    </row>
    <row r="1215" spans="9:21" ht="24.75" customHeight="1" x14ac:dyDescent="0.35">
      <c r="I1215" s="42">
        <f t="shared" si="190"/>
        <v>0</v>
      </c>
      <c r="J1215" s="65" t="e">
        <f t="shared" si="191"/>
        <v>#NUM!</v>
      </c>
      <c r="K1215" s="83" t="e">
        <f t="shared" si="192"/>
        <v>#NUM!</v>
      </c>
      <c r="L1215" s="83">
        <f t="shared" si="193"/>
        <v>0</v>
      </c>
      <c r="M1215" s="110" t="str">
        <f t="shared" si="194"/>
        <v/>
      </c>
      <c r="N1215" s="51" t="str">
        <f t="shared" si="195"/>
        <v/>
      </c>
      <c r="O1215" s="52" t="str">
        <f t="shared" si="196"/>
        <v/>
      </c>
      <c r="P1215" s="88">
        <f t="shared" si="197"/>
        <v>0</v>
      </c>
      <c r="Q1215" s="88">
        <f t="shared" si="198"/>
        <v>0</v>
      </c>
      <c r="R1215" s="88" t="e">
        <f>-IF(Tabla14[[#This Row],[DIAS HABILES O MORA]]&lt;0,(Tabla14[[#This Row],[VALOR PRESTAMO]]*Tabla14[[#This Row],[% INTERES ]]/30*U1215))+Tabla14[[#This Row],[VALOR CUOTAS]]</f>
        <v>#VALUE!</v>
      </c>
      <c r="S1215" s="88">
        <f>-IF(Tabla14[[#This Row],[DIAS HABILES O MORA]]&lt;0,(Tabla14[[#This Row],[VALOR PRESTAMO]]*Tabla14[[#This Row],[% INTERES ]]/30*U1215))</f>
        <v>0</v>
      </c>
      <c r="T1215" s="53" t="e">
        <f>Tabla14[[#This Row],[DEUDA CAPITAL]]+Tabla14[[#This Row],[INTERES  CUOTA]]</f>
        <v>#NUM!</v>
      </c>
      <c r="U1215" s="61" t="str">
        <f t="shared" si="199"/>
        <v/>
      </c>
    </row>
    <row r="1216" spans="9:21" ht="24.75" customHeight="1" x14ac:dyDescent="0.35">
      <c r="I1216" s="42">
        <f t="shared" si="190"/>
        <v>0</v>
      </c>
      <c r="J1216" s="65" t="e">
        <f t="shared" si="191"/>
        <v>#NUM!</v>
      </c>
      <c r="K1216" s="83" t="e">
        <f t="shared" si="192"/>
        <v>#NUM!</v>
      </c>
      <c r="L1216" s="83">
        <f t="shared" si="193"/>
        <v>0</v>
      </c>
      <c r="M1216" s="110" t="str">
        <f t="shared" si="194"/>
        <v/>
      </c>
      <c r="N1216" s="51" t="str">
        <f t="shared" si="195"/>
        <v/>
      </c>
      <c r="O1216" s="52" t="str">
        <f t="shared" si="196"/>
        <v/>
      </c>
      <c r="P1216" s="88">
        <f t="shared" si="197"/>
        <v>0</v>
      </c>
      <c r="Q1216" s="88">
        <f t="shared" si="198"/>
        <v>0</v>
      </c>
      <c r="R1216" s="88" t="e">
        <f>-IF(Tabla14[[#This Row],[DIAS HABILES O MORA]]&lt;0,(Tabla14[[#This Row],[VALOR PRESTAMO]]*Tabla14[[#This Row],[% INTERES ]]/30*U1216))+Tabla14[[#This Row],[VALOR CUOTAS]]</f>
        <v>#VALUE!</v>
      </c>
      <c r="S1216" s="88">
        <f>-IF(Tabla14[[#This Row],[DIAS HABILES O MORA]]&lt;0,(Tabla14[[#This Row],[VALOR PRESTAMO]]*Tabla14[[#This Row],[% INTERES ]]/30*U1216))</f>
        <v>0</v>
      </c>
      <c r="T1216" s="53" t="e">
        <f>Tabla14[[#This Row],[DEUDA CAPITAL]]+Tabla14[[#This Row],[INTERES  CUOTA]]</f>
        <v>#NUM!</v>
      </c>
      <c r="U1216" s="61" t="str">
        <f t="shared" si="199"/>
        <v/>
      </c>
    </row>
    <row r="1217" spans="9:21" ht="24.75" customHeight="1" x14ac:dyDescent="0.35">
      <c r="I1217" s="42">
        <f t="shared" si="190"/>
        <v>0</v>
      </c>
      <c r="J1217" s="65" t="e">
        <f t="shared" si="191"/>
        <v>#NUM!</v>
      </c>
      <c r="K1217" s="83" t="e">
        <f t="shared" si="192"/>
        <v>#NUM!</v>
      </c>
      <c r="L1217" s="83">
        <f t="shared" si="193"/>
        <v>0</v>
      </c>
      <c r="M1217" s="110" t="str">
        <f t="shared" si="194"/>
        <v/>
      </c>
      <c r="N1217" s="51" t="str">
        <f t="shared" si="195"/>
        <v/>
      </c>
      <c r="O1217" s="52" t="str">
        <f t="shared" si="196"/>
        <v/>
      </c>
      <c r="P1217" s="88">
        <f t="shared" si="197"/>
        <v>0</v>
      </c>
      <c r="Q1217" s="88">
        <f t="shared" si="198"/>
        <v>0</v>
      </c>
      <c r="R1217" s="88" t="e">
        <f>-IF(Tabla14[[#This Row],[DIAS HABILES O MORA]]&lt;0,(Tabla14[[#This Row],[VALOR PRESTAMO]]*Tabla14[[#This Row],[% INTERES ]]/30*U1217))+Tabla14[[#This Row],[VALOR CUOTAS]]</f>
        <v>#VALUE!</v>
      </c>
      <c r="S1217" s="88">
        <f>-IF(Tabla14[[#This Row],[DIAS HABILES O MORA]]&lt;0,(Tabla14[[#This Row],[VALOR PRESTAMO]]*Tabla14[[#This Row],[% INTERES ]]/30*U1217))</f>
        <v>0</v>
      </c>
      <c r="T1217" s="53" t="e">
        <f>Tabla14[[#This Row],[DEUDA CAPITAL]]+Tabla14[[#This Row],[INTERES  CUOTA]]</f>
        <v>#NUM!</v>
      </c>
      <c r="U1217" s="61" t="str">
        <f t="shared" si="199"/>
        <v/>
      </c>
    </row>
    <row r="1218" spans="9:21" ht="24.75" customHeight="1" x14ac:dyDescent="0.35">
      <c r="I1218" s="42">
        <f t="shared" si="190"/>
        <v>0</v>
      </c>
      <c r="J1218" s="65" t="e">
        <f t="shared" si="191"/>
        <v>#NUM!</v>
      </c>
      <c r="K1218" s="83" t="e">
        <f t="shared" si="192"/>
        <v>#NUM!</v>
      </c>
      <c r="L1218" s="83">
        <f t="shared" si="193"/>
        <v>0</v>
      </c>
      <c r="M1218" s="110" t="str">
        <f t="shared" si="194"/>
        <v/>
      </c>
      <c r="N1218" s="51" t="str">
        <f t="shared" si="195"/>
        <v/>
      </c>
      <c r="O1218" s="52" t="str">
        <f t="shared" si="196"/>
        <v/>
      </c>
      <c r="P1218" s="88">
        <f t="shared" si="197"/>
        <v>0</v>
      </c>
      <c r="Q1218" s="88">
        <f t="shared" si="198"/>
        <v>0</v>
      </c>
      <c r="R1218" s="88" t="e">
        <f>-IF(Tabla14[[#This Row],[DIAS HABILES O MORA]]&lt;0,(Tabla14[[#This Row],[VALOR PRESTAMO]]*Tabla14[[#This Row],[% INTERES ]]/30*U1218))+Tabla14[[#This Row],[VALOR CUOTAS]]</f>
        <v>#VALUE!</v>
      </c>
      <c r="S1218" s="88">
        <f>-IF(Tabla14[[#This Row],[DIAS HABILES O MORA]]&lt;0,(Tabla14[[#This Row],[VALOR PRESTAMO]]*Tabla14[[#This Row],[% INTERES ]]/30*U1218))</f>
        <v>0</v>
      </c>
      <c r="T1218" s="53" t="e">
        <f>Tabla14[[#This Row],[DEUDA CAPITAL]]+Tabla14[[#This Row],[INTERES  CUOTA]]</f>
        <v>#NUM!</v>
      </c>
      <c r="U1218" s="61" t="str">
        <f t="shared" si="199"/>
        <v/>
      </c>
    </row>
    <row r="1219" spans="9:21" ht="24.75" customHeight="1" x14ac:dyDescent="0.35">
      <c r="I1219" s="42">
        <f t="shared" si="190"/>
        <v>0</v>
      </c>
      <c r="J1219" s="65" t="e">
        <f t="shared" si="191"/>
        <v>#NUM!</v>
      </c>
      <c r="K1219" s="83" t="e">
        <f t="shared" si="192"/>
        <v>#NUM!</v>
      </c>
      <c r="L1219" s="83">
        <f t="shared" si="193"/>
        <v>0</v>
      </c>
      <c r="M1219" s="110" t="str">
        <f t="shared" si="194"/>
        <v/>
      </c>
      <c r="N1219" s="51" t="str">
        <f t="shared" si="195"/>
        <v/>
      </c>
      <c r="O1219" s="52" t="str">
        <f t="shared" si="196"/>
        <v/>
      </c>
      <c r="P1219" s="88">
        <f t="shared" si="197"/>
        <v>0</v>
      </c>
      <c r="Q1219" s="88">
        <f t="shared" si="198"/>
        <v>0</v>
      </c>
      <c r="R1219" s="88" t="e">
        <f>-IF(Tabla14[[#This Row],[DIAS HABILES O MORA]]&lt;0,(Tabla14[[#This Row],[VALOR PRESTAMO]]*Tabla14[[#This Row],[% INTERES ]]/30*U1219))+Tabla14[[#This Row],[VALOR CUOTAS]]</f>
        <v>#VALUE!</v>
      </c>
      <c r="S1219" s="88">
        <f>-IF(Tabla14[[#This Row],[DIAS HABILES O MORA]]&lt;0,(Tabla14[[#This Row],[VALOR PRESTAMO]]*Tabla14[[#This Row],[% INTERES ]]/30*U1219))</f>
        <v>0</v>
      </c>
      <c r="T1219" s="53" t="e">
        <f>Tabla14[[#This Row],[DEUDA CAPITAL]]+Tabla14[[#This Row],[INTERES  CUOTA]]</f>
        <v>#NUM!</v>
      </c>
      <c r="U1219" s="61" t="str">
        <f t="shared" si="199"/>
        <v/>
      </c>
    </row>
    <row r="1220" spans="9:21" ht="24.75" customHeight="1" x14ac:dyDescent="0.35">
      <c r="I1220" s="42">
        <f t="shared" si="190"/>
        <v>0</v>
      </c>
      <c r="J1220" s="65" t="e">
        <f t="shared" si="191"/>
        <v>#NUM!</v>
      </c>
      <c r="K1220" s="83" t="e">
        <f t="shared" si="192"/>
        <v>#NUM!</v>
      </c>
      <c r="L1220" s="83">
        <f t="shared" si="193"/>
        <v>0</v>
      </c>
      <c r="M1220" s="110" t="str">
        <f t="shared" si="194"/>
        <v/>
      </c>
      <c r="N1220" s="51" t="str">
        <f t="shared" si="195"/>
        <v/>
      </c>
      <c r="O1220" s="52" t="str">
        <f t="shared" si="196"/>
        <v/>
      </c>
      <c r="P1220" s="88">
        <f t="shared" si="197"/>
        <v>0</v>
      </c>
      <c r="Q1220" s="88">
        <f t="shared" si="198"/>
        <v>0</v>
      </c>
      <c r="R1220" s="88" t="e">
        <f>-IF(Tabla14[[#This Row],[DIAS HABILES O MORA]]&lt;0,(Tabla14[[#This Row],[VALOR PRESTAMO]]*Tabla14[[#This Row],[% INTERES ]]/30*U1220))+Tabla14[[#This Row],[VALOR CUOTAS]]</f>
        <v>#VALUE!</v>
      </c>
      <c r="S1220" s="88">
        <f>-IF(Tabla14[[#This Row],[DIAS HABILES O MORA]]&lt;0,(Tabla14[[#This Row],[VALOR PRESTAMO]]*Tabla14[[#This Row],[% INTERES ]]/30*U1220))</f>
        <v>0</v>
      </c>
      <c r="T1220" s="53" t="e">
        <f>Tabla14[[#This Row],[DEUDA CAPITAL]]+Tabla14[[#This Row],[INTERES  CUOTA]]</f>
        <v>#NUM!</v>
      </c>
      <c r="U1220" s="61" t="str">
        <f t="shared" si="199"/>
        <v/>
      </c>
    </row>
    <row r="1221" spans="9:21" ht="24.75" customHeight="1" x14ac:dyDescent="0.35">
      <c r="I1221" s="42">
        <f t="shared" si="190"/>
        <v>0</v>
      </c>
      <c r="J1221" s="65" t="e">
        <f t="shared" si="191"/>
        <v>#NUM!</v>
      </c>
      <c r="K1221" s="83" t="e">
        <f t="shared" si="192"/>
        <v>#NUM!</v>
      </c>
      <c r="L1221" s="83">
        <f t="shared" si="193"/>
        <v>0</v>
      </c>
      <c r="M1221" s="110" t="str">
        <f t="shared" si="194"/>
        <v/>
      </c>
      <c r="N1221" s="51" t="str">
        <f t="shared" si="195"/>
        <v/>
      </c>
      <c r="O1221" s="52" t="str">
        <f t="shared" si="196"/>
        <v/>
      </c>
      <c r="P1221" s="88">
        <f t="shared" si="197"/>
        <v>0</v>
      </c>
      <c r="Q1221" s="88">
        <f t="shared" si="198"/>
        <v>0</v>
      </c>
      <c r="R1221" s="88" t="e">
        <f>-IF(Tabla14[[#This Row],[DIAS HABILES O MORA]]&lt;0,(Tabla14[[#This Row],[VALOR PRESTAMO]]*Tabla14[[#This Row],[% INTERES ]]/30*U1221))+Tabla14[[#This Row],[VALOR CUOTAS]]</f>
        <v>#VALUE!</v>
      </c>
      <c r="S1221" s="88">
        <f>-IF(Tabla14[[#This Row],[DIAS HABILES O MORA]]&lt;0,(Tabla14[[#This Row],[VALOR PRESTAMO]]*Tabla14[[#This Row],[% INTERES ]]/30*U1221))</f>
        <v>0</v>
      </c>
      <c r="T1221" s="53" t="e">
        <f>Tabla14[[#This Row],[DEUDA CAPITAL]]+Tabla14[[#This Row],[INTERES  CUOTA]]</f>
        <v>#NUM!</v>
      </c>
      <c r="U1221" s="61" t="str">
        <f t="shared" si="199"/>
        <v/>
      </c>
    </row>
    <row r="1222" spans="9:21" ht="24.75" customHeight="1" x14ac:dyDescent="0.35">
      <c r="I1222" s="42">
        <f t="shared" si="190"/>
        <v>0</v>
      </c>
      <c r="J1222" s="65" t="e">
        <f t="shared" si="191"/>
        <v>#NUM!</v>
      </c>
      <c r="K1222" s="83" t="e">
        <f t="shared" si="192"/>
        <v>#NUM!</v>
      </c>
      <c r="L1222" s="83">
        <f t="shared" si="193"/>
        <v>0</v>
      </c>
      <c r="M1222" s="110" t="str">
        <f t="shared" si="194"/>
        <v/>
      </c>
      <c r="N1222" s="51" t="str">
        <f t="shared" si="195"/>
        <v/>
      </c>
      <c r="O1222" s="52" t="str">
        <f t="shared" si="196"/>
        <v/>
      </c>
      <c r="P1222" s="88">
        <f t="shared" si="197"/>
        <v>0</v>
      </c>
      <c r="Q1222" s="88">
        <f t="shared" si="198"/>
        <v>0</v>
      </c>
      <c r="R1222" s="88" t="e">
        <f>-IF(Tabla14[[#This Row],[DIAS HABILES O MORA]]&lt;0,(Tabla14[[#This Row],[VALOR PRESTAMO]]*Tabla14[[#This Row],[% INTERES ]]/30*U1222))+Tabla14[[#This Row],[VALOR CUOTAS]]</f>
        <v>#VALUE!</v>
      </c>
      <c r="S1222" s="88">
        <f>-IF(Tabla14[[#This Row],[DIAS HABILES O MORA]]&lt;0,(Tabla14[[#This Row],[VALOR PRESTAMO]]*Tabla14[[#This Row],[% INTERES ]]/30*U1222))</f>
        <v>0</v>
      </c>
      <c r="T1222" s="53" t="e">
        <f>Tabla14[[#This Row],[DEUDA CAPITAL]]+Tabla14[[#This Row],[INTERES  CUOTA]]</f>
        <v>#NUM!</v>
      </c>
      <c r="U1222" s="61" t="str">
        <f t="shared" si="199"/>
        <v/>
      </c>
    </row>
    <row r="1223" spans="9:21" ht="24.75" customHeight="1" x14ac:dyDescent="0.35">
      <c r="I1223" s="42">
        <f t="shared" si="190"/>
        <v>0</v>
      </c>
      <c r="J1223" s="65" t="e">
        <f t="shared" si="191"/>
        <v>#NUM!</v>
      </c>
      <c r="K1223" s="83" t="e">
        <f t="shared" si="192"/>
        <v>#NUM!</v>
      </c>
      <c r="L1223" s="83">
        <f t="shared" si="193"/>
        <v>0</v>
      </c>
      <c r="M1223" s="110" t="str">
        <f t="shared" si="194"/>
        <v/>
      </c>
      <c r="N1223" s="51" t="str">
        <f t="shared" si="195"/>
        <v/>
      </c>
      <c r="O1223" s="52" t="str">
        <f t="shared" si="196"/>
        <v/>
      </c>
      <c r="P1223" s="88">
        <f t="shared" si="197"/>
        <v>0</v>
      </c>
      <c r="Q1223" s="88">
        <f t="shared" si="198"/>
        <v>0</v>
      </c>
      <c r="R1223" s="88" t="e">
        <f>-IF(Tabla14[[#This Row],[DIAS HABILES O MORA]]&lt;0,(Tabla14[[#This Row],[VALOR PRESTAMO]]*Tabla14[[#This Row],[% INTERES ]]/30*U1223))+Tabla14[[#This Row],[VALOR CUOTAS]]</f>
        <v>#VALUE!</v>
      </c>
      <c r="S1223" s="88">
        <f>-IF(Tabla14[[#This Row],[DIAS HABILES O MORA]]&lt;0,(Tabla14[[#This Row],[VALOR PRESTAMO]]*Tabla14[[#This Row],[% INTERES ]]/30*U1223))</f>
        <v>0</v>
      </c>
      <c r="T1223" s="53" t="e">
        <f>Tabla14[[#This Row],[DEUDA CAPITAL]]+Tabla14[[#This Row],[INTERES  CUOTA]]</f>
        <v>#NUM!</v>
      </c>
      <c r="U1223" s="61" t="str">
        <f t="shared" si="199"/>
        <v/>
      </c>
    </row>
    <row r="1224" spans="9:21" ht="24.75" customHeight="1" x14ac:dyDescent="0.35">
      <c r="I1224" s="42">
        <f t="shared" si="190"/>
        <v>0</v>
      </c>
      <c r="J1224" s="65" t="e">
        <f t="shared" si="191"/>
        <v>#NUM!</v>
      </c>
      <c r="K1224" s="83" t="e">
        <f t="shared" si="192"/>
        <v>#NUM!</v>
      </c>
      <c r="L1224" s="83">
        <f t="shared" si="193"/>
        <v>0</v>
      </c>
      <c r="M1224" s="110" t="str">
        <f t="shared" si="194"/>
        <v/>
      </c>
      <c r="N1224" s="51" t="str">
        <f t="shared" si="195"/>
        <v/>
      </c>
      <c r="O1224" s="52" t="str">
        <f t="shared" si="196"/>
        <v/>
      </c>
      <c r="P1224" s="88">
        <f t="shared" si="197"/>
        <v>0</v>
      </c>
      <c r="Q1224" s="88">
        <f t="shared" si="198"/>
        <v>0</v>
      </c>
      <c r="R1224" s="88" t="e">
        <f>-IF(Tabla14[[#This Row],[DIAS HABILES O MORA]]&lt;0,(Tabla14[[#This Row],[VALOR PRESTAMO]]*Tabla14[[#This Row],[% INTERES ]]/30*U1224))+Tabla14[[#This Row],[VALOR CUOTAS]]</f>
        <v>#VALUE!</v>
      </c>
      <c r="S1224" s="88">
        <f>-IF(Tabla14[[#This Row],[DIAS HABILES O MORA]]&lt;0,(Tabla14[[#This Row],[VALOR PRESTAMO]]*Tabla14[[#This Row],[% INTERES ]]/30*U1224))</f>
        <v>0</v>
      </c>
      <c r="T1224" s="53" t="e">
        <f>Tabla14[[#This Row],[DEUDA CAPITAL]]+Tabla14[[#This Row],[INTERES  CUOTA]]</f>
        <v>#NUM!</v>
      </c>
      <c r="U1224" s="61" t="str">
        <f t="shared" si="199"/>
        <v/>
      </c>
    </row>
    <row r="1225" spans="9:21" ht="24.75" customHeight="1" x14ac:dyDescent="0.35">
      <c r="I1225" s="42">
        <f t="shared" si="190"/>
        <v>0</v>
      </c>
      <c r="J1225" s="65" t="e">
        <f t="shared" si="191"/>
        <v>#NUM!</v>
      </c>
      <c r="K1225" s="83" t="e">
        <f t="shared" si="192"/>
        <v>#NUM!</v>
      </c>
      <c r="L1225" s="83">
        <f t="shared" si="193"/>
        <v>0</v>
      </c>
      <c r="M1225" s="110" t="str">
        <f t="shared" si="194"/>
        <v/>
      </c>
      <c r="N1225" s="51" t="str">
        <f t="shared" si="195"/>
        <v/>
      </c>
      <c r="O1225" s="52" t="str">
        <f t="shared" si="196"/>
        <v/>
      </c>
      <c r="P1225" s="88">
        <f t="shared" si="197"/>
        <v>0</v>
      </c>
      <c r="Q1225" s="88">
        <f t="shared" si="198"/>
        <v>0</v>
      </c>
      <c r="R1225" s="88" t="e">
        <f>-IF(Tabla14[[#This Row],[DIAS HABILES O MORA]]&lt;0,(Tabla14[[#This Row],[VALOR PRESTAMO]]*Tabla14[[#This Row],[% INTERES ]]/30*U1225))+Tabla14[[#This Row],[VALOR CUOTAS]]</f>
        <v>#VALUE!</v>
      </c>
      <c r="S1225" s="88">
        <f>-IF(Tabla14[[#This Row],[DIAS HABILES O MORA]]&lt;0,(Tabla14[[#This Row],[VALOR PRESTAMO]]*Tabla14[[#This Row],[% INTERES ]]/30*U1225))</f>
        <v>0</v>
      </c>
      <c r="T1225" s="53" t="e">
        <f>Tabla14[[#This Row],[DEUDA CAPITAL]]+Tabla14[[#This Row],[INTERES  CUOTA]]</f>
        <v>#NUM!</v>
      </c>
      <c r="U1225" s="61" t="str">
        <f t="shared" si="199"/>
        <v/>
      </c>
    </row>
    <row r="1226" spans="9:21" ht="24.75" customHeight="1" x14ac:dyDescent="0.35">
      <c r="I1226" s="42">
        <f t="shared" si="190"/>
        <v>0</v>
      </c>
      <c r="J1226" s="65" t="e">
        <f t="shared" si="191"/>
        <v>#NUM!</v>
      </c>
      <c r="K1226" s="83" t="e">
        <f t="shared" si="192"/>
        <v>#NUM!</v>
      </c>
      <c r="L1226" s="83">
        <f t="shared" si="193"/>
        <v>0</v>
      </c>
      <c r="M1226" s="110" t="str">
        <f t="shared" si="194"/>
        <v/>
      </c>
      <c r="N1226" s="51" t="str">
        <f t="shared" si="195"/>
        <v/>
      </c>
      <c r="O1226" s="52" t="str">
        <f t="shared" si="196"/>
        <v/>
      </c>
      <c r="P1226" s="88">
        <f t="shared" si="197"/>
        <v>0</v>
      </c>
      <c r="Q1226" s="88">
        <f t="shared" si="198"/>
        <v>0</v>
      </c>
      <c r="R1226" s="88" t="e">
        <f>-IF(Tabla14[[#This Row],[DIAS HABILES O MORA]]&lt;0,(Tabla14[[#This Row],[VALOR PRESTAMO]]*Tabla14[[#This Row],[% INTERES ]]/30*U1226))+Tabla14[[#This Row],[VALOR CUOTAS]]</f>
        <v>#VALUE!</v>
      </c>
      <c r="S1226" s="88">
        <f>-IF(Tabla14[[#This Row],[DIAS HABILES O MORA]]&lt;0,(Tabla14[[#This Row],[VALOR PRESTAMO]]*Tabla14[[#This Row],[% INTERES ]]/30*U1226))</f>
        <v>0</v>
      </c>
      <c r="T1226" s="53" t="e">
        <f>Tabla14[[#This Row],[DEUDA CAPITAL]]+Tabla14[[#This Row],[INTERES  CUOTA]]</f>
        <v>#NUM!</v>
      </c>
      <c r="U1226" s="61" t="str">
        <f t="shared" si="199"/>
        <v/>
      </c>
    </row>
    <row r="1227" spans="9:21" ht="24.75" customHeight="1" x14ac:dyDescent="0.35">
      <c r="I1227" s="42">
        <f t="shared" si="190"/>
        <v>0</v>
      </c>
      <c r="J1227" s="65" t="e">
        <f t="shared" si="191"/>
        <v>#NUM!</v>
      </c>
      <c r="K1227" s="83" t="e">
        <f t="shared" si="192"/>
        <v>#NUM!</v>
      </c>
      <c r="L1227" s="83">
        <f t="shared" si="193"/>
        <v>0</v>
      </c>
      <c r="M1227" s="110" t="str">
        <f t="shared" si="194"/>
        <v/>
      </c>
      <c r="N1227" s="51" t="str">
        <f t="shared" si="195"/>
        <v/>
      </c>
      <c r="O1227" s="52" t="str">
        <f t="shared" si="196"/>
        <v/>
      </c>
      <c r="P1227" s="88">
        <f t="shared" si="197"/>
        <v>0</v>
      </c>
      <c r="Q1227" s="88">
        <f t="shared" si="198"/>
        <v>0</v>
      </c>
      <c r="R1227" s="88" t="e">
        <f>-IF(Tabla14[[#This Row],[DIAS HABILES O MORA]]&lt;0,(Tabla14[[#This Row],[VALOR PRESTAMO]]*Tabla14[[#This Row],[% INTERES ]]/30*U1227))+Tabla14[[#This Row],[VALOR CUOTAS]]</f>
        <v>#VALUE!</v>
      </c>
      <c r="S1227" s="88">
        <f>-IF(Tabla14[[#This Row],[DIAS HABILES O MORA]]&lt;0,(Tabla14[[#This Row],[VALOR PRESTAMO]]*Tabla14[[#This Row],[% INTERES ]]/30*U1227))</f>
        <v>0</v>
      </c>
      <c r="T1227" s="53" t="e">
        <f>Tabla14[[#This Row],[DEUDA CAPITAL]]+Tabla14[[#This Row],[INTERES  CUOTA]]</f>
        <v>#NUM!</v>
      </c>
      <c r="U1227" s="61" t="str">
        <f t="shared" si="199"/>
        <v/>
      </c>
    </row>
    <row r="1228" spans="9:21" ht="24.75" customHeight="1" x14ac:dyDescent="0.35">
      <c r="I1228" s="42">
        <f t="shared" si="190"/>
        <v>0</v>
      </c>
      <c r="J1228" s="65" t="e">
        <f t="shared" si="191"/>
        <v>#NUM!</v>
      </c>
      <c r="K1228" s="83" t="e">
        <f t="shared" si="192"/>
        <v>#NUM!</v>
      </c>
      <c r="L1228" s="83">
        <f t="shared" si="193"/>
        <v>0</v>
      </c>
      <c r="M1228" s="110" t="str">
        <f t="shared" si="194"/>
        <v/>
      </c>
      <c r="N1228" s="51" t="str">
        <f t="shared" si="195"/>
        <v/>
      </c>
      <c r="O1228" s="52" t="str">
        <f t="shared" si="196"/>
        <v/>
      </c>
      <c r="P1228" s="88">
        <f t="shared" si="197"/>
        <v>0</v>
      </c>
      <c r="Q1228" s="88">
        <f t="shared" si="198"/>
        <v>0</v>
      </c>
      <c r="R1228" s="88" t="e">
        <f>-IF(Tabla14[[#This Row],[DIAS HABILES O MORA]]&lt;0,(Tabla14[[#This Row],[VALOR PRESTAMO]]*Tabla14[[#This Row],[% INTERES ]]/30*U1228))+Tabla14[[#This Row],[VALOR CUOTAS]]</f>
        <v>#VALUE!</v>
      </c>
      <c r="S1228" s="88">
        <f>-IF(Tabla14[[#This Row],[DIAS HABILES O MORA]]&lt;0,(Tabla14[[#This Row],[VALOR PRESTAMO]]*Tabla14[[#This Row],[% INTERES ]]/30*U1228))</f>
        <v>0</v>
      </c>
      <c r="T1228" s="53" t="e">
        <f>Tabla14[[#This Row],[DEUDA CAPITAL]]+Tabla14[[#This Row],[INTERES  CUOTA]]</f>
        <v>#NUM!</v>
      </c>
      <c r="U1228" s="61" t="str">
        <f t="shared" si="199"/>
        <v/>
      </c>
    </row>
    <row r="1229" spans="9:21" ht="24.75" customHeight="1" x14ac:dyDescent="0.35">
      <c r="I1229" s="42">
        <f t="shared" si="190"/>
        <v>0</v>
      </c>
      <c r="J1229" s="65" t="e">
        <f t="shared" si="191"/>
        <v>#NUM!</v>
      </c>
      <c r="K1229" s="83" t="e">
        <f t="shared" si="192"/>
        <v>#NUM!</v>
      </c>
      <c r="L1229" s="83">
        <f t="shared" si="193"/>
        <v>0</v>
      </c>
      <c r="M1229" s="110" t="str">
        <f t="shared" si="194"/>
        <v/>
      </c>
      <c r="N1229" s="51" t="str">
        <f t="shared" si="195"/>
        <v/>
      </c>
      <c r="O1229" s="52" t="str">
        <f t="shared" si="196"/>
        <v/>
      </c>
      <c r="P1229" s="88">
        <f t="shared" si="197"/>
        <v>0</v>
      </c>
      <c r="Q1229" s="88">
        <f t="shared" si="198"/>
        <v>0</v>
      </c>
      <c r="R1229" s="88" t="e">
        <f>-IF(Tabla14[[#This Row],[DIAS HABILES O MORA]]&lt;0,(Tabla14[[#This Row],[VALOR PRESTAMO]]*Tabla14[[#This Row],[% INTERES ]]/30*U1229))+Tabla14[[#This Row],[VALOR CUOTAS]]</f>
        <v>#VALUE!</v>
      </c>
      <c r="S1229" s="88">
        <f>-IF(Tabla14[[#This Row],[DIAS HABILES O MORA]]&lt;0,(Tabla14[[#This Row],[VALOR PRESTAMO]]*Tabla14[[#This Row],[% INTERES ]]/30*U1229))</f>
        <v>0</v>
      </c>
      <c r="T1229" s="53" t="e">
        <f>Tabla14[[#This Row],[DEUDA CAPITAL]]+Tabla14[[#This Row],[INTERES  CUOTA]]</f>
        <v>#NUM!</v>
      </c>
      <c r="U1229" s="61" t="str">
        <f t="shared" si="199"/>
        <v/>
      </c>
    </row>
    <row r="1230" spans="9:21" ht="24.75" customHeight="1" x14ac:dyDescent="0.35">
      <c r="I1230" s="42">
        <f t="shared" si="190"/>
        <v>0</v>
      </c>
      <c r="J1230" s="65" t="e">
        <f t="shared" si="191"/>
        <v>#NUM!</v>
      </c>
      <c r="K1230" s="83" t="e">
        <f t="shared" si="192"/>
        <v>#NUM!</v>
      </c>
      <c r="L1230" s="83">
        <f t="shared" si="193"/>
        <v>0</v>
      </c>
      <c r="M1230" s="110" t="str">
        <f t="shared" si="194"/>
        <v/>
      </c>
      <c r="N1230" s="51" t="str">
        <f t="shared" si="195"/>
        <v/>
      </c>
      <c r="O1230" s="52" t="str">
        <f t="shared" si="196"/>
        <v/>
      </c>
      <c r="P1230" s="88">
        <f t="shared" si="197"/>
        <v>0</v>
      </c>
      <c r="Q1230" s="88">
        <f t="shared" si="198"/>
        <v>0</v>
      </c>
      <c r="R1230" s="88" t="e">
        <f>-IF(Tabla14[[#This Row],[DIAS HABILES O MORA]]&lt;0,(Tabla14[[#This Row],[VALOR PRESTAMO]]*Tabla14[[#This Row],[% INTERES ]]/30*U1230))+Tabla14[[#This Row],[VALOR CUOTAS]]</f>
        <v>#VALUE!</v>
      </c>
      <c r="S1230" s="88">
        <f>-IF(Tabla14[[#This Row],[DIAS HABILES O MORA]]&lt;0,(Tabla14[[#This Row],[VALOR PRESTAMO]]*Tabla14[[#This Row],[% INTERES ]]/30*U1230))</f>
        <v>0</v>
      </c>
      <c r="T1230" s="53" t="e">
        <f>Tabla14[[#This Row],[DEUDA CAPITAL]]+Tabla14[[#This Row],[INTERES  CUOTA]]</f>
        <v>#NUM!</v>
      </c>
      <c r="U1230" s="61" t="str">
        <f t="shared" si="199"/>
        <v/>
      </c>
    </row>
    <row r="1231" spans="9:21" ht="24.75" customHeight="1" x14ac:dyDescent="0.35">
      <c r="I1231" s="42">
        <f t="shared" si="190"/>
        <v>0</v>
      </c>
      <c r="J1231" s="65" t="e">
        <f t="shared" si="191"/>
        <v>#NUM!</v>
      </c>
      <c r="K1231" s="83" t="e">
        <f t="shared" si="192"/>
        <v>#NUM!</v>
      </c>
      <c r="L1231" s="83">
        <f t="shared" si="193"/>
        <v>0</v>
      </c>
      <c r="M1231" s="110" t="str">
        <f t="shared" si="194"/>
        <v/>
      </c>
      <c r="N1231" s="51" t="str">
        <f t="shared" si="195"/>
        <v/>
      </c>
      <c r="O1231" s="52" t="str">
        <f t="shared" si="196"/>
        <v/>
      </c>
      <c r="P1231" s="88">
        <f t="shared" si="197"/>
        <v>0</v>
      </c>
      <c r="Q1231" s="88">
        <f t="shared" si="198"/>
        <v>0</v>
      </c>
      <c r="R1231" s="88" t="e">
        <f>-IF(Tabla14[[#This Row],[DIAS HABILES O MORA]]&lt;0,(Tabla14[[#This Row],[VALOR PRESTAMO]]*Tabla14[[#This Row],[% INTERES ]]/30*U1231))+Tabla14[[#This Row],[VALOR CUOTAS]]</f>
        <v>#VALUE!</v>
      </c>
      <c r="S1231" s="88">
        <f>-IF(Tabla14[[#This Row],[DIAS HABILES O MORA]]&lt;0,(Tabla14[[#This Row],[VALOR PRESTAMO]]*Tabla14[[#This Row],[% INTERES ]]/30*U1231))</f>
        <v>0</v>
      </c>
      <c r="T1231" s="53" t="e">
        <f>Tabla14[[#This Row],[DEUDA CAPITAL]]+Tabla14[[#This Row],[INTERES  CUOTA]]</f>
        <v>#NUM!</v>
      </c>
      <c r="U1231" s="61" t="str">
        <f t="shared" si="199"/>
        <v/>
      </c>
    </row>
    <row r="1232" spans="9:21" ht="24.75" customHeight="1" x14ac:dyDescent="0.35">
      <c r="I1232" s="42">
        <f t="shared" ref="I1232:I1295" si="200">IF(C1232&lt;0,"",IF(Q1232=0,0,IF(G1232=0,H1232+1,IF(H1232&lt;G1232,H1232+1,IF(G1232=H1232,0)))))</f>
        <v>0</v>
      </c>
      <c r="J1232" s="65" t="e">
        <f t="shared" ref="J1232:J1295" si="201">IF(F1232="SOLO INTERES",Q1232*D1232,-IPMT(D1232,I1232,G1232,C1232))</f>
        <v>#NUM!</v>
      </c>
      <c r="K1232" s="83" t="e">
        <f t="shared" ref="K1232:K1295" si="202">IF(F1232="SOLO INTERES",0,-PPMT(D1232,I1232,G1232,C1232))</f>
        <v>#NUM!</v>
      </c>
      <c r="L1232" s="83">
        <f t="shared" ref="L1232:L1295" si="203">IF(F1232="SOLO INTERES",SUM(Y1232:AAE1232),IFERROR(-CUMIPMT(D1232,G1232,C1232,1,H1232,0),0)+SUM(Y1232:WY1232))</f>
        <v>0</v>
      </c>
      <c r="M1232" s="110" t="str">
        <f t="shared" ref="M1232:M1295" si="204">IFERROR(IF(F1232="SOLO INTERES",Q1232*D1232,-PMT(D1232,G1232,C1232,0)),"")</f>
        <v/>
      </c>
      <c r="N1232" s="51" t="str">
        <f t="shared" ref="N1232:N1295" si="205">IF(Q1232=0,"",IF(E1232="MENSUAL",EDATE(B1232,I1232),IF(E1232="QUINCENAL",B1232+(I1232*15),IF(E1232="SEMANAL",B1232+(I1232*7)))))</f>
        <v/>
      </c>
      <c r="O1232" s="52" t="str">
        <f t="shared" ref="O1232:O1295" si="206">IF(C1232=0,"",IF(Q1232&lt;1,"PAGADO",IF(N1232=$A$3,"COBRAR HOY",IF(N1232&lt;$A$3,"EN MORA",IF(N1232&gt;$A$3,"AL DIA")))))</f>
        <v/>
      </c>
      <c r="P1232" s="88">
        <f t="shared" ref="P1232:P1295" si="207">IFERROR(-CUMPRINC(D1232,G1232,C1232,1,H1232,0),0)+W1232</f>
        <v>0</v>
      </c>
      <c r="Q1232" s="88">
        <f t="shared" ref="Q1232:Q1295" si="208">IFERROR(C1232-P1232,"")</f>
        <v>0</v>
      </c>
      <c r="R1232" s="88" t="e">
        <f>-IF(Tabla14[[#This Row],[DIAS HABILES O MORA]]&lt;0,(Tabla14[[#This Row],[VALOR PRESTAMO]]*Tabla14[[#This Row],[% INTERES ]]/30*U1232))+Tabla14[[#This Row],[VALOR CUOTAS]]</f>
        <v>#VALUE!</v>
      </c>
      <c r="S1232" s="88">
        <f>-IF(Tabla14[[#This Row],[DIAS HABILES O MORA]]&lt;0,(Tabla14[[#This Row],[VALOR PRESTAMO]]*Tabla14[[#This Row],[% INTERES ]]/30*U1232))</f>
        <v>0</v>
      </c>
      <c r="T1232" s="53" t="e">
        <f>Tabla14[[#This Row],[DEUDA CAPITAL]]+Tabla14[[#This Row],[INTERES  CUOTA]]</f>
        <v>#NUM!</v>
      </c>
      <c r="U1232" s="61" t="str">
        <f t="shared" ref="U1232:U1295" si="209">IF(O1232="PAGADO","",IFERROR(-IF(C1232=0,"",$A$3-N1232),""))</f>
        <v/>
      </c>
    </row>
    <row r="1233" spans="9:21" ht="24.75" customHeight="1" x14ac:dyDescent="0.35">
      <c r="I1233" s="42">
        <f t="shared" si="200"/>
        <v>0</v>
      </c>
      <c r="J1233" s="65" t="e">
        <f t="shared" si="201"/>
        <v>#NUM!</v>
      </c>
      <c r="K1233" s="83" t="e">
        <f t="shared" si="202"/>
        <v>#NUM!</v>
      </c>
      <c r="L1233" s="83">
        <f t="shared" si="203"/>
        <v>0</v>
      </c>
      <c r="M1233" s="110" t="str">
        <f t="shared" si="204"/>
        <v/>
      </c>
      <c r="N1233" s="51" t="str">
        <f t="shared" si="205"/>
        <v/>
      </c>
      <c r="O1233" s="52" t="str">
        <f t="shared" si="206"/>
        <v/>
      </c>
      <c r="P1233" s="88">
        <f t="shared" si="207"/>
        <v>0</v>
      </c>
      <c r="Q1233" s="88">
        <f t="shared" si="208"/>
        <v>0</v>
      </c>
      <c r="R1233" s="88" t="e">
        <f>-IF(Tabla14[[#This Row],[DIAS HABILES O MORA]]&lt;0,(Tabla14[[#This Row],[VALOR PRESTAMO]]*Tabla14[[#This Row],[% INTERES ]]/30*U1233))+Tabla14[[#This Row],[VALOR CUOTAS]]</f>
        <v>#VALUE!</v>
      </c>
      <c r="S1233" s="88">
        <f>-IF(Tabla14[[#This Row],[DIAS HABILES O MORA]]&lt;0,(Tabla14[[#This Row],[VALOR PRESTAMO]]*Tabla14[[#This Row],[% INTERES ]]/30*U1233))</f>
        <v>0</v>
      </c>
      <c r="T1233" s="53" t="e">
        <f>Tabla14[[#This Row],[DEUDA CAPITAL]]+Tabla14[[#This Row],[INTERES  CUOTA]]</f>
        <v>#NUM!</v>
      </c>
      <c r="U1233" s="61" t="str">
        <f t="shared" si="209"/>
        <v/>
      </c>
    </row>
    <row r="1234" spans="9:21" ht="24.75" customHeight="1" x14ac:dyDescent="0.35">
      <c r="I1234" s="42">
        <f t="shared" si="200"/>
        <v>0</v>
      </c>
      <c r="J1234" s="65" t="e">
        <f t="shared" si="201"/>
        <v>#NUM!</v>
      </c>
      <c r="K1234" s="83" t="e">
        <f t="shared" si="202"/>
        <v>#NUM!</v>
      </c>
      <c r="L1234" s="83">
        <f t="shared" si="203"/>
        <v>0</v>
      </c>
      <c r="M1234" s="110" t="str">
        <f t="shared" si="204"/>
        <v/>
      </c>
      <c r="N1234" s="51" t="str">
        <f t="shared" si="205"/>
        <v/>
      </c>
      <c r="O1234" s="52" t="str">
        <f t="shared" si="206"/>
        <v/>
      </c>
      <c r="P1234" s="88">
        <f t="shared" si="207"/>
        <v>0</v>
      </c>
      <c r="Q1234" s="88">
        <f t="shared" si="208"/>
        <v>0</v>
      </c>
      <c r="R1234" s="88" t="e">
        <f>-IF(Tabla14[[#This Row],[DIAS HABILES O MORA]]&lt;0,(Tabla14[[#This Row],[VALOR PRESTAMO]]*Tabla14[[#This Row],[% INTERES ]]/30*U1234))+Tabla14[[#This Row],[VALOR CUOTAS]]</f>
        <v>#VALUE!</v>
      </c>
      <c r="S1234" s="88">
        <f>-IF(Tabla14[[#This Row],[DIAS HABILES O MORA]]&lt;0,(Tabla14[[#This Row],[VALOR PRESTAMO]]*Tabla14[[#This Row],[% INTERES ]]/30*U1234))</f>
        <v>0</v>
      </c>
      <c r="T1234" s="53" t="e">
        <f>Tabla14[[#This Row],[DEUDA CAPITAL]]+Tabla14[[#This Row],[INTERES  CUOTA]]</f>
        <v>#NUM!</v>
      </c>
      <c r="U1234" s="61" t="str">
        <f t="shared" si="209"/>
        <v/>
      </c>
    </row>
    <row r="1235" spans="9:21" ht="24.75" customHeight="1" x14ac:dyDescent="0.35">
      <c r="I1235" s="42">
        <f t="shared" si="200"/>
        <v>0</v>
      </c>
      <c r="J1235" s="65" t="e">
        <f t="shared" si="201"/>
        <v>#NUM!</v>
      </c>
      <c r="K1235" s="83" t="e">
        <f t="shared" si="202"/>
        <v>#NUM!</v>
      </c>
      <c r="L1235" s="83">
        <f t="shared" si="203"/>
        <v>0</v>
      </c>
      <c r="M1235" s="110" t="str">
        <f t="shared" si="204"/>
        <v/>
      </c>
      <c r="N1235" s="51" t="str">
        <f t="shared" si="205"/>
        <v/>
      </c>
      <c r="O1235" s="52" t="str">
        <f t="shared" si="206"/>
        <v/>
      </c>
      <c r="P1235" s="88">
        <f t="shared" si="207"/>
        <v>0</v>
      </c>
      <c r="Q1235" s="88">
        <f t="shared" si="208"/>
        <v>0</v>
      </c>
      <c r="R1235" s="88" t="e">
        <f>-IF(Tabla14[[#This Row],[DIAS HABILES O MORA]]&lt;0,(Tabla14[[#This Row],[VALOR PRESTAMO]]*Tabla14[[#This Row],[% INTERES ]]/30*U1235))+Tabla14[[#This Row],[VALOR CUOTAS]]</f>
        <v>#VALUE!</v>
      </c>
      <c r="S1235" s="88">
        <f>-IF(Tabla14[[#This Row],[DIAS HABILES O MORA]]&lt;0,(Tabla14[[#This Row],[VALOR PRESTAMO]]*Tabla14[[#This Row],[% INTERES ]]/30*U1235))</f>
        <v>0</v>
      </c>
      <c r="T1235" s="53" t="e">
        <f>Tabla14[[#This Row],[DEUDA CAPITAL]]+Tabla14[[#This Row],[INTERES  CUOTA]]</f>
        <v>#NUM!</v>
      </c>
      <c r="U1235" s="61" t="str">
        <f t="shared" si="209"/>
        <v/>
      </c>
    </row>
    <row r="1236" spans="9:21" ht="24.75" customHeight="1" x14ac:dyDescent="0.35">
      <c r="I1236" s="42">
        <f t="shared" si="200"/>
        <v>0</v>
      </c>
      <c r="J1236" s="65" t="e">
        <f t="shared" si="201"/>
        <v>#NUM!</v>
      </c>
      <c r="K1236" s="83" t="e">
        <f t="shared" si="202"/>
        <v>#NUM!</v>
      </c>
      <c r="L1236" s="83">
        <f t="shared" si="203"/>
        <v>0</v>
      </c>
      <c r="M1236" s="110" t="str">
        <f t="shared" si="204"/>
        <v/>
      </c>
      <c r="N1236" s="51" t="str">
        <f t="shared" si="205"/>
        <v/>
      </c>
      <c r="O1236" s="52" t="str">
        <f t="shared" si="206"/>
        <v/>
      </c>
      <c r="P1236" s="88">
        <f t="shared" si="207"/>
        <v>0</v>
      </c>
      <c r="Q1236" s="88">
        <f t="shared" si="208"/>
        <v>0</v>
      </c>
      <c r="R1236" s="88" t="e">
        <f>-IF(Tabla14[[#This Row],[DIAS HABILES O MORA]]&lt;0,(Tabla14[[#This Row],[VALOR PRESTAMO]]*Tabla14[[#This Row],[% INTERES ]]/30*U1236))+Tabla14[[#This Row],[VALOR CUOTAS]]</f>
        <v>#VALUE!</v>
      </c>
      <c r="S1236" s="88">
        <f>-IF(Tabla14[[#This Row],[DIAS HABILES O MORA]]&lt;0,(Tabla14[[#This Row],[VALOR PRESTAMO]]*Tabla14[[#This Row],[% INTERES ]]/30*U1236))</f>
        <v>0</v>
      </c>
      <c r="T1236" s="53" t="e">
        <f>Tabla14[[#This Row],[DEUDA CAPITAL]]+Tabla14[[#This Row],[INTERES  CUOTA]]</f>
        <v>#NUM!</v>
      </c>
      <c r="U1236" s="61" t="str">
        <f t="shared" si="209"/>
        <v/>
      </c>
    </row>
    <row r="1237" spans="9:21" ht="24.75" customHeight="1" x14ac:dyDescent="0.35">
      <c r="I1237" s="42">
        <f t="shared" si="200"/>
        <v>0</v>
      </c>
      <c r="J1237" s="65" t="e">
        <f t="shared" si="201"/>
        <v>#NUM!</v>
      </c>
      <c r="K1237" s="83" t="e">
        <f t="shared" si="202"/>
        <v>#NUM!</v>
      </c>
      <c r="L1237" s="83">
        <f t="shared" si="203"/>
        <v>0</v>
      </c>
      <c r="M1237" s="110" t="str">
        <f t="shared" si="204"/>
        <v/>
      </c>
      <c r="N1237" s="51" t="str">
        <f t="shared" si="205"/>
        <v/>
      </c>
      <c r="O1237" s="52" t="str">
        <f t="shared" si="206"/>
        <v/>
      </c>
      <c r="P1237" s="88">
        <f t="shared" si="207"/>
        <v>0</v>
      </c>
      <c r="Q1237" s="88">
        <f t="shared" si="208"/>
        <v>0</v>
      </c>
      <c r="R1237" s="88" t="e">
        <f>-IF(Tabla14[[#This Row],[DIAS HABILES O MORA]]&lt;0,(Tabla14[[#This Row],[VALOR PRESTAMO]]*Tabla14[[#This Row],[% INTERES ]]/30*U1237))+Tabla14[[#This Row],[VALOR CUOTAS]]</f>
        <v>#VALUE!</v>
      </c>
      <c r="S1237" s="88">
        <f>-IF(Tabla14[[#This Row],[DIAS HABILES O MORA]]&lt;0,(Tabla14[[#This Row],[VALOR PRESTAMO]]*Tabla14[[#This Row],[% INTERES ]]/30*U1237))</f>
        <v>0</v>
      </c>
      <c r="T1237" s="53" t="e">
        <f>Tabla14[[#This Row],[DEUDA CAPITAL]]+Tabla14[[#This Row],[INTERES  CUOTA]]</f>
        <v>#NUM!</v>
      </c>
      <c r="U1237" s="61" t="str">
        <f t="shared" si="209"/>
        <v/>
      </c>
    </row>
    <row r="1238" spans="9:21" ht="24.75" customHeight="1" x14ac:dyDescent="0.35">
      <c r="I1238" s="42">
        <f t="shared" si="200"/>
        <v>0</v>
      </c>
      <c r="J1238" s="65" t="e">
        <f t="shared" si="201"/>
        <v>#NUM!</v>
      </c>
      <c r="K1238" s="83" t="e">
        <f t="shared" si="202"/>
        <v>#NUM!</v>
      </c>
      <c r="L1238" s="83">
        <f t="shared" si="203"/>
        <v>0</v>
      </c>
      <c r="M1238" s="110" t="str">
        <f t="shared" si="204"/>
        <v/>
      </c>
      <c r="N1238" s="51" t="str">
        <f t="shared" si="205"/>
        <v/>
      </c>
      <c r="O1238" s="52" t="str">
        <f t="shared" si="206"/>
        <v/>
      </c>
      <c r="P1238" s="88">
        <f t="shared" si="207"/>
        <v>0</v>
      </c>
      <c r="Q1238" s="88">
        <f t="shared" si="208"/>
        <v>0</v>
      </c>
      <c r="R1238" s="88" t="e">
        <f>-IF(Tabla14[[#This Row],[DIAS HABILES O MORA]]&lt;0,(Tabla14[[#This Row],[VALOR PRESTAMO]]*Tabla14[[#This Row],[% INTERES ]]/30*U1238))+Tabla14[[#This Row],[VALOR CUOTAS]]</f>
        <v>#VALUE!</v>
      </c>
      <c r="S1238" s="88">
        <f>-IF(Tabla14[[#This Row],[DIAS HABILES O MORA]]&lt;0,(Tabla14[[#This Row],[VALOR PRESTAMO]]*Tabla14[[#This Row],[% INTERES ]]/30*U1238))</f>
        <v>0</v>
      </c>
      <c r="T1238" s="53" t="e">
        <f>Tabla14[[#This Row],[DEUDA CAPITAL]]+Tabla14[[#This Row],[INTERES  CUOTA]]</f>
        <v>#NUM!</v>
      </c>
      <c r="U1238" s="61" t="str">
        <f t="shared" si="209"/>
        <v/>
      </c>
    </row>
    <row r="1239" spans="9:21" ht="24.75" customHeight="1" x14ac:dyDescent="0.35">
      <c r="I1239" s="42">
        <f t="shared" si="200"/>
        <v>0</v>
      </c>
      <c r="J1239" s="65" t="e">
        <f t="shared" si="201"/>
        <v>#NUM!</v>
      </c>
      <c r="K1239" s="83" t="e">
        <f t="shared" si="202"/>
        <v>#NUM!</v>
      </c>
      <c r="L1239" s="83">
        <f t="shared" si="203"/>
        <v>0</v>
      </c>
      <c r="M1239" s="110" t="str">
        <f t="shared" si="204"/>
        <v/>
      </c>
      <c r="N1239" s="51" t="str">
        <f t="shared" si="205"/>
        <v/>
      </c>
      <c r="O1239" s="52" t="str">
        <f t="shared" si="206"/>
        <v/>
      </c>
      <c r="P1239" s="88">
        <f t="shared" si="207"/>
        <v>0</v>
      </c>
      <c r="Q1239" s="88">
        <f t="shared" si="208"/>
        <v>0</v>
      </c>
      <c r="R1239" s="88" t="e">
        <f>-IF(Tabla14[[#This Row],[DIAS HABILES O MORA]]&lt;0,(Tabla14[[#This Row],[VALOR PRESTAMO]]*Tabla14[[#This Row],[% INTERES ]]/30*U1239))+Tabla14[[#This Row],[VALOR CUOTAS]]</f>
        <v>#VALUE!</v>
      </c>
      <c r="S1239" s="88">
        <f>-IF(Tabla14[[#This Row],[DIAS HABILES O MORA]]&lt;0,(Tabla14[[#This Row],[VALOR PRESTAMO]]*Tabla14[[#This Row],[% INTERES ]]/30*U1239))</f>
        <v>0</v>
      </c>
      <c r="T1239" s="53" t="e">
        <f>Tabla14[[#This Row],[DEUDA CAPITAL]]+Tabla14[[#This Row],[INTERES  CUOTA]]</f>
        <v>#NUM!</v>
      </c>
      <c r="U1239" s="61" t="str">
        <f t="shared" si="209"/>
        <v/>
      </c>
    </row>
    <row r="1240" spans="9:21" ht="24.75" customHeight="1" x14ac:dyDescent="0.35">
      <c r="I1240" s="42">
        <f t="shared" si="200"/>
        <v>0</v>
      </c>
      <c r="J1240" s="65" t="e">
        <f t="shared" si="201"/>
        <v>#NUM!</v>
      </c>
      <c r="K1240" s="83" t="e">
        <f t="shared" si="202"/>
        <v>#NUM!</v>
      </c>
      <c r="L1240" s="83">
        <f t="shared" si="203"/>
        <v>0</v>
      </c>
      <c r="M1240" s="110" t="str">
        <f t="shared" si="204"/>
        <v/>
      </c>
      <c r="N1240" s="51" t="str">
        <f t="shared" si="205"/>
        <v/>
      </c>
      <c r="O1240" s="52" t="str">
        <f t="shared" si="206"/>
        <v/>
      </c>
      <c r="P1240" s="88">
        <f t="shared" si="207"/>
        <v>0</v>
      </c>
      <c r="Q1240" s="88">
        <f t="shared" si="208"/>
        <v>0</v>
      </c>
      <c r="R1240" s="88" t="e">
        <f>-IF(Tabla14[[#This Row],[DIAS HABILES O MORA]]&lt;0,(Tabla14[[#This Row],[VALOR PRESTAMO]]*Tabla14[[#This Row],[% INTERES ]]/30*U1240))+Tabla14[[#This Row],[VALOR CUOTAS]]</f>
        <v>#VALUE!</v>
      </c>
      <c r="S1240" s="88">
        <f>-IF(Tabla14[[#This Row],[DIAS HABILES O MORA]]&lt;0,(Tabla14[[#This Row],[VALOR PRESTAMO]]*Tabla14[[#This Row],[% INTERES ]]/30*U1240))</f>
        <v>0</v>
      </c>
      <c r="T1240" s="53" t="e">
        <f>Tabla14[[#This Row],[DEUDA CAPITAL]]+Tabla14[[#This Row],[INTERES  CUOTA]]</f>
        <v>#NUM!</v>
      </c>
      <c r="U1240" s="61" t="str">
        <f t="shared" si="209"/>
        <v/>
      </c>
    </row>
    <row r="1241" spans="9:21" ht="24.75" customHeight="1" x14ac:dyDescent="0.35">
      <c r="I1241" s="42">
        <f t="shared" si="200"/>
        <v>0</v>
      </c>
      <c r="J1241" s="65" t="e">
        <f t="shared" si="201"/>
        <v>#NUM!</v>
      </c>
      <c r="K1241" s="83" t="e">
        <f t="shared" si="202"/>
        <v>#NUM!</v>
      </c>
      <c r="L1241" s="83">
        <f t="shared" si="203"/>
        <v>0</v>
      </c>
      <c r="M1241" s="110" t="str">
        <f t="shared" si="204"/>
        <v/>
      </c>
      <c r="N1241" s="51" t="str">
        <f t="shared" si="205"/>
        <v/>
      </c>
      <c r="O1241" s="52" t="str">
        <f t="shared" si="206"/>
        <v/>
      </c>
      <c r="P1241" s="88">
        <f t="shared" si="207"/>
        <v>0</v>
      </c>
      <c r="Q1241" s="88">
        <f t="shared" si="208"/>
        <v>0</v>
      </c>
      <c r="R1241" s="88" t="e">
        <f>-IF(Tabla14[[#This Row],[DIAS HABILES O MORA]]&lt;0,(Tabla14[[#This Row],[VALOR PRESTAMO]]*Tabla14[[#This Row],[% INTERES ]]/30*U1241))+Tabla14[[#This Row],[VALOR CUOTAS]]</f>
        <v>#VALUE!</v>
      </c>
      <c r="S1241" s="88">
        <f>-IF(Tabla14[[#This Row],[DIAS HABILES O MORA]]&lt;0,(Tabla14[[#This Row],[VALOR PRESTAMO]]*Tabla14[[#This Row],[% INTERES ]]/30*U1241))</f>
        <v>0</v>
      </c>
      <c r="T1241" s="53" t="e">
        <f>Tabla14[[#This Row],[DEUDA CAPITAL]]+Tabla14[[#This Row],[INTERES  CUOTA]]</f>
        <v>#NUM!</v>
      </c>
      <c r="U1241" s="61" t="str">
        <f t="shared" si="209"/>
        <v/>
      </c>
    </row>
    <row r="1242" spans="9:21" ht="24.75" customHeight="1" x14ac:dyDescent="0.35">
      <c r="I1242" s="42">
        <f t="shared" si="200"/>
        <v>0</v>
      </c>
      <c r="J1242" s="65" t="e">
        <f t="shared" si="201"/>
        <v>#NUM!</v>
      </c>
      <c r="K1242" s="83" t="e">
        <f t="shared" si="202"/>
        <v>#NUM!</v>
      </c>
      <c r="L1242" s="83">
        <f t="shared" si="203"/>
        <v>0</v>
      </c>
      <c r="M1242" s="110" t="str">
        <f t="shared" si="204"/>
        <v/>
      </c>
      <c r="N1242" s="51" t="str">
        <f t="shared" si="205"/>
        <v/>
      </c>
      <c r="O1242" s="52" t="str">
        <f t="shared" si="206"/>
        <v/>
      </c>
      <c r="P1242" s="88">
        <f t="shared" si="207"/>
        <v>0</v>
      </c>
      <c r="Q1242" s="88">
        <f t="shared" si="208"/>
        <v>0</v>
      </c>
      <c r="R1242" s="88" t="e">
        <f>-IF(Tabla14[[#This Row],[DIAS HABILES O MORA]]&lt;0,(Tabla14[[#This Row],[VALOR PRESTAMO]]*Tabla14[[#This Row],[% INTERES ]]/30*U1242))+Tabla14[[#This Row],[VALOR CUOTAS]]</f>
        <v>#VALUE!</v>
      </c>
      <c r="S1242" s="88">
        <f>-IF(Tabla14[[#This Row],[DIAS HABILES O MORA]]&lt;0,(Tabla14[[#This Row],[VALOR PRESTAMO]]*Tabla14[[#This Row],[% INTERES ]]/30*U1242))</f>
        <v>0</v>
      </c>
      <c r="T1242" s="53" t="e">
        <f>Tabla14[[#This Row],[DEUDA CAPITAL]]+Tabla14[[#This Row],[INTERES  CUOTA]]</f>
        <v>#NUM!</v>
      </c>
      <c r="U1242" s="61" t="str">
        <f t="shared" si="209"/>
        <v/>
      </c>
    </row>
    <row r="1243" spans="9:21" ht="24.75" customHeight="1" x14ac:dyDescent="0.35">
      <c r="I1243" s="42">
        <f t="shared" si="200"/>
        <v>0</v>
      </c>
      <c r="J1243" s="65" t="e">
        <f t="shared" si="201"/>
        <v>#NUM!</v>
      </c>
      <c r="K1243" s="83" t="e">
        <f t="shared" si="202"/>
        <v>#NUM!</v>
      </c>
      <c r="L1243" s="83">
        <f t="shared" si="203"/>
        <v>0</v>
      </c>
      <c r="M1243" s="110" t="str">
        <f t="shared" si="204"/>
        <v/>
      </c>
      <c r="N1243" s="51" t="str">
        <f t="shared" si="205"/>
        <v/>
      </c>
      <c r="O1243" s="52" t="str">
        <f t="shared" si="206"/>
        <v/>
      </c>
      <c r="P1243" s="88">
        <f t="shared" si="207"/>
        <v>0</v>
      </c>
      <c r="Q1243" s="88">
        <f t="shared" si="208"/>
        <v>0</v>
      </c>
      <c r="R1243" s="88" t="e">
        <f>-IF(Tabla14[[#This Row],[DIAS HABILES O MORA]]&lt;0,(Tabla14[[#This Row],[VALOR PRESTAMO]]*Tabla14[[#This Row],[% INTERES ]]/30*U1243))+Tabla14[[#This Row],[VALOR CUOTAS]]</f>
        <v>#VALUE!</v>
      </c>
      <c r="S1243" s="88">
        <f>-IF(Tabla14[[#This Row],[DIAS HABILES O MORA]]&lt;0,(Tabla14[[#This Row],[VALOR PRESTAMO]]*Tabla14[[#This Row],[% INTERES ]]/30*U1243))</f>
        <v>0</v>
      </c>
      <c r="T1243" s="53" t="e">
        <f>Tabla14[[#This Row],[DEUDA CAPITAL]]+Tabla14[[#This Row],[INTERES  CUOTA]]</f>
        <v>#NUM!</v>
      </c>
      <c r="U1243" s="61" t="str">
        <f t="shared" si="209"/>
        <v/>
      </c>
    </row>
    <row r="1244" spans="9:21" ht="24.75" customHeight="1" x14ac:dyDescent="0.35">
      <c r="I1244" s="42">
        <f t="shared" si="200"/>
        <v>0</v>
      </c>
      <c r="J1244" s="65" t="e">
        <f t="shared" si="201"/>
        <v>#NUM!</v>
      </c>
      <c r="K1244" s="83" t="e">
        <f t="shared" si="202"/>
        <v>#NUM!</v>
      </c>
      <c r="L1244" s="83">
        <f t="shared" si="203"/>
        <v>0</v>
      </c>
      <c r="M1244" s="110" t="str">
        <f t="shared" si="204"/>
        <v/>
      </c>
      <c r="N1244" s="51" t="str">
        <f t="shared" si="205"/>
        <v/>
      </c>
      <c r="O1244" s="52" t="str">
        <f t="shared" si="206"/>
        <v/>
      </c>
      <c r="P1244" s="88">
        <f t="shared" si="207"/>
        <v>0</v>
      </c>
      <c r="Q1244" s="88">
        <f t="shared" si="208"/>
        <v>0</v>
      </c>
      <c r="R1244" s="88" t="e">
        <f>-IF(Tabla14[[#This Row],[DIAS HABILES O MORA]]&lt;0,(Tabla14[[#This Row],[VALOR PRESTAMO]]*Tabla14[[#This Row],[% INTERES ]]/30*U1244))+Tabla14[[#This Row],[VALOR CUOTAS]]</f>
        <v>#VALUE!</v>
      </c>
      <c r="S1244" s="88">
        <f>-IF(Tabla14[[#This Row],[DIAS HABILES O MORA]]&lt;0,(Tabla14[[#This Row],[VALOR PRESTAMO]]*Tabla14[[#This Row],[% INTERES ]]/30*U1244))</f>
        <v>0</v>
      </c>
      <c r="T1244" s="53" t="e">
        <f>Tabla14[[#This Row],[DEUDA CAPITAL]]+Tabla14[[#This Row],[INTERES  CUOTA]]</f>
        <v>#NUM!</v>
      </c>
      <c r="U1244" s="61" t="str">
        <f t="shared" si="209"/>
        <v/>
      </c>
    </row>
    <row r="1245" spans="9:21" ht="24.75" customHeight="1" x14ac:dyDescent="0.35">
      <c r="I1245" s="42">
        <f t="shared" si="200"/>
        <v>0</v>
      </c>
      <c r="J1245" s="65" t="e">
        <f t="shared" si="201"/>
        <v>#NUM!</v>
      </c>
      <c r="K1245" s="83" t="e">
        <f t="shared" si="202"/>
        <v>#NUM!</v>
      </c>
      <c r="L1245" s="83">
        <f t="shared" si="203"/>
        <v>0</v>
      </c>
      <c r="M1245" s="110" t="str">
        <f t="shared" si="204"/>
        <v/>
      </c>
      <c r="N1245" s="51" t="str">
        <f t="shared" si="205"/>
        <v/>
      </c>
      <c r="O1245" s="52" t="str">
        <f t="shared" si="206"/>
        <v/>
      </c>
      <c r="P1245" s="88">
        <f t="shared" si="207"/>
        <v>0</v>
      </c>
      <c r="Q1245" s="88">
        <f t="shared" si="208"/>
        <v>0</v>
      </c>
      <c r="R1245" s="88" t="e">
        <f>-IF(Tabla14[[#This Row],[DIAS HABILES O MORA]]&lt;0,(Tabla14[[#This Row],[VALOR PRESTAMO]]*Tabla14[[#This Row],[% INTERES ]]/30*U1245))+Tabla14[[#This Row],[VALOR CUOTAS]]</f>
        <v>#VALUE!</v>
      </c>
      <c r="S1245" s="88">
        <f>-IF(Tabla14[[#This Row],[DIAS HABILES O MORA]]&lt;0,(Tabla14[[#This Row],[VALOR PRESTAMO]]*Tabla14[[#This Row],[% INTERES ]]/30*U1245))</f>
        <v>0</v>
      </c>
      <c r="T1245" s="53" t="e">
        <f>Tabla14[[#This Row],[DEUDA CAPITAL]]+Tabla14[[#This Row],[INTERES  CUOTA]]</f>
        <v>#NUM!</v>
      </c>
      <c r="U1245" s="61" t="str">
        <f t="shared" si="209"/>
        <v/>
      </c>
    </row>
    <row r="1246" spans="9:21" ht="24.75" customHeight="1" x14ac:dyDescent="0.35">
      <c r="I1246" s="42">
        <f t="shared" si="200"/>
        <v>0</v>
      </c>
      <c r="J1246" s="65" t="e">
        <f t="shared" si="201"/>
        <v>#NUM!</v>
      </c>
      <c r="K1246" s="83" t="e">
        <f t="shared" si="202"/>
        <v>#NUM!</v>
      </c>
      <c r="L1246" s="83">
        <f t="shared" si="203"/>
        <v>0</v>
      </c>
      <c r="M1246" s="110" t="str">
        <f t="shared" si="204"/>
        <v/>
      </c>
      <c r="N1246" s="51" t="str">
        <f t="shared" si="205"/>
        <v/>
      </c>
      <c r="O1246" s="52" t="str">
        <f t="shared" si="206"/>
        <v/>
      </c>
      <c r="P1246" s="88">
        <f t="shared" si="207"/>
        <v>0</v>
      </c>
      <c r="Q1246" s="88">
        <f t="shared" si="208"/>
        <v>0</v>
      </c>
      <c r="R1246" s="88" t="e">
        <f>-IF(Tabla14[[#This Row],[DIAS HABILES O MORA]]&lt;0,(Tabla14[[#This Row],[VALOR PRESTAMO]]*Tabla14[[#This Row],[% INTERES ]]/30*U1246))+Tabla14[[#This Row],[VALOR CUOTAS]]</f>
        <v>#VALUE!</v>
      </c>
      <c r="S1246" s="88">
        <f>-IF(Tabla14[[#This Row],[DIAS HABILES O MORA]]&lt;0,(Tabla14[[#This Row],[VALOR PRESTAMO]]*Tabla14[[#This Row],[% INTERES ]]/30*U1246))</f>
        <v>0</v>
      </c>
      <c r="T1246" s="53" t="e">
        <f>Tabla14[[#This Row],[DEUDA CAPITAL]]+Tabla14[[#This Row],[INTERES  CUOTA]]</f>
        <v>#NUM!</v>
      </c>
      <c r="U1246" s="61" t="str">
        <f t="shared" si="209"/>
        <v/>
      </c>
    </row>
    <row r="1247" spans="9:21" ht="24.75" customHeight="1" x14ac:dyDescent="0.35">
      <c r="I1247" s="42">
        <f t="shared" si="200"/>
        <v>0</v>
      </c>
      <c r="J1247" s="65" t="e">
        <f t="shared" si="201"/>
        <v>#NUM!</v>
      </c>
      <c r="K1247" s="83" t="e">
        <f t="shared" si="202"/>
        <v>#NUM!</v>
      </c>
      <c r="L1247" s="83">
        <f t="shared" si="203"/>
        <v>0</v>
      </c>
      <c r="M1247" s="110" t="str">
        <f t="shared" si="204"/>
        <v/>
      </c>
      <c r="N1247" s="51" t="str">
        <f t="shared" si="205"/>
        <v/>
      </c>
      <c r="O1247" s="52" t="str">
        <f t="shared" si="206"/>
        <v/>
      </c>
      <c r="P1247" s="88">
        <f t="shared" si="207"/>
        <v>0</v>
      </c>
      <c r="Q1247" s="88">
        <f t="shared" si="208"/>
        <v>0</v>
      </c>
      <c r="R1247" s="88" t="e">
        <f>-IF(Tabla14[[#This Row],[DIAS HABILES O MORA]]&lt;0,(Tabla14[[#This Row],[VALOR PRESTAMO]]*Tabla14[[#This Row],[% INTERES ]]/30*U1247))+Tabla14[[#This Row],[VALOR CUOTAS]]</f>
        <v>#VALUE!</v>
      </c>
      <c r="S1247" s="88">
        <f>-IF(Tabla14[[#This Row],[DIAS HABILES O MORA]]&lt;0,(Tabla14[[#This Row],[VALOR PRESTAMO]]*Tabla14[[#This Row],[% INTERES ]]/30*U1247))</f>
        <v>0</v>
      </c>
      <c r="T1247" s="53" t="e">
        <f>Tabla14[[#This Row],[DEUDA CAPITAL]]+Tabla14[[#This Row],[INTERES  CUOTA]]</f>
        <v>#NUM!</v>
      </c>
      <c r="U1247" s="61" t="str">
        <f t="shared" si="209"/>
        <v/>
      </c>
    </row>
    <row r="1248" spans="9:21" ht="24.75" customHeight="1" x14ac:dyDescent="0.35">
      <c r="I1248" s="42">
        <f t="shared" si="200"/>
        <v>0</v>
      </c>
      <c r="J1248" s="65" t="e">
        <f t="shared" si="201"/>
        <v>#NUM!</v>
      </c>
      <c r="K1248" s="83" t="e">
        <f t="shared" si="202"/>
        <v>#NUM!</v>
      </c>
      <c r="L1248" s="83">
        <f t="shared" si="203"/>
        <v>0</v>
      </c>
      <c r="M1248" s="110" t="str">
        <f t="shared" si="204"/>
        <v/>
      </c>
      <c r="N1248" s="51" t="str">
        <f t="shared" si="205"/>
        <v/>
      </c>
      <c r="O1248" s="52" t="str">
        <f t="shared" si="206"/>
        <v/>
      </c>
      <c r="P1248" s="88">
        <f t="shared" si="207"/>
        <v>0</v>
      </c>
      <c r="Q1248" s="88">
        <f t="shared" si="208"/>
        <v>0</v>
      </c>
      <c r="R1248" s="88" t="e">
        <f>-IF(Tabla14[[#This Row],[DIAS HABILES O MORA]]&lt;0,(Tabla14[[#This Row],[VALOR PRESTAMO]]*Tabla14[[#This Row],[% INTERES ]]/30*U1248))+Tabla14[[#This Row],[VALOR CUOTAS]]</f>
        <v>#VALUE!</v>
      </c>
      <c r="S1248" s="88">
        <f>-IF(Tabla14[[#This Row],[DIAS HABILES O MORA]]&lt;0,(Tabla14[[#This Row],[VALOR PRESTAMO]]*Tabla14[[#This Row],[% INTERES ]]/30*U1248))</f>
        <v>0</v>
      </c>
      <c r="T1248" s="53" t="e">
        <f>Tabla14[[#This Row],[DEUDA CAPITAL]]+Tabla14[[#This Row],[INTERES  CUOTA]]</f>
        <v>#NUM!</v>
      </c>
      <c r="U1248" s="61" t="str">
        <f t="shared" si="209"/>
        <v/>
      </c>
    </row>
    <row r="1249" spans="9:21" ht="24.75" customHeight="1" x14ac:dyDescent="0.35">
      <c r="I1249" s="42">
        <f t="shared" si="200"/>
        <v>0</v>
      </c>
      <c r="J1249" s="65" t="e">
        <f t="shared" si="201"/>
        <v>#NUM!</v>
      </c>
      <c r="K1249" s="83" t="e">
        <f t="shared" si="202"/>
        <v>#NUM!</v>
      </c>
      <c r="L1249" s="83">
        <f t="shared" si="203"/>
        <v>0</v>
      </c>
      <c r="M1249" s="110" t="str">
        <f t="shared" si="204"/>
        <v/>
      </c>
      <c r="N1249" s="51" t="str">
        <f t="shared" si="205"/>
        <v/>
      </c>
      <c r="O1249" s="52" t="str">
        <f t="shared" si="206"/>
        <v/>
      </c>
      <c r="P1249" s="88">
        <f t="shared" si="207"/>
        <v>0</v>
      </c>
      <c r="Q1249" s="88">
        <f t="shared" si="208"/>
        <v>0</v>
      </c>
      <c r="R1249" s="88" t="e">
        <f>-IF(Tabla14[[#This Row],[DIAS HABILES O MORA]]&lt;0,(Tabla14[[#This Row],[VALOR PRESTAMO]]*Tabla14[[#This Row],[% INTERES ]]/30*U1249))+Tabla14[[#This Row],[VALOR CUOTAS]]</f>
        <v>#VALUE!</v>
      </c>
      <c r="S1249" s="88">
        <f>-IF(Tabla14[[#This Row],[DIAS HABILES O MORA]]&lt;0,(Tabla14[[#This Row],[VALOR PRESTAMO]]*Tabla14[[#This Row],[% INTERES ]]/30*U1249))</f>
        <v>0</v>
      </c>
      <c r="T1249" s="53" t="e">
        <f>Tabla14[[#This Row],[DEUDA CAPITAL]]+Tabla14[[#This Row],[INTERES  CUOTA]]</f>
        <v>#NUM!</v>
      </c>
      <c r="U1249" s="61" t="str">
        <f t="shared" si="209"/>
        <v/>
      </c>
    </row>
    <row r="1250" spans="9:21" ht="24.75" customHeight="1" x14ac:dyDescent="0.35">
      <c r="I1250" s="42">
        <f t="shared" si="200"/>
        <v>0</v>
      </c>
      <c r="J1250" s="65" t="e">
        <f t="shared" si="201"/>
        <v>#NUM!</v>
      </c>
      <c r="K1250" s="83" t="e">
        <f t="shared" si="202"/>
        <v>#NUM!</v>
      </c>
      <c r="L1250" s="83">
        <f t="shared" si="203"/>
        <v>0</v>
      </c>
      <c r="M1250" s="110" t="str">
        <f t="shared" si="204"/>
        <v/>
      </c>
      <c r="N1250" s="51" t="str">
        <f t="shared" si="205"/>
        <v/>
      </c>
      <c r="O1250" s="52" t="str">
        <f t="shared" si="206"/>
        <v/>
      </c>
      <c r="P1250" s="88">
        <f t="shared" si="207"/>
        <v>0</v>
      </c>
      <c r="Q1250" s="88">
        <f t="shared" si="208"/>
        <v>0</v>
      </c>
      <c r="R1250" s="88" t="e">
        <f>-IF(Tabla14[[#This Row],[DIAS HABILES O MORA]]&lt;0,(Tabla14[[#This Row],[VALOR PRESTAMO]]*Tabla14[[#This Row],[% INTERES ]]/30*U1250))+Tabla14[[#This Row],[VALOR CUOTAS]]</f>
        <v>#VALUE!</v>
      </c>
      <c r="S1250" s="88">
        <f>-IF(Tabla14[[#This Row],[DIAS HABILES O MORA]]&lt;0,(Tabla14[[#This Row],[VALOR PRESTAMO]]*Tabla14[[#This Row],[% INTERES ]]/30*U1250))</f>
        <v>0</v>
      </c>
      <c r="T1250" s="53" t="e">
        <f>Tabla14[[#This Row],[DEUDA CAPITAL]]+Tabla14[[#This Row],[INTERES  CUOTA]]</f>
        <v>#NUM!</v>
      </c>
      <c r="U1250" s="61" t="str">
        <f t="shared" si="209"/>
        <v/>
      </c>
    </row>
    <row r="1251" spans="9:21" ht="24.75" customHeight="1" x14ac:dyDescent="0.35">
      <c r="I1251" s="42">
        <f t="shared" si="200"/>
        <v>0</v>
      </c>
      <c r="J1251" s="65" t="e">
        <f t="shared" si="201"/>
        <v>#NUM!</v>
      </c>
      <c r="K1251" s="83" t="e">
        <f t="shared" si="202"/>
        <v>#NUM!</v>
      </c>
      <c r="L1251" s="83">
        <f t="shared" si="203"/>
        <v>0</v>
      </c>
      <c r="M1251" s="110" t="str">
        <f t="shared" si="204"/>
        <v/>
      </c>
      <c r="N1251" s="51" t="str">
        <f t="shared" si="205"/>
        <v/>
      </c>
      <c r="O1251" s="52" t="str">
        <f t="shared" si="206"/>
        <v/>
      </c>
      <c r="P1251" s="88">
        <f t="shared" si="207"/>
        <v>0</v>
      </c>
      <c r="Q1251" s="88">
        <f t="shared" si="208"/>
        <v>0</v>
      </c>
      <c r="R1251" s="88" t="e">
        <f>-IF(Tabla14[[#This Row],[DIAS HABILES O MORA]]&lt;0,(Tabla14[[#This Row],[VALOR PRESTAMO]]*Tabla14[[#This Row],[% INTERES ]]/30*U1251))+Tabla14[[#This Row],[VALOR CUOTAS]]</f>
        <v>#VALUE!</v>
      </c>
      <c r="S1251" s="88">
        <f>-IF(Tabla14[[#This Row],[DIAS HABILES O MORA]]&lt;0,(Tabla14[[#This Row],[VALOR PRESTAMO]]*Tabla14[[#This Row],[% INTERES ]]/30*U1251))</f>
        <v>0</v>
      </c>
      <c r="T1251" s="53" t="e">
        <f>Tabla14[[#This Row],[DEUDA CAPITAL]]+Tabla14[[#This Row],[INTERES  CUOTA]]</f>
        <v>#NUM!</v>
      </c>
      <c r="U1251" s="61" t="str">
        <f t="shared" si="209"/>
        <v/>
      </c>
    </row>
    <row r="1252" spans="9:21" ht="24.75" customHeight="1" x14ac:dyDescent="0.35">
      <c r="I1252" s="42">
        <f t="shared" si="200"/>
        <v>0</v>
      </c>
      <c r="J1252" s="65" t="e">
        <f t="shared" si="201"/>
        <v>#NUM!</v>
      </c>
      <c r="K1252" s="83" t="e">
        <f t="shared" si="202"/>
        <v>#NUM!</v>
      </c>
      <c r="L1252" s="83">
        <f t="shared" si="203"/>
        <v>0</v>
      </c>
      <c r="M1252" s="110" t="str">
        <f t="shared" si="204"/>
        <v/>
      </c>
      <c r="N1252" s="51" t="str">
        <f t="shared" si="205"/>
        <v/>
      </c>
      <c r="O1252" s="52" t="str">
        <f t="shared" si="206"/>
        <v/>
      </c>
      <c r="P1252" s="88">
        <f t="shared" si="207"/>
        <v>0</v>
      </c>
      <c r="Q1252" s="88">
        <f t="shared" si="208"/>
        <v>0</v>
      </c>
      <c r="R1252" s="88" t="e">
        <f>-IF(Tabla14[[#This Row],[DIAS HABILES O MORA]]&lt;0,(Tabla14[[#This Row],[VALOR PRESTAMO]]*Tabla14[[#This Row],[% INTERES ]]/30*U1252))+Tabla14[[#This Row],[VALOR CUOTAS]]</f>
        <v>#VALUE!</v>
      </c>
      <c r="S1252" s="88">
        <f>-IF(Tabla14[[#This Row],[DIAS HABILES O MORA]]&lt;0,(Tabla14[[#This Row],[VALOR PRESTAMO]]*Tabla14[[#This Row],[% INTERES ]]/30*U1252))</f>
        <v>0</v>
      </c>
      <c r="T1252" s="53" t="e">
        <f>Tabla14[[#This Row],[DEUDA CAPITAL]]+Tabla14[[#This Row],[INTERES  CUOTA]]</f>
        <v>#NUM!</v>
      </c>
      <c r="U1252" s="61" t="str">
        <f t="shared" si="209"/>
        <v/>
      </c>
    </row>
    <row r="1253" spans="9:21" ht="24.75" customHeight="1" x14ac:dyDescent="0.35">
      <c r="I1253" s="42">
        <f t="shared" si="200"/>
        <v>0</v>
      </c>
      <c r="J1253" s="65" t="e">
        <f t="shared" si="201"/>
        <v>#NUM!</v>
      </c>
      <c r="K1253" s="83" t="e">
        <f t="shared" si="202"/>
        <v>#NUM!</v>
      </c>
      <c r="L1253" s="83">
        <f t="shared" si="203"/>
        <v>0</v>
      </c>
      <c r="M1253" s="110" t="str">
        <f t="shared" si="204"/>
        <v/>
      </c>
      <c r="N1253" s="51" t="str">
        <f t="shared" si="205"/>
        <v/>
      </c>
      <c r="O1253" s="52" t="str">
        <f t="shared" si="206"/>
        <v/>
      </c>
      <c r="P1253" s="88">
        <f t="shared" si="207"/>
        <v>0</v>
      </c>
      <c r="Q1253" s="88">
        <f t="shared" si="208"/>
        <v>0</v>
      </c>
      <c r="R1253" s="88" t="e">
        <f>-IF(Tabla14[[#This Row],[DIAS HABILES O MORA]]&lt;0,(Tabla14[[#This Row],[VALOR PRESTAMO]]*Tabla14[[#This Row],[% INTERES ]]/30*U1253))+Tabla14[[#This Row],[VALOR CUOTAS]]</f>
        <v>#VALUE!</v>
      </c>
      <c r="S1253" s="88">
        <f>-IF(Tabla14[[#This Row],[DIAS HABILES O MORA]]&lt;0,(Tabla14[[#This Row],[VALOR PRESTAMO]]*Tabla14[[#This Row],[% INTERES ]]/30*U1253))</f>
        <v>0</v>
      </c>
      <c r="T1253" s="53" t="e">
        <f>Tabla14[[#This Row],[DEUDA CAPITAL]]+Tabla14[[#This Row],[INTERES  CUOTA]]</f>
        <v>#NUM!</v>
      </c>
      <c r="U1253" s="61" t="str">
        <f t="shared" si="209"/>
        <v/>
      </c>
    </row>
    <row r="1254" spans="9:21" ht="24.75" customHeight="1" x14ac:dyDescent="0.35">
      <c r="I1254" s="42">
        <f t="shared" si="200"/>
        <v>0</v>
      </c>
      <c r="J1254" s="65" t="e">
        <f t="shared" si="201"/>
        <v>#NUM!</v>
      </c>
      <c r="K1254" s="83" t="e">
        <f t="shared" si="202"/>
        <v>#NUM!</v>
      </c>
      <c r="L1254" s="83">
        <f t="shared" si="203"/>
        <v>0</v>
      </c>
      <c r="M1254" s="110" t="str">
        <f t="shared" si="204"/>
        <v/>
      </c>
      <c r="N1254" s="51" t="str">
        <f t="shared" si="205"/>
        <v/>
      </c>
      <c r="O1254" s="52" t="str">
        <f t="shared" si="206"/>
        <v/>
      </c>
      <c r="P1254" s="88">
        <f t="shared" si="207"/>
        <v>0</v>
      </c>
      <c r="Q1254" s="88">
        <f t="shared" si="208"/>
        <v>0</v>
      </c>
      <c r="R1254" s="88" t="e">
        <f>-IF(Tabla14[[#This Row],[DIAS HABILES O MORA]]&lt;0,(Tabla14[[#This Row],[VALOR PRESTAMO]]*Tabla14[[#This Row],[% INTERES ]]/30*U1254))+Tabla14[[#This Row],[VALOR CUOTAS]]</f>
        <v>#VALUE!</v>
      </c>
      <c r="S1254" s="88">
        <f>-IF(Tabla14[[#This Row],[DIAS HABILES O MORA]]&lt;0,(Tabla14[[#This Row],[VALOR PRESTAMO]]*Tabla14[[#This Row],[% INTERES ]]/30*U1254))</f>
        <v>0</v>
      </c>
      <c r="T1254" s="53" t="e">
        <f>Tabla14[[#This Row],[DEUDA CAPITAL]]+Tabla14[[#This Row],[INTERES  CUOTA]]</f>
        <v>#NUM!</v>
      </c>
      <c r="U1254" s="61" t="str">
        <f t="shared" si="209"/>
        <v/>
      </c>
    </row>
    <row r="1255" spans="9:21" ht="24.75" customHeight="1" x14ac:dyDescent="0.35">
      <c r="I1255" s="42">
        <f t="shared" si="200"/>
        <v>0</v>
      </c>
      <c r="J1255" s="65" t="e">
        <f t="shared" si="201"/>
        <v>#NUM!</v>
      </c>
      <c r="K1255" s="83" t="e">
        <f t="shared" si="202"/>
        <v>#NUM!</v>
      </c>
      <c r="L1255" s="83">
        <f t="shared" si="203"/>
        <v>0</v>
      </c>
      <c r="M1255" s="110" t="str">
        <f t="shared" si="204"/>
        <v/>
      </c>
      <c r="N1255" s="51" t="str">
        <f t="shared" si="205"/>
        <v/>
      </c>
      <c r="O1255" s="52" t="str">
        <f t="shared" si="206"/>
        <v/>
      </c>
      <c r="P1255" s="88">
        <f t="shared" si="207"/>
        <v>0</v>
      </c>
      <c r="Q1255" s="88">
        <f t="shared" si="208"/>
        <v>0</v>
      </c>
      <c r="R1255" s="88" t="e">
        <f>-IF(Tabla14[[#This Row],[DIAS HABILES O MORA]]&lt;0,(Tabla14[[#This Row],[VALOR PRESTAMO]]*Tabla14[[#This Row],[% INTERES ]]/30*U1255))+Tabla14[[#This Row],[VALOR CUOTAS]]</f>
        <v>#VALUE!</v>
      </c>
      <c r="S1255" s="88">
        <f>-IF(Tabla14[[#This Row],[DIAS HABILES O MORA]]&lt;0,(Tabla14[[#This Row],[VALOR PRESTAMO]]*Tabla14[[#This Row],[% INTERES ]]/30*U1255))</f>
        <v>0</v>
      </c>
      <c r="T1255" s="53" t="e">
        <f>Tabla14[[#This Row],[DEUDA CAPITAL]]+Tabla14[[#This Row],[INTERES  CUOTA]]</f>
        <v>#NUM!</v>
      </c>
      <c r="U1255" s="61" t="str">
        <f t="shared" si="209"/>
        <v/>
      </c>
    </row>
    <row r="1256" spans="9:21" ht="24.75" customHeight="1" x14ac:dyDescent="0.35">
      <c r="I1256" s="42">
        <f t="shared" si="200"/>
        <v>0</v>
      </c>
      <c r="J1256" s="65" t="e">
        <f t="shared" si="201"/>
        <v>#NUM!</v>
      </c>
      <c r="K1256" s="83" t="e">
        <f t="shared" si="202"/>
        <v>#NUM!</v>
      </c>
      <c r="L1256" s="83">
        <f t="shared" si="203"/>
        <v>0</v>
      </c>
      <c r="M1256" s="110" t="str">
        <f t="shared" si="204"/>
        <v/>
      </c>
      <c r="N1256" s="51" t="str">
        <f t="shared" si="205"/>
        <v/>
      </c>
      <c r="O1256" s="52" t="str">
        <f t="shared" si="206"/>
        <v/>
      </c>
      <c r="P1256" s="88">
        <f t="shared" si="207"/>
        <v>0</v>
      </c>
      <c r="Q1256" s="88">
        <f t="shared" si="208"/>
        <v>0</v>
      </c>
      <c r="R1256" s="88" t="e">
        <f>-IF(Tabla14[[#This Row],[DIAS HABILES O MORA]]&lt;0,(Tabla14[[#This Row],[VALOR PRESTAMO]]*Tabla14[[#This Row],[% INTERES ]]/30*U1256))+Tabla14[[#This Row],[VALOR CUOTAS]]</f>
        <v>#VALUE!</v>
      </c>
      <c r="S1256" s="88">
        <f>-IF(Tabla14[[#This Row],[DIAS HABILES O MORA]]&lt;0,(Tabla14[[#This Row],[VALOR PRESTAMO]]*Tabla14[[#This Row],[% INTERES ]]/30*U1256))</f>
        <v>0</v>
      </c>
      <c r="T1256" s="53" t="e">
        <f>Tabla14[[#This Row],[DEUDA CAPITAL]]+Tabla14[[#This Row],[INTERES  CUOTA]]</f>
        <v>#NUM!</v>
      </c>
      <c r="U1256" s="61" t="str">
        <f t="shared" si="209"/>
        <v/>
      </c>
    </row>
    <row r="1257" spans="9:21" ht="24.75" customHeight="1" x14ac:dyDescent="0.35">
      <c r="I1257" s="42">
        <f t="shared" si="200"/>
        <v>0</v>
      </c>
      <c r="J1257" s="65" t="e">
        <f t="shared" si="201"/>
        <v>#NUM!</v>
      </c>
      <c r="K1257" s="83" t="e">
        <f t="shared" si="202"/>
        <v>#NUM!</v>
      </c>
      <c r="L1257" s="83">
        <f t="shared" si="203"/>
        <v>0</v>
      </c>
      <c r="M1257" s="110" t="str">
        <f t="shared" si="204"/>
        <v/>
      </c>
      <c r="N1257" s="51" t="str">
        <f t="shared" si="205"/>
        <v/>
      </c>
      <c r="O1257" s="52" t="str">
        <f t="shared" si="206"/>
        <v/>
      </c>
      <c r="P1257" s="88">
        <f t="shared" si="207"/>
        <v>0</v>
      </c>
      <c r="Q1257" s="88">
        <f t="shared" si="208"/>
        <v>0</v>
      </c>
      <c r="R1257" s="88" t="e">
        <f>-IF(Tabla14[[#This Row],[DIAS HABILES O MORA]]&lt;0,(Tabla14[[#This Row],[VALOR PRESTAMO]]*Tabla14[[#This Row],[% INTERES ]]/30*U1257))+Tabla14[[#This Row],[VALOR CUOTAS]]</f>
        <v>#VALUE!</v>
      </c>
      <c r="S1257" s="88">
        <f>-IF(Tabla14[[#This Row],[DIAS HABILES O MORA]]&lt;0,(Tabla14[[#This Row],[VALOR PRESTAMO]]*Tabla14[[#This Row],[% INTERES ]]/30*U1257))</f>
        <v>0</v>
      </c>
      <c r="T1257" s="53" t="e">
        <f>Tabla14[[#This Row],[DEUDA CAPITAL]]+Tabla14[[#This Row],[INTERES  CUOTA]]</f>
        <v>#NUM!</v>
      </c>
      <c r="U1257" s="61" t="str">
        <f t="shared" si="209"/>
        <v/>
      </c>
    </row>
    <row r="1258" spans="9:21" ht="24.75" customHeight="1" x14ac:dyDescent="0.35">
      <c r="I1258" s="42">
        <f t="shared" si="200"/>
        <v>0</v>
      </c>
      <c r="J1258" s="65" t="e">
        <f t="shared" si="201"/>
        <v>#NUM!</v>
      </c>
      <c r="K1258" s="83" t="e">
        <f t="shared" si="202"/>
        <v>#NUM!</v>
      </c>
      <c r="L1258" s="83">
        <f t="shared" si="203"/>
        <v>0</v>
      </c>
      <c r="M1258" s="110" t="str">
        <f t="shared" si="204"/>
        <v/>
      </c>
      <c r="N1258" s="51" t="str">
        <f t="shared" si="205"/>
        <v/>
      </c>
      <c r="O1258" s="52" t="str">
        <f t="shared" si="206"/>
        <v/>
      </c>
      <c r="P1258" s="88">
        <f t="shared" si="207"/>
        <v>0</v>
      </c>
      <c r="Q1258" s="88">
        <f t="shared" si="208"/>
        <v>0</v>
      </c>
      <c r="R1258" s="88" t="e">
        <f>-IF(Tabla14[[#This Row],[DIAS HABILES O MORA]]&lt;0,(Tabla14[[#This Row],[VALOR PRESTAMO]]*Tabla14[[#This Row],[% INTERES ]]/30*U1258))+Tabla14[[#This Row],[VALOR CUOTAS]]</f>
        <v>#VALUE!</v>
      </c>
      <c r="S1258" s="88">
        <f>-IF(Tabla14[[#This Row],[DIAS HABILES O MORA]]&lt;0,(Tabla14[[#This Row],[VALOR PRESTAMO]]*Tabla14[[#This Row],[% INTERES ]]/30*U1258))</f>
        <v>0</v>
      </c>
      <c r="T1258" s="53" t="e">
        <f>Tabla14[[#This Row],[DEUDA CAPITAL]]+Tabla14[[#This Row],[INTERES  CUOTA]]</f>
        <v>#NUM!</v>
      </c>
      <c r="U1258" s="61" t="str">
        <f t="shared" si="209"/>
        <v/>
      </c>
    </row>
    <row r="1259" spans="9:21" ht="24.75" customHeight="1" x14ac:dyDescent="0.35">
      <c r="I1259" s="42">
        <f t="shared" si="200"/>
        <v>0</v>
      </c>
      <c r="J1259" s="65" t="e">
        <f t="shared" si="201"/>
        <v>#NUM!</v>
      </c>
      <c r="K1259" s="83" t="e">
        <f t="shared" si="202"/>
        <v>#NUM!</v>
      </c>
      <c r="L1259" s="83">
        <f t="shared" si="203"/>
        <v>0</v>
      </c>
      <c r="M1259" s="110" t="str">
        <f t="shared" si="204"/>
        <v/>
      </c>
      <c r="N1259" s="51" t="str">
        <f t="shared" si="205"/>
        <v/>
      </c>
      <c r="O1259" s="52" t="str">
        <f t="shared" si="206"/>
        <v/>
      </c>
      <c r="P1259" s="88">
        <f t="shared" si="207"/>
        <v>0</v>
      </c>
      <c r="Q1259" s="88">
        <f t="shared" si="208"/>
        <v>0</v>
      </c>
      <c r="R1259" s="88" t="e">
        <f>-IF(Tabla14[[#This Row],[DIAS HABILES O MORA]]&lt;0,(Tabla14[[#This Row],[VALOR PRESTAMO]]*Tabla14[[#This Row],[% INTERES ]]/30*U1259))+Tabla14[[#This Row],[VALOR CUOTAS]]</f>
        <v>#VALUE!</v>
      </c>
      <c r="S1259" s="88">
        <f>-IF(Tabla14[[#This Row],[DIAS HABILES O MORA]]&lt;0,(Tabla14[[#This Row],[VALOR PRESTAMO]]*Tabla14[[#This Row],[% INTERES ]]/30*U1259))</f>
        <v>0</v>
      </c>
      <c r="T1259" s="53" t="e">
        <f>Tabla14[[#This Row],[DEUDA CAPITAL]]+Tabla14[[#This Row],[INTERES  CUOTA]]</f>
        <v>#NUM!</v>
      </c>
      <c r="U1259" s="61" t="str">
        <f t="shared" si="209"/>
        <v/>
      </c>
    </row>
    <row r="1260" spans="9:21" ht="24.75" customHeight="1" x14ac:dyDescent="0.35">
      <c r="I1260" s="42">
        <f t="shared" si="200"/>
        <v>0</v>
      </c>
      <c r="J1260" s="65" t="e">
        <f t="shared" si="201"/>
        <v>#NUM!</v>
      </c>
      <c r="K1260" s="83" t="e">
        <f t="shared" si="202"/>
        <v>#NUM!</v>
      </c>
      <c r="L1260" s="83">
        <f t="shared" si="203"/>
        <v>0</v>
      </c>
      <c r="M1260" s="110" t="str">
        <f t="shared" si="204"/>
        <v/>
      </c>
      <c r="N1260" s="51" t="str">
        <f t="shared" si="205"/>
        <v/>
      </c>
      <c r="O1260" s="52" t="str">
        <f t="shared" si="206"/>
        <v/>
      </c>
      <c r="P1260" s="88">
        <f t="shared" si="207"/>
        <v>0</v>
      </c>
      <c r="Q1260" s="88">
        <f t="shared" si="208"/>
        <v>0</v>
      </c>
      <c r="R1260" s="88" t="e">
        <f>-IF(Tabla14[[#This Row],[DIAS HABILES O MORA]]&lt;0,(Tabla14[[#This Row],[VALOR PRESTAMO]]*Tabla14[[#This Row],[% INTERES ]]/30*U1260))+Tabla14[[#This Row],[VALOR CUOTAS]]</f>
        <v>#VALUE!</v>
      </c>
      <c r="S1260" s="88">
        <f>-IF(Tabla14[[#This Row],[DIAS HABILES O MORA]]&lt;0,(Tabla14[[#This Row],[VALOR PRESTAMO]]*Tabla14[[#This Row],[% INTERES ]]/30*U1260))</f>
        <v>0</v>
      </c>
      <c r="T1260" s="53" t="e">
        <f>Tabla14[[#This Row],[DEUDA CAPITAL]]+Tabla14[[#This Row],[INTERES  CUOTA]]</f>
        <v>#NUM!</v>
      </c>
      <c r="U1260" s="61" t="str">
        <f t="shared" si="209"/>
        <v/>
      </c>
    </row>
    <row r="1261" spans="9:21" ht="24.75" customHeight="1" x14ac:dyDescent="0.35">
      <c r="I1261" s="42">
        <f t="shared" si="200"/>
        <v>0</v>
      </c>
      <c r="J1261" s="65" t="e">
        <f t="shared" si="201"/>
        <v>#NUM!</v>
      </c>
      <c r="K1261" s="83" t="e">
        <f t="shared" si="202"/>
        <v>#NUM!</v>
      </c>
      <c r="L1261" s="83">
        <f t="shared" si="203"/>
        <v>0</v>
      </c>
      <c r="M1261" s="110" t="str">
        <f t="shared" si="204"/>
        <v/>
      </c>
      <c r="N1261" s="51" t="str">
        <f t="shared" si="205"/>
        <v/>
      </c>
      <c r="O1261" s="52" t="str">
        <f t="shared" si="206"/>
        <v/>
      </c>
      <c r="P1261" s="88">
        <f t="shared" si="207"/>
        <v>0</v>
      </c>
      <c r="Q1261" s="88">
        <f t="shared" si="208"/>
        <v>0</v>
      </c>
      <c r="R1261" s="88" t="e">
        <f>-IF(Tabla14[[#This Row],[DIAS HABILES O MORA]]&lt;0,(Tabla14[[#This Row],[VALOR PRESTAMO]]*Tabla14[[#This Row],[% INTERES ]]/30*U1261))+Tabla14[[#This Row],[VALOR CUOTAS]]</f>
        <v>#VALUE!</v>
      </c>
      <c r="S1261" s="88">
        <f>-IF(Tabla14[[#This Row],[DIAS HABILES O MORA]]&lt;0,(Tabla14[[#This Row],[VALOR PRESTAMO]]*Tabla14[[#This Row],[% INTERES ]]/30*U1261))</f>
        <v>0</v>
      </c>
      <c r="T1261" s="53" t="e">
        <f>Tabla14[[#This Row],[DEUDA CAPITAL]]+Tabla14[[#This Row],[INTERES  CUOTA]]</f>
        <v>#NUM!</v>
      </c>
      <c r="U1261" s="61" t="str">
        <f t="shared" si="209"/>
        <v/>
      </c>
    </row>
    <row r="1262" spans="9:21" ht="24.75" customHeight="1" x14ac:dyDescent="0.35">
      <c r="I1262" s="42">
        <f t="shared" si="200"/>
        <v>0</v>
      </c>
      <c r="J1262" s="65" t="e">
        <f t="shared" si="201"/>
        <v>#NUM!</v>
      </c>
      <c r="K1262" s="83" t="e">
        <f t="shared" si="202"/>
        <v>#NUM!</v>
      </c>
      <c r="L1262" s="83">
        <f t="shared" si="203"/>
        <v>0</v>
      </c>
      <c r="M1262" s="110" t="str">
        <f t="shared" si="204"/>
        <v/>
      </c>
      <c r="N1262" s="51" t="str">
        <f t="shared" si="205"/>
        <v/>
      </c>
      <c r="O1262" s="52" t="str">
        <f t="shared" si="206"/>
        <v/>
      </c>
      <c r="P1262" s="88">
        <f t="shared" si="207"/>
        <v>0</v>
      </c>
      <c r="Q1262" s="88">
        <f t="shared" si="208"/>
        <v>0</v>
      </c>
      <c r="R1262" s="88" t="e">
        <f>-IF(Tabla14[[#This Row],[DIAS HABILES O MORA]]&lt;0,(Tabla14[[#This Row],[VALOR PRESTAMO]]*Tabla14[[#This Row],[% INTERES ]]/30*U1262))+Tabla14[[#This Row],[VALOR CUOTAS]]</f>
        <v>#VALUE!</v>
      </c>
      <c r="S1262" s="88">
        <f>-IF(Tabla14[[#This Row],[DIAS HABILES O MORA]]&lt;0,(Tabla14[[#This Row],[VALOR PRESTAMO]]*Tabla14[[#This Row],[% INTERES ]]/30*U1262))</f>
        <v>0</v>
      </c>
      <c r="T1262" s="53" t="e">
        <f>Tabla14[[#This Row],[DEUDA CAPITAL]]+Tabla14[[#This Row],[INTERES  CUOTA]]</f>
        <v>#NUM!</v>
      </c>
      <c r="U1262" s="61" t="str">
        <f t="shared" si="209"/>
        <v/>
      </c>
    </row>
    <row r="1263" spans="9:21" ht="24.75" customHeight="1" x14ac:dyDescent="0.35">
      <c r="I1263" s="42">
        <f t="shared" si="200"/>
        <v>0</v>
      </c>
      <c r="J1263" s="65" t="e">
        <f t="shared" si="201"/>
        <v>#NUM!</v>
      </c>
      <c r="K1263" s="83" t="e">
        <f t="shared" si="202"/>
        <v>#NUM!</v>
      </c>
      <c r="L1263" s="83">
        <f t="shared" si="203"/>
        <v>0</v>
      </c>
      <c r="M1263" s="110" t="str">
        <f t="shared" si="204"/>
        <v/>
      </c>
      <c r="N1263" s="51" t="str">
        <f t="shared" si="205"/>
        <v/>
      </c>
      <c r="O1263" s="52" t="str">
        <f t="shared" si="206"/>
        <v/>
      </c>
      <c r="P1263" s="88">
        <f t="shared" si="207"/>
        <v>0</v>
      </c>
      <c r="Q1263" s="88">
        <f t="shared" si="208"/>
        <v>0</v>
      </c>
      <c r="R1263" s="88" t="e">
        <f>-IF(Tabla14[[#This Row],[DIAS HABILES O MORA]]&lt;0,(Tabla14[[#This Row],[VALOR PRESTAMO]]*Tabla14[[#This Row],[% INTERES ]]/30*U1263))+Tabla14[[#This Row],[VALOR CUOTAS]]</f>
        <v>#VALUE!</v>
      </c>
      <c r="S1263" s="88">
        <f>-IF(Tabla14[[#This Row],[DIAS HABILES O MORA]]&lt;0,(Tabla14[[#This Row],[VALOR PRESTAMO]]*Tabla14[[#This Row],[% INTERES ]]/30*U1263))</f>
        <v>0</v>
      </c>
      <c r="T1263" s="53" t="e">
        <f>Tabla14[[#This Row],[DEUDA CAPITAL]]+Tabla14[[#This Row],[INTERES  CUOTA]]</f>
        <v>#NUM!</v>
      </c>
      <c r="U1263" s="61" t="str">
        <f t="shared" si="209"/>
        <v/>
      </c>
    </row>
    <row r="1264" spans="9:21" ht="24.75" customHeight="1" x14ac:dyDescent="0.35">
      <c r="I1264" s="42">
        <f t="shared" si="200"/>
        <v>0</v>
      </c>
      <c r="J1264" s="65" t="e">
        <f t="shared" si="201"/>
        <v>#NUM!</v>
      </c>
      <c r="K1264" s="83" t="e">
        <f t="shared" si="202"/>
        <v>#NUM!</v>
      </c>
      <c r="L1264" s="83">
        <f t="shared" si="203"/>
        <v>0</v>
      </c>
      <c r="M1264" s="110" t="str">
        <f t="shared" si="204"/>
        <v/>
      </c>
      <c r="N1264" s="51" t="str">
        <f t="shared" si="205"/>
        <v/>
      </c>
      <c r="O1264" s="52" t="str">
        <f t="shared" si="206"/>
        <v/>
      </c>
      <c r="P1264" s="88">
        <f t="shared" si="207"/>
        <v>0</v>
      </c>
      <c r="Q1264" s="88">
        <f t="shared" si="208"/>
        <v>0</v>
      </c>
      <c r="R1264" s="88" t="e">
        <f>-IF(Tabla14[[#This Row],[DIAS HABILES O MORA]]&lt;0,(Tabla14[[#This Row],[VALOR PRESTAMO]]*Tabla14[[#This Row],[% INTERES ]]/30*U1264))+Tabla14[[#This Row],[VALOR CUOTAS]]</f>
        <v>#VALUE!</v>
      </c>
      <c r="S1264" s="88">
        <f>-IF(Tabla14[[#This Row],[DIAS HABILES O MORA]]&lt;0,(Tabla14[[#This Row],[VALOR PRESTAMO]]*Tabla14[[#This Row],[% INTERES ]]/30*U1264))</f>
        <v>0</v>
      </c>
      <c r="T1264" s="53" t="e">
        <f>Tabla14[[#This Row],[DEUDA CAPITAL]]+Tabla14[[#This Row],[INTERES  CUOTA]]</f>
        <v>#NUM!</v>
      </c>
      <c r="U1264" s="61" t="str">
        <f t="shared" si="209"/>
        <v/>
      </c>
    </row>
    <row r="1265" spans="9:21" ht="24.75" customHeight="1" x14ac:dyDescent="0.35">
      <c r="I1265" s="42">
        <f t="shared" si="200"/>
        <v>0</v>
      </c>
      <c r="J1265" s="65" t="e">
        <f t="shared" si="201"/>
        <v>#NUM!</v>
      </c>
      <c r="K1265" s="83" t="e">
        <f t="shared" si="202"/>
        <v>#NUM!</v>
      </c>
      <c r="L1265" s="83">
        <f t="shared" si="203"/>
        <v>0</v>
      </c>
      <c r="M1265" s="110" t="str">
        <f t="shared" si="204"/>
        <v/>
      </c>
      <c r="N1265" s="51" t="str">
        <f t="shared" si="205"/>
        <v/>
      </c>
      <c r="O1265" s="52" t="str">
        <f t="shared" si="206"/>
        <v/>
      </c>
      <c r="P1265" s="88">
        <f t="shared" si="207"/>
        <v>0</v>
      </c>
      <c r="Q1265" s="88">
        <f t="shared" si="208"/>
        <v>0</v>
      </c>
      <c r="R1265" s="88" t="e">
        <f>-IF(Tabla14[[#This Row],[DIAS HABILES O MORA]]&lt;0,(Tabla14[[#This Row],[VALOR PRESTAMO]]*Tabla14[[#This Row],[% INTERES ]]/30*U1265))+Tabla14[[#This Row],[VALOR CUOTAS]]</f>
        <v>#VALUE!</v>
      </c>
      <c r="S1265" s="88">
        <f>-IF(Tabla14[[#This Row],[DIAS HABILES O MORA]]&lt;0,(Tabla14[[#This Row],[VALOR PRESTAMO]]*Tabla14[[#This Row],[% INTERES ]]/30*U1265))</f>
        <v>0</v>
      </c>
      <c r="T1265" s="53" t="e">
        <f>Tabla14[[#This Row],[DEUDA CAPITAL]]+Tabla14[[#This Row],[INTERES  CUOTA]]</f>
        <v>#NUM!</v>
      </c>
      <c r="U1265" s="61" t="str">
        <f t="shared" si="209"/>
        <v/>
      </c>
    </row>
    <row r="1266" spans="9:21" ht="24.75" customHeight="1" x14ac:dyDescent="0.35">
      <c r="I1266" s="42">
        <f t="shared" si="200"/>
        <v>0</v>
      </c>
      <c r="J1266" s="65" t="e">
        <f t="shared" si="201"/>
        <v>#NUM!</v>
      </c>
      <c r="K1266" s="83" t="e">
        <f t="shared" si="202"/>
        <v>#NUM!</v>
      </c>
      <c r="L1266" s="83">
        <f t="shared" si="203"/>
        <v>0</v>
      </c>
      <c r="M1266" s="110" t="str">
        <f t="shared" si="204"/>
        <v/>
      </c>
      <c r="N1266" s="51" t="str">
        <f t="shared" si="205"/>
        <v/>
      </c>
      <c r="O1266" s="52" t="str">
        <f t="shared" si="206"/>
        <v/>
      </c>
      <c r="P1266" s="88">
        <f t="shared" si="207"/>
        <v>0</v>
      </c>
      <c r="Q1266" s="88">
        <f t="shared" si="208"/>
        <v>0</v>
      </c>
      <c r="R1266" s="88" t="e">
        <f>-IF(Tabla14[[#This Row],[DIAS HABILES O MORA]]&lt;0,(Tabla14[[#This Row],[VALOR PRESTAMO]]*Tabla14[[#This Row],[% INTERES ]]/30*U1266))+Tabla14[[#This Row],[VALOR CUOTAS]]</f>
        <v>#VALUE!</v>
      </c>
      <c r="S1266" s="88">
        <f>-IF(Tabla14[[#This Row],[DIAS HABILES O MORA]]&lt;0,(Tabla14[[#This Row],[VALOR PRESTAMO]]*Tabla14[[#This Row],[% INTERES ]]/30*U1266))</f>
        <v>0</v>
      </c>
      <c r="T1266" s="53" t="e">
        <f>Tabla14[[#This Row],[DEUDA CAPITAL]]+Tabla14[[#This Row],[INTERES  CUOTA]]</f>
        <v>#NUM!</v>
      </c>
      <c r="U1266" s="61" t="str">
        <f t="shared" si="209"/>
        <v/>
      </c>
    </row>
    <row r="1267" spans="9:21" ht="24.75" customHeight="1" x14ac:dyDescent="0.35">
      <c r="I1267" s="42">
        <f t="shared" si="200"/>
        <v>0</v>
      </c>
      <c r="J1267" s="65" t="e">
        <f t="shared" si="201"/>
        <v>#NUM!</v>
      </c>
      <c r="K1267" s="83" t="e">
        <f t="shared" si="202"/>
        <v>#NUM!</v>
      </c>
      <c r="L1267" s="83">
        <f t="shared" si="203"/>
        <v>0</v>
      </c>
      <c r="M1267" s="110" t="str">
        <f t="shared" si="204"/>
        <v/>
      </c>
      <c r="N1267" s="51" t="str">
        <f t="shared" si="205"/>
        <v/>
      </c>
      <c r="O1267" s="52" t="str">
        <f t="shared" si="206"/>
        <v/>
      </c>
      <c r="P1267" s="88">
        <f t="shared" si="207"/>
        <v>0</v>
      </c>
      <c r="Q1267" s="88">
        <f t="shared" si="208"/>
        <v>0</v>
      </c>
      <c r="R1267" s="88" t="e">
        <f>-IF(Tabla14[[#This Row],[DIAS HABILES O MORA]]&lt;0,(Tabla14[[#This Row],[VALOR PRESTAMO]]*Tabla14[[#This Row],[% INTERES ]]/30*U1267))+Tabla14[[#This Row],[VALOR CUOTAS]]</f>
        <v>#VALUE!</v>
      </c>
      <c r="S1267" s="88">
        <f>-IF(Tabla14[[#This Row],[DIAS HABILES O MORA]]&lt;0,(Tabla14[[#This Row],[VALOR PRESTAMO]]*Tabla14[[#This Row],[% INTERES ]]/30*U1267))</f>
        <v>0</v>
      </c>
      <c r="T1267" s="53" t="e">
        <f>Tabla14[[#This Row],[DEUDA CAPITAL]]+Tabla14[[#This Row],[INTERES  CUOTA]]</f>
        <v>#NUM!</v>
      </c>
      <c r="U1267" s="61" t="str">
        <f t="shared" si="209"/>
        <v/>
      </c>
    </row>
    <row r="1268" spans="9:21" ht="24.75" customHeight="1" x14ac:dyDescent="0.35">
      <c r="I1268" s="42">
        <f t="shared" si="200"/>
        <v>0</v>
      </c>
      <c r="J1268" s="65" t="e">
        <f t="shared" si="201"/>
        <v>#NUM!</v>
      </c>
      <c r="K1268" s="83" t="e">
        <f t="shared" si="202"/>
        <v>#NUM!</v>
      </c>
      <c r="L1268" s="83">
        <f t="shared" si="203"/>
        <v>0</v>
      </c>
      <c r="M1268" s="110" t="str">
        <f t="shared" si="204"/>
        <v/>
      </c>
      <c r="N1268" s="51" t="str">
        <f t="shared" si="205"/>
        <v/>
      </c>
      <c r="O1268" s="52" t="str">
        <f t="shared" si="206"/>
        <v/>
      </c>
      <c r="P1268" s="88">
        <f t="shared" si="207"/>
        <v>0</v>
      </c>
      <c r="Q1268" s="88">
        <f t="shared" si="208"/>
        <v>0</v>
      </c>
      <c r="R1268" s="88" t="e">
        <f>-IF(Tabla14[[#This Row],[DIAS HABILES O MORA]]&lt;0,(Tabla14[[#This Row],[VALOR PRESTAMO]]*Tabla14[[#This Row],[% INTERES ]]/30*U1268))+Tabla14[[#This Row],[VALOR CUOTAS]]</f>
        <v>#VALUE!</v>
      </c>
      <c r="S1268" s="88">
        <f>-IF(Tabla14[[#This Row],[DIAS HABILES O MORA]]&lt;0,(Tabla14[[#This Row],[VALOR PRESTAMO]]*Tabla14[[#This Row],[% INTERES ]]/30*U1268))</f>
        <v>0</v>
      </c>
      <c r="T1268" s="53" t="e">
        <f>Tabla14[[#This Row],[DEUDA CAPITAL]]+Tabla14[[#This Row],[INTERES  CUOTA]]</f>
        <v>#NUM!</v>
      </c>
      <c r="U1268" s="61" t="str">
        <f t="shared" si="209"/>
        <v/>
      </c>
    </row>
    <row r="1269" spans="9:21" ht="24.75" customHeight="1" x14ac:dyDescent="0.35">
      <c r="I1269" s="42">
        <f t="shared" si="200"/>
        <v>0</v>
      </c>
      <c r="J1269" s="65" t="e">
        <f t="shared" si="201"/>
        <v>#NUM!</v>
      </c>
      <c r="K1269" s="83" t="e">
        <f t="shared" si="202"/>
        <v>#NUM!</v>
      </c>
      <c r="L1269" s="83">
        <f t="shared" si="203"/>
        <v>0</v>
      </c>
      <c r="M1269" s="110" t="str">
        <f t="shared" si="204"/>
        <v/>
      </c>
      <c r="N1269" s="51" t="str">
        <f t="shared" si="205"/>
        <v/>
      </c>
      <c r="O1269" s="52" t="str">
        <f t="shared" si="206"/>
        <v/>
      </c>
      <c r="P1269" s="88">
        <f t="shared" si="207"/>
        <v>0</v>
      </c>
      <c r="Q1269" s="88">
        <f t="shared" si="208"/>
        <v>0</v>
      </c>
      <c r="R1269" s="88" t="e">
        <f>-IF(Tabla14[[#This Row],[DIAS HABILES O MORA]]&lt;0,(Tabla14[[#This Row],[VALOR PRESTAMO]]*Tabla14[[#This Row],[% INTERES ]]/30*U1269))+Tabla14[[#This Row],[VALOR CUOTAS]]</f>
        <v>#VALUE!</v>
      </c>
      <c r="S1269" s="88">
        <f>-IF(Tabla14[[#This Row],[DIAS HABILES O MORA]]&lt;0,(Tabla14[[#This Row],[VALOR PRESTAMO]]*Tabla14[[#This Row],[% INTERES ]]/30*U1269))</f>
        <v>0</v>
      </c>
      <c r="T1269" s="53" t="e">
        <f>Tabla14[[#This Row],[DEUDA CAPITAL]]+Tabla14[[#This Row],[INTERES  CUOTA]]</f>
        <v>#NUM!</v>
      </c>
      <c r="U1269" s="61" t="str">
        <f t="shared" si="209"/>
        <v/>
      </c>
    </row>
    <row r="1270" spans="9:21" ht="24.75" customHeight="1" x14ac:dyDescent="0.35">
      <c r="I1270" s="42">
        <f t="shared" si="200"/>
        <v>0</v>
      </c>
      <c r="J1270" s="65" t="e">
        <f t="shared" si="201"/>
        <v>#NUM!</v>
      </c>
      <c r="K1270" s="83" t="e">
        <f t="shared" si="202"/>
        <v>#NUM!</v>
      </c>
      <c r="L1270" s="83">
        <f t="shared" si="203"/>
        <v>0</v>
      </c>
      <c r="M1270" s="110" t="str">
        <f t="shared" si="204"/>
        <v/>
      </c>
      <c r="N1270" s="51" t="str">
        <f t="shared" si="205"/>
        <v/>
      </c>
      <c r="O1270" s="52" t="str">
        <f t="shared" si="206"/>
        <v/>
      </c>
      <c r="P1270" s="88">
        <f t="shared" si="207"/>
        <v>0</v>
      </c>
      <c r="Q1270" s="88">
        <f t="shared" si="208"/>
        <v>0</v>
      </c>
      <c r="R1270" s="88" t="e">
        <f>-IF(Tabla14[[#This Row],[DIAS HABILES O MORA]]&lt;0,(Tabla14[[#This Row],[VALOR PRESTAMO]]*Tabla14[[#This Row],[% INTERES ]]/30*U1270))+Tabla14[[#This Row],[VALOR CUOTAS]]</f>
        <v>#VALUE!</v>
      </c>
      <c r="S1270" s="88">
        <f>-IF(Tabla14[[#This Row],[DIAS HABILES O MORA]]&lt;0,(Tabla14[[#This Row],[VALOR PRESTAMO]]*Tabla14[[#This Row],[% INTERES ]]/30*U1270))</f>
        <v>0</v>
      </c>
      <c r="T1270" s="53" t="e">
        <f>Tabla14[[#This Row],[DEUDA CAPITAL]]+Tabla14[[#This Row],[INTERES  CUOTA]]</f>
        <v>#NUM!</v>
      </c>
      <c r="U1270" s="61" t="str">
        <f t="shared" si="209"/>
        <v/>
      </c>
    </row>
    <row r="1271" spans="9:21" ht="24.75" customHeight="1" x14ac:dyDescent="0.35">
      <c r="I1271" s="42">
        <f t="shared" si="200"/>
        <v>0</v>
      </c>
      <c r="J1271" s="65" t="e">
        <f t="shared" si="201"/>
        <v>#NUM!</v>
      </c>
      <c r="K1271" s="83" t="e">
        <f t="shared" si="202"/>
        <v>#NUM!</v>
      </c>
      <c r="L1271" s="83">
        <f t="shared" si="203"/>
        <v>0</v>
      </c>
      <c r="M1271" s="110" t="str">
        <f t="shared" si="204"/>
        <v/>
      </c>
      <c r="N1271" s="51" t="str">
        <f t="shared" si="205"/>
        <v/>
      </c>
      <c r="O1271" s="52" t="str">
        <f t="shared" si="206"/>
        <v/>
      </c>
      <c r="P1271" s="88">
        <f t="shared" si="207"/>
        <v>0</v>
      </c>
      <c r="Q1271" s="88">
        <f t="shared" si="208"/>
        <v>0</v>
      </c>
      <c r="R1271" s="88" t="e">
        <f>-IF(Tabla14[[#This Row],[DIAS HABILES O MORA]]&lt;0,(Tabla14[[#This Row],[VALOR PRESTAMO]]*Tabla14[[#This Row],[% INTERES ]]/30*U1271))+Tabla14[[#This Row],[VALOR CUOTAS]]</f>
        <v>#VALUE!</v>
      </c>
      <c r="S1271" s="88">
        <f>-IF(Tabla14[[#This Row],[DIAS HABILES O MORA]]&lt;0,(Tabla14[[#This Row],[VALOR PRESTAMO]]*Tabla14[[#This Row],[% INTERES ]]/30*U1271))</f>
        <v>0</v>
      </c>
      <c r="T1271" s="53" t="e">
        <f>Tabla14[[#This Row],[DEUDA CAPITAL]]+Tabla14[[#This Row],[INTERES  CUOTA]]</f>
        <v>#NUM!</v>
      </c>
      <c r="U1271" s="61" t="str">
        <f t="shared" si="209"/>
        <v/>
      </c>
    </row>
    <row r="1272" spans="9:21" ht="24.75" customHeight="1" x14ac:dyDescent="0.35">
      <c r="I1272" s="42">
        <f t="shared" si="200"/>
        <v>0</v>
      </c>
      <c r="J1272" s="65" t="e">
        <f t="shared" si="201"/>
        <v>#NUM!</v>
      </c>
      <c r="K1272" s="83" t="e">
        <f t="shared" si="202"/>
        <v>#NUM!</v>
      </c>
      <c r="L1272" s="83">
        <f t="shared" si="203"/>
        <v>0</v>
      </c>
      <c r="M1272" s="110" t="str">
        <f t="shared" si="204"/>
        <v/>
      </c>
      <c r="N1272" s="51" t="str">
        <f t="shared" si="205"/>
        <v/>
      </c>
      <c r="O1272" s="52" t="str">
        <f t="shared" si="206"/>
        <v/>
      </c>
      <c r="P1272" s="88">
        <f t="shared" si="207"/>
        <v>0</v>
      </c>
      <c r="Q1272" s="88">
        <f t="shared" si="208"/>
        <v>0</v>
      </c>
      <c r="R1272" s="88" t="e">
        <f>-IF(Tabla14[[#This Row],[DIAS HABILES O MORA]]&lt;0,(Tabla14[[#This Row],[VALOR PRESTAMO]]*Tabla14[[#This Row],[% INTERES ]]/30*U1272))+Tabla14[[#This Row],[VALOR CUOTAS]]</f>
        <v>#VALUE!</v>
      </c>
      <c r="S1272" s="88">
        <f>-IF(Tabla14[[#This Row],[DIAS HABILES O MORA]]&lt;0,(Tabla14[[#This Row],[VALOR PRESTAMO]]*Tabla14[[#This Row],[% INTERES ]]/30*U1272))</f>
        <v>0</v>
      </c>
      <c r="T1272" s="53" t="e">
        <f>Tabla14[[#This Row],[DEUDA CAPITAL]]+Tabla14[[#This Row],[INTERES  CUOTA]]</f>
        <v>#NUM!</v>
      </c>
      <c r="U1272" s="61" t="str">
        <f t="shared" si="209"/>
        <v/>
      </c>
    </row>
    <row r="1273" spans="9:21" ht="24.75" customHeight="1" x14ac:dyDescent="0.35">
      <c r="I1273" s="42">
        <f t="shared" si="200"/>
        <v>0</v>
      </c>
      <c r="J1273" s="65" t="e">
        <f t="shared" si="201"/>
        <v>#NUM!</v>
      </c>
      <c r="K1273" s="83" t="e">
        <f t="shared" si="202"/>
        <v>#NUM!</v>
      </c>
      <c r="L1273" s="83">
        <f t="shared" si="203"/>
        <v>0</v>
      </c>
      <c r="M1273" s="110" t="str">
        <f t="shared" si="204"/>
        <v/>
      </c>
      <c r="N1273" s="51" t="str">
        <f t="shared" si="205"/>
        <v/>
      </c>
      <c r="O1273" s="52" t="str">
        <f t="shared" si="206"/>
        <v/>
      </c>
      <c r="P1273" s="88">
        <f t="shared" si="207"/>
        <v>0</v>
      </c>
      <c r="Q1273" s="88">
        <f t="shared" si="208"/>
        <v>0</v>
      </c>
      <c r="R1273" s="88" t="e">
        <f>-IF(Tabla14[[#This Row],[DIAS HABILES O MORA]]&lt;0,(Tabla14[[#This Row],[VALOR PRESTAMO]]*Tabla14[[#This Row],[% INTERES ]]/30*U1273))+Tabla14[[#This Row],[VALOR CUOTAS]]</f>
        <v>#VALUE!</v>
      </c>
      <c r="S1273" s="88">
        <f>-IF(Tabla14[[#This Row],[DIAS HABILES O MORA]]&lt;0,(Tabla14[[#This Row],[VALOR PRESTAMO]]*Tabla14[[#This Row],[% INTERES ]]/30*U1273))</f>
        <v>0</v>
      </c>
      <c r="T1273" s="53" t="e">
        <f>Tabla14[[#This Row],[DEUDA CAPITAL]]+Tabla14[[#This Row],[INTERES  CUOTA]]</f>
        <v>#NUM!</v>
      </c>
      <c r="U1273" s="61" t="str">
        <f t="shared" si="209"/>
        <v/>
      </c>
    </row>
    <row r="1274" spans="9:21" ht="24.75" customHeight="1" x14ac:dyDescent="0.35">
      <c r="I1274" s="42">
        <f t="shared" si="200"/>
        <v>0</v>
      </c>
      <c r="J1274" s="65" t="e">
        <f t="shared" si="201"/>
        <v>#NUM!</v>
      </c>
      <c r="K1274" s="83" t="e">
        <f t="shared" si="202"/>
        <v>#NUM!</v>
      </c>
      <c r="L1274" s="83">
        <f t="shared" si="203"/>
        <v>0</v>
      </c>
      <c r="M1274" s="110" t="str">
        <f t="shared" si="204"/>
        <v/>
      </c>
      <c r="N1274" s="51" t="str">
        <f t="shared" si="205"/>
        <v/>
      </c>
      <c r="O1274" s="52" t="str">
        <f t="shared" si="206"/>
        <v/>
      </c>
      <c r="P1274" s="88">
        <f t="shared" si="207"/>
        <v>0</v>
      </c>
      <c r="Q1274" s="88">
        <f t="shared" si="208"/>
        <v>0</v>
      </c>
      <c r="R1274" s="88" t="e">
        <f>-IF(Tabla14[[#This Row],[DIAS HABILES O MORA]]&lt;0,(Tabla14[[#This Row],[VALOR PRESTAMO]]*Tabla14[[#This Row],[% INTERES ]]/30*U1274))+Tabla14[[#This Row],[VALOR CUOTAS]]</f>
        <v>#VALUE!</v>
      </c>
      <c r="S1274" s="88">
        <f>-IF(Tabla14[[#This Row],[DIAS HABILES O MORA]]&lt;0,(Tabla14[[#This Row],[VALOR PRESTAMO]]*Tabla14[[#This Row],[% INTERES ]]/30*U1274))</f>
        <v>0</v>
      </c>
      <c r="T1274" s="53" t="e">
        <f>Tabla14[[#This Row],[DEUDA CAPITAL]]+Tabla14[[#This Row],[INTERES  CUOTA]]</f>
        <v>#NUM!</v>
      </c>
      <c r="U1274" s="61" t="str">
        <f t="shared" si="209"/>
        <v/>
      </c>
    </row>
    <row r="1275" spans="9:21" ht="24.75" customHeight="1" x14ac:dyDescent="0.35">
      <c r="I1275" s="42">
        <f t="shared" si="200"/>
        <v>0</v>
      </c>
      <c r="J1275" s="65" t="e">
        <f t="shared" si="201"/>
        <v>#NUM!</v>
      </c>
      <c r="K1275" s="83" t="e">
        <f t="shared" si="202"/>
        <v>#NUM!</v>
      </c>
      <c r="L1275" s="83">
        <f t="shared" si="203"/>
        <v>0</v>
      </c>
      <c r="M1275" s="110" t="str">
        <f t="shared" si="204"/>
        <v/>
      </c>
      <c r="N1275" s="51" t="str">
        <f t="shared" si="205"/>
        <v/>
      </c>
      <c r="O1275" s="52" t="str">
        <f t="shared" si="206"/>
        <v/>
      </c>
      <c r="P1275" s="88">
        <f t="shared" si="207"/>
        <v>0</v>
      </c>
      <c r="Q1275" s="88">
        <f t="shared" si="208"/>
        <v>0</v>
      </c>
      <c r="R1275" s="88" t="e">
        <f>-IF(Tabla14[[#This Row],[DIAS HABILES O MORA]]&lt;0,(Tabla14[[#This Row],[VALOR PRESTAMO]]*Tabla14[[#This Row],[% INTERES ]]/30*U1275))+Tabla14[[#This Row],[VALOR CUOTAS]]</f>
        <v>#VALUE!</v>
      </c>
      <c r="S1275" s="88">
        <f>-IF(Tabla14[[#This Row],[DIAS HABILES O MORA]]&lt;0,(Tabla14[[#This Row],[VALOR PRESTAMO]]*Tabla14[[#This Row],[% INTERES ]]/30*U1275))</f>
        <v>0</v>
      </c>
      <c r="T1275" s="53" t="e">
        <f>Tabla14[[#This Row],[DEUDA CAPITAL]]+Tabla14[[#This Row],[INTERES  CUOTA]]</f>
        <v>#NUM!</v>
      </c>
      <c r="U1275" s="61" t="str">
        <f t="shared" si="209"/>
        <v/>
      </c>
    </row>
    <row r="1276" spans="9:21" ht="24.75" customHeight="1" x14ac:dyDescent="0.35">
      <c r="I1276" s="42">
        <f t="shared" si="200"/>
        <v>0</v>
      </c>
      <c r="J1276" s="65" t="e">
        <f t="shared" si="201"/>
        <v>#NUM!</v>
      </c>
      <c r="K1276" s="83" t="e">
        <f t="shared" si="202"/>
        <v>#NUM!</v>
      </c>
      <c r="L1276" s="83">
        <f t="shared" si="203"/>
        <v>0</v>
      </c>
      <c r="M1276" s="110" t="str">
        <f t="shared" si="204"/>
        <v/>
      </c>
      <c r="N1276" s="51" t="str">
        <f t="shared" si="205"/>
        <v/>
      </c>
      <c r="O1276" s="52" t="str">
        <f t="shared" si="206"/>
        <v/>
      </c>
      <c r="P1276" s="88">
        <f t="shared" si="207"/>
        <v>0</v>
      </c>
      <c r="Q1276" s="88">
        <f t="shared" si="208"/>
        <v>0</v>
      </c>
      <c r="R1276" s="88" t="e">
        <f>-IF(Tabla14[[#This Row],[DIAS HABILES O MORA]]&lt;0,(Tabla14[[#This Row],[VALOR PRESTAMO]]*Tabla14[[#This Row],[% INTERES ]]/30*U1276))+Tabla14[[#This Row],[VALOR CUOTAS]]</f>
        <v>#VALUE!</v>
      </c>
      <c r="S1276" s="88">
        <f>-IF(Tabla14[[#This Row],[DIAS HABILES O MORA]]&lt;0,(Tabla14[[#This Row],[VALOR PRESTAMO]]*Tabla14[[#This Row],[% INTERES ]]/30*U1276))</f>
        <v>0</v>
      </c>
      <c r="T1276" s="53" t="e">
        <f>Tabla14[[#This Row],[DEUDA CAPITAL]]+Tabla14[[#This Row],[INTERES  CUOTA]]</f>
        <v>#NUM!</v>
      </c>
      <c r="U1276" s="61" t="str">
        <f t="shared" si="209"/>
        <v/>
      </c>
    </row>
    <row r="1277" spans="9:21" ht="24.75" customHeight="1" x14ac:dyDescent="0.35">
      <c r="I1277" s="42">
        <f t="shared" si="200"/>
        <v>0</v>
      </c>
      <c r="J1277" s="65" t="e">
        <f t="shared" si="201"/>
        <v>#NUM!</v>
      </c>
      <c r="K1277" s="83" t="e">
        <f t="shared" si="202"/>
        <v>#NUM!</v>
      </c>
      <c r="L1277" s="83">
        <f t="shared" si="203"/>
        <v>0</v>
      </c>
      <c r="M1277" s="110" t="str">
        <f t="shared" si="204"/>
        <v/>
      </c>
      <c r="N1277" s="51" t="str">
        <f t="shared" si="205"/>
        <v/>
      </c>
      <c r="O1277" s="52" t="str">
        <f t="shared" si="206"/>
        <v/>
      </c>
      <c r="P1277" s="88">
        <f t="shared" si="207"/>
        <v>0</v>
      </c>
      <c r="Q1277" s="88">
        <f t="shared" si="208"/>
        <v>0</v>
      </c>
      <c r="R1277" s="88" t="e">
        <f>-IF(Tabla14[[#This Row],[DIAS HABILES O MORA]]&lt;0,(Tabla14[[#This Row],[VALOR PRESTAMO]]*Tabla14[[#This Row],[% INTERES ]]/30*U1277))+Tabla14[[#This Row],[VALOR CUOTAS]]</f>
        <v>#VALUE!</v>
      </c>
      <c r="S1277" s="88">
        <f>-IF(Tabla14[[#This Row],[DIAS HABILES O MORA]]&lt;0,(Tabla14[[#This Row],[VALOR PRESTAMO]]*Tabla14[[#This Row],[% INTERES ]]/30*U1277))</f>
        <v>0</v>
      </c>
      <c r="T1277" s="53" t="e">
        <f>Tabla14[[#This Row],[DEUDA CAPITAL]]+Tabla14[[#This Row],[INTERES  CUOTA]]</f>
        <v>#NUM!</v>
      </c>
      <c r="U1277" s="61" t="str">
        <f t="shared" si="209"/>
        <v/>
      </c>
    </row>
    <row r="1278" spans="9:21" ht="24.75" customHeight="1" x14ac:dyDescent="0.35">
      <c r="I1278" s="42">
        <f t="shared" si="200"/>
        <v>0</v>
      </c>
      <c r="J1278" s="65" t="e">
        <f t="shared" si="201"/>
        <v>#NUM!</v>
      </c>
      <c r="K1278" s="83" t="e">
        <f t="shared" si="202"/>
        <v>#NUM!</v>
      </c>
      <c r="L1278" s="83">
        <f t="shared" si="203"/>
        <v>0</v>
      </c>
      <c r="M1278" s="110" t="str">
        <f t="shared" si="204"/>
        <v/>
      </c>
      <c r="N1278" s="51" t="str">
        <f t="shared" si="205"/>
        <v/>
      </c>
      <c r="O1278" s="52" t="str">
        <f t="shared" si="206"/>
        <v/>
      </c>
      <c r="P1278" s="88">
        <f t="shared" si="207"/>
        <v>0</v>
      </c>
      <c r="Q1278" s="88">
        <f t="shared" si="208"/>
        <v>0</v>
      </c>
      <c r="R1278" s="88" t="e">
        <f>-IF(Tabla14[[#This Row],[DIAS HABILES O MORA]]&lt;0,(Tabla14[[#This Row],[VALOR PRESTAMO]]*Tabla14[[#This Row],[% INTERES ]]/30*U1278))+Tabla14[[#This Row],[VALOR CUOTAS]]</f>
        <v>#VALUE!</v>
      </c>
      <c r="S1278" s="88">
        <f>-IF(Tabla14[[#This Row],[DIAS HABILES O MORA]]&lt;0,(Tabla14[[#This Row],[VALOR PRESTAMO]]*Tabla14[[#This Row],[% INTERES ]]/30*U1278))</f>
        <v>0</v>
      </c>
      <c r="T1278" s="53" t="e">
        <f>Tabla14[[#This Row],[DEUDA CAPITAL]]+Tabla14[[#This Row],[INTERES  CUOTA]]</f>
        <v>#NUM!</v>
      </c>
      <c r="U1278" s="61" t="str">
        <f t="shared" si="209"/>
        <v/>
      </c>
    </row>
    <row r="1279" spans="9:21" ht="24.75" customHeight="1" x14ac:dyDescent="0.35">
      <c r="I1279" s="42">
        <f t="shared" si="200"/>
        <v>0</v>
      </c>
      <c r="J1279" s="65" t="e">
        <f t="shared" si="201"/>
        <v>#NUM!</v>
      </c>
      <c r="K1279" s="83" t="e">
        <f t="shared" si="202"/>
        <v>#NUM!</v>
      </c>
      <c r="L1279" s="83">
        <f t="shared" si="203"/>
        <v>0</v>
      </c>
      <c r="M1279" s="110" t="str">
        <f t="shared" si="204"/>
        <v/>
      </c>
      <c r="N1279" s="51" t="str">
        <f t="shared" si="205"/>
        <v/>
      </c>
      <c r="O1279" s="52" t="str">
        <f t="shared" si="206"/>
        <v/>
      </c>
      <c r="P1279" s="88">
        <f t="shared" si="207"/>
        <v>0</v>
      </c>
      <c r="Q1279" s="88">
        <f t="shared" si="208"/>
        <v>0</v>
      </c>
      <c r="R1279" s="88" t="e">
        <f>-IF(Tabla14[[#This Row],[DIAS HABILES O MORA]]&lt;0,(Tabla14[[#This Row],[VALOR PRESTAMO]]*Tabla14[[#This Row],[% INTERES ]]/30*U1279))+Tabla14[[#This Row],[VALOR CUOTAS]]</f>
        <v>#VALUE!</v>
      </c>
      <c r="S1279" s="88">
        <f>-IF(Tabla14[[#This Row],[DIAS HABILES O MORA]]&lt;0,(Tabla14[[#This Row],[VALOR PRESTAMO]]*Tabla14[[#This Row],[% INTERES ]]/30*U1279))</f>
        <v>0</v>
      </c>
      <c r="T1279" s="53" t="e">
        <f>Tabla14[[#This Row],[DEUDA CAPITAL]]+Tabla14[[#This Row],[INTERES  CUOTA]]</f>
        <v>#NUM!</v>
      </c>
      <c r="U1279" s="61" t="str">
        <f t="shared" si="209"/>
        <v/>
      </c>
    </row>
    <row r="1280" spans="9:21" ht="24.75" customHeight="1" x14ac:dyDescent="0.35">
      <c r="I1280" s="42">
        <f t="shared" si="200"/>
        <v>0</v>
      </c>
      <c r="J1280" s="65" t="e">
        <f t="shared" si="201"/>
        <v>#NUM!</v>
      </c>
      <c r="K1280" s="83" t="e">
        <f t="shared" si="202"/>
        <v>#NUM!</v>
      </c>
      <c r="L1280" s="83">
        <f t="shared" si="203"/>
        <v>0</v>
      </c>
      <c r="M1280" s="110" t="str">
        <f t="shared" si="204"/>
        <v/>
      </c>
      <c r="N1280" s="51" t="str">
        <f t="shared" si="205"/>
        <v/>
      </c>
      <c r="O1280" s="52" t="str">
        <f t="shared" si="206"/>
        <v/>
      </c>
      <c r="P1280" s="88">
        <f t="shared" si="207"/>
        <v>0</v>
      </c>
      <c r="Q1280" s="88">
        <f t="shared" si="208"/>
        <v>0</v>
      </c>
      <c r="R1280" s="88" t="e">
        <f>-IF(Tabla14[[#This Row],[DIAS HABILES O MORA]]&lt;0,(Tabla14[[#This Row],[VALOR PRESTAMO]]*Tabla14[[#This Row],[% INTERES ]]/30*U1280))+Tabla14[[#This Row],[VALOR CUOTAS]]</f>
        <v>#VALUE!</v>
      </c>
      <c r="S1280" s="88">
        <f>-IF(Tabla14[[#This Row],[DIAS HABILES O MORA]]&lt;0,(Tabla14[[#This Row],[VALOR PRESTAMO]]*Tabla14[[#This Row],[% INTERES ]]/30*U1280))</f>
        <v>0</v>
      </c>
      <c r="T1280" s="53" t="e">
        <f>Tabla14[[#This Row],[DEUDA CAPITAL]]+Tabla14[[#This Row],[INTERES  CUOTA]]</f>
        <v>#NUM!</v>
      </c>
      <c r="U1280" s="61" t="str">
        <f t="shared" si="209"/>
        <v/>
      </c>
    </row>
    <row r="1281" spans="9:21" ht="24.75" customHeight="1" x14ac:dyDescent="0.35">
      <c r="I1281" s="42">
        <f t="shared" si="200"/>
        <v>0</v>
      </c>
      <c r="J1281" s="65" t="e">
        <f t="shared" si="201"/>
        <v>#NUM!</v>
      </c>
      <c r="K1281" s="83" t="e">
        <f t="shared" si="202"/>
        <v>#NUM!</v>
      </c>
      <c r="L1281" s="83">
        <f t="shared" si="203"/>
        <v>0</v>
      </c>
      <c r="M1281" s="110" t="str">
        <f t="shared" si="204"/>
        <v/>
      </c>
      <c r="N1281" s="51" t="str">
        <f t="shared" si="205"/>
        <v/>
      </c>
      <c r="O1281" s="52" t="str">
        <f t="shared" si="206"/>
        <v/>
      </c>
      <c r="P1281" s="88">
        <f t="shared" si="207"/>
        <v>0</v>
      </c>
      <c r="Q1281" s="88">
        <f t="shared" si="208"/>
        <v>0</v>
      </c>
      <c r="R1281" s="88" t="e">
        <f>-IF(Tabla14[[#This Row],[DIAS HABILES O MORA]]&lt;0,(Tabla14[[#This Row],[VALOR PRESTAMO]]*Tabla14[[#This Row],[% INTERES ]]/30*U1281))+Tabla14[[#This Row],[VALOR CUOTAS]]</f>
        <v>#VALUE!</v>
      </c>
      <c r="S1281" s="88">
        <f>-IF(Tabla14[[#This Row],[DIAS HABILES O MORA]]&lt;0,(Tabla14[[#This Row],[VALOR PRESTAMO]]*Tabla14[[#This Row],[% INTERES ]]/30*U1281))</f>
        <v>0</v>
      </c>
      <c r="T1281" s="53" t="e">
        <f>Tabla14[[#This Row],[DEUDA CAPITAL]]+Tabla14[[#This Row],[INTERES  CUOTA]]</f>
        <v>#NUM!</v>
      </c>
      <c r="U1281" s="61" t="str">
        <f t="shared" si="209"/>
        <v/>
      </c>
    </row>
    <row r="1282" spans="9:21" ht="24.75" customHeight="1" x14ac:dyDescent="0.35">
      <c r="I1282" s="42">
        <f t="shared" si="200"/>
        <v>0</v>
      </c>
      <c r="J1282" s="65" t="e">
        <f t="shared" si="201"/>
        <v>#NUM!</v>
      </c>
      <c r="K1282" s="83" t="e">
        <f t="shared" si="202"/>
        <v>#NUM!</v>
      </c>
      <c r="L1282" s="83">
        <f t="shared" si="203"/>
        <v>0</v>
      </c>
      <c r="M1282" s="110" t="str">
        <f t="shared" si="204"/>
        <v/>
      </c>
      <c r="N1282" s="51" t="str">
        <f t="shared" si="205"/>
        <v/>
      </c>
      <c r="O1282" s="52" t="str">
        <f t="shared" si="206"/>
        <v/>
      </c>
      <c r="P1282" s="88">
        <f t="shared" si="207"/>
        <v>0</v>
      </c>
      <c r="Q1282" s="88">
        <f t="shared" si="208"/>
        <v>0</v>
      </c>
      <c r="R1282" s="88" t="e">
        <f>-IF(Tabla14[[#This Row],[DIAS HABILES O MORA]]&lt;0,(Tabla14[[#This Row],[VALOR PRESTAMO]]*Tabla14[[#This Row],[% INTERES ]]/30*U1282))+Tabla14[[#This Row],[VALOR CUOTAS]]</f>
        <v>#VALUE!</v>
      </c>
      <c r="S1282" s="88">
        <f>-IF(Tabla14[[#This Row],[DIAS HABILES O MORA]]&lt;0,(Tabla14[[#This Row],[VALOR PRESTAMO]]*Tabla14[[#This Row],[% INTERES ]]/30*U1282))</f>
        <v>0</v>
      </c>
      <c r="T1282" s="53" t="e">
        <f>Tabla14[[#This Row],[DEUDA CAPITAL]]+Tabla14[[#This Row],[INTERES  CUOTA]]</f>
        <v>#NUM!</v>
      </c>
      <c r="U1282" s="61" t="str">
        <f t="shared" si="209"/>
        <v/>
      </c>
    </row>
    <row r="1283" spans="9:21" ht="24.75" customHeight="1" x14ac:dyDescent="0.35">
      <c r="I1283" s="42">
        <f t="shared" si="200"/>
        <v>0</v>
      </c>
      <c r="J1283" s="65" t="e">
        <f t="shared" si="201"/>
        <v>#NUM!</v>
      </c>
      <c r="K1283" s="83" t="e">
        <f t="shared" si="202"/>
        <v>#NUM!</v>
      </c>
      <c r="L1283" s="83">
        <f t="shared" si="203"/>
        <v>0</v>
      </c>
      <c r="M1283" s="110" t="str">
        <f t="shared" si="204"/>
        <v/>
      </c>
      <c r="N1283" s="51" t="str">
        <f t="shared" si="205"/>
        <v/>
      </c>
      <c r="O1283" s="52" t="str">
        <f t="shared" si="206"/>
        <v/>
      </c>
      <c r="P1283" s="88">
        <f t="shared" si="207"/>
        <v>0</v>
      </c>
      <c r="Q1283" s="88">
        <f t="shared" si="208"/>
        <v>0</v>
      </c>
      <c r="R1283" s="88" t="e">
        <f>-IF(Tabla14[[#This Row],[DIAS HABILES O MORA]]&lt;0,(Tabla14[[#This Row],[VALOR PRESTAMO]]*Tabla14[[#This Row],[% INTERES ]]/30*U1283))+Tabla14[[#This Row],[VALOR CUOTAS]]</f>
        <v>#VALUE!</v>
      </c>
      <c r="S1283" s="88">
        <f>-IF(Tabla14[[#This Row],[DIAS HABILES O MORA]]&lt;0,(Tabla14[[#This Row],[VALOR PRESTAMO]]*Tabla14[[#This Row],[% INTERES ]]/30*U1283))</f>
        <v>0</v>
      </c>
      <c r="T1283" s="53" t="e">
        <f>Tabla14[[#This Row],[DEUDA CAPITAL]]+Tabla14[[#This Row],[INTERES  CUOTA]]</f>
        <v>#NUM!</v>
      </c>
      <c r="U1283" s="61" t="str">
        <f t="shared" si="209"/>
        <v/>
      </c>
    </row>
    <row r="1284" spans="9:21" ht="24.75" customHeight="1" x14ac:dyDescent="0.35">
      <c r="I1284" s="42">
        <f t="shared" si="200"/>
        <v>0</v>
      </c>
      <c r="J1284" s="65" t="e">
        <f t="shared" si="201"/>
        <v>#NUM!</v>
      </c>
      <c r="K1284" s="83" t="e">
        <f t="shared" si="202"/>
        <v>#NUM!</v>
      </c>
      <c r="L1284" s="83">
        <f t="shared" si="203"/>
        <v>0</v>
      </c>
      <c r="M1284" s="110" t="str">
        <f t="shared" si="204"/>
        <v/>
      </c>
      <c r="N1284" s="51" t="str">
        <f t="shared" si="205"/>
        <v/>
      </c>
      <c r="O1284" s="52" t="str">
        <f t="shared" si="206"/>
        <v/>
      </c>
      <c r="P1284" s="88">
        <f t="shared" si="207"/>
        <v>0</v>
      </c>
      <c r="Q1284" s="88">
        <f t="shared" si="208"/>
        <v>0</v>
      </c>
      <c r="R1284" s="88" t="e">
        <f>-IF(Tabla14[[#This Row],[DIAS HABILES O MORA]]&lt;0,(Tabla14[[#This Row],[VALOR PRESTAMO]]*Tabla14[[#This Row],[% INTERES ]]/30*U1284))+Tabla14[[#This Row],[VALOR CUOTAS]]</f>
        <v>#VALUE!</v>
      </c>
      <c r="S1284" s="88">
        <f>-IF(Tabla14[[#This Row],[DIAS HABILES O MORA]]&lt;0,(Tabla14[[#This Row],[VALOR PRESTAMO]]*Tabla14[[#This Row],[% INTERES ]]/30*U1284))</f>
        <v>0</v>
      </c>
      <c r="T1284" s="53" t="e">
        <f>Tabla14[[#This Row],[DEUDA CAPITAL]]+Tabla14[[#This Row],[INTERES  CUOTA]]</f>
        <v>#NUM!</v>
      </c>
      <c r="U1284" s="61" t="str">
        <f t="shared" si="209"/>
        <v/>
      </c>
    </row>
    <row r="1285" spans="9:21" ht="24.75" customHeight="1" x14ac:dyDescent="0.35">
      <c r="I1285" s="42">
        <f t="shared" si="200"/>
        <v>0</v>
      </c>
      <c r="J1285" s="65" t="e">
        <f t="shared" si="201"/>
        <v>#NUM!</v>
      </c>
      <c r="K1285" s="83" t="e">
        <f t="shared" si="202"/>
        <v>#NUM!</v>
      </c>
      <c r="L1285" s="83">
        <f t="shared" si="203"/>
        <v>0</v>
      </c>
      <c r="M1285" s="110" t="str">
        <f t="shared" si="204"/>
        <v/>
      </c>
      <c r="N1285" s="51" t="str">
        <f t="shared" si="205"/>
        <v/>
      </c>
      <c r="O1285" s="52" t="str">
        <f t="shared" si="206"/>
        <v/>
      </c>
      <c r="P1285" s="88">
        <f t="shared" si="207"/>
        <v>0</v>
      </c>
      <c r="Q1285" s="88">
        <f t="shared" si="208"/>
        <v>0</v>
      </c>
      <c r="R1285" s="88" t="e">
        <f>-IF(Tabla14[[#This Row],[DIAS HABILES O MORA]]&lt;0,(Tabla14[[#This Row],[VALOR PRESTAMO]]*Tabla14[[#This Row],[% INTERES ]]/30*U1285))+Tabla14[[#This Row],[VALOR CUOTAS]]</f>
        <v>#VALUE!</v>
      </c>
      <c r="S1285" s="88">
        <f>-IF(Tabla14[[#This Row],[DIAS HABILES O MORA]]&lt;0,(Tabla14[[#This Row],[VALOR PRESTAMO]]*Tabla14[[#This Row],[% INTERES ]]/30*U1285))</f>
        <v>0</v>
      </c>
      <c r="T1285" s="53" t="e">
        <f>Tabla14[[#This Row],[DEUDA CAPITAL]]+Tabla14[[#This Row],[INTERES  CUOTA]]</f>
        <v>#NUM!</v>
      </c>
      <c r="U1285" s="61" t="str">
        <f t="shared" si="209"/>
        <v/>
      </c>
    </row>
    <row r="1286" spans="9:21" ht="24.75" customHeight="1" x14ac:dyDescent="0.35">
      <c r="I1286" s="42">
        <f t="shared" si="200"/>
        <v>0</v>
      </c>
      <c r="J1286" s="65" t="e">
        <f t="shared" si="201"/>
        <v>#NUM!</v>
      </c>
      <c r="K1286" s="83" t="e">
        <f t="shared" si="202"/>
        <v>#NUM!</v>
      </c>
      <c r="L1286" s="83">
        <f t="shared" si="203"/>
        <v>0</v>
      </c>
      <c r="M1286" s="110" t="str">
        <f t="shared" si="204"/>
        <v/>
      </c>
      <c r="N1286" s="51" t="str">
        <f t="shared" si="205"/>
        <v/>
      </c>
      <c r="O1286" s="52" t="str">
        <f t="shared" si="206"/>
        <v/>
      </c>
      <c r="P1286" s="88">
        <f t="shared" si="207"/>
        <v>0</v>
      </c>
      <c r="Q1286" s="88">
        <f t="shared" si="208"/>
        <v>0</v>
      </c>
      <c r="R1286" s="88" t="e">
        <f>-IF(Tabla14[[#This Row],[DIAS HABILES O MORA]]&lt;0,(Tabla14[[#This Row],[VALOR PRESTAMO]]*Tabla14[[#This Row],[% INTERES ]]/30*U1286))+Tabla14[[#This Row],[VALOR CUOTAS]]</f>
        <v>#VALUE!</v>
      </c>
      <c r="S1286" s="88">
        <f>-IF(Tabla14[[#This Row],[DIAS HABILES O MORA]]&lt;0,(Tabla14[[#This Row],[VALOR PRESTAMO]]*Tabla14[[#This Row],[% INTERES ]]/30*U1286))</f>
        <v>0</v>
      </c>
      <c r="T1286" s="53" t="e">
        <f>Tabla14[[#This Row],[DEUDA CAPITAL]]+Tabla14[[#This Row],[INTERES  CUOTA]]</f>
        <v>#NUM!</v>
      </c>
      <c r="U1286" s="61" t="str">
        <f t="shared" si="209"/>
        <v/>
      </c>
    </row>
    <row r="1287" spans="9:21" ht="24.75" customHeight="1" x14ac:dyDescent="0.35">
      <c r="I1287" s="42">
        <f t="shared" si="200"/>
        <v>0</v>
      </c>
      <c r="J1287" s="65" t="e">
        <f t="shared" si="201"/>
        <v>#NUM!</v>
      </c>
      <c r="K1287" s="83" t="e">
        <f t="shared" si="202"/>
        <v>#NUM!</v>
      </c>
      <c r="L1287" s="83">
        <f t="shared" si="203"/>
        <v>0</v>
      </c>
      <c r="M1287" s="110" t="str">
        <f t="shared" si="204"/>
        <v/>
      </c>
      <c r="N1287" s="51" t="str">
        <f t="shared" si="205"/>
        <v/>
      </c>
      <c r="O1287" s="52" t="str">
        <f t="shared" si="206"/>
        <v/>
      </c>
      <c r="P1287" s="88">
        <f t="shared" si="207"/>
        <v>0</v>
      </c>
      <c r="Q1287" s="88">
        <f t="shared" si="208"/>
        <v>0</v>
      </c>
      <c r="R1287" s="88" t="e">
        <f>-IF(Tabla14[[#This Row],[DIAS HABILES O MORA]]&lt;0,(Tabla14[[#This Row],[VALOR PRESTAMO]]*Tabla14[[#This Row],[% INTERES ]]/30*U1287))+Tabla14[[#This Row],[VALOR CUOTAS]]</f>
        <v>#VALUE!</v>
      </c>
      <c r="S1287" s="88">
        <f>-IF(Tabla14[[#This Row],[DIAS HABILES O MORA]]&lt;0,(Tabla14[[#This Row],[VALOR PRESTAMO]]*Tabla14[[#This Row],[% INTERES ]]/30*U1287))</f>
        <v>0</v>
      </c>
      <c r="T1287" s="53" t="e">
        <f>Tabla14[[#This Row],[DEUDA CAPITAL]]+Tabla14[[#This Row],[INTERES  CUOTA]]</f>
        <v>#NUM!</v>
      </c>
      <c r="U1287" s="61" t="str">
        <f t="shared" si="209"/>
        <v/>
      </c>
    </row>
    <row r="1288" spans="9:21" ht="24.75" customHeight="1" x14ac:dyDescent="0.35">
      <c r="I1288" s="42">
        <f t="shared" si="200"/>
        <v>0</v>
      </c>
      <c r="J1288" s="65" t="e">
        <f t="shared" si="201"/>
        <v>#NUM!</v>
      </c>
      <c r="K1288" s="83" t="e">
        <f t="shared" si="202"/>
        <v>#NUM!</v>
      </c>
      <c r="L1288" s="83">
        <f t="shared" si="203"/>
        <v>0</v>
      </c>
      <c r="M1288" s="110" t="str">
        <f t="shared" si="204"/>
        <v/>
      </c>
      <c r="N1288" s="51" t="str">
        <f t="shared" si="205"/>
        <v/>
      </c>
      <c r="O1288" s="52" t="str">
        <f t="shared" si="206"/>
        <v/>
      </c>
      <c r="P1288" s="88">
        <f t="shared" si="207"/>
        <v>0</v>
      </c>
      <c r="Q1288" s="88">
        <f t="shared" si="208"/>
        <v>0</v>
      </c>
      <c r="R1288" s="88" t="e">
        <f>-IF(Tabla14[[#This Row],[DIAS HABILES O MORA]]&lt;0,(Tabla14[[#This Row],[VALOR PRESTAMO]]*Tabla14[[#This Row],[% INTERES ]]/30*U1288))+Tabla14[[#This Row],[VALOR CUOTAS]]</f>
        <v>#VALUE!</v>
      </c>
      <c r="S1288" s="88">
        <f>-IF(Tabla14[[#This Row],[DIAS HABILES O MORA]]&lt;0,(Tabla14[[#This Row],[VALOR PRESTAMO]]*Tabla14[[#This Row],[% INTERES ]]/30*U1288))</f>
        <v>0</v>
      </c>
      <c r="T1288" s="53" t="e">
        <f>Tabla14[[#This Row],[DEUDA CAPITAL]]+Tabla14[[#This Row],[INTERES  CUOTA]]</f>
        <v>#NUM!</v>
      </c>
      <c r="U1288" s="61" t="str">
        <f t="shared" si="209"/>
        <v/>
      </c>
    </row>
    <row r="1289" spans="9:21" ht="24.75" customHeight="1" x14ac:dyDescent="0.35">
      <c r="I1289" s="42">
        <f t="shared" si="200"/>
        <v>0</v>
      </c>
      <c r="J1289" s="65" t="e">
        <f t="shared" si="201"/>
        <v>#NUM!</v>
      </c>
      <c r="K1289" s="83" t="e">
        <f t="shared" si="202"/>
        <v>#NUM!</v>
      </c>
      <c r="L1289" s="83">
        <f t="shared" si="203"/>
        <v>0</v>
      </c>
      <c r="M1289" s="110" t="str">
        <f t="shared" si="204"/>
        <v/>
      </c>
      <c r="N1289" s="51" t="str">
        <f t="shared" si="205"/>
        <v/>
      </c>
      <c r="O1289" s="52" t="str">
        <f t="shared" si="206"/>
        <v/>
      </c>
      <c r="P1289" s="88">
        <f t="shared" si="207"/>
        <v>0</v>
      </c>
      <c r="Q1289" s="88">
        <f t="shared" si="208"/>
        <v>0</v>
      </c>
      <c r="R1289" s="88" t="e">
        <f>-IF(Tabla14[[#This Row],[DIAS HABILES O MORA]]&lt;0,(Tabla14[[#This Row],[VALOR PRESTAMO]]*Tabla14[[#This Row],[% INTERES ]]/30*U1289))+Tabla14[[#This Row],[VALOR CUOTAS]]</f>
        <v>#VALUE!</v>
      </c>
      <c r="S1289" s="88">
        <f>-IF(Tabla14[[#This Row],[DIAS HABILES O MORA]]&lt;0,(Tabla14[[#This Row],[VALOR PRESTAMO]]*Tabla14[[#This Row],[% INTERES ]]/30*U1289))</f>
        <v>0</v>
      </c>
      <c r="T1289" s="53" t="e">
        <f>Tabla14[[#This Row],[DEUDA CAPITAL]]+Tabla14[[#This Row],[INTERES  CUOTA]]</f>
        <v>#NUM!</v>
      </c>
      <c r="U1289" s="61" t="str">
        <f t="shared" si="209"/>
        <v/>
      </c>
    </row>
    <row r="1290" spans="9:21" ht="24.75" customHeight="1" x14ac:dyDescent="0.35">
      <c r="I1290" s="42">
        <f t="shared" si="200"/>
        <v>0</v>
      </c>
      <c r="J1290" s="65" t="e">
        <f t="shared" si="201"/>
        <v>#NUM!</v>
      </c>
      <c r="K1290" s="83" t="e">
        <f t="shared" si="202"/>
        <v>#NUM!</v>
      </c>
      <c r="L1290" s="83">
        <f t="shared" si="203"/>
        <v>0</v>
      </c>
      <c r="M1290" s="110" t="str">
        <f t="shared" si="204"/>
        <v/>
      </c>
      <c r="N1290" s="51" t="str">
        <f t="shared" si="205"/>
        <v/>
      </c>
      <c r="O1290" s="52" t="str">
        <f t="shared" si="206"/>
        <v/>
      </c>
      <c r="P1290" s="88">
        <f t="shared" si="207"/>
        <v>0</v>
      </c>
      <c r="Q1290" s="88">
        <f t="shared" si="208"/>
        <v>0</v>
      </c>
      <c r="R1290" s="88" t="e">
        <f>-IF(Tabla14[[#This Row],[DIAS HABILES O MORA]]&lt;0,(Tabla14[[#This Row],[VALOR PRESTAMO]]*Tabla14[[#This Row],[% INTERES ]]/30*U1290))+Tabla14[[#This Row],[VALOR CUOTAS]]</f>
        <v>#VALUE!</v>
      </c>
      <c r="S1290" s="88">
        <f>-IF(Tabla14[[#This Row],[DIAS HABILES O MORA]]&lt;0,(Tabla14[[#This Row],[VALOR PRESTAMO]]*Tabla14[[#This Row],[% INTERES ]]/30*U1290))</f>
        <v>0</v>
      </c>
      <c r="T1290" s="53" t="e">
        <f>Tabla14[[#This Row],[DEUDA CAPITAL]]+Tabla14[[#This Row],[INTERES  CUOTA]]</f>
        <v>#NUM!</v>
      </c>
      <c r="U1290" s="61" t="str">
        <f t="shared" si="209"/>
        <v/>
      </c>
    </row>
    <row r="1291" spans="9:21" ht="24.75" customHeight="1" x14ac:dyDescent="0.35">
      <c r="I1291" s="42">
        <f t="shared" si="200"/>
        <v>0</v>
      </c>
      <c r="J1291" s="65" t="e">
        <f t="shared" si="201"/>
        <v>#NUM!</v>
      </c>
      <c r="K1291" s="83" t="e">
        <f t="shared" si="202"/>
        <v>#NUM!</v>
      </c>
      <c r="L1291" s="83">
        <f t="shared" si="203"/>
        <v>0</v>
      </c>
      <c r="M1291" s="110" t="str">
        <f t="shared" si="204"/>
        <v/>
      </c>
      <c r="N1291" s="51" t="str">
        <f t="shared" si="205"/>
        <v/>
      </c>
      <c r="O1291" s="52" t="str">
        <f t="shared" si="206"/>
        <v/>
      </c>
      <c r="P1291" s="88">
        <f t="shared" si="207"/>
        <v>0</v>
      </c>
      <c r="Q1291" s="88">
        <f t="shared" si="208"/>
        <v>0</v>
      </c>
      <c r="R1291" s="88" t="e">
        <f>-IF(Tabla14[[#This Row],[DIAS HABILES O MORA]]&lt;0,(Tabla14[[#This Row],[VALOR PRESTAMO]]*Tabla14[[#This Row],[% INTERES ]]/30*U1291))+Tabla14[[#This Row],[VALOR CUOTAS]]</f>
        <v>#VALUE!</v>
      </c>
      <c r="S1291" s="88">
        <f>-IF(Tabla14[[#This Row],[DIAS HABILES O MORA]]&lt;0,(Tabla14[[#This Row],[VALOR PRESTAMO]]*Tabla14[[#This Row],[% INTERES ]]/30*U1291))</f>
        <v>0</v>
      </c>
      <c r="T1291" s="53" t="e">
        <f>Tabla14[[#This Row],[DEUDA CAPITAL]]+Tabla14[[#This Row],[INTERES  CUOTA]]</f>
        <v>#NUM!</v>
      </c>
      <c r="U1291" s="61" t="str">
        <f t="shared" si="209"/>
        <v/>
      </c>
    </row>
    <row r="1292" spans="9:21" ht="24.75" customHeight="1" x14ac:dyDescent="0.35">
      <c r="I1292" s="42">
        <f t="shared" si="200"/>
        <v>0</v>
      </c>
      <c r="J1292" s="65" t="e">
        <f t="shared" si="201"/>
        <v>#NUM!</v>
      </c>
      <c r="K1292" s="83" t="e">
        <f t="shared" si="202"/>
        <v>#NUM!</v>
      </c>
      <c r="L1292" s="83">
        <f t="shared" si="203"/>
        <v>0</v>
      </c>
      <c r="M1292" s="110" t="str">
        <f t="shared" si="204"/>
        <v/>
      </c>
      <c r="N1292" s="51" t="str">
        <f t="shared" si="205"/>
        <v/>
      </c>
      <c r="O1292" s="52" t="str">
        <f t="shared" si="206"/>
        <v/>
      </c>
      <c r="P1292" s="88">
        <f t="shared" si="207"/>
        <v>0</v>
      </c>
      <c r="Q1292" s="88">
        <f t="shared" si="208"/>
        <v>0</v>
      </c>
      <c r="R1292" s="88" t="e">
        <f>-IF(Tabla14[[#This Row],[DIAS HABILES O MORA]]&lt;0,(Tabla14[[#This Row],[VALOR PRESTAMO]]*Tabla14[[#This Row],[% INTERES ]]/30*U1292))+Tabla14[[#This Row],[VALOR CUOTAS]]</f>
        <v>#VALUE!</v>
      </c>
      <c r="S1292" s="88">
        <f>-IF(Tabla14[[#This Row],[DIAS HABILES O MORA]]&lt;0,(Tabla14[[#This Row],[VALOR PRESTAMO]]*Tabla14[[#This Row],[% INTERES ]]/30*U1292))</f>
        <v>0</v>
      </c>
      <c r="T1292" s="53" t="e">
        <f>Tabla14[[#This Row],[DEUDA CAPITAL]]+Tabla14[[#This Row],[INTERES  CUOTA]]</f>
        <v>#NUM!</v>
      </c>
      <c r="U1292" s="61" t="str">
        <f t="shared" si="209"/>
        <v/>
      </c>
    </row>
    <row r="1293" spans="9:21" ht="24.75" customHeight="1" x14ac:dyDescent="0.35">
      <c r="I1293" s="42">
        <f t="shared" si="200"/>
        <v>0</v>
      </c>
      <c r="J1293" s="65" t="e">
        <f t="shared" si="201"/>
        <v>#NUM!</v>
      </c>
      <c r="K1293" s="83" t="e">
        <f t="shared" si="202"/>
        <v>#NUM!</v>
      </c>
      <c r="L1293" s="83">
        <f t="shared" si="203"/>
        <v>0</v>
      </c>
      <c r="M1293" s="110" t="str">
        <f t="shared" si="204"/>
        <v/>
      </c>
      <c r="N1293" s="51" t="str">
        <f t="shared" si="205"/>
        <v/>
      </c>
      <c r="O1293" s="52" t="str">
        <f t="shared" si="206"/>
        <v/>
      </c>
      <c r="P1293" s="88">
        <f t="shared" si="207"/>
        <v>0</v>
      </c>
      <c r="Q1293" s="88">
        <f t="shared" si="208"/>
        <v>0</v>
      </c>
      <c r="R1293" s="88" t="e">
        <f>-IF(Tabla14[[#This Row],[DIAS HABILES O MORA]]&lt;0,(Tabla14[[#This Row],[VALOR PRESTAMO]]*Tabla14[[#This Row],[% INTERES ]]/30*U1293))+Tabla14[[#This Row],[VALOR CUOTAS]]</f>
        <v>#VALUE!</v>
      </c>
      <c r="S1293" s="88">
        <f>-IF(Tabla14[[#This Row],[DIAS HABILES O MORA]]&lt;0,(Tabla14[[#This Row],[VALOR PRESTAMO]]*Tabla14[[#This Row],[% INTERES ]]/30*U1293))</f>
        <v>0</v>
      </c>
      <c r="T1293" s="53" t="e">
        <f>Tabla14[[#This Row],[DEUDA CAPITAL]]+Tabla14[[#This Row],[INTERES  CUOTA]]</f>
        <v>#NUM!</v>
      </c>
      <c r="U1293" s="61" t="str">
        <f t="shared" si="209"/>
        <v/>
      </c>
    </row>
    <row r="1294" spans="9:21" ht="24.75" customHeight="1" x14ac:dyDescent="0.35">
      <c r="I1294" s="42">
        <f t="shared" si="200"/>
        <v>0</v>
      </c>
      <c r="J1294" s="65" t="e">
        <f t="shared" si="201"/>
        <v>#NUM!</v>
      </c>
      <c r="K1294" s="83" t="e">
        <f t="shared" si="202"/>
        <v>#NUM!</v>
      </c>
      <c r="L1294" s="83">
        <f t="shared" si="203"/>
        <v>0</v>
      </c>
      <c r="M1294" s="110" t="str">
        <f t="shared" si="204"/>
        <v/>
      </c>
      <c r="N1294" s="51" t="str">
        <f t="shared" si="205"/>
        <v/>
      </c>
      <c r="O1294" s="52" t="str">
        <f t="shared" si="206"/>
        <v/>
      </c>
      <c r="P1294" s="88">
        <f t="shared" si="207"/>
        <v>0</v>
      </c>
      <c r="Q1294" s="88">
        <f t="shared" si="208"/>
        <v>0</v>
      </c>
      <c r="R1294" s="88" t="e">
        <f>-IF(Tabla14[[#This Row],[DIAS HABILES O MORA]]&lt;0,(Tabla14[[#This Row],[VALOR PRESTAMO]]*Tabla14[[#This Row],[% INTERES ]]/30*U1294))+Tabla14[[#This Row],[VALOR CUOTAS]]</f>
        <v>#VALUE!</v>
      </c>
      <c r="S1294" s="88">
        <f>-IF(Tabla14[[#This Row],[DIAS HABILES O MORA]]&lt;0,(Tabla14[[#This Row],[VALOR PRESTAMO]]*Tabla14[[#This Row],[% INTERES ]]/30*U1294))</f>
        <v>0</v>
      </c>
      <c r="T1294" s="53" t="e">
        <f>Tabla14[[#This Row],[DEUDA CAPITAL]]+Tabla14[[#This Row],[INTERES  CUOTA]]</f>
        <v>#NUM!</v>
      </c>
      <c r="U1294" s="61" t="str">
        <f t="shared" si="209"/>
        <v/>
      </c>
    </row>
    <row r="1295" spans="9:21" ht="24.75" customHeight="1" x14ac:dyDescent="0.35">
      <c r="I1295" s="42">
        <f t="shared" si="200"/>
        <v>0</v>
      </c>
      <c r="J1295" s="65" t="e">
        <f t="shared" si="201"/>
        <v>#NUM!</v>
      </c>
      <c r="K1295" s="83" t="e">
        <f t="shared" si="202"/>
        <v>#NUM!</v>
      </c>
      <c r="L1295" s="83">
        <f t="shared" si="203"/>
        <v>0</v>
      </c>
      <c r="M1295" s="110" t="str">
        <f t="shared" si="204"/>
        <v/>
      </c>
      <c r="N1295" s="51" t="str">
        <f t="shared" si="205"/>
        <v/>
      </c>
      <c r="O1295" s="52" t="str">
        <f t="shared" si="206"/>
        <v/>
      </c>
      <c r="P1295" s="88">
        <f t="shared" si="207"/>
        <v>0</v>
      </c>
      <c r="Q1295" s="88">
        <f t="shared" si="208"/>
        <v>0</v>
      </c>
      <c r="R1295" s="88" t="e">
        <f>-IF(Tabla14[[#This Row],[DIAS HABILES O MORA]]&lt;0,(Tabla14[[#This Row],[VALOR PRESTAMO]]*Tabla14[[#This Row],[% INTERES ]]/30*U1295))+Tabla14[[#This Row],[VALOR CUOTAS]]</f>
        <v>#VALUE!</v>
      </c>
      <c r="S1295" s="88">
        <f>-IF(Tabla14[[#This Row],[DIAS HABILES O MORA]]&lt;0,(Tabla14[[#This Row],[VALOR PRESTAMO]]*Tabla14[[#This Row],[% INTERES ]]/30*U1295))</f>
        <v>0</v>
      </c>
      <c r="T1295" s="53" t="e">
        <f>Tabla14[[#This Row],[DEUDA CAPITAL]]+Tabla14[[#This Row],[INTERES  CUOTA]]</f>
        <v>#NUM!</v>
      </c>
      <c r="U1295" s="61" t="str">
        <f t="shared" si="209"/>
        <v/>
      </c>
    </row>
    <row r="1296" spans="9:21" ht="24.75" customHeight="1" x14ac:dyDescent="0.35">
      <c r="I1296" s="42">
        <f t="shared" ref="I1296:I1359" si="210">IF(C1296&lt;0,"",IF(Q1296=0,0,IF(G1296=0,H1296+1,IF(H1296&lt;G1296,H1296+1,IF(G1296=H1296,0)))))</f>
        <v>0</v>
      </c>
      <c r="J1296" s="65" t="e">
        <f t="shared" ref="J1296:J1359" si="211">IF(F1296="SOLO INTERES",Q1296*D1296,-IPMT(D1296,I1296,G1296,C1296))</f>
        <v>#NUM!</v>
      </c>
      <c r="K1296" s="83" t="e">
        <f t="shared" ref="K1296:K1359" si="212">IF(F1296="SOLO INTERES",0,-PPMT(D1296,I1296,G1296,C1296))</f>
        <v>#NUM!</v>
      </c>
      <c r="L1296" s="83">
        <f t="shared" ref="L1296:L1359" si="213">IF(F1296="SOLO INTERES",SUM(Y1296:AAE1296),IFERROR(-CUMIPMT(D1296,G1296,C1296,1,H1296,0),0)+SUM(Y1296:WY1296))</f>
        <v>0</v>
      </c>
      <c r="M1296" s="110" t="str">
        <f t="shared" ref="M1296:M1359" si="214">IFERROR(IF(F1296="SOLO INTERES",Q1296*D1296,-PMT(D1296,G1296,C1296,0)),"")</f>
        <v/>
      </c>
      <c r="N1296" s="51" t="str">
        <f t="shared" ref="N1296:N1359" si="215">IF(Q1296=0,"",IF(E1296="MENSUAL",EDATE(B1296,I1296),IF(E1296="QUINCENAL",B1296+(I1296*15),IF(E1296="SEMANAL",B1296+(I1296*7)))))</f>
        <v/>
      </c>
      <c r="O1296" s="52" t="str">
        <f t="shared" ref="O1296:O1359" si="216">IF(C1296=0,"",IF(Q1296&lt;1,"PAGADO",IF(N1296=$A$3,"COBRAR HOY",IF(N1296&lt;$A$3,"EN MORA",IF(N1296&gt;$A$3,"AL DIA")))))</f>
        <v/>
      </c>
      <c r="P1296" s="88">
        <f t="shared" ref="P1296:P1359" si="217">IFERROR(-CUMPRINC(D1296,G1296,C1296,1,H1296,0),0)+W1296</f>
        <v>0</v>
      </c>
      <c r="Q1296" s="88">
        <f t="shared" ref="Q1296:Q1359" si="218">IFERROR(C1296-P1296,"")</f>
        <v>0</v>
      </c>
      <c r="R1296" s="88" t="e">
        <f>-IF(Tabla14[[#This Row],[DIAS HABILES O MORA]]&lt;0,(Tabla14[[#This Row],[VALOR PRESTAMO]]*Tabla14[[#This Row],[% INTERES ]]/30*U1296))+Tabla14[[#This Row],[VALOR CUOTAS]]</f>
        <v>#VALUE!</v>
      </c>
      <c r="S1296" s="88">
        <f>-IF(Tabla14[[#This Row],[DIAS HABILES O MORA]]&lt;0,(Tabla14[[#This Row],[VALOR PRESTAMO]]*Tabla14[[#This Row],[% INTERES ]]/30*U1296))</f>
        <v>0</v>
      </c>
      <c r="T1296" s="53" t="e">
        <f>Tabla14[[#This Row],[DEUDA CAPITAL]]+Tabla14[[#This Row],[INTERES  CUOTA]]</f>
        <v>#NUM!</v>
      </c>
      <c r="U1296" s="61" t="str">
        <f t="shared" ref="U1296:U1359" si="219">IF(O1296="PAGADO","",IFERROR(-IF(C1296=0,"",$A$3-N1296),""))</f>
        <v/>
      </c>
    </row>
    <row r="1297" spans="9:21" ht="24.75" customHeight="1" x14ac:dyDescent="0.35">
      <c r="I1297" s="42">
        <f t="shared" si="210"/>
        <v>0</v>
      </c>
      <c r="J1297" s="65" t="e">
        <f t="shared" si="211"/>
        <v>#NUM!</v>
      </c>
      <c r="K1297" s="83" t="e">
        <f t="shared" si="212"/>
        <v>#NUM!</v>
      </c>
      <c r="L1297" s="83">
        <f t="shared" si="213"/>
        <v>0</v>
      </c>
      <c r="M1297" s="110" t="str">
        <f t="shared" si="214"/>
        <v/>
      </c>
      <c r="N1297" s="51" t="str">
        <f t="shared" si="215"/>
        <v/>
      </c>
      <c r="O1297" s="52" t="str">
        <f t="shared" si="216"/>
        <v/>
      </c>
      <c r="P1297" s="88">
        <f t="shared" si="217"/>
        <v>0</v>
      </c>
      <c r="Q1297" s="88">
        <f t="shared" si="218"/>
        <v>0</v>
      </c>
      <c r="R1297" s="88" t="e">
        <f>-IF(Tabla14[[#This Row],[DIAS HABILES O MORA]]&lt;0,(Tabla14[[#This Row],[VALOR PRESTAMO]]*Tabla14[[#This Row],[% INTERES ]]/30*U1297))+Tabla14[[#This Row],[VALOR CUOTAS]]</f>
        <v>#VALUE!</v>
      </c>
      <c r="S1297" s="88">
        <f>-IF(Tabla14[[#This Row],[DIAS HABILES O MORA]]&lt;0,(Tabla14[[#This Row],[VALOR PRESTAMO]]*Tabla14[[#This Row],[% INTERES ]]/30*U1297))</f>
        <v>0</v>
      </c>
      <c r="T1297" s="53" t="e">
        <f>Tabla14[[#This Row],[DEUDA CAPITAL]]+Tabla14[[#This Row],[INTERES  CUOTA]]</f>
        <v>#NUM!</v>
      </c>
      <c r="U1297" s="61" t="str">
        <f t="shared" si="219"/>
        <v/>
      </c>
    </row>
    <row r="1298" spans="9:21" ht="24.75" customHeight="1" x14ac:dyDescent="0.35">
      <c r="I1298" s="42">
        <f t="shared" si="210"/>
        <v>0</v>
      </c>
      <c r="J1298" s="65" t="e">
        <f t="shared" si="211"/>
        <v>#NUM!</v>
      </c>
      <c r="K1298" s="83" t="e">
        <f t="shared" si="212"/>
        <v>#NUM!</v>
      </c>
      <c r="L1298" s="83">
        <f t="shared" si="213"/>
        <v>0</v>
      </c>
      <c r="M1298" s="110" t="str">
        <f t="shared" si="214"/>
        <v/>
      </c>
      <c r="N1298" s="51" t="str">
        <f t="shared" si="215"/>
        <v/>
      </c>
      <c r="O1298" s="52" t="str">
        <f t="shared" si="216"/>
        <v/>
      </c>
      <c r="P1298" s="88">
        <f t="shared" si="217"/>
        <v>0</v>
      </c>
      <c r="Q1298" s="88">
        <f t="shared" si="218"/>
        <v>0</v>
      </c>
      <c r="R1298" s="88" t="e">
        <f>-IF(Tabla14[[#This Row],[DIAS HABILES O MORA]]&lt;0,(Tabla14[[#This Row],[VALOR PRESTAMO]]*Tabla14[[#This Row],[% INTERES ]]/30*U1298))+Tabla14[[#This Row],[VALOR CUOTAS]]</f>
        <v>#VALUE!</v>
      </c>
      <c r="S1298" s="88">
        <f>-IF(Tabla14[[#This Row],[DIAS HABILES O MORA]]&lt;0,(Tabla14[[#This Row],[VALOR PRESTAMO]]*Tabla14[[#This Row],[% INTERES ]]/30*U1298))</f>
        <v>0</v>
      </c>
      <c r="T1298" s="53" t="e">
        <f>Tabla14[[#This Row],[DEUDA CAPITAL]]+Tabla14[[#This Row],[INTERES  CUOTA]]</f>
        <v>#NUM!</v>
      </c>
      <c r="U1298" s="61" t="str">
        <f t="shared" si="219"/>
        <v/>
      </c>
    </row>
    <row r="1299" spans="9:21" ht="24.75" customHeight="1" x14ac:dyDescent="0.35">
      <c r="I1299" s="42">
        <f t="shared" si="210"/>
        <v>0</v>
      </c>
      <c r="J1299" s="65" t="e">
        <f t="shared" si="211"/>
        <v>#NUM!</v>
      </c>
      <c r="K1299" s="83" t="e">
        <f t="shared" si="212"/>
        <v>#NUM!</v>
      </c>
      <c r="L1299" s="83">
        <f t="shared" si="213"/>
        <v>0</v>
      </c>
      <c r="M1299" s="110" t="str">
        <f t="shared" si="214"/>
        <v/>
      </c>
      <c r="N1299" s="51" t="str">
        <f t="shared" si="215"/>
        <v/>
      </c>
      <c r="O1299" s="52" t="str">
        <f t="shared" si="216"/>
        <v/>
      </c>
      <c r="P1299" s="88">
        <f t="shared" si="217"/>
        <v>0</v>
      </c>
      <c r="Q1299" s="88">
        <f t="shared" si="218"/>
        <v>0</v>
      </c>
      <c r="R1299" s="88" t="e">
        <f>-IF(Tabla14[[#This Row],[DIAS HABILES O MORA]]&lt;0,(Tabla14[[#This Row],[VALOR PRESTAMO]]*Tabla14[[#This Row],[% INTERES ]]/30*U1299))+Tabla14[[#This Row],[VALOR CUOTAS]]</f>
        <v>#VALUE!</v>
      </c>
      <c r="S1299" s="88">
        <f>-IF(Tabla14[[#This Row],[DIAS HABILES O MORA]]&lt;0,(Tabla14[[#This Row],[VALOR PRESTAMO]]*Tabla14[[#This Row],[% INTERES ]]/30*U1299))</f>
        <v>0</v>
      </c>
      <c r="T1299" s="53" t="e">
        <f>Tabla14[[#This Row],[DEUDA CAPITAL]]+Tabla14[[#This Row],[INTERES  CUOTA]]</f>
        <v>#NUM!</v>
      </c>
      <c r="U1299" s="61" t="str">
        <f t="shared" si="219"/>
        <v/>
      </c>
    </row>
    <row r="1300" spans="9:21" ht="24.75" customHeight="1" x14ac:dyDescent="0.35">
      <c r="I1300" s="42">
        <f t="shared" si="210"/>
        <v>0</v>
      </c>
      <c r="J1300" s="65" t="e">
        <f t="shared" si="211"/>
        <v>#NUM!</v>
      </c>
      <c r="K1300" s="83" t="e">
        <f t="shared" si="212"/>
        <v>#NUM!</v>
      </c>
      <c r="L1300" s="83">
        <f t="shared" si="213"/>
        <v>0</v>
      </c>
      <c r="M1300" s="110" t="str">
        <f t="shared" si="214"/>
        <v/>
      </c>
      <c r="N1300" s="51" t="str">
        <f t="shared" si="215"/>
        <v/>
      </c>
      <c r="O1300" s="52" t="str">
        <f t="shared" si="216"/>
        <v/>
      </c>
      <c r="P1300" s="88">
        <f t="shared" si="217"/>
        <v>0</v>
      </c>
      <c r="Q1300" s="88">
        <f t="shared" si="218"/>
        <v>0</v>
      </c>
      <c r="R1300" s="88" t="e">
        <f>-IF(Tabla14[[#This Row],[DIAS HABILES O MORA]]&lt;0,(Tabla14[[#This Row],[VALOR PRESTAMO]]*Tabla14[[#This Row],[% INTERES ]]/30*U1300))+Tabla14[[#This Row],[VALOR CUOTAS]]</f>
        <v>#VALUE!</v>
      </c>
      <c r="S1300" s="88">
        <f>-IF(Tabla14[[#This Row],[DIAS HABILES O MORA]]&lt;0,(Tabla14[[#This Row],[VALOR PRESTAMO]]*Tabla14[[#This Row],[% INTERES ]]/30*U1300))</f>
        <v>0</v>
      </c>
      <c r="T1300" s="53" t="e">
        <f>Tabla14[[#This Row],[DEUDA CAPITAL]]+Tabla14[[#This Row],[INTERES  CUOTA]]</f>
        <v>#NUM!</v>
      </c>
      <c r="U1300" s="61" t="str">
        <f t="shared" si="219"/>
        <v/>
      </c>
    </row>
    <row r="1301" spans="9:21" ht="24.75" customHeight="1" x14ac:dyDescent="0.35">
      <c r="I1301" s="42">
        <f t="shared" si="210"/>
        <v>0</v>
      </c>
      <c r="J1301" s="65" t="e">
        <f t="shared" si="211"/>
        <v>#NUM!</v>
      </c>
      <c r="K1301" s="83" t="e">
        <f t="shared" si="212"/>
        <v>#NUM!</v>
      </c>
      <c r="L1301" s="83">
        <f t="shared" si="213"/>
        <v>0</v>
      </c>
      <c r="M1301" s="110" t="str">
        <f t="shared" si="214"/>
        <v/>
      </c>
      <c r="N1301" s="51" t="str">
        <f t="shared" si="215"/>
        <v/>
      </c>
      <c r="O1301" s="52" t="str">
        <f t="shared" si="216"/>
        <v/>
      </c>
      <c r="P1301" s="88">
        <f t="shared" si="217"/>
        <v>0</v>
      </c>
      <c r="Q1301" s="88">
        <f t="shared" si="218"/>
        <v>0</v>
      </c>
      <c r="R1301" s="88" t="e">
        <f>-IF(Tabla14[[#This Row],[DIAS HABILES O MORA]]&lt;0,(Tabla14[[#This Row],[VALOR PRESTAMO]]*Tabla14[[#This Row],[% INTERES ]]/30*U1301))+Tabla14[[#This Row],[VALOR CUOTAS]]</f>
        <v>#VALUE!</v>
      </c>
      <c r="S1301" s="88">
        <f>-IF(Tabla14[[#This Row],[DIAS HABILES O MORA]]&lt;0,(Tabla14[[#This Row],[VALOR PRESTAMO]]*Tabla14[[#This Row],[% INTERES ]]/30*U1301))</f>
        <v>0</v>
      </c>
      <c r="T1301" s="53" t="e">
        <f>Tabla14[[#This Row],[DEUDA CAPITAL]]+Tabla14[[#This Row],[INTERES  CUOTA]]</f>
        <v>#NUM!</v>
      </c>
      <c r="U1301" s="61" t="str">
        <f t="shared" si="219"/>
        <v/>
      </c>
    </row>
    <row r="1302" spans="9:21" ht="24.75" customHeight="1" x14ac:dyDescent="0.35">
      <c r="I1302" s="42">
        <f t="shared" si="210"/>
        <v>0</v>
      </c>
      <c r="J1302" s="65" t="e">
        <f t="shared" si="211"/>
        <v>#NUM!</v>
      </c>
      <c r="K1302" s="83" t="e">
        <f t="shared" si="212"/>
        <v>#NUM!</v>
      </c>
      <c r="L1302" s="83">
        <f t="shared" si="213"/>
        <v>0</v>
      </c>
      <c r="M1302" s="110" t="str">
        <f t="shared" si="214"/>
        <v/>
      </c>
      <c r="N1302" s="51" t="str">
        <f t="shared" si="215"/>
        <v/>
      </c>
      <c r="O1302" s="52" t="str">
        <f t="shared" si="216"/>
        <v/>
      </c>
      <c r="P1302" s="88">
        <f t="shared" si="217"/>
        <v>0</v>
      </c>
      <c r="Q1302" s="88">
        <f t="shared" si="218"/>
        <v>0</v>
      </c>
      <c r="R1302" s="88" t="e">
        <f>-IF(Tabla14[[#This Row],[DIAS HABILES O MORA]]&lt;0,(Tabla14[[#This Row],[VALOR PRESTAMO]]*Tabla14[[#This Row],[% INTERES ]]/30*U1302))+Tabla14[[#This Row],[VALOR CUOTAS]]</f>
        <v>#VALUE!</v>
      </c>
      <c r="S1302" s="88">
        <f>-IF(Tabla14[[#This Row],[DIAS HABILES O MORA]]&lt;0,(Tabla14[[#This Row],[VALOR PRESTAMO]]*Tabla14[[#This Row],[% INTERES ]]/30*U1302))</f>
        <v>0</v>
      </c>
      <c r="T1302" s="53" t="e">
        <f>Tabla14[[#This Row],[DEUDA CAPITAL]]+Tabla14[[#This Row],[INTERES  CUOTA]]</f>
        <v>#NUM!</v>
      </c>
      <c r="U1302" s="61" t="str">
        <f t="shared" si="219"/>
        <v/>
      </c>
    </row>
    <row r="1303" spans="9:21" ht="24.75" customHeight="1" x14ac:dyDescent="0.35">
      <c r="I1303" s="42">
        <f t="shared" si="210"/>
        <v>0</v>
      </c>
      <c r="J1303" s="65" t="e">
        <f t="shared" si="211"/>
        <v>#NUM!</v>
      </c>
      <c r="K1303" s="83" t="e">
        <f t="shared" si="212"/>
        <v>#NUM!</v>
      </c>
      <c r="L1303" s="83">
        <f t="shared" si="213"/>
        <v>0</v>
      </c>
      <c r="M1303" s="110" t="str">
        <f t="shared" si="214"/>
        <v/>
      </c>
      <c r="N1303" s="51" t="str">
        <f t="shared" si="215"/>
        <v/>
      </c>
      <c r="O1303" s="52" t="str">
        <f t="shared" si="216"/>
        <v/>
      </c>
      <c r="P1303" s="88">
        <f t="shared" si="217"/>
        <v>0</v>
      </c>
      <c r="Q1303" s="88">
        <f t="shared" si="218"/>
        <v>0</v>
      </c>
      <c r="R1303" s="88" t="e">
        <f>-IF(Tabla14[[#This Row],[DIAS HABILES O MORA]]&lt;0,(Tabla14[[#This Row],[VALOR PRESTAMO]]*Tabla14[[#This Row],[% INTERES ]]/30*U1303))+Tabla14[[#This Row],[VALOR CUOTAS]]</f>
        <v>#VALUE!</v>
      </c>
      <c r="S1303" s="88">
        <f>-IF(Tabla14[[#This Row],[DIAS HABILES O MORA]]&lt;0,(Tabla14[[#This Row],[VALOR PRESTAMO]]*Tabla14[[#This Row],[% INTERES ]]/30*U1303))</f>
        <v>0</v>
      </c>
      <c r="T1303" s="53" t="e">
        <f>Tabla14[[#This Row],[DEUDA CAPITAL]]+Tabla14[[#This Row],[INTERES  CUOTA]]</f>
        <v>#NUM!</v>
      </c>
      <c r="U1303" s="61" t="str">
        <f t="shared" si="219"/>
        <v/>
      </c>
    </row>
    <row r="1304" spans="9:21" ht="24.75" customHeight="1" x14ac:dyDescent="0.35">
      <c r="I1304" s="42">
        <f t="shared" si="210"/>
        <v>0</v>
      </c>
      <c r="J1304" s="65" t="e">
        <f t="shared" si="211"/>
        <v>#NUM!</v>
      </c>
      <c r="K1304" s="83" t="e">
        <f t="shared" si="212"/>
        <v>#NUM!</v>
      </c>
      <c r="L1304" s="83">
        <f t="shared" si="213"/>
        <v>0</v>
      </c>
      <c r="M1304" s="110" t="str">
        <f t="shared" si="214"/>
        <v/>
      </c>
      <c r="N1304" s="51" t="str">
        <f t="shared" si="215"/>
        <v/>
      </c>
      <c r="O1304" s="52" t="str">
        <f t="shared" si="216"/>
        <v/>
      </c>
      <c r="P1304" s="88">
        <f t="shared" si="217"/>
        <v>0</v>
      </c>
      <c r="Q1304" s="88">
        <f t="shared" si="218"/>
        <v>0</v>
      </c>
      <c r="R1304" s="88" t="e">
        <f>-IF(Tabla14[[#This Row],[DIAS HABILES O MORA]]&lt;0,(Tabla14[[#This Row],[VALOR PRESTAMO]]*Tabla14[[#This Row],[% INTERES ]]/30*U1304))+Tabla14[[#This Row],[VALOR CUOTAS]]</f>
        <v>#VALUE!</v>
      </c>
      <c r="S1304" s="88">
        <f>-IF(Tabla14[[#This Row],[DIAS HABILES O MORA]]&lt;0,(Tabla14[[#This Row],[VALOR PRESTAMO]]*Tabla14[[#This Row],[% INTERES ]]/30*U1304))</f>
        <v>0</v>
      </c>
      <c r="T1304" s="53" t="e">
        <f>Tabla14[[#This Row],[DEUDA CAPITAL]]+Tabla14[[#This Row],[INTERES  CUOTA]]</f>
        <v>#NUM!</v>
      </c>
      <c r="U1304" s="61" t="str">
        <f t="shared" si="219"/>
        <v/>
      </c>
    </row>
    <row r="1305" spans="9:21" ht="24.75" customHeight="1" x14ac:dyDescent="0.35">
      <c r="I1305" s="42">
        <f t="shared" si="210"/>
        <v>0</v>
      </c>
      <c r="J1305" s="65" t="e">
        <f t="shared" si="211"/>
        <v>#NUM!</v>
      </c>
      <c r="K1305" s="83" t="e">
        <f t="shared" si="212"/>
        <v>#NUM!</v>
      </c>
      <c r="L1305" s="83">
        <f t="shared" si="213"/>
        <v>0</v>
      </c>
      <c r="M1305" s="110" t="str">
        <f t="shared" si="214"/>
        <v/>
      </c>
      <c r="N1305" s="51" t="str">
        <f t="shared" si="215"/>
        <v/>
      </c>
      <c r="O1305" s="52" t="str">
        <f t="shared" si="216"/>
        <v/>
      </c>
      <c r="P1305" s="88">
        <f t="shared" si="217"/>
        <v>0</v>
      </c>
      <c r="Q1305" s="88">
        <f t="shared" si="218"/>
        <v>0</v>
      </c>
      <c r="R1305" s="88" t="e">
        <f>-IF(Tabla14[[#This Row],[DIAS HABILES O MORA]]&lt;0,(Tabla14[[#This Row],[VALOR PRESTAMO]]*Tabla14[[#This Row],[% INTERES ]]/30*U1305))+Tabla14[[#This Row],[VALOR CUOTAS]]</f>
        <v>#VALUE!</v>
      </c>
      <c r="S1305" s="88">
        <f>-IF(Tabla14[[#This Row],[DIAS HABILES O MORA]]&lt;0,(Tabla14[[#This Row],[VALOR PRESTAMO]]*Tabla14[[#This Row],[% INTERES ]]/30*U1305))</f>
        <v>0</v>
      </c>
      <c r="T1305" s="53" t="e">
        <f>Tabla14[[#This Row],[DEUDA CAPITAL]]+Tabla14[[#This Row],[INTERES  CUOTA]]</f>
        <v>#NUM!</v>
      </c>
      <c r="U1305" s="61" t="str">
        <f t="shared" si="219"/>
        <v/>
      </c>
    </row>
    <row r="1306" spans="9:21" ht="24.75" customHeight="1" x14ac:dyDescent="0.35">
      <c r="I1306" s="42">
        <f t="shared" si="210"/>
        <v>0</v>
      </c>
      <c r="J1306" s="65" t="e">
        <f t="shared" si="211"/>
        <v>#NUM!</v>
      </c>
      <c r="K1306" s="83" t="e">
        <f t="shared" si="212"/>
        <v>#NUM!</v>
      </c>
      <c r="L1306" s="83">
        <f t="shared" si="213"/>
        <v>0</v>
      </c>
      <c r="M1306" s="110" t="str">
        <f t="shared" si="214"/>
        <v/>
      </c>
      <c r="N1306" s="51" t="str">
        <f t="shared" si="215"/>
        <v/>
      </c>
      <c r="O1306" s="52" t="str">
        <f t="shared" si="216"/>
        <v/>
      </c>
      <c r="P1306" s="88">
        <f t="shared" si="217"/>
        <v>0</v>
      </c>
      <c r="Q1306" s="88">
        <f t="shared" si="218"/>
        <v>0</v>
      </c>
      <c r="R1306" s="88" t="e">
        <f>-IF(Tabla14[[#This Row],[DIAS HABILES O MORA]]&lt;0,(Tabla14[[#This Row],[VALOR PRESTAMO]]*Tabla14[[#This Row],[% INTERES ]]/30*U1306))+Tabla14[[#This Row],[VALOR CUOTAS]]</f>
        <v>#VALUE!</v>
      </c>
      <c r="S1306" s="88">
        <f>-IF(Tabla14[[#This Row],[DIAS HABILES O MORA]]&lt;0,(Tabla14[[#This Row],[VALOR PRESTAMO]]*Tabla14[[#This Row],[% INTERES ]]/30*U1306))</f>
        <v>0</v>
      </c>
      <c r="T1306" s="53" t="e">
        <f>Tabla14[[#This Row],[DEUDA CAPITAL]]+Tabla14[[#This Row],[INTERES  CUOTA]]</f>
        <v>#NUM!</v>
      </c>
      <c r="U1306" s="61" t="str">
        <f t="shared" si="219"/>
        <v/>
      </c>
    </row>
    <row r="1307" spans="9:21" ht="24.75" customHeight="1" x14ac:dyDescent="0.35">
      <c r="I1307" s="42">
        <f t="shared" si="210"/>
        <v>0</v>
      </c>
      <c r="J1307" s="65" t="e">
        <f t="shared" si="211"/>
        <v>#NUM!</v>
      </c>
      <c r="K1307" s="83" t="e">
        <f t="shared" si="212"/>
        <v>#NUM!</v>
      </c>
      <c r="L1307" s="83">
        <f t="shared" si="213"/>
        <v>0</v>
      </c>
      <c r="M1307" s="110" t="str">
        <f t="shared" si="214"/>
        <v/>
      </c>
      <c r="N1307" s="51" t="str">
        <f t="shared" si="215"/>
        <v/>
      </c>
      <c r="O1307" s="52" t="str">
        <f t="shared" si="216"/>
        <v/>
      </c>
      <c r="P1307" s="88">
        <f t="shared" si="217"/>
        <v>0</v>
      </c>
      <c r="Q1307" s="88">
        <f t="shared" si="218"/>
        <v>0</v>
      </c>
      <c r="R1307" s="88" t="e">
        <f>-IF(Tabla14[[#This Row],[DIAS HABILES O MORA]]&lt;0,(Tabla14[[#This Row],[VALOR PRESTAMO]]*Tabla14[[#This Row],[% INTERES ]]/30*U1307))+Tabla14[[#This Row],[VALOR CUOTAS]]</f>
        <v>#VALUE!</v>
      </c>
      <c r="S1307" s="88">
        <f>-IF(Tabla14[[#This Row],[DIAS HABILES O MORA]]&lt;0,(Tabla14[[#This Row],[VALOR PRESTAMO]]*Tabla14[[#This Row],[% INTERES ]]/30*U1307))</f>
        <v>0</v>
      </c>
      <c r="T1307" s="53" t="e">
        <f>Tabla14[[#This Row],[DEUDA CAPITAL]]+Tabla14[[#This Row],[INTERES  CUOTA]]</f>
        <v>#NUM!</v>
      </c>
      <c r="U1307" s="61" t="str">
        <f t="shared" si="219"/>
        <v/>
      </c>
    </row>
    <row r="1308" spans="9:21" ht="24.75" customHeight="1" x14ac:dyDescent="0.35">
      <c r="I1308" s="42">
        <f t="shared" si="210"/>
        <v>0</v>
      </c>
      <c r="J1308" s="65" t="e">
        <f t="shared" si="211"/>
        <v>#NUM!</v>
      </c>
      <c r="K1308" s="83" t="e">
        <f t="shared" si="212"/>
        <v>#NUM!</v>
      </c>
      <c r="L1308" s="83">
        <f t="shared" si="213"/>
        <v>0</v>
      </c>
      <c r="M1308" s="110" t="str">
        <f t="shared" si="214"/>
        <v/>
      </c>
      <c r="N1308" s="51" t="str">
        <f t="shared" si="215"/>
        <v/>
      </c>
      <c r="O1308" s="52" t="str">
        <f t="shared" si="216"/>
        <v/>
      </c>
      <c r="P1308" s="88">
        <f t="shared" si="217"/>
        <v>0</v>
      </c>
      <c r="Q1308" s="88">
        <f t="shared" si="218"/>
        <v>0</v>
      </c>
      <c r="R1308" s="88" t="e">
        <f>-IF(Tabla14[[#This Row],[DIAS HABILES O MORA]]&lt;0,(Tabla14[[#This Row],[VALOR PRESTAMO]]*Tabla14[[#This Row],[% INTERES ]]/30*U1308))+Tabla14[[#This Row],[VALOR CUOTAS]]</f>
        <v>#VALUE!</v>
      </c>
      <c r="S1308" s="88">
        <f>-IF(Tabla14[[#This Row],[DIAS HABILES O MORA]]&lt;0,(Tabla14[[#This Row],[VALOR PRESTAMO]]*Tabla14[[#This Row],[% INTERES ]]/30*U1308))</f>
        <v>0</v>
      </c>
      <c r="T1308" s="53" t="e">
        <f>Tabla14[[#This Row],[DEUDA CAPITAL]]+Tabla14[[#This Row],[INTERES  CUOTA]]</f>
        <v>#NUM!</v>
      </c>
      <c r="U1308" s="61" t="str">
        <f t="shared" si="219"/>
        <v/>
      </c>
    </row>
    <row r="1309" spans="9:21" ht="24.75" customHeight="1" x14ac:dyDescent="0.35">
      <c r="I1309" s="42">
        <f t="shared" si="210"/>
        <v>0</v>
      </c>
      <c r="J1309" s="65" t="e">
        <f t="shared" si="211"/>
        <v>#NUM!</v>
      </c>
      <c r="K1309" s="83" t="e">
        <f t="shared" si="212"/>
        <v>#NUM!</v>
      </c>
      <c r="L1309" s="83">
        <f t="shared" si="213"/>
        <v>0</v>
      </c>
      <c r="M1309" s="110" t="str">
        <f t="shared" si="214"/>
        <v/>
      </c>
      <c r="N1309" s="51" t="str">
        <f t="shared" si="215"/>
        <v/>
      </c>
      <c r="O1309" s="52" t="str">
        <f t="shared" si="216"/>
        <v/>
      </c>
      <c r="P1309" s="88">
        <f t="shared" si="217"/>
        <v>0</v>
      </c>
      <c r="Q1309" s="88">
        <f t="shared" si="218"/>
        <v>0</v>
      </c>
      <c r="R1309" s="88" t="e">
        <f>-IF(Tabla14[[#This Row],[DIAS HABILES O MORA]]&lt;0,(Tabla14[[#This Row],[VALOR PRESTAMO]]*Tabla14[[#This Row],[% INTERES ]]/30*U1309))+Tabla14[[#This Row],[VALOR CUOTAS]]</f>
        <v>#VALUE!</v>
      </c>
      <c r="S1309" s="88">
        <f>-IF(Tabla14[[#This Row],[DIAS HABILES O MORA]]&lt;0,(Tabla14[[#This Row],[VALOR PRESTAMO]]*Tabla14[[#This Row],[% INTERES ]]/30*U1309))</f>
        <v>0</v>
      </c>
      <c r="T1309" s="53" t="e">
        <f>Tabla14[[#This Row],[DEUDA CAPITAL]]+Tabla14[[#This Row],[INTERES  CUOTA]]</f>
        <v>#NUM!</v>
      </c>
      <c r="U1309" s="61" t="str">
        <f t="shared" si="219"/>
        <v/>
      </c>
    </row>
    <row r="1310" spans="9:21" ht="24.75" customHeight="1" x14ac:dyDescent="0.35">
      <c r="I1310" s="42">
        <f t="shared" si="210"/>
        <v>0</v>
      </c>
      <c r="J1310" s="65" t="e">
        <f t="shared" si="211"/>
        <v>#NUM!</v>
      </c>
      <c r="K1310" s="83" t="e">
        <f t="shared" si="212"/>
        <v>#NUM!</v>
      </c>
      <c r="L1310" s="83">
        <f t="shared" si="213"/>
        <v>0</v>
      </c>
      <c r="M1310" s="110" t="str">
        <f t="shared" si="214"/>
        <v/>
      </c>
      <c r="N1310" s="51" t="str">
        <f t="shared" si="215"/>
        <v/>
      </c>
      <c r="O1310" s="52" t="str">
        <f t="shared" si="216"/>
        <v/>
      </c>
      <c r="P1310" s="88">
        <f t="shared" si="217"/>
        <v>0</v>
      </c>
      <c r="Q1310" s="88">
        <f t="shared" si="218"/>
        <v>0</v>
      </c>
      <c r="R1310" s="88" t="e">
        <f>-IF(Tabla14[[#This Row],[DIAS HABILES O MORA]]&lt;0,(Tabla14[[#This Row],[VALOR PRESTAMO]]*Tabla14[[#This Row],[% INTERES ]]/30*U1310))+Tabla14[[#This Row],[VALOR CUOTAS]]</f>
        <v>#VALUE!</v>
      </c>
      <c r="S1310" s="88">
        <f>-IF(Tabla14[[#This Row],[DIAS HABILES O MORA]]&lt;0,(Tabla14[[#This Row],[VALOR PRESTAMO]]*Tabla14[[#This Row],[% INTERES ]]/30*U1310))</f>
        <v>0</v>
      </c>
      <c r="T1310" s="53" t="e">
        <f>Tabla14[[#This Row],[DEUDA CAPITAL]]+Tabla14[[#This Row],[INTERES  CUOTA]]</f>
        <v>#NUM!</v>
      </c>
      <c r="U1310" s="61" t="str">
        <f t="shared" si="219"/>
        <v/>
      </c>
    </row>
    <row r="1311" spans="9:21" ht="24.75" customHeight="1" x14ac:dyDescent="0.35">
      <c r="I1311" s="42">
        <f t="shared" si="210"/>
        <v>0</v>
      </c>
      <c r="J1311" s="65" t="e">
        <f t="shared" si="211"/>
        <v>#NUM!</v>
      </c>
      <c r="K1311" s="83" t="e">
        <f t="shared" si="212"/>
        <v>#NUM!</v>
      </c>
      <c r="L1311" s="83">
        <f t="shared" si="213"/>
        <v>0</v>
      </c>
      <c r="M1311" s="110" t="str">
        <f t="shared" si="214"/>
        <v/>
      </c>
      <c r="N1311" s="51" t="str">
        <f t="shared" si="215"/>
        <v/>
      </c>
      <c r="O1311" s="52" t="str">
        <f t="shared" si="216"/>
        <v/>
      </c>
      <c r="P1311" s="88">
        <f t="shared" si="217"/>
        <v>0</v>
      </c>
      <c r="Q1311" s="88">
        <f t="shared" si="218"/>
        <v>0</v>
      </c>
      <c r="R1311" s="88" t="e">
        <f>-IF(Tabla14[[#This Row],[DIAS HABILES O MORA]]&lt;0,(Tabla14[[#This Row],[VALOR PRESTAMO]]*Tabla14[[#This Row],[% INTERES ]]/30*U1311))+Tabla14[[#This Row],[VALOR CUOTAS]]</f>
        <v>#VALUE!</v>
      </c>
      <c r="S1311" s="88">
        <f>-IF(Tabla14[[#This Row],[DIAS HABILES O MORA]]&lt;0,(Tabla14[[#This Row],[VALOR PRESTAMO]]*Tabla14[[#This Row],[% INTERES ]]/30*U1311))</f>
        <v>0</v>
      </c>
      <c r="T1311" s="53" t="e">
        <f>Tabla14[[#This Row],[DEUDA CAPITAL]]+Tabla14[[#This Row],[INTERES  CUOTA]]</f>
        <v>#NUM!</v>
      </c>
      <c r="U1311" s="61" t="str">
        <f t="shared" si="219"/>
        <v/>
      </c>
    </row>
    <row r="1312" spans="9:21" ht="24.75" customHeight="1" x14ac:dyDescent="0.35">
      <c r="I1312" s="42">
        <f t="shared" si="210"/>
        <v>0</v>
      </c>
      <c r="J1312" s="65" t="e">
        <f t="shared" si="211"/>
        <v>#NUM!</v>
      </c>
      <c r="K1312" s="83" t="e">
        <f t="shared" si="212"/>
        <v>#NUM!</v>
      </c>
      <c r="L1312" s="83">
        <f t="shared" si="213"/>
        <v>0</v>
      </c>
      <c r="M1312" s="110" t="str">
        <f t="shared" si="214"/>
        <v/>
      </c>
      <c r="N1312" s="51" t="str">
        <f t="shared" si="215"/>
        <v/>
      </c>
      <c r="O1312" s="52" t="str">
        <f t="shared" si="216"/>
        <v/>
      </c>
      <c r="P1312" s="88">
        <f t="shared" si="217"/>
        <v>0</v>
      </c>
      <c r="Q1312" s="88">
        <f t="shared" si="218"/>
        <v>0</v>
      </c>
      <c r="R1312" s="88" t="e">
        <f>-IF(Tabla14[[#This Row],[DIAS HABILES O MORA]]&lt;0,(Tabla14[[#This Row],[VALOR PRESTAMO]]*Tabla14[[#This Row],[% INTERES ]]/30*U1312))+Tabla14[[#This Row],[VALOR CUOTAS]]</f>
        <v>#VALUE!</v>
      </c>
      <c r="S1312" s="88">
        <f>-IF(Tabla14[[#This Row],[DIAS HABILES O MORA]]&lt;0,(Tabla14[[#This Row],[VALOR PRESTAMO]]*Tabla14[[#This Row],[% INTERES ]]/30*U1312))</f>
        <v>0</v>
      </c>
      <c r="T1312" s="53" t="e">
        <f>Tabla14[[#This Row],[DEUDA CAPITAL]]+Tabla14[[#This Row],[INTERES  CUOTA]]</f>
        <v>#NUM!</v>
      </c>
      <c r="U1312" s="61" t="str">
        <f t="shared" si="219"/>
        <v/>
      </c>
    </row>
    <row r="1313" spans="9:21" ht="24.75" customHeight="1" x14ac:dyDescent="0.35">
      <c r="I1313" s="42">
        <f t="shared" si="210"/>
        <v>0</v>
      </c>
      <c r="J1313" s="65" t="e">
        <f t="shared" si="211"/>
        <v>#NUM!</v>
      </c>
      <c r="K1313" s="83" t="e">
        <f t="shared" si="212"/>
        <v>#NUM!</v>
      </c>
      <c r="L1313" s="83">
        <f t="shared" si="213"/>
        <v>0</v>
      </c>
      <c r="M1313" s="110" t="str">
        <f t="shared" si="214"/>
        <v/>
      </c>
      <c r="N1313" s="51" t="str">
        <f t="shared" si="215"/>
        <v/>
      </c>
      <c r="O1313" s="52" t="str">
        <f t="shared" si="216"/>
        <v/>
      </c>
      <c r="P1313" s="88">
        <f t="shared" si="217"/>
        <v>0</v>
      </c>
      <c r="Q1313" s="88">
        <f t="shared" si="218"/>
        <v>0</v>
      </c>
      <c r="R1313" s="88" t="e">
        <f>-IF(Tabla14[[#This Row],[DIAS HABILES O MORA]]&lt;0,(Tabla14[[#This Row],[VALOR PRESTAMO]]*Tabla14[[#This Row],[% INTERES ]]/30*U1313))+Tabla14[[#This Row],[VALOR CUOTAS]]</f>
        <v>#VALUE!</v>
      </c>
      <c r="S1313" s="88">
        <f>-IF(Tabla14[[#This Row],[DIAS HABILES O MORA]]&lt;0,(Tabla14[[#This Row],[VALOR PRESTAMO]]*Tabla14[[#This Row],[% INTERES ]]/30*U1313))</f>
        <v>0</v>
      </c>
      <c r="T1313" s="53" t="e">
        <f>Tabla14[[#This Row],[DEUDA CAPITAL]]+Tabla14[[#This Row],[INTERES  CUOTA]]</f>
        <v>#NUM!</v>
      </c>
      <c r="U1313" s="61" t="str">
        <f t="shared" si="219"/>
        <v/>
      </c>
    </row>
    <row r="1314" spans="9:21" ht="24.75" customHeight="1" x14ac:dyDescent="0.35">
      <c r="I1314" s="42">
        <f t="shared" si="210"/>
        <v>0</v>
      </c>
      <c r="J1314" s="65" t="e">
        <f t="shared" si="211"/>
        <v>#NUM!</v>
      </c>
      <c r="K1314" s="83" t="e">
        <f t="shared" si="212"/>
        <v>#NUM!</v>
      </c>
      <c r="L1314" s="83">
        <f t="shared" si="213"/>
        <v>0</v>
      </c>
      <c r="M1314" s="110" t="str">
        <f t="shared" si="214"/>
        <v/>
      </c>
      <c r="N1314" s="51" t="str">
        <f t="shared" si="215"/>
        <v/>
      </c>
      <c r="O1314" s="52" t="str">
        <f t="shared" si="216"/>
        <v/>
      </c>
      <c r="P1314" s="88">
        <f t="shared" si="217"/>
        <v>0</v>
      </c>
      <c r="Q1314" s="88">
        <f t="shared" si="218"/>
        <v>0</v>
      </c>
      <c r="R1314" s="88" t="e">
        <f>-IF(Tabla14[[#This Row],[DIAS HABILES O MORA]]&lt;0,(Tabla14[[#This Row],[VALOR PRESTAMO]]*Tabla14[[#This Row],[% INTERES ]]/30*U1314))+Tabla14[[#This Row],[VALOR CUOTAS]]</f>
        <v>#VALUE!</v>
      </c>
      <c r="S1314" s="88">
        <f>-IF(Tabla14[[#This Row],[DIAS HABILES O MORA]]&lt;0,(Tabla14[[#This Row],[VALOR PRESTAMO]]*Tabla14[[#This Row],[% INTERES ]]/30*U1314))</f>
        <v>0</v>
      </c>
      <c r="T1314" s="53" t="e">
        <f>Tabla14[[#This Row],[DEUDA CAPITAL]]+Tabla14[[#This Row],[INTERES  CUOTA]]</f>
        <v>#NUM!</v>
      </c>
      <c r="U1314" s="61" t="str">
        <f t="shared" si="219"/>
        <v/>
      </c>
    </row>
    <row r="1315" spans="9:21" ht="24.75" customHeight="1" x14ac:dyDescent="0.35">
      <c r="I1315" s="42">
        <f t="shared" si="210"/>
        <v>0</v>
      </c>
      <c r="J1315" s="65" t="e">
        <f t="shared" si="211"/>
        <v>#NUM!</v>
      </c>
      <c r="K1315" s="83" t="e">
        <f t="shared" si="212"/>
        <v>#NUM!</v>
      </c>
      <c r="L1315" s="83">
        <f t="shared" si="213"/>
        <v>0</v>
      </c>
      <c r="M1315" s="110" t="str">
        <f t="shared" si="214"/>
        <v/>
      </c>
      <c r="N1315" s="51" t="str">
        <f t="shared" si="215"/>
        <v/>
      </c>
      <c r="O1315" s="52" t="str">
        <f t="shared" si="216"/>
        <v/>
      </c>
      <c r="P1315" s="88">
        <f t="shared" si="217"/>
        <v>0</v>
      </c>
      <c r="Q1315" s="88">
        <f t="shared" si="218"/>
        <v>0</v>
      </c>
      <c r="R1315" s="88" t="e">
        <f>-IF(Tabla14[[#This Row],[DIAS HABILES O MORA]]&lt;0,(Tabla14[[#This Row],[VALOR PRESTAMO]]*Tabla14[[#This Row],[% INTERES ]]/30*U1315))+Tabla14[[#This Row],[VALOR CUOTAS]]</f>
        <v>#VALUE!</v>
      </c>
      <c r="S1315" s="88">
        <f>-IF(Tabla14[[#This Row],[DIAS HABILES O MORA]]&lt;0,(Tabla14[[#This Row],[VALOR PRESTAMO]]*Tabla14[[#This Row],[% INTERES ]]/30*U1315))</f>
        <v>0</v>
      </c>
      <c r="T1315" s="53" t="e">
        <f>Tabla14[[#This Row],[DEUDA CAPITAL]]+Tabla14[[#This Row],[INTERES  CUOTA]]</f>
        <v>#NUM!</v>
      </c>
      <c r="U1315" s="61" t="str">
        <f t="shared" si="219"/>
        <v/>
      </c>
    </row>
    <row r="1316" spans="9:21" ht="24.75" customHeight="1" x14ac:dyDescent="0.35">
      <c r="I1316" s="42">
        <f t="shared" si="210"/>
        <v>0</v>
      </c>
      <c r="J1316" s="65" t="e">
        <f t="shared" si="211"/>
        <v>#NUM!</v>
      </c>
      <c r="K1316" s="83" t="e">
        <f t="shared" si="212"/>
        <v>#NUM!</v>
      </c>
      <c r="L1316" s="83">
        <f t="shared" si="213"/>
        <v>0</v>
      </c>
      <c r="M1316" s="110" t="str">
        <f t="shared" si="214"/>
        <v/>
      </c>
      <c r="N1316" s="51" t="str">
        <f t="shared" si="215"/>
        <v/>
      </c>
      <c r="O1316" s="52" t="str">
        <f t="shared" si="216"/>
        <v/>
      </c>
      <c r="P1316" s="88">
        <f t="shared" si="217"/>
        <v>0</v>
      </c>
      <c r="Q1316" s="88">
        <f t="shared" si="218"/>
        <v>0</v>
      </c>
      <c r="R1316" s="88" t="e">
        <f>-IF(Tabla14[[#This Row],[DIAS HABILES O MORA]]&lt;0,(Tabla14[[#This Row],[VALOR PRESTAMO]]*Tabla14[[#This Row],[% INTERES ]]/30*U1316))+Tabla14[[#This Row],[VALOR CUOTAS]]</f>
        <v>#VALUE!</v>
      </c>
      <c r="S1316" s="88">
        <f>-IF(Tabla14[[#This Row],[DIAS HABILES O MORA]]&lt;0,(Tabla14[[#This Row],[VALOR PRESTAMO]]*Tabla14[[#This Row],[% INTERES ]]/30*U1316))</f>
        <v>0</v>
      </c>
      <c r="T1316" s="53" t="e">
        <f>Tabla14[[#This Row],[DEUDA CAPITAL]]+Tabla14[[#This Row],[INTERES  CUOTA]]</f>
        <v>#NUM!</v>
      </c>
      <c r="U1316" s="61" t="str">
        <f t="shared" si="219"/>
        <v/>
      </c>
    </row>
    <row r="1317" spans="9:21" ht="24.75" customHeight="1" x14ac:dyDescent="0.35">
      <c r="I1317" s="42">
        <f t="shared" si="210"/>
        <v>0</v>
      </c>
      <c r="J1317" s="65" t="e">
        <f t="shared" si="211"/>
        <v>#NUM!</v>
      </c>
      <c r="K1317" s="83" t="e">
        <f t="shared" si="212"/>
        <v>#NUM!</v>
      </c>
      <c r="L1317" s="83">
        <f t="shared" si="213"/>
        <v>0</v>
      </c>
      <c r="M1317" s="110" t="str">
        <f t="shared" si="214"/>
        <v/>
      </c>
      <c r="N1317" s="51" t="str">
        <f t="shared" si="215"/>
        <v/>
      </c>
      <c r="O1317" s="52" t="str">
        <f t="shared" si="216"/>
        <v/>
      </c>
      <c r="P1317" s="88">
        <f t="shared" si="217"/>
        <v>0</v>
      </c>
      <c r="Q1317" s="88">
        <f t="shared" si="218"/>
        <v>0</v>
      </c>
      <c r="R1317" s="88" t="e">
        <f>-IF(Tabla14[[#This Row],[DIAS HABILES O MORA]]&lt;0,(Tabla14[[#This Row],[VALOR PRESTAMO]]*Tabla14[[#This Row],[% INTERES ]]/30*U1317))+Tabla14[[#This Row],[VALOR CUOTAS]]</f>
        <v>#VALUE!</v>
      </c>
      <c r="S1317" s="88">
        <f>-IF(Tabla14[[#This Row],[DIAS HABILES O MORA]]&lt;0,(Tabla14[[#This Row],[VALOR PRESTAMO]]*Tabla14[[#This Row],[% INTERES ]]/30*U1317))</f>
        <v>0</v>
      </c>
      <c r="T1317" s="53" t="e">
        <f>Tabla14[[#This Row],[DEUDA CAPITAL]]+Tabla14[[#This Row],[INTERES  CUOTA]]</f>
        <v>#NUM!</v>
      </c>
      <c r="U1317" s="61" t="str">
        <f t="shared" si="219"/>
        <v/>
      </c>
    </row>
    <row r="1318" spans="9:21" ht="24.75" customHeight="1" x14ac:dyDescent="0.35">
      <c r="I1318" s="42">
        <f t="shared" si="210"/>
        <v>0</v>
      </c>
      <c r="J1318" s="65" t="e">
        <f t="shared" si="211"/>
        <v>#NUM!</v>
      </c>
      <c r="K1318" s="83" t="e">
        <f t="shared" si="212"/>
        <v>#NUM!</v>
      </c>
      <c r="L1318" s="83">
        <f t="shared" si="213"/>
        <v>0</v>
      </c>
      <c r="M1318" s="110" t="str">
        <f t="shared" si="214"/>
        <v/>
      </c>
      <c r="N1318" s="51" t="str">
        <f t="shared" si="215"/>
        <v/>
      </c>
      <c r="O1318" s="52" t="str">
        <f t="shared" si="216"/>
        <v/>
      </c>
      <c r="P1318" s="88">
        <f t="shared" si="217"/>
        <v>0</v>
      </c>
      <c r="Q1318" s="88">
        <f t="shared" si="218"/>
        <v>0</v>
      </c>
      <c r="R1318" s="88" t="e">
        <f>-IF(Tabla14[[#This Row],[DIAS HABILES O MORA]]&lt;0,(Tabla14[[#This Row],[VALOR PRESTAMO]]*Tabla14[[#This Row],[% INTERES ]]/30*U1318))+Tabla14[[#This Row],[VALOR CUOTAS]]</f>
        <v>#VALUE!</v>
      </c>
      <c r="S1318" s="88">
        <f>-IF(Tabla14[[#This Row],[DIAS HABILES O MORA]]&lt;0,(Tabla14[[#This Row],[VALOR PRESTAMO]]*Tabla14[[#This Row],[% INTERES ]]/30*U1318))</f>
        <v>0</v>
      </c>
      <c r="T1318" s="53" t="e">
        <f>Tabla14[[#This Row],[DEUDA CAPITAL]]+Tabla14[[#This Row],[INTERES  CUOTA]]</f>
        <v>#NUM!</v>
      </c>
      <c r="U1318" s="61" t="str">
        <f t="shared" si="219"/>
        <v/>
      </c>
    </row>
    <row r="1319" spans="9:21" ht="24.75" customHeight="1" x14ac:dyDescent="0.35">
      <c r="I1319" s="42">
        <f t="shared" si="210"/>
        <v>0</v>
      </c>
      <c r="J1319" s="65" t="e">
        <f t="shared" si="211"/>
        <v>#NUM!</v>
      </c>
      <c r="K1319" s="83" t="e">
        <f t="shared" si="212"/>
        <v>#NUM!</v>
      </c>
      <c r="L1319" s="83">
        <f t="shared" si="213"/>
        <v>0</v>
      </c>
      <c r="M1319" s="110" t="str">
        <f t="shared" si="214"/>
        <v/>
      </c>
      <c r="N1319" s="51" t="str">
        <f t="shared" si="215"/>
        <v/>
      </c>
      <c r="O1319" s="52" t="str">
        <f t="shared" si="216"/>
        <v/>
      </c>
      <c r="P1319" s="88">
        <f t="shared" si="217"/>
        <v>0</v>
      </c>
      <c r="Q1319" s="88">
        <f t="shared" si="218"/>
        <v>0</v>
      </c>
      <c r="R1319" s="88" t="e">
        <f>-IF(Tabla14[[#This Row],[DIAS HABILES O MORA]]&lt;0,(Tabla14[[#This Row],[VALOR PRESTAMO]]*Tabla14[[#This Row],[% INTERES ]]/30*U1319))+Tabla14[[#This Row],[VALOR CUOTAS]]</f>
        <v>#VALUE!</v>
      </c>
      <c r="S1319" s="88">
        <f>-IF(Tabla14[[#This Row],[DIAS HABILES O MORA]]&lt;0,(Tabla14[[#This Row],[VALOR PRESTAMO]]*Tabla14[[#This Row],[% INTERES ]]/30*U1319))</f>
        <v>0</v>
      </c>
      <c r="T1319" s="53" t="e">
        <f>Tabla14[[#This Row],[DEUDA CAPITAL]]+Tabla14[[#This Row],[INTERES  CUOTA]]</f>
        <v>#NUM!</v>
      </c>
      <c r="U1319" s="61" t="str">
        <f t="shared" si="219"/>
        <v/>
      </c>
    </row>
    <row r="1320" spans="9:21" ht="24.75" customHeight="1" x14ac:dyDescent="0.35">
      <c r="I1320" s="42">
        <f t="shared" si="210"/>
        <v>0</v>
      </c>
      <c r="J1320" s="65" t="e">
        <f t="shared" si="211"/>
        <v>#NUM!</v>
      </c>
      <c r="K1320" s="83" t="e">
        <f t="shared" si="212"/>
        <v>#NUM!</v>
      </c>
      <c r="L1320" s="83">
        <f t="shared" si="213"/>
        <v>0</v>
      </c>
      <c r="M1320" s="110" t="str">
        <f t="shared" si="214"/>
        <v/>
      </c>
      <c r="N1320" s="51" t="str">
        <f t="shared" si="215"/>
        <v/>
      </c>
      <c r="O1320" s="52" t="str">
        <f t="shared" si="216"/>
        <v/>
      </c>
      <c r="P1320" s="88">
        <f t="shared" si="217"/>
        <v>0</v>
      </c>
      <c r="Q1320" s="88">
        <f t="shared" si="218"/>
        <v>0</v>
      </c>
      <c r="R1320" s="88" t="e">
        <f>-IF(Tabla14[[#This Row],[DIAS HABILES O MORA]]&lt;0,(Tabla14[[#This Row],[VALOR PRESTAMO]]*Tabla14[[#This Row],[% INTERES ]]/30*U1320))+Tabla14[[#This Row],[VALOR CUOTAS]]</f>
        <v>#VALUE!</v>
      </c>
      <c r="S1320" s="88">
        <f>-IF(Tabla14[[#This Row],[DIAS HABILES O MORA]]&lt;0,(Tabla14[[#This Row],[VALOR PRESTAMO]]*Tabla14[[#This Row],[% INTERES ]]/30*U1320))</f>
        <v>0</v>
      </c>
      <c r="T1320" s="53" t="e">
        <f>Tabla14[[#This Row],[DEUDA CAPITAL]]+Tabla14[[#This Row],[INTERES  CUOTA]]</f>
        <v>#NUM!</v>
      </c>
      <c r="U1320" s="61" t="str">
        <f t="shared" si="219"/>
        <v/>
      </c>
    </row>
    <row r="1321" spans="9:21" ht="24.75" customHeight="1" x14ac:dyDescent="0.35">
      <c r="I1321" s="42">
        <f t="shared" si="210"/>
        <v>0</v>
      </c>
      <c r="J1321" s="65" t="e">
        <f t="shared" si="211"/>
        <v>#NUM!</v>
      </c>
      <c r="K1321" s="83" t="e">
        <f t="shared" si="212"/>
        <v>#NUM!</v>
      </c>
      <c r="L1321" s="83">
        <f t="shared" si="213"/>
        <v>0</v>
      </c>
      <c r="M1321" s="110" t="str">
        <f t="shared" si="214"/>
        <v/>
      </c>
      <c r="N1321" s="51" t="str">
        <f t="shared" si="215"/>
        <v/>
      </c>
      <c r="O1321" s="52" t="str">
        <f t="shared" si="216"/>
        <v/>
      </c>
      <c r="P1321" s="88">
        <f t="shared" si="217"/>
        <v>0</v>
      </c>
      <c r="Q1321" s="88">
        <f t="shared" si="218"/>
        <v>0</v>
      </c>
      <c r="R1321" s="88" t="e">
        <f>-IF(Tabla14[[#This Row],[DIAS HABILES O MORA]]&lt;0,(Tabla14[[#This Row],[VALOR PRESTAMO]]*Tabla14[[#This Row],[% INTERES ]]/30*U1321))+Tabla14[[#This Row],[VALOR CUOTAS]]</f>
        <v>#VALUE!</v>
      </c>
      <c r="S1321" s="88">
        <f>-IF(Tabla14[[#This Row],[DIAS HABILES O MORA]]&lt;0,(Tabla14[[#This Row],[VALOR PRESTAMO]]*Tabla14[[#This Row],[% INTERES ]]/30*U1321))</f>
        <v>0</v>
      </c>
      <c r="T1321" s="53" t="e">
        <f>Tabla14[[#This Row],[DEUDA CAPITAL]]+Tabla14[[#This Row],[INTERES  CUOTA]]</f>
        <v>#NUM!</v>
      </c>
      <c r="U1321" s="61" t="str">
        <f t="shared" si="219"/>
        <v/>
      </c>
    </row>
    <row r="1322" spans="9:21" ht="24.75" customHeight="1" x14ac:dyDescent="0.35">
      <c r="I1322" s="42">
        <f t="shared" si="210"/>
        <v>0</v>
      </c>
      <c r="J1322" s="65" t="e">
        <f t="shared" si="211"/>
        <v>#NUM!</v>
      </c>
      <c r="K1322" s="83" t="e">
        <f t="shared" si="212"/>
        <v>#NUM!</v>
      </c>
      <c r="L1322" s="83">
        <f t="shared" si="213"/>
        <v>0</v>
      </c>
      <c r="M1322" s="110" t="str">
        <f t="shared" si="214"/>
        <v/>
      </c>
      <c r="N1322" s="51" t="str">
        <f t="shared" si="215"/>
        <v/>
      </c>
      <c r="O1322" s="52" t="str">
        <f t="shared" si="216"/>
        <v/>
      </c>
      <c r="P1322" s="88">
        <f t="shared" si="217"/>
        <v>0</v>
      </c>
      <c r="Q1322" s="88">
        <f t="shared" si="218"/>
        <v>0</v>
      </c>
      <c r="R1322" s="88" t="e">
        <f>-IF(Tabla14[[#This Row],[DIAS HABILES O MORA]]&lt;0,(Tabla14[[#This Row],[VALOR PRESTAMO]]*Tabla14[[#This Row],[% INTERES ]]/30*U1322))+Tabla14[[#This Row],[VALOR CUOTAS]]</f>
        <v>#VALUE!</v>
      </c>
      <c r="S1322" s="88">
        <f>-IF(Tabla14[[#This Row],[DIAS HABILES O MORA]]&lt;0,(Tabla14[[#This Row],[VALOR PRESTAMO]]*Tabla14[[#This Row],[% INTERES ]]/30*U1322))</f>
        <v>0</v>
      </c>
      <c r="T1322" s="53" t="e">
        <f>Tabla14[[#This Row],[DEUDA CAPITAL]]+Tabla14[[#This Row],[INTERES  CUOTA]]</f>
        <v>#NUM!</v>
      </c>
      <c r="U1322" s="61" t="str">
        <f t="shared" si="219"/>
        <v/>
      </c>
    </row>
    <row r="1323" spans="9:21" ht="24.75" customHeight="1" x14ac:dyDescent="0.35">
      <c r="I1323" s="42">
        <f t="shared" si="210"/>
        <v>0</v>
      </c>
      <c r="J1323" s="65" t="e">
        <f t="shared" si="211"/>
        <v>#NUM!</v>
      </c>
      <c r="K1323" s="83" t="e">
        <f t="shared" si="212"/>
        <v>#NUM!</v>
      </c>
      <c r="L1323" s="83">
        <f t="shared" si="213"/>
        <v>0</v>
      </c>
      <c r="M1323" s="110" t="str">
        <f t="shared" si="214"/>
        <v/>
      </c>
      <c r="N1323" s="51" t="str">
        <f t="shared" si="215"/>
        <v/>
      </c>
      <c r="O1323" s="52" t="str">
        <f t="shared" si="216"/>
        <v/>
      </c>
      <c r="P1323" s="88">
        <f t="shared" si="217"/>
        <v>0</v>
      </c>
      <c r="Q1323" s="88">
        <f t="shared" si="218"/>
        <v>0</v>
      </c>
      <c r="R1323" s="88" t="e">
        <f>-IF(Tabla14[[#This Row],[DIAS HABILES O MORA]]&lt;0,(Tabla14[[#This Row],[VALOR PRESTAMO]]*Tabla14[[#This Row],[% INTERES ]]/30*U1323))+Tabla14[[#This Row],[VALOR CUOTAS]]</f>
        <v>#VALUE!</v>
      </c>
      <c r="S1323" s="88">
        <f>-IF(Tabla14[[#This Row],[DIAS HABILES O MORA]]&lt;0,(Tabla14[[#This Row],[VALOR PRESTAMO]]*Tabla14[[#This Row],[% INTERES ]]/30*U1323))</f>
        <v>0</v>
      </c>
      <c r="T1323" s="53" t="e">
        <f>Tabla14[[#This Row],[DEUDA CAPITAL]]+Tabla14[[#This Row],[INTERES  CUOTA]]</f>
        <v>#NUM!</v>
      </c>
      <c r="U1323" s="61" t="str">
        <f t="shared" si="219"/>
        <v/>
      </c>
    </row>
    <row r="1324" spans="9:21" ht="24.75" customHeight="1" x14ac:dyDescent="0.35">
      <c r="I1324" s="42">
        <f t="shared" si="210"/>
        <v>0</v>
      </c>
      <c r="J1324" s="65" t="e">
        <f t="shared" si="211"/>
        <v>#NUM!</v>
      </c>
      <c r="K1324" s="83" t="e">
        <f t="shared" si="212"/>
        <v>#NUM!</v>
      </c>
      <c r="L1324" s="83">
        <f t="shared" si="213"/>
        <v>0</v>
      </c>
      <c r="M1324" s="110" t="str">
        <f t="shared" si="214"/>
        <v/>
      </c>
      <c r="N1324" s="51" t="str">
        <f t="shared" si="215"/>
        <v/>
      </c>
      <c r="O1324" s="52" t="str">
        <f t="shared" si="216"/>
        <v/>
      </c>
      <c r="P1324" s="88">
        <f t="shared" si="217"/>
        <v>0</v>
      </c>
      <c r="Q1324" s="88">
        <f t="shared" si="218"/>
        <v>0</v>
      </c>
      <c r="R1324" s="88" t="e">
        <f>-IF(Tabla14[[#This Row],[DIAS HABILES O MORA]]&lt;0,(Tabla14[[#This Row],[VALOR PRESTAMO]]*Tabla14[[#This Row],[% INTERES ]]/30*U1324))+Tabla14[[#This Row],[VALOR CUOTAS]]</f>
        <v>#VALUE!</v>
      </c>
      <c r="S1324" s="88">
        <f>-IF(Tabla14[[#This Row],[DIAS HABILES O MORA]]&lt;0,(Tabla14[[#This Row],[VALOR PRESTAMO]]*Tabla14[[#This Row],[% INTERES ]]/30*U1324))</f>
        <v>0</v>
      </c>
      <c r="T1324" s="53" t="e">
        <f>Tabla14[[#This Row],[DEUDA CAPITAL]]+Tabla14[[#This Row],[INTERES  CUOTA]]</f>
        <v>#NUM!</v>
      </c>
      <c r="U1324" s="61" t="str">
        <f t="shared" si="219"/>
        <v/>
      </c>
    </row>
    <row r="1325" spans="9:21" ht="24.75" customHeight="1" x14ac:dyDescent="0.35">
      <c r="I1325" s="42">
        <f t="shared" si="210"/>
        <v>0</v>
      </c>
      <c r="J1325" s="65" t="e">
        <f t="shared" si="211"/>
        <v>#NUM!</v>
      </c>
      <c r="K1325" s="83" t="e">
        <f t="shared" si="212"/>
        <v>#NUM!</v>
      </c>
      <c r="L1325" s="83">
        <f t="shared" si="213"/>
        <v>0</v>
      </c>
      <c r="M1325" s="110" t="str">
        <f t="shared" si="214"/>
        <v/>
      </c>
      <c r="N1325" s="51" t="str">
        <f t="shared" si="215"/>
        <v/>
      </c>
      <c r="O1325" s="52" t="str">
        <f t="shared" si="216"/>
        <v/>
      </c>
      <c r="P1325" s="88">
        <f t="shared" si="217"/>
        <v>0</v>
      </c>
      <c r="Q1325" s="88">
        <f t="shared" si="218"/>
        <v>0</v>
      </c>
      <c r="R1325" s="88" t="e">
        <f>-IF(Tabla14[[#This Row],[DIAS HABILES O MORA]]&lt;0,(Tabla14[[#This Row],[VALOR PRESTAMO]]*Tabla14[[#This Row],[% INTERES ]]/30*U1325))+Tabla14[[#This Row],[VALOR CUOTAS]]</f>
        <v>#VALUE!</v>
      </c>
      <c r="S1325" s="88">
        <f>-IF(Tabla14[[#This Row],[DIAS HABILES O MORA]]&lt;0,(Tabla14[[#This Row],[VALOR PRESTAMO]]*Tabla14[[#This Row],[% INTERES ]]/30*U1325))</f>
        <v>0</v>
      </c>
      <c r="T1325" s="53" t="e">
        <f>Tabla14[[#This Row],[DEUDA CAPITAL]]+Tabla14[[#This Row],[INTERES  CUOTA]]</f>
        <v>#NUM!</v>
      </c>
      <c r="U1325" s="61" t="str">
        <f t="shared" si="219"/>
        <v/>
      </c>
    </row>
    <row r="1326" spans="9:21" ht="24.75" customHeight="1" x14ac:dyDescent="0.35">
      <c r="I1326" s="42">
        <f t="shared" si="210"/>
        <v>0</v>
      </c>
      <c r="J1326" s="65" t="e">
        <f t="shared" si="211"/>
        <v>#NUM!</v>
      </c>
      <c r="K1326" s="83" t="e">
        <f t="shared" si="212"/>
        <v>#NUM!</v>
      </c>
      <c r="L1326" s="83">
        <f t="shared" si="213"/>
        <v>0</v>
      </c>
      <c r="M1326" s="110" t="str">
        <f t="shared" si="214"/>
        <v/>
      </c>
      <c r="N1326" s="51" t="str">
        <f t="shared" si="215"/>
        <v/>
      </c>
      <c r="O1326" s="52" t="str">
        <f t="shared" si="216"/>
        <v/>
      </c>
      <c r="P1326" s="88">
        <f t="shared" si="217"/>
        <v>0</v>
      </c>
      <c r="Q1326" s="88">
        <f t="shared" si="218"/>
        <v>0</v>
      </c>
      <c r="R1326" s="88" t="e">
        <f>-IF(Tabla14[[#This Row],[DIAS HABILES O MORA]]&lt;0,(Tabla14[[#This Row],[VALOR PRESTAMO]]*Tabla14[[#This Row],[% INTERES ]]/30*U1326))+Tabla14[[#This Row],[VALOR CUOTAS]]</f>
        <v>#VALUE!</v>
      </c>
      <c r="S1326" s="88">
        <f>-IF(Tabla14[[#This Row],[DIAS HABILES O MORA]]&lt;0,(Tabla14[[#This Row],[VALOR PRESTAMO]]*Tabla14[[#This Row],[% INTERES ]]/30*U1326))</f>
        <v>0</v>
      </c>
      <c r="T1326" s="53" t="e">
        <f>Tabla14[[#This Row],[DEUDA CAPITAL]]+Tabla14[[#This Row],[INTERES  CUOTA]]</f>
        <v>#NUM!</v>
      </c>
      <c r="U1326" s="61" t="str">
        <f t="shared" si="219"/>
        <v/>
      </c>
    </row>
    <row r="1327" spans="9:21" ht="24.75" customHeight="1" x14ac:dyDescent="0.35">
      <c r="I1327" s="42">
        <f t="shared" si="210"/>
        <v>0</v>
      </c>
      <c r="J1327" s="65" t="e">
        <f t="shared" si="211"/>
        <v>#NUM!</v>
      </c>
      <c r="K1327" s="83" t="e">
        <f t="shared" si="212"/>
        <v>#NUM!</v>
      </c>
      <c r="L1327" s="83">
        <f t="shared" si="213"/>
        <v>0</v>
      </c>
      <c r="M1327" s="110" t="str">
        <f t="shared" si="214"/>
        <v/>
      </c>
      <c r="N1327" s="51" t="str">
        <f t="shared" si="215"/>
        <v/>
      </c>
      <c r="O1327" s="52" t="str">
        <f t="shared" si="216"/>
        <v/>
      </c>
      <c r="P1327" s="88">
        <f t="shared" si="217"/>
        <v>0</v>
      </c>
      <c r="Q1327" s="88">
        <f t="shared" si="218"/>
        <v>0</v>
      </c>
      <c r="R1327" s="88" t="e">
        <f>-IF(Tabla14[[#This Row],[DIAS HABILES O MORA]]&lt;0,(Tabla14[[#This Row],[VALOR PRESTAMO]]*Tabla14[[#This Row],[% INTERES ]]/30*U1327))+Tabla14[[#This Row],[VALOR CUOTAS]]</f>
        <v>#VALUE!</v>
      </c>
      <c r="S1327" s="88">
        <f>-IF(Tabla14[[#This Row],[DIAS HABILES O MORA]]&lt;0,(Tabla14[[#This Row],[VALOR PRESTAMO]]*Tabla14[[#This Row],[% INTERES ]]/30*U1327))</f>
        <v>0</v>
      </c>
      <c r="T1327" s="53" t="e">
        <f>Tabla14[[#This Row],[DEUDA CAPITAL]]+Tabla14[[#This Row],[INTERES  CUOTA]]</f>
        <v>#NUM!</v>
      </c>
      <c r="U1327" s="61" t="str">
        <f t="shared" si="219"/>
        <v/>
      </c>
    </row>
    <row r="1328" spans="9:21" ht="24.75" customHeight="1" x14ac:dyDescent="0.35">
      <c r="I1328" s="42">
        <f t="shared" si="210"/>
        <v>0</v>
      </c>
      <c r="J1328" s="65" t="e">
        <f t="shared" si="211"/>
        <v>#NUM!</v>
      </c>
      <c r="K1328" s="83" t="e">
        <f t="shared" si="212"/>
        <v>#NUM!</v>
      </c>
      <c r="L1328" s="83">
        <f t="shared" si="213"/>
        <v>0</v>
      </c>
      <c r="M1328" s="110" t="str">
        <f t="shared" si="214"/>
        <v/>
      </c>
      <c r="N1328" s="51" t="str">
        <f t="shared" si="215"/>
        <v/>
      </c>
      <c r="O1328" s="52" t="str">
        <f t="shared" si="216"/>
        <v/>
      </c>
      <c r="P1328" s="88">
        <f t="shared" si="217"/>
        <v>0</v>
      </c>
      <c r="Q1328" s="88">
        <f t="shared" si="218"/>
        <v>0</v>
      </c>
      <c r="R1328" s="88" t="e">
        <f>-IF(Tabla14[[#This Row],[DIAS HABILES O MORA]]&lt;0,(Tabla14[[#This Row],[VALOR PRESTAMO]]*Tabla14[[#This Row],[% INTERES ]]/30*U1328))+Tabla14[[#This Row],[VALOR CUOTAS]]</f>
        <v>#VALUE!</v>
      </c>
      <c r="S1328" s="88">
        <f>-IF(Tabla14[[#This Row],[DIAS HABILES O MORA]]&lt;0,(Tabla14[[#This Row],[VALOR PRESTAMO]]*Tabla14[[#This Row],[% INTERES ]]/30*U1328))</f>
        <v>0</v>
      </c>
      <c r="T1328" s="53" t="e">
        <f>Tabla14[[#This Row],[DEUDA CAPITAL]]+Tabla14[[#This Row],[INTERES  CUOTA]]</f>
        <v>#NUM!</v>
      </c>
      <c r="U1328" s="61" t="str">
        <f t="shared" si="219"/>
        <v/>
      </c>
    </row>
    <row r="1329" spans="9:21" ht="24.75" customHeight="1" x14ac:dyDescent="0.35">
      <c r="I1329" s="42">
        <f t="shared" si="210"/>
        <v>0</v>
      </c>
      <c r="J1329" s="65" t="e">
        <f t="shared" si="211"/>
        <v>#NUM!</v>
      </c>
      <c r="K1329" s="83" t="e">
        <f t="shared" si="212"/>
        <v>#NUM!</v>
      </c>
      <c r="L1329" s="83">
        <f t="shared" si="213"/>
        <v>0</v>
      </c>
      <c r="M1329" s="110" t="str">
        <f t="shared" si="214"/>
        <v/>
      </c>
      <c r="N1329" s="51" t="str">
        <f t="shared" si="215"/>
        <v/>
      </c>
      <c r="O1329" s="52" t="str">
        <f t="shared" si="216"/>
        <v/>
      </c>
      <c r="P1329" s="88">
        <f t="shared" si="217"/>
        <v>0</v>
      </c>
      <c r="Q1329" s="88">
        <f t="shared" si="218"/>
        <v>0</v>
      </c>
      <c r="R1329" s="88" t="e">
        <f>-IF(Tabla14[[#This Row],[DIAS HABILES O MORA]]&lt;0,(Tabla14[[#This Row],[VALOR PRESTAMO]]*Tabla14[[#This Row],[% INTERES ]]/30*U1329))+Tabla14[[#This Row],[VALOR CUOTAS]]</f>
        <v>#VALUE!</v>
      </c>
      <c r="S1329" s="88">
        <f>-IF(Tabla14[[#This Row],[DIAS HABILES O MORA]]&lt;0,(Tabla14[[#This Row],[VALOR PRESTAMO]]*Tabla14[[#This Row],[% INTERES ]]/30*U1329))</f>
        <v>0</v>
      </c>
      <c r="T1329" s="53" t="e">
        <f>Tabla14[[#This Row],[DEUDA CAPITAL]]+Tabla14[[#This Row],[INTERES  CUOTA]]</f>
        <v>#NUM!</v>
      </c>
      <c r="U1329" s="61" t="str">
        <f t="shared" si="219"/>
        <v/>
      </c>
    </row>
    <row r="1330" spans="9:21" ht="24.75" customHeight="1" x14ac:dyDescent="0.35">
      <c r="I1330" s="42">
        <f t="shared" si="210"/>
        <v>0</v>
      </c>
      <c r="J1330" s="65" t="e">
        <f t="shared" si="211"/>
        <v>#NUM!</v>
      </c>
      <c r="K1330" s="83" t="e">
        <f t="shared" si="212"/>
        <v>#NUM!</v>
      </c>
      <c r="L1330" s="83">
        <f t="shared" si="213"/>
        <v>0</v>
      </c>
      <c r="M1330" s="110" t="str">
        <f t="shared" si="214"/>
        <v/>
      </c>
      <c r="N1330" s="51" t="str">
        <f t="shared" si="215"/>
        <v/>
      </c>
      <c r="O1330" s="52" t="str">
        <f t="shared" si="216"/>
        <v/>
      </c>
      <c r="P1330" s="88">
        <f t="shared" si="217"/>
        <v>0</v>
      </c>
      <c r="Q1330" s="88">
        <f t="shared" si="218"/>
        <v>0</v>
      </c>
      <c r="R1330" s="88" t="e">
        <f>-IF(Tabla14[[#This Row],[DIAS HABILES O MORA]]&lt;0,(Tabla14[[#This Row],[VALOR PRESTAMO]]*Tabla14[[#This Row],[% INTERES ]]/30*U1330))+Tabla14[[#This Row],[VALOR CUOTAS]]</f>
        <v>#VALUE!</v>
      </c>
      <c r="S1330" s="88">
        <f>-IF(Tabla14[[#This Row],[DIAS HABILES O MORA]]&lt;0,(Tabla14[[#This Row],[VALOR PRESTAMO]]*Tabla14[[#This Row],[% INTERES ]]/30*U1330))</f>
        <v>0</v>
      </c>
      <c r="T1330" s="53" t="e">
        <f>Tabla14[[#This Row],[DEUDA CAPITAL]]+Tabla14[[#This Row],[INTERES  CUOTA]]</f>
        <v>#NUM!</v>
      </c>
      <c r="U1330" s="61" t="str">
        <f t="shared" si="219"/>
        <v/>
      </c>
    </row>
    <row r="1331" spans="9:21" ht="24.75" customHeight="1" x14ac:dyDescent="0.35">
      <c r="I1331" s="42">
        <f t="shared" si="210"/>
        <v>0</v>
      </c>
      <c r="J1331" s="65" t="e">
        <f t="shared" si="211"/>
        <v>#NUM!</v>
      </c>
      <c r="K1331" s="83" t="e">
        <f t="shared" si="212"/>
        <v>#NUM!</v>
      </c>
      <c r="L1331" s="83">
        <f t="shared" si="213"/>
        <v>0</v>
      </c>
      <c r="M1331" s="110" t="str">
        <f t="shared" si="214"/>
        <v/>
      </c>
      <c r="N1331" s="51" t="str">
        <f t="shared" si="215"/>
        <v/>
      </c>
      <c r="O1331" s="52" t="str">
        <f t="shared" si="216"/>
        <v/>
      </c>
      <c r="P1331" s="88">
        <f t="shared" si="217"/>
        <v>0</v>
      </c>
      <c r="Q1331" s="88">
        <f t="shared" si="218"/>
        <v>0</v>
      </c>
      <c r="R1331" s="88" t="e">
        <f>-IF(Tabla14[[#This Row],[DIAS HABILES O MORA]]&lt;0,(Tabla14[[#This Row],[VALOR PRESTAMO]]*Tabla14[[#This Row],[% INTERES ]]/30*U1331))+Tabla14[[#This Row],[VALOR CUOTAS]]</f>
        <v>#VALUE!</v>
      </c>
      <c r="S1331" s="88">
        <f>-IF(Tabla14[[#This Row],[DIAS HABILES O MORA]]&lt;0,(Tabla14[[#This Row],[VALOR PRESTAMO]]*Tabla14[[#This Row],[% INTERES ]]/30*U1331))</f>
        <v>0</v>
      </c>
      <c r="T1331" s="53" t="e">
        <f>Tabla14[[#This Row],[DEUDA CAPITAL]]+Tabla14[[#This Row],[INTERES  CUOTA]]</f>
        <v>#NUM!</v>
      </c>
      <c r="U1331" s="61" t="str">
        <f t="shared" si="219"/>
        <v/>
      </c>
    </row>
    <row r="1332" spans="9:21" ht="24.75" customHeight="1" x14ac:dyDescent="0.35">
      <c r="I1332" s="42">
        <f t="shared" si="210"/>
        <v>0</v>
      </c>
      <c r="J1332" s="65" t="e">
        <f t="shared" si="211"/>
        <v>#NUM!</v>
      </c>
      <c r="K1332" s="83" t="e">
        <f t="shared" si="212"/>
        <v>#NUM!</v>
      </c>
      <c r="L1332" s="83">
        <f t="shared" si="213"/>
        <v>0</v>
      </c>
      <c r="M1332" s="110" t="str">
        <f t="shared" si="214"/>
        <v/>
      </c>
      <c r="N1332" s="51" t="str">
        <f t="shared" si="215"/>
        <v/>
      </c>
      <c r="O1332" s="52" t="str">
        <f t="shared" si="216"/>
        <v/>
      </c>
      <c r="P1332" s="88">
        <f t="shared" si="217"/>
        <v>0</v>
      </c>
      <c r="Q1332" s="88">
        <f t="shared" si="218"/>
        <v>0</v>
      </c>
      <c r="R1332" s="88" t="e">
        <f>-IF(Tabla14[[#This Row],[DIAS HABILES O MORA]]&lt;0,(Tabla14[[#This Row],[VALOR PRESTAMO]]*Tabla14[[#This Row],[% INTERES ]]/30*U1332))+Tabla14[[#This Row],[VALOR CUOTAS]]</f>
        <v>#VALUE!</v>
      </c>
      <c r="S1332" s="88">
        <f>-IF(Tabla14[[#This Row],[DIAS HABILES O MORA]]&lt;0,(Tabla14[[#This Row],[VALOR PRESTAMO]]*Tabla14[[#This Row],[% INTERES ]]/30*U1332))</f>
        <v>0</v>
      </c>
      <c r="T1332" s="53" t="e">
        <f>Tabla14[[#This Row],[DEUDA CAPITAL]]+Tabla14[[#This Row],[INTERES  CUOTA]]</f>
        <v>#NUM!</v>
      </c>
      <c r="U1332" s="61" t="str">
        <f t="shared" si="219"/>
        <v/>
      </c>
    </row>
    <row r="1333" spans="9:21" ht="24.75" customHeight="1" x14ac:dyDescent="0.35">
      <c r="I1333" s="42">
        <f t="shared" si="210"/>
        <v>0</v>
      </c>
      <c r="J1333" s="65" t="e">
        <f t="shared" si="211"/>
        <v>#NUM!</v>
      </c>
      <c r="K1333" s="83" t="e">
        <f t="shared" si="212"/>
        <v>#NUM!</v>
      </c>
      <c r="L1333" s="83">
        <f t="shared" si="213"/>
        <v>0</v>
      </c>
      <c r="M1333" s="110" t="str">
        <f t="shared" si="214"/>
        <v/>
      </c>
      <c r="N1333" s="51" t="str">
        <f t="shared" si="215"/>
        <v/>
      </c>
      <c r="O1333" s="52" t="str">
        <f t="shared" si="216"/>
        <v/>
      </c>
      <c r="P1333" s="88">
        <f t="shared" si="217"/>
        <v>0</v>
      </c>
      <c r="Q1333" s="88">
        <f t="shared" si="218"/>
        <v>0</v>
      </c>
      <c r="R1333" s="88" t="e">
        <f>-IF(Tabla14[[#This Row],[DIAS HABILES O MORA]]&lt;0,(Tabla14[[#This Row],[VALOR PRESTAMO]]*Tabla14[[#This Row],[% INTERES ]]/30*U1333))+Tabla14[[#This Row],[VALOR CUOTAS]]</f>
        <v>#VALUE!</v>
      </c>
      <c r="S1333" s="88">
        <f>-IF(Tabla14[[#This Row],[DIAS HABILES O MORA]]&lt;0,(Tabla14[[#This Row],[VALOR PRESTAMO]]*Tabla14[[#This Row],[% INTERES ]]/30*U1333))</f>
        <v>0</v>
      </c>
      <c r="T1333" s="53" t="e">
        <f>Tabla14[[#This Row],[DEUDA CAPITAL]]+Tabla14[[#This Row],[INTERES  CUOTA]]</f>
        <v>#NUM!</v>
      </c>
      <c r="U1333" s="61" t="str">
        <f t="shared" si="219"/>
        <v/>
      </c>
    </row>
    <row r="1334" spans="9:21" ht="24.75" customHeight="1" x14ac:dyDescent="0.35">
      <c r="I1334" s="42">
        <f t="shared" si="210"/>
        <v>0</v>
      </c>
      <c r="J1334" s="65" t="e">
        <f t="shared" si="211"/>
        <v>#NUM!</v>
      </c>
      <c r="K1334" s="83" t="e">
        <f t="shared" si="212"/>
        <v>#NUM!</v>
      </c>
      <c r="L1334" s="83">
        <f t="shared" si="213"/>
        <v>0</v>
      </c>
      <c r="M1334" s="110" t="str">
        <f t="shared" si="214"/>
        <v/>
      </c>
      <c r="N1334" s="51" t="str">
        <f t="shared" si="215"/>
        <v/>
      </c>
      <c r="O1334" s="52" t="str">
        <f t="shared" si="216"/>
        <v/>
      </c>
      <c r="P1334" s="88">
        <f t="shared" si="217"/>
        <v>0</v>
      </c>
      <c r="Q1334" s="88">
        <f t="shared" si="218"/>
        <v>0</v>
      </c>
      <c r="R1334" s="88" t="e">
        <f>-IF(Tabla14[[#This Row],[DIAS HABILES O MORA]]&lt;0,(Tabla14[[#This Row],[VALOR PRESTAMO]]*Tabla14[[#This Row],[% INTERES ]]/30*U1334))+Tabla14[[#This Row],[VALOR CUOTAS]]</f>
        <v>#VALUE!</v>
      </c>
      <c r="S1334" s="88">
        <f>-IF(Tabla14[[#This Row],[DIAS HABILES O MORA]]&lt;0,(Tabla14[[#This Row],[VALOR PRESTAMO]]*Tabla14[[#This Row],[% INTERES ]]/30*U1334))</f>
        <v>0</v>
      </c>
      <c r="T1334" s="53" t="e">
        <f>Tabla14[[#This Row],[DEUDA CAPITAL]]+Tabla14[[#This Row],[INTERES  CUOTA]]</f>
        <v>#NUM!</v>
      </c>
      <c r="U1334" s="61" t="str">
        <f t="shared" si="219"/>
        <v/>
      </c>
    </row>
    <row r="1335" spans="9:21" ht="24.75" customHeight="1" x14ac:dyDescent="0.35">
      <c r="I1335" s="42">
        <f t="shared" si="210"/>
        <v>0</v>
      </c>
      <c r="J1335" s="65" t="e">
        <f t="shared" si="211"/>
        <v>#NUM!</v>
      </c>
      <c r="K1335" s="83" t="e">
        <f t="shared" si="212"/>
        <v>#NUM!</v>
      </c>
      <c r="L1335" s="83">
        <f t="shared" si="213"/>
        <v>0</v>
      </c>
      <c r="M1335" s="110" t="str">
        <f t="shared" si="214"/>
        <v/>
      </c>
      <c r="N1335" s="51" t="str">
        <f t="shared" si="215"/>
        <v/>
      </c>
      <c r="O1335" s="52" t="str">
        <f t="shared" si="216"/>
        <v/>
      </c>
      <c r="P1335" s="88">
        <f t="shared" si="217"/>
        <v>0</v>
      </c>
      <c r="Q1335" s="88">
        <f t="shared" si="218"/>
        <v>0</v>
      </c>
      <c r="R1335" s="88" t="e">
        <f>-IF(Tabla14[[#This Row],[DIAS HABILES O MORA]]&lt;0,(Tabla14[[#This Row],[VALOR PRESTAMO]]*Tabla14[[#This Row],[% INTERES ]]/30*U1335))+Tabla14[[#This Row],[VALOR CUOTAS]]</f>
        <v>#VALUE!</v>
      </c>
      <c r="S1335" s="88">
        <f>-IF(Tabla14[[#This Row],[DIAS HABILES O MORA]]&lt;0,(Tabla14[[#This Row],[VALOR PRESTAMO]]*Tabla14[[#This Row],[% INTERES ]]/30*U1335))</f>
        <v>0</v>
      </c>
      <c r="T1335" s="53" t="e">
        <f>Tabla14[[#This Row],[DEUDA CAPITAL]]+Tabla14[[#This Row],[INTERES  CUOTA]]</f>
        <v>#NUM!</v>
      </c>
      <c r="U1335" s="61" t="str">
        <f t="shared" si="219"/>
        <v/>
      </c>
    </row>
    <row r="1336" spans="9:21" ht="24.75" customHeight="1" x14ac:dyDescent="0.35">
      <c r="I1336" s="42">
        <f t="shared" si="210"/>
        <v>0</v>
      </c>
      <c r="J1336" s="65" t="e">
        <f t="shared" si="211"/>
        <v>#NUM!</v>
      </c>
      <c r="K1336" s="83" t="e">
        <f t="shared" si="212"/>
        <v>#NUM!</v>
      </c>
      <c r="L1336" s="83">
        <f t="shared" si="213"/>
        <v>0</v>
      </c>
      <c r="M1336" s="110" t="str">
        <f t="shared" si="214"/>
        <v/>
      </c>
      <c r="N1336" s="51" t="str">
        <f t="shared" si="215"/>
        <v/>
      </c>
      <c r="O1336" s="52" t="str">
        <f t="shared" si="216"/>
        <v/>
      </c>
      <c r="P1336" s="88">
        <f t="shared" si="217"/>
        <v>0</v>
      </c>
      <c r="Q1336" s="88">
        <f t="shared" si="218"/>
        <v>0</v>
      </c>
      <c r="R1336" s="88" t="e">
        <f>-IF(Tabla14[[#This Row],[DIAS HABILES O MORA]]&lt;0,(Tabla14[[#This Row],[VALOR PRESTAMO]]*Tabla14[[#This Row],[% INTERES ]]/30*U1336))+Tabla14[[#This Row],[VALOR CUOTAS]]</f>
        <v>#VALUE!</v>
      </c>
      <c r="S1336" s="88">
        <f>-IF(Tabla14[[#This Row],[DIAS HABILES O MORA]]&lt;0,(Tabla14[[#This Row],[VALOR PRESTAMO]]*Tabla14[[#This Row],[% INTERES ]]/30*U1336))</f>
        <v>0</v>
      </c>
      <c r="T1336" s="53" t="e">
        <f>Tabla14[[#This Row],[DEUDA CAPITAL]]+Tabla14[[#This Row],[INTERES  CUOTA]]</f>
        <v>#NUM!</v>
      </c>
      <c r="U1336" s="61" t="str">
        <f t="shared" si="219"/>
        <v/>
      </c>
    </row>
    <row r="1337" spans="9:21" ht="24.75" customHeight="1" x14ac:dyDescent="0.35">
      <c r="I1337" s="42">
        <f t="shared" si="210"/>
        <v>0</v>
      </c>
      <c r="J1337" s="65" t="e">
        <f t="shared" si="211"/>
        <v>#NUM!</v>
      </c>
      <c r="K1337" s="83" t="e">
        <f t="shared" si="212"/>
        <v>#NUM!</v>
      </c>
      <c r="L1337" s="83">
        <f t="shared" si="213"/>
        <v>0</v>
      </c>
      <c r="M1337" s="110" t="str">
        <f t="shared" si="214"/>
        <v/>
      </c>
      <c r="N1337" s="51" t="str">
        <f t="shared" si="215"/>
        <v/>
      </c>
      <c r="O1337" s="52" t="str">
        <f t="shared" si="216"/>
        <v/>
      </c>
      <c r="P1337" s="88">
        <f t="shared" si="217"/>
        <v>0</v>
      </c>
      <c r="Q1337" s="88">
        <f t="shared" si="218"/>
        <v>0</v>
      </c>
      <c r="R1337" s="88" t="e">
        <f>-IF(Tabla14[[#This Row],[DIAS HABILES O MORA]]&lt;0,(Tabla14[[#This Row],[VALOR PRESTAMO]]*Tabla14[[#This Row],[% INTERES ]]/30*U1337))+Tabla14[[#This Row],[VALOR CUOTAS]]</f>
        <v>#VALUE!</v>
      </c>
      <c r="S1337" s="88">
        <f>-IF(Tabla14[[#This Row],[DIAS HABILES O MORA]]&lt;0,(Tabla14[[#This Row],[VALOR PRESTAMO]]*Tabla14[[#This Row],[% INTERES ]]/30*U1337))</f>
        <v>0</v>
      </c>
      <c r="T1337" s="53" t="e">
        <f>Tabla14[[#This Row],[DEUDA CAPITAL]]+Tabla14[[#This Row],[INTERES  CUOTA]]</f>
        <v>#NUM!</v>
      </c>
      <c r="U1337" s="61" t="str">
        <f t="shared" si="219"/>
        <v/>
      </c>
    </row>
    <row r="1338" spans="9:21" ht="24.75" customHeight="1" x14ac:dyDescent="0.35">
      <c r="I1338" s="42">
        <f t="shared" si="210"/>
        <v>0</v>
      </c>
      <c r="J1338" s="65" t="e">
        <f t="shared" si="211"/>
        <v>#NUM!</v>
      </c>
      <c r="K1338" s="83" t="e">
        <f t="shared" si="212"/>
        <v>#NUM!</v>
      </c>
      <c r="L1338" s="83">
        <f t="shared" si="213"/>
        <v>0</v>
      </c>
      <c r="M1338" s="110" t="str">
        <f t="shared" si="214"/>
        <v/>
      </c>
      <c r="N1338" s="51" t="str">
        <f t="shared" si="215"/>
        <v/>
      </c>
      <c r="O1338" s="52" t="str">
        <f t="shared" si="216"/>
        <v/>
      </c>
      <c r="P1338" s="88">
        <f t="shared" si="217"/>
        <v>0</v>
      </c>
      <c r="Q1338" s="88">
        <f t="shared" si="218"/>
        <v>0</v>
      </c>
      <c r="R1338" s="88" t="e">
        <f>-IF(Tabla14[[#This Row],[DIAS HABILES O MORA]]&lt;0,(Tabla14[[#This Row],[VALOR PRESTAMO]]*Tabla14[[#This Row],[% INTERES ]]/30*U1338))+Tabla14[[#This Row],[VALOR CUOTAS]]</f>
        <v>#VALUE!</v>
      </c>
      <c r="S1338" s="88">
        <f>-IF(Tabla14[[#This Row],[DIAS HABILES O MORA]]&lt;0,(Tabla14[[#This Row],[VALOR PRESTAMO]]*Tabla14[[#This Row],[% INTERES ]]/30*U1338))</f>
        <v>0</v>
      </c>
      <c r="T1338" s="53" t="e">
        <f>Tabla14[[#This Row],[DEUDA CAPITAL]]+Tabla14[[#This Row],[INTERES  CUOTA]]</f>
        <v>#NUM!</v>
      </c>
      <c r="U1338" s="61" t="str">
        <f t="shared" si="219"/>
        <v/>
      </c>
    </row>
    <row r="1339" spans="9:21" ht="24.75" customHeight="1" x14ac:dyDescent="0.35">
      <c r="I1339" s="42">
        <f t="shared" si="210"/>
        <v>0</v>
      </c>
      <c r="J1339" s="65" t="e">
        <f t="shared" si="211"/>
        <v>#NUM!</v>
      </c>
      <c r="K1339" s="83" t="e">
        <f t="shared" si="212"/>
        <v>#NUM!</v>
      </c>
      <c r="L1339" s="83">
        <f t="shared" si="213"/>
        <v>0</v>
      </c>
      <c r="M1339" s="110" t="str">
        <f t="shared" si="214"/>
        <v/>
      </c>
      <c r="N1339" s="51" t="str">
        <f t="shared" si="215"/>
        <v/>
      </c>
      <c r="O1339" s="52" t="str">
        <f t="shared" si="216"/>
        <v/>
      </c>
      <c r="P1339" s="88">
        <f t="shared" si="217"/>
        <v>0</v>
      </c>
      <c r="Q1339" s="88">
        <f t="shared" si="218"/>
        <v>0</v>
      </c>
      <c r="R1339" s="88" t="e">
        <f>-IF(Tabla14[[#This Row],[DIAS HABILES O MORA]]&lt;0,(Tabla14[[#This Row],[VALOR PRESTAMO]]*Tabla14[[#This Row],[% INTERES ]]/30*U1339))+Tabla14[[#This Row],[VALOR CUOTAS]]</f>
        <v>#VALUE!</v>
      </c>
      <c r="S1339" s="88">
        <f>-IF(Tabla14[[#This Row],[DIAS HABILES O MORA]]&lt;0,(Tabla14[[#This Row],[VALOR PRESTAMO]]*Tabla14[[#This Row],[% INTERES ]]/30*U1339))</f>
        <v>0</v>
      </c>
      <c r="T1339" s="53" t="e">
        <f>Tabla14[[#This Row],[DEUDA CAPITAL]]+Tabla14[[#This Row],[INTERES  CUOTA]]</f>
        <v>#NUM!</v>
      </c>
      <c r="U1339" s="61" t="str">
        <f t="shared" si="219"/>
        <v/>
      </c>
    </row>
    <row r="1340" spans="9:21" ht="24.75" customHeight="1" x14ac:dyDescent="0.35">
      <c r="I1340" s="42">
        <f t="shared" si="210"/>
        <v>0</v>
      </c>
      <c r="J1340" s="65" t="e">
        <f t="shared" si="211"/>
        <v>#NUM!</v>
      </c>
      <c r="K1340" s="83" t="e">
        <f t="shared" si="212"/>
        <v>#NUM!</v>
      </c>
      <c r="L1340" s="83">
        <f t="shared" si="213"/>
        <v>0</v>
      </c>
      <c r="M1340" s="110" t="str">
        <f t="shared" si="214"/>
        <v/>
      </c>
      <c r="N1340" s="51" t="str">
        <f t="shared" si="215"/>
        <v/>
      </c>
      <c r="O1340" s="52" t="str">
        <f t="shared" si="216"/>
        <v/>
      </c>
      <c r="P1340" s="88">
        <f t="shared" si="217"/>
        <v>0</v>
      </c>
      <c r="Q1340" s="88">
        <f t="shared" si="218"/>
        <v>0</v>
      </c>
      <c r="R1340" s="88" t="e">
        <f>-IF(Tabla14[[#This Row],[DIAS HABILES O MORA]]&lt;0,(Tabla14[[#This Row],[VALOR PRESTAMO]]*Tabla14[[#This Row],[% INTERES ]]/30*U1340))+Tabla14[[#This Row],[VALOR CUOTAS]]</f>
        <v>#VALUE!</v>
      </c>
      <c r="S1340" s="88">
        <f>-IF(Tabla14[[#This Row],[DIAS HABILES O MORA]]&lt;0,(Tabla14[[#This Row],[VALOR PRESTAMO]]*Tabla14[[#This Row],[% INTERES ]]/30*U1340))</f>
        <v>0</v>
      </c>
      <c r="T1340" s="53" t="e">
        <f>Tabla14[[#This Row],[DEUDA CAPITAL]]+Tabla14[[#This Row],[INTERES  CUOTA]]</f>
        <v>#NUM!</v>
      </c>
      <c r="U1340" s="61" t="str">
        <f t="shared" si="219"/>
        <v/>
      </c>
    </row>
    <row r="1341" spans="9:21" ht="24.75" customHeight="1" x14ac:dyDescent="0.35">
      <c r="I1341" s="42">
        <f t="shared" si="210"/>
        <v>0</v>
      </c>
      <c r="J1341" s="65" t="e">
        <f t="shared" si="211"/>
        <v>#NUM!</v>
      </c>
      <c r="K1341" s="83" t="e">
        <f t="shared" si="212"/>
        <v>#NUM!</v>
      </c>
      <c r="L1341" s="83">
        <f t="shared" si="213"/>
        <v>0</v>
      </c>
      <c r="M1341" s="110" t="str">
        <f t="shared" si="214"/>
        <v/>
      </c>
      <c r="N1341" s="51" t="str">
        <f t="shared" si="215"/>
        <v/>
      </c>
      <c r="O1341" s="52" t="str">
        <f t="shared" si="216"/>
        <v/>
      </c>
      <c r="P1341" s="88">
        <f t="shared" si="217"/>
        <v>0</v>
      </c>
      <c r="Q1341" s="88">
        <f t="shared" si="218"/>
        <v>0</v>
      </c>
      <c r="R1341" s="88" t="e">
        <f>-IF(Tabla14[[#This Row],[DIAS HABILES O MORA]]&lt;0,(Tabla14[[#This Row],[VALOR PRESTAMO]]*Tabla14[[#This Row],[% INTERES ]]/30*U1341))+Tabla14[[#This Row],[VALOR CUOTAS]]</f>
        <v>#VALUE!</v>
      </c>
      <c r="S1341" s="88">
        <f>-IF(Tabla14[[#This Row],[DIAS HABILES O MORA]]&lt;0,(Tabla14[[#This Row],[VALOR PRESTAMO]]*Tabla14[[#This Row],[% INTERES ]]/30*U1341))</f>
        <v>0</v>
      </c>
      <c r="T1341" s="53" t="e">
        <f>Tabla14[[#This Row],[DEUDA CAPITAL]]+Tabla14[[#This Row],[INTERES  CUOTA]]</f>
        <v>#NUM!</v>
      </c>
      <c r="U1341" s="61" t="str">
        <f t="shared" si="219"/>
        <v/>
      </c>
    </row>
    <row r="1342" spans="9:21" ht="24.75" customHeight="1" x14ac:dyDescent="0.35">
      <c r="I1342" s="42">
        <f t="shared" si="210"/>
        <v>0</v>
      </c>
      <c r="J1342" s="65" t="e">
        <f t="shared" si="211"/>
        <v>#NUM!</v>
      </c>
      <c r="K1342" s="83" t="e">
        <f t="shared" si="212"/>
        <v>#NUM!</v>
      </c>
      <c r="L1342" s="83">
        <f t="shared" si="213"/>
        <v>0</v>
      </c>
      <c r="M1342" s="110" t="str">
        <f t="shared" si="214"/>
        <v/>
      </c>
      <c r="N1342" s="51" t="str">
        <f t="shared" si="215"/>
        <v/>
      </c>
      <c r="O1342" s="52" t="str">
        <f t="shared" si="216"/>
        <v/>
      </c>
      <c r="P1342" s="88">
        <f t="shared" si="217"/>
        <v>0</v>
      </c>
      <c r="Q1342" s="88">
        <f t="shared" si="218"/>
        <v>0</v>
      </c>
      <c r="R1342" s="88" t="e">
        <f>-IF(Tabla14[[#This Row],[DIAS HABILES O MORA]]&lt;0,(Tabla14[[#This Row],[VALOR PRESTAMO]]*Tabla14[[#This Row],[% INTERES ]]/30*U1342))+Tabla14[[#This Row],[VALOR CUOTAS]]</f>
        <v>#VALUE!</v>
      </c>
      <c r="S1342" s="88">
        <f>-IF(Tabla14[[#This Row],[DIAS HABILES O MORA]]&lt;0,(Tabla14[[#This Row],[VALOR PRESTAMO]]*Tabla14[[#This Row],[% INTERES ]]/30*U1342))</f>
        <v>0</v>
      </c>
      <c r="T1342" s="53" t="e">
        <f>Tabla14[[#This Row],[DEUDA CAPITAL]]+Tabla14[[#This Row],[INTERES  CUOTA]]</f>
        <v>#NUM!</v>
      </c>
      <c r="U1342" s="61" t="str">
        <f t="shared" si="219"/>
        <v/>
      </c>
    </row>
    <row r="1343" spans="9:21" ht="24.75" customHeight="1" x14ac:dyDescent="0.35">
      <c r="I1343" s="42">
        <f t="shared" si="210"/>
        <v>0</v>
      </c>
      <c r="J1343" s="65" t="e">
        <f t="shared" si="211"/>
        <v>#NUM!</v>
      </c>
      <c r="K1343" s="83" t="e">
        <f t="shared" si="212"/>
        <v>#NUM!</v>
      </c>
      <c r="L1343" s="83">
        <f t="shared" si="213"/>
        <v>0</v>
      </c>
      <c r="M1343" s="110" t="str">
        <f t="shared" si="214"/>
        <v/>
      </c>
      <c r="N1343" s="51" t="str">
        <f t="shared" si="215"/>
        <v/>
      </c>
      <c r="O1343" s="52" t="str">
        <f t="shared" si="216"/>
        <v/>
      </c>
      <c r="P1343" s="88">
        <f t="shared" si="217"/>
        <v>0</v>
      </c>
      <c r="Q1343" s="88">
        <f t="shared" si="218"/>
        <v>0</v>
      </c>
      <c r="R1343" s="88" t="e">
        <f>-IF(Tabla14[[#This Row],[DIAS HABILES O MORA]]&lt;0,(Tabla14[[#This Row],[VALOR PRESTAMO]]*Tabla14[[#This Row],[% INTERES ]]/30*U1343))+Tabla14[[#This Row],[VALOR CUOTAS]]</f>
        <v>#VALUE!</v>
      </c>
      <c r="S1343" s="88">
        <f>-IF(Tabla14[[#This Row],[DIAS HABILES O MORA]]&lt;0,(Tabla14[[#This Row],[VALOR PRESTAMO]]*Tabla14[[#This Row],[% INTERES ]]/30*U1343))</f>
        <v>0</v>
      </c>
      <c r="T1343" s="53" t="e">
        <f>Tabla14[[#This Row],[DEUDA CAPITAL]]+Tabla14[[#This Row],[INTERES  CUOTA]]</f>
        <v>#NUM!</v>
      </c>
      <c r="U1343" s="61" t="str">
        <f t="shared" si="219"/>
        <v/>
      </c>
    </row>
    <row r="1344" spans="9:21" ht="24.75" customHeight="1" x14ac:dyDescent="0.35">
      <c r="I1344" s="42">
        <f t="shared" si="210"/>
        <v>0</v>
      </c>
      <c r="J1344" s="65" t="e">
        <f t="shared" si="211"/>
        <v>#NUM!</v>
      </c>
      <c r="K1344" s="83" t="e">
        <f t="shared" si="212"/>
        <v>#NUM!</v>
      </c>
      <c r="L1344" s="83">
        <f t="shared" si="213"/>
        <v>0</v>
      </c>
      <c r="M1344" s="110" t="str">
        <f t="shared" si="214"/>
        <v/>
      </c>
      <c r="N1344" s="51" t="str">
        <f t="shared" si="215"/>
        <v/>
      </c>
      <c r="O1344" s="52" t="str">
        <f t="shared" si="216"/>
        <v/>
      </c>
      <c r="P1344" s="88">
        <f t="shared" si="217"/>
        <v>0</v>
      </c>
      <c r="Q1344" s="88">
        <f t="shared" si="218"/>
        <v>0</v>
      </c>
      <c r="R1344" s="88" t="e">
        <f>-IF(Tabla14[[#This Row],[DIAS HABILES O MORA]]&lt;0,(Tabla14[[#This Row],[VALOR PRESTAMO]]*Tabla14[[#This Row],[% INTERES ]]/30*U1344))+Tabla14[[#This Row],[VALOR CUOTAS]]</f>
        <v>#VALUE!</v>
      </c>
      <c r="S1344" s="88">
        <f>-IF(Tabla14[[#This Row],[DIAS HABILES O MORA]]&lt;0,(Tabla14[[#This Row],[VALOR PRESTAMO]]*Tabla14[[#This Row],[% INTERES ]]/30*U1344))</f>
        <v>0</v>
      </c>
      <c r="T1344" s="53" t="e">
        <f>Tabla14[[#This Row],[DEUDA CAPITAL]]+Tabla14[[#This Row],[INTERES  CUOTA]]</f>
        <v>#NUM!</v>
      </c>
      <c r="U1344" s="61" t="str">
        <f t="shared" si="219"/>
        <v/>
      </c>
    </row>
    <row r="1345" spans="9:21" ht="24.75" customHeight="1" x14ac:dyDescent="0.35">
      <c r="I1345" s="42">
        <f t="shared" si="210"/>
        <v>0</v>
      </c>
      <c r="J1345" s="65" t="e">
        <f t="shared" si="211"/>
        <v>#NUM!</v>
      </c>
      <c r="K1345" s="83" t="e">
        <f t="shared" si="212"/>
        <v>#NUM!</v>
      </c>
      <c r="L1345" s="83">
        <f t="shared" si="213"/>
        <v>0</v>
      </c>
      <c r="M1345" s="110" t="str">
        <f t="shared" si="214"/>
        <v/>
      </c>
      <c r="N1345" s="51" t="str">
        <f t="shared" si="215"/>
        <v/>
      </c>
      <c r="O1345" s="52" t="str">
        <f t="shared" si="216"/>
        <v/>
      </c>
      <c r="P1345" s="88">
        <f t="shared" si="217"/>
        <v>0</v>
      </c>
      <c r="Q1345" s="88">
        <f t="shared" si="218"/>
        <v>0</v>
      </c>
      <c r="R1345" s="88" t="e">
        <f>-IF(Tabla14[[#This Row],[DIAS HABILES O MORA]]&lt;0,(Tabla14[[#This Row],[VALOR PRESTAMO]]*Tabla14[[#This Row],[% INTERES ]]/30*U1345))+Tabla14[[#This Row],[VALOR CUOTAS]]</f>
        <v>#VALUE!</v>
      </c>
      <c r="S1345" s="88">
        <f>-IF(Tabla14[[#This Row],[DIAS HABILES O MORA]]&lt;0,(Tabla14[[#This Row],[VALOR PRESTAMO]]*Tabla14[[#This Row],[% INTERES ]]/30*U1345))</f>
        <v>0</v>
      </c>
      <c r="T1345" s="53" t="e">
        <f>Tabla14[[#This Row],[DEUDA CAPITAL]]+Tabla14[[#This Row],[INTERES  CUOTA]]</f>
        <v>#NUM!</v>
      </c>
      <c r="U1345" s="61" t="str">
        <f t="shared" si="219"/>
        <v/>
      </c>
    </row>
    <row r="1346" spans="9:21" ht="24.75" customHeight="1" x14ac:dyDescent="0.35">
      <c r="I1346" s="42">
        <f t="shared" si="210"/>
        <v>0</v>
      </c>
      <c r="J1346" s="65" t="e">
        <f t="shared" si="211"/>
        <v>#NUM!</v>
      </c>
      <c r="K1346" s="83" t="e">
        <f t="shared" si="212"/>
        <v>#NUM!</v>
      </c>
      <c r="L1346" s="83">
        <f t="shared" si="213"/>
        <v>0</v>
      </c>
      <c r="M1346" s="110" t="str">
        <f t="shared" si="214"/>
        <v/>
      </c>
      <c r="N1346" s="51" t="str">
        <f t="shared" si="215"/>
        <v/>
      </c>
      <c r="O1346" s="52" t="str">
        <f t="shared" si="216"/>
        <v/>
      </c>
      <c r="P1346" s="88">
        <f t="shared" si="217"/>
        <v>0</v>
      </c>
      <c r="Q1346" s="88">
        <f t="shared" si="218"/>
        <v>0</v>
      </c>
      <c r="R1346" s="88" t="e">
        <f>-IF(Tabla14[[#This Row],[DIAS HABILES O MORA]]&lt;0,(Tabla14[[#This Row],[VALOR PRESTAMO]]*Tabla14[[#This Row],[% INTERES ]]/30*U1346))+Tabla14[[#This Row],[VALOR CUOTAS]]</f>
        <v>#VALUE!</v>
      </c>
      <c r="S1346" s="88">
        <f>-IF(Tabla14[[#This Row],[DIAS HABILES O MORA]]&lt;0,(Tabla14[[#This Row],[VALOR PRESTAMO]]*Tabla14[[#This Row],[% INTERES ]]/30*U1346))</f>
        <v>0</v>
      </c>
      <c r="T1346" s="53" t="e">
        <f>Tabla14[[#This Row],[DEUDA CAPITAL]]+Tabla14[[#This Row],[INTERES  CUOTA]]</f>
        <v>#NUM!</v>
      </c>
      <c r="U1346" s="61" t="str">
        <f t="shared" si="219"/>
        <v/>
      </c>
    </row>
    <row r="1347" spans="9:21" ht="24.75" customHeight="1" x14ac:dyDescent="0.35">
      <c r="I1347" s="42">
        <f t="shared" si="210"/>
        <v>0</v>
      </c>
      <c r="J1347" s="65" t="e">
        <f t="shared" si="211"/>
        <v>#NUM!</v>
      </c>
      <c r="K1347" s="83" t="e">
        <f t="shared" si="212"/>
        <v>#NUM!</v>
      </c>
      <c r="L1347" s="83">
        <f t="shared" si="213"/>
        <v>0</v>
      </c>
      <c r="M1347" s="110" t="str">
        <f t="shared" si="214"/>
        <v/>
      </c>
      <c r="N1347" s="51" t="str">
        <f t="shared" si="215"/>
        <v/>
      </c>
      <c r="O1347" s="52" t="str">
        <f t="shared" si="216"/>
        <v/>
      </c>
      <c r="P1347" s="88">
        <f t="shared" si="217"/>
        <v>0</v>
      </c>
      <c r="Q1347" s="88">
        <f t="shared" si="218"/>
        <v>0</v>
      </c>
      <c r="R1347" s="88" t="e">
        <f>-IF(Tabla14[[#This Row],[DIAS HABILES O MORA]]&lt;0,(Tabla14[[#This Row],[VALOR PRESTAMO]]*Tabla14[[#This Row],[% INTERES ]]/30*U1347))+Tabla14[[#This Row],[VALOR CUOTAS]]</f>
        <v>#VALUE!</v>
      </c>
      <c r="S1347" s="88">
        <f>-IF(Tabla14[[#This Row],[DIAS HABILES O MORA]]&lt;0,(Tabla14[[#This Row],[VALOR PRESTAMO]]*Tabla14[[#This Row],[% INTERES ]]/30*U1347))</f>
        <v>0</v>
      </c>
      <c r="T1347" s="53" t="e">
        <f>Tabla14[[#This Row],[DEUDA CAPITAL]]+Tabla14[[#This Row],[INTERES  CUOTA]]</f>
        <v>#NUM!</v>
      </c>
      <c r="U1347" s="61" t="str">
        <f t="shared" si="219"/>
        <v/>
      </c>
    </row>
    <row r="1348" spans="9:21" ht="24.75" customHeight="1" x14ac:dyDescent="0.35">
      <c r="I1348" s="42">
        <f t="shared" si="210"/>
        <v>0</v>
      </c>
      <c r="J1348" s="65" t="e">
        <f t="shared" si="211"/>
        <v>#NUM!</v>
      </c>
      <c r="K1348" s="83" t="e">
        <f t="shared" si="212"/>
        <v>#NUM!</v>
      </c>
      <c r="L1348" s="83">
        <f t="shared" si="213"/>
        <v>0</v>
      </c>
      <c r="M1348" s="110" t="str">
        <f t="shared" si="214"/>
        <v/>
      </c>
      <c r="N1348" s="51" t="str">
        <f t="shared" si="215"/>
        <v/>
      </c>
      <c r="O1348" s="52" t="str">
        <f t="shared" si="216"/>
        <v/>
      </c>
      <c r="P1348" s="88">
        <f t="shared" si="217"/>
        <v>0</v>
      </c>
      <c r="Q1348" s="88">
        <f t="shared" si="218"/>
        <v>0</v>
      </c>
      <c r="R1348" s="88" t="e">
        <f>-IF(Tabla14[[#This Row],[DIAS HABILES O MORA]]&lt;0,(Tabla14[[#This Row],[VALOR PRESTAMO]]*Tabla14[[#This Row],[% INTERES ]]/30*U1348))+Tabla14[[#This Row],[VALOR CUOTAS]]</f>
        <v>#VALUE!</v>
      </c>
      <c r="S1348" s="88">
        <f>-IF(Tabla14[[#This Row],[DIAS HABILES O MORA]]&lt;0,(Tabla14[[#This Row],[VALOR PRESTAMO]]*Tabla14[[#This Row],[% INTERES ]]/30*U1348))</f>
        <v>0</v>
      </c>
      <c r="T1348" s="53" t="e">
        <f>Tabla14[[#This Row],[DEUDA CAPITAL]]+Tabla14[[#This Row],[INTERES  CUOTA]]</f>
        <v>#NUM!</v>
      </c>
      <c r="U1348" s="61" t="str">
        <f t="shared" si="219"/>
        <v/>
      </c>
    </row>
    <row r="1349" spans="9:21" ht="24.75" customHeight="1" x14ac:dyDescent="0.35">
      <c r="I1349" s="42">
        <f t="shared" si="210"/>
        <v>0</v>
      </c>
      <c r="J1349" s="65" t="e">
        <f t="shared" si="211"/>
        <v>#NUM!</v>
      </c>
      <c r="K1349" s="83" t="e">
        <f t="shared" si="212"/>
        <v>#NUM!</v>
      </c>
      <c r="L1349" s="83">
        <f t="shared" si="213"/>
        <v>0</v>
      </c>
      <c r="M1349" s="110" t="str">
        <f t="shared" si="214"/>
        <v/>
      </c>
      <c r="N1349" s="51" t="str">
        <f t="shared" si="215"/>
        <v/>
      </c>
      <c r="O1349" s="52" t="str">
        <f t="shared" si="216"/>
        <v/>
      </c>
      <c r="P1349" s="88">
        <f t="shared" si="217"/>
        <v>0</v>
      </c>
      <c r="Q1349" s="88">
        <f t="shared" si="218"/>
        <v>0</v>
      </c>
      <c r="R1349" s="88" t="e">
        <f>-IF(Tabla14[[#This Row],[DIAS HABILES O MORA]]&lt;0,(Tabla14[[#This Row],[VALOR PRESTAMO]]*Tabla14[[#This Row],[% INTERES ]]/30*U1349))+Tabla14[[#This Row],[VALOR CUOTAS]]</f>
        <v>#VALUE!</v>
      </c>
      <c r="S1349" s="88">
        <f>-IF(Tabla14[[#This Row],[DIAS HABILES O MORA]]&lt;0,(Tabla14[[#This Row],[VALOR PRESTAMO]]*Tabla14[[#This Row],[% INTERES ]]/30*U1349))</f>
        <v>0</v>
      </c>
      <c r="T1349" s="53" t="e">
        <f>Tabla14[[#This Row],[DEUDA CAPITAL]]+Tabla14[[#This Row],[INTERES  CUOTA]]</f>
        <v>#NUM!</v>
      </c>
      <c r="U1349" s="61" t="str">
        <f t="shared" si="219"/>
        <v/>
      </c>
    </row>
    <row r="1350" spans="9:21" ht="24.75" customHeight="1" x14ac:dyDescent="0.35">
      <c r="I1350" s="42">
        <f t="shared" si="210"/>
        <v>0</v>
      </c>
      <c r="J1350" s="65" t="e">
        <f t="shared" si="211"/>
        <v>#NUM!</v>
      </c>
      <c r="K1350" s="83" t="e">
        <f t="shared" si="212"/>
        <v>#NUM!</v>
      </c>
      <c r="L1350" s="83">
        <f t="shared" si="213"/>
        <v>0</v>
      </c>
      <c r="M1350" s="110" t="str">
        <f t="shared" si="214"/>
        <v/>
      </c>
      <c r="N1350" s="51" t="str">
        <f t="shared" si="215"/>
        <v/>
      </c>
      <c r="O1350" s="52" t="str">
        <f t="shared" si="216"/>
        <v/>
      </c>
      <c r="P1350" s="88">
        <f t="shared" si="217"/>
        <v>0</v>
      </c>
      <c r="Q1350" s="88">
        <f t="shared" si="218"/>
        <v>0</v>
      </c>
      <c r="R1350" s="88" t="e">
        <f>-IF(Tabla14[[#This Row],[DIAS HABILES O MORA]]&lt;0,(Tabla14[[#This Row],[VALOR PRESTAMO]]*Tabla14[[#This Row],[% INTERES ]]/30*U1350))+Tabla14[[#This Row],[VALOR CUOTAS]]</f>
        <v>#VALUE!</v>
      </c>
      <c r="S1350" s="88">
        <f>-IF(Tabla14[[#This Row],[DIAS HABILES O MORA]]&lt;0,(Tabla14[[#This Row],[VALOR PRESTAMO]]*Tabla14[[#This Row],[% INTERES ]]/30*U1350))</f>
        <v>0</v>
      </c>
      <c r="T1350" s="53" t="e">
        <f>Tabla14[[#This Row],[DEUDA CAPITAL]]+Tabla14[[#This Row],[INTERES  CUOTA]]</f>
        <v>#NUM!</v>
      </c>
      <c r="U1350" s="61" t="str">
        <f t="shared" si="219"/>
        <v/>
      </c>
    </row>
    <row r="1351" spans="9:21" ht="24.75" customHeight="1" x14ac:dyDescent="0.35">
      <c r="I1351" s="42">
        <f t="shared" si="210"/>
        <v>0</v>
      </c>
      <c r="J1351" s="65" t="e">
        <f t="shared" si="211"/>
        <v>#NUM!</v>
      </c>
      <c r="K1351" s="83" t="e">
        <f t="shared" si="212"/>
        <v>#NUM!</v>
      </c>
      <c r="L1351" s="83">
        <f t="shared" si="213"/>
        <v>0</v>
      </c>
      <c r="M1351" s="110" t="str">
        <f t="shared" si="214"/>
        <v/>
      </c>
      <c r="N1351" s="51" t="str">
        <f t="shared" si="215"/>
        <v/>
      </c>
      <c r="O1351" s="52" t="str">
        <f t="shared" si="216"/>
        <v/>
      </c>
      <c r="P1351" s="88">
        <f t="shared" si="217"/>
        <v>0</v>
      </c>
      <c r="Q1351" s="88">
        <f t="shared" si="218"/>
        <v>0</v>
      </c>
      <c r="R1351" s="88" t="e">
        <f>-IF(Tabla14[[#This Row],[DIAS HABILES O MORA]]&lt;0,(Tabla14[[#This Row],[VALOR PRESTAMO]]*Tabla14[[#This Row],[% INTERES ]]/30*U1351))+Tabla14[[#This Row],[VALOR CUOTAS]]</f>
        <v>#VALUE!</v>
      </c>
      <c r="S1351" s="88">
        <f>-IF(Tabla14[[#This Row],[DIAS HABILES O MORA]]&lt;0,(Tabla14[[#This Row],[VALOR PRESTAMO]]*Tabla14[[#This Row],[% INTERES ]]/30*U1351))</f>
        <v>0</v>
      </c>
      <c r="T1351" s="53" t="e">
        <f>Tabla14[[#This Row],[DEUDA CAPITAL]]+Tabla14[[#This Row],[INTERES  CUOTA]]</f>
        <v>#NUM!</v>
      </c>
      <c r="U1351" s="61" t="str">
        <f t="shared" si="219"/>
        <v/>
      </c>
    </row>
    <row r="1352" spans="9:21" ht="24.75" customHeight="1" x14ac:dyDescent="0.35">
      <c r="I1352" s="42">
        <f t="shared" si="210"/>
        <v>0</v>
      </c>
      <c r="J1352" s="65" t="e">
        <f t="shared" si="211"/>
        <v>#NUM!</v>
      </c>
      <c r="K1352" s="83" t="e">
        <f t="shared" si="212"/>
        <v>#NUM!</v>
      </c>
      <c r="L1352" s="83">
        <f t="shared" si="213"/>
        <v>0</v>
      </c>
      <c r="M1352" s="110" t="str">
        <f t="shared" si="214"/>
        <v/>
      </c>
      <c r="N1352" s="51" t="str">
        <f t="shared" si="215"/>
        <v/>
      </c>
      <c r="O1352" s="52" t="str">
        <f t="shared" si="216"/>
        <v/>
      </c>
      <c r="P1352" s="88">
        <f t="shared" si="217"/>
        <v>0</v>
      </c>
      <c r="Q1352" s="88">
        <f t="shared" si="218"/>
        <v>0</v>
      </c>
      <c r="R1352" s="88" t="e">
        <f>-IF(Tabla14[[#This Row],[DIAS HABILES O MORA]]&lt;0,(Tabla14[[#This Row],[VALOR PRESTAMO]]*Tabla14[[#This Row],[% INTERES ]]/30*U1352))+Tabla14[[#This Row],[VALOR CUOTAS]]</f>
        <v>#VALUE!</v>
      </c>
      <c r="S1352" s="88">
        <f>-IF(Tabla14[[#This Row],[DIAS HABILES O MORA]]&lt;0,(Tabla14[[#This Row],[VALOR PRESTAMO]]*Tabla14[[#This Row],[% INTERES ]]/30*U1352))</f>
        <v>0</v>
      </c>
      <c r="T1352" s="53" t="e">
        <f>Tabla14[[#This Row],[DEUDA CAPITAL]]+Tabla14[[#This Row],[INTERES  CUOTA]]</f>
        <v>#NUM!</v>
      </c>
      <c r="U1352" s="61" t="str">
        <f t="shared" si="219"/>
        <v/>
      </c>
    </row>
    <row r="1353" spans="9:21" ht="24.75" customHeight="1" x14ac:dyDescent="0.35">
      <c r="I1353" s="42">
        <f t="shared" si="210"/>
        <v>0</v>
      </c>
      <c r="J1353" s="65" t="e">
        <f t="shared" si="211"/>
        <v>#NUM!</v>
      </c>
      <c r="K1353" s="83" t="e">
        <f t="shared" si="212"/>
        <v>#NUM!</v>
      </c>
      <c r="L1353" s="83">
        <f t="shared" si="213"/>
        <v>0</v>
      </c>
      <c r="M1353" s="110" t="str">
        <f t="shared" si="214"/>
        <v/>
      </c>
      <c r="N1353" s="51" t="str">
        <f t="shared" si="215"/>
        <v/>
      </c>
      <c r="O1353" s="52" t="str">
        <f t="shared" si="216"/>
        <v/>
      </c>
      <c r="P1353" s="88">
        <f t="shared" si="217"/>
        <v>0</v>
      </c>
      <c r="Q1353" s="88">
        <f t="shared" si="218"/>
        <v>0</v>
      </c>
      <c r="R1353" s="88" t="e">
        <f>-IF(Tabla14[[#This Row],[DIAS HABILES O MORA]]&lt;0,(Tabla14[[#This Row],[VALOR PRESTAMO]]*Tabla14[[#This Row],[% INTERES ]]/30*U1353))+Tabla14[[#This Row],[VALOR CUOTAS]]</f>
        <v>#VALUE!</v>
      </c>
      <c r="S1353" s="88">
        <f>-IF(Tabla14[[#This Row],[DIAS HABILES O MORA]]&lt;0,(Tabla14[[#This Row],[VALOR PRESTAMO]]*Tabla14[[#This Row],[% INTERES ]]/30*U1353))</f>
        <v>0</v>
      </c>
      <c r="T1353" s="53" t="e">
        <f>Tabla14[[#This Row],[DEUDA CAPITAL]]+Tabla14[[#This Row],[INTERES  CUOTA]]</f>
        <v>#NUM!</v>
      </c>
      <c r="U1353" s="61" t="str">
        <f t="shared" si="219"/>
        <v/>
      </c>
    </row>
    <row r="1354" spans="9:21" ht="24.75" customHeight="1" x14ac:dyDescent="0.35">
      <c r="I1354" s="42">
        <f t="shared" si="210"/>
        <v>0</v>
      </c>
      <c r="J1354" s="65" t="e">
        <f t="shared" si="211"/>
        <v>#NUM!</v>
      </c>
      <c r="K1354" s="83" t="e">
        <f t="shared" si="212"/>
        <v>#NUM!</v>
      </c>
      <c r="L1354" s="83">
        <f t="shared" si="213"/>
        <v>0</v>
      </c>
      <c r="M1354" s="110" t="str">
        <f t="shared" si="214"/>
        <v/>
      </c>
      <c r="N1354" s="51" t="str">
        <f t="shared" si="215"/>
        <v/>
      </c>
      <c r="O1354" s="52" t="str">
        <f t="shared" si="216"/>
        <v/>
      </c>
      <c r="P1354" s="88">
        <f t="shared" si="217"/>
        <v>0</v>
      </c>
      <c r="Q1354" s="88">
        <f t="shared" si="218"/>
        <v>0</v>
      </c>
      <c r="R1354" s="88" t="e">
        <f>-IF(Tabla14[[#This Row],[DIAS HABILES O MORA]]&lt;0,(Tabla14[[#This Row],[VALOR PRESTAMO]]*Tabla14[[#This Row],[% INTERES ]]/30*U1354))+Tabla14[[#This Row],[VALOR CUOTAS]]</f>
        <v>#VALUE!</v>
      </c>
      <c r="S1354" s="88">
        <f>-IF(Tabla14[[#This Row],[DIAS HABILES O MORA]]&lt;0,(Tabla14[[#This Row],[VALOR PRESTAMO]]*Tabla14[[#This Row],[% INTERES ]]/30*U1354))</f>
        <v>0</v>
      </c>
      <c r="T1354" s="53" t="e">
        <f>Tabla14[[#This Row],[DEUDA CAPITAL]]+Tabla14[[#This Row],[INTERES  CUOTA]]</f>
        <v>#NUM!</v>
      </c>
      <c r="U1354" s="61" t="str">
        <f t="shared" si="219"/>
        <v/>
      </c>
    </row>
    <row r="1355" spans="9:21" ht="24.75" customHeight="1" x14ac:dyDescent="0.35">
      <c r="I1355" s="42">
        <f t="shared" si="210"/>
        <v>0</v>
      </c>
      <c r="J1355" s="65" t="e">
        <f t="shared" si="211"/>
        <v>#NUM!</v>
      </c>
      <c r="K1355" s="83" t="e">
        <f t="shared" si="212"/>
        <v>#NUM!</v>
      </c>
      <c r="L1355" s="83">
        <f t="shared" si="213"/>
        <v>0</v>
      </c>
      <c r="M1355" s="110" t="str">
        <f t="shared" si="214"/>
        <v/>
      </c>
      <c r="N1355" s="51" t="str">
        <f t="shared" si="215"/>
        <v/>
      </c>
      <c r="O1355" s="52" t="str">
        <f t="shared" si="216"/>
        <v/>
      </c>
      <c r="P1355" s="88">
        <f t="shared" si="217"/>
        <v>0</v>
      </c>
      <c r="Q1355" s="88">
        <f t="shared" si="218"/>
        <v>0</v>
      </c>
      <c r="R1355" s="88" t="e">
        <f>-IF(Tabla14[[#This Row],[DIAS HABILES O MORA]]&lt;0,(Tabla14[[#This Row],[VALOR PRESTAMO]]*Tabla14[[#This Row],[% INTERES ]]/30*U1355))+Tabla14[[#This Row],[VALOR CUOTAS]]</f>
        <v>#VALUE!</v>
      </c>
      <c r="S1355" s="88">
        <f>-IF(Tabla14[[#This Row],[DIAS HABILES O MORA]]&lt;0,(Tabla14[[#This Row],[VALOR PRESTAMO]]*Tabla14[[#This Row],[% INTERES ]]/30*U1355))</f>
        <v>0</v>
      </c>
      <c r="T1355" s="53" t="e">
        <f>Tabla14[[#This Row],[DEUDA CAPITAL]]+Tabla14[[#This Row],[INTERES  CUOTA]]</f>
        <v>#NUM!</v>
      </c>
      <c r="U1355" s="61" t="str">
        <f t="shared" si="219"/>
        <v/>
      </c>
    </row>
    <row r="1356" spans="9:21" ht="24.75" customHeight="1" x14ac:dyDescent="0.35">
      <c r="I1356" s="42">
        <f t="shared" si="210"/>
        <v>0</v>
      </c>
      <c r="J1356" s="65" t="e">
        <f t="shared" si="211"/>
        <v>#NUM!</v>
      </c>
      <c r="K1356" s="83" t="e">
        <f t="shared" si="212"/>
        <v>#NUM!</v>
      </c>
      <c r="L1356" s="83">
        <f t="shared" si="213"/>
        <v>0</v>
      </c>
      <c r="M1356" s="110" t="str">
        <f t="shared" si="214"/>
        <v/>
      </c>
      <c r="N1356" s="51" t="str">
        <f t="shared" si="215"/>
        <v/>
      </c>
      <c r="O1356" s="52" t="str">
        <f t="shared" si="216"/>
        <v/>
      </c>
      <c r="P1356" s="88">
        <f t="shared" si="217"/>
        <v>0</v>
      </c>
      <c r="Q1356" s="88">
        <f t="shared" si="218"/>
        <v>0</v>
      </c>
      <c r="R1356" s="88" t="e">
        <f>-IF(Tabla14[[#This Row],[DIAS HABILES O MORA]]&lt;0,(Tabla14[[#This Row],[VALOR PRESTAMO]]*Tabla14[[#This Row],[% INTERES ]]/30*U1356))+Tabla14[[#This Row],[VALOR CUOTAS]]</f>
        <v>#VALUE!</v>
      </c>
      <c r="S1356" s="88">
        <f>-IF(Tabla14[[#This Row],[DIAS HABILES O MORA]]&lt;0,(Tabla14[[#This Row],[VALOR PRESTAMO]]*Tabla14[[#This Row],[% INTERES ]]/30*U1356))</f>
        <v>0</v>
      </c>
      <c r="T1356" s="53" t="e">
        <f>Tabla14[[#This Row],[DEUDA CAPITAL]]+Tabla14[[#This Row],[INTERES  CUOTA]]</f>
        <v>#NUM!</v>
      </c>
      <c r="U1356" s="61" t="str">
        <f t="shared" si="219"/>
        <v/>
      </c>
    </row>
    <row r="1357" spans="9:21" ht="24.75" customHeight="1" x14ac:dyDescent="0.35">
      <c r="I1357" s="42">
        <f t="shared" si="210"/>
        <v>0</v>
      </c>
      <c r="J1357" s="65" t="e">
        <f t="shared" si="211"/>
        <v>#NUM!</v>
      </c>
      <c r="K1357" s="83" t="e">
        <f t="shared" si="212"/>
        <v>#NUM!</v>
      </c>
      <c r="L1357" s="83">
        <f t="shared" si="213"/>
        <v>0</v>
      </c>
      <c r="M1357" s="110" t="str">
        <f t="shared" si="214"/>
        <v/>
      </c>
      <c r="N1357" s="51" t="str">
        <f t="shared" si="215"/>
        <v/>
      </c>
      <c r="O1357" s="52" t="str">
        <f t="shared" si="216"/>
        <v/>
      </c>
      <c r="P1357" s="88">
        <f t="shared" si="217"/>
        <v>0</v>
      </c>
      <c r="Q1357" s="88">
        <f t="shared" si="218"/>
        <v>0</v>
      </c>
      <c r="R1357" s="88" t="e">
        <f>-IF(Tabla14[[#This Row],[DIAS HABILES O MORA]]&lt;0,(Tabla14[[#This Row],[VALOR PRESTAMO]]*Tabla14[[#This Row],[% INTERES ]]/30*U1357))+Tabla14[[#This Row],[VALOR CUOTAS]]</f>
        <v>#VALUE!</v>
      </c>
      <c r="S1357" s="88">
        <f>-IF(Tabla14[[#This Row],[DIAS HABILES O MORA]]&lt;0,(Tabla14[[#This Row],[VALOR PRESTAMO]]*Tabla14[[#This Row],[% INTERES ]]/30*U1357))</f>
        <v>0</v>
      </c>
      <c r="T1357" s="53" t="e">
        <f>Tabla14[[#This Row],[DEUDA CAPITAL]]+Tabla14[[#This Row],[INTERES  CUOTA]]</f>
        <v>#NUM!</v>
      </c>
      <c r="U1357" s="61" t="str">
        <f t="shared" si="219"/>
        <v/>
      </c>
    </row>
    <row r="1358" spans="9:21" ht="24.75" customHeight="1" x14ac:dyDescent="0.35">
      <c r="I1358" s="42">
        <f t="shared" si="210"/>
        <v>0</v>
      </c>
      <c r="J1358" s="65" t="e">
        <f t="shared" si="211"/>
        <v>#NUM!</v>
      </c>
      <c r="K1358" s="83" t="e">
        <f t="shared" si="212"/>
        <v>#NUM!</v>
      </c>
      <c r="L1358" s="83">
        <f t="shared" si="213"/>
        <v>0</v>
      </c>
      <c r="M1358" s="110" t="str">
        <f t="shared" si="214"/>
        <v/>
      </c>
      <c r="N1358" s="51" t="str">
        <f t="shared" si="215"/>
        <v/>
      </c>
      <c r="O1358" s="52" t="str">
        <f t="shared" si="216"/>
        <v/>
      </c>
      <c r="P1358" s="88">
        <f t="shared" si="217"/>
        <v>0</v>
      </c>
      <c r="Q1358" s="88">
        <f t="shared" si="218"/>
        <v>0</v>
      </c>
      <c r="R1358" s="88" t="e">
        <f>-IF(Tabla14[[#This Row],[DIAS HABILES O MORA]]&lt;0,(Tabla14[[#This Row],[VALOR PRESTAMO]]*Tabla14[[#This Row],[% INTERES ]]/30*U1358))+Tabla14[[#This Row],[VALOR CUOTAS]]</f>
        <v>#VALUE!</v>
      </c>
      <c r="S1358" s="88">
        <f>-IF(Tabla14[[#This Row],[DIAS HABILES O MORA]]&lt;0,(Tabla14[[#This Row],[VALOR PRESTAMO]]*Tabla14[[#This Row],[% INTERES ]]/30*U1358))</f>
        <v>0</v>
      </c>
      <c r="T1358" s="53" t="e">
        <f>Tabla14[[#This Row],[DEUDA CAPITAL]]+Tabla14[[#This Row],[INTERES  CUOTA]]</f>
        <v>#NUM!</v>
      </c>
      <c r="U1358" s="61" t="str">
        <f t="shared" si="219"/>
        <v/>
      </c>
    </row>
    <row r="1359" spans="9:21" ht="24.75" customHeight="1" x14ac:dyDescent="0.35">
      <c r="I1359" s="42">
        <f t="shared" si="210"/>
        <v>0</v>
      </c>
      <c r="J1359" s="65" t="e">
        <f t="shared" si="211"/>
        <v>#NUM!</v>
      </c>
      <c r="K1359" s="83" t="e">
        <f t="shared" si="212"/>
        <v>#NUM!</v>
      </c>
      <c r="L1359" s="83">
        <f t="shared" si="213"/>
        <v>0</v>
      </c>
      <c r="M1359" s="110" t="str">
        <f t="shared" si="214"/>
        <v/>
      </c>
      <c r="N1359" s="51" t="str">
        <f t="shared" si="215"/>
        <v/>
      </c>
      <c r="O1359" s="52" t="str">
        <f t="shared" si="216"/>
        <v/>
      </c>
      <c r="P1359" s="88">
        <f t="shared" si="217"/>
        <v>0</v>
      </c>
      <c r="Q1359" s="88">
        <f t="shared" si="218"/>
        <v>0</v>
      </c>
      <c r="R1359" s="88" t="e">
        <f>-IF(Tabla14[[#This Row],[DIAS HABILES O MORA]]&lt;0,(Tabla14[[#This Row],[VALOR PRESTAMO]]*Tabla14[[#This Row],[% INTERES ]]/30*U1359))+Tabla14[[#This Row],[VALOR CUOTAS]]</f>
        <v>#VALUE!</v>
      </c>
      <c r="S1359" s="88">
        <f>-IF(Tabla14[[#This Row],[DIAS HABILES O MORA]]&lt;0,(Tabla14[[#This Row],[VALOR PRESTAMO]]*Tabla14[[#This Row],[% INTERES ]]/30*U1359))</f>
        <v>0</v>
      </c>
      <c r="T1359" s="53" t="e">
        <f>Tabla14[[#This Row],[DEUDA CAPITAL]]+Tabla14[[#This Row],[INTERES  CUOTA]]</f>
        <v>#NUM!</v>
      </c>
      <c r="U1359" s="61" t="str">
        <f t="shared" si="219"/>
        <v/>
      </c>
    </row>
    <row r="1360" spans="9:21" ht="24.75" customHeight="1" x14ac:dyDescent="0.35">
      <c r="I1360" s="42">
        <f t="shared" ref="I1360:I1423" si="220">IF(C1360&lt;0,"",IF(Q1360=0,0,IF(G1360=0,H1360+1,IF(H1360&lt;G1360,H1360+1,IF(G1360=H1360,0)))))</f>
        <v>0</v>
      </c>
      <c r="J1360" s="65" t="e">
        <f t="shared" ref="J1360:J1423" si="221">IF(F1360="SOLO INTERES",Q1360*D1360,-IPMT(D1360,I1360,G1360,C1360))</f>
        <v>#NUM!</v>
      </c>
      <c r="K1360" s="83" t="e">
        <f t="shared" ref="K1360:K1423" si="222">IF(F1360="SOLO INTERES",0,-PPMT(D1360,I1360,G1360,C1360))</f>
        <v>#NUM!</v>
      </c>
      <c r="L1360" s="83">
        <f t="shared" ref="L1360:L1423" si="223">IF(F1360="SOLO INTERES",SUM(Y1360:AAE1360),IFERROR(-CUMIPMT(D1360,G1360,C1360,1,H1360,0),0)+SUM(Y1360:WY1360))</f>
        <v>0</v>
      </c>
      <c r="M1360" s="110" t="str">
        <f t="shared" ref="M1360:M1423" si="224">IFERROR(IF(F1360="SOLO INTERES",Q1360*D1360,-PMT(D1360,G1360,C1360,0)),"")</f>
        <v/>
      </c>
      <c r="N1360" s="51" t="str">
        <f t="shared" ref="N1360:N1423" si="225">IF(Q1360=0,"",IF(E1360="MENSUAL",EDATE(B1360,I1360),IF(E1360="QUINCENAL",B1360+(I1360*15),IF(E1360="SEMANAL",B1360+(I1360*7)))))</f>
        <v/>
      </c>
      <c r="O1360" s="52" t="str">
        <f t="shared" ref="O1360:O1423" si="226">IF(C1360=0,"",IF(Q1360&lt;1,"PAGADO",IF(N1360=$A$3,"COBRAR HOY",IF(N1360&lt;$A$3,"EN MORA",IF(N1360&gt;$A$3,"AL DIA")))))</f>
        <v/>
      </c>
      <c r="P1360" s="88">
        <f t="shared" ref="P1360:P1423" si="227">IFERROR(-CUMPRINC(D1360,G1360,C1360,1,H1360,0),0)+W1360</f>
        <v>0</v>
      </c>
      <c r="Q1360" s="88">
        <f t="shared" ref="Q1360:Q1423" si="228">IFERROR(C1360-P1360,"")</f>
        <v>0</v>
      </c>
      <c r="R1360" s="88" t="e">
        <f>-IF(Tabla14[[#This Row],[DIAS HABILES O MORA]]&lt;0,(Tabla14[[#This Row],[VALOR PRESTAMO]]*Tabla14[[#This Row],[% INTERES ]]/30*U1360))+Tabla14[[#This Row],[VALOR CUOTAS]]</f>
        <v>#VALUE!</v>
      </c>
      <c r="S1360" s="88">
        <f>-IF(Tabla14[[#This Row],[DIAS HABILES O MORA]]&lt;0,(Tabla14[[#This Row],[VALOR PRESTAMO]]*Tabla14[[#This Row],[% INTERES ]]/30*U1360))</f>
        <v>0</v>
      </c>
      <c r="T1360" s="53" t="e">
        <f>Tabla14[[#This Row],[DEUDA CAPITAL]]+Tabla14[[#This Row],[INTERES  CUOTA]]</f>
        <v>#NUM!</v>
      </c>
      <c r="U1360" s="61" t="str">
        <f t="shared" ref="U1360:U1423" si="229">IF(O1360="PAGADO","",IFERROR(-IF(C1360=0,"",$A$3-N1360),""))</f>
        <v/>
      </c>
    </row>
    <row r="1361" spans="9:21" ht="24.75" customHeight="1" x14ac:dyDescent="0.35">
      <c r="I1361" s="42">
        <f t="shared" si="220"/>
        <v>0</v>
      </c>
      <c r="J1361" s="65" t="e">
        <f t="shared" si="221"/>
        <v>#NUM!</v>
      </c>
      <c r="K1361" s="83" t="e">
        <f t="shared" si="222"/>
        <v>#NUM!</v>
      </c>
      <c r="L1361" s="83">
        <f t="shared" si="223"/>
        <v>0</v>
      </c>
      <c r="M1361" s="110" t="str">
        <f t="shared" si="224"/>
        <v/>
      </c>
      <c r="N1361" s="51" t="str">
        <f t="shared" si="225"/>
        <v/>
      </c>
      <c r="O1361" s="52" t="str">
        <f t="shared" si="226"/>
        <v/>
      </c>
      <c r="P1361" s="88">
        <f t="shared" si="227"/>
        <v>0</v>
      </c>
      <c r="Q1361" s="88">
        <f t="shared" si="228"/>
        <v>0</v>
      </c>
      <c r="R1361" s="88" t="e">
        <f>-IF(Tabla14[[#This Row],[DIAS HABILES O MORA]]&lt;0,(Tabla14[[#This Row],[VALOR PRESTAMO]]*Tabla14[[#This Row],[% INTERES ]]/30*U1361))+Tabla14[[#This Row],[VALOR CUOTAS]]</f>
        <v>#VALUE!</v>
      </c>
      <c r="S1361" s="88">
        <f>-IF(Tabla14[[#This Row],[DIAS HABILES O MORA]]&lt;0,(Tabla14[[#This Row],[VALOR PRESTAMO]]*Tabla14[[#This Row],[% INTERES ]]/30*U1361))</f>
        <v>0</v>
      </c>
      <c r="T1361" s="53" t="e">
        <f>Tabla14[[#This Row],[DEUDA CAPITAL]]+Tabla14[[#This Row],[INTERES  CUOTA]]</f>
        <v>#NUM!</v>
      </c>
      <c r="U1361" s="61" t="str">
        <f t="shared" si="229"/>
        <v/>
      </c>
    </row>
    <row r="1362" spans="9:21" ht="24.75" customHeight="1" x14ac:dyDescent="0.35">
      <c r="I1362" s="42">
        <f t="shared" si="220"/>
        <v>0</v>
      </c>
      <c r="J1362" s="65" t="e">
        <f t="shared" si="221"/>
        <v>#NUM!</v>
      </c>
      <c r="K1362" s="83" t="e">
        <f t="shared" si="222"/>
        <v>#NUM!</v>
      </c>
      <c r="L1362" s="83">
        <f t="shared" si="223"/>
        <v>0</v>
      </c>
      <c r="M1362" s="110" t="str">
        <f t="shared" si="224"/>
        <v/>
      </c>
      <c r="N1362" s="51" t="str">
        <f t="shared" si="225"/>
        <v/>
      </c>
      <c r="O1362" s="52" t="str">
        <f t="shared" si="226"/>
        <v/>
      </c>
      <c r="P1362" s="88">
        <f t="shared" si="227"/>
        <v>0</v>
      </c>
      <c r="Q1362" s="88">
        <f t="shared" si="228"/>
        <v>0</v>
      </c>
      <c r="R1362" s="88" t="e">
        <f>-IF(Tabla14[[#This Row],[DIAS HABILES O MORA]]&lt;0,(Tabla14[[#This Row],[VALOR PRESTAMO]]*Tabla14[[#This Row],[% INTERES ]]/30*U1362))+Tabla14[[#This Row],[VALOR CUOTAS]]</f>
        <v>#VALUE!</v>
      </c>
      <c r="S1362" s="88">
        <f>-IF(Tabla14[[#This Row],[DIAS HABILES O MORA]]&lt;0,(Tabla14[[#This Row],[VALOR PRESTAMO]]*Tabla14[[#This Row],[% INTERES ]]/30*U1362))</f>
        <v>0</v>
      </c>
      <c r="T1362" s="53" t="e">
        <f>Tabla14[[#This Row],[DEUDA CAPITAL]]+Tabla14[[#This Row],[INTERES  CUOTA]]</f>
        <v>#NUM!</v>
      </c>
      <c r="U1362" s="61" t="str">
        <f t="shared" si="229"/>
        <v/>
      </c>
    </row>
    <row r="1363" spans="9:21" ht="24.75" customHeight="1" x14ac:dyDescent="0.35">
      <c r="I1363" s="42">
        <f t="shared" si="220"/>
        <v>0</v>
      </c>
      <c r="J1363" s="65" t="e">
        <f t="shared" si="221"/>
        <v>#NUM!</v>
      </c>
      <c r="K1363" s="83" t="e">
        <f t="shared" si="222"/>
        <v>#NUM!</v>
      </c>
      <c r="L1363" s="83">
        <f t="shared" si="223"/>
        <v>0</v>
      </c>
      <c r="M1363" s="110" t="str">
        <f t="shared" si="224"/>
        <v/>
      </c>
      <c r="N1363" s="51" t="str">
        <f t="shared" si="225"/>
        <v/>
      </c>
      <c r="O1363" s="52" t="str">
        <f t="shared" si="226"/>
        <v/>
      </c>
      <c r="P1363" s="88">
        <f t="shared" si="227"/>
        <v>0</v>
      </c>
      <c r="Q1363" s="88">
        <f t="shared" si="228"/>
        <v>0</v>
      </c>
      <c r="R1363" s="88" t="e">
        <f>-IF(Tabla14[[#This Row],[DIAS HABILES O MORA]]&lt;0,(Tabla14[[#This Row],[VALOR PRESTAMO]]*Tabla14[[#This Row],[% INTERES ]]/30*U1363))+Tabla14[[#This Row],[VALOR CUOTAS]]</f>
        <v>#VALUE!</v>
      </c>
      <c r="S1363" s="88">
        <f>-IF(Tabla14[[#This Row],[DIAS HABILES O MORA]]&lt;0,(Tabla14[[#This Row],[VALOR PRESTAMO]]*Tabla14[[#This Row],[% INTERES ]]/30*U1363))</f>
        <v>0</v>
      </c>
      <c r="T1363" s="53" t="e">
        <f>Tabla14[[#This Row],[DEUDA CAPITAL]]+Tabla14[[#This Row],[INTERES  CUOTA]]</f>
        <v>#NUM!</v>
      </c>
      <c r="U1363" s="61" t="str">
        <f t="shared" si="229"/>
        <v/>
      </c>
    </row>
    <row r="1364" spans="9:21" ht="24.75" customHeight="1" x14ac:dyDescent="0.35">
      <c r="I1364" s="42">
        <f t="shared" si="220"/>
        <v>0</v>
      </c>
      <c r="J1364" s="65" t="e">
        <f t="shared" si="221"/>
        <v>#NUM!</v>
      </c>
      <c r="K1364" s="83" t="e">
        <f t="shared" si="222"/>
        <v>#NUM!</v>
      </c>
      <c r="L1364" s="83">
        <f t="shared" si="223"/>
        <v>0</v>
      </c>
      <c r="M1364" s="110" t="str">
        <f t="shared" si="224"/>
        <v/>
      </c>
      <c r="N1364" s="51" t="str">
        <f t="shared" si="225"/>
        <v/>
      </c>
      <c r="O1364" s="52" t="str">
        <f t="shared" si="226"/>
        <v/>
      </c>
      <c r="P1364" s="88">
        <f t="shared" si="227"/>
        <v>0</v>
      </c>
      <c r="Q1364" s="88">
        <f t="shared" si="228"/>
        <v>0</v>
      </c>
      <c r="R1364" s="88" t="e">
        <f>-IF(Tabla14[[#This Row],[DIAS HABILES O MORA]]&lt;0,(Tabla14[[#This Row],[VALOR PRESTAMO]]*Tabla14[[#This Row],[% INTERES ]]/30*U1364))+Tabla14[[#This Row],[VALOR CUOTAS]]</f>
        <v>#VALUE!</v>
      </c>
      <c r="S1364" s="88">
        <f>-IF(Tabla14[[#This Row],[DIAS HABILES O MORA]]&lt;0,(Tabla14[[#This Row],[VALOR PRESTAMO]]*Tabla14[[#This Row],[% INTERES ]]/30*U1364))</f>
        <v>0</v>
      </c>
      <c r="T1364" s="53" t="e">
        <f>Tabla14[[#This Row],[DEUDA CAPITAL]]+Tabla14[[#This Row],[INTERES  CUOTA]]</f>
        <v>#NUM!</v>
      </c>
      <c r="U1364" s="61" t="str">
        <f t="shared" si="229"/>
        <v/>
      </c>
    </row>
    <row r="1365" spans="9:21" ht="24.75" customHeight="1" x14ac:dyDescent="0.35">
      <c r="I1365" s="42">
        <f t="shared" si="220"/>
        <v>0</v>
      </c>
      <c r="J1365" s="65" t="e">
        <f t="shared" si="221"/>
        <v>#NUM!</v>
      </c>
      <c r="K1365" s="83" t="e">
        <f t="shared" si="222"/>
        <v>#NUM!</v>
      </c>
      <c r="L1365" s="83">
        <f t="shared" si="223"/>
        <v>0</v>
      </c>
      <c r="M1365" s="110" t="str">
        <f t="shared" si="224"/>
        <v/>
      </c>
      <c r="N1365" s="51" t="str">
        <f t="shared" si="225"/>
        <v/>
      </c>
      <c r="O1365" s="52" t="str">
        <f t="shared" si="226"/>
        <v/>
      </c>
      <c r="P1365" s="88">
        <f t="shared" si="227"/>
        <v>0</v>
      </c>
      <c r="Q1365" s="88">
        <f t="shared" si="228"/>
        <v>0</v>
      </c>
      <c r="R1365" s="88" t="e">
        <f>-IF(Tabla14[[#This Row],[DIAS HABILES O MORA]]&lt;0,(Tabla14[[#This Row],[VALOR PRESTAMO]]*Tabla14[[#This Row],[% INTERES ]]/30*U1365))+Tabla14[[#This Row],[VALOR CUOTAS]]</f>
        <v>#VALUE!</v>
      </c>
      <c r="S1365" s="88">
        <f>-IF(Tabla14[[#This Row],[DIAS HABILES O MORA]]&lt;0,(Tabla14[[#This Row],[VALOR PRESTAMO]]*Tabla14[[#This Row],[% INTERES ]]/30*U1365))</f>
        <v>0</v>
      </c>
      <c r="T1365" s="53" t="e">
        <f>Tabla14[[#This Row],[DEUDA CAPITAL]]+Tabla14[[#This Row],[INTERES  CUOTA]]</f>
        <v>#NUM!</v>
      </c>
      <c r="U1365" s="61" t="str">
        <f t="shared" si="229"/>
        <v/>
      </c>
    </row>
    <row r="1366" spans="9:21" ht="24.75" customHeight="1" x14ac:dyDescent="0.35">
      <c r="I1366" s="42">
        <f t="shared" si="220"/>
        <v>0</v>
      </c>
      <c r="J1366" s="65" t="e">
        <f t="shared" si="221"/>
        <v>#NUM!</v>
      </c>
      <c r="K1366" s="83" t="e">
        <f t="shared" si="222"/>
        <v>#NUM!</v>
      </c>
      <c r="L1366" s="83">
        <f t="shared" si="223"/>
        <v>0</v>
      </c>
      <c r="M1366" s="110" t="str">
        <f t="shared" si="224"/>
        <v/>
      </c>
      <c r="N1366" s="51" t="str">
        <f t="shared" si="225"/>
        <v/>
      </c>
      <c r="O1366" s="52" t="str">
        <f t="shared" si="226"/>
        <v/>
      </c>
      <c r="P1366" s="88">
        <f t="shared" si="227"/>
        <v>0</v>
      </c>
      <c r="Q1366" s="88">
        <f t="shared" si="228"/>
        <v>0</v>
      </c>
      <c r="R1366" s="88" t="e">
        <f>-IF(Tabla14[[#This Row],[DIAS HABILES O MORA]]&lt;0,(Tabla14[[#This Row],[VALOR PRESTAMO]]*Tabla14[[#This Row],[% INTERES ]]/30*U1366))+Tabla14[[#This Row],[VALOR CUOTAS]]</f>
        <v>#VALUE!</v>
      </c>
      <c r="S1366" s="88">
        <f>-IF(Tabla14[[#This Row],[DIAS HABILES O MORA]]&lt;0,(Tabla14[[#This Row],[VALOR PRESTAMO]]*Tabla14[[#This Row],[% INTERES ]]/30*U1366))</f>
        <v>0</v>
      </c>
      <c r="T1366" s="53" t="e">
        <f>Tabla14[[#This Row],[DEUDA CAPITAL]]+Tabla14[[#This Row],[INTERES  CUOTA]]</f>
        <v>#NUM!</v>
      </c>
      <c r="U1366" s="61" t="str">
        <f t="shared" si="229"/>
        <v/>
      </c>
    </row>
    <row r="1367" spans="9:21" ht="24.75" customHeight="1" x14ac:dyDescent="0.35">
      <c r="I1367" s="42">
        <f t="shared" si="220"/>
        <v>0</v>
      </c>
      <c r="J1367" s="65" t="e">
        <f t="shared" si="221"/>
        <v>#NUM!</v>
      </c>
      <c r="K1367" s="83" t="e">
        <f t="shared" si="222"/>
        <v>#NUM!</v>
      </c>
      <c r="L1367" s="83">
        <f t="shared" si="223"/>
        <v>0</v>
      </c>
      <c r="M1367" s="110" t="str">
        <f t="shared" si="224"/>
        <v/>
      </c>
      <c r="N1367" s="51" t="str">
        <f t="shared" si="225"/>
        <v/>
      </c>
      <c r="O1367" s="52" t="str">
        <f t="shared" si="226"/>
        <v/>
      </c>
      <c r="P1367" s="88">
        <f t="shared" si="227"/>
        <v>0</v>
      </c>
      <c r="Q1367" s="88">
        <f t="shared" si="228"/>
        <v>0</v>
      </c>
      <c r="R1367" s="88" t="e">
        <f>-IF(Tabla14[[#This Row],[DIAS HABILES O MORA]]&lt;0,(Tabla14[[#This Row],[VALOR PRESTAMO]]*Tabla14[[#This Row],[% INTERES ]]/30*U1367))+Tabla14[[#This Row],[VALOR CUOTAS]]</f>
        <v>#VALUE!</v>
      </c>
      <c r="S1367" s="88">
        <f>-IF(Tabla14[[#This Row],[DIAS HABILES O MORA]]&lt;0,(Tabla14[[#This Row],[VALOR PRESTAMO]]*Tabla14[[#This Row],[% INTERES ]]/30*U1367))</f>
        <v>0</v>
      </c>
      <c r="T1367" s="53" t="e">
        <f>Tabla14[[#This Row],[DEUDA CAPITAL]]+Tabla14[[#This Row],[INTERES  CUOTA]]</f>
        <v>#NUM!</v>
      </c>
      <c r="U1367" s="61" t="str">
        <f t="shared" si="229"/>
        <v/>
      </c>
    </row>
    <row r="1368" spans="9:21" ht="24.75" customHeight="1" x14ac:dyDescent="0.35">
      <c r="I1368" s="42">
        <f t="shared" si="220"/>
        <v>0</v>
      </c>
      <c r="J1368" s="65" t="e">
        <f t="shared" si="221"/>
        <v>#NUM!</v>
      </c>
      <c r="K1368" s="83" t="e">
        <f t="shared" si="222"/>
        <v>#NUM!</v>
      </c>
      <c r="L1368" s="83">
        <f t="shared" si="223"/>
        <v>0</v>
      </c>
      <c r="M1368" s="110" t="str">
        <f t="shared" si="224"/>
        <v/>
      </c>
      <c r="N1368" s="51" t="str">
        <f t="shared" si="225"/>
        <v/>
      </c>
      <c r="O1368" s="52" t="str">
        <f t="shared" si="226"/>
        <v/>
      </c>
      <c r="P1368" s="88">
        <f t="shared" si="227"/>
        <v>0</v>
      </c>
      <c r="Q1368" s="88">
        <f t="shared" si="228"/>
        <v>0</v>
      </c>
      <c r="R1368" s="88" t="e">
        <f>-IF(Tabla14[[#This Row],[DIAS HABILES O MORA]]&lt;0,(Tabla14[[#This Row],[VALOR PRESTAMO]]*Tabla14[[#This Row],[% INTERES ]]/30*U1368))+Tabla14[[#This Row],[VALOR CUOTAS]]</f>
        <v>#VALUE!</v>
      </c>
      <c r="S1368" s="88">
        <f>-IF(Tabla14[[#This Row],[DIAS HABILES O MORA]]&lt;0,(Tabla14[[#This Row],[VALOR PRESTAMO]]*Tabla14[[#This Row],[% INTERES ]]/30*U1368))</f>
        <v>0</v>
      </c>
      <c r="T1368" s="53" t="e">
        <f>Tabla14[[#This Row],[DEUDA CAPITAL]]+Tabla14[[#This Row],[INTERES  CUOTA]]</f>
        <v>#NUM!</v>
      </c>
      <c r="U1368" s="61" t="str">
        <f t="shared" si="229"/>
        <v/>
      </c>
    </row>
    <row r="1369" spans="9:21" ht="24.75" customHeight="1" x14ac:dyDescent="0.35">
      <c r="I1369" s="42">
        <f t="shared" si="220"/>
        <v>0</v>
      </c>
      <c r="J1369" s="65" t="e">
        <f t="shared" si="221"/>
        <v>#NUM!</v>
      </c>
      <c r="K1369" s="83" t="e">
        <f t="shared" si="222"/>
        <v>#NUM!</v>
      </c>
      <c r="L1369" s="83">
        <f t="shared" si="223"/>
        <v>0</v>
      </c>
      <c r="M1369" s="110" t="str">
        <f t="shared" si="224"/>
        <v/>
      </c>
      <c r="N1369" s="51" t="str">
        <f t="shared" si="225"/>
        <v/>
      </c>
      <c r="O1369" s="52" t="str">
        <f t="shared" si="226"/>
        <v/>
      </c>
      <c r="P1369" s="88">
        <f t="shared" si="227"/>
        <v>0</v>
      </c>
      <c r="Q1369" s="88">
        <f t="shared" si="228"/>
        <v>0</v>
      </c>
      <c r="R1369" s="88" t="e">
        <f>-IF(Tabla14[[#This Row],[DIAS HABILES O MORA]]&lt;0,(Tabla14[[#This Row],[VALOR PRESTAMO]]*Tabla14[[#This Row],[% INTERES ]]/30*U1369))+Tabla14[[#This Row],[VALOR CUOTAS]]</f>
        <v>#VALUE!</v>
      </c>
      <c r="S1369" s="88">
        <f>-IF(Tabla14[[#This Row],[DIAS HABILES O MORA]]&lt;0,(Tabla14[[#This Row],[VALOR PRESTAMO]]*Tabla14[[#This Row],[% INTERES ]]/30*U1369))</f>
        <v>0</v>
      </c>
      <c r="T1369" s="53" t="e">
        <f>Tabla14[[#This Row],[DEUDA CAPITAL]]+Tabla14[[#This Row],[INTERES  CUOTA]]</f>
        <v>#NUM!</v>
      </c>
      <c r="U1369" s="61" t="str">
        <f t="shared" si="229"/>
        <v/>
      </c>
    </row>
    <row r="1370" spans="9:21" ht="24.75" customHeight="1" x14ac:dyDescent="0.35">
      <c r="I1370" s="42">
        <f t="shared" si="220"/>
        <v>0</v>
      </c>
      <c r="J1370" s="65" t="e">
        <f t="shared" si="221"/>
        <v>#NUM!</v>
      </c>
      <c r="K1370" s="83" t="e">
        <f t="shared" si="222"/>
        <v>#NUM!</v>
      </c>
      <c r="L1370" s="83">
        <f t="shared" si="223"/>
        <v>0</v>
      </c>
      <c r="M1370" s="110" t="str">
        <f t="shared" si="224"/>
        <v/>
      </c>
      <c r="N1370" s="51" t="str">
        <f t="shared" si="225"/>
        <v/>
      </c>
      <c r="O1370" s="52" t="str">
        <f t="shared" si="226"/>
        <v/>
      </c>
      <c r="P1370" s="88">
        <f t="shared" si="227"/>
        <v>0</v>
      </c>
      <c r="Q1370" s="88">
        <f t="shared" si="228"/>
        <v>0</v>
      </c>
      <c r="R1370" s="88" t="e">
        <f>-IF(Tabla14[[#This Row],[DIAS HABILES O MORA]]&lt;0,(Tabla14[[#This Row],[VALOR PRESTAMO]]*Tabla14[[#This Row],[% INTERES ]]/30*U1370))+Tabla14[[#This Row],[VALOR CUOTAS]]</f>
        <v>#VALUE!</v>
      </c>
      <c r="S1370" s="88">
        <f>-IF(Tabla14[[#This Row],[DIAS HABILES O MORA]]&lt;0,(Tabla14[[#This Row],[VALOR PRESTAMO]]*Tabla14[[#This Row],[% INTERES ]]/30*U1370))</f>
        <v>0</v>
      </c>
      <c r="T1370" s="53" t="e">
        <f>Tabla14[[#This Row],[DEUDA CAPITAL]]+Tabla14[[#This Row],[INTERES  CUOTA]]</f>
        <v>#NUM!</v>
      </c>
      <c r="U1370" s="61" t="str">
        <f t="shared" si="229"/>
        <v/>
      </c>
    </row>
    <row r="1371" spans="9:21" ht="24.75" customHeight="1" x14ac:dyDescent="0.35">
      <c r="I1371" s="42">
        <f t="shared" si="220"/>
        <v>0</v>
      </c>
      <c r="J1371" s="65" t="e">
        <f t="shared" si="221"/>
        <v>#NUM!</v>
      </c>
      <c r="K1371" s="83" t="e">
        <f t="shared" si="222"/>
        <v>#NUM!</v>
      </c>
      <c r="L1371" s="83">
        <f t="shared" si="223"/>
        <v>0</v>
      </c>
      <c r="M1371" s="110" t="str">
        <f t="shared" si="224"/>
        <v/>
      </c>
      <c r="N1371" s="51" t="str">
        <f t="shared" si="225"/>
        <v/>
      </c>
      <c r="O1371" s="52" t="str">
        <f t="shared" si="226"/>
        <v/>
      </c>
      <c r="P1371" s="88">
        <f t="shared" si="227"/>
        <v>0</v>
      </c>
      <c r="Q1371" s="88">
        <f t="shared" si="228"/>
        <v>0</v>
      </c>
      <c r="R1371" s="88" t="e">
        <f>-IF(Tabla14[[#This Row],[DIAS HABILES O MORA]]&lt;0,(Tabla14[[#This Row],[VALOR PRESTAMO]]*Tabla14[[#This Row],[% INTERES ]]/30*U1371))+Tabla14[[#This Row],[VALOR CUOTAS]]</f>
        <v>#VALUE!</v>
      </c>
      <c r="S1371" s="88">
        <f>-IF(Tabla14[[#This Row],[DIAS HABILES O MORA]]&lt;0,(Tabla14[[#This Row],[VALOR PRESTAMO]]*Tabla14[[#This Row],[% INTERES ]]/30*U1371))</f>
        <v>0</v>
      </c>
      <c r="T1371" s="53" t="e">
        <f>Tabla14[[#This Row],[DEUDA CAPITAL]]+Tabla14[[#This Row],[INTERES  CUOTA]]</f>
        <v>#NUM!</v>
      </c>
      <c r="U1371" s="61" t="str">
        <f t="shared" si="229"/>
        <v/>
      </c>
    </row>
    <row r="1372" spans="9:21" ht="24.75" customHeight="1" x14ac:dyDescent="0.35">
      <c r="I1372" s="42">
        <f t="shared" si="220"/>
        <v>0</v>
      </c>
      <c r="J1372" s="65" t="e">
        <f t="shared" si="221"/>
        <v>#NUM!</v>
      </c>
      <c r="K1372" s="83" t="e">
        <f t="shared" si="222"/>
        <v>#NUM!</v>
      </c>
      <c r="L1372" s="83">
        <f t="shared" si="223"/>
        <v>0</v>
      </c>
      <c r="M1372" s="110" t="str">
        <f t="shared" si="224"/>
        <v/>
      </c>
      <c r="N1372" s="51" t="str">
        <f t="shared" si="225"/>
        <v/>
      </c>
      <c r="O1372" s="52" t="str">
        <f t="shared" si="226"/>
        <v/>
      </c>
      <c r="P1372" s="88">
        <f t="shared" si="227"/>
        <v>0</v>
      </c>
      <c r="Q1372" s="88">
        <f t="shared" si="228"/>
        <v>0</v>
      </c>
      <c r="R1372" s="88" t="e">
        <f>-IF(Tabla14[[#This Row],[DIAS HABILES O MORA]]&lt;0,(Tabla14[[#This Row],[VALOR PRESTAMO]]*Tabla14[[#This Row],[% INTERES ]]/30*U1372))+Tabla14[[#This Row],[VALOR CUOTAS]]</f>
        <v>#VALUE!</v>
      </c>
      <c r="S1372" s="88">
        <f>-IF(Tabla14[[#This Row],[DIAS HABILES O MORA]]&lt;0,(Tabla14[[#This Row],[VALOR PRESTAMO]]*Tabla14[[#This Row],[% INTERES ]]/30*U1372))</f>
        <v>0</v>
      </c>
      <c r="T1372" s="53" t="e">
        <f>Tabla14[[#This Row],[DEUDA CAPITAL]]+Tabla14[[#This Row],[INTERES  CUOTA]]</f>
        <v>#NUM!</v>
      </c>
      <c r="U1372" s="61" t="str">
        <f t="shared" si="229"/>
        <v/>
      </c>
    </row>
    <row r="1373" spans="9:21" ht="24.75" customHeight="1" x14ac:dyDescent="0.35">
      <c r="I1373" s="42">
        <f t="shared" si="220"/>
        <v>0</v>
      </c>
      <c r="J1373" s="65" t="e">
        <f t="shared" si="221"/>
        <v>#NUM!</v>
      </c>
      <c r="K1373" s="83" t="e">
        <f t="shared" si="222"/>
        <v>#NUM!</v>
      </c>
      <c r="L1373" s="83">
        <f t="shared" si="223"/>
        <v>0</v>
      </c>
      <c r="M1373" s="110" t="str">
        <f t="shared" si="224"/>
        <v/>
      </c>
      <c r="N1373" s="51" t="str">
        <f t="shared" si="225"/>
        <v/>
      </c>
      <c r="O1373" s="52" t="str">
        <f t="shared" si="226"/>
        <v/>
      </c>
      <c r="P1373" s="88">
        <f t="shared" si="227"/>
        <v>0</v>
      </c>
      <c r="Q1373" s="88">
        <f t="shared" si="228"/>
        <v>0</v>
      </c>
      <c r="R1373" s="88" t="e">
        <f>-IF(Tabla14[[#This Row],[DIAS HABILES O MORA]]&lt;0,(Tabla14[[#This Row],[VALOR PRESTAMO]]*Tabla14[[#This Row],[% INTERES ]]/30*U1373))+Tabla14[[#This Row],[VALOR CUOTAS]]</f>
        <v>#VALUE!</v>
      </c>
      <c r="S1373" s="88">
        <f>-IF(Tabla14[[#This Row],[DIAS HABILES O MORA]]&lt;0,(Tabla14[[#This Row],[VALOR PRESTAMO]]*Tabla14[[#This Row],[% INTERES ]]/30*U1373))</f>
        <v>0</v>
      </c>
      <c r="T1373" s="53" t="e">
        <f>Tabla14[[#This Row],[DEUDA CAPITAL]]+Tabla14[[#This Row],[INTERES  CUOTA]]</f>
        <v>#NUM!</v>
      </c>
      <c r="U1373" s="61" t="str">
        <f t="shared" si="229"/>
        <v/>
      </c>
    </row>
    <row r="1374" spans="9:21" ht="24.75" customHeight="1" x14ac:dyDescent="0.35">
      <c r="I1374" s="42">
        <f t="shared" si="220"/>
        <v>0</v>
      </c>
      <c r="J1374" s="65" t="e">
        <f t="shared" si="221"/>
        <v>#NUM!</v>
      </c>
      <c r="K1374" s="83" t="e">
        <f t="shared" si="222"/>
        <v>#NUM!</v>
      </c>
      <c r="L1374" s="83">
        <f t="shared" si="223"/>
        <v>0</v>
      </c>
      <c r="M1374" s="110" t="str">
        <f t="shared" si="224"/>
        <v/>
      </c>
      <c r="N1374" s="51" t="str">
        <f t="shared" si="225"/>
        <v/>
      </c>
      <c r="O1374" s="52" t="str">
        <f t="shared" si="226"/>
        <v/>
      </c>
      <c r="P1374" s="88">
        <f t="shared" si="227"/>
        <v>0</v>
      </c>
      <c r="Q1374" s="88">
        <f t="shared" si="228"/>
        <v>0</v>
      </c>
      <c r="R1374" s="88" t="e">
        <f>-IF(Tabla14[[#This Row],[DIAS HABILES O MORA]]&lt;0,(Tabla14[[#This Row],[VALOR PRESTAMO]]*Tabla14[[#This Row],[% INTERES ]]/30*U1374))+Tabla14[[#This Row],[VALOR CUOTAS]]</f>
        <v>#VALUE!</v>
      </c>
      <c r="S1374" s="88">
        <f>-IF(Tabla14[[#This Row],[DIAS HABILES O MORA]]&lt;0,(Tabla14[[#This Row],[VALOR PRESTAMO]]*Tabla14[[#This Row],[% INTERES ]]/30*U1374))</f>
        <v>0</v>
      </c>
      <c r="T1374" s="53" t="e">
        <f>Tabla14[[#This Row],[DEUDA CAPITAL]]+Tabla14[[#This Row],[INTERES  CUOTA]]</f>
        <v>#NUM!</v>
      </c>
      <c r="U1374" s="61" t="str">
        <f t="shared" si="229"/>
        <v/>
      </c>
    </row>
    <row r="1375" spans="9:21" ht="24.75" customHeight="1" x14ac:dyDescent="0.35">
      <c r="I1375" s="42">
        <f t="shared" si="220"/>
        <v>0</v>
      </c>
      <c r="J1375" s="65" t="e">
        <f t="shared" si="221"/>
        <v>#NUM!</v>
      </c>
      <c r="K1375" s="83" t="e">
        <f t="shared" si="222"/>
        <v>#NUM!</v>
      </c>
      <c r="L1375" s="83">
        <f t="shared" si="223"/>
        <v>0</v>
      </c>
      <c r="M1375" s="110" t="str">
        <f t="shared" si="224"/>
        <v/>
      </c>
      <c r="N1375" s="51" t="str">
        <f t="shared" si="225"/>
        <v/>
      </c>
      <c r="O1375" s="52" t="str">
        <f t="shared" si="226"/>
        <v/>
      </c>
      <c r="P1375" s="88">
        <f t="shared" si="227"/>
        <v>0</v>
      </c>
      <c r="Q1375" s="88">
        <f t="shared" si="228"/>
        <v>0</v>
      </c>
      <c r="R1375" s="88" t="e">
        <f>-IF(Tabla14[[#This Row],[DIAS HABILES O MORA]]&lt;0,(Tabla14[[#This Row],[VALOR PRESTAMO]]*Tabla14[[#This Row],[% INTERES ]]/30*U1375))+Tabla14[[#This Row],[VALOR CUOTAS]]</f>
        <v>#VALUE!</v>
      </c>
      <c r="S1375" s="88">
        <f>-IF(Tabla14[[#This Row],[DIAS HABILES O MORA]]&lt;0,(Tabla14[[#This Row],[VALOR PRESTAMO]]*Tabla14[[#This Row],[% INTERES ]]/30*U1375))</f>
        <v>0</v>
      </c>
      <c r="T1375" s="53" t="e">
        <f>Tabla14[[#This Row],[DEUDA CAPITAL]]+Tabla14[[#This Row],[INTERES  CUOTA]]</f>
        <v>#NUM!</v>
      </c>
      <c r="U1375" s="61" t="str">
        <f t="shared" si="229"/>
        <v/>
      </c>
    </row>
    <row r="1376" spans="9:21" ht="24.75" customHeight="1" x14ac:dyDescent="0.35">
      <c r="I1376" s="42">
        <f t="shared" si="220"/>
        <v>0</v>
      </c>
      <c r="J1376" s="65" t="e">
        <f t="shared" si="221"/>
        <v>#NUM!</v>
      </c>
      <c r="K1376" s="83" t="e">
        <f t="shared" si="222"/>
        <v>#NUM!</v>
      </c>
      <c r="L1376" s="83">
        <f t="shared" si="223"/>
        <v>0</v>
      </c>
      <c r="M1376" s="110" t="str">
        <f t="shared" si="224"/>
        <v/>
      </c>
      <c r="N1376" s="51" t="str">
        <f t="shared" si="225"/>
        <v/>
      </c>
      <c r="O1376" s="52" t="str">
        <f t="shared" si="226"/>
        <v/>
      </c>
      <c r="P1376" s="88">
        <f t="shared" si="227"/>
        <v>0</v>
      </c>
      <c r="Q1376" s="88">
        <f t="shared" si="228"/>
        <v>0</v>
      </c>
      <c r="R1376" s="88" t="e">
        <f>-IF(Tabla14[[#This Row],[DIAS HABILES O MORA]]&lt;0,(Tabla14[[#This Row],[VALOR PRESTAMO]]*Tabla14[[#This Row],[% INTERES ]]/30*U1376))+Tabla14[[#This Row],[VALOR CUOTAS]]</f>
        <v>#VALUE!</v>
      </c>
      <c r="S1376" s="88">
        <f>-IF(Tabla14[[#This Row],[DIAS HABILES O MORA]]&lt;0,(Tabla14[[#This Row],[VALOR PRESTAMO]]*Tabla14[[#This Row],[% INTERES ]]/30*U1376))</f>
        <v>0</v>
      </c>
      <c r="T1376" s="53" t="e">
        <f>Tabla14[[#This Row],[DEUDA CAPITAL]]+Tabla14[[#This Row],[INTERES  CUOTA]]</f>
        <v>#NUM!</v>
      </c>
      <c r="U1376" s="61" t="str">
        <f t="shared" si="229"/>
        <v/>
      </c>
    </row>
    <row r="1377" spans="9:21" ht="24.75" customHeight="1" x14ac:dyDescent="0.35">
      <c r="I1377" s="42">
        <f t="shared" si="220"/>
        <v>0</v>
      </c>
      <c r="J1377" s="65" t="e">
        <f t="shared" si="221"/>
        <v>#NUM!</v>
      </c>
      <c r="K1377" s="83" t="e">
        <f t="shared" si="222"/>
        <v>#NUM!</v>
      </c>
      <c r="L1377" s="83">
        <f t="shared" si="223"/>
        <v>0</v>
      </c>
      <c r="M1377" s="110" t="str">
        <f t="shared" si="224"/>
        <v/>
      </c>
      <c r="N1377" s="51" t="str">
        <f t="shared" si="225"/>
        <v/>
      </c>
      <c r="O1377" s="52" t="str">
        <f t="shared" si="226"/>
        <v/>
      </c>
      <c r="P1377" s="88">
        <f t="shared" si="227"/>
        <v>0</v>
      </c>
      <c r="Q1377" s="88">
        <f t="shared" si="228"/>
        <v>0</v>
      </c>
      <c r="R1377" s="88" t="e">
        <f>-IF(Tabla14[[#This Row],[DIAS HABILES O MORA]]&lt;0,(Tabla14[[#This Row],[VALOR PRESTAMO]]*Tabla14[[#This Row],[% INTERES ]]/30*U1377))+Tabla14[[#This Row],[VALOR CUOTAS]]</f>
        <v>#VALUE!</v>
      </c>
      <c r="S1377" s="88">
        <f>-IF(Tabla14[[#This Row],[DIAS HABILES O MORA]]&lt;0,(Tabla14[[#This Row],[VALOR PRESTAMO]]*Tabla14[[#This Row],[% INTERES ]]/30*U1377))</f>
        <v>0</v>
      </c>
      <c r="T1377" s="53" t="e">
        <f>Tabla14[[#This Row],[DEUDA CAPITAL]]+Tabla14[[#This Row],[INTERES  CUOTA]]</f>
        <v>#NUM!</v>
      </c>
      <c r="U1377" s="61" t="str">
        <f t="shared" si="229"/>
        <v/>
      </c>
    </row>
    <row r="1378" spans="9:21" ht="24.75" customHeight="1" x14ac:dyDescent="0.35">
      <c r="I1378" s="42">
        <f t="shared" si="220"/>
        <v>0</v>
      </c>
      <c r="J1378" s="65" t="e">
        <f t="shared" si="221"/>
        <v>#NUM!</v>
      </c>
      <c r="K1378" s="83" t="e">
        <f t="shared" si="222"/>
        <v>#NUM!</v>
      </c>
      <c r="L1378" s="83">
        <f t="shared" si="223"/>
        <v>0</v>
      </c>
      <c r="M1378" s="110" t="str">
        <f t="shared" si="224"/>
        <v/>
      </c>
      <c r="N1378" s="51" t="str">
        <f t="shared" si="225"/>
        <v/>
      </c>
      <c r="O1378" s="52" t="str">
        <f t="shared" si="226"/>
        <v/>
      </c>
      <c r="P1378" s="88">
        <f t="shared" si="227"/>
        <v>0</v>
      </c>
      <c r="Q1378" s="88">
        <f t="shared" si="228"/>
        <v>0</v>
      </c>
      <c r="R1378" s="88" t="e">
        <f>-IF(Tabla14[[#This Row],[DIAS HABILES O MORA]]&lt;0,(Tabla14[[#This Row],[VALOR PRESTAMO]]*Tabla14[[#This Row],[% INTERES ]]/30*U1378))+Tabla14[[#This Row],[VALOR CUOTAS]]</f>
        <v>#VALUE!</v>
      </c>
      <c r="S1378" s="88">
        <f>-IF(Tabla14[[#This Row],[DIAS HABILES O MORA]]&lt;0,(Tabla14[[#This Row],[VALOR PRESTAMO]]*Tabla14[[#This Row],[% INTERES ]]/30*U1378))</f>
        <v>0</v>
      </c>
      <c r="T1378" s="53" t="e">
        <f>Tabla14[[#This Row],[DEUDA CAPITAL]]+Tabla14[[#This Row],[INTERES  CUOTA]]</f>
        <v>#NUM!</v>
      </c>
      <c r="U1378" s="61" t="str">
        <f t="shared" si="229"/>
        <v/>
      </c>
    </row>
    <row r="1379" spans="9:21" ht="24.75" customHeight="1" x14ac:dyDescent="0.35">
      <c r="I1379" s="42">
        <f t="shared" si="220"/>
        <v>0</v>
      </c>
      <c r="J1379" s="65" t="e">
        <f t="shared" si="221"/>
        <v>#NUM!</v>
      </c>
      <c r="K1379" s="83" t="e">
        <f t="shared" si="222"/>
        <v>#NUM!</v>
      </c>
      <c r="L1379" s="83">
        <f t="shared" si="223"/>
        <v>0</v>
      </c>
      <c r="M1379" s="110" t="str">
        <f t="shared" si="224"/>
        <v/>
      </c>
      <c r="N1379" s="51" t="str">
        <f t="shared" si="225"/>
        <v/>
      </c>
      <c r="O1379" s="52" t="str">
        <f t="shared" si="226"/>
        <v/>
      </c>
      <c r="P1379" s="88">
        <f t="shared" si="227"/>
        <v>0</v>
      </c>
      <c r="Q1379" s="88">
        <f t="shared" si="228"/>
        <v>0</v>
      </c>
      <c r="R1379" s="88" t="e">
        <f>-IF(Tabla14[[#This Row],[DIAS HABILES O MORA]]&lt;0,(Tabla14[[#This Row],[VALOR PRESTAMO]]*Tabla14[[#This Row],[% INTERES ]]/30*U1379))+Tabla14[[#This Row],[VALOR CUOTAS]]</f>
        <v>#VALUE!</v>
      </c>
      <c r="S1379" s="88">
        <f>-IF(Tabla14[[#This Row],[DIAS HABILES O MORA]]&lt;0,(Tabla14[[#This Row],[VALOR PRESTAMO]]*Tabla14[[#This Row],[% INTERES ]]/30*U1379))</f>
        <v>0</v>
      </c>
      <c r="T1379" s="53" t="e">
        <f>Tabla14[[#This Row],[DEUDA CAPITAL]]+Tabla14[[#This Row],[INTERES  CUOTA]]</f>
        <v>#NUM!</v>
      </c>
      <c r="U1379" s="61" t="str">
        <f t="shared" si="229"/>
        <v/>
      </c>
    </row>
    <row r="1380" spans="9:21" ht="24.75" customHeight="1" x14ac:dyDescent="0.35">
      <c r="I1380" s="42">
        <f t="shared" si="220"/>
        <v>0</v>
      </c>
      <c r="J1380" s="65" t="e">
        <f t="shared" si="221"/>
        <v>#NUM!</v>
      </c>
      <c r="K1380" s="83" t="e">
        <f t="shared" si="222"/>
        <v>#NUM!</v>
      </c>
      <c r="L1380" s="83">
        <f t="shared" si="223"/>
        <v>0</v>
      </c>
      <c r="M1380" s="110" t="str">
        <f t="shared" si="224"/>
        <v/>
      </c>
      <c r="N1380" s="51" t="str">
        <f t="shared" si="225"/>
        <v/>
      </c>
      <c r="O1380" s="52" t="str">
        <f t="shared" si="226"/>
        <v/>
      </c>
      <c r="P1380" s="88">
        <f t="shared" si="227"/>
        <v>0</v>
      </c>
      <c r="Q1380" s="88">
        <f t="shared" si="228"/>
        <v>0</v>
      </c>
      <c r="R1380" s="88" t="e">
        <f>-IF(Tabla14[[#This Row],[DIAS HABILES O MORA]]&lt;0,(Tabla14[[#This Row],[VALOR PRESTAMO]]*Tabla14[[#This Row],[% INTERES ]]/30*U1380))+Tabla14[[#This Row],[VALOR CUOTAS]]</f>
        <v>#VALUE!</v>
      </c>
      <c r="S1380" s="88">
        <f>-IF(Tabla14[[#This Row],[DIAS HABILES O MORA]]&lt;0,(Tabla14[[#This Row],[VALOR PRESTAMO]]*Tabla14[[#This Row],[% INTERES ]]/30*U1380))</f>
        <v>0</v>
      </c>
      <c r="T1380" s="53" t="e">
        <f>Tabla14[[#This Row],[DEUDA CAPITAL]]+Tabla14[[#This Row],[INTERES  CUOTA]]</f>
        <v>#NUM!</v>
      </c>
      <c r="U1380" s="61" t="str">
        <f t="shared" si="229"/>
        <v/>
      </c>
    </row>
    <row r="1381" spans="9:21" ht="24.75" customHeight="1" x14ac:dyDescent="0.35">
      <c r="I1381" s="42">
        <f t="shared" si="220"/>
        <v>0</v>
      </c>
      <c r="J1381" s="65" t="e">
        <f t="shared" si="221"/>
        <v>#NUM!</v>
      </c>
      <c r="K1381" s="83" t="e">
        <f t="shared" si="222"/>
        <v>#NUM!</v>
      </c>
      <c r="L1381" s="83">
        <f t="shared" si="223"/>
        <v>0</v>
      </c>
      <c r="M1381" s="110" t="str">
        <f t="shared" si="224"/>
        <v/>
      </c>
      <c r="N1381" s="51" t="str">
        <f t="shared" si="225"/>
        <v/>
      </c>
      <c r="O1381" s="52" t="str">
        <f t="shared" si="226"/>
        <v/>
      </c>
      <c r="P1381" s="88">
        <f t="shared" si="227"/>
        <v>0</v>
      </c>
      <c r="Q1381" s="88">
        <f t="shared" si="228"/>
        <v>0</v>
      </c>
      <c r="R1381" s="88" t="e">
        <f>-IF(Tabla14[[#This Row],[DIAS HABILES O MORA]]&lt;0,(Tabla14[[#This Row],[VALOR PRESTAMO]]*Tabla14[[#This Row],[% INTERES ]]/30*U1381))+Tabla14[[#This Row],[VALOR CUOTAS]]</f>
        <v>#VALUE!</v>
      </c>
      <c r="S1381" s="88">
        <f>-IF(Tabla14[[#This Row],[DIAS HABILES O MORA]]&lt;0,(Tabla14[[#This Row],[VALOR PRESTAMO]]*Tabla14[[#This Row],[% INTERES ]]/30*U1381))</f>
        <v>0</v>
      </c>
      <c r="T1381" s="53" t="e">
        <f>Tabla14[[#This Row],[DEUDA CAPITAL]]+Tabla14[[#This Row],[INTERES  CUOTA]]</f>
        <v>#NUM!</v>
      </c>
      <c r="U1381" s="61" t="str">
        <f t="shared" si="229"/>
        <v/>
      </c>
    </row>
    <row r="1382" spans="9:21" ht="24.75" customHeight="1" x14ac:dyDescent="0.35">
      <c r="I1382" s="42">
        <f t="shared" si="220"/>
        <v>0</v>
      </c>
      <c r="J1382" s="65" t="e">
        <f t="shared" si="221"/>
        <v>#NUM!</v>
      </c>
      <c r="K1382" s="83" t="e">
        <f t="shared" si="222"/>
        <v>#NUM!</v>
      </c>
      <c r="L1382" s="83">
        <f t="shared" si="223"/>
        <v>0</v>
      </c>
      <c r="M1382" s="110" t="str">
        <f t="shared" si="224"/>
        <v/>
      </c>
      <c r="N1382" s="51" t="str">
        <f t="shared" si="225"/>
        <v/>
      </c>
      <c r="O1382" s="52" t="str">
        <f t="shared" si="226"/>
        <v/>
      </c>
      <c r="P1382" s="88">
        <f t="shared" si="227"/>
        <v>0</v>
      </c>
      <c r="Q1382" s="88">
        <f t="shared" si="228"/>
        <v>0</v>
      </c>
      <c r="R1382" s="88" t="e">
        <f>-IF(Tabla14[[#This Row],[DIAS HABILES O MORA]]&lt;0,(Tabla14[[#This Row],[VALOR PRESTAMO]]*Tabla14[[#This Row],[% INTERES ]]/30*U1382))+Tabla14[[#This Row],[VALOR CUOTAS]]</f>
        <v>#VALUE!</v>
      </c>
      <c r="S1382" s="88">
        <f>-IF(Tabla14[[#This Row],[DIAS HABILES O MORA]]&lt;0,(Tabla14[[#This Row],[VALOR PRESTAMO]]*Tabla14[[#This Row],[% INTERES ]]/30*U1382))</f>
        <v>0</v>
      </c>
      <c r="T1382" s="53" t="e">
        <f>Tabla14[[#This Row],[DEUDA CAPITAL]]+Tabla14[[#This Row],[INTERES  CUOTA]]</f>
        <v>#NUM!</v>
      </c>
      <c r="U1382" s="61" t="str">
        <f t="shared" si="229"/>
        <v/>
      </c>
    </row>
    <row r="1383" spans="9:21" ht="24.75" customHeight="1" x14ac:dyDescent="0.35">
      <c r="I1383" s="42">
        <f t="shared" si="220"/>
        <v>0</v>
      </c>
      <c r="J1383" s="65" t="e">
        <f t="shared" si="221"/>
        <v>#NUM!</v>
      </c>
      <c r="K1383" s="83" t="e">
        <f t="shared" si="222"/>
        <v>#NUM!</v>
      </c>
      <c r="L1383" s="83">
        <f t="shared" si="223"/>
        <v>0</v>
      </c>
      <c r="M1383" s="110" t="str">
        <f t="shared" si="224"/>
        <v/>
      </c>
      <c r="N1383" s="51" t="str">
        <f t="shared" si="225"/>
        <v/>
      </c>
      <c r="O1383" s="52" t="str">
        <f t="shared" si="226"/>
        <v/>
      </c>
      <c r="P1383" s="88">
        <f t="shared" si="227"/>
        <v>0</v>
      </c>
      <c r="Q1383" s="88">
        <f t="shared" si="228"/>
        <v>0</v>
      </c>
      <c r="R1383" s="88" t="e">
        <f>-IF(Tabla14[[#This Row],[DIAS HABILES O MORA]]&lt;0,(Tabla14[[#This Row],[VALOR PRESTAMO]]*Tabla14[[#This Row],[% INTERES ]]/30*U1383))+Tabla14[[#This Row],[VALOR CUOTAS]]</f>
        <v>#VALUE!</v>
      </c>
      <c r="S1383" s="88">
        <f>-IF(Tabla14[[#This Row],[DIAS HABILES O MORA]]&lt;0,(Tabla14[[#This Row],[VALOR PRESTAMO]]*Tabla14[[#This Row],[% INTERES ]]/30*U1383))</f>
        <v>0</v>
      </c>
      <c r="T1383" s="53" t="e">
        <f>Tabla14[[#This Row],[DEUDA CAPITAL]]+Tabla14[[#This Row],[INTERES  CUOTA]]</f>
        <v>#NUM!</v>
      </c>
      <c r="U1383" s="61" t="str">
        <f t="shared" si="229"/>
        <v/>
      </c>
    </row>
    <row r="1384" spans="9:21" ht="24.75" customHeight="1" x14ac:dyDescent="0.35">
      <c r="I1384" s="42">
        <f t="shared" si="220"/>
        <v>0</v>
      </c>
      <c r="J1384" s="65" t="e">
        <f t="shared" si="221"/>
        <v>#NUM!</v>
      </c>
      <c r="K1384" s="83" t="e">
        <f t="shared" si="222"/>
        <v>#NUM!</v>
      </c>
      <c r="L1384" s="83">
        <f t="shared" si="223"/>
        <v>0</v>
      </c>
      <c r="M1384" s="110" t="str">
        <f t="shared" si="224"/>
        <v/>
      </c>
      <c r="N1384" s="51" t="str">
        <f t="shared" si="225"/>
        <v/>
      </c>
      <c r="O1384" s="52" t="str">
        <f t="shared" si="226"/>
        <v/>
      </c>
      <c r="P1384" s="88">
        <f t="shared" si="227"/>
        <v>0</v>
      </c>
      <c r="Q1384" s="88">
        <f t="shared" si="228"/>
        <v>0</v>
      </c>
      <c r="R1384" s="88" t="e">
        <f>-IF(Tabla14[[#This Row],[DIAS HABILES O MORA]]&lt;0,(Tabla14[[#This Row],[VALOR PRESTAMO]]*Tabla14[[#This Row],[% INTERES ]]/30*U1384))+Tabla14[[#This Row],[VALOR CUOTAS]]</f>
        <v>#VALUE!</v>
      </c>
      <c r="S1384" s="88">
        <f>-IF(Tabla14[[#This Row],[DIAS HABILES O MORA]]&lt;0,(Tabla14[[#This Row],[VALOR PRESTAMO]]*Tabla14[[#This Row],[% INTERES ]]/30*U1384))</f>
        <v>0</v>
      </c>
      <c r="T1384" s="53" t="e">
        <f>Tabla14[[#This Row],[DEUDA CAPITAL]]+Tabla14[[#This Row],[INTERES  CUOTA]]</f>
        <v>#NUM!</v>
      </c>
      <c r="U1384" s="61" t="str">
        <f t="shared" si="229"/>
        <v/>
      </c>
    </row>
    <row r="1385" spans="9:21" ht="24.75" customHeight="1" x14ac:dyDescent="0.35">
      <c r="I1385" s="42">
        <f t="shared" si="220"/>
        <v>0</v>
      </c>
      <c r="J1385" s="65" t="e">
        <f t="shared" si="221"/>
        <v>#NUM!</v>
      </c>
      <c r="K1385" s="83" t="e">
        <f t="shared" si="222"/>
        <v>#NUM!</v>
      </c>
      <c r="L1385" s="83">
        <f t="shared" si="223"/>
        <v>0</v>
      </c>
      <c r="M1385" s="110" t="str">
        <f t="shared" si="224"/>
        <v/>
      </c>
      <c r="N1385" s="51" t="str">
        <f t="shared" si="225"/>
        <v/>
      </c>
      <c r="O1385" s="52" t="str">
        <f t="shared" si="226"/>
        <v/>
      </c>
      <c r="P1385" s="88">
        <f t="shared" si="227"/>
        <v>0</v>
      </c>
      <c r="Q1385" s="88">
        <f t="shared" si="228"/>
        <v>0</v>
      </c>
      <c r="R1385" s="88" t="e">
        <f>-IF(Tabla14[[#This Row],[DIAS HABILES O MORA]]&lt;0,(Tabla14[[#This Row],[VALOR PRESTAMO]]*Tabla14[[#This Row],[% INTERES ]]/30*U1385))+Tabla14[[#This Row],[VALOR CUOTAS]]</f>
        <v>#VALUE!</v>
      </c>
      <c r="S1385" s="88">
        <f>-IF(Tabla14[[#This Row],[DIAS HABILES O MORA]]&lt;0,(Tabla14[[#This Row],[VALOR PRESTAMO]]*Tabla14[[#This Row],[% INTERES ]]/30*U1385))</f>
        <v>0</v>
      </c>
      <c r="T1385" s="53" t="e">
        <f>Tabla14[[#This Row],[DEUDA CAPITAL]]+Tabla14[[#This Row],[INTERES  CUOTA]]</f>
        <v>#NUM!</v>
      </c>
      <c r="U1385" s="61" t="str">
        <f t="shared" si="229"/>
        <v/>
      </c>
    </row>
    <row r="1386" spans="9:21" ht="24.75" customHeight="1" x14ac:dyDescent="0.35">
      <c r="I1386" s="42">
        <f t="shared" si="220"/>
        <v>0</v>
      </c>
      <c r="J1386" s="65" t="e">
        <f t="shared" si="221"/>
        <v>#NUM!</v>
      </c>
      <c r="K1386" s="83" t="e">
        <f t="shared" si="222"/>
        <v>#NUM!</v>
      </c>
      <c r="L1386" s="83">
        <f t="shared" si="223"/>
        <v>0</v>
      </c>
      <c r="M1386" s="110" t="str">
        <f t="shared" si="224"/>
        <v/>
      </c>
      <c r="N1386" s="51" t="str">
        <f t="shared" si="225"/>
        <v/>
      </c>
      <c r="O1386" s="52" t="str">
        <f t="shared" si="226"/>
        <v/>
      </c>
      <c r="P1386" s="88">
        <f t="shared" si="227"/>
        <v>0</v>
      </c>
      <c r="Q1386" s="88">
        <f t="shared" si="228"/>
        <v>0</v>
      </c>
      <c r="R1386" s="88" t="e">
        <f>-IF(Tabla14[[#This Row],[DIAS HABILES O MORA]]&lt;0,(Tabla14[[#This Row],[VALOR PRESTAMO]]*Tabla14[[#This Row],[% INTERES ]]/30*U1386))+Tabla14[[#This Row],[VALOR CUOTAS]]</f>
        <v>#VALUE!</v>
      </c>
      <c r="S1386" s="88">
        <f>-IF(Tabla14[[#This Row],[DIAS HABILES O MORA]]&lt;0,(Tabla14[[#This Row],[VALOR PRESTAMO]]*Tabla14[[#This Row],[% INTERES ]]/30*U1386))</f>
        <v>0</v>
      </c>
      <c r="T1386" s="53" t="e">
        <f>Tabla14[[#This Row],[DEUDA CAPITAL]]+Tabla14[[#This Row],[INTERES  CUOTA]]</f>
        <v>#NUM!</v>
      </c>
      <c r="U1386" s="61" t="str">
        <f t="shared" si="229"/>
        <v/>
      </c>
    </row>
    <row r="1387" spans="9:21" ht="24.75" customHeight="1" x14ac:dyDescent="0.35">
      <c r="I1387" s="42">
        <f t="shared" si="220"/>
        <v>0</v>
      </c>
      <c r="J1387" s="65" t="e">
        <f t="shared" si="221"/>
        <v>#NUM!</v>
      </c>
      <c r="K1387" s="83" t="e">
        <f t="shared" si="222"/>
        <v>#NUM!</v>
      </c>
      <c r="L1387" s="83">
        <f t="shared" si="223"/>
        <v>0</v>
      </c>
      <c r="M1387" s="110" t="str">
        <f t="shared" si="224"/>
        <v/>
      </c>
      <c r="N1387" s="51" t="str">
        <f t="shared" si="225"/>
        <v/>
      </c>
      <c r="O1387" s="52" t="str">
        <f t="shared" si="226"/>
        <v/>
      </c>
      <c r="P1387" s="88">
        <f t="shared" si="227"/>
        <v>0</v>
      </c>
      <c r="Q1387" s="88">
        <f t="shared" si="228"/>
        <v>0</v>
      </c>
      <c r="R1387" s="88" t="e">
        <f>-IF(Tabla14[[#This Row],[DIAS HABILES O MORA]]&lt;0,(Tabla14[[#This Row],[VALOR PRESTAMO]]*Tabla14[[#This Row],[% INTERES ]]/30*U1387))+Tabla14[[#This Row],[VALOR CUOTAS]]</f>
        <v>#VALUE!</v>
      </c>
      <c r="S1387" s="88">
        <f>-IF(Tabla14[[#This Row],[DIAS HABILES O MORA]]&lt;0,(Tabla14[[#This Row],[VALOR PRESTAMO]]*Tabla14[[#This Row],[% INTERES ]]/30*U1387))</f>
        <v>0</v>
      </c>
      <c r="T1387" s="53" t="e">
        <f>Tabla14[[#This Row],[DEUDA CAPITAL]]+Tabla14[[#This Row],[INTERES  CUOTA]]</f>
        <v>#NUM!</v>
      </c>
      <c r="U1387" s="61" t="str">
        <f t="shared" si="229"/>
        <v/>
      </c>
    </row>
    <row r="1388" spans="9:21" ht="24.75" customHeight="1" x14ac:dyDescent="0.35">
      <c r="I1388" s="42">
        <f t="shared" si="220"/>
        <v>0</v>
      </c>
      <c r="J1388" s="65" t="e">
        <f t="shared" si="221"/>
        <v>#NUM!</v>
      </c>
      <c r="K1388" s="83" t="e">
        <f t="shared" si="222"/>
        <v>#NUM!</v>
      </c>
      <c r="L1388" s="83">
        <f t="shared" si="223"/>
        <v>0</v>
      </c>
      <c r="M1388" s="110" t="str">
        <f t="shared" si="224"/>
        <v/>
      </c>
      <c r="N1388" s="51" t="str">
        <f t="shared" si="225"/>
        <v/>
      </c>
      <c r="O1388" s="52" t="str">
        <f t="shared" si="226"/>
        <v/>
      </c>
      <c r="P1388" s="88">
        <f t="shared" si="227"/>
        <v>0</v>
      </c>
      <c r="Q1388" s="88">
        <f t="shared" si="228"/>
        <v>0</v>
      </c>
      <c r="R1388" s="88" t="e">
        <f>-IF(Tabla14[[#This Row],[DIAS HABILES O MORA]]&lt;0,(Tabla14[[#This Row],[VALOR PRESTAMO]]*Tabla14[[#This Row],[% INTERES ]]/30*U1388))+Tabla14[[#This Row],[VALOR CUOTAS]]</f>
        <v>#VALUE!</v>
      </c>
      <c r="S1388" s="88">
        <f>-IF(Tabla14[[#This Row],[DIAS HABILES O MORA]]&lt;0,(Tabla14[[#This Row],[VALOR PRESTAMO]]*Tabla14[[#This Row],[% INTERES ]]/30*U1388))</f>
        <v>0</v>
      </c>
      <c r="T1388" s="53" t="e">
        <f>Tabla14[[#This Row],[DEUDA CAPITAL]]+Tabla14[[#This Row],[INTERES  CUOTA]]</f>
        <v>#NUM!</v>
      </c>
      <c r="U1388" s="61" t="str">
        <f t="shared" si="229"/>
        <v/>
      </c>
    </row>
    <row r="1389" spans="9:21" ht="24.75" customHeight="1" x14ac:dyDescent="0.35">
      <c r="I1389" s="42">
        <f t="shared" si="220"/>
        <v>0</v>
      </c>
      <c r="J1389" s="65" t="e">
        <f t="shared" si="221"/>
        <v>#NUM!</v>
      </c>
      <c r="K1389" s="83" t="e">
        <f t="shared" si="222"/>
        <v>#NUM!</v>
      </c>
      <c r="L1389" s="83">
        <f t="shared" si="223"/>
        <v>0</v>
      </c>
      <c r="M1389" s="110" t="str">
        <f t="shared" si="224"/>
        <v/>
      </c>
      <c r="N1389" s="51" t="str">
        <f t="shared" si="225"/>
        <v/>
      </c>
      <c r="O1389" s="52" t="str">
        <f t="shared" si="226"/>
        <v/>
      </c>
      <c r="P1389" s="88">
        <f t="shared" si="227"/>
        <v>0</v>
      </c>
      <c r="Q1389" s="88">
        <f t="shared" si="228"/>
        <v>0</v>
      </c>
      <c r="R1389" s="88" t="e">
        <f>-IF(Tabla14[[#This Row],[DIAS HABILES O MORA]]&lt;0,(Tabla14[[#This Row],[VALOR PRESTAMO]]*Tabla14[[#This Row],[% INTERES ]]/30*U1389))+Tabla14[[#This Row],[VALOR CUOTAS]]</f>
        <v>#VALUE!</v>
      </c>
      <c r="S1389" s="88">
        <f>-IF(Tabla14[[#This Row],[DIAS HABILES O MORA]]&lt;0,(Tabla14[[#This Row],[VALOR PRESTAMO]]*Tabla14[[#This Row],[% INTERES ]]/30*U1389))</f>
        <v>0</v>
      </c>
      <c r="T1389" s="53" t="e">
        <f>Tabla14[[#This Row],[DEUDA CAPITAL]]+Tabla14[[#This Row],[INTERES  CUOTA]]</f>
        <v>#NUM!</v>
      </c>
      <c r="U1389" s="61" t="str">
        <f t="shared" si="229"/>
        <v/>
      </c>
    </row>
    <row r="1390" spans="9:21" ht="24.75" customHeight="1" x14ac:dyDescent="0.35">
      <c r="I1390" s="42">
        <f t="shared" si="220"/>
        <v>0</v>
      </c>
      <c r="J1390" s="65" t="e">
        <f t="shared" si="221"/>
        <v>#NUM!</v>
      </c>
      <c r="K1390" s="83" t="e">
        <f t="shared" si="222"/>
        <v>#NUM!</v>
      </c>
      <c r="L1390" s="83">
        <f t="shared" si="223"/>
        <v>0</v>
      </c>
      <c r="M1390" s="110" t="str">
        <f t="shared" si="224"/>
        <v/>
      </c>
      <c r="N1390" s="51" t="str">
        <f t="shared" si="225"/>
        <v/>
      </c>
      <c r="O1390" s="52" t="str">
        <f t="shared" si="226"/>
        <v/>
      </c>
      <c r="P1390" s="88">
        <f t="shared" si="227"/>
        <v>0</v>
      </c>
      <c r="Q1390" s="88">
        <f t="shared" si="228"/>
        <v>0</v>
      </c>
      <c r="R1390" s="88" t="e">
        <f>-IF(Tabla14[[#This Row],[DIAS HABILES O MORA]]&lt;0,(Tabla14[[#This Row],[VALOR PRESTAMO]]*Tabla14[[#This Row],[% INTERES ]]/30*U1390))+Tabla14[[#This Row],[VALOR CUOTAS]]</f>
        <v>#VALUE!</v>
      </c>
      <c r="S1390" s="88">
        <f>-IF(Tabla14[[#This Row],[DIAS HABILES O MORA]]&lt;0,(Tabla14[[#This Row],[VALOR PRESTAMO]]*Tabla14[[#This Row],[% INTERES ]]/30*U1390))</f>
        <v>0</v>
      </c>
      <c r="T1390" s="53" t="e">
        <f>Tabla14[[#This Row],[DEUDA CAPITAL]]+Tabla14[[#This Row],[INTERES  CUOTA]]</f>
        <v>#NUM!</v>
      </c>
      <c r="U1390" s="61" t="str">
        <f t="shared" si="229"/>
        <v/>
      </c>
    </row>
    <row r="1391" spans="9:21" ht="24.75" customHeight="1" x14ac:dyDescent="0.35">
      <c r="I1391" s="42">
        <f t="shared" si="220"/>
        <v>0</v>
      </c>
      <c r="J1391" s="65" t="e">
        <f t="shared" si="221"/>
        <v>#NUM!</v>
      </c>
      <c r="K1391" s="83" t="e">
        <f t="shared" si="222"/>
        <v>#NUM!</v>
      </c>
      <c r="L1391" s="83">
        <f t="shared" si="223"/>
        <v>0</v>
      </c>
      <c r="M1391" s="110" t="str">
        <f t="shared" si="224"/>
        <v/>
      </c>
      <c r="N1391" s="51" t="str">
        <f t="shared" si="225"/>
        <v/>
      </c>
      <c r="O1391" s="52" t="str">
        <f t="shared" si="226"/>
        <v/>
      </c>
      <c r="P1391" s="88">
        <f t="shared" si="227"/>
        <v>0</v>
      </c>
      <c r="Q1391" s="88">
        <f t="shared" si="228"/>
        <v>0</v>
      </c>
      <c r="R1391" s="88" t="e">
        <f>-IF(Tabla14[[#This Row],[DIAS HABILES O MORA]]&lt;0,(Tabla14[[#This Row],[VALOR PRESTAMO]]*Tabla14[[#This Row],[% INTERES ]]/30*U1391))+Tabla14[[#This Row],[VALOR CUOTAS]]</f>
        <v>#VALUE!</v>
      </c>
      <c r="S1391" s="88">
        <f>-IF(Tabla14[[#This Row],[DIAS HABILES O MORA]]&lt;0,(Tabla14[[#This Row],[VALOR PRESTAMO]]*Tabla14[[#This Row],[% INTERES ]]/30*U1391))</f>
        <v>0</v>
      </c>
      <c r="T1391" s="53" t="e">
        <f>Tabla14[[#This Row],[DEUDA CAPITAL]]+Tabla14[[#This Row],[INTERES  CUOTA]]</f>
        <v>#NUM!</v>
      </c>
      <c r="U1391" s="61" t="str">
        <f t="shared" si="229"/>
        <v/>
      </c>
    </row>
    <row r="1392" spans="9:21" ht="24.75" customHeight="1" x14ac:dyDescent="0.35">
      <c r="I1392" s="42">
        <f t="shared" si="220"/>
        <v>0</v>
      </c>
      <c r="J1392" s="65" t="e">
        <f t="shared" si="221"/>
        <v>#NUM!</v>
      </c>
      <c r="K1392" s="83" t="e">
        <f t="shared" si="222"/>
        <v>#NUM!</v>
      </c>
      <c r="L1392" s="83">
        <f t="shared" si="223"/>
        <v>0</v>
      </c>
      <c r="M1392" s="110" t="str">
        <f t="shared" si="224"/>
        <v/>
      </c>
      <c r="N1392" s="51" t="str">
        <f t="shared" si="225"/>
        <v/>
      </c>
      <c r="O1392" s="52" t="str">
        <f t="shared" si="226"/>
        <v/>
      </c>
      <c r="P1392" s="88">
        <f t="shared" si="227"/>
        <v>0</v>
      </c>
      <c r="Q1392" s="88">
        <f t="shared" si="228"/>
        <v>0</v>
      </c>
      <c r="R1392" s="88" t="e">
        <f>-IF(Tabla14[[#This Row],[DIAS HABILES O MORA]]&lt;0,(Tabla14[[#This Row],[VALOR PRESTAMO]]*Tabla14[[#This Row],[% INTERES ]]/30*U1392))+Tabla14[[#This Row],[VALOR CUOTAS]]</f>
        <v>#VALUE!</v>
      </c>
      <c r="S1392" s="88">
        <f>-IF(Tabla14[[#This Row],[DIAS HABILES O MORA]]&lt;0,(Tabla14[[#This Row],[VALOR PRESTAMO]]*Tabla14[[#This Row],[% INTERES ]]/30*U1392))</f>
        <v>0</v>
      </c>
      <c r="T1392" s="53" t="e">
        <f>Tabla14[[#This Row],[DEUDA CAPITAL]]+Tabla14[[#This Row],[INTERES  CUOTA]]</f>
        <v>#NUM!</v>
      </c>
      <c r="U1392" s="61" t="str">
        <f t="shared" si="229"/>
        <v/>
      </c>
    </row>
    <row r="1393" spans="9:21" ht="24.75" customHeight="1" x14ac:dyDescent="0.35">
      <c r="I1393" s="42">
        <f t="shared" si="220"/>
        <v>0</v>
      </c>
      <c r="J1393" s="65" t="e">
        <f t="shared" si="221"/>
        <v>#NUM!</v>
      </c>
      <c r="K1393" s="83" t="e">
        <f t="shared" si="222"/>
        <v>#NUM!</v>
      </c>
      <c r="L1393" s="83">
        <f t="shared" si="223"/>
        <v>0</v>
      </c>
      <c r="M1393" s="110" t="str">
        <f t="shared" si="224"/>
        <v/>
      </c>
      <c r="N1393" s="51" t="str">
        <f t="shared" si="225"/>
        <v/>
      </c>
      <c r="O1393" s="52" t="str">
        <f t="shared" si="226"/>
        <v/>
      </c>
      <c r="P1393" s="88">
        <f t="shared" si="227"/>
        <v>0</v>
      </c>
      <c r="Q1393" s="88">
        <f t="shared" si="228"/>
        <v>0</v>
      </c>
      <c r="R1393" s="88" t="e">
        <f>-IF(Tabla14[[#This Row],[DIAS HABILES O MORA]]&lt;0,(Tabla14[[#This Row],[VALOR PRESTAMO]]*Tabla14[[#This Row],[% INTERES ]]/30*U1393))+Tabla14[[#This Row],[VALOR CUOTAS]]</f>
        <v>#VALUE!</v>
      </c>
      <c r="S1393" s="88">
        <f>-IF(Tabla14[[#This Row],[DIAS HABILES O MORA]]&lt;0,(Tabla14[[#This Row],[VALOR PRESTAMO]]*Tabla14[[#This Row],[% INTERES ]]/30*U1393))</f>
        <v>0</v>
      </c>
      <c r="T1393" s="53" t="e">
        <f>Tabla14[[#This Row],[DEUDA CAPITAL]]+Tabla14[[#This Row],[INTERES  CUOTA]]</f>
        <v>#NUM!</v>
      </c>
      <c r="U1393" s="61" t="str">
        <f t="shared" si="229"/>
        <v/>
      </c>
    </row>
    <row r="1394" spans="9:21" ht="24.75" customHeight="1" x14ac:dyDescent="0.35">
      <c r="I1394" s="42">
        <f t="shared" si="220"/>
        <v>0</v>
      </c>
      <c r="J1394" s="65" t="e">
        <f t="shared" si="221"/>
        <v>#NUM!</v>
      </c>
      <c r="K1394" s="83" t="e">
        <f t="shared" si="222"/>
        <v>#NUM!</v>
      </c>
      <c r="L1394" s="83">
        <f t="shared" si="223"/>
        <v>0</v>
      </c>
      <c r="M1394" s="110" t="str">
        <f t="shared" si="224"/>
        <v/>
      </c>
      <c r="N1394" s="51" t="str">
        <f t="shared" si="225"/>
        <v/>
      </c>
      <c r="O1394" s="52" t="str">
        <f t="shared" si="226"/>
        <v/>
      </c>
      <c r="P1394" s="88">
        <f t="shared" si="227"/>
        <v>0</v>
      </c>
      <c r="Q1394" s="88">
        <f t="shared" si="228"/>
        <v>0</v>
      </c>
      <c r="R1394" s="88" t="e">
        <f>-IF(Tabla14[[#This Row],[DIAS HABILES O MORA]]&lt;0,(Tabla14[[#This Row],[VALOR PRESTAMO]]*Tabla14[[#This Row],[% INTERES ]]/30*U1394))+Tabla14[[#This Row],[VALOR CUOTAS]]</f>
        <v>#VALUE!</v>
      </c>
      <c r="S1394" s="88">
        <f>-IF(Tabla14[[#This Row],[DIAS HABILES O MORA]]&lt;0,(Tabla14[[#This Row],[VALOR PRESTAMO]]*Tabla14[[#This Row],[% INTERES ]]/30*U1394))</f>
        <v>0</v>
      </c>
      <c r="T1394" s="53" t="e">
        <f>Tabla14[[#This Row],[DEUDA CAPITAL]]+Tabla14[[#This Row],[INTERES  CUOTA]]</f>
        <v>#NUM!</v>
      </c>
      <c r="U1394" s="61" t="str">
        <f t="shared" si="229"/>
        <v/>
      </c>
    </row>
    <row r="1395" spans="9:21" ht="24.75" customHeight="1" x14ac:dyDescent="0.35">
      <c r="I1395" s="42">
        <f t="shared" si="220"/>
        <v>0</v>
      </c>
      <c r="J1395" s="65" t="e">
        <f t="shared" si="221"/>
        <v>#NUM!</v>
      </c>
      <c r="K1395" s="83" t="e">
        <f t="shared" si="222"/>
        <v>#NUM!</v>
      </c>
      <c r="L1395" s="83">
        <f t="shared" si="223"/>
        <v>0</v>
      </c>
      <c r="M1395" s="110" t="str">
        <f t="shared" si="224"/>
        <v/>
      </c>
      <c r="N1395" s="51" t="str">
        <f t="shared" si="225"/>
        <v/>
      </c>
      <c r="O1395" s="52" t="str">
        <f t="shared" si="226"/>
        <v/>
      </c>
      <c r="P1395" s="88">
        <f t="shared" si="227"/>
        <v>0</v>
      </c>
      <c r="Q1395" s="88">
        <f t="shared" si="228"/>
        <v>0</v>
      </c>
      <c r="R1395" s="88" t="e">
        <f>-IF(Tabla14[[#This Row],[DIAS HABILES O MORA]]&lt;0,(Tabla14[[#This Row],[VALOR PRESTAMO]]*Tabla14[[#This Row],[% INTERES ]]/30*U1395))+Tabla14[[#This Row],[VALOR CUOTAS]]</f>
        <v>#VALUE!</v>
      </c>
      <c r="S1395" s="88">
        <f>-IF(Tabla14[[#This Row],[DIAS HABILES O MORA]]&lt;0,(Tabla14[[#This Row],[VALOR PRESTAMO]]*Tabla14[[#This Row],[% INTERES ]]/30*U1395))</f>
        <v>0</v>
      </c>
      <c r="T1395" s="53" t="e">
        <f>Tabla14[[#This Row],[DEUDA CAPITAL]]+Tabla14[[#This Row],[INTERES  CUOTA]]</f>
        <v>#NUM!</v>
      </c>
      <c r="U1395" s="61" t="str">
        <f t="shared" si="229"/>
        <v/>
      </c>
    </row>
    <row r="1396" spans="9:21" ht="24.75" customHeight="1" x14ac:dyDescent="0.35">
      <c r="I1396" s="42">
        <f t="shared" si="220"/>
        <v>0</v>
      </c>
      <c r="J1396" s="65" t="e">
        <f t="shared" si="221"/>
        <v>#NUM!</v>
      </c>
      <c r="K1396" s="83" t="e">
        <f t="shared" si="222"/>
        <v>#NUM!</v>
      </c>
      <c r="L1396" s="83">
        <f t="shared" si="223"/>
        <v>0</v>
      </c>
      <c r="M1396" s="110" t="str">
        <f t="shared" si="224"/>
        <v/>
      </c>
      <c r="N1396" s="51" t="str">
        <f t="shared" si="225"/>
        <v/>
      </c>
      <c r="O1396" s="52" t="str">
        <f t="shared" si="226"/>
        <v/>
      </c>
      <c r="P1396" s="88">
        <f t="shared" si="227"/>
        <v>0</v>
      </c>
      <c r="Q1396" s="88">
        <f t="shared" si="228"/>
        <v>0</v>
      </c>
      <c r="R1396" s="88" t="e">
        <f>-IF(Tabla14[[#This Row],[DIAS HABILES O MORA]]&lt;0,(Tabla14[[#This Row],[VALOR PRESTAMO]]*Tabla14[[#This Row],[% INTERES ]]/30*U1396))+Tabla14[[#This Row],[VALOR CUOTAS]]</f>
        <v>#VALUE!</v>
      </c>
      <c r="S1396" s="88">
        <f>-IF(Tabla14[[#This Row],[DIAS HABILES O MORA]]&lt;0,(Tabla14[[#This Row],[VALOR PRESTAMO]]*Tabla14[[#This Row],[% INTERES ]]/30*U1396))</f>
        <v>0</v>
      </c>
      <c r="T1396" s="53" t="e">
        <f>Tabla14[[#This Row],[DEUDA CAPITAL]]+Tabla14[[#This Row],[INTERES  CUOTA]]</f>
        <v>#NUM!</v>
      </c>
      <c r="U1396" s="61" t="str">
        <f t="shared" si="229"/>
        <v/>
      </c>
    </row>
    <row r="1397" spans="9:21" ht="24.75" customHeight="1" x14ac:dyDescent="0.35">
      <c r="I1397" s="42">
        <f t="shared" si="220"/>
        <v>0</v>
      </c>
      <c r="J1397" s="65" t="e">
        <f t="shared" si="221"/>
        <v>#NUM!</v>
      </c>
      <c r="K1397" s="83" t="e">
        <f t="shared" si="222"/>
        <v>#NUM!</v>
      </c>
      <c r="L1397" s="83">
        <f t="shared" si="223"/>
        <v>0</v>
      </c>
      <c r="M1397" s="110" t="str">
        <f t="shared" si="224"/>
        <v/>
      </c>
      <c r="N1397" s="51" t="str">
        <f t="shared" si="225"/>
        <v/>
      </c>
      <c r="O1397" s="52" t="str">
        <f t="shared" si="226"/>
        <v/>
      </c>
      <c r="P1397" s="88">
        <f t="shared" si="227"/>
        <v>0</v>
      </c>
      <c r="Q1397" s="88">
        <f t="shared" si="228"/>
        <v>0</v>
      </c>
      <c r="R1397" s="88" t="e">
        <f>-IF(Tabla14[[#This Row],[DIAS HABILES O MORA]]&lt;0,(Tabla14[[#This Row],[VALOR PRESTAMO]]*Tabla14[[#This Row],[% INTERES ]]/30*U1397))+Tabla14[[#This Row],[VALOR CUOTAS]]</f>
        <v>#VALUE!</v>
      </c>
      <c r="S1397" s="88">
        <f>-IF(Tabla14[[#This Row],[DIAS HABILES O MORA]]&lt;0,(Tabla14[[#This Row],[VALOR PRESTAMO]]*Tabla14[[#This Row],[% INTERES ]]/30*U1397))</f>
        <v>0</v>
      </c>
      <c r="T1397" s="53" t="e">
        <f>Tabla14[[#This Row],[DEUDA CAPITAL]]+Tabla14[[#This Row],[INTERES  CUOTA]]</f>
        <v>#NUM!</v>
      </c>
      <c r="U1397" s="61" t="str">
        <f t="shared" si="229"/>
        <v/>
      </c>
    </row>
    <row r="1398" spans="9:21" ht="24.75" customHeight="1" x14ac:dyDescent="0.35">
      <c r="I1398" s="42">
        <f t="shared" si="220"/>
        <v>0</v>
      </c>
      <c r="J1398" s="65" t="e">
        <f t="shared" si="221"/>
        <v>#NUM!</v>
      </c>
      <c r="K1398" s="83" t="e">
        <f t="shared" si="222"/>
        <v>#NUM!</v>
      </c>
      <c r="L1398" s="83">
        <f t="shared" si="223"/>
        <v>0</v>
      </c>
      <c r="M1398" s="110" t="str">
        <f t="shared" si="224"/>
        <v/>
      </c>
      <c r="N1398" s="51" t="str">
        <f t="shared" si="225"/>
        <v/>
      </c>
      <c r="O1398" s="52" t="str">
        <f t="shared" si="226"/>
        <v/>
      </c>
      <c r="P1398" s="88">
        <f t="shared" si="227"/>
        <v>0</v>
      </c>
      <c r="Q1398" s="88">
        <f t="shared" si="228"/>
        <v>0</v>
      </c>
      <c r="R1398" s="88" t="e">
        <f>-IF(Tabla14[[#This Row],[DIAS HABILES O MORA]]&lt;0,(Tabla14[[#This Row],[VALOR PRESTAMO]]*Tabla14[[#This Row],[% INTERES ]]/30*U1398))+Tabla14[[#This Row],[VALOR CUOTAS]]</f>
        <v>#VALUE!</v>
      </c>
      <c r="S1398" s="88">
        <f>-IF(Tabla14[[#This Row],[DIAS HABILES O MORA]]&lt;0,(Tabla14[[#This Row],[VALOR PRESTAMO]]*Tabla14[[#This Row],[% INTERES ]]/30*U1398))</f>
        <v>0</v>
      </c>
      <c r="T1398" s="53" t="e">
        <f>Tabla14[[#This Row],[DEUDA CAPITAL]]+Tabla14[[#This Row],[INTERES  CUOTA]]</f>
        <v>#NUM!</v>
      </c>
      <c r="U1398" s="61" t="str">
        <f t="shared" si="229"/>
        <v/>
      </c>
    </row>
    <row r="1399" spans="9:21" ht="24.75" customHeight="1" x14ac:dyDescent="0.35">
      <c r="I1399" s="42">
        <f t="shared" si="220"/>
        <v>0</v>
      </c>
      <c r="J1399" s="65" t="e">
        <f t="shared" si="221"/>
        <v>#NUM!</v>
      </c>
      <c r="K1399" s="83" t="e">
        <f t="shared" si="222"/>
        <v>#NUM!</v>
      </c>
      <c r="L1399" s="83">
        <f t="shared" si="223"/>
        <v>0</v>
      </c>
      <c r="M1399" s="110" t="str">
        <f t="shared" si="224"/>
        <v/>
      </c>
      <c r="N1399" s="51" t="str">
        <f t="shared" si="225"/>
        <v/>
      </c>
      <c r="O1399" s="52" t="str">
        <f t="shared" si="226"/>
        <v/>
      </c>
      <c r="P1399" s="88">
        <f t="shared" si="227"/>
        <v>0</v>
      </c>
      <c r="Q1399" s="88">
        <f t="shared" si="228"/>
        <v>0</v>
      </c>
      <c r="R1399" s="88" t="e">
        <f>-IF(Tabla14[[#This Row],[DIAS HABILES O MORA]]&lt;0,(Tabla14[[#This Row],[VALOR PRESTAMO]]*Tabla14[[#This Row],[% INTERES ]]/30*U1399))+Tabla14[[#This Row],[VALOR CUOTAS]]</f>
        <v>#VALUE!</v>
      </c>
      <c r="S1399" s="88">
        <f>-IF(Tabla14[[#This Row],[DIAS HABILES O MORA]]&lt;0,(Tabla14[[#This Row],[VALOR PRESTAMO]]*Tabla14[[#This Row],[% INTERES ]]/30*U1399))</f>
        <v>0</v>
      </c>
      <c r="T1399" s="53" t="e">
        <f>Tabla14[[#This Row],[DEUDA CAPITAL]]+Tabla14[[#This Row],[INTERES  CUOTA]]</f>
        <v>#NUM!</v>
      </c>
      <c r="U1399" s="61" t="str">
        <f t="shared" si="229"/>
        <v/>
      </c>
    </row>
    <row r="1400" spans="9:21" ht="24.75" customHeight="1" x14ac:dyDescent="0.35">
      <c r="I1400" s="42">
        <f t="shared" si="220"/>
        <v>0</v>
      </c>
      <c r="J1400" s="65" t="e">
        <f t="shared" si="221"/>
        <v>#NUM!</v>
      </c>
      <c r="K1400" s="83" t="e">
        <f t="shared" si="222"/>
        <v>#NUM!</v>
      </c>
      <c r="L1400" s="83">
        <f t="shared" si="223"/>
        <v>0</v>
      </c>
      <c r="M1400" s="110" t="str">
        <f t="shared" si="224"/>
        <v/>
      </c>
      <c r="N1400" s="51" t="str">
        <f t="shared" si="225"/>
        <v/>
      </c>
      <c r="O1400" s="52" t="str">
        <f t="shared" si="226"/>
        <v/>
      </c>
      <c r="P1400" s="88">
        <f t="shared" si="227"/>
        <v>0</v>
      </c>
      <c r="Q1400" s="88">
        <f t="shared" si="228"/>
        <v>0</v>
      </c>
      <c r="R1400" s="88" t="e">
        <f>-IF(Tabla14[[#This Row],[DIAS HABILES O MORA]]&lt;0,(Tabla14[[#This Row],[VALOR PRESTAMO]]*Tabla14[[#This Row],[% INTERES ]]/30*U1400))+Tabla14[[#This Row],[VALOR CUOTAS]]</f>
        <v>#VALUE!</v>
      </c>
      <c r="S1400" s="88">
        <f>-IF(Tabla14[[#This Row],[DIAS HABILES O MORA]]&lt;0,(Tabla14[[#This Row],[VALOR PRESTAMO]]*Tabla14[[#This Row],[% INTERES ]]/30*U1400))</f>
        <v>0</v>
      </c>
      <c r="T1400" s="53" t="e">
        <f>Tabla14[[#This Row],[DEUDA CAPITAL]]+Tabla14[[#This Row],[INTERES  CUOTA]]</f>
        <v>#NUM!</v>
      </c>
      <c r="U1400" s="61" t="str">
        <f t="shared" si="229"/>
        <v/>
      </c>
    </row>
    <row r="1401" spans="9:21" ht="24.75" customHeight="1" x14ac:dyDescent="0.35">
      <c r="I1401" s="42">
        <f t="shared" si="220"/>
        <v>0</v>
      </c>
      <c r="J1401" s="65" t="e">
        <f t="shared" si="221"/>
        <v>#NUM!</v>
      </c>
      <c r="K1401" s="83" t="e">
        <f t="shared" si="222"/>
        <v>#NUM!</v>
      </c>
      <c r="L1401" s="83">
        <f t="shared" si="223"/>
        <v>0</v>
      </c>
      <c r="M1401" s="110" t="str">
        <f t="shared" si="224"/>
        <v/>
      </c>
      <c r="N1401" s="51" t="str">
        <f t="shared" si="225"/>
        <v/>
      </c>
      <c r="O1401" s="52" t="str">
        <f t="shared" si="226"/>
        <v/>
      </c>
      <c r="P1401" s="88">
        <f t="shared" si="227"/>
        <v>0</v>
      </c>
      <c r="Q1401" s="88">
        <f t="shared" si="228"/>
        <v>0</v>
      </c>
      <c r="R1401" s="88" t="e">
        <f>-IF(Tabla14[[#This Row],[DIAS HABILES O MORA]]&lt;0,(Tabla14[[#This Row],[VALOR PRESTAMO]]*Tabla14[[#This Row],[% INTERES ]]/30*U1401))+Tabla14[[#This Row],[VALOR CUOTAS]]</f>
        <v>#VALUE!</v>
      </c>
      <c r="S1401" s="88">
        <f>-IF(Tabla14[[#This Row],[DIAS HABILES O MORA]]&lt;0,(Tabla14[[#This Row],[VALOR PRESTAMO]]*Tabla14[[#This Row],[% INTERES ]]/30*U1401))</f>
        <v>0</v>
      </c>
      <c r="T1401" s="53" t="e">
        <f>Tabla14[[#This Row],[DEUDA CAPITAL]]+Tabla14[[#This Row],[INTERES  CUOTA]]</f>
        <v>#NUM!</v>
      </c>
      <c r="U1401" s="61" t="str">
        <f t="shared" si="229"/>
        <v/>
      </c>
    </row>
    <row r="1402" spans="9:21" ht="24.75" customHeight="1" x14ac:dyDescent="0.35">
      <c r="I1402" s="42">
        <f t="shared" si="220"/>
        <v>0</v>
      </c>
      <c r="J1402" s="65" t="e">
        <f t="shared" si="221"/>
        <v>#NUM!</v>
      </c>
      <c r="K1402" s="83" t="e">
        <f t="shared" si="222"/>
        <v>#NUM!</v>
      </c>
      <c r="L1402" s="83">
        <f t="shared" si="223"/>
        <v>0</v>
      </c>
      <c r="M1402" s="110" t="str">
        <f t="shared" si="224"/>
        <v/>
      </c>
      <c r="N1402" s="51" t="str">
        <f t="shared" si="225"/>
        <v/>
      </c>
      <c r="O1402" s="52" t="str">
        <f t="shared" si="226"/>
        <v/>
      </c>
      <c r="P1402" s="88">
        <f t="shared" si="227"/>
        <v>0</v>
      </c>
      <c r="Q1402" s="88">
        <f t="shared" si="228"/>
        <v>0</v>
      </c>
      <c r="R1402" s="88" t="e">
        <f>-IF(Tabla14[[#This Row],[DIAS HABILES O MORA]]&lt;0,(Tabla14[[#This Row],[VALOR PRESTAMO]]*Tabla14[[#This Row],[% INTERES ]]/30*U1402))+Tabla14[[#This Row],[VALOR CUOTAS]]</f>
        <v>#VALUE!</v>
      </c>
      <c r="S1402" s="88">
        <f>-IF(Tabla14[[#This Row],[DIAS HABILES O MORA]]&lt;0,(Tabla14[[#This Row],[VALOR PRESTAMO]]*Tabla14[[#This Row],[% INTERES ]]/30*U1402))</f>
        <v>0</v>
      </c>
      <c r="T1402" s="53" t="e">
        <f>Tabla14[[#This Row],[DEUDA CAPITAL]]+Tabla14[[#This Row],[INTERES  CUOTA]]</f>
        <v>#NUM!</v>
      </c>
      <c r="U1402" s="61" t="str">
        <f t="shared" si="229"/>
        <v/>
      </c>
    </row>
    <row r="1403" spans="9:21" ht="24.75" customHeight="1" x14ac:dyDescent="0.35">
      <c r="I1403" s="42">
        <f t="shared" si="220"/>
        <v>0</v>
      </c>
      <c r="J1403" s="65" t="e">
        <f t="shared" si="221"/>
        <v>#NUM!</v>
      </c>
      <c r="K1403" s="83" t="e">
        <f t="shared" si="222"/>
        <v>#NUM!</v>
      </c>
      <c r="L1403" s="83">
        <f t="shared" si="223"/>
        <v>0</v>
      </c>
      <c r="M1403" s="110" t="str">
        <f t="shared" si="224"/>
        <v/>
      </c>
      <c r="N1403" s="51" t="str">
        <f t="shared" si="225"/>
        <v/>
      </c>
      <c r="O1403" s="52" t="str">
        <f t="shared" si="226"/>
        <v/>
      </c>
      <c r="P1403" s="88">
        <f t="shared" si="227"/>
        <v>0</v>
      </c>
      <c r="Q1403" s="88">
        <f t="shared" si="228"/>
        <v>0</v>
      </c>
      <c r="R1403" s="88" t="e">
        <f>-IF(Tabla14[[#This Row],[DIAS HABILES O MORA]]&lt;0,(Tabla14[[#This Row],[VALOR PRESTAMO]]*Tabla14[[#This Row],[% INTERES ]]/30*U1403))+Tabla14[[#This Row],[VALOR CUOTAS]]</f>
        <v>#VALUE!</v>
      </c>
      <c r="S1403" s="88">
        <f>-IF(Tabla14[[#This Row],[DIAS HABILES O MORA]]&lt;0,(Tabla14[[#This Row],[VALOR PRESTAMO]]*Tabla14[[#This Row],[% INTERES ]]/30*U1403))</f>
        <v>0</v>
      </c>
      <c r="T1403" s="53" t="e">
        <f>Tabla14[[#This Row],[DEUDA CAPITAL]]+Tabla14[[#This Row],[INTERES  CUOTA]]</f>
        <v>#NUM!</v>
      </c>
      <c r="U1403" s="61" t="str">
        <f t="shared" si="229"/>
        <v/>
      </c>
    </row>
    <row r="1404" spans="9:21" ht="24.75" customHeight="1" x14ac:dyDescent="0.35">
      <c r="I1404" s="42">
        <f t="shared" si="220"/>
        <v>0</v>
      </c>
      <c r="J1404" s="65" t="e">
        <f t="shared" si="221"/>
        <v>#NUM!</v>
      </c>
      <c r="K1404" s="83" t="e">
        <f t="shared" si="222"/>
        <v>#NUM!</v>
      </c>
      <c r="L1404" s="83">
        <f t="shared" si="223"/>
        <v>0</v>
      </c>
      <c r="M1404" s="110" t="str">
        <f t="shared" si="224"/>
        <v/>
      </c>
      <c r="N1404" s="51" t="str">
        <f t="shared" si="225"/>
        <v/>
      </c>
      <c r="O1404" s="52" t="str">
        <f t="shared" si="226"/>
        <v/>
      </c>
      <c r="P1404" s="88">
        <f t="shared" si="227"/>
        <v>0</v>
      </c>
      <c r="Q1404" s="88">
        <f t="shared" si="228"/>
        <v>0</v>
      </c>
      <c r="R1404" s="88" t="e">
        <f>-IF(Tabla14[[#This Row],[DIAS HABILES O MORA]]&lt;0,(Tabla14[[#This Row],[VALOR PRESTAMO]]*Tabla14[[#This Row],[% INTERES ]]/30*U1404))+Tabla14[[#This Row],[VALOR CUOTAS]]</f>
        <v>#VALUE!</v>
      </c>
      <c r="S1404" s="88">
        <f>-IF(Tabla14[[#This Row],[DIAS HABILES O MORA]]&lt;0,(Tabla14[[#This Row],[VALOR PRESTAMO]]*Tabla14[[#This Row],[% INTERES ]]/30*U1404))</f>
        <v>0</v>
      </c>
      <c r="T1404" s="53" t="e">
        <f>Tabla14[[#This Row],[DEUDA CAPITAL]]+Tabla14[[#This Row],[INTERES  CUOTA]]</f>
        <v>#NUM!</v>
      </c>
      <c r="U1404" s="61" t="str">
        <f t="shared" si="229"/>
        <v/>
      </c>
    </row>
    <row r="1405" spans="9:21" ht="24.75" customHeight="1" x14ac:dyDescent="0.35">
      <c r="I1405" s="42">
        <f t="shared" si="220"/>
        <v>0</v>
      </c>
      <c r="J1405" s="65" t="e">
        <f t="shared" si="221"/>
        <v>#NUM!</v>
      </c>
      <c r="K1405" s="83" t="e">
        <f t="shared" si="222"/>
        <v>#NUM!</v>
      </c>
      <c r="L1405" s="83">
        <f t="shared" si="223"/>
        <v>0</v>
      </c>
      <c r="M1405" s="110" t="str">
        <f t="shared" si="224"/>
        <v/>
      </c>
      <c r="N1405" s="51" t="str">
        <f t="shared" si="225"/>
        <v/>
      </c>
      <c r="O1405" s="52" t="str">
        <f t="shared" si="226"/>
        <v/>
      </c>
      <c r="P1405" s="88">
        <f t="shared" si="227"/>
        <v>0</v>
      </c>
      <c r="Q1405" s="88">
        <f t="shared" si="228"/>
        <v>0</v>
      </c>
      <c r="R1405" s="88" t="e">
        <f>-IF(Tabla14[[#This Row],[DIAS HABILES O MORA]]&lt;0,(Tabla14[[#This Row],[VALOR PRESTAMO]]*Tabla14[[#This Row],[% INTERES ]]/30*U1405))+Tabla14[[#This Row],[VALOR CUOTAS]]</f>
        <v>#VALUE!</v>
      </c>
      <c r="S1405" s="88">
        <f>-IF(Tabla14[[#This Row],[DIAS HABILES O MORA]]&lt;0,(Tabla14[[#This Row],[VALOR PRESTAMO]]*Tabla14[[#This Row],[% INTERES ]]/30*U1405))</f>
        <v>0</v>
      </c>
      <c r="T1405" s="53" t="e">
        <f>Tabla14[[#This Row],[DEUDA CAPITAL]]+Tabla14[[#This Row],[INTERES  CUOTA]]</f>
        <v>#NUM!</v>
      </c>
      <c r="U1405" s="61" t="str">
        <f t="shared" si="229"/>
        <v/>
      </c>
    </row>
    <row r="1406" spans="9:21" ht="24.75" customHeight="1" x14ac:dyDescent="0.35">
      <c r="I1406" s="42">
        <f t="shared" si="220"/>
        <v>0</v>
      </c>
      <c r="J1406" s="65" t="e">
        <f t="shared" si="221"/>
        <v>#NUM!</v>
      </c>
      <c r="K1406" s="83" t="e">
        <f t="shared" si="222"/>
        <v>#NUM!</v>
      </c>
      <c r="L1406" s="83">
        <f t="shared" si="223"/>
        <v>0</v>
      </c>
      <c r="M1406" s="110" t="str">
        <f t="shared" si="224"/>
        <v/>
      </c>
      <c r="N1406" s="51" t="str">
        <f t="shared" si="225"/>
        <v/>
      </c>
      <c r="O1406" s="52" t="str">
        <f t="shared" si="226"/>
        <v/>
      </c>
      <c r="P1406" s="88">
        <f t="shared" si="227"/>
        <v>0</v>
      </c>
      <c r="Q1406" s="88">
        <f t="shared" si="228"/>
        <v>0</v>
      </c>
      <c r="R1406" s="88" t="e">
        <f>-IF(Tabla14[[#This Row],[DIAS HABILES O MORA]]&lt;0,(Tabla14[[#This Row],[VALOR PRESTAMO]]*Tabla14[[#This Row],[% INTERES ]]/30*U1406))+Tabla14[[#This Row],[VALOR CUOTAS]]</f>
        <v>#VALUE!</v>
      </c>
      <c r="S1406" s="88">
        <f>-IF(Tabla14[[#This Row],[DIAS HABILES O MORA]]&lt;0,(Tabla14[[#This Row],[VALOR PRESTAMO]]*Tabla14[[#This Row],[% INTERES ]]/30*U1406))</f>
        <v>0</v>
      </c>
      <c r="T1406" s="53" t="e">
        <f>Tabla14[[#This Row],[DEUDA CAPITAL]]+Tabla14[[#This Row],[INTERES  CUOTA]]</f>
        <v>#NUM!</v>
      </c>
      <c r="U1406" s="61" t="str">
        <f t="shared" si="229"/>
        <v/>
      </c>
    </row>
    <row r="1407" spans="9:21" ht="24.75" customHeight="1" x14ac:dyDescent="0.35">
      <c r="I1407" s="42">
        <f t="shared" si="220"/>
        <v>0</v>
      </c>
      <c r="J1407" s="65" t="e">
        <f t="shared" si="221"/>
        <v>#NUM!</v>
      </c>
      <c r="K1407" s="83" t="e">
        <f t="shared" si="222"/>
        <v>#NUM!</v>
      </c>
      <c r="L1407" s="83">
        <f t="shared" si="223"/>
        <v>0</v>
      </c>
      <c r="M1407" s="110" t="str">
        <f t="shared" si="224"/>
        <v/>
      </c>
      <c r="N1407" s="51" t="str">
        <f t="shared" si="225"/>
        <v/>
      </c>
      <c r="O1407" s="52" t="str">
        <f t="shared" si="226"/>
        <v/>
      </c>
      <c r="P1407" s="88">
        <f t="shared" si="227"/>
        <v>0</v>
      </c>
      <c r="Q1407" s="88">
        <f t="shared" si="228"/>
        <v>0</v>
      </c>
      <c r="R1407" s="88" t="e">
        <f>-IF(Tabla14[[#This Row],[DIAS HABILES O MORA]]&lt;0,(Tabla14[[#This Row],[VALOR PRESTAMO]]*Tabla14[[#This Row],[% INTERES ]]/30*U1407))+Tabla14[[#This Row],[VALOR CUOTAS]]</f>
        <v>#VALUE!</v>
      </c>
      <c r="S1407" s="88">
        <f>-IF(Tabla14[[#This Row],[DIAS HABILES O MORA]]&lt;0,(Tabla14[[#This Row],[VALOR PRESTAMO]]*Tabla14[[#This Row],[% INTERES ]]/30*U1407))</f>
        <v>0</v>
      </c>
      <c r="T1407" s="53" t="e">
        <f>Tabla14[[#This Row],[DEUDA CAPITAL]]+Tabla14[[#This Row],[INTERES  CUOTA]]</f>
        <v>#NUM!</v>
      </c>
      <c r="U1407" s="61" t="str">
        <f t="shared" si="229"/>
        <v/>
      </c>
    </row>
    <row r="1408" spans="9:21" ht="24.75" customHeight="1" x14ac:dyDescent="0.35">
      <c r="I1408" s="42">
        <f t="shared" si="220"/>
        <v>0</v>
      </c>
      <c r="J1408" s="65" t="e">
        <f t="shared" si="221"/>
        <v>#NUM!</v>
      </c>
      <c r="K1408" s="83" t="e">
        <f t="shared" si="222"/>
        <v>#NUM!</v>
      </c>
      <c r="L1408" s="83">
        <f t="shared" si="223"/>
        <v>0</v>
      </c>
      <c r="M1408" s="110" t="str">
        <f t="shared" si="224"/>
        <v/>
      </c>
      <c r="N1408" s="51" t="str">
        <f t="shared" si="225"/>
        <v/>
      </c>
      <c r="O1408" s="52" t="str">
        <f t="shared" si="226"/>
        <v/>
      </c>
      <c r="P1408" s="88">
        <f t="shared" si="227"/>
        <v>0</v>
      </c>
      <c r="Q1408" s="88">
        <f t="shared" si="228"/>
        <v>0</v>
      </c>
      <c r="R1408" s="88" t="e">
        <f>-IF(Tabla14[[#This Row],[DIAS HABILES O MORA]]&lt;0,(Tabla14[[#This Row],[VALOR PRESTAMO]]*Tabla14[[#This Row],[% INTERES ]]/30*U1408))+Tabla14[[#This Row],[VALOR CUOTAS]]</f>
        <v>#VALUE!</v>
      </c>
      <c r="S1408" s="88">
        <f>-IF(Tabla14[[#This Row],[DIAS HABILES O MORA]]&lt;0,(Tabla14[[#This Row],[VALOR PRESTAMO]]*Tabla14[[#This Row],[% INTERES ]]/30*U1408))</f>
        <v>0</v>
      </c>
      <c r="T1408" s="53" t="e">
        <f>Tabla14[[#This Row],[DEUDA CAPITAL]]+Tabla14[[#This Row],[INTERES  CUOTA]]</f>
        <v>#NUM!</v>
      </c>
      <c r="U1408" s="61" t="str">
        <f t="shared" si="229"/>
        <v/>
      </c>
    </row>
    <row r="1409" spans="9:21" ht="24.75" customHeight="1" x14ac:dyDescent="0.35">
      <c r="I1409" s="42">
        <f t="shared" si="220"/>
        <v>0</v>
      </c>
      <c r="J1409" s="65" t="e">
        <f t="shared" si="221"/>
        <v>#NUM!</v>
      </c>
      <c r="K1409" s="83" t="e">
        <f t="shared" si="222"/>
        <v>#NUM!</v>
      </c>
      <c r="L1409" s="83">
        <f t="shared" si="223"/>
        <v>0</v>
      </c>
      <c r="M1409" s="110" t="str">
        <f t="shared" si="224"/>
        <v/>
      </c>
      <c r="N1409" s="51" t="str">
        <f t="shared" si="225"/>
        <v/>
      </c>
      <c r="O1409" s="52" t="str">
        <f t="shared" si="226"/>
        <v/>
      </c>
      <c r="P1409" s="88">
        <f t="shared" si="227"/>
        <v>0</v>
      </c>
      <c r="Q1409" s="88">
        <f t="shared" si="228"/>
        <v>0</v>
      </c>
      <c r="R1409" s="88" t="e">
        <f>-IF(Tabla14[[#This Row],[DIAS HABILES O MORA]]&lt;0,(Tabla14[[#This Row],[VALOR PRESTAMO]]*Tabla14[[#This Row],[% INTERES ]]/30*U1409))+Tabla14[[#This Row],[VALOR CUOTAS]]</f>
        <v>#VALUE!</v>
      </c>
      <c r="S1409" s="88">
        <f>-IF(Tabla14[[#This Row],[DIAS HABILES O MORA]]&lt;0,(Tabla14[[#This Row],[VALOR PRESTAMO]]*Tabla14[[#This Row],[% INTERES ]]/30*U1409))</f>
        <v>0</v>
      </c>
      <c r="T1409" s="53" t="e">
        <f>Tabla14[[#This Row],[DEUDA CAPITAL]]+Tabla14[[#This Row],[INTERES  CUOTA]]</f>
        <v>#NUM!</v>
      </c>
      <c r="U1409" s="61" t="str">
        <f t="shared" si="229"/>
        <v/>
      </c>
    </row>
    <row r="1410" spans="9:21" ht="24.75" customHeight="1" x14ac:dyDescent="0.35">
      <c r="I1410" s="42">
        <f t="shared" si="220"/>
        <v>0</v>
      </c>
      <c r="J1410" s="65" t="e">
        <f t="shared" si="221"/>
        <v>#NUM!</v>
      </c>
      <c r="K1410" s="83" t="e">
        <f t="shared" si="222"/>
        <v>#NUM!</v>
      </c>
      <c r="L1410" s="83">
        <f t="shared" si="223"/>
        <v>0</v>
      </c>
      <c r="M1410" s="110" t="str">
        <f t="shared" si="224"/>
        <v/>
      </c>
      <c r="N1410" s="51" t="str">
        <f t="shared" si="225"/>
        <v/>
      </c>
      <c r="O1410" s="52" t="str">
        <f t="shared" si="226"/>
        <v/>
      </c>
      <c r="P1410" s="88">
        <f t="shared" si="227"/>
        <v>0</v>
      </c>
      <c r="Q1410" s="88">
        <f t="shared" si="228"/>
        <v>0</v>
      </c>
      <c r="R1410" s="88" t="e">
        <f>-IF(Tabla14[[#This Row],[DIAS HABILES O MORA]]&lt;0,(Tabla14[[#This Row],[VALOR PRESTAMO]]*Tabla14[[#This Row],[% INTERES ]]/30*U1410))+Tabla14[[#This Row],[VALOR CUOTAS]]</f>
        <v>#VALUE!</v>
      </c>
      <c r="S1410" s="88">
        <f>-IF(Tabla14[[#This Row],[DIAS HABILES O MORA]]&lt;0,(Tabla14[[#This Row],[VALOR PRESTAMO]]*Tabla14[[#This Row],[% INTERES ]]/30*U1410))</f>
        <v>0</v>
      </c>
      <c r="T1410" s="53" t="e">
        <f>Tabla14[[#This Row],[DEUDA CAPITAL]]+Tabla14[[#This Row],[INTERES  CUOTA]]</f>
        <v>#NUM!</v>
      </c>
      <c r="U1410" s="61" t="str">
        <f t="shared" si="229"/>
        <v/>
      </c>
    </row>
    <row r="1411" spans="9:21" ht="24.75" customHeight="1" x14ac:dyDescent="0.35">
      <c r="I1411" s="42">
        <f t="shared" si="220"/>
        <v>0</v>
      </c>
      <c r="J1411" s="65" t="e">
        <f t="shared" si="221"/>
        <v>#NUM!</v>
      </c>
      <c r="K1411" s="83" t="e">
        <f t="shared" si="222"/>
        <v>#NUM!</v>
      </c>
      <c r="L1411" s="83">
        <f t="shared" si="223"/>
        <v>0</v>
      </c>
      <c r="M1411" s="110" t="str">
        <f t="shared" si="224"/>
        <v/>
      </c>
      <c r="N1411" s="51" t="str">
        <f t="shared" si="225"/>
        <v/>
      </c>
      <c r="O1411" s="52" t="str">
        <f t="shared" si="226"/>
        <v/>
      </c>
      <c r="P1411" s="88">
        <f t="shared" si="227"/>
        <v>0</v>
      </c>
      <c r="Q1411" s="88">
        <f t="shared" si="228"/>
        <v>0</v>
      </c>
      <c r="R1411" s="88" t="e">
        <f>-IF(Tabla14[[#This Row],[DIAS HABILES O MORA]]&lt;0,(Tabla14[[#This Row],[VALOR PRESTAMO]]*Tabla14[[#This Row],[% INTERES ]]/30*U1411))+Tabla14[[#This Row],[VALOR CUOTAS]]</f>
        <v>#VALUE!</v>
      </c>
      <c r="S1411" s="88">
        <f>-IF(Tabla14[[#This Row],[DIAS HABILES O MORA]]&lt;0,(Tabla14[[#This Row],[VALOR PRESTAMO]]*Tabla14[[#This Row],[% INTERES ]]/30*U1411))</f>
        <v>0</v>
      </c>
      <c r="T1411" s="53" t="e">
        <f>Tabla14[[#This Row],[DEUDA CAPITAL]]+Tabla14[[#This Row],[INTERES  CUOTA]]</f>
        <v>#NUM!</v>
      </c>
      <c r="U1411" s="61" t="str">
        <f t="shared" si="229"/>
        <v/>
      </c>
    </row>
    <row r="1412" spans="9:21" ht="24.75" customHeight="1" x14ac:dyDescent="0.35">
      <c r="I1412" s="42">
        <f t="shared" si="220"/>
        <v>0</v>
      </c>
      <c r="J1412" s="65" t="e">
        <f t="shared" si="221"/>
        <v>#NUM!</v>
      </c>
      <c r="K1412" s="83" t="e">
        <f t="shared" si="222"/>
        <v>#NUM!</v>
      </c>
      <c r="L1412" s="83">
        <f t="shared" si="223"/>
        <v>0</v>
      </c>
      <c r="M1412" s="110" t="str">
        <f t="shared" si="224"/>
        <v/>
      </c>
      <c r="N1412" s="51" t="str">
        <f t="shared" si="225"/>
        <v/>
      </c>
      <c r="O1412" s="52" t="str">
        <f t="shared" si="226"/>
        <v/>
      </c>
      <c r="P1412" s="88">
        <f t="shared" si="227"/>
        <v>0</v>
      </c>
      <c r="Q1412" s="88">
        <f t="shared" si="228"/>
        <v>0</v>
      </c>
      <c r="R1412" s="88" t="e">
        <f>-IF(Tabla14[[#This Row],[DIAS HABILES O MORA]]&lt;0,(Tabla14[[#This Row],[VALOR PRESTAMO]]*Tabla14[[#This Row],[% INTERES ]]/30*U1412))+Tabla14[[#This Row],[VALOR CUOTAS]]</f>
        <v>#VALUE!</v>
      </c>
      <c r="S1412" s="88">
        <f>-IF(Tabla14[[#This Row],[DIAS HABILES O MORA]]&lt;0,(Tabla14[[#This Row],[VALOR PRESTAMO]]*Tabla14[[#This Row],[% INTERES ]]/30*U1412))</f>
        <v>0</v>
      </c>
      <c r="T1412" s="53" t="e">
        <f>Tabla14[[#This Row],[DEUDA CAPITAL]]+Tabla14[[#This Row],[INTERES  CUOTA]]</f>
        <v>#NUM!</v>
      </c>
      <c r="U1412" s="61" t="str">
        <f t="shared" si="229"/>
        <v/>
      </c>
    </row>
    <row r="1413" spans="9:21" ht="24.75" customHeight="1" x14ac:dyDescent="0.35">
      <c r="I1413" s="42">
        <f t="shared" si="220"/>
        <v>0</v>
      </c>
      <c r="J1413" s="65" t="e">
        <f t="shared" si="221"/>
        <v>#NUM!</v>
      </c>
      <c r="K1413" s="83" t="e">
        <f t="shared" si="222"/>
        <v>#NUM!</v>
      </c>
      <c r="L1413" s="83">
        <f t="shared" si="223"/>
        <v>0</v>
      </c>
      <c r="M1413" s="110" t="str">
        <f t="shared" si="224"/>
        <v/>
      </c>
      <c r="N1413" s="51" t="str">
        <f t="shared" si="225"/>
        <v/>
      </c>
      <c r="O1413" s="52" t="str">
        <f t="shared" si="226"/>
        <v/>
      </c>
      <c r="P1413" s="88">
        <f t="shared" si="227"/>
        <v>0</v>
      </c>
      <c r="Q1413" s="88">
        <f t="shared" si="228"/>
        <v>0</v>
      </c>
      <c r="R1413" s="88" t="e">
        <f>-IF(Tabla14[[#This Row],[DIAS HABILES O MORA]]&lt;0,(Tabla14[[#This Row],[VALOR PRESTAMO]]*Tabla14[[#This Row],[% INTERES ]]/30*U1413))+Tabla14[[#This Row],[VALOR CUOTAS]]</f>
        <v>#VALUE!</v>
      </c>
      <c r="S1413" s="88">
        <f>-IF(Tabla14[[#This Row],[DIAS HABILES O MORA]]&lt;0,(Tabla14[[#This Row],[VALOR PRESTAMO]]*Tabla14[[#This Row],[% INTERES ]]/30*U1413))</f>
        <v>0</v>
      </c>
      <c r="T1413" s="53" t="e">
        <f>Tabla14[[#This Row],[DEUDA CAPITAL]]+Tabla14[[#This Row],[INTERES  CUOTA]]</f>
        <v>#NUM!</v>
      </c>
      <c r="U1413" s="61" t="str">
        <f t="shared" si="229"/>
        <v/>
      </c>
    </row>
    <row r="1414" spans="9:21" ht="24.75" customHeight="1" x14ac:dyDescent="0.35">
      <c r="I1414" s="42">
        <f t="shared" si="220"/>
        <v>0</v>
      </c>
      <c r="J1414" s="65" t="e">
        <f t="shared" si="221"/>
        <v>#NUM!</v>
      </c>
      <c r="K1414" s="83" t="e">
        <f t="shared" si="222"/>
        <v>#NUM!</v>
      </c>
      <c r="L1414" s="83">
        <f t="shared" si="223"/>
        <v>0</v>
      </c>
      <c r="M1414" s="110" t="str">
        <f t="shared" si="224"/>
        <v/>
      </c>
      <c r="N1414" s="51" t="str">
        <f t="shared" si="225"/>
        <v/>
      </c>
      <c r="O1414" s="52" t="str">
        <f t="shared" si="226"/>
        <v/>
      </c>
      <c r="P1414" s="88">
        <f t="shared" si="227"/>
        <v>0</v>
      </c>
      <c r="Q1414" s="88">
        <f t="shared" si="228"/>
        <v>0</v>
      </c>
      <c r="R1414" s="88" t="e">
        <f>-IF(Tabla14[[#This Row],[DIAS HABILES O MORA]]&lt;0,(Tabla14[[#This Row],[VALOR PRESTAMO]]*Tabla14[[#This Row],[% INTERES ]]/30*U1414))+Tabla14[[#This Row],[VALOR CUOTAS]]</f>
        <v>#VALUE!</v>
      </c>
      <c r="S1414" s="88">
        <f>-IF(Tabla14[[#This Row],[DIAS HABILES O MORA]]&lt;0,(Tabla14[[#This Row],[VALOR PRESTAMO]]*Tabla14[[#This Row],[% INTERES ]]/30*U1414))</f>
        <v>0</v>
      </c>
      <c r="T1414" s="53" t="e">
        <f>Tabla14[[#This Row],[DEUDA CAPITAL]]+Tabla14[[#This Row],[INTERES  CUOTA]]</f>
        <v>#NUM!</v>
      </c>
      <c r="U1414" s="61" t="str">
        <f t="shared" si="229"/>
        <v/>
      </c>
    </row>
    <row r="1415" spans="9:21" ht="24.75" customHeight="1" x14ac:dyDescent="0.35">
      <c r="I1415" s="42">
        <f t="shared" si="220"/>
        <v>0</v>
      </c>
      <c r="J1415" s="65" t="e">
        <f t="shared" si="221"/>
        <v>#NUM!</v>
      </c>
      <c r="K1415" s="83" t="e">
        <f t="shared" si="222"/>
        <v>#NUM!</v>
      </c>
      <c r="L1415" s="83">
        <f t="shared" si="223"/>
        <v>0</v>
      </c>
      <c r="M1415" s="110" t="str">
        <f t="shared" si="224"/>
        <v/>
      </c>
      <c r="N1415" s="51" t="str">
        <f t="shared" si="225"/>
        <v/>
      </c>
      <c r="O1415" s="52" t="str">
        <f t="shared" si="226"/>
        <v/>
      </c>
      <c r="P1415" s="88">
        <f t="shared" si="227"/>
        <v>0</v>
      </c>
      <c r="Q1415" s="88">
        <f t="shared" si="228"/>
        <v>0</v>
      </c>
      <c r="R1415" s="88" t="e">
        <f>-IF(Tabla14[[#This Row],[DIAS HABILES O MORA]]&lt;0,(Tabla14[[#This Row],[VALOR PRESTAMO]]*Tabla14[[#This Row],[% INTERES ]]/30*U1415))+Tabla14[[#This Row],[VALOR CUOTAS]]</f>
        <v>#VALUE!</v>
      </c>
      <c r="S1415" s="88">
        <f>-IF(Tabla14[[#This Row],[DIAS HABILES O MORA]]&lt;0,(Tabla14[[#This Row],[VALOR PRESTAMO]]*Tabla14[[#This Row],[% INTERES ]]/30*U1415))</f>
        <v>0</v>
      </c>
      <c r="T1415" s="53" t="e">
        <f>Tabla14[[#This Row],[DEUDA CAPITAL]]+Tabla14[[#This Row],[INTERES  CUOTA]]</f>
        <v>#NUM!</v>
      </c>
      <c r="U1415" s="61" t="str">
        <f t="shared" si="229"/>
        <v/>
      </c>
    </row>
    <row r="1416" spans="9:21" ht="24.75" customHeight="1" x14ac:dyDescent="0.35">
      <c r="I1416" s="42">
        <f t="shared" si="220"/>
        <v>0</v>
      </c>
      <c r="J1416" s="65" t="e">
        <f t="shared" si="221"/>
        <v>#NUM!</v>
      </c>
      <c r="K1416" s="83" t="e">
        <f t="shared" si="222"/>
        <v>#NUM!</v>
      </c>
      <c r="L1416" s="83">
        <f t="shared" si="223"/>
        <v>0</v>
      </c>
      <c r="M1416" s="110" t="str">
        <f t="shared" si="224"/>
        <v/>
      </c>
      <c r="N1416" s="51" t="str">
        <f t="shared" si="225"/>
        <v/>
      </c>
      <c r="O1416" s="52" t="str">
        <f t="shared" si="226"/>
        <v/>
      </c>
      <c r="P1416" s="88">
        <f t="shared" si="227"/>
        <v>0</v>
      </c>
      <c r="Q1416" s="88">
        <f t="shared" si="228"/>
        <v>0</v>
      </c>
      <c r="R1416" s="88" t="e">
        <f>-IF(Tabla14[[#This Row],[DIAS HABILES O MORA]]&lt;0,(Tabla14[[#This Row],[VALOR PRESTAMO]]*Tabla14[[#This Row],[% INTERES ]]/30*U1416))+Tabla14[[#This Row],[VALOR CUOTAS]]</f>
        <v>#VALUE!</v>
      </c>
      <c r="S1416" s="88">
        <f>-IF(Tabla14[[#This Row],[DIAS HABILES O MORA]]&lt;0,(Tabla14[[#This Row],[VALOR PRESTAMO]]*Tabla14[[#This Row],[% INTERES ]]/30*U1416))</f>
        <v>0</v>
      </c>
      <c r="T1416" s="53" t="e">
        <f>Tabla14[[#This Row],[DEUDA CAPITAL]]+Tabla14[[#This Row],[INTERES  CUOTA]]</f>
        <v>#NUM!</v>
      </c>
      <c r="U1416" s="61" t="str">
        <f t="shared" si="229"/>
        <v/>
      </c>
    </row>
    <row r="1417" spans="9:21" ht="24.75" customHeight="1" x14ac:dyDescent="0.35">
      <c r="I1417" s="42">
        <f t="shared" si="220"/>
        <v>0</v>
      </c>
      <c r="J1417" s="65" t="e">
        <f t="shared" si="221"/>
        <v>#NUM!</v>
      </c>
      <c r="K1417" s="83" t="e">
        <f t="shared" si="222"/>
        <v>#NUM!</v>
      </c>
      <c r="L1417" s="83">
        <f t="shared" si="223"/>
        <v>0</v>
      </c>
      <c r="M1417" s="110" t="str">
        <f t="shared" si="224"/>
        <v/>
      </c>
      <c r="N1417" s="51" t="str">
        <f t="shared" si="225"/>
        <v/>
      </c>
      <c r="O1417" s="52" t="str">
        <f t="shared" si="226"/>
        <v/>
      </c>
      <c r="P1417" s="88">
        <f t="shared" si="227"/>
        <v>0</v>
      </c>
      <c r="Q1417" s="88">
        <f t="shared" si="228"/>
        <v>0</v>
      </c>
      <c r="R1417" s="88" t="e">
        <f>-IF(Tabla14[[#This Row],[DIAS HABILES O MORA]]&lt;0,(Tabla14[[#This Row],[VALOR PRESTAMO]]*Tabla14[[#This Row],[% INTERES ]]/30*U1417))+Tabla14[[#This Row],[VALOR CUOTAS]]</f>
        <v>#VALUE!</v>
      </c>
      <c r="S1417" s="88">
        <f>-IF(Tabla14[[#This Row],[DIAS HABILES O MORA]]&lt;0,(Tabla14[[#This Row],[VALOR PRESTAMO]]*Tabla14[[#This Row],[% INTERES ]]/30*U1417))</f>
        <v>0</v>
      </c>
      <c r="T1417" s="53" t="e">
        <f>Tabla14[[#This Row],[DEUDA CAPITAL]]+Tabla14[[#This Row],[INTERES  CUOTA]]</f>
        <v>#NUM!</v>
      </c>
      <c r="U1417" s="61" t="str">
        <f t="shared" si="229"/>
        <v/>
      </c>
    </row>
    <row r="1418" spans="9:21" ht="24.75" customHeight="1" x14ac:dyDescent="0.35">
      <c r="I1418" s="42">
        <f t="shared" si="220"/>
        <v>0</v>
      </c>
      <c r="J1418" s="65" t="e">
        <f t="shared" si="221"/>
        <v>#NUM!</v>
      </c>
      <c r="K1418" s="83" t="e">
        <f t="shared" si="222"/>
        <v>#NUM!</v>
      </c>
      <c r="L1418" s="83">
        <f t="shared" si="223"/>
        <v>0</v>
      </c>
      <c r="M1418" s="110" t="str">
        <f t="shared" si="224"/>
        <v/>
      </c>
      <c r="N1418" s="51" t="str">
        <f t="shared" si="225"/>
        <v/>
      </c>
      <c r="O1418" s="52" t="str">
        <f t="shared" si="226"/>
        <v/>
      </c>
      <c r="P1418" s="88">
        <f t="shared" si="227"/>
        <v>0</v>
      </c>
      <c r="Q1418" s="88">
        <f t="shared" si="228"/>
        <v>0</v>
      </c>
      <c r="R1418" s="88" t="e">
        <f>-IF(Tabla14[[#This Row],[DIAS HABILES O MORA]]&lt;0,(Tabla14[[#This Row],[VALOR PRESTAMO]]*Tabla14[[#This Row],[% INTERES ]]/30*U1418))+Tabla14[[#This Row],[VALOR CUOTAS]]</f>
        <v>#VALUE!</v>
      </c>
      <c r="S1418" s="88">
        <f>-IF(Tabla14[[#This Row],[DIAS HABILES O MORA]]&lt;0,(Tabla14[[#This Row],[VALOR PRESTAMO]]*Tabla14[[#This Row],[% INTERES ]]/30*U1418))</f>
        <v>0</v>
      </c>
      <c r="T1418" s="53" t="e">
        <f>Tabla14[[#This Row],[DEUDA CAPITAL]]+Tabla14[[#This Row],[INTERES  CUOTA]]</f>
        <v>#NUM!</v>
      </c>
      <c r="U1418" s="61" t="str">
        <f t="shared" si="229"/>
        <v/>
      </c>
    </row>
    <row r="1419" spans="9:21" ht="24.75" customHeight="1" x14ac:dyDescent="0.35">
      <c r="I1419" s="42">
        <f t="shared" si="220"/>
        <v>0</v>
      </c>
      <c r="J1419" s="65" t="e">
        <f t="shared" si="221"/>
        <v>#NUM!</v>
      </c>
      <c r="K1419" s="83" t="e">
        <f t="shared" si="222"/>
        <v>#NUM!</v>
      </c>
      <c r="L1419" s="83">
        <f t="shared" si="223"/>
        <v>0</v>
      </c>
      <c r="M1419" s="110" t="str">
        <f t="shared" si="224"/>
        <v/>
      </c>
      <c r="N1419" s="51" t="str">
        <f t="shared" si="225"/>
        <v/>
      </c>
      <c r="O1419" s="52" t="str">
        <f t="shared" si="226"/>
        <v/>
      </c>
      <c r="P1419" s="88">
        <f t="shared" si="227"/>
        <v>0</v>
      </c>
      <c r="Q1419" s="88">
        <f t="shared" si="228"/>
        <v>0</v>
      </c>
      <c r="R1419" s="88" t="e">
        <f>-IF(Tabla14[[#This Row],[DIAS HABILES O MORA]]&lt;0,(Tabla14[[#This Row],[VALOR PRESTAMO]]*Tabla14[[#This Row],[% INTERES ]]/30*U1419))+Tabla14[[#This Row],[VALOR CUOTAS]]</f>
        <v>#VALUE!</v>
      </c>
      <c r="S1419" s="88">
        <f>-IF(Tabla14[[#This Row],[DIAS HABILES O MORA]]&lt;0,(Tabla14[[#This Row],[VALOR PRESTAMO]]*Tabla14[[#This Row],[% INTERES ]]/30*U1419))</f>
        <v>0</v>
      </c>
      <c r="T1419" s="53" t="e">
        <f>Tabla14[[#This Row],[DEUDA CAPITAL]]+Tabla14[[#This Row],[INTERES  CUOTA]]</f>
        <v>#NUM!</v>
      </c>
      <c r="U1419" s="61" t="str">
        <f t="shared" si="229"/>
        <v/>
      </c>
    </row>
    <row r="1420" spans="9:21" ht="24.75" customHeight="1" x14ac:dyDescent="0.35">
      <c r="I1420" s="42">
        <f t="shared" si="220"/>
        <v>0</v>
      </c>
      <c r="J1420" s="65" t="e">
        <f t="shared" si="221"/>
        <v>#NUM!</v>
      </c>
      <c r="K1420" s="83" t="e">
        <f t="shared" si="222"/>
        <v>#NUM!</v>
      </c>
      <c r="L1420" s="83">
        <f t="shared" si="223"/>
        <v>0</v>
      </c>
      <c r="M1420" s="110" t="str">
        <f t="shared" si="224"/>
        <v/>
      </c>
      <c r="N1420" s="51" t="str">
        <f t="shared" si="225"/>
        <v/>
      </c>
      <c r="O1420" s="52" t="str">
        <f t="shared" si="226"/>
        <v/>
      </c>
      <c r="P1420" s="88">
        <f t="shared" si="227"/>
        <v>0</v>
      </c>
      <c r="Q1420" s="88">
        <f t="shared" si="228"/>
        <v>0</v>
      </c>
      <c r="R1420" s="88" t="e">
        <f>-IF(Tabla14[[#This Row],[DIAS HABILES O MORA]]&lt;0,(Tabla14[[#This Row],[VALOR PRESTAMO]]*Tabla14[[#This Row],[% INTERES ]]/30*U1420))+Tabla14[[#This Row],[VALOR CUOTAS]]</f>
        <v>#VALUE!</v>
      </c>
      <c r="S1420" s="88">
        <f>-IF(Tabla14[[#This Row],[DIAS HABILES O MORA]]&lt;0,(Tabla14[[#This Row],[VALOR PRESTAMO]]*Tabla14[[#This Row],[% INTERES ]]/30*U1420))</f>
        <v>0</v>
      </c>
      <c r="T1420" s="53" t="e">
        <f>Tabla14[[#This Row],[DEUDA CAPITAL]]+Tabla14[[#This Row],[INTERES  CUOTA]]</f>
        <v>#NUM!</v>
      </c>
      <c r="U1420" s="61" t="str">
        <f t="shared" si="229"/>
        <v/>
      </c>
    </row>
    <row r="1421" spans="9:21" ht="24.75" customHeight="1" x14ac:dyDescent="0.35">
      <c r="I1421" s="42">
        <f t="shared" si="220"/>
        <v>0</v>
      </c>
      <c r="J1421" s="65" t="e">
        <f t="shared" si="221"/>
        <v>#NUM!</v>
      </c>
      <c r="K1421" s="83" t="e">
        <f t="shared" si="222"/>
        <v>#NUM!</v>
      </c>
      <c r="L1421" s="83">
        <f t="shared" si="223"/>
        <v>0</v>
      </c>
      <c r="M1421" s="110" t="str">
        <f t="shared" si="224"/>
        <v/>
      </c>
      <c r="N1421" s="51" t="str">
        <f t="shared" si="225"/>
        <v/>
      </c>
      <c r="O1421" s="52" t="str">
        <f t="shared" si="226"/>
        <v/>
      </c>
      <c r="P1421" s="88">
        <f t="shared" si="227"/>
        <v>0</v>
      </c>
      <c r="Q1421" s="88">
        <f t="shared" si="228"/>
        <v>0</v>
      </c>
      <c r="R1421" s="88" t="e">
        <f>-IF(Tabla14[[#This Row],[DIAS HABILES O MORA]]&lt;0,(Tabla14[[#This Row],[VALOR PRESTAMO]]*Tabla14[[#This Row],[% INTERES ]]/30*U1421))+Tabla14[[#This Row],[VALOR CUOTAS]]</f>
        <v>#VALUE!</v>
      </c>
      <c r="S1421" s="88">
        <f>-IF(Tabla14[[#This Row],[DIAS HABILES O MORA]]&lt;0,(Tabla14[[#This Row],[VALOR PRESTAMO]]*Tabla14[[#This Row],[% INTERES ]]/30*U1421))</f>
        <v>0</v>
      </c>
      <c r="T1421" s="53" t="e">
        <f>Tabla14[[#This Row],[DEUDA CAPITAL]]+Tabla14[[#This Row],[INTERES  CUOTA]]</f>
        <v>#NUM!</v>
      </c>
      <c r="U1421" s="61" t="str">
        <f t="shared" si="229"/>
        <v/>
      </c>
    </row>
    <row r="1422" spans="9:21" ht="24.75" customHeight="1" x14ac:dyDescent="0.35">
      <c r="I1422" s="42">
        <f t="shared" si="220"/>
        <v>0</v>
      </c>
      <c r="J1422" s="65" t="e">
        <f t="shared" si="221"/>
        <v>#NUM!</v>
      </c>
      <c r="K1422" s="83" t="e">
        <f t="shared" si="222"/>
        <v>#NUM!</v>
      </c>
      <c r="L1422" s="83">
        <f t="shared" si="223"/>
        <v>0</v>
      </c>
      <c r="M1422" s="110" t="str">
        <f t="shared" si="224"/>
        <v/>
      </c>
      <c r="N1422" s="51" t="str">
        <f t="shared" si="225"/>
        <v/>
      </c>
      <c r="O1422" s="52" t="str">
        <f t="shared" si="226"/>
        <v/>
      </c>
      <c r="P1422" s="88">
        <f t="shared" si="227"/>
        <v>0</v>
      </c>
      <c r="Q1422" s="88">
        <f t="shared" si="228"/>
        <v>0</v>
      </c>
      <c r="R1422" s="88" t="e">
        <f>-IF(Tabla14[[#This Row],[DIAS HABILES O MORA]]&lt;0,(Tabla14[[#This Row],[VALOR PRESTAMO]]*Tabla14[[#This Row],[% INTERES ]]/30*U1422))+Tabla14[[#This Row],[VALOR CUOTAS]]</f>
        <v>#VALUE!</v>
      </c>
      <c r="S1422" s="88">
        <f>-IF(Tabla14[[#This Row],[DIAS HABILES O MORA]]&lt;0,(Tabla14[[#This Row],[VALOR PRESTAMO]]*Tabla14[[#This Row],[% INTERES ]]/30*U1422))</f>
        <v>0</v>
      </c>
      <c r="T1422" s="53" t="e">
        <f>Tabla14[[#This Row],[DEUDA CAPITAL]]+Tabla14[[#This Row],[INTERES  CUOTA]]</f>
        <v>#NUM!</v>
      </c>
      <c r="U1422" s="61" t="str">
        <f t="shared" si="229"/>
        <v/>
      </c>
    </row>
    <row r="1423" spans="9:21" ht="24.75" customHeight="1" x14ac:dyDescent="0.35">
      <c r="I1423" s="42">
        <f t="shared" si="220"/>
        <v>0</v>
      </c>
      <c r="J1423" s="65" t="e">
        <f t="shared" si="221"/>
        <v>#NUM!</v>
      </c>
      <c r="K1423" s="83" t="e">
        <f t="shared" si="222"/>
        <v>#NUM!</v>
      </c>
      <c r="L1423" s="83">
        <f t="shared" si="223"/>
        <v>0</v>
      </c>
      <c r="M1423" s="110" t="str">
        <f t="shared" si="224"/>
        <v/>
      </c>
      <c r="N1423" s="51" t="str">
        <f t="shared" si="225"/>
        <v/>
      </c>
      <c r="O1423" s="52" t="str">
        <f t="shared" si="226"/>
        <v/>
      </c>
      <c r="P1423" s="88">
        <f t="shared" si="227"/>
        <v>0</v>
      </c>
      <c r="Q1423" s="88">
        <f t="shared" si="228"/>
        <v>0</v>
      </c>
      <c r="R1423" s="88" t="e">
        <f>-IF(Tabla14[[#This Row],[DIAS HABILES O MORA]]&lt;0,(Tabla14[[#This Row],[VALOR PRESTAMO]]*Tabla14[[#This Row],[% INTERES ]]/30*U1423))+Tabla14[[#This Row],[VALOR CUOTAS]]</f>
        <v>#VALUE!</v>
      </c>
      <c r="S1423" s="88">
        <f>-IF(Tabla14[[#This Row],[DIAS HABILES O MORA]]&lt;0,(Tabla14[[#This Row],[VALOR PRESTAMO]]*Tabla14[[#This Row],[% INTERES ]]/30*U1423))</f>
        <v>0</v>
      </c>
      <c r="T1423" s="53" t="e">
        <f>Tabla14[[#This Row],[DEUDA CAPITAL]]+Tabla14[[#This Row],[INTERES  CUOTA]]</f>
        <v>#NUM!</v>
      </c>
      <c r="U1423" s="61" t="str">
        <f t="shared" si="229"/>
        <v/>
      </c>
    </row>
    <row r="1424" spans="9:21" ht="24.75" customHeight="1" x14ac:dyDescent="0.35">
      <c r="I1424" s="42">
        <f t="shared" ref="I1424:I1487" si="230">IF(C1424&lt;0,"",IF(Q1424=0,0,IF(G1424=0,H1424+1,IF(H1424&lt;G1424,H1424+1,IF(G1424=H1424,0)))))</f>
        <v>0</v>
      </c>
      <c r="J1424" s="65" t="e">
        <f t="shared" ref="J1424:J1487" si="231">IF(F1424="SOLO INTERES",Q1424*D1424,-IPMT(D1424,I1424,G1424,C1424))</f>
        <v>#NUM!</v>
      </c>
      <c r="K1424" s="83" t="e">
        <f t="shared" ref="K1424:K1487" si="232">IF(F1424="SOLO INTERES",0,-PPMT(D1424,I1424,G1424,C1424))</f>
        <v>#NUM!</v>
      </c>
      <c r="L1424" s="83">
        <f t="shared" ref="L1424:L1487" si="233">IF(F1424="SOLO INTERES",SUM(Y1424:AAE1424),IFERROR(-CUMIPMT(D1424,G1424,C1424,1,H1424,0),0)+SUM(Y1424:WY1424))</f>
        <v>0</v>
      </c>
      <c r="M1424" s="110" t="str">
        <f t="shared" ref="M1424:M1487" si="234">IFERROR(IF(F1424="SOLO INTERES",Q1424*D1424,-PMT(D1424,G1424,C1424,0)),"")</f>
        <v/>
      </c>
      <c r="N1424" s="51" t="str">
        <f t="shared" ref="N1424:N1487" si="235">IF(Q1424=0,"",IF(E1424="MENSUAL",EDATE(B1424,I1424),IF(E1424="QUINCENAL",B1424+(I1424*15),IF(E1424="SEMANAL",B1424+(I1424*7)))))</f>
        <v/>
      </c>
      <c r="O1424" s="52" t="str">
        <f t="shared" ref="O1424:O1487" si="236">IF(C1424=0,"",IF(Q1424&lt;1,"PAGADO",IF(N1424=$A$3,"COBRAR HOY",IF(N1424&lt;$A$3,"EN MORA",IF(N1424&gt;$A$3,"AL DIA")))))</f>
        <v/>
      </c>
      <c r="P1424" s="88">
        <f t="shared" ref="P1424:P1487" si="237">IFERROR(-CUMPRINC(D1424,G1424,C1424,1,H1424,0),0)+W1424</f>
        <v>0</v>
      </c>
      <c r="Q1424" s="88">
        <f t="shared" ref="Q1424:Q1487" si="238">IFERROR(C1424-P1424,"")</f>
        <v>0</v>
      </c>
      <c r="R1424" s="88" t="e">
        <f>-IF(Tabla14[[#This Row],[DIAS HABILES O MORA]]&lt;0,(Tabla14[[#This Row],[VALOR PRESTAMO]]*Tabla14[[#This Row],[% INTERES ]]/30*U1424))+Tabla14[[#This Row],[VALOR CUOTAS]]</f>
        <v>#VALUE!</v>
      </c>
      <c r="S1424" s="88">
        <f>-IF(Tabla14[[#This Row],[DIAS HABILES O MORA]]&lt;0,(Tabla14[[#This Row],[VALOR PRESTAMO]]*Tabla14[[#This Row],[% INTERES ]]/30*U1424))</f>
        <v>0</v>
      </c>
      <c r="T1424" s="53" t="e">
        <f>Tabla14[[#This Row],[DEUDA CAPITAL]]+Tabla14[[#This Row],[INTERES  CUOTA]]</f>
        <v>#NUM!</v>
      </c>
      <c r="U1424" s="61" t="str">
        <f t="shared" ref="U1424:U1487" si="239">IF(O1424="PAGADO","",IFERROR(-IF(C1424=0,"",$A$3-N1424),""))</f>
        <v/>
      </c>
    </row>
    <row r="1425" spans="9:21" ht="24.75" customHeight="1" x14ac:dyDescent="0.35">
      <c r="I1425" s="42">
        <f t="shared" si="230"/>
        <v>0</v>
      </c>
      <c r="J1425" s="65" t="e">
        <f t="shared" si="231"/>
        <v>#NUM!</v>
      </c>
      <c r="K1425" s="83" t="e">
        <f t="shared" si="232"/>
        <v>#NUM!</v>
      </c>
      <c r="L1425" s="83">
        <f t="shared" si="233"/>
        <v>0</v>
      </c>
      <c r="M1425" s="110" t="str">
        <f t="shared" si="234"/>
        <v/>
      </c>
      <c r="N1425" s="51" t="str">
        <f t="shared" si="235"/>
        <v/>
      </c>
      <c r="O1425" s="52" t="str">
        <f t="shared" si="236"/>
        <v/>
      </c>
      <c r="P1425" s="88">
        <f t="shared" si="237"/>
        <v>0</v>
      </c>
      <c r="Q1425" s="88">
        <f t="shared" si="238"/>
        <v>0</v>
      </c>
      <c r="R1425" s="88" t="e">
        <f>-IF(Tabla14[[#This Row],[DIAS HABILES O MORA]]&lt;0,(Tabla14[[#This Row],[VALOR PRESTAMO]]*Tabla14[[#This Row],[% INTERES ]]/30*U1425))+Tabla14[[#This Row],[VALOR CUOTAS]]</f>
        <v>#VALUE!</v>
      </c>
      <c r="S1425" s="88">
        <f>-IF(Tabla14[[#This Row],[DIAS HABILES O MORA]]&lt;0,(Tabla14[[#This Row],[VALOR PRESTAMO]]*Tabla14[[#This Row],[% INTERES ]]/30*U1425))</f>
        <v>0</v>
      </c>
      <c r="T1425" s="53" t="e">
        <f>Tabla14[[#This Row],[DEUDA CAPITAL]]+Tabla14[[#This Row],[INTERES  CUOTA]]</f>
        <v>#NUM!</v>
      </c>
      <c r="U1425" s="61" t="str">
        <f t="shared" si="239"/>
        <v/>
      </c>
    </row>
    <row r="1426" spans="9:21" ht="24.75" customHeight="1" x14ac:dyDescent="0.35">
      <c r="I1426" s="42">
        <f t="shared" si="230"/>
        <v>0</v>
      </c>
      <c r="J1426" s="65" t="e">
        <f t="shared" si="231"/>
        <v>#NUM!</v>
      </c>
      <c r="K1426" s="83" t="e">
        <f t="shared" si="232"/>
        <v>#NUM!</v>
      </c>
      <c r="L1426" s="83">
        <f t="shared" si="233"/>
        <v>0</v>
      </c>
      <c r="M1426" s="110" t="str">
        <f t="shared" si="234"/>
        <v/>
      </c>
      <c r="N1426" s="51" t="str">
        <f t="shared" si="235"/>
        <v/>
      </c>
      <c r="O1426" s="52" t="str">
        <f t="shared" si="236"/>
        <v/>
      </c>
      <c r="P1426" s="88">
        <f t="shared" si="237"/>
        <v>0</v>
      </c>
      <c r="Q1426" s="88">
        <f t="shared" si="238"/>
        <v>0</v>
      </c>
      <c r="R1426" s="88" t="e">
        <f>-IF(Tabla14[[#This Row],[DIAS HABILES O MORA]]&lt;0,(Tabla14[[#This Row],[VALOR PRESTAMO]]*Tabla14[[#This Row],[% INTERES ]]/30*U1426))+Tabla14[[#This Row],[VALOR CUOTAS]]</f>
        <v>#VALUE!</v>
      </c>
      <c r="S1426" s="88">
        <f>-IF(Tabla14[[#This Row],[DIAS HABILES O MORA]]&lt;0,(Tabla14[[#This Row],[VALOR PRESTAMO]]*Tabla14[[#This Row],[% INTERES ]]/30*U1426))</f>
        <v>0</v>
      </c>
      <c r="T1426" s="53" t="e">
        <f>Tabla14[[#This Row],[DEUDA CAPITAL]]+Tabla14[[#This Row],[INTERES  CUOTA]]</f>
        <v>#NUM!</v>
      </c>
      <c r="U1426" s="61" t="str">
        <f t="shared" si="239"/>
        <v/>
      </c>
    </row>
    <row r="1427" spans="9:21" ht="24.75" customHeight="1" x14ac:dyDescent="0.35">
      <c r="I1427" s="42">
        <f t="shared" si="230"/>
        <v>0</v>
      </c>
      <c r="J1427" s="65" t="e">
        <f t="shared" si="231"/>
        <v>#NUM!</v>
      </c>
      <c r="K1427" s="83" t="e">
        <f t="shared" si="232"/>
        <v>#NUM!</v>
      </c>
      <c r="L1427" s="83">
        <f t="shared" si="233"/>
        <v>0</v>
      </c>
      <c r="M1427" s="110" t="str">
        <f t="shared" si="234"/>
        <v/>
      </c>
      <c r="N1427" s="51" t="str">
        <f t="shared" si="235"/>
        <v/>
      </c>
      <c r="O1427" s="52" t="str">
        <f t="shared" si="236"/>
        <v/>
      </c>
      <c r="P1427" s="88">
        <f t="shared" si="237"/>
        <v>0</v>
      </c>
      <c r="Q1427" s="88">
        <f t="shared" si="238"/>
        <v>0</v>
      </c>
      <c r="R1427" s="88" t="e">
        <f>-IF(Tabla14[[#This Row],[DIAS HABILES O MORA]]&lt;0,(Tabla14[[#This Row],[VALOR PRESTAMO]]*Tabla14[[#This Row],[% INTERES ]]/30*U1427))+Tabla14[[#This Row],[VALOR CUOTAS]]</f>
        <v>#VALUE!</v>
      </c>
      <c r="S1427" s="88">
        <f>-IF(Tabla14[[#This Row],[DIAS HABILES O MORA]]&lt;0,(Tabla14[[#This Row],[VALOR PRESTAMO]]*Tabla14[[#This Row],[% INTERES ]]/30*U1427))</f>
        <v>0</v>
      </c>
      <c r="T1427" s="53" t="e">
        <f>Tabla14[[#This Row],[DEUDA CAPITAL]]+Tabla14[[#This Row],[INTERES  CUOTA]]</f>
        <v>#NUM!</v>
      </c>
      <c r="U1427" s="61" t="str">
        <f t="shared" si="239"/>
        <v/>
      </c>
    </row>
    <row r="1428" spans="9:21" ht="24.75" customHeight="1" x14ac:dyDescent="0.35">
      <c r="I1428" s="42">
        <f t="shared" si="230"/>
        <v>0</v>
      </c>
      <c r="J1428" s="65" t="e">
        <f t="shared" si="231"/>
        <v>#NUM!</v>
      </c>
      <c r="K1428" s="83" t="e">
        <f t="shared" si="232"/>
        <v>#NUM!</v>
      </c>
      <c r="L1428" s="83">
        <f t="shared" si="233"/>
        <v>0</v>
      </c>
      <c r="M1428" s="110" t="str">
        <f t="shared" si="234"/>
        <v/>
      </c>
      <c r="N1428" s="51" t="str">
        <f t="shared" si="235"/>
        <v/>
      </c>
      <c r="O1428" s="52" t="str">
        <f t="shared" si="236"/>
        <v/>
      </c>
      <c r="P1428" s="88">
        <f t="shared" si="237"/>
        <v>0</v>
      </c>
      <c r="Q1428" s="88">
        <f t="shared" si="238"/>
        <v>0</v>
      </c>
      <c r="R1428" s="88" t="e">
        <f>-IF(Tabla14[[#This Row],[DIAS HABILES O MORA]]&lt;0,(Tabla14[[#This Row],[VALOR PRESTAMO]]*Tabla14[[#This Row],[% INTERES ]]/30*U1428))+Tabla14[[#This Row],[VALOR CUOTAS]]</f>
        <v>#VALUE!</v>
      </c>
      <c r="S1428" s="88">
        <f>-IF(Tabla14[[#This Row],[DIAS HABILES O MORA]]&lt;0,(Tabla14[[#This Row],[VALOR PRESTAMO]]*Tabla14[[#This Row],[% INTERES ]]/30*U1428))</f>
        <v>0</v>
      </c>
      <c r="T1428" s="53" t="e">
        <f>Tabla14[[#This Row],[DEUDA CAPITAL]]+Tabla14[[#This Row],[INTERES  CUOTA]]</f>
        <v>#NUM!</v>
      </c>
      <c r="U1428" s="61" t="str">
        <f t="shared" si="239"/>
        <v/>
      </c>
    </row>
    <row r="1429" spans="9:21" ht="24.75" customHeight="1" x14ac:dyDescent="0.35">
      <c r="I1429" s="42">
        <f t="shared" si="230"/>
        <v>0</v>
      </c>
      <c r="J1429" s="65" t="e">
        <f t="shared" si="231"/>
        <v>#NUM!</v>
      </c>
      <c r="K1429" s="83" t="e">
        <f t="shared" si="232"/>
        <v>#NUM!</v>
      </c>
      <c r="L1429" s="83">
        <f t="shared" si="233"/>
        <v>0</v>
      </c>
      <c r="M1429" s="110" t="str">
        <f t="shared" si="234"/>
        <v/>
      </c>
      <c r="N1429" s="51" t="str">
        <f t="shared" si="235"/>
        <v/>
      </c>
      <c r="O1429" s="52" t="str">
        <f t="shared" si="236"/>
        <v/>
      </c>
      <c r="P1429" s="88">
        <f t="shared" si="237"/>
        <v>0</v>
      </c>
      <c r="Q1429" s="88">
        <f t="shared" si="238"/>
        <v>0</v>
      </c>
      <c r="R1429" s="88" t="e">
        <f>-IF(Tabla14[[#This Row],[DIAS HABILES O MORA]]&lt;0,(Tabla14[[#This Row],[VALOR PRESTAMO]]*Tabla14[[#This Row],[% INTERES ]]/30*U1429))+Tabla14[[#This Row],[VALOR CUOTAS]]</f>
        <v>#VALUE!</v>
      </c>
      <c r="S1429" s="88">
        <f>-IF(Tabla14[[#This Row],[DIAS HABILES O MORA]]&lt;0,(Tabla14[[#This Row],[VALOR PRESTAMO]]*Tabla14[[#This Row],[% INTERES ]]/30*U1429))</f>
        <v>0</v>
      </c>
      <c r="T1429" s="53" t="e">
        <f>Tabla14[[#This Row],[DEUDA CAPITAL]]+Tabla14[[#This Row],[INTERES  CUOTA]]</f>
        <v>#NUM!</v>
      </c>
      <c r="U1429" s="61" t="str">
        <f t="shared" si="239"/>
        <v/>
      </c>
    </row>
    <row r="1430" spans="9:21" ht="24.75" customHeight="1" x14ac:dyDescent="0.35">
      <c r="I1430" s="42">
        <f t="shared" si="230"/>
        <v>0</v>
      </c>
      <c r="J1430" s="65" t="e">
        <f t="shared" si="231"/>
        <v>#NUM!</v>
      </c>
      <c r="K1430" s="83" t="e">
        <f t="shared" si="232"/>
        <v>#NUM!</v>
      </c>
      <c r="L1430" s="83">
        <f t="shared" si="233"/>
        <v>0</v>
      </c>
      <c r="M1430" s="110" t="str">
        <f t="shared" si="234"/>
        <v/>
      </c>
      <c r="N1430" s="51" t="str">
        <f t="shared" si="235"/>
        <v/>
      </c>
      <c r="O1430" s="52" t="str">
        <f t="shared" si="236"/>
        <v/>
      </c>
      <c r="P1430" s="88">
        <f t="shared" si="237"/>
        <v>0</v>
      </c>
      <c r="Q1430" s="88">
        <f t="shared" si="238"/>
        <v>0</v>
      </c>
      <c r="R1430" s="88" t="e">
        <f>-IF(Tabla14[[#This Row],[DIAS HABILES O MORA]]&lt;0,(Tabla14[[#This Row],[VALOR PRESTAMO]]*Tabla14[[#This Row],[% INTERES ]]/30*U1430))+Tabla14[[#This Row],[VALOR CUOTAS]]</f>
        <v>#VALUE!</v>
      </c>
      <c r="S1430" s="88">
        <f>-IF(Tabla14[[#This Row],[DIAS HABILES O MORA]]&lt;0,(Tabla14[[#This Row],[VALOR PRESTAMO]]*Tabla14[[#This Row],[% INTERES ]]/30*U1430))</f>
        <v>0</v>
      </c>
      <c r="T1430" s="53" t="e">
        <f>Tabla14[[#This Row],[DEUDA CAPITAL]]+Tabla14[[#This Row],[INTERES  CUOTA]]</f>
        <v>#NUM!</v>
      </c>
      <c r="U1430" s="61" t="str">
        <f t="shared" si="239"/>
        <v/>
      </c>
    </row>
    <row r="1431" spans="9:21" ht="24.75" customHeight="1" x14ac:dyDescent="0.35">
      <c r="I1431" s="42">
        <f t="shared" si="230"/>
        <v>0</v>
      </c>
      <c r="J1431" s="65" t="e">
        <f t="shared" si="231"/>
        <v>#NUM!</v>
      </c>
      <c r="K1431" s="83" t="e">
        <f t="shared" si="232"/>
        <v>#NUM!</v>
      </c>
      <c r="L1431" s="83">
        <f t="shared" si="233"/>
        <v>0</v>
      </c>
      <c r="M1431" s="110" t="str">
        <f t="shared" si="234"/>
        <v/>
      </c>
      <c r="N1431" s="51" t="str">
        <f t="shared" si="235"/>
        <v/>
      </c>
      <c r="O1431" s="52" t="str">
        <f t="shared" si="236"/>
        <v/>
      </c>
      <c r="P1431" s="88">
        <f t="shared" si="237"/>
        <v>0</v>
      </c>
      <c r="Q1431" s="88">
        <f t="shared" si="238"/>
        <v>0</v>
      </c>
      <c r="R1431" s="88" t="e">
        <f>-IF(Tabla14[[#This Row],[DIAS HABILES O MORA]]&lt;0,(Tabla14[[#This Row],[VALOR PRESTAMO]]*Tabla14[[#This Row],[% INTERES ]]/30*U1431))+Tabla14[[#This Row],[VALOR CUOTAS]]</f>
        <v>#VALUE!</v>
      </c>
      <c r="S1431" s="88">
        <f>-IF(Tabla14[[#This Row],[DIAS HABILES O MORA]]&lt;0,(Tabla14[[#This Row],[VALOR PRESTAMO]]*Tabla14[[#This Row],[% INTERES ]]/30*U1431))</f>
        <v>0</v>
      </c>
      <c r="T1431" s="53" t="e">
        <f>Tabla14[[#This Row],[DEUDA CAPITAL]]+Tabla14[[#This Row],[INTERES  CUOTA]]</f>
        <v>#NUM!</v>
      </c>
      <c r="U1431" s="61" t="str">
        <f t="shared" si="239"/>
        <v/>
      </c>
    </row>
    <row r="1432" spans="9:21" ht="24.75" customHeight="1" x14ac:dyDescent="0.35">
      <c r="I1432" s="42">
        <f t="shared" si="230"/>
        <v>0</v>
      </c>
      <c r="J1432" s="65" t="e">
        <f t="shared" si="231"/>
        <v>#NUM!</v>
      </c>
      <c r="K1432" s="83" t="e">
        <f t="shared" si="232"/>
        <v>#NUM!</v>
      </c>
      <c r="L1432" s="83">
        <f t="shared" si="233"/>
        <v>0</v>
      </c>
      <c r="M1432" s="110" t="str">
        <f t="shared" si="234"/>
        <v/>
      </c>
      <c r="N1432" s="51" t="str">
        <f t="shared" si="235"/>
        <v/>
      </c>
      <c r="O1432" s="52" t="str">
        <f t="shared" si="236"/>
        <v/>
      </c>
      <c r="P1432" s="88">
        <f t="shared" si="237"/>
        <v>0</v>
      </c>
      <c r="Q1432" s="88">
        <f t="shared" si="238"/>
        <v>0</v>
      </c>
      <c r="R1432" s="88" t="e">
        <f>-IF(Tabla14[[#This Row],[DIAS HABILES O MORA]]&lt;0,(Tabla14[[#This Row],[VALOR PRESTAMO]]*Tabla14[[#This Row],[% INTERES ]]/30*U1432))+Tabla14[[#This Row],[VALOR CUOTAS]]</f>
        <v>#VALUE!</v>
      </c>
      <c r="S1432" s="88">
        <f>-IF(Tabla14[[#This Row],[DIAS HABILES O MORA]]&lt;0,(Tabla14[[#This Row],[VALOR PRESTAMO]]*Tabla14[[#This Row],[% INTERES ]]/30*U1432))</f>
        <v>0</v>
      </c>
      <c r="T1432" s="53" t="e">
        <f>Tabla14[[#This Row],[DEUDA CAPITAL]]+Tabla14[[#This Row],[INTERES  CUOTA]]</f>
        <v>#NUM!</v>
      </c>
      <c r="U1432" s="61" t="str">
        <f t="shared" si="239"/>
        <v/>
      </c>
    </row>
    <row r="1433" spans="9:21" ht="24.75" customHeight="1" x14ac:dyDescent="0.35">
      <c r="I1433" s="42">
        <f t="shared" si="230"/>
        <v>0</v>
      </c>
      <c r="J1433" s="65" t="e">
        <f t="shared" si="231"/>
        <v>#NUM!</v>
      </c>
      <c r="K1433" s="83" t="e">
        <f t="shared" si="232"/>
        <v>#NUM!</v>
      </c>
      <c r="L1433" s="83">
        <f t="shared" si="233"/>
        <v>0</v>
      </c>
      <c r="M1433" s="110" t="str">
        <f t="shared" si="234"/>
        <v/>
      </c>
      <c r="N1433" s="51" t="str">
        <f t="shared" si="235"/>
        <v/>
      </c>
      <c r="O1433" s="52" t="str">
        <f t="shared" si="236"/>
        <v/>
      </c>
      <c r="P1433" s="88">
        <f t="shared" si="237"/>
        <v>0</v>
      </c>
      <c r="Q1433" s="88">
        <f t="shared" si="238"/>
        <v>0</v>
      </c>
      <c r="R1433" s="88" t="e">
        <f>-IF(Tabla14[[#This Row],[DIAS HABILES O MORA]]&lt;0,(Tabla14[[#This Row],[VALOR PRESTAMO]]*Tabla14[[#This Row],[% INTERES ]]/30*U1433))+Tabla14[[#This Row],[VALOR CUOTAS]]</f>
        <v>#VALUE!</v>
      </c>
      <c r="S1433" s="88">
        <f>-IF(Tabla14[[#This Row],[DIAS HABILES O MORA]]&lt;0,(Tabla14[[#This Row],[VALOR PRESTAMO]]*Tabla14[[#This Row],[% INTERES ]]/30*U1433))</f>
        <v>0</v>
      </c>
      <c r="T1433" s="53" t="e">
        <f>Tabla14[[#This Row],[DEUDA CAPITAL]]+Tabla14[[#This Row],[INTERES  CUOTA]]</f>
        <v>#NUM!</v>
      </c>
      <c r="U1433" s="61" t="str">
        <f t="shared" si="239"/>
        <v/>
      </c>
    </row>
    <row r="1434" spans="9:21" ht="24.75" customHeight="1" x14ac:dyDescent="0.35">
      <c r="I1434" s="42">
        <f t="shared" si="230"/>
        <v>0</v>
      </c>
      <c r="J1434" s="65" t="e">
        <f t="shared" si="231"/>
        <v>#NUM!</v>
      </c>
      <c r="K1434" s="83" t="e">
        <f t="shared" si="232"/>
        <v>#NUM!</v>
      </c>
      <c r="L1434" s="83">
        <f t="shared" si="233"/>
        <v>0</v>
      </c>
      <c r="M1434" s="110" t="str">
        <f t="shared" si="234"/>
        <v/>
      </c>
      <c r="N1434" s="51" t="str">
        <f t="shared" si="235"/>
        <v/>
      </c>
      <c r="O1434" s="52" t="str">
        <f t="shared" si="236"/>
        <v/>
      </c>
      <c r="P1434" s="88">
        <f t="shared" si="237"/>
        <v>0</v>
      </c>
      <c r="Q1434" s="88">
        <f t="shared" si="238"/>
        <v>0</v>
      </c>
      <c r="R1434" s="88" t="e">
        <f>-IF(Tabla14[[#This Row],[DIAS HABILES O MORA]]&lt;0,(Tabla14[[#This Row],[VALOR PRESTAMO]]*Tabla14[[#This Row],[% INTERES ]]/30*U1434))+Tabla14[[#This Row],[VALOR CUOTAS]]</f>
        <v>#VALUE!</v>
      </c>
      <c r="S1434" s="88">
        <f>-IF(Tabla14[[#This Row],[DIAS HABILES O MORA]]&lt;0,(Tabla14[[#This Row],[VALOR PRESTAMO]]*Tabla14[[#This Row],[% INTERES ]]/30*U1434))</f>
        <v>0</v>
      </c>
      <c r="T1434" s="53" t="e">
        <f>Tabla14[[#This Row],[DEUDA CAPITAL]]+Tabla14[[#This Row],[INTERES  CUOTA]]</f>
        <v>#NUM!</v>
      </c>
      <c r="U1434" s="61" t="str">
        <f t="shared" si="239"/>
        <v/>
      </c>
    </row>
    <row r="1435" spans="9:21" ht="24.75" customHeight="1" x14ac:dyDescent="0.35">
      <c r="I1435" s="42">
        <f t="shared" si="230"/>
        <v>0</v>
      </c>
      <c r="J1435" s="65" t="e">
        <f t="shared" si="231"/>
        <v>#NUM!</v>
      </c>
      <c r="K1435" s="83" t="e">
        <f t="shared" si="232"/>
        <v>#NUM!</v>
      </c>
      <c r="L1435" s="83">
        <f t="shared" si="233"/>
        <v>0</v>
      </c>
      <c r="M1435" s="110" t="str">
        <f t="shared" si="234"/>
        <v/>
      </c>
      <c r="N1435" s="51" t="str">
        <f t="shared" si="235"/>
        <v/>
      </c>
      <c r="O1435" s="52" t="str">
        <f t="shared" si="236"/>
        <v/>
      </c>
      <c r="P1435" s="88">
        <f t="shared" si="237"/>
        <v>0</v>
      </c>
      <c r="Q1435" s="88">
        <f t="shared" si="238"/>
        <v>0</v>
      </c>
      <c r="R1435" s="88" t="e">
        <f>-IF(Tabla14[[#This Row],[DIAS HABILES O MORA]]&lt;0,(Tabla14[[#This Row],[VALOR PRESTAMO]]*Tabla14[[#This Row],[% INTERES ]]/30*U1435))+Tabla14[[#This Row],[VALOR CUOTAS]]</f>
        <v>#VALUE!</v>
      </c>
      <c r="S1435" s="88">
        <f>-IF(Tabla14[[#This Row],[DIAS HABILES O MORA]]&lt;0,(Tabla14[[#This Row],[VALOR PRESTAMO]]*Tabla14[[#This Row],[% INTERES ]]/30*U1435))</f>
        <v>0</v>
      </c>
      <c r="T1435" s="53" t="e">
        <f>Tabla14[[#This Row],[DEUDA CAPITAL]]+Tabla14[[#This Row],[INTERES  CUOTA]]</f>
        <v>#NUM!</v>
      </c>
      <c r="U1435" s="61" t="str">
        <f t="shared" si="239"/>
        <v/>
      </c>
    </row>
    <row r="1436" spans="9:21" ht="24.75" customHeight="1" x14ac:dyDescent="0.35">
      <c r="I1436" s="42">
        <f t="shared" si="230"/>
        <v>0</v>
      </c>
      <c r="J1436" s="65" t="e">
        <f t="shared" si="231"/>
        <v>#NUM!</v>
      </c>
      <c r="K1436" s="83" t="e">
        <f t="shared" si="232"/>
        <v>#NUM!</v>
      </c>
      <c r="L1436" s="83">
        <f t="shared" si="233"/>
        <v>0</v>
      </c>
      <c r="M1436" s="110" t="str">
        <f t="shared" si="234"/>
        <v/>
      </c>
      <c r="N1436" s="51" t="str">
        <f t="shared" si="235"/>
        <v/>
      </c>
      <c r="O1436" s="52" t="str">
        <f t="shared" si="236"/>
        <v/>
      </c>
      <c r="P1436" s="88">
        <f t="shared" si="237"/>
        <v>0</v>
      </c>
      <c r="Q1436" s="88">
        <f t="shared" si="238"/>
        <v>0</v>
      </c>
      <c r="R1436" s="88" t="e">
        <f>-IF(Tabla14[[#This Row],[DIAS HABILES O MORA]]&lt;0,(Tabla14[[#This Row],[VALOR PRESTAMO]]*Tabla14[[#This Row],[% INTERES ]]/30*U1436))+Tabla14[[#This Row],[VALOR CUOTAS]]</f>
        <v>#VALUE!</v>
      </c>
      <c r="S1436" s="88">
        <f>-IF(Tabla14[[#This Row],[DIAS HABILES O MORA]]&lt;0,(Tabla14[[#This Row],[VALOR PRESTAMO]]*Tabla14[[#This Row],[% INTERES ]]/30*U1436))</f>
        <v>0</v>
      </c>
      <c r="T1436" s="53" t="e">
        <f>Tabla14[[#This Row],[DEUDA CAPITAL]]+Tabla14[[#This Row],[INTERES  CUOTA]]</f>
        <v>#NUM!</v>
      </c>
      <c r="U1436" s="61" t="str">
        <f t="shared" si="239"/>
        <v/>
      </c>
    </row>
    <row r="1437" spans="9:21" ht="24.75" customHeight="1" x14ac:dyDescent="0.35">
      <c r="I1437" s="42">
        <f t="shared" si="230"/>
        <v>0</v>
      </c>
      <c r="J1437" s="65" t="e">
        <f t="shared" si="231"/>
        <v>#NUM!</v>
      </c>
      <c r="K1437" s="83" t="e">
        <f t="shared" si="232"/>
        <v>#NUM!</v>
      </c>
      <c r="L1437" s="83">
        <f t="shared" si="233"/>
        <v>0</v>
      </c>
      <c r="M1437" s="110" t="str">
        <f t="shared" si="234"/>
        <v/>
      </c>
      <c r="N1437" s="51" t="str">
        <f t="shared" si="235"/>
        <v/>
      </c>
      <c r="O1437" s="52" t="str">
        <f t="shared" si="236"/>
        <v/>
      </c>
      <c r="P1437" s="88">
        <f t="shared" si="237"/>
        <v>0</v>
      </c>
      <c r="Q1437" s="88">
        <f t="shared" si="238"/>
        <v>0</v>
      </c>
      <c r="R1437" s="88" t="e">
        <f>-IF(Tabla14[[#This Row],[DIAS HABILES O MORA]]&lt;0,(Tabla14[[#This Row],[VALOR PRESTAMO]]*Tabla14[[#This Row],[% INTERES ]]/30*U1437))+Tabla14[[#This Row],[VALOR CUOTAS]]</f>
        <v>#VALUE!</v>
      </c>
      <c r="S1437" s="88">
        <f>-IF(Tabla14[[#This Row],[DIAS HABILES O MORA]]&lt;0,(Tabla14[[#This Row],[VALOR PRESTAMO]]*Tabla14[[#This Row],[% INTERES ]]/30*U1437))</f>
        <v>0</v>
      </c>
      <c r="T1437" s="53" t="e">
        <f>Tabla14[[#This Row],[DEUDA CAPITAL]]+Tabla14[[#This Row],[INTERES  CUOTA]]</f>
        <v>#NUM!</v>
      </c>
      <c r="U1437" s="61" t="str">
        <f t="shared" si="239"/>
        <v/>
      </c>
    </row>
    <row r="1438" spans="9:21" ht="24.75" customHeight="1" x14ac:dyDescent="0.35">
      <c r="I1438" s="42">
        <f t="shared" si="230"/>
        <v>0</v>
      </c>
      <c r="J1438" s="65" t="e">
        <f t="shared" si="231"/>
        <v>#NUM!</v>
      </c>
      <c r="K1438" s="83" t="e">
        <f t="shared" si="232"/>
        <v>#NUM!</v>
      </c>
      <c r="L1438" s="83">
        <f t="shared" si="233"/>
        <v>0</v>
      </c>
      <c r="M1438" s="110" t="str">
        <f t="shared" si="234"/>
        <v/>
      </c>
      <c r="N1438" s="51" t="str">
        <f t="shared" si="235"/>
        <v/>
      </c>
      <c r="O1438" s="52" t="str">
        <f t="shared" si="236"/>
        <v/>
      </c>
      <c r="P1438" s="88">
        <f t="shared" si="237"/>
        <v>0</v>
      </c>
      <c r="Q1438" s="88">
        <f t="shared" si="238"/>
        <v>0</v>
      </c>
      <c r="R1438" s="88" t="e">
        <f>-IF(Tabla14[[#This Row],[DIAS HABILES O MORA]]&lt;0,(Tabla14[[#This Row],[VALOR PRESTAMO]]*Tabla14[[#This Row],[% INTERES ]]/30*U1438))+Tabla14[[#This Row],[VALOR CUOTAS]]</f>
        <v>#VALUE!</v>
      </c>
      <c r="S1438" s="88">
        <f>-IF(Tabla14[[#This Row],[DIAS HABILES O MORA]]&lt;0,(Tabla14[[#This Row],[VALOR PRESTAMO]]*Tabla14[[#This Row],[% INTERES ]]/30*U1438))</f>
        <v>0</v>
      </c>
      <c r="T1438" s="53" t="e">
        <f>Tabla14[[#This Row],[DEUDA CAPITAL]]+Tabla14[[#This Row],[INTERES  CUOTA]]</f>
        <v>#NUM!</v>
      </c>
      <c r="U1438" s="61" t="str">
        <f t="shared" si="239"/>
        <v/>
      </c>
    </row>
    <row r="1439" spans="9:21" ht="24.75" customHeight="1" x14ac:dyDescent="0.35">
      <c r="I1439" s="42">
        <f t="shared" si="230"/>
        <v>0</v>
      </c>
      <c r="J1439" s="65" t="e">
        <f t="shared" si="231"/>
        <v>#NUM!</v>
      </c>
      <c r="K1439" s="83" t="e">
        <f t="shared" si="232"/>
        <v>#NUM!</v>
      </c>
      <c r="L1439" s="83">
        <f t="shared" si="233"/>
        <v>0</v>
      </c>
      <c r="M1439" s="110" t="str">
        <f t="shared" si="234"/>
        <v/>
      </c>
      <c r="N1439" s="51" t="str">
        <f t="shared" si="235"/>
        <v/>
      </c>
      <c r="O1439" s="52" t="str">
        <f t="shared" si="236"/>
        <v/>
      </c>
      <c r="P1439" s="88">
        <f t="shared" si="237"/>
        <v>0</v>
      </c>
      <c r="Q1439" s="88">
        <f t="shared" si="238"/>
        <v>0</v>
      </c>
      <c r="R1439" s="88" t="e">
        <f>-IF(Tabla14[[#This Row],[DIAS HABILES O MORA]]&lt;0,(Tabla14[[#This Row],[VALOR PRESTAMO]]*Tabla14[[#This Row],[% INTERES ]]/30*U1439))+Tabla14[[#This Row],[VALOR CUOTAS]]</f>
        <v>#VALUE!</v>
      </c>
      <c r="S1439" s="88">
        <f>-IF(Tabla14[[#This Row],[DIAS HABILES O MORA]]&lt;0,(Tabla14[[#This Row],[VALOR PRESTAMO]]*Tabla14[[#This Row],[% INTERES ]]/30*U1439))</f>
        <v>0</v>
      </c>
      <c r="T1439" s="53" t="e">
        <f>Tabla14[[#This Row],[DEUDA CAPITAL]]+Tabla14[[#This Row],[INTERES  CUOTA]]</f>
        <v>#NUM!</v>
      </c>
      <c r="U1439" s="61" t="str">
        <f t="shared" si="239"/>
        <v/>
      </c>
    </row>
    <row r="1440" spans="9:21" ht="24.75" customHeight="1" x14ac:dyDescent="0.35">
      <c r="I1440" s="42">
        <f t="shared" si="230"/>
        <v>0</v>
      </c>
      <c r="J1440" s="65" t="e">
        <f t="shared" si="231"/>
        <v>#NUM!</v>
      </c>
      <c r="K1440" s="83" t="e">
        <f t="shared" si="232"/>
        <v>#NUM!</v>
      </c>
      <c r="L1440" s="83">
        <f t="shared" si="233"/>
        <v>0</v>
      </c>
      <c r="M1440" s="110" t="str">
        <f t="shared" si="234"/>
        <v/>
      </c>
      <c r="N1440" s="51" t="str">
        <f t="shared" si="235"/>
        <v/>
      </c>
      <c r="O1440" s="52" t="str">
        <f t="shared" si="236"/>
        <v/>
      </c>
      <c r="P1440" s="88">
        <f t="shared" si="237"/>
        <v>0</v>
      </c>
      <c r="Q1440" s="88">
        <f t="shared" si="238"/>
        <v>0</v>
      </c>
      <c r="R1440" s="88" t="e">
        <f>-IF(Tabla14[[#This Row],[DIAS HABILES O MORA]]&lt;0,(Tabla14[[#This Row],[VALOR PRESTAMO]]*Tabla14[[#This Row],[% INTERES ]]/30*U1440))+Tabla14[[#This Row],[VALOR CUOTAS]]</f>
        <v>#VALUE!</v>
      </c>
      <c r="S1440" s="88">
        <f>-IF(Tabla14[[#This Row],[DIAS HABILES O MORA]]&lt;0,(Tabla14[[#This Row],[VALOR PRESTAMO]]*Tabla14[[#This Row],[% INTERES ]]/30*U1440))</f>
        <v>0</v>
      </c>
      <c r="T1440" s="53" t="e">
        <f>Tabla14[[#This Row],[DEUDA CAPITAL]]+Tabla14[[#This Row],[INTERES  CUOTA]]</f>
        <v>#NUM!</v>
      </c>
      <c r="U1440" s="61" t="str">
        <f t="shared" si="239"/>
        <v/>
      </c>
    </row>
    <row r="1441" spans="9:21" ht="24.75" customHeight="1" x14ac:dyDescent="0.35">
      <c r="I1441" s="42">
        <f t="shared" si="230"/>
        <v>0</v>
      </c>
      <c r="J1441" s="65" t="e">
        <f t="shared" si="231"/>
        <v>#NUM!</v>
      </c>
      <c r="K1441" s="83" t="e">
        <f t="shared" si="232"/>
        <v>#NUM!</v>
      </c>
      <c r="L1441" s="83">
        <f t="shared" si="233"/>
        <v>0</v>
      </c>
      <c r="M1441" s="110" t="str">
        <f t="shared" si="234"/>
        <v/>
      </c>
      <c r="N1441" s="51" t="str">
        <f t="shared" si="235"/>
        <v/>
      </c>
      <c r="O1441" s="52" t="str">
        <f t="shared" si="236"/>
        <v/>
      </c>
      <c r="P1441" s="88">
        <f t="shared" si="237"/>
        <v>0</v>
      </c>
      <c r="Q1441" s="88">
        <f t="shared" si="238"/>
        <v>0</v>
      </c>
      <c r="R1441" s="88" t="e">
        <f>-IF(Tabla14[[#This Row],[DIAS HABILES O MORA]]&lt;0,(Tabla14[[#This Row],[VALOR PRESTAMO]]*Tabla14[[#This Row],[% INTERES ]]/30*U1441))+Tabla14[[#This Row],[VALOR CUOTAS]]</f>
        <v>#VALUE!</v>
      </c>
      <c r="S1441" s="88">
        <f>-IF(Tabla14[[#This Row],[DIAS HABILES O MORA]]&lt;0,(Tabla14[[#This Row],[VALOR PRESTAMO]]*Tabla14[[#This Row],[% INTERES ]]/30*U1441))</f>
        <v>0</v>
      </c>
      <c r="T1441" s="53" t="e">
        <f>Tabla14[[#This Row],[DEUDA CAPITAL]]+Tabla14[[#This Row],[INTERES  CUOTA]]</f>
        <v>#NUM!</v>
      </c>
      <c r="U1441" s="61" t="str">
        <f t="shared" si="239"/>
        <v/>
      </c>
    </row>
    <row r="1442" spans="9:21" ht="24.75" customHeight="1" x14ac:dyDescent="0.35">
      <c r="I1442" s="42">
        <f t="shared" si="230"/>
        <v>0</v>
      </c>
      <c r="J1442" s="65" t="e">
        <f t="shared" si="231"/>
        <v>#NUM!</v>
      </c>
      <c r="K1442" s="83" t="e">
        <f t="shared" si="232"/>
        <v>#NUM!</v>
      </c>
      <c r="L1442" s="83">
        <f t="shared" si="233"/>
        <v>0</v>
      </c>
      <c r="M1442" s="110" t="str">
        <f t="shared" si="234"/>
        <v/>
      </c>
      <c r="N1442" s="51" t="str">
        <f t="shared" si="235"/>
        <v/>
      </c>
      <c r="O1442" s="52" t="str">
        <f t="shared" si="236"/>
        <v/>
      </c>
      <c r="P1442" s="88">
        <f t="shared" si="237"/>
        <v>0</v>
      </c>
      <c r="Q1442" s="88">
        <f t="shared" si="238"/>
        <v>0</v>
      </c>
      <c r="R1442" s="88" t="e">
        <f>-IF(Tabla14[[#This Row],[DIAS HABILES O MORA]]&lt;0,(Tabla14[[#This Row],[VALOR PRESTAMO]]*Tabla14[[#This Row],[% INTERES ]]/30*U1442))+Tabla14[[#This Row],[VALOR CUOTAS]]</f>
        <v>#VALUE!</v>
      </c>
      <c r="S1442" s="88">
        <f>-IF(Tabla14[[#This Row],[DIAS HABILES O MORA]]&lt;0,(Tabla14[[#This Row],[VALOR PRESTAMO]]*Tabla14[[#This Row],[% INTERES ]]/30*U1442))</f>
        <v>0</v>
      </c>
      <c r="T1442" s="53" t="e">
        <f>Tabla14[[#This Row],[DEUDA CAPITAL]]+Tabla14[[#This Row],[INTERES  CUOTA]]</f>
        <v>#NUM!</v>
      </c>
      <c r="U1442" s="61" t="str">
        <f t="shared" si="239"/>
        <v/>
      </c>
    </row>
    <row r="1443" spans="9:21" ht="24.75" customHeight="1" x14ac:dyDescent="0.35">
      <c r="I1443" s="42">
        <f t="shared" si="230"/>
        <v>0</v>
      </c>
      <c r="J1443" s="65" t="e">
        <f t="shared" si="231"/>
        <v>#NUM!</v>
      </c>
      <c r="K1443" s="83" t="e">
        <f t="shared" si="232"/>
        <v>#NUM!</v>
      </c>
      <c r="L1443" s="83">
        <f t="shared" si="233"/>
        <v>0</v>
      </c>
      <c r="M1443" s="110" t="str">
        <f t="shared" si="234"/>
        <v/>
      </c>
      <c r="N1443" s="51" t="str">
        <f t="shared" si="235"/>
        <v/>
      </c>
      <c r="O1443" s="52" t="str">
        <f t="shared" si="236"/>
        <v/>
      </c>
      <c r="P1443" s="88">
        <f t="shared" si="237"/>
        <v>0</v>
      </c>
      <c r="Q1443" s="88">
        <f t="shared" si="238"/>
        <v>0</v>
      </c>
      <c r="R1443" s="88" t="e">
        <f>-IF(Tabla14[[#This Row],[DIAS HABILES O MORA]]&lt;0,(Tabla14[[#This Row],[VALOR PRESTAMO]]*Tabla14[[#This Row],[% INTERES ]]/30*U1443))+Tabla14[[#This Row],[VALOR CUOTAS]]</f>
        <v>#VALUE!</v>
      </c>
      <c r="S1443" s="88">
        <f>-IF(Tabla14[[#This Row],[DIAS HABILES O MORA]]&lt;0,(Tabla14[[#This Row],[VALOR PRESTAMO]]*Tabla14[[#This Row],[% INTERES ]]/30*U1443))</f>
        <v>0</v>
      </c>
      <c r="T1443" s="53" t="e">
        <f>Tabla14[[#This Row],[DEUDA CAPITAL]]+Tabla14[[#This Row],[INTERES  CUOTA]]</f>
        <v>#NUM!</v>
      </c>
      <c r="U1443" s="61" t="str">
        <f t="shared" si="239"/>
        <v/>
      </c>
    </row>
    <row r="1444" spans="9:21" ht="24.75" customHeight="1" x14ac:dyDescent="0.35">
      <c r="I1444" s="42">
        <f t="shared" si="230"/>
        <v>0</v>
      </c>
      <c r="J1444" s="65" t="e">
        <f t="shared" si="231"/>
        <v>#NUM!</v>
      </c>
      <c r="K1444" s="83" t="e">
        <f t="shared" si="232"/>
        <v>#NUM!</v>
      </c>
      <c r="L1444" s="83">
        <f t="shared" si="233"/>
        <v>0</v>
      </c>
      <c r="M1444" s="110" t="str">
        <f t="shared" si="234"/>
        <v/>
      </c>
      <c r="N1444" s="51" t="str">
        <f t="shared" si="235"/>
        <v/>
      </c>
      <c r="O1444" s="52" t="str">
        <f t="shared" si="236"/>
        <v/>
      </c>
      <c r="P1444" s="88">
        <f t="shared" si="237"/>
        <v>0</v>
      </c>
      <c r="Q1444" s="88">
        <f t="shared" si="238"/>
        <v>0</v>
      </c>
      <c r="R1444" s="88" t="e">
        <f>-IF(Tabla14[[#This Row],[DIAS HABILES O MORA]]&lt;0,(Tabla14[[#This Row],[VALOR PRESTAMO]]*Tabla14[[#This Row],[% INTERES ]]/30*U1444))+Tabla14[[#This Row],[VALOR CUOTAS]]</f>
        <v>#VALUE!</v>
      </c>
      <c r="S1444" s="88">
        <f>-IF(Tabla14[[#This Row],[DIAS HABILES O MORA]]&lt;0,(Tabla14[[#This Row],[VALOR PRESTAMO]]*Tabla14[[#This Row],[% INTERES ]]/30*U1444))</f>
        <v>0</v>
      </c>
      <c r="T1444" s="53" t="e">
        <f>Tabla14[[#This Row],[DEUDA CAPITAL]]+Tabla14[[#This Row],[INTERES  CUOTA]]</f>
        <v>#NUM!</v>
      </c>
      <c r="U1444" s="61" t="str">
        <f t="shared" si="239"/>
        <v/>
      </c>
    </row>
    <row r="1445" spans="9:21" ht="24.75" customHeight="1" x14ac:dyDescent="0.35">
      <c r="I1445" s="42">
        <f t="shared" si="230"/>
        <v>0</v>
      </c>
      <c r="J1445" s="65" t="e">
        <f t="shared" si="231"/>
        <v>#NUM!</v>
      </c>
      <c r="K1445" s="83" t="e">
        <f t="shared" si="232"/>
        <v>#NUM!</v>
      </c>
      <c r="L1445" s="83">
        <f t="shared" si="233"/>
        <v>0</v>
      </c>
      <c r="M1445" s="110" t="str">
        <f t="shared" si="234"/>
        <v/>
      </c>
      <c r="N1445" s="51" t="str">
        <f t="shared" si="235"/>
        <v/>
      </c>
      <c r="O1445" s="52" t="str">
        <f t="shared" si="236"/>
        <v/>
      </c>
      <c r="P1445" s="88">
        <f t="shared" si="237"/>
        <v>0</v>
      </c>
      <c r="Q1445" s="88">
        <f t="shared" si="238"/>
        <v>0</v>
      </c>
      <c r="R1445" s="88" t="e">
        <f>-IF(Tabla14[[#This Row],[DIAS HABILES O MORA]]&lt;0,(Tabla14[[#This Row],[VALOR PRESTAMO]]*Tabla14[[#This Row],[% INTERES ]]/30*U1445))+Tabla14[[#This Row],[VALOR CUOTAS]]</f>
        <v>#VALUE!</v>
      </c>
      <c r="S1445" s="88">
        <f>-IF(Tabla14[[#This Row],[DIAS HABILES O MORA]]&lt;0,(Tabla14[[#This Row],[VALOR PRESTAMO]]*Tabla14[[#This Row],[% INTERES ]]/30*U1445))</f>
        <v>0</v>
      </c>
      <c r="T1445" s="53" t="e">
        <f>Tabla14[[#This Row],[DEUDA CAPITAL]]+Tabla14[[#This Row],[INTERES  CUOTA]]</f>
        <v>#NUM!</v>
      </c>
      <c r="U1445" s="61" t="str">
        <f t="shared" si="239"/>
        <v/>
      </c>
    </row>
    <row r="1446" spans="9:21" ht="24.75" customHeight="1" x14ac:dyDescent="0.35">
      <c r="I1446" s="42">
        <f t="shared" si="230"/>
        <v>0</v>
      </c>
      <c r="J1446" s="65" t="e">
        <f t="shared" si="231"/>
        <v>#NUM!</v>
      </c>
      <c r="K1446" s="83" t="e">
        <f t="shared" si="232"/>
        <v>#NUM!</v>
      </c>
      <c r="L1446" s="83">
        <f t="shared" si="233"/>
        <v>0</v>
      </c>
      <c r="M1446" s="110" t="str">
        <f t="shared" si="234"/>
        <v/>
      </c>
      <c r="N1446" s="51" t="str">
        <f t="shared" si="235"/>
        <v/>
      </c>
      <c r="O1446" s="52" t="str">
        <f t="shared" si="236"/>
        <v/>
      </c>
      <c r="P1446" s="88">
        <f t="shared" si="237"/>
        <v>0</v>
      </c>
      <c r="Q1446" s="88">
        <f t="shared" si="238"/>
        <v>0</v>
      </c>
      <c r="R1446" s="88" t="e">
        <f>-IF(Tabla14[[#This Row],[DIAS HABILES O MORA]]&lt;0,(Tabla14[[#This Row],[VALOR PRESTAMO]]*Tabla14[[#This Row],[% INTERES ]]/30*U1446))+Tabla14[[#This Row],[VALOR CUOTAS]]</f>
        <v>#VALUE!</v>
      </c>
      <c r="S1446" s="88">
        <f>-IF(Tabla14[[#This Row],[DIAS HABILES O MORA]]&lt;0,(Tabla14[[#This Row],[VALOR PRESTAMO]]*Tabla14[[#This Row],[% INTERES ]]/30*U1446))</f>
        <v>0</v>
      </c>
      <c r="T1446" s="53" t="e">
        <f>Tabla14[[#This Row],[DEUDA CAPITAL]]+Tabla14[[#This Row],[INTERES  CUOTA]]</f>
        <v>#NUM!</v>
      </c>
      <c r="U1446" s="61" t="str">
        <f t="shared" si="239"/>
        <v/>
      </c>
    </row>
    <row r="1447" spans="9:21" ht="24.75" customHeight="1" x14ac:dyDescent="0.35">
      <c r="I1447" s="42">
        <f t="shared" si="230"/>
        <v>0</v>
      </c>
      <c r="J1447" s="65" t="e">
        <f t="shared" si="231"/>
        <v>#NUM!</v>
      </c>
      <c r="K1447" s="83" t="e">
        <f t="shared" si="232"/>
        <v>#NUM!</v>
      </c>
      <c r="L1447" s="83">
        <f t="shared" si="233"/>
        <v>0</v>
      </c>
      <c r="M1447" s="110" t="str">
        <f t="shared" si="234"/>
        <v/>
      </c>
      <c r="N1447" s="51" t="str">
        <f t="shared" si="235"/>
        <v/>
      </c>
      <c r="O1447" s="52" t="str">
        <f t="shared" si="236"/>
        <v/>
      </c>
      <c r="P1447" s="88">
        <f t="shared" si="237"/>
        <v>0</v>
      </c>
      <c r="Q1447" s="88">
        <f t="shared" si="238"/>
        <v>0</v>
      </c>
      <c r="R1447" s="88" t="e">
        <f>-IF(Tabla14[[#This Row],[DIAS HABILES O MORA]]&lt;0,(Tabla14[[#This Row],[VALOR PRESTAMO]]*Tabla14[[#This Row],[% INTERES ]]/30*U1447))+Tabla14[[#This Row],[VALOR CUOTAS]]</f>
        <v>#VALUE!</v>
      </c>
      <c r="S1447" s="88">
        <f>-IF(Tabla14[[#This Row],[DIAS HABILES O MORA]]&lt;0,(Tabla14[[#This Row],[VALOR PRESTAMO]]*Tabla14[[#This Row],[% INTERES ]]/30*U1447))</f>
        <v>0</v>
      </c>
      <c r="T1447" s="53" t="e">
        <f>Tabla14[[#This Row],[DEUDA CAPITAL]]+Tabla14[[#This Row],[INTERES  CUOTA]]</f>
        <v>#NUM!</v>
      </c>
      <c r="U1447" s="61" t="str">
        <f t="shared" si="239"/>
        <v/>
      </c>
    </row>
    <row r="1448" spans="9:21" ht="24.75" customHeight="1" x14ac:dyDescent="0.35">
      <c r="I1448" s="42">
        <f t="shared" si="230"/>
        <v>0</v>
      </c>
      <c r="J1448" s="65" t="e">
        <f t="shared" si="231"/>
        <v>#NUM!</v>
      </c>
      <c r="K1448" s="83" t="e">
        <f t="shared" si="232"/>
        <v>#NUM!</v>
      </c>
      <c r="L1448" s="83">
        <f t="shared" si="233"/>
        <v>0</v>
      </c>
      <c r="M1448" s="110" t="str">
        <f t="shared" si="234"/>
        <v/>
      </c>
      <c r="N1448" s="51" t="str">
        <f t="shared" si="235"/>
        <v/>
      </c>
      <c r="O1448" s="52" t="str">
        <f t="shared" si="236"/>
        <v/>
      </c>
      <c r="P1448" s="88">
        <f t="shared" si="237"/>
        <v>0</v>
      </c>
      <c r="Q1448" s="88">
        <f t="shared" si="238"/>
        <v>0</v>
      </c>
      <c r="R1448" s="88" t="e">
        <f>-IF(Tabla14[[#This Row],[DIAS HABILES O MORA]]&lt;0,(Tabla14[[#This Row],[VALOR PRESTAMO]]*Tabla14[[#This Row],[% INTERES ]]/30*U1448))+Tabla14[[#This Row],[VALOR CUOTAS]]</f>
        <v>#VALUE!</v>
      </c>
      <c r="S1448" s="88">
        <f>-IF(Tabla14[[#This Row],[DIAS HABILES O MORA]]&lt;0,(Tabla14[[#This Row],[VALOR PRESTAMO]]*Tabla14[[#This Row],[% INTERES ]]/30*U1448))</f>
        <v>0</v>
      </c>
      <c r="T1448" s="53" t="e">
        <f>Tabla14[[#This Row],[DEUDA CAPITAL]]+Tabla14[[#This Row],[INTERES  CUOTA]]</f>
        <v>#NUM!</v>
      </c>
      <c r="U1448" s="61" t="str">
        <f t="shared" si="239"/>
        <v/>
      </c>
    </row>
    <row r="1449" spans="9:21" ht="24.75" customHeight="1" x14ac:dyDescent="0.35">
      <c r="I1449" s="42">
        <f t="shared" si="230"/>
        <v>0</v>
      </c>
      <c r="J1449" s="65" t="e">
        <f t="shared" si="231"/>
        <v>#NUM!</v>
      </c>
      <c r="K1449" s="83" t="e">
        <f t="shared" si="232"/>
        <v>#NUM!</v>
      </c>
      <c r="L1449" s="83">
        <f t="shared" si="233"/>
        <v>0</v>
      </c>
      <c r="M1449" s="110" t="str">
        <f t="shared" si="234"/>
        <v/>
      </c>
      <c r="N1449" s="51" t="str">
        <f t="shared" si="235"/>
        <v/>
      </c>
      <c r="O1449" s="52" t="str">
        <f t="shared" si="236"/>
        <v/>
      </c>
      <c r="P1449" s="88">
        <f t="shared" si="237"/>
        <v>0</v>
      </c>
      <c r="Q1449" s="88">
        <f t="shared" si="238"/>
        <v>0</v>
      </c>
      <c r="R1449" s="88" t="e">
        <f>-IF(Tabla14[[#This Row],[DIAS HABILES O MORA]]&lt;0,(Tabla14[[#This Row],[VALOR PRESTAMO]]*Tabla14[[#This Row],[% INTERES ]]/30*U1449))+Tabla14[[#This Row],[VALOR CUOTAS]]</f>
        <v>#VALUE!</v>
      </c>
      <c r="S1449" s="88">
        <f>-IF(Tabla14[[#This Row],[DIAS HABILES O MORA]]&lt;0,(Tabla14[[#This Row],[VALOR PRESTAMO]]*Tabla14[[#This Row],[% INTERES ]]/30*U1449))</f>
        <v>0</v>
      </c>
      <c r="T1449" s="53" t="e">
        <f>Tabla14[[#This Row],[DEUDA CAPITAL]]+Tabla14[[#This Row],[INTERES  CUOTA]]</f>
        <v>#NUM!</v>
      </c>
      <c r="U1449" s="61" t="str">
        <f t="shared" si="239"/>
        <v/>
      </c>
    </row>
    <row r="1450" spans="9:21" ht="24.75" customHeight="1" x14ac:dyDescent="0.35">
      <c r="I1450" s="42">
        <f t="shared" si="230"/>
        <v>0</v>
      </c>
      <c r="J1450" s="65" t="e">
        <f t="shared" si="231"/>
        <v>#NUM!</v>
      </c>
      <c r="K1450" s="83" t="e">
        <f t="shared" si="232"/>
        <v>#NUM!</v>
      </c>
      <c r="L1450" s="83">
        <f t="shared" si="233"/>
        <v>0</v>
      </c>
      <c r="M1450" s="110" t="str">
        <f t="shared" si="234"/>
        <v/>
      </c>
      <c r="N1450" s="51" t="str">
        <f t="shared" si="235"/>
        <v/>
      </c>
      <c r="O1450" s="52" t="str">
        <f t="shared" si="236"/>
        <v/>
      </c>
      <c r="P1450" s="88">
        <f t="shared" si="237"/>
        <v>0</v>
      </c>
      <c r="Q1450" s="88">
        <f t="shared" si="238"/>
        <v>0</v>
      </c>
      <c r="R1450" s="88" t="e">
        <f>-IF(Tabla14[[#This Row],[DIAS HABILES O MORA]]&lt;0,(Tabla14[[#This Row],[VALOR PRESTAMO]]*Tabla14[[#This Row],[% INTERES ]]/30*U1450))+Tabla14[[#This Row],[VALOR CUOTAS]]</f>
        <v>#VALUE!</v>
      </c>
      <c r="S1450" s="88">
        <f>-IF(Tabla14[[#This Row],[DIAS HABILES O MORA]]&lt;0,(Tabla14[[#This Row],[VALOR PRESTAMO]]*Tabla14[[#This Row],[% INTERES ]]/30*U1450))</f>
        <v>0</v>
      </c>
      <c r="T1450" s="53" t="e">
        <f>Tabla14[[#This Row],[DEUDA CAPITAL]]+Tabla14[[#This Row],[INTERES  CUOTA]]</f>
        <v>#NUM!</v>
      </c>
      <c r="U1450" s="61" t="str">
        <f t="shared" si="239"/>
        <v/>
      </c>
    </row>
    <row r="1451" spans="9:21" ht="24.75" customHeight="1" x14ac:dyDescent="0.35">
      <c r="I1451" s="42">
        <f t="shared" si="230"/>
        <v>0</v>
      </c>
      <c r="J1451" s="65" t="e">
        <f t="shared" si="231"/>
        <v>#NUM!</v>
      </c>
      <c r="K1451" s="83" t="e">
        <f t="shared" si="232"/>
        <v>#NUM!</v>
      </c>
      <c r="L1451" s="83">
        <f t="shared" si="233"/>
        <v>0</v>
      </c>
      <c r="M1451" s="110" t="str">
        <f t="shared" si="234"/>
        <v/>
      </c>
      <c r="N1451" s="51" t="str">
        <f t="shared" si="235"/>
        <v/>
      </c>
      <c r="O1451" s="52" t="str">
        <f t="shared" si="236"/>
        <v/>
      </c>
      <c r="P1451" s="88">
        <f t="shared" si="237"/>
        <v>0</v>
      </c>
      <c r="Q1451" s="88">
        <f t="shared" si="238"/>
        <v>0</v>
      </c>
      <c r="R1451" s="88" t="e">
        <f>-IF(Tabla14[[#This Row],[DIAS HABILES O MORA]]&lt;0,(Tabla14[[#This Row],[VALOR PRESTAMO]]*Tabla14[[#This Row],[% INTERES ]]/30*U1451))+Tabla14[[#This Row],[VALOR CUOTAS]]</f>
        <v>#VALUE!</v>
      </c>
      <c r="S1451" s="88">
        <f>-IF(Tabla14[[#This Row],[DIAS HABILES O MORA]]&lt;0,(Tabla14[[#This Row],[VALOR PRESTAMO]]*Tabla14[[#This Row],[% INTERES ]]/30*U1451))</f>
        <v>0</v>
      </c>
      <c r="T1451" s="53" t="e">
        <f>Tabla14[[#This Row],[DEUDA CAPITAL]]+Tabla14[[#This Row],[INTERES  CUOTA]]</f>
        <v>#NUM!</v>
      </c>
      <c r="U1451" s="61" t="str">
        <f t="shared" si="239"/>
        <v/>
      </c>
    </row>
    <row r="1452" spans="9:21" ht="24.75" customHeight="1" x14ac:dyDescent="0.35">
      <c r="I1452" s="42">
        <f t="shared" si="230"/>
        <v>0</v>
      </c>
      <c r="J1452" s="65" t="e">
        <f t="shared" si="231"/>
        <v>#NUM!</v>
      </c>
      <c r="K1452" s="83" t="e">
        <f t="shared" si="232"/>
        <v>#NUM!</v>
      </c>
      <c r="L1452" s="83">
        <f t="shared" si="233"/>
        <v>0</v>
      </c>
      <c r="M1452" s="110" t="str">
        <f t="shared" si="234"/>
        <v/>
      </c>
      <c r="N1452" s="51" t="str">
        <f t="shared" si="235"/>
        <v/>
      </c>
      <c r="O1452" s="52" t="str">
        <f t="shared" si="236"/>
        <v/>
      </c>
      <c r="P1452" s="88">
        <f t="shared" si="237"/>
        <v>0</v>
      </c>
      <c r="Q1452" s="88">
        <f t="shared" si="238"/>
        <v>0</v>
      </c>
      <c r="R1452" s="88" t="e">
        <f>-IF(Tabla14[[#This Row],[DIAS HABILES O MORA]]&lt;0,(Tabla14[[#This Row],[VALOR PRESTAMO]]*Tabla14[[#This Row],[% INTERES ]]/30*U1452))+Tabla14[[#This Row],[VALOR CUOTAS]]</f>
        <v>#VALUE!</v>
      </c>
      <c r="S1452" s="88">
        <f>-IF(Tabla14[[#This Row],[DIAS HABILES O MORA]]&lt;0,(Tabla14[[#This Row],[VALOR PRESTAMO]]*Tabla14[[#This Row],[% INTERES ]]/30*U1452))</f>
        <v>0</v>
      </c>
      <c r="T1452" s="53" t="e">
        <f>Tabla14[[#This Row],[DEUDA CAPITAL]]+Tabla14[[#This Row],[INTERES  CUOTA]]</f>
        <v>#NUM!</v>
      </c>
      <c r="U1452" s="61" t="str">
        <f t="shared" si="239"/>
        <v/>
      </c>
    </row>
    <row r="1453" spans="9:21" ht="24.75" customHeight="1" x14ac:dyDescent="0.35">
      <c r="I1453" s="42">
        <f t="shared" si="230"/>
        <v>0</v>
      </c>
      <c r="J1453" s="65" t="e">
        <f t="shared" si="231"/>
        <v>#NUM!</v>
      </c>
      <c r="K1453" s="83" t="e">
        <f t="shared" si="232"/>
        <v>#NUM!</v>
      </c>
      <c r="L1453" s="83">
        <f t="shared" si="233"/>
        <v>0</v>
      </c>
      <c r="M1453" s="110" t="str">
        <f t="shared" si="234"/>
        <v/>
      </c>
      <c r="N1453" s="51" t="str">
        <f t="shared" si="235"/>
        <v/>
      </c>
      <c r="O1453" s="52" t="str">
        <f t="shared" si="236"/>
        <v/>
      </c>
      <c r="P1453" s="88">
        <f t="shared" si="237"/>
        <v>0</v>
      </c>
      <c r="Q1453" s="88">
        <f t="shared" si="238"/>
        <v>0</v>
      </c>
      <c r="R1453" s="88" t="e">
        <f>-IF(Tabla14[[#This Row],[DIAS HABILES O MORA]]&lt;0,(Tabla14[[#This Row],[VALOR PRESTAMO]]*Tabla14[[#This Row],[% INTERES ]]/30*U1453))+Tabla14[[#This Row],[VALOR CUOTAS]]</f>
        <v>#VALUE!</v>
      </c>
      <c r="S1453" s="88">
        <f>-IF(Tabla14[[#This Row],[DIAS HABILES O MORA]]&lt;0,(Tabla14[[#This Row],[VALOR PRESTAMO]]*Tabla14[[#This Row],[% INTERES ]]/30*U1453))</f>
        <v>0</v>
      </c>
      <c r="T1453" s="53" t="e">
        <f>Tabla14[[#This Row],[DEUDA CAPITAL]]+Tabla14[[#This Row],[INTERES  CUOTA]]</f>
        <v>#NUM!</v>
      </c>
      <c r="U1453" s="61" t="str">
        <f t="shared" si="239"/>
        <v/>
      </c>
    </row>
    <row r="1454" spans="9:21" ht="24.75" customHeight="1" x14ac:dyDescent="0.35">
      <c r="I1454" s="42">
        <f t="shared" si="230"/>
        <v>0</v>
      </c>
      <c r="J1454" s="65" t="e">
        <f t="shared" si="231"/>
        <v>#NUM!</v>
      </c>
      <c r="K1454" s="83" t="e">
        <f t="shared" si="232"/>
        <v>#NUM!</v>
      </c>
      <c r="L1454" s="83">
        <f t="shared" si="233"/>
        <v>0</v>
      </c>
      <c r="M1454" s="110" t="str">
        <f t="shared" si="234"/>
        <v/>
      </c>
      <c r="N1454" s="51" t="str">
        <f t="shared" si="235"/>
        <v/>
      </c>
      <c r="O1454" s="52" t="str">
        <f t="shared" si="236"/>
        <v/>
      </c>
      <c r="P1454" s="88">
        <f t="shared" si="237"/>
        <v>0</v>
      </c>
      <c r="Q1454" s="88">
        <f t="shared" si="238"/>
        <v>0</v>
      </c>
      <c r="R1454" s="88" t="e">
        <f>-IF(Tabla14[[#This Row],[DIAS HABILES O MORA]]&lt;0,(Tabla14[[#This Row],[VALOR PRESTAMO]]*Tabla14[[#This Row],[% INTERES ]]/30*U1454))+Tabla14[[#This Row],[VALOR CUOTAS]]</f>
        <v>#VALUE!</v>
      </c>
      <c r="S1454" s="88">
        <f>-IF(Tabla14[[#This Row],[DIAS HABILES O MORA]]&lt;0,(Tabla14[[#This Row],[VALOR PRESTAMO]]*Tabla14[[#This Row],[% INTERES ]]/30*U1454))</f>
        <v>0</v>
      </c>
      <c r="T1454" s="53" t="e">
        <f>Tabla14[[#This Row],[DEUDA CAPITAL]]+Tabla14[[#This Row],[INTERES  CUOTA]]</f>
        <v>#NUM!</v>
      </c>
      <c r="U1454" s="61" t="str">
        <f t="shared" si="239"/>
        <v/>
      </c>
    </row>
    <row r="1455" spans="9:21" ht="24.75" customHeight="1" x14ac:dyDescent="0.35">
      <c r="I1455" s="42">
        <f t="shared" si="230"/>
        <v>0</v>
      </c>
      <c r="J1455" s="65" t="e">
        <f t="shared" si="231"/>
        <v>#NUM!</v>
      </c>
      <c r="K1455" s="83" t="e">
        <f t="shared" si="232"/>
        <v>#NUM!</v>
      </c>
      <c r="L1455" s="83">
        <f t="shared" si="233"/>
        <v>0</v>
      </c>
      <c r="M1455" s="110" t="str">
        <f t="shared" si="234"/>
        <v/>
      </c>
      <c r="N1455" s="51" t="str">
        <f t="shared" si="235"/>
        <v/>
      </c>
      <c r="O1455" s="52" t="str">
        <f t="shared" si="236"/>
        <v/>
      </c>
      <c r="P1455" s="88">
        <f t="shared" si="237"/>
        <v>0</v>
      </c>
      <c r="Q1455" s="88">
        <f t="shared" si="238"/>
        <v>0</v>
      </c>
      <c r="R1455" s="88" t="e">
        <f>-IF(Tabla14[[#This Row],[DIAS HABILES O MORA]]&lt;0,(Tabla14[[#This Row],[VALOR PRESTAMO]]*Tabla14[[#This Row],[% INTERES ]]/30*U1455))+Tabla14[[#This Row],[VALOR CUOTAS]]</f>
        <v>#VALUE!</v>
      </c>
      <c r="S1455" s="88">
        <f>-IF(Tabla14[[#This Row],[DIAS HABILES O MORA]]&lt;0,(Tabla14[[#This Row],[VALOR PRESTAMO]]*Tabla14[[#This Row],[% INTERES ]]/30*U1455))</f>
        <v>0</v>
      </c>
      <c r="T1455" s="53" t="e">
        <f>Tabla14[[#This Row],[DEUDA CAPITAL]]+Tabla14[[#This Row],[INTERES  CUOTA]]</f>
        <v>#NUM!</v>
      </c>
      <c r="U1455" s="61" t="str">
        <f t="shared" si="239"/>
        <v/>
      </c>
    </row>
    <row r="1456" spans="9:21" ht="24.75" customHeight="1" x14ac:dyDescent="0.35">
      <c r="I1456" s="42">
        <f t="shared" si="230"/>
        <v>0</v>
      </c>
      <c r="J1456" s="65" t="e">
        <f t="shared" si="231"/>
        <v>#NUM!</v>
      </c>
      <c r="K1456" s="83" t="e">
        <f t="shared" si="232"/>
        <v>#NUM!</v>
      </c>
      <c r="L1456" s="83">
        <f t="shared" si="233"/>
        <v>0</v>
      </c>
      <c r="M1456" s="110" t="str">
        <f t="shared" si="234"/>
        <v/>
      </c>
      <c r="N1456" s="51" t="str">
        <f t="shared" si="235"/>
        <v/>
      </c>
      <c r="O1456" s="52" t="str">
        <f t="shared" si="236"/>
        <v/>
      </c>
      <c r="P1456" s="88">
        <f t="shared" si="237"/>
        <v>0</v>
      </c>
      <c r="Q1456" s="88">
        <f t="shared" si="238"/>
        <v>0</v>
      </c>
      <c r="R1456" s="88" t="e">
        <f>-IF(Tabla14[[#This Row],[DIAS HABILES O MORA]]&lt;0,(Tabla14[[#This Row],[VALOR PRESTAMO]]*Tabla14[[#This Row],[% INTERES ]]/30*U1456))+Tabla14[[#This Row],[VALOR CUOTAS]]</f>
        <v>#VALUE!</v>
      </c>
      <c r="S1456" s="88">
        <f>-IF(Tabla14[[#This Row],[DIAS HABILES O MORA]]&lt;0,(Tabla14[[#This Row],[VALOR PRESTAMO]]*Tabla14[[#This Row],[% INTERES ]]/30*U1456))</f>
        <v>0</v>
      </c>
      <c r="T1456" s="53" t="e">
        <f>Tabla14[[#This Row],[DEUDA CAPITAL]]+Tabla14[[#This Row],[INTERES  CUOTA]]</f>
        <v>#NUM!</v>
      </c>
      <c r="U1456" s="61" t="str">
        <f t="shared" si="239"/>
        <v/>
      </c>
    </row>
    <row r="1457" spans="9:21" ht="24.75" customHeight="1" x14ac:dyDescent="0.35">
      <c r="I1457" s="42">
        <f t="shared" si="230"/>
        <v>0</v>
      </c>
      <c r="J1457" s="65" t="e">
        <f t="shared" si="231"/>
        <v>#NUM!</v>
      </c>
      <c r="K1457" s="83" t="e">
        <f t="shared" si="232"/>
        <v>#NUM!</v>
      </c>
      <c r="L1457" s="83">
        <f t="shared" si="233"/>
        <v>0</v>
      </c>
      <c r="M1457" s="110" t="str">
        <f t="shared" si="234"/>
        <v/>
      </c>
      <c r="N1457" s="51" t="str">
        <f t="shared" si="235"/>
        <v/>
      </c>
      <c r="O1457" s="52" t="str">
        <f t="shared" si="236"/>
        <v/>
      </c>
      <c r="P1457" s="88">
        <f t="shared" si="237"/>
        <v>0</v>
      </c>
      <c r="Q1457" s="88">
        <f t="shared" si="238"/>
        <v>0</v>
      </c>
      <c r="R1457" s="88" t="e">
        <f>-IF(Tabla14[[#This Row],[DIAS HABILES O MORA]]&lt;0,(Tabla14[[#This Row],[VALOR PRESTAMO]]*Tabla14[[#This Row],[% INTERES ]]/30*U1457))+Tabla14[[#This Row],[VALOR CUOTAS]]</f>
        <v>#VALUE!</v>
      </c>
      <c r="S1457" s="88">
        <f>-IF(Tabla14[[#This Row],[DIAS HABILES O MORA]]&lt;0,(Tabla14[[#This Row],[VALOR PRESTAMO]]*Tabla14[[#This Row],[% INTERES ]]/30*U1457))</f>
        <v>0</v>
      </c>
      <c r="T1457" s="53" t="e">
        <f>Tabla14[[#This Row],[DEUDA CAPITAL]]+Tabla14[[#This Row],[INTERES  CUOTA]]</f>
        <v>#NUM!</v>
      </c>
      <c r="U1457" s="61" t="str">
        <f t="shared" si="239"/>
        <v/>
      </c>
    </row>
    <row r="1458" spans="9:21" ht="24.75" customHeight="1" x14ac:dyDescent="0.35">
      <c r="I1458" s="42">
        <f t="shared" si="230"/>
        <v>0</v>
      </c>
      <c r="J1458" s="65" t="e">
        <f t="shared" si="231"/>
        <v>#NUM!</v>
      </c>
      <c r="K1458" s="83" t="e">
        <f t="shared" si="232"/>
        <v>#NUM!</v>
      </c>
      <c r="L1458" s="83">
        <f t="shared" si="233"/>
        <v>0</v>
      </c>
      <c r="M1458" s="110" t="str">
        <f t="shared" si="234"/>
        <v/>
      </c>
      <c r="N1458" s="51" t="str">
        <f t="shared" si="235"/>
        <v/>
      </c>
      <c r="O1458" s="52" t="str">
        <f t="shared" si="236"/>
        <v/>
      </c>
      <c r="P1458" s="88">
        <f t="shared" si="237"/>
        <v>0</v>
      </c>
      <c r="Q1458" s="88">
        <f t="shared" si="238"/>
        <v>0</v>
      </c>
      <c r="R1458" s="88" t="e">
        <f>-IF(Tabla14[[#This Row],[DIAS HABILES O MORA]]&lt;0,(Tabla14[[#This Row],[VALOR PRESTAMO]]*Tabla14[[#This Row],[% INTERES ]]/30*U1458))+Tabla14[[#This Row],[VALOR CUOTAS]]</f>
        <v>#VALUE!</v>
      </c>
      <c r="S1458" s="88">
        <f>-IF(Tabla14[[#This Row],[DIAS HABILES O MORA]]&lt;0,(Tabla14[[#This Row],[VALOR PRESTAMO]]*Tabla14[[#This Row],[% INTERES ]]/30*U1458))</f>
        <v>0</v>
      </c>
      <c r="T1458" s="53" t="e">
        <f>Tabla14[[#This Row],[DEUDA CAPITAL]]+Tabla14[[#This Row],[INTERES  CUOTA]]</f>
        <v>#NUM!</v>
      </c>
      <c r="U1458" s="61" t="str">
        <f t="shared" si="239"/>
        <v/>
      </c>
    </row>
    <row r="1459" spans="9:21" ht="24.75" customHeight="1" x14ac:dyDescent="0.35">
      <c r="I1459" s="42">
        <f t="shared" si="230"/>
        <v>0</v>
      </c>
      <c r="J1459" s="65" t="e">
        <f t="shared" si="231"/>
        <v>#NUM!</v>
      </c>
      <c r="K1459" s="83" t="e">
        <f t="shared" si="232"/>
        <v>#NUM!</v>
      </c>
      <c r="L1459" s="83">
        <f t="shared" si="233"/>
        <v>0</v>
      </c>
      <c r="M1459" s="110" t="str">
        <f t="shared" si="234"/>
        <v/>
      </c>
      <c r="N1459" s="51" t="str">
        <f t="shared" si="235"/>
        <v/>
      </c>
      <c r="O1459" s="52" t="str">
        <f t="shared" si="236"/>
        <v/>
      </c>
      <c r="P1459" s="88">
        <f t="shared" si="237"/>
        <v>0</v>
      </c>
      <c r="Q1459" s="88">
        <f t="shared" si="238"/>
        <v>0</v>
      </c>
      <c r="R1459" s="88" t="e">
        <f>-IF(Tabla14[[#This Row],[DIAS HABILES O MORA]]&lt;0,(Tabla14[[#This Row],[VALOR PRESTAMO]]*Tabla14[[#This Row],[% INTERES ]]/30*U1459))+Tabla14[[#This Row],[VALOR CUOTAS]]</f>
        <v>#VALUE!</v>
      </c>
      <c r="S1459" s="88">
        <f>-IF(Tabla14[[#This Row],[DIAS HABILES O MORA]]&lt;0,(Tabla14[[#This Row],[VALOR PRESTAMO]]*Tabla14[[#This Row],[% INTERES ]]/30*U1459))</f>
        <v>0</v>
      </c>
      <c r="T1459" s="53" t="e">
        <f>Tabla14[[#This Row],[DEUDA CAPITAL]]+Tabla14[[#This Row],[INTERES  CUOTA]]</f>
        <v>#NUM!</v>
      </c>
      <c r="U1459" s="61" t="str">
        <f t="shared" si="239"/>
        <v/>
      </c>
    </row>
    <row r="1460" spans="9:21" ht="24.75" customHeight="1" x14ac:dyDescent="0.35">
      <c r="I1460" s="42">
        <f t="shared" si="230"/>
        <v>0</v>
      </c>
      <c r="J1460" s="65" t="e">
        <f t="shared" si="231"/>
        <v>#NUM!</v>
      </c>
      <c r="K1460" s="83" t="e">
        <f t="shared" si="232"/>
        <v>#NUM!</v>
      </c>
      <c r="L1460" s="83">
        <f t="shared" si="233"/>
        <v>0</v>
      </c>
      <c r="M1460" s="110" t="str">
        <f t="shared" si="234"/>
        <v/>
      </c>
      <c r="N1460" s="51" t="str">
        <f t="shared" si="235"/>
        <v/>
      </c>
      <c r="O1460" s="52" t="str">
        <f t="shared" si="236"/>
        <v/>
      </c>
      <c r="P1460" s="88">
        <f t="shared" si="237"/>
        <v>0</v>
      </c>
      <c r="Q1460" s="88">
        <f t="shared" si="238"/>
        <v>0</v>
      </c>
      <c r="R1460" s="88" t="e">
        <f>-IF(Tabla14[[#This Row],[DIAS HABILES O MORA]]&lt;0,(Tabla14[[#This Row],[VALOR PRESTAMO]]*Tabla14[[#This Row],[% INTERES ]]/30*U1460))+Tabla14[[#This Row],[VALOR CUOTAS]]</f>
        <v>#VALUE!</v>
      </c>
      <c r="S1460" s="88">
        <f>-IF(Tabla14[[#This Row],[DIAS HABILES O MORA]]&lt;0,(Tabla14[[#This Row],[VALOR PRESTAMO]]*Tabla14[[#This Row],[% INTERES ]]/30*U1460))</f>
        <v>0</v>
      </c>
      <c r="T1460" s="53" t="e">
        <f>Tabla14[[#This Row],[DEUDA CAPITAL]]+Tabla14[[#This Row],[INTERES  CUOTA]]</f>
        <v>#NUM!</v>
      </c>
      <c r="U1460" s="61" t="str">
        <f t="shared" si="239"/>
        <v/>
      </c>
    </row>
    <row r="1461" spans="9:21" ht="24.75" customHeight="1" x14ac:dyDescent="0.35">
      <c r="I1461" s="42">
        <f t="shared" si="230"/>
        <v>0</v>
      </c>
      <c r="J1461" s="65" t="e">
        <f t="shared" si="231"/>
        <v>#NUM!</v>
      </c>
      <c r="K1461" s="83" t="e">
        <f t="shared" si="232"/>
        <v>#NUM!</v>
      </c>
      <c r="L1461" s="83">
        <f t="shared" si="233"/>
        <v>0</v>
      </c>
      <c r="M1461" s="110" t="str">
        <f t="shared" si="234"/>
        <v/>
      </c>
      <c r="N1461" s="51" t="str">
        <f t="shared" si="235"/>
        <v/>
      </c>
      <c r="O1461" s="52" t="str">
        <f t="shared" si="236"/>
        <v/>
      </c>
      <c r="P1461" s="88">
        <f t="shared" si="237"/>
        <v>0</v>
      </c>
      <c r="Q1461" s="88">
        <f t="shared" si="238"/>
        <v>0</v>
      </c>
      <c r="R1461" s="88" t="e">
        <f>-IF(Tabla14[[#This Row],[DIAS HABILES O MORA]]&lt;0,(Tabla14[[#This Row],[VALOR PRESTAMO]]*Tabla14[[#This Row],[% INTERES ]]/30*U1461))+Tabla14[[#This Row],[VALOR CUOTAS]]</f>
        <v>#VALUE!</v>
      </c>
      <c r="S1461" s="88">
        <f>-IF(Tabla14[[#This Row],[DIAS HABILES O MORA]]&lt;0,(Tabla14[[#This Row],[VALOR PRESTAMO]]*Tabla14[[#This Row],[% INTERES ]]/30*U1461))</f>
        <v>0</v>
      </c>
      <c r="T1461" s="53" t="e">
        <f>Tabla14[[#This Row],[DEUDA CAPITAL]]+Tabla14[[#This Row],[INTERES  CUOTA]]</f>
        <v>#NUM!</v>
      </c>
      <c r="U1461" s="61" t="str">
        <f t="shared" si="239"/>
        <v/>
      </c>
    </row>
    <row r="1462" spans="9:21" ht="24.75" customHeight="1" x14ac:dyDescent="0.35">
      <c r="I1462" s="42">
        <f t="shared" si="230"/>
        <v>0</v>
      </c>
      <c r="J1462" s="65" t="e">
        <f t="shared" si="231"/>
        <v>#NUM!</v>
      </c>
      <c r="K1462" s="83" t="e">
        <f t="shared" si="232"/>
        <v>#NUM!</v>
      </c>
      <c r="L1462" s="83">
        <f t="shared" si="233"/>
        <v>0</v>
      </c>
      <c r="M1462" s="110" t="str">
        <f t="shared" si="234"/>
        <v/>
      </c>
      <c r="N1462" s="51" t="str">
        <f t="shared" si="235"/>
        <v/>
      </c>
      <c r="O1462" s="52" t="str">
        <f t="shared" si="236"/>
        <v/>
      </c>
      <c r="P1462" s="88">
        <f t="shared" si="237"/>
        <v>0</v>
      </c>
      <c r="Q1462" s="88">
        <f t="shared" si="238"/>
        <v>0</v>
      </c>
      <c r="R1462" s="88" t="e">
        <f>-IF(Tabla14[[#This Row],[DIAS HABILES O MORA]]&lt;0,(Tabla14[[#This Row],[VALOR PRESTAMO]]*Tabla14[[#This Row],[% INTERES ]]/30*U1462))+Tabla14[[#This Row],[VALOR CUOTAS]]</f>
        <v>#VALUE!</v>
      </c>
      <c r="S1462" s="88">
        <f>-IF(Tabla14[[#This Row],[DIAS HABILES O MORA]]&lt;0,(Tabla14[[#This Row],[VALOR PRESTAMO]]*Tabla14[[#This Row],[% INTERES ]]/30*U1462))</f>
        <v>0</v>
      </c>
      <c r="T1462" s="53" t="e">
        <f>Tabla14[[#This Row],[DEUDA CAPITAL]]+Tabla14[[#This Row],[INTERES  CUOTA]]</f>
        <v>#NUM!</v>
      </c>
      <c r="U1462" s="61" t="str">
        <f t="shared" si="239"/>
        <v/>
      </c>
    </row>
    <row r="1463" spans="9:21" ht="24.75" customHeight="1" x14ac:dyDescent="0.35">
      <c r="I1463" s="42">
        <f t="shared" si="230"/>
        <v>0</v>
      </c>
      <c r="J1463" s="65" t="e">
        <f t="shared" si="231"/>
        <v>#NUM!</v>
      </c>
      <c r="K1463" s="83" t="e">
        <f t="shared" si="232"/>
        <v>#NUM!</v>
      </c>
      <c r="L1463" s="83">
        <f t="shared" si="233"/>
        <v>0</v>
      </c>
      <c r="M1463" s="110" t="str">
        <f t="shared" si="234"/>
        <v/>
      </c>
      <c r="N1463" s="51" t="str">
        <f t="shared" si="235"/>
        <v/>
      </c>
      <c r="O1463" s="52" t="str">
        <f t="shared" si="236"/>
        <v/>
      </c>
      <c r="P1463" s="88">
        <f t="shared" si="237"/>
        <v>0</v>
      </c>
      <c r="Q1463" s="88">
        <f t="shared" si="238"/>
        <v>0</v>
      </c>
      <c r="R1463" s="88" t="e">
        <f>-IF(Tabla14[[#This Row],[DIAS HABILES O MORA]]&lt;0,(Tabla14[[#This Row],[VALOR PRESTAMO]]*Tabla14[[#This Row],[% INTERES ]]/30*U1463))+Tabla14[[#This Row],[VALOR CUOTAS]]</f>
        <v>#VALUE!</v>
      </c>
      <c r="S1463" s="88">
        <f>-IF(Tabla14[[#This Row],[DIAS HABILES O MORA]]&lt;0,(Tabla14[[#This Row],[VALOR PRESTAMO]]*Tabla14[[#This Row],[% INTERES ]]/30*U1463))</f>
        <v>0</v>
      </c>
      <c r="T1463" s="53" t="e">
        <f>Tabla14[[#This Row],[DEUDA CAPITAL]]+Tabla14[[#This Row],[INTERES  CUOTA]]</f>
        <v>#NUM!</v>
      </c>
      <c r="U1463" s="61" t="str">
        <f t="shared" si="239"/>
        <v/>
      </c>
    </row>
    <row r="1464" spans="9:21" ht="24.75" customHeight="1" x14ac:dyDescent="0.35">
      <c r="I1464" s="42">
        <f t="shared" si="230"/>
        <v>0</v>
      </c>
      <c r="J1464" s="65" t="e">
        <f t="shared" si="231"/>
        <v>#NUM!</v>
      </c>
      <c r="K1464" s="83" t="e">
        <f t="shared" si="232"/>
        <v>#NUM!</v>
      </c>
      <c r="L1464" s="83">
        <f t="shared" si="233"/>
        <v>0</v>
      </c>
      <c r="M1464" s="110" t="str">
        <f t="shared" si="234"/>
        <v/>
      </c>
      <c r="N1464" s="51" t="str">
        <f t="shared" si="235"/>
        <v/>
      </c>
      <c r="O1464" s="52" t="str">
        <f t="shared" si="236"/>
        <v/>
      </c>
      <c r="P1464" s="88">
        <f t="shared" si="237"/>
        <v>0</v>
      </c>
      <c r="Q1464" s="88">
        <f t="shared" si="238"/>
        <v>0</v>
      </c>
      <c r="R1464" s="88" t="e">
        <f>-IF(Tabla14[[#This Row],[DIAS HABILES O MORA]]&lt;0,(Tabla14[[#This Row],[VALOR PRESTAMO]]*Tabla14[[#This Row],[% INTERES ]]/30*U1464))+Tabla14[[#This Row],[VALOR CUOTAS]]</f>
        <v>#VALUE!</v>
      </c>
      <c r="S1464" s="88">
        <f>-IF(Tabla14[[#This Row],[DIAS HABILES O MORA]]&lt;0,(Tabla14[[#This Row],[VALOR PRESTAMO]]*Tabla14[[#This Row],[% INTERES ]]/30*U1464))</f>
        <v>0</v>
      </c>
      <c r="T1464" s="53" t="e">
        <f>Tabla14[[#This Row],[DEUDA CAPITAL]]+Tabla14[[#This Row],[INTERES  CUOTA]]</f>
        <v>#NUM!</v>
      </c>
      <c r="U1464" s="61" t="str">
        <f t="shared" si="239"/>
        <v/>
      </c>
    </row>
    <row r="1465" spans="9:21" ht="24.75" customHeight="1" x14ac:dyDescent="0.35">
      <c r="I1465" s="42">
        <f t="shared" si="230"/>
        <v>0</v>
      </c>
      <c r="J1465" s="65" t="e">
        <f t="shared" si="231"/>
        <v>#NUM!</v>
      </c>
      <c r="K1465" s="83" t="e">
        <f t="shared" si="232"/>
        <v>#NUM!</v>
      </c>
      <c r="L1465" s="83">
        <f t="shared" si="233"/>
        <v>0</v>
      </c>
      <c r="M1465" s="110" t="str">
        <f t="shared" si="234"/>
        <v/>
      </c>
      <c r="N1465" s="51" t="str">
        <f t="shared" si="235"/>
        <v/>
      </c>
      <c r="O1465" s="52" t="str">
        <f t="shared" si="236"/>
        <v/>
      </c>
      <c r="P1465" s="88">
        <f t="shared" si="237"/>
        <v>0</v>
      </c>
      <c r="Q1465" s="88">
        <f t="shared" si="238"/>
        <v>0</v>
      </c>
      <c r="R1465" s="88" t="e">
        <f>-IF(Tabla14[[#This Row],[DIAS HABILES O MORA]]&lt;0,(Tabla14[[#This Row],[VALOR PRESTAMO]]*Tabla14[[#This Row],[% INTERES ]]/30*U1465))+Tabla14[[#This Row],[VALOR CUOTAS]]</f>
        <v>#VALUE!</v>
      </c>
      <c r="S1465" s="88">
        <f>-IF(Tabla14[[#This Row],[DIAS HABILES O MORA]]&lt;0,(Tabla14[[#This Row],[VALOR PRESTAMO]]*Tabla14[[#This Row],[% INTERES ]]/30*U1465))</f>
        <v>0</v>
      </c>
      <c r="T1465" s="53" t="e">
        <f>Tabla14[[#This Row],[DEUDA CAPITAL]]+Tabla14[[#This Row],[INTERES  CUOTA]]</f>
        <v>#NUM!</v>
      </c>
      <c r="U1465" s="61" t="str">
        <f t="shared" si="239"/>
        <v/>
      </c>
    </row>
    <row r="1466" spans="9:21" ht="24.75" customHeight="1" x14ac:dyDescent="0.35">
      <c r="I1466" s="42">
        <f t="shared" si="230"/>
        <v>0</v>
      </c>
      <c r="J1466" s="65" t="e">
        <f t="shared" si="231"/>
        <v>#NUM!</v>
      </c>
      <c r="K1466" s="83" t="e">
        <f t="shared" si="232"/>
        <v>#NUM!</v>
      </c>
      <c r="L1466" s="83">
        <f t="shared" si="233"/>
        <v>0</v>
      </c>
      <c r="M1466" s="110" t="str">
        <f t="shared" si="234"/>
        <v/>
      </c>
      <c r="N1466" s="51" t="str">
        <f t="shared" si="235"/>
        <v/>
      </c>
      <c r="O1466" s="52" t="str">
        <f t="shared" si="236"/>
        <v/>
      </c>
      <c r="P1466" s="88">
        <f t="shared" si="237"/>
        <v>0</v>
      </c>
      <c r="Q1466" s="88">
        <f t="shared" si="238"/>
        <v>0</v>
      </c>
      <c r="R1466" s="88" t="e">
        <f>-IF(Tabla14[[#This Row],[DIAS HABILES O MORA]]&lt;0,(Tabla14[[#This Row],[VALOR PRESTAMO]]*Tabla14[[#This Row],[% INTERES ]]/30*U1466))+Tabla14[[#This Row],[VALOR CUOTAS]]</f>
        <v>#VALUE!</v>
      </c>
      <c r="S1466" s="88">
        <f>-IF(Tabla14[[#This Row],[DIAS HABILES O MORA]]&lt;0,(Tabla14[[#This Row],[VALOR PRESTAMO]]*Tabla14[[#This Row],[% INTERES ]]/30*U1466))</f>
        <v>0</v>
      </c>
      <c r="T1466" s="53" t="e">
        <f>Tabla14[[#This Row],[DEUDA CAPITAL]]+Tabla14[[#This Row],[INTERES  CUOTA]]</f>
        <v>#NUM!</v>
      </c>
      <c r="U1466" s="61" t="str">
        <f t="shared" si="239"/>
        <v/>
      </c>
    </row>
    <row r="1467" spans="9:21" ht="24.75" customHeight="1" x14ac:dyDescent="0.35">
      <c r="I1467" s="42">
        <f t="shared" si="230"/>
        <v>0</v>
      </c>
      <c r="J1467" s="65" t="e">
        <f t="shared" si="231"/>
        <v>#NUM!</v>
      </c>
      <c r="K1467" s="83" t="e">
        <f t="shared" si="232"/>
        <v>#NUM!</v>
      </c>
      <c r="L1467" s="83">
        <f t="shared" si="233"/>
        <v>0</v>
      </c>
      <c r="M1467" s="110" t="str">
        <f t="shared" si="234"/>
        <v/>
      </c>
      <c r="N1467" s="51" t="str">
        <f t="shared" si="235"/>
        <v/>
      </c>
      <c r="O1467" s="52" t="str">
        <f t="shared" si="236"/>
        <v/>
      </c>
      <c r="P1467" s="88">
        <f t="shared" si="237"/>
        <v>0</v>
      </c>
      <c r="Q1467" s="88">
        <f t="shared" si="238"/>
        <v>0</v>
      </c>
      <c r="R1467" s="88" t="e">
        <f>-IF(Tabla14[[#This Row],[DIAS HABILES O MORA]]&lt;0,(Tabla14[[#This Row],[VALOR PRESTAMO]]*Tabla14[[#This Row],[% INTERES ]]/30*U1467))+Tabla14[[#This Row],[VALOR CUOTAS]]</f>
        <v>#VALUE!</v>
      </c>
      <c r="S1467" s="88">
        <f>-IF(Tabla14[[#This Row],[DIAS HABILES O MORA]]&lt;0,(Tabla14[[#This Row],[VALOR PRESTAMO]]*Tabla14[[#This Row],[% INTERES ]]/30*U1467))</f>
        <v>0</v>
      </c>
      <c r="T1467" s="53" t="e">
        <f>Tabla14[[#This Row],[DEUDA CAPITAL]]+Tabla14[[#This Row],[INTERES  CUOTA]]</f>
        <v>#NUM!</v>
      </c>
      <c r="U1467" s="61" t="str">
        <f t="shared" si="239"/>
        <v/>
      </c>
    </row>
    <row r="1468" spans="9:21" ht="24.75" customHeight="1" x14ac:dyDescent="0.35">
      <c r="I1468" s="42">
        <f t="shared" si="230"/>
        <v>0</v>
      </c>
      <c r="J1468" s="65" t="e">
        <f t="shared" si="231"/>
        <v>#NUM!</v>
      </c>
      <c r="K1468" s="83" t="e">
        <f t="shared" si="232"/>
        <v>#NUM!</v>
      </c>
      <c r="L1468" s="83">
        <f t="shared" si="233"/>
        <v>0</v>
      </c>
      <c r="M1468" s="110" t="str">
        <f t="shared" si="234"/>
        <v/>
      </c>
      <c r="N1468" s="51" t="str">
        <f t="shared" si="235"/>
        <v/>
      </c>
      <c r="O1468" s="52" t="str">
        <f t="shared" si="236"/>
        <v/>
      </c>
      <c r="P1468" s="88">
        <f t="shared" si="237"/>
        <v>0</v>
      </c>
      <c r="Q1468" s="88">
        <f t="shared" si="238"/>
        <v>0</v>
      </c>
      <c r="R1468" s="88" t="e">
        <f>-IF(Tabla14[[#This Row],[DIAS HABILES O MORA]]&lt;0,(Tabla14[[#This Row],[VALOR PRESTAMO]]*Tabla14[[#This Row],[% INTERES ]]/30*U1468))+Tabla14[[#This Row],[VALOR CUOTAS]]</f>
        <v>#VALUE!</v>
      </c>
      <c r="S1468" s="88">
        <f>-IF(Tabla14[[#This Row],[DIAS HABILES O MORA]]&lt;0,(Tabla14[[#This Row],[VALOR PRESTAMO]]*Tabla14[[#This Row],[% INTERES ]]/30*U1468))</f>
        <v>0</v>
      </c>
      <c r="T1468" s="53" t="e">
        <f>Tabla14[[#This Row],[DEUDA CAPITAL]]+Tabla14[[#This Row],[INTERES  CUOTA]]</f>
        <v>#NUM!</v>
      </c>
      <c r="U1468" s="61" t="str">
        <f t="shared" si="239"/>
        <v/>
      </c>
    </row>
    <row r="1469" spans="9:21" ht="24.75" customHeight="1" x14ac:dyDescent="0.35">
      <c r="I1469" s="42">
        <f t="shared" si="230"/>
        <v>0</v>
      </c>
      <c r="J1469" s="65" t="e">
        <f t="shared" si="231"/>
        <v>#NUM!</v>
      </c>
      <c r="K1469" s="83" t="e">
        <f t="shared" si="232"/>
        <v>#NUM!</v>
      </c>
      <c r="L1469" s="83">
        <f t="shared" si="233"/>
        <v>0</v>
      </c>
      <c r="M1469" s="110" t="str">
        <f t="shared" si="234"/>
        <v/>
      </c>
      <c r="N1469" s="51" t="str">
        <f t="shared" si="235"/>
        <v/>
      </c>
      <c r="O1469" s="52" t="str">
        <f t="shared" si="236"/>
        <v/>
      </c>
      <c r="P1469" s="88">
        <f t="shared" si="237"/>
        <v>0</v>
      </c>
      <c r="Q1469" s="88">
        <f t="shared" si="238"/>
        <v>0</v>
      </c>
      <c r="R1469" s="88" t="e">
        <f>-IF(Tabla14[[#This Row],[DIAS HABILES O MORA]]&lt;0,(Tabla14[[#This Row],[VALOR PRESTAMO]]*Tabla14[[#This Row],[% INTERES ]]/30*U1469))+Tabla14[[#This Row],[VALOR CUOTAS]]</f>
        <v>#VALUE!</v>
      </c>
      <c r="S1469" s="88">
        <f>-IF(Tabla14[[#This Row],[DIAS HABILES O MORA]]&lt;0,(Tabla14[[#This Row],[VALOR PRESTAMO]]*Tabla14[[#This Row],[% INTERES ]]/30*U1469))</f>
        <v>0</v>
      </c>
      <c r="T1469" s="53" t="e">
        <f>Tabla14[[#This Row],[DEUDA CAPITAL]]+Tabla14[[#This Row],[INTERES  CUOTA]]</f>
        <v>#NUM!</v>
      </c>
      <c r="U1469" s="61" t="str">
        <f t="shared" si="239"/>
        <v/>
      </c>
    </row>
    <row r="1470" spans="9:21" ht="24.75" customHeight="1" x14ac:dyDescent="0.35">
      <c r="I1470" s="42">
        <f t="shared" si="230"/>
        <v>0</v>
      </c>
      <c r="J1470" s="65" t="e">
        <f t="shared" si="231"/>
        <v>#NUM!</v>
      </c>
      <c r="K1470" s="83" t="e">
        <f t="shared" si="232"/>
        <v>#NUM!</v>
      </c>
      <c r="L1470" s="83">
        <f t="shared" si="233"/>
        <v>0</v>
      </c>
      <c r="M1470" s="110" t="str">
        <f t="shared" si="234"/>
        <v/>
      </c>
      <c r="N1470" s="51" t="str">
        <f t="shared" si="235"/>
        <v/>
      </c>
      <c r="O1470" s="52" t="str">
        <f t="shared" si="236"/>
        <v/>
      </c>
      <c r="P1470" s="88">
        <f t="shared" si="237"/>
        <v>0</v>
      </c>
      <c r="Q1470" s="88">
        <f t="shared" si="238"/>
        <v>0</v>
      </c>
      <c r="R1470" s="88" t="e">
        <f>-IF(Tabla14[[#This Row],[DIAS HABILES O MORA]]&lt;0,(Tabla14[[#This Row],[VALOR PRESTAMO]]*Tabla14[[#This Row],[% INTERES ]]/30*U1470))+Tabla14[[#This Row],[VALOR CUOTAS]]</f>
        <v>#VALUE!</v>
      </c>
      <c r="S1470" s="88">
        <f>-IF(Tabla14[[#This Row],[DIAS HABILES O MORA]]&lt;0,(Tabla14[[#This Row],[VALOR PRESTAMO]]*Tabla14[[#This Row],[% INTERES ]]/30*U1470))</f>
        <v>0</v>
      </c>
      <c r="T1470" s="53" t="e">
        <f>Tabla14[[#This Row],[DEUDA CAPITAL]]+Tabla14[[#This Row],[INTERES  CUOTA]]</f>
        <v>#NUM!</v>
      </c>
      <c r="U1470" s="61" t="str">
        <f t="shared" si="239"/>
        <v/>
      </c>
    </row>
    <row r="1471" spans="9:21" ht="24.75" customHeight="1" x14ac:dyDescent="0.35">
      <c r="I1471" s="42">
        <f t="shared" si="230"/>
        <v>0</v>
      </c>
      <c r="J1471" s="65" t="e">
        <f t="shared" si="231"/>
        <v>#NUM!</v>
      </c>
      <c r="K1471" s="83" t="e">
        <f t="shared" si="232"/>
        <v>#NUM!</v>
      </c>
      <c r="L1471" s="83">
        <f t="shared" si="233"/>
        <v>0</v>
      </c>
      <c r="M1471" s="110" t="str">
        <f t="shared" si="234"/>
        <v/>
      </c>
      <c r="N1471" s="51" t="str">
        <f t="shared" si="235"/>
        <v/>
      </c>
      <c r="O1471" s="52" t="str">
        <f t="shared" si="236"/>
        <v/>
      </c>
      <c r="P1471" s="88">
        <f t="shared" si="237"/>
        <v>0</v>
      </c>
      <c r="Q1471" s="88">
        <f t="shared" si="238"/>
        <v>0</v>
      </c>
      <c r="R1471" s="88" t="e">
        <f>-IF(Tabla14[[#This Row],[DIAS HABILES O MORA]]&lt;0,(Tabla14[[#This Row],[VALOR PRESTAMO]]*Tabla14[[#This Row],[% INTERES ]]/30*U1471))+Tabla14[[#This Row],[VALOR CUOTAS]]</f>
        <v>#VALUE!</v>
      </c>
      <c r="S1471" s="88">
        <f>-IF(Tabla14[[#This Row],[DIAS HABILES O MORA]]&lt;0,(Tabla14[[#This Row],[VALOR PRESTAMO]]*Tabla14[[#This Row],[% INTERES ]]/30*U1471))</f>
        <v>0</v>
      </c>
      <c r="T1471" s="53" t="e">
        <f>Tabla14[[#This Row],[DEUDA CAPITAL]]+Tabla14[[#This Row],[INTERES  CUOTA]]</f>
        <v>#NUM!</v>
      </c>
      <c r="U1471" s="61" t="str">
        <f t="shared" si="239"/>
        <v/>
      </c>
    </row>
    <row r="1472" spans="9:21" ht="24.75" customHeight="1" x14ac:dyDescent="0.35">
      <c r="I1472" s="42">
        <f t="shared" si="230"/>
        <v>0</v>
      </c>
      <c r="J1472" s="65" t="e">
        <f t="shared" si="231"/>
        <v>#NUM!</v>
      </c>
      <c r="K1472" s="83" t="e">
        <f t="shared" si="232"/>
        <v>#NUM!</v>
      </c>
      <c r="L1472" s="83">
        <f t="shared" si="233"/>
        <v>0</v>
      </c>
      <c r="M1472" s="110" t="str">
        <f t="shared" si="234"/>
        <v/>
      </c>
      <c r="N1472" s="51" t="str">
        <f t="shared" si="235"/>
        <v/>
      </c>
      <c r="O1472" s="52" t="str">
        <f t="shared" si="236"/>
        <v/>
      </c>
      <c r="P1472" s="88">
        <f t="shared" si="237"/>
        <v>0</v>
      </c>
      <c r="Q1472" s="88">
        <f t="shared" si="238"/>
        <v>0</v>
      </c>
      <c r="R1472" s="88" t="e">
        <f>-IF(Tabla14[[#This Row],[DIAS HABILES O MORA]]&lt;0,(Tabla14[[#This Row],[VALOR PRESTAMO]]*Tabla14[[#This Row],[% INTERES ]]/30*U1472))+Tabla14[[#This Row],[VALOR CUOTAS]]</f>
        <v>#VALUE!</v>
      </c>
      <c r="S1472" s="88">
        <f>-IF(Tabla14[[#This Row],[DIAS HABILES O MORA]]&lt;0,(Tabla14[[#This Row],[VALOR PRESTAMO]]*Tabla14[[#This Row],[% INTERES ]]/30*U1472))</f>
        <v>0</v>
      </c>
      <c r="T1472" s="53" t="e">
        <f>Tabla14[[#This Row],[DEUDA CAPITAL]]+Tabla14[[#This Row],[INTERES  CUOTA]]</f>
        <v>#NUM!</v>
      </c>
      <c r="U1472" s="61" t="str">
        <f t="shared" si="239"/>
        <v/>
      </c>
    </row>
    <row r="1473" spans="9:21" ht="24.75" customHeight="1" x14ac:dyDescent="0.35">
      <c r="I1473" s="42">
        <f t="shared" si="230"/>
        <v>0</v>
      </c>
      <c r="J1473" s="65" t="e">
        <f t="shared" si="231"/>
        <v>#NUM!</v>
      </c>
      <c r="K1473" s="83" t="e">
        <f t="shared" si="232"/>
        <v>#NUM!</v>
      </c>
      <c r="L1473" s="83">
        <f t="shared" si="233"/>
        <v>0</v>
      </c>
      <c r="M1473" s="110" t="str">
        <f t="shared" si="234"/>
        <v/>
      </c>
      <c r="N1473" s="51" t="str">
        <f t="shared" si="235"/>
        <v/>
      </c>
      <c r="O1473" s="52" t="str">
        <f t="shared" si="236"/>
        <v/>
      </c>
      <c r="P1473" s="88">
        <f t="shared" si="237"/>
        <v>0</v>
      </c>
      <c r="Q1473" s="88">
        <f t="shared" si="238"/>
        <v>0</v>
      </c>
      <c r="R1473" s="88" t="e">
        <f>-IF(Tabla14[[#This Row],[DIAS HABILES O MORA]]&lt;0,(Tabla14[[#This Row],[VALOR PRESTAMO]]*Tabla14[[#This Row],[% INTERES ]]/30*U1473))+Tabla14[[#This Row],[VALOR CUOTAS]]</f>
        <v>#VALUE!</v>
      </c>
      <c r="S1473" s="88">
        <f>-IF(Tabla14[[#This Row],[DIAS HABILES O MORA]]&lt;0,(Tabla14[[#This Row],[VALOR PRESTAMO]]*Tabla14[[#This Row],[% INTERES ]]/30*U1473))</f>
        <v>0</v>
      </c>
      <c r="T1473" s="53" t="e">
        <f>Tabla14[[#This Row],[DEUDA CAPITAL]]+Tabla14[[#This Row],[INTERES  CUOTA]]</f>
        <v>#NUM!</v>
      </c>
      <c r="U1473" s="61" t="str">
        <f t="shared" si="239"/>
        <v/>
      </c>
    </row>
    <row r="1474" spans="9:21" ht="24.75" customHeight="1" x14ac:dyDescent="0.35">
      <c r="I1474" s="42">
        <f t="shared" si="230"/>
        <v>0</v>
      </c>
      <c r="J1474" s="65" t="e">
        <f t="shared" si="231"/>
        <v>#NUM!</v>
      </c>
      <c r="K1474" s="83" t="e">
        <f t="shared" si="232"/>
        <v>#NUM!</v>
      </c>
      <c r="L1474" s="83">
        <f t="shared" si="233"/>
        <v>0</v>
      </c>
      <c r="M1474" s="110" t="str">
        <f t="shared" si="234"/>
        <v/>
      </c>
      <c r="N1474" s="51" t="str">
        <f t="shared" si="235"/>
        <v/>
      </c>
      <c r="O1474" s="52" t="str">
        <f t="shared" si="236"/>
        <v/>
      </c>
      <c r="P1474" s="88">
        <f t="shared" si="237"/>
        <v>0</v>
      </c>
      <c r="Q1474" s="88">
        <f t="shared" si="238"/>
        <v>0</v>
      </c>
      <c r="R1474" s="88" t="e">
        <f>-IF(Tabla14[[#This Row],[DIAS HABILES O MORA]]&lt;0,(Tabla14[[#This Row],[VALOR PRESTAMO]]*Tabla14[[#This Row],[% INTERES ]]/30*U1474))+Tabla14[[#This Row],[VALOR CUOTAS]]</f>
        <v>#VALUE!</v>
      </c>
      <c r="S1474" s="88">
        <f>-IF(Tabla14[[#This Row],[DIAS HABILES O MORA]]&lt;0,(Tabla14[[#This Row],[VALOR PRESTAMO]]*Tabla14[[#This Row],[% INTERES ]]/30*U1474))</f>
        <v>0</v>
      </c>
      <c r="T1474" s="53" t="e">
        <f>Tabla14[[#This Row],[DEUDA CAPITAL]]+Tabla14[[#This Row],[INTERES  CUOTA]]</f>
        <v>#NUM!</v>
      </c>
      <c r="U1474" s="61" t="str">
        <f t="shared" si="239"/>
        <v/>
      </c>
    </row>
    <row r="1475" spans="9:21" ht="24.75" customHeight="1" x14ac:dyDescent="0.35">
      <c r="I1475" s="42">
        <f t="shared" si="230"/>
        <v>0</v>
      </c>
      <c r="J1475" s="65" t="e">
        <f t="shared" si="231"/>
        <v>#NUM!</v>
      </c>
      <c r="K1475" s="83" t="e">
        <f t="shared" si="232"/>
        <v>#NUM!</v>
      </c>
      <c r="L1475" s="83">
        <f t="shared" si="233"/>
        <v>0</v>
      </c>
      <c r="M1475" s="110" t="str">
        <f t="shared" si="234"/>
        <v/>
      </c>
      <c r="N1475" s="51" t="str">
        <f t="shared" si="235"/>
        <v/>
      </c>
      <c r="O1475" s="52" t="str">
        <f t="shared" si="236"/>
        <v/>
      </c>
      <c r="P1475" s="88">
        <f t="shared" si="237"/>
        <v>0</v>
      </c>
      <c r="Q1475" s="88">
        <f t="shared" si="238"/>
        <v>0</v>
      </c>
      <c r="R1475" s="88" t="e">
        <f>-IF(Tabla14[[#This Row],[DIAS HABILES O MORA]]&lt;0,(Tabla14[[#This Row],[VALOR PRESTAMO]]*Tabla14[[#This Row],[% INTERES ]]/30*U1475))+Tabla14[[#This Row],[VALOR CUOTAS]]</f>
        <v>#VALUE!</v>
      </c>
      <c r="S1475" s="88">
        <f>-IF(Tabla14[[#This Row],[DIAS HABILES O MORA]]&lt;0,(Tabla14[[#This Row],[VALOR PRESTAMO]]*Tabla14[[#This Row],[% INTERES ]]/30*U1475))</f>
        <v>0</v>
      </c>
      <c r="T1475" s="53" t="e">
        <f>Tabla14[[#This Row],[DEUDA CAPITAL]]+Tabla14[[#This Row],[INTERES  CUOTA]]</f>
        <v>#NUM!</v>
      </c>
      <c r="U1475" s="61" t="str">
        <f t="shared" si="239"/>
        <v/>
      </c>
    </row>
    <row r="1476" spans="9:21" ht="24.75" customHeight="1" x14ac:dyDescent="0.35">
      <c r="I1476" s="42">
        <f t="shared" si="230"/>
        <v>0</v>
      </c>
      <c r="J1476" s="65" t="e">
        <f t="shared" si="231"/>
        <v>#NUM!</v>
      </c>
      <c r="K1476" s="83" t="e">
        <f t="shared" si="232"/>
        <v>#NUM!</v>
      </c>
      <c r="L1476" s="83">
        <f t="shared" si="233"/>
        <v>0</v>
      </c>
      <c r="M1476" s="110" t="str">
        <f t="shared" si="234"/>
        <v/>
      </c>
      <c r="N1476" s="51" t="str">
        <f t="shared" si="235"/>
        <v/>
      </c>
      <c r="O1476" s="52" t="str">
        <f t="shared" si="236"/>
        <v/>
      </c>
      <c r="P1476" s="88">
        <f t="shared" si="237"/>
        <v>0</v>
      </c>
      <c r="Q1476" s="88">
        <f t="shared" si="238"/>
        <v>0</v>
      </c>
      <c r="R1476" s="88" t="e">
        <f>-IF(Tabla14[[#This Row],[DIAS HABILES O MORA]]&lt;0,(Tabla14[[#This Row],[VALOR PRESTAMO]]*Tabla14[[#This Row],[% INTERES ]]/30*U1476))+Tabla14[[#This Row],[VALOR CUOTAS]]</f>
        <v>#VALUE!</v>
      </c>
      <c r="S1476" s="88">
        <f>-IF(Tabla14[[#This Row],[DIAS HABILES O MORA]]&lt;0,(Tabla14[[#This Row],[VALOR PRESTAMO]]*Tabla14[[#This Row],[% INTERES ]]/30*U1476))</f>
        <v>0</v>
      </c>
      <c r="T1476" s="53" t="e">
        <f>Tabla14[[#This Row],[DEUDA CAPITAL]]+Tabla14[[#This Row],[INTERES  CUOTA]]</f>
        <v>#NUM!</v>
      </c>
      <c r="U1476" s="61" t="str">
        <f t="shared" si="239"/>
        <v/>
      </c>
    </row>
    <row r="1477" spans="9:21" ht="24.75" customHeight="1" x14ac:dyDescent="0.35">
      <c r="I1477" s="42">
        <f t="shared" si="230"/>
        <v>0</v>
      </c>
      <c r="J1477" s="65" t="e">
        <f t="shared" si="231"/>
        <v>#NUM!</v>
      </c>
      <c r="K1477" s="83" t="e">
        <f t="shared" si="232"/>
        <v>#NUM!</v>
      </c>
      <c r="L1477" s="83">
        <f t="shared" si="233"/>
        <v>0</v>
      </c>
      <c r="M1477" s="110" t="str">
        <f t="shared" si="234"/>
        <v/>
      </c>
      <c r="N1477" s="51" t="str">
        <f t="shared" si="235"/>
        <v/>
      </c>
      <c r="O1477" s="52" t="str">
        <f t="shared" si="236"/>
        <v/>
      </c>
      <c r="P1477" s="88">
        <f t="shared" si="237"/>
        <v>0</v>
      </c>
      <c r="Q1477" s="88">
        <f t="shared" si="238"/>
        <v>0</v>
      </c>
      <c r="R1477" s="88" t="e">
        <f>-IF(Tabla14[[#This Row],[DIAS HABILES O MORA]]&lt;0,(Tabla14[[#This Row],[VALOR PRESTAMO]]*Tabla14[[#This Row],[% INTERES ]]/30*U1477))+Tabla14[[#This Row],[VALOR CUOTAS]]</f>
        <v>#VALUE!</v>
      </c>
      <c r="S1477" s="88">
        <f>-IF(Tabla14[[#This Row],[DIAS HABILES O MORA]]&lt;0,(Tabla14[[#This Row],[VALOR PRESTAMO]]*Tabla14[[#This Row],[% INTERES ]]/30*U1477))</f>
        <v>0</v>
      </c>
      <c r="T1477" s="53" t="e">
        <f>Tabla14[[#This Row],[DEUDA CAPITAL]]+Tabla14[[#This Row],[INTERES  CUOTA]]</f>
        <v>#NUM!</v>
      </c>
      <c r="U1477" s="61" t="str">
        <f t="shared" si="239"/>
        <v/>
      </c>
    </row>
    <row r="1478" spans="9:21" ht="24.75" customHeight="1" x14ac:dyDescent="0.35">
      <c r="I1478" s="42">
        <f t="shared" si="230"/>
        <v>0</v>
      </c>
      <c r="J1478" s="65" t="e">
        <f t="shared" si="231"/>
        <v>#NUM!</v>
      </c>
      <c r="K1478" s="83" t="e">
        <f t="shared" si="232"/>
        <v>#NUM!</v>
      </c>
      <c r="L1478" s="83">
        <f t="shared" si="233"/>
        <v>0</v>
      </c>
      <c r="M1478" s="110" t="str">
        <f t="shared" si="234"/>
        <v/>
      </c>
      <c r="N1478" s="51" t="str">
        <f t="shared" si="235"/>
        <v/>
      </c>
      <c r="O1478" s="52" t="str">
        <f t="shared" si="236"/>
        <v/>
      </c>
      <c r="P1478" s="88">
        <f t="shared" si="237"/>
        <v>0</v>
      </c>
      <c r="Q1478" s="88">
        <f t="shared" si="238"/>
        <v>0</v>
      </c>
      <c r="R1478" s="88" t="e">
        <f>-IF(Tabla14[[#This Row],[DIAS HABILES O MORA]]&lt;0,(Tabla14[[#This Row],[VALOR PRESTAMO]]*Tabla14[[#This Row],[% INTERES ]]/30*U1478))+Tabla14[[#This Row],[VALOR CUOTAS]]</f>
        <v>#VALUE!</v>
      </c>
      <c r="S1478" s="88">
        <f>-IF(Tabla14[[#This Row],[DIAS HABILES O MORA]]&lt;0,(Tabla14[[#This Row],[VALOR PRESTAMO]]*Tabla14[[#This Row],[% INTERES ]]/30*U1478))</f>
        <v>0</v>
      </c>
      <c r="T1478" s="53" t="e">
        <f>Tabla14[[#This Row],[DEUDA CAPITAL]]+Tabla14[[#This Row],[INTERES  CUOTA]]</f>
        <v>#NUM!</v>
      </c>
      <c r="U1478" s="61" t="str">
        <f t="shared" si="239"/>
        <v/>
      </c>
    </row>
    <row r="1479" spans="9:21" ht="24.75" customHeight="1" x14ac:dyDescent="0.35">
      <c r="I1479" s="42">
        <f t="shared" si="230"/>
        <v>0</v>
      </c>
      <c r="J1479" s="65" t="e">
        <f t="shared" si="231"/>
        <v>#NUM!</v>
      </c>
      <c r="K1479" s="83" t="e">
        <f t="shared" si="232"/>
        <v>#NUM!</v>
      </c>
      <c r="L1479" s="83">
        <f t="shared" si="233"/>
        <v>0</v>
      </c>
      <c r="M1479" s="110" t="str">
        <f t="shared" si="234"/>
        <v/>
      </c>
      <c r="N1479" s="51" t="str">
        <f t="shared" si="235"/>
        <v/>
      </c>
      <c r="O1479" s="52" t="str">
        <f t="shared" si="236"/>
        <v/>
      </c>
      <c r="P1479" s="88">
        <f t="shared" si="237"/>
        <v>0</v>
      </c>
      <c r="Q1479" s="88">
        <f t="shared" si="238"/>
        <v>0</v>
      </c>
      <c r="R1479" s="88" t="e">
        <f>-IF(Tabla14[[#This Row],[DIAS HABILES O MORA]]&lt;0,(Tabla14[[#This Row],[VALOR PRESTAMO]]*Tabla14[[#This Row],[% INTERES ]]/30*U1479))+Tabla14[[#This Row],[VALOR CUOTAS]]</f>
        <v>#VALUE!</v>
      </c>
      <c r="S1479" s="88">
        <f>-IF(Tabla14[[#This Row],[DIAS HABILES O MORA]]&lt;0,(Tabla14[[#This Row],[VALOR PRESTAMO]]*Tabla14[[#This Row],[% INTERES ]]/30*U1479))</f>
        <v>0</v>
      </c>
      <c r="T1479" s="53" t="e">
        <f>Tabla14[[#This Row],[DEUDA CAPITAL]]+Tabla14[[#This Row],[INTERES  CUOTA]]</f>
        <v>#NUM!</v>
      </c>
      <c r="U1479" s="61" t="str">
        <f t="shared" si="239"/>
        <v/>
      </c>
    </row>
    <row r="1480" spans="9:21" ht="24.75" customHeight="1" x14ac:dyDescent="0.35">
      <c r="I1480" s="42">
        <f t="shared" si="230"/>
        <v>0</v>
      </c>
      <c r="J1480" s="65" t="e">
        <f t="shared" si="231"/>
        <v>#NUM!</v>
      </c>
      <c r="K1480" s="83" t="e">
        <f t="shared" si="232"/>
        <v>#NUM!</v>
      </c>
      <c r="L1480" s="83">
        <f t="shared" si="233"/>
        <v>0</v>
      </c>
      <c r="M1480" s="110" t="str">
        <f t="shared" si="234"/>
        <v/>
      </c>
      <c r="N1480" s="51" t="str">
        <f t="shared" si="235"/>
        <v/>
      </c>
      <c r="O1480" s="52" t="str">
        <f t="shared" si="236"/>
        <v/>
      </c>
      <c r="P1480" s="88">
        <f t="shared" si="237"/>
        <v>0</v>
      </c>
      <c r="Q1480" s="88">
        <f t="shared" si="238"/>
        <v>0</v>
      </c>
      <c r="R1480" s="88" t="e">
        <f>-IF(Tabla14[[#This Row],[DIAS HABILES O MORA]]&lt;0,(Tabla14[[#This Row],[VALOR PRESTAMO]]*Tabla14[[#This Row],[% INTERES ]]/30*U1480))+Tabla14[[#This Row],[VALOR CUOTAS]]</f>
        <v>#VALUE!</v>
      </c>
      <c r="S1480" s="88">
        <f>-IF(Tabla14[[#This Row],[DIAS HABILES O MORA]]&lt;0,(Tabla14[[#This Row],[VALOR PRESTAMO]]*Tabla14[[#This Row],[% INTERES ]]/30*U1480))</f>
        <v>0</v>
      </c>
      <c r="T1480" s="53" t="e">
        <f>Tabla14[[#This Row],[DEUDA CAPITAL]]+Tabla14[[#This Row],[INTERES  CUOTA]]</f>
        <v>#NUM!</v>
      </c>
      <c r="U1480" s="61" t="str">
        <f t="shared" si="239"/>
        <v/>
      </c>
    </row>
    <row r="1481" spans="9:21" ht="24.75" customHeight="1" x14ac:dyDescent="0.35">
      <c r="I1481" s="42">
        <f t="shared" si="230"/>
        <v>0</v>
      </c>
      <c r="J1481" s="65" t="e">
        <f t="shared" si="231"/>
        <v>#NUM!</v>
      </c>
      <c r="K1481" s="83" t="e">
        <f t="shared" si="232"/>
        <v>#NUM!</v>
      </c>
      <c r="L1481" s="83">
        <f t="shared" si="233"/>
        <v>0</v>
      </c>
      <c r="M1481" s="110" t="str">
        <f t="shared" si="234"/>
        <v/>
      </c>
      <c r="N1481" s="51" t="str">
        <f t="shared" si="235"/>
        <v/>
      </c>
      <c r="O1481" s="52" t="str">
        <f t="shared" si="236"/>
        <v/>
      </c>
      <c r="P1481" s="88">
        <f t="shared" si="237"/>
        <v>0</v>
      </c>
      <c r="Q1481" s="88">
        <f t="shared" si="238"/>
        <v>0</v>
      </c>
      <c r="R1481" s="88" t="e">
        <f>-IF(Tabla14[[#This Row],[DIAS HABILES O MORA]]&lt;0,(Tabla14[[#This Row],[VALOR PRESTAMO]]*Tabla14[[#This Row],[% INTERES ]]/30*U1481))+Tabla14[[#This Row],[VALOR CUOTAS]]</f>
        <v>#VALUE!</v>
      </c>
      <c r="S1481" s="88">
        <f>-IF(Tabla14[[#This Row],[DIAS HABILES O MORA]]&lt;0,(Tabla14[[#This Row],[VALOR PRESTAMO]]*Tabla14[[#This Row],[% INTERES ]]/30*U1481))</f>
        <v>0</v>
      </c>
      <c r="T1481" s="53" t="e">
        <f>Tabla14[[#This Row],[DEUDA CAPITAL]]+Tabla14[[#This Row],[INTERES  CUOTA]]</f>
        <v>#NUM!</v>
      </c>
      <c r="U1481" s="61" t="str">
        <f t="shared" si="239"/>
        <v/>
      </c>
    </row>
    <row r="1482" spans="9:21" ht="24.75" customHeight="1" x14ac:dyDescent="0.35">
      <c r="I1482" s="42">
        <f t="shared" si="230"/>
        <v>0</v>
      </c>
      <c r="J1482" s="65" t="e">
        <f t="shared" si="231"/>
        <v>#NUM!</v>
      </c>
      <c r="K1482" s="83" t="e">
        <f t="shared" si="232"/>
        <v>#NUM!</v>
      </c>
      <c r="L1482" s="83">
        <f t="shared" si="233"/>
        <v>0</v>
      </c>
      <c r="M1482" s="110" t="str">
        <f t="shared" si="234"/>
        <v/>
      </c>
      <c r="N1482" s="51" t="str">
        <f t="shared" si="235"/>
        <v/>
      </c>
      <c r="O1482" s="52" t="str">
        <f t="shared" si="236"/>
        <v/>
      </c>
      <c r="P1482" s="88">
        <f t="shared" si="237"/>
        <v>0</v>
      </c>
      <c r="Q1482" s="88">
        <f t="shared" si="238"/>
        <v>0</v>
      </c>
      <c r="R1482" s="88" t="e">
        <f>-IF(Tabla14[[#This Row],[DIAS HABILES O MORA]]&lt;0,(Tabla14[[#This Row],[VALOR PRESTAMO]]*Tabla14[[#This Row],[% INTERES ]]/30*U1482))+Tabla14[[#This Row],[VALOR CUOTAS]]</f>
        <v>#VALUE!</v>
      </c>
      <c r="S1482" s="88">
        <f>-IF(Tabla14[[#This Row],[DIAS HABILES O MORA]]&lt;0,(Tabla14[[#This Row],[VALOR PRESTAMO]]*Tabla14[[#This Row],[% INTERES ]]/30*U1482))</f>
        <v>0</v>
      </c>
      <c r="T1482" s="53" t="e">
        <f>Tabla14[[#This Row],[DEUDA CAPITAL]]+Tabla14[[#This Row],[INTERES  CUOTA]]</f>
        <v>#NUM!</v>
      </c>
      <c r="U1482" s="61" t="str">
        <f t="shared" si="239"/>
        <v/>
      </c>
    </row>
    <row r="1483" spans="9:21" ht="24.75" customHeight="1" x14ac:dyDescent="0.35">
      <c r="I1483" s="42">
        <f t="shared" si="230"/>
        <v>0</v>
      </c>
      <c r="J1483" s="65" t="e">
        <f t="shared" si="231"/>
        <v>#NUM!</v>
      </c>
      <c r="K1483" s="83" t="e">
        <f t="shared" si="232"/>
        <v>#NUM!</v>
      </c>
      <c r="L1483" s="83">
        <f t="shared" si="233"/>
        <v>0</v>
      </c>
      <c r="M1483" s="110" t="str">
        <f t="shared" si="234"/>
        <v/>
      </c>
      <c r="N1483" s="51" t="str">
        <f t="shared" si="235"/>
        <v/>
      </c>
      <c r="O1483" s="52" t="str">
        <f t="shared" si="236"/>
        <v/>
      </c>
      <c r="P1483" s="88">
        <f t="shared" si="237"/>
        <v>0</v>
      </c>
      <c r="Q1483" s="88">
        <f t="shared" si="238"/>
        <v>0</v>
      </c>
      <c r="R1483" s="88" t="e">
        <f>-IF(Tabla14[[#This Row],[DIAS HABILES O MORA]]&lt;0,(Tabla14[[#This Row],[VALOR PRESTAMO]]*Tabla14[[#This Row],[% INTERES ]]/30*U1483))+Tabla14[[#This Row],[VALOR CUOTAS]]</f>
        <v>#VALUE!</v>
      </c>
      <c r="S1483" s="88">
        <f>-IF(Tabla14[[#This Row],[DIAS HABILES O MORA]]&lt;0,(Tabla14[[#This Row],[VALOR PRESTAMO]]*Tabla14[[#This Row],[% INTERES ]]/30*U1483))</f>
        <v>0</v>
      </c>
      <c r="T1483" s="53" t="e">
        <f>Tabla14[[#This Row],[DEUDA CAPITAL]]+Tabla14[[#This Row],[INTERES  CUOTA]]</f>
        <v>#NUM!</v>
      </c>
      <c r="U1483" s="61" t="str">
        <f t="shared" si="239"/>
        <v/>
      </c>
    </row>
    <row r="1484" spans="9:21" ht="24.75" customHeight="1" x14ac:dyDescent="0.35">
      <c r="I1484" s="42">
        <f t="shared" si="230"/>
        <v>0</v>
      </c>
      <c r="J1484" s="65" t="e">
        <f t="shared" si="231"/>
        <v>#NUM!</v>
      </c>
      <c r="K1484" s="83" t="e">
        <f t="shared" si="232"/>
        <v>#NUM!</v>
      </c>
      <c r="L1484" s="83">
        <f t="shared" si="233"/>
        <v>0</v>
      </c>
      <c r="M1484" s="110" t="str">
        <f t="shared" si="234"/>
        <v/>
      </c>
      <c r="N1484" s="51" t="str">
        <f t="shared" si="235"/>
        <v/>
      </c>
      <c r="O1484" s="52" t="str">
        <f t="shared" si="236"/>
        <v/>
      </c>
      <c r="P1484" s="88">
        <f t="shared" si="237"/>
        <v>0</v>
      </c>
      <c r="Q1484" s="88">
        <f t="shared" si="238"/>
        <v>0</v>
      </c>
      <c r="R1484" s="88" t="e">
        <f>-IF(Tabla14[[#This Row],[DIAS HABILES O MORA]]&lt;0,(Tabla14[[#This Row],[VALOR PRESTAMO]]*Tabla14[[#This Row],[% INTERES ]]/30*U1484))+Tabla14[[#This Row],[VALOR CUOTAS]]</f>
        <v>#VALUE!</v>
      </c>
      <c r="S1484" s="88">
        <f>-IF(Tabla14[[#This Row],[DIAS HABILES O MORA]]&lt;0,(Tabla14[[#This Row],[VALOR PRESTAMO]]*Tabla14[[#This Row],[% INTERES ]]/30*U1484))</f>
        <v>0</v>
      </c>
      <c r="T1484" s="53" t="e">
        <f>Tabla14[[#This Row],[DEUDA CAPITAL]]+Tabla14[[#This Row],[INTERES  CUOTA]]</f>
        <v>#NUM!</v>
      </c>
      <c r="U1484" s="61" t="str">
        <f t="shared" si="239"/>
        <v/>
      </c>
    </row>
    <row r="1485" spans="9:21" ht="24.75" customHeight="1" x14ac:dyDescent="0.35">
      <c r="I1485" s="42">
        <f t="shared" si="230"/>
        <v>0</v>
      </c>
      <c r="J1485" s="65" t="e">
        <f t="shared" si="231"/>
        <v>#NUM!</v>
      </c>
      <c r="K1485" s="83" t="e">
        <f t="shared" si="232"/>
        <v>#NUM!</v>
      </c>
      <c r="L1485" s="83">
        <f t="shared" si="233"/>
        <v>0</v>
      </c>
      <c r="M1485" s="110" t="str">
        <f t="shared" si="234"/>
        <v/>
      </c>
      <c r="N1485" s="51" t="str">
        <f t="shared" si="235"/>
        <v/>
      </c>
      <c r="O1485" s="52" t="str">
        <f t="shared" si="236"/>
        <v/>
      </c>
      <c r="P1485" s="88">
        <f t="shared" si="237"/>
        <v>0</v>
      </c>
      <c r="Q1485" s="88">
        <f t="shared" si="238"/>
        <v>0</v>
      </c>
      <c r="R1485" s="88" t="e">
        <f>-IF(Tabla14[[#This Row],[DIAS HABILES O MORA]]&lt;0,(Tabla14[[#This Row],[VALOR PRESTAMO]]*Tabla14[[#This Row],[% INTERES ]]/30*U1485))+Tabla14[[#This Row],[VALOR CUOTAS]]</f>
        <v>#VALUE!</v>
      </c>
      <c r="S1485" s="88">
        <f>-IF(Tabla14[[#This Row],[DIAS HABILES O MORA]]&lt;0,(Tabla14[[#This Row],[VALOR PRESTAMO]]*Tabla14[[#This Row],[% INTERES ]]/30*U1485))</f>
        <v>0</v>
      </c>
      <c r="T1485" s="53" t="e">
        <f>Tabla14[[#This Row],[DEUDA CAPITAL]]+Tabla14[[#This Row],[INTERES  CUOTA]]</f>
        <v>#NUM!</v>
      </c>
      <c r="U1485" s="61" t="str">
        <f t="shared" si="239"/>
        <v/>
      </c>
    </row>
    <row r="1486" spans="9:21" ht="24.75" customHeight="1" x14ac:dyDescent="0.35">
      <c r="I1486" s="42">
        <f t="shared" si="230"/>
        <v>0</v>
      </c>
      <c r="J1486" s="65" t="e">
        <f t="shared" si="231"/>
        <v>#NUM!</v>
      </c>
      <c r="K1486" s="83" t="e">
        <f t="shared" si="232"/>
        <v>#NUM!</v>
      </c>
      <c r="L1486" s="83">
        <f t="shared" si="233"/>
        <v>0</v>
      </c>
      <c r="M1486" s="110" t="str">
        <f t="shared" si="234"/>
        <v/>
      </c>
      <c r="N1486" s="51" t="str">
        <f t="shared" si="235"/>
        <v/>
      </c>
      <c r="O1486" s="52" t="str">
        <f t="shared" si="236"/>
        <v/>
      </c>
      <c r="P1486" s="88">
        <f t="shared" si="237"/>
        <v>0</v>
      </c>
      <c r="Q1486" s="88">
        <f t="shared" si="238"/>
        <v>0</v>
      </c>
      <c r="R1486" s="88" t="e">
        <f>-IF(Tabla14[[#This Row],[DIAS HABILES O MORA]]&lt;0,(Tabla14[[#This Row],[VALOR PRESTAMO]]*Tabla14[[#This Row],[% INTERES ]]/30*U1486))+Tabla14[[#This Row],[VALOR CUOTAS]]</f>
        <v>#VALUE!</v>
      </c>
      <c r="S1486" s="88">
        <f>-IF(Tabla14[[#This Row],[DIAS HABILES O MORA]]&lt;0,(Tabla14[[#This Row],[VALOR PRESTAMO]]*Tabla14[[#This Row],[% INTERES ]]/30*U1486))</f>
        <v>0</v>
      </c>
      <c r="T1486" s="53" t="e">
        <f>Tabla14[[#This Row],[DEUDA CAPITAL]]+Tabla14[[#This Row],[INTERES  CUOTA]]</f>
        <v>#NUM!</v>
      </c>
      <c r="U1486" s="61" t="str">
        <f t="shared" si="239"/>
        <v/>
      </c>
    </row>
    <row r="1487" spans="9:21" ht="24.75" customHeight="1" x14ac:dyDescent="0.35">
      <c r="I1487" s="42">
        <f t="shared" si="230"/>
        <v>0</v>
      </c>
      <c r="J1487" s="65" t="e">
        <f t="shared" si="231"/>
        <v>#NUM!</v>
      </c>
      <c r="K1487" s="83" t="e">
        <f t="shared" si="232"/>
        <v>#NUM!</v>
      </c>
      <c r="L1487" s="83">
        <f t="shared" si="233"/>
        <v>0</v>
      </c>
      <c r="M1487" s="110" t="str">
        <f t="shared" si="234"/>
        <v/>
      </c>
      <c r="N1487" s="51" t="str">
        <f t="shared" si="235"/>
        <v/>
      </c>
      <c r="O1487" s="52" t="str">
        <f t="shared" si="236"/>
        <v/>
      </c>
      <c r="P1487" s="88">
        <f t="shared" si="237"/>
        <v>0</v>
      </c>
      <c r="Q1487" s="88">
        <f t="shared" si="238"/>
        <v>0</v>
      </c>
      <c r="R1487" s="88" t="e">
        <f>-IF(Tabla14[[#This Row],[DIAS HABILES O MORA]]&lt;0,(Tabla14[[#This Row],[VALOR PRESTAMO]]*Tabla14[[#This Row],[% INTERES ]]/30*U1487))+Tabla14[[#This Row],[VALOR CUOTAS]]</f>
        <v>#VALUE!</v>
      </c>
      <c r="S1487" s="88">
        <f>-IF(Tabla14[[#This Row],[DIAS HABILES O MORA]]&lt;0,(Tabla14[[#This Row],[VALOR PRESTAMO]]*Tabla14[[#This Row],[% INTERES ]]/30*U1487))</f>
        <v>0</v>
      </c>
      <c r="T1487" s="53" t="e">
        <f>Tabla14[[#This Row],[DEUDA CAPITAL]]+Tabla14[[#This Row],[INTERES  CUOTA]]</f>
        <v>#NUM!</v>
      </c>
      <c r="U1487" s="61" t="str">
        <f t="shared" si="239"/>
        <v/>
      </c>
    </row>
    <row r="1488" spans="9:21" ht="24.75" customHeight="1" x14ac:dyDescent="0.35">
      <c r="I1488" s="42">
        <f t="shared" ref="I1488:I1551" si="240">IF(C1488&lt;0,"",IF(Q1488=0,0,IF(G1488=0,H1488+1,IF(H1488&lt;G1488,H1488+1,IF(G1488=H1488,0)))))</f>
        <v>0</v>
      </c>
      <c r="J1488" s="65" t="e">
        <f t="shared" ref="J1488:J1551" si="241">IF(F1488="SOLO INTERES",Q1488*D1488,-IPMT(D1488,I1488,G1488,C1488))</f>
        <v>#NUM!</v>
      </c>
      <c r="K1488" s="83" t="e">
        <f t="shared" ref="K1488:K1551" si="242">IF(F1488="SOLO INTERES",0,-PPMT(D1488,I1488,G1488,C1488))</f>
        <v>#NUM!</v>
      </c>
      <c r="L1488" s="83">
        <f t="shared" ref="L1488:L1551" si="243">IF(F1488="SOLO INTERES",SUM(Y1488:AAE1488),IFERROR(-CUMIPMT(D1488,G1488,C1488,1,H1488,0),0)+SUM(Y1488:WY1488))</f>
        <v>0</v>
      </c>
      <c r="M1488" s="110" t="str">
        <f t="shared" ref="M1488:M1551" si="244">IFERROR(IF(F1488="SOLO INTERES",Q1488*D1488,-PMT(D1488,G1488,C1488,0)),"")</f>
        <v/>
      </c>
      <c r="N1488" s="51" t="str">
        <f t="shared" ref="N1488:N1551" si="245">IF(Q1488=0,"",IF(E1488="MENSUAL",EDATE(B1488,I1488),IF(E1488="QUINCENAL",B1488+(I1488*15),IF(E1488="SEMANAL",B1488+(I1488*7)))))</f>
        <v/>
      </c>
      <c r="O1488" s="52" t="str">
        <f t="shared" ref="O1488:O1551" si="246">IF(C1488=0,"",IF(Q1488&lt;1,"PAGADO",IF(N1488=$A$3,"COBRAR HOY",IF(N1488&lt;$A$3,"EN MORA",IF(N1488&gt;$A$3,"AL DIA")))))</f>
        <v/>
      </c>
      <c r="P1488" s="88">
        <f t="shared" ref="P1488:P1551" si="247">IFERROR(-CUMPRINC(D1488,G1488,C1488,1,H1488,0),0)+W1488</f>
        <v>0</v>
      </c>
      <c r="Q1488" s="88">
        <f t="shared" ref="Q1488:Q1551" si="248">IFERROR(C1488-P1488,"")</f>
        <v>0</v>
      </c>
      <c r="R1488" s="88" t="e">
        <f>-IF(Tabla14[[#This Row],[DIAS HABILES O MORA]]&lt;0,(Tabla14[[#This Row],[VALOR PRESTAMO]]*Tabla14[[#This Row],[% INTERES ]]/30*U1488))+Tabla14[[#This Row],[VALOR CUOTAS]]</f>
        <v>#VALUE!</v>
      </c>
      <c r="S1488" s="88">
        <f>-IF(Tabla14[[#This Row],[DIAS HABILES O MORA]]&lt;0,(Tabla14[[#This Row],[VALOR PRESTAMO]]*Tabla14[[#This Row],[% INTERES ]]/30*U1488))</f>
        <v>0</v>
      </c>
      <c r="T1488" s="53" t="e">
        <f>Tabla14[[#This Row],[DEUDA CAPITAL]]+Tabla14[[#This Row],[INTERES  CUOTA]]</f>
        <v>#NUM!</v>
      </c>
      <c r="U1488" s="61" t="str">
        <f t="shared" ref="U1488:U1551" si="249">IF(O1488="PAGADO","",IFERROR(-IF(C1488=0,"",$A$3-N1488),""))</f>
        <v/>
      </c>
    </row>
    <row r="1489" spans="9:21" ht="24.75" customHeight="1" x14ac:dyDescent="0.35">
      <c r="I1489" s="42">
        <f t="shared" si="240"/>
        <v>0</v>
      </c>
      <c r="J1489" s="65" t="e">
        <f t="shared" si="241"/>
        <v>#NUM!</v>
      </c>
      <c r="K1489" s="83" t="e">
        <f t="shared" si="242"/>
        <v>#NUM!</v>
      </c>
      <c r="L1489" s="83">
        <f t="shared" si="243"/>
        <v>0</v>
      </c>
      <c r="M1489" s="110" t="str">
        <f t="shared" si="244"/>
        <v/>
      </c>
      <c r="N1489" s="51" t="str">
        <f t="shared" si="245"/>
        <v/>
      </c>
      <c r="O1489" s="52" t="str">
        <f t="shared" si="246"/>
        <v/>
      </c>
      <c r="P1489" s="88">
        <f t="shared" si="247"/>
        <v>0</v>
      </c>
      <c r="Q1489" s="88">
        <f t="shared" si="248"/>
        <v>0</v>
      </c>
      <c r="R1489" s="88" t="e">
        <f>-IF(Tabla14[[#This Row],[DIAS HABILES O MORA]]&lt;0,(Tabla14[[#This Row],[VALOR PRESTAMO]]*Tabla14[[#This Row],[% INTERES ]]/30*U1489))+Tabla14[[#This Row],[VALOR CUOTAS]]</f>
        <v>#VALUE!</v>
      </c>
      <c r="S1489" s="88">
        <f>-IF(Tabla14[[#This Row],[DIAS HABILES O MORA]]&lt;0,(Tabla14[[#This Row],[VALOR PRESTAMO]]*Tabla14[[#This Row],[% INTERES ]]/30*U1489))</f>
        <v>0</v>
      </c>
      <c r="T1489" s="53" t="e">
        <f>Tabla14[[#This Row],[DEUDA CAPITAL]]+Tabla14[[#This Row],[INTERES  CUOTA]]</f>
        <v>#NUM!</v>
      </c>
      <c r="U1489" s="61" t="str">
        <f t="shared" si="249"/>
        <v/>
      </c>
    </row>
    <row r="1490" spans="9:21" ht="24.75" customHeight="1" x14ac:dyDescent="0.35">
      <c r="I1490" s="42">
        <f t="shared" si="240"/>
        <v>0</v>
      </c>
      <c r="J1490" s="65" t="e">
        <f t="shared" si="241"/>
        <v>#NUM!</v>
      </c>
      <c r="K1490" s="83" t="e">
        <f t="shared" si="242"/>
        <v>#NUM!</v>
      </c>
      <c r="L1490" s="83">
        <f t="shared" si="243"/>
        <v>0</v>
      </c>
      <c r="M1490" s="110" t="str">
        <f t="shared" si="244"/>
        <v/>
      </c>
      <c r="N1490" s="51" t="str">
        <f t="shared" si="245"/>
        <v/>
      </c>
      <c r="O1490" s="52" t="str">
        <f t="shared" si="246"/>
        <v/>
      </c>
      <c r="P1490" s="88">
        <f t="shared" si="247"/>
        <v>0</v>
      </c>
      <c r="Q1490" s="88">
        <f t="shared" si="248"/>
        <v>0</v>
      </c>
      <c r="R1490" s="88" t="e">
        <f>-IF(Tabla14[[#This Row],[DIAS HABILES O MORA]]&lt;0,(Tabla14[[#This Row],[VALOR PRESTAMO]]*Tabla14[[#This Row],[% INTERES ]]/30*U1490))+Tabla14[[#This Row],[VALOR CUOTAS]]</f>
        <v>#VALUE!</v>
      </c>
      <c r="S1490" s="88">
        <f>-IF(Tabla14[[#This Row],[DIAS HABILES O MORA]]&lt;0,(Tabla14[[#This Row],[VALOR PRESTAMO]]*Tabla14[[#This Row],[% INTERES ]]/30*U1490))</f>
        <v>0</v>
      </c>
      <c r="T1490" s="53" t="e">
        <f>Tabla14[[#This Row],[DEUDA CAPITAL]]+Tabla14[[#This Row],[INTERES  CUOTA]]</f>
        <v>#NUM!</v>
      </c>
      <c r="U1490" s="61" t="str">
        <f t="shared" si="249"/>
        <v/>
      </c>
    </row>
    <row r="1491" spans="9:21" ht="24.75" customHeight="1" x14ac:dyDescent="0.35">
      <c r="I1491" s="42">
        <f t="shared" si="240"/>
        <v>0</v>
      </c>
      <c r="J1491" s="65" t="e">
        <f t="shared" si="241"/>
        <v>#NUM!</v>
      </c>
      <c r="K1491" s="83" t="e">
        <f t="shared" si="242"/>
        <v>#NUM!</v>
      </c>
      <c r="L1491" s="83">
        <f t="shared" si="243"/>
        <v>0</v>
      </c>
      <c r="M1491" s="110" t="str">
        <f t="shared" si="244"/>
        <v/>
      </c>
      <c r="N1491" s="51" t="str">
        <f t="shared" si="245"/>
        <v/>
      </c>
      <c r="O1491" s="52" t="str">
        <f t="shared" si="246"/>
        <v/>
      </c>
      <c r="P1491" s="88">
        <f t="shared" si="247"/>
        <v>0</v>
      </c>
      <c r="Q1491" s="88">
        <f t="shared" si="248"/>
        <v>0</v>
      </c>
      <c r="R1491" s="88" t="e">
        <f>-IF(Tabla14[[#This Row],[DIAS HABILES O MORA]]&lt;0,(Tabla14[[#This Row],[VALOR PRESTAMO]]*Tabla14[[#This Row],[% INTERES ]]/30*U1491))+Tabla14[[#This Row],[VALOR CUOTAS]]</f>
        <v>#VALUE!</v>
      </c>
      <c r="S1491" s="88">
        <f>-IF(Tabla14[[#This Row],[DIAS HABILES O MORA]]&lt;0,(Tabla14[[#This Row],[VALOR PRESTAMO]]*Tabla14[[#This Row],[% INTERES ]]/30*U1491))</f>
        <v>0</v>
      </c>
      <c r="T1491" s="53" t="e">
        <f>Tabla14[[#This Row],[DEUDA CAPITAL]]+Tabla14[[#This Row],[INTERES  CUOTA]]</f>
        <v>#NUM!</v>
      </c>
      <c r="U1491" s="61" t="str">
        <f t="shared" si="249"/>
        <v/>
      </c>
    </row>
    <row r="1492" spans="9:21" ht="24.75" customHeight="1" x14ac:dyDescent="0.35">
      <c r="I1492" s="42">
        <f t="shared" si="240"/>
        <v>0</v>
      </c>
      <c r="J1492" s="65" t="e">
        <f t="shared" si="241"/>
        <v>#NUM!</v>
      </c>
      <c r="K1492" s="83" t="e">
        <f t="shared" si="242"/>
        <v>#NUM!</v>
      </c>
      <c r="L1492" s="83">
        <f t="shared" si="243"/>
        <v>0</v>
      </c>
      <c r="M1492" s="110" t="str">
        <f t="shared" si="244"/>
        <v/>
      </c>
      <c r="N1492" s="51" t="str">
        <f t="shared" si="245"/>
        <v/>
      </c>
      <c r="O1492" s="52" t="str">
        <f t="shared" si="246"/>
        <v/>
      </c>
      <c r="P1492" s="88">
        <f t="shared" si="247"/>
        <v>0</v>
      </c>
      <c r="Q1492" s="88">
        <f t="shared" si="248"/>
        <v>0</v>
      </c>
      <c r="R1492" s="88" t="e">
        <f>-IF(Tabla14[[#This Row],[DIAS HABILES O MORA]]&lt;0,(Tabla14[[#This Row],[VALOR PRESTAMO]]*Tabla14[[#This Row],[% INTERES ]]/30*U1492))+Tabla14[[#This Row],[VALOR CUOTAS]]</f>
        <v>#VALUE!</v>
      </c>
      <c r="S1492" s="88">
        <f>-IF(Tabla14[[#This Row],[DIAS HABILES O MORA]]&lt;0,(Tabla14[[#This Row],[VALOR PRESTAMO]]*Tabla14[[#This Row],[% INTERES ]]/30*U1492))</f>
        <v>0</v>
      </c>
      <c r="T1492" s="53" t="e">
        <f>Tabla14[[#This Row],[DEUDA CAPITAL]]+Tabla14[[#This Row],[INTERES  CUOTA]]</f>
        <v>#NUM!</v>
      </c>
      <c r="U1492" s="61" t="str">
        <f t="shared" si="249"/>
        <v/>
      </c>
    </row>
    <row r="1493" spans="9:21" ht="24.75" customHeight="1" x14ac:dyDescent="0.35">
      <c r="I1493" s="42">
        <f t="shared" si="240"/>
        <v>0</v>
      </c>
      <c r="J1493" s="65" t="e">
        <f t="shared" si="241"/>
        <v>#NUM!</v>
      </c>
      <c r="K1493" s="83" t="e">
        <f t="shared" si="242"/>
        <v>#NUM!</v>
      </c>
      <c r="L1493" s="83">
        <f t="shared" si="243"/>
        <v>0</v>
      </c>
      <c r="M1493" s="110" t="str">
        <f t="shared" si="244"/>
        <v/>
      </c>
      <c r="N1493" s="51" t="str">
        <f t="shared" si="245"/>
        <v/>
      </c>
      <c r="O1493" s="52" t="str">
        <f t="shared" si="246"/>
        <v/>
      </c>
      <c r="P1493" s="88">
        <f t="shared" si="247"/>
        <v>0</v>
      </c>
      <c r="Q1493" s="88">
        <f t="shared" si="248"/>
        <v>0</v>
      </c>
      <c r="R1493" s="88" t="e">
        <f>-IF(Tabla14[[#This Row],[DIAS HABILES O MORA]]&lt;0,(Tabla14[[#This Row],[VALOR PRESTAMO]]*Tabla14[[#This Row],[% INTERES ]]/30*U1493))+Tabla14[[#This Row],[VALOR CUOTAS]]</f>
        <v>#VALUE!</v>
      </c>
      <c r="S1493" s="88">
        <f>-IF(Tabla14[[#This Row],[DIAS HABILES O MORA]]&lt;0,(Tabla14[[#This Row],[VALOR PRESTAMO]]*Tabla14[[#This Row],[% INTERES ]]/30*U1493))</f>
        <v>0</v>
      </c>
      <c r="T1493" s="53" t="e">
        <f>Tabla14[[#This Row],[DEUDA CAPITAL]]+Tabla14[[#This Row],[INTERES  CUOTA]]</f>
        <v>#NUM!</v>
      </c>
      <c r="U1493" s="61" t="str">
        <f t="shared" si="249"/>
        <v/>
      </c>
    </row>
    <row r="1494" spans="9:21" ht="24.75" customHeight="1" x14ac:dyDescent="0.35">
      <c r="I1494" s="42">
        <f t="shared" si="240"/>
        <v>0</v>
      </c>
      <c r="J1494" s="65" t="e">
        <f t="shared" si="241"/>
        <v>#NUM!</v>
      </c>
      <c r="K1494" s="83" t="e">
        <f t="shared" si="242"/>
        <v>#NUM!</v>
      </c>
      <c r="L1494" s="83">
        <f t="shared" si="243"/>
        <v>0</v>
      </c>
      <c r="M1494" s="110" t="str">
        <f t="shared" si="244"/>
        <v/>
      </c>
      <c r="N1494" s="51" t="str">
        <f t="shared" si="245"/>
        <v/>
      </c>
      <c r="O1494" s="52" t="str">
        <f t="shared" si="246"/>
        <v/>
      </c>
      <c r="P1494" s="88">
        <f t="shared" si="247"/>
        <v>0</v>
      </c>
      <c r="Q1494" s="88">
        <f t="shared" si="248"/>
        <v>0</v>
      </c>
      <c r="R1494" s="88" t="e">
        <f>-IF(Tabla14[[#This Row],[DIAS HABILES O MORA]]&lt;0,(Tabla14[[#This Row],[VALOR PRESTAMO]]*Tabla14[[#This Row],[% INTERES ]]/30*U1494))+Tabla14[[#This Row],[VALOR CUOTAS]]</f>
        <v>#VALUE!</v>
      </c>
      <c r="S1494" s="88">
        <f>-IF(Tabla14[[#This Row],[DIAS HABILES O MORA]]&lt;0,(Tabla14[[#This Row],[VALOR PRESTAMO]]*Tabla14[[#This Row],[% INTERES ]]/30*U1494))</f>
        <v>0</v>
      </c>
      <c r="T1494" s="53" t="e">
        <f>Tabla14[[#This Row],[DEUDA CAPITAL]]+Tabla14[[#This Row],[INTERES  CUOTA]]</f>
        <v>#NUM!</v>
      </c>
      <c r="U1494" s="61" t="str">
        <f t="shared" si="249"/>
        <v/>
      </c>
    </row>
    <row r="1495" spans="9:21" ht="24.75" customHeight="1" x14ac:dyDescent="0.35">
      <c r="I1495" s="42">
        <f t="shared" si="240"/>
        <v>0</v>
      </c>
      <c r="J1495" s="65" t="e">
        <f t="shared" si="241"/>
        <v>#NUM!</v>
      </c>
      <c r="K1495" s="83" t="e">
        <f t="shared" si="242"/>
        <v>#NUM!</v>
      </c>
      <c r="L1495" s="83">
        <f t="shared" si="243"/>
        <v>0</v>
      </c>
      <c r="M1495" s="110" t="str">
        <f t="shared" si="244"/>
        <v/>
      </c>
      <c r="N1495" s="51" t="str">
        <f t="shared" si="245"/>
        <v/>
      </c>
      <c r="O1495" s="52" t="str">
        <f t="shared" si="246"/>
        <v/>
      </c>
      <c r="P1495" s="88">
        <f t="shared" si="247"/>
        <v>0</v>
      </c>
      <c r="Q1495" s="88">
        <f t="shared" si="248"/>
        <v>0</v>
      </c>
      <c r="R1495" s="88" t="e">
        <f>-IF(Tabla14[[#This Row],[DIAS HABILES O MORA]]&lt;0,(Tabla14[[#This Row],[VALOR PRESTAMO]]*Tabla14[[#This Row],[% INTERES ]]/30*U1495))+Tabla14[[#This Row],[VALOR CUOTAS]]</f>
        <v>#VALUE!</v>
      </c>
      <c r="S1495" s="88">
        <f>-IF(Tabla14[[#This Row],[DIAS HABILES O MORA]]&lt;0,(Tabla14[[#This Row],[VALOR PRESTAMO]]*Tabla14[[#This Row],[% INTERES ]]/30*U1495))</f>
        <v>0</v>
      </c>
      <c r="T1495" s="53" t="e">
        <f>Tabla14[[#This Row],[DEUDA CAPITAL]]+Tabla14[[#This Row],[INTERES  CUOTA]]</f>
        <v>#NUM!</v>
      </c>
      <c r="U1495" s="61" t="str">
        <f t="shared" si="249"/>
        <v/>
      </c>
    </row>
    <row r="1496" spans="9:21" ht="24.75" customHeight="1" x14ac:dyDescent="0.35">
      <c r="I1496" s="42">
        <f t="shared" si="240"/>
        <v>0</v>
      </c>
      <c r="J1496" s="65" t="e">
        <f t="shared" si="241"/>
        <v>#NUM!</v>
      </c>
      <c r="K1496" s="83" t="e">
        <f t="shared" si="242"/>
        <v>#NUM!</v>
      </c>
      <c r="L1496" s="83">
        <f t="shared" si="243"/>
        <v>0</v>
      </c>
      <c r="M1496" s="110" t="str">
        <f t="shared" si="244"/>
        <v/>
      </c>
      <c r="N1496" s="51" t="str">
        <f t="shared" si="245"/>
        <v/>
      </c>
      <c r="O1496" s="52" t="str">
        <f t="shared" si="246"/>
        <v/>
      </c>
      <c r="P1496" s="88">
        <f t="shared" si="247"/>
        <v>0</v>
      </c>
      <c r="Q1496" s="88">
        <f t="shared" si="248"/>
        <v>0</v>
      </c>
      <c r="R1496" s="88" t="e">
        <f>-IF(Tabla14[[#This Row],[DIAS HABILES O MORA]]&lt;0,(Tabla14[[#This Row],[VALOR PRESTAMO]]*Tabla14[[#This Row],[% INTERES ]]/30*U1496))+Tabla14[[#This Row],[VALOR CUOTAS]]</f>
        <v>#VALUE!</v>
      </c>
      <c r="S1496" s="88">
        <f>-IF(Tabla14[[#This Row],[DIAS HABILES O MORA]]&lt;0,(Tabla14[[#This Row],[VALOR PRESTAMO]]*Tabla14[[#This Row],[% INTERES ]]/30*U1496))</f>
        <v>0</v>
      </c>
      <c r="T1496" s="53" t="e">
        <f>Tabla14[[#This Row],[DEUDA CAPITAL]]+Tabla14[[#This Row],[INTERES  CUOTA]]</f>
        <v>#NUM!</v>
      </c>
      <c r="U1496" s="61" t="str">
        <f t="shared" si="249"/>
        <v/>
      </c>
    </row>
    <row r="1497" spans="9:21" ht="24.75" customHeight="1" x14ac:dyDescent="0.35">
      <c r="I1497" s="42">
        <f t="shared" si="240"/>
        <v>0</v>
      </c>
      <c r="J1497" s="65" t="e">
        <f t="shared" si="241"/>
        <v>#NUM!</v>
      </c>
      <c r="K1497" s="83" t="e">
        <f t="shared" si="242"/>
        <v>#NUM!</v>
      </c>
      <c r="L1497" s="83">
        <f t="shared" si="243"/>
        <v>0</v>
      </c>
      <c r="M1497" s="110" t="str">
        <f t="shared" si="244"/>
        <v/>
      </c>
      <c r="N1497" s="51" t="str">
        <f t="shared" si="245"/>
        <v/>
      </c>
      <c r="O1497" s="52" t="str">
        <f t="shared" si="246"/>
        <v/>
      </c>
      <c r="P1497" s="88">
        <f t="shared" si="247"/>
        <v>0</v>
      </c>
      <c r="Q1497" s="88">
        <f t="shared" si="248"/>
        <v>0</v>
      </c>
      <c r="R1497" s="88" t="e">
        <f>-IF(Tabla14[[#This Row],[DIAS HABILES O MORA]]&lt;0,(Tabla14[[#This Row],[VALOR PRESTAMO]]*Tabla14[[#This Row],[% INTERES ]]/30*U1497))+Tabla14[[#This Row],[VALOR CUOTAS]]</f>
        <v>#VALUE!</v>
      </c>
      <c r="S1497" s="88">
        <f>-IF(Tabla14[[#This Row],[DIAS HABILES O MORA]]&lt;0,(Tabla14[[#This Row],[VALOR PRESTAMO]]*Tabla14[[#This Row],[% INTERES ]]/30*U1497))</f>
        <v>0</v>
      </c>
      <c r="T1497" s="53" t="e">
        <f>Tabla14[[#This Row],[DEUDA CAPITAL]]+Tabla14[[#This Row],[INTERES  CUOTA]]</f>
        <v>#NUM!</v>
      </c>
      <c r="U1497" s="61" t="str">
        <f t="shared" si="249"/>
        <v/>
      </c>
    </row>
    <row r="1498" spans="9:21" ht="24.75" customHeight="1" x14ac:dyDescent="0.35">
      <c r="I1498" s="42">
        <f t="shared" si="240"/>
        <v>0</v>
      </c>
      <c r="J1498" s="65" t="e">
        <f t="shared" si="241"/>
        <v>#NUM!</v>
      </c>
      <c r="K1498" s="83" t="e">
        <f t="shared" si="242"/>
        <v>#NUM!</v>
      </c>
      <c r="L1498" s="83">
        <f t="shared" si="243"/>
        <v>0</v>
      </c>
      <c r="M1498" s="110" t="str">
        <f t="shared" si="244"/>
        <v/>
      </c>
      <c r="N1498" s="51" t="str">
        <f t="shared" si="245"/>
        <v/>
      </c>
      <c r="O1498" s="52" t="str">
        <f t="shared" si="246"/>
        <v/>
      </c>
      <c r="P1498" s="88">
        <f t="shared" si="247"/>
        <v>0</v>
      </c>
      <c r="Q1498" s="88">
        <f t="shared" si="248"/>
        <v>0</v>
      </c>
      <c r="R1498" s="88" t="e">
        <f>-IF(Tabla14[[#This Row],[DIAS HABILES O MORA]]&lt;0,(Tabla14[[#This Row],[VALOR PRESTAMO]]*Tabla14[[#This Row],[% INTERES ]]/30*U1498))+Tabla14[[#This Row],[VALOR CUOTAS]]</f>
        <v>#VALUE!</v>
      </c>
      <c r="S1498" s="88">
        <f>-IF(Tabla14[[#This Row],[DIAS HABILES O MORA]]&lt;0,(Tabla14[[#This Row],[VALOR PRESTAMO]]*Tabla14[[#This Row],[% INTERES ]]/30*U1498))</f>
        <v>0</v>
      </c>
      <c r="T1498" s="53" t="e">
        <f>Tabla14[[#This Row],[DEUDA CAPITAL]]+Tabla14[[#This Row],[INTERES  CUOTA]]</f>
        <v>#NUM!</v>
      </c>
      <c r="U1498" s="61" t="str">
        <f t="shared" si="249"/>
        <v/>
      </c>
    </row>
    <row r="1499" spans="9:21" ht="24.75" customHeight="1" x14ac:dyDescent="0.35">
      <c r="I1499" s="42">
        <f t="shared" si="240"/>
        <v>0</v>
      </c>
      <c r="J1499" s="65" t="e">
        <f t="shared" si="241"/>
        <v>#NUM!</v>
      </c>
      <c r="K1499" s="83" t="e">
        <f t="shared" si="242"/>
        <v>#NUM!</v>
      </c>
      <c r="L1499" s="83">
        <f t="shared" si="243"/>
        <v>0</v>
      </c>
      <c r="M1499" s="110" t="str">
        <f t="shared" si="244"/>
        <v/>
      </c>
      <c r="N1499" s="51" t="str">
        <f t="shared" si="245"/>
        <v/>
      </c>
      <c r="O1499" s="52" t="str">
        <f t="shared" si="246"/>
        <v/>
      </c>
      <c r="P1499" s="88">
        <f t="shared" si="247"/>
        <v>0</v>
      </c>
      <c r="Q1499" s="88">
        <f t="shared" si="248"/>
        <v>0</v>
      </c>
      <c r="R1499" s="88" t="e">
        <f>-IF(Tabla14[[#This Row],[DIAS HABILES O MORA]]&lt;0,(Tabla14[[#This Row],[VALOR PRESTAMO]]*Tabla14[[#This Row],[% INTERES ]]/30*U1499))+Tabla14[[#This Row],[VALOR CUOTAS]]</f>
        <v>#VALUE!</v>
      </c>
      <c r="S1499" s="88">
        <f>-IF(Tabla14[[#This Row],[DIAS HABILES O MORA]]&lt;0,(Tabla14[[#This Row],[VALOR PRESTAMO]]*Tabla14[[#This Row],[% INTERES ]]/30*U1499))</f>
        <v>0</v>
      </c>
      <c r="T1499" s="53" t="e">
        <f>Tabla14[[#This Row],[DEUDA CAPITAL]]+Tabla14[[#This Row],[INTERES  CUOTA]]</f>
        <v>#NUM!</v>
      </c>
      <c r="U1499" s="61" t="str">
        <f t="shared" si="249"/>
        <v/>
      </c>
    </row>
    <row r="1500" spans="9:21" ht="24.75" customHeight="1" x14ac:dyDescent="0.35">
      <c r="I1500" s="42">
        <f t="shared" si="240"/>
        <v>0</v>
      </c>
      <c r="J1500" s="65" t="e">
        <f t="shared" si="241"/>
        <v>#NUM!</v>
      </c>
      <c r="K1500" s="83" t="e">
        <f t="shared" si="242"/>
        <v>#NUM!</v>
      </c>
      <c r="L1500" s="83">
        <f t="shared" si="243"/>
        <v>0</v>
      </c>
      <c r="M1500" s="110" t="str">
        <f t="shared" si="244"/>
        <v/>
      </c>
      <c r="N1500" s="51" t="str">
        <f t="shared" si="245"/>
        <v/>
      </c>
      <c r="O1500" s="52" t="str">
        <f t="shared" si="246"/>
        <v/>
      </c>
      <c r="P1500" s="88">
        <f t="shared" si="247"/>
        <v>0</v>
      </c>
      <c r="Q1500" s="88">
        <f t="shared" si="248"/>
        <v>0</v>
      </c>
      <c r="R1500" s="88" t="e">
        <f>-IF(Tabla14[[#This Row],[DIAS HABILES O MORA]]&lt;0,(Tabla14[[#This Row],[VALOR PRESTAMO]]*Tabla14[[#This Row],[% INTERES ]]/30*U1500))+Tabla14[[#This Row],[VALOR CUOTAS]]</f>
        <v>#VALUE!</v>
      </c>
      <c r="S1500" s="88">
        <f>-IF(Tabla14[[#This Row],[DIAS HABILES O MORA]]&lt;0,(Tabla14[[#This Row],[VALOR PRESTAMO]]*Tabla14[[#This Row],[% INTERES ]]/30*U1500))</f>
        <v>0</v>
      </c>
      <c r="T1500" s="53" t="e">
        <f>Tabla14[[#This Row],[DEUDA CAPITAL]]+Tabla14[[#This Row],[INTERES  CUOTA]]</f>
        <v>#NUM!</v>
      </c>
      <c r="U1500" s="61" t="str">
        <f t="shared" si="249"/>
        <v/>
      </c>
    </row>
    <row r="1501" spans="9:21" ht="24.75" customHeight="1" x14ac:dyDescent="0.35">
      <c r="I1501" s="42">
        <f t="shared" si="240"/>
        <v>0</v>
      </c>
      <c r="J1501" s="65" t="e">
        <f t="shared" si="241"/>
        <v>#NUM!</v>
      </c>
      <c r="K1501" s="83" t="e">
        <f t="shared" si="242"/>
        <v>#NUM!</v>
      </c>
      <c r="L1501" s="83">
        <f t="shared" si="243"/>
        <v>0</v>
      </c>
      <c r="M1501" s="110" t="str">
        <f t="shared" si="244"/>
        <v/>
      </c>
      <c r="N1501" s="51" t="str">
        <f t="shared" si="245"/>
        <v/>
      </c>
      <c r="O1501" s="52" t="str">
        <f t="shared" si="246"/>
        <v/>
      </c>
      <c r="P1501" s="88">
        <f t="shared" si="247"/>
        <v>0</v>
      </c>
      <c r="Q1501" s="88">
        <f t="shared" si="248"/>
        <v>0</v>
      </c>
      <c r="R1501" s="88" t="e">
        <f>-IF(Tabla14[[#This Row],[DIAS HABILES O MORA]]&lt;0,(Tabla14[[#This Row],[VALOR PRESTAMO]]*Tabla14[[#This Row],[% INTERES ]]/30*U1501))+Tabla14[[#This Row],[VALOR CUOTAS]]</f>
        <v>#VALUE!</v>
      </c>
      <c r="S1501" s="88">
        <f>-IF(Tabla14[[#This Row],[DIAS HABILES O MORA]]&lt;0,(Tabla14[[#This Row],[VALOR PRESTAMO]]*Tabla14[[#This Row],[% INTERES ]]/30*U1501))</f>
        <v>0</v>
      </c>
      <c r="T1501" s="53" t="e">
        <f>Tabla14[[#This Row],[DEUDA CAPITAL]]+Tabla14[[#This Row],[INTERES  CUOTA]]</f>
        <v>#NUM!</v>
      </c>
      <c r="U1501" s="61" t="str">
        <f t="shared" si="249"/>
        <v/>
      </c>
    </row>
    <row r="1502" spans="9:21" ht="24.75" customHeight="1" x14ac:dyDescent="0.35">
      <c r="I1502" s="42">
        <f t="shared" si="240"/>
        <v>0</v>
      </c>
      <c r="J1502" s="65" t="e">
        <f t="shared" si="241"/>
        <v>#NUM!</v>
      </c>
      <c r="K1502" s="83" t="e">
        <f t="shared" si="242"/>
        <v>#NUM!</v>
      </c>
      <c r="L1502" s="83">
        <f t="shared" si="243"/>
        <v>0</v>
      </c>
      <c r="M1502" s="110" t="str">
        <f t="shared" si="244"/>
        <v/>
      </c>
      <c r="N1502" s="51" t="str">
        <f t="shared" si="245"/>
        <v/>
      </c>
      <c r="O1502" s="52" t="str">
        <f t="shared" si="246"/>
        <v/>
      </c>
      <c r="P1502" s="88">
        <f t="shared" si="247"/>
        <v>0</v>
      </c>
      <c r="Q1502" s="88">
        <f t="shared" si="248"/>
        <v>0</v>
      </c>
      <c r="R1502" s="88" t="e">
        <f>-IF(Tabla14[[#This Row],[DIAS HABILES O MORA]]&lt;0,(Tabla14[[#This Row],[VALOR PRESTAMO]]*Tabla14[[#This Row],[% INTERES ]]/30*U1502))+Tabla14[[#This Row],[VALOR CUOTAS]]</f>
        <v>#VALUE!</v>
      </c>
      <c r="S1502" s="88">
        <f>-IF(Tabla14[[#This Row],[DIAS HABILES O MORA]]&lt;0,(Tabla14[[#This Row],[VALOR PRESTAMO]]*Tabla14[[#This Row],[% INTERES ]]/30*U1502))</f>
        <v>0</v>
      </c>
      <c r="T1502" s="53" t="e">
        <f>Tabla14[[#This Row],[DEUDA CAPITAL]]+Tabla14[[#This Row],[INTERES  CUOTA]]</f>
        <v>#NUM!</v>
      </c>
      <c r="U1502" s="61" t="str">
        <f t="shared" si="249"/>
        <v/>
      </c>
    </row>
    <row r="1503" spans="9:21" ht="24.75" customHeight="1" x14ac:dyDescent="0.35">
      <c r="I1503" s="42">
        <f t="shared" si="240"/>
        <v>0</v>
      </c>
      <c r="J1503" s="65" t="e">
        <f t="shared" si="241"/>
        <v>#NUM!</v>
      </c>
      <c r="K1503" s="83" t="e">
        <f t="shared" si="242"/>
        <v>#NUM!</v>
      </c>
      <c r="L1503" s="83">
        <f t="shared" si="243"/>
        <v>0</v>
      </c>
      <c r="M1503" s="110" t="str">
        <f t="shared" si="244"/>
        <v/>
      </c>
      <c r="N1503" s="51" t="str">
        <f t="shared" si="245"/>
        <v/>
      </c>
      <c r="O1503" s="52" t="str">
        <f t="shared" si="246"/>
        <v/>
      </c>
      <c r="P1503" s="88">
        <f t="shared" si="247"/>
        <v>0</v>
      </c>
      <c r="Q1503" s="88">
        <f t="shared" si="248"/>
        <v>0</v>
      </c>
      <c r="R1503" s="88" t="e">
        <f>-IF(Tabla14[[#This Row],[DIAS HABILES O MORA]]&lt;0,(Tabla14[[#This Row],[VALOR PRESTAMO]]*Tabla14[[#This Row],[% INTERES ]]/30*U1503))+Tabla14[[#This Row],[VALOR CUOTAS]]</f>
        <v>#VALUE!</v>
      </c>
      <c r="S1503" s="88">
        <f>-IF(Tabla14[[#This Row],[DIAS HABILES O MORA]]&lt;0,(Tabla14[[#This Row],[VALOR PRESTAMO]]*Tabla14[[#This Row],[% INTERES ]]/30*U1503))</f>
        <v>0</v>
      </c>
      <c r="T1503" s="53" t="e">
        <f>Tabla14[[#This Row],[DEUDA CAPITAL]]+Tabla14[[#This Row],[INTERES  CUOTA]]</f>
        <v>#NUM!</v>
      </c>
      <c r="U1503" s="61" t="str">
        <f t="shared" si="249"/>
        <v/>
      </c>
    </row>
    <row r="1504" spans="9:21" ht="24.75" customHeight="1" x14ac:dyDescent="0.35">
      <c r="I1504" s="42">
        <f t="shared" si="240"/>
        <v>0</v>
      </c>
      <c r="J1504" s="65" t="e">
        <f t="shared" si="241"/>
        <v>#NUM!</v>
      </c>
      <c r="K1504" s="83" t="e">
        <f t="shared" si="242"/>
        <v>#NUM!</v>
      </c>
      <c r="L1504" s="83">
        <f t="shared" si="243"/>
        <v>0</v>
      </c>
      <c r="M1504" s="110" t="str">
        <f t="shared" si="244"/>
        <v/>
      </c>
      <c r="N1504" s="51" t="str">
        <f t="shared" si="245"/>
        <v/>
      </c>
      <c r="O1504" s="52" t="str">
        <f t="shared" si="246"/>
        <v/>
      </c>
      <c r="P1504" s="88">
        <f t="shared" si="247"/>
        <v>0</v>
      </c>
      <c r="Q1504" s="88">
        <f t="shared" si="248"/>
        <v>0</v>
      </c>
      <c r="R1504" s="88" t="e">
        <f>-IF(Tabla14[[#This Row],[DIAS HABILES O MORA]]&lt;0,(Tabla14[[#This Row],[VALOR PRESTAMO]]*Tabla14[[#This Row],[% INTERES ]]/30*U1504))+Tabla14[[#This Row],[VALOR CUOTAS]]</f>
        <v>#VALUE!</v>
      </c>
      <c r="S1504" s="88">
        <f>-IF(Tabla14[[#This Row],[DIAS HABILES O MORA]]&lt;0,(Tabla14[[#This Row],[VALOR PRESTAMO]]*Tabla14[[#This Row],[% INTERES ]]/30*U1504))</f>
        <v>0</v>
      </c>
      <c r="T1504" s="53" t="e">
        <f>Tabla14[[#This Row],[DEUDA CAPITAL]]+Tabla14[[#This Row],[INTERES  CUOTA]]</f>
        <v>#NUM!</v>
      </c>
      <c r="U1504" s="61" t="str">
        <f t="shared" si="249"/>
        <v/>
      </c>
    </row>
    <row r="1505" spans="9:21" ht="24.75" customHeight="1" x14ac:dyDescent="0.35">
      <c r="I1505" s="42">
        <f t="shared" si="240"/>
        <v>0</v>
      </c>
      <c r="J1505" s="65" t="e">
        <f t="shared" si="241"/>
        <v>#NUM!</v>
      </c>
      <c r="K1505" s="83" t="e">
        <f t="shared" si="242"/>
        <v>#NUM!</v>
      </c>
      <c r="L1505" s="83">
        <f t="shared" si="243"/>
        <v>0</v>
      </c>
      <c r="M1505" s="110" t="str">
        <f t="shared" si="244"/>
        <v/>
      </c>
      <c r="N1505" s="51" t="str">
        <f t="shared" si="245"/>
        <v/>
      </c>
      <c r="O1505" s="52" t="str">
        <f t="shared" si="246"/>
        <v/>
      </c>
      <c r="P1505" s="88">
        <f t="shared" si="247"/>
        <v>0</v>
      </c>
      <c r="Q1505" s="88">
        <f t="shared" si="248"/>
        <v>0</v>
      </c>
      <c r="R1505" s="88" t="e">
        <f>-IF(Tabla14[[#This Row],[DIAS HABILES O MORA]]&lt;0,(Tabla14[[#This Row],[VALOR PRESTAMO]]*Tabla14[[#This Row],[% INTERES ]]/30*U1505))+Tabla14[[#This Row],[VALOR CUOTAS]]</f>
        <v>#VALUE!</v>
      </c>
      <c r="S1505" s="88">
        <f>-IF(Tabla14[[#This Row],[DIAS HABILES O MORA]]&lt;0,(Tabla14[[#This Row],[VALOR PRESTAMO]]*Tabla14[[#This Row],[% INTERES ]]/30*U1505))</f>
        <v>0</v>
      </c>
      <c r="T1505" s="53" t="e">
        <f>Tabla14[[#This Row],[DEUDA CAPITAL]]+Tabla14[[#This Row],[INTERES  CUOTA]]</f>
        <v>#NUM!</v>
      </c>
      <c r="U1505" s="61" t="str">
        <f t="shared" si="249"/>
        <v/>
      </c>
    </row>
    <row r="1506" spans="9:21" ht="24.75" customHeight="1" x14ac:dyDescent="0.35">
      <c r="I1506" s="42">
        <f t="shared" si="240"/>
        <v>0</v>
      </c>
      <c r="J1506" s="65" t="e">
        <f t="shared" si="241"/>
        <v>#NUM!</v>
      </c>
      <c r="K1506" s="83" t="e">
        <f t="shared" si="242"/>
        <v>#NUM!</v>
      </c>
      <c r="L1506" s="83">
        <f t="shared" si="243"/>
        <v>0</v>
      </c>
      <c r="M1506" s="110" t="str">
        <f t="shared" si="244"/>
        <v/>
      </c>
      <c r="N1506" s="51" t="str">
        <f t="shared" si="245"/>
        <v/>
      </c>
      <c r="O1506" s="52" t="str">
        <f t="shared" si="246"/>
        <v/>
      </c>
      <c r="P1506" s="88">
        <f t="shared" si="247"/>
        <v>0</v>
      </c>
      <c r="Q1506" s="88">
        <f t="shared" si="248"/>
        <v>0</v>
      </c>
      <c r="R1506" s="88" t="e">
        <f>-IF(Tabla14[[#This Row],[DIAS HABILES O MORA]]&lt;0,(Tabla14[[#This Row],[VALOR PRESTAMO]]*Tabla14[[#This Row],[% INTERES ]]/30*U1506))+Tabla14[[#This Row],[VALOR CUOTAS]]</f>
        <v>#VALUE!</v>
      </c>
      <c r="S1506" s="88">
        <f>-IF(Tabla14[[#This Row],[DIAS HABILES O MORA]]&lt;0,(Tabla14[[#This Row],[VALOR PRESTAMO]]*Tabla14[[#This Row],[% INTERES ]]/30*U1506))</f>
        <v>0</v>
      </c>
      <c r="T1506" s="53" t="e">
        <f>Tabla14[[#This Row],[DEUDA CAPITAL]]+Tabla14[[#This Row],[INTERES  CUOTA]]</f>
        <v>#NUM!</v>
      </c>
      <c r="U1506" s="61" t="str">
        <f t="shared" si="249"/>
        <v/>
      </c>
    </row>
    <row r="1507" spans="9:21" ht="24.75" customHeight="1" x14ac:dyDescent="0.35">
      <c r="I1507" s="42">
        <f t="shared" si="240"/>
        <v>0</v>
      </c>
      <c r="J1507" s="65" t="e">
        <f t="shared" si="241"/>
        <v>#NUM!</v>
      </c>
      <c r="K1507" s="83" t="e">
        <f t="shared" si="242"/>
        <v>#NUM!</v>
      </c>
      <c r="L1507" s="83">
        <f t="shared" si="243"/>
        <v>0</v>
      </c>
      <c r="M1507" s="110" t="str">
        <f t="shared" si="244"/>
        <v/>
      </c>
      <c r="N1507" s="51" t="str">
        <f t="shared" si="245"/>
        <v/>
      </c>
      <c r="O1507" s="52" t="str">
        <f t="shared" si="246"/>
        <v/>
      </c>
      <c r="P1507" s="88">
        <f t="shared" si="247"/>
        <v>0</v>
      </c>
      <c r="Q1507" s="88">
        <f t="shared" si="248"/>
        <v>0</v>
      </c>
      <c r="R1507" s="88" t="e">
        <f>-IF(Tabla14[[#This Row],[DIAS HABILES O MORA]]&lt;0,(Tabla14[[#This Row],[VALOR PRESTAMO]]*Tabla14[[#This Row],[% INTERES ]]/30*U1507))+Tabla14[[#This Row],[VALOR CUOTAS]]</f>
        <v>#VALUE!</v>
      </c>
      <c r="S1507" s="88">
        <f>-IF(Tabla14[[#This Row],[DIAS HABILES O MORA]]&lt;0,(Tabla14[[#This Row],[VALOR PRESTAMO]]*Tabla14[[#This Row],[% INTERES ]]/30*U1507))</f>
        <v>0</v>
      </c>
      <c r="T1507" s="53" t="e">
        <f>Tabla14[[#This Row],[DEUDA CAPITAL]]+Tabla14[[#This Row],[INTERES  CUOTA]]</f>
        <v>#NUM!</v>
      </c>
      <c r="U1507" s="61" t="str">
        <f t="shared" si="249"/>
        <v/>
      </c>
    </row>
    <row r="1508" spans="9:21" ht="24.75" customHeight="1" x14ac:dyDescent="0.35">
      <c r="I1508" s="42">
        <f t="shared" si="240"/>
        <v>0</v>
      </c>
      <c r="J1508" s="65" t="e">
        <f t="shared" si="241"/>
        <v>#NUM!</v>
      </c>
      <c r="K1508" s="83" t="e">
        <f t="shared" si="242"/>
        <v>#NUM!</v>
      </c>
      <c r="L1508" s="83">
        <f t="shared" si="243"/>
        <v>0</v>
      </c>
      <c r="M1508" s="110" t="str">
        <f t="shared" si="244"/>
        <v/>
      </c>
      <c r="N1508" s="51" t="str">
        <f t="shared" si="245"/>
        <v/>
      </c>
      <c r="O1508" s="52" t="str">
        <f t="shared" si="246"/>
        <v/>
      </c>
      <c r="P1508" s="88">
        <f t="shared" si="247"/>
        <v>0</v>
      </c>
      <c r="Q1508" s="88">
        <f t="shared" si="248"/>
        <v>0</v>
      </c>
      <c r="R1508" s="88" t="e">
        <f>-IF(Tabla14[[#This Row],[DIAS HABILES O MORA]]&lt;0,(Tabla14[[#This Row],[VALOR PRESTAMO]]*Tabla14[[#This Row],[% INTERES ]]/30*U1508))+Tabla14[[#This Row],[VALOR CUOTAS]]</f>
        <v>#VALUE!</v>
      </c>
      <c r="S1508" s="88">
        <f>-IF(Tabla14[[#This Row],[DIAS HABILES O MORA]]&lt;0,(Tabla14[[#This Row],[VALOR PRESTAMO]]*Tabla14[[#This Row],[% INTERES ]]/30*U1508))</f>
        <v>0</v>
      </c>
      <c r="T1508" s="53" t="e">
        <f>Tabla14[[#This Row],[DEUDA CAPITAL]]+Tabla14[[#This Row],[INTERES  CUOTA]]</f>
        <v>#NUM!</v>
      </c>
      <c r="U1508" s="61" t="str">
        <f t="shared" si="249"/>
        <v/>
      </c>
    </row>
    <row r="1509" spans="9:21" ht="24.75" customHeight="1" x14ac:dyDescent="0.35">
      <c r="I1509" s="42">
        <f t="shared" si="240"/>
        <v>0</v>
      </c>
      <c r="J1509" s="65" t="e">
        <f t="shared" si="241"/>
        <v>#NUM!</v>
      </c>
      <c r="K1509" s="83" t="e">
        <f t="shared" si="242"/>
        <v>#NUM!</v>
      </c>
      <c r="L1509" s="83">
        <f t="shared" si="243"/>
        <v>0</v>
      </c>
      <c r="M1509" s="110" t="str">
        <f t="shared" si="244"/>
        <v/>
      </c>
      <c r="N1509" s="51" t="str">
        <f t="shared" si="245"/>
        <v/>
      </c>
      <c r="O1509" s="52" t="str">
        <f t="shared" si="246"/>
        <v/>
      </c>
      <c r="P1509" s="88">
        <f t="shared" si="247"/>
        <v>0</v>
      </c>
      <c r="Q1509" s="88">
        <f t="shared" si="248"/>
        <v>0</v>
      </c>
      <c r="R1509" s="88" t="e">
        <f>-IF(Tabla14[[#This Row],[DIAS HABILES O MORA]]&lt;0,(Tabla14[[#This Row],[VALOR PRESTAMO]]*Tabla14[[#This Row],[% INTERES ]]/30*U1509))+Tabla14[[#This Row],[VALOR CUOTAS]]</f>
        <v>#VALUE!</v>
      </c>
      <c r="S1509" s="88">
        <f>-IF(Tabla14[[#This Row],[DIAS HABILES O MORA]]&lt;0,(Tabla14[[#This Row],[VALOR PRESTAMO]]*Tabla14[[#This Row],[% INTERES ]]/30*U1509))</f>
        <v>0</v>
      </c>
      <c r="T1509" s="53" t="e">
        <f>Tabla14[[#This Row],[DEUDA CAPITAL]]+Tabla14[[#This Row],[INTERES  CUOTA]]</f>
        <v>#NUM!</v>
      </c>
      <c r="U1509" s="61" t="str">
        <f t="shared" si="249"/>
        <v/>
      </c>
    </row>
    <row r="1510" spans="9:21" ht="24.75" customHeight="1" x14ac:dyDescent="0.35">
      <c r="I1510" s="42">
        <f t="shared" si="240"/>
        <v>0</v>
      </c>
      <c r="J1510" s="65" t="e">
        <f t="shared" si="241"/>
        <v>#NUM!</v>
      </c>
      <c r="K1510" s="83" t="e">
        <f t="shared" si="242"/>
        <v>#NUM!</v>
      </c>
      <c r="L1510" s="83">
        <f t="shared" si="243"/>
        <v>0</v>
      </c>
      <c r="M1510" s="110" t="str">
        <f t="shared" si="244"/>
        <v/>
      </c>
      <c r="N1510" s="51" t="str">
        <f t="shared" si="245"/>
        <v/>
      </c>
      <c r="O1510" s="52" t="str">
        <f t="shared" si="246"/>
        <v/>
      </c>
      <c r="P1510" s="88">
        <f t="shared" si="247"/>
        <v>0</v>
      </c>
      <c r="Q1510" s="88">
        <f t="shared" si="248"/>
        <v>0</v>
      </c>
      <c r="R1510" s="88" t="e">
        <f>-IF(Tabla14[[#This Row],[DIAS HABILES O MORA]]&lt;0,(Tabla14[[#This Row],[VALOR PRESTAMO]]*Tabla14[[#This Row],[% INTERES ]]/30*U1510))+Tabla14[[#This Row],[VALOR CUOTAS]]</f>
        <v>#VALUE!</v>
      </c>
      <c r="S1510" s="88">
        <f>-IF(Tabla14[[#This Row],[DIAS HABILES O MORA]]&lt;0,(Tabla14[[#This Row],[VALOR PRESTAMO]]*Tabla14[[#This Row],[% INTERES ]]/30*U1510))</f>
        <v>0</v>
      </c>
      <c r="T1510" s="53" t="e">
        <f>Tabla14[[#This Row],[DEUDA CAPITAL]]+Tabla14[[#This Row],[INTERES  CUOTA]]</f>
        <v>#NUM!</v>
      </c>
      <c r="U1510" s="61" t="str">
        <f t="shared" si="249"/>
        <v/>
      </c>
    </row>
    <row r="1511" spans="9:21" ht="24.75" customHeight="1" x14ac:dyDescent="0.35">
      <c r="I1511" s="42">
        <f t="shared" si="240"/>
        <v>0</v>
      </c>
      <c r="J1511" s="65" t="e">
        <f t="shared" si="241"/>
        <v>#NUM!</v>
      </c>
      <c r="K1511" s="83" t="e">
        <f t="shared" si="242"/>
        <v>#NUM!</v>
      </c>
      <c r="L1511" s="83">
        <f t="shared" si="243"/>
        <v>0</v>
      </c>
      <c r="M1511" s="110" t="str">
        <f t="shared" si="244"/>
        <v/>
      </c>
      <c r="N1511" s="51" t="str">
        <f t="shared" si="245"/>
        <v/>
      </c>
      <c r="O1511" s="52" t="str">
        <f t="shared" si="246"/>
        <v/>
      </c>
      <c r="P1511" s="88">
        <f t="shared" si="247"/>
        <v>0</v>
      </c>
      <c r="Q1511" s="88">
        <f t="shared" si="248"/>
        <v>0</v>
      </c>
      <c r="R1511" s="88" t="e">
        <f>-IF(Tabla14[[#This Row],[DIAS HABILES O MORA]]&lt;0,(Tabla14[[#This Row],[VALOR PRESTAMO]]*Tabla14[[#This Row],[% INTERES ]]/30*U1511))+Tabla14[[#This Row],[VALOR CUOTAS]]</f>
        <v>#VALUE!</v>
      </c>
      <c r="S1511" s="88">
        <f>-IF(Tabla14[[#This Row],[DIAS HABILES O MORA]]&lt;0,(Tabla14[[#This Row],[VALOR PRESTAMO]]*Tabla14[[#This Row],[% INTERES ]]/30*U1511))</f>
        <v>0</v>
      </c>
      <c r="T1511" s="53" t="e">
        <f>Tabla14[[#This Row],[DEUDA CAPITAL]]+Tabla14[[#This Row],[INTERES  CUOTA]]</f>
        <v>#NUM!</v>
      </c>
      <c r="U1511" s="61" t="str">
        <f t="shared" si="249"/>
        <v/>
      </c>
    </row>
    <row r="1512" spans="9:21" ht="24.75" customHeight="1" x14ac:dyDescent="0.35">
      <c r="I1512" s="42">
        <f t="shared" si="240"/>
        <v>0</v>
      </c>
      <c r="J1512" s="65" t="e">
        <f t="shared" si="241"/>
        <v>#NUM!</v>
      </c>
      <c r="K1512" s="83" t="e">
        <f t="shared" si="242"/>
        <v>#NUM!</v>
      </c>
      <c r="L1512" s="83">
        <f t="shared" si="243"/>
        <v>0</v>
      </c>
      <c r="M1512" s="110" t="str">
        <f t="shared" si="244"/>
        <v/>
      </c>
      <c r="N1512" s="51" t="str">
        <f t="shared" si="245"/>
        <v/>
      </c>
      <c r="O1512" s="52" t="str">
        <f t="shared" si="246"/>
        <v/>
      </c>
      <c r="P1512" s="88">
        <f t="shared" si="247"/>
        <v>0</v>
      </c>
      <c r="Q1512" s="88">
        <f t="shared" si="248"/>
        <v>0</v>
      </c>
      <c r="R1512" s="88" t="e">
        <f>-IF(Tabla14[[#This Row],[DIAS HABILES O MORA]]&lt;0,(Tabla14[[#This Row],[VALOR PRESTAMO]]*Tabla14[[#This Row],[% INTERES ]]/30*U1512))+Tabla14[[#This Row],[VALOR CUOTAS]]</f>
        <v>#VALUE!</v>
      </c>
      <c r="S1512" s="88">
        <f>-IF(Tabla14[[#This Row],[DIAS HABILES O MORA]]&lt;0,(Tabla14[[#This Row],[VALOR PRESTAMO]]*Tabla14[[#This Row],[% INTERES ]]/30*U1512))</f>
        <v>0</v>
      </c>
      <c r="T1512" s="53" t="e">
        <f>Tabla14[[#This Row],[DEUDA CAPITAL]]+Tabla14[[#This Row],[INTERES  CUOTA]]</f>
        <v>#NUM!</v>
      </c>
      <c r="U1512" s="61" t="str">
        <f t="shared" si="249"/>
        <v/>
      </c>
    </row>
    <row r="1513" spans="9:21" ht="24.75" customHeight="1" x14ac:dyDescent="0.35">
      <c r="I1513" s="42">
        <f t="shared" si="240"/>
        <v>0</v>
      </c>
      <c r="J1513" s="65" t="e">
        <f t="shared" si="241"/>
        <v>#NUM!</v>
      </c>
      <c r="K1513" s="83" t="e">
        <f t="shared" si="242"/>
        <v>#NUM!</v>
      </c>
      <c r="L1513" s="83">
        <f t="shared" si="243"/>
        <v>0</v>
      </c>
      <c r="M1513" s="110" t="str">
        <f t="shared" si="244"/>
        <v/>
      </c>
      <c r="N1513" s="51" t="str">
        <f t="shared" si="245"/>
        <v/>
      </c>
      <c r="O1513" s="52" t="str">
        <f t="shared" si="246"/>
        <v/>
      </c>
      <c r="P1513" s="88">
        <f t="shared" si="247"/>
        <v>0</v>
      </c>
      <c r="Q1513" s="88">
        <f t="shared" si="248"/>
        <v>0</v>
      </c>
      <c r="R1513" s="88" t="e">
        <f>-IF(Tabla14[[#This Row],[DIAS HABILES O MORA]]&lt;0,(Tabla14[[#This Row],[VALOR PRESTAMO]]*Tabla14[[#This Row],[% INTERES ]]/30*U1513))+Tabla14[[#This Row],[VALOR CUOTAS]]</f>
        <v>#VALUE!</v>
      </c>
      <c r="S1513" s="88">
        <f>-IF(Tabla14[[#This Row],[DIAS HABILES O MORA]]&lt;0,(Tabla14[[#This Row],[VALOR PRESTAMO]]*Tabla14[[#This Row],[% INTERES ]]/30*U1513))</f>
        <v>0</v>
      </c>
      <c r="T1513" s="53" t="e">
        <f>Tabla14[[#This Row],[DEUDA CAPITAL]]+Tabla14[[#This Row],[INTERES  CUOTA]]</f>
        <v>#NUM!</v>
      </c>
      <c r="U1513" s="61" t="str">
        <f t="shared" si="249"/>
        <v/>
      </c>
    </row>
    <row r="1514" spans="9:21" ht="24.75" customHeight="1" x14ac:dyDescent="0.35">
      <c r="I1514" s="42">
        <f t="shared" si="240"/>
        <v>0</v>
      </c>
      <c r="J1514" s="65" t="e">
        <f t="shared" si="241"/>
        <v>#NUM!</v>
      </c>
      <c r="K1514" s="83" t="e">
        <f t="shared" si="242"/>
        <v>#NUM!</v>
      </c>
      <c r="L1514" s="83">
        <f t="shared" si="243"/>
        <v>0</v>
      </c>
      <c r="M1514" s="110" t="str">
        <f t="shared" si="244"/>
        <v/>
      </c>
      <c r="N1514" s="51" t="str">
        <f t="shared" si="245"/>
        <v/>
      </c>
      <c r="O1514" s="52" t="str">
        <f t="shared" si="246"/>
        <v/>
      </c>
      <c r="P1514" s="88">
        <f t="shared" si="247"/>
        <v>0</v>
      </c>
      <c r="Q1514" s="88">
        <f t="shared" si="248"/>
        <v>0</v>
      </c>
      <c r="R1514" s="88" t="e">
        <f>-IF(Tabla14[[#This Row],[DIAS HABILES O MORA]]&lt;0,(Tabla14[[#This Row],[VALOR PRESTAMO]]*Tabla14[[#This Row],[% INTERES ]]/30*U1514))+Tabla14[[#This Row],[VALOR CUOTAS]]</f>
        <v>#VALUE!</v>
      </c>
      <c r="S1514" s="88">
        <f>-IF(Tabla14[[#This Row],[DIAS HABILES O MORA]]&lt;0,(Tabla14[[#This Row],[VALOR PRESTAMO]]*Tabla14[[#This Row],[% INTERES ]]/30*U1514))</f>
        <v>0</v>
      </c>
      <c r="T1514" s="53" t="e">
        <f>Tabla14[[#This Row],[DEUDA CAPITAL]]+Tabla14[[#This Row],[INTERES  CUOTA]]</f>
        <v>#NUM!</v>
      </c>
      <c r="U1514" s="61" t="str">
        <f t="shared" si="249"/>
        <v/>
      </c>
    </row>
    <row r="1515" spans="9:21" ht="24.75" customHeight="1" x14ac:dyDescent="0.35">
      <c r="I1515" s="42">
        <f t="shared" si="240"/>
        <v>0</v>
      </c>
      <c r="J1515" s="65" t="e">
        <f t="shared" si="241"/>
        <v>#NUM!</v>
      </c>
      <c r="K1515" s="83" t="e">
        <f t="shared" si="242"/>
        <v>#NUM!</v>
      </c>
      <c r="L1515" s="83">
        <f t="shared" si="243"/>
        <v>0</v>
      </c>
      <c r="M1515" s="110" t="str">
        <f t="shared" si="244"/>
        <v/>
      </c>
      <c r="N1515" s="51" t="str">
        <f t="shared" si="245"/>
        <v/>
      </c>
      <c r="O1515" s="52" t="str">
        <f t="shared" si="246"/>
        <v/>
      </c>
      <c r="P1515" s="88">
        <f t="shared" si="247"/>
        <v>0</v>
      </c>
      <c r="Q1515" s="88">
        <f t="shared" si="248"/>
        <v>0</v>
      </c>
      <c r="R1515" s="88" t="e">
        <f>-IF(Tabla14[[#This Row],[DIAS HABILES O MORA]]&lt;0,(Tabla14[[#This Row],[VALOR PRESTAMO]]*Tabla14[[#This Row],[% INTERES ]]/30*U1515))+Tabla14[[#This Row],[VALOR CUOTAS]]</f>
        <v>#VALUE!</v>
      </c>
      <c r="S1515" s="88">
        <f>-IF(Tabla14[[#This Row],[DIAS HABILES O MORA]]&lt;0,(Tabla14[[#This Row],[VALOR PRESTAMO]]*Tabla14[[#This Row],[% INTERES ]]/30*U1515))</f>
        <v>0</v>
      </c>
      <c r="T1515" s="53" t="e">
        <f>Tabla14[[#This Row],[DEUDA CAPITAL]]+Tabla14[[#This Row],[INTERES  CUOTA]]</f>
        <v>#NUM!</v>
      </c>
      <c r="U1515" s="61" t="str">
        <f t="shared" si="249"/>
        <v/>
      </c>
    </row>
    <row r="1516" spans="9:21" ht="24.75" customHeight="1" x14ac:dyDescent="0.35">
      <c r="I1516" s="42">
        <f t="shared" si="240"/>
        <v>0</v>
      </c>
      <c r="J1516" s="65" t="e">
        <f t="shared" si="241"/>
        <v>#NUM!</v>
      </c>
      <c r="K1516" s="83" t="e">
        <f t="shared" si="242"/>
        <v>#NUM!</v>
      </c>
      <c r="L1516" s="83">
        <f t="shared" si="243"/>
        <v>0</v>
      </c>
      <c r="M1516" s="110" t="str">
        <f t="shared" si="244"/>
        <v/>
      </c>
      <c r="N1516" s="51" t="str">
        <f t="shared" si="245"/>
        <v/>
      </c>
      <c r="O1516" s="52" t="str">
        <f t="shared" si="246"/>
        <v/>
      </c>
      <c r="P1516" s="88">
        <f t="shared" si="247"/>
        <v>0</v>
      </c>
      <c r="Q1516" s="88">
        <f t="shared" si="248"/>
        <v>0</v>
      </c>
      <c r="R1516" s="88" t="e">
        <f>-IF(Tabla14[[#This Row],[DIAS HABILES O MORA]]&lt;0,(Tabla14[[#This Row],[VALOR PRESTAMO]]*Tabla14[[#This Row],[% INTERES ]]/30*U1516))+Tabla14[[#This Row],[VALOR CUOTAS]]</f>
        <v>#VALUE!</v>
      </c>
      <c r="S1516" s="88">
        <f>-IF(Tabla14[[#This Row],[DIAS HABILES O MORA]]&lt;0,(Tabla14[[#This Row],[VALOR PRESTAMO]]*Tabla14[[#This Row],[% INTERES ]]/30*U1516))</f>
        <v>0</v>
      </c>
      <c r="T1516" s="53" t="e">
        <f>Tabla14[[#This Row],[DEUDA CAPITAL]]+Tabla14[[#This Row],[INTERES  CUOTA]]</f>
        <v>#NUM!</v>
      </c>
      <c r="U1516" s="61" t="str">
        <f t="shared" si="249"/>
        <v/>
      </c>
    </row>
    <row r="1517" spans="9:21" ht="24.75" customHeight="1" x14ac:dyDescent="0.35">
      <c r="I1517" s="42">
        <f t="shared" si="240"/>
        <v>0</v>
      </c>
      <c r="J1517" s="65" t="e">
        <f t="shared" si="241"/>
        <v>#NUM!</v>
      </c>
      <c r="K1517" s="83" t="e">
        <f t="shared" si="242"/>
        <v>#NUM!</v>
      </c>
      <c r="L1517" s="83">
        <f t="shared" si="243"/>
        <v>0</v>
      </c>
      <c r="M1517" s="110" t="str">
        <f t="shared" si="244"/>
        <v/>
      </c>
      <c r="N1517" s="51" t="str">
        <f t="shared" si="245"/>
        <v/>
      </c>
      <c r="O1517" s="52" t="str">
        <f t="shared" si="246"/>
        <v/>
      </c>
      <c r="P1517" s="88">
        <f t="shared" si="247"/>
        <v>0</v>
      </c>
      <c r="Q1517" s="88">
        <f t="shared" si="248"/>
        <v>0</v>
      </c>
      <c r="R1517" s="88" t="e">
        <f>-IF(Tabla14[[#This Row],[DIAS HABILES O MORA]]&lt;0,(Tabla14[[#This Row],[VALOR PRESTAMO]]*Tabla14[[#This Row],[% INTERES ]]/30*U1517))+Tabla14[[#This Row],[VALOR CUOTAS]]</f>
        <v>#VALUE!</v>
      </c>
      <c r="S1517" s="88">
        <f>-IF(Tabla14[[#This Row],[DIAS HABILES O MORA]]&lt;0,(Tabla14[[#This Row],[VALOR PRESTAMO]]*Tabla14[[#This Row],[% INTERES ]]/30*U1517))</f>
        <v>0</v>
      </c>
      <c r="T1517" s="53" t="e">
        <f>Tabla14[[#This Row],[DEUDA CAPITAL]]+Tabla14[[#This Row],[INTERES  CUOTA]]</f>
        <v>#NUM!</v>
      </c>
      <c r="U1517" s="61" t="str">
        <f t="shared" si="249"/>
        <v/>
      </c>
    </row>
    <row r="1518" spans="9:21" ht="24.75" customHeight="1" x14ac:dyDescent="0.35">
      <c r="I1518" s="42">
        <f t="shared" si="240"/>
        <v>0</v>
      </c>
      <c r="J1518" s="65" t="e">
        <f t="shared" si="241"/>
        <v>#NUM!</v>
      </c>
      <c r="K1518" s="83" t="e">
        <f t="shared" si="242"/>
        <v>#NUM!</v>
      </c>
      <c r="L1518" s="83">
        <f t="shared" si="243"/>
        <v>0</v>
      </c>
      <c r="M1518" s="110" t="str">
        <f t="shared" si="244"/>
        <v/>
      </c>
      <c r="N1518" s="51" t="str">
        <f t="shared" si="245"/>
        <v/>
      </c>
      <c r="O1518" s="52" t="str">
        <f t="shared" si="246"/>
        <v/>
      </c>
      <c r="P1518" s="88">
        <f t="shared" si="247"/>
        <v>0</v>
      </c>
      <c r="Q1518" s="88">
        <f t="shared" si="248"/>
        <v>0</v>
      </c>
      <c r="R1518" s="88" t="e">
        <f>-IF(Tabla14[[#This Row],[DIAS HABILES O MORA]]&lt;0,(Tabla14[[#This Row],[VALOR PRESTAMO]]*Tabla14[[#This Row],[% INTERES ]]/30*U1518))+Tabla14[[#This Row],[VALOR CUOTAS]]</f>
        <v>#VALUE!</v>
      </c>
      <c r="S1518" s="88">
        <f>-IF(Tabla14[[#This Row],[DIAS HABILES O MORA]]&lt;0,(Tabla14[[#This Row],[VALOR PRESTAMO]]*Tabla14[[#This Row],[% INTERES ]]/30*U1518))</f>
        <v>0</v>
      </c>
      <c r="T1518" s="53" t="e">
        <f>Tabla14[[#This Row],[DEUDA CAPITAL]]+Tabla14[[#This Row],[INTERES  CUOTA]]</f>
        <v>#NUM!</v>
      </c>
      <c r="U1518" s="61" t="str">
        <f t="shared" si="249"/>
        <v/>
      </c>
    </row>
    <row r="1519" spans="9:21" ht="24.75" customHeight="1" x14ac:dyDescent="0.35">
      <c r="I1519" s="42">
        <f t="shared" si="240"/>
        <v>0</v>
      </c>
      <c r="J1519" s="65" t="e">
        <f t="shared" si="241"/>
        <v>#NUM!</v>
      </c>
      <c r="K1519" s="83" t="e">
        <f t="shared" si="242"/>
        <v>#NUM!</v>
      </c>
      <c r="L1519" s="83">
        <f t="shared" si="243"/>
        <v>0</v>
      </c>
      <c r="M1519" s="110" t="str">
        <f t="shared" si="244"/>
        <v/>
      </c>
      <c r="N1519" s="51" t="str">
        <f t="shared" si="245"/>
        <v/>
      </c>
      <c r="O1519" s="52" t="str">
        <f t="shared" si="246"/>
        <v/>
      </c>
      <c r="P1519" s="88">
        <f t="shared" si="247"/>
        <v>0</v>
      </c>
      <c r="Q1519" s="88">
        <f t="shared" si="248"/>
        <v>0</v>
      </c>
      <c r="R1519" s="88" t="e">
        <f>-IF(Tabla14[[#This Row],[DIAS HABILES O MORA]]&lt;0,(Tabla14[[#This Row],[VALOR PRESTAMO]]*Tabla14[[#This Row],[% INTERES ]]/30*U1519))+Tabla14[[#This Row],[VALOR CUOTAS]]</f>
        <v>#VALUE!</v>
      </c>
      <c r="S1519" s="88">
        <f>-IF(Tabla14[[#This Row],[DIAS HABILES O MORA]]&lt;0,(Tabla14[[#This Row],[VALOR PRESTAMO]]*Tabla14[[#This Row],[% INTERES ]]/30*U1519))</f>
        <v>0</v>
      </c>
      <c r="T1519" s="53" t="e">
        <f>Tabla14[[#This Row],[DEUDA CAPITAL]]+Tabla14[[#This Row],[INTERES  CUOTA]]</f>
        <v>#NUM!</v>
      </c>
      <c r="U1519" s="61" t="str">
        <f t="shared" si="249"/>
        <v/>
      </c>
    </row>
    <row r="1520" spans="9:21" ht="24.75" customHeight="1" x14ac:dyDescent="0.35">
      <c r="I1520" s="42">
        <f t="shared" si="240"/>
        <v>0</v>
      </c>
      <c r="J1520" s="65" t="e">
        <f t="shared" si="241"/>
        <v>#NUM!</v>
      </c>
      <c r="K1520" s="83" t="e">
        <f t="shared" si="242"/>
        <v>#NUM!</v>
      </c>
      <c r="L1520" s="83">
        <f t="shared" si="243"/>
        <v>0</v>
      </c>
      <c r="M1520" s="110" t="str">
        <f t="shared" si="244"/>
        <v/>
      </c>
      <c r="N1520" s="51" t="str">
        <f t="shared" si="245"/>
        <v/>
      </c>
      <c r="O1520" s="52" t="str">
        <f t="shared" si="246"/>
        <v/>
      </c>
      <c r="P1520" s="88">
        <f t="shared" si="247"/>
        <v>0</v>
      </c>
      <c r="Q1520" s="88">
        <f t="shared" si="248"/>
        <v>0</v>
      </c>
      <c r="R1520" s="88" t="e">
        <f>-IF(Tabla14[[#This Row],[DIAS HABILES O MORA]]&lt;0,(Tabla14[[#This Row],[VALOR PRESTAMO]]*Tabla14[[#This Row],[% INTERES ]]/30*U1520))+Tabla14[[#This Row],[VALOR CUOTAS]]</f>
        <v>#VALUE!</v>
      </c>
      <c r="S1520" s="88">
        <f>-IF(Tabla14[[#This Row],[DIAS HABILES O MORA]]&lt;0,(Tabla14[[#This Row],[VALOR PRESTAMO]]*Tabla14[[#This Row],[% INTERES ]]/30*U1520))</f>
        <v>0</v>
      </c>
      <c r="T1520" s="53" t="e">
        <f>Tabla14[[#This Row],[DEUDA CAPITAL]]+Tabla14[[#This Row],[INTERES  CUOTA]]</f>
        <v>#NUM!</v>
      </c>
      <c r="U1520" s="61" t="str">
        <f t="shared" si="249"/>
        <v/>
      </c>
    </row>
    <row r="1521" spans="9:21" ht="24.75" customHeight="1" x14ac:dyDescent="0.35">
      <c r="I1521" s="42">
        <f t="shared" si="240"/>
        <v>0</v>
      </c>
      <c r="J1521" s="65" t="e">
        <f t="shared" si="241"/>
        <v>#NUM!</v>
      </c>
      <c r="K1521" s="83" t="e">
        <f t="shared" si="242"/>
        <v>#NUM!</v>
      </c>
      <c r="L1521" s="83">
        <f t="shared" si="243"/>
        <v>0</v>
      </c>
      <c r="M1521" s="110" t="str">
        <f t="shared" si="244"/>
        <v/>
      </c>
      <c r="N1521" s="51" t="str">
        <f t="shared" si="245"/>
        <v/>
      </c>
      <c r="O1521" s="52" t="str">
        <f t="shared" si="246"/>
        <v/>
      </c>
      <c r="P1521" s="88">
        <f t="shared" si="247"/>
        <v>0</v>
      </c>
      <c r="Q1521" s="88">
        <f t="shared" si="248"/>
        <v>0</v>
      </c>
      <c r="R1521" s="88" t="e">
        <f>-IF(Tabla14[[#This Row],[DIAS HABILES O MORA]]&lt;0,(Tabla14[[#This Row],[VALOR PRESTAMO]]*Tabla14[[#This Row],[% INTERES ]]/30*U1521))+Tabla14[[#This Row],[VALOR CUOTAS]]</f>
        <v>#VALUE!</v>
      </c>
      <c r="S1521" s="88">
        <f>-IF(Tabla14[[#This Row],[DIAS HABILES O MORA]]&lt;0,(Tabla14[[#This Row],[VALOR PRESTAMO]]*Tabla14[[#This Row],[% INTERES ]]/30*U1521))</f>
        <v>0</v>
      </c>
      <c r="T1521" s="53" t="e">
        <f>Tabla14[[#This Row],[DEUDA CAPITAL]]+Tabla14[[#This Row],[INTERES  CUOTA]]</f>
        <v>#NUM!</v>
      </c>
      <c r="U1521" s="61" t="str">
        <f t="shared" si="249"/>
        <v/>
      </c>
    </row>
    <row r="1522" spans="9:21" ht="24.75" customHeight="1" x14ac:dyDescent="0.35">
      <c r="I1522" s="42">
        <f t="shared" si="240"/>
        <v>0</v>
      </c>
      <c r="J1522" s="65" t="e">
        <f t="shared" si="241"/>
        <v>#NUM!</v>
      </c>
      <c r="K1522" s="83" t="e">
        <f t="shared" si="242"/>
        <v>#NUM!</v>
      </c>
      <c r="L1522" s="83">
        <f t="shared" si="243"/>
        <v>0</v>
      </c>
      <c r="M1522" s="110" t="str">
        <f t="shared" si="244"/>
        <v/>
      </c>
      <c r="N1522" s="51" t="str">
        <f t="shared" si="245"/>
        <v/>
      </c>
      <c r="O1522" s="52" t="str">
        <f t="shared" si="246"/>
        <v/>
      </c>
      <c r="P1522" s="88">
        <f t="shared" si="247"/>
        <v>0</v>
      </c>
      <c r="Q1522" s="88">
        <f t="shared" si="248"/>
        <v>0</v>
      </c>
      <c r="R1522" s="88" t="e">
        <f>-IF(Tabla14[[#This Row],[DIAS HABILES O MORA]]&lt;0,(Tabla14[[#This Row],[VALOR PRESTAMO]]*Tabla14[[#This Row],[% INTERES ]]/30*U1522))+Tabla14[[#This Row],[VALOR CUOTAS]]</f>
        <v>#VALUE!</v>
      </c>
      <c r="S1522" s="88">
        <f>-IF(Tabla14[[#This Row],[DIAS HABILES O MORA]]&lt;0,(Tabla14[[#This Row],[VALOR PRESTAMO]]*Tabla14[[#This Row],[% INTERES ]]/30*U1522))</f>
        <v>0</v>
      </c>
      <c r="T1522" s="53" t="e">
        <f>Tabla14[[#This Row],[DEUDA CAPITAL]]+Tabla14[[#This Row],[INTERES  CUOTA]]</f>
        <v>#NUM!</v>
      </c>
      <c r="U1522" s="61" t="str">
        <f t="shared" si="249"/>
        <v/>
      </c>
    </row>
    <row r="1523" spans="9:21" ht="24.75" customHeight="1" x14ac:dyDescent="0.35">
      <c r="I1523" s="42">
        <f t="shared" si="240"/>
        <v>0</v>
      </c>
      <c r="J1523" s="65" t="e">
        <f t="shared" si="241"/>
        <v>#NUM!</v>
      </c>
      <c r="K1523" s="83" t="e">
        <f t="shared" si="242"/>
        <v>#NUM!</v>
      </c>
      <c r="L1523" s="83">
        <f t="shared" si="243"/>
        <v>0</v>
      </c>
      <c r="M1523" s="110" t="str">
        <f t="shared" si="244"/>
        <v/>
      </c>
      <c r="N1523" s="51" t="str">
        <f t="shared" si="245"/>
        <v/>
      </c>
      <c r="O1523" s="52" t="str">
        <f t="shared" si="246"/>
        <v/>
      </c>
      <c r="P1523" s="88">
        <f t="shared" si="247"/>
        <v>0</v>
      </c>
      <c r="Q1523" s="88">
        <f t="shared" si="248"/>
        <v>0</v>
      </c>
      <c r="R1523" s="88" t="e">
        <f>-IF(Tabla14[[#This Row],[DIAS HABILES O MORA]]&lt;0,(Tabla14[[#This Row],[VALOR PRESTAMO]]*Tabla14[[#This Row],[% INTERES ]]/30*U1523))+Tabla14[[#This Row],[VALOR CUOTAS]]</f>
        <v>#VALUE!</v>
      </c>
      <c r="S1523" s="88">
        <f>-IF(Tabla14[[#This Row],[DIAS HABILES O MORA]]&lt;0,(Tabla14[[#This Row],[VALOR PRESTAMO]]*Tabla14[[#This Row],[% INTERES ]]/30*U1523))</f>
        <v>0</v>
      </c>
      <c r="T1523" s="53" t="e">
        <f>Tabla14[[#This Row],[DEUDA CAPITAL]]+Tabla14[[#This Row],[INTERES  CUOTA]]</f>
        <v>#NUM!</v>
      </c>
      <c r="U1523" s="61" t="str">
        <f t="shared" si="249"/>
        <v/>
      </c>
    </row>
    <row r="1524" spans="9:21" ht="24.75" customHeight="1" x14ac:dyDescent="0.35">
      <c r="I1524" s="42">
        <f t="shared" si="240"/>
        <v>0</v>
      </c>
      <c r="J1524" s="65" t="e">
        <f t="shared" si="241"/>
        <v>#NUM!</v>
      </c>
      <c r="K1524" s="83" t="e">
        <f t="shared" si="242"/>
        <v>#NUM!</v>
      </c>
      <c r="L1524" s="83">
        <f t="shared" si="243"/>
        <v>0</v>
      </c>
      <c r="M1524" s="110" t="str">
        <f t="shared" si="244"/>
        <v/>
      </c>
      <c r="N1524" s="51" t="str">
        <f t="shared" si="245"/>
        <v/>
      </c>
      <c r="O1524" s="52" t="str">
        <f t="shared" si="246"/>
        <v/>
      </c>
      <c r="P1524" s="88">
        <f t="shared" si="247"/>
        <v>0</v>
      </c>
      <c r="Q1524" s="88">
        <f t="shared" si="248"/>
        <v>0</v>
      </c>
      <c r="R1524" s="88" t="e">
        <f>-IF(Tabla14[[#This Row],[DIAS HABILES O MORA]]&lt;0,(Tabla14[[#This Row],[VALOR PRESTAMO]]*Tabla14[[#This Row],[% INTERES ]]/30*U1524))+Tabla14[[#This Row],[VALOR CUOTAS]]</f>
        <v>#VALUE!</v>
      </c>
      <c r="S1524" s="88">
        <f>-IF(Tabla14[[#This Row],[DIAS HABILES O MORA]]&lt;0,(Tabla14[[#This Row],[VALOR PRESTAMO]]*Tabla14[[#This Row],[% INTERES ]]/30*U1524))</f>
        <v>0</v>
      </c>
      <c r="T1524" s="53" t="e">
        <f>Tabla14[[#This Row],[DEUDA CAPITAL]]+Tabla14[[#This Row],[INTERES  CUOTA]]</f>
        <v>#NUM!</v>
      </c>
      <c r="U1524" s="61" t="str">
        <f t="shared" si="249"/>
        <v/>
      </c>
    </row>
    <row r="1525" spans="9:21" ht="24.75" customHeight="1" x14ac:dyDescent="0.35">
      <c r="I1525" s="42">
        <f t="shared" si="240"/>
        <v>0</v>
      </c>
      <c r="J1525" s="65" t="e">
        <f t="shared" si="241"/>
        <v>#NUM!</v>
      </c>
      <c r="K1525" s="83" t="e">
        <f t="shared" si="242"/>
        <v>#NUM!</v>
      </c>
      <c r="L1525" s="83">
        <f t="shared" si="243"/>
        <v>0</v>
      </c>
      <c r="M1525" s="110" t="str">
        <f t="shared" si="244"/>
        <v/>
      </c>
      <c r="N1525" s="51" t="str">
        <f t="shared" si="245"/>
        <v/>
      </c>
      <c r="O1525" s="52" t="str">
        <f t="shared" si="246"/>
        <v/>
      </c>
      <c r="P1525" s="88">
        <f t="shared" si="247"/>
        <v>0</v>
      </c>
      <c r="Q1525" s="88">
        <f t="shared" si="248"/>
        <v>0</v>
      </c>
      <c r="R1525" s="88" t="e">
        <f>-IF(Tabla14[[#This Row],[DIAS HABILES O MORA]]&lt;0,(Tabla14[[#This Row],[VALOR PRESTAMO]]*Tabla14[[#This Row],[% INTERES ]]/30*U1525))+Tabla14[[#This Row],[VALOR CUOTAS]]</f>
        <v>#VALUE!</v>
      </c>
      <c r="S1525" s="88">
        <f>-IF(Tabla14[[#This Row],[DIAS HABILES O MORA]]&lt;0,(Tabla14[[#This Row],[VALOR PRESTAMO]]*Tabla14[[#This Row],[% INTERES ]]/30*U1525))</f>
        <v>0</v>
      </c>
      <c r="T1525" s="53" t="e">
        <f>Tabla14[[#This Row],[DEUDA CAPITAL]]+Tabla14[[#This Row],[INTERES  CUOTA]]</f>
        <v>#NUM!</v>
      </c>
      <c r="U1525" s="61" t="str">
        <f t="shared" si="249"/>
        <v/>
      </c>
    </row>
    <row r="1526" spans="9:21" ht="24.75" customHeight="1" x14ac:dyDescent="0.35">
      <c r="I1526" s="42">
        <f t="shared" si="240"/>
        <v>0</v>
      </c>
      <c r="J1526" s="65" t="e">
        <f t="shared" si="241"/>
        <v>#NUM!</v>
      </c>
      <c r="K1526" s="83" t="e">
        <f t="shared" si="242"/>
        <v>#NUM!</v>
      </c>
      <c r="L1526" s="83">
        <f t="shared" si="243"/>
        <v>0</v>
      </c>
      <c r="M1526" s="110" t="str">
        <f t="shared" si="244"/>
        <v/>
      </c>
      <c r="N1526" s="51" t="str">
        <f t="shared" si="245"/>
        <v/>
      </c>
      <c r="O1526" s="52" t="str">
        <f t="shared" si="246"/>
        <v/>
      </c>
      <c r="P1526" s="88">
        <f t="shared" si="247"/>
        <v>0</v>
      </c>
      <c r="Q1526" s="88">
        <f t="shared" si="248"/>
        <v>0</v>
      </c>
      <c r="R1526" s="88" t="e">
        <f>-IF(Tabla14[[#This Row],[DIAS HABILES O MORA]]&lt;0,(Tabla14[[#This Row],[VALOR PRESTAMO]]*Tabla14[[#This Row],[% INTERES ]]/30*U1526))+Tabla14[[#This Row],[VALOR CUOTAS]]</f>
        <v>#VALUE!</v>
      </c>
      <c r="S1526" s="88">
        <f>-IF(Tabla14[[#This Row],[DIAS HABILES O MORA]]&lt;0,(Tabla14[[#This Row],[VALOR PRESTAMO]]*Tabla14[[#This Row],[% INTERES ]]/30*U1526))</f>
        <v>0</v>
      </c>
      <c r="T1526" s="53" t="e">
        <f>Tabla14[[#This Row],[DEUDA CAPITAL]]+Tabla14[[#This Row],[INTERES  CUOTA]]</f>
        <v>#NUM!</v>
      </c>
      <c r="U1526" s="61" t="str">
        <f t="shared" si="249"/>
        <v/>
      </c>
    </row>
    <row r="1527" spans="9:21" ht="24.75" customHeight="1" x14ac:dyDescent="0.35">
      <c r="I1527" s="42">
        <f t="shared" si="240"/>
        <v>0</v>
      </c>
      <c r="J1527" s="65" t="e">
        <f t="shared" si="241"/>
        <v>#NUM!</v>
      </c>
      <c r="K1527" s="83" t="e">
        <f t="shared" si="242"/>
        <v>#NUM!</v>
      </c>
      <c r="L1527" s="83">
        <f t="shared" si="243"/>
        <v>0</v>
      </c>
      <c r="M1527" s="110" t="str">
        <f t="shared" si="244"/>
        <v/>
      </c>
      <c r="N1527" s="51" t="str">
        <f t="shared" si="245"/>
        <v/>
      </c>
      <c r="O1527" s="52" t="str">
        <f t="shared" si="246"/>
        <v/>
      </c>
      <c r="P1527" s="88">
        <f t="shared" si="247"/>
        <v>0</v>
      </c>
      <c r="Q1527" s="88">
        <f t="shared" si="248"/>
        <v>0</v>
      </c>
      <c r="R1527" s="88" t="e">
        <f>-IF(Tabla14[[#This Row],[DIAS HABILES O MORA]]&lt;0,(Tabla14[[#This Row],[VALOR PRESTAMO]]*Tabla14[[#This Row],[% INTERES ]]/30*U1527))+Tabla14[[#This Row],[VALOR CUOTAS]]</f>
        <v>#VALUE!</v>
      </c>
      <c r="S1527" s="88">
        <f>-IF(Tabla14[[#This Row],[DIAS HABILES O MORA]]&lt;0,(Tabla14[[#This Row],[VALOR PRESTAMO]]*Tabla14[[#This Row],[% INTERES ]]/30*U1527))</f>
        <v>0</v>
      </c>
      <c r="T1527" s="53" t="e">
        <f>Tabla14[[#This Row],[DEUDA CAPITAL]]+Tabla14[[#This Row],[INTERES  CUOTA]]</f>
        <v>#NUM!</v>
      </c>
      <c r="U1527" s="61" t="str">
        <f t="shared" si="249"/>
        <v/>
      </c>
    </row>
    <row r="1528" spans="9:21" ht="24.75" customHeight="1" x14ac:dyDescent="0.35">
      <c r="I1528" s="42">
        <f t="shared" si="240"/>
        <v>0</v>
      </c>
      <c r="J1528" s="65" t="e">
        <f t="shared" si="241"/>
        <v>#NUM!</v>
      </c>
      <c r="K1528" s="83" t="e">
        <f t="shared" si="242"/>
        <v>#NUM!</v>
      </c>
      <c r="L1528" s="83">
        <f t="shared" si="243"/>
        <v>0</v>
      </c>
      <c r="M1528" s="110" t="str">
        <f t="shared" si="244"/>
        <v/>
      </c>
      <c r="N1528" s="51" t="str">
        <f t="shared" si="245"/>
        <v/>
      </c>
      <c r="O1528" s="52" t="str">
        <f t="shared" si="246"/>
        <v/>
      </c>
      <c r="P1528" s="88">
        <f t="shared" si="247"/>
        <v>0</v>
      </c>
      <c r="Q1528" s="88">
        <f t="shared" si="248"/>
        <v>0</v>
      </c>
      <c r="R1528" s="88" t="e">
        <f>-IF(Tabla14[[#This Row],[DIAS HABILES O MORA]]&lt;0,(Tabla14[[#This Row],[VALOR PRESTAMO]]*Tabla14[[#This Row],[% INTERES ]]/30*U1528))+Tabla14[[#This Row],[VALOR CUOTAS]]</f>
        <v>#VALUE!</v>
      </c>
      <c r="S1528" s="88">
        <f>-IF(Tabla14[[#This Row],[DIAS HABILES O MORA]]&lt;0,(Tabla14[[#This Row],[VALOR PRESTAMO]]*Tabla14[[#This Row],[% INTERES ]]/30*U1528))</f>
        <v>0</v>
      </c>
      <c r="T1528" s="53" t="e">
        <f>Tabla14[[#This Row],[DEUDA CAPITAL]]+Tabla14[[#This Row],[INTERES  CUOTA]]</f>
        <v>#NUM!</v>
      </c>
      <c r="U1528" s="61" t="str">
        <f t="shared" si="249"/>
        <v/>
      </c>
    </row>
    <row r="1529" spans="9:21" ht="24.75" customHeight="1" x14ac:dyDescent="0.35">
      <c r="I1529" s="42">
        <f t="shared" si="240"/>
        <v>0</v>
      </c>
      <c r="J1529" s="65" t="e">
        <f t="shared" si="241"/>
        <v>#NUM!</v>
      </c>
      <c r="K1529" s="83" t="e">
        <f t="shared" si="242"/>
        <v>#NUM!</v>
      </c>
      <c r="L1529" s="83">
        <f t="shared" si="243"/>
        <v>0</v>
      </c>
      <c r="M1529" s="110" t="str">
        <f t="shared" si="244"/>
        <v/>
      </c>
      <c r="N1529" s="51" t="str">
        <f t="shared" si="245"/>
        <v/>
      </c>
      <c r="O1529" s="52" t="str">
        <f t="shared" si="246"/>
        <v/>
      </c>
      <c r="P1529" s="88">
        <f t="shared" si="247"/>
        <v>0</v>
      </c>
      <c r="Q1529" s="88">
        <f t="shared" si="248"/>
        <v>0</v>
      </c>
      <c r="R1529" s="88" t="e">
        <f>-IF(Tabla14[[#This Row],[DIAS HABILES O MORA]]&lt;0,(Tabla14[[#This Row],[VALOR PRESTAMO]]*Tabla14[[#This Row],[% INTERES ]]/30*U1529))+Tabla14[[#This Row],[VALOR CUOTAS]]</f>
        <v>#VALUE!</v>
      </c>
      <c r="S1529" s="88">
        <f>-IF(Tabla14[[#This Row],[DIAS HABILES O MORA]]&lt;0,(Tabla14[[#This Row],[VALOR PRESTAMO]]*Tabla14[[#This Row],[% INTERES ]]/30*U1529))</f>
        <v>0</v>
      </c>
      <c r="T1529" s="53" t="e">
        <f>Tabla14[[#This Row],[DEUDA CAPITAL]]+Tabla14[[#This Row],[INTERES  CUOTA]]</f>
        <v>#NUM!</v>
      </c>
      <c r="U1529" s="61" t="str">
        <f t="shared" si="249"/>
        <v/>
      </c>
    </row>
    <row r="1530" spans="9:21" ht="24.75" customHeight="1" x14ac:dyDescent="0.35">
      <c r="I1530" s="42">
        <f t="shared" si="240"/>
        <v>0</v>
      </c>
      <c r="J1530" s="65" t="e">
        <f t="shared" si="241"/>
        <v>#NUM!</v>
      </c>
      <c r="K1530" s="83" t="e">
        <f t="shared" si="242"/>
        <v>#NUM!</v>
      </c>
      <c r="L1530" s="83">
        <f t="shared" si="243"/>
        <v>0</v>
      </c>
      <c r="M1530" s="110" t="str">
        <f t="shared" si="244"/>
        <v/>
      </c>
      <c r="N1530" s="51" t="str">
        <f t="shared" si="245"/>
        <v/>
      </c>
      <c r="O1530" s="52" t="str">
        <f t="shared" si="246"/>
        <v/>
      </c>
      <c r="P1530" s="88">
        <f t="shared" si="247"/>
        <v>0</v>
      </c>
      <c r="Q1530" s="88">
        <f t="shared" si="248"/>
        <v>0</v>
      </c>
      <c r="R1530" s="88" t="e">
        <f>-IF(Tabla14[[#This Row],[DIAS HABILES O MORA]]&lt;0,(Tabla14[[#This Row],[VALOR PRESTAMO]]*Tabla14[[#This Row],[% INTERES ]]/30*U1530))+Tabla14[[#This Row],[VALOR CUOTAS]]</f>
        <v>#VALUE!</v>
      </c>
      <c r="S1530" s="88">
        <f>-IF(Tabla14[[#This Row],[DIAS HABILES O MORA]]&lt;0,(Tabla14[[#This Row],[VALOR PRESTAMO]]*Tabla14[[#This Row],[% INTERES ]]/30*U1530))</f>
        <v>0</v>
      </c>
      <c r="T1530" s="53" t="e">
        <f>Tabla14[[#This Row],[DEUDA CAPITAL]]+Tabla14[[#This Row],[INTERES  CUOTA]]</f>
        <v>#NUM!</v>
      </c>
      <c r="U1530" s="61" t="str">
        <f t="shared" si="249"/>
        <v/>
      </c>
    </row>
    <row r="1531" spans="9:21" ht="24.75" customHeight="1" x14ac:dyDescent="0.35">
      <c r="I1531" s="42">
        <f t="shared" si="240"/>
        <v>0</v>
      </c>
      <c r="J1531" s="65" t="e">
        <f t="shared" si="241"/>
        <v>#NUM!</v>
      </c>
      <c r="K1531" s="83" t="e">
        <f t="shared" si="242"/>
        <v>#NUM!</v>
      </c>
      <c r="L1531" s="83">
        <f t="shared" si="243"/>
        <v>0</v>
      </c>
      <c r="M1531" s="110" t="str">
        <f t="shared" si="244"/>
        <v/>
      </c>
      <c r="N1531" s="51" t="str">
        <f t="shared" si="245"/>
        <v/>
      </c>
      <c r="O1531" s="52" t="str">
        <f t="shared" si="246"/>
        <v/>
      </c>
      <c r="P1531" s="88">
        <f t="shared" si="247"/>
        <v>0</v>
      </c>
      <c r="Q1531" s="88">
        <f t="shared" si="248"/>
        <v>0</v>
      </c>
      <c r="R1531" s="88" t="e">
        <f>-IF(Tabla14[[#This Row],[DIAS HABILES O MORA]]&lt;0,(Tabla14[[#This Row],[VALOR PRESTAMO]]*Tabla14[[#This Row],[% INTERES ]]/30*U1531))+Tabla14[[#This Row],[VALOR CUOTAS]]</f>
        <v>#VALUE!</v>
      </c>
      <c r="S1531" s="88">
        <f>-IF(Tabla14[[#This Row],[DIAS HABILES O MORA]]&lt;0,(Tabla14[[#This Row],[VALOR PRESTAMO]]*Tabla14[[#This Row],[% INTERES ]]/30*U1531))</f>
        <v>0</v>
      </c>
      <c r="T1531" s="53" t="e">
        <f>Tabla14[[#This Row],[DEUDA CAPITAL]]+Tabla14[[#This Row],[INTERES  CUOTA]]</f>
        <v>#NUM!</v>
      </c>
      <c r="U1531" s="61" t="str">
        <f t="shared" si="249"/>
        <v/>
      </c>
    </row>
    <row r="1532" spans="9:21" ht="24.75" customHeight="1" x14ac:dyDescent="0.35">
      <c r="I1532" s="42">
        <f t="shared" si="240"/>
        <v>0</v>
      </c>
      <c r="J1532" s="65" t="e">
        <f t="shared" si="241"/>
        <v>#NUM!</v>
      </c>
      <c r="K1532" s="83" t="e">
        <f t="shared" si="242"/>
        <v>#NUM!</v>
      </c>
      <c r="L1532" s="83">
        <f t="shared" si="243"/>
        <v>0</v>
      </c>
      <c r="M1532" s="110" t="str">
        <f t="shared" si="244"/>
        <v/>
      </c>
      <c r="N1532" s="51" t="str">
        <f t="shared" si="245"/>
        <v/>
      </c>
      <c r="O1532" s="52" t="str">
        <f t="shared" si="246"/>
        <v/>
      </c>
      <c r="P1532" s="88">
        <f t="shared" si="247"/>
        <v>0</v>
      </c>
      <c r="Q1532" s="88">
        <f t="shared" si="248"/>
        <v>0</v>
      </c>
      <c r="R1532" s="88" t="e">
        <f>-IF(Tabla14[[#This Row],[DIAS HABILES O MORA]]&lt;0,(Tabla14[[#This Row],[VALOR PRESTAMO]]*Tabla14[[#This Row],[% INTERES ]]/30*U1532))+Tabla14[[#This Row],[VALOR CUOTAS]]</f>
        <v>#VALUE!</v>
      </c>
      <c r="S1532" s="88">
        <f>-IF(Tabla14[[#This Row],[DIAS HABILES O MORA]]&lt;0,(Tabla14[[#This Row],[VALOR PRESTAMO]]*Tabla14[[#This Row],[% INTERES ]]/30*U1532))</f>
        <v>0</v>
      </c>
      <c r="T1532" s="53" t="e">
        <f>Tabla14[[#This Row],[DEUDA CAPITAL]]+Tabla14[[#This Row],[INTERES  CUOTA]]</f>
        <v>#NUM!</v>
      </c>
      <c r="U1532" s="61" t="str">
        <f t="shared" si="249"/>
        <v/>
      </c>
    </row>
    <row r="1533" spans="9:21" ht="24.75" customHeight="1" x14ac:dyDescent="0.35">
      <c r="I1533" s="42">
        <f t="shared" si="240"/>
        <v>0</v>
      </c>
      <c r="J1533" s="65" t="e">
        <f t="shared" si="241"/>
        <v>#NUM!</v>
      </c>
      <c r="K1533" s="83" t="e">
        <f t="shared" si="242"/>
        <v>#NUM!</v>
      </c>
      <c r="L1533" s="83">
        <f t="shared" si="243"/>
        <v>0</v>
      </c>
      <c r="M1533" s="110" t="str">
        <f t="shared" si="244"/>
        <v/>
      </c>
      <c r="N1533" s="51" t="str">
        <f t="shared" si="245"/>
        <v/>
      </c>
      <c r="O1533" s="52" t="str">
        <f t="shared" si="246"/>
        <v/>
      </c>
      <c r="P1533" s="88">
        <f t="shared" si="247"/>
        <v>0</v>
      </c>
      <c r="Q1533" s="88">
        <f t="shared" si="248"/>
        <v>0</v>
      </c>
      <c r="R1533" s="88" t="e">
        <f>-IF(Tabla14[[#This Row],[DIAS HABILES O MORA]]&lt;0,(Tabla14[[#This Row],[VALOR PRESTAMO]]*Tabla14[[#This Row],[% INTERES ]]/30*U1533))+Tabla14[[#This Row],[VALOR CUOTAS]]</f>
        <v>#VALUE!</v>
      </c>
      <c r="S1533" s="88">
        <f>-IF(Tabla14[[#This Row],[DIAS HABILES O MORA]]&lt;0,(Tabla14[[#This Row],[VALOR PRESTAMO]]*Tabla14[[#This Row],[% INTERES ]]/30*U1533))</f>
        <v>0</v>
      </c>
      <c r="T1533" s="53" t="e">
        <f>Tabla14[[#This Row],[DEUDA CAPITAL]]+Tabla14[[#This Row],[INTERES  CUOTA]]</f>
        <v>#NUM!</v>
      </c>
      <c r="U1533" s="61" t="str">
        <f t="shared" si="249"/>
        <v/>
      </c>
    </row>
    <row r="1534" spans="9:21" ht="24.75" customHeight="1" x14ac:dyDescent="0.35">
      <c r="I1534" s="42">
        <f t="shared" si="240"/>
        <v>0</v>
      </c>
      <c r="J1534" s="65" t="e">
        <f t="shared" si="241"/>
        <v>#NUM!</v>
      </c>
      <c r="K1534" s="83" t="e">
        <f t="shared" si="242"/>
        <v>#NUM!</v>
      </c>
      <c r="L1534" s="83">
        <f t="shared" si="243"/>
        <v>0</v>
      </c>
      <c r="M1534" s="110" t="str">
        <f t="shared" si="244"/>
        <v/>
      </c>
      <c r="N1534" s="51" t="str">
        <f t="shared" si="245"/>
        <v/>
      </c>
      <c r="O1534" s="52" t="str">
        <f t="shared" si="246"/>
        <v/>
      </c>
      <c r="P1534" s="88">
        <f t="shared" si="247"/>
        <v>0</v>
      </c>
      <c r="Q1534" s="88">
        <f t="shared" si="248"/>
        <v>0</v>
      </c>
      <c r="R1534" s="88" t="e">
        <f>-IF(Tabla14[[#This Row],[DIAS HABILES O MORA]]&lt;0,(Tabla14[[#This Row],[VALOR PRESTAMO]]*Tabla14[[#This Row],[% INTERES ]]/30*U1534))+Tabla14[[#This Row],[VALOR CUOTAS]]</f>
        <v>#VALUE!</v>
      </c>
      <c r="S1534" s="88">
        <f>-IF(Tabla14[[#This Row],[DIAS HABILES O MORA]]&lt;0,(Tabla14[[#This Row],[VALOR PRESTAMO]]*Tabla14[[#This Row],[% INTERES ]]/30*U1534))</f>
        <v>0</v>
      </c>
      <c r="T1534" s="53" t="e">
        <f>Tabla14[[#This Row],[DEUDA CAPITAL]]+Tabla14[[#This Row],[INTERES  CUOTA]]</f>
        <v>#NUM!</v>
      </c>
      <c r="U1534" s="61" t="str">
        <f t="shared" si="249"/>
        <v/>
      </c>
    </row>
    <row r="1535" spans="9:21" ht="24.75" customHeight="1" x14ac:dyDescent="0.35">
      <c r="I1535" s="42">
        <f t="shared" si="240"/>
        <v>0</v>
      </c>
      <c r="J1535" s="65" t="e">
        <f t="shared" si="241"/>
        <v>#NUM!</v>
      </c>
      <c r="K1535" s="83" t="e">
        <f t="shared" si="242"/>
        <v>#NUM!</v>
      </c>
      <c r="L1535" s="83">
        <f t="shared" si="243"/>
        <v>0</v>
      </c>
      <c r="M1535" s="110" t="str">
        <f t="shared" si="244"/>
        <v/>
      </c>
      <c r="N1535" s="51" t="str">
        <f t="shared" si="245"/>
        <v/>
      </c>
      <c r="O1535" s="52" t="str">
        <f t="shared" si="246"/>
        <v/>
      </c>
      <c r="P1535" s="88">
        <f t="shared" si="247"/>
        <v>0</v>
      </c>
      <c r="Q1535" s="88">
        <f t="shared" si="248"/>
        <v>0</v>
      </c>
      <c r="R1535" s="88" t="e">
        <f>-IF(Tabla14[[#This Row],[DIAS HABILES O MORA]]&lt;0,(Tabla14[[#This Row],[VALOR PRESTAMO]]*Tabla14[[#This Row],[% INTERES ]]/30*U1535))+Tabla14[[#This Row],[VALOR CUOTAS]]</f>
        <v>#VALUE!</v>
      </c>
      <c r="S1535" s="88">
        <f>-IF(Tabla14[[#This Row],[DIAS HABILES O MORA]]&lt;0,(Tabla14[[#This Row],[VALOR PRESTAMO]]*Tabla14[[#This Row],[% INTERES ]]/30*U1535))</f>
        <v>0</v>
      </c>
      <c r="T1535" s="53" t="e">
        <f>Tabla14[[#This Row],[DEUDA CAPITAL]]+Tabla14[[#This Row],[INTERES  CUOTA]]</f>
        <v>#NUM!</v>
      </c>
      <c r="U1535" s="61" t="str">
        <f t="shared" si="249"/>
        <v/>
      </c>
    </row>
    <row r="1536" spans="9:21" ht="24.75" customHeight="1" x14ac:dyDescent="0.35">
      <c r="I1536" s="42">
        <f t="shared" si="240"/>
        <v>0</v>
      </c>
      <c r="J1536" s="65" t="e">
        <f t="shared" si="241"/>
        <v>#NUM!</v>
      </c>
      <c r="K1536" s="83" t="e">
        <f t="shared" si="242"/>
        <v>#NUM!</v>
      </c>
      <c r="L1536" s="83">
        <f t="shared" si="243"/>
        <v>0</v>
      </c>
      <c r="M1536" s="110" t="str">
        <f t="shared" si="244"/>
        <v/>
      </c>
      <c r="N1536" s="51" t="str">
        <f t="shared" si="245"/>
        <v/>
      </c>
      <c r="O1536" s="52" t="str">
        <f t="shared" si="246"/>
        <v/>
      </c>
      <c r="P1536" s="88">
        <f t="shared" si="247"/>
        <v>0</v>
      </c>
      <c r="Q1536" s="88">
        <f t="shared" si="248"/>
        <v>0</v>
      </c>
      <c r="R1536" s="88" t="e">
        <f>-IF(Tabla14[[#This Row],[DIAS HABILES O MORA]]&lt;0,(Tabla14[[#This Row],[VALOR PRESTAMO]]*Tabla14[[#This Row],[% INTERES ]]/30*U1536))+Tabla14[[#This Row],[VALOR CUOTAS]]</f>
        <v>#VALUE!</v>
      </c>
      <c r="S1536" s="88">
        <f>-IF(Tabla14[[#This Row],[DIAS HABILES O MORA]]&lt;0,(Tabla14[[#This Row],[VALOR PRESTAMO]]*Tabla14[[#This Row],[% INTERES ]]/30*U1536))</f>
        <v>0</v>
      </c>
      <c r="T1536" s="53" t="e">
        <f>Tabla14[[#This Row],[DEUDA CAPITAL]]+Tabla14[[#This Row],[INTERES  CUOTA]]</f>
        <v>#NUM!</v>
      </c>
      <c r="U1536" s="61" t="str">
        <f t="shared" si="249"/>
        <v/>
      </c>
    </row>
    <row r="1537" spans="9:21" ht="24.75" customHeight="1" x14ac:dyDescent="0.35">
      <c r="I1537" s="42">
        <f t="shared" si="240"/>
        <v>0</v>
      </c>
      <c r="J1537" s="65" t="e">
        <f t="shared" si="241"/>
        <v>#NUM!</v>
      </c>
      <c r="K1537" s="83" t="e">
        <f t="shared" si="242"/>
        <v>#NUM!</v>
      </c>
      <c r="L1537" s="83">
        <f t="shared" si="243"/>
        <v>0</v>
      </c>
      <c r="M1537" s="110" t="str">
        <f t="shared" si="244"/>
        <v/>
      </c>
      <c r="N1537" s="51" t="str">
        <f t="shared" si="245"/>
        <v/>
      </c>
      <c r="O1537" s="52" t="str">
        <f t="shared" si="246"/>
        <v/>
      </c>
      <c r="P1537" s="88">
        <f t="shared" si="247"/>
        <v>0</v>
      </c>
      <c r="Q1537" s="88">
        <f t="shared" si="248"/>
        <v>0</v>
      </c>
      <c r="R1537" s="88" t="e">
        <f>-IF(Tabla14[[#This Row],[DIAS HABILES O MORA]]&lt;0,(Tabla14[[#This Row],[VALOR PRESTAMO]]*Tabla14[[#This Row],[% INTERES ]]/30*U1537))+Tabla14[[#This Row],[VALOR CUOTAS]]</f>
        <v>#VALUE!</v>
      </c>
      <c r="S1537" s="88">
        <f>-IF(Tabla14[[#This Row],[DIAS HABILES O MORA]]&lt;0,(Tabla14[[#This Row],[VALOR PRESTAMO]]*Tabla14[[#This Row],[% INTERES ]]/30*U1537))</f>
        <v>0</v>
      </c>
      <c r="T1537" s="53" t="e">
        <f>Tabla14[[#This Row],[DEUDA CAPITAL]]+Tabla14[[#This Row],[INTERES  CUOTA]]</f>
        <v>#NUM!</v>
      </c>
      <c r="U1537" s="61" t="str">
        <f t="shared" si="249"/>
        <v/>
      </c>
    </row>
    <row r="1538" spans="9:21" ht="24.75" customHeight="1" x14ac:dyDescent="0.35">
      <c r="I1538" s="42">
        <f t="shared" si="240"/>
        <v>0</v>
      </c>
      <c r="J1538" s="65" t="e">
        <f t="shared" si="241"/>
        <v>#NUM!</v>
      </c>
      <c r="K1538" s="83" t="e">
        <f t="shared" si="242"/>
        <v>#NUM!</v>
      </c>
      <c r="L1538" s="83">
        <f t="shared" si="243"/>
        <v>0</v>
      </c>
      <c r="M1538" s="110" t="str">
        <f t="shared" si="244"/>
        <v/>
      </c>
      <c r="N1538" s="51" t="str">
        <f t="shared" si="245"/>
        <v/>
      </c>
      <c r="O1538" s="52" t="str">
        <f t="shared" si="246"/>
        <v/>
      </c>
      <c r="P1538" s="88">
        <f t="shared" si="247"/>
        <v>0</v>
      </c>
      <c r="Q1538" s="88">
        <f t="shared" si="248"/>
        <v>0</v>
      </c>
      <c r="R1538" s="88" t="e">
        <f>-IF(Tabla14[[#This Row],[DIAS HABILES O MORA]]&lt;0,(Tabla14[[#This Row],[VALOR PRESTAMO]]*Tabla14[[#This Row],[% INTERES ]]/30*U1538))+Tabla14[[#This Row],[VALOR CUOTAS]]</f>
        <v>#VALUE!</v>
      </c>
      <c r="S1538" s="88">
        <f>-IF(Tabla14[[#This Row],[DIAS HABILES O MORA]]&lt;0,(Tabla14[[#This Row],[VALOR PRESTAMO]]*Tabla14[[#This Row],[% INTERES ]]/30*U1538))</f>
        <v>0</v>
      </c>
      <c r="T1538" s="53" t="e">
        <f>Tabla14[[#This Row],[DEUDA CAPITAL]]+Tabla14[[#This Row],[INTERES  CUOTA]]</f>
        <v>#NUM!</v>
      </c>
      <c r="U1538" s="61" t="str">
        <f t="shared" si="249"/>
        <v/>
      </c>
    </row>
    <row r="1539" spans="9:21" ht="24.75" customHeight="1" x14ac:dyDescent="0.35">
      <c r="I1539" s="42">
        <f t="shared" si="240"/>
        <v>0</v>
      </c>
      <c r="J1539" s="65" t="e">
        <f t="shared" si="241"/>
        <v>#NUM!</v>
      </c>
      <c r="K1539" s="83" t="e">
        <f t="shared" si="242"/>
        <v>#NUM!</v>
      </c>
      <c r="L1539" s="83">
        <f t="shared" si="243"/>
        <v>0</v>
      </c>
      <c r="M1539" s="110" t="str">
        <f t="shared" si="244"/>
        <v/>
      </c>
      <c r="N1539" s="51" t="str">
        <f t="shared" si="245"/>
        <v/>
      </c>
      <c r="O1539" s="52" t="str">
        <f t="shared" si="246"/>
        <v/>
      </c>
      <c r="P1539" s="88">
        <f t="shared" si="247"/>
        <v>0</v>
      </c>
      <c r="Q1539" s="88">
        <f t="shared" si="248"/>
        <v>0</v>
      </c>
      <c r="R1539" s="88" t="e">
        <f>-IF(Tabla14[[#This Row],[DIAS HABILES O MORA]]&lt;0,(Tabla14[[#This Row],[VALOR PRESTAMO]]*Tabla14[[#This Row],[% INTERES ]]/30*U1539))+Tabla14[[#This Row],[VALOR CUOTAS]]</f>
        <v>#VALUE!</v>
      </c>
      <c r="S1539" s="88">
        <f>-IF(Tabla14[[#This Row],[DIAS HABILES O MORA]]&lt;0,(Tabla14[[#This Row],[VALOR PRESTAMO]]*Tabla14[[#This Row],[% INTERES ]]/30*U1539))</f>
        <v>0</v>
      </c>
      <c r="T1539" s="53" t="e">
        <f>Tabla14[[#This Row],[DEUDA CAPITAL]]+Tabla14[[#This Row],[INTERES  CUOTA]]</f>
        <v>#NUM!</v>
      </c>
      <c r="U1539" s="61" t="str">
        <f t="shared" si="249"/>
        <v/>
      </c>
    </row>
    <row r="1540" spans="9:21" ht="24.75" customHeight="1" x14ac:dyDescent="0.35">
      <c r="I1540" s="42">
        <f t="shared" si="240"/>
        <v>0</v>
      </c>
      <c r="J1540" s="65" t="e">
        <f t="shared" si="241"/>
        <v>#NUM!</v>
      </c>
      <c r="K1540" s="83" t="e">
        <f t="shared" si="242"/>
        <v>#NUM!</v>
      </c>
      <c r="L1540" s="83">
        <f t="shared" si="243"/>
        <v>0</v>
      </c>
      <c r="M1540" s="110" t="str">
        <f t="shared" si="244"/>
        <v/>
      </c>
      <c r="N1540" s="51" t="str">
        <f t="shared" si="245"/>
        <v/>
      </c>
      <c r="O1540" s="52" t="str">
        <f t="shared" si="246"/>
        <v/>
      </c>
      <c r="P1540" s="88">
        <f t="shared" si="247"/>
        <v>0</v>
      </c>
      <c r="Q1540" s="88">
        <f t="shared" si="248"/>
        <v>0</v>
      </c>
      <c r="R1540" s="88" t="e">
        <f>-IF(Tabla14[[#This Row],[DIAS HABILES O MORA]]&lt;0,(Tabla14[[#This Row],[VALOR PRESTAMO]]*Tabla14[[#This Row],[% INTERES ]]/30*U1540))+Tabla14[[#This Row],[VALOR CUOTAS]]</f>
        <v>#VALUE!</v>
      </c>
      <c r="S1540" s="88">
        <f>-IF(Tabla14[[#This Row],[DIAS HABILES O MORA]]&lt;0,(Tabla14[[#This Row],[VALOR PRESTAMO]]*Tabla14[[#This Row],[% INTERES ]]/30*U1540))</f>
        <v>0</v>
      </c>
      <c r="T1540" s="53" t="e">
        <f>Tabla14[[#This Row],[DEUDA CAPITAL]]+Tabla14[[#This Row],[INTERES  CUOTA]]</f>
        <v>#NUM!</v>
      </c>
      <c r="U1540" s="61" t="str">
        <f t="shared" si="249"/>
        <v/>
      </c>
    </row>
    <row r="1541" spans="9:21" ht="24.75" customHeight="1" x14ac:dyDescent="0.35">
      <c r="I1541" s="42">
        <f t="shared" si="240"/>
        <v>0</v>
      </c>
      <c r="J1541" s="65" t="e">
        <f t="shared" si="241"/>
        <v>#NUM!</v>
      </c>
      <c r="K1541" s="83" t="e">
        <f t="shared" si="242"/>
        <v>#NUM!</v>
      </c>
      <c r="L1541" s="83">
        <f t="shared" si="243"/>
        <v>0</v>
      </c>
      <c r="M1541" s="110" t="str">
        <f t="shared" si="244"/>
        <v/>
      </c>
      <c r="N1541" s="51" t="str">
        <f t="shared" si="245"/>
        <v/>
      </c>
      <c r="O1541" s="52" t="str">
        <f t="shared" si="246"/>
        <v/>
      </c>
      <c r="P1541" s="88">
        <f t="shared" si="247"/>
        <v>0</v>
      </c>
      <c r="Q1541" s="88">
        <f t="shared" si="248"/>
        <v>0</v>
      </c>
      <c r="R1541" s="88" t="e">
        <f>-IF(Tabla14[[#This Row],[DIAS HABILES O MORA]]&lt;0,(Tabla14[[#This Row],[VALOR PRESTAMO]]*Tabla14[[#This Row],[% INTERES ]]/30*U1541))+Tabla14[[#This Row],[VALOR CUOTAS]]</f>
        <v>#VALUE!</v>
      </c>
      <c r="S1541" s="88">
        <f>-IF(Tabla14[[#This Row],[DIAS HABILES O MORA]]&lt;0,(Tabla14[[#This Row],[VALOR PRESTAMO]]*Tabla14[[#This Row],[% INTERES ]]/30*U1541))</f>
        <v>0</v>
      </c>
      <c r="T1541" s="53" t="e">
        <f>Tabla14[[#This Row],[DEUDA CAPITAL]]+Tabla14[[#This Row],[INTERES  CUOTA]]</f>
        <v>#NUM!</v>
      </c>
      <c r="U1541" s="61" t="str">
        <f t="shared" si="249"/>
        <v/>
      </c>
    </row>
    <row r="1542" spans="9:21" ht="24.75" customHeight="1" x14ac:dyDescent="0.35">
      <c r="I1542" s="42">
        <f t="shared" si="240"/>
        <v>0</v>
      </c>
      <c r="J1542" s="65" t="e">
        <f t="shared" si="241"/>
        <v>#NUM!</v>
      </c>
      <c r="K1542" s="83" t="e">
        <f t="shared" si="242"/>
        <v>#NUM!</v>
      </c>
      <c r="L1542" s="83">
        <f t="shared" si="243"/>
        <v>0</v>
      </c>
      <c r="M1542" s="110" t="str">
        <f t="shared" si="244"/>
        <v/>
      </c>
      <c r="N1542" s="51" t="str">
        <f t="shared" si="245"/>
        <v/>
      </c>
      <c r="O1542" s="52" t="str">
        <f t="shared" si="246"/>
        <v/>
      </c>
      <c r="P1542" s="88">
        <f t="shared" si="247"/>
        <v>0</v>
      </c>
      <c r="Q1542" s="88">
        <f t="shared" si="248"/>
        <v>0</v>
      </c>
      <c r="R1542" s="88" t="e">
        <f>-IF(Tabla14[[#This Row],[DIAS HABILES O MORA]]&lt;0,(Tabla14[[#This Row],[VALOR PRESTAMO]]*Tabla14[[#This Row],[% INTERES ]]/30*U1542))+Tabla14[[#This Row],[VALOR CUOTAS]]</f>
        <v>#VALUE!</v>
      </c>
      <c r="S1542" s="88">
        <f>-IF(Tabla14[[#This Row],[DIAS HABILES O MORA]]&lt;0,(Tabla14[[#This Row],[VALOR PRESTAMO]]*Tabla14[[#This Row],[% INTERES ]]/30*U1542))</f>
        <v>0</v>
      </c>
      <c r="T1542" s="53" t="e">
        <f>Tabla14[[#This Row],[DEUDA CAPITAL]]+Tabla14[[#This Row],[INTERES  CUOTA]]</f>
        <v>#NUM!</v>
      </c>
      <c r="U1542" s="61" t="str">
        <f t="shared" si="249"/>
        <v/>
      </c>
    </row>
    <row r="1543" spans="9:21" ht="24.75" customHeight="1" x14ac:dyDescent="0.35">
      <c r="I1543" s="42">
        <f t="shared" si="240"/>
        <v>0</v>
      </c>
      <c r="J1543" s="65" t="e">
        <f t="shared" si="241"/>
        <v>#NUM!</v>
      </c>
      <c r="K1543" s="83" t="e">
        <f t="shared" si="242"/>
        <v>#NUM!</v>
      </c>
      <c r="L1543" s="83">
        <f t="shared" si="243"/>
        <v>0</v>
      </c>
      <c r="M1543" s="110" t="str">
        <f t="shared" si="244"/>
        <v/>
      </c>
      <c r="N1543" s="51" t="str">
        <f t="shared" si="245"/>
        <v/>
      </c>
      <c r="O1543" s="52" t="str">
        <f t="shared" si="246"/>
        <v/>
      </c>
      <c r="P1543" s="88">
        <f t="shared" si="247"/>
        <v>0</v>
      </c>
      <c r="Q1543" s="88">
        <f t="shared" si="248"/>
        <v>0</v>
      </c>
      <c r="R1543" s="88" t="e">
        <f>-IF(Tabla14[[#This Row],[DIAS HABILES O MORA]]&lt;0,(Tabla14[[#This Row],[VALOR PRESTAMO]]*Tabla14[[#This Row],[% INTERES ]]/30*U1543))+Tabla14[[#This Row],[VALOR CUOTAS]]</f>
        <v>#VALUE!</v>
      </c>
      <c r="S1543" s="88">
        <f>-IF(Tabla14[[#This Row],[DIAS HABILES O MORA]]&lt;0,(Tabla14[[#This Row],[VALOR PRESTAMO]]*Tabla14[[#This Row],[% INTERES ]]/30*U1543))</f>
        <v>0</v>
      </c>
      <c r="T1543" s="53" t="e">
        <f>Tabla14[[#This Row],[DEUDA CAPITAL]]+Tabla14[[#This Row],[INTERES  CUOTA]]</f>
        <v>#NUM!</v>
      </c>
      <c r="U1543" s="61" t="str">
        <f t="shared" si="249"/>
        <v/>
      </c>
    </row>
    <row r="1544" spans="9:21" ht="24.75" customHeight="1" x14ac:dyDescent="0.35">
      <c r="I1544" s="42">
        <f t="shared" si="240"/>
        <v>0</v>
      </c>
      <c r="J1544" s="65" t="e">
        <f t="shared" si="241"/>
        <v>#NUM!</v>
      </c>
      <c r="K1544" s="83" t="e">
        <f t="shared" si="242"/>
        <v>#NUM!</v>
      </c>
      <c r="L1544" s="83">
        <f t="shared" si="243"/>
        <v>0</v>
      </c>
      <c r="M1544" s="110" t="str">
        <f t="shared" si="244"/>
        <v/>
      </c>
      <c r="N1544" s="51" t="str">
        <f t="shared" si="245"/>
        <v/>
      </c>
      <c r="O1544" s="52" t="str">
        <f t="shared" si="246"/>
        <v/>
      </c>
      <c r="P1544" s="88">
        <f t="shared" si="247"/>
        <v>0</v>
      </c>
      <c r="Q1544" s="88">
        <f t="shared" si="248"/>
        <v>0</v>
      </c>
      <c r="R1544" s="88" t="e">
        <f>-IF(Tabla14[[#This Row],[DIAS HABILES O MORA]]&lt;0,(Tabla14[[#This Row],[VALOR PRESTAMO]]*Tabla14[[#This Row],[% INTERES ]]/30*U1544))+Tabla14[[#This Row],[VALOR CUOTAS]]</f>
        <v>#VALUE!</v>
      </c>
      <c r="S1544" s="88">
        <f>-IF(Tabla14[[#This Row],[DIAS HABILES O MORA]]&lt;0,(Tabla14[[#This Row],[VALOR PRESTAMO]]*Tabla14[[#This Row],[% INTERES ]]/30*U1544))</f>
        <v>0</v>
      </c>
      <c r="T1544" s="53" t="e">
        <f>Tabla14[[#This Row],[DEUDA CAPITAL]]+Tabla14[[#This Row],[INTERES  CUOTA]]</f>
        <v>#NUM!</v>
      </c>
      <c r="U1544" s="61" t="str">
        <f t="shared" si="249"/>
        <v/>
      </c>
    </row>
    <row r="1545" spans="9:21" ht="24.75" customHeight="1" x14ac:dyDescent="0.35">
      <c r="I1545" s="42">
        <f t="shared" si="240"/>
        <v>0</v>
      </c>
      <c r="J1545" s="65" t="e">
        <f t="shared" si="241"/>
        <v>#NUM!</v>
      </c>
      <c r="K1545" s="83" t="e">
        <f t="shared" si="242"/>
        <v>#NUM!</v>
      </c>
      <c r="L1545" s="83">
        <f t="shared" si="243"/>
        <v>0</v>
      </c>
      <c r="M1545" s="110" t="str">
        <f t="shared" si="244"/>
        <v/>
      </c>
      <c r="N1545" s="51" t="str">
        <f t="shared" si="245"/>
        <v/>
      </c>
      <c r="O1545" s="52" t="str">
        <f t="shared" si="246"/>
        <v/>
      </c>
      <c r="P1545" s="88">
        <f t="shared" si="247"/>
        <v>0</v>
      </c>
      <c r="Q1545" s="88">
        <f t="shared" si="248"/>
        <v>0</v>
      </c>
      <c r="R1545" s="88" t="e">
        <f>-IF(Tabla14[[#This Row],[DIAS HABILES O MORA]]&lt;0,(Tabla14[[#This Row],[VALOR PRESTAMO]]*Tabla14[[#This Row],[% INTERES ]]/30*U1545))+Tabla14[[#This Row],[VALOR CUOTAS]]</f>
        <v>#VALUE!</v>
      </c>
      <c r="S1545" s="88">
        <f>-IF(Tabla14[[#This Row],[DIAS HABILES O MORA]]&lt;0,(Tabla14[[#This Row],[VALOR PRESTAMO]]*Tabla14[[#This Row],[% INTERES ]]/30*U1545))</f>
        <v>0</v>
      </c>
      <c r="T1545" s="53" t="e">
        <f>Tabla14[[#This Row],[DEUDA CAPITAL]]+Tabla14[[#This Row],[INTERES  CUOTA]]</f>
        <v>#NUM!</v>
      </c>
      <c r="U1545" s="61" t="str">
        <f t="shared" si="249"/>
        <v/>
      </c>
    </row>
    <row r="1546" spans="9:21" ht="24.75" customHeight="1" x14ac:dyDescent="0.35">
      <c r="I1546" s="42">
        <f t="shared" si="240"/>
        <v>0</v>
      </c>
      <c r="J1546" s="65" t="e">
        <f t="shared" si="241"/>
        <v>#NUM!</v>
      </c>
      <c r="K1546" s="83" t="e">
        <f t="shared" si="242"/>
        <v>#NUM!</v>
      </c>
      <c r="L1546" s="83">
        <f t="shared" si="243"/>
        <v>0</v>
      </c>
      <c r="M1546" s="110" t="str">
        <f t="shared" si="244"/>
        <v/>
      </c>
      <c r="N1546" s="51" t="str">
        <f t="shared" si="245"/>
        <v/>
      </c>
      <c r="O1546" s="52" t="str">
        <f t="shared" si="246"/>
        <v/>
      </c>
      <c r="P1546" s="88">
        <f t="shared" si="247"/>
        <v>0</v>
      </c>
      <c r="Q1546" s="88">
        <f t="shared" si="248"/>
        <v>0</v>
      </c>
      <c r="R1546" s="88" t="e">
        <f>-IF(Tabla14[[#This Row],[DIAS HABILES O MORA]]&lt;0,(Tabla14[[#This Row],[VALOR PRESTAMO]]*Tabla14[[#This Row],[% INTERES ]]/30*U1546))+Tabla14[[#This Row],[VALOR CUOTAS]]</f>
        <v>#VALUE!</v>
      </c>
      <c r="S1546" s="88">
        <f>-IF(Tabla14[[#This Row],[DIAS HABILES O MORA]]&lt;0,(Tabla14[[#This Row],[VALOR PRESTAMO]]*Tabla14[[#This Row],[% INTERES ]]/30*U1546))</f>
        <v>0</v>
      </c>
      <c r="T1546" s="53" t="e">
        <f>Tabla14[[#This Row],[DEUDA CAPITAL]]+Tabla14[[#This Row],[INTERES  CUOTA]]</f>
        <v>#NUM!</v>
      </c>
      <c r="U1546" s="61" t="str">
        <f t="shared" si="249"/>
        <v/>
      </c>
    </row>
    <row r="1547" spans="9:21" ht="24.75" customHeight="1" x14ac:dyDescent="0.35">
      <c r="I1547" s="42">
        <f t="shared" si="240"/>
        <v>0</v>
      </c>
      <c r="J1547" s="65" t="e">
        <f t="shared" si="241"/>
        <v>#NUM!</v>
      </c>
      <c r="K1547" s="83" t="e">
        <f t="shared" si="242"/>
        <v>#NUM!</v>
      </c>
      <c r="L1547" s="83">
        <f t="shared" si="243"/>
        <v>0</v>
      </c>
      <c r="M1547" s="110" t="str">
        <f t="shared" si="244"/>
        <v/>
      </c>
      <c r="N1547" s="51" t="str">
        <f t="shared" si="245"/>
        <v/>
      </c>
      <c r="O1547" s="52" t="str">
        <f t="shared" si="246"/>
        <v/>
      </c>
      <c r="P1547" s="88">
        <f t="shared" si="247"/>
        <v>0</v>
      </c>
      <c r="Q1547" s="88">
        <f t="shared" si="248"/>
        <v>0</v>
      </c>
      <c r="R1547" s="88" t="e">
        <f>-IF(Tabla14[[#This Row],[DIAS HABILES O MORA]]&lt;0,(Tabla14[[#This Row],[VALOR PRESTAMO]]*Tabla14[[#This Row],[% INTERES ]]/30*U1547))+Tabla14[[#This Row],[VALOR CUOTAS]]</f>
        <v>#VALUE!</v>
      </c>
      <c r="S1547" s="88">
        <f>-IF(Tabla14[[#This Row],[DIAS HABILES O MORA]]&lt;0,(Tabla14[[#This Row],[VALOR PRESTAMO]]*Tabla14[[#This Row],[% INTERES ]]/30*U1547))</f>
        <v>0</v>
      </c>
      <c r="T1547" s="53" t="e">
        <f>Tabla14[[#This Row],[DEUDA CAPITAL]]+Tabla14[[#This Row],[INTERES  CUOTA]]</f>
        <v>#NUM!</v>
      </c>
      <c r="U1547" s="61" t="str">
        <f t="shared" si="249"/>
        <v/>
      </c>
    </row>
    <row r="1548" spans="9:21" ht="24.75" customHeight="1" x14ac:dyDescent="0.35">
      <c r="I1548" s="42">
        <f t="shared" si="240"/>
        <v>0</v>
      </c>
      <c r="J1548" s="65" t="e">
        <f t="shared" si="241"/>
        <v>#NUM!</v>
      </c>
      <c r="K1548" s="83" t="e">
        <f t="shared" si="242"/>
        <v>#NUM!</v>
      </c>
      <c r="L1548" s="83">
        <f t="shared" si="243"/>
        <v>0</v>
      </c>
      <c r="M1548" s="110" t="str">
        <f t="shared" si="244"/>
        <v/>
      </c>
      <c r="N1548" s="51" t="str">
        <f t="shared" si="245"/>
        <v/>
      </c>
      <c r="O1548" s="52" t="str">
        <f t="shared" si="246"/>
        <v/>
      </c>
      <c r="P1548" s="88">
        <f t="shared" si="247"/>
        <v>0</v>
      </c>
      <c r="Q1548" s="88">
        <f t="shared" si="248"/>
        <v>0</v>
      </c>
      <c r="R1548" s="88" t="e">
        <f>-IF(Tabla14[[#This Row],[DIAS HABILES O MORA]]&lt;0,(Tabla14[[#This Row],[VALOR PRESTAMO]]*Tabla14[[#This Row],[% INTERES ]]/30*U1548))+Tabla14[[#This Row],[VALOR CUOTAS]]</f>
        <v>#VALUE!</v>
      </c>
      <c r="S1548" s="88">
        <f>-IF(Tabla14[[#This Row],[DIAS HABILES O MORA]]&lt;0,(Tabla14[[#This Row],[VALOR PRESTAMO]]*Tabla14[[#This Row],[% INTERES ]]/30*U1548))</f>
        <v>0</v>
      </c>
      <c r="T1548" s="53" t="e">
        <f>Tabla14[[#This Row],[DEUDA CAPITAL]]+Tabla14[[#This Row],[INTERES  CUOTA]]</f>
        <v>#NUM!</v>
      </c>
      <c r="U1548" s="61" t="str">
        <f t="shared" si="249"/>
        <v/>
      </c>
    </row>
    <row r="1549" spans="9:21" ht="24.75" customHeight="1" x14ac:dyDescent="0.35">
      <c r="I1549" s="42">
        <f t="shared" si="240"/>
        <v>0</v>
      </c>
      <c r="J1549" s="65" t="e">
        <f t="shared" si="241"/>
        <v>#NUM!</v>
      </c>
      <c r="K1549" s="83" t="e">
        <f t="shared" si="242"/>
        <v>#NUM!</v>
      </c>
      <c r="L1549" s="83">
        <f t="shared" si="243"/>
        <v>0</v>
      </c>
      <c r="M1549" s="110" t="str">
        <f t="shared" si="244"/>
        <v/>
      </c>
      <c r="N1549" s="51" t="str">
        <f t="shared" si="245"/>
        <v/>
      </c>
      <c r="O1549" s="52" t="str">
        <f t="shared" si="246"/>
        <v/>
      </c>
      <c r="P1549" s="88">
        <f t="shared" si="247"/>
        <v>0</v>
      </c>
      <c r="Q1549" s="88">
        <f t="shared" si="248"/>
        <v>0</v>
      </c>
      <c r="R1549" s="88" t="e">
        <f>-IF(Tabla14[[#This Row],[DIAS HABILES O MORA]]&lt;0,(Tabla14[[#This Row],[VALOR PRESTAMO]]*Tabla14[[#This Row],[% INTERES ]]/30*U1549))+Tabla14[[#This Row],[VALOR CUOTAS]]</f>
        <v>#VALUE!</v>
      </c>
      <c r="S1549" s="88">
        <f>-IF(Tabla14[[#This Row],[DIAS HABILES O MORA]]&lt;0,(Tabla14[[#This Row],[VALOR PRESTAMO]]*Tabla14[[#This Row],[% INTERES ]]/30*U1549))</f>
        <v>0</v>
      </c>
      <c r="T1549" s="53" t="e">
        <f>Tabla14[[#This Row],[DEUDA CAPITAL]]+Tabla14[[#This Row],[INTERES  CUOTA]]</f>
        <v>#NUM!</v>
      </c>
      <c r="U1549" s="61" t="str">
        <f t="shared" si="249"/>
        <v/>
      </c>
    </row>
    <row r="1550" spans="9:21" ht="24.75" customHeight="1" x14ac:dyDescent="0.35">
      <c r="I1550" s="42">
        <f t="shared" si="240"/>
        <v>0</v>
      </c>
      <c r="J1550" s="65" t="e">
        <f t="shared" si="241"/>
        <v>#NUM!</v>
      </c>
      <c r="K1550" s="83" t="e">
        <f t="shared" si="242"/>
        <v>#NUM!</v>
      </c>
      <c r="L1550" s="83">
        <f t="shared" si="243"/>
        <v>0</v>
      </c>
      <c r="M1550" s="110" t="str">
        <f t="shared" si="244"/>
        <v/>
      </c>
      <c r="N1550" s="51" t="str">
        <f t="shared" si="245"/>
        <v/>
      </c>
      <c r="O1550" s="52" t="str">
        <f t="shared" si="246"/>
        <v/>
      </c>
      <c r="P1550" s="88">
        <f t="shared" si="247"/>
        <v>0</v>
      </c>
      <c r="Q1550" s="88">
        <f t="shared" si="248"/>
        <v>0</v>
      </c>
      <c r="R1550" s="88" t="e">
        <f>-IF(Tabla14[[#This Row],[DIAS HABILES O MORA]]&lt;0,(Tabla14[[#This Row],[VALOR PRESTAMO]]*Tabla14[[#This Row],[% INTERES ]]/30*U1550))+Tabla14[[#This Row],[VALOR CUOTAS]]</f>
        <v>#VALUE!</v>
      </c>
      <c r="S1550" s="88">
        <f>-IF(Tabla14[[#This Row],[DIAS HABILES O MORA]]&lt;0,(Tabla14[[#This Row],[VALOR PRESTAMO]]*Tabla14[[#This Row],[% INTERES ]]/30*U1550))</f>
        <v>0</v>
      </c>
      <c r="T1550" s="53" t="e">
        <f>Tabla14[[#This Row],[DEUDA CAPITAL]]+Tabla14[[#This Row],[INTERES  CUOTA]]</f>
        <v>#NUM!</v>
      </c>
      <c r="U1550" s="61" t="str">
        <f t="shared" si="249"/>
        <v/>
      </c>
    </row>
    <row r="1551" spans="9:21" ht="24.75" customHeight="1" x14ac:dyDescent="0.35">
      <c r="I1551" s="42">
        <f t="shared" si="240"/>
        <v>0</v>
      </c>
      <c r="J1551" s="65" t="e">
        <f t="shared" si="241"/>
        <v>#NUM!</v>
      </c>
      <c r="K1551" s="83" t="e">
        <f t="shared" si="242"/>
        <v>#NUM!</v>
      </c>
      <c r="L1551" s="83">
        <f t="shared" si="243"/>
        <v>0</v>
      </c>
      <c r="M1551" s="110" t="str">
        <f t="shared" si="244"/>
        <v/>
      </c>
      <c r="N1551" s="51" t="str">
        <f t="shared" si="245"/>
        <v/>
      </c>
      <c r="O1551" s="52" t="str">
        <f t="shared" si="246"/>
        <v/>
      </c>
      <c r="P1551" s="88">
        <f t="shared" si="247"/>
        <v>0</v>
      </c>
      <c r="Q1551" s="88">
        <f t="shared" si="248"/>
        <v>0</v>
      </c>
      <c r="R1551" s="88" t="e">
        <f>-IF(Tabla14[[#This Row],[DIAS HABILES O MORA]]&lt;0,(Tabla14[[#This Row],[VALOR PRESTAMO]]*Tabla14[[#This Row],[% INTERES ]]/30*U1551))+Tabla14[[#This Row],[VALOR CUOTAS]]</f>
        <v>#VALUE!</v>
      </c>
      <c r="S1551" s="88">
        <f>-IF(Tabla14[[#This Row],[DIAS HABILES O MORA]]&lt;0,(Tabla14[[#This Row],[VALOR PRESTAMO]]*Tabla14[[#This Row],[% INTERES ]]/30*U1551))</f>
        <v>0</v>
      </c>
      <c r="T1551" s="53" t="e">
        <f>Tabla14[[#This Row],[DEUDA CAPITAL]]+Tabla14[[#This Row],[INTERES  CUOTA]]</f>
        <v>#NUM!</v>
      </c>
      <c r="U1551" s="61" t="str">
        <f t="shared" si="249"/>
        <v/>
      </c>
    </row>
    <row r="1552" spans="9:21" ht="24.75" customHeight="1" x14ac:dyDescent="0.35">
      <c r="I1552" s="42">
        <f t="shared" ref="I1552:I1615" si="250">IF(C1552&lt;0,"",IF(Q1552=0,0,IF(G1552=0,H1552+1,IF(H1552&lt;G1552,H1552+1,IF(G1552=H1552,0)))))</f>
        <v>0</v>
      </c>
      <c r="J1552" s="65" t="e">
        <f t="shared" ref="J1552:J1615" si="251">IF(F1552="SOLO INTERES",Q1552*D1552,-IPMT(D1552,I1552,G1552,C1552))</f>
        <v>#NUM!</v>
      </c>
      <c r="K1552" s="83" t="e">
        <f t="shared" ref="K1552:K1615" si="252">IF(F1552="SOLO INTERES",0,-PPMT(D1552,I1552,G1552,C1552))</f>
        <v>#NUM!</v>
      </c>
      <c r="L1552" s="83">
        <f t="shared" ref="L1552:L1615" si="253">IF(F1552="SOLO INTERES",SUM(Y1552:AAE1552),IFERROR(-CUMIPMT(D1552,G1552,C1552,1,H1552,0),0)+SUM(Y1552:WY1552))</f>
        <v>0</v>
      </c>
      <c r="M1552" s="110" t="str">
        <f t="shared" ref="M1552:M1615" si="254">IFERROR(IF(F1552="SOLO INTERES",Q1552*D1552,-PMT(D1552,G1552,C1552,0)),"")</f>
        <v/>
      </c>
      <c r="N1552" s="51" t="str">
        <f t="shared" ref="N1552:N1615" si="255">IF(Q1552=0,"",IF(E1552="MENSUAL",EDATE(B1552,I1552),IF(E1552="QUINCENAL",B1552+(I1552*15),IF(E1552="SEMANAL",B1552+(I1552*7)))))</f>
        <v/>
      </c>
      <c r="O1552" s="52" t="str">
        <f t="shared" ref="O1552:O1615" si="256">IF(C1552=0,"",IF(Q1552&lt;1,"PAGADO",IF(N1552=$A$3,"COBRAR HOY",IF(N1552&lt;$A$3,"EN MORA",IF(N1552&gt;$A$3,"AL DIA")))))</f>
        <v/>
      </c>
      <c r="P1552" s="88">
        <f t="shared" ref="P1552:P1615" si="257">IFERROR(-CUMPRINC(D1552,G1552,C1552,1,H1552,0),0)+W1552</f>
        <v>0</v>
      </c>
      <c r="Q1552" s="88">
        <f t="shared" ref="Q1552:Q1615" si="258">IFERROR(C1552-P1552,"")</f>
        <v>0</v>
      </c>
      <c r="R1552" s="88" t="e">
        <f>-IF(Tabla14[[#This Row],[DIAS HABILES O MORA]]&lt;0,(Tabla14[[#This Row],[VALOR PRESTAMO]]*Tabla14[[#This Row],[% INTERES ]]/30*U1552))+Tabla14[[#This Row],[VALOR CUOTAS]]</f>
        <v>#VALUE!</v>
      </c>
      <c r="S1552" s="88">
        <f>-IF(Tabla14[[#This Row],[DIAS HABILES O MORA]]&lt;0,(Tabla14[[#This Row],[VALOR PRESTAMO]]*Tabla14[[#This Row],[% INTERES ]]/30*U1552))</f>
        <v>0</v>
      </c>
      <c r="T1552" s="53" t="e">
        <f>Tabla14[[#This Row],[DEUDA CAPITAL]]+Tabla14[[#This Row],[INTERES  CUOTA]]</f>
        <v>#NUM!</v>
      </c>
      <c r="U1552" s="61" t="str">
        <f t="shared" ref="U1552:U1615" si="259">IF(O1552="PAGADO","",IFERROR(-IF(C1552=0,"",$A$3-N1552),""))</f>
        <v/>
      </c>
    </row>
    <row r="1553" spans="9:21" ht="24.75" customHeight="1" x14ac:dyDescent="0.35">
      <c r="I1553" s="42">
        <f t="shared" si="250"/>
        <v>0</v>
      </c>
      <c r="J1553" s="65" t="e">
        <f t="shared" si="251"/>
        <v>#NUM!</v>
      </c>
      <c r="K1553" s="83" t="e">
        <f t="shared" si="252"/>
        <v>#NUM!</v>
      </c>
      <c r="L1553" s="83">
        <f t="shared" si="253"/>
        <v>0</v>
      </c>
      <c r="M1553" s="110" t="str">
        <f t="shared" si="254"/>
        <v/>
      </c>
      <c r="N1553" s="51" t="str">
        <f t="shared" si="255"/>
        <v/>
      </c>
      <c r="O1553" s="52" t="str">
        <f t="shared" si="256"/>
        <v/>
      </c>
      <c r="P1553" s="88">
        <f t="shared" si="257"/>
        <v>0</v>
      </c>
      <c r="Q1553" s="88">
        <f t="shared" si="258"/>
        <v>0</v>
      </c>
      <c r="R1553" s="88" t="e">
        <f>-IF(Tabla14[[#This Row],[DIAS HABILES O MORA]]&lt;0,(Tabla14[[#This Row],[VALOR PRESTAMO]]*Tabla14[[#This Row],[% INTERES ]]/30*U1553))+Tabla14[[#This Row],[VALOR CUOTAS]]</f>
        <v>#VALUE!</v>
      </c>
      <c r="S1553" s="88">
        <f>-IF(Tabla14[[#This Row],[DIAS HABILES O MORA]]&lt;0,(Tabla14[[#This Row],[VALOR PRESTAMO]]*Tabla14[[#This Row],[% INTERES ]]/30*U1553))</f>
        <v>0</v>
      </c>
      <c r="T1553" s="53" t="e">
        <f>Tabla14[[#This Row],[DEUDA CAPITAL]]+Tabla14[[#This Row],[INTERES  CUOTA]]</f>
        <v>#NUM!</v>
      </c>
      <c r="U1553" s="61" t="str">
        <f t="shared" si="259"/>
        <v/>
      </c>
    </row>
    <row r="1554" spans="9:21" ht="24.75" customHeight="1" x14ac:dyDescent="0.35">
      <c r="I1554" s="42">
        <f t="shared" si="250"/>
        <v>0</v>
      </c>
      <c r="J1554" s="65" t="e">
        <f t="shared" si="251"/>
        <v>#NUM!</v>
      </c>
      <c r="K1554" s="83" t="e">
        <f t="shared" si="252"/>
        <v>#NUM!</v>
      </c>
      <c r="L1554" s="83">
        <f t="shared" si="253"/>
        <v>0</v>
      </c>
      <c r="M1554" s="110" t="str">
        <f t="shared" si="254"/>
        <v/>
      </c>
      <c r="N1554" s="51" t="str">
        <f t="shared" si="255"/>
        <v/>
      </c>
      <c r="O1554" s="52" t="str">
        <f t="shared" si="256"/>
        <v/>
      </c>
      <c r="P1554" s="88">
        <f t="shared" si="257"/>
        <v>0</v>
      </c>
      <c r="Q1554" s="88">
        <f t="shared" si="258"/>
        <v>0</v>
      </c>
      <c r="R1554" s="88" t="e">
        <f>-IF(Tabla14[[#This Row],[DIAS HABILES O MORA]]&lt;0,(Tabla14[[#This Row],[VALOR PRESTAMO]]*Tabla14[[#This Row],[% INTERES ]]/30*U1554))+Tabla14[[#This Row],[VALOR CUOTAS]]</f>
        <v>#VALUE!</v>
      </c>
      <c r="S1554" s="88">
        <f>-IF(Tabla14[[#This Row],[DIAS HABILES O MORA]]&lt;0,(Tabla14[[#This Row],[VALOR PRESTAMO]]*Tabla14[[#This Row],[% INTERES ]]/30*U1554))</f>
        <v>0</v>
      </c>
      <c r="T1554" s="53" t="e">
        <f>Tabla14[[#This Row],[DEUDA CAPITAL]]+Tabla14[[#This Row],[INTERES  CUOTA]]</f>
        <v>#NUM!</v>
      </c>
      <c r="U1554" s="61" t="str">
        <f t="shared" si="259"/>
        <v/>
      </c>
    </row>
    <row r="1555" spans="9:21" ht="24.75" customHeight="1" x14ac:dyDescent="0.35">
      <c r="I1555" s="42">
        <f t="shared" si="250"/>
        <v>0</v>
      </c>
      <c r="J1555" s="65" t="e">
        <f t="shared" si="251"/>
        <v>#NUM!</v>
      </c>
      <c r="K1555" s="83" t="e">
        <f t="shared" si="252"/>
        <v>#NUM!</v>
      </c>
      <c r="L1555" s="83">
        <f t="shared" si="253"/>
        <v>0</v>
      </c>
      <c r="M1555" s="110" t="str">
        <f t="shared" si="254"/>
        <v/>
      </c>
      <c r="N1555" s="51" t="str">
        <f t="shared" si="255"/>
        <v/>
      </c>
      <c r="O1555" s="52" t="str">
        <f t="shared" si="256"/>
        <v/>
      </c>
      <c r="P1555" s="88">
        <f t="shared" si="257"/>
        <v>0</v>
      </c>
      <c r="Q1555" s="88">
        <f t="shared" si="258"/>
        <v>0</v>
      </c>
      <c r="R1555" s="88" t="e">
        <f>-IF(Tabla14[[#This Row],[DIAS HABILES O MORA]]&lt;0,(Tabla14[[#This Row],[VALOR PRESTAMO]]*Tabla14[[#This Row],[% INTERES ]]/30*U1555))+Tabla14[[#This Row],[VALOR CUOTAS]]</f>
        <v>#VALUE!</v>
      </c>
      <c r="S1555" s="88">
        <f>-IF(Tabla14[[#This Row],[DIAS HABILES O MORA]]&lt;0,(Tabla14[[#This Row],[VALOR PRESTAMO]]*Tabla14[[#This Row],[% INTERES ]]/30*U1555))</f>
        <v>0</v>
      </c>
      <c r="T1555" s="53" t="e">
        <f>Tabla14[[#This Row],[DEUDA CAPITAL]]+Tabla14[[#This Row],[INTERES  CUOTA]]</f>
        <v>#NUM!</v>
      </c>
      <c r="U1555" s="61" t="str">
        <f t="shared" si="259"/>
        <v/>
      </c>
    </row>
    <row r="1556" spans="9:21" ht="24.75" customHeight="1" x14ac:dyDescent="0.35">
      <c r="I1556" s="42">
        <f t="shared" si="250"/>
        <v>0</v>
      </c>
      <c r="J1556" s="65" t="e">
        <f t="shared" si="251"/>
        <v>#NUM!</v>
      </c>
      <c r="K1556" s="83" t="e">
        <f t="shared" si="252"/>
        <v>#NUM!</v>
      </c>
      <c r="L1556" s="83">
        <f t="shared" si="253"/>
        <v>0</v>
      </c>
      <c r="M1556" s="110" t="str">
        <f t="shared" si="254"/>
        <v/>
      </c>
      <c r="N1556" s="51" t="str">
        <f t="shared" si="255"/>
        <v/>
      </c>
      <c r="O1556" s="52" t="str">
        <f t="shared" si="256"/>
        <v/>
      </c>
      <c r="P1556" s="88">
        <f t="shared" si="257"/>
        <v>0</v>
      </c>
      <c r="Q1556" s="88">
        <f t="shared" si="258"/>
        <v>0</v>
      </c>
      <c r="R1556" s="88" t="e">
        <f>-IF(Tabla14[[#This Row],[DIAS HABILES O MORA]]&lt;0,(Tabla14[[#This Row],[VALOR PRESTAMO]]*Tabla14[[#This Row],[% INTERES ]]/30*U1556))+Tabla14[[#This Row],[VALOR CUOTAS]]</f>
        <v>#VALUE!</v>
      </c>
      <c r="S1556" s="88">
        <f>-IF(Tabla14[[#This Row],[DIAS HABILES O MORA]]&lt;0,(Tabla14[[#This Row],[VALOR PRESTAMO]]*Tabla14[[#This Row],[% INTERES ]]/30*U1556))</f>
        <v>0</v>
      </c>
      <c r="T1556" s="53" t="e">
        <f>Tabla14[[#This Row],[DEUDA CAPITAL]]+Tabla14[[#This Row],[INTERES  CUOTA]]</f>
        <v>#NUM!</v>
      </c>
      <c r="U1556" s="61" t="str">
        <f t="shared" si="259"/>
        <v/>
      </c>
    </row>
    <row r="1557" spans="9:21" ht="24.75" customHeight="1" x14ac:dyDescent="0.35">
      <c r="I1557" s="42">
        <f t="shared" si="250"/>
        <v>0</v>
      </c>
      <c r="J1557" s="65" t="e">
        <f t="shared" si="251"/>
        <v>#NUM!</v>
      </c>
      <c r="K1557" s="83" t="e">
        <f t="shared" si="252"/>
        <v>#NUM!</v>
      </c>
      <c r="L1557" s="83">
        <f t="shared" si="253"/>
        <v>0</v>
      </c>
      <c r="M1557" s="110" t="str">
        <f t="shared" si="254"/>
        <v/>
      </c>
      <c r="N1557" s="51" t="str">
        <f t="shared" si="255"/>
        <v/>
      </c>
      <c r="O1557" s="52" t="str">
        <f t="shared" si="256"/>
        <v/>
      </c>
      <c r="P1557" s="88">
        <f t="shared" si="257"/>
        <v>0</v>
      </c>
      <c r="Q1557" s="88">
        <f t="shared" si="258"/>
        <v>0</v>
      </c>
      <c r="R1557" s="88" t="e">
        <f>-IF(Tabla14[[#This Row],[DIAS HABILES O MORA]]&lt;0,(Tabla14[[#This Row],[VALOR PRESTAMO]]*Tabla14[[#This Row],[% INTERES ]]/30*U1557))+Tabla14[[#This Row],[VALOR CUOTAS]]</f>
        <v>#VALUE!</v>
      </c>
      <c r="S1557" s="88">
        <f>-IF(Tabla14[[#This Row],[DIAS HABILES O MORA]]&lt;0,(Tabla14[[#This Row],[VALOR PRESTAMO]]*Tabla14[[#This Row],[% INTERES ]]/30*U1557))</f>
        <v>0</v>
      </c>
      <c r="T1557" s="53" t="e">
        <f>Tabla14[[#This Row],[DEUDA CAPITAL]]+Tabla14[[#This Row],[INTERES  CUOTA]]</f>
        <v>#NUM!</v>
      </c>
      <c r="U1557" s="61" t="str">
        <f t="shared" si="259"/>
        <v/>
      </c>
    </row>
    <row r="1558" spans="9:21" ht="24.75" customHeight="1" x14ac:dyDescent="0.35">
      <c r="I1558" s="42">
        <f t="shared" si="250"/>
        <v>0</v>
      </c>
      <c r="J1558" s="65" t="e">
        <f t="shared" si="251"/>
        <v>#NUM!</v>
      </c>
      <c r="K1558" s="83" t="e">
        <f t="shared" si="252"/>
        <v>#NUM!</v>
      </c>
      <c r="L1558" s="83">
        <f t="shared" si="253"/>
        <v>0</v>
      </c>
      <c r="M1558" s="110" t="str">
        <f t="shared" si="254"/>
        <v/>
      </c>
      <c r="N1558" s="51" t="str">
        <f t="shared" si="255"/>
        <v/>
      </c>
      <c r="O1558" s="52" t="str">
        <f t="shared" si="256"/>
        <v/>
      </c>
      <c r="P1558" s="88">
        <f t="shared" si="257"/>
        <v>0</v>
      </c>
      <c r="Q1558" s="88">
        <f t="shared" si="258"/>
        <v>0</v>
      </c>
      <c r="R1558" s="88" t="e">
        <f>-IF(Tabla14[[#This Row],[DIAS HABILES O MORA]]&lt;0,(Tabla14[[#This Row],[VALOR PRESTAMO]]*Tabla14[[#This Row],[% INTERES ]]/30*U1558))+Tabla14[[#This Row],[VALOR CUOTAS]]</f>
        <v>#VALUE!</v>
      </c>
      <c r="S1558" s="88">
        <f>-IF(Tabla14[[#This Row],[DIAS HABILES O MORA]]&lt;0,(Tabla14[[#This Row],[VALOR PRESTAMO]]*Tabla14[[#This Row],[% INTERES ]]/30*U1558))</f>
        <v>0</v>
      </c>
      <c r="T1558" s="53" t="e">
        <f>Tabla14[[#This Row],[DEUDA CAPITAL]]+Tabla14[[#This Row],[INTERES  CUOTA]]</f>
        <v>#NUM!</v>
      </c>
      <c r="U1558" s="61" t="str">
        <f t="shared" si="259"/>
        <v/>
      </c>
    </row>
    <row r="1559" spans="9:21" ht="24.75" customHeight="1" x14ac:dyDescent="0.35">
      <c r="I1559" s="42">
        <f t="shared" si="250"/>
        <v>0</v>
      </c>
      <c r="J1559" s="65" t="e">
        <f t="shared" si="251"/>
        <v>#NUM!</v>
      </c>
      <c r="K1559" s="83" t="e">
        <f t="shared" si="252"/>
        <v>#NUM!</v>
      </c>
      <c r="L1559" s="83">
        <f t="shared" si="253"/>
        <v>0</v>
      </c>
      <c r="M1559" s="110" t="str">
        <f t="shared" si="254"/>
        <v/>
      </c>
      <c r="N1559" s="51" t="str">
        <f t="shared" si="255"/>
        <v/>
      </c>
      <c r="O1559" s="52" t="str">
        <f t="shared" si="256"/>
        <v/>
      </c>
      <c r="P1559" s="88">
        <f t="shared" si="257"/>
        <v>0</v>
      </c>
      <c r="Q1559" s="88">
        <f t="shared" si="258"/>
        <v>0</v>
      </c>
      <c r="R1559" s="88" t="e">
        <f>-IF(Tabla14[[#This Row],[DIAS HABILES O MORA]]&lt;0,(Tabla14[[#This Row],[VALOR PRESTAMO]]*Tabla14[[#This Row],[% INTERES ]]/30*U1559))+Tabla14[[#This Row],[VALOR CUOTAS]]</f>
        <v>#VALUE!</v>
      </c>
      <c r="S1559" s="88">
        <f>-IF(Tabla14[[#This Row],[DIAS HABILES O MORA]]&lt;0,(Tabla14[[#This Row],[VALOR PRESTAMO]]*Tabla14[[#This Row],[% INTERES ]]/30*U1559))</f>
        <v>0</v>
      </c>
      <c r="T1559" s="53" t="e">
        <f>Tabla14[[#This Row],[DEUDA CAPITAL]]+Tabla14[[#This Row],[INTERES  CUOTA]]</f>
        <v>#NUM!</v>
      </c>
      <c r="U1559" s="61" t="str">
        <f t="shared" si="259"/>
        <v/>
      </c>
    </row>
    <row r="1560" spans="9:21" ht="24.75" customHeight="1" x14ac:dyDescent="0.35">
      <c r="I1560" s="42">
        <f t="shared" si="250"/>
        <v>0</v>
      </c>
      <c r="J1560" s="65" t="e">
        <f t="shared" si="251"/>
        <v>#NUM!</v>
      </c>
      <c r="K1560" s="83" t="e">
        <f t="shared" si="252"/>
        <v>#NUM!</v>
      </c>
      <c r="L1560" s="83">
        <f t="shared" si="253"/>
        <v>0</v>
      </c>
      <c r="M1560" s="110" t="str">
        <f t="shared" si="254"/>
        <v/>
      </c>
      <c r="N1560" s="51" t="str">
        <f t="shared" si="255"/>
        <v/>
      </c>
      <c r="O1560" s="52" t="str">
        <f t="shared" si="256"/>
        <v/>
      </c>
      <c r="P1560" s="88">
        <f t="shared" si="257"/>
        <v>0</v>
      </c>
      <c r="Q1560" s="88">
        <f t="shared" si="258"/>
        <v>0</v>
      </c>
      <c r="R1560" s="88" t="e">
        <f>-IF(Tabla14[[#This Row],[DIAS HABILES O MORA]]&lt;0,(Tabla14[[#This Row],[VALOR PRESTAMO]]*Tabla14[[#This Row],[% INTERES ]]/30*U1560))+Tabla14[[#This Row],[VALOR CUOTAS]]</f>
        <v>#VALUE!</v>
      </c>
      <c r="S1560" s="88">
        <f>-IF(Tabla14[[#This Row],[DIAS HABILES O MORA]]&lt;0,(Tabla14[[#This Row],[VALOR PRESTAMO]]*Tabla14[[#This Row],[% INTERES ]]/30*U1560))</f>
        <v>0</v>
      </c>
      <c r="T1560" s="53" t="e">
        <f>Tabla14[[#This Row],[DEUDA CAPITAL]]+Tabla14[[#This Row],[INTERES  CUOTA]]</f>
        <v>#NUM!</v>
      </c>
      <c r="U1560" s="61" t="str">
        <f t="shared" si="259"/>
        <v/>
      </c>
    </row>
    <row r="1561" spans="9:21" ht="24.75" customHeight="1" x14ac:dyDescent="0.35">
      <c r="I1561" s="42">
        <f t="shared" si="250"/>
        <v>0</v>
      </c>
      <c r="J1561" s="65" t="e">
        <f t="shared" si="251"/>
        <v>#NUM!</v>
      </c>
      <c r="K1561" s="83" t="e">
        <f t="shared" si="252"/>
        <v>#NUM!</v>
      </c>
      <c r="L1561" s="83">
        <f t="shared" si="253"/>
        <v>0</v>
      </c>
      <c r="M1561" s="110" t="str">
        <f t="shared" si="254"/>
        <v/>
      </c>
      <c r="N1561" s="51" t="str">
        <f t="shared" si="255"/>
        <v/>
      </c>
      <c r="O1561" s="52" t="str">
        <f t="shared" si="256"/>
        <v/>
      </c>
      <c r="P1561" s="88">
        <f t="shared" si="257"/>
        <v>0</v>
      </c>
      <c r="Q1561" s="88">
        <f t="shared" si="258"/>
        <v>0</v>
      </c>
      <c r="R1561" s="88" t="e">
        <f>-IF(Tabla14[[#This Row],[DIAS HABILES O MORA]]&lt;0,(Tabla14[[#This Row],[VALOR PRESTAMO]]*Tabla14[[#This Row],[% INTERES ]]/30*U1561))+Tabla14[[#This Row],[VALOR CUOTAS]]</f>
        <v>#VALUE!</v>
      </c>
      <c r="S1561" s="88">
        <f>-IF(Tabla14[[#This Row],[DIAS HABILES O MORA]]&lt;0,(Tabla14[[#This Row],[VALOR PRESTAMO]]*Tabla14[[#This Row],[% INTERES ]]/30*U1561))</f>
        <v>0</v>
      </c>
      <c r="T1561" s="53" t="e">
        <f>Tabla14[[#This Row],[DEUDA CAPITAL]]+Tabla14[[#This Row],[INTERES  CUOTA]]</f>
        <v>#NUM!</v>
      </c>
      <c r="U1561" s="61" t="str">
        <f t="shared" si="259"/>
        <v/>
      </c>
    </row>
    <row r="1562" spans="9:21" ht="24.75" customHeight="1" x14ac:dyDescent="0.35">
      <c r="I1562" s="42">
        <f t="shared" si="250"/>
        <v>0</v>
      </c>
      <c r="J1562" s="65" t="e">
        <f t="shared" si="251"/>
        <v>#NUM!</v>
      </c>
      <c r="K1562" s="83" t="e">
        <f t="shared" si="252"/>
        <v>#NUM!</v>
      </c>
      <c r="L1562" s="83">
        <f t="shared" si="253"/>
        <v>0</v>
      </c>
      <c r="M1562" s="110" t="str">
        <f t="shared" si="254"/>
        <v/>
      </c>
      <c r="N1562" s="51" t="str">
        <f t="shared" si="255"/>
        <v/>
      </c>
      <c r="O1562" s="52" t="str">
        <f t="shared" si="256"/>
        <v/>
      </c>
      <c r="P1562" s="88">
        <f t="shared" si="257"/>
        <v>0</v>
      </c>
      <c r="Q1562" s="88">
        <f t="shared" si="258"/>
        <v>0</v>
      </c>
      <c r="R1562" s="88" t="e">
        <f>-IF(Tabla14[[#This Row],[DIAS HABILES O MORA]]&lt;0,(Tabla14[[#This Row],[VALOR PRESTAMO]]*Tabla14[[#This Row],[% INTERES ]]/30*U1562))+Tabla14[[#This Row],[VALOR CUOTAS]]</f>
        <v>#VALUE!</v>
      </c>
      <c r="S1562" s="88">
        <f>-IF(Tabla14[[#This Row],[DIAS HABILES O MORA]]&lt;0,(Tabla14[[#This Row],[VALOR PRESTAMO]]*Tabla14[[#This Row],[% INTERES ]]/30*U1562))</f>
        <v>0</v>
      </c>
      <c r="T1562" s="53" t="e">
        <f>Tabla14[[#This Row],[DEUDA CAPITAL]]+Tabla14[[#This Row],[INTERES  CUOTA]]</f>
        <v>#NUM!</v>
      </c>
      <c r="U1562" s="61" t="str">
        <f t="shared" si="259"/>
        <v/>
      </c>
    </row>
    <row r="1563" spans="9:21" ht="24.75" customHeight="1" x14ac:dyDescent="0.35">
      <c r="I1563" s="42">
        <f t="shared" si="250"/>
        <v>0</v>
      </c>
      <c r="J1563" s="65" t="e">
        <f t="shared" si="251"/>
        <v>#NUM!</v>
      </c>
      <c r="K1563" s="83" t="e">
        <f t="shared" si="252"/>
        <v>#NUM!</v>
      </c>
      <c r="L1563" s="83">
        <f t="shared" si="253"/>
        <v>0</v>
      </c>
      <c r="M1563" s="110" t="str">
        <f t="shared" si="254"/>
        <v/>
      </c>
      <c r="N1563" s="51" t="str">
        <f t="shared" si="255"/>
        <v/>
      </c>
      <c r="O1563" s="52" t="str">
        <f t="shared" si="256"/>
        <v/>
      </c>
      <c r="P1563" s="88">
        <f t="shared" si="257"/>
        <v>0</v>
      </c>
      <c r="Q1563" s="88">
        <f t="shared" si="258"/>
        <v>0</v>
      </c>
      <c r="R1563" s="88" t="e">
        <f>-IF(Tabla14[[#This Row],[DIAS HABILES O MORA]]&lt;0,(Tabla14[[#This Row],[VALOR PRESTAMO]]*Tabla14[[#This Row],[% INTERES ]]/30*U1563))+Tabla14[[#This Row],[VALOR CUOTAS]]</f>
        <v>#VALUE!</v>
      </c>
      <c r="S1563" s="88">
        <f>-IF(Tabla14[[#This Row],[DIAS HABILES O MORA]]&lt;0,(Tabla14[[#This Row],[VALOR PRESTAMO]]*Tabla14[[#This Row],[% INTERES ]]/30*U1563))</f>
        <v>0</v>
      </c>
      <c r="T1563" s="53" t="e">
        <f>Tabla14[[#This Row],[DEUDA CAPITAL]]+Tabla14[[#This Row],[INTERES  CUOTA]]</f>
        <v>#NUM!</v>
      </c>
      <c r="U1563" s="61" t="str">
        <f t="shared" si="259"/>
        <v/>
      </c>
    </row>
    <row r="1564" spans="9:21" ht="24.75" customHeight="1" x14ac:dyDescent="0.35">
      <c r="I1564" s="42">
        <f t="shared" si="250"/>
        <v>0</v>
      </c>
      <c r="J1564" s="65" t="e">
        <f t="shared" si="251"/>
        <v>#NUM!</v>
      </c>
      <c r="K1564" s="83" t="e">
        <f t="shared" si="252"/>
        <v>#NUM!</v>
      </c>
      <c r="L1564" s="83">
        <f t="shared" si="253"/>
        <v>0</v>
      </c>
      <c r="M1564" s="110" t="str">
        <f t="shared" si="254"/>
        <v/>
      </c>
      <c r="N1564" s="51" t="str">
        <f t="shared" si="255"/>
        <v/>
      </c>
      <c r="O1564" s="52" t="str">
        <f t="shared" si="256"/>
        <v/>
      </c>
      <c r="P1564" s="88">
        <f t="shared" si="257"/>
        <v>0</v>
      </c>
      <c r="Q1564" s="88">
        <f t="shared" si="258"/>
        <v>0</v>
      </c>
      <c r="R1564" s="88" t="e">
        <f>-IF(Tabla14[[#This Row],[DIAS HABILES O MORA]]&lt;0,(Tabla14[[#This Row],[VALOR PRESTAMO]]*Tabla14[[#This Row],[% INTERES ]]/30*U1564))+Tabla14[[#This Row],[VALOR CUOTAS]]</f>
        <v>#VALUE!</v>
      </c>
      <c r="S1564" s="88">
        <f>-IF(Tabla14[[#This Row],[DIAS HABILES O MORA]]&lt;0,(Tabla14[[#This Row],[VALOR PRESTAMO]]*Tabla14[[#This Row],[% INTERES ]]/30*U1564))</f>
        <v>0</v>
      </c>
      <c r="T1564" s="53" t="e">
        <f>Tabla14[[#This Row],[DEUDA CAPITAL]]+Tabla14[[#This Row],[INTERES  CUOTA]]</f>
        <v>#NUM!</v>
      </c>
      <c r="U1564" s="61" t="str">
        <f t="shared" si="259"/>
        <v/>
      </c>
    </row>
    <row r="1565" spans="9:21" ht="24.75" customHeight="1" x14ac:dyDescent="0.35">
      <c r="I1565" s="42">
        <f t="shared" si="250"/>
        <v>0</v>
      </c>
      <c r="J1565" s="65" t="e">
        <f t="shared" si="251"/>
        <v>#NUM!</v>
      </c>
      <c r="K1565" s="83" t="e">
        <f t="shared" si="252"/>
        <v>#NUM!</v>
      </c>
      <c r="L1565" s="83">
        <f t="shared" si="253"/>
        <v>0</v>
      </c>
      <c r="M1565" s="110" t="str">
        <f t="shared" si="254"/>
        <v/>
      </c>
      <c r="N1565" s="51" t="str">
        <f t="shared" si="255"/>
        <v/>
      </c>
      <c r="O1565" s="52" t="str">
        <f t="shared" si="256"/>
        <v/>
      </c>
      <c r="P1565" s="88">
        <f t="shared" si="257"/>
        <v>0</v>
      </c>
      <c r="Q1565" s="88">
        <f t="shared" si="258"/>
        <v>0</v>
      </c>
      <c r="R1565" s="88" t="e">
        <f>-IF(Tabla14[[#This Row],[DIAS HABILES O MORA]]&lt;0,(Tabla14[[#This Row],[VALOR PRESTAMO]]*Tabla14[[#This Row],[% INTERES ]]/30*U1565))+Tabla14[[#This Row],[VALOR CUOTAS]]</f>
        <v>#VALUE!</v>
      </c>
      <c r="S1565" s="88">
        <f>-IF(Tabla14[[#This Row],[DIAS HABILES O MORA]]&lt;0,(Tabla14[[#This Row],[VALOR PRESTAMO]]*Tabla14[[#This Row],[% INTERES ]]/30*U1565))</f>
        <v>0</v>
      </c>
      <c r="T1565" s="53" t="e">
        <f>Tabla14[[#This Row],[DEUDA CAPITAL]]+Tabla14[[#This Row],[INTERES  CUOTA]]</f>
        <v>#NUM!</v>
      </c>
      <c r="U1565" s="61" t="str">
        <f t="shared" si="259"/>
        <v/>
      </c>
    </row>
    <row r="1566" spans="9:21" ht="24.75" customHeight="1" x14ac:dyDescent="0.35">
      <c r="I1566" s="42">
        <f t="shared" si="250"/>
        <v>0</v>
      </c>
      <c r="J1566" s="65" t="e">
        <f t="shared" si="251"/>
        <v>#NUM!</v>
      </c>
      <c r="K1566" s="83" t="e">
        <f t="shared" si="252"/>
        <v>#NUM!</v>
      </c>
      <c r="L1566" s="83">
        <f t="shared" si="253"/>
        <v>0</v>
      </c>
      <c r="M1566" s="110" t="str">
        <f t="shared" si="254"/>
        <v/>
      </c>
      <c r="N1566" s="51" t="str">
        <f t="shared" si="255"/>
        <v/>
      </c>
      <c r="O1566" s="52" t="str">
        <f t="shared" si="256"/>
        <v/>
      </c>
      <c r="P1566" s="88">
        <f t="shared" si="257"/>
        <v>0</v>
      </c>
      <c r="Q1566" s="88">
        <f t="shared" si="258"/>
        <v>0</v>
      </c>
      <c r="R1566" s="88" t="e">
        <f>-IF(Tabla14[[#This Row],[DIAS HABILES O MORA]]&lt;0,(Tabla14[[#This Row],[VALOR PRESTAMO]]*Tabla14[[#This Row],[% INTERES ]]/30*U1566))+Tabla14[[#This Row],[VALOR CUOTAS]]</f>
        <v>#VALUE!</v>
      </c>
      <c r="S1566" s="88">
        <f>-IF(Tabla14[[#This Row],[DIAS HABILES O MORA]]&lt;0,(Tabla14[[#This Row],[VALOR PRESTAMO]]*Tabla14[[#This Row],[% INTERES ]]/30*U1566))</f>
        <v>0</v>
      </c>
      <c r="T1566" s="53" t="e">
        <f>Tabla14[[#This Row],[DEUDA CAPITAL]]+Tabla14[[#This Row],[INTERES  CUOTA]]</f>
        <v>#NUM!</v>
      </c>
      <c r="U1566" s="61" t="str">
        <f t="shared" si="259"/>
        <v/>
      </c>
    </row>
    <row r="1567" spans="9:21" ht="24.75" customHeight="1" x14ac:dyDescent="0.35">
      <c r="I1567" s="42">
        <f t="shared" si="250"/>
        <v>0</v>
      </c>
      <c r="J1567" s="65" t="e">
        <f t="shared" si="251"/>
        <v>#NUM!</v>
      </c>
      <c r="K1567" s="83" t="e">
        <f t="shared" si="252"/>
        <v>#NUM!</v>
      </c>
      <c r="L1567" s="83">
        <f t="shared" si="253"/>
        <v>0</v>
      </c>
      <c r="M1567" s="110" t="str">
        <f t="shared" si="254"/>
        <v/>
      </c>
      <c r="N1567" s="51" t="str">
        <f t="shared" si="255"/>
        <v/>
      </c>
      <c r="O1567" s="52" t="str">
        <f t="shared" si="256"/>
        <v/>
      </c>
      <c r="P1567" s="88">
        <f t="shared" si="257"/>
        <v>0</v>
      </c>
      <c r="Q1567" s="88">
        <f t="shared" si="258"/>
        <v>0</v>
      </c>
      <c r="R1567" s="88" t="e">
        <f>-IF(Tabla14[[#This Row],[DIAS HABILES O MORA]]&lt;0,(Tabla14[[#This Row],[VALOR PRESTAMO]]*Tabla14[[#This Row],[% INTERES ]]/30*U1567))+Tabla14[[#This Row],[VALOR CUOTAS]]</f>
        <v>#VALUE!</v>
      </c>
      <c r="S1567" s="88">
        <f>-IF(Tabla14[[#This Row],[DIAS HABILES O MORA]]&lt;0,(Tabla14[[#This Row],[VALOR PRESTAMO]]*Tabla14[[#This Row],[% INTERES ]]/30*U1567))</f>
        <v>0</v>
      </c>
      <c r="T1567" s="53" t="e">
        <f>Tabla14[[#This Row],[DEUDA CAPITAL]]+Tabla14[[#This Row],[INTERES  CUOTA]]</f>
        <v>#NUM!</v>
      </c>
      <c r="U1567" s="61" t="str">
        <f t="shared" si="259"/>
        <v/>
      </c>
    </row>
    <row r="1568" spans="9:21" ht="24.75" customHeight="1" x14ac:dyDescent="0.35">
      <c r="I1568" s="42">
        <f t="shared" si="250"/>
        <v>0</v>
      </c>
      <c r="J1568" s="65" t="e">
        <f t="shared" si="251"/>
        <v>#NUM!</v>
      </c>
      <c r="K1568" s="83" t="e">
        <f t="shared" si="252"/>
        <v>#NUM!</v>
      </c>
      <c r="L1568" s="83">
        <f t="shared" si="253"/>
        <v>0</v>
      </c>
      <c r="M1568" s="110" t="str">
        <f t="shared" si="254"/>
        <v/>
      </c>
      <c r="N1568" s="51" t="str">
        <f t="shared" si="255"/>
        <v/>
      </c>
      <c r="O1568" s="52" t="str">
        <f t="shared" si="256"/>
        <v/>
      </c>
      <c r="P1568" s="88">
        <f t="shared" si="257"/>
        <v>0</v>
      </c>
      <c r="Q1568" s="88">
        <f t="shared" si="258"/>
        <v>0</v>
      </c>
      <c r="R1568" s="88" t="e">
        <f>-IF(Tabla14[[#This Row],[DIAS HABILES O MORA]]&lt;0,(Tabla14[[#This Row],[VALOR PRESTAMO]]*Tabla14[[#This Row],[% INTERES ]]/30*U1568))+Tabla14[[#This Row],[VALOR CUOTAS]]</f>
        <v>#VALUE!</v>
      </c>
      <c r="S1568" s="88">
        <f>-IF(Tabla14[[#This Row],[DIAS HABILES O MORA]]&lt;0,(Tabla14[[#This Row],[VALOR PRESTAMO]]*Tabla14[[#This Row],[% INTERES ]]/30*U1568))</f>
        <v>0</v>
      </c>
      <c r="T1568" s="53" t="e">
        <f>Tabla14[[#This Row],[DEUDA CAPITAL]]+Tabla14[[#This Row],[INTERES  CUOTA]]</f>
        <v>#NUM!</v>
      </c>
      <c r="U1568" s="61" t="str">
        <f t="shared" si="259"/>
        <v/>
      </c>
    </row>
    <row r="1569" spans="9:21" ht="24.75" customHeight="1" x14ac:dyDescent="0.35">
      <c r="I1569" s="42">
        <f t="shared" si="250"/>
        <v>0</v>
      </c>
      <c r="J1569" s="65" t="e">
        <f t="shared" si="251"/>
        <v>#NUM!</v>
      </c>
      <c r="K1569" s="83" t="e">
        <f t="shared" si="252"/>
        <v>#NUM!</v>
      </c>
      <c r="L1569" s="83">
        <f t="shared" si="253"/>
        <v>0</v>
      </c>
      <c r="M1569" s="110" t="str">
        <f t="shared" si="254"/>
        <v/>
      </c>
      <c r="N1569" s="51" t="str">
        <f t="shared" si="255"/>
        <v/>
      </c>
      <c r="O1569" s="52" t="str">
        <f t="shared" si="256"/>
        <v/>
      </c>
      <c r="P1569" s="88">
        <f t="shared" si="257"/>
        <v>0</v>
      </c>
      <c r="Q1569" s="88">
        <f t="shared" si="258"/>
        <v>0</v>
      </c>
      <c r="R1569" s="88" t="e">
        <f>-IF(Tabla14[[#This Row],[DIAS HABILES O MORA]]&lt;0,(Tabla14[[#This Row],[VALOR PRESTAMO]]*Tabla14[[#This Row],[% INTERES ]]/30*U1569))+Tabla14[[#This Row],[VALOR CUOTAS]]</f>
        <v>#VALUE!</v>
      </c>
      <c r="S1569" s="88">
        <f>-IF(Tabla14[[#This Row],[DIAS HABILES O MORA]]&lt;0,(Tabla14[[#This Row],[VALOR PRESTAMO]]*Tabla14[[#This Row],[% INTERES ]]/30*U1569))</f>
        <v>0</v>
      </c>
      <c r="T1569" s="53" t="e">
        <f>Tabla14[[#This Row],[DEUDA CAPITAL]]+Tabla14[[#This Row],[INTERES  CUOTA]]</f>
        <v>#NUM!</v>
      </c>
      <c r="U1569" s="61" t="str">
        <f t="shared" si="259"/>
        <v/>
      </c>
    </row>
    <row r="1570" spans="9:21" ht="24.75" customHeight="1" x14ac:dyDescent="0.35">
      <c r="I1570" s="42">
        <f t="shared" si="250"/>
        <v>0</v>
      </c>
      <c r="J1570" s="65" t="e">
        <f t="shared" si="251"/>
        <v>#NUM!</v>
      </c>
      <c r="K1570" s="83" t="e">
        <f t="shared" si="252"/>
        <v>#NUM!</v>
      </c>
      <c r="L1570" s="83">
        <f t="shared" si="253"/>
        <v>0</v>
      </c>
      <c r="M1570" s="110" t="str">
        <f t="shared" si="254"/>
        <v/>
      </c>
      <c r="N1570" s="51" t="str">
        <f t="shared" si="255"/>
        <v/>
      </c>
      <c r="O1570" s="52" t="str">
        <f t="shared" si="256"/>
        <v/>
      </c>
      <c r="P1570" s="88">
        <f t="shared" si="257"/>
        <v>0</v>
      </c>
      <c r="Q1570" s="88">
        <f t="shared" si="258"/>
        <v>0</v>
      </c>
      <c r="R1570" s="88" t="e">
        <f>-IF(Tabla14[[#This Row],[DIAS HABILES O MORA]]&lt;0,(Tabla14[[#This Row],[VALOR PRESTAMO]]*Tabla14[[#This Row],[% INTERES ]]/30*U1570))+Tabla14[[#This Row],[VALOR CUOTAS]]</f>
        <v>#VALUE!</v>
      </c>
      <c r="S1570" s="88">
        <f>-IF(Tabla14[[#This Row],[DIAS HABILES O MORA]]&lt;0,(Tabla14[[#This Row],[VALOR PRESTAMO]]*Tabla14[[#This Row],[% INTERES ]]/30*U1570))</f>
        <v>0</v>
      </c>
      <c r="T1570" s="53" t="e">
        <f>Tabla14[[#This Row],[DEUDA CAPITAL]]+Tabla14[[#This Row],[INTERES  CUOTA]]</f>
        <v>#NUM!</v>
      </c>
      <c r="U1570" s="61" t="str">
        <f t="shared" si="259"/>
        <v/>
      </c>
    </row>
    <row r="1571" spans="9:21" ht="24.75" customHeight="1" x14ac:dyDescent="0.35">
      <c r="I1571" s="42">
        <f t="shared" si="250"/>
        <v>0</v>
      </c>
      <c r="J1571" s="65" t="e">
        <f t="shared" si="251"/>
        <v>#NUM!</v>
      </c>
      <c r="K1571" s="83" t="e">
        <f t="shared" si="252"/>
        <v>#NUM!</v>
      </c>
      <c r="L1571" s="83">
        <f t="shared" si="253"/>
        <v>0</v>
      </c>
      <c r="M1571" s="110" t="str">
        <f t="shared" si="254"/>
        <v/>
      </c>
      <c r="N1571" s="51" t="str">
        <f t="shared" si="255"/>
        <v/>
      </c>
      <c r="O1571" s="52" t="str">
        <f t="shared" si="256"/>
        <v/>
      </c>
      <c r="P1571" s="88">
        <f t="shared" si="257"/>
        <v>0</v>
      </c>
      <c r="Q1571" s="88">
        <f t="shared" si="258"/>
        <v>0</v>
      </c>
      <c r="R1571" s="88" t="e">
        <f>-IF(Tabla14[[#This Row],[DIAS HABILES O MORA]]&lt;0,(Tabla14[[#This Row],[VALOR PRESTAMO]]*Tabla14[[#This Row],[% INTERES ]]/30*U1571))+Tabla14[[#This Row],[VALOR CUOTAS]]</f>
        <v>#VALUE!</v>
      </c>
      <c r="S1571" s="88">
        <f>-IF(Tabla14[[#This Row],[DIAS HABILES O MORA]]&lt;0,(Tabla14[[#This Row],[VALOR PRESTAMO]]*Tabla14[[#This Row],[% INTERES ]]/30*U1571))</f>
        <v>0</v>
      </c>
      <c r="T1571" s="53" t="e">
        <f>Tabla14[[#This Row],[DEUDA CAPITAL]]+Tabla14[[#This Row],[INTERES  CUOTA]]</f>
        <v>#NUM!</v>
      </c>
      <c r="U1571" s="61" t="str">
        <f t="shared" si="259"/>
        <v/>
      </c>
    </row>
    <row r="1572" spans="9:21" ht="24.75" customHeight="1" x14ac:dyDescent="0.35">
      <c r="I1572" s="42">
        <f t="shared" si="250"/>
        <v>0</v>
      </c>
      <c r="J1572" s="65" t="e">
        <f t="shared" si="251"/>
        <v>#NUM!</v>
      </c>
      <c r="K1572" s="83" t="e">
        <f t="shared" si="252"/>
        <v>#NUM!</v>
      </c>
      <c r="L1572" s="83">
        <f t="shared" si="253"/>
        <v>0</v>
      </c>
      <c r="M1572" s="110" t="str">
        <f t="shared" si="254"/>
        <v/>
      </c>
      <c r="N1572" s="51" t="str">
        <f t="shared" si="255"/>
        <v/>
      </c>
      <c r="O1572" s="52" t="str">
        <f t="shared" si="256"/>
        <v/>
      </c>
      <c r="P1572" s="88">
        <f t="shared" si="257"/>
        <v>0</v>
      </c>
      <c r="Q1572" s="88">
        <f t="shared" si="258"/>
        <v>0</v>
      </c>
      <c r="R1572" s="88" t="e">
        <f>-IF(Tabla14[[#This Row],[DIAS HABILES O MORA]]&lt;0,(Tabla14[[#This Row],[VALOR PRESTAMO]]*Tabla14[[#This Row],[% INTERES ]]/30*U1572))+Tabla14[[#This Row],[VALOR CUOTAS]]</f>
        <v>#VALUE!</v>
      </c>
      <c r="S1572" s="88">
        <f>-IF(Tabla14[[#This Row],[DIAS HABILES O MORA]]&lt;0,(Tabla14[[#This Row],[VALOR PRESTAMO]]*Tabla14[[#This Row],[% INTERES ]]/30*U1572))</f>
        <v>0</v>
      </c>
      <c r="T1572" s="53" t="e">
        <f>Tabla14[[#This Row],[DEUDA CAPITAL]]+Tabla14[[#This Row],[INTERES  CUOTA]]</f>
        <v>#NUM!</v>
      </c>
      <c r="U1572" s="61" t="str">
        <f t="shared" si="259"/>
        <v/>
      </c>
    </row>
    <row r="1573" spans="9:21" ht="24.75" customHeight="1" x14ac:dyDescent="0.35">
      <c r="I1573" s="42">
        <f t="shared" si="250"/>
        <v>0</v>
      </c>
      <c r="J1573" s="65" t="e">
        <f t="shared" si="251"/>
        <v>#NUM!</v>
      </c>
      <c r="K1573" s="83" t="e">
        <f t="shared" si="252"/>
        <v>#NUM!</v>
      </c>
      <c r="L1573" s="83">
        <f t="shared" si="253"/>
        <v>0</v>
      </c>
      <c r="M1573" s="110" t="str">
        <f t="shared" si="254"/>
        <v/>
      </c>
      <c r="N1573" s="51" t="str">
        <f t="shared" si="255"/>
        <v/>
      </c>
      <c r="O1573" s="52" t="str">
        <f t="shared" si="256"/>
        <v/>
      </c>
      <c r="P1573" s="88">
        <f t="shared" si="257"/>
        <v>0</v>
      </c>
      <c r="Q1573" s="88">
        <f t="shared" si="258"/>
        <v>0</v>
      </c>
      <c r="R1573" s="88" t="e">
        <f>-IF(Tabla14[[#This Row],[DIAS HABILES O MORA]]&lt;0,(Tabla14[[#This Row],[VALOR PRESTAMO]]*Tabla14[[#This Row],[% INTERES ]]/30*U1573))+Tabla14[[#This Row],[VALOR CUOTAS]]</f>
        <v>#VALUE!</v>
      </c>
      <c r="S1573" s="88">
        <f>-IF(Tabla14[[#This Row],[DIAS HABILES O MORA]]&lt;0,(Tabla14[[#This Row],[VALOR PRESTAMO]]*Tabla14[[#This Row],[% INTERES ]]/30*U1573))</f>
        <v>0</v>
      </c>
      <c r="T1573" s="53" t="e">
        <f>Tabla14[[#This Row],[DEUDA CAPITAL]]+Tabla14[[#This Row],[INTERES  CUOTA]]</f>
        <v>#NUM!</v>
      </c>
      <c r="U1573" s="61" t="str">
        <f t="shared" si="259"/>
        <v/>
      </c>
    </row>
    <row r="1574" spans="9:21" ht="24.75" customHeight="1" x14ac:dyDescent="0.35">
      <c r="I1574" s="42">
        <f t="shared" si="250"/>
        <v>0</v>
      </c>
      <c r="J1574" s="65" t="e">
        <f t="shared" si="251"/>
        <v>#NUM!</v>
      </c>
      <c r="K1574" s="83" t="e">
        <f t="shared" si="252"/>
        <v>#NUM!</v>
      </c>
      <c r="L1574" s="83">
        <f t="shared" si="253"/>
        <v>0</v>
      </c>
      <c r="M1574" s="110" t="str">
        <f t="shared" si="254"/>
        <v/>
      </c>
      <c r="N1574" s="51" t="str">
        <f t="shared" si="255"/>
        <v/>
      </c>
      <c r="O1574" s="52" t="str">
        <f t="shared" si="256"/>
        <v/>
      </c>
      <c r="P1574" s="88">
        <f t="shared" si="257"/>
        <v>0</v>
      </c>
      <c r="Q1574" s="88">
        <f t="shared" si="258"/>
        <v>0</v>
      </c>
      <c r="R1574" s="88" t="e">
        <f>-IF(Tabla14[[#This Row],[DIAS HABILES O MORA]]&lt;0,(Tabla14[[#This Row],[VALOR PRESTAMO]]*Tabla14[[#This Row],[% INTERES ]]/30*U1574))+Tabla14[[#This Row],[VALOR CUOTAS]]</f>
        <v>#VALUE!</v>
      </c>
      <c r="S1574" s="88">
        <f>-IF(Tabla14[[#This Row],[DIAS HABILES O MORA]]&lt;0,(Tabla14[[#This Row],[VALOR PRESTAMO]]*Tabla14[[#This Row],[% INTERES ]]/30*U1574))</f>
        <v>0</v>
      </c>
      <c r="T1574" s="53" t="e">
        <f>Tabla14[[#This Row],[DEUDA CAPITAL]]+Tabla14[[#This Row],[INTERES  CUOTA]]</f>
        <v>#NUM!</v>
      </c>
      <c r="U1574" s="61" t="str">
        <f t="shared" si="259"/>
        <v/>
      </c>
    </row>
    <row r="1575" spans="9:21" ht="24.75" customHeight="1" x14ac:dyDescent="0.35">
      <c r="I1575" s="42">
        <f t="shared" si="250"/>
        <v>0</v>
      </c>
      <c r="J1575" s="65" t="e">
        <f t="shared" si="251"/>
        <v>#NUM!</v>
      </c>
      <c r="K1575" s="83" t="e">
        <f t="shared" si="252"/>
        <v>#NUM!</v>
      </c>
      <c r="L1575" s="83">
        <f t="shared" si="253"/>
        <v>0</v>
      </c>
      <c r="M1575" s="110" t="str">
        <f t="shared" si="254"/>
        <v/>
      </c>
      <c r="N1575" s="51" t="str">
        <f t="shared" si="255"/>
        <v/>
      </c>
      <c r="O1575" s="52" t="str">
        <f t="shared" si="256"/>
        <v/>
      </c>
      <c r="P1575" s="88">
        <f t="shared" si="257"/>
        <v>0</v>
      </c>
      <c r="Q1575" s="88">
        <f t="shared" si="258"/>
        <v>0</v>
      </c>
      <c r="R1575" s="88" t="e">
        <f>-IF(Tabla14[[#This Row],[DIAS HABILES O MORA]]&lt;0,(Tabla14[[#This Row],[VALOR PRESTAMO]]*Tabla14[[#This Row],[% INTERES ]]/30*U1575))+Tabla14[[#This Row],[VALOR CUOTAS]]</f>
        <v>#VALUE!</v>
      </c>
      <c r="S1575" s="88">
        <f>-IF(Tabla14[[#This Row],[DIAS HABILES O MORA]]&lt;0,(Tabla14[[#This Row],[VALOR PRESTAMO]]*Tabla14[[#This Row],[% INTERES ]]/30*U1575))</f>
        <v>0</v>
      </c>
      <c r="T1575" s="53" t="e">
        <f>Tabla14[[#This Row],[DEUDA CAPITAL]]+Tabla14[[#This Row],[INTERES  CUOTA]]</f>
        <v>#NUM!</v>
      </c>
      <c r="U1575" s="61" t="str">
        <f t="shared" si="259"/>
        <v/>
      </c>
    </row>
    <row r="1576" spans="9:21" ht="24.75" customHeight="1" x14ac:dyDescent="0.35">
      <c r="I1576" s="42">
        <f t="shared" si="250"/>
        <v>0</v>
      </c>
      <c r="J1576" s="65" t="e">
        <f t="shared" si="251"/>
        <v>#NUM!</v>
      </c>
      <c r="K1576" s="83" t="e">
        <f t="shared" si="252"/>
        <v>#NUM!</v>
      </c>
      <c r="L1576" s="83">
        <f t="shared" si="253"/>
        <v>0</v>
      </c>
      <c r="M1576" s="110" t="str">
        <f t="shared" si="254"/>
        <v/>
      </c>
      <c r="N1576" s="51" t="str">
        <f t="shared" si="255"/>
        <v/>
      </c>
      <c r="O1576" s="52" t="str">
        <f t="shared" si="256"/>
        <v/>
      </c>
      <c r="P1576" s="88">
        <f t="shared" si="257"/>
        <v>0</v>
      </c>
      <c r="Q1576" s="88">
        <f t="shared" si="258"/>
        <v>0</v>
      </c>
      <c r="R1576" s="88" t="e">
        <f>-IF(Tabla14[[#This Row],[DIAS HABILES O MORA]]&lt;0,(Tabla14[[#This Row],[VALOR PRESTAMO]]*Tabla14[[#This Row],[% INTERES ]]/30*U1576))+Tabla14[[#This Row],[VALOR CUOTAS]]</f>
        <v>#VALUE!</v>
      </c>
      <c r="S1576" s="88">
        <f>-IF(Tabla14[[#This Row],[DIAS HABILES O MORA]]&lt;0,(Tabla14[[#This Row],[VALOR PRESTAMO]]*Tabla14[[#This Row],[% INTERES ]]/30*U1576))</f>
        <v>0</v>
      </c>
      <c r="T1576" s="53" t="e">
        <f>Tabla14[[#This Row],[DEUDA CAPITAL]]+Tabla14[[#This Row],[INTERES  CUOTA]]</f>
        <v>#NUM!</v>
      </c>
      <c r="U1576" s="61" t="str">
        <f t="shared" si="259"/>
        <v/>
      </c>
    </row>
    <row r="1577" spans="9:21" ht="24.75" customHeight="1" x14ac:dyDescent="0.35">
      <c r="I1577" s="42">
        <f t="shared" si="250"/>
        <v>0</v>
      </c>
      <c r="J1577" s="65" t="e">
        <f t="shared" si="251"/>
        <v>#NUM!</v>
      </c>
      <c r="K1577" s="83" t="e">
        <f t="shared" si="252"/>
        <v>#NUM!</v>
      </c>
      <c r="L1577" s="83">
        <f t="shared" si="253"/>
        <v>0</v>
      </c>
      <c r="M1577" s="110" t="str">
        <f t="shared" si="254"/>
        <v/>
      </c>
      <c r="N1577" s="51" t="str">
        <f t="shared" si="255"/>
        <v/>
      </c>
      <c r="O1577" s="52" t="str">
        <f t="shared" si="256"/>
        <v/>
      </c>
      <c r="P1577" s="88">
        <f t="shared" si="257"/>
        <v>0</v>
      </c>
      <c r="Q1577" s="88">
        <f t="shared" si="258"/>
        <v>0</v>
      </c>
      <c r="R1577" s="88" t="e">
        <f>-IF(Tabla14[[#This Row],[DIAS HABILES O MORA]]&lt;0,(Tabla14[[#This Row],[VALOR PRESTAMO]]*Tabla14[[#This Row],[% INTERES ]]/30*U1577))+Tabla14[[#This Row],[VALOR CUOTAS]]</f>
        <v>#VALUE!</v>
      </c>
      <c r="S1577" s="88">
        <f>-IF(Tabla14[[#This Row],[DIAS HABILES O MORA]]&lt;0,(Tabla14[[#This Row],[VALOR PRESTAMO]]*Tabla14[[#This Row],[% INTERES ]]/30*U1577))</f>
        <v>0</v>
      </c>
      <c r="T1577" s="53" t="e">
        <f>Tabla14[[#This Row],[DEUDA CAPITAL]]+Tabla14[[#This Row],[INTERES  CUOTA]]</f>
        <v>#NUM!</v>
      </c>
      <c r="U1577" s="61" t="str">
        <f t="shared" si="259"/>
        <v/>
      </c>
    </row>
    <row r="1578" spans="9:21" ht="24.75" customHeight="1" x14ac:dyDescent="0.35">
      <c r="I1578" s="42">
        <f t="shared" si="250"/>
        <v>0</v>
      </c>
      <c r="J1578" s="65" t="e">
        <f t="shared" si="251"/>
        <v>#NUM!</v>
      </c>
      <c r="K1578" s="83" t="e">
        <f t="shared" si="252"/>
        <v>#NUM!</v>
      </c>
      <c r="L1578" s="83">
        <f t="shared" si="253"/>
        <v>0</v>
      </c>
      <c r="M1578" s="110" t="str">
        <f t="shared" si="254"/>
        <v/>
      </c>
      <c r="N1578" s="51" t="str">
        <f t="shared" si="255"/>
        <v/>
      </c>
      <c r="O1578" s="52" t="str">
        <f t="shared" si="256"/>
        <v/>
      </c>
      <c r="P1578" s="88">
        <f t="shared" si="257"/>
        <v>0</v>
      </c>
      <c r="Q1578" s="88">
        <f t="shared" si="258"/>
        <v>0</v>
      </c>
      <c r="R1578" s="88" t="e">
        <f>-IF(Tabla14[[#This Row],[DIAS HABILES O MORA]]&lt;0,(Tabla14[[#This Row],[VALOR PRESTAMO]]*Tabla14[[#This Row],[% INTERES ]]/30*U1578))+Tabla14[[#This Row],[VALOR CUOTAS]]</f>
        <v>#VALUE!</v>
      </c>
      <c r="S1578" s="88">
        <f>-IF(Tabla14[[#This Row],[DIAS HABILES O MORA]]&lt;0,(Tabla14[[#This Row],[VALOR PRESTAMO]]*Tabla14[[#This Row],[% INTERES ]]/30*U1578))</f>
        <v>0</v>
      </c>
      <c r="T1578" s="53" t="e">
        <f>Tabla14[[#This Row],[DEUDA CAPITAL]]+Tabla14[[#This Row],[INTERES  CUOTA]]</f>
        <v>#NUM!</v>
      </c>
      <c r="U1578" s="61" t="str">
        <f t="shared" si="259"/>
        <v/>
      </c>
    </row>
    <row r="1579" spans="9:21" ht="24.75" customHeight="1" x14ac:dyDescent="0.35">
      <c r="I1579" s="42">
        <f t="shared" si="250"/>
        <v>0</v>
      </c>
      <c r="J1579" s="65" t="e">
        <f t="shared" si="251"/>
        <v>#NUM!</v>
      </c>
      <c r="K1579" s="83" t="e">
        <f t="shared" si="252"/>
        <v>#NUM!</v>
      </c>
      <c r="L1579" s="83">
        <f t="shared" si="253"/>
        <v>0</v>
      </c>
      <c r="M1579" s="110" t="str">
        <f t="shared" si="254"/>
        <v/>
      </c>
      <c r="N1579" s="51" t="str">
        <f t="shared" si="255"/>
        <v/>
      </c>
      <c r="O1579" s="52" t="str">
        <f t="shared" si="256"/>
        <v/>
      </c>
      <c r="P1579" s="88">
        <f t="shared" si="257"/>
        <v>0</v>
      </c>
      <c r="Q1579" s="88">
        <f t="shared" si="258"/>
        <v>0</v>
      </c>
      <c r="R1579" s="88" t="e">
        <f>-IF(Tabla14[[#This Row],[DIAS HABILES O MORA]]&lt;0,(Tabla14[[#This Row],[VALOR PRESTAMO]]*Tabla14[[#This Row],[% INTERES ]]/30*U1579))+Tabla14[[#This Row],[VALOR CUOTAS]]</f>
        <v>#VALUE!</v>
      </c>
      <c r="S1579" s="88">
        <f>-IF(Tabla14[[#This Row],[DIAS HABILES O MORA]]&lt;0,(Tabla14[[#This Row],[VALOR PRESTAMO]]*Tabla14[[#This Row],[% INTERES ]]/30*U1579))</f>
        <v>0</v>
      </c>
      <c r="T1579" s="53" t="e">
        <f>Tabla14[[#This Row],[DEUDA CAPITAL]]+Tabla14[[#This Row],[INTERES  CUOTA]]</f>
        <v>#NUM!</v>
      </c>
      <c r="U1579" s="61" t="str">
        <f t="shared" si="259"/>
        <v/>
      </c>
    </row>
    <row r="1580" spans="9:21" ht="24.75" customHeight="1" x14ac:dyDescent="0.35">
      <c r="I1580" s="42">
        <f t="shared" si="250"/>
        <v>0</v>
      </c>
      <c r="J1580" s="65" t="e">
        <f t="shared" si="251"/>
        <v>#NUM!</v>
      </c>
      <c r="K1580" s="83" t="e">
        <f t="shared" si="252"/>
        <v>#NUM!</v>
      </c>
      <c r="L1580" s="83">
        <f t="shared" si="253"/>
        <v>0</v>
      </c>
      <c r="M1580" s="110" t="str">
        <f t="shared" si="254"/>
        <v/>
      </c>
      <c r="N1580" s="51" t="str">
        <f t="shared" si="255"/>
        <v/>
      </c>
      <c r="O1580" s="52" t="str">
        <f t="shared" si="256"/>
        <v/>
      </c>
      <c r="P1580" s="88">
        <f t="shared" si="257"/>
        <v>0</v>
      </c>
      <c r="Q1580" s="88">
        <f t="shared" si="258"/>
        <v>0</v>
      </c>
      <c r="R1580" s="88" t="e">
        <f>-IF(Tabla14[[#This Row],[DIAS HABILES O MORA]]&lt;0,(Tabla14[[#This Row],[VALOR PRESTAMO]]*Tabla14[[#This Row],[% INTERES ]]/30*U1580))+Tabla14[[#This Row],[VALOR CUOTAS]]</f>
        <v>#VALUE!</v>
      </c>
      <c r="S1580" s="88">
        <f>-IF(Tabla14[[#This Row],[DIAS HABILES O MORA]]&lt;0,(Tabla14[[#This Row],[VALOR PRESTAMO]]*Tabla14[[#This Row],[% INTERES ]]/30*U1580))</f>
        <v>0</v>
      </c>
      <c r="T1580" s="53" t="e">
        <f>Tabla14[[#This Row],[DEUDA CAPITAL]]+Tabla14[[#This Row],[INTERES  CUOTA]]</f>
        <v>#NUM!</v>
      </c>
      <c r="U1580" s="61" t="str">
        <f t="shared" si="259"/>
        <v/>
      </c>
    </row>
    <row r="1581" spans="9:21" ht="24.75" customHeight="1" x14ac:dyDescent="0.35">
      <c r="I1581" s="42">
        <f t="shared" si="250"/>
        <v>0</v>
      </c>
      <c r="J1581" s="65" t="e">
        <f t="shared" si="251"/>
        <v>#NUM!</v>
      </c>
      <c r="K1581" s="83" t="e">
        <f t="shared" si="252"/>
        <v>#NUM!</v>
      </c>
      <c r="L1581" s="83">
        <f t="shared" si="253"/>
        <v>0</v>
      </c>
      <c r="M1581" s="110" t="str">
        <f t="shared" si="254"/>
        <v/>
      </c>
      <c r="N1581" s="51" t="str">
        <f t="shared" si="255"/>
        <v/>
      </c>
      <c r="O1581" s="52" t="str">
        <f t="shared" si="256"/>
        <v/>
      </c>
      <c r="P1581" s="88">
        <f t="shared" si="257"/>
        <v>0</v>
      </c>
      <c r="Q1581" s="88">
        <f t="shared" si="258"/>
        <v>0</v>
      </c>
      <c r="R1581" s="88" t="e">
        <f>-IF(Tabla14[[#This Row],[DIAS HABILES O MORA]]&lt;0,(Tabla14[[#This Row],[VALOR PRESTAMO]]*Tabla14[[#This Row],[% INTERES ]]/30*U1581))+Tabla14[[#This Row],[VALOR CUOTAS]]</f>
        <v>#VALUE!</v>
      </c>
      <c r="S1581" s="88">
        <f>-IF(Tabla14[[#This Row],[DIAS HABILES O MORA]]&lt;0,(Tabla14[[#This Row],[VALOR PRESTAMO]]*Tabla14[[#This Row],[% INTERES ]]/30*U1581))</f>
        <v>0</v>
      </c>
      <c r="T1581" s="53" t="e">
        <f>Tabla14[[#This Row],[DEUDA CAPITAL]]+Tabla14[[#This Row],[INTERES  CUOTA]]</f>
        <v>#NUM!</v>
      </c>
      <c r="U1581" s="61" t="str">
        <f t="shared" si="259"/>
        <v/>
      </c>
    </row>
    <row r="1582" spans="9:21" ht="24.75" customHeight="1" x14ac:dyDescent="0.35">
      <c r="I1582" s="42">
        <f t="shared" si="250"/>
        <v>0</v>
      </c>
      <c r="J1582" s="65" t="e">
        <f t="shared" si="251"/>
        <v>#NUM!</v>
      </c>
      <c r="K1582" s="83" t="e">
        <f t="shared" si="252"/>
        <v>#NUM!</v>
      </c>
      <c r="L1582" s="83">
        <f t="shared" si="253"/>
        <v>0</v>
      </c>
      <c r="M1582" s="110" t="str">
        <f t="shared" si="254"/>
        <v/>
      </c>
      <c r="N1582" s="51" t="str">
        <f t="shared" si="255"/>
        <v/>
      </c>
      <c r="O1582" s="52" t="str">
        <f t="shared" si="256"/>
        <v/>
      </c>
      <c r="P1582" s="88">
        <f t="shared" si="257"/>
        <v>0</v>
      </c>
      <c r="Q1582" s="88">
        <f t="shared" si="258"/>
        <v>0</v>
      </c>
      <c r="R1582" s="88" t="e">
        <f>-IF(Tabla14[[#This Row],[DIAS HABILES O MORA]]&lt;0,(Tabla14[[#This Row],[VALOR PRESTAMO]]*Tabla14[[#This Row],[% INTERES ]]/30*U1582))+Tabla14[[#This Row],[VALOR CUOTAS]]</f>
        <v>#VALUE!</v>
      </c>
      <c r="S1582" s="88">
        <f>-IF(Tabla14[[#This Row],[DIAS HABILES O MORA]]&lt;0,(Tabla14[[#This Row],[VALOR PRESTAMO]]*Tabla14[[#This Row],[% INTERES ]]/30*U1582))</f>
        <v>0</v>
      </c>
      <c r="T1582" s="53" t="e">
        <f>Tabla14[[#This Row],[DEUDA CAPITAL]]+Tabla14[[#This Row],[INTERES  CUOTA]]</f>
        <v>#NUM!</v>
      </c>
      <c r="U1582" s="61" t="str">
        <f t="shared" si="259"/>
        <v/>
      </c>
    </row>
    <row r="1583" spans="9:21" ht="24.75" customHeight="1" x14ac:dyDescent="0.35">
      <c r="I1583" s="42">
        <f t="shared" si="250"/>
        <v>0</v>
      </c>
      <c r="J1583" s="65" t="e">
        <f t="shared" si="251"/>
        <v>#NUM!</v>
      </c>
      <c r="K1583" s="83" t="e">
        <f t="shared" si="252"/>
        <v>#NUM!</v>
      </c>
      <c r="L1583" s="83">
        <f t="shared" si="253"/>
        <v>0</v>
      </c>
      <c r="M1583" s="110" t="str">
        <f t="shared" si="254"/>
        <v/>
      </c>
      <c r="N1583" s="51" t="str">
        <f t="shared" si="255"/>
        <v/>
      </c>
      <c r="O1583" s="52" t="str">
        <f t="shared" si="256"/>
        <v/>
      </c>
      <c r="P1583" s="88">
        <f t="shared" si="257"/>
        <v>0</v>
      </c>
      <c r="Q1583" s="88">
        <f t="shared" si="258"/>
        <v>0</v>
      </c>
      <c r="R1583" s="88" t="e">
        <f>-IF(Tabla14[[#This Row],[DIAS HABILES O MORA]]&lt;0,(Tabla14[[#This Row],[VALOR PRESTAMO]]*Tabla14[[#This Row],[% INTERES ]]/30*U1583))+Tabla14[[#This Row],[VALOR CUOTAS]]</f>
        <v>#VALUE!</v>
      </c>
      <c r="S1583" s="88">
        <f>-IF(Tabla14[[#This Row],[DIAS HABILES O MORA]]&lt;0,(Tabla14[[#This Row],[VALOR PRESTAMO]]*Tabla14[[#This Row],[% INTERES ]]/30*U1583))</f>
        <v>0</v>
      </c>
      <c r="T1583" s="53" t="e">
        <f>Tabla14[[#This Row],[DEUDA CAPITAL]]+Tabla14[[#This Row],[INTERES  CUOTA]]</f>
        <v>#NUM!</v>
      </c>
      <c r="U1583" s="61" t="str">
        <f t="shared" si="259"/>
        <v/>
      </c>
    </row>
    <row r="1584" spans="9:21" ht="24.75" customHeight="1" x14ac:dyDescent="0.35">
      <c r="I1584" s="42">
        <f t="shared" si="250"/>
        <v>0</v>
      </c>
      <c r="J1584" s="65" t="e">
        <f t="shared" si="251"/>
        <v>#NUM!</v>
      </c>
      <c r="K1584" s="83" t="e">
        <f t="shared" si="252"/>
        <v>#NUM!</v>
      </c>
      <c r="L1584" s="83">
        <f t="shared" si="253"/>
        <v>0</v>
      </c>
      <c r="M1584" s="110" t="str">
        <f t="shared" si="254"/>
        <v/>
      </c>
      <c r="N1584" s="51" t="str">
        <f t="shared" si="255"/>
        <v/>
      </c>
      <c r="O1584" s="52" t="str">
        <f t="shared" si="256"/>
        <v/>
      </c>
      <c r="P1584" s="88">
        <f t="shared" si="257"/>
        <v>0</v>
      </c>
      <c r="Q1584" s="88">
        <f t="shared" si="258"/>
        <v>0</v>
      </c>
      <c r="R1584" s="88" t="e">
        <f>-IF(Tabla14[[#This Row],[DIAS HABILES O MORA]]&lt;0,(Tabla14[[#This Row],[VALOR PRESTAMO]]*Tabla14[[#This Row],[% INTERES ]]/30*U1584))+Tabla14[[#This Row],[VALOR CUOTAS]]</f>
        <v>#VALUE!</v>
      </c>
      <c r="S1584" s="88">
        <f>-IF(Tabla14[[#This Row],[DIAS HABILES O MORA]]&lt;0,(Tabla14[[#This Row],[VALOR PRESTAMO]]*Tabla14[[#This Row],[% INTERES ]]/30*U1584))</f>
        <v>0</v>
      </c>
      <c r="T1584" s="53" t="e">
        <f>Tabla14[[#This Row],[DEUDA CAPITAL]]+Tabla14[[#This Row],[INTERES  CUOTA]]</f>
        <v>#NUM!</v>
      </c>
      <c r="U1584" s="61" t="str">
        <f t="shared" si="259"/>
        <v/>
      </c>
    </row>
    <row r="1585" spans="9:21" ht="24.75" customHeight="1" x14ac:dyDescent="0.35">
      <c r="I1585" s="42">
        <f t="shared" si="250"/>
        <v>0</v>
      </c>
      <c r="J1585" s="65" t="e">
        <f t="shared" si="251"/>
        <v>#NUM!</v>
      </c>
      <c r="K1585" s="83" t="e">
        <f t="shared" si="252"/>
        <v>#NUM!</v>
      </c>
      <c r="L1585" s="83">
        <f t="shared" si="253"/>
        <v>0</v>
      </c>
      <c r="M1585" s="110" t="str">
        <f t="shared" si="254"/>
        <v/>
      </c>
      <c r="N1585" s="51" t="str">
        <f t="shared" si="255"/>
        <v/>
      </c>
      <c r="O1585" s="52" t="str">
        <f t="shared" si="256"/>
        <v/>
      </c>
      <c r="P1585" s="88">
        <f t="shared" si="257"/>
        <v>0</v>
      </c>
      <c r="Q1585" s="88">
        <f t="shared" si="258"/>
        <v>0</v>
      </c>
      <c r="R1585" s="88" t="e">
        <f>-IF(Tabla14[[#This Row],[DIAS HABILES O MORA]]&lt;0,(Tabla14[[#This Row],[VALOR PRESTAMO]]*Tabla14[[#This Row],[% INTERES ]]/30*U1585))+Tabla14[[#This Row],[VALOR CUOTAS]]</f>
        <v>#VALUE!</v>
      </c>
      <c r="S1585" s="88">
        <f>-IF(Tabla14[[#This Row],[DIAS HABILES O MORA]]&lt;0,(Tabla14[[#This Row],[VALOR PRESTAMO]]*Tabla14[[#This Row],[% INTERES ]]/30*U1585))</f>
        <v>0</v>
      </c>
      <c r="T1585" s="53" t="e">
        <f>Tabla14[[#This Row],[DEUDA CAPITAL]]+Tabla14[[#This Row],[INTERES  CUOTA]]</f>
        <v>#NUM!</v>
      </c>
      <c r="U1585" s="61" t="str">
        <f t="shared" si="259"/>
        <v/>
      </c>
    </row>
    <row r="1586" spans="9:21" ht="24.75" customHeight="1" x14ac:dyDescent="0.35">
      <c r="I1586" s="42">
        <f t="shared" si="250"/>
        <v>0</v>
      </c>
      <c r="J1586" s="65" t="e">
        <f t="shared" si="251"/>
        <v>#NUM!</v>
      </c>
      <c r="K1586" s="83" t="e">
        <f t="shared" si="252"/>
        <v>#NUM!</v>
      </c>
      <c r="L1586" s="83">
        <f t="shared" si="253"/>
        <v>0</v>
      </c>
      <c r="M1586" s="110" t="str">
        <f t="shared" si="254"/>
        <v/>
      </c>
      <c r="N1586" s="51" t="str">
        <f t="shared" si="255"/>
        <v/>
      </c>
      <c r="O1586" s="52" t="str">
        <f t="shared" si="256"/>
        <v/>
      </c>
      <c r="P1586" s="88">
        <f t="shared" si="257"/>
        <v>0</v>
      </c>
      <c r="Q1586" s="88">
        <f t="shared" si="258"/>
        <v>0</v>
      </c>
      <c r="R1586" s="88" t="e">
        <f>-IF(Tabla14[[#This Row],[DIAS HABILES O MORA]]&lt;0,(Tabla14[[#This Row],[VALOR PRESTAMO]]*Tabla14[[#This Row],[% INTERES ]]/30*U1586))+Tabla14[[#This Row],[VALOR CUOTAS]]</f>
        <v>#VALUE!</v>
      </c>
      <c r="S1586" s="88">
        <f>-IF(Tabla14[[#This Row],[DIAS HABILES O MORA]]&lt;0,(Tabla14[[#This Row],[VALOR PRESTAMO]]*Tabla14[[#This Row],[% INTERES ]]/30*U1586))</f>
        <v>0</v>
      </c>
      <c r="T1586" s="53" t="e">
        <f>Tabla14[[#This Row],[DEUDA CAPITAL]]+Tabla14[[#This Row],[INTERES  CUOTA]]</f>
        <v>#NUM!</v>
      </c>
      <c r="U1586" s="61" t="str">
        <f t="shared" si="259"/>
        <v/>
      </c>
    </row>
    <row r="1587" spans="9:21" ht="24.75" customHeight="1" x14ac:dyDescent="0.35">
      <c r="I1587" s="42">
        <f t="shared" si="250"/>
        <v>0</v>
      </c>
      <c r="J1587" s="65" t="e">
        <f t="shared" si="251"/>
        <v>#NUM!</v>
      </c>
      <c r="K1587" s="83" t="e">
        <f t="shared" si="252"/>
        <v>#NUM!</v>
      </c>
      <c r="L1587" s="83">
        <f t="shared" si="253"/>
        <v>0</v>
      </c>
      <c r="M1587" s="110" t="str">
        <f t="shared" si="254"/>
        <v/>
      </c>
      <c r="N1587" s="51" t="str">
        <f t="shared" si="255"/>
        <v/>
      </c>
      <c r="O1587" s="52" t="str">
        <f t="shared" si="256"/>
        <v/>
      </c>
      <c r="P1587" s="88">
        <f t="shared" si="257"/>
        <v>0</v>
      </c>
      <c r="Q1587" s="88">
        <f t="shared" si="258"/>
        <v>0</v>
      </c>
      <c r="R1587" s="88" t="e">
        <f>-IF(Tabla14[[#This Row],[DIAS HABILES O MORA]]&lt;0,(Tabla14[[#This Row],[VALOR PRESTAMO]]*Tabla14[[#This Row],[% INTERES ]]/30*U1587))+Tabla14[[#This Row],[VALOR CUOTAS]]</f>
        <v>#VALUE!</v>
      </c>
      <c r="S1587" s="88">
        <f>-IF(Tabla14[[#This Row],[DIAS HABILES O MORA]]&lt;0,(Tabla14[[#This Row],[VALOR PRESTAMO]]*Tabla14[[#This Row],[% INTERES ]]/30*U1587))</f>
        <v>0</v>
      </c>
      <c r="T1587" s="53" t="e">
        <f>Tabla14[[#This Row],[DEUDA CAPITAL]]+Tabla14[[#This Row],[INTERES  CUOTA]]</f>
        <v>#NUM!</v>
      </c>
      <c r="U1587" s="61" t="str">
        <f t="shared" si="259"/>
        <v/>
      </c>
    </row>
    <row r="1588" spans="9:21" ht="24.75" customHeight="1" x14ac:dyDescent="0.35">
      <c r="I1588" s="42">
        <f t="shared" si="250"/>
        <v>0</v>
      </c>
      <c r="J1588" s="65" t="e">
        <f t="shared" si="251"/>
        <v>#NUM!</v>
      </c>
      <c r="K1588" s="83" t="e">
        <f t="shared" si="252"/>
        <v>#NUM!</v>
      </c>
      <c r="L1588" s="83">
        <f t="shared" si="253"/>
        <v>0</v>
      </c>
      <c r="M1588" s="110" t="str">
        <f t="shared" si="254"/>
        <v/>
      </c>
      <c r="N1588" s="51" t="str">
        <f t="shared" si="255"/>
        <v/>
      </c>
      <c r="O1588" s="52" t="str">
        <f t="shared" si="256"/>
        <v/>
      </c>
      <c r="P1588" s="88">
        <f t="shared" si="257"/>
        <v>0</v>
      </c>
      <c r="Q1588" s="88">
        <f t="shared" si="258"/>
        <v>0</v>
      </c>
      <c r="R1588" s="88" t="e">
        <f>-IF(Tabla14[[#This Row],[DIAS HABILES O MORA]]&lt;0,(Tabla14[[#This Row],[VALOR PRESTAMO]]*Tabla14[[#This Row],[% INTERES ]]/30*U1588))+Tabla14[[#This Row],[VALOR CUOTAS]]</f>
        <v>#VALUE!</v>
      </c>
      <c r="S1588" s="88">
        <f>-IF(Tabla14[[#This Row],[DIAS HABILES O MORA]]&lt;0,(Tabla14[[#This Row],[VALOR PRESTAMO]]*Tabla14[[#This Row],[% INTERES ]]/30*U1588))</f>
        <v>0</v>
      </c>
      <c r="T1588" s="53" t="e">
        <f>Tabla14[[#This Row],[DEUDA CAPITAL]]+Tabla14[[#This Row],[INTERES  CUOTA]]</f>
        <v>#NUM!</v>
      </c>
      <c r="U1588" s="61" t="str">
        <f t="shared" si="259"/>
        <v/>
      </c>
    </row>
    <row r="1589" spans="9:21" ht="24.75" customHeight="1" x14ac:dyDescent="0.35">
      <c r="I1589" s="42">
        <f t="shared" si="250"/>
        <v>0</v>
      </c>
      <c r="J1589" s="65" t="e">
        <f t="shared" si="251"/>
        <v>#NUM!</v>
      </c>
      <c r="K1589" s="83" t="e">
        <f t="shared" si="252"/>
        <v>#NUM!</v>
      </c>
      <c r="L1589" s="83">
        <f t="shared" si="253"/>
        <v>0</v>
      </c>
      <c r="M1589" s="110" t="str">
        <f t="shared" si="254"/>
        <v/>
      </c>
      <c r="N1589" s="51" t="str">
        <f t="shared" si="255"/>
        <v/>
      </c>
      <c r="O1589" s="52" t="str">
        <f t="shared" si="256"/>
        <v/>
      </c>
      <c r="P1589" s="88">
        <f t="shared" si="257"/>
        <v>0</v>
      </c>
      <c r="Q1589" s="88">
        <f t="shared" si="258"/>
        <v>0</v>
      </c>
      <c r="R1589" s="88" t="e">
        <f>-IF(Tabla14[[#This Row],[DIAS HABILES O MORA]]&lt;0,(Tabla14[[#This Row],[VALOR PRESTAMO]]*Tabla14[[#This Row],[% INTERES ]]/30*U1589))+Tabla14[[#This Row],[VALOR CUOTAS]]</f>
        <v>#VALUE!</v>
      </c>
      <c r="S1589" s="88">
        <f>-IF(Tabla14[[#This Row],[DIAS HABILES O MORA]]&lt;0,(Tabla14[[#This Row],[VALOR PRESTAMO]]*Tabla14[[#This Row],[% INTERES ]]/30*U1589))</f>
        <v>0</v>
      </c>
      <c r="T1589" s="53" t="e">
        <f>Tabla14[[#This Row],[DEUDA CAPITAL]]+Tabla14[[#This Row],[INTERES  CUOTA]]</f>
        <v>#NUM!</v>
      </c>
      <c r="U1589" s="61" t="str">
        <f t="shared" si="259"/>
        <v/>
      </c>
    </row>
    <row r="1590" spans="9:21" ht="24.75" customHeight="1" x14ac:dyDescent="0.35">
      <c r="I1590" s="42">
        <f t="shared" si="250"/>
        <v>0</v>
      </c>
      <c r="J1590" s="65" t="e">
        <f t="shared" si="251"/>
        <v>#NUM!</v>
      </c>
      <c r="K1590" s="83" t="e">
        <f t="shared" si="252"/>
        <v>#NUM!</v>
      </c>
      <c r="L1590" s="83">
        <f t="shared" si="253"/>
        <v>0</v>
      </c>
      <c r="M1590" s="110" t="str">
        <f t="shared" si="254"/>
        <v/>
      </c>
      <c r="N1590" s="51" t="str">
        <f t="shared" si="255"/>
        <v/>
      </c>
      <c r="O1590" s="52" t="str">
        <f t="shared" si="256"/>
        <v/>
      </c>
      <c r="P1590" s="88">
        <f t="shared" si="257"/>
        <v>0</v>
      </c>
      <c r="Q1590" s="88">
        <f t="shared" si="258"/>
        <v>0</v>
      </c>
      <c r="R1590" s="88" t="e">
        <f>-IF(Tabla14[[#This Row],[DIAS HABILES O MORA]]&lt;0,(Tabla14[[#This Row],[VALOR PRESTAMO]]*Tabla14[[#This Row],[% INTERES ]]/30*U1590))+Tabla14[[#This Row],[VALOR CUOTAS]]</f>
        <v>#VALUE!</v>
      </c>
      <c r="S1590" s="88">
        <f>-IF(Tabla14[[#This Row],[DIAS HABILES O MORA]]&lt;0,(Tabla14[[#This Row],[VALOR PRESTAMO]]*Tabla14[[#This Row],[% INTERES ]]/30*U1590))</f>
        <v>0</v>
      </c>
      <c r="T1590" s="53" t="e">
        <f>Tabla14[[#This Row],[DEUDA CAPITAL]]+Tabla14[[#This Row],[INTERES  CUOTA]]</f>
        <v>#NUM!</v>
      </c>
      <c r="U1590" s="61" t="str">
        <f t="shared" si="259"/>
        <v/>
      </c>
    </row>
    <row r="1591" spans="9:21" ht="24.75" customHeight="1" x14ac:dyDescent="0.35">
      <c r="I1591" s="42">
        <f t="shared" si="250"/>
        <v>0</v>
      </c>
      <c r="J1591" s="65" t="e">
        <f t="shared" si="251"/>
        <v>#NUM!</v>
      </c>
      <c r="K1591" s="83" t="e">
        <f t="shared" si="252"/>
        <v>#NUM!</v>
      </c>
      <c r="L1591" s="83">
        <f t="shared" si="253"/>
        <v>0</v>
      </c>
      <c r="M1591" s="110" t="str">
        <f t="shared" si="254"/>
        <v/>
      </c>
      <c r="N1591" s="51" t="str">
        <f t="shared" si="255"/>
        <v/>
      </c>
      <c r="O1591" s="52" t="str">
        <f t="shared" si="256"/>
        <v/>
      </c>
      <c r="P1591" s="88">
        <f t="shared" si="257"/>
        <v>0</v>
      </c>
      <c r="Q1591" s="88">
        <f t="shared" si="258"/>
        <v>0</v>
      </c>
      <c r="R1591" s="88" t="e">
        <f>-IF(Tabla14[[#This Row],[DIAS HABILES O MORA]]&lt;0,(Tabla14[[#This Row],[VALOR PRESTAMO]]*Tabla14[[#This Row],[% INTERES ]]/30*U1591))+Tabla14[[#This Row],[VALOR CUOTAS]]</f>
        <v>#VALUE!</v>
      </c>
      <c r="S1591" s="88">
        <f>-IF(Tabla14[[#This Row],[DIAS HABILES O MORA]]&lt;0,(Tabla14[[#This Row],[VALOR PRESTAMO]]*Tabla14[[#This Row],[% INTERES ]]/30*U1591))</f>
        <v>0</v>
      </c>
      <c r="T1591" s="53" t="e">
        <f>Tabla14[[#This Row],[DEUDA CAPITAL]]+Tabla14[[#This Row],[INTERES  CUOTA]]</f>
        <v>#NUM!</v>
      </c>
      <c r="U1591" s="61" t="str">
        <f t="shared" si="259"/>
        <v/>
      </c>
    </row>
    <row r="1592" spans="9:21" ht="24.75" customHeight="1" x14ac:dyDescent="0.35">
      <c r="I1592" s="42">
        <f t="shared" si="250"/>
        <v>0</v>
      </c>
      <c r="J1592" s="65" t="e">
        <f t="shared" si="251"/>
        <v>#NUM!</v>
      </c>
      <c r="K1592" s="83" t="e">
        <f t="shared" si="252"/>
        <v>#NUM!</v>
      </c>
      <c r="L1592" s="83">
        <f t="shared" si="253"/>
        <v>0</v>
      </c>
      <c r="M1592" s="110" t="str">
        <f t="shared" si="254"/>
        <v/>
      </c>
      <c r="N1592" s="51" t="str">
        <f t="shared" si="255"/>
        <v/>
      </c>
      <c r="O1592" s="52" t="str">
        <f t="shared" si="256"/>
        <v/>
      </c>
      <c r="P1592" s="88">
        <f t="shared" si="257"/>
        <v>0</v>
      </c>
      <c r="Q1592" s="88">
        <f t="shared" si="258"/>
        <v>0</v>
      </c>
      <c r="R1592" s="88" t="e">
        <f>-IF(Tabla14[[#This Row],[DIAS HABILES O MORA]]&lt;0,(Tabla14[[#This Row],[VALOR PRESTAMO]]*Tabla14[[#This Row],[% INTERES ]]/30*U1592))+Tabla14[[#This Row],[VALOR CUOTAS]]</f>
        <v>#VALUE!</v>
      </c>
      <c r="S1592" s="88">
        <f>-IF(Tabla14[[#This Row],[DIAS HABILES O MORA]]&lt;0,(Tabla14[[#This Row],[VALOR PRESTAMO]]*Tabla14[[#This Row],[% INTERES ]]/30*U1592))</f>
        <v>0</v>
      </c>
      <c r="T1592" s="53" t="e">
        <f>Tabla14[[#This Row],[DEUDA CAPITAL]]+Tabla14[[#This Row],[INTERES  CUOTA]]</f>
        <v>#NUM!</v>
      </c>
      <c r="U1592" s="61" t="str">
        <f t="shared" si="259"/>
        <v/>
      </c>
    </row>
    <row r="1593" spans="9:21" ht="24.75" customHeight="1" x14ac:dyDescent="0.35">
      <c r="I1593" s="42">
        <f t="shared" si="250"/>
        <v>0</v>
      </c>
      <c r="J1593" s="65" t="e">
        <f t="shared" si="251"/>
        <v>#NUM!</v>
      </c>
      <c r="K1593" s="83" t="e">
        <f t="shared" si="252"/>
        <v>#NUM!</v>
      </c>
      <c r="L1593" s="83">
        <f t="shared" si="253"/>
        <v>0</v>
      </c>
      <c r="M1593" s="110" t="str">
        <f t="shared" si="254"/>
        <v/>
      </c>
      <c r="N1593" s="51" t="str">
        <f t="shared" si="255"/>
        <v/>
      </c>
      <c r="O1593" s="52" t="str">
        <f t="shared" si="256"/>
        <v/>
      </c>
      <c r="P1593" s="88">
        <f t="shared" si="257"/>
        <v>0</v>
      </c>
      <c r="Q1593" s="88">
        <f t="shared" si="258"/>
        <v>0</v>
      </c>
      <c r="R1593" s="88" t="e">
        <f>-IF(Tabla14[[#This Row],[DIAS HABILES O MORA]]&lt;0,(Tabla14[[#This Row],[VALOR PRESTAMO]]*Tabla14[[#This Row],[% INTERES ]]/30*U1593))+Tabla14[[#This Row],[VALOR CUOTAS]]</f>
        <v>#VALUE!</v>
      </c>
      <c r="S1593" s="88">
        <f>-IF(Tabla14[[#This Row],[DIAS HABILES O MORA]]&lt;0,(Tabla14[[#This Row],[VALOR PRESTAMO]]*Tabla14[[#This Row],[% INTERES ]]/30*U1593))</f>
        <v>0</v>
      </c>
      <c r="T1593" s="53" t="e">
        <f>Tabla14[[#This Row],[DEUDA CAPITAL]]+Tabla14[[#This Row],[INTERES  CUOTA]]</f>
        <v>#NUM!</v>
      </c>
      <c r="U1593" s="61" t="str">
        <f t="shared" si="259"/>
        <v/>
      </c>
    </row>
    <row r="1594" spans="9:21" ht="24.75" customHeight="1" x14ac:dyDescent="0.35">
      <c r="I1594" s="42">
        <f t="shared" si="250"/>
        <v>0</v>
      </c>
      <c r="J1594" s="65" t="e">
        <f t="shared" si="251"/>
        <v>#NUM!</v>
      </c>
      <c r="K1594" s="83" t="e">
        <f t="shared" si="252"/>
        <v>#NUM!</v>
      </c>
      <c r="L1594" s="83">
        <f t="shared" si="253"/>
        <v>0</v>
      </c>
      <c r="M1594" s="110" t="str">
        <f t="shared" si="254"/>
        <v/>
      </c>
      <c r="N1594" s="51" t="str">
        <f t="shared" si="255"/>
        <v/>
      </c>
      <c r="O1594" s="52" t="str">
        <f t="shared" si="256"/>
        <v/>
      </c>
      <c r="P1594" s="88">
        <f t="shared" si="257"/>
        <v>0</v>
      </c>
      <c r="Q1594" s="88">
        <f t="shared" si="258"/>
        <v>0</v>
      </c>
      <c r="R1594" s="88" t="e">
        <f>-IF(Tabla14[[#This Row],[DIAS HABILES O MORA]]&lt;0,(Tabla14[[#This Row],[VALOR PRESTAMO]]*Tabla14[[#This Row],[% INTERES ]]/30*U1594))+Tabla14[[#This Row],[VALOR CUOTAS]]</f>
        <v>#VALUE!</v>
      </c>
      <c r="S1594" s="88">
        <f>-IF(Tabla14[[#This Row],[DIAS HABILES O MORA]]&lt;0,(Tabla14[[#This Row],[VALOR PRESTAMO]]*Tabla14[[#This Row],[% INTERES ]]/30*U1594))</f>
        <v>0</v>
      </c>
      <c r="T1594" s="53" t="e">
        <f>Tabla14[[#This Row],[DEUDA CAPITAL]]+Tabla14[[#This Row],[INTERES  CUOTA]]</f>
        <v>#NUM!</v>
      </c>
      <c r="U1594" s="61" t="str">
        <f t="shared" si="259"/>
        <v/>
      </c>
    </row>
    <row r="1595" spans="9:21" ht="24.75" customHeight="1" x14ac:dyDescent="0.35">
      <c r="I1595" s="42">
        <f t="shared" si="250"/>
        <v>0</v>
      </c>
      <c r="J1595" s="65" t="e">
        <f t="shared" si="251"/>
        <v>#NUM!</v>
      </c>
      <c r="K1595" s="83" t="e">
        <f t="shared" si="252"/>
        <v>#NUM!</v>
      </c>
      <c r="L1595" s="83">
        <f t="shared" si="253"/>
        <v>0</v>
      </c>
      <c r="M1595" s="110" t="str">
        <f t="shared" si="254"/>
        <v/>
      </c>
      <c r="N1595" s="51" t="str">
        <f t="shared" si="255"/>
        <v/>
      </c>
      <c r="O1595" s="52" t="str">
        <f t="shared" si="256"/>
        <v/>
      </c>
      <c r="P1595" s="88">
        <f t="shared" si="257"/>
        <v>0</v>
      </c>
      <c r="Q1595" s="88">
        <f t="shared" si="258"/>
        <v>0</v>
      </c>
      <c r="R1595" s="88" t="e">
        <f>-IF(Tabla14[[#This Row],[DIAS HABILES O MORA]]&lt;0,(Tabla14[[#This Row],[VALOR PRESTAMO]]*Tabla14[[#This Row],[% INTERES ]]/30*U1595))+Tabla14[[#This Row],[VALOR CUOTAS]]</f>
        <v>#VALUE!</v>
      </c>
      <c r="S1595" s="88">
        <f>-IF(Tabla14[[#This Row],[DIAS HABILES O MORA]]&lt;0,(Tabla14[[#This Row],[VALOR PRESTAMO]]*Tabla14[[#This Row],[% INTERES ]]/30*U1595))</f>
        <v>0</v>
      </c>
      <c r="T1595" s="53" t="e">
        <f>Tabla14[[#This Row],[DEUDA CAPITAL]]+Tabla14[[#This Row],[INTERES  CUOTA]]</f>
        <v>#NUM!</v>
      </c>
      <c r="U1595" s="61" t="str">
        <f t="shared" si="259"/>
        <v/>
      </c>
    </row>
    <row r="1596" spans="9:21" ht="24.75" customHeight="1" x14ac:dyDescent="0.35">
      <c r="I1596" s="42">
        <f t="shared" si="250"/>
        <v>0</v>
      </c>
      <c r="J1596" s="65" t="e">
        <f t="shared" si="251"/>
        <v>#NUM!</v>
      </c>
      <c r="K1596" s="83" t="e">
        <f t="shared" si="252"/>
        <v>#NUM!</v>
      </c>
      <c r="L1596" s="83">
        <f t="shared" si="253"/>
        <v>0</v>
      </c>
      <c r="M1596" s="110" t="str">
        <f t="shared" si="254"/>
        <v/>
      </c>
      <c r="N1596" s="51" t="str">
        <f t="shared" si="255"/>
        <v/>
      </c>
      <c r="O1596" s="52" t="str">
        <f t="shared" si="256"/>
        <v/>
      </c>
      <c r="P1596" s="88">
        <f t="shared" si="257"/>
        <v>0</v>
      </c>
      <c r="Q1596" s="88">
        <f t="shared" si="258"/>
        <v>0</v>
      </c>
      <c r="R1596" s="88" t="e">
        <f>-IF(Tabla14[[#This Row],[DIAS HABILES O MORA]]&lt;0,(Tabla14[[#This Row],[VALOR PRESTAMO]]*Tabla14[[#This Row],[% INTERES ]]/30*U1596))+Tabla14[[#This Row],[VALOR CUOTAS]]</f>
        <v>#VALUE!</v>
      </c>
      <c r="S1596" s="88">
        <f>-IF(Tabla14[[#This Row],[DIAS HABILES O MORA]]&lt;0,(Tabla14[[#This Row],[VALOR PRESTAMO]]*Tabla14[[#This Row],[% INTERES ]]/30*U1596))</f>
        <v>0</v>
      </c>
      <c r="T1596" s="53" t="e">
        <f>Tabla14[[#This Row],[DEUDA CAPITAL]]+Tabla14[[#This Row],[INTERES  CUOTA]]</f>
        <v>#NUM!</v>
      </c>
      <c r="U1596" s="61" t="str">
        <f t="shared" si="259"/>
        <v/>
      </c>
    </row>
    <row r="1597" spans="9:21" ht="24.75" customHeight="1" x14ac:dyDescent="0.35">
      <c r="I1597" s="42">
        <f t="shared" si="250"/>
        <v>0</v>
      </c>
      <c r="J1597" s="65" t="e">
        <f t="shared" si="251"/>
        <v>#NUM!</v>
      </c>
      <c r="K1597" s="83" t="e">
        <f t="shared" si="252"/>
        <v>#NUM!</v>
      </c>
      <c r="L1597" s="83">
        <f t="shared" si="253"/>
        <v>0</v>
      </c>
      <c r="M1597" s="110" t="str">
        <f t="shared" si="254"/>
        <v/>
      </c>
      <c r="N1597" s="51" t="str">
        <f t="shared" si="255"/>
        <v/>
      </c>
      <c r="O1597" s="52" t="str">
        <f t="shared" si="256"/>
        <v/>
      </c>
      <c r="P1597" s="88">
        <f t="shared" si="257"/>
        <v>0</v>
      </c>
      <c r="Q1597" s="88">
        <f t="shared" si="258"/>
        <v>0</v>
      </c>
      <c r="R1597" s="88" t="e">
        <f>-IF(Tabla14[[#This Row],[DIAS HABILES O MORA]]&lt;0,(Tabla14[[#This Row],[VALOR PRESTAMO]]*Tabla14[[#This Row],[% INTERES ]]/30*U1597))+Tabla14[[#This Row],[VALOR CUOTAS]]</f>
        <v>#VALUE!</v>
      </c>
      <c r="S1597" s="88">
        <f>-IF(Tabla14[[#This Row],[DIAS HABILES O MORA]]&lt;0,(Tabla14[[#This Row],[VALOR PRESTAMO]]*Tabla14[[#This Row],[% INTERES ]]/30*U1597))</f>
        <v>0</v>
      </c>
      <c r="T1597" s="53" t="e">
        <f>Tabla14[[#This Row],[DEUDA CAPITAL]]+Tabla14[[#This Row],[INTERES  CUOTA]]</f>
        <v>#NUM!</v>
      </c>
      <c r="U1597" s="61" t="str">
        <f t="shared" si="259"/>
        <v/>
      </c>
    </row>
    <row r="1598" spans="9:21" ht="24.75" customHeight="1" x14ac:dyDescent="0.35">
      <c r="I1598" s="42">
        <f t="shared" si="250"/>
        <v>0</v>
      </c>
      <c r="J1598" s="65" t="e">
        <f t="shared" si="251"/>
        <v>#NUM!</v>
      </c>
      <c r="K1598" s="83" t="e">
        <f t="shared" si="252"/>
        <v>#NUM!</v>
      </c>
      <c r="L1598" s="83">
        <f t="shared" si="253"/>
        <v>0</v>
      </c>
      <c r="M1598" s="110" t="str">
        <f t="shared" si="254"/>
        <v/>
      </c>
      <c r="N1598" s="51" t="str">
        <f t="shared" si="255"/>
        <v/>
      </c>
      <c r="O1598" s="52" t="str">
        <f t="shared" si="256"/>
        <v/>
      </c>
      <c r="P1598" s="88">
        <f t="shared" si="257"/>
        <v>0</v>
      </c>
      <c r="Q1598" s="88">
        <f t="shared" si="258"/>
        <v>0</v>
      </c>
      <c r="R1598" s="88" t="e">
        <f>-IF(Tabla14[[#This Row],[DIAS HABILES O MORA]]&lt;0,(Tabla14[[#This Row],[VALOR PRESTAMO]]*Tabla14[[#This Row],[% INTERES ]]/30*U1598))+Tabla14[[#This Row],[VALOR CUOTAS]]</f>
        <v>#VALUE!</v>
      </c>
      <c r="S1598" s="88">
        <f>-IF(Tabla14[[#This Row],[DIAS HABILES O MORA]]&lt;0,(Tabla14[[#This Row],[VALOR PRESTAMO]]*Tabla14[[#This Row],[% INTERES ]]/30*U1598))</f>
        <v>0</v>
      </c>
      <c r="T1598" s="53" t="e">
        <f>Tabla14[[#This Row],[DEUDA CAPITAL]]+Tabla14[[#This Row],[INTERES  CUOTA]]</f>
        <v>#NUM!</v>
      </c>
      <c r="U1598" s="61" t="str">
        <f t="shared" si="259"/>
        <v/>
      </c>
    </row>
    <row r="1599" spans="9:21" ht="24.75" customHeight="1" x14ac:dyDescent="0.35">
      <c r="I1599" s="42">
        <f t="shared" si="250"/>
        <v>0</v>
      </c>
      <c r="J1599" s="65" t="e">
        <f t="shared" si="251"/>
        <v>#NUM!</v>
      </c>
      <c r="K1599" s="83" t="e">
        <f t="shared" si="252"/>
        <v>#NUM!</v>
      </c>
      <c r="L1599" s="83">
        <f t="shared" si="253"/>
        <v>0</v>
      </c>
      <c r="M1599" s="110" t="str">
        <f t="shared" si="254"/>
        <v/>
      </c>
      <c r="N1599" s="51" t="str">
        <f t="shared" si="255"/>
        <v/>
      </c>
      <c r="O1599" s="52" t="str">
        <f t="shared" si="256"/>
        <v/>
      </c>
      <c r="P1599" s="88">
        <f t="shared" si="257"/>
        <v>0</v>
      </c>
      <c r="Q1599" s="88">
        <f t="shared" si="258"/>
        <v>0</v>
      </c>
      <c r="R1599" s="88" t="e">
        <f>-IF(Tabla14[[#This Row],[DIAS HABILES O MORA]]&lt;0,(Tabla14[[#This Row],[VALOR PRESTAMO]]*Tabla14[[#This Row],[% INTERES ]]/30*U1599))+Tabla14[[#This Row],[VALOR CUOTAS]]</f>
        <v>#VALUE!</v>
      </c>
      <c r="S1599" s="88">
        <f>-IF(Tabla14[[#This Row],[DIAS HABILES O MORA]]&lt;0,(Tabla14[[#This Row],[VALOR PRESTAMO]]*Tabla14[[#This Row],[% INTERES ]]/30*U1599))</f>
        <v>0</v>
      </c>
      <c r="T1599" s="53" t="e">
        <f>Tabla14[[#This Row],[DEUDA CAPITAL]]+Tabla14[[#This Row],[INTERES  CUOTA]]</f>
        <v>#NUM!</v>
      </c>
      <c r="U1599" s="61" t="str">
        <f t="shared" si="259"/>
        <v/>
      </c>
    </row>
    <row r="1600" spans="9:21" ht="24.75" customHeight="1" x14ac:dyDescent="0.35">
      <c r="I1600" s="42">
        <f t="shared" si="250"/>
        <v>0</v>
      </c>
      <c r="J1600" s="65" t="e">
        <f t="shared" si="251"/>
        <v>#NUM!</v>
      </c>
      <c r="K1600" s="83" t="e">
        <f t="shared" si="252"/>
        <v>#NUM!</v>
      </c>
      <c r="L1600" s="83">
        <f t="shared" si="253"/>
        <v>0</v>
      </c>
      <c r="M1600" s="110" t="str">
        <f t="shared" si="254"/>
        <v/>
      </c>
      <c r="N1600" s="51" t="str">
        <f t="shared" si="255"/>
        <v/>
      </c>
      <c r="O1600" s="52" t="str">
        <f t="shared" si="256"/>
        <v/>
      </c>
      <c r="P1600" s="88">
        <f t="shared" si="257"/>
        <v>0</v>
      </c>
      <c r="Q1600" s="88">
        <f t="shared" si="258"/>
        <v>0</v>
      </c>
      <c r="R1600" s="88" t="e">
        <f>-IF(Tabla14[[#This Row],[DIAS HABILES O MORA]]&lt;0,(Tabla14[[#This Row],[VALOR PRESTAMO]]*Tabla14[[#This Row],[% INTERES ]]/30*U1600))+Tabla14[[#This Row],[VALOR CUOTAS]]</f>
        <v>#VALUE!</v>
      </c>
      <c r="S1600" s="88">
        <f>-IF(Tabla14[[#This Row],[DIAS HABILES O MORA]]&lt;0,(Tabla14[[#This Row],[VALOR PRESTAMO]]*Tabla14[[#This Row],[% INTERES ]]/30*U1600))</f>
        <v>0</v>
      </c>
      <c r="T1600" s="53" t="e">
        <f>Tabla14[[#This Row],[DEUDA CAPITAL]]+Tabla14[[#This Row],[INTERES  CUOTA]]</f>
        <v>#NUM!</v>
      </c>
      <c r="U1600" s="61" t="str">
        <f t="shared" si="259"/>
        <v/>
      </c>
    </row>
    <row r="1601" spans="9:21" ht="24.75" customHeight="1" x14ac:dyDescent="0.35">
      <c r="I1601" s="42">
        <f t="shared" si="250"/>
        <v>0</v>
      </c>
      <c r="J1601" s="65" t="e">
        <f t="shared" si="251"/>
        <v>#NUM!</v>
      </c>
      <c r="K1601" s="83" t="e">
        <f t="shared" si="252"/>
        <v>#NUM!</v>
      </c>
      <c r="L1601" s="83">
        <f t="shared" si="253"/>
        <v>0</v>
      </c>
      <c r="M1601" s="110" t="str">
        <f t="shared" si="254"/>
        <v/>
      </c>
      <c r="N1601" s="51" t="str">
        <f t="shared" si="255"/>
        <v/>
      </c>
      <c r="O1601" s="52" t="str">
        <f t="shared" si="256"/>
        <v/>
      </c>
      <c r="P1601" s="88">
        <f t="shared" si="257"/>
        <v>0</v>
      </c>
      <c r="Q1601" s="88">
        <f t="shared" si="258"/>
        <v>0</v>
      </c>
      <c r="R1601" s="88" t="e">
        <f>-IF(Tabla14[[#This Row],[DIAS HABILES O MORA]]&lt;0,(Tabla14[[#This Row],[VALOR PRESTAMO]]*Tabla14[[#This Row],[% INTERES ]]/30*U1601))+Tabla14[[#This Row],[VALOR CUOTAS]]</f>
        <v>#VALUE!</v>
      </c>
      <c r="S1601" s="88">
        <f>-IF(Tabla14[[#This Row],[DIAS HABILES O MORA]]&lt;0,(Tabla14[[#This Row],[VALOR PRESTAMO]]*Tabla14[[#This Row],[% INTERES ]]/30*U1601))</f>
        <v>0</v>
      </c>
      <c r="T1601" s="53" t="e">
        <f>Tabla14[[#This Row],[DEUDA CAPITAL]]+Tabla14[[#This Row],[INTERES  CUOTA]]</f>
        <v>#NUM!</v>
      </c>
      <c r="U1601" s="61" t="str">
        <f t="shared" si="259"/>
        <v/>
      </c>
    </row>
    <row r="1602" spans="9:21" ht="24.75" customHeight="1" x14ac:dyDescent="0.35">
      <c r="I1602" s="42">
        <f t="shared" si="250"/>
        <v>0</v>
      </c>
      <c r="J1602" s="65" t="e">
        <f t="shared" si="251"/>
        <v>#NUM!</v>
      </c>
      <c r="K1602" s="83" t="e">
        <f t="shared" si="252"/>
        <v>#NUM!</v>
      </c>
      <c r="L1602" s="83">
        <f t="shared" si="253"/>
        <v>0</v>
      </c>
      <c r="M1602" s="110" t="str">
        <f t="shared" si="254"/>
        <v/>
      </c>
      <c r="N1602" s="51" t="str">
        <f t="shared" si="255"/>
        <v/>
      </c>
      <c r="O1602" s="52" t="str">
        <f t="shared" si="256"/>
        <v/>
      </c>
      <c r="P1602" s="88">
        <f t="shared" si="257"/>
        <v>0</v>
      </c>
      <c r="Q1602" s="88">
        <f t="shared" si="258"/>
        <v>0</v>
      </c>
      <c r="R1602" s="88" t="e">
        <f>-IF(Tabla14[[#This Row],[DIAS HABILES O MORA]]&lt;0,(Tabla14[[#This Row],[VALOR PRESTAMO]]*Tabla14[[#This Row],[% INTERES ]]/30*U1602))+Tabla14[[#This Row],[VALOR CUOTAS]]</f>
        <v>#VALUE!</v>
      </c>
      <c r="S1602" s="88">
        <f>-IF(Tabla14[[#This Row],[DIAS HABILES O MORA]]&lt;0,(Tabla14[[#This Row],[VALOR PRESTAMO]]*Tabla14[[#This Row],[% INTERES ]]/30*U1602))</f>
        <v>0</v>
      </c>
      <c r="T1602" s="53" t="e">
        <f>Tabla14[[#This Row],[DEUDA CAPITAL]]+Tabla14[[#This Row],[INTERES  CUOTA]]</f>
        <v>#NUM!</v>
      </c>
      <c r="U1602" s="61" t="str">
        <f t="shared" si="259"/>
        <v/>
      </c>
    </row>
    <row r="1603" spans="9:21" ht="24.75" customHeight="1" x14ac:dyDescent="0.35">
      <c r="I1603" s="42">
        <f t="shared" si="250"/>
        <v>0</v>
      </c>
      <c r="J1603" s="65" t="e">
        <f t="shared" si="251"/>
        <v>#NUM!</v>
      </c>
      <c r="K1603" s="83" t="e">
        <f t="shared" si="252"/>
        <v>#NUM!</v>
      </c>
      <c r="L1603" s="83">
        <f t="shared" si="253"/>
        <v>0</v>
      </c>
      <c r="M1603" s="110" t="str">
        <f t="shared" si="254"/>
        <v/>
      </c>
      <c r="N1603" s="51" t="str">
        <f t="shared" si="255"/>
        <v/>
      </c>
      <c r="O1603" s="52" t="str">
        <f t="shared" si="256"/>
        <v/>
      </c>
      <c r="P1603" s="88">
        <f t="shared" si="257"/>
        <v>0</v>
      </c>
      <c r="Q1603" s="88">
        <f t="shared" si="258"/>
        <v>0</v>
      </c>
      <c r="R1603" s="88" t="e">
        <f>-IF(Tabla14[[#This Row],[DIAS HABILES O MORA]]&lt;0,(Tabla14[[#This Row],[VALOR PRESTAMO]]*Tabla14[[#This Row],[% INTERES ]]/30*U1603))+Tabla14[[#This Row],[VALOR CUOTAS]]</f>
        <v>#VALUE!</v>
      </c>
      <c r="S1603" s="88">
        <f>-IF(Tabla14[[#This Row],[DIAS HABILES O MORA]]&lt;0,(Tabla14[[#This Row],[VALOR PRESTAMO]]*Tabla14[[#This Row],[% INTERES ]]/30*U1603))</f>
        <v>0</v>
      </c>
      <c r="T1603" s="53" t="e">
        <f>Tabla14[[#This Row],[DEUDA CAPITAL]]+Tabla14[[#This Row],[INTERES  CUOTA]]</f>
        <v>#NUM!</v>
      </c>
      <c r="U1603" s="61" t="str">
        <f t="shared" si="259"/>
        <v/>
      </c>
    </row>
    <row r="1604" spans="9:21" ht="24.75" customHeight="1" x14ac:dyDescent="0.35">
      <c r="I1604" s="42">
        <f t="shared" si="250"/>
        <v>0</v>
      </c>
      <c r="J1604" s="65" t="e">
        <f t="shared" si="251"/>
        <v>#NUM!</v>
      </c>
      <c r="K1604" s="83" t="e">
        <f t="shared" si="252"/>
        <v>#NUM!</v>
      </c>
      <c r="L1604" s="83">
        <f t="shared" si="253"/>
        <v>0</v>
      </c>
      <c r="M1604" s="110" t="str">
        <f t="shared" si="254"/>
        <v/>
      </c>
      <c r="N1604" s="51" t="str">
        <f t="shared" si="255"/>
        <v/>
      </c>
      <c r="O1604" s="52" t="str">
        <f t="shared" si="256"/>
        <v/>
      </c>
      <c r="P1604" s="88">
        <f t="shared" si="257"/>
        <v>0</v>
      </c>
      <c r="Q1604" s="88">
        <f t="shared" si="258"/>
        <v>0</v>
      </c>
      <c r="R1604" s="88" t="e">
        <f>-IF(Tabla14[[#This Row],[DIAS HABILES O MORA]]&lt;0,(Tabla14[[#This Row],[VALOR PRESTAMO]]*Tabla14[[#This Row],[% INTERES ]]/30*U1604))+Tabla14[[#This Row],[VALOR CUOTAS]]</f>
        <v>#VALUE!</v>
      </c>
      <c r="S1604" s="88">
        <f>-IF(Tabla14[[#This Row],[DIAS HABILES O MORA]]&lt;0,(Tabla14[[#This Row],[VALOR PRESTAMO]]*Tabla14[[#This Row],[% INTERES ]]/30*U1604))</f>
        <v>0</v>
      </c>
      <c r="T1604" s="53" t="e">
        <f>Tabla14[[#This Row],[DEUDA CAPITAL]]+Tabla14[[#This Row],[INTERES  CUOTA]]</f>
        <v>#NUM!</v>
      </c>
      <c r="U1604" s="61" t="str">
        <f t="shared" si="259"/>
        <v/>
      </c>
    </row>
    <row r="1605" spans="9:21" ht="24.75" customHeight="1" x14ac:dyDescent="0.35">
      <c r="I1605" s="42">
        <f t="shared" si="250"/>
        <v>0</v>
      </c>
      <c r="J1605" s="65" t="e">
        <f t="shared" si="251"/>
        <v>#NUM!</v>
      </c>
      <c r="K1605" s="83" t="e">
        <f t="shared" si="252"/>
        <v>#NUM!</v>
      </c>
      <c r="L1605" s="83">
        <f t="shared" si="253"/>
        <v>0</v>
      </c>
      <c r="M1605" s="110" t="str">
        <f t="shared" si="254"/>
        <v/>
      </c>
      <c r="N1605" s="51" t="str">
        <f t="shared" si="255"/>
        <v/>
      </c>
      <c r="O1605" s="52" t="str">
        <f t="shared" si="256"/>
        <v/>
      </c>
      <c r="P1605" s="88">
        <f t="shared" si="257"/>
        <v>0</v>
      </c>
      <c r="Q1605" s="88">
        <f t="shared" si="258"/>
        <v>0</v>
      </c>
      <c r="R1605" s="88" t="e">
        <f>-IF(Tabla14[[#This Row],[DIAS HABILES O MORA]]&lt;0,(Tabla14[[#This Row],[VALOR PRESTAMO]]*Tabla14[[#This Row],[% INTERES ]]/30*U1605))+Tabla14[[#This Row],[VALOR CUOTAS]]</f>
        <v>#VALUE!</v>
      </c>
      <c r="S1605" s="88">
        <f>-IF(Tabla14[[#This Row],[DIAS HABILES O MORA]]&lt;0,(Tabla14[[#This Row],[VALOR PRESTAMO]]*Tabla14[[#This Row],[% INTERES ]]/30*U1605))</f>
        <v>0</v>
      </c>
      <c r="T1605" s="53" t="e">
        <f>Tabla14[[#This Row],[DEUDA CAPITAL]]+Tabla14[[#This Row],[INTERES  CUOTA]]</f>
        <v>#NUM!</v>
      </c>
      <c r="U1605" s="61" t="str">
        <f t="shared" si="259"/>
        <v/>
      </c>
    </row>
    <row r="1606" spans="9:21" ht="24.75" customHeight="1" x14ac:dyDescent="0.35">
      <c r="I1606" s="42">
        <f t="shared" si="250"/>
        <v>0</v>
      </c>
      <c r="J1606" s="65" t="e">
        <f t="shared" si="251"/>
        <v>#NUM!</v>
      </c>
      <c r="K1606" s="83" t="e">
        <f t="shared" si="252"/>
        <v>#NUM!</v>
      </c>
      <c r="L1606" s="83">
        <f t="shared" si="253"/>
        <v>0</v>
      </c>
      <c r="M1606" s="110" t="str">
        <f t="shared" si="254"/>
        <v/>
      </c>
      <c r="N1606" s="51" t="str">
        <f t="shared" si="255"/>
        <v/>
      </c>
      <c r="O1606" s="52" t="str">
        <f t="shared" si="256"/>
        <v/>
      </c>
      <c r="P1606" s="88">
        <f t="shared" si="257"/>
        <v>0</v>
      </c>
      <c r="Q1606" s="88">
        <f t="shared" si="258"/>
        <v>0</v>
      </c>
      <c r="R1606" s="88" t="e">
        <f>-IF(Tabla14[[#This Row],[DIAS HABILES O MORA]]&lt;0,(Tabla14[[#This Row],[VALOR PRESTAMO]]*Tabla14[[#This Row],[% INTERES ]]/30*U1606))+Tabla14[[#This Row],[VALOR CUOTAS]]</f>
        <v>#VALUE!</v>
      </c>
      <c r="S1606" s="88">
        <f>-IF(Tabla14[[#This Row],[DIAS HABILES O MORA]]&lt;0,(Tabla14[[#This Row],[VALOR PRESTAMO]]*Tabla14[[#This Row],[% INTERES ]]/30*U1606))</f>
        <v>0</v>
      </c>
      <c r="T1606" s="53" t="e">
        <f>Tabla14[[#This Row],[DEUDA CAPITAL]]+Tabla14[[#This Row],[INTERES  CUOTA]]</f>
        <v>#NUM!</v>
      </c>
      <c r="U1606" s="61" t="str">
        <f t="shared" si="259"/>
        <v/>
      </c>
    </row>
    <row r="1607" spans="9:21" ht="24.75" customHeight="1" x14ac:dyDescent="0.35">
      <c r="I1607" s="42">
        <f t="shared" si="250"/>
        <v>0</v>
      </c>
      <c r="J1607" s="65" t="e">
        <f t="shared" si="251"/>
        <v>#NUM!</v>
      </c>
      <c r="K1607" s="83" t="e">
        <f t="shared" si="252"/>
        <v>#NUM!</v>
      </c>
      <c r="L1607" s="83">
        <f t="shared" si="253"/>
        <v>0</v>
      </c>
      <c r="M1607" s="110" t="str">
        <f t="shared" si="254"/>
        <v/>
      </c>
      <c r="N1607" s="51" t="str">
        <f t="shared" si="255"/>
        <v/>
      </c>
      <c r="O1607" s="52" t="str">
        <f t="shared" si="256"/>
        <v/>
      </c>
      <c r="P1607" s="88">
        <f t="shared" si="257"/>
        <v>0</v>
      </c>
      <c r="Q1607" s="88">
        <f t="shared" si="258"/>
        <v>0</v>
      </c>
      <c r="R1607" s="88" t="e">
        <f>-IF(Tabla14[[#This Row],[DIAS HABILES O MORA]]&lt;0,(Tabla14[[#This Row],[VALOR PRESTAMO]]*Tabla14[[#This Row],[% INTERES ]]/30*U1607))+Tabla14[[#This Row],[VALOR CUOTAS]]</f>
        <v>#VALUE!</v>
      </c>
      <c r="S1607" s="88">
        <f>-IF(Tabla14[[#This Row],[DIAS HABILES O MORA]]&lt;0,(Tabla14[[#This Row],[VALOR PRESTAMO]]*Tabla14[[#This Row],[% INTERES ]]/30*U1607))</f>
        <v>0</v>
      </c>
      <c r="T1607" s="53" t="e">
        <f>Tabla14[[#This Row],[DEUDA CAPITAL]]+Tabla14[[#This Row],[INTERES  CUOTA]]</f>
        <v>#NUM!</v>
      </c>
      <c r="U1607" s="61" t="str">
        <f t="shared" si="259"/>
        <v/>
      </c>
    </row>
    <row r="1608" spans="9:21" ht="24.75" customHeight="1" x14ac:dyDescent="0.35">
      <c r="I1608" s="42">
        <f t="shared" si="250"/>
        <v>0</v>
      </c>
      <c r="J1608" s="65" t="e">
        <f t="shared" si="251"/>
        <v>#NUM!</v>
      </c>
      <c r="K1608" s="83" t="e">
        <f t="shared" si="252"/>
        <v>#NUM!</v>
      </c>
      <c r="L1608" s="83">
        <f t="shared" si="253"/>
        <v>0</v>
      </c>
      <c r="M1608" s="110" t="str">
        <f t="shared" si="254"/>
        <v/>
      </c>
      <c r="N1608" s="51" t="str">
        <f t="shared" si="255"/>
        <v/>
      </c>
      <c r="O1608" s="52" t="str">
        <f t="shared" si="256"/>
        <v/>
      </c>
      <c r="P1608" s="88">
        <f t="shared" si="257"/>
        <v>0</v>
      </c>
      <c r="Q1608" s="88">
        <f t="shared" si="258"/>
        <v>0</v>
      </c>
      <c r="R1608" s="88" t="e">
        <f>-IF(Tabla14[[#This Row],[DIAS HABILES O MORA]]&lt;0,(Tabla14[[#This Row],[VALOR PRESTAMO]]*Tabla14[[#This Row],[% INTERES ]]/30*U1608))+Tabla14[[#This Row],[VALOR CUOTAS]]</f>
        <v>#VALUE!</v>
      </c>
      <c r="S1608" s="88">
        <f>-IF(Tabla14[[#This Row],[DIAS HABILES O MORA]]&lt;0,(Tabla14[[#This Row],[VALOR PRESTAMO]]*Tabla14[[#This Row],[% INTERES ]]/30*U1608))</f>
        <v>0</v>
      </c>
      <c r="T1608" s="53" t="e">
        <f>Tabla14[[#This Row],[DEUDA CAPITAL]]+Tabla14[[#This Row],[INTERES  CUOTA]]</f>
        <v>#NUM!</v>
      </c>
      <c r="U1608" s="61" t="str">
        <f t="shared" si="259"/>
        <v/>
      </c>
    </row>
    <row r="1609" spans="9:21" ht="24.75" customHeight="1" x14ac:dyDescent="0.35">
      <c r="I1609" s="42">
        <f t="shared" si="250"/>
        <v>0</v>
      </c>
      <c r="J1609" s="65" t="e">
        <f t="shared" si="251"/>
        <v>#NUM!</v>
      </c>
      <c r="K1609" s="83" t="e">
        <f t="shared" si="252"/>
        <v>#NUM!</v>
      </c>
      <c r="L1609" s="83">
        <f t="shared" si="253"/>
        <v>0</v>
      </c>
      <c r="M1609" s="110" t="str">
        <f t="shared" si="254"/>
        <v/>
      </c>
      <c r="N1609" s="51" t="str">
        <f t="shared" si="255"/>
        <v/>
      </c>
      <c r="O1609" s="52" t="str">
        <f t="shared" si="256"/>
        <v/>
      </c>
      <c r="P1609" s="88">
        <f t="shared" si="257"/>
        <v>0</v>
      </c>
      <c r="Q1609" s="88">
        <f t="shared" si="258"/>
        <v>0</v>
      </c>
      <c r="R1609" s="88" t="e">
        <f>-IF(Tabla14[[#This Row],[DIAS HABILES O MORA]]&lt;0,(Tabla14[[#This Row],[VALOR PRESTAMO]]*Tabla14[[#This Row],[% INTERES ]]/30*U1609))+Tabla14[[#This Row],[VALOR CUOTAS]]</f>
        <v>#VALUE!</v>
      </c>
      <c r="S1609" s="88">
        <f>-IF(Tabla14[[#This Row],[DIAS HABILES O MORA]]&lt;0,(Tabla14[[#This Row],[VALOR PRESTAMO]]*Tabla14[[#This Row],[% INTERES ]]/30*U1609))</f>
        <v>0</v>
      </c>
      <c r="T1609" s="53" t="e">
        <f>Tabla14[[#This Row],[DEUDA CAPITAL]]+Tabla14[[#This Row],[INTERES  CUOTA]]</f>
        <v>#NUM!</v>
      </c>
      <c r="U1609" s="61" t="str">
        <f t="shared" si="259"/>
        <v/>
      </c>
    </row>
    <row r="1610" spans="9:21" ht="24.75" customHeight="1" x14ac:dyDescent="0.35">
      <c r="I1610" s="42">
        <f t="shared" si="250"/>
        <v>0</v>
      </c>
      <c r="J1610" s="65" t="e">
        <f t="shared" si="251"/>
        <v>#NUM!</v>
      </c>
      <c r="K1610" s="83" t="e">
        <f t="shared" si="252"/>
        <v>#NUM!</v>
      </c>
      <c r="L1610" s="83">
        <f t="shared" si="253"/>
        <v>0</v>
      </c>
      <c r="M1610" s="110" t="str">
        <f t="shared" si="254"/>
        <v/>
      </c>
      <c r="N1610" s="51" t="str">
        <f t="shared" si="255"/>
        <v/>
      </c>
      <c r="O1610" s="52" t="str">
        <f t="shared" si="256"/>
        <v/>
      </c>
      <c r="P1610" s="88">
        <f t="shared" si="257"/>
        <v>0</v>
      </c>
      <c r="Q1610" s="88">
        <f t="shared" si="258"/>
        <v>0</v>
      </c>
      <c r="R1610" s="88" t="e">
        <f>-IF(Tabla14[[#This Row],[DIAS HABILES O MORA]]&lt;0,(Tabla14[[#This Row],[VALOR PRESTAMO]]*Tabla14[[#This Row],[% INTERES ]]/30*U1610))+Tabla14[[#This Row],[VALOR CUOTAS]]</f>
        <v>#VALUE!</v>
      </c>
      <c r="S1610" s="88">
        <f>-IF(Tabla14[[#This Row],[DIAS HABILES O MORA]]&lt;0,(Tabla14[[#This Row],[VALOR PRESTAMO]]*Tabla14[[#This Row],[% INTERES ]]/30*U1610))</f>
        <v>0</v>
      </c>
      <c r="T1610" s="53" t="e">
        <f>Tabla14[[#This Row],[DEUDA CAPITAL]]+Tabla14[[#This Row],[INTERES  CUOTA]]</f>
        <v>#NUM!</v>
      </c>
      <c r="U1610" s="61" t="str">
        <f t="shared" si="259"/>
        <v/>
      </c>
    </row>
    <row r="1611" spans="9:21" ht="24.75" customHeight="1" x14ac:dyDescent="0.35">
      <c r="I1611" s="42">
        <f t="shared" si="250"/>
        <v>0</v>
      </c>
      <c r="J1611" s="65" t="e">
        <f t="shared" si="251"/>
        <v>#NUM!</v>
      </c>
      <c r="K1611" s="83" t="e">
        <f t="shared" si="252"/>
        <v>#NUM!</v>
      </c>
      <c r="L1611" s="83">
        <f t="shared" si="253"/>
        <v>0</v>
      </c>
      <c r="M1611" s="110" t="str">
        <f t="shared" si="254"/>
        <v/>
      </c>
      <c r="N1611" s="51" t="str">
        <f t="shared" si="255"/>
        <v/>
      </c>
      <c r="O1611" s="52" t="str">
        <f t="shared" si="256"/>
        <v/>
      </c>
      <c r="P1611" s="88">
        <f t="shared" si="257"/>
        <v>0</v>
      </c>
      <c r="Q1611" s="88">
        <f t="shared" si="258"/>
        <v>0</v>
      </c>
      <c r="R1611" s="88" t="e">
        <f>-IF(Tabla14[[#This Row],[DIAS HABILES O MORA]]&lt;0,(Tabla14[[#This Row],[VALOR PRESTAMO]]*Tabla14[[#This Row],[% INTERES ]]/30*U1611))+Tabla14[[#This Row],[VALOR CUOTAS]]</f>
        <v>#VALUE!</v>
      </c>
      <c r="S1611" s="88">
        <f>-IF(Tabla14[[#This Row],[DIAS HABILES O MORA]]&lt;0,(Tabla14[[#This Row],[VALOR PRESTAMO]]*Tabla14[[#This Row],[% INTERES ]]/30*U1611))</f>
        <v>0</v>
      </c>
      <c r="T1611" s="53" t="e">
        <f>Tabla14[[#This Row],[DEUDA CAPITAL]]+Tabla14[[#This Row],[INTERES  CUOTA]]</f>
        <v>#NUM!</v>
      </c>
      <c r="U1611" s="61" t="str">
        <f t="shared" si="259"/>
        <v/>
      </c>
    </row>
    <row r="1612" spans="9:21" ht="24.75" customHeight="1" x14ac:dyDescent="0.35">
      <c r="I1612" s="42">
        <f t="shared" si="250"/>
        <v>0</v>
      </c>
      <c r="J1612" s="65" t="e">
        <f t="shared" si="251"/>
        <v>#NUM!</v>
      </c>
      <c r="K1612" s="83" t="e">
        <f t="shared" si="252"/>
        <v>#NUM!</v>
      </c>
      <c r="L1612" s="83">
        <f t="shared" si="253"/>
        <v>0</v>
      </c>
      <c r="M1612" s="110" t="str">
        <f t="shared" si="254"/>
        <v/>
      </c>
      <c r="N1612" s="51" t="str">
        <f t="shared" si="255"/>
        <v/>
      </c>
      <c r="O1612" s="52" t="str">
        <f t="shared" si="256"/>
        <v/>
      </c>
      <c r="P1612" s="88">
        <f t="shared" si="257"/>
        <v>0</v>
      </c>
      <c r="Q1612" s="88">
        <f t="shared" si="258"/>
        <v>0</v>
      </c>
      <c r="R1612" s="88" t="e">
        <f>-IF(Tabla14[[#This Row],[DIAS HABILES O MORA]]&lt;0,(Tabla14[[#This Row],[VALOR PRESTAMO]]*Tabla14[[#This Row],[% INTERES ]]/30*U1612))+Tabla14[[#This Row],[VALOR CUOTAS]]</f>
        <v>#VALUE!</v>
      </c>
      <c r="S1612" s="88">
        <f>-IF(Tabla14[[#This Row],[DIAS HABILES O MORA]]&lt;0,(Tabla14[[#This Row],[VALOR PRESTAMO]]*Tabla14[[#This Row],[% INTERES ]]/30*U1612))</f>
        <v>0</v>
      </c>
      <c r="T1612" s="53" t="e">
        <f>Tabla14[[#This Row],[DEUDA CAPITAL]]+Tabla14[[#This Row],[INTERES  CUOTA]]</f>
        <v>#NUM!</v>
      </c>
      <c r="U1612" s="61" t="str">
        <f t="shared" si="259"/>
        <v/>
      </c>
    </row>
    <row r="1613" spans="9:21" ht="24.75" customHeight="1" x14ac:dyDescent="0.35">
      <c r="I1613" s="42">
        <f t="shared" si="250"/>
        <v>0</v>
      </c>
      <c r="J1613" s="65" t="e">
        <f t="shared" si="251"/>
        <v>#NUM!</v>
      </c>
      <c r="K1613" s="83" t="e">
        <f t="shared" si="252"/>
        <v>#NUM!</v>
      </c>
      <c r="L1613" s="83">
        <f t="shared" si="253"/>
        <v>0</v>
      </c>
      <c r="M1613" s="110" t="str">
        <f t="shared" si="254"/>
        <v/>
      </c>
      <c r="N1613" s="51" t="str">
        <f t="shared" si="255"/>
        <v/>
      </c>
      <c r="O1613" s="52" t="str">
        <f t="shared" si="256"/>
        <v/>
      </c>
      <c r="P1613" s="88">
        <f t="shared" si="257"/>
        <v>0</v>
      </c>
      <c r="Q1613" s="88">
        <f t="shared" si="258"/>
        <v>0</v>
      </c>
      <c r="R1613" s="88" t="e">
        <f>-IF(Tabla14[[#This Row],[DIAS HABILES O MORA]]&lt;0,(Tabla14[[#This Row],[VALOR PRESTAMO]]*Tabla14[[#This Row],[% INTERES ]]/30*U1613))+Tabla14[[#This Row],[VALOR CUOTAS]]</f>
        <v>#VALUE!</v>
      </c>
      <c r="S1613" s="88">
        <f>-IF(Tabla14[[#This Row],[DIAS HABILES O MORA]]&lt;0,(Tabla14[[#This Row],[VALOR PRESTAMO]]*Tabla14[[#This Row],[% INTERES ]]/30*U1613))</f>
        <v>0</v>
      </c>
      <c r="T1613" s="53" t="e">
        <f>Tabla14[[#This Row],[DEUDA CAPITAL]]+Tabla14[[#This Row],[INTERES  CUOTA]]</f>
        <v>#NUM!</v>
      </c>
      <c r="U1613" s="61" t="str">
        <f t="shared" si="259"/>
        <v/>
      </c>
    </row>
    <row r="1614" spans="9:21" ht="24.75" customHeight="1" x14ac:dyDescent="0.35">
      <c r="I1614" s="42">
        <f t="shared" si="250"/>
        <v>0</v>
      </c>
      <c r="J1614" s="65" t="e">
        <f t="shared" si="251"/>
        <v>#NUM!</v>
      </c>
      <c r="K1614" s="83" t="e">
        <f t="shared" si="252"/>
        <v>#NUM!</v>
      </c>
      <c r="L1614" s="83">
        <f t="shared" si="253"/>
        <v>0</v>
      </c>
      <c r="M1614" s="110" t="str">
        <f t="shared" si="254"/>
        <v/>
      </c>
      <c r="N1614" s="51" t="str">
        <f t="shared" si="255"/>
        <v/>
      </c>
      <c r="O1614" s="52" t="str">
        <f t="shared" si="256"/>
        <v/>
      </c>
      <c r="P1614" s="88">
        <f t="shared" si="257"/>
        <v>0</v>
      </c>
      <c r="Q1614" s="88">
        <f t="shared" si="258"/>
        <v>0</v>
      </c>
      <c r="R1614" s="88" t="e">
        <f>-IF(Tabla14[[#This Row],[DIAS HABILES O MORA]]&lt;0,(Tabla14[[#This Row],[VALOR PRESTAMO]]*Tabla14[[#This Row],[% INTERES ]]/30*U1614))+Tabla14[[#This Row],[VALOR CUOTAS]]</f>
        <v>#VALUE!</v>
      </c>
      <c r="S1614" s="88">
        <f>-IF(Tabla14[[#This Row],[DIAS HABILES O MORA]]&lt;0,(Tabla14[[#This Row],[VALOR PRESTAMO]]*Tabla14[[#This Row],[% INTERES ]]/30*U1614))</f>
        <v>0</v>
      </c>
      <c r="T1614" s="53" t="e">
        <f>Tabla14[[#This Row],[DEUDA CAPITAL]]+Tabla14[[#This Row],[INTERES  CUOTA]]</f>
        <v>#NUM!</v>
      </c>
      <c r="U1614" s="61" t="str">
        <f t="shared" si="259"/>
        <v/>
      </c>
    </row>
    <row r="1615" spans="9:21" ht="24.75" customHeight="1" x14ac:dyDescent="0.35">
      <c r="I1615" s="42">
        <f t="shared" si="250"/>
        <v>0</v>
      </c>
      <c r="J1615" s="65" t="e">
        <f t="shared" si="251"/>
        <v>#NUM!</v>
      </c>
      <c r="K1615" s="83" t="e">
        <f t="shared" si="252"/>
        <v>#NUM!</v>
      </c>
      <c r="L1615" s="83">
        <f t="shared" si="253"/>
        <v>0</v>
      </c>
      <c r="M1615" s="110" t="str">
        <f t="shared" si="254"/>
        <v/>
      </c>
      <c r="N1615" s="51" t="str">
        <f t="shared" si="255"/>
        <v/>
      </c>
      <c r="O1615" s="52" t="str">
        <f t="shared" si="256"/>
        <v/>
      </c>
      <c r="P1615" s="88">
        <f t="shared" si="257"/>
        <v>0</v>
      </c>
      <c r="Q1615" s="88">
        <f t="shared" si="258"/>
        <v>0</v>
      </c>
      <c r="R1615" s="88" t="e">
        <f>-IF(Tabla14[[#This Row],[DIAS HABILES O MORA]]&lt;0,(Tabla14[[#This Row],[VALOR PRESTAMO]]*Tabla14[[#This Row],[% INTERES ]]/30*U1615))+Tabla14[[#This Row],[VALOR CUOTAS]]</f>
        <v>#VALUE!</v>
      </c>
      <c r="S1615" s="88">
        <f>-IF(Tabla14[[#This Row],[DIAS HABILES O MORA]]&lt;0,(Tabla14[[#This Row],[VALOR PRESTAMO]]*Tabla14[[#This Row],[% INTERES ]]/30*U1615))</f>
        <v>0</v>
      </c>
      <c r="T1615" s="53" t="e">
        <f>Tabla14[[#This Row],[DEUDA CAPITAL]]+Tabla14[[#This Row],[INTERES  CUOTA]]</f>
        <v>#NUM!</v>
      </c>
      <c r="U1615" s="61" t="str">
        <f t="shared" si="259"/>
        <v/>
      </c>
    </row>
    <row r="1616" spans="9:21" ht="24.75" customHeight="1" x14ac:dyDescent="0.35">
      <c r="I1616" s="42">
        <f t="shared" ref="I1616:I1679" si="260">IF(C1616&lt;0,"",IF(Q1616=0,0,IF(G1616=0,H1616+1,IF(H1616&lt;G1616,H1616+1,IF(G1616=H1616,0)))))</f>
        <v>0</v>
      </c>
      <c r="J1616" s="65" t="e">
        <f t="shared" ref="J1616:J1679" si="261">IF(F1616="SOLO INTERES",Q1616*D1616,-IPMT(D1616,I1616,G1616,C1616))</f>
        <v>#NUM!</v>
      </c>
      <c r="K1616" s="83" t="e">
        <f t="shared" ref="K1616:K1679" si="262">IF(F1616="SOLO INTERES",0,-PPMT(D1616,I1616,G1616,C1616))</f>
        <v>#NUM!</v>
      </c>
      <c r="L1616" s="83">
        <f t="shared" ref="L1616:L1679" si="263">IF(F1616="SOLO INTERES",SUM(Y1616:AAE1616),IFERROR(-CUMIPMT(D1616,G1616,C1616,1,H1616,0),0)+SUM(Y1616:WY1616))</f>
        <v>0</v>
      </c>
      <c r="M1616" s="110" t="str">
        <f t="shared" ref="M1616:M1679" si="264">IFERROR(IF(F1616="SOLO INTERES",Q1616*D1616,-PMT(D1616,G1616,C1616,0)),"")</f>
        <v/>
      </c>
      <c r="N1616" s="51" t="str">
        <f t="shared" ref="N1616:N1679" si="265">IF(Q1616=0,"",IF(E1616="MENSUAL",EDATE(B1616,I1616),IF(E1616="QUINCENAL",B1616+(I1616*15),IF(E1616="SEMANAL",B1616+(I1616*7)))))</f>
        <v/>
      </c>
      <c r="O1616" s="52" t="str">
        <f t="shared" ref="O1616:O1679" si="266">IF(C1616=0,"",IF(Q1616&lt;1,"PAGADO",IF(N1616=$A$3,"COBRAR HOY",IF(N1616&lt;$A$3,"EN MORA",IF(N1616&gt;$A$3,"AL DIA")))))</f>
        <v/>
      </c>
      <c r="P1616" s="88">
        <f t="shared" ref="P1616:P1679" si="267">IFERROR(-CUMPRINC(D1616,G1616,C1616,1,H1616,0),0)+W1616</f>
        <v>0</v>
      </c>
      <c r="Q1616" s="88">
        <f t="shared" ref="Q1616:Q1679" si="268">IFERROR(C1616-P1616,"")</f>
        <v>0</v>
      </c>
      <c r="R1616" s="88" t="e">
        <f>-IF(Tabla14[[#This Row],[DIAS HABILES O MORA]]&lt;0,(Tabla14[[#This Row],[VALOR PRESTAMO]]*Tabla14[[#This Row],[% INTERES ]]/30*U1616))+Tabla14[[#This Row],[VALOR CUOTAS]]</f>
        <v>#VALUE!</v>
      </c>
      <c r="S1616" s="88">
        <f>-IF(Tabla14[[#This Row],[DIAS HABILES O MORA]]&lt;0,(Tabla14[[#This Row],[VALOR PRESTAMO]]*Tabla14[[#This Row],[% INTERES ]]/30*U1616))</f>
        <v>0</v>
      </c>
      <c r="T1616" s="53" t="e">
        <f>Tabla14[[#This Row],[DEUDA CAPITAL]]+Tabla14[[#This Row],[INTERES  CUOTA]]</f>
        <v>#NUM!</v>
      </c>
      <c r="U1616" s="61" t="str">
        <f t="shared" ref="U1616:U1679" si="269">IF(O1616="PAGADO","",IFERROR(-IF(C1616=0,"",$A$3-N1616),""))</f>
        <v/>
      </c>
    </row>
    <row r="1617" spans="9:21" ht="24.75" customHeight="1" x14ac:dyDescent="0.35">
      <c r="I1617" s="42">
        <f t="shared" si="260"/>
        <v>0</v>
      </c>
      <c r="J1617" s="65" t="e">
        <f t="shared" si="261"/>
        <v>#NUM!</v>
      </c>
      <c r="K1617" s="83" t="e">
        <f t="shared" si="262"/>
        <v>#NUM!</v>
      </c>
      <c r="L1617" s="83">
        <f t="shared" si="263"/>
        <v>0</v>
      </c>
      <c r="M1617" s="110" t="str">
        <f t="shared" si="264"/>
        <v/>
      </c>
      <c r="N1617" s="51" t="str">
        <f t="shared" si="265"/>
        <v/>
      </c>
      <c r="O1617" s="52" t="str">
        <f t="shared" si="266"/>
        <v/>
      </c>
      <c r="P1617" s="88">
        <f t="shared" si="267"/>
        <v>0</v>
      </c>
      <c r="Q1617" s="88">
        <f t="shared" si="268"/>
        <v>0</v>
      </c>
      <c r="R1617" s="88" t="e">
        <f>-IF(Tabla14[[#This Row],[DIAS HABILES O MORA]]&lt;0,(Tabla14[[#This Row],[VALOR PRESTAMO]]*Tabla14[[#This Row],[% INTERES ]]/30*U1617))+Tabla14[[#This Row],[VALOR CUOTAS]]</f>
        <v>#VALUE!</v>
      </c>
      <c r="S1617" s="88">
        <f>-IF(Tabla14[[#This Row],[DIAS HABILES O MORA]]&lt;0,(Tabla14[[#This Row],[VALOR PRESTAMO]]*Tabla14[[#This Row],[% INTERES ]]/30*U1617))</f>
        <v>0</v>
      </c>
      <c r="T1617" s="53" t="e">
        <f>Tabla14[[#This Row],[DEUDA CAPITAL]]+Tabla14[[#This Row],[INTERES  CUOTA]]</f>
        <v>#NUM!</v>
      </c>
      <c r="U1617" s="61" t="str">
        <f t="shared" si="269"/>
        <v/>
      </c>
    </row>
    <row r="1618" spans="9:21" ht="24.75" customHeight="1" x14ac:dyDescent="0.35">
      <c r="I1618" s="42">
        <f t="shared" si="260"/>
        <v>0</v>
      </c>
      <c r="J1618" s="65" t="e">
        <f t="shared" si="261"/>
        <v>#NUM!</v>
      </c>
      <c r="K1618" s="83" t="e">
        <f t="shared" si="262"/>
        <v>#NUM!</v>
      </c>
      <c r="L1618" s="83">
        <f t="shared" si="263"/>
        <v>0</v>
      </c>
      <c r="M1618" s="110" t="str">
        <f t="shared" si="264"/>
        <v/>
      </c>
      <c r="N1618" s="51" t="str">
        <f t="shared" si="265"/>
        <v/>
      </c>
      <c r="O1618" s="52" t="str">
        <f t="shared" si="266"/>
        <v/>
      </c>
      <c r="P1618" s="88">
        <f t="shared" si="267"/>
        <v>0</v>
      </c>
      <c r="Q1618" s="88">
        <f t="shared" si="268"/>
        <v>0</v>
      </c>
      <c r="R1618" s="88" t="e">
        <f>-IF(Tabla14[[#This Row],[DIAS HABILES O MORA]]&lt;0,(Tabla14[[#This Row],[VALOR PRESTAMO]]*Tabla14[[#This Row],[% INTERES ]]/30*U1618))+Tabla14[[#This Row],[VALOR CUOTAS]]</f>
        <v>#VALUE!</v>
      </c>
      <c r="S1618" s="88">
        <f>-IF(Tabla14[[#This Row],[DIAS HABILES O MORA]]&lt;0,(Tabla14[[#This Row],[VALOR PRESTAMO]]*Tabla14[[#This Row],[% INTERES ]]/30*U1618))</f>
        <v>0</v>
      </c>
      <c r="T1618" s="53" t="e">
        <f>Tabla14[[#This Row],[DEUDA CAPITAL]]+Tabla14[[#This Row],[INTERES  CUOTA]]</f>
        <v>#NUM!</v>
      </c>
      <c r="U1618" s="61" t="str">
        <f t="shared" si="269"/>
        <v/>
      </c>
    </row>
    <row r="1619" spans="9:21" ht="24.75" customHeight="1" x14ac:dyDescent="0.35">
      <c r="I1619" s="42">
        <f t="shared" si="260"/>
        <v>0</v>
      </c>
      <c r="J1619" s="65" t="e">
        <f t="shared" si="261"/>
        <v>#NUM!</v>
      </c>
      <c r="K1619" s="83" t="e">
        <f t="shared" si="262"/>
        <v>#NUM!</v>
      </c>
      <c r="L1619" s="83">
        <f t="shared" si="263"/>
        <v>0</v>
      </c>
      <c r="M1619" s="110" t="str">
        <f t="shared" si="264"/>
        <v/>
      </c>
      <c r="N1619" s="51" t="str">
        <f t="shared" si="265"/>
        <v/>
      </c>
      <c r="O1619" s="52" t="str">
        <f t="shared" si="266"/>
        <v/>
      </c>
      <c r="P1619" s="88">
        <f t="shared" si="267"/>
        <v>0</v>
      </c>
      <c r="Q1619" s="88">
        <f t="shared" si="268"/>
        <v>0</v>
      </c>
      <c r="R1619" s="88" t="e">
        <f>-IF(Tabla14[[#This Row],[DIAS HABILES O MORA]]&lt;0,(Tabla14[[#This Row],[VALOR PRESTAMO]]*Tabla14[[#This Row],[% INTERES ]]/30*U1619))+Tabla14[[#This Row],[VALOR CUOTAS]]</f>
        <v>#VALUE!</v>
      </c>
      <c r="S1619" s="88">
        <f>-IF(Tabla14[[#This Row],[DIAS HABILES O MORA]]&lt;0,(Tabla14[[#This Row],[VALOR PRESTAMO]]*Tabla14[[#This Row],[% INTERES ]]/30*U1619))</f>
        <v>0</v>
      </c>
      <c r="T1619" s="53" t="e">
        <f>Tabla14[[#This Row],[DEUDA CAPITAL]]+Tabla14[[#This Row],[INTERES  CUOTA]]</f>
        <v>#NUM!</v>
      </c>
      <c r="U1619" s="61" t="str">
        <f t="shared" si="269"/>
        <v/>
      </c>
    </row>
    <row r="1620" spans="9:21" ht="24.75" customHeight="1" x14ac:dyDescent="0.35">
      <c r="I1620" s="42">
        <f t="shared" si="260"/>
        <v>0</v>
      </c>
      <c r="J1620" s="65" t="e">
        <f t="shared" si="261"/>
        <v>#NUM!</v>
      </c>
      <c r="K1620" s="83" t="e">
        <f t="shared" si="262"/>
        <v>#NUM!</v>
      </c>
      <c r="L1620" s="83">
        <f t="shared" si="263"/>
        <v>0</v>
      </c>
      <c r="M1620" s="110" t="str">
        <f t="shared" si="264"/>
        <v/>
      </c>
      <c r="N1620" s="51" t="str">
        <f t="shared" si="265"/>
        <v/>
      </c>
      <c r="O1620" s="52" t="str">
        <f t="shared" si="266"/>
        <v/>
      </c>
      <c r="P1620" s="88">
        <f t="shared" si="267"/>
        <v>0</v>
      </c>
      <c r="Q1620" s="88">
        <f t="shared" si="268"/>
        <v>0</v>
      </c>
      <c r="R1620" s="88" t="e">
        <f>-IF(Tabla14[[#This Row],[DIAS HABILES O MORA]]&lt;0,(Tabla14[[#This Row],[VALOR PRESTAMO]]*Tabla14[[#This Row],[% INTERES ]]/30*U1620))+Tabla14[[#This Row],[VALOR CUOTAS]]</f>
        <v>#VALUE!</v>
      </c>
      <c r="S1620" s="88">
        <f>-IF(Tabla14[[#This Row],[DIAS HABILES O MORA]]&lt;0,(Tabla14[[#This Row],[VALOR PRESTAMO]]*Tabla14[[#This Row],[% INTERES ]]/30*U1620))</f>
        <v>0</v>
      </c>
      <c r="T1620" s="53" t="e">
        <f>Tabla14[[#This Row],[DEUDA CAPITAL]]+Tabla14[[#This Row],[INTERES  CUOTA]]</f>
        <v>#NUM!</v>
      </c>
      <c r="U1620" s="61" t="str">
        <f t="shared" si="269"/>
        <v/>
      </c>
    </row>
    <row r="1621" spans="9:21" ht="24.75" customHeight="1" x14ac:dyDescent="0.35">
      <c r="I1621" s="42">
        <f t="shared" si="260"/>
        <v>0</v>
      </c>
      <c r="J1621" s="65" t="e">
        <f t="shared" si="261"/>
        <v>#NUM!</v>
      </c>
      <c r="K1621" s="83" t="e">
        <f t="shared" si="262"/>
        <v>#NUM!</v>
      </c>
      <c r="L1621" s="83">
        <f t="shared" si="263"/>
        <v>0</v>
      </c>
      <c r="M1621" s="110" t="str">
        <f t="shared" si="264"/>
        <v/>
      </c>
      <c r="N1621" s="51" t="str">
        <f t="shared" si="265"/>
        <v/>
      </c>
      <c r="O1621" s="52" t="str">
        <f t="shared" si="266"/>
        <v/>
      </c>
      <c r="P1621" s="88">
        <f t="shared" si="267"/>
        <v>0</v>
      </c>
      <c r="Q1621" s="88">
        <f t="shared" si="268"/>
        <v>0</v>
      </c>
      <c r="R1621" s="88" t="e">
        <f>-IF(Tabla14[[#This Row],[DIAS HABILES O MORA]]&lt;0,(Tabla14[[#This Row],[VALOR PRESTAMO]]*Tabla14[[#This Row],[% INTERES ]]/30*U1621))+Tabla14[[#This Row],[VALOR CUOTAS]]</f>
        <v>#VALUE!</v>
      </c>
      <c r="S1621" s="88">
        <f>-IF(Tabla14[[#This Row],[DIAS HABILES O MORA]]&lt;0,(Tabla14[[#This Row],[VALOR PRESTAMO]]*Tabla14[[#This Row],[% INTERES ]]/30*U1621))</f>
        <v>0</v>
      </c>
      <c r="T1621" s="53" t="e">
        <f>Tabla14[[#This Row],[DEUDA CAPITAL]]+Tabla14[[#This Row],[INTERES  CUOTA]]</f>
        <v>#NUM!</v>
      </c>
      <c r="U1621" s="61" t="str">
        <f t="shared" si="269"/>
        <v/>
      </c>
    </row>
    <row r="1622" spans="9:21" ht="24.75" customHeight="1" x14ac:dyDescent="0.35">
      <c r="I1622" s="42">
        <f t="shared" si="260"/>
        <v>0</v>
      </c>
      <c r="J1622" s="65" t="e">
        <f t="shared" si="261"/>
        <v>#NUM!</v>
      </c>
      <c r="K1622" s="83" t="e">
        <f t="shared" si="262"/>
        <v>#NUM!</v>
      </c>
      <c r="L1622" s="83">
        <f t="shared" si="263"/>
        <v>0</v>
      </c>
      <c r="M1622" s="110" t="str">
        <f t="shared" si="264"/>
        <v/>
      </c>
      <c r="N1622" s="51" t="str">
        <f t="shared" si="265"/>
        <v/>
      </c>
      <c r="O1622" s="52" t="str">
        <f t="shared" si="266"/>
        <v/>
      </c>
      <c r="P1622" s="88">
        <f t="shared" si="267"/>
        <v>0</v>
      </c>
      <c r="Q1622" s="88">
        <f t="shared" si="268"/>
        <v>0</v>
      </c>
      <c r="R1622" s="88" t="e">
        <f>-IF(Tabla14[[#This Row],[DIAS HABILES O MORA]]&lt;0,(Tabla14[[#This Row],[VALOR PRESTAMO]]*Tabla14[[#This Row],[% INTERES ]]/30*U1622))+Tabla14[[#This Row],[VALOR CUOTAS]]</f>
        <v>#VALUE!</v>
      </c>
      <c r="S1622" s="88">
        <f>-IF(Tabla14[[#This Row],[DIAS HABILES O MORA]]&lt;0,(Tabla14[[#This Row],[VALOR PRESTAMO]]*Tabla14[[#This Row],[% INTERES ]]/30*U1622))</f>
        <v>0</v>
      </c>
      <c r="T1622" s="53" t="e">
        <f>Tabla14[[#This Row],[DEUDA CAPITAL]]+Tabla14[[#This Row],[INTERES  CUOTA]]</f>
        <v>#NUM!</v>
      </c>
      <c r="U1622" s="61" t="str">
        <f t="shared" si="269"/>
        <v/>
      </c>
    </row>
    <row r="1623" spans="9:21" ht="24.75" customHeight="1" x14ac:dyDescent="0.35">
      <c r="I1623" s="42">
        <f t="shared" si="260"/>
        <v>0</v>
      </c>
      <c r="J1623" s="65" t="e">
        <f t="shared" si="261"/>
        <v>#NUM!</v>
      </c>
      <c r="K1623" s="83" t="e">
        <f t="shared" si="262"/>
        <v>#NUM!</v>
      </c>
      <c r="L1623" s="83">
        <f t="shared" si="263"/>
        <v>0</v>
      </c>
      <c r="M1623" s="110" t="str">
        <f t="shared" si="264"/>
        <v/>
      </c>
      <c r="N1623" s="51" t="str">
        <f t="shared" si="265"/>
        <v/>
      </c>
      <c r="O1623" s="52" t="str">
        <f t="shared" si="266"/>
        <v/>
      </c>
      <c r="P1623" s="88">
        <f t="shared" si="267"/>
        <v>0</v>
      </c>
      <c r="Q1623" s="88">
        <f t="shared" si="268"/>
        <v>0</v>
      </c>
      <c r="R1623" s="88" t="e">
        <f>-IF(Tabla14[[#This Row],[DIAS HABILES O MORA]]&lt;0,(Tabla14[[#This Row],[VALOR PRESTAMO]]*Tabla14[[#This Row],[% INTERES ]]/30*U1623))+Tabla14[[#This Row],[VALOR CUOTAS]]</f>
        <v>#VALUE!</v>
      </c>
      <c r="S1623" s="88">
        <f>-IF(Tabla14[[#This Row],[DIAS HABILES O MORA]]&lt;0,(Tabla14[[#This Row],[VALOR PRESTAMO]]*Tabla14[[#This Row],[% INTERES ]]/30*U1623))</f>
        <v>0</v>
      </c>
      <c r="T1623" s="53" t="e">
        <f>Tabla14[[#This Row],[DEUDA CAPITAL]]+Tabla14[[#This Row],[INTERES  CUOTA]]</f>
        <v>#NUM!</v>
      </c>
      <c r="U1623" s="61" t="str">
        <f t="shared" si="269"/>
        <v/>
      </c>
    </row>
    <row r="1624" spans="9:21" ht="24.75" customHeight="1" x14ac:dyDescent="0.35">
      <c r="I1624" s="42">
        <f t="shared" si="260"/>
        <v>0</v>
      </c>
      <c r="J1624" s="65" t="e">
        <f t="shared" si="261"/>
        <v>#NUM!</v>
      </c>
      <c r="K1624" s="83" t="e">
        <f t="shared" si="262"/>
        <v>#NUM!</v>
      </c>
      <c r="L1624" s="83">
        <f t="shared" si="263"/>
        <v>0</v>
      </c>
      <c r="M1624" s="110" t="str">
        <f t="shared" si="264"/>
        <v/>
      </c>
      <c r="N1624" s="51" t="str">
        <f t="shared" si="265"/>
        <v/>
      </c>
      <c r="O1624" s="52" t="str">
        <f t="shared" si="266"/>
        <v/>
      </c>
      <c r="P1624" s="88">
        <f t="shared" si="267"/>
        <v>0</v>
      </c>
      <c r="Q1624" s="88">
        <f t="shared" si="268"/>
        <v>0</v>
      </c>
      <c r="R1624" s="88" t="e">
        <f>-IF(Tabla14[[#This Row],[DIAS HABILES O MORA]]&lt;0,(Tabla14[[#This Row],[VALOR PRESTAMO]]*Tabla14[[#This Row],[% INTERES ]]/30*U1624))+Tabla14[[#This Row],[VALOR CUOTAS]]</f>
        <v>#VALUE!</v>
      </c>
      <c r="S1624" s="88">
        <f>-IF(Tabla14[[#This Row],[DIAS HABILES O MORA]]&lt;0,(Tabla14[[#This Row],[VALOR PRESTAMO]]*Tabla14[[#This Row],[% INTERES ]]/30*U1624))</f>
        <v>0</v>
      </c>
      <c r="T1624" s="53" t="e">
        <f>Tabla14[[#This Row],[DEUDA CAPITAL]]+Tabla14[[#This Row],[INTERES  CUOTA]]</f>
        <v>#NUM!</v>
      </c>
      <c r="U1624" s="61" t="str">
        <f t="shared" si="269"/>
        <v/>
      </c>
    </row>
    <row r="1625" spans="9:21" ht="24.75" customHeight="1" x14ac:dyDescent="0.35">
      <c r="I1625" s="42">
        <f t="shared" si="260"/>
        <v>0</v>
      </c>
      <c r="J1625" s="65" t="e">
        <f t="shared" si="261"/>
        <v>#NUM!</v>
      </c>
      <c r="K1625" s="83" t="e">
        <f t="shared" si="262"/>
        <v>#NUM!</v>
      </c>
      <c r="L1625" s="83">
        <f t="shared" si="263"/>
        <v>0</v>
      </c>
      <c r="M1625" s="110" t="str">
        <f t="shared" si="264"/>
        <v/>
      </c>
      <c r="N1625" s="51" t="str">
        <f t="shared" si="265"/>
        <v/>
      </c>
      <c r="O1625" s="52" t="str">
        <f t="shared" si="266"/>
        <v/>
      </c>
      <c r="P1625" s="88">
        <f t="shared" si="267"/>
        <v>0</v>
      </c>
      <c r="Q1625" s="88">
        <f t="shared" si="268"/>
        <v>0</v>
      </c>
      <c r="R1625" s="88" t="e">
        <f>-IF(Tabla14[[#This Row],[DIAS HABILES O MORA]]&lt;0,(Tabla14[[#This Row],[VALOR PRESTAMO]]*Tabla14[[#This Row],[% INTERES ]]/30*U1625))+Tabla14[[#This Row],[VALOR CUOTAS]]</f>
        <v>#VALUE!</v>
      </c>
      <c r="S1625" s="88">
        <f>-IF(Tabla14[[#This Row],[DIAS HABILES O MORA]]&lt;0,(Tabla14[[#This Row],[VALOR PRESTAMO]]*Tabla14[[#This Row],[% INTERES ]]/30*U1625))</f>
        <v>0</v>
      </c>
      <c r="T1625" s="53" t="e">
        <f>Tabla14[[#This Row],[DEUDA CAPITAL]]+Tabla14[[#This Row],[INTERES  CUOTA]]</f>
        <v>#NUM!</v>
      </c>
      <c r="U1625" s="61" t="str">
        <f t="shared" si="269"/>
        <v/>
      </c>
    </row>
    <row r="1626" spans="9:21" ht="24.75" customHeight="1" x14ac:dyDescent="0.35">
      <c r="I1626" s="42">
        <f t="shared" si="260"/>
        <v>0</v>
      </c>
      <c r="J1626" s="65" t="e">
        <f t="shared" si="261"/>
        <v>#NUM!</v>
      </c>
      <c r="K1626" s="83" t="e">
        <f t="shared" si="262"/>
        <v>#NUM!</v>
      </c>
      <c r="L1626" s="83">
        <f t="shared" si="263"/>
        <v>0</v>
      </c>
      <c r="M1626" s="110" t="str">
        <f t="shared" si="264"/>
        <v/>
      </c>
      <c r="N1626" s="51" t="str">
        <f t="shared" si="265"/>
        <v/>
      </c>
      <c r="O1626" s="52" t="str">
        <f t="shared" si="266"/>
        <v/>
      </c>
      <c r="P1626" s="88">
        <f t="shared" si="267"/>
        <v>0</v>
      </c>
      <c r="Q1626" s="88">
        <f t="shared" si="268"/>
        <v>0</v>
      </c>
      <c r="R1626" s="88" t="e">
        <f>-IF(Tabla14[[#This Row],[DIAS HABILES O MORA]]&lt;0,(Tabla14[[#This Row],[VALOR PRESTAMO]]*Tabla14[[#This Row],[% INTERES ]]/30*U1626))+Tabla14[[#This Row],[VALOR CUOTAS]]</f>
        <v>#VALUE!</v>
      </c>
      <c r="S1626" s="88">
        <f>-IF(Tabla14[[#This Row],[DIAS HABILES O MORA]]&lt;0,(Tabla14[[#This Row],[VALOR PRESTAMO]]*Tabla14[[#This Row],[% INTERES ]]/30*U1626))</f>
        <v>0</v>
      </c>
      <c r="T1626" s="53" t="e">
        <f>Tabla14[[#This Row],[DEUDA CAPITAL]]+Tabla14[[#This Row],[INTERES  CUOTA]]</f>
        <v>#NUM!</v>
      </c>
      <c r="U1626" s="61" t="str">
        <f t="shared" si="269"/>
        <v/>
      </c>
    </row>
    <row r="1627" spans="9:21" ht="24.75" customHeight="1" x14ac:dyDescent="0.35">
      <c r="I1627" s="42">
        <f t="shared" si="260"/>
        <v>0</v>
      </c>
      <c r="J1627" s="65" t="e">
        <f t="shared" si="261"/>
        <v>#NUM!</v>
      </c>
      <c r="K1627" s="83" t="e">
        <f t="shared" si="262"/>
        <v>#NUM!</v>
      </c>
      <c r="L1627" s="83">
        <f t="shared" si="263"/>
        <v>0</v>
      </c>
      <c r="M1627" s="110" t="str">
        <f t="shared" si="264"/>
        <v/>
      </c>
      <c r="N1627" s="51" t="str">
        <f t="shared" si="265"/>
        <v/>
      </c>
      <c r="O1627" s="52" t="str">
        <f t="shared" si="266"/>
        <v/>
      </c>
      <c r="P1627" s="88">
        <f t="shared" si="267"/>
        <v>0</v>
      </c>
      <c r="Q1627" s="88">
        <f t="shared" si="268"/>
        <v>0</v>
      </c>
      <c r="R1627" s="88" t="e">
        <f>-IF(Tabla14[[#This Row],[DIAS HABILES O MORA]]&lt;0,(Tabla14[[#This Row],[VALOR PRESTAMO]]*Tabla14[[#This Row],[% INTERES ]]/30*U1627))+Tabla14[[#This Row],[VALOR CUOTAS]]</f>
        <v>#VALUE!</v>
      </c>
      <c r="S1627" s="88">
        <f>-IF(Tabla14[[#This Row],[DIAS HABILES O MORA]]&lt;0,(Tabla14[[#This Row],[VALOR PRESTAMO]]*Tabla14[[#This Row],[% INTERES ]]/30*U1627))</f>
        <v>0</v>
      </c>
      <c r="T1627" s="53" t="e">
        <f>Tabla14[[#This Row],[DEUDA CAPITAL]]+Tabla14[[#This Row],[INTERES  CUOTA]]</f>
        <v>#NUM!</v>
      </c>
      <c r="U1627" s="61" t="str">
        <f t="shared" si="269"/>
        <v/>
      </c>
    </row>
    <row r="1628" spans="9:21" ht="24.75" customHeight="1" x14ac:dyDescent="0.35">
      <c r="I1628" s="42">
        <f t="shared" si="260"/>
        <v>0</v>
      </c>
      <c r="J1628" s="65" t="e">
        <f t="shared" si="261"/>
        <v>#NUM!</v>
      </c>
      <c r="K1628" s="83" t="e">
        <f t="shared" si="262"/>
        <v>#NUM!</v>
      </c>
      <c r="L1628" s="83">
        <f t="shared" si="263"/>
        <v>0</v>
      </c>
      <c r="M1628" s="110" t="str">
        <f t="shared" si="264"/>
        <v/>
      </c>
      <c r="N1628" s="51" t="str">
        <f t="shared" si="265"/>
        <v/>
      </c>
      <c r="O1628" s="52" t="str">
        <f t="shared" si="266"/>
        <v/>
      </c>
      <c r="P1628" s="88">
        <f t="shared" si="267"/>
        <v>0</v>
      </c>
      <c r="Q1628" s="88">
        <f t="shared" si="268"/>
        <v>0</v>
      </c>
      <c r="R1628" s="88" t="e">
        <f>-IF(Tabla14[[#This Row],[DIAS HABILES O MORA]]&lt;0,(Tabla14[[#This Row],[VALOR PRESTAMO]]*Tabla14[[#This Row],[% INTERES ]]/30*U1628))+Tabla14[[#This Row],[VALOR CUOTAS]]</f>
        <v>#VALUE!</v>
      </c>
      <c r="S1628" s="88">
        <f>-IF(Tabla14[[#This Row],[DIAS HABILES O MORA]]&lt;0,(Tabla14[[#This Row],[VALOR PRESTAMO]]*Tabla14[[#This Row],[% INTERES ]]/30*U1628))</f>
        <v>0</v>
      </c>
      <c r="T1628" s="53" t="e">
        <f>Tabla14[[#This Row],[DEUDA CAPITAL]]+Tabla14[[#This Row],[INTERES  CUOTA]]</f>
        <v>#NUM!</v>
      </c>
      <c r="U1628" s="61" t="str">
        <f t="shared" si="269"/>
        <v/>
      </c>
    </row>
    <row r="1629" spans="9:21" ht="24.75" customHeight="1" x14ac:dyDescent="0.35">
      <c r="I1629" s="42">
        <f t="shared" si="260"/>
        <v>0</v>
      </c>
      <c r="J1629" s="65" t="e">
        <f t="shared" si="261"/>
        <v>#NUM!</v>
      </c>
      <c r="K1629" s="83" t="e">
        <f t="shared" si="262"/>
        <v>#NUM!</v>
      </c>
      <c r="L1629" s="83">
        <f t="shared" si="263"/>
        <v>0</v>
      </c>
      <c r="M1629" s="110" t="str">
        <f t="shared" si="264"/>
        <v/>
      </c>
      <c r="N1629" s="51" t="str">
        <f t="shared" si="265"/>
        <v/>
      </c>
      <c r="O1629" s="52" t="str">
        <f t="shared" si="266"/>
        <v/>
      </c>
      <c r="P1629" s="88">
        <f t="shared" si="267"/>
        <v>0</v>
      </c>
      <c r="Q1629" s="88">
        <f t="shared" si="268"/>
        <v>0</v>
      </c>
      <c r="R1629" s="88" t="e">
        <f>-IF(Tabla14[[#This Row],[DIAS HABILES O MORA]]&lt;0,(Tabla14[[#This Row],[VALOR PRESTAMO]]*Tabla14[[#This Row],[% INTERES ]]/30*U1629))+Tabla14[[#This Row],[VALOR CUOTAS]]</f>
        <v>#VALUE!</v>
      </c>
      <c r="S1629" s="88">
        <f>-IF(Tabla14[[#This Row],[DIAS HABILES O MORA]]&lt;0,(Tabla14[[#This Row],[VALOR PRESTAMO]]*Tabla14[[#This Row],[% INTERES ]]/30*U1629))</f>
        <v>0</v>
      </c>
      <c r="T1629" s="53" t="e">
        <f>Tabla14[[#This Row],[DEUDA CAPITAL]]+Tabla14[[#This Row],[INTERES  CUOTA]]</f>
        <v>#NUM!</v>
      </c>
      <c r="U1629" s="61" t="str">
        <f t="shared" si="269"/>
        <v/>
      </c>
    </row>
    <row r="1630" spans="9:21" ht="24.75" customHeight="1" x14ac:dyDescent="0.35">
      <c r="I1630" s="42">
        <f t="shared" si="260"/>
        <v>0</v>
      </c>
      <c r="J1630" s="65" t="e">
        <f t="shared" si="261"/>
        <v>#NUM!</v>
      </c>
      <c r="K1630" s="83" t="e">
        <f t="shared" si="262"/>
        <v>#NUM!</v>
      </c>
      <c r="L1630" s="83">
        <f t="shared" si="263"/>
        <v>0</v>
      </c>
      <c r="M1630" s="110" t="str">
        <f t="shared" si="264"/>
        <v/>
      </c>
      <c r="N1630" s="51" t="str">
        <f t="shared" si="265"/>
        <v/>
      </c>
      <c r="O1630" s="52" t="str">
        <f t="shared" si="266"/>
        <v/>
      </c>
      <c r="P1630" s="88">
        <f t="shared" si="267"/>
        <v>0</v>
      </c>
      <c r="Q1630" s="88">
        <f t="shared" si="268"/>
        <v>0</v>
      </c>
      <c r="R1630" s="88" t="e">
        <f>-IF(Tabla14[[#This Row],[DIAS HABILES O MORA]]&lt;0,(Tabla14[[#This Row],[VALOR PRESTAMO]]*Tabla14[[#This Row],[% INTERES ]]/30*U1630))+Tabla14[[#This Row],[VALOR CUOTAS]]</f>
        <v>#VALUE!</v>
      </c>
      <c r="S1630" s="88">
        <f>-IF(Tabla14[[#This Row],[DIAS HABILES O MORA]]&lt;0,(Tabla14[[#This Row],[VALOR PRESTAMO]]*Tabla14[[#This Row],[% INTERES ]]/30*U1630))</f>
        <v>0</v>
      </c>
      <c r="T1630" s="53" t="e">
        <f>Tabla14[[#This Row],[DEUDA CAPITAL]]+Tabla14[[#This Row],[INTERES  CUOTA]]</f>
        <v>#NUM!</v>
      </c>
      <c r="U1630" s="61" t="str">
        <f t="shared" si="269"/>
        <v/>
      </c>
    </row>
    <row r="1631" spans="9:21" ht="24.75" customHeight="1" x14ac:dyDescent="0.35">
      <c r="I1631" s="42">
        <f t="shared" si="260"/>
        <v>0</v>
      </c>
      <c r="J1631" s="65" t="e">
        <f t="shared" si="261"/>
        <v>#NUM!</v>
      </c>
      <c r="K1631" s="83" t="e">
        <f t="shared" si="262"/>
        <v>#NUM!</v>
      </c>
      <c r="L1631" s="83">
        <f t="shared" si="263"/>
        <v>0</v>
      </c>
      <c r="M1631" s="110" t="str">
        <f t="shared" si="264"/>
        <v/>
      </c>
      <c r="N1631" s="51" t="str">
        <f t="shared" si="265"/>
        <v/>
      </c>
      <c r="O1631" s="52" t="str">
        <f t="shared" si="266"/>
        <v/>
      </c>
      <c r="P1631" s="88">
        <f t="shared" si="267"/>
        <v>0</v>
      </c>
      <c r="Q1631" s="88">
        <f t="shared" si="268"/>
        <v>0</v>
      </c>
      <c r="R1631" s="88" t="e">
        <f>-IF(Tabla14[[#This Row],[DIAS HABILES O MORA]]&lt;0,(Tabla14[[#This Row],[VALOR PRESTAMO]]*Tabla14[[#This Row],[% INTERES ]]/30*U1631))+Tabla14[[#This Row],[VALOR CUOTAS]]</f>
        <v>#VALUE!</v>
      </c>
      <c r="S1631" s="88">
        <f>-IF(Tabla14[[#This Row],[DIAS HABILES O MORA]]&lt;0,(Tabla14[[#This Row],[VALOR PRESTAMO]]*Tabla14[[#This Row],[% INTERES ]]/30*U1631))</f>
        <v>0</v>
      </c>
      <c r="T1631" s="53" t="e">
        <f>Tabla14[[#This Row],[DEUDA CAPITAL]]+Tabla14[[#This Row],[INTERES  CUOTA]]</f>
        <v>#NUM!</v>
      </c>
      <c r="U1631" s="61" t="str">
        <f t="shared" si="269"/>
        <v/>
      </c>
    </row>
    <row r="1632" spans="9:21" ht="24.75" customHeight="1" x14ac:dyDescent="0.35">
      <c r="I1632" s="42">
        <f t="shared" si="260"/>
        <v>0</v>
      </c>
      <c r="J1632" s="65" t="e">
        <f t="shared" si="261"/>
        <v>#NUM!</v>
      </c>
      <c r="K1632" s="83" t="e">
        <f t="shared" si="262"/>
        <v>#NUM!</v>
      </c>
      <c r="L1632" s="83">
        <f t="shared" si="263"/>
        <v>0</v>
      </c>
      <c r="M1632" s="110" t="str">
        <f t="shared" si="264"/>
        <v/>
      </c>
      <c r="N1632" s="51" t="str">
        <f t="shared" si="265"/>
        <v/>
      </c>
      <c r="O1632" s="52" t="str">
        <f t="shared" si="266"/>
        <v/>
      </c>
      <c r="P1632" s="88">
        <f t="shared" si="267"/>
        <v>0</v>
      </c>
      <c r="Q1632" s="88">
        <f t="shared" si="268"/>
        <v>0</v>
      </c>
      <c r="R1632" s="88" t="e">
        <f>-IF(Tabla14[[#This Row],[DIAS HABILES O MORA]]&lt;0,(Tabla14[[#This Row],[VALOR PRESTAMO]]*Tabla14[[#This Row],[% INTERES ]]/30*U1632))+Tabla14[[#This Row],[VALOR CUOTAS]]</f>
        <v>#VALUE!</v>
      </c>
      <c r="S1632" s="88">
        <f>-IF(Tabla14[[#This Row],[DIAS HABILES O MORA]]&lt;0,(Tabla14[[#This Row],[VALOR PRESTAMO]]*Tabla14[[#This Row],[% INTERES ]]/30*U1632))</f>
        <v>0</v>
      </c>
      <c r="T1632" s="53" t="e">
        <f>Tabla14[[#This Row],[DEUDA CAPITAL]]+Tabla14[[#This Row],[INTERES  CUOTA]]</f>
        <v>#NUM!</v>
      </c>
      <c r="U1632" s="61" t="str">
        <f t="shared" si="269"/>
        <v/>
      </c>
    </row>
    <row r="1633" spans="9:21" ht="24.75" customHeight="1" x14ac:dyDescent="0.35">
      <c r="I1633" s="42">
        <f t="shared" si="260"/>
        <v>0</v>
      </c>
      <c r="J1633" s="65" t="e">
        <f t="shared" si="261"/>
        <v>#NUM!</v>
      </c>
      <c r="K1633" s="83" t="e">
        <f t="shared" si="262"/>
        <v>#NUM!</v>
      </c>
      <c r="L1633" s="83">
        <f t="shared" si="263"/>
        <v>0</v>
      </c>
      <c r="M1633" s="110" t="str">
        <f t="shared" si="264"/>
        <v/>
      </c>
      <c r="N1633" s="51" t="str">
        <f t="shared" si="265"/>
        <v/>
      </c>
      <c r="O1633" s="52" t="str">
        <f t="shared" si="266"/>
        <v/>
      </c>
      <c r="P1633" s="88">
        <f t="shared" si="267"/>
        <v>0</v>
      </c>
      <c r="Q1633" s="88">
        <f t="shared" si="268"/>
        <v>0</v>
      </c>
      <c r="R1633" s="88" t="e">
        <f>-IF(Tabla14[[#This Row],[DIAS HABILES O MORA]]&lt;0,(Tabla14[[#This Row],[VALOR PRESTAMO]]*Tabla14[[#This Row],[% INTERES ]]/30*U1633))+Tabla14[[#This Row],[VALOR CUOTAS]]</f>
        <v>#VALUE!</v>
      </c>
      <c r="S1633" s="88">
        <f>-IF(Tabla14[[#This Row],[DIAS HABILES O MORA]]&lt;0,(Tabla14[[#This Row],[VALOR PRESTAMO]]*Tabla14[[#This Row],[% INTERES ]]/30*U1633))</f>
        <v>0</v>
      </c>
      <c r="T1633" s="53" t="e">
        <f>Tabla14[[#This Row],[DEUDA CAPITAL]]+Tabla14[[#This Row],[INTERES  CUOTA]]</f>
        <v>#NUM!</v>
      </c>
      <c r="U1633" s="61" t="str">
        <f t="shared" si="269"/>
        <v/>
      </c>
    </row>
    <row r="1634" spans="9:21" ht="24.75" customHeight="1" x14ac:dyDescent="0.35">
      <c r="I1634" s="42">
        <f t="shared" si="260"/>
        <v>0</v>
      </c>
      <c r="J1634" s="65" t="e">
        <f t="shared" si="261"/>
        <v>#NUM!</v>
      </c>
      <c r="K1634" s="83" t="e">
        <f t="shared" si="262"/>
        <v>#NUM!</v>
      </c>
      <c r="L1634" s="83">
        <f t="shared" si="263"/>
        <v>0</v>
      </c>
      <c r="M1634" s="110" t="str">
        <f t="shared" si="264"/>
        <v/>
      </c>
      <c r="N1634" s="51" t="str">
        <f t="shared" si="265"/>
        <v/>
      </c>
      <c r="O1634" s="52" t="str">
        <f t="shared" si="266"/>
        <v/>
      </c>
      <c r="P1634" s="88">
        <f t="shared" si="267"/>
        <v>0</v>
      </c>
      <c r="Q1634" s="88">
        <f t="shared" si="268"/>
        <v>0</v>
      </c>
      <c r="R1634" s="88" t="e">
        <f>-IF(Tabla14[[#This Row],[DIAS HABILES O MORA]]&lt;0,(Tabla14[[#This Row],[VALOR PRESTAMO]]*Tabla14[[#This Row],[% INTERES ]]/30*U1634))+Tabla14[[#This Row],[VALOR CUOTAS]]</f>
        <v>#VALUE!</v>
      </c>
      <c r="S1634" s="88">
        <f>-IF(Tabla14[[#This Row],[DIAS HABILES O MORA]]&lt;0,(Tabla14[[#This Row],[VALOR PRESTAMO]]*Tabla14[[#This Row],[% INTERES ]]/30*U1634))</f>
        <v>0</v>
      </c>
      <c r="T1634" s="53" t="e">
        <f>Tabla14[[#This Row],[DEUDA CAPITAL]]+Tabla14[[#This Row],[INTERES  CUOTA]]</f>
        <v>#NUM!</v>
      </c>
      <c r="U1634" s="61" t="str">
        <f t="shared" si="269"/>
        <v/>
      </c>
    </row>
    <row r="1635" spans="9:21" ht="24.75" customHeight="1" x14ac:dyDescent="0.35">
      <c r="I1635" s="42">
        <f t="shared" si="260"/>
        <v>0</v>
      </c>
      <c r="J1635" s="65" t="e">
        <f t="shared" si="261"/>
        <v>#NUM!</v>
      </c>
      <c r="K1635" s="83" t="e">
        <f t="shared" si="262"/>
        <v>#NUM!</v>
      </c>
      <c r="L1635" s="83">
        <f t="shared" si="263"/>
        <v>0</v>
      </c>
      <c r="M1635" s="110" t="str">
        <f t="shared" si="264"/>
        <v/>
      </c>
      <c r="N1635" s="51" t="str">
        <f t="shared" si="265"/>
        <v/>
      </c>
      <c r="O1635" s="52" t="str">
        <f t="shared" si="266"/>
        <v/>
      </c>
      <c r="P1635" s="88">
        <f t="shared" si="267"/>
        <v>0</v>
      </c>
      <c r="Q1635" s="88">
        <f t="shared" si="268"/>
        <v>0</v>
      </c>
      <c r="R1635" s="88" t="e">
        <f>-IF(Tabla14[[#This Row],[DIAS HABILES O MORA]]&lt;0,(Tabla14[[#This Row],[VALOR PRESTAMO]]*Tabla14[[#This Row],[% INTERES ]]/30*U1635))+Tabla14[[#This Row],[VALOR CUOTAS]]</f>
        <v>#VALUE!</v>
      </c>
      <c r="S1635" s="88">
        <f>-IF(Tabla14[[#This Row],[DIAS HABILES O MORA]]&lt;0,(Tabla14[[#This Row],[VALOR PRESTAMO]]*Tabla14[[#This Row],[% INTERES ]]/30*U1635))</f>
        <v>0</v>
      </c>
      <c r="T1635" s="53" t="e">
        <f>Tabla14[[#This Row],[DEUDA CAPITAL]]+Tabla14[[#This Row],[INTERES  CUOTA]]</f>
        <v>#NUM!</v>
      </c>
      <c r="U1635" s="61" t="str">
        <f t="shared" si="269"/>
        <v/>
      </c>
    </row>
    <row r="1636" spans="9:21" ht="24.75" customHeight="1" x14ac:dyDescent="0.35">
      <c r="I1636" s="42">
        <f t="shared" si="260"/>
        <v>0</v>
      </c>
      <c r="J1636" s="65" t="e">
        <f t="shared" si="261"/>
        <v>#NUM!</v>
      </c>
      <c r="K1636" s="83" t="e">
        <f t="shared" si="262"/>
        <v>#NUM!</v>
      </c>
      <c r="L1636" s="83">
        <f t="shared" si="263"/>
        <v>0</v>
      </c>
      <c r="M1636" s="110" t="str">
        <f t="shared" si="264"/>
        <v/>
      </c>
      <c r="N1636" s="51" t="str">
        <f t="shared" si="265"/>
        <v/>
      </c>
      <c r="O1636" s="52" t="str">
        <f t="shared" si="266"/>
        <v/>
      </c>
      <c r="P1636" s="88">
        <f t="shared" si="267"/>
        <v>0</v>
      </c>
      <c r="Q1636" s="88">
        <f t="shared" si="268"/>
        <v>0</v>
      </c>
      <c r="R1636" s="88" t="e">
        <f>-IF(Tabla14[[#This Row],[DIAS HABILES O MORA]]&lt;0,(Tabla14[[#This Row],[VALOR PRESTAMO]]*Tabla14[[#This Row],[% INTERES ]]/30*U1636))+Tabla14[[#This Row],[VALOR CUOTAS]]</f>
        <v>#VALUE!</v>
      </c>
      <c r="S1636" s="88">
        <f>-IF(Tabla14[[#This Row],[DIAS HABILES O MORA]]&lt;0,(Tabla14[[#This Row],[VALOR PRESTAMO]]*Tabla14[[#This Row],[% INTERES ]]/30*U1636))</f>
        <v>0</v>
      </c>
      <c r="T1636" s="53" t="e">
        <f>Tabla14[[#This Row],[DEUDA CAPITAL]]+Tabla14[[#This Row],[INTERES  CUOTA]]</f>
        <v>#NUM!</v>
      </c>
      <c r="U1636" s="61" t="str">
        <f t="shared" si="269"/>
        <v/>
      </c>
    </row>
    <row r="1637" spans="9:21" ht="24.75" customHeight="1" x14ac:dyDescent="0.35">
      <c r="I1637" s="42">
        <f t="shared" si="260"/>
        <v>0</v>
      </c>
      <c r="J1637" s="65" t="e">
        <f t="shared" si="261"/>
        <v>#NUM!</v>
      </c>
      <c r="K1637" s="83" t="e">
        <f t="shared" si="262"/>
        <v>#NUM!</v>
      </c>
      <c r="L1637" s="83">
        <f t="shared" si="263"/>
        <v>0</v>
      </c>
      <c r="M1637" s="110" t="str">
        <f t="shared" si="264"/>
        <v/>
      </c>
      <c r="N1637" s="51" t="str">
        <f t="shared" si="265"/>
        <v/>
      </c>
      <c r="O1637" s="52" t="str">
        <f t="shared" si="266"/>
        <v/>
      </c>
      <c r="P1637" s="88">
        <f t="shared" si="267"/>
        <v>0</v>
      </c>
      <c r="Q1637" s="88">
        <f t="shared" si="268"/>
        <v>0</v>
      </c>
      <c r="R1637" s="88" t="e">
        <f>-IF(Tabla14[[#This Row],[DIAS HABILES O MORA]]&lt;0,(Tabla14[[#This Row],[VALOR PRESTAMO]]*Tabla14[[#This Row],[% INTERES ]]/30*U1637))+Tabla14[[#This Row],[VALOR CUOTAS]]</f>
        <v>#VALUE!</v>
      </c>
      <c r="S1637" s="88">
        <f>-IF(Tabla14[[#This Row],[DIAS HABILES O MORA]]&lt;0,(Tabla14[[#This Row],[VALOR PRESTAMO]]*Tabla14[[#This Row],[% INTERES ]]/30*U1637))</f>
        <v>0</v>
      </c>
      <c r="T1637" s="53" t="e">
        <f>Tabla14[[#This Row],[DEUDA CAPITAL]]+Tabla14[[#This Row],[INTERES  CUOTA]]</f>
        <v>#NUM!</v>
      </c>
      <c r="U1637" s="61" t="str">
        <f t="shared" si="269"/>
        <v/>
      </c>
    </row>
    <row r="1638" spans="9:21" ht="24.75" customHeight="1" x14ac:dyDescent="0.35">
      <c r="I1638" s="42">
        <f t="shared" si="260"/>
        <v>0</v>
      </c>
      <c r="J1638" s="65" t="e">
        <f t="shared" si="261"/>
        <v>#NUM!</v>
      </c>
      <c r="K1638" s="83" t="e">
        <f t="shared" si="262"/>
        <v>#NUM!</v>
      </c>
      <c r="L1638" s="83">
        <f t="shared" si="263"/>
        <v>0</v>
      </c>
      <c r="M1638" s="110" t="str">
        <f t="shared" si="264"/>
        <v/>
      </c>
      <c r="N1638" s="51" t="str">
        <f t="shared" si="265"/>
        <v/>
      </c>
      <c r="O1638" s="52" t="str">
        <f t="shared" si="266"/>
        <v/>
      </c>
      <c r="P1638" s="88">
        <f t="shared" si="267"/>
        <v>0</v>
      </c>
      <c r="Q1638" s="88">
        <f t="shared" si="268"/>
        <v>0</v>
      </c>
      <c r="R1638" s="88" t="e">
        <f>-IF(Tabla14[[#This Row],[DIAS HABILES O MORA]]&lt;0,(Tabla14[[#This Row],[VALOR PRESTAMO]]*Tabla14[[#This Row],[% INTERES ]]/30*U1638))+Tabla14[[#This Row],[VALOR CUOTAS]]</f>
        <v>#VALUE!</v>
      </c>
      <c r="S1638" s="88">
        <f>-IF(Tabla14[[#This Row],[DIAS HABILES O MORA]]&lt;0,(Tabla14[[#This Row],[VALOR PRESTAMO]]*Tabla14[[#This Row],[% INTERES ]]/30*U1638))</f>
        <v>0</v>
      </c>
      <c r="T1638" s="53" t="e">
        <f>Tabla14[[#This Row],[DEUDA CAPITAL]]+Tabla14[[#This Row],[INTERES  CUOTA]]</f>
        <v>#NUM!</v>
      </c>
      <c r="U1638" s="61" t="str">
        <f t="shared" si="269"/>
        <v/>
      </c>
    </row>
    <row r="1639" spans="9:21" ht="24.75" customHeight="1" x14ac:dyDescent="0.35">
      <c r="I1639" s="42">
        <f t="shared" si="260"/>
        <v>0</v>
      </c>
      <c r="J1639" s="65" t="e">
        <f t="shared" si="261"/>
        <v>#NUM!</v>
      </c>
      <c r="K1639" s="83" t="e">
        <f t="shared" si="262"/>
        <v>#NUM!</v>
      </c>
      <c r="L1639" s="83">
        <f t="shared" si="263"/>
        <v>0</v>
      </c>
      <c r="M1639" s="110" t="str">
        <f t="shared" si="264"/>
        <v/>
      </c>
      <c r="N1639" s="51" t="str">
        <f t="shared" si="265"/>
        <v/>
      </c>
      <c r="O1639" s="52" t="str">
        <f t="shared" si="266"/>
        <v/>
      </c>
      <c r="P1639" s="88">
        <f t="shared" si="267"/>
        <v>0</v>
      </c>
      <c r="Q1639" s="88">
        <f t="shared" si="268"/>
        <v>0</v>
      </c>
      <c r="R1639" s="88" t="e">
        <f>-IF(Tabla14[[#This Row],[DIAS HABILES O MORA]]&lt;0,(Tabla14[[#This Row],[VALOR PRESTAMO]]*Tabla14[[#This Row],[% INTERES ]]/30*U1639))+Tabla14[[#This Row],[VALOR CUOTAS]]</f>
        <v>#VALUE!</v>
      </c>
      <c r="S1639" s="88">
        <f>-IF(Tabla14[[#This Row],[DIAS HABILES O MORA]]&lt;0,(Tabla14[[#This Row],[VALOR PRESTAMO]]*Tabla14[[#This Row],[% INTERES ]]/30*U1639))</f>
        <v>0</v>
      </c>
      <c r="T1639" s="53" t="e">
        <f>Tabla14[[#This Row],[DEUDA CAPITAL]]+Tabla14[[#This Row],[INTERES  CUOTA]]</f>
        <v>#NUM!</v>
      </c>
      <c r="U1639" s="61" t="str">
        <f t="shared" si="269"/>
        <v/>
      </c>
    </row>
    <row r="1640" spans="9:21" ht="24.75" customHeight="1" x14ac:dyDescent="0.35">
      <c r="I1640" s="42">
        <f t="shared" si="260"/>
        <v>0</v>
      </c>
      <c r="J1640" s="65" t="e">
        <f t="shared" si="261"/>
        <v>#NUM!</v>
      </c>
      <c r="K1640" s="83" t="e">
        <f t="shared" si="262"/>
        <v>#NUM!</v>
      </c>
      <c r="L1640" s="83">
        <f t="shared" si="263"/>
        <v>0</v>
      </c>
      <c r="M1640" s="110" t="str">
        <f t="shared" si="264"/>
        <v/>
      </c>
      <c r="N1640" s="51" t="str">
        <f t="shared" si="265"/>
        <v/>
      </c>
      <c r="O1640" s="52" t="str">
        <f t="shared" si="266"/>
        <v/>
      </c>
      <c r="P1640" s="88">
        <f t="shared" si="267"/>
        <v>0</v>
      </c>
      <c r="Q1640" s="88">
        <f t="shared" si="268"/>
        <v>0</v>
      </c>
      <c r="R1640" s="88" t="e">
        <f>-IF(Tabla14[[#This Row],[DIAS HABILES O MORA]]&lt;0,(Tabla14[[#This Row],[VALOR PRESTAMO]]*Tabla14[[#This Row],[% INTERES ]]/30*U1640))+Tabla14[[#This Row],[VALOR CUOTAS]]</f>
        <v>#VALUE!</v>
      </c>
      <c r="S1640" s="88">
        <f>-IF(Tabla14[[#This Row],[DIAS HABILES O MORA]]&lt;0,(Tabla14[[#This Row],[VALOR PRESTAMO]]*Tabla14[[#This Row],[% INTERES ]]/30*U1640))</f>
        <v>0</v>
      </c>
      <c r="T1640" s="53" t="e">
        <f>Tabla14[[#This Row],[DEUDA CAPITAL]]+Tabla14[[#This Row],[INTERES  CUOTA]]</f>
        <v>#NUM!</v>
      </c>
      <c r="U1640" s="61" t="str">
        <f t="shared" si="269"/>
        <v/>
      </c>
    </row>
    <row r="1641" spans="9:21" ht="24.75" customHeight="1" x14ac:dyDescent="0.35">
      <c r="I1641" s="42">
        <f t="shared" si="260"/>
        <v>0</v>
      </c>
      <c r="J1641" s="65" t="e">
        <f t="shared" si="261"/>
        <v>#NUM!</v>
      </c>
      <c r="K1641" s="83" t="e">
        <f t="shared" si="262"/>
        <v>#NUM!</v>
      </c>
      <c r="L1641" s="83">
        <f t="shared" si="263"/>
        <v>0</v>
      </c>
      <c r="M1641" s="110" t="str">
        <f t="shared" si="264"/>
        <v/>
      </c>
      <c r="N1641" s="51" t="str">
        <f t="shared" si="265"/>
        <v/>
      </c>
      <c r="O1641" s="52" t="str">
        <f t="shared" si="266"/>
        <v/>
      </c>
      <c r="P1641" s="88">
        <f t="shared" si="267"/>
        <v>0</v>
      </c>
      <c r="Q1641" s="88">
        <f t="shared" si="268"/>
        <v>0</v>
      </c>
      <c r="R1641" s="88" t="e">
        <f>-IF(Tabla14[[#This Row],[DIAS HABILES O MORA]]&lt;0,(Tabla14[[#This Row],[VALOR PRESTAMO]]*Tabla14[[#This Row],[% INTERES ]]/30*U1641))+Tabla14[[#This Row],[VALOR CUOTAS]]</f>
        <v>#VALUE!</v>
      </c>
      <c r="S1641" s="88">
        <f>-IF(Tabla14[[#This Row],[DIAS HABILES O MORA]]&lt;0,(Tabla14[[#This Row],[VALOR PRESTAMO]]*Tabla14[[#This Row],[% INTERES ]]/30*U1641))</f>
        <v>0</v>
      </c>
      <c r="T1641" s="53" t="e">
        <f>Tabla14[[#This Row],[DEUDA CAPITAL]]+Tabla14[[#This Row],[INTERES  CUOTA]]</f>
        <v>#NUM!</v>
      </c>
      <c r="U1641" s="61" t="str">
        <f t="shared" si="269"/>
        <v/>
      </c>
    </row>
    <row r="1642" spans="9:21" ht="24.75" customHeight="1" x14ac:dyDescent="0.35">
      <c r="I1642" s="42">
        <f t="shared" si="260"/>
        <v>0</v>
      </c>
      <c r="J1642" s="65" t="e">
        <f t="shared" si="261"/>
        <v>#NUM!</v>
      </c>
      <c r="K1642" s="83" t="e">
        <f t="shared" si="262"/>
        <v>#NUM!</v>
      </c>
      <c r="L1642" s="83">
        <f t="shared" si="263"/>
        <v>0</v>
      </c>
      <c r="M1642" s="110" t="str">
        <f t="shared" si="264"/>
        <v/>
      </c>
      <c r="N1642" s="51" t="str">
        <f t="shared" si="265"/>
        <v/>
      </c>
      <c r="O1642" s="52" t="str">
        <f t="shared" si="266"/>
        <v/>
      </c>
      <c r="P1642" s="88">
        <f t="shared" si="267"/>
        <v>0</v>
      </c>
      <c r="Q1642" s="88">
        <f t="shared" si="268"/>
        <v>0</v>
      </c>
      <c r="R1642" s="88" t="e">
        <f>-IF(Tabla14[[#This Row],[DIAS HABILES O MORA]]&lt;0,(Tabla14[[#This Row],[VALOR PRESTAMO]]*Tabla14[[#This Row],[% INTERES ]]/30*U1642))+Tabla14[[#This Row],[VALOR CUOTAS]]</f>
        <v>#VALUE!</v>
      </c>
      <c r="S1642" s="88">
        <f>-IF(Tabla14[[#This Row],[DIAS HABILES O MORA]]&lt;0,(Tabla14[[#This Row],[VALOR PRESTAMO]]*Tabla14[[#This Row],[% INTERES ]]/30*U1642))</f>
        <v>0</v>
      </c>
      <c r="T1642" s="53" t="e">
        <f>Tabla14[[#This Row],[DEUDA CAPITAL]]+Tabla14[[#This Row],[INTERES  CUOTA]]</f>
        <v>#NUM!</v>
      </c>
      <c r="U1642" s="61" t="str">
        <f t="shared" si="269"/>
        <v/>
      </c>
    </row>
    <row r="1643" spans="9:21" ht="24.75" customHeight="1" x14ac:dyDescent="0.35">
      <c r="I1643" s="42">
        <f t="shared" si="260"/>
        <v>0</v>
      </c>
      <c r="J1643" s="65" t="e">
        <f t="shared" si="261"/>
        <v>#NUM!</v>
      </c>
      <c r="K1643" s="83" t="e">
        <f t="shared" si="262"/>
        <v>#NUM!</v>
      </c>
      <c r="L1643" s="83">
        <f t="shared" si="263"/>
        <v>0</v>
      </c>
      <c r="M1643" s="110" t="str">
        <f t="shared" si="264"/>
        <v/>
      </c>
      <c r="N1643" s="51" t="str">
        <f t="shared" si="265"/>
        <v/>
      </c>
      <c r="O1643" s="52" t="str">
        <f t="shared" si="266"/>
        <v/>
      </c>
      <c r="P1643" s="88">
        <f t="shared" si="267"/>
        <v>0</v>
      </c>
      <c r="Q1643" s="88">
        <f t="shared" si="268"/>
        <v>0</v>
      </c>
      <c r="R1643" s="88" t="e">
        <f>-IF(Tabla14[[#This Row],[DIAS HABILES O MORA]]&lt;0,(Tabla14[[#This Row],[VALOR PRESTAMO]]*Tabla14[[#This Row],[% INTERES ]]/30*U1643))+Tabla14[[#This Row],[VALOR CUOTAS]]</f>
        <v>#VALUE!</v>
      </c>
      <c r="S1643" s="88">
        <f>-IF(Tabla14[[#This Row],[DIAS HABILES O MORA]]&lt;0,(Tabla14[[#This Row],[VALOR PRESTAMO]]*Tabla14[[#This Row],[% INTERES ]]/30*U1643))</f>
        <v>0</v>
      </c>
      <c r="T1643" s="53" t="e">
        <f>Tabla14[[#This Row],[DEUDA CAPITAL]]+Tabla14[[#This Row],[INTERES  CUOTA]]</f>
        <v>#NUM!</v>
      </c>
      <c r="U1643" s="61" t="str">
        <f t="shared" si="269"/>
        <v/>
      </c>
    </row>
    <row r="1644" spans="9:21" ht="24.75" customHeight="1" x14ac:dyDescent="0.35">
      <c r="I1644" s="42">
        <f t="shared" si="260"/>
        <v>0</v>
      </c>
      <c r="J1644" s="65" t="e">
        <f t="shared" si="261"/>
        <v>#NUM!</v>
      </c>
      <c r="K1644" s="83" t="e">
        <f t="shared" si="262"/>
        <v>#NUM!</v>
      </c>
      <c r="L1644" s="83">
        <f t="shared" si="263"/>
        <v>0</v>
      </c>
      <c r="M1644" s="110" t="str">
        <f t="shared" si="264"/>
        <v/>
      </c>
      <c r="N1644" s="51" t="str">
        <f t="shared" si="265"/>
        <v/>
      </c>
      <c r="O1644" s="52" t="str">
        <f t="shared" si="266"/>
        <v/>
      </c>
      <c r="P1644" s="88">
        <f t="shared" si="267"/>
        <v>0</v>
      </c>
      <c r="Q1644" s="88">
        <f t="shared" si="268"/>
        <v>0</v>
      </c>
      <c r="R1644" s="88" t="e">
        <f>-IF(Tabla14[[#This Row],[DIAS HABILES O MORA]]&lt;0,(Tabla14[[#This Row],[VALOR PRESTAMO]]*Tabla14[[#This Row],[% INTERES ]]/30*U1644))+Tabla14[[#This Row],[VALOR CUOTAS]]</f>
        <v>#VALUE!</v>
      </c>
      <c r="S1644" s="88">
        <f>-IF(Tabla14[[#This Row],[DIAS HABILES O MORA]]&lt;0,(Tabla14[[#This Row],[VALOR PRESTAMO]]*Tabla14[[#This Row],[% INTERES ]]/30*U1644))</f>
        <v>0</v>
      </c>
      <c r="T1644" s="53" t="e">
        <f>Tabla14[[#This Row],[DEUDA CAPITAL]]+Tabla14[[#This Row],[INTERES  CUOTA]]</f>
        <v>#NUM!</v>
      </c>
      <c r="U1644" s="61" t="str">
        <f t="shared" si="269"/>
        <v/>
      </c>
    </row>
    <row r="1645" spans="9:21" ht="24.75" customHeight="1" x14ac:dyDescent="0.35">
      <c r="I1645" s="42">
        <f t="shared" si="260"/>
        <v>0</v>
      </c>
      <c r="J1645" s="65" t="e">
        <f t="shared" si="261"/>
        <v>#NUM!</v>
      </c>
      <c r="K1645" s="83" t="e">
        <f t="shared" si="262"/>
        <v>#NUM!</v>
      </c>
      <c r="L1645" s="83">
        <f t="shared" si="263"/>
        <v>0</v>
      </c>
      <c r="M1645" s="110" t="str">
        <f t="shared" si="264"/>
        <v/>
      </c>
      <c r="N1645" s="51" t="str">
        <f t="shared" si="265"/>
        <v/>
      </c>
      <c r="O1645" s="52" t="str">
        <f t="shared" si="266"/>
        <v/>
      </c>
      <c r="P1645" s="88">
        <f t="shared" si="267"/>
        <v>0</v>
      </c>
      <c r="Q1645" s="88">
        <f t="shared" si="268"/>
        <v>0</v>
      </c>
      <c r="R1645" s="88" t="e">
        <f>-IF(Tabla14[[#This Row],[DIAS HABILES O MORA]]&lt;0,(Tabla14[[#This Row],[VALOR PRESTAMO]]*Tabla14[[#This Row],[% INTERES ]]/30*U1645))+Tabla14[[#This Row],[VALOR CUOTAS]]</f>
        <v>#VALUE!</v>
      </c>
      <c r="S1645" s="88">
        <f>-IF(Tabla14[[#This Row],[DIAS HABILES O MORA]]&lt;0,(Tabla14[[#This Row],[VALOR PRESTAMO]]*Tabla14[[#This Row],[% INTERES ]]/30*U1645))</f>
        <v>0</v>
      </c>
      <c r="T1645" s="53" t="e">
        <f>Tabla14[[#This Row],[DEUDA CAPITAL]]+Tabla14[[#This Row],[INTERES  CUOTA]]</f>
        <v>#NUM!</v>
      </c>
      <c r="U1645" s="61" t="str">
        <f t="shared" si="269"/>
        <v/>
      </c>
    </row>
    <row r="1646" spans="9:21" ht="24.75" customHeight="1" x14ac:dyDescent="0.35">
      <c r="I1646" s="42">
        <f t="shared" si="260"/>
        <v>0</v>
      </c>
      <c r="J1646" s="65" t="e">
        <f t="shared" si="261"/>
        <v>#NUM!</v>
      </c>
      <c r="K1646" s="83" t="e">
        <f t="shared" si="262"/>
        <v>#NUM!</v>
      </c>
      <c r="L1646" s="83">
        <f t="shared" si="263"/>
        <v>0</v>
      </c>
      <c r="M1646" s="110" t="str">
        <f t="shared" si="264"/>
        <v/>
      </c>
      <c r="N1646" s="51" t="str">
        <f t="shared" si="265"/>
        <v/>
      </c>
      <c r="O1646" s="52" t="str">
        <f t="shared" si="266"/>
        <v/>
      </c>
      <c r="P1646" s="88">
        <f t="shared" si="267"/>
        <v>0</v>
      </c>
      <c r="Q1646" s="88">
        <f t="shared" si="268"/>
        <v>0</v>
      </c>
      <c r="R1646" s="88" t="e">
        <f>-IF(Tabla14[[#This Row],[DIAS HABILES O MORA]]&lt;0,(Tabla14[[#This Row],[VALOR PRESTAMO]]*Tabla14[[#This Row],[% INTERES ]]/30*U1646))+Tabla14[[#This Row],[VALOR CUOTAS]]</f>
        <v>#VALUE!</v>
      </c>
      <c r="S1646" s="88">
        <f>-IF(Tabla14[[#This Row],[DIAS HABILES O MORA]]&lt;0,(Tabla14[[#This Row],[VALOR PRESTAMO]]*Tabla14[[#This Row],[% INTERES ]]/30*U1646))</f>
        <v>0</v>
      </c>
      <c r="T1646" s="53" t="e">
        <f>Tabla14[[#This Row],[DEUDA CAPITAL]]+Tabla14[[#This Row],[INTERES  CUOTA]]</f>
        <v>#NUM!</v>
      </c>
      <c r="U1646" s="61" t="str">
        <f t="shared" si="269"/>
        <v/>
      </c>
    </row>
    <row r="1647" spans="9:21" ht="24.75" customHeight="1" x14ac:dyDescent="0.35">
      <c r="I1647" s="42">
        <f t="shared" si="260"/>
        <v>0</v>
      </c>
      <c r="J1647" s="65" t="e">
        <f t="shared" si="261"/>
        <v>#NUM!</v>
      </c>
      <c r="K1647" s="83" t="e">
        <f t="shared" si="262"/>
        <v>#NUM!</v>
      </c>
      <c r="L1647" s="83">
        <f t="shared" si="263"/>
        <v>0</v>
      </c>
      <c r="M1647" s="110" t="str">
        <f t="shared" si="264"/>
        <v/>
      </c>
      <c r="N1647" s="51" t="str">
        <f t="shared" si="265"/>
        <v/>
      </c>
      <c r="O1647" s="52" t="str">
        <f t="shared" si="266"/>
        <v/>
      </c>
      <c r="P1647" s="88">
        <f t="shared" si="267"/>
        <v>0</v>
      </c>
      <c r="Q1647" s="88">
        <f t="shared" si="268"/>
        <v>0</v>
      </c>
      <c r="R1647" s="88" t="e">
        <f>-IF(Tabla14[[#This Row],[DIAS HABILES O MORA]]&lt;0,(Tabla14[[#This Row],[VALOR PRESTAMO]]*Tabla14[[#This Row],[% INTERES ]]/30*U1647))+Tabla14[[#This Row],[VALOR CUOTAS]]</f>
        <v>#VALUE!</v>
      </c>
      <c r="S1647" s="88">
        <f>-IF(Tabla14[[#This Row],[DIAS HABILES O MORA]]&lt;0,(Tabla14[[#This Row],[VALOR PRESTAMO]]*Tabla14[[#This Row],[% INTERES ]]/30*U1647))</f>
        <v>0</v>
      </c>
      <c r="T1647" s="53" t="e">
        <f>Tabla14[[#This Row],[DEUDA CAPITAL]]+Tabla14[[#This Row],[INTERES  CUOTA]]</f>
        <v>#NUM!</v>
      </c>
      <c r="U1647" s="61" t="str">
        <f t="shared" si="269"/>
        <v/>
      </c>
    </row>
    <row r="1648" spans="9:21" ht="24.75" customHeight="1" x14ac:dyDescent="0.35">
      <c r="I1648" s="42">
        <f t="shared" si="260"/>
        <v>0</v>
      </c>
      <c r="J1648" s="65" t="e">
        <f t="shared" si="261"/>
        <v>#NUM!</v>
      </c>
      <c r="K1648" s="83" t="e">
        <f t="shared" si="262"/>
        <v>#NUM!</v>
      </c>
      <c r="L1648" s="83">
        <f t="shared" si="263"/>
        <v>0</v>
      </c>
      <c r="M1648" s="110" t="str">
        <f t="shared" si="264"/>
        <v/>
      </c>
      <c r="N1648" s="51" t="str">
        <f t="shared" si="265"/>
        <v/>
      </c>
      <c r="O1648" s="52" t="str">
        <f t="shared" si="266"/>
        <v/>
      </c>
      <c r="P1648" s="88">
        <f t="shared" si="267"/>
        <v>0</v>
      </c>
      <c r="Q1648" s="88">
        <f t="shared" si="268"/>
        <v>0</v>
      </c>
      <c r="R1648" s="88" t="e">
        <f>-IF(Tabla14[[#This Row],[DIAS HABILES O MORA]]&lt;0,(Tabla14[[#This Row],[VALOR PRESTAMO]]*Tabla14[[#This Row],[% INTERES ]]/30*U1648))+Tabla14[[#This Row],[VALOR CUOTAS]]</f>
        <v>#VALUE!</v>
      </c>
      <c r="S1648" s="88">
        <f>-IF(Tabla14[[#This Row],[DIAS HABILES O MORA]]&lt;0,(Tabla14[[#This Row],[VALOR PRESTAMO]]*Tabla14[[#This Row],[% INTERES ]]/30*U1648))</f>
        <v>0</v>
      </c>
      <c r="T1648" s="53" t="e">
        <f>Tabla14[[#This Row],[DEUDA CAPITAL]]+Tabla14[[#This Row],[INTERES  CUOTA]]</f>
        <v>#NUM!</v>
      </c>
      <c r="U1648" s="61" t="str">
        <f t="shared" si="269"/>
        <v/>
      </c>
    </row>
    <row r="1649" spans="9:21" ht="24.75" customHeight="1" x14ac:dyDescent="0.35">
      <c r="I1649" s="42">
        <f t="shared" si="260"/>
        <v>0</v>
      </c>
      <c r="J1649" s="65" t="e">
        <f t="shared" si="261"/>
        <v>#NUM!</v>
      </c>
      <c r="K1649" s="83" t="e">
        <f t="shared" si="262"/>
        <v>#NUM!</v>
      </c>
      <c r="L1649" s="83">
        <f t="shared" si="263"/>
        <v>0</v>
      </c>
      <c r="M1649" s="110" t="str">
        <f t="shared" si="264"/>
        <v/>
      </c>
      <c r="N1649" s="51" t="str">
        <f t="shared" si="265"/>
        <v/>
      </c>
      <c r="O1649" s="52" t="str">
        <f t="shared" si="266"/>
        <v/>
      </c>
      <c r="P1649" s="88">
        <f t="shared" si="267"/>
        <v>0</v>
      </c>
      <c r="Q1649" s="88">
        <f t="shared" si="268"/>
        <v>0</v>
      </c>
      <c r="R1649" s="88" t="e">
        <f>-IF(Tabla14[[#This Row],[DIAS HABILES O MORA]]&lt;0,(Tabla14[[#This Row],[VALOR PRESTAMO]]*Tabla14[[#This Row],[% INTERES ]]/30*U1649))+Tabla14[[#This Row],[VALOR CUOTAS]]</f>
        <v>#VALUE!</v>
      </c>
      <c r="S1649" s="88">
        <f>-IF(Tabla14[[#This Row],[DIAS HABILES O MORA]]&lt;0,(Tabla14[[#This Row],[VALOR PRESTAMO]]*Tabla14[[#This Row],[% INTERES ]]/30*U1649))</f>
        <v>0</v>
      </c>
      <c r="T1649" s="53" t="e">
        <f>Tabla14[[#This Row],[DEUDA CAPITAL]]+Tabla14[[#This Row],[INTERES  CUOTA]]</f>
        <v>#NUM!</v>
      </c>
      <c r="U1649" s="61" t="str">
        <f t="shared" si="269"/>
        <v/>
      </c>
    </row>
    <row r="1650" spans="9:21" ht="24.75" customHeight="1" x14ac:dyDescent="0.35">
      <c r="I1650" s="42">
        <f t="shared" si="260"/>
        <v>0</v>
      </c>
      <c r="J1650" s="65" t="e">
        <f t="shared" si="261"/>
        <v>#NUM!</v>
      </c>
      <c r="K1650" s="83" t="e">
        <f t="shared" si="262"/>
        <v>#NUM!</v>
      </c>
      <c r="L1650" s="83">
        <f t="shared" si="263"/>
        <v>0</v>
      </c>
      <c r="M1650" s="110" t="str">
        <f t="shared" si="264"/>
        <v/>
      </c>
      <c r="N1650" s="51" t="str">
        <f t="shared" si="265"/>
        <v/>
      </c>
      <c r="O1650" s="52" t="str">
        <f t="shared" si="266"/>
        <v/>
      </c>
      <c r="P1650" s="88">
        <f t="shared" si="267"/>
        <v>0</v>
      </c>
      <c r="Q1650" s="88">
        <f t="shared" si="268"/>
        <v>0</v>
      </c>
      <c r="R1650" s="88" t="e">
        <f>-IF(Tabla14[[#This Row],[DIAS HABILES O MORA]]&lt;0,(Tabla14[[#This Row],[VALOR PRESTAMO]]*Tabla14[[#This Row],[% INTERES ]]/30*U1650))+Tabla14[[#This Row],[VALOR CUOTAS]]</f>
        <v>#VALUE!</v>
      </c>
      <c r="S1650" s="88">
        <f>-IF(Tabla14[[#This Row],[DIAS HABILES O MORA]]&lt;0,(Tabla14[[#This Row],[VALOR PRESTAMO]]*Tabla14[[#This Row],[% INTERES ]]/30*U1650))</f>
        <v>0</v>
      </c>
      <c r="T1650" s="53" t="e">
        <f>Tabla14[[#This Row],[DEUDA CAPITAL]]+Tabla14[[#This Row],[INTERES  CUOTA]]</f>
        <v>#NUM!</v>
      </c>
      <c r="U1650" s="61" t="str">
        <f t="shared" si="269"/>
        <v/>
      </c>
    </row>
    <row r="1651" spans="9:21" ht="24.75" customHeight="1" x14ac:dyDescent="0.35">
      <c r="I1651" s="42">
        <f t="shared" si="260"/>
        <v>0</v>
      </c>
      <c r="J1651" s="65" t="e">
        <f t="shared" si="261"/>
        <v>#NUM!</v>
      </c>
      <c r="K1651" s="83" t="e">
        <f t="shared" si="262"/>
        <v>#NUM!</v>
      </c>
      <c r="L1651" s="83">
        <f t="shared" si="263"/>
        <v>0</v>
      </c>
      <c r="M1651" s="110" t="str">
        <f t="shared" si="264"/>
        <v/>
      </c>
      <c r="N1651" s="51" t="str">
        <f t="shared" si="265"/>
        <v/>
      </c>
      <c r="O1651" s="52" t="str">
        <f t="shared" si="266"/>
        <v/>
      </c>
      <c r="P1651" s="88">
        <f t="shared" si="267"/>
        <v>0</v>
      </c>
      <c r="Q1651" s="88">
        <f t="shared" si="268"/>
        <v>0</v>
      </c>
      <c r="R1651" s="88" t="e">
        <f>-IF(Tabla14[[#This Row],[DIAS HABILES O MORA]]&lt;0,(Tabla14[[#This Row],[VALOR PRESTAMO]]*Tabla14[[#This Row],[% INTERES ]]/30*U1651))+Tabla14[[#This Row],[VALOR CUOTAS]]</f>
        <v>#VALUE!</v>
      </c>
      <c r="S1651" s="88">
        <f>-IF(Tabla14[[#This Row],[DIAS HABILES O MORA]]&lt;0,(Tabla14[[#This Row],[VALOR PRESTAMO]]*Tabla14[[#This Row],[% INTERES ]]/30*U1651))</f>
        <v>0</v>
      </c>
      <c r="T1651" s="53" t="e">
        <f>Tabla14[[#This Row],[DEUDA CAPITAL]]+Tabla14[[#This Row],[INTERES  CUOTA]]</f>
        <v>#NUM!</v>
      </c>
      <c r="U1651" s="61" t="str">
        <f t="shared" si="269"/>
        <v/>
      </c>
    </row>
    <row r="1652" spans="9:21" ht="24.75" customHeight="1" x14ac:dyDescent="0.35">
      <c r="I1652" s="42">
        <f t="shared" si="260"/>
        <v>0</v>
      </c>
      <c r="J1652" s="65" t="e">
        <f t="shared" si="261"/>
        <v>#NUM!</v>
      </c>
      <c r="K1652" s="83" t="e">
        <f t="shared" si="262"/>
        <v>#NUM!</v>
      </c>
      <c r="L1652" s="83">
        <f t="shared" si="263"/>
        <v>0</v>
      </c>
      <c r="M1652" s="110" t="str">
        <f t="shared" si="264"/>
        <v/>
      </c>
      <c r="N1652" s="51" t="str">
        <f t="shared" si="265"/>
        <v/>
      </c>
      <c r="O1652" s="52" t="str">
        <f t="shared" si="266"/>
        <v/>
      </c>
      <c r="P1652" s="88">
        <f t="shared" si="267"/>
        <v>0</v>
      </c>
      <c r="Q1652" s="88">
        <f t="shared" si="268"/>
        <v>0</v>
      </c>
      <c r="R1652" s="88" t="e">
        <f>-IF(Tabla14[[#This Row],[DIAS HABILES O MORA]]&lt;0,(Tabla14[[#This Row],[VALOR PRESTAMO]]*Tabla14[[#This Row],[% INTERES ]]/30*U1652))+Tabla14[[#This Row],[VALOR CUOTAS]]</f>
        <v>#VALUE!</v>
      </c>
      <c r="S1652" s="88">
        <f>-IF(Tabla14[[#This Row],[DIAS HABILES O MORA]]&lt;0,(Tabla14[[#This Row],[VALOR PRESTAMO]]*Tabla14[[#This Row],[% INTERES ]]/30*U1652))</f>
        <v>0</v>
      </c>
      <c r="T1652" s="53" t="e">
        <f>Tabla14[[#This Row],[DEUDA CAPITAL]]+Tabla14[[#This Row],[INTERES  CUOTA]]</f>
        <v>#NUM!</v>
      </c>
      <c r="U1652" s="61" t="str">
        <f t="shared" si="269"/>
        <v/>
      </c>
    </row>
    <row r="1653" spans="9:21" ht="24.75" customHeight="1" x14ac:dyDescent="0.35">
      <c r="I1653" s="42">
        <f t="shared" si="260"/>
        <v>0</v>
      </c>
      <c r="J1653" s="65" t="e">
        <f t="shared" si="261"/>
        <v>#NUM!</v>
      </c>
      <c r="K1653" s="83" t="e">
        <f t="shared" si="262"/>
        <v>#NUM!</v>
      </c>
      <c r="L1653" s="83">
        <f t="shared" si="263"/>
        <v>0</v>
      </c>
      <c r="M1653" s="110" t="str">
        <f t="shared" si="264"/>
        <v/>
      </c>
      <c r="N1653" s="51" t="str">
        <f t="shared" si="265"/>
        <v/>
      </c>
      <c r="O1653" s="52" t="str">
        <f t="shared" si="266"/>
        <v/>
      </c>
      <c r="P1653" s="88">
        <f t="shared" si="267"/>
        <v>0</v>
      </c>
      <c r="Q1653" s="88">
        <f t="shared" si="268"/>
        <v>0</v>
      </c>
      <c r="R1653" s="88" t="e">
        <f>-IF(Tabla14[[#This Row],[DIAS HABILES O MORA]]&lt;0,(Tabla14[[#This Row],[VALOR PRESTAMO]]*Tabla14[[#This Row],[% INTERES ]]/30*U1653))+Tabla14[[#This Row],[VALOR CUOTAS]]</f>
        <v>#VALUE!</v>
      </c>
      <c r="S1653" s="88">
        <f>-IF(Tabla14[[#This Row],[DIAS HABILES O MORA]]&lt;0,(Tabla14[[#This Row],[VALOR PRESTAMO]]*Tabla14[[#This Row],[% INTERES ]]/30*U1653))</f>
        <v>0</v>
      </c>
      <c r="T1653" s="53" t="e">
        <f>Tabla14[[#This Row],[DEUDA CAPITAL]]+Tabla14[[#This Row],[INTERES  CUOTA]]</f>
        <v>#NUM!</v>
      </c>
      <c r="U1653" s="61" t="str">
        <f t="shared" si="269"/>
        <v/>
      </c>
    </row>
    <row r="1654" spans="9:21" ht="24.75" customHeight="1" x14ac:dyDescent="0.35">
      <c r="I1654" s="42">
        <f t="shared" si="260"/>
        <v>0</v>
      </c>
      <c r="J1654" s="65" t="e">
        <f t="shared" si="261"/>
        <v>#NUM!</v>
      </c>
      <c r="K1654" s="83" t="e">
        <f t="shared" si="262"/>
        <v>#NUM!</v>
      </c>
      <c r="L1654" s="83">
        <f t="shared" si="263"/>
        <v>0</v>
      </c>
      <c r="M1654" s="110" t="str">
        <f t="shared" si="264"/>
        <v/>
      </c>
      <c r="N1654" s="51" t="str">
        <f t="shared" si="265"/>
        <v/>
      </c>
      <c r="O1654" s="52" t="str">
        <f t="shared" si="266"/>
        <v/>
      </c>
      <c r="P1654" s="88">
        <f t="shared" si="267"/>
        <v>0</v>
      </c>
      <c r="Q1654" s="88">
        <f t="shared" si="268"/>
        <v>0</v>
      </c>
      <c r="R1654" s="88" t="e">
        <f>-IF(Tabla14[[#This Row],[DIAS HABILES O MORA]]&lt;0,(Tabla14[[#This Row],[VALOR PRESTAMO]]*Tabla14[[#This Row],[% INTERES ]]/30*U1654))+Tabla14[[#This Row],[VALOR CUOTAS]]</f>
        <v>#VALUE!</v>
      </c>
      <c r="S1654" s="88">
        <f>-IF(Tabla14[[#This Row],[DIAS HABILES O MORA]]&lt;0,(Tabla14[[#This Row],[VALOR PRESTAMO]]*Tabla14[[#This Row],[% INTERES ]]/30*U1654))</f>
        <v>0</v>
      </c>
      <c r="T1654" s="53" t="e">
        <f>Tabla14[[#This Row],[DEUDA CAPITAL]]+Tabla14[[#This Row],[INTERES  CUOTA]]</f>
        <v>#NUM!</v>
      </c>
      <c r="U1654" s="61" t="str">
        <f t="shared" si="269"/>
        <v/>
      </c>
    </row>
    <row r="1655" spans="9:21" ht="24.75" customHeight="1" x14ac:dyDescent="0.35">
      <c r="I1655" s="42">
        <f t="shared" si="260"/>
        <v>0</v>
      </c>
      <c r="J1655" s="65" t="e">
        <f t="shared" si="261"/>
        <v>#NUM!</v>
      </c>
      <c r="K1655" s="83" t="e">
        <f t="shared" si="262"/>
        <v>#NUM!</v>
      </c>
      <c r="L1655" s="83">
        <f t="shared" si="263"/>
        <v>0</v>
      </c>
      <c r="M1655" s="110" t="str">
        <f t="shared" si="264"/>
        <v/>
      </c>
      <c r="N1655" s="51" t="str">
        <f t="shared" si="265"/>
        <v/>
      </c>
      <c r="O1655" s="52" t="str">
        <f t="shared" si="266"/>
        <v/>
      </c>
      <c r="P1655" s="88">
        <f t="shared" si="267"/>
        <v>0</v>
      </c>
      <c r="Q1655" s="88">
        <f t="shared" si="268"/>
        <v>0</v>
      </c>
      <c r="R1655" s="88" t="e">
        <f>-IF(Tabla14[[#This Row],[DIAS HABILES O MORA]]&lt;0,(Tabla14[[#This Row],[VALOR PRESTAMO]]*Tabla14[[#This Row],[% INTERES ]]/30*U1655))+Tabla14[[#This Row],[VALOR CUOTAS]]</f>
        <v>#VALUE!</v>
      </c>
      <c r="S1655" s="88">
        <f>-IF(Tabla14[[#This Row],[DIAS HABILES O MORA]]&lt;0,(Tabla14[[#This Row],[VALOR PRESTAMO]]*Tabla14[[#This Row],[% INTERES ]]/30*U1655))</f>
        <v>0</v>
      </c>
      <c r="T1655" s="53" t="e">
        <f>Tabla14[[#This Row],[DEUDA CAPITAL]]+Tabla14[[#This Row],[INTERES  CUOTA]]</f>
        <v>#NUM!</v>
      </c>
      <c r="U1655" s="61" t="str">
        <f t="shared" si="269"/>
        <v/>
      </c>
    </row>
    <row r="1656" spans="9:21" ht="24.75" customHeight="1" x14ac:dyDescent="0.35">
      <c r="I1656" s="42">
        <f t="shared" si="260"/>
        <v>0</v>
      </c>
      <c r="J1656" s="65" t="e">
        <f t="shared" si="261"/>
        <v>#NUM!</v>
      </c>
      <c r="K1656" s="83" t="e">
        <f t="shared" si="262"/>
        <v>#NUM!</v>
      </c>
      <c r="L1656" s="83">
        <f t="shared" si="263"/>
        <v>0</v>
      </c>
      <c r="M1656" s="110" t="str">
        <f t="shared" si="264"/>
        <v/>
      </c>
      <c r="N1656" s="51" t="str">
        <f t="shared" si="265"/>
        <v/>
      </c>
      <c r="O1656" s="52" t="str">
        <f t="shared" si="266"/>
        <v/>
      </c>
      <c r="P1656" s="88">
        <f t="shared" si="267"/>
        <v>0</v>
      </c>
      <c r="Q1656" s="88">
        <f t="shared" si="268"/>
        <v>0</v>
      </c>
      <c r="R1656" s="88" t="e">
        <f>-IF(Tabla14[[#This Row],[DIAS HABILES O MORA]]&lt;0,(Tabla14[[#This Row],[VALOR PRESTAMO]]*Tabla14[[#This Row],[% INTERES ]]/30*U1656))+Tabla14[[#This Row],[VALOR CUOTAS]]</f>
        <v>#VALUE!</v>
      </c>
      <c r="S1656" s="88">
        <f>-IF(Tabla14[[#This Row],[DIAS HABILES O MORA]]&lt;0,(Tabla14[[#This Row],[VALOR PRESTAMO]]*Tabla14[[#This Row],[% INTERES ]]/30*U1656))</f>
        <v>0</v>
      </c>
      <c r="T1656" s="53" t="e">
        <f>Tabla14[[#This Row],[DEUDA CAPITAL]]+Tabla14[[#This Row],[INTERES  CUOTA]]</f>
        <v>#NUM!</v>
      </c>
      <c r="U1656" s="61" t="str">
        <f t="shared" si="269"/>
        <v/>
      </c>
    </row>
    <row r="1657" spans="9:21" ht="24.75" customHeight="1" x14ac:dyDescent="0.35">
      <c r="I1657" s="42">
        <f t="shared" si="260"/>
        <v>0</v>
      </c>
      <c r="J1657" s="65" t="e">
        <f t="shared" si="261"/>
        <v>#NUM!</v>
      </c>
      <c r="K1657" s="83" t="e">
        <f t="shared" si="262"/>
        <v>#NUM!</v>
      </c>
      <c r="L1657" s="83">
        <f t="shared" si="263"/>
        <v>0</v>
      </c>
      <c r="M1657" s="110" t="str">
        <f t="shared" si="264"/>
        <v/>
      </c>
      <c r="N1657" s="51" t="str">
        <f t="shared" si="265"/>
        <v/>
      </c>
      <c r="O1657" s="52" t="str">
        <f t="shared" si="266"/>
        <v/>
      </c>
      <c r="P1657" s="88">
        <f t="shared" si="267"/>
        <v>0</v>
      </c>
      <c r="Q1657" s="88">
        <f t="shared" si="268"/>
        <v>0</v>
      </c>
      <c r="R1657" s="88" t="e">
        <f>-IF(Tabla14[[#This Row],[DIAS HABILES O MORA]]&lt;0,(Tabla14[[#This Row],[VALOR PRESTAMO]]*Tabla14[[#This Row],[% INTERES ]]/30*U1657))+Tabla14[[#This Row],[VALOR CUOTAS]]</f>
        <v>#VALUE!</v>
      </c>
      <c r="S1657" s="88">
        <f>-IF(Tabla14[[#This Row],[DIAS HABILES O MORA]]&lt;0,(Tabla14[[#This Row],[VALOR PRESTAMO]]*Tabla14[[#This Row],[% INTERES ]]/30*U1657))</f>
        <v>0</v>
      </c>
      <c r="T1657" s="53" t="e">
        <f>Tabla14[[#This Row],[DEUDA CAPITAL]]+Tabla14[[#This Row],[INTERES  CUOTA]]</f>
        <v>#NUM!</v>
      </c>
      <c r="U1657" s="61" t="str">
        <f t="shared" si="269"/>
        <v/>
      </c>
    </row>
    <row r="1658" spans="9:21" ht="24.75" customHeight="1" x14ac:dyDescent="0.35">
      <c r="I1658" s="42">
        <f t="shared" si="260"/>
        <v>0</v>
      </c>
      <c r="J1658" s="65" t="e">
        <f t="shared" si="261"/>
        <v>#NUM!</v>
      </c>
      <c r="K1658" s="83" t="e">
        <f t="shared" si="262"/>
        <v>#NUM!</v>
      </c>
      <c r="L1658" s="83">
        <f t="shared" si="263"/>
        <v>0</v>
      </c>
      <c r="M1658" s="110" t="str">
        <f t="shared" si="264"/>
        <v/>
      </c>
      <c r="N1658" s="51" t="str">
        <f t="shared" si="265"/>
        <v/>
      </c>
      <c r="O1658" s="52" t="str">
        <f t="shared" si="266"/>
        <v/>
      </c>
      <c r="P1658" s="88">
        <f t="shared" si="267"/>
        <v>0</v>
      </c>
      <c r="Q1658" s="88">
        <f t="shared" si="268"/>
        <v>0</v>
      </c>
      <c r="R1658" s="88" t="e">
        <f>-IF(Tabla14[[#This Row],[DIAS HABILES O MORA]]&lt;0,(Tabla14[[#This Row],[VALOR PRESTAMO]]*Tabla14[[#This Row],[% INTERES ]]/30*U1658))+Tabla14[[#This Row],[VALOR CUOTAS]]</f>
        <v>#VALUE!</v>
      </c>
      <c r="S1658" s="88">
        <f>-IF(Tabla14[[#This Row],[DIAS HABILES O MORA]]&lt;0,(Tabla14[[#This Row],[VALOR PRESTAMO]]*Tabla14[[#This Row],[% INTERES ]]/30*U1658))</f>
        <v>0</v>
      </c>
      <c r="T1658" s="53" t="e">
        <f>Tabla14[[#This Row],[DEUDA CAPITAL]]+Tabla14[[#This Row],[INTERES  CUOTA]]</f>
        <v>#NUM!</v>
      </c>
      <c r="U1658" s="61" t="str">
        <f t="shared" si="269"/>
        <v/>
      </c>
    </row>
    <row r="1659" spans="9:21" ht="24.75" customHeight="1" x14ac:dyDescent="0.35">
      <c r="I1659" s="42">
        <f t="shared" si="260"/>
        <v>0</v>
      </c>
      <c r="J1659" s="65" t="e">
        <f t="shared" si="261"/>
        <v>#NUM!</v>
      </c>
      <c r="K1659" s="83" t="e">
        <f t="shared" si="262"/>
        <v>#NUM!</v>
      </c>
      <c r="L1659" s="83">
        <f t="shared" si="263"/>
        <v>0</v>
      </c>
      <c r="M1659" s="110" t="str">
        <f t="shared" si="264"/>
        <v/>
      </c>
      <c r="N1659" s="51" t="str">
        <f t="shared" si="265"/>
        <v/>
      </c>
      <c r="O1659" s="52" t="str">
        <f t="shared" si="266"/>
        <v/>
      </c>
      <c r="P1659" s="88">
        <f t="shared" si="267"/>
        <v>0</v>
      </c>
      <c r="Q1659" s="88">
        <f t="shared" si="268"/>
        <v>0</v>
      </c>
      <c r="R1659" s="88" t="e">
        <f>-IF(Tabla14[[#This Row],[DIAS HABILES O MORA]]&lt;0,(Tabla14[[#This Row],[VALOR PRESTAMO]]*Tabla14[[#This Row],[% INTERES ]]/30*U1659))+Tabla14[[#This Row],[VALOR CUOTAS]]</f>
        <v>#VALUE!</v>
      </c>
      <c r="S1659" s="88">
        <f>-IF(Tabla14[[#This Row],[DIAS HABILES O MORA]]&lt;0,(Tabla14[[#This Row],[VALOR PRESTAMO]]*Tabla14[[#This Row],[% INTERES ]]/30*U1659))</f>
        <v>0</v>
      </c>
      <c r="T1659" s="53" t="e">
        <f>Tabla14[[#This Row],[DEUDA CAPITAL]]+Tabla14[[#This Row],[INTERES  CUOTA]]</f>
        <v>#NUM!</v>
      </c>
      <c r="U1659" s="61" t="str">
        <f t="shared" si="269"/>
        <v/>
      </c>
    </row>
    <row r="1660" spans="9:21" ht="24.75" customHeight="1" x14ac:dyDescent="0.35">
      <c r="I1660" s="42">
        <f t="shared" si="260"/>
        <v>0</v>
      </c>
      <c r="J1660" s="65" t="e">
        <f t="shared" si="261"/>
        <v>#NUM!</v>
      </c>
      <c r="K1660" s="83" t="e">
        <f t="shared" si="262"/>
        <v>#NUM!</v>
      </c>
      <c r="L1660" s="83">
        <f t="shared" si="263"/>
        <v>0</v>
      </c>
      <c r="M1660" s="110" t="str">
        <f t="shared" si="264"/>
        <v/>
      </c>
      <c r="N1660" s="51" t="str">
        <f t="shared" si="265"/>
        <v/>
      </c>
      <c r="O1660" s="52" t="str">
        <f t="shared" si="266"/>
        <v/>
      </c>
      <c r="P1660" s="88">
        <f t="shared" si="267"/>
        <v>0</v>
      </c>
      <c r="Q1660" s="88">
        <f t="shared" si="268"/>
        <v>0</v>
      </c>
      <c r="R1660" s="88" t="e">
        <f>-IF(Tabla14[[#This Row],[DIAS HABILES O MORA]]&lt;0,(Tabla14[[#This Row],[VALOR PRESTAMO]]*Tabla14[[#This Row],[% INTERES ]]/30*U1660))+Tabla14[[#This Row],[VALOR CUOTAS]]</f>
        <v>#VALUE!</v>
      </c>
      <c r="S1660" s="88">
        <f>-IF(Tabla14[[#This Row],[DIAS HABILES O MORA]]&lt;0,(Tabla14[[#This Row],[VALOR PRESTAMO]]*Tabla14[[#This Row],[% INTERES ]]/30*U1660))</f>
        <v>0</v>
      </c>
      <c r="T1660" s="53" t="e">
        <f>Tabla14[[#This Row],[DEUDA CAPITAL]]+Tabla14[[#This Row],[INTERES  CUOTA]]</f>
        <v>#NUM!</v>
      </c>
      <c r="U1660" s="61" t="str">
        <f t="shared" si="269"/>
        <v/>
      </c>
    </row>
    <row r="1661" spans="9:21" ht="24.75" customHeight="1" x14ac:dyDescent="0.35">
      <c r="I1661" s="42">
        <f t="shared" si="260"/>
        <v>0</v>
      </c>
      <c r="J1661" s="65" t="e">
        <f t="shared" si="261"/>
        <v>#NUM!</v>
      </c>
      <c r="K1661" s="83" t="e">
        <f t="shared" si="262"/>
        <v>#NUM!</v>
      </c>
      <c r="L1661" s="83">
        <f t="shared" si="263"/>
        <v>0</v>
      </c>
      <c r="M1661" s="110" t="str">
        <f t="shared" si="264"/>
        <v/>
      </c>
      <c r="N1661" s="51" t="str">
        <f t="shared" si="265"/>
        <v/>
      </c>
      <c r="O1661" s="52" t="str">
        <f t="shared" si="266"/>
        <v/>
      </c>
      <c r="P1661" s="88">
        <f t="shared" si="267"/>
        <v>0</v>
      </c>
      <c r="Q1661" s="88">
        <f t="shared" si="268"/>
        <v>0</v>
      </c>
      <c r="R1661" s="88" t="e">
        <f>-IF(Tabla14[[#This Row],[DIAS HABILES O MORA]]&lt;0,(Tabla14[[#This Row],[VALOR PRESTAMO]]*Tabla14[[#This Row],[% INTERES ]]/30*U1661))+Tabla14[[#This Row],[VALOR CUOTAS]]</f>
        <v>#VALUE!</v>
      </c>
      <c r="S1661" s="88">
        <f>-IF(Tabla14[[#This Row],[DIAS HABILES O MORA]]&lt;0,(Tabla14[[#This Row],[VALOR PRESTAMO]]*Tabla14[[#This Row],[% INTERES ]]/30*U1661))</f>
        <v>0</v>
      </c>
      <c r="T1661" s="53" t="e">
        <f>Tabla14[[#This Row],[DEUDA CAPITAL]]+Tabla14[[#This Row],[INTERES  CUOTA]]</f>
        <v>#NUM!</v>
      </c>
      <c r="U1661" s="61" t="str">
        <f t="shared" si="269"/>
        <v/>
      </c>
    </row>
    <row r="1662" spans="9:21" ht="24.75" customHeight="1" x14ac:dyDescent="0.35">
      <c r="I1662" s="42">
        <f t="shared" si="260"/>
        <v>0</v>
      </c>
      <c r="J1662" s="65" t="e">
        <f t="shared" si="261"/>
        <v>#NUM!</v>
      </c>
      <c r="K1662" s="83" t="e">
        <f t="shared" si="262"/>
        <v>#NUM!</v>
      </c>
      <c r="L1662" s="83">
        <f t="shared" si="263"/>
        <v>0</v>
      </c>
      <c r="M1662" s="110" t="str">
        <f t="shared" si="264"/>
        <v/>
      </c>
      <c r="N1662" s="51" t="str">
        <f t="shared" si="265"/>
        <v/>
      </c>
      <c r="O1662" s="52" t="str">
        <f t="shared" si="266"/>
        <v/>
      </c>
      <c r="P1662" s="88">
        <f t="shared" si="267"/>
        <v>0</v>
      </c>
      <c r="Q1662" s="88">
        <f t="shared" si="268"/>
        <v>0</v>
      </c>
      <c r="R1662" s="88" t="e">
        <f>-IF(Tabla14[[#This Row],[DIAS HABILES O MORA]]&lt;0,(Tabla14[[#This Row],[VALOR PRESTAMO]]*Tabla14[[#This Row],[% INTERES ]]/30*U1662))+Tabla14[[#This Row],[VALOR CUOTAS]]</f>
        <v>#VALUE!</v>
      </c>
      <c r="S1662" s="88">
        <f>-IF(Tabla14[[#This Row],[DIAS HABILES O MORA]]&lt;0,(Tabla14[[#This Row],[VALOR PRESTAMO]]*Tabla14[[#This Row],[% INTERES ]]/30*U1662))</f>
        <v>0</v>
      </c>
      <c r="T1662" s="53" t="e">
        <f>Tabla14[[#This Row],[DEUDA CAPITAL]]+Tabla14[[#This Row],[INTERES  CUOTA]]</f>
        <v>#NUM!</v>
      </c>
      <c r="U1662" s="61" t="str">
        <f t="shared" si="269"/>
        <v/>
      </c>
    </row>
    <row r="1663" spans="9:21" ht="24.75" customHeight="1" x14ac:dyDescent="0.35">
      <c r="I1663" s="42">
        <f t="shared" si="260"/>
        <v>0</v>
      </c>
      <c r="J1663" s="65" t="e">
        <f t="shared" si="261"/>
        <v>#NUM!</v>
      </c>
      <c r="K1663" s="83" t="e">
        <f t="shared" si="262"/>
        <v>#NUM!</v>
      </c>
      <c r="L1663" s="83">
        <f t="shared" si="263"/>
        <v>0</v>
      </c>
      <c r="M1663" s="110" t="str">
        <f t="shared" si="264"/>
        <v/>
      </c>
      <c r="N1663" s="51" t="str">
        <f t="shared" si="265"/>
        <v/>
      </c>
      <c r="O1663" s="52" t="str">
        <f t="shared" si="266"/>
        <v/>
      </c>
      <c r="P1663" s="88">
        <f t="shared" si="267"/>
        <v>0</v>
      </c>
      <c r="Q1663" s="88">
        <f t="shared" si="268"/>
        <v>0</v>
      </c>
      <c r="R1663" s="88" t="e">
        <f>-IF(Tabla14[[#This Row],[DIAS HABILES O MORA]]&lt;0,(Tabla14[[#This Row],[VALOR PRESTAMO]]*Tabla14[[#This Row],[% INTERES ]]/30*U1663))+Tabla14[[#This Row],[VALOR CUOTAS]]</f>
        <v>#VALUE!</v>
      </c>
      <c r="S1663" s="88">
        <f>-IF(Tabla14[[#This Row],[DIAS HABILES O MORA]]&lt;0,(Tabla14[[#This Row],[VALOR PRESTAMO]]*Tabla14[[#This Row],[% INTERES ]]/30*U1663))</f>
        <v>0</v>
      </c>
      <c r="T1663" s="53" t="e">
        <f>Tabla14[[#This Row],[DEUDA CAPITAL]]+Tabla14[[#This Row],[INTERES  CUOTA]]</f>
        <v>#NUM!</v>
      </c>
      <c r="U1663" s="61" t="str">
        <f t="shared" si="269"/>
        <v/>
      </c>
    </row>
    <row r="1664" spans="9:21" ht="24.75" customHeight="1" x14ac:dyDescent="0.35">
      <c r="I1664" s="42">
        <f t="shared" si="260"/>
        <v>0</v>
      </c>
      <c r="J1664" s="65" t="e">
        <f t="shared" si="261"/>
        <v>#NUM!</v>
      </c>
      <c r="K1664" s="83" t="e">
        <f t="shared" si="262"/>
        <v>#NUM!</v>
      </c>
      <c r="L1664" s="83">
        <f t="shared" si="263"/>
        <v>0</v>
      </c>
      <c r="M1664" s="110" t="str">
        <f t="shared" si="264"/>
        <v/>
      </c>
      <c r="N1664" s="51" t="str">
        <f t="shared" si="265"/>
        <v/>
      </c>
      <c r="O1664" s="52" t="str">
        <f t="shared" si="266"/>
        <v/>
      </c>
      <c r="P1664" s="88">
        <f t="shared" si="267"/>
        <v>0</v>
      </c>
      <c r="Q1664" s="88">
        <f t="shared" si="268"/>
        <v>0</v>
      </c>
      <c r="R1664" s="88" t="e">
        <f>-IF(Tabla14[[#This Row],[DIAS HABILES O MORA]]&lt;0,(Tabla14[[#This Row],[VALOR PRESTAMO]]*Tabla14[[#This Row],[% INTERES ]]/30*U1664))+Tabla14[[#This Row],[VALOR CUOTAS]]</f>
        <v>#VALUE!</v>
      </c>
      <c r="S1664" s="88">
        <f>-IF(Tabla14[[#This Row],[DIAS HABILES O MORA]]&lt;0,(Tabla14[[#This Row],[VALOR PRESTAMO]]*Tabla14[[#This Row],[% INTERES ]]/30*U1664))</f>
        <v>0</v>
      </c>
      <c r="T1664" s="53" t="e">
        <f>Tabla14[[#This Row],[DEUDA CAPITAL]]+Tabla14[[#This Row],[INTERES  CUOTA]]</f>
        <v>#NUM!</v>
      </c>
      <c r="U1664" s="61" t="str">
        <f t="shared" si="269"/>
        <v/>
      </c>
    </row>
    <row r="1665" spans="9:21" ht="24.75" customHeight="1" x14ac:dyDescent="0.35">
      <c r="I1665" s="42">
        <f t="shared" si="260"/>
        <v>0</v>
      </c>
      <c r="J1665" s="65" t="e">
        <f t="shared" si="261"/>
        <v>#NUM!</v>
      </c>
      <c r="K1665" s="83" t="e">
        <f t="shared" si="262"/>
        <v>#NUM!</v>
      </c>
      <c r="L1665" s="83">
        <f t="shared" si="263"/>
        <v>0</v>
      </c>
      <c r="M1665" s="110" t="str">
        <f t="shared" si="264"/>
        <v/>
      </c>
      <c r="N1665" s="51" t="str">
        <f t="shared" si="265"/>
        <v/>
      </c>
      <c r="O1665" s="52" t="str">
        <f t="shared" si="266"/>
        <v/>
      </c>
      <c r="P1665" s="88">
        <f t="shared" si="267"/>
        <v>0</v>
      </c>
      <c r="Q1665" s="88">
        <f t="shared" si="268"/>
        <v>0</v>
      </c>
      <c r="R1665" s="88" t="e">
        <f>-IF(Tabla14[[#This Row],[DIAS HABILES O MORA]]&lt;0,(Tabla14[[#This Row],[VALOR PRESTAMO]]*Tabla14[[#This Row],[% INTERES ]]/30*U1665))+Tabla14[[#This Row],[VALOR CUOTAS]]</f>
        <v>#VALUE!</v>
      </c>
      <c r="S1665" s="88">
        <f>-IF(Tabla14[[#This Row],[DIAS HABILES O MORA]]&lt;0,(Tabla14[[#This Row],[VALOR PRESTAMO]]*Tabla14[[#This Row],[% INTERES ]]/30*U1665))</f>
        <v>0</v>
      </c>
      <c r="T1665" s="53" t="e">
        <f>Tabla14[[#This Row],[DEUDA CAPITAL]]+Tabla14[[#This Row],[INTERES  CUOTA]]</f>
        <v>#NUM!</v>
      </c>
      <c r="U1665" s="61" t="str">
        <f t="shared" si="269"/>
        <v/>
      </c>
    </row>
    <row r="1666" spans="9:21" ht="24.75" customHeight="1" x14ac:dyDescent="0.35">
      <c r="I1666" s="42">
        <f t="shared" si="260"/>
        <v>0</v>
      </c>
      <c r="J1666" s="65" t="e">
        <f t="shared" si="261"/>
        <v>#NUM!</v>
      </c>
      <c r="K1666" s="83" t="e">
        <f t="shared" si="262"/>
        <v>#NUM!</v>
      </c>
      <c r="L1666" s="83">
        <f t="shared" si="263"/>
        <v>0</v>
      </c>
      <c r="M1666" s="110" t="str">
        <f t="shared" si="264"/>
        <v/>
      </c>
      <c r="N1666" s="51" t="str">
        <f t="shared" si="265"/>
        <v/>
      </c>
      <c r="O1666" s="52" t="str">
        <f t="shared" si="266"/>
        <v/>
      </c>
      <c r="P1666" s="88">
        <f t="shared" si="267"/>
        <v>0</v>
      </c>
      <c r="Q1666" s="88">
        <f t="shared" si="268"/>
        <v>0</v>
      </c>
      <c r="R1666" s="88" t="e">
        <f>-IF(Tabla14[[#This Row],[DIAS HABILES O MORA]]&lt;0,(Tabla14[[#This Row],[VALOR PRESTAMO]]*Tabla14[[#This Row],[% INTERES ]]/30*U1666))+Tabla14[[#This Row],[VALOR CUOTAS]]</f>
        <v>#VALUE!</v>
      </c>
      <c r="S1666" s="88">
        <f>-IF(Tabla14[[#This Row],[DIAS HABILES O MORA]]&lt;0,(Tabla14[[#This Row],[VALOR PRESTAMO]]*Tabla14[[#This Row],[% INTERES ]]/30*U1666))</f>
        <v>0</v>
      </c>
      <c r="T1666" s="53" t="e">
        <f>Tabla14[[#This Row],[DEUDA CAPITAL]]+Tabla14[[#This Row],[INTERES  CUOTA]]</f>
        <v>#NUM!</v>
      </c>
      <c r="U1666" s="61" t="str">
        <f t="shared" si="269"/>
        <v/>
      </c>
    </row>
    <row r="1667" spans="9:21" ht="24.75" customHeight="1" x14ac:dyDescent="0.35">
      <c r="I1667" s="42">
        <f t="shared" si="260"/>
        <v>0</v>
      </c>
      <c r="J1667" s="65" t="e">
        <f t="shared" si="261"/>
        <v>#NUM!</v>
      </c>
      <c r="K1667" s="83" t="e">
        <f t="shared" si="262"/>
        <v>#NUM!</v>
      </c>
      <c r="L1667" s="83">
        <f t="shared" si="263"/>
        <v>0</v>
      </c>
      <c r="M1667" s="110" t="str">
        <f t="shared" si="264"/>
        <v/>
      </c>
      <c r="N1667" s="51" t="str">
        <f t="shared" si="265"/>
        <v/>
      </c>
      <c r="O1667" s="52" t="str">
        <f t="shared" si="266"/>
        <v/>
      </c>
      <c r="P1667" s="88">
        <f t="shared" si="267"/>
        <v>0</v>
      </c>
      <c r="Q1667" s="88">
        <f t="shared" si="268"/>
        <v>0</v>
      </c>
      <c r="R1667" s="88" t="e">
        <f>-IF(Tabla14[[#This Row],[DIAS HABILES O MORA]]&lt;0,(Tabla14[[#This Row],[VALOR PRESTAMO]]*Tabla14[[#This Row],[% INTERES ]]/30*U1667))+Tabla14[[#This Row],[VALOR CUOTAS]]</f>
        <v>#VALUE!</v>
      </c>
      <c r="S1667" s="88">
        <f>-IF(Tabla14[[#This Row],[DIAS HABILES O MORA]]&lt;0,(Tabla14[[#This Row],[VALOR PRESTAMO]]*Tabla14[[#This Row],[% INTERES ]]/30*U1667))</f>
        <v>0</v>
      </c>
      <c r="T1667" s="53" t="e">
        <f>Tabla14[[#This Row],[DEUDA CAPITAL]]+Tabla14[[#This Row],[INTERES  CUOTA]]</f>
        <v>#NUM!</v>
      </c>
      <c r="U1667" s="61" t="str">
        <f t="shared" si="269"/>
        <v/>
      </c>
    </row>
    <row r="1668" spans="9:21" ht="24.75" customHeight="1" x14ac:dyDescent="0.35">
      <c r="I1668" s="42">
        <f t="shared" si="260"/>
        <v>0</v>
      </c>
      <c r="J1668" s="65" t="e">
        <f t="shared" si="261"/>
        <v>#NUM!</v>
      </c>
      <c r="K1668" s="83" t="e">
        <f t="shared" si="262"/>
        <v>#NUM!</v>
      </c>
      <c r="L1668" s="83">
        <f t="shared" si="263"/>
        <v>0</v>
      </c>
      <c r="M1668" s="110" t="str">
        <f t="shared" si="264"/>
        <v/>
      </c>
      <c r="N1668" s="51" t="str">
        <f t="shared" si="265"/>
        <v/>
      </c>
      <c r="O1668" s="52" t="str">
        <f t="shared" si="266"/>
        <v/>
      </c>
      <c r="P1668" s="88">
        <f t="shared" si="267"/>
        <v>0</v>
      </c>
      <c r="Q1668" s="88">
        <f t="shared" si="268"/>
        <v>0</v>
      </c>
      <c r="R1668" s="88" t="e">
        <f>-IF(Tabla14[[#This Row],[DIAS HABILES O MORA]]&lt;0,(Tabla14[[#This Row],[VALOR PRESTAMO]]*Tabla14[[#This Row],[% INTERES ]]/30*U1668))+Tabla14[[#This Row],[VALOR CUOTAS]]</f>
        <v>#VALUE!</v>
      </c>
      <c r="S1668" s="88">
        <f>-IF(Tabla14[[#This Row],[DIAS HABILES O MORA]]&lt;0,(Tabla14[[#This Row],[VALOR PRESTAMO]]*Tabla14[[#This Row],[% INTERES ]]/30*U1668))</f>
        <v>0</v>
      </c>
      <c r="T1668" s="53" t="e">
        <f>Tabla14[[#This Row],[DEUDA CAPITAL]]+Tabla14[[#This Row],[INTERES  CUOTA]]</f>
        <v>#NUM!</v>
      </c>
      <c r="U1668" s="61" t="str">
        <f t="shared" si="269"/>
        <v/>
      </c>
    </row>
    <row r="1669" spans="9:21" ht="24.75" customHeight="1" x14ac:dyDescent="0.35">
      <c r="I1669" s="42">
        <f t="shared" si="260"/>
        <v>0</v>
      </c>
      <c r="J1669" s="65" t="e">
        <f t="shared" si="261"/>
        <v>#NUM!</v>
      </c>
      <c r="K1669" s="83" t="e">
        <f t="shared" si="262"/>
        <v>#NUM!</v>
      </c>
      <c r="L1669" s="83">
        <f t="shared" si="263"/>
        <v>0</v>
      </c>
      <c r="M1669" s="110" t="str">
        <f t="shared" si="264"/>
        <v/>
      </c>
      <c r="N1669" s="51" t="str">
        <f t="shared" si="265"/>
        <v/>
      </c>
      <c r="O1669" s="52" t="str">
        <f t="shared" si="266"/>
        <v/>
      </c>
      <c r="P1669" s="88">
        <f t="shared" si="267"/>
        <v>0</v>
      </c>
      <c r="Q1669" s="88">
        <f t="shared" si="268"/>
        <v>0</v>
      </c>
      <c r="R1669" s="88" t="e">
        <f>-IF(Tabla14[[#This Row],[DIAS HABILES O MORA]]&lt;0,(Tabla14[[#This Row],[VALOR PRESTAMO]]*Tabla14[[#This Row],[% INTERES ]]/30*U1669))+Tabla14[[#This Row],[VALOR CUOTAS]]</f>
        <v>#VALUE!</v>
      </c>
      <c r="S1669" s="88">
        <f>-IF(Tabla14[[#This Row],[DIAS HABILES O MORA]]&lt;0,(Tabla14[[#This Row],[VALOR PRESTAMO]]*Tabla14[[#This Row],[% INTERES ]]/30*U1669))</f>
        <v>0</v>
      </c>
      <c r="T1669" s="53" t="e">
        <f>Tabla14[[#This Row],[DEUDA CAPITAL]]+Tabla14[[#This Row],[INTERES  CUOTA]]</f>
        <v>#NUM!</v>
      </c>
      <c r="U1669" s="61" t="str">
        <f t="shared" si="269"/>
        <v/>
      </c>
    </row>
    <row r="1670" spans="9:21" ht="24.75" customHeight="1" x14ac:dyDescent="0.35">
      <c r="I1670" s="42">
        <f t="shared" si="260"/>
        <v>0</v>
      </c>
      <c r="J1670" s="65" t="e">
        <f t="shared" si="261"/>
        <v>#NUM!</v>
      </c>
      <c r="K1670" s="83" t="e">
        <f t="shared" si="262"/>
        <v>#NUM!</v>
      </c>
      <c r="L1670" s="83">
        <f t="shared" si="263"/>
        <v>0</v>
      </c>
      <c r="M1670" s="110" t="str">
        <f t="shared" si="264"/>
        <v/>
      </c>
      <c r="N1670" s="51" t="str">
        <f t="shared" si="265"/>
        <v/>
      </c>
      <c r="O1670" s="52" t="str">
        <f t="shared" si="266"/>
        <v/>
      </c>
      <c r="P1670" s="88">
        <f t="shared" si="267"/>
        <v>0</v>
      </c>
      <c r="Q1670" s="88">
        <f t="shared" si="268"/>
        <v>0</v>
      </c>
      <c r="R1670" s="88" t="e">
        <f>-IF(Tabla14[[#This Row],[DIAS HABILES O MORA]]&lt;0,(Tabla14[[#This Row],[VALOR PRESTAMO]]*Tabla14[[#This Row],[% INTERES ]]/30*U1670))+Tabla14[[#This Row],[VALOR CUOTAS]]</f>
        <v>#VALUE!</v>
      </c>
      <c r="S1670" s="88">
        <f>-IF(Tabla14[[#This Row],[DIAS HABILES O MORA]]&lt;0,(Tabla14[[#This Row],[VALOR PRESTAMO]]*Tabla14[[#This Row],[% INTERES ]]/30*U1670))</f>
        <v>0</v>
      </c>
      <c r="T1670" s="53" t="e">
        <f>Tabla14[[#This Row],[DEUDA CAPITAL]]+Tabla14[[#This Row],[INTERES  CUOTA]]</f>
        <v>#NUM!</v>
      </c>
      <c r="U1670" s="61" t="str">
        <f t="shared" si="269"/>
        <v/>
      </c>
    </row>
    <row r="1671" spans="9:21" ht="24.75" customHeight="1" x14ac:dyDescent="0.35">
      <c r="I1671" s="42">
        <f t="shared" si="260"/>
        <v>0</v>
      </c>
      <c r="J1671" s="65" t="e">
        <f t="shared" si="261"/>
        <v>#NUM!</v>
      </c>
      <c r="K1671" s="83" t="e">
        <f t="shared" si="262"/>
        <v>#NUM!</v>
      </c>
      <c r="L1671" s="83">
        <f t="shared" si="263"/>
        <v>0</v>
      </c>
      <c r="M1671" s="110" t="str">
        <f t="shared" si="264"/>
        <v/>
      </c>
      <c r="N1671" s="51" t="str">
        <f t="shared" si="265"/>
        <v/>
      </c>
      <c r="O1671" s="52" t="str">
        <f t="shared" si="266"/>
        <v/>
      </c>
      <c r="P1671" s="88">
        <f t="shared" si="267"/>
        <v>0</v>
      </c>
      <c r="Q1671" s="88">
        <f t="shared" si="268"/>
        <v>0</v>
      </c>
      <c r="R1671" s="88" t="e">
        <f>-IF(Tabla14[[#This Row],[DIAS HABILES O MORA]]&lt;0,(Tabla14[[#This Row],[VALOR PRESTAMO]]*Tabla14[[#This Row],[% INTERES ]]/30*U1671))+Tabla14[[#This Row],[VALOR CUOTAS]]</f>
        <v>#VALUE!</v>
      </c>
      <c r="S1671" s="88">
        <f>-IF(Tabla14[[#This Row],[DIAS HABILES O MORA]]&lt;0,(Tabla14[[#This Row],[VALOR PRESTAMO]]*Tabla14[[#This Row],[% INTERES ]]/30*U1671))</f>
        <v>0</v>
      </c>
      <c r="T1671" s="53" t="e">
        <f>Tabla14[[#This Row],[DEUDA CAPITAL]]+Tabla14[[#This Row],[INTERES  CUOTA]]</f>
        <v>#NUM!</v>
      </c>
      <c r="U1671" s="61" t="str">
        <f t="shared" si="269"/>
        <v/>
      </c>
    </row>
    <row r="1672" spans="9:21" ht="24.75" customHeight="1" x14ac:dyDescent="0.35">
      <c r="I1672" s="42">
        <f t="shared" si="260"/>
        <v>0</v>
      </c>
      <c r="J1672" s="65" t="e">
        <f t="shared" si="261"/>
        <v>#NUM!</v>
      </c>
      <c r="K1672" s="83" t="e">
        <f t="shared" si="262"/>
        <v>#NUM!</v>
      </c>
      <c r="L1672" s="83">
        <f t="shared" si="263"/>
        <v>0</v>
      </c>
      <c r="M1672" s="110" t="str">
        <f t="shared" si="264"/>
        <v/>
      </c>
      <c r="N1672" s="51" t="str">
        <f t="shared" si="265"/>
        <v/>
      </c>
      <c r="O1672" s="52" t="str">
        <f t="shared" si="266"/>
        <v/>
      </c>
      <c r="P1672" s="88">
        <f t="shared" si="267"/>
        <v>0</v>
      </c>
      <c r="Q1672" s="88">
        <f t="shared" si="268"/>
        <v>0</v>
      </c>
      <c r="R1672" s="88" t="e">
        <f>-IF(Tabla14[[#This Row],[DIAS HABILES O MORA]]&lt;0,(Tabla14[[#This Row],[VALOR PRESTAMO]]*Tabla14[[#This Row],[% INTERES ]]/30*U1672))+Tabla14[[#This Row],[VALOR CUOTAS]]</f>
        <v>#VALUE!</v>
      </c>
      <c r="S1672" s="88">
        <f>-IF(Tabla14[[#This Row],[DIAS HABILES O MORA]]&lt;0,(Tabla14[[#This Row],[VALOR PRESTAMO]]*Tabla14[[#This Row],[% INTERES ]]/30*U1672))</f>
        <v>0</v>
      </c>
      <c r="T1672" s="53" t="e">
        <f>Tabla14[[#This Row],[DEUDA CAPITAL]]+Tabla14[[#This Row],[INTERES  CUOTA]]</f>
        <v>#NUM!</v>
      </c>
      <c r="U1672" s="61" t="str">
        <f t="shared" si="269"/>
        <v/>
      </c>
    </row>
    <row r="1673" spans="9:21" ht="24.75" customHeight="1" x14ac:dyDescent="0.35">
      <c r="I1673" s="42">
        <f t="shared" si="260"/>
        <v>0</v>
      </c>
      <c r="J1673" s="65" t="e">
        <f t="shared" si="261"/>
        <v>#NUM!</v>
      </c>
      <c r="K1673" s="83" t="e">
        <f t="shared" si="262"/>
        <v>#NUM!</v>
      </c>
      <c r="L1673" s="83">
        <f t="shared" si="263"/>
        <v>0</v>
      </c>
      <c r="M1673" s="110" t="str">
        <f t="shared" si="264"/>
        <v/>
      </c>
      <c r="N1673" s="51" t="str">
        <f t="shared" si="265"/>
        <v/>
      </c>
      <c r="O1673" s="52" t="str">
        <f t="shared" si="266"/>
        <v/>
      </c>
      <c r="P1673" s="88">
        <f t="shared" si="267"/>
        <v>0</v>
      </c>
      <c r="Q1673" s="88">
        <f t="shared" si="268"/>
        <v>0</v>
      </c>
      <c r="R1673" s="88" t="e">
        <f>-IF(Tabla14[[#This Row],[DIAS HABILES O MORA]]&lt;0,(Tabla14[[#This Row],[VALOR PRESTAMO]]*Tabla14[[#This Row],[% INTERES ]]/30*U1673))+Tabla14[[#This Row],[VALOR CUOTAS]]</f>
        <v>#VALUE!</v>
      </c>
      <c r="S1673" s="88">
        <f>-IF(Tabla14[[#This Row],[DIAS HABILES O MORA]]&lt;0,(Tabla14[[#This Row],[VALOR PRESTAMO]]*Tabla14[[#This Row],[% INTERES ]]/30*U1673))</f>
        <v>0</v>
      </c>
      <c r="T1673" s="53" t="e">
        <f>Tabla14[[#This Row],[DEUDA CAPITAL]]+Tabla14[[#This Row],[INTERES  CUOTA]]</f>
        <v>#NUM!</v>
      </c>
      <c r="U1673" s="61" t="str">
        <f t="shared" si="269"/>
        <v/>
      </c>
    </row>
    <row r="1674" spans="9:21" ht="24.75" customHeight="1" x14ac:dyDescent="0.35">
      <c r="I1674" s="42">
        <f t="shared" si="260"/>
        <v>0</v>
      </c>
      <c r="J1674" s="65" t="e">
        <f t="shared" si="261"/>
        <v>#NUM!</v>
      </c>
      <c r="K1674" s="83" t="e">
        <f t="shared" si="262"/>
        <v>#NUM!</v>
      </c>
      <c r="L1674" s="83">
        <f t="shared" si="263"/>
        <v>0</v>
      </c>
      <c r="M1674" s="110" t="str">
        <f t="shared" si="264"/>
        <v/>
      </c>
      <c r="N1674" s="51" t="str">
        <f t="shared" si="265"/>
        <v/>
      </c>
      <c r="O1674" s="52" t="str">
        <f t="shared" si="266"/>
        <v/>
      </c>
      <c r="P1674" s="88">
        <f t="shared" si="267"/>
        <v>0</v>
      </c>
      <c r="Q1674" s="88">
        <f t="shared" si="268"/>
        <v>0</v>
      </c>
      <c r="R1674" s="88" t="e">
        <f>-IF(Tabla14[[#This Row],[DIAS HABILES O MORA]]&lt;0,(Tabla14[[#This Row],[VALOR PRESTAMO]]*Tabla14[[#This Row],[% INTERES ]]/30*U1674))+Tabla14[[#This Row],[VALOR CUOTAS]]</f>
        <v>#VALUE!</v>
      </c>
      <c r="S1674" s="88">
        <f>-IF(Tabla14[[#This Row],[DIAS HABILES O MORA]]&lt;0,(Tabla14[[#This Row],[VALOR PRESTAMO]]*Tabla14[[#This Row],[% INTERES ]]/30*U1674))</f>
        <v>0</v>
      </c>
      <c r="T1674" s="53" t="e">
        <f>Tabla14[[#This Row],[DEUDA CAPITAL]]+Tabla14[[#This Row],[INTERES  CUOTA]]</f>
        <v>#NUM!</v>
      </c>
      <c r="U1674" s="61" t="str">
        <f t="shared" si="269"/>
        <v/>
      </c>
    </row>
    <row r="1675" spans="9:21" ht="24.75" customHeight="1" x14ac:dyDescent="0.35">
      <c r="I1675" s="42">
        <f t="shared" si="260"/>
        <v>0</v>
      </c>
      <c r="J1675" s="65" t="e">
        <f t="shared" si="261"/>
        <v>#NUM!</v>
      </c>
      <c r="K1675" s="83" t="e">
        <f t="shared" si="262"/>
        <v>#NUM!</v>
      </c>
      <c r="L1675" s="83">
        <f t="shared" si="263"/>
        <v>0</v>
      </c>
      <c r="M1675" s="110" t="str">
        <f t="shared" si="264"/>
        <v/>
      </c>
      <c r="N1675" s="51" t="str">
        <f t="shared" si="265"/>
        <v/>
      </c>
      <c r="O1675" s="52" t="str">
        <f t="shared" si="266"/>
        <v/>
      </c>
      <c r="P1675" s="88">
        <f t="shared" si="267"/>
        <v>0</v>
      </c>
      <c r="Q1675" s="88">
        <f t="shared" si="268"/>
        <v>0</v>
      </c>
      <c r="R1675" s="88" t="e">
        <f>-IF(Tabla14[[#This Row],[DIAS HABILES O MORA]]&lt;0,(Tabla14[[#This Row],[VALOR PRESTAMO]]*Tabla14[[#This Row],[% INTERES ]]/30*U1675))+Tabla14[[#This Row],[VALOR CUOTAS]]</f>
        <v>#VALUE!</v>
      </c>
      <c r="S1675" s="88">
        <f>-IF(Tabla14[[#This Row],[DIAS HABILES O MORA]]&lt;0,(Tabla14[[#This Row],[VALOR PRESTAMO]]*Tabla14[[#This Row],[% INTERES ]]/30*U1675))</f>
        <v>0</v>
      </c>
      <c r="T1675" s="53" t="e">
        <f>Tabla14[[#This Row],[DEUDA CAPITAL]]+Tabla14[[#This Row],[INTERES  CUOTA]]</f>
        <v>#NUM!</v>
      </c>
      <c r="U1675" s="61" t="str">
        <f t="shared" si="269"/>
        <v/>
      </c>
    </row>
    <row r="1676" spans="9:21" ht="24.75" customHeight="1" x14ac:dyDescent="0.35">
      <c r="I1676" s="42">
        <f t="shared" si="260"/>
        <v>0</v>
      </c>
      <c r="J1676" s="65" t="e">
        <f t="shared" si="261"/>
        <v>#NUM!</v>
      </c>
      <c r="K1676" s="83" t="e">
        <f t="shared" si="262"/>
        <v>#NUM!</v>
      </c>
      <c r="L1676" s="83">
        <f t="shared" si="263"/>
        <v>0</v>
      </c>
      <c r="M1676" s="110" t="str">
        <f t="shared" si="264"/>
        <v/>
      </c>
      <c r="N1676" s="51" t="str">
        <f t="shared" si="265"/>
        <v/>
      </c>
      <c r="O1676" s="52" t="str">
        <f t="shared" si="266"/>
        <v/>
      </c>
      <c r="P1676" s="88">
        <f t="shared" si="267"/>
        <v>0</v>
      </c>
      <c r="Q1676" s="88">
        <f t="shared" si="268"/>
        <v>0</v>
      </c>
      <c r="R1676" s="88" t="e">
        <f>-IF(Tabla14[[#This Row],[DIAS HABILES O MORA]]&lt;0,(Tabla14[[#This Row],[VALOR PRESTAMO]]*Tabla14[[#This Row],[% INTERES ]]/30*U1676))+Tabla14[[#This Row],[VALOR CUOTAS]]</f>
        <v>#VALUE!</v>
      </c>
      <c r="S1676" s="88">
        <f>-IF(Tabla14[[#This Row],[DIAS HABILES O MORA]]&lt;0,(Tabla14[[#This Row],[VALOR PRESTAMO]]*Tabla14[[#This Row],[% INTERES ]]/30*U1676))</f>
        <v>0</v>
      </c>
      <c r="T1676" s="53" t="e">
        <f>Tabla14[[#This Row],[DEUDA CAPITAL]]+Tabla14[[#This Row],[INTERES  CUOTA]]</f>
        <v>#NUM!</v>
      </c>
      <c r="U1676" s="61" t="str">
        <f t="shared" si="269"/>
        <v/>
      </c>
    </row>
    <row r="1677" spans="9:21" ht="24.75" customHeight="1" x14ac:dyDescent="0.35">
      <c r="I1677" s="42">
        <f t="shared" si="260"/>
        <v>0</v>
      </c>
      <c r="J1677" s="65" t="e">
        <f t="shared" si="261"/>
        <v>#NUM!</v>
      </c>
      <c r="K1677" s="83" t="e">
        <f t="shared" si="262"/>
        <v>#NUM!</v>
      </c>
      <c r="L1677" s="83">
        <f t="shared" si="263"/>
        <v>0</v>
      </c>
      <c r="M1677" s="110" t="str">
        <f t="shared" si="264"/>
        <v/>
      </c>
      <c r="N1677" s="51" t="str">
        <f t="shared" si="265"/>
        <v/>
      </c>
      <c r="O1677" s="52" t="str">
        <f t="shared" si="266"/>
        <v/>
      </c>
      <c r="P1677" s="88">
        <f t="shared" si="267"/>
        <v>0</v>
      </c>
      <c r="Q1677" s="88">
        <f t="shared" si="268"/>
        <v>0</v>
      </c>
      <c r="R1677" s="88" t="e">
        <f>-IF(Tabla14[[#This Row],[DIAS HABILES O MORA]]&lt;0,(Tabla14[[#This Row],[VALOR PRESTAMO]]*Tabla14[[#This Row],[% INTERES ]]/30*U1677))+Tabla14[[#This Row],[VALOR CUOTAS]]</f>
        <v>#VALUE!</v>
      </c>
      <c r="S1677" s="88">
        <f>-IF(Tabla14[[#This Row],[DIAS HABILES O MORA]]&lt;0,(Tabla14[[#This Row],[VALOR PRESTAMO]]*Tabla14[[#This Row],[% INTERES ]]/30*U1677))</f>
        <v>0</v>
      </c>
      <c r="T1677" s="53" t="e">
        <f>Tabla14[[#This Row],[DEUDA CAPITAL]]+Tabla14[[#This Row],[INTERES  CUOTA]]</f>
        <v>#NUM!</v>
      </c>
      <c r="U1677" s="61" t="str">
        <f t="shared" si="269"/>
        <v/>
      </c>
    </row>
    <row r="1678" spans="9:21" ht="24.75" customHeight="1" x14ac:dyDescent="0.35">
      <c r="I1678" s="42">
        <f t="shared" si="260"/>
        <v>0</v>
      </c>
      <c r="J1678" s="65" t="e">
        <f t="shared" si="261"/>
        <v>#NUM!</v>
      </c>
      <c r="K1678" s="83" t="e">
        <f t="shared" si="262"/>
        <v>#NUM!</v>
      </c>
      <c r="L1678" s="83">
        <f t="shared" si="263"/>
        <v>0</v>
      </c>
      <c r="M1678" s="110" t="str">
        <f t="shared" si="264"/>
        <v/>
      </c>
      <c r="N1678" s="51" t="str">
        <f t="shared" si="265"/>
        <v/>
      </c>
      <c r="O1678" s="52" t="str">
        <f t="shared" si="266"/>
        <v/>
      </c>
      <c r="P1678" s="88">
        <f t="shared" si="267"/>
        <v>0</v>
      </c>
      <c r="Q1678" s="88">
        <f t="shared" si="268"/>
        <v>0</v>
      </c>
      <c r="R1678" s="88" t="e">
        <f>-IF(Tabla14[[#This Row],[DIAS HABILES O MORA]]&lt;0,(Tabla14[[#This Row],[VALOR PRESTAMO]]*Tabla14[[#This Row],[% INTERES ]]/30*U1678))+Tabla14[[#This Row],[VALOR CUOTAS]]</f>
        <v>#VALUE!</v>
      </c>
      <c r="S1678" s="88">
        <f>-IF(Tabla14[[#This Row],[DIAS HABILES O MORA]]&lt;0,(Tabla14[[#This Row],[VALOR PRESTAMO]]*Tabla14[[#This Row],[% INTERES ]]/30*U1678))</f>
        <v>0</v>
      </c>
      <c r="T1678" s="53" t="e">
        <f>Tabla14[[#This Row],[DEUDA CAPITAL]]+Tabla14[[#This Row],[INTERES  CUOTA]]</f>
        <v>#NUM!</v>
      </c>
      <c r="U1678" s="61" t="str">
        <f t="shared" si="269"/>
        <v/>
      </c>
    </row>
    <row r="1679" spans="9:21" ht="24.75" customHeight="1" x14ac:dyDescent="0.35">
      <c r="I1679" s="42">
        <f t="shared" si="260"/>
        <v>0</v>
      </c>
      <c r="J1679" s="65" t="e">
        <f t="shared" si="261"/>
        <v>#NUM!</v>
      </c>
      <c r="K1679" s="83" t="e">
        <f t="shared" si="262"/>
        <v>#NUM!</v>
      </c>
      <c r="L1679" s="83">
        <f t="shared" si="263"/>
        <v>0</v>
      </c>
      <c r="M1679" s="110" t="str">
        <f t="shared" si="264"/>
        <v/>
      </c>
      <c r="N1679" s="51" t="str">
        <f t="shared" si="265"/>
        <v/>
      </c>
      <c r="O1679" s="52" t="str">
        <f t="shared" si="266"/>
        <v/>
      </c>
      <c r="P1679" s="88">
        <f t="shared" si="267"/>
        <v>0</v>
      </c>
      <c r="Q1679" s="88">
        <f t="shared" si="268"/>
        <v>0</v>
      </c>
      <c r="R1679" s="88" t="e">
        <f>-IF(Tabla14[[#This Row],[DIAS HABILES O MORA]]&lt;0,(Tabla14[[#This Row],[VALOR PRESTAMO]]*Tabla14[[#This Row],[% INTERES ]]/30*U1679))+Tabla14[[#This Row],[VALOR CUOTAS]]</f>
        <v>#VALUE!</v>
      </c>
      <c r="S1679" s="88">
        <f>-IF(Tabla14[[#This Row],[DIAS HABILES O MORA]]&lt;0,(Tabla14[[#This Row],[VALOR PRESTAMO]]*Tabla14[[#This Row],[% INTERES ]]/30*U1679))</f>
        <v>0</v>
      </c>
      <c r="T1679" s="53" t="e">
        <f>Tabla14[[#This Row],[DEUDA CAPITAL]]+Tabla14[[#This Row],[INTERES  CUOTA]]</f>
        <v>#NUM!</v>
      </c>
      <c r="U1679" s="61" t="str">
        <f t="shared" si="269"/>
        <v/>
      </c>
    </row>
    <row r="1680" spans="9:21" ht="24.75" customHeight="1" x14ac:dyDescent="0.35">
      <c r="I1680" s="42">
        <f t="shared" ref="I1680:I1743" si="270">IF(C1680&lt;0,"",IF(Q1680=0,0,IF(G1680=0,H1680+1,IF(H1680&lt;G1680,H1680+1,IF(G1680=H1680,0)))))</f>
        <v>0</v>
      </c>
      <c r="J1680" s="65" t="e">
        <f t="shared" ref="J1680:J1743" si="271">IF(F1680="SOLO INTERES",Q1680*D1680,-IPMT(D1680,I1680,G1680,C1680))</f>
        <v>#NUM!</v>
      </c>
      <c r="K1680" s="83" t="e">
        <f t="shared" ref="K1680:K1743" si="272">IF(F1680="SOLO INTERES",0,-PPMT(D1680,I1680,G1680,C1680))</f>
        <v>#NUM!</v>
      </c>
      <c r="L1680" s="83">
        <f t="shared" ref="L1680:L1743" si="273">IF(F1680="SOLO INTERES",SUM(Y1680:AAE1680),IFERROR(-CUMIPMT(D1680,G1680,C1680,1,H1680,0),0)+SUM(Y1680:WY1680))</f>
        <v>0</v>
      </c>
      <c r="M1680" s="110" t="str">
        <f t="shared" ref="M1680:M1743" si="274">IFERROR(IF(F1680="SOLO INTERES",Q1680*D1680,-PMT(D1680,G1680,C1680,0)),"")</f>
        <v/>
      </c>
      <c r="N1680" s="51" t="str">
        <f t="shared" ref="N1680:N1743" si="275">IF(Q1680=0,"",IF(E1680="MENSUAL",EDATE(B1680,I1680),IF(E1680="QUINCENAL",B1680+(I1680*15),IF(E1680="SEMANAL",B1680+(I1680*7)))))</f>
        <v/>
      </c>
      <c r="O1680" s="52" t="str">
        <f t="shared" ref="O1680:O1743" si="276">IF(C1680=0,"",IF(Q1680&lt;1,"PAGADO",IF(N1680=$A$3,"COBRAR HOY",IF(N1680&lt;$A$3,"EN MORA",IF(N1680&gt;$A$3,"AL DIA")))))</f>
        <v/>
      </c>
      <c r="P1680" s="88">
        <f t="shared" ref="P1680:P1743" si="277">IFERROR(-CUMPRINC(D1680,G1680,C1680,1,H1680,0),0)+W1680</f>
        <v>0</v>
      </c>
      <c r="Q1680" s="88">
        <f t="shared" ref="Q1680:Q1743" si="278">IFERROR(C1680-P1680,"")</f>
        <v>0</v>
      </c>
      <c r="R1680" s="88" t="e">
        <f>-IF(Tabla14[[#This Row],[DIAS HABILES O MORA]]&lt;0,(Tabla14[[#This Row],[VALOR PRESTAMO]]*Tabla14[[#This Row],[% INTERES ]]/30*U1680))+Tabla14[[#This Row],[VALOR CUOTAS]]</f>
        <v>#VALUE!</v>
      </c>
      <c r="S1680" s="88">
        <f>-IF(Tabla14[[#This Row],[DIAS HABILES O MORA]]&lt;0,(Tabla14[[#This Row],[VALOR PRESTAMO]]*Tabla14[[#This Row],[% INTERES ]]/30*U1680))</f>
        <v>0</v>
      </c>
      <c r="T1680" s="53" t="e">
        <f>Tabla14[[#This Row],[DEUDA CAPITAL]]+Tabla14[[#This Row],[INTERES  CUOTA]]</f>
        <v>#NUM!</v>
      </c>
      <c r="U1680" s="61" t="str">
        <f t="shared" ref="U1680:U1743" si="279">IF(O1680="PAGADO","",IFERROR(-IF(C1680=0,"",$A$3-N1680),""))</f>
        <v/>
      </c>
    </row>
    <row r="1681" spans="9:21" ht="24.75" customHeight="1" x14ac:dyDescent="0.35">
      <c r="I1681" s="42">
        <f t="shared" si="270"/>
        <v>0</v>
      </c>
      <c r="J1681" s="65" t="e">
        <f t="shared" si="271"/>
        <v>#NUM!</v>
      </c>
      <c r="K1681" s="83" t="e">
        <f t="shared" si="272"/>
        <v>#NUM!</v>
      </c>
      <c r="L1681" s="83">
        <f t="shared" si="273"/>
        <v>0</v>
      </c>
      <c r="M1681" s="110" t="str">
        <f t="shared" si="274"/>
        <v/>
      </c>
      <c r="N1681" s="51" t="str">
        <f t="shared" si="275"/>
        <v/>
      </c>
      <c r="O1681" s="52" t="str">
        <f t="shared" si="276"/>
        <v/>
      </c>
      <c r="P1681" s="88">
        <f t="shared" si="277"/>
        <v>0</v>
      </c>
      <c r="Q1681" s="88">
        <f t="shared" si="278"/>
        <v>0</v>
      </c>
      <c r="R1681" s="88" t="e">
        <f>-IF(Tabla14[[#This Row],[DIAS HABILES O MORA]]&lt;0,(Tabla14[[#This Row],[VALOR PRESTAMO]]*Tabla14[[#This Row],[% INTERES ]]/30*U1681))+Tabla14[[#This Row],[VALOR CUOTAS]]</f>
        <v>#VALUE!</v>
      </c>
      <c r="S1681" s="88">
        <f>-IF(Tabla14[[#This Row],[DIAS HABILES O MORA]]&lt;0,(Tabla14[[#This Row],[VALOR PRESTAMO]]*Tabla14[[#This Row],[% INTERES ]]/30*U1681))</f>
        <v>0</v>
      </c>
      <c r="T1681" s="53" t="e">
        <f>Tabla14[[#This Row],[DEUDA CAPITAL]]+Tabla14[[#This Row],[INTERES  CUOTA]]</f>
        <v>#NUM!</v>
      </c>
      <c r="U1681" s="61" t="str">
        <f t="shared" si="279"/>
        <v/>
      </c>
    </row>
    <row r="1682" spans="9:21" ht="24.75" customHeight="1" x14ac:dyDescent="0.35">
      <c r="I1682" s="42">
        <f t="shared" si="270"/>
        <v>0</v>
      </c>
      <c r="J1682" s="65" t="e">
        <f t="shared" si="271"/>
        <v>#NUM!</v>
      </c>
      <c r="K1682" s="83" t="e">
        <f t="shared" si="272"/>
        <v>#NUM!</v>
      </c>
      <c r="L1682" s="83">
        <f t="shared" si="273"/>
        <v>0</v>
      </c>
      <c r="M1682" s="110" t="str">
        <f t="shared" si="274"/>
        <v/>
      </c>
      <c r="N1682" s="51" t="str">
        <f t="shared" si="275"/>
        <v/>
      </c>
      <c r="O1682" s="52" t="str">
        <f t="shared" si="276"/>
        <v/>
      </c>
      <c r="P1682" s="88">
        <f t="shared" si="277"/>
        <v>0</v>
      </c>
      <c r="Q1682" s="88">
        <f t="shared" si="278"/>
        <v>0</v>
      </c>
      <c r="R1682" s="88" t="e">
        <f>-IF(Tabla14[[#This Row],[DIAS HABILES O MORA]]&lt;0,(Tabla14[[#This Row],[VALOR PRESTAMO]]*Tabla14[[#This Row],[% INTERES ]]/30*U1682))+Tabla14[[#This Row],[VALOR CUOTAS]]</f>
        <v>#VALUE!</v>
      </c>
      <c r="S1682" s="88">
        <f>-IF(Tabla14[[#This Row],[DIAS HABILES O MORA]]&lt;0,(Tabla14[[#This Row],[VALOR PRESTAMO]]*Tabla14[[#This Row],[% INTERES ]]/30*U1682))</f>
        <v>0</v>
      </c>
      <c r="T1682" s="53" t="e">
        <f>Tabla14[[#This Row],[DEUDA CAPITAL]]+Tabla14[[#This Row],[INTERES  CUOTA]]</f>
        <v>#NUM!</v>
      </c>
      <c r="U1682" s="61" t="str">
        <f t="shared" si="279"/>
        <v/>
      </c>
    </row>
    <row r="1683" spans="9:21" ht="24.75" customHeight="1" x14ac:dyDescent="0.35">
      <c r="I1683" s="42">
        <f t="shared" si="270"/>
        <v>0</v>
      </c>
      <c r="J1683" s="65" t="e">
        <f t="shared" si="271"/>
        <v>#NUM!</v>
      </c>
      <c r="K1683" s="83" t="e">
        <f t="shared" si="272"/>
        <v>#NUM!</v>
      </c>
      <c r="L1683" s="83">
        <f t="shared" si="273"/>
        <v>0</v>
      </c>
      <c r="M1683" s="110" t="str">
        <f t="shared" si="274"/>
        <v/>
      </c>
      <c r="N1683" s="51" t="str">
        <f t="shared" si="275"/>
        <v/>
      </c>
      <c r="O1683" s="52" t="str">
        <f t="shared" si="276"/>
        <v/>
      </c>
      <c r="P1683" s="88">
        <f t="shared" si="277"/>
        <v>0</v>
      </c>
      <c r="Q1683" s="88">
        <f t="shared" si="278"/>
        <v>0</v>
      </c>
      <c r="R1683" s="88" t="e">
        <f>-IF(Tabla14[[#This Row],[DIAS HABILES O MORA]]&lt;0,(Tabla14[[#This Row],[VALOR PRESTAMO]]*Tabla14[[#This Row],[% INTERES ]]/30*U1683))+Tabla14[[#This Row],[VALOR CUOTAS]]</f>
        <v>#VALUE!</v>
      </c>
      <c r="S1683" s="88">
        <f>-IF(Tabla14[[#This Row],[DIAS HABILES O MORA]]&lt;0,(Tabla14[[#This Row],[VALOR PRESTAMO]]*Tabla14[[#This Row],[% INTERES ]]/30*U1683))</f>
        <v>0</v>
      </c>
      <c r="T1683" s="53" t="e">
        <f>Tabla14[[#This Row],[DEUDA CAPITAL]]+Tabla14[[#This Row],[INTERES  CUOTA]]</f>
        <v>#NUM!</v>
      </c>
      <c r="U1683" s="61" t="str">
        <f t="shared" si="279"/>
        <v/>
      </c>
    </row>
    <row r="1684" spans="9:21" ht="24.75" customHeight="1" x14ac:dyDescent="0.35">
      <c r="I1684" s="42">
        <f t="shared" si="270"/>
        <v>0</v>
      </c>
      <c r="J1684" s="65" t="e">
        <f t="shared" si="271"/>
        <v>#NUM!</v>
      </c>
      <c r="K1684" s="83" t="e">
        <f t="shared" si="272"/>
        <v>#NUM!</v>
      </c>
      <c r="L1684" s="83">
        <f t="shared" si="273"/>
        <v>0</v>
      </c>
      <c r="M1684" s="110" t="str">
        <f t="shared" si="274"/>
        <v/>
      </c>
      <c r="N1684" s="51" t="str">
        <f t="shared" si="275"/>
        <v/>
      </c>
      <c r="O1684" s="52" t="str">
        <f t="shared" si="276"/>
        <v/>
      </c>
      <c r="P1684" s="88">
        <f t="shared" si="277"/>
        <v>0</v>
      </c>
      <c r="Q1684" s="88">
        <f t="shared" si="278"/>
        <v>0</v>
      </c>
      <c r="R1684" s="88" t="e">
        <f>-IF(Tabla14[[#This Row],[DIAS HABILES O MORA]]&lt;0,(Tabla14[[#This Row],[VALOR PRESTAMO]]*Tabla14[[#This Row],[% INTERES ]]/30*U1684))+Tabla14[[#This Row],[VALOR CUOTAS]]</f>
        <v>#VALUE!</v>
      </c>
      <c r="S1684" s="88">
        <f>-IF(Tabla14[[#This Row],[DIAS HABILES O MORA]]&lt;0,(Tabla14[[#This Row],[VALOR PRESTAMO]]*Tabla14[[#This Row],[% INTERES ]]/30*U1684))</f>
        <v>0</v>
      </c>
      <c r="T1684" s="53" t="e">
        <f>Tabla14[[#This Row],[DEUDA CAPITAL]]+Tabla14[[#This Row],[INTERES  CUOTA]]</f>
        <v>#NUM!</v>
      </c>
      <c r="U1684" s="61" t="str">
        <f t="shared" si="279"/>
        <v/>
      </c>
    </row>
    <row r="1685" spans="9:21" ht="24.75" customHeight="1" x14ac:dyDescent="0.35">
      <c r="I1685" s="42">
        <f t="shared" si="270"/>
        <v>0</v>
      </c>
      <c r="J1685" s="65" t="e">
        <f t="shared" si="271"/>
        <v>#NUM!</v>
      </c>
      <c r="K1685" s="83" t="e">
        <f t="shared" si="272"/>
        <v>#NUM!</v>
      </c>
      <c r="L1685" s="83">
        <f t="shared" si="273"/>
        <v>0</v>
      </c>
      <c r="M1685" s="110" t="str">
        <f t="shared" si="274"/>
        <v/>
      </c>
      <c r="N1685" s="51" t="str">
        <f t="shared" si="275"/>
        <v/>
      </c>
      <c r="O1685" s="52" t="str">
        <f t="shared" si="276"/>
        <v/>
      </c>
      <c r="P1685" s="88">
        <f t="shared" si="277"/>
        <v>0</v>
      </c>
      <c r="Q1685" s="88">
        <f t="shared" si="278"/>
        <v>0</v>
      </c>
      <c r="R1685" s="88" t="e">
        <f>-IF(Tabla14[[#This Row],[DIAS HABILES O MORA]]&lt;0,(Tabla14[[#This Row],[VALOR PRESTAMO]]*Tabla14[[#This Row],[% INTERES ]]/30*U1685))+Tabla14[[#This Row],[VALOR CUOTAS]]</f>
        <v>#VALUE!</v>
      </c>
      <c r="S1685" s="88">
        <f>-IF(Tabla14[[#This Row],[DIAS HABILES O MORA]]&lt;0,(Tabla14[[#This Row],[VALOR PRESTAMO]]*Tabla14[[#This Row],[% INTERES ]]/30*U1685))</f>
        <v>0</v>
      </c>
      <c r="T1685" s="53" t="e">
        <f>Tabla14[[#This Row],[DEUDA CAPITAL]]+Tabla14[[#This Row],[INTERES  CUOTA]]</f>
        <v>#NUM!</v>
      </c>
      <c r="U1685" s="61" t="str">
        <f t="shared" si="279"/>
        <v/>
      </c>
    </row>
    <row r="1686" spans="9:21" ht="24.75" customHeight="1" x14ac:dyDescent="0.35">
      <c r="I1686" s="42">
        <f t="shared" si="270"/>
        <v>0</v>
      </c>
      <c r="J1686" s="65" t="e">
        <f t="shared" si="271"/>
        <v>#NUM!</v>
      </c>
      <c r="K1686" s="83" t="e">
        <f t="shared" si="272"/>
        <v>#NUM!</v>
      </c>
      <c r="L1686" s="83">
        <f t="shared" si="273"/>
        <v>0</v>
      </c>
      <c r="M1686" s="110" t="str">
        <f t="shared" si="274"/>
        <v/>
      </c>
      <c r="N1686" s="51" t="str">
        <f t="shared" si="275"/>
        <v/>
      </c>
      <c r="O1686" s="52" t="str">
        <f t="shared" si="276"/>
        <v/>
      </c>
      <c r="P1686" s="88">
        <f t="shared" si="277"/>
        <v>0</v>
      </c>
      <c r="Q1686" s="88">
        <f t="shared" si="278"/>
        <v>0</v>
      </c>
      <c r="R1686" s="88" t="e">
        <f>-IF(Tabla14[[#This Row],[DIAS HABILES O MORA]]&lt;0,(Tabla14[[#This Row],[VALOR PRESTAMO]]*Tabla14[[#This Row],[% INTERES ]]/30*U1686))+Tabla14[[#This Row],[VALOR CUOTAS]]</f>
        <v>#VALUE!</v>
      </c>
      <c r="S1686" s="88">
        <f>-IF(Tabla14[[#This Row],[DIAS HABILES O MORA]]&lt;0,(Tabla14[[#This Row],[VALOR PRESTAMO]]*Tabla14[[#This Row],[% INTERES ]]/30*U1686))</f>
        <v>0</v>
      </c>
      <c r="T1686" s="53" t="e">
        <f>Tabla14[[#This Row],[DEUDA CAPITAL]]+Tabla14[[#This Row],[INTERES  CUOTA]]</f>
        <v>#NUM!</v>
      </c>
      <c r="U1686" s="61" t="str">
        <f t="shared" si="279"/>
        <v/>
      </c>
    </row>
    <row r="1687" spans="9:21" ht="24.75" customHeight="1" x14ac:dyDescent="0.35">
      <c r="I1687" s="42">
        <f t="shared" si="270"/>
        <v>0</v>
      </c>
      <c r="J1687" s="65" t="e">
        <f t="shared" si="271"/>
        <v>#NUM!</v>
      </c>
      <c r="K1687" s="83" t="e">
        <f t="shared" si="272"/>
        <v>#NUM!</v>
      </c>
      <c r="L1687" s="83">
        <f t="shared" si="273"/>
        <v>0</v>
      </c>
      <c r="M1687" s="110" t="str">
        <f t="shared" si="274"/>
        <v/>
      </c>
      <c r="N1687" s="51" t="str">
        <f t="shared" si="275"/>
        <v/>
      </c>
      <c r="O1687" s="52" t="str">
        <f t="shared" si="276"/>
        <v/>
      </c>
      <c r="P1687" s="88">
        <f t="shared" si="277"/>
        <v>0</v>
      </c>
      <c r="Q1687" s="88">
        <f t="shared" si="278"/>
        <v>0</v>
      </c>
      <c r="R1687" s="88" t="e">
        <f>-IF(Tabla14[[#This Row],[DIAS HABILES O MORA]]&lt;0,(Tabla14[[#This Row],[VALOR PRESTAMO]]*Tabla14[[#This Row],[% INTERES ]]/30*U1687))+Tabla14[[#This Row],[VALOR CUOTAS]]</f>
        <v>#VALUE!</v>
      </c>
      <c r="S1687" s="88">
        <f>-IF(Tabla14[[#This Row],[DIAS HABILES O MORA]]&lt;0,(Tabla14[[#This Row],[VALOR PRESTAMO]]*Tabla14[[#This Row],[% INTERES ]]/30*U1687))</f>
        <v>0</v>
      </c>
      <c r="T1687" s="53" t="e">
        <f>Tabla14[[#This Row],[DEUDA CAPITAL]]+Tabla14[[#This Row],[INTERES  CUOTA]]</f>
        <v>#NUM!</v>
      </c>
      <c r="U1687" s="61" t="str">
        <f t="shared" si="279"/>
        <v/>
      </c>
    </row>
    <row r="1688" spans="9:21" ht="24.75" customHeight="1" x14ac:dyDescent="0.35">
      <c r="I1688" s="42">
        <f t="shared" si="270"/>
        <v>0</v>
      </c>
      <c r="J1688" s="65" t="e">
        <f t="shared" si="271"/>
        <v>#NUM!</v>
      </c>
      <c r="K1688" s="83" t="e">
        <f t="shared" si="272"/>
        <v>#NUM!</v>
      </c>
      <c r="L1688" s="83">
        <f t="shared" si="273"/>
        <v>0</v>
      </c>
      <c r="M1688" s="110" t="str">
        <f t="shared" si="274"/>
        <v/>
      </c>
      <c r="N1688" s="51" t="str">
        <f t="shared" si="275"/>
        <v/>
      </c>
      <c r="O1688" s="52" t="str">
        <f t="shared" si="276"/>
        <v/>
      </c>
      <c r="P1688" s="88">
        <f t="shared" si="277"/>
        <v>0</v>
      </c>
      <c r="Q1688" s="88">
        <f t="shared" si="278"/>
        <v>0</v>
      </c>
      <c r="R1688" s="88" t="e">
        <f>-IF(Tabla14[[#This Row],[DIAS HABILES O MORA]]&lt;0,(Tabla14[[#This Row],[VALOR PRESTAMO]]*Tabla14[[#This Row],[% INTERES ]]/30*U1688))+Tabla14[[#This Row],[VALOR CUOTAS]]</f>
        <v>#VALUE!</v>
      </c>
      <c r="S1688" s="88">
        <f>-IF(Tabla14[[#This Row],[DIAS HABILES O MORA]]&lt;0,(Tabla14[[#This Row],[VALOR PRESTAMO]]*Tabla14[[#This Row],[% INTERES ]]/30*U1688))</f>
        <v>0</v>
      </c>
      <c r="T1688" s="53" t="e">
        <f>Tabla14[[#This Row],[DEUDA CAPITAL]]+Tabla14[[#This Row],[INTERES  CUOTA]]</f>
        <v>#NUM!</v>
      </c>
      <c r="U1688" s="61" t="str">
        <f t="shared" si="279"/>
        <v/>
      </c>
    </row>
    <row r="1689" spans="9:21" ht="24.75" customHeight="1" x14ac:dyDescent="0.35">
      <c r="I1689" s="42">
        <f t="shared" si="270"/>
        <v>0</v>
      </c>
      <c r="J1689" s="65" t="e">
        <f t="shared" si="271"/>
        <v>#NUM!</v>
      </c>
      <c r="K1689" s="83" t="e">
        <f t="shared" si="272"/>
        <v>#NUM!</v>
      </c>
      <c r="L1689" s="83">
        <f t="shared" si="273"/>
        <v>0</v>
      </c>
      <c r="M1689" s="110" t="str">
        <f t="shared" si="274"/>
        <v/>
      </c>
      <c r="N1689" s="51" t="str">
        <f t="shared" si="275"/>
        <v/>
      </c>
      <c r="O1689" s="52" t="str">
        <f t="shared" si="276"/>
        <v/>
      </c>
      <c r="P1689" s="88">
        <f t="shared" si="277"/>
        <v>0</v>
      </c>
      <c r="Q1689" s="88">
        <f t="shared" si="278"/>
        <v>0</v>
      </c>
      <c r="R1689" s="88" t="e">
        <f>-IF(Tabla14[[#This Row],[DIAS HABILES O MORA]]&lt;0,(Tabla14[[#This Row],[VALOR PRESTAMO]]*Tabla14[[#This Row],[% INTERES ]]/30*U1689))+Tabla14[[#This Row],[VALOR CUOTAS]]</f>
        <v>#VALUE!</v>
      </c>
      <c r="S1689" s="88">
        <f>-IF(Tabla14[[#This Row],[DIAS HABILES O MORA]]&lt;0,(Tabla14[[#This Row],[VALOR PRESTAMO]]*Tabla14[[#This Row],[% INTERES ]]/30*U1689))</f>
        <v>0</v>
      </c>
      <c r="T1689" s="53" t="e">
        <f>Tabla14[[#This Row],[DEUDA CAPITAL]]+Tabla14[[#This Row],[INTERES  CUOTA]]</f>
        <v>#NUM!</v>
      </c>
      <c r="U1689" s="61" t="str">
        <f t="shared" si="279"/>
        <v/>
      </c>
    </row>
    <row r="1690" spans="9:21" ht="24.75" customHeight="1" x14ac:dyDescent="0.35">
      <c r="I1690" s="42">
        <f t="shared" si="270"/>
        <v>0</v>
      </c>
      <c r="J1690" s="65" t="e">
        <f t="shared" si="271"/>
        <v>#NUM!</v>
      </c>
      <c r="K1690" s="83" t="e">
        <f t="shared" si="272"/>
        <v>#NUM!</v>
      </c>
      <c r="L1690" s="83">
        <f t="shared" si="273"/>
        <v>0</v>
      </c>
      <c r="M1690" s="110" t="str">
        <f t="shared" si="274"/>
        <v/>
      </c>
      <c r="N1690" s="51" t="str">
        <f t="shared" si="275"/>
        <v/>
      </c>
      <c r="O1690" s="52" t="str">
        <f t="shared" si="276"/>
        <v/>
      </c>
      <c r="P1690" s="88">
        <f t="shared" si="277"/>
        <v>0</v>
      </c>
      <c r="Q1690" s="88">
        <f t="shared" si="278"/>
        <v>0</v>
      </c>
      <c r="R1690" s="88" t="e">
        <f>-IF(Tabla14[[#This Row],[DIAS HABILES O MORA]]&lt;0,(Tabla14[[#This Row],[VALOR PRESTAMO]]*Tabla14[[#This Row],[% INTERES ]]/30*U1690))+Tabla14[[#This Row],[VALOR CUOTAS]]</f>
        <v>#VALUE!</v>
      </c>
      <c r="S1690" s="88">
        <f>-IF(Tabla14[[#This Row],[DIAS HABILES O MORA]]&lt;0,(Tabla14[[#This Row],[VALOR PRESTAMO]]*Tabla14[[#This Row],[% INTERES ]]/30*U1690))</f>
        <v>0</v>
      </c>
      <c r="T1690" s="53" t="e">
        <f>Tabla14[[#This Row],[DEUDA CAPITAL]]+Tabla14[[#This Row],[INTERES  CUOTA]]</f>
        <v>#NUM!</v>
      </c>
      <c r="U1690" s="61" t="str">
        <f t="shared" si="279"/>
        <v/>
      </c>
    </row>
    <row r="1691" spans="9:21" ht="24.75" customHeight="1" x14ac:dyDescent="0.35">
      <c r="I1691" s="42">
        <f t="shared" si="270"/>
        <v>0</v>
      </c>
      <c r="J1691" s="65" t="e">
        <f t="shared" si="271"/>
        <v>#NUM!</v>
      </c>
      <c r="K1691" s="83" t="e">
        <f t="shared" si="272"/>
        <v>#NUM!</v>
      </c>
      <c r="L1691" s="83">
        <f t="shared" si="273"/>
        <v>0</v>
      </c>
      <c r="M1691" s="110" t="str">
        <f t="shared" si="274"/>
        <v/>
      </c>
      <c r="N1691" s="51" t="str">
        <f t="shared" si="275"/>
        <v/>
      </c>
      <c r="O1691" s="52" t="str">
        <f t="shared" si="276"/>
        <v/>
      </c>
      <c r="P1691" s="88">
        <f t="shared" si="277"/>
        <v>0</v>
      </c>
      <c r="Q1691" s="88">
        <f t="shared" si="278"/>
        <v>0</v>
      </c>
      <c r="R1691" s="88" t="e">
        <f>-IF(Tabla14[[#This Row],[DIAS HABILES O MORA]]&lt;0,(Tabla14[[#This Row],[VALOR PRESTAMO]]*Tabla14[[#This Row],[% INTERES ]]/30*U1691))+Tabla14[[#This Row],[VALOR CUOTAS]]</f>
        <v>#VALUE!</v>
      </c>
      <c r="S1691" s="88">
        <f>-IF(Tabla14[[#This Row],[DIAS HABILES O MORA]]&lt;0,(Tabla14[[#This Row],[VALOR PRESTAMO]]*Tabla14[[#This Row],[% INTERES ]]/30*U1691))</f>
        <v>0</v>
      </c>
      <c r="T1691" s="53" t="e">
        <f>Tabla14[[#This Row],[DEUDA CAPITAL]]+Tabla14[[#This Row],[INTERES  CUOTA]]</f>
        <v>#NUM!</v>
      </c>
      <c r="U1691" s="61" t="str">
        <f t="shared" si="279"/>
        <v/>
      </c>
    </row>
    <row r="1692" spans="9:21" ht="24.75" customHeight="1" x14ac:dyDescent="0.35">
      <c r="I1692" s="42">
        <f t="shared" si="270"/>
        <v>0</v>
      </c>
      <c r="J1692" s="65" t="e">
        <f t="shared" si="271"/>
        <v>#NUM!</v>
      </c>
      <c r="K1692" s="83" t="e">
        <f t="shared" si="272"/>
        <v>#NUM!</v>
      </c>
      <c r="L1692" s="83">
        <f t="shared" si="273"/>
        <v>0</v>
      </c>
      <c r="M1692" s="110" t="str">
        <f t="shared" si="274"/>
        <v/>
      </c>
      <c r="N1692" s="51" t="str">
        <f t="shared" si="275"/>
        <v/>
      </c>
      <c r="O1692" s="52" t="str">
        <f t="shared" si="276"/>
        <v/>
      </c>
      <c r="P1692" s="88">
        <f t="shared" si="277"/>
        <v>0</v>
      </c>
      <c r="Q1692" s="88">
        <f t="shared" si="278"/>
        <v>0</v>
      </c>
      <c r="R1692" s="88" t="e">
        <f>-IF(Tabla14[[#This Row],[DIAS HABILES O MORA]]&lt;0,(Tabla14[[#This Row],[VALOR PRESTAMO]]*Tabla14[[#This Row],[% INTERES ]]/30*U1692))+Tabla14[[#This Row],[VALOR CUOTAS]]</f>
        <v>#VALUE!</v>
      </c>
      <c r="S1692" s="88">
        <f>-IF(Tabla14[[#This Row],[DIAS HABILES O MORA]]&lt;0,(Tabla14[[#This Row],[VALOR PRESTAMO]]*Tabla14[[#This Row],[% INTERES ]]/30*U1692))</f>
        <v>0</v>
      </c>
      <c r="T1692" s="53" t="e">
        <f>Tabla14[[#This Row],[DEUDA CAPITAL]]+Tabla14[[#This Row],[INTERES  CUOTA]]</f>
        <v>#NUM!</v>
      </c>
      <c r="U1692" s="61" t="str">
        <f t="shared" si="279"/>
        <v/>
      </c>
    </row>
    <row r="1693" spans="9:21" ht="24.75" customHeight="1" x14ac:dyDescent="0.35">
      <c r="I1693" s="42">
        <f t="shared" si="270"/>
        <v>0</v>
      </c>
      <c r="J1693" s="65" t="e">
        <f t="shared" si="271"/>
        <v>#NUM!</v>
      </c>
      <c r="K1693" s="83" t="e">
        <f t="shared" si="272"/>
        <v>#NUM!</v>
      </c>
      <c r="L1693" s="83">
        <f t="shared" si="273"/>
        <v>0</v>
      </c>
      <c r="M1693" s="110" t="str">
        <f t="shared" si="274"/>
        <v/>
      </c>
      <c r="N1693" s="51" t="str">
        <f t="shared" si="275"/>
        <v/>
      </c>
      <c r="O1693" s="52" t="str">
        <f t="shared" si="276"/>
        <v/>
      </c>
      <c r="P1693" s="88">
        <f t="shared" si="277"/>
        <v>0</v>
      </c>
      <c r="Q1693" s="88">
        <f t="shared" si="278"/>
        <v>0</v>
      </c>
      <c r="R1693" s="88" t="e">
        <f>-IF(Tabla14[[#This Row],[DIAS HABILES O MORA]]&lt;0,(Tabla14[[#This Row],[VALOR PRESTAMO]]*Tabla14[[#This Row],[% INTERES ]]/30*U1693))+Tabla14[[#This Row],[VALOR CUOTAS]]</f>
        <v>#VALUE!</v>
      </c>
      <c r="S1693" s="88">
        <f>-IF(Tabla14[[#This Row],[DIAS HABILES O MORA]]&lt;0,(Tabla14[[#This Row],[VALOR PRESTAMO]]*Tabla14[[#This Row],[% INTERES ]]/30*U1693))</f>
        <v>0</v>
      </c>
      <c r="T1693" s="53" t="e">
        <f>Tabla14[[#This Row],[DEUDA CAPITAL]]+Tabla14[[#This Row],[INTERES  CUOTA]]</f>
        <v>#NUM!</v>
      </c>
      <c r="U1693" s="61" t="str">
        <f t="shared" si="279"/>
        <v/>
      </c>
    </row>
    <row r="1694" spans="9:21" ht="24.75" customHeight="1" x14ac:dyDescent="0.35">
      <c r="I1694" s="42">
        <f t="shared" si="270"/>
        <v>0</v>
      </c>
      <c r="J1694" s="65" t="e">
        <f t="shared" si="271"/>
        <v>#NUM!</v>
      </c>
      <c r="K1694" s="83" t="e">
        <f t="shared" si="272"/>
        <v>#NUM!</v>
      </c>
      <c r="L1694" s="83">
        <f t="shared" si="273"/>
        <v>0</v>
      </c>
      <c r="M1694" s="110" t="str">
        <f t="shared" si="274"/>
        <v/>
      </c>
      <c r="N1694" s="51" t="str">
        <f t="shared" si="275"/>
        <v/>
      </c>
      <c r="O1694" s="52" t="str">
        <f t="shared" si="276"/>
        <v/>
      </c>
      <c r="P1694" s="88">
        <f t="shared" si="277"/>
        <v>0</v>
      </c>
      <c r="Q1694" s="88">
        <f t="shared" si="278"/>
        <v>0</v>
      </c>
      <c r="R1694" s="88" t="e">
        <f>-IF(Tabla14[[#This Row],[DIAS HABILES O MORA]]&lt;0,(Tabla14[[#This Row],[VALOR PRESTAMO]]*Tabla14[[#This Row],[% INTERES ]]/30*U1694))+Tabla14[[#This Row],[VALOR CUOTAS]]</f>
        <v>#VALUE!</v>
      </c>
      <c r="S1694" s="88">
        <f>-IF(Tabla14[[#This Row],[DIAS HABILES O MORA]]&lt;0,(Tabla14[[#This Row],[VALOR PRESTAMO]]*Tabla14[[#This Row],[% INTERES ]]/30*U1694))</f>
        <v>0</v>
      </c>
      <c r="T1694" s="53" t="e">
        <f>Tabla14[[#This Row],[DEUDA CAPITAL]]+Tabla14[[#This Row],[INTERES  CUOTA]]</f>
        <v>#NUM!</v>
      </c>
      <c r="U1694" s="61" t="str">
        <f t="shared" si="279"/>
        <v/>
      </c>
    </row>
    <row r="1695" spans="9:21" ht="24.75" customHeight="1" x14ac:dyDescent="0.35">
      <c r="I1695" s="42">
        <f t="shared" si="270"/>
        <v>0</v>
      </c>
      <c r="J1695" s="65" t="e">
        <f t="shared" si="271"/>
        <v>#NUM!</v>
      </c>
      <c r="K1695" s="83" t="e">
        <f t="shared" si="272"/>
        <v>#NUM!</v>
      </c>
      <c r="L1695" s="83">
        <f t="shared" si="273"/>
        <v>0</v>
      </c>
      <c r="M1695" s="110" t="str">
        <f t="shared" si="274"/>
        <v/>
      </c>
      <c r="N1695" s="51" t="str">
        <f t="shared" si="275"/>
        <v/>
      </c>
      <c r="O1695" s="52" t="str">
        <f t="shared" si="276"/>
        <v/>
      </c>
      <c r="P1695" s="88">
        <f t="shared" si="277"/>
        <v>0</v>
      </c>
      <c r="Q1695" s="88">
        <f t="shared" si="278"/>
        <v>0</v>
      </c>
      <c r="R1695" s="88" t="e">
        <f>-IF(Tabla14[[#This Row],[DIAS HABILES O MORA]]&lt;0,(Tabla14[[#This Row],[VALOR PRESTAMO]]*Tabla14[[#This Row],[% INTERES ]]/30*U1695))+Tabla14[[#This Row],[VALOR CUOTAS]]</f>
        <v>#VALUE!</v>
      </c>
      <c r="S1695" s="88">
        <f>-IF(Tabla14[[#This Row],[DIAS HABILES O MORA]]&lt;0,(Tabla14[[#This Row],[VALOR PRESTAMO]]*Tabla14[[#This Row],[% INTERES ]]/30*U1695))</f>
        <v>0</v>
      </c>
      <c r="T1695" s="53" t="e">
        <f>Tabla14[[#This Row],[DEUDA CAPITAL]]+Tabla14[[#This Row],[INTERES  CUOTA]]</f>
        <v>#NUM!</v>
      </c>
      <c r="U1695" s="61" t="str">
        <f t="shared" si="279"/>
        <v/>
      </c>
    </row>
    <row r="1696" spans="9:21" ht="24.75" customHeight="1" x14ac:dyDescent="0.35">
      <c r="I1696" s="42">
        <f t="shared" si="270"/>
        <v>0</v>
      </c>
      <c r="J1696" s="65" t="e">
        <f t="shared" si="271"/>
        <v>#NUM!</v>
      </c>
      <c r="K1696" s="83" t="e">
        <f t="shared" si="272"/>
        <v>#NUM!</v>
      </c>
      <c r="L1696" s="83">
        <f t="shared" si="273"/>
        <v>0</v>
      </c>
      <c r="M1696" s="110" t="str">
        <f t="shared" si="274"/>
        <v/>
      </c>
      <c r="N1696" s="51" t="str">
        <f t="shared" si="275"/>
        <v/>
      </c>
      <c r="O1696" s="52" t="str">
        <f t="shared" si="276"/>
        <v/>
      </c>
      <c r="P1696" s="88">
        <f t="shared" si="277"/>
        <v>0</v>
      </c>
      <c r="Q1696" s="88">
        <f t="shared" si="278"/>
        <v>0</v>
      </c>
      <c r="R1696" s="88" t="e">
        <f>-IF(Tabla14[[#This Row],[DIAS HABILES O MORA]]&lt;0,(Tabla14[[#This Row],[VALOR PRESTAMO]]*Tabla14[[#This Row],[% INTERES ]]/30*U1696))+Tabla14[[#This Row],[VALOR CUOTAS]]</f>
        <v>#VALUE!</v>
      </c>
      <c r="S1696" s="88">
        <f>-IF(Tabla14[[#This Row],[DIAS HABILES O MORA]]&lt;0,(Tabla14[[#This Row],[VALOR PRESTAMO]]*Tabla14[[#This Row],[% INTERES ]]/30*U1696))</f>
        <v>0</v>
      </c>
      <c r="T1696" s="53" t="e">
        <f>Tabla14[[#This Row],[DEUDA CAPITAL]]+Tabla14[[#This Row],[INTERES  CUOTA]]</f>
        <v>#NUM!</v>
      </c>
      <c r="U1696" s="61" t="str">
        <f t="shared" si="279"/>
        <v/>
      </c>
    </row>
    <row r="1697" spans="9:21" ht="24.75" customHeight="1" x14ac:dyDescent="0.35">
      <c r="I1697" s="42">
        <f t="shared" si="270"/>
        <v>0</v>
      </c>
      <c r="J1697" s="65" t="e">
        <f t="shared" si="271"/>
        <v>#NUM!</v>
      </c>
      <c r="K1697" s="83" t="e">
        <f t="shared" si="272"/>
        <v>#NUM!</v>
      </c>
      <c r="L1697" s="83">
        <f t="shared" si="273"/>
        <v>0</v>
      </c>
      <c r="M1697" s="110" t="str">
        <f t="shared" si="274"/>
        <v/>
      </c>
      <c r="N1697" s="51" t="str">
        <f t="shared" si="275"/>
        <v/>
      </c>
      <c r="O1697" s="52" t="str">
        <f t="shared" si="276"/>
        <v/>
      </c>
      <c r="P1697" s="88">
        <f t="shared" si="277"/>
        <v>0</v>
      </c>
      <c r="Q1697" s="88">
        <f t="shared" si="278"/>
        <v>0</v>
      </c>
      <c r="R1697" s="88" t="e">
        <f>-IF(Tabla14[[#This Row],[DIAS HABILES O MORA]]&lt;0,(Tabla14[[#This Row],[VALOR PRESTAMO]]*Tabla14[[#This Row],[% INTERES ]]/30*U1697))+Tabla14[[#This Row],[VALOR CUOTAS]]</f>
        <v>#VALUE!</v>
      </c>
      <c r="S1697" s="88">
        <f>-IF(Tabla14[[#This Row],[DIAS HABILES O MORA]]&lt;0,(Tabla14[[#This Row],[VALOR PRESTAMO]]*Tabla14[[#This Row],[% INTERES ]]/30*U1697))</f>
        <v>0</v>
      </c>
      <c r="T1697" s="53" t="e">
        <f>Tabla14[[#This Row],[DEUDA CAPITAL]]+Tabla14[[#This Row],[INTERES  CUOTA]]</f>
        <v>#NUM!</v>
      </c>
      <c r="U1697" s="61" t="str">
        <f t="shared" si="279"/>
        <v/>
      </c>
    </row>
    <row r="1698" spans="9:21" ht="24.75" customHeight="1" x14ac:dyDescent="0.35">
      <c r="I1698" s="42">
        <f t="shared" si="270"/>
        <v>0</v>
      </c>
      <c r="J1698" s="65" t="e">
        <f t="shared" si="271"/>
        <v>#NUM!</v>
      </c>
      <c r="K1698" s="83" t="e">
        <f t="shared" si="272"/>
        <v>#NUM!</v>
      </c>
      <c r="L1698" s="83">
        <f t="shared" si="273"/>
        <v>0</v>
      </c>
      <c r="M1698" s="110" t="str">
        <f t="shared" si="274"/>
        <v/>
      </c>
      <c r="N1698" s="51" t="str">
        <f t="shared" si="275"/>
        <v/>
      </c>
      <c r="O1698" s="52" t="str">
        <f t="shared" si="276"/>
        <v/>
      </c>
      <c r="P1698" s="88">
        <f t="shared" si="277"/>
        <v>0</v>
      </c>
      <c r="Q1698" s="88">
        <f t="shared" si="278"/>
        <v>0</v>
      </c>
      <c r="R1698" s="88" t="e">
        <f>-IF(Tabla14[[#This Row],[DIAS HABILES O MORA]]&lt;0,(Tabla14[[#This Row],[VALOR PRESTAMO]]*Tabla14[[#This Row],[% INTERES ]]/30*U1698))+Tabla14[[#This Row],[VALOR CUOTAS]]</f>
        <v>#VALUE!</v>
      </c>
      <c r="S1698" s="88">
        <f>-IF(Tabla14[[#This Row],[DIAS HABILES O MORA]]&lt;0,(Tabla14[[#This Row],[VALOR PRESTAMO]]*Tabla14[[#This Row],[% INTERES ]]/30*U1698))</f>
        <v>0</v>
      </c>
      <c r="T1698" s="53" t="e">
        <f>Tabla14[[#This Row],[DEUDA CAPITAL]]+Tabla14[[#This Row],[INTERES  CUOTA]]</f>
        <v>#NUM!</v>
      </c>
      <c r="U1698" s="61" t="str">
        <f t="shared" si="279"/>
        <v/>
      </c>
    </row>
    <row r="1699" spans="9:21" ht="24.75" customHeight="1" x14ac:dyDescent="0.35">
      <c r="I1699" s="42">
        <f t="shared" si="270"/>
        <v>0</v>
      </c>
      <c r="J1699" s="65" t="e">
        <f t="shared" si="271"/>
        <v>#NUM!</v>
      </c>
      <c r="K1699" s="83" t="e">
        <f t="shared" si="272"/>
        <v>#NUM!</v>
      </c>
      <c r="L1699" s="83">
        <f t="shared" si="273"/>
        <v>0</v>
      </c>
      <c r="M1699" s="110" t="str">
        <f t="shared" si="274"/>
        <v/>
      </c>
      <c r="N1699" s="51" t="str">
        <f t="shared" si="275"/>
        <v/>
      </c>
      <c r="O1699" s="52" t="str">
        <f t="shared" si="276"/>
        <v/>
      </c>
      <c r="P1699" s="88">
        <f t="shared" si="277"/>
        <v>0</v>
      </c>
      <c r="Q1699" s="88">
        <f t="shared" si="278"/>
        <v>0</v>
      </c>
      <c r="R1699" s="88" t="e">
        <f>-IF(Tabla14[[#This Row],[DIAS HABILES O MORA]]&lt;0,(Tabla14[[#This Row],[VALOR PRESTAMO]]*Tabla14[[#This Row],[% INTERES ]]/30*U1699))+Tabla14[[#This Row],[VALOR CUOTAS]]</f>
        <v>#VALUE!</v>
      </c>
      <c r="S1699" s="88">
        <f>-IF(Tabla14[[#This Row],[DIAS HABILES O MORA]]&lt;0,(Tabla14[[#This Row],[VALOR PRESTAMO]]*Tabla14[[#This Row],[% INTERES ]]/30*U1699))</f>
        <v>0</v>
      </c>
      <c r="T1699" s="53" t="e">
        <f>Tabla14[[#This Row],[DEUDA CAPITAL]]+Tabla14[[#This Row],[INTERES  CUOTA]]</f>
        <v>#NUM!</v>
      </c>
      <c r="U1699" s="61" t="str">
        <f t="shared" si="279"/>
        <v/>
      </c>
    </row>
    <row r="1700" spans="9:21" ht="24.75" customHeight="1" x14ac:dyDescent="0.35">
      <c r="I1700" s="42">
        <f t="shared" si="270"/>
        <v>0</v>
      </c>
      <c r="J1700" s="65" t="e">
        <f t="shared" si="271"/>
        <v>#NUM!</v>
      </c>
      <c r="K1700" s="83" t="e">
        <f t="shared" si="272"/>
        <v>#NUM!</v>
      </c>
      <c r="L1700" s="83">
        <f t="shared" si="273"/>
        <v>0</v>
      </c>
      <c r="M1700" s="110" t="str">
        <f t="shared" si="274"/>
        <v/>
      </c>
      <c r="N1700" s="51" t="str">
        <f t="shared" si="275"/>
        <v/>
      </c>
      <c r="O1700" s="52" t="str">
        <f t="shared" si="276"/>
        <v/>
      </c>
      <c r="P1700" s="88">
        <f t="shared" si="277"/>
        <v>0</v>
      </c>
      <c r="Q1700" s="88">
        <f t="shared" si="278"/>
        <v>0</v>
      </c>
      <c r="R1700" s="88" t="e">
        <f>-IF(Tabla14[[#This Row],[DIAS HABILES O MORA]]&lt;0,(Tabla14[[#This Row],[VALOR PRESTAMO]]*Tabla14[[#This Row],[% INTERES ]]/30*U1700))+Tabla14[[#This Row],[VALOR CUOTAS]]</f>
        <v>#VALUE!</v>
      </c>
      <c r="S1700" s="88">
        <f>-IF(Tabla14[[#This Row],[DIAS HABILES O MORA]]&lt;0,(Tabla14[[#This Row],[VALOR PRESTAMO]]*Tabla14[[#This Row],[% INTERES ]]/30*U1700))</f>
        <v>0</v>
      </c>
      <c r="T1700" s="53" t="e">
        <f>Tabla14[[#This Row],[DEUDA CAPITAL]]+Tabla14[[#This Row],[INTERES  CUOTA]]</f>
        <v>#NUM!</v>
      </c>
      <c r="U1700" s="61" t="str">
        <f t="shared" si="279"/>
        <v/>
      </c>
    </row>
    <row r="1701" spans="9:21" ht="24.75" customHeight="1" x14ac:dyDescent="0.35">
      <c r="I1701" s="42">
        <f t="shared" si="270"/>
        <v>0</v>
      </c>
      <c r="J1701" s="65" t="e">
        <f t="shared" si="271"/>
        <v>#NUM!</v>
      </c>
      <c r="K1701" s="83" t="e">
        <f t="shared" si="272"/>
        <v>#NUM!</v>
      </c>
      <c r="L1701" s="83">
        <f t="shared" si="273"/>
        <v>0</v>
      </c>
      <c r="M1701" s="110" t="str">
        <f t="shared" si="274"/>
        <v/>
      </c>
      <c r="N1701" s="51" t="str">
        <f t="shared" si="275"/>
        <v/>
      </c>
      <c r="O1701" s="52" t="str">
        <f t="shared" si="276"/>
        <v/>
      </c>
      <c r="P1701" s="88">
        <f t="shared" si="277"/>
        <v>0</v>
      </c>
      <c r="Q1701" s="88">
        <f t="shared" si="278"/>
        <v>0</v>
      </c>
      <c r="R1701" s="88" t="e">
        <f>-IF(Tabla14[[#This Row],[DIAS HABILES O MORA]]&lt;0,(Tabla14[[#This Row],[VALOR PRESTAMO]]*Tabla14[[#This Row],[% INTERES ]]/30*U1701))+Tabla14[[#This Row],[VALOR CUOTAS]]</f>
        <v>#VALUE!</v>
      </c>
      <c r="S1701" s="88">
        <f>-IF(Tabla14[[#This Row],[DIAS HABILES O MORA]]&lt;0,(Tabla14[[#This Row],[VALOR PRESTAMO]]*Tabla14[[#This Row],[% INTERES ]]/30*U1701))</f>
        <v>0</v>
      </c>
      <c r="T1701" s="53" t="e">
        <f>Tabla14[[#This Row],[DEUDA CAPITAL]]+Tabla14[[#This Row],[INTERES  CUOTA]]</f>
        <v>#NUM!</v>
      </c>
      <c r="U1701" s="61" t="str">
        <f t="shared" si="279"/>
        <v/>
      </c>
    </row>
    <row r="1702" spans="9:21" ht="24.75" customHeight="1" x14ac:dyDescent="0.35">
      <c r="I1702" s="42">
        <f t="shared" si="270"/>
        <v>0</v>
      </c>
      <c r="J1702" s="65" t="e">
        <f t="shared" si="271"/>
        <v>#NUM!</v>
      </c>
      <c r="K1702" s="83" t="e">
        <f t="shared" si="272"/>
        <v>#NUM!</v>
      </c>
      <c r="L1702" s="83">
        <f t="shared" si="273"/>
        <v>0</v>
      </c>
      <c r="M1702" s="110" t="str">
        <f t="shared" si="274"/>
        <v/>
      </c>
      <c r="N1702" s="51" t="str">
        <f t="shared" si="275"/>
        <v/>
      </c>
      <c r="O1702" s="52" t="str">
        <f t="shared" si="276"/>
        <v/>
      </c>
      <c r="P1702" s="88">
        <f t="shared" si="277"/>
        <v>0</v>
      </c>
      <c r="Q1702" s="88">
        <f t="shared" si="278"/>
        <v>0</v>
      </c>
      <c r="R1702" s="88" t="e">
        <f>-IF(Tabla14[[#This Row],[DIAS HABILES O MORA]]&lt;0,(Tabla14[[#This Row],[VALOR PRESTAMO]]*Tabla14[[#This Row],[% INTERES ]]/30*U1702))+Tabla14[[#This Row],[VALOR CUOTAS]]</f>
        <v>#VALUE!</v>
      </c>
      <c r="S1702" s="88">
        <f>-IF(Tabla14[[#This Row],[DIAS HABILES O MORA]]&lt;0,(Tabla14[[#This Row],[VALOR PRESTAMO]]*Tabla14[[#This Row],[% INTERES ]]/30*U1702))</f>
        <v>0</v>
      </c>
      <c r="T1702" s="53" t="e">
        <f>Tabla14[[#This Row],[DEUDA CAPITAL]]+Tabla14[[#This Row],[INTERES  CUOTA]]</f>
        <v>#NUM!</v>
      </c>
      <c r="U1702" s="61" t="str">
        <f t="shared" si="279"/>
        <v/>
      </c>
    </row>
    <row r="1703" spans="9:21" ht="24.75" customHeight="1" x14ac:dyDescent="0.35">
      <c r="I1703" s="42">
        <f t="shared" si="270"/>
        <v>0</v>
      </c>
      <c r="J1703" s="65" t="e">
        <f t="shared" si="271"/>
        <v>#NUM!</v>
      </c>
      <c r="K1703" s="83" t="e">
        <f t="shared" si="272"/>
        <v>#NUM!</v>
      </c>
      <c r="L1703" s="83">
        <f t="shared" si="273"/>
        <v>0</v>
      </c>
      <c r="M1703" s="110" t="str">
        <f t="shared" si="274"/>
        <v/>
      </c>
      <c r="N1703" s="51" t="str">
        <f t="shared" si="275"/>
        <v/>
      </c>
      <c r="O1703" s="52" t="str">
        <f t="shared" si="276"/>
        <v/>
      </c>
      <c r="P1703" s="88">
        <f t="shared" si="277"/>
        <v>0</v>
      </c>
      <c r="Q1703" s="88">
        <f t="shared" si="278"/>
        <v>0</v>
      </c>
      <c r="R1703" s="88" t="e">
        <f>-IF(Tabla14[[#This Row],[DIAS HABILES O MORA]]&lt;0,(Tabla14[[#This Row],[VALOR PRESTAMO]]*Tabla14[[#This Row],[% INTERES ]]/30*U1703))+Tabla14[[#This Row],[VALOR CUOTAS]]</f>
        <v>#VALUE!</v>
      </c>
      <c r="S1703" s="88">
        <f>-IF(Tabla14[[#This Row],[DIAS HABILES O MORA]]&lt;0,(Tabla14[[#This Row],[VALOR PRESTAMO]]*Tabla14[[#This Row],[% INTERES ]]/30*U1703))</f>
        <v>0</v>
      </c>
      <c r="T1703" s="53" t="e">
        <f>Tabla14[[#This Row],[DEUDA CAPITAL]]+Tabla14[[#This Row],[INTERES  CUOTA]]</f>
        <v>#NUM!</v>
      </c>
      <c r="U1703" s="61" t="str">
        <f t="shared" si="279"/>
        <v/>
      </c>
    </row>
    <row r="1704" spans="9:21" ht="24.75" customHeight="1" x14ac:dyDescent="0.35">
      <c r="I1704" s="42">
        <f t="shared" si="270"/>
        <v>0</v>
      </c>
      <c r="J1704" s="65" t="e">
        <f t="shared" si="271"/>
        <v>#NUM!</v>
      </c>
      <c r="K1704" s="83" t="e">
        <f t="shared" si="272"/>
        <v>#NUM!</v>
      </c>
      <c r="L1704" s="83">
        <f t="shared" si="273"/>
        <v>0</v>
      </c>
      <c r="M1704" s="110" t="str">
        <f t="shared" si="274"/>
        <v/>
      </c>
      <c r="N1704" s="51" t="str">
        <f t="shared" si="275"/>
        <v/>
      </c>
      <c r="O1704" s="52" t="str">
        <f t="shared" si="276"/>
        <v/>
      </c>
      <c r="P1704" s="88">
        <f t="shared" si="277"/>
        <v>0</v>
      </c>
      <c r="Q1704" s="88">
        <f t="shared" si="278"/>
        <v>0</v>
      </c>
      <c r="R1704" s="88" t="e">
        <f>-IF(Tabla14[[#This Row],[DIAS HABILES O MORA]]&lt;0,(Tabla14[[#This Row],[VALOR PRESTAMO]]*Tabla14[[#This Row],[% INTERES ]]/30*U1704))+Tabla14[[#This Row],[VALOR CUOTAS]]</f>
        <v>#VALUE!</v>
      </c>
      <c r="S1704" s="88">
        <f>-IF(Tabla14[[#This Row],[DIAS HABILES O MORA]]&lt;0,(Tabla14[[#This Row],[VALOR PRESTAMO]]*Tabla14[[#This Row],[% INTERES ]]/30*U1704))</f>
        <v>0</v>
      </c>
      <c r="T1704" s="53" t="e">
        <f>Tabla14[[#This Row],[DEUDA CAPITAL]]+Tabla14[[#This Row],[INTERES  CUOTA]]</f>
        <v>#NUM!</v>
      </c>
      <c r="U1704" s="61" t="str">
        <f t="shared" si="279"/>
        <v/>
      </c>
    </row>
    <row r="1705" spans="9:21" ht="24.75" customHeight="1" x14ac:dyDescent="0.35">
      <c r="I1705" s="42">
        <f t="shared" si="270"/>
        <v>0</v>
      </c>
      <c r="J1705" s="65" t="e">
        <f t="shared" si="271"/>
        <v>#NUM!</v>
      </c>
      <c r="K1705" s="83" t="e">
        <f t="shared" si="272"/>
        <v>#NUM!</v>
      </c>
      <c r="L1705" s="83">
        <f t="shared" si="273"/>
        <v>0</v>
      </c>
      <c r="M1705" s="110" t="str">
        <f t="shared" si="274"/>
        <v/>
      </c>
      <c r="N1705" s="51" t="str">
        <f t="shared" si="275"/>
        <v/>
      </c>
      <c r="O1705" s="52" t="str">
        <f t="shared" si="276"/>
        <v/>
      </c>
      <c r="P1705" s="88">
        <f t="shared" si="277"/>
        <v>0</v>
      </c>
      <c r="Q1705" s="88">
        <f t="shared" si="278"/>
        <v>0</v>
      </c>
      <c r="R1705" s="88" t="e">
        <f>-IF(Tabla14[[#This Row],[DIAS HABILES O MORA]]&lt;0,(Tabla14[[#This Row],[VALOR PRESTAMO]]*Tabla14[[#This Row],[% INTERES ]]/30*U1705))+Tabla14[[#This Row],[VALOR CUOTAS]]</f>
        <v>#VALUE!</v>
      </c>
      <c r="S1705" s="88">
        <f>-IF(Tabla14[[#This Row],[DIAS HABILES O MORA]]&lt;0,(Tabla14[[#This Row],[VALOR PRESTAMO]]*Tabla14[[#This Row],[% INTERES ]]/30*U1705))</f>
        <v>0</v>
      </c>
      <c r="T1705" s="53" t="e">
        <f>Tabla14[[#This Row],[DEUDA CAPITAL]]+Tabla14[[#This Row],[INTERES  CUOTA]]</f>
        <v>#NUM!</v>
      </c>
      <c r="U1705" s="61" t="str">
        <f t="shared" si="279"/>
        <v/>
      </c>
    </row>
    <row r="1706" spans="9:21" ht="24.75" customHeight="1" x14ac:dyDescent="0.35">
      <c r="I1706" s="42">
        <f t="shared" si="270"/>
        <v>0</v>
      </c>
      <c r="J1706" s="65" t="e">
        <f t="shared" si="271"/>
        <v>#NUM!</v>
      </c>
      <c r="K1706" s="83" t="e">
        <f t="shared" si="272"/>
        <v>#NUM!</v>
      </c>
      <c r="L1706" s="83">
        <f t="shared" si="273"/>
        <v>0</v>
      </c>
      <c r="M1706" s="110" t="str">
        <f t="shared" si="274"/>
        <v/>
      </c>
      <c r="N1706" s="51" t="str">
        <f t="shared" si="275"/>
        <v/>
      </c>
      <c r="O1706" s="52" t="str">
        <f t="shared" si="276"/>
        <v/>
      </c>
      <c r="P1706" s="88">
        <f t="shared" si="277"/>
        <v>0</v>
      </c>
      <c r="Q1706" s="88">
        <f t="shared" si="278"/>
        <v>0</v>
      </c>
      <c r="R1706" s="88" t="e">
        <f>-IF(Tabla14[[#This Row],[DIAS HABILES O MORA]]&lt;0,(Tabla14[[#This Row],[VALOR PRESTAMO]]*Tabla14[[#This Row],[% INTERES ]]/30*U1706))+Tabla14[[#This Row],[VALOR CUOTAS]]</f>
        <v>#VALUE!</v>
      </c>
      <c r="S1706" s="88">
        <f>-IF(Tabla14[[#This Row],[DIAS HABILES O MORA]]&lt;0,(Tabla14[[#This Row],[VALOR PRESTAMO]]*Tabla14[[#This Row],[% INTERES ]]/30*U1706))</f>
        <v>0</v>
      </c>
      <c r="T1706" s="53" t="e">
        <f>Tabla14[[#This Row],[DEUDA CAPITAL]]+Tabla14[[#This Row],[INTERES  CUOTA]]</f>
        <v>#NUM!</v>
      </c>
      <c r="U1706" s="61" t="str">
        <f t="shared" si="279"/>
        <v/>
      </c>
    </row>
    <row r="1707" spans="9:21" ht="24.75" customHeight="1" x14ac:dyDescent="0.35">
      <c r="I1707" s="42">
        <f t="shared" si="270"/>
        <v>0</v>
      </c>
      <c r="J1707" s="65" t="e">
        <f t="shared" si="271"/>
        <v>#NUM!</v>
      </c>
      <c r="K1707" s="83" t="e">
        <f t="shared" si="272"/>
        <v>#NUM!</v>
      </c>
      <c r="L1707" s="83">
        <f t="shared" si="273"/>
        <v>0</v>
      </c>
      <c r="M1707" s="110" t="str">
        <f t="shared" si="274"/>
        <v/>
      </c>
      <c r="N1707" s="51" t="str">
        <f t="shared" si="275"/>
        <v/>
      </c>
      <c r="O1707" s="52" t="str">
        <f t="shared" si="276"/>
        <v/>
      </c>
      <c r="P1707" s="88">
        <f t="shared" si="277"/>
        <v>0</v>
      </c>
      <c r="Q1707" s="88">
        <f t="shared" si="278"/>
        <v>0</v>
      </c>
      <c r="R1707" s="88" t="e">
        <f>-IF(Tabla14[[#This Row],[DIAS HABILES O MORA]]&lt;0,(Tabla14[[#This Row],[VALOR PRESTAMO]]*Tabla14[[#This Row],[% INTERES ]]/30*U1707))+Tabla14[[#This Row],[VALOR CUOTAS]]</f>
        <v>#VALUE!</v>
      </c>
      <c r="S1707" s="88">
        <f>-IF(Tabla14[[#This Row],[DIAS HABILES O MORA]]&lt;0,(Tabla14[[#This Row],[VALOR PRESTAMO]]*Tabla14[[#This Row],[% INTERES ]]/30*U1707))</f>
        <v>0</v>
      </c>
      <c r="T1707" s="53" t="e">
        <f>Tabla14[[#This Row],[DEUDA CAPITAL]]+Tabla14[[#This Row],[INTERES  CUOTA]]</f>
        <v>#NUM!</v>
      </c>
      <c r="U1707" s="61" t="str">
        <f t="shared" si="279"/>
        <v/>
      </c>
    </row>
    <row r="1708" spans="9:21" ht="24.75" customHeight="1" x14ac:dyDescent="0.35">
      <c r="I1708" s="42">
        <f t="shared" si="270"/>
        <v>0</v>
      </c>
      <c r="J1708" s="65" t="e">
        <f t="shared" si="271"/>
        <v>#NUM!</v>
      </c>
      <c r="K1708" s="83" t="e">
        <f t="shared" si="272"/>
        <v>#NUM!</v>
      </c>
      <c r="L1708" s="83">
        <f t="shared" si="273"/>
        <v>0</v>
      </c>
      <c r="M1708" s="110" t="str">
        <f t="shared" si="274"/>
        <v/>
      </c>
      <c r="N1708" s="51" t="str">
        <f t="shared" si="275"/>
        <v/>
      </c>
      <c r="O1708" s="52" t="str">
        <f t="shared" si="276"/>
        <v/>
      </c>
      <c r="P1708" s="88">
        <f t="shared" si="277"/>
        <v>0</v>
      </c>
      <c r="Q1708" s="88">
        <f t="shared" si="278"/>
        <v>0</v>
      </c>
      <c r="R1708" s="88" t="e">
        <f>-IF(Tabla14[[#This Row],[DIAS HABILES O MORA]]&lt;0,(Tabla14[[#This Row],[VALOR PRESTAMO]]*Tabla14[[#This Row],[% INTERES ]]/30*U1708))+Tabla14[[#This Row],[VALOR CUOTAS]]</f>
        <v>#VALUE!</v>
      </c>
      <c r="S1708" s="88">
        <f>-IF(Tabla14[[#This Row],[DIAS HABILES O MORA]]&lt;0,(Tabla14[[#This Row],[VALOR PRESTAMO]]*Tabla14[[#This Row],[% INTERES ]]/30*U1708))</f>
        <v>0</v>
      </c>
      <c r="T1708" s="53" t="e">
        <f>Tabla14[[#This Row],[DEUDA CAPITAL]]+Tabla14[[#This Row],[INTERES  CUOTA]]</f>
        <v>#NUM!</v>
      </c>
      <c r="U1708" s="61" t="str">
        <f t="shared" si="279"/>
        <v/>
      </c>
    </row>
    <row r="1709" spans="9:21" ht="24.75" customHeight="1" x14ac:dyDescent="0.35">
      <c r="I1709" s="42">
        <f t="shared" si="270"/>
        <v>0</v>
      </c>
      <c r="J1709" s="65" t="e">
        <f t="shared" si="271"/>
        <v>#NUM!</v>
      </c>
      <c r="K1709" s="83" t="e">
        <f t="shared" si="272"/>
        <v>#NUM!</v>
      </c>
      <c r="L1709" s="83">
        <f t="shared" si="273"/>
        <v>0</v>
      </c>
      <c r="M1709" s="110" t="str">
        <f t="shared" si="274"/>
        <v/>
      </c>
      <c r="N1709" s="51" t="str">
        <f t="shared" si="275"/>
        <v/>
      </c>
      <c r="O1709" s="52" t="str">
        <f t="shared" si="276"/>
        <v/>
      </c>
      <c r="P1709" s="88">
        <f t="shared" si="277"/>
        <v>0</v>
      </c>
      <c r="Q1709" s="88">
        <f t="shared" si="278"/>
        <v>0</v>
      </c>
      <c r="R1709" s="88" t="e">
        <f>-IF(Tabla14[[#This Row],[DIAS HABILES O MORA]]&lt;0,(Tabla14[[#This Row],[VALOR PRESTAMO]]*Tabla14[[#This Row],[% INTERES ]]/30*U1709))+Tabla14[[#This Row],[VALOR CUOTAS]]</f>
        <v>#VALUE!</v>
      </c>
      <c r="S1709" s="88">
        <f>-IF(Tabla14[[#This Row],[DIAS HABILES O MORA]]&lt;0,(Tabla14[[#This Row],[VALOR PRESTAMO]]*Tabla14[[#This Row],[% INTERES ]]/30*U1709))</f>
        <v>0</v>
      </c>
      <c r="T1709" s="53" t="e">
        <f>Tabla14[[#This Row],[DEUDA CAPITAL]]+Tabla14[[#This Row],[INTERES  CUOTA]]</f>
        <v>#NUM!</v>
      </c>
      <c r="U1709" s="61" t="str">
        <f t="shared" si="279"/>
        <v/>
      </c>
    </row>
    <row r="1710" spans="9:21" ht="24.75" customHeight="1" x14ac:dyDescent="0.35">
      <c r="I1710" s="42">
        <f t="shared" si="270"/>
        <v>0</v>
      </c>
      <c r="J1710" s="65" t="e">
        <f t="shared" si="271"/>
        <v>#NUM!</v>
      </c>
      <c r="K1710" s="83" t="e">
        <f t="shared" si="272"/>
        <v>#NUM!</v>
      </c>
      <c r="L1710" s="83">
        <f t="shared" si="273"/>
        <v>0</v>
      </c>
      <c r="M1710" s="110" t="str">
        <f t="shared" si="274"/>
        <v/>
      </c>
      <c r="N1710" s="51" t="str">
        <f t="shared" si="275"/>
        <v/>
      </c>
      <c r="O1710" s="52" t="str">
        <f t="shared" si="276"/>
        <v/>
      </c>
      <c r="P1710" s="88">
        <f t="shared" si="277"/>
        <v>0</v>
      </c>
      <c r="Q1710" s="88">
        <f t="shared" si="278"/>
        <v>0</v>
      </c>
      <c r="R1710" s="88" t="e">
        <f>-IF(Tabla14[[#This Row],[DIAS HABILES O MORA]]&lt;0,(Tabla14[[#This Row],[VALOR PRESTAMO]]*Tabla14[[#This Row],[% INTERES ]]/30*U1710))+Tabla14[[#This Row],[VALOR CUOTAS]]</f>
        <v>#VALUE!</v>
      </c>
      <c r="S1710" s="88">
        <f>-IF(Tabla14[[#This Row],[DIAS HABILES O MORA]]&lt;0,(Tabla14[[#This Row],[VALOR PRESTAMO]]*Tabla14[[#This Row],[% INTERES ]]/30*U1710))</f>
        <v>0</v>
      </c>
      <c r="T1710" s="53" t="e">
        <f>Tabla14[[#This Row],[DEUDA CAPITAL]]+Tabla14[[#This Row],[INTERES  CUOTA]]</f>
        <v>#NUM!</v>
      </c>
      <c r="U1710" s="61" t="str">
        <f t="shared" si="279"/>
        <v/>
      </c>
    </row>
    <row r="1711" spans="9:21" ht="24.75" customHeight="1" x14ac:dyDescent="0.35">
      <c r="I1711" s="42">
        <f t="shared" si="270"/>
        <v>0</v>
      </c>
      <c r="J1711" s="65" t="e">
        <f t="shared" si="271"/>
        <v>#NUM!</v>
      </c>
      <c r="K1711" s="83" t="e">
        <f t="shared" si="272"/>
        <v>#NUM!</v>
      </c>
      <c r="L1711" s="83">
        <f t="shared" si="273"/>
        <v>0</v>
      </c>
      <c r="M1711" s="110" t="str">
        <f t="shared" si="274"/>
        <v/>
      </c>
      <c r="N1711" s="51" t="str">
        <f t="shared" si="275"/>
        <v/>
      </c>
      <c r="O1711" s="52" t="str">
        <f t="shared" si="276"/>
        <v/>
      </c>
      <c r="P1711" s="88">
        <f t="shared" si="277"/>
        <v>0</v>
      </c>
      <c r="Q1711" s="88">
        <f t="shared" si="278"/>
        <v>0</v>
      </c>
      <c r="R1711" s="88" t="e">
        <f>-IF(Tabla14[[#This Row],[DIAS HABILES O MORA]]&lt;0,(Tabla14[[#This Row],[VALOR PRESTAMO]]*Tabla14[[#This Row],[% INTERES ]]/30*U1711))+Tabla14[[#This Row],[VALOR CUOTAS]]</f>
        <v>#VALUE!</v>
      </c>
      <c r="S1711" s="88">
        <f>-IF(Tabla14[[#This Row],[DIAS HABILES O MORA]]&lt;0,(Tabla14[[#This Row],[VALOR PRESTAMO]]*Tabla14[[#This Row],[% INTERES ]]/30*U1711))</f>
        <v>0</v>
      </c>
      <c r="T1711" s="53" t="e">
        <f>Tabla14[[#This Row],[DEUDA CAPITAL]]+Tabla14[[#This Row],[INTERES  CUOTA]]</f>
        <v>#NUM!</v>
      </c>
      <c r="U1711" s="61" t="str">
        <f t="shared" si="279"/>
        <v/>
      </c>
    </row>
    <row r="1712" spans="9:21" ht="24.75" customHeight="1" x14ac:dyDescent="0.35">
      <c r="I1712" s="42">
        <f t="shared" si="270"/>
        <v>0</v>
      </c>
      <c r="J1712" s="65" t="e">
        <f t="shared" si="271"/>
        <v>#NUM!</v>
      </c>
      <c r="K1712" s="83" t="e">
        <f t="shared" si="272"/>
        <v>#NUM!</v>
      </c>
      <c r="L1712" s="83">
        <f t="shared" si="273"/>
        <v>0</v>
      </c>
      <c r="M1712" s="110" t="str">
        <f t="shared" si="274"/>
        <v/>
      </c>
      <c r="N1712" s="51" t="str">
        <f t="shared" si="275"/>
        <v/>
      </c>
      <c r="O1712" s="52" t="str">
        <f t="shared" si="276"/>
        <v/>
      </c>
      <c r="P1712" s="88">
        <f t="shared" si="277"/>
        <v>0</v>
      </c>
      <c r="Q1712" s="88">
        <f t="shared" si="278"/>
        <v>0</v>
      </c>
      <c r="R1712" s="88" t="e">
        <f>-IF(Tabla14[[#This Row],[DIAS HABILES O MORA]]&lt;0,(Tabla14[[#This Row],[VALOR PRESTAMO]]*Tabla14[[#This Row],[% INTERES ]]/30*U1712))+Tabla14[[#This Row],[VALOR CUOTAS]]</f>
        <v>#VALUE!</v>
      </c>
      <c r="S1712" s="88">
        <f>-IF(Tabla14[[#This Row],[DIAS HABILES O MORA]]&lt;0,(Tabla14[[#This Row],[VALOR PRESTAMO]]*Tabla14[[#This Row],[% INTERES ]]/30*U1712))</f>
        <v>0</v>
      </c>
      <c r="T1712" s="53" t="e">
        <f>Tabla14[[#This Row],[DEUDA CAPITAL]]+Tabla14[[#This Row],[INTERES  CUOTA]]</f>
        <v>#NUM!</v>
      </c>
      <c r="U1712" s="61" t="str">
        <f t="shared" si="279"/>
        <v/>
      </c>
    </row>
    <row r="1713" spans="9:21" ht="24.75" customHeight="1" x14ac:dyDescent="0.35">
      <c r="I1713" s="42">
        <f t="shared" si="270"/>
        <v>0</v>
      </c>
      <c r="J1713" s="65" t="e">
        <f t="shared" si="271"/>
        <v>#NUM!</v>
      </c>
      <c r="K1713" s="83" t="e">
        <f t="shared" si="272"/>
        <v>#NUM!</v>
      </c>
      <c r="L1713" s="83">
        <f t="shared" si="273"/>
        <v>0</v>
      </c>
      <c r="M1713" s="110" t="str">
        <f t="shared" si="274"/>
        <v/>
      </c>
      <c r="N1713" s="51" t="str">
        <f t="shared" si="275"/>
        <v/>
      </c>
      <c r="O1713" s="52" t="str">
        <f t="shared" si="276"/>
        <v/>
      </c>
      <c r="P1713" s="88">
        <f t="shared" si="277"/>
        <v>0</v>
      </c>
      <c r="Q1713" s="88">
        <f t="shared" si="278"/>
        <v>0</v>
      </c>
      <c r="R1713" s="88" t="e">
        <f>-IF(Tabla14[[#This Row],[DIAS HABILES O MORA]]&lt;0,(Tabla14[[#This Row],[VALOR PRESTAMO]]*Tabla14[[#This Row],[% INTERES ]]/30*U1713))+Tabla14[[#This Row],[VALOR CUOTAS]]</f>
        <v>#VALUE!</v>
      </c>
      <c r="S1713" s="88">
        <f>-IF(Tabla14[[#This Row],[DIAS HABILES O MORA]]&lt;0,(Tabla14[[#This Row],[VALOR PRESTAMO]]*Tabla14[[#This Row],[% INTERES ]]/30*U1713))</f>
        <v>0</v>
      </c>
      <c r="T1713" s="53" t="e">
        <f>Tabla14[[#This Row],[DEUDA CAPITAL]]+Tabla14[[#This Row],[INTERES  CUOTA]]</f>
        <v>#NUM!</v>
      </c>
      <c r="U1713" s="61" t="str">
        <f t="shared" si="279"/>
        <v/>
      </c>
    </row>
    <row r="1714" spans="9:21" ht="24.75" customHeight="1" x14ac:dyDescent="0.35">
      <c r="I1714" s="42">
        <f t="shared" si="270"/>
        <v>0</v>
      </c>
      <c r="J1714" s="65" t="e">
        <f t="shared" si="271"/>
        <v>#NUM!</v>
      </c>
      <c r="K1714" s="83" t="e">
        <f t="shared" si="272"/>
        <v>#NUM!</v>
      </c>
      <c r="L1714" s="83">
        <f t="shared" si="273"/>
        <v>0</v>
      </c>
      <c r="M1714" s="110" t="str">
        <f t="shared" si="274"/>
        <v/>
      </c>
      <c r="N1714" s="51" t="str">
        <f t="shared" si="275"/>
        <v/>
      </c>
      <c r="O1714" s="52" t="str">
        <f t="shared" si="276"/>
        <v/>
      </c>
      <c r="P1714" s="88">
        <f t="shared" si="277"/>
        <v>0</v>
      </c>
      <c r="Q1714" s="88">
        <f t="shared" si="278"/>
        <v>0</v>
      </c>
      <c r="R1714" s="88" t="e">
        <f>-IF(Tabla14[[#This Row],[DIAS HABILES O MORA]]&lt;0,(Tabla14[[#This Row],[VALOR PRESTAMO]]*Tabla14[[#This Row],[% INTERES ]]/30*U1714))+Tabla14[[#This Row],[VALOR CUOTAS]]</f>
        <v>#VALUE!</v>
      </c>
      <c r="S1714" s="88">
        <f>-IF(Tabla14[[#This Row],[DIAS HABILES O MORA]]&lt;0,(Tabla14[[#This Row],[VALOR PRESTAMO]]*Tabla14[[#This Row],[% INTERES ]]/30*U1714))</f>
        <v>0</v>
      </c>
      <c r="T1714" s="53" t="e">
        <f>Tabla14[[#This Row],[DEUDA CAPITAL]]+Tabla14[[#This Row],[INTERES  CUOTA]]</f>
        <v>#NUM!</v>
      </c>
      <c r="U1714" s="61" t="str">
        <f t="shared" si="279"/>
        <v/>
      </c>
    </row>
    <row r="1715" spans="9:21" ht="24.75" customHeight="1" x14ac:dyDescent="0.35">
      <c r="I1715" s="42">
        <f t="shared" si="270"/>
        <v>0</v>
      </c>
      <c r="J1715" s="65" t="e">
        <f t="shared" si="271"/>
        <v>#NUM!</v>
      </c>
      <c r="K1715" s="83" t="e">
        <f t="shared" si="272"/>
        <v>#NUM!</v>
      </c>
      <c r="L1715" s="83">
        <f t="shared" si="273"/>
        <v>0</v>
      </c>
      <c r="M1715" s="110" t="str">
        <f t="shared" si="274"/>
        <v/>
      </c>
      <c r="N1715" s="51" t="str">
        <f t="shared" si="275"/>
        <v/>
      </c>
      <c r="O1715" s="52" t="str">
        <f t="shared" si="276"/>
        <v/>
      </c>
      <c r="P1715" s="88">
        <f t="shared" si="277"/>
        <v>0</v>
      </c>
      <c r="Q1715" s="88">
        <f t="shared" si="278"/>
        <v>0</v>
      </c>
      <c r="R1715" s="88" t="e">
        <f>-IF(Tabla14[[#This Row],[DIAS HABILES O MORA]]&lt;0,(Tabla14[[#This Row],[VALOR PRESTAMO]]*Tabla14[[#This Row],[% INTERES ]]/30*U1715))+Tabla14[[#This Row],[VALOR CUOTAS]]</f>
        <v>#VALUE!</v>
      </c>
      <c r="S1715" s="88">
        <f>-IF(Tabla14[[#This Row],[DIAS HABILES O MORA]]&lt;0,(Tabla14[[#This Row],[VALOR PRESTAMO]]*Tabla14[[#This Row],[% INTERES ]]/30*U1715))</f>
        <v>0</v>
      </c>
      <c r="T1715" s="53" t="e">
        <f>Tabla14[[#This Row],[DEUDA CAPITAL]]+Tabla14[[#This Row],[INTERES  CUOTA]]</f>
        <v>#NUM!</v>
      </c>
      <c r="U1715" s="61" t="str">
        <f t="shared" si="279"/>
        <v/>
      </c>
    </row>
    <row r="1716" spans="9:21" ht="24.75" customHeight="1" x14ac:dyDescent="0.35">
      <c r="I1716" s="42">
        <f t="shared" si="270"/>
        <v>0</v>
      </c>
      <c r="J1716" s="65" t="e">
        <f t="shared" si="271"/>
        <v>#NUM!</v>
      </c>
      <c r="K1716" s="83" t="e">
        <f t="shared" si="272"/>
        <v>#NUM!</v>
      </c>
      <c r="L1716" s="83">
        <f t="shared" si="273"/>
        <v>0</v>
      </c>
      <c r="M1716" s="110" t="str">
        <f t="shared" si="274"/>
        <v/>
      </c>
      <c r="N1716" s="51" t="str">
        <f t="shared" si="275"/>
        <v/>
      </c>
      <c r="O1716" s="52" t="str">
        <f t="shared" si="276"/>
        <v/>
      </c>
      <c r="P1716" s="88">
        <f t="shared" si="277"/>
        <v>0</v>
      </c>
      <c r="Q1716" s="88">
        <f t="shared" si="278"/>
        <v>0</v>
      </c>
      <c r="R1716" s="88" t="e">
        <f>-IF(Tabla14[[#This Row],[DIAS HABILES O MORA]]&lt;0,(Tabla14[[#This Row],[VALOR PRESTAMO]]*Tabla14[[#This Row],[% INTERES ]]/30*U1716))+Tabla14[[#This Row],[VALOR CUOTAS]]</f>
        <v>#VALUE!</v>
      </c>
      <c r="S1716" s="88">
        <f>-IF(Tabla14[[#This Row],[DIAS HABILES O MORA]]&lt;0,(Tabla14[[#This Row],[VALOR PRESTAMO]]*Tabla14[[#This Row],[% INTERES ]]/30*U1716))</f>
        <v>0</v>
      </c>
      <c r="T1716" s="53" t="e">
        <f>Tabla14[[#This Row],[DEUDA CAPITAL]]+Tabla14[[#This Row],[INTERES  CUOTA]]</f>
        <v>#NUM!</v>
      </c>
      <c r="U1716" s="61" t="str">
        <f t="shared" si="279"/>
        <v/>
      </c>
    </row>
    <row r="1717" spans="9:21" ht="24.75" customHeight="1" x14ac:dyDescent="0.35">
      <c r="I1717" s="42">
        <f t="shared" si="270"/>
        <v>0</v>
      </c>
      <c r="J1717" s="65" t="e">
        <f t="shared" si="271"/>
        <v>#NUM!</v>
      </c>
      <c r="K1717" s="83" t="e">
        <f t="shared" si="272"/>
        <v>#NUM!</v>
      </c>
      <c r="L1717" s="83">
        <f t="shared" si="273"/>
        <v>0</v>
      </c>
      <c r="M1717" s="110" t="str">
        <f t="shared" si="274"/>
        <v/>
      </c>
      <c r="N1717" s="51" t="str">
        <f t="shared" si="275"/>
        <v/>
      </c>
      <c r="O1717" s="52" t="str">
        <f t="shared" si="276"/>
        <v/>
      </c>
      <c r="P1717" s="88">
        <f t="shared" si="277"/>
        <v>0</v>
      </c>
      <c r="Q1717" s="88">
        <f t="shared" si="278"/>
        <v>0</v>
      </c>
      <c r="R1717" s="88" t="e">
        <f>-IF(Tabla14[[#This Row],[DIAS HABILES O MORA]]&lt;0,(Tabla14[[#This Row],[VALOR PRESTAMO]]*Tabla14[[#This Row],[% INTERES ]]/30*U1717))+Tabla14[[#This Row],[VALOR CUOTAS]]</f>
        <v>#VALUE!</v>
      </c>
      <c r="S1717" s="88">
        <f>-IF(Tabla14[[#This Row],[DIAS HABILES O MORA]]&lt;0,(Tabla14[[#This Row],[VALOR PRESTAMO]]*Tabla14[[#This Row],[% INTERES ]]/30*U1717))</f>
        <v>0</v>
      </c>
      <c r="T1717" s="53" t="e">
        <f>Tabla14[[#This Row],[DEUDA CAPITAL]]+Tabla14[[#This Row],[INTERES  CUOTA]]</f>
        <v>#NUM!</v>
      </c>
      <c r="U1717" s="61" t="str">
        <f t="shared" si="279"/>
        <v/>
      </c>
    </row>
    <row r="1718" spans="9:21" ht="24.75" customHeight="1" x14ac:dyDescent="0.35">
      <c r="I1718" s="42">
        <f t="shared" si="270"/>
        <v>0</v>
      </c>
      <c r="J1718" s="65" t="e">
        <f t="shared" si="271"/>
        <v>#NUM!</v>
      </c>
      <c r="K1718" s="83" t="e">
        <f t="shared" si="272"/>
        <v>#NUM!</v>
      </c>
      <c r="L1718" s="83">
        <f t="shared" si="273"/>
        <v>0</v>
      </c>
      <c r="M1718" s="110" t="str">
        <f t="shared" si="274"/>
        <v/>
      </c>
      <c r="N1718" s="51" t="str">
        <f t="shared" si="275"/>
        <v/>
      </c>
      <c r="O1718" s="52" t="str">
        <f t="shared" si="276"/>
        <v/>
      </c>
      <c r="P1718" s="88">
        <f t="shared" si="277"/>
        <v>0</v>
      </c>
      <c r="Q1718" s="88">
        <f t="shared" si="278"/>
        <v>0</v>
      </c>
      <c r="R1718" s="88" t="e">
        <f>-IF(Tabla14[[#This Row],[DIAS HABILES O MORA]]&lt;0,(Tabla14[[#This Row],[VALOR PRESTAMO]]*Tabla14[[#This Row],[% INTERES ]]/30*U1718))+Tabla14[[#This Row],[VALOR CUOTAS]]</f>
        <v>#VALUE!</v>
      </c>
      <c r="S1718" s="88">
        <f>-IF(Tabla14[[#This Row],[DIAS HABILES O MORA]]&lt;0,(Tabla14[[#This Row],[VALOR PRESTAMO]]*Tabla14[[#This Row],[% INTERES ]]/30*U1718))</f>
        <v>0</v>
      </c>
      <c r="T1718" s="53" t="e">
        <f>Tabla14[[#This Row],[DEUDA CAPITAL]]+Tabla14[[#This Row],[INTERES  CUOTA]]</f>
        <v>#NUM!</v>
      </c>
      <c r="U1718" s="61" t="str">
        <f t="shared" si="279"/>
        <v/>
      </c>
    </row>
    <row r="1719" spans="9:21" ht="24.75" customHeight="1" x14ac:dyDescent="0.35">
      <c r="I1719" s="42">
        <f t="shared" si="270"/>
        <v>0</v>
      </c>
      <c r="J1719" s="65" t="e">
        <f t="shared" si="271"/>
        <v>#NUM!</v>
      </c>
      <c r="K1719" s="83" t="e">
        <f t="shared" si="272"/>
        <v>#NUM!</v>
      </c>
      <c r="L1719" s="83">
        <f t="shared" si="273"/>
        <v>0</v>
      </c>
      <c r="M1719" s="110" t="str">
        <f t="shared" si="274"/>
        <v/>
      </c>
      <c r="N1719" s="51" t="str">
        <f t="shared" si="275"/>
        <v/>
      </c>
      <c r="O1719" s="52" t="str">
        <f t="shared" si="276"/>
        <v/>
      </c>
      <c r="P1719" s="88">
        <f t="shared" si="277"/>
        <v>0</v>
      </c>
      <c r="Q1719" s="88">
        <f t="shared" si="278"/>
        <v>0</v>
      </c>
      <c r="R1719" s="88" t="e">
        <f>-IF(Tabla14[[#This Row],[DIAS HABILES O MORA]]&lt;0,(Tabla14[[#This Row],[VALOR PRESTAMO]]*Tabla14[[#This Row],[% INTERES ]]/30*U1719))+Tabla14[[#This Row],[VALOR CUOTAS]]</f>
        <v>#VALUE!</v>
      </c>
      <c r="S1719" s="88">
        <f>-IF(Tabla14[[#This Row],[DIAS HABILES O MORA]]&lt;0,(Tabla14[[#This Row],[VALOR PRESTAMO]]*Tabla14[[#This Row],[% INTERES ]]/30*U1719))</f>
        <v>0</v>
      </c>
      <c r="T1719" s="53" t="e">
        <f>Tabla14[[#This Row],[DEUDA CAPITAL]]+Tabla14[[#This Row],[INTERES  CUOTA]]</f>
        <v>#NUM!</v>
      </c>
      <c r="U1719" s="61" t="str">
        <f t="shared" si="279"/>
        <v/>
      </c>
    </row>
    <row r="1720" spans="9:21" ht="24.75" customHeight="1" x14ac:dyDescent="0.35">
      <c r="I1720" s="42">
        <f t="shared" si="270"/>
        <v>0</v>
      </c>
      <c r="J1720" s="65" t="e">
        <f t="shared" si="271"/>
        <v>#NUM!</v>
      </c>
      <c r="K1720" s="83" t="e">
        <f t="shared" si="272"/>
        <v>#NUM!</v>
      </c>
      <c r="L1720" s="83">
        <f t="shared" si="273"/>
        <v>0</v>
      </c>
      <c r="M1720" s="110" t="str">
        <f t="shared" si="274"/>
        <v/>
      </c>
      <c r="N1720" s="51" t="str">
        <f t="shared" si="275"/>
        <v/>
      </c>
      <c r="O1720" s="52" t="str">
        <f t="shared" si="276"/>
        <v/>
      </c>
      <c r="P1720" s="88">
        <f t="shared" si="277"/>
        <v>0</v>
      </c>
      <c r="Q1720" s="88">
        <f t="shared" si="278"/>
        <v>0</v>
      </c>
      <c r="R1720" s="88" t="e">
        <f>-IF(Tabla14[[#This Row],[DIAS HABILES O MORA]]&lt;0,(Tabla14[[#This Row],[VALOR PRESTAMO]]*Tabla14[[#This Row],[% INTERES ]]/30*U1720))+Tabla14[[#This Row],[VALOR CUOTAS]]</f>
        <v>#VALUE!</v>
      </c>
      <c r="S1720" s="88">
        <f>-IF(Tabla14[[#This Row],[DIAS HABILES O MORA]]&lt;0,(Tabla14[[#This Row],[VALOR PRESTAMO]]*Tabla14[[#This Row],[% INTERES ]]/30*U1720))</f>
        <v>0</v>
      </c>
      <c r="T1720" s="53" t="e">
        <f>Tabla14[[#This Row],[DEUDA CAPITAL]]+Tabla14[[#This Row],[INTERES  CUOTA]]</f>
        <v>#NUM!</v>
      </c>
      <c r="U1720" s="61" t="str">
        <f t="shared" si="279"/>
        <v/>
      </c>
    </row>
    <row r="1721" spans="9:21" ht="24.75" customHeight="1" x14ac:dyDescent="0.35">
      <c r="I1721" s="42">
        <f t="shared" si="270"/>
        <v>0</v>
      </c>
      <c r="J1721" s="65" t="e">
        <f t="shared" si="271"/>
        <v>#NUM!</v>
      </c>
      <c r="K1721" s="83" t="e">
        <f t="shared" si="272"/>
        <v>#NUM!</v>
      </c>
      <c r="L1721" s="83">
        <f t="shared" si="273"/>
        <v>0</v>
      </c>
      <c r="M1721" s="110" t="str">
        <f t="shared" si="274"/>
        <v/>
      </c>
      <c r="N1721" s="51" t="str">
        <f t="shared" si="275"/>
        <v/>
      </c>
      <c r="O1721" s="52" t="str">
        <f t="shared" si="276"/>
        <v/>
      </c>
      <c r="P1721" s="88">
        <f t="shared" si="277"/>
        <v>0</v>
      </c>
      <c r="Q1721" s="88">
        <f t="shared" si="278"/>
        <v>0</v>
      </c>
      <c r="R1721" s="88" t="e">
        <f>-IF(Tabla14[[#This Row],[DIAS HABILES O MORA]]&lt;0,(Tabla14[[#This Row],[VALOR PRESTAMO]]*Tabla14[[#This Row],[% INTERES ]]/30*U1721))+Tabla14[[#This Row],[VALOR CUOTAS]]</f>
        <v>#VALUE!</v>
      </c>
      <c r="S1721" s="88">
        <f>-IF(Tabla14[[#This Row],[DIAS HABILES O MORA]]&lt;0,(Tabla14[[#This Row],[VALOR PRESTAMO]]*Tabla14[[#This Row],[% INTERES ]]/30*U1721))</f>
        <v>0</v>
      </c>
      <c r="T1721" s="53" t="e">
        <f>Tabla14[[#This Row],[DEUDA CAPITAL]]+Tabla14[[#This Row],[INTERES  CUOTA]]</f>
        <v>#NUM!</v>
      </c>
      <c r="U1721" s="61" t="str">
        <f t="shared" si="279"/>
        <v/>
      </c>
    </row>
    <row r="1722" spans="9:21" ht="24.75" customHeight="1" x14ac:dyDescent="0.35">
      <c r="I1722" s="42">
        <f t="shared" si="270"/>
        <v>0</v>
      </c>
      <c r="J1722" s="65" t="e">
        <f t="shared" si="271"/>
        <v>#NUM!</v>
      </c>
      <c r="K1722" s="83" t="e">
        <f t="shared" si="272"/>
        <v>#NUM!</v>
      </c>
      <c r="L1722" s="83">
        <f t="shared" si="273"/>
        <v>0</v>
      </c>
      <c r="M1722" s="110" t="str">
        <f t="shared" si="274"/>
        <v/>
      </c>
      <c r="N1722" s="51" t="str">
        <f t="shared" si="275"/>
        <v/>
      </c>
      <c r="O1722" s="52" t="str">
        <f t="shared" si="276"/>
        <v/>
      </c>
      <c r="P1722" s="88">
        <f t="shared" si="277"/>
        <v>0</v>
      </c>
      <c r="Q1722" s="88">
        <f t="shared" si="278"/>
        <v>0</v>
      </c>
      <c r="R1722" s="88" t="e">
        <f>-IF(Tabla14[[#This Row],[DIAS HABILES O MORA]]&lt;0,(Tabla14[[#This Row],[VALOR PRESTAMO]]*Tabla14[[#This Row],[% INTERES ]]/30*U1722))+Tabla14[[#This Row],[VALOR CUOTAS]]</f>
        <v>#VALUE!</v>
      </c>
      <c r="S1722" s="88">
        <f>-IF(Tabla14[[#This Row],[DIAS HABILES O MORA]]&lt;0,(Tabla14[[#This Row],[VALOR PRESTAMO]]*Tabla14[[#This Row],[% INTERES ]]/30*U1722))</f>
        <v>0</v>
      </c>
      <c r="T1722" s="53" t="e">
        <f>Tabla14[[#This Row],[DEUDA CAPITAL]]+Tabla14[[#This Row],[INTERES  CUOTA]]</f>
        <v>#NUM!</v>
      </c>
      <c r="U1722" s="61" t="str">
        <f t="shared" si="279"/>
        <v/>
      </c>
    </row>
    <row r="1723" spans="9:21" ht="24.75" customHeight="1" x14ac:dyDescent="0.35">
      <c r="I1723" s="42">
        <f t="shared" si="270"/>
        <v>0</v>
      </c>
      <c r="J1723" s="65" t="e">
        <f t="shared" si="271"/>
        <v>#NUM!</v>
      </c>
      <c r="K1723" s="83" t="e">
        <f t="shared" si="272"/>
        <v>#NUM!</v>
      </c>
      <c r="L1723" s="83">
        <f t="shared" si="273"/>
        <v>0</v>
      </c>
      <c r="M1723" s="110" t="str">
        <f t="shared" si="274"/>
        <v/>
      </c>
      <c r="N1723" s="51" t="str">
        <f t="shared" si="275"/>
        <v/>
      </c>
      <c r="O1723" s="52" t="str">
        <f t="shared" si="276"/>
        <v/>
      </c>
      <c r="P1723" s="88">
        <f t="shared" si="277"/>
        <v>0</v>
      </c>
      <c r="Q1723" s="88">
        <f t="shared" si="278"/>
        <v>0</v>
      </c>
      <c r="R1723" s="88" t="e">
        <f>-IF(Tabla14[[#This Row],[DIAS HABILES O MORA]]&lt;0,(Tabla14[[#This Row],[VALOR PRESTAMO]]*Tabla14[[#This Row],[% INTERES ]]/30*U1723))+Tabla14[[#This Row],[VALOR CUOTAS]]</f>
        <v>#VALUE!</v>
      </c>
      <c r="S1723" s="88">
        <f>-IF(Tabla14[[#This Row],[DIAS HABILES O MORA]]&lt;0,(Tabla14[[#This Row],[VALOR PRESTAMO]]*Tabla14[[#This Row],[% INTERES ]]/30*U1723))</f>
        <v>0</v>
      </c>
      <c r="T1723" s="53" t="e">
        <f>Tabla14[[#This Row],[DEUDA CAPITAL]]+Tabla14[[#This Row],[INTERES  CUOTA]]</f>
        <v>#NUM!</v>
      </c>
      <c r="U1723" s="61" t="str">
        <f t="shared" si="279"/>
        <v/>
      </c>
    </row>
    <row r="1724" spans="9:21" ht="24.75" customHeight="1" x14ac:dyDescent="0.35">
      <c r="I1724" s="42">
        <f t="shared" si="270"/>
        <v>0</v>
      </c>
      <c r="J1724" s="65" t="e">
        <f t="shared" si="271"/>
        <v>#NUM!</v>
      </c>
      <c r="K1724" s="83" t="e">
        <f t="shared" si="272"/>
        <v>#NUM!</v>
      </c>
      <c r="L1724" s="83">
        <f t="shared" si="273"/>
        <v>0</v>
      </c>
      <c r="M1724" s="110" t="str">
        <f t="shared" si="274"/>
        <v/>
      </c>
      <c r="N1724" s="51" t="str">
        <f t="shared" si="275"/>
        <v/>
      </c>
      <c r="O1724" s="52" t="str">
        <f t="shared" si="276"/>
        <v/>
      </c>
      <c r="P1724" s="88">
        <f t="shared" si="277"/>
        <v>0</v>
      </c>
      <c r="Q1724" s="88">
        <f t="shared" si="278"/>
        <v>0</v>
      </c>
      <c r="R1724" s="88" t="e">
        <f>-IF(Tabla14[[#This Row],[DIAS HABILES O MORA]]&lt;0,(Tabla14[[#This Row],[VALOR PRESTAMO]]*Tabla14[[#This Row],[% INTERES ]]/30*U1724))+Tabla14[[#This Row],[VALOR CUOTAS]]</f>
        <v>#VALUE!</v>
      </c>
      <c r="S1724" s="88">
        <f>-IF(Tabla14[[#This Row],[DIAS HABILES O MORA]]&lt;0,(Tabla14[[#This Row],[VALOR PRESTAMO]]*Tabla14[[#This Row],[% INTERES ]]/30*U1724))</f>
        <v>0</v>
      </c>
      <c r="T1724" s="53" t="e">
        <f>Tabla14[[#This Row],[DEUDA CAPITAL]]+Tabla14[[#This Row],[INTERES  CUOTA]]</f>
        <v>#NUM!</v>
      </c>
      <c r="U1724" s="61" t="str">
        <f t="shared" si="279"/>
        <v/>
      </c>
    </row>
    <row r="1725" spans="9:21" ht="24.75" customHeight="1" x14ac:dyDescent="0.35">
      <c r="I1725" s="42">
        <f t="shared" si="270"/>
        <v>0</v>
      </c>
      <c r="J1725" s="65" t="e">
        <f t="shared" si="271"/>
        <v>#NUM!</v>
      </c>
      <c r="K1725" s="83" t="e">
        <f t="shared" si="272"/>
        <v>#NUM!</v>
      </c>
      <c r="L1725" s="83">
        <f t="shared" si="273"/>
        <v>0</v>
      </c>
      <c r="M1725" s="110" t="str">
        <f t="shared" si="274"/>
        <v/>
      </c>
      <c r="N1725" s="51" t="str">
        <f t="shared" si="275"/>
        <v/>
      </c>
      <c r="O1725" s="52" t="str">
        <f t="shared" si="276"/>
        <v/>
      </c>
      <c r="P1725" s="88">
        <f t="shared" si="277"/>
        <v>0</v>
      </c>
      <c r="Q1725" s="88">
        <f t="shared" si="278"/>
        <v>0</v>
      </c>
      <c r="R1725" s="88" t="e">
        <f>-IF(Tabla14[[#This Row],[DIAS HABILES O MORA]]&lt;0,(Tabla14[[#This Row],[VALOR PRESTAMO]]*Tabla14[[#This Row],[% INTERES ]]/30*U1725))+Tabla14[[#This Row],[VALOR CUOTAS]]</f>
        <v>#VALUE!</v>
      </c>
      <c r="S1725" s="88">
        <f>-IF(Tabla14[[#This Row],[DIAS HABILES O MORA]]&lt;0,(Tabla14[[#This Row],[VALOR PRESTAMO]]*Tabla14[[#This Row],[% INTERES ]]/30*U1725))</f>
        <v>0</v>
      </c>
      <c r="T1725" s="53" t="e">
        <f>Tabla14[[#This Row],[DEUDA CAPITAL]]+Tabla14[[#This Row],[INTERES  CUOTA]]</f>
        <v>#NUM!</v>
      </c>
      <c r="U1725" s="61" t="str">
        <f t="shared" si="279"/>
        <v/>
      </c>
    </row>
    <row r="1726" spans="9:21" ht="24.75" customHeight="1" x14ac:dyDescent="0.35">
      <c r="I1726" s="42">
        <f t="shared" si="270"/>
        <v>0</v>
      </c>
      <c r="J1726" s="65" t="e">
        <f t="shared" si="271"/>
        <v>#NUM!</v>
      </c>
      <c r="K1726" s="83" t="e">
        <f t="shared" si="272"/>
        <v>#NUM!</v>
      </c>
      <c r="L1726" s="83">
        <f t="shared" si="273"/>
        <v>0</v>
      </c>
      <c r="M1726" s="110" t="str">
        <f t="shared" si="274"/>
        <v/>
      </c>
      <c r="N1726" s="51" t="str">
        <f t="shared" si="275"/>
        <v/>
      </c>
      <c r="O1726" s="52" t="str">
        <f t="shared" si="276"/>
        <v/>
      </c>
      <c r="P1726" s="88">
        <f t="shared" si="277"/>
        <v>0</v>
      </c>
      <c r="Q1726" s="88">
        <f t="shared" si="278"/>
        <v>0</v>
      </c>
      <c r="R1726" s="88" t="e">
        <f>-IF(Tabla14[[#This Row],[DIAS HABILES O MORA]]&lt;0,(Tabla14[[#This Row],[VALOR PRESTAMO]]*Tabla14[[#This Row],[% INTERES ]]/30*U1726))+Tabla14[[#This Row],[VALOR CUOTAS]]</f>
        <v>#VALUE!</v>
      </c>
      <c r="S1726" s="88">
        <f>-IF(Tabla14[[#This Row],[DIAS HABILES O MORA]]&lt;0,(Tabla14[[#This Row],[VALOR PRESTAMO]]*Tabla14[[#This Row],[% INTERES ]]/30*U1726))</f>
        <v>0</v>
      </c>
      <c r="T1726" s="53" t="e">
        <f>Tabla14[[#This Row],[DEUDA CAPITAL]]+Tabla14[[#This Row],[INTERES  CUOTA]]</f>
        <v>#NUM!</v>
      </c>
      <c r="U1726" s="61" t="str">
        <f t="shared" si="279"/>
        <v/>
      </c>
    </row>
    <row r="1727" spans="9:21" ht="24.75" customHeight="1" x14ac:dyDescent="0.35">
      <c r="I1727" s="42">
        <f t="shared" si="270"/>
        <v>0</v>
      </c>
      <c r="J1727" s="65" t="e">
        <f t="shared" si="271"/>
        <v>#NUM!</v>
      </c>
      <c r="K1727" s="83" t="e">
        <f t="shared" si="272"/>
        <v>#NUM!</v>
      </c>
      <c r="L1727" s="83">
        <f t="shared" si="273"/>
        <v>0</v>
      </c>
      <c r="M1727" s="110" t="str">
        <f t="shared" si="274"/>
        <v/>
      </c>
      <c r="N1727" s="51" t="str">
        <f t="shared" si="275"/>
        <v/>
      </c>
      <c r="O1727" s="52" t="str">
        <f t="shared" si="276"/>
        <v/>
      </c>
      <c r="P1727" s="88">
        <f t="shared" si="277"/>
        <v>0</v>
      </c>
      <c r="Q1727" s="88">
        <f t="shared" si="278"/>
        <v>0</v>
      </c>
      <c r="R1727" s="88" t="e">
        <f>-IF(Tabla14[[#This Row],[DIAS HABILES O MORA]]&lt;0,(Tabla14[[#This Row],[VALOR PRESTAMO]]*Tabla14[[#This Row],[% INTERES ]]/30*U1727))+Tabla14[[#This Row],[VALOR CUOTAS]]</f>
        <v>#VALUE!</v>
      </c>
      <c r="S1727" s="88">
        <f>-IF(Tabla14[[#This Row],[DIAS HABILES O MORA]]&lt;0,(Tabla14[[#This Row],[VALOR PRESTAMO]]*Tabla14[[#This Row],[% INTERES ]]/30*U1727))</f>
        <v>0</v>
      </c>
      <c r="T1727" s="53" t="e">
        <f>Tabla14[[#This Row],[DEUDA CAPITAL]]+Tabla14[[#This Row],[INTERES  CUOTA]]</f>
        <v>#NUM!</v>
      </c>
      <c r="U1727" s="61" t="str">
        <f t="shared" si="279"/>
        <v/>
      </c>
    </row>
    <row r="1728" spans="9:21" ht="24.75" customHeight="1" x14ac:dyDescent="0.35">
      <c r="I1728" s="42">
        <f t="shared" si="270"/>
        <v>0</v>
      </c>
      <c r="J1728" s="65" t="e">
        <f t="shared" si="271"/>
        <v>#NUM!</v>
      </c>
      <c r="K1728" s="83" t="e">
        <f t="shared" si="272"/>
        <v>#NUM!</v>
      </c>
      <c r="L1728" s="83">
        <f t="shared" si="273"/>
        <v>0</v>
      </c>
      <c r="M1728" s="110" t="str">
        <f t="shared" si="274"/>
        <v/>
      </c>
      <c r="N1728" s="51" t="str">
        <f t="shared" si="275"/>
        <v/>
      </c>
      <c r="O1728" s="52" t="str">
        <f t="shared" si="276"/>
        <v/>
      </c>
      <c r="P1728" s="88">
        <f t="shared" si="277"/>
        <v>0</v>
      </c>
      <c r="Q1728" s="88">
        <f t="shared" si="278"/>
        <v>0</v>
      </c>
      <c r="R1728" s="88" t="e">
        <f>-IF(Tabla14[[#This Row],[DIAS HABILES O MORA]]&lt;0,(Tabla14[[#This Row],[VALOR PRESTAMO]]*Tabla14[[#This Row],[% INTERES ]]/30*U1728))+Tabla14[[#This Row],[VALOR CUOTAS]]</f>
        <v>#VALUE!</v>
      </c>
      <c r="S1728" s="88">
        <f>-IF(Tabla14[[#This Row],[DIAS HABILES O MORA]]&lt;0,(Tabla14[[#This Row],[VALOR PRESTAMO]]*Tabla14[[#This Row],[% INTERES ]]/30*U1728))</f>
        <v>0</v>
      </c>
      <c r="T1728" s="53" t="e">
        <f>Tabla14[[#This Row],[DEUDA CAPITAL]]+Tabla14[[#This Row],[INTERES  CUOTA]]</f>
        <v>#NUM!</v>
      </c>
      <c r="U1728" s="61" t="str">
        <f t="shared" si="279"/>
        <v/>
      </c>
    </row>
    <row r="1729" spans="9:21" ht="24.75" customHeight="1" x14ac:dyDescent="0.35">
      <c r="I1729" s="42">
        <f t="shared" si="270"/>
        <v>0</v>
      </c>
      <c r="J1729" s="65" t="e">
        <f t="shared" si="271"/>
        <v>#NUM!</v>
      </c>
      <c r="K1729" s="83" t="e">
        <f t="shared" si="272"/>
        <v>#NUM!</v>
      </c>
      <c r="L1729" s="83">
        <f t="shared" si="273"/>
        <v>0</v>
      </c>
      <c r="M1729" s="110" t="str">
        <f t="shared" si="274"/>
        <v/>
      </c>
      <c r="N1729" s="51" t="str">
        <f t="shared" si="275"/>
        <v/>
      </c>
      <c r="O1729" s="52" t="str">
        <f t="shared" si="276"/>
        <v/>
      </c>
      <c r="P1729" s="88">
        <f t="shared" si="277"/>
        <v>0</v>
      </c>
      <c r="Q1729" s="88">
        <f t="shared" si="278"/>
        <v>0</v>
      </c>
      <c r="R1729" s="88" t="e">
        <f>-IF(Tabla14[[#This Row],[DIAS HABILES O MORA]]&lt;0,(Tabla14[[#This Row],[VALOR PRESTAMO]]*Tabla14[[#This Row],[% INTERES ]]/30*U1729))+Tabla14[[#This Row],[VALOR CUOTAS]]</f>
        <v>#VALUE!</v>
      </c>
      <c r="S1729" s="88">
        <f>-IF(Tabla14[[#This Row],[DIAS HABILES O MORA]]&lt;0,(Tabla14[[#This Row],[VALOR PRESTAMO]]*Tabla14[[#This Row],[% INTERES ]]/30*U1729))</f>
        <v>0</v>
      </c>
      <c r="T1729" s="53" t="e">
        <f>Tabla14[[#This Row],[DEUDA CAPITAL]]+Tabla14[[#This Row],[INTERES  CUOTA]]</f>
        <v>#NUM!</v>
      </c>
      <c r="U1729" s="61" t="str">
        <f t="shared" si="279"/>
        <v/>
      </c>
    </row>
    <row r="1730" spans="9:21" ht="24.75" customHeight="1" x14ac:dyDescent="0.35">
      <c r="I1730" s="42">
        <f t="shared" si="270"/>
        <v>0</v>
      </c>
      <c r="J1730" s="65" t="e">
        <f t="shared" si="271"/>
        <v>#NUM!</v>
      </c>
      <c r="K1730" s="83" t="e">
        <f t="shared" si="272"/>
        <v>#NUM!</v>
      </c>
      <c r="L1730" s="83">
        <f t="shared" si="273"/>
        <v>0</v>
      </c>
      <c r="M1730" s="110" t="str">
        <f t="shared" si="274"/>
        <v/>
      </c>
      <c r="N1730" s="51" t="str">
        <f t="shared" si="275"/>
        <v/>
      </c>
      <c r="O1730" s="52" t="str">
        <f t="shared" si="276"/>
        <v/>
      </c>
      <c r="P1730" s="88">
        <f t="shared" si="277"/>
        <v>0</v>
      </c>
      <c r="Q1730" s="88">
        <f t="shared" si="278"/>
        <v>0</v>
      </c>
      <c r="R1730" s="88" t="e">
        <f>-IF(Tabla14[[#This Row],[DIAS HABILES O MORA]]&lt;0,(Tabla14[[#This Row],[VALOR PRESTAMO]]*Tabla14[[#This Row],[% INTERES ]]/30*U1730))+Tabla14[[#This Row],[VALOR CUOTAS]]</f>
        <v>#VALUE!</v>
      </c>
      <c r="S1730" s="88">
        <f>-IF(Tabla14[[#This Row],[DIAS HABILES O MORA]]&lt;0,(Tabla14[[#This Row],[VALOR PRESTAMO]]*Tabla14[[#This Row],[% INTERES ]]/30*U1730))</f>
        <v>0</v>
      </c>
      <c r="T1730" s="53" t="e">
        <f>Tabla14[[#This Row],[DEUDA CAPITAL]]+Tabla14[[#This Row],[INTERES  CUOTA]]</f>
        <v>#NUM!</v>
      </c>
      <c r="U1730" s="61" t="str">
        <f t="shared" si="279"/>
        <v/>
      </c>
    </row>
    <row r="1731" spans="9:21" ht="24.75" customHeight="1" x14ac:dyDescent="0.35">
      <c r="I1731" s="42">
        <f t="shared" si="270"/>
        <v>0</v>
      </c>
      <c r="J1731" s="65" t="e">
        <f t="shared" si="271"/>
        <v>#NUM!</v>
      </c>
      <c r="K1731" s="83" t="e">
        <f t="shared" si="272"/>
        <v>#NUM!</v>
      </c>
      <c r="L1731" s="83">
        <f t="shared" si="273"/>
        <v>0</v>
      </c>
      <c r="M1731" s="110" t="str">
        <f t="shared" si="274"/>
        <v/>
      </c>
      <c r="N1731" s="51" t="str">
        <f t="shared" si="275"/>
        <v/>
      </c>
      <c r="O1731" s="52" t="str">
        <f t="shared" si="276"/>
        <v/>
      </c>
      <c r="P1731" s="88">
        <f t="shared" si="277"/>
        <v>0</v>
      </c>
      <c r="Q1731" s="88">
        <f t="shared" si="278"/>
        <v>0</v>
      </c>
      <c r="R1731" s="88" t="e">
        <f>-IF(Tabla14[[#This Row],[DIAS HABILES O MORA]]&lt;0,(Tabla14[[#This Row],[VALOR PRESTAMO]]*Tabla14[[#This Row],[% INTERES ]]/30*U1731))+Tabla14[[#This Row],[VALOR CUOTAS]]</f>
        <v>#VALUE!</v>
      </c>
      <c r="S1731" s="88">
        <f>-IF(Tabla14[[#This Row],[DIAS HABILES O MORA]]&lt;0,(Tabla14[[#This Row],[VALOR PRESTAMO]]*Tabla14[[#This Row],[% INTERES ]]/30*U1731))</f>
        <v>0</v>
      </c>
      <c r="T1731" s="53" t="e">
        <f>Tabla14[[#This Row],[DEUDA CAPITAL]]+Tabla14[[#This Row],[INTERES  CUOTA]]</f>
        <v>#NUM!</v>
      </c>
      <c r="U1731" s="61" t="str">
        <f t="shared" si="279"/>
        <v/>
      </c>
    </row>
    <row r="1732" spans="9:21" ht="24.75" customHeight="1" x14ac:dyDescent="0.35">
      <c r="I1732" s="42">
        <f t="shared" si="270"/>
        <v>0</v>
      </c>
      <c r="J1732" s="65" t="e">
        <f t="shared" si="271"/>
        <v>#NUM!</v>
      </c>
      <c r="K1732" s="83" t="e">
        <f t="shared" si="272"/>
        <v>#NUM!</v>
      </c>
      <c r="L1732" s="83">
        <f t="shared" si="273"/>
        <v>0</v>
      </c>
      <c r="M1732" s="110" t="str">
        <f t="shared" si="274"/>
        <v/>
      </c>
      <c r="N1732" s="51" t="str">
        <f t="shared" si="275"/>
        <v/>
      </c>
      <c r="O1732" s="52" t="str">
        <f t="shared" si="276"/>
        <v/>
      </c>
      <c r="P1732" s="88">
        <f t="shared" si="277"/>
        <v>0</v>
      </c>
      <c r="Q1732" s="88">
        <f t="shared" si="278"/>
        <v>0</v>
      </c>
      <c r="R1732" s="88" t="e">
        <f>-IF(Tabla14[[#This Row],[DIAS HABILES O MORA]]&lt;0,(Tabla14[[#This Row],[VALOR PRESTAMO]]*Tabla14[[#This Row],[% INTERES ]]/30*U1732))+Tabla14[[#This Row],[VALOR CUOTAS]]</f>
        <v>#VALUE!</v>
      </c>
      <c r="S1732" s="88">
        <f>-IF(Tabla14[[#This Row],[DIAS HABILES O MORA]]&lt;0,(Tabla14[[#This Row],[VALOR PRESTAMO]]*Tabla14[[#This Row],[% INTERES ]]/30*U1732))</f>
        <v>0</v>
      </c>
      <c r="T1732" s="53" t="e">
        <f>Tabla14[[#This Row],[DEUDA CAPITAL]]+Tabla14[[#This Row],[INTERES  CUOTA]]</f>
        <v>#NUM!</v>
      </c>
      <c r="U1732" s="61" t="str">
        <f t="shared" si="279"/>
        <v/>
      </c>
    </row>
    <row r="1733" spans="9:21" ht="24.75" customHeight="1" x14ac:dyDescent="0.35">
      <c r="I1733" s="42">
        <f t="shared" si="270"/>
        <v>0</v>
      </c>
      <c r="J1733" s="65" t="e">
        <f t="shared" si="271"/>
        <v>#NUM!</v>
      </c>
      <c r="K1733" s="83" t="e">
        <f t="shared" si="272"/>
        <v>#NUM!</v>
      </c>
      <c r="L1733" s="83">
        <f t="shared" si="273"/>
        <v>0</v>
      </c>
      <c r="M1733" s="110" t="str">
        <f t="shared" si="274"/>
        <v/>
      </c>
      <c r="N1733" s="51" t="str">
        <f t="shared" si="275"/>
        <v/>
      </c>
      <c r="O1733" s="52" t="str">
        <f t="shared" si="276"/>
        <v/>
      </c>
      <c r="P1733" s="88">
        <f t="shared" si="277"/>
        <v>0</v>
      </c>
      <c r="Q1733" s="88">
        <f t="shared" si="278"/>
        <v>0</v>
      </c>
      <c r="R1733" s="88" t="e">
        <f>-IF(Tabla14[[#This Row],[DIAS HABILES O MORA]]&lt;0,(Tabla14[[#This Row],[VALOR PRESTAMO]]*Tabla14[[#This Row],[% INTERES ]]/30*U1733))+Tabla14[[#This Row],[VALOR CUOTAS]]</f>
        <v>#VALUE!</v>
      </c>
      <c r="S1733" s="88">
        <f>-IF(Tabla14[[#This Row],[DIAS HABILES O MORA]]&lt;0,(Tabla14[[#This Row],[VALOR PRESTAMO]]*Tabla14[[#This Row],[% INTERES ]]/30*U1733))</f>
        <v>0</v>
      </c>
      <c r="T1733" s="53" t="e">
        <f>Tabla14[[#This Row],[DEUDA CAPITAL]]+Tabla14[[#This Row],[INTERES  CUOTA]]</f>
        <v>#NUM!</v>
      </c>
      <c r="U1733" s="61" t="str">
        <f t="shared" si="279"/>
        <v/>
      </c>
    </row>
    <row r="1734" spans="9:21" ht="24.75" customHeight="1" x14ac:dyDescent="0.35">
      <c r="I1734" s="42">
        <f t="shared" si="270"/>
        <v>0</v>
      </c>
      <c r="J1734" s="65" t="e">
        <f t="shared" si="271"/>
        <v>#NUM!</v>
      </c>
      <c r="K1734" s="83" t="e">
        <f t="shared" si="272"/>
        <v>#NUM!</v>
      </c>
      <c r="L1734" s="83">
        <f t="shared" si="273"/>
        <v>0</v>
      </c>
      <c r="M1734" s="110" t="str">
        <f t="shared" si="274"/>
        <v/>
      </c>
      <c r="N1734" s="51" t="str">
        <f t="shared" si="275"/>
        <v/>
      </c>
      <c r="O1734" s="52" t="str">
        <f t="shared" si="276"/>
        <v/>
      </c>
      <c r="P1734" s="88">
        <f t="shared" si="277"/>
        <v>0</v>
      </c>
      <c r="Q1734" s="88">
        <f t="shared" si="278"/>
        <v>0</v>
      </c>
      <c r="R1734" s="88" t="e">
        <f>-IF(Tabla14[[#This Row],[DIAS HABILES O MORA]]&lt;0,(Tabla14[[#This Row],[VALOR PRESTAMO]]*Tabla14[[#This Row],[% INTERES ]]/30*U1734))+Tabla14[[#This Row],[VALOR CUOTAS]]</f>
        <v>#VALUE!</v>
      </c>
      <c r="S1734" s="88">
        <f>-IF(Tabla14[[#This Row],[DIAS HABILES O MORA]]&lt;0,(Tabla14[[#This Row],[VALOR PRESTAMO]]*Tabla14[[#This Row],[% INTERES ]]/30*U1734))</f>
        <v>0</v>
      </c>
      <c r="T1734" s="53" t="e">
        <f>Tabla14[[#This Row],[DEUDA CAPITAL]]+Tabla14[[#This Row],[INTERES  CUOTA]]</f>
        <v>#NUM!</v>
      </c>
      <c r="U1734" s="61" t="str">
        <f t="shared" si="279"/>
        <v/>
      </c>
    </row>
    <row r="1735" spans="9:21" ht="24.75" customHeight="1" x14ac:dyDescent="0.35">
      <c r="I1735" s="42">
        <f t="shared" si="270"/>
        <v>0</v>
      </c>
      <c r="J1735" s="65" t="e">
        <f t="shared" si="271"/>
        <v>#NUM!</v>
      </c>
      <c r="K1735" s="83" t="e">
        <f t="shared" si="272"/>
        <v>#NUM!</v>
      </c>
      <c r="L1735" s="83">
        <f t="shared" si="273"/>
        <v>0</v>
      </c>
      <c r="M1735" s="110" t="str">
        <f t="shared" si="274"/>
        <v/>
      </c>
      <c r="N1735" s="51" t="str">
        <f t="shared" si="275"/>
        <v/>
      </c>
      <c r="O1735" s="52" t="str">
        <f t="shared" si="276"/>
        <v/>
      </c>
      <c r="P1735" s="88">
        <f t="shared" si="277"/>
        <v>0</v>
      </c>
      <c r="Q1735" s="88">
        <f t="shared" si="278"/>
        <v>0</v>
      </c>
      <c r="R1735" s="88" t="e">
        <f>-IF(Tabla14[[#This Row],[DIAS HABILES O MORA]]&lt;0,(Tabla14[[#This Row],[VALOR PRESTAMO]]*Tabla14[[#This Row],[% INTERES ]]/30*U1735))+Tabla14[[#This Row],[VALOR CUOTAS]]</f>
        <v>#VALUE!</v>
      </c>
      <c r="S1735" s="88">
        <f>-IF(Tabla14[[#This Row],[DIAS HABILES O MORA]]&lt;0,(Tabla14[[#This Row],[VALOR PRESTAMO]]*Tabla14[[#This Row],[% INTERES ]]/30*U1735))</f>
        <v>0</v>
      </c>
      <c r="T1735" s="53" t="e">
        <f>Tabla14[[#This Row],[DEUDA CAPITAL]]+Tabla14[[#This Row],[INTERES  CUOTA]]</f>
        <v>#NUM!</v>
      </c>
      <c r="U1735" s="61" t="str">
        <f t="shared" si="279"/>
        <v/>
      </c>
    </row>
    <row r="1736" spans="9:21" ht="24.75" customHeight="1" x14ac:dyDescent="0.35">
      <c r="I1736" s="42">
        <f t="shared" si="270"/>
        <v>0</v>
      </c>
      <c r="J1736" s="65" t="e">
        <f t="shared" si="271"/>
        <v>#NUM!</v>
      </c>
      <c r="K1736" s="83" t="e">
        <f t="shared" si="272"/>
        <v>#NUM!</v>
      </c>
      <c r="L1736" s="83">
        <f t="shared" si="273"/>
        <v>0</v>
      </c>
      <c r="M1736" s="110" t="str">
        <f t="shared" si="274"/>
        <v/>
      </c>
      <c r="N1736" s="51" t="str">
        <f t="shared" si="275"/>
        <v/>
      </c>
      <c r="O1736" s="52" t="str">
        <f t="shared" si="276"/>
        <v/>
      </c>
      <c r="P1736" s="88">
        <f t="shared" si="277"/>
        <v>0</v>
      </c>
      <c r="Q1736" s="88">
        <f t="shared" si="278"/>
        <v>0</v>
      </c>
      <c r="R1736" s="88" t="e">
        <f>-IF(Tabla14[[#This Row],[DIAS HABILES O MORA]]&lt;0,(Tabla14[[#This Row],[VALOR PRESTAMO]]*Tabla14[[#This Row],[% INTERES ]]/30*U1736))+Tabla14[[#This Row],[VALOR CUOTAS]]</f>
        <v>#VALUE!</v>
      </c>
      <c r="S1736" s="88">
        <f>-IF(Tabla14[[#This Row],[DIAS HABILES O MORA]]&lt;0,(Tabla14[[#This Row],[VALOR PRESTAMO]]*Tabla14[[#This Row],[% INTERES ]]/30*U1736))</f>
        <v>0</v>
      </c>
      <c r="T1736" s="53" t="e">
        <f>Tabla14[[#This Row],[DEUDA CAPITAL]]+Tabla14[[#This Row],[INTERES  CUOTA]]</f>
        <v>#NUM!</v>
      </c>
      <c r="U1736" s="61" t="str">
        <f t="shared" si="279"/>
        <v/>
      </c>
    </row>
    <row r="1737" spans="9:21" ht="24.75" customHeight="1" x14ac:dyDescent="0.35">
      <c r="I1737" s="42">
        <f t="shared" si="270"/>
        <v>0</v>
      </c>
      <c r="J1737" s="65" t="e">
        <f t="shared" si="271"/>
        <v>#NUM!</v>
      </c>
      <c r="K1737" s="83" t="e">
        <f t="shared" si="272"/>
        <v>#NUM!</v>
      </c>
      <c r="L1737" s="83">
        <f t="shared" si="273"/>
        <v>0</v>
      </c>
      <c r="M1737" s="110" t="str">
        <f t="shared" si="274"/>
        <v/>
      </c>
      <c r="N1737" s="51" t="str">
        <f t="shared" si="275"/>
        <v/>
      </c>
      <c r="O1737" s="52" t="str">
        <f t="shared" si="276"/>
        <v/>
      </c>
      <c r="P1737" s="88">
        <f t="shared" si="277"/>
        <v>0</v>
      </c>
      <c r="Q1737" s="88">
        <f t="shared" si="278"/>
        <v>0</v>
      </c>
      <c r="R1737" s="88" t="e">
        <f>-IF(Tabla14[[#This Row],[DIAS HABILES O MORA]]&lt;0,(Tabla14[[#This Row],[VALOR PRESTAMO]]*Tabla14[[#This Row],[% INTERES ]]/30*U1737))+Tabla14[[#This Row],[VALOR CUOTAS]]</f>
        <v>#VALUE!</v>
      </c>
      <c r="S1737" s="88">
        <f>-IF(Tabla14[[#This Row],[DIAS HABILES O MORA]]&lt;0,(Tabla14[[#This Row],[VALOR PRESTAMO]]*Tabla14[[#This Row],[% INTERES ]]/30*U1737))</f>
        <v>0</v>
      </c>
      <c r="T1737" s="53" t="e">
        <f>Tabla14[[#This Row],[DEUDA CAPITAL]]+Tabla14[[#This Row],[INTERES  CUOTA]]</f>
        <v>#NUM!</v>
      </c>
      <c r="U1737" s="61" t="str">
        <f t="shared" si="279"/>
        <v/>
      </c>
    </row>
    <row r="1738" spans="9:21" ht="24.75" customHeight="1" x14ac:dyDescent="0.35">
      <c r="I1738" s="42">
        <f t="shared" si="270"/>
        <v>0</v>
      </c>
      <c r="J1738" s="65" t="e">
        <f t="shared" si="271"/>
        <v>#NUM!</v>
      </c>
      <c r="K1738" s="83" t="e">
        <f t="shared" si="272"/>
        <v>#NUM!</v>
      </c>
      <c r="L1738" s="83">
        <f t="shared" si="273"/>
        <v>0</v>
      </c>
      <c r="M1738" s="110" t="str">
        <f t="shared" si="274"/>
        <v/>
      </c>
      <c r="N1738" s="51" t="str">
        <f t="shared" si="275"/>
        <v/>
      </c>
      <c r="O1738" s="52" t="str">
        <f t="shared" si="276"/>
        <v/>
      </c>
      <c r="P1738" s="88">
        <f t="shared" si="277"/>
        <v>0</v>
      </c>
      <c r="Q1738" s="88">
        <f t="shared" si="278"/>
        <v>0</v>
      </c>
      <c r="R1738" s="88" t="e">
        <f>-IF(Tabla14[[#This Row],[DIAS HABILES O MORA]]&lt;0,(Tabla14[[#This Row],[VALOR PRESTAMO]]*Tabla14[[#This Row],[% INTERES ]]/30*U1738))+Tabla14[[#This Row],[VALOR CUOTAS]]</f>
        <v>#VALUE!</v>
      </c>
      <c r="S1738" s="88">
        <f>-IF(Tabla14[[#This Row],[DIAS HABILES O MORA]]&lt;0,(Tabla14[[#This Row],[VALOR PRESTAMO]]*Tabla14[[#This Row],[% INTERES ]]/30*U1738))</f>
        <v>0</v>
      </c>
      <c r="T1738" s="53" t="e">
        <f>Tabla14[[#This Row],[DEUDA CAPITAL]]+Tabla14[[#This Row],[INTERES  CUOTA]]</f>
        <v>#NUM!</v>
      </c>
      <c r="U1738" s="61" t="str">
        <f t="shared" si="279"/>
        <v/>
      </c>
    </row>
    <row r="1739" spans="9:21" ht="24.75" customHeight="1" x14ac:dyDescent="0.35">
      <c r="I1739" s="42">
        <f t="shared" si="270"/>
        <v>0</v>
      </c>
      <c r="J1739" s="65" t="e">
        <f t="shared" si="271"/>
        <v>#NUM!</v>
      </c>
      <c r="K1739" s="83" t="e">
        <f t="shared" si="272"/>
        <v>#NUM!</v>
      </c>
      <c r="L1739" s="83">
        <f t="shared" si="273"/>
        <v>0</v>
      </c>
      <c r="M1739" s="110" t="str">
        <f t="shared" si="274"/>
        <v/>
      </c>
      <c r="N1739" s="51" t="str">
        <f t="shared" si="275"/>
        <v/>
      </c>
      <c r="O1739" s="52" t="str">
        <f t="shared" si="276"/>
        <v/>
      </c>
      <c r="P1739" s="88">
        <f t="shared" si="277"/>
        <v>0</v>
      </c>
      <c r="Q1739" s="88">
        <f t="shared" si="278"/>
        <v>0</v>
      </c>
      <c r="R1739" s="88" t="e">
        <f>-IF(Tabla14[[#This Row],[DIAS HABILES O MORA]]&lt;0,(Tabla14[[#This Row],[VALOR PRESTAMO]]*Tabla14[[#This Row],[% INTERES ]]/30*U1739))+Tabla14[[#This Row],[VALOR CUOTAS]]</f>
        <v>#VALUE!</v>
      </c>
      <c r="S1739" s="88">
        <f>-IF(Tabla14[[#This Row],[DIAS HABILES O MORA]]&lt;0,(Tabla14[[#This Row],[VALOR PRESTAMO]]*Tabla14[[#This Row],[% INTERES ]]/30*U1739))</f>
        <v>0</v>
      </c>
      <c r="T1739" s="53" t="e">
        <f>Tabla14[[#This Row],[DEUDA CAPITAL]]+Tabla14[[#This Row],[INTERES  CUOTA]]</f>
        <v>#NUM!</v>
      </c>
      <c r="U1739" s="61" t="str">
        <f t="shared" si="279"/>
        <v/>
      </c>
    </row>
    <row r="1740" spans="9:21" ht="24.75" customHeight="1" x14ac:dyDescent="0.35">
      <c r="I1740" s="42">
        <f t="shared" si="270"/>
        <v>0</v>
      </c>
      <c r="J1740" s="65" t="e">
        <f t="shared" si="271"/>
        <v>#NUM!</v>
      </c>
      <c r="K1740" s="83" t="e">
        <f t="shared" si="272"/>
        <v>#NUM!</v>
      </c>
      <c r="L1740" s="83">
        <f t="shared" si="273"/>
        <v>0</v>
      </c>
      <c r="M1740" s="110" t="str">
        <f t="shared" si="274"/>
        <v/>
      </c>
      <c r="N1740" s="51" t="str">
        <f t="shared" si="275"/>
        <v/>
      </c>
      <c r="O1740" s="52" t="str">
        <f t="shared" si="276"/>
        <v/>
      </c>
      <c r="P1740" s="88">
        <f t="shared" si="277"/>
        <v>0</v>
      </c>
      <c r="Q1740" s="88">
        <f t="shared" si="278"/>
        <v>0</v>
      </c>
      <c r="R1740" s="88" t="e">
        <f>-IF(Tabla14[[#This Row],[DIAS HABILES O MORA]]&lt;0,(Tabla14[[#This Row],[VALOR PRESTAMO]]*Tabla14[[#This Row],[% INTERES ]]/30*U1740))+Tabla14[[#This Row],[VALOR CUOTAS]]</f>
        <v>#VALUE!</v>
      </c>
      <c r="S1740" s="88">
        <f>-IF(Tabla14[[#This Row],[DIAS HABILES O MORA]]&lt;0,(Tabla14[[#This Row],[VALOR PRESTAMO]]*Tabla14[[#This Row],[% INTERES ]]/30*U1740))</f>
        <v>0</v>
      </c>
      <c r="T1740" s="53" t="e">
        <f>Tabla14[[#This Row],[DEUDA CAPITAL]]+Tabla14[[#This Row],[INTERES  CUOTA]]</f>
        <v>#NUM!</v>
      </c>
      <c r="U1740" s="61" t="str">
        <f t="shared" si="279"/>
        <v/>
      </c>
    </row>
    <row r="1741" spans="9:21" ht="24.75" customHeight="1" x14ac:dyDescent="0.35">
      <c r="I1741" s="42">
        <f t="shared" si="270"/>
        <v>0</v>
      </c>
      <c r="J1741" s="65" t="e">
        <f t="shared" si="271"/>
        <v>#NUM!</v>
      </c>
      <c r="K1741" s="83" t="e">
        <f t="shared" si="272"/>
        <v>#NUM!</v>
      </c>
      <c r="L1741" s="83">
        <f t="shared" si="273"/>
        <v>0</v>
      </c>
      <c r="M1741" s="110" t="str">
        <f t="shared" si="274"/>
        <v/>
      </c>
      <c r="N1741" s="51" t="str">
        <f t="shared" si="275"/>
        <v/>
      </c>
      <c r="O1741" s="52" t="str">
        <f t="shared" si="276"/>
        <v/>
      </c>
      <c r="P1741" s="88">
        <f t="shared" si="277"/>
        <v>0</v>
      </c>
      <c r="Q1741" s="88">
        <f t="shared" si="278"/>
        <v>0</v>
      </c>
      <c r="R1741" s="88" t="e">
        <f>-IF(Tabla14[[#This Row],[DIAS HABILES O MORA]]&lt;0,(Tabla14[[#This Row],[VALOR PRESTAMO]]*Tabla14[[#This Row],[% INTERES ]]/30*U1741))+Tabla14[[#This Row],[VALOR CUOTAS]]</f>
        <v>#VALUE!</v>
      </c>
      <c r="S1741" s="88">
        <f>-IF(Tabla14[[#This Row],[DIAS HABILES O MORA]]&lt;0,(Tabla14[[#This Row],[VALOR PRESTAMO]]*Tabla14[[#This Row],[% INTERES ]]/30*U1741))</f>
        <v>0</v>
      </c>
      <c r="T1741" s="53" t="e">
        <f>Tabla14[[#This Row],[DEUDA CAPITAL]]+Tabla14[[#This Row],[INTERES  CUOTA]]</f>
        <v>#NUM!</v>
      </c>
      <c r="U1741" s="61" t="str">
        <f t="shared" si="279"/>
        <v/>
      </c>
    </row>
    <row r="1742" spans="9:21" ht="24.75" customHeight="1" x14ac:dyDescent="0.35">
      <c r="I1742" s="42">
        <f t="shared" si="270"/>
        <v>0</v>
      </c>
      <c r="J1742" s="65" t="e">
        <f t="shared" si="271"/>
        <v>#NUM!</v>
      </c>
      <c r="K1742" s="83" t="e">
        <f t="shared" si="272"/>
        <v>#NUM!</v>
      </c>
      <c r="L1742" s="83">
        <f t="shared" si="273"/>
        <v>0</v>
      </c>
      <c r="M1742" s="110" t="str">
        <f t="shared" si="274"/>
        <v/>
      </c>
      <c r="N1742" s="51" t="str">
        <f t="shared" si="275"/>
        <v/>
      </c>
      <c r="O1742" s="52" t="str">
        <f t="shared" si="276"/>
        <v/>
      </c>
      <c r="P1742" s="88">
        <f t="shared" si="277"/>
        <v>0</v>
      </c>
      <c r="Q1742" s="88">
        <f t="shared" si="278"/>
        <v>0</v>
      </c>
      <c r="R1742" s="88" t="e">
        <f>-IF(Tabla14[[#This Row],[DIAS HABILES O MORA]]&lt;0,(Tabla14[[#This Row],[VALOR PRESTAMO]]*Tabla14[[#This Row],[% INTERES ]]/30*U1742))+Tabla14[[#This Row],[VALOR CUOTAS]]</f>
        <v>#VALUE!</v>
      </c>
      <c r="S1742" s="88">
        <f>-IF(Tabla14[[#This Row],[DIAS HABILES O MORA]]&lt;0,(Tabla14[[#This Row],[VALOR PRESTAMO]]*Tabla14[[#This Row],[% INTERES ]]/30*U1742))</f>
        <v>0</v>
      </c>
      <c r="T1742" s="53" t="e">
        <f>Tabla14[[#This Row],[DEUDA CAPITAL]]+Tabla14[[#This Row],[INTERES  CUOTA]]</f>
        <v>#NUM!</v>
      </c>
      <c r="U1742" s="61" t="str">
        <f t="shared" si="279"/>
        <v/>
      </c>
    </row>
    <row r="1743" spans="9:21" ht="24.75" customHeight="1" x14ac:dyDescent="0.35">
      <c r="I1743" s="42">
        <f t="shared" si="270"/>
        <v>0</v>
      </c>
      <c r="J1743" s="65" t="e">
        <f t="shared" si="271"/>
        <v>#NUM!</v>
      </c>
      <c r="K1743" s="83" t="e">
        <f t="shared" si="272"/>
        <v>#NUM!</v>
      </c>
      <c r="L1743" s="83">
        <f t="shared" si="273"/>
        <v>0</v>
      </c>
      <c r="M1743" s="110" t="str">
        <f t="shared" si="274"/>
        <v/>
      </c>
      <c r="N1743" s="51" t="str">
        <f t="shared" si="275"/>
        <v/>
      </c>
      <c r="O1743" s="52" t="str">
        <f t="shared" si="276"/>
        <v/>
      </c>
      <c r="P1743" s="88">
        <f t="shared" si="277"/>
        <v>0</v>
      </c>
      <c r="Q1743" s="88">
        <f t="shared" si="278"/>
        <v>0</v>
      </c>
      <c r="R1743" s="88" t="e">
        <f>-IF(Tabla14[[#This Row],[DIAS HABILES O MORA]]&lt;0,(Tabla14[[#This Row],[VALOR PRESTAMO]]*Tabla14[[#This Row],[% INTERES ]]/30*U1743))+Tabla14[[#This Row],[VALOR CUOTAS]]</f>
        <v>#VALUE!</v>
      </c>
      <c r="S1743" s="88">
        <f>-IF(Tabla14[[#This Row],[DIAS HABILES O MORA]]&lt;0,(Tabla14[[#This Row],[VALOR PRESTAMO]]*Tabla14[[#This Row],[% INTERES ]]/30*U1743))</f>
        <v>0</v>
      </c>
      <c r="T1743" s="53" t="e">
        <f>Tabla14[[#This Row],[DEUDA CAPITAL]]+Tabla14[[#This Row],[INTERES  CUOTA]]</f>
        <v>#NUM!</v>
      </c>
      <c r="U1743" s="61" t="str">
        <f t="shared" si="279"/>
        <v/>
      </c>
    </row>
    <row r="1744" spans="9:21" ht="24.75" customHeight="1" x14ac:dyDescent="0.35">
      <c r="I1744" s="42">
        <f t="shared" ref="I1744:I1807" si="280">IF(C1744&lt;0,"",IF(Q1744=0,0,IF(G1744=0,H1744+1,IF(H1744&lt;G1744,H1744+1,IF(G1744=H1744,0)))))</f>
        <v>0</v>
      </c>
      <c r="J1744" s="65" t="e">
        <f t="shared" ref="J1744:J1807" si="281">IF(F1744="SOLO INTERES",Q1744*D1744,-IPMT(D1744,I1744,G1744,C1744))</f>
        <v>#NUM!</v>
      </c>
      <c r="K1744" s="83" t="e">
        <f t="shared" ref="K1744:K1807" si="282">IF(F1744="SOLO INTERES",0,-PPMT(D1744,I1744,G1744,C1744))</f>
        <v>#NUM!</v>
      </c>
      <c r="L1744" s="83">
        <f t="shared" ref="L1744:L1807" si="283">IF(F1744="SOLO INTERES",SUM(Y1744:AAE1744),IFERROR(-CUMIPMT(D1744,G1744,C1744,1,H1744,0),0)+SUM(Y1744:WY1744))</f>
        <v>0</v>
      </c>
      <c r="M1744" s="110" t="str">
        <f t="shared" ref="M1744:M1807" si="284">IFERROR(IF(F1744="SOLO INTERES",Q1744*D1744,-PMT(D1744,G1744,C1744,0)),"")</f>
        <v/>
      </c>
      <c r="N1744" s="51" t="str">
        <f t="shared" ref="N1744:N1807" si="285">IF(Q1744=0,"",IF(E1744="MENSUAL",EDATE(B1744,I1744),IF(E1744="QUINCENAL",B1744+(I1744*15),IF(E1744="SEMANAL",B1744+(I1744*7)))))</f>
        <v/>
      </c>
      <c r="O1744" s="52" t="str">
        <f t="shared" ref="O1744:O1807" si="286">IF(C1744=0,"",IF(Q1744&lt;1,"PAGADO",IF(N1744=$A$3,"COBRAR HOY",IF(N1744&lt;$A$3,"EN MORA",IF(N1744&gt;$A$3,"AL DIA")))))</f>
        <v/>
      </c>
      <c r="P1744" s="88">
        <f t="shared" ref="P1744:P1807" si="287">IFERROR(-CUMPRINC(D1744,G1744,C1744,1,H1744,0),0)+W1744</f>
        <v>0</v>
      </c>
      <c r="Q1744" s="88">
        <f t="shared" ref="Q1744:Q1807" si="288">IFERROR(C1744-P1744,"")</f>
        <v>0</v>
      </c>
      <c r="R1744" s="88" t="e">
        <f>-IF(Tabla14[[#This Row],[DIAS HABILES O MORA]]&lt;0,(Tabla14[[#This Row],[VALOR PRESTAMO]]*Tabla14[[#This Row],[% INTERES ]]/30*U1744))+Tabla14[[#This Row],[VALOR CUOTAS]]</f>
        <v>#VALUE!</v>
      </c>
      <c r="S1744" s="88">
        <f>-IF(Tabla14[[#This Row],[DIAS HABILES O MORA]]&lt;0,(Tabla14[[#This Row],[VALOR PRESTAMO]]*Tabla14[[#This Row],[% INTERES ]]/30*U1744))</f>
        <v>0</v>
      </c>
      <c r="T1744" s="53" t="e">
        <f>Tabla14[[#This Row],[DEUDA CAPITAL]]+Tabla14[[#This Row],[INTERES  CUOTA]]</f>
        <v>#NUM!</v>
      </c>
      <c r="U1744" s="61" t="str">
        <f t="shared" ref="U1744:U1807" si="289">IF(O1744="PAGADO","",IFERROR(-IF(C1744=0,"",$A$3-N1744),""))</f>
        <v/>
      </c>
    </row>
    <row r="1745" spans="9:21" ht="24.75" customHeight="1" x14ac:dyDescent="0.35">
      <c r="I1745" s="42">
        <f t="shared" si="280"/>
        <v>0</v>
      </c>
      <c r="J1745" s="65" t="e">
        <f t="shared" si="281"/>
        <v>#NUM!</v>
      </c>
      <c r="K1745" s="83" t="e">
        <f t="shared" si="282"/>
        <v>#NUM!</v>
      </c>
      <c r="L1745" s="83">
        <f t="shared" si="283"/>
        <v>0</v>
      </c>
      <c r="M1745" s="110" t="str">
        <f t="shared" si="284"/>
        <v/>
      </c>
      <c r="N1745" s="51" t="str">
        <f t="shared" si="285"/>
        <v/>
      </c>
      <c r="O1745" s="52" t="str">
        <f t="shared" si="286"/>
        <v/>
      </c>
      <c r="P1745" s="88">
        <f t="shared" si="287"/>
        <v>0</v>
      </c>
      <c r="Q1745" s="88">
        <f t="shared" si="288"/>
        <v>0</v>
      </c>
      <c r="R1745" s="88" t="e">
        <f>-IF(Tabla14[[#This Row],[DIAS HABILES O MORA]]&lt;0,(Tabla14[[#This Row],[VALOR PRESTAMO]]*Tabla14[[#This Row],[% INTERES ]]/30*U1745))+Tabla14[[#This Row],[VALOR CUOTAS]]</f>
        <v>#VALUE!</v>
      </c>
      <c r="S1745" s="88">
        <f>-IF(Tabla14[[#This Row],[DIAS HABILES O MORA]]&lt;0,(Tabla14[[#This Row],[VALOR PRESTAMO]]*Tabla14[[#This Row],[% INTERES ]]/30*U1745))</f>
        <v>0</v>
      </c>
      <c r="T1745" s="53" t="e">
        <f>Tabla14[[#This Row],[DEUDA CAPITAL]]+Tabla14[[#This Row],[INTERES  CUOTA]]</f>
        <v>#NUM!</v>
      </c>
      <c r="U1745" s="61" t="str">
        <f t="shared" si="289"/>
        <v/>
      </c>
    </row>
    <row r="1746" spans="9:21" ht="24.75" customHeight="1" x14ac:dyDescent="0.35">
      <c r="I1746" s="42">
        <f t="shared" si="280"/>
        <v>0</v>
      </c>
      <c r="J1746" s="65" t="e">
        <f t="shared" si="281"/>
        <v>#NUM!</v>
      </c>
      <c r="K1746" s="83" t="e">
        <f t="shared" si="282"/>
        <v>#NUM!</v>
      </c>
      <c r="L1746" s="83">
        <f t="shared" si="283"/>
        <v>0</v>
      </c>
      <c r="M1746" s="110" t="str">
        <f t="shared" si="284"/>
        <v/>
      </c>
      <c r="N1746" s="51" t="str">
        <f t="shared" si="285"/>
        <v/>
      </c>
      <c r="O1746" s="52" t="str">
        <f t="shared" si="286"/>
        <v/>
      </c>
      <c r="P1746" s="88">
        <f t="shared" si="287"/>
        <v>0</v>
      </c>
      <c r="Q1746" s="88">
        <f t="shared" si="288"/>
        <v>0</v>
      </c>
      <c r="R1746" s="88" t="e">
        <f>-IF(Tabla14[[#This Row],[DIAS HABILES O MORA]]&lt;0,(Tabla14[[#This Row],[VALOR PRESTAMO]]*Tabla14[[#This Row],[% INTERES ]]/30*U1746))+Tabla14[[#This Row],[VALOR CUOTAS]]</f>
        <v>#VALUE!</v>
      </c>
      <c r="S1746" s="88">
        <f>-IF(Tabla14[[#This Row],[DIAS HABILES O MORA]]&lt;0,(Tabla14[[#This Row],[VALOR PRESTAMO]]*Tabla14[[#This Row],[% INTERES ]]/30*U1746))</f>
        <v>0</v>
      </c>
      <c r="T1746" s="53" t="e">
        <f>Tabla14[[#This Row],[DEUDA CAPITAL]]+Tabla14[[#This Row],[INTERES  CUOTA]]</f>
        <v>#NUM!</v>
      </c>
      <c r="U1746" s="61" t="str">
        <f t="shared" si="289"/>
        <v/>
      </c>
    </row>
    <row r="1747" spans="9:21" ht="24.75" customHeight="1" x14ac:dyDescent="0.35">
      <c r="I1747" s="42">
        <f t="shared" si="280"/>
        <v>0</v>
      </c>
      <c r="J1747" s="65" t="e">
        <f t="shared" si="281"/>
        <v>#NUM!</v>
      </c>
      <c r="K1747" s="83" t="e">
        <f t="shared" si="282"/>
        <v>#NUM!</v>
      </c>
      <c r="L1747" s="83">
        <f t="shared" si="283"/>
        <v>0</v>
      </c>
      <c r="M1747" s="110" t="str">
        <f t="shared" si="284"/>
        <v/>
      </c>
      <c r="N1747" s="51" t="str">
        <f t="shared" si="285"/>
        <v/>
      </c>
      <c r="O1747" s="52" t="str">
        <f t="shared" si="286"/>
        <v/>
      </c>
      <c r="P1747" s="88">
        <f t="shared" si="287"/>
        <v>0</v>
      </c>
      <c r="Q1747" s="88">
        <f t="shared" si="288"/>
        <v>0</v>
      </c>
      <c r="R1747" s="88" t="e">
        <f>-IF(Tabla14[[#This Row],[DIAS HABILES O MORA]]&lt;0,(Tabla14[[#This Row],[VALOR PRESTAMO]]*Tabla14[[#This Row],[% INTERES ]]/30*U1747))+Tabla14[[#This Row],[VALOR CUOTAS]]</f>
        <v>#VALUE!</v>
      </c>
      <c r="S1747" s="88">
        <f>-IF(Tabla14[[#This Row],[DIAS HABILES O MORA]]&lt;0,(Tabla14[[#This Row],[VALOR PRESTAMO]]*Tabla14[[#This Row],[% INTERES ]]/30*U1747))</f>
        <v>0</v>
      </c>
      <c r="T1747" s="53" t="e">
        <f>Tabla14[[#This Row],[DEUDA CAPITAL]]+Tabla14[[#This Row],[INTERES  CUOTA]]</f>
        <v>#NUM!</v>
      </c>
      <c r="U1747" s="61" t="str">
        <f t="shared" si="289"/>
        <v/>
      </c>
    </row>
    <row r="1748" spans="9:21" ht="24.75" customHeight="1" x14ac:dyDescent="0.35">
      <c r="I1748" s="42">
        <f t="shared" si="280"/>
        <v>0</v>
      </c>
      <c r="J1748" s="65" t="e">
        <f t="shared" si="281"/>
        <v>#NUM!</v>
      </c>
      <c r="K1748" s="83" t="e">
        <f t="shared" si="282"/>
        <v>#NUM!</v>
      </c>
      <c r="L1748" s="83">
        <f t="shared" si="283"/>
        <v>0</v>
      </c>
      <c r="M1748" s="110" t="str">
        <f t="shared" si="284"/>
        <v/>
      </c>
      <c r="N1748" s="51" t="str">
        <f t="shared" si="285"/>
        <v/>
      </c>
      <c r="O1748" s="52" t="str">
        <f t="shared" si="286"/>
        <v/>
      </c>
      <c r="P1748" s="88">
        <f t="shared" si="287"/>
        <v>0</v>
      </c>
      <c r="Q1748" s="88">
        <f t="shared" si="288"/>
        <v>0</v>
      </c>
      <c r="R1748" s="88" t="e">
        <f>-IF(Tabla14[[#This Row],[DIAS HABILES O MORA]]&lt;0,(Tabla14[[#This Row],[VALOR PRESTAMO]]*Tabla14[[#This Row],[% INTERES ]]/30*U1748))+Tabla14[[#This Row],[VALOR CUOTAS]]</f>
        <v>#VALUE!</v>
      </c>
      <c r="S1748" s="88">
        <f>-IF(Tabla14[[#This Row],[DIAS HABILES O MORA]]&lt;0,(Tabla14[[#This Row],[VALOR PRESTAMO]]*Tabla14[[#This Row],[% INTERES ]]/30*U1748))</f>
        <v>0</v>
      </c>
      <c r="T1748" s="53" t="e">
        <f>Tabla14[[#This Row],[DEUDA CAPITAL]]+Tabla14[[#This Row],[INTERES  CUOTA]]</f>
        <v>#NUM!</v>
      </c>
      <c r="U1748" s="61" t="str">
        <f t="shared" si="289"/>
        <v/>
      </c>
    </row>
    <row r="1749" spans="9:21" ht="24.75" customHeight="1" x14ac:dyDescent="0.35">
      <c r="I1749" s="42">
        <f t="shared" si="280"/>
        <v>0</v>
      </c>
      <c r="J1749" s="65" t="e">
        <f t="shared" si="281"/>
        <v>#NUM!</v>
      </c>
      <c r="K1749" s="83" t="e">
        <f t="shared" si="282"/>
        <v>#NUM!</v>
      </c>
      <c r="L1749" s="83">
        <f t="shared" si="283"/>
        <v>0</v>
      </c>
      <c r="M1749" s="110" t="str">
        <f t="shared" si="284"/>
        <v/>
      </c>
      <c r="N1749" s="51" t="str">
        <f t="shared" si="285"/>
        <v/>
      </c>
      <c r="O1749" s="52" t="str">
        <f t="shared" si="286"/>
        <v/>
      </c>
      <c r="P1749" s="88">
        <f t="shared" si="287"/>
        <v>0</v>
      </c>
      <c r="Q1749" s="88">
        <f t="shared" si="288"/>
        <v>0</v>
      </c>
      <c r="R1749" s="88" t="e">
        <f>-IF(Tabla14[[#This Row],[DIAS HABILES O MORA]]&lt;0,(Tabla14[[#This Row],[VALOR PRESTAMO]]*Tabla14[[#This Row],[% INTERES ]]/30*U1749))+Tabla14[[#This Row],[VALOR CUOTAS]]</f>
        <v>#VALUE!</v>
      </c>
      <c r="S1749" s="88">
        <f>-IF(Tabla14[[#This Row],[DIAS HABILES O MORA]]&lt;0,(Tabla14[[#This Row],[VALOR PRESTAMO]]*Tabla14[[#This Row],[% INTERES ]]/30*U1749))</f>
        <v>0</v>
      </c>
      <c r="T1749" s="53" t="e">
        <f>Tabla14[[#This Row],[DEUDA CAPITAL]]+Tabla14[[#This Row],[INTERES  CUOTA]]</f>
        <v>#NUM!</v>
      </c>
      <c r="U1749" s="61" t="str">
        <f t="shared" si="289"/>
        <v/>
      </c>
    </row>
    <row r="1750" spans="9:21" ht="24.75" customHeight="1" x14ac:dyDescent="0.35">
      <c r="I1750" s="42">
        <f t="shared" si="280"/>
        <v>0</v>
      </c>
      <c r="J1750" s="65" t="e">
        <f t="shared" si="281"/>
        <v>#NUM!</v>
      </c>
      <c r="K1750" s="83" t="e">
        <f t="shared" si="282"/>
        <v>#NUM!</v>
      </c>
      <c r="L1750" s="83">
        <f t="shared" si="283"/>
        <v>0</v>
      </c>
      <c r="M1750" s="110" t="str">
        <f t="shared" si="284"/>
        <v/>
      </c>
      <c r="N1750" s="51" t="str">
        <f t="shared" si="285"/>
        <v/>
      </c>
      <c r="O1750" s="52" t="str">
        <f t="shared" si="286"/>
        <v/>
      </c>
      <c r="P1750" s="88">
        <f t="shared" si="287"/>
        <v>0</v>
      </c>
      <c r="Q1750" s="88">
        <f t="shared" si="288"/>
        <v>0</v>
      </c>
      <c r="R1750" s="88" t="e">
        <f>-IF(Tabla14[[#This Row],[DIAS HABILES O MORA]]&lt;0,(Tabla14[[#This Row],[VALOR PRESTAMO]]*Tabla14[[#This Row],[% INTERES ]]/30*U1750))+Tabla14[[#This Row],[VALOR CUOTAS]]</f>
        <v>#VALUE!</v>
      </c>
      <c r="S1750" s="88">
        <f>-IF(Tabla14[[#This Row],[DIAS HABILES O MORA]]&lt;0,(Tabla14[[#This Row],[VALOR PRESTAMO]]*Tabla14[[#This Row],[% INTERES ]]/30*U1750))</f>
        <v>0</v>
      </c>
      <c r="T1750" s="53" t="e">
        <f>Tabla14[[#This Row],[DEUDA CAPITAL]]+Tabla14[[#This Row],[INTERES  CUOTA]]</f>
        <v>#NUM!</v>
      </c>
      <c r="U1750" s="61" t="str">
        <f t="shared" si="289"/>
        <v/>
      </c>
    </row>
    <row r="1751" spans="9:21" ht="24.75" customHeight="1" x14ac:dyDescent="0.35">
      <c r="I1751" s="42">
        <f t="shared" si="280"/>
        <v>0</v>
      </c>
      <c r="J1751" s="65" t="e">
        <f t="shared" si="281"/>
        <v>#NUM!</v>
      </c>
      <c r="K1751" s="83" t="e">
        <f t="shared" si="282"/>
        <v>#NUM!</v>
      </c>
      <c r="L1751" s="83">
        <f t="shared" si="283"/>
        <v>0</v>
      </c>
      <c r="M1751" s="110" t="str">
        <f t="shared" si="284"/>
        <v/>
      </c>
      <c r="N1751" s="51" t="str">
        <f t="shared" si="285"/>
        <v/>
      </c>
      <c r="O1751" s="52" t="str">
        <f t="shared" si="286"/>
        <v/>
      </c>
      <c r="P1751" s="88">
        <f t="shared" si="287"/>
        <v>0</v>
      </c>
      <c r="Q1751" s="88">
        <f t="shared" si="288"/>
        <v>0</v>
      </c>
      <c r="R1751" s="88" t="e">
        <f>-IF(Tabla14[[#This Row],[DIAS HABILES O MORA]]&lt;0,(Tabla14[[#This Row],[VALOR PRESTAMO]]*Tabla14[[#This Row],[% INTERES ]]/30*U1751))+Tabla14[[#This Row],[VALOR CUOTAS]]</f>
        <v>#VALUE!</v>
      </c>
      <c r="S1751" s="88">
        <f>-IF(Tabla14[[#This Row],[DIAS HABILES O MORA]]&lt;0,(Tabla14[[#This Row],[VALOR PRESTAMO]]*Tabla14[[#This Row],[% INTERES ]]/30*U1751))</f>
        <v>0</v>
      </c>
      <c r="T1751" s="53" t="e">
        <f>Tabla14[[#This Row],[DEUDA CAPITAL]]+Tabla14[[#This Row],[INTERES  CUOTA]]</f>
        <v>#NUM!</v>
      </c>
      <c r="U1751" s="61" t="str">
        <f t="shared" si="289"/>
        <v/>
      </c>
    </row>
    <row r="1752" spans="9:21" ht="24.75" customHeight="1" x14ac:dyDescent="0.35">
      <c r="I1752" s="42">
        <f t="shared" si="280"/>
        <v>0</v>
      </c>
      <c r="J1752" s="65" t="e">
        <f t="shared" si="281"/>
        <v>#NUM!</v>
      </c>
      <c r="K1752" s="83" t="e">
        <f t="shared" si="282"/>
        <v>#NUM!</v>
      </c>
      <c r="L1752" s="83">
        <f t="shared" si="283"/>
        <v>0</v>
      </c>
      <c r="M1752" s="110" t="str">
        <f t="shared" si="284"/>
        <v/>
      </c>
      <c r="N1752" s="51" t="str">
        <f t="shared" si="285"/>
        <v/>
      </c>
      <c r="O1752" s="52" t="str">
        <f t="shared" si="286"/>
        <v/>
      </c>
      <c r="P1752" s="88">
        <f t="shared" si="287"/>
        <v>0</v>
      </c>
      <c r="Q1752" s="88">
        <f t="shared" si="288"/>
        <v>0</v>
      </c>
      <c r="R1752" s="88" t="e">
        <f>-IF(Tabla14[[#This Row],[DIAS HABILES O MORA]]&lt;0,(Tabla14[[#This Row],[VALOR PRESTAMO]]*Tabla14[[#This Row],[% INTERES ]]/30*U1752))+Tabla14[[#This Row],[VALOR CUOTAS]]</f>
        <v>#VALUE!</v>
      </c>
      <c r="S1752" s="88">
        <f>-IF(Tabla14[[#This Row],[DIAS HABILES O MORA]]&lt;0,(Tabla14[[#This Row],[VALOR PRESTAMO]]*Tabla14[[#This Row],[% INTERES ]]/30*U1752))</f>
        <v>0</v>
      </c>
      <c r="T1752" s="53" t="e">
        <f>Tabla14[[#This Row],[DEUDA CAPITAL]]+Tabla14[[#This Row],[INTERES  CUOTA]]</f>
        <v>#NUM!</v>
      </c>
      <c r="U1752" s="61" t="str">
        <f t="shared" si="289"/>
        <v/>
      </c>
    </row>
    <row r="1753" spans="9:21" ht="24.75" customHeight="1" x14ac:dyDescent="0.35">
      <c r="I1753" s="42">
        <f t="shared" si="280"/>
        <v>0</v>
      </c>
      <c r="J1753" s="65" t="e">
        <f t="shared" si="281"/>
        <v>#NUM!</v>
      </c>
      <c r="K1753" s="83" t="e">
        <f t="shared" si="282"/>
        <v>#NUM!</v>
      </c>
      <c r="L1753" s="83">
        <f t="shared" si="283"/>
        <v>0</v>
      </c>
      <c r="M1753" s="110" t="str">
        <f t="shared" si="284"/>
        <v/>
      </c>
      <c r="N1753" s="51" t="str">
        <f t="shared" si="285"/>
        <v/>
      </c>
      <c r="O1753" s="52" t="str">
        <f t="shared" si="286"/>
        <v/>
      </c>
      <c r="P1753" s="88">
        <f t="shared" si="287"/>
        <v>0</v>
      </c>
      <c r="Q1753" s="88">
        <f t="shared" si="288"/>
        <v>0</v>
      </c>
      <c r="R1753" s="88" t="e">
        <f>-IF(Tabla14[[#This Row],[DIAS HABILES O MORA]]&lt;0,(Tabla14[[#This Row],[VALOR PRESTAMO]]*Tabla14[[#This Row],[% INTERES ]]/30*U1753))+Tabla14[[#This Row],[VALOR CUOTAS]]</f>
        <v>#VALUE!</v>
      </c>
      <c r="S1753" s="88">
        <f>-IF(Tabla14[[#This Row],[DIAS HABILES O MORA]]&lt;0,(Tabla14[[#This Row],[VALOR PRESTAMO]]*Tabla14[[#This Row],[% INTERES ]]/30*U1753))</f>
        <v>0</v>
      </c>
      <c r="T1753" s="53" t="e">
        <f>Tabla14[[#This Row],[DEUDA CAPITAL]]+Tabla14[[#This Row],[INTERES  CUOTA]]</f>
        <v>#NUM!</v>
      </c>
      <c r="U1753" s="61" t="str">
        <f t="shared" si="289"/>
        <v/>
      </c>
    </row>
    <row r="1754" spans="9:21" ht="24.75" customHeight="1" x14ac:dyDescent="0.35">
      <c r="I1754" s="42">
        <f t="shared" si="280"/>
        <v>0</v>
      </c>
      <c r="J1754" s="65" t="e">
        <f t="shared" si="281"/>
        <v>#NUM!</v>
      </c>
      <c r="K1754" s="83" t="e">
        <f t="shared" si="282"/>
        <v>#NUM!</v>
      </c>
      <c r="L1754" s="83">
        <f t="shared" si="283"/>
        <v>0</v>
      </c>
      <c r="M1754" s="110" t="str">
        <f t="shared" si="284"/>
        <v/>
      </c>
      <c r="N1754" s="51" t="str">
        <f t="shared" si="285"/>
        <v/>
      </c>
      <c r="O1754" s="52" t="str">
        <f t="shared" si="286"/>
        <v/>
      </c>
      <c r="P1754" s="88">
        <f t="shared" si="287"/>
        <v>0</v>
      </c>
      <c r="Q1754" s="88">
        <f t="shared" si="288"/>
        <v>0</v>
      </c>
      <c r="R1754" s="88" t="e">
        <f>-IF(Tabla14[[#This Row],[DIAS HABILES O MORA]]&lt;0,(Tabla14[[#This Row],[VALOR PRESTAMO]]*Tabla14[[#This Row],[% INTERES ]]/30*U1754))+Tabla14[[#This Row],[VALOR CUOTAS]]</f>
        <v>#VALUE!</v>
      </c>
      <c r="S1754" s="88">
        <f>-IF(Tabla14[[#This Row],[DIAS HABILES O MORA]]&lt;0,(Tabla14[[#This Row],[VALOR PRESTAMO]]*Tabla14[[#This Row],[% INTERES ]]/30*U1754))</f>
        <v>0</v>
      </c>
      <c r="T1754" s="53" t="e">
        <f>Tabla14[[#This Row],[DEUDA CAPITAL]]+Tabla14[[#This Row],[INTERES  CUOTA]]</f>
        <v>#NUM!</v>
      </c>
      <c r="U1754" s="61" t="str">
        <f t="shared" si="289"/>
        <v/>
      </c>
    </row>
    <row r="1755" spans="9:21" ht="24.75" customHeight="1" x14ac:dyDescent="0.35">
      <c r="I1755" s="42">
        <f t="shared" si="280"/>
        <v>0</v>
      </c>
      <c r="J1755" s="65" t="e">
        <f t="shared" si="281"/>
        <v>#NUM!</v>
      </c>
      <c r="K1755" s="83" t="e">
        <f t="shared" si="282"/>
        <v>#NUM!</v>
      </c>
      <c r="L1755" s="83">
        <f t="shared" si="283"/>
        <v>0</v>
      </c>
      <c r="M1755" s="110" t="str">
        <f t="shared" si="284"/>
        <v/>
      </c>
      <c r="N1755" s="51" t="str">
        <f t="shared" si="285"/>
        <v/>
      </c>
      <c r="O1755" s="52" t="str">
        <f t="shared" si="286"/>
        <v/>
      </c>
      <c r="P1755" s="88">
        <f t="shared" si="287"/>
        <v>0</v>
      </c>
      <c r="Q1755" s="88">
        <f t="shared" si="288"/>
        <v>0</v>
      </c>
      <c r="R1755" s="88" t="e">
        <f>-IF(Tabla14[[#This Row],[DIAS HABILES O MORA]]&lt;0,(Tabla14[[#This Row],[VALOR PRESTAMO]]*Tabla14[[#This Row],[% INTERES ]]/30*U1755))+Tabla14[[#This Row],[VALOR CUOTAS]]</f>
        <v>#VALUE!</v>
      </c>
      <c r="S1755" s="88">
        <f>-IF(Tabla14[[#This Row],[DIAS HABILES O MORA]]&lt;0,(Tabla14[[#This Row],[VALOR PRESTAMO]]*Tabla14[[#This Row],[% INTERES ]]/30*U1755))</f>
        <v>0</v>
      </c>
      <c r="T1755" s="53" t="e">
        <f>Tabla14[[#This Row],[DEUDA CAPITAL]]+Tabla14[[#This Row],[INTERES  CUOTA]]</f>
        <v>#NUM!</v>
      </c>
      <c r="U1755" s="61" t="str">
        <f t="shared" si="289"/>
        <v/>
      </c>
    </row>
    <row r="1756" spans="9:21" ht="24.75" customHeight="1" x14ac:dyDescent="0.35">
      <c r="I1756" s="42">
        <f t="shared" si="280"/>
        <v>0</v>
      </c>
      <c r="J1756" s="65" t="e">
        <f t="shared" si="281"/>
        <v>#NUM!</v>
      </c>
      <c r="K1756" s="83" t="e">
        <f t="shared" si="282"/>
        <v>#NUM!</v>
      </c>
      <c r="L1756" s="83">
        <f t="shared" si="283"/>
        <v>0</v>
      </c>
      <c r="M1756" s="110" t="str">
        <f t="shared" si="284"/>
        <v/>
      </c>
      <c r="N1756" s="51" t="str">
        <f t="shared" si="285"/>
        <v/>
      </c>
      <c r="O1756" s="52" t="str">
        <f t="shared" si="286"/>
        <v/>
      </c>
      <c r="P1756" s="88">
        <f t="shared" si="287"/>
        <v>0</v>
      </c>
      <c r="Q1756" s="88">
        <f t="shared" si="288"/>
        <v>0</v>
      </c>
      <c r="R1756" s="88" t="e">
        <f>-IF(Tabla14[[#This Row],[DIAS HABILES O MORA]]&lt;0,(Tabla14[[#This Row],[VALOR PRESTAMO]]*Tabla14[[#This Row],[% INTERES ]]/30*U1756))+Tabla14[[#This Row],[VALOR CUOTAS]]</f>
        <v>#VALUE!</v>
      </c>
      <c r="S1756" s="88">
        <f>-IF(Tabla14[[#This Row],[DIAS HABILES O MORA]]&lt;0,(Tabla14[[#This Row],[VALOR PRESTAMO]]*Tabla14[[#This Row],[% INTERES ]]/30*U1756))</f>
        <v>0</v>
      </c>
      <c r="T1756" s="53" t="e">
        <f>Tabla14[[#This Row],[DEUDA CAPITAL]]+Tabla14[[#This Row],[INTERES  CUOTA]]</f>
        <v>#NUM!</v>
      </c>
      <c r="U1756" s="61" t="str">
        <f t="shared" si="289"/>
        <v/>
      </c>
    </row>
    <row r="1757" spans="9:21" ht="24.75" customHeight="1" x14ac:dyDescent="0.35">
      <c r="I1757" s="42">
        <f t="shared" si="280"/>
        <v>0</v>
      </c>
      <c r="J1757" s="65" t="e">
        <f t="shared" si="281"/>
        <v>#NUM!</v>
      </c>
      <c r="K1757" s="83" t="e">
        <f t="shared" si="282"/>
        <v>#NUM!</v>
      </c>
      <c r="L1757" s="83">
        <f t="shared" si="283"/>
        <v>0</v>
      </c>
      <c r="M1757" s="110" t="str">
        <f t="shared" si="284"/>
        <v/>
      </c>
      <c r="N1757" s="51" t="str">
        <f t="shared" si="285"/>
        <v/>
      </c>
      <c r="O1757" s="52" t="str">
        <f t="shared" si="286"/>
        <v/>
      </c>
      <c r="P1757" s="88">
        <f t="shared" si="287"/>
        <v>0</v>
      </c>
      <c r="Q1757" s="88">
        <f t="shared" si="288"/>
        <v>0</v>
      </c>
      <c r="R1757" s="88" t="e">
        <f>-IF(Tabla14[[#This Row],[DIAS HABILES O MORA]]&lt;0,(Tabla14[[#This Row],[VALOR PRESTAMO]]*Tabla14[[#This Row],[% INTERES ]]/30*U1757))+Tabla14[[#This Row],[VALOR CUOTAS]]</f>
        <v>#VALUE!</v>
      </c>
      <c r="S1757" s="88">
        <f>-IF(Tabla14[[#This Row],[DIAS HABILES O MORA]]&lt;0,(Tabla14[[#This Row],[VALOR PRESTAMO]]*Tabla14[[#This Row],[% INTERES ]]/30*U1757))</f>
        <v>0</v>
      </c>
      <c r="T1757" s="53" t="e">
        <f>Tabla14[[#This Row],[DEUDA CAPITAL]]+Tabla14[[#This Row],[INTERES  CUOTA]]</f>
        <v>#NUM!</v>
      </c>
      <c r="U1757" s="61" t="str">
        <f t="shared" si="289"/>
        <v/>
      </c>
    </row>
    <row r="1758" spans="9:21" ht="24.75" customHeight="1" x14ac:dyDescent="0.35">
      <c r="I1758" s="42">
        <f t="shared" si="280"/>
        <v>0</v>
      </c>
      <c r="J1758" s="65" t="e">
        <f t="shared" si="281"/>
        <v>#NUM!</v>
      </c>
      <c r="K1758" s="83" t="e">
        <f t="shared" si="282"/>
        <v>#NUM!</v>
      </c>
      <c r="L1758" s="83">
        <f t="shared" si="283"/>
        <v>0</v>
      </c>
      <c r="M1758" s="110" t="str">
        <f t="shared" si="284"/>
        <v/>
      </c>
      <c r="N1758" s="51" t="str">
        <f t="shared" si="285"/>
        <v/>
      </c>
      <c r="O1758" s="52" t="str">
        <f t="shared" si="286"/>
        <v/>
      </c>
      <c r="P1758" s="88">
        <f t="shared" si="287"/>
        <v>0</v>
      </c>
      <c r="Q1758" s="88">
        <f t="shared" si="288"/>
        <v>0</v>
      </c>
      <c r="R1758" s="88" t="e">
        <f>-IF(Tabla14[[#This Row],[DIAS HABILES O MORA]]&lt;0,(Tabla14[[#This Row],[VALOR PRESTAMO]]*Tabla14[[#This Row],[% INTERES ]]/30*U1758))+Tabla14[[#This Row],[VALOR CUOTAS]]</f>
        <v>#VALUE!</v>
      </c>
      <c r="S1758" s="88">
        <f>-IF(Tabla14[[#This Row],[DIAS HABILES O MORA]]&lt;0,(Tabla14[[#This Row],[VALOR PRESTAMO]]*Tabla14[[#This Row],[% INTERES ]]/30*U1758))</f>
        <v>0</v>
      </c>
      <c r="T1758" s="53" t="e">
        <f>Tabla14[[#This Row],[DEUDA CAPITAL]]+Tabla14[[#This Row],[INTERES  CUOTA]]</f>
        <v>#NUM!</v>
      </c>
      <c r="U1758" s="61" t="str">
        <f t="shared" si="289"/>
        <v/>
      </c>
    </row>
    <row r="1759" spans="9:21" ht="24.75" customHeight="1" x14ac:dyDescent="0.35">
      <c r="I1759" s="42">
        <f t="shared" si="280"/>
        <v>0</v>
      </c>
      <c r="J1759" s="65" t="e">
        <f t="shared" si="281"/>
        <v>#NUM!</v>
      </c>
      <c r="K1759" s="83" t="e">
        <f t="shared" si="282"/>
        <v>#NUM!</v>
      </c>
      <c r="L1759" s="83">
        <f t="shared" si="283"/>
        <v>0</v>
      </c>
      <c r="M1759" s="110" t="str">
        <f t="shared" si="284"/>
        <v/>
      </c>
      <c r="N1759" s="51" t="str">
        <f t="shared" si="285"/>
        <v/>
      </c>
      <c r="O1759" s="52" t="str">
        <f t="shared" si="286"/>
        <v/>
      </c>
      <c r="P1759" s="88">
        <f t="shared" si="287"/>
        <v>0</v>
      </c>
      <c r="Q1759" s="88">
        <f t="shared" si="288"/>
        <v>0</v>
      </c>
      <c r="R1759" s="88" t="e">
        <f>-IF(Tabla14[[#This Row],[DIAS HABILES O MORA]]&lt;0,(Tabla14[[#This Row],[VALOR PRESTAMO]]*Tabla14[[#This Row],[% INTERES ]]/30*U1759))+Tabla14[[#This Row],[VALOR CUOTAS]]</f>
        <v>#VALUE!</v>
      </c>
      <c r="S1759" s="88">
        <f>-IF(Tabla14[[#This Row],[DIAS HABILES O MORA]]&lt;0,(Tabla14[[#This Row],[VALOR PRESTAMO]]*Tabla14[[#This Row],[% INTERES ]]/30*U1759))</f>
        <v>0</v>
      </c>
      <c r="T1759" s="53" t="e">
        <f>Tabla14[[#This Row],[DEUDA CAPITAL]]+Tabla14[[#This Row],[INTERES  CUOTA]]</f>
        <v>#NUM!</v>
      </c>
      <c r="U1759" s="61" t="str">
        <f t="shared" si="289"/>
        <v/>
      </c>
    </row>
    <row r="1760" spans="9:21" ht="24.75" customHeight="1" x14ac:dyDescent="0.35">
      <c r="I1760" s="42">
        <f t="shared" si="280"/>
        <v>0</v>
      </c>
      <c r="J1760" s="65" t="e">
        <f t="shared" si="281"/>
        <v>#NUM!</v>
      </c>
      <c r="K1760" s="83" t="e">
        <f t="shared" si="282"/>
        <v>#NUM!</v>
      </c>
      <c r="L1760" s="83">
        <f t="shared" si="283"/>
        <v>0</v>
      </c>
      <c r="M1760" s="110" t="str">
        <f t="shared" si="284"/>
        <v/>
      </c>
      <c r="N1760" s="51" t="str">
        <f t="shared" si="285"/>
        <v/>
      </c>
      <c r="O1760" s="52" t="str">
        <f t="shared" si="286"/>
        <v/>
      </c>
      <c r="P1760" s="88">
        <f t="shared" si="287"/>
        <v>0</v>
      </c>
      <c r="Q1760" s="88">
        <f t="shared" si="288"/>
        <v>0</v>
      </c>
      <c r="R1760" s="88" t="e">
        <f>-IF(Tabla14[[#This Row],[DIAS HABILES O MORA]]&lt;0,(Tabla14[[#This Row],[VALOR PRESTAMO]]*Tabla14[[#This Row],[% INTERES ]]/30*U1760))+Tabla14[[#This Row],[VALOR CUOTAS]]</f>
        <v>#VALUE!</v>
      </c>
      <c r="S1760" s="88">
        <f>-IF(Tabla14[[#This Row],[DIAS HABILES O MORA]]&lt;0,(Tabla14[[#This Row],[VALOR PRESTAMO]]*Tabla14[[#This Row],[% INTERES ]]/30*U1760))</f>
        <v>0</v>
      </c>
      <c r="T1760" s="53" t="e">
        <f>Tabla14[[#This Row],[DEUDA CAPITAL]]+Tabla14[[#This Row],[INTERES  CUOTA]]</f>
        <v>#NUM!</v>
      </c>
      <c r="U1760" s="61" t="str">
        <f t="shared" si="289"/>
        <v/>
      </c>
    </row>
    <row r="1761" spans="9:21" ht="24.75" customHeight="1" x14ac:dyDescent="0.35">
      <c r="I1761" s="42">
        <f t="shared" si="280"/>
        <v>0</v>
      </c>
      <c r="J1761" s="65" t="e">
        <f t="shared" si="281"/>
        <v>#NUM!</v>
      </c>
      <c r="K1761" s="83" t="e">
        <f t="shared" si="282"/>
        <v>#NUM!</v>
      </c>
      <c r="L1761" s="83">
        <f t="shared" si="283"/>
        <v>0</v>
      </c>
      <c r="M1761" s="110" t="str">
        <f t="shared" si="284"/>
        <v/>
      </c>
      <c r="N1761" s="51" t="str">
        <f t="shared" si="285"/>
        <v/>
      </c>
      <c r="O1761" s="52" t="str">
        <f t="shared" si="286"/>
        <v/>
      </c>
      <c r="P1761" s="88">
        <f t="shared" si="287"/>
        <v>0</v>
      </c>
      <c r="Q1761" s="88">
        <f t="shared" si="288"/>
        <v>0</v>
      </c>
      <c r="R1761" s="88" t="e">
        <f>-IF(Tabla14[[#This Row],[DIAS HABILES O MORA]]&lt;0,(Tabla14[[#This Row],[VALOR PRESTAMO]]*Tabla14[[#This Row],[% INTERES ]]/30*U1761))+Tabla14[[#This Row],[VALOR CUOTAS]]</f>
        <v>#VALUE!</v>
      </c>
      <c r="S1761" s="88">
        <f>-IF(Tabla14[[#This Row],[DIAS HABILES O MORA]]&lt;0,(Tabla14[[#This Row],[VALOR PRESTAMO]]*Tabla14[[#This Row],[% INTERES ]]/30*U1761))</f>
        <v>0</v>
      </c>
      <c r="T1761" s="53" t="e">
        <f>Tabla14[[#This Row],[DEUDA CAPITAL]]+Tabla14[[#This Row],[INTERES  CUOTA]]</f>
        <v>#NUM!</v>
      </c>
      <c r="U1761" s="61" t="str">
        <f t="shared" si="289"/>
        <v/>
      </c>
    </row>
    <row r="1762" spans="9:21" ht="24.75" customHeight="1" x14ac:dyDescent="0.35">
      <c r="I1762" s="42">
        <f t="shared" si="280"/>
        <v>0</v>
      </c>
      <c r="J1762" s="65" t="e">
        <f t="shared" si="281"/>
        <v>#NUM!</v>
      </c>
      <c r="K1762" s="83" t="e">
        <f t="shared" si="282"/>
        <v>#NUM!</v>
      </c>
      <c r="L1762" s="83">
        <f t="shared" si="283"/>
        <v>0</v>
      </c>
      <c r="M1762" s="110" t="str">
        <f t="shared" si="284"/>
        <v/>
      </c>
      <c r="N1762" s="51" t="str">
        <f t="shared" si="285"/>
        <v/>
      </c>
      <c r="O1762" s="52" t="str">
        <f t="shared" si="286"/>
        <v/>
      </c>
      <c r="P1762" s="88">
        <f t="shared" si="287"/>
        <v>0</v>
      </c>
      <c r="Q1762" s="88">
        <f t="shared" si="288"/>
        <v>0</v>
      </c>
      <c r="R1762" s="88" t="e">
        <f>-IF(Tabla14[[#This Row],[DIAS HABILES O MORA]]&lt;0,(Tabla14[[#This Row],[VALOR PRESTAMO]]*Tabla14[[#This Row],[% INTERES ]]/30*U1762))+Tabla14[[#This Row],[VALOR CUOTAS]]</f>
        <v>#VALUE!</v>
      </c>
      <c r="S1762" s="88">
        <f>-IF(Tabla14[[#This Row],[DIAS HABILES O MORA]]&lt;0,(Tabla14[[#This Row],[VALOR PRESTAMO]]*Tabla14[[#This Row],[% INTERES ]]/30*U1762))</f>
        <v>0</v>
      </c>
      <c r="T1762" s="53" t="e">
        <f>Tabla14[[#This Row],[DEUDA CAPITAL]]+Tabla14[[#This Row],[INTERES  CUOTA]]</f>
        <v>#NUM!</v>
      </c>
      <c r="U1762" s="61" t="str">
        <f t="shared" si="289"/>
        <v/>
      </c>
    </row>
    <row r="1763" spans="9:21" ht="24.75" customHeight="1" x14ac:dyDescent="0.35">
      <c r="I1763" s="42">
        <f t="shared" si="280"/>
        <v>0</v>
      </c>
      <c r="J1763" s="65" t="e">
        <f t="shared" si="281"/>
        <v>#NUM!</v>
      </c>
      <c r="K1763" s="83" t="e">
        <f t="shared" si="282"/>
        <v>#NUM!</v>
      </c>
      <c r="L1763" s="83">
        <f t="shared" si="283"/>
        <v>0</v>
      </c>
      <c r="M1763" s="110" t="str">
        <f t="shared" si="284"/>
        <v/>
      </c>
      <c r="N1763" s="51" t="str">
        <f t="shared" si="285"/>
        <v/>
      </c>
      <c r="O1763" s="52" t="str">
        <f t="shared" si="286"/>
        <v/>
      </c>
      <c r="P1763" s="88">
        <f t="shared" si="287"/>
        <v>0</v>
      </c>
      <c r="Q1763" s="88">
        <f t="shared" si="288"/>
        <v>0</v>
      </c>
      <c r="R1763" s="88" t="e">
        <f>-IF(Tabla14[[#This Row],[DIAS HABILES O MORA]]&lt;0,(Tabla14[[#This Row],[VALOR PRESTAMO]]*Tabla14[[#This Row],[% INTERES ]]/30*U1763))+Tabla14[[#This Row],[VALOR CUOTAS]]</f>
        <v>#VALUE!</v>
      </c>
      <c r="S1763" s="88">
        <f>-IF(Tabla14[[#This Row],[DIAS HABILES O MORA]]&lt;0,(Tabla14[[#This Row],[VALOR PRESTAMO]]*Tabla14[[#This Row],[% INTERES ]]/30*U1763))</f>
        <v>0</v>
      </c>
      <c r="T1763" s="53" t="e">
        <f>Tabla14[[#This Row],[DEUDA CAPITAL]]+Tabla14[[#This Row],[INTERES  CUOTA]]</f>
        <v>#NUM!</v>
      </c>
      <c r="U1763" s="61" t="str">
        <f t="shared" si="289"/>
        <v/>
      </c>
    </row>
    <row r="1764" spans="9:21" ht="24.75" customHeight="1" x14ac:dyDescent="0.35">
      <c r="I1764" s="42">
        <f t="shared" si="280"/>
        <v>0</v>
      </c>
      <c r="J1764" s="65" t="e">
        <f t="shared" si="281"/>
        <v>#NUM!</v>
      </c>
      <c r="K1764" s="83" t="e">
        <f t="shared" si="282"/>
        <v>#NUM!</v>
      </c>
      <c r="L1764" s="83">
        <f t="shared" si="283"/>
        <v>0</v>
      </c>
      <c r="M1764" s="110" t="str">
        <f t="shared" si="284"/>
        <v/>
      </c>
      <c r="N1764" s="51" t="str">
        <f t="shared" si="285"/>
        <v/>
      </c>
      <c r="O1764" s="52" t="str">
        <f t="shared" si="286"/>
        <v/>
      </c>
      <c r="P1764" s="88">
        <f t="shared" si="287"/>
        <v>0</v>
      </c>
      <c r="Q1764" s="88">
        <f t="shared" si="288"/>
        <v>0</v>
      </c>
      <c r="R1764" s="88" t="e">
        <f>-IF(Tabla14[[#This Row],[DIAS HABILES O MORA]]&lt;0,(Tabla14[[#This Row],[VALOR PRESTAMO]]*Tabla14[[#This Row],[% INTERES ]]/30*U1764))+Tabla14[[#This Row],[VALOR CUOTAS]]</f>
        <v>#VALUE!</v>
      </c>
      <c r="S1764" s="88">
        <f>-IF(Tabla14[[#This Row],[DIAS HABILES O MORA]]&lt;0,(Tabla14[[#This Row],[VALOR PRESTAMO]]*Tabla14[[#This Row],[% INTERES ]]/30*U1764))</f>
        <v>0</v>
      </c>
      <c r="T1764" s="53" t="e">
        <f>Tabla14[[#This Row],[DEUDA CAPITAL]]+Tabla14[[#This Row],[INTERES  CUOTA]]</f>
        <v>#NUM!</v>
      </c>
      <c r="U1764" s="61" t="str">
        <f t="shared" si="289"/>
        <v/>
      </c>
    </row>
    <row r="1765" spans="9:21" ht="24.75" customHeight="1" x14ac:dyDescent="0.35">
      <c r="I1765" s="42">
        <f t="shared" si="280"/>
        <v>0</v>
      </c>
      <c r="J1765" s="65" t="e">
        <f t="shared" si="281"/>
        <v>#NUM!</v>
      </c>
      <c r="K1765" s="83" t="e">
        <f t="shared" si="282"/>
        <v>#NUM!</v>
      </c>
      <c r="L1765" s="83">
        <f t="shared" si="283"/>
        <v>0</v>
      </c>
      <c r="M1765" s="110" t="str">
        <f t="shared" si="284"/>
        <v/>
      </c>
      <c r="N1765" s="51" t="str">
        <f t="shared" si="285"/>
        <v/>
      </c>
      <c r="O1765" s="52" t="str">
        <f t="shared" si="286"/>
        <v/>
      </c>
      <c r="P1765" s="88">
        <f t="shared" si="287"/>
        <v>0</v>
      </c>
      <c r="Q1765" s="88">
        <f t="shared" si="288"/>
        <v>0</v>
      </c>
      <c r="R1765" s="88" t="e">
        <f>-IF(Tabla14[[#This Row],[DIAS HABILES O MORA]]&lt;0,(Tabla14[[#This Row],[VALOR PRESTAMO]]*Tabla14[[#This Row],[% INTERES ]]/30*U1765))+Tabla14[[#This Row],[VALOR CUOTAS]]</f>
        <v>#VALUE!</v>
      </c>
      <c r="S1765" s="88">
        <f>-IF(Tabla14[[#This Row],[DIAS HABILES O MORA]]&lt;0,(Tabla14[[#This Row],[VALOR PRESTAMO]]*Tabla14[[#This Row],[% INTERES ]]/30*U1765))</f>
        <v>0</v>
      </c>
      <c r="T1765" s="53" t="e">
        <f>Tabla14[[#This Row],[DEUDA CAPITAL]]+Tabla14[[#This Row],[INTERES  CUOTA]]</f>
        <v>#NUM!</v>
      </c>
      <c r="U1765" s="61" t="str">
        <f t="shared" si="289"/>
        <v/>
      </c>
    </row>
    <row r="1766" spans="9:21" ht="24.75" customHeight="1" x14ac:dyDescent="0.35">
      <c r="I1766" s="42">
        <f t="shared" si="280"/>
        <v>0</v>
      </c>
      <c r="J1766" s="65" t="e">
        <f t="shared" si="281"/>
        <v>#NUM!</v>
      </c>
      <c r="K1766" s="83" t="e">
        <f t="shared" si="282"/>
        <v>#NUM!</v>
      </c>
      <c r="L1766" s="83">
        <f t="shared" si="283"/>
        <v>0</v>
      </c>
      <c r="M1766" s="110" t="str">
        <f t="shared" si="284"/>
        <v/>
      </c>
      <c r="N1766" s="51" t="str">
        <f t="shared" si="285"/>
        <v/>
      </c>
      <c r="O1766" s="52" t="str">
        <f t="shared" si="286"/>
        <v/>
      </c>
      <c r="P1766" s="88">
        <f t="shared" si="287"/>
        <v>0</v>
      </c>
      <c r="Q1766" s="88">
        <f t="shared" si="288"/>
        <v>0</v>
      </c>
      <c r="R1766" s="88" t="e">
        <f>-IF(Tabla14[[#This Row],[DIAS HABILES O MORA]]&lt;0,(Tabla14[[#This Row],[VALOR PRESTAMO]]*Tabla14[[#This Row],[% INTERES ]]/30*U1766))+Tabla14[[#This Row],[VALOR CUOTAS]]</f>
        <v>#VALUE!</v>
      </c>
      <c r="S1766" s="88">
        <f>-IF(Tabla14[[#This Row],[DIAS HABILES O MORA]]&lt;0,(Tabla14[[#This Row],[VALOR PRESTAMO]]*Tabla14[[#This Row],[% INTERES ]]/30*U1766))</f>
        <v>0</v>
      </c>
      <c r="T1766" s="53" t="e">
        <f>Tabla14[[#This Row],[DEUDA CAPITAL]]+Tabla14[[#This Row],[INTERES  CUOTA]]</f>
        <v>#NUM!</v>
      </c>
      <c r="U1766" s="61" t="str">
        <f t="shared" si="289"/>
        <v/>
      </c>
    </row>
    <row r="1767" spans="9:21" ht="24.75" customHeight="1" x14ac:dyDescent="0.35">
      <c r="I1767" s="42">
        <f t="shared" si="280"/>
        <v>0</v>
      </c>
      <c r="J1767" s="65" t="e">
        <f t="shared" si="281"/>
        <v>#NUM!</v>
      </c>
      <c r="K1767" s="83" t="e">
        <f t="shared" si="282"/>
        <v>#NUM!</v>
      </c>
      <c r="L1767" s="83">
        <f t="shared" si="283"/>
        <v>0</v>
      </c>
      <c r="M1767" s="110" t="str">
        <f t="shared" si="284"/>
        <v/>
      </c>
      <c r="N1767" s="51" t="str">
        <f t="shared" si="285"/>
        <v/>
      </c>
      <c r="O1767" s="52" t="str">
        <f t="shared" si="286"/>
        <v/>
      </c>
      <c r="P1767" s="88">
        <f t="shared" si="287"/>
        <v>0</v>
      </c>
      <c r="Q1767" s="88">
        <f t="shared" si="288"/>
        <v>0</v>
      </c>
      <c r="R1767" s="88" t="e">
        <f>-IF(Tabla14[[#This Row],[DIAS HABILES O MORA]]&lt;0,(Tabla14[[#This Row],[VALOR PRESTAMO]]*Tabla14[[#This Row],[% INTERES ]]/30*U1767))+Tabla14[[#This Row],[VALOR CUOTAS]]</f>
        <v>#VALUE!</v>
      </c>
      <c r="S1767" s="88">
        <f>-IF(Tabla14[[#This Row],[DIAS HABILES O MORA]]&lt;0,(Tabla14[[#This Row],[VALOR PRESTAMO]]*Tabla14[[#This Row],[% INTERES ]]/30*U1767))</f>
        <v>0</v>
      </c>
      <c r="T1767" s="53" t="e">
        <f>Tabla14[[#This Row],[DEUDA CAPITAL]]+Tabla14[[#This Row],[INTERES  CUOTA]]</f>
        <v>#NUM!</v>
      </c>
      <c r="U1767" s="61" t="str">
        <f t="shared" si="289"/>
        <v/>
      </c>
    </row>
    <row r="1768" spans="9:21" ht="24.75" customHeight="1" x14ac:dyDescent="0.35">
      <c r="I1768" s="42">
        <f t="shared" si="280"/>
        <v>0</v>
      </c>
      <c r="J1768" s="65" t="e">
        <f t="shared" si="281"/>
        <v>#NUM!</v>
      </c>
      <c r="K1768" s="83" t="e">
        <f t="shared" si="282"/>
        <v>#NUM!</v>
      </c>
      <c r="L1768" s="83">
        <f t="shared" si="283"/>
        <v>0</v>
      </c>
      <c r="M1768" s="110" t="str">
        <f t="shared" si="284"/>
        <v/>
      </c>
      <c r="N1768" s="51" t="str">
        <f t="shared" si="285"/>
        <v/>
      </c>
      <c r="O1768" s="52" t="str">
        <f t="shared" si="286"/>
        <v/>
      </c>
      <c r="P1768" s="88">
        <f t="shared" si="287"/>
        <v>0</v>
      </c>
      <c r="Q1768" s="88">
        <f t="shared" si="288"/>
        <v>0</v>
      </c>
      <c r="R1768" s="88" t="e">
        <f>-IF(Tabla14[[#This Row],[DIAS HABILES O MORA]]&lt;0,(Tabla14[[#This Row],[VALOR PRESTAMO]]*Tabla14[[#This Row],[% INTERES ]]/30*U1768))+Tabla14[[#This Row],[VALOR CUOTAS]]</f>
        <v>#VALUE!</v>
      </c>
      <c r="S1768" s="88">
        <f>-IF(Tabla14[[#This Row],[DIAS HABILES O MORA]]&lt;0,(Tabla14[[#This Row],[VALOR PRESTAMO]]*Tabla14[[#This Row],[% INTERES ]]/30*U1768))</f>
        <v>0</v>
      </c>
      <c r="T1768" s="53" t="e">
        <f>Tabla14[[#This Row],[DEUDA CAPITAL]]+Tabla14[[#This Row],[INTERES  CUOTA]]</f>
        <v>#NUM!</v>
      </c>
      <c r="U1768" s="61" t="str">
        <f t="shared" si="289"/>
        <v/>
      </c>
    </row>
    <row r="1769" spans="9:21" ht="24.75" customHeight="1" x14ac:dyDescent="0.35">
      <c r="I1769" s="42">
        <f t="shared" si="280"/>
        <v>0</v>
      </c>
      <c r="J1769" s="65" t="e">
        <f t="shared" si="281"/>
        <v>#NUM!</v>
      </c>
      <c r="K1769" s="83" t="e">
        <f t="shared" si="282"/>
        <v>#NUM!</v>
      </c>
      <c r="L1769" s="83">
        <f t="shared" si="283"/>
        <v>0</v>
      </c>
      <c r="M1769" s="110" t="str">
        <f t="shared" si="284"/>
        <v/>
      </c>
      <c r="N1769" s="51" t="str">
        <f t="shared" si="285"/>
        <v/>
      </c>
      <c r="O1769" s="52" t="str">
        <f t="shared" si="286"/>
        <v/>
      </c>
      <c r="P1769" s="88">
        <f t="shared" si="287"/>
        <v>0</v>
      </c>
      <c r="Q1769" s="88">
        <f t="shared" si="288"/>
        <v>0</v>
      </c>
      <c r="R1769" s="88" t="e">
        <f>-IF(Tabla14[[#This Row],[DIAS HABILES O MORA]]&lt;0,(Tabla14[[#This Row],[VALOR PRESTAMO]]*Tabla14[[#This Row],[% INTERES ]]/30*U1769))+Tabla14[[#This Row],[VALOR CUOTAS]]</f>
        <v>#VALUE!</v>
      </c>
      <c r="S1769" s="88">
        <f>-IF(Tabla14[[#This Row],[DIAS HABILES O MORA]]&lt;0,(Tabla14[[#This Row],[VALOR PRESTAMO]]*Tabla14[[#This Row],[% INTERES ]]/30*U1769))</f>
        <v>0</v>
      </c>
      <c r="T1769" s="53" t="e">
        <f>Tabla14[[#This Row],[DEUDA CAPITAL]]+Tabla14[[#This Row],[INTERES  CUOTA]]</f>
        <v>#NUM!</v>
      </c>
      <c r="U1769" s="61" t="str">
        <f t="shared" si="289"/>
        <v/>
      </c>
    </row>
    <row r="1770" spans="9:21" ht="24.75" customHeight="1" x14ac:dyDescent="0.35">
      <c r="I1770" s="42">
        <f t="shared" si="280"/>
        <v>0</v>
      </c>
      <c r="J1770" s="65" t="e">
        <f t="shared" si="281"/>
        <v>#NUM!</v>
      </c>
      <c r="K1770" s="83" t="e">
        <f t="shared" si="282"/>
        <v>#NUM!</v>
      </c>
      <c r="L1770" s="83">
        <f t="shared" si="283"/>
        <v>0</v>
      </c>
      <c r="M1770" s="110" t="str">
        <f t="shared" si="284"/>
        <v/>
      </c>
      <c r="N1770" s="51" t="str">
        <f t="shared" si="285"/>
        <v/>
      </c>
      <c r="O1770" s="52" t="str">
        <f t="shared" si="286"/>
        <v/>
      </c>
      <c r="P1770" s="88">
        <f t="shared" si="287"/>
        <v>0</v>
      </c>
      <c r="Q1770" s="88">
        <f t="shared" si="288"/>
        <v>0</v>
      </c>
      <c r="R1770" s="88" t="e">
        <f>-IF(Tabla14[[#This Row],[DIAS HABILES O MORA]]&lt;0,(Tabla14[[#This Row],[VALOR PRESTAMO]]*Tabla14[[#This Row],[% INTERES ]]/30*U1770))+Tabla14[[#This Row],[VALOR CUOTAS]]</f>
        <v>#VALUE!</v>
      </c>
      <c r="S1770" s="88">
        <f>-IF(Tabla14[[#This Row],[DIAS HABILES O MORA]]&lt;0,(Tabla14[[#This Row],[VALOR PRESTAMO]]*Tabla14[[#This Row],[% INTERES ]]/30*U1770))</f>
        <v>0</v>
      </c>
      <c r="T1770" s="53" t="e">
        <f>Tabla14[[#This Row],[DEUDA CAPITAL]]+Tabla14[[#This Row],[INTERES  CUOTA]]</f>
        <v>#NUM!</v>
      </c>
      <c r="U1770" s="61" t="str">
        <f t="shared" si="289"/>
        <v/>
      </c>
    </row>
    <row r="1771" spans="9:21" ht="24.75" customHeight="1" x14ac:dyDescent="0.35">
      <c r="I1771" s="42">
        <f t="shared" si="280"/>
        <v>0</v>
      </c>
      <c r="J1771" s="65" t="e">
        <f t="shared" si="281"/>
        <v>#NUM!</v>
      </c>
      <c r="K1771" s="83" t="e">
        <f t="shared" si="282"/>
        <v>#NUM!</v>
      </c>
      <c r="L1771" s="83">
        <f t="shared" si="283"/>
        <v>0</v>
      </c>
      <c r="M1771" s="110" t="str">
        <f t="shared" si="284"/>
        <v/>
      </c>
      <c r="N1771" s="51" t="str">
        <f t="shared" si="285"/>
        <v/>
      </c>
      <c r="O1771" s="52" t="str">
        <f t="shared" si="286"/>
        <v/>
      </c>
      <c r="P1771" s="88">
        <f t="shared" si="287"/>
        <v>0</v>
      </c>
      <c r="Q1771" s="88">
        <f t="shared" si="288"/>
        <v>0</v>
      </c>
      <c r="R1771" s="88" t="e">
        <f>-IF(Tabla14[[#This Row],[DIAS HABILES O MORA]]&lt;0,(Tabla14[[#This Row],[VALOR PRESTAMO]]*Tabla14[[#This Row],[% INTERES ]]/30*U1771))+Tabla14[[#This Row],[VALOR CUOTAS]]</f>
        <v>#VALUE!</v>
      </c>
      <c r="S1771" s="88">
        <f>-IF(Tabla14[[#This Row],[DIAS HABILES O MORA]]&lt;0,(Tabla14[[#This Row],[VALOR PRESTAMO]]*Tabla14[[#This Row],[% INTERES ]]/30*U1771))</f>
        <v>0</v>
      </c>
      <c r="T1771" s="53" t="e">
        <f>Tabla14[[#This Row],[DEUDA CAPITAL]]+Tabla14[[#This Row],[INTERES  CUOTA]]</f>
        <v>#NUM!</v>
      </c>
      <c r="U1771" s="61" t="str">
        <f t="shared" si="289"/>
        <v/>
      </c>
    </row>
    <row r="1772" spans="9:21" ht="24.75" customHeight="1" x14ac:dyDescent="0.35">
      <c r="I1772" s="42">
        <f t="shared" si="280"/>
        <v>0</v>
      </c>
      <c r="J1772" s="65" t="e">
        <f t="shared" si="281"/>
        <v>#NUM!</v>
      </c>
      <c r="K1772" s="83" t="e">
        <f t="shared" si="282"/>
        <v>#NUM!</v>
      </c>
      <c r="L1772" s="83">
        <f t="shared" si="283"/>
        <v>0</v>
      </c>
      <c r="M1772" s="110" t="str">
        <f t="shared" si="284"/>
        <v/>
      </c>
      <c r="N1772" s="51" t="str">
        <f t="shared" si="285"/>
        <v/>
      </c>
      <c r="O1772" s="52" t="str">
        <f t="shared" si="286"/>
        <v/>
      </c>
      <c r="P1772" s="88">
        <f t="shared" si="287"/>
        <v>0</v>
      </c>
      <c r="Q1772" s="88">
        <f t="shared" si="288"/>
        <v>0</v>
      </c>
      <c r="R1772" s="88" t="e">
        <f>-IF(Tabla14[[#This Row],[DIAS HABILES O MORA]]&lt;0,(Tabla14[[#This Row],[VALOR PRESTAMO]]*Tabla14[[#This Row],[% INTERES ]]/30*U1772))+Tabla14[[#This Row],[VALOR CUOTAS]]</f>
        <v>#VALUE!</v>
      </c>
      <c r="S1772" s="88">
        <f>-IF(Tabla14[[#This Row],[DIAS HABILES O MORA]]&lt;0,(Tabla14[[#This Row],[VALOR PRESTAMO]]*Tabla14[[#This Row],[% INTERES ]]/30*U1772))</f>
        <v>0</v>
      </c>
      <c r="T1772" s="53" t="e">
        <f>Tabla14[[#This Row],[DEUDA CAPITAL]]+Tabla14[[#This Row],[INTERES  CUOTA]]</f>
        <v>#NUM!</v>
      </c>
      <c r="U1772" s="61" t="str">
        <f t="shared" si="289"/>
        <v/>
      </c>
    </row>
    <row r="1773" spans="9:21" ht="24.75" customHeight="1" x14ac:dyDescent="0.35">
      <c r="I1773" s="42">
        <f t="shared" si="280"/>
        <v>0</v>
      </c>
      <c r="J1773" s="65" t="e">
        <f t="shared" si="281"/>
        <v>#NUM!</v>
      </c>
      <c r="K1773" s="83" t="e">
        <f t="shared" si="282"/>
        <v>#NUM!</v>
      </c>
      <c r="L1773" s="83">
        <f t="shared" si="283"/>
        <v>0</v>
      </c>
      <c r="M1773" s="110" t="str">
        <f t="shared" si="284"/>
        <v/>
      </c>
      <c r="N1773" s="51" t="str">
        <f t="shared" si="285"/>
        <v/>
      </c>
      <c r="O1773" s="52" t="str">
        <f t="shared" si="286"/>
        <v/>
      </c>
      <c r="P1773" s="88">
        <f t="shared" si="287"/>
        <v>0</v>
      </c>
      <c r="Q1773" s="88">
        <f t="shared" si="288"/>
        <v>0</v>
      </c>
      <c r="R1773" s="88" t="e">
        <f>-IF(Tabla14[[#This Row],[DIAS HABILES O MORA]]&lt;0,(Tabla14[[#This Row],[VALOR PRESTAMO]]*Tabla14[[#This Row],[% INTERES ]]/30*U1773))+Tabla14[[#This Row],[VALOR CUOTAS]]</f>
        <v>#VALUE!</v>
      </c>
      <c r="S1773" s="88">
        <f>-IF(Tabla14[[#This Row],[DIAS HABILES O MORA]]&lt;0,(Tabla14[[#This Row],[VALOR PRESTAMO]]*Tabla14[[#This Row],[% INTERES ]]/30*U1773))</f>
        <v>0</v>
      </c>
      <c r="T1773" s="53" t="e">
        <f>Tabla14[[#This Row],[DEUDA CAPITAL]]+Tabla14[[#This Row],[INTERES  CUOTA]]</f>
        <v>#NUM!</v>
      </c>
      <c r="U1773" s="61" t="str">
        <f t="shared" si="289"/>
        <v/>
      </c>
    </row>
    <row r="1774" spans="9:21" ht="24.75" customHeight="1" x14ac:dyDescent="0.35">
      <c r="I1774" s="42">
        <f t="shared" si="280"/>
        <v>0</v>
      </c>
      <c r="J1774" s="65" t="e">
        <f t="shared" si="281"/>
        <v>#NUM!</v>
      </c>
      <c r="K1774" s="83" t="e">
        <f t="shared" si="282"/>
        <v>#NUM!</v>
      </c>
      <c r="L1774" s="83">
        <f t="shared" si="283"/>
        <v>0</v>
      </c>
      <c r="M1774" s="110" t="str">
        <f t="shared" si="284"/>
        <v/>
      </c>
      <c r="N1774" s="51" t="str">
        <f t="shared" si="285"/>
        <v/>
      </c>
      <c r="O1774" s="52" t="str">
        <f t="shared" si="286"/>
        <v/>
      </c>
      <c r="P1774" s="88">
        <f t="shared" si="287"/>
        <v>0</v>
      </c>
      <c r="Q1774" s="88">
        <f t="shared" si="288"/>
        <v>0</v>
      </c>
      <c r="R1774" s="88" t="e">
        <f>-IF(Tabla14[[#This Row],[DIAS HABILES O MORA]]&lt;0,(Tabla14[[#This Row],[VALOR PRESTAMO]]*Tabla14[[#This Row],[% INTERES ]]/30*U1774))+Tabla14[[#This Row],[VALOR CUOTAS]]</f>
        <v>#VALUE!</v>
      </c>
      <c r="S1774" s="88">
        <f>-IF(Tabla14[[#This Row],[DIAS HABILES O MORA]]&lt;0,(Tabla14[[#This Row],[VALOR PRESTAMO]]*Tabla14[[#This Row],[% INTERES ]]/30*U1774))</f>
        <v>0</v>
      </c>
      <c r="T1774" s="53" t="e">
        <f>Tabla14[[#This Row],[DEUDA CAPITAL]]+Tabla14[[#This Row],[INTERES  CUOTA]]</f>
        <v>#NUM!</v>
      </c>
      <c r="U1774" s="61" t="str">
        <f t="shared" si="289"/>
        <v/>
      </c>
    </row>
    <row r="1775" spans="9:21" ht="24.75" customHeight="1" x14ac:dyDescent="0.35">
      <c r="I1775" s="42">
        <f t="shared" si="280"/>
        <v>0</v>
      </c>
      <c r="J1775" s="65" t="e">
        <f t="shared" si="281"/>
        <v>#NUM!</v>
      </c>
      <c r="K1775" s="83" t="e">
        <f t="shared" si="282"/>
        <v>#NUM!</v>
      </c>
      <c r="L1775" s="83">
        <f t="shared" si="283"/>
        <v>0</v>
      </c>
      <c r="M1775" s="110" t="str">
        <f t="shared" si="284"/>
        <v/>
      </c>
      <c r="N1775" s="51" t="str">
        <f t="shared" si="285"/>
        <v/>
      </c>
      <c r="O1775" s="52" t="str">
        <f t="shared" si="286"/>
        <v/>
      </c>
      <c r="P1775" s="88">
        <f t="shared" si="287"/>
        <v>0</v>
      </c>
      <c r="Q1775" s="88">
        <f t="shared" si="288"/>
        <v>0</v>
      </c>
      <c r="R1775" s="88" t="e">
        <f>-IF(Tabla14[[#This Row],[DIAS HABILES O MORA]]&lt;0,(Tabla14[[#This Row],[VALOR PRESTAMO]]*Tabla14[[#This Row],[% INTERES ]]/30*U1775))+Tabla14[[#This Row],[VALOR CUOTAS]]</f>
        <v>#VALUE!</v>
      </c>
      <c r="S1775" s="88">
        <f>-IF(Tabla14[[#This Row],[DIAS HABILES O MORA]]&lt;0,(Tabla14[[#This Row],[VALOR PRESTAMO]]*Tabla14[[#This Row],[% INTERES ]]/30*U1775))</f>
        <v>0</v>
      </c>
      <c r="T1775" s="53" t="e">
        <f>Tabla14[[#This Row],[DEUDA CAPITAL]]+Tabla14[[#This Row],[INTERES  CUOTA]]</f>
        <v>#NUM!</v>
      </c>
      <c r="U1775" s="61" t="str">
        <f t="shared" si="289"/>
        <v/>
      </c>
    </row>
    <row r="1776" spans="9:21" ht="24.75" customHeight="1" x14ac:dyDescent="0.35">
      <c r="I1776" s="42">
        <f t="shared" si="280"/>
        <v>0</v>
      </c>
      <c r="J1776" s="65" t="e">
        <f t="shared" si="281"/>
        <v>#NUM!</v>
      </c>
      <c r="K1776" s="83" t="e">
        <f t="shared" si="282"/>
        <v>#NUM!</v>
      </c>
      <c r="L1776" s="83">
        <f t="shared" si="283"/>
        <v>0</v>
      </c>
      <c r="M1776" s="110" t="str">
        <f t="shared" si="284"/>
        <v/>
      </c>
      <c r="N1776" s="51" t="str">
        <f t="shared" si="285"/>
        <v/>
      </c>
      <c r="O1776" s="52" t="str">
        <f t="shared" si="286"/>
        <v/>
      </c>
      <c r="P1776" s="88">
        <f t="shared" si="287"/>
        <v>0</v>
      </c>
      <c r="Q1776" s="88">
        <f t="shared" si="288"/>
        <v>0</v>
      </c>
      <c r="R1776" s="88" t="e">
        <f>-IF(Tabla14[[#This Row],[DIAS HABILES O MORA]]&lt;0,(Tabla14[[#This Row],[VALOR PRESTAMO]]*Tabla14[[#This Row],[% INTERES ]]/30*U1776))+Tabla14[[#This Row],[VALOR CUOTAS]]</f>
        <v>#VALUE!</v>
      </c>
      <c r="S1776" s="88">
        <f>-IF(Tabla14[[#This Row],[DIAS HABILES O MORA]]&lt;0,(Tabla14[[#This Row],[VALOR PRESTAMO]]*Tabla14[[#This Row],[% INTERES ]]/30*U1776))</f>
        <v>0</v>
      </c>
      <c r="T1776" s="53" t="e">
        <f>Tabla14[[#This Row],[DEUDA CAPITAL]]+Tabla14[[#This Row],[INTERES  CUOTA]]</f>
        <v>#NUM!</v>
      </c>
      <c r="U1776" s="61" t="str">
        <f t="shared" si="289"/>
        <v/>
      </c>
    </row>
    <row r="1777" spans="9:21" ht="24.75" customHeight="1" x14ac:dyDescent="0.35">
      <c r="I1777" s="42">
        <f t="shared" si="280"/>
        <v>0</v>
      </c>
      <c r="J1777" s="65" t="e">
        <f t="shared" si="281"/>
        <v>#NUM!</v>
      </c>
      <c r="K1777" s="83" t="e">
        <f t="shared" si="282"/>
        <v>#NUM!</v>
      </c>
      <c r="L1777" s="83">
        <f t="shared" si="283"/>
        <v>0</v>
      </c>
      <c r="M1777" s="110" t="str">
        <f t="shared" si="284"/>
        <v/>
      </c>
      <c r="N1777" s="51" t="str">
        <f t="shared" si="285"/>
        <v/>
      </c>
      <c r="O1777" s="52" t="str">
        <f t="shared" si="286"/>
        <v/>
      </c>
      <c r="P1777" s="88">
        <f t="shared" si="287"/>
        <v>0</v>
      </c>
      <c r="Q1777" s="88">
        <f t="shared" si="288"/>
        <v>0</v>
      </c>
      <c r="R1777" s="88" t="e">
        <f>-IF(Tabla14[[#This Row],[DIAS HABILES O MORA]]&lt;0,(Tabla14[[#This Row],[VALOR PRESTAMO]]*Tabla14[[#This Row],[% INTERES ]]/30*U1777))+Tabla14[[#This Row],[VALOR CUOTAS]]</f>
        <v>#VALUE!</v>
      </c>
      <c r="S1777" s="88">
        <f>-IF(Tabla14[[#This Row],[DIAS HABILES O MORA]]&lt;0,(Tabla14[[#This Row],[VALOR PRESTAMO]]*Tabla14[[#This Row],[% INTERES ]]/30*U1777))</f>
        <v>0</v>
      </c>
      <c r="T1777" s="53" t="e">
        <f>Tabla14[[#This Row],[DEUDA CAPITAL]]+Tabla14[[#This Row],[INTERES  CUOTA]]</f>
        <v>#NUM!</v>
      </c>
      <c r="U1777" s="61" t="str">
        <f t="shared" si="289"/>
        <v/>
      </c>
    </row>
    <row r="1778" spans="9:21" ht="24.75" customHeight="1" x14ac:dyDescent="0.35">
      <c r="I1778" s="42">
        <f t="shared" si="280"/>
        <v>0</v>
      </c>
      <c r="J1778" s="65" t="e">
        <f t="shared" si="281"/>
        <v>#NUM!</v>
      </c>
      <c r="K1778" s="83" t="e">
        <f t="shared" si="282"/>
        <v>#NUM!</v>
      </c>
      <c r="L1778" s="83">
        <f t="shared" si="283"/>
        <v>0</v>
      </c>
      <c r="M1778" s="110" t="str">
        <f t="shared" si="284"/>
        <v/>
      </c>
      <c r="N1778" s="51" t="str">
        <f t="shared" si="285"/>
        <v/>
      </c>
      <c r="O1778" s="52" t="str">
        <f t="shared" si="286"/>
        <v/>
      </c>
      <c r="P1778" s="88">
        <f t="shared" si="287"/>
        <v>0</v>
      </c>
      <c r="Q1778" s="88">
        <f t="shared" si="288"/>
        <v>0</v>
      </c>
      <c r="R1778" s="88" t="e">
        <f>-IF(Tabla14[[#This Row],[DIAS HABILES O MORA]]&lt;0,(Tabla14[[#This Row],[VALOR PRESTAMO]]*Tabla14[[#This Row],[% INTERES ]]/30*U1778))+Tabla14[[#This Row],[VALOR CUOTAS]]</f>
        <v>#VALUE!</v>
      </c>
      <c r="S1778" s="88">
        <f>-IF(Tabla14[[#This Row],[DIAS HABILES O MORA]]&lt;0,(Tabla14[[#This Row],[VALOR PRESTAMO]]*Tabla14[[#This Row],[% INTERES ]]/30*U1778))</f>
        <v>0</v>
      </c>
      <c r="T1778" s="53" t="e">
        <f>Tabla14[[#This Row],[DEUDA CAPITAL]]+Tabla14[[#This Row],[INTERES  CUOTA]]</f>
        <v>#NUM!</v>
      </c>
      <c r="U1778" s="61" t="str">
        <f t="shared" si="289"/>
        <v/>
      </c>
    </row>
    <row r="1779" spans="9:21" ht="24.75" customHeight="1" x14ac:dyDescent="0.35">
      <c r="I1779" s="42">
        <f t="shared" si="280"/>
        <v>0</v>
      </c>
      <c r="J1779" s="65" t="e">
        <f t="shared" si="281"/>
        <v>#NUM!</v>
      </c>
      <c r="K1779" s="83" t="e">
        <f t="shared" si="282"/>
        <v>#NUM!</v>
      </c>
      <c r="L1779" s="83">
        <f t="shared" si="283"/>
        <v>0</v>
      </c>
      <c r="M1779" s="110" t="str">
        <f t="shared" si="284"/>
        <v/>
      </c>
      <c r="N1779" s="51" t="str">
        <f t="shared" si="285"/>
        <v/>
      </c>
      <c r="O1779" s="52" t="str">
        <f t="shared" si="286"/>
        <v/>
      </c>
      <c r="P1779" s="88">
        <f t="shared" si="287"/>
        <v>0</v>
      </c>
      <c r="Q1779" s="88">
        <f t="shared" si="288"/>
        <v>0</v>
      </c>
      <c r="R1779" s="88" t="e">
        <f>-IF(Tabla14[[#This Row],[DIAS HABILES O MORA]]&lt;0,(Tabla14[[#This Row],[VALOR PRESTAMO]]*Tabla14[[#This Row],[% INTERES ]]/30*U1779))+Tabla14[[#This Row],[VALOR CUOTAS]]</f>
        <v>#VALUE!</v>
      </c>
      <c r="S1779" s="88">
        <f>-IF(Tabla14[[#This Row],[DIAS HABILES O MORA]]&lt;0,(Tabla14[[#This Row],[VALOR PRESTAMO]]*Tabla14[[#This Row],[% INTERES ]]/30*U1779))</f>
        <v>0</v>
      </c>
      <c r="T1779" s="53" t="e">
        <f>Tabla14[[#This Row],[DEUDA CAPITAL]]+Tabla14[[#This Row],[INTERES  CUOTA]]</f>
        <v>#NUM!</v>
      </c>
      <c r="U1779" s="61" t="str">
        <f t="shared" si="289"/>
        <v/>
      </c>
    </row>
    <row r="1780" spans="9:21" ht="24.75" customHeight="1" x14ac:dyDescent="0.35">
      <c r="I1780" s="42">
        <f t="shared" si="280"/>
        <v>0</v>
      </c>
      <c r="J1780" s="65" t="e">
        <f t="shared" si="281"/>
        <v>#NUM!</v>
      </c>
      <c r="K1780" s="83" t="e">
        <f t="shared" si="282"/>
        <v>#NUM!</v>
      </c>
      <c r="L1780" s="83">
        <f t="shared" si="283"/>
        <v>0</v>
      </c>
      <c r="M1780" s="110" t="str">
        <f t="shared" si="284"/>
        <v/>
      </c>
      <c r="N1780" s="51" t="str">
        <f t="shared" si="285"/>
        <v/>
      </c>
      <c r="O1780" s="52" t="str">
        <f t="shared" si="286"/>
        <v/>
      </c>
      <c r="P1780" s="88">
        <f t="shared" si="287"/>
        <v>0</v>
      </c>
      <c r="Q1780" s="88">
        <f t="shared" si="288"/>
        <v>0</v>
      </c>
      <c r="R1780" s="88" t="e">
        <f>-IF(Tabla14[[#This Row],[DIAS HABILES O MORA]]&lt;0,(Tabla14[[#This Row],[VALOR PRESTAMO]]*Tabla14[[#This Row],[% INTERES ]]/30*U1780))+Tabla14[[#This Row],[VALOR CUOTAS]]</f>
        <v>#VALUE!</v>
      </c>
      <c r="S1780" s="88">
        <f>-IF(Tabla14[[#This Row],[DIAS HABILES O MORA]]&lt;0,(Tabla14[[#This Row],[VALOR PRESTAMO]]*Tabla14[[#This Row],[% INTERES ]]/30*U1780))</f>
        <v>0</v>
      </c>
      <c r="T1780" s="53" t="e">
        <f>Tabla14[[#This Row],[DEUDA CAPITAL]]+Tabla14[[#This Row],[INTERES  CUOTA]]</f>
        <v>#NUM!</v>
      </c>
      <c r="U1780" s="61" t="str">
        <f t="shared" si="289"/>
        <v/>
      </c>
    </row>
    <row r="1781" spans="9:21" ht="24.75" customHeight="1" x14ac:dyDescent="0.35">
      <c r="I1781" s="42">
        <f t="shared" si="280"/>
        <v>0</v>
      </c>
      <c r="J1781" s="65" t="e">
        <f t="shared" si="281"/>
        <v>#NUM!</v>
      </c>
      <c r="K1781" s="83" t="e">
        <f t="shared" si="282"/>
        <v>#NUM!</v>
      </c>
      <c r="L1781" s="83">
        <f t="shared" si="283"/>
        <v>0</v>
      </c>
      <c r="M1781" s="110" t="str">
        <f t="shared" si="284"/>
        <v/>
      </c>
      <c r="N1781" s="51" t="str">
        <f t="shared" si="285"/>
        <v/>
      </c>
      <c r="O1781" s="52" t="str">
        <f t="shared" si="286"/>
        <v/>
      </c>
      <c r="P1781" s="88">
        <f t="shared" si="287"/>
        <v>0</v>
      </c>
      <c r="Q1781" s="88">
        <f t="shared" si="288"/>
        <v>0</v>
      </c>
      <c r="R1781" s="88" t="e">
        <f>-IF(Tabla14[[#This Row],[DIAS HABILES O MORA]]&lt;0,(Tabla14[[#This Row],[VALOR PRESTAMO]]*Tabla14[[#This Row],[% INTERES ]]/30*U1781))+Tabla14[[#This Row],[VALOR CUOTAS]]</f>
        <v>#VALUE!</v>
      </c>
      <c r="S1781" s="88">
        <f>-IF(Tabla14[[#This Row],[DIAS HABILES O MORA]]&lt;0,(Tabla14[[#This Row],[VALOR PRESTAMO]]*Tabla14[[#This Row],[% INTERES ]]/30*U1781))</f>
        <v>0</v>
      </c>
      <c r="T1781" s="53" t="e">
        <f>Tabla14[[#This Row],[DEUDA CAPITAL]]+Tabla14[[#This Row],[INTERES  CUOTA]]</f>
        <v>#NUM!</v>
      </c>
      <c r="U1781" s="61" t="str">
        <f t="shared" si="289"/>
        <v/>
      </c>
    </row>
    <row r="1782" spans="9:21" ht="24.75" customHeight="1" x14ac:dyDescent="0.35">
      <c r="I1782" s="42">
        <f t="shared" si="280"/>
        <v>0</v>
      </c>
      <c r="J1782" s="65" t="e">
        <f t="shared" si="281"/>
        <v>#NUM!</v>
      </c>
      <c r="K1782" s="83" t="e">
        <f t="shared" si="282"/>
        <v>#NUM!</v>
      </c>
      <c r="L1782" s="83">
        <f t="shared" si="283"/>
        <v>0</v>
      </c>
      <c r="M1782" s="110" t="str">
        <f t="shared" si="284"/>
        <v/>
      </c>
      <c r="N1782" s="51" t="str">
        <f t="shared" si="285"/>
        <v/>
      </c>
      <c r="O1782" s="52" t="str">
        <f t="shared" si="286"/>
        <v/>
      </c>
      <c r="P1782" s="88">
        <f t="shared" si="287"/>
        <v>0</v>
      </c>
      <c r="Q1782" s="88">
        <f t="shared" si="288"/>
        <v>0</v>
      </c>
      <c r="R1782" s="88" t="e">
        <f>-IF(Tabla14[[#This Row],[DIAS HABILES O MORA]]&lt;0,(Tabla14[[#This Row],[VALOR PRESTAMO]]*Tabla14[[#This Row],[% INTERES ]]/30*U1782))+Tabla14[[#This Row],[VALOR CUOTAS]]</f>
        <v>#VALUE!</v>
      </c>
      <c r="S1782" s="88">
        <f>-IF(Tabla14[[#This Row],[DIAS HABILES O MORA]]&lt;0,(Tabla14[[#This Row],[VALOR PRESTAMO]]*Tabla14[[#This Row],[% INTERES ]]/30*U1782))</f>
        <v>0</v>
      </c>
      <c r="T1782" s="53" t="e">
        <f>Tabla14[[#This Row],[DEUDA CAPITAL]]+Tabla14[[#This Row],[INTERES  CUOTA]]</f>
        <v>#NUM!</v>
      </c>
      <c r="U1782" s="61" t="str">
        <f t="shared" si="289"/>
        <v/>
      </c>
    </row>
    <row r="1783" spans="9:21" ht="24.75" customHeight="1" x14ac:dyDescent="0.35">
      <c r="I1783" s="42">
        <f t="shared" si="280"/>
        <v>0</v>
      </c>
      <c r="J1783" s="65" t="e">
        <f t="shared" si="281"/>
        <v>#NUM!</v>
      </c>
      <c r="K1783" s="83" t="e">
        <f t="shared" si="282"/>
        <v>#NUM!</v>
      </c>
      <c r="L1783" s="83">
        <f t="shared" si="283"/>
        <v>0</v>
      </c>
      <c r="M1783" s="110" t="str">
        <f t="shared" si="284"/>
        <v/>
      </c>
      <c r="N1783" s="51" t="str">
        <f t="shared" si="285"/>
        <v/>
      </c>
      <c r="O1783" s="52" t="str">
        <f t="shared" si="286"/>
        <v/>
      </c>
      <c r="P1783" s="88">
        <f t="shared" si="287"/>
        <v>0</v>
      </c>
      <c r="Q1783" s="88">
        <f t="shared" si="288"/>
        <v>0</v>
      </c>
      <c r="R1783" s="88" t="e">
        <f>-IF(Tabla14[[#This Row],[DIAS HABILES O MORA]]&lt;0,(Tabla14[[#This Row],[VALOR PRESTAMO]]*Tabla14[[#This Row],[% INTERES ]]/30*U1783))+Tabla14[[#This Row],[VALOR CUOTAS]]</f>
        <v>#VALUE!</v>
      </c>
      <c r="S1783" s="88">
        <f>-IF(Tabla14[[#This Row],[DIAS HABILES O MORA]]&lt;0,(Tabla14[[#This Row],[VALOR PRESTAMO]]*Tabla14[[#This Row],[% INTERES ]]/30*U1783))</f>
        <v>0</v>
      </c>
      <c r="T1783" s="53" t="e">
        <f>Tabla14[[#This Row],[DEUDA CAPITAL]]+Tabla14[[#This Row],[INTERES  CUOTA]]</f>
        <v>#NUM!</v>
      </c>
      <c r="U1783" s="61" t="str">
        <f t="shared" si="289"/>
        <v/>
      </c>
    </row>
    <row r="1784" spans="9:21" ht="24.75" customHeight="1" x14ac:dyDescent="0.35">
      <c r="I1784" s="42">
        <f t="shared" si="280"/>
        <v>0</v>
      </c>
      <c r="J1784" s="65" t="e">
        <f t="shared" si="281"/>
        <v>#NUM!</v>
      </c>
      <c r="K1784" s="83" t="e">
        <f t="shared" si="282"/>
        <v>#NUM!</v>
      </c>
      <c r="L1784" s="83">
        <f t="shared" si="283"/>
        <v>0</v>
      </c>
      <c r="M1784" s="110" t="str">
        <f t="shared" si="284"/>
        <v/>
      </c>
      <c r="N1784" s="51" t="str">
        <f t="shared" si="285"/>
        <v/>
      </c>
      <c r="O1784" s="52" t="str">
        <f t="shared" si="286"/>
        <v/>
      </c>
      <c r="P1784" s="88">
        <f t="shared" si="287"/>
        <v>0</v>
      </c>
      <c r="Q1784" s="88">
        <f t="shared" si="288"/>
        <v>0</v>
      </c>
      <c r="R1784" s="88" t="e">
        <f>-IF(Tabla14[[#This Row],[DIAS HABILES O MORA]]&lt;0,(Tabla14[[#This Row],[VALOR PRESTAMO]]*Tabla14[[#This Row],[% INTERES ]]/30*U1784))+Tabla14[[#This Row],[VALOR CUOTAS]]</f>
        <v>#VALUE!</v>
      </c>
      <c r="S1784" s="88">
        <f>-IF(Tabla14[[#This Row],[DIAS HABILES O MORA]]&lt;0,(Tabla14[[#This Row],[VALOR PRESTAMO]]*Tabla14[[#This Row],[% INTERES ]]/30*U1784))</f>
        <v>0</v>
      </c>
      <c r="T1784" s="53" t="e">
        <f>Tabla14[[#This Row],[DEUDA CAPITAL]]+Tabla14[[#This Row],[INTERES  CUOTA]]</f>
        <v>#NUM!</v>
      </c>
      <c r="U1784" s="61" t="str">
        <f t="shared" si="289"/>
        <v/>
      </c>
    </row>
    <row r="1785" spans="9:21" ht="24.75" customHeight="1" x14ac:dyDescent="0.35">
      <c r="I1785" s="42">
        <f t="shared" si="280"/>
        <v>0</v>
      </c>
      <c r="J1785" s="65" t="e">
        <f t="shared" si="281"/>
        <v>#NUM!</v>
      </c>
      <c r="K1785" s="83" t="e">
        <f t="shared" si="282"/>
        <v>#NUM!</v>
      </c>
      <c r="L1785" s="83">
        <f t="shared" si="283"/>
        <v>0</v>
      </c>
      <c r="M1785" s="110" t="str">
        <f t="shared" si="284"/>
        <v/>
      </c>
      <c r="N1785" s="51" t="str">
        <f t="shared" si="285"/>
        <v/>
      </c>
      <c r="O1785" s="52" t="str">
        <f t="shared" si="286"/>
        <v/>
      </c>
      <c r="P1785" s="88">
        <f t="shared" si="287"/>
        <v>0</v>
      </c>
      <c r="Q1785" s="88">
        <f t="shared" si="288"/>
        <v>0</v>
      </c>
      <c r="R1785" s="88" t="e">
        <f>-IF(Tabla14[[#This Row],[DIAS HABILES O MORA]]&lt;0,(Tabla14[[#This Row],[VALOR PRESTAMO]]*Tabla14[[#This Row],[% INTERES ]]/30*U1785))+Tabla14[[#This Row],[VALOR CUOTAS]]</f>
        <v>#VALUE!</v>
      </c>
      <c r="S1785" s="88">
        <f>-IF(Tabla14[[#This Row],[DIAS HABILES O MORA]]&lt;0,(Tabla14[[#This Row],[VALOR PRESTAMO]]*Tabla14[[#This Row],[% INTERES ]]/30*U1785))</f>
        <v>0</v>
      </c>
      <c r="T1785" s="53" t="e">
        <f>Tabla14[[#This Row],[DEUDA CAPITAL]]+Tabla14[[#This Row],[INTERES  CUOTA]]</f>
        <v>#NUM!</v>
      </c>
      <c r="U1785" s="61" t="str">
        <f t="shared" si="289"/>
        <v/>
      </c>
    </row>
    <row r="1786" spans="9:21" ht="24.75" customHeight="1" x14ac:dyDescent="0.35">
      <c r="I1786" s="42">
        <f t="shared" si="280"/>
        <v>0</v>
      </c>
      <c r="J1786" s="65" t="e">
        <f t="shared" si="281"/>
        <v>#NUM!</v>
      </c>
      <c r="K1786" s="83" t="e">
        <f t="shared" si="282"/>
        <v>#NUM!</v>
      </c>
      <c r="L1786" s="83">
        <f t="shared" si="283"/>
        <v>0</v>
      </c>
      <c r="M1786" s="110" t="str">
        <f t="shared" si="284"/>
        <v/>
      </c>
      <c r="N1786" s="51" t="str">
        <f t="shared" si="285"/>
        <v/>
      </c>
      <c r="O1786" s="52" t="str">
        <f t="shared" si="286"/>
        <v/>
      </c>
      <c r="P1786" s="88">
        <f t="shared" si="287"/>
        <v>0</v>
      </c>
      <c r="Q1786" s="88">
        <f t="shared" si="288"/>
        <v>0</v>
      </c>
      <c r="R1786" s="88" t="e">
        <f>-IF(Tabla14[[#This Row],[DIAS HABILES O MORA]]&lt;0,(Tabla14[[#This Row],[VALOR PRESTAMO]]*Tabla14[[#This Row],[% INTERES ]]/30*U1786))+Tabla14[[#This Row],[VALOR CUOTAS]]</f>
        <v>#VALUE!</v>
      </c>
      <c r="S1786" s="88">
        <f>-IF(Tabla14[[#This Row],[DIAS HABILES O MORA]]&lt;0,(Tabla14[[#This Row],[VALOR PRESTAMO]]*Tabla14[[#This Row],[% INTERES ]]/30*U1786))</f>
        <v>0</v>
      </c>
      <c r="T1786" s="53" t="e">
        <f>Tabla14[[#This Row],[DEUDA CAPITAL]]+Tabla14[[#This Row],[INTERES  CUOTA]]</f>
        <v>#NUM!</v>
      </c>
      <c r="U1786" s="61" t="str">
        <f t="shared" si="289"/>
        <v/>
      </c>
    </row>
    <row r="1787" spans="9:21" ht="24.75" customHeight="1" x14ac:dyDescent="0.35">
      <c r="I1787" s="42">
        <f t="shared" si="280"/>
        <v>0</v>
      </c>
      <c r="J1787" s="65" t="e">
        <f t="shared" si="281"/>
        <v>#NUM!</v>
      </c>
      <c r="K1787" s="83" t="e">
        <f t="shared" si="282"/>
        <v>#NUM!</v>
      </c>
      <c r="L1787" s="83">
        <f t="shared" si="283"/>
        <v>0</v>
      </c>
      <c r="M1787" s="110" t="str">
        <f t="shared" si="284"/>
        <v/>
      </c>
      <c r="N1787" s="51" t="str">
        <f t="shared" si="285"/>
        <v/>
      </c>
      <c r="O1787" s="52" t="str">
        <f t="shared" si="286"/>
        <v/>
      </c>
      <c r="P1787" s="88">
        <f t="shared" si="287"/>
        <v>0</v>
      </c>
      <c r="Q1787" s="88">
        <f t="shared" si="288"/>
        <v>0</v>
      </c>
      <c r="R1787" s="88" t="e">
        <f>-IF(Tabla14[[#This Row],[DIAS HABILES O MORA]]&lt;0,(Tabla14[[#This Row],[VALOR PRESTAMO]]*Tabla14[[#This Row],[% INTERES ]]/30*U1787))+Tabla14[[#This Row],[VALOR CUOTAS]]</f>
        <v>#VALUE!</v>
      </c>
      <c r="S1787" s="88">
        <f>-IF(Tabla14[[#This Row],[DIAS HABILES O MORA]]&lt;0,(Tabla14[[#This Row],[VALOR PRESTAMO]]*Tabla14[[#This Row],[% INTERES ]]/30*U1787))</f>
        <v>0</v>
      </c>
      <c r="T1787" s="53" t="e">
        <f>Tabla14[[#This Row],[DEUDA CAPITAL]]+Tabla14[[#This Row],[INTERES  CUOTA]]</f>
        <v>#NUM!</v>
      </c>
      <c r="U1787" s="61" t="str">
        <f t="shared" si="289"/>
        <v/>
      </c>
    </row>
    <row r="1788" spans="9:21" ht="24.75" customHeight="1" x14ac:dyDescent="0.35">
      <c r="I1788" s="42">
        <f t="shared" si="280"/>
        <v>0</v>
      </c>
      <c r="J1788" s="65" t="e">
        <f t="shared" si="281"/>
        <v>#NUM!</v>
      </c>
      <c r="K1788" s="83" t="e">
        <f t="shared" si="282"/>
        <v>#NUM!</v>
      </c>
      <c r="L1788" s="83">
        <f t="shared" si="283"/>
        <v>0</v>
      </c>
      <c r="M1788" s="110" t="str">
        <f t="shared" si="284"/>
        <v/>
      </c>
      <c r="N1788" s="51" t="str">
        <f t="shared" si="285"/>
        <v/>
      </c>
      <c r="O1788" s="52" t="str">
        <f t="shared" si="286"/>
        <v/>
      </c>
      <c r="P1788" s="88">
        <f t="shared" si="287"/>
        <v>0</v>
      </c>
      <c r="Q1788" s="88">
        <f t="shared" si="288"/>
        <v>0</v>
      </c>
      <c r="R1788" s="88" t="e">
        <f>-IF(Tabla14[[#This Row],[DIAS HABILES O MORA]]&lt;0,(Tabla14[[#This Row],[VALOR PRESTAMO]]*Tabla14[[#This Row],[% INTERES ]]/30*U1788))+Tabla14[[#This Row],[VALOR CUOTAS]]</f>
        <v>#VALUE!</v>
      </c>
      <c r="S1788" s="88">
        <f>-IF(Tabla14[[#This Row],[DIAS HABILES O MORA]]&lt;0,(Tabla14[[#This Row],[VALOR PRESTAMO]]*Tabla14[[#This Row],[% INTERES ]]/30*U1788))</f>
        <v>0</v>
      </c>
      <c r="T1788" s="53" t="e">
        <f>Tabla14[[#This Row],[DEUDA CAPITAL]]+Tabla14[[#This Row],[INTERES  CUOTA]]</f>
        <v>#NUM!</v>
      </c>
      <c r="U1788" s="61" t="str">
        <f t="shared" si="289"/>
        <v/>
      </c>
    </row>
    <row r="1789" spans="9:21" ht="24.75" customHeight="1" x14ac:dyDescent="0.35">
      <c r="I1789" s="42">
        <f t="shared" si="280"/>
        <v>0</v>
      </c>
      <c r="J1789" s="65" t="e">
        <f t="shared" si="281"/>
        <v>#NUM!</v>
      </c>
      <c r="K1789" s="83" t="e">
        <f t="shared" si="282"/>
        <v>#NUM!</v>
      </c>
      <c r="L1789" s="83">
        <f t="shared" si="283"/>
        <v>0</v>
      </c>
      <c r="M1789" s="110" t="str">
        <f t="shared" si="284"/>
        <v/>
      </c>
      <c r="N1789" s="51" t="str">
        <f t="shared" si="285"/>
        <v/>
      </c>
      <c r="O1789" s="52" t="str">
        <f t="shared" si="286"/>
        <v/>
      </c>
      <c r="P1789" s="88">
        <f t="shared" si="287"/>
        <v>0</v>
      </c>
      <c r="Q1789" s="88">
        <f t="shared" si="288"/>
        <v>0</v>
      </c>
      <c r="R1789" s="88" t="e">
        <f>-IF(Tabla14[[#This Row],[DIAS HABILES O MORA]]&lt;0,(Tabla14[[#This Row],[VALOR PRESTAMO]]*Tabla14[[#This Row],[% INTERES ]]/30*U1789))+Tabla14[[#This Row],[VALOR CUOTAS]]</f>
        <v>#VALUE!</v>
      </c>
      <c r="S1789" s="88">
        <f>-IF(Tabla14[[#This Row],[DIAS HABILES O MORA]]&lt;0,(Tabla14[[#This Row],[VALOR PRESTAMO]]*Tabla14[[#This Row],[% INTERES ]]/30*U1789))</f>
        <v>0</v>
      </c>
      <c r="T1789" s="53" t="e">
        <f>Tabla14[[#This Row],[DEUDA CAPITAL]]+Tabla14[[#This Row],[INTERES  CUOTA]]</f>
        <v>#NUM!</v>
      </c>
      <c r="U1789" s="61" t="str">
        <f t="shared" si="289"/>
        <v/>
      </c>
    </row>
    <row r="1790" spans="9:21" ht="24.75" customHeight="1" x14ac:dyDescent="0.35">
      <c r="I1790" s="42">
        <f t="shared" si="280"/>
        <v>0</v>
      </c>
      <c r="J1790" s="65" t="e">
        <f t="shared" si="281"/>
        <v>#NUM!</v>
      </c>
      <c r="K1790" s="83" t="e">
        <f t="shared" si="282"/>
        <v>#NUM!</v>
      </c>
      <c r="L1790" s="83">
        <f t="shared" si="283"/>
        <v>0</v>
      </c>
      <c r="M1790" s="110" t="str">
        <f t="shared" si="284"/>
        <v/>
      </c>
      <c r="N1790" s="51" t="str">
        <f t="shared" si="285"/>
        <v/>
      </c>
      <c r="O1790" s="52" t="str">
        <f t="shared" si="286"/>
        <v/>
      </c>
      <c r="P1790" s="88">
        <f t="shared" si="287"/>
        <v>0</v>
      </c>
      <c r="Q1790" s="88">
        <f t="shared" si="288"/>
        <v>0</v>
      </c>
      <c r="R1790" s="88" t="e">
        <f>-IF(Tabla14[[#This Row],[DIAS HABILES O MORA]]&lt;0,(Tabla14[[#This Row],[VALOR PRESTAMO]]*Tabla14[[#This Row],[% INTERES ]]/30*U1790))+Tabla14[[#This Row],[VALOR CUOTAS]]</f>
        <v>#VALUE!</v>
      </c>
      <c r="S1790" s="88">
        <f>-IF(Tabla14[[#This Row],[DIAS HABILES O MORA]]&lt;0,(Tabla14[[#This Row],[VALOR PRESTAMO]]*Tabla14[[#This Row],[% INTERES ]]/30*U1790))</f>
        <v>0</v>
      </c>
      <c r="T1790" s="53" t="e">
        <f>Tabla14[[#This Row],[DEUDA CAPITAL]]+Tabla14[[#This Row],[INTERES  CUOTA]]</f>
        <v>#NUM!</v>
      </c>
      <c r="U1790" s="61" t="str">
        <f t="shared" si="289"/>
        <v/>
      </c>
    </row>
    <row r="1791" spans="9:21" ht="24.75" customHeight="1" x14ac:dyDescent="0.35">
      <c r="I1791" s="42">
        <f t="shared" si="280"/>
        <v>0</v>
      </c>
      <c r="J1791" s="65" t="e">
        <f t="shared" si="281"/>
        <v>#NUM!</v>
      </c>
      <c r="K1791" s="83" t="e">
        <f t="shared" si="282"/>
        <v>#NUM!</v>
      </c>
      <c r="L1791" s="83">
        <f t="shared" si="283"/>
        <v>0</v>
      </c>
      <c r="M1791" s="110" t="str">
        <f t="shared" si="284"/>
        <v/>
      </c>
      <c r="N1791" s="51" t="str">
        <f t="shared" si="285"/>
        <v/>
      </c>
      <c r="O1791" s="52" t="str">
        <f t="shared" si="286"/>
        <v/>
      </c>
      <c r="P1791" s="88">
        <f t="shared" si="287"/>
        <v>0</v>
      </c>
      <c r="Q1791" s="88">
        <f t="shared" si="288"/>
        <v>0</v>
      </c>
      <c r="R1791" s="88" t="e">
        <f>-IF(Tabla14[[#This Row],[DIAS HABILES O MORA]]&lt;0,(Tabla14[[#This Row],[VALOR PRESTAMO]]*Tabla14[[#This Row],[% INTERES ]]/30*U1791))+Tabla14[[#This Row],[VALOR CUOTAS]]</f>
        <v>#VALUE!</v>
      </c>
      <c r="S1791" s="88">
        <f>-IF(Tabla14[[#This Row],[DIAS HABILES O MORA]]&lt;0,(Tabla14[[#This Row],[VALOR PRESTAMO]]*Tabla14[[#This Row],[% INTERES ]]/30*U1791))</f>
        <v>0</v>
      </c>
      <c r="T1791" s="53" t="e">
        <f>Tabla14[[#This Row],[DEUDA CAPITAL]]+Tabla14[[#This Row],[INTERES  CUOTA]]</f>
        <v>#NUM!</v>
      </c>
      <c r="U1791" s="61" t="str">
        <f t="shared" si="289"/>
        <v/>
      </c>
    </row>
    <row r="1792" spans="9:21" ht="24.75" customHeight="1" x14ac:dyDescent="0.35">
      <c r="I1792" s="42">
        <f t="shared" si="280"/>
        <v>0</v>
      </c>
      <c r="J1792" s="65" t="e">
        <f t="shared" si="281"/>
        <v>#NUM!</v>
      </c>
      <c r="K1792" s="83" t="e">
        <f t="shared" si="282"/>
        <v>#NUM!</v>
      </c>
      <c r="L1792" s="83">
        <f t="shared" si="283"/>
        <v>0</v>
      </c>
      <c r="M1792" s="110" t="str">
        <f t="shared" si="284"/>
        <v/>
      </c>
      <c r="N1792" s="51" t="str">
        <f t="shared" si="285"/>
        <v/>
      </c>
      <c r="O1792" s="52" t="str">
        <f t="shared" si="286"/>
        <v/>
      </c>
      <c r="P1792" s="88">
        <f t="shared" si="287"/>
        <v>0</v>
      </c>
      <c r="Q1792" s="88">
        <f t="shared" si="288"/>
        <v>0</v>
      </c>
      <c r="R1792" s="88" t="e">
        <f>-IF(Tabla14[[#This Row],[DIAS HABILES O MORA]]&lt;0,(Tabla14[[#This Row],[VALOR PRESTAMO]]*Tabla14[[#This Row],[% INTERES ]]/30*U1792))+Tabla14[[#This Row],[VALOR CUOTAS]]</f>
        <v>#VALUE!</v>
      </c>
      <c r="S1792" s="88">
        <f>-IF(Tabla14[[#This Row],[DIAS HABILES O MORA]]&lt;0,(Tabla14[[#This Row],[VALOR PRESTAMO]]*Tabla14[[#This Row],[% INTERES ]]/30*U1792))</f>
        <v>0</v>
      </c>
      <c r="T1792" s="53" t="e">
        <f>Tabla14[[#This Row],[DEUDA CAPITAL]]+Tabla14[[#This Row],[INTERES  CUOTA]]</f>
        <v>#NUM!</v>
      </c>
      <c r="U1792" s="61" t="str">
        <f t="shared" si="289"/>
        <v/>
      </c>
    </row>
    <row r="1793" spans="9:21" ht="24.75" customHeight="1" x14ac:dyDescent="0.35">
      <c r="I1793" s="42">
        <f t="shared" si="280"/>
        <v>0</v>
      </c>
      <c r="J1793" s="65" t="e">
        <f t="shared" si="281"/>
        <v>#NUM!</v>
      </c>
      <c r="K1793" s="83" t="e">
        <f t="shared" si="282"/>
        <v>#NUM!</v>
      </c>
      <c r="L1793" s="83">
        <f t="shared" si="283"/>
        <v>0</v>
      </c>
      <c r="M1793" s="110" t="str">
        <f t="shared" si="284"/>
        <v/>
      </c>
      <c r="N1793" s="51" t="str">
        <f t="shared" si="285"/>
        <v/>
      </c>
      <c r="O1793" s="52" t="str">
        <f t="shared" si="286"/>
        <v/>
      </c>
      <c r="P1793" s="88">
        <f t="shared" si="287"/>
        <v>0</v>
      </c>
      <c r="Q1793" s="88">
        <f t="shared" si="288"/>
        <v>0</v>
      </c>
      <c r="R1793" s="88" t="e">
        <f>-IF(Tabla14[[#This Row],[DIAS HABILES O MORA]]&lt;0,(Tabla14[[#This Row],[VALOR PRESTAMO]]*Tabla14[[#This Row],[% INTERES ]]/30*U1793))+Tabla14[[#This Row],[VALOR CUOTAS]]</f>
        <v>#VALUE!</v>
      </c>
      <c r="S1793" s="88">
        <f>-IF(Tabla14[[#This Row],[DIAS HABILES O MORA]]&lt;0,(Tabla14[[#This Row],[VALOR PRESTAMO]]*Tabla14[[#This Row],[% INTERES ]]/30*U1793))</f>
        <v>0</v>
      </c>
      <c r="T1793" s="53" t="e">
        <f>Tabla14[[#This Row],[DEUDA CAPITAL]]+Tabla14[[#This Row],[INTERES  CUOTA]]</f>
        <v>#NUM!</v>
      </c>
      <c r="U1793" s="61" t="str">
        <f t="shared" si="289"/>
        <v/>
      </c>
    </row>
    <row r="1794" spans="9:21" ht="24.75" customHeight="1" x14ac:dyDescent="0.35">
      <c r="I1794" s="42">
        <f t="shared" si="280"/>
        <v>0</v>
      </c>
      <c r="J1794" s="65" t="e">
        <f t="shared" si="281"/>
        <v>#NUM!</v>
      </c>
      <c r="K1794" s="83" t="e">
        <f t="shared" si="282"/>
        <v>#NUM!</v>
      </c>
      <c r="L1794" s="83">
        <f t="shared" si="283"/>
        <v>0</v>
      </c>
      <c r="M1794" s="110" t="str">
        <f t="shared" si="284"/>
        <v/>
      </c>
      <c r="N1794" s="51" t="str">
        <f t="shared" si="285"/>
        <v/>
      </c>
      <c r="O1794" s="52" t="str">
        <f t="shared" si="286"/>
        <v/>
      </c>
      <c r="P1794" s="88">
        <f t="shared" si="287"/>
        <v>0</v>
      </c>
      <c r="Q1794" s="88">
        <f t="shared" si="288"/>
        <v>0</v>
      </c>
      <c r="R1794" s="88" t="e">
        <f>-IF(Tabla14[[#This Row],[DIAS HABILES O MORA]]&lt;0,(Tabla14[[#This Row],[VALOR PRESTAMO]]*Tabla14[[#This Row],[% INTERES ]]/30*U1794))+Tabla14[[#This Row],[VALOR CUOTAS]]</f>
        <v>#VALUE!</v>
      </c>
      <c r="S1794" s="88">
        <f>-IF(Tabla14[[#This Row],[DIAS HABILES O MORA]]&lt;0,(Tabla14[[#This Row],[VALOR PRESTAMO]]*Tabla14[[#This Row],[% INTERES ]]/30*U1794))</f>
        <v>0</v>
      </c>
      <c r="T1794" s="53" t="e">
        <f>Tabla14[[#This Row],[DEUDA CAPITAL]]+Tabla14[[#This Row],[INTERES  CUOTA]]</f>
        <v>#NUM!</v>
      </c>
      <c r="U1794" s="61" t="str">
        <f t="shared" si="289"/>
        <v/>
      </c>
    </row>
    <row r="1795" spans="9:21" ht="24.75" customHeight="1" x14ac:dyDescent="0.35">
      <c r="I1795" s="42">
        <f t="shared" si="280"/>
        <v>0</v>
      </c>
      <c r="J1795" s="65" t="e">
        <f t="shared" si="281"/>
        <v>#NUM!</v>
      </c>
      <c r="K1795" s="83" t="e">
        <f t="shared" si="282"/>
        <v>#NUM!</v>
      </c>
      <c r="L1795" s="83">
        <f t="shared" si="283"/>
        <v>0</v>
      </c>
      <c r="M1795" s="110" t="str">
        <f t="shared" si="284"/>
        <v/>
      </c>
      <c r="N1795" s="51" t="str">
        <f t="shared" si="285"/>
        <v/>
      </c>
      <c r="O1795" s="52" t="str">
        <f t="shared" si="286"/>
        <v/>
      </c>
      <c r="P1795" s="88">
        <f t="shared" si="287"/>
        <v>0</v>
      </c>
      <c r="Q1795" s="88">
        <f t="shared" si="288"/>
        <v>0</v>
      </c>
      <c r="R1795" s="88" t="e">
        <f>-IF(Tabla14[[#This Row],[DIAS HABILES O MORA]]&lt;0,(Tabla14[[#This Row],[VALOR PRESTAMO]]*Tabla14[[#This Row],[% INTERES ]]/30*U1795))+Tabla14[[#This Row],[VALOR CUOTAS]]</f>
        <v>#VALUE!</v>
      </c>
      <c r="S1795" s="88">
        <f>-IF(Tabla14[[#This Row],[DIAS HABILES O MORA]]&lt;0,(Tabla14[[#This Row],[VALOR PRESTAMO]]*Tabla14[[#This Row],[% INTERES ]]/30*U1795))</f>
        <v>0</v>
      </c>
      <c r="T1795" s="53" t="e">
        <f>Tabla14[[#This Row],[DEUDA CAPITAL]]+Tabla14[[#This Row],[INTERES  CUOTA]]</f>
        <v>#NUM!</v>
      </c>
      <c r="U1795" s="61" t="str">
        <f t="shared" si="289"/>
        <v/>
      </c>
    </row>
    <row r="1796" spans="9:21" ht="24.75" customHeight="1" x14ac:dyDescent="0.35">
      <c r="I1796" s="42">
        <f t="shared" si="280"/>
        <v>0</v>
      </c>
      <c r="J1796" s="65" t="e">
        <f t="shared" si="281"/>
        <v>#NUM!</v>
      </c>
      <c r="K1796" s="83" t="e">
        <f t="shared" si="282"/>
        <v>#NUM!</v>
      </c>
      <c r="L1796" s="83">
        <f t="shared" si="283"/>
        <v>0</v>
      </c>
      <c r="M1796" s="110" t="str">
        <f t="shared" si="284"/>
        <v/>
      </c>
      <c r="N1796" s="51" t="str">
        <f t="shared" si="285"/>
        <v/>
      </c>
      <c r="O1796" s="52" t="str">
        <f t="shared" si="286"/>
        <v/>
      </c>
      <c r="P1796" s="88">
        <f t="shared" si="287"/>
        <v>0</v>
      </c>
      <c r="Q1796" s="88">
        <f t="shared" si="288"/>
        <v>0</v>
      </c>
      <c r="R1796" s="88" t="e">
        <f>-IF(Tabla14[[#This Row],[DIAS HABILES O MORA]]&lt;0,(Tabla14[[#This Row],[VALOR PRESTAMO]]*Tabla14[[#This Row],[% INTERES ]]/30*U1796))+Tabla14[[#This Row],[VALOR CUOTAS]]</f>
        <v>#VALUE!</v>
      </c>
      <c r="S1796" s="88">
        <f>-IF(Tabla14[[#This Row],[DIAS HABILES O MORA]]&lt;0,(Tabla14[[#This Row],[VALOR PRESTAMO]]*Tabla14[[#This Row],[% INTERES ]]/30*U1796))</f>
        <v>0</v>
      </c>
      <c r="T1796" s="53" t="e">
        <f>Tabla14[[#This Row],[DEUDA CAPITAL]]+Tabla14[[#This Row],[INTERES  CUOTA]]</f>
        <v>#NUM!</v>
      </c>
      <c r="U1796" s="61" t="str">
        <f t="shared" si="289"/>
        <v/>
      </c>
    </row>
    <row r="1797" spans="9:21" ht="24.75" customHeight="1" x14ac:dyDescent="0.35">
      <c r="I1797" s="42">
        <f t="shared" si="280"/>
        <v>0</v>
      </c>
      <c r="J1797" s="65" t="e">
        <f t="shared" si="281"/>
        <v>#NUM!</v>
      </c>
      <c r="K1797" s="83" t="e">
        <f t="shared" si="282"/>
        <v>#NUM!</v>
      </c>
      <c r="L1797" s="83">
        <f t="shared" si="283"/>
        <v>0</v>
      </c>
      <c r="M1797" s="110" t="str">
        <f t="shared" si="284"/>
        <v/>
      </c>
      <c r="N1797" s="51" t="str">
        <f t="shared" si="285"/>
        <v/>
      </c>
      <c r="O1797" s="52" t="str">
        <f t="shared" si="286"/>
        <v/>
      </c>
      <c r="P1797" s="88">
        <f t="shared" si="287"/>
        <v>0</v>
      </c>
      <c r="Q1797" s="88">
        <f t="shared" si="288"/>
        <v>0</v>
      </c>
      <c r="R1797" s="88" t="e">
        <f>-IF(Tabla14[[#This Row],[DIAS HABILES O MORA]]&lt;0,(Tabla14[[#This Row],[VALOR PRESTAMO]]*Tabla14[[#This Row],[% INTERES ]]/30*U1797))+Tabla14[[#This Row],[VALOR CUOTAS]]</f>
        <v>#VALUE!</v>
      </c>
      <c r="S1797" s="88">
        <f>-IF(Tabla14[[#This Row],[DIAS HABILES O MORA]]&lt;0,(Tabla14[[#This Row],[VALOR PRESTAMO]]*Tabla14[[#This Row],[% INTERES ]]/30*U1797))</f>
        <v>0</v>
      </c>
      <c r="T1797" s="53" t="e">
        <f>Tabla14[[#This Row],[DEUDA CAPITAL]]+Tabla14[[#This Row],[INTERES  CUOTA]]</f>
        <v>#NUM!</v>
      </c>
      <c r="U1797" s="61" t="str">
        <f t="shared" si="289"/>
        <v/>
      </c>
    </row>
    <row r="1798" spans="9:21" ht="24.75" customHeight="1" x14ac:dyDescent="0.35">
      <c r="I1798" s="42">
        <f t="shared" si="280"/>
        <v>0</v>
      </c>
      <c r="J1798" s="65" t="e">
        <f t="shared" si="281"/>
        <v>#NUM!</v>
      </c>
      <c r="K1798" s="83" t="e">
        <f t="shared" si="282"/>
        <v>#NUM!</v>
      </c>
      <c r="L1798" s="83">
        <f t="shared" si="283"/>
        <v>0</v>
      </c>
      <c r="M1798" s="110" t="str">
        <f t="shared" si="284"/>
        <v/>
      </c>
      <c r="N1798" s="51" t="str">
        <f t="shared" si="285"/>
        <v/>
      </c>
      <c r="O1798" s="52" t="str">
        <f t="shared" si="286"/>
        <v/>
      </c>
      <c r="P1798" s="88">
        <f t="shared" si="287"/>
        <v>0</v>
      </c>
      <c r="Q1798" s="88">
        <f t="shared" si="288"/>
        <v>0</v>
      </c>
      <c r="R1798" s="88" t="e">
        <f>-IF(Tabla14[[#This Row],[DIAS HABILES O MORA]]&lt;0,(Tabla14[[#This Row],[VALOR PRESTAMO]]*Tabla14[[#This Row],[% INTERES ]]/30*U1798))+Tabla14[[#This Row],[VALOR CUOTAS]]</f>
        <v>#VALUE!</v>
      </c>
      <c r="S1798" s="88">
        <f>-IF(Tabla14[[#This Row],[DIAS HABILES O MORA]]&lt;0,(Tabla14[[#This Row],[VALOR PRESTAMO]]*Tabla14[[#This Row],[% INTERES ]]/30*U1798))</f>
        <v>0</v>
      </c>
      <c r="T1798" s="53" t="e">
        <f>Tabla14[[#This Row],[DEUDA CAPITAL]]+Tabla14[[#This Row],[INTERES  CUOTA]]</f>
        <v>#NUM!</v>
      </c>
      <c r="U1798" s="61" t="str">
        <f t="shared" si="289"/>
        <v/>
      </c>
    </row>
    <row r="1799" spans="9:21" ht="24.75" customHeight="1" x14ac:dyDescent="0.35">
      <c r="I1799" s="42">
        <f t="shared" si="280"/>
        <v>0</v>
      </c>
      <c r="J1799" s="65" t="e">
        <f t="shared" si="281"/>
        <v>#NUM!</v>
      </c>
      <c r="K1799" s="83" t="e">
        <f t="shared" si="282"/>
        <v>#NUM!</v>
      </c>
      <c r="L1799" s="83">
        <f t="shared" si="283"/>
        <v>0</v>
      </c>
      <c r="M1799" s="110" t="str">
        <f t="shared" si="284"/>
        <v/>
      </c>
      <c r="N1799" s="51" t="str">
        <f t="shared" si="285"/>
        <v/>
      </c>
      <c r="O1799" s="52" t="str">
        <f t="shared" si="286"/>
        <v/>
      </c>
      <c r="P1799" s="88">
        <f t="shared" si="287"/>
        <v>0</v>
      </c>
      <c r="Q1799" s="88">
        <f t="shared" si="288"/>
        <v>0</v>
      </c>
      <c r="R1799" s="88" t="e">
        <f>-IF(Tabla14[[#This Row],[DIAS HABILES O MORA]]&lt;0,(Tabla14[[#This Row],[VALOR PRESTAMO]]*Tabla14[[#This Row],[% INTERES ]]/30*U1799))+Tabla14[[#This Row],[VALOR CUOTAS]]</f>
        <v>#VALUE!</v>
      </c>
      <c r="S1799" s="88">
        <f>-IF(Tabla14[[#This Row],[DIAS HABILES O MORA]]&lt;0,(Tabla14[[#This Row],[VALOR PRESTAMO]]*Tabla14[[#This Row],[% INTERES ]]/30*U1799))</f>
        <v>0</v>
      </c>
      <c r="T1799" s="53" t="e">
        <f>Tabla14[[#This Row],[DEUDA CAPITAL]]+Tabla14[[#This Row],[INTERES  CUOTA]]</f>
        <v>#NUM!</v>
      </c>
      <c r="U1799" s="61" t="str">
        <f t="shared" si="289"/>
        <v/>
      </c>
    </row>
    <row r="1800" spans="9:21" ht="24.75" customHeight="1" x14ac:dyDescent="0.35">
      <c r="I1800" s="42">
        <f t="shared" si="280"/>
        <v>0</v>
      </c>
      <c r="J1800" s="65" t="e">
        <f t="shared" si="281"/>
        <v>#NUM!</v>
      </c>
      <c r="K1800" s="83" t="e">
        <f t="shared" si="282"/>
        <v>#NUM!</v>
      </c>
      <c r="L1800" s="83">
        <f t="shared" si="283"/>
        <v>0</v>
      </c>
      <c r="M1800" s="110" t="str">
        <f t="shared" si="284"/>
        <v/>
      </c>
      <c r="N1800" s="51" t="str">
        <f t="shared" si="285"/>
        <v/>
      </c>
      <c r="O1800" s="52" t="str">
        <f t="shared" si="286"/>
        <v/>
      </c>
      <c r="P1800" s="88">
        <f t="shared" si="287"/>
        <v>0</v>
      </c>
      <c r="Q1800" s="88">
        <f t="shared" si="288"/>
        <v>0</v>
      </c>
      <c r="R1800" s="88" t="e">
        <f>-IF(Tabla14[[#This Row],[DIAS HABILES O MORA]]&lt;0,(Tabla14[[#This Row],[VALOR PRESTAMO]]*Tabla14[[#This Row],[% INTERES ]]/30*U1800))+Tabla14[[#This Row],[VALOR CUOTAS]]</f>
        <v>#VALUE!</v>
      </c>
      <c r="S1800" s="88">
        <f>-IF(Tabla14[[#This Row],[DIAS HABILES O MORA]]&lt;0,(Tabla14[[#This Row],[VALOR PRESTAMO]]*Tabla14[[#This Row],[% INTERES ]]/30*U1800))</f>
        <v>0</v>
      </c>
      <c r="T1800" s="53" t="e">
        <f>Tabla14[[#This Row],[DEUDA CAPITAL]]+Tabla14[[#This Row],[INTERES  CUOTA]]</f>
        <v>#NUM!</v>
      </c>
      <c r="U1800" s="61" t="str">
        <f t="shared" si="289"/>
        <v/>
      </c>
    </row>
    <row r="1801" spans="9:21" ht="24.75" customHeight="1" x14ac:dyDescent="0.35">
      <c r="I1801" s="42">
        <f t="shared" si="280"/>
        <v>0</v>
      </c>
      <c r="J1801" s="65" t="e">
        <f t="shared" si="281"/>
        <v>#NUM!</v>
      </c>
      <c r="K1801" s="83" t="e">
        <f t="shared" si="282"/>
        <v>#NUM!</v>
      </c>
      <c r="L1801" s="83">
        <f t="shared" si="283"/>
        <v>0</v>
      </c>
      <c r="M1801" s="110" t="str">
        <f t="shared" si="284"/>
        <v/>
      </c>
      <c r="N1801" s="51" t="str">
        <f t="shared" si="285"/>
        <v/>
      </c>
      <c r="O1801" s="52" t="str">
        <f t="shared" si="286"/>
        <v/>
      </c>
      <c r="P1801" s="88">
        <f t="shared" si="287"/>
        <v>0</v>
      </c>
      <c r="Q1801" s="88">
        <f t="shared" si="288"/>
        <v>0</v>
      </c>
      <c r="R1801" s="88" t="e">
        <f>-IF(Tabla14[[#This Row],[DIAS HABILES O MORA]]&lt;0,(Tabla14[[#This Row],[VALOR PRESTAMO]]*Tabla14[[#This Row],[% INTERES ]]/30*U1801))+Tabla14[[#This Row],[VALOR CUOTAS]]</f>
        <v>#VALUE!</v>
      </c>
      <c r="S1801" s="88">
        <f>-IF(Tabla14[[#This Row],[DIAS HABILES O MORA]]&lt;0,(Tabla14[[#This Row],[VALOR PRESTAMO]]*Tabla14[[#This Row],[% INTERES ]]/30*U1801))</f>
        <v>0</v>
      </c>
      <c r="T1801" s="53" t="e">
        <f>Tabla14[[#This Row],[DEUDA CAPITAL]]+Tabla14[[#This Row],[INTERES  CUOTA]]</f>
        <v>#NUM!</v>
      </c>
      <c r="U1801" s="61" t="str">
        <f t="shared" si="289"/>
        <v/>
      </c>
    </row>
    <row r="1802" spans="9:21" ht="24.75" customHeight="1" x14ac:dyDescent="0.35">
      <c r="I1802" s="42">
        <f t="shared" si="280"/>
        <v>0</v>
      </c>
      <c r="J1802" s="65" t="e">
        <f t="shared" si="281"/>
        <v>#NUM!</v>
      </c>
      <c r="K1802" s="83" t="e">
        <f t="shared" si="282"/>
        <v>#NUM!</v>
      </c>
      <c r="L1802" s="83">
        <f t="shared" si="283"/>
        <v>0</v>
      </c>
      <c r="M1802" s="110" t="str">
        <f t="shared" si="284"/>
        <v/>
      </c>
      <c r="N1802" s="51" t="str">
        <f t="shared" si="285"/>
        <v/>
      </c>
      <c r="O1802" s="52" t="str">
        <f t="shared" si="286"/>
        <v/>
      </c>
      <c r="P1802" s="88">
        <f t="shared" si="287"/>
        <v>0</v>
      </c>
      <c r="Q1802" s="88">
        <f t="shared" si="288"/>
        <v>0</v>
      </c>
      <c r="R1802" s="88" t="e">
        <f>-IF(Tabla14[[#This Row],[DIAS HABILES O MORA]]&lt;0,(Tabla14[[#This Row],[VALOR PRESTAMO]]*Tabla14[[#This Row],[% INTERES ]]/30*U1802))+Tabla14[[#This Row],[VALOR CUOTAS]]</f>
        <v>#VALUE!</v>
      </c>
      <c r="S1802" s="88">
        <f>-IF(Tabla14[[#This Row],[DIAS HABILES O MORA]]&lt;0,(Tabla14[[#This Row],[VALOR PRESTAMO]]*Tabla14[[#This Row],[% INTERES ]]/30*U1802))</f>
        <v>0</v>
      </c>
      <c r="T1802" s="53" t="e">
        <f>Tabla14[[#This Row],[DEUDA CAPITAL]]+Tabla14[[#This Row],[INTERES  CUOTA]]</f>
        <v>#NUM!</v>
      </c>
      <c r="U1802" s="61" t="str">
        <f t="shared" si="289"/>
        <v/>
      </c>
    </row>
    <row r="1803" spans="9:21" ht="24.75" customHeight="1" x14ac:dyDescent="0.35">
      <c r="I1803" s="42">
        <f t="shared" si="280"/>
        <v>0</v>
      </c>
      <c r="J1803" s="65" t="e">
        <f t="shared" si="281"/>
        <v>#NUM!</v>
      </c>
      <c r="K1803" s="83" t="e">
        <f t="shared" si="282"/>
        <v>#NUM!</v>
      </c>
      <c r="L1803" s="83">
        <f t="shared" si="283"/>
        <v>0</v>
      </c>
      <c r="M1803" s="110" t="str">
        <f t="shared" si="284"/>
        <v/>
      </c>
      <c r="N1803" s="51" t="str">
        <f t="shared" si="285"/>
        <v/>
      </c>
      <c r="O1803" s="52" t="str">
        <f t="shared" si="286"/>
        <v/>
      </c>
      <c r="P1803" s="88">
        <f t="shared" si="287"/>
        <v>0</v>
      </c>
      <c r="Q1803" s="88">
        <f t="shared" si="288"/>
        <v>0</v>
      </c>
      <c r="R1803" s="88" t="e">
        <f>-IF(Tabla14[[#This Row],[DIAS HABILES O MORA]]&lt;0,(Tabla14[[#This Row],[VALOR PRESTAMO]]*Tabla14[[#This Row],[% INTERES ]]/30*U1803))+Tabla14[[#This Row],[VALOR CUOTAS]]</f>
        <v>#VALUE!</v>
      </c>
      <c r="S1803" s="88">
        <f>-IF(Tabla14[[#This Row],[DIAS HABILES O MORA]]&lt;0,(Tabla14[[#This Row],[VALOR PRESTAMO]]*Tabla14[[#This Row],[% INTERES ]]/30*U1803))</f>
        <v>0</v>
      </c>
      <c r="T1803" s="53" t="e">
        <f>Tabla14[[#This Row],[DEUDA CAPITAL]]+Tabla14[[#This Row],[INTERES  CUOTA]]</f>
        <v>#NUM!</v>
      </c>
      <c r="U1803" s="61" t="str">
        <f t="shared" si="289"/>
        <v/>
      </c>
    </row>
    <row r="1804" spans="9:21" ht="24.75" customHeight="1" x14ac:dyDescent="0.35">
      <c r="I1804" s="42">
        <f t="shared" si="280"/>
        <v>0</v>
      </c>
      <c r="J1804" s="65" t="e">
        <f t="shared" si="281"/>
        <v>#NUM!</v>
      </c>
      <c r="K1804" s="83" t="e">
        <f t="shared" si="282"/>
        <v>#NUM!</v>
      </c>
      <c r="L1804" s="83">
        <f t="shared" si="283"/>
        <v>0</v>
      </c>
      <c r="M1804" s="110" t="str">
        <f t="shared" si="284"/>
        <v/>
      </c>
      <c r="N1804" s="51" t="str">
        <f t="shared" si="285"/>
        <v/>
      </c>
      <c r="O1804" s="52" t="str">
        <f t="shared" si="286"/>
        <v/>
      </c>
      <c r="P1804" s="88">
        <f t="shared" si="287"/>
        <v>0</v>
      </c>
      <c r="Q1804" s="88">
        <f t="shared" si="288"/>
        <v>0</v>
      </c>
      <c r="R1804" s="88" t="e">
        <f>-IF(Tabla14[[#This Row],[DIAS HABILES O MORA]]&lt;0,(Tabla14[[#This Row],[VALOR PRESTAMO]]*Tabla14[[#This Row],[% INTERES ]]/30*U1804))+Tabla14[[#This Row],[VALOR CUOTAS]]</f>
        <v>#VALUE!</v>
      </c>
      <c r="S1804" s="88">
        <f>-IF(Tabla14[[#This Row],[DIAS HABILES O MORA]]&lt;0,(Tabla14[[#This Row],[VALOR PRESTAMO]]*Tabla14[[#This Row],[% INTERES ]]/30*U1804))</f>
        <v>0</v>
      </c>
      <c r="T1804" s="53" t="e">
        <f>Tabla14[[#This Row],[DEUDA CAPITAL]]+Tabla14[[#This Row],[INTERES  CUOTA]]</f>
        <v>#NUM!</v>
      </c>
      <c r="U1804" s="61" t="str">
        <f t="shared" si="289"/>
        <v/>
      </c>
    </row>
    <row r="1805" spans="9:21" ht="24.75" customHeight="1" x14ac:dyDescent="0.35">
      <c r="I1805" s="42">
        <f t="shared" si="280"/>
        <v>0</v>
      </c>
      <c r="J1805" s="65" t="e">
        <f t="shared" si="281"/>
        <v>#NUM!</v>
      </c>
      <c r="K1805" s="83" t="e">
        <f t="shared" si="282"/>
        <v>#NUM!</v>
      </c>
      <c r="L1805" s="83">
        <f t="shared" si="283"/>
        <v>0</v>
      </c>
      <c r="M1805" s="110" t="str">
        <f t="shared" si="284"/>
        <v/>
      </c>
      <c r="N1805" s="51" t="str">
        <f t="shared" si="285"/>
        <v/>
      </c>
      <c r="O1805" s="52" t="str">
        <f t="shared" si="286"/>
        <v/>
      </c>
      <c r="P1805" s="88">
        <f t="shared" si="287"/>
        <v>0</v>
      </c>
      <c r="Q1805" s="88">
        <f t="shared" si="288"/>
        <v>0</v>
      </c>
      <c r="R1805" s="88" t="e">
        <f>-IF(Tabla14[[#This Row],[DIAS HABILES O MORA]]&lt;0,(Tabla14[[#This Row],[VALOR PRESTAMO]]*Tabla14[[#This Row],[% INTERES ]]/30*U1805))+Tabla14[[#This Row],[VALOR CUOTAS]]</f>
        <v>#VALUE!</v>
      </c>
      <c r="S1805" s="88">
        <f>-IF(Tabla14[[#This Row],[DIAS HABILES O MORA]]&lt;0,(Tabla14[[#This Row],[VALOR PRESTAMO]]*Tabla14[[#This Row],[% INTERES ]]/30*U1805))</f>
        <v>0</v>
      </c>
      <c r="T1805" s="53" t="e">
        <f>Tabla14[[#This Row],[DEUDA CAPITAL]]+Tabla14[[#This Row],[INTERES  CUOTA]]</f>
        <v>#NUM!</v>
      </c>
      <c r="U1805" s="61" t="str">
        <f t="shared" si="289"/>
        <v/>
      </c>
    </row>
    <row r="1806" spans="9:21" ht="24.75" customHeight="1" x14ac:dyDescent="0.35">
      <c r="I1806" s="42">
        <f t="shared" si="280"/>
        <v>0</v>
      </c>
      <c r="J1806" s="65" t="e">
        <f t="shared" si="281"/>
        <v>#NUM!</v>
      </c>
      <c r="K1806" s="83" t="e">
        <f t="shared" si="282"/>
        <v>#NUM!</v>
      </c>
      <c r="L1806" s="83">
        <f t="shared" si="283"/>
        <v>0</v>
      </c>
      <c r="M1806" s="110" t="str">
        <f t="shared" si="284"/>
        <v/>
      </c>
      <c r="N1806" s="51" t="str">
        <f t="shared" si="285"/>
        <v/>
      </c>
      <c r="O1806" s="52" t="str">
        <f t="shared" si="286"/>
        <v/>
      </c>
      <c r="P1806" s="88">
        <f t="shared" si="287"/>
        <v>0</v>
      </c>
      <c r="Q1806" s="88">
        <f t="shared" si="288"/>
        <v>0</v>
      </c>
      <c r="R1806" s="88" t="e">
        <f>-IF(Tabla14[[#This Row],[DIAS HABILES O MORA]]&lt;0,(Tabla14[[#This Row],[VALOR PRESTAMO]]*Tabla14[[#This Row],[% INTERES ]]/30*U1806))+Tabla14[[#This Row],[VALOR CUOTAS]]</f>
        <v>#VALUE!</v>
      </c>
      <c r="S1806" s="88">
        <f>-IF(Tabla14[[#This Row],[DIAS HABILES O MORA]]&lt;0,(Tabla14[[#This Row],[VALOR PRESTAMO]]*Tabla14[[#This Row],[% INTERES ]]/30*U1806))</f>
        <v>0</v>
      </c>
      <c r="T1806" s="53" t="e">
        <f>Tabla14[[#This Row],[DEUDA CAPITAL]]+Tabla14[[#This Row],[INTERES  CUOTA]]</f>
        <v>#NUM!</v>
      </c>
      <c r="U1806" s="61" t="str">
        <f t="shared" si="289"/>
        <v/>
      </c>
    </row>
    <row r="1807" spans="9:21" ht="24.75" customHeight="1" x14ac:dyDescent="0.35">
      <c r="I1807" s="42">
        <f t="shared" si="280"/>
        <v>0</v>
      </c>
      <c r="J1807" s="65" t="e">
        <f t="shared" si="281"/>
        <v>#NUM!</v>
      </c>
      <c r="K1807" s="83" t="e">
        <f t="shared" si="282"/>
        <v>#NUM!</v>
      </c>
      <c r="L1807" s="83">
        <f t="shared" si="283"/>
        <v>0</v>
      </c>
      <c r="M1807" s="110" t="str">
        <f t="shared" si="284"/>
        <v/>
      </c>
      <c r="N1807" s="51" t="str">
        <f t="shared" si="285"/>
        <v/>
      </c>
      <c r="O1807" s="52" t="str">
        <f t="shared" si="286"/>
        <v/>
      </c>
      <c r="P1807" s="88">
        <f t="shared" si="287"/>
        <v>0</v>
      </c>
      <c r="Q1807" s="88">
        <f t="shared" si="288"/>
        <v>0</v>
      </c>
      <c r="R1807" s="88" t="e">
        <f>-IF(Tabla14[[#This Row],[DIAS HABILES O MORA]]&lt;0,(Tabla14[[#This Row],[VALOR PRESTAMO]]*Tabla14[[#This Row],[% INTERES ]]/30*U1807))+Tabla14[[#This Row],[VALOR CUOTAS]]</f>
        <v>#VALUE!</v>
      </c>
      <c r="S1807" s="88">
        <f>-IF(Tabla14[[#This Row],[DIAS HABILES O MORA]]&lt;0,(Tabla14[[#This Row],[VALOR PRESTAMO]]*Tabla14[[#This Row],[% INTERES ]]/30*U1807))</f>
        <v>0</v>
      </c>
      <c r="T1807" s="53" t="e">
        <f>Tabla14[[#This Row],[DEUDA CAPITAL]]+Tabla14[[#This Row],[INTERES  CUOTA]]</f>
        <v>#NUM!</v>
      </c>
      <c r="U1807" s="61" t="str">
        <f t="shared" si="289"/>
        <v/>
      </c>
    </row>
    <row r="1808" spans="9:21" ht="24.75" customHeight="1" x14ac:dyDescent="0.35">
      <c r="I1808" s="42">
        <f t="shared" ref="I1808:I1871" si="290">IF(C1808&lt;0,"",IF(Q1808=0,0,IF(G1808=0,H1808+1,IF(H1808&lt;G1808,H1808+1,IF(G1808=H1808,0)))))</f>
        <v>0</v>
      </c>
      <c r="J1808" s="65" t="e">
        <f t="shared" ref="J1808:J1871" si="291">IF(F1808="SOLO INTERES",Q1808*D1808,-IPMT(D1808,I1808,G1808,C1808))</f>
        <v>#NUM!</v>
      </c>
      <c r="K1808" s="83" t="e">
        <f t="shared" ref="K1808:K1871" si="292">IF(F1808="SOLO INTERES",0,-PPMT(D1808,I1808,G1808,C1808))</f>
        <v>#NUM!</v>
      </c>
      <c r="L1808" s="83">
        <f t="shared" ref="L1808:L1871" si="293">IF(F1808="SOLO INTERES",SUM(Y1808:AAE1808),IFERROR(-CUMIPMT(D1808,G1808,C1808,1,H1808,0),0)+SUM(Y1808:WY1808))</f>
        <v>0</v>
      </c>
      <c r="M1808" s="110" t="str">
        <f t="shared" ref="M1808:M1871" si="294">IFERROR(IF(F1808="SOLO INTERES",Q1808*D1808,-PMT(D1808,G1808,C1808,0)),"")</f>
        <v/>
      </c>
      <c r="N1808" s="51" t="str">
        <f t="shared" ref="N1808:N1871" si="295">IF(Q1808=0,"",IF(E1808="MENSUAL",EDATE(B1808,I1808),IF(E1808="QUINCENAL",B1808+(I1808*15),IF(E1808="SEMANAL",B1808+(I1808*7)))))</f>
        <v/>
      </c>
      <c r="O1808" s="52" t="str">
        <f t="shared" ref="O1808:O1871" si="296">IF(C1808=0,"",IF(Q1808&lt;1,"PAGADO",IF(N1808=$A$3,"COBRAR HOY",IF(N1808&lt;$A$3,"EN MORA",IF(N1808&gt;$A$3,"AL DIA")))))</f>
        <v/>
      </c>
      <c r="P1808" s="88">
        <f t="shared" ref="P1808:P1871" si="297">IFERROR(-CUMPRINC(D1808,G1808,C1808,1,H1808,0),0)+W1808</f>
        <v>0</v>
      </c>
      <c r="Q1808" s="88">
        <f t="shared" ref="Q1808:Q1871" si="298">IFERROR(C1808-P1808,"")</f>
        <v>0</v>
      </c>
      <c r="R1808" s="88" t="e">
        <f>-IF(Tabla14[[#This Row],[DIAS HABILES O MORA]]&lt;0,(Tabla14[[#This Row],[VALOR PRESTAMO]]*Tabla14[[#This Row],[% INTERES ]]/30*U1808))+Tabla14[[#This Row],[VALOR CUOTAS]]</f>
        <v>#VALUE!</v>
      </c>
      <c r="S1808" s="88">
        <f>-IF(Tabla14[[#This Row],[DIAS HABILES O MORA]]&lt;0,(Tabla14[[#This Row],[VALOR PRESTAMO]]*Tabla14[[#This Row],[% INTERES ]]/30*U1808))</f>
        <v>0</v>
      </c>
      <c r="T1808" s="53" t="e">
        <f>Tabla14[[#This Row],[DEUDA CAPITAL]]+Tabla14[[#This Row],[INTERES  CUOTA]]</f>
        <v>#NUM!</v>
      </c>
      <c r="U1808" s="61" t="str">
        <f t="shared" ref="U1808:U1871" si="299">IF(O1808="PAGADO","",IFERROR(-IF(C1808=0,"",$A$3-N1808),""))</f>
        <v/>
      </c>
    </row>
    <row r="1809" spans="9:21" ht="24.75" customHeight="1" x14ac:dyDescent="0.35">
      <c r="I1809" s="42">
        <f t="shared" si="290"/>
        <v>0</v>
      </c>
      <c r="J1809" s="65" t="e">
        <f t="shared" si="291"/>
        <v>#NUM!</v>
      </c>
      <c r="K1809" s="83" t="e">
        <f t="shared" si="292"/>
        <v>#NUM!</v>
      </c>
      <c r="L1809" s="83">
        <f t="shared" si="293"/>
        <v>0</v>
      </c>
      <c r="M1809" s="110" t="str">
        <f t="shared" si="294"/>
        <v/>
      </c>
      <c r="N1809" s="51" t="str">
        <f t="shared" si="295"/>
        <v/>
      </c>
      <c r="O1809" s="52" t="str">
        <f t="shared" si="296"/>
        <v/>
      </c>
      <c r="P1809" s="88">
        <f t="shared" si="297"/>
        <v>0</v>
      </c>
      <c r="Q1809" s="88">
        <f t="shared" si="298"/>
        <v>0</v>
      </c>
      <c r="R1809" s="88" t="e">
        <f>-IF(Tabla14[[#This Row],[DIAS HABILES O MORA]]&lt;0,(Tabla14[[#This Row],[VALOR PRESTAMO]]*Tabla14[[#This Row],[% INTERES ]]/30*U1809))+Tabla14[[#This Row],[VALOR CUOTAS]]</f>
        <v>#VALUE!</v>
      </c>
      <c r="S1809" s="88">
        <f>-IF(Tabla14[[#This Row],[DIAS HABILES O MORA]]&lt;0,(Tabla14[[#This Row],[VALOR PRESTAMO]]*Tabla14[[#This Row],[% INTERES ]]/30*U1809))</f>
        <v>0</v>
      </c>
      <c r="T1809" s="53" t="e">
        <f>Tabla14[[#This Row],[DEUDA CAPITAL]]+Tabla14[[#This Row],[INTERES  CUOTA]]</f>
        <v>#NUM!</v>
      </c>
      <c r="U1809" s="61" t="str">
        <f t="shared" si="299"/>
        <v/>
      </c>
    </row>
    <row r="1810" spans="9:21" ht="24.75" customHeight="1" x14ac:dyDescent="0.35">
      <c r="I1810" s="42">
        <f t="shared" si="290"/>
        <v>0</v>
      </c>
      <c r="J1810" s="65" t="e">
        <f t="shared" si="291"/>
        <v>#NUM!</v>
      </c>
      <c r="K1810" s="83" t="e">
        <f t="shared" si="292"/>
        <v>#NUM!</v>
      </c>
      <c r="L1810" s="83">
        <f t="shared" si="293"/>
        <v>0</v>
      </c>
      <c r="M1810" s="110" t="str">
        <f t="shared" si="294"/>
        <v/>
      </c>
      <c r="N1810" s="51" t="str">
        <f t="shared" si="295"/>
        <v/>
      </c>
      <c r="O1810" s="52" t="str">
        <f t="shared" si="296"/>
        <v/>
      </c>
      <c r="P1810" s="88">
        <f t="shared" si="297"/>
        <v>0</v>
      </c>
      <c r="Q1810" s="88">
        <f t="shared" si="298"/>
        <v>0</v>
      </c>
      <c r="R1810" s="88" t="e">
        <f>-IF(Tabla14[[#This Row],[DIAS HABILES O MORA]]&lt;0,(Tabla14[[#This Row],[VALOR PRESTAMO]]*Tabla14[[#This Row],[% INTERES ]]/30*U1810))+Tabla14[[#This Row],[VALOR CUOTAS]]</f>
        <v>#VALUE!</v>
      </c>
      <c r="S1810" s="88">
        <f>-IF(Tabla14[[#This Row],[DIAS HABILES O MORA]]&lt;0,(Tabla14[[#This Row],[VALOR PRESTAMO]]*Tabla14[[#This Row],[% INTERES ]]/30*U1810))</f>
        <v>0</v>
      </c>
      <c r="T1810" s="53" t="e">
        <f>Tabla14[[#This Row],[DEUDA CAPITAL]]+Tabla14[[#This Row],[INTERES  CUOTA]]</f>
        <v>#NUM!</v>
      </c>
      <c r="U1810" s="61" t="str">
        <f t="shared" si="299"/>
        <v/>
      </c>
    </row>
    <row r="1811" spans="9:21" ht="24.75" customHeight="1" x14ac:dyDescent="0.35">
      <c r="I1811" s="42">
        <f t="shared" si="290"/>
        <v>0</v>
      </c>
      <c r="J1811" s="65" t="e">
        <f t="shared" si="291"/>
        <v>#NUM!</v>
      </c>
      <c r="K1811" s="83" t="e">
        <f t="shared" si="292"/>
        <v>#NUM!</v>
      </c>
      <c r="L1811" s="83">
        <f t="shared" si="293"/>
        <v>0</v>
      </c>
      <c r="M1811" s="110" t="str">
        <f t="shared" si="294"/>
        <v/>
      </c>
      <c r="N1811" s="51" t="str">
        <f t="shared" si="295"/>
        <v/>
      </c>
      <c r="O1811" s="52" t="str">
        <f t="shared" si="296"/>
        <v/>
      </c>
      <c r="P1811" s="88">
        <f t="shared" si="297"/>
        <v>0</v>
      </c>
      <c r="Q1811" s="88">
        <f t="shared" si="298"/>
        <v>0</v>
      </c>
      <c r="R1811" s="88" t="e">
        <f>-IF(Tabla14[[#This Row],[DIAS HABILES O MORA]]&lt;0,(Tabla14[[#This Row],[VALOR PRESTAMO]]*Tabla14[[#This Row],[% INTERES ]]/30*U1811))+Tabla14[[#This Row],[VALOR CUOTAS]]</f>
        <v>#VALUE!</v>
      </c>
      <c r="S1811" s="88">
        <f>-IF(Tabla14[[#This Row],[DIAS HABILES O MORA]]&lt;0,(Tabla14[[#This Row],[VALOR PRESTAMO]]*Tabla14[[#This Row],[% INTERES ]]/30*U1811))</f>
        <v>0</v>
      </c>
      <c r="T1811" s="53" t="e">
        <f>Tabla14[[#This Row],[DEUDA CAPITAL]]+Tabla14[[#This Row],[INTERES  CUOTA]]</f>
        <v>#NUM!</v>
      </c>
      <c r="U1811" s="61" t="str">
        <f t="shared" si="299"/>
        <v/>
      </c>
    </row>
    <row r="1812" spans="9:21" ht="24.75" customHeight="1" x14ac:dyDescent="0.35">
      <c r="I1812" s="42">
        <f t="shared" si="290"/>
        <v>0</v>
      </c>
      <c r="J1812" s="65" t="e">
        <f t="shared" si="291"/>
        <v>#NUM!</v>
      </c>
      <c r="K1812" s="83" t="e">
        <f t="shared" si="292"/>
        <v>#NUM!</v>
      </c>
      <c r="L1812" s="83">
        <f t="shared" si="293"/>
        <v>0</v>
      </c>
      <c r="M1812" s="110" t="str">
        <f t="shared" si="294"/>
        <v/>
      </c>
      <c r="N1812" s="51" t="str">
        <f t="shared" si="295"/>
        <v/>
      </c>
      <c r="O1812" s="52" t="str">
        <f t="shared" si="296"/>
        <v/>
      </c>
      <c r="P1812" s="88">
        <f t="shared" si="297"/>
        <v>0</v>
      </c>
      <c r="Q1812" s="88">
        <f t="shared" si="298"/>
        <v>0</v>
      </c>
      <c r="R1812" s="88" t="e">
        <f>-IF(Tabla14[[#This Row],[DIAS HABILES O MORA]]&lt;0,(Tabla14[[#This Row],[VALOR PRESTAMO]]*Tabla14[[#This Row],[% INTERES ]]/30*U1812))+Tabla14[[#This Row],[VALOR CUOTAS]]</f>
        <v>#VALUE!</v>
      </c>
      <c r="S1812" s="88">
        <f>-IF(Tabla14[[#This Row],[DIAS HABILES O MORA]]&lt;0,(Tabla14[[#This Row],[VALOR PRESTAMO]]*Tabla14[[#This Row],[% INTERES ]]/30*U1812))</f>
        <v>0</v>
      </c>
      <c r="T1812" s="53" t="e">
        <f>Tabla14[[#This Row],[DEUDA CAPITAL]]+Tabla14[[#This Row],[INTERES  CUOTA]]</f>
        <v>#NUM!</v>
      </c>
      <c r="U1812" s="61" t="str">
        <f t="shared" si="299"/>
        <v/>
      </c>
    </row>
    <row r="1813" spans="9:21" ht="24.75" customHeight="1" x14ac:dyDescent="0.35">
      <c r="I1813" s="42">
        <f t="shared" si="290"/>
        <v>0</v>
      </c>
      <c r="J1813" s="65" t="e">
        <f t="shared" si="291"/>
        <v>#NUM!</v>
      </c>
      <c r="K1813" s="83" t="e">
        <f t="shared" si="292"/>
        <v>#NUM!</v>
      </c>
      <c r="L1813" s="83">
        <f t="shared" si="293"/>
        <v>0</v>
      </c>
      <c r="M1813" s="110" t="str">
        <f t="shared" si="294"/>
        <v/>
      </c>
      <c r="N1813" s="51" t="str">
        <f t="shared" si="295"/>
        <v/>
      </c>
      <c r="O1813" s="52" t="str">
        <f t="shared" si="296"/>
        <v/>
      </c>
      <c r="P1813" s="88">
        <f t="shared" si="297"/>
        <v>0</v>
      </c>
      <c r="Q1813" s="88">
        <f t="shared" si="298"/>
        <v>0</v>
      </c>
      <c r="R1813" s="88" t="e">
        <f>-IF(Tabla14[[#This Row],[DIAS HABILES O MORA]]&lt;0,(Tabla14[[#This Row],[VALOR PRESTAMO]]*Tabla14[[#This Row],[% INTERES ]]/30*U1813))+Tabla14[[#This Row],[VALOR CUOTAS]]</f>
        <v>#VALUE!</v>
      </c>
      <c r="S1813" s="88">
        <f>-IF(Tabla14[[#This Row],[DIAS HABILES O MORA]]&lt;0,(Tabla14[[#This Row],[VALOR PRESTAMO]]*Tabla14[[#This Row],[% INTERES ]]/30*U1813))</f>
        <v>0</v>
      </c>
      <c r="T1813" s="53" t="e">
        <f>Tabla14[[#This Row],[DEUDA CAPITAL]]+Tabla14[[#This Row],[INTERES  CUOTA]]</f>
        <v>#NUM!</v>
      </c>
      <c r="U1813" s="61" t="str">
        <f t="shared" si="299"/>
        <v/>
      </c>
    </row>
    <row r="1814" spans="9:21" ht="24.75" customHeight="1" x14ac:dyDescent="0.35">
      <c r="I1814" s="42">
        <f t="shared" si="290"/>
        <v>0</v>
      </c>
      <c r="J1814" s="65" t="e">
        <f t="shared" si="291"/>
        <v>#NUM!</v>
      </c>
      <c r="K1814" s="83" t="e">
        <f t="shared" si="292"/>
        <v>#NUM!</v>
      </c>
      <c r="L1814" s="83">
        <f t="shared" si="293"/>
        <v>0</v>
      </c>
      <c r="M1814" s="110" t="str">
        <f t="shared" si="294"/>
        <v/>
      </c>
      <c r="N1814" s="51" t="str">
        <f t="shared" si="295"/>
        <v/>
      </c>
      <c r="O1814" s="52" t="str">
        <f t="shared" si="296"/>
        <v/>
      </c>
      <c r="P1814" s="88">
        <f t="shared" si="297"/>
        <v>0</v>
      </c>
      <c r="Q1814" s="88">
        <f t="shared" si="298"/>
        <v>0</v>
      </c>
      <c r="R1814" s="88" t="e">
        <f>-IF(Tabla14[[#This Row],[DIAS HABILES O MORA]]&lt;0,(Tabla14[[#This Row],[VALOR PRESTAMO]]*Tabla14[[#This Row],[% INTERES ]]/30*U1814))+Tabla14[[#This Row],[VALOR CUOTAS]]</f>
        <v>#VALUE!</v>
      </c>
      <c r="S1814" s="88">
        <f>-IF(Tabla14[[#This Row],[DIAS HABILES O MORA]]&lt;0,(Tabla14[[#This Row],[VALOR PRESTAMO]]*Tabla14[[#This Row],[% INTERES ]]/30*U1814))</f>
        <v>0</v>
      </c>
      <c r="T1814" s="53" t="e">
        <f>Tabla14[[#This Row],[DEUDA CAPITAL]]+Tabla14[[#This Row],[INTERES  CUOTA]]</f>
        <v>#NUM!</v>
      </c>
      <c r="U1814" s="61" t="str">
        <f t="shared" si="299"/>
        <v/>
      </c>
    </row>
    <row r="1815" spans="9:21" ht="24.75" customHeight="1" x14ac:dyDescent="0.35">
      <c r="I1815" s="42">
        <f t="shared" si="290"/>
        <v>0</v>
      </c>
      <c r="J1815" s="65" t="e">
        <f t="shared" si="291"/>
        <v>#NUM!</v>
      </c>
      <c r="K1815" s="83" t="e">
        <f t="shared" si="292"/>
        <v>#NUM!</v>
      </c>
      <c r="L1815" s="83">
        <f t="shared" si="293"/>
        <v>0</v>
      </c>
      <c r="M1815" s="110" t="str">
        <f t="shared" si="294"/>
        <v/>
      </c>
      <c r="N1815" s="51" t="str">
        <f t="shared" si="295"/>
        <v/>
      </c>
      <c r="O1815" s="52" t="str">
        <f t="shared" si="296"/>
        <v/>
      </c>
      <c r="P1815" s="88">
        <f t="shared" si="297"/>
        <v>0</v>
      </c>
      <c r="Q1815" s="88">
        <f t="shared" si="298"/>
        <v>0</v>
      </c>
      <c r="R1815" s="88" t="e">
        <f>-IF(Tabla14[[#This Row],[DIAS HABILES O MORA]]&lt;0,(Tabla14[[#This Row],[VALOR PRESTAMO]]*Tabla14[[#This Row],[% INTERES ]]/30*U1815))+Tabla14[[#This Row],[VALOR CUOTAS]]</f>
        <v>#VALUE!</v>
      </c>
      <c r="S1815" s="88">
        <f>-IF(Tabla14[[#This Row],[DIAS HABILES O MORA]]&lt;0,(Tabla14[[#This Row],[VALOR PRESTAMO]]*Tabla14[[#This Row],[% INTERES ]]/30*U1815))</f>
        <v>0</v>
      </c>
      <c r="T1815" s="53" t="e">
        <f>Tabla14[[#This Row],[DEUDA CAPITAL]]+Tabla14[[#This Row],[INTERES  CUOTA]]</f>
        <v>#NUM!</v>
      </c>
      <c r="U1815" s="61" t="str">
        <f t="shared" si="299"/>
        <v/>
      </c>
    </row>
    <row r="1816" spans="9:21" ht="24.75" customHeight="1" x14ac:dyDescent="0.35">
      <c r="I1816" s="42">
        <f t="shared" si="290"/>
        <v>0</v>
      </c>
      <c r="J1816" s="65" t="e">
        <f t="shared" si="291"/>
        <v>#NUM!</v>
      </c>
      <c r="K1816" s="83" t="e">
        <f t="shared" si="292"/>
        <v>#NUM!</v>
      </c>
      <c r="L1816" s="83">
        <f t="shared" si="293"/>
        <v>0</v>
      </c>
      <c r="M1816" s="110" t="str">
        <f t="shared" si="294"/>
        <v/>
      </c>
      <c r="N1816" s="51" t="str">
        <f t="shared" si="295"/>
        <v/>
      </c>
      <c r="O1816" s="52" t="str">
        <f t="shared" si="296"/>
        <v/>
      </c>
      <c r="P1816" s="88">
        <f t="shared" si="297"/>
        <v>0</v>
      </c>
      <c r="Q1816" s="88">
        <f t="shared" si="298"/>
        <v>0</v>
      </c>
      <c r="R1816" s="88" t="e">
        <f>-IF(Tabla14[[#This Row],[DIAS HABILES O MORA]]&lt;0,(Tabla14[[#This Row],[VALOR PRESTAMO]]*Tabla14[[#This Row],[% INTERES ]]/30*U1816))+Tabla14[[#This Row],[VALOR CUOTAS]]</f>
        <v>#VALUE!</v>
      </c>
      <c r="S1816" s="88">
        <f>-IF(Tabla14[[#This Row],[DIAS HABILES O MORA]]&lt;0,(Tabla14[[#This Row],[VALOR PRESTAMO]]*Tabla14[[#This Row],[% INTERES ]]/30*U1816))</f>
        <v>0</v>
      </c>
      <c r="T1816" s="53" t="e">
        <f>Tabla14[[#This Row],[DEUDA CAPITAL]]+Tabla14[[#This Row],[INTERES  CUOTA]]</f>
        <v>#NUM!</v>
      </c>
      <c r="U1816" s="61" t="str">
        <f t="shared" si="299"/>
        <v/>
      </c>
    </row>
    <row r="1817" spans="9:21" ht="24.75" customHeight="1" x14ac:dyDescent="0.35">
      <c r="I1817" s="42">
        <f t="shared" si="290"/>
        <v>0</v>
      </c>
      <c r="J1817" s="65" t="e">
        <f t="shared" si="291"/>
        <v>#NUM!</v>
      </c>
      <c r="K1817" s="83" t="e">
        <f t="shared" si="292"/>
        <v>#NUM!</v>
      </c>
      <c r="L1817" s="83">
        <f t="shared" si="293"/>
        <v>0</v>
      </c>
      <c r="M1817" s="110" t="str">
        <f t="shared" si="294"/>
        <v/>
      </c>
      <c r="N1817" s="51" t="str">
        <f t="shared" si="295"/>
        <v/>
      </c>
      <c r="O1817" s="52" t="str">
        <f t="shared" si="296"/>
        <v/>
      </c>
      <c r="P1817" s="88">
        <f t="shared" si="297"/>
        <v>0</v>
      </c>
      <c r="Q1817" s="88">
        <f t="shared" si="298"/>
        <v>0</v>
      </c>
      <c r="R1817" s="88" t="e">
        <f>-IF(Tabla14[[#This Row],[DIAS HABILES O MORA]]&lt;0,(Tabla14[[#This Row],[VALOR PRESTAMO]]*Tabla14[[#This Row],[% INTERES ]]/30*U1817))+Tabla14[[#This Row],[VALOR CUOTAS]]</f>
        <v>#VALUE!</v>
      </c>
      <c r="S1817" s="88">
        <f>-IF(Tabla14[[#This Row],[DIAS HABILES O MORA]]&lt;0,(Tabla14[[#This Row],[VALOR PRESTAMO]]*Tabla14[[#This Row],[% INTERES ]]/30*U1817))</f>
        <v>0</v>
      </c>
      <c r="T1817" s="53" t="e">
        <f>Tabla14[[#This Row],[DEUDA CAPITAL]]+Tabla14[[#This Row],[INTERES  CUOTA]]</f>
        <v>#NUM!</v>
      </c>
      <c r="U1817" s="61" t="str">
        <f t="shared" si="299"/>
        <v/>
      </c>
    </row>
    <row r="1818" spans="9:21" ht="24.75" customHeight="1" x14ac:dyDescent="0.35">
      <c r="I1818" s="42">
        <f t="shared" si="290"/>
        <v>0</v>
      </c>
      <c r="J1818" s="65" t="e">
        <f t="shared" si="291"/>
        <v>#NUM!</v>
      </c>
      <c r="K1818" s="83" t="e">
        <f t="shared" si="292"/>
        <v>#NUM!</v>
      </c>
      <c r="L1818" s="83">
        <f t="shared" si="293"/>
        <v>0</v>
      </c>
      <c r="M1818" s="110" t="str">
        <f t="shared" si="294"/>
        <v/>
      </c>
      <c r="N1818" s="51" t="str">
        <f t="shared" si="295"/>
        <v/>
      </c>
      <c r="O1818" s="52" t="str">
        <f t="shared" si="296"/>
        <v/>
      </c>
      <c r="P1818" s="88">
        <f t="shared" si="297"/>
        <v>0</v>
      </c>
      <c r="Q1818" s="88">
        <f t="shared" si="298"/>
        <v>0</v>
      </c>
      <c r="R1818" s="88" t="e">
        <f>-IF(Tabla14[[#This Row],[DIAS HABILES O MORA]]&lt;0,(Tabla14[[#This Row],[VALOR PRESTAMO]]*Tabla14[[#This Row],[% INTERES ]]/30*U1818))+Tabla14[[#This Row],[VALOR CUOTAS]]</f>
        <v>#VALUE!</v>
      </c>
      <c r="S1818" s="88">
        <f>-IF(Tabla14[[#This Row],[DIAS HABILES O MORA]]&lt;0,(Tabla14[[#This Row],[VALOR PRESTAMO]]*Tabla14[[#This Row],[% INTERES ]]/30*U1818))</f>
        <v>0</v>
      </c>
      <c r="T1818" s="53" t="e">
        <f>Tabla14[[#This Row],[DEUDA CAPITAL]]+Tabla14[[#This Row],[INTERES  CUOTA]]</f>
        <v>#NUM!</v>
      </c>
      <c r="U1818" s="61" t="str">
        <f t="shared" si="299"/>
        <v/>
      </c>
    </row>
    <row r="1819" spans="9:21" ht="24.75" customHeight="1" x14ac:dyDescent="0.35">
      <c r="I1819" s="42">
        <f t="shared" si="290"/>
        <v>0</v>
      </c>
      <c r="J1819" s="65" t="e">
        <f t="shared" si="291"/>
        <v>#NUM!</v>
      </c>
      <c r="K1819" s="83" t="e">
        <f t="shared" si="292"/>
        <v>#NUM!</v>
      </c>
      <c r="L1819" s="83">
        <f t="shared" si="293"/>
        <v>0</v>
      </c>
      <c r="M1819" s="110" t="str">
        <f t="shared" si="294"/>
        <v/>
      </c>
      <c r="N1819" s="51" t="str">
        <f t="shared" si="295"/>
        <v/>
      </c>
      <c r="O1819" s="52" t="str">
        <f t="shared" si="296"/>
        <v/>
      </c>
      <c r="P1819" s="88">
        <f t="shared" si="297"/>
        <v>0</v>
      </c>
      <c r="Q1819" s="88">
        <f t="shared" si="298"/>
        <v>0</v>
      </c>
      <c r="R1819" s="88" t="e">
        <f>-IF(Tabla14[[#This Row],[DIAS HABILES O MORA]]&lt;0,(Tabla14[[#This Row],[VALOR PRESTAMO]]*Tabla14[[#This Row],[% INTERES ]]/30*U1819))+Tabla14[[#This Row],[VALOR CUOTAS]]</f>
        <v>#VALUE!</v>
      </c>
      <c r="S1819" s="88">
        <f>-IF(Tabla14[[#This Row],[DIAS HABILES O MORA]]&lt;0,(Tabla14[[#This Row],[VALOR PRESTAMO]]*Tabla14[[#This Row],[% INTERES ]]/30*U1819))</f>
        <v>0</v>
      </c>
      <c r="T1819" s="53" t="e">
        <f>Tabla14[[#This Row],[DEUDA CAPITAL]]+Tabla14[[#This Row],[INTERES  CUOTA]]</f>
        <v>#NUM!</v>
      </c>
      <c r="U1819" s="61" t="str">
        <f t="shared" si="299"/>
        <v/>
      </c>
    </row>
    <row r="1820" spans="9:21" ht="24.75" customHeight="1" x14ac:dyDescent="0.35">
      <c r="I1820" s="42">
        <f t="shared" si="290"/>
        <v>0</v>
      </c>
      <c r="J1820" s="65" t="e">
        <f t="shared" si="291"/>
        <v>#NUM!</v>
      </c>
      <c r="K1820" s="83" t="e">
        <f t="shared" si="292"/>
        <v>#NUM!</v>
      </c>
      <c r="L1820" s="83">
        <f t="shared" si="293"/>
        <v>0</v>
      </c>
      <c r="M1820" s="110" t="str">
        <f t="shared" si="294"/>
        <v/>
      </c>
      <c r="N1820" s="51" t="str">
        <f t="shared" si="295"/>
        <v/>
      </c>
      <c r="O1820" s="52" t="str">
        <f t="shared" si="296"/>
        <v/>
      </c>
      <c r="P1820" s="88">
        <f t="shared" si="297"/>
        <v>0</v>
      </c>
      <c r="Q1820" s="88">
        <f t="shared" si="298"/>
        <v>0</v>
      </c>
      <c r="R1820" s="88" t="e">
        <f>-IF(Tabla14[[#This Row],[DIAS HABILES O MORA]]&lt;0,(Tabla14[[#This Row],[VALOR PRESTAMO]]*Tabla14[[#This Row],[% INTERES ]]/30*U1820))+Tabla14[[#This Row],[VALOR CUOTAS]]</f>
        <v>#VALUE!</v>
      </c>
      <c r="S1820" s="88">
        <f>-IF(Tabla14[[#This Row],[DIAS HABILES O MORA]]&lt;0,(Tabla14[[#This Row],[VALOR PRESTAMO]]*Tabla14[[#This Row],[% INTERES ]]/30*U1820))</f>
        <v>0</v>
      </c>
      <c r="T1820" s="53" t="e">
        <f>Tabla14[[#This Row],[DEUDA CAPITAL]]+Tabla14[[#This Row],[INTERES  CUOTA]]</f>
        <v>#NUM!</v>
      </c>
      <c r="U1820" s="61" t="str">
        <f t="shared" si="299"/>
        <v/>
      </c>
    </row>
    <row r="1821" spans="9:21" ht="24.75" customHeight="1" x14ac:dyDescent="0.35">
      <c r="I1821" s="42">
        <f t="shared" si="290"/>
        <v>0</v>
      </c>
      <c r="J1821" s="65" t="e">
        <f t="shared" si="291"/>
        <v>#NUM!</v>
      </c>
      <c r="K1821" s="83" t="e">
        <f t="shared" si="292"/>
        <v>#NUM!</v>
      </c>
      <c r="L1821" s="83">
        <f t="shared" si="293"/>
        <v>0</v>
      </c>
      <c r="M1821" s="110" t="str">
        <f t="shared" si="294"/>
        <v/>
      </c>
      <c r="N1821" s="51" t="str">
        <f t="shared" si="295"/>
        <v/>
      </c>
      <c r="O1821" s="52" t="str">
        <f t="shared" si="296"/>
        <v/>
      </c>
      <c r="P1821" s="88">
        <f t="shared" si="297"/>
        <v>0</v>
      </c>
      <c r="Q1821" s="88">
        <f t="shared" si="298"/>
        <v>0</v>
      </c>
      <c r="R1821" s="88" t="e">
        <f>-IF(Tabla14[[#This Row],[DIAS HABILES O MORA]]&lt;0,(Tabla14[[#This Row],[VALOR PRESTAMO]]*Tabla14[[#This Row],[% INTERES ]]/30*U1821))+Tabla14[[#This Row],[VALOR CUOTAS]]</f>
        <v>#VALUE!</v>
      </c>
      <c r="S1821" s="88">
        <f>-IF(Tabla14[[#This Row],[DIAS HABILES O MORA]]&lt;0,(Tabla14[[#This Row],[VALOR PRESTAMO]]*Tabla14[[#This Row],[% INTERES ]]/30*U1821))</f>
        <v>0</v>
      </c>
      <c r="T1821" s="53" t="e">
        <f>Tabla14[[#This Row],[DEUDA CAPITAL]]+Tabla14[[#This Row],[INTERES  CUOTA]]</f>
        <v>#NUM!</v>
      </c>
      <c r="U1821" s="61" t="str">
        <f t="shared" si="299"/>
        <v/>
      </c>
    </row>
    <row r="1822" spans="9:21" ht="24.75" customHeight="1" x14ac:dyDescent="0.35">
      <c r="I1822" s="42">
        <f t="shared" si="290"/>
        <v>0</v>
      </c>
      <c r="J1822" s="65" t="e">
        <f t="shared" si="291"/>
        <v>#NUM!</v>
      </c>
      <c r="K1822" s="83" t="e">
        <f t="shared" si="292"/>
        <v>#NUM!</v>
      </c>
      <c r="L1822" s="83">
        <f t="shared" si="293"/>
        <v>0</v>
      </c>
      <c r="M1822" s="110" t="str">
        <f t="shared" si="294"/>
        <v/>
      </c>
      <c r="N1822" s="51" t="str">
        <f t="shared" si="295"/>
        <v/>
      </c>
      <c r="O1822" s="52" t="str">
        <f t="shared" si="296"/>
        <v/>
      </c>
      <c r="P1822" s="88">
        <f t="shared" si="297"/>
        <v>0</v>
      </c>
      <c r="Q1822" s="88">
        <f t="shared" si="298"/>
        <v>0</v>
      </c>
      <c r="R1822" s="88" t="e">
        <f>-IF(Tabla14[[#This Row],[DIAS HABILES O MORA]]&lt;0,(Tabla14[[#This Row],[VALOR PRESTAMO]]*Tabla14[[#This Row],[% INTERES ]]/30*U1822))+Tabla14[[#This Row],[VALOR CUOTAS]]</f>
        <v>#VALUE!</v>
      </c>
      <c r="S1822" s="88">
        <f>-IF(Tabla14[[#This Row],[DIAS HABILES O MORA]]&lt;0,(Tabla14[[#This Row],[VALOR PRESTAMO]]*Tabla14[[#This Row],[% INTERES ]]/30*U1822))</f>
        <v>0</v>
      </c>
      <c r="T1822" s="53" t="e">
        <f>Tabla14[[#This Row],[DEUDA CAPITAL]]+Tabla14[[#This Row],[INTERES  CUOTA]]</f>
        <v>#NUM!</v>
      </c>
      <c r="U1822" s="61" t="str">
        <f t="shared" si="299"/>
        <v/>
      </c>
    </row>
    <row r="1823" spans="9:21" ht="24.75" customHeight="1" x14ac:dyDescent="0.35">
      <c r="I1823" s="42">
        <f t="shared" si="290"/>
        <v>0</v>
      </c>
      <c r="J1823" s="65" t="e">
        <f t="shared" si="291"/>
        <v>#NUM!</v>
      </c>
      <c r="K1823" s="83" t="e">
        <f t="shared" si="292"/>
        <v>#NUM!</v>
      </c>
      <c r="L1823" s="83">
        <f t="shared" si="293"/>
        <v>0</v>
      </c>
      <c r="M1823" s="110" t="str">
        <f t="shared" si="294"/>
        <v/>
      </c>
      <c r="N1823" s="51" t="str">
        <f t="shared" si="295"/>
        <v/>
      </c>
      <c r="O1823" s="52" t="str">
        <f t="shared" si="296"/>
        <v/>
      </c>
      <c r="P1823" s="88">
        <f t="shared" si="297"/>
        <v>0</v>
      </c>
      <c r="Q1823" s="88">
        <f t="shared" si="298"/>
        <v>0</v>
      </c>
      <c r="R1823" s="88" t="e">
        <f>-IF(Tabla14[[#This Row],[DIAS HABILES O MORA]]&lt;0,(Tabla14[[#This Row],[VALOR PRESTAMO]]*Tabla14[[#This Row],[% INTERES ]]/30*U1823))+Tabla14[[#This Row],[VALOR CUOTAS]]</f>
        <v>#VALUE!</v>
      </c>
      <c r="S1823" s="88">
        <f>-IF(Tabla14[[#This Row],[DIAS HABILES O MORA]]&lt;0,(Tabla14[[#This Row],[VALOR PRESTAMO]]*Tabla14[[#This Row],[% INTERES ]]/30*U1823))</f>
        <v>0</v>
      </c>
      <c r="T1823" s="53" t="e">
        <f>Tabla14[[#This Row],[DEUDA CAPITAL]]+Tabla14[[#This Row],[INTERES  CUOTA]]</f>
        <v>#NUM!</v>
      </c>
      <c r="U1823" s="61" t="str">
        <f t="shared" si="299"/>
        <v/>
      </c>
    </row>
    <row r="1824" spans="9:21" ht="24.75" customHeight="1" x14ac:dyDescent="0.35">
      <c r="I1824" s="42">
        <f t="shared" si="290"/>
        <v>0</v>
      </c>
      <c r="J1824" s="65" t="e">
        <f t="shared" si="291"/>
        <v>#NUM!</v>
      </c>
      <c r="K1824" s="83" t="e">
        <f t="shared" si="292"/>
        <v>#NUM!</v>
      </c>
      <c r="L1824" s="83">
        <f t="shared" si="293"/>
        <v>0</v>
      </c>
      <c r="M1824" s="110" t="str">
        <f t="shared" si="294"/>
        <v/>
      </c>
      <c r="N1824" s="51" t="str">
        <f t="shared" si="295"/>
        <v/>
      </c>
      <c r="O1824" s="52" t="str">
        <f t="shared" si="296"/>
        <v/>
      </c>
      <c r="P1824" s="88">
        <f t="shared" si="297"/>
        <v>0</v>
      </c>
      <c r="Q1824" s="88">
        <f t="shared" si="298"/>
        <v>0</v>
      </c>
      <c r="R1824" s="88" t="e">
        <f>-IF(Tabla14[[#This Row],[DIAS HABILES O MORA]]&lt;0,(Tabla14[[#This Row],[VALOR PRESTAMO]]*Tabla14[[#This Row],[% INTERES ]]/30*U1824))+Tabla14[[#This Row],[VALOR CUOTAS]]</f>
        <v>#VALUE!</v>
      </c>
      <c r="S1824" s="88">
        <f>-IF(Tabla14[[#This Row],[DIAS HABILES O MORA]]&lt;0,(Tabla14[[#This Row],[VALOR PRESTAMO]]*Tabla14[[#This Row],[% INTERES ]]/30*U1824))</f>
        <v>0</v>
      </c>
      <c r="T1824" s="53" t="e">
        <f>Tabla14[[#This Row],[DEUDA CAPITAL]]+Tabla14[[#This Row],[INTERES  CUOTA]]</f>
        <v>#NUM!</v>
      </c>
      <c r="U1824" s="61" t="str">
        <f t="shared" si="299"/>
        <v/>
      </c>
    </row>
    <row r="1825" spans="9:21" ht="24.75" customHeight="1" x14ac:dyDescent="0.35">
      <c r="I1825" s="42">
        <f t="shared" si="290"/>
        <v>0</v>
      </c>
      <c r="J1825" s="65" t="e">
        <f t="shared" si="291"/>
        <v>#NUM!</v>
      </c>
      <c r="K1825" s="83" t="e">
        <f t="shared" si="292"/>
        <v>#NUM!</v>
      </c>
      <c r="L1825" s="83">
        <f t="shared" si="293"/>
        <v>0</v>
      </c>
      <c r="M1825" s="110" t="str">
        <f t="shared" si="294"/>
        <v/>
      </c>
      <c r="N1825" s="51" t="str">
        <f t="shared" si="295"/>
        <v/>
      </c>
      <c r="O1825" s="52" t="str">
        <f t="shared" si="296"/>
        <v/>
      </c>
      <c r="P1825" s="88">
        <f t="shared" si="297"/>
        <v>0</v>
      </c>
      <c r="Q1825" s="88">
        <f t="shared" si="298"/>
        <v>0</v>
      </c>
      <c r="R1825" s="88" t="e">
        <f>-IF(Tabla14[[#This Row],[DIAS HABILES O MORA]]&lt;0,(Tabla14[[#This Row],[VALOR PRESTAMO]]*Tabla14[[#This Row],[% INTERES ]]/30*U1825))+Tabla14[[#This Row],[VALOR CUOTAS]]</f>
        <v>#VALUE!</v>
      </c>
      <c r="S1825" s="88">
        <f>-IF(Tabla14[[#This Row],[DIAS HABILES O MORA]]&lt;0,(Tabla14[[#This Row],[VALOR PRESTAMO]]*Tabla14[[#This Row],[% INTERES ]]/30*U1825))</f>
        <v>0</v>
      </c>
      <c r="T1825" s="53" t="e">
        <f>Tabla14[[#This Row],[DEUDA CAPITAL]]+Tabla14[[#This Row],[INTERES  CUOTA]]</f>
        <v>#NUM!</v>
      </c>
      <c r="U1825" s="61" t="str">
        <f t="shared" si="299"/>
        <v/>
      </c>
    </row>
    <row r="1826" spans="9:21" ht="24.75" customHeight="1" x14ac:dyDescent="0.35">
      <c r="I1826" s="42">
        <f t="shared" si="290"/>
        <v>0</v>
      </c>
      <c r="J1826" s="65" t="e">
        <f t="shared" si="291"/>
        <v>#NUM!</v>
      </c>
      <c r="K1826" s="83" t="e">
        <f t="shared" si="292"/>
        <v>#NUM!</v>
      </c>
      <c r="L1826" s="83">
        <f t="shared" si="293"/>
        <v>0</v>
      </c>
      <c r="M1826" s="110" t="str">
        <f t="shared" si="294"/>
        <v/>
      </c>
      <c r="N1826" s="51" t="str">
        <f t="shared" si="295"/>
        <v/>
      </c>
      <c r="O1826" s="52" t="str">
        <f t="shared" si="296"/>
        <v/>
      </c>
      <c r="P1826" s="88">
        <f t="shared" si="297"/>
        <v>0</v>
      </c>
      <c r="Q1826" s="88">
        <f t="shared" si="298"/>
        <v>0</v>
      </c>
      <c r="R1826" s="88" t="e">
        <f>-IF(Tabla14[[#This Row],[DIAS HABILES O MORA]]&lt;0,(Tabla14[[#This Row],[VALOR PRESTAMO]]*Tabla14[[#This Row],[% INTERES ]]/30*U1826))+Tabla14[[#This Row],[VALOR CUOTAS]]</f>
        <v>#VALUE!</v>
      </c>
      <c r="S1826" s="88">
        <f>-IF(Tabla14[[#This Row],[DIAS HABILES O MORA]]&lt;0,(Tabla14[[#This Row],[VALOR PRESTAMO]]*Tabla14[[#This Row],[% INTERES ]]/30*U1826))</f>
        <v>0</v>
      </c>
      <c r="T1826" s="53" t="e">
        <f>Tabla14[[#This Row],[DEUDA CAPITAL]]+Tabla14[[#This Row],[INTERES  CUOTA]]</f>
        <v>#NUM!</v>
      </c>
      <c r="U1826" s="61" t="str">
        <f t="shared" si="299"/>
        <v/>
      </c>
    </row>
    <row r="1827" spans="9:21" ht="24.75" customHeight="1" x14ac:dyDescent="0.35">
      <c r="I1827" s="42">
        <f t="shared" si="290"/>
        <v>0</v>
      </c>
      <c r="J1827" s="65" t="e">
        <f t="shared" si="291"/>
        <v>#NUM!</v>
      </c>
      <c r="K1827" s="83" t="e">
        <f t="shared" si="292"/>
        <v>#NUM!</v>
      </c>
      <c r="L1827" s="83">
        <f t="shared" si="293"/>
        <v>0</v>
      </c>
      <c r="M1827" s="110" t="str">
        <f t="shared" si="294"/>
        <v/>
      </c>
      <c r="N1827" s="51" t="str">
        <f t="shared" si="295"/>
        <v/>
      </c>
      <c r="O1827" s="52" t="str">
        <f t="shared" si="296"/>
        <v/>
      </c>
      <c r="P1827" s="88">
        <f t="shared" si="297"/>
        <v>0</v>
      </c>
      <c r="Q1827" s="88">
        <f t="shared" si="298"/>
        <v>0</v>
      </c>
      <c r="R1827" s="88" t="e">
        <f>-IF(Tabla14[[#This Row],[DIAS HABILES O MORA]]&lt;0,(Tabla14[[#This Row],[VALOR PRESTAMO]]*Tabla14[[#This Row],[% INTERES ]]/30*U1827))+Tabla14[[#This Row],[VALOR CUOTAS]]</f>
        <v>#VALUE!</v>
      </c>
      <c r="S1827" s="88">
        <f>-IF(Tabla14[[#This Row],[DIAS HABILES O MORA]]&lt;0,(Tabla14[[#This Row],[VALOR PRESTAMO]]*Tabla14[[#This Row],[% INTERES ]]/30*U1827))</f>
        <v>0</v>
      </c>
      <c r="T1827" s="53" t="e">
        <f>Tabla14[[#This Row],[DEUDA CAPITAL]]+Tabla14[[#This Row],[INTERES  CUOTA]]</f>
        <v>#NUM!</v>
      </c>
      <c r="U1827" s="61" t="str">
        <f t="shared" si="299"/>
        <v/>
      </c>
    </row>
    <row r="1828" spans="9:21" ht="24.75" customHeight="1" x14ac:dyDescent="0.35">
      <c r="I1828" s="42">
        <f t="shared" si="290"/>
        <v>0</v>
      </c>
      <c r="J1828" s="65" t="e">
        <f t="shared" si="291"/>
        <v>#NUM!</v>
      </c>
      <c r="K1828" s="83" t="e">
        <f t="shared" si="292"/>
        <v>#NUM!</v>
      </c>
      <c r="L1828" s="83">
        <f t="shared" si="293"/>
        <v>0</v>
      </c>
      <c r="M1828" s="110" t="str">
        <f t="shared" si="294"/>
        <v/>
      </c>
      <c r="N1828" s="51" t="str">
        <f t="shared" si="295"/>
        <v/>
      </c>
      <c r="O1828" s="52" t="str">
        <f t="shared" si="296"/>
        <v/>
      </c>
      <c r="P1828" s="88">
        <f t="shared" si="297"/>
        <v>0</v>
      </c>
      <c r="Q1828" s="88">
        <f t="shared" si="298"/>
        <v>0</v>
      </c>
      <c r="R1828" s="88" t="e">
        <f>-IF(Tabla14[[#This Row],[DIAS HABILES O MORA]]&lt;0,(Tabla14[[#This Row],[VALOR PRESTAMO]]*Tabla14[[#This Row],[% INTERES ]]/30*U1828))+Tabla14[[#This Row],[VALOR CUOTAS]]</f>
        <v>#VALUE!</v>
      </c>
      <c r="S1828" s="88">
        <f>-IF(Tabla14[[#This Row],[DIAS HABILES O MORA]]&lt;0,(Tabla14[[#This Row],[VALOR PRESTAMO]]*Tabla14[[#This Row],[% INTERES ]]/30*U1828))</f>
        <v>0</v>
      </c>
      <c r="T1828" s="53" t="e">
        <f>Tabla14[[#This Row],[DEUDA CAPITAL]]+Tabla14[[#This Row],[INTERES  CUOTA]]</f>
        <v>#NUM!</v>
      </c>
      <c r="U1828" s="61" t="str">
        <f t="shared" si="299"/>
        <v/>
      </c>
    </row>
    <row r="1829" spans="9:21" ht="24.75" customHeight="1" x14ac:dyDescent="0.35">
      <c r="I1829" s="42">
        <f t="shared" si="290"/>
        <v>0</v>
      </c>
      <c r="J1829" s="65" t="e">
        <f t="shared" si="291"/>
        <v>#NUM!</v>
      </c>
      <c r="K1829" s="83" t="e">
        <f t="shared" si="292"/>
        <v>#NUM!</v>
      </c>
      <c r="L1829" s="83">
        <f t="shared" si="293"/>
        <v>0</v>
      </c>
      <c r="M1829" s="110" t="str">
        <f t="shared" si="294"/>
        <v/>
      </c>
      <c r="N1829" s="51" t="str">
        <f t="shared" si="295"/>
        <v/>
      </c>
      <c r="O1829" s="52" t="str">
        <f t="shared" si="296"/>
        <v/>
      </c>
      <c r="P1829" s="88">
        <f t="shared" si="297"/>
        <v>0</v>
      </c>
      <c r="Q1829" s="88">
        <f t="shared" si="298"/>
        <v>0</v>
      </c>
      <c r="R1829" s="88" t="e">
        <f>-IF(Tabla14[[#This Row],[DIAS HABILES O MORA]]&lt;0,(Tabla14[[#This Row],[VALOR PRESTAMO]]*Tabla14[[#This Row],[% INTERES ]]/30*U1829))+Tabla14[[#This Row],[VALOR CUOTAS]]</f>
        <v>#VALUE!</v>
      </c>
      <c r="S1829" s="88">
        <f>-IF(Tabla14[[#This Row],[DIAS HABILES O MORA]]&lt;0,(Tabla14[[#This Row],[VALOR PRESTAMO]]*Tabla14[[#This Row],[% INTERES ]]/30*U1829))</f>
        <v>0</v>
      </c>
      <c r="T1829" s="53" t="e">
        <f>Tabla14[[#This Row],[DEUDA CAPITAL]]+Tabla14[[#This Row],[INTERES  CUOTA]]</f>
        <v>#NUM!</v>
      </c>
      <c r="U1829" s="61" t="str">
        <f t="shared" si="299"/>
        <v/>
      </c>
    </row>
    <row r="1830" spans="9:21" ht="24.75" customHeight="1" x14ac:dyDescent="0.35">
      <c r="I1830" s="42">
        <f t="shared" si="290"/>
        <v>0</v>
      </c>
      <c r="J1830" s="65" t="e">
        <f t="shared" si="291"/>
        <v>#NUM!</v>
      </c>
      <c r="K1830" s="83" t="e">
        <f t="shared" si="292"/>
        <v>#NUM!</v>
      </c>
      <c r="L1830" s="83">
        <f t="shared" si="293"/>
        <v>0</v>
      </c>
      <c r="M1830" s="110" t="str">
        <f t="shared" si="294"/>
        <v/>
      </c>
      <c r="N1830" s="51" t="str">
        <f t="shared" si="295"/>
        <v/>
      </c>
      <c r="O1830" s="52" t="str">
        <f t="shared" si="296"/>
        <v/>
      </c>
      <c r="P1830" s="88">
        <f t="shared" si="297"/>
        <v>0</v>
      </c>
      <c r="Q1830" s="88">
        <f t="shared" si="298"/>
        <v>0</v>
      </c>
      <c r="R1830" s="88" t="e">
        <f>-IF(Tabla14[[#This Row],[DIAS HABILES O MORA]]&lt;0,(Tabla14[[#This Row],[VALOR PRESTAMO]]*Tabla14[[#This Row],[% INTERES ]]/30*U1830))+Tabla14[[#This Row],[VALOR CUOTAS]]</f>
        <v>#VALUE!</v>
      </c>
      <c r="S1830" s="88">
        <f>-IF(Tabla14[[#This Row],[DIAS HABILES O MORA]]&lt;0,(Tabla14[[#This Row],[VALOR PRESTAMO]]*Tabla14[[#This Row],[% INTERES ]]/30*U1830))</f>
        <v>0</v>
      </c>
      <c r="T1830" s="53" t="e">
        <f>Tabla14[[#This Row],[DEUDA CAPITAL]]+Tabla14[[#This Row],[INTERES  CUOTA]]</f>
        <v>#NUM!</v>
      </c>
      <c r="U1830" s="61" t="str">
        <f t="shared" si="299"/>
        <v/>
      </c>
    </row>
    <row r="1831" spans="9:21" ht="24.75" customHeight="1" x14ac:dyDescent="0.35">
      <c r="I1831" s="42">
        <f t="shared" si="290"/>
        <v>0</v>
      </c>
      <c r="J1831" s="65" t="e">
        <f t="shared" si="291"/>
        <v>#NUM!</v>
      </c>
      <c r="K1831" s="83" t="e">
        <f t="shared" si="292"/>
        <v>#NUM!</v>
      </c>
      <c r="L1831" s="83">
        <f t="shared" si="293"/>
        <v>0</v>
      </c>
      <c r="M1831" s="110" t="str">
        <f t="shared" si="294"/>
        <v/>
      </c>
      <c r="N1831" s="51" t="str">
        <f t="shared" si="295"/>
        <v/>
      </c>
      <c r="O1831" s="52" t="str">
        <f t="shared" si="296"/>
        <v/>
      </c>
      <c r="P1831" s="88">
        <f t="shared" si="297"/>
        <v>0</v>
      </c>
      <c r="Q1831" s="88">
        <f t="shared" si="298"/>
        <v>0</v>
      </c>
      <c r="R1831" s="88" t="e">
        <f>-IF(Tabla14[[#This Row],[DIAS HABILES O MORA]]&lt;0,(Tabla14[[#This Row],[VALOR PRESTAMO]]*Tabla14[[#This Row],[% INTERES ]]/30*U1831))+Tabla14[[#This Row],[VALOR CUOTAS]]</f>
        <v>#VALUE!</v>
      </c>
      <c r="S1831" s="88">
        <f>-IF(Tabla14[[#This Row],[DIAS HABILES O MORA]]&lt;0,(Tabla14[[#This Row],[VALOR PRESTAMO]]*Tabla14[[#This Row],[% INTERES ]]/30*U1831))</f>
        <v>0</v>
      </c>
      <c r="T1831" s="53" t="e">
        <f>Tabla14[[#This Row],[DEUDA CAPITAL]]+Tabla14[[#This Row],[INTERES  CUOTA]]</f>
        <v>#NUM!</v>
      </c>
      <c r="U1831" s="61" t="str">
        <f t="shared" si="299"/>
        <v/>
      </c>
    </row>
    <row r="1832" spans="9:21" ht="24.75" customHeight="1" x14ac:dyDescent="0.35">
      <c r="I1832" s="42">
        <f t="shared" si="290"/>
        <v>0</v>
      </c>
      <c r="J1832" s="65" t="e">
        <f t="shared" si="291"/>
        <v>#NUM!</v>
      </c>
      <c r="K1832" s="83" t="e">
        <f t="shared" si="292"/>
        <v>#NUM!</v>
      </c>
      <c r="L1832" s="83">
        <f t="shared" si="293"/>
        <v>0</v>
      </c>
      <c r="M1832" s="110" t="str">
        <f t="shared" si="294"/>
        <v/>
      </c>
      <c r="N1832" s="51" t="str">
        <f t="shared" si="295"/>
        <v/>
      </c>
      <c r="O1832" s="52" t="str">
        <f t="shared" si="296"/>
        <v/>
      </c>
      <c r="P1832" s="88">
        <f t="shared" si="297"/>
        <v>0</v>
      </c>
      <c r="Q1832" s="88">
        <f t="shared" si="298"/>
        <v>0</v>
      </c>
      <c r="R1832" s="88" t="e">
        <f>-IF(Tabla14[[#This Row],[DIAS HABILES O MORA]]&lt;0,(Tabla14[[#This Row],[VALOR PRESTAMO]]*Tabla14[[#This Row],[% INTERES ]]/30*U1832))+Tabla14[[#This Row],[VALOR CUOTAS]]</f>
        <v>#VALUE!</v>
      </c>
      <c r="S1832" s="88">
        <f>-IF(Tabla14[[#This Row],[DIAS HABILES O MORA]]&lt;0,(Tabla14[[#This Row],[VALOR PRESTAMO]]*Tabla14[[#This Row],[% INTERES ]]/30*U1832))</f>
        <v>0</v>
      </c>
      <c r="T1832" s="53" t="e">
        <f>Tabla14[[#This Row],[DEUDA CAPITAL]]+Tabla14[[#This Row],[INTERES  CUOTA]]</f>
        <v>#NUM!</v>
      </c>
      <c r="U1832" s="61" t="str">
        <f t="shared" si="299"/>
        <v/>
      </c>
    </row>
    <row r="1833" spans="9:21" ht="24.75" customHeight="1" x14ac:dyDescent="0.35">
      <c r="I1833" s="42">
        <f t="shared" si="290"/>
        <v>0</v>
      </c>
      <c r="J1833" s="65" t="e">
        <f t="shared" si="291"/>
        <v>#NUM!</v>
      </c>
      <c r="K1833" s="83" t="e">
        <f t="shared" si="292"/>
        <v>#NUM!</v>
      </c>
      <c r="L1833" s="83">
        <f t="shared" si="293"/>
        <v>0</v>
      </c>
      <c r="M1833" s="110" t="str">
        <f t="shared" si="294"/>
        <v/>
      </c>
      <c r="N1833" s="51" t="str">
        <f t="shared" si="295"/>
        <v/>
      </c>
      <c r="O1833" s="52" t="str">
        <f t="shared" si="296"/>
        <v/>
      </c>
      <c r="P1833" s="88">
        <f t="shared" si="297"/>
        <v>0</v>
      </c>
      <c r="Q1833" s="88">
        <f t="shared" si="298"/>
        <v>0</v>
      </c>
      <c r="R1833" s="88" t="e">
        <f>-IF(Tabla14[[#This Row],[DIAS HABILES O MORA]]&lt;0,(Tabla14[[#This Row],[VALOR PRESTAMO]]*Tabla14[[#This Row],[% INTERES ]]/30*U1833))+Tabla14[[#This Row],[VALOR CUOTAS]]</f>
        <v>#VALUE!</v>
      </c>
      <c r="S1833" s="88">
        <f>-IF(Tabla14[[#This Row],[DIAS HABILES O MORA]]&lt;0,(Tabla14[[#This Row],[VALOR PRESTAMO]]*Tabla14[[#This Row],[% INTERES ]]/30*U1833))</f>
        <v>0</v>
      </c>
      <c r="T1833" s="53" t="e">
        <f>Tabla14[[#This Row],[DEUDA CAPITAL]]+Tabla14[[#This Row],[INTERES  CUOTA]]</f>
        <v>#NUM!</v>
      </c>
      <c r="U1833" s="61" t="str">
        <f t="shared" si="299"/>
        <v/>
      </c>
    </row>
    <row r="1834" spans="9:21" ht="24.75" customHeight="1" x14ac:dyDescent="0.35">
      <c r="I1834" s="42">
        <f t="shared" si="290"/>
        <v>0</v>
      </c>
      <c r="J1834" s="65" t="e">
        <f t="shared" si="291"/>
        <v>#NUM!</v>
      </c>
      <c r="K1834" s="83" t="e">
        <f t="shared" si="292"/>
        <v>#NUM!</v>
      </c>
      <c r="L1834" s="83">
        <f t="shared" si="293"/>
        <v>0</v>
      </c>
      <c r="M1834" s="110" t="str">
        <f t="shared" si="294"/>
        <v/>
      </c>
      <c r="N1834" s="51" t="str">
        <f t="shared" si="295"/>
        <v/>
      </c>
      <c r="O1834" s="52" t="str">
        <f t="shared" si="296"/>
        <v/>
      </c>
      <c r="P1834" s="88">
        <f t="shared" si="297"/>
        <v>0</v>
      </c>
      <c r="Q1834" s="88">
        <f t="shared" si="298"/>
        <v>0</v>
      </c>
      <c r="R1834" s="88" t="e">
        <f>-IF(Tabla14[[#This Row],[DIAS HABILES O MORA]]&lt;0,(Tabla14[[#This Row],[VALOR PRESTAMO]]*Tabla14[[#This Row],[% INTERES ]]/30*U1834))+Tabla14[[#This Row],[VALOR CUOTAS]]</f>
        <v>#VALUE!</v>
      </c>
      <c r="S1834" s="88">
        <f>-IF(Tabla14[[#This Row],[DIAS HABILES O MORA]]&lt;0,(Tabla14[[#This Row],[VALOR PRESTAMO]]*Tabla14[[#This Row],[% INTERES ]]/30*U1834))</f>
        <v>0</v>
      </c>
      <c r="T1834" s="53" t="e">
        <f>Tabla14[[#This Row],[DEUDA CAPITAL]]+Tabla14[[#This Row],[INTERES  CUOTA]]</f>
        <v>#NUM!</v>
      </c>
      <c r="U1834" s="61" t="str">
        <f t="shared" si="299"/>
        <v/>
      </c>
    </row>
    <row r="1835" spans="9:21" ht="24.75" customHeight="1" x14ac:dyDescent="0.35">
      <c r="I1835" s="42">
        <f t="shared" si="290"/>
        <v>0</v>
      </c>
      <c r="J1835" s="65" t="e">
        <f t="shared" si="291"/>
        <v>#NUM!</v>
      </c>
      <c r="K1835" s="83" t="e">
        <f t="shared" si="292"/>
        <v>#NUM!</v>
      </c>
      <c r="L1835" s="83">
        <f t="shared" si="293"/>
        <v>0</v>
      </c>
      <c r="M1835" s="110" t="str">
        <f t="shared" si="294"/>
        <v/>
      </c>
      <c r="N1835" s="51" t="str">
        <f t="shared" si="295"/>
        <v/>
      </c>
      <c r="O1835" s="52" t="str">
        <f t="shared" si="296"/>
        <v/>
      </c>
      <c r="P1835" s="88">
        <f t="shared" si="297"/>
        <v>0</v>
      </c>
      <c r="Q1835" s="88">
        <f t="shared" si="298"/>
        <v>0</v>
      </c>
      <c r="R1835" s="88" t="e">
        <f>-IF(Tabla14[[#This Row],[DIAS HABILES O MORA]]&lt;0,(Tabla14[[#This Row],[VALOR PRESTAMO]]*Tabla14[[#This Row],[% INTERES ]]/30*U1835))+Tabla14[[#This Row],[VALOR CUOTAS]]</f>
        <v>#VALUE!</v>
      </c>
      <c r="S1835" s="88">
        <f>-IF(Tabla14[[#This Row],[DIAS HABILES O MORA]]&lt;0,(Tabla14[[#This Row],[VALOR PRESTAMO]]*Tabla14[[#This Row],[% INTERES ]]/30*U1835))</f>
        <v>0</v>
      </c>
      <c r="T1835" s="53" t="e">
        <f>Tabla14[[#This Row],[DEUDA CAPITAL]]+Tabla14[[#This Row],[INTERES  CUOTA]]</f>
        <v>#NUM!</v>
      </c>
      <c r="U1835" s="61" t="str">
        <f t="shared" si="299"/>
        <v/>
      </c>
    </row>
    <row r="1836" spans="9:21" ht="24.75" customHeight="1" x14ac:dyDescent="0.35">
      <c r="I1836" s="42">
        <f t="shared" si="290"/>
        <v>0</v>
      </c>
      <c r="J1836" s="65" t="e">
        <f t="shared" si="291"/>
        <v>#NUM!</v>
      </c>
      <c r="K1836" s="83" t="e">
        <f t="shared" si="292"/>
        <v>#NUM!</v>
      </c>
      <c r="L1836" s="83">
        <f t="shared" si="293"/>
        <v>0</v>
      </c>
      <c r="M1836" s="110" t="str">
        <f t="shared" si="294"/>
        <v/>
      </c>
      <c r="N1836" s="51" t="str">
        <f t="shared" si="295"/>
        <v/>
      </c>
      <c r="O1836" s="52" t="str">
        <f t="shared" si="296"/>
        <v/>
      </c>
      <c r="P1836" s="88">
        <f t="shared" si="297"/>
        <v>0</v>
      </c>
      <c r="Q1836" s="88">
        <f t="shared" si="298"/>
        <v>0</v>
      </c>
      <c r="R1836" s="88" t="e">
        <f>-IF(Tabla14[[#This Row],[DIAS HABILES O MORA]]&lt;0,(Tabla14[[#This Row],[VALOR PRESTAMO]]*Tabla14[[#This Row],[% INTERES ]]/30*U1836))+Tabla14[[#This Row],[VALOR CUOTAS]]</f>
        <v>#VALUE!</v>
      </c>
      <c r="S1836" s="88">
        <f>-IF(Tabla14[[#This Row],[DIAS HABILES O MORA]]&lt;0,(Tabla14[[#This Row],[VALOR PRESTAMO]]*Tabla14[[#This Row],[% INTERES ]]/30*U1836))</f>
        <v>0</v>
      </c>
      <c r="T1836" s="53" t="e">
        <f>Tabla14[[#This Row],[DEUDA CAPITAL]]+Tabla14[[#This Row],[INTERES  CUOTA]]</f>
        <v>#NUM!</v>
      </c>
      <c r="U1836" s="61" t="str">
        <f t="shared" si="299"/>
        <v/>
      </c>
    </row>
    <row r="1837" spans="9:21" ht="24.75" customHeight="1" x14ac:dyDescent="0.35">
      <c r="I1837" s="42">
        <f t="shared" si="290"/>
        <v>0</v>
      </c>
      <c r="J1837" s="65" t="e">
        <f t="shared" si="291"/>
        <v>#NUM!</v>
      </c>
      <c r="K1837" s="83" t="e">
        <f t="shared" si="292"/>
        <v>#NUM!</v>
      </c>
      <c r="L1837" s="83">
        <f t="shared" si="293"/>
        <v>0</v>
      </c>
      <c r="M1837" s="110" t="str">
        <f t="shared" si="294"/>
        <v/>
      </c>
      <c r="N1837" s="51" t="str">
        <f t="shared" si="295"/>
        <v/>
      </c>
      <c r="O1837" s="52" t="str">
        <f t="shared" si="296"/>
        <v/>
      </c>
      <c r="P1837" s="88">
        <f t="shared" si="297"/>
        <v>0</v>
      </c>
      <c r="Q1837" s="88">
        <f t="shared" si="298"/>
        <v>0</v>
      </c>
      <c r="R1837" s="88" t="e">
        <f>-IF(Tabla14[[#This Row],[DIAS HABILES O MORA]]&lt;0,(Tabla14[[#This Row],[VALOR PRESTAMO]]*Tabla14[[#This Row],[% INTERES ]]/30*U1837))+Tabla14[[#This Row],[VALOR CUOTAS]]</f>
        <v>#VALUE!</v>
      </c>
      <c r="S1837" s="88">
        <f>-IF(Tabla14[[#This Row],[DIAS HABILES O MORA]]&lt;0,(Tabla14[[#This Row],[VALOR PRESTAMO]]*Tabla14[[#This Row],[% INTERES ]]/30*U1837))</f>
        <v>0</v>
      </c>
      <c r="T1837" s="53" t="e">
        <f>Tabla14[[#This Row],[DEUDA CAPITAL]]+Tabla14[[#This Row],[INTERES  CUOTA]]</f>
        <v>#NUM!</v>
      </c>
      <c r="U1837" s="61" t="str">
        <f t="shared" si="299"/>
        <v/>
      </c>
    </row>
    <row r="1838" spans="9:21" ht="24.75" customHeight="1" x14ac:dyDescent="0.35">
      <c r="I1838" s="42">
        <f t="shared" si="290"/>
        <v>0</v>
      </c>
      <c r="J1838" s="65" t="e">
        <f t="shared" si="291"/>
        <v>#NUM!</v>
      </c>
      <c r="K1838" s="83" t="e">
        <f t="shared" si="292"/>
        <v>#NUM!</v>
      </c>
      <c r="L1838" s="83">
        <f t="shared" si="293"/>
        <v>0</v>
      </c>
      <c r="M1838" s="110" t="str">
        <f t="shared" si="294"/>
        <v/>
      </c>
      <c r="N1838" s="51" t="str">
        <f t="shared" si="295"/>
        <v/>
      </c>
      <c r="O1838" s="52" t="str">
        <f t="shared" si="296"/>
        <v/>
      </c>
      <c r="P1838" s="88">
        <f t="shared" si="297"/>
        <v>0</v>
      </c>
      <c r="Q1838" s="88">
        <f t="shared" si="298"/>
        <v>0</v>
      </c>
      <c r="R1838" s="88" t="e">
        <f>-IF(Tabla14[[#This Row],[DIAS HABILES O MORA]]&lt;0,(Tabla14[[#This Row],[VALOR PRESTAMO]]*Tabla14[[#This Row],[% INTERES ]]/30*U1838))+Tabla14[[#This Row],[VALOR CUOTAS]]</f>
        <v>#VALUE!</v>
      </c>
      <c r="S1838" s="88">
        <f>-IF(Tabla14[[#This Row],[DIAS HABILES O MORA]]&lt;0,(Tabla14[[#This Row],[VALOR PRESTAMO]]*Tabla14[[#This Row],[% INTERES ]]/30*U1838))</f>
        <v>0</v>
      </c>
      <c r="T1838" s="53" t="e">
        <f>Tabla14[[#This Row],[DEUDA CAPITAL]]+Tabla14[[#This Row],[INTERES  CUOTA]]</f>
        <v>#NUM!</v>
      </c>
      <c r="U1838" s="61" t="str">
        <f t="shared" si="299"/>
        <v/>
      </c>
    </row>
    <row r="1839" spans="9:21" ht="24.75" customHeight="1" x14ac:dyDescent="0.35">
      <c r="I1839" s="42">
        <f t="shared" si="290"/>
        <v>0</v>
      </c>
      <c r="J1839" s="65" t="e">
        <f t="shared" si="291"/>
        <v>#NUM!</v>
      </c>
      <c r="K1839" s="83" t="e">
        <f t="shared" si="292"/>
        <v>#NUM!</v>
      </c>
      <c r="L1839" s="83">
        <f t="shared" si="293"/>
        <v>0</v>
      </c>
      <c r="M1839" s="110" t="str">
        <f t="shared" si="294"/>
        <v/>
      </c>
      <c r="N1839" s="51" t="str">
        <f t="shared" si="295"/>
        <v/>
      </c>
      <c r="O1839" s="52" t="str">
        <f t="shared" si="296"/>
        <v/>
      </c>
      <c r="P1839" s="88">
        <f t="shared" si="297"/>
        <v>0</v>
      </c>
      <c r="Q1839" s="88">
        <f t="shared" si="298"/>
        <v>0</v>
      </c>
      <c r="R1839" s="88" t="e">
        <f>-IF(Tabla14[[#This Row],[DIAS HABILES O MORA]]&lt;0,(Tabla14[[#This Row],[VALOR PRESTAMO]]*Tabla14[[#This Row],[% INTERES ]]/30*U1839))+Tabla14[[#This Row],[VALOR CUOTAS]]</f>
        <v>#VALUE!</v>
      </c>
      <c r="S1839" s="88">
        <f>-IF(Tabla14[[#This Row],[DIAS HABILES O MORA]]&lt;0,(Tabla14[[#This Row],[VALOR PRESTAMO]]*Tabla14[[#This Row],[% INTERES ]]/30*U1839))</f>
        <v>0</v>
      </c>
      <c r="T1839" s="53" t="e">
        <f>Tabla14[[#This Row],[DEUDA CAPITAL]]+Tabla14[[#This Row],[INTERES  CUOTA]]</f>
        <v>#NUM!</v>
      </c>
      <c r="U1839" s="61" t="str">
        <f t="shared" si="299"/>
        <v/>
      </c>
    </row>
    <row r="1840" spans="9:21" ht="24.75" customHeight="1" x14ac:dyDescent="0.35">
      <c r="I1840" s="42">
        <f t="shared" si="290"/>
        <v>0</v>
      </c>
      <c r="J1840" s="65" t="e">
        <f t="shared" si="291"/>
        <v>#NUM!</v>
      </c>
      <c r="K1840" s="83" t="e">
        <f t="shared" si="292"/>
        <v>#NUM!</v>
      </c>
      <c r="L1840" s="83">
        <f t="shared" si="293"/>
        <v>0</v>
      </c>
      <c r="M1840" s="110" t="str">
        <f t="shared" si="294"/>
        <v/>
      </c>
      <c r="N1840" s="51" t="str">
        <f t="shared" si="295"/>
        <v/>
      </c>
      <c r="O1840" s="52" t="str">
        <f t="shared" si="296"/>
        <v/>
      </c>
      <c r="P1840" s="88">
        <f t="shared" si="297"/>
        <v>0</v>
      </c>
      <c r="Q1840" s="88">
        <f t="shared" si="298"/>
        <v>0</v>
      </c>
      <c r="R1840" s="88" t="e">
        <f>-IF(Tabla14[[#This Row],[DIAS HABILES O MORA]]&lt;0,(Tabla14[[#This Row],[VALOR PRESTAMO]]*Tabla14[[#This Row],[% INTERES ]]/30*U1840))+Tabla14[[#This Row],[VALOR CUOTAS]]</f>
        <v>#VALUE!</v>
      </c>
      <c r="S1840" s="88">
        <f>-IF(Tabla14[[#This Row],[DIAS HABILES O MORA]]&lt;0,(Tabla14[[#This Row],[VALOR PRESTAMO]]*Tabla14[[#This Row],[% INTERES ]]/30*U1840))</f>
        <v>0</v>
      </c>
      <c r="T1840" s="53" t="e">
        <f>Tabla14[[#This Row],[DEUDA CAPITAL]]+Tabla14[[#This Row],[INTERES  CUOTA]]</f>
        <v>#NUM!</v>
      </c>
      <c r="U1840" s="61" t="str">
        <f t="shared" si="299"/>
        <v/>
      </c>
    </row>
    <row r="1841" spans="9:21" ht="24.75" customHeight="1" x14ac:dyDescent="0.35">
      <c r="I1841" s="42">
        <f t="shared" si="290"/>
        <v>0</v>
      </c>
      <c r="J1841" s="65" t="e">
        <f t="shared" si="291"/>
        <v>#NUM!</v>
      </c>
      <c r="K1841" s="83" t="e">
        <f t="shared" si="292"/>
        <v>#NUM!</v>
      </c>
      <c r="L1841" s="83">
        <f t="shared" si="293"/>
        <v>0</v>
      </c>
      <c r="M1841" s="110" t="str">
        <f t="shared" si="294"/>
        <v/>
      </c>
      <c r="N1841" s="51" t="str">
        <f t="shared" si="295"/>
        <v/>
      </c>
      <c r="O1841" s="52" t="str">
        <f t="shared" si="296"/>
        <v/>
      </c>
      <c r="P1841" s="88">
        <f t="shared" si="297"/>
        <v>0</v>
      </c>
      <c r="Q1841" s="88">
        <f t="shared" si="298"/>
        <v>0</v>
      </c>
      <c r="R1841" s="88" t="e">
        <f>-IF(Tabla14[[#This Row],[DIAS HABILES O MORA]]&lt;0,(Tabla14[[#This Row],[VALOR PRESTAMO]]*Tabla14[[#This Row],[% INTERES ]]/30*U1841))+Tabla14[[#This Row],[VALOR CUOTAS]]</f>
        <v>#VALUE!</v>
      </c>
      <c r="S1841" s="88">
        <f>-IF(Tabla14[[#This Row],[DIAS HABILES O MORA]]&lt;0,(Tabla14[[#This Row],[VALOR PRESTAMO]]*Tabla14[[#This Row],[% INTERES ]]/30*U1841))</f>
        <v>0</v>
      </c>
      <c r="T1841" s="53" t="e">
        <f>Tabla14[[#This Row],[DEUDA CAPITAL]]+Tabla14[[#This Row],[INTERES  CUOTA]]</f>
        <v>#NUM!</v>
      </c>
      <c r="U1841" s="61" t="str">
        <f t="shared" si="299"/>
        <v/>
      </c>
    </row>
    <row r="1842" spans="9:21" ht="24.75" customHeight="1" x14ac:dyDescent="0.35">
      <c r="I1842" s="42">
        <f t="shared" si="290"/>
        <v>0</v>
      </c>
      <c r="J1842" s="65" t="e">
        <f t="shared" si="291"/>
        <v>#NUM!</v>
      </c>
      <c r="K1842" s="83" t="e">
        <f t="shared" si="292"/>
        <v>#NUM!</v>
      </c>
      <c r="L1842" s="83">
        <f t="shared" si="293"/>
        <v>0</v>
      </c>
      <c r="M1842" s="110" t="str">
        <f t="shared" si="294"/>
        <v/>
      </c>
      <c r="N1842" s="51" t="str">
        <f t="shared" si="295"/>
        <v/>
      </c>
      <c r="O1842" s="52" t="str">
        <f t="shared" si="296"/>
        <v/>
      </c>
      <c r="P1842" s="88">
        <f t="shared" si="297"/>
        <v>0</v>
      </c>
      <c r="Q1842" s="88">
        <f t="shared" si="298"/>
        <v>0</v>
      </c>
      <c r="R1842" s="88" t="e">
        <f>-IF(Tabla14[[#This Row],[DIAS HABILES O MORA]]&lt;0,(Tabla14[[#This Row],[VALOR PRESTAMO]]*Tabla14[[#This Row],[% INTERES ]]/30*U1842))+Tabla14[[#This Row],[VALOR CUOTAS]]</f>
        <v>#VALUE!</v>
      </c>
      <c r="S1842" s="88">
        <f>-IF(Tabla14[[#This Row],[DIAS HABILES O MORA]]&lt;0,(Tabla14[[#This Row],[VALOR PRESTAMO]]*Tabla14[[#This Row],[% INTERES ]]/30*U1842))</f>
        <v>0</v>
      </c>
      <c r="T1842" s="53" t="e">
        <f>Tabla14[[#This Row],[DEUDA CAPITAL]]+Tabla14[[#This Row],[INTERES  CUOTA]]</f>
        <v>#NUM!</v>
      </c>
      <c r="U1842" s="61" t="str">
        <f t="shared" si="299"/>
        <v/>
      </c>
    </row>
    <row r="1843" spans="9:21" ht="24.75" customHeight="1" x14ac:dyDescent="0.35">
      <c r="I1843" s="42">
        <f t="shared" si="290"/>
        <v>0</v>
      </c>
      <c r="J1843" s="65" t="e">
        <f t="shared" si="291"/>
        <v>#NUM!</v>
      </c>
      <c r="K1843" s="83" t="e">
        <f t="shared" si="292"/>
        <v>#NUM!</v>
      </c>
      <c r="L1843" s="83">
        <f t="shared" si="293"/>
        <v>0</v>
      </c>
      <c r="M1843" s="110" t="str">
        <f t="shared" si="294"/>
        <v/>
      </c>
      <c r="N1843" s="51" t="str">
        <f t="shared" si="295"/>
        <v/>
      </c>
      <c r="O1843" s="52" t="str">
        <f t="shared" si="296"/>
        <v/>
      </c>
      <c r="P1843" s="88">
        <f t="shared" si="297"/>
        <v>0</v>
      </c>
      <c r="Q1843" s="88">
        <f t="shared" si="298"/>
        <v>0</v>
      </c>
      <c r="R1843" s="88" t="e">
        <f>-IF(Tabla14[[#This Row],[DIAS HABILES O MORA]]&lt;0,(Tabla14[[#This Row],[VALOR PRESTAMO]]*Tabla14[[#This Row],[% INTERES ]]/30*U1843))+Tabla14[[#This Row],[VALOR CUOTAS]]</f>
        <v>#VALUE!</v>
      </c>
      <c r="S1843" s="88">
        <f>-IF(Tabla14[[#This Row],[DIAS HABILES O MORA]]&lt;0,(Tabla14[[#This Row],[VALOR PRESTAMO]]*Tabla14[[#This Row],[% INTERES ]]/30*U1843))</f>
        <v>0</v>
      </c>
      <c r="T1843" s="53" t="e">
        <f>Tabla14[[#This Row],[DEUDA CAPITAL]]+Tabla14[[#This Row],[INTERES  CUOTA]]</f>
        <v>#NUM!</v>
      </c>
      <c r="U1843" s="61" t="str">
        <f t="shared" si="299"/>
        <v/>
      </c>
    </row>
    <row r="1844" spans="9:21" ht="24.75" customHeight="1" x14ac:dyDescent="0.35">
      <c r="I1844" s="42">
        <f t="shared" si="290"/>
        <v>0</v>
      </c>
      <c r="J1844" s="65" t="e">
        <f t="shared" si="291"/>
        <v>#NUM!</v>
      </c>
      <c r="K1844" s="83" t="e">
        <f t="shared" si="292"/>
        <v>#NUM!</v>
      </c>
      <c r="L1844" s="83">
        <f t="shared" si="293"/>
        <v>0</v>
      </c>
      <c r="M1844" s="110" t="str">
        <f t="shared" si="294"/>
        <v/>
      </c>
      <c r="N1844" s="51" t="str">
        <f t="shared" si="295"/>
        <v/>
      </c>
      <c r="O1844" s="52" t="str">
        <f t="shared" si="296"/>
        <v/>
      </c>
      <c r="P1844" s="88">
        <f t="shared" si="297"/>
        <v>0</v>
      </c>
      <c r="Q1844" s="88">
        <f t="shared" si="298"/>
        <v>0</v>
      </c>
      <c r="R1844" s="88" t="e">
        <f>-IF(Tabla14[[#This Row],[DIAS HABILES O MORA]]&lt;0,(Tabla14[[#This Row],[VALOR PRESTAMO]]*Tabla14[[#This Row],[% INTERES ]]/30*U1844))+Tabla14[[#This Row],[VALOR CUOTAS]]</f>
        <v>#VALUE!</v>
      </c>
      <c r="S1844" s="88">
        <f>-IF(Tabla14[[#This Row],[DIAS HABILES O MORA]]&lt;0,(Tabla14[[#This Row],[VALOR PRESTAMO]]*Tabla14[[#This Row],[% INTERES ]]/30*U1844))</f>
        <v>0</v>
      </c>
      <c r="T1844" s="53" t="e">
        <f>Tabla14[[#This Row],[DEUDA CAPITAL]]+Tabla14[[#This Row],[INTERES  CUOTA]]</f>
        <v>#NUM!</v>
      </c>
      <c r="U1844" s="61" t="str">
        <f t="shared" si="299"/>
        <v/>
      </c>
    </row>
    <row r="1845" spans="9:21" ht="24.75" customHeight="1" x14ac:dyDescent="0.35">
      <c r="I1845" s="42">
        <f t="shared" si="290"/>
        <v>0</v>
      </c>
      <c r="J1845" s="65" t="e">
        <f t="shared" si="291"/>
        <v>#NUM!</v>
      </c>
      <c r="K1845" s="83" t="e">
        <f t="shared" si="292"/>
        <v>#NUM!</v>
      </c>
      <c r="L1845" s="83">
        <f t="shared" si="293"/>
        <v>0</v>
      </c>
      <c r="M1845" s="110" t="str">
        <f t="shared" si="294"/>
        <v/>
      </c>
      <c r="N1845" s="51" t="str">
        <f t="shared" si="295"/>
        <v/>
      </c>
      <c r="O1845" s="52" t="str">
        <f t="shared" si="296"/>
        <v/>
      </c>
      <c r="P1845" s="88">
        <f t="shared" si="297"/>
        <v>0</v>
      </c>
      <c r="Q1845" s="88">
        <f t="shared" si="298"/>
        <v>0</v>
      </c>
      <c r="R1845" s="88" t="e">
        <f>-IF(Tabla14[[#This Row],[DIAS HABILES O MORA]]&lt;0,(Tabla14[[#This Row],[VALOR PRESTAMO]]*Tabla14[[#This Row],[% INTERES ]]/30*U1845))+Tabla14[[#This Row],[VALOR CUOTAS]]</f>
        <v>#VALUE!</v>
      </c>
      <c r="S1845" s="88">
        <f>-IF(Tabla14[[#This Row],[DIAS HABILES O MORA]]&lt;0,(Tabla14[[#This Row],[VALOR PRESTAMO]]*Tabla14[[#This Row],[% INTERES ]]/30*U1845))</f>
        <v>0</v>
      </c>
      <c r="T1845" s="53" t="e">
        <f>Tabla14[[#This Row],[DEUDA CAPITAL]]+Tabla14[[#This Row],[INTERES  CUOTA]]</f>
        <v>#NUM!</v>
      </c>
      <c r="U1845" s="61" t="str">
        <f t="shared" si="299"/>
        <v/>
      </c>
    </row>
    <row r="1846" spans="9:21" ht="24.75" customHeight="1" x14ac:dyDescent="0.35">
      <c r="I1846" s="42">
        <f t="shared" si="290"/>
        <v>0</v>
      </c>
      <c r="J1846" s="65" t="e">
        <f t="shared" si="291"/>
        <v>#NUM!</v>
      </c>
      <c r="K1846" s="83" t="e">
        <f t="shared" si="292"/>
        <v>#NUM!</v>
      </c>
      <c r="L1846" s="83">
        <f t="shared" si="293"/>
        <v>0</v>
      </c>
      <c r="M1846" s="110" t="str">
        <f t="shared" si="294"/>
        <v/>
      </c>
      <c r="N1846" s="51" t="str">
        <f t="shared" si="295"/>
        <v/>
      </c>
      <c r="O1846" s="52" t="str">
        <f t="shared" si="296"/>
        <v/>
      </c>
      <c r="P1846" s="88">
        <f t="shared" si="297"/>
        <v>0</v>
      </c>
      <c r="Q1846" s="88">
        <f t="shared" si="298"/>
        <v>0</v>
      </c>
      <c r="R1846" s="88" t="e">
        <f>-IF(Tabla14[[#This Row],[DIAS HABILES O MORA]]&lt;0,(Tabla14[[#This Row],[VALOR PRESTAMO]]*Tabla14[[#This Row],[% INTERES ]]/30*U1846))+Tabla14[[#This Row],[VALOR CUOTAS]]</f>
        <v>#VALUE!</v>
      </c>
      <c r="S1846" s="88">
        <f>-IF(Tabla14[[#This Row],[DIAS HABILES O MORA]]&lt;0,(Tabla14[[#This Row],[VALOR PRESTAMO]]*Tabla14[[#This Row],[% INTERES ]]/30*U1846))</f>
        <v>0</v>
      </c>
      <c r="T1846" s="53" t="e">
        <f>Tabla14[[#This Row],[DEUDA CAPITAL]]+Tabla14[[#This Row],[INTERES  CUOTA]]</f>
        <v>#NUM!</v>
      </c>
      <c r="U1846" s="61" t="str">
        <f t="shared" si="299"/>
        <v/>
      </c>
    </row>
    <row r="1847" spans="9:21" ht="24.75" customHeight="1" x14ac:dyDescent="0.35">
      <c r="I1847" s="42">
        <f t="shared" si="290"/>
        <v>0</v>
      </c>
      <c r="J1847" s="65" t="e">
        <f t="shared" si="291"/>
        <v>#NUM!</v>
      </c>
      <c r="K1847" s="83" t="e">
        <f t="shared" si="292"/>
        <v>#NUM!</v>
      </c>
      <c r="L1847" s="83">
        <f t="shared" si="293"/>
        <v>0</v>
      </c>
      <c r="M1847" s="110" t="str">
        <f t="shared" si="294"/>
        <v/>
      </c>
      <c r="N1847" s="51" t="str">
        <f t="shared" si="295"/>
        <v/>
      </c>
      <c r="O1847" s="52" t="str">
        <f t="shared" si="296"/>
        <v/>
      </c>
      <c r="P1847" s="88">
        <f t="shared" si="297"/>
        <v>0</v>
      </c>
      <c r="Q1847" s="88">
        <f t="shared" si="298"/>
        <v>0</v>
      </c>
      <c r="R1847" s="88" t="e">
        <f>-IF(Tabla14[[#This Row],[DIAS HABILES O MORA]]&lt;0,(Tabla14[[#This Row],[VALOR PRESTAMO]]*Tabla14[[#This Row],[% INTERES ]]/30*U1847))+Tabla14[[#This Row],[VALOR CUOTAS]]</f>
        <v>#VALUE!</v>
      </c>
      <c r="S1847" s="88">
        <f>-IF(Tabla14[[#This Row],[DIAS HABILES O MORA]]&lt;0,(Tabla14[[#This Row],[VALOR PRESTAMO]]*Tabla14[[#This Row],[% INTERES ]]/30*U1847))</f>
        <v>0</v>
      </c>
      <c r="T1847" s="53" t="e">
        <f>Tabla14[[#This Row],[DEUDA CAPITAL]]+Tabla14[[#This Row],[INTERES  CUOTA]]</f>
        <v>#NUM!</v>
      </c>
      <c r="U1847" s="61" t="str">
        <f t="shared" si="299"/>
        <v/>
      </c>
    </row>
    <row r="1848" spans="9:21" ht="24.75" customHeight="1" x14ac:dyDescent="0.35">
      <c r="I1848" s="42">
        <f t="shared" si="290"/>
        <v>0</v>
      </c>
      <c r="J1848" s="65" t="e">
        <f t="shared" si="291"/>
        <v>#NUM!</v>
      </c>
      <c r="K1848" s="83" t="e">
        <f t="shared" si="292"/>
        <v>#NUM!</v>
      </c>
      <c r="L1848" s="83">
        <f t="shared" si="293"/>
        <v>0</v>
      </c>
      <c r="M1848" s="110" t="str">
        <f t="shared" si="294"/>
        <v/>
      </c>
      <c r="N1848" s="51" t="str">
        <f t="shared" si="295"/>
        <v/>
      </c>
      <c r="O1848" s="52" t="str">
        <f t="shared" si="296"/>
        <v/>
      </c>
      <c r="P1848" s="88">
        <f t="shared" si="297"/>
        <v>0</v>
      </c>
      <c r="Q1848" s="88">
        <f t="shared" si="298"/>
        <v>0</v>
      </c>
      <c r="R1848" s="88" t="e">
        <f>-IF(Tabla14[[#This Row],[DIAS HABILES O MORA]]&lt;0,(Tabla14[[#This Row],[VALOR PRESTAMO]]*Tabla14[[#This Row],[% INTERES ]]/30*U1848))+Tabla14[[#This Row],[VALOR CUOTAS]]</f>
        <v>#VALUE!</v>
      </c>
      <c r="S1848" s="88">
        <f>-IF(Tabla14[[#This Row],[DIAS HABILES O MORA]]&lt;0,(Tabla14[[#This Row],[VALOR PRESTAMO]]*Tabla14[[#This Row],[% INTERES ]]/30*U1848))</f>
        <v>0</v>
      </c>
      <c r="T1848" s="53" t="e">
        <f>Tabla14[[#This Row],[DEUDA CAPITAL]]+Tabla14[[#This Row],[INTERES  CUOTA]]</f>
        <v>#NUM!</v>
      </c>
      <c r="U1848" s="61" t="str">
        <f t="shared" si="299"/>
        <v/>
      </c>
    </row>
    <row r="1849" spans="9:21" ht="24.75" customHeight="1" x14ac:dyDescent="0.35">
      <c r="I1849" s="42">
        <f t="shared" si="290"/>
        <v>0</v>
      </c>
      <c r="J1849" s="65" t="e">
        <f t="shared" si="291"/>
        <v>#NUM!</v>
      </c>
      <c r="K1849" s="83" t="e">
        <f t="shared" si="292"/>
        <v>#NUM!</v>
      </c>
      <c r="L1849" s="83">
        <f t="shared" si="293"/>
        <v>0</v>
      </c>
      <c r="M1849" s="110" t="str">
        <f t="shared" si="294"/>
        <v/>
      </c>
      <c r="N1849" s="51" t="str">
        <f t="shared" si="295"/>
        <v/>
      </c>
      <c r="O1849" s="52" t="str">
        <f t="shared" si="296"/>
        <v/>
      </c>
      <c r="P1849" s="88">
        <f t="shared" si="297"/>
        <v>0</v>
      </c>
      <c r="Q1849" s="88">
        <f t="shared" si="298"/>
        <v>0</v>
      </c>
      <c r="R1849" s="88" t="e">
        <f>-IF(Tabla14[[#This Row],[DIAS HABILES O MORA]]&lt;0,(Tabla14[[#This Row],[VALOR PRESTAMO]]*Tabla14[[#This Row],[% INTERES ]]/30*U1849))+Tabla14[[#This Row],[VALOR CUOTAS]]</f>
        <v>#VALUE!</v>
      </c>
      <c r="S1849" s="88">
        <f>-IF(Tabla14[[#This Row],[DIAS HABILES O MORA]]&lt;0,(Tabla14[[#This Row],[VALOR PRESTAMO]]*Tabla14[[#This Row],[% INTERES ]]/30*U1849))</f>
        <v>0</v>
      </c>
      <c r="T1849" s="53" t="e">
        <f>Tabla14[[#This Row],[DEUDA CAPITAL]]+Tabla14[[#This Row],[INTERES  CUOTA]]</f>
        <v>#NUM!</v>
      </c>
      <c r="U1849" s="61" t="str">
        <f t="shared" si="299"/>
        <v/>
      </c>
    </row>
    <row r="1850" spans="9:21" ht="24.75" customHeight="1" x14ac:dyDescent="0.35">
      <c r="I1850" s="42">
        <f t="shared" si="290"/>
        <v>0</v>
      </c>
      <c r="J1850" s="65" t="e">
        <f t="shared" si="291"/>
        <v>#NUM!</v>
      </c>
      <c r="K1850" s="83" t="e">
        <f t="shared" si="292"/>
        <v>#NUM!</v>
      </c>
      <c r="L1850" s="83">
        <f t="shared" si="293"/>
        <v>0</v>
      </c>
      <c r="M1850" s="110" t="str">
        <f t="shared" si="294"/>
        <v/>
      </c>
      <c r="N1850" s="51" t="str">
        <f t="shared" si="295"/>
        <v/>
      </c>
      <c r="O1850" s="52" t="str">
        <f t="shared" si="296"/>
        <v/>
      </c>
      <c r="P1850" s="88">
        <f t="shared" si="297"/>
        <v>0</v>
      </c>
      <c r="Q1850" s="88">
        <f t="shared" si="298"/>
        <v>0</v>
      </c>
      <c r="R1850" s="88" t="e">
        <f>-IF(Tabla14[[#This Row],[DIAS HABILES O MORA]]&lt;0,(Tabla14[[#This Row],[VALOR PRESTAMO]]*Tabla14[[#This Row],[% INTERES ]]/30*U1850))+Tabla14[[#This Row],[VALOR CUOTAS]]</f>
        <v>#VALUE!</v>
      </c>
      <c r="S1850" s="88">
        <f>-IF(Tabla14[[#This Row],[DIAS HABILES O MORA]]&lt;0,(Tabla14[[#This Row],[VALOR PRESTAMO]]*Tabla14[[#This Row],[% INTERES ]]/30*U1850))</f>
        <v>0</v>
      </c>
      <c r="T1850" s="53" t="e">
        <f>Tabla14[[#This Row],[DEUDA CAPITAL]]+Tabla14[[#This Row],[INTERES  CUOTA]]</f>
        <v>#NUM!</v>
      </c>
      <c r="U1850" s="61" t="str">
        <f t="shared" si="299"/>
        <v/>
      </c>
    </row>
    <row r="1851" spans="9:21" ht="24.75" customHeight="1" x14ac:dyDescent="0.35">
      <c r="I1851" s="42">
        <f t="shared" si="290"/>
        <v>0</v>
      </c>
      <c r="J1851" s="65" t="e">
        <f t="shared" si="291"/>
        <v>#NUM!</v>
      </c>
      <c r="K1851" s="83" t="e">
        <f t="shared" si="292"/>
        <v>#NUM!</v>
      </c>
      <c r="L1851" s="83">
        <f t="shared" si="293"/>
        <v>0</v>
      </c>
      <c r="M1851" s="110" t="str">
        <f t="shared" si="294"/>
        <v/>
      </c>
      <c r="N1851" s="51" t="str">
        <f t="shared" si="295"/>
        <v/>
      </c>
      <c r="O1851" s="52" t="str">
        <f t="shared" si="296"/>
        <v/>
      </c>
      <c r="P1851" s="88">
        <f t="shared" si="297"/>
        <v>0</v>
      </c>
      <c r="Q1851" s="88">
        <f t="shared" si="298"/>
        <v>0</v>
      </c>
      <c r="R1851" s="88" t="e">
        <f>-IF(Tabla14[[#This Row],[DIAS HABILES O MORA]]&lt;0,(Tabla14[[#This Row],[VALOR PRESTAMO]]*Tabla14[[#This Row],[% INTERES ]]/30*U1851))+Tabla14[[#This Row],[VALOR CUOTAS]]</f>
        <v>#VALUE!</v>
      </c>
      <c r="S1851" s="88">
        <f>-IF(Tabla14[[#This Row],[DIAS HABILES O MORA]]&lt;0,(Tabla14[[#This Row],[VALOR PRESTAMO]]*Tabla14[[#This Row],[% INTERES ]]/30*U1851))</f>
        <v>0</v>
      </c>
      <c r="T1851" s="53" t="e">
        <f>Tabla14[[#This Row],[DEUDA CAPITAL]]+Tabla14[[#This Row],[INTERES  CUOTA]]</f>
        <v>#NUM!</v>
      </c>
      <c r="U1851" s="61" t="str">
        <f t="shared" si="299"/>
        <v/>
      </c>
    </row>
    <row r="1852" spans="9:21" ht="24.75" customHeight="1" x14ac:dyDescent="0.35">
      <c r="I1852" s="42">
        <f t="shared" si="290"/>
        <v>0</v>
      </c>
      <c r="J1852" s="65" t="e">
        <f t="shared" si="291"/>
        <v>#NUM!</v>
      </c>
      <c r="K1852" s="83" t="e">
        <f t="shared" si="292"/>
        <v>#NUM!</v>
      </c>
      <c r="L1852" s="83">
        <f t="shared" si="293"/>
        <v>0</v>
      </c>
      <c r="M1852" s="110" t="str">
        <f t="shared" si="294"/>
        <v/>
      </c>
      <c r="N1852" s="51" t="str">
        <f t="shared" si="295"/>
        <v/>
      </c>
      <c r="O1852" s="52" t="str">
        <f t="shared" si="296"/>
        <v/>
      </c>
      <c r="P1852" s="88">
        <f t="shared" si="297"/>
        <v>0</v>
      </c>
      <c r="Q1852" s="88">
        <f t="shared" si="298"/>
        <v>0</v>
      </c>
      <c r="R1852" s="88" t="e">
        <f>-IF(Tabla14[[#This Row],[DIAS HABILES O MORA]]&lt;0,(Tabla14[[#This Row],[VALOR PRESTAMO]]*Tabla14[[#This Row],[% INTERES ]]/30*U1852))+Tabla14[[#This Row],[VALOR CUOTAS]]</f>
        <v>#VALUE!</v>
      </c>
      <c r="S1852" s="88">
        <f>-IF(Tabla14[[#This Row],[DIAS HABILES O MORA]]&lt;0,(Tabla14[[#This Row],[VALOR PRESTAMO]]*Tabla14[[#This Row],[% INTERES ]]/30*U1852))</f>
        <v>0</v>
      </c>
      <c r="T1852" s="53" t="e">
        <f>Tabla14[[#This Row],[DEUDA CAPITAL]]+Tabla14[[#This Row],[INTERES  CUOTA]]</f>
        <v>#NUM!</v>
      </c>
      <c r="U1852" s="61" t="str">
        <f t="shared" si="299"/>
        <v/>
      </c>
    </row>
    <row r="1853" spans="9:21" ht="24.75" customHeight="1" x14ac:dyDescent="0.35">
      <c r="I1853" s="42">
        <f t="shared" si="290"/>
        <v>0</v>
      </c>
      <c r="J1853" s="65" t="e">
        <f t="shared" si="291"/>
        <v>#NUM!</v>
      </c>
      <c r="K1853" s="83" t="e">
        <f t="shared" si="292"/>
        <v>#NUM!</v>
      </c>
      <c r="L1853" s="83">
        <f t="shared" si="293"/>
        <v>0</v>
      </c>
      <c r="M1853" s="110" t="str">
        <f t="shared" si="294"/>
        <v/>
      </c>
      <c r="N1853" s="51" t="str">
        <f t="shared" si="295"/>
        <v/>
      </c>
      <c r="O1853" s="52" t="str">
        <f t="shared" si="296"/>
        <v/>
      </c>
      <c r="P1853" s="88">
        <f t="shared" si="297"/>
        <v>0</v>
      </c>
      <c r="Q1853" s="88">
        <f t="shared" si="298"/>
        <v>0</v>
      </c>
      <c r="R1853" s="88" t="e">
        <f>-IF(Tabla14[[#This Row],[DIAS HABILES O MORA]]&lt;0,(Tabla14[[#This Row],[VALOR PRESTAMO]]*Tabla14[[#This Row],[% INTERES ]]/30*U1853))+Tabla14[[#This Row],[VALOR CUOTAS]]</f>
        <v>#VALUE!</v>
      </c>
      <c r="S1853" s="88">
        <f>-IF(Tabla14[[#This Row],[DIAS HABILES O MORA]]&lt;0,(Tabla14[[#This Row],[VALOR PRESTAMO]]*Tabla14[[#This Row],[% INTERES ]]/30*U1853))</f>
        <v>0</v>
      </c>
      <c r="T1853" s="53" t="e">
        <f>Tabla14[[#This Row],[DEUDA CAPITAL]]+Tabla14[[#This Row],[INTERES  CUOTA]]</f>
        <v>#NUM!</v>
      </c>
      <c r="U1853" s="61" t="str">
        <f t="shared" si="299"/>
        <v/>
      </c>
    </row>
    <row r="1854" spans="9:21" ht="24.75" customHeight="1" x14ac:dyDescent="0.35">
      <c r="I1854" s="42">
        <f t="shared" si="290"/>
        <v>0</v>
      </c>
      <c r="J1854" s="65" t="e">
        <f t="shared" si="291"/>
        <v>#NUM!</v>
      </c>
      <c r="K1854" s="83" t="e">
        <f t="shared" si="292"/>
        <v>#NUM!</v>
      </c>
      <c r="L1854" s="83">
        <f t="shared" si="293"/>
        <v>0</v>
      </c>
      <c r="M1854" s="110" t="str">
        <f t="shared" si="294"/>
        <v/>
      </c>
      <c r="N1854" s="51" t="str">
        <f t="shared" si="295"/>
        <v/>
      </c>
      <c r="O1854" s="52" t="str">
        <f t="shared" si="296"/>
        <v/>
      </c>
      <c r="P1854" s="88">
        <f t="shared" si="297"/>
        <v>0</v>
      </c>
      <c r="Q1854" s="88">
        <f t="shared" si="298"/>
        <v>0</v>
      </c>
      <c r="R1854" s="88" t="e">
        <f>-IF(Tabla14[[#This Row],[DIAS HABILES O MORA]]&lt;0,(Tabla14[[#This Row],[VALOR PRESTAMO]]*Tabla14[[#This Row],[% INTERES ]]/30*U1854))+Tabla14[[#This Row],[VALOR CUOTAS]]</f>
        <v>#VALUE!</v>
      </c>
      <c r="S1854" s="88">
        <f>-IF(Tabla14[[#This Row],[DIAS HABILES O MORA]]&lt;0,(Tabla14[[#This Row],[VALOR PRESTAMO]]*Tabla14[[#This Row],[% INTERES ]]/30*U1854))</f>
        <v>0</v>
      </c>
      <c r="T1854" s="53" t="e">
        <f>Tabla14[[#This Row],[DEUDA CAPITAL]]+Tabla14[[#This Row],[INTERES  CUOTA]]</f>
        <v>#NUM!</v>
      </c>
      <c r="U1854" s="61" t="str">
        <f t="shared" si="299"/>
        <v/>
      </c>
    </row>
    <row r="1855" spans="9:21" ht="24.75" customHeight="1" x14ac:dyDescent="0.35">
      <c r="I1855" s="42">
        <f t="shared" si="290"/>
        <v>0</v>
      </c>
      <c r="J1855" s="65" t="e">
        <f t="shared" si="291"/>
        <v>#NUM!</v>
      </c>
      <c r="K1855" s="83" t="e">
        <f t="shared" si="292"/>
        <v>#NUM!</v>
      </c>
      <c r="L1855" s="83">
        <f t="shared" si="293"/>
        <v>0</v>
      </c>
      <c r="M1855" s="110" t="str">
        <f t="shared" si="294"/>
        <v/>
      </c>
      <c r="N1855" s="51" t="str">
        <f t="shared" si="295"/>
        <v/>
      </c>
      <c r="O1855" s="52" t="str">
        <f t="shared" si="296"/>
        <v/>
      </c>
      <c r="P1855" s="88">
        <f t="shared" si="297"/>
        <v>0</v>
      </c>
      <c r="Q1855" s="88">
        <f t="shared" si="298"/>
        <v>0</v>
      </c>
      <c r="R1855" s="88" t="e">
        <f>-IF(Tabla14[[#This Row],[DIAS HABILES O MORA]]&lt;0,(Tabla14[[#This Row],[VALOR PRESTAMO]]*Tabla14[[#This Row],[% INTERES ]]/30*U1855))+Tabla14[[#This Row],[VALOR CUOTAS]]</f>
        <v>#VALUE!</v>
      </c>
      <c r="S1855" s="88">
        <f>-IF(Tabla14[[#This Row],[DIAS HABILES O MORA]]&lt;0,(Tabla14[[#This Row],[VALOR PRESTAMO]]*Tabla14[[#This Row],[% INTERES ]]/30*U1855))</f>
        <v>0</v>
      </c>
      <c r="T1855" s="53" t="e">
        <f>Tabla14[[#This Row],[DEUDA CAPITAL]]+Tabla14[[#This Row],[INTERES  CUOTA]]</f>
        <v>#NUM!</v>
      </c>
      <c r="U1855" s="61" t="str">
        <f t="shared" si="299"/>
        <v/>
      </c>
    </row>
    <row r="1856" spans="9:21" ht="24.75" customHeight="1" x14ac:dyDescent="0.35">
      <c r="I1856" s="42">
        <f t="shared" si="290"/>
        <v>0</v>
      </c>
      <c r="J1856" s="65" t="e">
        <f t="shared" si="291"/>
        <v>#NUM!</v>
      </c>
      <c r="K1856" s="83" t="e">
        <f t="shared" si="292"/>
        <v>#NUM!</v>
      </c>
      <c r="L1856" s="83">
        <f t="shared" si="293"/>
        <v>0</v>
      </c>
      <c r="M1856" s="110" t="str">
        <f t="shared" si="294"/>
        <v/>
      </c>
      <c r="N1856" s="51" t="str">
        <f t="shared" si="295"/>
        <v/>
      </c>
      <c r="O1856" s="52" t="str">
        <f t="shared" si="296"/>
        <v/>
      </c>
      <c r="P1856" s="88">
        <f t="shared" si="297"/>
        <v>0</v>
      </c>
      <c r="Q1856" s="88">
        <f t="shared" si="298"/>
        <v>0</v>
      </c>
      <c r="R1856" s="88" t="e">
        <f>-IF(Tabla14[[#This Row],[DIAS HABILES O MORA]]&lt;0,(Tabla14[[#This Row],[VALOR PRESTAMO]]*Tabla14[[#This Row],[% INTERES ]]/30*U1856))+Tabla14[[#This Row],[VALOR CUOTAS]]</f>
        <v>#VALUE!</v>
      </c>
      <c r="S1856" s="88">
        <f>-IF(Tabla14[[#This Row],[DIAS HABILES O MORA]]&lt;0,(Tabla14[[#This Row],[VALOR PRESTAMO]]*Tabla14[[#This Row],[% INTERES ]]/30*U1856))</f>
        <v>0</v>
      </c>
      <c r="T1856" s="53" t="e">
        <f>Tabla14[[#This Row],[DEUDA CAPITAL]]+Tabla14[[#This Row],[INTERES  CUOTA]]</f>
        <v>#NUM!</v>
      </c>
      <c r="U1856" s="61" t="str">
        <f t="shared" si="299"/>
        <v/>
      </c>
    </row>
    <row r="1857" spans="9:21" ht="24.75" customHeight="1" x14ac:dyDescent="0.35">
      <c r="I1857" s="42">
        <f t="shared" si="290"/>
        <v>0</v>
      </c>
      <c r="J1857" s="65" t="e">
        <f t="shared" si="291"/>
        <v>#NUM!</v>
      </c>
      <c r="K1857" s="83" t="e">
        <f t="shared" si="292"/>
        <v>#NUM!</v>
      </c>
      <c r="L1857" s="83">
        <f t="shared" si="293"/>
        <v>0</v>
      </c>
      <c r="M1857" s="110" t="str">
        <f t="shared" si="294"/>
        <v/>
      </c>
      <c r="N1857" s="51" t="str">
        <f t="shared" si="295"/>
        <v/>
      </c>
      <c r="O1857" s="52" t="str">
        <f t="shared" si="296"/>
        <v/>
      </c>
      <c r="P1857" s="88">
        <f t="shared" si="297"/>
        <v>0</v>
      </c>
      <c r="Q1857" s="88">
        <f t="shared" si="298"/>
        <v>0</v>
      </c>
      <c r="R1857" s="88" t="e">
        <f>-IF(Tabla14[[#This Row],[DIAS HABILES O MORA]]&lt;0,(Tabla14[[#This Row],[VALOR PRESTAMO]]*Tabla14[[#This Row],[% INTERES ]]/30*U1857))+Tabla14[[#This Row],[VALOR CUOTAS]]</f>
        <v>#VALUE!</v>
      </c>
      <c r="S1857" s="88">
        <f>-IF(Tabla14[[#This Row],[DIAS HABILES O MORA]]&lt;0,(Tabla14[[#This Row],[VALOR PRESTAMO]]*Tabla14[[#This Row],[% INTERES ]]/30*U1857))</f>
        <v>0</v>
      </c>
      <c r="T1857" s="53" t="e">
        <f>Tabla14[[#This Row],[DEUDA CAPITAL]]+Tabla14[[#This Row],[INTERES  CUOTA]]</f>
        <v>#NUM!</v>
      </c>
      <c r="U1857" s="61" t="str">
        <f t="shared" si="299"/>
        <v/>
      </c>
    </row>
    <row r="1858" spans="9:21" ht="24.75" customHeight="1" x14ac:dyDescent="0.35">
      <c r="I1858" s="42">
        <f t="shared" si="290"/>
        <v>0</v>
      </c>
      <c r="J1858" s="65" t="e">
        <f t="shared" si="291"/>
        <v>#NUM!</v>
      </c>
      <c r="K1858" s="83" t="e">
        <f t="shared" si="292"/>
        <v>#NUM!</v>
      </c>
      <c r="L1858" s="83">
        <f t="shared" si="293"/>
        <v>0</v>
      </c>
      <c r="M1858" s="110" t="str">
        <f t="shared" si="294"/>
        <v/>
      </c>
      <c r="N1858" s="51" t="str">
        <f t="shared" si="295"/>
        <v/>
      </c>
      <c r="O1858" s="52" t="str">
        <f t="shared" si="296"/>
        <v/>
      </c>
      <c r="P1858" s="88">
        <f t="shared" si="297"/>
        <v>0</v>
      </c>
      <c r="Q1858" s="88">
        <f t="shared" si="298"/>
        <v>0</v>
      </c>
      <c r="R1858" s="88" t="e">
        <f>-IF(Tabla14[[#This Row],[DIAS HABILES O MORA]]&lt;0,(Tabla14[[#This Row],[VALOR PRESTAMO]]*Tabla14[[#This Row],[% INTERES ]]/30*U1858))+Tabla14[[#This Row],[VALOR CUOTAS]]</f>
        <v>#VALUE!</v>
      </c>
      <c r="S1858" s="88">
        <f>-IF(Tabla14[[#This Row],[DIAS HABILES O MORA]]&lt;0,(Tabla14[[#This Row],[VALOR PRESTAMO]]*Tabla14[[#This Row],[% INTERES ]]/30*U1858))</f>
        <v>0</v>
      </c>
      <c r="T1858" s="53" t="e">
        <f>Tabla14[[#This Row],[DEUDA CAPITAL]]+Tabla14[[#This Row],[INTERES  CUOTA]]</f>
        <v>#NUM!</v>
      </c>
      <c r="U1858" s="61" t="str">
        <f t="shared" si="299"/>
        <v/>
      </c>
    </row>
    <row r="1859" spans="9:21" ht="24.75" customHeight="1" x14ac:dyDescent="0.35">
      <c r="I1859" s="42">
        <f t="shared" si="290"/>
        <v>0</v>
      </c>
      <c r="J1859" s="65" t="e">
        <f t="shared" si="291"/>
        <v>#NUM!</v>
      </c>
      <c r="K1859" s="83" t="e">
        <f t="shared" si="292"/>
        <v>#NUM!</v>
      </c>
      <c r="L1859" s="83">
        <f t="shared" si="293"/>
        <v>0</v>
      </c>
      <c r="M1859" s="110" t="str">
        <f t="shared" si="294"/>
        <v/>
      </c>
      <c r="N1859" s="51" t="str">
        <f t="shared" si="295"/>
        <v/>
      </c>
      <c r="O1859" s="52" t="str">
        <f t="shared" si="296"/>
        <v/>
      </c>
      <c r="P1859" s="88">
        <f t="shared" si="297"/>
        <v>0</v>
      </c>
      <c r="Q1859" s="88">
        <f t="shared" si="298"/>
        <v>0</v>
      </c>
      <c r="R1859" s="88" t="e">
        <f>-IF(Tabla14[[#This Row],[DIAS HABILES O MORA]]&lt;0,(Tabla14[[#This Row],[VALOR PRESTAMO]]*Tabla14[[#This Row],[% INTERES ]]/30*U1859))+Tabla14[[#This Row],[VALOR CUOTAS]]</f>
        <v>#VALUE!</v>
      </c>
      <c r="S1859" s="88">
        <f>-IF(Tabla14[[#This Row],[DIAS HABILES O MORA]]&lt;0,(Tabla14[[#This Row],[VALOR PRESTAMO]]*Tabla14[[#This Row],[% INTERES ]]/30*U1859))</f>
        <v>0</v>
      </c>
      <c r="T1859" s="53" t="e">
        <f>Tabla14[[#This Row],[DEUDA CAPITAL]]+Tabla14[[#This Row],[INTERES  CUOTA]]</f>
        <v>#NUM!</v>
      </c>
      <c r="U1859" s="61" t="str">
        <f t="shared" si="299"/>
        <v/>
      </c>
    </row>
    <row r="1860" spans="9:21" ht="24.75" customHeight="1" x14ac:dyDescent="0.35">
      <c r="I1860" s="42">
        <f t="shared" si="290"/>
        <v>0</v>
      </c>
      <c r="J1860" s="65" t="e">
        <f t="shared" si="291"/>
        <v>#NUM!</v>
      </c>
      <c r="K1860" s="83" t="e">
        <f t="shared" si="292"/>
        <v>#NUM!</v>
      </c>
      <c r="L1860" s="83">
        <f t="shared" si="293"/>
        <v>0</v>
      </c>
      <c r="M1860" s="110" t="str">
        <f t="shared" si="294"/>
        <v/>
      </c>
      <c r="N1860" s="51" t="str">
        <f t="shared" si="295"/>
        <v/>
      </c>
      <c r="O1860" s="52" t="str">
        <f t="shared" si="296"/>
        <v/>
      </c>
      <c r="P1860" s="88">
        <f t="shared" si="297"/>
        <v>0</v>
      </c>
      <c r="Q1860" s="88">
        <f t="shared" si="298"/>
        <v>0</v>
      </c>
      <c r="R1860" s="88" t="e">
        <f>-IF(Tabla14[[#This Row],[DIAS HABILES O MORA]]&lt;0,(Tabla14[[#This Row],[VALOR PRESTAMO]]*Tabla14[[#This Row],[% INTERES ]]/30*U1860))+Tabla14[[#This Row],[VALOR CUOTAS]]</f>
        <v>#VALUE!</v>
      </c>
      <c r="S1860" s="88">
        <f>-IF(Tabla14[[#This Row],[DIAS HABILES O MORA]]&lt;0,(Tabla14[[#This Row],[VALOR PRESTAMO]]*Tabla14[[#This Row],[% INTERES ]]/30*U1860))</f>
        <v>0</v>
      </c>
      <c r="T1860" s="53" t="e">
        <f>Tabla14[[#This Row],[DEUDA CAPITAL]]+Tabla14[[#This Row],[INTERES  CUOTA]]</f>
        <v>#NUM!</v>
      </c>
      <c r="U1860" s="61" t="str">
        <f t="shared" si="299"/>
        <v/>
      </c>
    </row>
    <row r="1861" spans="9:21" ht="24.75" customHeight="1" x14ac:dyDescent="0.35">
      <c r="I1861" s="42">
        <f t="shared" si="290"/>
        <v>0</v>
      </c>
      <c r="J1861" s="65" t="e">
        <f t="shared" si="291"/>
        <v>#NUM!</v>
      </c>
      <c r="K1861" s="83" t="e">
        <f t="shared" si="292"/>
        <v>#NUM!</v>
      </c>
      <c r="L1861" s="83">
        <f t="shared" si="293"/>
        <v>0</v>
      </c>
      <c r="M1861" s="110" t="str">
        <f t="shared" si="294"/>
        <v/>
      </c>
      <c r="N1861" s="51" t="str">
        <f t="shared" si="295"/>
        <v/>
      </c>
      <c r="O1861" s="52" t="str">
        <f t="shared" si="296"/>
        <v/>
      </c>
      <c r="P1861" s="88">
        <f t="shared" si="297"/>
        <v>0</v>
      </c>
      <c r="Q1861" s="88">
        <f t="shared" si="298"/>
        <v>0</v>
      </c>
      <c r="R1861" s="88" t="e">
        <f>-IF(Tabla14[[#This Row],[DIAS HABILES O MORA]]&lt;0,(Tabla14[[#This Row],[VALOR PRESTAMO]]*Tabla14[[#This Row],[% INTERES ]]/30*U1861))+Tabla14[[#This Row],[VALOR CUOTAS]]</f>
        <v>#VALUE!</v>
      </c>
      <c r="S1861" s="88">
        <f>-IF(Tabla14[[#This Row],[DIAS HABILES O MORA]]&lt;0,(Tabla14[[#This Row],[VALOR PRESTAMO]]*Tabla14[[#This Row],[% INTERES ]]/30*U1861))</f>
        <v>0</v>
      </c>
      <c r="T1861" s="53" t="e">
        <f>Tabla14[[#This Row],[DEUDA CAPITAL]]+Tabla14[[#This Row],[INTERES  CUOTA]]</f>
        <v>#NUM!</v>
      </c>
      <c r="U1861" s="61" t="str">
        <f t="shared" si="299"/>
        <v/>
      </c>
    </row>
    <row r="1862" spans="9:21" ht="24.75" customHeight="1" x14ac:dyDescent="0.35">
      <c r="I1862" s="42">
        <f t="shared" si="290"/>
        <v>0</v>
      </c>
      <c r="J1862" s="65" t="e">
        <f t="shared" si="291"/>
        <v>#NUM!</v>
      </c>
      <c r="K1862" s="83" t="e">
        <f t="shared" si="292"/>
        <v>#NUM!</v>
      </c>
      <c r="L1862" s="83">
        <f t="shared" si="293"/>
        <v>0</v>
      </c>
      <c r="M1862" s="110" t="str">
        <f t="shared" si="294"/>
        <v/>
      </c>
      <c r="N1862" s="51" t="str">
        <f t="shared" si="295"/>
        <v/>
      </c>
      <c r="O1862" s="52" t="str">
        <f t="shared" si="296"/>
        <v/>
      </c>
      <c r="P1862" s="88">
        <f t="shared" si="297"/>
        <v>0</v>
      </c>
      <c r="Q1862" s="88">
        <f t="shared" si="298"/>
        <v>0</v>
      </c>
      <c r="R1862" s="88" t="e">
        <f>-IF(Tabla14[[#This Row],[DIAS HABILES O MORA]]&lt;0,(Tabla14[[#This Row],[VALOR PRESTAMO]]*Tabla14[[#This Row],[% INTERES ]]/30*U1862))+Tabla14[[#This Row],[VALOR CUOTAS]]</f>
        <v>#VALUE!</v>
      </c>
      <c r="S1862" s="88">
        <f>-IF(Tabla14[[#This Row],[DIAS HABILES O MORA]]&lt;0,(Tabla14[[#This Row],[VALOR PRESTAMO]]*Tabla14[[#This Row],[% INTERES ]]/30*U1862))</f>
        <v>0</v>
      </c>
      <c r="T1862" s="53" t="e">
        <f>Tabla14[[#This Row],[DEUDA CAPITAL]]+Tabla14[[#This Row],[INTERES  CUOTA]]</f>
        <v>#NUM!</v>
      </c>
      <c r="U1862" s="61" t="str">
        <f t="shared" si="299"/>
        <v/>
      </c>
    </row>
    <row r="1863" spans="9:21" ht="24.75" customHeight="1" x14ac:dyDescent="0.35">
      <c r="I1863" s="42">
        <f t="shared" si="290"/>
        <v>0</v>
      </c>
      <c r="J1863" s="65" t="e">
        <f t="shared" si="291"/>
        <v>#NUM!</v>
      </c>
      <c r="K1863" s="83" t="e">
        <f t="shared" si="292"/>
        <v>#NUM!</v>
      </c>
      <c r="L1863" s="83">
        <f t="shared" si="293"/>
        <v>0</v>
      </c>
      <c r="M1863" s="110" t="str">
        <f t="shared" si="294"/>
        <v/>
      </c>
      <c r="N1863" s="51" t="str">
        <f t="shared" si="295"/>
        <v/>
      </c>
      <c r="O1863" s="52" t="str">
        <f t="shared" si="296"/>
        <v/>
      </c>
      <c r="P1863" s="88">
        <f t="shared" si="297"/>
        <v>0</v>
      </c>
      <c r="Q1863" s="88">
        <f t="shared" si="298"/>
        <v>0</v>
      </c>
      <c r="R1863" s="88" t="e">
        <f>-IF(Tabla14[[#This Row],[DIAS HABILES O MORA]]&lt;0,(Tabla14[[#This Row],[VALOR PRESTAMO]]*Tabla14[[#This Row],[% INTERES ]]/30*U1863))+Tabla14[[#This Row],[VALOR CUOTAS]]</f>
        <v>#VALUE!</v>
      </c>
      <c r="S1863" s="88">
        <f>-IF(Tabla14[[#This Row],[DIAS HABILES O MORA]]&lt;0,(Tabla14[[#This Row],[VALOR PRESTAMO]]*Tabla14[[#This Row],[% INTERES ]]/30*U1863))</f>
        <v>0</v>
      </c>
      <c r="T1863" s="53" t="e">
        <f>Tabla14[[#This Row],[DEUDA CAPITAL]]+Tabla14[[#This Row],[INTERES  CUOTA]]</f>
        <v>#NUM!</v>
      </c>
      <c r="U1863" s="61" t="str">
        <f t="shared" si="299"/>
        <v/>
      </c>
    </row>
    <row r="1864" spans="9:21" ht="24.75" customHeight="1" x14ac:dyDescent="0.35">
      <c r="I1864" s="42">
        <f t="shared" si="290"/>
        <v>0</v>
      </c>
      <c r="J1864" s="65" t="e">
        <f t="shared" si="291"/>
        <v>#NUM!</v>
      </c>
      <c r="K1864" s="83" t="e">
        <f t="shared" si="292"/>
        <v>#NUM!</v>
      </c>
      <c r="L1864" s="83">
        <f t="shared" si="293"/>
        <v>0</v>
      </c>
      <c r="M1864" s="110" t="str">
        <f t="shared" si="294"/>
        <v/>
      </c>
      <c r="N1864" s="51" t="str">
        <f t="shared" si="295"/>
        <v/>
      </c>
      <c r="O1864" s="52" t="str">
        <f t="shared" si="296"/>
        <v/>
      </c>
      <c r="P1864" s="88">
        <f t="shared" si="297"/>
        <v>0</v>
      </c>
      <c r="Q1864" s="88">
        <f t="shared" si="298"/>
        <v>0</v>
      </c>
      <c r="R1864" s="88" t="e">
        <f>-IF(Tabla14[[#This Row],[DIAS HABILES O MORA]]&lt;0,(Tabla14[[#This Row],[VALOR PRESTAMO]]*Tabla14[[#This Row],[% INTERES ]]/30*U1864))+Tabla14[[#This Row],[VALOR CUOTAS]]</f>
        <v>#VALUE!</v>
      </c>
      <c r="S1864" s="88">
        <f>-IF(Tabla14[[#This Row],[DIAS HABILES O MORA]]&lt;0,(Tabla14[[#This Row],[VALOR PRESTAMO]]*Tabla14[[#This Row],[% INTERES ]]/30*U1864))</f>
        <v>0</v>
      </c>
      <c r="T1864" s="53" t="e">
        <f>Tabla14[[#This Row],[DEUDA CAPITAL]]+Tabla14[[#This Row],[INTERES  CUOTA]]</f>
        <v>#NUM!</v>
      </c>
      <c r="U1864" s="61" t="str">
        <f t="shared" si="299"/>
        <v/>
      </c>
    </row>
    <row r="1865" spans="9:21" ht="24.75" customHeight="1" x14ac:dyDescent="0.35">
      <c r="I1865" s="42">
        <f t="shared" si="290"/>
        <v>0</v>
      </c>
      <c r="J1865" s="65" t="e">
        <f t="shared" si="291"/>
        <v>#NUM!</v>
      </c>
      <c r="K1865" s="83" t="e">
        <f t="shared" si="292"/>
        <v>#NUM!</v>
      </c>
      <c r="L1865" s="83">
        <f t="shared" si="293"/>
        <v>0</v>
      </c>
      <c r="M1865" s="110" t="str">
        <f t="shared" si="294"/>
        <v/>
      </c>
      <c r="N1865" s="51" t="str">
        <f t="shared" si="295"/>
        <v/>
      </c>
      <c r="O1865" s="52" t="str">
        <f t="shared" si="296"/>
        <v/>
      </c>
      <c r="P1865" s="88">
        <f t="shared" si="297"/>
        <v>0</v>
      </c>
      <c r="Q1865" s="88">
        <f t="shared" si="298"/>
        <v>0</v>
      </c>
      <c r="R1865" s="88" t="e">
        <f>-IF(Tabla14[[#This Row],[DIAS HABILES O MORA]]&lt;0,(Tabla14[[#This Row],[VALOR PRESTAMO]]*Tabla14[[#This Row],[% INTERES ]]/30*U1865))+Tabla14[[#This Row],[VALOR CUOTAS]]</f>
        <v>#VALUE!</v>
      </c>
      <c r="S1865" s="88">
        <f>-IF(Tabla14[[#This Row],[DIAS HABILES O MORA]]&lt;0,(Tabla14[[#This Row],[VALOR PRESTAMO]]*Tabla14[[#This Row],[% INTERES ]]/30*U1865))</f>
        <v>0</v>
      </c>
      <c r="T1865" s="53" t="e">
        <f>Tabla14[[#This Row],[DEUDA CAPITAL]]+Tabla14[[#This Row],[INTERES  CUOTA]]</f>
        <v>#NUM!</v>
      </c>
      <c r="U1865" s="61" t="str">
        <f t="shared" si="299"/>
        <v/>
      </c>
    </row>
    <row r="1866" spans="9:21" ht="24.75" customHeight="1" x14ac:dyDescent="0.35">
      <c r="I1866" s="42">
        <f t="shared" si="290"/>
        <v>0</v>
      </c>
      <c r="J1866" s="65" t="e">
        <f t="shared" si="291"/>
        <v>#NUM!</v>
      </c>
      <c r="K1866" s="83" t="e">
        <f t="shared" si="292"/>
        <v>#NUM!</v>
      </c>
      <c r="L1866" s="83">
        <f t="shared" si="293"/>
        <v>0</v>
      </c>
      <c r="M1866" s="110" t="str">
        <f t="shared" si="294"/>
        <v/>
      </c>
      <c r="N1866" s="51" t="str">
        <f t="shared" si="295"/>
        <v/>
      </c>
      <c r="O1866" s="52" t="str">
        <f t="shared" si="296"/>
        <v/>
      </c>
      <c r="P1866" s="88">
        <f t="shared" si="297"/>
        <v>0</v>
      </c>
      <c r="Q1866" s="88">
        <f t="shared" si="298"/>
        <v>0</v>
      </c>
      <c r="R1866" s="88" t="e">
        <f>-IF(Tabla14[[#This Row],[DIAS HABILES O MORA]]&lt;0,(Tabla14[[#This Row],[VALOR PRESTAMO]]*Tabla14[[#This Row],[% INTERES ]]/30*U1866))+Tabla14[[#This Row],[VALOR CUOTAS]]</f>
        <v>#VALUE!</v>
      </c>
      <c r="S1866" s="88">
        <f>-IF(Tabla14[[#This Row],[DIAS HABILES O MORA]]&lt;0,(Tabla14[[#This Row],[VALOR PRESTAMO]]*Tabla14[[#This Row],[% INTERES ]]/30*U1866))</f>
        <v>0</v>
      </c>
      <c r="T1866" s="53" t="e">
        <f>Tabla14[[#This Row],[DEUDA CAPITAL]]+Tabla14[[#This Row],[INTERES  CUOTA]]</f>
        <v>#NUM!</v>
      </c>
      <c r="U1866" s="61" t="str">
        <f t="shared" si="299"/>
        <v/>
      </c>
    </row>
    <row r="1867" spans="9:21" ht="24.75" customHeight="1" x14ac:dyDescent="0.35">
      <c r="I1867" s="42">
        <f t="shared" si="290"/>
        <v>0</v>
      </c>
      <c r="J1867" s="65" t="e">
        <f t="shared" si="291"/>
        <v>#NUM!</v>
      </c>
      <c r="K1867" s="83" t="e">
        <f t="shared" si="292"/>
        <v>#NUM!</v>
      </c>
      <c r="L1867" s="83">
        <f t="shared" si="293"/>
        <v>0</v>
      </c>
      <c r="M1867" s="110" t="str">
        <f t="shared" si="294"/>
        <v/>
      </c>
      <c r="N1867" s="51" t="str">
        <f t="shared" si="295"/>
        <v/>
      </c>
      <c r="O1867" s="52" t="str">
        <f t="shared" si="296"/>
        <v/>
      </c>
      <c r="P1867" s="88">
        <f t="shared" si="297"/>
        <v>0</v>
      </c>
      <c r="Q1867" s="88">
        <f t="shared" si="298"/>
        <v>0</v>
      </c>
      <c r="R1867" s="88" t="e">
        <f>-IF(Tabla14[[#This Row],[DIAS HABILES O MORA]]&lt;0,(Tabla14[[#This Row],[VALOR PRESTAMO]]*Tabla14[[#This Row],[% INTERES ]]/30*U1867))+Tabla14[[#This Row],[VALOR CUOTAS]]</f>
        <v>#VALUE!</v>
      </c>
      <c r="S1867" s="88">
        <f>-IF(Tabla14[[#This Row],[DIAS HABILES O MORA]]&lt;0,(Tabla14[[#This Row],[VALOR PRESTAMO]]*Tabla14[[#This Row],[% INTERES ]]/30*U1867))</f>
        <v>0</v>
      </c>
      <c r="T1867" s="53" t="e">
        <f>Tabla14[[#This Row],[DEUDA CAPITAL]]+Tabla14[[#This Row],[INTERES  CUOTA]]</f>
        <v>#NUM!</v>
      </c>
      <c r="U1867" s="61" t="str">
        <f t="shared" si="299"/>
        <v/>
      </c>
    </row>
    <row r="1868" spans="9:21" ht="24.75" customHeight="1" x14ac:dyDescent="0.35">
      <c r="I1868" s="42">
        <f t="shared" si="290"/>
        <v>0</v>
      </c>
      <c r="J1868" s="65" t="e">
        <f t="shared" si="291"/>
        <v>#NUM!</v>
      </c>
      <c r="K1868" s="83" t="e">
        <f t="shared" si="292"/>
        <v>#NUM!</v>
      </c>
      <c r="L1868" s="83">
        <f t="shared" si="293"/>
        <v>0</v>
      </c>
      <c r="M1868" s="110" t="str">
        <f t="shared" si="294"/>
        <v/>
      </c>
      <c r="N1868" s="51" t="str">
        <f t="shared" si="295"/>
        <v/>
      </c>
      <c r="O1868" s="52" t="str">
        <f t="shared" si="296"/>
        <v/>
      </c>
      <c r="P1868" s="88">
        <f t="shared" si="297"/>
        <v>0</v>
      </c>
      <c r="Q1868" s="88">
        <f t="shared" si="298"/>
        <v>0</v>
      </c>
      <c r="R1868" s="88" t="e">
        <f>-IF(Tabla14[[#This Row],[DIAS HABILES O MORA]]&lt;0,(Tabla14[[#This Row],[VALOR PRESTAMO]]*Tabla14[[#This Row],[% INTERES ]]/30*U1868))+Tabla14[[#This Row],[VALOR CUOTAS]]</f>
        <v>#VALUE!</v>
      </c>
      <c r="S1868" s="88">
        <f>-IF(Tabla14[[#This Row],[DIAS HABILES O MORA]]&lt;0,(Tabla14[[#This Row],[VALOR PRESTAMO]]*Tabla14[[#This Row],[% INTERES ]]/30*U1868))</f>
        <v>0</v>
      </c>
      <c r="T1868" s="53" t="e">
        <f>Tabla14[[#This Row],[DEUDA CAPITAL]]+Tabla14[[#This Row],[INTERES  CUOTA]]</f>
        <v>#NUM!</v>
      </c>
      <c r="U1868" s="61" t="str">
        <f t="shared" si="299"/>
        <v/>
      </c>
    </row>
    <row r="1869" spans="9:21" ht="24.75" customHeight="1" x14ac:dyDescent="0.35">
      <c r="I1869" s="42">
        <f t="shared" si="290"/>
        <v>0</v>
      </c>
      <c r="J1869" s="65" t="e">
        <f t="shared" si="291"/>
        <v>#NUM!</v>
      </c>
      <c r="K1869" s="83" t="e">
        <f t="shared" si="292"/>
        <v>#NUM!</v>
      </c>
      <c r="L1869" s="83">
        <f t="shared" si="293"/>
        <v>0</v>
      </c>
      <c r="M1869" s="110" t="str">
        <f t="shared" si="294"/>
        <v/>
      </c>
      <c r="N1869" s="51" t="str">
        <f t="shared" si="295"/>
        <v/>
      </c>
      <c r="O1869" s="52" t="str">
        <f t="shared" si="296"/>
        <v/>
      </c>
      <c r="P1869" s="88">
        <f t="shared" si="297"/>
        <v>0</v>
      </c>
      <c r="Q1869" s="88">
        <f t="shared" si="298"/>
        <v>0</v>
      </c>
      <c r="R1869" s="88" t="e">
        <f>-IF(Tabla14[[#This Row],[DIAS HABILES O MORA]]&lt;0,(Tabla14[[#This Row],[VALOR PRESTAMO]]*Tabla14[[#This Row],[% INTERES ]]/30*U1869))+Tabla14[[#This Row],[VALOR CUOTAS]]</f>
        <v>#VALUE!</v>
      </c>
      <c r="S1869" s="88">
        <f>-IF(Tabla14[[#This Row],[DIAS HABILES O MORA]]&lt;0,(Tabla14[[#This Row],[VALOR PRESTAMO]]*Tabla14[[#This Row],[% INTERES ]]/30*U1869))</f>
        <v>0</v>
      </c>
      <c r="T1869" s="53" t="e">
        <f>Tabla14[[#This Row],[DEUDA CAPITAL]]+Tabla14[[#This Row],[INTERES  CUOTA]]</f>
        <v>#NUM!</v>
      </c>
      <c r="U1869" s="61" t="str">
        <f t="shared" si="299"/>
        <v/>
      </c>
    </row>
    <row r="1870" spans="9:21" ht="24.75" customHeight="1" x14ac:dyDescent="0.35">
      <c r="I1870" s="42">
        <f t="shared" si="290"/>
        <v>0</v>
      </c>
      <c r="J1870" s="65" t="e">
        <f t="shared" si="291"/>
        <v>#NUM!</v>
      </c>
      <c r="K1870" s="83" t="e">
        <f t="shared" si="292"/>
        <v>#NUM!</v>
      </c>
      <c r="L1870" s="83">
        <f t="shared" si="293"/>
        <v>0</v>
      </c>
      <c r="M1870" s="110" t="str">
        <f t="shared" si="294"/>
        <v/>
      </c>
      <c r="N1870" s="51" t="str">
        <f t="shared" si="295"/>
        <v/>
      </c>
      <c r="O1870" s="52" t="str">
        <f t="shared" si="296"/>
        <v/>
      </c>
      <c r="P1870" s="88">
        <f t="shared" si="297"/>
        <v>0</v>
      </c>
      <c r="Q1870" s="88">
        <f t="shared" si="298"/>
        <v>0</v>
      </c>
      <c r="R1870" s="88" t="e">
        <f>-IF(Tabla14[[#This Row],[DIAS HABILES O MORA]]&lt;0,(Tabla14[[#This Row],[VALOR PRESTAMO]]*Tabla14[[#This Row],[% INTERES ]]/30*U1870))+Tabla14[[#This Row],[VALOR CUOTAS]]</f>
        <v>#VALUE!</v>
      </c>
      <c r="S1870" s="88">
        <f>-IF(Tabla14[[#This Row],[DIAS HABILES O MORA]]&lt;0,(Tabla14[[#This Row],[VALOR PRESTAMO]]*Tabla14[[#This Row],[% INTERES ]]/30*U1870))</f>
        <v>0</v>
      </c>
      <c r="T1870" s="53" t="e">
        <f>Tabla14[[#This Row],[DEUDA CAPITAL]]+Tabla14[[#This Row],[INTERES  CUOTA]]</f>
        <v>#NUM!</v>
      </c>
      <c r="U1870" s="61" t="str">
        <f t="shared" si="299"/>
        <v/>
      </c>
    </row>
    <row r="1871" spans="9:21" ht="24.75" customHeight="1" x14ac:dyDescent="0.35">
      <c r="I1871" s="42">
        <f t="shared" si="290"/>
        <v>0</v>
      </c>
      <c r="J1871" s="65" t="e">
        <f t="shared" si="291"/>
        <v>#NUM!</v>
      </c>
      <c r="K1871" s="83" t="e">
        <f t="shared" si="292"/>
        <v>#NUM!</v>
      </c>
      <c r="L1871" s="83">
        <f t="shared" si="293"/>
        <v>0</v>
      </c>
      <c r="M1871" s="110" t="str">
        <f t="shared" si="294"/>
        <v/>
      </c>
      <c r="N1871" s="51" t="str">
        <f t="shared" si="295"/>
        <v/>
      </c>
      <c r="O1871" s="52" t="str">
        <f t="shared" si="296"/>
        <v/>
      </c>
      <c r="P1871" s="88">
        <f t="shared" si="297"/>
        <v>0</v>
      </c>
      <c r="Q1871" s="88">
        <f t="shared" si="298"/>
        <v>0</v>
      </c>
      <c r="R1871" s="88" t="e">
        <f>-IF(Tabla14[[#This Row],[DIAS HABILES O MORA]]&lt;0,(Tabla14[[#This Row],[VALOR PRESTAMO]]*Tabla14[[#This Row],[% INTERES ]]/30*U1871))+Tabla14[[#This Row],[VALOR CUOTAS]]</f>
        <v>#VALUE!</v>
      </c>
      <c r="S1871" s="88">
        <f>-IF(Tabla14[[#This Row],[DIAS HABILES O MORA]]&lt;0,(Tabla14[[#This Row],[VALOR PRESTAMO]]*Tabla14[[#This Row],[% INTERES ]]/30*U1871))</f>
        <v>0</v>
      </c>
      <c r="T1871" s="53" t="e">
        <f>Tabla14[[#This Row],[DEUDA CAPITAL]]+Tabla14[[#This Row],[INTERES  CUOTA]]</f>
        <v>#NUM!</v>
      </c>
      <c r="U1871" s="61" t="str">
        <f t="shared" si="299"/>
        <v/>
      </c>
    </row>
    <row r="1872" spans="9:21" ht="24.75" customHeight="1" x14ac:dyDescent="0.35">
      <c r="I1872" s="42">
        <f t="shared" ref="I1872:I1935" si="300">IF(C1872&lt;0,"",IF(Q1872=0,0,IF(G1872=0,H1872+1,IF(H1872&lt;G1872,H1872+1,IF(G1872=H1872,0)))))</f>
        <v>0</v>
      </c>
      <c r="J1872" s="65" t="e">
        <f t="shared" ref="J1872:J1935" si="301">IF(F1872="SOLO INTERES",Q1872*D1872,-IPMT(D1872,I1872,G1872,C1872))</f>
        <v>#NUM!</v>
      </c>
      <c r="K1872" s="83" t="e">
        <f t="shared" ref="K1872:K1935" si="302">IF(F1872="SOLO INTERES",0,-PPMT(D1872,I1872,G1872,C1872))</f>
        <v>#NUM!</v>
      </c>
      <c r="L1872" s="83">
        <f t="shared" ref="L1872:L1935" si="303">IF(F1872="SOLO INTERES",SUM(Y1872:AAE1872),IFERROR(-CUMIPMT(D1872,G1872,C1872,1,H1872,0),0)+SUM(Y1872:WY1872))</f>
        <v>0</v>
      </c>
      <c r="M1872" s="110" t="str">
        <f t="shared" ref="M1872:M1935" si="304">IFERROR(IF(F1872="SOLO INTERES",Q1872*D1872,-PMT(D1872,G1872,C1872,0)),"")</f>
        <v/>
      </c>
      <c r="N1872" s="51" t="str">
        <f t="shared" ref="N1872:N1935" si="305">IF(Q1872=0,"",IF(E1872="MENSUAL",EDATE(B1872,I1872),IF(E1872="QUINCENAL",B1872+(I1872*15),IF(E1872="SEMANAL",B1872+(I1872*7)))))</f>
        <v/>
      </c>
      <c r="O1872" s="52" t="str">
        <f t="shared" ref="O1872:O1935" si="306">IF(C1872=0,"",IF(Q1872&lt;1,"PAGADO",IF(N1872=$A$3,"COBRAR HOY",IF(N1872&lt;$A$3,"EN MORA",IF(N1872&gt;$A$3,"AL DIA")))))</f>
        <v/>
      </c>
      <c r="P1872" s="88">
        <f t="shared" ref="P1872:P1935" si="307">IFERROR(-CUMPRINC(D1872,G1872,C1872,1,H1872,0),0)+W1872</f>
        <v>0</v>
      </c>
      <c r="Q1872" s="88">
        <f t="shared" ref="Q1872:Q1935" si="308">IFERROR(C1872-P1872,"")</f>
        <v>0</v>
      </c>
      <c r="R1872" s="88" t="e">
        <f>-IF(Tabla14[[#This Row],[DIAS HABILES O MORA]]&lt;0,(Tabla14[[#This Row],[VALOR PRESTAMO]]*Tabla14[[#This Row],[% INTERES ]]/30*U1872))+Tabla14[[#This Row],[VALOR CUOTAS]]</f>
        <v>#VALUE!</v>
      </c>
      <c r="S1872" s="88">
        <f>-IF(Tabla14[[#This Row],[DIAS HABILES O MORA]]&lt;0,(Tabla14[[#This Row],[VALOR PRESTAMO]]*Tabla14[[#This Row],[% INTERES ]]/30*U1872))</f>
        <v>0</v>
      </c>
      <c r="T1872" s="53" t="e">
        <f>Tabla14[[#This Row],[DEUDA CAPITAL]]+Tabla14[[#This Row],[INTERES  CUOTA]]</f>
        <v>#NUM!</v>
      </c>
      <c r="U1872" s="61" t="str">
        <f t="shared" ref="U1872:U1935" si="309">IF(O1872="PAGADO","",IFERROR(-IF(C1872=0,"",$A$3-N1872),""))</f>
        <v/>
      </c>
    </row>
    <row r="1873" spans="9:21" ht="24.75" customHeight="1" x14ac:dyDescent="0.35">
      <c r="I1873" s="42">
        <f t="shared" si="300"/>
        <v>0</v>
      </c>
      <c r="J1873" s="65" t="e">
        <f t="shared" si="301"/>
        <v>#NUM!</v>
      </c>
      <c r="K1873" s="83" t="e">
        <f t="shared" si="302"/>
        <v>#NUM!</v>
      </c>
      <c r="L1873" s="83">
        <f t="shared" si="303"/>
        <v>0</v>
      </c>
      <c r="M1873" s="110" t="str">
        <f t="shared" si="304"/>
        <v/>
      </c>
      <c r="N1873" s="51" t="str">
        <f t="shared" si="305"/>
        <v/>
      </c>
      <c r="O1873" s="52" t="str">
        <f t="shared" si="306"/>
        <v/>
      </c>
      <c r="P1873" s="88">
        <f t="shared" si="307"/>
        <v>0</v>
      </c>
      <c r="Q1873" s="88">
        <f t="shared" si="308"/>
        <v>0</v>
      </c>
      <c r="R1873" s="88" t="e">
        <f>-IF(Tabla14[[#This Row],[DIAS HABILES O MORA]]&lt;0,(Tabla14[[#This Row],[VALOR PRESTAMO]]*Tabla14[[#This Row],[% INTERES ]]/30*U1873))+Tabla14[[#This Row],[VALOR CUOTAS]]</f>
        <v>#VALUE!</v>
      </c>
      <c r="S1873" s="88">
        <f>-IF(Tabla14[[#This Row],[DIAS HABILES O MORA]]&lt;0,(Tabla14[[#This Row],[VALOR PRESTAMO]]*Tabla14[[#This Row],[% INTERES ]]/30*U1873))</f>
        <v>0</v>
      </c>
      <c r="T1873" s="53" t="e">
        <f>Tabla14[[#This Row],[DEUDA CAPITAL]]+Tabla14[[#This Row],[INTERES  CUOTA]]</f>
        <v>#NUM!</v>
      </c>
      <c r="U1873" s="61" t="str">
        <f t="shared" si="309"/>
        <v/>
      </c>
    </row>
    <row r="1874" spans="9:21" ht="24.75" customHeight="1" x14ac:dyDescent="0.35">
      <c r="I1874" s="42">
        <f t="shared" si="300"/>
        <v>0</v>
      </c>
      <c r="J1874" s="65" t="e">
        <f t="shared" si="301"/>
        <v>#NUM!</v>
      </c>
      <c r="K1874" s="83" t="e">
        <f t="shared" si="302"/>
        <v>#NUM!</v>
      </c>
      <c r="L1874" s="83">
        <f t="shared" si="303"/>
        <v>0</v>
      </c>
      <c r="M1874" s="110" t="str">
        <f t="shared" si="304"/>
        <v/>
      </c>
      <c r="N1874" s="51" t="str">
        <f t="shared" si="305"/>
        <v/>
      </c>
      <c r="O1874" s="52" t="str">
        <f t="shared" si="306"/>
        <v/>
      </c>
      <c r="P1874" s="88">
        <f t="shared" si="307"/>
        <v>0</v>
      </c>
      <c r="Q1874" s="88">
        <f t="shared" si="308"/>
        <v>0</v>
      </c>
      <c r="R1874" s="88" t="e">
        <f>-IF(Tabla14[[#This Row],[DIAS HABILES O MORA]]&lt;0,(Tabla14[[#This Row],[VALOR PRESTAMO]]*Tabla14[[#This Row],[% INTERES ]]/30*U1874))+Tabla14[[#This Row],[VALOR CUOTAS]]</f>
        <v>#VALUE!</v>
      </c>
      <c r="S1874" s="88">
        <f>-IF(Tabla14[[#This Row],[DIAS HABILES O MORA]]&lt;0,(Tabla14[[#This Row],[VALOR PRESTAMO]]*Tabla14[[#This Row],[% INTERES ]]/30*U1874))</f>
        <v>0</v>
      </c>
      <c r="T1874" s="53" t="e">
        <f>Tabla14[[#This Row],[DEUDA CAPITAL]]+Tabla14[[#This Row],[INTERES  CUOTA]]</f>
        <v>#NUM!</v>
      </c>
      <c r="U1874" s="61" t="str">
        <f t="shared" si="309"/>
        <v/>
      </c>
    </row>
    <row r="1875" spans="9:21" ht="24.75" customHeight="1" x14ac:dyDescent="0.35">
      <c r="I1875" s="42">
        <f t="shared" si="300"/>
        <v>0</v>
      </c>
      <c r="J1875" s="65" t="e">
        <f t="shared" si="301"/>
        <v>#NUM!</v>
      </c>
      <c r="K1875" s="83" t="e">
        <f t="shared" si="302"/>
        <v>#NUM!</v>
      </c>
      <c r="L1875" s="83">
        <f t="shared" si="303"/>
        <v>0</v>
      </c>
      <c r="M1875" s="110" t="str">
        <f t="shared" si="304"/>
        <v/>
      </c>
      <c r="N1875" s="51" t="str">
        <f t="shared" si="305"/>
        <v/>
      </c>
      <c r="O1875" s="52" t="str">
        <f t="shared" si="306"/>
        <v/>
      </c>
      <c r="P1875" s="88">
        <f t="shared" si="307"/>
        <v>0</v>
      </c>
      <c r="Q1875" s="88">
        <f t="shared" si="308"/>
        <v>0</v>
      </c>
      <c r="R1875" s="88" t="e">
        <f>-IF(Tabla14[[#This Row],[DIAS HABILES O MORA]]&lt;0,(Tabla14[[#This Row],[VALOR PRESTAMO]]*Tabla14[[#This Row],[% INTERES ]]/30*U1875))+Tabla14[[#This Row],[VALOR CUOTAS]]</f>
        <v>#VALUE!</v>
      </c>
      <c r="S1875" s="88">
        <f>-IF(Tabla14[[#This Row],[DIAS HABILES O MORA]]&lt;0,(Tabla14[[#This Row],[VALOR PRESTAMO]]*Tabla14[[#This Row],[% INTERES ]]/30*U1875))</f>
        <v>0</v>
      </c>
      <c r="T1875" s="53" t="e">
        <f>Tabla14[[#This Row],[DEUDA CAPITAL]]+Tabla14[[#This Row],[INTERES  CUOTA]]</f>
        <v>#NUM!</v>
      </c>
      <c r="U1875" s="61" t="str">
        <f t="shared" si="309"/>
        <v/>
      </c>
    </row>
    <row r="1876" spans="9:21" ht="24.75" customHeight="1" x14ac:dyDescent="0.35">
      <c r="I1876" s="42">
        <f t="shared" si="300"/>
        <v>0</v>
      </c>
      <c r="J1876" s="65" t="e">
        <f t="shared" si="301"/>
        <v>#NUM!</v>
      </c>
      <c r="K1876" s="83" t="e">
        <f t="shared" si="302"/>
        <v>#NUM!</v>
      </c>
      <c r="L1876" s="83">
        <f t="shared" si="303"/>
        <v>0</v>
      </c>
      <c r="M1876" s="110" t="str">
        <f t="shared" si="304"/>
        <v/>
      </c>
      <c r="N1876" s="51" t="str">
        <f t="shared" si="305"/>
        <v/>
      </c>
      <c r="O1876" s="52" t="str">
        <f t="shared" si="306"/>
        <v/>
      </c>
      <c r="P1876" s="88">
        <f t="shared" si="307"/>
        <v>0</v>
      </c>
      <c r="Q1876" s="88">
        <f t="shared" si="308"/>
        <v>0</v>
      </c>
      <c r="R1876" s="88" t="e">
        <f>-IF(Tabla14[[#This Row],[DIAS HABILES O MORA]]&lt;0,(Tabla14[[#This Row],[VALOR PRESTAMO]]*Tabla14[[#This Row],[% INTERES ]]/30*U1876))+Tabla14[[#This Row],[VALOR CUOTAS]]</f>
        <v>#VALUE!</v>
      </c>
      <c r="S1876" s="88">
        <f>-IF(Tabla14[[#This Row],[DIAS HABILES O MORA]]&lt;0,(Tabla14[[#This Row],[VALOR PRESTAMO]]*Tabla14[[#This Row],[% INTERES ]]/30*U1876))</f>
        <v>0</v>
      </c>
      <c r="T1876" s="53" t="e">
        <f>Tabla14[[#This Row],[DEUDA CAPITAL]]+Tabla14[[#This Row],[INTERES  CUOTA]]</f>
        <v>#NUM!</v>
      </c>
      <c r="U1876" s="61" t="str">
        <f t="shared" si="309"/>
        <v/>
      </c>
    </row>
    <row r="1877" spans="9:21" ht="24.75" customHeight="1" x14ac:dyDescent="0.35">
      <c r="I1877" s="42">
        <f t="shared" si="300"/>
        <v>0</v>
      </c>
      <c r="J1877" s="65" t="e">
        <f t="shared" si="301"/>
        <v>#NUM!</v>
      </c>
      <c r="K1877" s="83" t="e">
        <f t="shared" si="302"/>
        <v>#NUM!</v>
      </c>
      <c r="L1877" s="83">
        <f t="shared" si="303"/>
        <v>0</v>
      </c>
      <c r="M1877" s="110" t="str">
        <f t="shared" si="304"/>
        <v/>
      </c>
      <c r="N1877" s="51" t="str">
        <f t="shared" si="305"/>
        <v/>
      </c>
      <c r="O1877" s="52" t="str">
        <f t="shared" si="306"/>
        <v/>
      </c>
      <c r="P1877" s="88">
        <f t="shared" si="307"/>
        <v>0</v>
      </c>
      <c r="Q1877" s="88">
        <f t="shared" si="308"/>
        <v>0</v>
      </c>
      <c r="R1877" s="88" t="e">
        <f>-IF(Tabla14[[#This Row],[DIAS HABILES O MORA]]&lt;0,(Tabla14[[#This Row],[VALOR PRESTAMO]]*Tabla14[[#This Row],[% INTERES ]]/30*U1877))+Tabla14[[#This Row],[VALOR CUOTAS]]</f>
        <v>#VALUE!</v>
      </c>
      <c r="S1877" s="88">
        <f>-IF(Tabla14[[#This Row],[DIAS HABILES O MORA]]&lt;0,(Tabla14[[#This Row],[VALOR PRESTAMO]]*Tabla14[[#This Row],[% INTERES ]]/30*U1877))</f>
        <v>0</v>
      </c>
      <c r="T1877" s="53" t="e">
        <f>Tabla14[[#This Row],[DEUDA CAPITAL]]+Tabla14[[#This Row],[INTERES  CUOTA]]</f>
        <v>#NUM!</v>
      </c>
      <c r="U1877" s="61" t="str">
        <f t="shared" si="309"/>
        <v/>
      </c>
    </row>
    <row r="1878" spans="9:21" ht="24.75" customHeight="1" x14ac:dyDescent="0.35">
      <c r="I1878" s="42">
        <f t="shared" si="300"/>
        <v>0</v>
      </c>
      <c r="J1878" s="65" t="e">
        <f t="shared" si="301"/>
        <v>#NUM!</v>
      </c>
      <c r="K1878" s="83" t="e">
        <f t="shared" si="302"/>
        <v>#NUM!</v>
      </c>
      <c r="L1878" s="83">
        <f t="shared" si="303"/>
        <v>0</v>
      </c>
      <c r="M1878" s="110" t="str">
        <f t="shared" si="304"/>
        <v/>
      </c>
      <c r="N1878" s="51" t="str">
        <f t="shared" si="305"/>
        <v/>
      </c>
      <c r="O1878" s="52" t="str">
        <f t="shared" si="306"/>
        <v/>
      </c>
      <c r="P1878" s="88">
        <f t="shared" si="307"/>
        <v>0</v>
      </c>
      <c r="Q1878" s="88">
        <f t="shared" si="308"/>
        <v>0</v>
      </c>
      <c r="R1878" s="88" t="e">
        <f>-IF(Tabla14[[#This Row],[DIAS HABILES O MORA]]&lt;0,(Tabla14[[#This Row],[VALOR PRESTAMO]]*Tabla14[[#This Row],[% INTERES ]]/30*U1878))+Tabla14[[#This Row],[VALOR CUOTAS]]</f>
        <v>#VALUE!</v>
      </c>
      <c r="S1878" s="88">
        <f>-IF(Tabla14[[#This Row],[DIAS HABILES O MORA]]&lt;0,(Tabla14[[#This Row],[VALOR PRESTAMO]]*Tabla14[[#This Row],[% INTERES ]]/30*U1878))</f>
        <v>0</v>
      </c>
      <c r="T1878" s="53" t="e">
        <f>Tabla14[[#This Row],[DEUDA CAPITAL]]+Tabla14[[#This Row],[INTERES  CUOTA]]</f>
        <v>#NUM!</v>
      </c>
      <c r="U1878" s="61" t="str">
        <f t="shared" si="309"/>
        <v/>
      </c>
    </row>
    <row r="1879" spans="9:21" ht="24.75" customHeight="1" x14ac:dyDescent="0.35">
      <c r="I1879" s="42">
        <f t="shared" si="300"/>
        <v>0</v>
      </c>
      <c r="J1879" s="65" t="e">
        <f t="shared" si="301"/>
        <v>#NUM!</v>
      </c>
      <c r="K1879" s="83" t="e">
        <f t="shared" si="302"/>
        <v>#NUM!</v>
      </c>
      <c r="L1879" s="83">
        <f t="shared" si="303"/>
        <v>0</v>
      </c>
      <c r="M1879" s="110" t="str">
        <f t="shared" si="304"/>
        <v/>
      </c>
      <c r="N1879" s="51" t="str">
        <f t="shared" si="305"/>
        <v/>
      </c>
      <c r="O1879" s="52" t="str">
        <f t="shared" si="306"/>
        <v/>
      </c>
      <c r="P1879" s="88">
        <f t="shared" si="307"/>
        <v>0</v>
      </c>
      <c r="Q1879" s="88">
        <f t="shared" si="308"/>
        <v>0</v>
      </c>
      <c r="R1879" s="88" t="e">
        <f>-IF(Tabla14[[#This Row],[DIAS HABILES O MORA]]&lt;0,(Tabla14[[#This Row],[VALOR PRESTAMO]]*Tabla14[[#This Row],[% INTERES ]]/30*U1879))+Tabla14[[#This Row],[VALOR CUOTAS]]</f>
        <v>#VALUE!</v>
      </c>
      <c r="S1879" s="88">
        <f>-IF(Tabla14[[#This Row],[DIAS HABILES O MORA]]&lt;0,(Tabla14[[#This Row],[VALOR PRESTAMO]]*Tabla14[[#This Row],[% INTERES ]]/30*U1879))</f>
        <v>0</v>
      </c>
      <c r="T1879" s="53" t="e">
        <f>Tabla14[[#This Row],[DEUDA CAPITAL]]+Tabla14[[#This Row],[INTERES  CUOTA]]</f>
        <v>#NUM!</v>
      </c>
      <c r="U1879" s="61" t="str">
        <f t="shared" si="309"/>
        <v/>
      </c>
    </row>
    <row r="1880" spans="9:21" ht="24.75" customHeight="1" x14ac:dyDescent="0.35">
      <c r="I1880" s="42">
        <f t="shared" si="300"/>
        <v>0</v>
      </c>
      <c r="J1880" s="65" t="e">
        <f t="shared" si="301"/>
        <v>#NUM!</v>
      </c>
      <c r="K1880" s="83" t="e">
        <f t="shared" si="302"/>
        <v>#NUM!</v>
      </c>
      <c r="L1880" s="83">
        <f t="shared" si="303"/>
        <v>0</v>
      </c>
      <c r="M1880" s="110" t="str">
        <f t="shared" si="304"/>
        <v/>
      </c>
      <c r="N1880" s="51" t="str">
        <f t="shared" si="305"/>
        <v/>
      </c>
      <c r="O1880" s="52" t="str">
        <f t="shared" si="306"/>
        <v/>
      </c>
      <c r="P1880" s="88">
        <f t="shared" si="307"/>
        <v>0</v>
      </c>
      <c r="Q1880" s="88">
        <f t="shared" si="308"/>
        <v>0</v>
      </c>
      <c r="R1880" s="88" t="e">
        <f>-IF(Tabla14[[#This Row],[DIAS HABILES O MORA]]&lt;0,(Tabla14[[#This Row],[VALOR PRESTAMO]]*Tabla14[[#This Row],[% INTERES ]]/30*U1880))+Tabla14[[#This Row],[VALOR CUOTAS]]</f>
        <v>#VALUE!</v>
      </c>
      <c r="S1880" s="88">
        <f>-IF(Tabla14[[#This Row],[DIAS HABILES O MORA]]&lt;0,(Tabla14[[#This Row],[VALOR PRESTAMO]]*Tabla14[[#This Row],[% INTERES ]]/30*U1880))</f>
        <v>0</v>
      </c>
      <c r="T1880" s="53" t="e">
        <f>Tabla14[[#This Row],[DEUDA CAPITAL]]+Tabla14[[#This Row],[INTERES  CUOTA]]</f>
        <v>#NUM!</v>
      </c>
      <c r="U1880" s="61" t="str">
        <f t="shared" si="309"/>
        <v/>
      </c>
    </row>
    <row r="1881" spans="9:21" ht="24.75" customHeight="1" x14ac:dyDescent="0.35">
      <c r="I1881" s="42">
        <f t="shared" si="300"/>
        <v>0</v>
      </c>
      <c r="J1881" s="65" t="e">
        <f t="shared" si="301"/>
        <v>#NUM!</v>
      </c>
      <c r="K1881" s="83" t="e">
        <f t="shared" si="302"/>
        <v>#NUM!</v>
      </c>
      <c r="L1881" s="83">
        <f t="shared" si="303"/>
        <v>0</v>
      </c>
      <c r="M1881" s="110" t="str">
        <f t="shared" si="304"/>
        <v/>
      </c>
      <c r="N1881" s="51" t="str">
        <f t="shared" si="305"/>
        <v/>
      </c>
      <c r="O1881" s="52" t="str">
        <f t="shared" si="306"/>
        <v/>
      </c>
      <c r="P1881" s="88">
        <f t="shared" si="307"/>
        <v>0</v>
      </c>
      <c r="Q1881" s="88">
        <f t="shared" si="308"/>
        <v>0</v>
      </c>
      <c r="R1881" s="88" t="e">
        <f>-IF(Tabla14[[#This Row],[DIAS HABILES O MORA]]&lt;0,(Tabla14[[#This Row],[VALOR PRESTAMO]]*Tabla14[[#This Row],[% INTERES ]]/30*U1881))+Tabla14[[#This Row],[VALOR CUOTAS]]</f>
        <v>#VALUE!</v>
      </c>
      <c r="S1881" s="88">
        <f>-IF(Tabla14[[#This Row],[DIAS HABILES O MORA]]&lt;0,(Tabla14[[#This Row],[VALOR PRESTAMO]]*Tabla14[[#This Row],[% INTERES ]]/30*U1881))</f>
        <v>0</v>
      </c>
      <c r="T1881" s="53" t="e">
        <f>Tabla14[[#This Row],[DEUDA CAPITAL]]+Tabla14[[#This Row],[INTERES  CUOTA]]</f>
        <v>#NUM!</v>
      </c>
      <c r="U1881" s="61" t="str">
        <f t="shared" si="309"/>
        <v/>
      </c>
    </row>
    <row r="1882" spans="9:21" ht="24.75" customHeight="1" x14ac:dyDescent="0.35">
      <c r="I1882" s="42">
        <f t="shared" si="300"/>
        <v>0</v>
      </c>
      <c r="J1882" s="65" t="e">
        <f t="shared" si="301"/>
        <v>#NUM!</v>
      </c>
      <c r="K1882" s="83" t="e">
        <f t="shared" si="302"/>
        <v>#NUM!</v>
      </c>
      <c r="L1882" s="83">
        <f t="shared" si="303"/>
        <v>0</v>
      </c>
      <c r="M1882" s="110" t="str">
        <f t="shared" si="304"/>
        <v/>
      </c>
      <c r="N1882" s="51" t="str">
        <f t="shared" si="305"/>
        <v/>
      </c>
      <c r="O1882" s="52" t="str">
        <f t="shared" si="306"/>
        <v/>
      </c>
      <c r="P1882" s="88">
        <f t="shared" si="307"/>
        <v>0</v>
      </c>
      <c r="Q1882" s="88">
        <f t="shared" si="308"/>
        <v>0</v>
      </c>
      <c r="R1882" s="88" t="e">
        <f>-IF(Tabla14[[#This Row],[DIAS HABILES O MORA]]&lt;0,(Tabla14[[#This Row],[VALOR PRESTAMO]]*Tabla14[[#This Row],[% INTERES ]]/30*U1882))+Tabla14[[#This Row],[VALOR CUOTAS]]</f>
        <v>#VALUE!</v>
      </c>
      <c r="S1882" s="88">
        <f>-IF(Tabla14[[#This Row],[DIAS HABILES O MORA]]&lt;0,(Tabla14[[#This Row],[VALOR PRESTAMO]]*Tabla14[[#This Row],[% INTERES ]]/30*U1882))</f>
        <v>0</v>
      </c>
      <c r="T1882" s="53" t="e">
        <f>Tabla14[[#This Row],[DEUDA CAPITAL]]+Tabla14[[#This Row],[INTERES  CUOTA]]</f>
        <v>#NUM!</v>
      </c>
      <c r="U1882" s="61" t="str">
        <f t="shared" si="309"/>
        <v/>
      </c>
    </row>
    <row r="1883" spans="9:21" ht="24.75" customHeight="1" x14ac:dyDescent="0.35">
      <c r="I1883" s="42">
        <f t="shared" si="300"/>
        <v>0</v>
      </c>
      <c r="J1883" s="65" t="e">
        <f t="shared" si="301"/>
        <v>#NUM!</v>
      </c>
      <c r="K1883" s="83" t="e">
        <f t="shared" si="302"/>
        <v>#NUM!</v>
      </c>
      <c r="L1883" s="83">
        <f t="shared" si="303"/>
        <v>0</v>
      </c>
      <c r="M1883" s="110" t="str">
        <f t="shared" si="304"/>
        <v/>
      </c>
      <c r="N1883" s="51" t="str">
        <f t="shared" si="305"/>
        <v/>
      </c>
      <c r="O1883" s="52" t="str">
        <f t="shared" si="306"/>
        <v/>
      </c>
      <c r="P1883" s="88">
        <f t="shared" si="307"/>
        <v>0</v>
      </c>
      <c r="Q1883" s="88">
        <f t="shared" si="308"/>
        <v>0</v>
      </c>
      <c r="R1883" s="88" t="e">
        <f>-IF(Tabla14[[#This Row],[DIAS HABILES O MORA]]&lt;0,(Tabla14[[#This Row],[VALOR PRESTAMO]]*Tabla14[[#This Row],[% INTERES ]]/30*U1883))+Tabla14[[#This Row],[VALOR CUOTAS]]</f>
        <v>#VALUE!</v>
      </c>
      <c r="S1883" s="88">
        <f>-IF(Tabla14[[#This Row],[DIAS HABILES O MORA]]&lt;0,(Tabla14[[#This Row],[VALOR PRESTAMO]]*Tabla14[[#This Row],[% INTERES ]]/30*U1883))</f>
        <v>0</v>
      </c>
      <c r="T1883" s="53" t="e">
        <f>Tabla14[[#This Row],[DEUDA CAPITAL]]+Tabla14[[#This Row],[INTERES  CUOTA]]</f>
        <v>#NUM!</v>
      </c>
      <c r="U1883" s="61" t="str">
        <f t="shared" si="309"/>
        <v/>
      </c>
    </row>
    <row r="1884" spans="9:21" ht="24.75" customHeight="1" x14ac:dyDescent="0.35">
      <c r="I1884" s="42">
        <f t="shared" si="300"/>
        <v>0</v>
      </c>
      <c r="J1884" s="65" t="e">
        <f t="shared" si="301"/>
        <v>#NUM!</v>
      </c>
      <c r="K1884" s="83" t="e">
        <f t="shared" si="302"/>
        <v>#NUM!</v>
      </c>
      <c r="L1884" s="83">
        <f t="shared" si="303"/>
        <v>0</v>
      </c>
      <c r="M1884" s="110" t="str">
        <f t="shared" si="304"/>
        <v/>
      </c>
      <c r="N1884" s="51" t="str">
        <f t="shared" si="305"/>
        <v/>
      </c>
      <c r="O1884" s="52" t="str">
        <f t="shared" si="306"/>
        <v/>
      </c>
      <c r="P1884" s="88">
        <f t="shared" si="307"/>
        <v>0</v>
      </c>
      <c r="Q1884" s="88">
        <f t="shared" si="308"/>
        <v>0</v>
      </c>
      <c r="R1884" s="88" t="e">
        <f>-IF(Tabla14[[#This Row],[DIAS HABILES O MORA]]&lt;0,(Tabla14[[#This Row],[VALOR PRESTAMO]]*Tabla14[[#This Row],[% INTERES ]]/30*U1884))+Tabla14[[#This Row],[VALOR CUOTAS]]</f>
        <v>#VALUE!</v>
      </c>
      <c r="S1884" s="88">
        <f>-IF(Tabla14[[#This Row],[DIAS HABILES O MORA]]&lt;0,(Tabla14[[#This Row],[VALOR PRESTAMO]]*Tabla14[[#This Row],[% INTERES ]]/30*U1884))</f>
        <v>0</v>
      </c>
      <c r="T1884" s="53" t="e">
        <f>Tabla14[[#This Row],[DEUDA CAPITAL]]+Tabla14[[#This Row],[INTERES  CUOTA]]</f>
        <v>#NUM!</v>
      </c>
      <c r="U1884" s="61" t="str">
        <f t="shared" si="309"/>
        <v/>
      </c>
    </row>
    <row r="1885" spans="9:21" ht="24.75" customHeight="1" x14ac:dyDescent="0.35">
      <c r="I1885" s="42">
        <f t="shared" si="300"/>
        <v>0</v>
      </c>
      <c r="J1885" s="65" t="e">
        <f t="shared" si="301"/>
        <v>#NUM!</v>
      </c>
      <c r="K1885" s="83" t="e">
        <f t="shared" si="302"/>
        <v>#NUM!</v>
      </c>
      <c r="L1885" s="83">
        <f t="shared" si="303"/>
        <v>0</v>
      </c>
      <c r="M1885" s="110" t="str">
        <f t="shared" si="304"/>
        <v/>
      </c>
      <c r="N1885" s="51" t="str">
        <f t="shared" si="305"/>
        <v/>
      </c>
      <c r="O1885" s="52" t="str">
        <f t="shared" si="306"/>
        <v/>
      </c>
      <c r="P1885" s="88">
        <f t="shared" si="307"/>
        <v>0</v>
      </c>
      <c r="Q1885" s="88">
        <f t="shared" si="308"/>
        <v>0</v>
      </c>
      <c r="R1885" s="88" t="e">
        <f>-IF(Tabla14[[#This Row],[DIAS HABILES O MORA]]&lt;0,(Tabla14[[#This Row],[VALOR PRESTAMO]]*Tabla14[[#This Row],[% INTERES ]]/30*U1885))+Tabla14[[#This Row],[VALOR CUOTAS]]</f>
        <v>#VALUE!</v>
      </c>
      <c r="S1885" s="88">
        <f>-IF(Tabla14[[#This Row],[DIAS HABILES O MORA]]&lt;0,(Tabla14[[#This Row],[VALOR PRESTAMO]]*Tabla14[[#This Row],[% INTERES ]]/30*U1885))</f>
        <v>0</v>
      </c>
      <c r="T1885" s="53" t="e">
        <f>Tabla14[[#This Row],[DEUDA CAPITAL]]+Tabla14[[#This Row],[INTERES  CUOTA]]</f>
        <v>#NUM!</v>
      </c>
      <c r="U1885" s="61" t="str">
        <f t="shared" si="309"/>
        <v/>
      </c>
    </row>
    <row r="1886" spans="9:21" ht="24.75" customHeight="1" x14ac:dyDescent="0.35">
      <c r="I1886" s="42">
        <f t="shared" si="300"/>
        <v>0</v>
      </c>
      <c r="J1886" s="65" t="e">
        <f t="shared" si="301"/>
        <v>#NUM!</v>
      </c>
      <c r="K1886" s="83" t="e">
        <f t="shared" si="302"/>
        <v>#NUM!</v>
      </c>
      <c r="L1886" s="83">
        <f t="shared" si="303"/>
        <v>0</v>
      </c>
      <c r="M1886" s="110" t="str">
        <f t="shared" si="304"/>
        <v/>
      </c>
      <c r="N1886" s="51" t="str">
        <f t="shared" si="305"/>
        <v/>
      </c>
      <c r="O1886" s="52" t="str">
        <f t="shared" si="306"/>
        <v/>
      </c>
      <c r="P1886" s="88">
        <f t="shared" si="307"/>
        <v>0</v>
      </c>
      <c r="Q1886" s="88">
        <f t="shared" si="308"/>
        <v>0</v>
      </c>
      <c r="R1886" s="88" t="e">
        <f>-IF(Tabla14[[#This Row],[DIAS HABILES O MORA]]&lt;0,(Tabla14[[#This Row],[VALOR PRESTAMO]]*Tabla14[[#This Row],[% INTERES ]]/30*U1886))+Tabla14[[#This Row],[VALOR CUOTAS]]</f>
        <v>#VALUE!</v>
      </c>
      <c r="S1886" s="88">
        <f>-IF(Tabla14[[#This Row],[DIAS HABILES O MORA]]&lt;0,(Tabla14[[#This Row],[VALOR PRESTAMO]]*Tabla14[[#This Row],[% INTERES ]]/30*U1886))</f>
        <v>0</v>
      </c>
      <c r="T1886" s="53" t="e">
        <f>Tabla14[[#This Row],[DEUDA CAPITAL]]+Tabla14[[#This Row],[INTERES  CUOTA]]</f>
        <v>#NUM!</v>
      </c>
      <c r="U1886" s="61" t="str">
        <f t="shared" si="309"/>
        <v/>
      </c>
    </row>
    <row r="1887" spans="9:21" ht="24.75" customHeight="1" x14ac:dyDescent="0.35">
      <c r="I1887" s="42">
        <f t="shared" si="300"/>
        <v>0</v>
      </c>
      <c r="J1887" s="65" t="e">
        <f t="shared" si="301"/>
        <v>#NUM!</v>
      </c>
      <c r="K1887" s="83" t="e">
        <f t="shared" si="302"/>
        <v>#NUM!</v>
      </c>
      <c r="L1887" s="83">
        <f t="shared" si="303"/>
        <v>0</v>
      </c>
      <c r="M1887" s="110" t="str">
        <f t="shared" si="304"/>
        <v/>
      </c>
      <c r="N1887" s="51" t="str">
        <f t="shared" si="305"/>
        <v/>
      </c>
      <c r="O1887" s="52" t="str">
        <f t="shared" si="306"/>
        <v/>
      </c>
      <c r="P1887" s="88">
        <f t="shared" si="307"/>
        <v>0</v>
      </c>
      <c r="Q1887" s="88">
        <f t="shared" si="308"/>
        <v>0</v>
      </c>
      <c r="R1887" s="88" t="e">
        <f>-IF(Tabla14[[#This Row],[DIAS HABILES O MORA]]&lt;0,(Tabla14[[#This Row],[VALOR PRESTAMO]]*Tabla14[[#This Row],[% INTERES ]]/30*U1887))+Tabla14[[#This Row],[VALOR CUOTAS]]</f>
        <v>#VALUE!</v>
      </c>
      <c r="S1887" s="88">
        <f>-IF(Tabla14[[#This Row],[DIAS HABILES O MORA]]&lt;0,(Tabla14[[#This Row],[VALOR PRESTAMO]]*Tabla14[[#This Row],[% INTERES ]]/30*U1887))</f>
        <v>0</v>
      </c>
      <c r="T1887" s="53" t="e">
        <f>Tabla14[[#This Row],[DEUDA CAPITAL]]+Tabla14[[#This Row],[INTERES  CUOTA]]</f>
        <v>#NUM!</v>
      </c>
      <c r="U1887" s="61" t="str">
        <f t="shared" si="309"/>
        <v/>
      </c>
    </row>
    <row r="1888" spans="9:21" ht="24.75" customHeight="1" x14ac:dyDescent="0.35">
      <c r="I1888" s="42">
        <f t="shared" si="300"/>
        <v>0</v>
      </c>
      <c r="J1888" s="65" t="e">
        <f t="shared" si="301"/>
        <v>#NUM!</v>
      </c>
      <c r="K1888" s="83" t="e">
        <f t="shared" si="302"/>
        <v>#NUM!</v>
      </c>
      <c r="L1888" s="83">
        <f t="shared" si="303"/>
        <v>0</v>
      </c>
      <c r="M1888" s="110" t="str">
        <f t="shared" si="304"/>
        <v/>
      </c>
      <c r="N1888" s="51" t="str">
        <f t="shared" si="305"/>
        <v/>
      </c>
      <c r="O1888" s="52" t="str">
        <f t="shared" si="306"/>
        <v/>
      </c>
      <c r="P1888" s="88">
        <f t="shared" si="307"/>
        <v>0</v>
      </c>
      <c r="Q1888" s="88">
        <f t="shared" si="308"/>
        <v>0</v>
      </c>
      <c r="R1888" s="88" t="e">
        <f>-IF(Tabla14[[#This Row],[DIAS HABILES O MORA]]&lt;0,(Tabla14[[#This Row],[VALOR PRESTAMO]]*Tabla14[[#This Row],[% INTERES ]]/30*U1888))+Tabla14[[#This Row],[VALOR CUOTAS]]</f>
        <v>#VALUE!</v>
      </c>
      <c r="S1888" s="88">
        <f>-IF(Tabla14[[#This Row],[DIAS HABILES O MORA]]&lt;0,(Tabla14[[#This Row],[VALOR PRESTAMO]]*Tabla14[[#This Row],[% INTERES ]]/30*U1888))</f>
        <v>0</v>
      </c>
      <c r="T1888" s="53" t="e">
        <f>Tabla14[[#This Row],[DEUDA CAPITAL]]+Tabla14[[#This Row],[INTERES  CUOTA]]</f>
        <v>#NUM!</v>
      </c>
      <c r="U1888" s="61" t="str">
        <f t="shared" si="309"/>
        <v/>
      </c>
    </row>
    <row r="1889" spans="9:21" ht="24.75" customHeight="1" x14ac:dyDescent="0.35">
      <c r="I1889" s="42">
        <f t="shared" si="300"/>
        <v>0</v>
      </c>
      <c r="J1889" s="65" t="e">
        <f t="shared" si="301"/>
        <v>#NUM!</v>
      </c>
      <c r="K1889" s="83" t="e">
        <f t="shared" si="302"/>
        <v>#NUM!</v>
      </c>
      <c r="L1889" s="83">
        <f t="shared" si="303"/>
        <v>0</v>
      </c>
      <c r="M1889" s="110" t="str">
        <f t="shared" si="304"/>
        <v/>
      </c>
      <c r="N1889" s="51" t="str">
        <f t="shared" si="305"/>
        <v/>
      </c>
      <c r="O1889" s="52" t="str">
        <f t="shared" si="306"/>
        <v/>
      </c>
      <c r="P1889" s="88">
        <f t="shared" si="307"/>
        <v>0</v>
      </c>
      <c r="Q1889" s="88">
        <f t="shared" si="308"/>
        <v>0</v>
      </c>
      <c r="R1889" s="88" t="e">
        <f>-IF(Tabla14[[#This Row],[DIAS HABILES O MORA]]&lt;0,(Tabla14[[#This Row],[VALOR PRESTAMO]]*Tabla14[[#This Row],[% INTERES ]]/30*U1889))+Tabla14[[#This Row],[VALOR CUOTAS]]</f>
        <v>#VALUE!</v>
      </c>
      <c r="S1889" s="88">
        <f>-IF(Tabla14[[#This Row],[DIAS HABILES O MORA]]&lt;0,(Tabla14[[#This Row],[VALOR PRESTAMO]]*Tabla14[[#This Row],[% INTERES ]]/30*U1889))</f>
        <v>0</v>
      </c>
      <c r="T1889" s="53" t="e">
        <f>Tabla14[[#This Row],[DEUDA CAPITAL]]+Tabla14[[#This Row],[INTERES  CUOTA]]</f>
        <v>#NUM!</v>
      </c>
      <c r="U1889" s="61" t="str">
        <f t="shared" si="309"/>
        <v/>
      </c>
    </row>
    <row r="1890" spans="9:21" ht="24.75" customHeight="1" x14ac:dyDescent="0.35">
      <c r="I1890" s="42">
        <f t="shared" si="300"/>
        <v>0</v>
      </c>
      <c r="J1890" s="65" t="e">
        <f t="shared" si="301"/>
        <v>#NUM!</v>
      </c>
      <c r="K1890" s="83" t="e">
        <f t="shared" si="302"/>
        <v>#NUM!</v>
      </c>
      <c r="L1890" s="83">
        <f t="shared" si="303"/>
        <v>0</v>
      </c>
      <c r="M1890" s="110" t="str">
        <f t="shared" si="304"/>
        <v/>
      </c>
      <c r="N1890" s="51" t="str">
        <f t="shared" si="305"/>
        <v/>
      </c>
      <c r="O1890" s="52" t="str">
        <f t="shared" si="306"/>
        <v/>
      </c>
      <c r="P1890" s="88">
        <f t="shared" si="307"/>
        <v>0</v>
      </c>
      <c r="Q1890" s="88">
        <f t="shared" si="308"/>
        <v>0</v>
      </c>
      <c r="R1890" s="88" t="e">
        <f>-IF(Tabla14[[#This Row],[DIAS HABILES O MORA]]&lt;0,(Tabla14[[#This Row],[VALOR PRESTAMO]]*Tabla14[[#This Row],[% INTERES ]]/30*U1890))+Tabla14[[#This Row],[VALOR CUOTAS]]</f>
        <v>#VALUE!</v>
      </c>
      <c r="S1890" s="88">
        <f>-IF(Tabla14[[#This Row],[DIAS HABILES O MORA]]&lt;0,(Tabla14[[#This Row],[VALOR PRESTAMO]]*Tabla14[[#This Row],[% INTERES ]]/30*U1890))</f>
        <v>0</v>
      </c>
      <c r="T1890" s="53" t="e">
        <f>Tabla14[[#This Row],[DEUDA CAPITAL]]+Tabla14[[#This Row],[INTERES  CUOTA]]</f>
        <v>#NUM!</v>
      </c>
      <c r="U1890" s="61" t="str">
        <f t="shared" si="309"/>
        <v/>
      </c>
    </row>
    <row r="1891" spans="9:21" ht="24.75" customHeight="1" x14ac:dyDescent="0.35">
      <c r="I1891" s="42">
        <f t="shared" si="300"/>
        <v>0</v>
      </c>
      <c r="J1891" s="65" t="e">
        <f t="shared" si="301"/>
        <v>#NUM!</v>
      </c>
      <c r="K1891" s="83" t="e">
        <f t="shared" si="302"/>
        <v>#NUM!</v>
      </c>
      <c r="L1891" s="83">
        <f t="shared" si="303"/>
        <v>0</v>
      </c>
      <c r="M1891" s="110" t="str">
        <f t="shared" si="304"/>
        <v/>
      </c>
      <c r="N1891" s="51" t="str">
        <f t="shared" si="305"/>
        <v/>
      </c>
      <c r="O1891" s="52" t="str">
        <f t="shared" si="306"/>
        <v/>
      </c>
      <c r="P1891" s="88">
        <f t="shared" si="307"/>
        <v>0</v>
      </c>
      <c r="Q1891" s="88">
        <f t="shared" si="308"/>
        <v>0</v>
      </c>
      <c r="R1891" s="88" t="e">
        <f>-IF(Tabla14[[#This Row],[DIAS HABILES O MORA]]&lt;0,(Tabla14[[#This Row],[VALOR PRESTAMO]]*Tabla14[[#This Row],[% INTERES ]]/30*U1891))+Tabla14[[#This Row],[VALOR CUOTAS]]</f>
        <v>#VALUE!</v>
      </c>
      <c r="S1891" s="88">
        <f>-IF(Tabla14[[#This Row],[DIAS HABILES O MORA]]&lt;0,(Tabla14[[#This Row],[VALOR PRESTAMO]]*Tabla14[[#This Row],[% INTERES ]]/30*U1891))</f>
        <v>0</v>
      </c>
      <c r="T1891" s="53" t="e">
        <f>Tabla14[[#This Row],[DEUDA CAPITAL]]+Tabla14[[#This Row],[INTERES  CUOTA]]</f>
        <v>#NUM!</v>
      </c>
      <c r="U1891" s="61" t="str">
        <f t="shared" si="309"/>
        <v/>
      </c>
    </row>
    <row r="1892" spans="9:21" ht="24.75" customHeight="1" x14ac:dyDescent="0.35">
      <c r="I1892" s="42">
        <f t="shared" si="300"/>
        <v>0</v>
      </c>
      <c r="J1892" s="65" t="e">
        <f t="shared" si="301"/>
        <v>#NUM!</v>
      </c>
      <c r="K1892" s="83" t="e">
        <f t="shared" si="302"/>
        <v>#NUM!</v>
      </c>
      <c r="L1892" s="83">
        <f t="shared" si="303"/>
        <v>0</v>
      </c>
      <c r="M1892" s="110" t="str">
        <f t="shared" si="304"/>
        <v/>
      </c>
      <c r="N1892" s="51" t="str">
        <f t="shared" si="305"/>
        <v/>
      </c>
      <c r="O1892" s="52" t="str">
        <f t="shared" si="306"/>
        <v/>
      </c>
      <c r="P1892" s="88">
        <f t="shared" si="307"/>
        <v>0</v>
      </c>
      <c r="Q1892" s="88">
        <f t="shared" si="308"/>
        <v>0</v>
      </c>
      <c r="R1892" s="88" t="e">
        <f>-IF(Tabla14[[#This Row],[DIAS HABILES O MORA]]&lt;0,(Tabla14[[#This Row],[VALOR PRESTAMO]]*Tabla14[[#This Row],[% INTERES ]]/30*U1892))+Tabla14[[#This Row],[VALOR CUOTAS]]</f>
        <v>#VALUE!</v>
      </c>
      <c r="S1892" s="88">
        <f>-IF(Tabla14[[#This Row],[DIAS HABILES O MORA]]&lt;0,(Tabla14[[#This Row],[VALOR PRESTAMO]]*Tabla14[[#This Row],[% INTERES ]]/30*U1892))</f>
        <v>0</v>
      </c>
      <c r="T1892" s="53" t="e">
        <f>Tabla14[[#This Row],[DEUDA CAPITAL]]+Tabla14[[#This Row],[INTERES  CUOTA]]</f>
        <v>#NUM!</v>
      </c>
      <c r="U1892" s="61" t="str">
        <f t="shared" si="309"/>
        <v/>
      </c>
    </row>
    <row r="1893" spans="9:21" ht="24.75" customHeight="1" x14ac:dyDescent="0.35">
      <c r="I1893" s="42">
        <f t="shared" si="300"/>
        <v>0</v>
      </c>
      <c r="J1893" s="65" t="e">
        <f t="shared" si="301"/>
        <v>#NUM!</v>
      </c>
      <c r="K1893" s="83" t="e">
        <f t="shared" si="302"/>
        <v>#NUM!</v>
      </c>
      <c r="L1893" s="83">
        <f t="shared" si="303"/>
        <v>0</v>
      </c>
      <c r="M1893" s="110" t="str">
        <f t="shared" si="304"/>
        <v/>
      </c>
      <c r="N1893" s="51" t="str">
        <f t="shared" si="305"/>
        <v/>
      </c>
      <c r="O1893" s="52" t="str">
        <f t="shared" si="306"/>
        <v/>
      </c>
      <c r="P1893" s="88">
        <f t="shared" si="307"/>
        <v>0</v>
      </c>
      <c r="Q1893" s="88">
        <f t="shared" si="308"/>
        <v>0</v>
      </c>
      <c r="R1893" s="88" t="e">
        <f>-IF(Tabla14[[#This Row],[DIAS HABILES O MORA]]&lt;0,(Tabla14[[#This Row],[VALOR PRESTAMO]]*Tabla14[[#This Row],[% INTERES ]]/30*U1893))+Tabla14[[#This Row],[VALOR CUOTAS]]</f>
        <v>#VALUE!</v>
      </c>
      <c r="S1893" s="88">
        <f>-IF(Tabla14[[#This Row],[DIAS HABILES O MORA]]&lt;0,(Tabla14[[#This Row],[VALOR PRESTAMO]]*Tabla14[[#This Row],[% INTERES ]]/30*U1893))</f>
        <v>0</v>
      </c>
      <c r="T1893" s="53" t="e">
        <f>Tabla14[[#This Row],[DEUDA CAPITAL]]+Tabla14[[#This Row],[INTERES  CUOTA]]</f>
        <v>#NUM!</v>
      </c>
      <c r="U1893" s="61" t="str">
        <f t="shared" si="309"/>
        <v/>
      </c>
    </row>
    <row r="1894" spans="9:21" ht="24.75" customHeight="1" x14ac:dyDescent="0.35">
      <c r="I1894" s="42">
        <f t="shared" si="300"/>
        <v>0</v>
      </c>
      <c r="J1894" s="65" t="e">
        <f t="shared" si="301"/>
        <v>#NUM!</v>
      </c>
      <c r="K1894" s="83" t="e">
        <f t="shared" si="302"/>
        <v>#NUM!</v>
      </c>
      <c r="L1894" s="83">
        <f t="shared" si="303"/>
        <v>0</v>
      </c>
      <c r="M1894" s="110" t="str">
        <f t="shared" si="304"/>
        <v/>
      </c>
      <c r="N1894" s="51" t="str">
        <f t="shared" si="305"/>
        <v/>
      </c>
      <c r="O1894" s="52" t="str">
        <f t="shared" si="306"/>
        <v/>
      </c>
      <c r="P1894" s="88">
        <f t="shared" si="307"/>
        <v>0</v>
      </c>
      <c r="Q1894" s="88">
        <f t="shared" si="308"/>
        <v>0</v>
      </c>
      <c r="R1894" s="88" t="e">
        <f>-IF(Tabla14[[#This Row],[DIAS HABILES O MORA]]&lt;0,(Tabla14[[#This Row],[VALOR PRESTAMO]]*Tabla14[[#This Row],[% INTERES ]]/30*U1894))+Tabla14[[#This Row],[VALOR CUOTAS]]</f>
        <v>#VALUE!</v>
      </c>
      <c r="S1894" s="88">
        <f>-IF(Tabla14[[#This Row],[DIAS HABILES O MORA]]&lt;0,(Tabla14[[#This Row],[VALOR PRESTAMO]]*Tabla14[[#This Row],[% INTERES ]]/30*U1894))</f>
        <v>0</v>
      </c>
      <c r="T1894" s="53" t="e">
        <f>Tabla14[[#This Row],[DEUDA CAPITAL]]+Tabla14[[#This Row],[INTERES  CUOTA]]</f>
        <v>#NUM!</v>
      </c>
      <c r="U1894" s="61" t="str">
        <f t="shared" si="309"/>
        <v/>
      </c>
    </row>
    <row r="1895" spans="9:21" ht="24.75" customHeight="1" x14ac:dyDescent="0.35">
      <c r="I1895" s="42">
        <f t="shared" si="300"/>
        <v>0</v>
      </c>
      <c r="J1895" s="65" t="e">
        <f t="shared" si="301"/>
        <v>#NUM!</v>
      </c>
      <c r="K1895" s="83" t="e">
        <f t="shared" si="302"/>
        <v>#NUM!</v>
      </c>
      <c r="L1895" s="83">
        <f t="shared" si="303"/>
        <v>0</v>
      </c>
      <c r="M1895" s="110" t="str">
        <f t="shared" si="304"/>
        <v/>
      </c>
      <c r="N1895" s="51" t="str">
        <f t="shared" si="305"/>
        <v/>
      </c>
      <c r="O1895" s="52" t="str">
        <f t="shared" si="306"/>
        <v/>
      </c>
      <c r="P1895" s="88">
        <f t="shared" si="307"/>
        <v>0</v>
      </c>
      <c r="Q1895" s="88">
        <f t="shared" si="308"/>
        <v>0</v>
      </c>
      <c r="R1895" s="88" t="e">
        <f>-IF(Tabla14[[#This Row],[DIAS HABILES O MORA]]&lt;0,(Tabla14[[#This Row],[VALOR PRESTAMO]]*Tabla14[[#This Row],[% INTERES ]]/30*U1895))+Tabla14[[#This Row],[VALOR CUOTAS]]</f>
        <v>#VALUE!</v>
      </c>
      <c r="S1895" s="88">
        <f>-IF(Tabla14[[#This Row],[DIAS HABILES O MORA]]&lt;0,(Tabla14[[#This Row],[VALOR PRESTAMO]]*Tabla14[[#This Row],[% INTERES ]]/30*U1895))</f>
        <v>0</v>
      </c>
      <c r="T1895" s="53" t="e">
        <f>Tabla14[[#This Row],[DEUDA CAPITAL]]+Tabla14[[#This Row],[INTERES  CUOTA]]</f>
        <v>#NUM!</v>
      </c>
      <c r="U1895" s="61" t="str">
        <f t="shared" si="309"/>
        <v/>
      </c>
    </row>
    <row r="1896" spans="9:21" ht="24.75" customHeight="1" x14ac:dyDescent="0.35">
      <c r="I1896" s="42">
        <f t="shared" si="300"/>
        <v>0</v>
      </c>
      <c r="J1896" s="65" t="e">
        <f t="shared" si="301"/>
        <v>#NUM!</v>
      </c>
      <c r="K1896" s="83" t="e">
        <f t="shared" si="302"/>
        <v>#NUM!</v>
      </c>
      <c r="L1896" s="83">
        <f t="shared" si="303"/>
        <v>0</v>
      </c>
      <c r="M1896" s="110" t="str">
        <f t="shared" si="304"/>
        <v/>
      </c>
      <c r="N1896" s="51" t="str">
        <f t="shared" si="305"/>
        <v/>
      </c>
      <c r="O1896" s="52" t="str">
        <f t="shared" si="306"/>
        <v/>
      </c>
      <c r="P1896" s="88">
        <f t="shared" si="307"/>
        <v>0</v>
      </c>
      <c r="Q1896" s="88">
        <f t="shared" si="308"/>
        <v>0</v>
      </c>
      <c r="R1896" s="88" t="e">
        <f>-IF(Tabla14[[#This Row],[DIAS HABILES O MORA]]&lt;0,(Tabla14[[#This Row],[VALOR PRESTAMO]]*Tabla14[[#This Row],[% INTERES ]]/30*U1896))+Tabla14[[#This Row],[VALOR CUOTAS]]</f>
        <v>#VALUE!</v>
      </c>
      <c r="S1896" s="88">
        <f>-IF(Tabla14[[#This Row],[DIAS HABILES O MORA]]&lt;0,(Tabla14[[#This Row],[VALOR PRESTAMO]]*Tabla14[[#This Row],[% INTERES ]]/30*U1896))</f>
        <v>0</v>
      </c>
      <c r="T1896" s="53" t="e">
        <f>Tabla14[[#This Row],[DEUDA CAPITAL]]+Tabla14[[#This Row],[INTERES  CUOTA]]</f>
        <v>#NUM!</v>
      </c>
      <c r="U1896" s="61" t="str">
        <f t="shared" si="309"/>
        <v/>
      </c>
    </row>
    <row r="1897" spans="9:21" ht="24.75" customHeight="1" x14ac:dyDescent="0.35">
      <c r="I1897" s="42">
        <f t="shared" si="300"/>
        <v>0</v>
      </c>
      <c r="J1897" s="65" t="e">
        <f t="shared" si="301"/>
        <v>#NUM!</v>
      </c>
      <c r="K1897" s="83" t="e">
        <f t="shared" si="302"/>
        <v>#NUM!</v>
      </c>
      <c r="L1897" s="83">
        <f t="shared" si="303"/>
        <v>0</v>
      </c>
      <c r="M1897" s="110" t="str">
        <f t="shared" si="304"/>
        <v/>
      </c>
      <c r="N1897" s="51" t="str">
        <f t="shared" si="305"/>
        <v/>
      </c>
      <c r="O1897" s="52" t="str">
        <f t="shared" si="306"/>
        <v/>
      </c>
      <c r="P1897" s="88">
        <f t="shared" si="307"/>
        <v>0</v>
      </c>
      <c r="Q1897" s="88">
        <f t="shared" si="308"/>
        <v>0</v>
      </c>
      <c r="R1897" s="88" t="e">
        <f>-IF(Tabla14[[#This Row],[DIAS HABILES O MORA]]&lt;0,(Tabla14[[#This Row],[VALOR PRESTAMO]]*Tabla14[[#This Row],[% INTERES ]]/30*U1897))+Tabla14[[#This Row],[VALOR CUOTAS]]</f>
        <v>#VALUE!</v>
      </c>
      <c r="S1897" s="88">
        <f>-IF(Tabla14[[#This Row],[DIAS HABILES O MORA]]&lt;0,(Tabla14[[#This Row],[VALOR PRESTAMO]]*Tabla14[[#This Row],[% INTERES ]]/30*U1897))</f>
        <v>0</v>
      </c>
      <c r="T1897" s="53" t="e">
        <f>Tabla14[[#This Row],[DEUDA CAPITAL]]+Tabla14[[#This Row],[INTERES  CUOTA]]</f>
        <v>#NUM!</v>
      </c>
      <c r="U1897" s="61" t="str">
        <f t="shared" si="309"/>
        <v/>
      </c>
    </row>
    <row r="1898" spans="9:21" ht="24.75" customHeight="1" x14ac:dyDescent="0.35">
      <c r="I1898" s="42">
        <f t="shared" si="300"/>
        <v>0</v>
      </c>
      <c r="J1898" s="65" t="e">
        <f t="shared" si="301"/>
        <v>#NUM!</v>
      </c>
      <c r="K1898" s="83" t="e">
        <f t="shared" si="302"/>
        <v>#NUM!</v>
      </c>
      <c r="L1898" s="83">
        <f t="shared" si="303"/>
        <v>0</v>
      </c>
      <c r="M1898" s="110" t="str">
        <f t="shared" si="304"/>
        <v/>
      </c>
      <c r="N1898" s="51" t="str">
        <f t="shared" si="305"/>
        <v/>
      </c>
      <c r="O1898" s="52" t="str">
        <f t="shared" si="306"/>
        <v/>
      </c>
      <c r="P1898" s="88">
        <f t="shared" si="307"/>
        <v>0</v>
      </c>
      <c r="Q1898" s="88">
        <f t="shared" si="308"/>
        <v>0</v>
      </c>
      <c r="R1898" s="88" t="e">
        <f>-IF(Tabla14[[#This Row],[DIAS HABILES O MORA]]&lt;0,(Tabla14[[#This Row],[VALOR PRESTAMO]]*Tabla14[[#This Row],[% INTERES ]]/30*U1898))+Tabla14[[#This Row],[VALOR CUOTAS]]</f>
        <v>#VALUE!</v>
      </c>
      <c r="S1898" s="88">
        <f>-IF(Tabla14[[#This Row],[DIAS HABILES O MORA]]&lt;0,(Tabla14[[#This Row],[VALOR PRESTAMO]]*Tabla14[[#This Row],[% INTERES ]]/30*U1898))</f>
        <v>0</v>
      </c>
      <c r="T1898" s="53" t="e">
        <f>Tabla14[[#This Row],[DEUDA CAPITAL]]+Tabla14[[#This Row],[INTERES  CUOTA]]</f>
        <v>#NUM!</v>
      </c>
      <c r="U1898" s="61" t="str">
        <f t="shared" si="309"/>
        <v/>
      </c>
    </row>
    <row r="1899" spans="9:21" ht="24.75" customHeight="1" x14ac:dyDescent="0.35">
      <c r="I1899" s="42">
        <f t="shared" si="300"/>
        <v>0</v>
      </c>
      <c r="J1899" s="65" t="e">
        <f t="shared" si="301"/>
        <v>#NUM!</v>
      </c>
      <c r="K1899" s="83" t="e">
        <f t="shared" si="302"/>
        <v>#NUM!</v>
      </c>
      <c r="L1899" s="83">
        <f t="shared" si="303"/>
        <v>0</v>
      </c>
      <c r="M1899" s="110" t="str">
        <f t="shared" si="304"/>
        <v/>
      </c>
      <c r="N1899" s="51" t="str">
        <f t="shared" si="305"/>
        <v/>
      </c>
      <c r="O1899" s="52" t="str">
        <f t="shared" si="306"/>
        <v/>
      </c>
      <c r="P1899" s="88">
        <f t="shared" si="307"/>
        <v>0</v>
      </c>
      <c r="Q1899" s="88">
        <f t="shared" si="308"/>
        <v>0</v>
      </c>
      <c r="R1899" s="88" t="e">
        <f>-IF(Tabla14[[#This Row],[DIAS HABILES O MORA]]&lt;0,(Tabla14[[#This Row],[VALOR PRESTAMO]]*Tabla14[[#This Row],[% INTERES ]]/30*U1899))+Tabla14[[#This Row],[VALOR CUOTAS]]</f>
        <v>#VALUE!</v>
      </c>
      <c r="S1899" s="88">
        <f>-IF(Tabla14[[#This Row],[DIAS HABILES O MORA]]&lt;0,(Tabla14[[#This Row],[VALOR PRESTAMO]]*Tabla14[[#This Row],[% INTERES ]]/30*U1899))</f>
        <v>0</v>
      </c>
      <c r="T1899" s="53" t="e">
        <f>Tabla14[[#This Row],[DEUDA CAPITAL]]+Tabla14[[#This Row],[INTERES  CUOTA]]</f>
        <v>#NUM!</v>
      </c>
      <c r="U1899" s="61" t="str">
        <f t="shared" si="309"/>
        <v/>
      </c>
    </row>
    <row r="1900" spans="9:21" ht="24.75" customHeight="1" x14ac:dyDescent="0.35">
      <c r="I1900" s="42">
        <f t="shared" si="300"/>
        <v>0</v>
      </c>
      <c r="J1900" s="65" t="e">
        <f t="shared" si="301"/>
        <v>#NUM!</v>
      </c>
      <c r="K1900" s="83" t="e">
        <f t="shared" si="302"/>
        <v>#NUM!</v>
      </c>
      <c r="L1900" s="83">
        <f t="shared" si="303"/>
        <v>0</v>
      </c>
      <c r="M1900" s="110" t="str">
        <f t="shared" si="304"/>
        <v/>
      </c>
      <c r="N1900" s="51" t="str">
        <f t="shared" si="305"/>
        <v/>
      </c>
      <c r="O1900" s="52" t="str">
        <f t="shared" si="306"/>
        <v/>
      </c>
      <c r="P1900" s="88">
        <f t="shared" si="307"/>
        <v>0</v>
      </c>
      <c r="Q1900" s="88">
        <f t="shared" si="308"/>
        <v>0</v>
      </c>
      <c r="R1900" s="88" t="e">
        <f>-IF(Tabla14[[#This Row],[DIAS HABILES O MORA]]&lt;0,(Tabla14[[#This Row],[VALOR PRESTAMO]]*Tabla14[[#This Row],[% INTERES ]]/30*U1900))+Tabla14[[#This Row],[VALOR CUOTAS]]</f>
        <v>#VALUE!</v>
      </c>
      <c r="S1900" s="88">
        <f>-IF(Tabla14[[#This Row],[DIAS HABILES O MORA]]&lt;0,(Tabla14[[#This Row],[VALOR PRESTAMO]]*Tabla14[[#This Row],[% INTERES ]]/30*U1900))</f>
        <v>0</v>
      </c>
      <c r="T1900" s="53" t="e">
        <f>Tabla14[[#This Row],[DEUDA CAPITAL]]+Tabla14[[#This Row],[INTERES  CUOTA]]</f>
        <v>#NUM!</v>
      </c>
      <c r="U1900" s="61" t="str">
        <f t="shared" si="309"/>
        <v/>
      </c>
    </row>
    <row r="1901" spans="9:21" ht="24.75" customHeight="1" x14ac:dyDescent="0.35">
      <c r="I1901" s="42">
        <f t="shared" si="300"/>
        <v>0</v>
      </c>
      <c r="J1901" s="65" t="e">
        <f t="shared" si="301"/>
        <v>#NUM!</v>
      </c>
      <c r="K1901" s="83" t="e">
        <f t="shared" si="302"/>
        <v>#NUM!</v>
      </c>
      <c r="L1901" s="83">
        <f t="shared" si="303"/>
        <v>0</v>
      </c>
      <c r="M1901" s="110" t="str">
        <f t="shared" si="304"/>
        <v/>
      </c>
      <c r="N1901" s="51" t="str">
        <f t="shared" si="305"/>
        <v/>
      </c>
      <c r="O1901" s="52" t="str">
        <f t="shared" si="306"/>
        <v/>
      </c>
      <c r="P1901" s="88">
        <f t="shared" si="307"/>
        <v>0</v>
      </c>
      <c r="Q1901" s="88">
        <f t="shared" si="308"/>
        <v>0</v>
      </c>
      <c r="R1901" s="88" t="e">
        <f>-IF(Tabla14[[#This Row],[DIAS HABILES O MORA]]&lt;0,(Tabla14[[#This Row],[VALOR PRESTAMO]]*Tabla14[[#This Row],[% INTERES ]]/30*U1901))+Tabla14[[#This Row],[VALOR CUOTAS]]</f>
        <v>#VALUE!</v>
      </c>
      <c r="S1901" s="88">
        <f>-IF(Tabla14[[#This Row],[DIAS HABILES O MORA]]&lt;0,(Tabla14[[#This Row],[VALOR PRESTAMO]]*Tabla14[[#This Row],[% INTERES ]]/30*U1901))</f>
        <v>0</v>
      </c>
      <c r="T1901" s="53" t="e">
        <f>Tabla14[[#This Row],[DEUDA CAPITAL]]+Tabla14[[#This Row],[INTERES  CUOTA]]</f>
        <v>#NUM!</v>
      </c>
      <c r="U1901" s="61" t="str">
        <f t="shared" si="309"/>
        <v/>
      </c>
    </row>
    <row r="1902" spans="9:21" ht="24.75" customHeight="1" x14ac:dyDescent="0.35">
      <c r="I1902" s="42">
        <f t="shared" si="300"/>
        <v>0</v>
      </c>
      <c r="J1902" s="65" t="e">
        <f t="shared" si="301"/>
        <v>#NUM!</v>
      </c>
      <c r="K1902" s="83" t="e">
        <f t="shared" si="302"/>
        <v>#NUM!</v>
      </c>
      <c r="L1902" s="83">
        <f t="shared" si="303"/>
        <v>0</v>
      </c>
      <c r="M1902" s="110" t="str">
        <f t="shared" si="304"/>
        <v/>
      </c>
      <c r="N1902" s="51" t="str">
        <f t="shared" si="305"/>
        <v/>
      </c>
      <c r="O1902" s="52" t="str">
        <f t="shared" si="306"/>
        <v/>
      </c>
      <c r="P1902" s="88">
        <f t="shared" si="307"/>
        <v>0</v>
      </c>
      <c r="Q1902" s="88">
        <f t="shared" si="308"/>
        <v>0</v>
      </c>
      <c r="R1902" s="88" t="e">
        <f>-IF(Tabla14[[#This Row],[DIAS HABILES O MORA]]&lt;0,(Tabla14[[#This Row],[VALOR PRESTAMO]]*Tabla14[[#This Row],[% INTERES ]]/30*U1902))+Tabla14[[#This Row],[VALOR CUOTAS]]</f>
        <v>#VALUE!</v>
      </c>
      <c r="S1902" s="88">
        <f>-IF(Tabla14[[#This Row],[DIAS HABILES O MORA]]&lt;0,(Tabla14[[#This Row],[VALOR PRESTAMO]]*Tabla14[[#This Row],[% INTERES ]]/30*U1902))</f>
        <v>0</v>
      </c>
      <c r="T1902" s="53" t="e">
        <f>Tabla14[[#This Row],[DEUDA CAPITAL]]+Tabla14[[#This Row],[INTERES  CUOTA]]</f>
        <v>#NUM!</v>
      </c>
      <c r="U1902" s="61" t="str">
        <f t="shared" si="309"/>
        <v/>
      </c>
    </row>
    <row r="1903" spans="9:21" ht="24.75" customHeight="1" x14ac:dyDescent="0.35">
      <c r="I1903" s="42">
        <f t="shared" si="300"/>
        <v>0</v>
      </c>
      <c r="J1903" s="65" t="e">
        <f t="shared" si="301"/>
        <v>#NUM!</v>
      </c>
      <c r="K1903" s="83" t="e">
        <f t="shared" si="302"/>
        <v>#NUM!</v>
      </c>
      <c r="L1903" s="83">
        <f t="shared" si="303"/>
        <v>0</v>
      </c>
      <c r="M1903" s="110" t="str">
        <f t="shared" si="304"/>
        <v/>
      </c>
      <c r="N1903" s="51" t="str">
        <f t="shared" si="305"/>
        <v/>
      </c>
      <c r="O1903" s="52" t="str">
        <f t="shared" si="306"/>
        <v/>
      </c>
      <c r="P1903" s="88">
        <f t="shared" si="307"/>
        <v>0</v>
      </c>
      <c r="Q1903" s="88">
        <f t="shared" si="308"/>
        <v>0</v>
      </c>
      <c r="R1903" s="88" t="e">
        <f>-IF(Tabla14[[#This Row],[DIAS HABILES O MORA]]&lt;0,(Tabla14[[#This Row],[VALOR PRESTAMO]]*Tabla14[[#This Row],[% INTERES ]]/30*U1903))+Tabla14[[#This Row],[VALOR CUOTAS]]</f>
        <v>#VALUE!</v>
      </c>
      <c r="S1903" s="88">
        <f>-IF(Tabla14[[#This Row],[DIAS HABILES O MORA]]&lt;0,(Tabla14[[#This Row],[VALOR PRESTAMO]]*Tabla14[[#This Row],[% INTERES ]]/30*U1903))</f>
        <v>0</v>
      </c>
      <c r="T1903" s="53" t="e">
        <f>Tabla14[[#This Row],[DEUDA CAPITAL]]+Tabla14[[#This Row],[INTERES  CUOTA]]</f>
        <v>#NUM!</v>
      </c>
      <c r="U1903" s="61" t="str">
        <f t="shared" si="309"/>
        <v/>
      </c>
    </row>
    <row r="1904" spans="9:21" ht="24.75" customHeight="1" x14ac:dyDescent="0.35">
      <c r="I1904" s="42">
        <f t="shared" si="300"/>
        <v>0</v>
      </c>
      <c r="J1904" s="65" t="e">
        <f t="shared" si="301"/>
        <v>#NUM!</v>
      </c>
      <c r="K1904" s="83" t="e">
        <f t="shared" si="302"/>
        <v>#NUM!</v>
      </c>
      <c r="L1904" s="83">
        <f t="shared" si="303"/>
        <v>0</v>
      </c>
      <c r="M1904" s="110" t="str">
        <f t="shared" si="304"/>
        <v/>
      </c>
      <c r="N1904" s="51" t="str">
        <f t="shared" si="305"/>
        <v/>
      </c>
      <c r="O1904" s="52" t="str">
        <f t="shared" si="306"/>
        <v/>
      </c>
      <c r="P1904" s="88">
        <f t="shared" si="307"/>
        <v>0</v>
      </c>
      <c r="Q1904" s="88">
        <f t="shared" si="308"/>
        <v>0</v>
      </c>
      <c r="R1904" s="88" t="e">
        <f>-IF(Tabla14[[#This Row],[DIAS HABILES O MORA]]&lt;0,(Tabla14[[#This Row],[VALOR PRESTAMO]]*Tabla14[[#This Row],[% INTERES ]]/30*U1904))+Tabla14[[#This Row],[VALOR CUOTAS]]</f>
        <v>#VALUE!</v>
      </c>
      <c r="S1904" s="88">
        <f>-IF(Tabla14[[#This Row],[DIAS HABILES O MORA]]&lt;0,(Tabla14[[#This Row],[VALOR PRESTAMO]]*Tabla14[[#This Row],[% INTERES ]]/30*U1904))</f>
        <v>0</v>
      </c>
      <c r="T1904" s="53" t="e">
        <f>Tabla14[[#This Row],[DEUDA CAPITAL]]+Tabla14[[#This Row],[INTERES  CUOTA]]</f>
        <v>#NUM!</v>
      </c>
      <c r="U1904" s="61" t="str">
        <f t="shared" si="309"/>
        <v/>
      </c>
    </row>
    <row r="1905" spans="9:21" ht="24.75" customHeight="1" x14ac:dyDescent="0.35">
      <c r="I1905" s="42">
        <f t="shared" si="300"/>
        <v>0</v>
      </c>
      <c r="J1905" s="65" t="e">
        <f t="shared" si="301"/>
        <v>#NUM!</v>
      </c>
      <c r="K1905" s="83" t="e">
        <f t="shared" si="302"/>
        <v>#NUM!</v>
      </c>
      <c r="L1905" s="83">
        <f t="shared" si="303"/>
        <v>0</v>
      </c>
      <c r="M1905" s="110" t="str">
        <f t="shared" si="304"/>
        <v/>
      </c>
      <c r="N1905" s="51" t="str">
        <f t="shared" si="305"/>
        <v/>
      </c>
      <c r="O1905" s="52" t="str">
        <f t="shared" si="306"/>
        <v/>
      </c>
      <c r="P1905" s="88">
        <f t="shared" si="307"/>
        <v>0</v>
      </c>
      <c r="Q1905" s="88">
        <f t="shared" si="308"/>
        <v>0</v>
      </c>
      <c r="R1905" s="88" t="e">
        <f>-IF(Tabla14[[#This Row],[DIAS HABILES O MORA]]&lt;0,(Tabla14[[#This Row],[VALOR PRESTAMO]]*Tabla14[[#This Row],[% INTERES ]]/30*U1905))+Tabla14[[#This Row],[VALOR CUOTAS]]</f>
        <v>#VALUE!</v>
      </c>
      <c r="S1905" s="88">
        <f>-IF(Tabla14[[#This Row],[DIAS HABILES O MORA]]&lt;0,(Tabla14[[#This Row],[VALOR PRESTAMO]]*Tabla14[[#This Row],[% INTERES ]]/30*U1905))</f>
        <v>0</v>
      </c>
      <c r="T1905" s="53" t="e">
        <f>Tabla14[[#This Row],[DEUDA CAPITAL]]+Tabla14[[#This Row],[INTERES  CUOTA]]</f>
        <v>#NUM!</v>
      </c>
      <c r="U1905" s="61" t="str">
        <f t="shared" si="309"/>
        <v/>
      </c>
    </row>
    <row r="1906" spans="9:21" ht="24.75" customHeight="1" x14ac:dyDescent="0.35">
      <c r="I1906" s="42">
        <f t="shared" si="300"/>
        <v>0</v>
      </c>
      <c r="J1906" s="65" t="e">
        <f t="shared" si="301"/>
        <v>#NUM!</v>
      </c>
      <c r="K1906" s="83" t="e">
        <f t="shared" si="302"/>
        <v>#NUM!</v>
      </c>
      <c r="L1906" s="83">
        <f t="shared" si="303"/>
        <v>0</v>
      </c>
      <c r="M1906" s="110" t="str">
        <f t="shared" si="304"/>
        <v/>
      </c>
      <c r="N1906" s="51" t="str">
        <f t="shared" si="305"/>
        <v/>
      </c>
      <c r="O1906" s="52" t="str">
        <f t="shared" si="306"/>
        <v/>
      </c>
      <c r="P1906" s="88">
        <f t="shared" si="307"/>
        <v>0</v>
      </c>
      <c r="Q1906" s="88">
        <f t="shared" si="308"/>
        <v>0</v>
      </c>
      <c r="R1906" s="88" t="e">
        <f>-IF(Tabla14[[#This Row],[DIAS HABILES O MORA]]&lt;0,(Tabla14[[#This Row],[VALOR PRESTAMO]]*Tabla14[[#This Row],[% INTERES ]]/30*U1906))+Tabla14[[#This Row],[VALOR CUOTAS]]</f>
        <v>#VALUE!</v>
      </c>
      <c r="S1906" s="88">
        <f>-IF(Tabla14[[#This Row],[DIAS HABILES O MORA]]&lt;0,(Tabla14[[#This Row],[VALOR PRESTAMO]]*Tabla14[[#This Row],[% INTERES ]]/30*U1906))</f>
        <v>0</v>
      </c>
      <c r="T1906" s="53" t="e">
        <f>Tabla14[[#This Row],[DEUDA CAPITAL]]+Tabla14[[#This Row],[INTERES  CUOTA]]</f>
        <v>#NUM!</v>
      </c>
      <c r="U1906" s="61" t="str">
        <f t="shared" si="309"/>
        <v/>
      </c>
    </row>
    <row r="1907" spans="9:21" ht="24.75" customHeight="1" x14ac:dyDescent="0.35">
      <c r="I1907" s="42">
        <f t="shared" si="300"/>
        <v>0</v>
      </c>
      <c r="J1907" s="65" t="e">
        <f t="shared" si="301"/>
        <v>#NUM!</v>
      </c>
      <c r="K1907" s="83" t="e">
        <f t="shared" si="302"/>
        <v>#NUM!</v>
      </c>
      <c r="L1907" s="83">
        <f t="shared" si="303"/>
        <v>0</v>
      </c>
      <c r="M1907" s="110" t="str">
        <f t="shared" si="304"/>
        <v/>
      </c>
      <c r="N1907" s="51" t="str">
        <f t="shared" si="305"/>
        <v/>
      </c>
      <c r="O1907" s="52" t="str">
        <f t="shared" si="306"/>
        <v/>
      </c>
      <c r="P1907" s="88">
        <f t="shared" si="307"/>
        <v>0</v>
      </c>
      <c r="Q1907" s="88">
        <f t="shared" si="308"/>
        <v>0</v>
      </c>
      <c r="R1907" s="88" t="e">
        <f>-IF(Tabla14[[#This Row],[DIAS HABILES O MORA]]&lt;0,(Tabla14[[#This Row],[VALOR PRESTAMO]]*Tabla14[[#This Row],[% INTERES ]]/30*U1907))+Tabla14[[#This Row],[VALOR CUOTAS]]</f>
        <v>#VALUE!</v>
      </c>
      <c r="S1907" s="88">
        <f>-IF(Tabla14[[#This Row],[DIAS HABILES O MORA]]&lt;0,(Tabla14[[#This Row],[VALOR PRESTAMO]]*Tabla14[[#This Row],[% INTERES ]]/30*U1907))</f>
        <v>0</v>
      </c>
      <c r="T1907" s="53" t="e">
        <f>Tabla14[[#This Row],[DEUDA CAPITAL]]+Tabla14[[#This Row],[INTERES  CUOTA]]</f>
        <v>#NUM!</v>
      </c>
      <c r="U1907" s="61" t="str">
        <f t="shared" si="309"/>
        <v/>
      </c>
    </row>
    <row r="1908" spans="9:21" ht="24.75" customHeight="1" x14ac:dyDescent="0.35">
      <c r="I1908" s="42">
        <f t="shared" si="300"/>
        <v>0</v>
      </c>
      <c r="J1908" s="65" t="e">
        <f t="shared" si="301"/>
        <v>#NUM!</v>
      </c>
      <c r="K1908" s="83" t="e">
        <f t="shared" si="302"/>
        <v>#NUM!</v>
      </c>
      <c r="L1908" s="83">
        <f t="shared" si="303"/>
        <v>0</v>
      </c>
      <c r="M1908" s="110" t="str">
        <f t="shared" si="304"/>
        <v/>
      </c>
      <c r="N1908" s="51" t="str">
        <f t="shared" si="305"/>
        <v/>
      </c>
      <c r="O1908" s="52" t="str">
        <f t="shared" si="306"/>
        <v/>
      </c>
      <c r="P1908" s="88">
        <f t="shared" si="307"/>
        <v>0</v>
      </c>
      <c r="Q1908" s="88">
        <f t="shared" si="308"/>
        <v>0</v>
      </c>
      <c r="R1908" s="88" t="e">
        <f>-IF(Tabla14[[#This Row],[DIAS HABILES O MORA]]&lt;0,(Tabla14[[#This Row],[VALOR PRESTAMO]]*Tabla14[[#This Row],[% INTERES ]]/30*U1908))+Tabla14[[#This Row],[VALOR CUOTAS]]</f>
        <v>#VALUE!</v>
      </c>
      <c r="S1908" s="88">
        <f>-IF(Tabla14[[#This Row],[DIAS HABILES O MORA]]&lt;0,(Tabla14[[#This Row],[VALOR PRESTAMO]]*Tabla14[[#This Row],[% INTERES ]]/30*U1908))</f>
        <v>0</v>
      </c>
      <c r="T1908" s="53" t="e">
        <f>Tabla14[[#This Row],[DEUDA CAPITAL]]+Tabla14[[#This Row],[INTERES  CUOTA]]</f>
        <v>#NUM!</v>
      </c>
      <c r="U1908" s="61" t="str">
        <f t="shared" si="309"/>
        <v/>
      </c>
    </row>
    <row r="1909" spans="9:21" ht="24.75" customHeight="1" x14ac:dyDescent="0.35">
      <c r="I1909" s="42">
        <f t="shared" si="300"/>
        <v>0</v>
      </c>
      <c r="J1909" s="65" t="e">
        <f t="shared" si="301"/>
        <v>#NUM!</v>
      </c>
      <c r="K1909" s="83" t="e">
        <f t="shared" si="302"/>
        <v>#NUM!</v>
      </c>
      <c r="L1909" s="83">
        <f t="shared" si="303"/>
        <v>0</v>
      </c>
      <c r="M1909" s="110" t="str">
        <f t="shared" si="304"/>
        <v/>
      </c>
      <c r="N1909" s="51" t="str">
        <f t="shared" si="305"/>
        <v/>
      </c>
      <c r="O1909" s="52" t="str">
        <f t="shared" si="306"/>
        <v/>
      </c>
      <c r="P1909" s="88">
        <f t="shared" si="307"/>
        <v>0</v>
      </c>
      <c r="Q1909" s="88">
        <f t="shared" si="308"/>
        <v>0</v>
      </c>
      <c r="R1909" s="88" t="e">
        <f>-IF(Tabla14[[#This Row],[DIAS HABILES O MORA]]&lt;0,(Tabla14[[#This Row],[VALOR PRESTAMO]]*Tabla14[[#This Row],[% INTERES ]]/30*U1909))+Tabla14[[#This Row],[VALOR CUOTAS]]</f>
        <v>#VALUE!</v>
      </c>
      <c r="S1909" s="88">
        <f>-IF(Tabla14[[#This Row],[DIAS HABILES O MORA]]&lt;0,(Tabla14[[#This Row],[VALOR PRESTAMO]]*Tabla14[[#This Row],[% INTERES ]]/30*U1909))</f>
        <v>0</v>
      </c>
      <c r="T1909" s="53" t="e">
        <f>Tabla14[[#This Row],[DEUDA CAPITAL]]+Tabla14[[#This Row],[INTERES  CUOTA]]</f>
        <v>#NUM!</v>
      </c>
      <c r="U1909" s="61" t="str">
        <f t="shared" si="309"/>
        <v/>
      </c>
    </row>
    <row r="1910" spans="9:21" ht="24.75" customHeight="1" x14ac:dyDescent="0.35">
      <c r="I1910" s="42">
        <f t="shared" si="300"/>
        <v>0</v>
      </c>
      <c r="J1910" s="65" t="e">
        <f t="shared" si="301"/>
        <v>#NUM!</v>
      </c>
      <c r="K1910" s="83" t="e">
        <f t="shared" si="302"/>
        <v>#NUM!</v>
      </c>
      <c r="L1910" s="83">
        <f t="shared" si="303"/>
        <v>0</v>
      </c>
      <c r="M1910" s="110" t="str">
        <f t="shared" si="304"/>
        <v/>
      </c>
      <c r="N1910" s="51" t="str">
        <f t="shared" si="305"/>
        <v/>
      </c>
      <c r="O1910" s="52" t="str">
        <f t="shared" si="306"/>
        <v/>
      </c>
      <c r="P1910" s="88">
        <f t="shared" si="307"/>
        <v>0</v>
      </c>
      <c r="Q1910" s="88">
        <f t="shared" si="308"/>
        <v>0</v>
      </c>
      <c r="R1910" s="88" t="e">
        <f>-IF(Tabla14[[#This Row],[DIAS HABILES O MORA]]&lt;0,(Tabla14[[#This Row],[VALOR PRESTAMO]]*Tabla14[[#This Row],[% INTERES ]]/30*U1910))+Tabla14[[#This Row],[VALOR CUOTAS]]</f>
        <v>#VALUE!</v>
      </c>
      <c r="S1910" s="88">
        <f>-IF(Tabla14[[#This Row],[DIAS HABILES O MORA]]&lt;0,(Tabla14[[#This Row],[VALOR PRESTAMO]]*Tabla14[[#This Row],[% INTERES ]]/30*U1910))</f>
        <v>0</v>
      </c>
      <c r="T1910" s="53" t="e">
        <f>Tabla14[[#This Row],[DEUDA CAPITAL]]+Tabla14[[#This Row],[INTERES  CUOTA]]</f>
        <v>#NUM!</v>
      </c>
      <c r="U1910" s="61" t="str">
        <f t="shared" si="309"/>
        <v/>
      </c>
    </row>
    <row r="1911" spans="9:21" ht="24.75" customHeight="1" x14ac:dyDescent="0.35">
      <c r="I1911" s="42">
        <f t="shared" si="300"/>
        <v>0</v>
      </c>
      <c r="J1911" s="65" t="e">
        <f t="shared" si="301"/>
        <v>#NUM!</v>
      </c>
      <c r="K1911" s="83" t="e">
        <f t="shared" si="302"/>
        <v>#NUM!</v>
      </c>
      <c r="L1911" s="83">
        <f t="shared" si="303"/>
        <v>0</v>
      </c>
      <c r="M1911" s="110" t="str">
        <f t="shared" si="304"/>
        <v/>
      </c>
      <c r="N1911" s="51" t="str">
        <f t="shared" si="305"/>
        <v/>
      </c>
      <c r="O1911" s="52" t="str">
        <f t="shared" si="306"/>
        <v/>
      </c>
      <c r="P1911" s="88">
        <f t="shared" si="307"/>
        <v>0</v>
      </c>
      <c r="Q1911" s="88">
        <f t="shared" si="308"/>
        <v>0</v>
      </c>
      <c r="R1911" s="88" t="e">
        <f>-IF(Tabla14[[#This Row],[DIAS HABILES O MORA]]&lt;0,(Tabla14[[#This Row],[VALOR PRESTAMO]]*Tabla14[[#This Row],[% INTERES ]]/30*U1911))+Tabla14[[#This Row],[VALOR CUOTAS]]</f>
        <v>#VALUE!</v>
      </c>
      <c r="S1911" s="88">
        <f>-IF(Tabla14[[#This Row],[DIAS HABILES O MORA]]&lt;0,(Tabla14[[#This Row],[VALOR PRESTAMO]]*Tabla14[[#This Row],[% INTERES ]]/30*U1911))</f>
        <v>0</v>
      </c>
      <c r="T1911" s="53" t="e">
        <f>Tabla14[[#This Row],[DEUDA CAPITAL]]+Tabla14[[#This Row],[INTERES  CUOTA]]</f>
        <v>#NUM!</v>
      </c>
      <c r="U1911" s="61" t="str">
        <f t="shared" si="309"/>
        <v/>
      </c>
    </row>
    <row r="1912" spans="9:21" ht="24.75" customHeight="1" x14ac:dyDescent="0.35">
      <c r="I1912" s="42">
        <f t="shared" si="300"/>
        <v>0</v>
      </c>
      <c r="J1912" s="65" t="e">
        <f t="shared" si="301"/>
        <v>#NUM!</v>
      </c>
      <c r="K1912" s="83" t="e">
        <f t="shared" si="302"/>
        <v>#NUM!</v>
      </c>
      <c r="L1912" s="83">
        <f t="shared" si="303"/>
        <v>0</v>
      </c>
      <c r="M1912" s="110" t="str">
        <f t="shared" si="304"/>
        <v/>
      </c>
      <c r="N1912" s="51" t="str">
        <f t="shared" si="305"/>
        <v/>
      </c>
      <c r="O1912" s="52" t="str">
        <f t="shared" si="306"/>
        <v/>
      </c>
      <c r="P1912" s="88">
        <f t="shared" si="307"/>
        <v>0</v>
      </c>
      <c r="Q1912" s="88">
        <f t="shared" si="308"/>
        <v>0</v>
      </c>
      <c r="R1912" s="88" t="e">
        <f>-IF(Tabla14[[#This Row],[DIAS HABILES O MORA]]&lt;0,(Tabla14[[#This Row],[VALOR PRESTAMO]]*Tabla14[[#This Row],[% INTERES ]]/30*U1912))+Tabla14[[#This Row],[VALOR CUOTAS]]</f>
        <v>#VALUE!</v>
      </c>
      <c r="S1912" s="88">
        <f>-IF(Tabla14[[#This Row],[DIAS HABILES O MORA]]&lt;0,(Tabla14[[#This Row],[VALOR PRESTAMO]]*Tabla14[[#This Row],[% INTERES ]]/30*U1912))</f>
        <v>0</v>
      </c>
      <c r="T1912" s="53" t="e">
        <f>Tabla14[[#This Row],[DEUDA CAPITAL]]+Tabla14[[#This Row],[INTERES  CUOTA]]</f>
        <v>#NUM!</v>
      </c>
      <c r="U1912" s="61" t="str">
        <f t="shared" si="309"/>
        <v/>
      </c>
    </row>
    <row r="1913" spans="9:21" ht="24.75" customHeight="1" x14ac:dyDescent="0.35">
      <c r="I1913" s="42">
        <f t="shared" si="300"/>
        <v>0</v>
      </c>
      <c r="J1913" s="65" t="e">
        <f t="shared" si="301"/>
        <v>#NUM!</v>
      </c>
      <c r="K1913" s="83" t="e">
        <f t="shared" si="302"/>
        <v>#NUM!</v>
      </c>
      <c r="L1913" s="83">
        <f t="shared" si="303"/>
        <v>0</v>
      </c>
      <c r="M1913" s="110" t="str">
        <f t="shared" si="304"/>
        <v/>
      </c>
      <c r="N1913" s="51" t="str">
        <f t="shared" si="305"/>
        <v/>
      </c>
      <c r="O1913" s="52" t="str">
        <f t="shared" si="306"/>
        <v/>
      </c>
      <c r="P1913" s="88">
        <f t="shared" si="307"/>
        <v>0</v>
      </c>
      <c r="Q1913" s="88">
        <f t="shared" si="308"/>
        <v>0</v>
      </c>
      <c r="R1913" s="88" t="e">
        <f>-IF(Tabla14[[#This Row],[DIAS HABILES O MORA]]&lt;0,(Tabla14[[#This Row],[VALOR PRESTAMO]]*Tabla14[[#This Row],[% INTERES ]]/30*U1913))+Tabla14[[#This Row],[VALOR CUOTAS]]</f>
        <v>#VALUE!</v>
      </c>
      <c r="S1913" s="88">
        <f>-IF(Tabla14[[#This Row],[DIAS HABILES O MORA]]&lt;0,(Tabla14[[#This Row],[VALOR PRESTAMO]]*Tabla14[[#This Row],[% INTERES ]]/30*U1913))</f>
        <v>0</v>
      </c>
      <c r="T1913" s="53" t="e">
        <f>Tabla14[[#This Row],[DEUDA CAPITAL]]+Tabla14[[#This Row],[INTERES  CUOTA]]</f>
        <v>#NUM!</v>
      </c>
      <c r="U1913" s="61" t="str">
        <f t="shared" si="309"/>
        <v/>
      </c>
    </row>
    <row r="1914" spans="9:21" ht="24.75" customHeight="1" x14ac:dyDescent="0.35">
      <c r="I1914" s="42">
        <f t="shared" si="300"/>
        <v>0</v>
      </c>
      <c r="J1914" s="65" t="e">
        <f t="shared" si="301"/>
        <v>#NUM!</v>
      </c>
      <c r="K1914" s="83" t="e">
        <f t="shared" si="302"/>
        <v>#NUM!</v>
      </c>
      <c r="L1914" s="83">
        <f t="shared" si="303"/>
        <v>0</v>
      </c>
      <c r="M1914" s="110" t="str">
        <f t="shared" si="304"/>
        <v/>
      </c>
      <c r="N1914" s="51" t="str">
        <f t="shared" si="305"/>
        <v/>
      </c>
      <c r="O1914" s="52" t="str">
        <f t="shared" si="306"/>
        <v/>
      </c>
      <c r="P1914" s="88">
        <f t="shared" si="307"/>
        <v>0</v>
      </c>
      <c r="Q1914" s="88">
        <f t="shared" si="308"/>
        <v>0</v>
      </c>
      <c r="R1914" s="88" t="e">
        <f>-IF(Tabla14[[#This Row],[DIAS HABILES O MORA]]&lt;0,(Tabla14[[#This Row],[VALOR PRESTAMO]]*Tabla14[[#This Row],[% INTERES ]]/30*U1914))+Tabla14[[#This Row],[VALOR CUOTAS]]</f>
        <v>#VALUE!</v>
      </c>
      <c r="S1914" s="88">
        <f>-IF(Tabla14[[#This Row],[DIAS HABILES O MORA]]&lt;0,(Tabla14[[#This Row],[VALOR PRESTAMO]]*Tabla14[[#This Row],[% INTERES ]]/30*U1914))</f>
        <v>0</v>
      </c>
      <c r="T1914" s="53" t="e">
        <f>Tabla14[[#This Row],[DEUDA CAPITAL]]+Tabla14[[#This Row],[INTERES  CUOTA]]</f>
        <v>#NUM!</v>
      </c>
      <c r="U1914" s="61" t="str">
        <f t="shared" si="309"/>
        <v/>
      </c>
    </row>
    <row r="1915" spans="9:21" ht="24.75" customHeight="1" x14ac:dyDescent="0.35">
      <c r="I1915" s="42">
        <f t="shared" si="300"/>
        <v>0</v>
      </c>
      <c r="J1915" s="65" t="e">
        <f t="shared" si="301"/>
        <v>#NUM!</v>
      </c>
      <c r="K1915" s="83" t="e">
        <f t="shared" si="302"/>
        <v>#NUM!</v>
      </c>
      <c r="L1915" s="83">
        <f t="shared" si="303"/>
        <v>0</v>
      </c>
      <c r="M1915" s="110" t="str">
        <f t="shared" si="304"/>
        <v/>
      </c>
      <c r="N1915" s="51" t="str">
        <f t="shared" si="305"/>
        <v/>
      </c>
      <c r="O1915" s="52" t="str">
        <f t="shared" si="306"/>
        <v/>
      </c>
      <c r="P1915" s="88">
        <f t="shared" si="307"/>
        <v>0</v>
      </c>
      <c r="Q1915" s="88">
        <f t="shared" si="308"/>
        <v>0</v>
      </c>
      <c r="R1915" s="88" t="e">
        <f>-IF(Tabla14[[#This Row],[DIAS HABILES O MORA]]&lt;0,(Tabla14[[#This Row],[VALOR PRESTAMO]]*Tabla14[[#This Row],[% INTERES ]]/30*U1915))+Tabla14[[#This Row],[VALOR CUOTAS]]</f>
        <v>#VALUE!</v>
      </c>
      <c r="S1915" s="88">
        <f>-IF(Tabla14[[#This Row],[DIAS HABILES O MORA]]&lt;0,(Tabla14[[#This Row],[VALOR PRESTAMO]]*Tabla14[[#This Row],[% INTERES ]]/30*U1915))</f>
        <v>0</v>
      </c>
      <c r="T1915" s="53" t="e">
        <f>Tabla14[[#This Row],[DEUDA CAPITAL]]+Tabla14[[#This Row],[INTERES  CUOTA]]</f>
        <v>#NUM!</v>
      </c>
      <c r="U1915" s="61" t="str">
        <f t="shared" si="309"/>
        <v/>
      </c>
    </row>
    <row r="1916" spans="9:21" ht="24.75" customHeight="1" x14ac:dyDescent="0.35">
      <c r="I1916" s="42">
        <f t="shared" si="300"/>
        <v>0</v>
      </c>
      <c r="J1916" s="65" t="e">
        <f t="shared" si="301"/>
        <v>#NUM!</v>
      </c>
      <c r="K1916" s="83" t="e">
        <f t="shared" si="302"/>
        <v>#NUM!</v>
      </c>
      <c r="L1916" s="83">
        <f t="shared" si="303"/>
        <v>0</v>
      </c>
      <c r="M1916" s="110" t="str">
        <f t="shared" si="304"/>
        <v/>
      </c>
      <c r="N1916" s="51" t="str">
        <f t="shared" si="305"/>
        <v/>
      </c>
      <c r="O1916" s="52" t="str">
        <f t="shared" si="306"/>
        <v/>
      </c>
      <c r="P1916" s="88">
        <f t="shared" si="307"/>
        <v>0</v>
      </c>
      <c r="Q1916" s="88">
        <f t="shared" si="308"/>
        <v>0</v>
      </c>
      <c r="R1916" s="88" t="e">
        <f>-IF(Tabla14[[#This Row],[DIAS HABILES O MORA]]&lt;0,(Tabla14[[#This Row],[VALOR PRESTAMO]]*Tabla14[[#This Row],[% INTERES ]]/30*U1916))+Tabla14[[#This Row],[VALOR CUOTAS]]</f>
        <v>#VALUE!</v>
      </c>
      <c r="S1916" s="88">
        <f>-IF(Tabla14[[#This Row],[DIAS HABILES O MORA]]&lt;0,(Tabla14[[#This Row],[VALOR PRESTAMO]]*Tabla14[[#This Row],[% INTERES ]]/30*U1916))</f>
        <v>0</v>
      </c>
      <c r="T1916" s="53" t="e">
        <f>Tabla14[[#This Row],[DEUDA CAPITAL]]+Tabla14[[#This Row],[INTERES  CUOTA]]</f>
        <v>#NUM!</v>
      </c>
      <c r="U1916" s="61" t="str">
        <f t="shared" si="309"/>
        <v/>
      </c>
    </row>
    <row r="1917" spans="9:21" ht="24.75" customHeight="1" x14ac:dyDescent="0.35">
      <c r="I1917" s="42">
        <f t="shared" si="300"/>
        <v>0</v>
      </c>
      <c r="J1917" s="65" t="e">
        <f t="shared" si="301"/>
        <v>#NUM!</v>
      </c>
      <c r="K1917" s="83" t="e">
        <f t="shared" si="302"/>
        <v>#NUM!</v>
      </c>
      <c r="L1917" s="83">
        <f t="shared" si="303"/>
        <v>0</v>
      </c>
      <c r="M1917" s="110" t="str">
        <f t="shared" si="304"/>
        <v/>
      </c>
      <c r="N1917" s="51" t="str">
        <f t="shared" si="305"/>
        <v/>
      </c>
      <c r="O1917" s="52" t="str">
        <f t="shared" si="306"/>
        <v/>
      </c>
      <c r="P1917" s="88">
        <f t="shared" si="307"/>
        <v>0</v>
      </c>
      <c r="Q1917" s="88">
        <f t="shared" si="308"/>
        <v>0</v>
      </c>
      <c r="R1917" s="88" t="e">
        <f>-IF(Tabla14[[#This Row],[DIAS HABILES O MORA]]&lt;0,(Tabla14[[#This Row],[VALOR PRESTAMO]]*Tabla14[[#This Row],[% INTERES ]]/30*U1917))+Tabla14[[#This Row],[VALOR CUOTAS]]</f>
        <v>#VALUE!</v>
      </c>
      <c r="S1917" s="88">
        <f>-IF(Tabla14[[#This Row],[DIAS HABILES O MORA]]&lt;0,(Tabla14[[#This Row],[VALOR PRESTAMO]]*Tabla14[[#This Row],[% INTERES ]]/30*U1917))</f>
        <v>0</v>
      </c>
      <c r="T1917" s="53" t="e">
        <f>Tabla14[[#This Row],[DEUDA CAPITAL]]+Tabla14[[#This Row],[INTERES  CUOTA]]</f>
        <v>#NUM!</v>
      </c>
      <c r="U1917" s="61" t="str">
        <f t="shared" si="309"/>
        <v/>
      </c>
    </row>
    <row r="1918" spans="9:21" ht="24.75" customHeight="1" x14ac:dyDescent="0.35">
      <c r="I1918" s="42">
        <f t="shared" si="300"/>
        <v>0</v>
      </c>
      <c r="J1918" s="65" t="e">
        <f t="shared" si="301"/>
        <v>#NUM!</v>
      </c>
      <c r="K1918" s="83" t="e">
        <f t="shared" si="302"/>
        <v>#NUM!</v>
      </c>
      <c r="L1918" s="83">
        <f t="shared" si="303"/>
        <v>0</v>
      </c>
      <c r="M1918" s="110" t="str">
        <f t="shared" si="304"/>
        <v/>
      </c>
      <c r="N1918" s="51" t="str">
        <f t="shared" si="305"/>
        <v/>
      </c>
      <c r="O1918" s="52" t="str">
        <f t="shared" si="306"/>
        <v/>
      </c>
      <c r="P1918" s="88">
        <f t="shared" si="307"/>
        <v>0</v>
      </c>
      <c r="Q1918" s="88">
        <f t="shared" si="308"/>
        <v>0</v>
      </c>
      <c r="R1918" s="88" t="e">
        <f>-IF(Tabla14[[#This Row],[DIAS HABILES O MORA]]&lt;0,(Tabla14[[#This Row],[VALOR PRESTAMO]]*Tabla14[[#This Row],[% INTERES ]]/30*U1918))+Tabla14[[#This Row],[VALOR CUOTAS]]</f>
        <v>#VALUE!</v>
      </c>
      <c r="S1918" s="88">
        <f>-IF(Tabla14[[#This Row],[DIAS HABILES O MORA]]&lt;0,(Tabla14[[#This Row],[VALOR PRESTAMO]]*Tabla14[[#This Row],[% INTERES ]]/30*U1918))</f>
        <v>0</v>
      </c>
      <c r="T1918" s="53" t="e">
        <f>Tabla14[[#This Row],[DEUDA CAPITAL]]+Tabla14[[#This Row],[INTERES  CUOTA]]</f>
        <v>#NUM!</v>
      </c>
      <c r="U1918" s="61" t="str">
        <f t="shared" si="309"/>
        <v/>
      </c>
    </row>
    <row r="1919" spans="9:21" ht="24.75" customHeight="1" x14ac:dyDescent="0.35">
      <c r="I1919" s="42">
        <f t="shared" si="300"/>
        <v>0</v>
      </c>
      <c r="J1919" s="65" t="e">
        <f t="shared" si="301"/>
        <v>#NUM!</v>
      </c>
      <c r="K1919" s="83" t="e">
        <f t="shared" si="302"/>
        <v>#NUM!</v>
      </c>
      <c r="L1919" s="83">
        <f t="shared" si="303"/>
        <v>0</v>
      </c>
      <c r="M1919" s="110" t="str">
        <f t="shared" si="304"/>
        <v/>
      </c>
      <c r="N1919" s="51" t="str">
        <f t="shared" si="305"/>
        <v/>
      </c>
      <c r="O1919" s="52" t="str">
        <f t="shared" si="306"/>
        <v/>
      </c>
      <c r="P1919" s="88">
        <f t="shared" si="307"/>
        <v>0</v>
      </c>
      <c r="Q1919" s="88">
        <f t="shared" si="308"/>
        <v>0</v>
      </c>
      <c r="R1919" s="88" t="e">
        <f>-IF(Tabla14[[#This Row],[DIAS HABILES O MORA]]&lt;0,(Tabla14[[#This Row],[VALOR PRESTAMO]]*Tabla14[[#This Row],[% INTERES ]]/30*U1919))+Tabla14[[#This Row],[VALOR CUOTAS]]</f>
        <v>#VALUE!</v>
      </c>
      <c r="S1919" s="88">
        <f>-IF(Tabla14[[#This Row],[DIAS HABILES O MORA]]&lt;0,(Tabla14[[#This Row],[VALOR PRESTAMO]]*Tabla14[[#This Row],[% INTERES ]]/30*U1919))</f>
        <v>0</v>
      </c>
      <c r="T1919" s="53" t="e">
        <f>Tabla14[[#This Row],[DEUDA CAPITAL]]+Tabla14[[#This Row],[INTERES  CUOTA]]</f>
        <v>#NUM!</v>
      </c>
      <c r="U1919" s="61" t="str">
        <f t="shared" si="309"/>
        <v/>
      </c>
    </row>
    <row r="1920" spans="9:21" ht="24.75" customHeight="1" x14ac:dyDescent="0.35">
      <c r="I1920" s="42">
        <f t="shared" si="300"/>
        <v>0</v>
      </c>
      <c r="J1920" s="65" t="e">
        <f t="shared" si="301"/>
        <v>#NUM!</v>
      </c>
      <c r="K1920" s="83" t="e">
        <f t="shared" si="302"/>
        <v>#NUM!</v>
      </c>
      <c r="L1920" s="83">
        <f t="shared" si="303"/>
        <v>0</v>
      </c>
      <c r="M1920" s="110" t="str">
        <f t="shared" si="304"/>
        <v/>
      </c>
      <c r="N1920" s="51" t="str">
        <f t="shared" si="305"/>
        <v/>
      </c>
      <c r="O1920" s="52" t="str">
        <f t="shared" si="306"/>
        <v/>
      </c>
      <c r="P1920" s="88">
        <f t="shared" si="307"/>
        <v>0</v>
      </c>
      <c r="Q1920" s="88">
        <f t="shared" si="308"/>
        <v>0</v>
      </c>
      <c r="R1920" s="88" t="e">
        <f>-IF(Tabla14[[#This Row],[DIAS HABILES O MORA]]&lt;0,(Tabla14[[#This Row],[VALOR PRESTAMO]]*Tabla14[[#This Row],[% INTERES ]]/30*U1920))+Tabla14[[#This Row],[VALOR CUOTAS]]</f>
        <v>#VALUE!</v>
      </c>
      <c r="S1920" s="88">
        <f>-IF(Tabla14[[#This Row],[DIAS HABILES O MORA]]&lt;0,(Tabla14[[#This Row],[VALOR PRESTAMO]]*Tabla14[[#This Row],[% INTERES ]]/30*U1920))</f>
        <v>0</v>
      </c>
      <c r="T1920" s="53" t="e">
        <f>Tabla14[[#This Row],[DEUDA CAPITAL]]+Tabla14[[#This Row],[INTERES  CUOTA]]</f>
        <v>#NUM!</v>
      </c>
      <c r="U1920" s="61" t="str">
        <f t="shared" si="309"/>
        <v/>
      </c>
    </row>
    <row r="1921" spans="9:21" ht="24.75" customHeight="1" x14ac:dyDescent="0.35">
      <c r="I1921" s="42">
        <f t="shared" si="300"/>
        <v>0</v>
      </c>
      <c r="J1921" s="65" t="e">
        <f t="shared" si="301"/>
        <v>#NUM!</v>
      </c>
      <c r="K1921" s="83" t="e">
        <f t="shared" si="302"/>
        <v>#NUM!</v>
      </c>
      <c r="L1921" s="83">
        <f t="shared" si="303"/>
        <v>0</v>
      </c>
      <c r="M1921" s="110" t="str">
        <f t="shared" si="304"/>
        <v/>
      </c>
      <c r="N1921" s="51" t="str">
        <f t="shared" si="305"/>
        <v/>
      </c>
      <c r="O1921" s="52" t="str">
        <f t="shared" si="306"/>
        <v/>
      </c>
      <c r="P1921" s="88">
        <f t="shared" si="307"/>
        <v>0</v>
      </c>
      <c r="Q1921" s="88">
        <f t="shared" si="308"/>
        <v>0</v>
      </c>
      <c r="R1921" s="88" t="e">
        <f>-IF(Tabla14[[#This Row],[DIAS HABILES O MORA]]&lt;0,(Tabla14[[#This Row],[VALOR PRESTAMO]]*Tabla14[[#This Row],[% INTERES ]]/30*U1921))+Tabla14[[#This Row],[VALOR CUOTAS]]</f>
        <v>#VALUE!</v>
      </c>
      <c r="S1921" s="88">
        <f>-IF(Tabla14[[#This Row],[DIAS HABILES O MORA]]&lt;0,(Tabla14[[#This Row],[VALOR PRESTAMO]]*Tabla14[[#This Row],[% INTERES ]]/30*U1921))</f>
        <v>0</v>
      </c>
      <c r="T1921" s="53" t="e">
        <f>Tabla14[[#This Row],[DEUDA CAPITAL]]+Tabla14[[#This Row],[INTERES  CUOTA]]</f>
        <v>#NUM!</v>
      </c>
      <c r="U1921" s="61" t="str">
        <f t="shared" si="309"/>
        <v/>
      </c>
    </row>
    <row r="1922" spans="9:21" ht="24.75" customHeight="1" x14ac:dyDescent="0.35">
      <c r="I1922" s="42">
        <f t="shared" si="300"/>
        <v>0</v>
      </c>
      <c r="J1922" s="65" t="e">
        <f t="shared" si="301"/>
        <v>#NUM!</v>
      </c>
      <c r="K1922" s="83" t="e">
        <f t="shared" si="302"/>
        <v>#NUM!</v>
      </c>
      <c r="L1922" s="83">
        <f t="shared" si="303"/>
        <v>0</v>
      </c>
      <c r="M1922" s="110" t="str">
        <f t="shared" si="304"/>
        <v/>
      </c>
      <c r="N1922" s="51" t="str">
        <f t="shared" si="305"/>
        <v/>
      </c>
      <c r="O1922" s="52" t="str">
        <f t="shared" si="306"/>
        <v/>
      </c>
      <c r="P1922" s="88">
        <f t="shared" si="307"/>
        <v>0</v>
      </c>
      <c r="Q1922" s="88">
        <f t="shared" si="308"/>
        <v>0</v>
      </c>
      <c r="R1922" s="88" t="e">
        <f>-IF(Tabla14[[#This Row],[DIAS HABILES O MORA]]&lt;0,(Tabla14[[#This Row],[VALOR PRESTAMO]]*Tabla14[[#This Row],[% INTERES ]]/30*U1922))+Tabla14[[#This Row],[VALOR CUOTAS]]</f>
        <v>#VALUE!</v>
      </c>
      <c r="S1922" s="88">
        <f>-IF(Tabla14[[#This Row],[DIAS HABILES O MORA]]&lt;0,(Tabla14[[#This Row],[VALOR PRESTAMO]]*Tabla14[[#This Row],[% INTERES ]]/30*U1922))</f>
        <v>0</v>
      </c>
      <c r="T1922" s="53" t="e">
        <f>Tabla14[[#This Row],[DEUDA CAPITAL]]+Tabla14[[#This Row],[INTERES  CUOTA]]</f>
        <v>#NUM!</v>
      </c>
      <c r="U1922" s="61" t="str">
        <f t="shared" si="309"/>
        <v/>
      </c>
    </row>
    <row r="1923" spans="9:21" ht="24.75" customHeight="1" x14ac:dyDescent="0.35">
      <c r="I1923" s="42">
        <f t="shared" si="300"/>
        <v>0</v>
      </c>
      <c r="J1923" s="65" t="e">
        <f t="shared" si="301"/>
        <v>#NUM!</v>
      </c>
      <c r="K1923" s="83" t="e">
        <f t="shared" si="302"/>
        <v>#NUM!</v>
      </c>
      <c r="L1923" s="83">
        <f t="shared" si="303"/>
        <v>0</v>
      </c>
      <c r="M1923" s="110" t="str">
        <f t="shared" si="304"/>
        <v/>
      </c>
      <c r="N1923" s="51" t="str">
        <f t="shared" si="305"/>
        <v/>
      </c>
      <c r="O1923" s="52" t="str">
        <f t="shared" si="306"/>
        <v/>
      </c>
      <c r="P1923" s="88">
        <f t="shared" si="307"/>
        <v>0</v>
      </c>
      <c r="Q1923" s="88">
        <f t="shared" si="308"/>
        <v>0</v>
      </c>
      <c r="R1923" s="88" t="e">
        <f>-IF(Tabla14[[#This Row],[DIAS HABILES O MORA]]&lt;0,(Tabla14[[#This Row],[VALOR PRESTAMO]]*Tabla14[[#This Row],[% INTERES ]]/30*U1923))+Tabla14[[#This Row],[VALOR CUOTAS]]</f>
        <v>#VALUE!</v>
      </c>
      <c r="S1923" s="88">
        <f>-IF(Tabla14[[#This Row],[DIAS HABILES O MORA]]&lt;0,(Tabla14[[#This Row],[VALOR PRESTAMO]]*Tabla14[[#This Row],[% INTERES ]]/30*U1923))</f>
        <v>0</v>
      </c>
      <c r="T1923" s="53" t="e">
        <f>Tabla14[[#This Row],[DEUDA CAPITAL]]+Tabla14[[#This Row],[INTERES  CUOTA]]</f>
        <v>#NUM!</v>
      </c>
      <c r="U1923" s="61" t="str">
        <f t="shared" si="309"/>
        <v/>
      </c>
    </row>
    <row r="1924" spans="9:21" ht="24.75" customHeight="1" x14ac:dyDescent="0.35">
      <c r="I1924" s="42">
        <f t="shared" si="300"/>
        <v>0</v>
      </c>
      <c r="J1924" s="65" t="e">
        <f t="shared" si="301"/>
        <v>#NUM!</v>
      </c>
      <c r="K1924" s="83" t="e">
        <f t="shared" si="302"/>
        <v>#NUM!</v>
      </c>
      <c r="L1924" s="83">
        <f t="shared" si="303"/>
        <v>0</v>
      </c>
      <c r="M1924" s="110" t="str">
        <f t="shared" si="304"/>
        <v/>
      </c>
      <c r="N1924" s="51" t="str">
        <f t="shared" si="305"/>
        <v/>
      </c>
      <c r="O1924" s="52" t="str">
        <f t="shared" si="306"/>
        <v/>
      </c>
      <c r="P1924" s="88">
        <f t="shared" si="307"/>
        <v>0</v>
      </c>
      <c r="Q1924" s="88">
        <f t="shared" si="308"/>
        <v>0</v>
      </c>
      <c r="R1924" s="88" t="e">
        <f>-IF(Tabla14[[#This Row],[DIAS HABILES O MORA]]&lt;0,(Tabla14[[#This Row],[VALOR PRESTAMO]]*Tabla14[[#This Row],[% INTERES ]]/30*U1924))+Tabla14[[#This Row],[VALOR CUOTAS]]</f>
        <v>#VALUE!</v>
      </c>
      <c r="S1924" s="88">
        <f>-IF(Tabla14[[#This Row],[DIAS HABILES O MORA]]&lt;0,(Tabla14[[#This Row],[VALOR PRESTAMO]]*Tabla14[[#This Row],[% INTERES ]]/30*U1924))</f>
        <v>0</v>
      </c>
      <c r="T1924" s="53" t="e">
        <f>Tabla14[[#This Row],[DEUDA CAPITAL]]+Tabla14[[#This Row],[INTERES  CUOTA]]</f>
        <v>#NUM!</v>
      </c>
      <c r="U1924" s="61" t="str">
        <f t="shared" si="309"/>
        <v/>
      </c>
    </row>
    <row r="1925" spans="9:21" ht="24.75" customHeight="1" x14ac:dyDescent="0.35">
      <c r="I1925" s="42">
        <f t="shared" si="300"/>
        <v>0</v>
      </c>
      <c r="J1925" s="65" t="e">
        <f t="shared" si="301"/>
        <v>#NUM!</v>
      </c>
      <c r="K1925" s="83" t="e">
        <f t="shared" si="302"/>
        <v>#NUM!</v>
      </c>
      <c r="L1925" s="83">
        <f t="shared" si="303"/>
        <v>0</v>
      </c>
      <c r="M1925" s="110" t="str">
        <f t="shared" si="304"/>
        <v/>
      </c>
      <c r="N1925" s="51" t="str">
        <f t="shared" si="305"/>
        <v/>
      </c>
      <c r="O1925" s="52" t="str">
        <f t="shared" si="306"/>
        <v/>
      </c>
      <c r="P1925" s="88">
        <f t="shared" si="307"/>
        <v>0</v>
      </c>
      <c r="Q1925" s="88">
        <f t="shared" si="308"/>
        <v>0</v>
      </c>
      <c r="R1925" s="88" t="e">
        <f>-IF(Tabla14[[#This Row],[DIAS HABILES O MORA]]&lt;0,(Tabla14[[#This Row],[VALOR PRESTAMO]]*Tabla14[[#This Row],[% INTERES ]]/30*U1925))+Tabla14[[#This Row],[VALOR CUOTAS]]</f>
        <v>#VALUE!</v>
      </c>
      <c r="S1925" s="88">
        <f>-IF(Tabla14[[#This Row],[DIAS HABILES O MORA]]&lt;0,(Tabla14[[#This Row],[VALOR PRESTAMO]]*Tabla14[[#This Row],[% INTERES ]]/30*U1925))</f>
        <v>0</v>
      </c>
      <c r="T1925" s="53" t="e">
        <f>Tabla14[[#This Row],[DEUDA CAPITAL]]+Tabla14[[#This Row],[INTERES  CUOTA]]</f>
        <v>#NUM!</v>
      </c>
      <c r="U1925" s="61" t="str">
        <f t="shared" si="309"/>
        <v/>
      </c>
    </row>
    <row r="1926" spans="9:21" ht="24.75" customHeight="1" x14ac:dyDescent="0.35">
      <c r="I1926" s="42">
        <f t="shared" si="300"/>
        <v>0</v>
      </c>
      <c r="J1926" s="65" t="e">
        <f t="shared" si="301"/>
        <v>#NUM!</v>
      </c>
      <c r="K1926" s="83" t="e">
        <f t="shared" si="302"/>
        <v>#NUM!</v>
      </c>
      <c r="L1926" s="83">
        <f t="shared" si="303"/>
        <v>0</v>
      </c>
      <c r="M1926" s="110" t="str">
        <f t="shared" si="304"/>
        <v/>
      </c>
      <c r="N1926" s="51" t="str">
        <f t="shared" si="305"/>
        <v/>
      </c>
      <c r="O1926" s="52" t="str">
        <f t="shared" si="306"/>
        <v/>
      </c>
      <c r="P1926" s="88">
        <f t="shared" si="307"/>
        <v>0</v>
      </c>
      <c r="Q1926" s="88">
        <f t="shared" si="308"/>
        <v>0</v>
      </c>
      <c r="R1926" s="88" t="e">
        <f>-IF(Tabla14[[#This Row],[DIAS HABILES O MORA]]&lt;0,(Tabla14[[#This Row],[VALOR PRESTAMO]]*Tabla14[[#This Row],[% INTERES ]]/30*U1926))+Tabla14[[#This Row],[VALOR CUOTAS]]</f>
        <v>#VALUE!</v>
      </c>
      <c r="S1926" s="88">
        <f>-IF(Tabla14[[#This Row],[DIAS HABILES O MORA]]&lt;0,(Tabla14[[#This Row],[VALOR PRESTAMO]]*Tabla14[[#This Row],[% INTERES ]]/30*U1926))</f>
        <v>0</v>
      </c>
      <c r="T1926" s="53" t="e">
        <f>Tabla14[[#This Row],[DEUDA CAPITAL]]+Tabla14[[#This Row],[INTERES  CUOTA]]</f>
        <v>#NUM!</v>
      </c>
      <c r="U1926" s="61" t="str">
        <f t="shared" si="309"/>
        <v/>
      </c>
    </row>
    <row r="1927" spans="9:21" ht="24.75" customHeight="1" x14ac:dyDescent="0.35">
      <c r="I1927" s="42">
        <f t="shared" si="300"/>
        <v>0</v>
      </c>
      <c r="J1927" s="65" t="e">
        <f t="shared" si="301"/>
        <v>#NUM!</v>
      </c>
      <c r="K1927" s="83" t="e">
        <f t="shared" si="302"/>
        <v>#NUM!</v>
      </c>
      <c r="L1927" s="83">
        <f t="shared" si="303"/>
        <v>0</v>
      </c>
      <c r="M1927" s="110" t="str">
        <f t="shared" si="304"/>
        <v/>
      </c>
      <c r="N1927" s="51" t="str">
        <f t="shared" si="305"/>
        <v/>
      </c>
      <c r="O1927" s="52" t="str">
        <f t="shared" si="306"/>
        <v/>
      </c>
      <c r="P1927" s="88">
        <f t="shared" si="307"/>
        <v>0</v>
      </c>
      <c r="Q1927" s="88">
        <f t="shared" si="308"/>
        <v>0</v>
      </c>
      <c r="R1927" s="88" t="e">
        <f>-IF(Tabla14[[#This Row],[DIAS HABILES O MORA]]&lt;0,(Tabla14[[#This Row],[VALOR PRESTAMO]]*Tabla14[[#This Row],[% INTERES ]]/30*U1927))+Tabla14[[#This Row],[VALOR CUOTAS]]</f>
        <v>#VALUE!</v>
      </c>
      <c r="S1927" s="88">
        <f>-IF(Tabla14[[#This Row],[DIAS HABILES O MORA]]&lt;0,(Tabla14[[#This Row],[VALOR PRESTAMO]]*Tabla14[[#This Row],[% INTERES ]]/30*U1927))</f>
        <v>0</v>
      </c>
      <c r="T1927" s="53" t="e">
        <f>Tabla14[[#This Row],[DEUDA CAPITAL]]+Tabla14[[#This Row],[INTERES  CUOTA]]</f>
        <v>#NUM!</v>
      </c>
      <c r="U1927" s="61" t="str">
        <f t="shared" si="309"/>
        <v/>
      </c>
    </row>
    <row r="1928" spans="9:21" ht="24.75" customHeight="1" x14ac:dyDescent="0.35">
      <c r="I1928" s="42">
        <f t="shared" si="300"/>
        <v>0</v>
      </c>
      <c r="J1928" s="65" t="e">
        <f t="shared" si="301"/>
        <v>#NUM!</v>
      </c>
      <c r="K1928" s="83" t="e">
        <f t="shared" si="302"/>
        <v>#NUM!</v>
      </c>
      <c r="L1928" s="83">
        <f t="shared" si="303"/>
        <v>0</v>
      </c>
      <c r="M1928" s="110" t="str">
        <f t="shared" si="304"/>
        <v/>
      </c>
      <c r="N1928" s="51" t="str">
        <f t="shared" si="305"/>
        <v/>
      </c>
      <c r="O1928" s="52" t="str">
        <f t="shared" si="306"/>
        <v/>
      </c>
      <c r="P1928" s="88">
        <f t="shared" si="307"/>
        <v>0</v>
      </c>
      <c r="Q1928" s="88">
        <f t="shared" si="308"/>
        <v>0</v>
      </c>
      <c r="R1928" s="88" t="e">
        <f>-IF(Tabla14[[#This Row],[DIAS HABILES O MORA]]&lt;0,(Tabla14[[#This Row],[VALOR PRESTAMO]]*Tabla14[[#This Row],[% INTERES ]]/30*U1928))+Tabla14[[#This Row],[VALOR CUOTAS]]</f>
        <v>#VALUE!</v>
      </c>
      <c r="S1928" s="88">
        <f>-IF(Tabla14[[#This Row],[DIAS HABILES O MORA]]&lt;0,(Tabla14[[#This Row],[VALOR PRESTAMO]]*Tabla14[[#This Row],[% INTERES ]]/30*U1928))</f>
        <v>0</v>
      </c>
      <c r="T1928" s="53" t="e">
        <f>Tabla14[[#This Row],[DEUDA CAPITAL]]+Tabla14[[#This Row],[INTERES  CUOTA]]</f>
        <v>#NUM!</v>
      </c>
      <c r="U1928" s="61" t="str">
        <f t="shared" si="309"/>
        <v/>
      </c>
    </row>
    <row r="1929" spans="9:21" ht="24.75" customHeight="1" x14ac:dyDescent="0.35">
      <c r="I1929" s="42">
        <f t="shared" si="300"/>
        <v>0</v>
      </c>
      <c r="J1929" s="65" t="e">
        <f t="shared" si="301"/>
        <v>#NUM!</v>
      </c>
      <c r="K1929" s="83" t="e">
        <f t="shared" si="302"/>
        <v>#NUM!</v>
      </c>
      <c r="L1929" s="83">
        <f t="shared" si="303"/>
        <v>0</v>
      </c>
      <c r="M1929" s="110" t="str">
        <f t="shared" si="304"/>
        <v/>
      </c>
      <c r="N1929" s="51" t="str">
        <f t="shared" si="305"/>
        <v/>
      </c>
      <c r="O1929" s="52" t="str">
        <f t="shared" si="306"/>
        <v/>
      </c>
      <c r="P1929" s="88">
        <f t="shared" si="307"/>
        <v>0</v>
      </c>
      <c r="Q1929" s="88">
        <f t="shared" si="308"/>
        <v>0</v>
      </c>
      <c r="R1929" s="88" t="e">
        <f>-IF(Tabla14[[#This Row],[DIAS HABILES O MORA]]&lt;0,(Tabla14[[#This Row],[VALOR PRESTAMO]]*Tabla14[[#This Row],[% INTERES ]]/30*U1929))+Tabla14[[#This Row],[VALOR CUOTAS]]</f>
        <v>#VALUE!</v>
      </c>
      <c r="S1929" s="88">
        <f>-IF(Tabla14[[#This Row],[DIAS HABILES O MORA]]&lt;0,(Tabla14[[#This Row],[VALOR PRESTAMO]]*Tabla14[[#This Row],[% INTERES ]]/30*U1929))</f>
        <v>0</v>
      </c>
      <c r="T1929" s="53" t="e">
        <f>Tabla14[[#This Row],[DEUDA CAPITAL]]+Tabla14[[#This Row],[INTERES  CUOTA]]</f>
        <v>#NUM!</v>
      </c>
      <c r="U1929" s="61" t="str">
        <f t="shared" si="309"/>
        <v/>
      </c>
    </row>
    <row r="1930" spans="9:21" ht="24.75" customHeight="1" x14ac:dyDescent="0.35">
      <c r="I1930" s="42">
        <f t="shared" si="300"/>
        <v>0</v>
      </c>
      <c r="J1930" s="65" t="e">
        <f t="shared" si="301"/>
        <v>#NUM!</v>
      </c>
      <c r="K1930" s="83" t="e">
        <f t="shared" si="302"/>
        <v>#NUM!</v>
      </c>
      <c r="L1930" s="83">
        <f t="shared" si="303"/>
        <v>0</v>
      </c>
      <c r="M1930" s="110" t="str">
        <f t="shared" si="304"/>
        <v/>
      </c>
      <c r="N1930" s="51" t="str">
        <f t="shared" si="305"/>
        <v/>
      </c>
      <c r="O1930" s="52" t="str">
        <f t="shared" si="306"/>
        <v/>
      </c>
      <c r="P1930" s="88">
        <f t="shared" si="307"/>
        <v>0</v>
      </c>
      <c r="Q1930" s="88">
        <f t="shared" si="308"/>
        <v>0</v>
      </c>
      <c r="R1930" s="88" t="e">
        <f>-IF(Tabla14[[#This Row],[DIAS HABILES O MORA]]&lt;0,(Tabla14[[#This Row],[VALOR PRESTAMO]]*Tabla14[[#This Row],[% INTERES ]]/30*U1930))+Tabla14[[#This Row],[VALOR CUOTAS]]</f>
        <v>#VALUE!</v>
      </c>
      <c r="S1930" s="88">
        <f>-IF(Tabla14[[#This Row],[DIAS HABILES O MORA]]&lt;0,(Tabla14[[#This Row],[VALOR PRESTAMO]]*Tabla14[[#This Row],[% INTERES ]]/30*U1930))</f>
        <v>0</v>
      </c>
      <c r="T1930" s="53" t="e">
        <f>Tabla14[[#This Row],[DEUDA CAPITAL]]+Tabla14[[#This Row],[INTERES  CUOTA]]</f>
        <v>#NUM!</v>
      </c>
      <c r="U1930" s="61" t="str">
        <f t="shared" si="309"/>
        <v/>
      </c>
    </row>
    <row r="1931" spans="9:21" ht="24.75" customHeight="1" x14ac:dyDescent="0.35">
      <c r="I1931" s="42">
        <f t="shared" si="300"/>
        <v>0</v>
      </c>
      <c r="J1931" s="65" t="e">
        <f t="shared" si="301"/>
        <v>#NUM!</v>
      </c>
      <c r="K1931" s="83" t="e">
        <f t="shared" si="302"/>
        <v>#NUM!</v>
      </c>
      <c r="L1931" s="83">
        <f t="shared" si="303"/>
        <v>0</v>
      </c>
      <c r="M1931" s="110" t="str">
        <f t="shared" si="304"/>
        <v/>
      </c>
      <c r="N1931" s="51" t="str">
        <f t="shared" si="305"/>
        <v/>
      </c>
      <c r="O1931" s="52" t="str">
        <f t="shared" si="306"/>
        <v/>
      </c>
      <c r="P1931" s="88">
        <f t="shared" si="307"/>
        <v>0</v>
      </c>
      <c r="Q1931" s="88">
        <f t="shared" si="308"/>
        <v>0</v>
      </c>
      <c r="R1931" s="88" t="e">
        <f>-IF(Tabla14[[#This Row],[DIAS HABILES O MORA]]&lt;0,(Tabla14[[#This Row],[VALOR PRESTAMO]]*Tabla14[[#This Row],[% INTERES ]]/30*U1931))+Tabla14[[#This Row],[VALOR CUOTAS]]</f>
        <v>#VALUE!</v>
      </c>
      <c r="S1931" s="88">
        <f>-IF(Tabla14[[#This Row],[DIAS HABILES O MORA]]&lt;0,(Tabla14[[#This Row],[VALOR PRESTAMO]]*Tabla14[[#This Row],[% INTERES ]]/30*U1931))</f>
        <v>0</v>
      </c>
      <c r="T1931" s="53" t="e">
        <f>Tabla14[[#This Row],[DEUDA CAPITAL]]+Tabla14[[#This Row],[INTERES  CUOTA]]</f>
        <v>#NUM!</v>
      </c>
      <c r="U1931" s="61" t="str">
        <f t="shared" si="309"/>
        <v/>
      </c>
    </row>
    <row r="1932" spans="9:21" ht="24.75" customHeight="1" x14ac:dyDescent="0.35">
      <c r="I1932" s="42">
        <f t="shared" si="300"/>
        <v>0</v>
      </c>
      <c r="J1932" s="65" t="e">
        <f t="shared" si="301"/>
        <v>#NUM!</v>
      </c>
      <c r="K1932" s="83" t="e">
        <f t="shared" si="302"/>
        <v>#NUM!</v>
      </c>
      <c r="L1932" s="83">
        <f t="shared" si="303"/>
        <v>0</v>
      </c>
      <c r="M1932" s="110" t="str">
        <f t="shared" si="304"/>
        <v/>
      </c>
      <c r="N1932" s="51" t="str">
        <f t="shared" si="305"/>
        <v/>
      </c>
      <c r="O1932" s="52" t="str">
        <f t="shared" si="306"/>
        <v/>
      </c>
      <c r="P1932" s="88">
        <f t="shared" si="307"/>
        <v>0</v>
      </c>
      <c r="Q1932" s="88">
        <f t="shared" si="308"/>
        <v>0</v>
      </c>
      <c r="R1932" s="88" t="e">
        <f>-IF(Tabla14[[#This Row],[DIAS HABILES O MORA]]&lt;0,(Tabla14[[#This Row],[VALOR PRESTAMO]]*Tabla14[[#This Row],[% INTERES ]]/30*U1932))+Tabla14[[#This Row],[VALOR CUOTAS]]</f>
        <v>#VALUE!</v>
      </c>
      <c r="S1932" s="88">
        <f>-IF(Tabla14[[#This Row],[DIAS HABILES O MORA]]&lt;0,(Tabla14[[#This Row],[VALOR PRESTAMO]]*Tabla14[[#This Row],[% INTERES ]]/30*U1932))</f>
        <v>0</v>
      </c>
      <c r="T1932" s="53" t="e">
        <f>Tabla14[[#This Row],[DEUDA CAPITAL]]+Tabla14[[#This Row],[INTERES  CUOTA]]</f>
        <v>#NUM!</v>
      </c>
      <c r="U1932" s="61" t="str">
        <f t="shared" si="309"/>
        <v/>
      </c>
    </row>
    <row r="1933" spans="9:21" ht="24.75" customHeight="1" x14ac:dyDescent="0.35">
      <c r="I1933" s="42">
        <f t="shared" si="300"/>
        <v>0</v>
      </c>
      <c r="J1933" s="65" t="e">
        <f t="shared" si="301"/>
        <v>#NUM!</v>
      </c>
      <c r="K1933" s="83" t="e">
        <f t="shared" si="302"/>
        <v>#NUM!</v>
      </c>
      <c r="L1933" s="83">
        <f t="shared" si="303"/>
        <v>0</v>
      </c>
      <c r="M1933" s="110" t="str">
        <f t="shared" si="304"/>
        <v/>
      </c>
      <c r="N1933" s="51" t="str">
        <f t="shared" si="305"/>
        <v/>
      </c>
      <c r="O1933" s="52" t="str">
        <f t="shared" si="306"/>
        <v/>
      </c>
      <c r="P1933" s="88">
        <f t="shared" si="307"/>
        <v>0</v>
      </c>
      <c r="Q1933" s="88">
        <f t="shared" si="308"/>
        <v>0</v>
      </c>
      <c r="R1933" s="88" t="e">
        <f>-IF(Tabla14[[#This Row],[DIAS HABILES O MORA]]&lt;0,(Tabla14[[#This Row],[VALOR PRESTAMO]]*Tabla14[[#This Row],[% INTERES ]]/30*U1933))+Tabla14[[#This Row],[VALOR CUOTAS]]</f>
        <v>#VALUE!</v>
      </c>
      <c r="S1933" s="88">
        <f>-IF(Tabla14[[#This Row],[DIAS HABILES O MORA]]&lt;0,(Tabla14[[#This Row],[VALOR PRESTAMO]]*Tabla14[[#This Row],[% INTERES ]]/30*U1933))</f>
        <v>0</v>
      </c>
      <c r="T1933" s="53" t="e">
        <f>Tabla14[[#This Row],[DEUDA CAPITAL]]+Tabla14[[#This Row],[INTERES  CUOTA]]</f>
        <v>#NUM!</v>
      </c>
      <c r="U1933" s="61" t="str">
        <f t="shared" si="309"/>
        <v/>
      </c>
    </row>
    <row r="1934" spans="9:21" ht="24.75" customHeight="1" x14ac:dyDescent="0.35">
      <c r="I1934" s="42">
        <f t="shared" si="300"/>
        <v>0</v>
      </c>
      <c r="J1934" s="65" t="e">
        <f t="shared" si="301"/>
        <v>#NUM!</v>
      </c>
      <c r="K1934" s="83" t="e">
        <f t="shared" si="302"/>
        <v>#NUM!</v>
      </c>
      <c r="L1934" s="83">
        <f t="shared" si="303"/>
        <v>0</v>
      </c>
      <c r="M1934" s="110" t="str">
        <f t="shared" si="304"/>
        <v/>
      </c>
      <c r="N1934" s="51" t="str">
        <f t="shared" si="305"/>
        <v/>
      </c>
      <c r="O1934" s="52" t="str">
        <f t="shared" si="306"/>
        <v/>
      </c>
      <c r="P1934" s="88">
        <f t="shared" si="307"/>
        <v>0</v>
      </c>
      <c r="Q1934" s="88">
        <f t="shared" si="308"/>
        <v>0</v>
      </c>
      <c r="R1934" s="88" t="e">
        <f>-IF(Tabla14[[#This Row],[DIAS HABILES O MORA]]&lt;0,(Tabla14[[#This Row],[VALOR PRESTAMO]]*Tabla14[[#This Row],[% INTERES ]]/30*U1934))+Tabla14[[#This Row],[VALOR CUOTAS]]</f>
        <v>#VALUE!</v>
      </c>
      <c r="S1934" s="88">
        <f>-IF(Tabla14[[#This Row],[DIAS HABILES O MORA]]&lt;0,(Tabla14[[#This Row],[VALOR PRESTAMO]]*Tabla14[[#This Row],[% INTERES ]]/30*U1934))</f>
        <v>0</v>
      </c>
      <c r="T1934" s="53" t="e">
        <f>Tabla14[[#This Row],[DEUDA CAPITAL]]+Tabla14[[#This Row],[INTERES  CUOTA]]</f>
        <v>#NUM!</v>
      </c>
      <c r="U1934" s="61" t="str">
        <f t="shared" si="309"/>
        <v/>
      </c>
    </row>
    <row r="1935" spans="9:21" ht="24.75" customHeight="1" x14ac:dyDescent="0.35">
      <c r="I1935" s="42">
        <f t="shared" si="300"/>
        <v>0</v>
      </c>
      <c r="J1935" s="65" t="e">
        <f t="shared" si="301"/>
        <v>#NUM!</v>
      </c>
      <c r="K1935" s="83" t="e">
        <f t="shared" si="302"/>
        <v>#NUM!</v>
      </c>
      <c r="L1935" s="83">
        <f t="shared" si="303"/>
        <v>0</v>
      </c>
      <c r="M1935" s="110" t="str">
        <f t="shared" si="304"/>
        <v/>
      </c>
      <c r="N1935" s="51" t="str">
        <f t="shared" si="305"/>
        <v/>
      </c>
      <c r="O1935" s="52" t="str">
        <f t="shared" si="306"/>
        <v/>
      </c>
      <c r="P1935" s="88">
        <f t="shared" si="307"/>
        <v>0</v>
      </c>
      <c r="Q1935" s="88">
        <f t="shared" si="308"/>
        <v>0</v>
      </c>
      <c r="R1935" s="88" t="e">
        <f>-IF(Tabla14[[#This Row],[DIAS HABILES O MORA]]&lt;0,(Tabla14[[#This Row],[VALOR PRESTAMO]]*Tabla14[[#This Row],[% INTERES ]]/30*U1935))+Tabla14[[#This Row],[VALOR CUOTAS]]</f>
        <v>#VALUE!</v>
      </c>
      <c r="S1935" s="88">
        <f>-IF(Tabla14[[#This Row],[DIAS HABILES O MORA]]&lt;0,(Tabla14[[#This Row],[VALOR PRESTAMO]]*Tabla14[[#This Row],[% INTERES ]]/30*U1935))</f>
        <v>0</v>
      </c>
      <c r="T1935" s="53" t="e">
        <f>Tabla14[[#This Row],[DEUDA CAPITAL]]+Tabla14[[#This Row],[INTERES  CUOTA]]</f>
        <v>#NUM!</v>
      </c>
      <c r="U1935" s="61" t="str">
        <f t="shared" si="309"/>
        <v/>
      </c>
    </row>
    <row r="1936" spans="9:21" ht="24.75" customHeight="1" x14ac:dyDescent="0.35">
      <c r="I1936" s="42">
        <f t="shared" ref="I1936:I1999" si="310">IF(C1936&lt;0,"",IF(Q1936=0,0,IF(G1936=0,H1936+1,IF(H1936&lt;G1936,H1936+1,IF(G1936=H1936,0)))))</f>
        <v>0</v>
      </c>
      <c r="J1936" s="65" t="e">
        <f t="shared" ref="J1936:J1999" si="311">IF(F1936="SOLO INTERES",Q1936*D1936,-IPMT(D1936,I1936,G1936,C1936))</f>
        <v>#NUM!</v>
      </c>
      <c r="K1936" s="83" t="e">
        <f t="shared" ref="K1936:K1999" si="312">IF(F1936="SOLO INTERES",0,-PPMT(D1936,I1936,G1936,C1936))</f>
        <v>#NUM!</v>
      </c>
      <c r="L1936" s="83">
        <f t="shared" ref="L1936:L1999" si="313">IF(F1936="SOLO INTERES",SUM(Y1936:AAE1936),IFERROR(-CUMIPMT(D1936,G1936,C1936,1,H1936,0),0)+SUM(Y1936:WY1936))</f>
        <v>0</v>
      </c>
      <c r="M1936" s="110" t="str">
        <f t="shared" ref="M1936:M1999" si="314">IFERROR(IF(F1936="SOLO INTERES",Q1936*D1936,-PMT(D1936,G1936,C1936,0)),"")</f>
        <v/>
      </c>
      <c r="N1936" s="51" t="str">
        <f t="shared" ref="N1936:N1999" si="315">IF(Q1936=0,"",IF(E1936="MENSUAL",EDATE(B1936,I1936),IF(E1936="QUINCENAL",B1936+(I1936*15),IF(E1936="SEMANAL",B1936+(I1936*7)))))</f>
        <v/>
      </c>
      <c r="O1936" s="52" t="str">
        <f t="shared" ref="O1936:O1999" si="316">IF(C1936=0,"",IF(Q1936&lt;1,"PAGADO",IF(N1936=$A$3,"COBRAR HOY",IF(N1936&lt;$A$3,"EN MORA",IF(N1936&gt;$A$3,"AL DIA")))))</f>
        <v/>
      </c>
      <c r="P1936" s="88">
        <f t="shared" ref="P1936:P1999" si="317">IFERROR(-CUMPRINC(D1936,G1936,C1936,1,H1936,0),0)+W1936</f>
        <v>0</v>
      </c>
      <c r="Q1936" s="88">
        <f t="shared" ref="Q1936:Q1999" si="318">IFERROR(C1936-P1936,"")</f>
        <v>0</v>
      </c>
      <c r="R1936" s="88" t="e">
        <f>-IF(Tabla14[[#This Row],[DIAS HABILES O MORA]]&lt;0,(Tabla14[[#This Row],[VALOR PRESTAMO]]*Tabla14[[#This Row],[% INTERES ]]/30*U1936))+Tabla14[[#This Row],[VALOR CUOTAS]]</f>
        <v>#VALUE!</v>
      </c>
      <c r="S1936" s="88">
        <f>-IF(Tabla14[[#This Row],[DIAS HABILES O MORA]]&lt;0,(Tabla14[[#This Row],[VALOR PRESTAMO]]*Tabla14[[#This Row],[% INTERES ]]/30*U1936))</f>
        <v>0</v>
      </c>
      <c r="T1936" s="53" t="e">
        <f>Tabla14[[#This Row],[DEUDA CAPITAL]]+Tabla14[[#This Row],[INTERES  CUOTA]]</f>
        <v>#NUM!</v>
      </c>
      <c r="U1936" s="61" t="str">
        <f t="shared" ref="U1936:U1999" si="319">IF(O1936="PAGADO","",IFERROR(-IF(C1936=0,"",$A$3-N1936),""))</f>
        <v/>
      </c>
    </row>
    <row r="1937" spans="9:21" ht="24.75" customHeight="1" x14ac:dyDescent="0.35">
      <c r="I1937" s="42">
        <f t="shared" si="310"/>
        <v>0</v>
      </c>
      <c r="J1937" s="65" t="e">
        <f t="shared" si="311"/>
        <v>#NUM!</v>
      </c>
      <c r="K1937" s="83" t="e">
        <f t="shared" si="312"/>
        <v>#NUM!</v>
      </c>
      <c r="L1937" s="83">
        <f t="shared" si="313"/>
        <v>0</v>
      </c>
      <c r="M1937" s="110" t="str">
        <f t="shared" si="314"/>
        <v/>
      </c>
      <c r="N1937" s="51" t="str">
        <f t="shared" si="315"/>
        <v/>
      </c>
      <c r="O1937" s="52" t="str">
        <f t="shared" si="316"/>
        <v/>
      </c>
      <c r="P1937" s="88">
        <f t="shared" si="317"/>
        <v>0</v>
      </c>
      <c r="Q1937" s="88">
        <f t="shared" si="318"/>
        <v>0</v>
      </c>
      <c r="R1937" s="88" t="e">
        <f>-IF(Tabla14[[#This Row],[DIAS HABILES O MORA]]&lt;0,(Tabla14[[#This Row],[VALOR PRESTAMO]]*Tabla14[[#This Row],[% INTERES ]]/30*U1937))+Tabla14[[#This Row],[VALOR CUOTAS]]</f>
        <v>#VALUE!</v>
      </c>
      <c r="S1937" s="88">
        <f>-IF(Tabla14[[#This Row],[DIAS HABILES O MORA]]&lt;0,(Tabla14[[#This Row],[VALOR PRESTAMO]]*Tabla14[[#This Row],[% INTERES ]]/30*U1937))</f>
        <v>0</v>
      </c>
      <c r="T1937" s="53" t="e">
        <f>Tabla14[[#This Row],[DEUDA CAPITAL]]+Tabla14[[#This Row],[INTERES  CUOTA]]</f>
        <v>#NUM!</v>
      </c>
      <c r="U1937" s="61" t="str">
        <f t="shared" si="319"/>
        <v/>
      </c>
    </row>
    <row r="1938" spans="9:21" ht="24.75" customHeight="1" x14ac:dyDescent="0.35">
      <c r="I1938" s="42">
        <f t="shared" si="310"/>
        <v>0</v>
      </c>
      <c r="J1938" s="65" t="e">
        <f t="shared" si="311"/>
        <v>#NUM!</v>
      </c>
      <c r="K1938" s="83" t="e">
        <f t="shared" si="312"/>
        <v>#NUM!</v>
      </c>
      <c r="L1938" s="83">
        <f t="shared" si="313"/>
        <v>0</v>
      </c>
      <c r="M1938" s="110" t="str">
        <f t="shared" si="314"/>
        <v/>
      </c>
      <c r="N1938" s="51" t="str">
        <f t="shared" si="315"/>
        <v/>
      </c>
      <c r="O1938" s="52" t="str">
        <f t="shared" si="316"/>
        <v/>
      </c>
      <c r="P1938" s="88">
        <f t="shared" si="317"/>
        <v>0</v>
      </c>
      <c r="Q1938" s="88">
        <f t="shared" si="318"/>
        <v>0</v>
      </c>
      <c r="R1938" s="88" t="e">
        <f>-IF(Tabla14[[#This Row],[DIAS HABILES O MORA]]&lt;0,(Tabla14[[#This Row],[VALOR PRESTAMO]]*Tabla14[[#This Row],[% INTERES ]]/30*U1938))+Tabla14[[#This Row],[VALOR CUOTAS]]</f>
        <v>#VALUE!</v>
      </c>
      <c r="S1938" s="88">
        <f>-IF(Tabla14[[#This Row],[DIAS HABILES O MORA]]&lt;0,(Tabla14[[#This Row],[VALOR PRESTAMO]]*Tabla14[[#This Row],[% INTERES ]]/30*U1938))</f>
        <v>0</v>
      </c>
      <c r="T1938" s="53" t="e">
        <f>Tabla14[[#This Row],[DEUDA CAPITAL]]+Tabla14[[#This Row],[INTERES  CUOTA]]</f>
        <v>#NUM!</v>
      </c>
      <c r="U1938" s="61" t="str">
        <f t="shared" si="319"/>
        <v/>
      </c>
    </row>
    <row r="1939" spans="9:21" ht="24.75" customHeight="1" x14ac:dyDescent="0.35">
      <c r="I1939" s="42">
        <f t="shared" si="310"/>
        <v>0</v>
      </c>
      <c r="J1939" s="65" t="e">
        <f t="shared" si="311"/>
        <v>#NUM!</v>
      </c>
      <c r="K1939" s="83" t="e">
        <f t="shared" si="312"/>
        <v>#NUM!</v>
      </c>
      <c r="L1939" s="83">
        <f t="shared" si="313"/>
        <v>0</v>
      </c>
      <c r="M1939" s="110" t="str">
        <f t="shared" si="314"/>
        <v/>
      </c>
      <c r="N1939" s="51" t="str">
        <f t="shared" si="315"/>
        <v/>
      </c>
      <c r="O1939" s="52" t="str">
        <f t="shared" si="316"/>
        <v/>
      </c>
      <c r="P1939" s="88">
        <f t="shared" si="317"/>
        <v>0</v>
      </c>
      <c r="Q1939" s="88">
        <f t="shared" si="318"/>
        <v>0</v>
      </c>
      <c r="R1939" s="88" t="e">
        <f>-IF(Tabla14[[#This Row],[DIAS HABILES O MORA]]&lt;0,(Tabla14[[#This Row],[VALOR PRESTAMO]]*Tabla14[[#This Row],[% INTERES ]]/30*U1939))+Tabla14[[#This Row],[VALOR CUOTAS]]</f>
        <v>#VALUE!</v>
      </c>
      <c r="S1939" s="88">
        <f>-IF(Tabla14[[#This Row],[DIAS HABILES O MORA]]&lt;0,(Tabla14[[#This Row],[VALOR PRESTAMO]]*Tabla14[[#This Row],[% INTERES ]]/30*U1939))</f>
        <v>0</v>
      </c>
      <c r="T1939" s="53" t="e">
        <f>Tabla14[[#This Row],[DEUDA CAPITAL]]+Tabla14[[#This Row],[INTERES  CUOTA]]</f>
        <v>#NUM!</v>
      </c>
      <c r="U1939" s="61" t="str">
        <f t="shared" si="319"/>
        <v/>
      </c>
    </row>
    <row r="1940" spans="9:21" ht="24.75" customHeight="1" x14ac:dyDescent="0.35">
      <c r="I1940" s="42">
        <f t="shared" si="310"/>
        <v>0</v>
      </c>
      <c r="J1940" s="65" t="e">
        <f t="shared" si="311"/>
        <v>#NUM!</v>
      </c>
      <c r="K1940" s="83" t="e">
        <f t="shared" si="312"/>
        <v>#NUM!</v>
      </c>
      <c r="L1940" s="83">
        <f t="shared" si="313"/>
        <v>0</v>
      </c>
      <c r="M1940" s="110" t="str">
        <f t="shared" si="314"/>
        <v/>
      </c>
      <c r="N1940" s="51" t="str">
        <f t="shared" si="315"/>
        <v/>
      </c>
      <c r="O1940" s="52" t="str">
        <f t="shared" si="316"/>
        <v/>
      </c>
      <c r="P1940" s="88">
        <f t="shared" si="317"/>
        <v>0</v>
      </c>
      <c r="Q1940" s="88">
        <f t="shared" si="318"/>
        <v>0</v>
      </c>
      <c r="R1940" s="88" t="e">
        <f>-IF(Tabla14[[#This Row],[DIAS HABILES O MORA]]&lt;0,(Tabla14[[#This Row],[VALOR PRESTAMO]]*Tabla14[[#This Row],[% INTERES ]]/30*U1940))+Tabla14[[#This Row],[VALOR CUOTAS]]</f>
        <v>#VALUE!</v>
      </c>
      <c r="S1940" s="88">
        <f>-IF(Tabla14[[#This Row],[DIAS HABILES O MORA]]&lt;0,(Tabla14[[#This Row],[VALOR PRESTAMO]]*Tabla14[[#This Row],[% INTERES ]]/30*U1940))</f>
        <v>0</v>
      </c>
      <c r="T1940" s="53" t="e">
        <f>Tabla14[[#This Row],[DEUDA CAPITAL]]+Tabla14[[#This Row],[INTERES  CUOTA]]</f>
        <v>#NUM!</v>
      </c>
      <c r="U1940" s="61" t="str">
        <f t="shared" si="319"/>
        <v/>
      </c>
    </row>
    <row r="1941" spans="9:21" ht="24.75" customHeight="1" x14ac:dyDescent="0.35">
      <c r="I1941" s="42">
        <f t="shared" si="310"/>
        <v>0</v>
      </c>
      <c r="J1941" s="65" t="e">
        <f t="shared" si="311"/>
        <v>#NUM!</v>
      </c>
      <c r="K1941" s="83" t="e">
        <f t="shared" si="312"/>
        <v>#NUM!</v>
      </c>
      <c r="L1941" s="83">
        <f t="shared" si="313"/>
        <v>0</v>
      </c>
      <c r="M1941" s="110" t="str">
        <f t="shared" si="314"/>
        <v/>
      </c>
      <c r="N1941" s="51" t="str">
        <f t="shared" si="315"/>
        <v/>
      </c>
      <c r="O1941" s="52" t="str">
        <f t="shared" si="316"/>
        <v/>
      </c>
      <c r="P1941" s="88">
        <f t="shared" si="317"/>
        <v>0</v>
      </c>
      <c r="Q1941" s="88">
        <f t="shared" si="318"/>
        <v>0</v>
      </c>
      <c r="R1941" s="88" t="e">
        <f>-IF(Tabla14[[#This Row],[DIAS HABILES O MORA]]&lt;0,(Tabla14[[#This Row],[VALOR PRESTAMO]]*Tabla14[[#This Row],[% INTERES ]]/30*U1941))+Tabla14[[#This Row],[VALOR CUOTAS]]</f>
        <v>#VALUE!</v>
      </c>
      <c r="S1941" s="88">
        <f>-IF(Tabla14[[#This Row],[DIAS HABILES O MORA]]&lt;0,(Tabla14[[#This Row],[VALOR PRESTAMO]]*Tabla14[[#This Row],[% INTERES ]]/30*U1941))</f>
        <v>0</v>
      </c>
      <c r="T1941" s="53" t="e">
        <f>Tabla14[[#This Row],[DEUDA CAPITAL]]+Tabla14[[#This Row],[INTERES  CUOTA]]</f>
        <v>#NUM!</v>
      </c>
      <c r="U1941" s="61" t="str">
        <f t="shared" si="319"/>
        <v/>
      </c>
    </row>
    <row r="1942" spans="9:21" ht="24.75" customHeight="1" x14ac:dyDescent="0.35">
      <c r="I1942" s="42">
        <f t="shared" si="310"/>
        <v>0</v>
      </c>
      <c r="J1942" s="65" t="e">
        <f t="shared" si="311"/>
        <v>#NUM!</v>
      </c>
      <c r="K1942" s="83" t="e">
        <f t="shared" si="312"/>
        <v>#NUM!</v>
      </c>
      <c r="L1942" s="83">
        <f t="shared" si="313"/>
        <v>0</v>
      </c>
      <c r="M1942" s="110" t="str">
        <f t="shared" si="314"/>
        <v/>
      </c>
      <c r="N1942" s="51" t="str">
        <f t="shared" si="315"/>
        <v/>
      </c>
      <c r="O1942" s="52" t="str">
        <f t="shared" si="316"/>
        <v/>
      </c>
      <c r="P1942" s="88">
        <f t="shared" si="317"/>
        <v>0</v>
      </c>
      <c r="Q1942" s="88">
        <f t="shared" si="318"/>
        <v>0</v>
      </c>
      <c r="R1942" s="88" t="e">
        <f>-IF(Tabla14[[#This Row],[DIAS HABILES O MORA]]&lt;0,(Tabla14[[#This Row],[VALOR PRESTAMO]]*Tabla14[[#This Row],[% INTERES ]]/30*U1942))+Tabla14[[#This Row],[VALOR CUOTAS]]</f>
        <v>#VALUE!</v>
      </c>
      <c r="S1942" s="88">
        <f>-IF(Tabla14[[#This Row],[DIAS HABILES O MORA]]&lt;0,(Tabla14[[#This Row],[VALOR PRESTAMO]]*Tabla14[[#This Row],[% INTERES ]]/30*U1942))</f>
        <v>0</v>
      </c>
      <c r="T1942" s="53" t="e">
        <f>Tabla14[[#This Row],[DEUDA CAPITAL]]+Tabla14[[#This Row],[INTERES  CUOTA]]</f>
        <v>#NUM!</v>
      </c>
      <c r="U1942" s="61" t="str">
        <f t="shared" si="319"/>
        <v/>
      </c>
    </row>
    <row r="1943" spans="9:21" ht="24.75" customHeight="1" x14ac:dyDescent="0.35">
      <c r="I1943" s="42">
        <f t="shared" si="310"/>
        <v>0</v>
      </c>
      <c r="J1943" s="65" t="e">
        <f t="shared" si="311"/>
        <v>#NUM!</v>
      </c>
      <c r="K1943" s="83" t="e">
        <f t="shared" si="312"/>
        <v>#NUM!</v>
      </c>
      <c r="L1943" s="83">
        <f t="shared" si="313"/>
        <v>0</v>
      </c>
      <c r="M1943" s="110" t="str">
        <f t="shared" si="314"/>
        <v/>
      </c>
      <c r="N1943" s="51" t="str">
        <f t="shared" si="315"/>
        <v/>
      </c>
      <c r="O1943" s="52" t="str">
        <f t="shared" si="316"/>
        <v/>
      </c>
      <c r="P1943" s="88">
        <f t="shared" si="317"/>
        <v>0</v>
      </c>
      <c r="Q1943" s="88">
        <f t="shared" si="318"/>
        <v>0</v>
      </c>
      <c r="R1943" s="88" t="e">
        <f>-IF(Tabla14[[#This Row],[DIAS HABILES O MORA]]&lt;0,(Tabla14[[#This Row],[VALOR PRESTAMO]]*Tabla14[[#This Row],[% INTERES ]]/30*U1943))+Tabla14[[#This Row],[VALOR CUOTAS]]</f>
        <v>#VALUE!</v>
      </c>
      <c r="S1943" s="88">
        <f>-IF(Tabla14[[#This Row],[DIAS HABILES O MORA]]&lt;0,(Tabla14[[#This Row],[VALOR PRESTAMO]]*Tabla14[[#This Row],[% INTERES ]]/30*U1943))</f>
        <v>0</v>
      </c>
      <c r="T1943" s="53" t="e">
        <f>Tabla14[[#This Row],[DEUDA CAPITAL]]+Tabla14[[#This Row],[INTERES  CUOTA]]</f>
        <v>#NUM!</v>
      </c>
      <c r="U1943" s="61" t="str">
        <f t="shared" si="319"/>
        <v/>
      </c>
    </row>
    <row r="1944" spans="9:21" ht="24.75" customHeight="1" x14ac:dyDescent="0.35">
      <c r="I1944" s="42">
        <f t="shared" si="310"/>
        <v>0</v>
      </c>
      <c r="J1944" s="65" t="e">
        <f t="shared" si="311"/>
        <v>#NUM!</v>
      </c>
      <c r="K1944" s="83" t="e">
        <f t="shared" si="312"/>
        <v>#NUM!</v>
      </c>
      <c r="L1944" s="83">
        <f t="shared" si="313"/>
        <v>0</v>
      </c>
      <c r="M1944" s="110" t="str">
        <f t="shared" si="314"/>
        <v/>
      </c>
      <c r="N1944" s="51" t="str">
        <f t="shared" si="315"/>
        <v/>
      </c>
      <c r="O1944" s="52" t="str">
        <f t="shared" si="316"/>
        <v/>
      </c>
      <c r="P1944" s="88">
        <f t="shared" si="317"/>
        <v>0</v>
      </c>
      <c r="Q1944" s="88">
        <f t="shared" si="318"/>
        <v>0</v>
      </c>
      <c r="R1944" s="88" t="e">
        <f>-IF(Tabla14[[#This Row],[DIAS HABILES O MORA]]&lt;0,(Tabla14[[#This Row],[VALOR PRESTAMO]]*Tabla14[[#This Row],[% INTERES ]]/30*U1944))+Tabla14[[#This Row],[VALOR CUOTAS]]</f>
        <v>#VALUE!</v>
      </c>
      <c r="S1944" s="88">
        <f>-IF(Tabla14[[#This Row],[DIAS HABILES O MORA]]&lt;0,(Tabla14[[#This Row],[VALOR PRESTAMO]]*Tabla14[[#This Row],[% INTERES ]]/30*U1944))</f>
        <v>0</v>
      </c>
      <c r="T1944" s="53" t="e">
        <f>Tabla14[[#This Row],[DEUDA CAPITAL]]+Tabla14[[#This Row],[INTERES  CUOTA]]</f>
        <v>#NUM!</v>
      </c>
      <c r="U1944" s="61" t="str">
        <f t="shared" si="319"/>
        <v/>
      </c>
    </row>
    <row r="1945" spans="9:21" ht="24.75" customHeight="1" x14ac:dyDescent="0.35">
      <c r="I1945" s="42">
        <f t="shared" si="310"/>
        <v>0</v>
      </c>
      <c r="J1945" s="65" t="e">
        <f t="shared" si="311"/>
        <v>#NUM!</v>
      </c>
      <c r="K1945" s="83" t="e">
        <f t="shared" si="312"/>
        <v>#NUM!</v>
      </c>
      <c r="L1945" s="83">
        <f t="shared" si="313"/>
        <v>0</v>
      </c>
      <c r="M1945" s="110" t="str">
        <f t="shared" si="314"/>
        <v/>
      </c>
      <c r="N1945" s="51" t="str">
        <f t="shared" si="315"/>
        <v/>
      </c>
      <c r="O1945" s="52" t="str">
        <f t="shared" si="316"/>
        <v/>
      </c>
      <c r="P1945" s="88">
        <f t="shared" si="317"/>
        <v>0</v>
      </c>
      <c r="Q1945" s="88">
        <f t="shared" si="318"/>
        <v>0</v>
      </c>
      <c r="R1945" s="88" t="e">
        <f>-IF(Tabla14[[#This Row],[DIAS HABILES O MORA]]&lt;0,(Tabla14[[#This Row],[VALOR PRESTAMO]]*Tabla14[[#This Row],[% INTERES ]]/30*U1945))+Tabla14[[#This Row],[VALOR CUOTAS]]</f>
        <v>#VALUE!</v>
      </c>
      <c r="S1945" s="88">
        <f>-IF(Tabla14[[#This Row],[DIAS HABILES O MORA]]&lt;0,(Tabla14[[#This Row],[VALOR PRESTAMO]]*Tabla14[[#This Row],[% INTERES ]]/30*U1945))</f>
        <v>0</v>
      </c>
      <c r="T1945" s="53" t="e">
        <f>Tabla14[[#This Row],[DEUDA CAPITAL]]+Tabla14[[#This Row],[INTERES  CUOTA]]</f>
        <v>#NUM!</v>
      </c>
      <c r="U1945" s="61" t="str">
        <f t="shared" si="319"/>
        <v/>
      </c>
    </row>
    <row r="1946" spans="9:21" ht="24.75" customHeight="1" x14ac:dyDescent="0.35">
      <c r="I1946" s="42">
        <f t="shared" si="310"/>
        <v>0</v>
      </c>
      <c r="J1946" s="65" t="e">
        <f t="shared" si="311"/>
        <v>#NUM!</v>
      </c>
      <c r="K1946" s="83" t="e">
        <f t="shared" si="312"/>
        <v>#NUM!</v>
      </c>
      <c r="L1946" s="83">
        <f t="shared" si="313"/>
        <v>0</v>
      </c>
      <c r="M1946" s="110" t="str">
        <f t="shared" si="314"/>
        <v/>
      </c>
      <c r="N1946" s="51" t="str">
        <f t="shared" si="315"/>
        <v/>
      </c>
      <c r="O1946" s="52" t="str">
        <f t="shared" si="316"/>
        <v/>
      </c>
      <c r="P1946" s="88">
        <f t="shared" si="317"/>
        <v>0</v>
      </c>
      <c r="Q1946" s="88">
        <f t="shared" si="318"/>
        <v>0</v>
      </c>
      <c r="R1946" s="88" t="e">
        <f>-IF(Tabla14[[#This Row],[DIAS HABILES O MORA]]&lt;0,(Tabla14[[#This Row],[VALOR PRESTAMO]]*Tabla14[[#This Row],[% INTERES ]]/30*U1946))+Tabla14[[#This Row],[VALOR CUOTAS]]</f>
        <v>#VALUE!</v>
      </c>
      <c r="S1946" s="88">
        <f>-IF(Tabla14[[#This Row],[DIAS HABILES O MORA]]&lt;0,(Tabla14[[#This Row],[VALOR PRESTAMO]]*Tabla14[[#This Row],[% INTERES ]]/30*U1946))</f>
        <v>0</v>
      </c>
      <c r="T1946" s="53" t="e">
        <f>Tabla14[[#This Row],[DEUDA CAPITAL]]+Tabla14[[#This Row],[INTERES  CUOTA]]</f>
        <v>#NUM!</v>
      </c>
      <c r="U1946" s="61" t="str">
        <f t="shared" si="319"/>
        <v/>
      </c>
    </row>
    <row r="1947" spans="9:21" ht="24.75" customHeight="1" x14ac:dyDescent="0.35">
      <c r="I1947" s="42">
        <f t="shared" si="310"/>
        <v>0</v>
      </c>
      <c r="J1947" s="65" t="e">
        <f t="shared" si="311"/>
        <v>#NUM!</v>
      </c>
      <c r="K1947" s="83" t="e">
        <f t="shared" si="312"/>
        <v>#NUM!</v>
      </c>
      <c r="L1947" s="83">
        <f t="shared" si="313"/>
        <v>0</v>
      </c>
      <c r="M1947" s="110" t="str">
        <f t="shared" si="314"/>
        <v/>
      </c>
      <c r="N1947" s="51" t="str">
        <f t="shared" si="315"/>
        <v/>
      </c>
      <c r="O1947" s="52" t="str">
        <f t="shared" si="316"/>
        <v/>
      </c>
      <c r="P1947" s="88">
        <f t="shared" si="317"/>
        <v>0</v>
      </c>
      <c r="Q1947" s="88">
        <f t="shared" si="318"/>
        <v>0</v>
      </c>
      <c r="R1947" s="88" t="e">
        <f>-IF(Tabla14[[#This Row],[DIAS HABILES O MORA]]&lt;0,(Tabla14[[#This Row],[VALOR PRESTAMO]]*Tabla14[[#This Row],[% INTERES ]]/30*U1947))+Tabla14[[#This Row],[VALOR CUOTAS]]</f>
        <v>#VALUE!</v>
      </c>
      <c r="S1947" s="88">
        <f>-IF(Tabla14[[#This Row],[DIAS HABILES O MORA]]&lt;0,(Tabla14[[#This Row],[VALOR PRESTAMO]]*Tabla14[[#This Row],[% INTERES ]]/30*U1947))</f>
        <v>0</v>
      </c>
      <c r="T1947" s="53" t="e">
        <f>Tabla14[[#This Row],[DEUDA CAPITAL]]+Tabla14[[#This Row],[INTERES  CUOTA]]</f>
        <v>#NUM!</v>
      </c>
      <c r="U1947" s="61" t="str">
        <f t="shared" si="319"/>
        <v/>
      </c>
    </row>
    <row r="1948" spans="9:21" ht="24.75" customHeight="1" x14ac:dyDescent="0.35">
      <c r="I1948" s="42">
        <f t="shared" si="310"/>
        <v>0</v>
      </c>
      <c r="J1948" s="65" t="e">
        <f t="shared" si="311"/>
        <v>#NUM!</v>
      </c>
      <c r="K1948" s="83" t="e">
        <f t="shared" si="312"/>
        <v>#NUM!</v>
      </c>
      <c r="L1948" s="83">
        <f t="shared" si="313"/>
        <v>0</v>
      </c>
      <c r="M1948" s="110" t="str">
        <f t="shared" si="314"/>
        <v/>
      </c>
      <c r="N1948" s="51" t="str">
        <f t="shared" si="315"/>
        <v/>
      </c>
      <c r="O1948" s="52" t="str">
        <f t="shared" si="316"/>
        <v/>
      </c>
      <c r="P1948" s="88">
        <f t="shared" si="317"/>
        <v>0</v>
      </c>
      <c r="Q1948" s="88">
        <f t="shared" si="318"/>
        <v>0</v>
      </c>
      <c r="R1948" s="88" t="e">
        <f>-IF(Tabla14[[#This Row],[DIAS HABILES O MORA]]&lt;0,(Tabla14[[#This Row],[VALOR PRESTAMO]]*Tabla14[[#This Row],[% INTERES ]]/30*U1948))+Tabla14[[#This Row],[VALOR CUOTAS]]</f>
        <v>#VALUE!</v>
      </c>
      <c r="S1948" s="88">
        <f>-IF(Tabla14[[#This Row],[DIAS HABILES O MORA]]&lt;0,(Tabla14[[#This Row],[VALOR PRESTAMO]]*Tabla14[[#This Row],[% INTERES ]]/30*U1948))</f>
        <v>0</v>
      </c>
      <c r="T1948" s="53" t="e">
        <f>Tabla14[[#This Row],[DEUDA CAPITAL]]+Tabla14[[#This Row],[INTERES  CUOTA]]</f>
        <v>#NUM!</v>
      </c>
      <c r="U1948" s="61" t="str">
        <f t="shared" si="319"/>
        <v/>
      </c>
    </row>
    <row r="1949" spans="9:21" ht="24.75" customHeight="1" x14ac:dyDescent="0.35">
      <c r="I1949" s="42">
        <f t="shared" si="310"/>
        <v>0</v>
      </c>
      <c r="J1949" s="65" t="e">
        <f t="shared" si="311"/>
        <v>#NUM!</v>
      </c>
      <c r="K1949" s="83" t="e">
        <f t="shared" si="312"/>
        <v>#NUM!</v>
      </c>
      <c r="L1949" s="83">
        <f t="shared" si="313"/>
        <v>0</v>
      </c>
      <c r="M1949" s="110" t="str">
        <f t="shared" si="314"/>
        <v/>
      </c>
      <c r="N1949" s="51" t="str">
        <f t="shared" si="315"/>
        <v/>
      </c>
      <c r="O1949" s="52" t="str">
        <f t="shared" si="316"/>
        <v/>
      </c>
      <c r="P1949" s="88">
        <f t="shared" si="317"/>
        <v>0</v>
      </c>
      <c r="Q1949" s="88">
        <f t="shared" si="318"/>
        <v>0</v>
      </c>
      <c r="R1949" s="88" t="e">
        <f>-IF(Tabla14[[#This Row],[DIAS HABILES O MORA]]&lt;0,(Tabla14[[#This Row],[VALOR PRESTAMO]]*Tabla14[[#This Row],[% INTERES ]]/30*U1949))+Tabla14[[#This Row],[VALOR CUOTAS]]</f>
        <v>#VALUE!</v>
      </c>
      <c r="S1949" s="88">
        <f>-IF(Tabla14[[#This Row],[DIAS HABILES O MORA]]&lt;0,(Tabla14[[#This Row],[VALOR PRESTAMO]]*Tabla14[[#This Row],[% INTERES ]]/30*U1949))</f>
        <v>0</v>
      </c>
      <c r="T1949" s="53" t="e">
        <f>Tabla14[[#This Row],[DEUDA CAPITAL]]+Tabla14[[#This Row],[INTERES  CUOTA]]</f>
        <v>#NUM!</v>
      </c>
      <c r="U1949" s="61" t="str">
        <f t="shared" si="319"/>
        <v/>
      </c>
    </row>
    <row r="1950" spans="9:21" ht="24.75" customHeight="1" x14ac:dyDescent="0.35">
      <c r="I1950" s="42">
        <f t="shared" si="310"/>
        <v>0</v>
      </c>
      <c r="J1950" s="65" t="e">
        <f t="shared" si="311"/>
        <v>#NUM!</v>
      </c>
      <c r="K1950" s="83" t="e">
        <f t="shared" si="312"/>
        <v>#NUM!</v>
      </c>
      <c r="L1950" s="83">
        <f t="shared" si="313"/>
        <v>0</v>
      </c>
      <c r="M1950" s="110" t="str">
        <f t="shared" si="314"/>
        <v/>
      </c>
      <c r="N1950" s="51" t="str">
        <f t="shared" si="315"/>
        <v/>
      </c>
      <c r="O1950" s="52" t="str">
        <f t="shared" si="316"/>
        <v/>
      </c>
      <c r="P1950" s="88">
        <f t="shared" si="317"/>
        <v>0</v>
      </c>
      <c r="Q1950" s="88">
        <f t="shared" si="318"/>
        <v>0</v>
      </c>
      <c r="R1950" s="88" t="e">
        <f>-IF(Tabla14[[#This Row],[DIAS HABILES O MORA]]&lt;0,(Tabla14[[#This Row],[VALOR PRESTAMO]]*Tabla14[[#This Row],[% INTERES ]]/30*U1950))+Tabla14[[#This Row],[VALOR CUOTAS]]</f>
        <v>#VALUE!</v>
      </c>
      <c r="S1950" s="88">
        <f>-IF(Tabla14[[#This Row],[DIAS HABILES O MORA]]&lt;0,(Tabla14[[#This Row],[VALOR PRESTAMO]]*Tabla14[[#This Row],[% INTERES ]]/30*U1950))</f>
        <v>0</v>
      </c>
      <c r="T1950" s="53" t="e">
        <f>Tabla14[[#This Row],[DEUDA CAPITAL]]+Tabla14[[#This Row],[INTERES  CUOTA]]</f>
        <v>#NUM!</v>
      </c>
      <c r="U1950" s="61" t="str">
        <f t="shared" si="319"/>
        <v/>
      </c>
    </row>
    <row r="1951" spans="9:21" ht="24.75" customHeight="1" x14ac:dyDescent="0.35">
      <c r="I1951" s="42">
        <f t="shared" si="310"/>
        <v>0</v>
      </c>
      <c r="J1951" s="65" t="e">
        <f t="shared" si="311"/>
        <v>#NUM!</v>
      </c>
      <c r="K1951" s="83" t="e">
        <f t="shared" si="312"/>
        <v>#NUM!</v>
      </c>
      <c r="L1951" s="83">
        <f t="shared" si="313"/>
        <v>0</v>
      </c>
      <c r="M1951" s="110" t="str">
        <f t="shared" si="314"/>
        <v/>
      </c>
      <c r="N1951" s="51" t="str">
        <f t="shared" si="315"/>
        <v/>
      </c>
      <c r="O1951" s="52" t="str">
        <f t="shared" si="316"/>
        <v/>
      </c>
      <c r="P1951" s="88">
        <f t="shared" si="317"/>
        <v>0</v>
      </c>
      <c r="Q1951" s="88">
        <f t="shared" si="318"/>
        <v>0</v>
      </c>
      <c r="R1951" s="88" t="e">
        <f>-IF(Tabla14[[#This Row],[DIAS HABILES O MORA]]&lt;0,(Tabla14[[#This Row],[VALOR PRESTAMO]]*Tabla14[[#This Row],[% INTERES ]]/30*U1951))+Tabla14[[#This Row],[VALOR CUOTAS]]</f>
        <v>#VALUE!</v>
      </c>
      <c r="S1951" s="88">
        <f>-IF(Tabla14[[#This Row],[DIAS HABILES O MORA]]&lt;0,(Tabla14[[#This Row],[VALOR PRESTAMO]]*Tabla14[[#This Row],[% INTERES ]]/30*U1951))</f>
        <v>0</v>
      </c>
      <c r="T1951" s="53" t="e">
        <f>Tabla14[[#This Row],[DEUDA CAPITAL]]+Tabla14[[#This Row],[INTERES  CUOTA]]</f>
        <v>#NUM!</v>
      </c>
      <c r="U1951" s="61" t="str">
        <f t="shared" si="319"/>
        <v/>
      </c>
    </row>
    <row r="1952" spans="9:21" ht="24.75" customHeight="1" x14ac:dyDescent="0.35">
      <c r="I1952" s="42">
        <f t="shared" si="310"/>
        <v>0</v>
      </c>
      <c r="J1952" s="65" t="e">
        <f t="shared" si="311"/>
        <v>#NUM!</v>
      </c>
      <c r="K1952" s="83" t="e">
        <f t="shared" si="312"/>
        <v>#NUM!</v>
      </c>
      <c r="L1952" s="83">
        <f t="shared" si="313"/>
        <v>0</v>
      </c>
      <c r="M1952" s="110" t="str">
        <f t="shared" si="314"/>
        <v/>
      </c>
      <c r="N1952" s="51" t="str">
        <f t="shared" si="315"/>
        <v/>
      </c>
      <c r="O1952" s="52" t="str">
        <f t="shared" si="316"/>
        <v/>
      </c>
      <c r="P1952" s="88">
        <f t="shared" si="317"/>
        <v>0</v>
      </c>
      <c r="Q1952" s="88">
        <f t="shared" si="318"/>
        <v>0</v>
      </c>
      <c r="R1952" s="88" t="e">
        <f>-IF(Tabla14[[#This Row],[DIAS HABILES O MORA]]&lt;0,(Tabla14[[#This Row],[VALOR PRESTAMO]]*Tabla14[[#This Row],[% INTERES ]]/30*U1952))+Tabla14[[#This Row],[VALOR CUOTAS]]</f>
        <v>#VALUE!</v>
      </c>
      <c r="S1952" s="88">
        <f>-IF(Tabla14[[#This Row],[DIAS HABILES O MORA]]&lt;0,(Tabla14[[#This Row],[VALOR PRESTAMO]]*Tabla14[[#This Row],[% INTERES ]]/30*U1952))</f>
        <v>0</v>
      </c>
      <c r="T1952" s="53" t="e">
        <f>Tabla14[[#This Row],[DEUDA CAPITAL]]+Tabla14[[#This Row],[INTERES  CUOTA]]</f>
        <v>#NUM!</v>
      </c>
      <c r="U1952" s="61" t="str">
        <f t="shared" si="319"/>
        <v/>
      </c>
    </row>
    <row r="1953" spans="9:21" ht="24.75" customHeight="1" x14ac:dyDescent="0.35">
      <c r="I1953" s="42">
        <f t="shared" si="310"/>
        <v>0</v>
      </c>
      <c r="J1953" s="65" t="e">
        <f t="shared" si="311"/>
        <v>#NUM!</v>
      </c>
      <c r="K1953" s="83" t="e">
        <f t="shared" si="312"/>
        <v>#NUM!</v>
      </c>
      <c r="L1953" s="83">
        <f t="shared" si="313"/>
        <v>0</v>
      </c>
      <c r="M1953" s="110" t="str">
        <f t="shared" si="314"/>
        <v/>
      </c>
      <c r="N1953" s="51" t="str">
        <f t="shared" si="315"/>
        <v/>
      </c>
      <c r="O1953" s="52" t="str">
        <f t="shared" si="316"/>
        <v/>
      </c>
      <c r="P1953" s="88">
        <f t="shared" si="317"/>
        <v>0</v>
      </c>
      <c r="Q1953" s="88">
        <f t="shared" si="318"/>
        <v>0</v>
      </c>
      <c r="R1953" s="88" t="e">
        <f>-IF(Tabla14[[#This Row],[DIAS HABILES O MORA]]&lt;0,(Tabla14[[#This Row],[VALOR PRESTAMO]]*Tabla14[[#This Row],[% INTERES ]]/30*U1953))+Tabla14[[#This Row],[VALOR CUOTAS]]</f>
        <v>#VALUE!</v>
      </c>
      <c r="S1953" s="88">
        <f>-IF(Tabla14[[#This Row],[DIAS HABILES O MORA]]&lt;0,(Tabla14[[#This Row],[VALOR PRESTAMO]]*Tabla14[[#This Row],[% INTERES ]]/30*U1953))</f>
        <v>0</v>
      </c>
      <c r="T1953" s="53" t="e">
        <f>Tabla14[[#This Row],[DEUDA CAPITAL]]+Tabla14[[#This Row],[INTERES  CUOTA]]</f>
        <v>#NUM!</v>
      </c>
      <c r="U1953" s="61" t="str">
        <f t="shared" si="319"/>
        <v/>
      </c>
    </row>
    <row r="1954" spans="9:21" ht="24.75" customHeight="1" x14ac:dyDescent="0.35">
      <c r="I1954" s="42">
        <f t="shared" si="310"/>
        <v>0</v>
      </c>
      <c r="J1954" s="65" t="e">
        <f t="shared" si="311"/>
        <v>#NUM!</v>
      </c>
      <c r="K1954" s="83" t="e">
        <f t="shared" si="312"/>
        <v>#NUM!</v>
      </c>
      <c r="L1954" s="83">
        <f t="shared" si="313"/>
        <v>0</v>
      </c>
      <c r="M1954" s="110" t="str">
        <f t="shared" si="314"/>
        <v/>
      </c>
      <c r="N1954" s="51" t="str">
        <f t="shared" si="315"/>
        <v/>
      </c>
      <c r="O1954" s="52" t="str">
        <f t="shared" si="316"/>
        <v/>
      </c>
      <c r="P1954" s="88">
        <f t="shared" si="317"/>
        <v>0</v>
      </c>
      <c r="Q1954" s="88">
        <f t="shared" si="318"/>
        <v>0</v>
      </c>
      <c r="R1954" s="88" t="e">
        <f>-IF(Tabla14[[#This Row],[DIAS HABILES O MORA]]&lt;0,(Tabla14[[#This Row],[VALOR PRESTAMO]]*Tabla14[[#This Row],[% INTERES ]]/30*U1954))+Tabla14[[#This Row],[VALOR CUOTAS]]</f>
        <v>#VALUE!</v>
      </c>
      <c r="S1954" s="88">
        <f>-IF(Tabla14[[#This Row],[DIAS HABILES O MORA]]&lt;0,(Tabla14[[#This Row],[VALOR PRESTAMO]]*Tabla14[[#This Row],[% INTERES ]]/30*U1954))</f>
        <v>0</v>
      </c>
      <c r="T1954" s="53" t="e">
        <f>Tabla14[[#This Row],[DEUDA CAPITAL]]+Tabla14[[#This Row],[INTERES  CUOTA]]</f>
        <v>#NUM!</v>
      </c>
      <c r="U1954" s="61" t="str">
        <f t="shared" si="319"/>
        <v/>
      </c>
    </row>
    <row r="1955" spans="9:21" ht="24.75" customHeight="1" x14ac:dyDescent="0.35">
      <c r="I1955" s="42">
        <f t="shared" si="310"/>
        <v>0</v>
      </c>
      <c r="J1955" s="65" t="e">
        <f t="shared" si="311"/>
        <v>#NUM!</v>
      </c>
      <c r="K1955" s="83" t="e">
        <f t="shared" si="312"/>
        <v>#NUM!</v>
      </c>
      <c r="L1955" s="83">
        <f t="shared" si="313"/>
        <v>0</v>
      </c>
      <c r="M1955" s="110" t="str">
        <f t="shared" si="314"/>
        <v/>
      </c>
      <c r="N1955" s="51" t="str">
        <f t="shared" si="315"/>
        <v/>
      </c>
      <c r="O1955" s="52" t="str">
        <f t="shared" si="316"/>
        <v/>
      </c>
      <c r="P1955" s="88">
        <f t="shared" si="317"/>
        <v>0</v>
      </c>
      <c r="Q1955" s="88">
        <f t="shared" si="318"/>
        <v>0</v>
      </c>
      <c r="R1955" s="88" t="e">
        <f>-IF(Tabla14[[#This Row],[DIAS HABILES O MORA]]&lt;0,(Tabla14[[#This Row],[VALOR PRESTAMO]]*Tabla14[[#This Row],[% INTERES ]]/30*U1955))+Tabla14[[#This Row],[VALOR CUOTAS]]</f>
        <v>#VALUE!</v>
      </c>
      <c r="S1955" s="88">
        <f>-IF(Tabla14[[#This Row],[DIAS HABILES O MORA]]&lt;0,(Tabla14[[#This Row],[VALOR PRESTAMO]]*Tabla14[[#This Row],[% INTERES ]]/30*U1955))</f>
        <v>0</v>
      </c>
      <c r="T1955" s="53" t="e">
        <f>Tabla14[[#This Row],[DEUDA CAPITAL]]+Tabla14[[#This Row],[INTERES  CUOTA]]</f>
        <v>#NUM!</v>
      </c>
      <c r="U1955" s="61" t="str">
        <f t="shared" si="319"/>
        <v/>
      </c>
    </row>
    <row r="1956" spans="9:21" ht="24.75" customHeight="1" x14ac:dyDescent="0.35">
      <c r="I1956" s="42">
        <f t="shared" si="310"/>
        <v>0</v>
      </c>
      <c r="J1956" s="65" t="e">
        <f t="shared" si="311"/>
        <v>#NUM!</v>
      </c>
      <c r="K1956" s="83" t="e">
        <f t="shared" si="312"/>
        <v>#NUM!</v>
      </c>
      <c r="L1956" s="83">
        <f t="shared" si="313"/>
        <v>0</v>
      </c>
      <c r="M1956" s="110" t="str">
        <f t="shared" si="314"/>
        <v/>
      </c>
      <c r="N1956" s="51" t="str">
        <f t="shared" si="315"/>
        <v/>
      </c>
      <c r="O1956" s="52" t="str">
        <f t="shared" si="316"/>
        <v/>
      </c>
      <c r="P1956" s="88">
        <f t="shared" si="317"/>
        <v>0</v>
      </c>
      <c r="Q1956" s="88">
        <f t="shared" si="318"/>
        <v>0</v>
      </c>
      <c r="R1956" s="88" t="e">
        <f>-IF(Tabla14[[#This Row],[DIAS HABILES O MORA]]&lt;0,(Tabla14[[#This Row],[VALOR PRESTAMO]]*Tabla14[[#This Row],[% INTERES ]]/30*U1956))+Tabla14[[#This Row],[VALOR CUOTAS]]</f>
        <v>#VALUE!</v>
      </c>
      <c r="S1956" s="88">
        <f>-IF(Tabla14[[#This Row],[DIAS HABILES O MORA]]&lt;0,(Tabla14[[#This Row],[VALOR PRESTAMO]]*Tabla14[[#This Row],[% INTERES ]]/30*U1956))</f>
        <v>0</v>
      </c>
      <c r="T1956" s="53" t="e">
        <f>Tabla14[[#This Row],[DEUDA CAPITAL]]+Tabla14[[#This Row],[INTERES  CUOTA]]</f>
        <v>#NUM!</v>
      </c>
      <c r="U1956" s="61" t="str">
        <f t="shared" si="319"/>
        <v/>
      </c>
    </row>
    <row r="1957" spans="9:21" ht="24.75" customHeight="1" x14ac:dyDescent="0.35">
      <c r="I1957" s="42">
        <f t="shared" si="310"/>
        <v>0</v>
      </c>
      <c r="J1957" s="65" t="e">
        <f t="shared" si="311"/>
        <v>#NUM!</v>
      </c>
      <c r="K1957" s="83" t="e">
        <f t="shared" si="312"/>
        <v>#NUM!</v>
      </c>
      <c r="L1957" s="83">
        <f t="shared" si="313"/>
        <v>0</v>
      </c>
      <c r="M1957" s="110" t="str">
        <f t="shared" si="314"/>
        <v/>
      </c>
      <c r="N1957" s="51" t="str">
        <f t="shared" si="315"/>
        <v/>
      </c>
      <c r="O1957" s="52" t="str">
        <f t="shared" si="316"/>
        <v/>
      </c>
      <c r="P1957" s="88">
        <f t="shared" si="317"/>
        <v>0</v>
      </c>
      <c r="Q1957" s="88">
        <f t="shared" si="318"/>
        <v>0</v>
      </c>
      <c r="R1957" s="88" t="e">
        <f>-IF(Tabla14[[#This Row],[DIAS HABILES O MORA]]&lt;0,(Tabla14[[#This Row],[VALOR PRESTAMO]]*Tabla14[[#This Row],[% INTERES ]]/30*U1957))+Tabla14[[#This Row],[VALOR CUOTAS]]</f>
        <v>#VALUE!</v>
      </c>
      <c r="S1957" s="88">
        <f>-IF(Tabla14[[#This Row],[DIAS HABILES O MORA]]&lt;0,(Tabla14[[#This Row],[VALOR PRESTAMO]]*Tabla14[[#This Row],[% INTERES ]]/30*U1957))</f>
        <v>0</v>
      </c>
      <c r="T1957" s="53" t="e">
        <f>Tabla14[[#This Row],[DEUDA CAPITAL]]+Tabla14[[#This Row],[INTERES  CUOTA]]</f>
        <v>#NUM!</v>
      </c>
      <c r="U1957" s="61" t="str">
        <f t="shared" si="319"/>
        <v/>
      </c>
    </row>
    <row r="1958" spans="9:21" ht="24.75" customHeight="1" x14ac:dyDescent="0.35">
      <c r="I1958" s="42">
        <f t="shared" si="310"/>
        <v>0</v>
      </c>
      <c r="J1958" s="65" t="e">
        <f t="shared" si="311"/>
        <v>#NUM!</v>
      </c>
      <c r="K1958" s="83" t="e">
        <f t="shared" si="312"/>
        <v>#NUM!</v>
      </c>
      <c r="L1958" s="83">
        <f t="shared" si="313"/>
        <v>0</v>
      </c>
      <c r="M1958" s="110" t="str">
        <f t="shared" si="314"/>
        <v/>
      </c>
      <c r="N1958" s="51" t="str">
        <f t="shared" si="315"/>
        <v/>
      </c>
      <c r="O1958" s="52" t="str">
        <f t="shared" si="316"/>
        <v/>
      </c>
      <c r="P1958" s="88">
        <f t="shared" si="317"/>
        <v>0</v>
      </c>
      <c r="Q1958" s="88">
        <f t="shared" si="318"/>
        <v>0</v>
      </c>
      <c r="R1958" s="88" t="e">
        <f>-IF(Tabla14[[#This Row],[DIAS HABILES O MORA]]&lt;0,(Tabla14[[#This Row],[VALOR PRESTAMO]]*Tabla14[[#This Row],[% INTERES ]]/30*U1958))+Tabla14[[#This Row],[VALOR CUOTAS]]</f>
        <v>#VALUE!</v>
      </c>
      <c r="S1958" s="88">
        <f>-IF(Tabla14[[#This Row],[DIAS HABILES O MORA]]&lt;0,(Tabla14[[#This Row],[VALOR PRESTAMO]]*Tabla14[[#This Row],[% INTERES ]]/30*U1958))</f>
        <v>0</v>
      </c>
      <c r="T1958" s="53" t="e">
        <f>Tabla14[[#This Row],[DEUDA CAPITAL]]+Tabla14[[#This Row],[INTERES  CUOTA]]</f>
        <v>#NUM!</v>
      </c>
      <c r="U1958" s="61" t="str">
        <f t="shared" si="319"/>
        <v/>
      </c>
    </row>
    <row r="1959" spans="9:21" ht="24.75" customHeight="1" x14ac:dyDescent="0.35">
      <c r="I1959" s="42">
        <f t="shared" si="310"/>
        <v>0</v>
      </c>
      <c r="J1959" s="65" t="e">
        <f t="shared" si="311"/>
        <v>#NUM!</v>
      </c>
      <c r="K1959" s="83" t="e">
        <f t="shared" si="312"/>
        <v>#NUM!</v>
      </c>
      <c r="L1959" s="83">
        <f t="shared" si="313"/>
        <v>0</v>
      </c>
      <c r="M1959" s="110" t="str">
        <f t="shared" si="314"/>
        <v/>
      </c>
      <c r="N1959" s="51" t="str">
        <f t="shared" si="315"/>
        <v/>
      </c>
      <c r="O1959" s="52" t="str">
        <f t="shared" si="316"/>
        <v/>
      </c>
      <c r="P1959" s="88">
        <f t="shared" si="317"/>
        <v>0</v>
      </c>
      <c r="Q1959" s="88">
        <f t="shared" si="318"/>
        <v>0</v>
      </c>
      <c r="R1959" s="88" t="e">
        <f>-IF(Tabla14[[#This Row],[DIAS HABILES O MORA]]&lt;0,(Tabla14[[#This Row],[VALOR PRESTAMO]]*Tabla14[[#This Row],[% INTERES ]]/30*U1959))+Tabla14[[#This Row],[VALOR CUOTAS]]</f>
        <v>#VALUE!</v>
      </c>
      <c r="S1959" s="88">
        <f>-IF(Tabla14[[#This Row],[DIAS HABILES O MORA]]&lt;0,(Tabla14[[#This Row],[VALOR PRESTAMO]]*Tabla14[[#This Row],[% INTERES ]]/30*U1959))</f>
        <v>0</v>
      </c>
      <c r="T1959" s="53" t="e">
        <f>Tabla14[[#This Row],[DEUDA CAPITAL]]+Tabla14[[#This Row],[INTERES  CUOTA]]</f>
        <v>#NUM!</v>
      </c>
      <c r="U1959" s="61" t="str">
        <f t="shared" si="319"/>
        <v/>
      </c>
    </row>
    <row r="1960" spans="9:21" ht="24.75" customHeight="1" x14ac:dyDescent="0.35">
      <c r="I1960" s="42">
        <f t="shared" si="310"/>
        <v>0</v>
      </c>
      <c r="J1960" s="65" t="e">
        <f t="shared" si="311"/>
        <v>#NUM!</v>
      </c>
      <c r="K1960" s="83" t="e">
        <f t="shared" si="312"/>
        <v>#NUM!</v>
      </c>
      <c r="L1960" s="83">
        <f t="shared" si="313"/>
        <v>0</v>
      </c>
      <c r="M1960" s="110" t="str">
        <f t="shared" si="314"/>
        <v/>
      </c>
      <c r="N1960" s="51" t="str">
        <f t="shared" si="315"/>
        <v/>
      </c>
      <c r="O1960" s="52" t="str">
        <f t="shared" si="316"/>
        <v/>
      </c>
      <c r="P1960" s="88">
        <f t="shared" si="317"/>
        <v>0</v>
      </c>
      <c r="Q1960" s="88">
        <f t="shared" si="318"/>
        <v>0</v>
      </c>
      <c r="R1960" s="88" t="e">
        <f>-IF(Tabla14[[#This Row],[DIAS HABILES O MORA]]&lt;0,(Tabla14[[#This Row],[VALOR PRESTAMO]]*Tabla14[[#This Row],[% INTERES ]]/30*U1960))+Tabla14[[#This Row],[VALOR CUOTAS]]</f>
        <v>#VALUE!</v>
      </c>
      <c r="S1960" s="88">
        <f>-IF(Tabla14[[#This Row],[DIAS HABILES O MORA]]&lt;0,(Tabla14[[#This Row],[VALOR PRESTAMO]]*Tabla14[[#This Row],[% INTERES ]]/30*U1960))</f>
        <v>0</v>
      </c>
      <c r="T1960" s="53" t="e">
        <f>Tabla14[[#This Row],[DEUDA CAPITAL]]+Tabla14[[#This Row],[INTERES  CUOTA]]</f>
        <v>#NUM!</v>
      </c>
      <c r="U1960" s="61" t="str">
        <f t="shared" si="319"/>
        <v/>
      </c>
    </row>
    <row r="1961" spans="9:21" ht="24.75" customHeight="1" x14ac:dyDescent="0.35">
      <c r="I1961" s="42">
        <f t="shared" si="310"/>
        <v>0</v>
      </c>
      <c r="J1961" s="65" t="e">
        <f t="shared" si="311"/>
        <v>#NUM!</v>
      </c>
      <c r="K1961" s="83" t="e">
        <f t="shared" si="312"/>
        <v>#NUM!</v>
      </c>
      <c r="L1961" s="83">
        <f t="shared" si="313"/>
        <v>0</v>
      </c>
      <c r="M1961" s="110" t="str">
        <f t="shared" si="314"/>
        <v/>
      </c>
      <c r="N1961" s="51" t="str">
        <f t="shared" si="315"/>
        <v/>
      </c>
      <c r="O1961" s="52" t="str">
        <f t="shared" si="316"/>
        <v/>
      </c>
      <c r="P1961" s="88">
        <f t="shared" si="317"/>
        <v>0</v>
      </c>
      <c r="Q1961" s="88">
        <f t="shared" si="318"/>
        <v>0</v>
      </c>
      <c r="R1961" s="88" t="e">
        <f>-IF(Tabla14[[#This Row],[DIAS HABILES O MORA]]&lt;0,(Tabla14[[#This Row],[VALOR PRESTAMO]]*Tabla14[[#This Row],[% INTERES ]]/30*U1961))+Tabla14[[#This Row],[VALOR CUOTAS]]</f>
        <v>#VALUE!</v>
      </c>
      <c r="S1961" s="88">
        <f>-IF(Tabla14[[#This Row],[DIAS HABILES O MORA]]&lt;0,(Tabla14[[#This Row],[VALOR PRESTAMO]]*Tabla14[[#This Row],[% INTERES ]]/30*U1961))</f>
        <v>0</v>
      </c>
      <c r="T1961" s="53" t="e">
        <f>Tabla14[[#This Row],[DEUDA CAPITAL]]+Tabla14[[#This Row],[INTERES  CUOTA]]</f>
        <v>#NUM!</v>
      </c>
      <c r="U1961" s="61" t="str">
        <f t="shared" si="319"/>
        <v/>
      </c>
    </row>
    <row r="1962" spans="9:21" ht="24.75" customHeight="1" x14ac:dyDescent="0.35">
      <c r="I1962" s="42">
        <f t="shared" si="310"/>
        <v>0</v>
      </c>
      <c r="J1962" s="65" t="e">
        <f t="shared" si="311"/>
        <v>#NUM!</v>
      </c>
      <c r="K1962" s="83" t="e">
        <f t="shared" si="312"/>
        <v>#NUM!</v>
      </c>
      <c r="L1962" s="83">
        <f t="shared" si="313"/>
        <v>0</v>
      </c>
      <c r="M1962" s="110" t="str">
        <f t="shared" si="314"/>
        <v/>
      </c>
      <c r="N1962" s="51" t="str">
        <f t="shared" si="315"/>
        <v/>
      </c>
      <c r="O1962" s="52" t="str">
        <f t="shared" si="316"/>
        <v/>
      </c>
      <c r="P1962" s="88">
        <f t="shared" si="317"/>
        <v>0</v>
      </c>
      <c r="Q1962" s="88">
        <f t="shared" si="318"/>
        <v>0</v>
      </c>
      <c r="R1962" s="88" t="e">
        <f>-IF(Tabla14[[#This Row],[DIAS HABILES O MORA]]&lt;0,(Tabla14[[#This Row],[VALOR PRESTAMO]]*Tabla14[[#This Row],[% INTERES ]]/30*U1962))+Tabla14[[#This Row],[VALOR CUOTAS]]</f>
        <v>#VALUE!</v>
      </c>
      <c r="S1962" s="88">
        <f>-IF(Tabla14[[#This Row],[DIAS HABILES O MORA]]&lt;0,(Tabla14[[#This Row],[VALOR PRESTAMO]]*Tabla14[[#This Row],[% INTERES ]]/30*U1962))</f>
        <v>0</v>
      </c>
      <c r="T1962" s="53" t="e">
        <f>Tabla14[[#This Row],[DEUDA CAPITAL]]+Tabla14[[#This Row],[INTERES  CUOTA]]</f>
        <v>#NUM!</v>
      </c>
      <c r="U1962" s="61" t="str">
        <f t="shared" si="319"/>
        <v/>
      </c>
    </row>
    <row r="1963" spans="9:21" ht="24.75" customHeight="1" x14ac:dyDescent="0.35">
      <c r="I1963" s="42">
        <f t="shared" si="310"/>
        <v>0</v>
      </c>
      <c r="J1963" s="65" t="e">
        <f t="shared" si="311"/>
        <v>#NUM!</v>
      </c>
      <c r="K1963" s="83" t="e">
        <f t="shared" si="312"/>
        <v>#NUM!</v>
      </c>
      <c r="L1963" s="83">
        <f t="shared" si="313"/>
        <v>0</v>
      </c>
      <c r="M1963" s="110" t="str">
        <f t="shared" si="314"/>
        <v/>
      </c>
      <c r="N1963" s="51" t="str">
        <f t="shared" si="315"/>
        <v/>
      </c>
      <c r="O1963" s="52" t="str">
        <f t="shared" si="316"/>
        <v/>
      </c>
      <c r="P1963" s="88">
        <f t="shared" si="317"/>
        <v>0</v>
      </c>
      <c r="Q1963" s="88">
        <f t="shared" si="318"/>
        <v>0</v>
      </c>
      <c r="R1963" s="88" t="e">
        <f>-IF(Tabla14[[#This Row],[DIAS HABILES O MORA]]&lt;0,(Tabla14[[#This Row],[VALOR PRESTAMO]]*Tabla14[[#This Row],[% INTERES ]]/30*U1963))+Tabla14[[#This Row],[VALOR CUOTAS]]</f>
        <v>#VALUE!</v>
      </c>
      <c r="S1963" s="88">
        <f>-IF(Tabla14[[#This Row],[DIAS HABILES O MORA]]&lt;0,(Tabla14[[#This Row],[VALOR PRESTAMO]]*Tabla14[[#This Row],[% INTERES ]]/30*U1963))</f>
        <v>0</v>
      </c>
      <c r="T1963" s="53" t="e">
        <f>Tabla14[[#This Row],[DEUDA CAPITAL]]+Tabla14[[#This Row],[INTERES  CUOTA]]</f>
        <v>#NUM!</v>
      </c>
      <c r="U1963" s="61" t="str">
        <f t="shared" si="319"/>
        <v/>
      </c>
    </row>
    <row r="1964" spans="9:21" ht="24.75" customHeight="1" x14ac:dyDescent="0.35">
      <c r="I1964" s="42">
        <f t="shared" si="310"/>
        <v>0</v>
      </c>
      <c r="J1964" s="65" t="e">
        <f t="shared" si="311"/>
        <v>#NUM!</v>
      </c>
      <c r="K1964" s="83" t="e">
        <f t="shared" si="312"/>
        <v>#NUM!</v>
      </c>
      <c r="L1964" s="83">
        <f t="shared" si="313"/>
        <v>0</v>
      </c>
      <c r="M1964" s="110" t="str">
        <f t="shared" si="314"/>
        <v/>
      </c>
      <c r="N1964" s="51" t="str">
        <f t="shared" si="315"/>
        <v/>
      </c>
      <c r="O1964" s="52" t="str">
        <f t="shared" si="316"/>
        <v/>
      </c>
      <c r="P1964" s="88">
        <f t="shared" si="317"/>
        <v>0</v>
      </c>
      <c r="Q1964" s="88">
        <f t="shared" si="318"/>
        <v>0</v>
      </c>
      <c r="R1964" s="88" t="e">
        <f>-IF(Tabla14[[#This Row],[DIAS HABILES O MORA]]&lt;0,(Tabla14[[#This Row],[VALOR PRESTAMO]]*Tabla14[[#This Row],[% INTERES ]]/30*U1964))+Tabla14[[#This Row],[VALOR CUOTAS]]</f>
        <v>#VALUE!</v>
      </c>
      <c r="S1964" s="88">
        <f>-IF(Tabla14[[#This Row],[DIAS HABILES O MORA]]&lt;0,(Tabla14[[#This Row],[VALOR PRESTAMO]]*Tabla14[[#This Row],[% INTERES ]]/30*U1964))</f>
        <v>0</v>
      </c>
      <c r="T1964" s="53" t="e">
        <f>Tabla14[[#This Row],[DEUDA CAPITAL]]+Tabla14[[#This Row],[INTERES  CUOTA]]</f>
        <v>#NUM!</v>
      </c>
      <c r="U1964" s="61" t="str">
        <f t="shared" si="319"/>
        <v/>
      </c>
    </row>
    <row r="1965" spans="9:21" ht="24.75" customHeight="1" x14ac:dyDescent="0.35">
      <c r="I1965" s="42">
        <f t="shared" si="310"/>
        <v>0</v>
      </c>
      <c r="J1965" s="65" t="e">
        <f t="shared" si="311"/>
        <v>#NUM!</v>
      </c>
      <c r="K1965" s="83" t="e">
        <f t="shared" si="312"/>
        <v>#NUM!</v>
      </c>
      <c r="L1965" s="83">
        <f t="shared" si="313"/>
        <v>0</v>
      </c>
      <c r="M1965" s="110" t="str">
        <f t="shared" si="314"/>
        <v/>
      </c>
      <c r="N1965" s="51" t="str">
        <f t="shared" si="315"/>
        <v/>
      </c>
      <c r="O1965" s="52" t="str">
        <f t="shared" si="316"/>
        <v/>
      </c>
      <c r="P1965" s="88">
        <f t="shared" si="317"/>
        <v>0</v>
      </c>
      <c r="Q1965" s="88">
        <f t="shared" si="318"/>
        <v>0</v>
      </c>
      <c r="R1965" s="88" t="e">
        <f>-IF(Tabla14[[#This Row],[DIAS HABILES O MORA]]&lt;0,(Tabla14[[#This Row],[VALOR PRESTAMO]]*Tabla14[[#This Row],[% INTERES ]]/30*U1965))+Tabla14[[#This Row],[VALOR CUOTAS]]</f>
        <v>#VALUE!</v>
      </c>
      <c r="S1965" s="88">
        <f>-IF(Tabla14[[#This Row],[DIAS HABILES O MORA]]&lt;0,(Tabla14[[#This Row],[VALOR PRESTAMO]]*Tabla14[[#This Row],[% INTERES ]]/30*U1965))</f>
        <v>0</v>
      </c>
      <c r="T1965" s="53" t="e">
        <f>Tabla14[[#This Row],[DEUDA CAPITAL]]+Tabla14[[#This Row],[INTERES  CUOTA]]</f>
        <v>#NUM!</v>
      </c>
      <c r="U1965" s="61" t="str">
        <f t="shared" si="319"/>
        <v/>
      </c>
    </row>
    <row r="1966" spans="9:21" ht="24.75" customHeight="1" x14ac:dyDescent="0.35">
      <c r="I1966" s="42">
        <f t="shared" si="310"/>
        <v>0</v>
      </c>
      <c r="J1966" s="65" t="e">
        <f t="shared" si="311"/>
        <v>#NUM!</v>
      </c>
      <c r="K1966" s="83" t="e">
        <f t="shared" si="312"/>
        <v>#NUM!</v>
      </c>
      <c r="L1966" s="83">
        <f t="shared" si="313"/>
        <v>0</v>
      </c>
      <c r="M1966" s="110" t="str">
        <f t="shared" si="314"/>
        <v/>
      </c>
      <c r="N1966" s="51" t="str">
        <f t="shared" si="315"/>
        <v/>
      </c>
      <c r="O1966" s="52" t="str">
        <f t="shared" si="316"/>
        <v/>
      </c>
      <c r="P1966" s="88">
        <f t="shared" si="317"/>
        <v>0</v>
      </c>
      <c r="Q1966" s="88">
        <f t="shared" si="318"/>
        <v>0</v>
      </c>
      <c r="R1966" s="88" t="e">
        <f>-IF(Tabla14[[#This Row],[DIAS HABILES O MORA]]&lt;0,(Tabla14[[#This Row],[VALOR PRESTAMO]]*Tabla14[[#This Row],[% INTERES ]]/30*U1966))+Tabla14[[#This Row],[VALOR CUOTAS]]</f>
        <v>#VALUE!</v>
      </c>
      <c r="S1966" s="88">
        <f>-IF(Tabla14[[#This Row],[DIAS HABILES O MORA]]&lt;0,(Tabla14[[#This Row],[VALOR PRESTAMO]]*Tabla14[[#This Row],[% INTERES ]]/30*U1966))</f>
        <v>0</v>
      </c>
      <c r="T1966" s="53" t="e">
        <f>Tabla14[[#This Row],[DEUDA CAPITAL]]+Tabla14[[#This Row],[INTERES  CUOTA]]</f>
        <v>#NUM!</v>
      </c>
      <c r="U1966" s="61" t="str">
        <f t="shared" si="319"/>
        <v/>
      </c>
    </row>
    <row r="1967" spans="9:21" ht="24.75" customHeight="1" x14ac:dyDescent="0.35">
      <c r="I1967" s="42">
        <f t="shared" si="310"/>
        <v>0</v>
      </c>
      <c r="J1967" s="65" t="e">
        <f t="shared" si="311"/>
        <v>#NUM!</v>
      </c>
      <c r="K1967" s="83" t="e">
        <f t="shared" si="312"/>
        <v>#NUM!</v>
      </c>
      <c r="L1967" s="83">
        <f t="shared" si="313"/>
        <v>0</v>
      </c>
      <c r="M1967" s="110" t="str">
        <f t="shared" si="314"/>
        <v/>
      </c>
      <c r="N1967" s="51" t="str">
        <f t="shared" si="315"/>
        <v/>
      </c>
      <c r="O1967" s="52" t="str">
        <f t="shared" si="316"/>
        <v/>
      </c>
      <c r="P1967" s="88">
        <f t="shared" si="317"/>
        <v>0</v>
      </c>
      <c r="Q1967" s="88">
        <f t="shared" si="318"/>
        <v>0</v>
      </c>
      <c r="R1967" s="88" t="e">
        <f>-IF(Tabla14[[#This Row],[DIAS HABILES O MORA]]&lt;0,(Tabla14[[#This Row],[VALOR PRESTAMO]]*Tabla14[[#This Row],[% INTERES ]]/30*U1967))+Tabla14[[#This Row],[VALOR CUOTAS]]</f>
        <v>#VALUE!</v>
      </c>
      <c r="S1967" s="88">
        <f>-IF(Tabla14[[#This Row],[DIAS HABILES O MORA]]&lt;0,(Tabla14[[#This Row],[VALOR PRESTAMO]]*Tabla14[[#This Row],[% INTERES ]]/30*U1967))</f>
        <v>0</v>
      </c>
      <c r="T1967" s="53" t="e">
        <f>Tabla14[[#This Row],[DEUDA CAPITAL]]+Tabla14[[#This Row],[INTERES  CUOTA]]</f>
        <v>#NUM!</v>
      </c>
      <c r="U1967" s="61" t="str">
        <f t="shared" si="319"/>
        <v/>
      </c>
    </row>
    <row r="1968" spans="9:21" ht="24.75" customHeight="1" x14ac:dyDescent="0.35">
      <c r="I1968" s="42">
        <f t="shared" si="310"/>
        <v>0</v>
      </c>
      <c r="J1968" s="65" t="e">
        <f t="shared" si="311"/>
        <v>#NUM!</v>
      </c>
      <c r="K1968" s="83" t="e">
        <f t="shared" si="312"/>
        <v>#NUM!</v>
      </c>
      <c r="L1968" s="83">
        <f t="shared" si="313"/>
        <v>0</v>
      </c>
      <c r="M1968" s="110" t="str">
        <f t="shared" si="314"/>
        <v/>
      </c>
      <c r="N1968" s="51" t="str">
        <f t="shared" si="315"/>
        <v/>
      </c>
      <c r="O1968" s="52" t="str">
        <f t="shared" si="316"/>
        <v/>
      </c>
      <c r="P1968" s="88">
        <f t="shared" si="317"/>
        <v>0</v>
      </c>
      <c r="Q1968" s="88">
        <f t="shared" si="318"/>
        <v>0</v>
      </c>
      <c r="R1968" s="88" t="e">
        <f>-IF(Tabla14[[#This Row],[DIAS HABILES O MORA]]&lt;0,(Tabla14[[#This Row],[VALOR PRESTAMO]]*Tabla14[[#This Row],[% INTERES ]]/30*U1968))+Tabla14[[#This Row],[VALOR CUOTAS]]</f>
        <v>#VALUE!</v>
      </c>
      <c r="S1968" s="88">
        <f>-IF(Tabla14[[#This Row],[DIAS HABILES O MORA]]&lt;0,(Tabla14[[#This Row],[VALOR PRESTAMO]]*Tabla14[[#This Row],[% INTERES ]]/30*U1968))</f>
        <v>0</v>
      </c>
      <c r="T1968" s="53" t="e">
        <f>Tabla14[[#This Row],[DEUDA CAPITAL]]+Tabla14[[#This Row],[INTERES  CUOTA]]</f>
        <v>#NUM!</v>
      </c>
      <c r="U1968" s="61" t="str">
        <f t="shared" si="319"/>
        <v/>
      </c>
    </row>
    <row r="1969" spans="9:21" ht="24.75" customHeight="1" x14ac:dyDescent="0.35">
      <c r="I1969" s="42">
        <f t="shared" si="310"/>
        <v>0</v>
      </c>
      <c r="J1969" s="65" t="e">
        <f t="shared" si="311"/>
        <v>#NUM!</v>
      </c>
      <c r="K1969" s="83" t="e">
        <f t="shared" si="312"/>
        <v>#NUM!</v>
      </c>
      <c r="L1969" s="83">
        <f t="shared" si="313"/>
        <v>0</v>
      </c>
      <c r="M1969" s="110" t="str">
        <f t="shared" si="314"/>
        <v/>
      </c>
      <c r="N1969" s="51" t="str">
        <f t="shared" si="315"/>
        <v/>
      </c>
      <c r="O1969" s="52" t="str">
        <f t="shared" si="316"/>
        <v/>
      </c>
      <c r="P1969" s="88">
        <f t="shared" si="317"/>
        <v>0</v>
      </c>
      <c r="Q1969" s="88">
        <f t="shared" si="318"/>
        <v>0</v>
      </c>
      <c r="R1969" s="88" t="e">
        <f>-IF(Tabla14[[#This Row],[DIAS HABILES O MORA]]&lt;0,(Tabla14[[#This Row],[VALOR PRESTAMO]]*Tabla14[[#This Row],[% INTERES ]]/30*U1969))+Tabla14[[#This Row],[VALOR CUOTAS]]</f>
        <v>#VALUE!</v>
      </c>
      <c r="S1969" s="88">
        <f>-IF(Tabla14[[#This Row],[DIAS HABILES O MORA]]&lt;0,(Tabla14[[#This Row],[VALOR PRESTAMO]]*Tabla14[[#This Row],[% INTERES ]]/30*U1969))</f>
        <v>0</v>
      </c>
      <c r="T1969" s="53" t="e">
        <f>Tabla14[[#This Row],[DEUDA CAPITAL]]+Tabla14[[#This Row],[INTERES  CUOTA]]</f>
        <v>#NUM!</v>
      </c>
      <c r="U1969" s="61" t="str">
        <f t="shared" si="319"/>
        <v/>
      </c>
    </row>
    <row r="1970" spans="9:21" ht="24.75" customHeight="1" x14ac:dyDescent="0.35">
      <c r="I1970" s="42">
        <f t="shared" si="310"/>
        <v>0</v>
      </c>
      <c r="J1970" s="65" t="e">
        <f t="shared" si="311"/>
        <v>#NUM!</v>
      </c>
      <c r="K1970" s="83" t="e">
        <f t="shared" si="312"/>
        <v>#NUM!</v>
      </c>
      <c r="L1970" s="83">
        <f t="shared" si="313"/>
        <v>0</v>
      </c>
      <c r="M1970" s="110" t="str">
        <f t="shared" si="314"/>
        <v/>
      </c>
      <c r="N1970" s="51" t="str">
        <f t="shared" si="315"/>
        <v/>
      </c>
      <c r="O1970" s="52" t="str">
        <f t="shared" si="316"/>
        <v/>
      </c>
      <c r="P1970" s="88">
        <f t="shared" si="317"/>
        <v>0</v>
      </c>
      <c r="Q1970" s="88">
        <f t="shared" si="318"/>
        <v>0</v>
      </c>
      <c r="R1970" s="88" t="e">
        <f>-IF(Tabla14[[#This Row],[DIAS HABILES O MORA]]&lt;0,(Tabla14[[#This Row],[VALOR PRESTAMO]]*Tabla14[[#This Row],[% INTERES ]]/30*U1970))+Tabla14[[#This Row],[VALOR CUOTAS]]</f>
        <v>#VALUE!</v>
      </c>
      <c r="S1970" s="88">
        <f>-IF(Tabla14[[#This Row],[DIAS HABILES O MORA]]&lt;0,(Tabla14[[#This Row],[VALOR PRESTAMO]]*Tabla14[[#This Row],[% INTERES ]]/30*U1970))</f>
        <v>0</v>
      </c>
      <c r="T1970" s="53" t="e">
        <f>Tabla14[[#This Row],[DEUDA CAPITAL]]+Tabla14[[#This Row],[INTERES  CUOTA]]</f>
        <v>#NUM!</v>
      </c>
      <c r="U1970" s="61" t="str">
        <f t="shared" si="319"/>
        <v/>
      </c>
    </row>
    <row r="1971" spans="9:21" ht="24.75" customHeight="1" x14ac:dyDescent="0.35">
      <c r="I1971" s="42">
        <f t="shared" si="310"/>
        <v>0</v>
      </c>
      <c r="J1971" s="65" t="e">
        <f t="shared" si="311"/>
        <v>#NUM!</v>
      </c>
      <c r="K1971" s="83" t="e">
        <f t="shared" si="312"/>
        <v>#NUM!</v>
      </c>
      <c r="L1971" s="83">
        <f t="shared" si="313"/>
        <v>0</v>
      </c>
      <c r="M1971" s="110" t="str">
        <f t="shared" si="314"/>
        <v/>
      </c>
      <c r="N1971" s="51" t="str">
        <f t="shared" si="315"/>
        <v/>
      </c>
      <c r="O1971" s="52" t="str">
        <f t="shared" si="316"/>
        <v/>
      </c>
      <c r="P1971" s="88">
        <f t="shared" si="317"/>
        <v>0</v>
      </c>
      <c r="Q1971" s="88">
        <f t="shared" si="318"/>
        <v>0</v>
      </c>
      <c r="R1971" s="88" t="e">
        <f>-IF(Tabla14[[#This Row],[DIAS HABILES O MORA]]&lt;0,(Tabla14[[#This Row],[VALOR PRESTAMO]]*Tabla14[[#This Row],[% INTERES ]]/30*U1971))+Tabla14[[#This Row],[VALOR CUOTAS]]</f>
        <v>#VALUE!</v>
      </c>
      <c r="S1971" s="88">
        <f>-IF(Tabla14[[#This Row],[DIAS HABILES O MORA]]&lt;0,(Tabla14[[#This Row],[VALOR PRESTAMO]]*Tabla14[[#This Row],[% INTERES ]]/30*U1971))</f>
        <v>0</v>
      </c>
      <c r="T1971" s="53" t="e">
        <f>Tabla14[[#This Row],[DEUDA CAPITAL]]+Tabla14[[#This Row],[INTERES  CUOTA]]</f>
        <v>#NUM!</v>
      </c>
      <c r="U1971" s="61" t="str">
        <f t="shared" si="319"/>
        <v/>
      </c>
    </row>
    <row r="1972" spans="9:21" ht="24.75" customHeight="1" x14ac:dyDescent="0.35">
      <c r="I1972" s="42">
        <f t="shared" si="310"/>
        <v>0</v>
      </c>
      <c r="J1972" s="65" t="e">
        <f t="shared" si="311"/>
        <v>#NUM!</v>
      </c>
      <c r="K1972" s="83" t="e">
        <f t="shared" si="312"/>
        <v>#NUM!</v>
      </c>
      <c r="L1972" s="83">
        <f t="shared" si="313"/>
        <v>0</v>
      </c>
      <c r="M1972" s="110" t="str">
        <f t="shared" si="314"/>
        <v/>
      </c>
      <c r="N1972" s="51" t="str">
        <f t="shared" si="315"/>
        <v/>
      </c>
      <c r="O1972" s="52" t="str">
        <f t="shared" si="316"/>
        <v/>
      </c>
      <c r="P1972" s="88">
        <f t="shared" si="317"/>
        <v>0</v>
      </c>
      <c r="Q1972" s="88">
        <f t="shared" si="318"/>
        <v>0</v>
      </c>
      <c r="R1972" s="88" t="e">
        <f>-IF(Tabla14[[#This Row],[DIAS HABILES O MORA]]&lt;0,(Tabla14[[#This Row],[VALOR PRESTAMO]]*Tabla14[[#This Row],[% INTERES ]]/30*U1972))+Tabla14[[#This Row],[VALOR CUOTAS]]</f>
        <v>#VALUE!</v>
      </c>
      <c r="S1972" s="88">
        <f>-IF(Tabla14[[#This Row],[DIAS HABILES O MORA]]&lt;0,(Tabla14[[#This Row],[VALOR PRESTAMO]]*Tabla14[[#This Row],[% INTERES ]]/30*U1972))</f>
        <v>0</v>
      </c>
      <c r="T1972" s="53" t="e">
        <f>Tabla14[[#This Row],[DEUDA CAPITAL]]+Tabla14[[#This Row],[INTERES  CUOTA]]</f>
        <v>#NUM!</v>
      </c>
      <c r="U1972" s="61" t="str">
        <f t="shared" si="319"/>
        <v/>
      </c>
    </row>
    <row r="1973" spans="9:21" ht="24.75" customHeight="1" x14ac:dyDescent="0.35">
      <c r="I1973" s="42">
        <f t="shared" si="310"/>
        <v>0</v>
      </c>
      <c r="J1973" s="65" t="e">
        <f t="shared" si="311"/>
        <v>#NUM!</v>
      </c>
      <c r="K1973" s="83" t="e">
        <f t="shared" si="312"/>
        <v>#NUM!</v>
      </c>
      <c r="L1973" s="83">
        <f t="shared" si="313"/>
        <v>0</v>
      </c>
      <c r="M1973" s="110" t="str">
        <f t="shared" si="314"/>
        <v/>
      </c>
      <c r="N1973" s="51" t="str">
        <f t="shared" si="315"/>
        <v/>
      </c>
      <c r="O1973" s="52" t="str">
        <f t="shared" si="316"/>
        <v/>
      </c>
      <c r="P1973" s="88">
        <f t="shared" si="317"/>
        <v>0</v>
      </c>
      <c r="Q1973" s="88">
        <f t="shared" si="318"/>
        <v>0</v>
      </c>
      <c r="R1973" s="88" t="e">
        <f>-IF(Tabla14[[#This Row],[DIAS HABILES O MORA]]&lt;0,(Tabla14[[#This Row],[VALOR PRESTAMO]]*Tabla14[[#This Row],[% INTERES ]]/30*U1973))+Tabla14[[#This Row],[VALOR CUOTAS]]</f>
        <v>#VALUE!</v>
      </c>
      <c r="S1973" s="88">
        <f>-IF(Tabla14[[#This Row],[DIAS HABILES O MORA]]&lt;0,(Tabla14[[#This Row],[VALOR PRESTAMO]]*Tabla14[[#This Row],[% INTERES ]]/30*U1973))</f>
        <v>0</v>
      </c>
      <c r="T1973" s="53" t="e">
        <f>Tabla14[[#This Row],[DEUDA CAPITAL]]+Tabla14[[#This Row],[INTERES  CUOTA]]</f>
        <v>#NUM!</v>
      </c>
      <c r="U1973" s="61" t="str">
        <f t="shared" si="319"/>
        <v/>
      </c>
    </row>
    <row r="1974" spans="9:21" ht="24.75" customHeight="1" x14ac:dyDescent="0.35">
      <c r="I1974" s="42">
        <f t="shared" si="310"/>
        <v>0</v>
      </c>
      <c r="J1974" s="65" t="e">
        <f t="shared" si="311"/>
        <v>#NUM!</v>
      </c>
      <c r="K1974" s="83" t="e">
        <f t="shared" si="312"/>
        <v>#NUM!</v>
      </c>
      <c r="L1974" s="83">
        <f t="shared" si="313"/>
        <v>0</v>
      </c>
      <c r="M1974" s="110" t="str">
        <f t="shared" si="314"/>
        <v/>
      </c>
      <c r="N1974" s="51" t="str">
        <f t="shared" si="315"/>
        <v/>
      </c>
      <c r="O1974" s="52" t="str">
        <f t="shared" si="316"/>
        <v/>
      </c>
      <c r="P1974" s="88">
        <f t="shared" si="317"/>
        <v>0</v>
      </c>
      <c r="Q1974" s="88">
        <f t="shared" si="318"/>
        <v>0</v>
      </c>
      <c r="R1974" s="88" t="e">
        <f>-IF(Tabla14[[#This Row],[DIAS HABILES O MORA]]&lt;0,(Tabla14[[#This Row],[VALOR PRESTAMO]]*Tabla14[[#This Row],[% INTERES ]]/30*U1974))+Tabla14[[#This Row],[VALOR CUOTAS]]</f>
        <v>#VALUE!</v>
      </c>
      <c r="S1974" s="88">
        <f>-IF(Tabla14[[#This Row],[DIAS HABILES O MORA]]&lt;0,(Tabla14[[#This Row],[VALOR PRESTAMO]]*Tabla14[[#This Row],[% INTERES ]]/30*U1974))</f>
        <v>0</v>
      </c>
      <c r="T1974" s="53" t="e">
        <f>Tabla14[[#This Row],[DEUDA CAPITAL]]+Tabla14[[#This Row],[INTERES  CUOTA]]</f>
        <v>#NUM!</v>
      </c>
      <c r="U1974" s="61" t="str">
        <f t="shared" si="319"/>
        <v/>
      </c>
    </row>
    <row r="1975" spans="9:21" ht="24.75" customHeight="1" x14ac:dyDescent="0.35">
      <c r="I1975" s="42">
        <f t="shared" si="310"/>
        <v>0</v>
      </c>
      <c r="J1975" s="65" t="e">
        <f t="shared" si="311"/>
        <v>#NUM!</v>
      </c>
      <c r="K1975" s="83" t="e">
        <f t="shared" si="312"/>
        <v>#NUM!</v>
      </c>
      <c r="L1975" s="83">
        <f t="shared" si="313"/>
        <v>0</v>
      </c>
      <c r="M1975" s="110" t="str">
        <f t="shared" si="314"/>
        <v/>
      </c>
      <c r="N1975" s="51" t="str">
        <f t="shared" si="315"/>
        <v/>
      </c>
      <c r="O1975" s="52" t="str">
        <f t="shared" si="316"/>
        <v/>
      </c>
      <c r="P1975" s="88">
        <f t="shared" si="317"/>
        <v>0</v>
      </c>
      <c r="Q1975" s="88">
        <f t="shared" si="318"/>
        <v>0</v>
      </c>
      <c r="R1975" s="88" t="e">
        <f>-IF(Tabla14[[#This Row],[DIAS HABILES O MORA]]&lt;0,(Tabla14[[#This Row],[VALOR PRESTAMO]]*Tabla14[[#This Row],[% INTERES ]]/30*U1975))+Tabla14[[#This Row],[VALOR CUOTAS]]</f>
        <v>#VALUE!</v>
      </c>
      <c r="S1975" s="88">
        <f>-IF(Tabla14[[#This Row],[DIAS HABILES O MORA]]&lt;0,(Tabla14[[#This Row],[VALOR PRESTAMO]]*Tabla14[[#This Row],[% INTERES ]]/30*U1975))</f>
        <v>0</v>
      </c>
      <c r="T1975" s="53" t="e">
        <f>Tabla14[[#This Row],[DEUDA CAPITAL]]+Tabla14[[#This Row],[INTERES  CUOTA]]</f>
        <v>#NUM!</v>
      </c>
      <c r="U1975" s="61" t="str">
        <f t="shared" si="319"/>
        <v/>
      </c>
    </row>
    <row r="1976" spans="9:21" ht="24.75" customHeight="1" x14ac:dyDescent="0.35">
      <c r="I1976" s="42">
        <f t="shared" si="310"/>
        <v>0</v>
      </c>
      <c r="J1976" s="65" t="e">
        <f t="shared" si="311"/>
        <v>#NUM!</v>
      </c>
      <c r="K1976" s="83" t="e">
        <f t="shared" si="312"/>
        <v>#NUM!</v>
      </c>
      <c r="L1976" s="83">
        <f t="shared" si="313"/>
        <v>0</v>
      </c>
      <c r="M1976" s="110" t="str">
        <f t="shared" si="314"/>
        <v/>
      </c>
      <c r="N1976" s="51" t="str">
        <f t="shared" si="315"/>
        <v/>
      </c>
      <c r="O1976" s="52" t="str">
        <f t="shared" si="316"/>
        <v/>
      </c>
      <c r="P1976" s="88">
        <f t="shared" si="317"/>
        <v>0</v>
      </c>
      <c r="Q1976" s="88">
        <f t="shared" si="318"/>
        <v>0</v>
      </c>
      <c r="R1976" s="88" t="e">
        <f>-IF(Tabla14[[#This Row],[DIAS HABILES O MORA]]&lt;0,(Tabla14[[#This Row],[VALOR PRESTAMO]]*Tabla14[[#This Row],[% INTERES ]]/30*U1976))+Tabla14[[#This Row],[VALOR CUOTAS]]</f>
        <v>#VALUE!</v>
      </c>
      <c r="S1976" s="88">
        <f>-IF(Tabla14[[#This Row],[DIAS HABILES O MORA]]&lt;0,(Tabla14[[#This Row],[VALOR PRESTAMO]]*Tabla14[[#This Row],[% INTERES ]]/30*U1976))</f>
        <v>0</v>
      </c>
      <c r="T1976" s="53" t="e">
        <f>Tabla14[[#This Row],[DEUDA CAPITAL]]+Tabla14[[#This Row],[INTERES  CUOTA]]</f>
        <v>#NUM!</v>
      </c>
      <c r="U1976" s="61" t="str">
        <f t="shared" si="319"/>
        <v/>
      </c>
    </row>
    <row r="1977" spans="9:21" ht="24.75" customHeight="1" x14ac:dyDescent="0.35">
      <c r="I1977" s="42">
        <f t="shared" si="310"/>
        <v>0</v>
      </c>
      <c r="J1977" s="65" t="e">
        <f t="shared" si="311"/>
        <v>#NUM!</v>
      </c>
      <c r="K1977" s="83" t="e">
        <f t="shared" si="312"/>
        <v>#NUM!</v>
      </c>
      <c r="L1977" s="83">
        <f t="shared" si="313"/>
        <v>0</v>
      </c>
      <c r="M1977" s="110" t="str">
        <f t="shared" si="314"/>
        <v/>
      </c>
      <c r="N1977" s="51" t="str">
        <f t="shared" si="315"/>
        <v/>
      </c>
      <c r="O1977" s="52" t="str">
        <f t="shared" si="316"/>
        <v/>
      </c>
      <c r="P1977" s="88">
        <f t="shared" si="317"/>
        <v>0</v>
      </c>
      <c r="Q1977" s="88">
        <f t="shared" si="318"/>
        <v>0</v>
      </c>
      <c r="R1977" s="88" t="e">
        <f>-IF(Tabla14[[#This Row],[DIAS HABILES O MORA]]&lt;0,(Tabla14[[#This Row],[VALOR PRESTAMO]]*Tabla14[[#This Row],[% INTERES ]]/30*U1977))+Tabla14[[#This Row],[VALOR CUOTAS]]</f>
        <v>#VALUE!</v>
      </c>
      <c r="S1977" s="88">
        <f>-IF(Tabla14[[#This Row],[DIAS HABILES O MORA]]&lt;0,(Tabla14[[#This Row],[VALOR PRESTAMO]]*Tabla14[[#This Row],[% INTERES ]]/30*U1977))</f>
        <v>0</v>
      </c>
      <c r="T1977" s="53" t="e">
        <f>Tabla14[[#This Row],[DEUDA CAPITAL]]+Tabla14[[#This Row],[INTERES  CUOTA]]</f>
        <v>#NUM!</v>
      </c>
      <c r="U1977" s="61" t="str">
        <f t="shared" si="319"/>
        <v/>
      </c>
    </row>
    <row r="1978" spans="9:21" ht="24.75" customHeight="1" x14ac:dyDescent="0.35">
      <c r="I1978" s="42">
        <f t="shared" si="310"/>
        <v>0</v>
      </c>
      <c r="J1978" s="65" t="e">
        <f t="shared" si="311"/>
        <v>#NUM!</v>
      </c>
      <c r="K1978" s="83" t="e">
        <f t="shared" si="312"/>
        <v>#NUM!</v>
      </c>
      <c r="L1978" s="83">
        <f t="shared" si="313"/>
        <v>0</v>
      </c>
      <c r="M1978" s="110" t="str">
        <f t="shared" si="314"/>
        <v/>
      </c>
      <c r="N1978" s="51" t="str">
        <f t="shared" si="315"/>
        <v/>
      </c>
      <c r="O1978" s="52" t="str">
        <f t="shared" si="316"/>
        <v/>
      </c>
      <c r="P1978" s="88">
        <f t="shared" si="317"/>
        <v>0</v>
      </c>
      <c r="Q1978" s="88">
        <f t="shared" si="318"/>
        <v>0</v>
      </c>
      <c r="R1978" s="88" t="e">
        <f>-IF(Tabla14[[#This Row],[DIAS HABILES O MORA]]&lt;0,(Tabla14[[#This Row],[VALOR PRESTAMO]]*Tabla14[[#This Row],[% INTERES ]]/30*U1978))+Tabla14[[#This Row],[VALOR CUOTAS]]</f>
        <v>#VALUE!</v>
      </c>
      <c r="S1978" s="88">
        <f>-IF(Tabla14[[#This Row],[DIAS HABILES O MORA]]&lt;0,(Tabla14[[#This Row],[VALOR PRESTAMO]]*Tabla14[[#This Row],[% INTERES ]]/30*U1978))</f>
        <v>0</v>
      </c>
      <c r="T1978" s="53" t="e">
        <f>Tabla14[[#This Row],[DEUDA CAPITAL]]+Tabla14[[#This Row],[INTERES  CUOTA]]</f>
        <v>#NUM!</v>
      </c>
      <c r="U1978" s="61" t="str">
        <f t="shared" si="319"/>
        <v/>
      </c>
    </row>
    <row r="1979" spans="9:21" ht="24.75" customHeight="1" x14ac:dyDescent="0.35">
      <c r="I1979" s="42">
        <f t="shared" si="310"/>
        <v>0</v>
      </c>
      <c r="J1979" s="65" t="e">
        <f t="shared" si="311"/>
        <v>#NUM!</v>
      </c>
      <c r="K1979" s="83" t="e">
        <f t="shared" si="312"/>
        <v>#NUM!</v>
      </c>
      <c r="L1979" s="83">
        <f t="shared" si="313"/>
        <v>0</v>
      </c>
      <c r="M1979" s="110" t="str">
        <f t="shared" si="314"/>
        <v/>
      </c>
      <c r="N1979" s="51" t="str">
        <f t="shared" si="315"/>
        <v/>
      </c>
      <c r="O1979" s="52" t="str">
        <f t="shared" si="316"/>
        <v/>
      </c>
      <c r="P1979" s="88">
        <f t="shared" si="317"/>
        <v>0</v>
      </c>
      <c r="Q1979" s="88">
        <f t="shared" si="318"/>
        <v>0</v>
      </c>
      <c r="R1979" s="88" t="e">
        <f>-IF(Tabla14[[#This Row],[DIAS HABILES O MORA]]&lt;0,(Tabla14[[#This Row],[VALOR PRESTAMO]]*Tabla14[[#This Row],[% INTERES ]]/30*U1979))+Tabla14[[#This Row],[VALOR CUOTAS]]</f>
        <v>#VALUE!</v>
      </c>
      <c r="S1979" s="88">
        <f>-IF(Tabla14[[#This Row],[DIAS HABILES O MORA]]&lt;0,(Tabla14[[#This Row],[VALOR PRESTAMO]]*Tabla14[[#This Row],[% INTERES ]]/30*U1979))</f>
        <v>0</v>
      </c>
      <c r="T1979" s="53" t="e">
        <f>Tabla14[[#This Row],[DEUDA CAPITAL]]+Tabla14[[#This Row],[INTERES  CUOTA]]</f>
        <v>#NUM!</v>
      </c>
      <c r="U1979" s="61" t="str">
        <f t="shared" si="319"/>
        <v/>
      </c>
    </row>
    <row r="1980" spans="9:21" ht="24.75" customHeight="1" x14ac:dyDescent="0.35">
      <c r="I1980" s="42">
        <f t="shared" si="310"/>
        <v>0</v>
      </c>
      <c r="J1980" s="65" t="e">
        <f t="shared" si="311"/>
        <v>#NUM!</v>
      </c>
      <c r="K1980" s="83" t="e">
        <f t="shared" si="312"/>
        <v>#NUM!</v>
      </c>
      <c r="L1980" s="83">
        <f t="shared" si="313"/>
        <v>0</v>
      </c>
      <c r="M1980" s="110" t="str">
        <f t="shared" si="314"/>
        <v/>
      </c>
      <c r="N1980" s="51" t="str">
        <f t="shared" si="315"/>
        <v/>
      </c>
      <c r="O1980" s="52" t="str">
        <f t="shared" si="316"/>
        <v/>
      </c>
      <c r="P1980" s="88">
        <f t="shared" si="317"/>
        <v>0</v>
      </c>
      <c r="Q1980" s="88">
        <f t="shared" si="318"/>
        <v>0</v>
      </c>
      <c r="R1980" s="88" t="e">
        <f>-IF(Tabla14[[#This Row],[DIAS HABILES O MORA]]&lt;0,(Tabla14[[#This Row],[VALOR PRESTAMO]]*Tabla14[[#This Row],[% INTERES ]]/30*U1980))+Tabla14[[#This Row],[VALOR CUOTAS]]</f>
        <v>#VALUE!</v>
      </c>
      <c r="S1980" s="88">
        <f>-IF(Tabla14[[#This Row],[DIAS HABILES O MORA]]&lt;0,(Tabla14[[#This Row],[VALOR PRESTAMO]]*Tabla14[[#This Row],[% INTERES ]]/30*U1980))</f>
        <v>0</v>
      </c>
      <c r="T1980" s="53" t="e">
        <f>Tabla14[[#This Row],[DEUDA CAPITAL]]+Tabla14[[#This Row],[INTERES  CUOTA]]</f>
        <v>#NUM!</v>
      </c>
      <c r="U1980" s="61" t="str">
        <f t="shared" si="319"/>
        <v/>
      </c>
    </row>
    <row r="1981" spans="9:21" ht="24.75" customHeight="1" x14ac:dyDescent="0.35">
      <c r="I1981" s="42">
        <f t="shared" si="310"/>
        <v>0</v>
      </c>
      <c r="J1981" s="65" t="e">
        <f t="shared" si="311"/>
        <v>#NUM!</v>
      </c>
      <c r="K1981" s="83" t="e">
        <f t="shared" si="312"/>
        <v>#NUM!</v>
      </c>
      <c r="L1981" s="83">
        <f t="shared" si="313"/>
        <v>0</v>
      </c>
      <c r="M1981" s="110" t="str">
        <f t="shared" si="314"/>
        <v/>
      </c>
      <c r="N1981" s="51" t="str">
        <f t="shared" si="315"/>
        <v/>
      </c>
      <c r="O1981" s="52" t="str">
        <f t="shared" si="316"/>
        <v/>
      </c>
      <c r="P1981" s="88">
        <f t="shared" si="317"/>
        <v>0</v>
      </c>
      <c r="Q1981" s="88">
        <f t="shared" si="318"/>
        <v>0</v>
      </c>
      <c r="R1981" s="88" t="e">
        <f>-IF(Tabla14[[#This Row],[DIAS HABILES O MORA]]&lt;0,(Tabla14[[#This Row],[VALOR PRESTAMO]]*Tabla14[[#This Row],[% INTERES ]]/30*U1981))+Tabla14[[#This Row],[VALOR CUOTAS]]</f>
        <v>#VALUE!</v>
      </c>
      <c r="S1981" s="88">
        <f>-IF(Tabla14[[#This Row],[DIAS HABILES O MORA]]&lt;0,(Tabla14[[#This Row],[VALOR PRESTAMO]]*Tabla14[[#This Row],[% INTERES ]]/30*U1981))</f>
        <v>0</v>
      </c>
      <c r="T1981" s="53" t="e">
        <f>Tabla14[[#This Row],[DEUDA CAPITAL]]+Tabla14[[#This Row],[INTERES  CUOTA]]</f>
        <v>#NUM!</v>
      </c>
      <c r="U1981" s="61" t="str">
        <f t="shared" si="319"/>
        <v/>
      </c>
    </row>
    <row r="1982" spans="9:21" ht="24.75" customHeight="1" x14ac:dyDescent="0.35">
      <c r="I1982" s="42">
        <f t="shared" si="310"/>
        <v>0</v>
      </c>
      <c r="J1982" s="65" t="e">
        <f t="shared" si="311"/>
        <v>#NUM!</v>
      </c>
      <c r="K1982" s="83" t="e">
        <f t="shared" si="312"/>
        <v>#NUM!</v>
      </c>
      <c r="L1982" s="83">
        <f t="shared" si="313"/>
        <v>0</v>
      </c>
      <c r="M1982" s="110" t="str">
        <f t="shared" si="314"/>
        <v/>
      </c>
      <c r="N1982" s="51" t="str">
        <f t="shared" si="315"/>
        <v/>
      </c>
      <c r="O1982" s="52" t="str">
        <f t="shared" si="316"/>
        <v/>
      </c>
      <c r="P1982" s="88">
        <f t="shared" si="317"/>
        <v>0</v>
      </c>
      <c r="Q1982" s="88">
        <f t="shared" si="318"/>
        <v>0</v>
      </c>
      <c r="R1982" s="88" t="e">
        <f>-IF(Tabla14[[#This Row],[DIAS HABILES O MORA]]&lt;0,(Tabla14[[#This Row],[VALOR PRESTAMO]]*Tabla14[[#This Row],[% INTERES ]]/30*U1982))+Tabla14[[#This Row],[VALOR CUOTAS]]</f>
        <v>#VALUE!</v>
      </c>
      <c r="S1982" s="88">
        <f>-IF(Tabla14[[#This Row],[DIAS HABILES O MORA]]&lt;0,(Tabla14[[#This Row],[VALOR PRESTAMO]]*Tabla14[[#This Row],[% INTERES ]]/30*U1982))</f>
        <v>0</v>
      </c>
      <c r="T1982" s="53" t="e">
        <f>Tabla14[[#This Row],[DEUDA CAPITAL]]+Tabla14[[#This Row],[INTERES  CUOTA]]</f>
        <v>#NUM!</v>
      </c>
      <c r="U1982" s="61" t="str">
        <f t="shared" si="319"/>
        <v/>
      </c>
    </row>
    <row r="1983" spans="9:21" ht="24.75" customHeight="1" x14ac:dyDescent="0.35">
      <c r="I1983" s="42">
        <f t="shared" si="310"/>
        <v>0</v>
      </c>
      <c r="J1983" s="65" t="e">
        <f t="shared" si="311"/>
        <v>#NUM!</v>
      </c>
      <c r="K1983" s="83" t="e">
        <f t="shared" si="312"/>
        <v>#NUM!</v>
      </c>
      <c r="L1983" s="83">
        <f t="shared" si="313"/>
        <v>0</v>
      </c>
      <c r="M1983" s="110" t="str">
        <f t="shared" si="314"/>
        <v/>
      </c>
      <c r="N1983" s="51" t="str">
        <f t="shared" si="315"/>
        <v/>
      </c>
      <c r="O1983" s="52" t="str">
        <f t="shared" si="316"/>
        <v/>
      </c>
      <c r="P1983" s="88">
        <f t="shared" si="317"/>
        <v>0</v>
      </c>
      <c r="Q1983" s="88">
        <f t="shared" si="318"/>
        <v>0</v>
      </c>
      <c r="R1983" s="88" t="e">
        <f>-IF(Tabla14[[#This Row],[DIAS HABILES O MORA]]&lt;0,(Tabla14[[#This Row],[VALOR PRESTAMO]]*Tabla14[[#This Row],[% INTERES ]]/30*U1983))+Tabla14[[#This Row],[VALOR CUOTAS]]</f>
        <v>#VALUE!</v>
      </c>
      <c r="S1983" s="88">
        <f>-IF(Tabla14[[#This Row],[DIAS HABILES O MORA]]&lt;0,(Tabla14[[#This Row],[VALOR PRESTAMO]]*Tabla14[[#This Row],[% INTERES ]]/30*U1983))</f>
        <v>0</v>
      </c>
      <c r="T1983" s="53" t="e">
        <f>Tabla14[[#This Row],[DEUDA CAPITAL]]+Tabla14[[#This Row],[INTERES  CUOTA]]</f>
        <v>#NUM!</v>
      </c>
      <c r="U1983" s="61" t="str">
        <f t="shared" si="319"/>
        <v/>
      </c>
    </row>
    <row r="1984" spans="9:21" ht="24.75" customHeight="1" x14ac:dyDescent="0.35">
      <c r="I1984" s="42">
        <f t="shared" si="310"/>
        <v>0</v>
      </c>
      <c r="J1984" s="65" t="e">
        <f t="shared" si="311"/>
        <v>#NUM!</v>
      </c>
      <c r="K1984" s="83" t="e">
        <f t="shared" si="312"/>
        <v>#NUM!</v>
      </c>
      <c r="L1984" s="83">
        <f t="shared" si="313"/>
        <v>0</v>
      </c>
      <c r="M1984" s="110" t="str">
        <f t="shared" si="314"/>
        <v/>
      </c>
      <c r="N1984" s="51" t="str">
        <f t="shared" si="315"/>
        <v/>
      </c>
      <c r="O1984" s="52" t="str">
        <f t="shared" si="316"/>
        <v/>
      </c>
      <c r="P1984" s="88">
        <f t="shared" si="317"/>
        <v>0</v>
      </c>
      <c r="Q1984" s="88">
        <f t="shared" si="318"/>
        <v>0</v>
      </c>
      <c r="R1984" s="88" t="e">
        <f>-IF(Tabla14[[#This Row],[DIAS HABILES O MORA]]&lt;0,(Tabla14[[#This Row],[VALOR PRESTAMO]]*Tabla14[[#This Row],[% INTERES ]]/30*U1984))+Tabla14[[#This Row],[VALOR CUOTAS]]</f>
        <v>#VALUE!</v>
      </c>
      <c r="S1984" s="88">
        <f>-IF(Tabla14[[#This Row],[DIAS HABILES O MORA]]&lt;0,(Tabla14[[#This Row],[VALOR PRESTAMO]]*Tabla14[[#This Row],[% INTERES ]]/30*U1984))</f>
        <v>0</v>
      </c>
      <c r="T1984" s="53" t="e">
        <f>Tabla14[[#This Row],[DEUDA CAPITAL]]+Tabla14[[#This Row],[INTERES  CUOTA]]</f>
        <v>#NUM!</v>
      </c>
      <c r="U1984" s="61" t="str">
        <f t="shared" si="319"/>
        <v/>
      </c>
    </row>
    <row r="1985" spans="9:21" ht="24.75" customHeight="1" x14ac:dyDescent="0.35">
      <c r="I1985" s="42">
        <f t="shared" si="310"/>
        <v>0</v>
      </c>
      <c r="J1985" s="65" t="e">
        <f t="shared" si="311"/>
        <v>#NUM!</v>
      </c>
      <c r="K1985" s="83" t="e">
        <f t="shared" si="312"/>
        <v>#NUM!</v>
      </c>
      <c r="L1985" s="83">
        <f t="shared" si="313"/>
        <v>0</v>
      </c>
      <c r="M1985" s="110" t="str">
        <f t="shared" si="314"/>
        <v/>
      </c>
      <c r="N1985" s="51" t="str">
        <f t="shared" si="315"/>
        <v/>
      </c>
      <c r="O1985" s="52" t="str">
        <f t="shared" si="316"/>
        <v/>
      </c>
      <c r="P1985" s="88">
        <f t="shared" si="317"/>
        <v>0</v>
      </c>
      <c r="Q1985" s="88">
        <f t="shared" si="318"/>
        <v>0</v>
      </c>
      <c r="R1985" s="88" t="e">
        <f>-IF(Tabla14[[#This Row],[DIAS HABILES O MORA]]&lt;0,(Tabla14[[#This Row],[VALOR PRESTAMO]]*Tabla14[[#This Row],[% INTERES ]]/30*U1985))+Tabla14[[#This Row],[VALOR CUOTAS]]</f>
        <v>#VALUE!</v>
      </c>
      <c r="S1985" s="88">
        <f>-IF(Tabla14[[#This Row],[DIAS HABILES O MORA]]&lt;0,(Tabla14[[#This Row],[VALOR PRESTAMO]]*Tabla14[[#This Row],[% INTERES ]]/30*U1985))</f>
        <v>0</v>
      </c>
      <c r="T1985" s="53" t="e">
        <f>Tabla14[[#This Row],[DEUDA CAPITAL]]+Tabla14[[#This Row],[INTERES  CUOTA]]</f>
        <v>#NUM!</v>
      </c>
      <c r="U1985" s="61" t="str">
        <f t="shared" si="319"/>
        <v/>
      </c>
    </row>
    <row r="1986" spans="9:21" ht="24.75" customHeight="1" x14ac:dyDescent="0.35">
      <c r="I1986" s="42">
        <f t="shared" si="310"/>
        <v>0</v>
      </c>
      <c r="J1986" s="65" t="e">
        <f t="shared" si="311"/>
        <v>#NUM!</v>
      </c>
      <c r="K1986" s="83" t="e">
        <f t="shared" si="312"/>
        <v>#NUM!</v>
      </c>
      <c r="L1986" s="83">
        <f t="shared" si="313"/>
        <v>0</v>
      </c>
      <c r="M1986" s="110" t="str">
        <f t="shared" si="314"/>
        <v/>
      </c>
      <c r="N1986" s="51" t="str">
        <f t="shared" si="315"/>
        <v/>
      </c>
      <c r="O1986" s="52" t="str">
        <f t="shared" si="316"/>
        <v/>
      </c>
      <c r="P1986" s="88">
        <f t="shared" si="317"/>
        <v>0</v>
      </c>
      <c r="Q1986" s="88">
        <f t="shared" si="318"/>
        <v>0</v>
      </c>
      <c r="R1986" s="88" t="e">
        <f>-IF(Tabla14[[#This Row],[DIAS HABILES O MORA]]&lt;0,(Tabla14[[#This Row],[VALOR PRESTAMO]]*Tabla14[[#This Row],[% INTERES ]]/30*U1986))+Tabla14[[#This Row],[VALOR CUOTAS]]</f>
        <v>#VALUE!</v>
      </c>
      <c r="S1986" s="88">
        <f>-IF(Tabla14[[#This Row],[DIAS HABILES O MORA]]&lt;0,(Tabla14[[#This Row],[VALOR PRESTAMO]]*Tabla14[[#This Row],[% INTERES ]]/30*U1986))</f>
        <v>0</v>
      </c>
      <c r="T1986" s="53" t="e">
        <f>Tabla14[[#This Row],[DEUDA CAPITAL]]+Tabla14[[#This Row],[INTERES  CUOTA]]</f>
        <v>#NUM!</v>
      </c>
      <c r="U1986" s="61" t="str">
        <f t="shared" si="319"/>
        <v/>
      </c>
    </row>
    <row r="1987" spans="9:21" ht="24.75" customHeight="1" x14ac:dyDescent="0.35">
      <c r="I1987" s="42">
        <f t="shared" si="310"/>
        <v>0</v>
      </c>
      <c r="J1987" s="65" t="e">
        <f t="shared" si="311"/>
        <v>#NUM!</v>
      </c>
      <c r="K1987" s="83" t="e">
        <f t="shared" si="312"/>
        <v>#NUM!</v>
      </c>
      <c r="L1987" s="83">
        <f t="shared" si="313"/>
        <v>0</v>
      </c>
      <c r="M1987" s="110" t="str">
        <f t="shared" si="314"/>
        <v/>
      </c>
      <c r="N1987" s="51" t="str">
        <f t="shared" si="315"/>
        <v/>
      </c>
      <c r="O1987" s="52" t="str">
        <f t="shared" si="316"/>
        <v/>
      </c>
      <c r="P1987" s="88">
        <f t="shared" si="317"/>
        <v>0</v>
      </c>
      <c r="Q1987" s="88">
        <f t="shared" si="318"/>
        <v>0</v>
      </c>
      <c r="R1987" s="88" t="e">
        <f>-IF(Tabla14[[#This Row],[DIAS HABILES O MORA]]&lt;0,(Tabla14[[#This Row],[VALOR PRESTAMO]]*Tabla14[[#This Row],[% INTERES ]]/30*U1987))+Tabla14[[#This Row],[VALOR CUOTAS]]</f>
        <v>#VALUE!</v>
      </c>
      <c r="S1987" s="88">
        <f>-IF(Tabla14[[#This Row],[DIAS HABILES O MORA]]&lt;0,(Tabla14[[#This Row],[VALOR PRESTAMO]]*Tabla14[[#This Row],[% INTERES ]]/30*U1987))</f>
        <v>0</v>
      </c>
      <c r="T1987" s="53" t="e">
        <f>Tabla14[[#This Row],[DEUDA CAPITAL]]+Tabla14[[#This Row],[INTERES  CUOTA]]</f>
        <v>#NUM!</v>
      </c>
      <c r="U1987" s="61" t="str">
        <f t="shared" si="319"/>
        <v/>
      </c>
    </row>
    <row r="1988" spans="9:21" ht="24.75" customHeight="1" x14ac:dyDescent="0.35">
      <c r="I1988" s="42">
        <f t="shared" si="310"/>
        <v>0</v>
      </c>
      <c r="J1988" s="65" t="e">
        <f t="shared" si="311"/>
        <v>#NUM!</v>
      </c>
      <c r="K1988" s="83" t="e">
        <f t="shared" si="312"/>
        <v>#NUM!</v>
      </c>
      <c r="L1988" s="83">
        <f t="shared" si="313"/>
        <v>0</v>
      </c>
      <c r="M1988" s="110" t="str">
        <f t="shared" si="314"/>
        <v/>
      </c>
      <c r="N1988" s="51" t="str">
        <f t="shared" si="315"/>
        <v/>
      </c>
      <c r="O1988" s="52" t="str">
        <f t="shared" si="316"/>
        <v/>
      </c>
      <c r="P1988" s="88">
        <f t="shared" si="317"/>
        <v>0</v>
      </c>
      <c r="Q1988" s="88">
        <f t="shared" si="318"/>
        <v>0</v>
      </c>
      <c r="R1988" s="88" t="e">
        <f>-IF(Tabla14[[#This Row],[DIAS HABILES O MORA]]&lt;0,(Tabla14[[#This Row],[VALOR PRESTAMO]]*Tabla14[[#This Row],[% INTERES ]]/30*U1988))+Tabla14[[#This Row],[VALOR CUOTAS]]</f>
        <v>#VALUE!</v>
      </c>
      <c r="S1988" s="88">
        <f>-IF(Tabla14[[#This Row],[DIAS HABILES O MORA]]&lt;0,(Tabla14[[#This Row],[VALOR PRESTAMO]]*Tabla14[[#This Row],[% INTERES ]]/30*U1988))</f>
        <v>0</v>
      </c>
      <c r="T1988" s="53" t="e">
        <f>Tabla14[[#This Row],[DEUDA CAPITAL]]+Tabla14[[#This Row],[INTERES  CUOTA]]</f>
        <v>#NUM!</v>
      </c>
      <c r="U1988" s="61" t="str">
        <f t="shared" si="319"/>
        <v/>
      </c>
    </row>
    <row r="1989" spans="9:21" ht="24.75" customHeight="1" x14ac:dyDescent="0.35">
      <c r="I1989" s="42">
        <f t="shared" si="310"/>
        <v>0</v>
      </c>
      <c r="J1989" s="65" t="e">
        <f t="shared" si="311"/>
        <v>#NUM!</v>
      </c>
      <c r="K1989" s="83" t="e">
        <f t="shared" si="312"/>
        <v>#NUM!</v>
      </c>
      <c r="L1989" s="83">
        <f t="shared" si="313"/>
        <v>0</v>
      </c>
      <c r="M1989" s="110" t="str">
        <f t="shared" si="314"/>
        <v/>
      </c>
      <c r="N1989" s="51" t="str">
        <f t="shared" si="315"/>
        <v/>
      </c>
      <c r="O1989" s="52" t="str">
        <f t="shared" si="316"/>
        <v/>
      </c>
      <c r="P1989" s="88">
        <f t="shared" si="317"/>
        <v>0</v>
      </c>
      <c r="Q1989" s="88">
        <f t="shared" si="318"/>
        <v>0</v>
      </c>
      <c r="R1989" s="88" t="e">
        <f>-IF(Tabla14[[#This Row],[DIAS HABILES O MORA]]&lt;0,(Tabla14[[#This Row],[VALOR PRESTAMO]]*Tabla14[[#This Row],[% INTERES ]]/30*U1989))+Tabla14[[#This Row],[VALOR CUOTAS]]</f>
        <v>#VALUE!</v>
      </c>
      <c r="S1989" s="88">
        <f>-IF(Tabla14[[#This Row],[DIAS HABILES O MORA]]&lt;0,(Tabla14[[#This Row],[VALOR PRESTAMO]]*Tabla14[[#This Row],[% INTERES ]]/30*U1989))</f>
        <v>0</v>
      </c>
      <c r="T1989" s="53" t="e">
        <f>Tabla14[[#This Row],[DEUDA CAPITAL]]+Tabla14[[#This Row],[INTERES  CUOTA]]</f>
        <v>#NUM!</v>
      </c>
      <c r="U1989" s="61" t="str">
        <f t="shared" si="319"/>
        <v/>
      </c>
    </row>
    <row r="1990" spans="9:21" ht="24.75" customHeight="1" x14ac:dyDescent="0.35">
      <c r="I1990" s="42">
        <f t="shared" si="310"/>
        <v>0</v>
      </c>
      <c r="J1990" s="65" t="e">
        <f t="shared" si="311"/>
        <v>#NUM!</v>
      </c>
      <c r="K1990" s="83" t="e">
        <f t="shared" si="312"/>
        <v>#NUM!</v>
      </c>
      <c r="L1990" s="83">
        <f t="shared" si="313"/>
        <v>0</v>
      </c>
      <c r="M1990" s="110" t="str">
        <f t="shared" si="314"/>
        <v/>
      </c>
      <c r="N1990" s="51" t="str">
        <f t="shared" si="315"/>
        <v/>
      </c>
      <c r="O1990" s="52" t="str">
        <f t="shared" si="316"/>
        <v/>
      </c>
      <c r="P1990" s="88">
        <f t="shared" si="317"/>
        <v>0</v>
      </c>
      <c r="Q1990" s="88">
        <f t="shared" si="318"/>
        <v>0</v>
      </c>
      <c r="R1990" s="88" t="e">
        <f>-IF(Tabla14[[#This Row],[DIAS HABILES O MORA]]&lt;0,(Tabla14[[#This Row],[VALOR PRESTAMO]]*Tabla14[[#This Row],[% INTERES ]]/30*U1990))+Tabla14[[#This Row],[VALOR CUOTAS]]</f>
        <v>#VALUE!</v>
      </c>
      <c r="S1990" s="88">
        <f>-IF(Tabla14[[#This Row],[DIAS HABILES O MORA]]&lt;0,(Tabla14[[#This Row],[VALOR PRESTAMO]]*Tabla14[[#This Row],[% INTERES ]]/30*U1990))</f>
        <v>0</v>
      </c>
      <c r="T1990" s="53" t="e">
        <f>Tabla14[[#This Row],[DEUDA CAPITAL]]+Tabla14[[#This Row],[INTERES  CUOTA]]</f>
        <v>#NUM!</v>
      </c>
      <c r="U1990" s="61" t="str">
        <f t="shared" si="319"/>
        <v/>
      </c>
    </row>
    <row r="1991" spans="9:21" ht="24.75" customHeight="1" x14ac:dyDescent="0.35">
      <c r="I1991" s="42">
        <f t="shared" si="310"/>
        <v>0</v>
      </c>
      <c r="J1991" s="65" t="e">
        <f t="shared" si="311"/>
        <v>#NUM!</v>
      </c>
      <c r="K1991" s="83" t="e">
        <f t="shared" si="312"/>
        <v>#NUM!</v>
      </c>
      <c r="L1991" s="83">
        <f t="shared" si="313"/>
        <v>0</v>
      </c>
      <c r="M1991" s="110" t="str">
        <f t="shared" si="314"/>
        <v/>
      </c>
      <c r="N1991" s="51" t="str">
        <f t="shared" si="315"/>
        <v/>
      </c>
      <c r="O1991" s="52" t="str">
        <f t="shared" si="316"/>
        <v/>
      </c>
      <c r="P1991" s="88">
        <f t="shared" si="317"/>
        <v>0</v>
      </c>
      <c r="Q1991" s="88">
        <f t="shared" si="318"/>
        <v>0</v>
      </c>
      <c r="R1991" s="88" t="e">
        <f>-IF(Tabla14[[#This Row],[DIAS HABILES O MORA]]&lt;0,(Tabla14[[#This Row],[VALOR PRESTAMO]]*Tabla14[[#This Row],[% INTERES ]]/30*U1991))+Tabla14[[#This Row],[VALOR CUOTAS]]</f>
        <v>#VALUE!</v>
      </c>
      <c r="S1991" s="88">
        <f>-IF(Tabla14[[#This Row],[DIAS HABILES O MORA]]&lt;0,(Tabla14[[#This Row],[VALOR PRESTAMO]]*Tabla14[[#This Row],[% INTERES ]]/30*U1991))</f>
        <v>0</v>
      </c>
      <c r="T1991" s="53" t="e">
        <f>Tabla14[[#This Row],[DEUDA CAPITAL]]+Tabla14[[#This Row],[INTERES  CUOTA]]</f>
        <v>#NUM!</v>
      </c>
      <c r="U1991" s="61" t="str">
        <f t="shared" si="319"/>
        <v/>
      </c>
    </row>
    <row r="1992" spans="9:21" ht="24.75" customHeight="1" x14ac:dyDescent="0.35">
      <c r="I1992" s="42">
        <f t="shared" si="310"/>
        <v>0</v>
      </c>
      <c r="J1992" s="65" t="e">
        <f t="shared" si="311"/>
        <v>#NUM!</v>
      </c>
      <c r="K1992" s="83" t="e">
        <f t="shared" si="312"/>
        <v>#NUM!</v>
      </c>
      <c r="L1992" s="83">
        <f t="shared" si="313"/>
        <v>0</v>
      </c>
      <c r="M1992" s="110" t="str">
        <f t="shared" si="314"/>
        <v/>
      </c>
      <c r="N1992" s="51" t="str">
        <f t="shared" si="315"/>
        <v/>
      </c>
      <c r="O1992" s="52" t="str">
        <f t="shared" si="316"/>
        <v/>
      </c>
      <c r="P1992" s="88">
        <f t="shared" si="317"/>
        <v>0</v>
      </c>
      <c r="Q1992" s="88">
        <f t="shared" si="318"/>
        <v>0</v>
      </c>
      <c r="R1992" s="88" t="e">
        <f>-IF(Tabla14[[#This Row],[DIAS HABILES O MORA]]&lt;0,(Tabla14[[#This Row],[VALOR PRESTAMO]]*Tabla14[[#This Row],[% INTERES ]]/30*U1992))+Tabla14[[#This Row],[VALOR CUOTAS]]</f>
        <v>#VALUE!</v>
      </c>
      <c r="S1992" s="88">
        <f>-IF(Tabla14[[#This Row],[DIAS HABILES O MORA]]&lt;0,(Tabla14[[#This Row],[VALOR PRESTAMO]]*Tabla14[[#This Row],[% INTERES ]]/30*U1992))</f>
        <v>0</v>
      </c>
      <c r="T1992" s="53" t="e">
        <f>Tabla14[[#This Row],[DEUDA CAPITAL]]+Tabla14[[#This Row],[INTERES  CUOTA]]</f>
        <v>#NUM!</v>
      </c>
      <c r="U1992" s="61" t="str">
        <f t="shared" si="319"/>
        <v/>
      </c>
    </row>
    <row r="1993" spans="9:21" ht="24.75" customHeight="1" x14ac:dyDescent="0.35">
      <c r="I1993" s="42">
        <f t="shared" si="310"/>
        <v>0</v>
      </c>
      <c r="J1993" s="65" t="e">
        <f t="shared" si="311"/>
        <v>#NUM!</v>
      </c>
      <c r="K1993" s="83" t="e">
        <f t="shared" si="312"/>
        <v>#NUM!</v>
      </c>
      <c r="L1993" s="83">
        <f t="shared" si="313"/>
        <v>0</v>
      </c>
      <c r="M1993" s="110" t="str">
        <f t="shared" si="314"/>
        <v/>
      </c>
      <c r="N1993" s="51" t="str">
        <f t="shared" si="315"/>
        <v/>
      </c>
      <c r="O1993" s="52" t="str">
        <f t="shared" si="316"/>
        <v/>
      </c>
      <c r="P1993" s="88">
        <f t="shared" si="317"/>
        <v>0</v>
      </c>
      <c r="Q1993" s="88">
        <f t="shared" si="318"/>
        <v>0</v>
      </c>
      <c r="R1993" s="88" t="e">
        <f>-IF(Tabla14[[#This Row],[DIAS HABILES O MORA]]&lt;0,(Tabla14[[#This Row],[VALOR PRESTAMO]]*Tabla14[[#This Row],[% INTERES ]]/30*U1993))+Tabla14[[#This Row],[VALOR CUOTAS]]</f>
        <v>#VALUE!</v>
      </c>
      <c r="S1993" s="88">
        <f>-IF(Tabla14[[#This Row],[DIAS HABILES O MORA]]&lt;0,(Tabla14[[#This Row],[VALOR PRESTAMO]]*Tabla14[[#This Row],[% INTERES ]]/30*U1993))</f>
        <v>0</v>
      </c>
      <c r="T1993" s="53" t="e">
        <f>Tabla14[[#This Row],[DEUDA CAPITAL]]+Tabla14[[#This Row],[INTERES  CUOTA]]</f>
        <v>#NUM!</v>
      </c>
      <c r="U1993" s="61" t="str">
        <f t="shared" si="319"/>
        <v/>
      </c>
    </row>
    <row r="1994" spans="9:21" ht="24.75" customHeight="1" x14ac:dyDescent="0.35">
      <c r="I1994" s="42">
        <f t="shared" si="310"/>
        <v>0</v>
      </c>
      <c r="J1994" s="65" t="e">
        <f t="shared" si="311"/>
        <v>#NUM!</v>
      </c>
      <c r="K1994" s="83" t="e">
        <f t="shared" si="312"/>
        <v>#NUM!</v>
      </c>
      <c r="L1994" s="83">
        <f t="shared" si="313"/>
        <v>0</v>
      </c>
      <c r="M1994" s="110" t="str">
        <f t="shared" si="314"/>
        <v/>
      </c>
      <c r="N1994" s="51" t="str">
        <f t="shared" si="315"/>
        <v/>
      </c>
      <c r="O1994" s="52" t="str">
        <f t="shared" si="316"/>
        <v/>
      </c>
      <c r="P1994" s="88">
        <f t="shared" si="317"/>
        <v>0</v>
      </c>
      <c r="Q1994" s="88">
        <f t="shared" si="318"/>
        <v>0</v>
      </c>
      <c r="R1994" s="88" t="e">
        <f>-IF(Tabla14[[#This Row],[DIAS HABILES O MORA]]&lt;0,(Tabla14[[#This Row],[VALOR PRESTAMO]]*Tabla14[[#This Row],[% INTERES ]]/30*U1994))+Tabla14[[#This Row],[VALOR CUOTAS]]</f>
        <v>#VALUE!</v>
      </c>
      <c r="S1994" s="88">
        <f>-IF(Tabla14[[#This Row],[DIAS HABILES O MORA]]&lt;0,(Tabla14[[#This Row],[VALOR PRESTAMO]]*Tabla14[[#This Row],[% INTERES ]]/30*U1994))</f>
        <v>0</v>
      </c>
      <c r="T1994" s="53" t="e">
        <f>Tabla14[[#This Row],[DEUDA CAPITAL]]+Tabla14[[#This Row],[INTERES  CUOTA]]</f>
        <v>#NUM!</v>
      </c>
      <c r="U1994" s="61" t="str">
        <f t="shared" si="319"/>
        <v/>
      </c>
    </row>
    <row r="1995" spans="9:21" ht="24.75" customHeight="1" x14ac:dyDescent="0.35">
      <c r="I1995" s="42">
        <f t="shared" si="310"/>
        <v>0</v>
      </c>
      <c r="J1995" s="65" t="e">
        <f t="shared" si="311"/>
        <v>#NUM!</v>
      </c>
      <c r="K1995" s="83" t="e">
        <f t="shared" si="312"/>
        <v>#NUM!</v>
      </c>
      <c r="L1995" s="83">
        <f t="shared" si="313"/>
        <v>0</v>
      </c>
      <c r="M1995" s="110" t="str">
        <f t="shared" si="314"/>
        <v/>
      </c>
      <c r="N1995" s="51" t="str">
        <f t="shared" si="315"/>
        <v/>
      </c>
      <c r="O1995" s="52" t="str">
        <f t="shared" si="316"/>
        <v/>
      </c>
      <c r="P1995" s="88">
        <f t="shared" si="317"/>
        <v>0</v>
      </c>
      <c r="Q1995" s="88">
        <f t="shared" si="318"/>
        <v>0</v>
      </c>
      <c r="R1995" s="88" t="e">
        <f>-IF(Tabla14[[#This Row],[DIAS HABILES O MORA]]&lt;0,(Tabla14[[#This Row],[VALOR PRESTAMO]]*Tabla14[[#This Row],[% INTERES ]]/30*U1995))+Tabla14[[#This Row],[VALOR CUOTAS]]</f>
        <v>#VALUE!</v>
      </c>
      <c r="S1995" s="88">
        <f>-IF(Tabla14[[#This Row],[DIAS HABILES O MORA]]&lt;0,(Tabla14[[#This Row],[VALOR PRESTAMO]]*Tabla14[[#This Row],[% INTERES ]]/30*U1995))</f>
        <v>0</v>
      </c>
      <c r="T1995" s="53" t="e">
        <f>Tabla14[[#This Row],[DEUDA CAPITAL]]+Tabla14[[#This Row],[INTERES  CUOTA]]</f>
        <v>#NUM!</v>
      </c>
      <c r="U1995" s="61" t="str">
        <f t="shared" si="319"/>
        <v/>
      </c>
    </row>
    <row r="1996" spans="9:21" ht="24.75" customHeight="1" x14ac:dyDescent="0.35">
      <c r="I1996" s="42">
        <f t="shared" si="310"/>
        <v>0</v>
      </c>
      <c r="J1996" s="65" t="e">
        <f t="shared" si="311"/>
        <v>#NUM!</v>
      </c>
      <c r="K1996" s="83" t="e">
        <f t="shared" si="312"/>
        <v>#NUM!</v>
      </c>
      <c r="L1996" s="83">
        <f t="shared" si="313"/>
        <v>0</v>
      </c>
      <c r="M1996" s="110" t="str">
        <f t="shared" si="314"/>
        <v/>
      </c>
      <c r="N1996" s="51" t="str">
        <f t="shared" si="315"/>
        <v/>
      </c>
      <c r="O1996" s="52" t="str">
        <f t="shared" si="316"/>
        <v/>
      </c>
      <c r="P1996" s="88">
        <f t="shared" si="317"/>
        <v>0</v>
      </c>
      <c r="Q1996" s="88">
        <f t="shared" si="318"/>
        <v>0</v>
      </c>
      <c r="R1996" s="88" t="e">
        <f>-IF(Tabla14[[#This Row],[DIAS HABILES O MORA]]&lt;0,(Tabla14[[#This Row],[VALOR PRESTAMO]]*Tabla14[[#This Row],[% INTERES ]]/30*U1996))+Tabla14[[#This Row],[VALOR CUOTAS]]</f>
        <v>#VALUE!</v>
      </c>
      <c r="S1996" s="88">
        <f>-IF(Tabla14[[#This Row],[DIAS HABILES O MORA]]&lt;0,(Tabla14[[#This Row],[VALOR PRESTAMO]]*Tabla14[[#This Row],[% INTERES ]]/30*U1996))</f>
        <v>0</v>
      </c>
      <c r="T1996" s="53" t="e">
        <f>Tabla14[[#This Row],[DEUDA CAPITAL]]+Tabla14[[#This Row],[INTERES  CUOTA]]</f>
        <v>#NUM!</v>
      </c>
      <c r="U1996" s="61" t="str">
        <f t="shared" si="319"/>
        <v/>
      </c>
    </row>
    <row r="1997" spans="9:21" ht="24.75" customHeight="1" x14ac:dyDescent="0.35">
      <c r="I1997" s="42">
        <f t="shared" si="310"/>
        <v>0</v>
      </c>
      <c r="J1997" s="65" t="e">
        <f t="shared" si="311"/>
        <v>#NUM!</v>
      </c>
      <c r="K1997" s="83" t="e">
        <f t="shared" si="312"/>
        <v>#NUM!</v>
      </c>
      <c r="L1997" s="83">
        <f t="shared" si="313"/>
        <v>0</v>
      </c>
      <c r="M1997" s="110" t="str">
        <f t="shared" si="314"/>
        <v/>
      </c>
      <c r="N1997" s="51" t="str">
        <f t="shared" si="315"/>
        <v/>
      </c>
      <c r="O1997" s="52" t="str">
        <f t="shared" si="316"/>
        <v/>
      </c>
      <c r="P1997" s="88">
        <f t="shared" si="317"/>
        <v>0</v>
      </c>
      <c r="Q1997" s="88">
        <f t="shared" si="318"/>
        <v>0</v>
      </c>
      <c r="R1997" s="88" t="e">
        <f>-IF(Tabla14[[#This Row],[DIAS HABILES O MORA]]&lt;0,(Tabla14[[#This Row],[VALOR PRESTAMO]]*Tabla14[[#This Row],[% INTERES ]]/30*U1997))+Tabla14[[#This Row],[VALOR CUOTAS]]</f>
        <v>#VALUE!</v>
      </c>
      <c r="S1997" s="88">
        <f>-IF(Tabla14[[#This Row],[DIAS HABILES O MORA]]&lt;0,(Tabla14[[#This Row],[VALOR PRESTAMO]]*Tabla14[[#This Row],[% INTERES ]]/30*U1997))</f>
        <v>0</v>
      </c>
      <c r="T1997" s="53" t="e">
        <f>Tabla14[[#This Row],[DEUDA CAPITAL]]+Tabla14[[#This Row],[INTERES  CUOTA]]</f>
        <v>#NUM!</v>
      </c>
      <c r="U1997" s="61" t="str">
        <f t="shared" si="319"/>
        <v/>
      </c>
    </row>
    <row r="1998" spans="9:21" ht="24.75" customHeight="1" x14ac:dyDescent="0.35">
      <c r="I1998" s="42">
        <f t="shared" si="310"/>
        <v>0</v>
      </c>
      <c r="J1998" s="65" t="e">
        <f t="shared" si="311"/>
        <v>#NUM!</v>
      </c>
      <c r="K1998" s="83" t="e">
        <f t="shared" si="312"/>
        <v>#NUM!</v>
      </c>
      <c r="L1998" s="83">
        <f t="shared" si="313"/>
        <v>0</v>
      </c>
      <c r="M1998" s="110" t="str">
        <f t="shared" si="314"/>
        <v/>
      </c>
      <c r="N1998" s="51" t="str">
        <f t="shared" si="315"/>
        <v/>
      </c>
      <c r="O1998" s="52" t="str">
        <f t="shared" si="316"/>
        <v/>
      </c>
      <c r="P1998" s="88">
        <f t="shared" si="317"/>
        <v>0</v>
      </c>
      <c r="Q1998" s="88">
        <f t="shared" si="318"/>
        <v>0</v>
      </c>
      <c r="R1998" s="88" t="e">
        <f>-IF(Tabla14[[#This Row],[DIAS HABILES O MORA]]&lt;0,(Tabla14[[#This Row],[VALOR PRESTAMO]]*Tabla14[[#This Row],[% INTERES ]]/30*U1998))+Tabla14[[#This Row],[VALOR CUOTAS]]</f>
        <v>#VALUE!</v>
      </c>
      <c r="S1998" s="88">
        <f>-IF(Tabla14[[#This Row],[DIAS HABILES O MORA]]&lt;0,(Tabla14[[#This Row],[VALOR PRESTAMO]]*Tabla14[[#This Row],[% INTERES ]]/30*U1998))</f>
        <v>0</v>
      </c>
      <c r="T1998" s="53" t="e">
        <f>Tabla14[[#This Row],[DEUDA CAPITAL]]+Tabla14[[#This Row],[INTERES  CUOTA]]</f>
        <v>#NUM!</v>
      </c>
      <c r="U1998" s="61" t="str">
        <f t="shared" si="319"/>
        <v/>
      </c>
    </row>
    <row r="1999" spans="9:21" ht="24.75" customHeight="1" x14ac:dyDescent="0.35">
      <c r="I1999" s="42">
        <f t="shared" si="310"/>
        <v>0</v>
      </c>
      <c r="J1999" s="65" t="e">
        <f t="shared" si="311"/>
        <v>#NUM!</v>
      </c>
      <c r="K1999" s="83" t="e">
        <f t="shared" si="312"/>
        <v>#NUM!</v>
      </c>
      <c r="L1999" s="83">
        <f t="shared" si="313"/>
        <v>0</v>
      </c>
      <c r="M1999" s="110" t="str">
        <f t="shared" si="314"/>
        <v/>
      </c>
      <c r="N1999" s="51" t="str">
        <f t="shared" si="315"/>
        <v/>
      </c>
      <c r="O1999" s="52" t="str">
        <f t="shared" si="316"/>
        <v/>
      </c>
      <c r="P1999" s="88">
        <f t="shared" si="317"/>
        <v>0</v>
      </c>
      <c r="Q1999" s="88">
        <f t="shared" si="318"/>
        <v>0</v>
      </c>
      <c r="R1999" s="88" t="e">
        <f>-IF(Tabla14[[#This Row],[DIAS HABILES O MORA]]&lt;0,(Tabla14[[#This Row],[VALOR PRESTAMO]]*Tabla14[[#This Row],[% INTERES ]]/30*U1999))+Tabla14[[#This Row],[VALOR CUOTAS]]</f>
        <v>#VALUE!</v>
      </c>
      <c r="S1999" s="88">
        <f>-IF(Tabla14[[#This Row],[DIAS HABILES O MORA]]&lt;0,(Tabla14[[#This Row],[VALOR PRESTAMO]]*Tabla14[[#This Row],[% INTERES ]]/30*U1999))</f>
        <v>0</v>
      </c>
      <c r="T1999" s="53" t="e">
        <f>Tabla14[[#This Row],[DEUDA CAPITAL]]+Tabla14[[#This Row],[INTERES  CUOTA]]</f>
        <v>#NUM!</v>
      </c>
      <c r="U1999" s="61" t="str">
        <f t="shared" si="319"/>
        <v/>
      </c>
    </row>
    <row r="2000" spans="9:21" ht="24.75" customHeight="1" x14ac:dyDescent="0.35">
      <c r="I2000" s="42">
        <f t="shared" ref="I2000:I2063" si="320">IF(C2000&lt;0,"",IF(Q2000=0,0,IF(G2000=0,H2000+1,IF(H2000&lt;G2000,H2000+1,IF(G2000=H2000,0)))))</f>
        <v>0</v>
      </c>
      <c r="J2000" s="65" t="e">
        <f t="shared" ref="J2000:J2063" si="321">IF(F2000="SOLO INTERES",Q2000*D2000,-IPMT(D2000,I2000,G2000,C2000))</f>
        <v>#NUM!</v>
      </c>
      <c r="K2000" s="83" t="e">
        <f t="shared" ref="K2000:K2063" si="322">IF(F2000="SOLO INTERES",0,-PPMT(D2000,I2000,G2000,C2000))</f>
        <v>#NUM!</v>
      </c>
      <c r="L2000" s="83">
        <f t="shared" ref="L2000:L2063" si="323">IF(F2000="SOLO INTERES",SUM(Y2000:AAE2000),IFERROR(-CUMIPMT(D2000,G2000,C2000,1,H2000,0),0)+SUM(Y2000:WY2000))</f>
        <v>0</v>
      </c>
      <c r="M2000" s="110" t="str">
        <f t="shared" ref="M2000:M2063" si="324">IFERROR(IF(F2000="SOLO INTERES",Q2000*D2000,-PMT(D2000,G2000,C2000,0)),"")</f>
        <v/>
      </c>
      <c r="N2000" s="51" t="str">
        <f t="shared" ref="N2000:N2063" si="325">IF(Q2000=0,"",IF(E2000="MENSUAL",EDATE(B2000,I2000),IF(E2000="QUINCENAL",B2000+(I2000*15),IF(E2000="SEMANAL",B2000+(I2000*7)))))</f>
        <v/>
      </c>
      <c r="O2000" s="52" t="str">
        <f t="shared" ref="O2000:O2063" si="326">IF(C2000=0,"",IF(Q2000&lt;1,"PAGADO",IF(N2000=$A$3,"COBRAR HOY",IF(N2000&lt;$A$3,"EN MORA",IF(N2000&gt;$A$3,"AL DIA")))))</f>
        <v/>
      </c>
      <c r="P2000" s="88">
        <f t="shared" ref="P2000:P2063" si="327">IFERROR(-CUMPRINC(D2000,G2000,C2000,1,H2000,0),0)+W2000</f>
        <v>0</v>
      </c>
      <c r="Q2000" s="88">
        <f t="shared" ref="Q2000:Q2063" si="328">IFERROR(C2000-P2000,"")</f>
        <v>0</v>
      </c>
      <c r="R2000" s="88" t="e">
        <f>-IF(Tabla14[[#This Row],[DIAS HABILES O MORA]]&lt;0,(Tabla14[[#This Row],[VALOR PRESTAMO]]*Tabla14[[#This Row],[% INTERES ]]/30*U2000))+Tabla14[[#This Row],[VALOR CUOTAS]]</f>
        <v>#VALUE!</v>
      </c>
      <c r="S2000" s="88">
        <f>-IF(Tabla14[[#This Row],[DIAS HABILES O MORA]]&lt;0,(Tabla14[[#This Row],[VALOR PRESTAMO]]*Tabla14[[#This Row],[% INTERES ]]/30*U2000))</f>
        <v>0</v>
      </c>
      <c r="T2000" s="53" t="e">
        <f>Tabla14[[#This Row],[DEUDA CAPITAL]]+Tabla14[[#This Row],[INTERES  CUOTA]]</f>
        <v>#NUM!</v>
      </c>
      <c r="U2000" s="61" t="str">
        <f t="shared" ref="U2000:U2063" si="329">IF(O2000="PAGADO","",IFERROR(-IF(C2000=0,"",$A$3-N2000),""))</f>
        <v/>
      </c>
    </row>
    <row r="2001" spans="9:21" ht="24.75" customHeight="1" x14ac:dyDescent="0.35">
      <c r="I2001" s="42">
        <f t="shared" si="320"/>
        <v>0</v>
      </c>
      <c r="J2001" s="65" t="e">
        <f t="shared" si="321"/>
        <v>#NUM!</v>
      </c>
      <c r="K2001" s="83" t="e">
        <f t="shared" si="322"/>
        <v>#NUM!</v>
      </c>
      <c r="L2001" s="83">
        <f t="shared" si="323"/>
        <v>0</v>
      </c>
      <c r="M2001" s="110" t="str">
        <f t="shared" si="324"/>
        <v/>
      </c>
      <c r="N2001" s="51" t="str">
        <f t="shared" si="325"/>
        <v/>
      </c>
      <c r="O2001" s="52" t="str">
        <f t="shared" si="326"/>
        <v/>
      </c>
      <c r="P2001" s="88">
        <f t="shared" si="327"/>
        <v>0</v>
      </c>
      <c r="Q2001" s="88">
        <f t="shared" si="328"/>
        <v>0</v>
      </c>
      <c r="R2001" s="88" t="e">
        <f>-IF(Tabla14[[#This Row],[DIAS HABILES O MORA]]&lt;0,(Tabla14[[#This Row],[VALOR PRESTAMO]]*Tabla14[[#This Row],[% INTERES ]]/30*U2001))+Tabla14[[#This Row],[VALOR CUOTAS]]</f>
        <v>#VALUE!</v>
      </c>
      <c r="S2001" s="88">
        <f>-IF(Tabla14[[#This Row],[DIAS HABILES O MORA]]&lt;0,(Tabla14[[#This Row],[VALOR PRESTAMO]]*Tabla14[[#This Row],[% INTERES ]]/30*U2001))</f>
        <v>0</v>
      </c>
      <c r="T2001" s="53" t="e">
        <f>Tabla14[[#This Row],[DEUDA CAPITAL]]+Tabla14[[#This Row],[INTERES  CUOTA]]</f>
        <v>#NUM!</v>
      </c>
      <c r="U2001" s="61" t="str">
        <f t="shared" si="329"/>
        <v/>
      </c>
    </row>
    <row r="2002" spans="9:21" ht="24.75" customHeight="1" x14ac:dyDescent="0.35">
      <c r="I2002" s="42">
        <f t="shared" si="320"/>
        <v>0</v>
      </c>
      <c r="J2002" s="65" t="e">
        <f t="shared" si="321"/>
        <v>#NUM!</v>
      </c>
      <c r="K2002" s="83" t="e">
        <f t="shared" si="322"/>
        <v>#NUM!</v>
      </c>
      <c r="L2002" s="83">
        <f t="shared" si="323"/>
        <v>0</v>
      </c>
      <c r="M2002" s="110" t="str">
        <f t="shared" si="324"/>
        <v/>
      </c>
      <c r="N2002" s="51" t="str">
        <f t="shared" si="325"/>
        <v/>
      </c>
      <c r="O2002" s="52" t="str">
        <f t="shared" si="326"/>
        <v/>
      </c>
      <c r="P2002" s="88">
        <f t="shared" si="327"/>
        <v>0</v>
      </c>
      <c r="Q2002" s="88">
        <f t="shared" si="328"/>
        <v>0</v>
      </c>
      <c r="R2002" s="88" t="e">
        <f>-IF(Tabla14[[#This Row],[DIAS HABILES O MORA]]&lt;0,(Tabla14[[#This Row],[VALOR PRESTAMO]]*Tabla14[[#This Row],[% INTERES ]]/30*U2002))+Tabla14[[#This Row],[VALOR CUOTAS]]</f>
        <v>#VALUE!</v>
      </c>
      <c r="S2002" s="88">
        <f>-IF(Tabla14[[#This Row],[DIAS HABILES O MORA]]&lt;0,(Tabla14[[#This Row],[VALOR PRESTAMO]]*Tabla14[[#This Row],[% INTERES ]]/30*U2002))</f>
        <v>0</v>
      </c>
      <c r="T2002" s="53" t="e">
        <f>Tabla14[[#This Row],[DEUDA CAPITAL]]+Tabla14[[#This Row],[INTERES  CUOTA]]</f>
        <v>#NUM!</v>
      </c>
      <c r="U2002" s="61" t="str">
        <f t="shared" si="329"/>
        <v/>
      </c>
    </row>
    <row r="2003" spans="9:21" ht="24.75" customHeight="1" x14ac:dyDescent="0.35">
      <c r="I2003" s="42">
        <f t="shared" si="320"/>
        <v>0</v>
      </c>
      <c r="J2003" s="65" t="e">
        <f t="shared" si="321"/>
        <v>#NUM!</v>
      </c>
      <c r="K2003" s="83" t="e">
        <f t="shared" si="322"/>
        <v>#NUM!</v>
      </c>
      <c r="L2003" s="83">
        <f t="shared" si="323"/>
        <v>0</v>
      </c>
      <c r="M2003" s="110" t="str">
        <f t="shared" si="324"/>
        <v/>
      </c>
      <c r="N2003" s="51" t="str">
        <f t="shared" si="325"/>
        <v/>
      </c>
      <c r="O2003" s="52" t="str">
        <f t="shared" si="326"/>
        <v/>
      </c>
      <c r="P2003" s="88">
        <f t="shared" si="327"/>
        <v>0</v>
      </c>
      <c r="Q2003" s="88">
        <f t="shared" si="328"/>
        <v>0</v>
      </c>
      <c r="R2003" s="88" t="e">
        <f>-IF(Tabla14[[#This Row],[DIAS HABILES O MORA]]&lt;0,(Tabla14[[#This Row],[VALOR PRESTAMO]]*Tabla14[[#This Row],[% INTERES ]]/30*U2003))+Tabla14[[#This Row],[VALOR CUOTAS]]</f>
        <v>#VALUE!</v>
      </c>
      <c r="S2003" s="88">
        <f>-IF(Tabla14[[#This Row],[DIAS HABILES O MORA]]&lt;0,(Tabla14[[#This Row],[VALOR PRESTAMO]]*Tabla14[[#This Row],[% INTERES ]]/30*U2003))</f>
        <v>0</v>
      </c>
      <c r="T2003" s="53" t="e">
        <f>Tabla14[[#This Row],[DEUDA CAPITAL]]+Tabla14[[#This Row],[INTERES  CUOTA]]</f>
        <v>#NUM!</v>
      </c>
      <c r="U2003" s="61" t="str">
        <f t="shared" si="329"/>
        <v/>
      </c>
    </row>
    <row r="2004" spans="9:21" ht="24.75" customHeight="1" x14ac:dyDescent="0.35">
      <c r="I2004" s="42">
        <f t="shared" si="320"/>
        <v>0</v>
      </c>
      <c r="J2004" s="65" t="e">
        <f t="shared" si="321"/>
        <v>#NUM!</v>
      </c>
      <c r="K2004" s="83" t="e">
        <f t="shared" si="322"/>
        <v>#NUM!</v>
      </c>
      <c r="L2004" s="83">
        <f t="shared" si="323"/>
        <v>0</v>
      </c>
      <c r="M2004" s="110" t="str">
        <f t="shared" si="324"/>
        <v/>
      </c>
      <c r="N2004" s="51" t="str">
        <f t="shared" si="325"/>
        <v/>
      </c>
      <c r="O2004" s="52" t="str">
        <f t="shared" si="326"/>
        <v/>
      </c>
      <c r="P2004" s="88">
        <f t="shared" si="327"/>
        <v>0</v>
      </c>
      <c r="Q2004" s="88">
        <f t="shared" si="328"/>
        <v>0</v>
      </c>
      <c r="R2004" s="88" t="e">
        <f>-IF(Tabla14[[#This Row],[DIAS HABILES O MORA]]&lt;0,(Tabla14[[#This Row],[VALOR PRESTAMO]]*Tabla14[[#This Row],[% INTERES ]]/30*U2004))+Tabla14[[#This Row],[VALOR CUOTAS]]</f>
        <v>#VALUE!</v>
      </c>
      <c r="S2004" s="88">
        <f>-IF(Tabla14[[#This Row],[DIAS HABILES O MORA]]&lt;0,(Tabla14[[#This Row],[VALOR PRESTAMO]]*Tabla14[[#This Row],[% INTERES ]]/30*U2004))</f>
        <v>0</v>
      </c>
      <c r="T2004" s="53" t="e">
        <f>Tabla14[[#This Row],[DEUDA CAPITAL]]+Tabla14[[#This Row],[INTERES  CUOTA]]</f>
        <v>#NUM!</v>
      </c>
      <c r="U2004" s="61" t="str">
        <f t="shared" si="329"/>
        <v/>
      </c>
    </row>
    <row r="2005" spans="9:21" ht="24.75" customHeight="1" x14ac:dyDescent="0.35">
      <c r="I2005" s="42">
        <f t="shared" si="320"/>
        <v>0</v>
      </c>
      <c r="J2005" s="65" t="e">
        <f t="shared" si="321"/>
        <v>#NUM!</v>
      </c>
      <c r="K2005" s="83" t="e">
        <f t="shared" si="322"/>
        <v>#NUM!</v>
      </c>
      <c r="L2005" s="83">
        <f t="shared" si="323"/>
        <v>0</v>
      </c>
      <c r="M2005" s="110" t="str">
        <f t="shared" si="324"/>
        <v/>
      </c>
      <c r="N2005" s="51" t="str">
        <f t="shared" si="325"/>
        <v/>
      </c>
      <c r="O2005" s="52" t="str">
        <f t="shared" si="326"/>
        <v/>
      </c>
      <c r="P2005" s="88">
        <f t="shared" si="327"/>
        <v>0</v>
      </c>
      <c r="Q2005" s="88">
        <f t="shared" si="328"/>
        <v>0</v>
      </c>
      <c r="R2005" s="88" t="e">
        <f>-IF(Tabla14[[#This Row],[DIAS HABILES O MORA]]&lt;0,(Tabla14[[#This Row],[VALOR PRESTAMO]]*Tabla14[[#This Row],[% INTERES ]]/30*U2005))+Tabla14[[#This Row],[VALOR CUOTAS]]</f>
        <v>#VALUE!</v>
      </c>
      <c r="S2005" s="88">
        <f>-IF(Tabla14[[#This Row],[DIAS HABILES O MORA]]&lt;0,(Tabla14[[#This Row],[VALOR PRESTAMO]]*Tabla14[[#This Row],[% INTERES ]]/30*U2005))</f>
        <v>0</v>
      </c>
      <c r="T2005" s="53" t="e">
        <f>Tabla14[[#This Row],[DEUDA CAPITAL]]+Tabla14[[#This Row],[INTERES  CUOTA]]</f>
        <v>#NUM!</v>
      </c>
      <c r="U2005" s="61" t="str">
        <f t="shared" si="329"/>
        <v/>
      </c>
    </row>
    <row r="2006" spans="9:21" ht="24.75" customHeight="1" x14ac:dyDescent="0.35">
      <c r="I2006" s="42">
        <f t="shared" si="320"/>
        <v>0</v>
      </c>
      <c r="J2006" s="65" t="e">
        <f t="shared" si="321"/>
        <v>#NUM!</v>
      </c>
      <c r="K2006" s="83" t="e">
        <f t="shared" si="322"/>
        <v>#NUM!</v>
      </c>
      <c r="L2006" s="83">
        <f t="shared" si="323"/>
        <v>0</v>
      </c>
      <c r="M2006" s="110" t="str">
        <f t="shared" si="324"/>
        <v/>
      </c>
      <c r="N2006" s="51" t="str">
        <f t="shared" si="325"/>
        <v/>
      </c>
      <c r="O2006" s="52" t="str">
        <f t="shared" si="326"/>
        <v/>
      </c>
      <c r="P2006" s="88">
        <f t="shared" si="327"/>
        <v>0</v>
      </c>
      <c r="Q2006" s="88">
        <f t="shared" si="328"/>
        <v>0</v>
      </c>
      <c r="R2006" s="88" t="e">
        <f>-IF(Tabla14[[#This Row],[DIAS HABILES O MORA]]&lt;0,(Tabla14[[#This Row],[VALOR PRESTAMO]]*Tabla14[[#This Row],[% INTERES ]]/30*U2006))+Tabla14[[#This Row],[VALOR CUOTAS]]</f>
        <v>#VALUE!</v>
      </c>
      <c r="S2006" s="88">
        <f>-IF(Tabla14[[#This Row],[DIAS HABILES O MORA]]&lt;0,(Tabla14[[#This Row],[VALOR PRESTAMO]]*Tabla14[[#This Row],[% INTERES ]]/30*U2006))</f>
        <v>0</v>
      </c>
      <c r="T2006" s="53" t="e">
        <f>Tabla14[[#This Row],[DEUDA CAPITAL]]+Tabla14[[#This Row],[INTERES  CUOTA]]</f>
        <v>#NUM!</v>
      </c>
      <c r="U2006" s="61" t="str">
        <f t="shared" si="329"/>
        <v/>
      </c>
    </row>
    <row r="2007" spans="9:21" ht="24.75" customHeight="1" x14ac:dyDescent="0.35">
      <c r="I2007" s="42">
        <f t="shared" si="320"/>
        <v>0</v>
      </c>
      <c r="J2007" s="65" t="e">
        <f t="shared" si="321"/>
        <v>#NUM!</v>
      </c>
      <c r="K2007" s="83" t="e">
        <f t="shared" si="322"/>
        <v>#NUM!</v>
      </c>
      <c r="L2007" s="83">
        <f t="shared" si="323"/>
        <v>0</v>
      </c>
      <c r="M2007" s="110" t="str">
        <f t="shared" si="324"/>
        <v/>
      </c>
      <c r="N2007" s="51" t="str">
        <f t="shared" si="325"/>
        <v/>
      </c>
      <c r="O2007" s="52" t="str">
        <f t="shared" si="326"/>
        <v/>
      </c>
      <c r="P2007" s="88">
        <f t="shared" si="327"/>
        <v>0</v>
      </c>
      <c r="Q2007" s="88">
        <f t="shared" si="328"/>
        <v>0</v>
      </c>
      <c r="R2007" s="88" t="e">
        <f>-IF(Tabla14[[#This Row],[DIAS HABILES O MORA]]&lt;0,(Tabla14[[#This Row],[VALOR PRESTAMO]]*Tabla14[[#This Row],[% INTERES ]]/30*U2007))+Tabla14[[#This Row],[VALOR CUOTAS]]</f>
        <v>#VALUE!</v>
      </c>
      <c r="S2007" s="88">
        <f>-IF(Tabla14[[#This Row],[DIAS HABILES O MORA]]&lt;0,(Tabla14[[#This Row],[VALOR PRESTAMO]]*Tabla14[[#This Row],[% INTERES ]]/30*U2007))</f>
        <v>0</v>
      </c>
      <c r="T2007" s="53" t="e">
        <f>Tabla14[[#This Row],[DEUDA CAPITAL]]+Tabla14[[#This Row],[INTERES  CUOTA]]</f>
        <v>#NUM!</v>
      </c>
      <c r="U2007" s="61" t="str">
        <f t="shared" si="329"/>
        <v/>
      </c>
    </row>
    <row r="2008" spans="9:21" ht="24.75" customHeight="1" x14ac:dyDescent="0.35">
      <c r="I2008" s="42">
        <f t="shared" si="320"/>
        <v>0</v>
      </c>
      <c r="J2008" s="65" t="e">
        <f t="shared" si="321"/>
        <v>#NUM!</v>
      </c>
      <c r="K2008" s="83" t="e">
        <f t="shared" si="322"/>
        <v>#NUM!</v>
      </c>
      <c r="L2008" s="83">
        <f t="shared" si="323"/>
        <v>0</v>
      </c>
      <c r="M2008" s="110" t="str">
        <f t="shared" si="324"/>
        <v/>
      </c>
      <c r="N2008" s="51" t="str">
        <f t="shared" si="325"/>
        <v/>
      </c>
      <c r="O2008" s="52" t="str">
        <f t="shared" si="326"/>
        <v/>
      </c>
      <c r="P2008" s="88">
        <f t="shared" si="327"/>
        <v>0</v>
      </c>
      <c r="Q2008" s="88">
        <f t="shared" si="328"/>
        <v>0</v>
      </c>
      <c r="R2008" s="88" t="e">
        <f>-IF(Tabla14[[#This Row],[DIAS HABILES O MORA]]&lt;0,(Tabla14[[#This Row],[VALOR PRESTAMO]]*Tabla14[[#This Row],[% INTERES ]]/30*U2008))+Tabla14[[#This Row],[VALOR CUOTAS]]</f>
        <v>#VALUE!</v>
      </c>
      <c r="S2008" s="88">
        <f>-IF(Tabla14[[#This Row],[DIAS HABILES O MORA]]&lt;0,(Tabla14[[#This Row],[VALOR PRESTAMO]]*Tabla14[[#This Row],[% INTERES ]]/30*U2008))</f>
        <v>0</v>
      </c>
      <c r="T2008" s="53" t="e">
        <f>Tabla14[[#This Row],[DEUDA CAPITAL]]+Tabla14[[#This Row],[INTERES  CUOTA]]</f>
        <v>#NUM!</v>
      </c>
      <c r="U2008" s="61" t="str">
        <f t="shared" si="329"/>
        <v/>
      </c>
    </row>
    <row r="2009" spans="9:21" ht="24.75" customHeight="1" x14ac:dyDescent="0.35">
      <c r="I2009" s="42">
        <f t="shared" si="320"/>
        <v>0</v>
      </c>
      <c r="J2009" s="65" t="e">
        <f t="shared" si="321"/>
        <v>#NUM!</v>
      </c>
      <c r="K2009" s="83" t="e">
        <f t="shared" si="322"/>
        <v>#NUM!</v>
      </c>
      <c r="L2009" s="83">
        <f t="shared" si="323"/>
        <v>0</v>
      </c>
      <c r="M2009" s="110" t="str">
        <f t="shared" si="324"/>
        <v/>
      </c>
      <c r="N2009" s="51" t="str">
        <f t="shared" si="325"/>
        <v/>
      </c>
      <c r="O2009" s="52" t="str">
        <f t="shared" si="326"/>
        <v/>
      </c>
      <c r="P2009" s="88">
        <f t="shared" si="327"/>
        <v>0</v>
      </c>
      <c r="Q2009" s="88">
        <f t="shared" si="328"/>
        <v>0</v>
      </c>
      <c r="R2009" s="88" t="e">
        <f>-IF(Tabla14[[#This Row],[DIAS HABILES O MORA]]&lt;0,(Tabla14[[#This Row],[VALOR PRESTAMO]]*Tabla14[[#This Row],[% INTERES ]]/30*U2009))+Tabla14[[#This Row],[VALOR CUOTAS]]</f>
        <v>#VALUE!</v>
      </c>
      <c r="S2009" s="88">
        <f>-IF(Tabla14[[#This Row],[DIAS HABILES O MORA]]&lt;0,(Tabla14[[#This Row],[VALOR PRESTAMO]]*Tabla14[[#This Row],[% INTERES ]]/30*U2009))</f>
        <v>0</v>
      </c>
      <c r="T2009" s="53" t="e">
        <f>Tabla14[[#This Row],[DEUDA CAPITAL]]+Tabla14[[#This Row],[INTERES  CUOTA]]</f>
        <v>#NUM!</v>
      </c>
      <c r="U2009" s="61" t="str">
        <f t="shared" si="329"/>
        <v/>
      </c>
    </row>
    <row r="2010" spans="9:21" ht="24.75" customHeight="1" x14ac:dyDescent="0.35">
      <c r="I2010" s="42">
        <f t="shared" si="320"/>
        <v>0</v>
      </c>
      <c r="J2010" s="65" t="e">
        <f t="shared" si="321"/>
        <v>#NUM!</v>
      </c>
      <c r="K2010" s="83" t="e">
        <f t="shared" si="322"/>
        <v>#NUM!</v>
      </c>
      <c r="L2010" s="83">
        <f t="shared" si="323"/>
        <v>0</v>
      </c>
      <c r="M2010" s="110" t="str">
        <f t="shared" si="324"/>
        <v/>
      </c>
      <c r="N2010" s="51" t="str">
        <f t="shared" si="325"/>
        <v/>
      </c>
      <c r="O2010" s="52" t="str">
        <f t="shared" si="326"/>
        <v/>
      </c>
      <c r="P2010" s="88">
        <f t="shared" si="327"/>
        <v>0</v>
      </c>
      <c r="Q2010" s="88">
        <f t="shared" si="328"/>
        <v>0</v>
      </c>
      <c r="R2010" s="88" t="e">
        <f>-IF(Tabla14[[#This Row],[DIAS HABILES O MORA]]&lt;0,(Tabla14[[#This Row],[VALOR PRESTAMO]]*Tabla14[[#This Row],[% INTERES ]]/30*U2010))+Tabla14[[#This Row],[VALOR CUOTAS]]</f>
        <v>#VALUE!</v>
      </c>
      <c r="S2010" s="88">
        <f>-IF(Tabla14[[#This Row],[DIAS HABILES O MORA]]&lt;0,(Tabla14[[#This Row],[VALOR PRESTAMO]]*Tabla14[[#This Row],[% INTERES ]]/30*U2010))</f>
        <v>0</v>
      </c>
      <c r="T2010" s="53" t="e">
        <f>Tabla14[[#This Row],[DEUDA CAPITAL]]+Tabla14[[#This Row],[INTERES  CUOTA]]</f>
        <v>#NUM!</v>
      </c>
      <c r="U2010" s="61" t="str">
        <f t="shared" si="329"/>
        <v/>
      </c>
    </row>
    <row r="2011" spans="9:21" ht="24.75" customHeight="1" x14ac:dyDescent="0.35">
      <c r="I2011" s="42">
        <f t="shared" si="320"/>
        <v>0</v>
      </c>
      <c r="J2011" s="65" t="e">
        <f t="shared" si="321"/>
        <v>#NUM!</v>
      </c>
      <c r="K2011" s="83" t="e">
        <f t="shared" si="322"/>
        <v>#NUM!</v>
      </c>
      <c r="L2011" s="83">
        <f t="shared" si="323"/>
        <v>0</v>
      </c>
      <c r="M2011" s="110" t="str">
        <f t="shared" si="324"/>
        <v/>
      </c>
      <c r="N2011" s="51" t="str">
        <f t="shared" si="325"/>
        <v/>
      </c>
      <c r="O2011" s="52" t="str">
        <f t="shared" si="326"/>
        <v/>
      </c>
      <c r="P2011" s="88">
        <f t="shared" si="327"/>
        <v>0</v>
      </c>
      <c r="Q2011" s="88">
        <f t="shared" si="328"/>
        <v>0</v>
      </c>
      <c r="R2011" s="88" t="e">
        <f>-IF(Tabla14[[#This Row],[DIAS HABILES O MORA]]&lt;0,(Tabla14[[#This Row],[VALOR PRESTAMO]]*Tabla14[[#This Row],[% INTERES ]]/30*U2011))+Tabla14[[#This Row],[VALOR CUOTAS]]</f>
        <v>#VALUE!</v>
      </c>
      <c r="S2011" s="88">
        <f>-IF(Tabla14[[#This Row],[DIAS HABILES O MORA]]&lt;0,(Tabla14[[#This Row],[VALOR PRESTAMO]]*Tabla14[[#This Row],[% INTERES ]]/30*U2011))</f>
        <v>0</v>
      </c>
      <c r="T2011" s="53" t="e">
        <f>Tabla14[[#This Row],[DEUDA CAPITAL]]+Tabla14[[#This Row],[INTERES  CUOTA]]</f>
        <v>#NUM!</v>
      </c>
      <c r="U2011" s="61" t="str">
        <f t="shared" si="329"/>
        <v/>
      </c>
    </row>
    <row r="2012" spans="9:21" ht="24.75" customHeight="1" x14ac:dyDescent="0.35">
      <c r="I2012" s="42">
        <f t="shared" si="320"/>
        <v>0</v>
      </c>
      <c r="J2012" s="65" t="e">
        <f t="shared" si="321"/>
        <v>#NUM!</v>
      </c>
      <c r="K2012" s="83" t="e">
        <f t="shared" si="322"/>
        <v>#NUM!</v>
      </c>
      <c r="L2012" s="83">
        <f t="shared" si="323"/>
        <v>0</v>
      </c>
      <c r="M2012" s="110" t="str">
        <f t="shared" si="324"/>
        <v/>
      </c>
      <c r="N2012" s="51" t="str">
        <f t="shared" si="325"/>
        <v/>
      </c>
      <c r="O2012" s="52" t="str">
        <f t="shared" si="326"/>
        <v/>
      </c>
      <c r="P2012" s="88">
        <f t="shared" si="327"/>
        <v>0</v>
      </c>
      <c r="Q2012" s="88">
        <f t="shared" si="328"/>
        <v>0</v>
      </c>
      <c r="R2012" s="88" t="e">
        <f>-IF(Tabla14[[#This Row],[DIAS HABILES O MORA]]&lt;0,(Tabla14[[#This Row],[VALOR PRESTAMO]]*Tabla14[[#This Row],[% INTERES ]]/30*U2012))+Tabla14[[#This Row],[VALOR CUOTAS]]</f>
        <v>#VALUE!</v>
      </c>
      <c r="S2012" s="88">
        <f>-IF(Tabla14[[#This Row],[DIAS HABILES O MORA]]&lt;0,(Tabla14[[#This Row],[VALOR PRESTAMO]]*Tabla14[[#This Row],[% INTERES ]]/30*U2012))</f>
        <v>0</v>
      </c>
      <c r="T2012" s="53" t="e">
        <f>Tabla14[[#This Row],[DEUDA CAPITAL]]+Tabla14[[#This Row],[INTERES  CUOTA]]</f>
        <v>#NUM!</v>
      </c>
      <c r="U2012" s="61" t="str">
        <f t="shared" si="329"/>
        <v/>
      </c>
    </row>
    <row r="2013" spans="9:21" ht="24.75" customHeight="1" x14ac:dyDescent="0.35">
      <c r="I2013" s="42">
        <f t="shared" si="320"/>
        <v>0</v>
      </c>
      <c r="J2013" s="65" t="e">
        <f t="shared" si="321"/>
        <v>#NUM!</v>
      </c>
      <c r="K2013" s="83" t="e">
        <f t="shared" si="322"/>
        <v>#NUM!</v>
      </c>
      <c r="L2013" s="83">
        <f t="shared" si="323"/>
        <v>0</v>
      </c>
      <c r="M2013" s="110" t="str">
        <f t="shared" si="324"/>
        <v/>
      </c>
      <c r="N2013" s="51" t="str">
        <f t="shared" si="325"/>
        <v/>
      </c>
      <c r="O2013" s="52" t="str">
        <f t="shared" si="326"/>
        <v/>
      </c>
      <c r="P2013" s="88">
        <f t="shared" si="327"/>
        <v>0</v>
      </c>
      <c r="Q2013" s="88">
        <f t="shared" si="328"/>
        <v>0</v>
      </c>
      <c r="R2013" s="88" t="e">
        <f>-IF(Tabla14[[#This Row],[DIAS HABILES O MORA]]&lt;0,(Tabla14[[#This Row],[VALOR PRESTAMO]]*Tabla14[[#This Row],[% INTERES ]]/30*U2013))+Tabla14[[#This Row],[VALOR CUOTAS]]</f>
        <v>#VALUE!</v>
      </c>
      <c r="S2013" s="88">
        <f>-IF(Tabla14[[#This Row],[DIAS HABILES O MORA]]&lt;0,(Tabla14[[#This Row],[VALOR PRESTAMO]]*Tabla14[[#This Row],[% INTERES ]]/30*U2013))</f>
        <v>0</v>
      </c>
      <c r="T2013" s="53" t="e">
        <f>Tabla14[[#This Row],[DEUDA CAPITAL]]+Tabla14[[#This Row],[INTERES  CUOTA]]</f>
        <v>#NUM!</v>
      </c>
      <c r="U2013" s="61" t="str">
        <f t="shared" si="329"/>
        <v/>
      </c>
    </row>
    <row r="2014" spans="9:21" ht="24.75" customHeight="1" x14ac:dyDescent="0.35">
      <c r="I2014" s="42">
        <f t="shared" si="320"/>
        <v>0</v>
      </c>
      <c r="J2014" s="65" t="e">
        <f t="shared" si="321"/>
        <v>#NUM!</v>
      </c>
      <c r="K2014" s="83" t="e">
        <f t="shared" si="322"/>
        <v>#NUM!</v>
      </c>
      <c r="L2014" s="83">
        <f t="shared" si="323"/>
        <v>0</v>
      </c>
      <c r="M2014" s="110" t="str">
        <f t="shared" si="324"/>
        <v/>
      </c>
      <c r="N2014" s="51" t="str">
        <f t="shared" si="325"/>
        <v/>
      </c>
      <c r="O2014" s="52" t="str">
        <f t="shared" si="326"/>
        <v/>
      </c>
      <c r="P2014" s="88">
        <f t="shared" si="327"/>
        <v>0</v>
      </c>
      <c r="Q2014" s="88">
        <f t="shared" si="328"/>
        <v>0</v>
      </c>
      <c r="R2014" s="88" t="e">
        <f>-IF(Tabla14[[#This Row],[DIAS HABILES O MORA]]&lt;0,(Tabla14[[#This Row],[VALOR PRESTAMO]]*Tabla14[[#This Row],[% INTERES ]]/30*U2014))+Tabla14[[#This Row],[VALOR CUOTAS]]</f>
        <v>#VALUE!</v>
      </c>
      <c r="S2014" s="88">
        <f>-IF(Tabla14[[#This Row],[DIAS HABILES O MORA]]&lt;0,(Tabla14[[#This Row],[VALOR PRESTAMO]]*Tabla14[[#This Row],[% INTERES ]]/30*U2014))</f>
        <v>0</v>
      </c>
      <c r="T2014" s="53" t="e">
        <f>Tabla14[[#This Row],[DEUDA CAPITAL]]+Tabla14[[#This Row],[INTERES  CUOTA]]</f>
        <v>#NUM!</v>
      </c>
      <c r="U2014" s="61" t="str">
        <f t="shared" si="329"/>
        <v/>
      </c>
    </row>
    <row r="2015" spans="9:21" ht="24.75" customHeight="1" x14ac:dyDescent="0.35">
      <c r="I2015" s="42">
        <f t="shared" si="320"/>
        <v>0</v>
      </c>
      <c r="J2015" s="65" t="e">
        <f t="shared" si="321"/>
        <v>#NUM!</v>
      </c>
      <c r="K2015" s="83" t="e">
        <f t="shared" si="322"/>
        <v>#NUM!</v>
      </c>
      <c r="L2015" s="83">
        <f t="shared" si="323"/>
        <v>0</v>
      </c>
      <c r="M2015" s="110" t="str">
        <f t="shared" si="324"/>
        <v/>
      </c>
      <c r="N2015" s="51" t="str">
        <f t="shared" si="325"/>
        <v/>
      </c>
      <c r="O2015" s="52" t="str">
        <f t="shared" si="326"/>
        <v/>
      </c>
      <c r="P2015" s="88">
        <f t="shared" si="327"/>
        <v>0</v>
      </c>
      <c r="Q2015" s="88">
        <f t="shared" si="328"/>
        <v>0</v>
      </c>
      <c r="R2015" s="88" t="e">
        <f>-IF(Tabla14[[#This Row],[DIAS HABILES O MORA]]&lt;0,(Tabla14[[#This Row],[VALOR PRESTAMO]]*Tabla14[[#This Row],[% INTERES ]]/30*U2015))+Tabla14[[#This Row],[VALOR CUOTAS]]</f>
        <v>#VALUE!</v>
      </c>
      <c r="S2015" s="88">
        <f>-IF(Tabla14[[#This Row],[DIAS HABILES O MORA]]&lt;0,(Tabla14[[#This Row],[VALOR PRESTAMO]]*Tabla14[[#This Row],[% INTERES ]]/30*U2015))</f>
        <v>0</v>
      </c>
      <c r="T2015" s="53" t="e">
        <f>Tabla14[[#This Row],[DEUDA CAPITAL]]+Tabla14[[#This Row],[INTERES  CUOTA]]</f>
        <v>#NUM!</v>
      </c>
      <c r="U2015" s="61" t="str">
        <f t="shared" si="329"/>
        <v/>
      </c>
    </row>
    <row r="2016" spans="9:21" ht="24.75" customHeight="1" x14ac:dyDescent="0.35">
      <c r="I2016" s="42">
        <f t="shared" si="320"/>
        <v>0</v>
      </c>
      <c r="J2016" s="65" t="e">
        <f t="shared" si="321"/>
        <v>#NUM!</v>
      </c>
      <c r="K2016" s="83" t="e">
        <f t="shared" si="322"/>
        <v>#NUM!</v>
      </c>
      <c r="L2016" s="83">
        <f t="shared" si="323"/>
        <v>0</v>
      </c>
      <c r="M2016" s="110" t="str">
        <f t="shared" si="324"/>
        <v/>
      </c>
      <c r="N2016" s="51" t="str">
        <f t="shared" si="325"/>
        <v/>
      </c>
      <c r="O2016" s="52" t="str">
        <f t="shared" si="326"/>
        <v/>
      </c>
      <c r="P2016" s="88">
        <f t="shared" si="327"/>
        <v>0</v>
      </c>
      <c r="Q2016" s="88">
        <f t="shared" si="328"/>
        <v>0</v>
      </c>
      <c r="R2016" s="88" t="e">
        <f>-IF(Tabla14[[#This Row],[DIAS HABILES O MORA]]&lt;0,(Tabla14[[#This Row],[VALOR PRESTAMO]]*Tabla14[[#This Row],[% INTERES ]]/30*U2016))+Tabla14[[#This Row],[VALOR CUOTAS]]</f>
        <v>#VALUE!</v>
      </c>
      <c r="S2016" s="88">
        <f>-IF(Tabla14[[#This Row],[DIAS HABILES O MORA]]&lt;0,(Tabla14[[#This Row],[VALOR PRESTAMO]]*Tabla14[[#This Row],[% INTERES ]]/30*U2016))</f>
        <v>0</v>
      </c>
      <c r="T2016" s="53" t="e">
        <f>Tabla14[[#This Row],[DEUDA CAPITAL]]+Tabla14[[#This Row],[INTERES  CUOTA]]</f>
        <v>#NUM!</v>
      </c>
      <c r="U2016" s="61" t="str">
        <f t="shared" si="329"/>
        <v/>
      </c>
    </row>
    <row r="2017" spans="9:21" ht="24.75" customHeight="1" x14ac:dyDescent="0.35">
      <c r="I2017" s="42">
        <f t="shared" si="320"/>
        <v>0</v>
      </c>
      <c r="J2017" s="65" t="e">
        <f t="shared" si="321"/>
        <v>#NUM!</v>
      </c>
      <c r="K2017" s="83" t="e">
        <f t="shared" si="322"/>
        <v>#NUM!</v>
      </c>
      <c r="L2017" s="83">
        <f t="shared" si="323"/>
        <v>0</v>
      </c>
      <c r="M2017" s="110" t="str">
        <f t="shared" si="324"/>
        <v/>
      </c>
      <c r="N2017" s="51" t="str">
        <f t="shared" si="325"/>
        <v/>
      </c>
      <c r="O2017" s="52" t="str">
        <f t="shared" si="326"/>
        <v/>
      </c>
      <c r="P2017" s="88">
        <f t="shared" si="327"/>
        <v>0</v>
      </c>
      <c r="Q2017" s="88">
        <f t="shared" si="328"/>
        <v>0</v>
      </c>
      <c r="R2017" s="88" t="e">
        <f>-IF(Tabla14[[#This Row],[DIAS HABILES O MORA]]&lt;0,(Tabla14[[#This Row],[VALOR PRESTAMO]]*Tabla14[[#This Row],[% INTERES ]]/30*U2017))+Tabla14[[#This Row],[VALOR CUOTAS]]</f>
        <v>#VALUE!</v>
      </c>
      <c r="S2017" s="88">
        <f>-IF(Tabla14[[#This Row],[DIAS HABILES O MORA]]&lt;0,(Tabla14[[#This Row],[VALOR PRESTAMO]]*Tabla14[[#This Row],[% INTERES ]]/30*U2017))</f>
        <v>0</v>
      </c>
      <c r="T2017" s="53" t="e">
        <f>Tabla14[[#This Row],[DEUDA CAPITAL]]+Tabla14[[#This Row],[INTERES  CUOTA]]</f>
        <v>#NUM!</v>
      </c>
      <c r="U2017" s="61" t="str">
        <f t="shared" si="329"/>
        <v/>
      </c>
    </row>
    <row r="2018" spans="9:21" ht="24.75" customHeight="1" x14ac:dyDescent="0.35">
      <c r="I2018" s="42">
        <f t="shared" si="320"/>
        <v>0</v>
      </c>
      <c r="J2018" s="65" t="e">
        <f t="shared" si="321"/>
        <v>#NUM!</v>
      </c>
      <c r="K2018" s="83" t="e">
        <f t="shared" si="322"/>
        <v>#NUM!</v>
      </c>
      <c r="L2018" s="83">
        <f t="shared" si="323"/>
        <v>0</v>
      </c>
      <c r="M2018" s="110" t="str">
        <f t="shared" si="324"/>
        <v/>
      </c>
      <c r="N2018" s="51" t="str">
        <f t="shared" si="325"/>
        <v/>
      </c>
      <c r="O2018" s="52" t="str">
        <f t="shared" si="326"/>
        <v/>
      </c>
      <c r="P2018" s="88">
        <f t="shared" si="327"/>
        <v>0</v>
      </c>
      <c r="Q2018" s="88">
        <f t="shared" si="328"/>
        <v>0</v>
      </c>
      <c r="R2018" s="88" t="e">
        <f>-IF(Tabla14[[#This Row],[DIAS HABILES O MORA]]&lt;0,(Tabla14[[#This Row],[VALOR PRESTAMO]]*Tabla14[[#This Row],[% INTERES ]]/30*U2018))+Tabla14[[#This Row],[VALOR CUOTAS]]</f>
        <v>#VALUE!</v>
      </c>
      <c r="S2018" s="88">
        <f>-IF(Tabla14[[#This Row],[DIAS HABILES O MORA]]&lt;0,(Tabla14[[#This Row],[VALOR PRESTAMO]]*Tabla14[[#This Row],[% INTERES ]]/30*U2018))</f>
        <v>0</v>
      </c>
      <c r="T2018" s="53" t="e">
        <f>Tabla14[[#This Row],[DEUDA CAPITAL]]+Tabla14[[#This Row],[INTERES  CUOTA]]</f>
        <v>#NUM!</v>
      </c>
      <c r="U2018" s="61" t="str">
        <f t="shared" si="329"/>
        <v/>
      </c>
    </row>
    <row r="2019" spans="9:21" ht="24.75" customHeight="1" x14ac:dyDescent="0.35">
      <c r="I2019" s="42">
        <f t="shared" si="320"/>
        <v>0</v>
      </c>
      <c r="J2019" s="65" t="e">
        <f t="shared" si="321"/>
        <v>#NUM!</v>
      </c>
      <c r="K2019" s="83" t="e">
        <f t="shared" si="322"/>
        <v>#NUM!</v>
      </c>
      <c r="L2019" s="83">
        <f t="shared" si="323"/>
        <v>0</v>
      </c>
      <c r="M2019" s="110" t="str">
        <f t="shared" si="324"/>
        <v/>
      </c>
      <c r="N2019" s="51" t="str">
        <f t="shared" si="325"/>
        <v/>
      </c>
      <c r="O2019" s="52" t="str">
        <f t="shared" si="326"/>
        <v/>
      </c>
      <c r="P2019" s="88">
        <f t="shared" si="327"/>
        <v>0</v>
      </c>
      <c r="Q2019" s="88">
        <f t="shared" si="328"/>
        <v>0</v>
      </c>
      <c r="R2019" s="88" t="e">
        <f>-IF(Tabla14[[#This Row],[DIAS HABILES O MORA]]&lt;0,(Tabla14[[#This Row],[VALOR PRESTAMO]]*Tabla14[[#This Row],[% INTERES ]]/30*U2019))+Tabla14[[#This Row],[VALOR CUOTAS]]</f>
        <v>#VALUE!</v>
      </c>
      <c r="S2019" s="88">
        <f>-IF(Tabla14[[#This Row],[DIAS HABILES O MORA]]&lt;0,(Tabla14[[#This Row],[VALOR PRESTAMO]]*Tabla14[[#This Row],[% INTERES ]]/30*U2019))</f>
        <v>0</v>
      </c>
      <c r="T2019" s="53" t="e">
        <f>Tabla14[[#This Row],[DEUDA CAPITAL]]+Tabla14[[#This Row],[INTERES  CUOTA]]</f>
        <v>#NUM!</v>
      </c>
      <c r="U2019" s="61" t="str">
        <f t="shared" si="329"/>
        <v/>
      </c>
    </row>
    <row r="2020" spans="9:21" ht="24.75" customHeight="1" x14ac:dyDescent="0.35">
      <c r="I2020" s="42">
        <f t="shared" si="320"/>
        <v>0</v>
      </c>
      <c r="J2020" s="65" t="e">
        <f t="shared" si="321"/>
        <v>#NUM!</v>
      </c>
      <c r="K2020" s="83" t="e">
        <f t="shared" si="322"/>
        <v>#NUM!</v>
      </c>
      <c r="L2020" s="83">
        <f t="shared" si="323"/>
        <v>0</v>
      </c>
      <c r="M2020" s="110" t="str">
        <f t="shared" si="324"/>
        <v/>
      </c>
      <c r="N2020" s="51" t="str">
        <f t="shared" si="325"/>
        <v/>
      </c>
      <c r="O2020" s="52" t="str">
        <f t="shared" si="326"/>
        <v/>
      </c>
      <c r="P2020" s="88">
        <f t="shared" si="327"/>
        <v>0</v>
      </c>
      <c r="Q2020" s="88">
        <f t="shared" si="328"/>
        <v>0</v>
      </c>
      <c r="R2020" s="88" t="e">
        <f>-IF(Tabla14[[#This Row],[DIAS HABILES O MORA]]&lt;0,(Tabla14[[#This Row],[VALOR PRESTAMO]]*Tabla14[[#This Row],[% INTERES ]]/30*U2020))+Tabla14[[#This Row],[VALOR CUOTAS]]</f>
        <v>#VALUE!</v>
      </c>
      <c r="S2020" s="88">
        <f>-IF(Tabla14[[#This Row],[DIAS HABILES O MORA]]&lt;0,(Tabla14[[#This Row],[VALOR PRESTAMO]]*Tabla14[[#This Row],[% INTERES ]]/30*U2020))</f>
        <v>0</v>
      </c>
      <c r="T2020" s="53" t="e">
        <f>Tabla14[[#This Row],[DEUDA CAPITAL]]+Tabla14[[#This Row],[INTERES  CUOTA]]</f>
        <v>#NUM!</v>
      </c>
      <c r="U2020" s="61" t="str">
        <f t="shared" si="329"/>
        <v/>
      </c>
    </row>
    <row r="2021" spans="9:21" ht="24.75" customHeight="1" x14ac:dyDescent="0.35">
      <c r="I2021" s="42">
        <f t="shared" si="320"/>
        <v>0</v>
      </c>
      <c r="J2021" s="65" t="e">
        <f t="shared" si="321"/>
        <v>#NUM!</v>
      </c>
      <c r="K2021" s="83" t="e">
        <f t="shared" si="322"/>
        <v>#NUM!</v>
      </c>
      <c r="L2021" s="83">
        <f t="shared" si="323"/>
        <v>0</v>
      </c>
      <c r="M2021" s="110" t="str">
        <f t="shared" si="324"/>
        <v/>
      </c>
      <c r="N2021" s="51" t="str">
        <f t="shared" si="325"/>
        <v/>
      </c>
      <c r="O2021" s="52" t="str">
        <f t="shared" si="326"/>
        <v/>
      </c>
      <c r="P2021" s="88">
        <f t="shared" si="327"/>
        <v>0</v>
      </c>
      <c r="Q2021" s="88">
        <f t="shared" si="328"/>
        <v>0</v>
      </c>
      <c r="R2021" s="88" t="e">
        <f>-IF(Tabla14[[#This Row],[DIAS HABILES O MORA]]&lt;0,(Tabla14[[#This Row],[VALOR PRESTAMO]]*Tabla14[[#This Row],[% INTERES ]]/30*U2021))+Tabla14[[#This Row],[VALOR CUOTAS]]</f>
        <v>#VALUE!</v>
      </c>
      <c r="S2021" s="88">
        <f>-IF(Tabla14[[#This Row],[DIAS HABILES O MORA]]&lt;0,(Tabla14[[#This Row],[VALOR PRESTAMO]]*Tabla14[[#This Row],[% INTERES ]]/30*U2021))</f>
        <v>0</v>
      </c>
      <c r="T2021" s="53" t="e">
        <f>Tabla14[[#This Row],[DEUDA CAPITAL]]+Tabla14[[#This Row],[INTERES  CUOTA]]</f>
        <v>#NUM!</v>
      </c>
      <c r="U2021" s="61" t="str">
        <f t="shared" si="329"/>
        <v/>
      </c>
    </row>
    <row r="2022" spans="9:21" ht="24.75" customHeight="1" x14ac:dyDescent="0.35">
      <c r="I2022" s="42">
        <f t="shared" si="320"/>
        <v>0</v>
      </c>
      <c r="J2022" s="65" t="e">
        <f t="shared" si="321"/>
        <v>#NUM!</v>
      </c>
      <c r="K2022" s="83" t="e">
        <f t="shared" si="322"/>
        <v>#NUM!</v>
      </c>
      <c r="L2022" s="83">
        <f t="shared" si="323"/>
        <v>0</v>
      </c>
      <c r="M2022" s="110" t="str">
        <f t="shared" si="324"/>
        <v/>
      </c>
      <c r="N2022" s="51" t="str">
        <f t="shared" si="325"/>
        <v/>
      </c>
      <c r="O2022" s="52" t="str">
        <f t="shared" si="326"/>
        <v/>
      </c>
      <c r="P2022" s="88">
        <f t="shared" si="327"/>
        <v>0</v>
      </c>
      <c r="Q2022" s="88">
        <f t="shared" si="328"/>
        <v>0</v>
      </c>
      <c r="R2022" s="88" t="e">
        <f>-IF(Tabla14[[#This Row],[DIAS HABILES O MORA]]&lt;0,(Tabla14[[#This Row],[VALOR PRESTAMO]]*Tabla14[[#This Row],[% INTERES ]]/30*U2022))+Tabla14[[#This Row],[VALOR CUOTAS]]</f>
        <v>#VALUE!</v>
      </c>
      <c r="S2022" s="88">
        <f>-IF(Tabla14[[#This Row],[DIAS HABILES O MORA]]&lt;0,(Tabla14[[#This Row],[VALOR PRESTAMO]]*Tabla14[[#This Row],[% INTERES ]]/30*U2022))</f>
        <v>0</v>
      </c>
      <c r="T2022" s="53" t="e">
        <f>Tabla14[[#This Row],[DEUDA CAPITAL]]+Tabla14[[#This Row],[INTERES  CUOTA]]</f>
        <v>#NUM!</v>
      </c>
      <c r="U2022" s="61" t="str">
        <f t="shared" si="329"/>
        <v/>
      </c>
    </row>
    <row r="2023" spans="9:21" ht="24.75" customHeight="1" x14ac:dyDescent="0.35">
      <c r="I2023" s="42">
        <f t="shared" si="320"/>
        <v>0</v>
      </c>
      <c r="J2023" s="65" t="e">
        <f t="shared" si="321"/>
        <v>#NUM!</v>
      </c>
      <c r="K2023" s="83" t="e">
        <f t="shared" si="322"/>
        <v>#NUM!</v>
      </c>
      <c r="L2023" s="83">
        <f t="shared" si="323"/>
        <v>0</v>
      </c>
      <c r="M2023" s="110" t="str">
        <f t="shared" si="324"/>
        <v/>
      </c>
      <c r="N2023" s="51" t="str">
        <f t="shared" si="325"/>
        <v/>
      </c>
      <c r="O2023" s="52" t="str">
        <f t="shared" si="326"/>
        <v/>
      </c>
      <c r="P2023" s="88">
        <f t="shared" si="327"/>
        <v>0</v>
      </c>
      <c r="Q2023" s="88">
        <f t="shared" si="328"/>
        <v>0</v>
      </c>
      <c r="R2023" s="88" t="e">
        <f>-IF(Tabla14[[#This Row],[DIAS HABILES O MORA]]&lt;0,(Tabla14[[#This Row],[VALOR PRESTAMO]]*Tabla14[[#This Row],[% INTERES ]]/30*U2023))+Tabla14[[#This Row],[VALOR CUOTAS]]</f>
        <v>#VALUE!</v>
      </c>
      <c r="S2023" s="88">
        <f>-IF(Tabla14[[#This Row],[DIAS HABILES O MORA]]&lt;0,(Tabla14[[#This Row],[VALOR PRESTAMO]]*Tabla14[[#This Row],[% INTERES ]]/30*U2023))</f>
        <v>0</v>
      </c>
      <c r="T2023" s="53" t="e">
        <f>Tabla14[[#This Row],[DEUDA CAPITAL]]+Tabla14[[#This Row],[INTERES  CUOTA]]</f>
        <v>#NUM!</v>
      </c>
      <c r="U2023" s="61" t="str">
        <f t="shared" si="329"/>
        <v/>
      </c>
    </row>
    <row r="2024" spans="9:21" ht="24.75" customHeight="1" x14ac:dyDescent="0.35">
      <c r="I2024" s="42">
        <f t="shared" si="320"/>
        <v>0</v>
      </c>
      <c r="J2024" s="65" t="e">
        <f t="shared" si="321"/>
        <v>#NUM!</v>
      </c>
      <c r="K2024" s="83" t="e">
        <f t="shared" si="322"/>
        <v>#NUM!</v>
      </c>
      <c r="L2024" s="83">
        <f t="shared" si="323"/>
        <v>0</v>
      </c>
      <c r="M2024" s="110" t="str">
        <f t="shared" si="324"/>
        <v/>
      </c>
      <c r="N2024" s="51" t="str">
        <f t="shared" si="325"/>
        <v/>
      </c>
      <c r="O2024" s="52" t="str">
        <f t="shared" si="326"/>
        <v/>
      </c>
      <c r="P2024" s="88">
        <f t="shared" si="327"/>
        <v>0</v>
      </c>
      <c r="Q2024" s="88">
        <f t="shared" si="328"/>
        <v>0</v>
      </c>
      <c r="R2024" s="88" t="e">
        <f>-IF(Tabla14[[#This Row],[DIAS HABILES O MORA]]&lt;0,(Tabla14[[#This Row],[VALOR PRESTAMO]]*Tabla14[[#This Row],[% INTERES ]]/30*U2024))+Tabla14[[#This Row],[VALOR CUOTAS]]</f>
        <v>#VALUE!</v>
      </c>
      <c r="S2024" s="88">
        <f>-IF(Tabla14[[#This Row],[DIAS HABILES O MORA]]&lt;0,(Tabla14[[#This Row],[VALOR PRESTAMO]]*Tabla14[[#This Row],[% INTERES ]]/30*U2024))</f>
        <v>0</v>
      </c>
      <c r="T2024" s="53" t="e">
        <f>Tabla14[[#This Row],[DEUDA CAPITAL]]+Tabla14[[#This Row],[INTERES  CUOTA]]</f>
        <v>#NUM!</v>
      </c>
      <c r="U2024" s="61" t="str">
        <f t="shared" si="329"/>
        <v/>
      </c>
    </row>
    <row r="2025" spans="9:21" ht="24.75" customHeight="1" x14ac:dyDescent="0.35">
      <c r="I2025" s="42">
        <f t="shared" si="320"/>
        <v>0</v>
      </c>
      <c r="J2025" s="65" t="e">
        <f t="shared" si="321"/>
        <v>#NUM!</v>
      </c>
      <c r="K2025" s="83" t="e">
        <f t="shared" si="322"/>
        <v>#NUM!</v>
      </c>
      <c r="L2025" s="83">
        <f t="shared" si="323"/>
        <v>0</v>
      </c>
      <c r="M2025" s="110" t="str">
        <f t="shared" si="324"/>
        <v/>
      </c>
      <c r="N2025" s="51" t="str">
        <f t="shared" si="325"/>
        <v/>
      </c>
      <c r="O2025" s="52" t="str">
        <f t="shared" si="326"/>
        <v/>
      </c>
      <c r="P2025" s="88">
        <f t="shared" si="327"/>
        <v>0</v>
      </c>
      <c r="Q2025" s="88">
        <f t="shared" si="328"/>
        <v>0</v>
      </c>
      <c r="R2025" s="88" t="e">
        <f>-IF(Tabla14[[#This Row],[DIAS HABILES O MORA]]&lt;0,(Tabla14[[#This Row],[VALOR PRESTAMO]]*Tabla14[[#This Row],[% INTERES ]]/30*U2025))+Tabla14[[#This Row],[VALOR CUOTAS]]</f>
        <v>#VALUE!</v>
      </c>
      <c r="S2025" s="88">
        <f>-IF(Tabla14[[#This Row],[DIAS HABILES O MORA]]&lt;0,(Tabla14[[#This Row],[VALOR PRESTAMO]]*Tabla14[[#This Row],[% INTERES ]]/30*U2025))</f>
        <v>0</v>
      </c>
      <c r="T2025" s="53" t="e">
        <f>Tabla14[[#This Row],[DEUDA CAPITAL]]+Tabla14[[#This Row],[INTERES  CUOTA]]</f>
        <v>#NUM!</v>
      </c>
      <c r="U2025" s="61" t="str">
        <f t="shared" si="329"/>
        <v/>
      </c>
    </row>
    <row r="2026" spans="9:21" ht="24.75" customHeight="1" x14ac:dyDescent="0.35">
      <c r="I2026" s="42">
        <f t="shared" si="320"/>
        <v>0</v>
      </c>
      <c r="J2026" s="65" t="e">
        <f t="shared" si="321"/>
        <v>#NUM!</v>
      </c>
      <c r="K2026" s="83" t="e">
        <f t="shared" si="322"/>
        <v>#NUM!</v>
      </c>
      <c r="L2026" s="83">
        <f t="shared" si="323"/>
        <v>0</v>
      </c>
      <c r="M2026" s="110" t="str">
        <f t="shared" si="324"/>
        <v/>
      </c>
      <c r="N2026" s="51" t="str">
        <f t="shared" si="325"/>
        <v/>
      </c>
      <c r="O2026" s="52" t="str">
        <f t="shared" si="326"/>
        <v/>
      </c>
      <c r="P2026" s="88">
        <f t="shared" si="327"/>
        <v>0</v>
      </c>
      <c r="Q2026" s="88">
        <f t="shared" si="328"/>
        <v>0</v>
      </c>
      <c r="R2026" s="88" t="e">
        <f>-IF(Tabla14[[#This Row],[DIAS HABILES O MORA]]&lt;0,(Tabla14[[#This Row],[VALOR PRESTAMO]]*Tabla14[[#This Row],[% INTERES ]]/30*U2026))+Tabla14[[#This Row],[VALOR CUOTAS]]</f>
        <v>#VALUE!</v>
      </c>
      <c r="S2026" s="88">
        <f>-IF(Tabla14[[#This Row],[DIAS HABILES O MORA]]&lt;0,(Tabla14[[#This Row],[VALOR PRESTAMO]]*Tabla14[[#This Row],[% INTERES ]]/30*U2026))</f>
        <v>0</v>
      </c>
      <c r="T2026" s="53" t="e">
        <f>Tabla14[[#This Row],[DEUDA CAPITAL]]+Tabla14[[#This Row],[INTERES  CUOTA]]</f>
        <v>#NUM!</v>
      </c>
      <c r="U2026" s="61" t="str">
        <f t="shared" si="329"/>
        <v/>
      </c>
    </row>
    <row r="2027" spans="9:21" ht="24.75" customHeight="1" x14ac:dyDescent="0.35">
      <c r="I2027" s="42">
        <f t="shared" si="320"/>
        <v>0</v>
      </c>
      <c r="J2027" s="65" t="e">
        <f t="shared" si="321"/>
        <v>#NUM!</v>
      </c>
      <c r="K2027" s="83" t="e">
        <f t="shared" si="322"/>
        <v>#NUM!</v>
      </c>
      <c r="L2027" s="83">
        <f t="shared" si="323"/>
        <v>0</v>
      </c>
      <c r="M2027" s="110" t="str">
        <f t="shared" si="324"/>
        <v/>
      </c>
      <c r="N2027" s="51" t="str">
        <f t="shared" si="325"/>
        <v/>
      </c>
      <c r="O2027" s="52" t="str">
        <f t="shared" si="326"/>
        <v/>
      </c>
      <c r="P2027" s="88">
        <f t="shared" si="327"/>
        <v>0</v>
      </c>
      <c r="Q2027" s="88">
        <f t="shared" si="328"/>
        <v>0</v>
      </c>
      <c r="R2027" s="88" t="e">
        <f>-IF(Tabla14[[#This Row],[DIAS HABILES O MORA]]&lt;0,(Tabla14[[#This Row],[VALOR PRESTAMO]]*Tabla14[[#This Row],[% INTERES ]]/30*U2027))+Tabla14[[#This Row],[VALOR CUOTAS]]</f>
        <v>#VALUE!</v>
      </c>
      <c r="S2027" s="88">
        <f>-IF(Tabla14[[#This Row],[DIAS HABILES O MORA]]&lt;0,(Tabla14[[#This Row],[VALOR PRESTAMO]]*Tabla14[[#This Row],[% INTERES ]]/30*U2027))</f>
        <v>0</v>
      </c>
      <c r="T2027" s="53" t="e">
        <f>Tabla14[[#This Row],[DEUDA CAPITAL]]+Tabla14[[#This Row],[INTERES  CUOTA]]</f>
        <v>#NUM!</v>
      </c>
      <c r="U2027" s="61" t="str">
        <f t="shared" si="329"/>
        <v/>
      </c>
    </row>
    <row r="2028" spans="9:21" ht="24.75" customHeight="1" x14ac:dyDescent="0.35">
      <c r="I2028" s="42">
        <f t="shared" si="320"/>
        <v>0</v>
      </c>
      <c r="J2028" s="65" t="e">
        <f t="shared" si="321"/>
        <v>#NUM!</v>
      </c>
      <c r="K2028" s="83" t="e">
        <f t="shared" si="322"/>
        <v>#NUM!</v>
      </c>
      <c r="L2028" s="83">
        <f t="shared" si="323"/>
        <v>0</v>
      </c>
      <c r="M2028" s="110" t="str">
        <f t="shared" si="324"/>
        <v/>
      </c>
      <c r="N2028" s="51" t="str">
        <f t="shared" si="325"/>
        <v/>
      </c>
      <c r="O2028" s="52" t="str">
        <f t="shared" si="326"/>
        <v/>
      </c>
      <c r="P2028" s="88">
        <f t="shared" si="327"/>
        <v>0</v>
      </c>
      <c r="Q2028" s="88">
        <f t="shared" si="328"/>
        <v>0</v>
      </c>
      <c r="R2028" s="88" t="e">
        <f>-IF(Tabla14[[#This Row],[DIAS HABILES O MORA]]&lt;0,(Tabla14[[#This Row],[VALOR PRESTAMO]]*Tabla14[[#This Row],[% INTERES ]]/30*U2028))+Tabla14[[#This Row],[VALOR CUOTAS]]</f>
        <v>#VALUE!</v>
      </c>
      <c r="S2028" s="88">
        <f>-IF(Tabla14[[#This Row],[DIAS HABILES O MORA]]&lt;0,(Tabla14[[#This Row],[VALOR PRESTAMO]]*Tabla14[[#This Row],[% INTERES ]]/30*U2028))</f>
        <v>0</v>
      </c>
      <c r="T2028" s="53" t="e">
        <f>Tabla14[[#This Row],[DEUDA CAPITAL]]+Tabla14[[#This Row],[INTERES  CUOTA]]</f>
        <v>#NUM!</v>
      </c>
      <c r="U2028" s="61" t="str">
        <f t="shared" si="329"/>
        <v/>
      </c>
    </row>
    <row r="2029" spans="9:21" ht="24.75" customHeight="1" x14ac:dyDescent="0.35">
      <c r="I2029" s="42">
        <f t="shared" si="320"/>
        <v>0</v>
      </c>
      <c r="J2029" s="65" t="e">
        <f t="shared" si="321"/>
        <v>#NUM!</v>
      </c>
      <c r="K2029" s="83" t="e">
        <f t="shared" si="322"/>
        <v>#NUM!</v>
      </c>
      <c r="L2029" s="83">
        <f t="shared" si="323"/>
        <v>0</v>
      </c>
      <c r="M2029" s="110" t="str">
        <f t="shared" si="324"/>
        <v/>
      </c>
      <c r="N2029" s="51" t="str">
        <f t="shared" si="325"/>
        <v/>
      </c>
      <c r="O2029" s="52" t="str">
        <f t="shared" si="326"/>
        <v/>
      </c>
      <c r="P2029" s="88">
        <f t="shared" si="327"/>
        <v>0</v>
      </c>
      <c r="Q2029" s="88">
        <f t="shared" si="328"/>
        <v>0</v>
      </c>
      <c r="R2029" s="88" t="e">
        <f>-IF(Tabla14[[#This Row],[DIAS HABILES O MORA]]&lt;0,(Tabla14[[#This Row],[VALOR PRESTAMO]]*Tabla14[[#This Row],[% INTERES ]]/30*U2029))+Tabla14[[#This Row],[VALOR CUOTAS]]</f>
        <v>#VALUE!</v>
      </c>
      <c r="S2029" s="88">
        <f>-IF(Tabla14[[#This Row],[DIAS HABILES O MORA]]&lt;0,(Tabla14[[#This Row],[VALOR PRESTAMO]]*Tabla14[[#This Row],[% INTERES ]]/30*U2029))</f>
        <v>0</v>
      </c>
      <c r="T2029" s="53" t="e">
        <f>Tabla14[[#This Row],[DEUDA CAPITAL]]+Tabla14[[#This Row],[INTERES  CUOTA]]</f>
        <v>#NUM!</v>
      </c>
      <c r="U2029" s="61" t="str">
        <f t="shared" si="329"/>
        <v/>
      </c>
    </row>
    <row r="2030" spans="9:21" ht="24.75" customHeight="1" x14ac:dyDescent="0.35">
      <c r="I2030" s="42">
        <f t="shared" si="320"/>
        <v>0</v>
      </c>
      <c r="J2030" s="65" t="e">
        <f t="shared" si="321"/>
        <v>#NUM!</v>
      </c>
      <c r="K2030" s="83" t="e">
        <f t="shared" si="322"/>
        <v>#NUM!</v>
      </c>
      <c r="L2030" s="83">
        <f t="shared" si="323"/>
        <v>0</v>
      </c>
      <c r="M2030" s="110" t="str">
        <f t="shared" si="324"/>
        <v/>
      </c>
      <c r="N2030" s="51" t="str">
        <f t="shared" si="325"/>
        <v/>
      </c>
      <c r="O2030" s="52" t="str">
        <f t="shared" si="326"/>
        <v/>
      </c>
      <c r="P2030" s="88">
        <f t="shared" si="327"/>
        <v>0</v>
      </c>
      <c r="Q2030" s="88">
        <f t="shared" si="328"/>
        <v>0</v>
      </c>
      <c r="R2030" s="88" t="e">
        <f>-IF(Tabla14[[#This Row],[DIAS HABILES O MORA]]&lt;0,(Tabla14[[#This Row],[VALOR PRESTAMO]]*Tabla14[[#This Row],[% INTERES ]]/30*U2030))+Tabla14[[#This Row],[VALOR CUOTAS]]</f>
        <v>#VALUE!</v>
      </c>
      <c r="S2030" s="88">
        <f>-IF(Tabla14[[#This Row],[DIAS HABILES O MORA]]&lt;0,(Tabla14[[#This Row],[VALOR PRESTAMO]]*Tabla14[[#This Row],[% INTERES ]]/30*U2030))</f>
        <v>0</v>
      </c>
      <c r="T2030" s="53" t="e">
        <f>Tabla14[[#This Row],[DEUDA CAPITAL]]+Tabla14[[#This Row],[INTERES  CUOTA]]</f>
        <v>#NUM!</v>
      </c>
      <c r="U2030" s="61" t="str">
        <f t="shared" si="329"/>
        <v/>
      </c>
    </row>
    <row r="2031" spans="9:21" ht="24.75" customHeight="1" x14ac:dyDescent="0.35">
      <c r="I2031" s="42">
        <f t="shared" si="320"/>
        <v>0</v>
      </c>
      <c r="J2031" s="65" t="e">
        <f t="shared" si="321"/>
        <v>#NUM!</v>
      </c>
      <c r="K2031" s="83" t="e">
        <f t="shared" si="322"/>
        <v>#NUM!</v>
      </c>
      <c r="L2031" s="83">
        <f t="shared" si="323"/>
        <v>0</v>
      </c>
      <c r="M2031" s="110" t="str">
        <f t="shared" si="324"/>
        <v/>
      </c>
      <c r="N2031" s="51" t="str">
        <f t="shared" si="325"/>
        <v/>
      </c>
      <c r="O2031" s="52" t="str">
        <f t="shared" si="326"/>
        <v/>
      </c>
      <c r="P2031" s="88">
        <f t="shared" si="327"/>
        <v>0</v>
      </c>
      <c r="Q2031" s="88">
        <f t="shared" si="328"/>
        <v>0</v>
      </c>
      <c r="R2031" s="88" t="e">
        <f>-IF(Tabla14[[#This Row],[DIAS HABILES O MORA]]&lt;0,(Tabla14[[#This Row],[VALOR PRESTAMO]]*Tabla14[[#This Row],[% INTERES ]]/30*U2031))+Tabla14[[#This Row],[VALOR CUOTAS]]</f>
        <v>#VALUE!</v>
      </c>
      <c r="S2031" s="88">
        <f>-IF(Tabla14[[#This Row],[DIAS HABILES O MORA]]&lt;0,(Tabla14[[#This Row],[VALOR PRESTAMO]]*Tabla14[[#This Row],[% INTERES ]]/30*U2031))</f>
        <v>0</v>
      </c>
      <c r="T2031" s="53" t="e">
        <f>Tabla14[[#This Row],[DEUDA CAPITAL]]+Tabla14[[#This Row],[INTERES  CUOTA]]</f>
        <v>#NUM!</v>
      </c>
      <c r="U2031" s="61" t="str">
        <f t="shared" si="329"/>
        <v/>
      </c>
    </row>
    <row r="2032" spans="9:21" ht="24.75" customHeight="1" x14ac:dyDescent="0.35">
      <c r="I2032" s="42">
        <f t="shared" si="320"/>
        <v>0</v>
      </c>
      <c r="J2032" s="65" t="e">
        <f t="shared" si="321"/>
        <v>#NUM!</v>
      </c>
      <c r="K2032" s="83" t="e">
        <f t="shared" si="322"/>
        <v>#NUM!</v>
      </c>
      <c r="L2032" s="83">
        <f t="shared" si="323"/>
        <v>0</v>
      </c>
      <c r="M2032" s="110" t="str">
        <f t="shared" si="324"/>
        <v/>
      </c>
      <c r="N2032" s="51" t="str">
        <f t="shared" si="325"/>
        <v/>
      </c>
      <c r="O2032" s="52" t="str">
        <f t="shared" si="326"/>
        <v/>
      </c>
      <c r="P2032" s="88">
        <f t="shared" si="327"/>
        <v>0</v>
      </c>
      <c r="Q2032" s="88">
        <f t="shared" si="328"/>
        <v>0</v>
      </c>
      <c r="R2032" s="88" t="e">
        <f>-IF(Tabla14[[#This Row],[DIAS HABILES O MORA]]&lt;0,(Tabla14[[#This Row],[VALOR PRESTAMO]]*Tabla14[[#This Row],[% INTERES ]]/30*U2032))+Tabla14[[#This Row],[VALOR CUOTAS]]</f>
        <v>#VALUE!</v>
      </c>
      <c r="S2032" s="88">
        <f>-IF(Tabla14[[#This Row],[DIAS HABILES O MORA]]&lt;0,(Tabla14[[#This Row],[VALOR PRESTAMO]]*Tabla14[[#This Row],[% INTERES ]]/30*U2032))</f>
        <v>0</v>
      </c>
      <c r="T2032" s="53" t="e">
        <f>Tabla14[[#This Row],[DEUDA CAPITAL]]+Tabla14[[#This Row],[INTERES  CUOTA]]</f>
        <v>#NUM!</v>
      </c>
      <c r="U2032" s="61" t="str">
        <f t="shared" si="329"/>
        <v/>
      </c>
    </row>
    <row r="2033" spans="9:21" ht="24.75" customHeight="1" x14ac:dyDescent="0.35">
      <c r="I2033" s="42">
        <f t="shared" si="320"/>
        <v>0</v>
      </c>
      <c r="J2033" s="65" t="e">
        <f t="shared" si="321"/>
        <v>#NUM!</v>
      </c>
      <c r="K2033" s="83" t="e">
        <f t="shared" si="322"/>
        <v>#NUM!</v>
      </c>
      <c r="L2033" s="83">
        <f t="shared" si="323"/>
        <v>0</v>
      </c>
      <c r="M2033" s="110" t="str">
        <f t="shared" si="324"/>
        <v/>
      </c>
      <c r="N2033" s="51" t="str">
        <f t="shared" si="325"/>
        <v/>
      </c>
      <c r="O2033" s="52" t="str">
        <f t="shared" si="326"/>
        <v/>
      </c>
      <c r="P2033" s="88">
        <f t="shared" si="327"/>
        <v>0</v>
      </c>
      <c r="Q2033" s="88">
        <f t="shared" si="328"/>
        <v>0</v>
      </c>
      <c r="R2033" s="88" t="e">
        <f>-IF(Tabla14[[#This Row],[DIAS HABILES O MORA]]&lt;0,(Tabla14[[#This Row],[VALOR PRESTAMO]]*Tabla14[[#This Row],[% INTERES ]]/30*U2033))+Tabla14[[#This Row],[VALOR CUOTAS]]</f>
        <v>#VALUE!</v>
      </c>
      <c r="S2033" s="88">
        <f>-IF(Tabla14[[#This Row],[DIAS HABILES O MORA]]&lt;0,(Tabla14[[#This Row],[VALOR PRESTAMO]]*Tabla14[[#This Row],[% INTERES ]]/30*U2033))</f>
        <v>0</v>
      </c>
      <c r="T2033" s="53" t="e">
        <f>Tabla14[[#This Row],[DEUDA CAPITAL]]+Tabla14[[#This Row],[INTERES  CUOTA]]</f>
        <v>#NUM!</v>
      </c>
      <c r="U2033" s="61" t="str">
        <f t="shared" si="329"/>
        <v/>
      </c>
    </row>
    <row r="2034" spans="9:21" ht="24.75" customHeight="1" x14ac:dyDescent="0.35">
      <c r="I2034" s="42">
        <f t="shared" si="320"/>
        <v>0</v>
      </c>
      <c r="J2034" s="65" t="e">
        <f t="shared" si="321"/>
        <v>#NUM!</v>
      </c>
      <c r="K2034" s="83" t="e">
        <f t="shared" si="322"/>
        <v>#NUM!</v>
      </c>
      <c r="L2034" s="83">
        <f t="shared" si="323"/>
        <v>0</v>
      </c>
      <c r="M2034" s="110" t="str">
        <f t="shared" si="324"/>
        <v/>
      </c>
      <c r="N2034" s="51" t="str">
        <f t="shared" si="325"/>
        <v/>
      </c>
      <c r="O2034" s="52" t="str">
        <f t="shared" si="326"/>
        <v/>
      </c>
      <c r="P2034" s="88">
        <f t="shared" si="327"/>
        <v>0</v>
      </c>
      <c r="Q2034" s="88">
        <f t="shared" si="328"/>
        <v>0</v>
      </c>
      <c r="R2034" s="88" t="e">
        <f>-IF(Tabla14[[#This Row],[DIAS HABILES O MORA]]&lt;0,(Tabla14[[#This Row],[VALOR PRESTAMO]]*Tabla14[[#This Row],[% INTERES ]]/30*U2034))+Tabla14[[#This Row],[VALOR CUOTAS]]</f>
        <v>#VALUE!</v>
      </c>
      <c r="S2034" s="88">
        <f>-IF(Tabla14[[#This Row],[DIAS HABILES O MORA]]&lt;0,(Tabla14[[#This Row],[VALOR PRESTAMO]]*Tabla14[[#This Row],[% INTERES ]]/30*U2034))</f>
        <v>0</v>
      </c>
      <c r="T2034" s="53" t="e">
        <f>Tabla14[[#This Row],[DEUDA CAPITAL]]+Tabla14[[#This Row],[INTERES  CUOTA]]</f>
        <v>#NUM!</v>
      </c>
      <c r="U2034" s="61" t="str">
        <f t="shared" si="329"/>
        <v/>
      </c>
    </row>
    <row r="2035" spans="9:21" ht="24.75" customHeight="1" x14ac:dyDescent="0.35">
      <c r="I2035" s="42">
        <f t="shared" si="320"/>
        <v>0</v>
      </c>
      <c r="J2035" s="65" t="e">
        <f t="shared" si="321"/>
        <v>#NUM!</v>
      </c>
      <c r="K2035" s="83" t="e">
        <f t="shared" si="322"/>
        <v>#NUM!</v>
      </c>
      <c r="L2035" s="83">
        <f t="shared" si="323"/>
        <v>0</v>
      </c>
      <c r="M2035" s="110" t="str">
        <f t="shared" si="324"/>
        <v/>
      </c>
      <c r="N2035" s="51" t="str">
        <f t="shared" si="325"/>
        <v/>
      </c>
      <c r="O2035" s="52" t="str">
        <f t="shared" si="326"/>
        <v/>
      </c>
      <c r="P2035" s="88">
        <f t="shared" si="327"/>
        <v>0</v>
      </c>
      <c r="Q2035" s="88">
        <f t="shared" si="328"/>
        <v>0</v>
      </c>
      <c r="R2035" s="88" t="e">
        <f>-IF(Tabla14[[#This Row],[DIAS HABILES O MORA]]&lt;0,(Tabla14[[#This Row],[VALOR PRESTAMO]]*Tabla14[[#This Row],[% INTERES ]]/30*U2035))+Tabla14[[#This Row],[VALOR CUOTAS]]</f>
        <v>#VALUE!</v>
      </c>
      <c r="S2035" s="88">
        <f>-IF(Tabla14[[#This Row],[DIAS HABILES O MORA]]&lt;0,(Tabla14[[#This Row],[VALOR PRESTAMO]]*Tabla14[[#This Row],[% INTERES ]]/30*U2035))</f>
        <v>0</v>
      </c>
      <c r="T2035" s="53" t="e">
        <f>Tabla14[[#This Row],[DEUDA CAPITAL]]+Tabla14[[#This Row],[INTERES  CUOTA]]</f>
        <v>#NUM!</v>
      </c>
      <c r="U2035" s="61" t="str">
        <f t="shared" si="329"/>
        <v/>
      </c>
    </row>
    <row r="2036" spans="9:21" ht="24.75" customHeight="1" x14ac:dyDescent="0.35">
      <c r="I2036" s="42">
        <f t="shared" si="320"/>
        <v>0</v>
      </c>
      <c r="J2036" s="65" t="e">
        <f t="shared" si="321"/>
        <v>#NUM!</v>
      </c>
      <c r="K2036" s="83" t="e">
        <f t="shared" si="322"/>
        <v>#NUM!</v>
      </c>
      <c r="L2036" s="83">
        <f t="shared" si="323"/>
        <v>0</v>
      </c>
      <c r="M2036" s="110" t="str">
        <f t="shared" si="324"/>
        <v/>
      </c>
      <c r="N2036" s="51" t="str">
        <f t="shared" si="325"/>
        <v/>
      </c>
      <c r="O2036" s="52" t="str">
        <f t="shared" si="326"/>
        <v/>
      </c>
      <c r="P2036" s="88">
        <f t="shared" si="327"/>
        <v>0</v>
      </c>
      <c r="Q2036" s="88">
        <f t="shared" si="328"/>
        <v>0</v>
      </c>
      <c r="R2036" s="88" t="e">
        <f>-IF(Tabla14[[#This Row],[DIAS HABILES O MORA]]&lt;0,(Tabla14[[#This Row],[VALOR PRESTAMO]]*Tabla14[[#This Row],[% INTERES ]]/30*U2036))+Tabla14[[#This Row],[VALOR CUOTAS]]</f>
        <v>#VALUE!</v>
      </c>
      <c r="S2036" s="88">
        <f>-IF(Tabla14[[#This Row],[DIAS HABILES O MORA]]&lt;0,(Tabla14[[#This Row],[VALOR PRESTAMO]]*Tabla14[[#This Row],[% INTERES ]]/30*U2036))</f>
        <v>0</v>
      </c>
      <c r="T2036" s="53" t="e">
        <f>Tabla14[[#This Row],[DEUDA CAPITAL]]+Tabla14[[#This Row],[INTERES  CUOTA]]</f>
        <v>#NUM!</v>
      </c>
      <c r="U2036" s="61" t="str">
        <f t="shared" si="329"/>
        <v/>
      </c>
    </row>
    <row r="2037" spans="9:21" ht="24.75" customHeight="1" x14ac:dyDescent="0.35">
      <c r="I2037" s="42">
        <f t="shared" si="320"/>
        <v>0</v>
      </c>
      <c r="J2037" s="65" t="e">
        <f t="shared" si="321"/>
        <v>#NUM!</v>
      </c>
      <c r="K2037" s="83" t="e">
        <f t="shared" si="322"/>
        <v>#NUM!</v>
      </c>
      <c r="L2037" s="83">
        <f t="shared" si="323"/>
        <v>0</v>
      </c>
      <c r="M2037" s="110" t="str">
        <f t="shared" si="324"/>
        <v/>
      </c>
      <c r="N2037" s="51" t="str">
        <f t="shared" si="325"/>
        <v/>
      </c>
      <c r="O2037" s="52" t="str">
        <f t="shared" si="326"/>
        <v/>
      </c>
      <c r="P2037" s="88">
        <f t="shared" si="327"/>
        <v>0</v>
      </c>
      <c r="Q2037" s="88">
        <f t="shared" si="328"/>
        <v>0</v>
      </c>
      <c r="R2037" s="88" t="e">
        <f>-IF(Tabla14[[#This Row],[DIAS HABILES O MORA]]&lt;0,(Tabla14[[#This Row],[VALOR PRESTAMO]]*Tabla14[[#This Row],[% INTERES ]]/30*U2037))+Tabla14[[#This Row],[VALOR CUOTAS]]</f>
        <v>#VALUE!</v>
      </c>
      <c r="S2037" s="88">
        <f>-IF(Tabla14[[#This Row],[DIAS HABILES O MORA]]&lt;0,(Tabla14[[#This Row],[VALOR PRESTAMO]]*Tabla14[[#This Row],[% INTERES ]]/30*U2037))</f>
        <v>0</v>
      </c>
      <c r="T2037" s="53" t="e">
        <f>Tabla14[[#This Row],[DEUDA CAPITAL]]+Tabla14[[#This Row],[INTERES  CUOTA]]</f>
        <v>#NUM!</v>
      </c>
      <c r="U2037" s="61" t="str">
        <f t="shared" si="329"/>
        <v/>
      </c>
    </row>
    <row r="2038" spans="9:21" ht="24.75" customHeight="1" x14ac:dyDescent="0.35">
      <c r="I2038" s="42">
        <f t="shared" si="320"/>
        <v>0</v>
      </c>
      <c r="J2038" s="65" t="e">
        <f t="shared" si="321"/>
        <v>#NUM!</v>
      </c>
      <c r="K2038" s="83" t="e">
        <f t="shared" si="322"/>
        <v>#NUM!</v>
      </c>
      <c r="L2038" s="83">
        <f t="shared" si="323"/>
        <v>0</v>
      </c>
      <c r="M2038" s="110" t="str">
        <f t="shared" si="324"/>
        <v/>
      </c>
      <c r="N2038" s="51" t="str">
        <f t="shared" si="325"/>
        <v/>
      </c>
      <c r="O2038" s="52" t="str">
        <f t="shared" si="326"/>
        <v/>
      </c>
      <c r="P2038" s="88">
        <f t="shared" si="327"/>
        <v>0</v>
      </c>
      <c r="Q2038" s="88">
        <f t="shared" si="328"/>
        <v>0</v>
      </c>
      <c r="R2038" s="88" t="e">
        <f>-IF(Tabla14[[#This Row],[DIAS HABILES O MORA]]&lt;0,(Tabla14[[#This Row],[VALOR PRESTAMO]]*Tabla14[[#This Row],[% INTERES ]]/30*U2038))+Tabla14[[#This Row],[VALOR CUOTAS]]</f>
        <v>#VALUE!</v>
      </c>
      <c r="S2038" s="88">
        <f>-IF(Tabla14[[#This Row],[DIAS HABILES O MORA]]&lt;0,(Tabla14[[#This Row],[VALOR PRESTAMO]]*Tabla14[[#This Row],[% INTERES ]]/30*U2038))</f>
        <v>0</v>
      </c>
      <c r="T2038" s="53" t="e">
        <f>Tabla14[[#This Row],[DEUDA CAPITAL]]+Tabla14[[#This Row],[INTERES  CUOTA]]</f>
        <v>#NUM!</v>
      </c>
      <c r="U2038" s="61" t="str">
        <f t="shared" si="329"/>
        <v/>
      </c>
    </row>
    <row r="2039" spans="9:21" ht="24.75" customHeight="1" x14ac:dyDescent="0.35">
      <c r="I2039" s="42">
        <f t="shared" si="320"/>
        <v>0</v>
      </c>
      <c r="J2039" s="65" t="e">
        <f t="shared" si="321"/>
        <v>#NUM!</v>
      </c>
      <c r="K2039" s="83" t="e">
        <f t="shared" si="322"/>
        <v>#NUM!</v>
      </c>
      <c r="L2039" s="83">
        <f t="shared" si="323"/>
        <v>0</v>
      </c>
      <c r="M2039" s="110" t="str">
        <f t="shared" si="324"/>
        <v/>
      </c>
      <c r="N2039" s="51" t="str">
        <f t="shared" si="325"/>
        <v/>
      </c>
      <c r="O2039" s="52" t="str">
        <f t="shared" si="326"/>
        <v/>
      </c>
      <c r="P2039" s="88">
        <f t="shared" si="327"/>
        <v>0</v>
      </c>
      <c r="Q2039" s="88">
        <f t="shared" si="328"/>
        <v>0</v>
      </c>
      <c r="R2039" s="88" t="e">
        <f>-IF(Tabla14[[#This Row],[DIAS HABILES O MORA]]&lt;0,(Tabla14[[#This Row],[VALOR PRESTAMO]]*Tabla14[[#This Row],[% INTERES ]]/30*U2039))+Tabla14[[#This Row],[VALOR CUOTAS]]</f>
        <v>#VALUE!</v>
      </c>
      <c r="S2039" s="88">
        <f>-IF(Tabla14[[#This Row],[DIAS HABILES O MORA]]&lt;0,(Tabla14[[#This Row],[VALOR PRESTAMO]]*Tabla14[[#This Row],[% INTERES ]]/30*U2039))</f>
        <v>0</v>
      </c>
      <c r="T2039" s="53" t="e">
        <f>Tabla14[[#This Row],[DEUDA CAPITAL]]+Tabla14[[#This Row],[INTERES  CUOTA]]</f>
        <v>#NUM!</v>
      </c>
      <c r="U2039" s="61" t="str">
        <f t="shared" si="329"/>
        <v/>
      </c>
    </row>
    <row r="2040" spans="9:21" ht="24.75" customHeight="1" x14ac:dyDescent="0.35">
      <c r="I2040" s="42">
        <f t="shared" si="320"/>
        <v>0</v>
      </c>
      <c r="J2040" s="65" t="e">
        <f t="shared" si="321"/>
        <v>#NUM!</v>
      </c>
      <c r="K2040" s="83" t="e">
        <f t="shared" si="322"/>
        <v>#NUM!</v>
      </c>
      <c r="L2040" s="83">
        <f t="shared" si="323"/>
        <v>0</v>
      </c>
      <c r="M2040" s="110" t="str">
        <f t="shared" si="324"/>
        <v/>
      </c>
      <c r="N2040" s="51" t="str">
        <f t="shared" si="325"/>
        <v/>
      </c>
      <c r="O2040" s="52" t="str">
        <f t="shared" si="326"/>
        <v/>
      </c>
      <c r="P2040" s="88">
        <f t="shared" si="327"/>
        <v>0</v>
      </c>
      <c r="Q2040" s="88">
        <f t="shared" si="328"/>
        <v>0</v>
      </c>
      <c r="R2040" s="88" t="e">
        <f>-IF(Tabla14[[#This Row],[DIAS HABILES O MORA]]&lt;0,(Tabla14[[#This Row],[VALOR PRESTAMO]]*Tabla14[[#This Row],[% INTERES ]]/30*U2040))+Tabla14[[#This Row],[VALOR CUOTAS]]</f>
        <v>#VALUE!</v>
      </c>
      <c r="S2040" s="88">
        <f>-IF(Tabla14[[#This Row],[DIAS HABILES O MORA]]&lt;0,(Tabla14[[#This Row],[VALOR PRESTAMO]]*Tabla14[[#This Row],[% INTERES ]]/30*U2040))</f>
        <v>0</v>
      </c>
      <c r="T2040" s="53" t="e">
        <f>Tabla14[[#This Row],[DEUDA CAPITAL]]+Tabla14[[#This Row],[INTERES  CUOTA]]</f>
        <v>#NUM!</v>
      </c>
      <c r="U2040" s="61" t="str">
        <f t="shared" si="329"/>
        <v/>
      </c>
    </row>
    <row r="2041" spans="9:21" ht="24.75" customHeight="1" x14ac:dyDescent="0.35">
      <c r="I2041" s="42">
        <f t="shared" si="320"/>
        <v>0</v>
      </c>
      <c r="J2041" s="65" t="e">
        <f t="shared" si="321"/>
        <v>#NUM!</v>
      </c>
      <c r="K2041" s="83" t="e">
        <f t="shared" si="322"/>
        <v>#NUM!</v>
      </c>
      <c r="L2041" s="83">
        <f t="shared" si="323"/>
        <v>0</v>
      </c>
      <c r="M2041" s="110" t="str">
        <f t="shared" si="324"/>
        <v/>
      </c>
      <c r="N2041" s="51" t="str">
        <f t="shared" si="325"/>
        <v/>
      </c>
      <c r="O2041" s="52" t="str">
        <f t="shared" si="326"/>
        <v/>
      </c>
      <c r="P2041" s="88">
        <f t="shared" si="327"/>
        <v>0</v>
      </c>
      <c r="Q2041" s="88">
        <f t="shared" si="328"/>
        <v>0</v>
      </c>
      <c r="R2041" s="88" t="e">
        <f>-IF(Tabla14[[#This Row],[DIAS HABILES O MORA]]&lt;0,(Tabla14[[#This Row],[VALOR PRESTAMO]]*Tabla14[[#This Row],[% INTERES ]]/30*U2041))+Tabla14[[#This Row],[VALOR CUOTAS]]</f>
        <v>#VALUE!</v>
      </c>
      <c r="S2041" s="88">
        <f>-IF(Tabla14[[#This Row],[DIAS HABILES O MORA]]&lt;0,(Tabla14[[#This Row],[VALOR PRESTAMO]]*Tabla14[[#This Row],[% INTERES ]]/30*U2041))</f>
        <v>0</v>
      </c>
      <c r="T2041" s="53" t="e">
        <f>Tabla14[[#This Row],[DEUDA CAPITAL]]+Tabla14[[#This Row],[INTERES  CUOTA]]</f>
        <v>#NUM!</v>
      </c>
      <c r="U2041" s="61" t="str">
        <f t="shared" si="329"/>
        <v/>
      </c>
    </row>
    <row r="2042" spans="9:21" ht="24.75" customHeight="1" x14ac:dyDescent="0.35">
      <c r="I2042" s="42">
        <f t="shared" si="320"/>
        <v>0</v>
      </c>
      <c r="J2042" s="65" t="e">
        <f t="shared" si="321"/>
        <v>#NUM!</v>
      </c>
      <c r="K2042" s="83" t="e">
        <f t="shared" si="322"/>
        <v>#NUM!</v>
      </c>
      <c r="L2042" s="83">
        <f t="shared" si="323"/>
        <v>0</v>
      </c>
      <c r="M2042" s="110" t="str">
        <f t="shared" si="324"/>
        <v/>
      </c>
      <c r="N2042" s="51" t="str">
        <f t="shared" si="325"/>
        <v/>
      </c>
      <c r="O2042" s="52" t="str">
        <f t="shared" si="326"/>
        <v/>
      </c>
      <c r="P2042" s="88">
        <f t="shared" si="327"/>
        <v>0</v>
      </c>
      <c r="Q2042" s="88">
        <f t="shared" si="328"/>
        <v>0</v>
      </c>
      <c r="R2042" s="88" t="e">
        <f>-IF(Tabla14[[#This Row],[DIAS HABILES O MORA]]&lt;0,(Tabla14[[#This Row],[VALOR PRESTAMO]]*Tabla14[[#This Row],[% INTERES ]]/30*U2042))+Tabla14[[#This Row],[VALOR CUOTAS]]</f>
        <v>#VALUE!</v>
      </c>
      <c r="S2042" s="88">
        <f>-IF(Tabla14[[#This Row],[DIAS HABILES O MORA]]&lt;0,(Tabla14[[#This Row],[VALOR PRESTAMO]]*Tabla14[[#This Row],[% INTERES ]]/30*U2042))</f>
        <v>0</v>
      </c>
      <c r="T2042" s="53" t="e">
        <f>Tabla14[[#This Row],[DEUDA CAPITAL]]+Tabla14[[#This Row],[INTERES  CUOTA]]</f>
        <v>#NUM!</v>
      </c>
      <c r="U2042" s="61" t="str">
        <f t="shared" si="329"/>
        <v/>
      </c>
    </row>
    <row r="2043" spans="9:21" ht="24.75" customHeight="1" x14ac:dyDescent="0.35">
      <c r="I2043" s="42">
        <f t="shared" si="320"/>
        <v>0</v>
      </c>
      <c r="J2043" s="65" t="e">
        <f t="shared" si="321"/>
        <v>#NUM!</v>
      </c>
      <c r="K2043" s="83" t="e">
        <f t="shared" si="322"/>
        <v>#NUM!</v>
      </c>
      <c r="L2043" s="83">
        <f t="shared" si="323"/>
        <v>0</v>
      </c>
      <c r="M2043" s="110" t="str">
        <f t="shared" si="324"/>
        <v/>
      </c>
      <c r="N2043" s="51" t="str">
        <f t="shared" si="325"/>
        <v/>
      </c>
      <c r="O2043" s="52" t="str">
        <f t="shared" si="326"/>
        <v/>
      </c>
      <c r="P2043" s="88">
        <f t="shared" si="327"/>
        <v>0</v>
      </c>
      <c r="Q2043" s="88">
        <f t="shared" si="328"/>
        <v>0</v>
      </c>
      <c r="R2043" s="88" t="e">
        <f>-IF(Tabla14[[#This Row],[DIAS HABILES O MORA]]&lt;0,(Tabla14[[#This Row],[VALOR PRESTAMO]]*Tabla14[[#This Row],[% INTERES ]]/30*U2043))+Tabla14[[#This Row],[VALOR CUOTAS]]</f>
        <v>#VALUE!</v>
      </c>
      <c r="S2043" s="88">
        <f>-IF(Tabla14[[#This Row],[DIAS HABILES O MORA]]&lt;0,(Tabla14[[#This Row],[VALOR PRESTAMO]]*Tabla14[[#This Row],[% INTERES ]]/30*U2043))</f>
        <v>0</v>
      </c>
      <c r="T2043" s="53" t="e">
        <f>Tabla14[[#This Row],[DEUDA CAPITAL]]+Tabla14[[#This Row],[INTERES  CUOTA]]</f>
        <v>#NUM!</v>
      </c>
      <c r="U2043" s="61" t="str">
        <f t="shared" si="329"/>
        <v/>
      </c>
    </row>
    <row r="2044" spans="9:21" ht="24.75" customHeight="1" x14ac:dyDescent="0.35">
      <c r="I2044" s="42">
        <f t="shared" si="320"/>
        <v>0</v>
      </c>
      <c r="J2044" s="65" t="e">
        <f t="shared" si="321"/>
        <v>#NUM!</v>
      </c>
      <c r="K2044" s="83" t="e">
        <f t="shared" si="322"/>
        <v>#NUM!</v>
      </c>
      <c r="L2044" s="83">
        <f t="shared" si="323"/>
        <v>0</v>
      </c>
      <c r="M2044" s="110" t="str">
        <f t="shared" si="324"/>
        <v/>
      </c>
      <c r="N2044" s="51" t="str">
        <f t="shared" si="325"/>
        <v/>
      </c>
      <c r="O2044" s="52" t="str">
        <f t="shared" si="326"/>
        <v/>
      </c>
      <c r="P2044" s="88">
        <f t="shared" si="327"/>
        <v>0</v>
      </c>
      <c r="Q2044" s="88">
        <f t="shared" si="328"/>
        <v>0</v>
      </c>
      <c r="R2044" s="88" t="e">
        <f>-IF(Tabla14[[#This Row],[DIAS HABILES O MORA]]&lt;0,(Tabla14[[#This Row],[VALOR PRESTAMO]]*Tabla14[[#This Row],[% INTERES ]]/30*U2044))+Tabla14[[#This Row],[VALOR CUOTAS]]</f>
        <v>#VALUE!</v>
      </c>
      <c r="S2044" s="88">
        <f>-IF(Tabla14[[#This Row],[DIAS HABILES O MORA]]&lt;0,(Tabla14[[#This Row],[VALOR PRESTAMO]]*Tabla14[[#This Row],[% INTERES ]]/30*U2044))</f>
        <v>0</v>
      </c>
      <c r="T2044" s="53" t="e">
        <f>Tabla14[[#This Row],[DEUDA CAPITAL]]+Tabla14[[#This Row],[INTERES  CUOTA]]</f>
        <v>#NUM!</v>
      </c>
      <c r="U2044" s="61" t="str">
        <f t="shared" si="329"/>
        <v/>
      </c>
    </row>
    <row r="2045" spans="9:21" ht="24.75" customHeight="1" x14ac:dyDescent="0.35">
      <c r="I2045" s="42">
        <f t="shared" si="320"/>
        <v>0</v>
      </c>
      <c r="J2045" s="65" t="e">
        <f t="shared" si="321"/>
        <v>#NUM!</v>
      </c>
      <c r="K2045" s="83" t="e">
        <f t="shared" si="322"/>
        <v>#NUM!</v>
      </c>
      <c r="L2045" s="83">
        <f t="shared" si="323"/>
        <v>0</v>
      </c>
      <c r="M2045" s="110" t="str">
        <f t="shared" si="324"/>
        <v/>
      </c>
      <c r="N2045" s="51" t="str">
        <f t="shared" si="325"/>
        <v/>
      </c>
      <c r="O2045" s="52" t="str">
        <f t="shared" si="326"/>
        <v/>
      </c>
      <c r="P2045" s="88">
        <f t="shared" si="327"/>
        <v>0</v>
      </c>
      <c r="Q2045" s="88">
        <f t="shared" si="328"/>
        <v>0</v>
      </c>
      <c r="R2045" s="88" t="e">
        <f>-IF(Tabla14[[#This Row],[DIAS HABILES O MORA]]&lt;0,(Tabla14[[#This Row],[VALOR PRESTAMO]]*Tabla14[[#This Row],[% INTERES ]]/30*U2045))+Tabla14[[#This Row],[VALOR CUOTAS]]</f>
        <v>#VALUE!</v>
      </c>
      <c r="S2045" s="88">
        <f>-IF(Tabla14[[#This Row],[DIAS HABILES O MORA]]&lt;0,(Tabla14[[#This Row],[VALOR PRESTAMO]]*Tabla14[[#This Row],[% INTERES ]]/30*U2045))</f>
        <v>0</v>
      </c>
      <c r="T2045" s="53" t="e">
        <f>Tabla14[[#This Row],[DEUDA CAPITAL]]+Tabla14[[#This Row],[INTERES  CUOTA]]</f>
        <v>#NUM!</v>
      </c>
      <c r="U2045" s="61" t="str">
        <f t="shared" si="329"/>
        <v/>
      </c>
    </row>
    <row r="2046" spans="9:21" ht="24.75" customHeight="1" x14ac:dyDescent="0.35">
      <c r="I2046" s="42">
        <f t="shared" si="320"/>
        <v>0</v>
      </c>
      <c r="J2046" s="65" t="e">
        <f t="shared" si="321"/>
        <v>#NUM!</v>
      </c>
      <c r="K2046" s="83" t="e">
        <f t="shared" si="322"/>
        <v>#NUM!</v>
      </c>
      <c r="L2046" s="83">
        <f t="shared" si="323"/>
        <v>0</v>
      </c>
      <c r="M2046" s="110" t="str">
        <f t="shared" si="324"/>
        <v/>
      </c>
      <c r="N2046" s="51" t="str">
        <f t="shared" si="325"/>
        <v/>
      </c>
      <c r="O2046" s="52" t="str">
        <f t="shared" si="326"/>
        <v/>
      </c>
      <c r="P2046" s="88">
        <f t="shared" si="327"/>
        <v>0</v>
      </c>
      <c r="Q2046" s="88">
        <f t="shared" si="328"/>
        <v>0</v>
      </c>
      <c r="R2046" s="88" t="e">
        <f>-IF(Tabla14[[#This Row],[DIAS HABILES O MORA]]&lt;0,(Tabla14[[#This Row],[VALOR PRESTAMO]]*Tabla14[[#This Row],[% INTERES ]]/30*U2046))+Tabla14[[#This Row],[VALOR CUOTAS]]</f>
        <v>#VALUE!</v>
      </c>
      <c r="S2046" s="88">
        <f>-IF(Tabla14[[#This Row],[DIAS HABILES O MORA]]&lt;0,(Tabla14[[#This Row],[VALOR PRESTAMO]]*Tabla14[[#This Row],[% INTERES ]]/30*U2046))</f>
        <v>0</v>
      </c>
      <c r="T2046" s="53" t="e">
        <f>Tabla14[[#This Row],[DEUDA CAPITAL]]+Tabla14[[#This Row],[INTERES  CUOTA]]</f>
        <v>#NUM!</v>
      </c>
      <c r="U2046" s="61" t="str">
        <f t="shared" si="329"/>
        <v/>
      </c>
    </row>
    <row r="2047" spans="9:21" ht="24.75" customHeight="1" x14ac:dyDescent="0.35">
      <c r="I2047" s="42">
        <f t="shared" si="320"/>
        <v>0</v>
      </c>
      <c r="J2047" s="65" t="e">
        <f t="shared" si="321"/>
        <v>#NUM!</v>
      </c>
      <c r="K2047" s="83" t="e">
        <f t="shared" si="322"/>
        <v>#NUM!</v>
      </c>
      <c r="L2047" s="83">
        <f t="shared" si="323"/>
        <v>0</v>
      </c>
      <c r="M2047" s="110" t="str">
        <f t="shared" si="324"/>
        <v/>
      </c>
      <c r="N2047" s="51" t="str">
        <f t="shared" si="325"/>
        <v/>
      </c>
      <c r="O2047" s="52" t="str">
        <f t="shared" si="326"/>
        <v/>
      </c>
      <c r="P2047" s="88">
        <f t="shared" si="327"/>
        <v>0</v>
      </c>
      <c r="Q2047" s="88">
        <f t="shared" si="328"/>
        <v>0</v>
      </c>
      <c r="R2047" s="88" t="e">
        <f>-IF(Tabla14[[#This Row],[DIAS HABILES O MORA]]&lt;0,(Tabla14[[#This Row],[VALOR PRESTAMO]]*Tabla14[[#This Row],[% INTERES ]]/30*U2047))+Tabla14[[#This Row],[VALOR CUOTAS]]</f>
        <v>#VALUE!</v>
      </c>
      <c r="S2047" s="88">
        <f>-IF(Tabla14[[#This Row],[DIAS HABILES O MORA]]&lt;0,(Tabla14[[#This Row],[VALOR PRESTAMO]]*Tabla14[[#This Row],[% INTERES ]]/30*U2047))</f>
        <v>0</v>
      </c>
      <c r="T2047" s="53" t="e">
        <f>Tabla14[[#This Row],[DEUDA CAPITAL]]+Tabla14[[#This Row],[INTERES  CUOTA]]</f>
        <v>#NUM!</v>
      </c>
      <c r="U2047" s="61" t="str">
        <f t="shared" si="329"/>
        <v/>
      </c>
    </row>
    <row r="2048" spans="9:21" ht="24.75" customHeight="1" x14ac:dyDescent="0.35">
      <c r="I2048" s="42">
        <f t="shared" si="320"/>
        <v>0</v>
      </c>
      <c r="J2048" s="65" t="e">
        <f t="shared" si="321"/>
        <v>#NUM!</v>
      </c>
      <c r="K2048" s="83" t="e">
        <f t="shared" si="322"/>
        <v>#NUM!</v>
      </c>
      <c r="L2048" s="83">
        <f t="shared" si="323"/>
        <v>0</v>
      </c>
      <c r="M2048" s="110" t="str">
        <f t="shared" si="324"/>
        <v/>
      </c>
      <c r="N2048" s="51" t="str">
        <f t="shared" si="325"/>
        <v/>
      </c>
      <c r="O2048" s="52" t="str">
        <f t="shared" si="326"/>
        <v/>
      </c>
      <c r="P2048" s="88">
        <f t="shared" si="327"/>
        <v>0</v>
      </c>
      <c r="Q2048" s="88">
        <f t="shared" si="328"/>
        <v>0</v>
      </c>
      <c r="R2048" s="88" t="e">
        <f>-IF(Tabla14[[#This Row],[DIAS HABILES O MORA]]&lt;0,(Tabla14[[#This Row],[VALOR PRESTAMO]]*Tabla14[[#This Row],[% INTERES ]]/30*U2048))+Tabla14[[#This Row],[VALOR CUOTAS]]</f>
        <v>#VALUE!</v>
      </c>
      <c r="S2048" s="88">
        <f>-IF(Tabla14[[#This Row],[DIAS HABILES O MORA]]&lt;0,(Tabla14[[#This Row],[VALOR PRESTAMO]]*Tabla14[[#This Row],[% INTERES ]]/30*U2048))</f>
        <v>0</v>
      </c>
      <c r="T2048" s="53" t="e">
        <f>Tabla14[[#This Row],[DEUDA CAPITAL]]+Tabla14[[#This Row],[INTERES  CUOTA]]</f>
        <v>#NUM!</v>
      </c>
      <c r="U2048" s="61" t="str">
        <f t="shared" si="329"/>
        <v/>
      </c>
    </row>
    <row r="2049" spans="9:21" ht="24.75" customHeight="1" x14ac:dyDescent="0.35">
      <c r="I2049" s="42">
        <f t="shared" si="320"/>
        <v>0</v>
      </c>
      <c r="J2049" s="65" t="e">
        <f t="shared" si="321"/>
        <v>#NUM!</v>
      </c>
      <c r="K2049" s="83" t="e">
        <f t="shared" si="322"/>
        <v>#NUM!</v>
      </c>
      <c r="L2049" s="83">
        <f t="shared" si="323"/>
        <v>0</v>
      </c>
      <c r="M2049" s="110" t="str">
        <f t="shared" si="324"/>
        <v/>
      </c>
      <c r="N2049" s="51" t="str">
        <f t="shared" si="325"/>
        <v/>
      </c>
      <c r="O2049" s="52" t="str">
        <f t="shared" si="326"/>
        <v/>
      </c>
      <c r="P2049" s="88">
        <f t="shared" si="327"/>
        <v>0</v>
      </c>
      <c r="Q2049" s="88">
        <f t="shared" si="328"/>
        <v>0</v>
      </c>
      <c r="R2049" s="88" t="e">
        <f>-IF(Tabla14[[#This Row],[DIAS HABILES O MORA]]&lt;0,(Tabla14[[#This Row],[VALOR PRESTAMO]]*Tabla14[[#This Row],[% INTERES ]]/30*U2049))+Tabla14[[#This Row],[VALOR CUOTAS]]</f>
        <v>#VALUE!</v>
      </c>
      <c r="S2049" s="88">
        <f>-IF(Tabla14[[#This Row],[DIAS HABILES O MORA]]&lt;0,(Tabla14[[#This Row],[VALOR PRESTAMO]]*Tabla14[[#This Row],[% INTERES ]]/30*U2049))</f>
        <v>0</v>
      </c>
      <c r="T2049" s="53" t="e">
        <f>Tabla14[[#This Row],[DEUDA CAPITAL]]+Tabla14[[#This Row],[INTERES  CUOTA]]</f>
        <v>#NUM!</v>
      </c>
      <c r="U2049" s="61" t="str">
        <f t="shared" si="329"/>
        <v/>
      </c>
    </row>
    <row r="2050" spans="9:21" ht="24.75" customHeight="1" x14ac:dyDescent="0.35">
      <c r="I2050" s="42">
        <f t="shared" si="320"/>
        <v>0</v>
      </c>
      <c r="J2050" s="65" t="e">
        <f t="shared" si="321"/>
        <v>#NUM!</v>
      </c>
      <c r="K2050" s="83" t="e">
        <f t="shared" si="322"/>
        <v>#NUM!</v>
      </c>
      <c r="L2050" s="83">
        <f t="shared" si="323"/>
        <v>0</v>
      </c>
      <c r="M2050" s="110" t="str">
        <f t="shared" si="324"/>
        <v/>
      </c>
      <c r="N2050" s="51" t="str">
        <f t="shared" si="325"/>
        <v/>
      </c>
      <c r="O2050" s="52" t="str">
        <f t="shared" si="326"/>
        <v/>
      </c>
      <c r="P2050" s="88">
        <f t="shared" si="327"/>
        <v>0</v>
      </c>
      <c r="Q2050" s="88">
        <f t="shared" si="328"/>
        <v>0</v>
      </c>
      <c r="R2050" s="88" t="e">
        <f>-IF(Tabla14[[#This Row],[DIAS HABILES O MORA]]&lt;0,(Tabla14[[#This Row],[VALOR PRESTAMO]]*Tabla14[[#This Row],[% INTERES ]]/30*U2050))+Tabla14[[#This Row],[VALOR CUOTAS]]</f>
        <v>#VALUE!</v>
      </c>
      <c r="S2050" s="88">
        <f>-IF(Tabla14[[#This Row],[DIAS HABILES O MORA]]&lt;0,(Tabla14[[#This Row],[VALOR PRESTAMO]]*Tabla14[[#This Row],[% INTERES ]]/30*U2050))</f>
        <v>0</v>
      </c>
      <c r="T2050" s="53" t="e">
        <f>Tabla14[[#This Row],[DEUDA CAPITAL]]+Tabla14[[#This Row],[INTERES  CUOTA]]</f>
        <v>#NUM!</v>
      </c>
      <c r="U2050" s="61" t="str">
        <f t="shared" si="329"/>
        <v/>
      </c>
    </row>
    <row r="2051" spans="9:21" ht="24.75" customHeight="1" x14ac:dyDescent="0.35">
      <c r="I2051" s="42">
        <f t="shared" si="320"/>
        <v>0</v>
      </c>
      <c r="J2051" s="65" t="e">
        <f t="shared" si="321"/>
        <v>#NUM!</v>
      </c>
      <c r="K2051" s="83" t="e">
        <f t="shared" si="322"/>
        <v>#NUM!</v>
      </c>
      <c r="L2051" s="83">
        <f t="shared" si="323"/>
        <v>0</v>
      </c>
      <c r="M2051" s="110" t="str">
        <f t="shared" si="324"/>
        <v/>
      </c>
      <c r="N2051" s="51" t="str">
        <f t="shared" si="325"/>
        <v/>
      </c>
      <c r="O2051" s="52" t="str">
        <f t="shared" si="326"/>
        <v/>
      </c>
      <c r="P2051" s="88">
        <f t="shared" si="327"/>
        <v>0</v>
      </c>
      <c r="Q2051" s="88">
        <f t="shared" si="328"/>
        <v>0</v>
      </c>
      <c r="R2051" s="88" t="e">
        <f>-IF(Tabla14[[#This Row],[DIAS HABILES O MORA]]&lt;0,(Tabla14[[#This Row],[VALOR PRESTAMO]]*Tabla14[[#This Row],[% INTERES ]]/30*U2051))+Tabla14[[#This Row],[VALOR CUOTAS]]</f>
        <v>#VALUE!</v>
      </c>
      <c r="S2051" s="88">
        <f>-IF(Tabla14[[#This Row],[DIAS HABILES O MORA]]&lt;0,(Tabla14[[#This Row],[VALOR PRESTAMO]]*Tabla14[[#This Row],[% INTERES ]]/30*U2051))</f>
        <v>0</v>
      </c>
      <c r="T2051" s="53" t="e">
        <f>Tabla14[[#This Row],[DEUDA CAPITAL]]+Tabla14[[#This Row],[INTERES  CUOTA]]</f>
        <v>#NUM!</v>
      </c>
      <c r="U2051" s="61" t="str">
        <f t="shared" si="329"/>
        <v/>
      </c>
    </row>
    <row r="2052" spans="9:21" ht="24.75" customHeight="1" x14ac:dyDescent="0.35">
      <c r="I2052" s="42">
        <f t="shared" si="320"/>
        <v>0</v>
      </c>
      <c r="J2052" s="65" t="e">
        <f t="shared" si="321"/>
        <v>#NUM!</v>
      </c>
      <c r="K2052" s="83" t="e">
        <f t="shared" si="322"/>
        <v>#NUM!</v>
      </c>
      <c r="L2052" s="83">
        <f t="shared" si="323"/>
        <v>0</v>
      </c>
      <c r="M2052" s="110" t="str">
        <f t="shared" si="324"/>
        <v/>
      </c>
      <c r="N2052" s="51" t="str">
        <f t="shared" si="325"/>
        <v/>
      </c>
      <c r="O2052" s="52" t="str">
        <f t="shared" si="326"/>
        <v/>
      </c>
      <c r="P2052" s="88">
        <f t="shared" si="327"/>
        <v>0</v>
      </c>
      <c r="Q2052" s="88">
        <f t="shared" si="328"/>
        <v>0</v>
      </c>
      <c r="R2052" s="88" t="e">
        <f>-IF(Tabla14[[#This Row],[DIAS HABILES O MORA]]&lt;0,(Tabla14[[#This Row],[VALOR PRESTAMO]]*Tabla14[[#This Row],[% INTERES ]]/30*U2052))+Tabla14[[#This Row],[VALOR CUOTAS]]</f>
        <v>#VALUE!</v>
      </c>
      <c r="S2052" s="88">
        <f>-IF(Tabla14[[#This Row],[DIAS HABILES O MORA]]&lt;0,(Tabla14[[#This Row],[VALOR PRESTAMO]]*Tabla14[[#This Row],[% INTERES ]]/30*U2052))</f>
        <v>0</v>
      </c>
      <c r="T2052" s="53" t="e">
        <f>Tabla14[[#This Row],[DEUDA CAPITAL]]+Tabla14[[#This Row],[INTERES  CUOTA]]</f>
        <v>#NUM!</v>
      </c>
      <c r="U2052" s="61" t="str">
        <f t="shared" si="329"/>
        <v/>
      </c>
    </row>
    <row r="2053" spans="9:21" ht="24.75" customHeight="1" x14ac:dyDescent="0.35">
      <c r="I2053" s="42">
        <f t="shared" si="320"/>
        <v>0</v>
      </c>
      <c r="J2053" s="65" t="e">
        <f t="shared" si="321"/>
        <v>#NUM!</v>
      </c>
      <c r="K2053" s="83" t="e">
        <f t="shared" si="322"/>
        <v>#NUM!</v>
      </c>
      <c r="L2053" s="83">
        <f t="shared" si="323"/>
        <v>0</v>
      </c>
      <c r="M2053" s="110" t="str">
        <f t="shared" si="324"/>
        <v/>
      </c>
      <c r="N2053" s="51" t="str">
        <f t="shared" si="325"/>
        <v/>
      </c>
      <c r="O2053" s="52" t="str">
        <f t="shared" si="326"/>
        <v/>
      </c>
      <c r="P2053" s="88">
        <f t="shared" si="327"/>
        <v>0</v>
      </c>
      <c r="Q2053" s="88">
        <f t="shared" si="328"/>
        <v>0</v>
      </c>
      <c r="R2053" s="88" t="e">
        <f>-IF(Tabla14[[#This Row],[DIAS HABILES O MORA]]&lt;0,(Tabla14[[#This Row],[VALOR PRESTAMO]]*Tabla14[[#This Row],[% INTERES ]]/30*U2053))+Tabla14[[#This Row],[VALOR CUOTAS]]</f>
        <v>#VALUE!</v>
      </c>
      <c r="S2053" s="88">
        <f>-IF(Tabla14[[#This Row],[DIAS HABILES O MORA]]&lt;0,(Tabla14[[#This Row],[VALOR PRESTAMO]]*Tabla14[[#This Row],[% INTERES ]]/30*U2053))</f>
        <v>0</v>
      </c>
      <c r="T2053" s="53" t="e">
        <f>Tabla14[[#This Row],[DEUDA CAPITAL]]+Tabla14[[#This Row],[INTERES  CUOTA]]</f>
        <v>#NUM!</v>
      </c>
      <c r="U2053" s="61" t="str">
        <f t="shared" si="329"/>
        <v/>
      </c>
    </row>
    <row r="2054" spans="9:21" ht="24.75" customHeight="1" x14ac:dyDescent="0.35">
      <c r="I2054" s="42">
        <f t="shared" si="320"/>
        <v>0</v>
      </c>
      <c r="J2054" s="65" t="e">
        <f t="shared" si="321"/>
        <v>#NUM!</v>
      </c>
      <c r="K2054" s="83" t="e">
        <f t="shared" si="322"/>
        <v>#NUM!</v>
      </c>
      <c r="L2054" s="83">
        <f t="shared" si="323"/>
        <v>0</v>
      </c>
      <c r="M2054" s="110" t="str">
        <f t="shared" si="324"/>
        <v/>
      </c>
      <c r="N2054" s="51" t="str">
        <f t="shared" si="325"/>
        <v/>
      </c>
      <c r="O2054" s="52" t="str">
        <f t="shared" si="326"/>
        <v/>
      </c>
      <c r="P2054" s="88">
        <f t="shared" si="327"/>
        <v>0</v>
      </c>
      <c r="Q2054" s="88">
        <f t="shared" si="328"/>
        <v>0</v>
      </c>
      <c r="R2054" s="88" t="e">
        <f>-IF(Tabla14[[#This Row],[DIAS HABILES O MORA]]&lt;0,(Tabla14[[#This Row],[VALOR PRESTAMO]]*Tabla14[[#This Row],[% INTERES ]]/30*U2054))+Tabla14[[#This Row],[VALOR CUOTAS]]</f>
        <v>#VALUE!</v>
      </c>
      <c r="S2054" s="88">
        <f>-IF(Tabla14[[#This Row],[DIAS HABILES O MORA]]&lt;0,(Tabla14[[#This Row],[VALOR PRESTAMO]]*Tabla14[[#This Row],[% INTERES ]]/30*U2054))</f>
        <v>0</v>
      </c>
      <c r="T2054" s="53" t="e">
        <f>Tabla14[[#This Row],[DEUDA CAPITAL]]+Tabla14[[#This Row],[INTERES  CUOTA]]</f>
        <v>#NUM!</v>
      </c>
      <c r="U2054" s="61" t="str">
        <f t="shared" si="329"/>
        <v/>
      </c>
    </row>
    <row r="2055" spans="9:21" ht="24.75" customHeight="1" x14ac:dyDescent="0.35">
      <c r="I2055" s="42">
        <f t="shared" si="320"/>
        <v>0</v>
      </c>
      <c r="J2055" s="65" t="e">
        <f t="shared" si="321"/>
        <v>#NUM!</v>
      </c>
      <c r="K2055" s="83" t="e">
        <f t="shared" si="322"/>
        <v>#NUM!</v>
      </c>
      <c r="L2055" s="83">
        <f t="shared" si="323"/>
        <v>0</v>
      </c>
      <c r="M2055" s="110" t="str">
        <f t="shared" si="324"/>
        <v/>
      </c>
      <c r="N2055" s="51" t="str">
        <f t="shared" si="325"/>
        <v/>
      </c>
      <c r="O2055" s="52" t="str">
        <f t="shared" si="326"/>
        <v/>
      </c>
      <c r="P2055" s="88">
        <f t="shared" si="327"/>
        <v>0</v>
      </c>
      <c r="Q2055" s="88">
        <f t="shared" si="328"/>
        <v>0</v>
      </c>
      <c r="R2055" s="88" t="e">
        <f>-IF(Tabla14[[#This Row],[DIAS HABILES O MORA]]&lt;0,(Tabla14[[#This Row],[VALOR PRESTAMO]]*Tabla14[[#This Row],[% INTERES ]]/30*U2055))+Tabla14[[#This Row],[VALOR CUOTAS]]</f>
        <v>#VALUE!</v>
      </c>
      <c r="S2055" s="88">
        <f>-IF(Tabla14[[#This Row],[DIAS HABILES O MORA]]&lt;0,(Tabla14[[#This Row],[VALOR PRESTAMO]]*Tabla14[[#This Row],[% INTERES ]]/30*U2055))</f>
        <v>0</v>
      </c>
      <c r="T2055" s="53" t="e">
        <f>Tabla14[[#This Row],[DEUDA CAPITAL]]+Tabla14[[#This Row],[INTERES  CUOTA]]</f>
        <v>#NUM!</v>
      </c>
      <c r="U2055" s="61" t="str">
        <f t="shared" si="329"/>
        <v/>
      </c>
    </row>
    <row r="2056" spans="9:21" ht="24.75" customHeight="1" x14ac:dyDescent="0.35">
      <c r="I2056" s="42">
        <f t="shared" si="320"/>
        <v>0</v>
      </c>
      <c r="J2056" s="65" t="e">
        <f t="shared" si="321"/>
        <v>#NUM!</v>
      </c>
      <c r="K2056" s="83" t="e">
        <f t="shared" si="322"/>
        <v>#NUM!</v>
      </c>
      <c r="L2056" s="83">
        <f t="shared" si="323"/>
        <v>0</v>
      </c>
      <c r="M2056" s="110" t="str">
        <f t="shared" si="324"/>
        <v/>
      </c>
      <c r="N2056" s="51" t="str">
        <f t="shared" si="325"/>
        <v/>
      </c>
      <c r="O2056" s="52" t="str">
        <f t="shared" si="326"/>
        <v/>
      </c>
      <c r="P2056" s="88">
        <f t="shared" si="327"/>
        <v>0</v>
      </c>
      <c r="Q2056" s="88">
        <f t="shared" si="328"/>
        <v>0</v>
      </c>
      <c r="R2056" s="88" t="e">
        <f>-IF(Tabla14[[#This Row],[DIAS HABILES O MORA]]&lt;0,(Tabla14[[#This Row],[VALOR PRESTAMO]]*Tabla14[[#This Row],[% INTERES ]]/30*U2056))+Tabla14[[#This Row],[VALOR CUOTAS]]</f>
        <v>#VALUE!</v>
      </c>
      <c r="S2056" s="88">
        <f>-IF(Tabla14[[#This Row],[DIAS HABILES O MORA]]&lt;0,(Tabla14[[#This Row],[VALOR PRESTAMO]]*Tabla14[[#This Row],[% INTERES ]]/30*U2056))</f>
        <v>0</v>
      </c>
      <c r="T2056" s="53" t="e">
        <f>Tabla14[[#This Row],[DEUDA CAPITAL]]+Tabla14[[#This Row],[INTERES  CUOTA]]</f>
        <v>#NUM!</v>
      </c>
      <c r="U2056" s="61" t="str">
        <f t="shared" si="329"/>
        <v/>
      </c>
    </row>
    <row r="2057" spans="9:21" ht="24.75" customHeight="1" x14ac:dyDescent="0.35">
      <c r="I2057" s="42">
        <f t="shared" si="320"/>
        <v>0</v>
      </c>
      <c r="J2057" s="65" t="e">
        <f t="shared" si="321"/>
        <v>#NUM!</v>
      </c>
      <c r="K2057" s="83" t="e">
        <f t="shared" si="322"/>
        <v>#NUM!</v>
      </c>
      <c r="L2057" s="83">
        <f t="shared" si="323"/>
        <v>0</v>
      </c>
      <c r="M2057" s="110" t="str">
        <f t="shared" si="324"/>
        <v/>
      </c>
      <c r="N2057" s="51" t="str">
        <f t="shared" si="325"/>
        <v/>
      </c>
      <c r="O2057" s="52" t="str">
        <f t="shared" si="326"/>
        <v/>
      </c>
      <c r="P2057" s="88">
        <f t="shared" si="327"/>
        <v>0</v>
      </c>
      <c r="Q2057" s="88">
        <f t="shared" si="328"/>
        <v>0</v>
      </c>
      <c r="R2057" s="88" t="e">
        <f>-IF(Tabla14[[#This Row],[DIAS HABILES O MORA]]&lt;0,(Tabla14[[#This Row],[VALOR PRESTAMO]]*Tabla14[[#This Row],[% INTERES ]]/30*U2057))+Tabla14[[#This Row],[VALOR CUOTAS]]</f>
        <v>#VALUE!</v>
      </c>
      <c r="S2057" s="88">
        <f>-IF(Tabla14[[#This Row],[DIAS HABILES O MORA]]&lt;0,(Tabla14[[#This Row],[VALOR PRESTAMO]]*Tabla14[[#This Row],[% INTERES ]]/30*U2057))</f>
        <v>0</v>
      </c>
      <c r="T2057" s="53" t="e">
        <f>Tabla14[[#This Row],[DEUDA CAPITAL]]+Tabla14[[#This Row],[INTERES  CUOTA]]</f>
        <v>#NUM!</v>
      </c>
      <c r="U2057" s="61" t="str">
        <f t="shared" si="329"/>
        <v/>
      </c>
    </row>
    <row r="2058" spans="9:21" ht="24.75" customHeight="1" x14ac:dyDescent="0.35">
      <c r="I2058" s="42">
        <f t="shared" si="320"/>
        <v>0</v>
      </c>
      <c r="J2058" s="65" t="e">
        <f t="shared" si="321"/>
        <v>#NUM!</v>
      </c>
      <c r="K2058" s="83" t="e">
        <f t="shared" si="322"/>
        <v>#NUM!</v>
      </c>
      <c r="L2058" s="83">
        <f t="shared" si="323"/>
        <v>0</v>
      </c>
      <c r="M2058" s="110" t="str">
        <f t="shared" si="324"/>
        <v/>
      </c>
      <c r="N2058" s="51" t="str">
        <f t="shared" si="325"/>
        <v/>
      </c>
      <c r="O2058" s="52" t="str">
        <f t="shared" si="326"/>
        <v/>
      </c>
      <c r="P2058" s="88">
        <f t="shared" si="327"/>
        <v>0</v>
      </c>
      <c r="Q2058" s="88">
        <f t="shared" si="328"/>
        <v>0</v>
      </c>
      <c r="R2058" s="88" t="e">
        <f>-IF(Tabla14[[#This Row],[DIAS HABILES O MORA]]&lt;0,(Tabla14[[#This Row],[VALOR PRESTAMO]]*Tabla14[[#This Row],[% INTERES ]]/30*U2058))+Tabla14[[#This Row],[VALOR CUOTAS]]</f>
        <v>#VALUE!</v>
      </c>
      <c r="S2058" s="88">
        <f>-IF(Tabla14[[#This Row],[DIAS HABILES O MORA]]&lt;0,(Tabla14[[#This Row],[VALOR PRESTAMO]]*Tabla14[[#This Row],[% INTERES ]]/30*U2058))</f>
        <v>0</v>
      </c>
      <c r="T2058" s="53" t="e">
        <f>Tabla14[[#This Row],[DEUDA CAPITAL]]+Tabla14[[#This Row],[INTERES  CUOTA]]</f>
        <v>#NUM!</v>
      </c>
      <c r="U2058" s="61" t="str">
        <f t="shared" si="329"/>
        <v/>
      </c>
    </row>
    <row r="2059" spans="9:21" ht="24.75" customHeight="1" x14ac:dyDescent="0.35">
      <c r="I2059" s="42">
        <f t="shared" si="320"/>
        <v>0</v>
      </c>
      <c r="J2059" s="65" t="e">
        <f t="shared" si="321"/>
        <v>#NUM!</v>
      </c>
      <c r="K2059" s="83" t="e">
        <f t="shared" si="322"/>
        <v>#NUM!</v>
      </c>
      <c r="L2059" s="83">
        <f t="shared" si="323"/>
        <v>0</v>
      </c>
      <c r="M2059" s="110" t="str">
        <f t="shared" si="324"/>
        <v/>
      </c>
      <c r="N2059" s="51" t="str">
        <f t="shared" si="325"/>
        <v/>
      </c>
      <c r="O2059" s="52" t="str">
        <f t="shared" si="326"/>
        <v/>
      </c>
      <c r="P2059" s="88">
        <f t="shared" si="327"/>
        <v>0</v>
      </c>
      <c r="Q2059" s="88">
        <f t="shared" si="328"/>
        <v>0</v>
      </c>
      <c r="R2059" s="88" t="e">
        <f>-IF(Tabla14[[#This Row],[DIAS HABILES O MORA]]&lt;0,(Tabla14[[#This Row],[VALOR PRESTAMO]]*Tabla14[[#This Row],[% INTERES ]]/30*U2059))+Tabla14[[#This Row],[VALOR CUOTAS]]</f>
        <v>#VALUE!</v>
      </c>
      <c r="S2059" s="88">
        <f>-IF(Tabla14[[#This Row],[DIAS HABILES O MORA]]&lt;0,(Tabla14[[#This Row],[VALOR PRESTAMO]]*Tabla14[[#This Row],[% INTERES ]]/30*U2059))</f>
        <v>0</v>
      </c>
      <c r="T2059" s="53" t="e">
        <f>Tabla14[[#This Row],[DEUDA CAPITAL]]+Tabla14[[#This Row],[INTERES  CUOTA]]</f>
        <v>#NUM!</v>
      </c>
      <c r="U2059" s="61" t="str">
        <f t="shared" si="329"/>
        <v/>
      </c>
    </row>
    <row r="2060" spans="9:21" ht="24.75" customHeight="1" x14ac:dyDescent="0.35">
      <c r="I2060" s="42">
        <f t="shared" si="320"/>
        <v>0</v>
      </c>
      <c r="J2060" s="65" t="e">
        <f t="shared" si="321"/>
        <v>#NUM!</v>
      </c>
      <c r="K2060" s="83" t="e">
        <f t="shared" si="322"/>
        <v>#NUM!</v>
      </c>
      <c r="L2060" s="83">
        <f t="shared" si="323"/>
        <v>0</v>
      </c>
      <c r="M2060" s="110" t="str">
        <f t="shared" si="324"/>
        <v/>
      </c>
      <c r="N2060" s="51" t="str">
        <f t="shared" si="325"/>
        <v/>
      </c>
      <c r="O2060" s="52" t="str">
        <f t="shared" si="326"/>
        <v/>
      </c>
      <c r="P2060" s="88">
        <f t="shared" si="327"/>
        <v>0</v>
      </c>
      <c r="Q2060" s="88">
        <f t="shared" si="328"/>
        <v>0</v>
      </c>
      <c r="R2060" s="88" t="e">
        <f>-IF(Tabla14[[#This Row],[DIAS HABILES O MORA]]&lt;0,(Tabla14[[#This Row],[VALOR PRESTAMO]]*Tabla14[[#This Row],[% INTERES ]]/30*U2060))+Tabla14[[#This Row],[VALOR CUOTAS]]</f>
        <v>#VALUE!</v>
      </c>
      <c r="S2060" s="88">
        <f>-IF(Tabla14[[#This Row],[DIAS HABILES O MORA]]&lt;0,(Tabla14[[#This Row],[VALOR PRESTAMO]]*Tabla14[[#This Row],[% INTERES ]]/30*U2060))</f>
        <v>0</v>
      </c>
      <c r="T2060" s="53" t="e">
        <f>Tabla14[[#This Row],[DEUDA CAPITAL]]+Tabla14[[#This Row],[INTERES  CUOTA]]</f>
        <v>#NUM!</v>
      </c>
      <c r="U2060" s="61" t="str">
        <f t="shared" si="329"/>
        <v/>
      </c>
    </row>
    <row r="2061" spans="9:21" ht="24.75" customHeight="1" x14ac:dyDescent="0.35">
      <c r="I2061" s="42">
        <f t="shared" si="320"/>
        <v>0</v>
      </c>
      <c r="J2061" s="65" t="e">
        <f t="shared" si="321"/>
        <v>#NUM!</v>
      </c>
      <c r="K2061" s="83" t="e">
        <f t="shared" si="322"/>
        <v>#NUM!</v>
      </c>
      <c r="L2061" s="83">
        <f t="shared" si="323"/>
        <v>0</v>
      </c>
      <c r="M2061" s="110" t="str">
        <f t="shared" si="324"/>
        <v/>
      </c>
      <c r="N2061" s="51" t="str">
        <f t="shared" si="325"/>
        <v/>
      </c>
      <c r="O2061" s="52" t="str">
        <f t="shared" si="326"/>
        <v/>
      </c>
      <c r="P2061" s="88">
        <f t="shared" si="327"/>
        <v>0</v>
      </c>
      <c r="Q2061" s="88">
        <f t="shared" si="328"/>
        <v>0</v>
      </c>
      <c r="R2061" s="88" t="e">
        <f>-IF(Tabla14[[#This Row],[DIAS HABILES O MORA]]&lt;0,(Tabla14[[#This Row],[VALOR PRESTAMO]]*Tabla14[[#This Row],[% INTERES ]]/30*U2061))+Tabla14[[#This Row],[VALOR CUOTAS]]</f>
        <v>#VALUE!</v>
      </c>
      <c r="S2061" s="88">
        <f>-IF(Tabla14[[#This Row],[DIAS HABILES O MORA]]&lt;0,(Tabla14[[#This Row],[VALOR PRESTAMO]]*Tabla14[[#This Row],[% INTERES ]]/30*U2061))</f>
        <v>0</v>
      </c>
      <c r="T2061" s="53" t="e">
        <f>Tabla14[[#This Row],[DEUDA CAPITAL]]+Tabla14[[#This Row],[INTERES  CUOTA]]</f>
        <v>#NUM!</v>
      </c>
      <c r="U2061" s="61" t="str">
        <f t="shared" si="329"/>
        <v/>
      </c>
    </row>
    <row r="2062" spans="9:21" ht="24.75" customHeight="1" x14ac:dyDescent="0.35">
      <c r="I2062" s="42">
        <f t="shared" si="320"/>
        <v>0</v>
      </c>
      <c r="J2062" s="65" t="e">
        <f t="shared" si="321"/>
        <v>#NUM!</v>
      </c>
      <c r="K2062" s="83" t="e">
        <f t="shared" si="322"/>
        <v>#NUM!</v>
      </c>
      <c r="L2062" s="83">
        <f t="shared" si="323"/>
        <v>0</v>
      </c>
      <c r="M2062" s="110" t="str">
        <f t="shared" si="324"/>
        <v/>
      </c>
      <c r="N2062" s="51" t="str">
        <f t="shared" si="325"/>
        <v/>
      </c>
      <c r="O2062" s="52" t="str">
        <f t="shared" si="326"/>
        <v/>
      </c>
      <c r="P2062" s="88">
        <f t="shared" si="327"/>
        <v>0</v>
      </c>
      <c r="Q2062" s="88">
        <f t="shared" si="328"/>
        <v>0</v>
      </c>
      <c r="R2062" s="88" t="e">
        <f>-IF(Tabla14[[#This Row],[DIAS HABILES O MORA]]&lt;0,(Tabla14[[#This Row],[VALOR PRESTAMO]]*Tabla14[[#This Row],[% INTERES ]]/30*U2062))+Tabla14[[#This Row],[VALOR CUOTAS]]</f>
        <v>#VALUE!</v>
      </c>
      <c r="S2062" s="88">
        <f>-IF(Tabla14[[#This Row],[DIAS HABILES O MORA]]&lt;0,(Tabla14[[#This Row],[VALOR PRESTAMO]]*Tabla14[[#This Row],[% INTERES ]]/30*U2062))</f>
        <v>0</v>
      </c>
      <c r="T2062" s="53" t="e">
        <f>Tabla14[[#This Row],[DEUDA CAPITAL]]+Tabla14[[#This Row],[INTERES  CUOTA]]</f>
        <v>#NUM!</v>
      </c>
      <c r="U2062" s="61" t="str">
        <f t="shared" si="329"/>
        <v/>
      </c>
    </row>
    <row r="2063" spans="9:21" ht="24.75" customHeight="1" x14ac:dyDescent="0.35">
      <c r="I2063" s="42">
        <f t="shared" si="320"/>
        <v>0</v>
      </c>
      <c r="J2063" s="65" t="e">
        <f t="shared" si="321"/>
        <v>#NUM!</v>
      </c>
      <c r="K2063" s="83" t="e">
        <f t="shared" si="322"/>
        <v>#NUM!</v>
      </c>
      <c r="L2063" s="83">
        <f t="shared" si="323"/>
        <v>0</v>
      </c>
      <c r="M2063" s="110" t="str">
        <f t="shared" si="324"/>
        <v/>
      </c>
      <c r="N2063" s="51" t="str">
        <f t="shared" si="325"/>
        <v/>
      </c>
      <c r="O2063" s="52" t="str">
        <f t="shared" si="326"/>
        <v/>
      </c>
      <c r="P2063" s="88">
        <f t="shared" si="327"/>
        <v>0</v>
      </c>
      <c r="Q2063" s="88">
        <f t="shared" si="328"/>
        <v>0</v>
      </c>
      <c r="R2063" s="88" t="e">
        <f>-IF(Tabla14[[#This Row],[DIAS HABILES O MORA]]&lt;0,(Tabla14[[#This Row],[VALOR PRESTAMO]]*Tabla14[[#This Row],[% INTERES ]]/30*U2063))+Tabla14[[#This Row],[VALOR CUOTAS]]</f>
        <v>#VALUE!</v>
      </c>
      <c r="S2063" s="88">
        <f>-IF(Tabla14[[#This Row],[DIAS HABILES O MORA]]&lt;0,(Tabla14[[#This Row],[VALOR PRESTAMO]]*Tabla14[[#This Row],[% INTERES ]]/30*U2063))</f>
        <v>0</v>
      </c>
      <c r="T2063" s="53" t="e">
        <f>Tabla14[[#This Row],[DEUDA CAPITAL]]+Tabla14[[#This Row],[INTERES  CUOTA]]</f>
        <v>#NUM!</v>
      </c>
      <c r="U2063" s="61" t="str">
        <f t="shared" si="329"/>
        <v/>
      </c>
    </row>
    <row r="2064" spans="9:21" ht="24.75" customHeight="1" x14ac:dyDescent="0.35">
      <c r="I2064" s="42">
        <f t="shared" ref="I2064:I2127" si="330">IF(C2064&lt;0,"",IF(Q2064=0,0,IF(G2064=0,H2064+1,IF(H2064&lt;G2064,H2064+1,IF(G2064=H2064,0)))))</f>
        <v>0</v>
      </c>
      <c r="J2064" s="65" t="e">
        <f t="shared" ref="J2064:J2127" si="331">IF(F2064="SOLO INTERES",Q2064*D2064,-IPMT(D2064,I2064,G2064,C2064))</f>
        <v>#NUM!</v>
      </c>
      <c r="K2064" s="83" t="e">
        <f t="shared" ref="K2064:K2127" si="332">IF(F2064="SOLO INTERES",0,-PPMT(D2064,I2064,G2064,C2064))</f>
        <v>#NUM!</v>
      </c>
      <c r="L2064" s="83">
        <f t="shared" ref="L2064:L2127" si="333">IF(F2064="SOLO INTERES",SUM(Y2064:AAE2064),IFERROR(-CUMIPMT(D2064,G2064,C2064,1,H2064,0),0)+SUM(Y2064:WY2064))</f>
        <v>0</v>
      </c>
      <c r="M2064" s="110" t="str">
        <f t="shared" ref="M2064:M2127" si="334">IFERROR(IF(F2064="SOLO INTERES",Q2064*D2064,-PMT(D2064,G2064,C2064,0)),"")</f>
        <v/>
      </c>
      <c r="N2064" s="51" t="str">
        <f t="shared" ref="N2064:N2127" si="335">IF(Q2064=0,"",IF(E2064="MENSUAL",EDATE(B2064,I2064),IF(E2064="QUINCENAL",B2064+(I2064*15),IF(E2064="SEMANAL",B2064+(I2064*7)))))</f>
        <v/>
      </c>
      <c r="O2064" s="52" t="str">
        <f t="shared" ref="O2064:O2127" si="336">IF(C2064=0,"",IF(Q2064&lt;1,"PAGADO",IF(N2064=$A$3,"COBRAR HOY",IF(N2064&lt;$A$3,"EN MORA",IF(N2064&gt;$A$3,"AL DIA")))))</f>
        <v/>
      </c>
      <c r="P2064" s="88">
        <f t="shared" ref="P2064:P2127" si="337">IFERROR(-CUMPRINC(D2064,G2064,C2064,1,H2064,0),0)+W2064</f>
        <v>0</v>
      </c>
      <c r="Q2064" s="88">
        <f t="shared" ref="Q2064:Q2127" si="338">IFERROR(C2064-P2064,"")</f>
        <v>0</v>
      </c>
      <c r="R2064" s="88" t="e">
        <f>-IF(Tabla14[[#This Row],[DIAS HABILES O MORA]]&lt;0,(Tabla14[[#This Row],[VALOR PRESTAMO]]*Tabla14[[#This Row],[% INTERES ]]/30*U2064))+Tabla14[[#This Row],[VALOR CUOTAS]]</f>
        <v>#VALUE!</v>
      </c>
      <c r="S2064" s="88">
        <f>-IF(Tabla14[[#This Row],[DIAS HABILES O MORA]]&lt;0,(Tabla14[[#This Row],[VALOR PRESTAMO]]*Tabla14[[#This Row],[% INTERES ]]/30*U2064))</f>
        <v>0</v>
      </c>
      <c r="T2064" s="53" t="e">
        <f>Tabla14[[#This Row],[DEUDA CAPITAL]]+Tabla14[[#This Row],[INTERES  CUOTA]]</f>
        <v>#NUM!</v>
      </c>
      <c r="U2064" s="61" t="str">
        <f t="shared" ref="U2064:U2127" si="339">IF(O2064="PAGADO","",IFERROR(-IF(C2064=0,"",$A$3-N2064),""))</f>
        <v/>
      </c>
    </row>
    <row r="2065" spans="9:21" ht="24.75" customHeight="1" x14ac:dyDescent="0.35">
      <c r="I2065" s="42">
        <f t="shared" si="330"/>
        <v>0</v>
      </c>
      <c r="J2065" s="65" t="e">
        <f t="shared" si="331"/>
        <v>#NUM!</v>
      </c>
      <c r="K2065" s="83" t="e">
        <f t="shared" si="332"/>
        <v>#NUM!</v>
      </c>
      <c r="L2065" s="83">
        <f t="shared" si="333"/>
        <v>0</v>
      </c>
      <c r="M2065" s="110" t="str">
        <f t="shared" si="334"/>
        <v/>
      </c>
      <c r="N2065" s="51" t="str">
        <f t="shared" si="335"/>
        <v/>
      </c>
      <c r="O2065" s="52" t="str">
        <f t="shared" si="336"/>
        <v/>
      </c>
      <c r="P2065" s="88">
        <f t="shared" si="337"/>
        <v>0</v>
      </c>
      <c r="Q2065" s="88">
        <f t="shared" si="338"/>
        <v>0</v>
      </c>
      <c r="R2065" s="88" t="e">
        <f>-IF(Tabla14[[#This Row],[DIAS HABILES O MORA]]&lt;0,(Tabla14[[#This Row],[VALOR PRESTAMO]]*Tabla14[[#This Row],[% INTERES ]]/30*U2065))+Tabla14[[#This Row],[VALOR CUOTAS]]</f>
        <v>#VALUE!</v>
      </c>
      <c r="S2065" s="88">
        <f>-IF(Tabla14[[#This Row],[DIAS HABILES O MORA]]&lt;0,(Tabla14[[#This Row],[VALOR PRESTAMO]]*Tabla14[[#This Row],[% INTERES ]]/30*U2065))</f>
        <v>0</v>
      </c>
      <c r="T2065" s="53" t="e">
        <f>Tabla14[[#This Row],[DEUDA CAPITAL]]+Tabla14[[#This Row],[INTERES  CUOTA]]</f>
        <v>#NUM!</v>
      </c>
      <c r="U2065" s="61" t="str">
        <f t="shared" si="339"/>
        <v/>
      </c>
    </row>
    <row r="2066" spans="9:21" ht="24.75" customHeight="1" x14ac:dyDescent="0.35">
      <c r="I2066" s="42">
        <f t="shared" si="330"/>
        <v>0</v>
      </c>
      <c r="J2066" s="65" t="e">
        <f t="shared" si="331"/>
        <v>#NUM!</v>
      </c>
      <c r="K2066" s="83" t="e">
        <f t="shared" si="332"/>
        <v>#NUM!</v>
      </c>
      <c r="L2066" s="83">
        <f t="shared" si="333"/>
        <v>0</v>
      </c>
      <c r="M2066" s="110" t="str">
        <f t="shared" si="334"/>
        <v/>
      </c>
      <c r="N2066" s="51" t="str">
        <f t="shared" si="335"/>
        <v/>
      </c>
      <c r="O2066" s="52" t="str">
        <f t="shared" si="336"/>
        <v/>
      </c>
      <c r="P2066" s="88">
        <f t="shared" si="337"/>
        <v>0</v>
      </c>
      <c r="Q2066" s="88">
        <f t="shared" si="338"/>
        <v>0</v>
      </c>
      <c r="R2066" s="88" t="e">
        <f>-IF(Tabla14[[#This Row],[DIAS HABILES O MORA]]&lt;0,(Tabla14[[#This Row],[VALOR PRESTAMO]]*Tabla14[[#This Row],[% INTERES ]]/30*U2066))+Tabla14[[#This Row],[VALOR CUOTAS]]</f>
        <v>#VALUE!</v>
      </c>
      <c r="S2066" s="88">
        <f>-IF(Tabla14[[#This Row],[DIAS HABILES O MORA]]&lt;0,(Tabla14[[#This Row],[VALOR PRESTAMO]]*Tabla14[[#This Row],[% INTERES ]]/30*U2066))</f>
        <v>0</v>
      </c>
      <c r="T2066" s="53" t="e">
        <f>Tabla14[[#This Row],[DEUDA CAPITAL]]+Tabla14[[#This Row],[INTERES  CUOTA]]</f>
        <v>#NUM!</v>
      </c>
      <c r="U2066" s="61" t="str">
        <f t="shared" si="339"/>
        <v/>
      </c>
    </row>
    <row r="2067" spans="9:21" ht="24.75" customHeight="1" x14ac:dyDescent="0.35">
      <c r="I2067" s="42">
        <f t="shared" si="330"/>
        <v>0</v>
      </c>
      <c r="J2067" s="65" t="e">
        <f t="shared" si="331"/>
        <v>#NUM!</v>
      </c>
      <c r="K2067" s="83" t="e">
        <f t="shared" si="332"/>
        <v>#NUM!</v>
      </c>
      <c r="L2067" s="83">
        <f t="shared" si="333"/>
        <v>0</v>
      </c>
      <c r="M2067" s="110" t="str">
        <f t="shared" si="334"/>
        <v/>
      </c>
      <c r="N2067" s="51" t="str">
        <f t="shared" si="335"/>
        <v/>
      </c>
      <c r="O2067" s="52" t="str">
        <f t="shared" si="336"/>
        <v/>
      </c>
      <c r="P2067" s="88">
        <f t="shared" si="337"/>
        <v>0</v>
      </c>
      <c r="Q2067" s="88">
        <f t="shared" si="338"/>
        <v>0</v>
      </c>
      <c r="R2067" s="88" t="e">
        <f>-IF(Tabla14[[#This Row],[DIAS HABILES O MORA]]&lt;0,(Tabla14[[#This Row],[VALOR PRESTAMO]]*Tabla14[[#This Row],[% INTERES ]]/30*U2067))+Tabla14[[#This Row],[VALOR CUOTAS]]</f>
        <v>#VALUE!</v>
      </c>
      <c r="S2067" s="88">
        <f>-IF(Tabla14[[#This Row],[DIAS HABILES O MORA]]&lt;0,(Tabla14[[#This Row],[VALOR PRESTAMO]]*Tabla14[[#This Row],[% INTERES ]]/30*U2067))</f>
        <v>0</v>
      </c>
      <c r="T2067" s="53" t="e">
        <f>Tabla14[[#This Row],[DEUDA CAPITAL]]+Tabla14[[#This Row],[INTERES  CUOTA]]</f>
        <v>#NUM!</v>
      </c>
      <c r="U2067" s="61" t="str">
        <f t="shared" si="339"/>
        <v/>
      </c>
    </row>
    <row r="2068" spans="9:21" ht="24.75" customHeight="1" x14ac:dyDescent="0.35">
      <c r="I2068" s="42">
        <f t="shared" si="330"/>
        <v>0</v>
      </c>
      <c r="J2068" s="65" t="e">
        <f t="shared" si="331"/>
        <v>#NUM!</v>
      </c>
      <c r="K2068" s="83" t="e">
        <f t="shared" si="332"/>
        <v>#NUM!</v>
      </c>
      <c r="L2068" s="83">
        <f t="shared" si="333"/>
        <v>0</v>
      </c>
      <c r="M2068" s="110" t="str">
        <f t="shared" si="334"/>
        <v/>
      </c>
      <c r="N2068" s="51" t="str">
        <f t="shared" si="335"/>
        <v/>
      </c>
      <c r="O2068" s="52" t="str">
        <f t="shared" si="336"/>
        <v/>
      </c>
      <c r="P2068" s="88">
        <f t="shared" si="337"/>
        <v>0</v>
      </c>
      <c r="Q2068" s="88">
        <f t="shared" si="338"/>
        <v>0</v>
      </c>
      <c r="R2068" s="88" t="e">
        <f>-IF(Tabla14[[#This Row],[DIAS HABILES O MORA]]&lt;0,(Tabla14[[#This Row],[VALOR PRESTAMO]]*Tabla14[[#This Row],[% INTERES ]]/30*U2068))+Tabla14[[#This Row],[VALOR CUOTAS]]</f>
        <v>#VALUE!</v>
      </c>
      <c r="S2068" s="88">
        <f>-IF(Tabla14[[#This Row],[DIAS HABILES O MORA]]&lt;0,(Tabla14[[#This Row],[VALOR PRESTAMO]]*Tabla14[[#This Row],[% INTERES ]]/30*U2068))</f>
        <v>0</v>
      </c>
      <c r="T2068" s="53" t="e">
        <f>Tabla14[[#This Row],[DEUDA CAPITAL]]+Tabla14[[#This Row],[INTERES  CUOTA]]</f>
        <v>#NUM!</v>
      </c>
      <c r="U2068" s="61" t="str">
        <f t="shared" si="339"/>
        <v/>
      </c>
    </row>
    <row r="2069" spans="9:21" ht="24.75" customHeight="1" x14ac:dyDescent="0.35">
      <c r="I2069" s="42">
        <f t="shared" si="330"/>
        <v>0</v>
      </c>
      <c r="J2069" s="65" t="e">
        <f t="shared" si="331"/>
        <v>#NUM!</v>
      </c>
      <c r="K2069" s="83" t="e">
        <f t="shared" si="332"/>
        <v>#NUM!</v>
      </c>
      <c r="L2069" s="83">
        <f t="shared" si="333"/>
        <v>0</v>
      </c>
      <c r="M2069" s="110" t="str">
        <f t="shared" si="334"/>
        <v/>
      </c>
      <c r="N2069" s="51" t="str">
        <f t="shared" si="335"/>
        <v/>
      </c>
      <c r="O2069" s="52" t="str">
        <f t="shared" si="336"/>
        <v/>
      </c>
      <c r="P2069" s="88">
        <f t="shared" si="337"/>
        <v>0</v>
      </c>
      <c r="Q2069" s="88">
        <f t="shared" si="338"/>
        <v>0</v>
      </c>
      <c r="R2069" s="88" t="e">
        <f>-IF(Tabla14[[#This Row],[DIAS HABILES O MORA]]&lt;0,(Tabla14[[#This Row],[VALOR PRESTAMO]]*Tabla14[[#This Row],[% INTERES ]]/30*U2069))+Tabla14[[#This Row],[VALOR CUOTAS]]</f>
        <v>#VALUE!</v>
      </c>
      <c r="S2069" s="88">
        <f>-IF(Tabla14[[#This Row],[DIAS HABILES O MORA]]&lt;0,(Tabla14[[#This Row],[VALOR PRESTAMO]]*Tabla14[[#This Row],[% INTERES ]]/30*U2069))</f>
        <v>0</v>
      </c>
      <c r="T2069" s="53" t="e">
        <f>Tabla14[[#This Row],[DEUDA CAPITAL]]+Tabla14[[#This Row],[INTERES  CUOTA]]</f>
        <v>#NUM!</v>
      </c>
      <c r="U2069" s="61" t="str">
        <f t="shared" si="339"/>
        <v/>
      </c>
    </row>
    <row r="2070" spans="9:21" ht="24.75" customHeight="1" x14ac:dyDescent="0.35">
      <c r="I2070" s="42">
        <f t="shared" si="330"/>
        <v>0</v>
      </c>
      <c r="J2070" s="65" t="e">
        <f t="shared" si="331"/>
        <v>#NUM!</v>
      </c>
      <c r="K2070" s="83" t="e">
        <f t="shared" si="332"/>
        <v>#NUM!</v>
      </c>
      <c r="L2070" s="83">
        <f t="shared" si="333"/>
        <v>0</v>
      </c>
      <c r="M2070" s="110" t="str">
        <f t="shared" si="334"/>
        <v/>
      </c>
      <c r="N2070" s="51" t="str">
        <f t="shared" si="335"/>
        <v/>
      </c>
      <c r="O2070" s="52" t="str">
        <f t="shared" si="336"/>
        <v/>
      </c>
      <c r="P2070" s="88">
        <f t="shared" si="337"/>
        <v>0</v>
      </c>
      <c r="Q2070" s="88">
        <f t="shared" si="338"/>
        <v>0</v>
      </c>
      <c r="R2070" s="88" t="e">
        <f>-IF(Tabla14[[#This Row],[DIAS HABILES O MORA]]&lt;0,(Tabla14[[#This Row],[VALOR PRESTAMO]]*Tabla14[[#This Row],[% INTERES ]]/30*U2070))+Tabla14[[#This Row],[VALOR CUOTAS]]</f>
        <v>#VALUE!</v>
      </c>
      <c r="S2070" s="88">
        <f>-IF(Tabla14[[#This Row],[DIAS HABILES O MORA]]&lt;0,(Tabla14[[#This Row],[VALOR PRESTAMO]]*Tabla14[[#This Row],[% INTERES ]]/30*U2070))</f>
        <v>0</v>
      </c>
      <c r="T2070" s="53" t="e">
        <f>Tabla14[[#This Row],[DEUDA CAPITAL]]+Tabla14[[#This Row],[INTERES  CUOTA]]</f>
        <v>#NUM!</v>
      </c>
      <c r="U2070" s="61" t="str">
        <f t="shared" si="339"/>
        <v/>
      </c>
    </row>
    <row r="2071" spans="9:21" ht="24.75" customHeight="1" x14ac:dyDescent="0.35">
      <c r="I2071" s="42">
        <f t="shared" si="330"/>
        <v>0</v>
      </c>
      <c r="J2071" s="65" t="e">
        <f t="shared" si="331"/>
        <v>#NUM!</v>
      </c>
      <c r="K2071" s="83" t="e">
        <f t="shared" si="332"/>
        <v>#NUM!</v>
      </c>
      <c r="L2071" s="83">
        <f t="shared" si="333"/>
        <v>0</v>
      </c>
      <c r="M2071" s="110" t="str">
        <f t="shared" si="334"/>
        <v/>
      </c>
      <c r="N2071" s="51" t="str">
        <f t="shared" si="335"/>
        <v/>
      </c>
      <c r="O2071" s="52" t="str">
        <f t="shared" si="336"/>
        <v/>
      </c>
      <c r="P2071" s="88">
        <f t="shared" si="337"/>
        <v>0</v>
      </c>
      <c r="Q2071" s="88">
        <f t="shared" si="338"/>
        <v>0</v>
      </c>
      <c r="R2071" s="88" t="e">
        <f>-IF(Tabla14[[#This Row],[DIAS HABILES O MORA]]&lt;0,(Tabla14[[#This Row],[VALOR PRESTAMO]]*Tabla14[[#This Row],[% INTERES ]]/30*U2071))+Tabla14[[#This Row],[VALOR CUOTAS]]</f>
        <v>#VALUE!</v>
      </c>
      <c r="S2071" s="88">
        <f>-IF(Tabla14[[#This Row],[DIAS HABILES O MORA]]&lt;0,(Tabla14[[#This Row],[VALOR PRESTAMO]]*Tabla14[[#This Row],[% INTERES ]]/30*U2071))</f>
        <v>0</v>
      </c>
      <c r="T2071" s="53" t="e">
        <f>Tabla14[[#This Row],[DEUDA CAPITAL]]+Tabla14[[#This Row],[INTERES  CUOTA]]</f>
        <v>#NUM!</v>
      </c>
      <c r="U2071" s="61" t="str">
        <f t="shared" si="339"/>
        <v/>
      </c>
    </row>
    <row r="2072" spans="9:21" ht="24.75" customHeight="1" x14ac:dyDescent="0.35">
      <c r="I2072" s="42">
        <f t="shared" si="330"/>
        <v>0</v>
      </c>
      <c r="J2072" s="65" t="e">
        <f t="shared" si="331"/>
        <v>#NUM!</v>
      </c>
      <c r="K2072" s="83" t="e">
        <f t="shared" si="332"/>
        <v>#NUM!</v>
      </c>
      <c r="L2072" s="83">
        <f t="shared" si="333"/>
        <v>0</v>
      </c>
      <c r="M2072" s="110" t="str">
        <f t="shared" si="334"/>
        <v/>
      </c>
      <c r="N2072" s="51" t="str">
        <f t="shared" si="335"/>
        <v/>
      </c>
      <c r="O2072" s="52" t="str">
        <f t="shared" si="336"/>
        <v/>
      </c>
      <c r="P2072" s="88">
        <f t="shared" si="337"/>
        <v>0</v>
      </c>
      <c r="Q2072" s="88">
        <f t="shared" si="338"/>
        <v>0</v>
      </c>
      <c r="R2072" s="88" t="e">
        <f>-IF(Tabla14[[#This Row],[DIAS HABILES O MORA]]&lt;0,(Tabla14[[#This Row],[VALOR PRESTAMO]]*Tabla14[[#This Row],[% INTERES ]]/30*U2072))+Tabla14[[#This Row],[VALOR CUOTAS]]</f>
        <v>#VALUE!</v>
      </c>
      <c r="S2072" s="88">
        <f>-IF(Tabla14[[#This Row],[DIAS HABILES O MORA]]&lt;0,(Tabla14[[#This Row],[VALOR PRESTAMO]]*Tabla14[[#This Row],[% INTERES ]]/30*U2072))</f>
        <v>0</v>
      </c>
      <c r="T2072" s="53" t="e">
        <f>Tabla14[[#This Row],[DEUDA CAPITAL]]+Tabla14[[#This Row],[INTERES  CUOTA]]</f>
        <v>#NUM!</v>
      </c>
      <c r="U2072" s="61" t="str">
        <f t="shared" si="339"/>
        <v/>
      </c>
    </row>
    <row r="2073" spans="9:21" ht="24.75" customHeight="1" x14ac:dyDescent="0.35">
      <c r="I2073" s="42">
        <f t="shared" si="330"/>
        <v>0</v>
      </c>
      <c r="J2073" s="65" t="e">
        <f t="shared" si="331"/>
        <v>#NUM!</v>
      </c>
      <c r="K2073" s="83" t="e">
        <f t="shared" si="332"/>
        <v>#NUM!</v>
      </c>
      <c r="L2073" s="83">
        <f t="shared" si="333"/>
        <v>0</v>
      </c>
      <c r="M2073" s="110" t="str">
        <f t="shared" si="334"/>
        <v/>
      </c>
      <c r="N2073" s="51" t="str">
        <f t="shared" si="335"/>
        <v/>
      </c>
      <c r="O2073" s="52" t="str">
        <f t="shared" si="336"/>
        <v/>
      </c>
      <c r="P2073" s="88">
        <f t="shared" si="337"/>
        <v>0</v>
      </c>
      <c r="Q2073" s="88">
        <f t="shared" si="338"/>
        <v>0</v>
      </c>
      <c r="R2073" s="88" t="e">
        <f>-IF(Tabla14[[#This Row],[DIAS HABILES O MORA]]&lt;0,(Tabla14[[#This Row],[VALOR PRESTAMO]]*Tabla14[[#This Row],[% INTERES ]]/30*U2073))+Tabla14[[#This Row],[VALOR CUOTAS]]</f>
        <v>#VALUE!</v>
      </c>
      <c r="S2073" s="88">
        <f>-IF(Tabla14[[#This Row],[DIAS HABILES O MORA]]&lt;0,(Tabla14[[#This Row],[VALOR PRESTAMO]]*Tabla14[[#This Row],[% INTERES ]]/30*U2073))</f>
        <v>0</v>
      </c>
      <c r="T2073" s="53" t="e">
        <f>Tabla14[[#This Row],[DEUDA CAPITAL]]+Tabla14[[#This Row],[INTERES  CUOTA]]</f>
        <v>#NUM!</v>
      </c>
      <c r="U2073" s="61" t="str">
        <f t="shared" si="339"/>
        <v/>
      </c>
    </row>
    <row r="2074" spans="9:21" ht="24.75" customHeight="1" x14ac:dyDescent="0.35">
      <c r="I2074" s="42">
        <f t="shared" si="330"/>
        <v>0</v>
      </c>
      <c r="J2074" s="65" t="e">
        <f t="shared" si="331"/>
        <v>#NUM!</v>
      </c>
      <c r="K2074" s="83" t="e">
        <f t="shared" si="332"/>
        <v>#NUM!</v>
      </c>
      <c r="L2074" s="83">
        <f t="shared" si="333"/>
        <v>0</v>
      </c>
      <c r="M2074" s="110" t="str">
        <f t="shared" si="334"/>
        <v/>
      </c>
      <c r="N2074" s="51" t="str">
        <f t="shared" si="335"/>
        <v/>
      </c>
      <c r="O2074" s="52" t="str">
        <f t="shared" si="336"/>
        <v/>
      </c>
      <c r="P2074" s="88">
        <f t="shared" si="337"/>
        <v>0</v>
      </c>
      <c r="Q2074" s="88">
        <f t="shared" si="338"/>
        <v>0</v>
      </c>
      <c r="R2074" s="88" t="e">
        <f>-IF(Tabla14[[#This Row],[DIAS HABILES O MORA]]&lt;0,(Tabla14[[#This Row],[VALOR PRESTAMO]]*Tabla14[[#This Row],[% INTERES ]]/30*U2074))+Tabla14[[#This Row],[VALOR CUOTAS]]</f>
        <v>#VALUE!</v>
      </c>
      <c r="S2074" s="88">
        <f>-IF(Tabla14[[#This Row],[DIAS HABILES O MORA]]&lt;0,(Tabla14[[#This Row],[VALOR PRESTAMO]]*Tabla14[[#This Row],[% INTERES ]]/30*U2074))</f>
        <v>0</v>
      </c>
      <c r="T2074" s="53" t="e">
        <f>Tabla14[[#This Row],[DEUDA CAPITAL]]+Tabla14[[#This Row],[INTERES  CUOTA]]</f>
        <v>#NUM!</v>
      </c>
      <c r="U2074" s="61" t="str">
        <f t="shared" si="339"/>
        <v/>
      </c>
    </row>
    <row r="2075" spans="9:21" ht="24.75" customHeight="1" x14ac:dyDescent="0.35">
      <c r="I2075" s="42">
        <f t="shared" si="330"/>
        <v>0</v>
      </c>
      <c r="J2075" s="65" t="e">
        <f t="shared" si="331"/>
        <v>#NUM!</v>
      </c>
      <c r="K2075" s="83" t="e">
        <f t="shared" si="332"/>
        <v>#NUM!</v>
      </c>
      <c r="L2075" s="83">
        <f t="shared" si="333"/>
        <v>0</v>
      </c>
      <c r="M2075" s="110" t="str">
        <f t="shared" si="334"/>
        <v/>
      </c>
      <c r="N2075" s="51" t="str">
        <f t="shared" si="335"/>
        <v/>
      </c>
      <c r="O2075" s="52" t="str">
        <f t="shared" si="336"/>
        <v/>
      </c>
      <c r="P2075" s="88">
        <f t="shared" si="337"/>
        <v>0</v>
      </c>
      <c r="Q2075" s="88">
        <f t="shared" si="338"/>
        <v>0</v>
      </c>
      <c r="R2075" s="88" t="e">
        <f>-IF(Tabla14[[#This Row],[DIAS HABILES O MORA]]&lt;0,(Tabla14[[#This Row],[VALOR PRESTAMO]]*Tabla14[[#This Row],[% INTERES ]]/30*U2075))+Tabla14[[#This Row],[VALOR CUOTAS]]</f>
        <v>#VALUE!</v>
      </c>
      <c r="S2075" s="88">
        <f>-IF(Tabla14[[#This Row],[DIAS HABILES O MORA]]&lt;0,(Tabla14[[#This Row],[VALOR PRESTAMO]]*Tabla14[[#This Row],[% INTERES ]]/30*U2075))</f>
        <v>0</v>
      </c>
      <c r="T2075" s="53" t="e">
        <f>Tabla14[[#This Row],[DEUDA CAPITAL]]+Tabla14[[#This Row],[INTERES  CUOTA]]</f>
        <v>#NUM!</v>
      </c>
      <c r="U2075" s="61" t="str">
        <f t="shared" si="339"/>
        <v/>
      </c>
    </row>
    <row r="2076" spans="9:21" ht="24.75" customHeight="1" x14ac:dyDescent="0.35">
      <c r="I2076" s="42">
        <f t="shared" si="330"/>
        <v>0</v>
      </c>
      <c r="J2076" s="65" t="e">
        <f t="shared" si="331"/>
        <v>#NUM!</v>
      </c>
      <c r="K2076" s="83" t="e">
        <f t="shared" si="332"/>
        <v>#NUM!</v>
      </c>
      <c r="L2076" s="83">
        <f t="shared" si="333"/>
        <v>0</v>
      </c>
      <c r="M2076" s="110" t="str">
        <f t="shared" si="334"/>
        <v/>
      </c>
      <c r="N2076" s="51" t="str">
        <f t="shared" si="335"/>
        <v/>
      </c>
      <c r="O2076" s="52" t="str">
        <f t="shared" si="336"/>
        <v/>
      </c>
      <c r="P2076" s="88">
        <f t="shared" si="337"/>
        <v>0</v>
      </c>
      <c r="Q2076" s="88">
        <f t="shared" si="338"/>
        <v>0</v>
      </c>
      <c r="R2076" s="88" t="e">
        <f>-IF(Tabla14[[#This Row],[DIAS HABILES O MORA]]&lt;0,(Tabla14[[#This Row],[VALOR PRESTAMO]]*Tabla14[[#This Row],[% INTERES ]]/30*U2076))+Tabla14[[#This Row],[VALOR CUOTAS]]</f>
        <v>#VALUE!</v>
      </c>
      <c r="S2076" s="88">
        <f>-IF(Tabla14[[#This Row],[DIAS HABILES O MORA]]&lt;0,(Tabla14[[#This Row],[VALOR PRESTAMO]]*Tabla14[[#This Row],[% INTERES ]]/30*U2076))</f>
        <v>0</v>
      </c>
      <c r="T2076" s="53" t="e">
        <f>Tabla14[[#This Row],[DEUDA CAPITAL]]+Tabla14[[#This Row],[INTERES  CUOTA]]</f>
        <v>#NUM!</v>
      </c>
      <c r="U2076" s="61" t="str">
        <f t="shared" si="339"/>
        <v/>
      </c>
    </row>
    <row r="2077" spans="9:21" ht="24.75" customHeight="1" x14ac:dyDescent="0.35">
      <c r="I2077" s="42">
        <f t="shared" si="330"/>
        <v>0</v>
      </c>
      <c r="J2077" s="65" t="e">
        <f t="shared" si="331"/>
        <v>#NUM!</v>
      </c>
      <c r="K2077" s="83" t="e">
        <f t="shared" si="332"/>
        <v>#NUM!</v>
      </c>
      <c r="L2077" s="83">
        <f t="shared" si="333"/>
        <v>0</v>
      </c>
      <c r="M2077" s="110" t="str">
        <f t="shared" si="334"/>
        <v/>
      </c>
      <c r="N2077" s="51" t="str">
        <f t="shared" si="335"/>
        <v/>
      </c>
      <c r="O2077" s="52" t="str">
        <f t="shared" si="336"/>
        <v/>
      </c>
      <c r="P2077" s="88">
        <f t="shared" si="337"/>
        <v>0</v>
      </c>
      <c r="Q2077" s="88">
        <f t="shared" si="338"/>
        <v>0</v>
      </c>
      <c r="R2077" s="88" t="e">
        <f>-IF(Tabla14[[#This Row],[DIAS HABILES O MORA]]&lt;0,(Tabla14[[#This Row],[VALOR PRESTAMO]]*Tabla14[[#This Row],[% INTERES ]]/30*U2077))+Tabla14[[#This Row],[VALOR CUOTAS]]</f>
        <v>#VALUE!</v>
      </c>
      <c r="S2077" s="88">
        <f>-IF(Tabla14[[#This Row],[DIAS HABILES O MORA]]&lt;0,(Tabla14[[#This Row],[VALOR PRESTAMO]]*Tabla14[[#This Row],[% INTERES ]]/30*U2077))</f>
        <v>0</v>
      </c>
      <c r="T2077" s="53" t="e">
        <f>Tabla14[[#This Row],[DEUDA CAPITAL]]+Tabla14[[#This Row],[INTERES  CUOTA]]</f>
        <v>#NUM!</v>
      </c>
      <c r="U2077" s="61" t="str">
        <f t="shared" si="339"/>
        <v/>
      </c>
    </row>
    <row r="2078" spans="9:21" ht="24.75" customHeight="1" x14ac:dyDescent="0.35">
      <c r="I2078" s="42">
        <f t="shared" si="330"/>
        <v>0</v>
      </c>
      <c r="J2078" s="65" t="e">
        <f t="shared" si="331"/>
        <v>#NUM!</v>
      </c>
      <c r="K2078" s="83" t="e">
        <f t="shared" si="332"/>
        <v>#NUM!</v>
      </c>
      <c r="L2078" s="83">
        <f t="shared" si="333"/>
        <v>0</v>
      </c>
      <c r="M2078" s="110" t="str">
        <f t="shared" si="334"/>
        <v/>
      </c>
      <c r="N2078" s="51" t="str">
        <f t="shared" si="335"/>
        <v/>
      </c>
      <c r="O2078" s="52" t="str">
        <f t="shared" si="336"/>
        <v/>
      </c>
      <c r="P2078" s="88">
        <f t="shared" si="337"/>
        <v>0</v>
      </c>
      <c r="Q2078" s="88">
        <f t="shared" si="338"/>
        <v>0</v>
      </c>
      <c r="R2078" s="88" t="e">
        <f>-IF(Tabla14[[#This Row],[DIAS HABILES O MORA]]&lt;0,(Tabla14[[#This Row],[VALOR PRESTAMO]]*Tabla14[[#This Row],[% INTERES ]]/30*U2078))+Tabla14[[#This Row],[VALOR CUOTAS]]</f>
        <v>#VALUE!</v>
      </c>
      <c r="S2078" s="88">
        <f>-IF(Tabla14[[#This Row],[DIAS HABILES O MORA]]&lt;0,(Tabla14[[#This Row],[VALOR PRESTAMO]]*Tabla14[[#This Row],[% INTERES ]]/30*U2078))</f>
        <v>0</v>
      </c>
      <c r="T2078" s="53" t="e">
        <f>Tabla14[[#This Row],[DEUDA CAPITAL]]+Tabla14[[#This Row],[INTERES  CUOTA]]</f>
        <v>#NUM!</v>
      </c>
      <c r="U2078" s="61" t="str">
        <f t="shared" si="339"/>
        <v/>
      </c>
    </row>
    <row r="2079" spans="9:21" ht="24.75" customHeight="1" x14ac:dyDescent="0.35">
      <c r="I2079" s="42">
        <f t="shared" si="330"/>
        <v>0</v>
      </c>
      <c r="J2079" s="65" t="e">
        <f t="shared" si="331"/>
        <v>#NUM!</v>
      </c>
      <c r="K2079" s="83" t="e">
        <f t="shared" si="332"/>
        <v>#NUM!</v>
      </c>
      <c r="L2079" s="83">
        <f t="shared" si="333"/>
        <v>0</v>
      </c>
      <c r="M2079" s="110" t="str">
        <f t="shared" si="334"/>
        <v/>
      </c>
      <c r="N2079" s="51" t="str">
        <f t="shared" si="335"/>
        <v/>
      </c>
      <c r="O2079" s="52" t="str">
        <f t="shared" si="336"/>
        <v/>
      </c>
      <c r="P2079" s="88">
        <f t="shared" si="337"/>
        <v>0</v>
      </c>
      <c r="Q2079" s="88">
        <f t="shared" si="338"/>
        <v>0</v>
      </c>
      <c r="R2079" s="88" t="e">
        <f>-IF(Tabla14[[#This Row],[DIAS HABILES O MORA]]&lt;0,(Tabla14[[#This Row],[VALOR PRESTAMO]]*Tabla14[[#This Row],[% INTERES ]]/30*U2079))+Tabla14[[#This Row],[VALOR CUOTAS]]</f>
        <v>#VALUE!</v>
      </c>
      <c r="S2079" s="88">
        <f>-IF(Tabla14[[#This Row],[DIAS HABILES O MORA]]&lt;0,(Tabla14[[#This Row],[VALOR PRESTAMO]]*Tabla14[[#This Row],[% INTERES ]]/30*U2079))</f>
        <v>0</v>
      </c>
      <c r="T2079" s="53" t="e">
        <f>Tabla14[[#This Row],[DEUDA CAPITAL]]+Tabla14[[#This Row],[INTERES  CUOTA]]</f>
        <v>#NUM!</v>
      </c>
      <c r="U2079" s="61" t="str">
        <f t="shared" si="339"/>
        <v/>
      </c>
    </row>
    <row r="2080" spans="9:21" ht="24.75" customHeight="1" x14ac:dyDescent="0.35">
      <c r="I2080" s="42">
        <f t="shared" si="330"/>
        <v>0</v>
      </c>
      <c r="J2080" s="65" t="e">
        <f t="shared" si="331"/>
        <v>#NUM!</v>
      </c>
      <c r="K2080" s="83" t="e">
        <f t="shared" si="332"/>
        <v>#NUM!</v>
      </c>
      <c r="L2080" s="83">
        <f t="shared" si="333"/>
        <v>0</v>
      </c>
      <c r="M2080" s="110" t="str">
        <f t="shared" si="334"/>
        <v/>
      </c>
      <c r="N2080" s="51" t="str">
        <f t="shared" si="335"/>
        <v/>
      </c>
      <c r="O2080" s="52" t="str">
        <f t="shared" si="336"/>
        <v/>
      </c>
      <c r="P2080" s="88">
        <f t="shared" si="337"/>
        <v>0</v>
      </c>
      <c r="Q2080" s="88">
        <f t="shared" si="338"/>
        <v>0</v>
      </c>
      <c r="R2080" s="88" t="e">
        <f>-IF(Tabla14[[#This Row],[DIAS HABILES O MORA]]&lt;0,(Tabla14[[#This Row],[VALOR PRESTAMO]]*Tabla14[[#This Row],[% INTERES ]]/30*U2080))+Tabla14[[#This Row],[VALOR CUOTAS]]</f>
        <v>#VALUE!</v>
      </c>
      <c r="S2080" s="88">
        <f>-IF(Tabla14[[#This Row],[DIAS HABILES O MORA]]&lt;0,(Tabla14[[#This Row],[VALOR PRESTAMO]]*Tabla14[[#This Row],[% INTERES ]]/30*U2080))</f>
        <v>0</v>
      </c>
      <c r="T2080" s="53" t="e">
        <f>Tabla14[[#This Row],[DEUDA CAPITAL]]+Tabla14[[#This Row],[INTERES  CUOTA]]</f>
        <v>#NUM!</v>
      </c>
      <c r="U2080" s="61" t="str">
        <f t="shared" si="339"/>
        <v/>
      </c>
    </row>
    <row r="2081" spans="9:21" ht="24.75" customHeight="1" x14ac:dyDescent="0.35">
      <c r="I2081" s="42">
        <f t="shared" si="330"/>
        <v>0</v>
      </c>
      <c r="J2081" s="65" t="e">
        <f t="shared" si="331"/>
        <v>#NUM!</v>
      </c>
      <c r="K2081" s="83" t="e">
        <f t="shared" si="332"/>
        <v>#NUM!</v>
      </c>
      <c r="L2081" s="83">
        <f t="shared" si="333"/>
        <v>0</v>
      </c>
      <c r="M2081" s="110" t="str">
        <f t="shared" si="334"/>
        <v/>
      </c>
      <c r="N2081" s="51" t="str">
        <f t="shared" si="335"/>
        <v/>
      </c>
      <c r="O2081" s="52" t="str">
        <f t="shared" si="336"/>
        <v/>
      </c>
      <c r="P2081" s="88">
        <f t="shared" si="337"/>
        <v>0</v>
      </c>
      <c r="Q2081" s="88">
        <f t="shared" si="338"/>
        <v>0</v>
      </c>
      <c r="R2081" s="88" t="e">
        <f>-IF(Tabla14[[#This Row],[DIAS HABILES O MORA]]&lt;0,(Tabla14[[#This Row],[VALOR PRESTAMO]]*Tabla14[[#This Row],[% INTERES ]]/30*U2081))+Tabla14[[#This Row],[VALOR CUOTAS]]</f>
        <v>#VALUE!</v>
      </c>
      <c r="S2081" s="88">
        <f>-IF(Tabla14[[#This Row],[DIAS HABILES O MORA]]&lt;0,(Tabla14[[#This Row],[VALOR PRESTAMO]]*Tabla14[[#This Row],[% INTERES ]]/30*U2081))</f>
        <v>0</v>
      </c>
      <c r="T2081" s="53" t="e">
        <f>Tabla14[[#This Row],[DEUDA CAPITAL]]+Tabla14[[#This Row],[INTERES  CUOTA]]</f>
        <v>#NUM!</v>
      </c>
      <c r="U2081" s="61" t="str">
        <f t="shared" si="339"/>
        <v/>
      </c>
    </row>
    <row r="2082" spans="9:21" ht="24.75" customHeight="1" x14ac:dyDescent="0.35">
      <c r="I2082" s="42">
        <f t="shared" si="330"/>
        <v>0</v>
      </c>
      <c r="J2082" s="65" t="e">
        <f t="shared" si="331"/>
        <v>#NUM!</v>
      </c>
      <c r="K2082" s="83" t="e">
        <f t="shared" si="332"/>
        <v>#NUM!</v>
      </c>
      <c r="L2082" s="83">
        <f t="shared" si="333"/>
        <v>0</v>
      </c>
      <c r="M2082" s="110" t="str">
        <f t="shared" si="334"/>
        <v/>
      </c>
      <c r="N2082" s="51" t="str">
        <f t="shared" si="335"/>
        <v/>
      </c>
      <c r="O2082" s="52" t="str">
        <f t="shared" si="336"/>
        <v/>
      </c>
      <c r="P2082" s="88">
        <f t="shared" si="337"/>
        <v>0</v>
      </c>
      <c r="Q2082" s="88">
        <f t="shared" si="338"/>
        <v>0</v>
      </c>
      <c r="R2082" s="88" t="e">
        <f>-IF(Tabla14[[#This Row],[DIAS HABILES O MORA]]&lt;0,(Tabla14[[#This Row],[VALOR PRESTAMO]]*Tabla14[[#This Row],[% INTERES ]]/30*U2082))+Tabla14[[#This Row],[VALOR CUOTAS]]</f>
        <v>#VALUE!</v>
      </c>
      <c r="S2082" s="88">
        <f>-IF(Tabla14[[#This Row],[DIAS HABILES O MORA]]&lt;0,(Tabla14[[#This Row],[VALOR PRESTAMO]]*Tabla14[[#This Row],[% INTERES ]]/30*U2082))</f>
        <v>0</v>
      </c>
      <c r="T2082" s="53" t="e">
        <f>Tabla14[[#This Row],[DEUDA CAPITAL]]+Tabla14[[#This Row],[INTERES  CUOTA]]</f>
        <v>#NUM!</v>
      </c>
      <c r="U2082" s="61" t="str">
        <f t="shared" si="339"/>
        <v/>
      </c>
    </row>
    <row r="2083" spans="9:21" ht="24.75" customHeight="1" x14ac:dyDescent="0.35">
      <c r="I2083" s="42">
        <f t="shared" si="330"/>
        <v>0</v>
      </c>
      <c r="J2083" s="65" t="e">
        <f t="shared" si="331"/>
        <v>#NUM!</v>
      </c>
      <c r="K2083" s="83" t="e">
        <f t="shared" si="332"/>
        <v>#NUM!</v>
      </c>
      <c r="L2083" s="83">
        <f t="shared" si="333"/>
        <v>0</v>
      </c>
      <c r="M2083" s="110" t="str">
        <f t="shared" si="334"/>
        <v/>
      </c>
      <c r="N2083" s="51" t="str">
        <f t="shared" si="335"/>
        <v/>
      </c>
      <c r="O2083" s="52" t="str">
        <f t="shared" si="336"/>
        <v/>
      </c>
      <c r="P2083" s="88">
        <f t="shared" si="337"/>
        <v>0</v>
      </c>
      <c r="Q2083" s="88">
        <f t="shared" si="338"/>
        <v>0</v>
      </c>
      <c r="R2083" s="88" t="e">
        <f>-IF(Tabla14[[#This Row],[DIAS HABILES O MORA]]&lt;0,(Tabla14[[#This Row],[VALOR PRESTAMO]]*Tabla14[[#This Row],[% INTERES ]]/30*U2083))+Tabla14[[#This Row],[VALOR CUOTAS]]</f>
        <v>#VALUE!</v>
      </c>
      <c r="S2083" s="88">
        <f>-IF(Tabla14[[#This Row],[DIAS HABILES O MORA]]&lt;0,(Tabla14[[#This Row],[VALOR PRESTAMO]]*Tabla14[[#This Row],[% INTERES ]]/30*U2083))</f>
        <v>0</v>
      </c>
      <c r="T2083" s="53" t="e">
        <f>Tabla14[[#This Row],[DEUDA CAPITAL]]+Tabla14[[#This Row],[INTERES  CUOTA]]</f>
        <v>#NUM!</v>
      </c>
      <c r="U2083" s="61" t="str">
        <f t="shared" si="339"/>
        <v/>
      </c>
    </row>
    <row r="2084" spans="9:21" ht="24.75" customHeight="1" x14ac:dyDescent="0.35">
      <c r="I2084" s="42">
        <f t="shared" si="330"/>
        <v>0</v>
      </c>
      <c r="J2084" s="65" t="e">
        <f t="shared" si="331"/>
        <v>#NUM!</v>
      </c>
      <c r="K2084" s="83" t="e">
        <f t="shared" si="332"/>
        <v>#NUM!</v>
      </c>
      <c r="L2084" s="83">
        <f t="shared" si="333"/>
        <v>0</v>
      </c>
      <c r="M2084" s="110" t="str">
        <f t="shared" si="334"/>
        <v/>
      </c>
      <c r="N2084" s="51" t="str">
        <f t="shared" si="335"/>
        <v/>
      </c>
      <c r="O2084" s="52" t="str">
        <f t="shared" si="336"/>
        <v/>
      </c>
      <c r="P2084" s="88">
        <f t="shared" si="337"/>
        <v>0</v>
      </c>
      <c r="Q2084" s="88">
        <f t="shared" si="338"/>
        <v>0</v>
      </c>
      <c r="R2084" s="88" t="e">
        <f>-IF(Tabla14[[#This Row],[DIAS HABILES O MORA]]&lt;0,(Tabla14[[#This Row],[VALOR PRESTAMO]]*Tabla14[[#This Row],[% INTERES ]]/30*U2084))+Tabla14[[#This Row],[VALOR CUOTAS]]</f>
        <v>#VALUE!</v>
      </c>
      <c r="S2084" s="88">
        <f>-IF(Tabla14[[#This Row],[DIAS HABILES O MORA]]&lt;0,(Tabla14[[#This Row],[VALOR PRESTAMO]]*Tabla14[[#This Row],[% INTERES ]]/30*U2084))</f>
        <v>0</v>
      </c>
      <c r="T2084" s="53" t="e">
        <f>Tabla14[[#This Row],[DEUDA CAPITAL]]+Tabla14[[#This Row],[INTERES  CUOTA]]</f>
        <v>#NUM!</v>
      </c>
      <c r="U2084" s="61" t="str">
        <f t="shared" si="339"/>
        <v/>
      </c>
    </row>
    <row r="2085" spans="9:21" ht="24.75" customHeight="1" x14ac:dyDescent="0.35">
      <c r="I2085" s="42">
        <f t="shared" si="330"/>
        <v>0</v>
      </c>
      <c r="J2085" s="65" t="e">
        <f t="shared" si="331"/>
        <v>#NUM!</v>
      </c>
      <c r="K2085" s="83" t="e">
        <f t="shared" si="332"/>
        <v>#NUM!</v>
      </c>
      <c r="L2085" s="83">
        <f t="shared" si="333"/>
        <v>0</v>
      </c>
      <c r="M2085" s="110" t="str">
        <f t="shared" si="334"/>
        <v/>
      </c>
      <c r="N2085" s="51" t="str">
        <f t="shared" si="335"/>
        <v/>
      </c>
      <c r="O2085" s="52" t="str">
        <f t="shared" si="336"/>
        <v/>
      </c>
      <c r="P2085" s="88">
        <f t="shared" si="337"/>
        <v>0</v>
      </c>
      <c r="Q2085" s="88">
        <f t="shared" si="338"/>
        <v>0</v>
      </c>
      <c r="R2085" s="88" t="e">
        <f>-IF(Tabla14[[#This Row],[DIAS HABILES O MORA]]&lt;0,(Tabla14[[#This Row],[VALOR PRESTAMO]]*Tabla14[[#This Row],[% INTERES ]]/30*U2085))+Tabla14[[#This Row],[VALOR CUOTAS]]</f>
        <v>#VALUE!</v>
      </c>
      <c r="S2085" s="88">
        <f>-IF(Tabla14[[#This Row],[DIAS HABILES O MORA]]&lt;0,(Tabla14[[#This Row],[VALOR PRESTAMO]]*Tabla14[[#This Row],[% INTERES ]]/30*U2085))</f>
        <v>0</v>
      </c>
      <c r="T2085" s="53" t="e">
        <f>Tabla14[[#This Row],[DEUDA CAPITAL]]+Tabla14[[#This Row],[INTERES  CUOTA]]</f>
        <v>#NUM!</v>
      </c>
      <c r="U2085" s="61" t="str">
        <f t="shared" si="339"/>
        <v/>
      </c>
    </row>
    <row r="2086" spans="9:21" ht="24.75" customHeight="1" x14ac:dyDescent="0.35">
      <c r="I2086" s="42">
        <f t="shared" si="330"/>
        <v>0</v>
      </c>
      <c r="J2086" s="65" t="e">
        <f t="shared" si="331"/>
        <v>#NUM!</v>
      </c>
      <c r="K2086" s="83" t="e">
        <f t="shared" si="332"/>
        <v>#NUM!</v>
      </c>
      <c r="L2086" s="83">
        <f t="shared" si="333"/>
        <v>0</v>
      </c>
      <c r="M2086" s="110" t="str">
        <f t="shared" si="334"/>
        <v/>
      </c>
      <c r="N2086" s="51" t="str">
        <f t="shared" si="335"/>
        <v/>
      </c>
      <c r="O2086" s="52" t="str">
        <f t="shared" si="336"/>
        <v/>
      </c>
      <c r="P2086" s="88">
        <f t="shared" si="337"/>
        <v>0</v>
      </c>
      <c r="Q2086" s="88">
        <f t="shared" si="338"/>
        <v>0</v>
      </c>
      <c r="R2086" s="88" t="e">
        <f>-IF(Tabla14[[#This Row],[DIAS HABILES O MORA]]&lt;0,(Tabla14[[#This Row],[VALOR PRESTAMO]]*Tabla14[[#This Row],[% INTERES ]]/30*U2086))+Tabla14[[#This Row],[VALOR CUOTAS]]</f>
        <v>#VALUE!</v>
      </c>
      <c r="S2086" s="88">
        <f>-IF(Tabla14[[#This Row],[DIAS HABILES O MORA]]&lt;0,(Tabla14[[#This Row],[VALOR PRESTAMO]]*Tabla14[[#This Row],[% INTERES ]]/30*U2086))</f>
        <v>0</v>
      </c>
      <c r="T2086" s="53" t="e">
        <f>Tabla14[[#This Row],[DEUDA CAPITAL]]+Tabla14[[#This Row],[INTERES  CUOTA]]</f>
        <v>#NUM!</v>
      </c>
      <c r="U2086" s="61" t="str">
        <f t="shared" si="339"/>
        <v/>
      </c>
    </row>
    <row r="2087" spans="9:21" ht="24.75" customHeight="1" x14ac:dyDescent="0.35">
      <c r="I2087" s="42">
        <f t="shared" si="330"/>
        <v>0</v>
      </c>
      <c r="J2087" s="65" t="e">
        <f t="shared" si="331"/>
        <v>#NUM!</v>
      </c>
      <c r="K2087" s="83" t="e">
        <f t="shared" si="332"/>
        <v>#NUM!</v>
      </c>
      <c r="L2087" s="83">
        <f t="shared" si="333"/>
        <v>0</v>
      </c>
      <c r="M2087" s="110" t="str">
        <f t="shared" si="334"/>
        <v/>
      </c>
      <c r="N2087" s="51" t="str">
        <f t="shared" si="335"/>
        <v/>
      </c>
      <c r="O2087" s="52" t="str">
        <f t="shared" si="336"/>
        <v/>
      </c>
      <c r="P2087" s="88">
        <f t="shared" si="337"/>
        <v>0</v>
      </c>
      <c r="Q2087" s="88">
        <f t="shared" si="338"/>
        <v>0</v>
      </c>
      <c r="R2087" s="88" t="e">
        <f>-IF(Tabla14[[#This Row],[DIAS HABILES O MORA]]&lt;0,(Tabla14[[#This Row],[VALOR PRESTAMO]]*Tabla14[[#This Row],[% INTERES ]]/30*U2087))+Tabla14[[#This Row],[VALOR CUOTAS]]</f>
        <v>#VALUE!</v>
      </c>
      <c r="S2087" s="88">
        <f>-IF(Tabla14[[#This Row],[DIAS HABILES O MORA]]&lt;0,(Tabla14[[#This Row],[VALOR PRESTAMO]]*Tabla14[[#This Row],[% INTERES ]]/30*U2087))</f>
        <v>0</v>
      </c>
      <c r="T2087" s="53" t="e">
        <f>Tabla14[[#This Row],[DEUDA CAPITAL]]+Tabla14[[#This Row],[INTERES  CUOTA]]</f>
        <v>#NUM!</v>
      </c>
      <c r="U2087" s="61" t="str">
        <f t="shared" si="339"/>
        <v/>
      </c>
    </row>
    <row r="2088" spans="9:21" ht="24.75" customHeight="1" x14ac:dyDescent="0.35">
      <c r="I2088" s="42">
        <f t="shared" si="330"/>
        <v>0</v>
      </c>
      <c r="J2088" s="65" t="e">
        <f t="shared" si="331"/>
        <v>#NUM!</v>
      </c>
      <c r="K2088" s="83" t="e">
        <f t="shared" si="332"/>
        <v>#NUM!</v>
      </c>
      <c r="L2088" s="83">
        <f t="shared" si="333"/>
        <v>0</v>
      </c>
      <c r="M2088" s="110" t="str">
        <f t="shared" si="334"/>
        <v/>
      </c>
      <c r="N2088" s="51" t="str">
        <f t="shared" si="335"/>
        <v/>
      </c>
      <c r="O2088" s="52" t="str">
        <f t="shared" si="336"/>
        <v/>
      </c>
      <c r="P2088" s="88">
        <f t="shared" si="337"/>
        <v>0</v>
      </c>
      <c r="Q2088" s="88">
        <f t="shared" si="338"/>
        <v>0</v>
      </c>
      <c r="R2088" s="88" t="e">
        <f>-IF(Tabla14[[#This Row],[DIAS HABILES O MORA]]&lt;0,(Tabla14[[#This Row],[VALOR PRESTAMO]]*Tabla14[[#This Row],[% INTERES ]]/30*U2088))+Tabla14[[#This Row],[VALOR CUOTAS]]</f>
        <v>#VALUE!</v>
      </c>
      <c r="S2088" s="88">
        <f>-IF(Tabla14[[#This Row],[DIAS HABILES O MORA]]&lt;0,(Tabla14[[#This Row],[VALOR PRESTAMO]]*Tabla14[[#This Row],[% INTERES ]]/30*U2088))</f>
        <v>0</v>
      </c>
      <c r="T2088" s="53" t="e">
        <f>Tabla14[[#This Row],[DEUDA CAPITAL]]+Tabla14[[#This Row],[INTERES  CUOTA]]</f>
        <v>#NUM!</v>
      </c>
      <c r="U2088" s="61" t="str">
        <f t="shared" si="339"/>
        <v/>
      </c>
    </row>
    <row r="2089" spans="9:21" ht="24.75" customHeight="1" x14ac:dyDescent="0.35">
      <c r="I2089" s="42">
        <f t="shared" si="330"/>
        <v>0</v>
      </c>
      <c r="J2089" s="65" t="e">
        <f t="shared" si="331"/>
        <v>#NUM!</v>
      </c>
      <c r="K2089" s="83" t="e">
        <f t="shared" si="332"/>
        <v>#NUM!</v>
      </c>
      <c r="L2089" s="83">
        <f t="shared" si="333"/>
        <v>0</v>
      </c>
      <c r="M2089" s="110" t="str">
        <f t="shared" si="334"/>
        <v/>
      </c>
      <c r="N2089" s="51" t="str">
        <f t="shared" si="335"/>
        <v/>
      </c>
      <c r="O2089" s="52" t="str">
        <f t="shared" si="336"/>
        <v/>
      </c>
      <c r="P2089" s="88">
        <f t="shared" si="337"/>
        <v>0</v>
      </c>
      <c r="Q2089" s="88">
        <f t="shared" si="338"/>
        <v>0</v>
      </c>
      <c r="R2089" s="88" t="e">
        <f>-IF(Tabla14[[#This Row],[DIAS HABILES O MORA]]&lt;0,(Tabla14[[#This Row],[VALOR PRESTAMO]]*Tabla14[[#This Row],[% INTERES ]]/30*U2089))+Tabla14[[#This Row],[VALOR CUOTAS]]</f>
        <v>#VALUE!</v>
      </c>
      <c r="S2089" s="88">
        <f>-IF(Tabla14[[#This Row],[DIAS HABILES O MORA]]&lt;0,(Tabla14[[#This Row],[VALOR PRESTAMO]]*Tabla14[[#This Row],[% INTERES ]]/30*U2089))</f>
        <v>0</v>
      </c>
      <c r="T2089" s="53" t="e">
        <f>Tabla14[[#This Row],[DEUDA CAPITAL]]+Tabla14[[#This Row],[INTERES  CUOTA]]</f>
        <v>#NUM!</v>
      </c>
      <c r="U2089" s="61" t="str">
        <f t="shared" si="339"/>
        <v/>
      </c>
    </row>
    <row r="2090" spans="9:21" ht="24.75" customHeight="1" x14ac:dyDescent="0.35">
      <c r="I2090" s="42">
        <f t="shared" si="330"/>
        <v>0</v>
      </c>
      <c r="J2090" s="65" t="e">
        <f t="shared" si="331"/>
        <v>#NUM!</v>
      </c>
      <c r="K2090" s="83" t="e">
        <f t="shared" si="332"/>
        <v>#NUM!</v>
      </c>
      <c r="L2090" s="83">
        <f t="shared" si="333"/>
        <v>0</v>
      </c>
      <c r="M2090" s="110" t="str">
        <f t="shared" si="334"/>
        <v/>
      </c>
      <c r="N2090" s="51" t="str">
        <f t="shared" si="335"/>
        <v/>
      </c>
      <c r="O2090" s="52" t="str">
        <f t="shared" si="336"/>
        <v/>
      </c>
      <c r="P2090" s="88">
        <f t="shared" si="337"/>
        <v>0</v>
      </c>
      <c r="Q2090" s="88">
        <f t="shared" si="338"/>
        <v>0</v>
      </c>
      <c r="R2090" s="88" t="e">
        <f>-IF(Tabla14[[#This Row],[DIAS HABILES O MORA]]&lt;0,(Tabla14[[#This Row],[VALOR PRESTAMO]]*Tabla14[[#This Row],[% INTERES ]]/30*U2090))+Tabla14[[#This Row],[VALOR CUOTAS]]</f>
        <v>#VALUE!</v>
      </c>
      <c r="S2090" s="88">
        <f>-IF(Tabla14[[#This Row],[DIAS HABILES O MORA]]&lt;0,(Tabla14[[#This Row],[VALOR PRESTAMO]]*Tabla14[[#This Row],[% INTERES ]]/30*U2090))</f>
        <v>0</v>
      </c>
      <c r="T2090" s="53" t="e">
        <f>Tabla14[[#This Row],[DEUDA CAPITAL]]+Tabla14[[#This Row],[INTERES  CUOTA]]</f>
        <v>#NUM!</v>
      </c>
      <c r="U2090" s="61" t="str">
        <f t="shared" si="339"/>
        <v/>
      </c>
    </row>
    <row r="2091" spans="9:21" ht="24.75" customHeight="1" x14ac:dyDescent="0.35">
      <c r="I2091" s="42">
        <f t="shared" si="330"/>
        <v>0</v>
      </c>
      <c r="J2091" s="65" t="e">
        <f t="shared" si="331"/>
        <v>#NUM!</v>
      </c>
      <c r="K2091" s="83" t="e">
        <f t="shared" si="332"/>
        <v>#NUM!</v>
      </c>
      <c r="L2091" s="83">
        <f t="shared" si="333"/>
        <v>0</v>
      </c>
      <c r="M2091" s="110" t="str">
        <f t="shared" si="334"/>
        <v/>
      </c>
      <c r="N2091" s="51" t="str">
        <f t="shared" si="335"/>
        <v/>
      </c>
      <c r="O2091" s="52" t="str">
        <f t="shared" si="336"/>
        <v/>
      </c>
      <c r="P2091" s="88">
        <f t="shared" si="337"/>
        <v>0</v>
      </c>
      <c r="Q2091" s="88">
        <f t="shared" si="338"/>
        <v>0</v>
      </c>
      <c r="R2091" s="88" t="e">
        <f>-IF(Tabla14[[#This Row],[DIAS HABILES O MORA]]&lt;0,(Tabla14[[#This Row],[VALOR PRESTAMO]]*Tabla14[[#This Row],[% INTERES ]]/30*U2091))+Tabla14[[#This Row],[VALOR CUOTAS]]</f>
        <v>#VALUE!</v>
      </c>
      <c r="S2091" s="88">
        <f>-IF(Tabla14[[#This Row],[DIAS HABILES O MORA]]&lt;0,(Tabla14[[#This Row],[VALOR PRESTAMO]]*Tabla14[[#This Row],[% INTERES ]]/30*U2091))</f>
        <v>0</v>
      </c>
      <c r="T2091" s="53" t="e">
        <f>Tabla14[[#This Row],[DEUDA CAPITAL]]+Tabla14[[#This Row],[INTERES  CUOTA]]</f>
        <v>#NUM!</v>
      </c>
      <c r="U2091" s="61" t="str">
        <f t="shared" si="339"/>
        <v/>
      </c>
    </row>
    <row r="2092" spans="9:21" ht="24.75" customHeight="1" x14ac:dyDescent="0.35">
      <c r="I2092" s="42">
        <f t="shared" si="330"/>
        <v>0</v>
      </c>
      <c r="J2092" s="65" t="e">
        <f t="shared" si="331"/>
        <v>#NUM!</v>
      </c>
      <c r="K2092" s="83" t="e">
        <f t="shared" si="332"/>
        <v>#NUM!</v>
      </c>
      <c r="L2092" s="83">
        <f t="shared" si="333"/>
        <v>0</v>
      </c>
      <c r="M2092" s="110" t="str">
        <f t="shared" si="334"/>
        <v/>
      </c>
      <c r="N2092" s="51" t="str">
        <f t="shared" si="335"/>
        <v/>
      </c>
      <c r="O2092" s="52" t="str">
        <f t="shared" si="336"/>
        <v/>
      </c>
      <c r="P2092" s="88">
        <f t="shared" si="337"/>
        <v>0</v>
      </c>
      <c r="Q2092" s="88">
        <f t="shared" si="338"/>
        <v>0</v>
      </c>
      <c r="R2092" s="88" t="e">
        <f>-IF(Tabla14[[#This Row],[DIAS HABILES O MORA]]&lt;0,(Tabla14[[#This Row],[VALOR PRESTAMO]]*Tabla14[[#This Row],[% INTERES ]]/30*U2092))+Tabla14[[#This Row],[VALOR CUOTAS]]</f>
        <v>#VALUE!</v>
      </c>
      <c r="S2092" s="88">
        <f>-IF(Tabla14[[#This Row],[DIAS HABILES O MORA]]&lt;0,(Tabla14[[#This Row],[VALOR PRESTAMO]]*Tabla14[[#This Row],[% INTERES ]]/30*U2092))</f>
        <v>0</v>
      </c>
      <c r="T2092" s="53" t="e">
        <f>Tabla14[[#This Row],[DEUDA CAPITAL]]+Tabla14[[#This Row],[INTERES  CUOTA]]</f>
        <v>#NUM!</v>
      </c>
      <c r="U2092" s="61" t="str">
        <f t="shared" si="339"/>
        <v/>
      </c>
    </row>
    <row r="2093" spans="9:21" ht="24.75" customHeight="1" x14ac:dyDescent="0.35">
      <c r="I2093" s="42">
        <f t="shared" si="330"/>
        <v>0</v>
      </c>
      <c r="J2093" s="65" t="e">
        <f t="shared" si="331"/>
        <v>#NUM!</v>
      </c>
      <c r="K2093" s="83" t="e">
        <f t="shared" si="332"/>
        <v>#NUM!</v>
      </c>
      <c r="L2093" s="83">
        <f t="shared" si="333"/>
        <v>0</v>
      </c>
      <c r="M2093" s="110" t="str">
        <f t="shared" si="334"/>
        <v/>
      </c>
      <c r="N2093" s="51" t="str">
        <f t="shared" si="335"/>
        <v/>
      </c>
      <c r="O2093" s="52" t="str">
        <f t="shared" si="336"/>
        <v/>
      </c>
      <c r="P2093" s="88">
        <f t="shared" si="337"/>
        <v>0</v>
      </c>
      <c r="Q2093" s="88">
        <f t="shared" si="338"/>
        <v>0</v>
      </c>
      <c r="R2093" s="88" t="e">
        <f>-IF(Tabla14[[#This Row],[DIAS HABILES O MORA]]&lt;0,(Tabla14[[#This Row],[VALOR PRESTAMO]]*Tabla14[[#This Row],[% INTERES ]]/30*U2093))+Tabla14[[#This Row],[VALOR CUOTAS]]</f>
        <v>#VALUE!</v>
      </c>
      <c r="S2093" s="88">
        <f>-IF(Tabla14[[#This Row],[DIAS HABILES O MORA]]&lt;0,(Tabla14[[#This Row],[VALOR PRESTAMO]]*Tabla14[[#This Row],[% INTERES ]]/30*U2093))</f>
        <v>0</v>
      </c>
      <c r="T2093" s="53" t="e">
        <f>Tabla14[[#This Row],[DEUDA CAPITAL]]+Tabla14[[#This Row],[INTERES  CUOTA]]</f>
        <v>#NUM!</v>
      </c>
      <c r="U2093" s="61" t="str">
        <f t="shared" si="339"/>
        <v/>
      </c>
    </row>
    <row r="2094" spans="9:21" ht="24.75" customHeight="1" x14ac:dyDescent="0.35">
      <c r="I2094" s="42">
        <f t="shared" si="330"/>
        <v>0</v>
      </c>
      <c r="J2094" s="65" t="e">
        <f t="shared" si="331"/>
        <v>#NUM!</v>
      </c>
      <c r="K2094" s="83" t="e">
        <f t="shared" si="332"/>
        <v>#NUM!</v>
      </c>
      <c r="L2094" s="83">
        <f t="shared" si="333"/>
        <v>0</v>
      </c>
      <c r="M2094" s="110" t="str">
        <f t="shared" si="334"/>
        <v/>
      </c>
      <c r="N2094" s="51" t="str">
        <f t="shared" si="335"/>
        <v/>
      </c>
      <c r="O2094" s="52" t="str">
        <f t="shared" si="336"/>
        <v/>
      </c>
      <c r="P2094" s="88">
        <f t="shared" si="337"/>
        <v>0</v>
      </c>
      <c r="Q2094" s="88">
        <f t="shared" si="338"/>
        <v>0</v>
      </c>
      <c r="R2094" s="88" t="e">
        <f>-IF(Tabla14[[#This Row],[DIAS HABILES O MORA]]&lt;0,(Tabla14[[#This Row],[VALOR PRESTAMO]]*Tabla14[[#This Row],[% INTERES ]]/30*U2094))+Tabla14[[#This Row],[VALOR CUOTAS]]</f>
        <v>#VALUE!</v>
      </c>
      <c r="S2094" s="88">
        <f>-IF(Tabla14[[#This Row],[DIAS HABILES O MORA]]&lt;0,(Tabla14[[#This Row],[VALOR PRESTAMO]]*Tabla14[[#This Row],[% INTERES ]]/30*U2094))</f>
        <v>0</v>
      </c>
      <c r="T2094" s="53" t="e">
        <f>Tabla14[[#This Row],[DEUDA CAPITAL]]+Tabla14[[#This Row],[INTERES  CUOTA]]</f>
        <v>#NUM!</v>
      </c>
      <c r="U2094" s="61" t="str">
        <f t="shared" si="339"/>
        <v/>
      </c>
    </row>
    <row r="2095" spans="9:21" ht="24.75" customHeight="1" x14ac:dyDescent="0.35">
      <c r="I2095" s="42">
        <f t="shared" si="330"/>
        <v>0</v>
      </c>
      <c r="J2095" s="65" t="e">
        <f t="shared" si="331"/>
        <v>#NUM!</v>
      </c>
      <c r="K2095" s="83" t="e">
        <f t="shared" si="332"/>
        <v>#NUM!</v>
      </c>
      <c r="L2095" s="83">
        <f t="shared" si="333"/>
        <v>0</v>
      </c>
      <c r="M2095" s="110" t="str">
        <f t="shared" si="334"/>
        <v/>
      </c>
      <c r="N2095" s="51" t="str">
        <f t="shared" si="335"/>
        <v/>
      </c>
      <c r="O2095" s="52" t="str">
        <f t="shared" si="336"/>
        <v/>
      </c>
      <c r="P2095" s="88">
        <f t="shared" si="337"/>
        <v>0</v>
      </c>
      <c r="Q2095" s="88">
        <f t="shared" si="338"/>
        <v>0</v>
      </c>
      <c r="R2095" s="88" t="e">
        <f>-IF(Tabla14[[#This Row],[DIAS HABILES O MORA]]&lt;0,(Tabla14[[#This Row],[VALOR PRESTAMO]]*Tabla14[[#This Row],[% INTERES ]]/30*U2095))+Tabla14[[#This Row],[VALOR CUOTAS]]</f>
        <v>#VALUE!</v>
      </c>
      <c r="S2095" s="88">
        <f>-IF(Tabla14[[#This Row],[DIAS HABILES O MORA]]&lt;0,(Tabla14[[#This Row],[VALOR PRESTAMO]]*Tabla14[[#This Row],[% INTERES ]]/30*U2095))</f>
        <v>0</v>
      </c>
      <c r="T2095" s="53" t="e">
        <f>Tabla14[[#This Row],[DEUDA CAPITAL]]+Tabla14[[#This Row],[INTERES  CUOTA]]</f>
        <v>#NUM!</v>
      </c>
      <c r="U2095" s="61" t="str">
        <f t="shared" si="339"/>
        <v/>
      </c>
    </row>
    <row r="2096" spans="9:21" ht="24.75" customHeight="1" x14ac:dyDescent="0.35">
      <c r="I2096" s="42">
        <f t="shared" si="330"/>
        <v>0</v>
      </c>
      <c r="J2096" s="65" t="e">
        <f t="shared" si="331"/>
        <v>#NUM!</v>
      </c>
      <c r="K2096" s="83" t="e">
        <f t="shared" si="332"/>
        <v>#NUM!</v>
      </c>
      <c r="L2096" s="83">
        <f t="shared" si="333"/>
        <v>0</v>
      </c>
      <c r="M2096" s="110" t="str">
        <f t="shared" si="334"/>
        <v/>
      </c>
      <c r="N2096" s="51" t="str">
        <f t="shared" si="335"/>
        <v/>
      </c>
      <c r="O2096" s="52" t="str">
        <f t="shared" si="336"/>
        <v/>
      </c>
      <c r="P2096" s="88">
        <f t="shared" si="337"/>
        <v>0</v>
      </c>
      <c r="Q2096" s="88">
        <f t="shared" si="338"/>
        <v>0</v>
      </c>
      <c r="R2096" s="88" t="e">
        <f>-IF(Tabla14[[#This Row],[DIAS HABILES O MORA]]&lt;0,(Tabla14[[#This Row],[VALOR PRESTAMO]]*Tabla14[[#This Row],[% INTERES ]]/30*U2096))+Tabla14[[#This Row],[VALOR CUOTAS]]</f>
        <v>#VALUE!</v>
      </c>
      <c r="S2096" s="88">
        <f>-IF(Tabla14[[#This Row],[DIAS HABILES O MORA]]&lt;0,(Tabla14[[#This Row],[VALOR PRESTAMO]]*Tabla14[[#This Row],[% INTERES ]]/30*U2096))</f>
        <v>0</v>
      </c>
      <c r="T2096" s="53" t="e">
        <f>Tabla14[[#This Row],[DEUDA CAPITAL]]+Tabla14[[#This Row],[INTERES  CUOTA]]</f>
        <v>#NUM!</v>
      </c>
      <c r="U2096" s="61" t="str">
        <f t="shared" si="339"/>
        <v/>
      </c>
    </row>
    <row r="2097" spans="9:21" ht="24.75" customHeight="1" x14ac:dyDescent="0.35">
      <c r="I2097" s="42">
        <f t="shared" si="330"/>
        <v>0</v>
      </c>
      <c r="J2097" s="65" t="e">
        <f t="shared" si="331"/>
        <v>#NUM!</v>
      </c>
      <c r="K2097" s="83" t="e">
        <f t="shared" si="332"/>
        <v>#NUM!</v>
      </c>
      <c r="L2097" s="83">
        <f t="shared" si="333"/>
        <v>0</v>
      </c>
      <c r="M2097" s="110" t="str">
        <f t="shared" si="334"/>
        <v/>
      </c>
      <c r="N2097" s="51" t="str">
        <f t="shared" si="335"/>
        <v/>
      </c>
      <c r="O2097" s="52" t="str">
        <f t="shared" si="336"/>
        <v/>
      </c>
      <c r="P2097" s="88">
        <f t="shared" si="337"/>
        <v>0</v>
      </c>
      <c r="Q2097" s="88">
        <f t="shared" si="338"/>
        <v>0</v>
      </c>
      <c r="R2097" s="88" t="e">
        <f>-IF(Tabla14[[#This Row],[DIAS HABILES O MORA]]&lt;0,(Tabla14[[#This Row],[VALOR PRESTAMO]]*Tabla14[[#This Row],[% INTERES ]]/30*U2097))+Tabla14[[#This Row],[VALOR CUOTAS]]</f>
        <v>#VALUE!</v>
      </c>
      <c r="S2097" s="88">
        <f>-IF(Tabla14[[#This Row],[DIAS HABILES O MORA]]&lt;0,(Tabla14[[#This Row],[VALOR PRESTAMO]]*Tabla14[[#This Row],[% INTERES ]]/30*U2097))</f>
        <v>0</v>
      </c>
      <c r="T2097" s="53" t="e">
        <f>Tabla14[[#This Row],[DEUDA CAPITAL]]+Tabla14[[#This Row],[INTERES  CUOTA]]</f>
        <v>#NUM!</v>
      </c>
      <c r="U2097" s="61" t="str">
        <f t="shared" si="339"/>
        <v/>
      </c>
    </row>
    <row r="2098" spans="9:21" ht="24.75" customHeight="1" x14ac:dyDescent="0.35">
      <c r="I2098" s="42">
        <f t="shared" si="330"/>
        <v>0</v>
      </c>
      <c r="J2098" s="65" t="e">
        <f t="shared" si="331"/>
        <v>#NUM!</v>
      </c>
      <c r="K2098" s="83" t="e">
        <f t="shared" si="332"/>
        <v>#NUM!</v>
      </c>
      <c r="L2098" s="83">
        <f t="shared" si="333"/>
        <v>0</v>
      </c>
      <c r="M2098" s="110" t="str">
        <f t="shared" si="334"/>
        <v/>
      </c>
      <c r="N2098" s="51" t="str">
        <f t="shared" si="335"/>
        <v/>
      </c>
      <c r="O2098" s="52" t="str">
        <f t="shared" si="336"/>
        <v/>
      </c>
      <c r="P2098" s="88">
        <f t="shared" si="337"/>
        <v>0</v>
      </c>
      <c r="Q2098" s="88">
        <f t="shared" si="338"/>
        <v>0</v>
      </c>
      <c r="R2098" s="88" t="e">
        <f>-IF(Tabla14[[#This Row],[DIAS HABILES O MORA]]&lt;0,(Tabla14[[#This Row],[VALOR PRESTAMO]]*Tabla14[[#This Row],[% INTERES ]]/30*U2098))+Tabla14[[#This Row],[VALOR CUOTAS]]</f>
        <v>#VALUE!</v>
      </c>
      <c r="S2098" s="88">
        <f>-IF(Tabla14[[#This Row],[DIAS HABILES O MORA]]&lt;0,(Tabla14[[#This Row],[VALOR PRESTAMO]]*Tabla14[[#This Row],[% INTERES ]]/30*U2098))</f>
        <v>0</v>
      </c>
      <c r="T2098" s="53" t="e">
        <f>Tabla14[[#This Row],[DEUDA CAPITAL]]+Tabla14[[#This Row],[INTERES  CUOTA]]</f>
        <v>#NUM!</v>
      </c>
      <c r="U2098" s="61" t="str">
        <f t="shared" si="339"/>
        <v/>
      </c>
    </row>
    <row r="2099" spans="9:21" ht="24.75" customHeight="1" x14ac:dyDescent="0.35">
      <c r="I2099" s="42">
        <f t="shared" si="330"/>
        <v>0</v>
      </c>
      <c r="J2099" s="65" t="e">
        <f t="shared" si="331"/>
        <v>#NUM!</v>
      </c>
      <c r="K2099" s="83" t="e">
        <f t="shared" si="332"/>
        <v>#NUM!</v>
      </c>
      <c r="L2099" s="83">
        <f t="shared" si="333"/>
        <v>0</v>
      </c>
      <c r="M2099" s="110" t="str">
        <f t="shared" si="334"/>
        <v/>
      </c>
      <c r="N2099" s="51" t="str">
        <f t="shared" si="335"/>
        <v/>
      </c>
      <c r="O2099" s="52" t="str">
        <f t="shared" si="336"/>
        <v/>
      </c>
      <c r="P2099" s="88">
        <f t="shared" si="337"/>
        <v>0</v>
      </c>
      <c r="Q2099" s="88">
        <f t="shared" si="338"/>
        <v>0</v>
      </c>
      <c r="R2099" s="88" t="e">
        <f>-IF(Tabla14[[#This Row],[DIAS HABILES O MORA]]&lt;0,(Tabla14[[#This Row],[VALOR PRESTAMO]]*Tabla14[[#This Row],[% INTERES ]]/30*U2099))+Tabla14[[#This Row],[VALOR CUOTAS]]</f>
        <v>#VALUE!</v>
      </c>
      <c r="S2099" s="88">
        <f>-IF(Tabla14[[#This Row],[DIAS HABILES O MORA]]&lt;0,(Tabla14[[#This Row],[VALOR PRESTAMO]]*Tabla14[[#This Row],[% INTERES ]]/30*U2099))</f>
        <v>0</v>
      </c>
      <c r="T2099" s="53" t="e">
        <f>Tabla14[[#This Row],[DEUDA CAPITAL]]+Tabla14[[#This Row],[INTERES  CUOTA]]</f>
        <v>#NUM!</v>
      </c>
      <c r="U2099" s="61" t="str">
        <f t="shared" si="339"/>
        <v/>
      </c>
    </row>
    <row r="2100" spans="9:21" ht="24.75" customHeight="1" x14ac:dyDescent="0.35">
      <c r="I2100" s="42">
        <f t="shared" si="330"/>
        <v>0</v>
      </c>
      <c r="J2100" s="65" t="e">
        <f t="shared" si="331"/>
        <v>#NUM!</v>
      </c>
      <c r="K2100" s="83" t="e">
        <f t="shared" si="332"/>
        <v>#NUM!</v>
      </c>
      <c r="L2100" s="83">
        <f t="shared" si="333"/>
        <v>0</v>
      </c>
      <c r="M2100" s="110" t="str">
        <f t="shared" si="334"/>
        <v/>
      </c>
      <c r="N2100" s="51" t="str">
        <f t="shared" si="335"/>
        <v/>
      </c>
      <c r="O2100" s="52" t="str">
        <f t="shared" si="336"/>
        <v/>
      </c>
      <c r="P2100" s="88">
        <f t="shared" si="337"/>
        <v>0</v>
      </c>
      <c r="Q2100" s="88">
        <f t="shared" si="338"/>
        <v>0</v>
      </c>
      <c r="R2100" s="88" t="e">
        <f>-IF(Tabla14[[#This Row],[DIAS HABILES O MORA]]&lt;0,(Tabla14[[#This Row],[VALOR PRESTAMO]]*Tabla14[[#This Row],[% INTERES ]]/30*U2100))+Tabla14[[#This Row],[VALOR CUOTAS]]</f>
        <v>#VALUE!</v>
      </c>
      <c r="S2100" s="88">
        <f>-IF(Tabla14[[#This Row],[DIAS HABILES O MORA]]&lt;0,(Tabla14[[#This Row],[VALOR PRESTAMO]]*Tabla14[[#This Row],[% INTERES ]]/30*U2100))</f>
        <v>0</v>
      </c>
      <c r="T2100" s="53" t="e">
        <f>Tabla14[[#This Row],[DEUDA CAPITAL]]+Tabla14[[#This Row],[INTERES  CUOTA]]</f>
        <v>#NUM!</v>
      </c>
      <c r="U2100" s="61" t="str">
        <f t="shared" si="339"/>
        <v/>
      </c>
    </row>
    <row r="2101" spans="9:21" ht="24.75" customHeight="1" x14ac:dyDescent="0.35">
      <c r="I2101" s="42">
        <f t="shared" si="330"/>
        <v>0</v>
      </c>
      <c r="J2101" s="65" t="e">
        <f t="shared" si="331"/>
        <v>#NUM!</v>
      </c>
      <c r="K2101" s="83" t="e">
        <f t="shared" si="332"/>
        <v>#NUM!</v>
      </c>
      <c r="L2101" s="83">
        <f t="shared" si="333"/>
        <v>0</v>
      </c>
      <c r="M2101" s="110" t="str">
        <f t="shared" si="334"/>
        <v/>
      </c>
      <c r="N2101" s="51" t="str">
        <f t="shared" si="335"/>
        <v/>
      </c>
      <c r="O2101" s="52" t="str">
        <f t="shared" si="336"/>
        <v/>
      </c>
      <c r="P2101" s="88">
        <f t="shared" si="337"/>
        <v>0</v>
      </c>
      <c r="Q2101" s="88">
        <f t="shared" si="338"/>
        <v>0</v>
      </c>
      <c r="R2101" s="88" t="e">
        <f>-IF(Tabla14[[#This Row],[DIAS HABILES O MORA]]&lt;0,(Tabla14[[#This Row],[VALOR PRESTAMO]]*Tabla14[[#This Row],[% INTERES ]]/30*U2101))+Tabla14[[#This Row],[VALOR CUOTAS]]</f>
        <v>#VALUE!</v>
      </c>
      <c r="S2101" s="88">
        <f>-IF(Tabla14[[#This Row],[DIAS HABILES O MORA]]&lt;0,(Tabla14[[#This Row],[VALOR PRESTAMO]]*Tabla14[[#This Row],[% INTERES ]]/30*U2101))</f>
        <v>0</v>
      </c>
      <c r="T2101" s="53" t="e">
        <f>Tabla14[[#This Row],[DEUDA CAPITAL]]+Tabla14[[#This Row],[INTERES  CUOTA]]</f>
        <v>#NUM!</v>
      </c>
      <c r="U2101" s="61" t="str">
        <f t="shared" si="339"/>
        <v/>
      </c>
    </row>
    <row r="2102" spans="9:21" ht="24.75" customHeight="1" x14ac:dyDescent="0.35">
      <c r="I2102" s="42">
        <f t="shared" si="330"/>
        <v>0</v>
      </c>
      <c r="J2102" s="65" t="e">
        <f t="shared" si="331"/>
        <v>#NUM!</v>
      </c>
      <c r="K2102" s="83" t="e">
        <f t="shared" si="332"/>
        <v>#NUM!</v>
      </c>
      <c r="L2102" s="83">
        <f t="shared" si="333"/>
        <v>0</v>
      </c>
      <c r="M2102" s="110" t="str">
        <f t="shared" si="334"/>
        <v/>
      </c>
      <c r="N2102" s="51" t="str">
        <f t="shared" si="335"/>
        <v/>
      </c>
      <c r="O2102" s="52" t="str">
        <f t="shared" si="336"/>
        <v/>
      </c>
      <c r="P2102" s="88">
        <f t="shared" si="337"/>
        <v>0</v>
      </c>
      <c r="Q2102" s="88">
        <f t="shared" si="338"/>
        <v>0</v>
      </c>
      <c r="R2102" s="88" t="e">
        <f>-IF(Tabla14[[#This Row],[DIAS HABILES O MORA]]&lt;0,(Tabla14[[#This Row],[VALOR PRESTAMO]]*Tabla14[[#This Row],[% INTERES ]]/30*U2102))+Tabla14[[#This Row],[VALOR CUOTAS]]</f>
        <v>#VALUE!</v>
      </c>
      <c r="S2102" s="88">
        <f>-IF(Tabla14[[#This Row],[DIAS HABILES O MORA]]&lt;0,(Tabla14[[#This Row],[VALOR PRESTAMO]]*Tabla14[[#This Row],[% INTERES ]]/30*U2102))</f>
        <v>0</v>
      </c>
      <c r="T2102" s="53" t="e">
        <f>Tabla14[[#This Row],[DEUDA CAPITAL]]+Tabla14[[#This Row],[INTERES  CUOTA]]</f>
        <v>#NUM!</v>
      </c>
      <c r="U2102" s="61" t="str">
        <f t="shared" si="339"/>
        <v/>
      </c>
    </row>
    <row r="2103" spans="9:21" ht="24.75" customHeight="1" x14ac:dyDescent="0.35">
      <c r="I2103" s="42">
        <f t="shared" si="330"/>
        <v>0</v>
      </c>
      <c r="J2103" s="65" t="e">
        <f t="shared" si="331"/>
        <v>#NUM!</v>
      </c>
      <c r="K2103" s="83" t="e">
        <f t="shared" si="332"/>
        <v>#NUM!</v>
      </c>
      <c r="L2103" s="83">
        <f t="shared" si="333"/>
        <v>0</v>
      </c>
      <c r="M2103" s="110" t="str">
        <f t="shared" si="334"/>
        <v/>
      </c>
      <c r="N2103" s="51" t="str">
        <f t="shared" si="335"/>
        <v/>
      </c>
      <c r="O2103" s="52" t="str">
        <f t="shared" si="336"/>
        <v/>
      </c>
      <c r="P2103" s="88">
        <f t="shared" si="337"/>
        <v>0</v>
      </c>
      <c r="Q2103" s="88">
        <f t="shared" si="338"/>
        <v>0</v>
      </c>
      <c r="R2103" s="88" t="e">
        <f>-IF(Tabla14[[#This Row],[DIAS HABILES O MORA]]&lt;0,(Tabla14[[#This Row],[VALOR PRESTAMO]]*Tabla14[[#This Row],[% INTERES ]]/30*U2103))+Tabla14[[#This Row],[VALOR CUOTAS]]</f>
        <v>#VALUE!</v>
      </c>
      <c r="S2103" s="88">
        <f>-IF(Tabla14[[#This Row],[DIAS HABILES O MORA]]&lt;0,(Tabla14[[#This Row],[VALOR PRESTAMO]]*Tabla14[[#This Row],[% INTERES ]]/30*U2103))</f>
        <v>0</v>
      </c>
      <c r="T2103" s="53" t="e">
        <f>Tabla14[[#This Row],[DEUDA CAPITAL]]+Tabla14[[#This Row],[INTERES  CUOTA]]</f>
        <v>#NUM!</v>
      </c>
      <c r="U2103" s="61" t="str">
        <f t="shared" si="339"/>
        <v/>
      </c>
    </row>
    <row r="2104" spans="9:21" ht="24.75" customHeight="1" x14ac:dyDescent="0.35">
      <c r="I2104" s="42">
        <f t="shared" si="330"/>
        <v>0</v>
      </c>
      <c r="J2104" s="65" t="e">
        <f t="shared" si="331"/>
        <v>#NUM!</v>
      </c>
      <c r="K2104" s="83" t="e">
        <f t="shared" si="332"/>
        <v>#NUM!</v>
      </c>
      <c r="L2104" s="83">
        <f t="shared" si="333"/>
        <v>0</v>
      </c>
      <c r="M2104" s="110" t="str">
        <f t="shared" si="334"/>
        <v/>
      </c>
      <c r="N2104" s="51" t="str">
        <f t="shared" si="335"/>
        <v/>
      </c>
      <c r="O2104" s="52" t="str">
        <f t="shared" si="336"/>
        <v/>
      </c>
      <c r="P2104" s="88">
        <f t="shared" si="337"/>
        <v>0</v>
      </c>
      <c r="Q2104" s="88">
        <f t="shared" si="338"/>
        <v>0</v>
      </c>
      <c r="R2104" s="88" t="e">
        <f>-IF(Tabla14[[#This Row],[DIAS HABILES O MORA]]&lt;0,(Tabla14[[#This Row],[VALOR PRESTAMO]]*Tabla14[[#This Row],[% INTERES ]]/30*U2104))+Tabla14[[#This Row],[VALOR CUOTAS]]</f>
        <v>#VALUE!</v>
      </c>
      <c r="S2104" s="88">
        <f>-IF(Tabla14[[#This Row],[DIAS HABILES O MORA]]&lt;0,(Tabla14[[#This Row],[VALOR PRESTAMO]]*Tabla14[[#This Row],[% INTERES ]]/30*U2104))</f>
        <v>0</v>
      </c>
      <c r="T2104" s="53" t="e">
        <f>Tabla14[[#This Row],[DEUDA CAPITAL]]+Tabla14[[#This Row],[INTERES  CUOTA]]</f>
        <v>#NUM!</v>
      </c>
      <c r="U2104" s="61" t="str">
        <f t="shared" si="339"/>
        <v/>
      </c>
    </row>
    <row r="2105" spans="9:21" ht="24.75" customHeight="1" x14ac:dyDescent="0.35">
      <c r="I2105" s="42">
        <f t="shared" si="330"/>
        <v>0</v>
      </c>
      <c r="J2105" s="65" t="e">
        <f t="shared" si="331"/>
        <v>#NUM!</v>
      </c>
      <c r="K2105" s="83" t="e">
        <f t="shared" si="332"/>
        <v>#NUM!</v>
      </c>
      <c r="L2105" s="83">
        <f t="shared" si="333"/>
        <v>0</v>
      </c>
      <c r="M2105" s="110" t="str">
        <f t="shared" si="334"/>
        <v/>
      </c>
      <c r="N2105" s="51" t="str">
        <f t="shared" si="335"/>
        <v/>
      </c>
      <c r="O2105" s="52" t="str">
        <f t="shared" si="336"/>
        <v/>
      </c>
      <c r="P2105" s="88">
        <f t="shared" si="337"/>
        <v>0</v>
      </c>
      <c r="Q2105" s="88">
        <f t="shared" si="338"/>
        <v>0</v>
      </c>
      <c r="R2105" s="88" t="e">
        <f>-IF(Tabla14[[#This Row],[DIAS HABILES O MORA]]&lt;0,(Tabla14[[#This Row],[VALOR PRESTAMO]]*Tabla14[[#This Row],[% INTERES ]]/30*U2105))+Tabla14[[#This Row],[VALOR CUOTAS]]</f>
        <v>#VALUE!</v>
      </c>
      <c r="S2105" s="88">
        <f>-IF(Tabla14[[#This Row],[DIAS HABILES O MORA]]&lt;0,(Tabla14[[#This Row],[VALOR PRESTAMO]]*Tabla14[[#This Row],[% INTERES ]]/30*U2105))</f>
        <v>0</v>
      </c>
      <c r="T2105" s="53" t="e">
        <f>Tabla14[[#This Row],[DEUDA CAPITAL]]+Tabla14[[#This Row],[INTERES  CUOTA]]</f>
        <v>#NUM!</v>
      </c>
      <c r="U2105" s="61" t="str">
        <f t="shared" si="339"/>
        <v/>
      </c>
    </row>
    <row r="2106" spans="9:21" ht="24.75" customHeight="1" x14ac:dyDescent="0.35">
      <c r="I2106" s="42">
        <f t="shared" si="330"/>
        <v>0</v>
      </c>
      <c r="J2106" s="65" t="e">
        <f t="shared" si="331"/>
        <v>#NUM!</v>
      </c>
      <c r="K2106" s="83" t="e">
        <f t="shared" si="332"/>
        <v>#NUM!</v>
      </c>
      <c r="L2106" s="83">
        <f t="shared" si="333"/>
        <v>0</v>
      </c>
      <c r="M2106" s="110" t="str">
        <f t="shared" si="334"/>
        <v/>
      </c>
      <c r="N2106" s="51" t="str">
        <f t="shared" si="335"/>
        <v/>
      </c>
      <c r="O2106" s="52" t="str">
        <f t="shared" si="336"/>
        <v/>
      </c>
      <c r="P2106" s="88">
        <f t="shared" si="337"/>
        <v>0</v>
      </c>
      <c r="Q2106" s="88">
        <f t="shared" si="338"/>
        <v>0</v>
      </c>
      <c r="R2106" s="88" t="e">
        <f>-IF(Tabla14[[#This Row],[DIAS HABILES O MORA]]&lt;0,(Tabla14[[#This Row],[VALOR PRESTAMO]]*Tabla14[[#This Row],[% INTERES ]]/30*U2106))+Tabla14[[#This Row],[VALOR CUOTAS]]</f>
        <v>#VALUE!</v>
      </c>
      <c r="S2106" s="88">
        <f>-IF(Tabla14[[#This Row],[DIAS HABILES O MORA]]&lt;0,(Tabla14[[#This Row],[VALOR PRESTAMO]]*Tabla14[[#This Row],[% INTERES ]]/30*U2106))</f>
        <v>0</v>
      </c>
      <c r="T2106" s="53" t="e">
        <f>Tabla14[[#This Row],[DEUDA CAPITAL]]+Tabla14[[#This Row],[INTERES  CUOTA]]</f>
        <v>#NUM!</v>
      </c>
      <c r="U2106" s="61" t="str">
        <f t="shared" si="339"/>
        <v/>
      </c>
    </row>
    <row r="2107" spans="9:21" ht="24.75" customHeight="1" x14ac:dyDescent="0.35">
      <c r="I2107" s="42">
        <f t="shared" si="330"/>
        <v>0</v>
      </c>
      <c r="J2107" s="65" t="e">
        <f t="shared" si="331"/>
        <v>#NUM!</v>
      </c>
      <c r="K2107" s="83" t="e">
        <f t="shared" si="332"/>
        <v>#NUM!</v>
      </c>
      <c r="L2107" s="83">
        <f t="shared" si="333"/>
        <v>0</v>
      </c>
      <c r="M2107" s="110" t="str">
        <f t="shared" si="334"/>
        <v/>
      </c>
      <c r="N2107" s="51" t="str">
        <f t="shared" si="335"/>
        <v/>
      </c>
      <c r="O2107" s="52" t="str">
        <f t="shared" si="336"/>
        <v/>
      </c>
      <c r="P2107" s="88">
        <f t="shared" si="337"/>
        <v>0</v>
      </c>
      <c r="Q2107" s="88">
        <f t="shared" si="338"/>
        <v>0</v>
      </c>
      <c r="R2107" s="88" t="e">
        <f>-IF(Tabla14[[#This Row],[DIAS HABILES O MORA]]&lt;0,(Tabla14[[#This Row],[VALOR PRESTAMO]]*Tabla14[[#This Row],[% INTERES ]]/30*U2107))+Tabla14[[#This Row],[VALOR CUOTAS]]</f>
        <v>#VALUE!</v>
      </c>
      <c r="S2107" s="88">
        <f>-IF(Tabla14[[#This Row],[DIAS HABILES O MORA]]&lt;0,(Tabla14[[#This Row],[VALOR PRESTAMO]]*Tabla14[[#This Row],[% INTERES ]]/30*U2107))</f>
        <v>0</v>
      </c>
      <c r="T2107" s="53" t="e">
        <f>Tabla14[[#This Row],[DEUDA CAPITAL]]+Tabla14[[#This Row],[INTERES  CUOTA]]</f>
        <v>#NUM!</v>
      </c>
      <c r="U2107" s="61" t="str">
        <f t="shared" si="339"/>
        <v/>
      </c>
    </row>
    <row r="2108" spans="9:21" ht="24.75" customHeight="1" x14ac:dyDescent="0.35">
      <c r="I2108" s="42">
        <f t="shared" si="330"/>
        <v>0</v>
      </c>
      <c r="J2108" s="65" t="e">
        <f t="shared" si="331"/>
        <v>#NUM!</v>
      </c>
      <c r="K2108" s="83" t="e">
        <f t="shared" si="332"/>
        <v>#NUM!</v>
      </c>
      <c r="L2108" s="83">
        <f t="shared" si="333"/>
        <v>0</v>
      </c>
      <c r="M2108" s="110" t="str">
        <f t="shared" si="334"/>
        <v/>
      </c>
      <c r="N2108" s="51" t="str">
        <f t="shared" si="335"/>
        <v/>
      </c>
      <c r="O2108" s="52" t="str">
        <f t="shared" si="336"/>
        <v/>
      </c>
      <c r="P2108" s="88">
        <f t="shared" si="337"/>
        <v>0</v>
      </c>
      <c r="Q2108" s="88">
        <f t="shared" si="338"/>
        <v>0</v>
      </c>
      <c r="R2108" s="88" t="e">
        <f>-IF(Tabla14[[#This Row],[DIAS HABILES O MORA]]&lt;0,(Tabla14[[#This Row],[VALOR PRESTAMO]]*Tabla14[[#This Row],[% INTERES ]]/30*U2108))+Tabla14[[#This Row],[VALOR CUOTAS]]</f>
        <v>#VALUE!</v>
      </c>
      <c r="S2108" s="88">
        <f>-IF(Tabla14[[#This Row],[DIAS HABILES O MORA]]&lt;0,(Tabla14[[#This Row],[VALOR PRESTAMO]]*Tabla14[[#This Row],[% INTERES ]]/30*U2108))</f>
        <v>0</v>
      </c>
      <c r="T2108" s="53" t="e">
        <f>Tabla14[[#This Row],[DEUDA CAPITAL]]+Tabla14[[#This Row],[INTERES  CUOTA]]</f>
        <v>#NUM!</v>
      </c>
      <c r="U2108" s="61" t="str">
        <f t="shared" si="339"/>
        <v/>
      </c>
    </row>
    <row r="2109" spans="9:21" ht="24.75" customHeight="1" x14ac:dyDescent="0.35">
      <c r="I2109" s="42">
        <f t="shared" si="330"/>
        <v>0</v>
      </c>
      <c r="J2109" s="65" t="e">
        <f t="shared" si="331"/>
        <v>#NUM!</v>
      </c>
      <c r="K2109" s="83" t="e">
        <f t="shared" si="332"/>
        <v>#NUM!</v>
      </c>
      <c r="L2109" s="83">
        <f t="shared" si="333"/>
        <v>0</v>
      </c>
      <c r="M2109" s="110" t="str">
        <f t="shared" si="334"/>
        <v/>
      </c>
      <c r="N2109" s="51" t="str">
        <f t="shared" si="335"/>
        <v/>
      </c>
      <c r="O2109" s="52" t="str">
        <f t="shared" si="336"/>
        <v/>
      </c>
      <c r="P2109" s="88">
        <f t="shared" si="337"/>
        <v>0</v>
      </c>
      <c r="Q2109" s="88">
        <f t="shared" si="338"/>
        <v>0</v>
      </c>
      <c r="R2109" s="88" t="e">
        <f>-IF(Tabla14[[#This Row],[DIAS HABILES O MORA]]&lt;0,(Tabla14[[#This Row],[VALOR PRESTAMO]]*Tabla14[[#This Row],[% INTERES ]]/30*U2109))+Tabla14[[#This Row],[VALOR CUOTAS]]</f>
        <v>#VALUE!</v>
      </c>
      <c r="S2109" s="88">
        <f>-IF(Tabla14[[#This Row],[DIAS HABILES O MORA]]&lt;0,(Tabla14[[#This Row],[VALOR PRESTAMO]]*Tabla14[[#This Row],[% INTERES ]]/30*U2109))</f>
        <v>0</v>
      </c>
      <c r="T2109" s="53" t="e">
        <f>Tabla14[[#This Row],[DEUDA CAPITAL]]+Tabla14[[#This Row],[INTERES  CUOTA]]</f>
        <v>#NUM!</v>
      </c>
      <c r="U2109" s="61" t="str">
        <f t="shared" si="339"/>
        <v/>
      </c>
    </row>
    <row r="2110" spans="9:21" ht="24.75" customHeight="1" x14ac:dyDescent="0.35">
      <c r="I2110" s="42">
        <f t="shared" si="330"/>
        <v>0</v>
      </c>
      <c r="J2110" s="65" t="e">
        <f t="shared" si="331"/>
        <v>#NUM!</v>
      </c>
      <c r="K2110" s="83" t="e">
        <f t="shared" si="332"/>
        <v>#NUM!</v>
      </c>
      <c r="L2110" s="83">
        <f t="shared" si="333"/>
        <v>0</v>
      </c>
      <c r="M2110" s="110" t="str">
        <f t="shared" si="334"/>
        <v/>
      </c>
      <c r="N2110" s="51" t="str">
        <f t="shared" si="335"/>
        <v/>
      </c>
      <c r="O2110" s="52" t="str">
        <f t="shared" si="336"/>
        <v/>
      </c>
      <c r="P2110" s="88">
        <f t="shared" si="337"/>
        <v>0</v>
      </c>
      <c r="Q2110" s="88">
        <f t="shared" si="338"/>
        <v>0</v>
      </c>
      <c r="R2110" s="88" t="e">
        <f>-IF(Tabla14[[#This Row],[DIAS HABILES O MORA]]&lt;0,(Tabla14[[#This Row],[VALOR PRESTAMO]]*Tabla14[[#This Row],[% INTERES ]]/30*U2110))+Tabla14[[#This Row],[VALOR CUOTAS]]</f>
        <v>#VALUE!</v>
      </c>
      <c r="S2110" s="88">
        <f>-IF(Tabla14[[#This Row],[DIAS HABILES O MORA]]&lt;0,(Tabla14[[#This Row],[VALOR PRESTAMO]]*Tabla14[[#This Row],[% INTERES ]]/30*U2110))</f>
        <v>0</v>
      </c>
      <c r="T2110" s="53" t="e">
        <f>Tabla14[[#This Row],[DEUDA CAPITAL]]+Tabla14[[#This Row],[INTERES  CUOTA]]</f>
        <v>#NUM!</v>
      </c>
      <c r="U2110" s="61" t="str">
        <f t="shared" si="339"/>
        <v/>
      </c>
    </row>
    <row r="2111" spans="9:21" ht="24.75" customHeight="1" x14ac:dyDescent="0.35">
      <c r="I2111" s="42">
        <f t="shared" si="330"/>
        <v>0</v>
      </c>
      <c r="J2111" s="65" t="e">
        <f t="shared" si="331"/>
        <v>#NUM!</v>
      </c>
      <c r="K2111" s="83" t="e">
        <f t="shared" si="332"/>
        <v>#NUM!</v>
      </c>
      <c r="L2111" s="83">
        <f t="shared" si="333"/>
        <v>0</v>
      </c>
      <c r="M2111" s="110" t="str">
        <f t="shared" si="334"/>
        <v/>
      </c>
      <c r="N2111" s="51" t="str">
        <f t="shared" si="335"/>
        <v/>
      </c>
      <c r="O2111" s="52" t="str">
        <f t="shared" si="336"/>
        <v/>
      </c>
      <c r="P2111" s="88">
        <f t="shared" si="337"/>
        <v>0</v>
      </c>
      <c r="Q2111" s="88">
        <f t="shared" si="338"/>
        <v>0</v>
      </c>
      <c r="R2111" s="88" t="e">
        <f>-IF(Tabla14[[#This Row],[DIAS HABILES O MORA]]&lt;0,(Tabla14[[#This Row],[VALOR PRESTAMO]]*Tabla14[[#This Row],[% INTERES ]]/30*U2111))+Tabla14[[#This Row],[VALOR CUOTAS]]</f>
        <v>#VALUE!</v>
      </c>
      <c r="S2111" s="88">
        <f>-IF(Tabla14[[#This Row],[DIAS HABILES O MORA]]&lt;0,(Tabla14[[#This Row],[VALOR PRESTAMO]]*Tabla14[[#This Row],[% INTERES ]]/30*U2111))</f>
        <v>0</v>
      </c>
      <c r="T2111" s="53" t="e">
        <f>Tabla14[[#This Row],[DEUDA CAPITAL]]+Tabla14[[#This Row],[INTERES  CUOTA]]</f>
        <v>#NUM!</v>
      </c>
      <c r="U2111" s="61" t="str">
        <f t="shared" si="339"/>
        <v/>
      </c>
    </row>
    <row r="2112" spans="9:21" ht="24.75" customHeight="1" x14ac:dyDescent="0.35">
      <c r="I2112" s="42">
        <f t="shared" si="330"/>
        <v>0</v>
      </c>
      <c r="J2112" s="65" t="e">
        <f t="shared" si="331"/>
        <v>#NUM!</v>
      </c>
      <c r="K2112" s="83" t="e">
        <f t="shared" si="332"/>
        <v>#NUM!</v>
      </c>
      <c r="L2112" s="83">
        <f t="shared" si="333"/>
        <v>0</v>
      </c>
      <c r="M2112" s="110" t="str">
        <f t="shared" si="334"/>
        <v/>
      </c>
      <c r="N2112" s="51" t="str">
        <f t="shared" si="335"/>
        <v/>
      </c>
      <c r="O2112" s="52" t="str">
        <f t="shared" si="336"/>
        <v/>
      </c>
      <c r="P2112" s="88">
        <f t="shared" si="337"/>
        <v>0</v>
      </c>
      <c r="Q2112" s="88">
        <f t="shared" si="338"/>
        <v>0</v>
      </c>
      <c r="R2112" s="88" t="e">
        <f>-IF(Tabla14[[#This Row],[DIAS HABILES O MORA]]&lt;0,(Tabla14[[#This Row],[VALOR PRESTAMO]]*Tabla14[[#This Row],[% INTERES ]]/30*U2112))+Tabla14[[#This Row],[VALOR CUOTAS]]</f>
        <v>#VALUE!</v>
      </c>
      <c r="S2112" s="88">
        <f>-IF(Tabla14[[#This Row],[DIAS HABILES O MORA]]&lt;0,(Tabla14[[#This Row],[VALOR PRESTAMO]]*Tabla14[[#This Row],[% INTERES ]]/30*U2112))</f>
        <v>0</v>
      </c>
      <c r="T2112" s="53" t="e">
        <f>Tabla14[[#This Row],[DEUDA CAPITAL]]+Tabla14[[#This Row],[INTERES  CUOTA]]</f>
        <v>#NUM!</v>
      </c>
      <c r="U2112" s="61" t="str">
        <f t="shared" si="339"/>
        <v/>
      </c>
    </row>
    <row r="2113" spans="9:21" ht="24.75" customHeight="1" x14ac:dyDescent="0.35">
      <c r="I2113" s="42">
        <f t="shared" si="330"/>
        <v>0</v>
      </c>
      <c r="J2113" s="65" t="e">
        <f t="shared" si="331"/>
        <v>#NUM!</v>
      </c>
      <c r="K2113" s="83" t="e">
        <f t="shared" si="332"/>
        <v>#NUM!</v>
      </c>
      <c r="L2113" s="83">
        <f t="shared" si="333"/>
        <v>0</v>
      </c>
      <c r="M2113" s="110" t="str">
        <f t="shared" si="334"/>
        <v/>
      </c>
      <c r="N2113" s="51" t="str">
        <f t="shared" si="335"/>
        <v/>
      </c>
      <c r="O2113" s="52" t="str">
        <f t="shared" si="336"/>
        <v/>
      </c>
      <c r="P2113" s="88">
        <f t="shared" si="337"/>
        <v>0</v>
      </c>
      <c r="Q2113" s="88">
        <f t="shared" si="338"/>
        <v>0</v>
      </c>
      <c r="R2113" s="88" t="e">
        <f>-IF(Tabla14[[#This Row],[DIAS HABILES O MORA]]&lt;0,(Tabla14[[#This Row],[VALOR PRESTAMO]]*Tabla14[[#This Row],[% INTERES ]]/30*U2113))+Tabla14[[#This Row],[VALOR CUOTAS]]</f>
        <v>#VALUE!</v>
      </c>
      <c r="S2113" s="88">
        <f>-IF(Tabla14[[#This Row],[DIAS HABILES O MORA]]&lt;0,(Tabla14[[#This Row],[VALOR PRESTAMO]]*Tabla14[[#This Row],[% INTERES ]]/30*U2113))</f>
        <v>0</v>
      </c>
      <c r="T2113" s="53" t="e">
        <f>Tabla14[[#This Row],[DEUDA CAPITAL]]+Tabla14[[#This Row],[INTERES  CUOTA]]</f>
        <v>#NUM!</v>
      </c>
      <c r="U2113" s="61" t="str">
        <f t="shared" si="339"/>
        <v/>
      </c>
    </row>
    <row r="2114" spans="9:21" ht="24.75" customHeight="1" x14ac:dyDescent="0.35">
      <c r="I2114" s="42">
        <f t="shared" si="330"/>
        <v>0</v>
      </c>
      <c r="J2114" s="65" t="e">
        <f t="shared" si="331"/>
        <v>#NUM!</v>
      </c>
      <c r="K2114" s="83" t="e">
        <f t="shared" si="332"/>
        <v>#NUM!</v>
      </c>
      <c r="L2114" s="83">
        <f t="shared" si="333"/>
        <v>0</v>
      </c>
      <c r="M2114" s="110" t="str">
        <f t="shared" si="334"/>
        <v/>
      </c>
      <c r="N2114" s="51" t="str">
        <f t="shared" si="335"/>
        <v/>
      </c>
      <c r="O2114" s="52" t="str">
        <f t="shared" si="336"/>
        <v/>
      </c>
      <c r="P2114" s="88">
        <f t="shared" si="337"/>
        <v>0</v>
      </c>
      <c r="Q2114" s="88">
        <f t="shared" si="338"/>
        <v>0</v>
      </c>
      <c r="R2114" s="88" t="e">
        <f>-IF(Tabla14[[#This Row],[DIAS HABILES O MORA]]&lt;0,(Tabla14[[#This Row],[VALOR PRESTAMO]]*Tabla14[[#This Row],[% INTERES ]]/30*U2114))+Tabla14[[#This Row],[VALOR CUOTAS]]</f>
        <v>#VALUE!</v>
      </c>
      <c r="S2114" s="88">
        <f>-IF(Tabla14[[#This Row],[DIAS HABILES O MORA]]&lt;0,(Tabla14[[#This Row],[VALOR PRESTAMO]]*Tabla14[[#This Row],[% INTERES ]]/30*U2114))</f>
        <v>0</v>
      </c>
      <c r="T2114" s="53" t="e">
        <f>Tabla14[[#This Row],[DEUDA CAPITAL]]+Tabla14[[#This Row],[INTERES  CUOTA]]</f>
        <v>#NUM!</v>
      </c>
      <c r="U2114" s="61" t="str">
        <f t="shared" si="339"/>
        <v/>
      </c>
    </row>
    <row r="2115" spans="9:21" ht="24.75" customHeight="1" x14ac:dyDescent="0.35">
      <c r="I2115" s="42">
        <f t="shared" si="330"/>
        <v>0</v>
      </c>
      <c r="J2115" s="65" t="e">
        <f t="shared" si="331"/>
        <v>#NUM!</v>
      </c>
      <c r="K2115" s="83" t="e">
        <f t="shared" si="332"/>
        <v>#NUM!</v>
      </c>
      <c r="L2115" s="83">
        <f t="shared" si="333"/>
        <v>0</v>
      </c>
      <c r="M2115" s="110" t="str">
        <f t="shared" si="334"/>
        <v/>
      </c>
      <c r="N2115" s="51" t="str">
        <f t="shared" si="335"/>
        <v/>
      </c>
      <c r="O2115" s="52" t="str">
        <f t="shared" si="336"/>
        <v/>
      </c>
      <c r="P2115" s="88">
        <f t="shared" si="337"/>
        <v>0</v>
      </c>
      <c r="Q2115" s="88">
        <f t="shared" si="338"/>
        <v>0</v>
      </c>
      <c r="R2115" s="88" t="e">
        <f>-IF(Tabla14[[#This Row],[DIAS HABILES O MORA]]&lt;0,(Tabla14[[#This Row],[VALOR PRESTAMO]]*Tabla14[[#This Row],[% INTERES ]]/30*U2115))+Tabla14[[#This Row],[VALOR CUOTAS]]</f>
        <v>#VALUE!</v>
      </c>
      <c r="S2115" s="88">
        <f>-IF(Tabla14[[#This Row],[DIAS HABILES O MORA]]&lt;0,(Tabla14[[#This Row],[VALOR PRESTAMO]]*Tabla14[[#This Row],[% INTERES ]]/30*U2115))</f>
        <v>0</v>
      </c>
      <c r="T2115" s="53" t="e">
        <f>Tabla14[[#This Row],[DEUDA CAPITAL]]+Tabla14[[#This Row],[INTERES  CUOTA]]</f>
        <v>#NUM!</v>
      </c>
      <c r="U2115" s="61" t="str">
        <f t="shared" si="339"/>
        <v/>
      </c>
    </row>
    <row r="2116" spans="9:21" ht="24.75" customHeight="1" x14ac:dyDescent="0.35">
      <c r="I2116" s="42">
        <f t="shared" si="330"/>
        <v>0</v>
      </c>
      <c r="J2116" s="65" t="e">
        <f t="shared" si="331"/>
        <v>#NUM!</v>
      </c>
      <c r="K2116" s="83" t="e">
        <f t="shared" si="332"/>
        <v>#NUM!</v>
      </c>
      <c r="L2116" s="83">
        <f t="shared" si="333"/>
        <v>0</v>
      </c>
      <c r="M2116" s="110" t="str">
        <f t="shared" si="334"/>
        <v/>
      </c>
      <c r="N2116" s="51" t="str">
        <f t="shared" si="335"/>
        <v/>
      </c>
      <c r="O2116" s="52" t="str">
        <f t="shared" si="336"/>
        <v/>
      </c>
      <c r="P2116" s="88">
        <f t="shared" si="337"/>
        <v>0</v>
      </c>
      <c r="Q2116" s="88">
        <f t="shared" si="338"/>
        <v>0</v>
      </c>
      <c r="R2116" s="88" t="e">
        <f>-IF(Tabla14[[#This Row],[DIAS HABILES O MORA]]&lt;0,(Tabla14[[#This Row],[VALOR PRESTAMO]]*Tabla14[[#This Row],[% INTERES ]]/30*U2116))+Tabla14[[#This Row],[VALOR CUOTAS]]</f>
        <v>#VALUE!</v>
      </c>
      <c r="S2116" s="88">
        <f>-IF(Tabla14[[#This Row],[DIAS HABILES O MORA]]&lt;0,(Tabla14[[#This Row],[VALOR PRESTAMO]]*Tabla14[[#This Row],[% INTERES ]]/30*U2116))</f>
        <v>0</v>
      </c>
      <c r="T2116" s="53" t="e">
        <f>Tabla14[[#This Row],[DEUDA CAPITAL]]+Tabla14[[#This Row],[INTERES  CUOTA]]</f>
        <v>#NUM!</v>
      </c>
      <c r="U2116" s="61" t="str">
        <f t="shared" si="339"/>
        <v/>
      </c>
    </row>
    <row r="2117" spans="9:21" ht="24.75" customHeight="1" x14ac:dyDescent="0.35">
      <c r="I2117" s="42">
        <f t="shared" si="330"/>
        <v>0</v>
      </c>
      <c r="J2117" s="65" t="e">
        <f t="shared" si="331"/>
        <v>#NUM!</v>
      </c>
      <c r="K2117" s="83" t="e">
        <f t="shared" si="332"/>
        <v>#NUM!</v>
      </c>
      <c r="L2117" s="83">
        <f t="shared" si="333"/>
        <v>0</v>
      </c>
      <c r="M2117" s="110" t="str">
        <f t="shared" si="334"/>
        <v/>
      </c>
      <c r="N2117" s="51" t="str">
        <f t="shared" si="335"/>
        <v/>
      </c>
      <c r="O2117" s="52" t="str">
        <f t="shared" si="336"/>
        <v/>
      </c>
      <c r="P2117" s="88">
        <f t="shared" si="337"/>
        <v>0</v>
      </c>
      <c r="Q2117" s="88">
        <f t="shared" si="338"/>
        <v>0</v>
      </c>
      <c r="R2117" s="88" t="e">
        <f>-IF(Tabla14[[#This Row],[DIAS HABILES O MORA]]&lt;0,(Tabla14[[#This Row],[VALOR PRESTAMO]]*Tabla14[[#This Row],[% INTERES ]]/30*U2117))+Tabla14[[#This Row],[VALOR CUOTAS]]</f>
        <v>#VALUE!</v>
      </c>
      <c r="S2117" s="88">
        <f>-IF(Tabla14[[#This Row],[DIAS HABILES O MORA]]&lt;0,(Tabla14[[#This Row],[VALOR PRESTAMO]]*Tabla14[[#This Row],[% INTERES ]]/30*U2117))</f>
        <v>0</v>
      </c>
      <c r="T2117" s="53" t="e">
        <f>Tabla14[[#This Row],[DEUDA CAPITAL]]+Tabla14[[#This Row],[INTERES  CUOTA]]</f>
        <v>#NUM!</v>
      </c>
      <c r="U2117" s="61" t="str">
        <f t="shared" si="339"/>
        <v/>
      </c>
    </row>
    <row r="2118" spans="9:21" ht="24.75" customHeight="1" x14ac:dyDescent="0.35">
      <c r="I2118" s="42">
        <f t="shared" si="330"/>
        <v>0</v>
      </c>
      <c r="J2118" s="65" t="e">
        <f t="shared" si="331"/>
        <v>#NUM!</v>
      </c>
      <c r="K2118" s="83" t="e">
        <f t="shared" si="332"/>
        <v>#NUM!</v>
      </c>
      <c r="L2118" s="83">
        <f t="shared" si="333"/>
        <v>0</v>
      </c>
      <c r="M2118" s="110" t="str">
        <f t="shared" si="334"/>
        <v/>
      </c>
      <c r="N2118" s="51" t="str">
        <f t="shared" si="335"/>
        <v/>
      </c>
      <c r="O2118" s="52" t="str">
        <f t="shared" si="336"/>
        <v/>
      </c>
      <c r="P2118" s="88">
        <f t="shared" si="337"/>
        <v>0</v>
      </c>
      <c r="Q2118" s="88">
        <f t="shared" si="338"/>
        <v>0</v>
      </c>
      <c r="R2118" s="88" t="e">
        <f>-IF(Tabla14[[#This Row],[DIAS HABILES O MORA]]&lt;0,(Tabla14[[#This Row],[VALOR PRESTAMO]]*Tabla14[[#This Row],[% INTERES ]]/30*U2118))+Tabla14[[#This Row],[VALOR CUOTAS]]</f>
        <v>#VALUE!</v>
      </c>
      <c r="S2118" s="88">
        <f>-IF(Tabla14[[#This Row],[DIAS HABILES O MORA]]&lt;0,(Tabla14[[#This Row],[VALOR PRESTAMO]]*Tabla14[[#This Row],[% INTERES ]]/30*U2118))</f>
        <v>0</v>
      </c>
      <c r="T2118" s="53" t="e">
        <f>Tabla14[[#This Row],[DEUDA CAPITAL]]+Tabla14[[#This Row],[INTERES  CUOTA]]</f>
        <v>#NUM!</v>
      </c>
      <c r="U2118" s="61" t="str">
        <f t="shared" si="339"/>
        <v/>
      </c>
    </row>
    <row r="2119" spans="9:21" ht="24.75" customHeight="1" x14ac:dyDescent="0.35">
      <c r="I2119" s="42">
        <f t="shared" si="330"/>
        <v>0</v>
      </c>
      <c r="J2119" s="65" t="e">
        <f t="shared" si="331"/>
        <v>#NUM!</v>
      </c>
      <c r="K2119" s="83" t="e">
        <f t="shared" si="332"/>
        <v>#NUM!</v>
      </c>
      <c r="L2119" s="83">
        <f t="shared" si="333"/>
        <v>0</v>
      </c>
      <c r="M2119" s="110" t="str">
        <f t="shared" si="334"/>
        <v/>
      </c>
      <c r="N2119" s="51" t="str">
        <f t="shared" si="335"/>
        <v/>
      </c>
      <c r="O2119" s="52" t="str">
        <f t="shared" si="336"/>
        <v/>
      </c>
      <c r="P2119" s="88">
        <f t="shared" si="337"/>
        <v>0</v>
      </c>
      <c r="Q2119" s="88">
        <f t="shared" si="338"/>
        <v>0</v>
      </c>
      <c r="R2119" s="88" t="e">
        <f>-IF(Tabla14[[#This Row],[DIAS HABILES O MORA]]&lt;0,(Tabla14[[#This Row],[VALOR PRESTAMO]]*Tabla14[[#This Row],[% INTERES ]]/30*U2119))+Tabla14[[#This Row],[VALOR CUOTAS]]</f>
        <v>#VALUE!</v>
      </c>
      <c r="S2119" s="88">
        <f>-IF(Tabla14[[#This Row],[DIAS HABILES O MORA]]&lt;0,(Tabla14[[#This Row],[VALOR PRESTAMO]]*Tabla14[[#This Row],[% INTERES ]]/30*U2119))</f>
        <v>0</v>
      </c>
      <c r="T2119" s="53" t="e">
        <f>Tabla14[[#This Row],[DEUDA CAPITAL]]+Tabla14[[#This Row],[INTERES  CUOTA]]</f>
        <v>#NUM!</v>
      </c>
      <c r="U2119" s="61" t="str">
        <f t="shared" si="339"/>
        <v/>
      </c>
    </row>
    <row r="2120" spans="9:21" ht="24.75" customHeight="1" x14ac:dyDescent="0.35">
      <c r="I2120" s="42">
        <f t="shared" si="330"/>
        <v>0</v>
      </c>
      <c r="J2120" s="65" t="e">
        <f t="shared" si="331"/>
        <v>#NUM!</v>
      </c>
      <c r="K2120" s="83" t="e">
        <f t="shared" si="332"/>
        <v>#NUM!</v>
      </c>
      <c r="L2120" s="83">
        <f t="shared" si="333"/>
        <v>0</v>
      </c>
      <c r="M2120" s="110" t="str">
        <f t="shared" si="334"/>
        <v/>
      </c>
      <c r="N2120" s="51" t="str">
        <f t="shared" si="335"/>
        <v/>
      </c>
      <c r="O2120" s="52" t="str">
        <f t="shared" si="336"/>
        <v/>
      </c>
      <c r="P2120" s="88">
        <f t="shared" si="337"/>
        <v>0</v>
      </c>
      <c r="Q2120" s="88">
        <f t="shared" si="338"/>
        <v>0</v>
      </c>
      <c r="R2120" s="88" t="e">
        <f>-IF(Tabla14[[#This Row],[DIAS HABILES O MORA]]&lt;0,(Tabla14[[#This Row],[VALOR PRESTAMO]]*Tabla14[[#This Row],[% INTERES ]]/30*U2120))+Tabla14[[#This Row],[VALOR CUOTAS]]</f>
        <v>#VALUE!</v>
      </c>
      <c r="S2120" s="88">
        <f>-IF(Tabla14[[#This Row],[DIAS HABILES O MORA]]&lt;0,(Tabla14[[#This Row],[VALOR PRESTAMO]]*Tabla14[[#This Row],[% INTERES ]]/30*U2120))</f>
        <v>0</v>
      </c>
      <c r="T2120" s="53" t="e">
        <f>Tabla14[[#This Row],[DEUDA CAPITAL]]+Tabla14[[#This Row],[INTERES  CUOTA]]</f>
        <v>#NUM!</v>
      </c>
      <c r="U2120" s="61" t="str">
        <f t="shared" si="339"/>
        <v/>
      </c>
    </row>
    <row r="2121" spans="9:21" ht="24.75" customHeight="1" x14ac:dyDescent="0.35">
      <c r="I2121" s="42">
        <f t="shared" si="330"/>
        <v>0</v>
      </c>
      <c r="J2121" s="65" t="e">
        <f t="shared" si="331"/>
        <v>#NUM!</v>
      </c>
      <c r="K2121" s="83" t="e">
        <f t="shared" si="332"/>
        <v>#NUM!</v>
      </c>
      <c r="L2121" s="83">
        <f t="shared" si="333"/>
        <v>0</v>
      </c>
      <c r="M2121" s="110" t="str">
        <f t="shared" si="334"/>
        <v/>
      </c>
      <c r="N2121" s="51" t="str">
        <f t="shared" si="335"/>
        <v/>
      </c>
      <c r="O2121" s="52" t="str">
        <f t="shared" si="336"/>
        <v/>
      </c>
      <c r="P2121" s="88">
        <f t="shared" si="337"/>
        <v>0</v>
      </c>
      <c r="Q2121" s="88">
        <f t="shared" si="338"/>
        <v>0</v>
      </c>
      <c r="R2121" s="88" t="e">
        <f>-IF(Tabla14[[#This Row],[DIAS HABILES O MORA]]&lt;0,(Tabla14[[#This Row],[VALOR PRESTAMO]]*Tabla14[[#This Row],[% INTERES ]]/30*U2121))+Tabla14[[#This Row],[VALOR CUOTAS]]</f>
        <v>#VALUE!</v>
      </c>
      <c r="S2121" s="88">
        <f>-IF(Tabla14[[#This Row],[DIAS HABILES O MORA]]&lt;0,(Tabla14[[#This Row],[VALOR PRESTAMO]]*Tabla14[[#This Row],[% INTERES ]]/30*U2121))</f>
        <v>0</v>
      </c>
      <c r="T2121" s="53" t="e">
        <f>Tabla14[[#This Row],[DEUDA CAPITAL]]+Tabla14[[#This Row],[INTERES  CUOTA]]</f>
        <v>#NUM!</v>
      </c>
      <c r="U2121" s="61" t="str">
        <f t="shared" si="339"/>
        <v/>
      </c>
    </row>
    <row r="2122" spans="9:21" ht="24.75" customHeight="1" x14ac:dyDescent="0.35">
      <c r="I2122" s="42">
        <f t="shared" si="330"/>
        <v>0</v>
      </c>
      <c r="J2122" s="65" t="e">
        <f t="shared" si="331"/>
        <v>#NUM!</v>
      </c>
      <c r="K2122" s="83" t="e">
        <f t="shared" si="332"/>
        <v>#NUM!</v>
      </c>
      <c r="L2122" s="83">
        <f t="shared" si="333"/>
        <v>0</v>
      </c>
      <c r="M2122" s="110" t="str">
        <f t="shared" si="334"/>
        <v/>
      </c>
      <c r="N2122" s="51" t="str">
        <f t="shared" si="335"/>
        <v/>
      </c>
      <c r="O2122" s="52" t="str">
        <f t="shared" si="336"/>
        <v/>
      </c>
      <c r="P2122" s="88">
        <f t="shared" si="337"/>
        <v>0</v>
      </c>
      <c r="Q2122" s="88">
        <f t="shared" si="338"/>
        <v>0</v>
      </c>
      <c r="R2122" s="88" t="e">
        <f>-IF(Tabla14[[#This Row],[DIAS HABILES O MORA]]&lt;0,(Tabla14[[#This Row],[VALOR PRESTAMO]]*Tabla14[[#This Row],[% INTERES ]]/30*U2122))+Tabla14[[#This Row],[VALOR CUOTAS]]</f>
        <v>#VALUE!</v>
      </c>
      <c r="S2122" s="88">
        <f>-IF(Tabla14[[#This Row],[DIAS HABILES O MORA]]&lt;0,(Tabla14[[#This Row],[VALOR PRESTAMO]]*Tabla14[[#This Row],[% INTERES ]]/30*U2122))</f>
        <v>0</v>
      </c>
      <c r="T2122" s="53" t="e">
        <f>Tabla14[[#This Row],[DEUDA CAPITAL]]+Tabla14[[#This Row],[INTERES  CUOTA]]</f>
        <v>#NUM!</v>
      </c>
      <c r="U2122" s="61" t="str">
        <f t="shared" si="339"/>
        <v/>
      </c>
    </row>
    <row r="2123" spans="9:21" ht="24.75" customHeight="1" x14ac:dyDescent="0.35">
      <c r="I2123" s="42">
        <f t="shared" si="330"/>
        <v>0</v>
      </c>
      <c r="J2123" s="65" t="e">
        <f t="shared" si="331"/>
        <v>#NUM!</v>
      </c>
      <c r="K2123" s="83" t="e">
        <f t="shared" si="332"/>
        <v>#NUM!</v>
      </c>
      <c r="L2123" s="83">
        <f t="shared" si="333"/>
        <v>0</v>
      </c>
      <c r="M2123" s="110" t="str">
        <f t="shared" si="334"/>
        <v/>
      </c>
      <c r="N2123" s="51" t="str">
        <f t="shared" si="335"/>
        <v/>
      </c>
      <c r="O2123" s="52" t="str">
        <f t="shared" si="336"/>
        <v/>
      </c>
      <c r="P2123" s="88">
        <f t="shared" si="337"/>
        <v>0</v>
      </c>
      <c r="Q2123" s="88">
        <f t="shared" si="338"/>
        <v>0</v>
      </c>
      <c r="R2123" s="88" t="e">
        <f>-IF(Tabla14[[#This Row],[DIAS HABILES O MORA]]&lt;0,(Tabla14[[#This Row],[VALOR PRESTAMO]]*Tabla14[[#This Row],[% INTERES ]]/30*U2123))+Tabla14[[#This Row],[VALOR CUOTAS]]</f>
        <v>#VALUE!</v>
      </c>
      <c r="S2123" s="88">
        <f>-IF(Tabla14[[#This Row],[DIAS HABILES O MORA]]&lt;0,(Tabla14[[#This Row],[VALOR PRESTAMO]]*Tabla14[[#This Row],[% INTERES ]]/30*U2123))</f>
        <v>0</v>
      </c>
      <c r="T2123" s="53" t="e">
        <f>Tabla14[[#This Row],[DEUDA CAPITAL]]+Tabla14[[#This Row],[INTERES  CUOTA]]</f>
        <v>#NUM!</v>
      </c>
      <c r="U2123" s="61" t="str">
        <f t="shared" si="339"/>
        <v/>
      </c>
    </row>
    <row r="2124" spans="9:21" ht="24.75" customHeight="1" x14ac:dyDescent="0.35">
      <c r="I2124" s="42">
        <f t="shared" si="330"/>
        <v>0</v>
      </c>
      <c r="J2124" s="65" t="e">
        <f t="shared" si="331"/>
        <v>#NUM!</v>
      </c>
      <c r="K2124" s="83" t="e">
        <f t="shared" si="332"/>
        <v>#NUM!</v>
      </c>
      <c r="L2124" s="83">
        <f t="shared" si="333"/>
        <v>0</v>
      </c>
      <c r="M2124" s="110" t="str">
        <f t="shared" si="334"/>
        <v/>
      </c>
      <c r="N2124" s="51" t="str">
        <f t="shared" si="335"/>
        <v/>
      </c>
      <c r="O2124" s="52" t="str">
        <f t="shared" si="336"/>
        <v/>
      </c>
      <c r="P2124" s="88">
        <f t="shared" si="337"/>
        <v>0</v>
      </c>
      <c r="Q2124" s="88">
        <f t="shared" si="338"/>
        <v>0</v>
      </c>
      <c r="R2124" s="88" t="e">
        <f>-IF(Tabla14[[#This Row],[DIAS HABILES O MORA]]&lt;0,(Tabla14[[#This Row],[VALOR PRESTAMO]]*Tabla14[[#This Row],[% INTERES ]]/30*U2124))+Tabla14[[#This Row],[VALOR CUOTAS]]</f>
        <v>#VALUE!</v>
      </c>
      <c r="S2124" s="88">
        <f>-IF(Tabla14[[#This Row],[DIAS HABILES O MORA]]&lt;0,(Tabla14[[#This Row],[VALOR PRESTAMO]]*Tabla14[[#This Row],[% INTERES ]]/30*U2124))</f>
        <v>0</v>
      </c>
      <c r="T2124" s="53" t="e">
        <f>Tabla14[[#This Row],[DEUDA CAPITAL]]+Tabla14[[#This Row],[INTERES  CUOTA]]</f>
        <v>#NUM!</v>
      </c>
      <c r="U2124" s="61" t="str">
        <f t="shared" si="339"/>
        <v/>
      </c>
    </row>
    <row r="2125" spans="9:21" ht="24.75" customHeight="1" x14ac:dyDescent="0.35">
      <c r="I2125" s="42">
        <f t="shared" si="330"/>
        <v>0</v>
      </c>
      <c r="J2125" s="65" t="e">
        <f t="shared" si="331"/>
        <v>#NUM!</v>
      </c>
      <c r="K2125" s="83" t="e">
        <f t="shared" si="332"/>
        <v>#NUM!</v>
      </c>
      <c r="L2125" s="83">
        <f t="shared" si="333"/>
        <v>0</v>
      </c>
      <c r="M2125" s="110" t="str">
        <f t="shared" si="334"/>
        <v/>
      </c>
      <c r="N2125" s="51" t="str">
        <f t="shared" si="335"/>
        <v/>
      </c>
      <c r="O2125" s="52" t="str">
        <f t="shared" si="336"/>
        <v/>
      </c>
      <c r="P2125" s="88">
        <f t="shared" si="337"/>
        <v>0</v>
      </c>
      <c r="Q2125" s="88">
        <f t="shared" si="338"/>
        <v>0</v>
      </c>
      <c r="R2125" s="88" t="e">
        <f>-IF(Tabla14[[#This Row],[DIAS HABILES O MORA]]&lt;0,(Tabla14[[#This Row],[VALOR PRESTAMO]]*Tabla14[[#This Row],[% INTERES ]]/30*U2125))+Tabla14[[#This Row],[VALOR CUOTAS]]</f>
        <v>#VALUE!</v>
      </c>
      <c r="S2125" s="88">
        <f>-IF(Tabla14[[#This Row],[DIAS HABILES O MORA]]&lt;0,(Tabla14[[#This Row],[VALOR PRESTAMO]]*Tabla14[[#This Row],[% INTERES ]]/30*U2125))</f>
        <v>0</v>
      </c>
      <c r="T2125" s="53" t="e">
        <f>Tabla14[[#This Row],[DEUDA CAPITAL]]+Tabla14[[#This Row],[INTERES  CUOTA]]</f>
        <v>#NUM!</v>
      </c>
      <c r="U2125" s="61" t="str">
        <f t="shared" si="339"/>
        <v/>
      </c>
    </row>
    <row r="2126" spans="9:21" ht="24.75" customHeight="1" x14ac:dyDescent="0.35">
      <c r="I2126" s="42">
        <f t="shared" si="330"/>
        <v>0</v>
      </c>
      <c r="J2126" s="65" t="e">
        <f t="shared" si="331"/>
        <v>#NUM!</v>
      </c>
      <c r="K2126" s="83" t="e">
        <f t="shared" si="332"/>
        <v>#NUM!</v>
      </c>
      <c r="L2126" s="83">
        <f t="shared" si="333"/>
        <v>0</v>
      </c>
      <c r="M2126" s="110" t="str">
        <f t="shared" si="334"/>
        <v/>
      </c>
      <c r="N2126" s="51" t="str">
        <f t="shared" si="335"/>
        <v/>
      </c>
      <c r="O2126" s="52" t="str">
        <f t="shared" si="336"/>
        <v/>
      </c>
      <c r="P2126" s="88">
        <f t="shared" si="337"/>
        <v>0</v>
      </c>
      <c r="Q2126" s="88">
        <f t="shared" si="338"/>
        <v>0</v>
      </c>
      <c r="R2126" s="88" t="e">
        <f>-IF(Tabla14[[#This Row],[DIAS HABILES O MORA]]&lt;0,(Tabla14[[#This Row],[VALOR PRESTAMO]]*Tabla14[[#This Row],[% INTERES ]]/30*U2126))+Tabla14[[#This Row],[VALOR CUOTAS]]</f>
        <v>#VALUE!</v>
      </c>
      <c r="S2126" s="88">
        <f>-IF(Tabla14[[#This Row],[DIAS HABILES O MORA]]&lt;0,(Tabla14[[#This Row],[VALOR PRESTAMO]]*Tabla14[[#This Row],[% INTERES ]]/30*U2126))</f>
        <v>0</v>
      </c>
      <c r="T2126" s="53" t="e">
        <f>Tabla14[[#This Row],[DEUDA CAPITAL]]+Tabla14[[#This Row],[INTERES  CUOTA]]</f>
        <v>#NUM!</v>
      </c>
      <c r="U2126" s="61" t="str">
        <f t="shared" si="339"/>
        <v/>
      </c>
    </row>
    <row r="2127" spans="9:21" ht="24.75" customHeight="1" x14ac:dyDescent="0.35">
      <c r="I2127" s="42">
        <f t="shared" si="330"/>
        <v>0</v>
      </c>
      <c r="J2127" s="65" t="e">
        <f t="shared" si="331"/>
        <v>#NUM!</v>
      </c>
      <c r="K2127" s="83" t="e">
        <f t="shared" si="332"/>
        <v>#NUM!</v>
      </c>
      <c r="L2127" s="83">
        <f t="shared" si="333"/>
        <v>0</v>
      </c>
      <c r="M2127" s="110" t="str">
        <f t="shared" si="334"/>
        <v/>
      </c>
      <c r="N2127" s="51" t="str">
        <f t="shared" si="335"/>
        <v/>
      </c>
      <c r="O2127" s="52" t="str">
        <f t="shared" si="336"/>
        <v/>
      </c>
      <c r="P2127" s="88">
        <f t="shared" si="337"/>
        <v>0</v>
      </c>
      <c r="Q2127" s="88">
        <f t="shared" si="338"/>
        <v>0</v>
      </c>
      <c r="R2127" s="88" t="e">
        <f>-IF(Tabla14[[#This Row],[DIAS HABILES O MORA]]&lt;0,(Tabla14[[#This Row],[VALOR PRESTAMO]]*Tabla14[[#This Row],[% INTERES ]]/30*U2127))+Tabla14[[#This Row],[VALOR CUOTAS]]</f>
        <v>#VALUE!</v>
      </c>
      <c r="S2127" s="88">
        <f>-IF(Tabla14[[#This Row],[DIAS HABILES O MORA]]&lt;0,(Tabla14[[#This Row],[VALOR PRESTAMO]]*Tabla14[[#This Row],[% INTERES ]]/30*U2127))</f>
        <v>0</v>
      </c>
      <c r="T2127" s="53" t="e">
        <f>Tabla14[[#This Row],[DEUDA CAPITAL]]+Tabla14[[#This Row],[INTERES  CUOTA]]</f>
        <v>#NUM!</v>
      </c>
      <c r="U2127" s="61" t="str">
        <f t="shared" si="339"/>
        <v/>
      </c>
    </row>
    <row r="2128" spans="9:21" ht="24.75" customHeight="1" x14ac:dyDescent="0.35">
      <c r="I2128" s="42">
        <f t="shared" ref="I2128:I2191" si="340">IF(C2128&lt;0,"",IF(Q2128=0,0,IF(G2128=0,H2128+1,IF(H2128&lt;G2128,H2128+1,IF(G2128=H2128,0)))))</f>
        <v>0</v>
      </c>
      <c r="J2128" s="65" t="e">
        <f t="shared" ref="J2128:J2191" si="341">IF(F2128="SOLO INTERES",Q2128*D2128,-IPMT(D2128,I2128,G2128,C2128))</f>
        <v>#NUM!</v>
      </c>
      <c r="K2128" s="83" t="e">
        <f t="shared" ref="K2128:K2191" si="342">IF(F2128="SOLO INTERES",0,-PPMT(D2128,I2128,G2128,C2128))</f>
        <v>#NUM!</v>
      </c>
      <c r="L2128" s="83">
        <f t="shared" ref="L2128:L2191" si="343">IF(F2128="SOLO INTERES",SUM(Y2128:AAE2128),IFERROR(-CUMIPMT(D2128,G2128,C2128,1,H2128,0),0)+SUM(Y2128:WY2128))</f>
        <v>0</v>
      </c>
      <c r="M2128" s="110" t="str">
        <f t="shared" ref="M2128:M2191" si="344">IFERROR(IF(F2128="SOLO INTERES",Q2128*D2128,-PMT(D2128,G2128,C2128,0)),"")</f>
        <v/>
      </c>
      <c r="N2128" s="51" t="str">
        <f t="shared" ref="N2128:N2191" si="345">IF(Q2128=0,"",IF(E2128="MENSUAL",EDATE(B2128,I2128),IF(E2128="QUINCENAL",B2128+(I2128*15),IF(E2128="SEMANAL",B2128+(I2128*7)))))</f>
        <v/>
      </c>
      <c r="O2128" s="52" t="str">
        <f t="shared" ref="O2128:O2191" si="346">IF(C2128=0,"",IF(Q2128&lt;1,"PAGADO",IF(N2128=$A$3,"COBRAR HOY",IF(N2128&lt;$A$3,"EN MORA",IF(N2128&gt;$A$3,"AL DIA")))))</f>
        <v/>
      </c>
      <c r="P2128" s="88">
        <f t="shared" ref="P2128:P2191" si="347">IFERROR(-CUMPRINC(D2128,G2128,C2128,1,H2128,0),0)+W2128</f>
        <v>0</v>
      </c>
      <c r="Q2128" s="88">
        <f t="shared" ref="Q2128:Q2191" si="348">IFERROR(C2128-P2128,"")</f>
        <v>0</v>
      </c>
      <c r="R2128" s="88" t="e">
        <f>-IF(Tabla14[[#This Row],[DIAS HABILES O MORA]]&lt;0,(Tabla14[[#This Row],[VALOR PRESTAMO]]*Tabla14[[#This Row],[% INTERES ]]/30*U2128))+Tabla14[[#This Row],[VALOR CUOTAS]]</f>
        <v>#VALUE!</v>
      </c>
      <c r="S2128" s="88">
        <f>-IF(Tabla14[[#This Row],[DIAS HABILES O MORA]]&lt;0,(Tabla14[[#This Row],[VALOR PRESTAMO]]*Tabla14[[#This Row],[% INTERES ]]/30*U2128))</f>
        <v>0</v>
      </c>
      <c r="T2128" s="53" t="e">
        <f>Tabla14[[#This Row],[DEUDA CAPITAL]]+Tabla14[[#This Row],[INTERES  CUOTA]]</f>
        <v>#NUM!</v>
      </c>
      <c r="U2128" s="61" t="str">
        <f t="shared" ref="U2128:U2191" si="349">IF(O2128="PAGADO","",IFERROR(-IF(C2128=0,"",$A$3-N2128),""))</f>
        <v/>
      </c>
    </row>
    <row r="2129" spans="9:21" ht="24.75" customHeight="1" x14ac:dyDescent="0.35">
      <c r="I2129" s="42">
        <f t="shared" si="340"/>
        <v>0</v>
      </c>
      <c r="J2129" s="65" t="e">
        <f t="shared" si="341"/>
        <v>#NUM!</v>
      </c>
      <c r="K2129" s="83" t="e">
        <f t="shared" si="342"/>
        <v>#NUM!</v>
      </c>
      <c r="L2129" s="83">
        <f t="shared" si="343"/>
        <v>0</v>
      </c>
      <c r="M2129" s="110" t="str">
        <f t="shared" si="344"/>
        <v/>
      </c>
      <c r="N2129" s="51" t="str">
        <f t="shared" si="345"/>
        <v/>
      </c>
      <c r="O2129" s="52" t="str">
        <f t="shared" si="346"/>
        <v/>
      </c>
      <c r="P2129" s="88">
        <f t="shared" si="347"/>
        <v>0</v>
      </c>
      <c r="Q2129" s="88">
        <f t="shared" si="348"/>
        <v>0</v>
      </c>
      <c r="R2129" s="88" t="e">
        <f>-IF(Tabla14[[#This Row],[DIAS HABILES O MORA]]&lt;0,(Tabla14[[#This Row],[VALOR PRESTAMO]]*Tabla14[[#This Row],[% INTERES ]]/30*U2129))+Tabla14[[#This Row],[VALOR CUOTAS]]</f>
        <v>#VALUE!</v>
      </c>
      <c r="S2129" s="88">
        <f>-IF(Tabla14[[#This Row],[DIAS HABILES O MORA]]&lt;0,(Tabla14[[#This Row],[VALOR PRESTAMO]]*Tabla14[[#This Row],[% INTERES ]]/30*U2129))</f>
        <v>0</v>
      </c>
      <c r="T2129" s="53" t="e">
        <f>Tabla14[[#This Row],[DEUDA CAPITAL]]+Tabla14[[#This Row],[INTERES  CUOTA]]</f>
        <v>#NUM!</v>
      </c>
      <c r="U2129" s="61" t="str">
        <f t="shared" si="349"/>
        <v/>
      </c>
    </row>
    <row r="2130" spans="9:21" ht="24.75" customHeight="1" x14ac:dyDescent="0.35">
      <c r="I2130" s="42">
        <f t="shared" si="340"/>
        <v>0</v>
      </c>
      <c r="J2130" s="65" t="e">
        <f t="shared" si="341"/>
        <v>#NUM!</v>
      </c>
      <c r="K2130" s="83" t="e">
        <f t="shared" si="342"/>
        <v>#NUM!</v>
      </c>
      <c r="L2130" s="83">
        <f t="shared" si="343"/>
        <v>0</v>
      </c>
      <c r="M2130" s="110" t="str">
        <f t="shared" si="344"/>
        <v/>
      </c>
      <c r="N2130" s="51" t="str">
        <f t="shared" si="345"/>
        <v/>
      </c>
      <c r="O2130" s="52" t="str">
        <f t="shared" si="346"/>
        <v/>
      </c>
      <c r="P2130" s="88">
        <f t="shared" si="347"/>
        <v>0</v>
      </c>
      <c r="Q2130" s="88">
        <f t="shared" si="348"/>
        <v>0</v>
      </c>
      <c r="R2130" s="88" t="e">
        <f>-IF(Tabla14[[#This Row],[DIAS HABILES O MORA]]&lt;0,(Tabla14[[#This Row],[VALOR PRESTAMO]]*Tabla14[[#This Row],[% INTERES ]]/30*U2130))+Tabla14[[#This Row],[VALOR CUOTAS]]</f>
        <v>#VALUE!</v>
      </c>
      <c r="S2130" s="88">
        <f>-IF(Tabla14[[#This Row],[DIAS HABILES O MORA]]&lt;0,(Tabla14[[#This Row],[VALOR PRESTAMO]]*Tabla14[[#This Row],[% INTERES ]]/30*U2130))</f>
        <v>0</v>
      </c>
      <c r="T2130" s="53" t="e">
        <f>Tabla14[[#This Row],[DEUDA CAPITAL]]+Tabla14[[#This Row],[INTERES  CUOTA]]</f>
        <v>#NUM!</v>
      </c>
      <c r="U2130" s="61" t="str">
        <f t="shared" si="349"/>
        <v/>
      </c>
    </row>
    <row r="2131" spans="9:21" ht="24.75" customHeight="1" x14ac:dyDescent="0.35">
      <c r="I2131" s="42">
        <f t="shared" si="340"/>
        <v>0</v>
      </c>
      <c r="J2131" s="65" t="e">
        <f t="shared" si="341"/>
        <v>#NUM!</v>
      </c>
      <c r="K2131" s="83" t="e">
        <f t="shared" si="342"/>
        <v>#NUM!</v>
      </c>
      <c r="L2131" s="83">
        <f t="shared" si="343"/>
        <v>0</v>
      </c>
      <c r="M2131" s="110" t="str">
        <f t="shared" si="344"/>
        <v/>
      </c>
      <c r="N2131" s="51" t="str">
        <f t="shared" si="345"/>
        <v/>
      </c>
      <c r="O2131" s="52" t="str">
        <f t="shared" si="346"/>
        <v/>
      </c>
      <c r="P2131" s="88">
        <f t="shared" si="347"/>
        <v>0</v>
      </c>
      <c r="Q2131" s="88">
        <f t="shared" si="348"/>
        <v>0</v>
      </c>
      <c r="R2131" s="88" t="e">
        <f>-IF(Tabla14[[#This Row],[DIAS HABILES O MORA]]&lt;0,(Tabla14[[#This Row],[VALOR PRESTAMO]]*Tabla14[[#This Row],[% INTERES ]]/30*U2131))+Tabla14[[#This Row],[VALOR CUOTAS]]</f>
        <v>#VALUE!</v>
      </c>
      <c r="S2131" s="88">
        <f>-IF(Tabla14[[#This Row],[DIAS HABILES O MORA]]&lt;0,(Tabla14[[#This Row],[VALOR PRESTAMO]]*Tabla14[[#This Row],[% INTERES ]]/30*U2131))</f>
        <v>0</v>
      </c>
      <c r="T2131" s="53" t="e">
        <f>Tabla14[[#This Row],[DEUDA CAPITAL]]+Tabla14[[#This Row],[INTERES  CUOTA]]</f>
        <v>#NUM!</v>
      </c>
      <c r="U2131" s="61" t="str">
        <f t="shared" si="349"/>
        <v/>
      </c>
    </row>
    <row r="2132" spans="9:21" ht="24.75" customHeight="1" x14ac:dyDescent="0.35">
      <c r="I2132" s="42">
        <f t="shared" si="340"/>
        <v>0</v>
      </c>
      <c r="J2132" s="65" t="e">
        <f t="shared" si="341"/>
        <v>#NUM!</v>
      </c>
      <c r="K2132" s="83" t="e">
        <f t="shared" si="342"/>
        <v>#NUM!</v>
      </c>
      <c r="L2132" s="83">
        <f t="shared" si="343"/>
        <v>0</v>
      </c>
      <c r="M2132" s="110" t="str">
        <f t="shared" si="344"/>
        <v/>
      </c>
      <c r="N2132" s="51" t="str">
        <f t="shared" si="345"/>
        <v/>
      </c>
      <c r="O2132" s="52" t="str">
        <f t="shared" si="346"/>
        <v/>
      </c>
      <c r="P2132" s="88">
        <f t="shared" si="347"/>
        <v>0</v>
      </c>
      <c r="Q2132" s="88">
        <f t="shared" si="348"/>
        <v>0</v>
      </c>
      <c r="R2132" s="88" t="e">
        <f>-IF(Tabla14[[#This Row],[DIAS HABILES O MORA]]&lt;0,(Tabla14[[#This Row],[VALOR PRESTAMO]]*Tabla14[[#This Row],[% INTERES ]]/30*U2132))+Tabla14[[#This Row],[VALOR CUOTAS]]</f>
        <v>#VALUE!</v>
      </c>
      <c r="S2132" s="88">
        <f>-IF(Tabla14[[#This Row],[DIAS HABILES O MORA]]&lt;0,(Tabla14[[#This Row],[VALOR PRESTAMO]]*Tabla14[[#This Row],[% INTERES ]]/30*U2132))</f>
        <v>0</v>
      </c>
      <c r="T2132" s="53" t="e">
        <f>Tabla14[[#This Row],[DEUDA CAPITAL]]+Tabla14[[#This Row],[INTERES  CUOTA]]</f>
        <v>#NUM!</v>
      </c>
      <c r="U2132" s="61" t="str">
        <f t="shared" si="349"/>
        <v/>
      </c>
    </row>
    <row r="2133" spans="9:21" ht="24.75" customHeight="1" x14ac:dyDescent="0.35">
      <c r="I2133" s="42">
        <f t="shared" si="340"/>
        <v>0</v>
      </c>
      <c r="J2133" s="65" t="e">
        <f t="shared" si="341"/>
        <v>#NUM!</v>
      </c>
      <c r="K2133" s="83" t="e">
        <f t="shared" si="342"/>
        <v>#NUM!</v>
      </c>
      <c r="L2133" s="83">
        <f t="shared" si="343"/>
        <v>0</v>
      </c>
      <c r="M2133" s="110" t="str">
        <f t="shared" si="344"/>
        <v/>
      </c>
      <c r="N2133" s="51" t="str">
        <f t="shared" si="345"/>
        <v/>
      </c>
      <c r="O2133" s="52" t="str">
        <f t="shared" si="346"/>
        <v/>
      </c>
      <c r="P2133" s="88">
        <f t="shared" si="347"/>
        <v>0</v>
      </c>
      <c r="Q2133" s="88">
        <f t="shared" si="348"/>
        <v>0</v>
      </c>
      <c r="R2133" s="88" t="e">
        <f>-IF(Tabla14[[#This Row],[DIAS HABILES O MORA]]&lt;0,(Tabla14[[#This Row],[VALOR PRESTAMO]]*Tabla14[[#This Row],[% INTERES ]]/30*U2133))+Tabla14[[#This Row],[VALOR CUOTAS]]</f>
        <v>#VALUE!</v>
      </c>
      <c r="S2133" s="88">
        <f>-IF(Tabla14[[#This Row],[DIAS HABILES O MORA]]&lt;0,(Tabla14[[#This Row],[VALOR PRESTAMO]]*Tabla14[[#This Row],[% INTERES ]]/30*U2133))</f>
        <v>0</v>
      </c>
      <c r="T2133" s="53" t="e">
        <f>Tabla14[[#This Row],[DEUDA CAPITAL]]+Tabla14[[#This Row],[INTERES  CUOTA]]</f>
        <v>#NUM!</v>
      </c>
      <c r="U2133" s="61" t="str">
        <f t="shared" si="349"/>
        <v/>
      </c>
    </row>
    <row r="2134" spans="9:21" ht="24.75" customHeight="1" x14ac:dyDescent="0.35">
      <c r="I2134" s="42">
        <f t="shared" si="340"/>
        <v>0</v>
      </c>
      <c r="J2134" s="65" t="e">
        <f t="shared" si="341"/>
        <v>#NUM!</v>
      </c>
      <c r="K2134" s="83" t="e">
        <f t="shared" si="342"/>
        <v>#NUM!</v>
      </c>
      <c r="L2134" s="83">
        <f t="shared" si="343"/>
        <v>0</v>
      </c>
      <c r="M2134" s="110" t="str">
        <f t="shared" si="344"/>
        <v/>
      </c>
      <c r="N2134" s="51" t="str">
        <f t="shared" si="345"/>
        <v/>
      </c>
      <c r="O2134" s="52" t="str">
        <f t="shared" si="346"/>
        <v/>
      </c>
      <c r="P2134" s="88">
        <f t="shared" si="347"/>
        <v>0</v>
      </c>
      <c r="Q2134" s="88">
        <f t="shared" si="348"/>
        <v>0</v>
      </c>
      <c r="R2134" s="88" t="e">
        <f>-IF(Tabla14[[#This Row],[DIAS HABILES O MORA]]&lt;0,(Tabla14[[#This Row],[VALOR PRESTAMO]]*Tabla14[[#This Row],[% INTERES ]]/30*U2134))+Tabla14[[#This Row],[VALOR CUOTAS]]</f>
        <v>#VALUE!</v>
      </c>
      <c r="S2134" s="88">
        <f>-IF(Tabla14[[#This Row],[DIAS HABILES O MORA]]&lt;0,(Tabla14[[#This Row],[VALOR PRESTAMO]]*Tabla14[[#This Row],[% INTERES ]]/30*U2134))</f>
        <v>0</v>
      </c>
      <c r="T2134" s="53" t="e">
        <f>Tabla14[[#This Row],[DEUDA CAPITAL]]+Tabla14[[#This Row],[INTERES  CUOTA]]</f>
        <v>#NUM!</v>
      </c>
      <c r="U2134" s="61" t="str">
        <f t="shared" si="349"/>
        <v/>
      </c>
    </row>
    <row r="2135" spans="9:21" ht="24.75" customHeight="1" x14ac:dyDescent="0.35">
      <c r="I2135" s="42">
        <f t="shared" si="340"/>
        <v>0</v>
      </c>
      <c r="J2135" s="65" t="e">
        <f t="shared" si="341"/>
        <v>#NUM!</v>
      </c>
      <c r="K2135" s="83" t="e">
        <f t="shared" si="342"/>
        <v>#NUM!</v>
      </c>
      <c r="L2135" s="83">
        <f t="shared" si="343"/>
        <v>0</v>
      </c>
      <c r="M2135" s="110" t="str">
        <f t="shared" si="344"/>
        <v/>
      </c>
      <c r="N2135" s="51" t="str">
        <f t="shared" si="345"/>
        <v/>
      </c>
      <c r="O2135" s="52" t="str">
        <f t="shared" si="346"/>
        <v/>
      </c>
      <c r="P2135" s="88">
        <f t="shared" si="347"/>
        <v>0</v>
      </c>
      <c r="Q2135" s="88">
        <f t="shared" si="348"/>
        <v>0</v>
      </c>
      <c r="R2135" s="88" t="e">
        <f>-IF(Tabla14[[#This Row],[DIAS HABILES O MORA]]&lt;0,(Tabla14[[#This Row],[VALOR PRESTAMO]]*Tabla14[[#This Row],[% INTERES ]]/30*U2135))+Tabla14[[#This Row],[VALOR CUOTAS]]</f>
        <v>#VALUE!</v>
      </c>
      <c r="S2135" s="88">
        <f>-IF(Tabla14[[#This Row],[DIAS HABILES O MORA]]&lt;0,(Tabla14[[#This Row],[VALOR PRESTAMO]]*Tabla14[[#This Row],[% INTERES ]]/30*U2135))</f>
        <v>0</v>
      </c>
      <c r="T2135" s="53" t="e">
        <f>Tabla14[[#This Row],[DEUDA CAPITAL]]+Tabla14[[#This Row],[INTERES  CUOTA]]</f>
        <v>#NUM!</v>
      </c>
      <c r="U2135" s="61" t="str">
        <f t="shared" si="349"/>
        <v/>
      </c>
    </row>
    <row r="2136" spans="9:21" ht="24.75" customHeight="1" x14ac:dyDescent="0.35">
      <c r="I2136" s="42">
        <f t="shared" si="340"/>
        <v>0</v>
      </c>
      <c r="J2136" s="65" t="e">
        <f t="shared" si="341"/>
        <v>#NUM!</v>
      </c>
      <c r="K2136" s="83" t="e">
        <f t="shared" si="342"/>
        <v>#NUM!</v>
      </c>
      <c r="L2136" s="83">
        <f t="shared" si="343"/>
        <v>0</v>
      </c>
      <c r="M2136" s="110" t="str">
        <f t="shared" si="344"/>
        <v/>
      </c>
      <c r="N2136" s="51" t="str">
        <f t="shared" si="345"/>
        <v/>
      </c>
      <c r="O2136" s="52" t="str">
        <f t="shared" si="346"/>
        <v/>
      </c>
      <c r="P2136" s="88">
        <f t="shared" si="347"/>
        <v>0</v>
      </c>
      <c r="Q2136" s="88">
        <f t="shared" si="348"/>
        <v>0</v>
      </c>
      <c r="R2136" s="88" t="e">
        <f>-IF(Tabla14[[#This Row],[DIAS HABILES O MORA]]&lt;0,(Tabla14[[#This Row],[VALOR PRESTAMO]]*Tabla14[[#This Row],[% INTERES ]]/30*U2136))+Tabla14[[#This Row],[VALOR CUOTAS]]</f>
        <v>#VALUE!</v>
      </c>
      <c r="S2136" s="88">
        <f>-IF(Tabla14[[#This Row],[DIAS HABILES O MORA]]&lt;0,(Tabla14[[#This Row],[VALOR PRESTAMO]]*Tabla14[[#This Row],[% INTERES ]]/30*U2136))</f>
        <v>0</v>
      </c>
      <c r="T2136" s="53" t="e">
        <f>Tabla14[[#This Row],[DEUDA CAPITAL]]+Tabla14[[#This Row],[INTERES  CUOTA]]</f>
        <v>#NUM!</v>
      </c>
      <c r="U2136" s="61" t="str">
        <f t="shared" si="349"/>
        <v/>
      </c>
    </row>
    <row r="2137" spans="9:21" ht="24.75" customHeight="1" x14ac:dyDescent="0.35">
      <c r="I2137" s="42">
        <f t="shared" si="340"/>
        <v>0</v>
      </c>
      <c r="J2137" s="65" t="e">
        <f t="shared" si="341"/>
        <v>#NUM!</v>
      </c>
      <c r="K2137" s="83" t="e">
        <f t="shared" si="342"/>
        <v>#NUM!</v>
      </c>
      <c r="L2137" s="83">
        <f t="shared" si="343"/>
        <v>0</v>
      </c>
      <c r="M2137" s="110" t="str">
        <f t="shared" si="344"/>
        <v/>
      </c>
      <c r="N2137" s="51" t="str">
        <f t="shared" si="345"/>
        <v/>
      </c>
      <c r="O2137" s="52" t="str">
        <f t="shared" si="346"/>
        <v/>
      </c>
      <c r="P2137" s="88">
        <f t="shared" si="347"/>
        <v>0</v>
      </c>
      <c r="Q2137" s="88">
        <f t="shared" si="348"/>
        <v>0</v>
      </c>
      <c r="R2137" s="88" t="e">
        <f>-IF(Tabla14[[#This Row],[DIAS HABILES O MORA]]&lt;0,(Tabla14[[#This Row],[VALOR PRESTAMO]]*Tabla14[[#This Row],[% INTERES ]]/30*U2137))+Tabla14[[#This Row],[VALOR CUOTAS]]</f>
        <v>#VALUE!</v>
      </c>
      <c r="S2137" s="88">
        <f>-IF(Tabla14[[#This Row],[DIAS HABILES O MORA]]&lt;0,(Tabla14[[#This Row],[VALOR PRESTAMO]]*Tabla14[[#This Row],[% INTERES ]]/30*U2137))</f>
        <v>0</v>
      </c>
      <c r="T2137" s="53" t="e">
        <f>Tabla14[[#This Row],[DEUDA CAPITAL]]+Tabla14[[#This Row],[INTERES  CUOTA]]</f>
        <v>#NUM!</v>
      </c>
      <c r="U2137" s="61" t="str">
        <f t="shared" si="349"/>
        <v/>
      </c>
    </row>
    <row r="2138" spans="9:21" ht="24.75" customHeight="1" x14ac:dyDescent="0.35">
      <c r="I2138" s="42">
        <f t="shared" si="340"/>
        <v>0</v>
      </c>
      <c r="J2138" s="65" t="e">
        <f t="shared" si="341"/>
        <v>#NUM!</v>
      </c>
      <c r="K2138" s="83" t="e">
        <f t="shared" si="342"/>
        <v>#NUM!</v>
      </c>
      <c r="L2138" s="83">
        <f t="shared" si="343"/>
        <v>0</v>
      </c>
      <c r="M2138" s="110" t="str">
        <f t="shared" si="344"/>
        <v/>
      </c>
      <c r="N2138" s="51" t="str">
        <f t="shared" si="345"/>
        <v/>
      </c>
      <c r="O2138" s="52" t="str">
        <f t="shared" si="346"/>
        <v/>
      </c>
      <c r="P2138" s="88">
        <f t="shared" si="347"/>
        <v>0</v>
      </c>
      <c r="Q2138" s="88">
        <f t="shared" si="348"/>
        <v>0</v>
      </c>
      <c r="R2138" s="88" t="e">
        <f>-IF(Tabla14[[#This Row],[DIAS HABILES O MORA]]&lt;0,(Tabla14[[#This Row],[VALOR PRESTAMO]]*Tabla14[[#This Row],[% INTERES ]]/30*U2138))+Tabla14[[#This Row],[VALOR CUOTAS]]</f>
        <v>#VALUE!</v>
      </c>
      <c r="S2138" s="88">
        <f>-IF(Tabla14[[#This Row],[DIAS HABILES O MORA]]&lt;0,(Tabla14[[#This Row],[VALOR PRESTAMO]]*Tabla14[[#This Row],[% INTERES ]]/30*U2138))</f>
        <v>0</v>
      </c>
      <c r="T2138" s="53" t="e">
        <f>Tabla14[[#This Row],[DEUDA CAPITAL]]+Tabla14[[#This Row],[INTERES  CUOTA]]</f>
        <v>#NUM!</v>
      </c>
      <c r="U2138" s="61" t="str">
        <f t="shared" si="349"/>
        <v/>
      </c>
    </row>
    <row r="2139" spans="9:21" ht="24.75" customHeight="1" x14ac:dyDescent="0.35">
      <c r="I2139" s="42">
        <f t="shared" si="340"/>
        <v>0</v>
      </c>
      <c r="J2139" s="65" t="e">
        <f t="shared" si="341"/>
        <v>#NUM!</v>
      </c>
      <c r="K2139" s="83" t="e">
        <f t="shared" si="342"/>
        <v>#NUM!</v>
      </c>
      <c r="L2139" s="83">
        <f t="shared" si="343"/>
        <v>0</v>
      </c>
      <c r="M2139" s="110" t="str">
        <f t="shared" si="344"/>
        <v/>
      </c>
      <c r="N2139" s="51" t="str">
        <f t="shared" si="345"/>
        <v/>
      </c>
      <c r="O2139" s="52" t="str">
        <f t="shared" si="346"/>
        <v/>
      </c>
      <c r="P2139" s="88">
        <f t="shared" si="347"/>
        <v>0</v>
      </c>
      <c r="Q2139" s="88">
        <f t="shared" si="348"/>
        <v>0</v>
      </c>
      <c r="R2139" s="88" t="e">
        <f>-IF(Tabla14[[#This Row],[DIAS HABILES O MORA]]&lt;0,(Tabla14[[#This Row],[VALOR PRESTAMO]]*Tabla14[[#This Row],[% INTERES ]]/30*U2139))+Tabla14[[#This Row],[VALOR CUOTAS]]</f>
        <v>#VALUE!</v>
      </c>
      <c r="S2139" s="88">
        <f>-IF(Tabla14[[#This Row],[DIAS HABILES O MORA]]&lt;0,(Tabla14[[#This Row],[VALOR PRESTAMO]]*Tabla14[[#This Row],[% INTERES ]]/30*U2139))</f>
        <v>0</v>
      </c>
      <c r="T2139" s="53" t="e">
        <f>Tabla14[[#This Row],[DEUDA CAPITAL]]+Tabla14[[#This Row],[INTERES  CUOTA]]</f>
        <v>#NUM!</v>
      </c>
      <c r="U2139" s="61" t="str">
        <f t="shared" si="349"/>
        <v/>
      </c>
    </row>
    <row r="2140" spans="9:21" ht="24.75" customHeight="1" x14ac:dyDescent="0.35">
      <c r="I2140" s="42">
        <f t="shared" si="340"/>
        <v>0</v>
      </c>
      <c r="J2140" s="65" t="e">
        <f t="shared" si="341"/>
        <v>#NUM!</v>
      </c>
      <c r="K2140" s="83" t="e">
        <f t="shared" si="342"/>
        <v>#NUM!</v>
      </c>
      <c r="L2140" s="83">
        <f t="shared" si="343"/>
        <v>0</v>
      </c>
      <c r="M2140" s="110" t="str">
        <f t="shared" si="344"/>
        <v/>
      </c>
      <c r="N2140" s="51" t="str">
        <f t="shared" si="345"/>
        <v/>
      </c>
      <c r="O2140" s="52" t="str">
        <f t="shared" si="346"/>
        <v/>
      </c>
      <c r="P2140" s="88">
        <f t="shared" si="347"/>
        <v>0</v>
      </c>
      <c r="Q2140" s="88">
        <f t="shared" si="348"/>
        <v>0</v>
      </c>
      <c r="R2140" s="88" t="e">
        <f>-IF(Tabla14[[#This Row],[DIAS HABILES O MORA]]&lt;0,(Tabla14[[#This Row],[VALOR PRESTAMO]]*Tabla14[[#This Row],[% INTERES ]]/30*U2140))+Tabla14[[#This Row],[VALOR CUOTAS]]</f>
        <v>#VALUE!</v>
      </c>
      <c r="S2140" s="88">
        <f>-IF(Tabla14[[#This Row],[DIAS HABILES O MORA]]&lt;0,(Tabla14[[#This Row],[VALOR PRESTAMO]]*Tabla14[[#This Row],[% INTERES ]]/30*U2140))</f>
        <v>0</v>
      </c>
      <c r="T2140" s="53" t="e">
        <f>Tabla14[[#This Row],[DEUDA CAPITAL]]+Tabla14[[#This Row],[INTERES  CUOTA]]</f>
        <v>#NUM!</v>
      </c>
      <c r="U2140" s="61" t="str">
        <f t="shared" si="349"/>
        <v/>
      </c>
    </row>
    <row r="2141" spans="9:21" ht="24.75" customHeight="1" x14ac:dyDescent="0.35">
      <c r="I2141" s="42">
        <f t="shared" si="340"/>
        <v>0</v>
      </c>
      <c r="J2141" s="65" t="e">
        <f t="shared" si="341"/>
        <v>#NUM!</v>
      </c>
      <c r="K2141" s="83" t="e">
        <f t="shared" si="342"/>
        <v>#NUM!</v>
      </c>
      <c r="L2141" s="83">
        <f t="shared" si="343"/>
        <v>0</v>
      </c>
      <c r="M2141" s="110" t="str">
        <f t="shared" si="344"/>
        <v/>
      </c>
      <c r="N2141" s="51" t="str">
        <f t="shared" si="345"/>
        <v/>
      </c>
      <c r="O2141" s="52" t="str">
        <f t="shared" si="346"/>
        <v/>
      </c>
      <c r="P2141" s="88">
        <f t="shared" si="347"/>
        <v>0</v>
      </c>
      <c r="Q2141" s="88">
        <f t="shared" si="348"/>
        <v>0</v>
      </c>
      <c r="R2141" s="88" t="e">
        <f>-IF(Tabla14[[#This Row],[DIAS HABILES O MORA]]&lt;0,(Tabla14[[#This Row],[VALOR PRESTAMO]]*Tabla14[[#This Row],[% INTERES ]]/30*U2141))+Tabla14[[#This Row],[VALOR CUOTAS]]</f>
        <v>#VALUE!</v>
      </c>
      <c r="S2141" s="88">
        <f>-IF(Tabla14[[#This Row],[DIAS HABILES O MORA]]&lt;0,(Tabla14[[#This Row],[VALOR PRESTAMO]]*Tabla14[[#This Row],[% INTERES ]]/30*U2141))</f>
        <v>0</v>
      </c>
      <c r="T2141" s="53" t="e">
        <f>Tabla14[[#This Row],[DEUDA CAPITAL]]+Tabla14[[#This Row],[INTERES  CUOTA]]</f>
        <v>#NUM!</v>
      </c>
      <c r="U2141" s="61" t="str">
        <f t="shared" si="349"/>
        <v/>
      </c>
    </row>
    <row r="2142" spans="9:21" ht="24.75" customHeight="1" x14ac:dyDescent="0.35">
      <c r="I2142" s="42">
        <f t="shared" si="340"/>
        <v>0</v>
      </c>
      <c r="J2142" s="65" t="e">
        <f t="shared" si="341"/>
        <v>#NUM!</v>
      </c>
      <c r="K2142" s="83" t="e">
        <f t="shared" si="342"/>
        <v>#NUM!</v>
      </c>
      <c r="L2142" s="83">
        <f t="shared" si="343"/>
        <v>0</v>
      </c>
      <c r="M2142" s="110" t="str">
        <f t="shared" si="344"/>
        <v/>
      </c>
      <c r="N2142" s="51" t="str">
        <f t="shared" si="345"/>
        <v/>
      </c>
      <c r="O2142" s="52" t="str">
        <f t="shared" si="346"/>
        <v/>
      </c>
      <c r="P2142" s="88">
        <f t="shared" si="347"/>
        <v>0</v>
      </c>
      <c r="Q2142" s="88">
        <f t="shared" si="348"/>
        <v>0</v>
      </c>
      <c r="R2142" s="88" t="e">
        <f>-IF(Tabla14[[#This Row],[DIAS HABILES O MORA]]&lt;0,(Tabla14[[#This Row],[VALOR PRESTAMO]]*Tabla14[[#This Row],[% INTERES ]]/30*U2142))+Tabla14[[#This Row],[VALOR CUOTAS]]</f>
        <v>#VALUE!</v>
      </c>
      <c r="S2142" s="88">
        <f>-IF(Tabla14[[#This Row],[DIAS HABILES O MORA]]&lt;0,(Tabla14[[#This Row],[VALOR PRESTAMO]]*Tabla14[[#This Row],[% INTERES ]]/30*U2142))</f>
        <v>0</v>
      </c>
      <c r="T2142" s="53" t="e">
        <f>Tabla14[[#This Row],[DEUDA CAPITAL]]+Tabla14[[#This Row],[INTERES  CUOTA]]</f>
        <v>#NUM!</v>
      </c>
      <c r="U2142" s="61" t="str">
        <f t="shared" si="349"/>
        <v/>
      </c>
    </row>
    <row r="2143" spans="9:21" ht="24.75" customHeight="1" x14ac:dyDescent="0.35">
      <c r="I2143" s="42">
        <f t="shared" si="340"/>
        <v>0</v>
      </c>
      <c r="J2143" s="65" t="e">
        <f t="shared" si="341"/>
        <v>#NUM!</v>
      </c>
      <c r="K2143" s="83" t="e">
        <f t="shared" si="342"/>
        <v>#NUM!</v>
      </c>
      <c r="L2143" s="83">
        <f t="shared" si="343"/>
        <v>0</v>
      </c>
      <c r="M2143" s="110" t="str">
        <f t="shared" si="344"/>
        <v/>
      </c>
      <c r="N2143" s="51" t="str">
        <f t="shared" si="345"/>
        <v/>
      </c>
      <c r="O2143" s="52" t="str">
        <f t="shared" si="346"/>
        <v/>
      </c>
      <c r="P2143" s="88">
        <f t="shared" si="347"/>
        <v>0</v>
      </c>
      <c r="Q2143" s="88">
        <f t="shared" si="348"/>
        <v>0</v>
      </c>
      <c r="R2143" s="88" t="e">
        <f>-IF(Tabla14[[#This Row],[DIAS HABILES O MORA]]&lt;0,(Tabla14[[#This Row],[VALOR PRESTAMO]]*Tabla14[[#This Row],[% INTERES ]]/30*U2143))+Tabla14[[#This Row],[VALOR CUOTAS]]</f>
        <v>#VALUE!</v>
      </c>
      <c r="S2143" s="88">
        <f>-IF(Tabla14[[#This Row],[DIAS HABILES O MORA]]&lt;0,(Tabla14[[#This Row],[VALOR PRESTAMO]]*Tabla14[[#This Row],[% INTERES ]]/30*U2143))</f>
        <v>0</v>
      </c>
      <c r="T2143" s="53" t="e">
        <f>Tabla14[[#This Row],[DEUDA CAPITAL]]+Tabla14[[#This Row],[INTERES  CUOTA]]</f>
        <v>#NUM!</v>
      </c>
      <c r="U2143" s="61" t="str">
        <f t="shared" si="349"/>
        <v/>
      </c>
    </row>
    <row r="2144" spans="9:21" ht="24.75" customHeight="1" x14ac:dyDescent="0.35">
      <c r="I2144" s="42">
        <f t="shared" si="340"/>
        <v>0</v>
      </c>
      <c r="J2144" s="65" t="e">
        <f t="shared" si="341"/>
        <v>#NUM!</v>
      </c>
      <c r="K2144" s="83" t="e">
        <f t="shared" si="342"/>
        <v>#NUM!</v>
      </c>
      <c r="L2144" s="83">
        <f t="shared" si="343"/>
        <v>0</v>
      </c>
      <c r="M2144" s="110" t="str">
        <f t="shared" si="344"/>
        <v/>
      </c>
      <c r="N2144" s="51" t="str">
        <f t="shared" si="345"/>
        <v/>
      </c>
      <c r="O2144" s="52" t="str">
        <f t="shared" si="346"/>
        <v/>
      </c>
      <c r="P2144" s="88">
        <f t="shared" si="347"/>
        <v>0</v>
      </c>
      <c r="Q2144" s="88">
        <f t="shared" si="348"/>
        <v>0</v>
      </c>
      <c r="R2144" s="88" t="e">
        <f>-IF(Tabla14[[#This Row],[DIAS HABILES O MORA]]&lt;0,(Tabla14[[#This Row],[VALOR PRESTAMO]]*Tabla14[[#This Row],[% INTERES ]]/30*U2144))+Tabla14[[#This Row],[VALOR CUOTAS]]</f>
        <v>#VALUE!</v>
      </c>
      <c r="S2144" s="88">
        <f>-IF(Tabla14[[#This Row],[DIAS HABILES O MORA]]&lt;0,(Tabla14[[#This Row],[VALOR PRESTAMO]]*Tabla14[[#This Row],[% INTERES ]]/30*U2144))</f>
        <v>0</v>
      </c>
      <c r="T2144" s="53" t="e">
        <f>Tabla14[[#This Row],[DEUDA CAPITAL]]+Tabla14[[#This Row],[INTERES  CUOTA]]</f>
        <v>#NUM!</v>
      </c>
      <c r="U2144" s="61" t="str">
        <f t="shared" si="349"/>
        <v/>
      </c>
    </row>
    <row r="2145" spans="9:21" ht="24.75" customHeight="1" x14ac:dyDescent="0.35">
      <c r="I2145" s="42">
        <f t="shared" si="340"/>
        <v>0</v>
      </c>
      <c r="J2145" s="65" t="e">
        <f t="shared" si="341"/>
        <v>#NUM!</v>
      </c>
      <c r="K2145" s="83" t="e">
        <f t="shared" si="342"/>
        <v>#NUM!</v>
      </c>
      <c r="L2145" s="83">
        <f t="shared" si="343"/>
        <v>0</v>
      </c>
      <c r="M2145" s="110" t="str">
        <f t="shared" si="344"/>
        <v/>
      </c>
      <c r="N2145" s="51" t="str">
        <f t="shared" si="345"/>
        <v/>
      </c>
      <c r="O2145" s="52" t="str">
        <f t="shared" si="346"/>
        <v/>
      </c>
      <c r="P2145" s="88">
        <f t="shared" si="347"/>
        <v>0</v>
      </c>
      <c r="Q2145" s="88">
        <f t="shared" si="348"/>
        <v>0</v>
      </c>
      <c r="R2145" s="88" t="e">
        <f>-IF(Tabla14[[#This Row],[DIAS HABILES O MORA]]&lt;0,(Tabla14[[#This Row],[VALOR PRESTAMO]]*Tabla14[[#This Row],[% INTERES ]]/30*U2145))+Tabla14[[#This Row],[VALOR CUOTAS]]</f>
        <v>#VALUE!</v>
      </c>
      <c r="S2145" s="88">
        <f>-IF(Tabla14[[#This Row],[DIAS HABILES O MORA]]&lt;0,(Tabla14[[#This Row],[VALOR PRESTAMO]]*Tabla14[[#This Row],[% INTERES ]]/30*U2145))</f>
        <v>0</v>
      </c>
      <c r="T2145" s="53" t="e">
        <f>Tabla14[[#This Row],[DEUDA CAPITAL]]+Tabla14[[#This Row],[INTERES  CUOTA]]</f>
        <v>#NUM!</v>
      </c>
      <c r="U2145" s="61" t="str">
        <f t="shared" si="349"/>
        <v/>
      </c>
    </row>
    <row r="2146" spans="9:21" ht="24.75" customHeight="1" x14ac:dyDescent="0.35">
      <c r="I2146" s="42">
        <f t="shared" si="340"/>
        <v>0</v>
      </c>
      <c r="J2146" s="65" t="e">
        <f t="shared" si="341"/>
        <v>#NUM!</v>
      </c>
      <c r="K2146" s="83" t="e">
        <f t="shared" si="342"/>
        <v>#NUM!</v>
      </c>
      <c r="L2146" s="83">
        <f t="shared" si="343"/>
        <v>0</v>
      </c>
      <c r="M2146" s="110" t="str">
        <f t="shared" si="344"/>
        <v/>
      </c>
      <c r="N2146" s="51" t="str">
        <f t="shared" si="345"/>
        <v/>
      </c>
      <c r="O2146" s="52" t="str">
        <f t="shared" si="346"/>
        <v/>
      </c>
      <c r="P2146" s="88">
        <f t="shared" si="347"/>
        <v>0</v>
      </c>
      <c r="Q2146" s="88">
        <f t="shared" si="348"/>
        <v>0</v>
      </c>
      <c r="R2146" s="88" t="e">
        <f>-IF(Tabla14[[#This Row],[DIAS HABILES O MORA]]&lt;0,(Tabla14[[#This Row],[VALOR PRESTAMO]]*Tabla14[[#This Row],[% INTERES ]]/30*U2146))+Tabla14[[#This Row],[VALOR CUOTAS]]</f>
        <v>#VALUE!</v>
      </c>
      <c r="S2146" s="88">
        <f>-IF(Tabla14[[#This Row],[DIAS HABILES O MORA]]&lt;0,(Tabla14[[#This Row],[VALOR PRESTAMO]]*Tabla14[[#This Row],[% INTERES ]]/30*U2146))</f>
        <v>0</v>
      </c>
      <c r="T2146" s="53" t="e">
        <f>Tabla14[[#This Row],[DEUDA CAPITAL]]+Tabla14[[#This Row],[INTERES  CUOTA]]</f>
        <v>#NUM!</v>
      </c>
      <c r="U2146" s="61" t="str">
        <f t="shared" si="349"/>
        <v/>
      </c>
    </row>
    <row r="2147" spans="9:21" ht="24.75" customHeight="1" x14ac:dyDescent="0.35">
      <c r="I2147" s="42">
        <f t="shared" si="340"/>
        <v>0</v>
      </c>
      <c r="J2147" s="65" t="e">
        <f t="shared" si="341"/>
        <v>#NUM!</v>
      </c>
      <c r="K2147" s="83" t="e">
        <f t="shared" si="342"/>
        <v>#NUM!</v>
      </c>
      <c r="L2147" s="83">
        <f t="shared" si="343"/>
        <v>0</v>
      </c>
      <c r="M2147" s="110" t="str">
        <f t="shared" si="344"/>
        <v/>
      </c>
      <c r="N2147" s="51" t="str">
        <f t="shared" si="345"/>
        <v/>
      </c>
      <c r="O2147" s="52" t="str">
        <f t="shared" si="346"/>
        <v/>
      </c>
      <c r="P2147" s="88">
        <f t="shared" si="347"/>
        <v>0</v>
      </c>
      <c r="Q2147" s="88">
        <f t="shared" si="348"/>
        <v>0</v>
      </c>
      <c r="R2147" s="88" t="e">
        <f>-IF(Tabla14[[#This Row],[DIAS HABILES O MORA]]&lt;0,(Tabla14[[#This Row],[VALOR PRESTAMO]]*Tabla14[[#This Row],[% INTERES ]]/30*U2147))+Tabla14[[#This Row],[VALOR CUOTAS]]</f>
        <v>#VALUE!</v>
      </c>
      <c r="S2147" s="88">
        <f>-IF(Tabla14[[#This Row],[DIAS HABILES O MORA]]&lt;0,(Tabla14[[#This Row],[VALOR PRESTAMO]]*Tabla14[[#This Row],[% INTERES ]]/30*U2147))</f>
        <v>0</v>
      </c>
      <c r="T2147" s="53" t="e">
        <f>Tabla14[[#This Row],[DEUDA CAPITAL]]+Tabla14[[#This Row],[INTERES  CUOTA]]</f>
        <v>#NUM!</v>
      </c>
      <c r="U2147" s="61" t="str">
        <f t="shared" si="349"/>
        <v/>
      </c>
    </row>
    <row r="2148" spans="9:21" ht="24.75" customHeight="1" x14ac:dyDescent="0.35">
      <c r="I2148" s="42">
        <f t="shared" si="340"/>
        <v>0</v>
      </c>
      <c r="J2148" s="65" t="e">
        <f t="shared" si="341"/>
        <v>#NUM!</v>
      </c>
      <c r="K2148" s="83" t="e">
        <f t="shared" si="342"/>
        <v>#NUM!</v>
      </c>
      <c r="L2148" s="83">
        <f t="shared" si="343"/>
        <v>0</v>
      </c>
      <c r="M2148" s="110" t="str">
        <f t="shared" si="344"/>
        <v/>
      </c>
      <c r="N2148" s="51" t="str">
        <f t="shared" si="345"/>
        <v/>
      </c>
      <c r="O2148" s="52" t="str">
        <f t="shared" si="346"/>
        <v/>
      </c>
      <c r="P2148" s="88">
        <f t="shared" si="347"/>
        <v>0</v>
      </c>
      <c r="Q2148" s="88">
        <f t="shared" si="348"/>
        <v>0</v>
      </c>
      <c r="R2148" s="88" t="e">
        <f>-IF(Tabla14[[#This Row],[DIAS HABILES O MORA]]&lt;0,(Tabla14[[#This Row],[VALOR PRESTAMO]]*Tabla14[[#This Row],[% INTERES ]]/30*U2148))+Tabla14[[#This Row],[VALOR CUOTAS]]</f>
        <v>#VALUE!</v>
      </c>
      <c r="S2148" s="88">
        <f>-IF(Tabla14[[#This Row],[DIAS HABILES O MORA]]&lt;0,(Tabla14[[#This Row],[VALOR PRESTAMO]]*Tabla14[[#This Row],[% INTERES ]]/30*U2148))</f>
        <v>0</v>
      </c>
      <c r="T2148" s="53" t="e">
        <f>Tabla14[[#This Row],[DEUDA CAPITAL]]+Tabla14[[#This Row],[INTERES  CUOTA]]</f>
        <v>#NUM!</v>
      </c>
      <c r="U2148" s="61" t="str">
        <f t="shared" si="349"/>
        <v/>
      </c>
    </row>
    <row r="2149" spans="9:21" ht="24.75" customHeight="1" x14ac:dyDescent="0.35">
      <c r="I2149" s="42">
        <f t="shared" si="340"/>
        <v>0</v>
      </c>
      <c r="J2149" s="65" t="e">
        <f t="shared" si="341"/>
        <v>#NUM!</v>
      </c>
      <c r="K2149" s="83" t="e">
        <f t="shared" si="342"/>
        <v>#NUM!</v>
      </c>
      <c r="L2149" s="83">
        <f t="shared" si="343"/>
        <v>0</v>
      </c>
      <c r="M2149" s="110" t="str">
        <f t="shared" si="344"/>
        <v/>
      </c>
      <c r="N2149" s="51" t="str">
        <f t="shared" si="345"/>
        <v/>
      </c>
      <c r="O2149" s="52" t="str">
        <f t="shared" si="346"/>
        <v/>
      </c>
      <c r="P2149" s="88">
        <f t="shared" si="347"/>
        <v>0</v>
      </c>
      <c r="Q2149" s="88">
        <f t="shared" si="348"/>
        <v>0</v>
      </c>
      <c r="R2149" s="88" t="e">
        <f>-IF(Tabla14[[#This Row],[DIAS HABILES O MORA]]&lt;0,(Tabla14[[#This Row],[VALOR PRESTAMO]]*Tabla14[[#This Row],[% INTERES ]]/30*U2149))+Tabla14[[#This Row],[VALOR CUOTAS]]</f>
        <v>#VALUE!</v>
      </c>
      <c r="S2149" s="88">
        <f>-IF(Tabla14[[#This Row],[DIAS HABILES O MORA]]&lt;0,(Tabla14[[#This Row],[VALOR PRESTAMO]]*Tabla14[[#This Row],[% INTERES ]]/30*U2149))</f>
        <v>0</v>
      </c>
      <c r="T2149" s="53" t="e">
        <f>Tabla14[[#This Row],[DEUDA CAPITAL]]+Tabla14[[#This Row],[INTERES  CUOTA]]</f>
        <v>#NUM!</v>
      </c>
      <c r="U2149" s="61" t="str">
        <f t="shared" si="349"/>
        <v/>
      </c>
    </row>
    <row r="2150" spans="9:21" ht="24.75" customHeight="1" x14ac:dyDescent="0.35">
      <c r="I2150" s="42">
        <f t="shared" si="340"/>
        <v>0</v>
      </c>
      <c r="J2150" s="65" t="e">
        <f t="shared" si="341"/>
        <v>#NUM!</v>
      </c>
      <c r="K2150" s="83" t="e">
        <f t="shared" si="342"/>
        <v>#NUM!</v>
      </c>
      <c r="L2150" s="83">
        <f t="shared" si="343"/>
        <v>0</v>
      </c>
      <c r="M2150" s="110" t="str">
        <f t="shared" si="344"/>
        <v/>
      </c>
      <c r="N2150" s="51" t="str">
        <f t="shared" si="345"/>
        <v/>
      </c>
      <c r="O2150" s="52" t="str">
        <f t="shared" si="346"/>
        <v/>
      </c>
      <c r="P2150" s="88">
        <f t="shared" si="347"/>
        <v>0</v>
      </c>
      <c r="Q2150" s="88">
        <f t="shared" si="348"/>
        <v>0</v>
      </c>
      <c r="R2150" s="88" t="e">
        <f>-IF(Tabla14[[#This Row],[DIAS HABILES O MORA]]&lt;0,(Tabla14[[#This Row],[VALOR PRESTAMO]]*Tabla14[[#This Row],[% INTERES ]]/30*U2150))+Tabla14[[#This Row],[VALOR CUOTAS]]</f>
        <v>#VALUE!</v>
      </c>
      <c r="S2150" s="88">
        <f>-IF(Tabla14[[#This Row],[DIAS HABILES O MORA]]&lt;0,(Tabla14[[#This Row],[VALOR PRESTAMO]]*Tabla14[[#This Row],[% INTERES ]]/30*U2150))</f>
        <v>0</v>
      </c>
      <c r="T2150" s="53" t="e">
        <f>Tabla14[[#This Row],[DEUDA CAPITAL]]+Tabla14[[#This Row],[INTERES  CUOTA]]</f>
        <v>#NUM!</v>
      </c>
      <c r="U2150" s="61" t="str">
        <f t="shared" si="349"/>
        <v/>
      </c>
    </row>
    <row r="2151" spans="9:21" ht="24.75" customHeight="1" x14ac:dyDescent="0.35">
      <c r="I2151" s="42">
        <f t="shared" si="340"/>
        <v>0</v>
      </c>
      <c r="J2151" s="65" t="e">
        <f t="shared" si="341"/>
        <v>#NUM!</v>
      </c>
      <c r="K2151" s="83" t="e">
        <f t="shared" si="342"/>
        <v>#NUM!</v>
      </c>
      <c r="L2151" s="83">
        <f t="shared" si="343"/>
        <v>0</v>
      </c>
      <c r="M2151" s="110" t="str">
        <f t="shared" si="344"/>
        <v/>
      </c>
      <c r="N2151" s="51" t="str">
        <f t="shared" si="345"/>
        <v/>
      </c>
      <c r="O2151" s="52" t="str">
        <f t="shared" si="346"/>
        <v/>
      </c>
      <c r="P2151" s="88">
        <f t="shared" si="347"/>
        <v>0</v>
      </c>
      <c r="Q2151" s="88">
        <f t="shared" si="348"/>
        <v>0</v>
      </c>
      <c r="R2151" s="88" t="e">
        <f>-IF(Tabla14[[#This Row],[DIAS HABILES O MORA]]&lt;0,(Tabla14[[#This Row],[VALOR PRESTAMO]]*Tabla14[[#This Row],[% INTERES ]]/30*U2151))+Tabla14[[#This Row],[VALOR CUOTAS]]</f>
        <v>#VALUE!</v>
      </c>
      <c r="S2151" s="88">
        <f>-IF(Tabla14[[#This Row],[DIAS HABILES O MORA]]&lt;0,(Tabla14[[#This Row],[VALOR PRESTAMO]]*Tabla14[[#This Row],[% INTERES ]]/30*U2151))</f>
        <v>0</v>
      </c>
      <c r="T2151" s="53" t="e">
        <f>Tabla14[[#This Row],[DEUDA CAPITAL]]+Tabla14[[#This Row],[INTERES  CUOTA]]</f>
        <v>#NUM!</v>
      </c>
      <c r="U2151" s="61" t="str">
        <f t="shared" si="349"/>
        <v/>
      </c>
    </row>
    <row r="2152" spans="9:21" ht="24.75" customHeight="1" x14ac:dyDescent="0.35">
      <c r="I2152" s="42">
        <f t="shared" si="340"/>
        <v>0</v>
      </c>
      <c r="J2152" s="65" t="e">
        <f t="shared" si="341"/>
        <v>#NUM!</v>
      </c>
      <c r="K2152" s="83" t="e">
        <f t="shared" si="342"/>
        <v>#NUM!</v>
      </c>
      <c r="L2152" s="83">
        <f t="shared" si="343"/>
        <v>0</v>
      </c>
      <c r="M2152" s="110" t="str">
        <f t="shared" si="344"/>
        <v/>
      </c>
      <c r="N2152" s="51" t="str">
        <f t="shared" si="345"/>
        <v/>
      </c>
      <c r="O2152" s="52" t="str">
        <f t="shared" si="346"/>
        <v/>
      </c>
      <c r="P2152" s="88">
        <f t="shared" si="347"/>
        <v>0</v>
      </c>
      <c r="Q2152" s="88">
        <f t="shared" si="348"/>
        <v>0</v>
      </c>
      <c r="R2152" s="88" t="e">
        <f>-IF(Tabla14[[#This Row],[DIAS HABILES O MORA]]&lt;0,(Tabla14[[#This Row],[VALOR PRESTAMO]]*Tabla14[[#This Row],[% INTERES ]]/30*U2152))+Tabla14[[#This Row],[VALOR CUOTAS]]</f>
        <v>#VALUE!</v>
      </c>
      <c r="S2152" s="88">
        <f>-IF(Tabla14[[#This Row],[DIAS HABILES O MORA]]&lt;0,(Tabla14[[#This Row],[VALOR PRESTAMO]]*Tabla14[[#This Row],[% INTERES ]]/30*U2152))</f>
        <v>0</v>
      </c>
      <c r="T2152" s="53" t="e">
        <f>Tabla14[[#This Row],[DEUDA CAPITAL]]+Tabla14[[#This Row],[INTERES  CUOTA]]</f>
        <v>#NUM!</v>
      </c>
      <c r="U2152" s="61" t="str">
        <f t="shared" si="349"/>
        <v/>
      </c>
    </row>
    <row r="2153" spans="9:21" ht="24.75" customHeight="1" x14ac:dyDescent="0.35">
      <c r="I2153" s="42">
        <f t="shared" si="340"/>
        <v>0</v>
      </c>
      <c r="J2153" s="65" t="e">
        <f t="shared" si="341"/>
        <v>#NUM!</v>
      </c>
      <c r="K2153" s="83" t="e">
        <f t="shared" si="342"/>
        <v>#NUM!</v>
      </c>
      <c r="L2153" s="83">
        <f t="shared" si="343"/>
        <v>0</v>
      </c>
      <c r="M2153" s="110" t="str">
        <f t="shared" si="344"/>
        <v/>
      </c>
      <c r="N2153" s="51" t="str">
        <f t="shared" si="345"/>
        <v/>
      </c>
      <c r="O2153" s="52" t="str">
        <f t="shared" si="346"/>
        <v/>
      </c>
      <c r="P2153" s="88">
        <f t="shared" si="347"/>
        <v>0</v>
      </c>
      <c r="Q2153" s="88">
        <f t="shared" si="348"/>
        <v>0</v>
      </c>
      <c r="R2153" s="88" t="e">
        <f>-IF(Tabla14[[#This Row],[DIAS HABILES O MORA]]&lt;0,(Tabla14[[#This Row],[VALOR PRESTAMO]]*Tabla14[[#This Row],[% INTERES ]]/30*U2153))+Tabla14[[#This Row],[VALOR CUOTAS]]</f>
        <v>#VALUE!</v>
      </c>
      <c r="S2153" s="88">
        <f>-IF(Tabla14[[#This Row],[DIAS HABILES O MORA]]&lt;0,(Tabla14[[#This Row],[VALOR PRESTAMO]]*Tabla14[[#This Row],[% INTERES ]]/30*U2153))</f>
        <v>0</v>
      </c>
      <c r="T2153" s="53" t="e">
        <f>Tabla14[[#This Row],[DEUDA CAPITAL]]+Tabla14[[#This Row],[INTERES  CUOTA]]</f>
        <v>#NUM!</v>
      </c>
      <c r="U2153" s="61" t="str">
        <f t="shared" si="349"/>
        <v/>
      </c>
    </row>
    <row r="2154" spans="9:21" ht="24.75" customHeight="1" x14ac:dyDescent="0.35">
      <c r="I2154" s="42">
        <f t="shared" si="340"/>
        <v>0</v>
      </c>
      <c r="J2154" s="65" t="e">
        <f t="shared" si="341"/>
        <v>#NUM!</v>
      </c>
      <c r="K2154" s="83" t="e">
        <f t="shared" si="342"/>
        <v>#NUM!</v>
      </c>
      <c r="L2154" s="83">
        <f t="shared" si="343"/>
        <v>0</v>
      </c>
      <c r="M2154" s="110" t="str">
        <f t="shared" si="344"/>
        <v/>
      </c>
      <c r="N2154" s="51" t="str">
        <f t="shared" si="345"/>
        <v/>
      </c>
      <c r="O2154" s="52" t="str">
        <f t="shared" si="346"/>
        <v/>
      </c>
      <c r="P2154" s="88">
        <f t="shared" si="347"/>
        <v>0</v>
      </c>
      <c r="Q2154" s="88">
        <f t="shared" si="348"/>
        <v>0</v>
      </c>
      <c r="R2154" s="88" t="e">
        <f>-IF(Tabla14[[#This Row],[DIAS HABILES O MORA]]&lt;0,(Tabla14[[#This Row],[VALOR PRESTAMO]]*Tabla14[[#This Row],[% INTERES ]]/30*U2154))+Tabla14[[#This Row],[VALOR CUOTAS]]</f>
        <v>#VALUE!</v>
      </c>
      <c r="S2154" s="88">
        <f>-IF(Tabla14[[#This Row],[DIAS HABILES O MORA]]&lt;0,(Tabla14[[#This Row],[VALOR PRESTAMO]]*Tabla14[[#This Row],[% INTERES ]]/30*U2154))</f>
        <v>0</v>
      </c>
      <c r="T2154" s="53" t="e">
        <f>Tabla14[[#This Row],[DEUDA CAPITAL]]+Tabla14[[#This Row],[INTERES  CUOTA]]</f>
        <v>#NUM!</v>
      </c>
      <c r="U2154" s="61" t="str">
        <f t="shared" si="349"/>
        <v/>
      </c>
    </row>
    <row r="2155" spans="9:21" ht="24.75" customHeight="1" x14ac:dyDescent="0.35">
      <c r="I2155" s="42">
        <f t="shared" si="340"/>
        <v>0</v>
      </c>
      <c r="J2155" s="65" t="e">
        <f t="shared" si="341"/>
        <v>#NUM!</v>
      </c>
      <c r="K2155" s="83" t="e">
        <f t="shared" si="342"/>
        <v>#NUM!</v>
      </c>
      <c r="L2155" s="83">
        <f t="shared" si="343"/>
        <v>0</v>
      </c>
      <c r="M2155" s="110" t="str">
        <f t="shared" si="344"/>
        <v/>
      </c>
      <c r="N2155" s="51" t="str">
        <f t="shared" si="345"/>
        <v/>
      </c>
      <c r="O2155" s="52" t="str">
        <f t="shared" si="346"/>
        <v/>
      </c>
      <c r="P2155" s="88">
        <f t="shared" si="347"/>
        <v>0</v>
      </c>
      <c r="Q2155" s="88">
        <f t="shared" si="348"/>
        <v>0</v>
      </c>
      <c r="R2155" s="88" t="e">
        <f>-IF(Tabla14[[#This Row],[DIAS HABILES O MORA]]&lt;0,(Tabla14[[#This Row],[VALOR PRESTAMO]]*Tabla14[[#This Row],[% INTERES ]]/30*U2155))+Tabla14[[#This Row],[VALOR CUOTAS]]</f>
        <v>#VALUE!</v>
      </c>
      <c r="S2155" s="88">
        <f>-IF(Tabla14[[#This Row],[DIAS HABILES O MORA]]&lt;0,(Tabla14[[#This Row],[VALOR PRESTAMO]]*Tabla14[[#This Row],[% INTERES ]]/30*U2155))</f>
        <v>0</v>
      </c>
      <c r="T2155" s="53" t="e">
        <f>Tabla14[[#This Row],[DEUDA CAPITAL]]+Tabla14[[#This Row],[INTERES  CUOTA]]</f>
        <v>#NUM!</v>
      </c>
      <c r="U2155" s="61" t="str">
        <f t="shared" si="349"/>
        <v/>
      </c>
    </row>
    <row r="2156" spans="9:21" ht="24.75" customHeight="1" x14ac:dyDescent="0.35">
      <c r="I2156" s="42">
        <f t="shared" si="340"/>
        <v>0</v>
      </c>
      <c r="J2156" s="65" t="e">
        <f t="shared" si="341"/>
        <v>#NUM!</v>
      </c>
      <c r="K2156" s="83" t="e">
        <f t="shared" si="342"/>
        <v>#NUM!</v>
      </c>
      <c r="L2156" s="83">
        <f t="shared" si="343"/>
        <v>0</v>
      </c>
      <c r="M2156" s="110" t="str">
        <f t="shared" si="344"/>
        <v/>
      </c>
      <c r="N2156" s="51" t="str">
        <f t="shared" si="345"/>
        <v/>
      </c>
      <c r="O2156" s="52" t="str">
        <f t="shared" si="346"/>
        <v/>
      </c>
      <c r="P2156" s="88">
        <f t="shared" si="347"/>
        <v>0</v>
      </c>
      <c r="Q2156" s="88">
        <f t="shared" si="348"/>
        <v>0</v>
      </c>
      <c r="R2156" s="88" t="e">
        <f>-IF(Tabla14[[#This Row],[DIAS HABILES O MORA]]&lt;0,(Tabla14[[#This Row],[VALOR PRESTAMO]]*Tabla14[[#This Row],[% INTERES ]]/30*U2156))+Tabla14[[#This Row],[VALOR CUOTAS]]</f>
        <v>#VALUE!</v>
      </c>
      <c r="S2156" s="88">
        <f>-IF(Tabla14[[#This Row],[DIAS HABILES O MORA]]&lt;0,(Tabla14[[#This Row],[VALOR PRESTAMO]]*Tabla14[[#This Row],[% INTERES ]]/30*U2156))</f>
        <v>0</v>
      </c>
      <c r="T2156" s="53" t="e">
        <f>Tabla14[[#This Row],[DEUDA CAPITAL]]+Tabla14[[#This Row],[INTERES  CUOTA]]</f>
        <v>#NUM!</v>
      </c>
      <c r="U2156" s="61" t="str">
        <f t="shared" si="349"/>
        <v/>
      </c>
    </row>
    <row r="2157" spans="9:21" ht="24.75" customHeight="1" x14ac:dyDescent="0.35">
      <c r="I2157" s="42">
        <f t="shared" si="340"/>
        <v>0</v>
      </c>
      <c r="J2157" s="65" t="e">
        <f t="shared" si="341"/>
        <v>#NUM!</v>
      </c>
      <c r="K2157" s="83" t="e">
        <f t="shared" si="342"/>
        <v>#NUM!</v>
      </c>
      <c r="L2157" s="83">
        <f t="shared" si="343"/>
        <v>0</v>
      </c>
      <c r="M2157" s="110" t="str">
        <f t="shared" si="344"/>
        <v/>
      </c>
      <c r="N2157" s="51" t="str">
        <f t="shared" si="345"/>
        <v/>
      </c>
      <c r="O2157" s="52" t="str">
        <f t="shared" si="346"/>
        <v/>
      </c>
      <c r="P2157" s="88">
        <f t="shared" si="347"/>
        <v>0</v>
      </c>
      <c r="Q2157" s="88">
        <f t="shared" si="348"/>
        <v>0</v>
      </c>
      <c r="R2157" s="88" t="e">
        <f>-IF(Tabla14[[#This Row],[DIAS HABILES O MORA]]&lt;0,(Tabla14[[#This Row],[VALOR PRESTAMO]]*Tabla14[[#This Row],[% INTERES ]]/30*U2157))+Tabla14[[#This Row],[VALOR CUOTAS]]</f>
        <v>#VALUE!</v>
      </c>
      <c r="S2157" s="88">
        <f>-IF(Tabla14[[#This Row],[DIAS HABILES O MORA]]&lt;0,(Tabla14[[#This Row],[VALOR PRESTAMO]]*Tabla14[[#This Row],[% INTERES ]]/30*U2157))</f>
        <v>0</v>
      </c>
      <c r="T2157" s="53" t="e">
        <f>Tabla14[[#This Row],[DEUDA CAPITAL]]+Tabla14[[#This Row],[INTERES  CUOTA]]</f>
        <v>#NUM!</v>
      </c>
      <c r="U2157" s="61" t="str">
        <f t="shared" si="349"/>
        <v/>
      </c>
    </row>
    <row r="2158" spans="9:21" ht="24.75" customHeight="1" x14ac:dyDescent="0.35">
      <c r="I2158" s="42">
        <f t="shared" si="340"/>
        <v>0</v>
      </c>
      <c r="J2158" s="65" t="e">
        <f t="shared" si="341"/>
        <v>#NUM!</v>
      </c>
      <c r="K2158" s="83" t="e">
        <f t="shared" si="342"/>
        <v>#NUM!</v>
      </c>
      <c r="L2158" s="83">
        <f t="shared" si="343"/>
        <v>0</v>
      </c>
      <c r="M2158" s="110" t="str">
        <f t="shared" si="344"/>
        <v/>
      </c>
      <c r="N2158" s="51" t="str">
        <f t="shared" si="345"/>
        <v/>
      </c>
      <c r="O2158" s="52" t="str">
        <f t="shared" si="346"/>
        <v/>
      </c>
      <c r="P2158" s="88">
        <f t="shared" si="347"/>
        <v>0</v>
      </c>
      <c r="Q2158" s="88">
        <f t="shared" si="348"/>
        <v>0</v>
      </c>
      <c r="R2158" s="88" t="e">
        <f>-IF(Tabla14[[#This Row],[DIAS HABILES O MORA]]&lt;0,(Tabla14[[#This Row],[VALOR PRESTAMO]]*Tabla14[[#This Row],[% INTERES ]]/30*U2158))+Tabla14[[#This Row],[VALOR CUOTAS]]</f>
        <v>#VALUE!</v>
      </c>
      <c r="S2158" s="88">
        <f>-IF(Tabla14[[#This Row],[DIAS HABILES O MORA]]&lt;0,(Tabla14[[#This Row],[VALOR PRESTAMO]]*Tabla14[[#This Row],[% INTERES ]]/30*U2158))</f>
        <v>0</v>
      </c>
      <c r="T2158" s="53" t="e">
        <f>Tabla14[[#This Row],[DEUDA CAPITAL]]+Tabla14[[#This Row],[INTERES  CUOTA]]</f>
        <v>#NUM!</v>
      </c>
      <c r="U2158" s="61" t="str">
        <f t="shared" si="349"/>
        <v/>
      </c>
    </row>
    <row r="2159" spans="9:21" ht="24.75" customHeight="1" x14ac:dyDescent="0.35">
      <c r="I2159" s="42">
        <f t="shared" si="340"/>
        <v>0</v>
      </c>
      <c r="J2159" s="65" t="e">
        <f t="shared" si="341"/>
        <v>#NUM!</v>
      </c>
      <c r="K2159" s="83" t="e">
        <f t="shared" si="342"/>
        <v>#NUM!</v>
      </c>
      <c r="L2159" s="83">
        <f t="shared" si="343"/>
        <v>0</v>
      </c>
      <c r="M2159" s="110" t="str">
        <f t="shared" si="344"/>
        <v/>
      </c>
      <c r="N2159" s="51" t="str">
        <f t="shared" si="345"/>
        <v/>
      </c>
      <c r="O2159" s="52" t="str">
        <f t="shared" si="346"/>
        <v/>
      </c>
      <c r="P2159" s="88">
        <f t="shared" si="347"/>
        <v>0</v>
      </c>
      <c r="Q2159" s="88">
        <f t="shared" si="348"/>
        <v>0</v>
      </c>
      <c r="R2159" s="88" t="e">
        <f>-IF(Tabla14[[#This Row],[DIAS HABILES O MORA]]&lt;0,(Tabla14[[#This Row],[VALOR PRESTAMO]]*Tabla14[[#This Row],[% INTERES ]]/30*U2159))+Tabla14[[#This Row],[VALOR CUOTAS]]</f>
        <v>#VALUE!</v>
      </c>
      <c r="S2159" s="88">
        <f>-IF(Tabla14[[#This Row],[DIAS HABILES O MORA]]&lt;0,(Tabla14[[#This Row],[VALOR PRESTAMO]]*Tabla14[[#This Row],[% INTERES ]]/30*U2159))</f>
        <v>0</v>
      </c>
      <c r="T2159" s="53" t="e">
        <f>Tabla14[[#This Row],[DEUDA CAPITAL]]+Tabla14[[#This Row],[INTERES  CUOTA]]</f>
        <v>#NUM!</v>
      </c>
      <c r="U2159" s="61" t="str">
        <f t="shared" si="349"/>
        <v/>
      </c>
    </row>
    <row r="2160" spans="9:21" ht="24.75" customHeight="1" x14ac:dyDescent="0.35">
      <c r="I2160" s="42">
        <f t="shared" si="340"/>
        <v>0</v>
      </c>
      <c r="J2160" s="65" t="e">
        <f t="shared" si="341"/>
        <v>#NUM!</v>
      </c>
      <c r="K2160" s="83" t="e">
        <f t="shared" si="342"/>
        <v>#NUM!</v>
      </c>
      <c r="L2160" s="83">
        <f t="shared" si="343"/>
        <v>0</v>
      </c>
      <c r="M2160" s="110" t="str">
        <f t="shared" si="344"/>
        <v/>
      </c>
      <c r="N2160" s="51" t="str">
        <f t="shared" si="345"/>
        <v/>
      </c>
      <c r="O2160" s="52" t="str">
        <f t="shared" si="346"/>
        <v/>
      </c>
      <c r="P2160" s="88">
        <f t="shared" si="347"/>
        <v>0</v>
      </c>
      <c r="Q2160" s="88">
        <f t="shared" si="348"/>
        <v>0</v>
      </c>
      <c r="R2160" s="88" t="e">
        <f>-IF(Tabla14[[#This Row],[DIAS HABILES O MORA]]&lt;0,(Tabla14[[#This Row],[VALOR PRESTAMO]]*Tabla14[[#This Row],[% INTERES ]]/30*U2160))+Tabla14[[#This Row],[VALOR CUOTAS]]</f>
        <v>#VALUE!</v>
      </c>
      <c r="S2160" s="88">
        <f>-IF(Tabla14[[#This Row],[DIAS HABILES O MORA]]&lt;0,(Tabla14[[#This Row],[VALOR PRESTAMO]]*Tabla14[[#This Row],[% INTERES ]]/30*U2160))</f>
        <v>0</v>
      </c>
      <c r="T2160" s="53" t="e">
        <f>Tabla14[[#This Row],[DEUDA CAPITAL]]+Tabla14[[#This Row],[INTERES  CUOTA]]</f>
        <v>#NUM!</v>
      </c>
      <c r="U2160" s="61" t="str">
        <f t="shared" si="349"/>
        <v/>
      </c>
    </row>
    <row r="2161" spans="9:21" ht="24.75" customHeight="1" x14ac:dyDescent="0.35">
      <c r="I2161" s="42">
        <f t="shared" si="340"/>
        <v>0</v>
      </c>
      <c r="J2161" s="65" t="e">
        <f t="shared" si="341"/>
        <v>#NUM!</v>
      </c>
      <c r="K2161" s="83" t="e">
        <f t="shared" si="342"/>
        <v>#NUM!</v>
      </c>
      <c r="L2161" s="83">
        <f t="shared" si="343"/>
        <v>0</v>
      </c>
      <c r="M2161" s="110" t="str">
        <f t="shared" si="344"/>
        <v/>
      </c>
      <c r="N2161" s="51" t="str">
        <f t="shared" si="345"/>
        <v/>
      </c>
      <c r="O2161" s="52" t="str">
        <f t="shared" si="346"/>
        <v/>
      </c>
      <c r="P2161" s="88">
        <f t="shared" si="347"/>
        <v>0</v>
      </c>
      <c r="Q2161" s="88">
        <f t="shared" si="348"/>
        <v>0</v>
      </c>
      <c r="R2161" s="88" t="e">
        <f>-IF(Tabla14[[#This Row],[DIAS HABILES O MORA]]&lt;0,(Tabla14[[#This Row],[VALOR PRESTAMO]]*Tabla14[[#This Row],[% INTERES ]]/30*U2161))+Tabla14[[#This Row],[VALOR CUOTAS]]</f>
        <v>#VALUE!</v>
      </c>
      <c r="S2161" s="88">
        <f>-IF(Tabla14[[#This Row],[DIAS HABILES O MORA]]&lt;0,(Tabla14[[#This Row],[VALOR PRESTAMO]]*Tabla14[[#This Row],[% INTERES ]]/30*U2161))</f>
        <v>0</v>
      </c>
      <c r="T2161" s="53" t="e">
        <f>Tabla14[[#This Row],[DEUDA CAPITAL]]+Tabla14[[#This Row],[INTERES  CUOTA]]</f>
        <v>#NUM!</v>
      </c>
      <c r="U2161" s="61" t="str">
        <f t="shared" si="349"/>
        <v/>
      </c>
    </row>
    <row r="2162" spans="9:21" ht="24.75" customHeight="1" x14ac:dyDescent="0.35">
      <c r="I2162" s="42">
        <f t="shared" si="340"/>
        <v>0</v>
      </c>
      <c r="J2162" s="65" t="e">
        <f t="shared" si="341"/>
        <v>#NUM!</v>
      </c>
      <c r="K2162" s="83" t="e">
        <f t="shared" si="342"/>
        <v>#NUM!</v>
      </c>
      <c r="L2162" s="83">
        <f t="shared" si="343"/>
        <v>0</v>
      </c>
      <c r="M2162" s="110" t="str">
        <f t="shared" si="344"/>
        <v/>
      </c>
      <c r="N2162" s="51" t="str">
        <f t="shared" si="345"/>
        <v/>
      </c>
      <c r="O2162" s="52" t="str">
        <f t="shared" si="346"/>
        <v/>
      </c>
      <c r="P2162" s="88">
        <f t="shared" si="347"/>
        <v>0</v>
      </c>
      <c r="Q2162" s="88">
        <f t="shared" si="348"/>
        <v>0</v>
      </c>
      <c r="R2162" s="88" t="e">
        <f>-IF(Tabla14[[#This Row],[DIAS HABILES O MORA]]&lt;0,(Tabla14[[#This Row],[VALOR PRESTAMO]]*Tabla14[[#This Row],[% INTERES ]]/30*U2162))+Tabla14[[#This Row],[VALOR CUOTAS]]</f>
        <v>#VALUE!</v>
      </c>
      <c r="S2162" s="88">
        <f>-IF(Tabla14[[#This Row],[DIAS HABILES O MORA]]&lt;0,(Tabla14[[#This Row],[VALOR PRESTAMO]]*Tabla14[[#This Row],[% INTERES ]]/30*U2162))</f>
        <v>0</v>
      </c>
      <c r="T2162" s="53" t="e">
        <f>Tabla14[[#This Row],[DEUDA CAPITAL]]+Tabla14[[#This Row],[INTERES  CUOTA]]</f>
        <v>#NUM!</v>
      </c>
      <c r="U2162" s="61" t="str">
        <f t="shared" si="349"/>
        <v/>
      </c>
    </row>
    <row r="2163" spans="9:21" ht="24.75" customHeight="1" x14ac:dyDescent="0.35">
      <c r="I2163" s="42">
        <f t="shared" si="340"/>
        <v>0</v>
      </c>
      <c r="J2163" s="65" t="e">
        <f t="shared" si="341"/>
        <v>#NUM!</v>
      </c>
      <c r="K2163" s="83" t="e">
        <f t="shared" si="342"/>
        <v>#NUM!</v>
      </c>
      <c r="L2163" s="83">
        <f t="shared" si="343"/>
        <v>0</v>
      </c>
      <c r="M2163" s="110" t="str">
        <f t="shared" si="344"/>
        <v/>
      </c>
      <c r="N2163" s="51" t="str">
        <f t="shared" si="345"/>
        <v/>
      </c>
      <c r="O2163" s="52" t="str">
        <f t="shared" si="346"/>
        <v/>
      </c>
      <c r="P2163" s="88">
        <f t="shared" si="347"/>
        <v>0</v>
      </c>
      <c r="Q2163" s="88">
        <f t="shared" si="348"/>
        <v>0</v>
      </c>
      <c r="R2163" s="88" t="e">
        <f>-IF(Tabla14[[#This Row],[DIAS HABILES O MORA]]&lt;0,(Tabla14[[#This Row],[VALOR PRESTAMO]]*Tabla14[[#This Row],[% INTERES ]]/30*U2163))+Tabla14[[#This Row],[VALOR CUOTAS]]</f>
        <v>#VALUE!</v>
      </c>
      <c r="S2163" s="88">
        <f>-IF(Tabla14[[#This Row],[DIAS HABILES O MORA]]&lt;0,(Tabla14[[#This Row],[VALOR PRESTAMO]]*Tabla14[[#This Row],[% INTERES ]]/30*U2163))</f>
        <v>0</v>
      </c>
      <c r="T2163" s="53" t="e">
        <f>Tabla14[[#This Row],[DEUDA CAPITAL]]+Tabla14[[#This Row],[INTERES  CUOTA]]</f>
        <v>#NUM!</v>
      </c>
      <c r="U2163" s="61" t="str">
        <f t="shared" si="349"/>
        <v/>
      </c>
    </row>
    <row r="2164" spans="9:21" ht="24.75" customHeight="1" x14ac:dyDescent="0.35">
      <c r="I2164" s="42">
        <f t="shared" si="340"/>
        <v>0</v>
      </c>
      <c r="J2164" s="65" t="e">
        <f t="shared" si="341"/>
        <v>#NUM!</v>
      </c>
      <c r="K2164" s="83" t="e">
        <f t="shared" si="342"/>
        <v>#NUM!</v>
      </c>
      <c r="L2164" s="83">
        <f t="shared" si="343"/>
        <v>0</v>
      </c>
      <c r="M2164" s="110" t="str">
        <f t="shared" si="344"/>
        <v/>
      </c>
      <c r="N2164" s="51" t="str">
        <f t="shared" si="345"/>
        <v/>
      </c>
      <c r="O2164" s="52" t="str">
        <f t="shared" si="346"/>
        <v/>
      </c>
      <c r="P2164" s="88">
        <f t="shared" si="347"/>
        <v>0</v>
      </c>
      <c r="Q2164" s="88">
        <f t="shared" si="348"/>
        <v>0</v>
      </c>
      <c r="R2164" s="88" t="e">
        <f>-IF(Tabla14[[#This Row],[DIAS HABILES O MORA]]&lt;0,(Tabla14[[#This Row],[VALOR PRESTAMO]]*Tabla14[[#This Row],[% INTERES ]]/30*U2164))+Tabla14[[#This Row],[VALOR CUOTAS]]</f>
        <v>#VALUE!</v>
      </c>
      <c r="S2164" s="88">
        <f>-IF(Tabla14[[#This Row],[DIAS HABILES O MORA]]&lt;0,(Tabla14[[#This Row],[VALOR PRESTAMO]]*Tabla14[[#This Row],[% INTERES ]]/30*U2164))</f>
        <v>0</v>
      </c>
      <c r="T2164" s="53" t="e">
        <f>Tabla14[[#This Row],[DEUDA CAPITAL]]+Tabla14[[#This Row],[INTERES  CUOTA]]</f>
        <v>#NUM!</v>
      </c>
      <c r="U2164" s="61" t="str">
        <f t="shared" si="349"/>
        <v/>
      </c>
    </row>
    <row r="2165" spans="9:21" ht="24.75" customHeight="1" x14ac:dyDescent="0.35">
      <c r="I2165" s="42">
        <f t="shared" si="340"/>
        <v>0</v>
      </c>
      <c r="J2165" s="65" t="e">
        <f t="shared" si="341"/>
        <v>#NUM!</v>
      </c>
      <c r="K2165" s="83" t="e">
        <f t="shared" si="342"/>
        <v>#NUM!</v>
      </c>
      <c r="L2165" s="83">
        <f t="shared" si="343"/>
        <v>0</v>
      </c>
      <c r="M2165" s="110" t="str">
        <f t="shared" si="344"/>
        <v/>
      </c>
      <c r="N2165" s="51" t="str">
        <f t="shared" si="345"/>
        <v/>
      </c>
      <c r="O2165" s="52" t="str">
        <f t="shared" si="346"/>
        <v/>
      </c>
      <c r="P2165" s="88">
        <f t="shared" si="347"/>
        <v>0</v>
      </c>
      <c r="Q2165" s="88">
        <f t="shared" si="348"/>
        <v>0</v>
      </c>
      <c r="R2165" s="88" t="e">
        <f>-IF(Tabla14[[#This Row],[DIAS HABILES O MORA]]&lt;0,(Tabla14[[#This Row],[VALOR PRESTAMO]]*Tabla14[[#This Row],[% INTERES ]]/30*U2165))+Tabla14[[#This Row],[VALOR CUOTAS]]</f>
        <v>#VALUE!</v>
      </c>
      <c r="S2165" s="88">
        <f>-IF(Tabla14[[#This Row],[DIAS HABILES O MORA]]&lt;0,(Tabla14[[#This Row],[VALOR PRESTAMO]]*Tabla14[[#This Row],[% INTERES ]]/30*U2165))</f>
        <v>0</v>
      </c>
      <c r="T2165" s="53" t="e">
        <f>Tabla14[[#This Row],[DEUDA CAPITAL]]+Tabla14[[#This Row],[INTERES  CUOTA]]</f>
        <v>#NUM!</v>
      </c>
      <c r="U2165" s="61" t="str">
        <f t="shared" si="349"/>
        <v/>
      </c>
    </row>
    <row r="2166" spans="9:21" ht="24.75" customHeight="1" x14ac:dyDescent="0.35">
      <c r="I2166" s="42">
        <f t="shared" si="340"/>
        <v>0</v>
      </c>
      <c r="J2166" s="65" t="e">
        <f t="shared" si="341"/>
        <v>#NUM!</v>
      </c>
      <c r="K2166" s="83" t="e">
        <f t="shared" si="342"/>
        <v>#NUM!</v>
      </c>
      <c r="L2166" s="83">
        <f t="shared" si="343"/>
        <v>0</v>
      </c>
      <c r="M2166" s="110" t="str">
        <f t="shared" si="344"/>
        <v/>
      </c>
      <c r="N2166" s="51" t="str">
        <f t="shared" si="345"/>
        <v/>
      </c>
      <c r="O2166" s="52" t="str">
        <f t="shared" si="346"/>
        <v/>
      </c>
      <c r="P2166" s="88">
        <f t="shared" si="347"/>
        <v>0</v>
      </c>
      <c r="Q2166" s="88">
        <f t="shared" si="348"/>
        <v>0</v>
      </c>
      <c r="R2166" s="88" t="e">
        <f>-IF(Tabla14[[#This Row],[DIAS HABILES O MORA]]&lt;0,(Tabla14[[#This Row],[VALOR PRESTAMO]]*Tabla14[[#This Row],[% INTERES ]]/30*U2166))+Tabla14[[#This Row],[VALOR CUOTAS]]</f>
        <v>#VALUE!</v>
      </c>
      <c r="S2166" s="88">
        <f>-IF(Tabla14[[#This Row],[DIAS HABILES O MORA]]&lt;0,(Tabla14[[#This Row],[VALOR PRESTAMO]]*Tabla14[[#This Row],[% INTERES ]]/30*U2166))</f>
        <v>0</v>
      </c>
      <c r="T2166" s="53" t="e">
        <f>Tabla14[[#This Row],[DEUDA CAPITAL]]+Tabla14[[#This Row],[INTERES  CUOTA]]</f>
        <v>#NUM!</v>
      </c>
      <c r="U2166" s="61" t="str">
        <f t="shared" si="349"/>
        <v/>
      </c>
    </row>
    <row r="2167" spans="9:21" ht="24.75" customHeight="1" x14ac:dyDescent="0.35">
      <c r="I2167" s="42">
        <f t="shared" si="340"/>
        <v>0</v>
      </c>
      <c r="J2167" s="65" t="e">
        <f t="shared" si="341"/>
        <v>#NUM!</v>
      </c>
      <c r="K2167" s="83" t="e">
        <f t="shared" si="342"/>
        <v>#NUM!</v>
      </c>
      <c r="L2167" s="83">
        <f t="shared" si="343"/>
        <v>0</v>
      </c>
      <c r="M2167" s="110" t="str">
        <f t="shared" si="344"/>
        <v/>
      </c>
      <c r="N2167" s="51" t="str">
        <f t="shared" si="345"/>
        <v/>
      </c>
      <c r="O2167" s="52" t="str">
        <f t="shared" si="346"/>
        <v/>
      </c>
      <c r="P2167" s="88">
        <f t="shared" si="347"/>
        <v>0</v>
      </c>
      <c r="Q2167" s="88">
        <f t="shared" si="348"/>
        <v>0</v>
      </c>
      <c r="R2167" s="88" t="e">
        <f>-IF(Tabla14[[#This Row],[DIAS HABILES O MORA]]&lt;0,(Tabla14[[#This Row],[VALOR PRESTAMO]]*Tabla14[[#This Row],[% INTERES ]]/30*U2167))+Tabla14[[#This Row],[VALOR CUOTAS]]</f>
        <v>#VALUE!</v>
      </c>
      <c r="S2167" s="88">
        <f>-IF(Tabla14[[#This Row],[DIAS HABILES O MORA]]&lt;0,(Tabla14[[#This Row],[VALOR PRESTAMO]]*Tabla14[[#This Row],[% INTERES ]]/30*U2167))</f>
        <v>0</v>
      </c>
      <c r="T2167" s="53" t="e">
        <f>Tabla14[[#This Row],[DEUDA CAPITAL]]+Tabla14[[#This Row],[INTERES  CUOTA]]</f>
        <v>#NUM!</v>
      </c>
      <c r="U2167" s="61" t="str">
        <f t="shared" si="349"/>
        <v/>
      </c>
    </row>
    <row r="2168" spans="9:21" ht="24.75" customHeight="1" x14ac:dyDescent="0.35">
      <c r="I2168" s="42">
        <f t="shared" si="340"/>
        <v>0</v>
      </c>
      <c r="J2168" s="65" t="e">
        <f t="shared" si="341"/>
        <v>#NUM!</v>
      </c>
      <c r="K2168" s="83" t="e">
        <f t="shared" si="342"/>
        <v>#NUM!</v>
      </c>
      <c r="L2168" s="83">
        <f t="shared" si="343"/>
        <v>0</v>
      </c>
      <c r="M2168" s="110" t="str">
        <f t="shared" si="344"/>
        <v/>
      </c>
      <c r="N2168" s="51" t="str">
        <f t="shared" si="345"/>
        <v/>
      </c>
      <c r="O2168" s="52" t="str">
        <f t="shared" si="346"/>
        <v/>
      </c>
      <c r="P2168" s="88">
        <f t="shared" si="347"/>
        <v>0</v>
      </c>
      <c r="Q2168" s="88">
        <f t="shared" si="348"/>
        <v>0</v>
      </c>
      <c r="R2168" s="88" t="e">
        <f>-IF(Tabla14[[#This Row],[DIAS HABILES O MORA]]&lt;0,(Tabla14[[#This Row],[VALOR PRESTAMO]]*Tabla14[[#This Row],[% INTERES ]]/30*U2168))+Tabla14[[#This Row],[VALOR CUOTAS]]</f>
        <v>#VALUE!</v>
      </c>
      <c r="S2168" s="88">
        <f>-IF(Tabla14[[#This Row],[DIAS HABILES O MORA]]&lt;0,(Tabla14[[#This Row],[VALOR PRESTAMO]]*Tabla14[[#This Row],[% INTERES ]]/30*U2168))</f>
        <v>0</v>
      </c>
      <c r="T2168" s="53" t="e">
        <f>Tabla14[[#This Row],[DEUDA CAPITAL]]+Tabla14[[#This Row],[INTERES  CUOTA]]</f>
        <v>#NUM!</v>
      </c>
      <c r="U2168" s="61" t="str">
        <f t="shared" si="349"/>
        <v/>
      </c>
    </row>
    <row r="2169" spans="9:21" ht="24.75" customHeight="1" x14ac:dyDescent="0.35">
      <c r="I2169" s="42">
        <f t="shared" si="340"/>
        <v>0</v>
      </c>
      <c r="J2169" s="65" t="e">
        <f t="shared" si="341"/>
        <v>#NUM!</v>
      </c>
      <c r="K2169" s="83" t="e">
        <f t="shared" si="342"/>
        <v>#NUM!</v>
      </c>
      <c r="L2169" s="83">
        <f t="shared" si="343"/>
        <v>0</v>
      </c>
      <c r="M2169" s="110" t="str">
        <f t="shared" si="344"/>
        <v/>
      </c>
      <c r="N2169" s="51" t="str">
        <f t="shared" si="345"/>
        <v/>
      </c>
      <c r="O2169" s="52" t="str">
        <f t="shared" si="346"/>
        <v/>
      </c>
      <c r="P2169" s="88">
        <f t="shared" si="347"/>
        <v>0</v>
      </c>
      <c r="Q2169" s="88">
        <f t="shared" si="348"/>
        <v>0</v>
      </c>
      <c r="R2169" s="88" t="e">
        <f>-IF(Tabla14[[#This Row],[DIAS HABILES O MORA]]&lt;0,(Tabla14[[#This Row],[VALOR PRESTAMO]]*Tabla14[[#This Row],[% INTERES ]]/30*U2169))+Tabla14[[#This Row],[VALOR CUOTAS]]</f>
        <v>#VALUE!</v>
      </c>
      <c r="S2169" s="88">
        <f>-IF(Tabla14[[#This Row],[DIAS HABILES O MORA]]&lt;0,(Tabla14[[#This Row],[VALOR PRESTAMO]]*Tabla14[[#This Row],[% INTERES ]]/30*U2169))</f>
        <v>0</v>
      </c>
      <c r="T2169" s="53" t="e">
        <f>Tabla14[[#This Row],[DEUDA CAPITAL]]+Tabla14[[#This Row],[INTERES  CUOTA]]</f>
        <v>#NUM!</v>
      </c>
      <c r="U2169" s="61" t="str">
        <f t="shared" si="349"/>
        <v/>
      </c>
    </row>
    <row r="2170" spans="9:21" ht="24.75" customHeight="1" x14ac:dyDescent="0.35">
      <c r="I2170" s="42">
        <f t="shared" si="340"/>
        <v>0</v>
      </c>
      <c r="J2170" s="65" t="e">
        <f t="shared" si="341"/>
        <v>#NUM!</v>
      </c>
      <c r="K2170" s="83" t="e">
        <f t="shared" si="342"/>
        <v>#NUM!</v>
      </c>
      <c r="L2170" s="83">
        <f t="shared" si="343"/>
        <v>0</v>
      </c>
      <c r="M2170" s="110" t="str">
        <f t="shared" si="344"/>
        <v/>
      </c>
      <c r="N2170" s="51" t="str">
        <f t="shared" si="345"/>
        <v/>
      </c>
      <c r="O2170" s="52" t="str">
        <f t="shared" si="346"/>
        <v/>
      </c>
      <c r="P2170" s="88">
        <f t="shared" si="347"/>
        <v>0</v>
      </c>
      <c r="Q2170" s="88">
        <f t="shared" si="348"/>
        <v>0</v>
      </c>
      <c r="R2170" s="88" t="e">
        <f>-IF(Tabla14[[#This Row],[DIAS HABILES O MORA]]&lt;0,(Tabla14[[#This Row],[VALOR PRESTAMO]]*Tabla14[[#This Row],[% INTERES ]]/30*U2170))+Tabla14[[#This Row],[VALOR CUOTAS]]</f>
        <v>#VALUE!</v>
      </c>
      <c r="S2170" s="88">
        <f>-IF(Tabla14[[#This Row],[DIAS HABILES O MORA]]&lt;0,(Tabla14[[#This Row],[VALOR PRESTAMO]]*Tabla14[[#This Row],[% INTERES ]]/30*U2170))</f>
        <v>0</v>
      </c>
      <c r="T2170" s="53" t="e">
        <f>Tabla14[[#This Row],[DEUDA CAPITAL]]+Tabla14[[#This Row],[INTERES  CUOTA]]</f>
        <v>#NUM!</v>
      </c>
      <c r="U2170" s="61" t="str">
        <f t="shared" si="349"/>
        <v/>
      </c>
    </row>
    <row r="2171" spans="9:21" ht="24.75" customHeight="1" x14ac:dyDescent="0.35">
      <c r="I2171" s="42">
        <f t="shared" si="340"/>
        <v>0</v>
      </c>
      <c r="J2171" s="65" t="e">
        <f t="shared" si="341"/>
        <v>#NUM!</v>
      </c>
      <c r="K2171" s="83" t="e">
        <f t="shared" si="342"/>
        <v>#NUM!</v>
      </c>
      <c r="L2171" s="83">
        <f t="shared" si="343"/>
        <v>0</v>
      </c>
      <c r="M2171" s="110" t="str">
        <f t="shared" si="344"/>
        <v/>
      </c>
      <c r="N2171" s="51" t="str">
        <f t="shared" si="345"/>
        <v/>
      </c>
      <c r="O2171" s="52" t="str">
        <f t="shared" si="346"/>
        <v/>
      </c>
      <c r="P2171" s="88">
        <f t="shared" si="347"/>
        <v>0</v>
      </c>
      <c r="Q2171" s="88">
        <f t="shared" si="348"/>
        <v>0</v>
      </c>
      <c r="R2171" s="88" t="e">
        <f>-IF(Tabla14[[#This Row],[DIAS HABILES O MORA]]&lt;0,(Tabla14[[#This Row],[VALOR PRESTAMO]]*Tabla14[[#This Row],[% INTERES ]]/30*U2171))+Tabla14[[#This Row],[VALOR CUOTAS]]</f>
        <v>#VALUE!</v>
      </c>
      <c r="S2171" s="88">
        <f>-IF(Tabla14[[#This Row],[DIAS HABILES O MORA]]&lt;0,(Tabla14[[#This Row],[VALOR PRESTAMO]]*Tabla14[[#This Row],[% INTERES ]]/30*U2171))</f>
        <v>0</v>
      </c>
      <c r="T2171" s="53" t="e">
        <f>Tabla14[[#This Row],[DEUDA CAPITAL]]+Tabla14[[#This Row],[INTERES  CUOTA]]</f>
        <v>#NUM!</v>
      </c>
      <c r="U2171" s="61" t="str">
        <f t="shared" si="349"/>
        <v/>
      </c>
    </row>
    <row r="2172" spans="9:21" ht="24.75" customHeight="1" x14ac:dyDescent="0.35">
      <c r="I2172" s="42">
        <f t="shared" si="340"/>
        <v>0</v>
      </c>
      <c r="J2172" s="65" t="e">
        <f t="shared" si="341"/>
        <v>#NUM!</v>
      </c>
      <c r="K2172" s="83" t="e">
        <f t="shared" si="342"/>
        <v>#NUM!</v>
      </c>
      <c r="L2172" s="83">
        <f t="shared" si="343"/>
        <v>0</v>
      </c>
      <c r="M2172" s="110" t="str">
        <f t="shared" si="344"/>
        <v/>
      </c>
      <c r="N2172" s="51" t="str">
        <f t="shared" si="345"/>
        <v/>
      </c>
      <c r="O2172" s="52" t="str">
        <f t="shared" si="346"/>
        <v/>
      </c>
      <c r="P2172" s="88">
        <f t="shared" si="347"/>
        <v>0</v>
      </c>
      <c r="Q2172" s="88">
        <f t="shared" si="348"/>
        <v>0</v>
      </c>
      <c r="R2172" s="88" t="e">
        <f>-IF(Tabla14[[#This Row],[DIAS HABILES O MORA]]&lt;0,(Tabla14[[#This Row],[VALOR PRESTAMO]]*Tabla14[[#This Row],[% INTERES ]]/30*U2172))+Tabla14[[#This Row],[VALOR CUOTAS]]</f>
        <v>#VALUE!</v>
      </c>
      <c r="S2172" s="88">
        <f>-IF(Tabla14[[#This Row],[DIAS HABILES O MORA]]&lt;0,(Tabla14[[#This Row],[VALOR PRESTAMO]]*Tabla14[[#This Row],[% INTERES ]]/30*U2172))</f>
        <v>0</v>
      </c>
      <c r="T2172" s="53" t="e">
        <f>Tabla14[[#This Row],[DEUDA CAPITAL]]+Tabla14[[#This Row],[INTERES  CUOTA]]</f>
        <v>#NUM!</v>
      </c>
      <c r="U2172" s="61" t="str">
        <f t="shared" si="349"/>
        <v/>
      </c>
    </row>
    <row r="2173" spans="9:21" ht="24.75" customHeight="1" x14ac:dyDescent="0.35">
      <c r="I2173" s="42">
        <f t="shared" si="340"/>
        <v>0</v>
      </c>
      <c r="J2173" s="65" t="e">
        <f t="shared" si="341"/>
        <v>#NUM!</v>
      </c>
      <c r="K2173" s="83" t="e">
        <f t="shared" si="342"/>
        <v>#NUM!</v>
      </c>
      <c r="L2173" s="83">
        <f t="shared" si="343"/>
        <v>0</v>
      </c>
      <c r="M2173" s="110" t="str">
        <f t="shared" si="344"/>
        <v/>
      </c>
      <c r="N2173" s="51" t="str">
        <f t="shared" si="345"/>
        <v/>
      </c>
      <c r="O2173" s="52" t="str">
        <f t="shared" si="346"/>
        <v/>
      </c>
      <c r="P2173" s="88">
        <f t="shared" si="347"/>
        <v>0</v>
      </c>
      <c r="Q2173" s="88">
        <f t="shared" si="348"/>
        <v>0</v>
      </c>
      <c r="R2173" s="88" t="e">
        <f>-IF(Tabla14[[#This Row],[DIAS HABILES O MORA]]&lt;0,(Tabla14[[#This Row],[VALOR PRESTAMO]]*Tabla14[[#This Row],[% INTERES ]]/30*U2173))+Tabla14[[#This Row],[VALOR CUOTAS]]</f>
        <v>#VALUE!</v>
      </c>
      <c r="S2173" s="88">
        <f>-IF(Tabla14[[#This Row],[DIAS HABILES O MORA]]&lt;0,(Tabla14[[#This Row],[VALOR PRESTAMO]]*Tabla14[[#This Row],[% INTERES ]]/30*U2173))</f>
        <v>0</v>
      </c>
      <c r="T2173" s="53" t="e">
        <f>Tabla14[[#This Row],[DEUDA CAPITAL]]+Tabla14[[#This Row],[INTERES  CUOTA]]</f>
        <v>#NUM!</v>
      </c>
      <c r="U2173" s="61" t="str">
        <f t="shared" si="349"/>
        <v/>
      </c>
    </row>
    <row r="2174" spans="9:21" ht="24.75" customHeight="1" x14ac:dyDescent="0.35">
      <c r="I2174" s="42">
        <f t="shared" si="340"/>
        <v>0</v>
      </c>
      <c r="J2174" s="65" t="e">
        <f t="shared" si="341"/>
        <v>#NUM!</v>
      </c>
      <c r="K2174" s="83" t="e">
        <f t="shared" si="342"/>
        <v>#NUM!</v>
      </c>
      <c r="L2174" s="83">
        <f t="shared" si="343"/>
        <v>0</v>
      </c>
      <c r="M2174" s="110" t="str">
        <f t="shared" si="344"/>
        <v/>
      </c>
      <c r="N2174" s="51" t="str">
        <f t="shared" si="345"/>
        <v/>
      </c>
      <c r="O2174" s="52" t="str">
        <f t="shared" si="346"/>
        <v/>
      </c>
      <c r="P2174" s="88">
        <f t="shared" si="347"/>
        <v>0</v>
      </c>
      <c r="Q2174" s="88">
        <f t="shared" si="348"/>
        <v>0</v>
      </c>
      <c r="R2174" s="88" t="e">
        <f>-IF(Tabla14[[#This Row],[DIAS HABILES O MORA]]&lt;0,(Tabla14[[#This Row],[VALOR PRESTAMO]]*Tabla14[[#This Row],[% INTERES ]]/30*U2174))+Tabla14[[#This Row],[VALOR CUOTAS]]</f>
        <v>#VALUE!</v>
      </c>
      <c r="S2174" s="88">
        <f>-IF(Tabla14[[#This Row],[DIAS HABILES O MORA]]&lt;0,(Tabla14[[#This Row],[VALOR PRESTAMO]]*Tabla14[[#This Row],[% INTERES ]]/30*U2174))</f>
        <v>0</v>
      </c>
      <c r="T2174" s="53" t="e">
        <f>Tabla14[[#This Row],[DEUDA CAPITAL]]+Tabla14[[#This Row],[INTERES  CUOTA]]</f>
        <v>#NUM!</v>
      </c>
      <c r="U2174" s="61" t="str">
        <f t="shared" si="349"/>
        <v/>
      </c>
    </row>
    <row r="2175" spans="9:21" ht="24.75" customHeight="1" x14ac:dyDescent="0.35">
      <c r="I2175" s="42">
        <f t="shared" si="340"/>
        <v>0</v>
      </c>
      <c r="J2175" s="65" t="e">
        <f t="shared" si="341"/>
        <v>#NUM!</v>
      </c>
      <c r="K2175" s="83" t="e">
        <f t="shared" si="342"/>
        <v>#NUM!</v>
      </c>
      <c r="L2175" s="83">
        <f t="shared" si="343"/>
        <v>0</v>
      </c>
      <c r="M2175" s="110" t="str">
        <f t="shared" si="344"/>
        <v/>
      </c>
      <c r="N2175" s="51" t="str">
        <f t="shared" si="345"/>
        <v/>
      </c>
      <c r="O2175" s="52" t="str">
        <f t="shared" si="346"/>
        <v/>
      </c>
      <c r="P2175" s="88">
        <f t="shared" si="347"/>
        <v>0</v>
      </c>
      <c r="Q2175" s="88">
        <f t="shared" si="348"/>
        <v>0</v>
      </c>
      <c r="R2175" s="88" t="e">
        <f>-IF(Tabla14[[#This Row],[DIAS HABILES O MORA]]&lt;0,(Tabla14[[#This Row],[VALOR PRESTAMO]]*Tabla14[[#This Row],[% INTERES ]]/30*U2175))+Tabla14[[#This Row],[VALOR CUOTAS]]</f>
        <v>#VALUE!</v>
      </c>
      <c r="S2175" s="88">
        <f>-IF(Tabla14[[#This Row],[DIAS HABILES O MORA]]&lt;0,(Tabla14[[#This Row],[VALOR PRESTAMO]]*Tabla14[[#This Row],[% INTERES ]]/30*U2175))</f>
        <v>0</v>
      </c>
      <c r="T2175" s="53" t="e">
        <f>Tabla14[[#This Row],[DEUDA CAPITAL]]+Tabla14[[#This Row],[INTERES  CUOTA]]</f>
        <v>#NUM!</v>
      </c>
      <c r="U2175" s="61" t="str">
        <f t="shared" si="349"/>
        <v/>
      </c>
    </row>
    <row r="2176" spans="9:21" ht="24.75" customHeight="1" x14ac:dyDescent="0.35">
      <c r="I2176" s="42">
        <f t="shared" si="340"/>
        <v>0</v>
      </c>
      <c r="J2176" s="65" t="e">
        <f t="shared" si="341"/>
        <v>#NUM!</v>
      </c>
      <c r="K2176" s="83" t="e">
        <f t="shared" si="342"/>
        <v>#NUM!</v>
      </c>
      <c r="L2176" s="83">
        <f t="shared" si="343"/>
        <v>0</v>
      </c>
      <c r="M2176" s="110" t="str">
        <f t="shared" si="344"/>
        <v/>
      </c>
      <c r="N2176" s="51" t="str">
        <f t="shared" si="345"/>
        <v/>
      </c>
      <c r="O2176" s="52" t="str">
        <f t="shared" si="346"/>
        <v/>
      </c>
      <c r="P2176" s="88">
        <f t="shared" si="347"/>
        <v>0</v>
      </c>
      <c r="Q2176" s="88">
        <f t="shared" si="348"/>
        <v>0</v>
      </c>
      <c r="R2176" s="88" t="e">
        <f>-IF(Tabla14[[#This Row],[DIAS HABILES O MORA]]&lt;0,(Tabla14[[#This Row],[VALOR PRESTAMO]]*Tabla14[[#This Row],[% INTERES ]]/30*U2176))+Tabla14[[#This Row],[VALOR CUOTAS]]</f>
        <v>#VALUE!</v>
      </c>
      <c r="S2176" s="88">
        <f>-IF(Tabla14[[#This Row],[DIAS HABILES O MORA]]&lt;0,(Tabla14[[#This Row],[VALOR PRESTAMO]]*Tabla14[[#This Row],[% INTERES ]]/30*U2176))</f>
        <v>0</v>
      </c>
      <c r="T2176" s="53" t="e">
        <f>Tabla14[[#This Row],[DEUDA CAPITAL]]+Tabla14[[#This Row],[INTERES  CUOTA]]</f>
        <v>#NUM!</v>
      </c>
      <c r="U2176" s="61" t="str">
        <f t="shared" si="349"/>
        <v/>
      </c>
    </row>
    <row r="2177" spans="9:21" ht="24.75" customHeight="1" x14ac:dyDescent="0.35">
      <c r="I2177" s="42">
        <f t="shared" si="340"/>
        <v>0</v>
      </c>
      <c r="J2177" s="65" t="e">
        <f t="shared" si="341"/>
        <v>#NUM!</v>
      </c>
      <c r="K2177" s="83" t="e">
        <f t="shared" si="342"/>
        <v>#NUM!</v>
      </c>
      <c r="L2177" s="83">
        <f t="shared" si="343"/>
        <v>0</v>
      </c>
      <c r="M2177" s="110" t="str">
        <f t="shared" si="344"/>
        <v/>
      </c>
      <c r="N2177" s="51" t="str">
        <f t="shared" si="345"/>
        <v/>
      </c>
      <c r="O2177" s="52" t="str">
        <f t="shared" si="346"/>
        <v/>
      </c>
      <c r="P2177" s="88">
        <f t="shared" si="347"/>
        <v>0</v>
      </c>
      <c r="Q2177" s="88">
        <f t="shared" si="348"/>
        <v>0</v>
      </c>
      <c r="R2177" s="88" t="e">
        <f>-IF(Tabla14[[#This Row],[DIAS HABILES O MORA]]&lt;0,(Tabla14[[#This Row],[VALOR PRESTAMO]]*Tabla14[[#This Row],[% INTERES ]]/30*U2177))+Tabla14[[#This Row],[VALOR CUOTAS]]</f>
        <v>#VALUE!</v>
      </c>
      <c r="S2177" s="88">
        <f>-IF(Tabla14[[#This Row],[DIAS HABILES O MORA]]&lt;0,(Tabla14[[#This Row],[VALOR PRESTAMO]]*Tabla14[[#This Row],[% INTERES ]]/30*U2177))</f>
        <v>0</v>
      </c>
      <c r="T2177" s="53" t="e">
        <f>Tabla14[[#This Row],[DEUDA CAPITAL]]+Tabla14[[#This Row],[INTERES  CUOTA]]</f>
        <v>#NUM!</v>
      </c>
      <c r="U2177" s="61" t="str">
        <f t="shared" si="349"/>
        <v/>
      </c>
    </row>
    <row r="2178" spans="9:21" ht="24.75" customHeight="1" x14ac:dyDescent="0.35">
      <c r="I2178" s="42">
        <f t="shared" si="340"/>
        <v>0</v>
      </c>
      <c r="J2178" s="65" t="e">
        <f t="shared" si="341"/>
        <v>#NUM!</v>
      </c>
      <c r="K2178" s="83" t="e">
        <f t="shared" si="342"/>
        <v>#NUM!</v>
      </c>
      <c r="L2178" s="83">
        <f t="shared" si="343"/>
        <v>0</v>
      </c>
      <c r="M2178" s="110" t="str">
        <f t="shared" si="344"/>
        <v/>
      </c>
      <c r="N2178" s="51" t="str">
        <f t="shared" si="345"/>
        <v/>
      </c>
      <c r="O2178" s="52" t="str">
        <f t="shared" si="346"/>
        <v/>
      </c>
      <c r="P2178" s="88">
        <f t="shared" si="347"/>
        <v>0</v>
      </c>
      <c r="Q2178" s="88">
        <f t="shared" si="348"/>
        <v>0</v>
      </c>
      <c r="R2178" s="88" t="e">
        <f>-IF(Tabla14[[#This Row],[DIAS HABILES O MORA]]&lt;0,(Tabla14[[#This Row],[VALOR PRESTAMO]]*Tabla14[[#This Row],[% INTERES ]]/30*U2178))+Tabla14[[#This Row],[VALOR CUOTAS]]</f>
        <v>#VALUE!</v>
      </c>
      <c r="S2178" s="88">
        <f>-IF(Tabla14[[#This Row],[DIAS HABILES O MORA]]&lt;0,(Tabla14[[#This Row],[VALOR PRESTAMO]]*Tabla14[[#This Row],[% INTERES ]]/30*U2178))</f>
        <v>0</v>
      </c>
      <c r="T2178" s="53" t="e">
        <f>Tabla14[[#This Row],[DEUDA CAPITAL]]+Tabla14[[#This Row],[INTERES  CUOTA]]</f>
        <v>#NUM!</v>
      </c>
      <c r="U2178" s="61" t="str">
        <f t="shared" si="349"/>
        <v/>
      </c>
    </row>
    <row r="2179" spans="9:21" ht="24.75" customHeight="1" x14ac:dyDescent="0.35">
      <c r="I2179" s="42">
        <f t="shared" si="340"/>
        <v>0</v>
      </c>
      <c r="J2179" s="65" t="e">
        <f t="shared" si="341"/>
        <v>#NUM!</v>
      </c>
      <c r="K2179" s="83" t="e">
        <f t="shared" si="342"/>
        <v>#NUM!</v>
      </c>
      <c r="L2179" s="83">
        <f t="shared" si="343"/>
        <v>0</v>
      </c>
      <c r="M2179" s="110" t="str">
        <f t="shared" si="344"/>
        <v/>
      </c>
      <c r="N2179" s="51" t="str">
        <f t="shared" si="345"/>
        <v/>
      </c>
      <c r="O2179" s="52" t="str">
        <f t="shared" si="346"/>
        <v/>
      </c>
      <c r="P2179" s="88">
        <f t="shared" si="347"/>
        <v>0</v>
      </c>
      <c r="Q2179" s="88">
        <f t="shared" si="348"/>
        <v>0</v>
      </c>
      <c r="R2179" s="88" t="e">
        <f>-IF(Tabla14[[#This Row],[DIAS HABILES O MORA]]&lt;0,(Tabla14[[#This Row],[VALOR PRESTAMO]]*Tabla14[[#This Row],[% INTERES ]]/30*U2179))+Tabla14[[#This Row],[VALOR CUOTAS]]</f>
        <v>#VALUE!</v>
      </c>
      <c r="S2179" s="88">
        <f>-IF(Tabla14[[#This Row],[DIAS HABILES O MORA]]&lt;0,(Tabla14[[#This Row],[VALOR PRESTAMO]]*Tabla14[[#This Row],[% INTERES ]]/30*U2179))</f>
        <v>0</v>
      </c>
      <c r="T2179" s="53" t="e">
        <f>Tabla14[[#This Row],[DEUDA CAPITAL]]+Tabla14[[#This Row],[INTERES  CUOTA]]</f>
        <v>#NUM!</v>
      </c>
      <c r="U2179" s="61" t="str">
        <f t="shared" si="349"/>
        <v/>
      </c>
    </row>
    <row r="2180" spans="9:21" ht="24.75" customHeight="1" x14ac:dyDescent="0.35">
      <c r="I2180" s="42">
        <f t="shared" si="340"/>
        <v>0</v>
      </c>
      <c r="J2180" s="65" t="e">
        <f t="shared" si="341"/>
        <v>#NUM!</v>
      </c>
      <c r="K2180" s="83" t="e">
        <f t="shared" si="342"/>
        <v>#NUM!</v>
      </c>
      <c r="L2180" s="83">
        <f t="shared" si="343"/>
        <v>0</v>
      </c>
      <c r="M2180" s="110" t="str">
        <f t="shared" si="344"/>
        <v/>
      </c>
      <c r="N2180" s="51" t="str">
        <f t="shared" si="345"/>
        <v/>
      </c>
      <c r="O2180" s="52" t="str">
        <f t="shared" si="346"/>
        <v/>
      </c>
      <c r="P2180" s="88">
        <f t="shared" si="347"/>
        <v>0</v>
      </c>
      <c r="Q2180" s="88">
        <f t="shared" si="348"/>
        <v>0</v>
      </c>
      <c r="R2180" s="88" t="e">
        <f>-IF(Tabla14[[#This Row],[DIAS HABILES O MORA]]&lt;0,(Tabla14[[#This Row],[VALOR PRESTAMO]]*Tabla14[[#This Row],[% INTERES ]]/30*U2180))+Tabla14[[#This Row],[VALOR CUOTAS]]</f>
        <v>#VALUE!</v>
      </c>
      <c r="S2180" s="88">
        <f>-IF(Tabla14[[#This Row],[DIAS HABILES O MORA]]&lt;0,(Tabla14[[#This Row],[VALOR PRESTAMO]]*Tabla14[[#This Row],[% INTERES ]]/30*U2180))</f>
        <v>0</v>
      </c>
      <c r="T2180" s="53" t="e">
        <f>Tabla14[[#This Row],[DEUDA CAPITAL]]+Tabla14[[#This Row],[INTERES  CUOTA]]</f>
        <v>#NUM!</v>
      </c>
      <c r="U2180" s="61" t="str">
        <f t="shared" si="349"/>
        <v/>
      </c>
    </row>
    <row r="2181" spans="9:21" ht="24.75" customHeight="1" x14ac:dyDescent="0.35">
      <c r="I2181" s="42">
        <f t="shared" si="340"/>
        <v>0</v>
      </c>
      <c r="J2181" s="65" t="e">
        <f t="shared" si="341"/>
        <v>#NUM!</v>
      </c>
      <c r="K2181" s="83" t="e">
        <f t="shared" si="342"/>
        <v>#NUM!</v>
      </c>
      <c r="L2181" s="83">
        <f t="shared" si="343"/>
        <v>0</v>
      </c>
      <c r="M2181" s="110" t="str">
        <f t="shared" si="344"/>
        <v/>
      </c>
      <c r="N2181" s="51" t="str">
        <f t="shared" si="345"/>
        <v/>
      </c>
      <c r="O2181" s="52" t="str">
        <f t="shared" si="346"/>
        <v/>
      </c>
      <c r="P2181" s="88">
        <f t="shared" si="347"/>
        <v>0</v>
      </c>
      <c r="Q2181" s="88">
        <f t="shared" si="348"/>
        <v>0</v>
      </c>
      <c r="R2181" s="88" t="e">
        <f>-IF(Tabla14[[#This Row],[DIAS HABILES O MORA]]&lt;0,(Tabla14[[#This Row],[VALOR PRESTAMO]]*Tabla14[[#This Row],[% INTERES ]]/30*U2181))+Tabla14[[#This Row],[VALOR CUOTAS]]</f>
        <v>#VALUE!</v>
      </c>
      <c r="S2181" s="88">
        <f>-IF(Tabla14[[#This Row],[DIAS HABILES O MORA]]&lt;0,(Tabla14[[#This Row],[VALOR PRESTAMO]]*Tabla14[[#This Row],[% INTERES ]]/30*U2181))</f>
        <v>0</v>
      </c>
      <c r="T2181" s="53" t="e">
        <f>Tabla14[[#This Row],[DEUDA CAPITAL]]+Tabla14[[#This Row],[INTERES  CUOTA]]</f>
        <v>#NUM!</v>
      </c>
      <c r="U2181" s="61" t="str">
        <f t="shared" si="349"/>
        <v/>
      </c>
    </row>
    <row r="2182" spans="9:21" ht="24.75" customHeight="1" x14ac:dyDescent="0.35">
      <c r="I2182" s="42">
        <f t="shared" si="340"/>
        <v>0</v>
      </c>
      <c r="J2182" s="65" t="e">
        <f t="shared" si="341"/>
        <v>#NUM!</v>
      </c>
      <c r="K2182" s="83" t="e">
        <f t="shared" si="342"/>
        <v>#NUM!</v>
      </c>
      <c r="L2182" s="83">
        <f t="shared" si="343"/>
        <v>0</v>
      </c>
      <c r="M2182" s="110" t="str">
        <f t="shared" si="344"/>
        <v/>
      </c>
      <c r="N2182" s="51" t="str">
        <f t="shared" si="345"/>
        <v/>
      </c>
      <c r="O2182" s="52" t="str">
        <f t="shared" si="346"/>
        <v/>
      </c>
      <c r="P2182" s="88">
        <f t="shared" si="347"/>
        <v>0</v>
      </c>
      <c r="Q2182" s="88">
        <f t="shared" si="348"/>
        <v>0</v>
      </c>
      <c r="R2182" s="88" t="e">
        <f>-IF(Tabla14[[#This Row],[DIAS HABILES O MORA]]&lt;0,(Tabla14[[#This Row],[VALOR PRESTAMO]]*Tabla14[[#This Row],[% INTERES ]]/30*U2182))+Tabla14[[#This Row],[VALOR CUOTAS]]</f>
        <v>#VALUE!</v>
      </c>
      <c r="S2182" s="88">
        <f>-IF(Tabla14[[#This Row],[DIAS HABILES O MORA]]&lt;0,(Tabla14[[#This Row],[VALOR PRESTAMO]]*Tabla14[[#This Row],[% INTERES ]]/30*U2182))</f>
        <v>0</v>
      </c>
      <c r="T2182" s="53" t="e">
        <f>Tabla14[[#This Row],[DEUDA CAPITAL]]+Tabla14[[#This Row],[INTERES  CUOTA]]</f>
        <v>#NUM!</v>
      </c>
      <c r="U2182" s="61" t="str">
        <f t="shared" si="349"/>
        <v/>
      </c>
    </row>
    <row r="2183" spans="9:21" ht="24.75" customHeight="1" x14ac:dyDescent="0.35">
      <c r="I2183" s="42">
        <f t="shared" si="340"/>
        <v>0</v>
      </c>
      <c r="J2183" s="65" t="e">
        <f t="shared" si="341"/>
        <v>#NUM!</v>
      </c>
      <c r="K2183" s="83" t="e">
        <f t="shared" si="342"/>
        <v>#NUM!</v>
      </c>
      <c r="L2183" s="83">
        <f t="shared" si="343"/>
        <v>0</v>
      </c>
      <c r="M2183" s="110" t="str">
        <f t="shared" si="344"/>
        <v/>
      </c>
      <c r="N2183" s="51" t="str">
        <f t="shared" si="345"/>
        <v/>
      </c>
      <c r="O2183" s="52" t="str">
        <f t="shared" si="346"/>
        <v/>
      </c>
      <c r="P2183" s="88">
        <f t="shared" si="347"/>
        <v>0</v>
      </c>
      <c r="Q2183" s="88">
        <f t="shared" si="348"/>
        <v>0</v>
      </c>
      <c r="R2183" s="88" t="e">
        <f>-IF(Tabla14[[#This Row],[DIAS HABILES O MORA]]&lt;0,(Tabla14[[#This Row],[VALOR PRESTAMO]]*Tabla14[[#This Row],[% INTERES ]]/30*U2183))+Tabla14[[#This Row],[VALOR CUOTAS]]</f>
        <v>#VALUE!</v>
      </c>
      <c r="S2183" s="88">
        <f>-IF(Tabla14[[#This Row],[DIAS HABILES O MORA]]&lt;0,(Tabla14[[#This Row],[VALOR PRESTAMO]]*Tabla14[[#This Row],[% INTERES ]]/30*U2183))</f>
        <v>0</v>
      </c>
      <c r="T2183" s="53" t="e">
        <f>Tabla14[[#This Row],[DEUDA CAPITAL]]+Tabla14[[#This Row],[INTERES  CUOTA]]</f>
        <v>#NUM!</v>
      </c>
      <c r="U2183" s="61" t="str">
        <f t="shared" si="349"/>
        <v/>
      </c>
    </row>
    <row r="2184" spans="9:21" ht="24.75" customHeight="1" x14ac:dyDescent="0.35">
      <c r="I2184" s="42">
        <f t="shared" si="340"/>
        <v>0</v>
      </c>
      <c r="J2184" s="65" t="e">
        <f t="shared" si="341"/>
        <v>#NUM!</v>
      </c>
      <c r="K2184" s="83" t="e">
        <f t="shared" si="342"/>
        <v>#NUM!</v>
      </c>
      <c r="L2184" s="83">
        <f t="shared" si="343"/>
        <v>0</v>
      </c>
      <c r="M2184" s="110" t="str">
        <f t="shared" si="344"/>
        <v/>
      </c>
      <c r="N2184" s="51" t="str">
        <f t="shared" si="345"/>
        <v/>
      </c>
      <c r="O2184" s="52" t="str">
        <f t="shared" si="346"/>
        <v/>
      </c>
      <c r="P2184" s="88">
        <f t="shared" si="347"/>
        <v>0</v>
      </c>
      <c r="Q2184" s="88">
        <f t="shared" si="348"/>
        <v>0</v>
      </c>
      <c r="R2184" s="88" t="e">
        <f>-IF(Tabla14[[#This Row],[DIAS HABILES O MORA]]&lt;0,(Tabla14[[#This Row],[VALOR PRESTAMO]]*Tabla14[[#This Row],[% INTERES ]]/30*U2184))+Tabla14[[#This Row],[VALOR CUOTAS]]</f>
        <v>#VALUE!</v>
      </c>
      <c r="S2184" s="88">
        <f>-IF(Tabla14[[#This Row],[DIAS HABILES O MORA]]&lt;0,(Tabla14[[#This Row],[VALOR PRESTAMO]]*Tabla14[[#This Row],[% INTERES ]]/30*U2184))</f>
        <v>0</v>
      </c>
      <c r="T2184" s="53" t="e">
        <f>Tabla14[[#This Row],[DEUDA CAPITAL]]+Tabla14[[#This Row],[INTERES  CUOTA]]</f>
        <v>#NUM!</v>
      </c>
      <c r="U2184" s="61" t="str">
        <f t="shared" si="349"/>
        <v/>
      </c>
    </row>
    <row r="2185" spans="9:21" ht="24.75" customHeight="1" x14ac:dyDescent="0.35">
      <c r="I2185" s="42">
        <f t="shared" si="340"/>
        <v>0</v>
      </c>
      <c r="J2185" s="65" t="e">
        <f t="shared" si="341"/>
        <v>#NUM!</v>
      </c>
      <c r="K2185" s="83" t="e">
        <f t="shared" si="342"/>
        <v>#NUM!</v>
      </c>
      <c r="L2185" s="83">
        <f t="shared" si="343"/>
        <v>0</v>
      </c>
      <c r="M2185" s="110" t="str">
        <f t="shared" si="344"/>
        <v/>
      </c>
      <c r="N2185" s="51" t="str">
        <f t="shared" si="345"/>
        <v/>
      </c>
      <c r="O2185" s="52" t="str">
        <f t="shared" si="346"/>
        <v/>
      </c>
      <c r="P2185" s="88">
        <f t="shared" si="347"/>
        <v>0</v>
      </c>
      <c r="Q2185" s="88">
        <f t="shared" si="348"/>
        <v>0</v>
      </c>
      <c r="R2185" s="88" t="e">
        <f>-IF(Tabla14[[#This Row],[DIAS HABILES O MORA]]&lt;0,(Tabla14[[#This Row],[VALOR PRESTAMO]]*Tabla14[[#This Row],[% INTERES ]]/30*U2185))+Tabla14[[#This Row],[VALOR CUOTAS]]</f>
        <v>#VALUE!</v>
      </c>
      <c r="S2185" s="88">
        <f>-IF(Tabla14[[#This Row],[DIAS HABILES O MORA]]&lt;0,(Tabla14[[#This Row],[VALOR PRESTAMO]]*Tabla14[[#This Row],[% INTERES ]]/30*U2185))</f>
        <v>0</v>
      </c>
      <c r="T2185" s="53" t="e">
        <f>Tabla14[[#This Row],[DEUDA CAPITAL]]+Tabla14[[#This Row],[INTERES  CUOTA]]</f>
        <v>#NUM!</v>
      </c>
      <c r="U2185" s="61" t="str">
        <f t="shared" si="349"/>
        <v/>
      </c>
    </row>
    <row r="2186" spans="9:21" ht="24.75" customHeight="1" x14ac:dyDescent="0.35">
      <c r="I2186" s="42">
        <f t="shared" si="340"/>
        <v>0</v>
      </c>
      <c r="J2186" s="65" t="e">
        <f t="shared" si="341"/>
        <v>#NUM!</v>
      </c>
      <c r="K2186" s="83" t="e">
        <f t="shared" si="342"/>
        <v>#NUM!</v>
      </c>
      <c r="L2186" s="83">
        <f t="shared" si="343"/>
        <v>0</v>
      </c>
      <c r="M2186" s="110" t="str">
        <f t="shared" si="344"/>
        <v/>
      </c>
      <c r="N2186" s="51" t="str">
        <f t="shared" si="345"/>
        <v/>
      </c>
      <c r="O2186" s="52" t="str">
        <f t="shared" si="346"/>
        <v/>
      </c>
      <c r="P2186" s="88">
        <f t="shared" si="347"/>
        <v>0</v>
      </c>
      <c r="Q2186" s="88">
        <f t="shared" si="348"/>
        <v>0</v>
      </c>
      <c r="R2186" s="88" t="e">
        <f>-IF(Tabla14[[#This Row],[DIAS HABILES O MORA]]&lt;0,(Tabla14[[#This Row],[VALOR PRESTAMO]]*Tabla14[[#This Row],[% INTERES ]]/30*U2186))+Tabla14[[#This Row],[VALOR CUOTAS]]</f>
        <v>#VALUE!</v>
      </c>
      <c r="S2186" s="88">
        <f>-IF(Tabla14[[#This Row],[DIAS HABILES O MORA]]&lt;0,(Tabla14[[#This Row],[VALOR PRESTAMO]]*Tabla14[[#This Row],[% INTERES ]]/30*U2186))</f>
        <v>0</v>
      </c>
      <c r="T2186" s="53" t="e">
        <f>Tabla14[[#This Row],[DEUDA CAPITAL]]+Tabla14[[#This Row],[INTERES  CUOTA]]</f>
        <v>#NUM!</v>
      </c>
      <c r="U2186" s="61" t="str">
        <f t="shared" si="349"/>
        <v/>
      </c>
    </row>
    <row r="2187" spans="9:21" ht="24.75" customHeight="1" x14ac:dyDescent="0.35">
      <c r="I2187" s="42">
        <f t="shared" si="340"/>
        <v>0</v>
      </c>
      <c r="J2187" s="65" t="e">
        <f t="shared" si="341"/>
        <v>#NUM!</v>
      </c>
      <c r="K2187" s="83" t="e">
        <f t="shared" si="342"/>
        <v>#NUM!</v>
      </c>
      <c r="L2187" s="83">
        <f t="shared" si="343"/>
        <v>0</v>
      </c>
      <c r="M2187" s="110" t="str">
        <f t="shared" si="344"/>
        <v/>
      </c>
      <c r="N2187" s="51" t="str">
        <f t="shared" si="345"/>
        <v/>
      </c>
      <c r="O2187" s="52" t="str">
        <f t="shared" si="346"/>
        <v/>
      </c>
      <c r="P2187" s="88">
        <f t="shared" si="347"/>
        <v>0</v>
      </c>
      <c r="Q2187" s="88">
        <f t="shared" si="348"/>
        <v>0</v>
      </c>
      <c r="R2187" s="88" t="e">
        <f>-IF(Tabla14[[#This Row],[DIAS HABILES O MORA]]&lt;0,(Tabla14[[#This Row],[VALOR PRESTAMO]]*Tabla14[[#This Row],[% INTERES ]]/30*U2187))+Tabla14[[#This Row],[VALOR CUOTAS]]</f>
        <v>#VALUE!</v>
      </c>
      <c r="S2187" s="88">
        <f>-IF(Tabla14[[#This Row],[DIAS HABILES O MORA]]&lt;0,(Tabla14[[#This Row],[VALOR PRESTAMO]]*Tabla14[[#This Row],[% INTERES ]]/30*U2187))</f>
        <v>0</v>
      </c>
      <c r="T2187" s="53" t="e">
        <f>Tabla14[[#This Row],[DEUDA CAPITAL]]+Tabla14[[#This Row],[INTERES  CUOTA]]</f>
        <v>#NUM!</v>
      </c>
      <c r="U2187" s="61" t="str">
        <f t="shared" si="349"/>
        <v/>
      </c>
    </row>
    <row r="2188" spans="9:21" ht="24.75" customHeight="1" x14ac:dyDescent="0.35">
      <c r="I2188" s="42">
        <f t="shared" si="340"/>
        <v>0</v>
      </c>
      <c r="J2188" s="65" t="e">
        <f t="shared" si="341"/>
        <v>#NUM!</v>
      </c>
      <c r="K2188" s="83" t="e">
        <f t="shared" si="342"/>
        <v>#NUM!</v>
      </c>
      <c r="L2188" s="83">
        <f t="shared" si="343"/>
        <v>0</v>
      </c>
      <c r="M2188" s="110" t="str">
        <f t="shared" si="344"/>
        <v/>
      </c>
      <c r="N2188" s="51" t="str">
        <f t="shared" si="345"/>
        <v/>
      </c>
      <c r="O2188" s="52" t="str">
        <f t="shared" si="346"/>
        <v/>
      </c>
      <c r="P2188" s="88">
        <f t="shared" si="347"/>
        <v>0</v>
      </c>
      <c r="Q2188" s="88">
        <f t="shared" si="348"/>
        <v>0</v>
      </c>
      <c r="R2188" s="88" t="e">
        <f>-IF(Tabla14[[#This Row],[DIAS HABILES O MORA]]&lt;0,(Tabla14[[#This Row],[VALOR PRESTAMO]]*Tabla14[[#This Row],[% INTERES ]]/30*U2188))+Tabla14[[#This Row],[VALOR CUOTAS]]</f>
        <v>#VALUE!</v>
      </c>
      <c r="S2188" s="88">
        <f>-IF(Tabla14[[#This Row],[DIAS HABILES O MORA]]&lt;0,(Tabla14[[#This Row],[VALOR PRESTAMO]]*Tabla14[[#This Row],[% INTERES ]]/30*U2188))</f>
        <v>0</v>
      </c>
      <c r="T2188" s="53" t="e">
        <f>Tabla14[[#This Row],[DEUDA CAPITAL]]+Tabla14[[#This Row],[INTERES  CUOTA]]</f>
        <v>#NUM!</v>
      </c>
      <c r="U2188" s="61" t="str">
        <f t="shared" si="349"/>
        <v/>
      </c>
    </row>
    <row r="2189" spans="9:21" ht="24.75" customHeight="1" x14ac:dyDescent="0.35">
      <c r="I2189" s="42">
        <f t="shared" si="340"/>
        <v>0</v>
      </c>
      <c r="J2189" s="65" t="e">
        <f t="shared" si="341"/>
        <v>#NUM!</v>
      </c>
      <c r="K2189" s="83" t="e">
        <f t="shared" si="342"/>
        <v>#NUM!</v>
      </c>
      <c r="L2189" s="83">
        <f t="shared" si="343"/>
        <v>0</v>
      </c>
      <c r="M2189" s="110" t="str">
        <f t="shared" si="344"/>
        <v/>
      </c>
      <c r="N2189" s="51" t="str">
        <f t="shared" si="345"/>
        <v/>
      </c>
      <c r="O2189" s="52" t="str">
        <f t="shared" si="346"/>
        <v/>
      </c>
      <c r="P2189" s="88">
        <f t="shared" si="347"/>
        <v>0</v>
      </c>
      <c r="Q2189" s="88">
        <f t="shared" si="348"/>
        <v>0</v>
      </c>
      <c r="R2189" s="88" t="e">
        <f>-IF(Tabla14[[#This Row],[DIAS HABILES O MORA]]&lt;0,(Tabla14[[#This Row],[VALOR PRESTAMO]]*Tabla14[[#This Row],[% INTERES ]]/30*U2189))+Tabla14[[#This Row],[VALOR CUOTAS]]</f>
        <v>#VALUE!</v>
      </c>
      <c r="S2189" s="88">
        <f>-IF(Tabla14[[#This Row],[DIAS HABILES O MORA]]&lt;0,(Tabla14[[#This Row],[VALOR PRESTAMO]]*Tabla14[[#This Row],[% INTERES ]]/30*U2189))</f>
        <v>0</v>
      </c>
      <c r="T2189" s="53" t="e">
        <f>Tabla14[[#This Row],[DEUDA CAPITAL]]+Tabla14[[#This Row],[INTERES  CUOTA]]</f>
        <v>#NUM!</v>
      </c>
      <c r="U2189" s="61" t="str">
        <f t="shared" si="349"/>
        <v/>
      </c>
    </row>
    <row r="2190" spans="9:21" ht="24.75" customHeight="1" x14ac:dyDescent="0.35">
      <c r="I2190" s="42">
        <f t="shared" si="340"/>
        <v>0</v>
      </c>
      <c r="J2190" s="65" t="e">
        <f t="shared" si="341"/>
        <v>#NUM!</v>
      </c>
      <c r="K2190" s="83" t="e">
        <f t="shared" si="342"/>
        <v>#NUM!</v>
      </c>
      <c r="L2190" s="83">
        <f t="shared" si="343"/>
        <v>0</v>
      </c>
      <c r="M2190" s="110" t="str">
        <f t="shared" si="344"/>
        <v/>
      </c>
      <c r="N2190" s="51" t="str">
        <f t="shared" si="345"/>
        <v/>
      </c>
      <c r="O2190" s="52" t="str">
        <f t="shared" si="346"/>
        <v/>
      </c>
      <c r="P2190" s="88">
        <f t="shared" si="347"/>
        <v>0</v>
      </c>
      <c r="Q2190" s="88">
        <f t="shared" si="348"/>
        <v>0</v>
      </c>
      <c r="R2190" s="88" t="e">
        <f>-IF(Tabla14[[#This Row],[DIAS HABILES O MORA]]&lt;0,(Tabla14[[#This Row],[VALOR PRESTAMO]]*Tabla14[[#This Row],[% INTERES ]]/30*U2190))+Tabla14[[#This Row],[VALOR CUOTAS]]</f>
        <v>#VALUE!</v>
      </c>
      <c r="S2190" s="88">
        <f>-IF(Tabla14[[#This Row],[DIAS HABILES O MORA]]&lt;0,(Tabla14[[#This Row],[VALOR PRESTAMO]]*Tabla14[[#This Row],[% INTERES ]]/30*U2190))</f>
        <v>0</v>
      </c>
      <c r="T2190" s="53" t="e">
        <f>Tabla14[[#This Row],[DEUDA CAPITAL]]+Tabla14[[#This Row],[INTERES  CUOTA]]</f>
        <v>#NUM!</v>
      </c>
      <c r="U2190" s="61" t="str">
        <f t="shared" si="349"/>
        <v/>
      </c>
    </row>
    <row r="2191" spans="9:21" ht="24.75" customHeight="1" x14ac:dyDescent="0.35">
      <c r="I2191" s="42">
        <f t="shared" si="340"/>
        <v>0</v>
      </c>
      <c r="J2191" s="65" t="e">
        <f t="shared" si="341"/>
        <v>#NUM!</v>
      </c>
      <c r="K2191" s="83" t="e">
        <f t="shared" si="342"/>
        <v>#NUM!</v>
      </c>
      <c r="L2191" s="83">
        <f t="shared" si="343"/>
        <v>0</v>
      </c>
      <c r="M2191" s="110" t="str">
        <f t="shared" si="344"/>
        <v/>
      </c>
      <c r="N2191" s="51" t="str">
        <f t="shared" si="345"/>
        <v/>
      </c>
      <c r="O2191" s="52" t="str">
        <f t="shared" si="346"/>
        <v/>
      </c>
      <c r="P2191" s="88">
        <f t="shared" si="347"/>
        <v>0</v>
      </c>
      <c r="Q2191" s="88">
        <f t="shared" si="348"/>
        <v>0</v>
      </c>
      <c r="R2191" s="88" t="e">
        <f>-IF(Tabla14[[#This Row],[DIAS HABILES O MORA]]&lt;0,(Tabla14[[#This Row],[VALOR PRESTAMO]]*Tabla14[[#This Row],[% INTERES ]]/30*U2191))+Tabla14[[#This Row],[VALOR CUOTAS]]</f>
        <v>#VALUE!</v>
      </c>
      <c r="S2191" s="88">
        <f>-IF(Tabla14[[#This Row],[DIAS HABILES O MORA]]&lt;0,(Tabla14[[#This Row],[VALOR PRESTAMO]]*Tabla14[[#This Row],[% INTERES ]]/30*U2191))</f>
        <v>0</v>
      </c>
      <c r="T2191" s="53" t="e">
        <f>Tabla14[[#This Row],[DEUDA CAPITAL]]+Tabla14[[#This Row],[INTERES  CUOTA]]</f>
        <v>#NUM!</v>
      </c>
      <c r="U2191" s="61" t="str">
        <f t="shared" si="349"/>
        <v/>
      </c>
    </row>
    <row r="2192" spans="9:21" ht="24.75" customHeight="1" x14ac:dyDescent="0.35">
      <c r="I2192" s="42">
        <f t="shared" ref="I2192:I2255" si="350">IF(C2192&lt;0,"",IF(Q2192=0,0,IF(G2192=0,H2192+1,IF(H2192&lt;G2192,H2192+1,IF(G2192=H2192,0)))))</f>
        <v>0</v>
      </c>
      <c r="J2192" s="65" t="e">
        <f t="shared" ref="J2192:J2255" si="351">IF(F2192="SOLO INTERES",Q2192*D2192,-IPMT(D2192,I2192,G2192,C2192))</f>
        <v>#NUM!</v>
      </c>
      <c r="K2192" s="83" t="e">
        <f t="shared" ref="K2192:K2255" si="352">IF(F2192="SOLO INTERES",0,-PPMT(D2192,I2192,G2192,C2192))</f>
        <v>#NUM!</v>
      </c>
      <c r="L2192" s="83">
        <f t="shared" ref="L2192:L2255" si="353">IF(F2192="SOLO INTERES",SUM(Y2192:AAE2192),IFERROR(-CUMIPMT(D2192,G2192,C2192,1,H2192,0),0)+SUM(Y2192:WY2192))</f>
        <v>0</v>
      </c>
      <c r="M2192" s="110" t="str">
        <f t="shared" ref="M2192:M2255" si="354">IFERROR(IF(F2192="SOLO INTERES",Q2192*D2192,-PMT(D2192,G2192,C2192,0)),"")</f>
        <v/>
      </c>
      <c r="N2192" s="51" t="str">
        <f t="shared" ref="N2192:N2255" si="355">IF(Q2192=0,"",IF(E2192="MENSUAL",EDATE(B2192,I2192),IF(E2192="QUINCENAL",B2192+(I2192*15),IF(E2192="SEMANAL",B2192+(I2192*7)))))</f>
        <v/>
      </c>
      <c r="O2192" s="52" t="str">
        <f t="shared" ref="O2192:O2255" si="356">IF(C2192=0,"",IF(Q2192&lt;1,"PAGADO",IF(N2192=$A$3,"COBRAR HOY",IF(N2192&lt;$A$3,"EN MORA",IF(N2192&gt;$A$3,"AL DIA")))))</f>
        <v/>
      </c>
      <c r="P2192" s="88">
        <f t="shared" ref="P2192:P2255" si="357">IFERROR(-CUMPRINC(D2192,G2192,C2192,1,H2192,0),0)+W2192</f>
        <v>0</v>
      </c>
      <c r="Q2192" s="88">
        <f t="shared" ref="Q2192:Q2255" si="358">IFERROR(C2192-P2192,"")</f>
        <v>0</v>
      </c>
      <c r="R2192" s="88" t="e">
        <f>-IF(Tabla14[[#This Row],[DIAS HABILES O MORA]]&lt;0,(Tabla14[[#This Row],[VALOR PRESTAMO]]*Tabla14[[#This Row],[% INTERES ]]/30*U2192))+Tabla14[[#This Row],[VALOR CUOTAS]]</f>
        <v>#VALUE!</v>
      </c>
      <c r="S2192" s="88">
        <f>-IF(Tabla14[[#This Row],[DIAS HABILES O MORA]]&lt;0,(Tabla14[[#This Row],[VALOR PRESTAMO]]*Tabla14[[#This Row],[% INTERES ]]/30*U2192))</f>
        <v>0</v>
      </c>
      <c r="T2192" s="53" t="e">
        <f>Tabla14[[#This Row],[DEUDA CAPITAL]]+Tabla14[[#This Row],[INTERES  CUOTA]]</f>
        <v>#NUM!</v>
      </c>
      <c r="U2192" s="61" t="str">
        <f t="shared" ref="U2192:U2255" si="359">IF(O2192="PAGADO","",IFERROR(-IF(C2192=0,"",$A$3-N2192),""))</f>
        <v/>
      </c>
    </row>
    <row r="2193" spans="9:21" ht="24.75" customHeight="1" x14ac:dyDescent="0.35">
      <c r="I2193" s="42">
        <f t="shared" si="350"/>
        <v>0</v>
      </c>
      <c r="J2193" s="65" t="e">
        <f t="shared" si="351"/>
        <v>#NUM!</v>
      </c>
      <c r="K2193" s="83" t="e">
        <f t="shared" si="352"/>
        <v>#NUM!</v>
      </c>
      <c r="L2193" s="83">
        <f t="shared" si="353"/>
        <v>0</v>
      </c>
      <c r="M2193" s="110" t="str">
        <f t="shared" si="354"/>
        <v/>
      </c>
      <c r="N2193" s="51" t="str">
        <f t="shared" si="355"/>
        <v/>
      </c>
      <c r="O2193" s="52" t="str">
        <f t="shared" si="356"/>
        <v/>
      </c>
      <c r="P2193" s="88">
        <f t="shared" si="357"/>
        <v>0</v>
      </c>
      <c r="Q2193" s="88">
        <f t="shared" si="358"/>
        <v>0</v>
      </c>
      <c r="R2193" s="88" t="e">
        <f>-IF(Tabla14[[#This Row],[DIAS HABILES O MORA]]&lt;0,(Tabla14[[#This Row],[VALOR PRESTAMO]]*Tabla14[[#This Row],[% INTERES ]]/30*U2193))+Tabla14[[#This Row],[VALOR CUOTAS]]</f>
        <v>#VALUE!</v>
      </c>
      <c r="S2193" s="88">
        <f>-IF(Tabla14[[#This Row],[DIAS HABILES O MORA]]&lt;0,(Tabla14[[#This Row],[VALOR PRESTAMO]]*Tabla14[[#This Row],[% INTERES ]]/30*U2193))</f>
        <v>0</v>
      </c>
      <c r="T2193" s="53" t="e">
        <f>Tabla14[[#This Row],[DEUDA CAPITAL]]+Tabla14[[#This Row],[INTERES  CUOTA]]</f>
        <v>#NUM!</v>
      </c>
      <c r="U2193" s="61" t="str">
        <f t="shared" si="359"/>
        <v/>
      </c>
    </row>
    <row r="2194" spans="9:21" ht="24.75" customHeight="1" x14ac:dyDescent="0.35">
      <c r="I2194" s="42">
        <f t="shared" si="350"/>
        <v>0</v>
      </c>
      <c r="J2194" s="65" t="e">
        <f t="shared" si="351"/>
        <v>#NUM!</v>
      </c>
      <c r="K2194" s="83" t="e">
        <f t="shared" si="352"/>
        <v>#NUM!</v>
      </c>
      <c r="L2194" s="83">
        <f t="shared" si="353"/>
        <v>0</v>
      </c>
      <c r="M2194" s="110" t="str">
        <f t="shared" si="354"/>
        <v/>
      </c>
      <c r="N2194" s="51" t="str">
        <f t="shared" si="355"/>
        <v/>
      </c>
      <c r="O2194" s="52" t="str">
        <f t="shared" si="356"/>
        <v/>
      </c>
      <c r="P2194" s="88">
        <f t="shared" si="357"/>
        <v>0</v>
      </c>
      <c r="Q2194" s="88">
        <f t="shared" si="358"/>
        <v>0</v>
      </c>
      <c r="R2194" s="88" t="e">
        <f>-IF(Tabla14[[#This Row],[DIAS HABILES O MORA]]&lt;0,(Tabla14[[#This Row],[VALOR PRESTAMO]]*Tabla14[[#This Row],[% INTERES ]]/30*U2194))+Tabla14[[#This Row],[VALOR CUOTAS]]</f>
        <v>#VALUE!</v>
      </c>
      <c r="S2194" s="88">
        <f>-IF(Tabla14[[#This Row],[DIAS HABILES O MORA]]&lt;0,(Tabla14[[#This Row],[VALOR PRESTAMO]]*Tabla14[[#This Row],[% INTERES ]]/30*U2194))</f>
        <v>0</v>
      </c>
      <c r="T2194" s="53" t="e">
        <f>Tabla14[[#This Row],[DEUDA CAPITAL]]+Tabla14[[#This Row],[INTERES  CUOTA]]</f>
        <v>#NUM!</v>
      </c>
      <c r="U2194" s="61" t="str">
        <f t="shared" si="359"/>
        <v/>
      </c>
    </row>
    <row r="2195" spans="9:21" ht="24.75" customHeight="1" x14ac:dyDescent="0.35">
      <c r="I2195" s="42">
        <f t="shared" si="350"/>
        <v>0</v>
      </c>
      <c r="J2195" s="65" t="e">
        <f t="shared" si="351"/>
        <v>#NUM!</v>
      </c>
      <c r="K2195" s="83" t="e">
        <f t="shared" si="352"/>
        <v>#NUM!</v>
      </c>
      <c r="L2195" s="83">
        <f t="shared" si="353"/>
        <v>0</v>
      </c>
      <c r="M2195" s="110" t="str">
        <f t="shared" si="354"/>
        <v/>
      </c>
      <c r="N2195" s="51" t="str">
        <f t="shared" si="355"/>
        <v/>
      </c>
      <c r="O2195" s="52" t="str">
        <f t="shared" si="356"/>
        <v/>
      </c>
      <c r="P2195" s="88">
        <f t="shared" si="357"/>
        <v>0</v>
      </c>
      <c r="Q2195" s="88">
        <f t="shared" si="358"/>
        <v>0</v>
      </c>
      <c r="R2195" s="88" t="e">
        <f>-IF(Tabla14[[#This Row],[DIAS HABILES O MORA]]&lt;0,(Tabla14[[#This Row],[VALOR PRESTAMO]]*Tabla14[[#This Row],[% INTERES ]]/30*U2195))+Tabla14[[#This Row],[VALOR CUOTAS]]</f>
        <v>#VALUE!</v>
      </c>
      <c r="S2195" s="88">
        <f>-IF(Tabla14[[#This Row],[DIAS HABILES O MORA]]&lt;0,(Tabla14[[#This Row],[VALOR PRESTAMO]]*Tabla14[[#This Row],[% INTERES ]]/30*U2195))</f>
        <v>0</v>
      </c>
      <c r="T2195" s="53" t="e">
        <f>Tabla14[[#This Row],[DEUDA CAPITAL]]+Tabla14[[#This Row],[INTERES  CUOTA]]</f>
        <v>#NUM!</v>
      </c>
      <c r="U2195" s="61" t="str">
        <f t="shared" si="359"/>
        <v/>
      </c>
    </row>
    <row r="2196" spans="9:21" ht="24.75" customHeight="1" x14ac:dyDescent="0.35">
      <c r="I2196" s="42">
        <f t="shared" si="350"/>
        <v>0</v>
      </c>
      <c r="J2196" s="65" t="e">
        <f t="shared" si="351"/>
        <v>#NUM!</v>
      </c>
      <c r="K2196" s="83" t="e">
        <f t="shared" si="352"/>
        <v>#NUM!</v>
      </c>
      <c r="L2196" s="83">
        <f t="shared" si="353"/>
        <v>0</v>
      </c>
      <c r="M2196" s="110" t="str">
        <f t="shared" si="354"/>
        <v/>
      </c>
      <c r="N2196" s="51" t="str">
        <f t="shared" si="355"/>
        <v/>
      </c>
      <c r="O2196" s="52" t="str">
        <f t="shared" si="356"/>
        <v/>
      </c>
      <c r="P2196" s="88">
        <f t="shared" si="357"/>
        <v>0</v>
      </c>
      <c r="Q2196" s="88">
        <f t="shared" si="358"/>
        <v>0</v>
      </c>
      <c r="R2196" s="88" t="e">
        <f>-IF(Tabla14[[#This Row],[DIAS HABILES O MORA]]&lt;0,(Tabla14[[#This Row],[VALOR PRESTAMO]]*Tabla14[[#This Row],[% INTERES ]]/30*U2196))+Tabla14[[#This Row],[VALOR CUOTAS]]</f>
        <v>#VALUE!</v>
      </c>
      <c r="S2196" s="88">
        <f>-IF(Tabla14[[#This Row],[DIAS HABILES O MORA]]&lt;0,(Tabla14[[#This Row],[VALOR PRESTAMO]]*Tabla14[[#This Row],[% INTERES ]]/30*U2196))</f>
        <v>0</v>
      </c>
      <c r="T2196" s="53" t="e">
        <f>Tabla14[[#This Row],[DEUDA CAPITAL]]+Tabla14[[#This Row],[INTERES  CUOTA]]</f>
        <v>#NUM!</v>
      </c>
      <c r="U2196" s="61" t="str">
        <f t="shared" si="359"/>
        <v/>
      </c>
    </row>
    <row r="2197" spans="9:21" ht="24.75" customHeight="1" x14ac:dyDescent="0.35">
      <c r="I2197" s="42">
        <f t="shared" si="350"/>
        <v>0</v>
      </c>
      <c r="J2197" s="65" t="e">
        <f t="shared" si="351"/>
        <v>#NUM!</v>
      </c>
      <c r="K2197" s="83" t="e">
        <f t="shared" si="352"/>
        <v>#NUM!</v>
      </c>
      <c r="L2197" s="83">
        <f t="shared" si="353"/>
        <v>0</v>
      </c>
      <c r="M2197" s="110" t="str">
        <f t="shared" si="354"/>
        <v/>
      </c>
      <c r="N2197" s="51" t="str">
        <f t="shared" si="355"/>
        <v/>
      </c>
      <c r="O2197" s="52" t="str">
        <f t="shared" si="356"/>
        <v/>
      </c>
      <c r="P2197" s="88">
        <f t="shared" si="357"/>
        <v>0</v>
      </c>
      <c r="Q2197" s="88">
        <f t="shared" si="358"/>
        <v>0</v>
      </c>
      <c r="R2197" s="88" t="e">
        <f>-IF(Tabla14[[#This Row],[DIAS HABILES O MORA]]&lt;0,(Tabla14[[#This Row],[VALOR PRESTAMO]]*Tabla14[[#This Row],[% INTERES ]]/30*U2197))+Tabla14[[#This Row],[VALOR CUOTAS]]</f>
        <v>#VALUE!</v>
      </c>
      <c r="S2197" s="88">
        <f>-IF(Tabla14[[#This Row],[DIAS HABILES O MORA]]&lt;0,(Tabla14[[#This Row],[VALOR PRESTAMO]]*Tabla14[[#This Row],[% INTERES ]]/30*U2197))</f>
        <v>0</v>
      </c>
      <c r="T2197" s="53" t="e">
        <f>Tabla14[[#This Row],[DEUDA CAPITAL]]+Tabla14[[#This Row],[INTERES  CUOTA]]</f>
        <v>#NUM!</v>
      </c>
      <c r="U2197" s="61" t="str">
        <f t="shared" si="359"/>
        <v/>
      </c>
    </row>
    <row r="2198" spans="9:21" ht="24.75" customHeight="1" x14ac:dyDescent="0.35">
      <c r="I2198" s="42">
        <f t="shared" si="350"/>
        <v>0</v>
      </c>
      <c r="J2198" s="65" t="e">
        <f t="shared" si="351"/>
        <v>#NUM!</v>
      </c>
      <c r="K2198" s="83" t="e">
        <f t="shared" si="352"/>
        <v>#NUM!</v>
      </c>
      <c r="L2198" s="83">
        <f t="shared" si="353"/>
        <v>0</v>
      </c>
      <c r="M2198" s="110" t="str">
        <f t="shared" si="354"/>
        <v/>
      </c>
      <c r="N2198" s="51" t="str">
        <f t="shared" si="355"/>
        <v/>
      </c>
      <c r="O2198" s="52" t="str">
        <f t="shared" si="356"/>
        <v/>
      </c>
      <c r="P2198" s="88">
        <f t="shared" si="357"/>
        <v>0</v>
      </c>
      <c r="Q2198" s="88">
        <f t="shared" si="358"/>
        <v>0</v>
      </c>
      <c r="R2198" s="88" t="e">
        <f>-IF(Tabla14[[#This Row],[DIAS HABILES O MORA]]&lt;0,(Tabla14[[#This Row],[VALOR PRESTAMO]]*Tabla14[[#This Row],[% INTERES ]]/30*U2198))+Tabla14[[#This Row],[VALOR CUOTAS]]</f>
        <v>#VALUE!</v>
      </c>
      <c r="S2198" s="88">
        <f>-IF(Tabla14[[#This Row],[DIAS HABILES O MORA]]&lt;0,(Tabla14[[#This Row],[VALOR PRESTAMO]]*Tabla14[[#This Row],[% INTERES ]]/30*U2198))</f>
        <v>0</v>
      </c>
      <c r="T2198" s="53" t="e">
        <f>Tabla14[[#This Row],[DEUDA CAPITAL]]+Tabla14[[#This Row],[INTERES  CUOTA]]</f>
        <v>#NUM!</v>
      </c>
      <c r="U2198" s="61" t="str">
        <f t="shared" si="359"/>
        <v/>
      </c>
    </row>
    <row r="2199" spans="9:21" ht="24.75" customHeight="1" x14ac:dyDescent="0.35">
      <c r="I2199" s="42">
        <f t="shared" si="350"/>
        <v>0</v>
      </c>
      <c r="J2199" s="65" t="e">
        <f t="shared" si="351"/>
        <v>#NUM!</v>
      </c>
      <c r="K2199" s="83" t="e">
        <f t="shared" si="352"/>
        <v>#NUM!</v>
      </c>
      <c r="L2199" s="83">
        <f t="shared" si="353"/>
        <v>0</v>
      </c>
      <c r="M2199" s="110" t="str">
        <f t="shared" si="354"/>
        <v/>
      </c>
      <c r="N2199" s="51" t="str">
        <f t="shared" si="355"/>
        <v/>
      </c>
      <c r="O2199" s="52" t="str">
        <f t="shared" si="356"/>
        <v/>
      </c>
      <c r="P2199" s="88">
        <f t="shared" si="357"/>
        <v>0</v>
      </c>
      <c r="Q2199" s="88">
        <f t="shared" si="358"/>
        <v>0</v>
      </c>
      <c r="R2199" s="88" t="e">
        <f>-IF(Tabla14[[#This Row],[DIAS HABILES O MORA]]&lt;0,(Tabla14[[#This Row],[VALOR PRESTAMO]]*Tabla14[[#This Row],[% INTERES ]]/30*U2199))+Tabla14[[#This Row],[VALOR CUOTAS]]</f>
        <v>#VALUE!</v>
      </c>
      <c r="S2199" s="88">
        <f>-IF(Tabla14[[#This Row],[DIAS HABILES O MORA]]&lt;0,(Tabla14[[#This Row],[VALOR PRESTAMO]]*Tabla14[[#This Row],[% INTERES ]]/30*U2199))</f>
        <v>0</v>
      </c>
      <c r="T2199" s="53" t="e">
        <f>Tabla14[[#This Row],[DEUDA CAPITAL]]+Tabla14[[#This Row],[INTERES  CUOTA]]</f>
        <v>#NUM!</v>
      </c>
      <c r="U2199" s="61" t="str">
        <f t="shared" si="359"/>
        <v/>
      </c>
    </row>
    <row r="2200" spans="9:21" ht="24.75" customHeight="1" x14ac:dyDescent="0.35">
      <c r="I2200" s="42">
        <f t="shared" si="350"/>
        <v>0</v>
      </c>
      <c r="J2200" s="65" t="e">
        <f t="shared" si="351"/>
        <v>#NUM!</v>
      </c>
      <c r="K2200" s="83" t="e">
        <f t="shared" si="352"/>
        <v>#NUM!</v>
      </c>
      <c r="L2200" s="83">
        <f t="shared" si="353"/>
        <v>0</v>
      </c>
      <c r="M2200" s="110" t="str">
        <f t="shared" si="354"/>
        <v/>
      </c>
      <c r="N2200" s="51" t="str">
        <f t="shared" si="355"/>
        <v/>
      </c>
      <c r="O2200" s="52" t="str">
        <f t="shared" si="356"/>
        <v/>
      </c>
      <c r="P2200" s="88">
        <f t="shared" si="357"/>
        <v>0</v>
      </c>
      <c r="Q2200" s="88">
        <f t="shared" si="358"/>
        <v>0</v>
      </c>
      <c r="R2200" s="88" t="e">
        <f>-IF(Tabla14[[#This Row],[DIAS HABILES O MORA]]&lt;0,(Tabla14[[#This Row],[VALOR PRESTAMO]]*Tabla14[[#This Row],[% INTERES ]]/30*U2200))+Tabla14[[#This Row],[VALOR CUOTAS]]</f>
        <v>#VALUE!</v>
      </c>
      <c r="S2200" s="88">
        <f>-IF(Tabla14[[#This Row],[DIAS HABILES O MORA]]&lt;0,(Tabla14[[#This Row],[VALOR PRESTAMO]]*Tabla14[[#This Row],[% INTERES ]]/30*U2200))</f>
        <v>0</v>
      </c>
      <c r="T2200" s="53" t="e">
        <f>Tabla14[[#This Row],[DEUDA CAPITAL]]+Tabla14[[#This Row],[INTERES  CUOTA]]</f>
        <v>#NUM!</v>
      </c>
      <c r="U2200" s="61" t="str">
        <f t="shared" si="359"/>
        <v/>
      </c>
    </row>
    <row r="2201" spans="9:21" ht="24.75" customHeight="1" x14ac:dyDescent="0.35">
      <c r="I2201" s="42">
        <f t="shared" si="350"/>
        <v>0</v>
      </c>
      <c r="J2201" s="65" t="e">
        <f t="shared" si="351"/>
        <v>#NUM!</v>
      </c>
      <c r="K2201" s="83" t="e">
        <f t="shared" si="352"/>
        <v>#NUM!</v>
      </c>
      <c r="L2201" s="83">
        <f t="shared" si="353"/>
        <v>0</v>
      </c>
      <c r="M2201" s="110" t="str">
        <f t="shared" si="354"/>
        <v/>
      </c>
      <c r="N2201" s="51" t="str">
        <f t="shared" si="355"/>
        <v/>
      </c>
      <c r="O2201" s="52" t="str">
        <f t="shared" si="356"/>
        <v/>
      </c>
      <c r="P2201" s="88">
        <f t="shared" si="357"/>
        <v>0</v>
      </c>
      <c r="Q2201" s="88">
        <f t="shared" si="358"/>
        <v>0</v>
      </c>
      <c r="R2201" s="88" t="e">
        <f>-IF(Tabla14[[#This Row],[DIAS HABILES O MORA]]&lt;0,(Tabla14[[#This Row],[VALOR PRESTAMO]]*Tabla14[[#This Row],[% INTERES ]]/30*U2201))+Tabla14[[#This Row],[VALOR CUOTAS]]</f>
        <v>#VALUE!</v>
      </c>
      <c r="S2201" s="88">
        <f>-IF(Tabla14[[#This Row],[DIAS HABILES O MORA]]&lt;0,(Tabla14[[#This Row],[VALOR PRESTAMO]]*Tabla14[[#This Row],[% INTERES ]]/30*U2201))</f>
        <v>0</v>
      </c>
      <c r="T2201" s="53" t="e">
        <f>Tabla14[[#This Row],[DEUDA CAPITAL]]+Tabla14[[#This Row],[INTERES  CUOTA]]</f>
        <v>#NUM!</v>
      </c>
      <c r="U2201" s="61" t="str">
        <f t="shared" si="359"/>
        <v/>
      </c>
    </row>
    <row r="2202" spans="9:21" ht="24.75" customHeight="1" x14ac:dyDescent="0.35">
      <c r="I2202" s="42">
        <f t="shared" si="350"/>
        <v>0</v>
      </c>
      <c r="J2202" s="65" t="e">
        <f t="shared" si="351"/>
        <v>#NUM!</v>
      </c>
      <c r="K2202" s="83" t="e">
        <f t="shared" si="352"/>
        <v>#NUM!</v>
      </c>
      <c r="L2202" s="83">
        <f t="shared" si="353"/>
        <v>0</v>
      </c>
      <c r="M2202" s="110" t="str">
        <f t="shared" si="354"/>
        <v/>
      </c>
      <c r="N2202" s="51" t="str">
        <f t="shared" si="355"/>
        <v/>
      </c>
      <c r="O2202" s="52" t="str">
        <f t="shared" si="356"/>
        <v/>
      </c>
      <c r="P2202" s="88">
        <f t="shared" si="357"/>
        <v>0</v>
      </c>
      <c r="Q2202" s="88">
        <f t="shared" si="358"/>
        <v>0</v>
      </c>
      <c r="R2202" s="88" t="e">
        <f>-IF(Tabla14[[#This Row],[DIAS HABILES O MORA]]&lt;0,(Tabla14[[#This Row],[VALOR PRESTAMO]]*Tabla14[[#This Row],[% INTERES ]]/30*U2202))+Tabla14[[#This Row],[VALOR CUOTAS]]</f>
        <v>#VALUE!</v>
      </c>
      <c r="S2202" s="88">
        <f>-IF(Tabla14[[#This Row],[DIAS HABILES O MORA]]&lt;0,(Tabla14[[#This Row],[VALOR PRESTAMO]]*Tabla14[[#This Row],[% INTERES ]]/30*U2202))</f>
        <v>0</v>
      </c>
      <c r="T2202" s="53" t="e">
        <f>Tabla14[[#This Row],[DEUDA CAPITAL]]+Tabla14[[#This Row],[INTERES  CUOTA]]</f>
        <v>#NUM!</v>
      </c>
      <c r="U2202" s="61" t="str">
        <f t="shared" si="359"/>
        <v/>
      </c>
    </row>
    <row r="2203" spans="9:21" ht="24.75" customHeight="1" x14ac:dyDescent="0.35">
      <c r="I2203" s="42">
        <f t="shared" si="350"/>
        <v>0</v>
      </c>
      <c r="J2203" s="65" t="e">
        <f t="shared" si="351"/>
        <v>#NUM!</v>
      </c>
      <c r="K2203" s="83" t="e">
        <f t="shared" si="352"/>
        <v>#NUM!</v>
      </c>
      <c r="L2203" s="83">
        <f t="shared" si="353"/>
        <v>0</v>
      </c>
      <c r="M2203" s="110" t="str">
        <f t="shared" si="354"/>
        <v/>
      </c>
      <c r="N2203" s="51" t="str">
        <f t="shared" si="355"/>
        <v/>
      </c>
      <c r="O2203" s="52" t="str">
        <f t="shared" si="356"/>
        <v/>
      </c>
      <c r="P2203" s="88">
        <f t="shared" si="357"/>
        <v>0</v>
      </c>
      <c r="Q2203" s="88">
        <f t="shared" si="358"/>
        <v>0</v>
      </c>
      <c r="R2203" s="88" t="e">
        <f>-IF(Tabla14[[#This Row],[DIAS HABILES O MORA]]&lt;0,(Tabla14[[#This Row],[VALOR PRESTAMO]]*Tabla14[[#This Row],[% INTERES ]]/30*U2203))+Tabla14[[#This Row],[VALOR CUOTAS]]</f>
        <v>#VALUE!</v>
      </c>
      <c r="S2203" s="88">
        <f>-IF(Tabla14[[#This Row],[DIAS HABILES O MORA]]&lt;0,(Tabla14[[#This Row],[VALOR PRESTAMO]]*Tabla14[[#This Row],[% INTERES ]]/30*U2203))</f>
        <v>0</v>
      </c>
      <c r="T2203" s="53" t="e">
        <f>Tabla14[[#This Row],[DEUDA CAPITAL]]+Tabla14[[#This Row],[INTERES  CUOTA]]</f>
        <v>#NUM!</v>
      </c>
      <c r="U2203" s="61" t="str">
        <f t="shared" si="359"/>
        <v/>
      </c>
    </row>
    <row r="2204" spans="9:21" ht="24.75" customHeight="1" x14ac:dyDescent="0.35">
      <c r="I2204" s="42">
        <f t="shared" si="350"/>
        <v>0</v>
      </c>
      <c r="J2204" s="65" t="e">
        <f t="shared" si="351"/>
        <v>#NUM!</v>
      </c>
      <c r="K2204" s="83" t="e">
        <f t="shared" si="352"/>
        <v>#NUM!</v>
      </c>
      <c r="L2204" s="83">
        <f t="shared" si="353"/>
        <v>0</v>
      </c>
      <c r="M2204" s="110" t="str">
        <f t="shared" si="354"/>
        <v/>
      </c>
      <c r="N2204" s="51" t="str">
        <f t="shared" si="355"/>
        <v/>
      </c>
      <c r="O2204" s="52" t="str">
        <f t="shared" si="356"/>
        <v/>
      </c>
      <c r="P2204" s="88">
        <f t="shared" si="357"/>
        <v>0</v>
      </c>
      <c r="Q2204" s="88">
        <f t="shared" si="358"/>
        <v>0</v>
      </c>
      <c r="R2204" s="88" t="e">
        <f>-IF(Tabla14[[#This Row],[DIAS HABILES O MORA]]&lt;0,(Tabla14[[#This Row],[VALOR PRESTAMO]]*Tabla14[[#This Row],[% INTERES ]]/30*U2204))+Tabla14[[#This Row],[VALOR CUOTAS]]</f>
        <v>#VALUE!</v>
      </c>
      <c r="S2204" s="88">
        <f>-IF(Tabla14[[#This Row],[DIAS HABILES O MORA]]&lt;0,(Tabla14[[#This Row],[VALOR PRESTAMO]]*Tabla14[[#This Row],[% INTERES ]]/30*U2204))</f>
        <v>0</v>
      </c>
      <c r="T2204" s="53" t="e">
        <f>Tabla14[[#This Row],[DEUDA CAPITAL]]+Tabla14[[#This Row],[INTERES  CUOTA]]</f>
        <v>#NUM!</v>
      </c>
      <c r="U2204" s="61" t="str">
        <f t="shared" si="359"/>
        <v/>
      </c>
    </row>
    <row r="2205" spans="9:21" ht="24.75" customHeight="1" x14ac:dyDescent="0.35">
      <c r="I2205" s="42">
        <f t="shared" si="350"/>
        <v>0</v>
      </c>
      <c r="J2205" s="65" t="e">
        <f t="shared" si="351"/>
        <v>#NUM!</v>
      </c>
      <c r="K2205" s="83" t="e">
        <f t="shared" si="352"/>
        <v>#NUM!</v>
      </c>
      <c r="L2205" s="83">
        <f t="shared" si="353"/>
        <v>0</v>
      </c>
      <c r="M2205" s="110" t="str">
        <f t="shared" si="354"/>
        <v/>
      </c>
      <c r="N2205" s="51" t="str">
        <f t="shared" si="355"/>
        <v/>
      </c>
      <c r="O2205" s="52" t="str">
        <f t="shared" si="356"/>
        <v/>
      </c>
      <c r="P2205" s="88">
        <f t="shared" si="357"/>
        <v>0</v>
      </c>
      <c r="Q2205" s="88">
        <f t="shared" si="358"/>
        <v>0</v>
      </c>
      <c r="R2205" s="88" t="e">
        <f>-IF(Tabla14[[#This Row],[DIAS HABILES O MORA]]&lt;0,(Tabla14[[#This Row],[VALOR PRESTAMO]]*Tabla14[[#This Row],[% INTERES ]]/30*U2205))+Tabla14[[#This Row],[VALOR CUOTAS]]</f>
        <v>#VALUE!</v>
      </c>
      <c r="S2205" s="88">
        <f>-IF(Tabla14[[#This Row],[DIAS HABILES O MORA]]&lt;0,(Tabla14[[#This Row],[VALOR PRESTAMO]]*Tabla14[[#This Row],[% INTERES ]]/30*U2205))</f>
        <v>0</v>
      </c>
      <c r="T2205" s="53" t="e">
        <f>Tabla14[[#This Row],[DEUDA CAPITAL]]+Tabla14[[#This Row],[INTERES  CUOTA]]</f>
        <v>#NUM!</v>
      </c>
      <c r="U2205" s="61" t="str">
        <f t="shared" si="359"/>
        <v/>
      </c>
    </row>
    <row r="2206" spans="9:21" ht="24.75" customHeight="1" x14ac:dyDescent="0.35">
      <c r="I2206" s="42">
        <f t="shared" si="350"/>
        <v>0</v>
      </c>
      <c r="J2206" s="65" t="e">
        <f t="shared" si="351"/>
        <v>#NUM!</v>
      </c>
      <c r="K2206" s="83" t="e">
        <f t="shared" si="352"/>
        <v>#NUM!</v>
      </c>
      <c r="L2206" s="83">
        <f t="shared" si="353"/>
        <v>0</v>
      </c>
      <c r="M2206" s="110" t="str">
        <f t="shared" si="354"/>
        <v/>
      </c>
      <c r="N2206" s="51" t="str">
        <f t="shared" si="355"/>
        <v/>
      </c>
      <c r="O2206" s="52" t="str">
        <f t="shared" si="356"/>
        <v/>
      </c>
      <c r="P2206" s="88">
        <f t="shared" si="357"/>
        <v>0</v>
      </c>
      <c r="Q2206" s="88">
        <f t="shared" si="358"/>
        <v>0</v>
      </c>
      <c r="R2206" s="88" t="e">
        <f>-IF(Tabla14[[#This Row],[DIAS HABILES O MORA]]&lt;0,(Tabla14[[#This Row],[VALOR PRESTAMO]]*Tabla14[[#This Row],[% INTERES ]]/30*U2206))+Tabla14[[#This Row],[VALOR CUOTAS]]</f>
        <v>#VALUE!</v>
      </c>
      <c r="S2206" s="88">
        <f>-IF(Tabla14[[#This Row],[DIAS HABILES O MORA]]&lt;0,(Tabla14[[#This Row],[VALOR PRESTAMO]]*Tabla14[[#This Row],[% INTERES ]]/30*U2206))</f>
        <v>0</v>
      </c>
      <c r="T2206" s="53" t="e">
        <f>Tabla14[[#This Row],[DEUDA CAPITAL]]+Tabla14[[#This Row],[INTERES  CUOTA]]</f>
        <v>#NUM!</v>
      </c>
      <c r="U2206" s="61" t="str">
        <f t="shared" si="359"/>
        <v/>
      </c>
    </row>
    <row r="2207" spans="9:21" ht="24.75" customHeight="1" x14ac:dyDescent="0.35">
      <c r="I2207" s="42">
        <f t="shared" si="350"/>
        <v>0</v>
      </c>
      <c r="J2207" s="65" t="e">
        <f t="shared" si="351"/>
        <v>#NUM!</v>
      </c>
      <c r="K2207" s="83" t="e">
        <f t="shared" si="352"/>
        <v>#NUM!</v>
      </c>
      <c r="L2207" s="83">
        <f t="shared" si="353"/>
        <v>0</v>
      </c>
      <c r="M2207" s="110" t="str">
        <f t="shared" si="354"/>
        <v/>
      </c>
      <c r="N2207" s="51" t="str">
        <f t="shared" si="355"/>
        <v/>
      </c>
      <c r="O2207" s="52" t="str">
        <f t="shared" si="356"/>
        <v/>
      </c>
      <c r="P2207" s="88">
        <f t="shared" si="357"/>
        <v>0</v>
      </c>
      <c r="Q2207" s="88">
        <f t="shared" si="358"/>
        <v>0</v>
      </c>
      <c r="R2207" s="88" t="e">
        <f>-IF(Tabla14[[#This Row],[DIAS HABILES O MORA]]&lt;0,(Tabla14[[#This Row],[VALOR PRESTAMO]]*Tabla14[[#This Row],[% INTERES ]]/30*U2207))+Tabla14[[#This Row],[VALOR CUOTAS]]</f>
        <v>#VALUE!</v>
      </c>
      <c r="S2207" s="88">
        <f>-IF(Tabla14[[#This Row],[DIAS HABILES O MORA]]&lt;0,(Tabla14[[#This Row],[VALOR PRESTAMO]]*Tabla14[[#This Row],[% INTERES ]]/30*U2207))</f>
        <v>0</v>
      </c>
      <c r="T2207" s="53" t="e">
        <f>Tabla14[[#This Row],[DEUDA CAPITAL]]+Tabla14[[#This Row],[INTERES  CUOTA]]</f>
        <v>#NUM!</v>
      </c>
      <c r="U2207" s="61" t="str">
        <f t="shared" si="359"/>
        <v/>
      </c>
    </row>
    <row r="2208" spans="9:21" ht="24.75" customHeight="1" x14ac:dyDescent="0.35">
      <c r="I2208" s="42">
        <f t="shared" si="350"/>
        <v>0</v>
      </c>
      <c r="J2208" s="65" t="e">
        <f t="shared" si="351"/>
        <v>#NUM!</v>
      </c>
      <c r="K2208" s="83" t="e">
        <f t="shared" si="352"/>
        <v>#NUM!</v>
      </c>
      <c r="L2208" s="83">
        <f t="shared" si="353"/>
        <v>0</v>
      </c>
      <c r="M2208" s="110" t="str">
        <f t="shared" si="354"/>
        <v/>
      </c>
      <c r="N2208" s="51" t="str">
        <f t="shared" si="355"/>
        <v/>
      </c>
      <c r="O2208" s="52" t="str">
        <f t="shared" si="356"/>
        <v/>
      </c>
      <c r="P2208" s="88">
        <f t="shared" si="357"/>
        <v>0</v>
      </c>
      <c r="Q2208" s="88">
        <f t="shared" si="358"/>
        <v>0</v>
      </c>
      <c r="R2208" s="88" t="e">
        <f>-IF(Tabla14[[#This Row],[DIAS HABILES O MORA]]&lt;0,(Tabla14[[#This Row],[VALOR PRESTAMO]]*Tabla14[[#This Row],[% INTERES ]]/30*U2208))+Tabla14[[#This Row],[VALOR CUOTAS]]</f>
        <v>#VALUE!</v>
      </c>
      <c r="S2208" s="88">
        <f>-IF(Tabla14[[#This Row],[DIAS HABILES O MORA]]&lt;0,(Tabla14[[#This Row],[VALOR PRESTAMO]]*Tabla14[[#This Row],[% INTERES ]]/30*U2208))</f>
        <v>0</v>
      </c>
      <c r="T2208" s="53" t="e">
        <f>Tabla14[[#This Row],[DEUDA CAPITAL]]+Tabla14[[#This Row],[INTERES  CUOTA]]</f>
        <v>#NUM!</v>
      </c>
      <c r="U2208" s="61" t="str">
        <f t="shared" si="359"/>
        <v/>
      </c>
    </row>
    <row r="2209" spans="9:21" ht="24.75" customHeight="1" x14ac:dyDescent="0.35">
      <c r="I2209" s="42">
        <f t="shared" si="350"/>
        <v>0</v>
      </c>
      <c r="J2209" s="65" t="e">
        <f t="shared" si="351"/>
        <v>#NUM!</v>
      </c>
      <c r="K2209" s="83" t="e">
        <f t="shared" si="352"/>
        <v>#NUM!</v>
      </c>
      <c r="L2209" s="83">
        <f t="shared" si="353"/>
        <v>0</v>
      </c>
      <c r="M2209" s="110" t="str">
        <f t="shared" si="354"/>
        <v/>
      </c>
      <c r="N2209" s="51" t="str">
        <f t="shared" si="355"/>
        <v/>
      </c>
      <c r="O2209" s="52" t="str">
        <f t="shared" si="356"/>
        <v/>
      </c>
      <c r="P2209" s="88">
        <f t="shared" si="357"/>
        <v>0</v>
      </c>
      <c r="Q2209" s="88">
        <f t="shared" si="358"/>
        <v>0</v>
      </c>
      <c r="R2209" s="88" t="e">
        <f>-IF(Tabla14[[#This Row],[DIAS HABILES O MORA]]&lt;0,(Tabla14[[#This Row],[VALOR PRESTAMO]]*Tabla14[[#This Row],[% INTERES ]]/30*U2209))+Tabla14[[#This Row],[VALOR CUOTAS]]</f>
        <v>#VALUE!</v>
      </c>
      <c r="S2209" s="88">
        <f>-IF(Tabla14[[#This Row],[DIAS HABILES O MORA]]&lt;0,(Tabla14[[#This Row],[VALOR PRESTAMO]]*Tabla14[[#This Row],[% INTERES ]]/30*U2209))</f>
        <v>0</v>
      </c>
      <c r="T2209" s="53" t="e">
        <f>Tabla14[[#This Row],[DEUDA CAPITAL]]+Tabla14[[#This Row],[INTERES  CUOTA]]</f>
        <v>#NUM!</v>
      </c>
      <c r="U2209" s="61" t="str">
        <f t="shared" si="359"/>
        <v/>
      </c>
    </row>
    <row r="2210" spans="9:21" ht="24.75" customHeight="1" x14ac:dyDescent="0.35">
      <c r="I2210" s="42">
        <f t="shared" si="350"/>
        <v>0</v>
      </c>
      <c r="J2210" s="65" t="e">
        <f t="shared" si="351"/>
        <v>#NUM!</v>
      </c>
      <c r="K2210" s="83" t="e">
        <f t="shared" si="352"/>
        <v>#NUM!</v>
      </c>
      <c r="L2210" s="83">
        <f t="shared" si="353"/>
        <v>0</v>
      </c>
      <c r="M2210" s="110" t="str">
        <f t="shared" si="354"/>
        <v/>
      </c>
      <c r="N2210" s="51" t="str">
        <f t="shared" si="355"/>
        <v/>
      </c>
      <c r="O2210" s="52" t="str">
        <f t="shared" si="356"/>
        <v/>
      </c>
      <c r="P2210" s="88">
        <f t="shared" si="357"/>
        <v>0</v>
      </c>
      <c r="Q2210" s="88">
        <f t="shared" si="358"/>
        <v>0</v>
      </c>
      <c r="R2210" s="88" t="e">
        <f>-IF(Tabla14[[#This Row],[DIAS HABILES O MORA]]&lt;0,(Tabla14[[#This Row],[VALOR PRESTAMO]]*Tabla14[[#This Row],[% INTERES ]]/30*U2210))+Tabla14[[#This Row],[VALOR CUOTAS]]</f>
        <v>#VALUE!</v>
      </c>
      <c r="S2210" s="88">
        <f>-IF(Tabla14[[#This Row],[DIAS HABILES O MORA]]&lt;0,(Tabla14[[#This Row],[VALOR PRESTAMO]]*Tabla14[[#This Row],[% INTERES ]]/30*U2210))</f>
        <v>0</v>
      </c>
      <c r="T2210" s="53" t="e">
        <f>Tabla14[[#This Row],[DEUDA CAPITAL]]+Tabla14[[#This Row],[INTERES  CUOTA]]</f>
        <v>#NUM!</v>
      </c>
      <c r="U2210" s="61" t="str">
        <f t="shared" si="359"/>
        <v/>
      </c>
    </row>
    <row r="2211" spans="9:21" ht="24.75" customHeight="1" x14ac:dyDescent="0.35">
      <c r="I2211" s="42">
        <f t="shared" si="350"/>
        <v>0</v>
      </c>
      <c r="J2211" s="65" t="e">
        <f t="shared" si="351"/>
        <v>#NUM!</v>
      </c>
      <c r="K2211" s="83" t="e">
        <f t="shared" si="352"/>
        <v>#NUM!</v>
      </c>
      <c r="L2211" s="83">
        <f t="shared" si="353"/>
        <v>0</v>
      </c>
      <c r="M2211" s="110" t="str">
        <f t="shared" si="354"/>
        <v/>
      </c>
      <c r="N2211" s="51" t="str">
        <f t="shared" si="355"/>
        <v/>
      </c>
      <c r="O2211" s="52" t="str">
        <f t="shared" si="356"/>
        <v/>
      </c>
      <c r="P2211" s="88">
        <f t="shared" si="357"/>
        <v>0</v>
      </c>
      <c r="Q2211" s="88">
        <f t="shared" si="358"/>
        <v>0</v>
      </c>
      <c r="R2211" s="88" t="e">
        <f>-IF(Tabla14[[#This Row],[DIAS HABILES O MORA]]&lt;0,(Tabla14[[#This Row],[VALOR PRESTAMO]]*Tabla14[[#This Row],[% INTERES ]]/30*U2211))+Tabla14[[#This Row],[VALOR CUOTAS]]</f>
        <v>#VALUE!</v>
      </c>
      <c r="S2211" s="88">
        <f>-IF(Tabla14[[#This Row],[DIAS HABILES O MORA]]&lt;0,(Tabla14[[#This Row],[VALOR PRESTAMO]]*Tabla14[[#This Row],[% INTERES ]]/30*U2211))</f>
        <v>0</v>
      </c>
      <c r="T2211" s="53" t="e">
        <f>Tabla14[[#This Row],[DEUDA CAPITAL]]+Tabla14[[#This Row],[INTERES  CUOTA]]</f>
        <v>#NUM!</v>
      </c>
      <c r="U2211" s="61" t="str">
        <f t="shared" si="359"/>
        <v/>
      </c>
    </row>
    <row r="2212" spans="9:21" ht="24.75" customHeight="1" x14ac:dyDescent="0.35">
      <c r="I2212" s="42">
        <f t="shared" si="350"/>
        <v>0</v>
      </c>
      <c r="J2212" s="65" t="e">
        <f t="shared" si="351"/>
        <v>#NUM!</v>
      </c>
      <c r="K2212" s="83" t="e">
        <f t="shared" si="352"/>
        <v>#NUM!</v>
      </c>
      <c r="L2212" s="83">
        <f t="shared" si="353"/>
        <v>0</v>
      </c>
      <c r="M2212" s="110" t="str">
        <f t="shared" si="354"/>
        <v/>
      </c>
      <c r="N2212" s="51" t="str">
        <f t="shared" si="355"/>
        <v/>
      </c>
      <c r="O2212" s="52" t="str">
        <f t="shared" si="356"/>
        <v/>
      </c>
      <c r="P2212" s="88">
        <f t="shared" si="357"/>
        <v>0</v>
      </c>
      <c r="Q2212" s="88">
        <f t="shared" si="358"/>
        <v>0</v>
      </c>
      <c r="R2212" s="88" t="e">
        <f>-IF(Tabla14[[#This Row],[DIAS HABILES O MORA]]&lt;0,(Tabla14[[#This Row],[VALOR PRESTAMO]]*Tabla14[[#This Row],[% INTERES ]]/30*U2212))+Tabla14[[#This Row],[VALOR CUOTAS]]</f>
        <v>#VALUE!</v>
      </c>
      <c r="S2212" s="88">
        <f>-IF(Tabla14[[#This Row],[DIAS HABILES O MORA]]&lt;0,(Tabla14[[#This Row],[VALOR PRESTAMO]]*Tabla14[[#This Row],[% INTERES ]]/30*U2212))</f>
        <v>0</v>
      </c>
      <c r="T2212" s="53" t="e">
        <f>Tabla14[[#This Row],[DEUDA CAPITAL]]+Tabla14[[#This Row],[INTERES  CUOTA]]</f>
        <v>#NUM!</v>
      </c>
      <c r="U2212" s="61" t="str">
        <f t="shared" si="359"/>
        <v/>
      </c>
    </row>
    <row r="2213" spans="9:21" ht="24.75" customHeight="1" x14ac:dyDescent="0.35">
      <c r="I2213" s="42">
        <f t="shared" si="350"/>
        <v>0</v>
      </c>
      <c r="J2213" s="65" t="e">
        <f t="shared" si="351"/>
        <v>#NUM!</v>
      </c>
      <c r="K2213" s="83" t="e">
        <f t="shared" si="352"/>
        <v>#NUM!</v>
      </c>
      <c r="L2213" s="83">
        <f t="shared" si="353"/>
        <v>0</v>
      </c>
      <c r="M2213" s="110" t="str">
        <f t="shared" si="354"/>
        <v/>
      </c>
      <c r="N2213" s="51" t="str">
        <f t="shared" si="355"/>
        <v/>
      </c>
      <c r="O2213" s="52" t="str">
        <f t="shared" si="356"/>
        <v/>
      </c>
      <c r="P2213" s="88">
        <f t="shared" si="357"/>
        <v>0</v>
      </c>
      <c r="Q2213" s="88">
        <f t="shared" si="358"/>
        <v>0</v>
      </c>
      <c r="R2213" s="88" t="e">
        <f>-IF(Tabla14[[#This Row],[DIAS HABILES O MORA]]&lt;0,(Tabla14[[#This Row],[VALOR PRESTAMO]]*Tabla14[[#This Row],[% INTERES ]]/30*U2213))+Tabla14[[#This Row],[VALOR CUOTAS]]</f>
        <v>#VALUE!</v>
      </c>
      <c r="S2213" s="88">
        <f>-IF(Tabla14[[#This Row],[DIAS HABILES O MORA]]&lt;0,(Tabla14[[#This Row],[VALOR PRESTAMO]]*Tabla14[[#This Row],[% INTERES ]]/30*U2213))</f>
        <v>0</v>
      </c>
      <c r="T2213" s="53" t="e">
        <f>Tabla14[[#This Row],[DEUDA CAPITAL]]+Tabla14[[#This Row],[INTERES  CUOTA]]</f>
        <v>#NUM!</v>
      </c>
      <c r="U2213" s="61" t="str">
        <f t="shared" si="359"/>
        <v/>
      </c>
    </row>
    <row r="2214" spans="9:21" ht="24.75" customHeight="1" x14ac:dyDescent="0.35">
      <c r="I2214" s="42">
        <f t="shared" si="350"/>
        <v>0</v>
      </c>
      <c r="J2214" s="65" t="e">
        <f t="shared" si="351"/>
        <v>#NUM!</v>
      </c>
      <c r="K2214" s="83" t="e">
        <f t="shared" si="352"/>
        <v>#NUM!</v>
      </c>
      <c r="L2214" s="83">
        <f t="shared" si="353"/>
        <v>0</v>
      </c>
      <c r="M2214" s="110" t="str">
        <f t="shared" si="354"/>
        <v/>
      </c>
      <c r="N2214" s="51" t="str">
        <f t="shared" si="355"/>
        <v/>
      </c>
      <c r="O2214" s="52" t="str">
        <f t="shared" si="356"/>
        <v/>
      </c>
      <c r="P2214" s="88">
        <f t="shared" si="357"/>
        <v>0</v>
      </c>
      <c r="Q2214" s="88">
        <f t="shared" si="358"/>
        <v>0</v>
      </c>
      <c r="R2214" s="88" t="e">
        <f>-IF(Tabla14[[#This Row],[DIAS HABILES O MORA]]&lt;0,(Tabla14[[#This Row],[VALOR PRESTAMO]]*Tabla14[[#This Row],[% INTERES ]]/30*U2214))+Tabla14[[#This Row],[VALOR CUOTAS]]</f>
        <v>#VALUE!</v>
      </c>
      <c r="S2214" s="88">
        <f>-IF(Tabla14[[#This Row],[DIAS HABILES O MORA]]&lt;0,(Tabla14[[#This Row],[VALOR PRESTAMO]]*Tabla14[[#This Row],[% INTERES ]]/30*U2214))</f>
        <v>0</v>
      </c>
      <c r="T2214" s="53" t="e">
        <f>Tabla14[[#This Row],[DEUDA CAPITAL]]+Tabla14[[#This Row],[INTERES  CUOTA]]</f>
        <v>#NUM!</v>
      </c>
      <c r="U2214" s="61" t="str">
        <f t="shared" si="359"/>
        <v/>
      </c>
    </row>
    <row r="2215" spans="9:21" ht="24.75" customHeight="1" x14ac:dyDescent="0.35">
      <c r="I2215" s="42">
        <f t="shared" si="350"/>
        <v>0</v>
      </c>
      <c r="J2215" s="65" t="e">
        <f t="shared" si="351"/>
        <v>#NUM!</v>
      </c>
      <c r="K2215" s="83" t="e">
        <f t="shared" si="352"/>
        <v>#NUM!</v>
      </c>
      <c r="L2215" s="83">
        <f t="shared" si="353"/>
        <v>0</v>
      </c>
      <c r="M2215" s="110" t="str">
        <f t="shared" si="354"/>
        <v/>
      </c>
      <c r="N2215" s="51" t="str">
        <f t="shared" si="355"/>
        <v/>
      </c>
      <c r="O2215" s="52" t="str">
        <f t="shared" si="356"/>
        <v/>
      </c>
      <c r="P2215" s="88">
        <f t="shared" si="357"/>
        <v>0</v>
      </c>
      <c r="Q2215" s="88">
        <f t="shared" si="358"/>
        <v>0</v>
      </c>
      <c r="R2215" s="88" t="e">
        <f>-IF(Tabla14[[#This Row],[DIAS HABILES O MORA]]&lt;0,(Tabla14[[#This Row],[VALOR PRESTAMO]]*Tabla14[[#This Row],[% INTERES ]]/30*U2215))+Tabla14[[#This Row],[VALOR CUOTAS]]</f>
        <v>#VALUE!</v>
      </c>
      <c r="S2215" s="88">
        <f>-IF(Tabla14[[#This Row],[DIAS HABILES O MORA]]&lt;0,(Tabla14[[#This Row],[VALOR PRESTAMO]]*Tabla14[[#This Row],[% INTERES ]]/30*U2215))</f>
        <v>0</v>
      </c>
      <c r="T2215" s="53" t="e">
        <f>Tabla14[[#This Row],[DEUDA CAPITAL]]+Tabla14[[#This Row],[INTERES  CUOTA]]</f>
        <v>#NUM!</v>
      </c>
      <c r="U2215" s="61" t="str">
        <f t="shared" si="359"/>
        <v/>
      </c>
    </row>
    <row r="2216" spans="9:21" ht="24.75" customHeight="1" x14ac:dyDescent="0.35">
      <c r="I2216" s="42">
        <f t="shared" si="350"/>
        <v>0</v>
      </c>
      <c r="J2216" s="65" t="e">
        <f t="shared" si="351"/>
        <v>#NUM!</v>
      </c>
      <c r="K2216" s="83" t="e">
        <f t="shared" si="352"/>
        <v>#NUM!</v>
      </c>
      <c r="L2216" s="83">
        <f t="shared" si="353"/>
        <v>0</v>
      </c>
      <c r="M2216" s="110" t="str">
        <f t="shared" si="354"/>
        <v/>
      </c>
      <c r="N2216" s="51" t="str">
        <f t="shared" si="355"/>
        <v/>
      </c>
      <c r="O2216" s="52" t="str">
        <f t="shared" si="356"/>
        <v/>
      </c>
      <c r="P2216" s="88">
        <f t="shared" si="357"/>
        <v>0</v>
      </c>
      <c r="Q2216" s="88">
        <f t="shared" si="358"/>
        <v>0</v>
      </c>
      <c r="R2216" s="88" t="e">
        <f>-IF(Tabla14[[#This Row],[DIAS HABILES O MORA]]&lt;0,(Tabla14[[#This Row],[VALOR PRESTAMO]]*Tabla14[[#This Row],[% INTERES ]]/30*U2216))+Tabla14[[#This Row],[VALOR CUOTAS]]</f>
        <v>#VALUE!</v>
      </c>
      <c r="S2216" s="88">
        <f>-IF(Tabla14[[#This Row],[DIAS HABILES O MORA]]&lt;0,(Tabla14[[#This Row],[VALOR PRESTAMO]]*Tabla14[[#This Row],[% INTERES ]]/30*U2216))</f>
        <v>0</v>
      </c>
      <c r="T2216" s="53" t="e">
        <f>Tabla14[[#This Row],[DEUDA CAPITAL]]+Tabla14[[#This Row],[INTERES  CUOTA]]</f>
        <v>#NUM!</v>
      </c>
      <c r="U2216" s="61" t="str">
        <f t="shared" si="359"/>
        <v/>
      </c>
    </row>
    <row r="2217" spans="9:21" ht="24.75" customHeight="1" x14ac:dyDescent="0.35">
      <c r="I2217" s="42">
        <f t="shared" si="350"/>
        <v>0</v>
      </c>
      <c r="J2217" s="65" t="e">
        <f t="shared" si="351"/>
        <v>#NUM!</v>
      </c>
      <c r="K2217" s="83" t="e">
        <f t="shared" si="352"/>
        <v>#NUM!</v>
      </c>
      <c r="L2217" s="83">
        <f t="shared" si="353"/>
        <v>0</v>
      </c>
      <c r="M2217" s="110" t="str">
        <f t="shared" si="354"/>
        <v/>
      </c>
      <c r="N2217" s="51" t="str">
        <f t="shared" si="355"/>
        <v/>
      </c>
      <c r="O2217" s="52" t="str">
        <f t="shared" si="356"/>
        <v/>
      </c>
      <c r="P2217" s="88">
        <f t="shared" si="357"/>
        <v>0</v>
      </c>
      <c r="Q2217" s="88">
        <f t="shared" si="358"/>
        <v>0</v>
      </c>
      <c r="R2217" s="88" t="e">
        <f>-IF(Tabla14[[#This Row],[DIAS HABILES O MORA]]&lt;0,(Tabla14[[#This Row],[VALOR PRESTAMO]]*Tabla14[[#This Row],[% INTERES ]]/30*U2217))+Tabla14[[#This Row],[VALOR CUOTAS]]</f>
        <v>#VALUE!</v>
      </c>
      <c r="S2217" s="88">
        <f>-IF(Tabla14[[#This Row],[DIAS HABILES O MORA]]&lt;0,(Tabla14[[#This Row],[VALOR PRESTAMO]]*Tabla14[[#This Row],[% INTERES ]]/30*U2217))</f>
        <v>0</v>
      </c>
      <c r="T2217" s="53" t="e">
        <f>Tabla14[[#This Row],[DEUDA CAPITAL]]+Tabla14[[#This Row],[INTERES  CUOTA]]</f>
        <v>#NUM!</v>
      </c>
      <c r="U2217" s="61" t="str">
        <f t="shared" si="359"/>
        <v/>
      </c>
    </row>
    <row r="2218" spans="9:21" ht="24.75" customHeight="1" x14ac:dyDescent="0.35">
      <c r="I2218" s="42">
        <f t="shared" si="350"/>
        <v>0</v>
      </c>
      <c r="J2218" s="65" t="e">
        <f t="shared" si="351"/>
        <v>#NUM!</v>
      </c>
      <c r="K2218" s="83" t="e">
        <f t="shared" si="352"/>
        <v>#NUM!</v>
      </c>
      <c r="L2218" s="83">
        <f t="shared" si="353"/>
        <v>0</v>
      </c>
      <c r="M2218" s="110" t="str">
        <f t="shared" si="354"/>
        <v/>
      </c>
      <c r="N2218" s="51" t="str">
        <f t="shared" si="355"/>
        <v/>
      </c>
      <c r="O2218" s="52" t="str">
        <f t="shared" si="356"/>
        <v/>
      </c>
      <c r="P2218" s="88">
        <f t="shared" si="357"/>
        <v>0</v>
      </c>
      <c r="Q2218" s="88">
        <f t="shared" si="358"/>
        <v>0</v>
      </c>
      <c r="R2218" s="88" t="e">
        <f>-IF(Tabla14[[#This Row],[DIAS HABILES O MORA]]&lt;0,(Tabla14[[#This Row],[VALOR PRESTAMO]]*Tabla14[[#This Row],[% INTERES ]]/30*U2218))+Tabla14[[#This Row],[VALOR CUOTAS]]</f>
        <v>#VALUE!</v>
      </c>
      <c r="S2218" s="88">
        <f>-IF(Tabla14[[#This Row],[DIAS HABILES O MORA]]&lt;0,(Tabla14[[#This Row],[VALOR PRESTAMO]]*Tabla14[[#This Row],[% INTERES ]]/30*U2218))</f>
        <v>0</v>
      </c>
      <c r="T2218" s="53" t="e">
        <f>Tabla14[[#This Row],[DEUDA CAPITAL]]+Tabla14[[#This Row],[INTERES  CUOTA]]</f>
        <v>#NUM!</v>
      </c>
      <c r="U2218" s="61" t="str">
        <f t="shared" si="359"/>
        <v/>
      </c>
    </row>
    <row r="2219" spans="9:21" ht="24.75" customHeight="1" x14ac:dyDescent="0.35">
      <c r="I2219" s="42">
        <f t="shared" si="350"/>
        <v>0</v>
      </c>
      <c r="J2219" s="65" t="e">
        <f t="shared" si="351"/>
        <v>#NUM!</v>
      </c>
      <c r="K2219" s="83" t="e">
        <f t="shared" si="352"/>
        <v>#NUM!</v>
      </c>
      <c r="L2219" s="83">
        <f t="shared" si="353"/>
        <v>0</v>
      </c>
      <c r="M2219" s="110" t="str">
        <f t="shared" si="354"/>
        <v/>
      </c>
      <c r="N2219" s="51" t="str">
        <f t="shared" si="355"/>
        <v/>
      </c>
      <c r="O2219" s="52" t="str">
        <f t="shared" si="356"/>
        <v/>
      </c>
      <c r="P2219" s="88">
        <f t="shared" si="357"/>
        <v>0</v>
      </c>
      <c r="Q2219" s="88">
        <f t="shared" si="358"/>
        <v>0</v>
      </c>
      <c r="R2219" s="88" t="e">
        <f>-IF(Tabla14[[#This Row],[DIAS HABILES O MORA]]&lt;0,(Tabla14[[#This Row],[VALOR PRESTAMO]]*Tabla14[[#This Row],[% INTERES ]]/30*U2219))+Tabla14[[#This Row],[VALOR CUOTAS]]</f>
        <v>#VALUE!</v>
      </c>
      <c r="S2219" s="88">
        <f>-IF(Tabla14[[#This Row],[DIAS HABILES O MORA]]&lt;0,(Tabla14[[#This Row],[VALOR PRESTAMO]]*Tabla14[[#This Row],[% INTERES ]]/30*U2219))</f>
        <v>0</v>
      </c>
      <c r="T2219" s="53" t="e">
        <f>Tabla14[[#This Row],[DEUDA CAPITAL]]+Tabla14[[#This Row],[INTERES  CUOTA]]</f>
        <v>#NUM!</v>
      </c>
      <c r="U2219" s="61" t="str">
        <f t="shared" si="359"/>
        <v/>
      </c>
    </row>
    <row r="2220" spans="9:21" ht="24.75" customHeight="1" x14ac:dyDescent="0.35">
      <c r="I2220" s="42">
        <f t="shared" si="350"/>
        <v>0</v>
      </c>
      <c r="J2220" s="65" t="e">
        <f t="shared" si="351"/>
        <v>#NUM!</v>
      </c>
      <c r="K2220" s="83" t="e">
        <f t="shared" si="352"/>
        <v>#NUM!</v>
      </c>
      <c r="L2220" s="83">
        <f t="shared" si="353"/>
        <v>0</v>
      </c>
      <c r="M2220" s="110" t="str">
        <f t="shared" si="354"/>
        <v/>
      </c>
      <c r="N2220" s="51" t="str">
        <f t="shared" si="355"/>
        <v/>
      </c>
      <c r="O2220" s="52" t="str">
        <f t="shared" si="356"/>
        <v/>
      </c>
      <c r="P2220" s="88">
        <f t="shared" si="357"/>
        <v>0</v>
      </c>
      <c r="Q2220" s="88">
        <f t="shared" si="358"/>
        <v>0</v>
      </c>
      <c r="R2220" s="88" t="e">
        <f>-IF(Tabla14[[#This Row],[DIAS HABILES O MORA]]&lt;0,(Tabla14[[#This Row],[VALOR PRESTAMO]]*Tabla14[[#This Row],[% INTERES ]]/30*U2220))+Tabla14[[#This Row],[VALOR CUOTAS]]</f>
        <v>#VALUE!</v>
      </c>
      <c r="S2220" s="88">
        <f>-IF(Tabla14[[#This Row],[DIAS HABILES O MORA]]&lt;0,(Tabla14[[#This Row],[VALOR PRESTAMO]]*Tabla14[[#This Row],[% INTERES ]]/30*U2220))</f>
        <v>0</v>
      </c>
      <c r="T2220" s="53" t="e">
        <f>Tabla14[[#This Row],[DEUDA CAPITAL]]+Tabla14[[#This Row],[INTERES  CUOTA]]</f>
        <v>#NUM!</v>
      </c>
      <c r="U2220" s="61" t="str">
        <f t="shared" si="359"/>
        <v/>
      </c>
    </row>
    <row r="2221" spans="9:21" ht="24.75" customHeight="1" x14ac:dyDescent="0.35">
      <c r="I2221" s="42">
        <f t="shared" si="350"/>
        <v>0</v>
      </c>
      <c r="J2221" s="65" t="e">
        <f t="shared" si="351"/>
        <v>#NUM!</v>
      </c>
      <c r="K2221" s="83" t="e">
        <f t="shared" si="352"/>
        <v>#NUM!</v>
      </c>
      <c r="L2221" s="83">
        <f t="shared" si="353"/>
        <v>0</v>
      </c>
      <c r="M2221" s="110" t="str">
        <f t="shared" si="354"/>
        <v/>
      </c>
      <c r="N2221" s="51" t="str">
        <f t="shared" si="355"/>
        <v/>
      </c>
      <c r="O2221" s="52" t="str">
        <f t="shared" si="356"/>
        <v/>
      </c>
      <c r="P2221" s="88">
        <f t="shared" si="357"/>
        <v>0</v>
      </c>
      <c r="Q2221" s="88">
        <f t="shared" si="358"/>
        <v>0</v>
      </c>
      <c r="R2221" s="88" t="e">
        <f>-IF(Tabla14[[#This Row],[DIAS HABILES O MORA]]&lt;0,(Tabla14[[#This Row],[VALOR PRESTAMO]]*Tabla14[[#This Row],[% INTERES ]]/30*U2221))+Tabla14[[#This Row],[VALOR CUOTAS]]</f>
        <v>#VALUE!</v>
      </c>
      <c r="S2221" s="88">
        <f>-IF(Tabla14[[#This Row],[DIAS HABILES O MORA]]&lt;0,(Tabla14[[#This Row],[VALOR PRESTAMO]]*Tabla14[[#This Row],[% INTERES ]]/30*U2221))</f>
        <v>0</v>
      </c>
      <c r="T2221" s="53" t="e">
        <f>Tabla14[[#This Row],[DEUDA CAPITAL]]+Tabla14[[#This Row],[INTERES  CUOTA]]</f>
        <v>#NUM!</v>
      </c>
      <c r="U2221" s="61" t="str">
        <f t="shared" si="359"/>
        <v/>
      </c>
    </row>
    <row r="2222" spans="9:21" ht="24.75" customHeight="1" x14ac:dyDescent="0.35">
      <c r="I2222" s="42">
        <f t="shared" si="350"/>
        <v>0</v>
      </c>
      <c r="J2222" s="65" t="e">
        <f t="shared" si="351"/>
        <v>#NUM!</v>
      </c>
      <c r="K2222" s="83" t="e">
        <f t="shared" si="352"/>
        <v>#NUM!</v>
      </c>
      <c r="L2222" s="83">
        <f t="shared" si="353"/>
        <v>0</v>
      </c>
      <c r="M2222" s="110" t="str">
        <f t="shared" si="354"/>
        <v/>
      </c>
      <c r="N2222" s="51" t="str">
        <f t="shared" si="355"/>
        <v/>
      </c>
      <c r="O2222" s="52" t="str">
        <f t="shared" si="356"/>
        <v/>
      </c>
      <c r="P2222" s="88">
        <f t="shared" si="357"/>
        <v>0</v>
      </c>
      <c r="Q2222" s="88">
        <f t="shared" si="358"/>
        <v>0</v>
      </c>
      <c r="R2222" s="88" t="e">
        <f>-IF(Tabla14[[#This Row],[DIAS HABILES O MORA]]&lt;0,(Tabla14[[#This Row],[VALOR PRESTAMO]]*Tabla14[[#This Row],[% INTERES ]]/30*U2222))+Tabla14[[#This Row],[VALOR CUOTAS]]</f>
        <v>#VALUE!</v>
      </c>
      <c r="S2222" s="88">
        <f>-IF(Tabla14[[#This Row],[DIAS HABILES O MORA]]&lt;0,(Tabla14[[#This Row],[VALOR PRESTAMO]]*Tabla14[[#This Row],[% INTERES ]]/30*U2222))</f>
        <v>0</v>
      </c>
      <c r="T2222" s="53" t="e">
        <f>Tabla14[[#This Row],[DEUDA CAPITAL]]+Tabla14[[#This Row],[INTERES  CUOTA]]</f>
        <v>#NUM!</v>
      </c>
      <c r="U2222" s="61" t="str">
        <f t="shared" si="359"/>
        <v/>
      </c>
    </row>
    <row r="2223" spans="9:21" ht="24.75" customHeight="1" x14ac:dyDescent="0.35">
      <c r="I2223" s="42">
        <f t="shared" si="350"/>
        <v>0</v>
      </c>
      <c r="J2223" s="65" t="e">
        <f t="shared" si="351"/>
        <v>#NUM!</v>
      </c>
      <c r="K2223" s="83" t="e">
        <f t="shared" si="352"/>
        <v>#NUM!</v>
      </c>
      <c r="L2223" s="83">
        <f t="shared" si="353"/>
        <v>0</v>
      </c>
      <c r="M2223" s="110" t="str">
        <f t="shared" si="354"/>
        <v/>
      </c>
      <c r="N2223" s="51" t="str">
        <f t="shared" si="355"/>
        <v/>
      </c>
      <c r="O2223" s="52" t="str">
        <f t="shared" si="356"/>
        <v/>
      </c>
      <c r="P2223" s="88">
        <f t="shared" si="357"/>
        <v>0</v>
      </c>
      <c r="Q2223" s="88">
        <f t="shared" si="358"/>
        <v>0</v>
      </c>
      <c r="R2223" s="88" t="e">
        <f>-IF(Tabla14[[#This Row],[DIAS HABILES O MORA]]&lt;0,(Tabla14[[#This Row],[VALOR PRESTAMO]]*Tabla14[[#This Row],[% INTERES ]]/30*U2223))+Tabla14[[#This Row],[VALOR CUOTAS]]</f>
        <v>#VALUE!</v>
      </c>
      <c r="S2223" s="88">
        <f>-IF(Tabla14[[#This Row],[DIAS HABILES O MORA]]&lt;0,(Tabla14[[#This Row],[VALOR PRESTAMO]]*Tabla14[[#This Row],[% INTERES ]]/30*U2223))</f>
        <v>0</v>
      </c>
      <c r="T2223" s="53" t="e">
        <f>Tabla14[[#This Row],[DEUDA CAPITAL]]+Tabla14[[#This Row],[INTERES  CUOTA]]</f>
        <v>#NUM!</v>
      </c>
      <c r="U2223" s="61" t="str">
        <f t="shared" si="359"/>
        <v/>
      </c>
    </row>
    <row r="2224" spans="9:21" ht="24.75" customHeight="1" x14ac:dyDescent="0.35">
      <c r="I2224" s="42">
        <f t="shared" si="350"/>
        <v>0</v>
      </c>
      <c r="J2224" s="65" t="e">
        <f t="shared" si="351"/>
        <v>#NUM!</v>
      </c>
      <c r="K2224" s="83" t="e">
        <f t="shared" si="352"/>
        <v>#NUM!</v>
      </c>
      <c r="L2224" s="83">
        <f t="shared" si="353"/>
        <v>0</v>
      </c>
      <c r="M2224" s="110" t="str">
        <f t="shared" si="354"/>
        <v/>
      </c>
      <c r="N2224" s="51" t="str">
        <f t="shared" si="355"/>
        <v/>
      </c>
      <c r="O2224" s="52" t="str">
        <f t="shared" si="356"/>
        <v/>
      </c>
      <c r="P2224" s="88">
        <f t="shared" si="357"/>
        <v>0</v>
      </c>
      <c r="Q2224" s="88">
        <f t="shared" si="358"/>
        <v>0</v>
      </c>
      <c r="R2224" s="88" t="e">
        <f>-IF(Tabla14[[#This Row],[DIAS HABILES O MORA]]&lt;0,(Tabla14[[#This Row],[VALOR PRESTAMO]]*Tabla14[[#This Row],[% INTERES ]]/30*U2224))+Tabla14[[#This Row],[VALOR CUOTAS]]</f>
        <v>#VALUE!</v>
      </c>
      <c r="S2224" s="88">
        <f>-IF(Tabla14[[#This Row],[DIAS HABILES O MORA]]&lt;0,(Tabla14[[#This Row],[VALOR PRESTAMO]]*Tabla14[[#This Row],[% INTERES ]]/30*U2224))</f>
        <v>0</v>
      </c>
      <c r="T2224" s="53" t="e">
        <f>Tabla14[[#This Row],[DEUDA CAPITAL]]+Tabla14[[#This Row],[INTERES  CUOTA]]</f>
        <v>#NUM!</v>
      </c>
      <c r="U2224" s="61" t="str">
        <f t="shared" si="359"/>
        <v/>
      </c>
    </row>
    <row r="2225" spans="9:21" ht="24.75" customHeight="1" x14ac:dyDescent="0.35">
      <c r="I2225" s="42">
        <f t="shared" si="350"/>
        <v>0</v>
      </c>
      <c r="J2225" s="65" t="e">
        <f t="shared" si="351"/>
        <v>#NUM!</v>
      </c>
      <c r="K2225" s="83" t="e">
        <f t="shared" si="352"/>
        <v>#NUM!</v>
      </c>
      <c r="L2225" s="83">
        <f t="shared" si="353"/>
        <v>0</v>
      </c>
      <c r="M2225" s="110" t="str">
        <f t="shared" si="354"/>
        <v/>
      </c>
      <c r="N2225" s="51" t="str">
        <f t="shared" si="355"/>
        <v/>
      </c>
      <c r="O2225" s="52" t="str">
        <f t="shared" si="356"/>
        <v/>
      </c>
      <c r="P2225" s="88">
        <f t="shared" si="357"/>
        <v>0</v>
      </c>
      <c r="Q2225" s="88">
        <f t="shared" si="358"/>
        <v>0</v>
      </c>
      <c r="R2225" s="88" t="e">
        <f>-IF(Tabla14[[#This Row],[DIAS HABILES O MORA]]&lt;0,(Tabla14[[#This Row],[VALOR PRESTAMO]]*Tabla14[[#This Row],[% INTERES ]]/30*U2225))+Tabla14[[#This Row],[VALOR CUOTAS]]</f>
        <v>#VALUE!</v>
      </c>
      <c r="S2225" s="88">
        <f>-IF(Tabla14[[#This Row],[DIAS HABILES O MORA]]&lt;0,(Tabla14[[#This Row],[VALOR PRESTAMO]]*Tabla14[[#This Row],[% INTERES ]]/30*U2225))</f>
        <v>0</v>
      </c>
      <c r="T2225" s="53" t="e">
        <f>Tabla14[[#This Row],[DEUDA CAPITAL]]+Tabla14[[#This Row],[INTERES  CUOTA]]</f>
        <v>#NUM!</v>
      </c>
      <c r="U2225" s="61" t="str">
        <f t="shared" si="359"/>
        <v/>
      </c>
    </row>
    <row r="2226" spans="9:21" ht="24.75" customHeight="1" x14ac:dyDescent="0.35">
      <c r="I2226" s="42">
        <f t="shared" si="350"/>
        <v>0</v>
      </c>
      <c r="J2226" s="65" t="e">
        <f t="shared" si="351"/>
        <v>#NUM!</v>
      </c>
      <c r="K2226" s="83" t="e">
        <f t="shared" si="352"/>
        <v>#NUM!</v>
      </c>
      <c r="L2226" s="83">
        <f t="shared" si="353"/>
        <v>0</v>
      </c>
      <c r="M2226" s="110" t="str">
        <f t="shared" si="354"/>
        <v/>
      </c>
      <c r="N2226" s="51" t="str">
        <f t="shared" si="355"/>
        <v/>
      </c>
      <c r="O2226" s="52" t="str">
        <f t="shared" si="356"/>
        <v/>
      </c>
      <c r="P2226" s="88">
        <f t="shared" si="357"/>
        <v>0</v>
      </c>
      <c r="Q2226" s="88">
        <f t="shared" si="358"/>
        <v>0</v>
      </c>
      <c r="R2226" s="88" t="e">
        <f>-IF(Tabla14[[#This Row],[DIAS HABILES O MORA]]&lt;0,(Tabla14[[#This Row],[VALOR PRESTAMO]]*Tabla14[[#This Row],[% INTERES ]]/30*U2226))+Tabla14[[#This Row],[VALOR CUOTAS]]</f>
        <v>#VALUE!</v>
      </c>
      <c r="S2226" s="88">
        <f>-IF(Tabla14[[#This Row],[DIAS HABILES O MORA]]&lt;0,(Tabla14[[#This Row],[VALOR PRESTAMO]]*Tabla14[[#This Row],[% INTERES ]]/30*U2226))</f>
        <v>0</v>
      </c>
      <c r="T2226" s="53" t="e">
        <f>Tabla14[[#This Row],[DEUDA CAPITAL]]+Tabla14[[#This Row],[INTERES  CUOTA]]</f>
        <v>#NUM!</v>
      </c>
      <c r="U2226" s="61" t="str">
        <f t="shared" si="359"/>
        <v/>
      </c>
    </row>
    <row r="2227" spans="9:21" ht="24.75" customHeight="1" x14ac:dyDescent="0.35">
      <c r="I2227" s="42">
        <f t="shared" si="350"/>
        <v>0</v>
      </c>
      <c r="J2227" s="65" t="e">
        <f t="shared" si="351"/>
        <v>#NUM!</v>
      </c>
      <c r="K2227" s="83" t="e">
        <f t="shared" si="352"/>
        <v>#NUM!</v>
      </c>
      <c r="L2227" s="83">
        <f t="shared" si="353"/>
        <v>0</v>
      </c>
      <c r="M2227" s="110" t="str">
        <f t="shared" si="354"/>
        <v/>
      </c>
      <c r="N2227" s="51" t="str">
        <f t="shared" si="355"/>
        <v/>
      </c>
      <c r="O2227" s="52" t="str">
        <f t="shared" si="356"/>
        <v/>
      </c>
      <c r="P2227" s="88">
        <f t="shared" si="357"/>
        <v>0</v>
      </c>
      <c r="Q2227" s="88">
        <f t="shared" si="358"/>
        <v>0</v>
      </c>
      <c r="R2227" s="88" t="e">
        <f>-IF(Tabla14[[#This Row],[DIAS HABILES O MORA]]&lt;0,(Tabla14[[#This Row],[VALOR PRESTAMO]]*Tabla14[[#This Row],[% INTERES ]]/30*U2227))+Tabla14[[#This Row],[VALOR CUOTAS]]</f>
        <v>#VALUE!</v>
      </c>
      <c r="S2227" s="88">
        <f>-IF(Tabla14[[#This Row],[DIAS HABILES O MORA]]&lt;0,(Tabla14[[#This Row],[VALOR PRESTAMO]]*Tabla14[[#This Row],[% INTERES ]]/30*U2227))</f>
        <v>0</v>
      </c>
      <c r="T2227" s="53" t="e">
        <f>Tabla14[[#This Row],[DEUDA CAPITAL]]+Tabla14[[#This Row],[INTERES  CUOTA]]</f>
        <v>#NUM!</v>
      </c>
      <c r="U2227" s="61" t="str">
        <f t="shared" si="359"/>
        <v/>
      </c>
    </row>
    <row r="2228" spans="9:21" ht="24.75" customHeight="1" x14ac:dyDescent="0.35">
      <c r="I2228" s="42">
        <f t="shared" si="350"/>
        <v>0</v>
      </c>
      <c r="J2228" s="65" t="e">
        <f t="shared" si="351"/>
        <v>#NUM!</v>
      </c>
      <c r="K2228" s="83" t="e">
        <f t="shared" si="352"/>
        <v>#NUM!</v>
      </c>
      <c r="L2228" s="83">
        <f t="shared" si="353"/>
        <v>0</v>
      </c>
      <c r="M2228" s="110" t="str">
        <f t="shared" si="354"/>
        <v/>
      </c>
      <c r="N2228" s="51" t="str">
        <f t="shared" si="355"/>
        <v/>
      </c>
      <c r="O2228" s="52" t="str">
        <f t="shared" si="356"/>
        <v/>
      </c>
      <c r="P2228" s="88">
        <f t="shared" si="357"/>
        <v>0</v>
      </c>
      <c r="Q2228" s="88">
        <f t="shared" si="358"/>
        <v>0</v>
      </c>
      <c r="R2228" s="88" t="e">
        <f>-IF(Tabla14[[#This Row],[DIAS HABILES O MORA]]&lt;0,(Tabla14[[#This Row],[VALOR PRESTAMO]]*Tabla14[[#This Row],[% INTERES ]]/30*U2228))+Tabla14[[#This Row],[VALOR CUOTAS]]</f>
        <v>#VALUE!</v>
      </c>
      <c r="S2228" s="88">
        <f>-IF(Tabla14[[#This Row],[DIAS HABILES O MORA]]&lt;0,(Tabla14[[#This Row],[VALOR PRESTAMO]]*Tabla14[[#This Row],[% INTERES ]]/30*U2228))</f>
        <v>0</v>
      </c>
      <c r="T2228" s="53" t="e">
        <f>Tabla14[[#This Row],[DEUDA CAPITAL]]+Tabla14[[#This Row],[INTERES  CUOTA]]</f>
        <v>#NUM!</v>
      </c>
      <c r="U2228" s="61" t="str">
        <f t="shared" si="359"/>
        <v/>
      </c>
    </row>
    <row r="2229" spans="9:21" ht="24.75" customHeight="1" x14ac:dyDescent="0.35">
      <c r="I2229" s="42">
        <f t="shared" si="350"/>
        <v>0</v>
      </c>
      <c r="J2229" s="65" t="e">
        <f t="shared" si="351"/>
        <v>#NUM!</v>
      </c>
      <c r="K2229" s="83" t="e">
        <f t="shared" si="352"/>
        <v>#NUM!</v>
      </c>
      <c r="L2229" s="83">
        <f t="shared" si="353"/>
        <v>0</v>
      </c>
      <c r="M2229" s="110" t="str">
        <f t="shared" si="354"/>
        <v/>
      </c>
      <c r="N2229" s="51" t="str">
        <f t="shared" si="355"/>
        <v/>
      </c>
      <c r="O2229" s="52" t="str">
        <f t="shared" si="356"/>
        <v/>
      </c>
      <c r="P2229" s="88">
        <f t="shared" si="357"/>
        <v>0</v>
      </c>
      <c r="Q2229" s="88">
        <f t="shared" si="358"/>
        <v>0</v>
      </c>
      <c r="R2229" s="88" t="e">
        <f>-IF(Tabla14[[#This Row],[DIAS HABILES O MORA]]&lt;0,(Tabla14[[#This Row],[VALOR PRESTAMO]]*Tabla14[[#This Row],[% INTERES ]]/30*U2229))+Tabla14[[#This Row],[VALOR CUOTAS]]</f>
        <v>#VALUE!</v>
      </c>
      <c r="S2229" s="88">
        <f>-IF(Tabla14[[#This Row],[DIAS HABILES O MORA]]&lt;0,(Tabla14[[#This Row],[VALOR PRESTAMO]]*Tabla14[[#This Row],[% INTERES ]]/30*U2229))</f>
        <v>0</v>
      </c>
      <c r="T2229" s="53" t="e">
        <f>Tabla14[[#This Row],[DEUDA CAPITAL]]+Tabla14[[#This Row],[INTERES  CUOTA]]</f>
        <v>#NUM!</v>
      </c>
      <c r="U2229" s="61" t="str">
        <f t="shared" si="359"/>
        <v/>
      </c>
    </row>
    <row r="2230" spans="9:21" ht="24.75" customHeight="1" x14ac:dyDescent="0.35">
      <c r="I2230" s="42">
        <f t="shared" si="350"/>
        <v>0</v>
      </c>
      <c r="J2230" s="65" t="e">
        <f t="shared" si="351"/>
        <v>#NUM!</v>
      </c>
      <c r="K2230" s="83" t="e">
        <f t="shared" si="352"/>
        <v>#NUM!</v>
      </c>
      <c r="L2230" s="83">
        <f t="shared" si="353"/>
        <v>0</v>
      </c>
      <c r="M2230" s="110" t="str">
        <f t="shared" si="354"/>
        <v/>
      </c>
      <c r="N2230" s="51" t="str">
        <f t="shared" si="355"/>
        <v/>
      </c>
      <c r="O2230" s="52" t="str">
        <f t="shared" si="356"/>
        <v/>
      </c>
      <c r="P2230" s="88">
        <f t="shared" si="357"/>
        <v>0</v>
      </c>
      <c r="Q2230" s="88">
        <f t="shared" si="358"/>
        <v>0</v>
      </c>
      <c r="R2230" s="88" t="e">
        <f>-IF(Tabla14[[#This Row],[DIAS HABILES O MORA]]&lt;0,(Tabla14[[#This Row],[VALOR PRESTAMO]]*Tabla14[[#This Row],[% INTERES ]]/30*U2230))+Tabla14[[#This Row],[VALOR CUOTAS]]</f>
        <v>#VALUE!</v>
      </c>
      <c r="S2230" s="88">
        <f>-IF(Tabla14[[#This Row],[DIAS HABILES O MORA]]&lt;0,(Tabla14[[#This Row],[VALOR PRESTAMO]]*Tabla14[[#This Row],[% INTERES ]]/30*U2230))</f>
        <v>0</v>
      </c>
      <c r="T2230" s="53" t="e">
        <f>Tabla14[[#This Row],[DEUDA CAPITAL]]+Tabla14[[#This Row],[INTERES  CUOTA]]</f>
        <v>#NUM!</v>
      </c>
      <c r="U2230" s="61" t="str">
        <f t="shared" si="359"/>
        <v/>
      </c>
    </row>
    <row r="2231" spans="9:21" ht="24.75" customHeight="1" x14ac:dyDescent="0.35">
      <c r="I2231" s="42">
        <f t="shared" si="350"/>
        <v>0</v>
      </c>
      <c r="J2231" s="65" t="e">
        <f t="shared" si="351"/>
        <v>#NUM!</v>
      </c>
      <c r="K2231" s="83" t="e">
        <f t="shared" si="352"/>
        <v>#NUM!</v>
      </c>
      <c r="L2231" s="83">
        <f t="shared" si="353"/>
        <v>0</v>
      </c>
      <c r="M2231" s="110" t="str">
        <f t="shared" si="354"/>
        <v/>
      </c>
      <c r="N2231" s="51" t="str">
        <f t="shared" si="355"/>
        <v/>
      </c>
      <c r="O2231" s="52" t="str">
        <f t="shared" si="356"/>
        <v/>
      </c>
      <c r="P2231" s="88">
        <f t="shared" si="357"/>
        <v>0</v>
      </c>
      <c r="Q2231" s="88">
        <f t="shared" si="358"/>
        <v>0</v>
      </c>
      <c r="R2231" s="88" t="e">
        <f>-IF(Tabla14[[#This Row],[DIAS HABILES O MORA]]&lt;0,(Tabla14[[#This Row],[VALOR PRESTAMO]]*Tabla14[[#This Row],[% INTERES ]]/30*U2231))+Tabla14[[#This Row],[VALOR CUOTAS]]</f>
        <v>#VALUE!</v>
      </c>
      <c r="S2231" s="88">
        <f>-IF(Tabla14[[#This Row],[DIAS HABILES O MORA]]&lt;0,(Tabla14[[#This Row],[VALOR PRESTAMO]]*Tabla14[[#This Row],[% INTERES ]]/30*U2231))</f>
        <v>0</v>
      </c>
      <c r="T2231" s="53" t="e">
        <f>Tabla14[[#This Row],[DEUDA CAPITAL]]+Tabla14[[#This Row],[INTERES  CUOTA]]</f>
        <v>#NUM!</v>
      </c>
      <c r="U2231" s="61" t="str">
        <f t="shared" si="359"/>
        <v/>
      </c>
    </row>
    <row r="2232" spans="9:21" ht="24.75" customHeight="1" x14ac:dyDescent="0.35">
      <c r="I2232" s="42">
        <f t="shared" si="350"/>
        <v>0</v>
      </c>
      <c r="J2232" s="65" t="e">
        <f t="shared" si="351"/>
        <v>#NUM!</v>
      </c>
      <c r="K2232" s="83" t="e">
        <f t="shared" si="352"/>
        <v>#NUM!</v>
      </c>
      <c r="L2232" s="83">
        <f t="shared" si="353"/>
        <v>0</v>
      </c>
      <c r="M2232" s="110" t="str">
        <f t="shared" si="354"/>
        <v/>
      </c>
      <c r="N2232" s="51" t="str">
        <f t="shared" si="355"/>
        <v/>
      </c>
      <c r="O2232" s="52" t="str">
        <f t="shared" si="356"/>
        <v/>
      </c>
      <c r="P2232" s="88">
        <f t="shared" si="357"/>
        <v>0</v>
      </c>
      <c r="Q2232" s="88">
        <f t="shared" si="358"/>
        <v>0</v>
      </c>
      <c r="R2232" s="88" t="e">
        <f>-IF(Tabla14[[#This Row],[DIAS HABILES O MORA]]&lt;0,(Tabla14[[#This Row],[VALOR PRESTAMO]]*Tabla14[[#This Row],[% INTERES ]]/30*U2232))+Tabla14[[#This Row],[VALOR CUOTAS]]</f>
        <v>#VALUE!</v>
      </c>
      <c r="S2232" s="88">
        <f>-IF(Tabla14[[#This Row],[DIAS HABILES O MORA]]&lt;0,(Tabla14[[#This Row],[VALOR PRESTAMO]]*Tabla14[[#This Row],[% INTERES ]]/30*U2232))</f>
        <v>0</v>
      </c>
      <c r="T2232" s="53" t="e">
        <f>Tabla14[[#This Row],[DEUDA CAPITAL]]+Tabla14[[#This Row],[INTERES  CUOTA]]</f>
        <v>#NUM!</v>
      </c>
      <c r="U2232" s="61" t="str">
        <f t="shared" si="359"/>
        <v/>
      </c>
    </row>
    <row r="2233" spans="9:21" ht="24.75" customHeight="1" x14ac:dyDescent="0.35">
      <c r="I2233" s="42">
        <f t="shared" si="350"/>
        <v>0</v>
      </c>
      <c r="J2233" s="65" t="e">
        <f t="shared" si="351"/>
        <v>#NUM!</v>
      </c>
      <c r="K2233" s="83" t="e">
        <f t="shared" si="352"/>
        <v>#NUM!</v>
      </c>
      <c r="L2233" s="83">
        <f t="shared" si="353"/>
        <v>0</v>
      </c>
      <c r="M2233" s="110" t="str">
        <f t="shared" si="354"/>
        <v/>
      </c>
      <c r="N2233" s="51" t="str">
        <f t="shared" si="355"/>
        <v/>
      </c>
      <c r="O2233" s="52" t="str">
        <f t="shared" si="356"/>
        <v/>
      </c>
      <c r="P2233" s="88">
        <f t="shared" si="357"/>
        <v>0</v>
      </c>
      <c r="Q2233" s="88">
        <f t="shared" si="358"/>
        <v>0</v>
      </c>
      <c r="R2233" s="88" t="e">
        <f>-IF(Tabla14[[#This Row],[DIAS HABILES O MORA]]&lt;0,(Tabla14[[#This Row],[VALOR PRESTAMO]]*Tabla14[[#This Row],[% INTERES ]]/30*U2233))+Tabla14[[#This Row],[VALOR CUOTAS]]</f>
        <v>#VALUE!</v>
      </c>
      <c r="S2233" s="88">
        <f>-IF(Tabla14[[#This Row],[DIAS HABILES O MORA]]&lt;0,(Tabla14[[#This Row],[VALOR PRESTAMO]]*Tabla14[[#This Row],[% INTERES ]]/30*U2233))</f>
        <v>0</v>
      </c>
      <c r="T2233" s="53" t="e">
        <f>Tabla14[[#This Row],[DEUDA CAPITAL]]+Tabla14[[#This Row],[INTERES  CUOTA]]</f>
        <v>#NUM!</v>
      </c>
      <c r="U2233" s="61" t="str">
        <f t="shared" si="359"/>
        <v/>
      </c>
    </row>
    <row r="2234" spans="9:21" ht="24.75" customHeight="1" x14ac:dyDescent="0.35">
      <c r="I2234" s="42">
        <f t="shared" si="350"/>
        <v>0</v>
      </c>
      <c r="J2234" s="65" t="e">
        <f t="shared" si="351"/>
        <v>#NUM!</v>
      </c>
      <c r="K2234" s="83" t="e">
        <f t="shared" si="352"/>
        <v>#NUM!</v>
      </c>
      <c r="L2234" s="83">
        <f t="shared" si="353"/>
        <v>0</v>
      </c>
      <c r="M2234" s="110" t="str">
        <f t="shared" si="354"/>
        <v/>
      </c>
      <c r="N2234" s="51" t="str">
        <f t="shared" si="355"/>
        <v/>
      </c>
      <c r="O2234" s="52" t="str">
        <f t="shared" si="356"/>
        <v/>
      </c>
      <c r="P2234" s="88">
        <f t="shared" si="357"/>
        <v>0</v>
      </c>
      <c r="Q2234" s="88">
        <f t="shared" si="358"/>
        <v>0</v>
      </c>
      <c r="R2234" s="88" t="e">
        <f>-IF(Tabla14[[#This Row],[DIAS HABILES O MORA]]&lt;0,(Tabla14[[#This Row],[VALOR PRESTAMO]]*Tabla14[[#This Row],[% INTERES ]]/30*U2234))+Tabla14[[#This Row],[VALOR CUOTAS]]</f>
        <v>#VALUE!</v>
      </c>
      <c r="S2234" s="88">
        <f>-IF(Tabla14[[#This Row],[DIAS HABILES O MORA]]&lt;0,(Tabla14[[#This Row],[VALOR PRESTAMO]]*Tabla14[[#This Row],[% INTERES ]]/30*U2234))</f>
        <v>0</v>
      </c>
      <c r="T2234" s="53" t="e">
        <f>Tabla14[[#This Row],[DEUDA CAPITAL]]+Tabla14[[#This Row],[INTERES  CUOTA]]</f>
        <v>#NUM!</v>
      </c>
      <c r="U2234" s="61" t="str">
        <f t="shared" si="359"/>
        <v/>
      </c>
    </row>
    <row r="2235" spans="9:21" ht="24.75" customHeight="1" x14ac:dyDescent="0.35">
      <c r="I2235" s="42">
        <f t="shared" si="350"/>
        <v>0</v>
      </c>
      <c r="J2235" s="65" t="e">
        <f t="shared" si="351"/>
        <v>#NUM!</v>
      </c>
      <c r="K2235" s="83" t="e">
        <f t="shared" si="352"/>
        <v>#NUM!</v>
      </c>
      <c r="L2235" s="83">
        <f t="shared" si="353"/>
        <v>0</v>
      </c>
      <c r="M2235" s="110" t="str">
        <f t="shared" si="354"/>
        <v/>
      </c>
      <c r="N2235" s="51" t="str">
        <f t="shared" si="355"/>
        <v/>
      </c>
      <c r="O2235" s="52" t="str">
        <f t="shared" si="356"/>
        <v/>
      </c>
      <c r="P2235" s="88">
        <f t="shared" si="357"/>
        <v>0</v>
      </c>
      <c r="Q2235" s="88">
        <f t="shared" si="358"/>
        <v>0</v>
      </c>
      <c r="R2235" s="88" t="e">
        <f>-IF(Tabla14[[#This Row],[DIAS HABILES O MORA]]&lt;0,(Tabla14[[#This Row],[VALOR PRESTAMO]]*Tabla14[[#This Row],[% INTERES ]]/30*U2235))+Tabla14[[#This Row],[VALOR CUOTAS]]</f>
        <v>#VALUE!</v>
      </c>
      <c r="S2235" s="88">
        <f>-IF(Tabla14[[#This Row],[DIAS HABILES O MORA]]&lt;0,(Tabla14[[#This Row],[VALOR PRESTAMO]]*Tabla14[[#This Row],[% INTERES ]]/30*U2235))</f>
        <v>0</v>
      </c>
      <c r="T2235" s="53" t="e">
        <f>Tabla14[[#This Row],[DEUDA CAPITAL]]+Tabla14[[#This Row],[INTERES  CUOTA]]</f>
        <v>#NUM!</v>
      </c>
      <c r="U2235" s="61" t="str">
        <f t="shared" si="359"/>
        <v/>
      </c>
    </row>
    <row r="2236" spans="9:21" ht="24.75" customHeight="1" x14ac:dyDescent="0.35">
      <c r="I2236" s="42">
        <f t="shared" si="350"/>
        <v>0</v>
      </c>
      <c r="J2236" s="65" t="e">
        <f t="shared" si="351"/>
        <v>#NUM!</v>
      </c>
      <c r="K2236" s="83" t="e">
        <f t="shared" si="352"/>
        <v>#NUM!</v>
      </c>
      <c r="L2236" s="83">
        <f t="shared" si="353"/>
        <v>0</v>
      </c>
      <c r="M2236" s="110" t="str">
        <f t="shared" si="354"/>
        <v/>
      </c>
      <c r="N2236" s="51" t="str">
        <f t="shared" si="355"/>
        <v/>
      </c>
      <c r="O2236" s="52" t="str">
        <f t="shared" si="356"/>
        <v/>
      </c>
      <c r="P2236" s="88">
        <f t="shared" si="357"/>
        <v>0</v>
      </c>
      <c r="Q2236" s="88">
        <f t="shared" si="358"/>
        <v>0</v>
      </c>
      <c r="R2236" s="88" t="e">
        <f>-IF(Tabla14[[#This Row],[DIAS HABILES O MORA]]&lt;0,(Tabla14[[#This Row],[VALOR PRESTAMO]]*Tabla14[[#This Row],[% INTERES ]]/30*U2236))+Tabla14[[#This Row],[VALOR CUOTAS]]</f>
        <v>#VALUE!</v>
      </c>
      <c r="S2236" s="88">
        <f>-IF(Tabla14[[#This Row],[DIAS HABILES O MORA]]&lt;0,(Tabla14[[#This Row],[VALOR PRESTAMO]]*Tabla14[[#This Row],[% INTERES ]]/30*U2236))</f>
        <v>0</v>
      </c>
      <c r="T2236" s="53" t="e">
        <f>Tabla14[[#This Row],[DEUDA CAPITAL]]+Tabla14[[#This Row],[INTERES  CUOTA]]</f>
        <v>#NUM!</v>
      </c>
      <c r="U2236" s="61" t="str">
        <f t="shared" si="359"/>
        <v/>
      </c>
    </row>
    <row r="2237" spans="9:21" ht="24.75" customHeight="1" x14ac:dyDescent="0.35">
      <c r="I2237" s="42">
        <f t="shared" si="350"/>
        <v>0</v>
      </c>
      <c r="J2237" s="65" t="e">
        <f t="shared" si="351"/>
        <v>#NUM!</v>
      </c>
      <c r="K2237" s="83" t="e">
        <f t="shared" si="352"/>
        <v>#NUM!</v>
      </c>
      <c r="L2237" s="83">
        <f t="shared" si="353"/>
        <v>0</v>
      </c>
      <c r="M2237" s="110" t="str">
        <f t="shared" si="354"/>
        <v/>
      </c>
      <c r="N2237" s="51" t="str">
        <f t="shared" si="355"/>
        <v/>
      </c>
      <c r="O2237" s="52" t="str">
        <f t="shared" si="356"/>
        <v/>
      </c>
      <c r="P2237" s="88">
        <f t="shared" si="357"/>
        <v>0</v>
      </c>
      <c r="Q2237" s="88">
        <f t="shared" si="358"/>
        <v>0</v>
      </c>
      <c r="R2237" s="88" t="e">
        <f>-IF(Tabla14[[#This Row],[DIAS HABILES O MORA]]&lt;0,(Tabla14[[#This Row],[VALOR PRESTAMO]]*Tabla14[[#This Row],[% INTERES ]]/30*U2237))+Tabla14[[#This Row],[VALOR CUOTAS]]</f>
        <v>#VALUE!</v>
      </c>
      <c r="S2237" s="88">
        <f>-IF(Tabla14[[#This Row],[DIAS HABILES O MORA]]&lt;0,(Tabla14[[#This Row],[VALOR PRESTAMO]]*Tabla14[[#This Row],[% INTERES ]]/30*U2237))</f>
        <v>0</v>
      </c>
      <c r="T2237" s="53" t="e">
        <f>Tabla14[[#This Row],[DEUDA CAPITAL]]+Tabla14[[#This Row],[INTERES  CUOTA]]</f>
        <v>#NUM!</v>
      </c>
      <c r="U2237" s="61" t="str">
        <f t="shared" si="359"/>
        <v/>
      </c>
    </row>
    <row r="2238" spans="9:21" ht="24.75" customHeight="1" x14ac:dyDescent="0.35">
      <c r="I2238" s="42">
        <f t="shared" si="350"/>
        <v>0</v>
      </c>
      <c r="J2238" s="65" t="e">
        <f t="shared" si="351"/>
        <v>#NUM!</v>
      </c>
      <c r="K2238" s="83" t="e">
        <f t="shared" si="352"/>
        <v>#NUM!</v>
      </c>
      <c r="L2238" s="83">
        <f t="shared" si="353"/>
        <v>0</v>
      </c>
      <c r="M2238" s="110" t="str">
        <f t="shared" si="354"/>
        <v/>
      </c>
      <c r="N2238" s="51" t="str">
        <f t="shared" si="355"/>
        <v/>
      </c>
      <c r="O2238" s="52" t="str">
        <f t="shared" si="356"/>
        <v/>
      </c>
      <c r="P2238" s="88">
        <f t="shared" si="357"/>
        <v>0</v>
      </c>
      <c r="Q2238" s="88">
        <f t="shared" si="358"/>
        <v>0</v>
      </c>
      <c r="R2238" s="88" t="e">
        <f>-IF(Tabla14[[#This Row],[DIAS HABILES O MORA]]&lt;0,(Tabla14[[#This Row],[VALOR PRESTAMO]]*Tabla14[[#This Row],[% INTERES ]]/30*U2238))+Tabla14[[#This Row],[VALOR CUOTAS]]</f>
        <v>#VALUE!</v>
      </c>
      <c r="S2238" s="88">
        <f>-IF(Tabla14[[#This Row],[DIAS HABILES O MORA]]&lt;0,(Tabla14[[#This Row],[VALOR PRESTAMO]]*Tabla14[[#This Row],[% INTERES ]]/30*U2238))</f>
        <v>0</v>
      </c>
      <c r="T2238" s="53" t="e">
        <f>Tabla14[[#This Row],[DEUDA CAPITAL]]+Tabla14[[#This Row],[INTERES  CUOTA]]</f>
        <v>#NUM!</v>
      </c>
      <c r="U2238" s="61" t="str">
        <f t="shared" si="359"/>
        <v/>
      </c>
    </row>
    <row r="2239" spans="9:21" ht="24.75" customHeight="1" x14ac:dyDescent="0.35">
      <c r="I2239" s="42">
        <f t="shared" si="350"/>
        <v>0</v>
      </c>
      <c r="J2239" s="65" t="e">
        <f t="shared" si="351"/>
        <v>#NUM!</v>
      </c>
      <c r="K2239" s="83" t="e">
        <f t="shared" si="352"/>
        <v>#NUM!</v>
      </c>
      <c r="L2239" s="83">
        <f t="shared" si="353"/>
        <v>0</v>
      </c>
      <c r="M2239" s="110" t="str">
        <f t="shared" si="354"/>
        <v/>
      </c>
      <c r="N2239" s="51" t="str">
        <f t="shared" si="355"/>
        <v/>
      </c>
      <c r="O2239" s="52" t="str">
        <f t="shared" si="356"/>
        <v/>
      </c>
      <c r="P2239" s="88">
        <f t="shared" si="357"/>
        <v>0</v>
      </c>
      <c r="Q2239" s="88">
        <f t="shared" si="358"/>
        <v>0</v>
      </c>
      <c r="R2239" s="88" t="e">
        <f>-IF(Tabla14[[#This Row],[DIAS HABILES O MORA]]&lt;0,(Tabla14[[#This Row],[VALOR PRESTAMO]]*Tabla14[[#This Row],[% INTERES ]]/30*U2239))+Tabla14[[#This Row],[VALOR CUOTAS]]</f>
        <v>#VALUE!</v>
      </c>
      <c r="S2239" s="88">
        <f>-IF(Tabla14[[#This Row],[DIAS HABILES O MORA]]&lt;0,(Tabla14[[#This Row],[VALOR PRESTAMO]]*Tabla14[[#This Row],[% INTERES ]]/30*U2239))</f>
        <v>0</v>
      </c>
      <c r="T2239" s="53" t="e">
        <f>Tabla14[[#This Row],[DEUDA CAPITAL]]+Tabla14[[#This Row],[INTERES  CUOTA]]</f>
        <v>#NUM!</v>
      </c>
      <c r="U2239" s="61" t="str">
        <f t="shared" si="359"/>
        <v/>
      </c>
    </row>
    <row r="2240" spans="9:21" ht="24.75" customHeight="1" x14ac:dyDescent="0.35">
      <c r="I2240" s="42">
        <f t="shared" si="350"/>
        <v>0</v>
      </c>
      <c r="J2240" s="65" t="e">
        <f t="shared" si="351"/>
        <v>#NUM!</v>
      </c>
      <c r="K2240" s="83" t="e">
        <f t="shared" si="352"/>
        <v>#NUM!</v>
      </c>
      <c r="L2240" s="83">
        <f t="shared" si="353"/>
        <v>0</v>
      </c>
      <c r="M2240" s="110" t="str">
        <f t="shared" si="354"/>
        <v/>
      </c>
      <c r="N2240" s="51" t="str">
        <f t="shared" si="355"/>
        <v/>
      </c>
      <c r="O2240" s="52" t="str">
        <f t="shared" si="356"/>
        <v/>
      </c>
      <c r="P2240" s="88">
        <f t="shared" si="357"/>
        <v>0</v>
      </c>
      <c r="Q2240" s="88">
        <f t="shared" si="358"/>
        <v>0</v>
      </c>
      <c r="R2240" s="88" t="e">
        <f>-IF(Tabla14[[#This Row],[DIAS HABILES O MORA]]&lt;0,(Tabla14[[#This Row],[VALOR PRESTAMO]]*Tabla14[[#This Row],[% INTERES ]]/30*U2240))+Tabla14[[#This Row],[VALOR CUOTAS]]</f>
        <v>#VALUE!</v>
      </c>
      <c r="S2240" s="88">
        <f>-IF(Tabla14[[#This Row],[DIAS HABILES O MORA]]&lt;0,(Tabla14[[#This Row],[VALOR PRESTAMO]]*Tabla14[[#This Row],[% INTERES ]]/30*U2240))</f>
        <v>0</v>
      </c>
      <c r="T2240" s="53" t="e">
        <f>Tabla14[[#This Row],[DEUDA CAPITAL]]+Tabla14[[#This Row],[INTERES  CUOTA]]</f>
        <v>#NUM!</v>
      </c>
      <c r="U2240" s="61" t="str">
        <f t="shared" si="359"/>
        <v/>
      </c>
    </row>
    <row r="2241" spans="9:21" ht="24.75" customHeight="1" x14ac:dyDescent="0.35">
      <c r="I2241" s="42">
        <f t="shared" si="350"/>
        <v>0</v>
      </c>
      <c r="J2241" s="65" t="e">
        <f t="shared" si="351"/>
        <v>#NUM!</v>
      </c>
      <c r="K2241" s="83" t="e">
        <f t="shared" si="352"/>
        <v>#NUM!</v>
      </c>
      <c r="L2241" s="83">
        <f t="shared" si="353"/>
        <v>0</v>
      </c>
      <c r="M2241" s="110" t="str">
        <f t="shared" si="354"/>
        <v/>
      </c>
      <c r="N2241" s="51" t="str">
        <f t="shared" si="355"/>
        <v/>
      </c>
      <c r="O2241" s="52" t="str">
        <f t="shared" si="356"/>
        <v/>
      </c>
      <c r="P2241" s="88">
        <f t="shared" si="357"/>
        <v>0</v>
      </c>
      <c r="Q2241" s="88">
        <f t="shared" si="358"/>
        <v>0</v>
      </c>
      <c r="R2241" s="88" t="e">
        <f>-IF(Tabla14[[#This Row],[DIAS HABILES O MORA]]&lt;0,(Tabla14[[#This Row],[VALOR PRESTAMO]]*Tabla14[[#This Row],[% INTERES ]]/30*U2241))+Tabla14[[#This Row],[VALOR CUOTAS]]</f>
        <v>#VALUE!</v>
      </c>
      <c r="S2241" s="88">
        <f>-IF(Tabla14[[#This Row],[DIAS HABILES O MORA]]&lt;0,(Tabla14[[#This Row],[VALOR PRESTAMO]]*Tabla14[[#This Row],[% INTERES ]]/30*U2241))</f>
        <v>0</v>
      </c>
      <c r="T2241" s="53" t="e">
        <f>Tabla14[[#This Row],[DEUDA CAPITAL]]+Tabla14[[#This Row],[INTERES  CUOTA]]</f>
        <v>#NUM!</v>
      </c>
      <c r="U2241" s="61" t="str">
        <f t="shared" si="359"/>
        <v/>
      </c>
    </row>
    <row r="2242" spans="9:21" ht="24.75" customHeight="1" x14ac:dyDescent="0.35">
      <c r="I2242" s="42">
        <f t="shared" si="350"/>
        <v>0</v>
      </c>
      <c r="J2242" s="65" t="e">
        <f t="shared" si="351"/>
        <v>#NUM!</v>
      </c>
      <c r="K2242" s="83" t="e">
        <f t="shared" si="352"/>
        <v>#NUM!</v>
      </c>
      <c r="L2242" s="83">
        <f t="shared" si="353"/>
        <v>0</v>
      </c>
      <c r="M2242" s="110" t="str">
        <f t="shared" si="354"/>
        <v/>
      </c>
      <c r="N2242" s="51" t="str">
        <f t="shared" si="355"/>
        <v/>
      </c>
      <c r="O2242" s="52" t="str">
        <f t="shared" si="356"/>
        <v/>
      </c>
      <c r="P2242" s="88">
        <f t="shared" si="357"/>
        <v>0</v>
      </c>
      <c r="Q2242" s="88">
        <f t="shared" si="358"/>
        <v>0</v>
      </c>
      <c r="R2242" s="88" t="e">
        <f>-IF(Tabla14[[#This Row],[DIAS HABILES O MORA]]&lt;0,(Tabla14[[#This Row],[VALOR PRESTAMO]]*Tabla14[[#This Row],[% INTERES ]]/30*U2242))+Tabla14[[#This Row],[VALOR CUOTAS]]</f>
        <v>#VALUE!</v>
      </c>
      <c r="S2242" s="88">
        <f>-IF(Tabla14[[#This Row],[DIAS HABILES O MORA]]&lt;0,(Tabla14[[#This Row],[VALOR PRESTAMO]]*Tabla14[[#This Row],[% INTERES ]]/30*U2242))</f>
        <v>0</v>
      </c>
      <c r="T2242" s="53" t="e">
        <f>Tabla14[[#This Row],[DEUDA CAPITAL]]+Tabla14[[#This Row],[INTERES  CUOTA]]</f>
        <v>#NUM!</v>
      </c>
      <c r="U2242" s="61" t="str">
        <f t="shared" si="359"/>
        <v/>
      </c>
    </row>
    <row r="2243" spans="9:21" ht="24.75" customHeight="1" x14ac:dyDescent="0.35">
      <c r="I2243" s="42">
        <f t="shared" si="350"/>
        <v>0</v>
      </c>
      <c r="J2243" s="65" t="e">
        <f t="shared" si="351"/>
        <v>#NUM!</v>
      </c>
      <c r="K2243" s="83" t="e">
        <f t="shared" si="352"/>
        <v>#NUM!</v>
      </c>
      <c r="L2243" s="83">
        <f t="shared" si="353"/>
        <v>0</v>
      </c>
      <c r="M2243" s="110" t="str">
        <f t="shared" si="354"/>
        <v/>
      </c>
      <c r="N2243" s="51" t="str">
        <f t="shared" si="355"/>
        <v/>
      </c>
      <c r="O2243" s="52" t="str">
        <f t="shared" si="356"/>
        <v/>
      </c>
      <c r="P2243" s="88">
        <f t="shared" si="357"/>
        <v>0</v>
      </c>
      <c r="Q2243" s="88">
        <f t="shared" si="358"/>
        <v>0</v>
      </c>
      <c r="R2243" s="88" t="e">
        <f>-IF(Tabla14[[#This Row],[DIAS HABILES O MORA]]&lt;0,(Tabla14[[#This Row],[VALOR PRESTAMO]]*Tabla14[[#This Row],[% INTERES ]]/30*U2243))+Tabla14[[#This Row],[VALOR CUOTAS]]</f>
        <v>#VALUE!</v>
      </c>
      <c r="S2243" s="88">
        <f>-IF(Tabla14[[#This Row],[DIAS HABILES O MORA]]&lt;0,(Tabla14[[#This Row],[VALOR PRESTAMO]]*Tabla14[[#This Row],[% INTERES ]]/30*U2243))</f>
        <v>0</v>
      </c>
      <c r="T2243" s="53" t="e">
        <f>Tabla14[[#This Row],[DEUDA CAPITAL]]+Tabla14[[#This Row],[INTERES  CUOTA]]</f>
        <v>#NUM!</v>
      </c>
      <c r="U2243" s="61" t="str">
        <f t="shared" si="359"/>
        <v/>
      </c>
    </row>
    <row r="2244" spans="9:21" ht="24.75" customHeight="1" x14ac:dyDescent="0.35">
      <c r="I2244" s="42">
        <f t="shared" si="350"/>
        <v>0</v>
      </c>
      <c r="J2244" s="65" t="e">
        <f t="shared" si="351"/>
        <v>#NUM!</v>
      </c>
      <c r="K2244" s="83" t="e">
        <f t="shared" si="352"/>
        <v>#NUM!</v>
      </c>
      <c r="L2244" s="83">
        <f t="shared" si="353"/>
        <v>0</v>
      </c>
      <c r="M2244" s="110" t="str">
        <f t="shared" si="354"/>
        <v/>
      </c>
      <c r="N2244" s="51" t="str">
        <f t="shared" si="355"/>
        <v/>
      </c>
      <c r="O2244" s="52" t="str">
        <f t="shared" si="356"/>
        <v/>
      </c>
      <c r="P2244" s="88">
        <f t="shared" si="357"/>
        <v>0</v>
      </c>
      <c r="Q2244" s="88">
        <f t="shared" si="358"/>
        <v>0</v>
      </c>
      <c r="R2244" s="88" t="e">
        <f>-IF(Tabla14[[#This Row],[DIAS HABILES O MORA]]&lt;0,(Tabla14[[#This Row],[VALOR PRESTAMO]]*Tabla14[[#This Row],[% INTERES ]]/30*U2244))+Tabla14[[#This Row],[VALOR CUOTAS]]</f>
        <v>#VALUE!</v>
      </c>
      <c r="S2244" s="88">
        <f>-IF(Tabla14[[#This Row],[DIAS HABILES O MORA]]&lt;0,(Tabla14[[#This Row],[VALOR PRESTAMO]]*Tabla14[[#This Row],[% INTERES ]]/30*U2244))</f>
        <v>0</v>
      </c>
      <c r="T2244" s="53" t="e">
        <f>Tabla14[[#This Row],[DEUDA CAPITAL]]+Tabla14[[#This Row],[INTERES  CUOTA]]</f>
        <v>#NUM!</v>
      </c>
      <c r="U2244" s="61" t="str">
        <f t="shared" si="359"/>
        <v/>
      </c>
    </row>
    <row r="2245" spans="9:21" ht="24.75" customHeight="1" x14ac:dyDescent="0.35">
      <c r="I2245" s="42">
        <f t="shared" si="350"/>
        <v>0</v>
      </c>
      <c r="J2245" s="65" t="e">
        <f t="shared" si="351"/>
        <v>#NUM!</v>
      </c>
      <c r="K2245" s="83" t="e">
        <f t="shared" si="352"/>
        <v>#NUM!</v>
      </c>
      <c r="L2245" s="83">
        <f t="shared" si="353"/>
        <v>0</v>
      </c>
      <c r="M2245" s="110" t="str">
        <f t="shared" si="354"/>
        <v/>
      </c>
      <c r="N2245" s="51" t="str">
        <f t="shared" si="355"/>
        <v/>
      </c>
      <c r="O2245" s="52" t="str">
        <f t="shared" si="356"/>
        <v/>
      </c>
      <c r="P2245" s="88">
        <f t="shared" si="357"/>
        <v>0</v>
      </c>
      <c r="Q2245" s="88">
        <f t="shared" si="358"/>
        <v>0</v>
      </c>
      <c r="R2245" s="88" t="e">
        <f>-IF(Tabla14[[#This Row],[DIAS HABILES O MORA]]&lt;0,(Tabla14[[#This Row],[VALOR PRESTAMO]]*Tabla14[[#This Row],[% INTERES ]]/30*U2245))+Tabla14[[#This Row],[VALOR CUOTAS]]</f>
        <v>#VALUE!</v>
      </c>
      <c r="S2245" s="88">
        <f>-IF(Tabla14[[#This Row],[DIAS HABILES O MORA]]&lt;0,(Tabla14[[#This Row],[VALOR PRESTAMO]]*Tabla14[[#This Row],[% INTERES ]]/30*U2245))</f>
        <v>0</v>
      </c>
      <c r="T2245" s="53" t="e">
        <f>Tabla14[[#This Row],[DEUDA CAPITAL]]+Tabla14[[#This Row],[INTERES  CUOTA]]</f>
        <v>#NUM!</v>
      </c>
      <c r="U2245" s="61" t="str">
        <f t="shared" si="359"/>
        <v/>
      </c>
    </row>
    <row r="2246" spans="9:21" ht="24.75" customHeight="1" x14ac:dyDescent="0.35">
      <c r="I2246" s="42">
        <f t="shared" si="350"/>
        <v>0</v>
      </c>
      <c r="J2246" s="65" t="e">
        <f t="shared" si="351"/>
        <v>#NUM!</v>
      </c>
      <c r="K2246" s="83" t="e">
        <f t="shared" si="352"/>
        <v>#NUM!</v>
      </c>
      <c r="L2246" s="83">
        <f t="shared" si="353"/>
        <v>0</v>
      </c>
      <c r="M2246" s="110" t="str">
        <f t="shared" si="354"/>
        <v/>
      </c>
      <c r="N2246" s="51" t="str">
        <f t="shared" si="355"/>
        <v/>
      </c>
      <c r="O2246" s="52" t="str">
        <f t="shared" si="356"/>
        <v/>
      </c>
      <c r="P2246" s="88">
        <f t="shared" si="357"/>
        <v>0</v>
      </c>
      <c r="Q2246" s="88">
        <f t="shared" si="358"/>
        <v>0</v>
      </c>
      <c r="R2246" s="88" t="e">
        <f>-IF(Tabla14[[#This Row],[DIAS HABILES O MORA]]&lt;0,(Tabla14[[#This Row],[VALOR PRESTAMO]]*Tabla14[[#This Row],[% INTERES ]]/30*U2246))+Tabla14[[#This Row],[VALOR CUOTAS]]</f>
        <v>#VALUE!</v>
      </c>
      <c r="S2246" s="88">
        <f>-IF(Tabla14[[#This Row],[DIAS HABILES O MORA]]&lt;0,(Tabla14[[#This Row],[VALOR PRESTAMO]]*Tabla14[[#This Row],[% INTERES ]]/30*U2246))</f>
        <v>0</v>
      </c>
      <c r="T2246" s="53" t="e">
        <f>Tabla14[[#This Row],[DEUDA CAPITAL]]+Tabla14[[#This Row],[INTERES  CUOTA]]</f>
        <v>#NUM!</v>
      </c>
      <c r="U2246" s="61" t="str">
        <f t="shared" si="359"/>
        <v/>
      </c>
    </row>
    <row r="2247" spans="9:21" ht="24.75" customHeight="1" x14ac:dyDescent="0.35">
      <c r="I2247" s="42">
        <f t="shared" si="350"/>
        <v>0</v>
      </c>
      <c r="J2247" s="65" t="e">
        <f t="shared" si="351"/>
        <v>#NUM!</v>
      </c>
      <c r="K2247" s="83" t="e">
        <f t="shared" si="352"/>
        <v>#NUM!</v>
      </c>
      <c r="L2247" s="83">
        <f t="shared" si="353"/>
        <v>0</v>
      </c>
      <c r="M2247" s="110" t="str">
        <f t="shared" si="354"/>
        <v/>
      </c>
      <c r="N2247" s="51" t="str">
        <f t="shared" si="355"/>
        <v/>
      </c>
      <c r="O2247" s="52" t="str">
        <f t="shared" si="356"/>
        <v/>
      </c>
      <c r="P2247" s="88">
        <f t="shared" si="357"/>
        <v>0</v>
      </c>
      <c r="Q2247" s="88">
        <f t="shared" si="358"/>
        <v>0</v>
      </c>
      <c r="R2247" s="88" t="e">
        <f>-IF(Tabla14[[#This Row],[DIAS HABILES O MORA]]&lt;0,(Tabla14[[#This Row],[VALOR PRESTAMO]]*Tabla14[[#This Row],[% INTERES ]]/30*U2247))+Tabla14[[#This Row],[VALOR CUOTAS]]</f>
        <v>#VALUE!</v>
      </c>
      <c r="S2247" s="88">
        <f>-IF(Tabla14[[#This Row],[DIAS HABILES O MORA]]&lt;0,(Tabla14[[#This Row],[VALOR PRESTAMO]]*Tabla14[[#This Row],[% INTERES ]]/30*U2247))</f>
        <v>0</v>
      </c>
      <c r="T2247" s="53" t="e">
        <f>Tabla14[[#This Row],[DEUDA CAPITAL]]+Tabla14[[#This Row],[INTERES  CUOTA]]</f>
        <v>#NUM!</v>
      </c>
      <c r="U2247" s="61" t="str">
        <f t="shared" si="359"/>
        <v/>
      </c>
    </row>
    <row r="2248" spans="9:21" ht="24.75" customHeight="1" x14ac:dyDescent="0.35">
      <c r="I2248" s="42">
        <f t="shared" si="350"/>
        <v>0</v>
      </c>
      <c r="J2248" s="65" t="e">
        <f t="shared" si="351"/>
        <v>#NUM!</v>
      </c>
      <c r="K2248" s="83" t="e">
        <f t="shared" si="352"/>
        <v>#NUM!</v>
      </c>
      <c r="L2248" s="83">
        <f t="shared" si="353"/>
        <v>0</v>
      </c>
      <c r="M2248" s="110" t="str">
        <f t="shared" si="354"/>
        <v/>
      </c>
      <c r="N2248" s="51" t="str">
        <f t="shared" si="355"/>
        <v/>
      </c>
      <c r="O2248" s="52" t="str">
        <f t="shared" si="356"/>
        <v/>
      </c>
      <c r="P2248" s="88">
        <f t="shared" si="357"/>
        <v>0</v>
      </c>
      <c r="Q2248" s="88">
        <f t="shared" si="358"/>
        <v>0</v>
      </c>
      <c r="R2248" s="88" t="e">
        <f>-IF(Tabla14[[#This Row],[DIAS HABILES O MORA]]&lt;0,(Tabla14[[#This Row],[VALOR PRESTAMO]]*Tabla14[[#This Row],[% INTERES ]]/30*U2248))+Tabla14[[#This Row],[VALOR CUOTAS]]</f>
        <v>#VALUE!</v>
      </c>
      <c r="S2248" s="88">
        <f>-IF(Tabla14[[#This Row],[DIAS HABILES O MORA]]&lt;0,(Tabla14[[#This Row],[VALOR PRESTAMO]]*Tabla14[[#This Row],[% INTERES ]]/30*U2248))</f>
        <v>0</v>
      </c>
      <c r="T2248" s="53" t="e">
        <f>Tabla14[[#This Row],[DEUDA CAPITAL]]+Tabla14[[#This Row],[INTERES  CUOTA]]</f>
        <v>#NUM!</v>
      </c>
      <c r="U2248" s="61" t="str">
        <f t="shared" si="359"/>
        <v/>
      </c>
    </row>
    <row r="2249" spans="9:21" ht="24.75" customHeight="1" x14ac:dyDescent="0.35">
      <c r="I2249" s="42">
        <f t="shared" si="350"/>
        <v>0</v>
      </c>
      <c r="J2249" s="65" t="e">
        <f t="shared" si="351"/>
        <v>#NUM!</v>
      </c>
      <c r="K2249" s="83" t="e">
        <f t="shared" si="352"/>
        <v>#NUM!</v>
      </c>
      <c r="L2249" s="83">
        <f t="shared" si="353"/>
        <v>0</v>
      </c>
      <c r="M2249" s="110" t="str">
        <f t="shared" si="354"/>
        <v/>
      </c>
      <c r="N2249" s="51" t="str">
        <f t="shared" si="355"/>
        <v/>
      </c>
      <c r="O2249" s="52" t="str">
        <f t="shared" si="356"/>
        <v/>
      </c>
      <c r="P2249" s="88">
        <f t="shared" si="357"/>
        <v>0</v>
      </c>
      <c r="Q2249" s="88">
        <f t="shared" si="358"/>
        <v>0</v>
      </c>
      <c r="R2249" s="88" t="e">
        <f>-IF(Tabla14[[#This Row],[DIAS HABILES O MORA]]&lt;0,(Tabla14[[#This Row],[VALOR PRESTAMO]]*Tabla14[[#This Row],[% INTERES ]]/30*U2249))+Tabla14[[#This Row],[VALOR CUOTAS]]</f>
        <v>#VALUE!</v>
      </c>
      <c r="S2249" s="88">
        <f>-IF(Tabla14[[#This Row],[DIAS HABILES O MORA]]&lt;0,(Tabla14[[#This Row],[VALOR PRESTAMO]]*Tabla14[[#This Row],[% INTERES ]]/30*U2249))</f>
        <v>0</v>
      </c>
      <c r="T2249" s="53" t="e">
        <f>Tabla14[[#This Row],[DEUDA CAPITAL]]+Tabla14[[#This Row],[INTERES  CUOTA]]</f>
        <v>#NUM!</v>
      </c>
      <c r="U2249" s="61" t="str">
        <f t="shared" si="359"/>
        <v/>
      </c>
    </row>
    <row r="2250" spans="9:21" ht="24.75" customHeight="1" x14ac:dyDescent="0.35">
      <c r="I2250" s="42">
        <f t="shared" si="350"/>
        <v>0</v>
      </c>
      <c r="J2250" s="65" t="e">
        <f t="shared" si="351"/>
        <v>#NUM!</v>
      </c>
      <c r="K2250" s="83" t="e">
        <f t="shared" si="352"/>
        <v>#NUM!</v>
      </c>
      <c r="L2250" s="83">
        <f t="shared" si="353"/>
        <v>0</v>
      </c>
      <c r="M2250" s="110" t="str">
        <f t="shared" si="354"/>
        <v/>
      </c>
      <c r="N2250" s="51" t="str">
        <f t="shared" si="355"/>
        <v/>
      </c>
      <c r="O2250" s="52" t="str">
        <f t="shared" si="356"/>
        <v/>
      </c>
      <c r="P2250" s="88">
        <f t="shared" si="357"/>
        <v>0</v>
      </c>
      <c r="Q2250" s="88">
        <f t="shared" si="358"/>
        <v>0</v>
      </c>
      <c r="R2250" s="88" t="e">
        <f>-IF(Tabla14[[#This Row],[DIAS HABILES O MORA]]&lt;0,(Tabla14[[#This Row],[VALOR PRESTAMO]]*Tabla14[[#This Row],[% INTERES ]]/30*U2250))+Tabla14[[#This Row],[VALOR CUOTAS]]</f>
        <v>#VALUE!</v>
      </c>
      <c r="S2250" s="88">
        <f>-IF(Tabla14[[#This Row],[DIAS HABILES O MORA]]&lt;0,(Tabla14[[#This Row],[VALOR PRESTAMO]]*Tabla14[[#This Row],[% INTERES ]]/30*U2250))</f>
        <v>0</v>
      </c>
      <c r="T2250" s="53" t="e">
        <f>Tabla14[[#This Row],[DEUDA CAPITAL]]+Tabla14[[#This Row],[INTERES  CUOTA]]</f>
        <v>#NUM!</v>
      </c>
      <c r="U2250" s="61" t="str">
        <f t="shared" si="359"/>
        <v/>
      </c>
    </row>
    <row r="2251" spans="9:21" ht="24.75" customHeight="1" x14ac:dyDescent="0.35">
      <c r="I2251" s="42">
        <f t="shared" si="350"/>
        <v>0</v>
      </c>
      <c r="J2251" s="65" t="e">
        <f t="shared" si="351"/>
        <v>#NUM!</v>
      </c>
      <c r="K2251" s="83" t="e">
        <f t="shared" si="352"/>
        <v>#NUM!</v>
      </c>
      <c r="L2251" s="83">
        <f t="shared" si="353"/>
        <v>0</v>
      </c>
      <c r="M2251" s="110" t="str">
        <f t="shared" si="354"/>
        <v/>
      </c>
      <c r="N2251" s="51" t="str">
        <f t="shared" si="355"/>
        <v/>
      </c>
      <c r="O2251" s="52" t="str">
        <f t="shared" si="356"/>
        <v/>
      </c>
      <c r="P2251" s="88">
        <f t="shared" si="357"/>
        <v>0</v>
      </c>
      <c r="Q2251" s="88">
        <f t="shared" si="358"/>
        <v>0</v>
      </c>
      <c r="R2251" s="88" t="e">
        <f>-IF(Tabla14[[#This Row],[DIAS HABILES O MORA]]&lt;0,(Tabla14[[#This Row],[VALOR PRESTAMO]]*Tabla14[[#This Row],[% INTERES ]]/30*U2251))+Tabla14[[#This Row],[VALOR CUOTAS]]</f>
        <v>#VALUE!</v>
      </c>
      <c r="S2251" s="88">
        <f>-IF(Tabla14[[#This Row],[DIAS HABILES O MORA]]&lt;0,(Tabla14[[#This Row],[VALOR PRESTAMO]]*Tabla14[[#This Row],[% INTERES ]]/30*U2251))</f>
        <v>0</v>
      </c>
      <c r="T2251" s="53" t="e">
        <f>Tabla14[[#This Row],[DEUDA CAPITAL]]+Tabla14[[#This Row],[INTERES  CUOTA]]</f>
        <v>#NUM!</v>
      </c>
      <c r="U2251" s="61" t="str">
        <f t="shared" si="359"/>
        <v/>
      </c>
    </row>
    <row r="2252" spans="9:21" ht="24.75" customHeight="1" x14ac:dyDescent="0.35">
      <c r="I2252" s="42">
        <f t="shared" si="350"/>
        <v>0</v>
      </c>
      <c r="J2252" s="65" t="e">
        <f t="shared" si="351"/>
        <v>#NUM!</v>
      </c>
      <c r="K2252" s="83" t="e">
        <f t="shared" si="352"/>
        <v>#NUM!</v>
      </c>
      <c r="L2252" s="83">
        <f t="shared" si="353"/>
        <v>0</v>
      </c>
      <c r="M2252" s="110" t="str">
        <f t="shared" si="354"/>
        <v/>
      </c>
      <c r="N2252" s="51" t="str">
        <f t="shared" si="355"/>
        <v/>
      </c>
      <c r="O2252" s="52" t="str">
        <f t="shared" si="356"/>
        <v/>
      </c>
      <c r="P2252" s="88">
        <f t="shared" si="357"/>
        <v>0</v>
      </c>
      <c r="Q2252" s="88">
        <f t="shared" si="358"/>
        <v>0</v>
      </c>
      <c r="R2252" s="88" t="e">
        <f>-IF(Tabla14[[#This Row],[DIAS HABILES O MORA]]&lt;0,(Tabla14[[#This Row],[VALOR PRESTAMO]]*Tabla14[[#This Row],[% INTERES ]]/30*U2252))+Tabla14[[#This Row],[VALOR CUOTAS]]</f>
        <v>#VALUE!</v>
      </c>
      <c r="S2252" s="88">
        <f>-IF(Tabla14[[#This Row],[DIAS HABILES O MORA]]&lt;0,(Tabla14[[#This Row],[VALOR PRESTAMO]]*Tabla14[[#This Row],[% INTERES ]]/30*U2252))</f>
        <v>0</v>
      </c>
      <c r="T2252" s="53" t="e">
        <f>Tabla14[[#This Row],[DEUDA CAPITAL]]+Tabla14[[#This Row],[INTERES  CUOTA]]</f>
        <v>#NUM!</v>
      </c>
      <c r="U2252" s="61" t="str">
        <f t="shared" si="359"/>
        <v/>
      </c>
    </row>
    <row r="2253" spans="9:21" ht="24.75" customHeight="1" x14ac:dyDescent="0.35">
      <c r="I2253" s="42">
        <f t="shared" si="350"/>
        <v>0</v>
      </c>
      <c r="J2253" s="65" t="e">
        <f t="shared" si="351"/>
        <v>#NUM!</v>
      </c>
      <c r="K2253" s="83" t="e">
        <f t="shared" si="352"/>
        <v>#NUM!</v>
      </c>
      <c r="L2253" s="83">
        <f t="shared" si="353"/>
        <v>0</v>
      </c>
      <c r="M2253" s="110" t="str">
        <f t="shared" si="354"/>
        <v/>
      </c>
      <c r="N2253" s="51" t="str">
        <f t="shared" si="355"/>
        <v/>
      </c>
      <c r="O2253" s="52" t="str">
        <f t="shared" si="356"/>
        <v/>
      </c>
      <c r="P2253" s="88">
        <f t="shared" si="357"/>
        <v>0</v>
      </c>
      <c r="Q2253" s="88">
        <f t="shared" si="358"/>
        <v>0</v>
      </c>
      <c r="R2253" s="88" t="e">
        <f>-IF(Tabla14[[#This Row],[DIAS HABILES O MORA]]&lt;0,(Tabla14[[#This Row],[VALOR PRESTAMO]]*Tabla14[[#This Row],[% INTERES ]]/30*U2253))+Tabla14[[#This Row],[VALOR CUOTAS]]</f>
        <v>#VALUE!</v>
      </c>
      <c r="S2253" s="88">
        <f>-IF(Tabla14[[#This Row],[DIAS HABILES O MORA]]&lt;0,(Tabla14[[#This Row],[VALOR PRESTAMO]]*Tabla14[[#This Row],[% INTERES ]]/30*U2253))</f>
        <v>0</v>
      </c>
      <c r="T2253" s="53" t="e">
        <f>Tabla14[[#This Row],[DEUDA CAPITAL]]+Tabla14[[#This Row],[INTERES  CUOTA]]</f>
        <v>#NUM!</v>
      </c>
      <c r="U2253" s="61" t="str">
        <f t="shared" si="359"/>
        <v/>
      </c>
    </row>
    <row r="2254" spans="9:21" ht="24.75" customHeight="1" x14ac:dyDescent="0.35">
      <c r="I2254" s="42">
        <f t="shared" si="350"/>
        <v>0</v>
      </c>
      <c r="J2254" s="65" t="e">
        <f t="shared" si="351"/>
        <v>#NUM!</v>
      </c>
      <c r="K2254" s="83" t="e">
        <f t="shared" si="352"/>
        <v>#NUM!</v>
      </c>
      <c r="L2254" s="83">
        <f t="shared" si="353"/>
        <v>0</v>
      </c>
      <c r="M2254" s="110" t="str">
        <f t="shared" si="354"/>
        <v/>
      </c>
      <c r="N2254" s="51" t="str">
        <f t="shared" si="355"/>
        <v/>
      </c>
      <c r="O2254" s="52" t="str">
        <f t="shared" si="356"/>
        <v/>
      </c>
      <c r="P2254" s="88">
        <f t="shared" si="357"/>
        <v>0</v>
      </c>
      <c r="Q2254" s="88">
        <f t="shared" si="358"/>
        <v>0</v>
      </c>
      <c r="R2254" s="88" t="e">
        <f>-IF(Tabla14[[#This Row],[DIAS HABILES O MORA]]&lt;0,(Tabla14[[#This Row],[VALOR PRESTAMO]]*Tabla14[[#This Row],[% INTERES ]]/30*U2254))+Tabla14[[#This Row],[VALOR CUOTAS]]</f>
        <v>#VALUE!</v>
      </c>
      <c r="S2254" s="88">
        <f>-IF(Tabla14[[#This Row],[DIAS HABILES O MORA]]&lt;0,(Tabla14[[#This Row],[VALOR PRESTAMO]]*Tabla14[[#This Row],[% INTERES ]]/30*U2254))</f>
        <v>0</v>
      </c>
      <c r="T2254" s="53" t="e">
        <f>Tabla14[[#This Row],[DEUDA CAPITAL]]+Tabla14[[#This Row],[INTERES  CUOTA]]</f>
        <v>#NUM!</v>
      </c>
      <c r="U2254" s="61" t="str">
        <f t="shared" si="359"/>
        <v/>
      </c>
    </row>
    <row r="2255" spans="9:21" ht="24.75" customHeight="1" x14ac:dyDescent="0.35">
      <c r="I2255" s="42">
        <f t="shared" si="350"/>
        <v>0</v>
      </c>
      <c r="J2255" s="65" t="e">
        <f t="shared" si="351"/>
        <v>#NUM!</v>
      </c>
      <c r="K2255" s="83" t="e">
        <f t="shared" si="352"/>
        <v>#NUM!</v>
      </c>
      <c r="L2255" s="83">
        <f t="shared" si="353"/>
        <v>0</v>
      </c>
      <c r="M2255" s="110" t="str">
        <f t="shared" si="354"/>
        <v/>
      </c>
      <c r="N2255" s="51" t="str">
        <f t="shared" si="355"/>
        <v/>
      </c>
      <c r="O2255" s="52" t="str">
        <f t="shared" si="356"/>
        <v/>
      </c>
      <c r="P2255" s="88">
        <f t="shared" si="357"/>
        <v>0</v>
      </c>
      <c r="Q2255" s="88">
        <f t="shared" si="358"/>
        <v>0</v>
      </c>
      <c r="R2255" s="88" t="e">
        <f>-IF(Tabla14[[#This Row],[DIAS HABILES O MORA]]&lt;0,(Tabla14[[#This Row],[VALOR PRESTAMO]]*Tabla14[[#This Row],[% INTERES ]]/30*U2255))+Tabla14[[#This Row],[VALOR CUOTAS]]</f>
        <v>#VALUE!</v>
      </c>
      <c r="S2255" s="88">
        <f>-IF(Tabla14[[#This Row],[DIAS HABILES O MORA]]&lt;0,(Tabla14[[#This Row],[VALOR PRESTAMO]]*Tabla14[[#This Row],[% INTERES ]]/30*U2255))</f>
        <v>0</v>
      </c>
      <c r="T2255" s="53" t="e">
        <f>Tabla14[[#This Row],[DEUDA CAPITAL]]+Tabla14[[#This Row],[INTERES  CUOTA]]</f>
        <v>#NUM!</v>
      </c>
      <c r="U2255" s="61" t="str">
        <f t="shared" si="359"/>
        <v/>
      </c>
    </row>
    <row r="2256" spans="9:21" ht="24.75" customHeight="1" x14ac:dyDescent="0.35">
      <c r="I2256" s="42">
        <f t="shared" ref="I2256:I2319" si="360">IF(C2256&lt;0,"",IF(Q2256=0,0,IF(G2256=0,H2256+1,IF(H2256&lt;G2256,H2256+1,IF(G2256=H2256,0)))))</f>
        <v>0</v>
      </c>
      <c r="J2256" s="65" t="e">
        <f t="shared" ref="J2256:J2319" si="361">IF(F2256="SOLO INTERES",Q2256*D2256,-IPMT(D2256,I2256,G2256,C2256))</f>
        <v>#NUM!</v>
      </c>
      <c r="K2256" s="83" t="e">
        <f t="shared" ref="K2256:K2319" si="362">IF(F2256="SOLO INTERES",0,-PPMT(D2256,I2256,G2256,C2256))</f>
        <v>#NUM!</v>
      </c>
      <c r="L2256" s="83">
        <f t="shared" ref="L2256:L2319" si="363">IF(F2256="SOLO INTERES",SUM(Y2256:AAE2256),IFERROR(-CUMIPMT(D2256,G2256,C2256,1,H2256,0),0)+SUM(Y2256:WY2256))</f>
        <v>0</v>
      </c>
      <c r="M2256" s="110" t="str">
        <f t="shared" ref="M2256:M2319" si="364">IFERROR(IF(F2256="SOLO INTERES",Q2256*D2256,-PMT(D2256,G2256,C2256,0)),"")</f>
        <v/>
      </c>
      <c r="N2256" s="51" t="str">
        <f t="shared" ref="N2256:N2319" si="365">IF(Q2256=0,"",IF(E2256="MENSUAL",EDATE(B2256,I2256),IF(E2256="QUINCENAL",B2256+(I2256*15),IF(E2256="SEMANAL",B2256+(I2256*7)))))</f>
        <v/>
      </c>
      <c r="O2256" s="52" t="str">
        <f t="shared" ref="O2256:O2319" si="366">IF(C2256=0,"",IF(Q2256&lt;1,"PAGADO",IF(N2256=$A$3,"COBRAR HOY",IF(N2256&lt;$A$3,"EN MORA",IF(N2256&gt;$A$3,"AL DIA")))))</f>
        <v/>
      </c>
      <c r="P2256" s="88">
        <f t="shared" ref="P2256:P2319" si="367">IFERROR(-CUMPRINC(D2256,G2256,C2256,1,H2256,0),0)+W2256</f>
        <v>0</v>
      </c>
      <c r="Q2256" s="88">
        <f t="shared" ref="Q2256:Q2319" si="368">IFERROR(C2256-P2256,"")</f>
        <v>0</v>
      </c>
      <c r="R2256" s="88" t="e">
        <f>-IF(Tabla14[[#This Row],[DIAS HABILES O MORA]]&lt;0,(Tabla14[[#This Row],[VALOR PRESTAMO]]*Tabla14[[#This Row],[% INTERES ]]/30*U2256))+Tabla14[[#This Row],[VALOR CUOTAS]]</f>
        <v>#VALUE!</v>
      </c>
      <c r="S2256" s="88">
        <f>-IF(Tabla14[[#This Row],[DIAS HABILES O MORA]]&lt;0,(Tabla14[[#This Row],[VALOR PRESTAMO]]*Tabla14[[#This Row],[% INTERES ]]/30*U2256))</f>
        <v>0</v>
      </c>
      <c r="T2256" s="53" t="e">
        <f>Tabla14[[#This Row],[DEUDA CAPITAL]]+Tabla14[[#This Row],[INTERES  CUOTA]]</f>
        <v>#NUM!</v>
      </c>
      <c r="U2256" s="61" t="str">
        <f t="shared" ref="U2256:U2319" si="369">IF(O2256="PAGADO","",IFERROR(-IF(C2256=0,"",$A$3-N2256),""))</f>
        <v/>
      </c>
    </row>
    <row r="2257" spans="9:21" ht="24.75" customHeight="1" x14ac:dyDescent="0.35">
      <c r="I2257" s="42">
        <f t="shared" si="360"/>
        <v>0</v>
      </c>
      <c r="J2257" s="65" t="e">
        <f t="shared" si="361"/>
        <v>#NUM!</v>
      </c>
      <c r="K2257" s="83" t="e">
        <f t="shared" si="362"/>
        <v>#NUM!</v>
      </c>
      <c r="L2257" s="83">
        <f t="shared" si="363"/>
        <v>0</v>
      </c>
      <c r="M2257" s="110" t="str">
        <f t="shared" si="364"/>
        <v/>
      </c>
      <c r="N2257" s="51" t="str">
        <f t="shared" si="365"/>
        <v/>
      </c>
      <c r="O2257" s="52" t="str">
        <f t="shared" si="366"/>
        <v/>
      </c>
      <c r="P2257" s="88">
        <f t="shared" si="367"/>
        <v>0</v>
      </c>
      <c r="Q2257" s="88">
        <f t="shared" si="368"/>
        <v>0</v>
      </c>
      <c r="R2257" s="88" t="e">
        <f>-IF(Tabla14[[#This Row],[DIAS HABILES O MORA]]&lt;0,(Tabla14[[#This Row],[VALOR PRESTAMO]]*Tabla14[[#This Row],[% INTERES ]]/30*U2257))+Tabla14[[#This Row],[VALOR CUOTAS]]</f>
        <v>#VALUE!</v>
      </c>
      <c r="S2257" s="88">
        <f>-IF(Tabla14[[#This Row],[DIAS HABILES O MORA]]&lt;0,(Tabla14[[#This Row],[VALOR PRESTAMO]]*Tabla14[[#This Row],[% INTERES ]]/30*U2257))</f>
        <v>0</v>
      </c>
      <c r="T2257" s="53" t="e">
        <f>Tabla14[[#This Row],[DEUDA CAPITAL]]+Tabla14[[#This Row],[INTERES  CUOTA]]</f>
        <v>#NUM!</v>
      </c>
      <c r="U2257" s="61" t="str">
        <f t="shared" si="369"/>
        <v/>
      </c>
    </row>
    <row r="2258" spans="9:21" ht="24.75" customHeight="1" x14ac:dyDescent="0.35">
      <c r="I2258" s="42">
        <f t="shared" si="360"/>
        <v>0</v>
      </c>
      <c r="J2258" s="65" t="e">
        <f t="shared" si="361"/>
        <v>#NUM!</v>
      </c>
      <c r="K2258" s="83" t="e">
        <f t="shared" si="362"/>
        <v>#NUM!</v>
      </c>
      <c r="L2258" s="83">
        <f t="shared" si="363"/>
        <v>0</v>
      </c>
      <c r="M2258" s="110" t="str">
        <f t="shared" si="364"/>
        <v/>
      </c>
      <c r="N2258" s="51" t="str">
        <f t="shared" si="365"/>
        <v/>
      </c>
      <c r="O2258" s="52" t="str">
        <f t="shared" si="366"/>
        <v/>
      </c>
      <c r="P2258" s="88">
        <f t="shared" si="367"/>
        <v>0</v>
      </c>
      <c r="Q2258" s="88">
        <f t="shared" si="368"/>
        <v>0</v>
      </c>
      <c r="R2258" s="88" t="e">
        <f>-IF(Tabla14[[#This Row],[DIAS HABILES O MORA]]&lt;0,(Tabla14[[#This Row],[VALOR PRESTAMO]]*Tabla14[[#This Row],[% INTERES ]]/30*U2258))+Tabla14[[#This Row],[VALOR CUOTAS]]</f>
        <v>#VALUE!</v>
      </c>
      <c r="S2258" s="88">
        <f>-IF(Tabla14[[#This Row],[DIAS HABILES O MORA]]&lt;0,(Tabla14[[#This Row],[VALOR PRESTAMO]]*Tabla14[[#This Row],[% INTERES ]]/30*U2258))</f>
        <v>0</v>
      </c>
      <c r="T2258" s="53" t="e">
        <f>Tabla14[[#This Row],[DEUDA CAPITAL]]+Tabla14[[#This Row],[INTERES  CUOTA]]</f>
        <v>#NUM!</v>
      </c>
      <c r="U2258" s="61" t="str">
        <f t="shared" si="369"/>
        <v/>
      </c>
    </row>
    <row r="2259" spans="9:21" ht="24.75" customHeight="1" x14ac:dyDescent="0.35">
      <c r="I2259" s="42">
        <f t="shared" si="360"/>
        <v>0</v>
      </c>
      <c r="J2259" s="65" t="e">
        <f t="shared" si="361"/>
        <v>#NUM!</v>
      </c>
      <c r="K2259" s="83" t="e">
        <f t="shared" si="362"/>
        <v>#NUM!</v>
      </c>
      <c r="L2259" s="83">
        <f t="shared" si="363"/>
        <v>0</v>
      </c>
      <c r="M2259" s="110" t="str">
        <f t="shared" si="364"/>
        <v/>
      </c>
      <c r="N2259" s="51" t="str">
        <f t="shared" si="365"/>
        <v/>
      </c>
      <c r="O2259" s="52" t="str">
        <f t="shared" si="366"/>
        <v/>
      </c>
      <c r="P2259" s="88">
        <f t="shared" si="367"/>
        <v>0</v>
      </c>
      <c r="Q2259" s="88">
        <f t="shared" si="368"/>
        <v>0</v>
      </c>
      <c r="R2259" s="88" t="e">
        <f>-IF(Tabla14[[#This Row],[DIAS HABILES O MORA]]&lt;0,(Tabla14[[#This Row],[VALOR PRESTAMO]]*Tabla14[[#This Row],[% INTERES ]]/30*U2259))+Tabla14[[#This Row],[VALOR CUOTAS]]</f>
        <v>#VALUE!</v>
      </c>
      <c r="S2259" s="88">
        <f>-IF(Tabla14[[#This Row],[DIAS HABILES O MORA]]&lt;0,(Tabla14[[#This Row],[VALOR PRESTAMO]]*Tabla14[[#This Row],[% INTERES ]]/30*U2259))</f>
        <v>0</v>
      </c>
      <c r="T2259" s="53" t="e">
        <f>Tabla14[[#This Row],[DEUDA CAPITAL]]+Tabla14[[#This Row],[INTERES  CUOTA]]</f>
        <v>#NUM!</v>
      </c>
      <c r="U2259" s="61" t="str">
        <f t="shared" si="369"/>
        <v/>
      </c>
    </row>
    <row r="2260" spans="9:21" ht="24.75" customHeight="1" x14ac:dyDescent="0.35">
      <c r="I2260" s="42">
        <f t="shared" si="360"/>
        <v>0</v>
      </c>
      <c r="J2260" s="65" t="e">
        <f t="shared" si="361"/>
        <v>#NUM!</v>
      </c>
      <c r="K2260" s="83" t="e">
        <f t="shared" si="362"/>
        <v>#NUM!</v>
      </c>
      <c r="L2260" s="83">
        <f t="shared" si="363"/>
        <v>0</v>
      </c>
      <c r="M2260" s="110" t="str">
        <f t="shared" si="364"/>
        <v/>
      </c>
      <c r="N2260" s="51" t="str">
        <f t="shared" si="365"/>
        <v/>
      </c>
      <c r="O2260" s="52" t="str">
        <f t="shared" si="366"/>
        <v/>
      </c>
      <c r="P2260" s="88">
        <f t="shared" si="367"/>
        <v>0</v>
      </c>
      <c r="Q2260" s="88">
        <f t="shared" si="368"/>
        <v>0</v>
      </c>
      <c r="R2260" s="88" t="e">
        <f>-IF(Tabla14[[#This Row],[DIAS HABILES O MORA]]&lt;0,(Tabla14[[#This Row],[VALOR PRESTAMO]]*Tabla14[[#This Row],[% INTERES ]]/30*U2260))+Tabla14[[#This Row],[VALOR CUOTAS]]</f>
        <v>#VALUE!</v>
      </c>
      <c r="S2260" s="88">
        <f>-IF(Tabla14[[#This Row],[DIAS HABILES O MORA]]&lt;0,(Tabla14[[#This Row],[VALOR PRESTAMO]]*Tabla14[[#This Row],[% INTERES ]]/30*U2260))</f>
        <v>0</v>
      </c>
      <c r="T2260" s="53" t="e">
        <f>Tabla14[[#This Row],[DEUDA CAPITAL]]+Tabla14[[#This Row],[INTERES  CUOTA]]</f>
        <v>#NUM!</v>
      </c>
      <c r="U2260" s="61" t="str">
        <f t="shared" si="369"/>
        <v/>
      </c>
    </row>
    <row r="2261" spans="9:21" ht="24.75" customHeight="1" x14ac:dyDescent="0.35">
      <c r="I2261" s="42">
        <f t="shared" si="360"/>
        <v>0</v>
      </c>
      <c r="J2261" s="65" t="e">
        <f t="shared" si="361"/>
        <v>#NUM!</v>
      </c>
      <c r="K2261" s="83" t="e">
        <f t="shared" si="362"/>
        <v>#NUM!</v>
      </c>
      <c r="L2261" s="83">
        <f t="shared" si="363"/>
        <v>0</v>
      </c>
      <c r="M2261" s="110" t="str">
        <f t="shared" si="364"/>
        <v/>
      </c>
      <c r="N2261" s="51" t="str">
        <f t="shared" si="365"/>
        <v/>
      </c>
      <c r="O2261" s="52" t="str">
        <f t="shared" si="366"/>
        <v/>
      </c>
      <c r="P2261" s="88">
        <f t="shared" si="367"/>
        <v>0</v>
      </c>
      <c r="Q2261" s="88">
        <f t="shared" si="368"/>
        <v>0</v>
      </c>
      <c r="R2261" s="88" t="e">
        <f>-IF(Tabla14[[#This Row],[DIAS HABILES O MORA]]&lt;0,(Tabla14[[#This Row],[VALOR PRESTAMO]]*Tabla14[[#This Row],[% INTERES ]]/30*U2261))+Tabla14[[#This Row],[VALOR CUOTAS]]</f>
        <v>#VALUE!</v>
      </c>
      <c r="S2261" s="88">
        <f>-IF(Tabla14[[#This Row],[DIAS HABILES O MORA]]&lt;0,(Tabla14[[#This Row],[VALOR PRESTAMO]]*Tabla14[[#This Row],[% INTERES ]]/30*U2261))</f>
        <v>0</v>
      </c>
      <c r="T2261" s="53" t="e">
        <f>Tabla14[[#This Row],[DEUDA CAPITAL]]+Tabla14[[#This Row],[INTERES  CUOTA]]</f>
        <v>#NUM!</v>
      </c>
      <c r="U2261" s="61" t="str">
        <f t="shared" si="369"/>
        <v/>
      </c>
    </row>
    <row r="2262" spans="9:21" ht="24.75" customHeight="1" x14ac:dyDescent="0.35">
      <c r="I2262" s="42">
        <f t="shared" si="360"/>
        <v>0</v>
      </c>
      <c r="J2262" s="65" t="e">
        <f t="shared" si="361"/>
        <v>#NUM!</v>
      </c>
      <c r="K2262" s="83" t="e">
        <f t="shared" si="362"/>
        <v>#NUM!</v>
      </c>
      <c r="L2262" s="83">
        <f t="shared" si="363"/>
        <v>0</v>
      </c>
      <c r="M2262" s="110" t="str">
        <f t="shared" si="364"/>
        <v/>
      </c>
      <c r="N2262" s="51" t="str">
        <f t="shared" si="365"/>
        <v/>
      </c>
      <c r="O2262" s="52" t="str">
        <f t="shared" si="366"/>
        <v/>
      </c>
      <c r="P2262" s="88">
        <f t="shared" si="367"/>
        <v>0</v>
      </c>
      <c r="Q2262" s="88">
        <f t="shared" si="368"/>
        <v>0</v>
      </c>
      <c r="R2262" s="88" t="e">
        <f>-IF(Tabla14[[#This Row],[DIAS HABILES O MORA]]&lt;0,(Tabla14[[#This Row],[VALOR PRESTAMO]]*Tabla14[[#This Row],[% INTERES ]]/30*U2262))+Tabla14[[#This Row],[VALOR CUOTAS]]</f>
        <v>#VALUE!</v>
      </c>
      <c r="S2262" s="88">
        <f>-IF(Tabla14[[#This Row],[DIAS HABILES O MORA]]&lt;0,(Tabla14[[#This Row],[VALOR PRESTAMO]]*Tabla14[[#This Row],[% INTERES ]]/30*U2262))</f>
        <v>0</v>
      </c>
      <c r="T2262" s="53" t="e">
        <f>Tabla14[[#This Row],[DEUDA CAPITAL]]+Tabla14[[#This Row],[INTERES  CUOTA]]</f>
        <v>#NUM!</v>
      </c>
      <c r="U2262" s="61" t="str">
        <f t="shared" si="369"/>
        <v/>
      </c>
    </row>
    <row r="2263" spans="9:21" ht="24.75" customHeight="1" x14ac:dyDescent="0.35">
      <c r="I2263" s="42">
        <f t="shared" si="360"/>
        <v>0</v>
      </c>
      <c r="J2263" s="65" t="e">
        <f t="shared" si="361"/>
        <v>#NUM!</v>
      </c>
      <c r="K2263" s="83" t="e">
        <f t="shared" si="362"/>
        <v>#NUM!</v>
      </c>
      <c r="L2263" s="83">
        <f t="shared" si="363"/>
        <v>0</v>
      </c>
      <c r="M2263" s="110" t="str">
        <f t="shared" si="364"/>
        <v/>
      </c>
      <c r="N2263" s="51" t="str">
        <f t="shared" si="365"/>
        <v/>
      </c>
      <c r="O2263" s="52" t="str">
        <f t="shared" si="366"/>
        <v/>
      </c>
      <c r="P2263" s="88">
        <f t="shared" si="367"/>
        <v>0</v>
      </c>
      <c r="Q2263" s="88">
        <f t="shared" si="368"/>
        <v>0</v>
      </c>
      <c r="R2263" s="88" t="e">
        <f>-IF(Tabla14[[#This Row],[DIAS HABILES O MORA]]&lt;0,(Tabla14[[#This Row],[VALOR PRESTAMO]]*Tabla14[[#This Row],[% INTERES ]]/30*U2263))+Tabla14[[#This Row],[VALOR CUOTAS]]</f>
        <v>#VALUE!</v>
      </c>
      <c r="S2263" s="88">
        <f>-IF(Tabla14[[#This Row],[DIAS HABILES O MORA]]&lt;0,(Tabla14[[#This Row],[VALOR PRESTAMO]]*Tabla14[[#This Row],[% INTERES ]]/30*U2263))</f>
        <v>0</v>
      </c>
      <c r="T2263" s="53" t="e">
        <f>Tabla14[[#This Row],[DEUDA CAPITAL]]+Tabla14[[#This Row],[INTERES  CUOTA]]</f>
        <v>#NUM!</v>
      </c>
      <c r="U2263" s="61" t="str">
        <f t="shared" si="369"/>
        <v/>
      </c>
    </row>
    <row r="2264" spans="9:21" ht="24.75" customHeight="1" x14ac:dyDescent="0.35">
      <c r="I2264" s="42">
        <f t="shared" si="360"/>
        <v>0</v>
      </c>
      <c r="J2264" s="65" t="e">
        <f t="shared" si="361"/>
        <v>#NUM!</v>
      </c>
      <c r="K2264" s="83" t="e">
        <f t="shared" si="362"/>
        <v>#NUM!</v>
      </c>
      <c r="L2264" s="83">
        <f t="shared" si="363"/>
        <v>0</v>
      </c>
      <c r="M2264" s="110" t="str">
        <f t="shared" si="364"/>
        <v/>
      </c>
      <c r="N2264" s="51" t="str">
        <f t="shared" si="365"/>
        <v/>
      </c>
      <c r="O2264" s="52" t="str">
        <f t="shared" si="366"/>
        <v/>
      </c>
      <c r="P2264" s="88">
        <f t="shared" si="367"/>
        <v>0</v>
      </c>
      <c r="Q2264" s="88">
        <f t="shared" si="368"/>
        <v>0</v>
      </c>
      <c r="R2264" s="88" t="e">
        <f>-IF(Tabla14[[#This Row],[DIAS HABILES O MORA]]&lt;0,(Tabla14[[#This Row],[VALOR PRESTAMO]]*Tabla14[[#This Row],[% INTERES ]]/30*U2264))+Tabla14[[#This Row],[VALOR CUOTAS]]</f>
        <v>#VALUE!</v>
      </c>
      <c r="S2264" s="88">
        <f>-IF(Tabla14[[#This Row],[DIAS HABILES O MORA]]&lt;0,(Tabla14[[#This Row],[VALOR PRESTAMO]]*Tabla14[[#This Row],[% INTERES ]]/30*U2264))</f>
        <v>0</v>
      </c>
      <c r="T2264" s="53" t="e">
        <f>Tabla14[[#This Row],[DEUDA CAPITAL]]+Tabla14[[#This Row],[INTERES  CUOTA]]</f>
        <v>#NUM!</v>
      </c>
      <c r="U2264" s="61" t="str">
        <f t="shared" si="369"/>
        <v/>
      </c>
    </row>
    <row r="2265" spans="9:21" ht="24.75" customHeight="1" x14ac:dyDescent="0.35">
      <c r="I2265" s="42">
        <f t="shared" si="360"/>
        <v>0</v>
      </c>
      <c r="J2265" s="65" t="e">
        <f t="shared" si="361"/>
        <v>#NUM!</v>
      </c>
      <c r="K2265" s="83" t="e">
        <f t="shared" si="362"/>
        <v>#NUM!</v>
      </c>
      <c r="L2265" s="83">
        <f t="shared" si="363"/>
        <v>0</v>
      </c>
      <c r="M2265" s="110" t="str">
        <f t="shared" si="364"/>
        <v/>
      </c>
      <c r="N2265" s="51" t="str">
        <f t="shared" si="365"/>
        <v/>
      </c>
      <c r="O2265" s="52" t="str">
        <f t="shared" si="366"/>
        <v/>
      </c>
      <c r="P2265" s="88">
        <f t="shared" si="367"/>
        <v>0</v>
      </c>
      <c r="Q2265" s="88">
        <f t="shared" si="368"/>
        <v>0</v>
      </c>
      <c r="R2265" s="88" t="e">
        <f>-IF(Tabla14[[#This Row],[DIAS HABILES O MORA]]&lt;0,(Tabla14[[#This Row],[VALOR PRESTAMO]]*Tabla14[[#This Row],[% INTERES ]]/30*U2265))+Tabla14[[#This Row],[VALOR CUOTAS]]</f>
        <v>#VALUE!</v>
      </c>
      <c r="S2265" s="88">
        <f>-IF(Tabla14[[#This Row],[DIAS HABILES O MORA]]&lt;0,(Tabla14[[#This Row],[VALOR PRESTAMO]]*Tabla14[[#This Row],[% INTERES ]]/30*U2265))</f>
        <v>0</v>
      </c>
      <c r="T2265" s="53" t="e">
        <f>Tabla14[[#This Row],[DEUDA CAPITAL]]+Tabla14[[#This Row],[INTERES  CUOTA]]</f>
        <v>#NUM!</v>
      </c>
      <c r="U2265" s="61" t="str">
        <f t="shared" si="369"/>
        <v/>
      </c>
    </row>
    <row r="2266" spans="9:21" ht="24.75" customHeight="1" x14ac:dyDescent="0.35">
      <c r="I2266" s="42">
        <f t="shared" si="360"/>
        <v>0</v>
      </c>
      <c r="J2266" s="65" t="e">
        <f t="shared" si="361"/>
        <v>#NUM!</v>
      </c>
      <c r="K2266" s="83" t="e">
        <f t="shared" si="362"/>
        <v>#NUM!</v>
      </c>
      <c r="L2266" s="83">
        <f t="shared" si="363"/>
        <v>0</v>
      </c>
      <c r="M2266" s="110" t="str">
        <f t="shared" si="364"/>
        <v/>
      </c>
      <c r="N2266" s="51" t="str">
        <f t="shared" si="365"/>
        <v/>
      </c>
      <c r="O2266" s="52" t="str">
        <f t="shared" si="366"/>
        <v/>
      </c>
      <c r="P2266" s="88">
        <f t="shared" si="367"/>
        <v>0</v>
      </c>
      <c r="Q2266" s="88">
        <f t="shared" si="368"/>
        <v>0</v>
      </c>
      <c r="R2266" s="88" t="e">
        <f>-IF(Tabla14[[#This Row],[DIAS HABILES O MORA]]&lt;0,(Tabla14[[#This Row],[VALOR PRESTAMO]]*Tabla14[[#This Row],[% INTERES ]]/30*U2266))+Tabla14[[#This Row],[VALOR CUOTAS]]</f>
        <v>#VALUE!</v>
      </c>
      <c r="S2266" s="88">
        <f>-IF(Tabla14[[#This Row],[DIAS HABILES O MORA]]&lt;0,(Tabla14[[#This Row],[VALOR PRESTAMO]]*Tabla14[[#This Row],[% INTERES ]]/30*U2266))</f>
        <v>0</v>
      </c>
      <c r="T2266" s="53" t="e">
        <f>Tabla14[[#This Row],[DEUDA CAPITAL]]+Tabla14[[#This Row],[INTERES  CUOTA]]</f>
        <v>#NUM!</v>
      </c>
      <c r="U2266" s="61" t="str">
        <f t="shared" si="369"/>
        <v/>
      </c>
    </row>
    <row r="2267" spans="9:21" ht="24.75" customHeight="1" x14ac:dyDescent="0.35">
      <c r="I2267" s="42">
        <f t="shared" si="360"/>
        <v>0</v>
      </c>
      <c r="J2267" s="65" t="e">
        <f t="shared" si="361"/>
        <v>#NUM!</v>
      </c>
      <c r="K2267" s="83" t="e">
        <f t="shared" si="362"/>
        <v>#NUM!</v>
      </c>
      <c r="L2267" s="83">
        <f t="shared" si="363"/>
        <v>0</v>
      </c>
      <c r="M2267" s="110" t="str">
        <f t="shared" si="364"/>
        <v/>
      </c>
      <c r="N2267" s="51" t="str">
        <f t="shared" si="365"/>
        <v/>
      </c>
      <c r="O2267" s="52" t="str">
        <f t="shared" si="366"/>
        <v/>
      </c>
      <c r="P2267" s="88">
        <f t="shared" si="367"/>
        <v>0</v>
      </c>
      <c r="Q2267" s="88">
        <f t="shared" si="368"/>
        <v>0</v>
      </c>
      <c r="R2267" s="88" t="e">
        <f>-IF(Tabla14[[#This Row],[DIAS HABILES O MORA]]&lt;0,(Tabla14[[#This Row],[VALOR PRESTAMO]]*Tabla14[[#This Row],[% INTERES ]]/30*U2267))+Tabla14[[#This Row],[VALOR CUOTAS]]</f>
        <v>#VALUE!</v>
      </c>
      <c r="S2267" s="88">
        <f>-IF(Tabla14[[#This Row],[DIAS HABILES O MORA]]&lt;0,(Tabla14[[#This Row],[VALOR PRESTAMO]]*Tabla14[[#This Row],[% INTERES ]]/30*U2267))</f>
        <v>0</v>
      </c>
      <c r="T2267" s="53" t="e">
        <f>Tabla14[[#This Row],[DEUDA CAPITAL]]+Tabla14[[#This Row],[INTERES  CUOTA]]</f>
        <v>#NUM!</v>
      </c>
      <c r="U2267" s="61" t="str">
        <f t="shared" si="369"/>
        <v/>
      </c>
    </row>
    <row r="2268" spans="9:21" ht="24.75" customHeight="1" x14ac:dyDescent="0.35">
      <c r="I2268" s="42">
        <f t="shared" si="360"/>
        <v>0</v>
      </c>
      <c r="J2268" s="65" t="e">
        <f t="shared" si="361"/>
        <v>#NUM!</v>
      </c>
      <c r="K2268" s="83" t="e">
        <f t="shared" si="362"/>
        <v>#NUM!</v>
      </c>
      <c r="L2268" s="83">
        <f t="shared" si="363"/>
        <v>0</v>
      </c>
      <c r="M2268" s="110" t="str">
        <f t="shared" si="364"/>
        <v/>
      </c>
      <c r="N2268" s="51" t="str">
        <f t="shared" si="365"/>
        <v/>
      </c>
      <c r="O2268" s="52" t="str">
        <f t="shared" si="366"/>
        <v/>
      </c>
      <c r="P2268" s="88">
        <f t="shared" si="367"/>
        <v>0</v>
      </c>
      <c r="Q2268" s="88">
        <f t="shared" si="368"/>
        <v>0</v>
      </c>
      <c r="R2268" s="88" t="e">
        <f>-IF(Tabla14[[#This Row],[DIAS HABILES O MORA]]&lt;0,(Tabla14[[#This Row],[VALOR PRESTAMO]]*Tabla14[[#This Row],[% INTERES ]]/30*U2268))+Tabla14[[#This Row],[VALOR CUOTAS]]</f>
        <v>#VALUE!</v>
      </c>
      <c r="S2268" s="88">
        <f>-IF(Tabla14[[#This Row],[DIAS HABILES O MORA]]&lt;0,(Tabla14[[#This Row],[VALOR PRESTAMO]]*Tabla14[[#This Row],[% INTERES ]]/30*U2268))</f>
        <v>0</v>
      </c>
      <c r="T2268" s="53" t="e">
        <f>Tabla14[[#This Row],[DEUDA CAPITAL]]+Tabla14[[#This Row],[INTERES  CUOTA]]</f>
        <v>#NUM!</v>
      </c>
      <c r="U2268" s="61" t="str">
        <f t="shared" si="369"/>
        <v/>
      </c>
    </row>
    <row r="2269" spans="9:21" ht="24.75" customHeight="1" x14ac:dyDescent="0.35">
      <c r="I2269" s="42">
        <f t="shared" si="360"/>
        <v>0</v>
      </c>
      <c r="J2269" s="65" t="e">
        <f t="shared" si="361"/>
        <v>#NUM!</v>
      </c>
      <c r="K2269" s="83" t="e">
        <f t="shared" si="362"/>
        <v>#NUM!</v>
      </c>
      <c r="L2269" s="83">
        <f t="shared" si="363"/>
        <v>0</v>
      </c>
      <c r="M2269" s="110" t="str">
        <f t="shared" si="364"/>
        <v/>
      </c>
      <c r="N2269" s="51" t="str">
        <f t="shared" si="365"/>
        <v/>
      </c>
      <c r="O2269" s="52" t="str">
        <f t="shared" si="366"/>
        <v/>
      </c>
      <c r="P2269" s="88">
        <f t="shared" si="367"/>
        <v>0</v>
      </c>
      <c r="Q2269" s="88">
        <f t="shared" si="368"/>
        <v>0</v>
      </c>
      <c r="R2269" s="88" t="e">
        <f>-IF(Tabla14[[#This Row],[DIAS HABILES O MORA]]&lt;0,(Tabla14[[#This Row],[VALOR PRESTAMO]]*Tabla14[[#This Row],[% INTERES ]]/30*U2269))+Tabla14[[#This Row],[VALOR CUOTAS]]</f>
        <v>#VALUE!</v>
      </c>
      <c r="S2269" s="88">
        <f>-IF(Tabla14[[#This Row],[DIAS HABILES O MORA]]&lt;0,(Tabla14[[#This Row],[VALOR PRESTAMO]]*Tabla14[[#This Row],[% INTERES ]]/30*U2269))</f>
        <v>0</v>
      </c>
      <c r="T2269" s="53" t="e">
        <f>Tabla14[[#This Row],[DEUDA CAPITAL]]+Tabla14[[#This Row],[INTERES  CUOTA]]</f>
        <v>#NUM!</v>
      </c>
      <c r="U2269" s="61" t="str">
        <f t="shared" si="369"/>
        <v/>
      </c>
    </row>
    <row r="2270" spans="9:21" ht="24.75" customHeight="1" x14ac:dyDescent="0.35">
      <c r="I2270" s="42">
        <f t="shared" si="360"/>
        <v>0</v>
      </c>
      <c r="J2270" s="65" t="e">
        <f t="shared" si="361"/>
        <v>#NUM!</v>
      </c>
      <c r="K2270" s="83" t="e">
        <f t="shared" si="362"/>
        <v>#NUM!</v>
      </c>
      <c r="L2270" s="83">
        <f t="shared" si="363"/>
        <v>0</v>
      </c>
      <c r="M2270" s="110" t="str">
        <f t="shared" si="364"/>
        <v/>
      </c>
      <c r="N2270" s="51" t="str">
        <f t="shared" si="365"/>
        <v/>
      </c>
      <c r="O2270" s="52" t="str">
        <f t="shared" si="366"/>
        <v/>
      </c>
      <c r="P2270" s="88">
        <f t="shared" si="367"/>
        <v>0</v>
      </c>
      <c r="Q2270" s="88">
        <f t="shared" si="368"/>
        <v>0</v>
      </c>
      <c r="R2270" s="88" t="e">
        <f>-IF(Tabla14[[#This Row],[DIAS HABILES O MORA]]&lt;0,(Tabla14[[#This Row],[VALOR PRESTAMO]]*Tabla14[[#This Row],[% INTERES ]]/30*U2270))+Tabla14[[#This Row],[VALOR CUOTAS]]</f>
        <v>#VALUE!</v>
      </c>
      <c r="S2270" s="88">
        <f>-IF(Tabla14[[#This Row],[DIAS HABILES O MORA]]&lt;0,(Tabla14[[#This Row],[VALOR PRESTAMO]]*Tabla14[[#This Row],[% INTERES ]]/30*U2270))</f>
        <v>0</v>
      </c>
      <c r="T2270" s="53" t="e">
        <f>Tabla14[[#This Row],[DEUDA CAPITAL]]+Tabla14[[#This Row],[INTERES  CUOTA]]</f>
        <v>#NUM!</v>
      </c>
      <c r="U2270" s="61" t="str">
        <f t="shared" si="369"/>
        <v/>
      </c>
    </row>
    <row r="2271" spans="9:21" ht="24.75" customHeight="1" x14ac:dyDescent="0.35">
      <c r="I2271" s="42">
        <f t="shared" si="360"/>
        <v>0</v>
      </c>
      <c r="J2271" s="65" t="e">
        <f t="shared" si="361"/>
        <v>#NUM!</v>
      </c>
      <c r="K2271" s="83" t="e">
        <f t="shared" si="362"/>
        <v>#NUM!</v>
      </c>
      <c r="L2271" s="83">
        <f t="shared" si="363"/>
        <v>0</v>
      </c>
      <c r="M2271" s="110" t="str">
        <f t="shared" si="364"/>
        <v/>
      </c>
      <c r="N2271" s="51" t="str">
        <f t="shared" si="365"/>
        <v/>
      </c>
      <c r="O2271" s="52" t="str">
        <f t="shared" si="366"/>
        <v/>
      </c>
      <c r="P2271" s="88">
        <f t="shared" si="367"/>
        <v>0</v>
      </c>
      <c r="Q2271" s="88">
        <f t="shared" si="368"/>
        <v>0</v>
      </c>
      <c r="R2271" s="88" t="e">
        <f>-IF(Tabla14[[#This Row],[DIAS HABILES O MORA]]&lt;0,(Tabla14[[#This Row],[VALOR PRESTAMO]]*Tabla14[[#This Row],[% INTERES ]]/30*U2271))+Tabla14[[#This Row],[VALOR CUOTAS]]</f>
        <v>#VALUE!</v>
      </c>
      <c r="S2271" s="88">
        <f>-IF(Tabla14[[#This Row],[DIAS HABILES O MORA]]&lt;0,(Tabla14[[#This Row],[VALOR PRESTAMO]]*Tabla14[[#This Row],[% INTERES ]]/30*U2271))</f>
        <v>0</v>
      </c>
      <c r="T2271" s="53" t="e">
        <f>Tabla14[[#This Row],[DEUDA CAPITAL]]+Tabla14[[#This Row],[INTERES  CUOTA]]</f>
        <v>#NUM!</v>
      </c>
      <c r="U2271" s="61" t="str">
        <f t="shared" si="369"/>
        <v/>
      </c>
    </row>
    <row r="2272" spans="9:21" ht="24.75" customHeight="1" x14ac:dyDescent="0.35">
      <c r="I2272" s="42">
        <f t="shared" si="360"/>
        <v>0</v>
      </c>
      <c r="J2272" s="65" t="e">
        <f t="shared" si="361"/>
        <v>#NUM!</v>
      </c>
      <c r="K2272" s="83" t="e">
        <f t="shared" si="362"/>
        <v>#NUM!</v>
      </c>
      <c r="L2272" s="83">
        <f t="shared" si="363"/>
        <v>0</v>
      </c>
      <c r="M2272" s="110" t="str">
        <f t="shared" si="364"/>
        <v/>
      </c>
      <c r="N2272" s="51" t="str">
        <f t="shared" si="365"/>
        <v/>
      </c>
      <c r="O2272" s="52" t="str">
        <f t="shared" si="366"/>
        <v/>
      </c>
      <c r="P2272" s="88">
        <f t="shared" si="367"/>
        <v>0</v>
      </c>
      <c r="Q2272" s="88">
        <f t="shared" si="368"/>
        <v>0</v>
      </c>
      <c r="R2272" s="88" t="e">
        <f>-IF(Tabla14[[#This Row],[DIAS HABILES O MORA]]&lt;0,(Tabla14[[#This Row],[VALOR PRESTAMO]]*Tabla14[[#This Row],[% INTERES ]]/30*U2272))+Tabla14[[#This Row],[VALOR CUOTAS]]</f>
        <v>#VALUE!</v>
      </c>
      <c r="S2272" s="88">
        <f>-IF(Tabla14[[#This Row],[DIAS HABILES O MORA]]&lt;0,(Tabla14[[#This Row],[VALOR PRESTAMO]]*Tabla14[[#This Row],[% INTERES ]]/30*U2272))</f>
        <v>0</v>
      </c>
      <c r="T2272" s="53" t="e">
        <f>Tabla14[[#This Row],[DEUDA CAPITAL]]+Tabla14[[#This Row],[INTERES  CUOTA]]</f>
        <v>#NUM!</v>
      </c>
      <c r="U2272" s="61" t="str">
        <f t="shared" si="369"/>
        <v/>
      </c>
    </row>
    <row r="2273" spans="9:21" ht="24.75" customHeight="1" x14ac:dyDescent="0.35">
      <c r="I2273" s="42">
        <f t="shared" si="360"/>
        <v>0</v>
      </c>
      <c r="J2273" s="65" t="e">
        <f t="shared" si="361"/>
        <v>#NUM!</v>
      </c>
      <c r="K2273" s="83" t="e">
        <f t="shared" si="362"/>
        <v>#NUM!</v>
      </c>
      <c r="L2273" s="83">
        <f t="shared" si="363"/>
        <v>0</v>
      </c>
      <c r="M2273" s="110" t="str">
        <f t="shared" si="364"/>
        <v/>
      </c>
      <c r="N2273" s="51" t="str">
        <f t="shared" si="365"/>
        <v/>
      </c>
      <c r="O2273" s="52" t="str">
        <f t="shared" si="366"/>
        <v/>
      </c>
      <c r="P2273" s="88">
        <f t="shared" si="367"/>
        <v>0</v>
      </c>
      <c r="Q2273" s="88">
        <f t="shared" si="368"/>
        <v>0</v>
      </c>
      <c r="R2273" s="88" t="e">
        <f>-IF(Tabla14[[#This Row],[DIAS HABILES O MORA]]&lt;0,(Tabla14[[#This Row],[VALOR PRESTAMO]]*Tabla14[[#This Row],[% INTERES ]]/30*U2273))+Tabla14[[#This Row],[VALOR CUOTAS]]</f>
        <v>#VALUE!</v>
      </c>
      <c r="S2273" s="88">
        <f>-IF(Tabla14[[#This Row],[DIAS HABILES O MORA]]&lt;0,(Tabla14[[#This Row],[VALOR PRESTAMO]]*Tabla14[[#This Row],[% INTERES ]]/30*U2273))</f>
        <v>0</v>
      </c>
      <c r="T2273" s="53" t="e">
        <f>Tabla14[[#This Row],[DEUDA CAPITAL]]+Tabla14[[#This Row],[INTERES  CUOTA]]</f>
        <v>#NUM!</v>
      </c>
      <c r="U2273" s="61" t="str">
        <f t="shared" si="369"/>
        <v/>
      </c>
    </row>
    <row r="2274" spans="9:21" ht="24.75" customHeight="1" x14ac:dyDescent="0.35">
      <c r="I2274" s="42">
        <f t="shared" si="360"/>
        <v>0</v>
      </c>
      <c r="J2274" s="65" t="e">
        <f t="shared" si="361"/>
        <v>#NUM!</v>
      </c>
      <c r="K2274" s="83" t="e">
        <f t="shared" si="362"/>
        <v>#NUM!</v>
      </c>
      <c r="L2274" s="83">
        <f t="shared" si="363"/>
        <v>0</v>
      </c>
      <c r="M2274" s="110" t="str">
        <f t="shared" si="364"/>
        <v/>
      </c>
      <c r="N2274" s="51" t="str">
        <f t="shared" si="365"/>
        <v/>
      </c>
      <c r="O2274" s="52" t="str">
        <f t="shared" si="366"/>
        <v/>
      </c>
      <c r="P2274" s="88">
        <f t="shared" si="367"/>
        <v>0</v>
      </c>
      <c r="Q2274" s="88">
        <f t="shared" si="368"/>
        <v>0</v>
      </c>
      <c r="R2274" s="88" t="e">
        <f>-IF(Tabla14[[#This Row],[DIAS HABILES O MORA]]&lt;0,(Tabla14[[#This Row],[VALOR PRESTAMO]]*Tabla14[[#This Row],[% INTERES ]]/30*U2274))+Tabla14[[#This Row],[VALOR CUOTAS]]</f>
        <v>#VALUE!</v>
      </c>
      <c r="S2274" s="88">
        <f>-IF(Tabla14[[#This Row],[DIAS HABILES O MORA]]&lt;0,(Tabla14[[#This Row],[VALOR PRESTAMO]]*Tabla14[[#This Row],[% INTERES ]]/30*U2274))</f>
        <v>0</v>
      </c>
      <c r="T2274" s="53" t="e">
        <f>Tabla14[[#This Row],[DEUDA CAPITAL]]+Tabla14[[#This Row],[INTERES  CUOTA]]</f>
        <v>#NUM!</v>
      </c>
      <c r="U2274" s="61" t="str">
        <f t="shared" si="369"/>
        <v/>
      </c>
    </row>
    <row r="2275" spans="9:21" ht="24.75" customHeight="1" x14ac:dyDescent="0.35">
      <c r="I2275" s="42">
        <f t="shared" si="360"/>
        <v>0</v>
      </c>
      <c r="J2275" s="65" t="e">
        <f t="shared" si="361"/>
        <v>#NUM!</v>
      </c>
      <c r="K2275" s="83" t="e">
        <f t="shared" si="362"/>
        <v>#NUM!</v>
      </c>
      <c r="L2275" s="83">
        <f t="shared" si="363"/>
        <v>0</v>
      </c>
      <c r="M2275" s="110" t="str">
        <f t="shared" si="364"/>
        <v/>
      </c>
      <c r="N2275" s="51" t="str">
        <f t="shared" si="365"/>
        <v/>
      </c>
      <c r="O2275" s="52" t="str">
        <f t="shared" si="366"/>
        <v/>
      </c>
      <c r="P2275" s="88">
        <f t="shared" si="367"/>
        <v>0</v>
      </c>
      <c r="Q2275" s="88">
        <f t="shared" si="368"/>
        <v>0</v>
      </c>
      <c r="R2275" s="88" t="e">
        <f>-IF(Tabla14[[#This Row],[DIAS HABILES O MORA]]&lt;0,(Tabla14[[#This Row],[VALOR PRESTAMO]]*Tabla14[[#This Row],[% INTERES ]]/30*U2275))+Tabla14[[#This Row],[VALOR CUOTAS]]</f>
        <v>#VALUE!</v>
      </c>
      <c r="S2275" s="88">
        <f>-IF(Tabla14[[#This Row],[DIAS HABILES O MORA]]&lt;0,(Tabla14[[#This Row],[VALOR PRESTAMO]]*Tabla14[[#This Row],[% INTERES ]]/30*U2275))</f>
        <v>0</v>
      </c>
      <c r="T2275" s="53" t="e">
        <f>Tabla14[[#This Row],[DEUDA CAPITAL]]+Tabla14[[#This Row],[INTERES  CUOTA]]</f>
        <v>#NUM!</v>
      </c>
      <c r="U2275" s="61" t="str">
        <f t="shared" si="369"/>
        <v/>
      </c>
    </row>
    <row r="2276" spans="9:21" ht="24.75" customHeight="1" x14ac:dyDescent="0.35">
      <c r="I2276" s="42">
        <f t="shared" si="360"/>
        <v>0</v>
      </c>
      <c r="J2276" s="65" t="e">
        <f t="shared" si="361"/>
        <v>#NUM!</v>
      </c>
      <c r="K2276" s="83" t="e">
        <f t="shared" si="362"/>
        <v>#NUM!</v>
      </c>
      <c r="L2276" s="83">
        <f t="shared" si="363"/>
        <v>0</v>
      </c>
      <c r="M2276" s="110" t="str">
        <f t="shared" si="364"/>
        <v/>
      </c>
      <c r="N2276" s="51" t="str">
        <f t="shared" si="365"/>
        <v/>
      </c>
      <c r="O2276" s="52" t="str">
        <f t="shared" si="366"/>
        <v/>
      </c>
      <c r="P2276" s="88">
        <f t="shared" si="367"/>
        <v>0</v>
      </c>
      <c r="Q2276" s="88">
        <f t="shared" si="368"/>
        <v>0</v>
      </c>
      <c r="R2276" s="88" t="e">
        <f>-IF(Tabla14[[#This Row],[DIAS HABILES O MORA]]&lt;0,(Tabla14[[#This Row],[VALOR PRESTAMO]]*Tabla14[[#This Row],[% INTERES ]]/30*U2276))+Tabla14[[#This Row],[VALOR CUOTAS]]</f>
        <v>#VALUE!</v>
      </c>
      <c r="S2276" s="88">
        <f>-IF(Tabla14[[#This Row],[DIAS HABILES O MORA]]&lt;0,(Tabla14[[#This Row],[VALOR PRESTAMO]]*Tabla14[[#This Row],[% INTERES ]]/30*U2276))</f>
        <v>0</v>
      </c>
      <c r="T2276" s="53" t="e">
        <f>Tabla14[[#This Row],[DEUDA CAPITAL]]+Tabla14[[#This Row],[INTERES  CUOTA]]</f>
        <v>#NUM!</v>
      </c>
      <c r="U2276" s="61" t="str">
        <f t="shared" si="369"/>
        <v/>
      </c>
    </row>
    <row r="2277" spans="9:21" ht="24.75" customHeight="1" x14ac:dyDescent="0.35">
      <c r="I2277" s="42">
        <f t="shared" si="360"/>
        <v>0</v>
      </c>
      <c r="J2277" s="65" t="e">
        <f t="shared" si="361"/>
        <v>#NUM!</v>
      </c>
      <c r="K2277" s="83" t="e">
        <f t="shared" si="362"/>
        <v>#NUM!</v>
      </c>
      <c r="L2277" s="83">
        <f t="shared" si="363"/>
        <v>0</v>
      </c>
      <c r="M2277" s="110" t="str">
        <f t="shared" si="364"/>
        <v/>
      </c>
      <c r="N2277" s="51" t="str">
        <f t="shared" si="365"/>
        <v/>
      </c>
      <c r="O2277" s="52" t="str">
        <f t="shared" si="366"/>
        <v/>
      </c>
      <c r="P2277" s="88">
        <f t="shared" si="367"/>
        <v>0</v>
      </c>
      <c r="Q2277" s="88">
        <f t="shared" si="368"/>
        <v>0</v>
      </c>
      <c r="R2277" s="88" t="e">
        <f>-IF(Tabla14[[#This Row],[DIAS HABILES O MORA]]&lt;0,(Tabla14[[#This Row],[VALOR PRESTAMO]]*Tabla14[[#This Row],[% INTERES ]]/30*U2277))+Tabla14[[#This Row],[VALOR CUOTAS]]</f>
        <v>#VALUE!</v>
      </c>
      <c r="S2277" s="88">
        <f>-IF(Tabla14[[#This Row],[DIAS HABILES O MORA]]&lt;0,(Tabla14[[#This Row],[VALOR PRESTAMO]]*Tabla14[[#This Row],[% INTERES ]]/30*U2277))</f>
        <v>0</v>
      </c>
      <c r="T2277" s="53" t="e">
        <f>Tabla14[[#This Row],[DEUDA CAPITAL]]+Tabla14[[#This Row],[INTERES  CUOTA]]</f>
        <v>#NUM!</v>
      </c>
      <c r="U2277" s="61" t="str">
        <f t="shared" si="369"/>
        <v/>
      </c>
    </row>
    <row r="2278" spans="9:21" ht="24.75" customHeight="1" x14ac:dyDescent="0.35">
      <c r="I2278" s="42">
        <f t="shared" si="360"/>
        <v>0</v>
      </c>
      <c r="J2278" s="65" t="e">
        <f t="shared" si="361"/>
        <v>#NUM!</v>
      </c>
      <c r="K2278" s="83" t="e">
        <f t="shared" si="362"/>
        <v>#NUM!</v>
      </c>
      <c r="L2278" s="83">
        <f t="shared" si="363"/>
        <v>0</v>
      </c>
      <c r="M2278" s="110" t="str">
        <f t="shared" si="364"/>
        <v/>
      </c>
      <c r="N2278" s="51" t="str">
        <f t="shared" si="365"/>
        <v/>
      </c>
      <c r="O2278" s="52" t="str">
        <f t="shared" si="366"/>
        <v/>
      </c>
      <c r="P2278" s="88">
        <f t="shared" si="367"/>
        <v>0</v>
      </c>
      <c r="Q2278" s="88">
        <f t="shared" si="368"/>
        <v>0</v>
      </c>
      <c r="R2278" s="88" t="e">
        <f>-IF(Tabla14[[#This Row],[DIAS HABILES O MORA]]&lt;0,(Tabla14[[#This Row],[VALOR PRESTAMO]]*Tabla14[[#This Row],[% INTERES ]]/30*U2278))+Tabla14[[#This Row],[VALOR CUOTAS]]</f>
        <v>#VALUE!</v>
      </c>
      <c r="S2278" s="88">
        <f>-IF(Tabla14[[#This Row],[DIAS HABILES O MORA]]&lt;0,(Tabla14[[#This Row],[VALOR PRESTAMO]]*Tabla14[[#This Row],[% INTERES ]]/30*U2278))</f>
        <v>0</v>
      </c>
      <c r="T2278" s="53" t="e">
        <f>Tabla14[[#This Row],[DEUDA CAPITAL]]+Tabla14[[#This Row],[INTERES  CUOTA]]</f>
        <v>#NUM!</v>
      </c>
      <c r="U2278" s="61" t="str">
        <f t="shared" si="369"/>
        <v/>
      </c>
    </row>
    <row r="2279" spans="9:21" ht="24.75" customHeight="1" x14ac:dyDescent="0.35">
      <c r="I2279" s="42">
        <f t="shared" si="360"/>
        <v>0</v>
      </c>
      <c r="J2279" s="65" t="e">
        <f t="shared" si="361"/>
        <v>#NUM!</v>
      </c>
      <c r="K2279" s="83" t="e">
        <f t="shared" si="362"/>
        <v>#NUM!</v>
      </c>
      <c r="L2279" s="83">
        <f t="shared" si="363"/>
        <v>0</v>
      </c>
      <c r="M2279" s="110" t="str">
        <f t="shared" si="364"/>
        <v/>
      </c>
      <c r="N2279" s="51" t="str">
        <f t="shared" si="365"/>
        <v/>
      </c>
      <c r="O2279" s="52" t="str">
        <f t="shared" si="366"/>
        <v/>
      </c>
      <c r="P2279" s="88">
        <f t="shared" si="367"/>
        <v>0</v>
      </c>
      <c r="Q2279" s="88">
        <f t="shared" si="368"/>
        <v>0</v>
      </c>
      <c r="R2279" s="88" t="e">
        <f>-IF(Tabla14[[#This Row],[DIAS HABILES O MORA]]&lt;0,(Tabla14[[#This Row],[VALOR PRESTAMO]]*Tabla14[[#This Row],[% INTERES ]]/30*U2279))+Tabla14[[#This Row],[VALOR CUOTAS]]</f>
        <v>#VALUE!</v>
      </c>
      <c r="S2279" s="88">
        <f>-IF(Tabla14[[#This Row],[DIAS HABILES O MORA]]&lt;0,(Tabla14[[#This Row],[VALOR PRESTAMO]]*Tabla14[[#This Row],[% INTERES ]]/30*U2279))</f>
        <v>0</v>
      </c>
      <c r="T2279" s="53" t="e">
        <f>Tabla14[[#This Row],[DEUDA CAPITAL]]+Tabla14[[#This Row],[INTERES  CUOTA]]</f>
        <v>#NUM!</v>
      </c>
      <c r="U2279" s="61" t="str">
        <f t="shared" si="369"/>
        <v/>
      </c>
    </row>
    <row r="2280" spans="9:21" ht="24.75" customHeight="1" x14ac:dyDescent="0.35">
      <c r="I2280" s="42">
        <f t="shared" si="360"/>
        <v>0</v>
      </c>
      <c r="J2280" s="65" t="e">
        <f t="shared" si="361"/>
        <v>#NUM!</v>
      </c>
      <c r="K2280" s="83" t="e">
        <f t="shared" si="362"/>
        <v>#NUM!</v>
      </c>
      <c r="L2280" s="83">
        <f t="shared" si="363"/>
        <v>0</v>
      </c>
      <c r="M2280" s="110" t="str">
        <f t="shared" si="364"/>
        <v/>
      </c>
      <c r="N2280" s="51" t="str">
        <f t="shared" si="365"/>
        <v/>
      </c>
      <c r="O2280" s="52" t="str">
        <f t="shared" si="366"/>
        <v/>
      </c>
      <c r="P2280" s="88">
        <f t="shared" si="367"/>
        <v>0</v>
      </c>
      <c r="Q2280" s="88">
        <f t="shared" si="368"/>
        <v>0</v>
      </c>
      <c r="R2280" s="88" t="e">
        <f>-IF(Tabla14[[#This Row],[DIAS HABILES O MORA]]&lt;0,(Tabla14[[#This Row],[VALOR PRESTAMO]]*Tabla14[[#This Row],[% INTERES ]]/30*U2280))+Tabla14[[#This Row],[VALOR CUOTAS]]</f>
        <v>#VALUE!</v>
      </c>
      <c r="S2280" s="88">
        <f>-IF(Tabla14[[#This Row],[DIAS HABILES O MORA]]&lt;0,(Tabla14[[#This Row],[VALOR PRESTAMO]]*Tabla14[[#This Row],[% INTERES ]]/30*U2280))</f>
        <v>0</v>
      </c>
      <c r="T2280" s="53" t="e">
        <f>Tabla14[[#This Row],[DEUDA CAPITAL]]+Tabla14[[#This Row],[INTERES  CUOTA]]</f>
        <v>#NUM!</v>
      </c>
      <c r="U2280" s="61" t="str">
        <f t="shared" si="369"/>
        <v/>
      </c>
    </row>
    <row r="2281" spans="9:21" ht="24.75" customHeight="1" x14ac:dyDescent="0.35">
      <c r="I2281" s="42">
        <f t="shared" si="360"/>
        <v>0</v>
      </c>
      <c r="J2281" s="65" t="e">
        <f t="shared" si="361"/>
        <v>#NUM!</v>
      </c>
      <c r="K2281" s="83" t="e">
        <f t="shared" si="362"/>
        <v>#NUM!</v>
      </c>
      <c r="L2281" s="83">
        <f t="shared" si="363"/>
        <v>0</v>
      </c>
      <c r="M2281" s="110" t="str">
        <f t="shared" si="364"/>
        <v/>
      </c>
      <c r="N2281" s="51" t="str">
        <f t="shared" si="365"/>
        <v/>
      </c>
      <c r="O2281" s="52" t="str">
        <f t="shared" si="366"/>
        <v/>
      </c>
      <c r="P2281" s="88">
        <f t="shared" si="367"/>
        <v>0</v>
      </c>
      <c r="Q2281" s="88">
        <f t="shared" si="368"/>
        <v>0</v>
      </c>
      <c r="R2281" s="88" t="e">
        <f>-IF(Tabla14[[#This Row],[DIAS HABILES O MORA]]&lt;0,(Tabla14[[#This Row],[VALOR PRESTAMO]]*Tabla14[[#This Row],[% INTERES ]]/30*U2281))+Tabla14[[#This Row],[VALOR CUOTAS]]</f>
        <v>#VALUE!</v>
      </c>
      <c r="S2281" s="88">
        <f>-IF(Tabla14[[#This Row],[DIAS HABILES O MORA]]&lt;0,(Tabla14[[#This Row],[VALOR PRESTAMO]]*Tabla14[[#This Row],[% INTERES ]]/30*U2281))</f>
        <v>0</v>
      </c>
      <c r="T2281" s="53" t="e">
        <f>Tabla14[[#This Row],[DEUDA CAPITAL]]+Tabla14[[#This Row],[INTERES  CUOTA]]</f>
        <v>#NUM!</v>
      </c>
      <c r="U2281" s="61" t="str">
        <f t="shared" si="369"/>
        <v/>
      </c>
    </row>
    <row r="2282" spans="9:21" ht="24.75" customHeight="1" x14ac:dyDescent="0.35">
      <c r="I2282" s="42">
        <f t="shared" si="360"/>
        <v>0</v>
      </c>
      <c r="J2282" s="65" t="e">
        <f t="shared" si="361"/>
        <v>#NUM!</v>
      </c>
      <c r="K2282" s="83" t="e">
        <f t="shared" si="362"/>
        <v>#NUM!</v>
      </c>
      <c r="L2282" s="83">
        <f t="shared" si="363"/>
        <v>0</v>
      </c>
      <c r="M2282" s="110" t="str">
        <f t="shared" si="364"/>
        <v/>
      </c>
      <c r="N2282" s="51" t="str">
        <f t="shared" si="365"/>
        <v/>
      </c>
      <c r="O2282" s="52" t="str">
        <f t="shared" si="366"/>
        <v/>
      </c>
      <c r="P2282" s="88">
        <f t="shared" si="367"/>
        <v>0</v>
      </c>
      <c r="Q2282" s="88">
        <f t="shared" si="368"/>
        <v>0</v>
      </c>
      <c r="R2282" s="88" t="e">
        <f>-IF(Tabla14[[#This Row],[DIAS HABILES O MORA]]&lt;0,(Tabla14[[#This Row],[VALOR PRESTAMO]]*Tabla14[[#This Row],[% INTERES ]]/30*U2282))+Tabla14[[#This Row],[VALOR CUOTAS]]</f>
        <v>#VALUE!</v>
      </c>
      <c r="S2282" s="88">
        <f>-IF(Tabla14[[#This Row],[DIAS HABILES O MORA]]&lt;0,(Tabla14[[#This Row],[VALOR PRESTAMO]]*Tabla14[[#This Row],[% INTERES ]]/30*U2282))</f>
        <v>0</v>
      </c>
      <c r="T2282" s="53" t="e">
        <f>Tabla14[[#This Row],[DEUDA CAPITAL]]+Tabla14[[#This Row],[INTERES  CUOTA]]</f>
        <v>#NUM!</v>
      </c>
      <c r="U2282" s="61" t="str">
        <f t="shared" si="369"/>
        <v/>
      </c>
    </row>
    <row r="2283" spans="9:21" ht="24.75" customHeight="1" x14ac:dyDescent="0.35">
      <c r="I2283" s="42">
        <f t="shared" si="360"/>
        <v>0</v>
      </c>
      <c r="J2283" s="65" t="e">
        <f t="shared" si="361"/>
        <v>#NUM!</v>
      </c>
      <c r="K2283" s="83" t="e">
        <f t="shared" si="362"/>
        <v>#NUM!</v>
      </c>
      <c r="L2283" s="83">
        <f t="shared" si="363"/>
        <v>0</v>
      </c>
      <c r="M2283" s="110" t="str">
        <f t="shared" si="364"/>
        <v/>
      </c>
      <c r="N2283" s="51" t="str">
        <f t="shared" si="365"/>
        <v/>
      </c>
      <c r="O2283" s="52" t="str">
        <f t="shared" si="366"/>
        <v/>
      </c>
      <c r="P2283" s="88">
        <f t="shared" si="367"/>
        <v>0</v>
      </c>
      <c r="Q2283" s="88">
        <f t="shared" si="368"/>
        <v>0</v>
      </c>
      <c r="R2283" s="88" t="e">
        <f>-IF(Tabla14[[#This Row],[DIAS HABILES O MORA]]&lt;0,(Tabla14[[#This Row],[VALOR PRESTAMO]]*Tabla14[[#This Row],[% INTERES ]]/30*U2283))+Tabla14[[#This Row],[VALOR CUOTAS]]</f>
        <v>#VALUE!</v>
      </c>
      <c r="S2283" s="88">
        <f>-IF(Tabla14[[#This Row],[DIAS HABILES O MORA]]&lt;0,(Tabla14[[#This Row],[VALOR PRESTAMO]]*Tabla14[[#This Row],[% INTERES ]]/30*U2283))</f>
        <v>0</v>
      </c>
      <c r="T2283" s="53" t="e">
        <f>Tabla14[[#This Row],[DEUDA CAPITAL]]+Tabla14[[#This Row],[INTERES  CUOTA]]</f>
        <v>#NUM!</v>
      </c>
      <c r="U2283" s="61" t="str">
        <f t="shared" si="369"/>
        <v/>
      </c>
    </row>
    <row r="2284" spans="9:21" ht="24.75" customHeight="1" x14ac:dyDescent="0.35">
      <c r="I2284" s="42">
        <f t="shared" si="360"/>
        <v>0</v>
      </c>
      <c r="J2284" s="65" t="e">
        <f t="shared" si="361"/>
        <v>#NUM!</v>
      </c>
      <c r="K2284" s="83" t="e">
        <f t="shared" si="362"/>
        <v>#NUM!</v>
      </c>
      <c r="L2284" s="83">
        <f t="shared" si="363"/>
        <v>0</v>
      </c>
      <c r="M2284" s="110" t="str">
        <f t="shared" si="364"/>
        <v/>
      </c>
      <c r="N2284" s="51" t="str">
        <f t="shared" si="365"/>
        <v/>
      </c>
      <c r="O2284" s="52" t="str">
        <f t="shared" si="366"/>
        <v/>
      </c>
      <c r="P2284" s="88">
        <f t="shared" si="367"/>
        <v>0</v>
      </c>
      <c r="Q2284" s="88">
        <f t="shared" si="368"/>
        <v>0</v>
      </c>
      <c r="R2284" s="88" t="e">
        <f>-IF(Tabla14[[#This Row],[DIAS HABILES O MORA]]&lt;0,(Tabla14[[#This Row],[VALOR PRESTAMO]]*Tabla14[[#This Row],[% INTERES ]]/30*U2284))+Tabla14[[#This Row],[VALOR CUOTAS]]</f>
        <v>#VALUE!</v>
      </c>
      <c r="S2284" s="88">
        <f>-IF(Tabla14[[#This Row],[DIAS HABILES O MORA]]&lt;0,(Tabla14[[#This Row],[VALOR PRESTAMO]]*Tabla14[[#This Row],[% INTERES ]]/30*U2284))</f>
        <v>0</v>
      </c>
      <c r="T2284" s="53" t="e">
        <f>Tabla14[[#This Row],[DEUDA CAPITAL]]+Tabla14[[#This Row],[INTERES  CUOTA]]</f>
        <v>#NUM!</v>
      </c>
      <c r="U2284" s="61" t="str">
        <f t="shared" si="369"/>
        <v/>
      </c>
    </row>
    <row r="2285" spans="9:21" ht="24.75" customHeight="1" x14ac:dyDescent="0.35">
      <c r="I2285" s="42">
        <f t="shared" si="360"/>
        <v>0</v>
      </c>
      <c r="J2285" s="65" t="e">
        <f t="shared" si="361"/>
        <v>#NUM!</v>
      </c>
      <c r="K2285" s="83" t="e">
        <f t="shared" si="362"/>
        <v>#NUM!</v>
      </c>
      <c r="L2285" s="83">
        <f t="shared" si="363"/>
        <v>0</v>
      </c>
      <c r="M2285" s="110" t="str">
        <f t="shared" si="364"/>
        <v/>
      </c>
      <c r="N2285" s="51" t="str">
        <f t="shared" si="365"/>
        <v/>
      </c>
      <c r="O2285" s="52" t="str">
        <f t="shared" si="366"/>
        <v/>
      </c>
      <c r="P2285" s="88">
        <f t="shared" si="367"/>
        <v>0</v>
      </c>
      <c r="Q2285" s="88">
        <f t="shared" si="368"/>
        <v>0</v>
      </c>
      <c r="R2285" s="88" t="e">
        <f>-IF(Tabla14[[#This Row],[DIAS HABILES O MORA]]&lt;0,(Tabla14[[#This Row],[VALOR PRESTAMO]]*Tabla14[[#This Row],[% INTERES ]]/30*U2285))+Tabla14[[#This Row],[VALOR CUOTAS]]</f>
        <v>#VALUE!</v>
      </c>
      <c r="S2285" s="88">
        <f>-IF(Tabla14[[#This Row],[DIAS HABILES O MORA]]&lt;0,(Tabla14[[#This Row],[VALOR PRESTAMO]]*Tabla14[[#This Row],[% INTERES ]]/30*U2285))</f>
        <v>0</v>
      </c>
      <c r="T2285" s="53" t="e">
        <f>Tabla14[[#This Row],[DEUDA CAPITAL]]+Tabla14[[#This Row],[INTERES  CUOTA]]</f>
        <v>#NUM!</v>
      </c>
      <c r="U2285" s="61" t="str">
        <f t="shared" si="369"/>
        <v/>
      </c>
    </row>
    <row r="2286" spans="9:21" ht="24.75" customHeight="1" x14ac:dyDescent="0.35">
      <c r="I2286" s="42">
        <f t="shared" si="360"/>
        <v>0</v>
      </c>
      <c r="J2286" s="65" t="e">
        <f t="shared" si="361"/>
        <v>#NUM!</v>
      </c>
      <c r="K2286" s="83" t="e">
        <f t="shared" si="362"/>
        <v>#NUM!</v>
      </c>
      <c r="L2286" s="83">
        <f t="shared" si="363"/>
        <v>0</v>
      </c>
      <c r="M2286" s="110" t="str">
        <f t="shared" si="364"/>
        <v/>
      </c>
      <c r="N2286" s="51" t="str">
        <f t="shared" si="365"/>
        <v/>
      </c>
      <c r="O2286" s="52" t="str">
        <f t="shared" si="366"/>
        <v/>
      </c>
      <c r="P2286" s="88">
        <f t="shared" si="367"/>
        <v>0</v>
      </c>
      <c r="Q2286" s="88">
        <f t="shared" si="368"/>
        <v>0</v>
      </c>
      <c r="R2286" s="88" t="e">
        <f>-IF(Tabla14[[#This Row],[DIAS HABILES O MORA]]&lt;0,(Tabla14[[#This Row],[VALOR PRESTAMO]]*Tabla14[[#This Row],[% INTERES ]]/30*U2286))+Tabla14[[#This Row],[VALOR CUOTAS]]</f>
        <v>#VALUE!</v>
      </c>
      <c r="S2286" s="88">
        <f>-IF(Tabla14[[#This Row],[DIAS HABILES O MORA]]&lt;0,(Tabla14[[#This Row],[VALOR PRESTAMO]]*Tabla14[[#This Row],[% INTERES ]]/30*U2286))</f>
        <v>0</v>
      </c>
      <c r="T2286" s="53" t="e">
        <f>Tabla14[[#This Row],[DEUDA CAPITAL]]+Tabla14[[#This Row],[INTERES  CUOTA]]</f>
        <v>#NUM!</v>
      </c>
      <c r="U2286" s="61" t="str">
        <f t="shared" si="369"/>
        <v/>
      </c>
    </row>
    <row r="2287" spans="9:21" ht="24.75" customHeight="1" x14ac:dyDescent="0.35">
      <c r="I2287" s="42">
        <f t="shared" si="360"/>
        <v>0</v>
      </c>
      <c r="J2287" s="65" t="e">
        <f t="shared" si="361"/>
        <v>#NUM!</v>
      </c>
      <c r="K2287" s="83" t="e">
        <f t="shared" si="362"/>
        <v>#NUM!</v>
      </c>
      <c r="L2287" s="83">
        <f t="shared" si="363"/>
        <v>0</v>
      </c>
      <c r="M2287" s="110" t="str">
        <f t="shared" si="364"/>
        <v/>
      </c>
      <c r="N2287" s="51" t="str">
        <f t="shared" si="365"/>
        <v/>
      </c>
      <c r="O2287" s="52" t="str">
        <f t="shared" si="366"/>
        <v/>
      </c>
      <c r="P2287" s="88">
        <f t="shared" si="367"/>
        <v>0</v>
      </c>
      <c r="Q2287" s="88">
        <f t="shared" si="368"/>
        <v>0</v>
      </c>
      <c r="R2287" s="88" t="e">
        <f>-IF(Tabla14[[#This Row],[DIAS HABILES O MORA]]&lt;0,(Tabla14[[#This Row],[VALOR PRESTAMO]]*Tabla14[[#This Row],[% INTERES ]]/30*U2287))+Tabla14[[#This Row],[VALOR CUOTAS]]</f>
        <v>#VALUE!</v>
      </c>
      <c r="S2287" s="88">
        <f>-IF(Tabla14[[#This Row],[DIAS HABILES O MORA]]&lt;0,(Tabla14[[#This Row],[VALOR PRESTAMO]]*Tabla14[[#This Row],[% INTERES ]]/30*U2287))</f>
        <v>0</v>
      </c>
      <c r="T2287" s="53" t="e">
        <f>Tabla14[[#This Row],[DEUDA CAPITAL]]+Tabla14[[#This Row],[INTERES  CUOTA]]</f>
        <v>#NUM!</v>
      </c>
      <c r="U2287" s="61" t="str">
        <f t="shared" si="369"/>
        <v/>
      </c>
    </row>
    <row r="2288" spans="9:21" ht="24.75" customHeight="1" x14ac:dyDescent="0.35">
      <c r="I2288" s="42">
        <f t="shared" si="360"/>
        <v>0</v>
      </c>
      <c r="J2288" s="65" t="e">
        <f t="shared" si="361"/>
        <v>#NUM!</v>
      </c>
      <c r="K2288" s="83" t="e">
        <f t="shared" si="362"/>
        <v>#NUM!</v>
      </c>
      <c r="L2288" s="83">
        <f t="shared" si="363"/>
        <v>0</v>
      </c>
      <c r="M2288" s="110" t="str">
        <f t="shared" si="364"/>
        <v/>
      </c>
      <c r="N2288" s="51" t="str">
        <f t="shared" si="365"/>
        <v/>
      </c>
      <c r="O2288" s="52" t="str">
        <f t="shared" si="366"/>
        <v/>
      </c>
      <c r="P2288" s="88">
        <f t="shared" si="367"/>
        <v>0</v>
      </c>
      <c r="Q2288" s="88">
        <f t="shared" si="368"/>
        <v>0</v>
      </c>
      <c r="R2288" s="88" t="e">
        <f>-IF(Tabla14[[#This Row],[DIAS HABILES O MORA]]&lt;0,(Tabla14[[#This Row],[VALOR PRESTAMO]]*Tabla14[[#This Row],[% INTERES ]]/30*U2288))+Tabla14[[#This Row],[VALOR CUOTAS]]</f>
        <v>#VALUE!</v>
      </c>
      <c r="S2288" s="88">
        <f>-IF(Tabla14[[#This Row],[DIAS HABILES O MORA]]&lt;0,(Tabla14[[#This Row],[VALOR PRESTAMO]]*Tabla14[[#This Row],[% INTERES ]]/30*U2288))</f>
        <v>0</v>
      </c>
      <c r="T2288" s="53" t="e">
        <f>Tabla14[[#This Row],[DEUDA CAPITAL]]+Tabla14[[#This Row],[INTERES  CUOTA]]</f>
        <v>#NUM!</v>
      </c>
      <c r="U2288" s="61" t="str">
        <f t="shared" si="369"/>
        <v/>
      </c>
    </row>
    <row r="2289" spans="9:21" ht="24.75" customHeight="1" x14ac:dyDescent="0.35">
      <c r="I2289" s="42">
        <f t="shared" si="360"/>
        <v>0</v>
      </c>
      <c r="J2289" s="65" t="e">
        <f t="shared" si="361"/>
        <v>#NUM!</v>
      </c>
      <c r="K2289" s="83" t="e">
        <f t="shared" si="362"/>
        <v>#NUM!</v>
      </c>
      <c r="L2289" s="83">
        <f t="shared" si="363"/>
        <v>0</v>
      </c>
      <c r="M2289" s="110" t="str">
        <f t="shared" si="364"/>
        <v/>
      </c>
      <c r="N2289" s="51" t="str">
        <f t="shared" si="365"/>
        <v/>
      </c>
      <c r="O2289" s="52" t="str">
        <f t="shared" si="366"/>
        <v/>
      </c>
      <c r="P2289" s="88">
        <f t="shared" si="367"/>
        <v>0</v>
      </c>
      <c r="Q2289" s="88">
        <f t="shared" si="368"/>
        <v>0</v>
      </c>
      <c r="R2289" s="88" t="e">
        <f>-IF(Tabla14[[#This Row],[DIAS HABILES O MORA]]&lt;0,(Tabla14[[#This Row],[VALOR PRESTAMO]]*Tabla14[[#This Row],[% INTERES ]]/30*U2289))+Tabla14[[#This Row],[VALOR CUOTAS]]</f>
        <v>#VALUE!</v>
      </c>
      <c r="S2289" s="88">
        <f>-IF(Tabla14[[#This Row],[DIAS HABILES O MORA]]&lt;0,(Tabla14[[#This Row],[VALOR PRESTAMO]]*Tabla14[[#This Row],[% INTERES ]]/30*U2289))</f>
        <v>0</v>
      </c>
      <c r="T2289" s="53" t="e">
        <f>Tabla14[[#This Row],[DEUDA CAPITAL]]+Tabla14[[#This Row],[INTERES  CUOTA]]</f>
        <v>#NUM!</v>
      </c>
      <c r="U2289" s="61" t="str">
        <f t="shared" si="369"/>
        <v/>
      </c>
    </row>
    <row r="2290" spans="9:21" ht="24.75" customHeight="1" x14ac:dyDescent="0.35">
      <c r="I2290" s="42">
        <f t="shared" si="360"/>
        <v>0</v>
      </c>
      <c r="J2290" s="65" t="e">
        <f t="shared" si="361"/>
        <v>#NUM!</v>
      </c>
      <c r="K2290" s="83" t="e">
        <f t="shared" si="362"/>
        <v>#NUM!</v>
      </c>
      <c r="L2290" s="83">
        <f t="shared" si="363"/>
        <v>0</v>
      </c>
      <c r="M2290" s="110" t="str">
        <f t="shared" si="364"/>
        <v/>
      </c>
      <c r="N2290" s="51" t="str">
        <f t="shared" si="365"/>
        <v/>
      </c>
      <c r="O2290" s="52" t="str">
        <f t="shared" si="366"/>
        <v/>
      </c>
      <c r="P2290" s="88">
        <f t="shared" si="367"/>
        <v>0</v>
      </c>
      <c r="Q2290" s="88">
        <f t="shared" si="368"/>
        <v>0</v>
      </c>
      <c r="R2290" s="88" t="e">
        <f>-IF(Tabla14[[#This Row],[DIAS HABILES O MORA]]&lt;0,(Tabla14[[#This Row],[VALOR PRESTAMO]]*Tabla14[[#This Row],[% INTERES ]]/30*U2290))+Tabla14[[#This Row],[VALOR CUOTAS]]</f>
        <v>#VALUE!</v>
      </c>
      <c r="S2290" s="88">
        <f>-IF(Tabla14[[#This Row],[DIAS HABILES O MORA]]&lt;0,(Tabla14[[#This Row],[VALOR PRESTAMO]]*Tabla14[[#This Row],[% INTERES ]]/30*U2290))</f>
        <v>0</v>
      </c>
      <c r="T2290" s="53" t="e">
        <f>Tabla14[[#This Row],[DEUDA CAPITAL]]+Tabla14[[#This Row],[INTERES  CUOTA]]</f>
        <v>#NUM!</v>
      </c>
      <c r="U2290" s="61" t="str">
        <f t="shared" si="369"/>
        <v/>
      </c>
    </row>
    <row r="2291" spans="9:21" ht="24.75" customHeight="1" x14ac:dyDescent="0.35">
      <c r="I2291" s="42">
        <f t="shared" si="360"/>
        <v>0</v>
      </c>
      <c r="J2291" s="65" t="e">
        <f t="shared" si="361"/>
        <v>#NUM!</v>
      </c>
      <c r="K2291" s="83" t="e">
        <f t="shared" si="362"/>
        <v>#NUM!</v>
      </c>
      <c r="L2291" s="83">
        <f t="shared" si="363"/>
        <v>0</v>
      </c>
      <c r="M2291" s="110" t="str">
        <f t="shared" si="364"/>
        <v/>
      </c>
      <c r="N2291" s="51" t="str">
        <f t="shared" si="365"/>
        <v/>
      </c>
      <c r="O2291" s="52" t="str">
        <f t="shared" si="366"/>
        <v/>
      </c>
      <c r="P2291" s="88">
        <f t="shared" si="367"/>
        <v>0</v>
      </c>
      <c r="Q2291" s="88">
        <f t="shared" si="368"/>
        <v>0</v>
      </c>
      <c r="R2291" s="88" t="e">
        <f>-IF(Tabla14[[#This Row],[DIAS HABILES O MORA]]&lt;0,(Tabla14[[#This Row],[VALOR PRESTAMO]]*Tabla14[[#This Row],[% INTERES ]]/30*U2291))+Tabla14[[#This Row],[VALOR CUOTAS]]</f>
        <v>#VALUE!</v>
      </c>
      <c r="S2291" s="88">
        <f>-IF(Tabla14[[#This Row],[DIAS HABILES O MORA]]&lt;0,(Tabla14[[#This Row],[VALOR PRESTAMO]]*Tabla14[[#This Row],[% INTERES ]]/30*U2291))</f>
        <v>0</v>
      </c>
      <c r="T2291" s="53" t="e">
        <f>Tabla14[[#This Row],[DEUDA CAPITAL]]+Tabla14[[#This Row],[INTERES  CUOTA]]</f>
        <v>#NUM!</v>
      </c>
      <c r="U2291" s="61" t="str">
        <f t="shared" si="369"/>
        <v/>
      </c>
    </row>
    <row r="2292" spans="9:21" ht="24.75" customHeight="1" x14ac:dyDescent="0.35">
      <c r="I2292" s="42">
        <f t="shared" si="360"/>
        <v>0</v>
      </c>
      <c r="J2292" s="65" t="e">
        <f t="shared" si="361"/>
        <v>#NUM!</v>
      </c>
      <c r="K2292" s="83" t="e">
        <f t="shared" si="362"/>
        <v>#NUM!</v>
      </c>
      <c r="L2292" s="83">
        <f t="shared" si="363"/>
        <v>0</v>
      </c>
      <c r="M2292" s="110" t="str">
        <f t="shared" si="364"/>
        <v/>
      </c>
      <c r="N2292" s="51" t="str">
        <f t="shared" si="365"/>
        <v/>
      </c>
      <c r="O2292" s="52" t="str">
        <f t="shared" si="366"/>
        <v/>
      </c>
      <c r="P2292" s="88">
        <f t="shared" si="367"/>
        <v>0</v>
      </c>
      <c r="Q2292" s="88">
        <f t="shared" si="368"/>
        <v>0</v>
      </c>
      <c r="R2292" s="88" t="e">
        <f>-IF(Tabla14[[#This Row],[DIAS HABILES O MORA]]&lt;0,(Tabla14[[#This Row],[VALOR PRESTAMO]]*Tabla14[[#This Row],[% INTERES ]]/30*U2292))+Tabla14[[#This Row],[VALOR CUOTAS]]</f>
        <v>#VALUE!</v>
      </c>
      <c r="S2292" s="88">
        <f>-IF(Tabla14[[#This Row],[DIAS HABILES O MORA]]&lt;0,(Tabla14[[#This Row],[VALOR PRESTAMO]]*Tabla14[[#This Row],[% INTERES ]]/30*U2292))</f>
        <v>0</v>
      </c>
      <c r="T2292" s="53" t="e">
        <f>Tabla14[[#This Row],[DEUDA CAPITAL]]+Tabla14[[#This Row],[INTERES  CUOTA]]</f>
        <v>#NUM!</v>
      </c>
      <c r="U2292" s="61" t="str">
        <f t="shared" si="369"/>
        <v/>
      </c>
    </row>
    <row r="2293" spans="9:21" ht="24.75" customHeight="1" x14ac:dyDescent="0.35">
      <c r="I2293" s="42">
        <f t="shared" si="360"/>
        <v>0</v>
      </c>
      <c r="J2293" s="65" t="e">
        <f t="shared" si="361"/>
        <v>#NUM!</v>
      </c>
      <c r="K2293" s="83" t="e">
        <f t="shared" si="362"/>
        <v>#NUM!</v>
      </c>
      <c r="L2293" s="83">
        <f t="shared" si="363"/>
        <v>0</v>
      </c>
      <c r="M2293" s="110" t="str">
        <f t="shared" si="364"/>
        <v/>
      </c>
      <c r="N2293" s="51" t="str">
        <f t="shared" si="365"/>
        <v/>
      </c>
      <c r="O2293" s="52" t="str">
        <f t="shared" si="366"/>
        <v/>
      </c>
      <c r="P2293" s="88">
        <f t="shared" si="367"/>
        <v>0</v>
      </c>
      <c r="Q2293" s="88">
        <f t="shared" si="368"/>
        <v>0</v>
      </c>
      <c r="R2293" s="88" t="e">
        <f>-IF(Tabla14[[#This Row],[DIAS HABILES O MORA]]&lt;0,(Tabla14[[#This Row],[VALOR PRESTAMO]]*Tabla14[[#This Row],[% INTERES ]]/30*U2293))+Tabla14[[#This Row],[VALOR CUOTAS]]</f>
        <v>#VALUE!</v>
      </c>
      <c r="S2293" s="88">
        <f>-IF(Tabla14[[#This Row],[DIAS HABILES O MORA]]&lt;0,(Tabla14[[#This Row],[VALOR PRESTAMO]]*Tabla14[[#This Row],[% INTERES ]]/30*U2293))</f>
        <v>0</v>
      </c>
      <c r="T2293" s="53" t="e">
        <f>Tabla14[[#This Row],[DEUDA CAPITAL]]+Tabla14[[#This Row],[INTERES  CUOTA]]</f>
        <v>#NUM!</v>
      </c>
      <c r="U2293" s="61" t="str">
        <f t="shared" si="369"/>
        <v/>
      </c>
    </row>
    <row r="2294" spans="9:21" ht="24.75" customHeight="1" x14ac:dyDescent="0.35">
      <c r="I2294" s="42">
        <f t="shared" si="360"/>
        <v>0</v>
      </c>
      <c r="J2294" s="65" t="e">
        <f t="shared" si="361"/>
        <v>#NUM!</v>
      </c>
      <c r="K2294" s="83" t="e">
        <f t="shared" si="362"/>
        <v>#NUM!</v>
      </c>
      <c r="L2294" s="83">
        <f t="shared" si="363"/>
        <v>0</v>
      </c>
      <c r="M2294" s="110" t="str">
        <f t="shared" si="364"/>
        <v/>
      </c>
      <c r="N2294" s="51" t="str">
        <f t="shared" si="365"/>
        <v/>
      </c>
      <c r="O2294" s="52" t="str">
        <f t="shared" si="366"/>
        <v/>
      </c>
      <c r="P2294" s="88">
        <f t="shared" si="367"/>
        <v>0</v>
      </c>
      <c r="Q2294" s="88">
        <f t="shared" si="368"/>
        <v>0</v>
      </c>
      <c r="R2294" s="88" t="e">
        <f>-IF(Tabla14[[#This Row],[DIAS HABILES O MORA]]&lt;0,(Tabla14[[#This Row],[VALOR PRESTAMO]]*Tabla14[[#This Row],[% INTERES ]]/30*U2294))+Tabla14[[#This Row],[VALOR CUOTAS]]</f>
        <v>#VALUE!</v>
      </c>
      <c r="S2294" s="88">
        <f>-IF(Tabla14[[#This Row],[DIAS HABILES O MORA]]&lt;0,(Tabla14[[#This Row],[VALOR PRESTAMO]]*Tabla14[[#This Row],[% INTERES ]]/30*U2294))</f>
        <v>0</v>
      </c>
      <c r="T2294" s="53" t="e">
        <f>Tabla14[[#This Row],[DEUDA CAPITAL]]+Tabla14[[#This Row],[INTERES  CUOTA]]</f>
        <v>#NUM!</v>
      </c>
      <c r="U2294" s="61" t="str">
        <f t="shared" si="369"/>
        <v/>
      </c>
    </row>
    <row r="2295" spans="9:21" ht="24.75" customHeight="1" x14ac:dyDescent="0.35">
      <c r="I2295" s="42">
        <f t="shared" si="360"/>
        <v>0</v>
      </c>
      <c r="J2295" s="65" t="e">
        <f t="shared" si="361"/>
        <v>#NUM!</v>
      </c>
      <c r="K2295" s="83" t="e">
        <f t="shared" si="362"/>
        <v>#NUM!</v>
      </c>
      <c r="L2295" s="83">
        <f t="shared" si="363"/>
        <v>0</v>
      </c>
      <c r="M2295" s="110" t="str">
        <f t="shared" si="364"/>
        <v/>
      </c>
      <c r="N2295" s="51" t="str">
        <f t="shared" si="365"/>
        <v/>
      </c>
      <c r="O2295" s="52" t="str">
        <f t="shared" si="366"/>
        <v/>
      </c>
      <c r="P2295" s="88">
        <f t="shared" si="367"/>
        <v>0</v>
      </c>
      <c r="Q2295" s="88">
        <f t="shared" si="368"/>
        <v>0</v>
      </c>
      <c r="R2295" s="88" t="e">
        <f>-IF(Tabla14[[#This Row],[DIAS HABILES O MORA]]&lt;0,(Tabla14[[#This Row],[VALOR PRESTAMO]]*Tabla14[[#This Row],[% INTERES ]]/30*U2295))+Tabla14[[#This Row],[VALOR CUOTAS]]</f>
        <v>#VALUE!</v>
      </c>
      <c r="S2295" s="88">
        <f>-IF(Tabla14[[#This Row],[DIAS HABILES O MORA]]&lt;0,(Tabla14[[#This Row],[VALOR PRESTAMO]]*Tabla14[[#This Row],[% INTERES ]]/30*U2295))</f>
        <v>0</v>
      </c>
      <c r="T2295" s="53" t="e">
        <f>Tabla14[[#This Row],[DEUDA CAPITAL]]+Tabla14[[#This Row],[INTERES  CUOTA]]</f>
        <v>#NUM!</v>
      </c>
      <c r="U2295" s="61" t="str">
        <f t="shared" si="369"/>
        <v/>
      </c>
    </row>
    <row r="2296" spans="9:21" ht="24.75" customHeight="1" x14ac:dyDescent="0.35">
      <c r="I2296" s="42">
        <f t="shared" si="360"/>
        <v>0</v>
      </c>
      <c r="J2296" s="65" t="e">
        <f t="shared" si="361"/>
        <v>#NUM!</v>
      </c>
      <c r="K2296" s="83" t="e">
        <f t="shared" si="362"/>
        <v>#NUM!</v>
      </c>
      <c r="L2296" s="83">
        <f t="shared" si="363"/>
        <v>0</v>
      </c>
      <c r="M2296" s="110" t="str">
        <f t="shared" si="364"/>
        <v/>
      </c>
      <c r="N2296" s="51" t="str">
        <f t="shared" si="365"/>
        <v/>
      </c>
      <c r="O2296" s="52" t="str">
        <f t="shared" si="366"/>
        <v/>
      </c>
      <c r="P2296" s="88">
        <f t="shared" si="367"/>
        <v>0</v>
      </c>
      <c r="Q2296" s="88">
        <f t="shared" si="368"/>
        <v>0</v>
      </c>
      <c r="R2296" s="88" t="e">
        <f>-IF(Tabla14[[#This Row],[DIAS HABILES O MORA]]&lt;0,(Tabla14[[#This Row],[VALOR PRESTAMO]]*Tabla14[[#This Row],[% INTERES ]]/30*U2296))+Tabla14[[#This Row],[VALOR CUOTAS]]</f>
        <v>#VALUE!</v>
      </c>
      <c r="S2296" s="88">
        <f>-IF(Tabla14[[#This Row],[DIAS HABILES O MORA]]&lt;0,(Tabla14[[#This Row],[VALOR PRESTAMO]]*Tabla14[[#This Row],[% INTERES ]]/30*U2296))</f>
        <v>0</v>
      </c>
      <c r="T2296" s="53" t="e">
        <f>Tabla14[[#This Row],[DEUDA CAPITAL]]+Tabla14[[#This Row],[INTERES  CUOTA]]</f>
        <v>#NUM!</v>
      </c>
      <c r="U2296" s="61" t="str">
        <f t="shared" si="369"/>
        <v/>
      </c>
    </row>
    <row r="2297" spans="9:21" ht="24.75" customHeight="1" x14ac:dyDescent="0.35">
      <c r="I2297" s="42">
        <f t="shared" si="360"/>
        <v>0</v>
      </c>
      <c r="J2297" s="65" t="e">
        <f t="shared" si="361"/>
        <v>#NUM!</v>
      </c>
      <c r="K2297" s="83" t="e">
        <f t="shared" si="362"/>
        <v>#NUM!</v>
      </c>
      <c r="L2297" s="83">
        <f t="shared" si="363"/>
        <v>0</v>
      </c>
      <c r="M2297" s="110" t="str">
        <f t="shared" si="364"/>
        <v/>
      </c>
      <c r="N2297" s="51" t="str">
        <f t="shared" si="365"/>
        <v/>
      </c>
      <c r="O2297" s="52" t="str">
        <f t="shared" si="366"/>
        <v/>
      </c>
      <c r="P2297" s="88">
        <f t="shared" si="367"/>
        <v>0</v>
      </c>
      <c r="Q2297" s="88">
        <f t="shared" si="368"/>
        <v>0</v>
      </c>
      <c r="R2297" s="88" t="e">
        <f>-IF(Tabla14[[#This Row],[DIAS HABILES O MORA]]&lt;0,(Tabla14[[#This Row],[VALOR PRESTAMO]]*Tabla14[[#This Row],[% INTERES ]]/30*U2297))+Tabla14[[#This Row],[VALOR CUOTAS]]</f>
        <v>#VALUE!</v>
      </c>
      <c r="S2297" s="88">
        <f>-IF(Tabla14[[#This Row],[DIAS HABILES O MORA]]&lt;0,(Tabla14[[#This Row],[VALOR PRESTAMO]]*Tabla14[[#This Row],[% INTERES ]]/30*U2297))</f>
        <v>0</v>
      </c>
      <c r="T2297" s="53" t="e">
        <f>Tabla14[[#This Row],[DEUDA CAPITAL]]+Tabla14[[#This Row],[INTERES  CUOTA]]</f>
        <v>#NUM!</v>
      </c>
      <c r="U2297" s="61" t="str">
        <f t="shared" si="369"/>
        <v/>
      </c>
    </row>
    <row r="2298" spans="9:21" ht="24.75" customHeight="1" x14ac:dyDescent="0.35">
      <c r="I2298" s="42">
        <f t="shared" si="360"/>
        <v>0</v>
      </c>
      <c r="J2298" s="65" t="e">
        <f t="shared" si="361"/>
        <v>#NUM!</v>
      </c>
      <c r="K2298" s="83" t="e">
        <f t="shared" si="362"/>
        <v>#NUM!</v>
      </c>
      <c r="L2298" s="83">
        <f t="shared" si="363"/>
        <v>0</v>
      </c>
      <c r="M2298" s="110" t="str">
        <f t="shared" si="364"/>
        <v/>
      </c>
      <c r="N2298" s="51" t="str">
        <f t="shared" si="365"/>
        <v/>
      </c>
      <c r="O2298" s="52" t="str">
        <f t="shared" si="366"/>
        <v/>
      </c>
      <c r="P2298" s="88">
        <f t="shared" si="367"/>
        <v>0</v>
      </c>
      <c r="Q2298" s="88">
        <f t="shared" si="368"/>
        <v>0</v>
      </c>
      <c r="R2298" s="88" t="e">
        <f>-IF(Tabla14[[#This Row],[DIAS HABILES O MORA]]&lt;0,(Tabla14[[#This Row],[VALOR PRESTAMO]]*Tabla14[[#This Row],[% INTERES ]]/30*U2298))+Tabla14[[#This Row],[VALOR CUOTAS]]</f>
        <v>#VALUE!</v>
      </c>
      <c r="S2298" s="88">
        <f>-IF(Tabla14[[#This Row],[DIAS HABILES O MORA]]&lt;0,(Tabla14[[#This Row],[VALOR PRESTAMO]]*Tabla14[[#This Row],[% INTERES ]]/30*U2298))</f>
        <v>0</v>
      </c>
      <c r="T2298" s="53" t="e">
        <f>Tabla14[[#This Row],[DEUDA CAPITAL]]+Tabla14[[#This Row],[INTERES  CUOTA]]</f>
        <v>#NUM!</v>
      </c>
      <c r="U2298" s="61" t="str">
        <f t="shared" si="369"/>
        <v/>
      </c>
    </row>
    <row r="2299" spans="9:21" ht="24.75" customHeight="1" x14ac:dyDescent="0.35">
      <c r="I2299" s="42">
        <f t="shared" si="360"/>
        <v>0</v>
      </c>
      <c r="J2299" s="65" t="e">
        <f t="shared" si="361"/>
        <v>#NUM!</v>
      </c>
      <c r="K2299" s="83" t="e">
        <f t="shared" si="362"/>
        <v>#NUM!</v>
      </c>
      <c r="L2299" s="83">
        <f t="shared" si="363"/>
        <v>0</v>
      </c>
      <c r="M2299" s="110" t="str">
        <f t="shared" si="364"/>
        <v/>
      </c>
      <c r="N2299" s="51" t="str">
        <f t="shared" si="365"/>
        <v/>
      </c>
      <c r="O2299" s="52" t="str">
        <f t="shared" si="366"/>
        <v/>
      </c>
      <c r="P2299" s="88">
        <f t="shared" si="367"/>
        <v>0</v>
      </c>
      <c r="Q2299" s="88">
        <f t="shared" si="368"/>
        <v>0</v>
      </c>
      <c r="R2299" s="88" t="e">
        <f>-IF(Tabla14[[#This Row],[DIAS HABILES O MORA]]&lt;0,(Tabla14[[#This Row],[VALOR PRESTAMO]]*Tabla14[[#This Row],[% INTERES ]]/30*U2299))+Tabla14[[#This Row],[VALOR CUOTAS]]</f>
        <v>#VALUE!</v>
      </c>
      <c r="S2299" s="88">
        <f>-IF(Tabla14[[#This Row],[DIAS HABILES O MORA]]&lt;0,(Tabla14[[#This Row],[VALOR PRESTAMO]]*Tabla14[[#This Row],[% INTERES ]]/30*U2299))</f>
        <v>0</v>
      </c>
      <c r="T2299" s="53" t="e">
        <f>Tabla14[[#This Row],[DEUDA CAPITAL]]+Tabla14[[#This Row],[INTERES  CUOTA]]</f>
        <v>#NUM!</v>
      </c>
      <c r="U2299" s="61" t="str">
        <f t="shared" si="369"/>
        <v/>
      </c>
    </row>
    <row r="2300" spans="9:21" ht="24.75" customHeight="1" x14ac:dyDescent="0.35">
      <c r="I2300" s="42">
        <f t="shared" si="360"/>
        <v>0</v>
      </c>
      <c r="J2300" s="65" t="e">
        <f t="shared" si="361"/>
        <v>#NUM!</v>
      </c>
      <c r="K2300" s="83" t="e">
        <f t="shared" si="362"/>
        <v>#NUM!</v>
      </c>
      <c r="L2300" s="83">
        <f t="shared" si="363"/>
        <v>0</v>
      </c>
      <c r="M2300" s="110" t="str">
        <f t="shared" si="364"/>
        <v/>
      </c>
      <c r="N2300" s="51" t="str">
        <f t="shared" si="365"/>
        <v/>
      </c>
      <c r="O2300" s="52" t="str">
        <f t="shared" si="366"/>
        <v/>
      </c>
      <c r="P2300" s="88">
        <f t="shared" si="367"/>
        <v>0</v>
      </c>
      <c r="Q2300" s="88">
        <f t="shared" si="368"/>
        <v>0</v>
      </c>
      <c r="R2300" s="88" t="e">
        <f>-IF(Tabla14[[#This Row],[DIAS HABILES O MORA]]&lt;0,(Tabla14[[#This Row],[VALOR PRESTAMO]]*Tabla14[[#This Row],[% INTERES ]]/30*U2300))+Tabla14[[#This Row],[VALOR CUOTAS]]</f>
        <v>#VALUE!</v>
      </c>
      <c r="S2300" s="88">
        <f>-IF(Tabla14[[#This Row],[DIAS HABILES O MORA]]&lt;0,(Tabla14[[#This Row],[VALOR PRESTAMO]]*Tabla14[[#This Row],[% INTERES ]]/30*U2300))</f>
        <v>0</v>
      </c>
      <c r="T2300" s="53" t="e">
        <f>Tabla14[[#This Row],[DEUDA CAPITAL]]+Tabla14[[#This Row],[INTERES  CUOTA]]</f>
        <v>#NUM!</v>
      </c>
      <c r="U2300" s="61" t="str">
        <f t="shared" si="369"/>
        <v/>
      </c>
    </row>
    <row r="2301" spans="9:21" ht="24.75" customHeight="1" x14ac:dyDescent="0.35">
      <c r="I2301" s="42">
        <f t="shared" si="360"/>
        <v>0</v>
      </c>
      <c r="J2301" s="65" t="e">
        <f t="shared" si="361"/>
        <v>#NUM!</v>
      </c>
      <c r="K2301" s="83" t="e">
        <f t="shared" si="362"/>
        <v>#NUM!</v>
      </c>
      <c r="L2301" s="83">
        <f t="shared" si="363"/>
        <v>0</v>
      </c>
      <c r="M2301" s="110" t="str">
        <f t="shared" si="364"/>
        <v/>
      </c>
      <c r="N2301" s="51" t="str">
        <f t="shared" si="365"/>
        <v/>
      </c>
      <c r="O2301" s="52" t="str">
        <f t="shared" si="366"/>
        <v/>
      </c>
      <c r="P2301" s="88">
        <f t="shared" si="367"/>
        <v>0</v>
      </c>
      <c r="Q2301" s="88">
        <f t="shared" si="368"/>
        <v>0</v>
      </c>
      <c r="R2301" s="88" t="e">
        <f>-IF(Tabla14[[#This Row],[DIAS HABILES O MORA]]&lt;0,(Tabla14[[#This Row],[VALOR PRESTAMO]]*Tabla14[[#This Row],[% INTERES ]]/30*U2301))+Tabla14[[#This Row],[VALOR CUOTAS]]</f>
        <v>#VALUE!</v>
      </c>
      <c r="S2301" s="88">
        <f>-IF(Tabla14[[#This Row],[DIAS HABILES O MORA]]&lt;0,(Tabla14[[#This Row],[VALOR PRESTAMO]]*Tabla14[[#This Row],[% INTERES ]]/30*U2301))</f>
        <v>0</v>
      </c>
      <c r="T2301" s="53" t="e">
        <f>Tabla14[[#This Row],[DEUDA CAPITAL]]+Tabla14[[#This Row],[INTERES  CUOTA]]</f>
        <v>#NUM!</v>
      </c>
      <c r="U2301" s="61" t="str">
        <f t="shared" si="369"/>
        <v/>
      </c>
    </row>
    <row r="2302" spans="9:21" ht="24.75" customHeight="1" x14ac:dyDescent="0.35">
      <c r="I2302" s="42">
        <f t="shared" si="360"/>
        <v>0</v>
      </c>
      <c r="J2302" s="65" t="e">
        <f t="shared" si="361"/>
        <v>#NUM!</v>
      </c>
      <c r="K2302" s="83" t="e">
        <f t="shared" si="362"/>
        <v>#NUM!</v>
      </c>
      <c r="L2302" s="83">
        <f t="shared" si="363"/>
        <v>0</v>
      </c>
      <c r="M2302" s="110" t="str">
        <f t="shared" si="364"/>
        <v/>
      </c>
      <c r="N2302" s="51" t="str">
        <f t="shared" si="365"/>
        <v/>
      </c>
      <c r="O2302" s="52" t="str">
        <f t="shared" si="366"/>
        <v/>
      </c>
      <c r="P2302" s="88">
        <f t="shared" si="367"/>
        <v>0</v>
      </c>
      <c r="Q2302" s="88">
        <f t="shared" si="368"/>
        <v>0</v>
      </c>
      <c r="R2302" s="88" t="e">
        <f>-IF(Tabla14[[#This Row],[DIAS HABILES O MORA]]&lt;0,(Tabla14[[#This Row],[VALOR PRESTAMO]]*Tabla14[[#This Row],[% INTERES ]]/30*U2302))+Tabla14[[#This Row],[VALOR CUOTAS]]</f>
        <v>#VALUE!</v>
      </c>
      <c r="S2302" s="88">
        <f>-IF(Tabla14[[#This Row],[DIAS HABILES O MORA]]&lt;0,(Tabla14[[#This Row],[VALOR PRESTAMO]]*Tabla14[[#This Row],[% INTERES ]]/30*U2302))</f>
        <v>0</v>
      </c>
      <c r="T2302" s="53" t="e">
        <f>Tabla14[[#This Row],[DEUDA CAPITAL]]+Tabla14[[#This Row],[INTERES  CUOTA]]</f>
        <v>#NUM!</v>
      </c>
      <c r="U2302" s="61" t="str">
        <f t="shared" si="369"/>
        <v/>
      </c>
    </row>
    <row r="2303" spans="9:21" ht="24.75" customHeight="1" x14ac:dyDescent="0.35">
      <c r="I2303" s="42">
        <f t="shared" si="360"/>
        <v>0</v>
      </c>
      <c r="J2303" s="65" t="e">
        <f t="shared" si="361"/>
        <v>#NUM!</v>
      </c>
      <c r="K2303" s="83" t="e">
        <f t="shared" si="362"/>
        <v>#NUM!</v>
      </c>
      <c r="L2303" s="83">
        <f t="shared" si="363"/>
        <v>0</v>
      </c>
      <c r="M2303" s="110" t="str">
        <f t="shared" si="364"/>
        <v/>
      </c>
      <c r="N2303" s="51" t="str">
        <f t="shared" si="365"/>
        <v/>
      </c>
      <c r="O2303" s="52" t="str">
        <f t="shared" si="366"/>
        <v/>
      </c>
      <c r="P2303" s="88">
        <f t="shared" si="367"/>
        <v>0</v>
      </c>
      <c r="Q2303" s="88">
        <f t="shared" si="368"/>
        <v>0</v>
      </c>
      <c r="R2303" s="88" t="e">
        <f>-IF(Tabla14[[#This Row],[DIAS HABILES O MORA]]&lt;0,(Tabla14[[#This Row],[VALOR PRESTAMO]]*Tabla14[[#This Row],[% INTERES ]]/30*U2303))+Tabla14[[#This Row],[VALOR CUOTAS]]</f>
        <v>#VALUE!</v>
      </c>
      <c r="S2303" s="88">
        <f>-IF(Tabla14[[#This Row],[DIAS HABILES O MORA]]&lt;0,(Tabla14[[#This Row],[VALOR PRESTAMO]]*Tabla14[[#This Row],[% INTERES ]]/30*U2303))</f>
        <v>0</v>
      </c>
      <c r="T2303" s="53" t="e">
        <f>Tabla14[[#This Row],[DEUDA CAPITAL]]+Tabla14[[#This Row],[INTERES  CUOTA]]</f>
        <v>#NUM!</v>
      </c>
      <c r="U2303" s="61" t="str">
        <f t="shared" si="369"/>
        <v/>
      </c>
    </row>
    <row r="2304" spans="9:21" ht="24.75" customHeight="1" x14ac:dyDescent="0.35">
      <c r="I2304" s="42">
        <f t="shared" si="360"/>
        <v>0</v>
      </c>
      <c r="J2304" s="65" t="e">
        <f t="shared" si="361"/>
        <v>#NUM!</v>
      </c>
      <c r="K2304" s="83" t="e">
        <f t="shared" si="362"/>
        <v>#NUM!</v>
      </c>
      <c r="L2304" s="83">
        <f t="shared" si="363"/>
        <v>0</v>
      </c>
      <c r="M2304" s="110" t="str">
        <f t="shared" si="364"/>
        <v/>
      </c>
      <c r="N2304" s="51" t="str">
        <f t="shared" si="365"/>
        <v/>
      </c>
      <c r="O2304" s="52" t="str">
        <f t="shared" si="366"/>
        <v/>
      </c>
      <c r="P2304" s="88">
        <f t="shared" si="367"/>
        <v>0</v>
      </c>
      <c r="Q2304" s="88">
        <f t="shared" si="368"/>
        <v>0</v>
      </c>
      <c r="R2304" s="88" t="e">
        <f>-IF(Tabla14[[#This Row],[DIAS HABILES O MORA]]&lt;0,(Tabla14[[#This Row],[VALOR PRESTAMO]]*Tabla14[[#This Row],[% INTERES ]]/30*U2304))+Tabla14[[#This Row],[VALOR CUOTAS]]</f>
        <v>#VALUE!</v>
      </c>
      <c r="S2304" s="88">
        <f>-IF(Tabla14[[#This Row],[DIAS HABILES O MORA]]&lt;0,(Tabla14[[#This Row],[VALOR PRESTAMO]]*Tabla14[[#This Row],[% INTERES ]]/30*U2304))</f>
        <v>0</v>
      </c>
      <c r="T2304" s="53" t="e">
        <f>Tabla14[[#This Row],[DEUDA CAPITAL]]+Tabla14[[#This Row],[INTERES  CUOTA]]</f>
        <v>#NUM!</v>
      </c>
      <c r="U2304" s="61" t="str">
        <f t="shared" si="369"/>
        <v/>
      </c>
    </row>
    <row r="2305" spans="9:21" ht="24.75" customHeight="1" x14ac:dyDescent="0.35">
      <c r="I2305" s="42">
        <f t="shared" si="360"/>
        <v>0</v>
      </c>
      <c r="J2305" s="65" t="e">
        <f t="shared" si="361"/>
        <v>#NUM!</v>
      </c>
      <c r="K2305" s="83" t="e">
        <f t="shared" si="362"/>
        <v>#NUM!</v>
      </c>
      <c r="L2305" s="83">
        <f t="shared" si="363"/>
        <v>0</v>
      </c>
      <c r="M2305" s="110" t="str">
        <f t="shared" si="364"/>
        <v/>
      </c>
      <c r="N2305" s="51" t="str">
        <f t="shared" si="365"/>
        <v/>
      </c>
      <c r="O2305" s="52" t="str">
        <f t="shared" si="366"/>
        <v/>
      </c>
      <c r="P2305" s="88">
        <f t="shared" si="367"/>
        <v>0</v>
      </c>
      <c r="Q2305" s="88">
        <f t="shared" si="368"/>
        <v>0</v>
      </c>
      <c r="R2305" s="88" t="e">
        <f>-IF(Tabla14[[#This Row],[DIAS HABILES O MORA]]&lt;0,(Tabla14[[#This Row],[VALOR PRESTAMO]]*Tabla14[[#This Row],[% INTERES ]]/30*U2305))+Tabla14[[#This Row],[VALOR CUOTAS]]</f>
        <v>#VALUE!</v>
      </c>
      <c r="S2305" s="88">
        <f>-IF(Tabla14[[#This Row],[DIAS HABILES O MORA]]&lt;0,(Tabla14[[#This Row],[VALOR PRESTAMO]]*Tabla14[[#This Row],[% INTERES ]]/30*U2305))</f>
        <v>0</v>
      </c>
      <c r="T2305" s="53" t="e">
        <f>Tabla14[[#This Row],[DEUDA CAPITAL]]+Tabla14[[#This Row],[INTERES  CUOTA]]</f>
        <v>#NUM!</v>
      </c>
      <c r="U2305" s="61" t="str">
        <f t="shared" si="369"/>
        <v/>
      </c>
    </row>
    <row r="2306" spans="9:21" ht="24.75" customHeight="1" x14ac:dyDescent="0.35">
      <c r="I2306" s="42">
        <f t="shared" si="360"/>
        <v>0</v>
      </c>
      <c r="J2306" s="65" t="e">
        <f t="shared" si="361"/>
        <v>#NUM!</v>
      </c>
      <c r="K2306" s="83" t="e">
        <f t="shared" si="362"/>
        <v>#NUM!</v>
      </c>
      <c r="L2306" s="83">
        <f t="shared" si="363"/>
        <v>0</v>
      </c>
      <c r="M2306" s="110" t="str">
        <f t="shared" si="364"/>
        <v/>
      </c>
      <c r="N2306" s="51" t="str">
        <f t="shared" si="365"/>
        <v/>
      </c>
      <c r="O2306" s="52" t="str">
        <f t="shared" si="366"/>
        <v/>
      </c>
      <c r="P2306" s="88">
        <f t="shared" si="367"/>
        <v>0</v>
      </c>
      <c r="Q2306" s="88">
        <f t="shared" si="368"/>
        <v>0</v>
      </c>
      <c r="R2306" s="88" t="e">
        <f>-IF(Tabla14[[#This Row],[DIAS HABILES O MORA]]&lt;0,(Tabla14[[#This Row],[VALOR PRESTAMO]]*Tabla14[[#This Row],[% INTERES ]]/30*U2306))+Tabla14[[#This Row],[VALOR CUOTAS]]</f>
        <v>#VALUE!</v>
      </c>
      <c r="S2306" s="88">
        <f>-IF(Tabla14[[#This Row],[DIAS HABILES O MORA]]&lt;0,(Tabla14[[#This Row],[VALOR PRESTAMO]]*Tabla14[[#This Row],[% INTERES ]]/30*U2306))</f>
        <v>0</v>
      </c>
      <c r="T2306" s="53" t="e">
        <f>Tabla14[[#This Row],[DEUDA CAPITAL]]+Tabla14[[#This Row],[INTERES  CUOTA]]</f>
        <v>#NUM!</v>
      </c>
      <c r="U2306" s="61" t="str">
        <f t="shared" si="369"/>
        <v/>
      </c>
    </row>
    <row r="2307" spans="9:21" ht="24.75" customHeight="1" x14ac:dyDescent="0.35">
      <c r="I2307" s="42">
        <f t="shared" si="360"/>
        <v>0</v>
      </c>
      <c r="J2307" s="65" t="e">
        <f t="shared" si="361"/>
        <v>#NUM!</v>
      </c>
      <c r="K2307" s="83" t="e">
        <f t="shared" si="362"/>
        <v>#NUM!</v>
      </c>
      <c r="L2307" s="83">
        <f t="shared" si="363"/>
        <v>0</v>
      </c>
      <c r="M2307" s="110" t="str">
        <f t="shared" si="364"/>
        <v/>
      </c>
      <c r="N2307" s="51" t="str">
        <f t="shared" si="365"/>
        <v/>
      </c>
      <c r="O2307" s="52" t="str">
        <f t="shared" si="366"/>
        <v/>
      </c>
      <c r="P2307" s="88">
        <f t="shared" si="367"/>
        <v>0</v>
      </c>
      <c r="Q2307" s="88">
        <f t="shared" si="368"/>
        <v>0</v>
      </c>
      <c r="R2307" s="88" t="e">
        <f>-IF(Tabla14[[#This Row],[DIAS HABILES O MORA]]&lt;0,(Tabla14[[#This Row],[VALOR PRESTAMO]]*Tabla14[[#This Row],[% INTERES ]]/30*U2307))+Tabla14[[#This Row],[VALOR CUOTAS]]</f>
        <v>#VALUE!</v>
      </c>
      <c r="S2307" s="88">
        <f>-IF(Tabla14[[#This Row],[DIAS HABILES O MORA]]&lt;0,(Tabla14[[#This Row],[VALOR PRESTAMO]]*Tabla14[[#This Row],[% INTERES ]]/30*U2307))</f>
        <v>0</v>
      </c>
      <c r="T2307" s="53" t="e">
        <f>Tabla14[[#This Row],[DEUDA CAPITAL]]+Tabla14[[#This Row],[INTERES  CUOTA]]</f>
        <v>#NUM!</v>
      </c>
      <c r="U2307" s="61" t="str">
        <f t="shared" si="369"/>
        <v/>
      </c>
    </row>
    <row r="2308" spans="9:21" ht="24.75" customHeight="1" x14ac:dyDescent="0.35">
      <c r="I2308" s="42">
        <f t="shared" si="360"/>
        <v>0</v>
      </c>
      <c r="J2308" s="65" t="e">
        <f t="shared" si="361"/>
        <v>#NUM!</v>
      </c>
      <c r="K2308" s="83" t="e">
        <f t="shared" si="362"/>
        <v>#NUM!</v>
      </c>
      <c r="L2308" s="83">
        <f t="shared" si="363"/>
        <v>0</v>
      </c>
      <c r="M2308" s="110" t="str">
        <f t="shared" si="364"/>
        <v/>
      </c>
      <c r="N2308" s="51" t="str">
        <f t="shared" si="365"/>
        <v/>
      </c>
      <c r="O2308" s="52" t="str">
        <f t="shared" si="366"/>
        <v/>
      </c>
      <c r="P2308" s="88">
        <f t="shared" si="367"/>
        <v>0</v>
      </c>
      <c r="Q2308" s="88">
        <f t="shared" si="368"/>
        <v>0</v>
      </c>
      <c r="R2308" s="88" t="e">
        <f>-IF(Tabla14[[#This Row],[DIAS HABILES O MORA]]&lt;0,(Tabla14[[#This Row],[VALOR PRESTAMO]]*Tabla14[[#This Row],[% INTERES ]]/30*U2308))+Tabla14[[#This Row],[VALOR CUOTAS]]</f>
        <v>#VALUE!</v>
      </c>
      <c r="S2308" s="88">
        <f>-IF(Tabla14[[#This Row],[DIAS HABILES O MORA]]&lt;0,(Tabla14[[#This Row],[VALOR PRESTAMO]]*Tabla14[[#This Row],[% INTERES ]]/30*U2308))</f>
        <v>0</v>
      </c>
      <c r="T2308" s="53" t="e">
        <f>Tabla14[[#This Row],[DEUDA CAPITAL]]+Tabla14[[#This Row],[INTERES  CUOTA]]</f>
        <v>#NUM!</v>
      </c>
      <c r="U2308" s="61" t="str">
        <f t="shared" si="369"/>
        <v/>
      </c>
    </row>
    <row r="2309" spans="9:21" ht="24.75" customHeight="1" x14ac:dyDescent="0.35">
      <c r="I2309" s="42">
        <f t="shared" si="360"/>
        <v>0</v>
      </c>
      <c r="J2309" s="65" t="e">
        <f t="shared" si="361"/>
        <v>#NUM!</v>
      </c>
      <c r="K2309" s="83" t="e">
        <f t="shared" si="362"/>
        <v>#NUM!</v>
      </c>
      <c r="L2309" s="83">
        <f t="shared" si="363"/>
        <v>0</v>
      </c>
      <c r="M2309" s="110" t="str">
        <f t="shared" si="364"/>
        <v/>
      </c>
      <c r="N2309" s="51" t="str">
        <f t="shared" si="365"/>
        <v/>
      </c>
      <c r="O2309" s="52" t="str">
        <f t="shared" si="366"/>
        <v/>
      </c>
      <c r="P2309" s="88">
        <f t="shared" si="367"/>
        <v>0</v>
      </c>
      <c r="Q2309" s="88">
        <f t="shared" si="368"/>
        <v>0</v>
      </c>
      <c r="R2309" s="88" t="e">
        <f>-IF(Tabla14[[#This Row],[DIAS HABILES O MORA]]&lt;0,(Tabla14[[#This Row],[VALOR PRESTAMO]]*Tabla14[[#This Row],[% INTERES ]]/30*U2309))+Tabla14[[#This Row],[VALOR CUOTAS]]</f>
        <v>#VALUE!</v>
      </c>
      <c r="S2309" s="88">
        <f>-IF(Tabla14[[#This Row],[DIAS HABILES O MORA]]&lt;0,(Tabla14[[#This Row],[VALOR PRESTAMO]]*Tabla14[[#This Row],[% INTERES ]]/30*U2309))</f>
        <v>0</v>
      </c>
      <c r="T2309" s="53" t="e">
        <f>Tabla14[[#This Row],[DEUDA CAPITAL]]+Tabla14[[#This Row],[INTERES  CUOTA]]</f>
        <v>#NUM!</v>
      </c>
      <c r="U2309" s="61" t="str">
        <f t="shared" si="369"/>
        <v/>
      </c>
    </row>
    <row r="2310" spans="9:21" ht="24.75" customHeight="1" x14ac:dyDescent="0.35">
      <c r="I2310" s="42">
        <f t="shared" si="360"/>
        <v>0</v>
      </c>
      <c r="J2310" s="65" t="e">
        <f t="shared" si="361"/>
        <v>#NUM!</v>
      </c>
      <c r="K2310" s="83" t="e">
        <f t="shared" si="362"/>
        <v>#NUM!</v>
      </c>
      <c r="L2310" s="83">
        <f t="shared" si="363"/>
        <v>0</v>
      </c>
      <c r="M2310" s="110" t="str">
        <f t="shared" si="364"/>
        <v/>
      </c>
      <c r="N2310" s="51" t="str">
        <f t="shared" si="365"/>
        <v/>
      </c>
      <c r="O2310" s="52" t="str">
        <f t="shared" si="366"/>
        <v/>
      </c>
      <c r="P2310" s="88">
        <f t="shared" si="367"/>
        <v>0</v>
      </c>
      <c r="Q2310" s="88">
        <f t="shared" si="368"/>
        <v>0</v>
      </c>
      <c r="R2310" s="88" t="e">
        <f>-IF(Tabla14[[#This Row],[DIAS HABILES O MORA]]&lt;0,(Tabla14[[#This Row],[VALOR PRESTAMO]]*Tabla14[[#This Row],[% INTERES ]]/30*U2310))+Tabla14[[#This Row],[VALOR CUOTAS]]</f>
        <v>#VALUE!</v>
      </c>
      <c r="S2310" s="88">
        <f>-IF(Tabla14[[#This Row],[DIAS HABILES O MORA]]&lt;0,(Tabla14[[#This Row],[VALOR PRESTAMO]]*Tabla14[[#This Row],[% INTERES ]]/30*U2310))</f>
        <v>0</v>
      </c>
      <c r="T2310" s="53" t="e">
        <f>Tabla14[[#This Row],[DEUDA CAPITAL]]+Tabla14[[#This Row],[INTERES  CUOTA]]</f>
        <v>#NUM!</v>
      </c>
      <c r="U2310" s="61" t="str">
        <f t="shared" si="369"/>
        <v/>
      </c>
    </row>
    <row r="2311" spans="9:21" ht="24.75" customHeight="1" x14ac:dyDescent="0.35">
      <c r="I2311" s="42">
        <f t="shared" si="360"/>
        <v>0</v>
      </c>
      <c r="J2311" s="65" t="e">
        <f t="shared" si="361"/>
        <v>#NUM!</v>
      </c>
      <c r="K2311" s="83" t="e">
        <f t="shared" si="362"/>
        <v>#NUM!</v>
      </c>
      <c r="L2311" s="83">
        <f t="shared" si="363"/>
        <v>0</v>
      </c>
      <c r="M2311" s="110" t="str">
        <f t="shared" si="364"/>
        <v/>
      </c>
      <c r="N2311" s="51" t="str">
        <f t="shared" si="365"/>
        <v/>
      </c>
      <c r="O2311" s="52" t="str">
        <f t="shared" si="366"/>
        <v/>
      </c>
      <c r="P2311" s="88">
        <f t="shared" si="367"/>
        <v>0</v>
      </c>
      <c r="Q2311" s="88">
        <f t="shared" si="368"/>
        <v>0</v>
      </c>
      <c r="R2311" s="88" t="e">
        <f>-IF(Tabla14[[#This Row],[DIAS HABILES O MORA]]&lt;0,(Tabla14[[#This Row],[VALOR PRESTAMO]]*Tabla14[[#This Row],[% INTERES ]]/30*U2311))+Tabla14[[#This Row],[VALOR CUOTAS]]</f>
        <v>#VALUE!</v>
      </c>
      <c r="S2311" s="88">
        <f>-IF(Tabla14[[#This Row],[DIAS HABILES O MORA]]&lt;0,(Tabla14[[#This Row],[VALOR PRESTAMO]]*Tabla14[[#This Row],[% INTERES ]]/30*U2311))</f>
        <v>0</v>
      </c>
      <c r="T2311" s="53" t="e">
        <f>Tabla14[[#This Row],[DEUDA CAPITAL]]+Tabla14[[#This Row],[INTERES  CUOTA]]</f>
        <v>#NUM!</v>
      </c>
      <c r="U2311" s="61" t="str">
        <f t="shared" si="369"/>
        <v/>
      </c>
    </row>
    <row r="2312" spans="9:21" ht="24.75" customHeight="1" x14ac:dyDescent="0.35">
      <c r="I2312" s="42">
        <f t="shared" si="360"/>
        <v>0</v>
      </c>
      <c r="J2312" s="65" t="e">
        <f t="shared" si="361"/>
        <v>#NUM!</v>
      </c>
      <c r="K2312" s="83" t="e">
        <f t="shared" si="362"/>
        <v>#NUM!</v>
      </c>
      <c r="L2312" s="83">
        <f t="shared" si="363"/>
        <v>0</v>
      </c>
      <c r="M2312" s="110" t="str">
        <f t="shared" si="364"/>
        <v/>
      </c>
      <c r="N2312" s="51" t="str">
        <f t="shared" si="365"/>
        <v/>
      </c>
      <c r="O2312" s="52" t="str">
        <f t="shared" si="366"/>
        <v/>
      </c>
      <c r="P2312" s="88">
        <f t="shared" si="367"/>
        <v>0</v>
      </c>
      <c r="Q2312" s="88">
        <f t="shared" si="368"/>
        <v>0</v>
      </c>
      <c r="R2312" s="88" t="e">
        <f>-IF(Tabla14[[#This Row],[DIAS HABILES O MORA]]&lt;0,(Tabla14[[#This Row],[VALOR PRESTAMO]]*Tabla14[[#This Row],[% INTERES ]]/30*U2312))+Tabla14[[#This Row],[VALOR CUOTAS]]</f>
        <v>#VALUE!</v>
      </c>
      <c r="S2312" s="88">
        <f>-IF(Tabla14[[#This Row],[DIAS HABILES O MORA]]&lt;0,(Tabla14[[#This Row],[VALOR PRESTAMO]]*Tabla14[[#This Row],[% INTERES ]]/30*U2312))</f>
        <v>0</v>
      </c>
      <c r="T2312" s="53" t="e">
        <f>Tabla14[[#This Row],[DEUDA CAPITAL]]+Tabla14[[#This Row],[INTERES  CUOTA]]</f>
        <v>#NUM!</v>
      </c>
      <c r="U2312" s="61" t="str">
        <f t="shared" si="369"/>
        <v/>
      </c>
    </row>
    <row r="2313" spans="9:21" ht="24.75" customHeight="1" x14ac:dyDescent="0.35">
      <c r="I2313" s="42">
        <f t="shared" si="360"/>
        <v>0</v>
      </c>
      <c r="J2313" s="65" t="e">
        <f t="shared" si="361"/>
        <v>#NUM!</v>
      </c>
      <c r="K2313" s="83" t="e">
        <f t="shared" si="362"/>
        <v>#NUM!</v>
      </c>
      <c r="L2313" s="83">
        <f t="shared" si="363"/>
        <v>0</v>
      </c>
      <c r="M2313" s="110" t="str">
        <f t="shared" si="364"/>
        <v/>
      </c>
      <c r="N2313" s="51" t="str">
        <f t="shared" si="365"/>
        <v/>
      </c>
      <c r="O2313" s="52" t="str">
        <f t="shared" si="366"/>
        <v/>
      </c>
      <c r="P2313" s="88">
        <f t="shared" si="367"/>
        <v>0</v>
      </c>
      <c r="Q2313" s="88">
        <f t="shared" si="368"/>
        <v>0</v>
      </c>
      <c r="R2313" s="88" t="e">
        <f>-IF(Tabla14[[#This Row],[DIAS HABILES O MORA]]&lt;0,(Tabla14[[#This Row],[VALOR PRESTAMO]]*Tabla14[[#This Row],[% INTERES ]]/30*U2313))+Tabla14[[#This Row],[VALOR CUOTAS]]</f>
        <v>#VALUE!</v>
      </c>
      <c r="S2313" s="88">
        <f>-IF(Tabla14[[#This Row],[DIAS HABILES O MORA]]&lt;0,(Tabla14[[#This Row],[VALOR PRESTAMO]]*Tabla14[[#This Row],[% INTERES ]]/30*U2313))</f>
        <v>0</v>
      </c>
      <c r="T2313" s="53" t="e">
        <f>Tabla14[[#This Row],[DEUDA CAPITAL]]+Tabla14[[#This Row],[INTERES  CUOTA]]</f>
        <v>#NUM!</v>
      </c>
      <c r="U2313" s="61" t="str">
        <f t="shared" si="369"/>
        <v/>
      </c>
    </row>
    <row r="2314" spans="9:21" ht="24.75" customHeight="1" x14ac:dyDescent="0.35">
      <c r="I2314" s="42">
        <f t="shared" si="360"/>
        <v>0</v>
      </c>
      <c r="J2314" s="65" t="e">
        <f t="shared" si="361"/>
        <v>#NUM!</v>
      </c>
      <c r="K2314" s="83" t="e">
        <f t="shared" si="362"/>
        <v>#NUM!</v>
      </c>
      <c r="L2314" s="83">
        <f t="shared" si="363"/>
        <v>0</v>
      </c>
      <c r="M2314" s="110" t="str">
        <f t="shared" si="364"/>
        <v/>
      </c>
      <c r="N2314" s="51" t="str">
        <f t="shared" si="365"/>
        <v/>
      </c>
      <c r="O2314" s="52" t="str">
        <f t="shared" si="366"/>
        <v/>
      </c>
      <c r="P2314" s="88">
        <f t="shared" si="367"/>
        <v>0</v>
      </c>
      <c r="Q2314" s="88">
        <f t="shared" si="368"/>
        <v>0</v>
      </c>
      <c r="R2314" s="88" t="e">
        <f>-IF(Tabla14[[#This Row],[DIAS HABILES O MORA]]&lt;0,(Tabla14[[#This Row],[VALOR PRESTAMO]]*Tabla14[[#This Row],[% INTERES ]]/30*U2314))+Tabla14[[#This Row],[VALOR CUOTAS]]</f>
        <v>#VALUE!</v>
      </c>
      <c r="S2314" s="88">
        <f>-IF(Tabla14[[#This Row],[DIAS HABILES O MORA]]&lt;0,(Tabla14[[#This Row],[VALOR PRESTAMO]]*Tabla14[[#This Row],[% INTERES ]]/30*U2314))</f>
        <v>0</v>
      </c>
      <c r="T2314" s="53" t="e">
        <f>Tabla14[[#This Row],[DEUDA CAPITAL]]+Tabla14[[#This Row],[INTERES  CUOTA]]</f>
        <v>#NUM!</v>
      </c>
      <c r="U2314" s="61" t="str">
        <f t="shared" si="369"/>
        <v/>
      </c>
    </row>
    <row r="2315" spans="9:21" ht="24.75" customHeight="1" x14ac:dyDescent="0.35">
      <c r="I2315" s="42">
        <f t="shared" si="360"/>
        <v>0</v>
      </c>
      <c r="J2315" s="65" t="e">
        <f t="shared" si="361"/>
        <v>#NUM!</v>
      </c>
      <c r="K2315" s="83" t="e">
        <f t="shared" si="362"/>
        <v>#NUM!</v>
      </c>
      <c r="L2315" s="83">
        <f t="shared" si="363"/>
        <v>0</v>
      </c>
      <c r="M2315" s="110" t="str">
        <f t="shared" si="364"/>
        <v/>
      </c>
      <c r="N2315" s="51" t="str">
        <f t="shared" si="365"/>
        <v/>
      </c>
      <c r="O2315" s="52" t="str">
        <f t="shared" si="366"/>
        <v/>
      </c>
      <c r="P2315" s="88">
        <f t="shared" si="367"/>
        <v>0</v>
      </c>
      <c r="Q2315" s="88">
        <f t="shared" si="368"/>
        <v>0</v>
      </c>
      <c r="R2315" s="88" t="e">
        <f>-IF(Tabla14[[#This Row],[DIAS HABILES O MORA]]&lt;0,(Tabla14[[#This Row],[VALOR PRESTAMO]]*Tabla14[[#This Row],[% INTERES ]]/30*U2315))+Tabla14[[#This Row],[VALOR CUOTAS]]</f>
        <v>#VALUE!</v>
      </c>
      <c r="S2315" s="88">
        <f>-IF(Tabla14[[#This Row],[DIAS HABILES O MORA]]&lt;0,(Tabla14[[#This Row],[VALOR PRESTAMO]]*Tabla14[[#This Row],[% INTERES ]]/30*U2315))</f>
        <v>0</v>
      </c>
      <c r="T2315" s="53" t="e">
        <f>Tabla14[[#This Row],[DEUDA CAPITAL]]+Tabla14[[#This Row],[INTERES  CUOTA]]</f>
        <v>#NUM!</v>
      </c>
      <c r="U2315" s="61" t="str">
        <f t="shared" si="369"/>
        <v/>
      </c>
    </row>
    <row r="2316" spans="9:21" ht="24.75" customHeight="1" x14ac:dyDescent="0.35">
      <c r="I2316" s="42">
        <f t="shared" si="360"/>
        <v>0</v>
      </c>
      <c r="J2316" s="65" t="e">
        <f t="shared" si="361"/>
        <v>#NUM!</v>
      </c>
      <c r="K2316" s="83" t="e">
        <f t="shared" si="362"/>
        <v>#NUM!</v>
      </c>
      <c r="L2316" s="83">
        <f t="shared" si="363"/>
        <v>0</v>
      </c>
      <c r="M2316" s="110" t="str">
        <f t="shared" si="364"/>
        <v/>
      </c>
      <c r="N2316" s="51" t="str">
        <f t="shared" si="365"/>
        <v/>
      </c>
      <c r="O2316" s="52" t="str">
        <f t="shared" si="366"/>
        <v/>
      </c>
      <c r="P2316" s="88">
        <f t="shared" si="367"/>
        <v>0</v>
      </c>
      <c r="Q2316" s="88">
        <f t="shared" si="368"/>
        <v>0</v>
      </c>
      <c r="R2316" s="88" t="e">
        <f>-IF(Tabla14[[#This Row],[DIAS HABILES O MORA]]&lt;0,(Tabla14[[#This Row],[VALOR PRESTAMO]]*Tabla14[[#This Row],[% INTERES ]]/30*U2316))+Tabla14[[#This Row],[VALOR CUOTAS]]</f>
        <v>#VALUE!</v>
      </c>
      <c r="S2316" s="88">
        <f>-IF(Tabla14[[#This Row],[DIAS HABILES O MORA]]&lt;0,(Tabla14[[#This Row],[VALOR PRESTAMO]]*Tabla14[[#This Row],[% INTERES ]]/30*U2316))</f>
        <v>0</v>
      </c>
      <c r="T2316" s="53" t="e">
        <f>Tabla14[[#This Row],[DEUDA CAPITAL]]+Tabla14[[#This Row],[INTERES  CUOTA]]</f>
        <v>#NUM!</v>
      </c>
      <c r="U2316" s="61" t="str">
        <f t="shared" si="369"/>
        <v/>
      </c>
    </row>
    <row r="2317" spans="9:21" ht="24.75" customHeight="1" x14ac:dyDescent="0.35">
      <c r="I2317" s="42">
        <f t="shared" si="360"/>
        <v>0</v>
      </c>
      <c r="J2317" s="65" t="e">
        <f t="shared" si="361"/>
        <v>#NUM!</v>
      </c>
      <c r="K2317" s="83" t="e">
        <f t="shared" si="362"/>
        <v>#NUM!</v>
      </c>
      <c r="L2317" s="83">
        <f t="shared" si="363"/>
        <v>0</v>
      </c>
      <c r="M2317" s="110" t="str">
        <f t="shared" si="364"/>
        <v/>
      </c>
      <c r="N2317" s="51" t="str">
        <f t="shared" si="365"/>
        <v/>
      </c>
      <c r="O2317" s="52" t="str">
        <f t="shared" si="366"/>
        <v/>
      </c>
      <c r="P2317" s="88">
        <f t="shared" si="367"/>
        <v>0</v>
      </c>
      <c r="Q2317" s="88">
        <f t="shared" si="368"/>
        <v>0</v>
      </c>
      <c r="R2317" s="88" t="e">
        <f>-IF(Tabla14[[#This Row],[DIAS HABILES O MORA]]&lt;0,(Tabla14[[#This Row],[VALOR PRESTAMO]]*Tabla14[[#This Row],[% INTERES ]]/30*U2317))+Tabla14[[#This Row],[VALOR CUOTAS]]</f>
        <v>#VALUE!</v>
      </c>
      <c r="S2317" s="88">
        <f>-IF(Tabla14[[#This Row],[DIAS HABILES O MORA]]&lt;0,(Tabla14[[#This Row],[VALOR PRESTAMO]]*Tabla14[[#This Row],[% INTERES ]]/30*U2317))</f>
        <v>0</v>
      </c>
      <c r="T2317" s="53" t="e">
        <f>Tabla14[[#This Row],[DEUDA CAPITAL]]+Tabla14[[#This Row],[INTERES  CUOTA]]</f>
        <v>#NUM!</v>
      </c>
      <c r="U2317" s="61" t="str">
        <f t="shared" si="369"/>
        <v/>
      </c>
    </row>
    <row r="2318" spans="9:21" ht="24.75" customHeight="1" x14ac:dyDescent="0.35">
      <c r="I2318" s="42">
        <f t="shared" si="360"/>
        <v>0</v>
      </c>
      <c r="J2318" s="65" t="e">
        <f t="shared" si="361"/>
        <v>#NUM!</v>
      </c>
      <c r="K2318" s="83" t="e">
        <f t="shared" si="362"/>
        <v>#NUM!</v>
      </c>
      <c r="L2318" s="83">
        <f t="shared" si="363"/>
        <v>0</v>
      </c>
      <c r="M2318" s="110" t="str">
        <f t="shared" si="364"/>
        <v/>
      </c>
      <c r="N2318" s="51" t="str">
        <f t="shared" si="365"/>
        <v/>
      </c>
      <c r="O2318" s="52" t="str">
        <f t="shared" si="366"/>
        <v/>
      </c>
      <c r="P2318" s="88">
        <f t="shared" si="367"/>
        <v>0</v>
      </c>
      <c r="Q2318" s="88">
        <f t="shared" si="368"/>
        <v>0</v>
      </c>
      <c r="R2318" s="88" t="e">
        <f>-IF(Tabla14[[#This Row],[DIAS HABILES O MORA]]&lt;0,(Tabla14[[#This Row],[VALOR PRESTAMO]]*Tabla14[[#This Row],[% INTERES ]]/30*U2318))+Tabla14[[#This Row],[VALOR CUOTAS]]</f>
        <v>#VALUE!</v>
      </c>
      <c r="S2318" s="88">
        <f>-IF(Tabla14[[#This Row],[DIAS HABILES O MORA]]&lt;0,(Tabla14[[#This Row],[VALOR PRESTAMO]]*Tabla14[[#This Row],[% INTERES ]]/30*U2318))</f>
        <v>0</v>
      </c>
      <c r="T2318" s="53" t="e">
        <f>Tabla14[[#This Row],[DEUDA CAPITAL]]+Tabla14[[#This Row],[INTERES  CUOTA]]</f>
        <v>#NUM!</v>
      </c>
      <c r="U2318" s="61" t="str">
        <f t="shared" si="369"/>
        <v/>
      </c>
    </row>
    <row r="2319" spans="9:21" ht="24.75" customHeight="1" x14ac:dyDescent="0.35">
      <c r="I2319" s="42">
        <f t="shared" si="360"/>
        <v>0</v>
      </c>
      <c r="J2319" s="65" t="e">
        <f t="shared" si="361"/>
        <v>#NUM!</v>
      </c>
      <c r="K2319" s="83" t="e">
        <f t="shared" si="362"/>
        <v>#NUM!</v>
      </c>
      <c r="L2319" s="83">
        <f t="shared" si="363"/>
        <v>0</v>
      </c>
      <c r="M2319" s="110" t="str">
        <f t="shared" si="364"/>
        <v/>
      </c>
      <c r="N2319" s="51" t="str">
        <f t="shared" si="365"/>
        <v/>
      </c>
      <c r="O2319" s="52" t="str">
        <f t="shared" si="366"/>
        <v/>
      </c>
      <c r="P2319" s="88">
        <f t="shared" si="367"/>
        <v>0</v>
      </c>
      <c r="Q2319" s="88">
        <f t="shared" si="368"/>
        <v>0</v>
      </c>
      <c r="R2319" s="88" t="e">
        <f>-IF(Tabla14[[#This Row],[DIAS HABILES O MORA]]&lt;0,(Tabla14[[#This Row],[VALOR PRESTAMO]]*Tabla14[[#This Row],[% INTERES ]]/30*U2319))+Tabla14[[#This Row],[VALOR CUOTAS]]</f>
        <v>#VALUE!</v>
      </c>
      <c r="S2319" s="88">
        <f>-IF(Tabla14[[#This Row],[DIAS HABILES O MORA]]&lt;0,(Tabla14[[#This Row],[VALOR PRESTAMO]]*Tabla14[[#This Row],[% INTERES ]]/30*U2319))</f>
        <v>0</v>
      </c>
      <c r="T2319" s="53" t="e">
        <f>Tabla14[[#This Row],[DEUDA CAPITAL]]+Tabla14[[#This Row],[INTERES  CUOTA]]</f>
        <v>#NUM!</v>
      </c>
      <c r="U2319" s="61" t="str">
        <f t="shared" si="369"/>
        <v/>
      </c>
    </row>
    <row r="2320" spans="9:21" ht="24.75" customHeight="1" x14ac:dyDescent="0.35">
      <c r="I2320" s="42">
        <f t="shared" ref="I2320:I2383" si="370">IF(C2320&lt;0,"",IF(Q2320=0,0,IF(G2320=0,H2320+1,IF(H2320&lt;G2320,H2320+1,IF(G2320=H2320,0)))))</f>
        <v>0</v>
      </c>
      <c r="J2320" s="65" t="e">
        <f t="shared" ref="J2320:J2383" si="371">IF(F2320="SOLO INTERES",Q2320*D2320,-IPMT(D2320,I2320,G2320,C2320))</f>
        <v>#NUM!</v>
      </c>
      <c r="K2320" s="83" t="e">
        <f t="shared" ref="K2320:K2383" si="372">IF(F2320="SOLO INTERES",0,-PPMT(D2320,I2320,G2320,C2320))</f>
        <v>#NUM!</v>
      </c>
      <c r="L2320" s="83">
        <f t="shared" ref="L2320:L2383" si="373">IF(F2320="SOLO INTERES",SUM(Y2320:AAE2320),IFERROR(-CUMIPMT(D2320,G2320,C2320,1,H2320,0),0)+SUM(Y2320:WY2320))</f>
        <v>0</v>
      </c>
      <c r="M2320" s="110" t="str">
        <f t="shared" ref="M2320:M2383" si="374">IFERROR(IF(F2320="SOLO INTERES",Q2320*D2320,-PMT(D2320,G2320,C2320,0)),"")</f>
        <v/>
      </c>
      <c r="N2320" s="51" t="str">
        <f t="shared" ref="N2320:N2383" si="375">IF(Q2320=0,"",IF(E2320="MENSUAL",EDATE(B2320,I2320),IF(E2320="QUINCENAL",B2320+(I2320*15),IF(E2320="SEMANAL",B2320+(I2320*7)))))</f>
        <v/>
      </c>
      <c r="O2320" s="52" t="str">
        <f t="shared" ref="O2320:O2383" si="376">IF(C2320=0,"",IF(Q2320&lt;1,"PAGADO",IF(N2320=$A$3,"COBRAR HOY",IF(N2320&lt;$A$3,"EN MORA",IF(N2320&gt;$A$3,"AL DIA")))))</f>
        <v/>
      </c>
      <c r="P2320" s="88">
        <f t="shared" ref="P2320:P2383" si="377">IFERROR(-CUMPRINC(D2320,G2320,C2320,1,H2320,0),0)+W2320</f>
        <v>0</v>
      </c>
      <c r="Q2320" s="88">
        <f t="shared" ref="Q2320:Q2383" si="378">IFERROR(C2320-P2320,"")</f>
        <v>0</v>
      </c>
      <c r="R2320" s="88" t="e">
        <f>-IF(Tabla14[[#This Row],[DIAS HABILES O MORA]]&lt;0,(Tabla14[[#This Row],[VALOR PRESTAMO]]*Tabla14[[#This Row],[% INTERES ]]/30*U2320))+Tabla14[[#This Row],[VALOR CUOTAS]]</f>
        <v>#VALUE!</v>
      </c>
      <c r="S2320" s="88">
        <f>-IF(Tabla14[[#This Row],[DIAS HABILES O MORA]]&lt;0,(Tabla14[[#This Row],[VALOR PRESTAMO]]*Tabla14[[#This Row],[% INTERES ]]/30*U2320))</f>
        <v>0</v>
      </c>
      <c r="T2320" s="53" t="e">
        <f>Tabla14[[#This Row],[DEUDA CAPITAL]]+Tabla14[[#This Row],[INTERES  CUOTA]]</f>
        <v>#NUM!</v>
      </c>
      <c r="U2320" s="61" t="str">
        <f t="shared" ref="U2320:U2383" si="379">IF(O2320="PAGADO","",IFERROR(-IF(C2320=0,"",$A$3-N2320),""))</f>
        <v/>
      </c>
    </row>
    <row r="2321" spans="9:21" ht="24.75" customHeight="1" x14ac:dyDescent="0.35">
      <c r="I2321" s="42">
        <f t="shared" si="370"/>
        <v>0</v>
      </c>
      <c r="J2321" s="65" t="e">
        <f t="shared" si="371"/>
        <v>#NUM!</v>
      </c>
      <c r="K2321" s="83" t="e">
        <f t="shared" si="372"/>
        <v>#NUM!</v>
      </c>
      <c r="L2321" s="83">
        <f t="shared" si="373"/>
        <v>0</v>
      </c>
      <c r="M2321" s="110" t="str">
        <f t="shared" si="374"/>
        <v/>
      </c>
      <c r="N2321" s="51" t="str">
        <f t="shared" si="375"/>
        <v/>
      </c>
      <c r="O2321" s="52" t="str">
        <f t="shared" si="376"/>
        <v/>
      </c>
      <c r="P2321" s="88">
        <f t="shared" si="377"/>
        <v>0</v>
      </c>
      <c r="Q2321" s="88">
        <f t="shared" si="378"/>
        <v>0</v>
      </c>
      <c r="R2321" s="88" t="e">
        <f>-IF(Tabla14[[#This Row],[DIAS HABILES O MORA]]&lt;0,(Tabla14[[#This Row],[VALOR PRESTAMO]]*Tabla14[[#This Row],[% INTERES ]]/30*U2321))+Tabla14[[#This Row],[VALOR CUOTAS]]</f>
        <v>#VALUE!</v>
      </c>
      <c r="S2321" s="88">
        <f>-IF(Tabla14[[#This Row],[DIAS HABILES O MORA]]&lt;0,(Tabla14[[#This Row],[VALOR PRESTAMO]]*Tabla14[[#This Row],[% INTERES ]]/30*U2321))</f>
        <v>0</v>
      </c>
      <c r="T2321" s="53" t="e">
        <f>Tabla14[[#This Row],[DEUDA CAPITAL]]+Tabla14[[#This Row],[INTERES  CUOTA]]</f>
        <v>#NUM!</v>
      </c>
      <c r="U2321" s="61" t="str">
        <f t="shared" si="379"/>
        <v/>
      </c>
    </row>
    <row r="2322" spans="9:21" ht="24.75" customHeight="1" x14ac:dyDescent="0.35">
      <c r="I2322" s="42">
        <f t="shared" si="370"/>
        <v>0</v>
      </c>
      <c r="J2322" s="65" t="e">
        <f t="shared" si="371"/>
        <v>#NUM!</v>
      </c>
      <c r="K2322" s="83" t="e">
        <f t="shared" si="372"/>
        <v>#NUM!</v>
      </c>
      <c r="L2322" s="83">
        <f t="shared" si="373"/>
        <v>0</v>
      </c>
      <c r="M2322" s="110" t="str">
        <f t="shared" si="374"/>
        <v/>
      </c>
      <c r="N2322" s="51" t="str">
        <f t="shared" si="375"/>
        <v/>
      </c>
      <c r="O2322" s="52" t="str">
        <f t="shared" si="376"/>
        <v/>
      </c>
      <c r="P2322" s="88">
        <f t="shared" si="377"/>
        <v>0</v>
      </c>
      <c r="Q2322" s="88">
        <f t="shared" si="378"/>
        <v>0</v>
      </c>
      <c r="R2322" s="88" t="e">
        <f>-IF(Tabla14[[#This Row],[DIAS HABILES O MORA]]&lt;0,(Tabla14[[#This Row],[VALOR PRESTAMO]]*Tabla14[[#This Row],[% INTERES ]]/30*U2322))+Tabla14[[#This Row],[VALOR CUOTAS]]</f>
        <v>#VALUE!</v>
      </c>
      <c r="S2322" s="88">
        <f>-IF(Tabla14[[#This Row],[DIAS HABILES O MORA]]&lt;0,(Tabla14[[#This Row],[VALOR PRESTAMO]]*Tabla14[[#This Row],[% INTERES ]]/30*U2322))</f>
        <v>0</v>
      </c>
      <c r="T2322" s="53" t="e">
        <f>Tabla14[[#This Row],[DEUDA CAPITAL]]+Tabla14[[#This Row],[INTERES  CUOTA]]</f>
        <v>#NUM!</v>
      </c>
      <c r="U2322" s="61" t="str">
        <f t="shared" si="379"/>
        <v/>
      </c>
    </row>
    <row r="2323" spans="9:21" ht="24.75" customHeight="1" x14ac:dyDescent="0.35">
      <c r="I2323" s="42">
        <f t="shared" si="370"/>
        <v>0</v>
      </c>
      <c r="J2323" s="65" t="e">
        <f t="shared" si="371"/>
        <v>#NUM!</v>
      </c>
      <c r="K2323" s="83" t="e">
        <f t="shared" si="372"/>
        <v>#NUM!</v>
      </c>
      <c r="L2323" s="83">
        <f t="shared" si="373"/>
        <v>0</v>
      </c>
      <c r="M2323" s="110" t="str">
        <f t="shared" si="374"/>
        <v/>
      </c>
      <c r="N2323" s="51" t="str">
        <f t="shared" si="375"/>
        <v/>
      </c>
      <c r="O2323" s="52" t="str">
        <f t="shared" si="376"/>
        <v/>
      </c>
      <c r="P2323" s="88">
        <f t="shared" si="377"/>
        <v>0</v>
      </c>
      <c r="Q2323" s="88">
        <f t="shared" si="378"/>
        <v>0</v>
      </c>
      <c r="R2323" s="88" t="e">
        <f>-IF(Tabla14[[#This Row],[DIAS HABILES O MORA]]&lt;0,(Tabla14[[#This Row],[VALOR PRESTAMO]]*Tabla14[[#This Row],[% INTERES ]]/30*U2323))+Tabla14[[#This Row],[VALOR CUOTAS]]</f>
        <v>#VALUE!</v>
      </c>
      <c r="S2323" s="88">
        <f>-IF(Tabla14[[#This Row],[DIAS HABILES O MORA]]&lt;0,(Tabla14[[#This Row],[VALOR PRESTAMO]]*Tabla14[[#This Row],[% INTERES ]]/30*U2323))</f>
        <v>0</v>
      </c>
      <c r="T2323" s="53" t="e">
        <f>Tabla14[[#This Row],[DEUDA CAPITAL]]+Tabla14[[#This Row],[INTERES  CUOTA]]</f>
        <v>#NUM!</v>
      </c>
      <c r="U2323" s="61" t="str">
        <f t="shared" si="379"/>
        <v/>
      </c>
    </row>
    <row r="2324" spans="9:21" ht="24.75" customHeight="1" x14ac:dyDescent="0.35">
      <c r="I2324" s="42">
        <f t="shared" si="370"/>
        <v>0</v>
      </c>
      <c r="J2324" s="65" t="e">
        <f t="shared" si="371"/>
        <v>#NUM!</v>
      </c>
      <c r="K2324" s="83" t="e">
        <f t="shared" si="372"/>
        <v>#NUM!</v>
      </c>
      <c r="L2324" s="83">
        <f t="shared" si="373"/>
        <v>0</v>
      </c>
      <c r="M2324" s="110" t="str">
        <f t="shared" si="374"/>
        <v/>
      </c>
      <c r="N2324" s="51" t="str">
        <f t="shared" si="375"/>
        <v/>
      </c>
      <c r="O2324" s="52" t="str">
        <f t="shared" si="376"/>
        <v/>
      </c>
      <c r="P2324" s="88">
        <f t="shared" si="377"/>
        <v>0</v>
      </c>
      <c r="Q2324" s="88">
        <f t="shared" si="378"/>
        <v>0</v>
      </c>
      <c r="R2324" s="88" t="e">
        <f>-IF(Tabla14[[#This Row],[DIAS HABILES O MORA]]&lt;0,(Tabla14[[#This Row],[VALOR PRESTAMO]]*Tabla14[[#This Row],[% INTERES ]]/30*U2324))+Tabla14[[#This Row],[VALOR CUOTAS]]</f>
        <v>#VALUE!</v>
      </c>
      <c r="S2324" s="88">
        <f>-IF(Tabla14[[#This Row],[DIAS HABILES O MORA]]&lt;0,(Tabla14[[#This Row],[VALOR PRESTAMO]]*Tabla14[[#This Row],[% INTERES ]]/30*U2324))</f>
        <v>0</v>
      </c>
      <c r="T2324" s="53" t="e">
        <f>Tabla14[[#This Row],[DEUDA CAPITAL]]+Tabla14[[#This Row],[INTERES  CUOTA]]</f>
        <v>#NUM!</v>
      </c>
      <c r="U2324" s="61" t="str">
        <f t="shared" si="379"/>
        <v/>
      </c>
    </row>
    <row r="2325" spans="9:21" ht="24.75" customHeight="1" x14ac:dyDescent="0.35">
      <c r="I2325" s="42">
        <f t="shared" si="370"/>
        <v>0</v>
      </c>
      <c r="J2325" s="65" t="e">
        <f t="shared" si="371"/>
        <v>#NUM!</v>
      </c>
      <c r="K2325" s="83" t="e">
        <f t="shared" si="372"/>
        <v>#NUM!</v>
      </c>
      <c r="L2325" s="83">
        <f t="shared" si="373"/>
        <v>0</v>
      </c>
      <c r="M2325" s="110" t="str">
        <f t="shared" si="374"/>
        <v/>
      </c>
      <c r="N2325" s="51" t="str">
        <f t="shared" si="375"/>
        <v/>
      </c>
      <c r="O2325" s="52" t="str">
        <f t="shared" si="376"/>
        <v/>
      </c>
      <c r="P2325" s="88">
        <f t="shared" si="377"/>
        <v>0</v>
      </c>
      <c r="Q2325" s="88">
        <f t="shared" si="378"/>
        <v>0</v>
      </c>
      <c r="R2325" s="88" t="e">
        <f>-IF(Tabla14[[#This Row],[DIAS HABILES O MORA]]&lt;0,(Tabla14[[#This Row],[VALOR PRESTAMO]]*Tabla14[[#This Row],[% INTERES ]]/30*U2325))+Tabla14[[#This Row],[VALOR CUOTAS]]</f>
        <v>#VALUE!</v>
      </c>
      <c r="S2325" s="88">
        <f>-IF(Tabla14[[#This Row],[DIAS HABILES O MORA]]&lt;0,(Tabla14[[#This Row],[VALOR PRESTAMO]]*Tabla14[[#This Row],[% INTERES ]]/30*U2325))</f>
        <v>0</v>
      </c>
      <c r="T2325" s="53" t="e">
        <f>Tabla14[[#This Row],[DEUDA CAPITAL]]+Tabla14[[#This Row],[INTERES  CUOTA]]</f>
        <v>#NUM!</v>
      </c>
      <c r="U2325" s="61" t="str">
        <f t="shared" si="379"/>
        <v/>
      </c>
    </row>
    <row r="2326" spans="9:21" ht="24.75" customHeight="1" x14ac:dyDescent="0.35">
      <c r="I2326" s="42">
        <f t="shared" si="370"/>
        <v>0</v>
      </c>
      <c r="J2326" s="65" t="e">
        <f t="shared" si="371"/>
        <v>#NUM!</v>
      </c>
      <c r="K2326" s="83" t="e">
        <f t="shared" si="372"/>
        <v>#NUM!</v>
      </c>
      <c r="L2326" s="83">
        <f t="shared" si="373"/>
        <v>0</v>
      </c>
      <c r="M2326" s="110" t="str">
        <f t="shared" si="374"/>
        <v/>
      </c>
      <c r="N2326" s="51" t="str">
        <f t="shared" si="375"/>
        <v/>
      </c>
      <c r="O2326" s="52" t="str">
        <f t="shared" si="376"/>
        <v/>
      </c>
      <c r="P2326" s="88">
        <f t="shared" si="377"/>
        <v>0</v>
      </c>
      <c r="Q2326" s="88">
        <f t="shared" si="378"/>
        <v>0</v>
      </c>
      <c r="R2326" s="88" t="e">
        <f>-IF(Tabla14[[#This Row],[DIAS HABILES O MORA]]&lt;0,(Tabla14[[#This Row],[VALOR PRESTAMO]]*Tabla14[[#This Row],[% INTERES ]]/30*U2326))+Tabla14[[#This Row],[VALOR CUOTAS]]</f>
        <v>#VALUE!</v>
      </c>
      <c r="S2326" s="88">
        <f>-IF(Tabla14[[#This Row],[DIAS HABILES O MORA]]&lt;0,(Tabla14[[#This Row],[VALOR PRESTAMO]]*Tabla14[[#This Row],[% INTERES ]]/30*U2326))</f>
        <v>0</v>
      </c>
      <c r="T2326" s="53" t="e">
        <f>Tabla14[[#This Row],[DEUDA CAPITAL]]+Tabla14[[#This Row],[INTERES  CUOTA]]</f>
        <v>#NUM!</v>
      </c>
      <c r="U2326" s="61" t="str">
        <f t="shared" si="379"/>
        <v/>
      </c>
    </row>
    <row r="2327" spans="9:21" ht="24.75" customHeight="1" x14ac:dyDescent="0.35">
      <c r="I2327" s="42">
        <f t="shared" si="370"/>
        <v>0</v>
      </c>
      <c r="J2327" s="65" t="e">
        <f t="shared" si="371"/>
        <v>#NUM!</v>
      </c>
      <c r="K2327" s="83" t="e">
        <f t="shared" si="372"/>
        <v>#NUM!</v>
      </c>
      <c r="L2327" s="83">
        <f t="shared" si="373"/>
        <v>0</v>
      </c>
      <c r="M2327" s="110" t="str">
        <f t="shared" si="374"/>
        <v/>
      </c>
      <c r="N2327" s="51" t="str">
        <f t="shared" si="375"/>
        <v/>
      </c>
      <c r="O2327" s="52" t="str">
        <f t="shared" si="376"/>
        <v/>
      </c>
      <c r="P2327" s="88">
        <f t="shared" si="377"/>
        <v>0</v>
      </c>
      <c r="Q2327" s="88">
        <f t="shared" si="378"/>
        <v>0</v>
      </c>
      <c r="R2327" s="88" t="e">
        <f>-IF(Tabla14[[#This Row],[DIAS HABILES O MORA]]&lt;0,(Tabla14[[#This Row],[VALOR PRESTAMO]]*Tabla14[[#This Row],[% INTERES ]]/30*U2327))+Tabla14[[#This Row],[VALOR CUOTAS]]</f>
        <v>#VALUE!</v>
      </c>
      <c r="S2327" s="88">
        <f>-IF(Tabla14[[#This Row],[DIAS HABILES O MORA]]&lt;0,(Tabla14[[#This Row],[VALOR PRESTAMO]]*Tabla14[[#This Row],[% INTERES ]]/30*U2327))</f>
        <v>0</v>
      </c>
      <c r="T2327" s="53" t="e">
        <f>Tabla14[[#This Row],[DEUDA CAPITAL]]+Tabla14[[#This Row],[INTERES  CUOTA]]</f>
        <v>#NUM!</v>
      </c>
      <c r="U2327" s="61" t="str">
        <f t="shared" si="379"/>
        <v/>
      </c>
    </row>
    <row r="2328" spans="9:21" ht="24.75" customHeight="1" x14ac:dyDescent="0.35">
      <c r="I2328" s="42">
        <f t="shared" si="370"/>
        <v>0</v>
      </c>
      <c r="J2328" s="65" t="e">
        <f t="shared" si="371"/>
        <v>#NUM!</v>
      </c>
      <c r="K2328" s="83" t="e">
        <f t="shared" si="372"/>
        <v>#NUM!</v>
      </c>
      <c r="L2328" s="83">
        <f t="shared" si="373"/>
        <v>0</v>
      </c>
      <c r="M2328" s="110" t="str">
        <f t="shared" si="374"/>
        <v/>
      </c>
      <c r="N2328" s="51" t="str">
        <f t="shared" si="375"/>
        <v/>
      </c>
      <c r="O2328" s="52" t="str">
        <f t="shared" si="376"/>
        <v/>
      </c>
      <c r="P2328" s="88">
        <f t="shared" si="377"/>
        <v>0</v>
      </c>
      <c r="Q2328" s="88">
        <f t="shared" si="378"/>
        <v>0</v>
      </c>
      <c r="R2328" s="88" t="e">
        <f>-IF(Tabla14[[#This Row],[DIAS HABILES O MORA]]&lt;0,(Tabla14[[#This Row],[VALOR PRESTAMO]]*Tabla14[[#This Row],[% INTERES ]]/30*U2328))+Tabla14[[#This Row],[VALOR CUOTAS]]</f>
        <v>#VALUE!</v>
      </c>
      <c r="S2328" s="88">
        <f>-IF(Tabla14[[#This Row],[DIAS HABILES O MORA]]&lt;0,(Tabla14[[#This Row],[VALOR PRESTAMO]]*Tabla14[[#This Row],[% INTERES ]]/30*U2328))</f>
        <v>0</v>
      </c>
      <c r="T2328" s="53" t="e">
        <f>Tabla14[[#This Row],[DEUDA CAPITAL]]+Tabla14[[#This Row],[INTERES  CUOTA]]</f>
        <v>#NUM!</v>
      </c>
      <c r="U2328" s="61" t="str">
        <f t="shared" si="379"/>
        <v/>
      </c>
    </row>
    <row r="2329" spans="9:21" ht="24.75" customHeight="1" x14ac:dyDescent="0.35">
      <c r="I2329" s="42">
        <f t="shared" si="370"/>
        <v>0</v>
      </c>
      <c r="J2329" s="65" t="e">
        <f t="shared" si="371"/>
        <v>#NUM!</v>
      </c>
      <c r="K2329" s="83" t="e">
        <f t="shared" si="372"/>
        <v>#NUM!</v>
      </c>
      <c r="L2329" s="83">
        <f t="shared" si="373"/>
        <v>0</v>
      </c>
      <c r="M2329" s="110" t="str">
        <f t="shared" si="374"/>
        <v/>
      </c>
      <c r="N2329" s="51" t="str">
        <f t="shared" si="375"/>
        <v/>
      </c>
      <c r="O2329" s="52" t="str">
        <f t="shared" si="376"/>
        <v/>
      </c>
      <c r="P2329" s="88">
        <f t="shared" si="377"/>
        <v>0</v>
      </c>
      <c r="Q2329" s="88">
        <f t="shared" si="378"/>
        <v>0</v>
      </c>
      <c r="R2329" s="88" t="e">
        <f>-IF(Tabla14[[#This Row],[DIAS HABILES O MORA]]&lt;0,(Tabla14[[#This Row],[VALOR PRESTAMO]]*Tabla14[[#This Row],[% INTERES ]]/30*U2329))+Tabla14[[#This Row],[VALOR CUOTAS]]</f>
        <v>#VALUE!</v>
      </c>
      <c r="S2329" s="88">
        <f>-IF(Tabla14[[#This Row],[DIAS HABILES O MORA]]&lt;0,(Tabla14[[#This Row],[VALOR PRESTAMO]]*Tabla14[[#This Row],[% INTERES ]]/30*U2329))</f>
        <v>0</v>
      </c>
      <c r="T2329" s="53" t="e">
        <f>Tabla14[[#This Row],[DEUDA CAPITAL]]+Tabla14[[#This Row],[INTERES  CUOTA]]</f>
        <v>#NUM!</v>
      </c>
      <c r="U2329" s="61" t="str">
        <f t="shared" si="379"/>
        <v/>
      </c>
    </row>
    <row r="2330" spans="9:21" ht="24.75" customHeight="1" x14ac:dyDescent="0.35">
      <c r="I2330" s="42">
        <f t="shared" si="370"/>
        <v>0</v>
      </c>
      <c r="J2330" s="65" t="e">
        <f t="shared" si="371"/>
        <v>#NUM!</v>
      </c>
      <c r="K2330" s="83" t="e">
        <f t="shared" si="372"/>
        <v>#NUM!</v>
      </c>
      <c r="L2330" s="83">
        <f t="shared" si="373"/>
        <v>0</v>
      </c>
      <c r="M2330" s="110" t="str">
        <f t="shared" si="374"/>
        <v/>
      </c>
      <c r="N2330" s="51" t="str">
        <f t="shared" si="375"/>
        <v/>
      </c>
      <c r="O2330" s="52" t="str">
        <f t="shared" si="376"/>
        <v/>
      </c>
      <c r="P2330" s="88">
        <f t="shared" si="377"/>
        <v>0</v>
      </c>
      <c r="Q2330" s="88">
        <f t="shared" si="378"/>
        <v>0</v>
      </c>
      <c r="R2330" s="88" t="e">
        <f>-IF(Tabla14[[#This Row],[DIAS HABILES O MORA]]&lt;0,(Tabla14[[#This Row],[VALOR PRESTAMO]]*Tabla14[[#This Row],[% INTERES ]]/30*U2330))+Tabla14[[#This Row],[VALOR CUOTAS]]</f>
        <v>#VALUE!</v>
      </c>
      <c r="S2330" s="88">
        <f>-IF(Tabla14[[#This Row],[DIAS HABILES O MORA]]&lt;0,(Tabla14[[#This Row],[VALOR PRESTAMO]]*Tabla14[[#This Row],[% INTERES ]]/30*U2330))</f>
        <v>0</v>
      </c>
      <c r="T2330" s="53" t="e">
        <f>Tabla14[[#This Row],[DEUDA CAPITAL]]+Tabla14[[#This Row],[INTERES  CUOTA]]</f>
        <v>#NUM!</v>
      </c>
      <c r="U2330" s="61" t="str">
        <f t="shared" si="379"/>
        <v/>
      </c>
    </row>
    <row r="2331" spans="9:21" ht="24.75" customHeight="1" x14ac:dyDescent="0.35">
      <c r="I2331" s="42">
        <f t="shared" si="370"/>
        <v>0</v>
      </c>
      <c r="J2331" s="65" t="e">
        <f t="shared" si="371"/>
        <v>#NUM!</v>
      </c>
      <c r="K2331" s="83" t="e">
        <f t="shared" si="372"/>
        <v>#NUM!</v>
      </c>
      <c r="L2331" s="83">
        <f t="shared" si="373"/>
        <v>0</v>
      </c>
      <c r="M2331" s="110" t="str">
        <f t="shared" si="374"/>
        <v/>
      </c>
      <c r="N2331" s="51" t="str">
        <f t="shared" si="375"/>
        <v/>
      </c>
      <c r="O2331" s="52" t="str">
        <f t="shared" si="376"/>
        <v/>
      </c>
      <c r="P2331" s="88">
        <f t="shared" si="377"/>
        <v>0</v>
      </c>
      <c r="Q2331" s="88">
        <f t="shared" si="378"/>
        <v>0</v>
      </c>
      <c r="R2331" s="88" t="e">
        <f>-IF(Tabla14[[#This Row],[DIAS HABILES O MORA]]&lt;0,(Tabla14[[#This Row],[VALOR PRESTAMO]]*Tabla14[[#This Row],[% INTERES ]]/30*U2331))+Tabla14[[#This Row],[VALOR CUOTAS]]</f>
        <v>#VALUE!</v>
      </c>
      <c r="S2331" s="88">
        <f>-IF(Tabla14[[#This Row],[DIAS HABILES O MORA]]&lt;0,(Tabla14[[#This Row],[VALOR PRESTAMO]]*Tabla14[[#This Row],[% INTERES ]]/30*U2331))</f>
        <v>0</v>
      </c>
      <c r="T2331" s="53" t="e">
        <f>Tabla14[[#This Row],[DEUDA CAPITAL]]+Tabla14[[#This Row],[INTERES  CUOTA]]</f>
        <v>#NUM!</v>
      </c>
      <c r="U2331" s="61" t="str">
        <f t="shared" si="379"/>
        <v/>
      </c>
    </row>
    <row r="2332" spans="9:21" ht="24.75" customHeight="1" x14ac:dyDescent="0.35">
      <c r="I2332" s="42">
        <f t="shared" si="370"/>
        <v>0</v>
      </c>
      <c r="J2332" s="65" t="e">
        <f t="shared" si="371"/>
        <v>#NUM!</v>
      </c>
      <c r="K2332" s="83" t="e">
        <f t="shared" si="372"/>
        <v>#NUM!</v>
      </c>
      <c r="L2332" s="83">
        <f t="shared" si="373"/>
        <v>0</v>
      </c>
      <c r="M2332" s="110" t="str">
        <f t="shared" si="374"/>
        <v/>
      </c>
      <c r="N2332" s="51" t="str">
        <f t="shared" si="375"/>
        <v/>
      </c>
      <c r="O2332" s="52" t="str">
        <f t="shared" si="376"/>
        <v/>
      </c>
      <c r="P2332" s="88">
        <f t="shared" si="377"/>
        <v>0</v>
      </c>
      <c r="Q2332" s="88">
        <f t="shared" si="378"/>
        <v>0</v>
      </c>
      <c r="R2332" s="88" t="e">
        <f>-IF(Tabla14[[#This Row],[DIAS HABILES O MORA]]&lt;0,(Tabla14[[#This Row],[VALOR PRESTAMO]]*Tabla14[[#This Row],[% INTERES ]]/30*U2332))+Tabla14[[#This Row],[VALOR CUOTAS]]</f>
        <v>#VALUE!</v>
      </c>
      <c r="S2332" s="88">
        <f>-IF(Tabla14[[#This Row],[DIAS HABILES O MORA]]&lt;0,(Tabla14[[#This Row],[VALOR PRESTAMO]]*Tabla14[[#This Row],[% INTERES ]]/30*U2332))</f>
        <v>0</v>
      </c>
      <c r="T2332" s="53" t="e">
        <f>Tabla14[[#This Row],[DEUDA CAPITAL]]+Tabla14[[#This Row],[INTERES  CUOTA]]</f>
        <v>#NUM!</v>
      </c>
      <c r="U2332" s="61" t="str">
        <f t="shared" si="379"/>
        <v/>
      </c>
    </row>
    <row r="2333" spans="9:21" ht="24.75" customHeight="1" x14ac:dyDescent="0.35">
      <c r="I2333" s="42">
        <f t="shared" si="370"/>
        <v>0</v>
      </c>
      <c r="J2333" s="65" t="e">
        <f t="shared" si="371"/>
        <v>#NUM!</v>
      </c>
      <c r="K2333" s="83" t="e">
        <f t="shared" si="372"/>
        <v>#NUM!</v>
      </c>
      <c r="L2333" s="83">
        <f t="shared" si="373"/>
        <v>0</v>
      </c>
      <c r="M2333" s="110" t="str">
        <f t="shared" si="374"/>
        <v/>
      </c>
      <c r="N2333" s="51" t="str">
        <f t="shared" si="375"/>
        <v/>
      </c>
      <c r="O2333" s="52" t="str">
        <f t="shared" si="376"/>
        <v/>
      </c>
      <c r="P2333" s="88">
        <f t="shared" si="377"/>
        <v>0</v>
      </c>
      <c r="Q2333" s="88">
        <f t="shared" si="378"/>
        <v>0</v>
      </c>
      <c r="R2333" s="88" t="e">
        <f>-IF(Tabla14[[#This Row],[DIAS HABILES O MORA]]&lt;0,(Tabla14[[#This Row],[VALOR PRESTAMO]]*Tabla14[[#This Row],[% INTERES ]]/30*U2333))+Tabla14[[#This Row],[VALOR CUOTAS]]</f>
        <v>#VALUE!</v>
      </c>
      <c r="S2333" s="88">
        <f>-IF(Tabla14[[#This Row],[DIAS HABILES O MORA]]&lt;0,(Tabla14[[#This Row],[VALOR PRESTAMO]]*Tabla14[[#This Row],[% INTERES ]]/30*U2333))</f>
        <v>0</v>
      </c>
      <c r="T2333" s="53" t="e">
        <f>Tabla14[[#This Row],[DEUDA CAPITAL]]+Tabla14[[#This Row],[INTERES  CUOTA]]</f>
        <v>#NUM!</v>
      </c>
      <c r="U2333" s="61" t="str">
        <f t="shared" si="379"/>
        <v/>
      </c>
    </row>
    <row r="2334" spans="9:21" ht="24.75" customHeight="1" x14ac:dyDescent="0.35">
      <c r="I2334" s="42">
        <f t="shared" si="370"/>
        <v>0</v>
      </c>
      <c r="J2334" s="65" t="e">
        <f t="shared" si="371"/>
        <v>#NUM!</v>
      </c>
      <c r="K2334" s="83" t="e">
        <f t="shared" si="372"/>
        <v>#NUM!</v>
      </c>
      <c r="L2334" s="83">
        <f t="shared" si="373"/>
        <v>0</v>
      </c>
      <c r="M2334" s="110" t="str">
        <f t="shared" si="374"/>
        <v/>
      </c>
      <c r="N2334" s="51" t="str">
        <f t="shared" si="375"/>
        <v/>
      </c>
      <c r="O2334" s="52" t="str">
        <f t="shared" si="376"/>
        <v/>
      </c>
      <c r="P2334" s="88">
        <f t="shared" si="377"/>
        <v>0</v>
      </c>
      <c r="Q2334" s="88">
        <f t="shared" si="378"/>
        <v>0</v>
      </c>
      <c r="R2334" s="88" t="e">
        <f>-IF(Tabla14[[#This Row],[DIAS HABILES O MORA]]&lt;0,(Tabla14[[#This Row],[VALOR PRESTAMO]]*Tabla14[[#This Row],[% INTERES ]]/30*U2334))+Tabla14[[#This Row],[VALOR CUOTAS]]</f>
        <v>#VALUE!</v>
      </c>
      <c r="S2334" s="88">
        <f>-IF(Tabla14[[#This Row],[DIAS HABILES O MORA]]&lt;0,(Tabla14[[#This Row],[VALOR PRESTAMO]]*Tabla14[[#This Row],[% INTERES ]]/30*U2334))</f>
        <v>0</v>
      </c>
      <c r="T2334" s="53" t="e">
        <f>Tabla14[[#This Row],[DEUDA CAPITAL]]+Tabla14[[#This Row],[INTERES  CUOTA]]</f>
        <v>#NUM!</v>
      </c>
      <c r="U2334" s="61" t="str">
        <f t="shared" si="379"/>
        <v/>
      </c>
    </row>
    <row r="2335" spans="9:21" ht="24.75" customHeight="1" x14ac:dyDescent="0.35">
      <c r="I2335" s="42">
        <f t="shared" si="370"/>
        <v>0</v>
      </c>
      <c r="J2335" s="65" t="e">
        <f t="shared" si="371"/>
        <v>#NUM!</v>
      </c>
      <c r="K2335" s="83" t="e">
        <f t="shared" si="372"/>
        <v>#NUM!</v>
      </c>
      <c r="L2335" s="83">
        <f t="shared" si="373"/>
        <v>0</v>
      </c>
      <c r="M2335" s="110" t="str">
        <f t="shared" si="374"/>
        <v/>
      </c>
      <c r="N2335" s="51" t="str">
        <f t="shared" si="375"/>
        <v/>
      </c>
      <c r="O2335" s="52" t="str">
        <f t="shared" si="376"/>
        <v/>
      </c>
      <c r="P2335" s="88">
        <f t="shared" si="377"/>
        <v>0</v>
      </c>
      <c r="Q2335" s="88">
        <f t="shared" si="378"/>
        <v>0</v>
      </c>
      <c r="R2335" s="88" t="e">
        <f>-IF(Tabla14[[#This Row],[DIAS HABILES O MORA]]&lt;0,(Tabla14[[#This Row],[VALOR PRESTAMO]]*Tabla14[[#This Row],[% INTERES ]]/30*U2335))+Tabla14[[#This Row],[VALOR CUOTAS]]</f>
        <v>#VALUE!</v>
      </c>
      <c r="S2335" s="88">
        <f>-IF(Tabla14[[#This Row],[DIAS HABILES O MORA]]&lt;0,(Tabla14[[#This Row],[VALOR PRESTAMO]]*Tabla14[[#This Row],[% INTERES ]]/30*U2335))</f>
        <v>0</v>
      </c>
      <c r="T2335" s="53" t="e">
        <f>Tabla14[[#This Row],[DEUDA CAPITAL]]+Tabla14[[#This Row],[INTERES  CUOTA]]</f>
        <v>#NUM!</v>
      </c>
      <c r="U2335" s="61" t="str">
        <f t="shared" si="379"/>
        <v/>
      </c>
    </row>
    <row r="2336" spans="9:21" ht="24.75" customHeight="1" x14ac:dyDescent="0.35">
      <c r="I2336" s="42">
        <f t="shared" si="370"/>
        <v>0</v>
      </c>
      <c r="J2336" s="65" t="e">
        <f t="shared" si="371"/>
        <v>#NUM!</v>
      </c>
      <c r="K2336" s="83" t="e">
        <f t="shared" si="372"/>
        <v>#NUM!</v>
      </c>
      <c r="L2336" s="83">
        <f t="shared" si="373"/>
        <v>0</v>
      </c>
      <c r="M2336" s="110" t="str">
        <f t="shared" si="374"/>
        <v/>
      </c>
      <c r="N2336" s="51" t="str">
        <f t="shared" si="375"/>
        <v/>
      </c>
      <c r="O2336" s="52" t="str">
        <f t="shared" si="376"/>
        <v/>
      </c>
      <c r="P2336" s="88">
        <f t="shared" si="377"/>
        <v>0</v>
      </c>
      <c r="Q2336" s="88">
        <f t="shared" si="378"/>
        <v>0</v>
      </c>
      <c r="R2336" s="88" t="e">
        <f>-IF(Tabla14[[#This Row],[DIAS HABILES O MORA]]&lt;0,(Tabla14[[#This Row],[VALOR PRESTAMO]]*Tabla14[[#This Row],[% INTERES ]]/30*U2336))+Tabla14[[#This Row],[VALOR CUOTAS]]</f>
        <v>#VALUE!</v>
      </c>
      <c r="S2336" s="88">
        <f>-IF(Tabla14[[#This Row],[DIAS HABILES O MORA]]&lt;0,(Tabla14[[#This Row],[VALOR PRESTAMO]]*Tabla14[[#This Row],[% INTERES ]]/30*U2336))</f>
        <v>0</v>
      </c>
      <c r="T2336" s="53" t="e">
        <f>Tabla14[[#This Row],[DEUDA CAPITAL]]+Tabla14[[#This Row],[INTERES  CUOTA]]</f>
        <v>#NUM!</v>
      </c>
      <c r="U2336" s="61" t="str">
        <f t="shared" si="379"/>
        <v/>
      </c>
    </row>
    <row r="2337" spans="9:21" ht="24.75" customHeight="1" x14ac:dyDescent="0.35">
      <c r="I2337" s="42">
        <f t="shared" si="370"/>
        <v>0</v>
      </c>
      <c r="J2337" s="65" t="e">
        <f t="shared" si="371"/>
        <v>#NUM!</v>
      </c>
      <c r="K2337" s="83" t="e">
        <f t="shared" si="372"/>
        <v>#NUM!</v>
      </c>
      <c r="L2337" s="83">
        <f t="shared" si="373"/>
        <v>0</v>
      </c>
      <c r="M2337" s="110" t="str">
        <f t="shared" si="374"/>
        <v/>
      </c>
      <c r="N2337" s="51" t="str">
        <f t="shared" si="375"/>
        <v/>
      </c>
      <c r="O2337" s="52" t="str">
        <f t="shared" si="376"/>
        <v/>
      </c>
      <c r="P2337" s="88">
        <f t="shared" si="377"/>
        <v>0</v>
      </c>
      <c r="Q2337" s="88">
        <f t="shared" si="378"/>
        <v>0</v>
      </c>
      <c r="R2337" s="88" t="e">
        <f>-IF(Tabla14[[#This Row],[DIAS HABILES O MORA]]&lt;0,(Tabla14[[#This Row],[VALOR PRESTAMO]]*Tabla14[[#This Row],[% INTERES ]]/30*U2337))+Tabla14[[#This Row],[VALOR CUOTAS]]</f>
        <v>#VALUE!</v>
      </c>
      <c r="S2337" s="88">
        <f>-IF(Tabla14[[#This Row],[DIAS HABILES O MORA]]&lt;0,(Tabla14[[#This Row],[VALOR PRESTAMO]]*Tabla14[[#This Row],[% INTERES ]]/30*U2337))</f>
        <v>0</v>
      </c>
      <c r="T2337" s="53" t="e">
        <f>Tabla14[[#This Row],[DEUDA CAPITAL]]+Tabla14[[#This Row],[INTERES  CUOTA]]</f>
        <v>#NUM!</v>
      </c>
      <c r="U2337" s="61" t="str">
        <f t="shared" si="379"/>
        <v/>
      </c>
    </row>
    <row r="2338" spans="9:21" ht="24.75" customHeight="1" x14ac:dyDescent="0.35">
      <c r="I2338" s="42">
        <f t="shared" si="370"/>
        <v>0</v>
      </c>
      <c r="J2338" s="65" t="e">
        <f t="shared" si="371"/>
        <v>#NUM!</v>
      </c>
      <c r="K2338" s="83" t="e">
        <f t="shared" si="372"/>
        <v>#NUM!</v>
      </c>
      <c r="L2338" s="83">
        <f t="shared" si="373"/>
        <v>0</v>
      </c>
      <c r="M2338" s="110" t="str">
        <f t="shared" si="374"/>
        <v/>
      </c>
      <c r="N2338" s="51" t="str">
        <f t="shared" si="375"/>
        <v/>
      </c>
      <c r="O2338" s="52" t="str">
        <f t="shared" si="376"/>
        <v/>
      </c>
      <c r="P2338" s="88">
        <f t="shared" si="377"/>
        <v>0</v>
      </c>
      <c r="Q2338" s="88">
        <f t="shared" si="378"/>
        <v>0</v>
      </c>
      <c r="R2338" s="88" t="e">
        <f>-IF(Tabla14[[#This Row],[DIAS HABILES O MORA]]&lt;0,(Tabla14[[#This Row],[VALOR PRESTAMO]]*Tabla14[[#This Row],[% INTERES ]]/30*U2338))+Tabla14[[#This Row],[VALOR CUOTAS]]</f>
        <v>#VALUE!</v>
      </c>
      <c r="S2338" s="88">
        <f>-IF(Tabla14[[#This Row],[DIAS HABILES O MORA]]&lt;0,(Tabla14[[#This Row],[VALOR PRESTAMO]]*Tabla14[[#This Row],[% INTERES ]]/30*U2338))</f>
        <v>0</v>
      </c>
      <c r="T2338" s="53" t="e">
        <f>Tabla14[[#This Row],[DEUDA CAPITAL]]+Tabla14[[#This Row],[INTERES  CUOTA]]</f>
        <v>#NUM!</v>
      </c>
      <c r="U2338" s="61" t="str">
        <f t="shared" si="379"/>
        <v/>
      </c>
    </row>
    <row r="2339" spans="9:21" ht="24.75" customHeight="1" x14ac:dyDescent="0.35">
      <c r="I2339" s="42">
        <f t="shared" si="370"/>
        <v>0</v>
      </c>
      <c r="J2339" s="65" t="e">
        <f t="shared" si="371"/>
        <v>#NUM!</v>
      </c>
      <c r="K2339" s="83" t="e">
        <f t="shared" si="372"/>
        <v>#NUM!</v>
      </c>
      <c r="L2339" s="83">
        <f t="shared" si="373"/>
        <v>0</v>
      </c>
      <c r="M2339" s="110" t="str">
        <f t="shared" si="374"/>
        <v/>
      </c>
      <c r="N2339" s="51" t="str">
        <f t="shared" si="375"/>
        <v/>
      </c>
      <c r="O2339" s="52" t="str">
        <f t="shared" si="376"/>
        <v/>
      </c>
      <c r="P2339" s="88">
        <f t="shared" si="377"/>
        <v>0</v>
      </c>
      <c r="Q2339" s="88">
        <f t="shared" si="378"/>
        <v>0</v>
      </c>
      <c r="R2339" s="88" t="e">
        <f>-IF(Tabla14[[#This Row],[DIAS HABILES O MORA]]&lt;0,(Tabla14[[#This Row],[VALOR PRESTAMO]]*Tabla14[[#This Row],[% INTERES ]]/30*U2339))+Tabla14[[#This Row],[VALOR CUOTAS]]</f>
        <v>#VALUE!</v>
      </c>
      <c r="S2339" s="88">
        <f>-IF(Tabla14[[#This Row],[DIAS HABILES O MORA]]&lt;0,(Tabla14[[#This Row],[VALOR PRESTAMO]]*Tabla14[[#This Row],[% INTERES ]]/30*U2339))</f>
        <v>0</v>
      </c>
      <c r="T2339" s="53" t="e">
        <f>Tabla14[[#This Row],[DEUDA CAPITAL]]+Tabla14[[#This Row],[INTERES  CUOTA]]</f>
        <v>#NUM!</v>
      </c>
      <c r="U2339" s="61" t="str">
        <f t="shared" si="379"/>
        <v/>
      </c>
    </row>
    <row r="2340" spans="9:21" ht="24.75" customHeight="1" x14ac:dyDescent="0.35">
      <c r="I2340" s="42">
        <f t="shared" si="370"/>
        <v>0</v>
      </c>
      <c r="J2340" s="65" t="e">
        <f t="shared" si="371"/>
        <v>#NUM!</v>
      </c>
      <c r="K2340" s="83" t="e">
        <f t="shared" si="372"/>
        <v>#NUM!</v>
      </c>
      <c r="L2340" s="83">
        <f t="shared" si="373"/>
        <v>0</v>
      </c>
      <c r="M2340" s="110" t="str">
        <f t="shared" si="374"/>
        <v/>
      </c>
      <c r="N2340" s="51" t="str">
        <f t="shared" si="375"/>
        <v/>
      </c>
      <c r="O2340" s="52" t="str">
        <f t="shared" si="376"/>
        <v/>
      </c>
      <c r="P2340" s="88">
        <f t="shared" si="377"/>
        <v>0</v>
      </c>
      <c r="Q2340" s="88">
        <f t="shared" si="378"/>
        <v>0</v>
      </c>
      <c r="R2340" s="88" t="e">
        <f>-IF(Tabla14[[#This Row],[DIAS HABILES O MORA]]&lt;0,(Tabla14[[#This Row],[VALOR PRESTAMO]]*Tabla14[[#This Row],[% INTERES ]]/30*U2340))+Tabla14[[#This Row],[VALOR CUOTAS]]</f>
        <v>#VALUE!</v>
      </c>
      <c r="S2340" s="88">
        <f>-IF(Tabla14[[#This Row],[DIAS HABILES O MORA]]&lt;0,(Tabla14[[#This Row],[VALOR PRESTAMO]]*Tabla14[[#This Row],[% INTERES ]]/30*U2340))</f>
        <v>0</v>
      </c>
      <c r="T2340" s="53" t="e">
        <f>Tabla14[[#This Row],[DEUDA CAPITAL]]+Tabla14[[#This Row],[INTERES  CUOTA]]</f>
        <v>#NUM!</v>
      </c>
      <c r="U2340" s="61" t="str">
        <f t="shared" si="379"/>
        <v/>
      </c>
    </row>
    <row r="2341" spans="9:21" ht="24.75" customHeight="1" x14ac:dyDescent="0.35">
      <c r="I2341" s="42">
        <f t="shared" si="370"/>
        <v>0</v>
      </c>
      <c r="J2341" s="65" t="e">
        <f t="shared" si="371"/>
        <v>#NUM!</v>
      </c>
      <c r="K2341" s="83" t="e">
        <f t="shared" si="372"/>
        <v>#NUM!</v>
      </c>
      <c r="L2341" s="83">
        <f t="shared" si="373"/>
        <v>0</v>
      </c>
      <c r="M2341" s="110" t="str">
        <f t="shared" si="374"/>
        <v/>
      </c>
      <c r="N2341" s="51" t="str">
        <f t="shared" si="375"/>
        <v/>
      </c>
      <c r="O2341" s="52" t="str">
        <f t="shared" si="376"/>
        <v/>
      </c>
      <c r="P2341" s="88">
        <f t="shared" si="377"/>
        <v>0</v>
      </c>
      <c r="Q2341" s="88">
        <f t="shared" si="378"/>
        <v>0</v>
      </c>
      <c r="R2341" s="88" t="e">
        <f>-IF(Tabla14[[#This Row],[DIAS HABILES O MORA]]&lt;0,(Tabla14[[#This Row],[VALOR PRESTAMO]]*Tabla14[[#This Row],[% INTERES ]]/30*U2341))+Tabla14[[#This Row],[VALOR CUOTAS]]</f>
        <v>#VALUE!</v>
      </c>
      <c r="S2341" s="88">
        <f>-IF(Tabla14[[#This Row],[DIAS HABILES O MORA]]&lt;0,(Tabla14[[#This Row],[VALOR PRESTAMO]]*Tabla14[[#This Row],[% INTERES ]]/30*U2341))</f>
        <v>0</v>
      </c>
      <c r="T2341" s="53" t="e">
        <f>Tabla14[[#This Row],[DEUDA CAPITAL]]+Tabla14[[#This Row],[INTERES  CUOTA]]</f>
        <v>#NUM!</v>
      </c>
      <c r="U2341" s="61" t="str">
        <f t="shared" si="379"/>
        <v/>
      </c>
    </row>
    <row r="2342" spans="9:21" ht="24.75" customHeight="1" x14ac:dyDescent="0.35">
      <c r="I2342" s="42">
        <f t="shared" si="370"/>
        <v>0</v>
      </c>
      <c r="J2342" s="65" t="e">
        <f t="shared" si="371"/>
        <v>#NUM!</v>
      </c>
      <c r="K2342" s="83" t="e">
        <f t="shared" si="372"/>
        <v>#NUM!</v>
      </c>
      <c r="L2342" s="83">
        <f t="shared" si="373"/>
        <v>0</v>
      </c>
      <c r="M2342" s="110" t="str">
        <f t="shared" si="374"/>
        <v/>
      </c>
      <c r="N2342" s="51" t="str">
        <f t="shared" si="375"/>
        <v/>
      </c>
      <c r="O2342" s="52" t="str">
        <f t="shared" si="376"/>
        <v/>
      </c>
      <c r="P2342" s="88">
        <f t="shared" si="377"/>
        <v>0</v>
      </c>
      <c r="Q2342" s="88">
        <f t="shared" si="378"/>
        <v>0</v>
      </c>
      <c r="R2342" s="88" t="e">
        <f>-IF(Tabla14[[#This Row],[DIAS HABILES O MORA]]&lt;0,(Tabla14[[#This Row],[VALOR PRESTAMO]]*Tabla14[[#This Row],[% INTERES ]]/30*U2342))+Tabla14[[#This Row],[VALOR CUOTAS]]</f>
        <v>#VALUE!</v>
      </c>
      <c r="S2342" s="88">
        <f>-IF(Tabla14[[#This Row],[DIAS HABILES O MORA]]&lt;0,(Tabla14[[#This Row],[VALOR PRESTAMO]]*Tabla14[[#This Row],[% INTERES ]]/30*U2342))</f>
        <v>0</v>
      </c>
      <c r="T2342" s="53" t="e">
        <f>Tabla14[[#This Row],[DEUDA CAPITAL]]+Tabla14[[#This Row],[INTERES  CUOTA]]</f>
        <v>#NUM!</v>
      </c>
      <c r="U2342" s="61" t="str">
        <f t="shared" si="379"/>
        <v/>
      </c>
    </row>
    <row r="2343" spans="9:21" ht="24.75" customHeight="1" x14ac:dyDescent="0.35">
      <c r="I2343" s="42">
        <f t="shared" si="370"/>
        <v>0</v>
      </c>
      <c r="J2343" s="65" t="e">
        <f t="shared" si="371"/>
        <v>#NUM!</v>
      </c>
      <c r="K2343" s="83" t="e">
        <f t="shared" si="372"/>
        <v>#NUM!</v>
      </c>
      <c r="L2343" s="83">
        <f t="shared" si="373"/>
        <v>0</v>
      </c>
      <c r="M2343" s="110" t="str">
        <f t="shared" si="374"/>
        <v/>
      </c>
      <c r="N2343" s="51" t="str">
        <f t="shared" si="375"/>
        <v/>
      </c>
      <c r="O2343" s="52" t="str">
        <f t="shared" si="376"/>
        <v/>
      </c>
      <c r="P2343" s="88">
        <f t="shared" si="377"/>
        <v>0</v>
      </c>
      <c r="Q2343" s="88">
        <f t="shared" si="378"/>
        <v>0</v>
      </c>
      <c r="R2343" s="88" t="e">
        <f>-IF(Tabla14[[#This Row],[DIAS HABILES O MORA]]&lt;0,(Tabla14[[#This Row],[VALOR PRESTAMO]]*Tabla14[[#This Row],[% INTERES ]]/30*U2343))+Tabla14[[#This Row],[VALOR CUOTAS]]</f>
        <v>#VALUE!</v>
      </c>
      <c r="S2343" s="88">
        <f>-IF(Tabla14[[#This Row],[DIAS HABILES O MORA]]&lt;0,(Tabla14[[#This Row],[VALOR PRESTAMO]]*Tabla14[[#This Row],[% INTERES ]]/30*U2343))</f>
        <v>0</v>
      </c>
      <c r="T2343" s="53" t="e">
        <f>Tabla14[[#This Row],[DEUDA CAPITAL]]+Tabla14[[#This Row],[INTERES  CUOTA]]</f>
        <v>#NUM!</v>
      </c>
      <c r="U2343" s="61" t="str">
        <f t="shared" si="379"/>
        <v/>
      </c>
    </row>
    <row r="2344" spans="9:21" ht="24.75" customHeight="1" x14ac:dyDescent="0.35">
      <c r="I2344" s="42">
        <f t="shared" si="370"/>
        <v>0</v>
      </c>
      <c r="J2344" s="65" t="e">
        <f t="shared" si="371"/>
        <v>#NUM!</v>
      </c>
      <c r="K2344" s="83" t="e">
        <f t="shared" si="372"/>
        <v>#NUM!</v>
      </c>
      <c r="L2344" s="83">
        <f t="shared" si="373"/>
        <v>0</v>
      </c>
      <c r="M2344" s="110" t="str">
        <f t="shared" si="374"/>
        <v/>
      </c>
      <c r="N2344" s="51" t="str">
        <f t="shared" si="375"/>
        <v/>
      </c>
      <c r="O2344" s="52" t="str">
        <f t="shared" si="376"/>
        <v/>
      </c>
      <c r="P2344" s="88">
        <f t="shared" si="377"/>
        <v>0</v>
      </c>
      <c r="Q2344" s="88">
        <f t="shared" si="378"/>
        <v>0</v>
      </c>
      <c r="R2344" s="88" t="e">
        <f>-IF(Tabla14[[#This Row],[DIAS HABILES O MORA]]&lt;0,(Tabla14[[#This Row],[VALOR PRESTAMO]]*Tabla14[[#This Row],[% INTERES ]]/30*U2344))+Tabla14[[#This Row],[VALOR CUOTAS]]</f>
        <v>#VALUE!</v>
      </c>
      <c r="S2344" s="88">
        <f>-IF(Tabla14[[#This Row],[DIAS HABILES O MORA]]&lt;0,(Tabla14[[#This Row],[VALOR PRESTAMO]]*Tabla14[[#This Row],[% INTERES ]]/30*U2344))</f>
        <v>0</v>
      </c>
      <c r="T2344" s="53" t="e">
        <f>Tabla14[[#This Row],[DEUDA CAPITAL]]+Tabla14[[#This Row],[INTERES  CUOTA]]</f>
        <v>#NUM!</v>
      </c>
      <c r="U2344" s="61" t="str">
        <f t="shared" si="379"/>
        <v/>
      </c>
    </row>
    <row r="2345" spans="9:21" ht="24.75" customHeight="1" x14ac:dyDescent="0.35">
      <c r="I2345" s="42">
        <f t="shared" si="370"/>
        <v>0</v>
      </c>
      <c r="J2345" s="65" t="e">
        <f t="shared" si="371"/>
        <v>#NUM!</v>
      </c>
      <c r="K2345" s="83" t="e">
        <f t="shared" si="372"/>
        <v>#NUM!</v>
      </c>
      <c r="L2345" s="83">
        <f t="shared" si="373"/>
        <v>0</v>
      </c>
      <c r="M2345" s="110" t="str">
        <f t="shared" si="374"/>
        <v/>
      </c>
      <c r="N2345" s="51" t="str">
        <f t="shared" si="375"/>
        <v/>
      </c>
      <c r="O2345" s="52" t="str">
        <f t="shared" si="376"/>
        <v/>
      </c>
      <c r="P2345" s="88">
        <f t="shared" si="377"/>
        <v>0</v>
      </c>
      <c r="Q2345" s="88">
        <f t="shared" si="378"/>
        <v>0</v>
      </c>
      <c r="R2345" s="88" t="e">
        <f>-IF(Tabla14[[#This Row],[DIAS HABILES O MORA]]&lt;0,(Tabla14[[#This Row],[VALOR PRESTAMO]]*Tabla14[[#This Row],[% INTERES ]]/30*U2345))+Tabla14[[#This Row],[VALOR CUOTAS]]</f>
        <v>#VALUE!</v>
      </c>
      <c r="S2345" s="88">
        <f>-IF(Tabla14[[#This Row],[DIAS HABILES O MORA]]&lt;0,(Tabla14[[#This Row],[VALOR PRESTAMO]]*Tabla14[[#This Row],[% INTERES ]]/30*U2345))</f>
        <v>0</v>
      </c>
      <c r="T2345" s="53" t="e">
        <f>Tabla14[[#This Row],[DEUDA CAPITAL]]+Tabla14[[#This Row],[INTERES  CUOTA]]</f>
        <v>#NUM!</v>
      </c>
      <c r="U2345" s="61" t="str">
        <f t="shared" si="379"/>
        <v/>
      </c>
    </row>
    <row r="2346" spans="9:21" ht="24.75" customHeight="1" x14ac:dyDescent="0.35">
      <c r="I2346" s="42">
        <f t="shared" si="370"/>
        <v>0</v>
      </c>
      <c r="J2346" s="65" t="e">
        <f t="shared" si="371"/>
        <v>#NUM!</v>
      </c>
      <c r="K2346" s="83" t="e">
        <f t="shared" si="372"/>
        <v>#NUM!</v>
      </c>
      <c r="L2346" s="83">
        <f t="shared" si="373"/>
        <v>0</v>
      </c>
      <c r="M2346" s="110" t="str">
        <f t="shared" si="374"/>
        <v/>
      </c>
      <c r="N2346" s="51" t="str">
        <f t="shared" si="375"/>
        <v/>
      </c>
      <c r="O2346" s="52" t="str">
        <f t="shared" si="376"/>
        <v/>
      </c>
      <c r="P2346" s="88">
        <f t="shared" si="377"/>
        <v>0</v>
      </c>
      <c r="Q2346" s="88">
        <f t="shared" si="378"/>
        <v>0</v>
      </c>
      <c r="R2346" s="88" t="e">
        <f>-IF(Tabla14[[#This Row],[DIAS HABILES O MORA]]&lt;0,(Tabla14[[#This Row],[VALOR PRESTAMO]]*Tabla14[[#This Row],[% INTERES ]]/30*U2346))+Tabla14[[#This Row],[VALOR CUOTAS]]</f>
        <v>#VALUE!</v>
      </c>
      <c r="S2346" s="88">
        <f>-IF(Tabla14[[#This Row],[DIAS HABILES O MORA]]&lt;0,(Tabla14[[#This Row],[VALOR PRESTAMO]]*Tabla14[[#This Row],[% INTERES ]]/30*U2346))</f>
        <v>0</v>
      </c>
      <c r="T2346" s="53" t="e">
        <f>Tabla14[[#This Row],[DEUDA CAPITAL]]+Tabla14[[#This Row],[INTERES  CUOTA]]</f>
        <v>#NUM!</v>
      </c>
      <c r="U2346" s="61" t="str">
        <f t="shared" si="379"/>
        <v/>
      </c>
    </row>
    <row r="2347" spans="9:21" ht="24.75" customHeight="1" x14ac:dyDescent="0.35">
      <c r="I2347" s="42">
        <f t="shared" si="370"/>
        <v>0</v>
      </c>
      <c r="J2347" s="65" t="e">
        <f t="shared" si="371"/>
        <v>#NUM!</v>
      </c>
      <c r="K2347" s="83" t="e">
        <f t="shared" si="372"/>
        <v>#NUM!</v>
      </c>
      <c r="L2347" s="83">
        <f t="shared" si="373"/>
        <v>0</v>
      </c>
      <c r="M2347" s="110" t="str">
        <f t="shared" si="374"/>
        <v/>
      </c>
      <c r="N2347" s="51" t="str">
        <f t="shared" si="375"/>
        <v/>
      </c>
      <c r="O2347" s="52" t="str">
        <f t="shared" si="376"/>
        <v/>
      </c>
      <c r="P2347" s="88">
        <f t="shared" si="377"/>
        <v>0</v>
      </c>
      <c r="Q2347" s="88">
        <f t="shared" si="378"/>
        <v>0</v>
      </c>
      <c r="R2347" s="88" t="e">
        <f>-IF(Tabla14[[#This Row],[DIAS HABILES O MORA]]&lt;0,(Tabla14[[#This Row],[VALOR PRESTAMO]]*Tabla14[[#This Row],[% INTERES ]]/30*U2347))+Tabla14[[#This Row],[VALOR CUOTAS]]</f>
        <v>#VALUE!</v>
      </c>
      <c r="S2347" s="88">
        <f>-IF(Tabla14[[#This Row],[DIAS HABILES O MORA]]&lt;0,(Tabla14[[#This Row],[VALOR PRESTAMO]]*Tabla14[[#This Row],[% INTERES ]]/30*U2347))</f>
        <v>0</v>
      </c>
      <c r="T2347" s="53" t="e">
        <f>Tabla14[[#This Row],[DEUDA CAPITAL]]+Tabla14[[#This Row],[INTERES  CUOTA]]</f>
        <v>#NUM!</v>
      </c>
      <c r="U2347" s="61" t="str">
        <f t="shared" si="379"/>
        <v/>
      </c>
    </row>
    <row r="2348" spans="9:21" ht="24.75" customHeight="1" x14ac:dyDescent="0.35">
      <c r="I2348" s="42">
        <f t="shared" si="370"/>
        <v>0</v>
      </c>
      <c r="J2348" s="65" t="e">
        <f t="shared" si="371"/>
        <v>#NUM!</v>
      </c>
      <c r="K2348" s="83" t="e">
        <f t="shared" si="372"/>
        <v>#NUM!</v>
      </c>
      <c r="L2348" s="83">
        <f t="shared" si="373"/>
        <v>0</v>
      </c>
      <c r="M2348" s="110" t="str">
        <f t="shared" si="374"/>
        <v/>
      </c>
      <c r="N2348" s="51" t="str">
        <f t="shared" si="375"/>
        <v/>
      </c>
      <c r="O2348" s="52" t="str">
        <f t="shared" si="376"/>
        <v/>
      </c>
      <c r="P2348" s="88">
        <f t="shared" si="377"/>
        <v>0</v>
      </c>
      <c r="Q2348" s="88">
        <f t="shared" si="378"/>
        <v>0</v>
      </c>
      <c r="R2348" s="88" t="e">
        <f>-IF(Tabla14[[#This Row],[DIAS HABILES O MORA]]&lt;0,(Tabla14[[#This Row],[VALOR PRESTAMO]]*Tabla14[[#This Row],[% INTERES ]]/30*U2348))+Tabla14[[#This Row],[VALOR CUOTAS]]</f>
        <v>#VALUE!</v>
      </c>
      <c r="S2348" s="88">
        <f>-IF(Tabla14[[#This Row],[DIAS HABILES O MORA]]&lt;0,(Tabla14[[#This Row],[VALOR PRESTAMO]]*Tabla14[[#This Row],[% INTERES ]]/30*U2348))</f>
        <v>0</v>
      </c>
      <c r="T2348" s="53" t="e">
        <f>Tabla14[[#This Row],[DEUDA CAPITAL]]+Tabla14[[#This Row],[INTERES  CUOTA]]</f>
        <v>#NUM!</v>
      </c>
      <c r="U2348" s="61" t="str">
        <f t="shared" si="379"/>
        <v/>
      </c>
    </row>
    <row r="2349" spans="9:21" ht="24.75" customHeight="1" x14ac:dyDescent="0.35">
      <c r="I2349" s="42">
        <f t="shared" si="370"/>
        <v>0</v>
      </c>
      <c r="J2349" s="65" t="e">
        <f t="shared" si="371"/>
        <v>#NUM!</v>
      </c>
      <c r="K2349" s="83" t="e">
        <f t="shared" si="372"/>
        <v>#NUM!</v>
      </c>
      <c r="L2349" s="83">
        <f t="shared" si="373"/>
        <v>0</v>
      </c>
      <c r="M2349" s="110" t="str">
        <f t="shared" si="374"/>
        <v/>
      </c>
      <c r="N2349" s="51" t="str">
        <f t="shared" si="375"/>
        <v/>
      </c>
      <c r="O2349" s="52" t="str">
        <f t="shared" si="376"/>
        <v/>
      </c>
      <c r="P2349" s="88">
        <f t="shared" si="377"/>
        <v>0</v>
      </c>
      <c r="Q2349" s="88">
        <f t="shared" si="378"/>
        <v>0</v>
      </c>
      <c r="R2349" s="88" t="e">
        <f>-IF(Tabla14[[#This Row],[DIAS HABILES O MORA]]&lt;0,(Tabla14[[#This Row],[VALOR PRESTAMO]]*Tabla14[[#This Row],[% INTERES ]]/30*U2349))+Tabla14[[#This Row],[VALOR CUOTAS]]</f>
        <v>#VALUE!</v>
      </c>
      <c r="S2349" s="88">
        <f>-IF(Tabla14[[#This Row],[DIAS HABILES O MORA]]&lt;0,(Tabla14[[#This Row],[VALOR PRESTAMO]]*Tabla14[[#This Row],[% INTERES ]]/30*U2349))</f>
        <v>0</v>
      </c>
      <c r="T2349" s="53" t="e">
        <f>Tabla14[[#This Row],[DEUDA CAPITAL]]+Tabla14[[#This Row],[INTERES  CUOTA]]</f>
        <v>#NUM!</v>
      </c>
      <c r="U2349" s="61" t="str">
        <f t="shared" si="379"/>
        <v/>
      </c>
    </row>
    <row r="2350" spans="9:21" ht="24.75" customHeight="1" x14ac:dyDescent="0.35">
      <c r="I2350" s="42">
        <f t="shared" si="370"/>
        <v>0</v>
      </c>
      <c r="J2350" s="65" t="e">
        <f t="shared" si="371"/>
        <v>#NUM!</v>
      </c>
      <c r="K2350" s="83" t="e">
        <f t="shared" si="372"/>
        <v>#NUM!</v>
      </c>
      <c r="L2350" s="83">
        <f t="shared" si="373"/>
        <v>0</v>
      </c>
      <c r="M2350" s="110" t="str">
        <f t="shared" si="374"/>
        <v/>
      </c>
      <c r="N2350" s="51" t="str">
        <f t="shared" si="375"/>
        <v/>
      </c>
      <c r="O2350" s="52" t="str">
        <f t="shared" si="376"/>
        <v/>
      </c>
      <c r="P2350" s="88">
        <f t="shared" si="377"/>
        <v>0</v>
      </c>
      <c r="Q2350" s="88">
        <f t="shared" si="378"/>
        <v>0</v>
      </c>
      <c r="R2350" s="88" t="e">
        <f>-IF(Tabla14[[#This Row],[DIAS HABILES O MORA]]&lt;0,(Tabla14[[#This Row],[VALOR PRESTAMO]]*Tabla14[[#This Row],[% INTERES ]]/30*U2350))+Tabla14[[#This Row],[VALOR CUOTAS]]</f>
        <v>#VALUE!</v>
      </c>
      <c r="S2350" s="88">
        <f>-IF(Tabla14[[#This Row],[DIAS HABILES O MORA]]&lt;0,(Tabla14[[#This Row],[VALOR PRESTAMO]]*Tabla14[[#This Row],[% INTERES ]]/30*U2350))</f>
        <v>0</v>
      </c>
      <c r="T2350" s="53" t="e">
        <f>Tabla14[[#This Row],[DEUDA CAPITAL]]+Tabla14[[#This Row],[INTERES  CUOTA]]</f>
        <v>#NUM!</v>
      </c>
      <c r="U2350" s="61" t="str">
        <f t="shared" si="379"/>
        <v/>
      </c>
    </row>
    <row r="2351" spans="9:21" ht="24.75" customHeight="1" x14ac:dyDescent="0.35">
      <c r="I2351" s="42">
        <f t="shared" si="370"/>
        <v>0</v>
      </c>
      <c r="J2351" s="65" t="e">
        <f t="shared" si="371"/>
        <v>#NUM!</v>
      </c>
      <c r="K2351" s="83" t="e">
        <f t="shared" si="372"/>
        <v>#NUM!</v>
      </c>
      <c r="L2351" s="83">
        <f t="shared" si="373"/>
        <v>0</v>
      </c>
      <c r="M2351" s="110" t="str">
        <f t="shared" si="374"/>
        <v/>
      </c>
      <c r="N2351" s="51" t="str">
        <f t="shared" si="375"/>
        <v/>
      </c>
      <c r="O2351" s="52" t="str">
        <f t="shared" si="376"/>
        <v/>
      </c>
      <c r="P2351" s="88">
        <f t="shared" si="377"/>
        <v>0</v>
      </c>
      <c r="Q2351" s="88">
        <f t="shared" si="378"/>
        <v>0</v>
      </c>
      <c r="R2351" s="88" t="e">
        <f>-IF(Tabla14[[#This Row],[DIAS HABILES O MORA]]&lt;0,(Tabla14[[#This Row],[VALOR PRESTAMO]]*Tabla14[[#This Row],[% INTERES ]]/30*U2351))+Tabla14[[#This Row],[VALOR CUOTAS]]</f>
        <v>#VALUE!</v>
      </c>
      <c r="S2351" s="88">
        <f>-IF(Tabla14[[#This Row],[DIAS HABILES O MORA]]&lt;0,(Tabla14[[#This Row],[VALOR PRESTAMO]]*Tabla14[[#This Row],[% INTERES ]]/30*U2351))</f>
        <v>0</v>
      </c>
      <c r="T2351" s="53" t="e">
        <f>Tabla14[[#This Row],[DEUDA CAPITAL]]+Tabla14[[#This Row],[INTERES  CUOTA]]</f>
        <v>#NUM!</v>
      </c>
      <c r="U2351" s="61" t="str">
        <f t="shared" si="379"/>
        <v/>
      </c>
    </row>
    <row r="2352" spans="9:21" ht="24.75" customHeight="1" x14ac:dyDescent="0.35">
      <c r="I2352" s="42">
        <f t="shared" si="370"/>
        <v>0</v>
      </c>
      <c r="J2352" s="65" t="e">
        <f t="shared" si="371"/>
        <v>#NUM!</v>
      </c>
      <c r="K2352" s="83" t="e">
        <f t="shared" si="372"/>
        <v>#NUM!</v>
      </c>
      <c r="L2352" s="83">
        <f t="shared" si="373"/>
        <v>0</v>
      </c>
      <c r="M2352" s="110" t="str">
        <f t="shared" si="374"/>
        <v/>
      </c>
      <c r="N2352" s="51" t="str">
        <f t="shared" si="375"/>
        <v/>
      </c>
      <c r="O2352" s="52" t="str">
        <f t="shared" si="376"/>
        <v/>
      </c>
      <c r="P2352" s="88">
        <f t="shared" si="377"/>
        <v>0</v>
      </c>
      <c r="Q2352" s="88">
        <f t="shared" si="378"/>
        <v>0</v>
      </c>
      <c r="R2352" s="88" t="e">
        <f>-IF(Tabla14[[#This Row],[DIAS HABILES O MORA]]&lt;0,(Tabla14[[#This Row],[VALOR PRESTAMO]]*Tabla14[[#This Row],[% INTERES ]]/30*U2352))+Tabla14[[#This Row],[VALOR CUOTAS]]</f>
        <v>#VALUE!</v>
      </c>
      <c r="S2352" s="88">
        <f>-IF(Tabla14[[#This Row],[DIAS HABILES O MORA]]&lt;0,(Tabla14[[#This Row],[VALOR PRESTAMO]]*Tabla14[[#This Row],[% INTERES ]]/30*U2352))</f>
        <v>0</v>
      </c>
      <c r="T2352" s="53" t="e">
        <f>Tabla14[[#This Row],[DEUDA CAPITAL]]+Tabla14[[#This Row],[INTERES  CUOTA]]</f>
        <v>#NUM!</v>
      </c>
      <c r="U2352" s="61" t="str">
        <f t="shared" si="379"/>
        <v/>
      </c>
    </row>
    <row r="2353" spans="9:21" ht="24.75" customHeight="1" x14ac:dyDescent="0.35">
      <c r="I2353" s="42">
        <f t="shared" si="370"/>
        <v>0</v>
      </c>
      <c r="J2353" s="65" t="e">
        <f t="shared" si="371"/>
        <v>#NUM!</v>
      </c>
      <c r="K2353" s="83" t="e">
        <f t="shared" si="372"/>
        <v>#NUM!</v>
      </c>
      <c r="L2353" s="83">
        <f t="shared" si="373"/>
        <v>0</v>
      </c>
      <c r="M2353" s="110" t="str">
        <f t="shared" si="374"/>
        <v/>
      </c>
      <c r="N2353" s="51" t="str">
        <f t="shared" si="375"/>
        <v/>
      </c>
      <c r="O2353" s="52" t="str">
        <f t="shared" si="376"/>
        <v/>
      </c>
      <c r="P2353" s="88">
        <f t="shared" si="377"/>
        <v>0</v>
      </c>
      <c r="Q2353" s="88">
        <f t="shared" si="378"/>
        <v>0</v>
      </c>
      <c r="R2353" s="88" t="e">
        <f>-IF(Tabla14[[#This Row],[DIAS HABILES O MORA]]&lt;0,(Tabla14[[#This Row],[VALOR PRESTAMO]]*Tabla14[[#This Row],[% INTERES ]]/30*U2353))+Tabla14[[#This Row],[VALOR CUOTAS]]</f>
        <v>#VALUE!</v>
      </c>
      <c r="S2353" s="88">
        <f>-IF(Tabla14[[#This Row],[DIAS HABILES O MORA]]&lt;0,(Tabla14[[#This Row],[VALOR PRESTAMO]]*Tabla14[[#This Row],[% INTERES ]]/30*U2353))</f>
        <v>0</v>
      </c>
      <c r="T2353" s="53" t="e">
        <f>Tabla14[[#This Row],[DEUDA CAPITAL]]+Tabla14[[#This Row],[INTERES  CUOTA]]</f>
        <v>#NUM!</v>
      </c>
      <c r="U2353" s="61" t="str">
        <f t="shared" si="379"/>
        <v/>
      </c>
    </row>
    <row r="2354" spans="9:21" ht="24.75" customHeight="1" x14ac:dyDescent="0.35">
      <c r="I2354" s="42">
        <f t="shared" si="370"/>
        <v>0</v>
      </c>
      <c r="J2354" s="65" t="e">
        <f t="shared" si="371"/>
        <v>#NUM!</v>
      </c>
      <c r="K2354" s="83" t="e">
        <f t="shared" si="372"/>
        <v>#NUM!</v>
      </c>
      <c r="L2354" s="83">
        <f t="shared" si="373"/>
        <v>0</v>
      </c>
      <c r="M2354" s="110" t="str">
        <f t="shared" si="374"/>
        <v/>
      </c>
      <c r="N2354" s="51" t="str">
        <f t="shared" si="375"/>
        <v/>
      </c>
      <c r="O2354" s="52" t="str">
        <f t="shared" si="376"/>
        <v/>
      </c>
      <c r="P2354" s="88">
        <f t="shared" si="377"/>
        <v>0</v>
      </c>
      <c r="Q2354" s="88">
        <f t="shared" si="378"/>
        <v>0</v>
      </c>
      <c r="R2354" s="88" t="e">
        <f>-IF(Tabla14[[#This Row],[DIAS HABILES O MORA]]&lt;0,(Tabla14[[#This Row],[VALOR PRESTAMO]]*Tabla14[[#This Row],[% INTERES ]]/30*U2354))+Tabla14[[#This Row],[VALOR CUOTAS]]</f>
        <v>#VALUE!</v>
      </c>
      <c r="S2354" s="88">
        <f>-IF(Tabla14[[#This Row],[DIAS HABILES O MORA]]&lt;0,(Tabla14[[#This Row],[VALOR PRESTAMO]]*Tabla14[[#This Row],[% INTERES ]]/30*U2354))</f>
        <v>0</v>
      </c>
      <c r="T2354" s="53" t="e">
        <f>Tabla14[[#This Row],[DEUDA CAPITAL]]+Tabla14[[#This Row],[INTERES  CUOTA]]</f>
        <v>#NUM!</v>
      </c>
      <c r="U2354" s="61" t="str">
        <f t="shared" si="379"/>
        <v/>
      </c>
    </row>
    <row r="2355" spans="9:21" ht="24.75" customHeight="1" x14ac:dyDescent="0.35">
      <c r="I2355" s="42">
        <f t="shared" si="370"/>
        <v>0</v>
      </c>
      <c r="J2355" s="65" t="e">
        <f t="shared" si="371"/>
        <v>#NUM!</v>
      </c>
      <c r="K2355" s="83" t="e">
        <f t="shared" si="372"/>
        <v>#NUM!</v>
      </c>
      <c r="L2355" s="83">
        <f t="shared" si="373"/>
        <v>0</v>
      </c>
      <c r="M2355" s="110" t="str">
        <f t="shared" si="374"/>
        <v/>
      </c>
      <c r="N2355" s="51" t="str">
        <f t="shared" si="375"/>
        <v/>
      </c>
      <c r="O2355" s="52" t="str">
        <f t="shared" si="376"/>
        <v/>
      </c>
      <c r="P2355" s="88">
        <f t="shared" si="377"/>
        <v>0</v>
      </c>
      <c r="Q2355" s="88">
        <f t="shared" si="378"/>
        <v>0</v>
      </c>
      <c r="R2355" s="88" t="e">
        <f>-IF(Tabla14[[#This Row],[DIAS HABILES O MORA]]&lt;0,(Tabla14[[#This Row],[VALOR PRESTAMO]]*Tabla14[[#This Row],[% INTERES ]]/30*U2355))+Tabla14[[#This Row],[VALOR CUOTAS]]</f>
        <v>#VALUE!</v>
      </c>
      <c r="S2355" s="88">
        <f>-IF(Tabla14[[#This Row],[DIAS HABILES O MORA]]&lt;0,(Tabla14[[#This Row],[VALOR PRESTAMO]]*Tabla14[[#This Row],[% INTERES ]]/30*U2355))</f>
        <v>0</v>
      </c>
      <c r="T2355" s="53" t="e">
        <f>Tabla14[[#This Row],[DEUDA CAPITAL]]+Tabla14[[#This Row],[INTERES  CUOTA]]</f>
        <v>#NUM!</v>
      </c>
      <c r="U2355" s="61" t="str">
        <f t="shared" si="379"/>
        <v/>
      </c>
    </row>
    <row r="2356" spans="9:21" ht="24.75" customHeight="1" x14ac:dyDescent="0.35">
      <c r="I2356" s="42">
        <f t="shared" si="370"/>
        <v>0</v>
      </c>
      <c r="J2356" s="65" t="e">
        <f t="shared" si="371"/>
        <v>#NUM!</v>
      </c>
      <c r="K2356" s="83" t="e">
        <f t="shared" si="372"/>
        <v>#NUM!</v>
      </c>
      <c r="L2356" s="83">
        <f t="shared" si="373"/>
        <v>0</v>
      </c>
      <c r="M2356" s="110" t="str">
        <f t="shared" si="374"/>
        <v/>
      </c>
      <c r="N2356" s="51" t="str">
        <f t="shared" si="375"/>
        <v/>
      </c>
      <c r="O2356" s="52" t="str">
        <f t="shared" si="376"/>
        <v/>
      </c>
      <c r="P2356" s="88">
        <f t="shared" si="377"/>
        <v>0</v>
      </c>
      <c r="Q2356" s="88">
        <f t="shared" si="378"/>
        <v>0</v>
      </c>
      <c r="R2356" s="88" t="e">
        <f>-IF(Tabla14[[#This Row],[DIAS HABILES O MORA]]&lt;0,(Tabla14[[#This Row],[VALOR PRESTAMO]]*Tabla14[[#This Row],[% INTERES ]]/30*U2356))+Tabla14[[#This Row],[VALOR CUOTAS]]</f>
        <v>#VALUE!</v>
      </c>
      <c r="S2356" s="88">
        <f>-IF(Tabla14[[#This Row],[DIAS HABILES O MORA]]&lt;0,(Tabla14[[#This Row],[VALOR PRESTAMO]]*Tabla14[[#This Row],[% INTERES ]]/30*U2356))</f>
        <v>0</v>
      </c>
      <c r="T2356" s="53" t="e">
        <f>Tabla14[[#This Row],[DEUDA CAPITAL]]+Tabla14[[#This Row],[INTERES  CUOTA]]</f>
        <v>#NUM!</v>
      </c>
      <c r="U2356" s="61" t="str">
        <f t="shared" si="379"/>
        <v/>
      </c>
    </row>
    <row r="2357" spans="9:21" ht="24.75" customHeight="1" x14ac:dyDescent="0.35">
      <c r="I2357" s="42">
        <f t="shared" si="370"/>
        <v>0</v>
      </c>
      <c r="J2357" s="65" t="e">
        <f t="shared" si="371"/>
        <v>#NUM!</v>
      </c>
      <c r="K2357" s="83" t="e">
        <f t="shared" si="372"/>
        <v>#NUM!</v>
      </c>
      <c r="L2357" s="83">
        <f t="shared" si="373"/>
        <v>0</v>
      </c>
      <c r="M2357" s="110" t="str">
        <f t="shared" si="374"/>
        <v/>
      </c>
      <c r="N2357" s="51" t="str">
        <f t="shared" si="375"/>
        <v/>
      </c>
      <c r="O2357" s="52" t="str">
        <f t="shared" si="376"/>
        <v/>
      </c>
      <c r="P2357" s="88">
        <f t="shared" si="377"/>
        <v>0</v>
      </c>
      <c r="Q2357" s="88">
        <f t="shared" si="378"/>
        <v>0</v>
      </c>
      <c r="R2357" s="88" t="e">
        <f>-IF(Tabla14[[#This Row],[DIAS HABILES O MORA]]&lt;0,(Tabla14[[#This Row],[VALOR PRESTAMO]]*Tabla14[[#This Row],[% INTERES ]]/30*U2357))+Tabla14[[#This Row],[VALOR CUOTAS]]</f>
        <v>#VALUE!</v>
      </c>
      <c r="S2357" s="88">
        <f>-IF(Tabla14[[#This Row],[DIAS HABILES O MORA]]&lt;0,(Tabla14[[#This Row],[VALOR PRESTAMO]]*Tabla14[[#This Row],[% INTERES ]]/30*U2357))</f>
        <v>0</v>
      </c>
      <c r="T2357" s="53" t="e">
        <f>Tabla14[[#This Row],[DEUDA CAPITAL]]+Tabla14[[#This Row],[INTERES  CUOTA]]</f>
        <v>#NUM!</v>
      </c>
      <c r="U2357" s="61" t="str">
        <f t="shared" si="379"/>
        <v/>
      </c>
    </row>
    <row r="2358" spans="9:21" ht="24.75" customHeight="1" x14ac:dyDescent="0.35">
      <c r="I2358" s="42">
        <f t="shared" si="370"/>
        <v>0</v>
      </c>
      <c r="J2358" s="65" t="e">
        <f t="shared" si="371"/>
        <v>#NUM!</v>
      </c>
      <c r="K2358" s="83" t="e">
        <f t="shared" si="372"/>
        <v>#NUM!</v>
      </c>
      <c r="L2358" s="83">
        <f t="shared" si="373"/>
        <v>0</v>
      </c>
      <c r="M2358" s="110" t="str">
        <f t="shared" si="374"/>
        <v/>
      </c>
      <c r="N2358" s="51" t="str">
        <f t="shared" si="375"/>
        <v/>
      </c>
      <c r="O2358" s="52" t="str">
        <f t="shared" si="376"/>
        <v/>
      </c>
      <c r="P2358" s="88">
        <f t="shared" si="377"/>
        <v>0</v>
      </c>
      <c r="Q2358" s="88">
        <f t="shared" si="378"/>
        <v>0</v>
      </c>
      <c r="R2358" s="88" t="e">
        <f>-IF(Tabla14[[#This Row],[DIAS HABILES O MORA]]&lt;0,(Tabla14[[#This Row],[VALOR PRESTAMO]]*Tabla14[[#This Row],[% INTERES ]]/30*U2358))+Tabla14[[#This Row],[VALOR CUOTAS]]</f>
        <v>#VALUE!</v>
      </c>
      <c r="S2358" s="88">
        <f>-IF(Tabla14[[#This Row],[DIAS HABILES O MORA]]&lt;0,(Tabla14[[#This Row],[VALOR PRESTAMO]]*Tabla14[[#This Row],[% INTERES ]]/30*U2358))</f>
        <v>0</v>
      </c>
      <c r="T2358" s="53" t="e">
        <f>Tabla14[[#This Row],[DEUDA CAPITAL]]+Tabla14[[#This Row],[INTERES  CUOTA]]</f>
        <v>#NUM!</v>
      </c>
      <c r="U2358" s="61" t="str">
        <f t="shared" si="379"/>
        <v/>
      </c>
    </row>
    <row r="2359" spans="9:21" ht="24.75" customHeight="1" x14ac:dyDescent="0.35">
      <c r="I2359" s="42">
        <f t="shared" si="370"/>
        <v>0</v>
      </c>
      <c r="J2359" s="65" t="e">
        <f t="shared" si="371"/>
        <v>#NUM!</v>
      </c>
      <c r="K2359" s="83" t="e">
        <f t="shared" si="372"/>
        <v>#NUM!</v>
      </c>
      <c r="L2359" s="83">
        <f t="shared" si="373"/>
        <v>0</v>
      </c>
      <c r="M2359" s="110" t="str">
        <f t="shared" si="374"/>
        <v/>
      </c>
      <c r="N2359" s="51" t="str">
        <f t="shared" si="375"/>
        <v/>
      </c>
      <c r="O2359" s="52" t="str">
        <f t="shared" si="376"/>
        <v/>
      </c>
      <c r="P2359" s="88">
        <f t="shared" si="377"/>
        <v>0</v>
      </c>
      <c r="Q2359" s="88">
        <f t="shared" si="378"/>
        <v>0</v>
      </c>
      <c r="R2359" s="88" t="e">
        <f>-IF(Tabla14[[#This Row],[DIAS HABILES O MORA]]&lt;0,(Tabla14[[#This Row],[VALOR PRESTAMO]]*Tabla14[[#This Row],[% INTERES ]]/30*U2359))+Tabla14[[#This Row],[VALOR CUOTAS]]</f>
        <v>#VALUE!</v>
      </c>
      <c r="S2359" s="88">
        <f>-IF(Tabla14[[#This Row],[DIAS HABILES O MORA]]&lt;0,(Tabla14[[#This Row],[VALOR PRESTAMO]]*Tabla14[[#This Row],[% INTERES ]]/30*U2359))</f>
        <v>0</v>
      </c>
      <c r="T2359" s="53" t="e">
        <f>Tabla14[[#This Row],[DEUDA CAPITAL]]+Tabla14[[#This Row],[INTERES  CUOTA]]</f>
        <v>#NUM!</v>
      </c>
      <c r="U2359" s="61" t="str">
        <f t="shared" si="379"/>
        <v/>
      </c>
    </row>
    <row r="2360" spans="9:21" ht="24.75" customHeight="1" x14ac:dyDescent="0.35">
      <c r="I2360" s="42">
        <f t="shared" si="370"/>
        <v>0</v>
      </c>
      <c r="J2360" s="65" t="e">
        <f t="shared" si="371"/>
        <v>#NUM!</v>
      </c>
      <c r="K2360" s="83" t="e">
        <f t="shared" si="372"/>
        <v>#NUM!</v>
      </c>
      <c r="L2360" s="83">
        <f t="shared" si="373"/>
        <v>0</v>
      </c>
      <c r="M2360" s="110" t="str">
        <f t="shared" si="374"/>
        <v/>
      </c>
      <c r="N2360" s="51" t="str">
        <f t="shared" si="375"/>
        <v/>
      </c>
      <c r="O2360" s="52" t="str">
        <f t="shared" si="376"/>
        <v/>
      </c>
      <c r="P2360" s="88">
        <f t="shared" si="377"/>
        <v>0</v>
      </c>
      <c r="Q2360" s="88">
        <f t="shared" si="378"/>
        <v>0</v>
      </c>
      <c r="R2360" s="88" t="e">
        <f>-IF(Tabla14[[#This Row],[DIAS HABILES O MORA]]&lt;0,(Tabla14[[#This Row],[VALOR PRESTAMO]]*Tabla14[[#This Row],[% INTERES ]]/30*U2360))+Tabla14[[#This Row],[VALOR CUOTAS]]</f>
        <v>#VALUE!</v>
      </c>
      <c r="S2360" s="88">
        <f>-IF(Tabla14[[#This Row],[DIAS HABILES O MORA]]&lt;0,(Tabla14[[#This Row],[VALOR PRESTAMO]]*Tabla14[[#This Row],[% INTERES ]]/30*U2360))</f>
        <v>0</v>
      </c>
      <c r="T2360" s="53" t="e">
        <f>Tabla14[[#This Row],[DEUDA CAPITAL]]+Tabla14[[#This Row],[INTERES  CUOTA]]</f>
        <v>#NUM!</v>
      </c>
      <c r="U2360" s="61" t="str">
        <f t="shared" si="379"/>
        <v/>
      </c>
    </row>
    <row r="2361" spans="9:21" ht="24.75" customHeight="1" x14ac:dyDescent="0.35">
      <c r="I2361" s="42">
        <f t="shared" si="370"/>
        <v>0</v>
      </c>
      <c r="J2361" s="65" t="e">
        <f t="shared" si="371"/>
        <v>#NUM!</v>
      </c>
      <c r="K2361" s="83" t="e">
        <f t="shared" si="372"/>
        <v>#NUM!</v>
      </c>
      <c r="L2361" s="83">
        <f t="shared" si="373"/>
        <v>0</v>
      </c>
      <c r="M2361" s="110" t="str">
        <f t="shared" si="374"/>
        <v/>
      </c>
      <c r="N2361" s="51" t="str">
        <f t="shared" si="375"/>
        <v/>
      </c>
      <c r="O2361" s="52" t="str">
        <f t="shared" si="376"/>
        <v/>
      </c>
      <c r="P2361" s="88">
        <f t="shared" si="377"/>
        <v>0</v>
      </c>
      <c r="Q2361" s="88">
        <f t="shared" si="378"/>
        <v>0</v>
      </c>
      <c r="R2361" s="88" t="e">
        <f>-IF(Tabla14[[#This Row],[DIAS HABILES O MORA]]&lt;0,(Tabla14[[#This Row],[VALOR PRESTAMO]]*Tabla14[[#This Row],[% INTERES ]]/30*U2361))+Tabla14[[#This Row],[VALOR CUOTAS]]</f>
        <v>#VALUE!</v>
      </c>
      <c r="S2361" s="88">
        <f>-IF(Tabla14[[#This Row],[DIAS HABILES O MORA]]&lt;0,(Tabla14[[#This Row],[VALOR PRESTAMO]]*Tabla14[[#This Row],[% INTERES ]]/30*U2361))</f>
        <v>0</v>
      </c>
      <c r="T2361" s="53" t="e">
        <f>Tabla14[[#This Row],[DEUDA CAPITAL]]+Tabla14[[#This Row],[INTERES  CUOTA]]</f>
        <v>#NUM!</v>
      </c>
      <c r="U2361" s="61" t="str">
        <f t="shared" si="379"/>
        <v/>
      </c>
    </row>
    <row r="2362" spans="9:21" ht="24.75" customHeight="1" x14ac:dyDescent="0.35">
      <c r="I2362" s="42">
        <f t="shared" si="370"/>
        <v>0</v>
      </c>
      <c r="J2362" s="65" t="e">
        <f t="shared" si="371"/>
        <v>#NUM!</v>
      </c>
      <c r="K2362" s="83" t="e">
        <f t="shared" si="372"/>
        <v>#NUM!</v>
      </c>
      <c r="L2362" s="83">
        <f t="shared" si="373"/>
        <v>0</v>
      </c>
      <c r="M2362" s="110" t="str">
        <f t="shared" si="374"/>
        <v/>
      </c>
      <c r="N2362" s="51" t="str">
        <f t="shared" si="375"/>
        <v/>
      </c>
      <c r="O2362" s="52" t="str">
        <f t="shared" si="376"/>
        <v/>
      </c>
      <c r="P2362" s="88">
        <f t="shared" si="377"/>
        <v>0</v>
      </c>
      <c r="Q2362" s="88">
        <f t="shared" si="378"/>
        <v>0</v>
      </c>
      <c r="R2362" s="88" t="e">
        <f>-IF(Tabla14[[#This Row],[DIAS HABILES O MORA]]&lt;0,(Tabla14[[#This Row],[VALOR PRESTAMO]]*Tabla14[[#This Row],[% INTERES ]]/30*U2362))+Tabla14[[#This Row],[VALOR CUOTAS]]</f>
        <v>#VALUE!</v>
      </c>
      <c r="S2362" s="88">
        <f>-IF(Tabla14[[#This Row],[DIAS HABILES O MORA]]&lt;0,(Tabla14[[#This Row],[VALOR PRESTAMO]]*Tabla14[[#This Row],[% INTERES ]]/30*U2362))</f>
        <v>0</v>
      </c>
      <c r="T2362" s="53" t="e">
        <f>Tabla14[[#This Row],[DEUDA CAPITAL]]+Tabla14[[#This Row],[INTERES  CUOTA]]</f>
        <v>#NUM!</v>
      </c>
      <c r="U2362" s="61" t="str">
        <f t="shared" si="379"/>
        <v/>
      </c>
    </row>
    <row r="2363" spans="9:21" ht="24.75" customHeight="1" x14ac:dyDescent="0.35">
      <c r="I2363" s="42">
        <f t="shared" si="370"/>
        <v>0</v>
      </c>
      <c r="J2363" s="65" t="e">
        <f t="shared" si="371"/>
        <v>#NUM!</v>
      </c>
      <c r="K2363" s="83" t="e">
        <f t="shared" si="372"/>
        <v>#NUM!</v>
      </c>
      <c r="L2363" s="83">
        <f t="shared" si="373"/>
        <v>0</v>
      </c>
      <c r="M2363" s="110" t="str">
        <f t="shared" si="374"/>
        <v/>
      </c>
      <c r="N2363" s="51" t="str">
        <f t="shared" si="375"/>
        <v/>
      </c>
      <c r="O2363" s="52" t="str">
        <f t="shared" si="376"/>
        <v/>
      </c>
      <c r="P2363" s="88">
        <f t="shared" si="377"/>
        <v>0</v>
      </c>
      <c r="Q2363" s="88">
        <f t="shared" si="378"/>
        <v>0</v>
      </c>
      <c r="R2363" s="88" t="e">
        <f>-IF(Tabla14[[#This Row],[DIAS HABILES O MORA]]&lt;0,(Tabla14[[#This Row],[VALOR PRESTAMO]]*Tabla14[[#This Row],[% INTERES ]]/30*U2363))+Tabla14[[#This Row],[VALOR CUOTAS]]</f>
        <v>#VALUE!</v>
      </c>
      <c r="S2363" s="88">
        <f>-IF(Tabla14[[#This Row],[DIAS HABILES O MORA]]&lt;0,(Tabla14[[#This Row],[VALOR PRESTAMO]]*Tabla14[[#This Row],[% INTERES ]]/30*U2363))</f>
        <v>0</v>
      </c>
      <c r="T2363" s="53" t="e">
        <f>Tabla14[[#This Row],[DEUDA CAPITAL]]+Tabla14[[#This Row],[INTERES  CUOTA]]</f>
        <v>#NUM!</v>
      </c>
      <c r="U2363" s="61" t="str">
        <f t="shared" si="379"/>
        <v/>
      </c>
    </row>
    <row r="2364" spans="9:21" ht="24.75" customHeight="1" x14ac:dyDescent="0.35">
      <c r="I2364" s="42">
        <f t="shared" si="370"/>
        <v>0</v>
      </c>
      <c r="J2364" s="65" t="e">
        <f t="shared" si="371"/>
        <v>#NUM!</v>
      </c>
      <c r="K2364" s="83" t="e">
        <f t="shared" si="372"/>
        <v>#NUM!</v>
      </c>
      <c r="L2364" s="83">
        <f t="shared" si="373"/>
        <v>0</v>
      </c>
      <c r="M2364" s="110" t="str">
        <f t="shared" si="374"/>
        <v/>
      </c>
      <c r="N2364" s="51" t="str">
        <f t="shared" si="375"/>
        <v/>
      </c>
      <c r="O2364" s="52" t="str">
        <f t="shared" si="376"/>
        <v/>
      </c>
      <c r="P2364" s="88">
        <f t="shared" si="377"/>
        <v>0</v>
      </c>
      <c r="Q2364" s="88">
        <f t="shared" si="378"/>
        <v>0</v>
      </c>
      <c r="R2364" s="88" t="e">
        <f>-IF(Tabla14[[#This Row],[DIAS HABILES O MORA]]&lt;0,(Tabla14[[#This Row],[VALOR PRESTAMO]]*Tabla14[[#This Row],[% INTERES ]]/30*U2364))+Tabla14[[#This Row],[VALOR CUOTAS]]</f>
        <v>#VALUE!</v>
      </c>
      <c r="S2364" s="88">
        <f>-IF(Tabla14[[#This Row],[DIAS HABILES O MORA]]&lt;0,(Tabla14[[#This Row],[VALOR PRESTAMO]]*Tabla14[[#This Row],[% INTERES ]]/30*U2364))</f>
        <v>0</v>
      </c>
      <c r="T2364" s="53" t="e">
        <f>Tabla14[[#This Row],[DEUDA CAPITAL]]+Tabla14[[#This Row],[INTERES  CUOTA]]</f>
        <v>#NUM!</v>
      </c>
      <c r="U2364" s="61" t="str">
        <f t="shared" si="379"/>
        <v/>
      </c>
    </row>
    <row r="2365" spans="9:21" ht="24.75" customHeight="1" x14ac:dyDescent="0.35">
      <c r="I2365" s="42">
        <f t="shared" si="370"/>
        <v>0</v>
      </c>
      <c r="J2365" s="65" t="e">
        <f t="shared" si="371"/>
        <v>#NUM!</v>
      </c>
      <c r="K2365" s="83" t="e">
        <f t="shared" si="372"/>
        <v>#NUM!</v>
      </c>
      <c r="L2365" s="83">
        <f t="shared" si="373"/>
        <v>0</v>
      </c>
      <c r="M2365" s="110" t="str">
        <f t="shared" si="374"/>
        <v/>
      </c>
      <c r="N2365" s="51" t="str">
        <f t="shared" si="375"/>
        <v/>
      </c>
      <c r="O2365" s="52" t="str">
        <f t="shared" si="376"/>
        <v/>
      </c>
      <c r="P2365" s="88">
        <f t="shared" si="377"/>
        <v>0</v>
      </c>
      <c r="Q2365" s="88">
        <f t="shared" si="378"/>
        <v>0</v>
      </c>
      <c r="R2365" s="88" t="e">
        <f>-IF(Tabla14[[#This Row],[DIAS HABILES O MORA]]&lt;0,(Tabla14[[#This Row],[VALOR PRESTAMO]]*Tabla14[[#This Row],[% INTERES ]]/30*U2365))+Tabla14[[#This Row],[VALOR CUOTAS]]</f>
        <v>#VALUE!</v>
      </c>
      <c r="S2365" s="88">
        <f>-IF(Tabla14[[#This Row],[DIAS HABILES O MORA]]&lt;0,(Tabla14[[#This Row],[VALOR PRESTAMO]]*Tabla14[[#This Row],[% INTERES ]]/30*U2365))</f>
        <v>0</v>
      </c>
      <c r="T2365" s="53" t="e">
        <f>Tabla14[[#This Row],[DEUDA CAPITAL]]+Tabla14[[#This Row],[INTERES  CUOTA]]</f>
        <v>#NUM!</v>
      </c>
      <c r="U2365" s="61" t="str">
        <f t="shared" si="379"/>
        <v/>
      </c>
    </row>
    <row r="2366" spans="9:21" ht="24.75" customHeight="1" x14ac:dyDescent="0.35">
      <c r="I2366" s="42">
        <f t="shared" si="370"/>
        <v>0</v>
      </c>
      <c r="J2366" s="65" t="e">
        <f t="shared" si="371"/>
        <v>#NUM!</v>
      </c>
      <c r="K2366" s="83" t="e">
        <f t="shared" si="372"/>
        <v>#NUM!</v>
      </c>
      <c r="L2366" s="83">
        <f t="shared" si="373"/>
        <v>0</v>
      </c>
      <c r="M2366" s="110" t="str">
        <f t="shared" si="374"/>
        <v/>
      </c>
      <c r="N2366" s="51" t="str">
        <f t="shared" si="375"/>
        <v/>
      </c>
      <c r="O2366" s="52" t="str">
        <f t="shared" si="376"/>
        <v/>
      </c>
      <c r="P2366" s="88">
        <f t="shared" si="377"/>
        <v>0</v>
      </c>
      <c r="Q2366" s="88">
        <f t="shared" si="378"/>
        <v>0</v>
      </c>
      <c r="R2366" s="88" t="e">
        <f>-IF(Tabla14[[#This Row],[DIAS HABILES O MORA]]&lt;0,(Tabla14[[#This Row],[VALOR PRESTAMO]]*Tabla14[[#This Row],[% INTERES ]]/30*U2366))+Tabla14[[#This Row],[VALOR CUOTAS]]</f>
        <v>#VALUE!</v>
      </c>
      <c r="S2366" s="88">
        <f>-IF(Tabla14[[#This Row],[DIAS HABILES O MORA]]&lt;0,(Tabla14[[#This Row],[VALOR PRESTAMO]]*Tabla14[[#This Row],[% INTERES ]]/30*U2366))</f>
        <v>0</v>
      </c>
      <c r="T2366" s="53" t="e">
        <f>Tabla14[[#This Row],[DEUDA CAPITAL]]+Tabla14[[#This Row],[INTERES  CUOTA]]</f>
        <v>#NUM!</v>
      </c>
      <c r="U2366" s="61" t="str">
        <f t="shared" si="379"/>
        <v/>
      </c>
    </row>
    <row r="2367" spans="9:21" ht="24.75" customHeight="1" x14ac:dyDescent="0.35">
      <c r="I2367" s="42">
        <f t="shared" si="370"/>
        <v>0</v>
      </c>
      <c r="J2367" s="65" t="e">
        <f t="shared" si="371"/>
        <v>#NUM!</v>
      </c>
      <c r="K2367" s="83" t="e">
        <f t="shared" si="372"/>
        <v>#NUM!</v>
      </c>
      <c r="L2367" s="83">
        <f t="shared" si="373"/>
        <v>0</v>
      </c>
      <c r="M2367" s="110" t="str">
        <f t="shared" si="374"/>
        <v/>
      </c>
      <c r="N2367" s="51" t="str">
        <f t="shared" si="375"/>
        <v/>
      </c>
      <c r="O2367" s="52" t="str">
        <f t="shared" si="376"/>
        <v/>
      </c>
      <c r="P2367" s="88">
        <f t="shared" si="377"/>
        <v>0</v>
      </c>
      <c r="Q2367" s="88">
        <f t="shared" si="378"/>
        <v>0</v>
      </c>
      <c r="R2367" s="88" t="e">
        <f>-IF(Tabla14[[#This Row],[DIAS HABILES O MORA]]&lt;0,(Tabla14[[#This Row],[VALOR PRESTAMO]]*Tabla14[[#This Row],[% INTERES ]]/30*U2367))+Tabla14[[#This Row],[VALOR CUOTAS]]</f>
        <v>#VALUE!</v>
      </c>
      <c r="S2367" s="88">
        <f>-IF(Tabla14[[#This Row],[DIAS HABILES O MORA]]&lt;0,(Tabla14[[#This Row],[VALOR PRESTAMO]]*Tabla14[[#This Row],[% INTERES ]]/30*U2367))</f>
        <v>0</v>
      </c>
      <c r="T2367" s="53" t="e">
        <f>Tabla14[[#This Row],[DEUDA CAPITAL]]+Tabla14[[#This Row],[INTERES  CUOTA]]</f>
        <v>#NUM!</v>
      </c>
      <c r="U2367" s="61" t="str">
        <f t="shared" si="379"/>
        <v/>
      </c>
    </row>
    <row r="2368" spans="9:21" ht="24.75" customHeight="1" x14ac:dyDescent="0.35">
      <c r="I2368" s="42">
        <f t="shared" si="370"/>
        <v>0</v>
      </c>
      <c r="J2368" s="65" t="e">
        <f t="shared" si="371"/>
        <v>#NUM!</v>
      </c>
      <c r="K2368" s="83" t="e">
        <f t="shared" si="372"/>
        <v>#NUM!</v>
      </c>
      <c r="L2368" s="83">
        <f t="shared" si="373"/>
        <v>0</v>
      </c>
      <c r="M2368" s="110" t="str">
        <f t="shared" si="374"/>
        <v/>
      </c>
      <c r="N2368" s="51" t="str">
        <f t="shared" si="375"/>
        <v/>
      </c>
      <c r="O2368" s="52" t="str">
        <f t="shared" si="376"/>
        <v/>
      </c>
      <c r="P2368" s="88">
        <f t="shared" si="377"/>
        <v>0</v>
      </c>
      <c r="Q2368" s="88">
        <f t="shared" si="378"/>
        <v>0</v>
      </c>
      <c r="R2368" s="88" t="e">
        <f>-IF(Tabla14[[#This Row],[DIAS HABILES O MORA]]&lt;0,(Tabla14[[#This Row],[VALOR PRESTAMO]]*Tabla14[[#This Row],[% INTERES ]]/30*U2368))+Tabla14[[#This Row],[VALOR CUOTAS]]</f>
        <v>#VALUE!</v>
      </c>
      <c r="S2368" s="88">
        <f>-IF(Tabla14[[#This Row],[DIAS HABILES O MORA]]&lt;0,(Tabla14[[#This Row],[VALOR PRESTAMO]]*Tabla14[[#This Row],[% INTERES ]]/30*U2368))</f>
        <v>0</v>
      </c>
      <c r="T2368" s="53" t="e">
        <f>Tabla14[[#This Row],[DEUDA CAPITAL]]+Tabla14[[#This Row],[INTERES  CUOTA]]</f>
        <v>#NUM!</v>
      </c>
      <c r="U2368" s="61" t="str">
        <f t="shared" si="379"/>
        <v/>
      </c>
    </row>
    <row r="2369" spans="9:21" ht="24.75" customHeight="1" x14ac:dyDescent="0.35">
      <c r="I2369" s="42">
        <f t="shared" si="370"/>
        <v>0</v>
      </c>
      <c r="J2369" s="65" t="e">
        <f t="shared" si="371"/>
        <v>#NUM!</v>
      </c>
      <c r="K2369" s="83" t="e">
        <f t="shared" si="372"/>
        <v>#NUM!</v>
      </c>
      <c r="L2369" s="83">
        <f t="shared" si="373"/>
        <v>0</v>
      </c>
      <c r="M2369" s="110" t="str">
        <f t="shared" si="374"/>
        <v/>
      </c>
      <c r="N2369" s="51" t="str">
        <f t="shared" si="375"/>
        <v/>
      </c>
      <c r="O2369" s="52" t="str">
        <f t="shared" si="376"/>
        <v/>
      </c>
      <c r="P2369" s="88">
        <f t="shared" si="377"/>
        <v>0</v>
      </c>
      <c r="Q2369" s="88">
        <f t="shared" si="378"/>
        <v>0</v>
      </c>
      <c r="R2369" s="88" t="e">
        <f>-IF(Tabla14[[#This Row],[DIAS HABILES O MORA]]&lt;0,(Tabla14[[#This Row],[VALOR PRESTAMO]]*Tabla14[[#This Row],[% INTERES ]]/30*U2369))+Tabla14[[#This Row],[VALOR CUOTAS]]</f>
        <v>#VALUE!</v>
      </c>
      <c r="S2369" s="88">
        <f>-IF(Tabla14[[#This Row],[DIAS HABILES O MORA]]&lt;0,(Tabla14[[#This Row],[VALOR PRESTAMO]]*Tabla14[[#This Row],[% INTERES ]]/30*U2369))</f>
        <v>0</v>
      </c>
      <c r="T2369" s="53" t="e">
        <f>Tabla14[[#This Row],[DEUDA CAPITAL]]+Tabla14[[#This Row],[INTERES  CUOTA]]</f>
        <v>#NUM!</v>
      </c>
      <c r="U2369" s="61" t="str">
        <f t="shared" si="379"/>
        <v/>
      </c>
    </row>
    <row r="2370" spans="9:21" ht="24.75" customHeight="1" x14ac:dyDescent="0.35">
      <c r="I2370" s="42">
        <f t="shared" si="370"/>
        <v>0</v>
      </c>
      <c r="J2370" s="65" t="e">
        <f t="shared" si="371"/>
        <v>#NUM!</v>
      </c>
      <c r="K2370" s="83" t="e">
        <f t="shared" si="372"/>
        <v>#NUM!</v>
      </c>
      <c r="L2370" s="83">
        <f t="shared" si="373"/>
        <v>0</v>
      </c>
      <c r="M2370" s="110" t="str">
        <f t="shared" si="374"/>
        <v/>
      </c>
      <c r="N2370" s="51" t="str">
        <f t="shared" si="375"/>
        <v/>
      </c>
      <c r="O2370" s="52" t="str">
        <f t="shared" si="376"/>
        <v/>
      </c>
      <c r="P2370" s="88">
        <f t="shared" si="377"/>
        <v>0</v>
      </c>
      <c r="Q2370" s="88">
        <f t="shared" si="378"/>
        <v>0</v>
      </c>
      <c r="R2370" s="88" t="e">
        <f>-IF(Tabla14[[#This Row],[DIAS HABILES O MORA]]&lt;0,(Tabla14[[#This Row],[VALOR PRESTAMO]]*Tabla14[[#This Row],[% INTERES ]]/30*U2370))+Tabla14[[#This Row],[VALOR CUOTAS]]</f>
        <v>#VALUE!</v>
      </c>
      <c r="S2370" s="88">
        <f>-IF(Tabla14[[#This Row],[DIAS HABILES O MORA]]&lt;0,(Tabla14[[#This Row],[VALOR PRESTAMO]]*Tabla14[[#This Row],[% INTERES ]]/30*U2370))</f>
        <v>0</v>
      </c>
      <c r="T2370" s="53" t="e">
        <f>Tabla14[[#This Row],[DEUDA CAPITAL]]+Tabla14[[#This Row],[INTERES  CUOTA]]</f>
        <v>#NUM!</v>
      </c>
      <c r="U2370" s="61" t="str">
        <f t="shared" si="379"/>
        <v/>
      </c>
    </row>
    <row r="2371" spans="9:21" ht="24.75" customHeight="1" x14ac:dyDescent="0.35">
      <c r="I2371" s="42">
        <f t="shared" si="370"/>
        <v>0</v>
      </c>
      <c r="J2371" s="65" t="e">
        <f t="shared" si="371"/>
        <v>#NUM!</v>
      </c>
      <c r="K2371" s="83" t="e">
        <f t="shared" si="372"/>
        <v>#NUM!</v>
      </c>
      <c r="L2371" s="83">
        <f t="shared" si="373"/>
        <v>0</v>
      </c>
      <c r="M2371" s="110" t="str">
        <f t="shared" si="374"/>
        <v/>
      </c>
      <c r="N2371" s="51" t="str">
        <f t="shared" si="375"/>
        <v/>
      </c>
      <c r="O2371" s="52" t="str">
        <f t="shared" si="376"/>
        <v/>
      </c>
      <c r="P2371" s="88">
        <f t="shared" si="377"/>
        <v>0</v>
      </c>
      <c r="Q2371" s="88">
        <f t="shared" si="378"/>
        <v>0</v>
      </c>
      <c r="R2371" s="88" t="e">
        <f>-IF(Tabla14[[#This Row],[DIAS HABILES O MORA]]&lt;0,(Tabla14[[#This Row],[VALOR PRESTAMO]]*Tabla14[[#This Row],[% INTERES ]]/30*U2371))+Tabla14[[#This Row],[VALOR CUOTAS]]</f>
        <v>#VALUE!</v>
      </c>
      <c r="S2371" s="88">
        <f>-IF(Tabla14[[#This Row],[DIAS HABILES O MORA]]&lt;0,(Tabla14[[#This Row],[VALOR PRESTAMO]]*Tabla14[[#This Row],[% INTERES ]]/30*U2371))</f>
        <v>0</v>
      </c>
      <c r="T2371" s="53" t="e">
        <f>Tabla14[[#This Row],[DEUDA CAPITAL]]+Tabla14[[#This Row],[INTERES  CUOTA]]</f>
        <v>#NUM!</v>
      </c>
      <c r="U2371" s="61" t="str">
        <f t="shared" si="379"/>
        <v/>
      </c>
    </row>
    <row r="2372" spans="9:21" ht="24.75" customHeight="1" x14ac:dyDescent="0.35">
      <c r="I2372" s="42">
        <f t="shared" si="370"/>
        <v>0</v>
      </c>
      <c r="J2372" s="65" t="e">
        <f t="shared" si="371"/>
        <v>#NUM!</v>
      </c>
      <c r="K2372" s="83" t="e">
        <f t="shared" si="372"/>
        <v>#NUM!</v>
      </c>
      <c r="L2372" s="83">
        <f t="shared" si="373"/>
        <v>0</v>
      </c>
      <c r="M2372" s="110" t="str">
        <f t="shared" si="374"/>
        <v/>
      </c>
      <c r="N2372" s="51" t="str">
        <f t="shared" si="375"/>
        <v/>
      </c>
      <c r="O2372" s="52" t="str">
        <f t="shared" si="376"/>
        <v/>
      </c>
      <c r="P2372" s="88">
        <f t="shared" si="377"/>
        <v>0</v>
      </c>
      <c r="Q2372" s="88">
        <f t="shared" si="378"/>
        <v>0</v>
      </c>
      <c r="R2372" s="88" t="e">
        <f>-IF(Tabla14[[#This Row],[DIAS HABILES O MORA]]&lt;0,(Tabla14[[#This Row],[VALOR PRESTAMO]]*Tabla14[[#This Row],[% INTERES ]]/30*U2372))+Tabla14[[#This Row],[VALOR CUOTAS]]</f>
        <v>#VALUE!</v>
      </c>
      <c r="S2372" s="88">
        <f>-IF(Tabla14[[#This Row],[DIAS HABILES O MORA]]&lt;0,(Tabla14[[#This Row],[VALOR PRESTAMO]]*Tabla14[[#This Row],[% INTERES ]]/30*U2372))</f>
        <v>0</v>
      </c>
      <c r="T2372" s="53" t="e">
        <f>Tabla14[[#This Row],[DEUDA CAPITAL]]+Tabla14[[#This Row],[INTERES  CUOTA]]</f>
        <v>#NUM!</v>
      </c>
      <c r="U2372" s="61" t="str">
        <f t="shared" si="379"/>
        <v/>
      </c>
    </row>
    <row r="2373" spans="9:21" ht="24.75" customHeight="1" x14ac:dyDescent="0.35">
      <c r="I2373" s="42">
        <f t="shared" si="370"/>
        <v>0</v>
      </c>
      <c r="J2373" s="65" t="e">
        <f t="shared" si="371"/>
        <v>#NUM!</v>
      </c>
      <c r="K2373" s="83" t="e">
        <f t="shared" si="372"/>
        <v>#NUM!</v>
      </c>
      <c r="L2373" s="83">
        <f t="shared" si="373"/>
        <v>0</v>
      </c>
      <c r="M2373" s="110" t="str">
        <f t="shared" si="374"/>
        <v/>
      </c>
      <c r="N2373" s="51" t="str">
        <f t="shared" si="375"/>
        <v/>
      </c>
      <c r="O2373" s="52" t="str">
        <f t="shared" si="376"/>
        <v/>
      </c>
      <c r="P2373" s="88">
        <f t="shared" si="377"/>
        <v>0</v>
      </c>
      <c r="Q2373" s="88">
        <f t="shared" si="378"/>
        <v>0</v>
      </c>
      <c r="R2373" s="88" t="e">
        <f>-IF(Tabla14[[#This Row],[DIAS HABILES O MORA]]&lt;0,(Tabla14[[#This Row],[VALOR PRESTAMO]]*Tabla14[[#This Row],[% INTERES ]]/30*U2373))+Tabla14[[#This Row],[VALOR CUOTAS]]</f>
        <v>#VALUE!</v>
      </c>
      <c r="S2373" s="88">
        <f>-IF(Tabla14[[#This Row],[DIAS HABILES O MORA]]&lt;0,(Tabla14[[#This Row],[VALOR PRESTAMO]]*Tabla14[[#This Row],[% INTERES ]]/30*U2373))</f>
        <v>0</v>
      </c>
      <c r="T2373" s="53" t="e">
        <f>Tabla14[[#This Row],[DEUDA CAPITAL]]+Tabla14[[#This Row],[INTERES  CUOTA]]</f>
        <v>#NUM!</v>
      </c>
      <c r="U2373" s="61" t="str">
        <f t="shared" si="379"/>
        <v/>
      </c>
    </row>
    <row r="2374" spans="9:21" ht="24.75" customHeight="1" x14ac:dyDescent="0.35">
      <c r="I2374" s="42">
        <f t="shared" si="370"/>
        <v>0</v>
      </c>
      <c r="J2374" s="65" t="e">
        <f t="shared" si="371"/>
        <v>#NUM!</v>
      </c>
      <c r="K2374" s="83" t="e">
        <f t="shared" si="372"/>
        <v>#NUM!</v>
      </c>
      <c r="L2374" s="83">
        <f t="shared" si="373"/>
        <v>0</v>
      </c>
      <c r="M2374" s="110" t="str">
        <f t="shared" si="374"/>
        <v/>
      </c>
      <c r="N2374" s="51" t="str">
        <f t="shared" si="375"/>
        <v/>
      </c>
      <c r="O2374" s="52" t="str">
        <f t="shared" si="376"/>
        <v/>
      </c>
      <c r="P2374" s="88">
        <f t="shared" si="377"/>
        <v>0</v>
      </c>
      <c r="Q2374" s="88">
        <f t="shared" si="378"/>
        <v>0</v>
      </c>
      <c r="R2374" s="88" t="e">
        <f>-IF(Tabla14[[#This Row],[DIAS HABILES O MORA]]&lt;0,(Tabla14[[#This Row],[VALOR PRESTAMO]]*Tabla14[[#This Row],[% INTERES ]]/30*U2374))+Tabla14[[#This Row],[VALOR CUOTAS]]</f>
        <v>#VALUE!</v>
      </c>
      <c r="S2374" s="88">
        <f>-IF(Tabla14[[#This Row],[DIAS HABILES O MORA]]&lt;0,(Tabla14[[#This Row],[VALOR PRESTAMO]]*Tabla14[[#This Row],[% INTERES ]]/30*U2374))</f>
        <v>0</v>
      </c>
      <c r="T2374" s="53" t="e">
        <f>Tabla14[[#This Row],[DEUDA CAPITAL]]+Tabla14[[#This Row],[INTERES  CUOTA]]</f>
        <v>#NUM!</v>
      </c>
      <c r="U2374" s="61" t="str">
        <f t="shared" si="379"/>
        <v/>
      </c>
    </row>
    <row r="2375" spans="9:21" ht="24.75" customHeight="1" x14ac:dyDescent="0.35">
      <c r="I2375" s="42">
        <f t="shared" si="370"/>
        <v>0</v>
      </c>
      <c r="J2375" s="65" t="e">
        <f t="shared" si="371"/>
        <v>#NUM!</v>
      </c>
      <c r="K2375" s="83" t="e">
        <f t="shared" si="372"/>
        <v>#NUM!</v>
      </c>
      <c r="L2375" s="83">
        <f t="shared" si="373"/>
        <v>0</v>
      </c>
      <c r="M2375" s="110" t="str">
        <f t="shared" si="374"/>
        <v/>
      </c>
      <c r="N2375" s="51" t="str">
        <f t="shared" si="375"/>
        <v/>
      </c>
      <c r="O2375" s="52" t="str">
        <f t="shared" si="376"/>
        <v/>
      </c>
      <c r="P2375" s="88">
        <f t="shared" si="377"/>
        <v>0</v>
      </c>
      <c r="Q2375" s="88">
        <f t="shared" si="378"/>
        <v>0</v>
      </c>
      <c r="R2375" s="88" t="e">
        <f>-IF(Tabla14[[#This Row],[DIAS HABILES O MORA]]&lt;0,(Tabla14[[#This Row],[VALOR PRESTAMO]]*Tabla14[[#This Row],[% INTERES ]]/30*U2375))+Tabla14[[#This Row],[VALOR CUOTAS]]</f>
        <v>#VALUE!</v>
      </c>
      <c r="S2375" s="88">
        <f>-IF(Tabla14[[#This Row],[DIAS HABILES O MORA]]&lt;0,(Tabla14[[#This Row],[VALOR PRESTAMO]]*Tabla14[[#This Row],[% INTERES ]]/30*U2375))</f>
        <v>0</v>
      </c>
      <c r="T2375" s="53" t="e">
        <f>Tabla14[[#This Row],[DEUDA CAPITAL]]+Tabla14[[#This Row],[INTERES  CUOTA]]</f>
        <v>#NUM!</v>
      </c>
      <c r="U2375" s="61" t="str">
        <f t="shared" si="379"/>
        <v/>
      </c>
    </row>
    <row r="2376" spans="9:21" ht="24.75" customHeight="1" x14ac:dyDescent="0.35">
      <c r="I2376" s="42">
        <f t="shared" si="370"/>
        <v>0</v>
      </c>
      <c r="J2376" s="65" t="e">
        <f t="shared" si="371"/>
        <v>#NUM!</v>
      </c>
      <c r="K2376" s="83" t="e">
        <f t="shared" si="372"/>
        <v>#NUM!</v>
      </c>
      <c r="L2376" s="83">
        <f t="shared" si="373"/>
        <v>0</v>
      </c>
      <c r="M2376" s="110" t="str">
        <f t="shared" si="374"/>
        <v/>
      </c>
      <c r="N2376" s="51" t="str">
        <f t="shared" si="375"/>
        <v/>
      </c>
      <c r="O2376" s="52" t="str">
        <f t="shared" si="376"/>
        <v/>
      </c>
      <c r="P2376" s="88">
        <f t="shared" si="377"/>
        <v>0</v>
      </c>
      <c r="Q2376" s="88">
        <f t="shared" si="378"/>
        <v>0</v>
      </c>
      <c r="R2376" s="88" t="e">
        <f>-IF(Tabla14[[#This Row],[DIAS HABILES O MORA]]&lt;0,(Tabla14[[#This Row],[VALOR PRESTAMO]]*Tabla14[[#This Row],[% INTERES ]]/30*U2376))+Tabla14[[#This Row],[VALOR CUOTAS]]</f>
        <v>#VALUE!</v>
      </c>
      <c r="S2376" s="88">
        <f>-IF(Tabla14[[#This Row],[DIAS HABILES O MORA]]&lt;0,(Tabla14[[#This Row],[VALOR PRESTAMO]]*Tabla14[[#This Row],[% INTERES ]]/30*U2376))</f>
        <v>0</v>
      </c>
      <c r="T2376" s="53" t="e">
        <f>Tabla14[[#This Row],[DEUDA CAPITAL]]+Tabla14[[#This Row],[INTERES  CUOTA]]</f>
        <v>#NUM!</v>
      </c>
      <c r="U2376" s="61" t="str">
        <f t="shared" si="379"/>
        <v/>
      </c>
    </row>
    <row r="2377" spans="9:21" ht="24.75" customHeight="1" x14ac:dyDescent="0.35">
      <c r="I2377" s="42">
        <f t="shared" si="370"/>
        <v>0</v>
      </c>
      <c r="J2377" s="65" t="e">
        <f t="shared" si="371"/>
        <v>#NUM!</v>
      </c>
      <c r="K2377" s="83" t="e">
        <f t="shared" si="372"/>
        <v>#NUM!</v>
      </c>
      <c r="L2377" s="83">
        <f t="shared" si="373"/>
        <v>0</v>
      </c>
      <c r="M2377" s="110" t="str">
        <f t="shared" si="374"/>
        <v/>
      </c>
      <c r="N2377" s="51" t="str">
        <f t="shared" si="375"/>
        <v/>
      </c>
      <c r="O2377" s="52" t="str">
        <f t="shared" si="376"/>
        <v/>
      </c>
      <c r="P2377" s="88">
        <f t="shared" si="377"/>
        <v>0</v>
      </c>
      <c r="Q2377" s="88">
        <f t="shared" si="378"/>
        <v>0</v>
      </c>
      <c r="R2377" s="88" t="e">
        <f>-IF(Tabla14[[#This Row],[DIAS HABILES O MORA]]&lt;0,(Tabla14[[#This Row],[VALOR PRESTAMO]]*Tabla14[[#This Row],[% INTERES ]]/30*U2377))+Tabla14[[#This Row],[VALOR CUOTAS]]</f>
        <v>#VALUE!</v>
      </c>
      <c r="S2377" s="88">
        <f>-IF(Tabla14[[#This Row],[DIAS HABILES O MORA]]&lt;0,(Tabla14[[#This Row],[VALOR PRESTAMO]]*Tabla14[[#This Row],[% INTERES ]]/30*U2377))</f>
        <v>0</v>
      </c>
      <c r="T2377" s="53" t="e">
        <f>Tabla14[[#This Row],[DEUDA CAPITAL]]+Tabla14[[#This Row],[INTERES  CUOTA]]</f>
        <v>#NUM!</v>
      </c>
      <c r="U2377" s="61" t="str">
        <f t="shared" si="379"/>
        <v/>
      </c>
    </row>
    <row r="2378" spans="9:21" ht="24.75" customHeight="1" x14ac:dyDescent="0.35">
      <c r="I2378" s="42">
        <f t="shared" si="370"/>
        <v>0</v>
      </c>
      <c r="J2378" s="65" t="e">
        <f t="shared" si="371"/>
        <v>#NUM!</v>
      </c>
      <c r="K2378" s="83" t="e">
        <f t="shared" si="372"/>
        <v>#NUM!</v>
      </c>
      <c r="L2378" s="83">
        <f t="shared" si="373"/>
        <v>0</v>
      </c>
      <c r="M2378" s="110" t="str">
        <f t="shared" si="374"/>
        <v/>
      </c>
      <c r="N2378" s="51" t="str">
        <f t="shared" si="375"/>
        <v/>
      </c>
      <c r="O2378" s="52" t="str">
        <f t="shared" si="376"/>
        <v/>
      </c>
      <c r="P2378" s="88">
        <f t="shared" si="377"/>
        <v>0</v>
      </c>
      <c r="Q2378" s="88">
        <f t="shared" si="378"/>
        <v>0</v>
      </c>
      <c r="R2378" s="88" t="e">
        <f>-IF(Tabla14[[#This Row],[DIAS HABILES O MORA]]&lt;0,(Tabla14[[#This Row],[VALOR PRESTAMO]]*Tabla14[[#This Row],[% INTERES ]]/30*U2378))+Tabla14[[#This Row],[VALOR CUOTAS]]</f>
        <v>#VALUE!</v>
      </c>
      <c r="S2378" s="88">
        <f>-IF(Tabla14[[#This Row],[DIAS HABILES O MORA]]&lt;0,(Tabla14[[#This Row],[VALOR PRESTAMO]]*Tabla14[[#This Row],[% INTERES ]]/30*U2378))</f>
        <v>0</v>
      </c>
      <c r="T2378" s="53" t="e">
        <f>Tabla14[[#This Row],[DEUDA CAPITAL]]+Tabla14[[#This Row],[INTERES  CUOTA]]</f>
        <v>#NUM!</v>
      </c>
      <c r="U2378" s="61" t="str">
        <f t="shared" si="379"/>
        <v/>
      </c>
    </row>
    <row r="2379" spans="9:21" ht="24.75" customHeight="1" x14ac:dyDescent="0.35">
      <c r="I2379" s="42">
        <f t="shared" si="370"/>
        <v>0</v>
      </c>
      <c r="J2379" s="65" t="e">
        <f t="shared" si="371"/>
        <v>#NUM!</v>
      </c>
      <c r="K2379" s="83" t="e">
        <f t="shared" si="372"/>
        <v>#NUM!</v>
      </c>
      <c r="L2379" s="83">
        <f t="shared" si="373"/>
        <v>0</v>
      </c>
      <c r="M2379" s="110" t="str">
        <f t="shared" si="374"/>
        <v/>
      </c>
      <c r="N2379" s="51" t="str">
        <f t="shared" si="375"/>
        <v/>
      </c>
      <c r="O2379" s="52" t="str">
        <f t="shared" si="376"/>
        <v/>
      </c>
      <c r="P2379" s="88">
        <f t="shared" si="377"/>
        <v>0</v>
      </c>
      <c r="Q2379" s="88">
        <f t="shared" si="378"/>
        <v>0</v>
      </c>
      <c r="R2379" s="88" t="e">
        <f>-IF(Tabla14[[#This Row],[DIAS HABILES O MORA]]&lt;0,(Tabla14[[#This Row],[VALOR PRESTAMO]]*Tabla14[[#This Row],[% INTERES ]]/30*U2379))+Tabla14[[#This Row],[VALOR CUOTAS]]</f>
        <v>#VALUE!</v>
      </c>
      <c r="S2379" s="88">
        <f>-IF(Tabla14[[#This Row],[DIAS HABILES O MORA]]&lt;0,(Tabla14[[#This Row],[VALOR PRESTAMO]]*Tabla14[[#This Row],[% INTERES ]]/30*U2379))</f>
        <v>0</v>
      </c>
      <c r="T2379" s="53" t="e">
        <f>Tabla14[[#This Row],[DEUDA CAPITAL]]+Tabla14[[#This Row],[INTERES  CUOTA]]</f>
        <v>#NUM!</v>
      </c>
      <c r="U2379" s="61" t="str">
        <f t="shared" si="379"/>
        <v/>
      </c>
    </row>
    <row r="2380" spans="9:21" ht="24.75" customHeight="1" x14ac:dyDescent="0.35">
      <c r="I2380" s="42">
        <f t="shared" si="370"/>
        <v>0</v>
      </c>
      <c r="J2380" s="65" t="e">
        <f t="shared" si="371"/>
        <v>#NUM!</v>
      </c>
      <c r="K2380" s="83" t="e">
        <f t="shared" si="372"/>
        <v>#NUM!</v>
      </c>
      <c r="L2380" s="83">
        <f t="shared" si="373"/>
        <v>0</v>
      </c>
      <c r="M2380" s="110" t="str">
        <f t="shared" si="374"/>
        <v/>
      </c>
      <c r="N2380" s="51" t="str">
        <f t="shared" si="375"/>
        <v/>
      </c>
      <c r="O2380" s="52" t="str">
        <f t="shared" si="376"/>
        <v/>
      </c>
      <c r="P2380" s="88">
        <f t="shared" si="377"/>
        <v>0</v>
      </c>
      <c r="Q2380" s="88">
        <f t="shared" si="378"/>
        <v>0</v>
      </c>
      <c r="R2380" s="88" t="e">
        <f>-IF(Tabla14[[#This Row],[DIAS HABILES O MORA]]&lt;0,(Tabla14[[#This Row],[VALOR PRESTAMO]]*Tabla14[[#This Row],[% INTERES ]]/30*U2380))+Tabla14[[#This Row],[VALOR CUOTAS]]</f>
        <v>#VALUE!</v>
      </c>
      <c r="S2380" s="88">
        <f>-IF(Tabla14[[#This Row],[DIAS HABILES O MORA]]&lt;0,(Tabla14[[#This Row],[VALOR PRESTAMO]]*Tabla14[[#This Row],[% INTERES ]]/30*U2380))</f>
        <v>0</v>
      </c>
      <c r="T2380" s="53" t="e">
        <f>Tabla14[[#This Row],[DEUDA CAPITAL]]+Tabla14[[#This Row],[INTERES  CUOTA]]</f>
        <v>#NUM!</v>
      </c>
      <c r="U2380" s="61" t="str">
        <f t="shared" si="379"/>
        <v/>
      </c>
    </row>
    <row r="2381" spans="9:21" ht="24.75" customHeight="1" x14ac:dyDescent="0.35">
      <c r="I2381" s="42">
        <f t="shared" si="370"/>
        <v>0</v>
      </c>
      <c r="J2381" s="65" t="e">
        <f t="shared" si="371"/>
        <v>#NUM!</v>
      </c>
      <c r="K2381" s="83" t="e">
        <f t="shared" si="372"/>
        <v>#NUM!</v>
      </c>
      <c r="L2381" s="83">
        <f t="shared" si="373"/>
        <v>0</v>
      </c>
      <c r="M2381" s="110" t="str">
        <f t="shared" si="374"/>
        <v/>
      </c>
      <c r="N2381" s="51" t="str">
        <f t="shared" si="375"/>
        <v/>
      </c>
      <c r="O2381" s="52" t="str">
        <f t="shared" si="376"/>
        <v/>
      </c>
      <c r="P2381" s="88">
        <f t="shared" si="377"/>
        <v>0</v>
      </c>
      <c r="Q2381" s="88">
        <f t="shared" si="378"/>
        <v>0</v>
      </c>
      <c r="R2381" s="88" t="e">
        <f>-IF(Tabla14[[#This Row],[DIAS HABILES O MORA]]&lt;0,(Tabla14[[#This Row],[VALOR PRESTAMO]]*Tabla14[[#This Row],[% INTERES ]]/30*U2381))+Tabla14[[#This Row],[VALOR CUOTAS]]</f>
        <v>#VALUE!</v>
      </c>
      <c r="S2381" s="88">
        <f>-IF(Tabla14[[#This Row],[DIAS HABILES O MORA]]&lt;0,(Tabla14[[#This Row],[VALOR PRESTAMO]]*Tabla14[[#This Row],[% INTERES ]]/30*U2381))</f>
        <v>0</v>
      </c>
      <c r="T2381" s="53" t="e">
        <f>Tabla14[[#This Row],[DEUDA CAPITAL]]+Tabla14[[#This Row],[INTERES  CUOTA]]</f>
        <v>#NUM!</v>
      </c>
      <c r="U2381" s="61" t="str">
        <f t="shared" si="379"/>
        <v/>
      </c>
    </row>
    <row r="2382" spans="9:21" ht="24.75" customHeight="1" x14ac:dyDescent="0.35">
      <c r="I2382" s="42">
        <f t="shared" si="370"/>
        <v>0</v>
      </c>
      <c r="J2382" s="65" t="e">
        <f t="shared" si="371"/>
        <v>#NUM!</v>
      </c>
      <c r="K2382" s="83" t="e">
        <f t="shared" si="372"/>
        <v>#NUM!</v>
      </c>
      <c r="L2382" s="83">
        <f t="shared" si="373"/>
        <v>0</v>
      </c>
      <c r="M2382" s="110" t="str">
        <f t="shared" si="374"/>
        <v/>
      </c>
      <c r="N2382" s="51" t="str">
        <f t="shared" si="375"/>
        <v/>
      </c>
      <c r="O2382" s="52" t="str">
        <f t="shared" si="376"/>
        <v/>
      </c>
      <c r="P2382" s="88">
        <f t="shared" si="377"/>
        <v>0</v>
      </c>
      <c r="Q2382" s="88">
        <f t="shared" si="378"/>
        <v>0</v>
      </c>
      <c r="R2382" s="88" t="e">
        <f>-IF(Tabla14[[#This Row],[DIAS HABILES O MORA]]&lt;0,(Tabla14[[#This Row],[VALOR PRESTAMO]]*Tabla14[[#This Row],[% INTERES ]]/30*U2382))+Tabla14[[#This Row],[VALOR CUOTAS]]</f>
        <v>#VALUE!</v>
      </c>
      <c r="S2382" s="88">
        <f>-IF(Tabla14[[#This Row],[DIAS HABILES O MORA]]&lt;0,(Tabla14[[#This Row],[VALOR PRESTAMO]]*Tabla14[[#This Row],[% INTERES ]]/30*U2382))</f>
        <v>0</v>
      </c>
      <c r="T2382" s="53" t="e">
        <f>Tabla14[[#This Row],[DEUDA CAPITAL]]+Tabla14[[#This Row],[INTERES  CUOTA]]</f>
        <v>#NUM!</v>
      </c>
      <c r="U2382" s="61" t="str">
        <f t="shared" si="379"/>
        <v/>
      </c>
    </row>
    <row r="2383" spans="9:21" ht="24.75" customHeight="1" x14ac:dyDescent="0.35">
      <c r="I2383" s="42">
        <f t="shared" si="370"/>
        <v>0</v>
      </c>
      <c r="J2383" s="65" t="e">
        <f t="shared" si="371"/>
        <v>#NUM!</v>
      </c>
      <c r="K2383" s="83" t="e">
        <f t="shared" si="372"/>
        <v>#NUM!</v>
      </c>
      <c r="L2383" s="83">
        <f t="shared" si="373"/>
        <v>0</v>
      </c>
      <c r="M2383" s="110" t="str">
        <f t="shared" si="374"/>
        <v/>
      </c>
      <c r="N2383" s="51" t="str">
        <f t="shared" si="375"/>
        <v/>
      </c>
      <c r="O2383" s="52" t="str">
        <f t="shared" si="376"/>
        <v/>
      </c>
      <c r="P2383" s="88">
        <f t="shared" si="377"/>
        <v>0</v>
      </c>
      <c r="Q2383" s="88">
        <f t="shared" si="378"/>
        <v>0</v>
      </c>
      <c r="R2383" s="88" t="e">
        <f>-IF(Tabla14[[#This Row],[DIAS HABILES O MORA]]&lt;0,(Tabla14[[#This Row],[VALOR PRESTAMO]]*Tabla14[[#This Row],[% INTERES ]]/30*U2383))+Tabla14[[#This Row],[VALOR CUOTAS]]</f>
        <v>#VALUE!</v>
      </c>
      <c r="S2383" s="88">
        <f>-IF(Tabla14[[#This Row],[DIAS HABILES O MORA]]&lt;0,(Tabla14[[#This Row],[VALOR PRESTAMO]]*Tabla14[[#This Row],[% INTERES ]]/30*U2383))</f>
        <v>0</v>
      </c>
      <c r="T2383" s="53" t="e">
        <f>Tabla14[[#This Row],[DEUDA CAPITAL]]+Tabla14[[#This Row],[INTERES  CUOTA]]</f>
        <v>#NUM!</v>
      </c>
      <c r="U2383" s="61" t="str">
        <f t="shared" si="379"/>
        <v/>
      </c>
    </row>
    <row r="2384" spans="9:21" ht="24.75" customHeight="1" x14ac:dyDescent="0.35">
      <c r="I2384" s="42">
        <f t="shared" ref="I2384:I2447" si="380">IF(C2384&lt;0,"",IF(Q2384=0,0,IF(G2384=0,H2384+1,IF(H2384&lt;G2384,H2384+1,IF(G2384=H2384,0)))))</f>
        <v>0</v>
      </c>
      <c r="J2384" s="65" t="e">
        <f t="shared" ref="J2384:J2447" si="381">IF(F2384="SOLO INTERES",Q2384*D2384,-IPMT(D2384,I2384,G2384,C2384))</f>
        <v>#NUM!</v>
      </c>
      <c r="K2384" s="83" t="e">
        <f t="shared" ref="K2384:K2447" si="382">IF(F2384="SOLO INTERES",0,-PPMT(D2384,I2384,G2384,C2384))</f>
        <v>#NUM!</v>
      </c>
      <c r="L2384" s="83">
        <f t="shared" ref="L2384:L2447" si="383">IF(F2384="SOLO INTERES",SUM(Y2384:AAE2384),IFERROR(-CUMIPMT(D2384,G2384,C2384,1,H2384,0),0)+SUM(Y2384:WY2384))</f>
        <v>0</v>
      </c>
      <c r="M2384" s="110" t="str">
        <f t="shared" ref="M2384:M2447" si="384">IFERROR(IF(F2384="SOLO INTERES",Q2384*D2384,-PMT(D2384,G2384,C2384,0)),"")</f>
        <v/>
      </c>
      <c r="N2384" s="51" t="str">
        <f t="shared" ref="N2384:N2447" si="385">IF(Q2384=0,"",IF(E2384="MENSUAL",EDATE(B2384,I2384),IF(E2384="QUINCENAL",B2384+(I2384*15),IF(E2384="SEMANAL",B2384+(I2384*7)))))</f>
        <v/>
      </c>
      <c r="O2384" s="52" t="str">
        <f t="shared" ref="O2384:O2447" si="386">IF(C2384=0,"",IF(Q2384&lt;1,"PAGADO",IF(N2384=$A$3,"COBRAR HOY",IF(N2384&lt;$A$3,"EN MORA",IF(N2384&gt;$A$3,"AL DIA")))))</f>
        <v/>
      </c>
      <c r="P2384" s="88">
        <f t="shared" ref="P2384:P2447" si="387">IFERROR(-CUMPRINC(D2384,G2384,C2384,1,H2384,0),0)+W2384</f>
        <v>0</v>
      </c>
      <c r="Q2384" s="88">
        <f t="shared" ref="Q2384:Q2447" si="388">IFERROR(C2384-P2384,"")</f>
        <v>0</v>
      </c>
      <c r="R2384" s="88" t="e">
        <f>-IF(Tabla14[[#This Row],[DIAS HABILES O MORA]]&lt;0,(Tabla14[[#This Row],[VALOR PRESTAMO]]*Tabla14[[#This Row],[% INTERES ]]/30*U2384))+Tabla14[[#This Row],[VALOR CUOTAS]]</f>
        <v>#VALUE!</v>
      </c>
      <c r="S2384" s="88">
        <f>-IF(Tabla14[[#This Row],[DIAS HABILES O MORA]]&lt;0,(Tabla14[[#This Row],[VALOR PRESTAMO]]*Tabla14[[#This Row],[% INTERES ]]/30*U2384))</f>
        <v>0</v>
      </c>
      <c r="T2384" s="53" t="e">
        <f>Tabla14[[#This Row],[DEUDA CAPITAL]]+Tabla14[[#This Row],[INTERES  CUOTA]]</f>
        <v>#NUM!</v>
      </c>
      <c r="U2384" s="61" t="str">
        <f t="shared" ref="U2384:U2447" si="389">IF(O2384="PAGADO","",IFERROR(-IF(C2384=0,"",$A$3-N2384),""))</f>
        <v/>
      </c>
    </row>
    <row r="2385" spans="9:21" ht="24.75" customHeight="1" x14ac:dyDescent="0.35">
      <c r="I2385" s="42">
        <f t="shared" si="380"/>
        <v>0</v>
      </c>
      <c r="J2385" s="65" t="e">
        <f t="shared" si="381"/>
        <v>#NUM!</v>
      </c>
      <c r="K2385" s="83" t="e">
        <f t="shared" si="382"/>
        <v>#NUM!</v>
      </c>
      <c r="L2385" s="83">
        <f t="shared" si="383"/>
        <v>0</v>
      </c>
      <c r="M2385" s="110" t="str">
        <f t="shared" si="384"/>
        <v/>
      </c>
      <c r="N2385" s="51" t="str">
        <f t="shared" si="385"/>
        <v/>
      </c>
      <c r="O2385" s="52" t="str">
        <f t="shared" si="386"/>
        <v/>
      </c>
      <c r="P2385" s="88">
        <f t="shared" si="387"/>
        <v>0</v>
      </c>
      <c r="Q2385" s="88">
        <f t="shared" si="388"/>
        <v>0</v>
      </c>
      <c r="R2385" s="88" t="e">
        <f>-IF(Tabla14[[#This Row],[DIAS HABILES O MORA]]&lt;0,(Tabla14[[#This Row],[VALOR PRESTAMO]]*Tabla14[[#This Row],[% INTERES ]]/30*U2385))+Tabla14[[#This Row],[VALOR CUOTAS]]</f>
        <v>#VALUE!</v>
      </c>
      <c r="S2385" s="88">
        <f>-IF(Tabla14[[#This Row],[DIAS HABILES O MORA]]&lt;0,(Tabla14[[#This Row],[VALOR PRESTAMO]]*Tabla14[[#This Row],[% INTERES ]]/30*U2385))</f>
        <v>0</v>
      </c>
      <c r="T2385" s="53" t="e">
        <f>Tabla14[[#This Row],[DEUDA CAPITAL]]+Tabla14[[#This Row],[INTERES  CUOTA]]</f>
        <v>#NUM!</v>
      </c>
      <c r="U2385" s="61" t="str">
        <f t="shared" si="389"/>
        <v/>
      </c>
    </row>
    <row r="2386" spans="9:21" ht="24.75" customHeight="1" x14ac:dyDescent="0.35">
      <c r="I2386" s="42">
        <f t="shared" si="380"/>
        <v>0</v>
      </c>
      <c r="J2386" s="65" t="e">
        <f t="shared" si="381"/>
        <v>#NUM!</v>
      </c>
      <c r="K2386" s="83" t="e">
        <f t="shared" si="382"/>
        <v>#NUM!</v>
      </c>
      <c r="L2386" s="83">
        <f t="shared" si="383"/>
        <v>0</v>
      </c>
      <c r="M2386" s="110" t="str">
        <f t="shared" si="384"/>
        <v/>
      </c>
      <c r="N2386" s="51" t="str">
        <f t="shared" si="385"/>
        <v/>
      </c>
      <c r="O2386" s="52" t="str">
        <f t="shared" si="386"/>
        <v/>
      </c>
      <c r="P2386" s="88">
        <f t="shared" si="387"/>
        <v>0</v>
      </c>
      <c r="Q2386" s="88">
        <f t="shared" si="388"/>
        <v>0</v>
      </c>
      <c r="R2386" s="88" t="e">
        <f>-IF(Tabla14[[#This Row],[DIAS HABILES O MORA]]&lt;0,(Tabla14[[#This Row],[VALOR PRESTAMO]]*Tabla14[[#This Row],[% INTERES ]]/30*U2386))+Tabla14[[#This Row],[VALOR CUOTAS]]</f>
        <v>#VALUE!</v>
      </c>
      <c r="S2386" s="88">
        <f>-IF(Tabla14[[#This Row],[DIAS HABILES O MORA]]&lt;0,(Tabla14[[#This Row],[VALOR PRESTAMO]]*Tabla14[[#This Row],[% INTERES ]]/30*U2386))</f>
        <v>0</v>
      </c>
      <c r="T2386" s="53" t="e">
        <f>Tabla14[[#This Row],[DEUDA CAPITAL]]+Tabla14[[#This Row],[INTERES  CUOTA]]</f>
        <v>#NUM!</v>
      </c>
      <c r="U2386" s="61" t="str">
        <f t="shared" si="389"/>
        <v/>
      </c>
    </row>
    <row r="2387" spans="9:21" ht="24.75" customHeight="1" x14ac:dyDescent="0.35">
      <c r="I2387" s="42">
        <f t="shared" si="380"/>
        <v>0</v>
      </c>
      <c r="J2387" s="65" t="e">
        <f t="shared" si="381"/>
        <v>#NUM!</v>
      </c>
      <c r="K2387" s="83" t="e">
        <f t="shared" si="382"/>
        <v>#NUM!</v>
      </c>
      <c r="L2387" s="83">
        <f t="shared" si="383"/>
        <v>0</v>
      </c>
      <c r="M2387" s="110" t="str">
        <f t="shared" si="384"/>
        <v/>
      </c>
      <c r="N2387" s="51" t="str">
        <f t="shared" si="385"/>
        <v/>
      </c>
      <c r="O2387" s="52" t="str">
        <f t="shared" si="386"/>
        <v/>
      </c>
      <c r="P2387" s="88">
        <f t="shared" si="387"/>
        <v>0</v>
      </c>
      <c r="Q2387" s="88">
        <f t="shared" si="388"/>
        <v>0</v>
      </c>
      <c r="R2387" s="88" t="e">
        <f>-IF(Tabla14[[#This Row],[DIAS HABILES O MORA]]&lt;0,(Tabla14[[#This Row],[VALOR PRESTAMO]]*Tabla14[[#This Row],[% INTERES ]]/30*U2387))+Tabla14[[#This Row],[VALOR CUOTAS]]</f>
        <v>#VALUE!</v>
      </c>
      <c r="S2387" s="88">
        <f>-IF(Tabla14[[#This Row],[DIAS HABILES O MORA]]&lt;0,(Tabla14[[#This Row],[VALOR PRESTAMO]]*Tabla14[[#This Row],[% INTERES ]]/30*U2387))</f>
        <v>0</v>
      </c>
      <c r="T2387" s="53" t="e">
        <f>Tabla14[[#This Row],[DEUDA CAPITAL]]+Tabla14[[#This Row],[INTERES  CUOTA]]</f>
        <v>#NUM!</v>
      </c>
      <c r="U2387" s="61" t="str">
        <f t="shared" si="389"/>
        <v/>
      </c>
    </row>
    <row r="2388" spans="9:21" ht="24.75" customHeight="1" x14ac:dyDescent="0.35">
      <c r="I2388" s="42">
        <f t="shared" si="380"/>
        <v>0</v>
      </c>
      <c r="J2388" s="65" t="e">
        <f t="shared" si="381"/>
        <v>#NUM!</v>
      </c>
      <c r="K2388" s="83" t="e">
        <f t="shared" si="382"/>
        <v>#NUM!</v>
      </c>
      <c r="L2388" s="83">
        <f t="shared" si="383"/>
        <v>0</v>
      </c>
      <c r="M2388" s="110" t="str">
        <f t="shared" si="384"/>
        <v/>
      </c>
      <c r="N2388" s="51" t="str">
        <f t="shared" si="385"/>
        <v/>
      </c>
      <c r="O2388" s="52" t="str">
        <f t="shared" si="386"/>
        <v/>
      </c>
      <c r="P2388" s="88">
        <f t="shared" si="387"/>
        <v>0</v>
      </c>
      <c r="Q2388" s="88">
        <f t="shared" si="388"/>
        <v>0</v>
      </c>
      <c r="R2388" s="88" t="e">
        <f>-IF(Tabla14[[#This Row],[DIAS HABILES O MORA]]&lt;0,(Tabla14[[#This Row],[VALOR PRESTAMO]]*Tabla14[[#This Row],[% INTERES ]]/30*U2388))+Tabla14[[#This Row],[VALOR CUOTAS]]</f>
        <v>#VALUE!</v>
      </c>
      <c r="S2388" s="88">
        <f>-IF(Tabla14[[#This Row],[DIAS HABILES O MORA]]&lt;0,(Tabla14[[#This Row],[VALOR PRESTAMO]]*Tabla14[[#This Row],[% INTERES ]]/30*U2388))</f>
        <v>0</v>
      </c>
      <c r="T2388" s="53" t="e">
        <f>Tabla14[[#This Row],[DEUDA CAPITAL]]+Tabla14[[#This Row],[INTERES  CUOTA]]</f>
        <v>#NUM!</v>
      </c>
      <c r="U2388" s="61" t="str">
        <f t="shared" si="389"/>
        <v/>
      </c>
    </row>
    <row r="2389" spans="9:21" ht="24.75" customHeight="1" x14ac:dyDescent="0.35">
      <c r="I2389" s="42">
        <f t="shared" si="380"/>
        <v>0</v>
      </c>
      <c r="J2389" s="65" t="e">
        <f t="shared" si="381"/>
        <v>#NUM!</v>
      </c>
      <c r="K2389" s="83" t="e">
        <f t="shared" si="382"/>
        <v>#NUM!</v>
      </c>
      <c r="L2389" s="83">
        <f t="shared" si="383"/>
        <v>0</v>
      </c>
      <c r="M2389" s="110" t="str">
        <f t="shared" si="384"/>
        <v/>
      </c>
      <c r="N2389" s="51" t="str">
        <f t="shared" si="385"/>
        <v/>
      </c>
      <c r="O2389" s="52" t="str">
        <f t="shared" si="386"/>
        <v/>
      </c>
      <c r="P2389" s="88">
        <f t="shared" si="387"/>
        <v>0</v>
      </c>
      <c r="Q2389" s="88">
        <f t="shared" si="388"/>
        <v>0</v>
      </c>
      <c r="R2389" s="88" t="e">
        <f>-IF(Tabla14[[#This Row],[DIAS HABILES O MORA]]&lt;0,(Tabla14[[#This Row],[VALOR PRESTAMO]]*Tabla14[[#This Row],[% INTERES ]]/30*U2389))+Tabla14[[#This Row],[VALOR CUOTAS]]</f>
        <v>#VALUE!</v>
      </c>
      <c r="S2389" s="88">
        <f>-IF(Tabla14[[#This Row],[DIAS HABILES O MORA]]&lt;0,(Tabla14[[#This Row],[VALOR PRESTAMO]]*Tabla14[[#This Row],[% INTERES ]]/30*U2389))</f>
        <v>0</v>
      </c>
      <c r="T2389" s="53" t="e">
        <f>Tabla14[[#This Row],[DEUDA CAPITAL]]+Tabla14[[#This Row],[INTERES  CUOTA]]</f>
        <v>#NUM!</v>
      </c>
      <c r="U2389" s="61" t="str">
        <f t="shared" si="389"/>
        <v/>
      </c>
    </row>
    <row r="2390" spans="9:21" ht="24.75" customHeight="1" x14ac:dyDescent="0.35">
      <c r="I2390" s="42">
        <f t="shared" si="380"/>
        <v>0</v>
      </c>
      <c r="J2390" s="65" t="e">
        <f t="shared" si="381"/>
        <v>#NUM!</v>
      </c>
      <c r="K2390" s="83" t="e">
        <f t="shared" si="382"/>
        <v>#NUM!</v>
      </c>
      <c r="L2390" s="83">
        <f t="shared" si="383"/>
        <v>0</v>
      </c>
      <c r="M2390" s="110" t="str">
        <f t="shared" si="384"/>
        <v/>
      </c>
      <c r="N2390" s="51" t="str">
        <f t="shared" si="385"/>
        <v/>
      </c>
      <c r="O2390" s="52" t="str">
        <f t="shared" si="386"/>
        <v/>
      </c>
      <c r="P2390" s="88">
        <f t="shared" si="387"/>
        <v>0</v>
      </c>
      <c r="Q2390" s="88">
        <f t="shared" si="388"/>
        <v>0</v>
      </c>
      <c r="R2390" s="88" t="e">
        <f>-IF(Tabla14[[#This Row],[DIAS HABILES O MORA]]&lt;0,(Tabla14[[#This Row],[VALOR PRESTAMO]]*Tabla14[[#This Row],[% INTERES ]]/30*U2390))+Tabla14[[#This Row],[VALOR CUOTAS]]</f>
        <v>#VALUE!</v>
      </c>
      <c r="S2390" s="88">
        <f>-IF(Tabla14[[#This Row],[DIAS HABILES O MORA]]&lt;0,(Tabla14[[#This Row],[VALOR PRESTAMO]]*Tabla14[[#This Row],[% INTERES ]]/30*U2390))</f>
        <v>0</v>
      </c>
      <c r="T2390" s="53" t="e">
        <f>Tabla14[[#This Row],[DEUDA CAPITAL]]+Tabla14[[#This Row],[INTERES  CUOTA]]</f>
        <v>#NUM!</v>
      </c>
      <c r="U2390" s="61" t="str">
        <f t="shared" si="389"/>
        <v/>
      </c>
    </row>
    <row r="2391" spans="9:21" ht="24.75" customHeight="1" x14ac:dyDescent="0.35">
      <c r="I2391" s="42">
        <f t="shared" si="380"/>
        <v>0</v>
      </c>
      <c r="J2391" s="65" t="e">
        <f t="shared" si="381"/>
        <v>#NUM!</v>
      </c>
      <c r="K2391" s="83" t="e">
        <f t="shared" si="382"/>
        <v>#NUM!</v>
      </c>
      <c r="L2391" s="83">
        <f t="shared" si="383"/>
        <v>0</v>
      </c>
      <c r="M2391" s="110" t="str">
        <f t="shared" si="384"/>
        <v/>
      </c>
      <c r="N2391" s="51" t="str">
        <f t="shared" si="385"/>
        <v/>
      </c>
      <c r="O2391" s="52" t="str">
        <f t="shared" si="386"/>
        <v/>
      </c>
      <c r="P2391" s="88">
        <f t="shared" si="387"/>
        <v>0</v>
      </c>
      <c r="Q2391" s="88">
        <f t="shared" si="388"/>
        <v>0</v>
      </c>
      <c r="R2391" s="88" t="e">
        <f>-IF(Tabla14[[#This Row],[DIAS HABILES O MORA]]&lt;0,(Tabla14[[#This Row],[VALOR PRESTAMO]]*Tabla14[[#This Row],[% INTERES ]]/30*U2391))+Tabla14[[#This Row],[VALOR CUOTAS]]</f>
        <v>#VALUE!</v>
      </c>
      <c r="S2391" s="88">
        <f>-IF(Tabla14[[#This Row],[DIAS HABILES O MORA]]&lt;0,(Tabla14[[#This Row],[VALOR PRESTAMO]]*Tabla14[[#This Row],[% INTERES ]]/30*U2391))</f>
        <v>0</v>
      </c>
      <c r="T2391" s="53" t="e">
        <f>Tabla14[[#This Row],[DEUDA CAPITAL]]+Tabla14[[#This Row],[INTERES  CUOTA]]</f>
        <v>#NUM!</v>
      </c>
      <c r="U2391" s="61" t="str">
        <f t="shared" si="389"/>
        <v/>
      </c>
    </row>
    <row r="2392" spans="9:21" ht="24.75" customHeight="1" x14ac:dyDescent="0.35">
      <c r="I2392" s="42">
        <f t="shared" si="380"/>
        <v>0</v>
      </c>
      <c r="J2392" s="65" t="e">
        <f t="shared" si="381"/>
        <v>#NUM!</v>
      </c>
      <c r="K2392" s="83" t="e">
        <f t="shared" si="382"/>
        <v>#NUM!</v>
      </c>
      <c r="L2392" s="83">
        <f t="shared" si="383"/>
        <v>0</v>
      </c>
      <c r="M2392" s="110" t="str">
        <f t="shared" si="384"/>
        <v/>
      </c>
      <c r="N2392" s="51" t="str">
        <f t="shared" si="385"/>
        <v/>
      </c>
      <c r="O2392" s="52" t="str">
        <f t="shared" si="386"/>
        <v/>
      </c>
      <c r="P2392" s="88">
        <f t="shared" si="387"/>
        <v>0</v>
      </c>
      <c r="Q2392" s="88">
        <f t="shared" si="388"/>
        <v>0</v>
      </c>
      <c r="R2392" s="88" t="e">
        <f>-IF(Tabla14[[#This Row],[DIAS HABILES O MORA]]&lt;0,(Tabla14[[#This Row],[VALOR PRESTAMO]]*Tabla14[[#This Row],[% INTERES ]]/30*U2392))+Tabla14[[#This Row],[VALOR CUOTAS]]</f>
        <v>#VALUE!</v>
      </c>
      <c r="S2392" s="88">
        <f>-IF(Tabla14[[#This Row],[DIAS HABILES O MORA]]&lt;0,(Tabla14[[#This Row],[VALOR PRESTAMO]]*Tabla14[[#This Row],[% INTERES ]]/30*U2392))</f>
        <v>0</v>
      </c>
      <c r="T2392" s="53" t="e">
        <f>Tabla14[[#This Row],[DEUDA CAPITAL]]+Tabla14[[#This Row],[INTERES  CUOTA]]</f>
        <v>#NUM!</v>
      </c>
      <c r="U2392" s="61" t="str">
        <f t="shared" si="389"/>
        <v/>
      </c>
    </row>
    <row r="2393" spans="9:21" ht="24.75" customHeight="1" x14ac:dyDescent="0.35">
      <c r="I2393" s="42">
        <f t="shared" si="380"/>
        <v>0</v>
      </c>
      <c r="J2393" s="65" t="e">
        <f t="shared" si="381"/>
        <v>#NUM!</v>
      </c>
      <c r="K2393" s="83" t="e">
        <f t="shared" si="382"/>
        <v>#NUM!</v>
      </c>
      <c r="L2393" s="83">
        <f t="shared" si="383"/>
        <v>0</v>
      </c>
      <c r="M2393" s="110" t="str">
        <f t="shared" si="384"/>
        <v/>
      </c>
      <c r="N2393" s="51" t="str">
        <f t="shared" si="385"/>
        <v/>
      </c>
      <c r="O2393" s="52" t="str">
        <f t="shared" si="386"/>
        <v/>
      </c>
      <c r="P2393" s="88">
        <f t="shared" si="387"/>
        <v>0</v>
      </c>
      <c r="Q2393" s="88">
        <f t="shared" si="388"/>
        <v>0</v>
      </c>
      <c r="R2393" s="88" t="e">
        <f>-IF(Tabla14[[#This Row],[DIAS HABILES O MORA]]&lt;0,(Tabla14[[#This Row],[VALOR PRESTAMO]]*Tabla14[[#This Row],[% INTERES ]]/30*U2393))+Tabla14[[#This Row],[VALOR CUOTAS]]</f>
        <v>#VALUE!</v>
      </c>
      <c r="S2393" s="88">
        <f>-IF(Tabla14[[#This Row],[DIAS HABILES O MORA]]&lt;0,(Tabla14[[#This Row],[VALOR PRESTAMO]]*Tabla14[[#This Row],[% INTERES ]]/30*U2393))</f>
        <v>0</v>
      </c>
      <c r="T2393" s="53" t="e">
        <f>Tabla14[[#This Row],[DEUDA CAPITAL]]+Tabla14[[#This Row],[INTERES  CUOTA]]</f>
        <v>#NUM!</v>
      </c>
      <c r="U2393" s="61" t="str">
        <f t="shared" si="389"/>
        <v/>
      </c>
    </row>
    <row r="2394" spans="9:21" ht="24.75" customHeight="1" x14ac:dyDescent="0.35">
      <c r="I2394" s="42">
        <f t="shared" si="380"/>
        <v>0</v>
      </c>
      <c r="J2394" s="65" t="e">
        <f t="shared" si="381"/>
        <v>#NUM!</v>
      </c>
      <c r="K2394" s="83" t="e">
        <f t="shared" si="382"/>
        <v>#NUM!</v>
      </c>
      <c r="L2394" s="83">
        <f t="shared" si="383"/>
        <v>0</v>
      </c>
      <c r="M2394" s="110" t="str">
        <f t="shared" si="384"/>
        <v/>
      </c>
      <c r="N2394" s="51" t="str">
        <f t="shared" si="385"/>
        <v/>
      </c>
      <c r="O2394" s="52" t="str">
        <f t="shared" si="386"/>
        <v/>
      </c>
      <c r="P2394" s="88">
        <f t="shared" si="387"/>
        <v>0</v>
      </c>
      <c r="Q2394" s="88">
        <f t="shared" si="388"/>
        <v>0</v>
      </c>
      <c r="R2394" s="88" t="e">
        <f>-IF(Tabla14[[#This Row],[DIAS HABILES O MORA]]&lt;0,(Tabla14[[#This Row],[VALOR PRESTAMO]]*Tabla14[[#This Row],[% INTERES ]]/30*U2394))+Tabla14[[#This Row],[VALOR CUOTAS]]</f>
        <v>#VALUE!</v>
      </c>
      <c r="S2394" s="88">
        <f>-IF(Tabla14[[#This Row],[DIAS HABILES O MORA]]&lt;0,(Tabla14[[#This Row],[VALOR PRESTAMO]]*Tabla14[[#This Row],[% INTERES ]]/30*U2394))</f>
        <v>0</v>
      </c>
      <c r="T2394" s="53" t="e">
        <f>Tabla14[[#This Row],[DEUDA CAPITAL]]+Tabla14[[#This Row],[INTERES  CUOTA]]</f>
        <v>#NUM!</v>
      </c>
      <c r="U2394" s="61" t="str">
        <f t="shared" si="389"/>
        <v/>
      </c>
    </row>
    <row r="2395" spans="9:21" ht="24.75" customHeight="1" x14ac:dyDescent="0.35">
      <c r="I2395" s="42">
        <f t="shared" si="380"/>
        <v>0</v>
      </c>
      <c r="J2395" s="65" t="e">
        <f t="shared" si="381"/>
        <v>#NUM!</v>
      </c>
      <c r="K2395" s="83" t="e">
        <f t="shared" si="382"/>
        <v>#NUM!</v>
      </c>
      <c r="L2395" s="83">
        <f t="shared" si="383"/>
        <v>0</v>
      </c>
      <c r="M2395" s="110" t="str">
        <f t="shared" si="384"/>
        <v/>
      </c>
      <c r="N2395" s="51" t="str">
        <f t="shared" si="385"/>
        <v/>
      </c>
      <c r="O2395" s="52" t="str">
        <f t="shared" si="386"/>
        <v/>
      </c>
      <c r="P2395" s="88">
        <f t="shared" si="387"/>
        <v>0</v>
      </c>
      <c r="Q2395" s="88">
        <f t="shared" si="388"/>
        <v>0</v>
      </c>
      <c r="R2395" s="88" t="e">
        <f>-IF(Tabla14[[#This Row],[DIAS HABILES O MORA]]&lt;0,(Tabla14[[#This Row],[VALOR PRESTAMO]]*Tabla14[[#This Row],[% INTERES ]]/30*U2395))+Tabla14[[#This Row],[VALOR CUOTAS]]</f>
        <v>#VALUE!</v>
      </c>
      <c r="S2395" s="88">
        <f>-IF(Tabla14[[#This Row],[DIAS HABILES O MORA]]&lt;0,(Tabla14[[#This Row],[VALOR PRESTAMO]]*Tabla14[[#This Row],[% INTERES ]]/30*U2395))</f>
        <v>0</v>
      </c>
      <c r="T2395" s="53" t="e">
        <f>Tabla14[[#This Row],[DEUDA CAPITAL]]+Tabla14[[#This Row],[INTERES  CUOTA]]</f>
        <v>#NUM!</v>
      </c>
      <c r="U2395" s="61" t="str">
        <f t="shared" si="389"/>
        <v/>
      </c>
    </row>
    <row r="2396" spans="9:21" ht="24.75" customHeight="1" x14ac:dyDescent="0.35">
      <c r="I2396" s="42">
        <f t="shared" si="380"/>
        <v>0</v>
      </c>
      <c r="J2396" s="65" t="e">
        <f t="shared" si="381"/>
        <v>#NUM!</v>
      </c>
      <c r="K2396" s="83" t="e">
        <f t="shared" si="382"/>
        <v>#NUM!</v>
      </c>
      <c r="L2396" s="83">
        <f t="shared" si="383"/>
        <v>0</v>
      </c>
      <c r="M2396" s="110" t="str">
        <f t="shared" si="384"/>
        <v/>
      </c>
      <c r="N2396" s="51" t="str">
        <f t="shared" si="385"/>
        <v/>
      </c>
      <c r="O2396" s="52" t="str">
        <f t="shared" si="386"/>
        <v/>
      </c>
      <c r="P2396" s="88">
        <f t="shared" si="387"/>
        <v>0</v>
      </c>
      <c r="Q2396" s="88">
        <f t="shared" si="388"/>
        <v>0</v>
      </c>
      <c r="R2396" s="88" t="e">
        <f>-IF(Tabla14[[#This Row],[DIAS HABILES O MORA]]&lt;0,(Tabla14[[#This Row],[VALOR PRESTAMO]]*Tabla14[[#This Row],[% INTERES ]]/30*U2396))+Tabla14[[#This Row],[VALOR CUOTAS]]</f>
        <v>#VALUE!</v>
      </c>
      <c r="S2396" s="88">
        <f>-IF(Tabla14[[#This Row],[DIAS HABILES O MORA]]&lt;0,(Tabla14[[#This Row],[VALOR PRESTAMO]]*Tabla14[[#This Row],[% INTERES ]]/30*U2396))</f>
        <v>0</v>
      </c>
      <c r="T2396" s="53" t="e">
        <f>Tabla14[[#This Row],[DEUDA CAPITAL]]+Tabla14[[#This Row],[INTERES  CUOTA]]</f>
        <v>#NUM!</v>
      </c>
      <c r="U2396" s="61" t="str">
        <f t="shared" si="389"/>
        <v/>
      </c>
    </row>
    <row r="2397" spans="9:21" ht="24.75" customHeight="1" x14ac:dyDescent="0.35">
      <c r="I2397" s="42">
        <f t="shared" si="380"/>
        <v>0</v>
      </c>
      <c r="J2397" s="65" t="e">
        <f t="shared" si="381"/>
        <v>#NUM!</v>
      </c>
      <c r="K2397" s="83" t="e">
        <f t="shared" si="382"/>
        <v>#NUM!</v>
      </c>
      <c r="L2397" s="83">
        <f t="shared" si="383"/>
        <v>0</v>
      </c>
      <c r="M2397" s="110" t="str">
        <f t="shared" si="384"/>
        <v/>
      </c>
      <c r="N2397" s="51" t="str">
        <f t="shared" si="385"/>
        <v/>
      </c>
      <c r="O2397" s="52" t="str">
        <f t="shared" si="386"/>
        <v/>
      </c>
      <c r="P2397" s="88">
        <f t="shared" si="387"/>
        <v>0</v>
      </c>
      <c r="Q2397" s="88">
        <f t="shared" si="388"/>
        <v>0</v>
      </c>
      <c r="R2397" s="88" t="e">
        <f>-IF(Tabla14[[#This Row],[DIAS HABILES O MORA]]&lt;0,(Tabla14[[#This Row],[VALOR PRESTAMO]]*Tabla14[[#This Row],[% INTERES ]]/30*U2397))+Tabla14[[#This Row],[VALOR CUOTAS]]</f>
        <v>#VALUE!</v>
      </c>
      <c r="S2397" s="88">
        <f>-IF(Tabla14[[#This Row],[DIAS HABILES O MORA]]&lt;0,(Tabla14[[#This Row],[VALOR PRESTAMO]]*Tabla14[[#This Row],[% INTERES ]]/30*U2397))</f>
        <v>0</v>
      </c>
      <c r="T2397" s="53" t="e">
        <f>Tabla14[[#This Row],[DEUDA CAPITAL]]+Tabla14[[#This Row],[INTERES  CUOTA]]</f>
        <v>#NUM!</v>
      </c>
      <c r="U2397" s="61" t="str">
        <f t="shared" si="389"/>
        <v/>
      </c>
    </row>
    <row r="2398" spans="9:21" ht="24.75" customHeight="1" x14ac:dyDescent="0.35">
      <c r="I2398" s="42">
        <f t="shared" si="380"/>
        <v>0</v>
      </c>
      <c r="J2398" s="65" t="e">
        <f t="shared" si="381"/>
        <v>#NUM!</v>
      </c>
      <c r="K2398" s="83" t="e">
        <f t="shared" si="382"/>
        <v>#NUM!</v>
      </c>
      <c r="L2398" s="83">
        <f t="shared" si="383"/>
        <v>0</v>
      </c>
      <c r="M2398" s="110" t="str">
        <f t="shared" si="384"/>
        <v/>
      </c>
      <c r="N2398" s="51" t="str">
        <f t="shared" si="385"/>
        <v/>
      </c>
      <c r="O2398" s="52" t="str">
        <f t="shared" si="386"/>
        <v/>
      </c>
      <c r="P2398" s="88">
        <f t="shared" si="387"/>
        <v>0</v>
      </c>
      <c r="Q2398" s="88">
        <f t="shared" si="388"/>
        <v>0</v>
      </c>
      <c r="R2398" s="88" t="e">
        <f>-IF(Tabla14[[#This Row],[DIAS HABILES O MORA]]&lt;0,(Tabla14[[#This Row],[VALOR PRESTAMO]]*Tabla14[[#This Row],[% INTERES ]]/30*U2398))+Tabla14[[#This Row],[VALOR CUOTAS]]</f>
        <v>#VALUE!</v>
      </c>
      <c r="S2398" s="88">
        <f>-IF(Tabla14[[#This Row],[DIAS HABILES O MORA]]&lt;0,(Tabla14[[#This Row],[VALOR PRESTAMO]]*Tabla14[[#This Row],[% INTERES ]]/30*U2398))</f>
        <v>0</v>
      </c>
      <c r="T2398" s="53" t="e">
        <f>Tabla14[[#This Row],[DEUDA CAPITAL]]+Tabla14[[#This Row],[INTERES  CUOTA]]</f>
        <v>#NUM!</v>
      </c>
      <c r="U2398" s="61" t="str">
        <f t="shared" si="389"/>
        <v/>
      </c>
    </row>
    <row r="2399" spans="9:21" ht="24.75" customHeight="1" x14ac:dyDescent="0.35">
      <c r="I2399" s="42">
        <f t="shared" si="380"/>
        <v>0</v>
      </c>
      <c r="J2399" s="65" t="e">
        <f t="shared" si="381"/>
        <v>#NUM!</v>
      </c>
      <c r="K2399" s="83" t="e">
        <f t="shared" si="382"/>
        <v>#NUM!</v>
      </c>
      <c r="L2399" s="83">
        <f t="shared" si="383"/>
        <v>0</v>
      </c>
      <c r="M2399" s="110" t="str">
        <f t="shared" si="384"/>
        <v/>
      </c>
      <c r="N2399" s="51" t="str">
        <f t="shared" si="385"/>
        <v/>
      </c>
      <c r="O2399" s="52" t="str">
        <f t="shared" si="386"/>
        <v/>
      </c>
      <c r="P2399" s="88">
        <f t="shared" si="387"/>
        <v>0</v>
      </c>
      <c r="Q2399" s="88">
        <f t="shared" si="388"/>
        <v>0</v>
      </c>
      <c r="R2399" s="88" t="e">
        <f>-IF(Tabla14[[#This Row],[DIAS HABILES O MORA]]&lt;0,(Tabla14[[#This Row],[VALOR PRESTAMO]]*Tabla14[[#This Row],[% INTERES ]]/30*U2399))+Tabla14[[#This Row],[VALOR CUOTAS]]</f>
        <v>#VALUE!</v>
      </c>
      <c r="S2399" s="88">
        <f>-IF(Tabla14[[#This Row],[DIAS HABILES O MORA]]&lt;0,(Tabla14[[#This Row],[VALOR PRESTAMO]]*Tabla14[[#This Row],[% INTERES ]]/30*U2399))</f>
        <v>0</v>
      </c>
      <c r="T2399" s="53" t="e">
        <f>Tabla14[[#This Row],[DEUDA CAPITAL]]+Tabla14[[#This Row],[INTERES  CUOTA]]</f>
        <v>#NUM!</v>
      </c>
      <c r="U2399" s="61" t="str">
        <f t="shared" si="389"/>
        <v/>
      </c>
    </row>
    <row r="2400" spans="9:21" ht="24.75" customHeight="1" x14ac:dyDescent="0.35">
      <c r="I2400" s="42">
        <f t="shared" si="380"/>
        <v>0</v>
      </c>
      <c r="J2400" s="65" t="e">
        <f t="shared" si="381"/>
        <v>#NUM!</v>
      </c>
      <c r="K2400" s="83" t="e">
        <f t="shared" si="382"/>
        <v>#NUM!</v>
      </c>
      <c r="L2400" s="83">
        <f t="shared" si="383"/>
        <v>0</v>
      </c>
      <c r="M2400" s="110" t="str">
        <f t="shared" si="384"/>
        <v/>
      </c>
      <c r="N2400" s="51" t="str">
        <f t="shared" si="385"/>
        <v/>
      </c>
      <c r="O2400" s="52" t="str">
        <f t="shared" si="386"/>
        <v/>
      </c>
      <c r="P2400" s="88">
        <f t="shared" si="387"/>
        <v>0</v>
      </c>
      <c r="Q2400" s="88">
        <f t="shared" si="388"/>
        <v>0</v>
      </c>
      <c r="R2400" s="88" t="e">
        <f>-IF(Tabla14[[#This Row],[DIAS HABILES O MORA]]&lt;0,(Tabla14[[#This Row],[VALOR PRESTAMO]]*Tabla14[[#This Row],[% INTERES ]]/30*U2400))+Tabla14[[#This Row],[VALOR CUOTAS]]</f>
        <v>#VALUE!</v>
      </c>
      <c r="S2400" s="88">
        <f>-IF(Tabla14[[#This Row],[DIAS HABILES O MORA]]&lt;0,(Tabla14[[#This Row],[VALOR PRESTAMO]]*Tabla14[[#This Row],[% INTERES ]]/30*U2400))</f>
        <v>0</v>
      </c>
      <c r="T2400" s="53" t="e">
        <f>Tabla14[[#This Row],[DEUDA CAPITAL]]+Tabla14[[#This Row],[INTERES  CUOTA]]</f>
        <v>#NUM!</v>
      </c>
      <c r="U2400" s="61" t="str">
        <f t="shared" si="389"/>
        <v/>
      </c>
    </row>
    <row r="2401" spans="9:21" ht="24.75" customHeight="1" x14ac:dyDescent="0.35">
      <c r="I2401" s="42">
        <f t="shared" si="380"/>
        <v>0</v>
      </c>
      <c r="J2401" s="65" t="e">
        <f t="shared" si="381"/>
        <v>#NUM!</v>
      </c>
      <c r="K2401" s="83" t="e">
        <f t="shared" si="382"/>
        <v>#NUM!</v>
      </c>
      <c r="L2401" s="83">
        <f t="shared" si="383"/>
        <v>0</v>
      </c>
      <c r="M2401" s="110" t="str">
        <f t="shared" si="384"/>
        <v/>
      </c>
      <c r="N2401" s="51" t="str">
        <f t="shared" si="385"/>
        <v/>
      </c>
      <c r="O2401" s="52" t="str">
        <f t="shared" si="386"/>
        <v/>
      </c>
      <c r="P2401" s="88">
        <f t="shared" si="387"/>
        <v>0</v>
      </c>
      <c r="Q2401" s="88">
        <f t="shared" si="388"/>
        <v>0</v>
      </c>
      <c r="R2401" s="88" t="e">
        <f>-IF(Tabla14[[#This Row],[DIAS HABILES O MORA]]&lt;0,(Tabla14[[#This Row],[VALOR PRESTAMO]]*Tabla14[[#This Row],[% INTERES ]]/30*U2401))+Tabla14[[#This Row],[VALOR CUOTAS]]</f>
        <v>#VALUE!</v>
      </c>
      <c r="S2401" s="88">
        <f>-IF(Tabla14[[#This Row],[DIAS HABILES O MORA]]&lt;0,(Tabla14[[#This Row],[VALOR PRESTAMO]]*Tabla14[[#This Row],[% INTERES ]]/30*U2401))</f>
        <v>0</v>
      </c>
      <c r="T2401" s="53" t="e">
        <f>Tabla14[[#This Row],[DEUDA CAPITAL]]+Tabla14[[#This Row],[INTERES  CUOTA]]</f>
        <v>#NUM!</v>
      </c>
      <c r="U2401" s="61" t="str">
        <f t="shared" si="389"/>
        <v/>
      </c>
    </row>
    <row r="2402" spans="9:21" ht="24.75" customHeight="1" x14ac:dyDescent="0.35">
      <c r="I2402" s="42">
        <f t="shared" si="380"/>
        <v>0</v>
      </c>
      <c r="J2402" s="65" t="e">
        <f t="shared" si="381"/>
        <v>#NUM!</v>
      </c>
      <c r="K2402" s="83" t="e">
        <f t="shared" si="382"/>
        <v>#NUM!</v>
      </c>
      <c r="L2402" s="83">
        <f t="shared" si="383"/>
        <v>0</v>
      </c>
      <c r="M2402" s="110" t="str">
        <f t="shared" si="384"/>
        <v/>
      </c>
      <c r="N2402" s="51" t="str">
        <f t="shared" si="385"/>
        <v/>
      </c>
      <c r="O2402" s="52" t="str">
        <f t="shared" si="386"/>
        <v/>
      </c>
      <c r="P2402" s="88">
        <f t="shared" si="387"/>
        <v>0</v>
      </c>
      <c r="Q2402" s="88">
        <f t="shared" si="388"/>
        <v>0</v>
      </c>
      <c r="R2402" s="88" t="e">
        <f>-IF(Tabla14[[#This Row],[DIAS HABILES O MORA]]&lt;0,(Tabla14[[#This Row],[VALOR PRESTAMO]]*Tabla14[[#This Row],[% INTERES ]]/30*U2402))+Tabla14[[#This Row],[VALOR CUOTAS]]</f>
        <v>#VALUE!</v>
      </c>
      <c r="S2402" s="88">
        <f>-IF(Tabla14[[#This Row],[DIAS HABILES O MORA]]&lt;0,(Tabla14[[#This Row],[VALOR PRESTAMO]]*Tabla14[[#This Row],[% INTERES ]]/30*U2402))</f>
        <v>0</v>
      </c>
      <c r="T2402" s="53" t="e">
        <f>Tabla14[[#This Row],[DEUDA CAPITAL]]+Tabla14[[#This Row],[INTERES  CUOTA]]</f>
        <v>#NUM!</v>
      </c>
      <c r="U2402" s="61" t="str">
        <f t="shared" si="389"/>
        <v/>
      </c>
    </row>
    <row r="2403" spans="9:21" ht="24.75" customHeight="1" x14ac:dyDescent="0.35">
      <c r="I2403" s="42">
        <f t="shared" si="380"/>
        <v>0</v>
      </c>
      <c r="J2403" s="65" t="e">
        <f t="shared" si="381"/>
        <v>#NUM!</v>
      </c>
      <c r="K2403" s="83" t="e">
        <f t="shared" si="382"/>
        <v>#NUM!</v>
      </c>
      <c r="L2403" s="83">
        <f t="shared" si="383"/>
        <v>0</v>
      </c>
      <c r="M2403" s="110" t="str">
        <f t="shared" si="384"/>
        <v/>
      </c>
      <c r="N2403" s="51" t="str">
        <f t="shared" si="385"/>
        <v/>
      </c>
      <c r="O2403" s="52" t="str">
        <f t="shared" si="386"/>
        <v/>
      </c>
      <c r="P2403" s="88">
        <f t="shared" si="387"/>
        <v>0</v>
      </c>
      <c r="Q2403" s="88">
        <f t="shared" si="388"/>
        <v>0</v>
      </c>
      <c r="R2403" s="88" t="e">
        <f>-IF(Tabla14[[#This Row],[DIAS HABILES O MORA]]&lt;0,(Tabla14[[#This Row],[VALOR PRESTAMO]]*Tabla14[[#This Row],[% INTERES ]]/30*U2403))+Tabla14[[#This Row],[VALOR CUOTAS]]</f>
        <v>#VALUE!</v>
      </c>
      <c r="S2403" s="88">
        <f>-IF(Tabla14[[#This Row],[DIAS HABILES O MORA]]&lt;0,(Tabla14[[#This Row],[VALOR PRESTAMO]]*Tabla14[[#This Row],[% INTERES ]]/30*U2403))</f>
        <v>0</v>
      </c>
      <c r="T2403" s="53" t="e">
        <f>Tabla14[[#This Row],[DEUDA CAPITAL]]+Tabla14[[#This Row],[INTERES  CUOTA]]</f>
        <v>#NUM!</v>
      </c>
      <c r="U2403" s="61" t="str">
        <f t="shared" si="389"/>
        <v/>
      </c>
    </row>
    <row r="2404" spans="9:21" ht="24.75" customHeight="1" x14ac:dyDescent="0.35">
      <c r="I2404" s="42">
        <f t="shared" si="380"/>
        <v>0</v>
      </c>
      <c r="J2404" s="65" t="e">
        <f t="shared" si="381"/>
        <v>#NUM!</v>
      </c>
      <c r="K2404" s="83" t="e">
        <f t="shared" si="382"/>
        <v>#NUM!</v>
      </c>
      <c r="L2404" s="83">
        <f t="shared" si="383"/>
        <v>0</v>
      </c>
      <c r="M2404" s="110" t="str">
        <f t="shared" si="384"/>
        <v/>
      </c>
      <c r="N2404" s="51" t="str">
        <f t="shared" si="385"/>
        <v/>
      </c>
      <c r="O2404" s="52" t="str">
        <f t="shared" si="386"/>
        <v/>
      </c>
      <c r="P2404" s="88">
        <f t="shared" si="387"/>
        <v>0</v>
      </c>
      <c r="Q2404" s="88">
        <f t="shared" si="388"/>
        <v>0</v>
      </c>
      <c r="R2404" s="88" t="e">
        <f>-IF(Tabla14[[#This Row],[DIAS HABILES O MORA]]&lt;0,(Tabla14[[#This Row],[VALOR PRESTAMO]]*Tabla14[[#This Row],[% INTERES ]]/30*U2404))+Tabla14[[#This Row],[VALOR CUOTAS]]</f>
        <v>#VALUE!</v>
      </c>
      <c r="S2404" s="88">
        <f>-IF(Tabla14[[#This Row],[DIAS HABILES O MORA]]&lt;0,(Tabla14[[#This Row],[VALOR PRESTAMO]]*Tabla14[[#This Row],[% INTERES ]]/30*U2404))</f>
        <v>0</v>
      </c>
      <c r="T2404" s="53" t="e">
        <f>Tabla14[[#This Row],[DEUDA CAPITAL]]+Tabla14[[#This Row],[INTERES  CUOTA]]</f>
        <v>#NUM!</v>
      </c>
      <c r="U2404" s="61" t="str">
        <f t="shared" si="389"/>
        <v/>
      </c>
    </row>
    <row r="2405" spans="9:21" ht="24.75" customHeight="1" x14ac:dyDescent="0.35">
      <c r="I2405" s="42">
        <f t="shared" si="380"/>
        <v>0</v>
      </c>
      <c r="J2405" s="65" t="e">
        <f t="shared" si="381"/>
        <v>#NUM!</v>
      </c>
      <c r="K2405" s="83" t="e">
        <f t="shared" si="382"/>
        <v>#NUM!</v>
      </c>
      <c r="L2405" s="83">
        <f t="shared" si="383"/>
        <v>0</v>
      </c>
      <c r="M2405" s="110" t="str">
        <f t="shared" si="384"/>
        <v/>
      </c>
      <c r="N2405" s="51" t="str">
        <f t="shared" si="385"/>
        <v/>
      </c>
      <c r="O2405" s="52" t="str">
        <f t="shared" si="386"/>
        <v/>
      </c>
      <c r="P2405" s="88">
        <f t="shared" si="387"/>
        <v>0</v>
      </c>
      <c r="Q2405" s="88">
        <f t="shared" si="388"/>
        <v>0</v>
      </c>
      <c r="R2405" s="88" t="e">
        <f>-IF(Tabla14[[#This Row],[DIAS HABILES O MORA]]&lt;0,(Tabla14[[#This Row],[VALOR PRESTAMO]]*Tabla14[[#This Row],[% INTERES ]]/30*U2405))+Tabla14[[#This Row],[VALOR CUOTAS]]</f>
        <v>#VALUE!</v>
      </c>
      <c r="S2405" s="88">
        <f>-IF(Tabla14[[#This Row],[DIAS HABILES O MORA]]&lt;0,(Tabla14[[#This Row],[VALOR PRESTAMO]]*Tabla14[[#This Row],[% INTERES ]]/30*U2405))</f>
        <v>0</v>
      </c>
      <c r="T2405" s="53" t="e">
        <f>Tabla14[[#This Row],[DEUDA CAPITAL]]+Tabla14[[#This Row],[INTERES  CUOTA]]</f>
        <v>#NUM!</v>
      </c>
      <c r="U2405" s="61" t="str">
        <f t="shared" si="389"/>
        <v/>
      </c>
    </row>
    <row r="2406" spans="9:21" ht="24.75" customHeight="1" x14ac:dyDescent="0.35">
      <c r="I2406" s="42">
        <f t="shared" si="380"/>
        <v>0</v>
      </c>
      <c r="J2406" s="65" t="e">
        <f t="shared" si="381"/>
        <v>#NUM!</v>
      </c>
      <c r="K2406" s="83" t="e">
        <f t="shared" si="382"/>
        <v>#NUM!</v>
      </c>
      <c r="L2406" s="83">
        <f t="shared" si="383"/>
        <v>0</v>
      </c>
      <c r="M2406" s="110" t="str">
        <f t="shared" si="384"/>
        <v/>
      </c>
      <c r="N2406" s="51" t="str">
        <f t="shared" si="385"/>
        <v/>
      </c>
      <c r="O2406" s="52" t="str">
        <f t="shared" si="386"/>
        <v/>
      </c>
      <c r="P2406" s="88">
        <f t="shared" si="387"/>
        <v>0</v>
      </c>
      <c r="Q2406" s="88">
        <f t="shared" si="388"/>
        <v>0</v>
      </c>
      <c r="R2406" s="88" t="e">
        <f>-IF(Tabla14[[#This Row],[DIAS HABILES O MORA]]&lt;0,(Tabla14[[#This Row],[VALOR PRESTAMO]]*Tabla14[[#This Row],[% INTERES ]]/30*U2406))+Tabla14[[#This Row],[VALOR CUOTAS]]</f>
        <v>#VALUE!</v>
      </c>
      <c r="S2406" s="88">
        <f>-IF(Tabla14[[#This Row],[DIAS HABILES O MORA]]&lt;0,(Tabla14[[#This Row],[VALOR PRESTAMO]]*Tabla14[[#This Row],[% INTERES ]]/30*U2406))</f>
        <v>0</v>
      </c>
      <c r="T2406" s="53" t="e">
        <f>Tabla14[[#This Row],[DEUDA CAPITAL]]+Tabla14[[#This Row],[INTERES  CUOTA]]</f>
        <v>#NUM!</v>
      </c>
      <c r="U2406" s="61" t="str">
        <f t="shared" si="389"/>
        <v/>
      </c>
    </row>
    <row r="2407" spans="9:21" ht="24.75" customHeight="1" x14ac:dyDescent="0.35">
      <c r="I2407" s="42">
        <f t="shared" si="380"/>
        <v>0</v>
      </c>
      <c r="J2407" s="65" t="e">
        <f t="shared" si="381"/>
        <v>#NUM!</v>
      </c>
      <c r="K2407" s="83" t="e">
        <f t="shared" si="382"/>
        <v>#NUM!</v>
      </c>
      <c r="L2407" s="83">
        <f t="shared" si="383"/>
        <v>0</v>
      </c>
      <c r="M2407" s="110" t="str">
        <f t="shared" si="384"/>
        <v/>
      </c>
      <c r="N2407" s="51" t="str">
        <f t="shared" si="385"/>
        <v/>
      </c>
      <c r="O2407" s="52" t="str">
        <f t="shared" si="386"/>
        <v/>
      </c>
      <c r="P2407" s="88">
        <f t="shared" si="387"/>
        <v>0</v>
      </c>
      <c r="Q2407" s="88">
        <f t="shared" si="388"/>
        <v>0</v>
      </c>
      <c r="R2407" s="88" t="e">
        <f>-IF(Tabla14[[#This Row],[DIAS HABILES O MORA]]&lt;0,(Tabla14[[#This Row],[VALOR PRESTAMO]]*Tabla14[[#This Row],[% INTERES ]]/30*U2407))+Tabla14[[#This Row],[VALOR CUOTAS]]</f>
        <v>#VALUE!</v>
      </c>
      <c r="S2407" s="88">
        <f>-IF(Tabla14[[#This Row],[DIAS HABILES O MORA]]&lt;0,(Tabla14[[#This Row],[VALOR PRESTAMO]]*Tabla14[[#This Row],[% INTERES ]]/30*U2407))</f>
        <v>0</v>
      </c>
      <c r="T2407" s="53" t="e">
        <f>Tabla14[[#This Row],[DEUDA CAPITAL]]+Tabla14[[#This Row],[INTERES  CUOTA]]</f>
        <v>#NUM!</v>
      </c>
      <c r="U2407" s="61" t="str">
        <f t="shared" si="389"/>
        <v/>
      </c>
    </row>
    <row r="2408" spans="9:21" ht="24.75" customHeight="1" x14ac:dyDescent="0.35">
      <c r="I2408" s="42">
        <f t="shared" si="380"/>
        <v>0</v>
      </c>
      <c r="J2408" s="65" t="e">
        <f t="shared" si="381"/>
        <v>#NUM!</v>
      </c>
      <c r="K2408" s="83" t="e">
        <f t="shared" si="382"/>
        <v>#NUM!</v>
      </c>
      <c r="L2408" s="83">
        <f t="shared" si="383"/>
        <v>0</v>
      </c>
      <c r="M2408" s="110" t="str">
        <f t="shared" si="384"/>
        <v/>
      </c>
      <c r="N2408" s="51" t="str">
        <f t="shared" si="385"/>
        <v/>
      </c>
      <c r="O2408" s="52" t="str">
        <f t="shared" si="386"/>
        <v/>
      </c>
      <c r="P2408" s="88">
        <f t="shared" si="387"/>
        <v>0</v>
      </c>
      <c r="Q2408" s="88">
        <f t="shared" si="388"/>
        <v>0</v>
      </c>
      <c r="R2408" s="88" t="e">
        <f>-IF(Tabla14[[#This Row],[DIAS HABILES O MORA]]&lt;0,(Tabla14[[#This Row],[VALOR PRESTAMO]]*Tabla14[[#This Row],[% INTERES ]]/30*U2408))+Tabla14[[#This Row],[VALOR CUOTAS]]</f>
        <v>#VALUE!</v>
      </c>
      <c r="S2408" s="88">
        <f>-IF(Tabla14[[#This Row],[DIAS HABILES O MORA]]&lt;0,(Tabla14[[#This Row],[VALOR PRESTAMO]]*Tabla14[[#This Row],[% INTERES ]]/30*U2408))</f>
        <v>0</v>
      </c>
      <c r="T2408" s="53" t="e">
        <f>Tabla14[[#This Row],[DEUDA CAPITAL]]+Tabla14[[#This Row],[INTERES  CUOTA]]</f>
        <v>#NUM!</v>
      </c>
      <c r="U2408" s="61" t="str">
        <f t="shared" si="389"/>
        <v/>
      </c>
    </row>
    <row r="2409" spans="9:21" ht="24.75" customHeight="1" x14ac:dyDescent="0.35">
      <c r="I2409" s="42">
        <f t="shared" si="380"/>
        <v>0</v>
      </c>
      <c r="J2409" s="65" t="e">
        <f t="shared" si="381"/>
        <v>#NUM!</v>
      </c>
      <c r="K2409" s="83" t="e">
        <f t="shared" si="382"/>
        <v>#NUM!</v>
      </c>
      <c r="L2409" s="83">
        <f t="shared" si="383"/>
        <v>0</v>
      </c>
      <c r="M2409" s="110" t="str">
        <f t="shared" si="384"/>
        <v/>
      </c>
      <c r="N2409" s="51" t="str">
        <f t="shared" si="385"/>
        <v/>
      </c>
      <c r="O2409" s="52" t="str">
        <f t="shared" si="386"/>
        <v/>
      </c>
      <c r="P2409" s="88">
        <f t="shared" si="387"/>
        <v>0</v>
      </c>
      <c r="Q2409" s="88">
        <f t="shared" si="388"/>
        <v>0</v>
      </c>
      <c r="R2409" s="88" t="e">
        <f>-IF(Tabla14[[#This Row],[DIAS HABILES O MORA]]&lt;0,(Tabla14[[#This Row],[VALOR PRESTAMO]]*Tabla14[[#This Row],[% INTERES ]]/30*U2409))+Tabla14[[#This Row],[VALOR CUOTAS]]</f>
        <v>#VALUE!</v>
      </c>
      <c r="S2409" s="88">
        <f>-IF(Tabla14[[#This Row],[DIAS HABILES O MORA]]&lt;0,(Tabla14[[#This Row],[VALOR PRESTAMO]]*Tabla14[[#This Row],[% INTERES ]]/30*U2409))</f>
        <v>0</v>
      </c>
      <c r="T2409" s="53" t="e">
        <f>Tabla14[[#This Row],[DEUDA CAPITAL]]+Tabla14[[#This Row],[INTERES  CUOTA]]</f>
        <v>#NUM!</v>
      </c>
      <c r="U2409" s="61" t="str">
        <f t="shared" si="389"/>
        <v/>
      </c>
    </row>
    <row r="2410" spans="9:21" ht="24.75" customHeight="1" x14ac:dyDescent="0.35">
      <c r="I2410" s="42">
        <f t="shared" si="380"/>
        <v>0</v>
      </c>
      <c r="J2410" s="65" t="e">
        <f t="shared" si="381"/>
        <v>#NUM!</v>
      </c>
      <c r="K2410" s="83" t="e">
        <f t="shared" si="382"/>
        <v>#NUM!</v>
      </c>
      <c r="L2410" s="83">
        <f t="shared" si="383"/>
        <v>0</v>
      </c>
      <c r="M2410" s="110" t="str">
        <f t="shared" si="384"/>
        <v/>
      </c>
      <c r="N2410" s="51" t="str">
        <f t="shared" si="385"/>
        <v/>
      </c>
      <c r="O2410" s="52" t="str">
        <f t="shared" si="386"/>
        <v/>
      </c>
      <c r="P2410" s="88">
        <f t="shared" si="387"/>
        <v>0</v>
      </c>
      <c r="Q2410" s="88">
        <f t="shared" si="388"/>
        <v>0</v>
      </c>
      <c r="R2410" s="88" t="e">
        <f>-IF(Tabla14[[#This Row],[DIAS HABILES O MORA]]&lt;0,(Tabla14[[#This Row],[VALOR PRESTAMO]]*Tabla14[[#This Row],[% INTERES ]]/30*U2410))+Tabla14[[#This Row],[VALOR CUOTAS]]</f>
        <v>#VALUE!</v>
      </c>
      <c r="S2410" s="88">
        <f>-IF(Tabla14[[#This Row],[DIAS HABILES O MORA]]&lt;0,(Tabla14[[#This Row],[VALOR PRESTAMO]]*Tabla14[[#This Row],[% INTERES ]]/30*U2410))</f>
        <v>0</v>
      </c>
      <c r="T2410" s="53" t="e">
        <f>Tabla14[[#This Row],[DEUDA CAPITAL]]+Tabla14[[#This Row],[INTERES  CUOTA]]</f>
        <v>#NUM!</v>
      </c>
      <c r="U2410" s="61" t="str">
        <f t="shared" si="389"/>
        <v/>
      </c>
    </row>
    <row r="2411" spans="9:21" ht="24.75" customHeight="1" x14ac:dyDescent="0.35">
      <c r="I2411" s="42">
        <f t="shared" si="380"/>
        <v>0</v>
      </c>
      <c r="J2411" s="65" t="e">
        <f t="shared" si="381"/>
        <v>#NUM!</v>
      </c>
      <c r="K2411" s="83" t="e">
        <f t="shared" si="382"/>
        <v>#NUM!</v>
      </c>
      <c r="L2411" s="83">
        <f t="shared" si="383"/>
        <v>0</v>
      </c>
      <c r="M2411" s="110" t="str">
        <f t="shared" si="384"/>
        <v/>
      </c>
      <c r="N2411" s="51" t="str">
        <f t="shared" si="385"/>
        <v/>
      </c>
      <c r="O2411" s="52" t="str">
        <f t="shared" si="386"/>
        <v/>
      </c>
      <c r="P2411" s="88">
        <f t="shared" si="387"/>
        <v>0</v>
      </c>
      <c r="Q2411" s="88">
        <f t="shared" si="388"/>
        <v>0</v>
      </c>
      <c r="R2411" s="88" t="e">
        <f>-IF(Tabla14[[#This Row],[DIAS HABILES O MORA]]&lt;0,(Tabla14[[#This Row],[VALOR PRESTAMO]]*Tabla14[[#This Row],[% INTERES ]]/30*U2411))+Tabla14[[#This Row],[VALOR CUOTAS]]</f>
        <v>#VALUE!</v>
      </c>
      <c r="S2411" s="88">
        <f>-IF(Tabla14[[#This Row],[DIAS HABILES O MORA]]&lt;0,(Tabla14[[#This Row],[VALOR PRESTAMO]]*Tabla14[[#This Row],[% INTERES ]]/30*U2411))</f>
        <v>0</v>
      </c>
      <c r="T2411" s="53" t="e">
        <f>Tabla14[[#This Row],[DEUDA CAPITAL]]+Tabla14[[#This Row],[INTERES  CUOTA]]</f>
        <v>#NUM!</v>
      </c>
      <c r="U2411" s="61" t="str">
        <f t="shared" si="389"/>
        <v/>
      </c>
    </row>
    <row r="2412" spans="9:21" ht="24.75" customHeight="1" x14ac:dyDescent="0.35">
      <c r="I2412" s="42">
        <f t="shared" si="380"/>
        <v>0</v>
      </c>
      <c r="J2412" s="65" t="e">
        <f t="shared" si="381"/>
        <v>#NUM!</v>
      </c>
      <c r="K2412" s="83" t="e">
        <f t="shared" si="382"/>
        <v>#NUM!</v>
      </c>
      <c r="L2412" s="83">
        <f t="shared" si="383"/>
        <v>0</v>
      </c>
      <c r="M2412" s="110" t="str">
        <f t="shared" si="384"/>
        <v/>
      </c>
      <c r="N2412" s="51" t="str">
        <f t="shared" si="385"/>
        <v/>
      </c>
      <c r="O2412" s="52" t="str">
        <f t="shared" si="386"/>
        <v/>
      </c>
      <c r="P2412" s="88">
        <f t="shared" si="387"/>
        <v>0</v>
      </c>
      <c r="Q2412" s="88">
        <f t="shared" si="388"/>
        <v>0</v>
      </c>
      <c r="R2412" s="88" t="e">
        <f>-IF(Tabla14[[#This Row],[DIAS HABILES O MORA]]&lt;0,(Tabla14[[#This Row],[VALOR PRESTAMO]]*Tabla14[[#This Row],[% INTERES ]]/30*U2412))+Tabla14[[#This Row],[VALOR CUOTAS]]</f>
        <v>#VALUE!</v>
      </c>
      <c r="S2412" s="88">
        <f>-IF(Tabla14[[#This Row],[DIAS HABILES O MORA]]&lt;0,(Tabla14[[#This Row],[VALOR PRESTAMO]]*Tabla14[[#This Row],[% INTERES ]]/30*U2412))</f>
        <v>0</v>
      </c>
      <c r="T2412" s="53" t="e">
        <f>Tabla14[[#This Row],[DEUDA CAPITAL]]+Tabla14[[#This Row],[INTERES  CUOTA]]</f>
        <v>#NUM!</v>
      </c>
      <c r="U2412" s="61" t="str">
        <f t="shared" si="389"/>
        <v/>
      </c>
    </row>
    <row r="2413" spans="9:21" ht="24.75" customHeight="1" x14ac:dyDescent="0.35">
      <c r="I2413" s="42">
        <f t="shared" si="380"/>
        <v>0</v>
      </c>
      <c r="J2413" s="65" t="e">
        <f t="shared" si="381"/>
        <v>#NUM!</v>
      </c>
      <c r="K2413" s="83" t="e">
        <f t="shared" si="382"/>
        <v>#NUM!</v>
      </c>
      <c r="L2413" s="83">
        <f t="shared" si="383"/>
        <v>0</v>
      </c>
      <c r="M2413" s="110" t="str">
        <f t="shared" si="384"/>
        <v/>
      </c>
      <c r="N2413" s="51" t="str">
        <f t="shared" si="385"/>
        <v/>
      </c>
      <c r="O2413" s="52" t="str">
        <f t="shared" si="386"/>
        <v/>
      </c>
      <c r="P2413" s="88">
        <f t="shared" si="387"/>
        <v>0</v>
      </c>
      <c r="Q2413" s="88">
        <f t="shared" si="388"/>
        <v>0</v>
      </c>
      <c r="R2413" s="88" t="e">
        <f>-IF(Tabla14[[#This Row],[DIAS HABILES O MORA]]&lt;0,(Tabla14[[#This Row],[VALOR PRESTAMO]]*Tabla14[[#This Row],[% INTERES ]]/30*U2413))+Tabla14[[#This Row],[VALOR CUOTAS]]</f>
        <v>#VALUE!</v>
      </c>
      <c r="S2413" s="88">
        <f>-IF(Tabla14[[#This Row],[DIAS HABILES O MORA]]&lt;0,(Tabla14[[#This Row],[VALOR PRESTAMO]]*Tabla14[[#This Row],[% INTERES ]]/30*U2413))</f>
        <v>0</v>
      </c>
      <c r="T2413" s="53" t="e">
        <f>Tabla14[[#This Row],[DEUDA CAPITAL]]+Tabla14[[#This Row],[INTERES  CUOTA]]</f>
        <v>#NUM!</v>
      </c>
      <c r="U2413" s="61" t="str">
        <f t="shared" si="389"/>
        <v/>
      </c>
    </row>
    <row r="2414" spans="9:21" ht="24.75" customHeight="1" x14ac:dyDescent="0.35">
      <c r="I2414" s="42">
        <f t="shared" si="380"/>
        <v>0</v>
      </c>
      <c r="J2414" s="65" t="e">
        <f t="shared" si="381"/>
        <v>#NUM!</v>
      </c>
      <c r="K2414" s="83" t="e">
        <f t="shared" si="382"/>
        <v>#NUM!</v>
      </c>
      <c r="L2414" s="83">
        <f t="shared" si="383"/>
        <v>0</v>
      </c>
      <c r="M2414" s="110" t="str">
        <f t="shared" si="384"/>
        <v/>
      </c>
      <c r="N2414" s="51" t="str">
        <f t="shared" si="385"/>
        <v/>
      </c>
      <c r="O2414" s="52" t="str">
        <f t="shared" si="386"/>
        <v/>
      </c>
      <c r="P2414" s="88">
        <f t="shared" si="387"/>
        <v>0</v>
      </c>
      <c r="Q2414" s="88">
        <f t="shared" si="388"/>
        <v>0</v>
      </c>
      <c r="R2414" s="88" t="e">
        <f>-IF(Tabla14[[#This Row],[DIAS HABILES O MORA]]&lt;0,(Tabla14[[#This Row],[VALOR PRESTAMO]]*Tabla14[[#This Row],[% INTERES ]]/30*U2414))+Tabla14[[#This Row],[VALOR CUOTAS]]</f>
        <v>#VALUE!</v>
      </c>
      <c r="S2414" s="88">
        <f>-IF(Tabla14[[#This Row],[DIAS HABILES O MORA]]&lt;0,(Tabla14[[#This Row],[VALOR PRESTAMO]]*Tabla14[[#This Row],[% INTERES ]]/30*U2414))</f>
        <v>0</v>
      </c>
      <c r="T2414" s="53" t="e">
        <f>Tabla14[[#This Row],[DEUDA CAPITAL]]+Tabla14[[#This Row],[INTERES  CUOTA]]</f>
        <v>#NUM!</v>
      </c>
      <c r="U2414" s="61" t="str">
        <f t="shared" si="389"/>
        <v/>
      </c>
    </row>
    <row r="2415" spans="9:21" ht="24.75" customHeight="1" x14ac:dyDescent="0.35">
      <c r="I2415" s="42">
        <f t="shared" si="380"/>
        <v>0</v>
      </c>
      <c r="J2415" s="65" t="e">
        <f t="shared" si="381"/>
        <v>#NUM!</v>
      </c>
      <c r="K2415" s="83" t="e">
        <f t="shared" si="382"/>
        <v>#NUM!</v>
      </c>
      <c r="L2415" s="83">
        <f t="shared" si="383"/>
        <v>0</v>
      </c>
      <c r="M2415" s="110" t="str">
        <f t="shared" si="384"/>
        <v/>
      </c>
      <c r="N2415" s="51" t="str">
        <f t="shared" si="385"/>
        <v/>
      </c>
      <c r="O2415" s="52" t="str">
        <f t="shared" si="386"/>
        <v/>
      </c>
      <c r="P2415" s="88">
        <f t="shared" si="387"/>
        <v>0</v>
      </c>
      <c r="Q2415" s="88">
        <f t="shared" si="388"/>
        <v>0</v>
      </c>
      <c r="R2415" s="88" t="e">
        <f>-IF(Tabla14[[#This Row],[DIAS HABILES O MORA]]&lt;0,(Tabla14[[#This Row],[VALOR PRESTAMO]]*Tabla14[[#This Row],[% INTERES ]]/30*U2415))+Tabla14[[#This Row],[VALOR CUOTAS]]</f>
        <v>#VALUE!</v>
      </c>
      <c r="S2415" s="88">
        <f>-IF(Tabla14[[#This Row],[DIAS HABILES O MORA]]&lt;0,(Tabla14[[#This Row],[VALOR PRESTAMO]]*Tabla14[[#This Row],[% INTERES ]]/30*U2415))</f>
        <v>0</v>
      </c>
      <c r="T2415" s="53" t="e">
        <f>Tabla14[[#This Row],[DEUDA CAPITAL]]+Tabla14[[#This Row],[INTERES  CUOTA]]</f>
        <v>#NUM!</v>
      </c>
      <c r="U2415" s="61" t="str">
        <f t="shared" si="389"/>
        <v/>
      </c>
    </row>
    <row r="2416" spans="9:21" ht="24.75" customHeight="1" x14ac:dyDescent="0.35">
      <c r="I2416" s="42">
        <f t="shared" si="380"/>
        <v>0</v>
      </c>
      <c r="J2416" s="65" t="e">
        <f t="shared" si="381"/>
        <v>#NUM!</v>
      </c>
      <c r="K2416" s="83" t="e">
        <f t="shared" si="382"/>
        <v>#NUM!</v>
      </c>
      <c r="L2416" s="83">
        <f t="shared" si="383"/>
        <v>0</v>
      </c>
      <c r="M2416" s="110" t="str">
        <f t="shared" si="384"/>
        <v/>
      </c>
      <c r="N2416" s="51" t="str">
        <f t="shared" si="385"/>
        <v/>
      </c>
      <c r="O2416" s="52" t="str">
        <f t="shared" si="386"/>
        <v/>
      </c>
      <c r="P2416" s="88">
        <f t="shared" si="387"/>
        <v>0</v>
      </c>
      <c r="Q2416" s="88">
        <f t="shared" si="388"/>
        <v>0</v>
      </c>
      <c r="R2416" s="88" t="e">
        <f>-IF(Tabla14[[#This Row],[DIAS HABILES O MORA]]&lt;0,(Tabla14[[#This Row],[VALOR PRESTAMO]]*Tabla14[[#This Row],[% INTERES ]]/30*U2416))+Tabla14[[#This Row],[VALOR CUOTAS]]</f>
        <v>#VALUE!</v>
      </c>
      <c r="S2416" s="88">
        <f>-IF(Tabla14[[#This Row],[DIAS HABILES O MORA]]&lt;0,(Tabla14[[#This Row],[VALOR PRESTAMO]]*Tabla14[[#This Row],[% INTERES ]]/30*U2416))</f>
        <v>0</v>
      </c>
      <c r="T2416" s="53" t="e">
        <f>Tabla14[[#This Row],[DEUDA CAPITAL]]+Tabla14[[#This Row],[INTERES  CUOTA]]</f>
        <v>#NUM!</v>
      </c>
      <c r="U2416" s="61" t="str">
        <f t="shared" si="389"/>
        <v/>
      </c>
    </row>
    <row r="2417" spans="9:21" ht="24.75" customHeight="1" x14ac:dyDescent="0.35">
      <c r="I2417" s="42">
        <f t="shared" si="380"/>
        <v>0</v>
      </c>
      <c r="J2417" s="65" t="e">
        <f t="shared" si="381"/>
        <v>#NUM!</v>
      </c>
      <c r="K2417" s="83" t="e">
        <f t="shared" si="382"/>
        <v>#NUM!</v>
      </c>
      <c r="L2417" s="83">
        <f t="shared" si="383"/>
        <v>0</v>
      </c>
      <c r="M2417" s="110" t="str">
        <f t="shared" si="384"/>
        <v/>
      </c>
      <c r="N2417" s="51" t="str">
        <f t="shared" si="385"/>
        <v/>
      </c>
      <c r="O2417" s="52" t="str">
        <f t="shared" si="386"/>
        <v/>
      </c>
      <c r="P2417" s="88">
        <f t="shared" si="387"/>
        <v>0</v>
      </c>
      <c r="Q2417" s="88">
        <f t="shared" si="388"/>
        <v>0</v>
      </c>
      <c r="R2417" s="88" t="e">
        <f>-IF(Tabla14[[#This Row],[DIAS HABILES O MORA]]&lt;0,(Tabla14[[#This Row],[VALOR PRESTAMO]]*Tabla14[[#This Row],[% INTERES ]]/30*U2417))+Tabla14[[#This Row],[VALOR CUOTAS]]</f>
        <v>#VALUE!</v>
      </c>
      <c r="S2417" s="88">
        <f>-IF(Tabla14[[#This Row],[DIAS HABILES O MORA]]&lt;0,(Tabla14[[#This Row],[VALOR PRESTAMO]]*Tabla14[[#This Row],[% INTERES ]]/30*U2417))</f>
        <v>0</v>
      </c>
      <c r="T2417" s="53" t="e">
        <f>Tabla14[[#This Row],[DEUDA CAPITAL]]+Tabla14[[#This Row],[INTERES  CUOTA]]</f>
        <v>#NUM!</v>
      </c>
      <c r="U2417" s="61" t="str">
        <f t="shared" si="389"/>
        <v/>
      </c>
    </row>
    <row r="2418" spans="9:21" ht="24.75" customHeight="1" x14ac:dyDescent="0.35">
      <c r="I2418" s="42">
        <f t="shared" si="380"/>
        <v>0</v>
      </c>
      <c r="J2418" s="65" t="e">
        <f t="shared" si="381"/>
        <v>#NUM!</v>
      </c>
      <c r="K2418" s="83" t="e">
        <f t="shared" si="382"/>
        <v>#NUM!</v>
      </c>
      <c r="L2418" s="83">
        <f t="shared" si="383"/>
        <v>0</v>
      </c>
      <c r="M2418" s="110" t="str">
        <f t="shared" si="384"/>
        <v/>
      </c>
      <c r="N2418" s="51" t="str">
        <f t="shared" si="385"/>
        <v/>
      </c>
      <c r="O2418" s="52" t="str">
        <f t="shared" si="386"/>
        <v/>
      </c>
      <c r="P2418" s="88">
        <f t="shared" si="387"/>
        <v>0</v>
      </c>
      <c r="Q2418" s="88">
        <f t="shared" si="388"/>
        <v>0</v>
      </c>
      <c r="R2418" s="88" t="e">
        <f>-IF(Tabla14[[#This Row],[DIAS HABILES O MORA]]&lt;0,(Tabla14[[#This Row],[VALOR PRESTAMO]]*Tabla14[[#This Row],[% INTERES ]]/30*U2418))+Tabla14[[#This Row],[VALOR CUOTAS]]</f>
        <v>#VALUE!</v>
      </c>
      <c r="S2418" s="88">
        <f>-IF(Tabla14[[#This Row],[DIAS HABILES O MORA]]&lt;0,(Tabla14[[#This Row],[VALOR PRESTAMO]]*Tabla14[[#This Row],[% INTERES ]]/30*U2418))</f>
        <v>0</v>
      </c>
      <c r="T2418" s="53" t="e">
        <f>Tabla14[[#This Row],[DEUDA CAPITAL]]+Tabla14[[#This Row],[INTERES  CUOTA]]</f>
        <v>#NUM!</v>
      </c>
      <c r="U2418" s="61" t="str">
        <f t="shared" si="389"/>
        <v/>
      </c>
    </row>
    <row r="2419" spans="9:21" ht="24.75" customHeight="1" x14ac:dyDescent="0.35">
      <c r="I2419" s="42">
        <f t="shared" si="380"/>
        <v>0</v>
      </c>
      <c r="J2419" s="65" t="e">
        <f t="shared" si="381"/>
        <v>#NUM!</v>
      </c>
      <c r="K2419" s="83" t="e">
        <f t="shared" si="382"/>
        <v>#NUM!</v>
      </c>
      <c r="L2419" s="83">
        <f t="shared" si="383"/>
        <v>0</v>
      </c>
      <c r="M2419" s="110" t="str">
        <f t="shared" si="384"/>
        <v/>
      </c>
      <c r="N2419" s="51" t="str">
        <f t="shared" si="385"/>
        <v/>
      </c>
      <c r="O2419" s="52" t="str">
        <f t="shared" si="386"/>
        <v/>
      </c>
      <c r="P2419" s="88">
        <f t="shared" si="387"/>
        <v>0</v>
      </c>
      <c r="Q2419" s="88">
        <f t="shared" si="388"/>
        <v>0</v>
      </c>
      <c r="R2419" s="88" t="e">
        <f>-IF(Tabla14[[#This Row],[DIAS HABILES O MORA]]&lt;0,(Tabla14[[#This Row],[VALOR PRESTAMO]]*Tabla14[[#This Row],[% INTERES ]]/30*U2419))+Tabla14[[#This Row],[VALOR CUOTAS]]</f>
        <v>#VALUE!</v>
      </c>
      <c r="S2419" s="88">
        <f>-IF(Tabla14[[#This Row],[DIAS HABILES O MORA]]&lt;0,(Tabla14[[#This Row],[VALOR PRESTAMO]]*Tabla14[[#This Row],[% INTERES ]]/30*U2419))</f>
        <v>0</v>
      </c>
      <c r="T2419" s="53" t="e">
        <f>Tabla14[[#This Row],[DEUDA CAPITAL]]+Tabla14[[#This Row],[INTERES  CUOTA]]</f>
        <v>#NUM!</v>
      </c>
      <c r="U2419" s="61" t="str">
        <f t="shared" si="389"/>
        <v/>
      </c>
    </row>
    <row r="2420" spans="9:21" ht="24.75" customHeight="1" x14ac:dyDescent="0.35">
      <c r="I2420" s="42">
        <f t="shared" si="380"/>
        <v>0</v>
      </c>
      <c r="J2420" s="65" t="e">
        <f t="shared" si="381"/>
        <v>#NUM!</v>
      </c>
      <c r="K2420" s="83" t="e">
        <f t="shared" si="382"/>
        <v>#NUM!</v>
      </c>
      <c r="L2420" s="83">
        <f t="shared" si="383"/>
        <v>0</v>
      </c>
      <c r="M2420" s="110" t="str">
        <f t="shared" si="384"/>
        <v/>
      </c>
      <c r="N2420" s="51" t="str">
        <f t="shared" si="385"/>
        <v/>
      </c>
      <c r="O2420" s="52" t="str">
        <f t="shared" si="386"/>
        <v/>
      </c>
      <c r="P2420" s="88">
        <f t="shared" si="387"/>
        <v>0</v>
      </c>
      <c r="Q2420" s="88">
        <f t="shared" si="388"/>
        <v>0</v>
      </c>
      <c r="R2420" s="88" t="e">
        <f>-IF(Tabla14[[#This Row],[DIAS HABILES O MORA]]&lt;0,(Tabla14[[#This Row],[VALOR PRESTAMO]]*Tabla14[[#This Row],[% INTERES ]]/30*U2420))+Tabla14[[#This Row],[VALOR CUOTAS]]</f>
        <v>#VALUE!</v>
      </c>
      <c r="S2420" s="88">
        <f>-IF(Tabla14[[#This Row],[DIAS HABILES O MORA]]&lt;0,(Tabla14[[#This Row],[VALOR PRESTAMO]]*Tabla14[[#This Row],[% INTERES ]]/30*U2420))</f>
        <v>0</v>
      </c>
      <c r="T2420" s="53" t="e">
        <f>Tabla14[[#This Row],[DEUDA CAPITAL]]+Tabla14[[#This Row],[INTERES  CUOTA]]</f>
        <v>#NUM!</v>
      </c>
      <c r="U2420" s="61" t="str">
        <f t="shared" si="389"/>
        <v/>
      </c>
    </row>
    <row r="2421" spans="9:21" ht="24.75" customHeight="1" x14ac:dyDescent="0.35">
      <c r="I2421" s="42">
        <f t="shared" si="380"/>
        <v>0</v>
      </c>
      <c r="J2421" s="65" t="e">
        <f t="shared" si="381"/>
        <v>#NUM!</v>
      </c>
      <c r="K2421" s="83" t="e">
        <f t="shared" si="382"/>
        <v>#NUM!</v>
      </c>
      <c r="L2421" s="83">
        <f t="shared" si="383"/>
        <v>0</v>
      </c>
      <c r="M2421" s="110" t="str">
        <f t="shared" si="384"/>
        <v/>
      </c>
      <c r="N2421" s="51" t="str">
        <f t="shared" si="385"/>
        <v/>
      </c>
      <c r="O2421" s="52" t="str">
        <f t="shared" si="386"/>
        <v/>
      </c>
      <c r="P2421" s="88">
        <f t="shared" si="387"/>
        <v>0</v>
      </c>
      <c r="Q2421" s="88">
        <f t="shared" si="388"/>
        <v>0</v>
      </c>
      <c r="R2421" s="88" t="e">
        <f>-IF(Tabla14[[#This Row],[DIAS HABILES O MORA]]&lt;0,(Tabla14[[#This Row],[VALOR PRESTAMO]]*Tabla14[[#This Row],[% INTERES ]]/30*U2421))+Tabla14[[#This Row],[VALOR CUOTAS]]</f>
        <v>#VALUE!</v>
      </c>
      <c r="S2421" s="88">
        <f>-IF(Tabla14[[#This Row],[DIAS HABILES O MORA]]&lt;0,(Tabla14[[#This Row],[VALOR PRESTAMO]]*Tabla14[[#This Row],[% INTERES ]]/30*U2421))</f>
        <v>0</v>
      </c>
      <c r="T2421" s="53" t="e">
        <f>Tabla14[[#This Row],[DEUDA CAPITAL]]+Tabla14[[#This Row],[INTERES  CUOTA]]</f>
        <v>#NUM!</v>
      </c>
      <c r="U2421" s="61" t="str">
        <f t="shared" si="389"/>
        <v/>
      </c>
    </row>
    <row r="2422" spans="9:21" ht="24.75" customHeight="1" x14ac:dyDescent="0.35">
      <c r="I2422" s="42">
        <f t="shared" si="380"/>
        <v>0</v>
      </c>
      <c r="J2422" s="65" t="e">
        <f t="shared" si="381"/>
        <v>#NUM!</v>
      </c>
      <c r="K2422" s="83" t="e">
        <f t="shared" si="382"/>
        <v>#NUM!</v>
      </c>
      <c r="L2422" s="83">
        <f t="shared" si="383"/>
        <v>0</v>
      </c>
      <c r="M2422" s="110" t="str">
        <f t="shared" si="384"/>
        <v/>
      </c>
      <c r="N2422" s="51" t="str">
        <f t="shared" si="385"/>
        <v/>
      </c>
      <c r="O2422" s="52" t="str">
        <f t="shared" si="386"/>
        <v/>
      </c>
      <c r="P2422" s="88">
        <f t="shared" si="387"/>
        <v>0</v>
      </c>
      <c r="Q2422" s="88">
        <f t="shared" si="388"/>
        <v>0</v>
      </c>
      <c r="R2422" s="88" t="e">
        <f>-IF(Tabla14[[#This Row],[DIAS HABILES O MORA]]&lt;0,(Tabla14[[#This Row],[VALOR PRESTAMO]]*Tabla14[[#This Row],[% INTERES ]]/30*U2422))+Tabla14[[#This Row],[VALOR CUOTAS]]</f>
        <v>#VALUE!</v>
      </c>
      <c r="S2422" s="88">
        <f>-IF(Tabla14[[#This Row],[DIAS HABILES O MORA]]&lt;0,(Tabla14[[#This Row],[VALOR PRESTAMO]]*Tabla14[[#This Row],[% INTERES ]]/30*U2422))</f>
        <v>0</v>
      </c>
      <c r="T2422" s="53" t="e">
        <f>Tabla14[[#This Row],[DEUDA CAPITAL]]+Tabla14[[#This Row],[INTERES  CUOTA]]</f>
        <v>#NUM!</v>
      </c>
      <c r="U2422" s="61" t="str">
        <f t="shared" si="389"/>
        <v/>
      </c>
    </row>
    <row r="2423" spans="9:21" ht="24.75" customHeight="1" x14ac:dyDescent="0.35">
      <c r="I2423" s="42">
        <f t="shared" si="380"/>
        <v>0</v>
      </c>
      <c r="J2423" s="65" t="e">
        <f t="shared" si="381"/>
        <v>#NUM!</v>
      </c>
      <c r="K2423" s="83" t="e">
        <f t="shared" si="382"/>
        <v>#NUM!</v>
      </c>
      <c r="L2423" s="83">
        <f t="shared" si="383"/>
        <v>0</v>
      </c>
      <c r="M2423" s="110" t="str">
        <f t="shared" si="384"/>
        <v/>
      </c>
      <c r="N2423" s="51" t="str">
        <f t="shared" si="385"/>
        <v/>
      </c>
      <c r="O2423" s="52" t="str">
        <f t="shared" si="386"/>
        <v/>
      </c>
      <c r="P2423" s="88">
        <f t="shared" si="387"/>
        <v>0</v>
      </c>
      <c r="Q2423" s="88">
        <f t="shared" si="388"/>
        <v>0</v>
      </c>
      <c r="R2423" s="88" t="e">
        <f>-IF(Tabla14[[#This Row],[DIAS HABILES O MORA]]&lt;0,(Tabla14[[#This Row],[VALOR PRESTAMO]]*Tabla14[[#This Row],[% INTERES ]]/30*U2423))+Tabla14[[#This Row],[VALOR CUOTAS]]</f>
        <v>#VALUE!</v>
      </c>
      <c r="S2423" s="88">
        <f>-IF(Tabla14[[#This Row],[DIAS HABILES O MORA]]&lt;0,(Tabla14[[#This Row],[VALOR PRESTAMO]]*Tabla14[[#This Row],[% INTERES ]]/30*U2423))</f>
        <v>0</v>
      </c>
      <c r="T2423" s="53" t="e">
        <f>Tabla14[[#This Row],[DEUDA CAPITAL]]+Tabla14[[#This Row],[INTERES  CUOTA]]</f>
        <v>#NUM!</v>
      </c>
      <c r="U2423" s="61" t="str">
        <f t="shared" si="389"/>
        <v/>
      </c>
    </row>
    <row r="2424" spans="9:21" ht="24.75" customHeight="1" x14ac:dyDescent="0.35">
      <c r="I2424" s="42">
        <f t="shared" si="380"/>
        <v>0</v>
      </c>
      <c r="J2424" s="65" t="e">
        <f t="shared" si="381"/>
        <v>#NUM!</v>
      </c>
      <c r="K2424" s="83" t="e">
        <f t="shared" si="382"/>
        <v>#NUM!</v>
      </c>
      <c r="L2424" s="83">
        <f t="shared" si="383"/>
        <v>0</v>
      </c>
      <c r="M2424" s="110" t="str">
        <f t="shared" si="384"/>
        <v/>
      </c>
      <c r="N2424" s="51" t="str">
        <f t="shared" si="385"/>
        <v/>
      </c>
      <c r="O2424" s="52" t="str">
        <f t="shared" si="386"/>
        <v/>
      </c>
      <c r="P2424" s="88">
        <f t="shared" si="387"/>
        <v>0</v>
      </c>
      <c r="Q2424" s="88">
        <f t="shared" si="388"/>
        <v>0</v>
      </c>
      <c r="R2424" s="88" t="e">
        <f>-IF(Tabla14[[#This Row],[DIAS HABILES O MORA]]&lt;0,(Tabla14[[#This Row],[VALOR PRESTAMO]]*Tabla14[[#This Row],[% INTERES ]]/30*U2424))+Tabla14[[#This Row],[VALOR CUOTAS]]</f>
        <v>#VALUE!</v>
      </c>
      <c r="S2424" s="88">
        <f>-IF(Tabla14[[#This Row],[DIAS HABILES O MORA]]&lt;0,(Tabla14[[#This Row],[VALOR PRESTAMO]]*Tabla14[[#This Row],[% INTERES ]]/30*U2424))</f>
        <v>0</v>
      </c>
      <c r="T2424" s="53" t="e">
        <f>Tabla14[[#This Row],[DEUDA CAPITAL]]+Tabla14[[#This Row],[INTERES  CUOTA]]</f>
        <v>#NUM!</v>
      </c>
      <c r="U2424" s="61" t="str">
        <f t="shared" si="389"/>
        <v/>
      </c>
    </row>
    <row r="2425" spans="9:21" ht="24.75" customHeight="1" x14ac:dyDescent="0.35">
      <c r="I2425" s="42">
        <f t="shared" si="380"/>
        <v>0</v>
      </c>
      <c r="J2425" s="65" t="e">
        <f t="shared" si="381"/>
        <v>#NUM!</v>
      </c>
      <c r="K2425" s="83" t="e">
        <f t="shared" si="382"/>
        <v>#NUM!</v>
      </c>
      <c r="L2425" s="83">
        <f t="shared" si="383"/>
        <v>0</v>
      </c>
      <c r="M2425" s="110" t="str">
        <f t="shared" si="384"/>
        <v/>
      </c>
      <c r="N2425" s="51" t="str">
        <f t="shared" si="385"/>
        <v/>
      </c>
      <c r="O2425" s="52" t="str">
        <f t="shared" si="386"/>
        <v/>
      </c>
      <c r="P2425" s="88">
        <f t="shared" si="387"/>
        <v>0</v>
      </c>
      <c r="Q2425" s="88">
        <f t="shared" si="388"/>
        <v>0</v>
      </c>
      <c r="R2425" s="88" t="e">
        <f>-IF(Tabla14[[#This Row],[DIAS HABILES O MORA]]&lt;0,(Tabla14[[#This Row],[VALOR PRESTAMO]]*Tabla14[[#This Row],[% INTERES ]]/30*U2425))+Tabla14[[#This Row],[VALOR CUOTAS]]</f>
        <v>#VALUE!</v>
      </c>
      <c r="S2425" s="88">
        <f>-IF(Tabla14[[#This Row],[DIAS HABILES O MORA]]&lt;0,(Tabla14[[#This Row],[VALOR PRESTAMO]]*Tabla14[[#This Row],[% INTERES ]]/30*U2425))</f>
        <v>0</v>
      </c>
      <c r="T2425" s="53" t="e">
        <f>Tabla14[[#This Row],[DEUDA CAPITAL]]+Tabla14[[#This Row],[INTERES  CUOTA]]</f>
        <v>#NUM!</v>
      </c>
      <c r="U2425" s="61" t="str">
        <f t="shared" si="389"/>
        <v/>
      </c>
    </row>
    <row r="2426" spans="9:21" ht="24.75" customHeight="1" x14ac:dyDescent="0.35">
      <c r="I2426" s="42">
        <f t="shared" si="380"/>
        <v>0</v>
      </c>
      <c r="J2426" s="65" t="e">
        <f t="shared" si="381"/>
        <v>#NUM!</v>
      </c>
      <c r="K2426" s="83" t="e">
        <f t="shared" si="382"/>
        <v>#NUM!</v>
      </c>
      <c r="L2426" s="83">
        <f t="shared" si="383"/>
        <v>0</v>
      </c>
      <c r="M2426" s="110" t="str">
        <f t="shared" si="384"/>
        <v/>
      </c>
      <c r="N2426" s="51" t="str">
        <f t="shared" si="385"/>
        <v/>
      </c>
      <c r="O2426" s="52" t="str">
        <f t="shared" si="386"/>
        <v/>
      </c>
      <c r="P2426" s="88">
        <f t="shared" si="387"/>
        <v>0</v>
      </c>
      <c r="Q2426" s="88">
        <f t="shared" si="388"/>
        <v>0</v>
      </c>
      <c r="R2426" s="88" t="e">
        <f>-IF(Tabla14[[#This Row],[DIAS HABILES O MORA]]&lt;0,(Tabla14[[#This Row],[VALOR PRESTAMO]]*Tabla14[[#This Row],[% INTERES ]]/30*U2426))+Tabla14[[#This Row],[VALOR CUOTAS]]</f>
        <v>#VALUE!</v>
      </c>
      <c r="S2426" s="88">
        <f>-IF(Tabla14[[#This Row],[DIAS HABILES O MORA]]&lt;0,(Tabla14[[#This Row],[VALOR PRESTAMO]]*Tabla14[[#This Row],[% INTERES ]]/30*U2426))</f>
        <v>0</v>
      </c>
      <c r="T2426" s="53" t="e">
        <f>Tabla14[[#This Row],[DEUDA CAPITAL]]+Tabla14[[#This Row],[INTERES  CUOTA]]</f>
        <v>#NUM!</v>
      </c>
      <c r="U2426" s="61" t="str">
        <f t="shared" si="389"/>
        <v/>
      </c>
    </row>
    <row r="2427" spans="9:21" ht="24.75" customHeight="1" x14ac:dyDescent="0.35">
      <c r="I2427" s="42">
        <f t="shared" si="380"/>
        <v>0</v>
      </c>
      <c r="J2427" s="65" t="e">
        <f t="shared" si="381"/>
        <v>#NUM!</v>
      </c>
      <c r="K2427" s="83" t="e">
        <f t="shared" si="382"/>
        <v>#NUM!</v>
      </c>
      <c r="L2427" s="83">
        <f t="shared" si="383"/>
        <v>0</v>
      </c>
      <c r="M2427" s="110" t="str">
        <f t="shared" si="384"/>
        <v/>
      </c>
      <c r="N2427" s="51" t="str">
        <f t="shared" si="385"/>
        <v/>
      </c>
      <c r="O2427" s="52" t="str">
        <f t="shared" si="386"/>
        <v/>
      </c>
      <c r="P2427" s="88">
        <f t="shared" si="387"/>
        <v>0</v>
      </c>
      <c r="Q2427" s="88">
        <f t="shared" si="388"/>
        <v>0</v>
      </c>
      <c r="R2427" s="88" t="e">
        <f>-IF(Tabla14[[#This Row],[DIAS HABILES O MORA]]&lt;0,(Tabla14[[#This Row],[VALOR PRESTAMO]]*Tabla14[[#This Row],[% INTERES ]]/30*U2427))+Tabla14[[#This Row],[VALOR CUOTAS]]</f>
        <v>#VALUE!</v>
      </c>
      <c r="S2427" s="88">
        <f>-IF(Tabla14[[#This Row],[DIAS HABILES O MORA]]&lt;0,(Tabla14[[#This Row],[VALOR PRESTAMO]]*Tabla14[[#This Row],[% INTERES ]]/30*U2427))</f>
        <v>0</v>
      </c>
      <c r="T2427" s="53" t="e">
        <f>Tabla14[[#This Row],[DEUDA CAPITAL]]+Tabla14[[#This Row],[INTERES  CUOTA]]</f>
        <v>#NUM!</v>
      </c>
      <c r="U2427" s="61" t="str">
        <f t="shared" si="389"/>
        <v/>
      </c>
    </row>
    <row r="2428" spans="9:21" ht="24.75" customHeight="1" x14ac:dyDescent="0.35">
      <c r="I2428" s="42">
        <f t="shared" si="380"/>
        <v>0</v>
      </c>
      <c r="J2428" s="65" t="e">
        <f t="shared" si="381"/>
        <v>#NUM!</v>
      </c>
      <c r="K2428" s="83" t="e">
        <f t="shared" si="382"/>
        <v>#NUM!</v>
      </c>
      <c r="L2428" s="83">
        <f t="shared" si="383"/>
        <v>0</v>
      </c>
      <c r="M2428" s="110" t="str">
        <f t="shared" si="384"/>
        <v/>
      </c>
      <c r="N2428" s="51" t="str">
        <f t="shared" si="385"/>
        <v/>
      </c>
      <c r="O2428" s="52" t="str">
        <f t="shared" si="386"/>
        <v/>
      </c>
      <c r="P2428" s="88">
        <f t="shared" si="387"/>
        <v>0</v>
      </c>
      <c r="Q2428" s="88">
        <f t="shared" si="388"/>
        <v>0</v>
      </c>
      <c r="R2428" s="88" t="e">
        <f>-IF(Tabla14[[#This Row],[DIAS HABILES O MORA]]&lt;0,(Tabla14[[#This Row],[VALOR PRESTAMO]]*Tabla14[[#This Row],[% INTERES ]]/30*U2428))+Tabla14[[#This Row],[VALOR CUOTAS]]</f>
        <v>#VALUE!</v>
      </c>
      <c r="S2428" s="88">
        <f>-IF(Tabla14[[#This Row],[DIAS HABILES O MORA]]&lt;0,(Tabla14[[#This Row],[VALOR PRESTAMO]]*Tabla14[[#This Row],[% INTERES ]]/30*U2428))</f>
        <v>0</v>
      </c>
      <c r="T2428" s="53" t="e">
        <f>Tabla14[[#This Row],[DEUDA CAPITAL]]+Tabla14[[#This Row],[INTERES  CUOTA]]</f>
        <v>#NUM!</v>
      </c>
      <c r="U2428" s="61" t="str">
        <f t="shared" si="389"/>
        <v/>
      </c>
    </row>
    <row r="2429" spans="9:21" ht="24.75" customHeight="1" x14ac:dyDescent="0.35">
      <c r="I2429" s="42">
        <f t="shared" si="380"/>
        <v>0</v>
      </c>
      <c r="J2429" s="65" t="e">
        <f t="shared" si="381"/>
        <v>#NUM!</v>
      </c>
      <c r="K2429" s="83" t="e">
        <f t="shared" si="382"/>
        <v>#NUM!</v>
      </c>
      <c r="L2429" s="83">
        <f t="shared" si="383"/>
        <v>0</v>
      </c>
      <c r="M2429" s="110" t="str">
        <f t="shared" si="384"/>
        <v/>
      </c>
      <c r="N2429" s="51" t="str">
        <f t="shared" si="385"/>
        <v/>
      </c>
      <c r="O2429" s="52" t="str">
        <f t="shared" si="386"/>
        <v/>
      </c>
      <c r="P2429" s="88">
        <f t="shared" si="387"/>
        <v>0</v>
      </c>
      <c r="Q2429" s="88">
        <f t="shared" si="388"/>
        <v>0</v>
      </c>
      <c r="R2429" s="88" t="e">
        <f>-IF(Tabla14[[#This Row],[DIAS HABILES O MORA]]&lt;0,(Tabla14[[#This Row],[VALOR PRESTAMO]]*Tabla14[[#This Row],[% INTERES ]]/30*U2429))+Tabla14[[#This Row],[VALOR CUOTAS]]</f>
        <v>#VALUE!</v>
      </c>
      <c r="S2429" s="88">
        <f>-IF(Tabla14[[#This Row],[DIAS HABILES O MORA]]&lt;0,(Tabla14[[#This Row],[VALOR PRESTAMO]]*Tabla14[[#This Row],[% INTERES ]]/30*U2429))</f>
        <v>0</v>
      </c>
      <c r="T2429" s="53" t="e">
        <f>Tabla14[[#This Row],[DEUDA CAPITAL]]+Tabla14[[#This Row],[INTERES  CUOTA]]</f>
        <v>#NUM!</v>
      </c>
      <c r="U2429" s="61" t="str">
        <f t="shared" si="389"/>
        <v/>
      </c>
    </row>
    <row r="2430" spans="9:21" ht="24.75" customHeight="1" x14ac:dyDescent="0.35">
      <c r="I2430" s="42">
        <f t="shared" si="380"/>
        <v>0</v>
      </c>
      <c r="J2430" s="65" t="e">
        <f t="shared" si="381"/>
        <v>#NUM!</v>
      </c>
      <c r="K2430" s="83" t="e">
        <f t="shared" si="382"/>
        <v>#NUM!</v>
      </c>
      <c r="L2430" s="83">
        <f t="shared" si="383"/>
        <v>0</v>
      </c>
      <c r="M2430" s="110" t="str">
        <f t="shared" si="384"/>
        <v/>
      </c>
      <c r="N2430" s="51" t="str">
        <f t="shared" si="385"/>
        <v/>
      </c>
      <c r="O2430" s="52" t="str">
        <f t="shared" si="386"/>
        <v/>
      </c>
      <c r="P2430" s="88">
        <f t="shared" si="387"/>
        <v>0</v>
      </c>
      <c r="Q2430" s="88">
        <f t="shared" si="388"/>
        <v>0</v>
      </c>
      <c r="R2430" s="88" t="e">
        <f>-IF(Tabla14[[#This Row],[DIAS HABILES O MORA]]&lt;0,(Tabla14[[#This Row],[VALOR PRESTAMO]]*Tabla14[[#This Row],[% INTERES ]]/30*U2430))+Tabla14[[#This Row],[VALOR CUOTAS]]</f>
        <v>#VALUE!</v>
      </c>
      <c r="S2430" s="88">
        <f>-IF(Tabla14[[#This Row],[DIAS HABILES O MORA]]&lt;0,(Tabla14[[#This Row],[VALOR PRESTAMO]]*Tabla14[[#This Row],[% INTERES ]]/30*U2430))</f>
        <v>0</v>
      </c>
      <c r="T2430" s="53" t="e">
        <f>Tabla14[[#This Row],[DEUDA CAPITAL]]+Tabla14[[#This Row],[INTERES  CUOTA]]</f>
        <v>#NUM!</v>
      </c>
      <c r="U2430" s="61" t="str">
        <f t="shared" si="389"/>
        <v/>
      </c>
    </row>
    <row r="2431" spans="9:21" ht="24.75" customHeight="1" x14ac:dyDescent="0.35">
      <c r="I2431" s="42">
        <f t="shared" si="380"/>
        <v>0</v>
      </c>
      <c r="J2431" s="65" t="e">
        <f t="shared" si="381"/>
        <v>#NUM!</v>
      </c>
      <c r="K2431" s="83" t="e">
        <f t="shared" si="382"/>
        <v>#NUM!</v>
      </c>
      <c r="L2431" s="83">
        <f t="shared" si="383"/>
        <v>0</v>
      </c>
      <c r="M2431" s="110" t="str">
        <f t="shared" si="384"/>
        <v/>
      </c>
      <c r="N2431" s="51" t="str">
        <f t="shared" si="385"/>
        <v/>
      </c>
      <c r="O2431" s="52" t="str">
        <f t="shared" si="386"/>
        <v/>
      </c>
      <c r="P2431" s="88">
        <f t="shared" si="387"/>
        <v>0</v>
      </c>
      <c r="Q2431" s="88">
        <f t="shared" si="388"/>
        <v>0</v>
      </c>
      <c r="R2431" s="88" t="e">
        <f>-IF(Tabla14[[#This Row],[DIAS HABILES O MORA]]&lt;0,(Tabla14[[#This Row],[VALOR PRESTAMO]]*Tabla14[[#This Row],[% INTERES ]]/30*U2431))+Tabla14[[#This Row],[VALOR CUOTAS]]</f>
        <v>#VALUE!</v>
      </c>
      <c r="S2431" s="88">
        <f>-IF(Tabla14[[#This Row],[DIAS HABILES O MORA]]&lt;0,(Tabla14[[#This Row],[VALOR PRESTAMO]]*Tabla14[[#This Row],[% INTERES ]]/30*U2431))</f>
        <v>0</v>
      </c>
      <c r="T2431" s="53" t="e">
        <f>Tabla14[[#This Row],[DEUDA CAPITAL]]+Tabla14[[#This Row],[INTERES  CUOTA]]</f>
        <v>#NUM!</v>
      </c>
      <c r="U2431" s="61" t="str">
        <f t="shared" si="389"/>
        <v/>
      </c>
    </row>
    <row r="2432" spans="9:21" ht="24.75" customHeight="1" x14ac:dyDescent="0.35">
      <c r="I2432" s="42">
        <f t="shared" si="380"/>
        <v>0</v>
      </c>
      <c r="J2432" s="65" t="e">
        <f t="shared" si="381"/>
        <v>#NUM!</v>
      </c>
      <c r="K2432" s="83" t="e">
        <f t="shared" si="382"/>
        <v>#NUM!</v>
      </c>
      <c r="L2432" s="83">
        <f t="shared" si="383"/>
        <v>0</v>
      </c>
      <c r="M2432" s="110" t="str">
        <f t="shared" si="384"/>
        <v/>
      </c>
      <c r="N2432" s="51" t="str">
        <f t="shared" si="385"/>
        <v/>
      </c>
      <c r="O2432" s="52" t="str">
        <f t="shared" si="386"/>
        <v/>
      </c>
      <c r="P2432" s="88">
        <f t="shared" si="387"/>
        <v>0</v>
      </c>
      <c r="Q2432" s="88">
        <f t="shared" si="388"/>
        <v>0</v>
      </c>
      <c r="R2432" s="88" t="e">
        <f>-IF(Tabla14[[#This Row],[DIAS HABILES O MORA]]&lt;0,(Tabla14[[#This Row],[VALOR PRESTAMO]]*Tabla14[[#This Row],[% INTERES ]]/30*U2432))+Tabla14[[#This Row],[VALOR CUOTAS]]</f>
        <v>#VALUE!</v>
      </c>
      <c r="S2432" s="88">
        <f>-IF(Tabla14[[#This Row],[DIAS HABILES O MORA]]&lt;0,(Tabla14[[#This Row],[VALOR PRESTAMO]]*Tabla14[[#This Row],[% INTERES ]]/30*U2432))</f>
        <v>0</v>
      </c>
      <c r="T2432" s="53" t="e">
        <f>Tabla14[[#This Row],[DEUDA CAPITAL]]+Tabla14[[#This Row],[INTERES  CUOTA]]</f>
        <v>#NUM!</v>
      </c>
      <c r="U2432" s="61" t="str">
        <f t="shared" si="389"/>
        <v/>
      </c>
    </row>
    <row r="2433" spans="9:21" ht="24.75" customHeight="1" x14ac:dyDescent="0.35">
      <c r="I2433" s="42">
        <f t="shared" si="380"/>
        <v>0</v>
      </c>
      <c r="J2433" s="65" t="e">
        <f t="shared" si="381"/>
        <v>#NUM!</v>
      </c>
      <c r="K2433" s="83" t="e">
        <f t="shared" si="382"/>
        <v>#NUM!</v>
      </c>
      <c r="L2433" s="83">
        <f t="shared" si="383"/>
        <v>0</v>
      </c>
      <c r="M2433" s="110" t="str">
        <f t="shared" si="384"/>
        <v/>
      </c>
      <c r="N2433" s="51" t="str">
        <f t="shared" si="385"/>
        <v/>
      </c>
      <c r="O2433" s="52" t="str">
        <f t="shared" si="386"/>
        <v/>
      </c>
      <c r="P2433" s="88">
        <f t="shared" si="387"/>
        <v>0</v>
      </c>
      <c r="Q2433" s="88">
        <f t="shared" si="388"/>
        <v>0</v>
      </c>
      <c r="R2433" s="88" t="e">
        <f>-IF(Tabla14[[#This Row],[DIAS HABILES O MORA]]&lt;0,(Tabla14[[#This Row],[VALOR PRESTAMO]]*Tabla14[[#This Row],[% INTERES ]]/30*U2433))+Tabla14[[#This Row],[VALOR CUOTAS]]</f>
        <v>#VALUE!</v>
      </c>
      <c r="S2433" s="88">
        <f>-IF(Tabla14[[#This Row],[DIAS HABILES O MORA]]&lt;0,(Tabla14[[#This Row],[VALOR PRESTAMO]]*Tabla14[[#This Row],[% INTERES ]]/30*U2433))</f>
        <v>0</v>
      </c>
      <c r="T2433" s="53" t="e">
        <f>Tabla14[[#This Row],[DEUDA CAPITAL]]+Tabla14[[#This Row],[INTERES  CUOTA]]</f>
        <v>#NUM!</v>
      </c>
      <c r="U2433" s="61" t="str">
        <f t="shared" si="389"/>
        <v/>
      </c>
    </row>
    <row r="2434" spans="9:21" ht="24.75" customHeight="1" x14ac:dyDescent="0.35">
      <c r="I2434" s="42">
        <f t="shared" si="380"/>
        <v>0</v>
      </c>
      <c r="J2434" s="65" t="e">
        <f t="shared" si="381"/>
        <v>#NUM!</v>
      </c>
      <c r="K2434" s="83" t="e">
        <f t="shared" si="382"/>
        <v>#NUM!</v>
      </c>
      <c r="L2434" s="83">
        <f t="shared" si="383"/>
        <v>0</v>
      </c>
      <c r="M2434" s="110" t="str">
        <f t="shared" si="384"/>
        <v/>
      </c>
      <c r="N2434" s="51" t="str">
        <f t="shared" si="385"/>
        <v/>
      </c>
      <c r="O2434" s="52" t="str">
        <f t="shared" si="386"/>
        <v/>
      </c>
      <c r="P2434" s="88">
        <f t="shared" si="387"/>
        <v>0</v>
      </c>
      <c r="Q2434" s="88">
        <f t="shared" si="388"/>
        <v>0</v>
      </c>
      <c r="R2434" s="88" t="e">
        <f>-IF(Tabla14[[#This Row],[DIAS HABILES O MORA]]&lt;0,(Tabla14[[#This Row],[VALOR PRESTAMO]]*Tabla14[[#This Row],[% INTERES ]]/30*U2434))+Tabla14[[#This Row],[VALOR CUOTAS]]</f>
        <v>#VALUE!</v>
      </c>
      <c r="S2434" s="88">
        <f>-IF(Tabla14[[#This Row],[DIAS HABILES O MORA]]&lt;0,(Tabla14[[#This Row],[VALOR PRESTAMO]]*Tabla14[[#This Row],[% INTERES ]]/30*U2434))</f>
        <v>0</v>
      </c>
      <c r="T2434" s="53" t="e">
        <f>Tabla14[[#This Row],[DEUDA CAPITAL]]+Tabla14[[#This Row],[INTERES  CUOTA]]</f>
        <v>#NUM!</v>
      </c>
      <c r="U2434" s="61" t="str">
        <f t="shared" si="389"/>
        <v/>
      </c>
    </row>
    <row r="2435" spans="9:21" ht="24.75" customHeight="1" x14ac:dyDescent="0.35">
      <c r="I2435" s="42">
        <f t="shared" si="380"/>
        <v>0</v>
      </c>
      <c r="J2435" s="65" t="e">
        <f t="shared" si="381"/>
        <v>#NUM!</v>
      </c>
      <c r="K2435" s="83" t="e">
        <f t="shared" si="382"/>
        <v>#NUM!</v>
      </c>
      <c r="L2435" s="83">
        <f t="shared" si="383"/>
        <v>0</v>
      </c>
      <c r="M2435" s="110" t="str">
        <f t="shared" si="384"/>
        <v/>
      </c>
      <c r="N2435" s="51" t="str">
        <f t="shared" si="385"/>
        <v/>
      </c>
      <c r="O2435" s="52" t="str">
        <f t="shared" si="386"/>
        <v/>
      </c>
      <c r="P2435" s="88">
        <f t="shared" si="387"/>
        <v>0</v>
      </c>
      <c r="Q2435" s="88">
        <f t="shared" si="388"/>
        <v>0</v>
      </c>
      <c r="R2435" s="88" t="e">
        <f>-IF(Tabla14[[#This Row],[DIAS HABILES O MORA]]&lt;0,(Tabla14[[#This Row],[VALOR PRESTAMO]]*Tabla14[[#This Row],[% INTERES ]]/30*U2435))+Tabla14[[#This Row],[VALOR CUOTAS]]</f>
        <v>#VALUE!</v>
      </c>
      <c r="S2435" s="88">
        <f>-IF(Tabla14[[#This Row],[DIAS HABILES O MORA]]&lt;0,(Tabla14[[#This Row],[VALOR PRESTAMO]]*Tabla14[[#This Row],[% INTERES ]]/30*U2435))</f>
        <v>0</v>
      </c>
      <c r="T2435" s="53" t="e">
        <f>Tabla14[[#This Row],[DEUDA CAPITAL]]+Tabla14[[#This Row],[INTERES  CUOTA]]</f>
        <v>#NUM!</v>
      </c>
      <c r="U2435" s="61" t="str">
        <f t="shared" si="389"/>
        <v/>
      </c>
    </row>
    <row r="2436" spans="9:21" ht="24.75" customHeight="1" x14ac:dyDescent="0.35">
      <c r="I2436" s="42">
        <f t="shared" si="380"/>
        <v>0</v>
      </c>
      <c r="J2436" s="65" t="e">
        <f t="shared" si="381"/>
        <v>#NUM!</v>
      </c>
      <c r="K2436" s="83" t="e">
        <f t="shared" si="382"/>
        <v>#NUM!</v>
      </c>
      <c r="L2436" s="83">
        <f t="shared" si="383"/>
        <v>0</v>
      </c>
      <c r="M2436" s="110" t="str">
        <f t="shared" si="384"/>
        <v/>
      </c>
      <c r="N2436" s="51" t="str">
        <f t="shared" si="385"/>
        <v/>
      </c>
      <c r="O2436" s="52" t="str">
        <f t="shared" si="386"/>
        <v/>
      </c>
      <c r="P2436" s="88">
        <f t="shared" si="387"/>
        <v>0</v>
      </c>
      <c r="Q2436" s="88">
        <f t="shared" si="388"/>
        <v>0</v>
      </c>
      <c r="R2436" s="88" t="e">
        <f>-IF(Tabla14[[#This Row],[DIAS HABILES O MORA]]&lt;0,(Tabla14[[#This Row],[VALOR PRESTAMO]]*Tabla14[[#This Row],[% INTERES ]]/30*U2436))+Tabla14[[#This Row],[VALOR CUOTAS]]</f>
        <v>#VALUE!</v>
      </c>
      <c r="S2436" s="88">
        <f>-IF(Tabla14[[#This Row],[DIAS HABILES O MORA]]&lt;0,(Tabla14[[#This Row],[VALOR PRESTAMO]]*Tabla14[[#This Row],[% INTERES ]]/30*U2436))</f>
        <v>0</v>
      </c>
      <c r="T2436" s="53" t="e">
        <f>Tabla14[[#This Row],[DEUDA CAPITAL]]+Tabla14[[#This Row],[INTERES  CUOTA]]</f>
        <v>#NUM!</v>
      </c>
      <c r="U2436" s="61" t="str">
        <f t="shared" si="389"/>
        <v/>
      </c>
    </row>
    <row r="2437" spans="9:21" ht="24.75" customHeight="1" x14ac:dyDescent="0.35">
      <c r="I2437" s="42">
        <f t="shared" si="380"/>
        <v>0</v>
      </c>
      <c r="J2437" s="65" t="e">
        <f t="shared" si="381"/>
        <v>#NUM!</v>
      </c>
      <c r="K2437" s="83" t="e">
        <f t="shared" si="382"/>
        <v>#NUM!</v>
      </c>
      <c r="L2437" s="83">
        <f t="shared" si="383"/>
        <v>0</v>
      </c>
      <c r="M2437" s="110" t="str">
        <f t="shared" si="384"/>
        <v/>
      </c>
      <c r="N2437" s="51" t="str">
        <f t="shared" si="385"/>
        <v/>
      </c>
      <c r="O2437" s="52" t="str">
        <f t="shared" si="386"/>
        <v/>
      </c>
      <c r="P2437" s="88">
        <f t="shared" si="387"/>
        <v>0</v>
      </c>
      <c r="Q2437" s="88">
        <f t="shared" si="388"/>
        <v>0</v>
      </c>
      <c r="R2437" s="88" t="e">
        <f>-IF(Tabla14[[#This Row],[DIAS HABILES O MORA]]&lt;0,(Tabla14[[#This Row],[VALOR PRESTAMO]]*Tabla14[[#This Row],[% INTERES ]]/30*U2437))+Tabla14[[#This Row],[VALOR CUOTAS]]</f>
        <v>#VALUE!</v>
      </c>
      <c r="S2437" s="88">
        <f>-IF(Tabla14[[#This Row],[DIAS HABILES O MORA]]&lt;0,(Tabla14[[#This Row],[VALOR PRESTAMO]]*Tabla14[[#This Row],[% INTERES ]]/30*U2437))</f>
        <v>0</v>
      </c>
      <c r="T2437" s="53" t="e">
        <f>Tabla14[[#This Row],[DEUDA CAPITAL]]+Tabla14[[#This Row],[INTERES  CUOTA]]</f>
        <v>#NUM!</v>
      </c>
      <c r="U2437" s="61" t="str">
        <f t="shared" si="389"/>
        <v/>
      </c>
    </row>
    <row r="2438" spans="9:21" ht="24.75" customHeight="1" x14ac:dyDescent="0.35">
      <c r="I2438" s="42">
        <f t="shared" si="380"/>
        <v>0</v>
      </c>
      <c r="J2438" s="65" t="e">
        <f t="shared" si="381"/>
        <v>#NUM!</v>
      </c>
      <c r="K2438" s="83" t="e">
        <f t="shared" si="382"/>
        <v>#NUM!</v>
      </c>
      <c r="L2438" s="83">
        <f t="shared" si="383"/>
        <v>0</v>
      </c>
      <c r="M2438" s="110" t="str">
        <f t="shared" si="384"/>
        <v/>
      </c>
      <c r="N2438" s="51" t="str">
        <f t="shared" si="385"/>
        <v/>
      </c>
      <c r="O2438" s="52" t="str">
        <f t="shared" si="386"/>
        <v/>
      </c>
      <c r="P2438" s="88">
        <f t="shared" si="387"/>
        <v>0</v>
      </c>
      <c r="Q2438" s="88">
        <f t="shared" si="388"/>
        <v>0</v>
      </c>
      <c r="R2438" s="88" t="e">
        <f>-IF(Tabla14[[#This Row],[DIAS HABILES O MORA]]&lt;0,(Tabla14[[#This Row],[VALOR PRESTAMO]]*Tabla14[[#This Row],[% INTERES ]]/30*U2438))+Tabla14[[#This Row],[VALOR CUOTAS]]</f>
        <v>#VALUE!</v>
      </c>
      <c r="S2438" s="88">
        <f>-IF(Tabla14[[#This Row],[DIAS HABILES O MORA]]&lt;0,(Tabla14[[#This Row],[VALOR PRESTAMO]]*Tabla14[[#This Row],[% INTERES ]]/30*U2438))</f>
        <v>0</v>
      </c>
      <c r="T2438" s="53" t="e">
        <f>Tabla14[[#This Row],[DEUDA CAPITAL]]+Tabla14[[#This Row],[INTERES  CUOTA]]</f>
        <v>#NUM!</v>
      </c>
      <c r="U2438" s="61" t="str">
        <f t="shared" si="389"/>
        <v/>
      </c>
    </row>
    <row r="2439" spans="9:21" ht="24.75" customHeight="1" x14ac:dyDescent="0.35">
      <c r="I2439" s="42">
        <f t="shared" si="380"/>
        <v>0</v>
      </c>
      <c r="J2439" s="65" t="e">
        <f t="shared" si="381"/>
        <v>#NUM!</v>
      </c>
      <c r="K2439" s="83" t="e">
        <f t="shared" si="382"/>
        <v>#NUM!</v>
      </c>
      <c r="L2439" s="83">
        <f t="shared" si="383"/>
        <v>0</v>
      </c>
      <c r="M2439" s="110" t="str">
        <f t="shared" si="384"/>
        <v/>
      </c>
      <c r="N2439" s="51" t="str">
        <f t="shared" si="385"/>
        <v/>
      </c>
      <c r="O2439" s="52" t="str">
        <f t="shared" si="386"/>
        <v/>
      </c>
      <c r="P2439" s="88">
        <f t="shared" si="387"/>
        <v>0</v>
      </c>
      <c r="Q2439" s="88">
        <f t="shared" si="388"/>
        <v>0</v>
      </c>
      <c r="R2439" s="88" t="e">
        <f>-IF(Tabla14[[#This Row],[DIAS HABILES O MORA]]&lt;0,(Tabla14[[#This Row],[VALOR PRESTAMO]]*Tabla14[[#This Row],[% INTERES ]]/30*U2439))+Tabla14[[#This Row],[VALOR CUOTAS]]</f>
        <v>#VALUE!</v>
      </c>
      <c r="S2439" s="88">
        <f>-IF(Tabla14[[#This Row],[DIAS HABILES O MORA]]&lt;0,(Tabla14[[#This Row],[VALOR PRESTAMO]]*Tabla14[[#This Row],[% INTERES ]]/30*U2439))</f>
        <v>0</v>
      </c>
      <c r="T2439" s="53" t="e">
        <f>Tabla14[[#This Row],[DEUDA CAPITAL]]+Tabla14[[#This Row],[INTERES  CUOTA]]</f>
        <v>#NUM!</v>
      </c>
      <c r="U2439" s="61" t="str">
        <f t="shared" si="389"/>
        <v/>
      </c>
    </row>
    <row r="2440" spans="9:21" ht="24.75" customHeight="1" x14ac:dyDescent="0.35">
      <c r="I2440" s="42">
        <f t="shared" si="380"/>
        <v>0</v>
      </c>
      <c r="J2440" s="65" t="e">
        <f t="shared" si="381"/>
        <v>#NUM!</v>
      </c>
      <c r="K2440" s="83" t="e">
        <f t="shared" si="382"/>
        <v>#NUM!</v>
      </c>
      <c r="L2440" s="83">
        <f t="shared" si="383"/>
        <v>0</v>
      </c>
      <c r="M2440" s="110" t="str">
        <f t="shared" si="384"/>
        <v/>
      </c>
      <c r="N2440" s="51" t="str">
        <f t="shared" si="385"/>
        <v/>
      </c>
      <c r="O2440" s="52" t="str">
        <f t="shared" si="386"/>
        <v/>
      </c>
      <c r="P2440" s="88">
        <f t="shared" si="387"/>
        <v>0</v>
      </c>
      <c r="Q2440" s="88">
        <f t="shared" si="388"/>
        <v>0</v>
      </c>
      <c r="R2440" s="88" t="e">
        <f>-IF(Tabla14[[#This Row],[DIAS HABILES O MORA]]&lt;0,(Tabla14[[#This Row],[VALOR PRESTAMO]]*Tabla14[[#This Row],[% INTERES ]]/30*U2440))+Tabla14[[#This Row],[VALOR CUOTAS]]</f>
        <v>#VALUE!</v>
      </c>
      <c r="S2440" s="88">
        <f>-IF(Tabla14[[#This Row],[DIAS HABILES O MORA]]&lt;0,(Tabla14[[#This Row],[VALOR PRESTAMO]]*Tabla14[[#This Row],[% INTERES ]]/30*U2440))</f>
        <v>0</v>
      </c>
      <c r="T2440" s="53" t="e">
        <f>Tabla14[[#This Row],[DEUDA CAPITAL]]+Tabla14[[#This Row],[INTERES  CUOTA]]</f>
        <v>#NUM!</v>
      </c>
      <c r="U2440" s="61" t="str">
        <f t="shared" si="389"/>
        <v/>
      </c>
    </row>
    <row r="2441" spans="9:21" ht="24.75" customHeight="1" x14ac:dyDescent="0.35">
      <c r="I2441" s="42">
        <f t="shared" si="380"/>
        <v>0</v>
      </c>
      <c r="J2441" s="65" t="e">
        <f t="shared" si="381"/>
        <v>#NUM!</v>
      </c>
      <c r="K2441" s="83" t="e">
        <f t="shared" si="382"/>
        <v>#NUM!</v>
      </c>
      <c r="L2441" s="83">
        <f t="shared" si="383"/>
        <v>0</v>
      </c>
      <c r="M2441" s="110" t="str">
        <f t="shared" si="384"/>
        <v/>
      </c>
      <c r="N2441" s="51" t="str">
        <f t="shared" si="385"/>
        <v/>
      </c>
      <c r="O2441" s="52" t="str">
        <f t="shared" si="386"/>
        <v/>
      </c>
      <c r="P2441" s="88">
        <f t="shared" si="387"/>
        <v>0</v>
      </c>
      <c r="Q2441" s="88">
        <f t="shared" si="388"/>
        <v>0</v>
      </c>
      <c r="R2441" s="88" t="e">
        <f>-IF(Tabla14[[#This Row],[DIAS HABILES O MORA]]&lt;0,(Tabla14[[#This Row],[VALOR PRESTAMO]]*Tabla14[[#This Row],[% INTERES ]]/30*U2441))+Tabla14[[#This Row],[VALOR CUOTAS]]</f>
        <v>#VALUE!</v>
      </c>
      <c r="S2441" s="88">
        <f>-IF(Tabla14[[#This Row],[DIAS HABILES O MORA]]&lt;0,(Tabla14[[#This Row],[VALOR PRESTAMO]]*Tabla14[[#This Row],[% INTERES ]]/30*U2441))</f>
        <v>0</v>
      </c>
      <c r="T2441" s="53" t="e">
        <f>Tabla14[[#This Row],[DEUDA CAPITAL]]+Tabla14[[#This Row],[INTERES  CUOTA]]</f>
        <v>#NUM!</v>
      </c>
      <c r="U2441" s="61" t="str">
        <f t="shared" si="389"/>
        <v/>
      </c>
    </row>
    <row r="2442" spans="9:21" ht="24.75" customHeight="1" x14ac:dyDescent="0.35">
      <c r="I2442" s="42">
        <f t="shared" si="380"/>
        <v>0</v>
      </c>
      <c r="J2442" s="65" t="e">
        <f t="shared" si="381"/>
        <v>#NUM!</v>
      </c>
      <c r="K2442" s="83" t="e">
        <f t="shared" si="382"/>
        <v>#NUM!</v>
      </c>
      <c r="L2442" s="83">
        <f t="shared" si="383"/>
        <v>0</v>
      </c>
      <c r="M2442" s="110" t="str">
        <f t="shared" si="384"/>
        <v/>
      </c>
      <c r="N2442" s="51" t="str">
        <f t="shared" si="385"/>
        <v/>
      </c>
      <c r="O2442" s="52" t="str">
        <f t="shared" si="386"/>
        <v/>
      </c>
      <c r="P2442" s="88">
        <f t="shared" si="387"/>
        <v>0</v>
      </c>
      <c r="Q2442" s="88">
        <f t="shared" si="388"/>
        <v>0</v>
      </c>
      <c r="R2442" s="88" t="e">
        <f>-IF(Tabla14[[#This Row],[DIAS HABILES O MORA]]&lt;0,(Tabla14[[#This Row],[VALOR PRESTAMO]]*Tabla14[[#This Row],[% INTERES ]]/30*U2442))+Tabla14[[#This Row],[VALOR CUOTAS]]</f>
        <v>#VALUE!</v>
      </c>
      <c r="S2442" s="88">
        <f>-IF(Tabla14[[#This Row],[DIAS HABILES O MORA]]&lt;0,(Tabla14[[#This Row],[VALOR PRESTAMO]]*Tabla14[[#This Row],[% INTERES ]]/30*U2442))</f>
        <v>0</v>
      </c>
      <c r="T2442" s="53" t="e">
        <f>Tabla14[[#This Row],[DEUDA CAPITAL]]+Tabla14[[#This Row],[INTERES  CUOTA]]</f>
        <v>#NUM!</v>
      </c>
      <c r="U2442" s="61" t="str">
        <f t="shared" si="389"/>
        <v/>
      </c>
    </row>
    <row r="2443" spans="9:21" ht="24.75" customHeight="1" x14ac:dyDescent="0.35">
      <c r="I2443" s="42">
        <f t="shared" si="380"/>
        <v>0</v>
      </c>
      <c r="J2443" s="65" t="e">
        <f t="shared" si="381"/>
        <v>#NUM!</v>
      </c>
      <c r="K2443" s="83" t="e">
        <f t="shared" si="382"/>
        <v>#NUM!</v>
      </c>
      <c r="L2443" s="83">
        <f t="shared" si="383"/>
        <v>0</v>
      </c>
      <c r="M2443" s="110" t="str">
        <f t="shared" si="384"/>
        <v/>
      </c>
      <c r="N2443" s="51" t="str">
        <f t="shared" si="385"/>
        <v/>
      </c>
      <c r="O2443" s="52" t="str">
        <f t="shared" si="386"/>
        <v/>
      </c>
      <c r="P2443" s="88">
        <f t="shared" si="387"/>
        <v>0</v>
      </c>
      <c r="Q2443" s="88">
        <f t="shared" si="388"/>
        <v>0</v>
      </c>
      <c r="R2443" s="88" t="e">
        <f>-IF(Tabla14[[#This Row],[DIAS HABILES O MORA]]&lt;0,(Tabla14[[#This Row],[VALOR PRESTAMO]]*Tabla14[[#This Row],[% INTERES ]]/30*U2443))+Tabla14[[#This Row],[VALOR CUOTAS]]</f>
        <v>#VALUE!</v>
      </c>
      <c r="S2443" s="88">
        <f>-IF(Tabla14[[#This Row],[DIAS HABILES O MORA]]&lt;0,(Tabla14[[#This Row],[VALOR PRESTAMO]]*Tabla14[[#This Row],[% INTERES ]]/30*U2443))</f>
        <v>0</v>
      </c>
      <c r="T2443" s="53" t="e">
        <f>Tabla14[[#This Row],[DEUDA CAPITAL]]+Tabla14[[#This Row],[INTERES  CUOTA]]</f>
        <v>#NUM!</v>
      </c>
      <c r="U2443" s="61" t="str">
        <f t="shared" si="389"/>
        <v/>
      </c>
    </row>
    <row r="2444" spans="9:21" ht="24.75" customHeight="1" x14ac:dyDescent="0.35">
      <c r="I2444" s="42">
        <f t="shared" si="380"/>
        <v>0</v>
      </c>
      <c r="J2444" s="65" t="e">
        <f t="shared" si="381"/>
        <v>#NUM!</v>
      </c>
      <c r="K2444" s="83" t="e">
        <f t="shared" si="382"/>
        <v>#NUM!</v>
      </c>
      <c r="L2444" s="83">
        <f t="shared" si="383"/>
        <v>0</v>
      </c>
      <c r="M2444" s="110" t="str">
        <f t="shared" si="384"/>
        <v/>
      </c>
      <c r="N2444" s="51" t="str">
        <f t="shared" si="385"/>
        <v/>
      </c>
      <c r="O2444" s="52" t="str">
        <f t="shared" si="386"/>
        <v/>
      </c>
      <c r="P2444" s="88">
        <f t="shared" si="387"/>
        <v>0</v>
      </c>
      <c r="Q2444" s="88">
        <f t="shared" si="388"/>
        <v>0</v>
      </c>
      <c r="R2444" s="88" t="e">
        <f>-IF(Tabla14[[#This Row],[DIAS HABILES O MORA]]&lt;0,(Tabla14[[#This Row],[VALOR PRESTAMO]]*Tabla14[[#This Row],[% INTERES ]]/30*U2444))+Tabla14[[#This Row],[VALOR CUOTAS]]</f>
        <v>#VALUE!</v>
      </c>
      <c r="S2444" s="88">
        <f>-IF(Tabla14[[#This Row],[DIAS HABILES O MORA]]&lt;0,(Tabla14[[#This Row],[VALOR PRESTAMO]]*Tabla14[[#This Row],[% INTERES ]]/30*U2444))</f>
        <v>0</v>
      </c>
      <c r="T2444" s="53" t="e">
        <f>Tabla14[[#This Row],[DEUDA CAPITAL]]+Tabla14[[#This Row],[INTERES  CUOTA]]</f>
        <v>#NUM!</v>
      </c>
      <c r="U2444" s="61" t="str">
        <f t="shared" si="389"/>
        <v/>
      </c>
    </row>
    <row r="2445" spans="9:21" ht="24.75" customHeight="1" x14ac:dyDescent="0.35">
      <c r="I2445" s="42">
        <f t="shared" si="380"/>
        <v>0</v>
      </c>
      <c r="J2445" s="65" t="e">
        <f t="shared" si="381"/>
        <v>#NUM!</v>
      </c>
      <c r="K2445" s="83" t="e">
        <f t="shared" si="382"/>
        <v>#NUM!</v>
      </c>
      <c r="L2445" s="83">
        <f t="shared" si="383"/>
        <v>0</v>
      </c>
      <c r="M2445" s="110" t="str">
        <f t="shared" si="384"/>
        <v/>
      </c>
      <c r="N2445" s="51" t="str">
        <f t="shared" si="385"/>
        <v/>
      </c>
      <c r="O2445" s="52" t="str">
        <f t="shared" si="386"/>
        <v/>
      </c>
      <c r="P2445" s="88">
        <f t="shared" si="387"/>
        <v>0</v>
      </c>
      <c r="Q2445" s="88">
        <f t="shared" si="388"/>
        <v>0</v>
      </c>
      <c r="R2445" s="88" t="e">
        <f>-IF(Tabla14[[#This Row],[DIAS HABILES O MORA]]&lt;0,(Tabla14[[#This Row],[VALOR PRESTAMO]]*Tabla14[[#This Row],[% INTERES ]]/30*U2445))+Tabla14[[#This Row],[VALOR CUOTAS]]</f>
        <v>#VALUE!</v>
      </c>
      <c r="S2445" s="88">
        <f>-IF(Tabla14[[#This Row],[DIAS HABILES O MORA]]&lt;0,(Tabla14[[#This Row],[VALOR PRESTAMO]]*Tabla14[[#This Row],[% INTERES ]]/30*U2445))</f>
        <v>0</v>
      </c>
      <c r="T2445" s="53" t="e">
        <f>Tabla14[[#This Row],[DEUDA CAPITAL]]+Tabla14[[#This Row],[INTERES  CUOTA]]</f>
        <v>#NUM!</v>
      </c>
      <c r="U2445" s="61" t="str">
        <f t="shared" si="389"/>
        <v/>
      </c>
    </row>
    <row r="2446" spans="9:21" ht="24.75" customHeight="1" x14ac:dyDescent="0.35">
      <c r="I2446" s="42">
        <f t="shared" si="380"/>
        <v>0</v>
      </c>
      <c r="J2446" s="65" t="e">
        <f t="shared" si="381"/>
        <v>#NUM!</v>
      </c>
      <c r="K2446" s="83" t="e">
        <f t="shared" si="382"/>
        <v>#NUM!</v>
      </c>
      <c r="L2446" s="83">
        <f t="shared" si="383"/>
        <v>0</v>
      </c>
      <c r="M2446" s="110" t="str">
        <f t="shared" si="384"/>
        <v/>
      </c>
      <c r="N2446" s="51" t="str">
        <f t="shared" si="385"/>
        <v/>
      </c>
      <c r="O2446" s="52" t="str">
        <f t="shared" si="386"/>
        <v/>
      </c>
      <c r="P2446" s="88">
        <f t="shared" si="387"/>
        <v>0</v>
      </c>
      <c r="Q2446" s="88">
        <f t="shared" si="388"/>
        <v>0</v>
      </c>
      <c r="R2446" s="88" t="e">
        <f>-IF(Tabla14[[#This Row],[DIAS HABILES O MORA]]&lt;0,(Tabla14[[#This Row],[VALOR PRESTAMO]]*Tabla14[[#This Row],[% INTERES ]]/30*U2446))+Tabla14[[#This Row],[VALOR CUOTAS]]</f>
        <v>#VALUE!</v>
      </c>
      <c r="S2446" s="88">
        <f>-IF(Tabla14[[#This Row],[DIAS HABILES O MORA]]&lt;0,(Tabla14[[#This Row],[VALOR PRESTAMO]]*Tabla14[[#This Row],[% INTERES ]]/30*U2446))</f>
        <v>0</v>
      </c>
      <c r="T2446" s="53" t="e">
        <f>Tabla14[[#This Row],[DEUDA CAPITAL]]+Tabla14[[#This Row],[INTERES  CUOTA]]</f>
        <v>#NUM!</v>
      </c>
      <c r="U2446" s="61" t="str">
        <f t="shared" si="389"/>
        <v/>
      </c>
    </row>
    <row r="2447" spans="9:21" ht="24.75" customHeight="1" x14ac:dyDescent="0.35">
      <c r="I2447" s="42">
        <f t="shared" si="380"/>
        <v>0</v>
      </c>
      <c r="J2447" s="65" t="e">
        <f t="shared" si="381"/>
        <v>#NUM!</v>
      </c>
      <c r="K2447" s="83" t="e">
        <f t="shared" si="382"/>
        <v>#NUM!</v>
      </c>
      <c r="L2447" s="83">
        <f t="shared" si="383"/>
        <v>0</v>
      </c>
      <c r="M2447" s="110" t="str">
        <f t="shared" si="384"/>
        <v/>
      </c>
      <c r="N2447" s="51" t="str">
        <f t="shared" si="385"/>
        <v/>
      </c>
      <c r="O2447" s="52" t="str">
        <f t="shared" si="386"/>
        <v/>
      </c>
      <c r="P2447" s="88">
        <f t="shared" si="387"/>
        <v>0</v>
      </c>
      <c r="Q2447" s="88">
        <f t="shared" si="388"/>
        <v>0</v>
      </c>
      <c r="R2447" s="88" t="e">
        <f>-IF(Tabla14[[#This Row],[DIAS HABILES O MORA]]&lt;0,(Tabla14[[#This Row],[VALOR PRESTAMO]]*Tabla14[[#This Row],[% INTERES ]]/30*U2447))+Tabla14[[#This Row],[VALOR CUOTAS]]</f>
        <v>#VALUE!</v>
      </c>
      <c r="S2447" s="88">
        <f>-IF(Tabla14[[#This Row],[DIAS HABILES O MORA]]&lt;0,(Tabla14[[#This Row],[VALOR PRESTAMO]]*Tabla14[[#This Row],[% INTERES ]]/30*U2447))</f>
        <v>0</v>
      </c>
      <c r="T2447" s="53" t="e">
        <f>Tabla14[[#This Row],[DEUDA CAPITAL]]+Tabla14[[#This Row],[INTERES  CUOTA]]</f>
        <v>#NUM!</v>
      </c>
      <c r="U2447" s="61" t="str">
        <f t="shared" si="389"/>
        <v/>
      </c>
    </row>
    <row r="2448" spans="9:21" ht="24.75" customHeight="1" x14ac:dyDescent="0.35">
      <c r="I2448" s="42">
        <f t="shared" ref="I2448:I2511" si="390">IF(C2448&lt;0,"",IF(Q2448=0,0,IF(G2448=0,H2448+1,IF(H2448&lt;G2448,H2448+1,IF(G2448=H2448,0)))))</f>
        <v>0</v>
      </c>
      <c r="J2448" s="65" t="e">
        <f t="shared" ref="J2448:J2511" si="391">IF(F2448="SOLO INTERES",Q2448*D2448,-IPMT(D2448,I2448,G2448,C2448))</f>
        <v>#NUM!</v>
      </c>
      <c r="K2448" s="83" t="e">
        <f t="shared" ref="K2448:K2511" si="392">IF(F2448="SOLO INTERES",0,-PPMT(D2448,I2448,G2448,C2448))</f>
        <v>#NUM!</v>
      </c>
      <c r="L2448" s="83">
        <f t="shared" ref="L2448:L2511" si="393">IF(F2448="SOLO INTERES",SUM(Y2448:AAE2448),IFERROR(-CUMIPMT(D2448,G2448,C2448,1,H2448,0),0)+SUM(Y2448:WY2448))</f>
        <v>0</v>
      </c>
      <c r="M2448" s="110" t="str">
        <f t="shared" ref="M2448:M2511" si="394">IFERROR(IF(F2448="SOLO INTERES",Q2448*D2448,-PMT(D2448,G2448,C2448,0)),"")</f>
        <v/>
      </c>
      <c r="N2448" s="51" t="str">
        <f t="shared" ref="N2448:N2511" si="395">IF(Q2448=0,"",IF(E2448="MENSUAL",EDATE(B2448,I2448),IF(E2448="QUINCENAL",B2448+(I2448*15),IF(E2448="SEMANAL",B2448+(I2448*7)))))</f>
        <v/>
      </c>
      <c r="O2448" s="52" t="str">
        <f t="shared" ref="O2448:O2511" si="396">IF(C2448=0,"",IF(Q2448&lt;1,"PAGADO",IF(N2448=$A$3,"COBRAR HOY",IF(N2448&lt;$A$3,"EN MORA",IF(N2448&gt;$A$3,"AL DIA")))))</f>
        <v/>
      </c>
      <c r="P2448" s="88">
        <f t="shared" ref="P2448:P2511" si="397">IFERROR(-CUMPRINC(D2448,G2448,C2448,1,H2448,0),0)+W2448</f>
        <v>0</v>
      </c>
      <c r="Q2448" s="88">
        <f t="shared" ref="Q2448:Q2511" si="398">IFERROR(C2448-P2448,"")</f>
        <v>0</v>
      </c>
      <c r="R2448" s="88" t="e">
        <f>-IF(Tabla14[[#This Row],[DIAS HABILES O MORA]]&lt;0,(Tabla14[[#This Row],[VALOR PRESTAMO]]*Tabla14[[#This Row],[% INTERES ]]/30*U2448))+Tabla14[[#This Row],[VALOR CUOTAS]]</f>
        <v>#VALUE!</v>
      </c>
      <c r="S2448" s="88">
        <f>-IF(Tabla14[[#This Row],[DIAS HABILES O MORA]]&lt;0,(Tabla14[[#This Row],[VALOR PRESTAMO]]*Tabla14[[#This Row],[% INTERES ]]/30*U2448))</f>
        <v>0</v>
      </c>
      <c r="T2448" s="53" t="e">
        <f>Tabla14[[#This Row],[DEUDA CAPITAL]]+Tabla14[[#This Row],[INTERES  CUOTA]]</f>
        <v>#NUM!</v>
      </c>
      <c r="U2448" s="61" t="str">
        <f t="shared" ref="U2448:U2511" si="399">IF(O2448="PAGADO","",IFERROR(-IF(C2448=0,"",$A$3-N2448),""))</f>
        <v/>
      </c>
    </row>
    <row r="2449" spans="9:21" ht="24.75" customHeight="1" x14ac:dyDescent="0.35">
      <c r="I2449" s="42">
        <f t="shared" si="390"/>
        <v>0</v>
      </c>
      <c r="J2449" s="65" t="e">
        <f t="shared" si="391"/>
        <v>#NUM!</v>
      </c>
      <c r="K2449" s="83" t="e">
        <f t="shared" si="392"/>
        <v>#NUM!</v>
      </c>
      <c r="L2449" s="83">
        <f t="shared" si="393"/>
        <v>0</v>
      </c>
      <c r="M2449" s="110" t="str">
        <f t="shared" si="394"/>
        <v/>
      </c>
      <c r="N2449" s="51" t="str">
        <f t="shared" si="395"/>
        <v/>
      </c>
      <c r="O2449" s="52" t="str">
        <f t="shared" si="396"/>
        <v/>
      </c>
      <c r="P2449" s="88">
        <f t="shared" si="397"/>
        <v>0</v>
      </c>
      <c r="Q2449" s="88">
        <f t="shared" si="398"/>
        <v>0</v>
      </c>
      <c r="R2449" s="88" t="e">
        <f>-IF(Tabla14[[#This Row],[DIAS HABILES O MORA]]&lt;0,(Tabla14[[#This Row],[VALOR PRESTAMO]]*Tabla14[[#This Row],[% INTERES ]]/30*U2449))+Tabla14[[#This Row],[VALOR CUOTAS]]</f>
        <v>#VALUE!</v>
      </c>
      <c r="S2449" s="88">
        <f>-IF(Tabla14[[#This Row],[DIAS HABILES O MORA]]&lt;0,(Tabla14[[#This Row],[VALOR PRESTAMO]]*Tabla14[[#This Row],[% INTERES ]]/30*U2449))</f>
        <v>0</v>
      </c>
      <c r="T2449" s="53" t="e">
        <f>Tabla14[[#This Row],[DEUDA CAPITAL]]+Tabla14[[#This Row],[INTERES  CUOTA]]</f>
        <v>#NUM!</v>
      </c>
      <c r="U2449" s="61" t="str">
        <f t="shared" si="399"/>
        <v/>
      </c>
    </row>
    <row r="2450" spans="9:21" ht="24.75" customHeight="1" x14ac:dyDescent="0.35">
      <c r="I2450" s="42">
        <f t="shared" si="390"/>
        <v>0</v>
      </c>
      <c r="J2450" s="65" t="e">
        <f t="shared" si="391"/>
        <v>#NUM!</v>
      </c>
      <c r="K2450" s="83" t="e">
        <f t="shared" si="392"/>
        <v>#NUM!</v>
      </c>
      <c r="L2450" s="83">
        <f t="shared" si="393"/>
        <v>0</v>
      </c>
      <c r="M2450" s="110" t="str">
        <f t="shared" si="394"/>
        <v/>
      </c>
      <c r="N2450" s="51" t="str">
        <f t="shared" si="395"/>
        <v/>
      </c>
      <c r="O2450" s="52" t="str">
        <f t="shared" si="396"/>
        <v/>
      </c>
      <c r="P2450" s="88">
        <f t="shared" si="397"/>
        <v>0</v>
      </c>
      <c r="Q2450" s="88">
        <f t="shared" si="398"/>
        <v>0</v>
      </c>
      <c r="R2450" s="88" t="e">
        <f>-IF(Tabla14[[#This Row],[DIAS HABILES O MORA]]&lt;0,(Tabla14[[#This Row],[VALOR PRESTAMO]]*Tabla14[[#This Row],[% INTERES ]]/30*U2450))+Tabla14[[#This Row],[VALOR CUOTAS]]</f>
        <v>#VALUE!</v>
      </c>
      <c r="S2450" s="88">
        <f>-IF(Tabla14[[#This Row],[DIAS HABILES O MORA]]&lt;0,(Tabla14[[#This Row],[VALOR PRESTAMO]]*Tabla14[[#This Row],[% INTERES ]]/30*U2450))</f>
        <v>0</v>
      </c>
      <c r="T2450" s="53" t="e">
        <f>Tabla14[[#This Row],[DEUDA CAPITAL]]+Tabla14[[#This Row],[INTERES  CUOTA]]</f>
        <v>#NUM!</v>
      </c>
      <c r="U2450" s="61" t="str">
        <f t="shared" si="399"/>
        <v/>
      </c>
    </row>
    <row r="2451" spans="9:21" ht="24.75" customHeight="1" x14ac:dyDescent="0.35">
      <c r="I2451" s="42">
        <f t="shared" si="390"/>
        <v>0</v>
      </c>
      <c r="J2451" s="65" t="e">
        <f t="shared" si="391"/>
        <v>#NUM!</v>
      </c>
      <c r="K2451" s="83" t="e">
        <f t="shared" si="392"/>
        <v>#NUM!</v>
      </c>
      <c r="L2451" s="83">
        <f t="shared" si="393"/>
        <v>0</v>
      </c>
      <c r="M2451" s="110" t="str">
        <f t="shared" si="394"/>
        <v/>
      </c>
      <c r="N2451" s="51" t="str">
        <f t="shared" si="395"/>
        <v/>
      </c>
      <c r="O2451" s="52" t="str">
        <f t="shared" si="396"/>
        <v/>
      </c>
      <c r="P2451" s="88">
        <f t="shared" si="397"/>
        <v>0</v>
      </c>
      <c r="Q2451" s="88">
        <f t="shared" si="398"/>
        <v>0</v>
      </c>
      <c r="R2451" s="88" t="e">
        <f>-IF(Tabla14[[#This Row],[DIAS HABILES O MORA]]&lt;0,(Tabla14[[#This Row],[VALOR PRESTAMO]]*Tabla14[[#This Row],[% INTERES ]]/30*U2451))+Tabla14[[#This Row],[VALOR CUOTAS]]</f>
        <v>#VALUE!</v>
      </c>
      <c r="S2451" s="88">
        <f>-IF(Tabla14[[#This Row],[DIAS HABILES O MORA]]&lt;0,(Tabla14[[#This Row],[VALOR PRESTAMO]]*Tabla14[[#This Row],[% INTERES ]]/30*U2451))</f>
        <v>0</v>
      </c>
      <c r="T2451" s="53" t="e">
        <f>Tabla14[[#This Row],[DEUDA CAPITAL]]+Tabla14[[#This Row],[INTERES  CUOTA]]</f>
        <v>#NUM!</v>
      </c>
      <c r="U2451" s="61" t="str">
        <f t="shared" si="399"/>
        <v/>
      </c>
    </row>
    <row r="2452" spans="9:21" ht="24.75" customHeight="1" x14ac:dyDescent="0.35">
      <c r="I2452" s="42">
        <f t="shared" si="390"/>
        <v>0</v>
      </c>
      <c r="J2452" s="65" t="e">
        <f t="shared" si="391"/>
        <v>#NUM!</v>
      </c>
      <c r="K2452" s="83" t="e">
        <f t="shared" si="392"/>
        <v>#NUM!</v>
      </c>
      <c r="L2452" s="83">
        <f t="shared" si="393"/>
        <v>0</v>
      </c>
      <c r="M2452" s="110" t="str">
        <f t="shared" si="394"/>
        <v/>
      </c>
      <c r="N2452" s="51" t="str">
        <f t="shared" si="395"/>
        <v/>
      </c>
      <c r="O2452" s="52" t="str">
        <f t="shared" si="396"/>
        <v/>
      </c>
      <c r="P2452" s="88">
        <f t="shared" si="397"/>
        <v>0</v>
      </c>
      <c r="Q2452" s="88">
        <f t="shared" si="398"/>
        <v>0</v>
      </c>
      <c r="R2452" s="88" t="e">
        <f>-IF(Tabla14[[#This Row],[DIAS HABILES O MORA]]&lt;0,(Tabla14[[#This Row],[VALOR PRESTAMO]]*Tabla14[[#This Row],[% INTERES ]]/30*U2452))+Tabla14[[#This Row],[VALOR CUOTAS]]</f>
        <v>#VALUE!</v>
      </c>
      <c r="S2452" s="88">
        <f>-IF(Tabla14[[#This Row],[DIAS HABILES O MORA]]&lt;0,(Tabla14[[#This Row],[VALOR PRESTAMO]]*Tabla14[[#This Row],[% INTERES ]]/30*U2452))</f>
        <v>0</v>
      </c>
      <c r="T2452" s="53" t="e">
        <f>Tabla14[[#This Row],[DEUDA CAPITAL]]+Tabla14[[#This Row],[INTERES  CUOTA]]</f>
        <v>#NUM!</v>
      </c>
      <c r="U2452" s="61" t="str">
        <f t="shared" si="399"/>
        <v/>
      </c>
    </row>
    <row r="2453" spans="9:21" ht="24.75" customHeight="1" x14ac:dyDescent="0.35">
      <c r="I2453" s="42">
        <f t="shared" si="390"/>
        <v>0</v>
      </c>
      <c r="J2453" s="65" t="e">
        <f t="shared" si="391"/>
        <v>#NUM!</v>
      </c>
      <c r="K2453" s="83" t="e">
        <f t="shared" si="392"/>
        <v>#NUM!</v>
      </c>
      <c r="L2453" s="83">
        <f t="shared" si="393"/>
        <v>0</v>
      </c>
      <c r="M2453" s="110" t="str">
        <f t="shared" si="394"/>
        <v/>
      </c>
      <c r="N2453" s="51" t="str">
        <f t="shared" si="395"/>
        <v/>
      </c>
      <c r="O2453" s="52" t="str">
        <f t="shared" si="396"/>
        <v/>
      </c>
      <c r="P2453" s="88">
        <f t="shared" si="397"/>
        <v>0</v>
      </c>
      <c r="Q2453" s="88">
        <f t="shared" si="398"/>
        <v>0</v>
      </c>
      <c r="R2453" s="88" t="e">
        <f>-IF(Tabla14[[#This Row],[DIAS HABILES O MORA]]&lt;0,(Tabla14[[#This Row],[VALOR PRESTAMO]]*Tabla14[[#This Row],[% INTERES ]]/30*U2453))+Tabla14[[#This Row],[VALOR CUOTAS]]</f>
        <v>#VALUE!</v>
      </c>
      <c r="S2453" s="88">
        <f>-IF(Tabla14[[#This Row],[DIAS HABILES O MORA]]&lt;0,(Tabla14[[#This Row],[VALOR PRESTAMO]]*Tabla14[[#This Row],[% INTERES ]]/30*U2453))</f>
        <v>0</v>
      </c>
      <c r="T2453" s="53" t="e">
        <f>Tabla14[[#This Row],[DEUDA CAPITAL]]+Tabla14[[#This Row],[INTERES  CUOTA]]</f>
        <v>#NUM!</v>
      </c>
      <c r="U2453" s="61" t="str">
        <f t="shared" si="399"/>
        <v/>
      </c>
    </row>
    <row r="2454" spans="9:21" ht="24.75" customHeight="1" x14ac:dyDescent="0.35">
      <c r="I2454" s="42">
        <f t="shared" si="390"/>
        <v>0</v>
      </c>
      <c r="J2454" s="65" t="e">
        <f t="shared" si="391"/>
        <v>#NUM!</v>
      </c>
      <c r="K2454" s="83" t="e">
        <f t="shared" si="392"/>
        <v>#NUM!</v>
      </c>
      <c r="L2454" s="83">
        <f t="shared" si="393"/>
        <v>0</v>
      </c>
      <c r="M2454" s="110" t="str">
        <f t="shared" si="394"/>
        <v/>
      </c>
      <c r="N2454" s="51" t="str">
        <f t="shared" si="395"/>
        <v/>
      </c>
      <c r="O2454" s="52" t="str">
        <f t="shared" si="396"/>
        <v/>
      </c>
      <c r="P2454" s="88">
        <f t="shared" si="397"/>
        <v>0</v>
      </c>
      <c r="Q2454" s="88">
        <f t="shared" si="398"/>
        <v>0</v>
      </c>
      <c r="R2454" s="88" t="e">
        <f>-IF(Tabla14[[#This Row],[DIAS HABILES O MORA]]&lt;0,(Tabla14[[#This Row],[VALOR PRESTAMO]]*Tabla14[[#This Row],[% INTERES ]]/30*U2454))+Tabla14[[#This Row],[VALOR CUOTAS]]</f>
        <v>#VALUE!</v>
      </c>
      <c r="S2454" s="88">
        <f>-IF(Tabla14[[#This Row],[DIAS HABILES O MORA]]&lt;0,(Tabla14[[#This Row],[VALOR PRESTAMO]]*Tabla14[[#This Row],[% INTERES ]]/30*U2454))</f>
        <v>0</v>
      </c>
      <c r="T2454" s="53" t="e">
        <f>Tabla14[[#This Row],[DEUDA CAPITAL]]+Tabla14[[#This Row],[INTERES  CUOTA]]</f>
        <v>#NUM!</v>
      </c>
      <c r="U2454" s="61" t="str">
        <f t="shared" si="399"/>
        <v/>
      </c>
    </row>
    <row r="2455" spans="9:21" ht="24.75" customHeight="1" x14ac:dyDescent="0.35">
      <c r="I2455" s="42">
        <f t="shared" si="390"/>
        <v>0</v>
      </c>
      <c r="J2455" s="65" t="e">
        <f t="shared" si="391"/>
        <v>#NUM!</v>
      </c>
      <c r="K2455" s="83" t="e">
        <f t="shared" si="392"/>
        <v>#NUM!</v>
      </c>
      <c r="L2455" s="83">
        <f t="shared" si="393"/>
        <v>0</v>
      </c>
      <c r="M2455" s="110" t="str">
        <f t="shared" si="394"/>
        <v/>
      </c>
      <c r="N2455" s="51" t="str">
        <f t="shared" si="395"/>
        <v/>
      </c>
      <c r="O2455" s="52" t="str">
        <f t="shared" si="396"/>
        <v/>
      </c>
      <c r="P2455" s="88">
        <f t="shared" si="397"/>
        <v>0</v>
      </c>
      <c r="Q2455" s="88">
        <f t="shared" si="398"/>
        <v>0</v>
      </c>
      <c r="R2455" s="88" t="e">
        <f>-IF(Tabla14[[#This Row],[DIAS HABILES O MORA]]&lt;0,(Tabla14[[#This Row],[VALOR PRESTAMO]]*Tabla14[[#This Row],[% INTERES ]]/30*U2455))+Tabla14[[#This Row],[VALOR CUOTAS]]</f>
        <v>#VALUE!</v>
      </c>
      <c r="S2455" s="88">
        <f>-IF(Tabla14[[#This Row],[DIAS HABILES O MORA]]&lt;0,(Tabla14[[#This Row],[VALOR PRESTAMO]]*Tabla14[[#This Row],[% INTERES ]]/30*U2455))</f>
        <v>0</v>
      </c>
      <c r="T2455" s="53" t="e">
        <f>Tabla14[[#This Row],[DEUDA CAPITAL]]+Tabla14[[#This Row],[INTERES  CUOTA]]</f>
        <v>#NUM!</v>
      </c>
      <c r="U2455" s="61" t="str">
        <f t="shared" si="399"/>
        <v/>
      </c>
    </row>
    <row r="2456" spans="9:21" ht="24.75" customHeight="1" x14ac:dyDescent="0.35">
      <c r="I2456" s="42">
        <f t="shared" si="390"/>
        <v>0</v>
      </c>
      <c r="J2456" s="65" t="e">
        <f t="shared" si="391"/>
        <v>#NUM!</v>
      </c>
      <c r="K2456" s="83" t="e">
        <f t="shared" si="392"/>
        <v>#NUM!</v>
      </c>
      <c r="L2456" s="83">
        <f t="shared" si="393"/>
        <v>0</v>
      </c>
      <c r="M2456" s="110" t="str">
        <f t="shared" si="394"/>
        <v/>
      </c>
      <c r="N2456" s="51" t="str">
        <f t="shared" si="395"/>
        <v/>
      </c>
      <c r="O2456" s="52" t="str">
        <f t="shared" si="396"/>
        <v/>
      </c>
      <c r="P2456" s="88">
        <f t="shared" si="397"/>
        <v>0</v>
      </c>
      <c r="Q2456" s="88">
        <f t="shared" si="398"/>
        <v>0</v>
      </c>
      <c r="R2456" s="88" t="e">
        <f>-IF(Tabla14[[#This Row],[DIAS HABILES O MORA]]&lt;0,(Tabla14[[#This Row],[VALOR PRESTAMO]]*Tabla14[[#This Row],[% INTERES ]]/30*U2456))+Tabla14[[#This Row],[VALOR CUOTAS]]</f>
        <v>#VALUE!</v>
      </c>
      <c r="S2456" s="88">
        <f>-IF(Tabla14[[#This Row],[DIAS HABILES O MORA]]&lt;0,(Tabla14[[#This Row],[VALOR PRESTAMO]]*Tabla14[[#This Row],[% INTERES ]]/30*U2456))</f>
        <v>0</v>
      </c>
      <c r="T2456" s="53" t="e">
        <f>Tabla14[[#This Row],[DEUDA CAPITAL]]+Tabla14[[#This Row],[INTERES  CUOTA]]</f>
        <v>#NUM!</v>
      </c>
      <c r="U2456" s="61" t="str">
        <f t="shared" si="399"/>
        <v/>
      </c>
    </row>
    <row r="2457" spans="9:21" ht="24.75" customHeight="1" x14ac:dyDescent="0.35">
      <c r="I2457" s="42">
        <f t="shared" si="390"/>
        <v>0</v>
      </c>
      <c r="J2457" s="65" t="e">
        <f t="shared" si="391"/>
        <v>#NUM!</v>
      </c>
      <c r="K2457" s="83" t="e">
        <f t="shared" si="392"/>
        <v>#NUM!</v>
      </c>
      <c r="L2457" s="83">
        <f t="shared" si="393"/>
        <v>0</v>
      </c>
      <c r="M2457" s="110" t="str">
        <f t="shared" si="394"/>
        <v/>
      </c>
      <c r="N2457" s="51" t="str">
        <f t="shared" si="395"/>
        <v/>
      </c>
      <c r="O2457" s="52" t="str">
        <f t="shared" si="396"/>
        <v/>
      </c>
      <c r="P2457" s="88">
        <f t="shared" si="397"/>
        <v>0</v>
      </c>
      <c r="Q2457" s="88">
        <f t="shared" si="398"/>
        <v>0</v>
      </c>
      <c r="R2457" s="88" t="e">
        <f>-IF(Tabla14[[#This Row],[DIAS HABILES O MORA]]&lt;0,(Tabla14[[#This Row],[VALOR PRESTAMO]]*Tabla14[[#This Row],[% INTERES ]]/30*U2457))+Tabla14[[#This Row],[VALOR CUOTAS]]</f>
        <v>#VALUE!</v>
      </c>
      <c r="S2457" s="88">
        <f>-IF(Tabla14[[#This Row],[DIAS HABILES O MORA]]&lt;0,(Tabla14[[#This Row],[VALOR PRESTAMO]]*Tabla14[[#This Row],[% INTERES ]]/30*U2457))</f>
        <v>0</v>
      </c>
      <c r="T2457" s="53" t="e">
        <f>Tabla14[[#This Row],[DEUDA CAPITAL]]+Tabla14[[#This Row],[INTERES  CUOTA]]</f>
        <v>#NUM!</v>
      </c>
      <c r="U2457" s="61" t="str">
        <f t="shared" si="399"/>
        <v/>
      </c>
    </row>
    <row r="2458" spans="9:21" ht="24.75" customHeight="1" x14ac:dyDescent="0.35">
      <c r="I2458" s="42">
        <f t="shared" si="390"/>
        <v>0</v>
      </c>
      <c r="J2458" s="65" t="e">
        <f t="shared" si="391"/>
        <v>#NUM!</v>
      </c>
      <c r="K2458" s="83" t="e">
        <f t="shared" si="392"/>
        <v>#NUM!</v>
      </c>
      <c r="L2458" s="83">
        <f t="shared" si="393"/>
        <v>0</v>
      </c>
      <c r="M2458" s="110" t="str">
        <f t="shared" si="394"/>
        <v/>
      </c>
      <c r="N2458" s="51" t="str">
        <f t="shared" si="395"/>
        <v/>
      </c>
      <c r="O2458" s="52" t="str">
        <f t="shared" si="396"/>
        <v/>
      </c>
      <c r="P2458" s="88">
        <f t="shared" si="397"/>
        <v>0</v>
      </c>
      <c r="Q2458" s="88">
        <f t="shared" si="398"/>
        <v>0</v>
      </c>
      <c r="R2458" s="88" t="e">
        <f>-IF(Tabla14[[#This Row],[DIAS HABILES O MORA]]&lt;0,(Tabla14[[#This Row],[VALOR PRESTAMO]]*Tabla14[[#This Row],[% INTERES ]]/30*U2458))+Tabla14[[#This Row],[VALOR CUOTAS]]</f>
        <v>#VALUE!</v>
      </c>
      <c r="S2458" s="88">
        <f>-IF(Tabla14[[#This Row],[DIAS HABILES O MORA]]&lt;0,(Tabla14[[#This Row],[VALOR PRESTAMO]]*Tabla14[[#This Row],[% INTERES ]]/30*U2458))</f>
        <v>0</v>
      </c>
      <c r="T2458" s="53" t="e">
        <f>Tabla14[[#This Row],[DEUDA CAPITAL]]+Tabla14[[#This Row],[INTERES  CUOTA]]</f>
        <v>#NUM!</v>
      </c>
      <c r="U2458" s="61" t="str">
        <f t="shared" si="399"/>
        <v/>
      </c>
    </row>
    <row r="2459" spans="9:21" ht="24.75" customHeight="1" x14ac:dyDescent="0.35">
      <c r="I2459" s="42">
        <f t="shared" si="390"/>
        <v>0</v>
      </c>
      <c r="J2459" s="65" t="e">
        <f t="shared" si="391"/>
        <v>#NUM!</v>
      </c>
      <c r="K2459" s="83" t="e">
        <f t="shared" si="392"/>
        <v>#NUM!</v>
      </c>
      <c r="L2459" s="83">
        <f t="shared" si="393"/>
        <v>0</v>
      </c>
      <c r="M2459" s="110" t="str">
        <f t="shared" si="394"/>
        <v/>
      </c>
      <c r="N2459" s="51" t="str">
        <f t="shared" si="395"/>
        <v/>
      </c>
      <c r="O2459" s="52" t="str">
        <f t="shared" si="396"/>
        <v/>
      </c>
      <c r="P2459" s="88">
        <f t="shared" si="397"/>
        <v>0</v>
      </c>
      <c r="Q2459" s="88">
        <f t="shared" si="398"/>
        <v>0</v>
      </c>
      <c r="R2459" s="88" t="e">
        <f>-IF(Tabla14[[#This Row],[DIAS HABILES O MORA]]&lt;0,(Tabla14[[#This Row],[VALOR PRESTAMO]]*Tabla14[[#This Row],[% INTERES ]]/30*U2459))+Tabla14[[#This Row],[VALOR CUOTAS]]</f>
        <v>#VALUE!</v>
      </c>
      <c r="S2459" s="88">
        <f>-IF(Tabla14[[#This Row],[DIAS HABILES O MORA]]&lt;0,(Tabla14[[#This Row],[VALOR PRESTAMO]]*Tabla14[[#This Row],[% INTERES ]]/30*U2459))</f>
        <v>0</v>
      </c>
      <c r="T2459" s="53" t="e">
        <f>Tabla14[[#This Row],[DEUDA CAPITAL]]+Tabla14[[#This Row],[INTERES  CUOTA]]</f>
        <v>#NUM!</v>
      </c>
      <c r="U2459" s="61" t="str">
        <f t="shared" si="399"/>
        <v/>
      </c>
    </row>
    <row r="2460" spans="9:21" ht="24.75" customHeight="1" x14ac:dyDescent="0.35">
      <c r="I2460" s="42">
        <f t="shared" si="390"/>
        <v>0</v>
      </c>
      <c r="J2460" s="65" t="e">
        <f t="shared" si="391"/>
        <v>#NUM!</v>
      </c>
      <c r="K2460" s="83" t="e">
        <f t="shared" si="392"/>
        <v>#NUM!</v>
      </c>
      <c r="L2460" s="83">
        <f t="shared" si="393"/>
        <v>0</v>
      </c>
      <c r="M2460" s="110" t="str">
        <f t="shared" si="394"/>
        <v/>
      </c>
      <c r="N2460" s="51" t="str">
        <f t="shared" si="395"/>
        <v/>
      </c>
      <c r="O2460" s="52" t="str">
        <f t="shared" si="396"/>
        <v/>
      </c>
      <c r="P2460" s="88">
        <f t="shared" si="397"/>
        <v>0</v>
      </c>
      <c r="Q2460" s="88">
        <f t="shared" si="398"/>
        <v>0</v>
      </c>
      <c r="R2460" s="88" t="e">
        <f>-IF(Tabla14[[#This Row],[DIAS HABILES O MORA]]&lt;0,(Tabla14[[#This Row],[VALOR PRESTAMO]]*Tabla14[[#This Row],[% INTERES ]]/30*U2460))+Tabla14[[#This Row],[VALOR CUOTAS]]</f>
        <v>#VALUE!</v>
      </c>
      <c r="S2460" s="88">
        <f>-IF(Tabla14[[#This Row],[DIAS HABILES O MORA]]&lt;0,(Tabla14[[#This Row],[VALOR PRESTAMO]]*Tabla14[[#This Row],[% INTERES ]]/30*U2460))</f>
        <v>0</v>
      </c>
      <c r="T2460" s="53" t="e">
        <f>Tabla14[[#This Row],[DEUDA CAPITAL]]+Tabla14[[#This Row],[INTERES  CUOTA]]</f>
        <v>#NUM!</v>
      </c>
      <c r="U2460" s="61" t="str">
        <f t="shared" si="399"/>
        <v/>
      </c>
    </row>
    <row r="2461" spans="9:21" ht="24.75" customHeight="1" x14ac:dyDescent="0.35">
      <c r="I2461" s="42">
        <f t="shared" si="390"/>
        <v>0</v>
      </c>
      <c r="J2461" s="65" t="e">
        <f t="shared" si="391"/>
        <v>#NUM!</v>
      </c>
      <c r="K2461" s="83" t="e">
        <f t="shared" si="392"/>
        <v>#NUM!</v>
      </c>
      <c r="L2461" s="83">
        <f t="shared" si="393"/>
        <v>0</v>
      </c>
      <c r="M2461" s="110" t="str">
        <f t="shared" si="394"/>
        <v/>
      </c>
      <c r="N2461" s="51" t="str">
        <f t="shared" si="395"/>
        <v/>
      </c>
      <c r="O2461" s="52" t="str">
        <f t="shared" si="396"/>
        <v/>
      </c>
      <c r="P2461" s="88">
        <f t="shared" si="397"/>
        <v>0</v>
      </c>
      <c r="Q2461" s="88">
        <f t="shared" si="398"/>
        <v>0</v>
      </c>
      <c r="R2461" s="88" t="e">
        <f>-IF(Tabla14[[#This Row],[DIAS HABILES O MORA]]&lt;0,(Tabla14[[#This Row],[VALOR PRESTAMO]]*Tabla14[[#This Row],[% INTERES ]]/30*U2461))+Tabla14[[#This Row],[VALOR CUOTAS]]</f>
        <v>#VALUE!</v>
      </c>
      <c r="S2461" s="88">
        <f>-IF(Tabla14[[#This Row],[DIAS HABILES O MORA]]&lt;0,(Tabla14[[#This Row],[VALOR PRESTAMO]]*Tabla14[[#This Row],[% INTERES ]]/30*U2461))</f>
        <v>0</v>
      </c>
      <c r="T2461" s="53" t="e">
        <f>Tabla14[[#This Row],[DEUDA CAPITAL]]+Tabla14[[#This Row],[INTERES  CUOTA]]</f>
        <v>#NUM!</v>
      </c>
      <c r="U2461" s="61" t="str">
        <f t="shared" si="399"/>
        <v/>
      </c>
    </row>
    <row r="2462" spans="9:21" ht="24.75" customHeight="1" x14ac:dyDescent="0.35">
      <c r="I2462" s="42">
        <f t="shared" si="390"/>
        <v>0</v>
      </c>
      <c r="J2462" s="65" t="e">
        <f t="shared" si="391"/>
        <v>#NUM!</v>
      </c>
      <c r="K2462" s="83" t="e">
        <f t="shared" si="392"/>
        <v>#NUM!</v>
      </c>
      <c r="L2462" s="83">
        <f t="shared" si="393"/>
        <v>0</v>
      </c>
      <c r="M2462" s="110" t="str">
        <f t="shared" si="394"/>
        <v/>
      </c>
      <c r="N2462" s="51" t="str">
        <f t="shared" si="395"/>
        <v/>
      </c>
      <c r="O2462" s="52" t="str">
        <f t="shared" si="396"/>
        <v/>
      </c>
      <c r="P2462" s="88">
        <f t="shared" si="397"/>
        <v>0</v>
      </c>
      <c r="Q2462" s="88">
        <f t="shared" si="398"/>
        <v>0</v>
      </c>
      <c r="R2462" s="88" t="e">
        <f>-IF(Tabla14[[#This Row],[DIAS HABILES O MORA]]&lt;0,(Tabla14[[#This Row],[VALOR PRESTAMO]]*Tabla14[[#This Row],[% INTERES ]]/30*U2462))+Tabla14[[#This Row],[VALOR CUOTAS]]</f>
        <v>#VALUE!</v>
      </c>
      <c r="S2462" s="88">
        <f>-IF(Tabla14[[#This Row],[DIAS HABILES O MORA]]&lt;0,(Tabla14[[#This Row],[VALOR PRESTAMO]]*Tabla14[[#This Row],[% INTERES ]]/30*U2462))</f>
        <v>0</v>
      </c>
      <c r="T2462" s="53" t="e">
        <f>Tabla14[[#This Row],[DEUDA CAPITAL]]+Tabla14[[#This Row],[INTERES  CUOTA]]</f>
        <v>#NUM!</v>
      </c>
      <c r="U2462" s="61" t="str">
        <f t="shared" si="399"/>
        <v/>
      </c>
    </row>
    <row r="2463" spans="9:21" ht="24.75" customHeight="1" x14ac:dyDescent="0.35">
      <c r="I2463" s="42">
        <f t="shared" si="390"/>
        <v>0</v>
      </c>
      <c r="J2463" s="65" t="e">
        <f t="shared" si="391"/>
        <v>#NUM!</v>
      </c>
      <c r="K2463" s="83" t="e">
        <f t="shared" si="392"/>
        <v>#NUM!</v>
      </c>
      <c r="L2463" s="83">
        <f t="shared" si="393"/>
        <v>0</v>
      </c>
      <c r="M2463" s="110" t="str">
        <f t="shared" si="394"/>
        <v/>
      </c>
      <c r="N2463" s="51" t="str">
        <f t="shared" si="395"/>
        <v/>
      </c>
      <c r="O2463" s="52" t="str">
        <f t="shared" si="396"/>
        <v/>
      </c>
      <c r="P2463" s="88">
        <f t="shared" si="397"/>
        <v>0</v>
      </c>
      <c r="Q2463" s="88">
        <f t="shared" si="398"/>
        <v>0</v>
      </c>
      <c r="R2463" s="88" t="e">
        <f>-IF(Tabla14[[#This Row],[DIAS HABILES O MORA]]&lt;0,(Tabla14[[#This Row],[VALOR PRESTAMO]]*Tabla14[[#This Row],[% INTERES ]]/30*U2463))+Tabla14[[#This Row],[VALOR CUOTAS]]</f>
        <v>#VALUE!</v>
      </c>
      <c r="S2463" s="88">
        <f>-IF(Tabla14[[#This Row],[DIAS HABILES O MORA]]&lt;0,(Tabla14[[#This Row],[VALOR PRESTAMO]]*Tabla14[[#This Row],[% INTERES ]]/30*U2463))</f>
        <v>0</v>
      </c>
      <c r="T2463" s="53" t="e">
        <f>Tabla14[[#This Row],[DEUDA CAPITAL]]+Tabla14[[#This Row],[INTERES  CUOTA]]</f>
        <v>#NUM!</v>
      </c>
      <c r="U2463" s="61" t="str">
        <f t="shared" si="399"/>
        <v/>
      </c>
    </row>
    <row r="2464" spans="9:21" ht="24.75" customHeight="1" x14ac:dyDescent="0.35">
      <c r="I2464" s="42">
        <f t="shared" si="390"/>
        <v>0</v>
      </c>
      <c r="J2464" s="65" t="e">
        <f t="shared" si="391"/>
        <v>#NUM!</v>
      </c>
      <c r="K2464" s="83" t="e">
        <f t="shared" si="392"/>
        <v>#NUM!</v>
      </c>
      <c r="L2464" s="83">
        <f t="shared" si="393"/>
        <v>0</v>
      </c>
      <c r="M2464" s="110" t="str">
        <f t="shared" si="394"/>
        <v/>
      </c>
      <c r="N2464" s="51" t="str">
        <f t="shared" si="395"/>
        <v/>
      </c>
      <c r="O2464" s="52" t="str">
        <f t="shared" si="396"/>
        <v/>
      </c>
      <c r="P2464" s="88">
        <f t="shared" si="397"/>
        <v>0</v>
      </c>
      <c r="Q2464" s="88">
        <f t="shared" si="398"/>
        <v>0</v>
      </c>
      <c r="R2464" s="88" t="e">
        <f>-IF(Tabla14[[#This Row],[DIAS HABILES O MORA]]&lt;0,(Tabla14[[#This Row],[VALOR PRESTAMO]]*Tabla14[[#This Row],[% INTERES ]]/30*U2464))+Tabla14[[#This Row],[VALOR CUOTAS]]</f>
        <v>#VALUE!</v>
      </c>
      <c r="S2464" s="88">
        <f>-IF(Tabla14[[#This Row],[DIAS HABILES O MORA]]&lt;0,(Tabla14[[#This Row],[VALOR PRESTAMO]]*Tabla14[[#This Row],[% INTERES ]]/30*U2464))</f>
        <v>0</v>
      </c>
      <c r="T2464" s="53" t="e">
        <f>Tabla14[[#This Row],[DEUDA CAPITAL]]+Tabla14[[#This Row],[INTERES  CUOTA]]</f>
        <v>#NUM!</v>
      </c>
      <c r="U2464" s="61" t="str">
        <f t="shared" si="399"/>
        <v/>
      </c>
    </row>
    <row r="2465" spans="9:21" ht="24.75" customHeight="1" x14ac:dyDescent="0.35">
      <c r="I2465" s="42">
        <f t="shared" si="390"/>
        <v>0</v>
      </c>
      <c r="J2465" s="65" t="e">
        <f t="shared" si="391"/>
        <v>#NUM!</v>
      </c>
      <c r="K2465" s="83" t="e">
        <f t="shared" si="392"/>
        <v>#NUM!</v>
      </c>
      <c r="L2465" s="83">
        <f t="shared" si="393"/>
        <v>0</v>
      </c>
      <c r="M2465" s="110" t="str">
        <f t="shared" si="394"/>
        <v/>
      </c>
      <c r="N2465" s="51" t="str">
        <f t="shared" si="395"/>
        <v/>
      </c>
      <c r="O2465" s="52" t="str">
        <f t="shared" si="396"/>
        <v/>
      </c>
      <c r="P2465" s="88">
        <f t="shared" si="397"/>
        <v>0</v>
      </c>
      <c r="Q2465" s="88">
        <f t="shared" si="398"/>
        <v>0</v>
      </c>
      <c r="R2465" s="88" t="e">
        <f>-IF(Tabla14[[#This Row],[DIAS HABILES O MORA]]&lt;0,(Tabla14[[#This Row],[VALOR PRESTAMO]]*Tabla14[[#This Row],[% INTERES ]]/30*U2465))+Tabla14[[#This Row],[VALOR CUOTAS]]</f>
        <v>#VALUE!</v>
      </c>
      <c r="S2465" s="88">
        <f>-IF(Tabla14[[#This Row],[DIAS HABILES O MORA]]&lt;0,(Tabla14[[#This Row],[VALOR PRESTAMO]]*Tabla14[[#This Row],[% INTERES ]]/30*U2465))</f>
        <v>0</v>
      </c>
      <c r="T2465" s="53" t="e">
        <f>Tabla14[[#This Row],[DEUDA CAPITAL]]+Tabla14[[#This Row],[INTERES  CUOTA]]</f>
        <v>#NUM!</v>
      </c>
      <c r="U2465" s="61" t="str">
        <f t="shared" si="399"/>
        <v/>
      </c>
    </row>
    <row r="2466" spans="9:21" ht="24.75" customHeight="1" x14ac:dyDescent="0.35">
      <c r="I2466" s="42">
        <f t="shared" si="390"/>
        <v>0</v>
      </c>
      <c r="J2466" s="65" t="e">
        <f t="shared" si="391"/>
        <v>#NUM!</v>
      </c>
      <c r="K2466" s="83" t="e">
        <f t="shared" si="392"/>
        <v>#NUM!</v>
      </c>
      <c r="L2466" s="83">
        <f t="shared" si="393"/>
        <v>0</v>
      </c>
      <c r="M2466" s="110" t="str">
        <f t="shared" si="394"/>
        <v/>
      </c>
      <c r="N2466" s="51" t="str">
        <f t="shared" si="395"/>
        <v/>
      </c>
      <c r="O2466" s="52" t="str">
        <f t="shared" si="396"/>
        <v/>
      </c>
      <c r="P2466" s="88">
        <f t="shared" si="397"/>
        <v>0</v>
      </c>
      <c r="Q2466" s="88">
        <f t="shared" si="398"/>
        <v>0</v>
      </c>
      <c r="R2466" s="88" t="e">
        <f>-IF(Tabla14[[#This Row],[DIAS HABILES O MORA]]&lt;0,(Tabla14[[#This Row],[VALOR PRESTAMO]]*Tabla14[[#This Row],[% INTERES ]]/30*U2466))+Tabla14[[#This Row],[VALOR CUOTAS]]</f>
        <v>#VALUE!</v>
      </c>
      <c r="S2466" s="88">
        <f>-IF(Tabla14[[#This Row],[DIAS HABILES O MORA]]&lt;0,(Tabla14[[#This Row],[VALOR PRESTAMO]]*Tabla14[[#This Row],[% INTERES ]]/30*U2466))</f>
        <v>0</v>
      </c>
      <c r="T2466" s="53" t="e">
        <f>Tabla14[[#This Row],[DEUDA CAPITAL]]+Tabla14[[#This Row],[INTERES  CUOTA]]</f>
        <v>#NUM!</v>
      </c>
      <c r="U2466" s="61" t="str">
        <f t="shared" si="399"/>
        <v/>
      </c>
    </row>
    <row r="2467" spans="9:21" ht="24.75" customHeight="1" x14ac:dyDescent="0.35">
      <c r="I2467" s="42">
        <f t="shared" si="390"/>
        <v>0</v>
      </c>
      <c r="J2467" s="65" t="e">
        <f t="shared" si="391"/>
        <v>#NUM!</v>
      </c>
      <c r="K2467" s="83" t="e">
        <f t="shared" si="392"/>
        <v>#NUM!</v>
      </c>
      <c r="L2467" s="83">
        <f t="shared" si="393"/>
        <v>0</v>
      </c>
      <c r="M2467" s="110" t="str">
        <f t="shared" si="394"/>
        <v/>
      </c>
      <c r="N2467" s="51" t="str">
        <f t="shared" si="395"/>
        <v/>
      </c>
      <c r="O2467" s="52" t="str">
        <f t="shared" si="396"/>
        <v/>
      </c>
      <c r="P2467" s="88">
        <f t="shared" si="397"/>
        <v>0</v>
      </c>
      <c r="Q2467" s="88">
        <f t="shared" si="398"/>
        <v>0</v>
      </c>
      <c r="R2467" s="88" t="e">
        <f>-IF(Tabla14[[#This Row],[DIAS HABILES O MORA]]&lt;0,(Tabla14[[#This Row],[VALOR PRESTAMO]]*Tabla14[[#This Row],[% INTERES ]]/30*U2467))+Tabla14[[#This Row],[VALOR CUOTAS]]</f>
        <v>#VALUE!</v>
      </c>
      <c r="S2467" s="88">
        <f>-IF(Tabla14[[#This Row],[DIAS HABILES O MORA]]&lt;0,(Tabla14[[#This Row],[VALOR PRESTAMO]]*Tabla14[[#This Row],[% INTERES ]]/30*U2467))</f>
        <v>0</v>
      </c>
      <c r="T2467" s="53" t="e">
        <f>Tabla14[[#This Row],[DEUDA CAPITAL]]+Tabla14[[#This Row],[INTERES  CUOTA]]</f>
        <v>#NUM!</v>
      </c>
      <c r="U2467" s="61" t="str">
        <f t="shared" si="399"/>
        <v/>
      </c>
    </row>
    <row r="2468" spans="9:21" ht="24.75" customHeight="1" x14ac:dyDescent="0.35">
      <c r="I2468" s="42">
        <f t="shared" si="390"/>
        <v>0</v>
      </c>
      <c r="J2468" s="65" t="e">
        <f t="shared" si="391"/>
        <v>#NUM!</v>
      </c>
      <c r="K2468" s="83" t="e">
        <f t="shared" si="392"/>
        <v>#NUM!</v>
      </c>
      <c r="L2468" s="83">
        <f t="shared" si="393"/>
        <v>0</v>
      </c>
      <c r="M2468" s="110" t="str">
        <f t="shared" si="394"/>
        <v/>
      </c>
      <c r="N2468" s="51" t="str">
        <f t="shared" si="395"/>
        <v/>
      </c>
      <c r="O2468" s="52" t="str">
        <f t="shared" si="396"/>
        <v/>
      </c>
      <c r="P2468" s="88">
        <f t="shared" si="397"/>
        <v>0</v>
      </c>
      <c r="Q2468" s="88">
        <f t="shared" si="398"/>
        <v>0</v>
      </c>
      <c r="R2468" s="88" t="e">
        <f>-IF(Tabla14[[#This Row],[DIAS HABILES O MORA]]&lt;0,(Tabla14[[#This Row],[VALOR PRESTAMO]]*Tabla14[[#This Row],[% INTERES ]]/30*U2468))+Tabla14[[#This Row],[VALOR CUOTAS]]</f>
        <v>#VALUE!</v>
      </c>
      <c r="S2468" s="88">
        <f>-IF(Tabla14[[#This Row],[DIAS HABILES O MORA]]&lt;0,(Tabla14[[#This Row],[VALOR PRESTAMO]]*Tabla14[[#This Row],[% INTERES ]]/30*U2468))</f>
        <v>0</v>
      </c>
      <c r="T2468" s="53" t="e">
        <f>Tabla14[[#This Row],[DEUDA CAPITAL]]+Tabla14[[#This Row],[INTERES  CUOTA]]</f>
        <v>#NUM!</v>
      </c>
      <c r="U2468" s="61" t="str">
        <f t="shared" si="399"/>
        <v/>
      </c>
    </row>
    <row r="2469" spans="9:21" ht="24.75" customHeight="1" x14ac:dyDescent="0.35">
      <c r="I2469" s="42">
        <f t="shared" si="390"/>
        <v>0</v>
      </c>
      <c r="J2469" s="65" t="e">
        <f t="shared" si="391"/>
        <v>#NUM!</v>
      </c>
      <c r="K2469" s="83" t="e">
        <f t="shared" si="392"/>
        <v>#NUM!</v>
      </c>
      <c r="L2469" s="83">
        <f t="shared" si="393"/>
        <v>0</v>
      </c>
      <c r="M2469" s="110" t="str">
        <f t="shared" si="394"/>
        <v/>
      </c>
      <c r="N2469" s="51" t="str">
        <f t="shared" si="395"/>
        <v/>
      </c>
      <c r="O2469" s="52" t="str">
        <f t="shared" si="396"/>
        <v/>
      </c>
      <c r="P2469" s="88">
        <f t="shared" si="397"/>
        <v>0</v>
      </c>
      <c r="Q2469" s="88">
        <f t="shared" si="398"/>
        <v>0</v>
      </c>
      <c r="R2469" s="88" t="e">
        <f>-IF(Tabla14[[#This Row],[DIAS HABILES O MORA]]&lt;0,(Tabla14[[#This Row],[VALOR PRESTAMO]]*Tabla14[[#This Row],[% INTERES ]]/30*U2469))+Tabla14[[#This Row],[VALOR CUOTAS]]</f>
        <v>#VALUE!</v>
      </c>
      <c r="S2469" s="88">
        <f>-IF(Tabla14[[#This Row],[DIAS HABILES O MORA]]&lt;0,(Tabla14[[#This Row],[VALOR PRESTAMO]]*Tabla14[[#This Row],[% INTERES ]]/30*U2469))</f>
        <v>0</v>
      </c>
      <c r="T2469" s="53" t="e">
        <f>Tabla14[[#This Row],[DEUDA CAPITAL]]+Tabla14[[#This Row],[INTERES  CUOTA]]</f>
        <v>#NUM!</v>
      </c>
      <c r="U2469" s="61" t="str">
        <f t="shared" si="399"/>
        <v/>
      </c>
    </row>
    <row r="2470" spans="9:21" ht="24.75" customHeight="1" x14ac:dyDescent="0.35">
      <c r="I2470" s="42">
        <f t="shared" si="390"/>
        <v>0</v>
      </c>
      <c r="J2470" s="65" t="e">
        <f t="shared" si="391"/>
        <v>#NUM!</v>
      </c>
      <c r="K2470" s="83" t="e">
        <f t="shared" si="392"/>
        <v>#NUM!</v>
      </c>
      <c r="L2470" s="83">
        <f t="shared" si="393"/>
        <v>0</v>
      </c>
      <c r="M2470" s="110" t="str">
        <f t="shared" si="394"/>
        <v/>
      </c>
      <c r="N2470" s="51" t="str">
        <f t="shared" si="395"/>
        <v/>
      </c>
      <c r="O2470" s="52" t="str">
        <f t="shared" si="396"/>
        <v/>
      </c>
      <c r="P2470" s="88">
        <f t="shared" si="397"/>
        <v>0</v>
      </c>
      <c r="Q2470" s="88">
        <f t="shared" si="398"/>
        <v>0</v>
      </c>
      <c r="R2470" s="88" t="e">
        <f>-IF(Tabla14[[#This Row],[DIAS HABILES O MORA]]&lt;0,(Tabla14[[#This Row],[VALOR PRESTAMO]]*Tabla14[[#This Row],[% INTERES ]]/30*U2470))+Tabla14[[#This Row],[VALOR CUOTAS]]</f>
        <v>#VALUE!</v>
      </c>
      <c r="S2470" s="88">
        <f>-IF(Tabla14[[#This Row],[DIAS HABILES O MORA]]&lt;0,(Tabla14[[#This Row],[VALOR PRESTAMO]]*Tabla14[[#This Row],[% INTERES ]]/30*U2470))</f>
        <v>0</v>
      </c>
      <c r="T2470" s="53" t="e">
        <f>Tabla14[[#This Row],[DEUDA CAPITAL]]+Tabla14[[#This Row],[INTERES  CUOTA]]</f>
        <v>#NUM!</v>
      </c>
      <c r="U2470" s="61" t="str">
        <f t="shared" si="399"/>
        <v/>
      </c>
    </row>
    <row r="2471" spans="9:21" ht="24.75" customHeight="1" x14ac:dyDescent="0.35">
      <c r="I2471" s="42">
        <f t="shared" si="390"/>
        <v>0</v>
      </c>
      <c r="J2471" s="65" t="e">
        <f t="shared" si="391"/>
        <v>#NUM!</v>
      </c>
      <c r="K2471" s="83" t="e">
        <f t="shared" si="392"/>
        <v>#NUM!</v>
      </c>
      <c r="L2471" s="83">
        <f t="shared" si="393"/>
        <v>0</v>
      </c>
      <c r="M2471" s="110" t="str">
        <f t="shared" si="394"/>
        <v/>
      </c>
      <c r="N2471" s="51" t="str">
        <f t="shared" si="395"/>
        <v/>
      </c>
      <c r="O2471" s="52" t="str">
        <f t="shared" si="396"/>
        <v/>
      </c>
      <c r="P2471" s="88">
        <f t="shared" si="397"/>
        <v>0</v>
      </c>
      <c r="Q2471" s="88">
        <f t="shared" si="398"/>
        <v>0</v>
      </c>
      <c r="R2471" s="88" t="e">
        <f>-IF(Tabla14[[#This Row],[DIAS HABILES O MORA]]&lt;0,(Tabla14[[#This Row],[VALOR PRESTAMO]]*Tabla14[[#This Row],[% INTERES ]]/30*U2471))+Tabla14[[#This Row],[VALOR CUOTAS]]</f>
        <v>#VALUE!</v>
      </c>
      <c r="S2471" s="88">
        <f>-IF(Tabla14[[#This Row],[DIAS HABILES O MORA]]&lt;0,(Tabla14[[#This Row],[VALOR PRESTAMO]]*Tabla14[[#This Row],[% INTERES ]]/30*U2471))</f>
        <v>0</v>
      </c>
      <c r="T2471" s="53" t="e">
        <f>Tabla14[[#This Row],[DEUDA CAPITAL]]+Tabla14[[#This Row],[INTERES  CUOTA]]</f>
        <v>#NUM!</v>
      </c>
      <c r="U2471" s="61" t="str">
        <f t="shared" si="399"/>
        <v/>
      </c>
    </row>
    <row r="2472" spans="9:21" ht="24.75" customHeight="1" x14ac:dyDescent="0.35">
      <c r="I2472" s="42">
        <f t="shared" si="390"/>
        <v>0</v>
      </c>
      <c r="J2472" s="65" t="e">
        <f t="shared" si="391"/>
        <v>#NUM!</v>
      </c>
      <c r="K2472" s="83" t="e">
        <f t="shared" si="392"/>
        <v>#NUM!</v>
      </c>
      <c r="L2472" s="83">
        <f t="shared" si="393"/>
        <v>0</v>
      </c>
      <c r="M2472" s="110" t="str">
        <f t="shared" si="394"/>
        <v/>
      </c>
      <c r="N2472" s="51" t="str">
        <f t="shared" si="395"/>
        <v/>
      </c>
      <c r="O2472" s="52" t="str">
        <f t="shared" si="396"/>
        <v/>
      </c>
      <c r="P2472" s="88">
        <f t="shared" si="397"/>
        <v>0</v>
      </c>
      <c r="Q2472" s="88">
        <f t="shared" si="398"/>
        <v>0</v>
      </c>
      <c r="R2472" s="88" t="e">
        <f>-IF(Tabla14[[#This Row],[DIAS HABILES O MORA]]&lt;0,(Tabla14[[#This Row],[VALOR PRESTAMO]]*Tabla14[[#This Row],[% INTERES ]]/30*U2472))+Tabla14[[#This Row],[VALOR CUOTAS]]</f>
        <v>#VALUE!</v>
      </c>
      <c r="S2472" s="88">
        <f>-IF(Tabla14[[#This Row],[DIAS HABILES O MORA]]&lt;0,(Tabla14[[#This Row],[VALOR PRESTAMO]]*Tabla14[[#This Row],[% INTERES ]]/30*U2472))</f>
        <v>0</v>
      </c>
      <c r="T2472" s="53" t="e">
        <f>Tabla14[[#This Row],[DEUDA CAPITAL]]+Tabla14[[#This Row],[INTERES  CUOTA]]</f>
        <v>#NUM!</v>
      </c>
      <c r="U2472" s="61" t="str">
        <f t="shared" si="399"/>
        <v/>
      </c>
    </row>
    <row r="2473" spans="9:21" ht="24.75" customHeight="1" x14ac:dyDescent="0.35">
      <c r="I2473" s="42">
        <f t="shared" si="390"/>
        <v>0</v>
      </c>
      <c r="J2473" s="65" t="e">
        <f t="shared" si="391"/>
        <v>#NUM!</v>
      </c>
      <c r="K2473" s="83" t="e">
        <f t="shared" si="392"/>
        <v>#NUM!</v>
      </c>
      <c r="L2473" s="83">
        <f t="shared" si="393"/>
        <v>0</v>
      </c>
      <c r="M2473" s="110" t="str">
        <f t="shared" si="394"/>
        <v/>
      </c>
      <c r="N2473" s="51" t="str">
        <f t="shared" si="395"/>
        <v/>
      </c>
      <c r="O2473" s="52" t="str">
        <f t="shared" si="396"/>
        <v/>
      </c>
      <c r="P2473" s="88">
        <f t="shared" si="397"/>
        <v>0</v>
      </c>
      <c r="Q2473" s="88">
        <f t="shared" si="398"/>
        <v>0</v>
      </c>
      <c r="R2473" s="88" t="e">
        <f>-IF(Tabla14[[#This Row],[DIAS HABILES O MORA]]&lt;0,(Tabla14[[#This Row],[VALOR PRESTAMO]]*Tabla14[[#This Row],[% INTERES ]]/30*U2473))+Tabla14[[#This Row],[VALOR CUOTAS]]</f>
        <v>#VALUE!</v>
      </c>
      <c r="S2473" s="88">
        <f>-IF(Tabla14[[#This Row],[DIAS HABILES O MORA]]&lt;0,(Tabla14[[#This Row],[VALOR PRESTAMO]]*Tabla14[[#This Row],[% INTERES ]]/30*U2473))</f>
        <v>0</v>
      </c>
      <c r="T2473" s="53" t="e">
        <f>Tabla14[[#This Row],[DEUDA CAPITAL]]+Tabla14[[#This Row],[INTERES  CUOTA]]</f>
        <v>#NUM!</v>
      </c>
      <c r="U2473" s="61" t="str">
        <f t="shared" si="399"/>
        <v/>
      </c>
    </row>
    <row r="2474" spans="9:21" ht="24.75" customHeight="1" x14ac:dyDescent="0.35">
      <c r="I2474" s="42">
        <f t="shared" si="390"/>
        <v>0</v>
      </c>
      <c r="J2474" s="65" t="e">
        <f t="shared" si="391"/>
        <v>#NUM!</v>
      </c>
      <c r="K2474" s="83" t="e">
        <f t="shared" si="392"/>
        <v>#NUM!</v>
      </c>
      <c r="L2474" s="83">
        <f t="shared" si="393"/>
        <v>0</v>
      </c>
      <c r="M2474" s="110" t="str">
        <f t="shared" si="394"/>
        <v/>
      </c>
      <c r="N2474" s="51" t="str">
        <f t="shared" si="395"/>
        <v/>
      </c>
      <c r="O2474" s="52" t="str">
        <f t="shared" si="396"/>
        <v/>
      </c>
      <c r="P2474" s="88">
        <f t="shared" si="397"/>
        <v>0</v>
      </c>
      <c r="Q2474" s="88">
        <f t="shared" si="398"/>
        <v>0</v>
      </c>
      <c r="R2474" s="88" t="e">
        <f>-IF(Tabla14[[#This Row],[DIAS HABILES O MORA]]&lt;0,(Tabla14[[#This Row],[VALOR PRESTAMO]]*Tabla14[[#This Row],[% INTERES ]]/30*U2474))+Tabla14[[#This Row],[VALOR CUOTAS]]</f>
        <v>#VALUE!</v>
      </c>
      <c r="S2474" s="88">
        <f>-IF(Tabla14[[#This Row],[DIAS HABILES O MORA]]&lt;0,(Tabla14[[#This Row],[VALOR PRESTAMO]]*Tabla14[[#This Row],[% INTERES ]]/30*U2474))</f>
        <v>0</v>
      </c>
      <c r="T2474" s="53" t="e">
        <f>Tabla14[[#This Row],[DEUDA CAPITAL]]+Tabla14[[#This Row],[INTERES  CUOTA]]</f>
        <v>#NUM!</v>
      </c>
      <c r="U2474" s="61" t="str">
        <f t="shared" si="399"/>
        <v/>
      </c>
    </row>
    <row r="2475" spans="9:21" ht="24.75" customHeight="1" x14ac:dyDescent="0.35">
      <c r="I2475" s="42">
        <f t="shared" si="390"/>
        <v>0</v>
      </c>
      <c r="J2475" s="65" t="e">
        <f t="shared" si="391"/>
        <v>#NUM!</v>
      </c>
      <c r="K2475" s="83" t="e">
        <f t="shared" si="392"/>
        <v>#NUM!</v>
      </c>
      <c r="L2475" s="83">
        <f t="shared" si="393"/>
        <v>0</v>
      </c>
      <c r="M2475" s="110" t="str">
        <f t="shared" si="394"/>
        <v/>
      </c>
      <c r="N2475" s="51" t="str">
        <f t="shared" si="395"/>
        <v/>
      </c>
      <c r="O2475" s="52" t="str">
        <f t="shared" si="396"/>
        <v/>
      </c>
      <c r="P2475" s="88">
        <f t="shared" si="397"/>
        <v>0</v>
      </c>
      <c r="Q2475" s="88">
        <f t="shared" si="398"/>
        <v>0</v>
      </c>
      <c r="R2475" s="88" t="e">
        <f>-IF(Tabla14[[#This Row],[DIAS HABILES O MORA]]&lt;0,(Tabla14[[#This Row],[VALOR PRESTAMO]]*Tabla14[[#This Row],[% INTERES ]]/30*U2475))+Tabla14[[#This Row],[VALOR CUOTAS]]</f>
        <v>#VALUE!</v>
      </c>
      <c r="S2475" s="88">
        <f>-IF(Tabla14[[#This Row],[DIAS HABILES O MORA]]&lt;0,(Tabla14[[#This Row],[VALOR PRESTAMO]]*Tabla14[[#This Row],[% INTERES ]]/30*U2475))</f>
        <v>0</v>
      </c>
      <c r="T2475" s="53" t="e">
        <f>Tabla14[[#This Row],[DEUDA CAPITAL]]+Tabla14[[#This Row],[INTERES  CUOTA]]</f>
        <v>#NUM!</v>
      </c>
      <c r="U2475" s="61" t="str">
        <f t="shared" si="399"/>
        <v/>
      </c>
    </row>
    <row r="2476" spans="9:21" ht="24.75" customHeight="1" x14ac:dyDescent="0.35">
      <c r="I2476" s="42">
        <f t="shared" si="390"/>
        <v>0</v>
      </c>
      <c r="J2476" s="65" t="e">
        <f t="shared" si="391"/>
        <v>#NUM!</v>
      </c>
      <c r="K2476" s="83" t="e">
        <f t="shared" si="392"/>
        <v>#NUM!</v>
      </c>
      <c r="L2476" s="83">
        <f t="shared" si="393"/>
        <v>0</v>
      </c>
      <c r="M2476" s="110" t="str">
        <f t="shared" si="394"/>
        <v/>
      </c>
      <c r="N2476" s="51" t="str">
        <f t="shared" si="395"/>
        <v/>
      </c>
      <c r="O2476" s="52" t="str">
        <f t="shared" si="396"/>
        <v/>
      </c>
      <c r="P2476" s="88">
        <f t="shared" si="397"/>
        <v>0</v>
      </c>
      <c r="Q2476" s="88">
        <f t="shared" si="398"/>
        <v>0</v>
      </c>
      <c r="R2476" s="88" t="e">
        <f>-IF(Tabla14[[#This Row],[DIAS HABILES O MORA]]&lt;0,(Tabla14[[#This Row],[VALOR PRESTAMO]]*Tabla14[[#This Row],[% INTERES ]]/30*U2476))+Tabla14[[#This Row],[VALOR CUOTAS]]</f>
        <v>#VALUE!</v>
      </c>
      <c r="S2476" s="88">
        <f>-IF(Tabla14[[#This Row],[DIAS HABILES O MORA]]&lt;0,(Tabla14[[#This Row],[VALOR PRESTAMO]]*Tabla14[[#This Row],[% INTERES ]]/30*U2476))</f>
        <v>0</v>
      </c>
      <c r="T2476" s="53" t="e">
        <f>Tabla14[[#This Row],[DEUDA CAPITAL]]+Tabla14[[#This Row],[INTERES  CUOTA]]</f>
        <v>#NUM!</v>
      </c>
      <c r="U2476" s="61" t="str">
        <f t="shared" si="399"/>
        <v/>
      </c>
    </row>
    <row r="2477" spans="9:21" ht="24.75" customHeight="1" x14ac:dyDescent="0.35">
      <c r="I2477" s="42">
        <f t="shared" si="390"/>
        <v>0</v>
      </c>
      <c r="J2477" s="65" t="e">
        <f t="shared" si="391"/>
        <v>#NUM!</v>
      </c>
      <c r="K2477" s="83" t="e">
        <f t="shared" si="392"/>
        <v>#NUM!</v>
      </c>
      <c r="L2477" s="83">
        <f t="shared" si="393"/>
        <v>0</v>
      </c>
      <c r="M2477" s="110" t="str">
        <f t="shared" si="394"/>
        <v/>
      </c>
      <c r="N2477" s="51" t="str">
        <f t="shared" si="395"/>
        <v/>
      </c>
      <c r="O2477" s="52" t="str">
        <f t="shared" si="396"/>
        <v/>
      </c>
      <c r="P2477" s="88">
        <f t="shared" si="397"/>
        <v>0</v>
      </c>
      <c r="Q2477" s="88">
        <f t="shared" si="398"/>
        <v>0</v>
      </c>
      <c r="R2477" s="88" t="e">
        <f>-IF(Tabla14[[#This Row],[DIAS HABILES O MORA]]&lt;0,(Tabla14[[#This Row],[VALOR PRESTAMO]]*Tabla14[[#This Row],[% INTERES ]]/30*U2477))+Tabla14[[#This Row],[VALOR CUOTAS]]</f>
        <v>#VALUE!</v>
      </c>
      <c r="S2477" s="88">
        <f>-IF(Tabla14[[#This Row],[DIAS HABILES O MORA]]&lt;0,(Tabla14[[#This Row],[VALOR PRESTAMO]]*Tabla14[[#This Row],[% INTERES ]]/30*U2477))</f>
        <v>0</v>
      </c>
      <c r="T2477" s="53" t="e">
        <f>Tabla14[[#This Row],[DEUDA CAPITAL]]+Tabla14[[#This Row],[INTERES  CUOTA]]</f>
        <v>#NUM!</v>
      </c>
      <c r="U2477" s="61" t="str">
        <f t="shared" si="399"/>
        <v/>
      </c>
    </row>
    <row r="2478" spans="9:21" ht="24.75" customHeight="1" x14ac:dyDescent="0.35">
      <c r="I2478" s="42">
        <f t="shared" si="390"/>
        <v>0</v>
      </c>
      <c r="J2478" s="65" t="e">
        <f t="shared" si="391"/>
        <v>#NUM!</v>
      </c>
      <c r="K2478" s="83" t="e">
        <f t="shared" si="392"/>
        <v>#NUM!</v>
      </c>
      <c r="L2478" s="83">
        <f t="shared" si="393"/>
        <v>0</v>
      </c>
      <c r="M2478" s="110" t="str">
        <f t="shared" si="394"/>
        <v/>
      </c>
      <c r="N2478" s="51" t="str">
        <f t="shared" si="395"/>
        <v/>
      </c>
      <c r="O2478" s="52" t="str">
        <f t="shared" si="396"/>
        <v/>
      </c>
      <c r="P2478" s="88">
        <f t="shared" si="397"/>
        <v>0</v>
      </c>
      <c r="Q2478" s="88">
        <f t="shared" si="398"/>
        <v>0</v>
      </c>
      <c r="R2478" s="88" t="e">
        <f>-IF(Tabla14[[#This Row],[DIAS HABILES O MORA]]&lt;0,(Tabla14[[#This Row],[VALOR PRESTAMO]]*Tabla14[[#This Row],[% INTERES ]]/30*U2478))+Tabla14[[#This Row],[VALOR CUOTAS]]</f>
        <v>#VALUE!</v>
      </c>
      <c r="S2478" s="88">
        <f>-IF(Tabla14[[#This Row],[DIAS HABILES O MORA]]&lt;0,(Tabla14[[#This Row],[VALOR PRESTAMO]]*Tabla14[[#This Row],[% INTERES ]]/30*U2478))</f>
        <v>0</v>
      </c>
      <c r="T2478" s="53" t="e">
        <f>Tabla14[[#This Row],[DEUDA CAPITAL]]+Tabla14[[#This Row],[INTERES  CUOTA]]</f>
        <v>#NUM!</v>
      </c>
      <c r="U2478" s="61" t="str">
        <f t="shared" si="399"/>
        <v/>
      </c>
    </row>
    <row r="2479" spans="9:21" ht="24.75" customHeight="1" x14ac:dyDescent="0.35">
      <c r="I2479" s="42">
        <f t="shared" si="390"/>
        <v>0</v>
      </c>
      <c r="J2479" s="65" t="e">
        <f t="shared" si="391"/>
        <v>#NUM!</v>
      </c>
      <c r="K2479" s="83" t="e">
        <f t="shared" si="392"/>
        <v>#NUM!</v>
      </c>
      <c r="L2479" s="83">
        <f t="shared" si="393"/>
        <v>0</v>
      </c>
      <c r="M2479" s="110" t="str">
        <f t="shared" si="394"/>
        <v/>
      </c>
      <c r="N2479" s="51" t="str">
        <f t="shared" si="395"/>
        <v/>
      </c>
      <c r="O2479" s="52" t="str">
        <f t="shared" si="396"/>
        <v/>
      </c>
      <c r="P2479" s="88">
        <f t="shared" si="397"/>
        <v>0</v>
      </c>
      <c r="Q2479" s="88">
        <f t="shared" si="398"/>
        <v>0</v>
      </c>
      <c r="R2479" s="88" t="e">
        <f>-IF(Tabla14[[#This Row],[DIAS HABILES O MORA]]&lt;0,(Tabla14[[#This Row],[VALOR PRESTAMO]]*Tabla14[[#This Row],[% INTERES ]]/30*U2479))+Tabla14[[#This Row],[VALOR CUOTAS]]</f>
        <v>#VALUE!</v>
      </c>
      <c r="S2479" s="88">
        <f>-IF(Tabla14[[#This Row],[DIAS HABILES O MORA]]&lt;0,(Tabla14[[#This Row],[VALOR PRESTAMO]]*Tabla14[[#This Row],[% INTERES ]]/30*U2479))</f>
        <v>0</v>
      </c>
      <c r="T2479" s="53" t="e">
        <f>Tabla14[[#This Row],[DEUDA CAPITAL]]+Tabla14[[#This Row],[INTERES  CUOTA]]</f>
        <v>#NUM!</v>
      </c>
      <c r="U2479" s="61" t="str">
        <f t="shared" si="399"/>
        <v/>
      </c>
    </row>
    <row r="2480" spans="9:21" ht="24.75" customHeight="1" x14ac:dyDescent="0.35">
      <c r="I2480" s="42">
        <f t="shared" si="390"/>
        <v>0</v>
      </c>
      <c r="J2480" s="65" t="e">
        <f t="shared" si="391"/>
        <v>#NUM!</v>
      </c>
      <c r="K2480" s="83" t="e">
        <f t="shared" si="392"/>
        <v>#NUM!</v>
      </c>
      <c r="L2480" s="83">
        <f t="shared" si="393"/>
        <v>0</v>
      </c>
      <c r="M2480" s="110" t="str">
        <f t="shared" si="394"/>
        <v/>
      </c>
      <c r="N2480" s="51" t="str">
        <f t="shared" si="395"/>
        <v/>
      </c>
      <c r="O2480" s="52" t="str">
        <f t="shared" si="396"/>
        <v/>
      </c>
      <c r="P2480" s="88">
        <f t="shared" si="397"/>
        <v>0</v>
      </c>
      <c r="Q2480" s="88">
        <f t="shared" si="398"/>
        <v>0</v>
      </c>
      <c r="R2480" s="88" t="e">
        <f>-IF(Tabla14[[#This Row],[DIAS HABILES O MORA]]&lt;0,(Tabla14[[#This Row],[VALOR PRESTAMO]]*Tabla14[[#This Row],[% INTERES ]]/30*U2480))+Tabla14[[#This Row],[VALOR CUOTAS]]</f>
        <v>#VALUE!</v>
      </c>
      <c r="S2480" s="88">
        <f>-IF(Tabla14[[#This Row],[DIAS HABILES O MORA]]&lt;0,(Tabla14[[#This Row],[VALOR PRESTAMO]]*Tabla14[[#This Row],[% INTERES ]]/30*U2480))</f>
        <v>0</v>
      </c>
      <c r="T2480" s="53" t="e">
        <f>Tabla14[[#This Row],[DEUDA CAPITAL]]+Tabla14[[#This Row],[INTERES  CUOTA]]</f>
        <v>#NUM!</v>
      </c>
      <c r="U2480" s="61" t="str">
        <f t="shared" si="399"/>
        <v/>
      </c>
    </row>
    <row r="2481" spans="9:21" ht="24.75" customHeight="1" x14ac:dyDescent="0.35">
      <c r="I2481" s="42">
        <f t="shared" si="390"/>
        <v>0</v>
      </c>
      <c r="J2481" s="65" t="e">
        <f t="shared" si="391"/>
        <v>#NUM!</v>
      </c>
      <c r="K2481" s="83" t="e">
        <f t="shared" si="392"/>
        <v>#NUM!</v>
      </c>
      <c r="L2481" s="83">
        <f t="shared" si="393"/>
        <v>0</v>
      </c>
      <c r="M2481" s="110" t="str">
        <f t="shared" si="394"/>
        <v/>
      </c>
      <c r="N2481" s="51" t="str">
        <f t="shared" si="395"/>
        <v/>
      </c>
      <c r="O2481" s="52" t="str">
        <f t="shared" si="396"/>
        <v/>
      </c>
      <c r="P2481" s="88">
        <f t="shared" si="397"/>
        <v>0</v>
      </c>
      <c r="Q2481" s="88">
        <f t="shared" si="398"/>
        <v>0</v>
      </c>
      <c r="R2481" s="88" t="e">
        <f>-IF(Tabla14[[#This Row],[DIAS HABILES O MORA]]&lt;0,(Tabla14[[#This Row],[VALOR PRESTAMO]]*Tabla14[[#This Row],[% INTERES ]]/30*U2481))+Tabla14[[#This Row],[VALOR CUOTAS]]</f>
        <v>#VALUE!</v>
      </c>
      <c r="S2481" s="88">
        <f>-IF(Tabla14[[#This Row],[DIAS HABILES O MORA]]&lt;0,(Tabla14[[#This Row],[VALOR PRESTAMO]]*Tabla14[[#This Row],[% INTERES ]]/30*U2481))</f>
        <v>0</v>
      </c>
      <c r="T2481" s="53" t="e">
        <f>Tabla14[[#This Row],[DEUDA CAPITAL]]+Tabla14[[#This Row],[INTERES  CUOTA]]</f>
        <v>#NUM!</v>
      </c>
      <c r="U2481" s="61" t="str">
        <f t="shared" si="399"/>
        <v/>
      </c>
    </row>
    <row r="2482" spans="9:21" ht="24.75" customHeight="1" x14ac:dyDescent="0.35">
      <c r="I2482" s="42">
        <f t="shared" si="390"/>
        <v>0</v>
      </c>
      <c r="J2482" s="65" t="e">
        <f t="shared" si="391"/>
        <v>#NUM!</v>
      </c>
      <c r="K2482" s="83" t="e">
        <f t="shared" si="392"/>
        <v>#NUM!</v>
      </c>
      <c r="L2482" s="83">
        <f t="shared" si="393"/>
        <v>0</v>
      </c>
      <c r="M2482" s="110" t="str">
        <f t="shared" si="394"/>
        <v/>
      </c>
      <c r="N2482" s="51" t="str">
        <f t="shared" si="395"/>
        <v/>
      </c>
      <c r="O2482" s="52" t="str">
        <f t="shared" si="396"/>
        <v/>
      </c>
      <c r="P2482" s="88">
        <f t="shared" si="397"/>
        <v>0</v>
      </c>
      <c r="Q2482" s="88">
        <f t="shared" si="398"/>
        <v>0</v>
      </c>
      <c r="R2482" s="88" t="e">
        <f>-IF(Tabla14[[#This Row],[DIAS HABILES O MORA]]&lt;0,(Tabla14[[#This Row],[VALOR PRESTAMO]]*Tabla14[[#This Row],[% INTERES ]]/30*U2482))+Tabla14[[#This Row],[VALOR CUOTAS]]</f>
        <v>#VALUE!</v>
      </c>
      <c r="S2482" s="88">
        <f>-IF(Tabla14[[#This Row],[DIAS HABILES O MORA]]&lt;0,(Tabla14[[#This Row],[VALOR PRESTAMO]]*Tabla14[[#This Row],[% INTERES ]]/30*U2482))</f>
        <v>0</v>
      </c>
      <c r="T2482" s="53" t="e">
        <f>Tabla14[[#This Row],[DEUDA CAPITAL]]+Tabla14[[#This Row],[INTERES  CUOTA]]</f>
        <v>#NUM!</v>
      </c>
      <c r="U2482" s="61" t="str">
        <f t="shared" si="399"/>
        <v/>
      </c>
    </row>
    <row r="2483" spans="9:21" ht="24.75" customHeight="1" x14ac:dyDescent="0.35">
      <c r="I2483" s="42">
        <f t="shared" si="390"/>
        <v>0</v>
      </c>
      <c r="J2483" s="65" t="e">
        <f t="shared" si="391"/>
        <v>#NUM!</v>
      </c>
      <c r="K2483" s="83" t="e">
        <f t="shared" si="392"/>
        <v>#NUM!</v>
      </c>
      <c r="L2483" s="83">
        <f t="shared" si="393"/>
        <v>0</v>
      </c>
      <c r="M2483" s="110" t="str">
        <f t="shared" si="394"/>
        <v/>
      </c>
      <c r="N2483" s="51" t="str">
        <f t="shared" si="395"/>
        <v/>
      </c>
      <c r="O2483" s="52" t="str">
        <f t="shared" si="396"/>
        <v/>
      </c>
      <c r="P2483" s="88">
        <f t="shared" si="397"/>
        <v>0</v>
      </c>
      <c r="Q2483" s="88">
        <f t="shared" si="398"/>
        <v>0</v>
      </c>
      <c r="R2483" s="88" t="e">
        <f>-IF(Tabla14[[#This Row],[DIAS HABILES O MORA]]&lt;0,(Tabla14[[#This Row],[VALOR PRESTAMO]]*Tabla14[[#This Row],[% INTERES ]]/30*U2483))+Tabla14[[#This Row],[VALOR CUOTAS]]</f>
        <v>#VALUE!</v>
      </c>
      <c r="S2483" s="88">
        <f>-IF(Tabla14[[#This Row],[DIAS HABILES O MORA]]&lt;0,(Tabla14[[#This Row],[VALOR PRESTAMO]]*Tabla14[[#This Row],[% INTERES ]]/30*U2483))</f>
        <v>0</v>
      </c>
      <c r="T2483" s="53" t="e">
        <f>Tabla14[[#This Row],[DEUDA CAPITAL]]+Tabla14[[#This Row],[INTERES  CUOTA]]</f>
        <v>#NUM!</v>
      </c>
      <c r="U2483" s="61" t="str">
        <f t="shared" si="399"/>
        <v/>
      </c>
    </row>
    <row r="2484" spans="9:21" ht="24.75" customHeight="1" x14ac:dyDescent="0.35">
      <c r="I2484" s="42">
        <f t="shared" si="390"/>
        <v>0</v>
      </c>
      <c r="J2484" s="65" t="e">
        <f t="shared" si="391"/>
        <v>#NUM!</v>
      </c>
      <c r="K2484" s="83" t="e">
        <f t="shared" si="392"/>
        <v>#NUM!</v>
      </c>
      <c r="L2484" s="83">
        <f t="shared" si="393"/>
        <v>0</v>
      </c>
      <c r="M2484" s="110" t="str">
        <f t="shared" si="394"/>
        <v/>
      </c>
      <c r="N2484" s="51" t="str">
        <f t="shared" si="395"/>
        <v/>
      </c>
      <c r="O2484" s="52" t="str">
        <f t="shared" si="396"/>
        <v/>
      </c>
      <c r="P2484" s="88">
        <f t="shared" si="397"/>
        <v>0</v>
      </c>
      <c r="Q2484" s="88">
        <f t="shared" si="398"/>
        <v>0</v>
      </c>
      <c r="R2484" s="88" t="e">
        <f>-IF(Tabla14[[#This Row],[DIAS HABILES O MORA]]&lt;0,(Tabla14[[#This Row],[VALOR PRESTAMO]]*Tabla14[[#This Row],[% INTERES ]]/30*U2484))+Tabla14[[#This Row],[VALOR CUOTAS]]</f>
        <v>#VALUE!</v>
      </c>
      <c r="S2484" s="88">
        <f>-IF(Tabla14[[#This Row],[DIAS HABILES O MORA]]&lt;0,(Tabla14[[#This Row],[VALOR PRESTAMO]]*Tabla14[[#This Row],[% INTERES ]]/30*U2484))</f>
        <v>0</v>
      </c>
      <c r="T2484" s="53" t="e">
        <f>Tabla14[[#This Row],[DEUDA CAPITAL]]+Tabla14[[#This Row],[INTERES  CUOTA]]</f>
        <v>#NUM!</v>
      </c>
      <c r="U2484" s="61" t="str">
        <f t="shared" si="399"/>
        <v/>
      </c>
    </row>
    <row r="2485" spans="9:21" ht="24.75" customHeight="1" x14ac:dyDescent="0.35">
      <c r="I2485" s="42">
        <f t="shared" si="390"/>
        <v>0</v>
      </c>
      <c r="J2485" s="65" t="e">
        <f t="shared" si="391"/>
        <v>#NUM!</v>
      </c>
      <c r="K2485" s="83" t="e">
        <f t="shared" si="392"/>
        <v>#NUM!</v>
      </c>
      <c r="L2485" s="83">
        <f t="shared" si="393"/>
        <v>0</v>
      </c>
      <c r="M2485" s="110" t="str">
        <f t="shared" si="394"/>
        <v/>
      </c>
      <c r="N2485" s="51" t="str">
        <f t="shared" si="395"/>
        <v/>
      </c>
      <c r="O2485" s="52" t="str">
        <f t="shared" si="396"/>
        <v/>
      </c>
      <c r="P2485" s="88">
        <f t="shared" si="397"/>
        <v>0</v>
      </c>
      <c r="Q2485" s="88">
        <f t="shared" si="398"/>
        <v>0</v>
      </c>
      <c r="R2485" s="88" t="e">
        <f>-IF(Tabla14[[#This Row],[DIAS HABILES O MORA]]&lt;0,(Tabla14[[#This Row],[VALOR PRESTAMO]]*Tabla14[[#This Row],[% INTERES ]]/30*U2485))+Tabla14[[#This Row],[VALOR CUOTAS]]</f>
        <v>#VALUE!</v>
      </c>
      <c r="S2485" s="88">
        <f>-IF(Tabla14[[#This Row],[DIAS HABILES O MORA]]&lt;0,(Tabla14[[#This Row],[VALOR PRESTAMO]]*Tabla14[[#This Row],[% INTERES ]]/30*U2485))</f>
        <v>0</v>
      </c>
      <c r="T2485" s="53" t="e">
        <f>Tabla14[[#This Row],[DEUDA CAPITAL]]+Tabla14[[#This Row],[INTERES  CUOTA]]</f>
        <v>#NUM!</v>
      </c>
      <c r="U2485" s="61" t="str">
        <f t="shared" si="399"/>
        <v/>
      </c>
    </row>
    <row r="2486" spans="9:21" ht="24.75" customHeight="1" x14ac:dyDescent="0.35">
      <c r="I2486" s="42">
        <f t="shared" si="390"/>
        <v>0</v>
      </c>
      <c r="J2486" s="65" t="e">
        <f t="shared" si="391"/>
        <v>#NUM!</v>
      </c>
      <c r="K2486" s="83" t="e">
        <f t="shared" si="392"/>
        <v>#NUM!</v>
      </c>
      <c r="L2486" s="83">
        <f t="shared" si="393"/>
        <v>0</v>
      </c>
      <c r="M2486" s="110" t="str">
        <f t="shared" si="394"/>
        <v/>
      </c>
      <c r="N2486" s="51" t="str">
        <f t="shared" si="395"/>
        <v/>
      </c>
      <c r="O2486" s="52" t="str">
        <f t="shared" si="396"/>
        <v/>
      </c>
      <c r="P2486" s="88">
        <f t="shared" si="397"/>
        <v>0</v>
      </c>
      <c r="Q2486" s="88">
        <f t="shared" si="398"/>
        <v>0</v>
      </c>
      <c r="R2486" s="88" t="e">
        <f>-IF(Tabla14[[#This Row],[DIAS HABILES O MORA]]&lt;0,(Tabla14[[#This Row],[VALOR PRESTAMO]]*Tabla14[[#This Row],[% INTERES ]]/30*U2486))+Tabla14[[#This Row],[VALOR CUOTAS]]</f>
        <v>#VALUE!</v>
      </c>
      <c r="S2486" s="88">
        <f>-IF(Tabla14[[#This Row],[DIAS HABILES O MORA]]&lt;0,(Tabla14[[#This Row],[VALOR PRESTAMO]]*Tabla14[[#This Row],[% INTERES ]]/30*U2486))</f>
        <v>0</v>
      </c>
      <c r="T2486" s="53" t="e">
        <f>Tabla14[[#This Row],[DEUDA CAPITAL]]+Tabla14[[#This Row],[INTERES  CUOTA]]</f>
        <v>#NUM!</v>
      </c>
      <c r="U2486" s="61" t="str">
        <f t="shared" si="399"/>
        <v/>
      </c>
    </row>
    <row r="2487" spans="9:21" ht="24.75" customHeight="1" x14ac:dyDescent="0.35">
      <c r="I2487" s="42">
        <f t="shared" si="390"/>
        <v>0</v>
      </c>
      <c r="J2487" s="65" t="e">
        <f t="shared" si="391"/>
        <v>#NUM!</v>
      </c>
      <c r="K2487" s="83" t="e">
        <f t="shared" si="392"/>
        <v>#NUM!</v>
      </c>
      <c r="L2487" s="83">
        <f t="shared" si="393"/>
        <v>0</v>
      </c>
      <c r="M2487" s="110" t="str">
        <f t="shared" si="394"/>
        <v/>
      </c>
      <c r="N2487" s="51" t="str">
        <f t="shared" si="395"/>
        <v/>
      </c>
      <c r="O2487" s="52" t="str">
        <f t="shared" si="396"/>
        <v/>
      </c>
      <c r="P2487" s="88">
        <f t="shared" si="397"/>
        <v>0</v>
      </c>
      <c r="Q2487" s="88">
        <f t="shared" si="398"/>
        <v>0</v>
      </c>
      <c r="R2487" s="88" t="e">
        <f>-IF(Tabla14[[#This Row],[DIAS HABILES O MORA]]&lt;0,(Tabla14[[#This Row],[VALOR PRESTAMO]]*Tabla14[[#This Row],[% INTERES ]]/30*U2487))+Tabla14[[#This Row],[VALOR CUOTAS]]</f>
        <v>#VALUE!</v>
      </c>
      <c r="S2487" s="88">
        <f>-IF(Tabla14[[#This Row],[DIAS HABILES O MORA]]&lt;0,(Tabla14[[#This Row],[VALOR PRESTAMO]]*Tabla14[[#This Row],[% INTERES ]]/30*U2487))</f>
        <v>0</v>
      </c>
      <c r="T2487" s="53" t="e">
        <f>Tabla14[[#This Row],[DEUDA CAPITAL]]+Tabla14[[#This Row],[INTERES  CUOTA]]</f>
        <v>#NUM!</v>
      </c>
      <c r="U2487" s="61" t="str">
        <f t="shared" si="399"/>
        <v/>
      </c>
    </row>
    <row r="2488" spans="9:21" ht="24.75" customHeight="1" x14ac:dyDescent="0.35">
      <c r="I2488" s="42">
        <f t="shared" si="390"/>
        <v>0</v>
      </c>
      <c r="J2488" s="65" t="e">
        <f t="shared" si="391"/>
        <v>#NUM!</v>
      </c>
      <c r="K2488" s="83" t="e">
        <f t="shared" si="392"/>
        <v>#NUM!</v>
      </c>
      <c r="L2488" s="83">
        <f t="shared" si="393"/>
        <v>0</v>
      </c>
      <c r="M2488" s="110" t="str">
        <f t="shared" si="394"/>
        <v/>
      </c>
      <c r="N2488" s="51" t="str">
        <f t="shared" si="395"/>
        <v/>
      </c>
      <c r="O2488" s="52" t="str">
        <f t="shared" si="396"/>
        <v/>
      </c>
      <c r="P2488" s="88">
        <f t="shared" si="397"/>
        <v>0</v>
      </c>
      <c r="Q2488" s="88">
        <f t="shared" si="398"/>
        <v>0</v>
      </c>
      <c r="R2488" s="88" t="e">
        <f>-IF(Tabla14[[#This Row],[DIAS HABILES O MORA]]&lt;0,(Tabla14[[#This Row],[VALOR PRESTAMO]]*Tabla14[[#This Row],[% INTERES ]]/30*U2488))+Tabla14[[#This Row],[VALOR CUOTAS]]</f>
        <v>#VALUE!</v>
      </c>
      <c r="S2488" s="88">
        <f>-IF(Tabla14[[#This Row],[DIAS HABILES O MORA]]&lt;0,(Tabla14[[#This Row],[VALOR PRESTAMO]]*Tabla14[[#This Row],[% INTERES ]]/30*U2488))</f>
        <v>0</v>
      </c>
      <c r="T2488" s="53" t="e">
        <f>Tabla14[[#This Row],[DEUDA CAPITAL]]+Tabla14[[#This Row],[INTERES  CUOTA]]</f>
        <v>#NUM!</v>
      </c>
      <c r="U2488" s="61" t="str">
        <f t="shared" si="399"/>
        <v/>
      </c>
    </row>
    <row r="2489" spans="9:21" ht="24.75" customHeight="1" x14ac:dyDescent="0.35">
      <c r="I2489" s="42">
        <f t="shared" si="390"/>
        <v>0</v>
      </c>
      <c r="J2489" s="65" t="e">
        <f t="shared" si="391"/>
        <v>#NUM!</v>
      </c>
      <c r="K2489" s="83" t="e">
        <f t="shared" si="392"/>
        <v>#NUM!</v>
      </c>
      <c r="L2489" s="83">
        <f t="shared" si="393"/>
        <v>0</v>
      </c>
      <c r="M2489" s="110" t="str">
        <f t="shared" si="394"/>
        <v/>
      </c>
      <c r="N2489" s="51" t="str">
        <f t="shared" si="395"/>
        <v/>
      </c>
      <c r="O2489" s="52" t="str">
        <f t="shared" si="396"/>
        <v/>
      </c>
      <c r="P2489" s="88">
        <f t="shared" si="397"/>
        <v>0</v>
      </c>
      <c r="Q2489" s="88">
        <f t="shared" si="398"/>
        <v>0</v>
      </c>
      <c r="R2489" s="88" t="e">
        <f>-IF(Tabla14[[#This Row],[DIAS HABILES O MORA]]&lt;0,(Tabla14[[#This Row],[VALOR PRESTAMO]]*Tabla14[[#This Row],[% INTERES ]]/30*U2489))+Tabla14[[#This Row],[VALOR CUOTAS]]</f>
        <v>#VALUE!</v>
      </c>
      <c r="S2489" s="88">
        <f>-IF(Tabla14[[#This Row],[DIAS HABILES O MORA]]&lt;0,(Tabla14[[#This Row],[VALOR PRESTAMO]]*Tabla14[[#This Row],[% INTERES ]]/30*U2489))</f>
        <v>0</v>
      </c>
      <c r="T2489" s="53" t="e">
        <f>Tabla14[[#This Row],[DEUDA CAPITAL]]+Tabla14[[#This Row],[INTERES  CUOTA]]</f>
        <v>#NUM!</v>
      </c>
      <c r="U2489" s="61" t="str">
        <f t="shared" si="399"/>
        <v/>
      </c>
    </row>
    <row r="2490" spans="9:21" ht="24.75" customHeight="1" x14ac:dyDescent="0.35">
      <c r="I2490" s="42">
        <f t="shared" si="390"/>
        <v>0</v>
      </c>
      <c r="J2490" s="65" t="e">
        <f t="shared" si="391"/>
        <v>#NUM!</v>
      </c>
      <c r="K2490" s="83" t="e">
        <f t="shared" si="392"/>
        <v>#NUM!</v>
      </c>
      <c r="L2490" s="83">
        <f t="shared" si="393"/>
        <v>0</v>
      </c>
      <c r="M2490" s="110" t="str">
        <f t="shared" si="394"/>
        <v/>
      </c>
      <c r="N2490" s="51" t="str">
        <f t="shared" si="395"/>
        <v/>
      </c>
      <c r="O2490" s="52" t="str">
        <f t="shared" si="396"/>
        <v/>
      </c>
      <c r="P2490" s="88">
        <f t="shared" si="397"/>
        <v>0</v>
      </c>
      <c r="Q2490" s="88">
        <f t="shared" si="398"/>
        <v>0</v>
      </c>
      <c r="R2490" s="88" t="e">
        <f>-IF(Tabla14[[#This Row],[DIAS HABILES O MORA]]&lt;0,(Tabla14[[#This Row],[VALOR PRESTAMO]]*Tabla14[[#This Row],[% INTERES ]]/30*U2490))+Tabla14[[#This Row],[VALOR CUOTAS]]</f>
        <v>#VALUE!</v>
      </c>
      <c r="S2490" s="88">
        <f>-IF(Tabla14[[#This Row],[DIAS HABILES O MORA]]&lt;0,(Tabla14[[#This Row],[VALOR PRESTAMO]]*Tabla14[[#This Row],[% INTERES ]]/30*U2490))</f>
        <v>0</v>
      </c>
      <c r="T2490" s="53" t="e">
        <f>Tabla14[[#This Row],[DEUDA CAPITAL]]+Tabla14[[#This Row],[INTERES  CUOTA]]</f>
        <v>#NUM!</v>
      </c>
      <c r="U2490" s="61" t="str">
        <f t="shared" si="399"/>
        <v/>
      </c>
    </row>
    <row r="2491" spans="9:21" ht="24.75" customHeight="1" x14ac:dyDescent="0.35">
      <c r="I2491" s="42">
        <f t="shared" si="390"/>
        <v>0</v>
      </c>
      <c r="J2491" s="65" t="e">
        <f t="shared" si="391"/>
        <v>#NUM!</v>
      </c>
      <c r="K2491" s="83" t="e">
        <f t="shared" si="392"/>
        <v>#NUM!</v>
      </c>
      <c r="L2491" s="83">
        <f t="shared" si="393"/>
        <v>0</v>
      </c>
      <c r="M2491" s="110" t="str">
        <f t="shared" si="394"/>
        <v/>
      </c>
      <c r="N2491" s="51" t="str">
        <f t="shared" si="395"/>
        <v/>
      </c>
      <c r="O2491" s="52" t="str">
        <f t="shared" si="396"/>
        <v/>
      </c>
      <c r="P2491" s="88">
        <f t="shared" si="397"/>
        <v>0</v>
      </c>
      <c r="Q2491" s="88">
        <f t="shared" si="398"/>
        <v>0</v>
      </c>
      <c r="R2491" s="88" t="e">
        <f>-IF(Tabla14[[#This Row],[DIAS HABILES O MORA]]&lt;0,(Tabla14[[#This Row],[VALOR PRESTAMO]]*Tabla14[[#This Row],[% INTERES ]]/30*U2491))+Tabla14[[#This Row],[VALOR CUOTAS]]</f>
        <v>#VALUE!</v>
      </c>
      <c r="S2491" s="88">
        <f>-IF(Tabla14[[#This Row],[DIAS HABILES O MORA]]&lt;0,(Tabla14[[#This Row],[VALOR PRESTAMO]]*Tabla14[[#This Row],[% INTERES ]]/30*U2491))</f>
        <v>0</v>
      </c>
      <c r="T2491" s="53" t="e">
        <f>Tabla14[[#This Row],[DEUDA CAPITAL]]+Tabla14[[#This Row],[INTERES  CUOTA]]</f>
        <v>#NUM!</v>
      </c>
      <c r="U2491" s="61" t="str">
        <f t="shared" si="399"/>
        <v/>
      </c>
    </row>
    <row r="2492" spans="9:21" ht="24.75" customHeight="1" x14ac:dyDescent="0.35">
      <c r="I2492" s="42">
        <f t="shared" si="390"/>
        <v>0</v>
      </c>
      <c r="J2492" s="65" t="e">
        <f t="shared" si="391"/>
        <v>#NUM!</v>
      </c>
      <c r="K2492" s="83" t="e">
        <f t="shared" si="392"/>
        <v>#NUM!</v>
      </c>
      <c r="L2492" s="83">
        <f t="shared" si="393"/>
        <v>0</v>
      </c>
      <c r="M2492" s="110" t="str">
        <f t="shared" si="394"/>
        <v/>
      </c>
      <c r="N2492" s="51" t="str">
        <f t="shared" si="395"/>
        <v/>
      </c>
      <c r="O2492" s="52" t="str">
        <f t="shared" si="396"/>
        <v/>
      </c>
      <c r="P2492" s="88">
        <f t="shared" si="397"/>
        <v>0</v>
      </c>
      <c r="Q2492" s="88">
        <f t="shared" si="398"/>
        <v>0</v>
      </c>
      <c r="R2492" s="88" t="e">
        <f>-IF(Tabla14[[#This Row],[DIAS HABILES O MORA]]&lt;0,(Tabla14[[#This Row],[VALOR PRESTAMO]]*Tabla14[[#This Row],[% INTERES ]]/30*U2492))+Tabla14[[#This Row],[VALOR CUOTAS]]</f>
        <v>#VALUE!</v>
      </c>
      <c r="S2492" s="88">
        <f>-IF(Tabla14[[#This Row],[DIAS HABILES O MORA]]&lt;0,(Tabla14[[#This Row],[VALOR PRESTAMO]]*Tabla14[[#This Row],[% INTERES ]]/30*U2492))</f>
        <v>0</v>
      </c>
      <c r="T2492" s="53" t="e">
        <f>Tabla14[[#This Row],[DEUDA CAPITAL]]+Tabla14[[#This Row],[INTERES  CUOTA]]</f>
        <v>#NUM!</v>
      </c>
      <c r="U2492" s="61" t="str">
        <f t="shared" si="399"/>
        <v/>
      </c>
    </row>
    <row r="2493" spans="9:21" ht="24.75" customHeight="1" x14ac:dyDescent="0.35">
      <c r="I2493" s="42">
        <f t="shared" si="390"/>
        <v>0</v>
      </c>
      <c r="J2493" s="65" t="e">
        <f t="shared" si="391"/>
        <v>#NUM!</v>
      </c>
      <c r="K2493" s="83" t="e">
        <f t="shared" si="392"/>
        <v>#NUM!</v>
      </c>
      <c r="L2493" s="83">
        <f t="shared" si="393"/>
        <v>0</v>
      </c>
      <c r="M2493" s="110" t="str">
        <f t="shared" si="394"/>
        <v/>
      </c>
      <c r="N2493" s="51" t="str">
        <f t="shared" si="395"/>
        <v/>
      </c>
      <c r="O2493" s="52" t="str">
        <f t="shared" si="396"/>
        <v/>
      </c>
      <c r="P2493" s="88">
        <f t="shared" si="397"/>
        <v>0</v>
      </c>
      <c r="Q2493" s="88">
        <f t="shared" si="398"/>
        <v>0</v>
      </c>
      <c r="R2493" s="88" t="e">
        <f>-IF(Tabla14[[#This Row],[DIAS HABILES O MORA]]&lt;0,(Tabla14[[#This Row],[VALOR PRESTAMO]]*Tabla14[[#This Row],[% INTERES ]]/30*U2493))+Tabla14[[#This Row],[VALOR CUOTAS]]</f>
        <v>#VALUE!</v>
      </c>
      <c r="S2493" s="88">
        <f>-IF(Tabla14[[#This Row],[DIAS HABILES O MORA]]&lt;0,(Tabla14[[#This Row],[VALOR PRESTAMO]]*Tabla14[[#This Row],[% INTERES ]]/30*U2493))</f>
        <v>0</v>
      </c>
      <c r="T2493" s="53" t="e">
        <f>Tabla14[[#This Row],[DEUDA CAPITAL]]+Tabla14[[#This Row],[INTERES  CUOTA]]</f>
        <v>#NUM!</v>
      </c>
      <c r="U2493" s="61" t="str">
        <f t="shared" si="399"/>
        <v/>
      </c>
    </row>
    <row r="2494" spans="9:21" ht="24.75" customHeight="1" x14ac:dyDescent="0.35">
      <c r="I2494" s="42">
        <f t="shared" si="390"/>
        <v>0</v>
      </c>
      <c r="J2494" s="65" t="e">
        <f t="shared" si="391"/>
        <v>#NUM!</v>
      </c>
      <c r="K2494" s="83" t="e">
        <f t="shared" si="392"/>
        <v>#NUM!</v>
      </c>
      <c r="L2494" s="83">
        <f t="shared" si="393"/>
        <v>0</v>
      </c>
      <c r="M2494" s="110" t="str">
        <f t="shared" si="394"/>
        <v/>
      </c>
      <c r="N2494" s="51" t="str">
        <f t="shared" si="395"/>
        <v/>
      </c>
      <c r="O2494" s="52" t="str">
        <f t="shared" si="396"/>
        <v/>
      </c>
      <c r="P2494" s="88">
        <f t="shared" si="397"/>
        <v>0</v>
      </c>
      <c r="Q2494" s="88">
        <f t="shared" si="398"/>
        <v>0</v>
      </c>
      <c r="R2494" s="88" t="e">
        <f>-IF(Tabla14[[#This Row],[DIAS HABILES O MORA]]&lt;0,(Tabla14[[#This Row],[VALOR PRESTAMO]]*Tabla14[[#This Row],[% INTERES ]]/30*U2494))+Tabla14[[#This Row],[VALOR CUOTAS]]</f>
        <v>#VALUE!</v>
      </c>
      <c r="S2494" s="88">
        <f>-IF(Tabla14[[#This Row],[DIAS HABILES O MORA]]&lt;0,(Tabla14[[#This Row],[VALOR PRESTAMO]]*Tabla14[[#This Row],[% INTERES ]]/30*U2494))</f>
        <v>0</v>
      </c>
      <c r="T2494" s="53" t="e">
        <f>Tabla14[[#This Row],[DEUDA CAPITAL]]+Tabla14[[#This Row],[INTERES  CUOTA]]</f>
        <v>#NUM!</v>
      </c>
      <c r="U2494" s="61" t="str">
        <f t="shared" si="399"/>
        <v/>
      </c>
    </row>
    <row r="2495" spans="9:21" ht="24.75" customHeight="1" x14ac:dyDescent="0.35">
      <c r="I2495" s="42">
        <f t="shared" si="390"/>
        <v>0</v>
      </c>
      <c r="J2495" s="65" t="e">
        <f t="shared" si="391"/>
        <v>#NUM!</v>
      </c>
      <c r="K2495" s="83" t="e">
        <f t="shared" si="392"/>
        <v>#NUM!</v>
      </c>
      <c r="L2495" s="83">
        <f t="shared" si="393"/>
        <v>0</v>
      </c>
      <c r="M2495" s="110" t="str">
        <f t="shared" si="394"/>
        <v/>
      </c>
      <c r="N2495" s="51" t="str">
        <f t="shared" si="395"/>
        <v/>
      </c>
      <c r="O2495" s="52" t="str">
        <f t="shared" si="396"/>
        <v/>
      </c>
      <c r="P2495" s="88">
        <f t="shared" si="397"/>
        <v>0</v>
      </c>
      <c r="Q2495" s="88">
        <f t="shared" si="398"/>
        <v>0</v>
      </c>
      <c r="R2495" s="88" t="e">
        <f>-IF(Tabla14[[#This Row],[DIAS HABILES O MORA]]&lt;0,(Tabla14[[#This Row],[VALOR PRESTAMO]]*Tabla14[[#This Row],[% INTERES ]]/30*U2495))+Tabla14[[#This Row],[VALOR CUOTAS]]</f>
        <v>#VALUE!</v>
      </c>
      <c r="S2495" s="88">
        <f>-IF(Tabla14[[#This Row],[DIAS HABILES O MORA]]&lt;0,(Tabla14[[#This Row],[VALOR PRESTAMO]]*Tabla14[[#This Row],[% INTERES ]]/30*U2495))</f>
        <v>0</v>
      </c>
      <c r="T2495" s="53" t="e">
        <f>Tabla14[[#This Row],[DEUDA CAPITAL]]+Tabla14[[#This Row],[INTERES  CUOTA]]</f>
        <v>#NUM!</v>
      </c>
      <c r="U2495" s="61" t="str">
        <f t="shared" si="399"/>
        <v/>
      </c>
    </row>
    <row r="2496" spans="9:21" ht="24.75" customHeight="1" x14ac:dyDescent="0.35">
      <c r="I2496" s="42">
        <f t="shared" si="390"/>
        <v>0</v>
      </c>
      <c r="J2496" s="65" t="e">
        <f t="shared" si="391"/>
        <v>#NUM!</v>
      </c>
      <c r="K2496" s="83" t="e">
        <f t="shared" si="392"/>
        <v>#NUM!</v>
      </c>
      <c r="L2496" s="83">
        <f t="shared" si="393"/>
        <v>0</v>
      </c>
      <c r="M2496" s="110" t="str">
        <f t="shared" si="394"/>
        <v/>
      </c>
      <c r="N2496" s="51" t="str">
        <f t="shared" si="395"/>
        <v/>
      </c>
      <c r="O2496" s="52" t="str">
        <f t="shared" si="396"/>
        <v/>
      </c>
      <c r="P2496" s="88">
        <f t="shared" si="397"/>
        <v>0</v>
      </c>
      <c r="Q2496" s="88">
        <f t="shared" si="398"/>
        <v>0</v>
      </c>
      <c r="R2496" s="88" t="e">
        <f>-IF(Tabla14[[#This Row],[DIAS HABILES O MORA]]&lt;0,(Tabla14[[#This Row],[VALOR PRESTAMO]]*Tabla14[[#This Row],[% INTERES ]]/30*U2496))+Tabla14[[#This Row],[VALOR CUOTAS]]</f>
        <v>#VALUE!</v>
      </c>
      <c r="S2496" s="88">
        <f>-IF(Tabla14[[#This Row],[DIAS HABILES O MORA]]&lt;0,(Tabla14[[#This Row],[VALOR PRESTAMO]]*Tabla14[[#This Row],[% INTERES ]]/30*U2496))</f>
        <v>0</v>
      </c>
      <c r="T2496" s="53" t="e">
        <f>Tabla14[[#This Row],[DEUDA CAPITAL]]+Tabla14[[#This Row],[INTERES  CUOTA]]</f>
        <v>#NUM!</v>
      </c>
      <c r="U2496" s="61" t="str">
        <f t="shared" si="399"/>
        <v/>
      </c>
    </row>
    <row r="2497" spans="9:21" ht="24.75" customHeight="1" x14ac:dyDescent="0.35">
      <c r="I2497" s="42">
        <f t="shared" si="390"/>
        <v>0</v>
      </c>
      <c r="J2497" s="65" t="e">
        <f t="shared" si="391"/>
        <v>#NUM!</v>
      </c>
      <c r="K2497" s="83" t="e">
        <f t="shared" si="392"/>
        <v>#NUM!</v>
      </c>
      <c r="L2497" s="83">
        <f t="shared" si="393"/>
        <v>0</v>
      </c>
      <c r="M2497" s="110" t="str">
        <f t="shared" si="394"/>
        <v/>
      </c>
      <c r="N2497" s="51" t="str">
        <f t="shared" si="395"/>
        <v/>
      </c>
      <c r="O2497" s="52" t="str">
        <f t="shared" si="396"/>
        <v/>
      </c>
      <c r="P2497" s="88">
        <f t="shared" si="397"/>
        <v>0</v>
      </c>
      <c r="Q2497" s="88">
        <f t="shared" si="398"/>
        <v>0</v>
      </c>
      <c r="R2497" s="88" t="e">
        <f>-IF(Tabla14[[#This Row],[DIAS HABILES O MORA]]&lt;0,(Tabla14[[#This Row],[VALOR PRESTAMO]]*Tabla14[[#This Row],[% INTERES ]]/30*U2497))+Tabla14[[#This Row],[VALOR CUOTAS]]</f>
        <v>#VALUE!</v>
      </c>
      <c r="S2497" s="88">
        <f>-IF(Tabla14[[#This Row],[DIAS HABILES O MORA]]&lt;0,(Tabla14[[#This Row],[VALOR PRESTAMO]]*Tabla14[[#This Row],[% INTERES ]]/30*U2497))</f>
        <v>0</v>
      </c>
      <c r="T2497" s="53" t="e">
        <f>Tabla14[[#This Row],[DEUDA CAPITAL]]+Tabla14[[#This Row],[INTERES  CUOTA]]</f>
        <v>#NUM!</v>
      </c>
      <c r="U2497" s="61" t="str">
        <f t="shared" si="399"/>
        <v/>
      </c>
    </row>
    <row r="2498" spans="9:21" ht="24.75" customHeight="1" x14ac:dyDescent="0.35">
      <c r="I2498" s="42">
        <f t="shared" si="390"/>
        <v>0</v>
      </c>
      <c r="J2498" s="65" t="e">
        <f t="shared" si="391"/>
        <v>#NUM!</v>
      </c>
      <c r="K2498" s="83" t="e">
        <f t="shared" si="392"/>
        <v>#NUM!</v>
      </c>
      <c r="L2498" s="83">
        <f t="shared" si="393"/>
        <v>0</v>
      </c>
      <c r="M2498" s="110" t="str">
        <f t="shared" si="394"/>
        <v/>
      </c>
      <c r="N2498" s="51" t="str">
        <f t="shared" si="395"/>
        <v/>
      </c>
      <c r="O2498" s="52" t="str">
        <f t="shared" si="396"/>
        <v/>
      </c>
      <c r="P2498" s="88">
        <f t="shared" si="397"/>
        <v>0</v>
      </c>
      <c r="Q2498" s="88">
        <f t="shared" si="398"/>
        <v>0</v>
      </c>
      <c r="R2498" s="88" t="e">
        <f>-IF(Tabla14[[#This Row],[DIAS HABILES O MORA]]&lt;0,(Tabla14[[#This Row],[VALOR PRESTAMO]]*Tabla14[[#This Row],[% INTERES ]]/30*U2498))+Tabla14[[#This Row],[VALOR CUOTAS]]</f>
        <v>#VALUE!</v>
      </c>
      <c r="S2498" s="88">
        <f>-IF(Tabla14[[#This Row],[DIAS HABILES O MORA]]&lt;0,(Tabla14[[#This Row],[VALOR PRESTAMO]]*Tabla14[[#This Row],[% INTERES ]]/30*U2498))</f>
        <v>0</v>
      </c>
      <c r="T2498" s="53" t="e">
        <f>Tabla14[[#This Row],[DEUDA CAPITAL]]+Tabla14[[#This Row],[INTERES  CUOTA]]</f>
        <v>#NUM!</v>
      </c>
      <c r="U2498" s="61" t="str">
        <f t="shared" si="399"/>
        <v/>
      </c>
    </row>
    <row r="2499" spans="9:21" ht="24.75" customHeight="1" x14ac:dyDescent="0.35">
      <c r="I2499" s="42">
        <f t="shared" si="390"/>
        <v>0</v>
      </c>
      <c r="J2499" s="65" t="e">
        <f t="shared" si="391"/>
        <v>#NUM!</v>
      </c>
      <c r="K2499" s="83" t="e">
        <f t="shared" si="392"/>
        <v>#NUM!</v>
      </c>
      <c r="L2499" s="83">
        <f t="shared" si="393"/>
        <v>0</v>
      </c>
      <c r="M2499" s="110" t="str">
        <f t="shared" si="394"/>
        <v/>
      </c>
      <c r="N2499" s="51" t="str">
        <f t="shared" si="395"/>
        <v/>
      </c>
      <c r="O2499" s="52" t="str">
        <f t="shared" si="396"/>
        <v/>
      </c>
      <c r="P2499" s="88">
        <f t="shared" si="397"/>
        <v>0</v>
      </c>
      <c r="Q2499" s="88">
        <f t="shared" si="398"/>
        <v>0</v>
      </c>
      <c r="R2499" s="88" t="e">
        <f>-IF(Tabla14[[#This Row],[DIAS HABILES O MORA]]&lt;0,(Tabla14[[#This Row],[VALOR PRESTAMO]]*Tabla14[[#This Row],[% INTERES ]]/30*U2499))+Tabla14[[#This Row],[VALOR CUOTAS]]</f>
        <v>#VALUE!</v>
      </c>
      <c r="S2499" s="88">
        <f>-IF(Tabla14[[#This Row],[DIAS HABILES O MORA]]&lt;0,(Tabla14[[#This Row],[VALOR PRESTAMO]]*Tabla14[[#This Row],[% INTERES ]]/30*U2499))</f>
        <v>0</v>
      </c>
      <c r="T2499" s="53" t="e">
        <f>Tabla14[[#This Row],[DEUDA CAPITAL]]+Tabla14[[#This Row],[INTERES  CUOTA]]</f>
        <v>#NUM!</v>
      </c>
      <c r="U2499" s="61" t="str">
        <f t="shared" si="399"/>
        <v/>
      </c>
    </row>
    <row r="2500" spans="9:21" ht="24.75" customHeight="1" x14ac:dyDescent="0.35">
      <c r="I2500" s="42">
        <f t="shared" si="390"/>
        <v>0</v>
      </c>
      <c r="J2500" s="65" t="e">
        <f t="shared" si="391"/>
        <v>#NUM!</v>
      </c>
      <c r="K2500" s="83" t="e">
        <f t="shared" si="392"/>
        <v>#NUM!</v>
      </c>
      <c r="L2500" s="83">
        <f t="shared" si="393"/>
        <v>0</v>
      </c>
      <c r="M2500" s="110" t="str">
        <f t="shared" si="394"/>
        <v/>
      </c>
      <c r="N2500" s="51" t="str">
        <f t="shared" si="395"/>
        <v/>
      </c>
      <c r="O2500" s="52" t="str">
        <f t="shared" si="396"/>
        <v/>
      </c>
      <c r="P2500" s="88">
        <f t="shared" si="397"/>
        <v>0</v>
      </c>
      <c r="Q2500" s="88">
        <f t="shared" si="398"/>
        <v>0</v>
      </c>
      <c r="R2500" s="88" t="e">
        <f>-IF(Tabla14[[#This Row],[DIAS HABILES O MORA]]&lt;0,(Tabla14[[#This Row],[VALOR PRESTAMO]]*Tabla14[[#This Row],[% INTERES ]]/30*U2500))+Tabla14[[#This Row],[VALOR CUOTAS]]</f>
        <v>#VALUE!</v>
      </c>
      <c r="S2500" s="88">
        <f>-IF(Tabla14[[#This Row],[DIAS HABILES O MORA]]&lt;0,(Tabla14[[#This Row],[VALOR PRESTAMO]]*Tabla14[[#This Row],[% INTERES ]]/30*U2500))</f>
        <v>0</v>
      </c>
      <c r="T2500" s="53" t="e">
        <f>Tabla14[[#This Row],[DEUDA CAPITAL]]+Tabla14[[#This Row],[INTERES  CUOTA]]</f>
        <v>#NUM!</v>
      </c>
      <c r="U2500" s="61" t="str">
        <f t="shared" si="399"/>
        <v/>
      </c>
    </row>
    <row r="2501" spans="9:21" ht="24.75" customHeight="1" x14ac:dyDescent="0.35">
      <c r="I2501" s="42">
        <f t="shared" si="390"/>
        <v>0</v>
      </c>
      <c r="J2501" s="65" t="e">
        <f t="shared" si="391"/>
        <v>#NUM!</v>
      </c>
      <c r="K2501" s="83" t="e">
        <f t="shared" si="392"/>
        <v>#NUM!</v>
      </c>
      <c r="L2501" s="83">
        <f t="shared" si="393"/>
        <v>0</v>
      </c>
      <c r="M2501" s="110" t="str">
        <f t="shared" si="394"/>
        <v/>
      </c>
      <c r="N2501" s="51" t="str">
        <f t="shared" si="395"/>
        <v/>
      </c>
      <c r="O2501" s="52" t="str">
        <f t="shared" si="396"/>
        <v/>
      </c>
      <c r="P2501" s="88">
        <f t="shared" si="397"/>
        <v>0</v>
      </c>
      <c r="Q2501" s="88">
        <f t="shared" si="398"/>
        <v>0</v>
      </c>
      <c r="R2501" s="88" t="e">
        <f>-IF(Tabla14[[#This Row],[DIAS HABILES O MORA]]&lt;0,(Tabla14[[#This Row],[VALOR PRESTAMO]]*Tabla14[[#This Row],[% INTERES ]]/30*U2501))+Tabla14[[#This Row],[VALOR CUOTAS]]</f>
        <v>#VALUE!</v>
      </c>
      <c r="S2501" s="88">
        <f>-IF(Tabla14[[#This Row],[DIAS HABILES O MORA]]&lt;0,(Tabla14[[#This Row],[VALOR PRESTAMO]]*Tabla14[[#This Row],[% INTERES ]]/30*U2501))</f>
        <v>0</v>
      </c>
      <c r="T2501" s="53" t="e">
        <f>Tabla14[[#This Row],[DEUDA CAPITAL]]+Tabla14[[#This Row],[INTERES  CUOTA]]</f>
        <v>#NUM!</v>
      </c>
      <c r="U2501" s="61" t="str">
        <f t="shared" si="399"/>
        <v/>
      </c>
    </row>
    <row r="2502" spans="9:21" ht="24.75" customHeight="1" x14ac:dyDescent="0.35">
      <c r="I2502" s="42">
        <f t="shared" si="390"/>
        <v>0</v>
      </c>
      <c r="J2502" s="65" t="e">
        <f t="shared" si="391"/>
        <v>#NUM!</v>
      </c>
      <c r="K2502" s="83" t="e">
        <f t="shared" si="392"/>
        <v>#NUM!</v>
      </c>
      <c r="L2502" s="83">
        <f t="shared" si="393"/>
        <v>0</v>
      </c>
      <c r="M2502" s="110" t="str">
        <f t="shared" si="394"/>
        <v/>
      </c>
      <c r="N2502" s="51" t="str">
        <f t="shared" si="395"/>
        <v/>
      </c>
      <c r="O2502" s="52" t="str">
        <f t="shared" si="396"/>
        <v/>
      </c>
      <c r="P2502" s="88">
        <f t="shared" si="397"/>
        <v>0</v>
      </c>
      <c r="Q2502" s="88">
        <f t="shared" si="398"/>
        <v>0</v>
      </c>
      <c r="R2502" s="88" t="e">
        <f>-IF(Tabla14[[#This Row],[DIAS HABILES O MORA]]&lt;0,(Tabla14[[#This Row],[VALOR PRESTAMO]]*Tabla14[[#This Row],[% INTERES ]]/30*U2502))+Tabla14[[#This Row],[VALOR CUOTAS]]</f>
        <v>#VALUE!</v>
      </c>
      <c r="S2502" s="88">
        <f>-IF(Tabla14[[#This Row],[DIAS HABILES O MORA]]&lt;0,(Tabla14[[#This Row],[VALOR PRESTAMO]]*Tabla14[[#This Row],[% INTERES ]]/30*U2502))</f>
        <v>0</v>
      </c>
      <c r="T2502" s="53" t="e">
        <f>Tabla14[[#This Row],[DEUDA CAPITAL]]+Tabla14[[#This Row],[INTERES  CUOTA]]</f>
        <v>#NUM!</v>
      </c>
      <c r="U2502" s="61" t="str">
        <f t="shared" si="399"/>
        <v/>
      </c>
    </row>
    <row r="2503" spans="9:21" ht="24.75" customHeight="1" x14ac:dyDescent="0.35">
      <c r="I2503" s="42">
        <f t="shared" si="390"/>
        <v>0</v>
      </c>
      <c r="J2503" s="65" t="e">
        <f t="shared" si="391"/>
        <v>#NUM!</v>
      </c>
      <c r="K2503" s="83" t="e">
        <f t="shared" si="392"/>
        <v>#NUM!</v>
      </c>
      <c r="L2503" s="83">
        <f t="shared" si="393"/>
        <v>0</v>
      </c>
      <c r="M2503" s="110" t="str">
        <f t="shared" si="394"/>
        <v/>
      </c>
      <c r="N2503" s="51" t="str">
        <f t="shared" si="395"/>
        <v/>
      </c>
      <c r="O2503" s="52" t="str">
        <f t="shared" si="396"/>
        <v/>
      </c>
      <c r="P2503" s="88">
        <f t="shared" si="397"/>
        <v>0</v>
      </c>
      <c r="Q2503" s="88">
        <f t="shared" si="398"/>
        <v>0</v>
      </c>
      <c r="R2503" s="88" t="e">
        <f>-IF(Tabla14[[#This Row],[DIAS HABILES O MORA]]&lt;0,(Tabla14[[#This Row],[VALOR PRESTAMO]]*Tabla14[[#This Row],[% INTERES ]]/30*U2503))+Tabla14[[#This Row],[VALOR CUOTAS]]</f>
        <v>#VALUE!</v>
      </c>
      <c r="S2503" s="88">
        <f>-IF(Tabla14[[#This Row],[DIAS HABILES O MORA]]&lt;0,(Tabla14[[#This Row],[VALOR PRESTAMO]]*Tabla14[[#This Row],[% INTERES ]]/30*U2503))</f>
        <v>0</v>
      </c>
      <c r="T2503" s="53" t="e">
        <f>Tabla14[[#This Row],[DEUDA CAPITAL]]+Tabla14[[#This Row],[INTERES  CUOTA]]</f>
        <v>#NUM!</v>
      </c>
      <c r="U2503" s="61" t="str">
        <f t="shared" si="399"/>
        <v/>
      </c>
    </row>
    <row r="2504" spans="9:21" ht="24.75" customHeight="1" x14ac:dyDescent="0.35">
      <c r="I2504" s="42">
        <f t="shared" si="390"/>
        <v>0</v>
      </c>
      <c r="J2504" s="65" t="e">
        <f t="shared" si="391"/>
        <v>#NUM!</v>
      </c>
      <c r="K2504" s="83" t="e">
        <f t="shared" si="392"/>
        <v>#NUM!</v>
      </c>
      <c r="L2504" s="83">
        <f t="shared" si="393"/>
        <v>0</v>
      </c>
      <c r="M2504" s="110" t="str">
        <f t="shared" si="394"/>
        <v/>
      </c>
      <c r="N2504" s="51" t="str">
        <f t="shared" si="395"/>
        <v/>
      </c>
      <c r="O2504" s="52" t="str">
        <f t="shared" si="396"/>
        <v/>
      </c>
      <c r="P2504" s="88">
        <f t="shared" si="397"/>
        <v>0</v>
      </c>
      <c r="Q2504" s="88">
        <f t="shared" si="398"/>
        <v>0</v>
      </c>
      <c r="R2504" s="88" t="e">
        <f>-IF(Tabla14[[#This Row],[DIAS HABILES O MORA]]&lt;0,(Tabla14[[#This Row],[VALOR PRESTAMO]]*Tabla14[[#This Row],[% INTERES ]]/30*U2504))+Tabla14[[#This Row],[VALOR CUOTAS]]</f>
        <v>#VALUE!</v>
      </c>
      <c r="S2504" s="88">
        <f>-IF(Tabla14[[#This Row],[DIAS HABILES O MORA]]&lt;0,(Tabla14[[#This Row],[VALOR PRESTAMO]]*Tabla14[[#This Row],[% INTERES ]]/30*U2504))</f>
        <v>0</v>
      </c>
      <c r="T2504" s="53" t="e">
        <f>Tabla14[[#This Row],[DEUDA CAPITAL]]+Tabla14[[#This Row],[INTERES  CUOTA]]</f>
        <v>#NUM!</v>
      </c>
      <c r="U2504" s="61" t="str">
        <f t="shared" si="399"/>
        <v/>
      </c>
    </row>
    <row r="2505" spans="9:21" ht="24.75" customHeight="1" x14ac:dyDescent="0.35">
      <c r="I2505" s="42">
        <f t="shared" si="390"/>
        <v>0</v>
      </c>
      <c r="J2505" s="65" t="e">
        <f t="shared" si="391"/>
        <v>#NUM!</v>
      </c>
      <c r="K2505" s="83" t="e">
        <f t="shared" si="392"/>
        <v>#NUM!</v>
      </c>
      <c r="L2505" s="83">
        <f t="shared" si="393"/>
        <v>0</v>
      </c>
      <c r="M2505" s="110" t="str">
        <f t="shared" si="394"/>
        <v/>
      </c>
      <c r="N2505" s="51" t="str">
        <f t="shared" si="395"/>
        <v/>
      </c>
      <c r="O2505" s="52" t="str">
        <f t="shared" si="396"/>
        <v/>
      </c>
      <c r="P2505" s="88">
        <f t="shared" si="397"/>
        <v>0</v>
      </c>
      <c r="Q2505" s="88">
        <f t="shared" si="398"/>
        <v>0</v>
      </c>
      <c r="R2505" s="88" t="e">
        <f>-IF(Tabla14[[#This Row],[DIAS HABILES O MORA]]&lt;0,(Tabla14[[#This Row],[VALOR PRESTAMO]]*Tabla14[[#This Row],[% INTERES ]]/30*U2505))+Tabla14[[#This Row],[VALOR CUOTAS]]</f>
        <v>#VALUE!</v>
      </c>
      <c r="S2505" s="88">
        <f>-IF(Tabla14[[#This Row],[DIAS HABILES O MORA]]&lt;0,(Tabla14[[#This Row],[VALOR PRESTAMO]]*Tabla14[[#This Row],[% INTERES ]]/30*U2505))</f>
        <v>0</v>
      </c>
      <c r="T2505" s="53" t="e">
        <f>Tabla14[[#This Row],[DEUDA CAPITAL]]+Tabla14[[#This Row],[INTERES  CUOTA]]</f>
        <v>#NUM!</v>
      </c>
      <c r="U2505" s="61" t="str">
        <f t="shared" si="399"/>
        <v/>
      </c>
    </row>
    <row r="2506" spans="9:21" ht="24.75" customHeight="1" x14ac:dyDescent="0.35">
      <c r="I2506" s="42">
        <f t="shared" si="390"/>
        <v>0</v>
      </c>
      <c r="J2506" s="65" t="e">
        <f t="shared" si="391"/>
        <v>#NUM!</v>
      </c>
      <c r="K2506" s="83" t="e">
        <f t="shared" si="392"/>
        <v>#NUM!</v>
      </c>
      <c r="L2506" s="83">
        <f t="shared" si="393"/>
        <v>0</v>
      </c>
      <c r="M2506" s="110" t="str">
        <f t="shared" si="394"/>
        <v/>
      </c>
      <c r="N2506" s="51" t="str">
        <f t="shared" si="395"/>
        <v/>
      </c>
      <c r="O2506" s="52" t="str">
        <f t="shared" si="396"/>
        <v/>
      </c>
      <c r="P2506" s="88">
        <f t="shared" si="397"/>
        <v>0</v>
      </c>
      <c r="Q2506" s="88">
        <f t="shared" si="398"/>
        <v>0</v>
      </c>
      <c r="R2506" s="88" t="e">
        <f>-IF(Tabla14[[#This Row],[DIAS HABILES O MORA]]&lt;0,(Tabla14[[#This Row],[VALOR PRESTAMO]]*Tabla14[[#This Row],[% INTERES ]]/30*U2506))+Tabla14[[#This Row],[VALOR CUOTAS]]</f>
        <v>#VALUE!</v>
      </c>
      <c r="S2506" s="88">
        <f>-IF(Tabla14[[#This Row],[DIAS HABILES O MORA]]&lt;0,(Tabla14[[#This Row],[VALOR PRESTAMO]]*Tabla14[[#This Row],[% INTERES ]]/30*U2506))</f>
        <v>0</v>
      </c>
      <c r="T2506" s="53" t="e">
        <f>Tabla14[[#This Row],[DEUDA CAPITAL]]+Tabla14[[#This Row],[INTERES  CUOTA]]</f>
        <v>#NUM!</v>
      </c>
      <c r="U2506" s="61" t="str">
        <f t="shared" si="399"/>
        <v/>
      </c>
    </row>
    <row r="2507" spans="9:21" ht="24.75" customHeight="1" x14ac:dyDescent="0.35">
      <c r="I2507" s="42">
        <f t="shared" si="390"/>
        <v>0</v>
      </c>
      <c r="J2507" s="65" t="e">
        <f t="shared" si="391"/>
        <v>#NUM!</v>
      </c>
      <c r="K2507" s="83" t="e">
        <f t="shared" si="392"/>
        <v>#NUM!</v>
      </c>
      <c r="L2507" s="83">
        <f t="shared" si="393"/>
        <v>0</v>
      </c>
      <c r="M2507" s="110" t="str">
        <f t="shared" si="394"/>
        <v/>
      </c>
      <c r="N2507" s="51" t="str">
        <f t="shared" si="395"/>
        <v/>
      </c>
      <c r="O2507" s="52" t="str">
        <f t="shared" si="396"/>
        <v/>
      </c>
      <c r="P2507" s="88">
        <f t="shared" si="397"/>
        <v>0</v>
      </c>
      <c r="Q2507" s="88">
        <f t="shared" si="398"/>
        <v>0</v>
      </c>
      <c r="R2507" s="88" t="e">
        <f>-IF(Tabla14[[#This Row],[DIAS HABILES O MORA]]&lt;0,(Tabla14[[#This Row],[VALOR PRESTAMO]]*Tabla14[[#This Row],[% INTERES ]]/30*U2507))+Tabla14[[#This Row],[VALOR CUOTAS]]</f>
        <v>#VALUE!</v>
      </c>
      <c r="S2507" s="88">
        <f>-IF(Tabla14[[#This Row],[DIAS HABILES O MORA]]&lt;0,(Tabla14[[#This Row],[VALOR PRESTAMO]]*Tabla14[[#This Row],[% INTERES ]]/30*U2507))</f>
        <v>0</v>
      </c>
      <c r="T2507" s="53" t="e">
        <f>Tabla14[[#This Row],[DEUDA CAPITAL]]+Tabla14[[#This Row],[INTERES  CUOTA]]</f>
        <v>#NUM!</v>
      </c>
      <c r="U2507" s="61" t="str">
        <f t="shared" si="399"/>
        <v/>
      </c>
    </row>
    <row r="2508" spans="9:21" ht="24.75" customHeight="1" x14ac:dyDescent="0.35">
      <c r="I2508" s="42">
        <f t="shared" si="390"/>
        <v>0</v>
      </c>
      <c r="J2508" s="65" t="e">
        <f t="shared" si="391"/>
        <v>#NUM!</v>
      </c>
      <c r="K2508" s="83" t="e">
        <f t="shared" si="392"/>
        <v>#NUM!</v>
      </c>
      <c r="L2508" s="83">
        <f t="shared" si="393"/>
        <v>0</v>
      </c>
      <c r="M2508" s="110" t="str">
        <f t="shared" si="394"/>
        <v/>
      </c>
      <c r="N2508" s="51" t="str">
        <f t="shared" si="395"/>
        <v/>
      </c>
      <c r="O2508" s="52" t="str">
        <f t="shared" si="396"/>
        <v/>
      </c>
      <c r="P2508" s="88">
        <f t="shared" si="397"/>
        <v>0</v>
      </c>
      <c r="Q2508" s="88">
        <f t="shared" si="398"/>
        <v>0</v>
      </c>
      <c r="R2508" s="88" t="e">
        <f>-IF(Tabla14[[#This Row],[DIAS HABILES O MORA]]&lt;0,(Tabla14[[#This Row],[VALOR PRESTAMO]]*Tabla14[[#This Row],[% INTERES ]]/30*U2508))+Tabla14[[#This Row],[VALOR CUOTAS]]</f>
        <v>#VALUE!</v>
      </c>
      <c r="S2508" s="88">
        <f>-IF(Tabla14[[#This Row],[DIAS HABILES O MORA]]&lt;0,(Tabla14[[#This Row],[VALOR PRESTAMO]]*Tabla14[[#This Row],[% INTERES ]]/30*U2508))</f>
        <v>0</v>
      </c>
      <c r="T2508" s="53" t="e">
        <f>Tabla14[[#This Row],[DEUDA CAPITAL]]+Tabla14[[#This Row],[INTERES  CUOTA]]</f>
        <v>#NUM!</v>
      </c>
      <c r="U2508" s="61" t="str">
        <f t="shared" si="399"/>
        <v/>
      </c>
    </row>
    <row r="2509" spans="9:21" ht="24.75" customHeight="1" x14ac:dyDescent="0.35">
      <c r="I2509" s="42">
        <f t="shared" si="390"/>
        <v>0</v>
      </c>
      <c r="J2509" s="65" t="e">
        <f t="shared" si="391"/>
        <v>#NUM!</v>
      </c>
      <c r="K2509" s="83" t="e">
        <f t="shared" si="392"/>
        <v>#NUM!</v>
      </c>
      <c r="L2509" s="83">
        <f t="shared" si="393"/>
        <v>0</v>
      </c>
      <c r="M2509" s="110" t="str">
        <f t="shared" si="394"/>
        <v/>
      </c>
      <c r="N2509" s="51" t="str">
        <f t="shared" si="395"/>
        <v/>
      </c>
      <c r="O2509" s="52" t="str">
        <f t="shared" si="396"/>
        <v/>
      </c>
      <c r="P2509" s="88">
        <f t="shared" si="397"/>
        <v>0</v>
      </c>
      <c r="Q2509" s="88">
        <f t="shared" si="398"/>
        <v>0</v>
      </c>
      <c r="R2509" s="88" t="e">
        <f>-IF(Tabla14[[#This Row],[DIAS HABILES O MORA]]&lt;0,(Tabla14[[#This Row],[VALOR PRESTAMO]]*Tabla14[[#This Row],[% INTERES ]]/30*U2509))+Tabla14[[#This Row],[VALOR CUOTAS]]</f>
        <v>#VALUE!</v>
      </c>
      <c r="S2509" s="88">
        <f>-IF(Tabla14[[#This Row],[DIAS HABILES O MORA]]&lt;0,(Tabla14[[#This Row],[VALOR PRESTAMO]]*Tabla14[[#This Row],[% INTERES ]]/30*U2509))</f>
        <v>0</v>
      </c>
      <c r="T2509" s="53" t="e">
        <f>Tabla14[[#This Row],[DEUDA CAPITAL]]+Tabla14[[#This Row],[INTERES  CUOTA]]</f>
        <v>#NUM!</v>
      </c>
      <c r="U2509" s="61" t="str">
        <f t="shared" si="399"/>
        <v/>
      </c>
    </row>
    <row r="2510" spans="9:21" ht="24.75" customHeight="1" x14ac:dyDescent="0.35">
      <c r="I2510" s="42">
        <f t="shared" si="390"/>
        <v>0</v>
      </c>
      <c r="J2510" s="65" t="e">
        <f t="shared" si="391"/>
        <v>#NUM!</v>
      </c>
      <c r="K2510" s="83" t="e">
        <f t="shared" si="392"/>
        <v>#NUM!</v>
      </c>
      <c r="L2510" s="83">
        <f t="shared" si="393"/>
        <v>0</v>
      </c>
      <c r="M2510" s="110" t="str">
        <f t="shared" si="394"/>
        <v/>
      </c>
      <c r="N2510" s="51" t="str">
        <f t="shared" si="395"/>
        <v/>
      </c>
      <c r="O2510" s="52" t="str">
        <f t="shared" si="396"/>
        <v/>
      </c>
      <c r="P2510" s="88">
        <f t="shared" si="397"/>
        <v>0</v>
      </c>
      <c r="Q2510" s="88">
        <f t="shared" si="398"/>
        <v>0</v>
      </c>
      <c r="R2510" s="88" t="e">
        <f>-IF(Tabla14[[#This Row],[DIAS HABILES O MORA]]&lt;0,(Tabla14[[#This Row],[VALOR PRESTAMO]]*Tabla14[[#This Row],[% INTERES ]]/30*U2510))+Tabla14[[#This Row],[VALOR CUOTAS]]</f>
        <v>#VALUE!</v>
      </c>
      <c r="S2510" s="88">
        <f>-IF(Tabla14[[#This Row],[DIAS HABILES O MORA]]&lt;0,(Tabla14[[#This Row],[VALOR PRESTAMO]]*Tabla14[[#This Row],[% INTERES ]]/30*U2510))</f>
        <v>0</v>
      </c>
      <c r="T2510" s="53" t="e">
        <f>Tabla14[[#This Row],[DEUDA CAPITAL]]+Tabla14[[#This Row],[INTERES  CUOTA]]</f>
        <v>#NUM!</v>
      </c>
      <c r="U2510" s="61" t="str">
        <f t="shared" si="399"/>
        <v/>
      </c>
    </row>
    <row r="2511" spans="9:21" ht="24.75" customHeight="1" x14ac:dyDescent="0.35">
      <c r="I2511" s="42">
        <f t="shared" si="390"/>
        <v>0</v>
      </c>
      <c r="J2511" s="65" t="e">
        <f t="shared" si="391"/>
        <v>#NUM!</v>
      </c>
      <c r="K2511" s="83" t="e">
        <f t="shared" si="392"/>
        <v>#NUM!</v>
      </c>
      <c r="L2511" s="83">
        <f t="shared" si="393"/>
        <v>0</v>
      </c>
      <c r="M2511" s="110" t="str">
        <f t="shared" si="394"/>
        <v/>
      </c>
      <c r="N2511" s="51" t="str">
        <f t="shared" si="395"/>
        <v/>
      </c>
      <c r="O2511" s="52" t="str">
        <f t="shared" si="396"/>
        <v/>
      </c>
      <c r="P2511" s="88">
        <f t="shared" si="397"/>
        <v>0</v>
      </c>
      <c r="Q2511" s="88">
        <f t="shared" si="398"/>
        <v>0</v>
      </c>
      <c r="R2511" s="88" t="e">
        <f>-IF(Tabla14[[#This Row],[DIAS HABILES O MORA]]&lt;0,(Tabla14[[#This Row],[VALOR PRESTAMO]]*Tabla14[[#This Row],[% INTERES ]]/30*U2511))+Tabla14[[#This Row],[VALOR CUOTAS]]</f>
        <v>#VALUE!</v>
      </c>
      <c r="S2511" s="88">
        <f>-IF(Tabla14[[#This Row],[DIAS HABILES O MORA]]&lt;0,(Tabla14[[#This Row],[VALOR PRESTAMO]]*Tabla14[[#This Row],[% INTERES ]]/30*U2511))</f>
        <v>0</v>
      </c>
      <c r="T2511" s="53" t="e">
        <f>Tabla14[[#This Row],[DEUDA CAPITAL]]+Tabla14[[#This Row],[INTERES  CUOTA]]</f>
        <v>#NUM!</v>
      </c>
      <c r="U2511" s="61" t="str">
        <f t="shared" si="399"/>
        <v/>
      </c>
    </row>
    <row r="2512" spans="9:21" ht="24.75" customHeight="1" x14ac:dyDescent="0.35">
      <c r="I2512" s="42">
        <f t="shared" ref="I2512:I2575" si="400">IF(C2512&lt;0,"",IF(Q2512=0,0,IF(G2512=0,H2512+1,IF(H2512&lt;G2512,H2512+1,IF(G2512=H2512,0)))))</f>
        <v>0</v>
      </c>
      <c r="J2512" s="65" t="e">
        <f t="shared" ref="J2512:J2575" si="401">IF(F2512="SOLO INTERES",Q2512*D2512,-IPMT(D2512,I2512,G2512,C2512))</f>
        <v>#NUM!</v>
      </c>
      <c r="K2512" s="83" t="e">
        <f t="shared" ref="K2512:K2575" si="402">IF(F2512="SOLO INTERES",0,-PPMT(D2512,I2512,G2512,C2512))</f>
        <v>#NUM!</v>
      </c>
      <c r="L2512" s="83">
        <f t="shared" ref="L2512:L2575" si="403">IF(F2512="SOLO INTERES",SUM(Y2512:AAE2512),IFERROR(-CUMIPMT(D2512,G2512,C2512,1,H2512,0),0)+SUM(Y2512:WY2512))</f>
        <v>0</v>
      </c>
      <c r="M2512" s="110" t="str">
        <f t="shared" ref="M2512:M2575" si="404">IFERROR(IF(F2512="SOLO INTERES",Q2512*D2512,-PMT(D2512,G2512,C2512,0)),"")</f>
        <v/>
      </c>
      <c r="N2512" s="51" t="str">
        <f t="shared" ref="N2512:N2575" si="405">IF(Q2512=0,"",IF(E2512="MENSUAL",EDATE(B2512,I2512),IF(E2512="QUINCENAL",B2512+(I2512*15),IF(E2512="SEMANAL",B2512+(I2512*7)))))</f>
        <v/>
      </c>
      <c r="O2512" s="52" t="str">
        <f t="shared" ref="O2512:O2575" si="406">IF(C2512=0,"",IF(Q2512&lt;1,"PAGADO",IF(N2512=$A$3,"COBRAR HOY",IF(N2512&lt;$A$3,"EN MORA",IF(N2512&gt;$A$3,"AL DIA")))))</f>
        <v/>
      </c>
      <c r="P2512" s="88">
        <f t="shared" ref="P2512:P2575" si="407">IFERROR(-CUMPRINC(D2512,G2512,C2512,1,H2512,0),0)+W2512</f>
        <v>0</v>
      </c>
      <c r="Q2512" s="88">
        <f t="shared" ref="Q2512:Q2575" si="408">IFERROR(C2512-P2512,"")</f>
        <v>0</v>
      </c>
      <c r="R2512" s="88" t="e">
        <f>-IF(Tabla14[[#This Row],[DIAS HABILES O MORA]]&lt;0,(Tabla14[[#This Row],[VALOR PRESTAMO]]*Tabla14[[#This Row],[% INTERES ]]/30*U2512))+Tabla14[[#This Row],[VALOR CUOTAS]]</f>
        <v>#VALUE!</v>
      </c>
      <c r="S2512" s="88">
        <f>-IF(Tabla14[[#This Row],[DIAS HABILES O MORA]]&lt;0,(Tabla14[[#This Row],[VALOR PRESTAMO]]*Tabla14[[#This Row],[% INTERES ]]/30*U2512))</f>
        <v>0</v>
      </c>
      <c r="T2512" s="53" t="e">
        <f>Tabla14[[#This Row],[DEUDA CAPITAL]]+Tabla14[[#This Row],[INTERES  CUOTA]]</f>
        <v>#NUM!</v>
      </c>
      <c r="U2512" s="61" t="str">
        <f t="shared" ref="U2512:U2575" si="409">IF(O2512="PAGADO","",IFERROR(-IF(C2512=0,"",$A$3-N2512),""))</f>
        <v/>
      </c>
    </row>
    <row r="2513" spans="9:21" ht="24.75" customHeight="1" x14ac:dyDescent="0.35">
      <c r="I2513" s="42">
        <f t="shared" si="400"/>
        <v>0</v>
      </c>
      <c r="J2513" s="65" t="e">
        <f t="shared" si="401"/>
        <v>#NUM!</v>
      </c>
      <c r="K2513" s="83" t="e">
        <f t="shared" si="402"/>
        <v>#NUM!</v>
      </c>
      <c r="L2513" s="83">
        <f t="shared" si="403"/>
        <v>0</v>
      </c>
      <c r="M2513" s="110" t="str">
        <f t="shared" si="404"/>
        <v/>
      </c>
      <c r="N2513" s="51" t="str">
        <f t="shared" si="405"/>
        <v/>
      </c>
      <c r="O2513" s="52" t="str">
        <f t="shared" si="406"/>
        <v/>
      </c>
      <c r="P2513" s="88">
        <f t="shared" si="407"/>
        <v>0</v>
      </c>
      <c r="Q2513" s="88">
        <f t="shared" si="408"/>
        <v>0</v>
      </c>
      <c r="R2513" s="88" t="e">
        <f>-IF(Tabla14[[#This Row],[DIAS HABILES O MORA]]&lt;0,(Tabla14[[#This Row],[VALOR PRESTAMO]]*Tabla14[[#This Row],[% INTERES ]]/30*U2513))+Tabla14[[#This Row],[VALOR CUOTAS]]</f>
        <v>#VALUE!</v>
      </c>
      <c r="S2513" s="88">
        <f>-IF(Tabla14[[#This Row],[DIAS HABILES O MORA]]&lt;0,(Tabla14[[#This Row],[VALOR PRESTAMO]]*Tabla14[[#This Row],[% INTERES ]]/30*U2513))</f>
        <v>0</v>
      </c>
      <c r="T2513" s="53" t="e">
        <f>Tabla14[[#This Row],[DEUDA CAPITAL]]+Tabla14[[#This Row],[INTERES  CUOTA]]</f>
        <v>#NUM!</v>
      </c>
      <c r="U2513" s="61" t="str">
        <f t="shared" si="409"/>
        <v/>
      </c>
    </row>
    <row r="2514" spans="9:21" ht="24.75" customHeight="1" x14ac:dyDescent="0.35">
      <c r="I2514" s="42">
        <f t="shared" si="400"/>
        <v>0</v>
      </c>
      <c r="J2514" s="65" t="e">
        <f t="shared" si="401"/>
        <v>#NUM!</v>
      </c>
      <c r="K2514" s="83" t="e">
        <f t="shared" si="402"/>
        <v>#NUM!</v>
      </c>
      <c r="L2514" s="83">
        <f t="shared" si="403"/>
        <v>0</v>
      </c>
      <c r="M2514" s="110" t="str">
        <f t="shared" si="404"/>
        <v/>
      </c>
      <c r="N2514" s="51" t="str">
        <f t="shared" si="405"/>
        <v/>
      </c>
      <c r="O2514" s="52" t="str">
        <f t="shared" si="406"/>
        <v/>
      </c>
      <c r="P2514" s="88">
        <f t="shared" si="407"/>
        <v>0</v>
      </c>
      <c r="Q2514" s="88">
        <f t="shared" si="408"/>
        <v>0</v>
      </c>
      <c r="R2514" s="88" t="e">
        <f>-IF(Tabla14[[#This Row],[DIAS HABILES O MORA]]&lt;0,(Tabla14[[#This Row],[VALOR PRESTAMO]]*Tabla14[[#This Row],[% INTERES ]]/30*U2514))+Tabla14[[#This Row],[VALOR CUOTAS]]</f>
        <v>#VALUE!</v>
      </c>
      <c r="S2514" s="88">
        <f>-IF(Tabla14[[#This Row],[DIAS HABILES O MORA]]&lt;0,(Tabla14[[#This Row],[VALOR PRESTAMO]]*Tabla14[[#This Row],[% INTERES ]]/30*U2514))</f>
        <v>0</v>
      </c>
      <c r="T2514" s="53" t="e">
        <f>Tabla14[[#This Row],[DEUDA CAPITAL]]+Tabla14[[#This Row],[INTERES  CUOTA]]</f>
        <v>#NUM!</v>
      </c>
      <c r="U2514" s="61" t="str">
        <f t="shared" si="409"/>
        <v/>
      </c>
    </row>
    <row r="2515" spans="9:21" ht="24.75" customHeight="1" x14ac:dyDescent="0.35">
      <c r="I2515" s="42">
        <f t="shared" si="400"/>
        <v>0</v>
      </c>
      <c r="J2515" s="65" t="e">
        <f t="shared" si="401"/>
        <v>#NUM!</v>
      </c>
      <c r="K2515" s="83" t="e">
        <f t="shared" si="402"/>
        <v>#NUM!</v>
      </c>
      <c r="L2515" s="83">
        <f t="shared" si="403"/>
        <v>0</v>
      </c>
      <c r="M2515" s="110" t="str">
        <f t="shared" si="404"/>
        <v/>
      </c>
      <c r="N2515" s="51" t="str">
        <f t="shared" si="405"/>
        <v/>
      </c>
      <c r="O2515" s="52" t="str">
        <f t="shared" si="406"/>
        <v/>
      </c>
      <c r="P2515" s="88">
        <f t="shared" si="407"/>
        <v>0</v>
      </c>
      <c r="Q2515" s="88">
        <f t="shared" si="408"/>
        <v>0</v>
      </c>
      <c r="R2515" s="88" t="e">
        <f>-IF(Tabla14[[#This Row],[DIAS HABILES O MORA]]&lt;0,(Tabla14[[#This Row],[VALOR PRESTAMO]]*Tabla14[[#This Row],[% INTERES ]]/30*U2515))+Tabla14[[#This Row],[VALOR CUOTAS]]</f>
        <v>#VALUE!</v>
      </c>
      <c r="S2515" s="88">
        <f>-IF(Tabla14[[#This Row],[DIAS HABILES O MORA]]&lt;0,(Tabla14[[#This Row],[VALOR PRESTAMO]]*Tabla14[[#This Row],[% INTERES ]]/30*U2515))</f>
        <v>0</v>
      </c>
      <c r="T2515" s="53" t="e">
        <f>Tabla14[[#This Row],[DEUDA CAPITAL]]+Tabla14[[#This Row],[INTERES  CUOTA]]</f>
        <v>#NUM!</v>
      </c>
      <c r="U2515" s="61" t="str">
        <f t="shared" si="409"/>
        <v/>
      </c>
    </row>
    <row r="2516" spans="9:21" ht="24.75" customHeight="1" x14ac:dyDescent="0.35">
      <c r="I2516" s="42">
        <f t="shared" si="400"/>
        <v>0</v>
      </c>
      <c r="J2516" s="65" t="e">
        <f t="shared" si="401"/>
        <v>#NUM!</v>
      </c>
      <c r="K2516" s="83" t="e">
        <f t="shared" si="402"/>
        <v>#NUM!</v>
      </c>
      <c r="L2516" s="83">
        <f t="shared" si="403"/>
        <v>0</v>
      </c>
      <c r="M2516" s="110" t="str">
        <f t="shared" si="404"/>
        <v/>
      </c>
      <c r="N2516" s="51" t="str">
        <f t="shared" si="405"/>
        <v/>
      </c>
      <c r="O2516" s="52" t="str">
        <f t="shared" si="406"/>
        <v/>
      </c>
      <c r="P2516" s="88">
        <f t="shared" si="407"/>
        <v>0</v>
      </c>
      <c r="Q2516" s="88">
        <f t="shared" si="408"/>
        <v>0</v>
      </c>
      <c r="R2516" s="88" t="e">
        <f>-IF(Tabla14[[#This Row],[DIAS HABILES O MORA]]&lt;0,(Tabla14[[#This Row],[VALOR PRESTAMO]]*Tabla14[[#This Row],[% INTERES ]]/30*U2516))+Tabla14[[#This Row],[VALOR CUOTAS]]</f>
        <v>#VALUE!</v>
      </c>
      <c r="S2516" s="88">
        <f>-IF(Tabla14[[#This Row],[DIAS HABILES O MORA]]&lt;0,(Tabla14[[#This Row],[VALOR PRESTAMO]]*Tabla14[[#This Row],[% INTERES ]]/30*U2516))</f>
        <v>0</v>
      </c>
      <c r="T2516" s="53" t="e">
        <f>Tabla14[[#This Row],[DEUDA CAPITAL]]+Tabla14[[#This Row],[INTERES  CUOTA]]</f>
        <v>#NUM!</v>
      </c>
      <c r="U2516" s="61" t="str">
        <f t="shared" si="409"/>
        <v/>
      </c>
    </row>
    <row r="2517" spans="9:21" ht="24.75" customHeight="1" x14ac:dyDescent="0.35">
      <c r="I2517" s="42">
        <f t="shared" si="400"/>
        <v>0</v>
      </c>
      <c r="J2517" s="65" t="e">
        <f t="shared" si="401"/>
        <v>#NUM!</v>
      </c>
      <c r="K2517" s="83" t="e">
        <f t="shared" si="402"/>
        <v>#NUM!</v>
      </c>
      <c r="L2517" s="83">
        <f t="shared" si="403"/>
        <v>0</v>
      </c>
      <c r="M2517" s="110" t="str">
        <f t="shared" si="404"/>
        <v/>
      </c>
      <c r="N2517" s="51" t="str">
        <f t="shared" si="405"/>
        <v/>
      </c>
      <c r="O2517" s="52" t="str">
        <f t="shared" si="406"/>
        <v/>
      </c>
      <c r="P2517" s="88">
        <f t="shared" si="407"/>
        <v>0</v>
      </c>
      <c r="Q2517" s="88">
        <f t="shared" si="408"/>
        <v>0</v>
      </c>
      <c r="R2517" s="88" t="e">
        <f>-IF(Tabla14[[#This Row],[DIAS HABILES O MORA]]&lt;0,(Tabla14[[#This Row],[VALOR PRESTAMO]]*Tabla14[[#This Row],[% INTERES ]]/30*U2517))+Tabla14[[#This Row],[VALOR CUOTAS]]</f>
        <v>#VALUE!</v>
      </c>
      <c r="S2517" s="88">
        <f>-IF(Tabla14[[#This Row],[DIAS HABILES O MORA]]&lt;0,(Tabla14[[#This Row],[VALOR PRESTAMO]]*Tabla14[[#This Row],[% INTERES ]]/30*U2517))</f>
        <v>0</v>
      </c>
      <c r="T2517" s="53" t="e">
        <f>Tabla14[[#This Row],[DEUDA CAPITAL]]+Tabla14[[#This Row],[INTERES  CUOTA]]</f>
        <v>#NUM!</v>
      </c>
      <c r="U2517" s="61" t="str">
        <f t="shared" si="409"/>
        <v/>
      </c>
    </row>
    <row r="2518" spans="9:21" ht="24.75" customHeight="1" x14ac:dyDescent="0.35">
      <c r="I2518" s="42">
        <f t="shared" si="400"/>
        <v>0</v>
      </c>
      <c r="J2518" s="65" t="e">
        <f t="shared" si="401"/>
        <v>#NUM!</v>
      </c>
      <c r="K2518" s="83" t="e">
        <f t="shared" si="402"/>
        <v>#NUM!</v>
      </c>
      <c r="L2518" s="83">
        <f t="shared" si="403"/>
        <v>0</v>
      </c>
      <c r="M2518" s="110" t="str">
        <f t="shared" si="404"/>
        <v/>
      </c>
      <c r="N2518" s="51" t="str">
        <f t="shared" si="405"/>
        <v/>
      </c>
      <c r="O2518" s="52" t="str">
        <f t="shared" si="406"/>
        <v/>
      </c>
      <c r="P2518" s="88">
        <f t="shared" si="407"/>
        <v>0</v>
      </c>
      <c r="Q2518" s="88">
        <f t="shared" si="408"/>
        <v>0</v>
      </c>
      <c r="R2518" s="88" t="e">
        <f>-IF(Tabla14[[#This Row],[DIAS HABILES O MORA]]&lt;0,(Tabla14[[#This Row],[VALOR PRESTAMO]]*Tabla14[[#This Row],[% INTERES ]]/30*U2518))+Tabla14[[#This Row],[VALOR CUOTAS]]</f>
        <v>#VALUE!</v>
      </c>
      <c r="S2518" s="88">
        <f>-IF(Tabla14[[#This Row],[DIAS HABILES O MORA]]&lt;0,(Tabla14[[#This Row],[VALOR PRESTAMO]]*Tabla14[[#This Row],[% INTERES ]]/30*U2518))</f>
        <v>0</v>
      </c>
      <c r="T2518" s="53" t="e">
        <f>Tabla14[[#This Row],[DEUDA CAPITAL]]+Tabla14[[#This Row],[INTERES  CUOTA]]</f>
        <v>#NUM!</v>
      </c>
      <c r="U2518" s="61" t="str">
        <f t="shared" si="409"/>
        <v/>
      </c>
    </row>
    <row r="2519" spans="9:21" ht="24.75" customHeight="1" x14ac:dyDescent="0.35">
      <c r="I2519" s="42">
        <f t="shared" si="400"/>
        <v>0</v>
      </c>
      <c r="J2519" s="65" t="e">
        <f t="shared" si="401"/>
        <v>#NUM!</v>
      </c>
      <c r="K2519" s="83" t="e">
        <f t="shared" si="402"/>
        <v>#NUM!</v>
      </c>
      <c r="L2519" s="83">
        <f t="shared" si="403"/>
        <v>0</v>
      </c>
      <c r="M2519" s="110" t="str">
        <f t="shared" si="404"/>
        <v/>
      </c>
      <c r="N2519" s="51" t="str">
        <f t="shared" si="405"/>
        <v/>
      </c>
      <c r="O2519" s="52" t="str">
        <f t="shared" si="406"/>
        <v/>
      </c>
      <c r="P2519" s="88">
        <f t="shared" si="407"/>
        <v>0</v>
      </c>
      <c r="Q2519" s="88">
        <f t="shared" si="408"/>
        <v>0</v>
      </c>
      <c r="R2519" s="88" t="e">
        <f>-IF(Tabla14[[#This Row],[DIAS HABILES O MORA]]&lt;0,(Tabla14[[#This Row],[VALOR PRESTAMO]]*Tabla14[[#This Row],[% INTERES ]]/30*U2519))+Tabla14[[#This Row],[VALOR CUOTAS]]</f>
        <v>#VALUE!</v>
      </c>
      <c r="S2519" s="88">
        <f>-IF(Tabla14[[#This Row],[DIAS HABILES O MORA]]&lt;0,(Tabla14[[#This Row],[VALOR PRESTAMO]]*Tabla14[[#This Row],[% INTERES ]]/30*U2519))</f>
        <v>0</v>
      </c>
      <c r="T2519" s="53" t="e">
        <f>Tabla14[[#This Row],[DEUDA CAPITAL]]+Tabla14[[#This Row],[INTERES  CUOTA]]</f>
        <v>#NUM!</v>
      </c>
      <c r="U2519" s="61" t="str">
        <f t="shared" si="409"/>
        <v/>
      </c>
    </row>
    <row r="2520" spans="9:21" ht="24.75" customHeight="1" x14ac:dyDescent="0.35">
      <c r="I2520" s="42">
        <f t="shared" si="400"/>
        <v>0</v>
      </c>
      <c r="J2520" s="65" t="e">
        <f t="shared" si="401"/>
        <v>#NUM!</v>
      </c>
      <c r="K2520" s="83" t="e">
        <f t="shared" si="402"/>
        <v>#NUM!</v>
      </c>
      <c r="L2520" s="83">
        <f t="shared" si="403"/>
        <v>0</v>
      </c>
      <c r="M2520" s="110" t="str">
        <f t="shared" si="404"/>
        <v/>
      </c>
      <c r="N2520" s="51" t="str">
        <f t="shared" si="405"/>
        <v/>
      </c>
      <c r="O2520" s="52" t="str">
        <f t="shared" si="406"/>
        <v/>
      </c>
      <c r="P2520" s="88">
        <f t="shared" si="407"/>
        <v>0</v>
      </c>
      <c r="Q2520" s="88">
        <f t="shared" si="408"/>
        <v>0</v>
      </c>
      <c r="R2520" s="88" t="e">
        <f>-IF(Tabla14[[#This Row],[DIAS HABILES O MORA]]&lt;0,(Tabla14[[#This Row],[VALOR PRESTAMO]]*Tabla14[[#This Row],[% INTERES ]]/30*U2520))+Tabla14[[#This Row],[VALOR CUOTAS]]</f>
        <v>#VALUE!</v>
      </c>
      <c r="S2520" s="88">
        <f>-IF(Tabla14[[#This Row],[DIAS HABILES O MORA]]&lt;0,(Tabla14[[#This Row],[VALOR PRESTAMO]]*Tabla14[[#This Row],[% INTERES ]]/30*U2520))</f>
        <v>0</v>
      </c>
      <c r="T2520" s="53" t="e">
        <f>Tabla14[[#This Row],[DEUDA CAPITAL]]+Tabla14[[#This Row],[INTERES  CUOTA]]</f>
        <v>#NUM!</v>
      </c>
      <c r="U2520" s="61" t="str">
        <f t="shared" si="409"/>
        <v/>
      </c>
    </row>
    <row r="2521" spans="9:21" ht="24.75" customHeight="1" x14ac:dyDescent="0.35">
      <c r="I2521" s="42">
        <f t="shared" si="400"/>
        <v>0</v>
      </c>
      <c r="J2521" s="65" t="e">
        <f t="shared" si="401"/>
        <v>#NUM!</v>
      </c>
      <c r="K2521" s="83" t="e">
        <f t="shared" si="402"/>
        <v>#NUM!</v>
      </c>
      <c r="L2521" s="83">
        <f t="shared" si="403"/>
        <v>0</v>
      </c>
      <c r="M2521" s="110" t="str">
        <f t="shared" si="404"/>
        <v/>
      </c>
      <c r="N2521" s="51" t="str">
        <f t="shared" si="405"/>
        <v/>
      </c>
      <c r="O2521" s="52" t="str">
        <f t="shared" si="406"/>
        <v/>
      </c>
      <c r="P2521" s="88">
        <f t="shared" si="407"/>
        <v>0</v>
      </c>
      <c r="Q2521" s="88">
        <f t="shared" si="408"/>
        <v>0</v>
      </c>
      <c r="R2521" s="88" t="e">
        <f>-IF(Tabla14[[#This Row],[DIAS HABILES O MORA]]&lt;0,(Tabla14[[#This Row],[VALOR PRESTAMO]]*Tabla14[[#This Row],[% INTERES ]]/30*U2521))+Tabla14[[#This Row],[VALOR CUOTAS]]</f>
        <v>#VALUE!</v>
      </c>
      <c r="S2521" s="88">
        <f>-IF(Tabla14[[#This Row],[DIAS HABILES O MORA]]&lt;0,(Tabla14[[#This Row],[VALOR PRESTAMO]]*Tabla14[[#This Row],[% INTERES ]]/30*U2521))</f>
        <v>0</v>
      </c>
      <c r="T2521" s="53" t="e">
        <f>Tabla14[[#This Row],[DEUDA CAPITAL]]+Tabla14[[#This Row],[INTERES  CUOTA]]</f>
        <v>#NUM!</v>
      </c>
      <c r="U2521" s="61" t="str">
        <f t="shared" si="409"/>
        <v/>
      </c>
    </row>
    <row r="2522" spans="9:21" ht="24.75" customHeight="1" x14ac:dyDescent="0.35">
      <c r="I2522" s="42">
        <f t="shared" si="400"/>
        <v>0</v>
      </c>
      <c r="J2522" s="65" t="e">
        <f t="shared" si="401"/>
        <v>#NUM!</v>
      </c>
      <c r="K2522" s="83" t="e">
        <f t="shared" si="402"/>
        <v>#NUM!</v>
      </c>
      <c r="L2522" s="83">
        <f t="shared" si="403"/>
        <v>0</v>
      </c>
      <c r="M2522" s="110" t="str">
        <f t="shared" si="404"/>
        <v/>
      </c>
      <c r="N2522" s="51" t="str">
        <f t="shared" si="405"/>
        <v/>
      </c>
      <c r="O2522" s="52" t="str">
        <f t="shared" si="406"/>
        <v/>
      </c>
      <c r="P2522" s="88">
        <f t="shared" si="407"/>
        <v>0</v>
      </c>
      <c r="Q2522" s="88">
        <f t="shared" si="408"/>
        <v>0</v>
      </c>
      <c r="R2522" s="88" t="e">
        <f>-IF(Tabla14[[#This Row],[DIAS HABILES O MORA]]&lt;0,(Tabla14[[#This Row],[VALOR PRESTAMO]]*Tabla14[[#This Row],[% INTERES ]]/30*U2522))+Tabla14[[#This Row],[VALOR CUOTAS]]</f>
        <v>#VALUE!</v>
      </c>
      <c r="S2522" s="88">
        <f>-IF(Tabla14[[#This Row],[DIAS HABILES O MORA]]&lt;0,(Tabla14[[#This Row],[VALOR PRESTAMO]]*Tabla14[[#This Row],[% INTERES ]]/30*U2522))</f>
        <v>0</v>
      </c>
      <c r="T2522" s="53" t="e">
        <f>Tabla14[[#This Row],[DEUDA CAPITAL]]+Tabla14[[#This Row],[INTERES  CUOTA]]</f>
        <v>#NUM!</v>
      </c>
      <c r="U2522" s="61" t="str">
        <f t="shared" si="409"/>
        <v/>
      </c>
    </row>
    <row r="2523" spans="9:21" ht="24.75" customHeight="1" x14ac:dyDescent="0.35">
      <c r="I2523" s="42">
        <f t="shared" si="400"/>
        <v>0</v>
      </c>
      <c r="J2523" s="65" t="e">
        <f t="shared" si="401"/>
        <v>#NUM!</v>
      </c>
      <c r="K2523" s="83" t="e">
        <f t="shared" si="402"/>
        <v>#NUM!</v>
      </c>
      <c r="L2523" s="83">
        <f t="shared" si="403"/>
        <v>0</v>
      </c>
      <c r="M2523" s="110" t="str">
        <f t="shared" si="404"/>
        <v/>
      </c>
      <c r="N2523" s="51" t="str">
        <f t="shared" si="405"/>
        <v/>
      </c>
      <c r="O2523" s="52" t="str">
        <f t="shared" si="406"/>
        <v/>
      </c>
      <c r="P2523" s="88">
        <f t="shared" si="407"/>
        <v>0</v>
      </c>
      <c r="Q2523" s="88">
        <f t="shared" si="408"/>
        <v>0</v>
      </c>
      <c r="R2523" s="88" t="e">
        <f>-IF(Tabla14[[#This Row],[DIAS HABILES O MORA]]&lt;0,(Tabla14[[#This Row],[VALOR PRESTAMO]]*Tabla14[[#This Row],[% INTERES ]]/30*U2523))+Tabla14[[#This Row],[VALOR CUOTAS]]</f>
        <v>#VALUE!</v>
      </c>
      <c r="S2523" s="88">
        <f>-IF(Tabla14[[#This Row],[DIAS HABILES O MORA]]&lt;0,(Tabla14[[#This Row],[VALOR PRESTAMO]]*Tabla14[[#This Row],[% INTERES ]]/30*U2523))</f>
        <v>0</v>
      </c>
      <c r="T2523" s="53" t="e">
        <f>Tabla14[[#This Row],[DEUDA CAPITAL]]+Tabla14[[#This Row],[INTERES  CUOTA]]</f>
        <v>#NUM!</v>
      </c>
      <c r="U2523" s="61" t="str">
        <f t="shared" si="409"/>
        <v/>
      </c>
    </row>
    <row r="2524" spans="9:21" ht="24.75" customHeight="1" x14ac:dyDescent="0.35">
      <c r="I2524" s="42">
        <f t="shared" si="400"/>
        <v>0</v>
      </c>
      <c r="J2524" s="65" t="e">
        <f t="shared" si="401"/>
        <v>#NUM!</v>
      </c>
      <c r="K2524" s="83" t="e">
        <f t="shared" si="402"/>
        <v>#NUM!</v>
      </c>
      <c r="L2524" s="83">
        <f t="shared" si="403"/>
        <v>0</v>
      </c>
      <c r="M2524" s="110" t="str">
        <f t="shared" si="404"/>
        <v/>
      </c>
      <c r="N2524" s="51" t="str">
        <f t="shared" si="405"/>
        <v/>
      </c>
      <c r="O2524" s="52" t="str">
        <f t="shared" si="406"/>
        <v/>
      </c>
      <c r="P2524" s="88">
        <f t="shared" si="407"/>
        <v>0</v>
      </c>
      <c r="Q2524" s="88">
        <f t="shared" si="408"/>
        <v>0</v>
      </c>
      <c r="R2524" s="88" t="e">
        <f>-IF(Tabla14[[#This Row],[DIAS HABILES O MORA]]&lt;0,(Tabla14[[#This Row],[VALOR PRESTAMO]]*Tabla14[[#This Row],[% INTERES ]]/30*U2524))+Tabla14[[#This Row],[VALOR CUOTAS]]</f>
        <v>#VALUE!</v>
      </c>
      <c r="S2524" s="88">
        <f>-IF(Tabla14[[#This Row],[DIAS HABILES O MORA]]&lt;0,(Tabla14[[#This Row],[VALOR PRESTAMO]]*Tabla14[[#This Row],[% INTERES ]]/30*U2524))</f>
        <v>0</v>
      </c>
      <c r="T2524" s="53" t="e">
        <f>Tabla14[[#This Row],[DEUDA CAPITAL]]+Tabla14[[#This Row],[INTERES  CUOTA]]</f>
        <v>#NUM!</v>
      </c>
      <c r="U2524" s="61" t="str">
        <f t="shared" si="409"/>
        <v/>
      </c>
    </row>
    <row r="2525" spans="9:21" ht="24.75" customHeight="1" x14ac:dyDescent="0.35">
      <c r="I2525" s="42">
        <f t="shared" si="400"/>
        <v>0</v>
      </c>
      <c r="J2525" s="65" t="e">
        <f t="shared" si="401"/>
        <v>#NUM!</v>
      </c>
      <c r="K2525" s="83" t="e">
        <f t="shared" si="402"/>
        <v>#NUM!</v>
      </c>
      <c r="L2525" s="83">
        <f t="shared" si="403"/>
        <v>0</v>
      </c>
      <c r="M2525" s="110" t="str">
        <f t="shared" si="404"/>
        <v/>
      </c>
      <c r="N2525" s="51" t="str">
        <f t="shared" si="405"/>
        <v/>
      </c>
      <c r="O2525" s="52" t="str">
        <f t="shared" si="406"/>
        <v/>
      </c>
      <c r="P2525" s="88">
        <f t="shared" si="407"/>
        <v>0</v>
      </c>
      <c r="Q2525" s="88">
        <f t="shared" si="408"/>
        <v>0</v>
      </c>
      <c r="R2525" s="88" t="e">
        <f>-IF(Tabla14[[#This Row],[DIAS HABILES O MORA]]&lt;0,(Tabla14[[#This Row],[VALOR PRESTAMO]]*Tabla14[[#This Row],[% INTERES ]]/30*U2525))+Tabla14[[#This Row],[VALOR CUOTAS]]</f>
        <v>#VALUE!</v>
      </c>
      <c r="S2525" s="88">
        <f>-IF(Tabla14[[#This Row],[DIAS HABILES O MORA]]&lt;0,(Tabla14[[#This Row],[VALOR PRESTAMO]]*Tabla14[[#This Row],[% INTERES ]]/30*U2525))</f>
        <v>0</v>
      </c>
      <c r="T2525" s="53" t="e">
        <f>Tabla14[[#This Row],[DEUDA CAPITAL]]+Tabla14[[#This Row],[INTERES  CUOTA]]</f>
        <v>#NUM!</v>
      </c>
      <c r="U2525" s="61" t="str">
        <f t="shared" si="409"/>
        <v/>
      </c>
    </row>
    <row r="2526" spans="9:21" ht="24.75" customHeight="1" x14ac:dyDescent="0.35">
      <c r="I2526" s="42">
        <f t="shared" si="400"/>
        <v>0</v>
      </c>
      <c r="J2526" s="65" t="e">
        <f t="shared" si="401"/>
        <v>#NUM!</v>
      </c>
      <c r="K2526" s="83" t="e">
        <f t="shared" si="402"/>
        <v>#NUM!</v>
      </c>
      <c r="L2526" s="83">
        <f t="shared" si="403"/>
        <v>0</v>
      </c>
      <c r="M2526" s="110" t="str">
        <f t="shared" si="404"/>
        <v/>
      </c>
      <c r="N2526" s="51" t="str">
        <f t="shared" si="405"/>
        <v/>
      </c>
      <c r="O2526" s="52" t="str">
        <f t="shared" si="406"/>
        <v/>
      </c>
      <c r="P2526" s="88">
        <f t="shared" si="407"/>
        <v>0</v>
      </c>
      <c r="Q2526" s="88">
        <f t="shared" si="408"/>
        <v>0</v>
      </c>
      <c r="R2526" s="88" t="e">
        <f>-IF(Tabla14[[#This Row],[DIAS HABILES O MORA]]&lt;0,(Tabla14[[#This Row],[VALOR PRESTAMO]]*Tabla14[[#This Row],[% INTERES ]]/30*U2526))+Tabla14[[#This Row],[VALOR CUOTAS]]</f>
        <v>#VALUE!</v>
      </c>
      <c r="S2526" s="88">
        <f>-IF(Tabla14[[#This Row],[DIAS HABILES O MORA]]&lt;0,(Tabla14[[#This Row],[VALOR PRESTAMO]]*Tabla14[[#This Row],[% INTERES ]]/30*U2526))</f>
        <v>0</v>
      </c>
      <c r="T2526" s="53" t="e">
        <f>Tabla14[[#This Row],[DEUDA CAPITAL]]+Tabla14[[#This Row],[INTERES  CUOTA]]</f>
        <v>#NUM!</v>
      </c>
      <c r="U2526" s="61" t="str">
        <f t="shared" si="409"/>
        <v/>
      </c>
    </row>
    <row r="2527" spans="9:21" ht="24.75" customHeight="1" x14ac:dyDescent="0.35">
      <c r="I2527" s="42">
        <f t="shared" si="400"/>
        <v>0</v>
      </c>
      <c r="J2527" s="65" t="e">
        <f t="shared" si="401"/>
        <v>#NUM!</v>
      </c>
      <c r="K2527" s="83" t="e">
        <f t="shared" si="402"/>
        <v>#NUM!</v>
      </c>
      <c r="L2527" s="83">
        <f t="shared" si="403"/>
        <v>0</v>
      </c>
      <c r="M2527" s="110" t="str">
        <f t="shared" si="404"/>
        <v/>
      </c>
      <c r="N2527" s="51" t="str">
        <f t="shared" si="405"/>
        <v/>
      </c>
      <c r="O2527" s="52" t="str">
        <f t="shared" si="406"/>
        <v/>
      </c>
      <c r="P2527" s="88">
        <f t="shared" si="407"/>
        <v>0</v>
      </c>
      <c r="Q2527" s="88">
        <f t="shared" si="408"/>
        <v>0</v>
      </c>
      <c r="R2527" s="88" t="e">
        <f>-IF(Tabla14[[#This Row],[DIAS HABILES O MORA]]&lt;0,(Tabla14[[#This Row],[VALOR PRESTAMO]]*Tabla14[[#This Row],[% INTERES ]]/30*U2527))+Tabla14[[#This Row],[VALOR CUOTAS]]</f>
        <v>#VALUE!</v>
      </c>
      <c r="S2527" s="88">
        <f>-IF(Tabla14[[#This Row],[DIAS HABILES O MORA]]&lt;0,(Tabla14[[#This Row],[VALOR PRESTAMO]]*Tabla14[[#This Row],[% INTERES ]]/30*U2527))</f>
        <v>0</v>
      </c>
      <c r="T2527" s="53" t="e">
        <f>Tabla14[[#This Row],[DEUDA CAPITAL]]+Tabla14[[#This Row],[INTERES  CUOTA]]</f>
        <v>#NUM!</v>
      </c>
      <c r="U2527" s="61" t="str">
        <f t="shared" si="409"/>
        <v/>
      </c>
    </row>
    <row r="2528" spans="9:21" ht="24.75" customHeight="1" x14ac:dyDescent="0.35">
      <c r="I2528" s="42">
        <f t="shared" si="400"/>
        <v>0</v>
      </c>
      <c r="J2528" s="65" t="e">
        <f t="shared" si="401"/>
        <v>#NUM!</v>
      </c>
      <c r="K2528" s="83" t="e">
        <f t="shared" si="402"/>
        <v>#NUM!</v>
      </c>
      <c r="L2528" s="83">
        <f t="shared" si="403"/>
        <v>0</v>
      </c>
      <c r="M2528" s="110" t="str">
        <f t="shared" si="404"/>
        <v/>
      </c>
      <c r="N2528" s="51" t="str">
        <f t="shared" si="405"/>
        <v/>
      </c>
      <c r="O2528" s="52" t="str">
        <f t="shared" si="406"/>
        <v/>
      </c>
      <c r="P2528" s="88">
        <f t="shared" si="407"/>
        <v>0</v>
      </c>
      <c r="Q2528" s="88">
        <f t="shared" si="408"/>
        <v>0</v>
      </c>
      <c r="R2528" s="88" t="e">
        <f>-IF(Tabla14[[#This Row],[DIAS HABILES O MORA]]&lt;0,(Tabla14[[#This Row],[VALOR PRESTAMO]]*Tabla14[[#This Row],[% INTERES ]]/30*U2528))+Tabla14[[#This Row],[VALOR CUOTAS]]</f>
        <v>#VALUE!</v>
      </c>
      <c r="S2528" s="88">
        <f>-IF(Tabla14[[#This Row],[DIAS HABILES O MORA]]&lt;0,(Tabla14[[#This Row],[VALOR PRESTAMO]]*Tabla14[[#This Row],[% INTERES ]]/30*U2528))</f>
        <v>0</v>
      </c>
      <c r="T2528" s="53" t="e">
        <f>Tabla14[[#This Row],[DEUDA CAPITAL]]+Tabla14[[#This Row],[INTERES  CUOTA]]</f>
        <v>#NUM!</v>
      </c>
      <c r="U2528" s="61" t="str">
        <f t="shared" si="409"/>
        <v/>
      </c>
    </row>
    <row r="2529" spans="9:21" ht="24.75" customHeight="1" x14ac:dyDescent="0.35">
      <c r="I2529" s="42">
        <f t="shared" si="400"/>
        <v>0</v>
      </c>
      <c r="J2529" s="65" t="e">
        <f t="shared" si="401"/>
        <v>#NUM!</v>
      </c>
      <c r="K2529" s="83" t="e">
        <f t="shared" si="402"/>
        <v>#NUM!</v>
      </c>
      <c r="L2529" s="83">
        <f t="shared" si="403"/>
        <v>0</v>
      </c>
      <c r="M2529" s="110" t="str">
        <f t="shared" si="404"/>
        <v/>
      </c>
      <c r="N2529" s="51" t="str">
        <f t="shared" si="405"/>
        <v/>
      </c>
      <c r="O2529" s="52" t="str">
        <f t="shared" si="406"/>
        <v/>
      </c>
      <c r="P2529" s="88">
        <f t="shared" si="407"/>
        <v>0</v>
      </c>
      <c r="Q2529" s="88">
        <f t="shared" si="408"/>
        <v>0</v>
      </c>
      <c r="R2529" s="88" t="e">
        <f>-IF(Tabla14[[#This Row],[DIAS HABILES O MORA]]&lt;0,(Tabla14[[#This Row],[VALOR PRESTAMO]]*Tabla14[[#This Row],[% INTERES ]]/30*U2529))+Tabla14[[#This Row],[VALOR CUOTAS]]</f>
        <v>#VALUE!</v>
      </c>
      <c r="S2529" s="88">
        <f>-IF(Tabla14[[#This Row],[DIAS HABILES O MORA]]&lt;0,(Tabla14[[#This Row],[VALOR PRESTAMO]]*Tabla14[[#This Row],[% INTERES ]]/30*U2529))</f>
        <v>0</v>
      </c>
      <c r="T2529" s="53" t="e">
        <f>Tabla14[[#This Row],[DEUDA CAPITAL]]+Tabla14[[#This Row],[INTERES  CUOTA]]</f>
        <v>#NUM!</v>
      </c>
      <c r="U2529" s="61" t="str">
        <f t="shared" si="409"/>
        <v/>
      </c>
    </row>
    <row r="2530" spans="9:21" ht="24.75" customHeight="1" x14ac:dyDescent="0.35">
      <c r="I2530" s="42">
        <f t="shared" si="400"/>
        <v>0</v>
      </c>
      <c r="J2530" s="65" t="e">
        <f t="shared" si="401"/>
        <v>#NUM!</v>
      </c>
      <c r="K2530" s="83" t="e">
        <f t="shared" si="402"/>
        <v>#NUM!</v>
      </c>
      <c r="L2530" s="83">
        <f t="shared" si="403"/>
        <v>0</v>
      </c>
      <c r="M2530" s="110" t="str">
        <f t="shared" si="404"/>
        <v/>
      </c>
      <c r="N2530" s="51" t="str">
        <f t="shared" si="405"/>
        <v/>
      </c>
      <c r="O2530" s="52" t="str">
        <f t="shared" si="406"/>
        <v/>
      </c>
      <c r="P2530" s="88">
        <f t="shared" si="407"/>
        <v>0</v>
      </c>
      <c r="Q2530" s="88">
        <f t="shared" si="408"/>
        <v>0</v>
      </c>
      <c r="R2530" s="88" t="e">
        <f>-IF(Tabla14[[#This Row],[DIAS HABILES O MORA]]&lt;0,(Tabla14[[#This Row],[VALOR PRESTAMO]]*Tabla14[[#This Row],[% INTERES ]]/30*U2530))+Tabla14[[#This Row],[VALOR CUOTAS]]</f>
        <v>#VALUE!</v>
      </c>
      <c r="S2530" s="88">
        <f>-IF(Tabla14[[#This Row],[DIAS HABILES O MORA]]&lt;0,(Tabla14[[#This Row],[VALOR PRESTAMO]]*Tabla14[[#This Row],[% INTERES ]]/30*U2530))</f>
        <v>0</v>
      </c>
      <c r="T2530" s="53" t="e">
        <f>Tabla14[[#This Row],[DEUDA CAPITAL]]+Tabla14[[#This Row],[INTERES  CUOTA]]</f>
        <v>#NUM!</v>
      </c>
      <c r="U2530" s="61" t="str">
        <f t="shared" si="409"/>
        <v/>
      </c>
    </row>
    <row r="2531" spans="9:21" ht="24.75" customHeight="1" x14ac:dyDescent="0.35">
      <c r="I2531" s="42">
        <f t="shared" si="400"/>
        <v>0</v>
      </c>
      <c r="J2531" s="65" t="e">
        <f t="shared" si="401"/>
        <v>#NUM!</v>
      </c>
      <c r="K2531" s="83" t="e">
        <f t="shared" si="402"/>
        <v>#NUM!</v>
      </c>
      <c r="L2531" s="83">
        <f t="shared" si="403"/>
        <v>0</v>
      </c>
      <c r="M2531" s="110" t="str">
        <f t="shared" si="404"/>
        <v/>
      </c>
      <c r="N2531" s="51" t="str">
        <f t="shared" si="405"/>
        <v/>
      </c>
      <c r="O2531" s="52" t="str">
        <f t="shared" si="406"/>
        <v/>
      </c>
      <c r="P2531" s="88">
        <f t="shared" si="407"/>
        <v>0</v>
      </c>
      <c r="Q2531" s="88">
        <f t="shared" si="408"/>
        <v>0</v>
      </c>
      <c r="R2531" s="88" t="e">
        <f>-IF(Tabla14[[#This Row],[DIAS HABILES O MORA]]&lt;0,(Tabla14[[#This Row],[VALOR PRESTAMO]]*Tabla14[[#This Row],[% INTERES ]]/30*U2531))+Tabla14[[#This Row],[VALOR CUOTAS]]</f>
        <v>#VALUE!</v>
      </c>
      <c r="S2531" s="88">
        <f>-IF(Tabla14[[#This Row],[DIAS HABILES O MORA]]&lt;0,(Tabla14[[#This Row],[VALOR PRESTAMO]]*Tabla14[[#This Row],[% INTERES ]]/30*U2531))</f>
        <v>0</v>
      </c>
      <c r="T2531" s="53" t="e">
        <f>Tabla14[[#This Row],[DEUDA CAPITAL]]+Tabla14[[#This Row],[INTERES  CUOTA]]</f>
        <v>#NUM!</v>
      </c>
      <c r="U2531" s="61" t="str">
        <f t="shared" si="409"/>
        <v/>
      </c>
    </row>
    <row r="2532" spans="9:21" ht="24.75" customHeight="1" x14ac:dyDescent="0.35">
      <c r="I2532" s="42">
        <f t="shared" si="400"/>
        <v>0</v>
      </c>
      <c r="J2532" s="65" t="e">
        <f t="shared" si="401"/>
        <v>#NUM!</v>
      </c>
      <c r="K2532" s="83" t="e">
        <f t="shared" si="402"/>
        <v>#NUM!</v>
      </c>
      <c r="L2532" s="83">
        <f t="shared" si="403"/>
        <v>0</v>
      </c>
      <c r="M2532" s="110" t="str">
        <f t="shared" si="404"/>
        <v/>
      </c>
      <c r="N2532" s="51" t="str">
        <f t="shared" si="405"/>
        <v/>
      </c>
      <c r="O2532" s="52" t="str">
        <f t="shared" si="406"/>
        <v/>
      </c>
      <c r="P2532" s="88">
        <f t="shared" si="407"/>
        <v>0</v>
      </c>
      <c r="Q2532" s="88">
        <f t="shared" si="408"/>
        <v>0</v>
      </c>
      <c r="R2532" s="88" t="e">
        <f>-IF(Tabla14[[#This Row],[DIAS HABILES O MORA]]&lt;0,(Tabla14[[#This Row],[VALOR PRESTAMO]]*Tabla14[[#This Row],[% INTERES ]]/30*U2532))+Tabla14[[#This Row],[VALOR CUOTAS]]</f>
        <v>#VALUE!</v>
      </c>
      <c r="S2532" s="88">
        <f>-IF(Tabla14[[#This Row],[DIAS HABILES O MORA]]&lt;0,(Tabla14[[#This Row],[VALOR PRESTAMO]]*Tabla14[[#This Row],[% INTERES ]]/30*U2532))</f>
        <v>0</v>
      </c>
      <c r="T2532" s="53" t="e">
        <f>Tabla14[[#This Row],[DEUDA CAPITAL]]+Tabla14[[#This Row],[INTERES  CUOTA]]</f>
        <v>#NUM!</v>
      </c>
      <c r="U2532" s="61" t="str">
        <f t="shared" si="409"/>
        <v/>
      </c>
    </row>
    <row r="2533" spans="9:21" ht="24.75" customHeight="1" x14ac:dyDescent="0.35">
      <c r="I2533" s="42">
        <f t="shared" si="400"/>
        <v>0</v>
      </c>
      <c r="J2533" s="65" t="e">
        <f t="shared" si="401"/>
        <v>#NUM!</v>
      </c>
      <c r="K2533" s="83" t="e">
        <f t="shared" si="402"/>
        <v>#NUM!</v>
      </c>
      <c r="L2533" s="83">
        <f t="shared" si="403"/>
        <v>0</v>
      </c>
      <c r="M2533" s="110" t="str">
        <f t="shared" si="404"/>
        <v/>
      </c>
      <c r="N2533" s="51" t="str">
        <f t="shared" si="405"/>
        <v/>
      </c>
      <c r="O2533" s="52" t="str">
        <f t="shared" si="406"/>
        <v/>
      </c>
      <c r="P2533" s="88">
        <f t="shared" si="407"/>
        <v>0</v>
      </c>
      <c r="Q2533" s="88">
        <f t="shared" si="408"/>
        <v>0</v>
      </c>
      <c r="R2533" s="88" t="e">
        <f>-IF(Tabla14[[#This Row],[DIAS HABILES O MORA]]&lt;0,(Tabla14[[#This Row],[VALOR PRESTAMO]]*Tabla14[[#This Row],[% INTERES ]]/30*U2533))+Tabla14[[#This Row],[VALOR CUOTAS]]</f>
        <v>#VALUE!</v>
      </c>
      <c r="S2533" s="88">
        <f>-IF(Tabla14[[#This Row],[DIAS HABILES O MORA]]&lt;0,(Tabla14[[#This Row],[VALOR PRESTAMO]]*Tabla14[[#This Row],[% INTERES ]]/30*U2533))</f>
        <v>0</v>
      </c>
      <c r="T2533" s="53" t="e">
        <f>Tabla14[[#This Row],[DEUDA CAPITAL]]+Tabla14[[#This Row],[INTERES  CUOTA]]</f>
        <v>#NUM!</v>
      </c>
      <c r="U2533" s="61" t="str">
        <f t="shared" si="409"/>
        <v/>
      </c>
    </row>
    <row r="2534" spans="9:21" ht="24.75" customHeight="1" x14ac:dyDescent="0.35">
      <c r="I2534" s="42">
        <f t="shared" si="400"/>
        <v>0</v>
      </c>
      <c r="J2534" s="65" t="e">
        <f t="shared" si="401"/>
        <v>#NUM!</v>
      </c>
      <c r="K2534" s="83" t="e">
        <f t="shared" si="402"/>
        <v>#NUM!</v>
      </c>
      <c r="L2534" s="83">
        <f t="shared" si="403"/>
        <v>0</v>
      </c>
      <c r="M2534" s="110" t="str">
        <f t="shared" si="404"/>
        <v/>
      </c>
      <c r="N2534" s="51" t="str">
        <f t="shared" si="405"/>
        <v/>
      </c>
      <c r="O2534" s="52" t="str">
        <f t="shared" si="406"/>
        <v/>
      </c>
      <c r="P2534" s="88">
        <f t="shared" si="407"/>
        <v>0</v>
      </c>
      <c r="Q2534" s="88">
        <f t="shared" si="408"/>
        <v>0</v>
      </c>
      <c r="R2534" s="88" t="e">
        <f>-IF(Tabla14[[#This Row],[DIAS HABILES O MORA]]&lt;0,(Tabla14[[#This Row],[VALOR PRESTAMO]]*Tabla14[[#This Row],[% INTERES ]]/30*U2534))+Tabla14[[#This Row],[VALOR CUOTAS]]</f>
        <v>#VALUE!</v>
      </c>
      <c r="S2534" s="88">
        <f>-IF(Tabla14[[#This Row],[DIAS HABILES O MORA]]&lt;0,(Tabla14[[#This Row],[VALOR PRESTAMO]]*Tabla14[[#This Row],[% INTERES ]]/30*U2534))</f>
        <v>0</v>
      </c>
      <c r="T2534" s="53" t="e">
        <f>Tabla14[[#This Row],[DEUDA CAPITAL]]+Tabla14[[#This Row],[INTERES  CUOTA]]</f>
        <v>#NUM!</v>
      </c>
      <c r="U2534" s="61" t="str">
        <f t="shared" si="409"/>
        <v/>
      </c>
    </row>
    <row r="2535" spans="9:21" ht="24.75" customHeight="1" x14ac:dyDescent="0.35">
      <c r="I2535" s="42">
        <f t="shared" si="400"/>
        <v>0</v>
      </c>
      <c r="J2535" s="65" t="e">
        <f t="shared" si="401"/>
        <v>#NUM!</v>
      </c>
      <c r="K2535" s="83" t="e">
        <f t="shared" si="402"/>
        <v>#NUM!</v>
      </c>
      <c r="L2535" s="83">
        <f t="shared" si="403"/>
        <v>0</v>
      </c>
      <c r="M2535" s="110" t="str">
        <f t="shared" si="404"/>
        <v/>
      </c>
      <c r="N2535" s="51" t="str">
        <f t="shared" si="405"/>
        <v/>
      </c>
      <c r="O2535" s="52" t="str">
        <f t="shared" si="406"/>
        <v/>
      </c>
      <c r="P2535" s="88">
        <f t="shared" si="407"/>
        <v>0</v>
      </c>
      <c r="Q2535" s="88">
        <f t="shared" si="408"/>
        <v>0</v>
      </c>
      <c r="R2535" s="88" t="e">
        <f>-IF(Tabla14[[#This Row],[DIAS HABILES O MORA]]&lt;0,(Tabla14[[#This Row],[VALOR PRESTAMO]]*Tabla14[[#This Row],[% INTERES ]]/30*U2535))+Tabla14[[#This Row],[VALOR CUOTAS]]</f>
        <v>#VALUE!</v>
      </c>
      <c r="S2535" s="88">
        <f>-IF(Tabla14[[#This Row],[DIAS HABILES O MORA]]&lt;0,(Tabla14[[#This Row],[VALOR PRESTAMO]]*Tabla14[[#This Row],[% INTERES ]]/30*U2535))</f>
        <v>0</v>
      </c>
      <c r="T2535" s="53" t="e">
        <f>Tabla14[[#This Row],[DEUDA CAPITAL]]+Tabla14[[#This Row],[INTERES  CUOTA]]</f>
        <v>#NUM!</v>
      </c>
      <c r="U2535" s="61" t="str">
        <f t="shared" si="409"/>
        <v/>
      </c>
    </row>
    <row r="2536" spans="9:21" ht="24.75" customHeight="1" x14ac:dyDescent="0.35">
      <c r="I2536" s="42">
        <f t="shared" si="400"/>
        <v>0</v>
      </c>
      <c r="J2536" s="65" t="e">
        <f t="shared" si="401"/>
        <v>#NUM!</v>
      </c>
      <c r="K2536" s="83" t="e">
        <f t="shared" si="402"/>
        <v>#NUM!</v>
      </c>
      <c r="L2536" s="83">
        <f t="shared" si="403"/>
        <v>0</v>
      </c>
      <c r="M2536" s="110" t="str">
        <f t="shared" si="404"/>
        <v/>
      </c>
      <c r="N2536" s="51" t="str">
        <f t="shared" si="405"/>
        <v/>
      </c>
      <c r="O2536" s="52" t="str">
        <f t="shared" si="406"/>
        <v/>
      </c>
      <c r="P2536" s="88">
        <f t="shared" si="407"/>
        <v>0</v>
      </c>
      <c r="Q2536" s="88">
        <f t="shared" si="408"/>
        <v>0</v>
      </c>
      <c r="R2536" s="88" t="e">
        <f>-IF(Tabla14[[#This Row],[DIAS HABILES O MORA]]&lt;0,(Tabla14[[#This Row],[VALOR PRESTAMO]]*Tabla14[[#This Row],[% INTERES ]]/30*U2536))+Tabla14[[#This Row],[VALOR CUOTAS]]</f>
        <v>#VALUE!</v>
      </c>
      <c r="S2536" s="88">
        <f>-IF(Tabla14[[#This Row],[DIAS HABILES O MORA]]&lt;0,(Tabla14[[#This Row],[VALOR PRESTAMO]]*Tabla14[[#This Row],[% INTERES ]]/30*U2536))</f>
        <v>0</v>
      </c>
      <c r="T2536" s="53" t="e">
        <f>Tabla14[[#This Row],[DEUDA CAPITAL]]+Tabla14[[#This Row],[INTERES  CUOTA]]</f>
        <v>#NUM!</v>
      </c>
      <c r="U2536" s="61" t="str">
        <f t="shared" si="409"/>
        <v/>
      </c>
    </row>
    <row r="2537" spans="9:21" ht="24.75" customHeight="1" x14ac:dyDescent="0.35">
      <c r="I2537" s="42">
        <f t="shared" si="400"/>
        <v>0</v>
      </c>
      <c r="J2537" s="65" t="e">
        <f t="shared" si="401"/>
        <v>#NUM!</v>
      </c>
      <c r="K2537" s="83" t="e">
        <f t="shared" si="402"/>
        <v>#NUM!</v>
      </c>
      <c r="L2537" s="83">
        <f t="shared" si="403"/>
        <v>0</v>
      </c>
      <c r="M2537" s="110" t="str">
        <f t="shared" si="404"/>
        <v/>
      </c>
      <c r="N2537" s="51" t="str">
        <f t="shared" si="405"/>
        <v/>
      </c>
      <c r="O2537" s="52" t="str">
        <f t="shared" si="406"/>
        <v/>
      </c>
      <c r="P2537" s="88">
        <f t="shared" si="407"/>
        <v>0</v>
      </c>
      <c r="Q2537" s="88">
        <f t="shared" si="408"/>
        <v>0</v>
      </c>
      <c r="R2537" s="88" t="e">
        <f>-IF(Tabla14[[#This Row],[DIAS HABILES O MORA]]&lt;0,(Tabla14[[#This Row],[VALOR PRESTAMO]]*Tabla14[[#This Row],[% INTERES ]]/30*U2537))+Tabla14[[#This Row],[VALOR CUOTAS]]</f>
        <v>#VALUE!</v>
      </c>
      <c r="S2537" s="88">
        <f>-IF(Tabla14[[#This Row],[DIAS HABILES O MORA]]&lt;0,(Tabla14[[#This Row],[VALOR PRESTAMO]]*Tabla14[[#This Row],[% INTERES ]]/30*U2537))</f>
        <v>0</v>
      </c>
      <c r="T2537" s="53" t="e">
        <f>Tabla14[[#This Row],[DEUDA CAPITAL]]+Tabla14[[#This Row],[INTERES  CUOTA]]</f>
        <v>#NUM!</v>
      </c>
      <c r="U2537" s="61" t="str">
        <f t="shared" si="409"/>
        <v/>
      </c>
    </row>
    <row r="2538" spans="9:21" ht="24.75" customHeight="1" x14ac:dyDescent="0.35">
      <c r="I2538" s="42">
        <f t="shared" si="400"/>
        <v>0</v>
      </c>
      <c r="J2538" s="65" t="e">
        <f t="shared" si="401"/>
        <v>#NUM!</v>
      </c>
      <c r="K2538" s="83" t="e">
        <f t="shared" si="402"/>
        <v>#NUM!</v>
      </c>
      <c r="L2538" s="83">
        <f t="shared" si="403"/>
        <v>0</v>
      </c>
      <c r="M2538" s="110" t="str">
        <f t="shared" si="404"/>
        <v/>
      </c>
      <c r="N2538" s="51" t="str">
        <f t="shared" si="405"/>
        <v/>
      </c>
      <c r="O2538" s="52" t="str">
        <f t="shared" si="406"/>
        <v/>
      </c>
      <c r="P2538" s="88">
        <f t="shared" si="407"/>
        <v>0</v>
      </c>
      <c r="Q2538" s="88">
        <f t="shared" si="408"/>
        <v>0</v>
      </c>
      <c r="R2538" s="88" t="e">
        <f>-IF(Tabla14[[#This Row],[DIAS HABILES O MORA]]&lt;0,(Tabla14[[#This Row],[VALOR PRESTAMO]]*Tabla14[[#This Row],[% INTERES ]]/30*U2538))+Tabla14[[#This Row],[VALOR CUOTAS]]</f>
        <v>#VALUE!</v>
      </c>
      <c r="S2538" s="88">
        <f>-IF(Tabla14[[#This Row],[DIAS HABILES O MORA]]&lt;0,(Tabla14[[#This Row],[VALOR PRESTAMO]]*Tabla14[[#This Row],[% INTERES ]]/30*U2538))</f>
        <v>0</v>
      </c>
      <c r="T2538" s="53" t="e">
        <f>Tabla14[[#This Row],[DEUDA CAPITAL]]+Tabla14[[#This Row],[INTERES  CUOTA]]</f>
        <v>#NUM!</v>
      </c>
      <c r="U2538" s="61" t="str">
        <f t="shared" si="409"/>
        <v/>
      </c>
    </row>
    <row r="2539" spans="9:21" ht="24.75" customHeight="1" x14ac:dyDescent="0.35">
      <c r="I2539" s="42">
        <f t="shared" si="400"/>
        <v>0</v>
      </c>
      <c r="J2539" s="65" t="e">
        <f t="shared" si="401"/>
        <v>#NUM!</v>
      </c>
      <c r="K2539" s="83" t="e">
        <f t="shared" si="402"/>
        <v>#NUM!</v>
      </c>
      <c r="L2539" s="83">
        <f t="shared" si="403"/>
        <v>0</v>
      </c>
      <c r="M2539" s="110" t="str">
        <f t="shared" si="404"/>
        <v/>
      </c>
      <c r="N2539" s="51" t="str">
        <f t="shared" si="405"/>
        <v/>
      </c>
      <c r="O2539" s="52" t="str">
        <f t="shared" si="406"/>
        <v/>
      </c>
      <c r="P2539" s="88">
        <f t="shared" si="407"/>
        <v>0</v>
      </c>
      <c r="Q2539" s="88">
        <f t="shared" si="408"/>
        <v>0</v>
      </c>
      <c r="R2539" s="88" t="e">
        <f>-IF(Tabla14[[#This Row],[DIAS HABILES O MORA]]&lt;0,(Tabla14[[#This Row],[VALOR PRESTAMO]]*Tabla14[[#This Row],[% INTERES ]]/30*U2539))+Tabla14[[#This Row],[VALOR CUOTAS]]</f>
        <v>#VALUE!</v>
      </c>
      <c r="S2539" s="88">
        <f>-IF(Tabla14[[#This Row],[DIAS HABILES O MORA]]&lt;0,(Tabla14[[#This Row],[VALOR PRESTAMO]]*Tabla14[[#This Row],[% INTERES ]]/30*U2539))</f>
        <v>0</v>
      </c>
      <c r="T2539" s="53" t="e">
        <f>Tabla14[[#This Row],[DEUDA CAPITAL]]+Tabla14[[#This Row],[INTERES  CUOTA]]</f>
        <v>#NUM!</v>
      </c>
      <c r="U2539" s="61" t="str">
        <f t="shared" si="409"/>
        <v/>
      </c>
    </row>
    <row r="2540" spans="9:21" ht="24.75" customHeight="1" x14ac:dyDescent="0.35">
      <c r="I2540" s="42">
        <f t="shared" si="400"/>
        <v>0</v>
      </c>
      <c r="J2540" s="65" t="e">
        <f t="shared" si="401"/>
        <v>#NUM!</v>
      </c>
      <c r="K2540" s="83" t="e">
        <f t="shared" si="402"/>
        <v>#NUM!</v>
      </c>
      <c r="L2540" s="83">
        <f t="shared" si="403"/>
        <v>0</v>
      </c>
      <c r="M2540" s="110" t="str">
        <f t="shared" si="404"/>
        <v/>
      </c>
      <c r="N2540" s="51" t="str">
        <f t="shared" si="405"/>
        <v/>
      </c>
      <c r="O2540" s="52" t="str">
        <f t="shared" si="406"/>
        <v/>
      </c>
      <c r="P2540" s="88">
        <f t="shared" si="407"/>
        <v>0</v>
      </c>
      <c r="Q2540" s="88">
        <f t="shared" si="408"/>
        <v>0</v>
      </c>
      <c r="R2540" s="88" t="e">
        <f>-IF(Tabla14[[#This Row],[DIAS HABILES O MORA]]&lt;0,(Tabla14[[#This Row],[VALOR PRESTAMO]]*Tabla14[[#This Row],[% INTERES ]]/30*U2540))+Tabla14[[#This Row],[VALOR CUOTAS]]</f>
        <v>#VALUE!</v>
      </c>
      <c r="S2540" s="88">
        <f>-IF(Tabla14[[#This Row],[DIAS HABILES O MORA]]&lt;0,(Tabla14[[#This Row],[VALOR PRESTAMO]]*Tabla14[[#This Row],[% INTERES ]]/30*U2540))</f>
        <v>0</v>
      </c>
      <c r="T2540" s="53" t="e">
        <f>Tabla14[[#This Row],[DEUDA CAPITAL]]+Tabla14[[#This Row],[INTERES  CUOTA]]</f>
        <v>#NUM!</v>
      </c>
      <c r="U2540" s="61" t="str">
        <f t="shared" si="409"/>
        <v/>
      </c>
    </row>
    <row r="2541" spans="9:21" ht="24.75" customHeight="1" x14ac:dyDescent="0.35">
      <c r="I2541" s="42">
        <f t="shared" si="400"/>
        <v>0</v>
      </c>
      <c r="J2541" s="65" t="e">
        <f t="shared" si="401"/>
        <v>#NUM!</v>
      </c>
      <c r="K2541" s="83" t="e">
        <f t="shared" si="402"/>
        <v>#NUM!</v>
      </c>
      <c r="L2541" s="83">
        <f t="shared" si="403"/>
        <v>0</v>
      </c>
      <c r="M2541" s="110" t="str">
        <f t="shared" si="404"/>
        <v/>
      </c>
      <c r="N2541" s="51" t="str">
        <f t="shared" si="405"/>
        <v/>
      </c>
      <c r="O2541" s="52" t="str">
        <f t="shared" si="406"/>
        <v/>
      </c>
      <c r="P2541" s="88">
        <f t="shared" si="407"/>
        <v>0</v>
      </c>
      <c r="Q2541" s="88">
        <f t="shared" si="408"/>
        <v>0</v>
      </c>
      <c r="R2541" s="88" t="e">
        <f>-IF(Tabla14[[#This Row],[DIAS HABILES O MORA]]&lt;0,(Tabla14[[#This Row],[VALOR PRESTAMO]]*Tabla14[[#This Row],[% INTERES ]]/30*U2541))+Tabla14[[#This Row],[VALOR CUOTAS]]</f>
        <v>#VALUE!</v>
      </c>
      <c r="S2541" s="88">
        <f>-IF(Tabla14[[#This Row],[DIAS HABILES O MORA]]&lt;0,(Tabla14[[#This Row],[VALOR PRESTAMO]]*Tabla14[[#This Row],[% INTERES ]]/30*U2541))</f>
        <v>0</v>
      </c>
      <c r="T2541" s="53" t="e">
        <f>Tabla14[[#This Row],[DEUDA CAPITAL]]+Tabla14[[#This Row],[INTERES  CUOTA]]</f>
        <v>#NUM!</v>
      </c>
      <c r="U2541" s="61" t="str">
        <f t="shared" si="409"/>
        <v/>
      </c>
    </row>
    <row r="2542" spans="9:21" ht="24.75" customHeight="1" x14ac:dyDescent="0.35">
      <c r="I2542" s="42">
        <f t="shared" si="400"/>
        <v>0</v>
      </c>
      <c r="J2542" s="65" t="e">
        <f t="shared" si="401"/>
        <v>#NUM!</v>
      </c>
      <c r="K2542" s="83" t="e">
        <f t="shared" si="402"/>
        <v>#NUM!</v>
      </c>
      <c r="L2542" s="83">
        <f t="shared" si="403"/>
        <v>0</v>
      </c>
      <c r="M2542" s="110" t="str">
        <f t="shared" si="404"/>
        <v/>
      </c>
      <c r="N2542" s="51" t="str">
        <f t="shared" si="405"/>
        <v/>
      </c>
      <c r="O2542" s="52" t="str">
        <f t="shared" si="406"/>
        <v/>
      </c>
      <c r="P2542" s="88">
        <f t="shared" si="407"/>
        <v>0</v>
      </c>
      <c r="Q2542" s="88">
        <f t="shared" si="408"/>
        <v>0</v>
      </c>
      <c r="R2542" s="88" t="e">
        <f>-IF(Tabla14[[#This Row],[DIAS HABILES O MORA]]&lt;0,(Tabla14[[#This Row],[VALOR PRESTAMO]]*Tabla14[[#This Row],[% INTERES ]]/30*U2542))+Tabla14[[#This Row],[VALOR CUOTAS]]</f>
        <v>#VALUE!</v>
      </c>
      <c r="S2542" s="88">
        <f>-IF(Tabla14[[#This Row],[DIAS HABILES O MORA]]&lt;0,(Tabla14[[#This Row],[VALOR PRESTAMO]]*Tabla14[[#This Row],[% INTERES ]]/30*U2542))</f>
        <v>0</v>
      </c>
      <c r="T2542" s="53" t="e">
        <f>Tabla14[[#This Row],[DEUDA CAPITAL]]+Tabla14[[#This Row],[INTERES  CUOTA]]</f>
        <v>#NUM!</v>
      </c>
      <c r="U2542" s="61" t="str">
        <f t="shared" si="409"/>
        <v/>
      </c>
    </row>
    <row r="2543" spans="9:21" ht="24.75" customHeight="1" x14ac:dyDescent="0.35">
      <c r="I2543" s="42">
        <f t="shared" si="400"/>
        <v>0</v>
      </c>
      <c r="J2543" s="65" t="e">
        <f t="shared" si="401"/>
        <v>#NUM!</v>
      </c>
      <c r="K2543" s="83" t="e">
        <f t="shared" si="402"/>
        <v>#NUM!</v>
      </c>
      <c r="L2543" s="83">
        <f t="shared" si="403"/>
        <v>0</v>
      </c>
      <c r="M2543" s="110" t="str">
        <f t="shared" si="404"/>
        <v/>
      </c>
      <c r="N2543" s="51" t="str">
        <f t="shared" si="405"/>
        <v/>
      </c>
      <c r="O2543" s="52" t="str">
        <f t="shared" si="406"/>
        <v/>
      </c>
      <c r="P2543" s="88">
        <f t="shared" si="407"/>
        <v>0</v>
      </c>
      <c r="Q2543" s="88">
        <f t="shared" si="408"/>
        <v>0</v>
      </c>
      <c r="R2543" s="88" t="e">
        <f>-IF(Tabla14[[#This Row],[DIAS HABILES O MORA]]&lt;0,(Tabla14[[#This Row],[VALOR PRESTAMO]]*Tabla14[[#This Row],[% INTERES ]]/30*U2543))+Tabla14[[#This Row],[VALOR CUOTAS]]</f>
        <v>#VALUE!</v>
      </c>
      <c r="S2543" s="88">
        <f>-IF(Tabla14[[#This Row],[DIAS HABILES O MORA]]&lt;0,(Tabla14[[#This Row],[VALOR PRESTAMO]]*Tabla14[[#This Row],[% INTERES ]]/30*U2543))</f>
        <v>0</v>
      </c>
      <c r="T2543" s="53" t="e">
        <f>Tabla14[[#This Row],[DEUDA CAPITAL]]+Tabla14[[#This Row],[INTERES  CUOTA]]</f>
        <v>#NUM!</v>
      </c>
      <c r="U2543" s="61" t="str">
        <f t="shared" si="409"/>
        <v/>
      </c>
    </row>
    <row r="2544" spans="9:21" ht="24.75" customHeight="1" x14ac:dyDescent="0.35">
      <c r="I2544" s="42">
        <f t="shared" si="400"/>
        <v>0</v>
      </c>
      <c r="J2544" s="65" t="e">
        <f t="shared" si="401"/>
        <v>#NUM!</v>
      </c>
      <c r="K2544" s="83" t="e">
        <f t="shared" si="402"/>
        <v>#NUM!</v>
      </c>
      <c r="L2544" s="83">
        <f t="shared" si="403"/>
        <v>0</v>
      </c>
      <c r="M2544" s="110" t="str">
        <f t="shared" si="404"/>
        <v/>
      </c>
      <c r="N2544" s="51" t="str">
        <f t="shared" si="405"/>
        <v/>
      </c>
      <c r="O2544" s="52" t="str">
        <f t="shared" si="406"/>
        <v/>
      </c>
      <c r="P2544" s="88">
        <f t="shared" si="407"/>
        <v>0</v>
      </c>
      <c r="Q2544" s="88">
        <f t="shared" si="408"/>
        <v>0</v>
      </c>
      <c r="R2544" s="88" t="e">
        <f>-IF(Tabla14[[#This Row],[DIAS HABILES O MORA]]&lt;0,(Tabla14[[#This Row],[VALOR PRESTAMO]]*Tabla14[[#This Row],[% INTERES ]]/30*U2544))+Tabla14[[#This Row],[VALOR CUOTAS]]</f>
        <v>#VALUE!</v>
      </c>
      <c r="S2544" s="88">
        <f>-IF(Tabla14[[#This Row],[DIAS HABILES O MORA]]&lt;0,(Tabla14[[#This Row],[VALOR PRESTAMO]]*Tabla14[[#This Row],[% INTERES ]]/30*U2544))</f>
        <v>0</v>
      </c>
      <c r="T2544" s="53" t="e">
        <f>Tabla14[[#This Row],[DEUDA CAPITAL]]+Tabla14[[#This Row],[INTERES  CUOTA]]</f>
        <v>#NUM!</v>
      </c>
      <c r="U2544" s="61" t="str">
        <f t="shared" si="409"/>
        <v/>
      </c>
    </row>
    <row r="2545" spans="9:21" ht="24.75" customHeight="1" x14ac:dyDescent="0.35">
      <c r="I2545" s="42">
        <f t="shared" si="400"/>
        <v>0</v>
      </c>
      <c r="J2545" s="65" t="e">
        <f t="shared" si="401"/>
        <v>#NUM!</v>
      </c>
      <c r="K2545" s="83" t="e">
        <f t="shared" si="402"/>
        <v>#NUM!</v>
      </c>
      <c r="L2545" s="83">
        <f t="shared" si="403"/>
        <v>0</v>
      </c>
      <c r="M2545" s="110" t="str">
        <f t="shared" si="404"/>
        <v/>
      </c>
      <c r="N2545" s="51" t="str">
        <f t="shared" si="405"/>
        <v/>
      </c>
      <c r="O2545" s="52" t="str">
        <f t="shared" si="406"/>
        <v/>
      </c>
      <c r="P2545" s="88">
        <f t="shared" si="407"/>
        <v>0</v>
      </c>
      <c r="Q2545" s="88">
        <f t="shared" si="408"/>
        <v>0</v>
      </c>
      <c r="R2545" s="88" t="e">
        <f>-IF(Tabla14[[#This Row],[DIAS HABILES O MORA]]&lt;0,(Tabla14[[#This Row],[VALOR PRESTAMO]]*Tabla14[[#This Row],[% INTERES ]]/30*U2545))+Tabla14[[#This Row],[VALOR CUOTAS]]</f>
        <v>#VALUE!</v>
      </c>
      <c r="S2545" s="88">
        <f>-IF(Tabla14[[#This Row],[DIAS HABILES O MORA]]&lt;0,(Tabla14[[#This Row],[VALOR PRESTAMO]]*Tabla14[[#This Row],[% INTERES ]]/30*U2545))</f>
        <v>0</v>
      </c>
      <c r="T2545" s="53" t="e">
        <f>Tabla14[[#This Row],[DEUDA CAPITAL]]+Tabla14[[#This Row],[INTERES  CUOTA]]</f>
        <v>#NUM!</v>
      </c>
      <c r="U2545" s="61" t="str">
        <f t="shared" si="409"/>
        <v/>
      </c>
    </row>
    <row r="2546" spans="9:21" ht="24.75" customHeight="1" x14ac:dyDescent="0.35">
      <c r="I2546" s="42">
        <f t="shared" si="400"/>
        <v>0</v>
      </c>
      <c r="J2546" s="65" t="e">
        <f t="shared" si="401"/>
        <v>#NUM!</v>
      </c>
      <c r="K2546" s="83" t="e">
        <f t="shared" si="402"/>
        <v>#NUM!</v>
      </c>
      <c r="L2546" s="83">
        <f t="shared" si="403"/>
        <v>0</v>
      </c>
      <c r="M2546" s="110" t="str">
        <f t="shared" si="404"/>
        <v/>
      </c>
      <c r="N2546" s="51" t="str">
        <f t="shared" si="405"/>
        <v/>
      </c>
      <c r="O2546" s="52" t="str">
        <f t="shared" si="406"/>
        <v/>
      </c>
      <c r="P2546" s="88">
        <f t="shared" si="407"/>
        <v>0</v>
      </c>
      <c r="Q2546" s="88">
        <f t="shared" si="408"/>
        <v>0</v>
      </c>
      <c r="R2546" s="88" t="e">
        <f>-IF(Tabla14[[#This Row],[DIAS HABILES O MORA]]&lt;0,(Tabla14[[#This Row],[VALOR PRESTAMO]]*Tabla14[[#This Row],[% INTERES ]]/30*U2546))+Tabla14[[#This Row],[VALOR CUOTAS]]</f>
        <v>#VALUE!</v>
      </c>
      <c r="S2546" s="88">
        <f>-IF(Tabla14[[#This Row],[DIAS HABILES O MORA]]&lt;0,(Tabla14[[#This Row],[VALOR PRESTAMO]]*Tabla14[[#This Row],[% INTERES ]]/30*U2546))</f>
        <v>0</v>
      </c>
      <c r="T2546" s="53" t="e">
        <f>Tabla14[[#This Row],[DEUDA CAPITAL]]+Tabla14[[#This Row],[INTERES  CUOTA]]</f>
        <v>#NUM!</v>
      </c>
      <c r="U2546" s="61" t="str">
        <f t="shared" si="409"/>
        <v/>
      </c>
    </row>
    <row r="2547" spans="9:21" ht="24.75" customHeight="1" x14ac:dyDescent="0.35">
      <c r="I2547" s="42">
        <f t="shared" si="400"/>
        <v>0</v>
      </c>
      <c r="J2547" s="65" t="e">
        <f t="shared" si="401"/>
        <v>#NUM!</v>
      </c>
      <c r="K2547" s="83" t="e">
        <f t="shared" si="402"/>
        <v>#NUM!</v>
      </c>
      <c r="L2547" s="83">
        <f t="shared" si="403"/>
        <v>0</v>
      </c>
      <c r="M2547" s="110" t="str">
        <f t="shared" si="404"/>
        <v/>
      </c>
      <c r="N2547" s="51" t="str">
        <f t="shared" si="405"/>
        <v/>
      </c>
      <c r="O2547" s="52" t="str">
        <f t="shared" si="406"/>
        <v/>
      </c>
      <c r="P2547" s="88">
        <f t="shared" si="407"/>
        <v>0</v>
      </c>
      <c r="Q2547" s="88">
        <f t="shared" si="408"/>
        <v>0</v>
      </c>
      <c r="R2547" s="88" t="e">
        <f>-IF(Tabla14[[#This Row],[DIAS HABILES O MORA]]&lt;0,(Tabla14[[#This Row],[VALOR PRESTAMO]]*Tabla14[[#This Row],[% INTERES ]]/30*U2547))+Tabla14[[#This Row],[VALOR CUOTAS]]</f>
        <v>#VALUE!</v>
      </c>
      <c r="S2547" s="88">
        <f>-IF(Tabla14[[#This Row],[DIAS HABILES O MORA]]&lt;0,(Tabla14[[#This Row],[VALOR PRESTAMO]]*Tabla14[[#This Row],[% INTERES ]]/30*U2547))</f>
        <v>0</v>
      </c>
      <c r="T2547" s="53" t="e">
        <f>Tabla14[[#This Row],[DEUDA CAPITAL]]+Tabla14[[#This Row],[INTERES  CUOTA]]</f>
        <v>#NUM!</v>
      </c>
      <c r="U2547" s="61" t="str">
        <f t="shared" si="409"/>
        <v/>
      </c>
    </row>
    <row r="2548" spans="9:21" ht="24.75" customHeight="1" x14ac:dyDescent="0.35">
      <c r="I2548" s="42">
        <f t="shared" si="400"/>
        <v>0</v>
      </c>
      <c r="J2548" s="65" t="e">
        <f t="shared" si="401"/>
        <v>#NUM!</v>
      </c>
      <c r="K2548" s="83" t="e">
        <f t="shared" si="402"/>
        <v>#NUM!</v>
      </c>
      <c r="L2548" s="83">
        <f t="shared" si="403"/>
        <v>0</v>
      </c>
      <c r="M2548" s="110" t="str">
        <f t="shared" si="404"/>
        <v/>
      </c>
      <c r="N2548" s="51" t="str">
        <f t="shared" si="405"/>
        <v/>
      </c>
      <c r="O2548" s="52" t="str">
        <f t="shared" si="406"/>
        <v/>
      </c>
      <c r="P2548" s="88">
        <f t="shared" si="407"/>
        <v>0</v>
      </c>
      <c r="Q2548" s="88">
        <f t="shared" si="408"/>
        <v>0</v>
      </c>
      <c r="R2548" s="88" t="e">
        <f>-IF(Tabla14[[#This Row],[DIAS HABILES O MORA]]&lt;0,(Tabla14[[#This Row],[VALOR PRESTAMO]]*Tabla14[[#This Row],[% INTERES ]]/30*U2548))+Tabla14[[#This Row],[VALOR CUOTAS]]</f>
        <v>#VALUE!</v>
      </c>
      <c r="S2548" s="88">
        <f>-IF(Tabla14[[#This Row],[DIAS HABILES O MORA]]&lt;0,(Tabla14[[#This Row],[VALOR PRESTAMO]]*Tabla14[[#This Row],[% INTERES ]]/30*U2548))</f>
        <v>0</v>
      </c>
      <c r="T2548" s="53" t="e">
        <f>Tabla14[[#This Row],[DEUDA CAPITAL]]+Tabla14[[#This Row],[INTERES  CUOTA]]</f>
        <v>#NUM!</v>
      </c>
      <c r="U2548" s="61" t="str">
        <f t="shared" si="409"/>
        <v/>
      </c>
    </row>
    <row r="2549" spans="9:21" ht="24.75" customHeight="1" x14ac:dyDescent="0.35">
      <c r="I2549" s="42">
        <f t="shared" si="400"/>
        <v>0</v>
      </c>
      <c r="J2549" s="65" t="e">
        <f t="shared" si="401"/>
        <v>#NUM!</v>
      </c>
      <c r="K2549" s="83" t="e">
        <f t="shared" si="402"/>
        <v>#NUM!</v>
      </c>
      <c r="L2549" s="83">
        <f t="shared" si="403"/>
        <v>0</v>
      </c>
      <c r="M2549" s="110" t="str">
        <f t="shared" si="404"/>
        <v/>
      </c>
      <c r="N2549" s="51" t="str">
        <f t="shared" si="405"/>
        <v/>
      </c>
      <c r="O2549" s="52" t="str">
        <f t="shared" si="406"/>
        <v/>
      </c>
      <c r="P2549" s="88">
        <f t="shared" si="407"/>
        <v>0</v>
      </c>
      <c r="Q2549" s="88">
        <f t="shared" si="408"/>
        <v>0</v>
      </c>
      <c r="R2549" s="88" t="e">
        <f>-IF(Tabla14[[#This Row],[DIAS HABILES O MORA]]&lt;0,(Tabla14[[#This Row],[VALOR PRESTAMO]]*Tabla14[[#This Row],[% INTERES ]]/30*U2549))+Tabla14[[#This Row],[VALOR CUOTAS]]</f>
        <v>#VALUE!</v>
      </c>
      <c r="S2549" s="88">
        <f>-IF(Tabla14[[#This Row],[DIAS HABILES O MORA]]&lt;0,(Tabla14[[#This Row],[VALOR PRESTAMO]]*Tabla14[[#This Row],[% INTERES ]]/30*U2549))</f>
        <v>0</v>
      </c>
      <c r="T2549" s="53" t="e">
        <f>Tabla14[[#This Row],[DEUDA CAPITAL]]+Tabla14[[#This Row],[INTERES  CUOTA]]</f>
        <v>#NUM!</v>
      </c>
      <c r="U2549" s="61" t="str">
        <f t="shared" si="409"/>
        <v/>
      </c>
    </row>
    <row r="2550" spans="9:21" ht="24.75" customHeight="1" x14ac:dyDescent="0.35">
      <c r="I2550" s="42">
        <f t="shared" si="400"/>
        <v>0</v>
      </c>
      <c r="J2550" s="65" t="e">
        <f t="shared" si="401"/>
        <v>#NUM!</v>
      </c>
      <c r="K2550" s="83" t="e">
        <f t="shared" si="402"/>
        <v>#NUM!</v>
      </c>
      <c r="L2550" s="83">
        <f t="shared" si="403"/>
        <v>0</v>
      </c>
      <c r="M2550" s="110" t="str">
        <f t="shared" si="404"/>
        <v/>
      </c>
      <c r="N2550" s="51" t="str">
        <f t="shared" si="405"/>
        <v/>
      </c>
      <c r="O2550" s="52" t="str">
        <f t="shared" si="406"/>
        <v/>
      </c>
      <c r="P2550" s="88">
        <f t="shared" si="407"/>
        <v>0</v>
      </c>
      <c r="Q2550" s="88">
        <f t="shared" si="408"/>
        <v>0</v>
      </c>
      <c r="R2550" s="88" t="e">
        <f>-IF(Tabla14[[#This Row],[DIAS HABILES O MORA]]&lt;0,(Tabla14[[#This Row],[VALOR PRESTAMO]]*Tabla14[[#This Row],[% INTERES ]]/30*U2550))+Tabla14[[#This Row],[VALOR CUOTAS]]</f>
        <v>#VALUE!</v>
      </c>
      <c r="S2550" s="88">
        <f>-IF(Tabla14[[#This Row],[DIAS HABILES O MORA]]&lt;0,(Tabla14[[#This Row],[VALOR PRESTAMO]]*Tabla14[[#This Row],[% INTERES ]]/30*U2550))</f>
        <v>0</v>
      </c>
      <c r="T2550" s="53" t="e">
        <f>Tabla14[[#This Row],[DEUDA CAPITAL]]+Tabla14[[#This Row],[INTERES  CUOTA]]</f>
        <v>#NUM!</v>
      </c>
      <c r="U2550" s="61" t="str">
        <f t="shared" si="409"/>
        <v/>
      </c>
    </row>
    <row r="2551" spans="9:21" ht="24.75" customHeight="1" x14ac:dyDescent="0.35">
      <c r="I2551" s="42">
        <f t="shared" si="400"/>
        <v>0</v>
      </c>
      <c r="J2551" s="65" t="e">
        <f t="shared" si="401"/>
        <v>#NUM!</v>
      </c>
      <c r="K2551" s="83" t="e">
        <f t="shared" si="402"/>
        <v>#NUM!</v>
      </c>
      <c r="L2551" s="83">
        <f t="shared" si="403"/>
        <v>0</v>
      </c>
      <c r="M2551" s="110" t="str">
        <f t="shared" si="404"/>
        <v/>
      </c>
      <c r="N2551" s="51" t="str">
        <f t="shared" si="405"/>
        <v/>
      </c>
      <c r="O2551" s="52" t="str">
        <f t="shared" si="406"/>
        <v/>
      </c>
      <c r="P2551" s="88">
        <f t="shared" si="407"/>
        <v>0</v>
      </c>
      <c r="Q2551" s="88">
        <f t="shared" si="408"/>
        <v>0</v>
      </c>
      <c r="R2551" s="88" t="e">
        <f>-IF(Tabla14[[#This Row],[DIAS HABILES O MORA]]&lt;0,(Tabla14[[#This Row],[VALOR PRESTAMO]]*Tabla14[[#This Row],[% INTERES ]]/30*U2551))+Tabla14[[#This Row],[VALOR CUOTAS]]</f>
        <v>#VALUE!</v>
      </c>
      <c r="S2551" s="88">
        <f>-IF(Tabla14[[#This Row],[DIAS HABILES O MORA]]&lt;0,(Tabla14[[#This Row],[VALOR PRESTAMO]]*Tabla14[[#This Row],[% INTERES ]]/30*U2551))</f>
        <v>0</v>
      </c>
      <c r="T2551" s="53" t="e">
        <f>Tabla14[[#This Row],[DEUDA CAPITAL]]+Tabla14[[#This Row],[INTERES  CUOTA]]</f>
        <v>#NUM!</v>
      </c>
      <c r="U2551" s="61" t="str">
        <f t="shared" si="409"/>
        <v/>
      </c>
    </row>
    <row r="2552" spans="9:21" ht="24.75" customHeight="1" x14ac:dyDescent="0.35">
      <c r="I2552" s="42">
        <f t="shared" si="400"/>
        <v>0</v>
      </c>
      <c r="J2552" s="65" t="e">
        <f t="shared" si="401"/>
        <v>#NUM!</v>
      </c>
      <c r="K2552" s="83" t="e">
        <f t="shared" si="402"/>
        <v>#NUM!</v>
      </c>
      <c r="L2552" s="83">
        <f t="shared" si="403"/>
        <v>0</v>
      </c>
      <c r="M2552" s="110" t="str">
        <f t="shared" si="404"/>
        <v/>
      </c>
      <c r="N2552" s="51" t="str">
        <f t="shared" si="405"/>
        <v/>
      </c>
      <c r="O2552" s="52" t="str">
        <f t="shared" si="406"/>
        <v/>
      </c>
      <c r="P2552" s="88">
        <f t="shared" si="407"/>
        <v>0</v>
      </c>
      <c r="Q2552" s="88">
        <f t="shared" si="408"/>
        <v>0</v>
      </c>
      <c r="R2552" s="88" t="e">
        <f>-IF(Tabla14[[#This Row],[DIAS HABILES O MORA]]&lt;0,(Tabla14[[#This Row],[VALOR PRESTAMO]]*Tabla14[[#This Row],[% INTERES ]]/30*U2552))+Tabla14[[#This Row],[VALOR CUOTAS]]</f>
        <v>#VALUE!</v>
      </c>
      <c r="S2552" s="88">
        <f>-IF(Tabla14[[#This Row],[DIAS HABILES O MORA]]&lt;0,(Tabla14[[#This Row],[VALOR PRESTAMO]]*Tabla14[[#This Row],[% INTERES ]]/30*U2552))</f>
        <v>0</v>
      </c>
      <c r="T2552" s="53" t="e">
        <f>Tabla14[[#This Row],[DEUDA CAPITAL]]+Tabla14[[#This Row],[INTERES  CUOTA]]</f>
        <v>#NUM!</v>
      </c>
      <c r="U2552" s="61" t="str">
        <f t="shared" si="409"/>
        <v/>
      </c>
    </row>
    <row r="2553" spans="9:21" ht="24.75" customHeight="1" x14ac:dyDescent="0.35">
      <c r="I2553" s="42">
        <f t="shared" si="400"/>
        <v>0</v>
      </c>
      <c r="J2553" s="65" t="e">
        <f t="shared" si="401"/>
        <v>#NUM!</v>
      </c>
      <c r="K2553" s="83" t="e">
        <f t="shared" si="402"/>
        <v>#NUM!</v>
      </c>
      <c r="L2553" s="83">
        <f t="shared" si="403"/>
        <v>0</v>
      </c>
      <c r="M2553" s="110" t="str">
        <f t="shared" si="404"/>
        <v/>
      </c>
      <c r="N2553" s="51" t="str">
        <f t="shared" si="405"/>
        <v/>
      </c>
      <c r="O2553" s="52" t="str">
        <f t="shared" si="406"/>
        <v/>
      </c>
      <c r="P2553" s="88">
        <f t="shared" si="407"/>
        <v>0</v>
      </c>
      <c r="Q2553" s="88">
        <f t="shared" si="408"/>
        <v>0</v>
      </c>
      <c r="R2553" s="88" t="e">
        <f>-IF(Tabla14[[#This Row],[DIAS HABILES O MORA]]&lt;0,(Tabla14[[#This Row],[VALOR PRESTAMO]]*Tabla14[[#This Row],[% INTERES ]]/30*U2553))+Tabla14[[#This Row],[VALOR CUOTAS]]</f>
        <v>#VALUE!</v>
      </c>
      <c r="S2553" s="88">
        <f>-IF(Tabla14[[#This Row],[DIAS HABILES O MORA]]&lt;0,(Tabla14[[#This Row],[VALOR PRESTAMO]]*Tabla14[[#This Row],[% INTERES ]]/30*U2553))</f>
        <v>0</v>
      </c>
      <c r="T2553" s="53" t="e">
        <f>Tabla14[[#This Row],[DEUDA CAPITAL]]+Tabla14[[#This Row],[INTERES  CUOTA]]</f>
        <v>#NUM!</v>
      </c>
      <c r="U2553" s="61" t="str">
        <f t="shared" si="409"/>
        <v/>
      </c>
    </row>
    <row r="2554" spans="9:21" ht="24.75" customHeight="1" x14ac:dyDescent="0.35">
      <c r="I2554" s="42">
        <f t="shared" si="400"/>
        <v>0</v>
      </c>
      <c r="J2554" s="65" t="e">
        <f t="shared" si="401"/>
        <v>#NUM!</v>
      </c>
      <c r="K2554" s="83" t="e">
        <f t="shared" si="402"/>
        <v>#NUM!</v>
      </c>
      <c r="L2554" s="83">
        <f t="shared" si="403"/>
        <v>0</v>
      </c>
      <c r="M2554" s="110" t="str">
        <f t="shared" si="404"/>
        <v/>
      </c>
      <c r="N2554" s="51" t="str">
        <f t="shared" si="405"/>
        <v/>
      </c>
      <c r="O2554" s="52" t="str">
        <f t="shared" si="406"/>
        <v/>
      </c>
      <c r="P2554" s="88">
        <f t="shared" si="407"/>
        <v>0</v>
      </c>
      <c r="Q2554" s="88">
        <f t="shared" si="408"/>
        <v>0</v>
      </c>
      <c r="R2554" s="88" t="e">
        <f>-IF(Tabla14[[#This Row],[DIAS HABILES O MORA]]&lt;0,(Tabla14[[#This Row],[VALOR PRESTAMO]]*Tabla14[[#This Row],[% INTERES ]]/30*U2554))+Tabla14[[#This Row],[VALOR CUOTAS]]</f>
        <v>#VALUE!</v>
      </c>
      <c r="S2554" s="88">
        <f>-IF(Tabla14[[#This Row],[DIAS HABILES O MORA]]&lt;0,(Tabla14[[#This Row],[VALOR PRESTAMO]]*Tabla14[[#This Row],[% INTERES ]]/30*U2554))</f>
        <v>0</v>
      </c>
      <c r="T2554" s="53" t="e">
        <f>Tabla14[[#This Row],[DEUDA CAPITAL]]+Tabla14[[#This Row],[INTERES  CUOTA]]</f>
        <v>#NUM!</v>
      </c>
      <c r="U2554" s="61" t="str">
        <f t="shared" si="409"/>
        <v/>
      </c>
    </row>
    <row r="2555" spans="9:21" ht="24.75" customHeight="1" x14ac:dyDescent="0.35">
      <c r="I2555" s="42">
        <f t="shared" si="400"/>
        <v>0</v>
      </c>
      <c r="J2555" s="65" t="e">
        <f t="shared" si="401"/>
        <v>#NUM!</v>
      </c>
      <c r="K2555" s="83" t="e">
        <f t="shared" si="402"/>
        <v>#NUM!</v>
      </c>
      <c r="L2555" s="83">
        <f t="shared" si="403"/>
        <v>0</v>
      </c>
      <c r="M2555" s="110" t="str">
        <f t="shared" si="404"/>
        <v/>
      </c>
      <c r="N2555" s="51" t="str">
        <f t="shared" si="405"/>
        <v/>
      </c>
      <c r="O2555" s="52" t="str">
        <f t="shared" si="406"/>
        <v/>
      </c>
      <c r="P2555" s="88">
        <f t="shared" si="407"/>
        <v>0</v>
      </c>
      <c r="Q2555" s="88">
        <f t="shared" si="408"/>
        <v>0</v>
      </c>
      <c r="R2555" s="88" t="e">
        <f>-IF(Tabla14[[#This Row],[DIAS HABILES O MORA]]&lt;0,(Tabla14[[#This Row],[VALOR PRESTAMO]]*Tabla14[[#This Row],[% INTERES ]]/30*U2555))+Tabla14[[#This Row],[VALOR CUOTAS]]</f>
        <v>#VALUE!</v>
      </c>
      <c r="S2555" s="88">
        <f>-IF(Tabla14[[#This Row],[DIAS HABILES O MORA]]&lt;0,(Tabla14[[#This Row],[VALOR PRESTAMO]]*Tabla14[[#This Row],[% INTERES ]]/30*U2555))</f>
        <v>0</v>
      </c>
      <c r="T2555" s="53" t="e">
        <f>Tabla14[[#This Row],[DEUDA CAPITAL]]+Tabla14[[#This Row],[INTERES  CUOTA]]</f>
        <v>#NUM!</v>
      </c>
      <c r="U2555" s="61" t="str">
        <f t="shared" si="409"/>
        <v/>
      </c>
    </row>
    <row r="2556" spans="9:21" ht="24.75" customHeight="1" x14ac:dyDescent="0.35">
      <c r="I2556" s="42">
        <f t="shared" si="400"/>
        <v>0</v>
      </c>
      <c r="J2556" s="65" t="e">
        <f t="shared" si="401"/>
        <v>#NUM!</v>
      </c>
      <c r="K2556" s="83" t="e">
        <f t="shared" si="402"/>
        <v>#NUM!</v>
      </c>
      <c r="L2556" s="83">
        <f t="shared" si="403"/>
        <v>0</v>
      </c>
      <c r="M2556" s="110" t="str">
        <f t="shared" si="404"/>
        <v/>
      </c>
      <c r="N2556" s="51" t="str">
        <f t="shared" si="405"/>
        <v/>
      </c>
      <c r="O2556" s="52" t="str">
        <f t="shared" si="406"/>
        <v/>
      </c>
      <c r="P2556" s="88">
        <f t="shared" si="407"/>
        <v>0</v>
      </c>
      <c r="Q2556" s="88">
        <f t="shared" si="408"/>
        <v>0</v>
      </c>
      <c r="R2556" s="88" t="e">
        <f>-IF(Tabla14[[#This Row],[DIAS HABILES O MORA]]&lt;0,(Tabla14[[#This Row],[VALOR PRESTAMO]]*Tabla14[[#This Row],[% INTERES ]]/30*U2556))+Tabla14[[#This Row],[VALOR CUOTAS]]</f>
        <v>#VALUE!</v>
      </c>
      <c r="S2556" s="88">
        <f>-IF(Tabla14[[#This Row],[DIAS HABILES O MORA]]&lt;0,(Tabla14[[#This Row],[VALOR PRESTAMO]]*Tabla14[[#This Row],[% INTERES ]]/30*U2556))</f>
        <v>0</v>
      </c>
      <c r="T2556" s="53" t="e">
        <f>Tabla14[[#This Row],[DEUDA CAPITAL]]+Tabla14[[#This Row],[INTERES  CUOTA]]</f>
        <v>#NUM!</v>
      </c>
      <c r="U2556" s="61" t="str">
        <f t="shared" si="409"/>
        <v/>
      </c>
    </row>
    <row r="2557" spans="9:21" ht="24.75" customHeight="1" x14ac:dyDescent="0.35">
      <c r="I2557" s="42">
        <f t="shared" si="400"/>
        <v>0</v>
      </c>
      <c r="J2557" s="65" t="e">
        <f t="shared" si="401"/>
        <v>#NUM!</v>
      </c>
      <c r="K2557" s="83" t="e">
        <f t="shared" si="402"/>
        <v>#NUM!</v>
      </c>
      <c r="L2557" s="83">
        <f t="shared" si="403"/>
        <v>0</v>
      </c>
      <c r="M2557" s="110" t="str">
        <f t="shared" si="404"/>
        <v/>
      </c>
      <c r="N2557" s="51" t="str">
        <f t="shared" si="405"/>
        <v/>
      </c>
      <c r="O2557" s="52" t="str">
        <f t="shared" si="406"/>
        <v/>
      </c>
      <c r="P2557" s="88">
        <f t="shared" si="407"/>
        <v>0</v>
      </c>
      <c r="Q2557" s="88">
        <f t="shared" si="408"/>
        <v>0</v>
      </c>
      <c r="R2557" s="88" t="e">
        <f>-IF(Tabla14[[#This Row],[DIAS HABILES O MORA]]&lt;0,(Tabla14[[#This Row],[VALOR PRESTAMO]]*Tabla14[[#This Row],[% INTERES ]]/30*U2557))+Tabla14[[#This Row],[VALOR CUOTAS]]</f>
        <v>#VALUE!</v>
      </c>
      <c r="S2557" s="88">
        <f>-IF(Tabla14[[#This Row],[DIAS HABILES O MORA]]&lt;0,(Tabla14[[#This Row],[VALOR PRESTAMO]]*Tabla14[[#This Row],[% INTERES ]]/30*U2557))</f>
        <v>0</v>
      </c>
      <c r="T2557" s="53" t="e">
        <f>Tabla14[[#This Row],[DEUDA CAPITAL]]+Tabla14[[#This Row],[INTERES  CUOTA]]</f>
        <v>#NUM!</v>
      </c>
      <c r="U2557" s="61" t="str">
        <f t="shared" si="409"/>
        <v/>
      </c>
    </row>
    <row r="2558" spans="9:21" ht="24.75" customHeight="1" x14ac:dyDescent="0.35">
      <c r="I2558" s="42">
        <f t="shared" si="400"/>
        <v>0</v>
      </c>
      <c r="J2558" s="65" t="e">
        <f t="shared" si="401"/>
        <v>#NUM!</v>
      </c>
      <c r="K2558" s="83" t="e">
        <f t="shared" si="402"/>
        <v>#NUM!</v>
      </c>
      <c r="L2558" s="83">
        <f t="shared" si="403"/>
        <v>0</v>
      </c>
      <c r="M2558" s="110" t="str">
        <f t="shared" si="404"/>
        <v/>
      </c>
      <c r="N2558" s="51" t="str">
        <f t="shared" si="405"/>
        <v/>
      </c>
      <c r="O2558" s="52" t="str">
        <f t="shared" si="406"/>
        <v/>
      </c>
      <c r="P2558" s="88">
        <f t="shared" si="407"/>
        <v>0</v>
      </c>
      <c r="Q2558" s="88">
        <f t="shared" si="408"/>
        <v>0</v>
      </c>
      <c r="R2558" s="88" t="e">
        <f>-IF(Tabla14[[#This Row],[DIAS HABILES O MORA]]&lt;0,(Tabla14[[#This Row],[VALOR PRESTAMO]]*Tabla14[[#This Row],[% INTERES ]]/30*U2558))+Tabla14[[#This Row],[VALOR CUOTAS]]</f>
        <v>#VALUE!</v>
      </c>
      <c r="S2558" s="88">
        <f>-IF(Tabla14[[#This Row],[DIAS HABILES O MORA]]&lt;0,(Tabla14[[#This Row],[VALOR PRESTAMO]]*Tabla14[[#This Row],[% INTERES ]]/30*U2558))</f>
        <v>0</v>
      </c>
      <c r="T2558" s="53" t="e">
        <f>Tabla14[[#This Row],[DEUDA CAPITAL]]+Tabla14[[#This Row],[INTERES  CUOTA]]</f>
        <v>#NUM!</v>
      </c>
      <c r="U2558" s="61" t="str">
        <f t="shared" si="409"/>
        <v/>
      </c>
    </row>
    <row r="2559" spans="9:21" ht="24.75" customHeight="1" x14ac:dyDescent="0.35">
      <c r="I2559" s="42">
        <f t="shared" si="400"/>
        <v>0</v>
      </c>
      <c r="J2559" s="65" t="e">
        <f t="shared" si="401"/>
        <v>#NUM!</v>
      </c>
      <c r="K2559" s="83" t="e">
        <f t="shared" si="402"/>
        <v>#NUM!</v>
      </c>
      <c r="L2559" s="83">
        <f t="shared" si="403"/>
        <v>0</v>
      </c>
      <c r="M2559" s="110" t="str">
        <f t="shared" si="404"/>
        <v/>
      </c>
      <c r="N2559" s="51" t="str">
        <f t="shared" si="405"/>
        <v/>
      </c>
      <c r="O2559" s="52" t="str">
        <f t="shared" si="406"/>
        <v/>
      </c>
      <c r="P2559" s="88">
        <f t="shared" si="407"/>
        <v>0</v>
      </c>
      <c r="Q2559" s="88">
        <f t="shared" si="408"/>
        <v>0</v>
      </c>
      <c r="R2559" s="88" t="e">
        <f>-IF(Tabla14[[#This Row],[DIAS HABILES O MORA]]&lt;0,(Tabla14[[#This Row],[VALOR PRESTAMO]]*Tabla14[[#This Row],[% INTERES ]]/30*U2559))+Tabla14[[#This Row],[VALOR CUOTAS]]</f>
        <v>#VALUE!</v>
      </c>
      <c r="S2559" s="88">
        <f>-IF(Tabla14[[#This Row],[DIAS HABILES O MORA]]&lt;0,(Tabla14[[#This Row],[VALOR PRESTAMO]]*Tabla14[[#This Row],[% INTERES ]]/30*U2559))</f>
        <v>0</v>
      </c>
      <c r="T2559" s="53" t="e">
        <f>Tabla14[[#This Row],[DEUDA CAPITAL]]+Tabla14[[#This Row],[INTERES  CUOTA]]</f>
        <v>#NUM!</v>
      </c>
      <c r="U2559" s="61" t="str">
        <f t="shared" si="409"/>
        <v/>
      </c>
    </row>
    <row r="2560" spans="9:21" ht="24.75" customHeight="1" x14ac:dyDescent="0.35">
      <c r="I2560" s="42">
        <f t="shared" si="400"/>
        <v>0</v>
      </c>
      <c r="J2560" s="65" t="e">
        <f t="shared" si="401"/>
        <v>#NUM!</v>
      </c>
      <c r="K2560" s="83" t="e">
        <f t="shared" si="402"/>
        <v>#NUM!</v>
      </c>
      <c r="L2560" s="83">
        <f t="shared" si="403"/>
        <v>0</v>
      </c>
      <c r="M2560" s="110" t="str">
        <f t="shared" si="404"/>
        <v/>
      </c>
      <c r="N2560" s="51" t="str">
        <f t="shared" si="405"/>
        <v/>
      </c>
      <c r="O2560" s="52" t="str">
        <f t="shared" si="406"/>
        <v/>
      </c>
      <c r="P2560" s="88">
        <f t="shared" si="407"/>
        <v>0</v>
      </c>
      <c r="Q2560" s="88">
        <f t="shared" si="408"/>
        <v>0</v>
      </c>
      <c r="R2560" s="88" t="e">
        <f>-IF(Tabla14[[#This Row],[DIAS HABILES O MORA]]&lt;0,(Tabla14[[#This Row],[VALOR PRESTAMO]]*Tabla14[[#This Row],[% INTERES ]]/30*U2560))+Tabla14[[#This Row],[VALOR CUOTAS]]</f>
        <v>#VALUE!</v>
      </c>
      <c r="S2560" s="88">
        <f>-IF(Tabla14[[#This Row],[DIAS HABILES O MORA]]&lt;0,(Tabla14[[#This Row],[VALOR PRESTAMO]]*Tabla14[[#This Row],[% INTERES ]]/30*U2560))</f>
        <v>0</v>
      </c>
      <c r="T2560" s="53" t="e">
        <f>Tabla14[[#This Row],[DEUDA CAPITAL]]+Tabla14[[#This Row],[INTERES  CUOTA]]</f>
        <v>#NUM!</v>
      </c>
      <c r="U2560" s="61" t="str">
        <f t="shared" si="409"/>
        <v/>
      </c>
    </row>
    <row r="2561" spans="9:21" ht="24.75" customHeight="1" x14ac:dyDescent="0.35">
      <c r="I2561" s="42">
        <f t="shared" si="400"/>
        <v>0</v>
      </c>
      <c r="J2561" s="65" t="e">
        <f t="shared" si="401"/>
        <v>#NUM!</v>
      </c>
      <c r="K2561" s="83" t="e">
        <f t="shared" si="402"/>
        <v>#NUM!</v>
      </c>
      <c r="L2561" s="83">
        <f t="shared" si="403"/>
        <v>0</v>
      </c>
      <c r="M2561" s="110" t="str">
        <f t="shared" si="404"/>
        <v/>
      </c>
      <c r="N2561" s="51" t="str">
        <f t="shared" si="405"/>
        <v/>
      </c>
      <c r="O2561" s="52" t="str">
        <f t="shared" si="406"/>
        <v/>
      </c>
      <c r="P2561" s="88">
        <f t="shared" si="407"/>
        <v>0</v>
      </c>
      <c r="Q2561" s="88">
        <f t="shared" si="408"/>
        <v>0</v>
      </c>
      <c r="R2561" s="88" t="e">
        <f>-IF(Tabla14[[#This Row],[DIAS HABILES O MORA]]&lt;0,(Tabla14[[#This Row],[VALOR PRESTAMO]]*Tabla14[[#This Row],[% INTERES ]]/30*U2561))+Tabla14[[#This Row],[VALOR CUOTAS]]</f>
        <v>#VALUE!</v>
      </c>
      <c r="S2561" s="88">
        <f>-IF(Tabla14[[#This Row],[DIAS HABILES O MORA]]&lt;0,(Tabla14[[#This Row],[VALOR PRESTAMO]]*Tabla14[[#This Row],[% INTERES ]]/30*U2561))</f>
        <v>0</v>
      </c>
      <c r="T2561" s="53" t="e">
        <f>Tabla14[[#This Row],[DEUDA CAPITAL]]+Tabla14[[#This Row],[INTERES  CUOTA]]</f>
        <v>#NUM!</v>
      </c>
      <c r="U2561" s="61" t="str">
        <f t="shared" si="409"/>
        <v/>
      </c>
    </row>
    <row r="2562" spans="9:21" ht="24.75" customHeight="1" x14ac:dyDescent="0.35">
      <c r="I2562" s="42">
        <f t="shared" si="400"/>
        <v>0</v>
      </c>
      <c r="J2562" s="65" t="e">
        <f t="shared" si="401"/>
        <v>#NUM!</v>
      </c>
      <c r="K2562" s="83" t="e">
        <f t="shared" si="402"/>
        <v>#NUM!</v>
      </c>
      <c r="L2562" s="83">
        <f t="shared" si="403"/>
        <v>0</v>
      </c>
      <c r="M2562" s="110" t="str">
        <f t="shared" si="404"/>
        <v/>
      </c>
      <c r="N2562" s="51" t="str">
        <f t="shared" si="405"/>
        <v/>
      </c>
      <c r="O2562" s="52" t="str">
        <f t="shared" si="406"/>
        <v/>
      </c>
      <c r="P2562" s="88">
        <f t="shared" si="407"/>
        <v>0</v>
      </c>
      <c r="Q2562" s="88">
        <f t="shared" si="408"/>
        <v>0</v>
      </c>
      <c r="R2562" s="88" t="e">
        <f>-IF(Tabla14[[#This Row],[DIAS HABILES O MORA]]&lt;0,(Tabla14[[#This Row],[VALOR PRESTAMO]]*Tabla14[[#This Row],[% INTERES ]]/30*U2562))+Tabla14[[#This Row],[VALOR CUOTAS]]</f>
        <v>#VALUE!</v>
      </c>
      <c r="S2562" s="88">
        <f>-IF(Tabla14[[#This Row],[DIAS HABILES O MORA]]&lt;0,(Tabla14[[#This Row],[VALOR PRESTAMO]]*Tabla14[[#This Row],[% INTERES ]]/30*U2562))</f>
        <v>0</v>
      </c>
      <c r="T2562" s="53" t="e">
        <f>Tabla14[[#This Row],[DEUDA CAPITAL]]+Tabla14[[#This Row],[INTERES  CUOTA]]</f>
        <v>#NUM!</v>
      </c>
      <c r="U2562" s="61" t="str">
        <f t="shared" si="409"/>
        <v/>
      </c>
    </row>
    <row r="2563" spans="9:21" ht="24.75" customHeight="1" x14ac:dyDescent="0.35">
      <c r="I2563" s="42">
        <f t="shared" si="400"/>
        <v>0</v>
      </c>
      <c r="J2563" s="65" t="e">
        <f t="shared" si="401"/>
        <v>#NUM!</v>
      </c>
      <c r="K2563" s="83" t="e">
        <f t="shared" si="402"/>
        <v>#NUM!</v>
      </c>
      <c r="L2563" s="83">
        <f t="shared" si="403"/>
        <v>0</v>
      </c>
      <c r="M2563" s="110" t="str">
        <f t="shared" si="404"/>
        <v/>
      </c>
      <c r="N2563" s="51" t="str">
        <f t="shared" si="405"/>
        <v/>
      </c>
      <c r="O2563" s="52" t="str">
        <f t="shared" si="406"/>
        <v/>
      </c>
      <c r="P2563" s="88">
        <f t="shared" si="407"/>
        <v>0</v>
      </c>
      <c r="Q2563" s="88">
        <f t="shared" si="408"/>
        <v>0</v>
      </c>
      <c r="R2563" s="88" t="e">
        <f>-IF(Tabla14[[#This Row],[DIAS HABILES O MORA]]&lt;0,(Tabla14[[#This Row],[VALOR PRESTAMO]]*Tabla14[[#This Row],[% INTERES ]]/30*U2563))+Tabla14[[#This Row],[VALOR CUOTAS]]</f>
        <v>#VALUE!</v>
      </c>
      <c r="S2563" s="88">
        <f>-IF(Tabla14[[#This Row],[DIAS HABILES O MORA]]&lt;0,(Tabla14[[#This Row],[VALOR PRESTAMO]]*Tabla14[[#This Row],[% INTERES ]]/30*U2563))</f>
        <v>0</v>
      </c>
      <c r="T2563" s="53" t="e">
        <f>Tabla14[[#This Row],[DEUDA CAPITAL]]+Tabla14[[#This Row],[INTERES  CUOTA]]</f>
        <v>#NUM!</v>
      </c>
      <c r="U2563" s="61" t="str">
        <f t="shared" si="409"/>
        <v/>
      </c>
    </row>
    <row r="2564" spans="9:21" ht="24.75" customHeight="1" x14ac:dyDescent="0.35">
      <c r="I2564" s="42">
        <f t="shared" si="400"/>
        <v>0</v>
      </c>
      <c r="J2564" s="65" t="e">
        <f t="shared" si="401"/>
        <v>#NUM!</v>
      </c>
      <c r="K2564" s="83" t="e">
        <f t="shared" si="402"/>
        <v>#NUM!</v>
      </c>
      <c r="L2564" s="83">
        <f t="shared" si="403"/>
        <v>0</v>
      </c>
      <c r="M2564" s="110" t="str">
        <f t="shared" si="404"/>
        <v/>
      </c>
      <c r="N2564" s="51" t="str">
        <f t="shared" si="405"/>
        <v/>
      </c>
      <c r="O2564" s="52" t="str">
        <f t="shared" si="406"/>
        <v/>
      </c>
      <c r="P2564" s="88">
        <f t="shared" si="407"/>
        <v>0</v>
      </c>
      <c r="Q2564" s="88">
        <f t="shared" si="408"/>
        <v>0</v>
      </c>
      <c r="R2564" s="88" t="e">
        <f>-IF(Tabla14[[#This Row],[DIAS HABILES O MORA]]&lt;0,(Tabla14[[#This Row],[VALOR PRESTAMO]]*Tabla14[[#This Row],[% INTERES ]]/30*U2564))+Tabla14[[#This Row],[VALOR CUOTAS]]</f>
        <v>#VALUE!</v>
      </c>
      <c r="S2564" s="88">
        <f>-IF(Tabla14[[#This Row],[DIAS HABILES O MORA]]&lt;0,(Tabla14[[#This Row],[VALOR PRESTAMO]]*Tabla14[[#This Row],[% INTERES ]]/30*U2564))</f>
        <v>0</v>
      </c>
      <c r="T2564" s="53" t="e">
        <f>Tabla14[[#This Row],[DEUDA CAPITAL]]+Tabla14[[#This Row],[INTERES  CUOTA]]</f>
        <v>#NUM!</v>
      </c>
      <c r="U2564" s="61" t="str">
        <f t="shared" si="409"/>
        <v/>
      </c>
    </row>
    <row r="2565" spans="9:21" ht="24.75" customHeight="1" x14ac:dyDescent="0.35">
      <c r="I2565" s="42">
        <f t="shared" si="400"/>
        <v>0</v>
      </c>
      <c r="J2565" s="65" t="e">
        <f t="shared" si="401"/>
        <v>#NUM!</v>
      </c>
      <c r="K2565" s="83" t="e">
        <f t="shared" si="402"/>
        <v>#NUM!</v>
      </c>
      <c r="L2565" s="83">
        <f t="shared" si="403"/>
        <v>0</v>
      </c>
      <c r="M2565" s="110" t="str">
        <f t="shared" si="404"/>
        <v/>
      </c>
      <c r="N2565" s="51" t="str">
        <f t="shared" si="405"/>
        <v/>
      </c>
      <c r="O2565" s="52" t="str">
        <f t="shared" si="406"/>
        <v/>
      </c>
      <c r="P2565" s="88">
        <f t="shared" si="407"/>
        <v>0</v>
      </c>
      <c r="Q2565" s="88">
        <f t="shared" si="408"/>
        <v>0</v>
      </c>
      <c r="R2565" s="88" t="e">
        <f>-IF(Tabla14[[#This Row],[DIAS HABILES O MORA]]&lt;0,(Tabla14[[#This Row],[VALOR PRESTAMO]]*Tabla14[[#This Row],[% INTERES ]]/30*U2565))+Tabla14[[#This Row],[VALOR CUOTAS]]</f>
        <v>#VALUE!</v>
      </c>
      <c r="S2565" s="88">
        <f>-IF(Tabla14[[#This Row],[DIAS HABILES O MORA]]&lt;0,(Tabla14[[#This Row],[VALOR PRESTAMO]]*Tabla14[[#This Row],[% INTERES ]]/30*U2565))</f>
        <v>0</v>
      </c>
      <c r="T2565" s="53" t="e">
        <f>Tabla14[[#This Row],[DEUDA CAPITAL]]+Tabla14[[#This Row],[INTERES  CUOTA]]</f>
        <v>#NUM!</v>
      </c>
      <c r="U2565" s="61" t="str">
        <f t="shared" si="409"/>
        <v/>
      </c>
    </row>
    <row r="2566" spans="9:21" ht="24.75" customHeight="1" x14ac:dyDescent="0.35">
      <c r="I2566" s="42">
        <f t="shared" si="400"/>
        <v>0</v>
      </c>
      <c r="J2566" s="65" t="e">
        <f t="shared" si="401"/>
        <v>#NUM!</v>
      </c>
      <c r="K2566" s="83" t="e">
        <f t="shared" si="402"/>
        <v>#NUM!</v>
      </c>
      <c r="L2566" s="83">
        <f t="shared" si="403"/>
        <v>0</v>
      </c>
      <c r="M2566" s="110" t="str">
        <f t="shared" si="404"/>
        <v/>
      </c>
      <c r="N2566" s="51" t="str">
        <f t="shared" si="405"/>
        <v/>
      </c>
      <c r="O2566" s="52" t="str">
        <f t="shared" si="406"/>
        <v/>
      </c>
      <c r="P2566" s="88">
        <f t="shared" si="407"/>
        <v>0</v>
      </c>
      <c r="Q2566" s="88">
        <f t="shared" si="408"/>
        <v>0</v>
      </c>
      <c r="R2566" s="88" t="e">
        <f>-IF(Tabla14[[#This Row],[DIAS HABILES O MORA]]&lt;0,(Tabla14[[#This Row],[VALOR PRESTAMO]]*Tabla14[[#This Row],[% INTERES ]]/30*U2566))+Tabla14[[#This Row],[VALOR CUOTAS]]</f>
        <v>#VALUE!</v>
      </c>
      <c r="S2566" s="88">
        <f>-IF(Tabla14[[#This Row],[DIAS HABILES O MORA]]&lt;0,(Tabla14[[#This Row],[VALOR PRESTAMO]]*Tabla14[[#This Row],[% INTERES ]]/30*U2566))</f>
        <v>0</v>
      </c>
      <c r="T2566" s="53" t="e">
        <f>Tabla14[[#This Row],[DEUDA CAPITAL]]+Tabla14[[#This Row],[INTERES  CUOTA]]</f>
        <v>#NUM!</v>
      </c>
      <c r="U2566" s="61" t="str">
        <f t="shared" si="409"/>
        <v/>
      </c>
    </row>
    <row r="2567" spans="9:21" ht="24.75" customHeight="1" x14ac:dyDescent="0.35">
      <c r="I2567" s="42">
        <f t="shared" si="400"/>
        <v>0</v>
      </c>
      <c r="J2567" s="65" t="e">
        <f t="shared" si="401"/>
        <v>#NUM!</v>
      </c>
      <c r="K2567" s="83" t="e">
        <f t="shared" si="402"/>
        <v>#NUM!</v>
      </c>
      <c r="L2567" s="83">
        <f t="shared" si="403"/>
        <v>0</v>
      </c>
      <c r="M2567" s="110" t="str">
        <f t="shared" si="404"/>
        <v/>
      </c>
      <c r="N2567" s="51" t="str">
        <f t="shared" si="405"/>
        <v/>
      </c>
      <c r="O2567" s="52" t="str">
        <f t="shared" si="406"/>
        <v/>
      </c>
      <c r="P2567" s="88">
        <f t="shared" si="407"/>
        <v>0</v>
      </c>
      <c r="Q2567" s="88">
        <f t="shared" si="408"/>
        <v>0</v>
      </c>
      <c r="R2567" s="88" t="e">
        <f>-IF(Tabla14[[#This Row],[DIAS HABILES O MORA]]&lt;0,(Tabla14[[#This Row],[VALOR PRESTAMO]]*Tabla14[[#This Row],[% INTERES ]]/30*U2567))+Tabla14[[#This Row],[VALOR CUOTAS]]</f>
        <v>#VALUE!</v>
      </c>
      <c r="S2567" s="88">
        <f>-IF(Tabla14[[#This Row],[DIAS HABILES O MORA]]&lt;0,(Tabla14[[#This Row],[VALOR PRESTAMO]]*Tabla14[[#This Row],[% INTERES ]]/30*U2567))</f>
        <v>0</v>
      </c>
      <c r="T2567" s="53" t="e">
        <f>Tabla14[[#This Row],[DEUDA CAPITAL]]+Tabla14[[#This Row],[INTERES  CUOTA]]</f>
        <v>#NUM!</v>
      </c>
      <c r="U2567" s="61" t="str">
        <f t="shared" si="409"/>
        <v/>
      </c>
    </row>
    <row r="2568" spans="9:21" ht="24.75" customHeight="1" x14ac:dyDescent="0.35">
      <c r="I2568" s="42">
        <f t="shared" si="400"/>
        <v>0</v>
      </c>
      <c r="J2568" s="65" t="e">
        <f t="shared" si="401"/>
        <v>#NUM!</v>
      </c>
      <c r="K2568" s="83" t="e">
        <f t="shared" si="402"/>
        <v>#NUM!</v>
      </c>
      <c r="L2568" s="83">
        <f t="shared" si="403"/>
        <v>0</v>
      </c>
      <c r="M2568" s="110" t="str">
        <f t="shared" si="404"/>
        <v/>
      </c>
      <c r="N2568" s="51" t="str">
        <f t="shared" si="405"/>
        <v/>
      </c>
      <c r="O2568" s="52" t="str">
        <f t="shared" si="406"/>
        <v/>
      </c>
      <c r="P2568" s="88">
        <f t="shared" si="407"/>
        <v>0</v>
      </c>
      <c r="Q2568" s="88">
        <f t="shared" si="408"/>
        <v>0</v>
      </c>
      <c r="R2568" s="88" t="e">
        <f>-IF(Tabla14[[#This Row],[DIAS HABILES O MORA]]&lt;0,(Tabla14[[#This Row],[VALOR PRESTAMO]]*Tabla14[[#This Row],[% INTERES ]]/30*U2568))+Tabla14[[#This Row],[VALOR CUOTAS]]</f>
        <v>#VALUE!</v>
      </c>
      <c r="S2568" s="88">
        <f>-IF(Tabla14[[#This Row],[DIAS HABILES O MORA]]&lt;0,(Tabla14[[#This Row],[VALOR PRESTAMO]]*Tabla14[[#This Row],[% INTERES ]]/30*U2568))</f>
        <v>0</v>
      </c>
      <c r="T2568" s="53" t="e">
        <f>Tabla14[[#This Row],[DEUDA CAPITAL]]+Tabla14[[#This Row],[INTERES  CUOTA]]</f>
        <v>#NUM!</v>
      </c>
      <c r="U2568" s="61" t="str">
        <f t="shared" si="409"/>
        <v/>
      </c>
    </row>
    <row r="2569" spans="9:21" ht="24.75" customHeight="1" x14ac:dyDescent="0.35">
      <c r="I2569" s="42">
        <f t="shared" si="400"/>
        <v>0</v>
      </c>
      <c r="J2569" s="65" t="e">
        <f t="shared" si="401"/>
        <v>#NUM!</v>
      </c>
      <c r="K2569" s="83" t="e">
        <f t="shared" si="402"/>
        <v>#NUM!</v>
      </c>
      <c r="L2569" s="83">
        <f t="shared" si="403"/>
        <v>0</v>
      </c>
      <c r="M2569" s="110" t="str">
        <f t="shared" si="404"/>
        <v/>
      </c>
      <c r="N2569" s="51" t="str">
        <f t="shared" si="405"/>
        <v/>
      </c>
      <c r="O2569" s="52" t="str">
        <f t="shared" si="406"/>
        <v/>
      </c>
      <c r="P2569" s="88">
        <f t="shared" si="407"/>
        <v>0</v>
      </c>
      <c r="Q2569" s="88">
        <f t="shared" si="408"/>
        <v>0</v>
      </c>
      <c r="R2569" s="88" t="e">
        <f>-IF(Tabla14[[#This Row],[DIAS HABILES O MORA]]&lt;0,(Tabla14[[#This Row],[VALOR PRESTAMO]]*Tabla14[[#This Row],[% INTERES ]]/30*U2569))+Tabla14[[#This Row],[VALOR CUOTAS]]</f>
        <v>#VALUE!</v>
      </c>
      <c r="S2569" s="88">
        <f>-IF(Tabla14[[#This Row],[DIAS HABILES O MORA]]&lt;0,(Tabla14[[#This Row],[VALOR PRESTAMO]]*Tabla14[[#This Row],[% INTERES ]]/30*U2569))</f>
        <v>0</v>
      </c>
      <c r="T2569" s="53" t="e">
        <f>Tabla14[[#This Row],[DEUDA CAPITAL]]+Tabla14[[#This Row],[INTERES  CUOTA]]</f>
        <v>#NUM!</v>
      </c>
      <c r="U2569" s="61" t="str">
        <f t="shared" si="409"/>
        <v/>
      </c>
    </row>
    <row r="2570" spans="9:21" ht="24.75" customHeight="1" x14ac:dyDescent="0.35">
      <c r="I2570" s="42">
        <f t="shared" si="400"/>
        <v>0</v>
      </c>
      <c r="J2570" s="65" t="e">
        <f t="shared" si="401"/>
        <v>#NUM!</v>
      </c>
      <c r="K2570" s="83" t="e">
        <f t="shared" si="402"/>
        <v>#NUM!</v>
      </c>
      <c r="L2570" s="83">
        <f t="shared" si="403"/>
        <v>0</v>
      </c>
      <c r="M2570" s="110" t="str">
        <f t="shared" si="404"/>
        <v/>
      </c>
      <c r="N2570" s="51" t="str">
        <f t="shared" si="405"/>
        <v/>
      </c>
      <c r="O2570" s="52" t="str">
        <f t="shared" si="406"/>
        <v/>
      </c>
      <c r="P2570" s="88">
        <f t="shared" si="407"/>
        <v>0</v>
      </c>
      <c r="Q2570" s="88">
        <f t="shared" si="408"/>
        <v>0</v>
      </c>
      <c r="R2570" s="88" t="e">
        <f>-IF(Tabla14[[#This Row],[DIAS HABILES O MORA]]&lt;0,(Tabla14[[#This Row],[VALOR PRESTAMO]]*Tabla14[[#This Row],[% INTERES ]]/30*U2570))+Tabla14[[#This Row],[VALOR CUOTAS]]</f>
        <v>#VALUE!</v>
      </c>
      <c r="S2570" s="88">
        <f>-IF(Tabla14[[#This Row],[DIAS HABILES O MORA]]&lt;0,(Tabla14[[#This Row],[VALOR PRESTAMO]]*Tabla14[[#This Row],[% INTERES ]]/30*U2570))</f>
        <v>0</v>
      </c>
      <c r="T2570" s="53" t="e">
        <f>Tabla14[[#This Row],[DEUDA CAPITAL]]+Tabla14[[#This Row],[INTERES  CUOTA]]</f>
        <v>#NUM!</v>
      </c>
      <c r="U2570" s="61" t="str">
        <f t="shared" si="409"/>
        <v/>
      </c>
    </row>
    <row r="2571" spans="9:21" ht="24.75" customHeight="1" x14ac:dyDescent="0.35">
      <c r="I2571" s="42">
        <f t="shared" si="400"/>
        <v>0</v>
      </c>
      <c r="J2571" s="65" t="e">
        <f t="shared" si="401"/>
        <v>#NUM!</v>
      </c>
      <c r="K2571" s="83" t="e">
        <f t="shared" si="402"/>
        <v>#NUM!</v>
      </c>
      <c r="L2571" s="83">
        <f t="shared" si="403"/>
        <v>0</v>
      </c>
      <c r="M2571" s="110" t="str">
        <f t="shared" si="404"/>
        <v/>
      </c>
      <c r="N2571" s="51" t="str">
        <f t="shared" si="405"/>
        <v/>
      </c>
      <c r="O2571" s="52" t="str">
        <f t="shared" si="406"/>
        <v/>
      </c>
      <c r="P2571" s="88">
        <f t="shared" si="407"/>
        <v>0</v>
      </c>
      <c r="Q2571" s="88">
        <f t="shared" si="408"/>
        <v>0</v>
      </c>
      <c r="R2571" s="88" t="e">
        <f>-IF(Tabla14[[#This Row],[DIAS HABILES O MORA]]&lt;0,(Tabla14[[#This Row],[VALOR PRESTAMO]]*Tabla14[[#This Row],[% INTERES ]]/30*U2571))+Tabla14[[#This Row],[VALOR CUOTAS]]</f>
        <v>#VALUE!</v>
      </c>
      <c r="S2571" s="88">
        <f>-IF(Tabla14[[#This Row],[DIAS HABILES O MORA]]&lt;0,(Tabla14[[#This Row],[VALOR PRESTAMO]]*Tabla14[[#This Row],[% INTERES ]]/30*U2571))</f>
        <v>0</v>
      </c>
      <c r="T2571" s="53" t="e">
        <f>Tabla14[[#This Row],[DEUDA CAPITAL]]+Tabla14[[#This Row],[INTERES  CUOTA]]</f>
        <v>#NUM!</v>
      </c>
      <c r="U2571" s="61" t="str">
        <f t="shared" si="409"/>
        <v/>
      </c>
    </row>
    <row r="2572" spans="9:21" ht="24.75" customHeight="1" x14ac:dyDescent="0.35">
      <c r="I2572" s="42">
        <f t="shared" si="400"/>
        <v>0</v>
      </c>
      <c r="J2572" s="65" t="e">
        <f t="shared" si="401"/>
        <v>#NUM!</v>
      </c>
      <c r="K2572" s="83" t="e">
        <f t="shared" si="402"/>
        <v>#NUM!</v>
      </c>
      <c r="L2572" s="83">
        <f t="shared" si="403"/>
        <v>0</v>
      </c>
      <c r="M2572" s="110" t="str">
        <f t="shared" si="404"/>
        <v/>
      </c>
      <c r="N2572" s="51" t="str">
        <f t="shared" si="405"/>
        <v/>
      </c>
      <c r="O2572" s="52" t="str">
        <f t="shared" si="406"/>
        <v/>
      </c>
      <c r="P2572" s="88">
        <f t="shared" si="407"/>
        <v>0</v>
      </c>
      <c r="Q2572" s="88">
        <f t="shared" si="408"/>
        <v>0</v>
      </c>
      <c r="R2572" s="88" t="e">
        <f>-IF(Tabla14[[#This Row],[DIAS HABILES O MORA]]&lt;0,(Tabla14[[#This Row],[VALOR PRESTAMO]]*Tabla14[[#This Row],[% INTERES ]]/30*U2572))+Tabla14[[#This Row],[VALOR CUOTAS]]</f>
        <v>#VALUE!</v>
      </c>
      <c r="S2572" s="88">
        <f>-IF(Tabla14[[#This Row],[DIAS HABILES O MORA]]&lt;0,(Tabla14[[#This Row],[VALOR PRESTAMO]]*Tabla14[[#This Row],[% INTERES ]]/30*U2572))</f>
        <v>0</v>
      </c>
      <c r="T2572" s="53" t="e">
        <f>Tabla14[[#This Row],[DEUDA CAPITAL]]+Tabla14[[#This Row],[INTERES  CUOTA]]</f>
        <v>#NUM!</v>
      </c>
      <c r="U2572" s="61" t="str">
        <f t="shared" si="409"/>
        <v/>
      </c>
    </row>
    <row r="2573" spans="9:21" ht="24.75" customHeight="1" x14ac:dyDescent="0.35">
      <c r="I2573" s="42">
        <f t="shared" si="400"/>
        <v>0</v>
      </c>
      <c r="J2573" s="65" t="e">
        <f t="shared" si="401"/>
        <v>#NUM!</v>
      </c>
      <c r="K2573" s="83" t="e">
        <f t="shared" si="402"/>
        <v>#NUM!</v>
      </c>
      <c r="L2573" s="83">
        <f t="shared" si="403"/>
        <v>0</v>
      </c>
      <c r="M2573" s="110" t="str">
        <f t="shared" si="404"/>
        <v/>
      </c>
      <c r="N2573" s="51" t="str">
        <f t="shared" si="405"/>
        <v/>
      </c>
      <c r="O2573" s="52" t="str">
        <f t="shared" si="406"/>
        <v/>
      </c>
      <c r="P2573" s="88">
        <f t="shared" si="407"/>
        <v>0</v>
      </c>
      <c r="Q2573" s="88">
        <f t="shared" si="408"/>
        <v>0</v>
      </c>
      <c r="R2573" s="88" t="e">
        <f>-IF(Tabla14[[#This Row],[DIAS HABILES O MORA]]&lt;0,(Tabla14[[#This Row],[VALOR PRESTAMO]]*Tabla14[[#This Row],[% INTERES ]]/30*U2573))+Tabla14[[#This Row],[VALOR CUOTAS]]</f>
        <v>#VALUE!</v>
      </c>
      <c r="S2573" s="88">
        <f>-IF(Tabla14[[#This Row],[DIAS HABILES O MORA]]&lt;0,(Tabla14[[#This Row],[VALOR PRESTAMO]]*Tabla14[[#This Row],[% INTERES ]]/30*U2573))</f>
        <v>0</v>
      </c>
      <c r="T2573" s="53" t="e">
        <f>Tabla14[[#This Row],[DEUDA CAPITAL]]+Tabla14[[#This Row],[INTERES  CUOTA]]</f>
        <v>#NUM!</v>
      </c>
      <c r="U2573" s="61" t="str">
        <f t="shared" si="409"/>
        <v/>
      </c>
    </row>
    <row r="2574" spans="9:21" ht="24.75" customHeight="1" x14ac:dyDescent="0.35">
      <c r="I2574" s="42">
        <f t="shared" si="400"/>
        <v>0</v>
      </c>
      <c r="J2574" s="65" t="e">
        <f t="shared" si="401"/>
        <v>#NUM!</v>
      </c>
      <c r="K2574" s="83" t="e">
        <f t="shared" si="402"/>
        <v>#NUM!</v>
      </c>
      <c r="L2574" s="83">
        <f t="shared" si="403"/>
        <v>0</v>
      </c>
      <c r="M2574" s="110" t="str">
        <f t="shared" si="404"/>
        <v/>
      </c>
      <c r="N2574" s="51" t="str">
        <f t="shared" si="405"/>
        <v/>
      </c>
      <c r="O2574" s="52" t="str">
        <f t="shared" si="406"/>
        <v/>
      </c>
      <c r="P2574" s="88">
        <f t="shared" si="407"/>
        <v>0</v>
      </c>
      <c r="Q2574" s="88">
        <f t="shared" si="408"/>
        <v>0</v>
      </c>
      <c r="R2574" s="88" t="e">
        <f>-IF(Tabla14[[#This Row],[DIAS HABILES O MORA]]&lt;0,(Tabla14[[#This Row],[VALOR PRESTAMO]]*Tabla14[[#This Row],[% INTERES ]]/30*U2574))+Tabla14[[#This Row],[VALOR CUOTAS]]</f>
        <v>#VALUE!</v>
      </c>
      <c r="S2574" s="88">
        <f>-IF(Tabla14[[#This Row],[DIAS HABILES O MORA]]&lt;0,(Tabla14[[#This Row],[VALOR PRESTAMO]]*Tabla14[[#This Row],[% INTERES ]]/30*U2574))</f>
        <v>0</v>
      </c>
      <c r="T2574" s="53" t="e">
        <f>Tabla14[[#This Row],[DEUDA CAPITAL]]+Tabla14[[#This Row],[INTERES  CUOTA]]</f>
        <v>#NUM!</v>
      </c>
      <c r="U2574" s="61" t="str">
        <f t="shared" si="409"/>
        <v/>
      </c>
    </row>
    <row r="2575" spans="9:21" ht="24.75" customHeight="1" x14ac:dyDescent="0.35">
      <c r="I2575" s="42">
        <f t="shared" si="400"/>
        <v>0</v>
      </c>
      <c r="J2575" s="65" t="e">
        <f t="shared" si="401"/>
        <v>#NUM!</v>
      </c>
      <c r="K2575" s="83" t="e">
        <f t="shared" si="402"/>
        <v>#NUM!</v>
      </c>
      <c r="L2575" s="83">
        <f t="shared" si="403"/>
        <v>0</v>
      </c>
      <c r="M2575" s="110" t="str">
        <f t="shared" si="404"/>
        <v/>
      </c>
      <c r="N2575" s="51" t="str">
        <f t="shared" si="405"/>
        <v/>
      </c>
      <c r="O2575" s="52" t="str">
        <f t="shared" si="406"/>
        <v/>
      </c>
      <c r="P2575" s="88">
        <f t="shared" si="407"/>
        <v>0</v>
      </c>
      <c r="Q2575" s="88">
        <f t="shared" si="408"/>
        <v>0</v>
      </c>
      <c r="R2575" s="88" t="e">
        <f>-IF(Tabla14[[#This Row],[DIAS HABILES O MORA]]&lt;0,(Tabla14[[#This Row],[VALOR PRESTAMO]]*Tabla14[[#This Row],[% INTERES ]]/30*U2575))+Tabla14[[#This Row],[VALOR CUOTAS]]</f>
        <v>#VALUE!</v>
      </c>
      <c r="S2575" s="88">
        <f>-IF(Tabla14[[#This Row],[DIAS HABILES O MORA]]&lt;0,(Tabla14[[#This Row],[VALOR PRESTAMO]]*Tabla14[[#This Row],[% INTERES ]]/30*U2575))</f>
        <v>0</v>
      </c>
      <c r="T2575" s="53" t="e">
        <f>Tabla14[[#This Row],[DEUDA CAPITAL]]+Tabla14[[#This Row],[INTERES  CUOTA]]</f>
        <v>#NUM!</v>
      </c>
      <c r="U2575" s="61" t="str">
        <f t="shared" si="409"/>
        <v/>
      </c>
    </row>
    <row r="2576" spans="9:21" ht="24.75" customHeight="1" x14ac:dyDescent="0.35">
      <c r="I2576" s="42">
        <f t="shared" ref="I2576:I2639" si="410">IF(C2576&lt;0,"",IF(Q2576=0,0,IF(G2576=0,H2576+1,IF(H2576&lt;G2576,H2576+1,IF(G2576=H2576,0)))))</f>
        <v>0</v>
      </c>
      <c r="J2576" s="65" t="e">
        <f t="shared" ref="J2576:J2639" si="411">IF(F2576="SOLO INTERES",Q2576*D2576,-IPMT(D2576,I2576,G2576,C2576))</f>
        <v>#NUM!</v>
      </c>
      <c r="K2576" s="83" t="e">
        <f t="shared" ref="K2576:K2639" si="412">IF(F2576="SOLO INTERES",0,-PPMT(D2576,I2576,G2576,C2576))</f>
        <v>#NUM!</v>
      </c>
      <c r="L2576" s="83">
        <f t="shared" ref="L2576:L2639" si="413">IF(F2576="SOLO INTERES",SUM(Y2576:AAE2576),IFERROR(-CUMIPMT(D2576,G2576,C2576,1,H2576,0),0)+SUM(Y2576:WY2576))</f>
        <v>0</v>
      </c>
      <c r="M2576" s="110" t="str">
        <f t="shared" ref="M2576:M2639" si="414">IFERROR(IF(F2576="SOLO INTERES",Q2576*D2576,-PMT(D2576,G2576,C2576,0)),"")</f>
        <v/>
      </c>
      <c r="N2576" s="51" t="str">
        <f t="shared" ref="N2576:N2639" si="415">IF(Q2576=0,"",IF(E2576="MENSUAL",EDATE(B2576,I2576),IF(E2576="QUINCENAL",B2576+(I2576*15),IF(E2576="SEMANAL",B2576+(I2576*7)))))</f>
        <v/>
      </c>
      <c r="O2576" s="52" t="str">
        <f t="shared" ref="O2576:O2639" si="416">IF(C2576=0,"",IF(Q2576&lt;1,"PAGADO",IF(N2576=$A$3,"COBRAR HOY",IF(N2576&lt;$A$3,"EN MORA",IF(N2576&gt;$A$3,"AL DIA")))))</f>
        <v/>
      </c>
      <c r="P2576" s="88">
        <f t="shared" ref="P2576:P2639" si="417">IFERROR(-CUMPRINC(D2576,G2576,C2576,1,H2576,0),0)+W2576</f>
        <v>0</v>
      </c>
      <c r="Q2576" s="88">
        <f t="shared" ref="Q2576:Q2639" si="418">IFERROR(C2576-P2576,"")</f>
        <v>0</v>
      </c>
      <c r="R2576" s="88" t="e">
        <f>-IF(Tabla14[[#This Row],[DIAS HABILES O MORA]]&lt;0,(Tabla14[[#This Row],[VALOR PRESTAMO]]*Tabla14[[#This Row],[% INTERES ]]/30*U2576))+Tabla14[[#This Row],[VALOR CUOTAS]]</f>
        <v>#VALUE!</v>
      </c>
      <c r="S2576" s="88">
        <f>-IF(Tabla14[[#This Row],[DIAS HABILES O MORA]]&lt;0,(Tabla14[[#This Row],[VALOR PRESTAMO]]*Tabla14[[#This Row],[% INTERES ]]/30*U2576))</f>
        <v>0</v>
      </c>
      <c r="T2576" s="53" t="e">
        <f>Tabla14[[#This Row],[DEUDA CAPITAL]]+Tabla14[[#This Row],[INTERES  CUOTA]]</f>
        <v>#NUM!</v>
      </c>
      <c r="U2576" s="61" t="str">
        <f t="shared" ref="U2576:U2639" si="419">IF(O2576="PAGADO","",IFERROR(-IF(C2576=0,"",$A$3-N2576),""))</f>
        <v/>
      </c>
    </row>
    <row r="2577" spans="9:21" ht="24.75" customHeight="1" x14ac:dyDescent="0.35">
      <c r="I2577" s="42">
        <f t="shared" si="410"/>
        <v>0</v>
      </c>
      <c r="J2577" s="65" t="e">
        <f t="shared" si="411"/>
        <v>#NUM!</v>
      </c>
      <c r="K2577" s="83" t="e">
        <f t="shared" si="412"/>
        <v>#NUM!</v>
      </c>
      <c r="L2577" s="83">
        <f t="shared" si="413"/>
        <v>0</v>
      </c>
      <c r="M2577" s="110" t="str">
        <f t="shared" si="414"/>
        <v/>
      </c>
      <c r="N2577" s="51" t="str">
        <f t="shared" si="415"/>
        <v/>
      </c>
      <c r="O2577" s="52" t="str">
        <f t="shared" si="416"/>
        <v/>
      </c>
      <c r="P2577" s="88">
        <f t="shared" si="417"/>
        <v>0</v>
      </c>
      <c r="Q2577" s="88">
        <f t="shared" si="418"/>
        <v>0</v>
      </c>
      <c r="R2577" s="88" t="e">
        <f>-IF(Tabla14[[#This Row],[DIAS HABILES O MORA]]&lt;0,(Tabla14[[#This Row],[VALOR PRESTAMO]]*Tabla14[[#This Row],[% INTERES ]]/30*U2577))+Tabla14[[#This Row],[VALOR CUOTAS]]</f>
        <v>#VALUE!</v>
      </c>
      <c r="S2577" s="88">
        <f>-IF(Tabla14[[#This Row],[DIAS HABILES O MORA]]&lt;0,(Tabla14[[#This Row],[VALOR PRESTAMO]]*Tabla14[[#This Row],[% INTERES ]]/30*U2577))</f>
        <v>0</v>
      </c>
      <c r="T2577" s="53" t="e">
        <f>Tabla14[[#This Row],[DEUDA CAPITAL]]+Tabla14[[#This Row],[INTERES  CUOTA]]</f>
        <v>#NUM!</v>
      </c>
      <c r="U2577" s="61" t="str">
        <f t="shared" si="419"/>
        <v/>
      </c>
    </row>
    <row r="2578" spans="9:21" ht="24.75" customHeight="1" x14ac:dyDescent="0.35">
      <c r="I2578" s="42">
        <f t="shared" si="410"/>
        <v>0</v>
      </c>
      <c r="J2578" s="65" t="e">
        <f t="shared" si="411"/>
        <v>#NUM!</v>
      </c>
      <c r="K2578" s="83" t="e">
        <f t="shared" si="412"/>
        <v>#NUM!</v>
      </c>
      <c r="L2578" s="83">
        <f t="shared" si="413"/>
        <v>0</v>
      </c>
      <c r="M2578" s="110" t="str">
        <f t="shared" si="414"/>
        <v/>
      </c>
      <c r="N2578" s="51" t="str">
        <f t="shared" si="415"/>
        <v/>
      </c>
      <c r="O2578" s="52" t="str">
        <f t="shared" si="416"/>
        <v/>
      </c>
      <c r="P2578" s="88">
        <f t="shared" si="417"/>
        <v>0</v>
      </c>
      <c r="Q2578" s="88">
        <f t="shared" si="418"/>
        <v>0</v>
      </c>
      <c r="R2578" s="88" t="e">
        <f>-IF(Tabla14[[#This Row],[DIAS HABILES O MORA]]&lt;0,(Tabla14[[#This Row],[VALOR PRESTAMO]]*Tabla14[[#This Row],[% INTERES ]]/30*U2578))+Tabla14[[#This Row],[VALOR CUOTAS]]</f>
        <v>#VALUE!</v>
      </c>
      <c r="S2578" s="88">
        <f>-IF(Tabla14[[#This Row],[DIAS HABILES O MORA]]&lt;0,(Tabla14[[#This Row],[VALOR PRESTAMO]]*Tabla14[[#This Row],[% INTERES ]]/30*U2578))</f>
        <v>0</v>
      </c>
      <c r="T2578" s="53" t="e">
        <f>Tabla14[[#This Row],[DEUDA CAPITAL]]+Tabla14[[#This Row],[INTERES  CUOTA]]</f>
        <v>#NUM!</v>
      </c>
      <c r="U2578" s="61" t="str">
        <f t="shared" si="419"/>
        <v/>
      </c>
    </row>
    <row r="2579" spans="9:21" ht="24.75" customHeight="1" x14ac:dyDescent="0.35">
      <c r="I2579" s="42">
        <f t="shared" si="410"/>
        <v>0</v>
      </c>
      <c r="J2579" s="65" t="e">
        <f t="shared" si="411"/>
        <v>#NUM!</v>
      </c>
      <c r="K2579" s="83" t="e">
        <f t="shared" si="412"/>
        <v>#NUM!</v>
      </c>
      <c r="L2579" s="83">
        <f t="shared" si="413"/>
        <v>0</v>
      </c>
      <c r="M2579" s="110" t="str">
        <f t="shared" si="414"/>
        <v/>
      </c>
      <c r="N2579" s="51" t="str">
        <f t="shared" si="415"/>
        <v/>
      </c>
      <c r="O2579" s="52" t="str">
        <f t="shared" si="416"/>
        <v/>
      </c>
      <c r="P2579" s="88">
        <f t="shared" si="417"/>
        <v>0</v>
      </c>
      <c r="Q2579" s="88">
        <f t="shared" si="418"/>
        <v>0</v>
      </c>
      <c r="R2579" s="88" t="e">
        <f>-IF(Tabla14[[#This Row],[DIAS HABILES O MORA]]&lt;0,(Tabla14[[#This Row],[VALOR PRESTAMO]]*Tabla14[[#This Row],[% INTERES ]]/30*U2579))+Tabla14[[#This Row],[VALOR CUOTAS]]</f>
        <v>#VALUE!</v>
      </c>
      <c r="S2579" s="88">
        <f>-IF(Tabla14[[#This Row],[DIAS HABILES O MORA]]&lt;0,(Tabla14[[#This Row],[VALOR PRESTAMO]]*Tabla14[[#This Row],[% INTERES ]]/30*U2579))</f>
        <v>0</v>
      </c>
      <c r="T2579" s="53" t="e">
        <f>Tabla14[[#This Row],[DEUDA CAPITAL]]+Tabla14[[#This Row],[INTERES  CUOTA]]</f>
        <v>#NUM!</v>
      </c>
      <c r="U2579" s="61" t="str">
        <f t="shared" si="419"/>
        <v/>
      </c>
    </row>
    <row r="2580" spans="9:21" ht="24.75" customHeight="1" x14ac:dyDescent="0.35">
      <c r="I2580" s="42">
        <f t="shared" si="410"/>
        <v>0</v>
      </c>
      <c r="J2580" s="65" t="e">
        <f t="shared" si="411"/>
        <v>#NUM!</v>
      </c>
      <c r="K2580" s="83" t="e">
        <f t="shared" si="412"/>
        <v>#NUM!</v>
      </c>
      <c r="L2580" s="83">
        <f t="shared" si="413"/>
        <v>0</v>
      </c>
      <c r="M2580" s="110" t="str">
        <f t="shared" si="414"/>
        <v/>
      </c>
      <c r="N2580" s="51" t="str">
        <f t="shared" si="415"/>
        <v/>
      </c>
      <c r="O2580" s="52" t="str">
        <f t="shared" si="416"/>
        <v/>
      </c>
      <c r="P2580" s="88">
        <f t="shared" si="417"/>
        <v>0</v>
      </c>
      <c r="Q2580" s="88">
        <f t="shared" si="418"/>
        <v>0</v>
      </c>
      <c r="R2580" s="88" t="e">
        <f>-IF(Tabla14[[#This Row],[DIAS HABILES O MORA]]&lt;0,(Tabla14[[#This Row],[VALOR PRESTAMO]]*Tabla14[[#This Row],[% INTERES ]]/30*U2580))+Tabla14[[#This Row],[VALOR CUOTAS]]</f>
        <v>#VALUE!</v>
      </c>
      <c r="S2580" s="88">
        <f>-IF(Tabla14[[#This Row],[DIAS HABILES O MORA]]&lt;0,(Tabla14[[#This Row],[VALOR PRESTAMO]]*Tabla14[[#This Row],[% INTERES ]]/30*U2580))</f>
        <v>0</v>
      </c>
      <c r="T2580" s="53" t="e">
        <f>Tabla14[[#This Row],[DEUDA CAPITAL]]+Tabla14[[#This Row],[INTERES  CUOTA]]</f>
        <v>#NUM!</v>
      </c>
      <c r="U2580" s="61" t="str">
        <f t="shared" si="419"/>
        <v/>
      </c>
    </row>
    <row r="2581" spans="9:21" ht="24.75" customHeight="1" x14ac:dyDescent="0.35">
      <c r="I2581" s="42">
        <f t="shared" si="410"/>
        <v>0</v>
      </c>
      <c r="J2581" s="65" t="e">
        <f t="shared" si="411"/>
        <v>#NUM!</v>
      </c>
      <c r="K2581" s="83" t="e">
        <f t="shared" si="412"/>
        <v>#NUM!</v>
      </c>
      <c r="L2581" s="83">
        <f t="shared" si="413"/>
        <v>0</v>
      </c>
      <c r="M2581" s="110" t="str">
        <f t="shared" si="414"/>
        <v/>
      </c>
      <c r="N2581" s="51" t="str">
        <f t="shared" si="415"/>
        <v/>
      </c>
      <c r="O2581" s="52" t="str">
        <f t="shared" si="416"/>
        <v/>
      </c>
      <c r="P2581" s="88">
        <f t="shared" si="417"/>
        <v>0</v>
      </c>
      <c r="Q2581" s="88">
        <f t="shared" si="418"/>
        <v>0</v>
      </c>
      <c r="R2581" s="88" t="e">
        <f>-IF(Tabla14[[#This Row],[DIAS HABILES O MORA]]&lt;0,(Tabla14[[#This Row],[VALOR PRESTAMO]]*Tabla14[[#This Row],[% INTERES ]]/30*U2581))+Tabla14[[#This Row],[VALOR CUOTAS]]</f>
        <v>#VALUE!</v>
      </c>
      <c r="S2581" s="88">
        <f>-IF(Tabla14[[#This Row],[DIAS HABILES O MORA]]&lt;0,(Tabla14[[#This Row],[VALOR PRESTAMO]]*Tabla14[[#This Row],[% INTERES ]]/30*U2581))</f>
        <v>0</v>
      </c>
      <c r="T2581" s="53" t="e">
        <f>Tabla14[[#This Row],[DEUDA CAPITAL]]+Tabla14[[#This Row],[INTERES  CUOTA]]</f>
        <v>#NUM!</v>
      </c>
      <c r="U2581" s="61" t="str">
        <f t="shared" si="419"/>
        <v/>
      </c>
    </row>
    <row r="2582" spans="9:21" ht="24.75" customHeight="1" x14ac:dyDescent="0.35">
      <c r="I2582" s="42">
        <f t="shared" si="410"/>
        <v>0</v>
      </c>
      <c r="J2582" s="65" t="e">
        <f t="shared" si="411"/>
        <v>#NUM!</v>
      </c>
      <c r="K2582" s="83" t="e">
        <f t="shared" si="412"/>
        <v>#NUM!</v>
      </c>
      <c r="L2582" s="83">
        <f t="shared" si="413"/>
        <v>0</v>
      </c>
      <c r="M2582" s="110" t="str">
        <f t="shared" si="414"/>
        <v/>
      </c>
      <c r="N2582" s="51" t="str">
        <f t="shared" si="415"/>
        <v/>
      </c>
      <c r="O2582" s="52" t="str">
        <f t="shared" si="416"/>
        <v/>
      </c>
      <c r="P2582" s="88">
        <f t="shared" si="417"/>
        <v>0</v>
      </c>
      <c r="Q2582" s="88">
        <f t="shared" si="418"/>
        <v>0</v>
      </c>
      <c r="R2582" s="88" t="e">
        <f>-IF(Tabla14[[#This Row],[DIAS HABILES O MORA]]&lt;0,(Tabla14[[#This Row],[VALOR PRESTAMO]]*Tabla14[[#This Row],[% INTERES ]]/30*U2582))+Tabla14[[#This Row],[VALOR CUOTAS]]</f>
        <v>#VALUE!</v>
      </c>
      <c r="S2582" s="88">
        <f>-IF(Tabla14[[#This Row],[DIAS HABILES O MORA]]&lt;0,(Tabla14[[#This Row],[VALOR PRESTAMO]]*Tabla14[[#This Row],[% INTERES ]]/30*U2582))</f>
        <v>0</v>
      </c>
      <c r="T2582" s="53" t="e">
        <f>Tabla14[[#This Row],[DEUDA CAPITAL]]+Tabla14[[#This Row],[INTERES  CUOTA]]</f>
        <v>#NUM!</v>
      </c>
      <c r="U2582" s="61" t="str">
        <f t="shared" si="419"/>
        <v/>
      </c>
    </row>
    <row r="2583" spans="9:21" ht="24.75" customHeight="1" x14ac:dyDescent="0.35">
      <c r="I2583" s="42">
        <f t="shared" si="410"/>
        <v>0</v>
      </c>
      <c r="J2583" s="65" t="e">
        <f t="shared" si="411"/>
        <v>#NUM!</v>
      </c>
      <c r="K2583" s="83" t="e">
        <f t="shared" si="412"/>
        <v>#NUM!</v>
      </c>
      <c r="L2583" s="83">
        <f t="shared" si="413"/>
        <v>0</v>
      </c>
      <c r="M2583" s="110" t="str">
        <f t="shared" si="414"/>
        <v/>
      </c>
      <c r="N2583" s="51" t="str">
        <f t="shared" si="415"/>
        <v/>
      </c>
      <c r="O2583" s="52" t="str">
        <f t="shared" si="416"/>
        <v/>
      </c>
      <c r="P2583" s="88">
        <f t="shared" si="417"/>
        <v>0</v>
      </c>
      <c r="Q2583" s="88">
        <f t="shared" si="418"/>
        <v>0</v>
      </c>
      <c r="R2583" s="88" t="e">
        <f>-IF(Tabla14[[#This Row],[DIAS HABILES O MORA]]&lt;0,(Tabla14[[#This Row],[VALOR PRESTAMO]]*Tabla14[[#This Row],[% INTERES ]]/30*U2583))+Tabla14[[#This Row],[VALOR CUOTAS]]</f>
        <v>#VALUE!</v>
      </c>
      <c r="S2583" s="88">
        <f>-IF(Tabla14[[#This Row],[DIAS HABILES O MORA]]&lt;0,(Tabla14[[#This Row],[VALOR PRESTAMO]]*Tabla14[[#This Row],[% INTERES ]]/30*U2583))</f>
        <v>0</v>
      </c>
      <c r="T2583" s="53" t="e">
        <f>Tabla14[[#This Row],[DEUDA CAPITAL]]+Tabla14[[#This Row],[INTERES  CUOTA]]</f>
        <v>#NUM!</v>
      </c>
      <c r="U2583" s="61" t="str">
        <f t="shared" si="419"/>
        <v/>
      </c>
    </row>
    <row r="2584" spans="9:21" ht="24.75" customHeight="1" x14ac:dyDescent="0.35">
      <c r="I2584" s="42">
        <f t="shared" si="410"/>
        <v>0</v>
      </c>
      <c r="J2584" s="65" t="e">
        <f t="shared" si="411"/>
        <v>#NUM!</v>
      </c>
      <c r="K2584" s="83" t="e">
        <f t="shared" si="412"/>
        <v>#NUM!</v>
      </c>
      <c r="L2584" s="83">
        <f t="shared" si="413"/>
        <v>0</v>
      </c>
      <c r="M2584" s="110" t="str">
        <f t="shared" si="414"/>
        <v/>
      </c>
      <c r="N2584" s="51" t="str">
        <f t="shared" si="415"/>
        <v/>
      </c>
      <c r="O2584" s="52" t="str">
        <f t="shared" si="416"/>
        <v/>
      </c>
      <c r="P2584" s="88">
        <f t="shared" si="417"/>
        <v>0</v>
      </c>
      <c r="Q2584" s="88">
        <f t="shared" si="418"/>
        <v>0</v>
      </c>
      <c r="R2584" s="88" t="e">
        <f>-IF(Tabla14[[#This Row],[DIAS HABILES O MORA]]&lt;0,(Tabla14[[#This Row],[VALOR PRESTAMO]]*Tabla14[[#This Row],[% INTERES ]]/30*U2584))+Tabla14[[#This Row],[VALOR CUOTAS]]</f>
        <v>#VALUE!</v>
      </c>
      <c r="S2584" s="88">
        <f>-IF(Tabla14[[#This Row],[DIAS HABILES O MORA]]&lt;0,(Tabla14[[#This Row],[VALOR PRESTAMO]]*Tabla14[[#This Row],[% INTERES ]]/30*U2584))</f>
        <v>0</v>
      </c>
      <c r="T2584" s="53" t="e">
        <f>Tabla14[[#This Row],[DEUDA CAPITAL]]+Tabla14[[#This Row],[INTERES  CUOTA]]</f>
        <v>#NUM!</v>
      </c>
      <c r="U2584" s="61" t="str">
        <f t="shared" si="419"/>
        <v/>
      </c>
    </row>
    <row r="2585" spans="9:21" ht="24.75" customHeight="1" x14ac:dyDescent="0.35">
      <c r="I2585" s="42">
        <f t="shared" si="410"/>
        <v>0</v>
      </c>
      <c r="J2585" s="65" t="e">
        <f t="shared" si="411"/>
        <v>#NUM!</v>
      </c>
      <c r="K2585" s="83" t="e">
        <f t="shared" si="412"/>
        <v>#NUM!</v>
      </c>
      <c r="L2585" s="83">
        <f t="shared" si="413"/>
        <v>0</v>
      </c>
      <c r="M2585" s="110" t="str">
        <f t="shared" si="414"/>
        <v/>
      </c>
      <c r="N2585" s="51" t="str">
        <f t="shared" si="415"/>
        <v/>
      </c>
      <c r="O2585" s="52" t="str">
        <f t="shared" si="416"/>
        <v/>
      </c>
      <c r="P2585" s="88">
        <f t="shared" si="417"/>
        <v>0</v>
      </c>
      <c r="Q2585" s="88">
        <f t="shared" si="418"/>
        <v>0</v>
      </c>
      <c r="R2585" s="88" t="e">
        <f>-IF(Tabla14[[#This Row],[DIAS HABILES O MORA]]&lt;0,(Tabla14[[#This Row],[VALOR PRESTAMO]]*Tabla14[[#This Row],[% INTERES ]]/30*U2585))+Tabla14[[#This Row],[VALOR CUOTAS]]</f>
        <v>#VALUE!</v>
      </c>
      <c r="S2585" s="88">
        <f>-IF(Tabla14[[#This Row],[DIAS HABILES O MORA]]&lt;0,(Tabla14[[#This Row],[VALOR PRESTAMO]]*Tabla14[[#This Row],[% INTERES ]]/30*U2585))</f>
        <v>0</v>
      </c>
      <c r="T2585" s="53" t="e">
        <f>Tabla14[[#This Row],[DEUDA CAPITAL]]+Tabla14[[#This Row],[INTERES  CUOTA]]</f>
        <v>#NUM!</v>
      </c>
      <c r="U2585" s="61" t="str">
        <f t="shared" si="419"/>
        <v/>
      </c>
    </row>
    <row r="2586" spans="9:21" ht="24.75" customHeight="1" x14ac:dyDescent="0.35">
      <c r="I2586" s="42">
        <f t="shared" si="410"/>
        <v>0</v>
      </c>
      <c r="J2586" s="65" t="e">
        <f t="shared" si="411"/>
        <v>#NUM!</v>
      </c>
      <c r="K2586" s="83" t="e">
        <f t="shared" si="412"/>
        <v>#NUM!</v>
      </c>
      <c r="L2586" s="83">
        <f t="shared" si="413"/>
        <v>0</v>
      </c>
      <c r="M2586" s="110" t="str">
        <f t="shared" si="414"/>
        <v/>
      </c>
      <c r="N2586" s="51" t="str">
        <f t="shared" si="415"/>
        <v/>
      </c>
      <c r="O2586" s="52" t="str">
        <f t="shared" si="416"/>
        <v/>
      </c>
      <c r="P2586" s="88">
        <f t="shared" si="417"/>
        <v>0</v>
      </c>
      <c r="Q2586" s="88">
        <f t="shared" si="418"/>
        <v>0</v>
      </c>
      <c r="R2586" s="88" t="e">
        <f>-IF(Tabla14[[#This Row],[DIAS HABILES O MORA]]&lt;0,(Tabla14[[#This Row],[VALOR PRESTAMO]]*Tabla14[[#This Row],[% INTERES ]]/30*U2586))+Tabla14[[#This Row],[VALOR CUOTAS]]</f>
        <v>#VALUE!</v>
      </c>
      <c r="S2586" s="88">
        <f>-IF(Tabla14[[#This Row],[DIAS HABILES O MORA]]&lt;0,(Tabla14[[#This Row],[VALOR PRESTAMO]]*Tabla14[[#This Row],[% INTERES ]]/30*U2586))</f>
        <v>0</v>
      </c>
      <c r="T2586" s="53" t="e">
        <f>Tabla14[[#This Row],[DEUDA CAPITAL]]+Tabla14[[#This Row],[INTERES  CUOTA]]</f>
        <v>#NUM!</v>
      </c>
      <c r="U2586" s="61" t="str">
        <f t="shared" si="419"/>
        <v/>
      </c>
    </row>
    <row r="2587" spans="9:21" ht="24.75" customHeight="1" x14ac:dyDescent="0.35">
      <c r="I2587" s="42">
        <f t="shared" si="410"/>
        <v>0</v>
      </c>
      <c r="J2587" s="65" t="e">
        <f t="shared" si="411"/>
        <v>#NUM!</v>
      </c>
      <c r="K2587" s="83" t="e">
        <f t="shared" si="412"/>
        <v>#NUM!</v>
      </c>
      <c r="L2587" s="83">
        <f t="shared" si="413"/>
        <v>0</v>
      </c>
      <c r="M2587" s="110" t="str">
        <f t="shared" si="414"/>
        <v/>
      </c>
      <c r="N2587" s="51" t="str">
        <f t="shared" si="415"/>
        <v/>
      </c>
      <c r="O2587" s="52" t="str">
        <f t="shared" si="416"/>
        <v/>
      </c>
      <c r="P2587" s="88">
        <f t="shared" si="417"/>
        <v>0</v>
      </c>
      <c r="Q2587" s="88">
        <f t="shared" si="418"/>
        <v>0</v>
      </c>
      <c r="R2587" s="88" t="e">
        <f>-IF(Tabla14[[#This Row],[DIAS HABILES O MORA]]&lt;0,(Tabla14[[#This Row],[VALOR PRESTAMO]]*Tabla14[[#This Row],[% INTERES ]]/30*U2587))+Tabla14[[#This Row],[VALOR CUOTAS]]</f>
        <v>#VALUE!</v>
      </c>
      <c r="S2587" s="88">
        <f>-IF(Tabla14[[#This Row],[DIAS HABILES O MORA]]&lt;0,(Tabla14[[#This Row],[VALOR PRESTAMO]]*Tabla14[[#This Row],[% INTERES ]]/30*U2587))</f>
        <v>0</v>
      </c>
      <c r="T2587" s="53" t="e">
        <f>Tabla14[[#This Row],[DEUDA CAPITAL]]+Tabla14[[#This Row],[INTERES  CUOTA]]</f>
        <v>#NUM!</v>
      </c>
      <c r="U2587" s="61" t="str">
        <f t="shared" si="419"/>
        <v/>
      </c>
    </row>
    <row r="2588" spans="9:21" ht="24.75" customHeight="1" x14ac:dyDescent="0.35">
      <c r="I2588" s="42">
        <f t="shared" si="410"/>
        <v>0</v>
      </c>
      <c r="J2588" s="65" t="e">
        <f t="shared" si="411"/>
        <v>#NUM!</v>
      </c>
      <c r="K2588" s="83" t="e">
        <f t="shared" si="412"/>
        <v>#NUM!</v>
      </c>
      <c r="L2588" s="83">
        <f t="shared" si="413"/>
        <v>0</v>
      </c>
      <c r="M2588" s="110" t="str">
        <f t="shared" si="414"/>
        <v/>
      </c>
      <c r="N2588" s="51" t="str">
        <f t="shared" si="415"/>
        <v/>
      </c>
      <c r="O2588" s="52" t="str">
        <f t="shared" si="416"/>
        <v/>
      </c>
      <c r="P2588" s="88">
        <f t="shared" si="417"/>
        <v>0</v>
      </c>
      <c r="Q2588" s="88">
        <f t="shared" si="418"/>
        <v>0</v>
      </c>
      <c r="R2588" s="88" t="e">
        <f>-IF(Tabla14[[#This Row],[DIAS HABILES O MORA]]&lt;0,(Tabla14[[#This Row],[VALOR PRESTAMO]]*Tabla14[[#This Row],[% INTERES ]]/30*U2588))+Tabla14[[#This Row],[VALOR CUOTAS]]</f>
        <v>#VALUE!</v>
      </c>
      <c r="S2588" s="88">
        <f>-IF(Tabla14[[#This Row],[DIAS HABILES O MORA]]&lt;0,(Tabla14[[#This Row],[VALOR PRESTAMO]]*Tabla14[[#This Row],[% INTERES ]]/30*U2588))</f>
        <v>0</v>
      </c>
      <c r="T2588" s="53" t="e">
        <f>Tabla14[[#This Row],[DEUDA CAPITAL]]+Tabla14[[#This Row],[INTERES  CUOTA]]</f>
        <v>#NUM!</v>
      </c>
      <c r="U2588" s="61" t="str">
        <f t="shared" si="419"/>
        <v/>
      </c>
    </row>
    <row r="2589" spans="9:21" ht="24.75" customHeight="1" x14ac:dyDescent="0.35">
      <c r="I2589" s="42">
        <f t="shared" si="410"/>
        <v>0</v>
      </c>
      <c r="J2589" s="65" t="e">
        <f t="shared" si="411"/>
        <v>#NUM!</v>
      </c>
      <c r="K2589" s="83" t="e">
        <f t="shared" si="412"/>
        <v>#NUM!</v>
      </c>
      <c r="L2589" s="83">
        <f t="shared" si="413"/>
        <v>0</v>
      </c>
      <c r="M2589" s="110" t="str">
        <f t="shared" si="414"/>
        <v/>
      </c>
      <c r="N2589" s="51" t="str">
        <f t="shared" si="415"/>
        <v/>
      </c>
      <c r="O2589" s="52" t="str">
        <f t="shared" si="416"/>
        <v/>
      </c>
      <c r="P2589" s="88">
        <f t="shared" si="417"/>
        <v>0</v>
      </c>
      <c r="Q2589" s="88">
        <f t="shared" si="418"/>
        <v>0</v>
      </c>
      <c r="R2589" s="88" t="e">
        <f>-IF(Tabla14[[#This Row],[DIAS HABILES O MORA]]&lt;0,(Tabla14[[#This Row],[VALOR PRESTAMO]]*Tabla14[[#This Row],[% INTERES ]]/30*U2589))+Tabla14[[#This Row],[VALOR CUOTAS]]</f>
        <v>#VALUE!</v>
      </c>
      <c r="S2589" s="88">
        <f>-IF(Tabla14[[#This Row],[DIAS HABILES O MORA]]&lt;0,(Tabla14[[#This Row],[VALOR PRESTAMO]]*Tabla14[[#This Row],[% INTERES ]]/30*U2589))</f>
        <v>0</v>
      </c>
      <c r="T2589" s="53" t="e">
        <f>Tabla14[[#This Row],[DEUDA CAPITAL]]+Tabla14[[#This Row],[INTERES  CUOTA]]</f>
        <v>#NUM!</v>
      </c>
      <c r="U2589" s="61" t="str">
        <f t="shared" si="419"/>
        <v/>
      </c>
    </row>
    <row r="2590" spans="9:21" ht="24.75" customHeight="1" x14ac:dyDescent="0.35">
      <c r="I2590" s="42">
        <f t="shared" si="410"/>
        <v>0</v>
      </c>
      <c r="J2590" s="65" t="e">
        <f t="shared" si="411"/>
        <v>#NUM!</v>
      </c>
      <c r="K2590" s="83" t="e">
        <f t="shared" si="412"/>
        <v>#NUM!</v>
      </c>
      <c r="L2590" s="83">
        <f t="shared" si="413"/>
        <v>0</v>
      </c>
      <c r="M2590" s="110" t="str">
        <f t="shared" si="414"/>
        <v/>
      </c>
      <c r="N2590" s="51" t="str">
        <f t="shared" si="415"/>
        <v/>
      </c>
      <c r="O2590" s="52" t="str">
        <f t="shared" si="416"/>
        <v/>
      </c>
      <c r="P2590" s="88">
        <f t="shared" si="417"/>
        <v>0</v>
      </c>
      <c r="Q2590" s="88">
        <f t="shared" si="418"/>
        <v>0</v>
      </c>
      <c r="R2590" s="88" t="e">
        <f>-IF(Tabla14[[#This Row],[DIAS HABILES O MORA]]&lt;0,(Tabla14[[#This Row],[VALOR PRESTAMO]]*Tabla14[[#This Row],[% INTERES ]]/30*U2590))+Tabla14[[#This Row],[VALOR CUOTAS]]</f>
        <v>#VALUE!</v>
      </c>
      <c r="S2590" s="88">
        <f>-IF(Tabla14[[#This Row],[DIAS HABILES O MORA]]&lt;0,(Tabla14[[#This Row],[VALOR PRESTAMO]]*Tabla14[[#This Row],[% INTERES ]]/30*U2590))</f>
        <v>0</v>
      </c>
      <c r="T2590" s="53" t="e">
        <f>Tabla14[[#This Row],[DEUDA CAPITAL]]+Tabla14[[#This Row],[INTERES  CUOTA]]</f>
        <v>#NUM!</v>
      </c>
      <c r="U2590" s="61" t="str">
        <f t="shared" si="419"/>
        <v/>
      </c>
    </row>
    <row r="2591" spans="9:21" ht="24.75" customHeight="1" x14ac:dyDescent="0.35">
      <c r="I2591" s="42">
        <f t="shared" si="410"/>
        <v>0</v>
      </c>
      <c r="J2591" s="65" t="e">
        <f t="shared" si="411"/>
        <v>#NUM!</v>
      </c>
      <c r="K2591" s="83" t="e">
        <f t="shared" si="412"/>
        <v>#NUM!</v>
      </c>
      <c r="L2591" s="83">
        <f t="shared" si="413"/>
        <v>0</v>
      </c>
      <c r="M2591" s="110" t="str">
        <f t="shared" si="414"/>
        <v/>
      </c>
      <c r="N2591" s="51" t="str">
        <f t="shared" si="415"/>
        <v/>
      </c>
      <c r="O2591" s="52" t="str">
        <f t="shared" si="416"/>
        <v/>
      </c>
      <c r="P2591" s="88">
        <f t="shared" si="417"/>
        <v>0</v>
      </c>
      <c r="Q2591" s="88">
        <f t="shared" si="418"/>
        <v>0</v>
      </c>
      <c r="R2591" s="88" t="e">
        <f>-IF(Tabla14[[#This Row],[DIAS HABILES O MORA]]&lt;0,(Tabla14[[#This Row],[VALOR PRESTAMO]]*Tabla14[[#This Row],[% INTERES ]]/30*U2591))+Tabla14[[#This Row],[VALOR CUOTAS]]</f>
        <v>#VALUE!</v>
      </c>
      <c r="S2591" s="88">
        <f>-IF(Tabla14[[#This Row],[DIAS HABILES O MORA]]&lt;0,(Tabla14[[#This Row],[VALOR PRESTAMO]]*Tabla14[[#This Row],[% INTERES ]]/30*U2591))</f>
        <v>0</v>
      </c>
      <c r="T2591" s="53" t="e">
        <f>Tabla14[[#This Row],[DEUDA CAPITAL]]+Tabla14[[#This Row],[INTERES  CUOTA]]</f>
        <v>#NUM!</v>
      </c>
      <c r="U2591" s="61" t="str">
        <f t="shared" si="419"/>
        <v/>
      </c>
    </row>
    <row r="2592" spans="9:21" ht="24.75" customHeight="1" x14ac:dyDescent="0.35">
      <c r="I2592" s="42">
        <f t="shared" si="410"/>
        <v>0</v>
      </c>
      <c r="J2592" s="65" t="e">
        <f t="shared" si="411"/>
        <v>#NUM!</v>
      </c>
      <c r="K2592" s="83" t="e">
        <f t="shared" si="412"/>
        <v>#NUM!</v>
      </c>
      <c r="L2592" s="83">
        <f t="shared" si="413"/>
        <v>0</v>
      </c>
      <c r="M2592" s="110" t="str">
        <f t="shared" si="414"/>
        <v/>
      </c>
      <c r="N2592" s="51" t="str">
        <f t="shared" si="415"/>
        <v/>
      </c>
      <c r="O2592" s="52" t="str">
        <f t="shared" si="416"/>
        <v/>
      </c>
      <c r="P2592" s="88">
        <f t="shared" si="417"/>
        <v>0</v>
      </c>
      <c r="Q2592" s="88">
        <f t="shared" si="418"/>
        <v>0</v>
      </c>
      <c r="R2592" s="88" t="e">
        <f>-IF(Tabla14[[#This Row],[DIAS HABILES O MORA]]&lt;0,(Tabla14[[#This Row],[VALOR PRESTAMO]]*Tabla14[[#This Row],[% INTERES ]]/30*U2592))+Tabla14[[#This Row],[VALOR CUOTAS]]</f>
        <v>#VALUE!</v>
      </c>
      <c r="S2592" s="88">
        <f>-IF(Tabla14[[#This Row],[DIAS HABILES O MORA]]&lt;0,(Tabla14[[#This Row],[VALOR PRESTAMO]]*Tabla14[[#This Row],[% INTERES ]]/30*U2592))</f>
        <v>0</v>
      </c>
      <c r="T2592" s="53" t="e">
        <f>Tabla14[[#This Row],[DEUDA CAPITAL]]+Tabla14[[#This Row],[INTERES  CUOTA]]</f>
        <v>#NUM!</v>
      </c>
      <c r="U2592" s="61" t="str">
        <f t="shared" si="419"/>
        <v/>
      </c>
    </row>
    <row r="2593" spans="9:21" ht="24.75" customHeight="1" x14ac:dyDescent="0.35">
      <c r="I2593" s="42">
        <f t="shared" si="410"/>
        <v>0</v>
      </c>
      <c r="J2593" s="65" t="e">
        <f t="shared" si="411"/>
        <v>#NUM!</v>
      </c>
      <c r="K2593" s="83" t="e">
        <f t="shared" si="412"/>
        <v>#NUM!</v>
      </c>
      <c r="L2593" s="83">
        <f t="shared" si="413"/>
        <v>0</v>
      </c>
      <c r="M2593" s="110" t="str">
        <f t="shared" si="414"/>
        <v/>
      </c>
      <c r="N2593" s="51" t="str">
        <f t="shared" si="415"/>
        <v/>
      </c>
      <c r="O2593" s="52" t="str">
        <f t="shared" si="416"/>
        <v/>
      </c>
      <c r="P2593" s="88">
        <f t="shared" si="417"/>
        <v>0</v>
      </c>
      <c r="Q2593" s="88">
        <f t="shared" si="418"/>
        <v>0</v>
      </c>
      <c r="R2593" s="88" t="e">
        <f>-IF(Tabla14[[#This Row],[DIAS HABILES O MORA]]&lt;0,(Tabla14[[#This Row],[VALOR PRESTAMO]]*Tabla14[[#This Row],[% INTERES ]]/30*U2593))+Tabla14[[#This Row],[VALOR CUOTAS]]</f>
        <v>#VALUE!</v>
      </c>
      <c r="S2593" s="88">
        <f>-IF(Tabla14[[#This Row],[DIAS HABILES O MORA]]&lt;0,(Tabla14[[#This Row],[VALOR PRESTAMO]]*Tabla14[[#This Row],[% INTERES ]]/30*U2593))</f>
        <v>0</v>
      </c>
      <c r="T2593" s="53" t="e">
        <f>Tabla14[[#This Row],[DEUDA CAPITAL]]+Tabla14[[#This Row],[INTERES  CUOTA]]</f>
        <v>#NUM!</v>
      </c>
      <c r="U2593" s="61" t="str">
        <f t="shared" si="419"/>
        <v/>
      </c>
    </row>
    <row r="2594" spans="9:21" ht="24.75" customHeight="1" x14ac:dyDescent="0.35">
      <c r="I2594" s="42">
        <f t="shared" si="410"/>
        <v>0</v>
      </c>
      <c r="J2594" s="65" t="e">
        <f t="shared" si="411"/>
        <v>#NUM!</v>
      </c>
      <c r="K2594" s="83" t="e">
        <f t="shared" si="412"/>
        <v>#NUM!</v>
      </c>
      <c r="L2594" s="83">
        <f t="shared" si="413"/>
        <v>0</v>
      </c>
      <c r="M2594" s="110" t="str">
        <f t="shared" si="414"/>
        <v/>
      </c>
      <c r="N2594" s="51" t="str">
        <f t="shared" si="415"/>
        <v/>
      </c>
      <c r="O2594" s="52" t="str">
        <f t="shared" si="416"/>
        <v/>
      </c>
      <c r="P2594" s="88">
        <f t="shared" si="417"/>
        <v>0</v>
      </c>
      <c r="Q2594" s="88">
        <f t="shared" si="418"/>
        <v>0</v>
      </c>
      <c r="R2594" s="88" t="e">
        <f>-IF(Tabla14[[#This Row],[DIAS HABILES O MORA]]&lt;0,(Tabla14[[#This Row],[VALOR PRESTAMO]]*Tabla14[[#This Row],[% INTERES ]]/30*U2594))+Tabla14[[#This Row],[VALOR CUOTAS]]</f>
        <v>#VALUE!</v>
      </c>
      <c r="S2594" s="88">
        <f>-IF(Tabla14[[#This Row],[DIAS HABILES O MORA]]&lt;0,(Tabla14[[#This Row],[VALOR PRESTAMO]]*Tabla14[[#This Row],[% INTERES ]]/30*U2594))</f>
        <v>0</v>
      </c>
      <c r="T2594" s="53" t="e">
        <f>Tabla14[[#This Row],[DEUDA CAPITAL]]+Tabla14[[#This Row],[INTERES  CUOTA]]</f>
        <v>#NUM!</v>
      </c>
      <c r="U2594" s="61" t="str">
        <f t="shared" si="419"/>
        <v/>
      </c>
    </row>
    <row r="2595" spans="9:21" ht="24.75" customHeight="1" x14ac:dyDescent="0.35">
      <c r="I2595" s="42">
        <f t="shared" si="410"/>
        <v>0</v>
      </c>
      <c r="J2595" s="65" t="e">
        <f t="shared" si="411"/>
        <v>#NUM!</v>
      </c>
      <c r="K2595" s="83" t="e">
        <f t="shared" si="412"/>
        <v>#NUM!</v>
      </c>
      <c r="L2595" s="83">
        <f t="shared" si="413"/>
        <v>0</v>
      </c>
      <c r="M2595" s="110" t="str">
        <f t="shared" si="414"/>
        <v/>
      </c>
      <c r="N2595" s="51" t="str">
        <f t="shared" si="415"/>
        <v/>
      </c>
      <c r="O2595" s="52" t="str">
        <f t="shared" si="416"/>
        <v/>
      </c>
      <c r="P2595" s="88">
        <f t="shared" si="417"/>
        <v>0</v>
      </c>
      <c r="Q2595" s="88">
        <f t="shared" si="418"/>
        <v>0</v>
      </c>
      <c r="R2595" s="88" t="e">
        <f>-IF(Tabla14[[#This Row],[DIAS HABILES O MORA]]&lt;0,(Tabla14[[#This Row],[VALOR PRESTAMO]]*Tabla14[[#This Row],[% INTERES ]]/30*U2595))+Tabla14[[#This Row],[VALOR CUOTAS]]</f>
        <v>#VALUE!</v>
      </c>
      <c r="S2595" s="88">
        <f>-IF(Tabla14[[#This Row],[DIAS HABILES O MORA]]&lt;0,(Tabla14[[#This Row],[VALOR PRESTAMO]]*Tabla14[[#This Row],[% INTERES ]]/30*U2595))</f>
        <v>0</v>
      </c>
      <c r="T2595" s="53" t="e">
        <f>Tabla14[[#This Row],[DEUDA CAPITAL]]+Tabla14[[#This Row],[INTERES  CUOTA]]</f>
        <v>#NUM!</v>
      </c>
      <c r="U2595" s="61" t="str">
        <f t="shared" si="419"/>
        <v/>
      </c>
    </row>
    <row r="2596" spans="9:21" ht="24.75" customHeight="1" x14ac:dyDescent="0.35">
      <c r="I2596" s="42">
        <f t="shared" si="410"/>
        <v>0</v>
      </c>
      <c r="J2596" s="65" t="e">
        <f t="shared" si="411"/>
        <v>#NUM!</v>
      </c>
      <c r="K2596" s="83" t="e">
        <f t="shared" si="412"/>
        <v>#NUM!</v>
      </c>
      <c r="L2596" s="83">
        <f t="shared" si="413"/>
        <v>0</v>
      </c>
      <c r="M2596" s="110" t="str">
        <f t="shared" si="414"/>
        <v/>
      </c>
      <c r="N2596" s="51" t="str">
        <f t="shared" si="415"/>
        <v/>
      </c>
      <c r="O2596" s="52" t="str">
        <f t="shared" si="416"/>
        <v/>
      </c>
      <c r="P2596" s="88">
        <f t="shared" si="417"/>
        <v>0</v>
      </c>
      <c r="Q2596" s="88">
        <f t="shared" si="418"/>
        <v>0</v>
      </c>
      <c r="R2596" s="88" t="e">
        <f>-IF(Tabla14[[#This Row],[DIAS HABILES O MORA]]&lt;0,(Tabla14[[#This Row],[VALOR PRESTAMO]]*Tabla14[[#This Row],[% INTERES ]]/30*U2596))+Tabla14[[#This Row],[VALOR CUOTAS]]</f>
        <v>#VALUE!</v>
      </c>
      <c r="S2596" s="88">
        <f>-IF(Tabla14[[#This Row],[DIAS HABILES O MORA]]&lt;0,(Tabla14[[#This Row],[VALOR PRESTAMO]]*Tabla14[[#This Row],[% INTERES ]]/30*U2596))</f>
        <v>0</v>
      </c>
      <c r="T2596" s="53" t="e">
        <f>Tabla14[[#This Row],[DEUDA CAPITAL]]+Tabla14[[#This Row],[INTERES  CUOTA]]</f>
        <v>#NUM!</v>
      </c>
      <c r="U2596" s="61" t="str">
        <f t="shared" si="419"/>
        <v/>
      </c>
    </row>
    <row r="2597" spans="9:21" ht="24.75" customHeight="1" x14ac:dyDescent="0.35">
      <c r="I2597" s="42">
        <f t="shared" si="410"/>
        <v>0</v>
      </c>
      <c r="J2597" s="65" t="e">
        <f t="shared" si="411"/>
        <v>#NUM!</v>
      </c>
      <c r="K2597" s="83" t="e">
        <f t="shared" si="412"/>
        <v>#NUM!</v>
      </c>
      <c r="L2597" s="83">
        <f t="shared" si="413"/>
        <v>0</v>
      </c>
      <c r="M2597" s="110" t="str">
        <f t="shared" si="414"/>
        <v/>
      </c>
      <c r="N2597" s="51" t="str">
        <f t="shared" si="415"/>
        <v/>
      </c>
      <c r="O2597" s="52" t="str">
        <f t="shared" si="416"/>
        <v/>
      </c>
      <c r="P2597" s="88">
        <f t="shared" si="417"/>
        <v>0</v>
      </c>
      <c r="Q2597" s="88">
        <f t="shared" si="418"/>
        <v>0</v>
      </c>
      <c r="R2597" s="88" t="e">
        <f>-IF(Tabla14[[#This Row],[DIAS HABILES O MORA]]&lt;0,(Tabla14[[#This Row],[VALOR PRESTAMO]]*Tabla14[[#This Row],[% INTERES ]]/30*U2597))+Tabla14[[#This Row],[VALOR CUOTAS]]</f>
        <v>#VALUE!</v>
      </c>
      <c r="S2597" s="88">
        <f>-IF(Tabla14[[#This Row],[DIAS HABILES O MORA]]&lt;0,(Tabla14[[#This Row],[VALOR PRESTAMO]]*Tabla14[[#This Row],[% INTERES ]]/30*U2597))</f>
        <v>0</v>
      </c>
      <c r="T2597" s="53" t="e">
        <f>Tabla14[[#This Row],[DEUDA CAPITAL]]+Tabla14[[#This Row],[INTERES  CUOTA]]</f>
        <v>#NUM!</v>
      </c>
      <c r="U2597" s="61" t="str">
        <f t="shared" si="419"/>
        <v/>
      </c>
    </row>
    <row r="2598" spans="9:21" ht="24.75" customHeight="1" x14ac:dyDescent="0.35">
      <c r="I2598" s="42">
        <f t="shared" si="410"/>
        <v>0</v>
      </c>
      <c r="J2598" s="65" t="e">
        <f t="shared" si="411"/>
        <v>#NUM!</v>
      </c>
      <c r="K2598" s="83" t="e">
        <f t="shared" si="412"/>
        <v>#NUM!</v>
      </c>
      <c r="L2598" s="83">
        <f t="shared" si="413"/>
        <v>0</v>
      </c>
      <c r="M2598" s="110" t="str">
        <f t="shared" si="414"/>
        <v/>
      </c>
      <c r="N2598" s="51" t="str">
        <f t="shared" si="415"/>
        <v/>
      </c>
      <c r="O2598" s="52" t="str">
        <f t="shared" si="416"/>
        <v/>
      </c>
      <c r="P2598" s="88">
        <f t="shared" si="417"/>
        <v>0</v>
      </c>
      <c r="Q2598" s="88">
        <f t="shared" si="418"/>
        <v>0</v>
      </c>
      <c r="R2598" s="88" t="e">
        <f>-IF(Tabla14[[#This Row],[DIAS HABILES O MORA]]&lt;0,(Tabla14[[#This Row],[VALOR PRESTAMO]]*Tabla14[[#This Row],[% INTERES ]]/30*U2598))+Tabla14[[#This Row],[VALOR CUOTAS]]</f>
        <v>#VALUE!</v>
      </c>
      <c r="S2598" s="88">
        <f>-IF(Tabla14[[#This Row],[DIAS HABILES O MORA]]&lt;0,(Tabla14[[#This Row],[VALOR PRESTAMO]]*Tabla14[[#This Row],[% INTERES ]]/30*U2598))</f>
        <v>0</v>
      </c>
      <c r="T2598" s="53" t="e">
        <f>Tabla14[[#This Row],[DEUDA CAPITAL]]+Tabla14[[#This Row],[INTERES  CUOTA]]</f>
        <v>#NUM!</v>
      </c>
      <c r="U2598" s="61" t="str">
        <f t="shared" si="419"/>
        <v/>
      </c>
    </row>
    <row r="2599" spans="9:21" ht="24.75" customHeight="1" x14ac:dyDescent="0.35">
      <c r="I2599" s="42">
        <f t="shared" si="410"/>
        <v>0</v>
      </c>
      <c r="J2599" s="65" t="e">
        <f t="shared" si="411"/>
        <v>#NUM!</v>
      </c>
      <c r="K2599" s="83" t="e">
        <f t="shared" si="412"/>
        <v>#NUM!</v>
      </c>
      <c r="L2599" s="83">
        <f t="shared" si="413"/>
        <v>0</v>
      </c>
      <c r="M2599" s="110" t="str">
        <f t="shared" si="414"/>
        <v/>
      </c>
      <c r="N2599" s="51" t="str">
        <f t="shared" si="415"/>
        <v/>
      </c>
      <c r="O2599" s="52" t="str">
        <f t="shared" si="416"/>
        <v/>
      </c>
      <c r="P2599" s="88">
        <f t="shared" si="417"/>
        <v>0</v>
      </c>
      <c r="Q2599" s="88">
        <f t="shared" si="418"/>
        <v>0</v>
      </c>
      <c r="R2599" s="88" t="e">
        <f>-IF(Tabla14[[#This Row],[DIAS HABILES O MORA]]&lt;0,(Tabla14[[#This Row],[VALOR PRESTAMO]]*Tabla14[[#This Row],[% INTERES ]]/30*U2599))+Tabla14[[#This Row],[VALOR CUOTAS]]</f>
        <v>#VALUE!</v>
      </c>
      <c r="S2599" s="88">
        <f>-IF(Tabla14[[#This Row],[DIAS HABILES O MORA]]&lt;0,(Tabla14[[#This Row],[VALOR PRESTAMO]]*Tabla14[[#This Row],[% INTERES ]]/30*U2599))</f>
        <v>0</v>
      </c>
      <c r="T2599" s="53" t="e">
        <f>Tabla14[[#This Row],[DEUDA CAPITAL]]+Tabla14[[#This Row],[INTERES  CUOTA]]</f>
        <v>#NUM!</v>
      </c>
      <c r="U2599" s="61" t="str">
        <f t="shared" si="419"/>
        <v/>
      </c>
    </row>
    <row r="2600" spans="9:21" ht="24.75" customHeight="1" x14ac:dyDescent="0.35">
      <c r="I2600" s="42">
        <f t="shared" si="410"/>
        <v>0</v>
      </c>
      <c r="J2600" s="65" t="e">
        <f t="shared" si="411"/>
        <v>#NUM!</v>
      </c>
      <c r="K2600" s="83" t="e">
        <f t="shared" si="412"/>
        <v>#NUM!</v>
      </c>
      <c r="L2600" s="83">
        <f t="shared" si="413"/>
        <v>0</v>
      </c>
      <c r="M2600" s="110" t="str">
        <f t="shared" si="414"/>
        <v/>
      </c>
      <c r="N2600" s="51" t="str">
        <f t="shared" si="415"/>
        <v/>
      </c>
      <c r="O2600" s="52" t="str">
        <f t="shared" si="416"/>
        <v/>
      </c>
      <c r="P2600" s="88">
        <f t="shared" si="417"/>
        <v>0</v>
      </c>
      <c r="Q2600" s="88">
        <f t="shared" si="418"/>
        <v>0</v>
      </c>
      <c r="R2600" s="88" t="e">
        <f>-IF(Tabla14[[#This Row],[DIAS HABILES O MORA]]&lt;0,(Tabla14[[#This Row],[VALOR PRESTAMO]]*Tabla14[[#This Row],[% INTERES ]]/30*U2600))+Tabla14[[#This Row],[VALOR CUOTAS]]</f>
        <v>#VALUE!</v>
      </c>
      <c r="S2600" s="88">
        <f>-IF(Tabla14[[#This Row],[DIAS HABILES O MORA]]&lt;0,(Tabla14[[#This Row],[VALOR PRESTAMO]]*Tabla14[[#This Row],[% INTERES ]]/30*U2600))</f>
        <v>0</v>
      </c>
      <c r="T2600" s="53" t="e">
        <f>Tabla14[[#This Row],[DEUDA CAPITAL]]+Tabla14[[#This Row],[INTERES  CUOTA]]</f>
        <v>#NUM!</v>
      </c>
      <c r="U2600" s="61" t="str">
        <f t="shared" si="419"/>
        <v/>
      </c>
    </row>
    <row r="2601" spans="9:21" ht="24.75" customHeight="1" x14ac:dyDescent="0.35">
      <c r="I2601" s="42">
        <f t="shared" si="410"/>
        <v>0</v>
      </c>
      <c r="J2601" s="65" t="e">
        <f t="shared" si="411"/>
        <v>#NUM!</v>
      </c>
      <c r="K2601" s="83" t="e">
        <f t="shared" si="412"/>
        <v>#NUM!</v>
      </c>
      <c r="L2601" s="83">
        <f t="shared" si="413"/>
        <v>0</v>
      </c>
      <c r="M2601" s="110" t="str">
        <f t="shared" si="414"/>
        <v/>
      </c>
      <c r="N2601" s="51" t="str">
        <f t="shared" si="415"/>
        <v/>
      </c>
      <c r="O2601" s="52" t="str">
        <f t="shared" si="416"/>
        <v/>
      </c>
      <c r="P2601" s="88">
        <f t="shared" si="417"/>
        <v>0</v>
      </c>
      <c r="Q2601" s="88">
        <f t="shared" si="418"/>
        <v>0</v>
      </c>
      <c r="R2601" s="88" t="e">
        <f>-IF(Tabla14[[#This Row],[DIAS HABILES O MORA]]&lt;0,(Tabla14[[#This Row],[VALOR PRESTAMO]]*Tabla14[[#This Row],[% INTERES ]]/30*U2601))+Tabla14[[#This Row],[VALOR CUOTAS]]</f>
        <v>#VALUE!</v>
      </c>
      <c r="S2601" s="88">
        <f>-IF(Tabla14[[#This Row],[DIAS HABILES O MORA]]&lt;0,(Tabla14[[#This Row],[VALOR PRESTAMO]]*Tabla14[[#This Row],[% INTERES ]]/30*U2601))</f>
        <v>0</v>
      </c>
      <c r="T2601" s="53" t="e">
        <f>Tabla14[[#This Row],[DEUDA CAPITAL]]+Tabla14[[#This Row],[INTERES  CUOTA]]</f>
        <v>#NUM!</v>
      </c>
      <c r="U2601" s="61" t="str">
        <f t="shared" si="419"/>
        <v/>
      </c>
    </row>
    <row r="2602" spans="9:21" ht="24.75" customHeight="1" x14ac:dyDescent="0.35">
      <c r="I2602" s="42">
        <f t="shared" si="410"/>
        <v>0</v>
      </c>
      <c r="J2602" s="65" t="e">
        <f t="shared" si="411"/>
        <v>#NUM!</v>
      </c>
      <c r="K2602" s="83" t="e">
        <f t="shared" si="412"/>
        <v>#NUM!</v>
      </c>
      <c r="L2602" s="83">
        <f t="shared" si="413"/>
        <v>0</v>
      </c>
      <c r="M2602" s="110" t="str">
        <f t="shared" si="414"/>
        <v/>
      </c>
      <c r="N2602" s="51" t="str">
        <f t="shared" si="415"/>
        <v/>
      </c>
      <c r="O2602" s="52" t="str">
        <f t="shared" si="416"/>
        <v/>
      </c>
      <c r="P2602" s="88">
        <f t="shared" si="417"/>
        <v>0</v>
      </c>
      <c r="Q2602" s="88">
        <f t="shared" si="418"/>
        <v>0</v>
      </c>
      <c r="R2602" s="88" t="e">
        <f>-IF(Tabla14[[#This Row],[DIAS HABILES O MORA]]&lt;0,(Tabla14[[#This Row],[VALOR PRESTAMO]]*Tabla14[[#This Row],[% INTERES ]]/30*U2602))+Tabla14[[#This Row],[VALOR CUOTAS]]</f>
        <v>#VALUE!</v>
      </c>
      <c r="S2602" s="88">
        <f>-IF(Tabla14[[#This Row],[DIAS HABILES O MORA]]&lt;0,(Tabla14[[#This Row],[VALOR PRESTAMO]]*Tabla14[[#This Row],[% INTERES ]]/30*U2602))</f>
        <v>0</v>
      </c>
      <c r="T2602" s="53" t="e">
        <f>Tabla14[[#This Row],[DEUDA CAPITAL]]+Tabla14[[#This Row],[INTERES  CUOTA]]</f>
        <v>#NUM!</v>
      </c>
      <c r="U2602" s="61" t="str">
        <f t="shared" si="419"/>
        <v/>
      </c>
    </row>
    <row r="2603" spans="9:21" ht="24.75" customHeight="1" x14ac:dyDescent="0.35">
      <c r="I2603" s="42">
        <f t="shared" si="410"/>
        <v>0</v>
      </c>
      <c r="J2603" s="65" t="e">
        <f t="shared" si="411"/>
        <v>#NUM!</v>
      </c>
      <c r="K2603" s="83" t="e">
        <f t="shared" si="412"/>
        <v>#NUM!</v>
      </c>
      <c r="L2603" s="83">
        <f t="shared" si="413"/>
        <v>0</v>
      </c>
      <c r="M2603" s="110" t="str">
        <f t="shared" si="414"/>
        <v/>
      </c>
      <c r="N2603" s="51" t="str">
        <f t="shared" si="415"/>
        <v/>
      </c>
      <c r="O2603" s="52" t="str">
        <f t="shared" si="416"/>
        <v/>
      </c>
      <c r="P2603" s="88">
        <f t="shared" si="417"/>
        <v>0</v>
      </c>
      <c r="Q2603" s="88">
        <f t="shared" si="418"/>
        <v>0</v>
      </c>
      <c r="R2603" s="88" t="e">
        <f>-IF(Tabla14[[#This Row],[DIAS HABILES O MORA]]&lt;0,(Tabla14[[#This Row],[VALOR PRESTAMO]]*Tabla14[[#This Row],[% INTERES ]]/30*U2603))+Tabla14[[#This Row],[VALOR CUOTAS]]</f>
        <v>#VALUE!</v>
      </c>
      <c r="S2603" s="88">
        <f>-IF(Tabla14[[#This Row],[DIAS HABILES O MORA]]&lt;0,(Tabla14[[#This Row],[VALOR PRESTAMO]]*Tabla14[[#This Row],[% INTERES ]]/30*U2603))</f>
        <v>0</v>
      </c>
      <c r="T2603" s="53" t="e">
        <f>Tabla14[[#This Row],[DEUDA CAPITAL]]+Tabla14[[#This Row],[INTERES  CUOTA]]</f>
        <v>#NUM!</v>
      </c>
      <c r="U2603" s="61" t="str">
        <f t="shared" si="419"/>
        <v/>
      </c>
    </row>
    <row r="2604" spans="9:21" ht="24.75" customHeight="1" x14ac:dyDescent="0.35">
      <c r="I2604" s="42">
        <f t="shared" si="410"/>
        <v>0</v>
      </c>
      <c r="J2604" s="65" t="e">
        <f t="shared" si="411"/>
        <v>#NUM!</v>
      </c>
      <c r="K2604" s="83" t="e">
        <f t="shared" si="412"/>
        <v>#NUM!</v>
      </c>
      <c r="L2604" s="83">
        <f t="shared" si="413"/>
        <v>0</v>
      </c>
      <c r="M2604" s="110" t="str">
        <f t="shared" si="414"/>
        <v/>
      </c>
      <c r="N2604" s="51" t="str">
        <f t="shared" si="415"/>
        <v/>
      </c>
      <c r="O2604" s="52" t="str">
        <f t="shared" si="416"/>
        <v/>
      </c>
      <c r="P2604" s="88">
        <f t="shared" si="417"/>
        <v>0</v>
      </c>
      <c r="Q2604" s="88">
        <f t="shared" si="418"/>
        <v>0</v>
      </c>
      <c r="R2604" s="88" t="e">
        <f>-IF(Tabla14[[#This Row],[DIAS HABILES O MORA]]&lt;0,(Tabla14[[#This Row],[VALOR PRESTAMO]]*Tabla14[[#This Row],[% INTERES ]]/30*U2604))+Tabla14[[#This Row],[VALOR CUOTAS]]</f>
        <v>#VALUE!</v>
      </c>
      <c r="S2604" s="88">
        <f>-IF(Tabla14[[#This Row],[DIAS HABILES O MORA]]&lt;0,(Tabla14[[#This Row],[VALOR PRESTAMO]]*Tabla14[[#This Row],[% INTERES ]]/30*U2604))</f>
        <v>0</v>
      </c>
      <c r="T2604" s="53" t="e">
        <f>Tabla14[[#This Row],[DEUDA CAPITAL]]+Tabla14[[#This Row],[INTERES  CUOTA]]</f>
        <v>#NUM!</v>
      </c>
      <c r="U2604" s="61" t="str">
        <f t="shared" si="419"/>
        <v/>
      </c>
    </row>
    <row r="2605" spans="9:21" ht="24.75" customHeight="1" x14ac:dyDescent="0.35">
      <c r="I2605" s="42">
        <f t="shared" si="410"/>
        <v>0</v>
      </c>
      <c r="J2605" s="65" t="e">
        <f t="shared" si="411"/>
        <v>#NUM!</v>
      </c>
      <c r="K2605" s="83" t="e">
        <f t="shared" si="412"/>
        <v>#NUM!</v>
      </c>
      <c r="L2605" s="83">
        <f t="shared" si="413"/>
        <v>0</v>
      </c>
      <c r="M2605" s="110" t="str">
        <f t="shared" si="414"/>
        <v/>
      </c>
      <c r="N2605" s="51" t="str">
        <f t="shared" si="415"/>
        <v/>
      </c>
      <c r="O2605" s="52" t="str">
        <f t="shared" si="416"/>
        <v/>
      </c>
      <c r="P2605" s="88">
        <f t="shared" si="417"/>
        <v>0</v>
      </c>
      <c r="Q2605" s="88">
        <f t="shared" si="418"/>
        <v>0</v>
      </c>
      <c r="R2605" s="88" t="e">
        <f>-IF(Tabla14[[#This Row],[DIAS HABILES O MORA]]&lt;0,(Tabla14[[#This Row],[VALOR PRESTAMO]]*Tabla14[[#This Row],[% INTERES ]]/30*U2605))+Tabla14[[#This Row],[VALOR CUOTAS]]</f>
        <v>#VALUE!</v>
      </c>
      <c r="S2605" s="88">
        <f>-IF(Tabla14[[#This Row],[DIAS HABILES O MORA]]&lt;0,(Tabla14[[#This Row],[VALOR PRESTAMO]]*Tabla14[[#This Row],[% INTERES ]]/30*U2605))</f>
        <v>0</v>
      </c>
      <c r="T2605" s="53" t="e">
        <f>Tabla14[[#This Row],[DEUDA CAPITAL]]+Tabla14[[#This Row],[INTERES  CUOTA]]</f>
        <v>#NUM!</v>
      </c>
      <c r="U2605" s="61" t="str">
        <f t="shared" si="419"/>
        <v/>
      </c>
    </row>
    <row r="2606" spans="9:21" ht="24.75" customHeight="1" x14ac:dyDescent="0.35">
      <c r="I2606" s="42">
        <f t="shared" si="410"/>
        <v>0</v>
      </c>
      <c r="J2606" s="65" t="e">
        <f t="shared" si="411"/>
        <v>#NUM!</v>
      </c>
      <c r="K2606" s="83" t="e">
        <f t="shared" si="412"/>
        <v>#NUM!</v>
      </c>
      <c r="L2606" s="83">
        <f t="shared" si="413"/>
        <v>0</v>
      </c>
      <c r="M2606" s="110" t="str">
        <f t="shared" si="414"/>
        <v/>
      </c>
      <c r="N2606" s="51" t="str">
        <f t="shared" si="415"/>
        <v/>
      </c>
      <c r="O2606" s="52" t="str">
        <f t="shared" si="416"/>
        <v/>
      </c>
      <c r="P2606" s="88">
        <f t="shared" si="417"/>
        <v>0</v>
      </c>
      <c r="Q2606" s="88">
        <f t="shared" si="418"/>
        <v>0</v>
      </c>
      <c r="R2606" s="88" t="e">
        <f>-IF(Tabla14[[#This Row],[DIAS HABILES O MORA]]&lt;0,(Tabla14[[#This Row],[VALOR PRESTAMO]]*Tabla14[[#This Row],[% INTERES ]]/30*U2606))+Tabla14[[#This Row],[VALOR CUOTAS]]</f>
        <v>#VALUE!</v>
      </c>
      <c r="S2606" s="88">
        <f>-IF(Tabla14[[#This Row],[DIAS HABILES O MORA]]&lt;0,(Tabla14[[#This Row],[VALOR PRESTAMO]]*Tabla14[[#This Row],[% INTERES ]]/30*U2606))</f>
        <v>0</v>
      </c>
      <c r="T2606" s="53" t="e">
        <f>Tabla14[[#This Row],[DEUDA CAPITAL]]+Tabla14[[#This Row],[INTERES  CUOTA]]</f>
        <v>#NUM!</v>
      </c>
      <c r="U2606" s="61" t="str">
        <f t="shared" si="419"/>
        <v/>
      </c>
    </row>
    <row r="2607" spans="9:21" ht="24.75" customHeight="1" x14ac:dyDescent="0.35">
      <c r="I2607" s="42">
        <f t="shared" si="410"/>
        <v>0</v>
      </c>
      <c r="J2607" s="65" t="e">
        <f t="shared" si="411"/>
        <v>#NUM!</v>
      </c>
      <c r="K2607" s="83" t="e">
        <f t="shared" si="412"/>
        <v>#NUM!</v>
      </c>
      <c r="L2607" s="83">
        <f t="shared" si="413"/>
        <v>0</v>
      </c>
      <c r="M2607" s="110" t="str">
        <f t="shared" si="414"/>
        <v/>
      </c>
      <c r="N2607" s="51" t="str">
        <f t="shared" si="415"/>
        <v/>
      </c>
      <c r="O2607" s="52" t="str">
        <f t="shared" si="416"/>
        <v/>
      </c>
      <c r="P2607" s="88">
        <f t="shared" si="417"/>
        <v>0</v>
      </c>
      <c r="Q2607" s="88">
        <f t="shared" si="418"/>
        <v>0</v>
      </c>
      <c r="R2607" s="88" t="e">
        <f>-IF(Tabla14[[#This Row],[DIAS HABILES O MORA]]&lt;0,(Tabla14[[#This Row],[VALOR PRESTAMO]]*Tabla14[[#This Row],[% INTERES ]]/30*U2607))+Tabla14[[#This Row],[VALOR CUOTAS]]</f>
        <v>#VALUE!</v>
      </c>
      <c r="S2607" s="88">
        <f>-IF(Tabla14[[#This Row],[DIAS HABILES O MORA]]&lt;0,(Tabla14[[#This Row],[VALOR PRESTAMO]]*Tabla14[[#This Row],[% INTERES ]]/30*U2607))</f>
        <v>0</v>
      </c>
      <c r="T2607" s="53" t="e">
        <f>Tabla14[[#This Row],[DEUDA CAPITAL]]+Tabla14[[#This Row],[INTERES  CUOTA]]</f>
        <v>#NUM!</v>
      </c>
      <c r="U2607" s="61" t="str">
        <f t="shared" si="419"/>
        <v/>
      </c>
    </row>
    <row r="2608" spans="9:21" ht="24.75" customHeight="1" x14ac:dyDescent="0.35">
      <c r="I2608" s="42">
        <f t="shared" si="410"/>
        <v>0</v>
      </c>
      <c r="J2608" s="65" t="e">
        <f t="shared" si="411"/>
        <v>#NUM!</v>
      </c>
      <c r="K2608" s="83" t="e">
        <f t="shared" si="412"/>
        <v>#NUM!</v>
      </c>
      <c r="L2608" s="83">
        <f t="shared" si="413"/>
        <v>0</v>
      </c>
      <c r="M2608" s="110" t="str">
        <f t="shared" si="414"/>
        <v/>
      </c>
      <c r="N2608" s="51" t="str">
        <f t="shared" si="415"/>
        <v/>
      </c>
      <c r="O2608" s="52" t="str">
        <f t="shared" si="416"/>
        <v/>
      </c>
      <c r="P2608" s="88">
        <f t="shared" si="417"/>
        <v>0</v>
      </c>
      <c r="Q2608" s="88">
        <f t="shared" si="418"/>
        <v>0</v>
      </c>
      <c r="R2608" s="88" t="e">
        <f>-IF(Tabla14[[#This Row],[DIAS HABILES O MORA]]&lt;0,(Tabla14[[#This Row],[VALOR PRESTAMO]]*Tabla14[[#This Row],[% INTERES ]]/30*U2608))+Tabla14[[#This Row],[VALOR CUOTAS]]</f>
        <v>#VALUE!</v>
      </c>
      <c r="S2608" s="88">
        <f>-IF(Tabla14[[#This Row],[DIAS HABILES O MORA]]&lt;0,(Tabla14[[#This Row],[VALOR PRESTAMO]]*Tabla14[[#This Row],[% INTERES ]]/30*U2608))</f>
        <v>0</v>
      </c>
      <c r="T2608" s="53" t="e">
        <f>Tabla14[[#This Row],[DEUDA CAPITAL]]+Tabla14[[#This Row],[INTERES  CUOTA]]</f>
        <v>#NUM!</v>
      </c>
      <c r="U2608" s="61" t="str">
        <f t="shared" si="419"/>
        <v/>
      </c>
    </row>
    <row r="2609" spans="9:21" ht="24.75" customHeight="1" x14ac:dyDescent="0.35">
      <c r="I2609" s="42">
        <f t="shared" si="410"/>
        <v>0</v>
      </c>
      <c r="J2609" s="65" t="e">
        <f t="shared" si="411"/>
        <v>#NUM!</v>
      </c>
      <c r="K2609" s="83" t="e">
        <f t="shared" si="412"/>
        <v>#NUM!</v>
      </c>
      <c r="L2609" s="83">
        <f t="shared" si="413"/>
        <v>0</v>
      </c>
      <c r="M2609" s="110" t="str">
        <f t="shared" si="414"/>
        <v/>
      </c>
      <c r="N2609" s="51" t="str">
        <f t="shared" si="415"/>
        <v/>
      </c>
      <c r="O2609" s="52" t="str">
        <f t="shared" si="416"/>
        <v/>
      </c>
      <c r="P2609" s="88">
        <f t="shared" si="417"/>
        <v>0</v>
      </c>
      <c r="Q2609" s="88">
        <f t="shared" si="418"/>
        <v>0</v>
      </c>
      <c r="R2609" s="88" t="e">
        <f>-IF(Tabla14[[#This Row],[DIAS HABILES O MORA]]&lt;0,(Tabla14[[#This Row],[VALOR PRESTAMO]]*Tabla14[[#This Row],[% INTERES ]]/30*U2609))+Tabla14[[#This Row],[VALOR CUOTAS]]</f>
        <v>#VALUE!</v>
      </c>
      <c r="S2609" s="88">
        <f>-IF(Tabla14[[#This Row],[DIAS HABILES O MORA]]&lt;0,(Tabla14[[#This Row],[VALOR PRESTAMO]]*Tabla14[[#This Row],[% INTERES ]]/30*U2609))</f>
        <v>0</v>
      </c>
      <c r="T2609" s="53" t="e">
        <f>Tabla14[[#This Row],[DEUDA CAPITAL]]+Tabla14[[#This Row],[INTERES  CUOTA]]</f>
        <v>#NUM!</v>
      </c>
      <c r="U2609" s="61" t="str">
        <f t="shared" si="419"/>
        <v/>
      </c>
    </row>
    <row r="2610" spans="9:21" ht="24.75" customHeight="1" x14ac:dyDescent="0.35">
      <c r="I2610" s="42">
        <f t="shared" si="410"/>
        <v>0</v>
      </c>
      <c r="J2610" s="65" t="e">
        <f t="shared" si="411"/>
        <v>#NUM!</v>
      </c>
      <c r="K2610" s="83" t="e">
        <f t="shared" si="412"/>
        <v>#NUM!</v>
      </c>
      <c r="L2610" s="83">
        <f t="shared" si="413"/>
        <v>0</v>
      </c>
      <c r="M2610" s="110" t="str">
        <f t="shared" si="414"/>
        <v/>
      </c>
      <c r="N2610" s="51" t="str">
        <f t="shared" si="415"/>
        <v/>
      </c>
      <c r="O2610" s="52" t="str">
        <f t="shared" si="416"/>
        <v/>
      </c>
      <c r="P2610" s="88">
        <f t="shared" si="417"/>
        <v>0</v>
      </c>
      <c r="Q2610" s="88">
        <f t="shared" si="418"/>
        <v>0</v>
      </c>
      <c r="R2610" s="88" t="e">
        <f>-IF(Tabla14[[#This Row],[DIAS HABILES O MORA]]&lt;0,(Tabla14[[#This Row],[VALOR PRESTAMO]]*Tabla14[[#This Row],[% INTERES ]]/30*U2610))+Tabla14[[#This Row],[VALOR CUOTAS]]</f>
        <v>#VALUE!</v>
      </c>
      <c r="S2610" s="88">
        <f>-IF(Tabla14[[#This Row],[DIAS HABILES O MORA]]&lt;0,(Tabla14[[#This Row],[VALOR PRESTAMO]]*Tabla14[[#This Row],[% INTERES ]]/30*U2610))</f>
        <v>0</v>
      </c>
      <c r="T2610" s="53" t="e">
        <f>Tabla14[[#This Row],[DEUDA CAPITAL]]+Tabla14[[#This Row],[INTERES  CUOTA]]</f>
        <v>#NUM!</v>
      </c>
      <c r="U2610" s="61" t="str">
        <f t="shared" si="419"/>
        <v/>
      </c>
    </row>
    <row r="2611" spans="9:21" ht="24.75" customHeight="1" x14ac:dyDescent="0.35">
      <c r="I2611" s="42">
        <f t="shared" si="410"/>
        <v>0</v>
      </c>
      <c r="J2611" s="65" t="e">
        <f t="shared" si="411"/>
        <v>#NUM!</v>
      </c>
      <c r="K2611" s="83" t="e">
        <f t="shared" si="412"/>
        <v>#NUM!</v>
      </c>
      <c r="L2611" s="83">
        <f t="shared" si="413"/>
        <v>0</v>
      </c>
      <c r="M2611" s="110" t="str">
        <f t="shared" si="414"/>
        <v/>
      </c>
      <c r="N2611" s="51" t="str">
        <f t="shared" si="415"/>
        <v/>
      </c>
      <c r="O2611" s="52" t="str">
        <f t="shared" si="416"/>
        <v/>
      </c>
      <c r="P2611" s="88">
        <f t="shared" si="417"/>
        <v>0</v>
      </c>
      <c r="Q2611" s="88">
        <f t="shared" si="418"/>
        <v>0</v>
      </c>
      <c r="R2611" s="88" t="e">
        <f>-IF(Tabla14[[#This Row],[DIAS HABILES O MORA]]&lt;0,(Tabla14[[#This Row],[VALOR PRESTAMO]]*Tabla14[[#This Row],[% INTERES ]]/30*U2611))+Tabla14[[#This Row],[VALOR CUOTAS]]</f>
        <v>#VALUE!</v>
      </c>
      <c r="S2611" s="88">
        <f>-IF(Tabla14[[#This Row],[DIAS HABILES O MORA]]&lt;0,(Tabla14[[#This Row],[VALOR PRESTAMO]]*Tabla14[[#This Row],[% INTERES ]]/30*U2611))</f>
        <v>0</v>
      </c>
      <c r="T2611" s="53" t="e">
        <f>Tabla14[[#This Row],[DEUDA CAPITAL]]+Tabla14[[#This Row],[INTERES  CUOTA]]</f>
        <v>#NUM!</v>
      </c>
      <c r="U2611" s="61" t="str">
        <f t="shared" si="419"/>
        <v/>
      </c>
    </row>
    <row r="2612" spans="9:21" ht="24.75" customHeight="1" x14ac:dyDescent="0.35">
      <c r="I2612" s="42">
        <f t="shared" si="410"/>
        <v>0</v>
      </c>
      <c r="J2612" s="65" t="e">
        <f t="shared" si="411"/>
        <v>#NUM!</v>
      </c>
      <c r="K2612" s="83" t="e">
        <f t="shared" si="412"/>
        <v>#NUM!</v>
      </c>
      <c r="L2612" s="83">
        <f t="shared" si="413"/>
        <v>0</v>
      </c>
      <c r="M2612" s="110" t="str">
        <f t="shared" si="414"/>
        <v/>
      </c>
      <c r="N2612" s="51" t="str">
        <f t="shared" si="415"/>
        <v/>
      </c>
      <c r="O2612" s="52" t="str">
        <f t="shared" si="416"/>
        <v/>
      </c>
      <c r="P2612" s="88">
        <f t="shared" si="417"/>
        <v>0</v>
      </c>
      <c r="Q2612" s="88">
        <f t="shared" si="418"/>
        <v>0</v>
      </c>
      <c r="R2612" s="88" t="e">
        <f>-IF(Tabla14[[#This Row],[DIAS HABILES O MORA]]&lt;0,(Tabla14[[#This Row],[VALOR PRESTAMO]]*Tabla14[[#This Row],[% INTERES ]]/30*U2612))+Tabla14[[#This Row],[VALOR CUOTAS]]</f>
        <v>#VALUE!</v>
      </c>
      <c r="S2612" s="88">
        <f>-IF(Tabla14[[#This Row],[DIAS HABILES O MORA]]&lt;0,(Tabla14[[#This Row],[VALOR PRESTAMO]]*Tabla14[[#This Row],[% INTERES ]]/30*U2612))</f>
        <v>0</v>
      </c>
      <c r="T2612" s="53" t="e">
        <f>Tabla14[[#This Row],[DEUDA CAPITAL]]+Tabla14[[#This Row],[INTERES  CUOTA]]</f>
        <v>#NUM!</v>
      </c>
      <c r="U2612" s="61" t="str">
        <f t="shared" si="419"/>
        <v/>
      </c>
    </row>
    <row r="2613" spans="9:21" ht="24.75" customHeight="1" x14ac:dyDescent="0.35">
      <c r="I2613" s="42">
        <f t="shared" si="410"/>
        <v>0</v>
      </c>
      <c r="J2613" s="65" t="e">
        <f t="shared" si="411"/>
        <v>#NUM!</v>
      </c>
      <c r="K2613" s="83" t="e">
        <f t="shared" si="412"/>
        <v>#NUM!</v>
      </c>
      <c r="L2613" s="83">
        <f t="shared" si="413"/>
        <v>0</v>
      </c>
      <c r="M2613" s="110" t="str">
        <f t="shared" si="414"/>
        <v/>
      </c>
      <c r="N2613" s="51" t="str">
        <f t="shared" si="415"/>
        <v/>
      </c>
      <c r="O2613" s="52" t="str">
        <f t="shared" si="416"/>
        <v/>
      </c>
      <c r="P2613" s="88">
        <f t="shared" si="417"/>
        <v>0</v>
      </c>
      <c r="Q2613" s="88">
        <f t="shared" si="418"/>
        <v>0</v>
      </c>
      <c r="R2613" s="88" t="e">
        <f>-IF(Tabla14[[#This Row],[DIAS HABILES O MORA]]&lt;0,(Tabla14[[#This Row],[VALOR PRESTAMO]]*Tabla14[[#This Row],[% INTERES ]]/30*U2613))+Tabla14[[#This Row],[VALOR CUOTAS]]</f>
        <v>#VALUE!</v>
      </c>
      <c r="S2613" s="88">
        <f>-IF(Tabla14[[#This Row],[DIAS HABILES O MORA]]&lt;0,(Tabla14[[#This Row],[VALOR PRESTAMO]]*Tabla14[[#This Row],[% INTERES ]]/30*U2613))</f>
        <v>0</v>
      </c>
      <c r="T2613" s="53" t="e">
        <f>Tabla14[[#This Row],[DEUDA CAPITAL]]+Tabla14[[#This Row],[INTERES  CUOTA]]</f>
        <v>#NUM!</v>
      </c>
      <c r="U2613" s="61" t="str">
        <f t="shared" si="419"/>
        <v/>
      </c>
    </row>
    <row r="2614" spans="9:21" ht="24.75" customHeight="1" x14ac:dyDescent="0.35">
      <c r="I2614" s="42">
        <f t="shared" si="410"/>
        <v>0</v>
      </c>
      <c r="J2614" s="65" t="e">
        <f t="shared" si="411"/>
        <v>#NUM!</v>
      </c>
      <c r="K2614" s="83" t="e">
        <f t="shared" si="412"/>
        <v>#NUM!</v>
      </c>
      <c r="L2614" s="83">
        <f t="shared" si="413"/>
        <v>0</v>
      </c>
      <c r="M2614" s="110" t="str">
        <f t="shared" si="414"/>
        <v/>
      </c>
      <c r="N2614" s="51" t="str">
        <f t="shared" si="415"/>
        <v/>
      </c>
      <c r="O2614" s="52" t="str">
        <f t="shared" si="416"/>
        <v/>
      </c>
      <c r="P2614" s="88">
        <f t="shared" si="417"/>
        <v>0</v>
      </c>
      <c r="Q2614" s="88">
        <f t="shared" si="418"/>
        <v>0</v>
      </c>
      <c r="R2614" s="88" t="e">
        <f>-IF(Tabla14[[#This Row],[DIAS HABILES O MORA]]&lt;0,(Tabla14[[#This Row],[VALOR PRESTAMO]]*Tabla14[[#This Row],[% INTERES ]]/30*U2614))+Tabla14[[#This Row],[VALOR CUOTAS]]</f>
        <v>#VALUE!</v>
      </c>
      <c r="S2614" s="88">
        <f>-IF(Tabla14[[#This Row],[DIAS HABILES O MORA]]&lt;0,(Tabla14[[#This Row],[VALOR PRESTAMO]]*Tabla14[[#This Row],[% INTERES ]]/30*U2614))</f>
        <v>0</v>
      </c>
      <c r="T2614" s="53" t="e">
        <f>Tabla14[[#This Row],[DEUDA CAPITAL]]+Tabla14[[#This Row],[INTERES  CUOTA]]</f>
        <v>#NUM!</v>
      </c>
      <c r="U2614" s="61" t="str">
        <f t="shared" si="419"/>
        <v/>
      </c>
    </row>
    <row r="2615" spans="9:21" ht="24.75" customHeight="1" x14ac:dyDescent="0.35">
      <c r="I2615" s="42">
        <f t="shared" si="410"/>
        <v>0</v>
      </c>
      <c r="J2615" s="65" t="e">
        <f t="shared" si="411"/>
        <v>#NUM!</v>
      </c>
      <c r="K2615" s="83" t="e">
        <f t="shared" si="412"/>
        <v>#NUM!</v>
      </c>
      <c r="L2615" s="83">
        <f t="shared" si="413"/>
        <v>0</v>
      </c>
      <c r="M2615" s="110" t="str">
        <f t="shared" si="414"/>
        <v/>
      </c>
      <c r="N2615" s="51" t="str">
        <f t="shared" si="415"/>
        <v/>
      </c>
      <c r="O2615" s="52" t="str">
        <f t="shared" si="416"/>
        <v/>
      </c>
      <c r="P2615" s="88">
        <f t="shared" si="417"/>
        <v>0</v>
      </c>
      <c r="Q2615" s="88">
        <f t="shared" si="418"/>
        <v>0</v>
      </c>
      <c r="R2615" s="88" t="e">
        <f>-IF(Tabla14[[#This Row],[DIAS HABILES O MORA]]&lt;0,(Tabla14[[#This Row],[VALOR PRESTAMO]]*Tabla14[[#This Row],[% INTERES ]]/30*U2615))+Tabla14[[#This Row],[VALOR CUOTAS]]</f>
        <v>#VALUE!</v>
      </c>
      <c r="S2615" s="88">
        <f>-IF(Tabla14[[#This Row],[DIAS HABILES O MORA]]&lt;0,(Tabla14[[#This Row],[VALOR PRESTAMO]]*Tabla14[[#This Row],[% INTERES ]]/30*U2615))</f>
        <v>0</v>
      </c>
      <c r="T2615" s="53" t="e">
        <f>Tabla14[[#This Row],[DEUDA CAPITAL]]+Tabla14[[#This Row],[INTERES  CUOTA]]</f>
        <v>#NUM!</v>
      </c>
      <c r="U2615" s="61" t="str">
        <f t="shared" si="419"/>
        <v/>
      </c>
    </row>
    <row r="2616" spans="9:21" ht="24.75" customHeight="1" x14ac:dyDescent="0.35">
      <c r="I2616" s="42">
        <f t="shared" si="410"/>
        <v>0</v>
      </c>
      <c r="J2616" s="65" t="e">
        <f t="shared" si="411"/>
        <v>#NUM!</v>
      </c>
      <c r="K2616" s="83" t="e">
        <f t="shared" si="412"/>
        <v>#NUM!</v>
      </c>
      <c r="L2616" s="83">
        <f t="shared" si="413"/>
        <v>0</v>
      </c>
      <c r="M2616" s="110" t="str">
        <f t="shared" si="414"/>
        <v/>
      </c>
      <c r="N2616" s="51" t="str">
        <f t="shared" si="415"/>
        <v/>
      </c>
      <c r="O2616" s="52" t="str">
        <f t="shared" si="416"/>
        <v/>
      </c>
      <c r="P2616" s="88">
        <f t="shared" si="417"/>
        <v>0</v>
      </c>
      <c r="Q2616" s="88">
        <f t="shared" si="418"/>
        <v>0</v>
      </c>
      <c r="R2616" s="88" t="e">
        <f>-IF(Tabla14[[#This Row],[DIAS HABILES O MORA]]&lt;0,(Tabla14[[#This Row],[VALOR PRESTAMO]]*Tabla14[[#This Row],[% INTERES ]]/30*U2616))+Tabla14[[#This Row],[VALOR CUOTAS]]</f>
        <v>#VALUE!</v>
      </c>
      <c r="S2616" s="88">
        <f>-IF(Tabla14[[#This Row],[DIAS HABILES O MORA]]&lt;0,(Tabla14[[#This Row],[VALOR PRESTAMO]]*Tabla14[[#This Row],[% INTERES ]]/30*U2616))</f>
        <v>0</v>
      </c>
      <c r="T2616" s="53" t="e">
        <f>Tabla14[[#This Row],[DEUDA CAPITAL]]+Tabla14[[#This Row],[INTERES  CUOTA]]</f>
        <v>#NUM!</v>
      </c>
      <c r="U2616" s="61" t="str">
        <f t="shared" si="419"/>
        <v/>
      </c>
    </row>
    <row r="2617" spans="9:21" ht="24.75" customHeight="1" x14ac:dyDescent="0.35">
      <c r="I2617" s="42">
        <f t="shared" si="410"/>
        <v>0</v>
      </c>
      <c r="J2617" s="65" t="e">
        <f t="shared" si="411"/>
        <v>#NUM!</v>
      </c>
      <c r="K2617" s="83" t="e">
        <f t="shared" si="412"/>
        <v>#NUM!</v>
      </c>
      <c r="L2617" s="83">
        <f t="shared" si="413"/>
        <v>0</v>
      </c>
      <c r="M2617" s="110" t="str">
        <f t="shared" si="414"/>
        <v/>
      </c>
      <c r="N2617" s="51" t="str">
        <f t="shared" si="415"/>
        <v/>
      </c>
      <c r="O2617" s="52" t="str">
        <f t="shared" si="416"/>
        <v/>
      </c>
      <c r="P2617" s="88">
        <f t="shared" si="417"/>
        <v>0</v>
      </c>
      <c r="Q2617" s="88">
        <f t="shared" si="418"/>
        <v>0</v>
      </c>
      <c r="R2617" s="88" t="e">
        <f>-IF(Tabla14[[#This Row],[DIAS HABILES O MORA]]&lt;0,(Tabla14[[#This Row],[VALOR PRESTAMO]]*Tabla14[[#This Row],[% INTERES ]]/30*U2617))+Tabla14[[#This Row],[VALOR CUOTAS]]</f>
        <v>#VALUE!</v>
      </c>
      <c r="S2617" s="88">
        <f>-IF(Tabla14[[#This Row],[DIAS HABILES O MORA]]&lt;0,(Tabla14[[#This Row],[VALOR PRESTAMO]]*Tabla14[[#This Row],[% INTERES ]]/30*U2617))</f>
        <v>0</v>
      </c>
      <c r="T2617" s="53" t="e">
        <f>Tabla14[[#This Row],[DEUDA CAPITAL]]+Tabla14[[#This Row],[INTERES  CUOTA]]</f>
        <v>#NUM!</v>
      </c>
      <c r="U2617" s="61" t="str">
        <f t="shared" si="419"/>
        <v/>
      </c>
    </row>
    <row r="2618" spans="9:21" ht="24.75" customHeight="1" x14ac:dyDescent="0.35">
      <c r="I2618" s="42">
        <f t="shared" si="410"/>
        <v>0</v>
      </c>
      <c r="J2618" s="65" t="e">
        <f t="shared" si="411"/>
        <v>#NUM!</v>
      </c>
      <c r="K2618" s="83" t="e">
        <f t="shared" si="412"/>
        <v>#NUM!</v>
      </c>
      <c r="L2618" s="83">
        <f t="shared" si="413"/>
        <v>0</v>
      </c>
      <c r="M2618" s="110" t="str">
        <f t="shared" si="414"/>
        <v/>
      </c>
      <c r="N2618" s="51" t="str">
        <f t="shared" si="415"/>
        <v/>
      </c>
      <c r="O2618" s="52" t="str">
        <f t="shared" si="416"/>
        <v/>
      </c>
      <c r="P2618" s="88">
        <f t="shared" si="417"/>
        <v>0</v>
      </c>
      <c r="Q2618" s="88">
        <f t="shared" si="418"/>
        <v>0</v>
      </c>
      <c r="R2618" s="88" t="e">
        <f>-IF(Tabla14[[#This Row],[DIAS HABILES O MORA]]&lt;0,(Tabla14[[#This Row],[VALOR PRESTAMO]]*Tabla14[[#This Row],[% INTERES ]]/30*U2618))+Tabla14[[#This Row],[VALOR CUOTAS]]</f>
        <v>#VALUE!</v>
      </c>
      <c r="S2618" s="88">
        <f>-IF(Tabla14[[#This Row],[DIAS HABILES O MORA]]&lt;0,(Tabla14[[#This Row],[VALOR PRESTAMO]]*Tabla14[[#This Row],[% INTERES ]]/30*U2618))</f>
        <v>0</v>
      </c>
      <c r="T2618" s="53" t="e">
        <f>Tabla14[[#This Row],[DEUDA CAPITAL]]+Tabla14[[#This Row],[INTERES  CUOTA]]</f>
        <v>#NUM!</v>
      </c>
      <c r="U2618" s="61" t="str">
        <f t="shared" si="419"/>
        <v/>
      </c>
    </row>
    <row r="2619" spans="9:21" ht="24.75" customHeight="1" x14ac:dyDescent="0.35">
      <c r="I2619" s="42">
        <f t="shared" si="410"/>
        <v>0</v>
      </c>
      <c r="J2619" s="65" t="e">
        <f t="shared" si="411"/>
        <v>#NUM!</v>
      </c>
      <c r="K2619" s="83" t="e">
        <f t="shared" si="412"/>
        <v>#NUM!</v>
      </c>
      <c r="L2619" s="83">
        <f t="shared" si="413"/>
        <v>0</v>
      </c>
      <c r="M2619" s="110" t="str">
        <f t="shared" si="414"/>
        <v/>
      </c>
      <c r="N2619" s="51" t="str">
        <f t="shared" si="415"/>
        <v/>
      </c>
      <c r="O2619" s="52" t="str">
        <f t="shared" si="416"/>
        <v/>
      </c>
      <c r="P2619" s="88">
        <f t="shared" si="417"/>
        <v>0</v>
      </c>
      <c r="Q2619" s="88">
        <f t="shared" si="418"/>
        <v>0</v>
      </c>
      <c r="R2619" s="88" t="e">
        <f>-IF(Tabla14[[#This Row],[DIAS HABILES O MORA]]&lt;0,(Tabla14[[#This Row],[VALOR PRESTAMO]]*Tabla14[[#This Row],[% INTERES ]]/30*U2619))+Tabla14[[#This Row],[VALOR CUOTAS]]</f>
        <v>#VALUE!</v>
      </c>
      <c r="S2619" s="88">
        <f>-IF(Tabla14[[#This Row],[DIAS HABILES O MORA]]&lt;0,(Tabla14[[#This Row],[VALOR PRESTAMO]]*Tabla14[[#This Row],[% INTERES ]]/30*U2619))</f>
        <v>0</v>
      </c>
      <c r="T2619" s="53" t="e">
        <f>Tabla14[[#This Row],[DEUDA CAPITAL]]+Tabla14[[#This Row],[INTERES  CUOTA]]</f>
        <v>#NUM!</v>
      </c>
      <c r="U2619" s="61" t="str">
        <f t="shared" si="419"/>
        <v/>
      </c>
    </row>
    <row r="2620" spans="9:21" ht="24.75" customHeight="1" x14ac:dyDescent="0.35">
      <c r="I2620" s="42">
        <f t="shared" si="410"/>
        <v>0</v>
      </c>
      <c r="J2620" s="65" t="e">
        <f t="shared" si="411"/>
        <v>#NUM!</v>
      </c>
      <c r="K2620" s="83" t="e">
        <f t="shared" si="412"/>
        <v>#NUM!</v>
      </c>
      <c r="L2620" s="83">
        <f t="shared" si="413"/>
        <v>0</v>
      </c>
      <c r="M2620" s="110" t="str">
        <f t="shared" si="414"/>
        <v/>
      </c>
      <c r="N2620" s="51" t="str">
        <f t="shared" si="415"/>
        <v/>
      </c>
      <c r="O2620" s="52" t="str">
        <f t="shared" si="416"/>
        <v/>
      </c>
      <c r="P2620" s="88">
        <f t="shared" si="417"/>
        <v>0</v>
      </c>
      <c r="Q2620" s="88">
        <f t="shared" si="418"/>
        <v>0</v>
      </c>
      <c r="R2620" s="88" t="e">
        <f>-IF(Tabla14[[#This Row],[DIAS HABILES O MORA]]&lt;0,(Tabla14[[#This Row],[VALOR PRESTAMO]]*Tabla14[[#This Row],[% INTERES ]]/30*U2620))+Tabla14[[#This Row],[VALOR CUOTAS]]</f>
        <v>#VALUE!</v>
      </c>
      <c r="S2620" s="88">
        <f>-IF(Tabla14[[#This Row],[DIAS HABILES O MORA]]&lt;0,(Tabla14[[#This Row],[VALOR PRESTAMO]]*Tabla14[[#This Row],[% INTERES ]]/30*U2620))</f>
        <v>0</v>
      </c>
      <c r="T2620" s="53" t="e">
        <f>Tabla14[[#This Row],[DEUDA CAPITAL]]+Tabla14[[#This Row],[INTERES  CUOTA]]</f>
        <v>#NUM!</v>
      </c>
      <c r="U2620" s="61" t="str">
        <f t="shared" si="419"/>
        <v/>
      </c>
    </row>
    <row r="2621" spans="9:21" ht="24.75" customHeight="1" x14ac:dyDescent="0.35">
      <c r="I2621" s="42">
        <f t="shared" si="410"/>
        <v>0</v>
      </c>
      <c r="J2621" s="65" t="e">
        <f t="shared" si="411"/>
        <v>#NUM!</v>
      </c>
      <c r="K2621" s="83" t="e">
        <f t="shared" si="412"/>
        <v>#NUM!</v>
      </c>
      <c r="L2621" s="83">
        <f t="shared" si="413"/>
        <v>0</v>
      </c>
      <c r="M2621" s="110" t="str">
        <f t="shared" si="414"/>
        <v/>
      </c>
      <c r="N2621" s="51" t="str">
        <f t="shared" si="415"/>
        <v/>
      </c>
      <c r="O2621" s="52" t="str">
        <f t="shared" si="416"/>
        <v/>
      </c>
      <c r="P2621" s="88">
        <f t="shared" si="417"/>
        <v>0</v>
      </c>
      <c r="Q2621" s="88">
        <f t="shared" si="418"/>
        <v>0</v>
      </c>
      <c r="R2621" s="88" t="e">
        <f>-IF(Tabla14[[#This Row],[DIAS HABILES O MORA]]&lt;0,(Tabla14[[#This Row],[VALOR PRESTAMO]]*Tabla14[[#This Row],[% INTERES ]]/30*U2621))+Tabla14[[#This Row],[VALOR CUOTAS]]</f>
        <v>#VALUE!</v>
      </c>
      <c r="S2621" s="88">
        <f>-IF(Tabla14[[#This Row],[DIAS HABILES O MORA]]&lt;0,(Tabla14[[#This Row],[VALOR PRESTAMO]]*Tabla14[[#This Row],[% INTERES ]]/30*U2621))</f>
        <v>0</v>
      </c>
      <c r="T2621" s="53" t="e">
        <f>Tabla14[[#This Row],[DEUDA CAPITAL]]+Tabla14[[#This Row],[INTERES  CUOTA]]</f>
        <v>#NUM!</v>
      </c>
      <c r="U2621" s="61" t="str">
        <f t="shared" si="419"/>
        <v/>
      </c>
    </row>
    <row r="2622" spans="9:21" ht="24.75" customHeight="1" x14ac:dyDescent="0.35">
      <c r="I2622" s="42">
        <f t="shared" si="410"/>
        <v>0</v>
      </c>
      <c r="J2622" s="65" t="e">
        <f t="shared" si="411"/>
        <v>#NUM!</v>
      </c>
      <c r="K2622" s="83" t="e">
        <f t="shared" si="412"/>
        <v>#NUM!</v>
      </c>
      <c r="L2622" s="83">
        <f t="shared" si="413"/>
        <v>0</v>
      </c>
      <c r="M2622" s="110" t="str">
        <f t="shared" si="414"/>
        <v/>
      </c>
      <c r="N2622" s="51" t="str">
        <f t="shared" si="415"/>
        <v/>
      </c>
      <c r="O2622" s="52" t="str">
        <f t="shared" si="416"/>
        <v/>
      </c>
      <c r="P2622" s="88">
        <f t="shared" si="417"/>
        <v>0</v>
      </c>
      <c r="Q2622" s="88">
        <f t="shared" si="418"/>
        <v>0</v>
      </c>
      <c r="R2622" s="88" t="e">
        <f>-IF(Tabla14[[#This Row],[DIAS HABILES O MORA]]&lt;0,(Tabla14[[#This Row],[VALOR PRESTAMO]]*Tabla14[[#This Row],[% INTERES ]]/30*U2622))+Tabla14[[#This Row],[VALOR CUOTAS]]</f>
        <v>#VALUE!</v>
      </c>
      <c r="S2622" s="88">
        <f>-IF(Tabla14[[#This Row],[DIAS HABILES O MORA]]&lt;0,(Tabla14[[#This Row],[VALOR PRESTAMO]]*Tabla14[[#This Row],[% INTERES ]]/30*U2622))</f>
        <v>0</v>
      </c>
      <c r="T2622" s="53" t="e">
        <f>Tabla14[[#This Row],[DEUDA CAPITAL]]+Tabla14[[#This Row],[INTERES  CUOTA]]</f>
        <v>#NUM!</v>
      </c>
      <c r="U2622" s="61" t="str">
        <f t="shared" si="419"/>
        <v/>
      </c>
    </row>
    <row r="2623" spans="9:21" ht="24.75" customHeight="1" x14ac:dyDescent="0.35">
      <c r="I2623" s="42">
        <f t="shared" si="410"/>
        <v>0</v>
      </c>
      <c r="J2623" s="65" t="e">
        <f t="shared" si="411"/>
        <v>#NUM!</v>
      </c>
      <c r="K2623" s="83" t="e">
        <f t="shared" si="412"/>
        <v>#NUM!</v>
      </c>
      <c r="L2623" s="83">
        <f t="shared" si="413"/>
        <v>0</v>
      </c>
      <c r="M2623" s="110" t="str">
        <f t="shared" si="414"/>
        <v/>
      </c>
      <c r="N2623" s="51" t="str">
        <f t="shared" si="415"/>
        <v/>
      </c>
      <c r="O2623" s="52" t="str">
        <f t="shared" si="416"/>
        <v/>
      </c>
      <c r="P2623" s="88">
        <f t="shared" si="417"/>
        <v>0</v>
      </c>
      <c r="Q2623" s="88">
        <f t="shared" si="418"/>
        <v>0</v>
      </c>
      <c r="R2623" s="88" t="e">
        <f>-IF(Tabla14[[#This Row],[DIAS HABILES O MORA]]&lt;0,(Tabla14[[#This Row],[VALOR PRESTAMO]]*Tabla14[[#This Row],[% INTERES ]]/30*U2623))+Tabla14[[#This Row],[VALOR CUOTAS]]</f>
        <v>#VALUE!</v>
      </c>
      <c r="S2623" s="88">
        <f>-IF(Tabla14[[#This Row],[DIAS HABILES O MORA]]&lt;0,(Tabla14[[#This Row],[VALOR PRESTAMO]]*Tabla14[[#This Row],[% INTERES ]]/30*U2623))</f>
        <v>0</v>
      </c>
      <c r="T2623" s="53" t="e">
        <f>Tabla14[[#This Row],[DEUDA CAPITAL]]+Tabla14[[#This Row],[INTERES  CUOTA]]</f>
        <v>#NUM!</v>
      </c>
      <c r="U2623" s="61" t="str">
        <f t="shared" si="419"/>
        <v/>
      </c>
    </row>
    <row r="2624" spans="9:21" ht="24.75" customHeight="1" x14ac:dyDescent="0.35">
      <c r="I2624" s="42">
        <f t="shared" si="410"/>
        <v>0</v>
      </c>
      <c r="J2624" s="65" t="e">
        <f t="shared" si="411"/>
        <v>#NUM!</v>
      </c>
      <c r="K2624" s="83" t="e">
        <f t="shared" si="412"/>
        <v>#NUM!</v>
      </c>
      <c r="L2624" s="83">
        <f t="shared" si="413"/>
        <v>0</v>
      </c>
      <c r="M2624" s="110" t="str">
        <f t="shared" si="414"/>
        <v/>
      </c>
      <c r="N2624" s="51" t="str">
        <f t="shared" si="415"/>
        <v/>
      </c>
      <c r="O2624" s="52" t="str">
        <f t="shared" si="416"/>
        <v/>
      </c>
      <c r="P2624" s="88">
        <f t="shared" si="417"/>
        <v>0</v>
      </c>
      <c r="Q2624" s="88">
        <f t="shared" si="418"/>
        <v>0</v>
      </c>
      <c r="R2624" s="88" t="e">
        <f>-IF(Tabla14[[#This Row],[DIAS HABILES O MORA]]&lt;0,(Tabla14[[#This Row],[VALOR PRESTAMO]]*Tabla14[[#This Row],[% INTERES ]]/30*U2624))+Tabla14[[#This Row],[VALOR CUOTAS]]</f>
        <v>#VALUE!</v>
      </c>
      <c r="S2624" s="88">
        <f>-IF(Tabla14[[#This Row],[DIAS HABILES O MORA]]&lt;0,(Tabla14[[#This Row],[VALOR PRESTAMO]]*Tabla14[[#This Row],[% INTERES ]]/30*U2624))</f>
        <v>0</v>
      </c>
      <c r="T2624" s="53" t="e">
        <f>Tabla14[[#This Row],[DEUDA CAPITAL]]+Tabla14[[#This Row],[INTERES  CUOTA]]</f>
        <v>#NUM!</v>
      </c>
      <c r="U2624" s="61" t="str">
        <f t="shared" si="419"/>
        <v/>
      </c>
    </row>
    <row r="2625" spans="9:21" ht="24.75" customHeight="1" x14ac:dyDescent="0.35">
      <c r="I2625" s="42">
        <f t="shared" si="410"/>
        <v>0</v>
      </c>
      <c r="J2625" s="65" t="e">
        <f t="shared" si="411"/>
        <v>#NUM!</v>
      </c>
      <c r="K2625" s="83" t="e">
        <f t="shared" si="412"/>
        <v>#NUM!</v>
      </c>
      <c r="L2625" s="83">
        <f t="shared" si="413"/>
        <v>0</v>
      </c>
      <c r="M2625" s="110" t="str">
        <f t="shared" si="414"/>
        <v/>
      </c>
      <c r="N2625" s="51" t="str">
        <f t="shared" si="415"/>
        <v/>
      </c>
      <c r="O2625" s="52" t="str">
        <f t="shared" si="416"/>
        <v/>
      </c>
      <c r="P2625" s="88">
        <f t="shared" si="417"/>
        <v>0</v>
      </c>
      <c r="Q2625" s="88">
        <f t="shared" si="418"/>
        <v>0</v>
      </c>
      <c r="R2625" s="88" t="e">
        <f>-IF(Tabla14[[#This Row],[DIAS HABILES O MORA]]&lt;0,(Tabla14[[#This Row],[VALOR PRESTAMO]]*Tabla14[[#This Row],[% INTERES ]]/30*U2625))+Tabla14[[#This Row],[VALOR CUOTAS]]</f>
        <v>#VALUE!</v>
      </c>
      <c r="S2625" s="88">
        <f>-IF(Tabla14[[#This Row],[DIAS HABILES O MORA]]&lt;0,(Tabla14[[#This Row],[VALOR PRESTAMO]]*Tabla14[[#This Row],[% INTERES ]]/30*U2625))</f>
        <v>0</v>
      </c>
      <c r="T2625" s="53" t="e">
        <f>Tabla14[[#This Row],[DEUDA CAPITAL]]+Tabla14[[#This Row],[INTERES  CUOTA]]</f>
        <v>#NUM!</v>
      </c>
      <c r="U2625" s="61" t="str">
        <f t="shared" si="419"/>
        <v/>
      </c>
    </row>
    <row r="2626" spans="9:21" ht="24.75" customHeight="1" x14ac:dyDescent="0.35">
      <c r="I2626" s="42">
        <f t="shared" si="410"/>
        <v>0</v>
      </c>
      <c r="J2626" s="65" t="e">
        <f t="shared" si="411"/>
        <v>#NUM!</v>
      </c>
      <c r="K2626" s="83" t="e">
        <f t="shared" si="412"/>
        <v>#NUM!</v>
      </c>
      <c r="L2626" s="83">
        <f t="shared" si="413"/>
        <v>0</v>
      </c>
      <c r="M2626" s="110" t="str">
        <f t="shared" si="414"/>
        <v/>
      </c>
      <c r="N2626" s="51" t="str">
        <f t="shared" si="415"/>
        <v/>
      </c>
      <c r="O2626" s="52" t="str">
        <f t="shared" si="416"/>
        <v/>
      </c>
      <c r="P2626" s="88">
        <f t="shared" si="417"/>
        <v>0</v>
      </c>
      <c r="Q2626" s="88">
        <f t="shared" si="418"/>
        <v>0</v>
      </c>
      <c r="R2626" s="88" t="e">
        <f>-IF(Tabla14[[#This Row],[DIAS HABILES O MORA]]&lt;0,(Tabla14[[#This Row],[VALOR PRESTAMO]]*Tabla14[[#This Row],[% INTERES ]]/30*U2626))+Tabla14[[#This Row],[VALOR CUOTAS]]</f>
        <v>#VALUE!</v>
      </c>
      <c r="S2626" s="88">
        <f>-IF(Tabla14[[#This Row],[DIAS HABILES O MORA]]&lt;0,(Tabla14[[#This Row],[VALOR PRESTAMO]]*Tabla14[[#This Row],[% INTERES ]]/30*U2626))</f>
        <v>0</v>
      </c>
      <c r="T2626" s="53" t="e">
        <f>Tabla14[[#This Row],[DEUDA CAPITAL]]+Tabla14[[#This Row],[INTERES  CUOTA]]</f>
        <v>#NUM!</v>
      </c>
      <c r="U2626" s="61" t="str">
        <f t="shared" si="419"/>
        <v/>
      </c>
    </row>
    <row r="2627" spans="9:21" ht="24.75" customHeight="1" x14ac:dyDescent="0.35">
      <c r="I2627" s="42">
        <f t="shared" si="410"/>
        <v>0</v>
      </c>
      <c r="J2627" s="65" t="e">
        <f t="shared" si="411"/>
        <v>#NUM!</v>
      </c>
      <c r="K2627" s="83" t="e">
        <f t="shared" si="412"/>
        <v>#NUM!</v>
      </c>
      <c r="L2627" s="83">
        <f t="shared" si="413"/>
        <v>0</v>
      </c>
      <c r="M2627" s="110" t="str">
        <f t="shared" si="414"/>
        <v/>
      </c>
      <c r="N2627" s="51" t="str">
        <f t="shared" si="415"/>
        <v/>
      </c>
      <c r="O2627" s="52" t="str">
        <f t="shared" si="416"/>
        <v/>
      </c>
      <c r="P2627" s="88">
        <f t="shared" si="417"/>
        <v>0</v>
      </c>
      <c r="Q2627" s="88">
        <f t="shared" si="418"/>
        <v>0</v>
      </c>
      <c r="R2627" s="88" t="e">
        <f>-IF(Tabla14[[#This Row],[DIAS HABILES O MORA]]&lt;0,(Tabla14[[#This Row],[VALOR PRESTAMO]]*Tabla14[[#This Row],[% INTERES ]]/30*U2627))+Tabla14[[#This Row],[VALOR CUOTAS]]</f>
        <v>#VALUE!</v>
      </c>
      <c r="S2627" s="88">
        <f>-IF(Tabla14[[#This Row],[DIAS HABILES O MORA]]&lt;0,(Tabla14[[#This Row],[VALOR PRESTAMO]]*Tabla14[[#This Row],[% INTERES ]]/30*U2627))</f>
        <v>0</v>
      </c>
      <c r="T2627" s="53" t="e">
        <f>Tabla14[[#This Row],[DEUDA CAPITAL]]+Tabla14[[#This Row],[INTERES  CUOTA]]</f>
        <v>#NUM!</v>
      </c>
      <c r="U2627" s="61" t="str">
        <f t="shared" si="419"/>
        <v/>
      </c>
    </row>
    <row r="2628" spans="9:21" ht="24.75" customHeight="1" x14ac:dyDescent="0.35">
      <c r="I2628" s="42">
        <f t="shared" si="410"/>
        <v>0</v>
      </c>
      <c r="J2628" s="65" t="e">
        <f t="shared" si="411"/>
        <v>#NUM!</v>
      </c>
      <c r="K2628" s="83" t="e">
        <f t="shared" si="412"/>
        <v>#NUM!</v>
      </c>
      <c r="L2628" s="83">
        <f t="shared" si="413"/>
        <v>0</v>
      </c>
      <c r="M2628" s="110" t="str">
        <f t="shared" si="414"/>
        <v/>
      </c>
      <c r="N2628" s="51" t="str">
        <f t="shared" si="415"/>
        <v/>
      </c>
      <c r="O2628" s="52" t="str">
        <f t="shared" si="416"/>
        <v/>
      </c>
      <c r="P2628" s="88">
        <f t="shared" si="417"/>
        <v>0</v>
      </c>
      <c r="Q2628" s="88">
        <f t="shared" si="418"/>
        <v>0</v>
      </c>
      <c r="R2628" s="88" t="e">
        <f>-IF(Tabla14[[#This Row],[DIAS HABILES O MORA]]&lt;0,(Tabla14[[#This Row],[VALOR PRESTAMO]]*Tabla14[[#This Row],[% INTERES ]]/30*U2628))+Tabla14[[#This Row],[VALOR CUOTAS]]</f>
        <v>#VALUE!</v>
      </c>
      <c r="S2628" s="88">
        <f>-IF(Tabla14[[#This Row],[DIAS HABILES O MORA]]&lt;0,(Tabla14[[#This Row],[VALOR PRESTAMO]]*Tabla14[[#This Row],[% INTERES ]]/30*U2628))</f>
        <v>0</v>
      </c>
      <c r="T2628" s="53" t="e">
        <f>Tabla14[[#This Row],[DEUDA CAPITAL]]+Tabla14[[#This Row],[INTERES  CUOTA]]</f>
        <v>#NUM!</v>
      </c>
      <c r="U2628" s="61" t="str">
        <f t="shared" si="419"/>
        <v/>
      </c>
    </row>
    <row r="2629" spans="9:21" ht="24.75" customHeight="1" x14ac:dyDescent="0.35">
      <c r="I2629" s="42">
        <f t="shared" si="410"/>
        <v>0</v>
      </c>
      <c r="J2629" s="65" t="e">
        <f t="shared" si="411"/>
        <v>#NUM!</v>
      </c>
      <c r="K2629" s="83" t="e">
        <f t="shared" si="412"/>
        <v>#NUM!</v>
      </c>
      <c r="L2629" s="83">
        <f t="shared" si="413"/>
        <v>0</v>
      </c>
      <c r="M2629" s="110" t="str">
        <f t="shared" si="414"/>
        <v/>
      </c>
      <c r="N2629" s="51" t="str">
        <f t="shared" si="415"/>
        <v/>
      </c>
      <c r="O2629" s="52" t="str">
        <f t="shared" si="416"/>
        <v/>
      </c>
      <c r="P2629" s="88">
        <f t="shared" si="417"/>
        <v>0</v>
      </c>
      <c r="Q2629" s="88">
        <f t="shared" si="418"/>
        <v>0</v>
      </c>
      <c r="R2629" s="88" t="e">
        <f>-IF(Tabla14[[#This Row],[DIAS HABILES O MORA]]&lt;0,(Tabla14[[#This Row],[VALOR PRESTAMO]]*Tabla14[[#This Row],[% INTERES ]]/30*U2629))+Tabla14[[#This Row],[VALOR CUOTAS]]</f>
        <v>#VALUE!</v>
      </c>
      <c r="S2629" s="88">
        <f>-IF(Tabla14[[#This Row],[DIAS HABILES O MORA]]&lt;0,(Tabla14[[#This Row],[VALOR PRESTAMO]]*Tabla14[[#This Row],[% INTERES ]]/30*U2629))</f>
        <v>0</v>
      </c>
      <c r="T2629" s="53" t="e">
        <f>Tabla14[[#This Row],[DEUDA CAPITAL]]+Tabla14[[#This Row],[INTERES  CUOTA]]</f>
        <v>#NUM!</v>
      </c>
      <c r="U2629" s="61" t="str">
        <f t="shared" si="419"/>
        <v/>
      </c>
    </row>
    <row r="2630" spans="9:21" ht="24.75" customHeight="1" x14ac:dyDescent="0.35">
      <c r="I2630" s="42">
        <f t="shared" si="410"/>
        <v>0</v>
      </c>
      <c r="J2630" s="65" t="e">
        <f t="shared" si="411"/>
        <v>#NUM!</v>
      </c>
      <c r="K2630" s="83" t="e">
        <f t="shared" si="412"/>
        <v>#NUM!</v>
      </c>
      <c r="L2630" s="83">
        <f t="shared" si="413"/>
        <v>0</v>
      </c>
      <c r="M2630" s="110" t="str">
        <f t="shared" si="414"/>
        <v/>
      </c>
      <c r="N2630" s="51" t="str">
        <f t="shared" si="415"/>
        <v/>
      </c>
      <c r="O2630" s="52" t="str">
        <f t="shared" si="416"/>
        <v/>
      </c>
      <c r="P2630" s="88">
        <f t="shared" si="417"/>
        <v>0</v>
      </c>
      <c r="Q2630" s="88">
        <f t="shared" si="418"/>
        <v>0</v>
      </c>
      <c r="R2630" s="88" t="e">
        <f>-IF(Tabla14[[#This Row],[DIAS HABILES O MORA]]&lt;0,(Tabla14[[#This Row],[VALOR PRESTAMO]]*Tabla14[[#This Row],[% INTERES ]]/30*U2630))+Tabla14[[#This Row],[VALOR CUOTAS]]</f>
        <v>#VALUE!</v>
      </c>
      <c r="S2630" s="88">
        <f>-IF(Tabla14[[#This Row],[DIAS HABILES O MORA]]&lt;0,(Tabla14[[#This Row],[VALOR PRESTAMO]]*Tabla14[[#This Row],[% INTERES ]]/30*U2630))</f>
        <v>0</v>
      </c>
      <c r="T2630" s="53" t="e">
        <f>Tabla14[[#This Row],[DEUDA CAPITAL]]+Tabla14[[#This Row],[INTERES  CUOTA]]</f>
        <v>#NUM!</v>
      </c>
      <c r="U2630" s="61" t="str">
        <f t="shared" si="419"/>
        <v/>
      </c>
    </row>
    <row r="2631" spans="9:21" ht="24.75" customHeight="1" x14ac:dyDescent="0.35">
      <c r="I2631" s="42">
        <f t="shared" si="410"/>
        <v>0</v>
      </c>
      <c r="J2631" s="65" t="e">
        <f t="shared" si="411"/>
        <v>#NUM!</v>
      </c>
      <c r="K2631" s="83" t="e">
        <f t="shared" si="412"/>
        <v>#NUM!</v>
      </c>
      <c r="L2631" s="83">
        <f t="shared" si="413"/>
        <v>0</v>
      </c>
      <c r="M2631" s="110" t="str">
        <f t="shared" si="414"/>
        <v/>
      </c>
      <c r="N2631" s="51" t="str">
        <f t="shared" si="415"/>
        <v/>
      </c>
      <c r="O2631" s="52" t="str">
        <f t="shared" si="416"/>
        <v/>
      </c>
      <c r="P2631" s="88">
        <f t="shared" si="417"/>
        <v>0</v>
      </c>
      <c r="Q2631" s="88">
        <f t="shared" si="418"/>
        <v>0</v>
      </c>
      <c r="R2631" s="88" t="e">
        <f>-IF(Tabla14[[#This Row],[DIAS HABILES O MORA]]&lt;0,(Tabla14[[#This Row],[VALOR PRESTAMO]]*Tabla14[[#This Row],[% INTERES ]]/30*U2631))+Tabla14[[#This Row],[VALOR CUOTAS]]</f>
        <v>#VALUE!</v>
      </c>
      <c r="S2631" s="88">
        <f>-IF(Tabla14[[#This Row],[DIAS HABILES O MORA]]&lt;0,(Tabla14[[#This Row],[VALOR PRESTAMO]]*Tabla14[[#This Row],[% INTERES ]]/30*U2631))</f>
        <v>0</v>
      </c>
      <c r="T2631" s="53" t="e">
        <f>Tabla14[[#This Row],[DEUDA CAPITAL]]+Tabla14[[#This Row],[INTERES  CUOTA]]</f>
        <v>#NUM!</v>
      </c>
      <c r="U2631" s="61" t="str">
        <f t="shared" si="419"/>
        <v/>
      </c>
    </row>
    <row r="2632" spans="9:21" ht="24.75" customHeight="1" x14ac:dyDescent="0.35">
      <c r="I2632" s="42">
        <f t="shared" si="410"/>
        <v>0</v>
      </c>
      <c r="J2632" s="65" t="e">
        <f t="shared" si="411"/>
        <v>#NUM!</v>
      </c>
      <c r="K2632" s="83" t="e">
        <f t="shared" si="412"/>
        <v>#NUM!</v>
      </c>
      <c r="L2632" s="83">
        <f t="shared" si="413"/>
        <v>0</v>
      </c>
      <c r="M2632" s="110" t="str">
        <f t="shared" si="414"/>
        <v/>
      </c>
      <c r="N2632" s="51" t="str">
        <f t="shared" si="415"/>
        <v/>
      </c>
      <c r="O2632" s="52" t="str">
        <f t="shared" si="416"/>
        <v/>
      </c>
      <c r="P2632" s="88">
        <f t="shared" si="417"/>
        <v>0</v>
      </c>
      <c r="Q2632" s="88">
        <f t="shared" si="418"/>
        <v>0</v>
      </c>
      <c r="R2632" s="88" t="e">
        <f>-IF(Tabla14[[#This Row],[DIAS HABILES O MORA]]&lt;0,(Tabla14[[#This Row],[VALOR PRESTAMO]]*Tabla14[[#This Row],[% INTERES ]]/30*U2632))+Tabla14[[#This Row],[VALOR CUOTAS]]</f>
        <v>#VALUE!</v>
      </c>
      <c r="S2632" s="88">
        <f>-IF(Tabla14[[#This Row],[DIAS HABILES O MORA]]&lt;0,(Tabla14[[#This Row],[VALOR PRESTAMO]]*Tabla14[[#This Row],[% INTERES ]]/30*U2632))</f>
        <v>0</v>
      </c>
      <c r="T2632" s="53" t="e">
        <f>Tabla14[[#This Row],[DEUDA CAPITAL]]+Tabla14[[#This Row],[INTERES  CUOTA]]</f>
        <v>#NUM!</v>
      </c>
      <c r="U2632" s="61" t="str">
        <f t="shared" si="419"/>
        <v/>
      </c>
    </row>
    <row r="2633" spans="9:21" ht="24.75" customHeight="1" x14ac:dyDescent="0.35">
      <c r="I2633" s="42">
        <f t="shared" si="410"/>
        <v>0</v>
      </c>
      <c r="J2633" s="65" t="e">
        <f t="shared" si="411"/>
        <v>#NUM!</v>
      </c>
      <c r="K2633" s="83" t="e">
        <f t="shared" si="412"/>
        <v>#NUM!</v>
      </c>
      <c r="L2633" s="83">
        <f t="shared" si="413"/>
        <v>0</v>
      </c>
      <c r="M2633" s="110" t="str">
        <f t="shared" si="414"/>
        <v/>
      </c>
      <c r="N2633" s="51" t="str">
        <f t="shared" si="415"/>
        <v/>
      </c>
      <c r="O2633" s="52" t="str">
        <f t="shared" si="416"/>
        <v/>
      </c>
      <c r="P2633" s="88">
        <f t="shared" si="417"/>
        <v>0</v>
      </c>
      <c r="Q2633" s="88">
        <f t="shared" si="418"/>
        <v>0</v>
      </c>
      <c r="R2633" s="88" t="e">
        <f>-IF(Tabla14[[#This Row],[DIAS HABILES O MORA]]&lt;0,(Tabla14[[#This Row],[VALOR PRESTAMO]]*Tabla14[[#This Row],[% INTERES ]]/30*U2633))+Tabla14[[#This Row],[VALOR CUOTAS]]</f>
        <v>#VALUE!</v>
      </c>
      <c r="S2633" s="88">
        <f>-IF(Tabla14[[#This Row],[DIAS HABILES O MORA]]&lt;0,(Tabla14[[#This Row],[VALOR PRESTAMO]]*Tabla14[[#This Row],[% INTERES ]]/30*U2633))</f>
        <v>0</v>
      </c>
      <c r="T2633" s="53" t="e">
        <f>Tabla14[[#This Row],[DEUDA CAPITAL]]+Tabla14[[#This Row],[INTERES  CUOTA]]</f>
        <v>#NUM!</v>
      </c>
      <c r="U2633" s="61" t="str">
        <f t="shared" si="419"/>
        <v/>
      </c>
    </row>
    <row r="2634" spans="9:21" ht="24.75" customHeight="1" x14ac:dyDescent="0.35">
      <c r="I2634" s="42">
        <f t="shared" si="410"/>
        <v>0</v>
      </c>
      <c r="J2634" s="65" t="e">
        <f t="shared" si="411"/>
        <v>#NUM!</v>
      </c>
      <c r="K2634" s="83" t="e">
        <f t="shared" si="412"/>
        <v>#NUM!</v>
      </c>
      <c r="L2634" s="83">
        <f t="shared" si="413"/>
        <v>0</v>
      </c>
      <c r="M2634" s="110" t="str">
        <f t="shared" si="414"/>
        <v/>
      </c>
      <c r="N2634" s="51" t="str">
        <f t="shared" si="415"/>
        <v/>
      </c>
      <c r="O2634" s="52" t="str">
        <f t="shared" si="416"/>
        <v/>
      </c>
      <c r="P2634" s="88">
        <f t="shared" si="417"/>
        <v>0</v>
      </c>
      <c r="Q2634" s="88">
        <f t="shared" si="418"/>
        <v>0</v>
      </c>
      <c r="R2634" s="88" t="e">
        <f>-IF(Tabla14[[#This Row],[DIAS HABILES O MORA]]&lt;0,(Tabla14[[#This Row],[VALOR PRESTAMO]]*Tabla14[[#This Row],[% INTERES ]]/30*U2634))+Tabla14[[#This Row],[VALOR CUOTAS]]</f>
        <v>#VALUE!</v>
      </c>
      <c r="S2634" s="88">
        <f>-IF(Tabla14[[#This Row],[DIAS HABILES O MORA]]&lt;0,(Tabla14[[#This Row],[VALOR PRESTAMO]]*Tabla14[[#This Row],[% INTERES ]]/30*U2634))</f>
        <v>0</v>
      </c>
      <c r="T2634" s="53" t="e">
        <f>Tabla14[[#This Row],[DEUDA CAPITAL]]+Tabla14[[#This Row],[INTERES  CUOTA]]</f>
        <v>#NUM!</v>
      </c>
      <c r="U2634" s="61" t="str">
        <f t="shared" si="419"/>
        <v/>
      </c>
    </row>
    <row r="2635" spans="9:21" ht="24.75" customHeight="1" x14ac:dyDescent="0.35">
      <c r="I2635" s="42">
        <f t="shared" si="410"/>
        <v>0</v>
      </c>
      <c r="J2635" s="65" t="e">
        <f t="shared" si="411"/>
        <v>#NUM!</v>
      </c>
      <c r="K2635" s="83" t="e">
        <f t="shared" si="412"/>
        <v>#NUM!</v>
      </c>
      <c r="L2635" s="83">
        <f t="shared" si="413"/>
        <v>0</v>
      </c>
      <c r="M2635" s="110" t="str">
        <f t="shared" si="414"/>
        <v/>
      </c>
      <c r="N2635" s="51" t="str">
        <f t="shared" si="415"/>
        <v/>
      </c>
      <c r="O2635" s="52" t="str">
        <f t="shared" si="416"/>
        <v/>
      </c>
      <c r="P2635" s="88">
        <f t="shared" si="417"/>
        <v>0</v>
      </c>
      <c r="Q2635" s="88">
        <f t="shared" si="418"/>
        <v>0</v>
      </c>
      <c r="R2635" s="88" t="e">
        <f>-IF(Tabla14[[#This Row],[DIAS HABILES O MORA]]&lt;0,(Tabla14[[#This Row],[VALOR PRESTAMO]]*Tabla14[[#This Row],[% INTERES ]]/30*U2635))+Tabla14[[#This Row],[VALOR CUOTAS]]</f>
        <v>#VALUE!</v>
      </c>
      <c r="S2635" s="88">
        <f>-IF(Tabla14[[#This Row],[DIAS HABILES O MORA]]&lt;0,(Tabla14[[#This Row],[VALOR PRESTAMO]]*Tabla14[[#This Row],[% INTERES ]]/30*U2635))</f>
        <v>0</v>
      </c>
      <c r="T2635" s="53" t="e">
        <f>Tabla14[[#This Row],[DEUDA CAPITAL]]+Tabla14[[#This Row],[INTERES  CUOTA]]</f>
        <v>#NUM!</v>
      </c>
      <c r="U2635" s="61" t="str">
        <f t="shared" si="419"/>
        <v/>
      </c>
    </row>
    <row r="2636" spans="9:21" ht="24.75" customHeight="1" x14ac:dyDescent="0.35">
      <c r="I2636" s="42">
        <f t="shared" si="410"/>
        <v>0</v>
      </c>
      <c r="J2636" s="65" t="e">
        <f t="shared" si="411"/>
        <v>#NUM!</v>
      </c>
      <c r="K2636" s="83" t="e">
        <f t="shared" si="412"/>
        <v>#NUM!</v>
      </c>
      <c r="L2636" s="83">
        <f t="shared" si="413"/>
        <v>0</v>
      </c>
      <c r="M2636" s="110" t="str">
        <f t="shared" si="414"/>
        <v/>
      </c>
      <c r="N2636" s="51" t="str">
        <f t="shared" si="415"/>
        <v/>
      </c>
      <c r="O2636" s="52" t="str">
        <f t="shared" si="416"/>
        <v/>
      </c>
      <c r="P2636" s="88">
        <f t="shared" si="417"/>
        <v>0</v>
      </c>
      <c r="Q2636" s="88">
        <f t="shared" si="418"/>
        <v>0</v>
      </c>
      <c r="R2636" s="88" t="e">
        <f>-IF(Tabla14[[#This Row],[DIAS HABILES O MORA]]&lt;0,(Tabla14[[#This Row],[VALOR PRESTAMO]]*Tabla14[[#This Row],[% INTERES ]]/30*U2636))+Tabla14[[#This Row],[VALOR CUOTAS]]</f>
        <v>#VALUE!</v>
      </c>
      <c r="S2636" s="88">
        <f>-IF(Tabla14[[#This Row],[DIAS HABILES O MORA]]&lt;0,(Tabla14[[#This Row],[VALOR PRESTAMO]]*Tabla14[[#This Row],[% INTERES ]]/30*U2636))</f>
        <v>0</v>
      </c>
      <c r="T2636" s="53" t="e">
        <f>Tabla14[[#This Row],[DEUDA CAPITAL]]+Tabla14[[#This Row],[INTERES  CUOTA]]</f>
        <v>#NUM!</v>
      </c>
      <c r="U2636" s="61" t="str">
        <f t="shared" si="419"/>
        <v/>
      </c>
    </row>
    <row r="2637" spans="9:21" ht="24.75" customHeight="1" x14ac:dyDescent="0.35">
      <c r="I2637" s="42">
        <f t="shared" si="410"/>
        <v>0</v>
      </c>
      <c r="J2637" s="65" t="e">
        <f t="shared" si="411"/>
        <v>#NUM!</v>
      </c>
      <c r="K2637" s="83" t="e">
        <f t="shared" si="412"/>
        <v>#NUM!</v>
      </c>
      <c r="L2637" s="83">
        <f t="shared" si="413"/>
        <v>0</v>
      </c>
      <c r="M2637" s="110" t="str">
        <f t="shared" si="414"/>
        <v/>
      </c>
      <c r="N2637" s="51" t="str">
        <f t="shared" si="415"/>
        <v/>
      </c>
      <c r="O2637" s="52" t="str">
        <f t="shared" si="416"/>
        <v/>
      </c>
      <c r="P2637" s="88">
        <f t="shared" si="417"/>
        <v>0</v>
      </c>
      <c r="Q2637" s="88">
        <f t="shared" si="418"/>
        <v>0</v>
      </c>
      <c r="R2637" s="88" t="e">
        <f>-IF(Tabla14[[#This Row],[DIAS HABILES O MORA]]&lt;0,(Tabla14[[#This Row],[VALOR PRESTAMO]]*Tabla14[[#This Row],[% INTERES ]]/30*U2637))+Tabla14[[#This Row],[VALOR CUOTAS]]</f>
        <v>#VALUE!</v>
      </c>
      <c r="S2637" s="88">
        <f>-IF(Tabla14[[#This Row],[DIAS HABILES O MORA]]&lt;0,(Tabla14[[#This Row],[VALOR PRESTAMO]]*Tabla14[[#This Row],[% INTERES ]]/30*U2637))</f>
        <v>0</v>
      </c>
      <c r="T2637" s="53" t="e">
        <f>Tabla14[[#This Row],[DEUDA CAPITAL]]+Tabla14[[#This Row],[INTERES  CUOTA]]</f>
        <v>#NUM!</v>
      </c>
      <c r="U2637" s="61" t="str">
        <f t="shared" si="419"/>
        <v/>
      </c>
    </row>
    <row r="2638" spans="9:21" ht="24.75" customHeight="1" x14ac:dyDescent="0.35">
      <c r="I2638" s="42">
        <f t="shared" si="410"/>
        <v>0</v>
      </c>
      <c r="J2638" s="65" t="e">
        <f t="shared" si="411"/>
        <v>#NUM!</v>
      </c>
      <c r="K2638" s="83" t="e">
        <f t="shared" si="412"/>
        <v>#NUM!</v>
      </c>
      <c r="L2638" s="83">
        <f t="shared" si="413"/>
        <v>0</v>
      </c>
      <c r="M2638" s="110" t="str">
        <f t="shared" si="414"/>
        <v/>
      </c>
      <c r="N2638" s="51" t="str">
        <f t="shared" si="415"/>
        <v/>
      </c>
      <c r="O2638" s="52" t="str">
        <f t="shared" si="416"/>
        <v/>
      </c>
      <c r="P2638" s="88">
        <f t="shared" si="417"/>
        <v>0</v>
      </c>
      <c r="Q2638" s="88">
        <f t="shared" si="418"/>
        <v>0</v>
      </c>
      <c r="R2638" s="88" t="e">
        <f>-IF(Tabla14[[#This Row],[DIAS HABILES O MORA]]&lt;0,(Tabla14[[#This Row],[VALOR PRESTAMO]]*Tabla14[[#This Row],[% INTERES ]]/30*U2638))+Tabla14[[#This Row],[VALOR CUOTAS]]</f>
        <v>#VALUE!</v>
      </c>
      <c r="S2638" s="88">
        <f>-IF(Tabla14[[#This Row],[DIAS HABILES O MORA]]&lt;0,(Tabla14[[#This Row],[VALOR PRESTAMO]]*Tabla14[[#This Row],[% INTERES ]]/30*U2638))</f>
        <v>0</v>
      </c>
      <c r="T2638" s="53" t="e">
        <f>Tabla14[[#This Row],[DEUDA CAPITAL]]+Tabla14[[#This Row],[INTERES  CUOTA]]</f>
        <v>#NUM!</v>
      </c>
      <c r="U2638" s="61" t="str">
        <f t="shared" si="419"/>
        <v/>
      </c>
    </row>
    <row r="2639" spans="9:21" ht="24.75" customHeight="1" x14ac:dyDescent="0.35">
      <c r="I2639" s="42">
        <f t="shared" si="410"/>
        <v>0</v>
      </c>
      <c r="J2639" s="65" t="e">
        <f t="shared" si="411"/>
        <v>#NUM!</v>
      </c>
      <c r="K2639" s="83" t="e">
        <f t="shared" si="412"/>
        <v>#NUM!</v>
      </c>
      <c r="L2639" s="83">
        <f t="shared" si="413"/>
        <v>0</v>
      </c>
      <c r="M2639" s="110" t="str">
        <f t="shared" si="414"/>
        <v/>
      </c>
      <c r="N2639" s="51" t="str">
        <f t="shared" si="415"/>
        <v/>
      </c>
      <c r="O2639" s="52" t="str">
        <f t="shared" si="416"/>
        <v/>
      </c>
      <c r="P2639" s="88">
        <f t="shared" si="417"/>
        <v>0</v>
      </c>
      <c r="Q2639" s="88">
        <f t="shared" si="418"/>
        <v>0</v>
      </c>
      <c r="R2639" s="88" t="e">
        <f>-IF(Tabla14[[#This Row],[DIAS HABILES O MORA]]&lt;0,(Tabla14[[#This Row],[VALOR PRESTAMO]]*Tabla14[[#This Row],[% INTERES ]]/30*U2639))+Tabla14[[#This Row],[VALOR CUOTAS]]</f>
        <v>#VALUE!</v>
      </c>
      <c r="S2639" s="88">
        <f>-IF(Tabla14[[#This Row],[DIAS HABILES O MORA]]&lt;0,(Tabla14[[#This Row],[VALOR PRESTAMO]]*Tabla14[[#This Row],[% INTERES ]]/30*U2639))</f>
        <v>0</v>
      </c>
      <c r="T2639" s="53" t="e">
        <f>Tabla14[[#This Row],[DEUDA CAPITAL]]+Tabla14[[#This Row],[INTERES  CUOTA]]</f>
        <v>#NUM!</v>
      </c>
      <c r="U2639" s="61" t="str">
        <f t="shared" si="419"/>
        <v/>
      </c>
    </row>
    <row r="2640" spans="9:21" ht="24.75" customHeight="1" x14ac:dyDescent="0.35">
      <c r="I2640" s="42">
        <f t="shared" ref="I2640:I2703" si="420">IF(C2640&lt;0,"",IF(Q2640=0,0,IF(G2640=0,H2640+1,IF(H2640&lt;G2640,H2640+1,IF(G2640=H2640,0)))))</f>
        <v>0</v>
      </c>
      <c r="J2640" s="65" t="e">
        <f t="shared" ref="J2640:J2703" si="421">IF(F2640="SOLO INTERES",Q2640*D2640,-IPMT(D2640,I2640,G2640,C2640))</f>
        <v>#NUM!</v>
      </c>
      <c r="K2640" s="83" t="e">
        <f t="shared" ref="K2640:K2703" si="422">IF(F2640="SOLO INTERES",0,-PPMT(D2640,I2640,G2640,C2640))</f>
        <v>#NUM!</v>
      </c>
      <c r="L2640" s="83">
        <f t="shared" ref="L2640:L2703" si="423">IF(F2640="SOLO INTERES",SUM(Y2640:AAE2640),IFERROR(-CUMIPMT(D2640,G2640,C2640,1,H2640,0),0)+SUM(Y2640:WY2640))</f>
        <v>0</v>
      </c>
      <c r="M2640" s="110" t="str">
        <f t="shared" ref="M2640:M2703" si="424">IFERROR(IF(F2640="SOLO INTERES",Q2640*D2640,-PMT(D2640,G2640,C2640,0)),"")</f>
        <v/>
      </c>
      <c r="N2640" s="51" t="str">
        <f t="shared" ref="N2640:N2703" si="425">IF(Q2640=0,"",IF(E2640="MENSUAL",EDATE(B2640,I2640),IF(E2640="QUINCENAL",B2640+(I2640*15),IF(E2640="SEMANAL",B2640+(I2640*7)))))</f>
        <v/>
      </c>
      <c r="O2640" s="52" t="str">
        <f t="shared" ref="O2640:O2703" si="426">IF(C2640=0,"",IF(Q2640&lt;1,"PAGADO",IF(N2640=$A$3,"COBRAR HOY",IF(N2640&lt;$A$3,"EN MORA",IF(N2640&gt;$A$3,"AL DIA")))))</f>
        <v/>
      </c>
      <c r="P2640" s="88">
        <f t="shared" ref="P2640:P2703" si="427">IFERROR(-CUMPRINC(D2640,G2640,C2640,1,H2640,0),0)+W2640</f>
        <v>0</v>
      </c>
      <c r="Q2640" s="88">
        <f t="shared" ref="Q2640:Q2703" si="428">IFERROR(C2640-P2640,"")</f>
        <v>0</v>
      </c>
      <c r="R2640" s="88" t="e">
        <f>-IF(Tabla14[[#This Row],[DIAS HABILES O MORA]]&lt;0,(Tabla14[[#This Row],[VALOR PRESTAMO]]*Tabla14[[#This Row],[% INTERES ]]/30*U2640))+Tabla14[[#This Row],[VALOR CUOTAS]]</f>
        <v>#VALUE!</v>
      </c>
      <c r="S2640" s="88">
        <f>-IF(Tabla14[[#This Row],[DIAS HABILES O MORA]]&lt;0,(Tabla14[[#This Row],[VALOR PRESTAMO]]*Tabla14[[#This Row],[% INTERES ]]/30*U2640))</f>
        <v>0</v>
      </c>
      <c r="T2640" s="53" t="e">
        <f>Tabla14[[#This Row],[DEUDA CAPITAL]]+Tabla14[[#This Row],[INTERES  CUOTA]]</f>
        <v>#NUM!</v>
      </c>
      <c r="U2640" s="61" t="str">
        <f t="shared" ref="U2640:U2703" si="429">IF(O2640="PAGADO","",IFERROR(-IF(C2640=0,"",$A$3-N2640),""))</f>
        <v/>
      </c>
    </row>
    <row r="2641" spans="9:21" ht="24.75" customHeight="1" x14ac:dyDescent="0.35">
      <c r="I2641" s="42">
        <f t="shared" si="420"/>
        <v>0</v>
      </c>
      <c r="J2641" s="65" t="e">
        <f t="shared" si="421"/>
        <v>#NUM!</v>
      </c>
      <c r="K2641" s="83" t="e">
        <f t="shared" si="422"/>
        <v>#NUM!</v>
      </c>
      <c r="L2641" s="83">
        <f t="shared" si="423"/>
        <v>0</v>
      </c>
      <c r="M2641" s="110" t="str">
        <f t="shared" si="424"/>
        <v/>
      </c>
      <c r="N2641" s="51" t="str">
        <f t="shared" si="425"/>
        <v/>
      </c>
      <c r="O2641" s="52" t="str">
        <f t="shared" si="426"/>
        <v/>
      </c>
      <c r="P2641" s="88">
        <f t="shared" si="427"/>
        <v>0</v>
      </c>
      <c r="Q2641" s="88">
        <f t="shared" si="428"/>
        <v>0</v>
      </c>
      <c r="R2641" s="88" t="e">
        <f>-IF(Tabla14[[#This Row],[DIAS HABILES O MORA]]&lt;0,(Tabla14[[#This Row],[VALOR PRESTAMO]]*Tabla14[[#This Row],[% INTERES ]]/30*U2641))+Tabla14[[#This Row],[VALOR CUOTAS]]</f>
        <v>#VALUE!</v>
      </c>
      <c r="S2641" s="88">
        <f>-IF(Tabla14[[#This Row],[DIAS HABILES O MORA]]&lt;0,(Tabla14[[#This Row],[VALOR PRESTAMO]]*Tabla14[[#This Row],[% INTERES ]]/30*U2641))</f>
        <v>0</v>
      </c>
      <c r="T2641" s="53" t="e">
        <f>Tabla14[[#This Row],[DEUDA CAPITAL]]+Tabla14[[#This Row],[INTERES  CUOTA]]</f>
        <v>#NUM!</v>
      </c>
      <c r="U2641" s="61" t="str">
        <f t="shared" si="429"/>
        <v/>
      </c>
    </row>
    <row r="2642" spans="9:21" ht="24.75" customHeight="1" x14ac:dyDescent="0.35">
      <c r="I2642" s="42">
        <f t="shared" si="420"/>
        <v>0</v>
      </c>
      <c r="J2642" s="65" t="e">
        <f t="shared" si="421"/>
        <v>#NUM!</v>
      </c>
      <c r="K2642" s="83" t="e">
        <f t="shared" si="422"/>
        <v>#NUM!</v>
      </c>
      <c r="L2642" s="83">
        <f t="shared" si="423"/>
        <v>0</v>
      </c>
      <c r="M2642" s="110" t="str">
        <f t="shared" si="424"/>
        <v/>
      </c>
      <c r="N2642" s="51" t="str">
        <f t="shared" si="425"/>
        <v/>
      </c>
      <c r="O2642" s="52" t="str">
        <f t="shared" si="426"/>
        <v/>
      </c>
      <c r="P2642" s="88">
        <f t="shared" si="427"/>
        <v>0</v>
      </c>
      <c r="Q2642" s="88">
        <f t="shared" si="428"/>
        <v>0</v>
      </c>
      <c r="R2642" s="88" t="e">
        <f>-IF(Tabla14[[#This Row],[DIAS HABILES O MORA]]&lt;0,(Tabla14[[#This Row],[VALOR PRESTAMO]]*Tabla14[[#This Row],[% INTERES ]]/30*U2642))+Tabla14[[#This Row],[VALOR CUOTAS]]</f>
        <v>#VALUE!</v>
      </c>
      <c r="S2642" s="88">
        <f>-IF(Tabla14[[#This Row],[DIAS HABILES O MORA]]&lt;0,(Tabla14[[#This Row],[VALOR PRESTAMO]]*Tabla14[[#This Row],[% INTERES ]]/30*U2642))</f>
        <v>0</v>
      </c>
      <c r="T2642" s="53" t="e">
        <f>Tabla14[[#This Row],[DEUDA CAPITAL]]+Tabla14[[#This Row],[INTERES  CUOTA]]</f>
        <v>#NUM!</v>
      </c>
      <c r="U2642" s="61" t="str">
        <f t="shared" si="429"/>
        <v/>
      </c>
    </row>
    <row r="2643" spans="9:21" ht="24.75" customHeight="1" x14ac:dyDescent="0.35">
      <c r="I2643" s="42">
        <f t="shared" si="420"/>
        <v>0</v>
      </c>
      <c r="J2643" s="65" t="e">
        <f t="shared" si="421"/>
        <v>#NUM!</v>
      </c>
      <c r="K2643" s="83" t="e">
        <f t="shared" si="422"/>
        <v>#NUM!</v>
      </c>
      <c r="L2643" s="83">
        <f t="shared" si="423"/>
        <v>0</v>
      </c>
      <c r="M2643" s="110" t="str">
        <f t="shared" si="424"/>
        <v/>
      </c>
      <c r="N2643" s="51" t="str">
        <f t="shared" si="425"/>
        <v/>
      </c>
      <c r="O2643" s="52" t="str">
        <f t="shared" si="426"/>
        <v/>
      </c>
      <c r="P2643" s="88">
        <f t="shared" si="427"/>
        <v>0</v>
      </c>
      <c r="Q2643" s="88">
        <f t="shared" si="428"/>
        <v>0</v>
      </c>
      <c r="R2643" s="88" t="e">
        <f>-IF(Tabla14[[#This Row],[DIAS HABILES O MORA]]&lt;0,(Tabla14[[#This Row],[VALOR PRESTAMO]]*Tabla14[[#This Row],[% INTERES ]]/30*U2643))+Tabla14[[#This Row],[VALOR CUOTAS]]</f>
        <v>#VALUE!</v>
      </c>
      <c r="S2643" s="88">
        <f>-IF(Tabla14[[#This Row],[DIAS HABILES O MORA]]&lt;0,(Tabla14[[#This Row],[VALOR PRESTAMO]]*Tabla14[[#This Row],[% INTERES ]]/30*U2643))</f>
        <v>0</v>
      </c>
      <c r="T2643" s="53" t="e">
        <f>Tabla14[[#This Row],[DEUDA CAPITAL]]+Tabla14[[#This Row],[INTERES  CUOTA]]</f>
        <v>#NUM!</v>
      </c>
      <c r="U2643" s="61" t="str">
        <f t="shared" si="429"/>
        <v/>
      </c>
    </row>
    <row r="2644" spans="9:21" ht="24.75" customHeight="1" x14ac:dyDescent="0.35">
      <c r="I2644" s="42">
        <f t="shared" si="420"/>
        <v>0</v>
      </c>
      <c r="J2644" s="65" t="e">
        <f t="shared" si="421"/>
        <v>#NUM!</v>
      </c>
      <c r="K2644" s="83" t="e">
        <f t="shared" si="422"/>
        <v>#NUM!</v>
      </c>
      <c r="L2644" s="83">
        <f t="shared" si="423"/>
        <v>0</v>
      </c>
      <c r="M2644" s="110" t="str">
        <f t="shared" si="424"/>
        <v/>
      </c>
      <c r="N2644" s="51" t="str">
        <f t="shared" si="425"/>
        <v/>
      </c>
      <c r="O2644" s="52" t="str">
        <f t="shared" si="426"/>
        <v/>
      </c>
      <c r="P2644" s="88">
        <f t="shared" si="427"/>
        <v>0</v>
      </c>
      <c r="Q2644" s="88">
        <f t="shared" si="428"/>
        <v>0</v>
      </c>
      <c r="R2644" s="88" t="e">
        <f>-IF(Tabla14[[#This Row],[DIAS HABILES O MORA]]&lt;0,(Tabla14[[#This Row],[VALOR PRESTAMO]]*Tabla14[[#This Row],[% INTERES ]]/30*U2644))+Tabla14[[#This Row],[VALOR CUOTAS]]</f>
        <v>#VALUE!</v>
      </c>
      <c r="S2644" s="88">
        <f>-IF(Tabla14[[#This Row],[DIAS HABILES O MORA]]&lt;0,(Tabla14[[#This Row],[VALOR PRESTAMO]]*Tabla14[[#This Row],[% INTERES ]]/30*U2644))</f>
        <v>0</v>
      </c>
      <c r="T2644" s="53" t="e">
        <f>Tabla14[[#This Row],[DEUDA CAPITAL]]+Tabla14[[#This Row],[INTERES  CUOTA]]</f>
        <v>#NUM!</v>
      </c>
      <c r="U2644" s="61" t="str">
        <f t="shared" si="429"/>
        <v/>
      </c>
    </row>
    <row r="2645" spans="9:21" ht="24.75" customHeight="1" x14ac:dyDescent="0.35">
      <c r="I2645" s="42">
        <f t="shared" si="420"/>
        <v>0</v>
      </c>
      <c r="J2645" s="65" t="e">
        <f t="shared" si="421"/>
        <v>#NUM!</v>
      </c>
      <c r="K2645" s="83" t="e">
        <f t="shared" si="422"/>
        <v>#NUM!</v>
      </c>
      <c r="L2645" s="83">
        <f t="shared" si="423"/>
        <v>0</v>
      </c>
      <c r="M2645" s="110" t="str">
        <f t="shared" si="424"/>
        <v/>
      </c>
      <c r="N2645" s="51" t="str">
        <f t="shared" si="425"/>
        <v/>
      </c>
      <c r="O2645" s="52" t="str">
        <f t="shared" si="426"/>
        <v/>
      </c>
      <c r="P2645" s="88">
        <f t="shared" si="427"/>
        <v>0</v>
      </c>
      <c r="Q2645" s="88">
        <f t="shared" si="428"/>
        <v>0</v>
      </c>
      <c r="R2645" s="88" t="e">
        <f>-IF(Tabla14[[#This Row],[DIAS HABILES O MORA]]&lt;0,(Tabla14[[#This Row],[VALOR PRESTAMO]]*Tabla14[[#This Row],[% INTERES ]]/30*U2645))+Tabla14[[#This Row],[VALOR CUOTAS]]</f>
        <v>#VALUE!</v>
      </c>
      <c r="S2645" s="88">
        <f>-IF(Tabla14[[#This Row],[DIAS HABILES O MORA]]&lt;0,(Tabla14[[#This Row],[VALOR PRESTAMO]]*Tabla14[[#This Row],[% INTERES ]]/30*U2645))</f>
        <v>0</v>
      </c>
      <c r="T2645" s="53" t="e">
        <f>Tabla14[[#This Row],[DEUDA CAPITAL]]+Tabla14[[#This Row],[INTERES  CUOTA]]</f>
        <v>#NUM!</v>
      </c>
      <c r="U2645" s="61" t="str">
        <f t="shared" si="429"/>
        <v/>
      </c>
    </row>
    <row r="2646" spans="9:21" ht="24.75" customHeight="1" x14ac:dyDescent="0.35">
      <c r="I2646" s="42">
        <f t="shared" si="420"/>
        <v>0</v>
      </c>
      <c r="J2646" s="65" t="e">
        <f t="shared" si="421"/>
        <v>#NUM!</v>
      </c>
      <c r="K2646" s="83" t="e">
        <f t="shared" si="422"/>
        <v>#NUM!</v>
      </c>
      <c r="L2646" s="83">
        <f t="shared" si="423"/>
        <v>0</v>
      </c>
      <c r="M2646" s="110" t="str">
        <f t="shared" si="424"/>
        <v/>
      </c>
      <c r="N2646" s="51" t="str">
        <f t="shared" si="425"/>
        <v/>
      </c>
      <c r="O2646" s="52" t="str">
        <f t="shared" si="426"/>
        <v/>
      </c>
      <c r="P2646" s="88">
        <f t="shared" si="427"/>
        <v>0</v>
      </c>
      <c r="Q2646" s="88">
        <f t="shared" si="428"/>
        <v>0</v>
      </c>
      <c r="R2646" s="88" t="e">
        <f>-IF(Tabla14[[#This Row],[DIAS HABILES O MORA]]&lt;0,(Tabla14[[#This Row],[VALOR PRESTAMO]]*Tabla14[[#This Row],[% INTERES ]]/30*U2646))+Tabla14[[#This Row],[VALOR CUOTAS]]</f>
        <v>#VALUE!</v>
      </c>
      <c r="S2646" s="88">
        <f>-IF(Tabla14[[#This Row],[DIAS HABILES O MORA]]&lt;0,(Tabla14[[#This Row],[VALOR PRESTAMO]]*Tabla14[[#This Row],[% INTERES ]]/30*U2646))</f>
        <v>0</v>
      </c>
      <c r="T2646" s="53" t="e">
        <f>Tabla14[[#This Row],[DEUDA CAPITAL]]+Tabla14[[#This Row],[INTERES  CUOTA]]</f>
        <v>#NUM!</v>
      </c>
      <c r="U2646" s="61" t="str">
        <f t="shared" si="429"/>
        <v/>
      </c>
    </row>
    <row r="2647" spans="9:21" ht="24.75" customHeight="1" x14ac:dyDescent="0.35">
      <c r="I2647" s="42">
        <f t="shared" si="420"/>
        <v>0</v>
      </c>
      <c r="J2647" s="65" t="e">
        <f t="shared" si="421"/>
        <v>#NUM!</v>
      </c>
      <c r="K2647" s="83" t="e">
        <f t="shared" si="422"/>
        <v>#NUM!</v>
      </c>
      <c r="L2647" s="83">
        <f t="shared" si="423"/>
        <v>0</v>
      </c>
      <c r="M2647" s="110" t="str">
        <f t="shared" si="424"/>
        <v/>
      </c>
      <c r="N2647" s="51" t="str">
        <f t="shared" si="425"/>
        <v/>
      </c>
      <c r="O2647" s="52" t="str">
        <f t="shared" si="426"/>
        <v/>
      </c>
      <c r="P2647" s="88">
        <f t="shared" si="427"/>
        <v>0</v>
      </c>
      <c r="Q2647" s="88">
        <f t="shared" si="428"/>
        <v>0</v>
      </c>
      <c r="R2647" s="88" t="e">
        <f>-IF(Tabla14[[#This Row],[DIAS HABILES O MORA]]&lt;0,(Tabla14[[#This Row],[VALOR PRESTAMO]]*Tabla14[[#This Row],[% INTERES ]]/30*U2647))+Tabla14[[#This Row],[VALOR CUOTAS]]</f>
        <v>#VALUE!</v>
      </c>
      <c r="S2647" s="88">
        <f>-IF(Tabla14[[#This Row],[DIAS HABILES O MORA]]&lt;0,(Tabla14[[#This Row],[VALOR PRESTAMO]]*Tabla14[[#This Row],[% INTERES ]]/30*U2647))</f>
        <v>0</v>
      </c>
      <c r="T2647" s="53" t="e">
        <f>Tabla14[[#This Row],[DEUDA CAPITAL]]+Tabla14[[#This Row],[INTERES  CUOTA]]</f>
        <v>#NUM!</v>
      </c>
      <c r="U2647" s="61" t="str">
        <f t="shared" si="429"/>
        <v/>
      </c>
    </row>
    <row r="2648" spans="9:21" ht="24.75" customHeight="1" x14ac:dyDescent="0.35">
      <c r="I2648" s="42">
        <f t="shared" si="420"/>
        <v>0</v>
      </c>
      <c r="J2648" s="65" t="e">
        <f t="shared" si="421"/>
        <v>#NUM!</v>
      </c>
      <c r="K2648" s="83" t="e">
        <f t="shared" si="422"/>
        <v>#NUM!</v>
      </c>
      <c r="L2648" s="83">
        <f t="shared" si="423"/>
        <v>0</v>
      </c>
      <c r="M2648" s="110" t="str">
        <f t="shared" si="424"/>
        <v/>
      </c>
      <c r="N2648" s="51" t="str">
        <f t="shared" si="425"/>
        <v/>
      </c>
      <c r="O2648" s="52" t="str">
        <f t="shared" si="426"/>
        <v/>
      </c>
      <c r="P2648" s="88">
        <f t="shared" si="427"/>
        <v>0</v>
      </c>
      <c r="Q2648" s="88">
        <f t="shared" si="428"/>
        <v>0</v>
      </c>
      <c r="R2648" s="88" t="e">
        <f>-IF(Tabla14[[#This Row],[DIAS HABILES O MORA]]&lt;0,(Tabla14[[#This Row],[VALOR PRESTAMO]]*Tabla14[[#This Row],[% INTERES ]]/30*U2648))+Tabla14[[#This Row],[VALOR CUOTAS]]</f>
        <v>#VALUE!</v>
      </c>
      <c r="S2648" s="88">
        <f>-IF(Tabla14[[#This Row],[DIAS HABILES O MORA]]&lt;0,(Tabla14[[#This Row],[VALOR PRESTAMO]]*Tabla14[[#This Row],[% INTERES ]]/30*U2648))</f>
        <v>0</v>
      </c>
      <c r="T2648" s="53" t="e">
        <f>Tabla14[[#This Row],[DEUDA CAPITAL]]+Tabla14[[#This Row],[INTERES  CUOTA]]</f>
        <v>#NUM!</v>
      </c>
      <c r="U2648" s="61" t="str">
        <f t="shared" si="429"/>
        <v/>
      </c>
    </row>
    <row r="2649" spans="9:21" ht="24.75" customHeight="1" x14ac:dyDescent="0.35">
      <c r="I2649" s="42">
        <f t="shared" si="420"/>
        <v>0</v>
      </c>
      <c r="J2649" s="65" t="e">
        <f t="shared" si="421"/>
        <v>#NUM!</v>
      </c>
      <c r="K2649" s="83" t="e">
        <f t="shared" si="422"/>
        <v>#NUM!</v>
      </c>
      <c r="L2649" s="83">
        <f t="shared" si="423"/>
        <v>0</v>
      </c>
      <c r="M2649" s="110" t="str">
        <f t="shared" si="424"/>
        <v/>
      </c>
      <c r="N2649" s="51" t="str">
        <f t="shared" si="425"/>
        <v/>
      </c>
      <c r="O2649" s="52" t="str">
        <f t="shared" si="426"/>
        <v/>
      </c>
      <c r="P2649" s="88">
        <f t="shared" si="427"/>
        <v>0</v>
      </c>
      <c r="Q2649" s="88">
        <f t="shared" si="428"/>
        <v>0</v>
      </c>
      <c r="R2649" s="88" t="e">
        <f>-IF(Tabla14[[#This Row],[DIAS HABILES O MORA]]&lt;0,(Tabla14[[#This Row],[VALOR PRESTAMO]]*Tabla14[[#This Row],[% INTERES ]]/30*U2649))+Tabla14[[#This Row],[VALOR CUOTAS]]</f>
        <v>#VALUE!</v>
      </c>
      <c r="S2649" s="88">
        <f>-IF(Tabla14[[#This Row],[DIAS HABILES O MORA]]&lt;0,(Tabla14[[#This Row],[VALOR PRESTAMO]]*Tabla14[[#This Row],[% INTERES ]]/30*U2649))</f>
        <v>0</v>
      </c>
      <c r="T2649" s="53" t="e">
        <f>Tabla14[[#This Row],[DEUDA CAPITAL]]+Tabla14[[#This Row],[INTERES  CUOTA]]</f>
        <v>#NUM!</v>
      </c>
      <c r="U2649" s="61" t="str">
        <f t="shared" si="429"/>
        <v/>
      </c>
    </row>
    <row r="2650" spans="9:21" ht="24.75" customHeight="1" x14ac:dyDescent="0.35">
      <c r="I2650" s="42">
        <f t="shared" si="420"/>
        <v>0</v>
      </c>
      <c r="J2650" s="65" t="e">
        <f t="shared" si="421"/>
        <v>#NUM!</v>
      </c>
      <c r="K2650" s="83" t="e">
        <f t="shared" si="422"/>
        <v>#NUM!</v>
      </c>
      <c r="L2650" s="83">
        <f t="shared" si="423"/>
        <v>0</v>
      </c>
      <c r="M2650" s="110" t="str">
        <f t="shared" si="424"/>
        <v/>
      </c>
      <c r="N2650" s="51" t="str">
        <f t="shared" si="425"/>
        <v/>
      </c>
      <c r="O2650" s="52" t="str">
        <f t="shared" si="426"/>
        <v/>
      </c>
      <c r="P2650" s="88">
        <f t="shared" si="427"/>
        <v>0</v>
      </c>
      <c r="Q2650" s="88">
        <f t="shared" si="428"/>
        <v>0</v>
      </c>
      <c r="R2650" s="88" t="e">
        <f>-IF(Tabla14[[#This Row],[DIAS HABILES O MORA]]&lt;0,(Tabla14[[#This Row],[VALOR PRESTAMO]]*Tabla14[[#This Row],[% INTERES ]]/30*U2650))+Tabla14[[#This Row],[VALOR CUOTAS]]</f>
        <v>#VALUE!</v>
      </c>
      <c r="S2650" s="88">
        <f>-IF(Tabla14[[#This Row],[DIAS HABILES O MORA]]&lt;0,(Tabla14[[#This Row],[VALOR PRESTAMO]]*Tabla14[[#This Row],[% INTERES ]]/30*U2650))</f>
        <v>0</v>
      </c>
      <c r="T2650" s="53" t="e">
        <f>Tabla14[[#This Row],[DEUDA CAPITAL]]+Tabla14[[#This Row],[INTERES  CUOTA]]</f>
        <v>#NUM!</v>
      </c>
      <c r="U2650" s="61" t="str">
        <f t="shared" si="429"/>
        <v/>
      </c>
    </row>
    <row r="2651" spans="9:21" ht="24.75" customHeight="1" x14ac:dyDescent="0.35">
      <c r="I2651" s="42">
        <f t="shared" si="420"/>
        <v>0</v>
      </c>
      <c r="J2651" s="65" t="e">
        <f t="shared" si="421"/>
        <v>#NUM!</v>
      </c>
      <c r="K2651" s="83" t="e">
        <f t="shared" si="422"/>
        <v>#NUM!</v>
      </c>
      <c r="L2651" s="83">
        <f t="shared" si="423"/>
        <v>0</v>
      </c>
      <c r="M2651" s="110" t="str">
        <f t="shared" si="424"/>
        <v/>
      </c>
      <c r="N2651" s="51" t="str">
        <f t="shared" si="425"/>
        <v/>
      </c>
      <c r="O2651" s="52" t="str">
        <f t="shared" si="426"/>
        <v/>
      </c>
      <c r="P2651" s="88">
        <f t="shared" si="427"/>
        <v>0</v>
      </c>
      <c r="Q2651" s="88">
        <f t="shared" si="428"/>
        <v>0</v>
      </c>
      <c r="R2651" s="88" t="e">
        <f>-IF(Tabla14[[#This Row],[DIAS HABILES O MORA]]&lt;0,(Tabla14[[#This Row],[VALOR PRESTAMO]]*Tabla14[[#This Row],[% INTERES ]]/30*U2651))+Tabla14[[#This Row],[VALOR CUOTAS]]</f>
        <v>#VALUE!</v>
      </c>
      <c r="S2651" s="88">
        <f>-IF(Tabla14[[#This Row],[DIAS HABILES O MORA]]&lt;0,(Tabla14[[#This Row],[VALOR PRESTAMO]]*Tabla14[[#This Row],[% INTERES ]]/30*U2651))</f>
        <v>0</v>
      </c>
      <c r="T2651" s="53" t="e">
        <f>Tabla14[[#This Row],[DEUDA CAPITAL]]+Tabla14[[#This Row],[INTERES  CUOTA]]</f>
        <v>#NUM!</v>
      </c>
      <c r="U2651" s="61" t="str">
        <f t="shared" si="429"/>
        <v/>
      </c>
    </row>
    <row r="2652" spans="9:21" ht="24.75" customHeight="1" x14ac:dyDescent="0.35">
      <c r="I2652" s="42">
        <f t="shared" si="420"/>
        <v>0</v>
      </c>
      <c r="J2652" s="65" t="e">
        <f t="shared" si="421"/>
        <v>#NUM!</v>
      </c>
      <c r="K2652" s="83" t="e">
        <f t="shared" si="422"/>
        <v>#NUM!</v>
      </c>
      <c r="L2652" s="83">
        <f t="shared" si="423"/>
        <v>0</v>
      </c>
      <c r="M2652" s="110" t="str">
        <f t="shared" si="424"/>
        <v/>
      </c>
      <c r="N2652" s="51" t="str">
        <f t="shared" si="425"/>
        <v/>
      </c>
      <c r="O2652" s="52" t="str">
        <f t="shared" si="426"/>
        <v/>
      </c>
      <c r="P2652" s="88">
        <f t="shared" si="427"/>
        <v>0</v>
      </c>
      <c r="Q2652" s="88">
        <f t="shared" si="428"/>
        <v>0</v>
      </c>
      <c r="R2652" s="88" t="e">
        <f>-IF(Tabla14[[#This Row],[DIAS HABILES O MORA]]&lt;0,(Tabla14[[#This Row],[VALOR PRESTAMO]]*Tabla14[[#This Row],[% INTERES ]]/30*U2652))+Tabla14[[#This Row],[VALOR CUOTAS]]</f>
        <v>#VALUE!</v>
      </c>
      <c r="S2652" s="88">
        <f>-IF(Tabla14[[#This Row],[DIAS HABILES O MORA]]&lt;0,(Tabla14[[#This Row],[VALOR PRESTAMO]]*Tabla14[[#This Row],[% INTERES ]]/30*U2652))</f>
        <v>0</v>
      </c>
      <c r="T2652" s="53" t="e">
        <f>Tabla14[[#This Row],[DEUDA CAPITAL]]+Tabla14[[#This Row],[INTERES  CUOTA]]</f>
        <v>#NUM!</v>
      </c>
      <c r="U2652" s="61" t="str">
        <f t="shared" si="429"/>
        <v/>
      </c>
    </row>
    <row r="2653" spans="9:21" ht="24.75" customHeight="1" x14ac:dyDescent="0.35">
      <c r="I2653" s="42">
        <f t="shared" si="420"/>
        <v>0</v>
      </c>
      <c r="J2653" s="65" t="e">
        <f t="shared" si="421"/>
        <v>#NUM!</v>
      </c>
      <c r="K2653" s="83" t="e">
        <f t="shared" si="422"/>
        <v>#NUM!</v>
      </c>
      <c r="L2653" s="83">
        <f t="shared" si="423"/>
        <v>0</v>
      </c>
      <c r="M2653" s="110" t="str">
        <f t="shared" si="424"/>
        <v/>
      </c>
      <c r="N2653" s="51" t="str">
        <f t="shared" si="425"/>
        <v/>
      </c>
      <c r="O2653" s="52" t="str">
        <f t="shared" si="426"/>
        <v/>
      </c>
      <c r="P2653" s="88">
        <f t="shared" si="427"/>
        <v>0</v>
      </c>
      <c r="Q2653" s="88">
        <f t="shared" si="428"/>
        <v>0</v>
      </c>
      <c r="R2653" s="88" t="e">
        <f>-IF(Tabla14[[#This Row],[DIAS HABILES O MORA]]&lt;0,(Tabla14[[#This Row],[VALOR PRESTAMO]]*Tabla14[[#This Row],[% INTERES ]]/30*U2653))+Tabla14[[#This Row],[VALOR CUOTAS]]</f>
        <v>#VALUE!</v>
      </c>
      <c r="S2653" s="88">
        <f>-IF(Tabla14[[#This Row],[DIAS HABILES O MORA]]&lt;0,(Tabla14[[#This Row],[VALOR PRESTAMO]]*Tabla14[[#This Row],[% INTERES ]]/30*U2653))</f>
        <v>0</v>
      </c>
      <c r="T2653" s="53" t="e">
        <f>Tabla14[[#This Row],[DEUDA CAPITAL]]+Tabla14[[#This Row],[INTERES  CUOTA]]</f>
        <v>#NUM!</v>
      </c>
      <c r="U2653" s="61" t="str">
        <f t="shared" si="429"/>
        <v/>
      </c>
    </row>
    <row r="2654" spans="9:21" ht="24.75" customHeight="1" x14ac:dyDescent="0.35">
      <c r="I2654" s="42">
        <f t="shared" si="420"/>
        <v>0</v>
      </c>
      <c r="J2654" s="65" t="e">
        <f t="shared" si="421"/>
        <v>#NUM!</v>
      </c>
      <c r="K2654" s="83" t="e">
        <f t="shared" si="422"/>
        <v>#NUM!</v>
      </c>
      <c r="L2654" s="83">
        <f t="shared" si="423"/>
        <v>0</v>
      </c>
      <c r="M2654" s="110" t="str">
        <f t="shared" si="424"/>
        <v/>
      </c>
      <c r="N2654" s="51" t="str">
        <f t="shared" si="425"/>
        <v/>
      </c>
      <c r="O2654" s="52" t="str">
        <f t="shared" si="426"/>
        <v/>
      </c>
      <c r="P2654" s="88">
        <f t="shared" si="427"/>
        <v>0</v>
      </c>
      <c r="Q2654" s="88">
        <f t="shared" si="428"/>
        <v>0</v>
      </c>
      <c r="R2654" s="88" t="e">
        <f>-IF(Tabla14[[#This Row],[DIAS HABILES O MORA]]&lt;0,(Tabla14[[#This Row],[VALOR PRESTAMO]]*Tabla14[[#This Row],[% INTERES ]]/30*U2654))+Tabla14[[#This Row],[VALOR CUOTAS]]</f>
        <v>#VALUE!</v>
      </c>
      <c r="S2654" s="88">
        <f>-IF(Tabla14[[#This Row],[DIAS HABILES O MORA]]&lt;0,(Tabla14[[#This Row],[VALOR PRESTAMO]]*Tabla14[[#This Row],[% INTERES ]]/30*U2654))</f>
        <v>0</v>
      </c>
      <c r="T2654" s="53" t="e">
        <f>Tabla14[[#This Row],[DEUDA CAPITAL]]+Tabla14[[#This Row],[INTERES  CUOTA]]</f>
        <v>#NUM!</v>
      </c>
      <c r="U2654" s="61" t="str">
        <f t="shared" si="429"/>
        <v/>
      </c>
    </row>
    <row r="2655" spans="9:21" ht="24.75" customHeight="1" x14ac:dyDescent="0.35">
      <c r="I2655" s="42">
        <f t="shared" si="420"/>
        <v>0</v>
      </c>
      <c r="J2655" s="65" t="e">
        <f t="shared" si="421"/>
        <v>#NUM!</v>
      </c>
      <c r="K2655" s="83" t="e">
        <f t="shared" si="422"/>
        <v>#NUM!</v>
      </c>
      <c r="L2655" s="83">
        <f t="shared" si="423"/>
        <v>0</v>
      </c>
      <c r="M2655" s="110" t="str">
        <f t="shared" si="424"/>
        <v/>
      </c>
      <c r="N2655" s="51" t="str">
        <f t="shared" si="425"/>
        <v/>
      </c>
      <c r="O2655" s="52" t="str">
        <f t="shared" si="426"/>
        <v/>
      </c>
      <c r="P2655" s="88">
        <f t="shared" si="427"/>
        <v>0</v>
      </c>
      <c r="Q2655" s="88">
        <f t="shared" si="428"/>
        <v>0</v>
      </c>
      <c r="R2655" s="88" t="e">
        <f>-IF(Tabla14[[#This Row],[DIAS HABILES O MORA]]&lt;0,(Tabla14[[#This Row],[VALOR PRESTAMO]]*Tabla14[[#This Row],[% INTERES ]]/30*U2655))+Tabla14[[#This Row],[VALOR CUOTAS]]</f>
        <v>#VALUE!</v>
      </c>
      <c r="S2655" s="88">
        <f>-IF(Tabla14[[#This Row],[DIAS HABILES O MORA]]&lt;0,(Tabla14[[#This Row],[VALOR PRESTAMO]]*Tabla14[[#This Row],[% INTERES ]]/30*U2655))</f>
        <v>0</v>
      </c>
      <c r="T2655" s="53" t="e">
        <f>Tabla14[[#This Row],[DEUDA CAPITAL]]+Tabla14[[#This Row],[INTERES  CUOTA]]</f>
        <v>#NUM!</v>
      </c>
      <c r="U2655" s="61" t="str">
        <f t="shared" si="429"/>
        <v/>
      </c>
    </row>
    <row r="2656" spans="9:21" ht="24.75" customHeight="1" x14ac:dyDescent="0.35">
      <c r="I2656" s="42">
        <f t="shared" si="420"/>
        <v>0</v>
      </c>
      <c r="J2656" s="65" t="e">
        <f t="shared" si="421"/>
        <v>#NUM!</v>
      </c>
      <c r="K2656" s="83" t="e">
        <f t="shared" si="422"/>
        <v>#NUM!</v>
      </c>
      <c r="L2656" s="83">
        <f t="shared" si="423"/>
        <v>0</v>
      </c>
      <c r="M2656" s="110" t="str">
        <f t="shared" si="424"/>
        <v/>
      </c>
      <c r="N2656" s="51" t="str">
        <f t="shared" si="425"/>
        <v/>
      </c>
      <c r="O2656" s="52" t="str">
        <f t="shared" si="426"/>
        <v/>
      </c>
      <c r="P2656" s="88">
        <f t="shared" si="427"/>
        <v>0</v>
      </c>
      <c r="Q2656" s="88">
        <f t="shared" si="428"/>
        <v>0</v>
      </c>
      <c r="R2656" s="88" t="e">
        <f>-IF(Tabla14[[#This Row],[DIAS HABILES O MORA]]&lt;0,(Tabla14[[#This Row],[VALOR PRESTAMO]]*Tabla14[[#This Row],[% INTERES ]]/30*U2656))+Tabla14[[#This Row],[VALOR CUOTAS]]</f>
        <v>#VALUE!</v>
      </c>
      <c r="S2656" s="88">
        <f>-IF(Tabla14[[#This Row],[DIAS HABILES O MORA]]&lt;0,(Tabla14[[#This Row],[VALOR PRESTAMO]]*Tabla14[[#This Row],[% INTERES ]]/30*U2656))</f>
        <v>0</v>
      </c>
      <c r="T2656" s="53" t="e">
        <f>Tabla14[[#This Row],[DEUDA CAPITAL]]+Tabla14[[#This Row],[INTERES  CUOTA]]</f>
        <v>#NUM!</v>
      </c>
      <c r="U2656" s="61" t="str">
        <f t="shared" si="429"/>
        <v/>
      </c>
    </row>
    <row r="2657" spans="9:21" ht="24.75" customHeight="1" x14ac:dyDescent="0.35">
      <c r="I2657" s="42">
        <f t="shared" si="420"/>
        <v>0</v>
      </c>
      <c r="J2657" s="65" t="e">
        <f t="shared" si="421"/>
        <v>#NUM!</v>
      </c>
      <c r="K2657" s="83" t="e">
        <f t="shared" si="422"/>
        <v>#NUM!</v>
      </c>
      <c r="L2657" s="83">
        <f t="shared" si="423"/>
        <v>0</v>
      </c>
      <c r="M2657" s="110" t="str">
        <f t="shared" si="424"/>
        <v/>
      </c>
      <c r="N2657" s="51" t="str">
        <f t="shared" si="425"/>
        <v/>
      </c>
      <c r="O2657" s="52" t="str">
        <f t="shared" si="426"/>
        <v/>
      </c>
      <c r="P2657" s="88">
        <f t="shared" si="427"/>
        <v>0</v>
      </c>
      <c r="Q2657" s="88">
        <f t="shared" si="428"/>
        <v>0</v>
      </c>
      <c r="R2657" s="88" t="e">
        <f>-IF(Tabla14[[#This Row],[DIAS HABILES O MORA]]&lt;0,(Tabla14[[#This Row],[VALOR PRESTAMO]]*Tabla14[[#This Row],[% INTERES ]]/30*U2657))+Tabla14[[#This Row],[VALOR CUOTAS]]</f>
        <v>#VALUE!</v>
      </c>
      <c r="S2657" s="88">
        <f>-IF(Tabla14[[#This Row],[DIAS HABILES O MORA]]&lt;0,(Tabla14[[#This Row],[VALOR PRESTAMO]]*Tabla14[[#This Row],[% INTERES ]]/30*U2657))</f>
        <v>0</v>
      </c>
      <c r="T2657" s="53" t="e">
        <f>Tabla14[[#This Row],[DEUDA CAPITAL]]+Tabla14[[#This Row],[INTERES  CUOTA]]</f>
        <v>#NUM!</v>
      </c>
      <c r="U2657" s="61" t="str">
        <f t="shared" si="429"/>
        <v/>
      </c>
    </row>
    <row r="2658" spans="9:21" ht="24.75" customHeight="1" x14ac:dyDescent="0.35">
      <c r="I2658" s="42">
        <f t="shared" si="420"/>
        <v>0</v>
      </c>
      <c r="J2658" s="65" t="e">
        <f t="shared" si="421"/>
        <v>#NUM!</v>
      </c>
      <c r="K2658" s="83" t="e">
        <f t="shared" si="422"/>
        <v>#NUM!</v>
      </c>
      <c r="L2658" s="83">
        <f t="shared" si="423"/>
        <v>0</v>
      </c>
      <c r="M2658" s="110" t="str">
        <f t="shared" si="424"/>
        <v/>
      </c>
      <c r="N2658" s="51" t="str">
        <f t="shared" si="425"/>
        <v/>
      </c>
      <c r="O2658" s="52" t="str">
        <f t="shared" si="426"/>
        <v/>
      </c>
      <c r="P2658" s="88">
        <f t="shared" si="427"/>
        <v>0</v>
      </c>
      <c r="Q2658" s="88">
        <f t="shared" si="428"/>
        <v>0</v>
      </c>
      <c r="R2658" s="88" t="e">
        <f>-IF(Tabla14[[#This Row],[DIAS HABILES O MORA]]&lt;0,(Tabla14[[#This Row],[VALOR PRESTAMO]]*Tabla14[[#This Row],[% INTERES ]]/30*U2658))+Tabla14[[#This Row],[VALOR CUOTAS]]</f>
        <v>#VALUE!</v>
      </c>
      <c r="S2658" s="88">
        <f>-IF(Tabla14[[#This Row],[DIAS HABILES O MORA]]&lt;0,(Tabla14[[#This Row],[VALOR PRESTAMO]]*Tabla14[[#This Row],[% INTERES ]]/30*U2658))</f>
        <v>0</v>
      </c>
      <c r="T2658" s="53" t="e">
        <f>Tabla14[[#This Row],[DEUDA CAPITAL]]+Tabla14[[#This Row],[INTERES  CUOTA]]</f>
        <v>#NUM!</v>
      </c>
      <c r="U2658" s="61" t="str">
        <f t="shared" si="429"/>
        <v/>
      </c>
    </row>
    <row r="2659" spans="9:21" ht="24.75" customHeight="1" x14ac:dyDescent="0.35">
      <c r="I2659" s="42">
        <f t="shared" si="420"/>
        <v>0</v>
      </c>
      <c r="J2659" s="65" t="e">
        <f t="shared" si="421"/>
        <v>#NUM!</v>
      </c>
      <c r="K2659" s="83" t="e">
        <f t="shared" si="422"/>
        <v>#NUM!</v>
      </c>
      <c r="L2659" s="83">
        <f t="shared" si="423"/>
        <v>0</v>
      </c>
      <c r="M2659" s="110" t="str">
        <f t="shared" si="424"/>
        <v/>
      </c>
      <c r="N2659" s="51" t="str">
        <f t="shared" si="425"/>
        <v/>
      </c>
      <c r="O2659" s="52" t="str">
        <f t="shared" si="426"/>
        <v/>
      </c>
      <c r="P2659" s="88">
        <f t="shared" si="427"/>
        <v>0</v>
      </c>
      <c r="Q2659" s="88">
        <f t="shared" si="428"/>
        <v>0</v>
      </c>
      <c r="R2659" s="88" t="e">
        <f>-IF(Tabla14[[#This Row],[DIAS HABILES O MORA]]&lt;0,(Tabla14[[#This Row],[VALOR PRESTAMO]]*Tabla14[[#This Row],[% INTERES ]]/30*U2659))+Tabla14[[#This Row],[VALOR CUOTAS]]</f>
        <v>#VALUE!</v>
      </c>
      <c r="S2659" s="88">
        <f>-IF(Tabla14[[#This Row],[DIAS HABILES O MORA]]&lt;0,(Tabla14[[#This Row],[VALOR PRESTAMO]]*Tabla14[[#This Row],[% INTERES ]]/30*U2659))</f>
        <v>0</v>
      </c>
      <c r="T2659" s="53" t="e">
        <f>Tabla14[[#This Row],[DEUDA CAPITAL]]+Tabla14[[#This Row],[INTERES  CUOTA]]</f>
        <v>#NUM!</v>
      </c>
      <c r="U2659" s="61" t="str">
        <f t="shared" si="429"/>
        <v/>
      </c>
    </row>
    <row r="2660" spans="9:21" ht="24.75" customHeight="1" x14ac:dyDescent="0.35">
      <c r="I2660" s="42">
        <f t="shared" si="420"/>
        <v>0</v>
      </c>
      <c r="J2660" s="65" t="e">
        <f t="shared" si="421"/>
        <v>#NUM!</v>
      </c>
      <c r="K2660" s="83" t="e">
        <f t="shared" si="422"/>
        <v>#NUM!</v>
      </c>
      <c r="L2660" s="83">
        <f t="shared" si="423"/>
        <v>0</v>
      </c>
      <c r="M2660" s="110" t="str">
        <f t="shared" si="424"/>
        <v/>
      </c>
      <c r="N2660" s="51" t="str">
        <f t="shared" si="425"/>
        <v/>
      </c>
      <c r="O2660" s="52" t="str">
        <f t="shared" si="426"/>
        <v/>
      </c>
      <c r="P2660" s="88">
        <f t="shared" si="427"/>
        <v>0</v>
      </c>
      <c r="Q2660" s="88">
        <f t="shared" si="428"/>
        <v>0</v>
      </c>
      <c r="R2660" s="88" t="e">
        <f>-IF(Tabla14[[#This Row],[DIAS HABILES O MORA]]&lt;0,(Tabla14[[#This Row],[VALOR PRESTAMO]]*Tabla14[[#This Row],[% INTERES ]]/30*U2660))+Tabla14[[#This Row],[VALOR CUOTAS]]</f>
        <v>#VALUE!</v>
      </c>
      <c r="S2660" s="88">
        <f>-IF(Tabla14[[#This Row],[DIAS HABILES O MORA]]&lt;0,(Tabla14[[#This Row],[VALOR PRESTAMO]]*Tabla14[[#This Row],[% INTERES ]]/30*U2660))</f>
        <v>0</v>
      </c>
      <c r="T2660" s="53" t="e">
        <f>Tabla14[[#This Row],[DEUDA CAPITAL]]+Tabla14[[#This Row],[INTERES  CUOTA]]</f>
        <v>#NUM!</v>
      </c>
      <c r="U2660" s="61" t="str">
        <f t="shared" si="429"/>
        <v/>
      </c>
    </row>
    <row r="2661" spans="9:21" ht="24.75" customHeight="1" x14ac:dyDescent="0.35">
      <c r="I2661" s="42">
        <f t="shared" si="420"/>
        <v>0</v>
      </c>
      <c r="J2661" s="65" t="e">
        <f t="shared" si="421"/>
        <v>#NUM!</v>
      </c>
      <c r="K2661" s="83" t="e">
        <f t="shared" si="422"/>
        <v>#NUM!</v>
      </c>
      <c r="L2661" s="83">
        <f t="shared" si="423"/>
        <v>0</v>
      </c>
      <c r="M2661" s="110" t="str">
        <f t="shared" si="424"/>
        <v/>
      </c>
      <c r="N2661" s="51" t="str">
        <f t="shared" si="425"/>
        <v/>
      </c>
      <c r="O2661" s="52" t="str">
        <f t="shared" si="426"/>
        <v/>
      </c>
      <c r="P2661" s="88">
        <f t="shared" si="427"/>
        <v>0</v>
      </c>
      <c r="Q2661" s="88">
        <f t="shared" si="428"/>
        <v>0</v>
      </c>
      <c r="R2661" s="88" t="e">
        <f>-IF(Tabla14[[#This Row],[DIAS HABILES O MORA]]&lt;0,(Tabla14[[#This Row],[VALOR PRESTAMO]]*Tabla14[[#This Row],[% INTERES ]]/30*U2661))+Tabla14[[#This Row],[VALOR CUOTAS]]</f>
        <v>#VALUE!</v>
      </c>
      <c r="S2661" s="88">
        <f>-IF(Tabla14[[#This Row],[DIAS HABILES O MORA]]&lt;0,(Tabla14[[#This Row],[VALOR PRESTAMO]]*Tabla14[[#This Row],[% INTERES ]]/30*U2661))</f>
        <v>0</v>
      </c>
      <c r="T2661" s="53" t="e">
        <f>Tabla14[[#This Row],[DEUDA CAPITAL]]+Tabla14[[#This Row],[INTERES  CUOTA]]</f>
        <v>#NUM!</v>
      </c>
      <c r="U2661" s="61" t="str">
        <f t="shared" si="429"/>
        <v/>
      </c>
    </row>
    <row r="2662" spans="9:21" ht="24.75" customHeight="1" x14ac:dyDescent="0.35">
      <c r="I2662" s="42">
        <f t="shared" si="420"/>
        <v>0</v>
      </c>
      <c r="J2662" s="65" t="e">
        <f t="shared" si="421"/>
        <v>#NUM!</v>
      </c>
      <c r="K2662" s="83" t="e">
        <f t="shared" si="422"/>
        <v>#NUM!</v>
      </c>
      <c r="L2662" s="83">
        <f t="shared" si="423"/>
        <v>0</v>
      </c>
      <c r="M2662" s="110" t="str">
        <f t="shared" si="424"/>
        <v/>
      </c>
      <c r="N2662" s="51" t="str">
        <f t="shared" si="425"/>
        <v/>
      </c>
      <c r="O2662" s="52" t="str">
        <f t="shared" si="426"/>
        <v/>
      </c>
      <c r="P2662" s="88">
        <f t="shared" si="427"/>
        <v>0</v>
      </c>
      <c r="Q2662" s="88">
        <f t="shared" si="428"/>
        <v>0</v>
      </c>
      <c r="R2662" s="88" t="e">
        <f>-IF(Tabla14[[#This Row],[DIAS HABILES O MORA]]&lt;0,(Tabla14[[#This Row],[VALOR PRESTAMO]]*Tabla14[[#This Row],[% INTERES ]]/30*U2662))+Tabla14[[#This Row],[VALOR CUOTAS]]</f>
        <v>#VALUE!</v>
      </c>
      <c r="S2662" s="88">
        <f>-IF(Tabla14[[#This Row],[DIAS HABILES O MORA]]&lt;0,(Tabla14[[#This Row],[VALOR PRESTAMO]]*Tabla14[[#This Row],[% INTERES ]]/30*U2662))</f>
        <v>0</v>
      </c>
      <c r="T2662" s="53" t="e">
        <f>Tabla14[[#This Row],[DEUDA CAPITAL]]+Tabla14[[#This Row],[INTERES  CUOTA]]</f>
        <v>#NUM!</v>
      </c>
      <c r="U2662" s="61" t="str">
        <f t="shared" si="429"/>
        <v/>
      </c>
    </row>
    <row r="2663" spans="9:21" ht="24.75" customHeight="1" x14ac:dyDescent="0.35">
      <c r="I2663" s="42">
        <f t="shared" si="420"/>
        <v>0</v>
      </c>
      <c r="J2663" s="65" t="e">
        <f t="shared" si="421"/>
        <v>#NUM!</v>
      </c>
      <c r="K2663" s="83" t="e">
        <f t="shared" si="422"/>
        <v>#NUM!</v>
      </c>
      <c r="L2663" s="83">
        <f t="shared" si="423"/>
        <v>0</v>
      </c>
      <c r="M2663" s="110" t="str">
        <f t="shared" si="424"/>
        <v/>
      </c>
      <c r="N2663" s="51" t="str">
        <f t="shared" si="425"/>
        <v/>
      </c>
      <c r="O2663" s="52" t="str">
        <f t="shared" si="426"/>
        <v/>
      </c>
      <c r="P2663" s="88">
        <f t="shared" si="427"/>
        <v>0</v>
      </c>
      <c r="Q2663" s="88">
        <f t="shared" si="428"/>
        <v>0</v>
      </c>
      <c r="R2663" s="88" t="e">
        <f>-IF(Tabla14[[#This Row],[DIAS HABILES O MORA]]&lt;0,(Tabla14[[#This Row],[VALOR PRESTAMO]]*Tabla14[[#This Row],[% INTERES ]]/30*U2663))+Tabla14[[#This Row],[VALOR CUOTAS]]</f>
        <v>#VALUE!</v>
      </c>
      <c r="S2663" s="88">
        <f>-IF(Tabla14[[#This Row],[DIAS HABILES O MORA]]&lt;0,(Tabla14[[#This Row],[VALOR PRESTAMO]]*Tabla14[[#This Row],[% INTERES ]]/30*U2663))</f>
        <v>0</v>
      </c>
      <c r="T2663" s="53" t="e">
        <f>Tabla14[[#This Row],[DEUDA CAPITAL]]+Tabla14[[#This Row],[INTERES  CUOTA]]</f>
        <v>#NUM!</v>
      </c>
      <c r="U2663" s="61" t="str">
        <f t="shared" si="429"/>
        <v/>
      </c>
    </row>
    <row r="2664" spans="9:21" ht="24.75" customHeight="1" x14ac:dyDescent="0.35">
      <c r="I2664" s="42">
        <f t="shared" si="420"/>
        <v>0</v>
      </c>
      <c r="J2664" s="65" t="e">
        <f t="shared" si="421"/>
        <v>#NUM!</v>
      </c>
      <c r="K2664" s="83" t="e">
        <f t="shared" si="422"/>
        <v>#NUM!</v>
      </c>
      <c r="L2664" s="83">
        <f t="shared" si="423"/>
        <v>0</v>
      </c>
      <c r="M2664" s="110" t="str">
        <f t="shared" si="424"/>
        <v/>
      </c>
      <c r="N2664" s="51" t="str">
        <f t="shared" si="425"/>
        <v/>
      </c>
      <c r="O2664" s="52" t="str">
        <f t="shared" si="426"/>
        <v/>
      </c>
      <c r="P2664" s="88">
        <f t="shared" si="427"/>
        <v>0</v>
      </c>
      <c r="Q2664" s="88">
        <f t="shared" si="428"/>
        <v>0</v>
      </c>
      <c r="R2664" s="88" t="e">
        <f>-IF(Tabla14[[#This Row],[DIAS HABILES O MORA]]&lt;0,(Tabla14[[#This Row],[VALOR PRESTAMO]]*Tabla14[[#This Row],[% INTERES ]]/30*U2664))+Tabla14[[#This Row],[VALOR CUOTAS]]</f>
        <v>#VALUE!</v>
      </c>
      <c r="S2664" s="88">
        <f>-IF(Tabla14[[#This Row],[DIAS HABILES O MORA]]&lt;0,(Tabla14[[#This Row],[VALOR PRESTAMO]]*Tabla14[[#This Row],[% INTERES ]]/30*U2664))</f>
        <v>0</v>
      </c>
      <c r="T2664" s="53" t="e">
        <f>Tabla14[[#This Row],[DEUDA CAPITAL]]+Tabla14[[#This Row],[INTERES  CUOTA]]</f>
        <v>#NUM!</v>
      </c>
      <c r="U2664" s="61" t="str">
        <f t="shared" si="429"/>
        <v/>
      </c>
    </row>
    <row r="2665" spans="9:21" ht="24.75" customHeight="1" x14ac:dyDescent="0.35">
      <c r="I2665" s="42">
        <f t="shared" si="420"/>
        <v>0</v>
      </c>
      <c r="J2665" s="65" t="e">
        <f t="shared" si="421"/>
        <v>#NUM!</v>
      </c>
      <c r="K2665" s="83" t="e">
        <f t="shared" si="422"/>
        <v>#NUM!</v>
      </c>
      <c r="L2665" s="83">
        <f t="shared" si="423"/>
        <v>0</v>
      </c>
      <c r="M2665" s="110" t="str">
        <f t="shared" si="424"/>
        <v/>
      </c>
      <c r="N2665" s="51" t="str">
        <f t="shared" si="425"/>
        <v/>
      </c>
      <c r="O2665" s="52" t="str">
        <f t="shared" si="426"/>
        <v/>
      </c>
      <c r="P2665" s="88">
        <f t="shared" si="427"/>
        <v>0</v>
      </c>
      <c r="Q2665" s="88">
        <f t="shared" si="428"/>
        <v>0</v>
      </c>
      <c r="R2665" s="88" t="e">
        <f>-IF(Tabla14[[#This Row],[DIAS HABILES O MORA]]&lt;0,(Tabla14[[#This Row],[VALOR PRESTAMO]]*Tabla14[[#This Row],[% INTERES ]]/30*U2665))+Tabla14[[#This Row],[VALOR CUOTAS]]</f>
        <v>#VALUE!</v>
      </c>
      <c r="S2665" s="88">
        <f>-IF(Tabla14[[#This Row],[DIAS HABILES O MORA]]&lt;0,(Tabla14[[#This Row],[VALOR PRESTAMO]]*Tabla14[[#This Row],[% INTERES ]]/30*U2665))</f>
        <v>0</v>
      </c>
      <c r="T2665" s="53" t="e">
        <f>Tabla14[[#This Row],[DEUDA CAPITAL]]+Tabla14[[#This Row],[INTERES  CUOTA]]</f>
        <v>#NUM!</v>
      </c>
      <c r="U2665" s="61" t="str">
        <f t="shared" si="429"/>
        <v/>
      </c>
    </row>
    <row r="2666" spans="9:21" ht="24.75" customHeight="1" x14ac:dyDescent="0.35">
      <c r="I2666" s="42">
        <f t="shared" si="420"/>
        <v>0</v>
      </c>
      <c r="J2666" s="65" t="e">
        <f t="shared" si="421"/>
        <v>#NUM!</v>
      </c>
      <c r="K2666" s="83" t="e">
        <f t="shared" si="422"/>
        <v>#NUM!</v>
      </c>
      <c r="L2666" s="83">
        <f t="shared" si="423"/>
        <v>0</v>
      </c>
      <c r="M2666" s="110" t="str">
        <f t="shared" si="424"/>
        <v/>
      </c>
      <c r="N2666" s="51" t="str">
        <f t="shared" si="425"/>
        <v/>
      </c>
      <c r="O2666" s="52" t="str">
        <f t="shared" si="426"/>
        <v/>
      </c>
      <c r="P2666" s="88">
        <f t="shared" si="427"/>
        <v>0</v>
      </c>
      <c r="Q2666" s="88">
        <f t="shared" si="428"/>
        <v>0</v>
      </c>
      <c r="R2666" s="88" t="e">
        <f>-IF(Tabla14[[#This Row],[DIAS HABILES O MORA]]&lt;0,(Tabla14[[#This Row],[VALOR PRESTAMO]]*Tabla14[[#This Row],[% INTERES ]]/30*U2666))+Tabla14[[#This Row],[VALOR CUOTAS]]</f>
        <v>#VALUE!</v>
      </c>
      <c r="S2666" s="88">
        <f>-IF(Tabla14[[#This Row],[DIAS HABILES O MORA]]&lt;0,(Tabla14[[#This Row],[VALOR PRESTAMO]]*Tabla14[[#This Row],[% INTERES ]]/30*U2666))</f>
        <v>0</v>
      </c>
      <c r="T2666" s="53" t="e">
        <f>Tabla14[[#This Row],[DEUDA CAPITAL]]+Tabla14[[#This Row],[INTERES  CUOTA]]</f>
        <v>#NUM!</v>
      </c>
      <c r="U2666" s="61" t="str">
        <f t="shared" si="429"/>
        <v/>
      </c>
    </row>
    <row r="2667" spans="9:21" ht="24.75" customHeight="1" x14ac:dyDescent="0.35">
      <c r="I2667" s="42">
        <f t="shared" si="420"/>
        <v>0</v>
      </c>
      <c r="J2667" s="65" t="e">
        <f t="shared" si="421"/>
        <v>#NUM!</v>
      </c>
      <c r="K2667" s="83" t="e">
        <f t="shared" si="422"/>
        <v>#NUM!</v>
      </c>
      <c r="L2667" s="83">
        <f t="shared" si="423"/>
        <v>0</v>
      </c>
      <c r="M2667" s="110" t="str">
        <f t="shared" si="424"/>
        <v/>
      </c>
      <c r="N2667" s="51" t="str">
        <f t="shared" si="425"/>
        <v/>
      </c>
      <c r="O2667" s="52" t="str">
        <f t="shared" si="426"/>
        <v/>
      </c>
      <c r="P2667" s="88">
        <f t="shared" si="427"/>
        <v>0</v>
      </c>
      <c r="Q2667" s="88">
        <f t="shared" si="428"/>
        <v>0</v>
      </c>
      <c r="R2667" s="88" t="e">
        <f>-IF(Tabla14[[#This Row],[DIAS HABILES O MORA]]&lt;0,(Tabla14[[#This Row],[VALOR PRESTAMO]]*Tabla14[[#This Row],[% INTERES ]]/30*U2667))+Tabla14[[#This Row],[VALOR CUOTAS]]</f>
        <v>#VALUE!</v>
      </c>
      <c r="S2667" s="88">
        <f>-IF(Tabla14[[#This Row],[DIAS HABILES O MORA]]&lt;0,(Tabla14[[#This Row],[VALOR PRESTAMO]]*Tabla14[[#This Row],[% INTERES ]]/30*U2667))</f>
        <v>0</v>
      </c>
      <c r="T2667" s="53" t="e">
        <f>Tabla14[[#This Row],[DEUDA CAPITAL]]+Tabla14[[#This Row],[INTERES  CUOTA]]</f>
        <v>#NUM!</v>
      </c>
      <c r="U2667" s="61" t="str">
        <f t="shared" si="429"/>
        <v/>
      </c>
    </row>
    <row r="2668" spans="9:21" ht="24.75" customHeight="1" x14ac:dyDescent="0.35">
      <c r="I2668" s="42">
        <f t="shared" si="420"/>
        <v>0</v>
      </c>
      <c r="J2668" s="65" t="e">
        <f t="shared" si="421"/>
        <v>#NUM!</v>
      </c>
      <c r="K2668" s="83" t="e">
        <f t="shared" si="422"/>
        <v>#NUM!</v>
      </c>
      <c r="L2668" s="83">
        <f t="shared" si="423"/>
        <v>0</v>
      </c>
      <c r="M2668" s="110" t="str">
        <f t="shared" si="424"/>
        <v/>
      </c>
      <c r="N2668" s="51" t="str">
        <f t="shared" si="425"/>
        <v/>
      </c>
      <c r="O2668" s="52" t="str">
        <f t="shared" si="426"/>
        <v/>
      </c>
      <c r="P2668" s="88">
        <f t="shared" si="427"/>
        <v>0</v>
      </c>
      <c r="Q2668" s="88">
        <f t="shared" si="428"/>
        <v>0</v>
      </c>
      <c r="R2668" s="88" t="e">
        <f>-IF(Tabla14[[#This Row],[DIAS HABILES O MORA]]&lt;0,(Tabla14[[#This Row],[VALOR PRESTAMO]]*Tabla14[[#This Row],[% INTERES ]]/30*U2668))+Tabla14[[#This Row],[VALOR CUOTAS]]</f>
        <v>#VALUE!</v>
      </c>
      <c r="S2668" s="88">
        <f>-IF(Tabla14[[#This Row],[DIAS HABILES O MORA]]&lt;0,(Tabla14[[#This Row],[VALOR PRESTAMO]]*Tabla14[[#This Row],[% INTERES ]]/30*U2668))</f>
        <v>0</v>
      </c>
      <c r="T2668" s="53" t="e">
        <f>Tabla14[[#This Row],[DEUDA CAPITAL]]+Tabla14[[#This Row],[INTERES  CUOTA]]</f>
        <v>#NUM!</v>
      </c>
      <c r="U2668" s="61" t="str">
        <f t="shared" si="429"/>
        <v/>
      </c>
    </row>
    <row r="2669" spans="9:21" ht="24.75" customHeight="1" x14ac:dyDescent="0.35">
      <c r="I2669" s="42">
        <f t="shared" si="420"/>
        <v>0</v>
      </c>
      <c r="J2669" s="65" t="e">
        <f t="shared" si="421"/>
        <v>#NUM!</v>
      </c>
      <c r="K2669" s="83" t="e">
        <f t="shared" si="422"/>
        <v>#NUM!</v>
      </c>
      <c r="L2669" s="83">
        <f t="shared" si="423"/>
        <v>0</v>
      </c>
      <c r="M2669" s="110" t="str">
        <f t="shared" si="424"/>
        <v/>
      </c>
      <c r="N2669" s="51" t="str">
        <f t="shared" si="425"/>
        <v/>
      </c>
      <c r="O2669" s="52" t="str">
        <f t="shared" si="426"/>
        <v/>
      </c>
      <c r="P2669" s="88">
        <f t="shared" si="427"/>
        <v>0</v>
      </c>
      <c r="Q2669" s="88">
        <f t="shared" si="428"/>
        <v>0</v>
      </c>
      <c r="R2669" s="88" t="e">
        <f>-IF(Tabla14[[#This Row],[DIAS HABILES O MORA]]&lt;0,(Tabla14[[#This Row],[VALOR PRESTAMO]]*Tabla14[[#This Row],[% INTERES ]]/30*U2669))+Tabla14[[#This Row],[VALOR CUOTAS]]</f>
        <v>#VALUE!</v>
      </c>
      <c r="S2669" s="88">
        <f>-IF(Tabla14[[#This Row],[DIAS HABILES O MORA]]&lt;0,(Tabla14[[#This Row],[VALOR PRESTAMO]]*Tabla14[[#This Row],[% INTERES ]]/30*U2669))</f>
        <v>0</v>
      </c>
      <c r="T2669" s="53" t="e">
        <f>Tabla14[[#This Row],[DEUDA CAPITAL]]+Tabla14[[#This Row],[INTERES  CUOTA]]</f>
        <v>#NUM!</v>
      </c>
      <c r="U2669" s="61" t="str">
        <f t="shared" si="429"/>
        <v/>
      </c>
    </row>
    <row r="2670" spans="9:21" ht="24.75" customHeight="1" x14ac:dyDescent="0.35">
      <c r="I2670" s="42">
        <f t="shared" si="420"/>
        <v>0</v>
      </c>
      <c r="J2670" s="65" t="e">
        <f t="shared" si="421"/>
        <v>#NUM!</v>
      </c>
      <c r="K2670" s="83" t="e">
        <f t="shared" si="422"/>
        <v>#NUM!</v>
      </c>
      <c r="L2670" s="83">
        <f t="shared" si="423"/>
        <v>0</v>
      </c>
      <c r="M2670" s="110" t="str">
        <f t="shared" si="424"/>
        <v/>
      </c>
      <c r="N2670" s="51" t="str">
        <f t="shared" si="425"/>
        <v/>
      </c>
      <c r="O2670" s="52" t="str">
        <f t="shared" si="426"/>
        <v/>
      </c>
      <c r="P2670" s="88">
        <f t="shared" si="427"/>
        <v>0</v>
      </c>
      <c r="Q2670" s="88">
        <f t="shared" si="428"/>
        <v>0</v>
      </c>
      <c r="R2670" s="88" t="e">
        <f>-IF(Tabla14[[#This Row],[DIAS HABILES O MORA]]&lt;0,(Tabla14[[#This Row],[VALOR PRESTAMO]]*Tabla14[[#This Row],[% INTERES ]]/30*U2670))+Tabla14[[#This Row],[VALOR CUOTAS]]</f>
        <v>#VALUE!</v>
      </c>
      <c r="S2670" s="88">
        <f>-IF(Tabla14[[#This Row],[DIAS HABILES O MORA]]&lt;0,(Tabla14[[#This Row],[VALOR PRESTAMO]]*Tabla14[[#This Row],[% INTERES ]]/30*U2670))</f>
        <v>0</v>
      </c>
      <c r="T2670" s="53" t="e">
        <f>Tabla14[[#This Row],[DEUDA CAPITAL]]+Tabla14[[#This Row],[INTERES  CUOTA]]</f>
        <v>#NUM!</v>
      </c>
      <c r="U2670" s="61" t="str">
        <f t="shared" si="429"/>
        <v/>
      </c>
    </row>
    <row r="2671" spans="9:21" ht="24.75" customHeight="1" x14ac:dyDescent="0.35">
      <c r="I2671" s="42">
        <f t="shared" si="420"/>
        <v>0</v>
      </c>
      <c r="J2671" s="65" t="e">
        <f t="shared" si="421"/>
        <v>#NUM!</v>
      </c>
      <c r="K2671" s="83" t="e">
        <f t="shared" si="422"/>
        <v>#NUM!</v>
      </c>
      <c r="L2671" s="83">
        <f t="shared" si="423"/>
        <v>0</v>
      </c>
      <c r="M2671" s="110" t="str">
        <f t="shared" si="424"/>
        <v/>
      </c>
      <c r="N2671" s="51" t="str">
        <f t="shared" si="425"/>
        <v/>
      </c>
      <c r="O2671" s="52" t="str">
        <f t="shared" si="426"/>
        <v/>
      </c>
      <c r="P2671" s="88">
        <f t="shared" si="427"/>
        <v>0</v>
      </c>
      <c r="Q2671" s="88">
        <f t="shared" si="428"/>
        <v>0</v>
      </c>
      <c r="R2671" s="88" t="e">
        <f>-IF(Tabla14[[#This Row],[DIAS HABILES O MORA]]&lt;0,(Tabla14[[#This Row],[VALOR PRESTAMO]]*Tabla14[[#This Row],[% INTERES ]]/30*U2671))+Tabla14[[#This Row],[VALOR CUOTAS]]</f>
        <v>#VALUE!</v>
      </c>
      <c r="S2671" s="88">
        <f>-IF(Tabla14[[#This Row],[DIAS HABILES O MORA]]&lt;0,(Tabla14[[#This Row],[VALOR PRESTAMO]]*Tabla14[[#This Row],[% INTERES ]]/30*U2671))</f>
        <v>0</v>
      </c>
      <c r="T2671" s="53" t="e">
        <f>Tabla14[[#This Row],[DEUDA CAPITAL]]+Tabla14[[#This Row],[INTERES  CUOTA]]</f>
        <v>#NUM!</v>
      </c>
      <c r="U2671" s="61" t="str">
        <f t="shared" si="429"/>
        <v/>
      </c>
    </row>
    <row r="2672" spans="9:21" ht="24.75" customHeight="1" x14ac:dyDescent="0.35">
      <c r="I2672" s="42">
        <f t="shared" si="420"/>
        <v>0</v>
      </c>
      <c r="J2672" s="65" t="e">
        <f t="shared" si="421"/>
        <v>#NUM!</v>
      </c>
      <c r="K2672" s="83" t="e">
        <f t="shared" si="422"/>
        <v>#NUM!</v>
      </c>
      <c r="L2672" s="83">
        <f t="shared" si="423"/>
        <v>0</v>
      </c>
      <c r="M2672" s="110" t="str">
        <f t="shared" si="424"/>
        <v/>
      </c>
      <c r="N2672" s="51" t="str">
        <f t="shared" si="425"/>
        <v/>
      </c>
      <c r="O2672" s="52" t="str">
        <f t="shared" si="426"/>
        <v/>
      </c>
      <c r="P2672" s="88">
        <f t="shared" si="427"/>
        <v>0</v>
      </c>
      <c r="Q2672" s="88">
        <f t="shared" si="428"/>
        <v>0</v>
      </c>
      <c r="R2672" s="88" t="e">
        <f>-IF(Tabla14[[#This Row],[DIAS HABILES O MORA]]&lt;0,(Tabla14[[#This Row],[VALOR PRESTAMO]]*Tabla14[[#This Row],[% INTERES ]]/30*U2672))+Tabla14[[#This Row],[VALOR CUOTAS]]</f>
        <v>#VALUE!</v>
      </c>
      <c r="S2672" s="88">
        <f>-IF(Tabla14[[#This Row],[DIAS HABILES O MORA]]&lt;0,(Tabla14[[#This Row],[VALOR PRESTAMO]]*Tabla14[[#This Row],[% INTERES ]]/30*U2672))</f>
        <v>0</v>
      </c>
      <c r="T2672" s="53" t="e">
        <f>Tabla14[[#This Row],[DEUDA CAPITAL]]+Tabla14[[#This Row],[INTERES  CUOTA]]</f>
        <v>#NUM!</v>
      </c>
      <c r="U2672" s="61" t="str">
        <f t="shared" si="429"/>
        <v/>
      </c>
    </row>
    <row r="2673" spans="9:21" ht="24.75" customHeight="1" x14ac:dyDescent="0.35">
      <c r="I2673" s="42">
        <f t="shared" si="420"/>
        <v>0</v>
      </c>
      <c r="J2673" s="65" t="e">
        <f t="shared" si="421"/>
        <v>#NUM!</v>
      </c>
      <c r="K2673" s="83" t="e">
        <f t="shared" si="422"/>
        <v>#NUM!</v>
      </c>
      <c r="L2673" s="83">
        <f t="shared" si="423"/>
        <v>0</v>
      </c>
      <c r="M2673" s="110" t="str">
        <f t="shared" si="424"/>
        <v/>
      </c>
      <c r="N2673" s="51" t="str">
        <f t="shared" si="425"/>
        <v/>
      </c>
      <c r="O2673" s="52" t="str">
        <f t="shared" si="426"/>
        <v/>
      </c>
      <c r="P2673" s="88">
        <f t="shared" si="427"/>
        <v>0</v>
      </c>
      <c r="Q2673" s="88">
        <f t="shared" si="428"/>
        <v>0</v>
      </c>
      <c r="R2673" s="88" t="e">
        <f>-IF(Tabla14[[#This Row],[DIAS HABILES O MORA]]&lt;0,(Tabla14[[#This Row],[VALOR PRESTAMO]]*Tabla14[[#This Row],[% INTERES ]]/30*U2673))+Tabla14[[#This Row],[VALOR CUOTAS]]</f>
        <v>#VALUE!</v>
      </c>
      <c r="S2673" s="88">
        <f>-IF(Tabla14[[#This Row],[DIAS HABILES O MORA]]&lt;0,(Tabla14[[#This Row],[VALOR PRESTAMO]]*Tabla14[[#This Row],[% INTERES ]]/30*U2673))</f>
        <v>0</v>
      </c>
      <c r="T2673" s="53" t="e">
        <f>Tabla14[[#This Row],[DEUDA CAPITAL]]+Tabla14[[#This Row],[INTERES  CUOTA]]</f>
        <v>#NUM!</v>
      </c>
      <c r="U2673" s="61" t="str">
        <f t="shared" si="429"/>
        <v/>
      </c>
    </row>
    <row r="2674" spans="9:21" ht="24.75" customHeight="1" x14ac:dyDescent="0.35">
      <c r="I2674" s="42">
        <f t="shared" si="420"/>
        <v>0</v>
      </c>
      <c r="J2674" s="65" t="e">
        <f t="shared" si="421"/>
        <v>#NUM!</v>
      </c>
      <c r="K2674" s="83" t="e">
        <f t="shared" si="422"/>
        <v>#NUM!</v>
      </c>
      <c r="L2674" s="83">
        <f t="shared" si="423"/>
        <v>0</v>
      </c>
      <c r="M2674" s="110" t="str">
        <f t="shared" si="424"/>
        <v/>
      </c>
      <c r="N2674" s="51" t="str">
        <f t="shared" si="425"/>
        <v/>
      </c>
      <c r="O2674" s="52" t="str">
        <f t="shared" si="426"/>
        <v/>
      </c>
      <c r="P2674" s="88">
        <f t="shared" si="427"/>
        <v>0</v>
      </c>
      <c r="Q2674" s="88">
        <f t="shared" si="428"/>
        <v>0</v>
      </c>
      <c r="R2674" s="88" t="e">
        <f>-IF(Tabla14[[#This Row],[DIAS HABILES O MORA]]&lt;0,(Tabla14[[#This Row],[VALOR PRESTAMO]]*Tabla14[[#This Row],[% INTERES ]]/30*U2674))+Tabla14[[#This Row],[VALOR CUOTAS]]</f>
        <v>#VALUE!</v>
      </c>
      <c r="S2674" s="88">
        <f>-IF(Tabla14[[#This Row],[DIAS HABILES O MORA]]&lt;0,(Tabla14[[#This Row],[VALOR PRESTAMO]]*Tabla14[[#This Row],[% INTERES ]]/30*U2674))</f>
        <v>0</v>
      </c>
      <c r="T2674" s="53" t="e">
        <f>Tabla14[[#This Row],[DEUDA CAPITAL]]+Tabla14[[#This Row],[INTERES  CUOTA]]</f>
        <v>#NUM!</v>
      </c>
      <c r="U2674" s="61" t="str">
        <f t="shared" si="429"/>
        <v/>
      </c>
    </row>
    <row r="2675" spans="9:21" ht="24.75" customHeight="1" x14ac:dyDescent="0.35">
      <c r="I2675" s="42">
        <f t="shared" si="420"/>
        <v>0</v>
      </c>
      <c r="J2675" s="65" t="e">
        <f t="shared" si="421"/>
        <v>#NUM!</v>
      </c>
      <c r="K2675" s="83" t="e">
        <f t="shared" si="422"/>
        <v>#NUM!</v>
      </c>
      <c r="L2675" s="83">
        <f t="shared" si="423"/>
        <v>0</v>
      </c>
      <c r="M2675" s="110" t="str">
        <f t="shared" si="424"/>
        <v/>
      </c>
      <c r="N2675" s="51" t="str">
        <f t="shared" si="425"/>
        <v/>
      </c>
      <c r="O2675" s="52" t="str">
        <f t="shared" si="426"/>
        <v/>
      </c>
      <c r="P2675" s="88">
        <f t="shared" si="427"/>
        <v>0</v>
      </c>
      <c r="Q2675" s="88">
        <f t="shared" si="428"/>
        <v>0</v>
      </c>
      <c r="R2675" s="88" t="e">
        <f>-IF(Tabla14[[#This Row],[DIAS HABILES O MORA]]&lt;0,(Tabla14[[#This Row],[VALOR PRESTAMO]]*Tabla14[[#This Row],[% INTERES ]]/30*U2675))+Tabla14[[#This Row],[VALOR CUOTAS]]</f>
        <v>#VALUE!</v>
      </c>
      <c r="S2675" s="88">
        <f>-IF(Tabla14[[#This Row],[DIAS HABILES O MORA]]&lt;0,(Tabla14[[#This Row],[VALOR PRESTAMO]]*Tabla14[[#This Row],[% INTERES ]]/30*U2675))</f>
        <v>0</v>
      </c>
      <c r="T2675" s="53" t="e">
        <f>Tabla14[[#This Row],[DEUDA CAPITAL]]+Tabla14[[#This Row],[INTERES  CUOTA]]</f>
        <v>#NUM!</v>
      </c>
      <c r="U2675" s="61" t="str">
        <f t="shared" si="429"/>
        <v/>
      </c>
    </row>
    <row r="2676" spans="9:21" ht="24.75" customHeight="1" x14ac:dyDescent="0.35">
      <c r="I2676" s="42">
        <f t="shared" si="420"/>
        <v>0</v>
      </c>
      <c r="J2676" s="65" t="e">
        <f t="shared" si="421"/>
        <v>#NUM!</v>
      </c>
      <c r="K2676" s="83" t="e">
        <f t="shared" si="422"/>
        <v>#NUM!</v>
      </c>
      <c r="L2676" s="83">
        <f t="shared" si="423"/>
        <v>0</v>
      </c>
      <c r="M2676" s="110" t="str">
        <f t="shared" si="424"/>
        <v/>
      </c>
      <c r="N2676" s="51" t="str">
        <f t="shared" si="425"/>
        <v/>
      </c>
      <c r="O2676" s="52" t="str">
        <f t="shared" si="426"/>
        <v/>
      </c>
      <c r="P2676" s="88">
        <f t="shared" si="427"/>
        <v>0</v>
      </c>
      <c r="Q2676" s="88">
        <f t="shared" si="428"/>
        <v>0</v>
      </c>
      <c r="R2676" s="88" t="e">
        <f>-IF(Tabla14[[#This Row],[DIAS HABILES O MORA]]&lt;0,(Tabla14[[#This Row],[VALOR PRESTAMO]]*Tabla14[[#This Row],[% INTERES ]]/30*U2676))+Tabla14[[#This Row],[VALOR CUOTAS]]</f>
        <v>#VALUE!</v>
      </c>
      <c r="S2676" s="88">
        <f>-IF(Tabla14[[#This Row],[DIAS HABILES O MORA]]&lt;0,(Tabla14[[#This Row],[VALOR PRESTAMO]]*Tabla14[[#This Row],[% INTERES ]]/30*U2676))</f>
        <v>0</v>
      </c>
      <c r="T2676" s="53" t="e">
        <f>Tabla14[[#This Row],[DEUDA CAPITAL]]+Tabla14[[#This Row],[INTERES  CUOTA]]</f>
        <v>#NUM!</v>
      </c>
      <c r="U2676" s="61" t="str">
        <f t="shared" si="429"/>
        <v/>
      </c>
    </row>
    <row r="2677" spans="9:21" ht="24.75" customHeight="1" x14ac:dyDescent="0.35">
      <c r="I2677" s="42">
        <f t="shared" si="420"/>
        <v>0</v>
      </c>
      <c r="J2677" s="65" t="e">
        <f t="shared" si="421"/>
        <v>#NUM!</v>
      </c>
      <c r="K2677" s="83" t="e">
        <f t="shared" si="422"/>
        <v>#NUM!</v>
      </c>
      <c r="L2677" s="83">
        <f t="shared" si="423"/>
        <v>0</v>
      </c>
      <c r="M2677" s="110" t="str">
        <f t="shared" si="424"/>
        <v/>
      </c>
      <c r="N2677" s="51" t="str">
        <f t="shared" si="425"/>
        <v/>
      </c>
      <c r="O2677" s="52" t="str">
        <f t="shared" si="426"/>
        <v/>
      </c>
      <c r="P2677" s="88">
        <f t="shared" si="427"/>
        <v>0</v>
      </c>
      <c r="Q2677" s="88">
        <f t="shared" si="428"/>
        <v>0</v>
      </c>
      <c r="R2677" s="88" t="e">
        <f>-IF(Tabla14[[#This Row],[DIAS HABILES O MORA]]&lt;0,(Tabla14[[#This Row],[VALOR PRESTAMO]]*Tabla14[[#This Row],[% INTERES ]]/30*U2677))+Tabla14[[#This Row],[VALOR CUOTAS]]</f>
        <v>#VALUE!</v>
      </c>
      <c r="S2677" s="88">
        <f>-IF(Tabla14[[#This Row],[DIAS HABILES O MORA]]&lt;0,(Tabla14[[#This Row],[VALOR PRESTAMO]]*Tabla14[[#This Row],[% INTERES ]]/30*U2677))</f>
        <v>0</v>
      </c>
      <c r="T2677" s="53" t="e">
        <f>Tabla14[[#This Row],[DEUDA CAPITAL]]+Tabla14[[#This Row],[INTERES  CUOTA]]</f>
        <v>#NUM!</v>
      </c>
      <c r="U2677" s="61" t="str">
        <f t="shared" si="429"/>
        <v/>
      </c>
    </row>
    <row r="2678" spans="9:21" ht="24.75" customHeight="1" x14ac:dyDescent="0.35">
      <c r="I2678" s="42">
        <f t="shared" si="420"/>
        <v>0</v>
      </c>
      <c r="J2678" s="65" t="e">
        <f t="shared" si="421"/>
        <v>#NUM!</v>
      </c>
      <c r="K2678" s="83" t="e">
        <f t="shared" si="422"/>
        <v>#NUM!</v>
      </c>
      <c r="L2678" s="83">
        <f t="shared" si="423"/>
        <v>0</v>
      </c>
      <c r="M2678" s="110" t="str">
        <f t="shared" si="424"/>
        <v/>
      </c>
      <c r="N2678" s="51" t="str">
        <f t="shared" si="425"/>
        <v/>
      </c>
      <c r="O2678" s="52" t="str">
        <f t="shared" si="426"/>
        <v/>
      </c>
      <c r="P2678" s="88">
        <f t="shared" si="427"/>
        <v>0</v>
      </c>
      <c r="Q2678" s="88">
        <f t="shared" si="428"/>
        <v>0</v>
      </c>
      <c r="R2678" s="88" t="e">
        <f>-IF(Tabla14[[#This Row],[DIAS HABILES O MORA]]&lt;0,(Tabla14[[#This Row],[VALOR PRESTAMO]]*Tabla14[[#This Row],[% INTERES ]]/30*U2678))+Tabla14[[#This Row],[VALOR CUOTAS]]</f>
        <v>#VALUE!</v>
      </c>
      <c r="S2678" s="88">
        <f>-IF(Tabla14[[#This Row],[DIAS HABILES O MORA]]&lt;0,(Tabla14[[#This Row],[VALOR PRESTAMO]]*Tabla14[[#This Row],[% INTERES ]]/30*U2678))</f>
        <v>0</v>
      </c>
      <c r="T2678" s="53" t="e">
        <f>Tabla14[[#This Row],[DEUDA CAPITAL]]+Tabla14[[#This Row],[INTERES  CUOTA]]</f>
        <v>#NUM!</v>
      </c>
      <c r="U2678" s="61" t="str">
        <f t="shared" si="429"/>
        <v/>
      </c>
    </row>
    <row r="2679" spans="9:21" ht="24.75" customHeight="1" x14ac:dyDescent="0.35">
      <c r="I2679" s="42">
        <f t="shared" si="420"/>
        <v>0</v>
      </c>
      <c r="J2679" s="65" t="e">
        <f t="shared" si="421"/>
        <v>#NUM!</v>
      </c>
      <c r="K2679" s="83" t="e">
        <f t="shared" si="422"/>
        <v>#NUM!</v>
      </c>
      <c r="L2679" s="83">
        <f t="shared" si="423"/>
        <v>0</v>
      </c>
      <c r="M2679" s="110" t="str">
        <f t="shared" si="424"/>
        <v/>
      </c>
      <c r="N2679" s="51" t="str">
        <f t="shared" si="425"/>
        <v/>
      </c>
      <c r="O2679" s="52" t="str">
        <f t="shared" si="426"/>
        <v/>
      </c>
      <c r="P2679" s="88">
        <f t="shared" si="427"/>
        <v>0</v>
      </c>
      <c r="Q2679" s="88">
        <f t="shared" si="428"/>
        <v>0</v>
      </c>
      <c r="R2679" s="88" t="e">
        <f>-IF(Tabla14[[#This Row],[DIAS HABILES O MORA]]&lt;0,(Tabla14[[#This Row],[VALOR PRESTAMO]]*Tabla14[[#This Row],[% INTERES ]]/30*U2679))+Tabla14[[#This Row],[VALOR CUOTAS]]</f>
        <v>#VALUE!</v>
      </c>
      <c r="S2679" s="88">
        <f>-IF(Tabla14[[#This Row],[DIAS HABILES O MORA]]&lt;0,(Tabla14[[#This Row],[VALOR PRESTAMO]]*Tabla14[[#This Row],[% INTERES ]]/30*U2679))</f>
        <v>0</v>
      </c>
      <c r="T2679" s="53" t="e">
        <f>Tabla14[[#This Row],[DEUDA CAPITAL]]+Tabla14[[#This Row],[INTERES  CUOTA]]</f>
        <v>#NUM!</v>
      </c>
      <c r="U2679" s="61" t="str">
        <f t="shared" si="429"/>
        <v/>
      </c>
    </row>
    <row r="2680" spans="9:21" ht="24.75" customHeight="1" x14ac:dyDescent="0.35">
      <c r="I2680" s="42">
        <f t="shared" si="420"/>
        <v>0</v>
      </c>
      <c r="J2680" s="65" t="e">
        <f t="shared" si="421"/>
        <v>#NUM!</v>
      </c>
      <c r="K2680" s="83" t="e">
        <f t="shared" si="422"/>
        <v>#NUM!</v>
      </c>
      <c r="L2680" s="83">
        <f t="shared" si="423"/>
        <v>0</v>
      </c>
      <c r="M2680" s="110" t="str">
        <f t="shared" si="424"/>
        <v/>
      </c>
      <c r="N2680" s="51" t="str">
        <f t="shared" si="425"/>
        <v/>
      </c>
      <c r="O2680" s="52" t="str">
        <f t="shared" si="426"/>
        <v/>
      </c>
      <c r="P2680" s="88">
        <f t="shared" si="427"/>
        <v>0</v>
      </c>
      <c r="Q2680" s="88">
        <f t="shared" si="428"/>
        <v>0</v>
      </c>
      <c r="R2680" s="88" t="e">
        <f>-IF(Tabla14[[#This Row],[DIAS HABILES O MORA]]&lt;0,(Tabla14[[#This Row],[VALOR PRESTAMO]]*Tabla14[[#This Row],[% INTERES ]]/30*U2680))+Tabla14[[#This Row],[VALOR CUOTAS]]</f>
        <v>#VALUE!</v>
      </c>
      <c r="S2680" s="88">
        <f>-IF(Tabla14[[#This Row],[DIAS HABILES O MORA]]&lt;0,(Tabla14[[#This Row],[VALOR PRESTAMO]]*Tabla14[[#This Row],[% INTERES ]]/30*U2680))</f>
        <v>0</v>
      </c>
      <c r="T2680" s="53" t="e">
        <f>Tabla14[[#This Row],[DEUDA CAPITAL]]+Tabla14[[#This Row],[INTERES  CUOTA]]</f>
        <v>#NUM!</v>
      </c>
      <c r="U2680" s="61" t="str">
        <f t="shared" si="429"/>
        <v/>
      </c>
    </row>
    <row r="2681" spans="9:21" ht="24.75" customHeight="1" x14ac:dyDescent="0.35">
      <c r="I2681" s="42">
        <f t="shared" si="420"/>
        <v>0</v>
      </c>
      <c r="J2681" s="65" t="e">
        <f t="shared" si="421"/>
        <v>#NUM!</v>
      </c>
      <c r="K2681" s="83" t="e">
        <f t="shared" si="422"/>
        <v>#NUM!</v>
      </c>
      <c r="L2681" s="83">
        <f t="shared" si="423"/>
        <v>0</v>
      </c>
      <c r="M2681" s="110" t="str">
        <f t="shared" si="424"/>
        <v/>
      </c>
      <c r="N2681" s="51" t="str">
        <f t="shared" si="425"/>
        <v/>
      </c>
      <c r="O2681" s="52" t="str">
        <f t="shared" si="426"/>
        <v/>
      </c>
      <c r="P2681" s="88">
        <f t="shared" si="427"/>
        <v>0</v>
      </c>
      <c r="Q2681" s="88">
        <f t="shared" si="428"/>
        <v>0</v>
      </c>
      <c r="R2681" s="88" t="e">
        <f>-IF(Tabla14[[#This Row],[DIAS HABILES O MORA]]&lt;0,(Tabla14[[#This Row],[VALOR PRESTAMO]]*Tabla14[[#This Row],[% INTERES ]]/30*U2681))+Tabla14[[#This Row],[VALOR CUOTAS]]</f>
        <v>#VALUE!</v>
      </c>
      <c r="S2681" s="88">
        <f>-IF(Tabla14[[#This Row],[DIAS HABILES O MORA]]&lt;0,(Tabla14[[#This Row],[VALOR PRESTAMO]]*Tabla14[[#This Row],[% INTERES ]]/30*U2681))</f>
        <v>0</v>
      </c>
      <c r="T2681" s="53" t="e">
        <f>Tabla14[[#This Row],[DEUDA CAPITAL]]+Tabla14[[#This Row],[INTERES  CUOTA]]</f>
        <v>#NUM!</v>
      </c>
      <c r="U2681" s="61" t="str">
        <f t="shared" si="429"/>
        <v/>
      </c>
    </row>
    <row r="2682" spans="9:21" ht="24.75" customHeight="1" x14ac:dyDescent="0.35">
      <c r="I2682" s="42">
        <f t="shared" si="420"/>
        <v>0</v>
      </c>
      <c r="J2682" s="65" t="e">
        <f t="shared" si="421"/>
        <v>#NUM!</v>
      </c>
      <c r="K2682" s="83" t="e">
        <f t="shared" si="422"/>
        <v>#NUM!</v>
      </c>
      <c r="L2682" s="83">
        <f t="shared" si="423"/>
        <v>0</v>
      </c>
      <c r="M2682" s="110" t="str">
        <f t="shared" si="424"/>
        <v/>
      </c>
      <c r="N2682" s="51" t="str">
        <f t="shared" si="425"/>
        <v/>
      </c>
      <c r="O2682" s="52" t="str">
        <f t="shared" si="426"/>
        <v/>
      </c>
      <c r="P2682" s="88">
        <f t="shared" si="427"/>
        <v>0</v>
      </c>
      <c r="Q2682" s="88">
        <f t="shared" si="428"/>
        <v>0</v>
      </c>
      <c r="R2682" s="88" t="e">
        <f>-IF(Tabla14[[#This Row],[DIAS HABILES O MORA]]&lt;0,(Tabla14[[#This Row],[VALOR PRESTAMO]]*Tabla14[[#This Row],[% INTERES ]]/30*U2682))+Tabla14[[#This Row],[VALOR CUOTAS]]</f>
        <v>#VALUE!</v>
      </c>
      <c r="S2682" s="88">
        <f>-IF(Tabla14[[#This Row],[DIAS HABILES O MORA]]&lt;0,(Tabla14[[#This Row],[VALOR PRESTAMO]]*Tabla14[[#This Row],[% INTERES ]]/30*U2682))</f>
        <v>0</v>
      </c>
      <c r="T2682" s="53" t="e">
        <f>Tabla14[[#This Row],[DEUDA CAPITAL]]+Tabla14[[#This Row],[INTERES  CUOTA]]</f>
        <v>#NUM!</v>
      </c>
      <c r="U2682" s="61" t="str">
        <f t="shared" si="429"/>
        <v/>
      </c>
    </row>
    <row r="2683" spans="9:21" ht="24.75" customHeight="1" x14ac:dyDescent="0.35">
      <c r="I2683" s="42">
        <f t="shared" si="420"/>
        <v>0</v>
      </c>
      <c r="J2683" s="65" t="e">
        <f t="shared" si="421"/>
        <v>#NUM!</v>
      </c>
      <c r="K2683" s="83" t="e">
        <f t="shared" si="422"/>
        <v>#NUM!</v>
      </c>
      <c r="L2683" s="83">
        <f t="shared" si="423"/>
        <v>0</v>
      </c>
      <c r="M2683" s="110" t="str">
        <f t="shared" si="424"/>
        <v/>
      </c>
      <c r="N2683" s="51" t="str">
        <f t="shared" si="425"/>
        <v/>
      </c>
      <c r="O2683" s="52" t="str">
        <f t="shared" si="426"/>
        <v/>
      </c>
      <c r="P2683" s="88">
        <f t="shared" si="427"/>
        <v>0</v>
      </c>
      <c r="Q2683" s="88">
        <f t="shared" si="428"/>
        <v>0</v>
      </c>
      <c r="R2683" s="88" t="e">
        <f>-IF(Tabla14[[#This Row],[DIAS HABILES O MORA]]&lt;0,(Tabla14[[#This Row],[VALOR PRESTAMO]]*Tabla14[[#This Row],[% INTERES ]]/30*U2683))+Tabla14[[#This Row],[VALOR CUOTAS]]</f>
        <v>#VALUE!</v>
      </c>
      <c r="S2683" s="88">
        <f>-IF(Tabla14[[#This Row],[DIAS HABILES O MORA]]&lt;0,(Tabla14[[#This Row],[VALOR PRESTAMO]]*Tabla14[[#This Row],[% INTERES ]]/30*U2683))</f>
        <v>0</v>
      </c>
      <c r="T2683" s="53" t="e">
        <f>Tabla14[[#This Row],[DEUDA CAPITAL]]+Tabla14[[#This Row],[INTERES  CUOTA]]</f>
        <v>#NUM!</v>
      </c>
      <c r="U2683" s="61" t="str">
        <f t="shared" si="429"/>
        <v/>
      </c>
    </row>
    <row r="2684" spans="9:21" ht="24.75" customHeight="1" x14ac:dyDescent="0.35">
      <c r="I2684" s="42">
        <f t="shared" si="420"/>
        <v>0</v>
      </c>
      <c r="J2684" s="65" t="e">
        <f t="shared" si="421"/>
        <v>#NUM!</v>
      </c>
      <c r="K2684" s="83" t="e">
        <f t="shared" si="422"/>
        <v>#NUM!</v>
      </c>
      <c r="L2684" s="83">
        <f t="shared" si="423"/>
        <v>0</v>
      </c>
      <c r="M2684" s="110" t="str">
        <f t="shared" si="424"/>
        <v/>
      </c>
      <c r="N2684" s="51" t="str">
        <f t="shared" si="425"/>
        <v/>
      </c>
      <c r="O2684" s="52" t="str">
        <f t="shared" si="426"/>
        <v/>
      </c>
      <c r="P2684" s="88">
        <f t="shared" si="427"/>
        <v>0</v>
      </c>
      <c r="Q2684" s="88">
        <f t="shared" si="428"/>
        <v>0</v>
      </c>
      <c r="R2684" s="88" t="e">
        <f>-IF(Tabla14[[#This Row],[DIAS HABILES O MORA]]&lt;0,(Tabla14[[#This Row],[VALOR PRESTAMO]]*Tabla14[[#This Row],[% INTERES ]]/30*U2684))+Tabla14[[#This Row],[VALOR CUOTAS]]</f>
        <v>#VALUE!</v>
      </c>
      <c r="S2684" s="88">
        <f>-IF(Tabla14[[#This Row],[DIAS HABILES O MORA]]&lt;0,(Tabla14[[#This Row],[VALOR PRESTAMO]]*Tabla14[[#This Row],[% INTERES ]]/30*U2684))</f>
        <v>0</v>
      </c>
      <c r="T2684" s="53" t="e">
        <f>Tabla14[[#This Row],[DEUDA CAPITAL]]+Tabla14[[#This Row],[INTERES  CUOTA]]</f>
        <v>#NUM!</v>
      </c>
      <c r="U2684" s="61" t="str">
        <f t="shared" si="429"/>
        <v/>
      </c>
    </row>
    <row r="2685" spans="9:21" ht="24.75" customHeight="1" x14ac:dyDescent="0.35">
      <c r="I2685" s="42">
        <f t="shared" si="420"/>
        <v>0</v>
      </c>
      <c r="J2685" s="65" t="e">
        <f t="shared" si="421"/>
        <v>#NUM!</v>
      </c>
      <c r="K2685" s="83" t="e">
        <f t="shared" si="422"/>
        <v>#NUM!</v>
      </c>
      <c r="L2685" s="83">
        <f t="shared" si="423"/>
        <v>0</v>
      </c>
      <c r="M2685" s="110" t="str">
        <f t="shared" si="424"/>
        <v/>
      </c>
      <c r="N2685" s="51" t="str">
        <f t="shared" si="425"/>
        <v/>
      </c>
      <c r="O2685" s="52" t="str">
        <f t="shared" si="426"/>
        <v/>
      </c>
      <c r="P2685" s="88">
        <f t="shared" si="427"/>
        <v>0</v>
      </c>
      <c r="Q2685" s="88">
        <f t="shared" si="428"/>
        <v>0</v>
      </c>
      <c r="R2685" s="88" t="e">
        <f>-IF(Tabla14[[#This Row],[DIAS HABILES O MORA]]&lt;0,(Tabla14[[#This Row],[VALOR PRESTAMO]]*Tabla14[[#This Row],[% INTERES ]]/30*U2685))+Tabla14[[#This Row],[VALOR CUOTAS]]</f>
        <v>#VALUE!</v>
      </c>
      <c r="S2685" s="88">
        <f>-IF(Tabla14[[#This Row],[DIAS HABILES O MORA]]&lt;0,(Tabla14[[#This Row],[VALOR PRESTAMO]]*Tabla14[[#This Row],[% INTERES ]]/30*U2685))</f>
        <v>0</v>
      </c>
      <c r="T2685" s="53" t="e">
        <f>Tabla14[[#This Row],[DEUDA CAPITAL]]+Tabla14[[#This Row],[INTERES  CUOTA]]</f>
        <v>#NUM!</v>
      </c>
      <c r="U2685" s="61" t="str">
        <f t="shared" si="429"/>
        <v/>
      </c>
    </row>
    <row r="2686" spans="9:21" ht="24.75" customHeight="1" x14ac:dyDescent="0.35">
      <c r="I2686" s="42">
        <f t="shared" si="420"/>
        <v>0</v>
      </c>
      <c r="J2686" s="65" t="e">
        <f t="shared" si="421"/>
        <v>#NUM!</v>
      </c>
      <c r="K2686" s="83" t="e">
        <f t="shared" si="422"/>
        <v>#NUM!</v>
      </c>
      <c r="L2686" s="83">
        <f t="shared" si="423"/>
        <v>0</v>
      </c>
      <c r="M2686" s="110" t="str">
        <f t="shared" si="424"/>
        <v/>
      </c>
      <c r="N2686" s="51" t="str">
        <f t="shared" si="425"/>
        <v/>
      </c>
      <c r="O2686" s="52" t="str">
        <f t="shared" si="426"/>
        <v/>
      </c>
      <c r="P2686" s="88">
        <f t="shared" si="427"/>
        <v>0</v>
      </c>
      <c r="Q2686" s="88">
        <f t="shared" si="428"/>
        <v>0</v>
      </c>
      <c r="R2686" s="88" t="e">
        <f>-IF(Tabla14[[#This Row],[DIAS HABILES O MORA]]&lt;0,(Tabla14[[#This Row],[VALOR PRESTAMO]]*Tabla14[[#This Row],[% INTERES ]]/30*U2686))+Tabla14[[#This Row],[VALOR CUOTAS]]</f>
        <v>#VALUE!</v>
      </c>
      <c r="S2686" s="88">
        <f>-IF(Tabla14[[#This Row],[DIAS HABILES O MORA]]&lt;0,(Tabla14[[#This Row],[VALOR PRESTAMO]]*Tabla14[[#This Row],[% INTERES ]]/30*U2686))</f>
        <v>0</v>
      </c>
      <c r="T2686" s="53" t="e">
        <f>Tabla14[[#This Row],[DEUDA CAPITAL]]+Tabla14[[#This Row],[INTERES  CUOTA]]</f>
        <v>#NUM!</v>
      </c>
      <c r="U2686" s="61" t="str">
        <f t="shared" si="429"/>
        <v/>
      </c>
    </row>
    <row r="2687" spans="9:21" ht="24.75" customHeight="1" x14ac:dyDescent="0.35">
      <c r="I2687" s="42">
        <f t="shared" si="420"/>
        <v>0</v>
      </c>
      <c r="J2687" s="65" t="e">
        <f t="shared" si="421"/>
        <v>#NUM!</v>
      </c>
      <c r="K2687" s="83" t="e">
        <f t="shared" si="422"/>
        <v>#NUM!</v>
      </c>
      <c r="L2687" s="83">
        <f t="shared" si="423"/>
        <v>0</v>
      </c>
      <c r="M2687" s="110" t="str">
        <f t="shared" si="424"/>
        <v/>
      </c>
      <c r="N2687" s="51" t="str">
        <f t="shared" si="425"/>
        <v/>
      </c>
      <c r="O2687" s="52" t="str">
        <f t="shared" si="426"/>
        <v/>
      </c>
      <c r="P2687" s="88">
        <f t="shared" si="427"/>
        <v>0</v>
      </c>
      <c r="Q2687" s="88">
        <f t="shared" si="428"/>
        <v>0</v>
      </c>
      <c r="R2687" s="88" t="e">
        <f>-IF(Tabla14[[#This Row],[DIAS HABILES O MORA]]&lt;0,(Tabla14[[#This Row],[VALOR PRESTAMO]]*Tabla14[[#This Row],[% INTERES ]]/30*U2687))+Tabla14[[#This Row],[VALOR CUOTAS]]</f>
        <v>#VALUE!</v>
      </c>
      <c r="S2687" s="88">
        <f>-IF(Tabla14[[#This Row],[DIAS HABILES O MORA]]&lt;0,(Tabla14[[#This Row],[VALOR PRESTAMO]]*Tabla14[[#This Row],[% INTERES ]]/30*U2687))</f>
        <v>0</v>
      </c>
      <c r="T2687" s="53" t="e">
        <f>Tabla14[[#This Row],[DEUDA CAPITAL]]+Tabla14[[#This Row],[INTERES  CUOTA]]</f>
        <v>#NUM!</v>
      </c>
      <c r="U2687" s="61" t="str">
        <f t="shared" si="429"/>
        <v/>
      </c>
    </row>
    <row r="2688" spans="9:21" ht="24.75" customHeight="1" x14ac:dyDescent="0.35">
      <c r="I2688" s="42">
        <f t="shared" si="420"/>
        <v>0</v>
      </c>
      <c r="J2688" s="65" t="e">
        <f t="shared" si="421"/>
        <v>#NUM!</v>
      </c>
      <c r="K2688" s="83" t="e">
        <f t="shared" si="422"/>
        <v>#NUM!</v>
      </c>
      <c r="L2688" s="83">
        <f t="shared" si="423"/>
        <v>0</v>
      </c>
      <c r="M2688" s="110" t="str">
        <f t="shared" si="424"/>
        <v/>
      </c>
      <c r="N2688" s="51" t="str">
        <f t="shared" si="425"/>
        <v/>
      </c>
      <c r="O2688" s="52" t="str">
        <f t="shared" si="426"/>
        <v/>
      </c>
      <c r="P2688" s="88">
        <f t="shared" si="427"/>
        <v>0</v>
      </c>
      <c r="Q2688" s="88">
        <f t="shared" si="428"/>
        <v>0</v>
      </c>
      <c r="R2688" s="88" t="e">
        <f>-IF(Tabla14[[#This Row],[DIAS HABILES O MORA]]&lt;0,(Tabla14[[#This Row],[VALOR PRESTAMO]]*Tabla14[[#This Row],[% INTERES ]]/30*U2688))+Tabla14[[#This Row],[VALOR CUOTAS]]</f>
        <v>#VALUE!</v>
      </c>
      <c r="S2688" s="88">
        <f>-IF(Tabla14[[#This Row],[DIAS HABILES O MORA]]&lt;0,(Tabla14[[#This Row],[VALOR PRESTAMO]]*Tabla14[[#This Row],[% INTERES ]]/30*U2688))</f>
        <v>0</v>
      </c>
      <c r="T2688" s="53" t="e">
        <f>Tabla14[[#This Row],[DEUDA CAPITAL]]+Tabla14[[#This Row],[INTERES  CUOTA]]</f>
        <v>#NUM!</v>
      </c>
      <c r="U2688" s="61" t="str">
        <f t="shared" si="429"/>
        <v/>
      </c>
    </row>
    <row r="2689" spans="9:21" ht="24.75" customHeight="1" x14ac:dyDescent="0.35">
      <c r="I2689" s="42">
        <f t="shared" si="420"/>
        <v>0</v>
      </c>
      <c r="J2689" s="65" t="e">
        <f t="shared" si="421"/>
        <v>#NUM!</v>
      </c>
      <c r="K2689" s="83" t="e">
        <f t="shared" si="422"/>
        <v>#NUM!</v>
      </c>
      <c r="L2689" s="83">
        <f t="shared" si="423"/>
        <v>0</v>
      </c>
      <c r="M2689" s="110" t="str">
        <f t="shared" si="424"/>
        <v/>
      </c>
      <c r="N2689" s="51" t="str">
        <f t="shared" si="425"/>
        <v/>
      </c>
      <c r="O2689" s="52" t="str">
        <f t="shared" si="426"/>
        <v/>
      </c>
      <c r="P2689" s="88">
        <f t="shared" si="427"/>
        <v>0</v>
      </c>
      <c r="Q2689" s="88">
        <f t="shared" si="428"/>
        <v>0</v>
      </c>
      <c r="R2689" s="88" t="e">
        <f>-IF(Tabla14[[#This Row],[DIAS HABILES O MORA]]&lt;0,(Tabla14[[#This Row],[VALOR PRESTAMO]]*Tabla14[[#This Row],[% INTERES ]]/30*U2689))+Tabla14[[#This Row],[VALOR CUOTAS]]</f>
        <v>#VALUE!</v>
      </c>
      <c r="S2689" s="88">
        <f>-IF(Tabla14[[#This Row],[DIAS HABILES O MORA]]&lt;0,(Tabla14[[#This Row],[VALOR PRESTAMO]]*Tabla14[[#This Row],[% INTERES ]]/30*U2689))</f>
        <v>0</v>
      </c>
      <c r="T2689" s="53" t="e">
        <f>Tabla14[[#This Row],[DEUDA CAPITAL]]+Tabla14[[#This Row],[INTERES  CUOTA]]</f>
        <v>#NUM!</v>
      </c>
      <c r="U2689" s="61" t="str">
        <f t="shared" si="429"/>
        <v/>
      </c>
    </row>
    <row r="2690" spans="9:21" ht="24.75" customHeight="1" x14ac:dyDescent="0.35">
      <c r="I2690" s="42">
        <f t="shared" si="420"/>
        <v>0</v>
      </c>
      <c r="J2690" s="65" t="e">
        <f t="shared" si="421"/>
        <v>#NUM!</v>
      </c>
      <c r="K2690" s="83" t="e">
        <f t="shared" si="422"/>
        <v>#NUM!</v>
      </c>
      <c r="L2690" s="83">
        <f t="shared" si="423"/>
        <v>0</v>
      </c>
      <c r="M2690" s="110" t="str">
        <f t="shared" si="424"/>
        <v/>
      </c>
      <c r="N2690" s="51" t="str">
        <f t="shared" si="425"/>
        <v/>
      </c>
      <c r="O2690" s="52" t="str">
        <f t="shared" si="426"/>
        <v/>
      </c>
      <c r="P2690" s="88">
        <f t="shared" si="427"/>
        <v>0</v>
      </c>
      <c r="Q2690" s="88">
        <f t="shared" si="428"/>
        <v>0</v>
      </c>
      <c r="R2690" s="88" t="e">
        <f>-IF(Tabla14[[#This Row],[DIAS HABILES O MORA]]&lt;0,(Tabla14[[#This Row],[VALOR PRESTAMO]]*Tabla14[[#This Row],[% INTERES ]]/30*U2690))+Tabla14[[#This Row],[VALOR CUOTAS]]</f>
        <v>#VALUE!</v>
      </c>
      <c r="S2690" s="88">
        <f>-IF(Tabla14[[#This Row],[DIAS HABILES O MORA]]&lt;0,(Tabla14[[#This Row],[VALOR PRESTAMO]]*Tabla14[[#This Row],[% INTERES ]]/30*U2690))</f>
        <v>0</v>
      </c>
      <c r="T2690" s="53" t="e">
        <f>Tabla14[[#This Row],[DEUDA CAPITAL]]+Tabla14[[#This Row],[INTERES  CUOTA]]</f>
        <v>#NUM!</v>
      </c>
      <c r="U2690" s="61" t="str">
        <f t="shared" si="429"/>
        <v/>
      </c>
    </row>
    <row r="2691" spans="9:21" ht="24.75" customHeight="1" x14ac:dyDescent="0.35">
      <c r="I2691" s="42">
        <f t="shared" si="420"/>
        <v>0</v>
      </c>
      <c r="J2691" s="65" t="e">
        <f t="shared" si="421"/>
        <v>#NUM!</v>
      </c>
      <c r="K2691" s="83" t="e">
        <f t="shared" si="422"/>
        <v>#NUM!</v>
      </c>
      <c r="L2691" s="83">
        <f t="shared" si="423"/>
        <v>0</v>
      </c>
      <c r="M2691" s="110" t="str">
        <f t="shared" si="424"/>
        <v/>
      </c>
      <c r="N2691" s="51" t="str">
        <f t="shared" si="425"/>
        <v/>
      </c>
      <c r="O2691" s="52" t="str">
        <f t="shared" si="426"/>
        <v/>
      </c>
      <c r="P2691" s="88">
        <f t="shared" si="427"/>
        <v>0</v>
      </c>
      <c r="Q2691" s="88">
        <f t="shared" si="428"/>
        <v>0</v>
      </c>
      <c r="R2691" s="88" t="e">
        <f>-IF(Tabla14[[#This Row],[DIAS HABILES O MORA]]&lt;0,(Tabla14[[#This Row],[VALOR PRESTAMO]]*Tabla14[[#This Row],[% INTERES ]]/30*U2691))+Tabla14[[#This Row],[VALOR CUOTAS]]</f>
        <v>#VALUE!</v>
      </c>
      <c r="S2691" s="88">
        <f>-IF(Tabla14[[#This Row],[DIAS HABILES O MORA]]&lt;0,(Tabla14[[#This Row],[VALOR PRESTAMO]]*Tabla14[[#This Row],[% INTERES ]]/30*U2691))</f>
        <v>0</v>
      </c>
      <c r="T2691" s="53" t="e">
        <f>Tabla14[[#This Row],[DEUDA CAPITAL]]+Tabla14[[#This Row],[INTERES  CUOTA]]</f>
        <v>#NUM!</v>
      </c>
      <c r="U2691" s="61" t="str">
        <f t="shared" si="429"/>
        <v/>
      </c>
    </row>
    <row r="2692" spans="9:21" ht="24.75" customHeight="1" x14ac:dyDescent="0.35">
      <c r="I2692" s="42">
        <f t="shared" si="420"/>
        <v>0</v>
      </c>
      <c r="J2692" s="65" t="e">
        <f t="shared" si="421"/>
        <v>#NUM!</v>
      </c>
      <c r="K2692" s="83" t="e">
        <f t="shared" si="422"/>
        <v>#NUM!</v>
      </c>
      <c r="L2692" s="83">
        <f t="shared" si="423"/>
        <v>0</v>
      </c>
      <c r="M2692" s="110" t="str">
        <f t="shared" si="424"/>
        <v/>
      </c>
      <c r="N2692" s="51" t="str">
        <f t="shared" si="425"/>
        <v/>
      </c>
      <c r="O2692" s="52" t="str">
        <f t="shared" si="426"/>
        <v/>
      </c>
      <c r="P2692" s="88">
        <f t="shared" si="427"/>
        <v>0</v>
      </c>
      <c r="Q2692" s="88">
        <f t="shared" si="428"/>
        <v>0</v>
      </c>
      <c r="R2692" s="88" t="e">
        <f>-IF(Tabla14[[#This Row],[DIAS HABILES O MORA]]&lt;0,(Tabla14[[#This Row],[VALOR PRESTAMO]]*Tabla14[[#This Row],[% INTERES ]]/30*U2692))+Tabla14[[#This Row],[VALOR CUOTAS]]</f>
        <v>#VALUE!</v>
      </c>
      <c r="S2692" s="88">
        <f>-IF(Tabla14[[#This Row],[DIAS HABILES O MORA]]&lt;0,(Tabla14[[#This Row],[VALOR PRESTAMO]]*Tabla14[[#This Row],[% INTERES ]]/30*U2692))</f>
        <v>0</v>
      </c>
      <c r="T2692" s="53" t="e">
        <f>Tabla14[[#This Row],[DEUDA CAPITAL]]+Tabla14[[#This Row],[INTERES  CUOTA]]</f>
        <v>#NUM!</v>
      </c>
      <c r="U2692" s="61" t="str">
        <f t="shared" si="429"/>
        <v/>
      </c>
    </row>
    <row r="2693" spans="9:21" ht="24.75" customHeight="1" x14ac:dyDescent="0.35">
      <c r="I2693" s="42">
        <f t="shared" si="420"/>
        <v>0</v>
      </c>
      <c r="J2693" s="65" t="e">
        <f t="shared" si="421"/>
        <v>#NUM!</v>
      </c>
      <c r="K2693" s="83" t="e">
        <f t="shared" si="422"/>
        <v>#NUM!</v>
      </c>
      <c r="L2693" s="83">
        <f t="shared" si="423"/>
        <v>0</v>
      </c>
      <c r="M2693" s="110" t="str">
        <f t="shared" si="424"/>
        <v/>
      </c>
      <c r="N2693" s="51" t="str">
        <f t="shared" si="425"/>
        <v/>
      </c>
      <c r="O2693" s="52" t="str">
        <f t="shared" si="426"/>
        <v/>
      </c>
      <c r="P2693" s="88">
        <f t="shared" si="427"/>
        <v>0</v>
      </c>
      <c r="Q2693" s="88">
        <f t="shared" si="428"/>
        <v>0</v>
      </c>
      <c r="R2693" s="88" t="e">
        <f>-IF(Tabla14[[#This Row],[DIAS HABILES O MORA]]&lt;0,(Tabla14[[#This Row],[VALOR PRESTAMO]]*Tabla14[[#This Row],[% INTERES ]]/30*U2693))+Tabla14[[#This Row],[VALOR CUOTAS]]</f>
        <v>#VALUE!</v>
      </c>
      <c r="S2693" s="88">
        <f>-IF(Tabla14[[#This Row],[DIAS HABILES O MORA]]&lt;0,(Tabla14[[#This Row],[VALOR PRESTAMO]]*Tabla14[[#This Row],[% INTERES ]]/30*U2693))</f>
        <v>0</v>
      </c>
      <c r="T2693" s="53" t="e">
        <f>Tabla14[[#This Row],[DEUDA CAPITAL]]+Tabla14[[#This Row],[INTERES  CUOTA]]</f>
        <v>#NUM!</v>
      </c>
      <c r="U2693" s="61" t="str">
        <f t="shared" si="429"/>
        <v/>
      </c>
    </row>
    <row r="2694" spans="9:21" ht="24.75" customHeight="1" x14ac:dyDescent="0.35">
      <c r="I2694" s="42">
        <f t="shared" si="420"/>
        <v>0</v>
      </c>
      <c r="J2694" s="65" t="e">
        <f t="shared" si="421"/>
        <v>#NUM!</v>
      </c>
      <c r="K2694" s="83" t="e">
        <f t="shared" si="422"/>
        <v>#NUM!</v>
      </c>
      <c r="L2694" s="83">
        <f t="shared" si="423"/>
        <v>0</v>
      </c>
      <c r="M2694" s="110" t="str">
        <f t="shared" si="424"/>
        <v/>
      </c>
      <c r="N2694" s="51" t="str">
        <f t="shared" si="425"/>
        <v/>
      </c>
      <c r="O2694" s="52" t="str">
        <f t="shared" si="426"/>
        <v/>
      </c>
      <c r="P2694" s="88">
        <f t="shared" si="427"/>
        <v>0</v>
      </c>
      <c r="Q2694" s="88">
        <f t="shared" si="428"/>
        <v>0</v>
      </c>
      <c r="R2694" s="88" t="e">
        <f>-IF(Tabla14[[#This Row],[DIAS HABILES O MORA]]&lt;0,(Tabla14[[#This Row],[VALOR PRESTAMO]]*Tabla14[[#This Row],[% INTERES ]]/30*U2694))+Tabla14[[#This Row],[VALOR CUOTAS]]</f>
        <v>#VALUE!</v>
      </c>
      <c r="S2694" s="88">
        <f>-IF(Tabla14[[#This Row],[DIAS HABILES O MORA]]&lt;0,(Tabla14[[#This Row],[VALOR PRESTAMO]]*Tabla14[[#This Row],[% INTERES ]]/30*U2694))</f>
        <v>0</v>
      </c>
      <c r="T2694" s="53" t="e">
        <f>Tabla14[[#This Row],[DEUDA CAPITAL]]+Tabla14[[#This Row],[INTERES  CUOTA]]</f>
        <v>#NUM!</v>
      </c>
      <c r="U2694" s="61" t="str">
        <f t="shared" si="429"/>
        <v/>
      </c>
    </row>
    <row r="2695" spans="9:21" ht="24.75" customHeight="1" x14ac:dyDescent="0.35">
      <c r="I2695" s="42">
        <f t="shared" si="420"/>
        <v>0</v>
      </c>
      <c r="J2695" s="65" t="e">
        <f t="shared" si="421"/>
        <v>#NUM!</v>
      </c>
      <c r="K2695" s="83" t="e">
        <f t="shared" si="422"/>
        <v>#NUM!</v>
      </c>
      <c r="L2695" s="83">
        <f t="shared" si="423"/>
        <v>0</v>
      </c>
      <c r="M2695" s="110" t="str">
        <f t="shared" si="424"/>
        <v/>
      </c>
      <c r="N2695" s="51" t="str">
        <f t="shared" si="425"/>
        <v/>
      </c>
      <c r="O2695" s="52" t="str">
        <f t="shared" si="426"/>
        <v/>
      </c>
      <c r="P2695" s="88">
        <f t="shared" si="427"/>
        <v>0</v>
      </c>
      <c r="Q2695" s="88">
        <f t="shared" si="428"/>
        <v>0</v>
      </c>
      <c r="R2695" s="88" t="e">
        <f>-IF(Tabla14[[#This Row],[DIAS HABILES O MORA]]&lt;0,(Tabla14[[#This Row],[VALOR PRESTAMO]]*Tabla14[[#This Row],[% INTERES ]]/30*U2695))+Tabla14[[#This Row],[VALOR CUOTAS]]</f>
        <v>#VALUE!</v>
      </c>
      <c r="S2695" s="88">
        <f>-IF(Tabla14[[#This Row],[DIAS HABILES O MORA]]&lt;0,(Tabla14[[#This Row],[VALOR PRESTAMO]]*Tabla14[[#This Row],[% INTERES ]]/30*U2695))</f>
        <v>0</v>
      </c>
      <c r="T2695" s="53" t="e">
        <f>Tabla14[[#This Row],[DEUDA CAPITAL]]+Tabla14[[#This Row],[INTERES  CUOTA]]</f>
        <v>#NUM!</v>
      </c>
      <c r="U2695" s="61" t="str">
        <f t="shared" si="429"/>
        <v/>
      </c>
    </row>
    <row r="2696" spans="9:21" ht="24.75" customHeight="1" x14ac:dyDescent="0.35">
      <c r="I2696" s="42">
        <f t="shared" si="420"/>
        <v>0</v>
      </c>
      <c r="J2696" s="65" t="e">
        <f t="shared" si="421"/>
        <v>#NUM!</v>
      </c>
      <c r="K2696" s="83" t="e">
        <f t="shared" si="422"/>
        <v>#NUM!</v>
      </c>
      <c r="L2696" s="83">
        <f t="shared" si="423"/>
        <v>0</v>
      </c>
      <c r="M2696" s="110" t="str">
        <f t="shared" si="424"/>
        <v/>
      </c>
      <c r="N2696" s="51" t="str">
        <f t="shared" si="425"/>
        <v/>
      </c>
      <c r="O2696" s="52" t="str">
        <f t="shared" si="426"/>
        <v/>
      </c>
      <c r="P2696" s="88">
        <f t="shared" si="427"/>
        <v>0</v>
      </c>
      <c r="Q2696" s="88">
        <f t="shared" si="428"/>
        <v>0</v>
      </c>
      <c r="R2696" s="88" t="e">
        <f>-IF(Tabla14[[#This Row],[DIAS HABILES O MORA]]&lt;0,(Tabla14[[#This Row],[VALOR PRESTAMO]]*Tabla14[[#This Row],[% INTERES ]]/30*U2696))+Tabla14[[#This Row],[VALOR CUOTAS]]</f>
        <v>#VALUE!</v>
      </c>
      <c r="S2696" s="88">
        <f>-IF(Tabla14[[#This Row],[DIAS HABILES O MORA]]&lt;0,(Tabla14[[#This Row],[VALOR PRESTAMO]]*Tabla14[[#This Row],[% INTERES ]]/30*U2696))</f>
        <v>0</v>
      </c>
      <c r="T2696" s="53" t="e">
        <f>Tabla14[[#This Row],[DEUDA CAPITAL]]+Tabla14[[#This Row],[INTERES  CUOTA]]</f>
        <v>#NUM!</v>
      </c>
      <c r="U2696" s="61" t="str">
        <f t="shared" si="429"/>
        <v/>
      </c>
    </row>
    <row r="2697" spans="9:21" ht="24.75" customHeight="1" x14ac:dyDescent="0.35">
      <c r="I2697" s="42">
        <f t="shared" si="420"/>
        <v>0</v>
      </c>
      <c r="J2697" s="65" t="e">
        <f t="shared" si="421"/>
        <v>#NUM!</v>
      </c>
      <c r="K2697" s="83" t="e">
        <f t="shared" si="422"/>
        <v>#NUM!</v>
      </c>
      <c r="L2697" s="83">
        <f t="shared" si="423"/>
        <v>0</v>
      </c>
      <c r="M2697" s="110" t="str">
        <f t="shared" si="424"/>
        <v/>
      </c>
      <c r="N2697" s="51" t="str">
        <f t="shared" si="425"/>
        <v/>
      </c>
      <c r="O2697" s="52" t="str">
        <f t="shared" si="426"/>
        <v/>
      </c>
      <c r="P2697" s="88">
        <f t="shared" si="427"/>
        <v>0</v>
      </c>
      <c r="Q2697" s="88">
        <f t="shared" si="428"/>
        <v>0</v>
      </c>
      <c r="R2697" s="88" t="e">
        <f>-IF(Tabla14[[#This Row],[DIAS HABILES O MORA]]&lt;0,(Tabla14[[#This Row],[VALOR PRESTAMO]]*Tabla14[[#This Row],[% INTERES ]]/30*U2697))+Tabla14[[#This Row],[VALOR CUOTAS]]</f>
        <v>#VALUE!</v>
      </c>
      <c r="S2697" s="88">
        <f>-IF(Tabla14[[#This Row],[DIAS HABILES O MORA]]&lt;0,(Tabla14[[#This Row],[VALOR PRESTAMO]]*Tabla14[[#This Row],[% INTERES ]]/30*U2697))</f>
        <v>0</v>
      </c>
      <c r="T2697" s="53" t="e">
        <f>Tabla14[[#This Row],[DEUDA CAPITAL]]+Tabla14[[#This Row],[INTERES  CUOTA]]</f>
        <v>#NUM!</v>
      </c>
      <c r="U2697" s="61" t="str">
        <f t="shared" si="429"/>
        <v/>
      </c>
    </row>
    <row r="2698" spans="9:21" ht="24.75" customHeight="1" x14ac:dyDescent="0.35">
      <c r="I2698" s="42">
        <f t="shared" si="420"/>
        <v>0</v>
      </c>
      <c r="J2698" s="65" t="e">
        <f t="shared" si="421"/>
        <v>#NUM!</v>
      </c>
      <c r="K2698" s="83" t="e">
        <f t="shared" si="422"/>
        <v>#NUM!</v>
      </c>
      <c r="L2698" s="83">
        <f t="shared" si="423"/>
        <v>0</v>
      </c>
      <c r="M2698" s="110" t="str">
        <f t="shared" si="424"/>
        <v/>
      </c>
      <c r="N2698" s="51" t="str">
        <f t="shared" si="425"/>
        <v/>
      </c>
      <c r="O2698" s="52" t="str">
        <f t="shared" si="426"/>
        <v/>
      </c>
      <c r="P2698" s="88">
        <f t="shared" si="427"/>
        <v>0</v>
      </c>
      <c r="Q2698" s="88">
        <f t="shared" si="428"/>
        <v>0</v>
      </c>
      <c r="R2698" s="88" t="e">
        <f>-IF(Tabla14[[#This Row],[DIAS HABILES O MORA]]&lt;0,(Tabla14[[#This Row],[VALOR PRESTAMO]]*Tabla14[[#This Row],[% INTERES ]]/30*U2698))+Tabla14[[#This Row],[VALOR CUOTAS]]</f>
        <v>#VALUE!</v>
      </c>
      <c r="S2698" s="88">
        <f>-IF(Tabla14[[#This Row],[DIAS HABILES O MORA]]&lt;0,(Tabla14[[#This Row],[VALOR PRESTAMO]]*Tabla14[[#This Row],[% INTERES ]]/30*U2698))</f>
        <v>0</v>
      </c>
      <c r="T2698" s="53" t="e">
        <f>Tabla14[[#This Row],[DEUDA CAPITAL]]+Tabla14[[#This Row],[INTERES  CUOTA]]</f>
        <v>#NUM!</v>
      </c>
      <c r="U2698" s="61" t="str">
        <f t="shared" si="429"/>
        <v/>
      </c>
    </row>
    <row r="2699" spans="9:21" ht="24.75" customHeight="1" x14ac:dyDescent="0.35">
      <c r="I2699" s="42">
        <f t="shared" si="420"/>
        <v>0</v>
      </c>
      <c r="J2699" s="65" t="e">
        <f t="shared" si="421"/>
        <v>#NUM!</v>
      </c>
      <c r="K2699" s="83" t="e">
        <f t="shared" si="422"/>
        <v>#NUM!</v>
      </c>
      <c r="L2699" s="83">
        <f t="shared" si="423"/>
        <v>0</v>
      </c>
      <c r="M2699" s="110" t="str">
        <f t="shared" si="424"/>
        <v/>
      </c>
      <c r="N2699" s="51" t="str">
        <f t="shared" si="425"/>
        <v/>
      </c>
      <c r="O2699" s="52" t="str">
        <f t="shared" si="426"/>
        <v/>
      </c>
      <c r="P2699" s="88">
        <f t="shared" si="427"/>
        <v>0</v>
      </c>
      <c r="Q2699" s="88">
        <f t="shared" si="428"/>
        <v>0</v>
      </c>
      <c r="R2699" s="88" t="e">
        <f>-IF(Tabla14[[#This Row],[DIAS HABILES O MORA]]&lt;0,(Tabla14[[#This Row],[VALOR PRESTAMO]]*Tabla14[[#This Row],[% INTERES ]]/30*U2699))+Tabla14[[#This Row],[VALOR CUOTAS]]</f>
        <v>#VALUE!</v>
      </c>
      <c r="S2699" s="88">
        <f>-IF(Tabla14[[#This Row],[DIAS HABILES O MORA]]&lt;0,(Tabla14[[#This Row],[VALOR PRESTAMO]]*Tabla14[[#This Row],[% INTERES ]]/30*U2699))</f>
        <v>0</v>
      </c>
      <c r="T2699" s="53" t="e">
        <f>Tabla14[[#This Row],[DEUDA CAPITAL]]+Tabla14[[#This Row],[INTERES  CUOTA]]</f>
        <v>#NUM!</v>
      </c>
      <c r="U2699" s="61" t="str">
        <f t="shared" si="429"/>
        <v/>
      </c>
    </row>
    <row r="2700" spans="9:21" ht="24.75" customHeight="1" x14ac:dyDescent="0.35">
      <c r="I2700" s="42">
        <f t="shared" si="420"/>
        <v>0</v>
      </c>
      <c r="J2700" s="65" t="e">
        <f t="shared" si="421"/>
        <v>#NUM!</v>
      </c>
      <c r="K2700" s="83" t="e">
        <f t="shared" si="422"/>
        <v>#NUM!</v>
      </c>
      <c r="L2700" s="83">
        <f t="shared" si="423"/>
        <v>0</v>
      </c>
      <c r="M2700" s="110" t="str">
        <f t="shared" si="424"/>
        <v/>
      </c>
      <c r="N2700" s="51" t="str">
        <f t="shared" si="425"/>
        <v/>
      </c>
      <c r="O2700" s="52" t="str">
        <f t="shared" si="426"/>
        <v/>
      </c>
      <c r="P2700" s="88">
        <f t="shared" si="427"/>
        <v>0</v>
      </c>
      <c r="Q2700" s="88">
        <f t="shared" si="428"/>
        <v>0</v>
      </c>
      <c r="R2700" s="88" t="e">
        <f>-IF(Tabla14[[#This Row],[DIAS HABILES O MORA]]&lt;0,(Tabla14[[#This Row],[VALOR PRESTAMO]]*Tabla14[[#This Row],[% INTERES ]]/30*U2700))+Tabla14[[#This Row],[VALOR CUOTAS]]</f>
        <v>#VALUE!</v>
      </c>
      <c r="S2700" s="88">
        <f>-IF(Tabla14[[#This Row],[DIAS HABILES O MORA]]&lt;0,(Tabla14[[#This Row],[VALOR PRESTAMO]]*Tabla14[[#This Row],[% INTERES ]]/30*U2700))</f>
        <v>0</v>
      </c>
      <c r="T2700" s="53" t="e">
        <f>Tabla14[[#This Row],[DEUDA CAPITAL]]+Tabla14[[#This Row],[INTERES  CUOTA]]</f>
        <v>#NUM!</v>
      </c>
      <c r="U2700" s="61" t="str">
        <f t="shared" si="429"/>
        <v/>
      </c>
    </row>
    <row r="2701" spans="9:21" ht="24.75" customHeight="1" x14ac:dyDescent="0.35">
      <c r="I2701" s="42">
        <f t="shared" si="420"/>
        <v>0</v>
      </c>
      <c r="J2701" s="65" t="e">
        <f t="shared" si="421"/>
        <v>#NUM!</v>
      </c>
      <c r="K2701" s="83" t="e">
        <f t="shared" si="422"/>
        <v>#NUM!</v>
      </c>
      <c r="L2701" s="83">
        <f t="shared" si="423"/>
        <v>0</v>
      </c>
      <c r="M2701" s="110" t="str">
        <f t="shared" si="424"/>
        <v/>
      </c>
      <c r="N2701" s="51" t="str">
        <f t="shared" si="425"/>
        <v/>
      </c>
      <c r="O2701" s="52" t="str">
        <f t="shared" si="426"/>
        <v/>
      </c>
      <c r="P2701" s="88">
        <f t="shared" si="427"/>
        <v>0</v>
      </c>
      <c r="Q2701" s="88">
        <f t="shared" si="428"/>
        <v>0</v>
      </c>
      <c r="R2701" s="88" t="e">
        <f>-IF(Tabla14[[#This Row],[DIAS HABILES O MORA]]&lt;0,(Tabla14[[#This Row],[VALOR PRESTAMO]]*Tabla14[[#This Row],[% INTERES ]]/30*U2701))+Tabla14[[#This Row],[VALOR CUOTAS]]</f>
        <v>#VALUE!</v>
      </c>
      <c r="S2701" s="88">
        <f>-IF(Tabla14[[#This Row],[DIAS HABILES O MORA]]&lt;0,(Tabla14[[#This Row],[VALOR PRESTAMO]]*Tabla14[[#This Row],[% INTERES ]]/30*U2701))</f>
        <v>0</v>
      </c>
      <c r="T2701" s="53" t="e">
        <f>Tabla14[[#This Row],[DEUDA CAPITAL]]+Tabla14[[#This Row],[INTERES  CUOTA]]</f>
        <v>#NUM!</v>
      </c>
      <c r="U2701" s="61" t="str">
        <f t="shared" si="429"/>
        <v/>
      </c>
    </row>
    <row r="2702" spans="9:21" ht="24.75" customHeight="1" x14ac:dyDescent="0.35">
      <c r="I2702" s="42">
        <f t="shared" si="420"/>
        <v>0</v>
      </c>
      <c r="J2702" s="65" t="e">
        <f t="shared" si="421"/>
        <v>#NUM!</v>
      </c>
      <c r="K2702" s="83" t="e">
        <f t="shared" si="422"/>
        <v>#NUM!</v>
      </c>
      <c r="L2702" s="83">
        <f t="shared" si="423"/>
        <v>0</v>
      </c>
      <c r="M2702" s="110" t="str">
        <f t="shared" si="424"/>
        <v/>
      </c>
      <c r="N2702" s="51" t="str">
        <f t="shared" si="425"/>
        <v/>
      </c>
      <c r="O2702" s="52" t="str">
        <f t="shared" si="426"/>
        <v/>
      </c>
      <c r="P2702" s="88">
        <f t="shared" si="427"/>
        <v>0</v>
      </c>
      <c r="Q2702" s="88">
        <f t="shared" si="428"/>
        <v>0</v>
      </c>
      <c r="R2702" s="88" t="e">
        <f>-IF(Tabla14[[#This Row],[DIAS HABILES O MORA]]&lt;0,(Tabla14[[#This Row],[VALOR PRESTAMO]]*Tabla14[[#This Row],[% INTERES ]]/30*U2702))+Tabla14[[#This Row],[VALOR CUOTAS]]</f>
        <v>#VALUE!</v>
      </c>
      <c r="S2702" s="88">
        <f>-IF(Tabla14[[#This Row],[DIAS HABILES O MORA]]&lt;0,(Tabla14[[#This Row],[VALOR PRESTAMO]]*Tabla14[[#This Row],[% INTERES ]]/30*U2702))</f>
        <v>0</v>
      </c>
      <c r="T2702" s="53" t="e">
        <f>Tabla14[[#This Row],[DEUDA CAPITAL]]+Tabla14[[#This Row],[INTERES  CUOTA]]</f>
        <v>#NUM!</v>
      </c>
      <c r="U2702" s="61" t="str">
        <f t="shared" si="429"/>
        <v/>
      </c>
    </row>
    <row r="2703" spans="9:21" ht="24.75" customHeight="1" x14ac:dyDescent="0.35">
      <c r="I2703" s="42">
        <f t="shared" si="420"/>
        <v>0</v>
      </c>
      <c r="J2703" s="65" t="e">
        <f t="shared" si="421"/>
        <v>#NUM!</v>
      </c>
      <c r="K2703" s="83" t="e">
        <f t="shared" si="422"/>
        <v>#NUM!</v>
      </c>
      <c r="L2703" s="83">
        <f t="shared" si="423"/>
        <v>0</v>
      </c>
      <c r="M2703" s="110" t="str">
        <f t="shared" si="424"/>
        <v/>
      </c>
      <c r="N2703" s="51" t="str">
        <f t="shared" si="425"/>
        <v/>
      </c>
      <c r="O2703" s="52" t="str">
        <f t="shared" si="426"/>
        <v/>
      </c>
      <c r="P2703" s="88">
        <f t="shared" si="427"/>
        <v>0</v>
      </c>
      <c r="Q2703" s="88">
        <f t="shared" si="428"/>
        <v>0</v>
      </c>
      <c r="R2703" s="88" t="e">
        <f>-IF(Tabla14[[#This Row],[DIAS HABILES O MORA]]&lt;0,(Tabla14[[#This Row],[VALOR PRESTAMO]]*Tabla14[[#This Row],[% INTERES ]]/30*U2703))+Tabla14[[#This Row],[VALOR CUOTAS]]</f>
        <v>#VALUE!</v>
      </c>
      <c r="S2703" s="88">
        <f>-IF(Tabla14[[#This Row],[DIAS HABILES O MORA]]&lt;0,(Tabla14[[#This Row],[VALOR PRESTAMO]]*Tabla14[[#This Row],[% INTERES ]]/30*U2703))</f>
        <v>0</v>
      </c>
      <c r="T2703" s="53" t="e">
        <f>Tabla14[[#This Row],[DEUDA CAPITAL]]+Tabla14[[#This Row],[INTERES  CUOTA]]</f>
        <v>#NUM!</v>
      </c>
      <c r="U2703" s="61" t="str">
        <f t="shared" si="429"/>
        <v/>
      </c>
    </row>
    <row r="2704" spans="9:21" ht="24.75" customHeight="1" x14ac:dyDescent="0.35">
      <c r="I2704" s="42">
        <f t="shared" ref="I2704:I2767" si="430">IF(C2704&lt;0,"",IF(Q2704=0,0,IF(G2704=0,H2704+1,IF(H2704&lt;G2704,H2704+1,IF(G2704=H2704,0)))))</f>
        <v>0</v>
      </c>
      <c r="J2704" s="65" t="e">
        <f t="shared" ref="J2704:J2767" si="431">IF(F2704="SOLO INTERES",Q2704*D2704,-IPMT(D2704,I2704,G2704,C2704))</f>
        <v>#NUM!</v>
      </c>
      <c r="K2704" s="83" t="e">
        <f t="shared" ref="K2704:K2767" si="432">IF(F2704="SOLO INTERES",0,-PPMT(D2704,I2704,G2704,C2704))</f>
        <v>#NUM!</v>
      </c>
      <c r="L2704" s="83">
        <f t="shared" ref="L2704:L2767" si="433">IF(F2704="SOLO INTERES",SUM(Y2704:AAE2704),IFERROR(-CUMIPMT(D2704,G2704,C2704,1,H2704,0),0)+SUM(Y2704:WY2704))</f>
        <v>0</v>
      </c>
      <c r="M2704" s="110" t="str">
        <f t="shared" ref="M2704:M2767" si="434">IFERROR(IF(F2704="SOLO INTERES",Q2704*D2704,-PMT(D2704,G2704,C2704,0)),"")</f>
        <v/>
      </c>
      <c r="N2704" s="51" t="str">
        <f t="shared" ref="N2704:N2767" si="435">IF(Q2704=0,"",IF(E2704="MENSUAL",EDATE(B2704,I2704),IF(E2704="QUINCENAL",B2704+(I2704*15),IF(E2704="SEMANAL",B2704+(I2704*7)))))</f>
        <v/>
      </c>
      <c r="O2704" s="52" t="str">
        <f t="shared" ref="O2704:O2767" si="436">IF(C2704=0,"",IF(Q2704&lt;1,"PAGADO",IF(N2704=$A$3,"COBRAR HOY",IF(N2704&lt;$A$3,"EN MORA",IF(N2704&gt;$A$3,"AL DIA")))))</f>
        <v/>
      </c>
      <c r="P2704" s="88">
        <f t="shared" ref="P2704:P2767" si="437">IFERROR(-CUMPRINC(D2704,G2704,C2704,1,H2704,0),0)+W2704</f>
        <v>0</v>
      </c>
      <c r="Q2704" s="88">
        <f t="shared" ref="Q2704:Q2767" si="438">IFERROR(C2704-P2704,"")</f>
        <v>0</v>
      </c>
      <c r="R2704" s="88" t="e">
        <f>-IF(Tabla14[[#This Row],[DIAS HABILES O MORA]]&lt;0,(Tabla14[[#This Row],[VALOR PRESTAMO]]*Tabla14[[#This Row],[% INTERES ]]/30*U2704))+Tabla14[[#This Row],[VALOR CUOTAS]]</f>
        <v>#VALUE!</v>
      </c>
      <c r="S2704" s="88">
        <f>-IF(Tabla14[[#This Row],[DIAS HABILES O MORA]]&lt;0,(Tabla14[[#This Row],[VALOR PRESTAMO]]*Tabla14[[#This Row],[% INTERES ]]/30*U2704))</f>
        <v>0</v>
      </c>
      <c r="T2704" s="53" t="e">
        <f>Tabla14[[#This Row],[DEUDA CAPITAL]]+Tabla14[[#This Row],[INTERES  CUOTA]]</f>
        <v>#NUM!</v>
      </c>
      <c r="U2704" s="61" t="str">
        <f t="shared" ref="U2704:U2767" si="439">IF(O2704="PAGADO","",IFERROR(-IF(C2704=0,"",$A$3-N2704),""))</f>
        <v/>
      </c>
    </row>
    <row r="2705" spans="9:21" ht="24.75" customHeight="1" x14ac:dyDescent="0.35">
      <c r="I2705" s="42">
        <f t="shared" si="430"/>
        <v>0</v>
      </c>
      <c r="J2705" s="65" t="e">
        <f t="shared" si="431"/>
        <v>#NUM!</v>
      </c>
      <c r="K2705" s="83" t="e">
        <f t="shared" si="432"/>
        <v>#NUM!</v>
      </c>
      <c r="L2705" s="83">
        <f t="shared" si="433"/>
        <v>0</v>
      </c>
      <c r="M2705" s="110" t="str">
        <f t="shared" si="434"/>
        <v/>
      </c>
      <c r="N2705" s="51" t="str">
        <f t="shared" si="435"/>
        <v/>
      </c>
      <c r="O2705" s="52" t="str">
        <f t="shared" si="436"/>
        <v/>
      </c>
      <c r="P2705" s="88">
        <f t="shared" si="437"/>
        <v>0</v>
      </c>
      <c r="Q2705" s="88">
        <f t="shared" si="438"/>
        <v>0</v>
      </c>
      <c r="R2705" s="88" t="e">
        <f>-IF(Tabla14[[#This Row],[DIAS HABILES O MORA]]&lt;0,(Tabla14[[#This Row],[VALOR PRESTAMO]]*Tabla14[[#This Row],[% INTERES ]]/30*U2705))+Tabla14[[#This Row],[VALOR CUOTAS]]</f>
        <v>#VALUE!</v>
      </c>
      <c r="S2705" s="88">
        <f>-IF(Tabla14[[#This Row],[DIAS HABILES O MORA]]&lt;0,(Tabla14[[#This Row],[VALOR PRESTAMO]]*Tabla14[[#This Row],[% INTERES ]]/30*U2705))</f>
        <v>0</v>
      </c>
      <c r="T2705" s="53" t="e">
        <f>Tabla14[[#This Row],[DEUDA CAPITAL]]+Tabla14[[#This Row],[INTERES  CUOTA]]</f>
        <v>#NUM!</v>
      </c>
      <c r="U2705" s="61" t="str">
        <f t="shared" si="439"/>
        <v/>
      </c>
    </row>
    <row r="2706" spans="9:21" ht="24.75" customHeight="1" x14ac:dyDescent="0.35">
      <c r="I2706" s="42">
        <f t="shared" si="430"/>
        <v>0</v>
      </c>
      <c r="J2706" s="65" t="e">
        <f t="shared" si="431"/>
        <v>#NUM!</v>
      </c>
      <c r="K2706" s="83" t="e">
        <f t="shared" si="432"/>
        <v>#NUM!</v>
      </c>
      <c r="L2706" s="83">
        <f t="shared" si="433"/>
        <v>0</v>
      </c>
      <c r="M2706" s="110" t="str">
        <f t="shared" si="434"/>
        <v/>
      </c>
      <c r="N2706" s="51" t="str">
        <f t="shared" si="435"/>
        <v/>
      </c>
      <c r="O2706" s="52" t="str">
        <f t="shared" si="436"/>
        <v/>
      </c>
      <c r="P2706" s="88">
        <f t="shared" si="437"/>
        <v>0</v>
      </c>
      <c r="Q2706" s="88">
        <f t="shared" si="438"/>
        <v>0</v>
      </c>
      <c r="R2706" s="88" t="e">
        <f>-IF(Tabla14[[#This Row],[DIAS HABILES O MORA]]&lt;0,(Tabla14[[#This Row],[VALOR PRESTAMO]]*Tabla14[[#This Row],[% INTERES ]]/30*U2706))+Tabla14[[#This Row],[VALOR CUOTAS]]</f>
        <v>#VALUE!</v>
      </c>
      <c r="S2706" s="88">
        <f>-IF(Tabla14[[#This Row],[DIAS HABILES O MORA]]&lt;0,(Tabla14[[#This Row],[VALOR PRESTAMO]]*Tabla14[[#This Row],[% INTERES ]]/30*U2706))</f>
        <v>0</v>
      </c>
      <c r="T2706" s="53" t="e">
        <f>Tabla14[[#This Row],[DEUDA CAPITAL]]+Tabla14[[#This Row],[INTERES  CUOTA]]</f>
        <v>#NUM!</v>
      </c>
      <c r="U2706" s="61" t="str">
        <f t="shared" si="439"/>
        <v/>
      </c>
    </row>
    <row r="2707" spans="9:21" ht="24.75" customHeight="1" x14ac:dyDescent="0.35">
      <c r="I2707" s="42">
        <f t="shared" si="430"/>
        <v>0</v>
      </c>
      <c r="J2707" s="65" t="e">
        <f t="shared" si="431"/>
        <v>#NUM!</v>
      </c>
      <c r="K2707" s="83" t="e">
        <f t="shared" si="432"/>
        <v>#NUM!</v>
      </c>
      <c r="L2707" s="83">
        <f t="shared" si="433"/>
        <v>0</v>
      </c>
      <c r="M2707" s="110" t="str">
        <f t="shared" si="434"/>
        <v/>
      </c>
      <c r="N2707" s="51" t="str">
        <f t="shared" si="435"/>
        <v/>
      </c>
      <c r="O2707" s="52" t="str">
        <f t="shared" si="436"/>
        <v/>
      </c>
      <c r="P2707" s="88">
        <f t="shared" si="437"/>
        <v>0</v>
      </c>
      <c r="Q2707" s="88">
        <f t="shared" si="438"/>
        <v>0</v>
      </c>
      <c r="R2707" s="88" t="e">
        <f>-IF(Tabla14[[#This Row],[DIAS HABILES O MORA]]&lt;0,(Tabla14[[#This Row],[VALOR PRESTAMO]]*Tabla14[[#This Row],[% INTERES ]]/30*U2707))+Tabla14[[#This Row],[VALOR CUOTAS]]</f>
        <v>#VALUE!</v>
      </c>
      <c r="S2707" s="88">
        <f>-IF(Tabla14[[#This Row],[DIAS HABILES O MORA]]&lt;0,(Tabla14[[#This Row],[VALOR PRESTAMO]]*Tabla14[[#This Row],[% INTERES ]]/30*U2707))</f>
        <v>0</v>
      </c>
      <c r="T2707" s="53" t="e">
        <f>Tabla14[[#This Row],[DEUDA CAPITAL]]+Tabla14[[#This Row],[INTERES  CUOTA]]</f>
        <v>#NUM!</v>
      </c>
      <c r="U2707" s="61" t="str">
        <f t="shared" si="439"/>
        <v/>
      </c>
    </row>
    <row r="2708" spans="9:21" ht="24.75" customHeight="1" x14ac:dyDescent="0.35">
      <c r="I2708" s="42">
        <f t="shared" si="430"/>
        <v>0</v>
      </c>
      <c r="J2708" s="65" t="e">
        <f t="shared" si="431"/>
        <v>#NUM!</v>
      </c>
      <c r="K2708" s="83" t="e">
        <f t="shared" si="432"/>
        <v>#NUM!</v>
      </c>
      <c r="L2708" s="83">
        <f t="shared" si="433"/>
        <v>0</v>
      </c>
      <c r="M2708" s="110" t="str">
        <f t="shared" si="434"/>
        <v/>
      </c>
      <c r="N2708" s="51" t="str">
        <f t="shared" si="435"/>
        <v/>
      </c>
      <c r="O2708" s="52" t="str">
        <f t="shared" si="436"/>
        <v/>
      </c>
      <c r="P2708" s="88">
        <f t="shared" si="437"/>
        <v>0</v>
      </c>
      <c r="Q2708" s="88">
        <f t="shared" si="438"/>
        <v>0</v>
      </c>
      <c r="R2708" s="88" t="e">
        <f>-IF(Tabla14[[#This Row],[DIAS HABILES O MORA]]&lt;0,(Tabla14[[#This Row],[VALOR PRESTAMO]]*Tabla14[[#This Row],[% INTERES ]]/30*U2708))+Tabla14[[#This Row],[VALOR CUOTAS]]</f>
        <v>#VALUE!</v>
      </c>
      <c r="S2708" s="88">
        <f>-IF(Tabla14[[#This Row],[DIAS HABILES O MORA]]&lt;0,(Tabla14[[#This Row],[VALOR PRESTAMO]]*Tabla14[[#This Row],[% INTERES ]]/30*U2708))</f>
        <v>0</v>
      </c>
      <c r="T2708" s="53" t="e">
        <f>Tabla14[[#This Row],[DEUDA CAPITAL]]+Tabla14[[#This Row],[INTERES  CUOTA]]</f>
        <v>#NUM!</v>
      </c>
      <c r="U2708" s="61" t="str">
        <f t="shared" si="439"/>
        <v/>
      </c>
    </row>
    <row r="2709" spans="9:21" ht="24.75" customHeight="1" x14ac:dyDescent="0.35">
      <c r="I2709" s="42">
        <f t="shared" si="430"/>
        <v>0</v>
      </c>
      <c r="J2709" s="65" t="e">
        <f t="shared" si="431"/>
        <v>#NUM!</v>
      </c>
      <c r="K2709" s="83" t="e">
        <f t="shared" si="432"/>
        <v>#NUM!</v>
      </c>
      <c r="L2709" s="83">
        <f t="shared" si="433"/>
        <v>0</v>
      </c>
      <c r="M2709" s="110" t="str">
        <f t="shared" si="434"/>
        <v/>
      </c>
      <c r="N2709" s="51" t="str">
        <f t="shared" si="435"/>
        <v/>
      </c>
      <c r="O2709" s="52" t="str">
        <f t="shared" si="436"/>
        <v/>
      </c>
      <c r="P2709" s="88">
        <f t="shared" si="437"/>
        <v>0</v>
      </c>
      <c r="Q2709" s="88">
        <f t="shared" si="438"/>
        <v>0</v>
      </c>
      <c r="R2709" s="88" t="e">
        <f>-IF(Tabla14[[#This Row],[DIAS HABILES O MORA]]&lt;0,(Tabla14[[#This Row],[VALOR PRESTAMO]]*Tabla14[[#This Row],[% INTERES ]]/30*U2709))+Tabla14[[#This Row],[VALOR CUOTAS]]</f>
        <v>#VALUE!</v>
      </c>
      <c r="S2709" s="88">
        <f>-IF(Tabla14[[#This Row],[DIAS HABILES O MORA]]&lt;0,(Tabla14[[#This Row],[VALOR PRESTAMO]]*Tabla14[[#This Row],[% INTERES ]]/30*U2709))</f>
        <v>0</v>
      </c>
      <c r="T2709" s="53" t="e">
        <f>Tabla14[[#This Row],[DEUDA CAPITAL]]+Tabla14[[#This Row],[INTERES  CUOTA]]</f>
        <v>#NUM!</v>
      </c>
      <c r="U2709" s="61" t="str">
        <f t="shared" si="439"/>
        <v/>
      </c>
    </row>
    <row r="2710" spans="9:21" ht="24.75" customHeight="1" x14ac:dyDescent="0.35">
      <c r="I2710" s="42">
        <f t="shared" si="430"/>
        <v>0</v>
      </c>
      <c r="J2710" s="65" t="e">
        <f t="shared" si="431"/>
        <v>#NUM!</v>
      </c>
      <c r="K2710" s="83" t="e">
        <f t="shared" si="432"/>
        <v>#NUM!</v>
      </c>
      <c r="L2710" s="83">
        <f t="shared" si="433"/>
        <v>0</v>
      </c>
      <c r="M2710" s="110" t="str">
        <f t="shared" si="434"/>
        <v/>
      </c>
      <c r="N2710" s="51" t="str">
        <f t="shared" si="435"/>
        <v/>
      </c>
      <c r="O2710" s="52" t="str">
        <f t="shared" si="436"/>
        <v/>
      </c>
      <c r="P2710" s="88">
        <f t="shared" si="437"/>
        <v>0</v>
      </c>
      <c r="Q2710" s="88">
        <f t="shared" si="438"/>
        <v>0</v>
      </c>
      <c r="R2710" s="88" t="e">
        <f>-IF(Tabla14[[#This Row],[DIAS HABILES O MORA]]&lt;0,(Tabla14[[#This Row],[VALOR PRESTAMO]]*Tabla14[[#This Row],[% INTERES ]]/30*U2710))+Tabla14[[#This Row],[VALOR CUOTAS]]</f>
        <v>#VALUE!</v>
      </c>
      <c r="S2710" s="88">
        <f>-IF(Tabla14[[#This Row],[DIAS HABILES O MORA]]&lt;0,(Tabla14[[#This Row],[VALOR PRESTAMO]]*Tabla14[[#This Row],[% INTERES ]]/30*U2710))</f>
        <v>0</v>
      </c>
      <c r="T2710" s="53" t="e">
        <f>Tabla14[[#This Row],[DEUDA CAPITAL]]+Tabla14[[#This Row],[INTERES  CUOTA]]</f>
        <v>#NUM!</v>
      </c>
      <c r="U2710" s="61" t="str">
        <f t="shared" si="439"/>
        <v/>
      </c>
    </row>
    <row r="2711" spans="9:21" ht="24.75" customHeight="1" x14ac:dyDescent="0.35">
      <c r="I2711" s="42">
        <f t="shared" si="430"/>
        <v>0</v>
      </c>
      <c r="J2711" s="65" t="e">
        <f t="shared" si="431"/>
        <v>#NUM!</v>
      </c>
      <c r="K2711" s="83" t="e">
        <f t="shared" si="432"/>
        <v>#NUM!</v>
      </c>
      <c r="L2711" s="83">
        <f t="shared" si="433"/>
        <v>0</v>
      </c>
      <c r="M2711" s="110" t="str">
        <f t="shared" si="434"/>
        <v/>
      </c>
      <c r="N2711" s="51" t="str">
        <f t="shared" si="435"/>
        <v/>
      </c>
      <c r="O2711" s="52" t="str">
        <f t="shared" si="436"/>
        <v/>
      </c>
      <c r="P2711" s="88">
        <f t="shared" si="437"/>
        <v>0</v>
      </c>
      <c r="Q2711" s="88">
        <f t="shared" si="438"/>
        <v>0</v>
      </c>
      <c r="R2711" s="88" t="e">
        <f>-IF(Tabla14[[#This Row],[DIAS HABILES O MORA]]&lt;0,(Tabla14[[#This Row],[VALOR PRESTAMO]]*Tabla14[[#This Row],[% INTERES ]]/30*U2711))+Tabla14[[#This Row],[VALOR CUOTAS]]</f>
        <v>#VALUE!</v>
      </c>
      <c r="S2711" s="88">
        <f>-IF(Tabla14[[#This Row],[DIAS HABILES O MORA]]&lt;0,(Tabla14[[#This Row],[VALOR PRESTAMO]]*Tabla14[[#This Row],[% INTERES ]]/30*U2711))</f>
        <v>0</v>
      </c>
      <c r="T2711" s="53" t="e">
        <f>Tabla14[[#This Row],[DEUDA CAPITAL]]+Tabla14[[#This Row],[INTERES  CUOTA]]</f>
        <v>#NUM!</v>
      </c>
      <c r="U2711" s="61" t="str">
        <f t="shared" si="439"/>
        <v/>
      </c>
    </row>
    <row r="2712" spans="9:21" ht="24.75" customHeight="1" x14ac:dyDescent="0.35">
      <c r="I2712" s="42">
        <f t="shared" si="430"/>
        <v>0</v>
      </c>
      <c r="J2712" s="65" t="e">
        <f t="shared" si="431"/>
        <v>#NUM!</v>
      </c>
      <c r="K2712" s="83" t="e">
        <f t="shared" si="432"/>
        <v>#NUM!</v>
      </c>
      <c r="L2712" s="83">
        <f t="shared" si="433"/>
        <v>0</v>
      </c>
      <c r="M2712" s="110" t="str">
        <f t="shared" si="434"/>
        <v/>
      </c>
      <c r="N2712" s="51" t="str">
        <f t="shared" si="435"/>
        <v/>
      </c>
      <c r="O2712" s="52" t="str">
        <f t="shared" si="436"/>
        <v/>
      </c>
      <c r="P2712" s="88">
        <f t="shared" si="437"/>
        <v>0</v>
      </c>
      <c r="Q2712" s="88">
        <f t="shared" si="438"/>
        <v>0</v>
      </c>
      <c r="R2712" s="88" t="e">
        <f>-IF(Tabla14[[#This Row],[DIAS HABILES O MORA]]&lt;0,(Tabla14[[#This Row],[VALOR PRESTAMO]]*Tabla14[[#This Row],[% INTERES ]]/30*U2712))+Tabla14[[#This Row],[VALOR CUOTAS]]</f>
        <v>#VALUE!</v>
      </c>
      <c r="S2712" s="88">
        <f>-IF(Tabla14[[#This Row],[DIAS HABILES O MORA]]&lt;0,(Tabla14[[#This Row],[VALOR PRESTAMO]]*Tabla14[[#This Row],[% INTERES ]]/30*U2712))</f>
        <v>0</v>
      </c>
      <c r="T2712" s="53" t="e">
        <f>Tabla14[[#This Row],[DEUDA CAPITAL]]+Tabla14[[#This Row],[INTERES  CUOTA]]</f>
        <v>#NUM!</v>
      </c>
      <c r="U2712" s="61" t="str">
        <f t="shared" si="439"/>
        <v/>
      </c>
    </row>
    <row r="2713" spans="9:21" ht="24.75" customHeight="1" x14ac:dyDescent="0.35">
      <c r="I2713" s="42">
        <f t="shared" si="430"/>
        <v>0</v>
      </c>
      <c r="J2713" s="65" t="e">
        <f t="shared" si="431"/>
        <v>#NUM!</v>
      </c>
      <c r="K2713" s="83" t="e">
        <f t="shared" si="432"/>
        <v>#NUM!</v>
      </c>
      <c r="L2713" s="83">
        <f t="shared" si="433"/>
        <v>0</v>
      </c>
      <c r="M2713" s="110" t="str">
        <f t="shared" si="434"/>
        <v/>
      </c>
      <c r="N2713" s="51" t="str">
        <f t="shared" si="435"/>
        <v/>
      </c>
      <c r="O2713" s="52" t="str">
        <f t="shared" si="436"/>
        <v/>
      </c>
      <c r="P2713" s="88">
        <f t="shared" si="437"/>
        <v>0</v>
      </c>
      <c r="Q2713" s="88">
        <f t="shared" si="438"/>
        <v>0</v>
      </c>
      <c r="R2713" s="88" t="e">
        <f>-IF(Tabla14[[#This Row],[DIAS HABILES O MORA]]&lt;0,(Tabla14[[#This Row],[VALOR PRESTAMO]]*Tabla14[[#This Row],[% INTERES ]]/30*U2713))+Tabla14[[#This Row],[VALOR CUOTAS]]</f>
        <v>#VALUE!</v>
      </c>
      <c r="S2713" s="88">
        <f>-IF(Tabla14[[#This Row],[DIAS HABILES O MORA]]&lt;0,(Tabla14[[#This Row],[VALOR PRESTAMO]]*Tabla14[[#This Row],[% INTERES ]]/30*U2713))</f>
        <v>0</v>
      </c>
      <c r="T2713" s="53" t="e">
        <f>Tabla14[[#This Row],[DEUDA CAPITAL]]+Tabla14[[#This Row],[INTERES  CUOTA]]</f>
        <v>#NUM!</v>
      </c>
      <c r="U2713" s="61" t="str">
        <f t="shared" si="439"/>
        <v/>
      </c>
    </row>
    <row r="2714" spans="9:21" ht="24.75" customHeight="1" x14ac:dyDescent="0.35">
      <c r="I2714" s="42">
        <f t="shared" si="430"/>
        <v>0</v>
      </c>
      <c r="J2714" s="65" t="e">
        <f t="shared" si="431"/>
        <v>#NUM!</v>
      </c>
      <c r="K2714" s="83" t="e">
        <f t="shared" si="432"/>
        <v>#NUM!</v>
      </c>
      <c r="L2714" s="83">
        <f t="shared" si="433"/>
        <v>0</v>
      </c>
      <c r="M2714" s="110" t="str">
        <f t="shared" si="434"/>
        <v/>
      </c>
      <c r="N2714" s="51" t="str">
        <f t="shared" si="435"/>
        <v/>
      </c>
      <c r="O2714" s="52" t="str">
        <f t="shared" si="436"/>
        <v/>
      </c>
      <c r="P2714" s="88">
        <f t="shared" si="437"/>
        <v>0</v>
      </c>
      <c r="Q2714" s="88">
        <f t="shared" si="438"/>
        <v>0</v>
      </c>
      <c r="R2714" s="88" t="e">
        <f>-IF(Tabla14[[#This Row],[DIAS HABILES O MORA]]&lt;0,(Tabla14[[#This Row],[VALOR PRESTAMO]]*Tabla14[[#This Row],[% INTERES ]]/30*U2714))+Tabla14[[#This Row],[VALOR CUOTAS]]</f>
        <v>#VALUE!</v>
      </c>
      <c r="S2714" s="88">
        <f>-IF(Tabla14[[#This Row],[DIAS HABILES O MORA]]&lt;0,(Tabla14[[#This Row],[VALOR PRESTAMO]]*Tabla14[[#This Row],[% INTERES ]]/30*U2714))</f>
        <v>0</v>
      </c>
      <c r="T2714" s="53" t="e">
        <f>Tabla14[[#This Row],[DEUDA CAPITAL]]+Tabla14[[#This Row],[INTERES  CUOTA]]</f>
        <v>#NUM!</v>
      </c>
      <c r="U2714" s="61" t="str">
        <f t="shared" si="439"/>
        <v/>
      </c>
    </row>
    <row r="2715" spans="9:21" ht="24.75" customHeight="1" x14ac:dyDescent="0.35">
      <c r="I2715" s="42">
        <f t="shared" si="430"/>
        <v>0</v>
      </c>
      <c r="J2715" s="65" t="e">
        <f t="shared" si="431"/>
        <v>#NUM!</v>
      </c>
      <c r="K2715" s="83" t="e">
        <f t="shared" si="432"/>
        <v>#NUM!</v>
      </c>
      <c r="L2715" s="83">
        <f t="shared" si="433"/>
        <v>0</v>
      </c>
      <c r="M2715" s="110" t="str">
        <f t="shared" si="434"/>
        <v/>
      </c>
      <c r="N2715" s="51" t="str">
        <f t="shared" si="435"/>
        <v/>
      </c>
      <c r="O2715" s="52" t="str">
        <f t="shared" si="436"/>
        <v/>
      </c>
      <c r="P2715" s="88">
        <f t="shared" si="437"/>
        <v>0</v>
      </c>
      <c r="Q2715" s="88">
        <f t="shared" si="438"/>
        <v>0</v>
      </c>
      <c r="R2715" s="88" t="e">
        <f>-IF(Tabla14[[#This Row],[DIAS HABILES O MORA]]&lt;0,(Tabla14[[#This Row],[VALOR PRESTAMO]]*Tabla14[[#This Row],[% INTERES ]]/30*U2715))+Tabla14[[#This Row],[VALOR CUOTAS]]</f>
        <v>#VALUE!</v>
      </c>
      <c r="S2715" s="88">
        <f>-IF(Tabla14[[#This Row],[DIAS HABILES O MORA]]&lt;0,(Tabla14[[#This Row],[VALOR PRESTAMO]]*Tabla14[[#This Row],[% INTERES ]]/30*U2715))</f>
        <v>0</v>
      </c>
      <c r="T2715" s="53" t="e">
        <f>Tabla14[[#This Row],[DEUDA CAPITAL]]+Tabla14[[#This Row],[INTERES  CUOTA]]</f>
        <v>#NUM!</v>
      </c>
      <c r="U2715" s="61" t="str">
        <f t="shared" si="439"/>
        <v/>
      </c>
    </row>
    <row r="2716" spans="9:21" ht="24.75" customHeight="1" x14ac:dyDescent="0.35">
      <c r="I2716" s="42">
        <f t="shared" si="430"/>
        <v>0</v>
      </c>
      <c r="J2716" s="65" t="e">
        <f t="shared" si="431"/>
        <v>#NUM!</v>
      </c>
      <c r="K2716" s="83" t="e">
        <f t="shared" si="432"/>
        <v>#NUM!</v>
      </c>
      <c r="L2716" s="83">
        <f t="shared" si="433"/>
        <v>0</v>
      </c>
      <c r="M2716" s="110" t="str">
        <f t="shared" si="434"/>
        <v/>
      </c>
      <c r="N2716" s="51" t="str">
        <f t="shared" si="435"/>
        <v/>
      </c>
      <c r="O2716" s="52" t="str">
        <f t="shared" si="436"/>
        <v/>
      </c>
      <c r="P2716" s="88">
        <f t="shared" si="437"/>
        <v>0</v>
      </c>
      <c r="Q2716" s="88">
        <f t="shared" si="438"/>
        <v>0</v>
      </c>
      <c r="R2716" s="88" t="e">
        <f>-IF(Tabla14[[#This Row],[DIAS HABILES O MORA]]&lt;0,(Tabla14[[#This Row],[VALOR PRESTAMO]]*Tabla14[[#This Row],[% INTERES ]]/30*U2716))+Tabla14[[#This Row],[VALOR CUOTAS]]</f>
        <v>#VALUE!</v>
      </c>
      <c r="S2716" s="88">
        <f>-IF(Tabla14[[#This Row],[DIAS HABILES O MORA]]&lt;0,(Tabla14[[#This Row],[VALOR PRESTAMO]]*Tabla14[[#This Row],[% INTERES ]]/30*U2716))</f>
        <v>0</v>
      </c>
      <c r="T2716" s="53" t="e">
        <f>Tabla14[[#This Row],[DEUDA CAPITAL]]+Tabla14[[#This Row],[INTERES  CUOTA]]</f>
        <v>#NUM!</v>
      </c>
      <c r="U2716" s="61" t="str">
        <f t="shared" si="439"/>
        <v/>
      </c>
    </row>
    <row r="2717" spans="9:21" ht="24.75" customHeight="1" x14ac:dyDescent="0.35">
      <c r="I2717" s="42">
        <f t="shared" si="430"/>
        <v>0</v>
      </c>
      <c r="J2717" s="65" t="e">
        <f t="shared" si="431"/>
        <v>#NUM!</v>
      </c>
      <c r="K2717" s="83" t="e">
        <f t="shared" si="432"/>
        <v>#NUM!</v>
      </c>
      <c r="L2717" s="83">
        <f t="shared" si="433"/>
        <v>0</v>
      </c>
      <c r="M2717" s="110" t="str">
        <f t="shared" si="434"/>
        <v/>
      </c>
      <c r="N2717" s="51" t="str">
        <f t="shared" si="435"/>
        <v/>
      </c>
      <c r="O2717" s="52" t="str">
        <f t="shared" si="436"/>
        <v/>
      </c>
      <c r="P2717" s="88">
        <f t="shared" si="437"/>
        <v>0</v>
      </c>
      <c r="Q2717" s="88">
        <f t="shared" si="438"/>
        <v>0</v>
      </c>
      <c r="R2717" s="88" t="e">
        <f>-IF(Tabla14[[#This Row],[DIAS HABILES O MORA]]&lt;0,(Tabla14[[#This Row],[VALOR PRESTAMO]]*Tabla14[[#This Row],[% INTERES ]]/30*U2717))+Tabla14[[#This Row],[VALOR CUOTAS]]</f>
        <v>#VALUE!</v>
      </c>
      <c r="S2717" s="88">
        <f>-IF(Tabla14[[#This Row],[DIAS HABILES O MORA]]&lt;0,(Tabla14[[#This Row],[VALOR PRESTAMO]]*Tabla14[[#This Row],[% INTERES ]]/30*U2717))</f>
        <v>0</v>
      </c>
      <c r="T2717" s="53" t="e">
        <f>Tabla14[[#This Row],[DEUDA CAPITAL]]+Tabla14[[#This Row],[INTERES  CUOTA]]</f>
        <v>#NUM!</v>
      </c>
      <c r="U2717" s="61" t="str">
        <f t="shared" si="439"/>
        <v/>
      </c>
    </row>
    <row r="2718" spans="9:21" ht="24.75" customHeight="1" x14ac:dyDescent="0.35">
      <c r="I2718" s="42">
        <f t="shared" si="430"/>
        <v>0</v>
      </c>
      <c r="J2718" s="65" t="e">
        <f t="shared" si="431"/>
        <v>#NUM!</v>
      </c>
      <c r="K2718" s="83" t="e">
        <f t="shared" si="432"/>
        <v>#NUM!</v>
      </c>
      <c r="L2718" s="83">
        <f t="shared" si="433"/>
        <v>0</v>
      </c>
      <c r="M2718" s="110" t="str">
        <f t="shared" si="434"/>
        <v/>
      </c>
      <c r="N2718" s="51" t="str">
        <f t="shared" si="435"/>
        <v/>
      </c>
      <c r="O2718" s="52" t="str">
        <f t="shared" si="436"/>
        <v/>
      </c>
      <c r="P2718" s="88">
        <f t="shared" si="437"/>
        <v>0</v>
      </c>
      <c r="Q2718" s="88">
        <f t="shared" si="438"/>
        <v>0</v>
      </c>
      <c r="R2718" s="88" t="e">
        <f>-IF(Tabla14[[#This Row],[DIAS HABILES O MORA]]&lt;0,(Tabla14[[#This Row],[VALOR PRESTAMO]]*Tabla14[[#This Row],[% INTERES ]]/30*U2718))+Tabla14[[#This Row],[VALOR CUOTAS]]</f>
        <v>#VALUE!</v>
      </c>
      <c r="S2718" s="88">
        <f>-IF(Tabla14[[#This Row],[DIAS HABILES O MORA]]&lt;0,(Tabla14[[#This Row],[VALOR PRESTAMO]]*Tabla14[[#This Row],[% INTERES ]]/30*U2718))</f>
        <v>0</v>
      </c>
      <c r="T2718" s="53" t="e">
        <f>Tabla14[[#This Row],[DEUDA CAPITAL]]+Tabla14[[#This Row],[INTERES  CUOTA]]</f>
        <v>#NUM!</v>
      </c>
      <c r="U2718" s="61" t="str">
        <f t="shared" si="439"/>
        <v/>
      </c>
    </row>
    <row r="2719" spans="9:21" ht="24.75" customHeight="1" x14ac:dyDescent="0.35">
      <c r="I2719" s="42">
        <f t="shared" si="430"/>
        <v>0</v>
      </c>
      <c r="J2719" s="65" t="e">
        <f t="shared" si="431"/>
        <v>#NUM!</v>
      </c>
      <c r="K2719" s="83" t="e">
        <f t="shared" si="432"/>
        <v>#NUM!</v>
      </c>
      <c r="L2719" s="83">
        <f t="shared" si="433"/>
        <v>0</v>
      </c>
      <c r="M2719" s="110" t="str">
        <f t="shared" si="434"/>
        <v/>
      </c>
      <c r="N2719" s="51" t="str">
        <f t="shared" si="435"/>
        <v/>
      </c>
      <c r="O2719" s="52" t="str">
        <f t="shared" si="436"/>
        <v/>
      </c>
      <c r="P2719" s="88">
        <f t="shared" si="437"/>
        <v>0</v>
      </c>
      <c r="Q2719" s="88">
        <f t="shared" si="438"/>
        <v>0</v>
      </c>
      <c r="R2719" s="88" t="e">
        <f>-IF(Tabla14[[#This Row],[DIAS HABILES O MORA]]&lt;0,(Tabla14[[#This Row],[VALOR PRESTAMO]]*Tabla14[[#This Row],[% INTERES ]]/30*U2719))+Tabla14[[#This Row],[VALOR CUOTAS]]</f>
        <v>#VALUE!</v>
      </c>
      <c r="S2719" s="88">
        <f>-IF(Tabla14[[#This Row],[DIAS HABILES O MORA]]&lt;0,(Tabla14[[#This Row],[VALOR PRESTAMO]]*Tabla14[[#This Row],[% INTERES ]]/30*U2719))</f>
        <v>0</v>
      </c>
      <c r="T2719" s="53" t="e">
        <f>Tabla14[[#This Row],[DEUDA CAPITAL]]+Tabla14[[#This Row],[INTERES  CUOTA]]</f>
        <v>#NUM!</v>
      </c>
      <c r="U2719" s="61" t="str">
        <f t="shared" si="439"/>
        <v/>
      </c>
    </row>
    <row r="2720" spans="9:21" ht="24.75" customHeight="1" x14ac:dyDescent="0.35">
      <c r="I2720" s="42">
        <f t="shared" si="430"/>
        <v>0</v>
      </c>
      <c r="J2720" s="65" t="e">
        <f t="shared" si="431"/>
        <v>#NUM!</v>
      </c>
      <c r="K2720" s="83" t="e">
        <f t="shared" si="432"/>
        <v>#NUM!</v>
      </c>
      <c r="L2720" s="83">
        <f t="shared" si="433"/>
        <v>0</v>
      </c>
      <c r="M2720" s="110" t="str">
        <f t="shared" si="434"/>
        <v/>
      </c>
      <c r="N2720" s="51" t="str">
        <f t="shared" si="435"/>
        <v/>
      </c>
      <c r="O2720" s="52" t="str">
        <f t="shared" si="436"/>
        <v/>
      </c>
      <c r="P2720" s="88">
        <f t="shared" si="437"/>
        <v>0</v>
      </c>
      <c r="Q2720" s="88">
        <f t="shared" si="438"/>
        <v>0</v>
      </c>
      <c r="R2720" s="88" t="e">
        <f>-IF(Tabla14[[#This Row],[DIAS HABILES O MORA]]&lt;0,(Tabla14[[#This Row],[VALOR PRESTAMO]]*Tabla14[[#This Row],[% INTERES ]]/30*U2720))+Tabla14[[#This Row],[VALOR CUOTAS]]</f>
        <v>#VALUE!</v>
      </c>
      <c r="S2720" s="88">
        <f>-IF(Tabla14[[#This Row],[DIAS HABILES O MORA]]&lt;0,(Tabla14[[#This Row],[VALOR PRESTAMO]]*Tabla14[[#This Row],[% INTERES ]]/30*U2720))</f>
        <v>0</v>
      </c>
      <c r="T2720" s="53" t="e">
        <f>Tabla14[[#This Row],[DEUDA CAPITAL]]+Tabla14[[#This Row],[INTERES  CUOTA]]</f>
        <v>#NUM!</v>
      </c>
      <c r="U2720" s="61" t="str">
        <f t="shared" si="439"/>
        <v/>
      </c>
    </row>
    <row r="2721" spans="9:21" ht="24.75" customHeight="1" x14ac:dyDescent="0.35">
      <c r="I2721" s="42">
        <f t="shared" si="430"/>
        <v>0</v>
      </c>
      <c r="J2721" s="65" t="e">
        <f t="shared" si="431"/>
        <v>#NUM!</v>
      </c>
      <c r="K2721" s="83" t="e">
        <f t="shared" si="432"/>
        <v>#NUM!</v>
      </c>
      <c r="L2721" s="83">
        <f t="shared" si="433"/>
        <v>0</v>
      </c>
      <c r="M2721" s="110" t="str">
        <f t="shared" si="434"/>
        <v/>
      </c>
      <c r="N2721" s="51" t="str">
        <f t="shared" si="435"/>
        <v/>
      </c>
      <c r="O2721" s="52" t="str">
        <f t="shared" si="436"/>
        <v/>
      </c>
      <c r="P2721" s="88">
        <f t="shared" si="437"/>
        <v>0</v>
      </c>
      <c r="Q2721" s="88">
        <f t="shared" si="438"/>
        <v>0</v>
      </c>
      <c r="R2721" s="88" t="e">
        <f>-IF(Tabla14[[#This Row],[DIAS HABILES O MORA]]&lt;0,(Tabla14[[#This Row],[VALOR PRESTAMO]]*Tabla14[[#This Row],[% INTERES ]]/30*U2721))+Tabla14[[#This Row],[VALOR CUOTAS]]</f>
        <v>#VALUE!</v>
      </c>
      <c r="S2721" s="88">
        <f>-IF(Tabla14[[#This Row],[DIAS HABILES O MORA]]&lt;0,(Tabla14[[#This Row],[VALOR PRESTAMO]]*Tabla14[[#This Row],[% INTERES ]]/30*U2721))</f>
        <v>0</v>
      </c>
      <c r="T2721" s="53" t="e">
        <f>Tabla14[[#This Row],[DEUDA CAPITAL]]+Tabla14[[#This Row],[INTERES  CUOTA]]</f>
        <v>#NUM!</v>
      </c>
      <c r="U2721" s="61" t="str">
        <f t="shared" si="439"/>
        <v/>
      </c>
    </row>
    <row r="2722" spans="9:21" ht="24.75" customHeight="1" x14ac:dyDescent="0.35">
      <c r="I2722" s="42">
        <f t="shared" si="430"/>
        <v>0</v>
      </c>
      <c r="J2722" s="65" t="e">
        <f t="shared" si="431"/>
        <v>#NUM!</v>
      </c>
      <c r="K2722" s="83" t="e">
        <f t="shared" si="432"/>
        <v>#NUM!</v>
      </c>
      <c r="L2722" s="83">
        <f t="shared" si="433"/>
        <v>0</v>
      </c>
      <c r="M2722" s="110" t="str">
        <f t="shared" si="434"/>
        <v/>
      </c>
      <c r="N2722" s="51" t="str">
        <f t="shared" si="435"/>
        <v/>
      </c>
      <c r="O2722" s="52" t="str">
        <f t="shared" si="436"/>
        <v/>
      </c>
      <c r="P2722" s="88">
        <f t="shared" si="437"/>
        <v>0</v>
      </c>
      <c r="Q2722" s="88">
        <f t="shared" si="438"/>
        <v>0</v>
      </c>
      <c r="R2722" s="88" t="e">
        <f>-IF(Tabla14[[#This Row],[DIAS HABILES O MORA]]&lt;0,(Tabla14[[#This Row],[VALOR PRESTAMO]]*Tabla14[[#This Row],[% INTERES ]]/30*U2722))+Tabla14[[#This Row],[VALOR CUOTAS]]</f>
        <v>#VALUE!</v>
      </c>
      <c r="S2722" s="88">
        <f>-IF(Tabla14[[#This Row],[DIAS HABILES O MORA]]&lt;0,(Tabla14[[#This Row],[VALOR PRESTAMO]]*Tabla14[[#This Row],[% INTERES ]]/30*U2722))</f>
        <v>0</v>
      </c>
      <c r="T2722" s="53" t="e">
        <f>Tabla14[[#This Row],[DEUDA CAPITAL]]+Tabla14[[#This Row],[INTERES  CUOTA]]</f>
        <v>#NUM!</v>
      </c>
      <c r="U2722" s="61" t="str">
        <f t="shared" si="439"/>
        <v/>
      </c>
    </row>
    <row r="2723" spans="9:21" ht="24.75" customHeight="1" x14ac:dyDescent="0.35">
      <c r="I2723" s="42">
        <f t="shared" si="430"/>
        <v>0</v>
      </c>
      <c r="J2723" s="65" t="e">
        <f t="shared" si="431"/>
        <v>#NUM!</v>
      </c>
      <c r="K2723" s="83" t="e">
        <f t="shared" si="432"/>
        <v>#NUM!</v>
      </c>
      <c r="L2723" s="83">
        <f t="shared" si="433"/>
        <v>0</v>
      </c>
      <c r="M2723" s="110" t="str">
        <f t="shared" si="434"/>
        <v/>
      </c>
      <c r="N2723" s="51" t="str">
        <f t="shared" si="435"/>
        <v/>
      </c>
      <c r="O2723" s="52" t="str">
        <f t="shared" si="436"/>
        <v/>
      </c>
      <c r="P2723" s="88">
        <f t="shared" si="437"/>
        <v>0</v>
      </c>
      <c r="Q2723" s="88">
        <f t="shared" si="438"/>
        <v>0</v>
      </c>
      <c r="R2723" s="88" t="e">
        <f>-IF(Tabla14[[#This Row],[DIAS HABILES O MORA]]&lt;0,(Tabla14[[#This Row],[VALOR PRESTAMO]]*Tabla14[[#This Row],[% INTERES ]]/30*U2723))+Tabla14[[#This Row],[VALOR CUOTAS]]</f>
        <v>#VALUE!</v>
      </c>
      <c r="S2723" s="88">
        <f>-IF(Tabla14[[#This Row],[DIAS HABILES O MORA]]&lt;0,(Tabla14[[#This Row],[VALOR PRESTAMO]]*Tabla14[[#This Row],[% INTERES ]]/30*U2723))</f>
        <v>0</v>
      </c>
      <c r="T2723" s="53" t="e">
        <f>Tabla14[[#This Row],[DEUDA CAPITAL]]+Tabla14[[#This Row],[INTERES  CUOTA]]</f>
        <v>#NUM!</v>
      </c>
      <c r="U2723" s="61" t="str">
        <f t="shared" si="439"/>
        <v/>
      </c>
    </row>
    <row r="2724" spans="9:21" ht="24.75" customHeight="1" x14ac:dyDescent="0.35">
      <c r="I2724" s="42">
        <f t="shared" si="430"/>
        <v>0</v>
      </c>
      <c r="J2724" s="65" t="e">
        <f t="shared" si="431"/>
        <v>#NUM!</v>
      </c>
      <c r="K2724" s="83" t="e">
        <f t="shared" si="432"/>
        <v>#NUM!</v>
      </c>
      <c r="L2724" s="83">
        <f t="shared" si="433"/>
        <v>0</v>
      </c>
      <c r="M2724" s="110" t="str">
        <f t="shared" si="434"/>
        <v/>
      </c>
      <c r="N2724" s="51" t="str">
        <f t="shared" si="435"/>
        <v/>
      </c>
      <c r="O2724" s="52" t="str">
        <f t="shared" si="436"/>
        <v/>
      </c>
      <c r="P2724" s="88">
        <f t="shared" si="437"/>
        <v>0</v>
      </c>
      <c r="Q2724" s="88">
        <f t="shared" si="438"/>
        <v>0</v>
      </c>
      <c r="R2724" s="88" t="e">
        <f>-IF(Tabla14[[#This Row],[DIAS HABILES O MORA]]&lt;0,(Tabla14[[#This Row],[VALOR PRESTAMO]]*Tabla14[[#This Row],[% INTERES ]]/30*U2724))+Tabla14[[#This Row],[VALOR CUOTAS]]</f>
        <v>#VALUE!</v>
      </c>
      <c r="S2724" s="88">
        <f>-IF(Tabla14[[#This Row],[DIAS HABILES O MORA]]&lt;0,(Tabla14[[#This Row],[VALOR PRESTAMO]]*Tabla14[[#This Row],[% INTERES ]]/30*U2724))</f>
        <v>0</v>
      </c>
      <c r="T2724" s="53" t="e">
        <f>Tabla14[[#This Row],[DEUDA CAPITAL]]+Tabla14[[#This Row],[INTERES  CUOTA]]</f>
        <v>#NUM!</v>
      </c>
      <c r="U2724" s="61" t="str">
        <f t="shared" si="439"/>
        <v/>
      </c>
    </row>
    <row r="2725" spans="9:21" ht="24.75" customHeight="1" x14ac:dyDescent="0.35">
      <c r="I2725" s="42">
        <f t="shared" si="430"/>
        <v>0</v>
      </c>
      <c r="J2725" s="65" t="e">
        <f t="shared" si="431"/>
        <v>#NUM!</v>
      </c>
      <c r="K2725" s="83" t="e">
        <f t="shared" si="432"/>
        <v>#NUM!</v>
      </c>
      <c r="L2725" s="83">
        <f t="shared" si="433"/>
        <v>0</v>
      </c>
      <c r="M2725" s="110" t="str">
        <f t="shared" si="434"/>
        <v/>
      </c>
      <c r="N2725" s="51" t="str">
        <f t="shared" si="435"/>
        <v/>
      </c>
      <c r="O2725" s="52" t="str">
        <f t="shared" si="436"/>
        <v/>
      </c>
      <c r="P2725" s="88">
        <f t="shared" si="437"/>
        <v>0</v>
      </c>
      <c r="Q2725" s="88">
        <f t="shared" si="438"/>
        <v>0</v>
      </c>
      <c r="R2725" s="88" t="e">
        <f>-IF(Tabla14[[#This Row],[DIAS HABILES O MORA]]&lt;0,(Tabla14[[#This Row],[VALOR PRESTAMO]]*Tabla14[[#This Row],[% INTERES ]]/30*U2725))+Tabla14[[#This Row],[VALOR CUOTAS]]</f>
        <v>#VALUE!</v>
      </c>
      <c r="S2725" s="88">
        <f>-IF(Tabla14[[#This Row],[DIAS HABILES O MORA]]&lt;0,(Tabla14[[#This Row],[VALOR PRESTAMO]]*Tabla14[[#This Row],[% INTERES ]]/30*U2725))</f>
        <v>0</v>
      </c>
      <c r="T2725" s="53" t="e">
        <f>Tabla14[[#This Row],[DEUDA CAPITAL]]+Tabla14[[#This Row],[INTERES  CUOTA]]</f>
        <v>#NUM!</v>
      </c>
      <c r="U2725" s="61" t="str">
        <f t="shared" si="439"/>
        <v/>
      </c>
    </row>
    <row r="2726" spans="9:21" ht="24.75" customHeight="1" x14ac:dyDescent="0.35">
      <c r="I2726" s="42">
        <f t="shared" si="430"/>
        <v>0</v>
      </c>
      <c r="J2726" s="65" t="e">
        <f t="shared" si="431"/>
        <v>#NUM!</v>
      </c>
      <c r="K2726" s="83" t="e">
        <f t="shared" si="432"/>
        <v>#NUM!</v>
      </c>
      <c r="L2726" s="83">
        <f t="shared" si="433"/>
        <v>0</v>
      </c>
      <c r="M2726" s="110" t="str">
        <f t="shared" si="434"/>
        <v/>
      </c>
      <c r="N2726" s="51" t="str">
        <f t="shared" si="435"/>
        <v/>
      </c>
      <c r="O2726" s="52" t="str">
        <f t="shared" si="436"/>
        <v/>
      </c>
      <c r="P2726" s="88">
        <f t="shared" si="437"/>
        <v>0</v>
      </c>
      <c r="Q2726" s="88">
        <f t="shared" si="438"/>
        <v>0</v>
      </c>
      <c r="R2726" s="88" t="e">
        <f>-IF(Tabla14[[#This Row],[DIAS HABILES O MORA]]&lt;0,(Tabla14[[#This Row],[VALOR PRESTAMO]]*Tabla14[[#This Row],[% INTERES ]]/30*U2726))+Tabla14[[#This Row],[VALOR CUOTAS]]</f>
        <v>#VALUE!</v>
      </c>
      <c r="S2726" s="88">
        <f>-IF(Tabla14[[#This Row],[DIAS HABILES O MORA]]&lt;0,(Tabla14[[#This Row],[VALOR PRESTAMO]]*Tabla14[[#This Row],[% INTERES ]]/30*U2726))</f>
        <v>0</v>
      </c>
      <c r="T2726" s="53" t="e">
        <f>Tabla14[[#This Row],[DEUDA CAPITAL]]+Tabla14[[#This Row],[INTERES  CUOTA]]</f>
        <v>#NUM!</v>
      </c>
      <c r="U2726" s="61" t="str">
        <f t="shared" si="439"/>
        <v/>
      </c>
    </row>
    <row r="2727" spans="9:21" ht="24.75" customHeight="1" x14ac:dyDescent="0.35">
      <c r="I2727" s="42">
        <f t="shared" si="430"/>
        <v>0</v>
      </c>
      <c r="J2727" s="65" t="e">
        <f t="shared" si="431"/>
        <v>#NUM!</v>
      </c>
      <c r="K2727" s="83" t="e">
        <f t="shared" si="432"/>
        <v>#NUM!</v>
      </c>
      <c r="L2727" s="83">
        <f t="shared" si="433"/>
        <v>0</v>
      </c>
      <c r="M2727" s="110" t="str">
        <f t="shared" si="434"/>
        <v/>
      </c>
      <c r="N2727" s="51" t="str">
        <f t="shared" si="435"/>
        <v/>
      </c>
      <c r="O2727" s="52" t="str">
        <f t="shared" si="436"/>
        <v/>
      </c>
      <c r="P2727" s="88">
        <f t="shared" si="437"/>
        <v>0</v>
      </c>
      <c r="Q2727" s="88">
        <f t="shared" si="438"/>
        <v>0</v>
      </c>
      <c r="R2727" s="88" t="e">
        <f>-IF(Tabla14[[#This Row],[DIAS HABILES O MORA]]&lt;0,(Tabla14[[#This Row],[VALOR PRESTAMO]]*Tabla14[[#This Row],[% INTERES ]]/30*U2727))+Tabla14[[#This Row],[VALOR CUOTAS]]</f>
        <v>#VALUE!</v>
      </c>
      <c r="S2727" s="88">
        <f>-IF(Tabla14[[#This Row],[DIAS HABILES O MORA]]&lt;0,(Tabla14[[#This Row],[VALOR PRESTAMO]]*Tabla14[[#This Row],[% INTERES ]]/30*U2727))</f>
        <v>0</v>
      </c>
      <c r="T2727" s="53" t="e">
        <f>Tabla14[[#This Row],[DEUDA CAPITAL]]+Tabla14[[#This Row],[INTERES  CUOTA]]</f>
        <v>#NUM!</v>
      </c>
      <c r="U2727" s="61" t="str">
        <f t="shared" si="439"/>
        <v/>
      </c>
    </row>
    <row r="2728" spans="9:21" ht="24.75" customHeight="1" x14ac:dyDescent="0.35">
      <c r="I2728" s="42">
        <f t="shared" si="430"/>
        <v>0</v>
      </c>
      <c r="J2728" s="65" t="e">
        <f t="shared" si="431"/>
        <v>#NUM!</v>
      </c>
      <c r="K2728" s="83" t="e">
        <f t="shared" si="432"/>
        <v>#NUM!</v>
      </c>
      <c r="L2728" s="83">
        <f t="shared" si="433"/>
        <v>0</v>
      </c>
      <c r="M2728" s="110" t="str">
        <f t="shared" si="434"/>
        <v/>
      </c>
      <c r="N2728" s="51" t="str">
        <f t="shared" si="435"/>
        <v/>
      </c>
      <c r="O2728" s="52" t="str">
        <f t="shared" si="436"/>
        <v/>
      </c>
      <c r="P2728" s="88">
        <f t="shared" si="437"/>
        <v>0</v>
      </c>
      <c r="Q2728" s="88">
        <f t="shared" si="438"/>
        <v>0</v>
      </c>
      <c r="R2728" s="88" t="e">
        <f>-IF(Tabla14[[#This Row],[DIAS HABILES O MORA]]&lt;0,(Tabla14[[#This Row],[VALOR PRESTAMO]]*Tabla14[[#This Row],[% INTERES ]]/30*U2728))+Tabla14[[#This Row],[VALOR CUOTAS]]</f>
        <v>#VALUE!</v>
      </c>
      <c r="S2728" s="88">
        <f>-IF(Tabla14[[#This Row],[DIAS HABILES O MORA]]&lt;0,(Tabla14[[#This Row],[VALOR PRESTAMO]]*Tabla14[[#This Row],[% INTERES ]]/30*U2728))</f>
        <v>0</v>
      </c>
      <c r="T2728" s="53" t="e">
        <f>Tabla14[[#This Row],[DEUDA CAPITAL]]+Tabla14[[#This Row],[INTERES  CUOTA]]</f>
        <v>#NUM!</v>
      </c>
      <c r="U2728" s="61" t="str">
        <f t="shared" si="439"/>
        <v/>
      </c>
    </row>
    <row r="2729" spans="9:21" ht="24.75" customHeight="1" x14ac:dyDescent="0.35">
      <c r="I2729" s="42">
        <f t="shared" si="430"/>
        <v>0</v>
      </c>
      <c r="J2729" s="65" t="e">
        <f t="shared" si="431"/>
        <v>#NUM!</v>
      </c>
      <c r="K2729" s="83" t="e">
        <f t="shared" si="432"/>
        <v>#NUM!</v>
      </c>
      <c r="L2729" s="83">
        <f t="shared" si="433"/>
        <v>0</v>
      </c>
      <c r="M2729" s="110" t="str">
        <f t="shared" si="434"/>
        <v/>
      </c>
      <c r="N2729" s="51" t="str">
        <f t="shared" si="435"/>
        <v/>
      </c>
      <c r="O2729" s="52" t="str">
        <f t="shared" si="436"/>
        <v/>
      </c>
      <c r="P2729" s="88">
        <f t="shared" si="437"/>
        <v>0</v>
      </c>
      <c r="Q2729" s="88">
        <f t="shared" si="438"/>
        <v>0</v>
      </c>
      <c r="R2729" s="88" t="e">
        <f>-IF(Tabla14[[#This Row],[DIAS HABILES O MORA]]&lt;0,(Tabla14[[#This Row],[VALOR PRESTAMO]]*Tabla14[[#This Row],[% INTERES ]]/30*U2729))+Tabla14[[#This Row],[VALOR CUOTAS]]</f>
        <v>#VALUE!</v>
      </c>
      <c r="S2729" s="88">
        <f>-IF(Tabla14[[#This Row],[DIAS HABILES O MORA]]&lt;0,(Tabla14[[#This Row],[VALOR PRESTAMO]]*Tabla14[[#This Row],[% INTERES ]]/30*U2729))</f>
        <v>0</v>
      </c>
      <c r="T2729" s="53" t="e">
        <f>Tabla14[[#This Row],[DEUDA CAPITAL]]+Tabla14[[#This Row],[INTERES  CUOTA]]</f>
        <v>#NUM!</v>
      </c>
      <c r="U2729" s="61" t="str">
        <f t="shared" si="439"/>
        <v/>
      </c>
    </row>
    <row r="2730" spans="9:21" ht="24.75" customHeight="1" x14ac:dyDescent="0.35">
      <c r="I2730" s="42">
        <f t="shared" si="430"/>
        <v>0</v>
      </c>
      <c r="J2730" s="65" t="e">
        <f t="shared" si="431"/>
        <v>#NUM!</v>
      </c>
      <c r="K2730" s="83" t="e">
        <f t="shared" si="432"/>
        <v>#NUM!</v>
      </c>
      <c r="L2730" s="83">
        <f t="shared" si="433"/>
        <v>0</v>
      </c>
      <c r="M2730" s="110" t="str">
        <f t="shared" si="434"/>
        <v/>
      </c>
      <c r="N2730" s="51" t="str">
        <f t="shared" si="435"/>
        <v/>
      </c>
      <c r="O2730" s="52" t="str">
        <f t="shared" si="436"/>
        <v/>
      </c>
      <c r="P2730" s="88">
        <f t="shared" si="437"/>
        <v>0</v>
      </c>
      <c r="Q2730" s="88">
        <f t="shared" si="438"/>
        <v>0</v>
      </c>
      <c r="R2730" s="88" t="e">
        <f>-IF(Tabla14[[#This Row],[DIAS HABILES O MORA]]&lt;0,(Tabla14[[#This Row],[VALOR PRESTAMO]]*Tabla14[[#This Row],[% INTERES ]]/30*U2730))+Tabla14[[#This Row],[VALOR CUOTAS]]</f>
        <v>#VALUE!</v>
      </c>
      <c r="S2730" s="88">
        <f>-IF(Tabla14[[#This Row],[DIAS HABILES O MORA]]&lt;0,(Tabla14[[#This Row],[VALOR PRESTAMO]]*Tabla14[[#This Row],[% INTERES ]]/30*U2730))</f>
        <v>0</v>
      </c>
      <c r="T2730" s="53" t="e">
        <f>Tabla14[[#This Row],[DEUDA CAPITAL]]+Tabla14[[#This Row],[INTERES  CUOTA]]</f>
        <v>#NUM!</v>
      </c>
      <c r="U2730" s="61" t="str">
        <f t="shared" si="439"/>
        <v/>
      </c>
    </row>
    <row r="2731" spans="9:21" ht="24.75" customHeight="1" x14ac:dyDescent="0.35">
      <c r="I2731" s="42">
        <f t="shared" si="430"/>
        <v>0</v>
      </c>
      <c r="J2731" s="65" t="e">
        <f t="shared" si="431"/>
        <v>#NUM!</v>
      </c>
      <c r="K2731" s="83" t="e">
        <f t="shared" si="432"/>
        <v>#NUM!</v>
      </c>
      <c r="L2731" s="83">
        <f t="shared" si="433"/>
        <v>0</v>
      </c>
      <c r="M2731" s="110" t="str">
        <f t="shared" si="434"/>
        <v/>
      </c>
      <c r="N2731" s="51" t="str">
        <f t="shared" si="435"/>
        <v/>
      </c>
      <c r="O2731" s="52" t="str">
        <f t="shared" si="436"/>
        <v/>
      </c>
      <c r="P2731" s="88">
        <f t="shared" si="437"/>
        <v>0</v>
      </c>
      <c r="Q2731" s="88">
        <f t="shared" si="438"/>
        <v>0</v>
      </c>
      <c r="R2731" s="88" t="e">
        <f>-IF(Tabla14[[#This Row],[DIAS HABILES O MORA]]&lt;0,(Tabla14[[#This Row],[VALOR PRESTAMO]]*Tabla14[[#This Row],[% INTERES ]]/30*U2731))+Tabla14[[#This Row],[VALOR CUOTAS]]</f>
        <v>#VALUE!</v>
      </c>
      <c r="S2731" s="88">
        <f>-IF(Tabla14[[#This Row],[DIAS HABILES O MORA]]&lt;0,(Tabla14[[#This Row],[VALOR PRESTAMO]]*Tabla14[[#This Row],[% INTERES ]]/30*U2731))</f>
        <v>0</v>
      </c>
      <c r="T2731" s="53" t="e">
        <f>Tabla14[[#This Row],[DEUDA CAPITAL]]+Tabla14[[#This Row],[INTERES  CUOTA]]</f>
        <v>#NUM!</v>
      </c>
      <c r="U2731" s="61" t="str">
        <f t="shared" si="439"/>
        <v/>
      </c>
    </row>
    <row r="2732" spans="9:21" ht="24.75" customHeight="1" x14ac:dyDescent="0.35">
      <c r="I2732" s="42">
        <f t="shared" si="430"/>
        <v>0</v>
      </c>
      <c r="J2732" s="65" t="e">
        <f t="shared" si="431"/>
        <v>#NUM!</v>
      </c>
      <c r="K2732" s="83" t="e">
        <f t="shared" si="432"/>
        <v>#NUM!</v>
      </c>
      <c r="L2732" s="83">
        <f t="shared" si="433"/>
        <v>0</v>
      </c>
      <c r="M2732" s="110" t="str">
        <f t="shared" si="434"/>
        <v/>
      </c>
      <c r="N2732" s="51" t="str">
        <f t="shared" si="435"/>
        <v/>
      </c>
      <c r="O2732" s="52" t="str">
        <f t="shared" si="436"/>
        <v/>
      </c>
      <c r="P2732" s="88">
        <f t="shared" si="437"/>
        <v>0</v>
      </c>
      <c r="Q2732" s="88">
        <f t="shared" si="438"/>
        <v>0</v>
      </c>
      <c r="R2732" s="88" t="e">
        <f>-IF(Tabla14[[#This Row],[DIAS HABILES O MORA]]&lt;0,(Tabla14[[#This Row],[VALOR PRESTAMO]]*Tabla14[[#This Row],[% INTERES ]]/30*U2732))+Tabla14[[#This Row],[VALOR CUOTAS]]</f>
        <v>#VALUE!</v>
      </c>
      <c r="S2732" s="88">
        <f>-IF(Tabla14[[#This Row],[DIAS HABILES O MORA]]&lt;0,(Tabla14[[#This Row],[VALOR PRESTAMO]]*Tabla14[[#This Row],[% INTERES ]]/30*U2732))</f>
        <v>0</v>
      </c>
      <c r="T2732" s="53" t="e">
        <f>Tabla14[[#This Row],[DEUDA CAPITAL]]+Tabla14[[#This Row],[INTERES  CUOTA]]</f>
        <v>#NUM!</v>
      </c>
      <c r="U2732" s="61" t="str">
        <f t="shared" si="439"/>
        <v/>
      </c>
    </row>
    <row r="2733" spans="9:21" ht="24.75" customHeight="1" x14ac:dyDescent="0.35">
      <c r="I2733" s="42">
        <f t="shared" si="430"/>
        <v>0</v>
      </c>
      <c r="J2733" s="65" t="e">
        <f t="shared" si="431"/>
        <v>#NUM!</v>
      </c>
      <c r="K2733" s="83" t="e">
        <f t="shared" si="432"/>
        <v>#NUM!</v>
      </c>
      <c r="L2733" s="83">
        <f t="shared" si="433"/>
        <v>0</v>
      </c>
      <c r="M2733" s="110" t="str">
        <f t="shared" si="434"/>
        <v/>
      </c>
      <c r="N2733" s="51" t="str">
        <f t="shared" si="435"/>
        <v/>
      </c>
      <c r="O2733" s="52" t="str">
        <f t="shared" si="436"/>
        <v/>
      </c>
      <c r="P2733" s="88">
        <f t="shared" si="437"/>
        <v>0</v>
      </c>
      <c r="Q2733" s="88">
        <f t="shared" si="438"/>
        <v>0</v>
      </c>
      <c r="R2733" s="88" t="e">
        <f>-IF(Tabla14[[#This Row],[DIAS HABILES O MORA]]&lt;0,(Tabla14[[#This Row],[VALOR PRESTAMO]]*Tabla14[[#This Row],[% INTERES ]]/30*U2733))+Tabla14[[#This Row],[VALOR CUOTAS]]</f>
        <v>#VALUE!</v>
      </c>
      <c r="S2733" s="88">
        <f>-IF(Tabla14[[#This Row],[DIAS HABILES O MORA]]&lt;0,(Tabla14[[#This Row],[VALOR PRESTAMO]]*Tabla14[[#This Row],[% INTERES ]]/30*U2733))</f>
        <v>0</v>
      </c>
      <c r="T2733" s="53" t="e">
        <f>Tabla14[[#This Row],[DEUDA CAPITAL]]+Tabla14[[#This Row],[INTERES  CUOTA]]</f>
        <v>#NUM!</v>
      </c>
      <c r="U2733" s="61" t="str">
        <f t="shared" si="439"/>
        <v/>
      </c>
    </row>
    <row r="2734" spans="9:21" ht="24.75" customHeight="1" x14ac:dyDescent="0.35">
      <c r="I2734" s="42">
        <f t="shared" si="430"/>
        <v>0</v>
      </c>
      <c r="J2734" s="65" t="e">
        <f t="shared" si="431"/>
        <v>#NUM!</v>
      </c>
      <c r="K2734" s="83" t="e">
        <f t="shared" si="432"/>
        <v>#NUM!</v>
      </c>
      <c r="L2734" s="83">
        <f t="shared" si="433"/>
        <v>0</v>
      </c>
      <c r="M2734" s="110" t="str">
        <f t="shared" si="434"/>
        <v/>
      </c>
      <c r="N2734" s="51" t="str">
        <f t="shared" si="435"/>
        <v/>
      </c>
      <c r="O2734" s="52" t="str">
        <f t="shared" si="436"/>
        <v/>
      </c>
      <c r="P2734" s="88">
        <f t="shared" si="437"/>
        <v>0</v>
      </c>
      <c r="Q2734" s="88">
        <f t="shared" si="438"/>
        <v>0</v>
      </c>
      <c r="R2734" s="88" t="e">
        <f>-IF(Tabla14[[#This Row],[DIAS HABILES O MORA]]&lt;0,(Tabla14[[#This Row],[VALOR PRESTAMO]]*Tabla14[[#This Row],[% INTERES ]]/30*U2734))+Tabla14[[#This Row],[VALOR CUOTAS]]</f>
        <v>#VALUE!</v>
      </c>
      <c r="S2734" s="88">
        <f>-IF(Tabla14[[#This Row],[DIAS HABILES O MORA]]&lt;0,(Tabla14[[#This Row],[VALOR PRESTAMO]]*Tabla14[[#This Row],[% INTERES ]]/30*U2734))</f>
        <v>0</v>
      </c>
      <c r="T2734" s="53" t="e">
        <f>Tabla14[[#This Row],[DEUDA CAPITAL]]+Tabla14[[#This Row],[INTERES  CUOTA]]</f>
        <v>#NUM!</v>
      </c>
      <c r="U2734" s="61" t="str">
        <f t="shared" si="439"/>
        <v/>
      </c>
    </row>
    <row r="2735" spans="9:21" ht="24.75" customHeight="1" x14ac:dyDescent="0.35">
      <c r="I2735" s="42">
        <f t="shared" si="430"/>
        <v>0</v>
      </c>
      <c r="J2735" s="65" t="e">
        <f t="shared" si="431"/>
        <v>#NUM!</v>
      </c>
      <c r="K2735" s="83" t="e">
        <f t="shared" si="432"/>
        <v>#NUM!</v>
      </c>
      <c r="L2735" s="83">
        <f t="shared" si="433"/>
        <v>0</v>
      </c>
      <c r="M2735" s="110" t="str">
        <f t="shared" si="434"/>
        <v/>
      </c>
      <c r="N2735" s="51" t="str">
        <f t="shared" si="435"/>
        <v/>
      </c>
      <c r="O2735" s="52" t="str">
        <f t="shared" si="436"/>
        <v/>
      </c>
      <c r="P2735" s="88">
        <f t="shared" si="437"/>
        <v>0</v>
      </c>
      <c r="Q2735" s="88">
        <f t="shared" si="438"/>
        <v>0</v>
      </c>
      <c r="R2735" s="88" t="e">
        <f>-IF(Tabla14[[#This Row],[DIAS HABILES O MORA]]&lt;0,(Tabla14[[#This Row],[VALOR PRESTAMO]]*Tabla14[[#This Row],[% INTERES ]]/30*U2735))+Tabla14[[#This Row],[VALOR CUOTAS]]</f>
        <v>#VALUE!</v>
      </c>
      <c r="S2735" s="88">
        <f>-IF(Tabla14[[#This Row],[DIAS HABILES O MORA]]&lt;0,(Tabla14[[#This Row],[VALOR PRESTAMO]]*Tabla14[[#This Row],[% INTERES ]]/30*U2735))</f>
        <v>0</v>
      </c>
      <c r="T2735" s="53" t="e">
        <f>Tabla14[[#This Row],[DEUDA CAPITAL]]+Tabla14[[#This Row],[INTERES  CUOTA]]</f>
        <v>#NUM!</v>
      </c>
      <c r="U2735" s="61" t="str">
        <f t="shared" si="439"/>
        <v/>
      </c>
    </row>
    <row r="2736" spans="9:21" ht="24.75" customHeight="1" x14ac:dyDescent="0.35">
      <c r="I2736" s="42">
        <f t="shared" si="430"/>
        <v>0</v>
      </c>
      <c r="J2736" s="65" t="e">
        <f t="shared" si="431"/>
        <v>#NUM!</v>
      </c>
      <c r="K2736" s="83" t="e">
        <f t="shared" si="432"/>
        <v>#NUM!</v>
      </c>
      <c r="L2736" s="83">
        <f t="shared" si="433"/>
        <v>0</v>
      </c>
      <c r="M2736" s="110" t="str">
        <f t="shared" si="434"/>
        <v/>
      </c>
      <c r="N2736" s="51" t="str">
        <f t="shared" si="435"/>
        <v/>
      </c>
      <c r="O2736" s="52" t="str">
        <f t="shared" si="436"/>
        <v/>
      </c>
      <c r="P2736" s="88">
        <f t="shared" si="437"/>
        <v>0</v>
      </c>
      <c r="Q2736" s="88">
        <f t="shared" si="438"/>
        <v>0</v>
      </c>
      <c r="R2736" s="88" t="e">
        <f>-IF(Tabla14[[#This Row],[DIAS HABILES O MORA]]&lt;0,(Tabla14[[#This Row],[VALOR PRESTAMO]]*Tabla14[[#This Row],[% INTERES ]]/30*U2736))+Tabla14[[#This Row],[VALOR CUOTAS]]</f>
        <v>#VALUE!</v>
      </c>
      <c r="S2736" s="88">
        <f>-IF(Tabla14[[#This Row],[DIAS HABILES O MORA]]&lt;0,(Tabla14[[#This Row],[VALOR PRESTAMO]]*Tabla14[[#This Row],[% INTERES ]]/30*U2736))</f>
        <v>0</v>
      </c>
      <c r="T2736" s="53" t="e">
        <f>Tabla14[[#This Row],[DEUDA CAPITAL]]+Tabla14[[#This Row],[INTERES  CUOTA]]</f>
        <v>#NUM!</v>
      </c>
      <c r="U2736" s="61" t="str">
        <f t="shared" si="439"/>
        <v/>
      </c>
    </row>
    <row r="2737" spans="9:21" ht="24.75" customHeight="1" x14ac:dyDescent="0.35">
      <c r="I2737" s="42">
        <f t="shared" si="430"/>
        <v>0</v>
      </c>
      <c r="J2737" s="65" t="e">
        <f t="shared" si="431"/>
        <v>#NUM!</v>
      </c>
      <c r="K2737" s="83" t="e">
        <f t="shared" si="432"/>
        <v>#NUM!</v>
      </c>
      <c r="L2737" s="83">
        <f t="shared" si="433"/>
        <v>0</v>
      </c>
      <c r="M2737" s="110" t="str">
        <f t="shared" si="434"/>
        <v/>
      </c>
      <c r="N2737" s="51" t="str">
        <f t="shared" si="435"/>
        <v/>
      </c>
      <c r="O2737" s="52" t="str">
        <f t="shared" si="436"/>
        <v/>
      </c>
      <c r="P2737" s="88">
        <f t="shared" si="437"/>
        <v>0</v>
      </c>
      <c r="Q2737" s="88">
        <f t="shared" si="438"/>
        <v>0</v>
      </c>
      <c r="R2737" s="88" t="e">
        <f>-IF(Tabla14[[#This Row],[DIAS HABILES O MORA]]&lt;0,(Tabla14[[#This Row],[VALOR PRESTAMO]]*Tabla14[[#This Row],[% INTERES ]]/30*U2737))+Tabla14[[#This Row],[VALOR CUOTAS]]</f>
        <v>#VALUE!</v>
      </c>
      <c r="S2737" s="88">
        <f>-IF(Tabla14[[#This Row],[DIAS HABILES O MORA]]&lt;0,(Tabla14[[#This Row],[VALOR PRESTAMO]]*Tabla14[[#This Row],[% INTERES ]]/30*U2737))</f>
        <v>0</v>
      </c>
      <c r="T2737" s="53" t="e">
        <f>Tabla14[[#This Row],[DEUDA CAPITAL]]+Tabla14[[#This Row],[INTERES  CUOTA]]</f>
        <v>#NUM!</v>
      </c>
      <c r="U2737" s="61" t="str">
        <f t="shared" si="439"/>
        <v/>
      </c>
    </row>
    <row r="2738" spans="9:21" ht="24.75" customHeight="1" x14ac:dyDescent="0.35">
      <c r="I2738" s="42">
        <f t="shared" si="430"/>
        <v>0</v>
      </c>
      <c r="J2738" s="65" t="e">
        <f t="shared" si="431"/>
        <v>#NUM!</v>
      </c>
      <c r="K2738" s="83" t="e">
        <f t="shared" si="432"/>
        <v>#NUM!</v>
      </c>
      <c r="L2738" s="83">
        <f t="shared" si="433"/>
        <v>0</v>
      </c>
      <c r="M2738" s="110" t="str">
        <f t="shared" si="434"/>
        <v/>
      </c>
      <c r="N2738" s="51" t="str">
        <f t="shared" si="435"/>
        <v/>
      </c>
      <c r="O2738" s="52" t="str">
        <f t="shared" si="436"/>
        <v/>
      </c>
      <c r="P2738" s="88">
        <f t="shared" si="437"/>
        <v>0</v>
      </c>
      <c r="Q2738" s="88">
        <f t="shared" si="438"/>
        <v>0</v>
      </c>
      <c r="R2738" s="88" t="e">
        <f>-IF(Tabla14[[#This Row],[DIAS HABILES O MORA]]&lt;0,(Tabla14[[#This Row],[VALOR PRESTAMO]]*Tabla14[[#This Row],[% INTERES ]]/30*U2738))+Tabla14[[#This Row],[VALOR CUOTAS]]</f>
        <v>#VALUE!</v>
      </c>
      <c r="S2738" s="88">
        <f>-IF(Tabla14[[#This Row],[DIAS HABILES O MORA]]&lt;0,(Tabla14[[#This Row],[VALOR PRESTAMO]]*Tabla14[[#This Row],[% INTERES ]]/30*U2738))</f>
        <v>0</v>
      </c>
      <c r="T2738" s="53" t="e">
        <f>Tabla14[[#This Row],[DEUDA CAPITAL]]+Tabla14[[#This Row],[INTERES  CUOTA]]</f>
        <v>#NUM!</v>
      </c>
      <c r="U2738" s="61" t="str">
        <f t="shared" si="439"/>
        <v/>
      </c>
    </row>
    <row r="2739" spans="9:21" ht="24.75" customHeight="1" x14ac:dyDescent="0.35">
      <c r="I2739" s="42">
        <f t="shared" si="430"/>
        <v>0</v>
      </c>
      <c r="J2739" s="65" t="e">
        <f t="shared" si="431"/>
        <v>#NUM!</v>
      </c>
      <c r="K2739" s="83" t="e">
        <f t="shared" si="432"/>
        <v>#NUM!</v>
      </c>
      <c r="L2739" s="83">
        <f t="shared" si="433"/>
        <v>0</v>
      </c>
      <c r="M2739" s="110" t="str">
        <f t="shared" si="434"/>
        <v/>
      </c>
      <c r="N2739" s="51" t="str">
        <f t="shared" si="435"/>
        <v/>
      </c>
      <c r="O2739" s="52" t="str">
        <f t="shared" si="436"/>
        <v/>
      </c>
      <c r="P2739" s="88">
        <f t="shared" si="437"/>
        <v>0</v>
      </c>
      <c r="Q2739" s="88">
        <f t="shared" si="438"/>
        <v>0</v>
      </c>
      <c r="R2739" s="88" t="e">
        <f>-IF(Tabla14[[#This Row],[DIAS HABILES O MORA]]&lt;0,(Tabla14[[#This Row],[VALOR PRESTAMO]]*Tabla14[[#This Row],[% INTERES ]]/30*U2739))+Tabla14[[#This Row],[VALOR CUOTAS]]</f>
        <v>#VALUE!</v>
      </c>
      <c r="S2739" s="88">
        <f>-IF(Tabla14[[#This Row],[DIAS HABILES O MORA]]&lt;0,(Tabla14[[#This Row],[VALOR PRESTAMO]]*Tabla14[[#This Row],[% INTERES ]]/30*U2739))</f>
        <v>0</v>
      </c>
      <c r="T2739" s="53" t="e">
        <f>Tabla14[[#This Row],[DEUDA CAPITAL]]+Tabla14[[#This Row],[INTERES  CUOTA]]</f>
        <v>#NUM!</v>
      </c>
      <c r="U2739" s="61" t="str">
        <f t="shared" si="439"/>
        <v/>
      </c>
    </row>
    <row r="2740" spans="9:21" ht="24.75" customHeight="1" x14ac:dyDescent="0.35">
      <c r="I2740" s="42">
        <f t="shared" si="430"/>
        <v>0</v>
      </c>
      <c r="J2740" s="65" t="e">
        <f t="shared" si="431"/>
        <v>#NUM!</v>
      </c>
      <c r="K2740" s="83" t="e">
        <f t="shared" si="432"/>
        <v>#NUM!</v>
      </c>
      <c r="L2740" s="83">
        <f t="shared" si="433"/>
        <v>0</v>
      </c>
      <c r="M2740" s="110" t="str">
        <f t="shared" si="434"/>
        <v/>
      </c>
      <c r="N2740" s="51" t="str">
        <f t="shared" si="435"/>
        <v/>
      </c>
      <c r="O2740" s="52" t="str">
        <f t="shared" si="436"/>
        <v/>
      </c>
      <c r="P2740" s="88">
        <f t="shared" si="437"/>
        <v>0</v>
      </c>
      <c r="Q2740" s="88">
        <f t="shared" si="438"/>
        <v>0</v>
      </c>
      <c r="R2740" s="88" t="e">
        <f>-IF(Tabla14[[#This Row],[DIAS HABILES O MORA]]&lt;0,(Tabla14[[#This Row],[VALOR PRESTAMO]]*Tabla14[[#This Row],[% INTERES ]]/30*U2740))+Tabla14[[#This Row],[VALOR CUOTAS]]</f>
        <v>#VALUE!</v>
      </c>
      <c r="S2740" s="88">
        <f>-IF(Tabla14[[#This Row],[DIAS HABILES O MORA]]&lt;0,(Tabla14[[#This Row],[VALOR PRESTAMO]]*Tabla14[[#This Row],[% INTERES ]]/30*U2740))</f>
        <v>0</v>
      </c>
      <c r="T2740" s="53" t="e">
        <f>Tabla14[[#This Row],[DEUDA CAPITAL]]+Tabla14[[#This Row],[INTERES  CUOTA]]</f>
        <v>#NUM!</v>
      </c>
      <c r="U2740" s="61" t="str">
        <f t="shared" si="439"/>
        <v/>
      </c>
    </row>
    <row r="2741" spans="9:21" ht="24.75" customHeight="1" x14ac:dyDescent="0.35">
      <c r="I2741" s="42">
        <f t="shared" si="430"/>
        <v>0</v>
      </c>
      <c r="J2741" s="65" t="e">
        <f t="shared" si="431"/>
        <v>#NUM!</v>
      </c>
      <c r="K2741" s="83" t="e">
        <f t="shared" si="432"/>
        <v>#NUM!</v>
      </c>
      <c r="L2741" s="83">
        <f t="shared" si="433"/>
        <v>0</v>
      </c>
      <c r="M2741" s="110" t="str">
        <f t="shared" si="434"/>
        <v/>
      </c>
      <c r="N2741" s="51" t="str">
        <f t="shared" si="435"/>
        <v/>
      </c>
      <c r="O2741" s="52" t="str">
        <f t="shared" si="436"/>
        <v/>
      </c>
      <c r="P2741" s="88">
        <f t="shared" si="437"/>
        <v>0</v>
      </c>
      <c r="Q2741" s="88">
        <f t="shared" si="438"/>
        <v>0</v>
      </c>
      <c r="R2741" s="88" t="e">
        <f>-IF(Tabla14[[#This Row],[DIAS HABILES O MORA]]&lt;0,(Tabla14[[#This Row],[VALOR PRESTAMO]]*Tabla14[[#This Row],[% INTERES ]]/30*U2741))+Tabla14[[#This Row],[VALOR CUOTAS]]</f>
        <v>#VALUE!</v>
      </c>
      <c r="S2741" s="88">
        <f>-IF(Tabla14[[#This Row],[DIAS HABILES O MORA]]&lt;0,(Tabla14[[#This Row],[VALOR PRESTAMO]]*Tabla14[[#This Row],[% INTERES ]]/30*U2741))</f>
        <v>0</v>
      </c>
      <c r="T2741" s="53" t="e">
        <f>Tabla14[[#This Row],[DEUDA CAPITAL]]+Tabla14[[#This Row],[INTERES  CUOTA]]</f>
        <v>#NUM!</v>
      </c>
      <c r="U2741" s="61" t="str">
        <f t="shared" si="439"/>
        <v/>
      </c>
    </row>
    <row r="2742" spans="9:21" ht="24.75" customHeight="1" x14ac:dyDescent="0.35">
      <c r="I2742" s="42">
        <f t="shared" si="430"/>
        <v>0</v>
      </c>
      <c r="J2742" s="65" t="e">
        <f t="shared" si="431"/>
        <v>#NUM!</v>
      </c>
      <c r="K2742" s="83" t="e">
        <f t="shared" si="432"/>
        <v>#NUM!</v>
      </c>
      <c r="L2742" s="83">
        <f t="shared" si="433"/>
        <v>0</v>
      </c>
      <c r="M2742" s="110" t="str">
        <f t="shared" si="434"/>
        <v/>
      </c>
      <c r="N2742" s="51" t="str">
        <f t="shared" si="435"/>
        <v/>
      </c>
      <c r="O2742" s="52" t="str">
        <f t="shared" si="436"/>
        <v/>
      </c>
      <c r="P2742" s="88">
        <f t="shared" si="437"/>
        <v>0</v>
      </c>
      <c r="Q2742" s="88">
        <f t="shared" si="438"/>
        <v>0</v>
      </c>
      <c r="R2742" s="88" t="e">
        <f>-IF(Tabla14[[#This Row],[DIAS HABILES O MORA]]&lt;0,(Tabla14[[#This Row],[VALOR PRESTAMO]]*Tabla14[[#This Row],[% INTERES ]]/30*U2742))+Tabla14[[#This Row],[VALOR CUOTAS]]</f>
        <v>#VALUE!</v>
      </c>
      <c r="S2742" s="88">
        <f>-IF(Tabla14[[#This Row],[DIAS HABILES O MORA]]&lt;0,(Tabla14[[#This Row],[VALOR PRESTAMO]]*Tabla14[[#This Row],[% INTERES ]]/30*U2742))</f>
        <v>0</v>
      </c>
      <c r="T2742" s="53" t="e">
        <f>Tabla14[[#This Row],[DEUDA CAPITAL]]+Tabla14[[#This Row],[INTERES  CUOTA]]</f>
        <v>#NUM!</v>
      </c>
      <c r="U2742" s="61" t="str">
        <f t="shared" si="439"/>
        <v/>
      </c>
    </row>
    <row r="2743" spans="9:21" ht="24.75" customHeight="1" x14ac:dyDescent="0.35">
      <c r="I2743" s="42">
        <f t="shared" si="430"/>
        <v>0</v>
      </c>
      <c r="J2743" s="65" t="e">
        <f t="shared" si="431"/>
        <v>#NUM!</v>
      </c>
      <c r="K2743" s="83" t="e">
        <f t="shared" si="432"/>
        <v>#NUM!</v>
      </c>
      <c r="L2743" s="83">
        <f t="shared" si="433"/>
        <v>0</v>
      </c>
      <c r="M2743" s="110" t="str">
        <f t="shared" si="434"/>
        <v/>
      </c>
      <c r="N2743" s="51" t="str">
        <f t="shared" si="435"/>
        <v/>
      </c>
      <c r="O2743" s="52" t="str">
        <f t="shared" si="436"/>
        <v/>
      </c>
      <c r="P2743" s="88">
        <f t="shared" si="437"/>
        <v>0</v>
      </c>
      <c r="Q2743" s="88">
        <f t="shared" si="438"/>
        <v>0</v>
      </c>
      <c r="R2743" s="88" t="e">
        <f>-IF(Tabla14[[#This Row],[DIAS HABILES O MORA]]&lt;0,(Tabla14[[#This Row],[VALOR PRESTAMO]]*Tabla14[[#This Row],[% INTERES ]]/30*U2743))+Tabla14[[#This Row],[VALOR CUOTAS]]</f>
        <v>#VALUE!</v>
      </c>
      <c r="S2743" s="88">
        <f>-IF(Tabla14[[#This Row],[DIAS HABILES O MORA]]&lt;0,(Tabla14[[#This Row],[VALOR PRESTAMO]]*Tabla14[[#This Row],[% INTERES ]]/30*U2743))</f>
        <v>0</v>
      </c>
      <c r="T2743" s="53" t="e">
        <f>Tabla14[[#This Row],[DEUDA CAPITAL]]+Tabla14[[#This Row],[INTERES  CUOTA]]</f>
        <v>#NUM!</v>
      </c>
      <c r="U2743" s="61" t="str">
        <f t="shared" si="439"/>
        <v/>
      </c>
    </row>
    <row r="2744" spans="9:21" ht="24.75" customHeight="1" x14ac:dyDescent="0.35">
      <c r="I2744" s="42">
        <f t="shared" si="430"/>
        <v>0</v>
      </c>
      <c r="J2744" s="65" t="e">
        <f t="shared" si="431"/>
        <v>#NUM!</v>
      </c>
      <c r="K2744" s="83" t="e">
        <f t="shared" si="432"/>
        <v>#NUM!</v>
      </c>
      <c r="L2744" s="83">
        <f t="shared" si="433"/>
        <v>0</v>
      </c>
      <c r="M2744" s="110" t="str">
        <f t="shared" si="434"/>
        <v/>
      </c>
      <c r="N2744" s="51" t="str">
        <f t="shared" si="435"/>
        <v/>
      </c>
      <c r="O2744" s="52" t="str">
        <f t="shared" si="436"/>
        <v/>
      </c>
      <c r="P2744" s="88">
        <f t="shared" si="437"/>
        <v>0</v>
      </c>
      <c r="Q2744" s="88">
        <f t="shared" si="438"/>
        <v>0</v>
      </c>
      <c r="R2744" s="88" t="e">
        <f>-IF(Tabla14[[#This Row],[DIAS HABILES O MORA]]&lt;0,(Tabla14[[#This Row],[VALOR PRESTAMO]]*Tabla14[[#This Row],[% INTERES ]]/30*U2744))+Tabla14[[#This Row],[VALOR CUOTAS]]</f>
        <v>#VALUE!</v>
      </c>
      <c r="S2744" s="88">
        <f>-IF(Tabla14[[#This Row],[DIAS HABILES O MORA]]&lt;0,(Tabla14[[#This Row],[VALOR PRESTAMO]]*Tabla14[[#This Row],[% INTERES ]]/30*U2744))</f>
        <v>0</v>
      </c>
      <c r="T2744" s="53" t="e">
        <f>Tabla14[[#This Row],[DEUDA CAPITAL]]+Tabla14[[#This Row],[INTERES  CUOTA]]</f>
        <v>#NUM!</v>
      </c>
      <c r="U2744" s="61" t="str">
        <f t="shared" si="439"/>
        <v/>
      </c>
    </row>
    <row r="2745" spans="9:21" ht="24.75" customHeight="1" x14ac:dyDescent="0.35">
      <c r="I2745" s="42">
        <f t="shared" si="430"/>
        <v>0</v>
      </c>
      <c r="J2745" s="65" t="e">
        <f t="shared" si="431"/>
        <v>#NUM!</v>
      </c>
      <c r="K2745" s="83" t="e">
        <f t="shared" si="432"/>
        <v>#NUM!</v>
      </c>
      <c r="L2745" s="83">
        <f t="shared" si="433"/>
        <v>0</v>
      </c>
      <c r="M2745" s="110" t="str">
        <f t="shared" si="434"/>
        <v/>
      </c>
      <c r="N2745" s="51" t="str">
        <f t="shared" si="435"/>
        <v/>
      </c>
      <c r="O2745" s="52" t="str">
        <f t="shared" si="436"/>
        <v/>
      </c>
      <c r="P2745" s="88">
        <f t="shared" si="437"/>
        <v>0</v>
      </c>
      <c r="Q2745" s="88">
        <f t="shared" si="438"/>
        <v>0</v>
      </c>
      <c r="R2745" s="88" t="e">
        <f>-IF(Tabla14[[#This Row],[DIAS HABILES O MORA]]&lt;0,(Tabla14[[#This Row],[VALOR PRESTAMO]]*Tabla14[[#This Row],[% INTERES ]]/30*U2745))+Tabla14[[#This Row],[VALOR CUOTAS]]</f>
        <v>#VALUE!</v>
      </c>
      <c r="S2745" s="88">
        <f>-IF(Tabla14[[#This Row],[DIAS HABILES O MORA]]&lt;0,(Tabla14[[#This Row],[VALOR PRESTAMO]]*Tabla14[[#This Row],[% INTERES ]]/30*U2745))</f>
        <v>0</v>
      </c>
      <c r="T2745" s="53" t="e">
        <f>Tabla14[[#This Row],[DEUDA CAPITAL]]+Tabla14[[#This Row],[INTERES  CUOTA]]</f>
        <v>#NUM!</v>
      </c>
      <c r="U2745" s="61" t="str">
        <f t="shared" si="439"/>
        <v/>
      </c>
    </row>
    <row r="2746" spans="9:21" ht="24.75" customHeight="1" x14ac:dyDescent="0.35">
      <c r="I2746" s="42">
        <f t="shared" si="430"/>
        <v>0</v>
      </c>
      <c r="J2746" s="65" t="e">
        <f t="shared" si="431"/>
        <v>#NUM!</v>
      </c>
      <c r="K2746" s="83" t="e">
        <f t="shared" si="432"/>
        <v>#NUM!</v>
      </c>
      <c r="L2746" s="83">
        <f t="shared" si="433"/>
        <v>0</v>
      </c>
      <c r="M2746" s="110" t="str">
        <f t="shared" si="434"/>
        <v/>
      </c>
      <c r="N2746" s="51" t="str">
        <f t="shared" si="435"/>
        <v/>
      </c>
      <c r="O2746" s="52" t="str">
        <f t="shared" si="436"/>
        <v/>
      </c>
      <c r="P2746" s="88">
        <f t="shared" si="437"/>
        <v>0</v>
      </c>
      <c r="Q2746" s="88">
        <f t="shared" si="438"/>
        <v>0</v>
      </c>
      <c r="R2746" s="88" t="e">
        <f>-IF(Tabla14[[#This Row],[DIAS HABILES O MORA]]&lt;0,(Tabla14[[#This Row],[VALOR PRESTAMO]]*Tabla14[[#This Row],[% INTERES ]]/30*U2746))+Tabla14[[#This Row],[VALOR CUOTAS]]</f>
        <v>#VALUE!</v>
      </c>
      <c r="S2746" s="88">
        <f>-IF(Tabla14[[#This Row],[DIAS HABILES O MORA]]&lt;0,(Tabla14[[#This Row],[VALOR PRESTAMO]]*Tabla14[[#This Row],[% INTERES ]]/30*U2746))</f>
        <v>0</v>
      </c>
      <c r="T2746" s="53" t="e">
        <f>Tabla14[[#This Row],[DEUDA CAPITAL]]+Tabla14[[#This Row],[INTERES  CUOTA]]</f>
        <v>#NUM!</v>
      </c>
      <c r="U2746" s="61" t="str">
        <f t="shared" si="439"/>
        <v/>
      </c>
    </row>
    <row r="2747" spans="9:21" ht="24.75" customHeight="1" x14ac:dyDescent="0.35">
      <c r="I2747" s="42">
        <f t="shared" si="430"/>
        <v>0</v>
      </c>
      <c r="J2747" s="65" t="e">
        <f t="shared" si="431"/>
        <v>#NUM!</v>
      </c>
      <c r="K2747" s="83" t="e">
        <f t="shared" si="432"/>
        <v>#NUM!</v>
      </c>
      <c r="L2747" s="83">
        <f t="shared" si="433"/>
        <v>0</v>
      </c>
      <c r="M2747" s="110" t="str">
        <f t="shared" si="434"/>
        <v/>
      </c>
      <c r="N2747" s="51" t="str">
        <f t="shared" si="435"/>
        <v/>
      </c>
      <c r="O2747" s="52" t="str">
        <f t="shared" si="436"/>
        <v/>
      </c>
      <c r="P2747" s="88">
        <f t="shared" si="437"/>
        <v>0</v>
      </c>
      <c r="Q2747" s="88">
        <f t="shared" si="438"/>
        <v>0</v>
      </c>
      <c r="R2747" s="88" t="e">
        <f>-IF(Tabla14[[#This Row],[DIAS HABILES O MORA]]&lt;0,(Tabla14[[#This Row],[VALOR PRESTAMO]]*Tabla14[[#This Row],[% INTERES ]]/30*U2747))+Tabla14[[#This Row],[VALOR CUOTAS]]</f>
        <v>#VALUE!</v>
      </c>
      <c r="S2747" s="88">
        <f>-IF(Tabla14[[#This Row],[DIAS HABILES O MORA]]&lt;0,(Tabla14[[#This Row],[VALOR PRESTAMO]]*Tabla14[[#This Row],[% INTERES ]]/30*U2747))</f>
        <v>0</v>
      </c>
      <c r="T2747" s="53" t="e">
        <f>Tabla14[[#This Row],[DEUDA CAPITAL]]+Tabla14[[#This Row],[INTERES  CUOTA]]</f>
        <v>#NUM!</v>
      </c>
      <c r="U2747" s="61" t="str">
        <f t="shared" si="439"/>
        <v/>
      </c>
    </row>
    <row r="2748" spans="9:21" ht="24.75" customHeight="1" x14ac:dyDescent="0.35">
      <c r="I2748" s="42">
        <f t="shared" si="430"/>
        <v>0</v>
      </c>
      <c r="J2748" s="65" t="e">
        <f t="shared" si="431"/>
        <v>#NUM!</v>
      </c>
      <c r="K2748" s="83" t="e">
        <f t="shared" si="432"/>
        <v>#NUM!</v>
      </c>
      <c r="L2748" s="83">
        <f t="shared" si="433"/>
        <v>0</v>
      </c>
      <c r="M2748" s="110" t="str">
        <f t="shared" si="434"/>
        <v/>
      </c>
      <c r="N2748" s="51" t="str">
        <f t="shared" si="435"/>
        <v/>
      </c>
      <c r="O2748" s="52" t="str">
        <f t="shared" si="436"/>
        <v/>
      </c>
      <c r="P2748" s="88">
        <f t="shared" si="437"/>
        <v>0</v>
      </c>
      <c r="Q2748" s="88">
        <f t="shared" si="438"/>
        <v>0</v>
      </c>
      <c r="R2748" s="88" t="e">
        <f>-IF(Tabla14[[#This Row],[DIAS HABILES O MORA]]&lt;0,(Tabla14[[#This Row],[VALOR PRESTAMO]]*Tabla14[[#This Row],[% INTERES ]]/30*U2748))+Tabla14[[#This Row],[VALOR CUOTAS]]</f>
        <v>#VALUE!</v>
      </c>
      <c r="S2748" s="88">
        <f>-IF(Tabla14[[#This Row],[DIAS HABILES O MORA]]&lt;0,(Tabla14[[#This Row],[VALOR PRESTAMO]]*Tabla14[[#This Row],[% INTERES ]]/30*U2748))</f>
        <v>0</v>
      </c>
      <c r="T2748" s="53" t="e">
        <f>Tabla14[[#This Row],[DEUDA CAPITAL]]+Tabla14[[#This Row],[INTERES  CUOTA]]</f>
        <v>#NUM!</v>
      </c>
      <c r="U2748" s="61" t="str">
        <f t="shared" si="439"/>
        <v/>
      </c>
    </row>
    <row r="2749" spans="9:21" ht="24.75" customHeight="1" x14ac:dyDescent="0.35">
      <c r="I2749" s="42">
        <f t="shared" si="430"/>
        <v>0</v>
      </c>
      <c r="J2749" s="65" t="e">
        <f t="shared" si="431"/>
        <v>#NUM!</v>
      </c>
      <c r="K2749" s="83" t="e">
        <f t="shared" si="432"/>
        <v>#NUM!</v>
      </c>
      <c r="L2749" s="83">
        <f t="shared" si="433"/>
        <v>0</v>
      </c>
      <c r="M2749" s="110" t="str">
        <f t="shared" si="434"/>
        <v/>
      </c>
      <c r="N2749" s="51" t="str">
        <f t="shared" si="435"/>
        <v/>
      </c>
      <c r="O2749" s="52" t="str">
        <f t="shared" si="436"/>
        <v/>
      </c>
      <c r="P2749" s="88">
        <f t="shared" si="437"/>
        <v>0</v>
      </c>
      <c r="Q2749" s="88">
        <f t="shared" si="438"/>
        <v>0</v>
      </c>
      <c r="R2749" s="88" t="e">
        <f>-IF(Tabla14[[#This Row],[DIAS HABILES O MORA]]&lt;0,(Tabla14[[#This Row],[VALOR PRESTAMO]]*Tabla14[[#This Row],[% INTERES ]]/30*U2749))+Tabla14[[#This Row],[VALOR CUOTAS]]</f>
        <v>#VALUE!</v>
      </c>
      <c r="S2749" s="88">
        <f>-IF(Tabla14[[#This Row],[DIAS HABILES O MORA]]&lt;0,(Tabla14[[#This Row],[VALOR PRESTAMO]]*Tabla14[[#This Row],[% INTERES ]]/30*U2749))</f>
        <v>0</v>
      </c>
      <c r="T2749" s="53" t="e">
        <f>Tabla14[[#This Row],[DEUDA CAPITAL]]+Tabla14[[#This Row],[INTERES  CUOTA]]</f>
        <v>#NUM!</v>
      </c>
      <c r="U2749" s="61" t="str">
        <f t="shared" si="439"/>
        <v/>
      </c>
    </row>
    <row r="2750" spans="9:21" ht="24.75" customHeight="1" x14ac:dyDescent="0.35">
      <c r="I2750" s="42">
        <f t="shared" si="430"/>
        <v>0</v>
      </c>
      <c r="J2750" s="65" t="e">
        <f t="shared" si="431"/>
        <v>#NUM!</v>
      </c>
      <c r="K2750" s="83" t="e">
        <f t="shared" si="432"/>
        <v>#NUM!</v>
      </c>
      <c r="L2750" s="83">
        <f t="shared" si="433"/>
        <v>0</v>
      </c>
      <c r="M2750" s="110" t="str">
        <f t="shared" si="434"/>
        <v/>
      </c>
      <c r="N2750" s="51" t="str">
        <f t="shared" si="435"/>
        <v/>
      </c>
      <c r="O2750" s="52" t="str">
        <f t="shared" si="436"/>
        <v/>
      </c>
      <c r="P2750" s="88">
        <f t="shared" si="437"/>
        <v>0</v>
      </c>
      <c r="Q2750" s="88">
        <f t="shared" si="438"/>
        <v>0</v>
      </c>
      <c r="R2750" s="88" t="e">
        <f>-IF(Tabla14[[#This Row],[DIAS HABILES O MORA]]&lt;0,(Tabla14[[#This Row],[VALOR PRESTAMO]]*Tabla14[[#This Row],[% INTERES ]]/30*U2750))+Tabla14[[#This Row],[VALOR CUOTAS]]</f>
        <v>#VALUE!</v>
      </c>
      <c r="S2750" s="88">
        <f>-IF(Tabla14[[#This Row],[DIAS HABILES O MORA]]&lt;0,(Tabla14[[#This Row],[VALOR PRESTAMO]]*Tabla14[[#This Row],[% INTERES ]]/30*U2750))</f>
        <v>0</v>
      </c>
      <c r="T2750" s="53" t="e">
        <f>Tabla14[[#This Row],[DEUDA CAPITAL]]+Tabla14[[#This Row],[INTERES  CUOTA]]</f>
        <v>#NUM!</v>
      </c>
      <c r="U2750" s="61" t="str">
        <f t="shared" si="439"/>
        <v/>
      </c>
    </row>
    <row r="2751" spans="9:21" ht="24.75" customHeight="1" x14ac:dyDescent="0.35">
      <c r="I2751" s="42">
        <f t="shared" si="430"/>
        <v>0</v>
      </c>
      <c r="J2751" s="65" t="e">
        <f t="shared" si="431"/>
        <v>#NUM!</v>
      </c>
      <c r="K2751" s="83" t="e">
        <f t="shared" si="432"/>
        <v>#NUM!</v>
      </c>
      <c r="L2751" s="83">
        <f t="shared" si="433"/>
        <v>0</v>
      </c>
      <c r="M2751" s="110" t="str">
        <f t="shared" si="434"/>
        <v/>
      </c>
      <c r="N2751" s="51" t="str">
        <f t="shared" si="435"/>
        <v/>
      </c>
      <c r="O2751" s="52" t="str">
        <f t="shared" si="436"/>
        <v/>
      </c>
      <c r="P2751" s="88">
        <f t="shared" si="437"/>
        <v>0</v>
      </c>
      <c r="Q2751" s="88">
        <f t="shared" si="438"/>
        <v>0</v>
      </c>
      <c r="R2751" s="88" t="e">
        <f>-IF(Tabla14[[#This Row],[DIAS HABILES O MORA]]&lt;0,(Tabla14[[#This Row],[VALOR PRESTAMO]]*Tabla14[[#This Row],[% INTERES ]]/30*U2751))+Tabla14[[#This Row],[VALOR CUOTAS]]</f>
        <v>#VALUE!</v>
      </c>
      <c r="S2751" s="88">
        <f>-IF(Tabla14[[#This Row],[DIAS HABILES O MORA]]&lt;0,(Tabla14[[#This Row],[VALOR PRESTAMO]]*Tabla14[[#This Row],[% INTERES ]]/30*U2751))</f>
        <v>0</v>
      </c>
      <c r="T2751" s="53" t="e">
        <f>Tabla14[[#This Row],[DEUDA CAPITAL]]+Tabla14[[#This Row],[INTERES  CUOTA]]</f>
        <v>#NUM!</v>
      </c>
      <c r="U2751" s="61" t="str">
        <f t="shared" si="439"/>
        <v/>
      </c>
    </row>
    <row r="2752" spans="9:21" ht="24.75" customHeight="1" x14ac:dyDescent="0.35">
      <c r="I2752" s="42">
        <f t="shared" si="430"/>
        <v>0</v>
      </c>
      <c r="J2752" s="65" t="e">
        <f t="shared" si="431"/>
        <v>#NUM!</v>
      </c>
      <c r="K2752" s="83" t="e">
        <f t="shared" si="432"/>
        <v>#NUM!</v>
      </c>
      <c r="L2752" s="83">
        <f t="shared" si="433"/>
        <v>0</v>
      </c>
      <c r="M2752" s="110" t="str">
        <f t="shared" si="434"/>
        <v/>
      </c>
      <c r="N2752" s="51" t="str">
        <f t="shared" si="435"/>
        <v/>
      </c>
      <c r="O2752" s="52" t="str">
        <f t="shared" si="436"/>
        <v/>
      </c>
      <c r="P2752" s="88">
        <f t="shared" si="437"/>
        <v>0</v>
      </c>
      <c r="Q2752" s="88">
        <f t="shared" si="438"/>
        <v>0</v>
      </c>
      <c r="R2752" s="88" t="e">
        <f>-IF(Tabla14[[#This Row],[DIAS HABILES O MORA]]&lt;0,(Tabla14[[#This Row],[VALOR PRESTAMO]]*Tabla14[[#This Row],[% INTERES ]]/30*U2752))+Tabla14[[#This Row],[VALOR CUOTAS]]</f>
        <v>#VALUE!</v>
      </c>
      <c r="S2752" s="88">
        <f>-IF(Tabla14[[#This Row],[DIAS HABILES O MORA]]&lt;0,(Tabla14[[#This Row],[VALOR PRESTAMO]]*Tabla14[[#This Row],[% INTERES ]]/30*U2752))</f>
        <v>0</v>
      </c>
      <c r="T2752" s="53" t="e">
        <f>Tabla14[[#This Row],[DEUDA CAPITAL]]+Tabla14[[#This Row],[INTERES  CUOTA]]</f>
        <v>#NUM!</v>
      </c>
      <c r="U2752" s="61" t="str">
        <f t="shared" si="439"/>
        <v/>
      </c>
    </row>
    <row r="2753" spans="9:21" ht="24.75" customHeight="1" x14ac:dyDescent="0.35">
      <c r="I2753" s="42">
        <f t="shared" si="430"/>
        <v>0</v>
      </c>
      <c r="J2753" s="65" t="e">
        <f t="shared" si="431"/>
        <v>#NUM!</v>
      </c>
      <c r="K2753" s="83" t="e">
        <f t="shared" si="432"/>
        <v>#NUM!</v>
      </c>
      <c r="L2753" s="83">
        <f t="shared" si="433"/>
        <v>0</v>
      </c>
      <c r="M2753" s="110" t="str">
        <f t="shared" si="434"/>
        <v/>
      </c>
      <c r="N2753" s="51" t="str">
        <f t="shared" si="435"/>
        <v/>
      </c>
      <c r="O2753" s="52" t="str">
        <f t="shared" si="436"/>
        <v/>
      </c>
      <c r="P2753" s="88">
        <f t="shared" si="437"/>
        <v>0</v>
      </c>
      <c r="Q2753" s="88">
        <f t="shared" si="438"/>
        <v>0</v>
      </c>
      <c r="R2753" s="88" t="e">
        <f>-IF(Tabla14[[#This Row],[DIAS HABILES O MORA]]&lt;0,(Tabla14[[#This Row],[VALOR PRESTAMO]]*Tabla14[[#This Row],[% INTERES ]]/30*U2753))+Tabla14[[#This Row],[VALOR CUOTAS]]</f>
        <v>#VALUE!</v>
      </c>
      <c r="S2753" s="88">
        <f>-IF(Tabla14[[#This Row],[DIAS HABILES O MORA]]&lt;0,(Tabla14[[#This Row],[VALOR PRESTAMO]]*Tabla14[[#This Row],[% INTERES ]]/30*U2753))</f>
        <v>0</v>
      </c>
      <c r="T2753" s="53" t="e">
        <f>Tabla14[[#This Row],[DEUDA CAPITAL]]+Tabla14[[#This Row],[INTERES  CUOTA]]</f>
        <v>#NUM!</v>
      </c>
      <c r="U2753" s="61" t="str">
        <f t="shared" si="439"/>
        <v/>
      </c>
    </row>
    <row r="2754" spans="9:21" ht="24.75" customHeight="1" x14ac:dyDescent="0.35">
      <c r="I2754" s="42">
        <f t="shared" si="430"/>
        <v>0</v>
      </c>
      <c r="J2754" s="65" t="e">
        <f t="shared" si="431"/>
        <v>#NUM!</v>
      </c>
      <c r="K2754" s="83" t="e">
        <f t="shared" si="432"/>
        <v>#NUM!</v>
      </c>
      <c r="L2754" s="83">
        <f t="shared" si="433"/>
        <v>0</v>
      </c>
      <c r="M2754" s="110" t="str">
        <f t="shared" si="434"/>
        <v/>
      </c>
      <c r="N2754" s="51" t="str">
        <f t="shared" si="435"/>
        <v/>
      </c>
      <c r="O2754" s="52" t="str">
        <f t="shared" si="436"/>
        <v/>
      </c>
      <c r="P2754" s="88">
        <f t="shared" si="437"/>
        <v>0</v>
      </c>
      <c r="Q2754" s="88">
        <f t="shared" si="438"/>
        <v>0</v>
      </c>
      <c r="R2754" s="88" t="e">
        <f>-IF(Tabla14[[#This Row],[DIAS HABILES O MORA]]&lt;0,(Tabla14[[#This Row],[VALOR PRESTAMO]]*Tabla14[[#This Row],[% INTERES ]]/30*U2754))+Tabla14[[#This Row],[VALOR CUOTAS]]</f>
        <v>#VALUE!</v>
      </c>
      <c r="S2754" s="88">
        <f>-IF(Tabla14[[#This Row],[DIAS HABILES O MORA]]&lt;0,(Tabla14[[#This Row],[VALOR PRESTAMO]]*Tabla14[[#This Row],[% INTERES ]]/30*U2754))</f>
        <v>0</v>
      </c>
      <c r="T2754" s="53" t="e">
        <f>Tabla14[[#This Row],[DEUDA CAPITAL]]+Tabla14[[#This Row],[INTERES  CUOTA]]</f>
        <v>#NUM!</v>
      </c>
      <c r="U2754" s="61" t="str">
        <f t="shared" si="439"/>
        <v/>
      </c>
    </row>
    <row r="2755" spans="9:21" ht="24.75" customHeight="1" x14ac:dyDescent="0.35">
      <c r="I2755" s="42">
        <f t="shared" si="430"/>
        <v>0</v>
      </c>
      <c r="J2755" s="65" t="e">
        <f t="shared" si="431"/>
        <v>#NUM!</v>
      </c>
      <c r="K2755" s="83" t="e">
        <f t="shared" si="432"/>
        <v>#NUM!</v>
      </c>
      <c r="L2755" s="83">
        <f t="shared" si="433"/>
        <v>0</v>
      </c>
      <c r="M2755" s="110" t="str">
        <f t="shared" si="434"/>
        <v/>
      </c>
      <c r="N2755" s="51" t="str">
        <f t="shared" si="435"/>
        <v/>
      </c>
      <c r="O2755" s="52" t="str">
        <f t="shared" si="436"/>
        <v/>
      </c>
      <c r="P2755" s="88">
        <f t="shared" si="437"/>
        <v>0</v>
      </c>
      <c r="Q2755" s="88">
        <f t="shared" si="438"/>
        <v>0</v>
      </c>
      <c r="R2755" s="88" t="e">
        <f>-IF(Tabla14[[#This Row],[DIAS HABILES O MORA]]&lt;0,(Tabla14[[#This Row],[VALOR PRESTAMO]]*Tabla14[[#This Row],[% INTERES ]]/30*U2755))+Tabla14[[#This Row],[VALOR CUOTAS]]</f>
        <v>#VALUE!</v>
      </c>
      <c r="S2755" s="88">
        <f>-IF(Tabla14[[#This Row],[DIAS HABILES O MORA]]&lt;0,(Tabla14[[#This Row],[VALOR PRESTAMO]]*Tabla14[[#This Row],[% INTERES ]]/30*U2755))</f>
        <v>0</v>
      </c>
      <c r="T2755" s="53" t="e">
        <f>Tabla14[[#This Row],[DEUDA CAPITAL]]+Tabla14[[#This Row],[INTERES  CUOTA]]</f>
        <v>#NUM!</v>
      </c>
      <c r="U2755" s="61" t="str">
        <f t="shared" si="439"/>
        <v/>
      </c>
    </row>
    <row r="2756" spans="9:21" ht="24.75" customHeight="1" x14ac:dyDescent="0.35">
      <c r="I2756" s="42">
        <f t="shared" si="430"/>
        <v>0</v>
      </c>
      <c r="J2756" s="65" t="e">
        <f t="shared" si="431"/>
        <v>#NUM!</v>
      </c>
      <c r="K2756" s="83" t="e">
        <f t="shared" si="432"/>
        <v>#NUM!</v>
      </c>
      <c r="L2756" s="83">
        <f t="shared" si="433"/>
        <v>0</v>
      </c>
      <c r="M2756" s="110" t="str">
        <f t="shared" si="434"/>
        <v/>
      </c>
      <c r="N2756" s="51" t="str">
        <f t="shared" si="435"/>
        <v/>
      </c>
      <c r="O2756" s="52" t="str">
        <f t="shared" si="436"/>
        <v/>
      </c>
      <c r="P2756" s="88">
        <f t="shared" si="437"/>
        <v>0</v>
      </c>
      <c r="Q2756" s="88">
        <f t="shared" si="438"/>
        <v>0</v>
      </c>
      <c r="R2756" s="88" t="e">
        <f>-IF(Tabla14[[#This Row],[DIAS HABILES O MORA]]&lt;0,(Tabla14[[#This Row],[VALOR PRESTAMO]]*Tabla14[[#This Row],[% INTERES ]]/30*U2756))+Tabla14[[#This Row],[VALOR CUOTAS]]</f>
        <v>#VALUE!</v>
      </c>
      <c r="S2756" s="88">
        <f>-IF(Tabla14[[#This Row],[DIAS HABILES O MORA]]&lt;0,(Tabla14[[#This Row],[VALOR PRESTAMO]]*Tabla14[[#This Row],[% INTERES ]]/30*U2756))</f>
        <v>0</v>
      </c>
      <c r="T2756" s="53" t="e">
        <f>Tabla14[[#This Row],[DEUDA CAPITAL]]+Tabla14[[#This Row],[INTERES  CUOTA]]</f>
        <v>#NUM!</v>
      </c>
      <c r="U2756" s="61" t="str">
        <f t="shared" si="439"/>
        <v/>
      </c>
    </row>
    <row r="2757" spans="9:21" ht="24.75" customHeight="1" x14ac:dyDescent="0.35">
      <c r="I2757" s="42">
        <f t="shared" si="430"/>
        <v>0</v>
      </c>
      <c r="J2757" s="65" t="e">
        <f t="shared" si="431"/>
        <v>#NUM!</v>
      </c>
      <c r="K2757" s="83" t="e">
        <f t="shared" si="432"/>
        <v>#NUM!</v>
      </c>
      <c r="L2757" s="83">
        <f t="shared" si="433"/>
        <v>0</v>
      </c>
      <c r="M2757" s="110" t="str">
        <f t="shared" si="434"/>
        <v/>
      </c>
      <c r="N2757" s="51" t="str">
        <f t="shared" si="435"/>
        <v/>
      </c>
      <c r="O2757" s="52" t="str">
        <f t="shared" si="436"/>
        <v/>
      </c>
      <c r="P2757" s="88">
        <f t="shared" si="437"/>
        <v>0</v>
      </c>
      <c r="Q2757" s="88">
        <f t="shared" si="438"/>
        <v>0</v>
      </c>
      <c r="R2757" s="88" t="e">
        <f>-IF(Tabla14[[#This Row],[DIAS HABILES O MORA]]&lt;0,(Tabla14[[#This Row],[VALOR PRESTAMO]]*Tabla14[[#This Row],[% INTERES ]]/30*U2757))+Tabla14[[#This Row],[VALOR CUOTAS]]</f>
        <v>#VALUE!</v>
      </c>
      <c r="S2757" s="88">
        <f>-IF(Tabla14[[#This Row],[DIAS HABILES O MORA]]&lt;0,(Tabla14[[#This Row],[VALOR PRESTAMO]]*Tabla14[[#This Row],[% INTERES ]]/30*U2757))</f>
        <v>0</v>
      </c>
      <c r="T2757" s="53" t="e">
        <f>Tabla14[[#This Row],[DEUDA CAPITAL]]+Tabla14[[#This Row],[INTERES  CUOTA]]</f>
        <v>#NUM!</v>
      </c>
      <c r="U2757" s="61" t="str">
        <f t="shared" si="439"/>
        <v/>
      </c>
    </row>
    <row r="2758" spans="9:21" ht="24.75" customHeight="1" x14ac:dyDescent="0.35">
      <c r="I2758" s="42">
        <f t="shared" si="430"/>
        <v>0</v>
      </c>
      <c r="J2758" s="65" t="e">
        <f t="shared" si="431"/>
        <v>#NUM!</v>
      </c>
      <c r="K2758" s="83" t="e">
        <f t="shared" si="432"/>
        <v>#NUM!</v>
      </c>
      <c r="L2758" s="83">
        <f t="shared" si="433"/>
        <v>0</v>
      </c>
      <c r="M2758" s="110" t="str">
        <f t="shared" si="434"/>
        <v/>
      </c>
      <c r="N2758" s="51" t="str">
        <f t="shared" si="435"/>
        <v/>
      </c>
      <c r="O2758" s="52" t="str">
        <f t="shared" si="436"/>
        <v/>
      </c>
      <c r="P2758" s="88">
        <f t="shared" si="437"/>
        <v>0</v>
      </c>
      <c r="Q2758" s="88">
        <f t="shared" si="438"/>
        <v>0</v>
      </c>
      <c r="R2758" s="88" t="e">
        <f>-IF(Tabla14[[#This Row],[DIAS HABILES O MORA]]&lt;0,(Tabla14[[#This Row],[VALOR PRESTAMO]]*Tabla14[[#This Row],[% INTERES ]]/30*U2758))+Tabla14[[#This Row],[VALOR CUOTAS]]</f>
        <v>#VALUE!</v>
      </c>
      <c r="S2758" s="88">
        <f>-IF(Tabla14[[#This Row],[DIAS HABILES O MORA]]&lt;0,(Tabla14[[#This Row],[VALOR PRESTAMO]]*Tabla14[[#This Row],[% INTERES ]]/30*U2758))</f>
        <v>0</v>
      </c>
      <c r="T2758" s="53" t="e">
        <f>Tabla14[[#This Row],[DEUDA CAPITAL]]+Tabla14[[#This Row],[INTERES  CUOTA]]</f>
        <v>#NUM!</v>
      </c>
      <c r="U2758" s="61" t="str">
        <f t="shared" si="439"/>
        <v/>
      </c>
    </row>
    <row r="2759" spans="9:21" ht="24.75" customHeight="1" x14ac:dyDescent="0.35">
      <c r="I2759" s="42">
        <f t="shared" si="430"/>
        <v>0</v>
      </c>
      <c r="J2759" s="65" t="e">
        <f t="shared" si="431"/>
        <v>#NUM!</v>
      </c>
      <c r="K2759" s="83" t="e">
        <f t="shared" si="432"/>
        <v>#NUM!</v>
      </c>
      <c r="L2759" s="83">
        <f t="shared" si="433"/>
        <v>0</v>
      </c>
      <c r="M2759" s="110" t="str">
        <f t="shared" si="434"/>
        <v/>
      </c>
      <c r="N2759" s="51" t="str">
        <f t="shared" si="435"/>
        <v/>
      </c>
      <c r="O2759" s="52" t="str">
        <f t="shared" si="436"/>
        <v/>
      </c>
      <c r="P2759" s="88">
        <f t="shared" si="437"/>
        <v>0</v>
      </c>
      <c r="Q2759" s="88">
        <f t="shared" si="438"/>
        <v>0</v>
      </c>
      <c r="R2759" s="88" t="e">
        <f>-IF(Tabla14[[#This Row],[DIAS HABILES O MORA]]&lt;0,(Tabla14[[#This Row],[VALOR PRESTAMO]]*Tabla14[[#This Row],[% INTERES ]]/30*U2759))+Tabla14[[#This Row],[VALOR CUOTAS]]</f>
        <v>#VALUE!</v>
      </c>
      <c r="S2759" s="88">
        <f>-IF(Tabla14[[#This Row],[DIAS HABILES O MORA]]&lt;0,(Tabla14[[#This Row],[VALOR PRESTAMO]]*Tabla14[[#This Row],[% INTERES ]]/30*U2759))</f>
        <v>0</v>
      </c>
      <c r="T2759" s="53" t="e">
        <f>Tabla14[[#This Row],[DEUDA CAPITAL]]+Tabla14[[#This Row],[INTERES  CUOTA]]</f>
        <v>#NUM!</v>
      </c>
      <c r="U2759" s="61" t="str">
        <f t="shared" si="439"/>
        <v/>
      </c>
    </row>
    <row r="2760" spans="9:21" ht="24.75" customHeight="1" x14ac:dyDescent="0.35">
      <c r="I2760" s="42">
        <f t="shared" si="430"/>
        <v>0</v>
      </c>
      <c r="J2760" s="65" t="e">
        <f t="shared" si="431"/>
        <v>#NUM!</v>
      </c>
      <c r="K2760" s="83" t="e">
        <f t="shared" si="432"/>
        <v>#NUM!</v>
      </c>
      <c r="L2760" s="83">
        <f t="shared" si="433"/>
        <v>0</v>
      </c>
      <c r="M2760" s="110" t="str">
        <f t="shared" si="434"/>
        <v/>
      </c>
      <c r="N2760" s="51" t="str">
        <f t="shared" si="435"/>
        <v/>
      </c>
      <c r="O2760" s="52" t="str">
        <f t="shared" si="436"/>
        <v/>
      </c>
      <c r="P2760" s="88">
        <f t="shared" si="437"/>
        <v>0</v>
      </c>
      <c r="Q2760" s="88">
        <f t="shared" si="438"/>
        <v>0</v>
      </c>
      <c r="R2760" s="88" t="e">
        <f>-IF(Tabla14[[#This Row],[DIAS HABILES O MORA]]&lt;0,(Tabla14[[#This Row],[VALOR PRESTAMO]]*Tabla14[[#This Row],[% INTERES ]]/30*U2760))+Tabla14[[#This Row],[VALOR CUOTAS]]</f>
        <v>#VALUE!</v>
      </c>
      <c r="S2760" s="88">
        <f>-IF(Tabla14[[#This Row],[DIAS HABILES O MORA]]&lt;0,(Tabla14[[#This Row],[VALOR PRESTAMO]]*Tabla14[[#This Row],[% INTERES ]]/30*U2760))</f>
        <v>0</v>
      </c>
      <c r="T2760" s="53" t="e">
        <f>Tabla14[[#This Row],[DEUDA CAPITAL]]+Tabla14[[#This Row],[INTERES  CUOTA]]</f>
        <v>#NUM!</v>
      </c>
      <c r="U2760" s="61" t="str">
        <f t="shared" si="439"/>
        <v/>
      </c>
    </row>
    <row r="2761" spans="9:21" ht="24.75" customHeight="1" x14ac:dyDescent="0.35">
      <c r="I2761" s="42">
        <f t="shared" si="430"/>
        <v>0</v>
      </c>
      <c r="J2761" s="65" t="e">
        <f t="shared" si="431"/>
        <v>#NUM!</v>
      </c>
      <c r="K2761" s="83" t="e">
        <f t="shared" si="432"/>
        <v>#NUM!</v>
      </c>
      <c r="L2761" s="83">
        <f t="shared" si="433"/>
        <v>0</v>
      </c>
      <c r="M2761" s="110" t="str">
        <f t="shared" si="434"/>
        <v/>
      </c>
      <c r="N2761" s="51" t="str">
        <f t="shared" si="435"/>
        <v/>
      </c>
      <c r="O2761" s="52" t="str">
        <f t="shared" si="436"/>
        <v/>
      </c>
      <c r="P2761" s="88">
        <f t="shared" si="437"/>
        <v>0</v>
      </c>
      <c r="Q2761" s="88">
        <f t="shared" si="438"/>
        <v>0</v>
      </c>
      <c r="R2761" s="88" t="e">
        <f>-IF(Tabla14[[#This Row],[DIAS HABILES O MORA]]&lt;0,(Tabla14[[#This Row],[VALOR PRESTAMO]]*Tabla14[[#This Row],[% INTERES ]]/30*U2761))+Tabla14[[#This Row],[VALOR CUOTAS]]</f>
        <v>#VALUE!</v>
      </c>
      <c r="S2761" s="88">
        <f>-IF(Tabla14[[#This Row],[DIAS HABILES O MORA]]&lt;0,(Tabla14[[#This Row],[VALOR PRESTAMO]]*Tabla14[[#This Row],[% INTERES ]]/30*U2761))</f>
        <v>0</v>
      </c>
      <c r="T2761" s="53" t="e">
        <f>Tabla14[[#This Row],[DEUDA CAPITAL]]+Tabla14[[#This Row],[INTERES  CUOTA]]</f>
        <v>#NUM!</v>
      </c>
      <c r="U2761" s="61" t="str">
        <f t="shared" si="439"/>
        <v/>
      </c>
    </row>
    <row r="2762" spans="9:21" ht="24.75" customHeight="1" x14ac:dyDescent="0.35">
      <c r="I2762" s="42">
        <f t="shared" si="430"/>
        <v>0</v>
      </c>
      <c r="J2762" s="65" t="e">
        <f t="shared" si="431"/>
        <v>#NUM!</v>
      </c>
      <c r="K2762" s="83" t="e">
        <f t="shared" si="432"/>
        <v>#NUM!</v>
      </c>
      <c r="L2762" s="83">
        <f t="shared" si="433"/>
        <v>0</v>
      </c>
      <c r="M2762" s="110" t="str">
        <f t="shared" si="434"/>
        <v/>
      </c>
      <c r="N2762" s="51" t="str">
        <f t="shared" si="435"/>
        <v/>
      </c>
      <c r="O2762" s="52" t="str">
        <f t="shared" si="436"/>
        <v/>
      </c>
      <c r="P2762" s="88">
        <f t="shared" si="437"/>
        <v>0</v>
      </c>
      <c r="Q2762" s="88">
        <f t="shared" si="438"/>
        <v>0</v>
      </c>
      <c r="R2762" s="88" t="e">
        <f>-IF(Tabla14[[#This Row],[DIAS HABILES O MORA]]&lt;0,(Tabla14[[#This Row],[VALOR PRESTAMO]]*Tabla14[[#This Row],[% INTERES ]]/30*U2762))+Tabla14[[#This Row],[VALOR CUOTAS]]</f>
        <v>#VALUE!</v>
      </c>
      <c r="S2762" s="88">
        <f>-IF(Tabla14[[#This Row],[DIAS HABILES O MORA]]&lt;0,(Tabla14[[#This Row],[VALOR PRESTAMO]]*Tabla14[[#This Row],[% INTERES ]]/30*U2762))</f>
        <v>0</v>
      </c>
      <c r="T2762" s="53" t="e">
        <f>Tabla14[[#This Row],[DEUDA CAPITAL]]+Tabla14[[#This Row],[INTERES  CUOTA]]</f>
        <v>#NUM!</v>
      </c>
      <c r="U2762" s="61" t="str">
        <f t="shared" si="439"/>
        <v/>
      </c>
    </row>
    <row r="2763" spans="9:21" ht="24.75" customHeight="1" x14ac:dyDescent="0.35">
      <c r="I2763" s="42">
        <f t="shared" si="430"/>
        <v>0</v>
      </c>
      <c r="J2763" s="65" t="e">
        <f t="shared" si="431"/>
        <v>#NUM!</v>
      </c>
      <c r="K2763" s="83" t="e">
        <f t="shared" si="432"/>
        <v>#NUM!</v>
      </c>
      <c r="L2763" s="83">
        <f t="shared" si="433"/>
        <v>0</v>
      </c>
      <c r="M2763" s="110" t="str">
        <f t="shared" si="434"/>
        <v/>
      </c>
      <c r="N2763" s="51" t="str">
        <f t="shared" si="435"/>
        <v/>
      </c>
      <c r="O2763" s="52" t="str">
        <f t="shared" si="436"/>
        <v/>
      </c>
      <c r="P2763" s="88">
        <f t="shared" si="437"/>
        <v>0</v>
      </c>
      <c r="Q2763" s="88">
        <f t="shared" si="438"/>
        <v>0</v>
      </c>
      <c r="R2763" s="88" t="e">
        <f>-IF(Tabla14[[#This Row],[DIAS HABILES O MORA]]&lt;0,(Tabla14[[#This Row],[VALOR PRESTAMO]]*Tabla14[[#This Row],[% INTERES ]]/30*U2763))+Tabla14[[#This Row],[VALOR CUOTAS]]</f>
        <v>#VALUE!</v>
      </c>
      <c r="S2763" s="88">
        <f>-IF(Tabla14[[#This Row],[DIAS HABILES O MORA]]&lt;0,(Tabla14[[#This Row],[VALOR PRESTAMO]]*Tabla14[[#This Row],[% INTERES ]]/30*U2763))</f>
        <v>0</v>
      </c>
      <c r="T2763" s="53" t="e">
        <f>Tabla14[[#This Row],[DEUDA CAPITAL]]+Tabla14[[#This Row],[INTERES  CUOTA]]</f>
        <v>#NUM!</v>
      </c>
      <c r="U2763" s="61" t="str">
        <f t="shared" si="439"/>
        <v/>
      </c>
    </row>
    <row r="2764" spans="9:21" ht="24.75" customHeight="1" x14ac:dyDescent="0.35">
      <c r="I2764" s="42">
        <f t="shared" si="430"/>
        <v>0</v>
      </c>
      <c r="J2764" s="65" t="e">
        <f t="shared" si="431"/>
        <v>#NUM!</v>
      </c>
      <c r="K2764" s="83" t="e">
        <f t="shared" si="432"/>
        <v>#NUM!</v>
      </c>
      <c r="L2764" s="83">
        <f t="shared" si="433"/>
        <v>0</v>
      </c>
      <c r="M2764" s="110" t="str">
        <f t="shared" si="434"/>
        <v/>
      </c>
      <c r="N2764" s="51" t="str">
        <f t="shared" si="435"/>
        <v/>
      </c>
      <c r="O2764" s="52" t="str">
        <f t="shared" si="436"/>
        <v/>
      </c>
      <c r="P2764" s="88">
        <f t="shared" si="437"/>
        <v>0</v>
      </c>
      <c r="Q2764" s="88">
        <f t="shared" si="438"/>
        <v>0</v>
      </c>
      <c r="R2764" s="88" t="e">
        <f>-IF(Tabla14[[#This Row],[DIAS HABILES O MORA]]&lt;0,(Tabla14[[#This Row],[VALOR PRESTAMO]]*Tabla14[[#This Row],[% INTERES ]]/30*U2764))+Tabla14[[#This Row],[VALOR CUOTAS]]</f>
        <v>#VALUE!</v>
      </c>
      <c r="S2764" s="88">
        <f>-IF(Tabla14[[#This Row],[DIAS HABILES O MORA]]&lt;0,(Tabla14[[#This Row],[VALOR PRESTAMO]]*Tabla14[[#This Row],[% INTERES ]]/30*U2764))</f>
        <v>0</v>
      </c>
      <c r="T2764" s="53" t="e">
        <f>Tabla14[[#This Row],[DEUDA CAPITAL]]+Tabla14[[#This Row],[INTERES  CUOTA]]</f>
        <v>#NUM!</v>
      </c>
      <c r="U2764" s="61" t="str">
        <f t="shared" si="439"/>
        <v/>
      </c>
    </row>
    <row r="2765" spans="9:21" ht="24.75" customHeight="1" x14ac:dyDescent="0.35">
      <c r="I2765" s="42">
        <f t="shared" si="430"/>
        <v>0</v>
      </c>
      <c r="J2765" s="65" t="e">
        <f t="shared" si="431"/>
        <v>#NUM!</v>
      </c>
      <c r="K2765" s="83" t="e">
        <f t="shared" si="432"/>
        <v>#NUM!</v>
      </c>
      <c r="L2765" s="83">
        <f t="shared" si="433"/>
        <v>0</v>
      </c>
      <c r="M2765" s="110" t="str">
        <f t="shared" si="434"/>
        <v/>
      </c>
      <c r="N2765" s="51" t="str">
        <f t="shared" si="435"/>
        <v/>
      </c>
      <c r="O2765" s="52" t="str">
        <f t="shared" si="436"/>
        <v/>
      </c>
      <c r="P2765" s="88">
        <f t="shared" si="437"/>
        <v>0</v>
      </c>
      <c r="Q2765" s="88">
        <f t="shared" si="438"/>
        <v>0</v>
      </c>
      <c r="R2765" s="88" t="e">
        <f>-IF(Tabla14[[#This Row],[DIAS HABILES O MORA]]&lt;0,(Tabla14[[#This Row],[VALOR PRESTAMO]]*Tabla14[[#This Row],[% INTERES ]]/30*U2765))+Tabla14[[#This Row],[VALOR CUOTAS]]</f>
        <v>#VALUE!</v>
      </c>
      <c r="S2765" s="88">
        <f>-IF(Tabla14[[#This Row],[DIAS HABILES O MORA]]&lt;0,(Tabla14[[#This Row],[VALOR PRESTAMO]]*Tabla14[[#This Row],[% INTERES ]]/30*U2765))</f>
        <v>0</v>
      </c>
      <c r="T2765" s="53" t="e">
        <f>Tabla14[[#This Row],[DEUDA CAPITAL]]+Tabla14[[#This Row],[INTERES  CUOTA]]</f>
        <v>#NUM!</v>
      </c>
      <c r="U2765" s="61" t="str">
        <f t="shared" si="439"/>
        <v/>
      </c>
    </row>
    <row r="2766" spans="9:21" ht="24.75" customHeight="1" x14ac:dyDescent="0.35">
      <c r="I2766" s="42">
        <f t="shared" si="430"/>
        <v>0</v>
      </c>
      <c r="J2766" s="65" t="e">
        <f t="shared" si="431"/>
        <v>#NUM!</v>
      </c>
      <c r="K2766" s="83" t="e">
        <f t="shared" si="432"/>
        <v>#NUM!</v>
      </c>
      <c r="L2766" s="83">
        <f t="shared" si="433"/>
        <v>0</v>
      </c>
      <c r="M2766" s="110" t="str">
        <f t="shared" si="434"/>
        <v/>
      </c>
      <c r="N2766" s="51" t="str">
        <f t="shared" si="435"/>
        <v/>
      </c>
      <c r="O2766" s="52" t="str">
        <f t="shared" si="436"/>
        <v/>
      </c>
      <c r="P2766" s="88">
        <f t="shared" si="437"/>
        <v>0</v>
      </c>
      <c r="Q2766" s="88">
        <f t="shared" si="438"/>
        <v>0</v>
      </c>
      <c r="R2766" s="88" t="e">
        <f>-IF(Tabla14[[#This Row],[DIAS HABILES O MORA]]&lt;0,(Tabla14[[#This Row],[VALOR PRESTAMO]]*Tabla14[[#This Row],[% INTERES ]]/30*U2766))+Tabla14[[#This Row],[VALOR CUOTAS]]</f>
        <v>#VALUE!</v>
      </c>
      <c r="S2766" s="88">
        <f>-IF(Tabla14[[#This Row],[DIAS HABILES O MORA]]&lt;0,(Tabla14[[#This Row],[VALOR PRESTAMO]]*Tabla14[[#This Row],[% INTERES ]]/30*U2766))</f>
        <v>0</v>
      </c>
      <c r="T2766" s="53" t="e">
        <f>Tabla14[[#This Row],[DEUDA CAPITAL]]+Tabla14[[#This Row],[INTERES  CUOTA]]</f>
        <v>#NUM!</v>
      </c>
      <c r="U2766" s="61" t="str">
        <f t="shared" si="439"/>
        <v/>
      </c>
    </row>
    <row r="2767" spans="9:21" ht="24.75" customHeight="1" x14ac:dyDescent="0.35">
      <c r="I2767" s="42">
        <f t="shared" si="430"/>
        <v>0</v>
      </c>
      <c r="J2767" s="65" t="e">
        <f t="shared" si="431"/>
        <v>#NUM!</v>
      </c>
      <c r="K2767" s="83" t="e">
        <f t="shared" si="432"/>
        <v>#NUM!</v>
      </c>
      <c r="L2767" s="83">
        <f t="shared" si="433"/>
        <v>0</v>
      </c>
      <c r="M2767" s="110" t="str">
        <f t="shared" si="434"/>
        <v/>
      </c>
      <c r="N2767" s="51" t="str">
        <f t="shared" si="435"/>
        <v/>
      </c>
      <c r="O2767" s="52" t="str">
        <f t="shared" si="436"/>
        <v/>
      </c>
      <c r="P2767" s="88">
        <f t="shared" si="437"/>
        <v>0</v>
      </c>
      <c r="Q2767" s="88">
        <f t="shared" si="438"/>
        <v>0</v>
      </c>
      <c r="R2767" s="88" t="e">
        <f>-IF(Tabla14[[#This Row],[DIAS HABILES O MORA]]&lt;0,(Tabla14[[#This Row],[VALOR PRESTAMO]]*Tabla14[[#This Row],[% INTERES ]]/30*U2767))+Tabla14[[#This Row],[VALOR CUOTAS]]</f>
        <v>#VALUE!</v>
      </c>
      <c r="S2767" s="88">
        <f>-IF(Tabla14[[#This Row],[DIAS HABILES O MORA]]&lt;0,(Tabla14[[#This Row],[VALOR PRESTAMO]]*Tabla14[[#This Row],[% INTERES ]]/30*U2767))</f>
        <v>0</v>
      </c>
      <c r="T2767" s="53" t="e">
        <f>Tabla14[[#This Row],[DEUDA CAPITAL]]+Tabla14[[#This Row],[INTERES  CUOTA]]</f>
        <v>#NUM!</v>
      </c>
      <c r="U2767" s="61" t="str">
        <f t="shared" si="439"/>
        <v/>
      </c>
    </row>
    <row r="2768" spans="9:21" ht="24.75" customHeight="1" x14ac:dyDescent="0.35">
      <c r="I2768" s="42">
        <f t="shared" ref="I2768:I2831" si="440">IF(C2768&lt;0,"",IF(Q2768=0,0,IF(G2768=0,H2768+1,IF(H2768&lt;G2768,H2768+1,IF(G2768=H2768,0)))))</f>
        <v>0</v>
      </c>
      <c r="J2768" s="65" t="e">
        <f t="shared" ref="J2768:J2831" si="441">IF(F2768="SOLO INTERES",Q2768*D2768,-IPMT(D2768,I2768,G2768,C2768))</f>
        <v>#NUM!</v>
      </c>
      <c r="K2768" s="83" t="e">
        <f t="shared" ref="K2768:K2831" si="442">IF(F2768="SOLO INTERES",0,-PPMT(D2768,I2768,G2768,C2768))</f>
        <v>#NUM!</v>
      </c>
      <c r="L2768" s="83">
        <f t="shared" ref="L2768:L2831" si="443">IF(F2768="SOLO INTERES",SUM(Y2768:AAE2768),IFERROR(-CUMIPMT(D2768,G2768,C2768,1,H2768,0),0)+SUM(Y2768:WY2768))</f>
        <v>0</v>
      </c>
      <c r="M2768" s="110" t="str">
        <f t="shared" ref="M2768:M2831" si="444">IFERROR(IF(F2768="SOLO INTERES",Q2768*D2768,-PMT(D2768,G2768,C2768,0)),"")</f>
        <v/>
      </c>
      <c r="N2768" s="51" t="str">
        <f t="shared" ref="N2768:N2831" si="445">IF(Q2768=0,"",IF(E2768="MENSUAL",EDATE(B2768,I2768),IF(E2768="QUINCENAL",B2768+(I2768*15),IF(E2768="SEMANAL",B2768+(I2768*7)))))</f>
        <v/>
      </c>
      <c r="O2768" s="52" t="str">
        <f t="shared" ref="O2768:O2831" si="446">IF(C2768=0,"",IF(Q2768&lt;1,"PAGADO",IF(N2768=$A$3,"COBRAR HOY",IF(N2768&lt;$A$3,"EN MORA",IF(N2768&gt;$A$3,"AL DIA")))))</f>
        <v/>
      </c>
      <c r="P2768" s="88">
        <f t="shared" ref="P2768:P2831" si="447">IFERROR(-CUMPRINC(D2768,G2768,C2768,1,H2768,0),0)+W2768</f>
        <v>0</v>
      </c>
      <c r="Q2768" s="88">
        <f t="shared" ref="Q2768:Q2831" si="448">IFERROR(C2768-P2768,"")</f>
        <v>0</v>
      </c>
      <c r="R2768" s="88" t="e">
        <f>-IF(Tabla14[[#This Row],[DIAS HABILES O MORA]]&lt;0,(Tabla14[[#This Row],[VALOR PRESTAMO]]*Tabla14[[#This Row],[% INTERES ]]/30*U2768))+Tabla14[[#This Row],[VALOR CUOTAS]]</f>
        <v>#VALUE!</v>
      </c>
      <c r="S2768" s="88">
        <f>-IF(Tabla14[[#This Row],[DIAS HABILES O MORA]]&lt;0,(Tabla14[[#This Row],[VALOR PRESTAMO]]*Tabla14[[#This Row],[% INTERES ]]/30*U2768))</f>
        <v>0</v>
      </c>
      <c r="T2768" s="53" t="e">
        <f>Tabla14[[#This Row],[DEUDA CAPITAL]]+Tabla14[[#This Row],[INTERES  CUOTA]]</f>
        <v>#NUM!</v>
      </c>
      <c r="U2768" s="61" t="str">
        <f t="shared" ref="U2768:U2831" si="449">IF(O2768="PAGADO","",IFERROR(-IF(C2768=0,"",$A$3-N2768),""))</f>
        <v/>
      </c>
    </row>
    <row r="2769" spans="9:21" ht="24.75" customHeight="1" x14ac:dyDescent="0.35">
      <c r="I2769" s="42">
        <f t="shared" si="440"/>
        <v>0</v>
      </c>
      <c r="J2769" s="65" t="e">
        <f t="shared" si="441"/>
        <v>#NUM!</v>
      </c>
      <c r="K2769" s="83" t="e">
        <f t="shared" si="442"/>
        <v>#NUM!</v>
      </c>
      <c r="L2769" s="83">
        <f t="shared" si="443"/>
        <v>0</v>
      </c>
      <c r="M2769" s="110" t="str">
        <f t="shared" si="444"/>
        <v/>
      </c>
      <c r="N2769" s="51" t="str">
        <f t="shared" si="445"/>
        <v/>
      </c>
      <c r="O2769" s="52" t="str">
        <f t="shared" si="446"/>
        <v/>
      </c>
      <c r="P2769" s="88">
        <f t="shared" si="447"/>
        <v>0</v>
      </c>
      <c r="Q2769" s="88">
        <f t="shared" si="448"/>
        <v>0</v>
      </c>
      <c r="R2769" s="88" t="e">
        <f>-IF(Tabla14[[#This Row],[DIAS HABILES O MORA]]&lt;0,(Tabla14[[#This Row],[VALOR PRESTAMO]]*Tabla14[[#This Row],[% INTERES ]]/30*U2769))+Tabla14[[#This Row],[VALOR CUOTAS]]</f>
        <v>#VALUE!</v>
      </c>
      <c r="S2769" s="88">
        <f>-IF(Tabla14[[#This Row],[DIAS HABILES O MORA]]&lt;0,(Tabla14[[#This Row],[VALOR PRESTAMO]]*Tabla14[[#This Row],[% INTERES ]]/30*U2769))</f>
        <v>0</v>
      </c>
      <c r="T2769" s="53" t="e">
        <f>Tabla14[[#This Row],[DEUDA CAPITAL]]+Tabla14[[#This Row],[INTERES  CUOTA]]</f>
        <v>#NUM!</v>
      </c>
      <c r="U2769" s="61" t="str">
        <f t="shared" si="449"/>
        <v/>
      </c>
    </row>
    <row r="2770" spans="9:21" ht="24.75" customHeight="1" x14ac:dyDescent="0.35">
      <c r="I2770" s="42">
        <f t="shared" si="440"/>
        <v>0</v>
      </c>
      <c r="J2770" s="65" t="e">
        <f t="shared" si="441"/>
        <v>#NUM!</v>
      </c>
      <c r="K2770" s="83" t="e">
        <f t="shared" si="442"/>
        <v>#NUM!</v>
      </c>
      <c r="L2770" s="83">
        <f t="shared" si="443"/>
        <v>0</v>
      </c>
      <c r="M2770" s="110" t="str">
        <f t="shared" si="444"/>
        <v/>
      </c>
      <c r="N2770" s="51" t="str">
        <f t="shared" si="445"/>
        <v/>
      </c>
      <c r="O2770" s="52" t="str">
        <f t="shared" si="446"/>
        <v/>
      </c>
      <c r="P2770" s="88">
        <f t="shared" si="447"/>
        <v>0</v>
      </c>
      <c r="Q2770" s="88">
        <f t="shared" si="448"/>
        <v>0</v>
      </c>
      <c r="R2770" s="88" t="e">
        <f>-IF(Tabla14[[#This Row],[DIAS HABILES O MORA]]&lt;0,(Tabla14[[#This Row],[VALOR PRESTAMO]]*Tabla14[[#This Row],[% INTERES ]]/30*U2770))+Tabla14[[#This Row],[VALOR CUOTAS]]</f>
        <v>#VALUE!</v>
      </c>
      <c r="S2770" s="88">
        <f>-IF(Tabla14[[#This Row],[DIAS HABILES O MORA]]&lt;0,(Tabla14[[#This Row],[VALOR PRESTAMO]]*Tabla14[[#This Row],[% INTERES ]]/30*U2770))</f>
        <v>0</v>
      </c>
      <c r="T2770" s="53" t="e">
        <f>Tabla14[[#This Row],[DEUDA CAPITAL]]+Tabla14[[#This Row],[INTERES  CUOTA]]</f>
        <v>#NUM!</v>
      </c>
      <c r="U2770" s="61" t="str">
        <f t="shared" si="449"/>
        <v/>
      </c>
    </row>
    <row r="2771" spans="9:21" ht="24.75" customHeight="1" x14ac:dyDescent="0.35">
      <c r="I2771" s="42">
        <f t="shared" si="440"/>
        <v>0</v>
      </c>
      <c r="J2771" s="65" t="e">
        <f t="shared" si="441"/>
        <v>#NUM!</v>
      </c>
      <c r="K2771" s="83" t="e">
        <f t="shared" si="442"/>
        <v>#NUM!</v>
      </c>
      <c r="L2771" s="83">
        <f t="shared" si="443"/>
        <v>0</v>
      </c>
      <c r="M2771" s="110" t="str">
        <f t="shared" si="444"/>
        <v/>
      </c>
      <c r="N2771" s="51" t="str">
        <f t="shared" si="445"/>
        <v/>
      </c>
      <c r="O2771" s="52" t="str">
        <f t="shared" si="446"/>
        <v/>
      </c>
      <c r="P2771" s="88">
        <f t="shared" si="447"/>
        <v>0</v>
      </c>
      <c r="Q2771" s="88">
        <f t="shared" si="448"/>
        <v>0</v>
      </c>
      <c r="R2771" s="88" t="e">
        <f>-IF(Tabla14[[#This Row],[DIAS HABILES O MORA]]&lt;0,(Tabla14[[#This Row],[VALOR PRESTAMO]]*Tabla14[[#This Row],[% INTERES ]]/30*U2771))+Tabla14[[#This Row],[VALOR CUOTAS]]</f>
        <v>#VALUE!</v>
      </c>
      <c r="S2771" s="88">
        <f>-IF(Tabla14[[#This Row],[DIAS HABILES O MORA]]&lt;0,(Tabla14[[#This Row],[VALOR PRESTAMO]]*Tabla14[[#This Row],[% INTERES ]]/30*U2771))</f>
        <v>0</v>
      </c>
      <c r="T2771" s="53" t="e">
        <f>Tabla14[[#This Row],[DEUDA CAPITAL]]+Tabla14[[#This Row],[INTERES  CUOTA]]</f>
        <v>#NUM!</v>
      </c>
      <c r="U2771" s="61" t="str">
        <f t="shared" si="449"/>
        <v/>
      </c>
    </row>
    <row r="2772" spans="9:21" ht="24.75" customHeight="1" x14ac:dyDescent="0.35">
      <c r="I2772" s="42">
        <f t="shared" si="440"/>
        <v>0</v>
      </c>
      <c r="J2772" s="65" t="e">
        <f t="shared" si="441"/>
        <v>#NUM!</v>
      </c>
      <c r="K2772" s="83" t="e">
        <f t="shared" si="442"/>
        <v>#NUM!</v>
      </c>
      <c r="L2772" s="83">
        <f t="shared" si="443"/>
        <v>0</v>
      </c>
      <c r="M2772" s="110" t="str">
        <f t="shared" si="444"/>
        <v/>
      </c>
      <c r="N2772" s="51" t="str">
        <f t="shared" si="445"/>
        <v/>
      </c>
      <c r="O2772" s="52" t="str">
        <f t="shared" si="446"/>
        <v/>
      </c>
      <c r="P2772" s="88">
        <f t="shared" si="447"/>
        <v>0</v>
      </c>
      <c r="Q2772" s="88">
        <f t="shared" si="448"/>
        <v>0</v>
      </c>
      <c r="R2772" s="88" t="e">
        <f>-IF(Tabla14[[#This Row],[DIAS HABILES O MORA]]&lt;0,(Tabla14[[#This Row],[VALOR PRESTAMO]]*Tabla14[[#This Row],[% INTERES ]]/30*U2772))+Tabla14[[#This Row],[VALOR CUOTAS]]</f>
        <v>#VALUE!</v>
      </c>
      <c r="S2772" s="88">
        <f>-IF(Tabla14[[#This Row],[DIAS HABILES O MORA]]&lt;0,(Tabla14[[#This Row],[VALOR PRESTAMO]]*Tabla14[[#This Row],[% INTERES ]]/30*U2772))</f>
        <v>0</v>
      </c>
      <c r="T2772" s="53" t="e">
        <f>Tabla14[[#This Row],[DEUDA CAPITAL]]+Tabla14[[#This Row],[INTERES  CUOTA]]</f>
        <v>#NUM!</v>
      </c>
      <c r="U2772" s="61" t="str">
        <f t="shared" si="449"/>
        <v/>
      </c>
    </row>
    <row r="2773" spans="9:21" ht="24.75" customHeight="1" x14ac:dyDescent="0.35">
      <c r="I2773" s="42">
        <f t="shared" si="440"/>
        <v>0</v>
      </c>
      <c r="J2773" s="65" t="e">
        <f t="shared" si="441"/>
        <v>#NUM!</v>
      </c>
      <c r="K2773" s="83" t="e">
        <f t="shared" si="442"/>
        <v>#NUM!</v>
      </c>
      <c r="L2773" s="83">
        <f t="shared" si="443"/>
        <v>0</v>
      </c>
      <c r="M2773" s="110" t="str">
        <f t="shared" si="444"/>
        <v/>
      </c>
      <c r="N2773" s="51" t="str">
        <f t="shared" si="445"/>
        <v/>
      </c>
      <c r="O2773" s="52" t="str">
        <f t="shared" si="446"/>
        <v/>
      </c>
      <c r="P2773" s="88">
        <f t="shared" si="447"/>
        <v>0</v>
      </c>
      <c r="Q2773" s="88">
        <f t="shared" si="448"/>
        <v>0</v>
      </c>
      <c r="R2773" s="88" t="e">
        <f>-IF(Tabla14[[#This Row],[DIAS HABILES O MORA]]&lt;0,(Tabla14[[#This Row],[VALOR PRESTAMO]]*Tabla14[[#This Row],[% INTERES ]]/30*U2773))+Tabla14[[#This Row],[VALOR CUOTAS]]</f>
        <v>#VALUE!</v>
      </c>
      <c r="S2773" s="88">
        <f>-IF(Tabla14[[#This Row],[DIAS HABILES O MORA]]&lt;0,(Tabla14[[#This Row],[VALOR PRESTAMO]]*Tabla14[[#This Row],[% INTERES ]]/30*U2773))</f>
        <v>0</v>
      </c>
      <c r="T2773" s="53" t="e">
        <f>Tabla14[[#This Row],[DEUDA CAPITAL]]+Tabla14[[#This Row],[INTERES  CUOTA]]</f>
        <v>#NUM!</v>
      </c>
      <c r="U2773" s="61" t="str">
        <f t="shared" si="449"/>
        <v/>
      </c>
    </row>
    <row r="2774" spans="9:21" ht="24.75" customHeight="1" x14ac:dyDescent="0.35">
      <c r="I2774" s="42">
        <f t="shared" si="440"/>
        <v>0</v>
      </c>
      <c r="J2774" s="65" t="e">
        <f t="shared" si="441"/>
        <v>#NUM!</v>
      </c>
      <c r="K2774" s="83" t="e">
        <f t="shared" si="442"/>
        <v>#NUM!</v>
      </c>
      <c r="L2774" s="83">
        <f t="shared" si="443"/>
        <v>0</v>
      </c>
      <c r="M2774" s="110" t="str">
        <f t="shared" si="444"/>
        <v/>
      </c>
      <c r="N2774" s="51" t="str">
        <f t="shared" si="445"/>
        <v/>
      </c>
      <c r="O2774" s="52" t="str">
        <f t="shared" si="446"/>
        <v/>
      </c>
      <c r="P2774" s="88">
        <f t="shared" si="447"/>
        <v>0</v>
      </c>
      <c r="Q2774" s="88">
        <f t="shared" si="448"/>
        <v>0</v>
      </c>
      <c r="R2774" s="88" t="e">
        <f>-IF(Tabla14[[#This Row],[DIAS HABILES O MORA]]&lt;0,(Tabla14[[#This Row],[VALOR PRESTAMO]]*Tabla14[[#This Row],[% INTERES ]]/30*U2774))+Tabla14[[#This Row],[VALOR CUOTAS]]</f>
        <v>#VALUE!</v>
      </c>
      <c r="S2774" s="88">
        <f>-IF(Tabla14[[#This Row],[DIAS HABILES O MORA]]&lt;0,(Tabla14[[#This Row],[VALOR PRESTAMO]]*Tabla14[[#This Row],[% INTERES ]]/30*U2774))</f>
        <v>0</v>
      </c>
      <c r="T2774" s="53" t="e">
        <f>Tabla14[[#This Row],[DEUDA CAPITAL]]+Tabla14[[#This Row],[INTERES  CUOTA]]</f>
        <v>#NUM!</v>
      </c>
      <c r="U2774" s="61" t="str">
        <f t="shared" si="449"/>
        <v/>
      </c>
    </row>
    <row r="2775" spans="9:21" ht="24.75" customHeight="1" x14ac:dyDescent="0.35">
      <c r="I2775" s="42">
        <f t="shared" si="440"/>
        <v>0</v>
      </c>
      <c r="J2775" s="65" t="e">
        <f t="shared" si="441"/>
        <v>#NUM!</v>
      </c>
      <c r="K2775" s="83" t="e">
        <f t="shared" si="442"/>
        <v>#NUM!</v>
      </c>
      <c r="L2775" s="83">
        <f t="shared" si="443"/>
        <v>0</v>
      </c>
      <c r="M2775" s="110" t="str">
        <f t="shared" si="444"/>
        <v/>
      </c>
      <c r="N2775" s="51" t="str">
        <f t="shared" si="445"/>
        <v/>
      </c>
      <c r="O2775" s="52" t="str">
        <f t="shared" si="446"/>
        <v/>
      </c>
      <c r="P2775" s="88">
        <f t="shared" si="447"/>
        <v>0</v>
      </c>
      <c r="Q2775" s="88">
        <f t="shared" si="448"/>
        <v>0</v>
      </c>
      <c r="R2775" s="88" t="e">
        <f>-IF(Tabla14[[#This Row],[DIAS HABILES O MORA]]&lt;0,(Tabla14[[#This Row],[VALOR PRESTAMO]]*Tabla14[[#This Row],[% INTERES ]]/30*U2775))+Tabla14[[#This Row],[VALOR CUOTAS]]</f>
        <v>#VALUE!</v>
      </c>
      <c r="S2775" s="88">
        <f>-IF(Tabla14[[#This Row],[DIAS HABILES O MORA]]&lt;0,(Tabla14[[#This Row],[VALOR PRESTAMO]]*Tabla14[[#This Row],[% INTERES ]]/30*U2775))</f>
        <v>0</v>
      </c>
      <c r="T2775" s="53" t="e">
        <f>Tabla14[[#This Row],[DEUDA CAPITAL]]+Tabla14[[#This Row],[INTERES  CUOTA]]</f>
        <v>#NUM!</v>
      </c>
      <c r="U2775" s="61" t="str">
        <f t="shared" si="449"/>
        <v/>
      </c>
    </row>
    <row r="2776" spans="9:21" ht="24.75" customHeight="1" x14ac:dyDescent="0.35">
      <c r="I2776" s="42">
        <f t="shared" si="440"/>
        <v>0</v>
      </c>
      <c r="J2776" s="65" t="e">
        <f t="shared" si="441"/>
        <v>#NUM!</v>
      </c>
      <c r="K2776" s="83" t="e">
        <f t="shared" si="442"/>
        <v>#NUM!</v>
      </c>
      <c r="L2776" s="83">
        <f t="shared" si="443"/>
        <v>0</v>
      </c>
      <c r="M2776" s="110" t="str">
        <f t="shared" si="444"/>
        <v/>
      </c>
      <c r="N2776" s="51" t="str">
        <f t="shared" si="445"/>
        <v/>
      </c>
      <c r="O2776" s="52" t="str">
        <f t="shared" si="446"/>
        <v/>
      </c>
      <c r="P2776" s="88">
        <f t="shared" si="447"/>
        <v>0</v>
      </c>
      <c r="Q2776" s="88">
        <f t="shared" si="448"/>
        <v>0</v>
      </c>
      <c r="R2776" s="88" t="e">
        <f>-IF(Tabla14[[#This Row],[DIAS HABILES O MORA]]&lt;0,(Tabla14[[#This Row],[VALOR PRESTAMO]]*Tabla14[[#This Row],[% INTERES ]]/30*U2776))+Tabla14[[#This Row],[VALOR CUOTAS]]</f>
        <v>#VALUE!</v>
      </c>
      <c r="S2776" s="88">
        <f>-IF(Tabla14[[#This Row],[DIAS HABILES O MORA]]&lt;0,(Tabla14[[#This Row],[VALOR PRESTAMO]]*Tabla14[[#This Row],[% INTERES ]]/30*U2776))</f>
        <v>0</v>
      </c>
      <c r="T2776" s="53" t="e">
        <f>Tabla14[[#This Row],[DEUDA CAPITAL]]+Tabla14[[#This Row],[INTERES  CUOTA]]</f>
        <v>#NUM!</v>
      </c>
      <c r="U2776" s="61" t="str">
        <f t="shared" si="449"/>
        <v/>
      </c>
    </row>
    <row r="2777" spans="9:21" ht="24.75" customHeight="1" x14ac:dyDescent="0.35">
      <c r="I2777" s="42">
        <f t="shared" si="440"/>
        <v>0</v>
      </c>
      <c r="J2777" s="65" t="e">
        <f t="shared" si="441"/>
        <v>#NUM!</v>
      </c>
      <c r="K2777" s="83" t="e">
        <f t="shared" si="442"/>
        <v>#NUM!</v>
      </c>
      <c r="L2777" s="83">
        <f t="shared" si="443"/>
        <v>0</v>
      </c>
      <c r="M2777" s="110" t="str">
        <f t="shared" si="444"/>
        <v/>
      </c>
      <c r="N2777" s="51" t="str">
        <f t="shared" si="445"/>
        <v/>
      </c>
      <c r="O2777" s="52" t="str">
        <f t="shared" si="446"/>
        <v/>
      </c>
      <c r="P2777" s="88">
        <f t="shared" si="447"/>
        <v>0</v>
      </c>
      <c r="Q2777" s="88">
        <f t="shared" si="448"/>
        <v>0</v>
      </c>
      <c r="R2777" s="88" t="e">
        <f>-IF(Tabla14[[#This Row],[DIAS HABILES O MORA]]&lt;0,(Tabla14[[#This Row],[VALOR PRESTAMO]]*Tabla14[[#This Row],[% INTERES ]]/30*U2777))+Tabla14[[#This Row],[VALOR CUOTAS]]</f>
        <v>#VALUE!</v>
      </c>
      <c r="S2777" s="88">
        <f>-IF(Tabla14[[#This Row],[DIAS HABILES O MORA]]&lt;0,(Tabla14[[#This Row],[VALOR PRESTAMO]]*Tabla14[[#This Row],[% INTERES ]]/30*U2777))</f>
        <v>0</v>
      </c>
      <c r="T2777" s="53" t="e">
        <f>Tabla14[[#This Row],[DEUDA CAPITAL]]+Tabla14[[#This Row],[INTERES  CUOTA]]</f>
        <v>#NUM!</v>
      </c>
      <c r="U2777" s="61" t="str">
        <f t="shared" si="449"/>
        <v/>
      </c>
    </row>
    <row r="2778" spans="9:21" ht="24.75" customHeight="1" x14ac:dyDescent="0.35">
      <c r="I2778" s="42">
        <f t="shared" si="440"/>
        <v>0</v>
      </c>
      <c r="J2778" s="65" t="e">
        <f t="shared" si="441"/>
        <v>#NUM!</v>
      </c>
      <c r="K2778" s="83" t="e">
        <f t="shared" si="442"/>
        <v>#NUM!</v>
      </c>
      <c r="L2778" s="83">
        <f t="shared" si="443"/>
        <v>0</v>
      </c>
      <c r="M2778" s="110" t="str">
        <f t="shared" si="444"/>
        <v/>
      </c>
      <c r="N2778" s="51" t="str">
        <f t="shared" si="445"/>
        <v/>
      </c>
      <c r="O2778" s="52" t="str">
        <f t="shared" si="446"/>
        <v/>
      </c>
      <c r="P2778" s="88">
        <f t="shared" si="447"/>
        <v>0</v>
      </c>
      <c r="Q2778" s="88">
        <f t="shared" si="448"/>
        <v>0</v>
      </c>
      <c r="R2778" s="88" t="e">
        <f>-IF(Tabla14[[#This Row],[DIAS HABILES O MORA]]&lt;0,(Tabla14[[#This Row],[VALOR PRESTAMO]]*Tabla14[[#This Row],[% INTERES ]]/30*U2778))+Tabla14[[#This Row],[VALOR CUOTAS]]</f>
        <v>#VALUE!</v>
      </c>
      <c r="S2778" s="88">
        <f>-IF(Tabla14[[#This Row],[DIAS HABILES O MORA]]&lt;0,(Tabla14[[#This Row],[VALOR PRESTAMO]]*Tabla14[[#This Row],[% INTERES ]]/30*U2778))</f>
        <v>0</v>
      </c>
      <c r="T2778" s="53" t="e">
        <f>Tabla14[[#This Row],[DEUDA CAPITAL]]+Tabla14[[#This Row],[INTERES  CUOTA]]</f>
        <v>#NUM!</v>
      </c>
      <c r="U2778" s="61" t="str">
        <f t="shared" si="449"/>
        <v/>
      </c>
    </row>
    <row r="2779" spans="9:21" ht="24.75" customHeight="1" x14ac:dyDescent="0.35">
      <c r="I2779" s="42">
        <f t="shared" si="440"/>
        <v>0</v>
      </c>
      <c r="J2779" s="65" t="e">
        <f t="shared" si="441"/>
        <v>#NUM!</v>
      </c>
      <c r="K2779" s="83" t="e">
        <f t="shared" si="442"/>
        <v>#NUM!</v>
      </c>
      <c r="L2779" s="83">
        <f t="shared" si="443"/>
        <v>0</v>
      </c>
      <c r="M2779" s="110" t="str">
        <f t="shared" si="444"/>
        <v/>
      </c>
      <c r="N2779" s="51" t="str">
        <f t="shared" si="445"/>
        <v/>
      </c>
      <c r="O2779" s="52" t="str">
        <f t="shared" si="446"/>
        <v/>
      </c>
      <c r="P2779" s="88">
        <f t="shared" si="447"/>
        <v>0</v>
      </c>
      <c r="Q2779" s="88">
        <f t="shared" si="448"/>
        <v>0</v>
      </c>
      <c r="R2779" s="88" t="e">
        <f>-IF(Tabla14[[#This Row],[DIAS HABILES O MORA]]&lt;0,(Tabla14[[#This Row],[VALOR PRESTAMO]]*Tabla14[[#This Row],[% INTERES ]]/30*U2779))+Tabla14[[#This Row],[VALOR CUOTAS]]</f>
        <v>#VALUE!</v>
      </c>
      <c r="S2779" s="88">
        <f>-IF(Tabla14[[#This Row],[DIAS HABILES O MORA]]&lt;0,(Tabla14[[#This Row],[VALOR PRESTAMO]]*Tabla14[[#This Row],[% INTERES ]]/30*U2779))</f>
        <v>0</v>
      </c>
      <c r="T2779" s="53" t="e">
        <f>Tabla14[[#This Row],[DEUDA CAPITAL]]+Tabla14[[#This Row],[INTERES  CUOTA]]</f>
        <v>#NUM!</v>
      </c>
      <c r="U2779" s="61" t="str">
        <f t="shared" si="449"/>
        <v/>
      </c>
    </row>
    <row r="2780" spans="9:21" ht="24.75" customHeight="1" x14ac:dyDescent="0.35">
      <c r="I2780" s="42">
        <f t="shared" si="440"/>
        <v>0</v>
      </c>
      <c r="J2780" s="65" t="e">
        <f t="shared" si="441"/>
        <v>#NUM!</v>
      </c>
      <c r="K2780" s="83" t="e">
        <f t="shared" si="442"/>
        <v>#NUM!</v>
      </c>
      <c r="L2780" s="83">
        <f t="shared" si="443"/>
        <v>0</v>
      </c>
      <c r="M2780" s="110" t="str">
        <f t="shared" si="444"/>
        <v/>
      </c>
      <c r="N2780" s="51" t="str">
        <f t="shared" si="445"/>
        <v/>
      </c>
      <c r="O2780" s="52" t="str">
        <f t="shared" si="446"/>
        <v/>
      </c>
      <c r="P2780" s="88">
        <f t="shared" si="447"/>
        <v>0</v>
      </c>
      <c r="Q2780" s="88">
        <f t="shared" si="448"/>
        <v>0</v>
      </c>
      <c r="R2780" s="88" t="e">
        <f>-IF(Tabla14[[#This Row],[DIAS HABILES O MORA]]&lt;0,(Tabla14[[#This Row],[VALOR PRESTAMO]]*Tabla14[[#This Row],[% INTERES ]]/30*U2780))+Tabla14[[#This Row],[VALOR CUOTAS]]</f>
        <v>#VALUE!</v>
      </c>
      <c r="S2780" s="88">
        <f>-IF(Tabla14[[#This Row],[DIAS HABILES O MORA]]&lt;0,(Tabla14[[#This Row],[VALOR PRESTAMO]]*Tabla14[[#This Row],[% INTERES ]]/30*U2780))</f>
        <v>0</v>
      </c>
      <c r="T2780" s="53" t="e">
        <f>Tabla14[[#This Row],[DEUDA CAPITAL]]+Tabla14[[#This Row],[INTERES  CUOTA]]</f>
        <v>#NUM!</v>
      </c>
      <c r="U2780" s="61" t="str">
        <f t="shared" si="449"/>
        <v/>
      </c>
    </row>
    <row r="2781" spans="9:21" ht="24.75" customHeight="1" x14ac:dyDescent="0.35">
      <c r="I2781" s="42">
        <f t="shared" si="440"/>
        <v>0</v>
      </c>
      <c r="J2781" s="65" t="e">
        <f t="shared" si="441"/>
        <v>#NUM!</v>
      </c>
      <c r="K2781" s="83" t="e">
        <f t="shared" si="442"/>
        <v>#NUM!</v>
      </c>
      <c r="L2781" s="83">
        <f t="shared" si="443"/>
        <v>0</v>
      </c>
      <c r="M2781" s="110" t="str">
        <f t="shared" si="444"/>
        <v/>
      </c>
      <c r="N2781" s="51" t="str">
        <f t="shared" si="445"/>
        <v/>
      </c>
      <c r="O2781" s="52" t="str">
        <f t="shared" si="446"/>
        <v/>
      </c>
      <c r="P2781" s="88">
        <f t="shared" si="447"/>
        <v>0</v>
      </c>
      <c r="Q2781" s="88">
        <f t="shared" si="448"/>
        <v>0</v>
      </c>
      <c r="R2781" s="88" t="e">
        <f>-IF(Tabla14[[#This Row],[DIAS HABILES O MORA]]&lt;0,(Tabla14[[#This Row],[VALOR PRESTAMO]]*Tabla14[[#This Row],[% INTERES ]]/30*U2781))+Tabla14[[#This Row],[VALOR CUOTAS]]</f>
        <v>#VALUE!</v>
      </c>
      <c r="S2781" s="88">
        <f>-IF(Tabla14[[#This Row],[DIAS HABILES O MORA]]&lt;0,(Tabla14[[#This Row],[VALOR PRESTAMO]]*Tabla14[[#This Row],[% INTERES ]]/30*U2781))</f>
        <v>0</v>
      </c>
      <c r="T2781" s="53" t="e">
        <f>Tabla14[[#This Row],[DEUDA CAPITAL]]+Tabla14[[#This Row],[INTERES  CUOTA]]</f>
        <v>#NUM!</v>
      </c>
      <c r="U2781" s="61" t="str">
        <f t="shared" si="449"/>
        <v/>
      </c>
    </row>
    <row r="2782" spans="9:21" ht="24.75" customHeight="1" x14ac:dyDescent="0.35">
      <c r="I2782" s="42">
        <f t="shared" si="440"/>
        <v>0</v>
      </c>
      <c r="J2782" s="65" t="e">
        <f t="shared" si="441"/>
        <v>#NUM!</v>
      </c>
      <c r="K2782" s="83" t="e">
        <f t="shared" si="442"/>
        <v>#NUM!</v>
      </c>
      <c r="L2782" s="83">
        <f t="shared" si="443"/>
        <v>0</v>
      </c>
      <c r="M2782" s="110" t="str">
        <f t="shared" si="444"/>
        <v/>
      </c>
      <c r="N2782" s="51" t="str">
        <f t="shared" si="445"/>
        <v/>
      </c>
      <c r="O2782" s="52" t="str">
        <f t="shared" si="446"/>
        <v/>
      </c>
      <c r="P2782" s="88">
        <f t="shared" si="447"/>
        <v>0</v>
      </c>
      <c r="Q2782" s="88">
        <f t="shared" si="448"/>
        <v>0</v>
      </c>
      <c r="R2782" s="88" t="e">
        <f>-IF(Tabla14[[#This Row],[DIAS HABILES O MORA]]&lt;0,(Tabla14[[#This Row],[VALOR PRESTAMO]]*Tabla14[[#This Row],[% INTERES ]]/30*U2782))+Tabla14[[#This Row],[VALOR CUOTAS]]</f>
        <v>#VALUE!</v>
      </c>
      <c r="S2782" s="88">
        <f>-IF(Tabla14[[#This Row],[DIAS HABILES O MORA]]&lt;0,(Tabla14[[#This Row],[VALOR PRESTAMO]]*Tabla14[[#This Row],[% INTERES ]]/30*U2782))</f>
        <v>0</v>
      </c>
      <c r="T2782" s="53" t="e">
        <f>Tabla14[[#This Row],[DEUDA CAPITAL]]+Tabla14[[#This Row],[INTERES  CUOTA]]</f>
        <v>#NUM!</v>
      </c>
      <c r="U2782" s="61" t="str">
        <f t="shared" si="449"/>
        <v/>
      </c>
    </row>
    <row r="2783" spans="9:21" ht="24.75" customHeight="1" x14ac:dyDescent="0.35">
      <c r="I2783" s="42">
        <f t="shared" si="440"/>
        <v>0</v>
      </c>
      <c r="J2783" s="65" t="e">
        <f t="shared" si="441"/>
        <v>#NUM!</v>
      </c>
      <c r="K2783" s="83" t="e">
        <f t="shared" si="442"/>
        <v>#NUM!</v>
      </c>
      <c r="L2783" s="83">
        <f t="shared" si="443"/>
        <v>0</v>
      </c>
      <c r="M2783" s="110" t="str">
        <f t="shared" si="444"/>
        <v/>
      </c>
      <c r="N2783" s="51" t="str">
        <f t="shared" si="445"/>
        <v/>
      </c>
      <c r="O2783" s="52" t="str">
        <f t="shared" si="446"/>
        <v/>
      </c>
      <c r="P2783" s="88">
        <f t="shared" si="447"/>
        <v>0</v>
      </c>
      <c r="Q2783" s="88">
        <f t="shared" si="448"/>
        <v>0</v>
      </c>
      <c r="R2783" s="88" t="e">
        <f>-IF(Tabla14[[#This Row],[DIAS HABILES O MORA]]&lt;0,(Tabla14[[#This Row],[VALOR PRESTAMO]]*Tabla14[[#This Row],[% INTERES ]]/30*U2783))+Tabla14[[#This Row],[VALOR CUOTAS]]</f>
        <v>#VALUE!</v>
      </c>
      <c r="S2783" s="88">
        <f>-IF(Tabla14[[#This Row],[DIAS HABILES O MORA]]&lt;0,(Tabla14[[#This Row],[VALOR PRESTAMO]]*Tabla14[[#This Row],[% INTERES ]]/30*U2783))</f>
        <v>0</v>
      </c>
      <c r="T2783" s="53" t="e">
        <f>Tabla14[[#This Row],[DEUDA CAPITAL]]+Tabla14[[#This Row],[INTERES  CUOTA]]</f>
        <v>#NUM!</v>
      </c>
      <c r="U2783" s="61" t="str">
        <f t="shared" si="449"/>
        <v/>
      </c>
    </row>
    <row r="2784" spans="9:21" ht="24.75" customHeight="1" x14ac:dyDescent="0.35">
      <c r="I2784" s="42">
        <f t="shared" si="440"/>
        <v>0</v>
      </c>
      <c r="J2784" s="65" t="e">
        <f t="shared" si="441"/>
        <v>#NUM!</v>
      </c>
      <c r="K2784" s="83" t="e">
        <f t="shared" si="442"/>
        <v>#NUM!</v>
      </c>
      <c r="L2784" s="83">
        <f t="shared" si="443"/>
        <v>0</v>
      </c>
      <c r="M2784" s="110" t="str">
        <f t="shared" si="444"/>
        <v/>
      </c>
      <c r="N2784" s="51" t="str">
        <f t="shared" si="445"/>
        <v/>
      </c>
      <c r="O2784" s="52" t="str">
        <f t="shared" si="446"/>
        <v/>
      </c>
      <c r="P2784" s="88">
        <f t="shared" si="447"/>
        <v>0</v>
      </c>
      <c r="Q2784" s="88">
        <f t="shared" si="448"/>
        <v>0</v>
      </c>
      <c r="R2784" s="88" t="e">
        <f>-IF(Tabla14[[#This Row],[DIAS HABILES O MORA]]&lt;0,(Tabla14[[#This Row],[VALOR PRESTAMO]]*Tabla14[[#This Row],[% INTERES ]]/30*U2784))+Tabla14[[#This Row],[VALOR CUOTAS]]</f>
        <v>#VALUE!</v>
      </c>
      <c r="S2784" s="88">
        <f>-IF(Tabla14[[#This Row],[DIAS HABILES O MORA]]&lt;0,(Tabla14[[#This Row],[VALOR PRESTAMO]]*Tabla14[[#This Row],[% INTERES ]]/30*U2784))</f>
        <v>0</v>
      </c>
      <c r="T2784" s="53" t="e">
        <f>Tabla14[[#This Row],[DEUDA CAPITAL]]+Tabla14[[#This Row],[INTERES  CUOTA]]</f>
        <v>#NUM!</v>
      </c>
      <c r="U2784" s="61" t="str">
        <f t="shared" si="449"/>
        <v/>
      </c>
    </row>
    <row r="2785" spans="9:21" ht="24.75" customHeight="1" x14ac:dyDescent="0.35">
      <c r="I2785" s="42">
        <f t="shared" si="440"/>
        <v>0</v>
      </c>
      <c r="J2785" s="65" t="e">
        <f t="shared" si="441"/>
        <v>#NUM!</v>
      </c>
      <c r="K2785" s="83" t="e">
        <f t="shared" si="442"/>
        <v>#NUM!</v>
      </c>
      <c r="L2785" s="83">
        <f t="shared" si="443"/>
        <v>0</v>
      </c>
      <c r="M2785" s="110" t="str">
        <f t="shared" si="444"/>
        <v/>
      </c>
      <c r="N2785" s="51" t="str">
        <f t="shared" si="445"/>
        <v/>
      </c>
      <c r="O2785" s="52" t="str">
        <f t="shared" si="446"/>
        <v/>
      </c>
      <c r="P2785" s="88">
        <f t="shared" si="447"/>
        <v>0</v>
      </c>
      <c r="Q2785" s="88">
        <f t="shared" si="448"/>
        <v>0</v>
      </c>
      <c r="R2785" s="88" t="e">
        <f>-IF(Tabla14[[#This Row],[DIAS HABILES O MORA]]&lt;0,(Tabla14[[#This Row],[VALOR PRESTAMO]]*Tabla14[[#This Row],[% INTERES ]]/30*U2785))+Tabla14[[#This Row],[VALOR CUOTAS]]</f>
        <v>#VALUE!</v>
      </c>
      <c r="S2785" s="88">
        <f>-IF(Tabla14[[#This Row],[DIAS HABILES O MORA]]&lt;0,(Tabla14[[#This Row],[VALOR PRESTAMO]]*Tabla14[[#This Row],[% INTERES ]]/30*U2785))</f>
        <v>0</v>
      </c>
      <c r="T2785" s="53" t="e">
        <f>Tabla14[[#This Row],[DEUDA CAPITAL]]+Tabla14[[#This Row],[INTERES  CUOTA]]</f>
        <v>#NUM!</v>
      </c>
      <c r="U2785" s="61" t="str">
        <f t="shared" si="449"/>
        <v/>
      </c>
    </row>
    <row r="2786" spans="9:21" ht="24.75" customHeight="1" x14ac:dyDescent="0.35">
      <c r="I2786" s="42">
        <f t="shared" si="440"/>
        <v>0</v>
      </c>
      <c r="J2786" s="65" t="e">
        <f t="shared" si="441"/>
        <v>#NUM!</v>
      </c>
      <c r="K2786" s="83" t="e">
        <f t="shared" si="442"/>
        <v>#NUM!</v>
      </c>
      <c r="L2786" s="83">
        <f t="shared" si="443"/>
        <v>0</v>
      </c>
      <c r="M2786" s="110" t="str">
        <f t="shared" si="444"/>
        <v/>
      </c>
      <c r="N2786" s="51" t="str">
        <f t="shared" si="445"/>
        <v/>
      </c>
      <c r="O2786" s="52" t="str">
        <f t="shared" si="446"/>
        <v/>
      </c>
      <c r="P2786" s="88">
        <f t="shared" si="447"/>
        <v>0</v>
      </c>
      <c r="Q2786" s="88">
        <f t="shared" si="448"/>
        <v>0</v>
      </c>
      <c r="R2786" s="88" t="e">
        <f>-IF(Tabla14[[#This Row],[DIAS HABILES O MORA]]&lt;0,(Tabla14[[#This Row],[VALOR PRESTAMO]]*Tabla14[[#This Row],[% INTERES ]]/30*U2786))+Tabla14[[#This Row],[VALOR CUOTAS]]</f>
        <v>#VALUE!</v>
      </c>
      <c r="S2786" s="88">
        <f>-IF(Tabla14[[#This Row],[DIAS HABILES O MORA]]&lt;0,(Tabla14[[#This Row],[VALOR PRESTAMO]]*Tabla14[[#This Row],[% INTERES ]]/30*U2786))</f>
        <v>0</v>
      </c>
      <c r="T2786" s="53" t="e">
        <f>Tabla14[[#This Row],[DEUDA CAPITAL]]+Tabla14[[#This Row],[INTERES  CUOTA]]</f>
        <v>#NUM!</v>
      </c>
      <c r="U2786" s="61" t="str">
        <f t="shared" si="449"/>
        <v/>
      </c>
    </row>
    <row r="2787" spans="9:21" ht="24.75" customHeight="1" x14ac:dyDescent="0.35">
      <c r="I2787" s="42">
        <f t="shared" si="440"/>
        <v>0</v>
      </c>
      <c r="J2787" s="65" t="e">
        <f t="shared" si="441"/>
        <v>#NUM!</v>
      </c>
      <c r="K2787" s="83" t="e">
        <f t="shared" si="442"/>
        <v>#NUM!</v>
      </c>
      <c r="L2787" s="83">
        <f t="shared" si="443"/>
        <v>0</v>
      </c>
      <c r="M2787" s="110" t="str">
        <f t="shared" si="444"/>
        <v/>
      </c>
      <c r="N2787" s="51" t="str">
        <f t="shared" si="445"/>
        <v/>
      </c>
      <c r="O2787" s="52" t="str">
        <f t="shared" si="446"/>
        <v/>
      </c>
      <c r="P2787" s="88">
        <f t="shared" si="447"/>
        <v>0</v>
      </c>
      <c r="Q2787" s="88">
        <f t="shared" si="448"/>
        <v>0</v>
      </c>
      <c r="R2787" s="88" t="e">
        <f>-IF(Tabla14[[#This Row],[DIAS HABILES O MORA]]&lt;0,(Tabla14[[#This Row],[VALOR PRESTAMO]]*Tabla14[[#This Row],[% INTERES ]]/30*U2787))+Tabla14[[#This Row],[VALOR CUOTAS]]</f>
        <v>#VALUE!</v>
      </c>
      <c r="S2787" s="88">
        <f>-IF(Tabla14[[#This Row],[DIAS HABILES O MORA]]&lt;0,(Tabla14[[#This Row],[VALOR PRESTAMO]]*Tabla14[[#This Row],[% INTERES ]]/30*U2787))</f>
        <v>0</v>
      </c>
      <c r="T2787" s="53" t="e">
        <f>Tabla14[[#This Row],[DEUDA CAPITAL]]+Tabla14[[#This Row],[INTERES  CUOTA]]</f>
        <v>#NUM!</v>
      </c>
      <c r="U2787" s="61" t="str">
        <f t="shared" si="449"/>
        <v/>
      </c>
    </row>
    <row r="2788" spans="9:21" ht="24.75" customHeight="1" x14ac:dyDescent="0.35">
      <c r="I2788" s="42">
        <f t="shared" si="440"/>
        <v>0</v>
      </c>
      <c r="J2788" s="65" t="e">
        <f t="shared" si="441"/>
        <v>#NUM!</v>
      </c>
      <c r="K2788" s="83" t="e">
        <f t="shared" si="442"/>
        <v>#NUM!</v>
      </c>
      <c r="L2788" s="83">
        <f t="shared" si="443"/>
        <v>0</v>
      </c>
      <c r="M2788" s="110" t="str">
        <f t="shared" si="444"/>
        <v/>
      </c>
      <c r="N2788" s="51" t="str">
        <f t="shared" si="445"/>
        <v/>
      </c>
      <c r="O2788" s="52" t="str">
        <f t="shared" si="446"/>
        <v/>
      </c>
      <c r="P2788" s="88">
        <f t="shared" si="447"/>
        <v>0</v>
      </c>
      <c r="Q2788" s="88">
        <f t="shared" si="448"/>
        <v>0</v>
      </c>
      <c r="R2788" s="88" t="e">
        <f>-IF(Tabla14[[#This Row],[DIAS HABILES O MORA]]&lt;0,(Tabla14[[#This Row],[VALOR PRESTAMO]]*Tabla14[[#This Row],[% INTERES ]]/30*U2788))+Tabla14[[#This Row],[VALOR CUOTAS]]</f>
        <v>#VALUE!</v>
      </c>
      <c r="S2788" s="88">
        <f>-IF(Tabla14[[#This Row],[DIAS HABILES O MORA]]&lt;0,(Tabla14[[#This Row],[VALOR PRESTAMO]]*Tabla14[[#This Row],[% INTERES ]]/30*U2788))</f>
        <v>0</v>
      </c>
      <c r="T2788" s="53" t="e">
        <f>Tabla14[[#This Row],[DEUDA CAPITAL]]+Tabla14[[#This Row],[INTERES  CUOTA]]</f>
        <v>#NUM!</v>
      </c>
      <c r="U2788" s="61" t="str">
        <f t="shared" si="449"/>
        <v/>
      </c>
    </row>
    <row r="2789" spans="9:21" ht="24.75" customHeight="1" x14ac:dyDescent="0.35">
      <c r="I2789" s="42">
        <f t="shared" si="440"/>
        <v>0</v>
      </c>
      <c r="J2789" s="65" t="e">
        <f t="shared" si="441"/>
        <v>#NUM!</v>
      </c>
      <c r="K2789" s="83" t="e">
        <f t="shared" si="442"/>
        <v>#NUM!</v>
      </c>
      <c r="L2789" s="83">
        <f t="shared" si="443"/>
        <v>0</v>
      </c>
      <c r="M2789" s="110" t="str">
        <f t="shared" si="444"/>
        <v/>
      </c>
      <c r="N2789" s="51" t="str">
        <f t="shared" si="445"/>
        <v/>
      </c>
      <c r="O2789" s="52" t="str">
        <f t="shared" si="446"/>
        <v/>
      </c>
      <c r="P2789" s="88">
        <f t="shared" si="447"/>
        <v>0</v>
      </c>
      <c r="Q2789" s="88">
        <f t="shared" si="448"/>
        <v>0</v>
      </c>
      <c r="R2789" s="88" t="e">
        <f>-IF(Tabla14[[#This Row],[DIAS HABILES O MORA]]&lt;0,(Tabla14[[#This Row],[VALOR PRESTAMO]]*Tabla14[[#This Row],[% INTERES ]]/30*U2789))+Tabla14[[#This Row],[VALOR CUOTAS]]</f>
        <v>#VALUE!</v>
      </c>
      <c r="S2789" s="88">
        <f>-IF(Tabla14[[#This Row],[DIAS HABILES O MORA]]&lt;0,(Tabla14[[#This Row],[VALOR PRESTAMO]]*Tabla14[[#This Row],[% INTERES ]]/30*U2789))</f>
        <v>0</v>
      </c>
      <c r="T2789" s="53" t="e">
        <f>Tabla14[[#This Row],[DEUDA CAPITAL]]+Tabla14[[#This Row],[INTERES  CUOTA]]</f>
        <v>#NUM!</v>
      </c>
      <c r="U2789" s="61" t="str">
        <f t="shared" si="449"/>
        <v/>
      </c>
    </row>
    <row r="2790" spans="9:21" ht="24.75" customHeight="1" x14ac:dyDescent="0.35">
      <c r="I2790" s="42">
        <f t="shared" si="440"/>
        <v>0</v>
      </c>
      <c r="J2790" s="65" t="e">
        <f t="shared" si="441"/>
        <v>#NUM!</v>
      </c>
      <c r="K2790" s="83" t="e">
        <f t="shared" si="442"/>
        <v>#NUM!</v>
      </c>
      <c r="L2790" s="83">
        <f t="shared" si="443"/>
        <v>0</v>
      </c>
      <c r="M2790" s="110" t="str">
        <f t="shared" si="444"/>
        <v/>
      </c>
      <c r="N2790" s="51" t="str">
        <f t="shared" si="445"/>
        <v/>
      </c>
      <c r="O2790" s="52" t="str">
        <f t="shared" si="446"/>
        <v/>
      </c>
      <c r="P2790" s="88">
        <f t="shared" si="447"/>
        <v>0</v>
      </c>
      <c r="Q2790" s="88">
        <f t="shared" si="448"/>
        <v>0</v>
      </c>
      <c r="R2790" s="88" t="e">
        <f>-IF(Tabla14[[#This Row],[DIAS HABILES O MORA]]&lt;0,(Tabla14[[#This Row],[VALOR PRESTAMO]]*Tabla14[[#This Row],[% INTERES ]]/30*U2790))+Tabla14[[#This Row],[VALOR CUOTAS]]</f>
        <v>#VALUE!</v>
      </c>
      <c r="S2790" s="88">
        <f>-IF(Tabla14[[#This Row],[DIAS HABILES O MORA]]&lt;0,(Tabla14[[#This Row],[VALOR PRESTAMO]]*Tabla14[[#This Row],[% INTERES ]]/30*U2790))</f>
        <v>0</v>
      </c>
      <c r="T2790" s="53" t="e">
        <f>Tabla14[[#This Row],[DEUDA CAPITAL]]+Tabla14[[#This Row],[INTERES  CUOTA]]</f>
        <v>#NUM!</v>
      </c>
      <c r="U2790" s="61" t="str">
        <f t="shared" si="449"/>
        <v/>
      </c>
    </row>
    <row r="2791" spans="9:21" ht="24.75" customHeight="1" x14ac:dyDescent="0.35">
      <c r="I2791" s="42">
        <f t="shared" si="440"/>
        <v>0</v>
      </c>
      <c r="J2791" s="65" t="e">
        <f t="shared" si="441"/>
        <v>#NUM!</v>
      </c>
      <c r="K2791" s="83" t="e">
        <f t="shared" si="442"/>
        <v>#NUM!</v>
      </c>
      <c r="L2791" s="83">
        <f t="shared" si="443"/>
        <v>0</v>
      </c>
      <c r="M2791" s="110" t="str">
        <f t="shared" si="444"/>
        <v/>
      </c>
      <c r="N2791" s="51" t="str">
        <f t="shared" si="445"/>
        <v/>
      </c>
      <c r="O2791" s="52" t="str">
        <f t="shared" si="446"/>
        <v/>
      </c>
      <c r="P2791" s="88">
        <f t="shared" si="447"/>
        <v>0</v>
      </c>
      <c r="Q2791" s="88">
        <f t="shared" si="448"/>
        <v>0</v>
      </c>
      <c r="R2791" s="88" t="e">
        <f>-IF(Tabla14[[#This Row],[DIAS HABILES O MORA]]&lt;0,(Tabla14[[#This Row],[VALOR PRESTAMO]]*Tabla14[[#This Row],[% INTERES ]]/30*U2791))+Tabla14[[#This Row],[VALOR CUOTAS]]</f>
        <v>#VALUE!</v>
      </c>
      <c r="S2791" s="88">
        <f>-IF(Tabla14[[#This Row],[DIAS HABILES O MORA]]&lt;0,(Tabla14[[#This Row],[VALOR PRESTAMO]]*Tabla14[[#This Row],[% INTERES ]]/30*U2791))</f>
        <v>0</v>
      </c>
      <c r="T2791" s="53" t="e">
        <f>Tabla14[[#This Row],[DEUDA CAPITAL]]+Tabla14[[#This Row],[INTERES  CUOTA]]</f>
        <v>#NUM!</v>
      </c>
      <c r="U2791" s="61" t="str">
        <f t="shared" si="449"/>
        <v/>
      </c>
    </row>
    <row r="2792" spans="9:21" ht="24.75" customHeight="1" x14ac:dyDescent="0.35">
      <c r="I2792" s="42">
        <f t="shared" si="440"/>
        <v>0</v>
      </c>
      <c r="J2792" s="65" t="e">
        <f t="shared" si="441"/>
        <v>#NUM!</v>
      </c>
      <c r="K2792" s="83" t="e">
        <f t="shared" si="442"/>
        <v>#NUM!</v>
      </c>
      <c r="L2792" s="83">
        <f t="shared" si="443"/>
        <v>0</v>
      </c>
      <c r="M2792" s="110" t="str">
        <f t="shared" si="444"/>
        <v/>
      </c>
      <c r="N2792" s="51" t="str">
        <f t="shared" si="445"/>
        <v/>
      </c>
      <c r="O2792" s="52" t="str">
        <f t="shared" si="446"/>
        <v/>
      </c>
      <c r="P2792" s="88">
        <f t="shared" si="447"/>
        <v>0</v>
      </c>
      <c r="Q2792" s="88">
        <f t="shared" si="448"/>
        <v>0</v>
      </c>
      <c r="R2792" s="88" t="e">
        <f>-IF(Tabla14[[#This Row],[DIAS HABILES O MORA]]&lt;0,(Tabla14[[#This Row],[VALOR PRESTAMO]]*Tabla14[[#This Row],[% INTERES ]]/30*U2792))+Tabla14[[#This Row],[VALOR CUOTAS]]</f>
        <v>#VALUE!</v>
      </c>
      <c r="S2792" s="88">
        <f>-IF(Tabla14[[#This Row],[DIAS HABILES O MORA]]&lt;0,(Tabla14[[#This Row],[VALOR PRESTAMO]]*Tabla14[[#This Row],[% INTERES ]]/30*U2792))</f>
        <v>0</v>
      </c>
      <c r="T2792" s="53" t="e">
        <f>Tabla14[[#This Row],[DEUDA CAPITAL]]+Tabla14[[#This Row],[INTERES  CUOTA]]</f>
        <v>#NUM!</v>
      </c>
      <c r="U2792" s="61" t="str">
        <f t="shared" si="449"/>
        <v/>
      </c>
    </row>
    <row r="2793" spans="9:21" ht="24.75" customHeight="1" x14ac:dyDescent="0.35">
      <c r="I2793" s="42">
        <f t="shared" si="440"/>
        <v>0</v>
      </c>
      <c r="J2793" s="65" t="e">
        <f t="shared" si="441"/>
        <v>#NUM!</v>
      </c>
      <c r="K2793" s="83" t="e">
        <f t="shared" si="442"/>
        <v>#NUM!</v>
      </c>
      <c r="L2793" s="83">
        <f t="shared" si="443"/>
        <v>0</v>
      </c>
      <c r="M2793" s="110" t="str">
        <f t="shared" si="444"/>
        <v/>
      </c>
      <c r="N2793" s="51" t="str">
        <f t="shared" si="445"/>
        <v/>
      </c>
      <c r="O2793" s="52" t="str">
        <f t="shared" si="446"/>
        <v/>
      </c>
      <c r="P2793" s="88">
        <f t="shared" si="447"/>
        <v>0</v>
      </c>
      <c r="Q2793" s="88">
        <f t="shared" si="448"/>
        <v>0</v>
      </c>
      <c r="R2793" s="88" t="e">
        <f>-IF(Tabla14[[#This Row],[DIAS HABILES O MORA]]&lt;0,(Tabla14[[#This Row],[VALOR PRESTAMO]]*Tabla14[[#This Row],[% INTERES ]]/30*U2793))+Tabla14[[#This Row],[VALOR CUOTAS]]</f>
        <v>#VALUE!</v>
      </c>
      <c r="S2793" s="88">
        <f>-IF(Tabla14[[#This Row],[DIAS HABILES O MORA]]&lt;0,(Tabla14[[#This Row],[VALOR PRESTAMO]]*Tabla14[[#This Row],[% INTERES ]]/30*U2793))</f>
        <v>0</v>
      </c>
      <c r="T2793" s="53" t="e">
        <f>Tabla14[[#This Row],[DEUDA CAPITAL]]+Tabla14[[#This Row],[INTERES  CUOTA]]</f>
        <v>#NUM!</v>
      </c>
      <c r="U2793" s="61" t="str">
        <f t="shared" si="449"/>
        <v/>
      </c>
    </row>
    <row r="2794" spans="9:21" ht="24.75" customHeight="1" x14ac:dyDescent="0.35">
      <c r="I2794" s="42">
        <f t="shared" si="440"/>
        <v>0</v>
      </c>
      <c r="J2794" s="65" t="e">
        <f t="shared" si="441"/>
        <v>#NUM!</v>
      </c>
      <c r="K2794" s="83" t="e">
        <f t="shared" si="442"/>
        <v>#NUM!</v>
      </c>
      <c r="L2794" s="83">
        <f t="shared" si="443"/>
        <v>0</v>
      </c>
      <c r="M2794" s="110" t="str">
        <f t="shared" si="444"/>
        <v/>
      </c>
      <c r="N2794" s="51" t="str">
        <f t="shared" si="445"/>
        <v/>
      </c>
      <c r="O2794" s="52" t="str">
        <f t="shared" si="446"/>
        <v/>
      </c>
      <c r="P2794" s="88">
        <f t="shared" si="447"/>
        <v>0</v>
      </c>
      <c r="Q2794" s="88">
        <f t="shared" si="448"/>
        <v>0</v>
      </c>
      <c r="R2794" s="88" t="e">
        <f>-IF(Tabla14[[#This Row],[DIAS HABILES O MORA]]&lt;0,(Tabla14[[#This Row],[VALOR PRESTAMO]]*Tabla14[[#This Row],[% INTERES ]]/30*U2794))+Tabla14[[#This Row],[VALOR CUOTAS]]</f>
        <v>#VALUE!</v>
      </c>
      <c r="S2794" s="88">
        <f>-IF(Tabla14[[#This Row],[DIAS HABILES O MORA]]&lt;0,(Tabla14[[#This Row],[VALOR PRESTAMO]]*Tabla14[[#This Row],[% INTERES ]]/30*U2794))</f>
        <v>0</v>
      </c>
      <c r="T2794" s="53" t="e">
        <f>Tabla14[[#This Row],[DEUDA CAPITAL]]+Tabla14[[#This Row],[INTERES  CUOTA]]</f>
        <v>#NUM!</v>
      </c>
      <c r="U2794" s="61" t="str">
        <f t="shared" si="449"/>
        <v/>
      </c>
    </row>
    <row r="2795" spans="9:21" ht="24.75" customHeight="1" x14ac:dyDescent="0.35">
      <c r="I2795" s="42">
        <f t="shared" si="440"/>
        <v>0</v>
      </c>
      <c r="J2795" s="65" t="e">
        <f t="shared" si="441"/>
        <v>#NUM!</v>
      </c>
      <c r="K2795" s="83" t="e">
        <f t="shared" si="442"/>
        <v>#NUM!</v>
      </c>
      <c r="L2795" s="83">
        <f t="shared" si="443"/>
        <v>0</v>
      </c>
      <c r="M2795" s="110" t="str">
        <f t="shared" si="444"/>
        <v/>
      </c>
      <c r="N2795" s="51" t="str">
        <f t="shared" si="445"/>
        <v/>
      </c>
      <c r="O2795" s="52" t="str">
        <f t="shared" si="446"/>
        <v/>
      </c>
      <c r="P2795" s="88">
        <f t="shared" si="447"/>
        <v>0</v>
      </c>
      <c r="Q2795" s="88">
        <f t="shared" si="448"/>
        <v>0</v>
      </c>
      <c r="R2795" s="88" t="e">
        <f>-IF(Tabla14[[#This Row],[DIAS HABILES O MORA]]&lt;0,(Tabla14[[#This Row],[VALOR PRESTAMO]]*Tabla14[[#This Row],[% INTERES ]]/30*U2795))+Tabla14[[#This Row],[VALOR CUOTAS]]</f>
        <v>#VALUE!</v>
      </c>
      <c r="S2795" s="88">
        <f>-IF(Tabla14[[#This Row],[DIAS HABILES O MORA]]&lt;0,(Tabla14[[#This Row],[VALOR PRESTAMO]]*Tabla14[[#This Row],[% INTERES ]]/30*U2795))</f>
        <v>0</v>
      </c>
      <c r="T2795" s="53" t="e">
        <f>Tabla14[[#This Row],[DEUDA CAPITAL]]+Tabla14[[#This Row],[INTERES  CUOTA]]</f>
        <v>#NUM!</v>
      </c>
      <c r="U2795" s="61" t="str">
        <f t="shared" si="449"/>
        <v/>
      </c>
    </row>
    <row r="2796" spans="9:21" ht="24.75" customHeight="1" x14ac:dyDescent="0.35">
      <c r="I2796" s="42">
        <f t="shared" si="440"/>
        <v>0</v>
      </c>
      <c r="J2796" s="65" t="e">
        <f t="shared" si="441"/>
        <v>#NUM!</v>
      </c>
      <c r="K2796" s="83" t="e">
        <f t="shared" si="442"/>
        <v>#NUM!</v>
      </c>
      <c r="L2796" s="83">
        <f t="shared" si="443"/>
        <v>0</v>
      </c>
      <c r="M2796" s="110" t="str">
        <f t="shared" si="444"/>
        <v/>
      </c>
      <c r="N2796" s="51" t="str">
        <f t="shared" si="445"/>
        <v/>
      </c>
      <c r="O2796" s="52" t="str">
        <f t="shared" si="446"/>
        <v/>
      </c>
      <c r="P2796" s="88">
        <f t="shared" si="447"/>
        <v>0</v>
      </c>
      <c r="Q2796" s="88">
        <f t="shared" si="448"/>
        <v>0</v>
      </c>
      <c r="R2796" s="88" t="e">
        <f>-IF(Tabla14[[#This Row],[DIAS HABILES O MORA]]&lt;0,(Tabla14[[#This Row],[VALOR PRESTAMO]]*Tabla14[[#This Row],[% INTERES ]]/30*U2796))+Tabla14[[#This Row],[VALOR CUOTAS]]</f>
        <v>#VALUE!</v>
      </c>
      <c r="S2796" s="88">
        <f>-IF(Tabla14[[#This Row],[DIAS HABILES O MORA]]&lt;0,(Tabla14[[#This Row],[VALOR PRESTAMO]]*Tabla14[[#This Row],[% INTERES ]]/30*U2796))</f>
        <v>0</v>
      </c>
      <c r="T2796" s="53" t="e">
        <f>Tabla14[[#This Row],[DEUDA CAPITAL]]+Tabla14[[#This Row],[INTERES  CUOTA]]</f>
        <v>#NUM!</v>
      </c>
      <c r="U2796" s="61" t="str">
        <f t="shared" si="449"/>
        <v/>
      </c>
    </row>
    <row r="2797" spans="9:21" ht="24.75" customHeight="1" x14ac:dyDescent="0.35">
      <c r="I2797" s="42">
        <f t="shared" si="440"/>
        <v>0</v>
      </c>
      <c r="J2797" s="65" t="e">
        <f t="shared" si="441"/>
        <v>#NUM!</v>
      </c>
      <c r="K2797" s="83" t="e">
        <f t="shared" si="442"/>
        <v>#NUM!</v>
      </c>
      <c r="L2797" s="83">
        <f t="shared" si="443"/>
        <v>0</v>
      </c>
      <c r="M2797" s="110" t="str">
        <f t="shared" si="444"/>
        <v/>
      </c>
      <c r="N2797" s="51" t="str">
        <f t="shared" si="445"/>
        <v/>
      </c>
      <c r="O2797" s="52" t="str">
        <f t="shared" si="446"/>
        <v/>
      </c>
      <c r="P2797" s="88">
        <f t="shared" si="447"/>
        <v>0</v>
      </c>
      <c r="Q2797" s="88">
        <f t="shared" si="448"/>
        <v>0</v>
      </c>
      <c r="R2797" s="88" t="e">
        <f>-IF(Tabla14[[#This Row],[DIAS HABILES O MORA]]&lt;0,(Tabla14[[#This Row],[VALOR PRESTAMO]]*Tabla14[[#This Row],[% INTERES ]]/30*U2797))+Tabla14[[#This Row],[VALOR CUOTAS]]</f>
        <v>#VALUE!</v>
      </c>
      <c r="S2797" s="88">
        <f>-IF(Tabla14[[#This Row],[DIAS HABILES O MORA]]&lt;0,(Tabla14[[#This Row],[VALOR PRESTAMO]]*Tabla14[[#This Row],[% INTERES ]]/30*U2797))</f>
        <v>0</v>
      </c>
      <c r="T2797" s="53" t="e">
        <f>Tabla14[[#This Row],[DEUDA CAPITAL]]+Tabla14[[#This Row],[INTERES  CUOTA]]</f>
        <v>#NUM!</v>
      </c>
      <c r="U2797" s="61" t="str">
        <f t="shared" si="449"/>
        <v/>
      </c>
    </row>
    <row r="2798" spans="9:21" ht="24.75" customHeight="1" x14ac:dyDescent="0.35">
      <c r="I2798" s="42">
        <f t="shared" si="440"/>
        <v>0</v>
      </c>
      <c r="J2798" s="65" t="e">
        <f t="shared" si="441"/>
        <v>#NUM!</v>
      </c>
      <c r="K2798" s="83" t="e">
        <f t="shared" si="442"/>
        <v>#NUM!</v>
      </c>
      <c r="L2798" s="83">
        <f t="shared" si="443"/>
        <v>0</v>
      </c>
      <c r="M2798" s="110" t="str">
        <f t="shared" si="444"/>
        <v/>
      </c>
      <c r="N2798" s="51" t="str">
        <f t="shared" si="445"/>
        <v/>
      </c>
      <c r="O2798" s="52" t="str">
        <f t="shared" si="446"/>
        <v/>
      </c>
      <c r="P2798" s="88">
        <f t="shared" si="447"/>
        <v>0</v>
      </c>
      <c r="Q2798" s="88">
        <f t="shared" si="448"/>
        <v>0</v>
      </c>
      <c r="R2798" s="88" t="e">
        <f>-IF(Tabla14[[#This Row],[DIAS HABILES O MORA]]&lt;0,(Tabla14[[#This Row],[VALOR PRESTAMO]]*Tabla14[[#This Row],[% INTERES ]]/30*U2798))+Tabla14[[#This Row],[VALOR CUOTAS]]</f>
        <v>#VALUE!</v>
      </c>
      <c r="S2798" s="88">
        <f>-IF(Tabla14[[#This Row],[DIAS HABILES O MORA]]&lt;0,(Tabla14[[#This Row],[VALOR PRESTAMO]]*Tabla14[[#This Row],[% INTERES ]]/30*U2798))</f>
        <v>0</v>
      </c>
      <c r="T2798" s="53" t="e">
        <f>Tabla14[[#This Row],[DEUDA CAPITAL]]+Tabla14[[#This Row],[INTERES  CUOTA]]</f>
        <v>#NUM!</v>
      </c>
      <c r="U2798" s="61" t="str">
        <f t="shared" si="449"/>
        <v/>
      </c>
    </row>
    <row r="2799" spans="9:21" ht="24.75" customHeight="1" x14ac:dyDescent="0.35">
      <c r="I2799" s="42">
        <f t="shared" si="440"/>
        <v>0</v>
      </c>
      <c r="J2799" s="65" t="e">
        <f t="shared" si="441"/>
        <v>#NUM!</v>
      </c>
      <c r="K2799" s="83" t="e">
        <f t="shared" si="442"/>
        <v>#NUM!</v>
      </c>
      <c r="L2799" s="83">
        <f t="shared" si="443"/>
        <v>0</v>
      </c>
      <c r="M2799" s="110" t="str">
        <f t="shared" si="444"/>
        <v/>
      </c>
      <c r="N2799" s="51" t="str">
        <f t="shared" si="445"/>
        <v/>
      </c>
      <c r="O2799" s="52" t="str">
        <f t="shared" si="446"/>
        <v/>
      </c>
      <c r="P2799" s="88">
        <f t="shared" si="447"/>
        <v>0</v>
      </c>
      <c r="Q2799" s="88">
        <f t="shared" si="448"/>
        <v>0</v>
      </c>
      <c r="R2799" s="88" t="e">
        <f>-IF(Tabla14[[#This Row],[DIAS HABILES O MORA]]&lt;0,(Tabla14[[#This Row],[VALOR PRESTAMO]]*Tabla14[[#This Row],[% INTERES ]]/30*U2799))+Tabla14[[#This Row],[VALOR CUOTAS]]</f>
        <v>#VALUE!</v>
      </c>
      <c r="S2799" s="88">
        <f>-IF(Tabla14[[#This Row],[DIAS HABILES O MORA]]&lt;0,(Tabla14[[#This Row],[VALOR PRESTAMO]]*Tabla14[[#This Row],[% INTERES ]]/30*U2799))</f>
        <v>0</v>
      </c>
      <c r="T2799" s="53" t="e">
        <f>Tabla14[[#This Row],[DEUDA CAPITAL]]+Tabla14[[#This Row],[INTERES  CUOTA]]</f>
        <v>#NUM!</v>
      </c>
      <c r="U2799" s="61" t="str">
        <f t="shared" si="449"/>
        <v/>
      </c>
    </row>
    <row r="2800" spans="9:21" ht="24.75" customHeight="1" x14ac:dyDescent="0.35">
      <c r="I2800" s="42">
        <f t="shared" si="440"/>
        <v>0</v>
      </c>
      <c r="J2800" s="65" t="e">
        <f t="shared" si="441"/>
        <v>#NUM!</v>
      </c>
      <c r="K2800" s="83" t="e">
        <f t="shared" si="442"/>
        <v>#NUM!</v>
      </c>
      <c r="L2800" s="83">
        <f t="shared" si="443"/>
        <v>0</v>
      </c>
      <c r="M2800" s="110" t="str">
        <f t="shared" si="444"/>
        <v/>
      </c>
      <c r="N2800" s="51" t="str">
        <f t="shared" si="445"/>
        <v/>
      </c>
      <c r="O2800" s="52" t="str">
        <f t="shared" si="446"/>
        <v/>
      </c>
      <c r="P2800" s="88">
        <f t="shared" si="447"/>
        <v>0</v>
      </c>
      <c r="Q2800" s="88">
        <f t="shared" si="448"/>
        <v>0</v>
      </c>
      <c r="R2800" s="88" t="e">
        <f>-IF(Tabla14[[#This Row],[DIAS HABILES O MORA]]&lt;0,(Tabla14[[#This Row],[VALOR PRESTAMO]]*Tabla14[[#This Row],[% INTERES ]]/30*U2800))+Tabla14[[#This Row],[VALOR CUOTAS]]</f>
        <v>#VALUE!</v>
      </c>
      <c r="S2800" s="88">
        <f>-IF(Tabla14[[#This Row],[DIAS HABILES O MORA]]&lt;0,(Tabla14[[#This Row],[VALOR PRESTAMO]]*Tabla14[[#This Row],[% INTERES ]]/30*U2800))</f>
        <v>0</v>
      </c>
      <c r="T2800" s="53" t="e">
        <f>Tabla14[[#This Row],[DEUDA CAPITAL]]+Tabla14[[#This Row],[INTERES  CUOTA]]</f>
        <v>#NUM!</v>
      </c>
      <c r="U2800" s="61" t="str">
        <f t="shared" si="449"/>
        <v/>
      </c>
    </row>
    <row r="2801" spans="9:21" ht="24.75" customHeight="1" x14ac:dyDescent="0.35">
      <c r="I2801" s="42">
        <f t="shared" si="440"/>
        <v>0</v>
      </c>
      <c r="J2801" s="65" t="e">
        <f t="shared" si="441"/>
        <v>#NUM!</v>
      </c>
      <c r="K2801" s="83" t="e">
        <f t="shared" si="442"/>
        <v>#NUM!</v>
      </c>
      <c r="L2801" s="83">
        <f t="shared" si="443"/>
        <v>0</v>
      </c>
      <c r="M2801" s="110" t="str">
        <f t="shared" si="444"/>
        <v/>
      </c>
      <c r="N2801" s="51" t="str">
        <f t="shared" si="445"/>
        <v/>
      </c>
      <c r="O2801" s="52" t="str">
        <f t="shared" si="446"/>
        <v/>
      </c>
      <c r="P2801" s="88">
        <f t="shared" si="447"/>
        <v>0</v>
      </c>
      <c r="Q2801" s="88">
        <f t="shared" si="448"/>
        <v>0</v>
      </c>
      <c r="R2801" s="88" t="e">
        <f>-IF(Tabla14[[#This Row],[DIAS HABILES O MORA]]&lt;0,(Tabla14[[#This Row],[VALOR PRESTAMO]]*Tabla14[[#This Row],[% INTERES ]]/30*U2801))+Tabla14[[#This Row],[VALOR CUOTAS]]</f>
        <v>#VALUE!</v>
      </c>
      <c r="S2801" s="88">
        <f>-IF(Tabla14[[#This Row],[DIAS HABILES O MORA]]&lt;0,(Tabla14[[#This Row],[VALOR PRESTAMO]]*Tabla14[[#This Row],[% INTERES ]]/30*U2801))</f>
        <v>0</v>
      </c>
      <c r="T2801" s="53" t="e">
        <f>Tabla14[[#This Row],[DEUDA CAPITAL]]+Tabla14[[#This Row],[INTERES  CUOTA]]</f>
        <v>#NUM!</v>
      </c>
      <c r="U2801" s="61" t="str">
        <f t="shared" si="449"/>
        <v/>
      </c>
    </row>
    <row r="2802" spans="9:21" ht="24.75" customHeight="1" x14ac:dyDescent="0.35">
      <c r="I2802" s="42">
        <f t="shared" si="440"/>
        <v>0</v>
      </c>
      <c r="J2802" s="65" t="e">
        <f t="shared" si="441"/>
        <v>#NUM!</v>
      </c>
      <c r="K2802" s="83" t="e">
        <f t="shared" si="442"/>
        <v>#NUM!</v>
      </c>
      <c r="L2802" s="83">
        <f t="shared" si="443"/>
        <v>0</v>
      </c>
      <c r="M2802" s="110" t="str">
        <f t="shared" si="444"/>
        <v/>
      </c>
      <c r="N2802" s="51" t="str">
        <f t="shared" si="445"/>
        <v/>
      </c>
      <c r="O2802" s="52" t="str">
        <f t="shared" si="446"/>
        <v/>
      </c>
      <c r="P2802" s="88">
        <f t="shared" si="447"/>
        <v>0</v>
      </c>
      <c r="Q2802" s="88">
        <f t="shared" si="448"/>
        <v>0</v>
      </c>
      <c r="R2802" s="88" t="e">
        <f>-IF(Tabla14[[#This Row],[DIAS HABILES O MORA]]&lt;0,(Tabla14[[#This Row],[VALOR PRESTAMO]]*Tabla14[[#This Row],[% INTERES ]]/30*U2802))+Tabla14[[#This Row],[VALOR CUOTAS]]</f>
        <v>#VALUE!</v>
      </c>
      <c r="S2802" s="88">
        <f>-IF(Tabla14[[#This Row],[DIAS HABILES O MORA]]&lt;0,(Tabla14[[#This Row],[VALOR PRESTAMO]]*Tabla14[[#This Row],[% INTERES ]]/30*U2802))</f>
        <v>0</v>
      </c>
      <c r="T2802" s="53" t="e">
        <f>Tabla14[[#This Row],[DEUDA CAPITAL]]+Tabla14[[#This Row],[INTERES  CUOTA]]</f>
        <v>#NUM!</v>
      </c>
      <c r="U2802" s="61" t="str">
        <f t="shared" si="449"/>
        <v/>
      </c>
    </row>
    <row r="2803" spans="9:21" ht="24.75" customHeight="1" x14ac:dyDescent="0.35">
      <c r="I2803" s="42">
        <f t="shared" si="440"/>
        <v>0</v>
      </c>
      <c r="J2803" s="65" t="e">
        <f t="shared" si="441"/>
        <v>#NUM!</v>
      </c>
      <c r="K2803" s="83" t="e">
        <f t="shared" si="442"/>
        <v>#NUM!</v>
      </c>
      <c r="L2803" s="83">
        <f t="shared" si="443"/>
        <v>0</v>
      </c>
      <c r="M2803" s="110" t="str">
        <f t="shared" si="444"/>
        <v/>
      </c>
      <c r="N2803" s="51" t="str">
        <f t="shared" si="445"/>
        <v/>
      </c>
      <c r="O2803" s="52" t="str">
        <f t="shared" si="446"/>
        <v/>
      </c>
      <c r="P2803" s="88">
        <f t="shared" si="447"/>
        <v>0</v>
      </c>
      <c r="Q2803" s="88">
        <f t="shared" si="448"/>
        <v>0</v>
      </c>
      <c r="R2803" s="88" t="e">
        <f>-IF(Tabla14[[#This Row],[DIAS HABILES O MORA]]&lt;0,(Tabla14[[#This Row],[VALOR PRESTAMO]]*Tabla14[[#This Row],[% INTERES ]]/30*U2803))+Tabla14[[#This Row],[VALOR CUOTAS]]</f>
        <v>#VALUE!</v>
      </c>
      <c r="S2803" s="88">
        <f>-IF(Tabla14[[#This Row],[DIAS HABILES O MORA]]&lt;0,(Tabla14[[#This Row],[VALOR PRESTAMO]]*Tabla14[[#This Row],[% INTERES ]]/30*U2803))</f>
        <v>0</v>
      </c>
      <c r="T2803" s="53" t="e">
        <f>Tabla14[[#This Row],[DEUDA CAPITAL]]+Tabla14[[#This Row],[INTERES  CUOTA]]</f>
        <v>#NUM!</v>
      </c>
      <c r="U2803" s="61" t="str">
        <f t="shared" si="449"/>
        <v/>
      </c>
    </row>
    <row r="2804" spans="9:21" ht="24.75" customHeight="1" x14ac:dyDescent="0.35">
      <c r="I2804" s="42">
        <f t="shared" si="440"/>
        <v>0</v>
      </c>
      <c r="J2804" s="65" t="e">
        <f t="shared" si="441"/>
        <v>#NUM!</v>
      </c>
      <c r="K2804" s="83" t="e">
        <f t="shared" si="442"/>
        <v>#NUM!</v>
      </c>
      <c r="L2804" s="83">
        <f t="shared" si="443"/>
        <v>0</v>
      </c>
      <c r="M2804" s="110" t="str">
        <f t="shared" si="444"/>
        <v/>
      </c>
      <c r="N2804" s="51" t="str">
        <f t="shared" si="445"/>
        <v/>
      </c>
      <c r="O2804" s="52" t="str">
        <f t="shared" si="446"/>
        <v/>
      </c>
      <c r="P2804" s="88">
        <f t="shared" si="447"/>
        <v>0</v>
      </c>
      <c r="Q2804" s="88">
        <f t="shared" si="448"/>
        <v>0</v>
      </c>
      <c r="R2804" s="88" t="e">
        <f>-IF(Tabla14[[#This Row],[DIAS HABILES O MORA]]&lt;0,(Tabla14[[#This Row],[VALOR PRESTAMO]]*Tabla14[[#This Row],[% INTERES ]]/30*U2804))+Tabla14[[#This Row],[VALOR CUOTAS]]</f>
        <v>#VALUE!</v>
      </c>
      <c r="S2804" s="88">
        <f>-IF(Tabla14[[#This Row],[DIAS HABILES O MORA]]&lt;0,(Tabla14[[#This Row],[VALOR PRESTAMO]]*Tabla14[[#This Row],[% INTERES ]]/30*U2804))</f>
        <v>0</v>
      </c>
      <c r="T2804" s="53" t="e">
        <f>Tabla14[[#This Row],[DEUDA CAPITAL]]+Tabla14[[#This Row],[INTERES  CUOTA]]</f>
        <v>#NUM!</v>
      </c>
      <c r="U2804" s="61" t="str">
        <f t="shared" si="449"/>
        <v/>
      </c>
    </row>
    <row r="2805" spans="9:21" ht="24.75" customHeight="1" x14ac:dyDescent="0.35">
      <c r="I2805" s="42">
        <f t="shared" si="440"/>
        <v>0</v>
      </c>
      <c r="J2805" s="65" t="e">
        <f t="shared" si="441"/>
        <v>#NUM!</v>
      </c>
      <c r="K2805" s="83" t="e">
        <f t="shared" si="442"/>
        <v>#NUM!</v>
      </c>
      <c r="L2805" s="83">
        <f t="shared" si="443"/>
        <v>0</v>
      </c>
      <c r="M2805" s="110" t="str">
        <f t="shared" si="444"/>
        <v/>
      </c>
      <c r="N2805" s="51" t="str">
        <f t="shared" si="445"/>
        <v/>
      </c>
      <c r="O2805" s="52" t="str">
        <f t="shared" si="446"/>
        <v/>
      </c>
      <c r="P2805" s="88">
        <f t="shared" si="447"/>
        <v>0</v>
      </c>
      <c r="Q2805" s="88">
        <f t="shared" si="448"/>
        <v>0</v>
      </c>
      <c r="R2805" s="88" t="e">
        <f>-IF(Tabla14[[#This Row],[DIAS HABILES O MORA]]&lt;0,(Tabla14[[#This Row],[VALOR PRESTAMO]]*Tabla14[[#This Row],[% INTERES ]]/30*U2805))+Tabla14[[#This Row],[VALOR CUOTAS]]</f>
        <v>#VALUE!</v>
      </c>
      <c r="S2805" s="88">
        <f>-IF(Tabla14[[#This Row],[DIAS HABILES O MORA]]&lt;0,(Tabla14[[#This Row],[VALOR PRESTAMO]]*Tabla14[[#This Row],[% INTERES ]]/30*U2805))</f>
        <v>0</v>
      </c>
      <c r="T2805" s="53" t="e">
        <f>Tabla14[[#This Row],[DEUDA CAPITAL]]+Tabla14[[#This Row],[INTERES  CUOTA]]</f>
        <v>#NUM!</v>
      </c>
      <c r="U2805" s="61" t="str">
        <f t="shared" si="449"/>
        <v/>
      </c>
    </row>
    <row r="2806" spans="9:21" ht="24.75" customHeight="1" x14ac:dyDescent="0.35">
      <c r="I2806" s="42">
        <f t="shared" si="440"/>
        <v>0</v>
      </c>
      <c r="J2806" s="65" t="e">
        <f t="shared" si="441"/>
        <v>#NUM!</v>
      </c>
      <c r="K2806" s="83" t="e">
        <f t="shared" si="442"/>
        <v>#NUM!</v>
      </c>
      <c r="L2806" s="83">
        <f t="shared" si="443"/>
        <v>0</v>
      </c>
      <c r="M2806" s="110" t="str">
        <f t="shared" si="444"/>
        <v/>
      </c>
      <c r="N2806" s="51" t="str">
        <f t="shared" si="445"/>
        <v/>
      </c>
      <c r="O2806" s="52" t="str">
        <f t="shared" si="446"/>
        <v/>
      </c>
      <c r="P2806" s="88">
        <f t="shared" si="447"/>
        <v>0</v>
      </c>
      <c r="Q2806" s="88">
        <f t="shared" si="448"/>
        <v>0</v>
      </c>
      <c r="R2806" s="88" t="e">
        <f>-IF(Tabla14[[#This Row],[DIAS HABILES O MORA]]&lt;0,(Tabla14[[#This Row],[VALOR PRESTAMO]]*Tabla14[[#This Row],[% INTERES ]]/30*U2806))+Tabla14[[#This Row],[VALOR CUOTAS]]</f>
        <v>#VALUE!</v>
      </c>
      <c r="S2806" s="88">
        <f>-IF(Tabla14[[#This Row],[DIAS HABILES O MORA]]&lt;0,(Tabla14[[#This Row],[VALOR PRESTAMO]]*Tabla14[[#This Row],[% INTERES ]]/30*U2806))</f>
        <v>0</v>
      </c>
      <c r="T2806" s="53" t="e">
        <f>Tabla14[[#This Row],[DEUDA CAPITAL]]+Tabla14[[#This Row],[INTERES  CUOTA]]</f>
        <v>#NUM!</v>
      </c>
      <c r="U2806" s="61" t="str">
        <f t="shared" si="449"/>
        <v/>
      </c>
    </row>
    <row r="2807" spans="9:21" ht="24.75" customHeight="1" x14ac:dyDescent="0.35">
      <c r="I2807" s="42">
        <f t="shared" si="440"/>
        <v>0</v>
      </c>
      <c r="J2807" s="65" t="e">
        <f t="shared" si="441"/>
        <v>#NUM!</v>
      </c>
      <c r="K2807" s="83" t="e">
        <f t="shared" si="442"/>
        <v>#NUM!</v>
      </c>
      <c r="L2807" s="83">
        <f t="shared" si="443"/>
        <v>0</v>
      </c>
      <c r="M2807" s="110" t="str">
        <f t="shared" si="444"/>
        <v/>
      </c>
      <c r="N2807" s="51" t="str">
        <f t="shared" si="445"/>
        <v/>
      </c>
      <c r="O2807" s="52" t="str">
        <f t="shared" si="446"/>
        <v/>
      </c>
      <c r="P2807" s="88">
        <f t="shared" si="447"/>
        <v>0</v>
      </c>
      <c r="Q2807" s="88">
        <f t="shared" si="448"/>
        <v>0</v>
      </c>
      <c r="R2807" s="88" t="e">
        <f>-IF(Tabla14[[#This Row],[DIAS HABILES O MORA]]&lt;0,(Tabla14[[#This Row],[VALOR PRESTAMO]]*Tabla14[[#This Row],[% INTERES ]]/30*U2807))+Tabla14[[#This Row],[VALOR CUOTAS]]</f>
        <v>#VALUE!</v>
      </c>
      <c r="S2807" s="88">
        <f>-IF(Tabla14[[#This Row],[DIAS HABILES O MORA]]&lt;0,(Tabla14[[#This Row],[VALOR PRESTAMO]]*Tabla14[[#This Row],[% INTERES ]]/30*U2807))</f>
        <v>0</v>
      </c>
      <c r="T2807" s="53" t="e">
        <f>Tabla14[[#This Row],[DEUDA CAPITAL]]+Tabla14[[#This Row],[INTERES  CUOTA]]</f>
        <v>#NUM!</v>
      </c>
      <c r="U2807" s="61" t="str">
        <f t="shared" si="449"/>
        <v/>
      </c>
    </row>
    <row r="2808" spans="9:21" ht="24.75" customHeight="1" x14ac:dyDescent="0.35">
      <c r="I2808" s="42">
        <f t="shared" si="440"/>
        <v>0</v>
      </c>
      <c r="J2808" s="65" t="e">
        <f t="shared" si="441"/>
        <v>#NUM!</v>
      </c>
      <c r="K2808" s="83" t="e">
        <f t="shared" si="442"/>
        <v>#NUM!</v>
      </c>
      <c r="L2808" s="83">
        <f t="shared" si="443"/>
        <v>0</v>
      </c>
      <c r="M2808" s="110" t="str">
        <f t="shared" si="444"/>
        <v/>
      </c>
      <c r="N2808" s="51" t="str">
        <f t="shared" si="445"/>
        <v/>
      </c>
      <c r="O2808" s="52" t="str">
        <f t="shared" si="446"/>
        <v/>
      </c>
      <c r="P2808" s="88">
        <f t="shared" si="447"/>
        <v>0</v>
      </c>
      <c r="Q2808" s="88">
        <f t="shared" si="448"/>
        <v>0</v>
      </c>
      <c r="R2808" s="88" t="e">
        <f>-IF(Tabla14[[#This Row],[DIAS HABILES O MORA]]&lt;0,(Tabla14[[#This Row],[VALOR PRESTAMO]]*Tabla14[[#This Row],[% INTERES ]]/30*U2808))+Tabla14[[#This Row],[VALOR CUOTAS]]</f>
        <v>#VALUE!</v>
      </c>
      <c r="S2808" s="88">
        <f>-IF(Tabla14[[#This Row],[DIAS HABILES O MORA]]&lt;0,(Tabla14[[#This Row],[VALOR PRESTAMO]]*Tabla14[[#This Row],[% INTERES ]]/30*U2808))</f>
        <v>0</v>
      </c>
      <c r="T2808" s="53" t="e">
        <f>Tabla14[[#This Row],[DEUDA CAPITAL]]+Tabla14[[#This Row],[INTERES  CUOTA]]</f>
        <v>#NUM!</v>
      </c>
      <c r="U2808" s="61" t="str">
        <f t="shared" si="449"/>
        <v/>
      </c>
    </row>
    <row r="2809" spans="9:21" ht="24.75" customHeight="1" x14ac:dyDescent="0.35">
      <c r="I2809" s="42">
        <f t="shared" si="440"/>
        <v>0</v>
      </c>
      <c r="J2809" s="65" t="e">
        <f t="shared" si="441"/>
        <v>#NUM!</v>
      </c>
      <c r="K2809" s="83" t="e">
        <f t="shared" si="442"/>
        <v>#NUM!</v>
      </c>
      <c r="L2809" s="83">
        <f t="shared" si="443"/>
        <v>0</v>
      </c>
      <c r="M2809" s="110" t="str">
        <f t="shared" si="444"/>
        <v/>
      </c>
      <c r="N2809" s="51" t="str">
        <f t="shared" si="445"/>
        <v/>
      </c>
      <c r="O2809" s="52" t="str">
        <f t="shared" si="446"/>
        <v/>
      </c>
      <c r="P2809" s="88">
        <f t="shared" si="447"/>
        <v>0</v>
      </c>
      <c r="Q2809" s="88">
        <f t="shared" si="448"/>
        <v>0</v>
      </c>
      <c r="R2809" s="88" t="e">
        <f>-IF(Tabla14[[#This Row],[DIAS HABILES O MORA]]&lt;0,(Tabla14[[#This Row],[VALOR PRESTAMO]]*Tabla14[[#This Row],[% INTERES ]]/30*U2809))+Tabla14[[#This Row],[VALOR CUOTAS]]</f>
        <v>#VALUE!</v>
      </c>
      <c r="S2809" s="88">
        <f>-IF(Tabla14[[#This Row],[DIAS HABILES O MORA]]&lt;0,(Tabla14[[#This Row],[VALOR PRESTAMO]]*Tabla14[[#This Row],[% INTERES ]]/30*U2809))</f>
        <v>0</v>
      </c>
      <c r="T2809" s="53" t="e">
        <f>Tabla14[[#This Row],[DEUDA CAPITAL]]+Tabla14[[#This Row],[INTERES  CUOTA]]</f>
        <v>#NUM!</v>
      </c>
      <c r="U2809" s="61" t="str">
        <f t="shared" si="449"/>
        <v/>
      </c>
    </row>
    <row r="2810" spans="9:21" ht="24.75" customHeight="1" x14ac:dyDescent="0.35">
      <c r="I2810" s="42">
        <f t="shared" si="440"/>
        <v>0</v>
      </c>
      <c r="J2810" s="65" t="e">
        <f t="shared" si="441"/>
        <v>#NUM!</v>
      </c>
      <c r="K2810" s="83" t="e">
        <f t="shared" si="442"/>
        <v>#NUM!</v>
      </c>
      <c r="L2810" s="83">
        <f t="shared" si="443"/>
        <v>0</v>
      </c>
      <c r="M2810" s="110" t="str">
        <f t="shared" si="444"/>
        <v/>
      </c>
      <c r="N2810" s="51" t="str">
        <f t="shared" si="445"/>
        <v/>
      </c>
      <c r="O2810" s="52" t="str">
        <f t="shared" si="446"/>
        <v/>
      </c>
      <c r="P2810" s="88">
        <f t="shared" si="447"/>
        <v>0</v>
      </c>
      <c r="Q2810" s="88">
        <f t="shared" si="448"/>
        <v>0</v>
      </c>
      <c r="R2810" s="88" t="e">
        <f>-IF(Tabla14[[#This Row],[DIAS HABILES O MORA]]&lt;0,(Tabla14[[#This Row],[VALOR PRESTAMO]]*Tabla14[[#This Row],[% INTERES ]]/30*U2810))+Tabla14[[#This Row],[VALOR CUOTAS]]</f>
        <v>#VALUE!</v>
      </c>
      <c r="S2810" s="88">
        <f>-IF(Tabla14[[#This Row],[DIAS HABILES O MORA]]&lt;0,(Tabla14[[#This Row],[VALOR PRESTAMO]]*Tabla14[[#This Row],[% INTERES ]]/30*U2810))</f>
        <v>0</v>
      </c>
      <c r="T2810" s="53" t="e">
        <f>Tabla14[[#This Row],[DEUDA CAPITAL]]+Tabla14[[#This Row],[INTERES  CUOTA]]</f>
        <v>#NUM!</v>
      </c>
      <c r="U2810" s="61" t="str">
        <f t="shared" si="449"/>
        <v/>
      </c>
    </row>
    <row r="2811" spans="9:21" ht="24.75" customHeight="1" x14ac:dyDescent="0.35">
      <c r="I2811" s="42">
        <f t="shared" si="440"/>
        <v>0</v>
      </c>
      <c r="J2811" s="65" t="e">
        <f t="shared" si="441"/>
        <v>#NUM!</v>
      </c>
      <c r="K2811" s="83" t="e">
        <f t="shared" si="442"/>
        <v>#NUM!</v>
      </c>
      <c r="L2811" s="83">
        <f t="shared" si="443"/>
        <v>0</v>
      </c>
      <c r="M2811" s="110" t="str">
        <f t="shared" si="444"/>
        <v/>
      </c>
      <c r="N2811" s="51" t="str">
        <f t="shared" si="445"/>
        <v/>
      </c>
      <c r="O2811" s="52" t="str">
        <f t="shared" si="446"/>
        <v/>
      </c>
      <c r="P2811" s="88">
        <f t="shared" si="447"/>
        <v>0</v>
      </c>
      <c r="Q2811" s="88">
        <f t="shared" si="448"/>
        <v>0</v>
      </c>
      <c r="R2811" s="88" t="e">
        <f>-IF(Tabla14[[#This Row],[DIAS HABILES O MORA]]&lt;0,(Tabla14[[#This Row],[VALOR PRESTAMO]]*Tabla14[[#This Row],[% INTERES ]]/30*U2811))+Tabla14[[#This Row],[VALOR CUOTAS]]</f>
        <v>#VALUE!</v>
      </c>
      <c r="S2811" s="88">
        <f>-IF(Tabla14[[#This Row],[DIAS HABILES O MORA]]&lt;0,(Tabla14[[#This Row],[VALOR PRESTAMO]]*Tabla14[[#This Row],[% INTERES ]]/30*U2811))</f>
        <v>0</v>
      </c>
      <c r="T2811" s="53" t="e">
        <f>Tabla14[[#This Row],[DEUDA CAPITAL]]+Tabla14[[#This Row],[INTERES  CUOTA]]</f>
        <v>#NUM!</v>
      </c>
      <c r="U2811" s="61" t="str">
        <f t="shared" si="449"/>
        <v/>
      </c>
    </row>
    <row r="2812" spans="9:21" ht="24.75" customHeight="1" x14ac:dyDescent="0.35">
      <c r="I2812" s="42">
        <f t="shared" si="440"/>
        <v>0</v>
      </c>
      <c r="J2812" s="65" t="e">
        <f t="shared" si="441"/>
        <v>#NUM!</v>
      </c>
      <c r="K2812" s="83" t="e">
        <f t="shared" si="442"/>
        <v>#NUM!</v>
      </c>
      <c r="L2812" s="83">
        <f t="shared" si="443"/>
        <v>0</v>
      </c>
      <c r="M2812" s="110" t="str">
        <f t="shared" si="444"/>
        <v/>
      </c>
      <c r="N2812" s="51" t="str">
        <f t="shared" si="445"/>
        <v/>
      </c>
      <c r="O2812" s="52" t="str">
        <f t="shared" si="446"/>
        <v/>
      </c>
      <c r="P2812" s="88">
        <f t="shared" si="447"/>
        <v>0</v>
      </c>
      <c r="Q2812" s="88">
        <f t="shared" si="448"/>
        <v>0</v>
      </c>
      <c r="R2812" s="88" t="e">
        <f>-IF(Tabla14[[#This Row],[DIAS HABILES O MORA]]&lt;0,(Tabla14[[#This Row],[VALOR PRESTAMO]]*Tabla14[[#This Row],[% INTERES ]]/30*U2812))+Tabla14[[#This Row],[VALOR CUOTAS]]</f>
        <v>#VALUE!</v>
      </c>
      <c r="S2812" s="88">
        <f>-IF(Tabla14[[#This Row],[DIAS HABILES O MORA]]&lt;0,(Tabla14[[#This Row],[VALOR PRESTAMO]]*Tabla14[[#This Row],[% INTERES ]]/30*U2812))</f>
        <v>0</v>
      </c>
      <c r="T2812" s="53" t="e">
        <f>Tabla14[[#This Row],[DEUDA CAPITAL]]+Tabla14[[#This Row],[INTERES  CUOTA]]</f>
        <v>#NUM!</v>
      </c>
      <c r="U2812" s="61" t="str">
        <f t="shared" si="449"/>
        <v/>
      </c>
    </row>
    <row r="2813" spans="9:21" ht="24.75" customHeight="1" x14ac:dyDescent="0.35">
      <c r="I2813" s="42">
        <f t="shared" si="440"/>
        <v>0</v>
      </c>
      <c r="J2813" s="65" t="e">
        <f t="shared" si="441"/>
        <v>#NUM!</v>
      </c>
      <c r="K2813" s="83" t="e">
        <f t="shared" si="442"/>
        <v>#NUM!</v>
      </c>
      <c r="L2813" s="83">
        <f t="shared" si="443"/>
        <v>0</v>
      </c>
      <c r="M2813" s="110" t="str">
        <f t="shared" si="444"/>
        <v/>
      </c>
      <c r="N2813" s="51" t="str">
        <f t="shared" si="445"/>
        <v/>
      </c>
      <c r="O2813" s="52" t="str">
        <f t="shared" si="446"/>
        <v/>
      </c>
      <c r="P2813" s="88">
        <f t="shared" si="447"/>
        <v>0</v>
      </c>
      <c r="Q2813" s="88">
        <f t="shared" si="448"/>
        <v>0</v>
      </c>
      <c r="R2813" s="88" t="e">
        <f>-IF(Tabla14[[#This Row],[DIAS HABILES O MORA]]&lt;0,(Tabla14[[#This Row],[VALOR PRESTAMO]]*Tabla14[[#This Row],[% INTERES ]]/30*U2813))+Tabla14[[#This Row],[VALOR CUOTAS]]</f>
        <v>#VALUE!</v>
      </c>
      <c r="S2813" s="88">
        <f>-IF(Tabla14[[#This Row],[DIAS HABILES O MORA]]&lt;0,(Tabla14[[#This Row],[VALOR PRESTAMO]]*Tabla14[[#This Row],[% INTERES ]]/30*U2813))</f>
        <v>0</v>
      </c>
      <c r="T2813" s="53" t="e">
        <f>Tabla14[[#This Row],[DEUDA CAPITAL]]+Tabla14[[#This Row],[INTERES  CUOTA]]</f>
        <v>#NUM!</v>
      </c>
      <c r="U2813" s="61" t="str">
        <f t="shared" si="449"/>
        <v/>
      </c>
    </row>
    <row r="2814" spans="9:21" ht="24.75" customHeight="1" x14ac:dyDescent="0.35">
      <c r="I2814" s="42">
        <f t="shared" si="440"/>
        <v>0</v>
      </c>
      <c r="J2814" s="65" t="e">
        <f t="shared" si="441"/>
        <v>#NUM!</v>
      </c>
      <c r="K2814" s="83" t="e">
        <f t="shared" si="442"/>
        <v>#NUM!</v>
      </c>
      <c r="L2814" s="83">
        <f t="shared" si="443"/>
        <v>0</v>
      </c>
      <c r="M2814" s="110" t="str">
        <f t="shared" si="444"/>
        <v/>
      </c>
      <c r="N2814" s="51" t="str">
        <f t="shared" si="445"/>
        <v/>
      </c>
      <c r="O2814" s="52" t="str">
        <f t="shared" si="446"/>
        <v/>
      </c>
      <c r="P2814" s="88">
        <f t="shared" si="447"/>
        <v>0</v>
      </c>
      <c r="Q2814" s="88">
        <f t="shared" si="448"/>
        <v>0</v>
      </c>
      <c r="R2814" s="88" t="e">
        <f>-IF(Tabla14[[#This Row],[DIAS HABILES O MORA]]&lt;0,(Tabla14[[#This Row],[VALOR PRESTAMO]]*Tabla14[[#This Row],[% INTERES ]]/30*U2814))+Tabla14[[#This Row],[VALOR CUOTAS]]</f>
        <v>#VALUE!</v>
      </c>
      <c r="S2814" s="88">
        <f>-IF(Tabla14[[#This Row],[DIAS HABILES O MORA]]&lt;0,(Tabla14[[#This Row],[VALOR PRESTAMO]]*Tabla14[[#This Row],[% INTERES ]]/30*U2814))</f>
        <v>0</v>
      </c>
      <c r="T2814" s="53" t="e">
        <f>Tabla14[[#This Row],[DEUDA CAPITAL]]+Tabla14[[#This Row],[INTERES  CUOTA]]</f>
        <v>#NUM!</v>
      </c>
      <c r="U2814" s="61" t="str">
        <f t="shared" si="449"/>
        <v/>
      </c>
    </row>
    <row r="2815" spans="9:21" ht="24.75" customHeight="1" x14ac:dyDescent="0.35">
      <c r="I2815" s="42">
        <f t="shared" si="440"/>
        <v>0</v>
      </c>
      <c r="J2815" s="65" t="e">
        <f t="shared" si="441"/>
        <v>#NUM!</v>
      </c>
      <c r="K2815" s="83" t="e">
        <f t="shared" si="442"/>
        <v>#NUM!</v>
      </c>
      <c r="L2815" s="83">
        <f t="shared" si="443"/>
        <v>0</v>
      </c>
      <c r="M2815" s="110" t="str">
        <f t="shared" si="444"/>
        <v/>
      </c>
      <c r="N2815" s="51" t="str">
        <f t="shared" si="445"/>
        <v/>
      </c>
      <c r="O2815" s="52" t="str">
        <f t="shared" si="446"/>
        <v/>
      </c>
      <c r="P2815" s="88">
        <f t="shared" si="447"/>
        <v>0</v>
      </c>
      <c r="Q2815" s="88">
        <f t="shared" si="448"/>
        <v>0</v>
      </c>
      <c r="R2815" s="88" t="e">
        <f>-IF(Tabla14[[#This Row],[DIAS HABILES O MORA]]&lt;0,(Tabla14[[#This Row],[VALOR PRESTAMO]]*Tabla14[[#This Row],[% INTERES ]]/30*U2815))+Tabla14[[#This Row],[VALOR CUOTAS]]</f>
        <v>#VALUE!</v>
      </c>
      <c r="S2815" s="88">
        <f>-IF(Tabla14[[#This Row],[DIAS HABILES O MORA]]&lt;0,(Tabla14[[#This Row],[VALOR PRESTAMO]]*Tabla14[[#This Row],[% INTERES ]]/30*U2815))</f>
        <v>0</v>
      </c>
      <c r="T2815" s="53" t="e">
        <f>Tabla14[[#This Row],[DEUDA CAPITAL]]+Tabla14[[#This Row],[INTERES  CUOTA]]</f>
        <v>#NUM!</v>
      </c>
      <c r="U2815" s="61" t="str">
        <f t="shared" si="449"/>
        <v/>
      </c>
    </row>
    <row r="2816" spans="9:21" ht="24.75" customHeight="1" x14ac:dyDescent="0.35">
      <c r="I2816" s="42">
        <f t="shared" si="440"/>
        <v>0</v>
      </c>
      <c r="J2816" s="65" t="e">
        <f t="shared" si="441"/>
        <v>#NUM!</v>
      </c>
      <c r="K2816" s="83" t="e">
        <f t="shared" si="442"/>
        <v>#NUM!</v>
      </c>
      <c r="L2816" s="83">
        <f t="shared" si="443"/>
        <v>0</v>
      </c>
      <c r="M2816" s="110" t="str">
        <f t="shared" si="444"/>
        <v/>
      </c>
      <c r="N2816" s="51" t="str">
        <f t="shared" si="445"/>
        <v/>
      </c>
      <c r="O2816" s="52" t="str">
        <f t="shared" si="446"/>
        <v/>
      </c>
      <c r="P2816" s="88">
        <f t="shared" si="447"/>
        <v>0</v>
      </c>
      <c r="Q2816" s="88">
        <f t="shared" si="448"/>
        <v>0</v>
      </c>
      <c r="R2816" s="88" t="e">
        <f>-IF(Tabla14[[#This Row],[DIAS HABILES O MORA]]&lt;0,(Tabla14[[#This Row],[VALOR PRESTAMO]]*Tabla14[[#This Row],[% INTERES ]]/30*U2816))+Tabla14[[#This Row],[VALOR CUOTAS]]</f>
        <v>#VALUE!</v>
      </c>
      <c r="S2816" s="88">
        <f>-IF(Tabla14[[#This Row],[DIAS HABILES O MORA]]&lt;0,(Tabla14[[#This Row],[VALOR PRESTAMO]]*Tabla14[[#This Row],[% INTERES ]]/30*U2816))</f>
        <v>0</v>
      </c>
      <c r="T2816" s="53" t="e">
        <f>Tabla14[[#This Row],[DEUDA CAPITAL]]+Tabla14[[#This Row],[INTERES  CUOTA]]</f>
        <v>#NUM!</v>
      </c>
      <c r="U2816" s="61" t="str">
        <f t="shared" si="449"/>
        <v/>
      </c>
    </row>
    <row r="2817" spans="9:21" ht="24.75" customHeight="1" x14ac:dyDescent="0.35">
      <c r="I2817" s="42">
        <f t="shared" si="440"/>
        <v>0</v>
      </c>
      <c r="J2817" s="65" t="e">
        <f t="shared" si="441"/>
        <v>#NUM!</v>
      </c>
      <c r="K2817" s="83" t="e">
        <f t="shared" si="442"/>
        <v>#NUM!</v>
      </c>
      <c r="L2817" s="83">
        <f t="shared" si="443"/>
        <v>0</v>
      </c>
      <c r="M2817" s="110" t="str">
        <f t="shared" si="444"/>
        <v/>
      </c>
      <c r="N2817" s="51" t="str">
        <f t="shared" si="445"/>
        <v/>
      </c>
      <c r="O2817" s="52" t="str">
        <f t="shared" si="446"/>
        <v/>
      </c>
      <c r="P2817" s="88">
        <f t="shared" si="447"/>
        <v>0</v>
      </c>
      <c r="Q2817" s="88">
        <f t="shared" si="448"/>
        <v>0</v>
      </c>
      <c r="R2817" s="88" t="e">
        <f>-IF(Tabla14[[#This Row],[DIAS HABILES O MORA]]&lt;0,(Tabla14[[#This Row],[VALOR PRESTAMO]]*Tabla14[[#This Row],[% INTERES ]]/30*U2817))+Tabla14[[#This Row],[VALOR CUOTAS]]</f>
        <v>#VALUE!</v>
      </c>
      <c r="S2817" s="88">
        <f>-IF(Tabla14[[#This Row],[DIAS HABILES O MORA]]&lt;0,(Tabla14[[#This Row],[VALOR PRESTAMO]]*Tabla14[[#This Row],[% INTERES ]]/30*U2817))</f>
        <v>0</v>
      </c>
      <c r="T2817" s="53" t="e">
        <f>Tabla14[[#This Row],[DEUDA CAPITAL]]+Tabla14[[#This Row],[INTERES  CUOTA]]</f>
        <v>#NUM!</v>
      </c>
      <c r="U2817" s="61" t="str">
        <f t="shared" si="449"/>
        <v/>
      </c>
    </row>
    <row r="2818" spans="9:21" ht="24.75" customHeight="1" x14ac:dyDescent="0.35">
      <c r="I2818" s="42">
        <f t="shared" si="440"/>
        <v>0</v>
      </c>
      <c r="J2818" s="65" t="e">
        <f t="shared" si="441"/>
        <v>#NUM!</v>
      </c>
      <c r="K2818" s="83" t="e">
        <f t="shared" si="442"/>
        <v>#NUM!</v>
      </c>
      <c r="L2818" s="83">
        <f t="shared" si="443"/>
        <v>0</v>
      </c>
      <c r="M2818" s="110" t="str">
        <f t="shared" si="444"/>
        <v/>
      </c>
      <c r="N2818" s="51" t="str">
        <f t="shared" si="445"/>
        <v/>
      </c>
      <c r="O2818" s="52" t="str">
        <f t="shared" si="446"/>
        <v/>
      </c>
      <c r="P2818" s="88">
        <f t="shared" si="447"/>
        <v>0</v>
      </c>
      <c r="Q2818" s="88">
        <f t="shared" si="448"/>
        <v>0</v>
      </c>
      <c r="R2818" s="88" t="e">
        <f>-IF(Tabla14[[#This Row],[DIAS HABILES O MORA]]&lt;0,(Tabla14[[#This Row],[VALOR PRESTAMO]]*Tabla14[[#This Row],[% INTERES ]]/30*U2818))+Tabla14[[#This Row],[VALOR CUOTAS]]</f>
        <v>#VALUE!</v>
      </c>
      <c r="S2818" s="88">
        <f>-IF(Tabla14[[#This Row],[DIAS HABILES O MORA]]&lt;0,(Tabla14[[#This Row],[VALOR PRESTAMO]]*Tabla14[[#This Row],[% INTERES ]]/30*U2818))</f>
        <v>0</v>
      </c>
      <c r="T2818" s="53" t="e">
        <f>Tabla14[[#This Row],[DEUDA CAPITAL]]+Tabla14[[#This Row],[INTERES  CUOTA]]</f>
        <v>#NUM!</v>
      </c>
      <c r="U2818" s="61" t="str">
        <f t="shared" si="449"/>
        <v/>
      </c>
    </row>
    <row r="2819" spans="9:21" ht="24.75" customHeight="1" x14ac:dyDescent="0.35">
      <c r="I2819" s="42">
        <f t="shared" si="440"/>
        <v>0</v>
      </c>
      <c r="J2819" s="65" t="e">
        <f t="shared" si="441"/>
        <v>#NUM!</v>
      </c>
      <c r="K2819" s="83" t="e">
        <f t="shared" si="442"/>
        <v>#NUM!</v>
      </c>
      <c r="L2819" s="83">
        <f t="shared" si="443"/>
        <v>0</v>
      </c>
      <c r="M2819" s="110" t="str">
        <f t="shared" si="444"/>
        <v/>
      </c>
      <c r="N2819" s="51" t="str">
        <f t="shared" si="445"/>
        <v/>
      </c>
      <c r="O2819" s="52" t="str">
        <f t="shared" si="446"/>
        <v/>
      </c>
      <c r="P2819" s="88">
        <f t="shared" si="447"/>
        <v>0</v>
      </c>
      <c r="Q2819" s="88">
        <f t="shared" si="448"/>
        <v>0</v>
      </c>
      <c r="R2819" s="88" t="e">
        <f>-IF(Tabla14[[#This Row],[DIAS HABILES O MORA]]&lt;0,(Tabla14[[#This Row],[VALOR PRESTAMO]]*Tabla14[[#This Row],[% INTERES ]]/30*U2819))+Tabla14[[#This Row],[VALOR CUOTAS]]</f>
        <v>#VALUE!</v>
      </c>
      <c r="S2819" s="88">
        <f>-IF(Tabla14[[#This Row],[DIAS HABILES O MORA]]&lt;0,(Tabla14[[#This Row],[VALOR PRESTAMO]]*Tabla14[[#This Row],[% INTERES ]]/30*U2819))</f>
        <v>0</v>
      </c>
      <c r="T2819" s="53" t="e">
        <f>Tabla14[[#This Row],[DEUDA CAPITAL]]+Tabla14[[#This Row],[INTERES  CUOTA]]</f>
        <v>#NUM!</v>
      </c>
      <c r="U2819" s="61" t="str">
        <f t="shared" si="449"/>
        <v/>
      </c>
    </row>
    <row r="2820" spans="9:21" ht="24.75" customHeight="1" x14ac:dyDescent="0.35">
      <c r="I2820" s="42">
        <f t="shared" si="440"/>
        <v>0</v>
      </c>
      <c r="J2820" s="65" t="e">
        <f t="shared" si="441"/>
        <v>#NUM!</v>
      </c>
      <c r="K2820" s="83" t="e">
        <f t="shared" si="442"/>
        <v>#NUM!</v>
      </c>
      <c r="L2820" s="83">
        <f t="shared" si="443"/>
        <v>0</v>
      </c>
      <c r="M2820" s="110" t="str">
        <f t="shared" si="444"/>
        <v/>
      </c>
      <c r="N2820" s="51" t="str">
        <f t="shared" si="445"/>
        <v/>
      </c>
      <c r="O2820" s="52" t="str">
        <f t="shared" si="446"/>
        <v/>
      </c>
      <c r="P2820" s="88">
        <f t="shared" si="447"/>
        <v>0</v>
      </c>
      <c r="Q2820" s="88">
        <f t="shared" si="448"/>
        <v>0</v>
      </c>
      <c r="R2820" s="88" t="e">
        <f>-IF(Tabla14[[#This Row],[DIAS HABILES O MORA]]&lt;0,(Tabla14[[#This Row],[VALOR PRESTAMO]]*Tabla14[[#This Row],[% INTERES ]]/30*U2820))+Tabla14[[#This Row],[VALOR CUOTAS]]</f>
        <v>#VALUE!</v>
      </c>
      <c r="S2820" s="88">
        <f>-IF(Tabla14[[#This Row],[DIAS HABILES O MORA]]&lt;0,(Tabla14[[#This Row],[VALOR PRESTAMO]]*Tabla14[[#This Row],[% INTERES ]]/30*U2820))</f>
        <v>0</v>
      </c>
      <c r="T2820" s="53" t="e">
        <f>Tabla14[[#This Row],[DEUDA CAPITAL]]+Tabla14[[#This Row],[INTERES  CUOTA]]</f>
        <v>#NUM!</v>
      </c>
      <c r="U2820" s="61" t="str">
        <f t="shared" si="449"/>
        <v/>
      </c>
    </row>
    <row r="2821" spans="9:21" ht="24.75" customHeight="1" x14ac:dyDescent="0.35">
      <c r="I2821" s="42">
        <f t="shared" si="440"/>
        <v>0</v>
      </c>
      <c r="J2821" s="65" t="e">
        <f t="shared" si="441"/>
        <v>#NUM!</v>
      </c>
      <c r="K2821" s="83" t="e">
        <f t="shared" si="442"/>
        <v>#NUM!</v>
      </c>
      <c r="L2821" s="83">
        <f t="shared" si="443"/>
        <v>0</v>
      </c>
      <c r="M2821" s="110" t="str">
        <f t="shared" si="444"/>
        <v/>
      </c>
      <c r="N2821" s="51" t="str">
        <f t="shared" si="445"/>
        <v/>
      </c>
      <c r="O2821" s="52" t="str">
        <f t="shared" si="446"/>
        <v/>
      </c>
      <c r="P2821" s="88">
        <f t="shared" si="447"/>
        <v>0</v>
      </c>
      <c r="Q2821" s="88">
        <f t="shared" si="448"/>
        <v>0</v>
      </c>
      <c r="R2821" s="88" t="e">
        <f>-IF(Tabla14[[#This Row],[DIAS HABILES O MORA]]&lt;0,(Tabla14[[#This Row],[VALOR PRESTAMO]]*Tabla14[[#This Row],[% INTERES ]]/30*U2821))+Tabla14[[#This Row],[VALOR CUOTAS]]</f>
        <v>#VALUE!</v>
      </c>
      <c r="S2821" s="88">
        <f>-IF(Tabla14[[#This Row],[DIAS HABILES O MORA]]&lt;0,(Tabla14[[#This Row],[VALOR PRESTAMO]]*Tabla14[[#This Row],[% INTERES ]]/30*U2821))</f>
        <v>0</v>
      </c>
      <c r="T2821" s="53" t="e">
        <f>Tabla14[[#This Row],[DEUDA CAPITAL]]+Tabla14[[#This Row],[INTERES  CUOTA]]</f>
        <v>#NUM!</v>
      </c>
      <c r="U2821" s="61" t="str">
        <f t="shared" si="449"/>
        <v/>
      </c>
    </row>
    <row r="2822" spans="9:21" ht="24.75" customHeight="1" x14ac:dyDescent="0.35">
      <c r="I2822" s="42">
        <f t="shared" si="440"/>
        <v>0</v>
      </c>
      <c r="J2822" s="65" t="e">
        <f t="shared" si="441"/>
        <v>#NUM!</v>
      </c>
      <c r="K2822" s="83" t="e">
        <f t="shared" si="442"/>
        <v>#NUM!</v>
      </c>
      <c r="L2822" s="83">
        <f t="shared" si="443"/>
        <v>0</v>
      </c>
      <c r="M2822" s="110" t="str">
        <f t="shared" si="444"/>
        <v/>
      </c>
      <c r="N2822" s="51" t="str">
        <f t="shared" si="445"/>
        <v/>
      </c>
      <c r="O2822" s="52" t="str">
        <f t="shared" si="446"/>
        <v/>
      </c>
      <c r="P2822" s="88">
        <f t="shared" si="447"/>
        <v>0</v>
      </c>
      <c r="Q2822" s="88">
        <f t="shared" si="448"/>
        <v>0</v>
      </c>
      <c r="R2822" s="88" t="e">
        <f>-IF(Tabla14[[#This Row],[DIAS HABILES O MORA]]&lt;0,(Tabla14[[#This Row],[VALOR PRESTAMO]]*Tabla14[[#This Row],[% INTERES ]]/30*U2822))+Tabla14[[#This Row],[VALOR CUOTAS]]</f>
        <v>#VALUE!</v>
      </c>
      <c r="S2822" s="88">
        <f>-IF(Tabla14[[#This Row],[DIAS HABILES O MORA]]&lt;0,(Tabla14[[#This Row],[VALOR PRESTAMO]]*Tabla14[[#This Row],[% INTERES ]]/30*U2822))</f>
        <v>0</v>
      </c>
      <c r="T2822" s="53" t="e">
        <f>Tabla14[[#This Row],[DEUDA CAPITAL]]+Tabla14[[#This Row],[INTERES  CUOTA]]</f>
        <v>#NUM!</v>
      </c>
      <c r="U2822" s="61" t="str">
        <f t="shared" si="449"/>
        <v/>
      </c>
    </row>
    <row r="2823" spans="9:21" ht="24.75" customHeight="1" x14ac:dyDescent="0.35">
      <c r="I2823" s="42">
        <f t="shared" si="440"/>
        <v>0</v>
      </c>
      <c r="J2823" s="65" t="e">
        <f t="shared" si="441"/>
        <v>#NUM!</v>
      </c>
      <c r="K2823" s="83" t="e">
        <f t="shared" si="442"/>
        <v>#NUM!</v>
      </c>
      <c r="L2823" s="83">
        <f t="shared" si="443"/>
        <v>0</v>
      </c>
      <c r="M2823" s="110" t="str">
        <f t="shared" si="444"/>
        <v/>
      </c>
      <c r="N2823" s="51" t="str">
        <f t="shared" si="445"/>
        <v/>
      </c>
      <c r="O2823" s="52" t="str">
        <f t="shared" si="446"/>
        <v/>
      </c>
      <c r="P2823" s="88">
        <f t="shared" si="447"/>
        <v>0</v>
      </c>
      <c r="Q2823" s="88">
        <f t="shared" si="448"/>
        <v>0</v>
      </c>
      <c r="R2823" s="88" t="e">
        <f>-IF(Tabla14[[#This Row],[DIAS HABILES O MORA]]&lt;0,(Tabla14[[#This Row],[VALOR PRESTAMO]]*Tabla14[[#This Row],[% INTERES ]]/30*U2823))+Tabla14[[#This Row],[VALOR CUOTAS]]</f>
        <v>#VALUE!</v>
      </c>
      <c r="S2823" s="88">
        <f>-IF(Tabla14[[#This Row],[DIAS HABILES O MORA]]&lt;0,(Tabla14[[#This Row],[VALOR PRESTAMO]]*Tabla14[[#This Row],[% INTERES ]]/30*U2823))</f>
        <v>0</v>
      </c>
      <c r="T2823" s="53" t="e">
        <f>Tabla14[[#This Row],[DEUDA CAPITAL]]+Tabla14[[#This Row],[INTERES  CUOTA]]</f>
        <v>#NUM!</v>
      </c>
      <c r="U2823" s="61" t="str">
        <f t="shared" si="449"/>
        <v/>
      </c>
    </row>
    <row r="2824" spans="9:21" ht="24.75" customHeight="1" x14ac:dyDescent="0.35">
      <c r="I2824" s="42">
        <f t="shared" si="440"/>
        <v>0</v>
      </c>
      <c r="J2824" s="65" t="e">
        <f t="shared" si="441"/>
        <v>#NUM!</v>
      </c>
      <c r="K2824" s="83" t="e">
        <f t="shared" si="442"/>
        <v>#NUM!</v>
      </c>
      <c r="L2824" s="83">
        <f t="shared" si="443"/>
        <v>0</v>
      </c>
      <c r="M2824" s="110" t="str">
        <f t="shared" si="444"/>
        <v/>
      </c>
      <c r="N2824" s="51" t="str">
        <f t="shared" si="445"/>
        <v/>
      </c>
      <c r="O2824" s="52" t="str">
        <f t="shared" si="446"/>
        <v/>
      </c>
      <c r="P2824" s="88">
        <f t="shared" si="447"/>
        <v>0</v>
      </c>
      <c r="Q2824" s="88">
        <f t="shared" si="448"/>
        <v>0</v>
      </c>
      <c r="R2824" s="88" t="e">
        <f>-IF(Tabla14[[#This Row],[DIAS HABILES O MORA]]&lt;0,(Tabla14[[#This Row],[VALOR PRESTAMO]]*Tabla14[[#This Row],[% INTERES ]]/30*U2824))+Tabla14[[#This Row],[VALOR CUOTAS]]</f>
        <v>#VALUE!</v>
      </c>
      <c r="S2824" s="88">
        <f>-IF(Tabla14[[#This Row],[DIAS HABILES O MORA]]&lt;0,(Tabla14[[#This Row],[VALOR PRESTAMO]]*Tabla14[[#This Row],[% INTERES ]]/30*U2824))</f>
        <v>0</v>
      </c>
      <c r="T2824" s="53" t="e">
        <f>Tabla14[[#This Row],[DEUDA CAPITAL]]+Tabla14[[#This Row],[INTERES  CUOTA]]</f>
        <v>#NUM!</v>
      </c>
      <c r="U2824" s="61" t="str">
        <f t="shared" si="449"/>
        <v/>
      </c>
    </row>
    <row r="2825" spans="9:21" ht="24.75" customHeight="1" x14ac:dyDescent="0.35">
      <c r="I2825" s="42">
        <f t="shared" si="440"/>
        <v>0</v>
      </c>
      <c r="J2825" s="65" t="e">
        <f t="shared" si="441"/>
        <v>#NUM!</v>
      </c>
      <c r="K2825" s="83" t="e">
        <f t="shared" si="442"/>
        <v>#NUM!</v>
      </c>
      <c r="L2825" s="83">
        <f t="shared" si="443"/>
        <v>0</v>
      </c>
      <c r="M2825" s="110" t="str">
        <f t="shared" si="444"/>
        <v/>
      </c>
      <c r="N2825" s="51" t="str">
        <f t="shared" si="445"/>
        <v/>
      </c>
      <c r="O2825" s="52" t="str">
        <f t="shared" si="446"/>
        <v/>
      </c>
      <c r="P2825" s="88">
        <f t="shared" si="447"/>
        <v>0</v>
      </c>
      <c r="Q2825" s="88">
        <f t="shared" si="448"/>
        <v>0</v>
      </c>
      <c r="R2825" s="88" t="e">
        <f>-IF(Tabla14[[#This Row],[DIAS HABILES O MORA]]&lt;0,(Tabla14[[#This Row],[VALOR PRESTAMO]]*Tabla14[[#This Row],[% INTERES ]]/30*U2825))+Tabla14[[#This Row],[VALOR CUOTAS]]</f>
        <v>#VALUE!</v>
      </c>
      <c r="S2825" s="88">
        <f>-IF(Tabla14[[#This Row],[DIAS HABILES O MORA]]&lt;0,(Tabla14[[#This Row],[VALOR PRESTAMO]]*Tabla14[[#This Row],[% INTERES ]]/30*U2825))</f>
        <v>0</v>
      </c>
      <c r="T2825" s="53" t="e">
        <f>Tabla14[[#This Row],[DEUDA CAPITAL]]+Tabla14[[#This Row],[INTERES  CUOTA]]</f>
        <v>#NUM!</v>
      </c>
      <c r="U2825" s="61" t="str">
        <f t="shared" si="449"/>
        <v/>
      </c>
    </row>
    <row r="2826" spans="9:21" ht="24.75" customHeight="1" x14ac:dyDescent="0.35">
      <c r="I2826" s="42">
        <f t="shared" si="440"/>
        <v>0</v>
      </c>
      <c r="J2826" s="65" t="e">
        <f t="shared" si="441"/>
        <v>#NUM!</v>
      </c>
      <c r="K2826" s="83" t="e">
        <f t="shared" si="442"/>
        <v>#NUM!</v>
      </c>
      <c r="L2826" s="83">
        <f t="shared" si="443"/>
        <v>0</v>
      </c>
      <c r="M2826" s="110" t="str">
        <f t="shared" si="444"/>
        <v/>
      </c>
      <c r="N2826" s="51" t="str">
        <f t="shared" si="445"/>
        <v/>
      </c>
      <c r="O2826" s="52" t="str">
        <f t="shared" si="446"/>
        <v/>
      </c>
      <c r="P2826" s="88">
        <f t="shared" si="447"/>
        <v>0</v>
      </c>
      <c r="Q2826" s="88">
        <f t="shared" si="448"/>
        <v>0</v>
      </c>
      <c r="R2826" s="88" t="e">
        <f>-IF(Tabla14[[#This Row],[DIAS HABILES O MORA]]&lt;0,(Tabla14[[#This Row],[VALOR PRESTAMO]]*Tabla14[[#This Row],[% INTERES ]]/30*U2826))+Tabla14[[#This Row],[VALOR CUOTAS]]</f>
        <v>#VALUE!</v>
      </c>
      <c r="S2826" s="88">
        <f>-IF(Tabla14[[#This Row],[DIAS HABILES O MORA]]&lt;0,(Tabla14[[#This Row],[VALOR PRESTAMO]]*Tabla14[[#This Row],[% INTERES ]]/30*U2826))</f>
        <v>0</v>
      </c>
      <c r="T2826" s="53" t="e">
        <f>Tabla14[[#This Row],[DEUDA CAPITAL]]+Tabla14[[#This Row],[INTERES  CUOTA]]</f>
        <v>#NUM!</v>
      </c>
      <c r="U2826" s="61" t="str">
        <f t="shared" si="449"/>
        <v/>
      </c>
    </row>
    <row r="2827" spans="9:21" ht="24.75" customHeight="1" x14ac:dyDescent="0.35">
      <c r="I2827" s="42">
        <f t="shared" si="440"/>
        <v>0</v>
      </c>
      <c r="J2827" s="65" t="e">
        <f t="shared" si="441"/>
        <v>#NUM!</v>
      </c>
      <c r="K2827" s="83" t="e">
        <f t="shared" si="442"/>
        <v>#NUM!</v>
      </c>
      <c r="L2827" s="83">
        <f t="shared" si="443"/>
        <v>0</v>
      </c>
      <c r="M2827" s="110" t="str">
        <f t="shared" si="444"/>
        <v/>
      </c>
      <c r="N2827" s="51" t="str">
        <f t="shared" si="445"/>
        <v/>
      </c>
      <c r="O2827" s="52" t="str">
        <f t="shared" si="446"/>
        <v/>
      </c>
      <c r="P2827" s="88">
        <f t="shared" si="447"/>
        <v>0</v>
      </c>
      <c r="Q2827" s="88">
        <f t="shared" si="448"/>
        <v>0</v>
      </c>
      <c r="R2827" s="88" t="e">
        <f>-IF(Tabla14[[#This Row],[DIAS HABILES O MORA]]&lt;0,(Tabla14[[#This Row],[VALOR PRESTAMO]]*Tabla14[[#This Row],[% INTERES ]]/30*U2827))+Tabla14[[#This Row],[VALOR CUOTAS]]</f>
        <v>#VALUE!</v>
      </c>
      <c r="S2827" s="88">
        <f>-IF(Tabla14[[#This Row],[DIAS HABILES O MORA]]&lt;0,(Tabla14[[#This Row],[VALOR PRESTAMO]]*Tabla14[[#This Row],[% INTERES ]]/30*U2827))</f>
        <v>0</v>
      </c>
      <c r="T2827" s="53" t="e">
        <f>Tabla14[[#This Row],[DEUDA CAPITAL]]+Tabla14[[#This Row],[INTERES  CUOTA]]</f>
        <v>#NUM!</v>
      </c>
      <c r="U2827" s="61" t="str">
        <f t="shared" si="449"/>
        <v/>
      </c>
    </row>
    <row r="2828" spans="9:21" ht="24.75" customHeight="1" x14ac:dyDescent="0.35">
      <c r="I2828" s="42">
        <f t="shared" si="440"/>
        <v>0</v>
      </c>
      <c r="J2828" s="65" t="e">
        <f t="shared" si="441"/>
        <v>#NUM!</v>
      </c>
      <c r="K2828" s="83" t="e">
        <f t="shared" si="442"/>
        <v>#NUM!</v>
      </c>
      <c r="L2828" s="83">
        <f t="shared" si="443"/>
        <v>0</v>
      </c>
      <c r="M2828" s="110" t="str">
        <f t="shared" si="444"/>
        <v/>
      </c>
      <c r="N2828" s="51" t="str">
        <f t="shared" si="445"/>
        <v/>
      </c>
      <c r="O2828" s="52" t="str">
        <f t="shared" si="446"/>
        <v/>
      </c>
      <c r="P2828" s="88">
        <f t="shared" si="447"/>
        <v>0</v>
      </c>
      <c r="Q2828" s="88">
        <f t="shared" si="448"/>
        <v>0</v>
      </c>
      <c r="R2828" s="88" t="e">
        <f>-IF(Tabla14[[#This Row],[DIAS HABILES O MORA]]&lt;0,(Tabla14[[#This Row],[VALOR PRESTAMO]]*Tabla14[[#This Row],[% INTERES ]]/30*U2828))+Tabla14[[#This Row],[VALOR CUOTAS]]</f>
        <v>#VALUE!</v>
      </c>
      <c r="S2828" s="88">
        <f>-IF(Tabla14[[#This Row],[DIAS HABILES O MORA]]&lt;0,(Tabla14[[#This Row],[VALOR PRESTAMO]]*Tabla14[[#This Row],[% INTERES ]]/30*U2828))</f>
        <v>0</v>
      </c>
      <c r="T2828" s="53" t="e">
        <f>Tabla14[[#This Row],[DEUDA CAPITAL]]+Tabla14[[#This Row],[INTERES  CUOTA]]</f>
        <v>#NUM!</v>
      </c>
      <c r="U2828" s="61" t="str">
        <f t="shared" si="449"/>
        <v/>
      </c>
    </row>
    <row r="2829" spans="9:21" ht="24.75" customHeight="1" x14ac:dyDescent="0.35">
      <c r="I2829" s="42">
        <f t="shared" si="440"/>
        <v>0</v>
      </c>
      <c r="J2829" s="65" t="e">
        <f t="shared" si="441"/>
        <v>#NUM!</v>
      </c>
      <c r="K2829" s="83" t="e">
        <f t="shared" si="442"/>
        <v>#NUM!</v>
      </c>
      <c r="L2829" s="83">
        <f t="shared" si="443"/>
        <v>0</v>
      </c>
      <c r="M2829" s="110" t="str">
        <f t="shared" si="444"/>
        <v/>
      </c>
      <c r="N2829" s="51" t="str">
        <f t="shared" si="445"/>
        <v/>
      </c>
      <c r="O2829" s="52" t="str">
        <f t="shared" si="446"/>
        <v/>
      </c>
      <c r="P2829" s="88">
        <f t="shared" si="447"/>
        <v>0</v>
      </c>
      <c r="Q2829" s="88">
        <f t="shared" si="448"/>
        <v>0</v>
      </c>
      <c r="R2829" s="88" t="e">
        <f>-IF(Tabla14[[#This Row],[DIAS HABILES O MORA]]&lt;0,(Tabla14[[#This Row],[VALOR PRESTAMO]]*Tabla14[[#This Row],[% INTERES ]]/30*U2829))+Tabla14[[#This Row],[VALOR CUOTAS]]</f>
        <v>#VALUE!</v>
      </c>
      <c r="S2829" s="88">
        <f>-IF(Tabla14[[#This Row],[DIAS HABILES O MORA]]&lt;0,(Tabla14[[#This Row],[VALOR PRESTAMO]]*Tabla14[[#This Row],[% INTERES ]]/30*U2829))</f>
        <v>0</v>
      </c>
      <c r="T2829" s="53" t="e">
        <f>Tabla14[[#This Row],[DEUDA CAPITAL]]+Tabla14[[#This Row],[INTERES  CUOTA]]</f>
        <v>#NUM!</v>
      </c>
      <c r="U2829" s="61" t="str">
        <f t="shared" si="449"/>
        <v/>
      </c>
    </row>
    <row r="2830" spans="9:21" ht="24.75" customHeight="1" x14ac:dyDescent="0.35">
      <c r="I2830" s="42">
        <f t="shared" si="440"/>
        <v>0</v>
      </c>
      <c r="J2830" s="65" t="e">
        <f t="shared" si="441"/>
        <v>#NUM!</v>
      </c>
      <c r="K2830" s="83" t="e">
        <f t="shared" si="442"/>
        <v>#NUM!</v>
      </c>
      <c r="L2830" s="83">
        <f t="shared" si="443"/>
        <v>0</v>
      </c>
      <c r="M2830" s="110" t="str">
        <f t="shared" si="444"/>
        <v/>
      </c>
      <c r="N2830" s="51" t="str">
        <f t="shared" si="445"/>
        <v/>
      </c>
      <c r="O2830" s="52" t="str">
        <f t="shared" si="446"/>
        <v/>
      </c>
      <c r="P2830" s="88">
        <f t="shared" si="447"/>
        <v>0</v>
      </c>
      <c r="Q2830" s="88">
        <f t="shared" si="448"/>
        <v>0</v>
      </c>
      <c r="R2830" s="88" t="e">
        <f>-IF(Tabla14[[#This Row],[DIAS HABILES O MORA]]&lt;0,(Tabla14[[#This Row],[VALOR PRESTAMO]]*Tabla14[[#This Row],[% INTERES ]]/30*U2830))+Tabla14[[#This Row],[VALOR CUOTAS]]</f>
        <v>#VALUE!</v>
      </c>
      <c r="S2830" s="88">
        <f>-IF(Tabla14[[#This Row],[DIAS HABILES O MORA]]&lt;0,(Tabla14[[#This Row],[VALOR PRESTAMO]]*Tabla14[[#This Row],[% INTERES ]]/30*U2830))</f>
        <v>0</v>
      </c>
      <c r="T2830" s="53" t="e">
        <f>Tabla14[[#This Row],[DEUDA CAPITAL]]+Tabla14[[#This Row],[INTERES  CUOTA]]</f>
        <v>#NUM!</v>
      </c>
      <c r="U2830" s="61" t="str">
        <f t="shared" si="449"/>
        <v/>
      </c>
    </row>
    <row r="2831" spans="9:21" ht="24.75" customHeight="1" x14ac:dyDescent="0.35">
      <c r="I2831" s="42">
        <f t="shared" si="440"/>
        <v>0</v>
      </c>
      <c r="J2831" s="65" t="e">
        <f t="shared" si="441"/>
        <v>#NUM!</v>
      </c>
      <c r="K2831" s="83" t="e">
        <f t="shared" si="442"/>
        <v>#NUM!</v>
      </c>
      <c r="L2831" s="83">
        <f t="shared" si="443"/>
        <v>0</v>
      </c>
      <c r="M2831" s="110" t="str">
        <f t="shared" si="444"/>
        <v/>
      </c>
      <c r="N2831" s="51" t="str">
        <f t="shared" si="445"/>
        <v/>
      </c>
      <c r="O2831" s="52" t="str">
        <f t="shared" si="446"/>
        <v/>
      </c>
      <c r="P2831" s="88">
        <f t="shared" si="447"/>
        <v>0</v>
      </c>
      <c r="Q2831" s="88">
        <f t="shared" si="448"/>
        <v>0</v>
      </c>
      <c r="R2831" s="88" t="e">
        <f>-IF(Tabla14[[#This Row],[DIAS HABILES O MORA]]&lt;0,(Tabla14[[#This Row],[VALOR PRESTAMO]]*Tabla14[[#This Row],[% INTERES ]]/30*U2831))+Tabla14[[#This Row],[VALOR CUOTAS]]</f>
        <v>#VALUE!</v>
      </c>
      <c r="S2831" s="88">
        <f>-IF(Tabla14[[#This Row],[DIAS HABILES O MORA]]&lt;0,(Tabla14[[#This Row],[VALOR PRESTAMO]]*Tabla14[[#This Row],[% INTERES ]]/30*U2831))</f>
        <v>0</v>
      </c>
      <c r="T2831" s="53" t="e">
        <f>Tabla14[[#This Row],[DEUDA CAPITAL]]+Tabla14[[#This Row],[INTERES  CUOTA]]</f>
        <v>#NUM!</v>
      </c>
      <c r="U2831" s="61" t="str">
        <f t="shared" si="449"/>
        <v/>
      </c>
    </row>
    <row r="2832" spans="9:21" ht="24.75" customHeight="1" x14ac:dyDescent="0.35">
      <c r="I2832" s="42">
        <f t="shared" ref="I2832:I2895" si="450">IF(C2832&lt;0,"",IF(Q2832=0,0,IF(G2832=0,H2832+1,IF(H2832&lt;G2832,H2832+1,IF(G2832=H2832,0)))))</f>
        <v>0</v>
      </c>
      <c r="J2832" s="65" t="e">
        <f t="shared" ref="J2832:J2895" si="451">IF(F2832="SOLO INTERES",Q2832*D2832,-IPMT(D2832,I2832,G2832,C2832))</f>
        <v>#NUM!</v>
      </c>
      <c r="K2832" s="83" t="e">
        <f t="shared" ref="K2832:K2895" si="452">IF(F2832="SOLO INTERES",0,-PPMT(D2832,I2832,G2832,C2832))</f>
        <v>#NUM!</v>
      </c>
      <c r="L2832" s="83">
        <f t="shared" ref="L2832:L2895" si="453">IF(F2832="SOLO INTERES",SUM(Y2832:AAE2832),IFERROR(-CUMIPMT(D2832,G2832,C2832,1,H2832,0),0)+SUM(Y2832:WY2832))</f>
        <v>0</v>
      </c>
      <c r="M2832" s="110" t="str">
        <f t="shared" ref="M2832:M2895" si="454">IFERROR(IF(F2832="SOLO INTERES",Q2832*D2832,-PMT(D2832,G2832,C2832,0)),"")</f>
        <v/>
      </c>
      <c r="N2832" s="51" t="str">
        <f t="shared" ref="N2832:N2895" si="455">IF(Q2832=0,"",IF(E2832="MENSUAL",EDATE(B2832,I2832),IF(E2832="QUINCENAL",B2832+(I2832*15),IF(E2832="SEMANAL",B2832+(I2832*7)))))</f>
        <v/>
      </c>
      <c r="O2832" s="52" t="str">
        <f t="shared" ref="O2832:O2895" si="456">IF(C2832=0,"",IF(Q2832&lt;1,"PAGADO",IF(N2832=$A$3,"COBRAR HOY",IF(N2832&lt;$A$3,"EN MORA",IF(N2832&gt;$A$3,"AL DIA")))))</f>
        <v/>
      </c>
      <c r="P2832" s="88">
        <f t="shared" ref="P2832:P2895" si="457">IFERROR(-CUMPRINC(D2832,G2832,C2832,1,H2832,0),0)+W2832</f>
        <v>0</v>
      </c>
      <c r="Q2832" s="88">
        <f t="shared" ref="Q2832:Q2895" si="458">IFERROR(C2832-P2832,"")</f>
        <v>0</v>
      </c>
      <c r="R2832" s="88" t="e">
        <f>-IF(Tabla14[[#This Row],[DIAS HABILES O MORA]]&lt;0,(Tabla14[[#This Row],[VALOR PRESTAMO]]*Tabla14[[#This Row],[% INTERES ]]/30*U2832))+Tabla14[[#This Row],[VALOR CUOTAS]]</f>
        <v>#VALUE!</v>
      </c>
      <c r="S2832" s="88">
        <f>-IF(Tabla14[[#This Row],[DIAS HABILES O MORA]]&lt;0,(Tabla14[[#This Row],[VALOR PRESTAMO]]*Tabla14[[#This Row],[% INTERES ]]/30*U2832))</f>
        <v>0</v>
      </c>
      <c r="T2832" s="53" t="e">
        <f>Tabla14[[#This Row],[DEUDA CAPITAL]]+Tabla14[[#This Row],[INTERES  CUOTA]]</f>
        <v>#NUM!</v>
      </c>
      <c r="U2832" s="61" t="str">
        <f t="shared" ref="U2832:U2895" si="459">IF(O2832="PAGADO","",IFERROR(-IF(C2832=0,"",$A$3-N2832),""))</f>
        <v/>
      </c>
    </row>
    <row r="2833" spans="9:21" ht="24.75" customHeight="1" x14ac:dyDescent="0.35">
      <c r="I2833" s="42">
        <f t="shared" si="450"/>
        <v>0</v>
      </c>
      <c r="J2833" s="65" t="e">
        <f t="shared" si="451"/>
        <v>#NUM!</v>
      </c>
      <c r="K2833" s="83" t="e">
        <f t="shared" si="452"/>
        <v>#NUM!</v>
      </c>
      <c r="L2833" s="83">
        <f t="shared" si="453"/>
        <v>0</v>
      </c>
      <c r="M2833" s="110" t="str">
        <f t="shared" si="454"/>
        <v/>
      </c>
      <c r="N2833" s="51" t="str">
        <f t="shared" si="455"/>
        <v/>
      </c>
      <c r="O2833" s="52" t="str">
        <f t="shared" si="456"/>
        <v/>
      </c>
      <c r="P2833" s="88">
        <f t="shared" si="457"/>
        <v>0</v>
      </c>
      <c r="Q2833" s="88">
        <f t="shared" si="458"/>
        <v>0</v>
      </c>
      <c r="R2833" s="88" t="e">
        <f>-IF(Tabla14[[#This Row],[DIAS HABILES O MORA]]&lt;0,(Tabla14[[#This Row],[VALOR PRESTAMO]]*Tabla14[[#This Row],[% INTERES ]]/30*U2833))+Tabla14[[#This Row],[VALOR CUOTAS]]</f>
        <v>#VALUE!</v>
      </c>
      <c r="S2833" s="88">
        <f>-IF(Tabla14[[#This Row],[DIAS HABILES O MORA]]&lt;0,(Tabla14[[#This Row],[VALOR PRESTAMO]]*Tabla14[[#This Row],[% INTERES ]]/30*U2833))</f>
        <v>0</v>
      </c>
      <c r="T2833" s="53" t="e">
        <f>Tabla14[[#This Row],[DEUDA CAPITAL]]+Tabla14[[#This Row],[INTERES  CUOTA]]</f>
        <v>#NUM!</v>
      </c>
      <c r="U2833" s="61" t="str">
        <f t="shared" si="459"/>
        <v/>
      </c>
    </row>
    <row r="2834" spans="9:21" ht="24.75" customHeight="1" x14ac:dyDescent="0.35">
      <c r="I2834" s="42">
        <f t="shared" si="450"/>
        <v>0</v>
      </c>
      <c r="J2834" s="65" t="e">
        <f t="shared" si="451"/>
        <v>#NUM!</v>
      </c>
      <c r="K2834" s="83" t="e">
        <f t="shared" si="452"/>
        <v>#NUM!</v>
      </c>
      <c r="L2834" s="83">
        <f t="shared" si="453"/>
        <v>0</v>
      </c>
      <c r="M2834" s="110" t="str">
        <f t="shared" si="454"/>
        <v/>
      </c>
      <c r="N2834" s="51" t="str">
        <f t="shared" si="455"/>
        <v/>
      </c>
      <c r="O2834" s="52" t="str">
        <f t="shared" si="456"/>
        <v/>
      </c>
      <c r="P2834" s="88">
        <f t="shared" si="457"/>
        <v>0</v>
      </c>
      <c r="Q2834" s="88">
        <f t="shared" si="458"/>
        <v>0</v>
      </c>
      <c r="R2834" s="88" t="e">
        <f>-IF(Tabla14[[#This Row],[DIAS HABILES O MORA]]&lt;0,(Tabla14[[#This Row],[VALOR PRESTAMO]]*Tabla14[[#This Row],[% INTERES ]]/30*U2834))+Tabla14[[#This Row],[VALOR CUOTAS]]</f>
        <v>#VALUE!</v>
      </c>
      <c r="S2834" s="88">
        <f>-IF(Tabla14[[#This Row],[DIAS HABILES O MORA]]&lt;0,(Tabla14[[#This Row],[VALOR PRESTAMO]]*Tabla14[[#This Row],[% INTERES ]]/30*U2834))</f>
        <v>0</v>
      </c>
      <c r="T2834" s="53" t="e">
        <f>Tabla14[[#This Row],[DEUDA CAPITAL]]+Tabla14[[#This Row],[INTERES  CUOTA]]</f>
        <v>#NUM!</v>
      </c>
      <c r="U2834" s="61" t="str">
        <f t="shared" si="459"/>
        <v/>
      </c>
    </row>
    <row r="2835" spans="9:21" ht="24.75" customHeight="1" x14ac:dyDescent="0.35">
      <c r="I2835" s="42">
        <f t="shared" si="450"/>
        <v>0</v>
      </c>
      <c r="J2835" s="65" t="e">
        <f t="shared" si="451"/>
        <v>#NUM!</v>
      </c>
      <c r="K2835" s="83" t="e">
        <f t="shared" si="452"/>
        <v>#NUM!</v>
      </c>
      <c r="L2835" s="83">
        <f t="shared" si="453"/>
        <v>0</v>
      </c>
      <c r="M2835" s="110" t="str">
        <f t="shared" si="454"/>
        <v/>
      </c>
      <c r="N2835" s="51" t="str">
        <f t="shared" si="455"/>
        <v/>
      </c>
      <c r="O2835" s="52" t="str">
        <f t="shared" si="456"/>
        <v/>
      </c>
      <c r="P2835" s="88">
        <f t="shared" si="457"/>
        <v>0</v>
      </c>
      <c r="Q2835" s="88">
        <f t="shared" si="458"/>
        <v>0</v>
      </c>
      <c r="R2835" s="88" t="e">
        <f>-IF(Tabla14[[#This Row],[DIAS HABILES O MORA]]&lt;0,(Tabla14[[#This Row],[VALOR PRESTAMO]]*Tabla14[[#This Row],[% INTERES ]]/30*U2835))+Tabla14[[#This Row],[VALOR CUOTAS]]</f>
        <v>#VALUE!</v>
      </c>
      <c r="S2835" s="88">
        <f>-IF(Tabla14[[#This Row],[DIAS HABILES O MORA]]&lt;0,(Tabla14[[#This Row],[VALOR PRESTAMO]]*Tabla14[[#This Row],[% INTERES ]]/30*U2835))</f>
        <v>0</v>
      </c>
      <c r="T2835" s="53" t="e">
        <f>Tabla14[[#This Row],[DEUDA CAPITAL]]+Tabla14[[#This Row],[INTERES  CUOTA]]</f>
        <v>#NUM!</v>
      </c>
      <c r="U2835" s="61" t="str">
        <f t="shared" si="459"/>
        <v/>
      </c>
    </row>
    <row r="2836" spans="9:21" ht="24.75" customHeight="1" x14ac:dyDescent="0.35">
      <c r="I2836" s="42">
        <f t="shared" si="450"/>
        <v>0</v>
      </c>
      <c r="J2836" s="65" t="e">
        <f t="shared" si="451"/>
        <v>#NUM!</v>
      </c>
      <c r="K2836" s="83" t="e">
        <f t="shared" si="452"/>
        <v>#NUM!</v>
      </c>
      <c r="L2836" s="83">
        <f t="shared" si="453"/>
        <v>0</v>
      </c>
      <c r="M2836" s="110" t="str">
        <f t="shared" si="454"/>
        <v/>
      </c>
      <c r="N2836" s="51" t="str">
        <f t="shared" si="455"/>
        <v/>
      </c>
      <c r="O2836" s="52" t="str">
        <f t="shared" si="456"/>
        <v/>
      </c>
      <c r="P2836" s="88">
        <f t="shared" si="457"/>
        <v>0</v>
      </c>
      <c r="Q2836" s="88">
        <f t="shared" si="458"/>
        <v>0</v>
      </c>
      <c r="R2836" s="88" t="e">
        <f>-IF(Tabla14[[#This Row],[DIAS HABILES O MORA]]&lt;0,(Tabla14[[#This Row],[VALOR PRESTAMO]]*Tabla14[[#This Row],[% INTERES ]]/30*U2836))+Tabla14[[#This Row],[VALOR CUOTAS]]</f>
        <v>#VALUE!</v>
      </c>
      <c r="S2836" s="88">
        <f>-IF(Tabla14[[#This Row],[DIAS HABILES O MORA]]&lt;0,(Tabla14[[#This Row],[VALOR PRESTAMO]]*Tabla14[[#This Row],[% INTERES ]]/30*U2836))</f>
        <v>0</v>
      </c>
      <c r="T2836" s="53" t="e">
        <f>Tabla14[[#This Row],[DEUDA CAPITAL]]+Tabla14[[#This Row],[INTERES  CUOTA]]</f>
        <v>#NUM!</v>
      </c>
      <c r="U2836" s="61" t="str">
        <f t="shared" si="459"/>
        <v/>
      </c>
    </row>
    <row r="2837" spans="9:21" ht="24.75" customHeight="1" x14ac:dyDescent="0.35">
      <c r="I2837" s="42">
        <f t="shared" si="450"/>
        <v>0</v>
      </c>
      <c r="J2837" s="65" t="e">
        <f t="shared" si="451"/>
        <v>#NUM!</v>
      </c>
      <c r="K2837" s="83" t="e">
        <f t="shared" si="452"/>
        <v>#NUM!</v>
      </c>
      <c r="L2837" s="83">
        <f t="shared" si="453"/>
        <v>0</v>
      </c>
      <c r="M2837" s="110" t="str">
        <f t="shared" si="454"/>
        <v/>
      </c>
      <c r="N2837" s="51" t="str">
        <f t="shared" si="455"/>
        <v/>
      </c>
      <c r="O2837" s="52" t="str">
        <f t="shared" si="456"/>
        <v/>
      </c>
      <c r="P2837" s="88">
        <f t="shared" si="457"/>
        <v>0</v>
      </c>
      <c r="Q2837" s="88">
        <f t="shared" si="458"/>
        <v>0</v>
      </c>
      <c r="R2837" s="88" t="e">
        <f>-IF(Tabla14[[#This Row],[DIAS HABILES O MORA]]&lt;0,(Tabla14[[#This Row],[VALOR PRESTAMO]]*Tabla14[[#This Row],[% INTERES ]]/30*U2837))+Tabla14[[#This Row],[VALOR CUOTAS]]</f>
        <v>#VALUE!</v>
      </c>
      <c r="S2837" s="88">
        <f>-IF(Tabla14[[#This Row],[DIAS HABILES O MORA]]&lt;0,(Tabla14[[#This Row],[VALOR PRESTAMO]]*Tabla14[[#This Row],[% INTERES ]]/30*U2837))</f>
        <v>0</v>
      </c>
      <c r="T2837" s="53" t="e">
        <f>Tabla14[[#This Row],[DEUDA CAPITAL]]+Tabla14[[#This Row],[INTERES  CUOTA]]</f>
        <v>#NUM!</v>
      </c>
      <c r="U2837" s="61" t="str">
        <f t="shared" si="459"/>
        <v/>
      </c>
    </row>
    <row r="2838" spans="9:21" ht="24.75" customHeight="1" x14ac:dyDescent="0.35">
      <c r="I2838" s="42">
        <f t="shared" si="450"/>
        <v>0</v>
      </c>
      <c r="J2838" s="65" t="e">
        <f t="shared" si="451"/>
        <v>#NUM!</v>
      </c>
      <c r="K2838" s="83" t="e">
        <f t="shared" si="452"/>
        <v>#NUM!</v>
      </c>
      <c r="L2838" s="83">
        <f t="shared" si="453"/>
        <v>0</v>
      </c>
      <c r="M2838" s="110" t="str">
        <f t="shared" si="454"/>
        <v/>
      </c>
      <c r="N2838" s="51" t="str">
        <f t="shared" si="455"/>
        <v/>
      </c>
      <c r="O2838" s="52" t="str">
        <f t="shared" si="456"/>
        <v/>
      </c>
      <c r="P2838" s="88">
        <f t="shared" si="457"/>
        <v>0</v>
      </c>
      <c r="Q2838" s="88">
        <f t="shared" si="458"/>
        <v>0</v>
      </c>
      <c r="R2838" s="88" t="e">
        <f>-IF(Tabla14[[#This Row],[DIAS HABILES O MORA]]&lt;0,(Tabla14[[#This Row],[VALOR PRESTAMO]]*Tabla14[[#This Row],[% INTERES ]]/30*U2838))+Tabla14[[#This Row],[VALOR CUOTAS]]</f>
        <v>#VALUE!</v>
      </c>
      <c r="S2838" s="88">
        <f>-IF(Tabla14[[#This Row],[DIAS HABILES O MORA]]&lt;0,(Tabla14[[#This Row],[VALOR PRESTAMO]]*Tabla14[[#This Row],[% INTERES ]]/30*U2838))</f>
        <v>0</v>
      </c>
      <c r="T2838" s="53" t="e">
        <f>Tabla14[[#This Row],[DEUDA CAPITAL]]+Tabla14[[#This Row],[INTERES  CUOTA]]</f>
        <v>#NUM!</v>
      </c>
      <c r="U2838" s="61" t="str">
        <f t="shared" si="459"/>
        <v/>
      </c>
    </row>
    <row r="2839" spans="9:21" ht="24.75" customHeight="1" x14ac:dyDescent="0.35">
      <c r="I2839" s="42">
        <f t="shared" si="450"/>
        <v>0</v>
      </c>
      <c r="J2839" s="65" t="e">
        <f t="shared" si="451"/>
        <v>#NUM!</v>
      </c>
      <c r="K2839" s="83" t="e">
        <f t="shared" si="452"/>
        <v>#NUM!</v>
      </c>
      <c r="L2839" s="83">
        <f t="shared" si="453"/>
        <v>0</v>
      </c>
      <c r="M2839" s="110" t="str">
        <f t="shared" si="454"/>
        <v/>
      </c>
      <c r="N2839" s="51" t="str">
        <f t="shared" si="455"/>
        <v/>
      </c>
      <c r="O2839" s="52" t="str">
        <f t="shared" si="456"/>
        <v/>
      </c>
      <c r="P2839" s="88">
        <f t="shared" si="457"/>
        <v>0</v>
      </c>
      <c r="Q2839" s="88">
        <f t="shared" si="458"/>
        <v>0</v>
      </c>
      <c r="R2839" s="88" t="e">
        <f>-IF(Tabla14[[#This Row],[DIAS HABILES O MORA]]&lt;0,(Tabla14[[#This Row],[VALOR PRESTAMO]]*Tabla14[[#This Row],[% INTERES ]]/30*U2839))+Tabla14[[#This Row],[VALOR CUOTAS]]</f>
        <v>#VALUE!</v>
      </c>
      <c r="S2839" s="88">
        <f>-IF(Tabla14[[#This Row],[DIAS HABILES O MORA]]&lt;0,(Tabla14[[#This Row],[VALOR PRESTAMO]]*Tabla14[[#This Row],[% INTERES ]]/30*U2839))</f>
        <v>0</v>
      </c>
      <c r="T2839" s="53" t="e">
        <f>Tabla14[[#This Row],[DEUDA CAPITAL]]+Tabla14[[#This Row],[INTERES  CUOTA]]</f>
        <v>#NUM!</v>
      </c>
      <c r="U2839" s="61" t="str">
        <f t="shared" si="459"/>
        <v/>
      </c>
    </row>
    <row r="2840" spans="9:21" ht="24.75" customHeight="1" x14ac:dyDescent="0.35">
      <c r="I2840" s="42">
        <f t="shared" si="450"/>
        <v>0</v>
      </c>
      <c r="J2840" s="65" t="e">
        <f t="shared" si="451"/>
        <v>#NUM!</v>
      </c>
      <c r="K2840" s="83" t="e">
        <f t="shared" si="452"/>
        <v>#NUM!</v>
      </c>
      <c r="L2840" s="83">
        <f t="shared" si="453"/>
        <v>0</v>
      </c>
      <c r="M2840" s="110" t="str">
        <f t="shared" si="454"/>
        <v/>
      </c>
      <c r="N2840" s="51" t="str">
        <f t="shared" si="455"/>
        <v/>
      </c>
      <c r="O2840" s="52" t="str">
        <f t="shared" si="456"/>
        <v/>
      </c>
      <c r="P2840" s="88">
        <f t="shared" si="457"/>
        <v>0</v>
      </c>
      <c r="Q2840" s="88">
        <f t="shared" si="458"/>
        <v>0</v>
      </c>
      <c r="R2840" s="88" t="e">
        <f>-IF(Tabla14[[#This Row],[DIAS HABILES O MORA]]&lt;0,(Tabla14[[#This Row],[VALOR PRESTAMO]]*Tabla14[[#This Row],[% INTERES ]]/30*U2840))+Tabla14[[#This Row],[VALOR CUOTAS]]</f>
        <v>#VALUE!</v>
      </c>
      <c r="S2840" s="88">
        <f>-IF(Tabla14[[#This Row],[DIAS HABILES O MORA]]&lt;0,(Tabla14[[#This Row],[VALOR PRESTAMO]]*Tabla14[[#This Row],[% INTERES ]]/30*U2840))</f>
        <v>0</v>
      </c>
      <c r="T2840" s="53" t="e">
        <f>Tabla14[[#This Row],[DEUDA CAPITAL]]+Tabla14[[#This Row],[INTERES  CUOTA]]</f>
        <v>#NUM!</v>
      </c>
      <c r="U2840" s="61" t="str">
        <f t="shared" si="459"/>
        <v/>
      </c>
    </row>
    <row r="2841" spans="9:21" ht="24.75" customHeight="1" x14ac:dyDescent="0.35">
      <c r="I2841" s="42">
        <f t="shared" si="450"/>
        <v>0</v>
      </c>
      <c r="J2841" s="65" t="e">
        <f t="shared" si="451"/>
        <v>#NUM!</v>
      </c>
      <c r="K2841" s="83" t="e">
        <f t="shared" si="452"/>
        <v>#NUM!</v>
      </c>
      <c r="L2841" s="83">
        <f t="shared" si="453"/>
        <v>0</v>
      </c>
      <c r="M2841" s="110" t="str">
        <f t="shared" si="454"/>
        <v/>
      </c>
      <c r="N2841" s="51" t="str">
        <f t="shared" si="455"/>
        <v/>
      </c>
      <c r="O2841" s="52" t="str">
        <f t="shared" si="456"/>
        <v/>
      </c>
      <c r="P2841" s="88">
        <f t="shared" si="457"/>
        <v>0</v>
      </c>
      <c r="Q2841" s="88">
        <f t="shared" si="458"/>
        <v>0</v>
      </c>
      <c r="R2841" s="88" t="e">
        <f>-IF(Tabla14[[#This Row],[DIAS HABILES O MORA]]&lt;0,(Tabla14[[#This Row],[VALOR PRESTAMO]]*Tabla14[[#This Row],[% INTERES ]]/30*U2841))+Tabla14[[#This Row],[VALOR CUOTAS]]</f>
        <v>#VALUE!</v>
      </c>
      <c r="S2841" s="88">
        <f>-IF(Tabla14[[#This Row],[DIAS HABILES O MORA]]&lt;0,(Tabla14[[#This Row],[VALOR PRESTAMO]]*Tabla14[[#This Row],[% INTERES ]]/30*U2841))</f>
        <v>0</v>
      </c>
      <c r="T2841" s="53" t="e">
        <f>Tabla14[[#This Row],[DEUDA CAPITAL]]+Tabla14[[#This Row],[INTERES  CUOTA]]</f>
        <v>#NUM!</v>
      </c>
      <c r="U2841" s="61" t="str">
        <f t="shared" si="459"/>
        <v/>
      </c>
    </row>
    <row r="2842" spans="9:21" ht="24.75" customHeight="1" x14ac:dyDescent="0.35">
      <c r="I2842" s="42">
        <f t="shared" si="450"/>
        <v>0</v>
      </c>
      <c r="J2842" s="65" t="e">
        <f t="shared" si="451"/>
        <v>#NUM!</v>
      </c>
      <c r="K2842" s="83" t="e">
        <f t="shared" si="452"/>
        <v>#NUM!</v>
      </c>
      <c r="L2842" s="83">
        <f t="shared" si="453"/>
        <v>0</v>
      </c>
      <c r="M2842" s="110" t="str">
        <f t="shared" si="454"/>
        <v/>
      </c>
      <c r="N2842" s="51" t="str">
        <f t="shared" si="455"/>
        <v/>
      </c>
      <c r="O2842" s="52" t="str">
        <f t="shared" si="456"/>
        <v/>
      </c>
      <c r="P2842" s="88">
        <f t="shared" si="457"/>
        <v>0</v>
      </c>
      <c r="Q2842" s="88">
        <f t="shared" si="458"/>
        <v>0</v>
      </c>
      <c r="R2842" s="88" t="e">
        <f>-IF(Tabla14[[#This Row],[DIAS HABILES O MORA]]&lt;0,(Tabla14[[#This Row],[VALOR PRESTAMO]]*Tabla14[[#This Row],[% INTERES ]]/30*U2842))+Tabla14[[#This Row],[VALOR CUOTAS]]</f>
        <v>#VALUE!</v>
      </c>
      <c r="S2842" s="88">
        <f>-IF(Tabla14[[#This Row],[DIAS HABILES O MORA]]&lt;0,(Tabla14[[#This Row],[VALOR PRESTAMO]]*Tabla14[[#This Row],[% INTERES ]]/30*U2842))</f>
        <v>0</v>
      </c>
      <c r="T2842" s="53" t="e">
        <f>Tabla14[[#This Row],[DEUDA CAPITAL]]+Tabla14[[#This Row],[INTERES  CUOTA]]</f>
        <v>#NUM!</v>
      </c>
      <c r="U2842" s="61" t="str">
        <f t="shared" si="459"/>
        <v/>
      </c>
    </row>
    <row r="2843" spans="9:21" ht="24.75" customHeight="1" x14ac:dyDescent="0.35">
      <c r="I2843" s="42">
        <f t="shared" si="450"/>
        <v>0</v>
      </c>
      <c r="J2843" s="65" t="e">
        <f t="shared" si="451"/>
        <v>#NUM!</v>
      </c>
      <c r="K2843" s="83" t="e">
        <f t="shared" si="452"/>
        <v>#NUM!</v>
      </c>
      <c r="L2843" s="83">
        <f t="shared" si="453"/>
        <v>0</v>
      </c>
      <c r="M2843" s="110" t="str">
        <f t="shared" si="454"/>
        <v/>
      </c>
      <c r="N2843" s="51" t="str">
        <f t="shared" si="455"/>
        <v/>
      </c>
      <c r="O2843" s="52" t="str">
        <f t="shared" si="456"/>
        <v/>
      </c>
      <c r="P2843" s="88">
        <f t="shared" si="457"/>
        <v>0</v>
      </c>
      <c r="Q2843" s="88">
        <f t="shared" si="458"/>
        <v>0</v>
      </c>
      <c r="R2843" s="88" t="e">
        <f>-IF(Tabla14[[#This Row],[DIAS HABILES O MORA]]&lt;0,(Tabla14[[#This Row],[VALOR PRESTAMO]]*Tabla14[[#This Row],[% INTERES ]]/30*U2843))+Tabla14[[#This Row],[VALOR CUOTAS]]</f>
        <v>#VALUE!</v>
      </c>
      <c r="S2843" s="88">
        <f>-IF(Tabla14[[#This Row],[DIAS HABILES O MORA]]&lt;0,(Tabla14[[#This Row],[VALOR PRESTAMO]]*Tabla14[[#This Row],[% INTERES ]]/30*U2843))</f>
        <v>0</v>
      </c>
      <c r="T2843" s="53" t="e">
        <f>Tabla14[[#This Row],[DEUDA CAPITAL]]+Tabla14[[#This Row],[INTERES  CUOTA]]</f>
        <v>#NUM!</v>
      </c>
      <c r="U2843" s="61" t="str">
        <f t="shared" si="459"/>
        <v/>
      </c>
    </row>
    <row r="2844" spans="9:21" ht="24.75" customHeight="1" x14ac:dyDescent="0.35">
      <c r="I2844" s="42">
        <f t="shared" si="450"/>
        <v>0</v>
      </c>
      <c r="J2844" s="65" t="e">
        <f t="shared" si="451"/>
        <v>#NUM!</v>
      </c>
      <c r="K2844" s="83" t="e">
        <f t="shared" si="452"/>
        <v>#NUM!</v>
      </c>
      <c r="L2844" s="83">
        <f t="shared" si="453"/>
        <v>0</v>
      </c>
      <c r="M2844" s="110" t="str">
        <f t="shared" si="454"/>
        <v/>
      </c>
      <c r="N2844" s="51" t="str">
        <f t="shared" si="455"/>
        <v/>
      </c>
      <c r="O2844" s="52" t="str">
        <f t="shared" si="456"/>
        <v/>
      </c>
      <c r="P2844" s="88">
        <f t="shared" si="457"/>
        <v>0</v>
      </c>
      <c r="Q2844" s="88">
        <f t="shared" si="458"/>
        <v>0</v>
      </c>
      <c r="R2844" s="88" t="e">
        <f>-IF(Tabla14[[#This Row],[DIAS HABILES O MORA]]&lt;0,(Tabla14[[#This Row],[VALOR PRESTAMO]]*Tabla14[[#This Row],[% INTERES ]]/30*U2844))+Tabla14[[#This Row],[VALOR CUOTAS]]</f>
        <v>#VALUE!</v>
      </c>
      <c r="S2844" s="88">
        <f>-IF(Tabla14[[#This Row],[DIAS HABILES O MORA]]&lt;0,(Tabla14[[#This Row],[VALOR PRESTAMO]]*Tabla14[[#This Row],[% INTERES ]]/30*U2844))</f>
        <v>0</v>
      </c>
      <c r="T2844" s="53" t="e">
        <f>Tabla14[[#This Row],[DEUDA CAPITAL]]+Tabla14[[#This Row],[INTERES  CUOTA]]</f>
        <v>#NUM!</v>
      </c>
      <c r="U2844" s="61" t="str">
        <f t="shared" si="459"/>
        <v/>
      </c>
    </row>
    <row r="2845" spans="9:21" ht="24.75" customHeight="1" x14ac:dyDescent="0.35">
      <c r="I2845" s="42">
        <f t="shared" si="450"/>
        <v>0</v>
      </c>
      <c r="J2845" s="65" t="e">
        <f t="shared" si="451"/>
        <v>#NUM!</v>
      </c>
      <c r="K2845" s="83" t="e">
        <f t="shared" si="452"/>
        <v>#NUM!</v>
      </c>
      <c r="L2845" s="83">
        <f t="shared" si="453"/>
        <v>0</v>
      </c>
      <c r="M2845" s="110" t="str">
        <f t="shared" si="454"/>
        <v/>
      </c>
      <c r="N2845" s="51" t="str">
        <f t="shared" si="455"/>
        <v/>
      </c>
      <c r="O2845" s="52" t="str">
        <f t="shared" si="456"/>
        <v/>
      </c>
      <c r="P2845" s="88">
        <f t="shared" si="457"/>
        <v>0</v>
      </c>
      <c r="Q2845" s="88">
        <f t="shared" si="458"/>
        <v>0</v>
      </c>
      <c r="R2845" s="88" t="e">
        <f>-IF(Tabla14[[#This Row],[DIAS HABILES O MORA]]&lt;0,(Tabla14[[#This Row],[VALOR PRESTAMO]]*Tabla14[[#This Row],[% INTERES ]]/30*U2845))+Tabla14[[#This Row],[VALOR CUOTAS]]</f>
        <v>#VALUE!</v>
      </c>
      <c r="S2845" s="88">
        <f>-IF(Tabla14[[#This Row],[DIAS HABILES O MORA]]&lt;0,(Tabla14[[#This Row],[VALOR PRESTAMO]]*Tabla14[[#This Row],[% INTERES ]]/30*U2845))</f>
        <v>0</v>
      </c>
      <c r="T2845" s="53" t="e">
        <f>Tabla14[[#This Row],[DEUDA CAPITAL]]+Tabla14[[#This Row],[INTERES  CUOTA]]</f>
        <v>#NUM!</v>
      </c>
      <c r="U2845" s="61" t="str">
        <f t="shared" si="459"/>
        <v/>
      </c>
    </row>
    <row r="2846" spans="9:21" ht="24.75" customHeight="1" x14ac:dyDescent="0.35">
      <c r="I2846" s="42">
        <f t="shared" si="450"/>
        <v>0</v>
      </c>
      <c r="J2846" s="65" t="e">
        <f t="shared" si="451"/>
        <v>#NUM!</v>
      </c>
      <c r="K2846" s="83" t="e">
        <f t="shared" si="452"/>
        <v>#NUM!</v>
      </c>
      <c r="L2846" s="83">
        <f t="shared" si="453"/>
        <v>0</v>
      </c>
      <c r="M2846" s="110" t="str">
        <f t="shared" si="454"/>
        <v/>
      </c>
      <c r="N2846" s="51" t="str">
        <f t="shared" si="455"/>
        <v/>
      </c>
      <c r="O2846" s="52" t="str">
        <f t="shared" si="456"/>
        <v/>
      </c>
      <c r="P2846" s="88">
        <f t="shared" si="457"/>
        <v>0</v>
      </c>
      <c r="Q2846" s="88">
        <f t="shared" si="458"/>
        <v>0</v>
      </c>
      <c r="R2846" s="88" t="e">
        <f>-IF(Tabla14[[#This Row],[DIAS HABILES O MORA]]&lt;0,(Tabla14[[#This Row],[VALOR PRESTAMO]]*Tabla14[[#This Row],[% INTERES ]]/30*U2846))+Tabla14[[#This Row],[VALOR CUOTAS]]</f>
        <v>#VALUE!</v>
      </c>
      <c r="S2846" s="88">
        <f>-IF(Tabla14[[#This Row],[DIAS HABILES O MORA]]&lt;0,(Tabla14[[#This Row],[VALOR PRESTAMO]]*Tabla14[[#This Row],[% INTERES ]]/30*U2846))</f>
        <v>0</v>
      </c>
      <c r="T2846" s="53" t="e">
        <f>Tabla14[[#This Row],[DEUDA CAPITAL]]+Tabla14[[#This Row],[INTERES  CUOTA]]</f>
        <v>#NUM!</v>
      </c>
      <c r="U2846" s="61" t="str">
        <f t="shared" si="459"/>
        <v/>
      </c>
    </row>
    <row r="2847" spans="9:21" ht="24.75" customHeight="1" x14ac:dyDescent="0.35">
      <c r="I2847" s="42">
        <f t="shared" si="450"/>
        <v>0</v>
      </c>
      <c r="J2847" s="65" t="e">
        <f t="shared" si="451"/>
        <v>#NUM!</v>
      </c>
      <c r="K2847" s="83" t="e">
        <f t="shared" si="452"/>
        <v>#NUM!</v>
      </c>
      <c r="L2847" s="83">
        <f t="shared" si="453"/>
        <v>0</v>
      </c>
      <c r="M2847" s="110" t="str">
        <f t="shared" si="454"/>
        <v/>
      </c>
      <c r="N2847" s="51" t="str">
        <f t="shared" si="455"/>
        <v/>
      </c>
      <c r="O2847" s="52" t="str">
        <f t="shared" si="456"/>
        <v/>
      </c>
      <c r="P2847" s="88">
        <f t="shared" si="457"/>
        <v>0</v>
      </c>
      <c r="Q2847" s="88">
        <f t="shared" si="458"/>
        <v>0</v>
      </c>
      <c r="R2847" s="88" t="e">
        <f>-IF(Tabla14[[#This Row],[DIAS HABILES O MORA]]&lt;0,(Tabla14[[#This Row],[VALOR PRESTAMO]]*Tabla14[[#This Row],[% INTERES ]]/30*U2847))+Tabla14[[#This Row],[VALOR CUOTAS]]</f>
        <v>#VALUE!</v>
      </c>
      <c r="S2847" s="88">
        <f>-IF(Tabla14[[#This Row],[DIAS HABILES O MORA]]&lt;0,(Tabla14[[#This Row],[VALOR PRESTAMO]]*Tabla14[[#This Row],[% INTERES ]]/30*U2847))</f>
        <v>0</v>
      </c>
      <c r="T2847" s="53" t="e">
        <f>Tabla14[[#This Row],[DEUDA CAPITAL]]+Tabla14[[#This Row],[INTERES  CUOTA]]</f>
        <v>#NUM!</v>
      </c>
      <c r="U2847" s="61" t="str">
        <f t="shared" si="459"/>
        <v/>
      </c>
    </row>
    <row r="2848" spans="9:21" ht="24.75" customHeight="1" x14ac:dyDescent="0.35">
      <c r="I2848" s="42">
        <f t="shared" si="450"/>
        <v>0</v>
      </c>
      <c r="J2848" s="65" t="e">
        <f t="shared" si="451"/>
        <v>#NUM!</v>
      </c>
      <c r="K2848" s="83" t="e">
        <f t="shared" si="452"/>
        <v>#NUM!</v>
      </c>
      <c r="L2848" s="83">
        <f t="shared" si="453"/>
        <v>0</v>
      </c>
      <c r="M2848" s="110" t="str">
        <f t="shared" si="454"/>
        <v/>
      </c>
      <c r="N2848" s="51" t="str">
        <f t="shared" si="455"/>
        <v/>
      </c>
      <c r="O2848" s="52" t="str">
        <f t="shared" si="456"/>
        <v/>
      </c>
      <c r="P2848" s="88">
        <f t="shared" si="457"/>
        <v>0</v>
      </c>
      <c r="Q2848" s="88">
        <f t="shared" si="458"/>
        <v>0</v>
      </c>
      <c r="R2848" s="88" t="e">
        <f>-IF(Tabla14[[#This Row],[DIAS HABILES O MORA]]&lt;0,(Tabla14[[#This Row],[VALOR PRESTAMO]]*Tabla14[[#This Row],[% INTERES ]]/30*U2848))+Tabla14[[#This Row],[VALOR CUOTAS]]</f>
        <v>#VALUE!</v>
      </c>
      <c r="S2848" s="88">
        <f>-IF(Tabla14[[#This Row],[DIAS HABILES O MORA]]&lt;0,(Tabla14[[#This Row],[VALOR PRESTAMO]]*Tabla14[[#This Row],[% INTERES ]]/30*U2848))</f>
        <v>0</v>
      </c>
      <c r="T2848" s="53" t="e">
        <f>Tabla14[[#This Row],[DEUDA CAPITAL]]+Tabla14[[#This Row],[INTERES  CUOTA]]</f>
        <v>#NUM!</v>
      </c>
      <c r="U2848" s="61" t="str">
        <f t="shared" si="459"/>
        <v/>
      </c>
    </row>
    <row r="2849" spans="9:21" ht="24.75" customHeight="1" x14ac:dyDescent="0.35">
      <c r="I2849" s="42">
        <f t="shared" si="450"/>
        <v>0</v>
      </c>
      <c r="J2849" s="65" t="e">
        <f t="shared" si="451"/>
        <v>#NUM!</v>
      </c>
      <c r="K2849" s="83" t="e">
        <f t="shared" si="452"/>
        <v>#NUM!</v>
      </c>
      <c r="L2849" s="83">
        <f t="shared" si="453"/>
        <v>0</v>
      </c>
      <c r="M2849" s="110" t="str">
        <f t="shared" si="454"/>
        <v/>
      </c>
      <c r="N2849" s="51" t="str">
        <f t="shared" si="455"/>
        <v/>
      </c>
      <c r="O2849" s="52" t="str">
        <f t="shared" si="456"/>
        <v/>
      </c>
      <c r="P2849" s="88">
        <f t="shared" si="457"/>
        <v>0</v>
      </c>
      <c r="Q2849" s="88">
        <f t="shared" si="458"/>
        <v>0</v>
      </c>
      <c r="R2849" s="88" t="e">
        <f>-IF(Tabla14[[#This Row],[DIAS HABILES O MORA]]&lt;0,(Tabla14[[#This Row],[VALOR PRESTAMO]]*Tabla14[[#This Row],[% INTERES ]]/30*U2849))+Tabla14[[#This Row],[VALOR CUOTAS]]</f>
        <v>#VALUE!</v>
      </c>
      <c r="S2849" s="88">
        <f>-IF(Tabla14[[#This Row],[DIAS HABILES O MORA]]&lt;0,(Tabla14[[#This Row],[VALOR PRESTAMO]]*Tabla14[[#This Row],[% INTERES ]]/30*U2849))</f>
        <v>0</v>
      </c>
      <c r="T2849" s="53" t="e">
        <f>Tabla14[[#This Row],[DEUDA CAPITAL]]+Tabla14[[#This Row],[INTERES  CUOTA]]</f>
        <v>#NUM!</v>
      </c>
      <c r="U2849" s="61" t="str">
        <f t="shared" si="459"/>
        <v/>
      </c>
    </row>
    <row r="2850" spans="9:21" ht="24.75" customHeight="1" x14ac:dyDescent="0.35">
      <c r="I2850" s="42">
        <f t="shared" si="450"/>
        <v>0</v>
      </c>
      <c r="J2850" s="65" t="e">
        <f t="shared" si="451"/>
        <v>#NUM!</v>
      </c>
      <c r="K2850" s="83" t="e">
        <f t="shared" si="452"/>
        <v>#NUM!</v>
      </c>
      <c r="L2850" s="83">
        <f t="shared" si="453"/>
        <v>0</v>
      </c>
      <c r="M2850" s="110" t="str">
        <f t="shared" si="454"/>
        <v/>
      </c>
      <c r="N2850" s="51" t="str">
        <f t="shared" si="455"/>
        <v/>
      </c>
      <c r="O2850" s="52" t="str">
        <f t="shared" si="456"/>
        <v/>
      </c>
      <c r="P2850" s="88">
        <f t="shared" si="457"/>
        <v>0</v>
      </c>
      <c r="Q2850" s="88">
        <f t="shared" si="458"/>
        <v>0</v>
      </c>
      <c r="R2850" s="88" t="e">
        <f>-IF(Tabla14[[#This Row],[DIAS HABILES O MORA]]&lt;0,(Tabla14[[#This Row],[VALOR PRESTAMO]]*Tabla14[[#This Row],[% INTERES ]]/30*U2850))+Tabla14[[#This Row],[VALOR CUOTAS]]</f>
        <v>#VALUE!</v>
      </c>
      <c r="S2850" s="88">
        <f>-IF(Tabla14[[#This Row],[DIAS HABILES O MORA]]&lt;0,(Tabla14[[#This Row],[VALOR PRESTAMO]]*Tabla14[[#This Row],[% INTERES ]]/30*U2850))</f>
        <v>0</v>
      </c>
      <c r="T2850" s="53" t="e">
        <f>Tabla14[[#This Row],[DEUDA CAPITAL]]+Tabla14[[#This Row],[INTERES  CUOTA]]</f>
        <v>#NUM!</v>
      </c>
      <c r="U2850" s="61" t="str">
        <f t="shared" si="459"/>
        <v/>
      </c>
    </row>
    <row r="2851" spans="9:21" ht="24.75" customHeight="1" x14ac:dyDescent="0.35">
      <c r="I2851" s="42">
        <f t="shared" si="450"/>
        <v>0</v>
      </c>
      <c r="J2851" s="65" t="e">
        <f t="shared" si="451"/>
        <v>#NUM!</v>
      </c>
      <c r="K2851" s="83" t="e">
        <f t="shared" si="452"/>
        <v>#NUM!</v>
      </c>
      <c r="L2851" s="83">
        <f t="shared" si="453"/>
        <v>0</v>
      </c>
      <c r="M2851" s="110" t="str">
        <f t="shared" si="454"/>
        <v/>
      </c>
      <c r="N2851" s="51" t="str">
        <f t="shared" si="455"/>
        <v/>
      </c>
      <c r="O2851" s="52" t="str">
        <f t="shared" si="456"/>
        <v/>
      </c>
      <c r="P2851" s="88">
        <f t="shared" si="457"/>
        <v>0</v>
      </c>
      <c r="Q2851" s="88">
        <f t="shared" si="458"/>
        <v>0</v>
      </c>
      <c r="R2851" s="88" t="e">
        <f>-IF(Tabla14[[#This Row],[DIAS HABILES O MORA]]&lt;0,(Tabla14[[#This Row],[VALOR PRESTAMO]]*Tabla14[[#This Row],[% INTERES ]]/30*U2851))+Tabla14[[#This Row],[VALOR CUOTAS]]</f>
        <v>#VALUE!</v>
      </c>
      <c r="S2851" s="88">
        <f>-IF(Tabla14[[#This Row],[DIAS HABILES O MORA]]&lt;0,(Tabla14[[#This Row],[VALOR PRESTAMO]]*Tabla14[[#This Row],[% INTERES ]]/30*U2851))</f>
        <v>0</v>
      </c>
      <c r="T2851" s="53" t="e">
        <f>Tabla14[[#This Row],[DEUDA CAPITAL]]+Tabla14[[#This Row],[INTERES  CUOTA]]</f>
        <v>#NUM!</v>
      </c>
      <c r="U2851" s="61" t="str">
        <f t="shared" si="459"/>
        <v/>
      </c>
    </row>
    <row r="2852" spans="9:21" ht="24.75" customHeight="1" x14ac:dyDescent="0.35">
      <c r="I2852" s="42">
        <f t="shared" si="450"/>
        <v>0</v>
      </c>
      <c r="J2852" s="65" t="e">
        <f t="shared" si="451"/>
        <v>#NUM!</v>
      </c>
      <c r="K2852" s="83" t="e">
        <f t="shared" si="452"/>
        <v>#NUM!</v>
      </c>
      <c r="L2852" s="83">
        <f t="shared" si="453"/>
        <v>0</v>
      </c>
      <c r="M2852" s="110" t="str">
        <f t="shared" si="454"/>
        <v/>
      </c>
      <c r="N2852" s="51" t="str">
        <f t="shared" si="455"/>
        <v/>
      </c>
      <c r="O2852" s="52" t="str">
        <f t="shared" si="456"/>
        <v/>
      </c>
      <c r="P2852" s="88">
        <f t="shared" si="457"/>
        <v>0</v>
      </c>
      <c r="Q2852" s="88">
        <f t="shared" si="458"/>
        <v>0</v>
      </c>
      <c r="R2852" s="88" t="e">
        <f>-IF(Tabla14[[#This Row],[DIAS HABILES O MORA]]&lt;0,(Tabla14[[#This Row],[VALOR PRESTAMO]]*Tabla14[[#This Row],[% INTERES ]]/30*U2852))+Tabla14[[#This Row],[VALOR CUOTAS]]</f>
        <v>#VALUE!</v>
      </c>
      <c r="S2852" s="88">
        <f>-IF(Tabla14[[#This Row],[DIAS HABILES O MORA]]&lt;0,(Tabla14[[#This Row],[VALOR PRESTAMO]]*Tabla14[[#This Row],[% INTERES ]]/30*U2852))</f>
        <v>0</v>
      </c>
      <c r="T2852" s="53" t="e">
        <f>Tabla14[[#This Row],[DEUDA CAPITAL]]+Tabla14[[#This Row],[INTERES  CUOTA]]</f>
        <v>#NUM!</v>
      </c>
      <c r="U2852" s="61" t="str">
        <f t="shared" si="459"/>
        <v/>
      </c>
    </row>
    <row r="2853" spans="9:21" ht="24.75" customHeight="1" x14ac:dyDescent="0.35">
      <c r="I2853" s="42">
        <f t="shared" si="450"/>
        <v>0</v>
      </c>
      <c r="J2853" s="65" t="e">
        <f t="shared" si="451"/>
        <v>#NUM!</v>
      </c>
      <c r="K2853" s="83" t="e">
        <f t="shared" si="452"/>
        <v>#NUM!</v>
      </c>
      <c r="L2853" s="83">
        <f t="shared" si="453"/>
        <v>0</v>
      </c>
      <c r="M2853" s="110" t="str">
        <f t="shared" si="454"/>
        <v/>
      </c>
      <c r="N2853" s="51" t="str">
        <f t="shared" si="455"/>
        <v/>
      </c>
      <c r="O2853" s="52" t="str">
        <f t="shared" si="456"/>
        <v/>
      </c>
      <c r="P2853" s="88">
        <f t="shared" si="457"/>
        <v>0</v>
      </c>
      <c r="Q2853" s="88">
        <f t="shared" si="458"/>
        <v>0</v>
      </c>
      <c r="R2853" s="88" t="e">
        <f>-IF(Tabla14[[#This Row],[DIAS HABILES O MORA]]&lt;0,(Tabla14[[#This Row],[VALOR PRESTAMO]]*Tabla14[[#This Row],[% INTERES ]]/30*U2853))+Tabla14[[#This Row],[VALOR CUOTAS]]</f>
        <v>#VALUE!</v>
      </c>
      <c r="S2853" s="88">
        <f>-IF(Tabla14[[#This Row],[DIAS HABILES O MORA]]&lt;0,(Tabla14[[#This Row],[VALOR PRESTAMO]]*Tabla14[[#This Row],[% INTERES ]]/30*U2853))</f>
        <v>0</v>
      </c>
      <c r="T2853" s="53" t="e">
        <f>Tabla14[[#This Row],[DEUDA CAPITAL]]+Tabla14[[#This Row],[INTERES  CUOTA]]</f>
        <v>#NUM!</v>
      </c>
      <c r="U2853" s="61" t="str">
        <f t="shared" si="459"/>
        <v/>
      </c>
    </row>
    <row r="2854" spans="9:21" ht="24.75" customHeight="1" x14ac:dyDescent="0.35">
      <c r="I2854" s="42">
        <f t="shared" si="450"/>
        <v>0</v>
      </c>
      <c r="J2854" s="65" t="e">
        <f t="shared" si="451"/>
        <v>#NUM!</v>
      </c>
      <c r="K2854" s="83" t="e">
        <f t="shared" si="452"/>
        <v>#NUM!</v>
      </c>
      <c r="L2854" s="83">
        <f t="shared" si="453"/>
        <v>0</v>
      </c>
      <c r="M2854" s="110" t="str">
        <f t="shared" si="454"/>
        <v/>
      </c>
      <c r="N2854" s="51" t="str">
        <f t="shared" si="455"/>
        <v/>
      </c>
      <c r="O2854" s="52" t="str">
        <f t="shared" si="456"/>
        <v/>
      </c>
      <c r="P2854" s="88">
        <f t="shared" si="457"/>
        <v>0</v>
      </c>
      <c r="Q2854" s="88">
        <f t="shared" si="458"/>
        <v>0</v>
      </c>
      <c r="R2854" s="88" t="e">
        <f>-IF(Tabla14[[#This Row],[DIAS HABILES O MORA]]&lt;0,(Tabla14[[#This Row],[VALOR PRESTAMO]]*Tabla14[[#This Row],[% INTERES ]]/30*U2854))+Tabla14[[#This Row],[VALOR CUOTAS]]</f>
        <v>#VALUE!</v>
      </c>
      <c r="S2854" s="88">
        <f>-IF(Tabla14[[#This Row],[DIAS HABILES O MORA]]&lt;0,(Tabla14[[#This Row],[VALOR PRESTAMO]]*Tabla14[[#This Row],[% INTERES ]]/30*U2854))</f>
        <v>0</v>
      </c>
      <c r="T2854" s="53" t="e">
        <f>Tabla14[[#This Row],[DEUDA CAPITAL]]+Tabla14[[#This Row],[INTERES  CUOTA]]</f>
        <v>#NUM!</v>
      </c>
      <c r="U2854" s="61" t="str">
        <f t="shared" si="459"/>
        <v/>
      </c>
    </row>
    <row r="2855" spans="9:21" ht="24.75" customHeight="1" x14ac:dyDescent="0.35">
      <c r="I2855" s="42">
        <f t="shared" si="450"/>
        <v>0</v>
      </c>
      <c r="J2855" s="65" t="e">
        <f t="shared" si="451"/>
        <v>#NUM!</v>
      </c>
      <c r="K2855" s="83" t="e">
        <f t="shared" si="452"/>
        <v>#NUM!</v>
      </c>
      <c r="L2855" s="83">
        <f t="shared" si="453"/>
        <v>0</v>
      </c>
      <c r="M2855" s="110" t="str">
        <f t="shared" si="454"/>
        <v/>
      </c>
      <c r="N2855" s="51" t="str">
        <f t="shared" si="455"/>
        <v/>
      </c>
      <c r="O2855" s="52" t="str">
        <f t="shared" si="456"/>
        <v/>
      </c>
      <c r="P2855" s="88">
        <f t="shared" si="457"/>
        <v>0</v>
      </c>
      <c r="Q2855" s="88">
        <f t="shared" si="458"/>
        <v>0</v>
      </c>
      <c r="R2855" s="88" t="e">
        <f>-IF(Tabla14[[#This Row],[DIAS HABILES O MORA]]&lt;0,(Tabla14[[#This Row],[VALOR PRESTAMO]]*Tabla14[[#This Row],[% INTERES ]]/30*U2855))+Tabla14[[#This Row],[VALOR CUOTAS]]</f>
        <v>#VALUE!</v>
      </c>
      <c r="S2855" s="88">
        <f>-IF(Tabla14[[#This Row],[DIAS HABILES O MORA]]&lt;0,(Tabla14[[#This Row],[VALOR PRESTAMO]]*Tabla14[[#This Row],[% INTERES ]]/30*U2855))</f>
        <v>0</v>
      </c>
      <c r="T2855" s="53" t="e">
        <f>Tabla14[[#This Row],[DEUDA CAPITAL]]+Tabla14[[#This Row],[INTERES  CUOTA]]</f>
        <v>#NUM!</v>
      </c>
      <c r="U2855" s="61" t="str">
        <f t="shared" si="459"/>
        <v/>
      </c>
    </row>
    <row r="2856" spans="9:21" ht="24.75" customHeight="1" x14ac:dyDescent="0.35">
      <c r="I2856" s="42">
        <f t="shared" si="450"/>
        <v>0</v>
      </c>
      <c r="J2856" s="65" t="e">
        <f t="shared" si="451"/>
        <v>#NUM!</v>
      </c>
      <c r="K2856" s="83" t="e">
        <f t="shared" si="452"/>
        <v>#NUM!</v>
      </c>
      <c r="L2856" s="83">
        <f t="shared" si="453"/>
        <v>0</v>
      </c>
      <c r="M2856" s="110" t="str">
        <f t="shared" si="454"/>
        <v/>
      </c>
      <c r="N2856" s="51" t="str">
        <f t="shared" si="455"/>
        <v/>
      </c>
      <c r="O2856" s="52" t="str">
        <f t="shared" si="456"/>
        <v/>
      </c>
      <c r="P2856" s="88">
        <f t="shared" si="457"/>
        <v>0</v>
      </c>
      <c r="Q2856" s="88">
        <f t="shared" si="458"/>
        <v>0</v>
      </c>
      <c r="R2856" s="88" t="e">
        <f>-IF(Tabla14[[#This Row],[DIAS HABILES O MORA]]&lt;0,(Tabla14[[#This Row],[VALOR PRESTAMO]]*Tabla14[[#This Row],[% INTERES ]]/30*U2856))+Tabla14[[#This Row],[VALOR CUOTAS]]</f>
        <v>#VALUE!</v>
      </c>
      <c r="S2856" s="88">
        <f>-IF(Tabla14[[#This Row],[DIAS HABILES O MORA]]&lt;0,(Tabla14[[#This Row],[VALOR PRESTAMO]]*Tabla14[[#This Row],[% INTERES ]]/30*U2856))</f>
        <v>0</v>
      </c>
      <c r="T2856" s="53" t="e">
        <f>Tabla14[[#This Row],[DEUDA CAPITAL]]+Tabla14[[#This Row],[INTERES  CUOTA]]</f>
        <v>#NUM!</v>
      </c>
      <c r="U2856" s="61" t="str">
        <f t="shared" si="459"/>
        <v/>
      </c>
    </row>
    <row r="2857" spans="9:21" ht="24.75" customHeight="1" x14ac:dyDescent="0.35">
      <c r="I2857" s="42">
        <f t="shared" si="450"/>
        <v>0</v>
      </c>
      <c r="J2857" s="65" t="e">
        <f t="shared" si="451"/>
        <v>#NUM!</v>
      </c>
      <c r="K2857" s="83" t="e">
        <f t="shared" si="452"/>
        <v>#NUM!</v>
      </c>
      <c r="L2857" s="83">
        <f t="shared" si="453"/>
        <v>0</v>
      </c>
      <c r="M2857" s="110" t="str">
        <f t="shared" si="454"/>
        <v/>
      </c>
      <c r="N2857" s="51" t="str">
        <f t="shared" si="455"/>
        <v/>
      </c>
      <c r="O2857" s="52" t="str">
        <f t="shared" si="456"/>
        <v/>
      </c>
      <c r="P2857" s="88">
        <f t="shared" si="457"/>
        <v>0</v>
      </c>
      <c r="Q2857" s="88">
        <f t="shared" si="458"/>
        <v>0</v>
      </c>
      <c r="R2857" s="88" t="e">
        <f>-IF(Tabla14[[#This Row],[DIAS HABILES O MORA]]&lt;0,(Tabla14[[#This Row],[VALOR PRESTAMO]]*Tabla14[[#This Row],[% INTERES ]]/30*U2857))+Tabla14[[#This Row],[VALOR CUOTAS]]</f>
        <v>#VALUE!</v>
      </c>
      <c r="S2857" s="88">
        <f>-IF(Tabla14[[#This Row],[DIAS HABILES O MORA]]&lt;0,(Tabla14[[#This Row],[VALOR PRESTAMO]]*Tabla14[[#This Row],[% INTERES ]]/30*U2857))</f>
        <v>0</v>
      </c>
      <c r="T2857" s="53" t="e">
        <f>Tabla14[[#This Row],[DEUDA CAPITAL]]+Tabla14[[#This Row],[INTERES  CUOTA]]</f>
        <v>#NUM!</v>
      </c>
      <c r="U2857" s="61" t="str">
        <f t="shared" si="459"/>
        <v/>
      </c>
    </row>
    <row r="2858" spans="9:21" ht="24.75" customHeight="1" x14ac:dyDescent="0.35">
      <c r="I2858" s="42">
        <f t="shared" si="450"/>
        <v>0</v>
      </c>
      <c r="J2858" s="65" t="e">
        <f t="shared" si="451"/>
        <v>#NUM!</v>
      </c>
      <c r="K2858" s="83" t="e">
        <f t="shared" si="452"/>
        <v>#NUM!</v>
      </c>
      <c r="L2858" s="83">
        <f t="shared" si="453"/>
        <v>0</v>
      </c>
      <c r="M2858" s="110" t="str">
        <f t="shared" si="454"/>
        <v/>
      </c>
      <c r="N2858" s="51" t="str">
        <f t="shared" si="455"/>
        <v/>
      </c>
      <c r="O2858" s="52" t="str">
        <f t="shared" si="456"/>
        <v/>
      </c>
      <c r="P2858" s="88">
        <f t="shared" si="457"/>
        <v>0</v>
      </c>
      <c r="Q2858" s="88">
        <f t="shared" si="458"/>
        <v>0</v>
      </c>
      <c r="R2858" s="88" t="e">
        <f>-IF(Tabla14[[#This Row],[DIAS HABILES O MORA]]&lt;0,(Tabla14[[#This Row],[VALOR PRESTAMO]]*Tabla14[[#This Row],[% INTERES ]]/30*U2858))+Tabla14[[#This Row],[VALOR CUOTAS]]</f>
        <v>#VALUE!</v>
      </c>
      <c r="S2858" s="88">
        <f>-IF(Tabla14[[#This Row],[DIAS HABILES O MORA]]&lt;0,(Tabla14[[#This Row],[VALOR PRESTAMO]]*Tabla14[[#This Row],[% INTERES ]]/30*U2858))</f>
        <v>0</v>
      </c>
      <c r="T2858" s="53" t="e">
        <f>Tabla14[[#This Row],[DEUDA CAPITAL]]+Tabla14[[#This Row],[INTERES  CUOTA]]</f>
        <v>#NUM!</v>
      </c>
      <c r="U2858" s="61" t="str">
        <f t="shared" si="459"/>
        <v/>
      </c>
    </row>
    <row r="2859" spans="9:21" ht="24.75" customHeight="1" x14ac:dyDescent="0.35">
      <c r="I2859" s="42">
        <f t="shared" si="450"/>
        <v>0</v>
      </c>
      <c r="J2859" s="65" t="e">
        <f t="shared" si="451"/>
        <v>#NUM!</v>
      </c>
      <c r="K2859" s="83" t="e">
        <f t="shared" si="452"/>
        <v>#NUM!</v>
      </c>
      <c r="L2859" s="83">
        <f t="shared" si="453"/>
        <v>0</v>
      </c>
      <c r="M2859" s="110" t="str">
        <f t="shared" si="454"/>
        <v/>
      </c>
      <c r="N2859" s="51" t="str">
        <f t="shared" si="455"/>
        <v/>
      </c>
      <c r="O2859" s="52" t="str">
        <f t="shared" si="456"/>
        <v/>
      </c>
      <c r="P2859" s="88">
        <f t="shared" si="457"/>
        <v>0</v>
      </c>
      <c r="Q2859" s="88">
        <f t="shared" si="458"/>
        <v>0</v>
      </c>
      <c r="R2859" s="88" t="e">
        <f>-IF(Tabla14[[#This Row],[DIAS HABILES O MORA]]&lt;0,(Tabla14[[#This Row],[VALOR PRESTAMO]]*Tabla14[[#This Row],[% INTERES ]]/30*U2859))+Tabla14[[#This Row],[VALOR CUOTAS]]</f>
        <v>#VALUE!</v>
      </c>
      <c r="S2859" s="88">
        <f>-IF(Tabla14[[#This Row],[DIAS HABILES O MORA]]&lt;0,(Tabla14[[#This Row],[VALOR PRESTAMO]]*Tabla14[[#This Row],[% INTERES ]]/30*U2859))</f>
        <v>0</v>
      </c>
      <c r="T2859" s="53" t="e">
        <f>Tabla14[[#This Row],[DEUDA CAPITAL]]+Tabla14[[#This Row],[INTERES  CUOTA]]</f>
        <v>#NUM!</v>
      </c>
      <c r="U2859" s="61" t="str">
        <f t="shared" si="459"/>
        <v/>
      </c>
    </row>
    <row r="2860" spans="9:21" ht="24.75" customHeight="1" x14ac:dyDescent="0.35">
      <c r="I2860" s="42">
        <f t="shared" si="450"/>
        <v>0</v>
      </c>
      <c r="J2860" s="65" t="e">
        <f t="shared" si="451"/>
        <v>#NUM!</v>
      </c>
      <c r="K2860" s="83" t="e">
        <f t="shared" si="452"/>
        <v>#NUM!</v>
      </c>
      <c r="L2860" s="83">
        <f t="shared" si="453"/>
        <v>0</v>
      </c>
      <c r="M2860" s="110" t="str">
        <f t="shared" si="454"/>
        <v/>
      </c>
      <c r="N2860" s="51" t="str">
        <f t="shared" si="455"/>
        <v/>
      </c>
      <c r="O2860" s="52" t="str">
        <f t="shared" si="456"/>
        <v/>
      </c>
      <c r="P2860" s="88">
        <f t="shared" si="457"/>
        <v>0</v>
      </c>
      <c r="Q2860" s="88">
        <f t="shared" si="458"/>
        <v>0</v>
      </c>
      <c r="R2860" s="88" t="e">
        <f>-IF(Tabla14[[#This Row],[DIAS HABILES O MORA]]&lt;0,(Tabla14[[#This Row],[VALOR PRESTAMO]]*Tabla14[[#This Row],[% INTERES ]]/30*U2860))+Tabla14[[#This Row],[VALOR CUOTAS]]</f>
        <v>#VALUE!</v>
      </c>
      <c r="S2860" s="88">
        <f>-IF(Tabla14[[#This Row],[DIAS HABILES O MORA]]&lt;0,(Tabla14[[#This Row],[VALOR PRESTAMO]]*Tabla14[[#This Row],[% INTERES ]]/30*U2860))</f>
        <v>0</v>
      </c>
      <c r="T2860" s="53" t="e">
        <f>Tabla14[[#This Row],[DEUDA CAPITAL]]+Tabla14[[#This Row],[INTERES  CUOTA]]</f>
        <v>#NUM!</v>
      </c>
      <c r="U2860" s="61" t="str">
        <f t="shared" si="459"/>
        <v/>
      </c>
    </row>
    <row r="2861" spans="9:21" ht="24.75" customHeight="1" x14ac:dyDescent="0.35">
      <c r="I2861" s="42">
        <f t="shared" si="450"/>
        <v>0</v>
      </c>
      <c r="J2861" s="65" t="e">
        <f t="shared" si="451"/>
        <v>#NUM!</v>
      </c>
      <c r="K2861" s="83" t="e">
        <f t="shared" si="452"/>
        <v>#NUM!</v>
      </c>
      <c r="L2861" s="83">
        <f t="shared" si="453"/>
        <v>0</v>
      </c>
      <c r="M2861" s="110" t="str">
        <f t="shared" si="454"/>
        <v/>
      </c>
      <c r="N2861" s="51" t="str">
        <f t="shared" si="455"/>
        <v/>
      </c>
      <c r="O2861" s="52" t="str">
        <f t="shared" si="456"/>
        <v/>
      </c>
      <c r="P2861" s="88">
        <f t="shared" si="457"/>
        <v>0</v>
      </c>
      <c r="Q2861" s="88">
        <f t="shared" si="458"/>
        <v>0</v>
      </c>
      <c r="R2861" s="88" t="e">
        <f>-IF(Tabla14[[#This Row],[DIAS HABILES O MORA]]&lt;0,(Tabla14[[#This Row],[VALOR PRESTAMO]]*Tabla14[[#This Row],[% INTERES ]]/30*U2861))+Tabla14[[#This Row],[VALOR CUOTAS]]</f>
        <v>#VALUE!</v>
      </c>
      <c r="S2861" s="88">
        <f>-IF(Tabla14[[#This Row],[DIAS HABILES O MORA]]&lt;0,(Tabla14[[#This Row],[VALOR PRESTAMO]]*Tabla14[[#This Row],[% INTERES ]]/30*U2861))</f>
        <v>0</v>
      </c>
      <c r="T2861" s="53" t="e">
        <f>Tabla14[[#This Row],[DEUDA CAPITAL]]+Tabla14[[#This Row],[INTERES  CUOTA]]</f>
        <v>#NUM!</v>
      </c>
      <c r="U2861" s="61" t="str">
        <f t="shared" si="459"/>
        <v/>
      </c>
    </row>
    <row r="2862" spans="9:21" ht="24.75" customHeight="1" x14ac:dyDescent="0.35">
      <c r="I2862" s="42">
        <f t="shared" si="450"/>
        <v>0</v>
      </c>
      <c r="J2862" s="65" t="e">
        <f t="shared" si="451"/>
        <v>#NUM!</v>
      </c>
      <c r="K2862" s="83" t="e">
        <f t="shared" si="452"/>
        <v>#NUM!</v>
      </c>
      <c r="L2862" s="83">
        <f t="shared" si="453"/>
        <v>0</v>
      </c>
      <c r="M2862" s="110" t="str">
        <f t="shared" si="454"/>
        <v/>
      </c>
      <c r="N2862" s="51" t="str">
        <f t="shared" si="455"/>
        <v/>
      </c>
      <c r="O2862" s="52" t="str">
        <f t="shared" si="456"/>
        <v/>
      </c>
      <c r="P2862" s="88">
        <f t="shared" si="457"/>
        <v>0</v>
      </c>
      <c r="Q2862" s="88">
        <f t="shared" si="458"/>
        <v>0</v>
      </c>
      <c r="R2862" s="88" t="e">
        <f>-IF(Tabla14[[#This Row],[DIAS HABILES O MORA]]&lt;0,(Tabla14[[#This Row],[VALOR PRESTAMO]]*Tabla14[[#This Row],[% INTERES ]]/30*U2862))+Tabla14[[#This Row],[VALOR CUOTAS]]</f>
        <v>#VALUE!</v>
      </c>
      <c r="S2862" s="88">
        <f>-IF(Tabla14[[#This Row],[DIAS HABILES O MORA]]&lt;0,(Tabla14[[#This Row],[VALOR PRESTAMO]]*Tabla14[[#This Row],[% INTERES ]]/30*U2862))</f>
        <v>0</v>
      </c>
      <c r="T2862" s="53" t="e">
        <f>Tabla14[[#This Row],[DEUDA CAPITAL]]+Tabla14[[#This Row],[INTERES  CUOTA]]</f>
        <v>#NUM!</v>
      </c>
      <c r="U2862" s="61" t="str">
        <f t="shared" si="459"/>
        <v/>
      </c>
    </row>
    <row r="2863" spans="9:21" ht="24.75" customHeight="1" x14ac:dyDescent="0.35">
      <c r="I2863" s="42">
        <f t="shared" si="450"/>
        <v>0</v>
      </c>
      <c r="J2863" s="65" t="e">
        <f t="shared" si="451"/>
        <v>#NUM!</v>
      </c>
      <c r="K2863" s="83" t="e">
        <f t="shared" si="452"/>
        <v>#NUM!</v>
      </c>
      <c r="L2863" s="83">
        <f t="shared" si="453"/>
        <v>0</v>
      </c>
      <c r="M2863" s="110" t="str">
        <f t="shared" si="454"/>
        <v/>
      </c>
      <c r="N2863" s="51" t="str">
        <f t="shared" si="455"/>
        <v/>
      </c>
      <c r="O2863" s="52" t="str">
        <f t="shared" si="456"/>
        <v/>
      </c>
      <c r="P2863" s="88">
        <f t="shared" si="457"/>
        <v>0</v>
      </c>
      <c r="Q2863" s="88">
        <f t="shared" si="458"/>
        <v>0</v>
      </c>
      <c r="R2863" s="88" t="e">
        <f>-IF(Tabla14[[#This Row],[DIAS HABILES O MORA]]&lt;0,(Tabla14[[#This Row],[VALOR PRESTAMO]]*Tabla14[[#This Row],[% INTERES ]]/30*U2863))+Tabla14[[#This Row],[VALOR CUOTAS]]</f>
        <v>#VALUE!</v>
      </c>
      <c r="S2863" s="88">
        <f>-IF(Tabla14[[#This Row],[DIAS HABILES O MORA]]&lt;0,(Tabla14[[#This Row],[VALOR PRESTAMO]]*Tabla14[[#This Row],[% INTERES ]]/30*U2863))</f>
        <v>0</v>
      </c>
      <c r="T2863" s="53" t="e">
        <f>Tabla14[[#This Row],[DEUDA CAPITAL]]+Tabla14[[#This Row],[INTERES  CUOTA]]</f>
        <v>#NUM!</v>
      </c>
      <c r="U2863" s="61" t="str">
        <f t="shared" si="459"/>
        <v/>
      </c>
    </row>
    <row r="2864" spans="9:21" ht="24.75" customHeight="1" x14ac:dyDescent="0.35">
      <c r="I2864" s="42">
        <f t="shared" si="450"/>
        <v>0</v>
      </c>
      <c r="J2864" s="65" t="e">
        <f t="shared" si="451"/>
        <v>#NUM!</v>
      </c>
      <c r="K2864" s="83" t="e">
        <f t="shared" si="452"/>
        <v>#NUM!</v>
      </c>
      <c r="L2864" s="83">
        <f t="shared" si="453"/>
        <v>0</v>
      </c>
      <c r="M2864" s="110" t="str">
        <f t="shared" si="454"/>
        <v/>
      </c>
      <c r="N2864" s="51" t="str">
        <f t="shared" si="455"/>
        <v/>
      </c>
      <c r="O2864" s="52" t="str">
        <f t="shared" si="456"/>
        <v/>
      </c>
      <c r="P2864" s="88">
        <f t="shared" si="457"/>
        <v>0</v>
      </c>
      <c r="Q2864" s="88">
        <f t="shared" si="458"/>
        <v>0</v>
      </c>
      <c r="R2864" s="88" t="e">
        <f>-IF(Tabla14[[#This Row],[DIAS HABILES O MORA]]&lt;0,(Tabla14[[#This Row],[VALOR PRESTAMO]]*Tabla14[[#This Row],[% INTERES ]]/30*U2864))+Tabla14[[#This Row],[VALOR CUOTAS]]</f>
        <v>#VALUE!</v>
      </c>
      <c r="S2864" s="88">
        <f>-IF(Tabla14[[#This Row],[DIAS HABILES O MORA]]&lt;0,(Tabla14[[#This Row],[VALOR PRESTAMO]]*Tabla14[[#This Row],[% INTERES ]]/30*U2864))</f>
        <v>0</v>
      </c>
      <c r="T2864" s="53" t="e">
        <f>Tabla14[[#This Row],[DEUDA CAPITAL]]+Tabla14[[#This Row],[INTERES  CUOTA]]</f>
        <v>#NUM!</v>
      </c>
      <c r="U2864" s="61" t="str">
        <f t="shared" si="459"/>
        <v/>
      </c>
    </row>
    <row r="2865" spans="9:21" ht="24.75" customHeight="1" x14ac:dyDescent="0.35">
      <c r="I2865" s="42">
        <f t="shared" si="450"/>
        <v>0</v>
      </c>
      <c r="J2865" s="65" t="e">
        <f t="shared" si="451"/>
        <v>#NUM!</v>
      </c>
      <c r="K2865" s="83" t="e">
        <f t="shared" si="452"/>
        <v>#NUM!</v>
      </c>
      <c r="L2865" s="83">
        <f t="shared" si="453"/>
        <v>0</v>
      </c>
      <c r="M2865" s="110" t="str">
        <f t="shared" si="454"/>
        <v/>
      </c>
      <c r="N2865" s="51" t="str">
        <f t="shared" si="455"/>
        <v/>
      </c>
      <c r="O2865" s="52" t="str">
        <f t="shared" si="456"/>
        <v/>
      </c>
      <c r="P2865" s="88">
        <f t="shared" si="457"/>
        <v>0</v>
      </c>
      <c r="Q2865" s="88">
        <f t="shared" si="458"/>
        <v>0</v>
      </c>
      <c r="R2865" s="88" t="e">
        <f>-IF(Tabla14[[#This Row],[DIAS HABILES O MORA]]&lt;0,(Tabla14[[#This Row],[VALOR PRESTAMO]]*Tabla14[[#This Row],[% INTERES ]]/30*U2865))+Tabla14[[#This Row],[VALOR CUOTAS]]</f>
        <v>#VALUE!</v>
      </c>
      <c r="S2865" s="88">
        <f>-IF(Tabla14[[#This Row],[DIAS HABILES O MORA]]&lt;0,(Tabla14[[#This Row],[VALOR PRESTAMO]]*Tabla14[[#This Row],[% INTERES ]]/30*U2865))</f>
        <v>0</v>
      </c>
      <c r="T2865" s="53" t="e">
        <f>Tabla14[[#This Row],[DEUDA CAPITAL]]+Tabla14[[#This Row],[INTERES  CUOTA]]</f>
        <v>#NUM!</v>
      </c>
      <c r="U2865" s="61" t="str">
        <f t="shared" si="459"/>
        <v/>
      </c>
    </row>
    <row r="2866" spans="9:21" ht="24.75" customHeight="1" x14ac:dyDescent="0.35">
      <c r="I2866" s="42">
        <f t="shared" si="450"/>
        <v>0</v>
      </c>
      <c r="J2866" s="65" t="e">
        <f t="shared" si="451"/>
        <v>#NUM!</v>
      </c>
      <c r="K2866" s="83" t="e">
        <f t="shared" si="452"/>
        <v>#NUM!</v>
      </c>
      <c r="L2866" s="83">
        <f t="shared" si="453"/>
        <v>0</v>
      </c>
      <c r="M2866" s="110" t="str">
        <f t="shared" si="454"/>
        <v/>
      </c>
      <c r="N2866" s="51" t="str">
        <f t="shared" si="455"/>
        <v/>
      </c>
      <c r="O2866" s="52" t="str">
        <f t="shared" si="456"/>
        <v/>
      </c>
      <c r="P2866" s="88">
        <f t="shared" si="457"/>
        <v>0</v>
      </c>
      <c r="Q2866" s="88">
        <f t="shared" si="458"/>
        <v>0</v>
      </c>
      <c r="R2866" s="88" t="e">
        <f>-IF(Tabla14[[#This Row],[DIAS HABILES O MORA]]&lt;0,(Tabla14[[#This Row],[VALOR PRESTAMO]]*Tabla14[[#This Row],[% INTERES ]]/30*U2866))+Tabla14[[#This Row],[VALOR CUOTAS]]</f>
        <v>#VALUE!</v>
      </c>
      <c r="S2866" s="88">
        <f>-IF(Tabla14[[#This Row],[DIAS HABILES O MORA]]&lt;0,(Tabla14[[#This Row],[VALOR PRESTAMO]]*Tabla14[[#This Row],[% INTERES ]]/30*U2866))</f>
        <v>0</v>
      </c>
      <c r="T2866" s="53" t="e">
        <f>Tabla14[[#This Row],[DEUDA CAPITAL]]+Tabla14[[#This Row],[INTERES  CUOTA]]</f>
        <v>#NUM!</v>
      </c>
      <c r="U2866" s="61" t="str">
        <f t="shared" si="459"/>
        <v/>
      </c>
    </row>
    <row r="2867" spans="9:21" ht="24.75" customHeight="1" x14ac:dyDescent="0.35">
      <c r="I2867" s="42">
        <f t="shared" si="450"/>
        <v>0</v>
      </c>
      <c r="J2867" s="65" t="e">
        <f t="shared" si="451"/>
        <v>#NUM!</v>
      </c>
      <c r="K2867" s="83" t="e">
        <f t="shared" si="452"/>
        <v>#NUM!</v>
      </c>
      <c r="L2867" s="83">
        <f t="shared" si="453"/>
        <v>0</v>
      </c>
      <c r="M2867" s="110" t="str">
        <f t="shared" si="454"/>
        <v/>
      </c>
      <c r="N2867" s="51" t="str">
        <f t="shared" si="455"/>
        <v/>
      </c>
      <c r="O2867" s="52" t="str">
        <f t="shared" si="456"/>
        <v/>
      </c>
      <c r="P2867" s="88">
        <f t="shared" si="457"/>
        <v>0</v>
      </c>
      <c r="Q2867" s="88">
        <f t="shared" si="458"/>
        <v>0</v>
      </c>
      <c r="R2867" s="88" t="e">
        <f>-IF(Tabla14[[#This Row],[DIAS HABILES O MORA]]&lt;0,(Tabla14[[#This Row],[VALOR PRESTAMO]]*Tabla14[[#This Row],[% INTERES ]]/30*U2867))+Tabla14[[#This Row],[VALOR CUOTAS]]</f>
        <v>#VALUE!</v>
      </c>
      <c r="S2867" s="88">
        <f>-IF(Tabla14[[#This Row],[DIAS HABILES O MORA]]&lt;0,(Tabla14[[#This Row],[VALOR PRESTAMO]]*Tabla14[[#This Row],[% INTERES ]]/30*U2867))</f>
        <v>0</v>
      </c>
      <c r="T2867" s="53" t="e">
        <f>Tabla14[[#This Row],[DEUDA CAPITAL]]+Tabla14[[#This Row],[INTERES  CUOTA]]</f>
        <v>#NUM!</v>
      </c>
      <c r="U2867" s="61" t="str">
        <f t="shared" si="459"/>
        <v/>
      </c>
    </row>
    <row r="2868" spans="9:21" ht="24.75" customHeight="1" x14ac:dyDescent="0.35">
      <c r="I2868" s="42">
        <f t="shared" si="450"/>
        <v>0</v>
      </c>
      <c r="J2868" s="65" t="e">
        <f t="shared" si="451"/>
        <v>#NUM!</v>
      </c>
      <c r="K2868" s="83" t="e">
        <f t="shared" si="452"/>
        <v>#NUM!</v>
      </c>
      <c r="L2868" s="83">
        <f t="shared" si="453"/>
        <v>0</v>
      </c>
      <c r="M2868" s="110" t="str">
        <f t="shared" si="454"/>
        <v/>
      </c>
      <c r="N2868" s="51" t="str">
        <f t="shared" si="455"/>
        <v/>
      </c>
      <c r="O2868" s="52" t="str">
        <f t="shared" si="456"/>
        <v/>
      </c>
      <c r="P2868" s="88">
        <f t="shared" si="457"/>
        <v>0</v>
      </c>
      <c r="Q2868" s="88">
        <f t="shared" si="458"/>
        <v>0</v>
      </c>
      <c r="R2868" s="88" t="e">
        <f>-IF(Tabla14[[#This Row],[DIAS HABILES O MORA]]&lt;0,(Tabla14[[#This Row],[VALOR PRESTAMO]]*Tabla14[[#This Row],[% INTERES ]]/30*U2868))+Tabla14[[#This Row],[VALOR CUOTAS]]</f>
        <v>#VALUE!</v>
      </c>
      <c r="S2868" s="88">
        <f>-IF(Tabla14[[#This Row],[DIAS HABILES O MORA]]&lt;0,(Tabla14[[#This Row],[VALOR PRESTAMO]]*Tabla14[[#This Row],[% INTERES ]]/30*U2868))</f>
        <v>0</v>
      </c>
      <c r="T2868" s="53" t="e">
        <f>Tabla14[[#This Row],[DEUDA CAPITAL]]+Tabla14[[#This Row],[INTERES  CUOTA]]</f>
        <v>#NUM!</v>
      </c>
      <c r="U2868" s="61" t="str">
        <f t="shared" si="459"/>
        <v/>
      </c>
    </row>
    <row r="2869" spans="9:21" ht="24.75" customHeight="1" x14ac:dyDescent="0.35">
      <c r="I2869" s="42">
        <f t="shared" si="450"/>
        <v>0</v>
      </c>
      <c r="J2869" s="65" t="e">
        <f t="shared" si="451"/>
        <v>#NUM!</v>
      </c>
      <c r="K2869" s="83" t="e">
        <f t="shared" si="452"/>
        <v>#NUM!</v>
      </c>
      <c r="L2869" s="83">
        <f t="shared" si="453"/>
        <v>0</v>
      </c>
      <c r="M2869" s="110" t="str">
        <f t="shared" si="454"/>
        <v/>
      </c>
      <c r="N2869" s="51" t="str">
        <f t="shared" si="455"/>
        <v/>
      </c>
      <c r="O2869" s="52" t="str">
        <f t="shared" si="456"/>
        <v/>
      </c>
      <c r="P2869" s="88">
        <f t="shared" si="457"/>
        <v>0</v>
      </c>
      <c r="Q2869" s="88">
        <f t="shared" si="458"/>
        <v>0</v>
      </c>
      <c r="R2869" s="88" t="e">
        <f>-IF(Tabla14[[#This Row],[DIAS HABILES O MORA]]&lt;0,(Tabla14[[#This Row],[VALOR PRESTAMO]]*Tabla14[[#This Row],[% INTERES ]]/30*U2869))+Tabla14[[#This Row],[VALOR CUOTAS]]</f>
        <v>#VALUE!</v>
      </c>
      <c r="S2869" s="88">
        <f>-IF(Tabla14[[#This Row],[DIAS HABILES O MORA]]&lt;0,(Tabla14[[#This Row],[VALOR PRESTAMO]]*Tabla14[[#This Row],[% INTERES ]]/30*U2869))</f>
        <v>0</v>
      </c>
      <c r="T2869" s="53" t="e">
        <f>Tabla14[[#This Row],[DEUDA CAPITAL]]+Tabla14[[#This Row],[INTERES  CUOTA]]</f>
        <v>#NUM!</v>
      </c>
      <c r="U2869" s="61" t="str">
        <f t="shared" si="459"/>
        <v/>
      </c>
    </row>
    <row r="2870" spans="9:21" ht="24.75" customHeight="1" x14ac:dyDescent="0.35">
      <c r="I2870" s="42">
        <f t="shared" si="450"/>
        <v>0</v>
      </c>
      <c r="J2870" s="65" t="e">
        <f t="shared" si="451"/>
        <v>#NUM!</v>
      </c>
      <c r="K2870" s="83" t="e">
        <f t="shared" si="452"/>
        <v>#NUM!</v>
      </c>
      <c r="L2870" s="83">
        <f t="shared" si="453"/>
        <v>0</v>
      </c>
      <c r="M2870" s="110" t="str">
        <f t="shared" si="454"/>
        <v/>
      </c>
      <c r="N2870" s="51" t="str">
        <f t="shared" si="455"/>
        <v/>
      </c>
      <c r="O2870" s="52" t="str">
        <f t="shared" si="456"/>
        <v/>
      </c>
      <c r="P2870" s="88">
        <f t="shared" si="457"/>
        <v>0</v>
      </c>
      <c r="Q2870" s="88">
        <f t="shared" si="458"/>
        <v>0</v>
      </c>
      <c r="R2870" s="88" t="e">
        <f>-IF(Tabla14[[#This Row],[DIAS HABILES O MORA]]&lt;0,(Tabla14[[#This Row],[VALOR PRESTAMO]]*Tabla14[[#This Row],[% INTERES ]]/30*U2870))+Tabla14[[#This Row],[VALOR CUOTAS]]</f>
        <v>#VALUE!</v>
      </c>
      <c r="S2870" s="88">
        <f>-IF(Tabla14[[#This Row],[DIAS HABILES O MORA]]&lt;0,(Tabla14[[#This Row],[VALOR PRESTAMO]]*Tabla14[[#This Row],[% INTERES ]]/30*U2870))</f>
        <v>0</v>
      </c>
      <c r="T2870" s="53" t="e">
        <f>Tabla14[[#This Row],[DEUDA CAPITAL]]+Tabla14[[#This Row],[INTERES  CUOTA]]</f>
        <v>#NUM!</v>
      </c>
      <c r="U2870" s="61" t="str">
        <f t="shared" si="459"/>
        <v/>
      </c>
    </row>
    <row r="2871" spans="9:21" ht="24.75" customHeight="1" x14ac:dyDescent="0.35">
      <c r="I2871" s="42">
        <f t="shared" si="450"/>
        <v>0</v>
      </c>
      <c r="J2871" s="65" t="e">
        <f t="shared" si="451"/>
        <v>#NUM!</v>
      </c>
      <c r="K2871" s="83" t="e">
        <f t="shared" si="452"/>
        <v>#NUM!</v>
      </c>
      <c r="L2871" s="83">
        <f t="shared" si="453"/>
        <v>0</v>
      </c>
      <c r="M2871" s="110" t="str">
        <f t="shared" si="454"/>
        <v/>
      </c>
      <c r="N2871" s="51" t="str">
        <f t="shared" si="455"/>
        <v/>
      </c>
      <c r="O2871" s="52" t="str">
        <f t="shared" si="456"/>
        <v/>
      </c>
      <c r="P2871" s="88">
        <f t="shared" si="457"/>
        <v>0</v>
      </c>
      <c r="Q2871" s="88">
        <f t="shared" si="458"/>
        <v>0</v>
      </c>
      <c r="R2871" s="88" t="e">
        <f>-IF(Tabla14[[#This Row],[DIAS HABILES O MORA]]&lt;0,(Tabla14[[#This Row],[VALOR PRESTAMO]]*Tabla14[[#This Row],[% INTERES ]]/30*U2871))+Tabla14[[#This Row],[VALOR CUOTAS]]</f>
        <v>#VALUE!</v>
      </c>
      <c r="S2871" s="88">
        <f>-IF(Tabla14[[#This Row],[DIAS HABILES O MORA]]&lt;0,(Tabla14[[#This Row],[VALOR PRESTAMO]]*Tabla14[[#This Row],[% INTERES ]]/30*U2871))</f>
        <v>0</v>
      </c>
      <c r="T2871" s="53" t="e">
        <f>Tabla14[[#This Row],[DEUDA CAPITAL]]+Tabla14[[#This Row],[INTERES  CUOTA]]</f>
        <v>#NUM!</v>
      </c>
      <c r="U2871" s="61" t="str">
        <f t="shared" si="459"/>
        <v/>
      </c>
    </row>
    <row r="2872" spans="9:21" ht="24.75" customHeight="1" x14ac:dyDescent="0.35">
      <c r="I2872" s="42">
        <f t="shared" si="450"/>
        <v>0</v>
      </c>
      <c r="J2872" s="65" t="e">
        <f t="shared" si="451"/>
        <v>#NUM!</v>
      </c>
      <c r="K2872" s="83" t="e">
        <f t="shared" si="452"/>
        <v>#NUM!</v>
      </c>
      <c r="L2872" s="83">
        <f t="shared" si="453"/>
        <v>0</v>
      </c>
      <c r="M2872" s="110" t="str">
        <f t="shared" si="454"/>
        <v/>
      </c>
      <c r="N2872" s="51" t="str">
        <f t="shared" si="455"/>
        <v/>
      </c>
      <c r="O2872" s="52" t="str">
        <f t="shared" si="456"/>
        <v/>
      </c>
      <c r="P2872" s="88">
        <f t="shared" si="457"/>
        <v>0</v>
      </c>
      <c r="Q2872" s="88">
        <f t="shared" si="458"/>
        <v>0</v>
      </c>
      <c r="R2872" s="88" t="e">
        <f>-IF(Tabla14[[#This Row],[DIAS HABILES O MORA]]&lt;0,(Tabla14[[#This Row],[VALOR PRESTAMO]]*Tabla14[[#This Row],[% INTERES ]]/30*U2872))+Tabla14[[#This Row],[VALOR CUOTAS]]</f>
        <v>#VALUE!</v>
      </c>
      <c r="S2872" s="88">
        <f>-IF(Tabla14[[#This Row],[DIAS HABILES O MORA]]&lt;0,(Tabla14[[#This Row],[VALOR PRESTAMO]]*Tabla14[[#This Row],[% INTERES ]]/30*U2872))</f>
        <v>0</v>
      </c>
      <c r="T2872" s="53" t="e">
        <f>Tabla14[[#This Row],[DEUDA CAPITAL]]+Tabla14[[#This Row],[INTERES  CUOTA]]</f>
        <v>#NUM!</v>
      </c>
      <c r="U2872" s="61" t="str">
        <f t="shared" si="459"/>
        <v/>
      </c>
    </row>
    <row r="2873" spans="9:21" ht="24.75" customHeight="1" x14ac:dyDescent="0.35">
      <c r="I2873" s="42">
        <f t="shared" si="450"/>
        <v>0</v>
      </c>
      <c r="J2873" s="65" t="e">
        <f t="shared" si="451"/>
        <v>#NUM!</v>
      </c>
      <c r="K2873" s="83" t="e">
        <f t="shared" si="452"/>
        <v>#NUM!</v>
      </c>
      <c r="L2873" s="83">
        <f t="shared" si="453"/>
        <v>0</v>
      </c>
      <c r="M2873" s="110" t="str">
        <f t="shared" si="454"/>
        <v/>
      </c>
      <c r="N2873" s="51" t="str">
        <f t="shared" si="455"/>
        <v/>
      </c>
      <c r="O2873" s="52" t="str">
        <f t="shared" si="456"/>
        <v/>
      </c>
      <c r="P2873" s="88">
        <f t="shared" si="457"/>
        <v>0</v>
      </c>
      <c r="Q2873" s="88">
        <f t="shared" si="458"/>
        <v>0</v>
      </c>
      <c r="R2873" s="88" t="e">
        <f>-IF(Tabla14[[#This Row],[DIAS HABILES O MORA]]&lt;0,(Tabla14[[#This Row],[VALOR PRESTAMO]]*Tabla14[[#This Row],[% INTERES ]]/30*U2873))+Tabla14[[#This Row],[VALOR CUOTAS]]</f>
        <v>#VALUE!</v>
      </c>
      <c r="S2873" s="88">
        <f>-IF(Tabla14[[#This Row],[DIAS HABILES O MORA]]&lt;0,(Tabla14[[#This Row],[VALOR PRESTAMO]]*Tabla14[[#This Row],[% INTERES ]]/30*U2873))</f>
        <v>0</v>
      </c>
      <c r="T2873" s="53" t="e">
        <f>Tabla14[[#This Row],[DEUDA CAPITAL]]+Tabla14[[#This Row],[INTERES  CUOTA]]</f>
        <v>#NUM!</v>
      </c>
      <c r="U2873" s="61" t="str">
        <f t="shared" si="459"/>
        <v/>
      </c>
    </row>
    <row r="2874" spans="9:21" ht="24.75" customHeight="1" x14ac:dyDescent="0.35">
      <c r="I2874" s="42">
        <f t="shared" si="450"/>
        <v>0</v>
      </c>
      <c r="J2874" s="65" t="e">
        <f t="shared" si="451"/>
        <v>#NUM!</v>
      </c>
      <c r="K2874" s="83" t="e">
        <f t="shared" si="452"/>
        <v>#NUM!</v>
      </c>
      <c r="L2874" s="83">
        <f t="shared" si="453"/>
        <v>0</v>
      </c>
      <c r="M2874" s="110" t="str">
        <f t="shared" si="454"/>
        <v/>
      </c>
      <c r="N2874" s="51" t="str">
        <f t="shared" si="455"/>
        <v/>
      </c>
      <c r="O2874" s="52" t="str">
        <f t="shared" si="456"/>
        <v/>
      </c>
      <c r="P2874" s="88">
        <f t="shared" si="457"/>
        <v>0</v>
      </c>
      <c r="Q2874" s="88">
        <f t="shared" si="458"/>
        <v>0</v>
      </c>
      <c r="R2874" s="88" t="e">
        <f>-IF(Tabla14[[#This Row],[DIAS HABILES O MORA]]&lt;0,(Tabla14[[#This Row],[VALOR PRESTAMO]]*Tabla14[[#This Row],[% INTERES ]]/30*U2874))+Tabla14[[#This Row],[VALOR CUOTAS]]</f>
        <v>#VALUE!</v>
      </c>
      <c r="S2874" s="88">
        <f>-IF(Tabla14[[#This Row],[DIAS HABILES O MORA]]&lt;0,(Tabla14[[#This Row],[VALOR PRESTAMO]]*Tabla14[[#This Row],[% INTERES ]]/30*U2874))</f>
        <v>0</v>
      </c>
      <c r="T2874" s="53" t="e">
        <f>Tabla14[[#This Row],[DEUDA CAPITAL]]+Tabla14[[#This Row],[INTERES  CUOTA]]</f>
        <v>#NUM!</v>
      </c>
      <c r="U2874" s="61" t="str">
        <f t="shared" si="459"/>
        <v/>
      </c>
    </row>
    <row r="2875" spans="9:21" ht="24.75" customHeight="1" x14ac:dyDescent="0.35">
      <c r="I2875" s="42">
        <f t="shared" si="450"/>
        <v>0</v>
      </c>
      <c r="J2875" s="65" t="e">
        <f t="shared" si="451"/>
        <v>#NUM!</v>
      </c>
      <c r="K2875" s="83" t="e">
        <f t="shared" si="452"/>
        <v>#NUM!</v>
      </c>
      <c r="L2875" s="83">
        <f t="shared" si="453"/>
        <v>0</v>
      </c>
      <c r="M2875" s="110" t="str">
        <f t="shared" si="454"/>
        <v/>
      </c>
      <c r="N2875" s="51" t="str">
        <f t="shared" si="455"/>
        <v/>
      </c>
      <c r="O2875" s="52" t="str">
        <f t="shared" si="456"/>
        <v/>
      </c>
      <c r="P2875" s="88">
        <f t="shared" si="457"/>
        <v>0</v>
      </c>
      <c r="Q2875" s="88">
        <f t="shared" si="458"/>
        <v>0</v>
      </c>
      <c r="R2875" s="88" t="e">
        <f>-IF(Tabla14[[#This Row],[DIAS HABILES O MORA]]&lt;0,(Tabla14[[#This Row],[VALOR PRESTAMO]]*Tabla14[[#This Row],[% INTERES ]]/30*U2875))+Tabla14[[#This Row],[VALOR CUOTAS]]</f>
        <v>#VALUE!</v>
      </c>
      <c r="S2875" s="88">
        <f>-IF(Tabla14[[#This Row],[DIAS HABILES O MORA]]&lt;0,(Tabla14[[#This Row],[VALOR PRESTAMO]]*Tabla14[[#This Row],[% INTERES ]]/30*U2875))</f>
        <v>0</v>
      </c>
      <c r="T2875" s="53" t="e">
        <f>Tabla14[[#This Row],[DEUDA CAPITAL]]+Tabla14[[#This Row],[INTERES  CUOTA]]</f>
        <v>#NUM!</v>
      </c>
      <c r="U2875" s="61" t="str">
        <f t="shared" si="459"/>
        <v/>
      </c>
    </row>
    <row r="2876" spans="9:21" ht="24.75" customHeight="1" x14ac:dyDescent="0.35">
      <c r="I2876" s="42">
        <f t="shared" si="450"/>
        <v>0</v>
      </c>
      <c r="J2876" s="65" t="e">
        <f t="shared" si="451"/>
        <v>#NUM!</v>
      </c>
      <c r="K2876" s="83" t="e">
        <f t="shared" si="452"/>
        <v>#NUM!</v>
      </c>
      <c r="L2876" s="83">
        <f t="shared" si="453"/>
        <v>0</v>
      </c>
      <c r="M2876" s="110" t="str">
        <f t="shared" si="454"/>
        <v/>
      </c>
      <c r="N2876" s="51" t="str">
        <f t="shared" si="455"/>
        <v/>
      </c>
      <c r="O2876" s="52" t="str">
        <f t="shared" si="456"/>
        <v/>
      </c>
      <c r="P2876" s="88">
        <f t="shared" si="457"/>
        <v>0</v>
      </c>
      <c r="Q2876" s="88">
        <f t="shared" si="458"/>
        <v>0</v>
      </c>
      <c r="R2876" s="88" t="e">
        <f>-IF(Tabla14[[#This Row],[DIAS HABILES O MORA]]&lt;0,(Tabla14[[#This Row],[VALOR PRESTAMO]]*Tabla14[[#This Row],[% INTERES ]]/30*U2876))+Tabla14[[#This Row],[VALOR CUOTAS]]</f>
        <v>#VALUE!</v>
      </c>
      <c r="S2876" s="88">
        <f>-IF(Tabla14[[#This Row],[DIAS HABILES O MORA]]&lt;0,(Tabla14[[#This Row],[VALOR PRESTAMO]]*Tabla14[[#This Row],[% INTERES ]]/30*U2876))</f>
        <v>0</v>
      </c>
      <c r="T2876" s="53" t="e">
        <f>Tabla14[[#This Row],[DEUDA CAPITAL]]+Tabla14[[#This Row],[INTERES  CUOTA]]</f>
        <v>#NUM!</v>
      </c>
      <c r="U2876" s="61" t="str">
        <f t="shared" si="459"/>
        <v/>
      </c>
    </row>
    <row r="2877" spans="9:21" ht="24.75" customHeight="1" x14ac:dyDescent="0.35">
      <c r="I2877" s="42">
        <f t="shared" si="450"/>
        <v>0</v>
      </c>
      <c r="J2877" s="65" t="e">
        <f t="shared" si="451"/>
        <v>#NUM!</v>
      </c>
      <c r="K2877" s="83" t="e">
        <f t="shared" si="452"/>
        <v>#NUM!</v>
      </c>
      <c r="L2877" s="83">
        <f t="shared" si="453"/>
        <v>0</v>
      </c>
      <c r="M2877" s="110" t="str">
        <f t="shared" si="454"/>
        <v/>
      </c>
      <c r="N2877" s="51" t="str">
        <f t="shared" si="455"/>
        <v/>
      </c>
      <c r="O2877" s="52" t="str">
        <f t="shared" si="456"/>
        <v/>
      </c>
      <c r="P2877" s="88">
        <f t="shared" si="457"/>
        <v>0</v>
      </c>
      <c r="Q2877" s="88">
        <f t="shared" si="458"/>
        <v>0</v>
      </c>
      <c r="R2877" s="88" t="e">
        <f>-IF(Tabla14[[#This Row],[DIAS HABILES O MORA]]&lt;0,(Tabla14[[#This Row],[VALOR PRESTAMO]]*Tabla14[[#This Row],[% INTERES ]]/30*U2877))+Tabla14[[#This Row],[VALOR CUOTAS]]</f>
        <v>#VALUE!</v>
      </c>
      <c r="S2877" s="88">
        <f>-IF(Tabla14[[#This Row],[DIAS HABILES O MORA]]&lt;0,(Tabla14[[#This Row],[VALOR PRESTAMO]]*Tabla14[[#This Row],[% INTERES ]]/30*U2877))</f>
        <v>0</v>
      </c>
      <c r="T2877" s="53" t="e">
        <f>Tabla14[[#This Row],[DEUDA CAPITAL]]+Tabla14[[#This Row],[INTERES  CUOTA]]</f>
        <v>#NUM!</v>
      </c>
      <c r="U2877" s="61" t="str">
        <f t="shared" si="459"/>
        <v/>
      </c>
    </row>
    <row r="2878" spans="9:21" ht="24.75" customHeight="1" x14ac:dyDescent="0.35">
      <c r="I2878" s="42">
        <f t="shared" si="450"/>
        <v>0</v>
      </c>
      <c r="J2878" s="65" t="e">
        <f t="shared" si="451"/>
        <v>#NUM!</v>
      </c>
      <c r="K2878" s="83" t="e">
        <f t="shared" si="452"/>
        <v>#NUM!</v>
      </c>
      <c r="L2878" s="83">
        <f t="shared" si="453"/>
        <v>0</v>
      </c>
      <c r="M2878" s="110" t="str">
        <f t="shared" si="454"/>
        <v/>
      </c>
      <c r="N2878" s="51" t="str">
        <f t="shared" si="455"/>
        <v/>
      </c>
      <c r="O2878" s="52" t="str">
        <f t="shared" si="456"/>
        <v/>
      </c>
      <c r="P2878" s="88">
        <f t="shared" si="457"/>
        <v>0</v>
      </c>
      <c r="Q2878" s="88">
        <f t="shared" si="458"/>
        <v>0</v>
      </c>
      <c r="R2878" s="88" t="e">
        <f>-IF(Tabla14[[#This Row],[DIAS HABILES O MORA]]&lt;0,(Tabla14[[#This Row],[VALOR PRESTAMO]]*Tabla14[[#This Row],[% INTERES ]]/30*U2878))+Tabla14[[#This Row],[VALOR CUOTAS]]</f>
        <v>#VALUE!</v>
      </c>
      <c r="S2878" s="88">
        <f>-IF(Tabla14[[#This Row],[DIAS HABILES O MORA]]&lt;0,(Tabla14[[#This Row],[VALOR PRESTAMO]]*Tabla14[[#This Row],[% INTERES ]]/30*U2878))</f>
        <v>0</v>
      </c>
      <c r="T2878" s="53" t="e">
        <f>Tabla14[[#This Row],[DEUDA CAPITAL]]+Tabla14[[#This Row],[INTERES  CUOTA]]</f>
        <v>#NUM!</v>
      </c>
      <c r="U2878" s="61" t="str">
        <f t="shared" si="459"/>
        <v/>
      </c>
    </row>
    <row r="2879" spans="9:21" ht="24.75" customHeight="1" x14ac:dyDescent="0.35">
      <c r="I2879" s="42">
        <f t="shared" si="450"/>
        <v>0</v>
      </c>
      <c r="J2879" s="65" t="e">
        <f t="shared" si="451"/>
        <v>#NUM!</v>
      </c>
      <c r="K2879" s="83" t="e">
        <f t="shared" si="452"/>
        <v>#NUM!</v>
      </c>
      <c r="L2879" s="83">
        <f t="shared" si="453"/>
        <v>0</v>
      </c>
      <c r="M2879" s="110" t="str">
        <f t="shared" si="454"/>
        <v/>
      </c>
      <c r="N2879" s="51" t="str">
        <f t="shared" si="455"/>
        <v/>
      </c>
      <c r="O2879" s="52" t="str">
        <f t="shared" si="456"/>
        <v/>
      </c>
      <c r="P2879" s="88">
        <f t="shared" si="457"/>
        <v>0</v>
      </c>
      <c r="Q2879" s="88">
        <f t="shared" si="458"/>
        <v>0</v>
      </c>
      <c r="R2879" s="88" t="e">
        <f>-IF(Tabla14[[#This Row],[DIAS HABILES O MORA]]&lt;0,(Tabla14[[#This Row],[VALOR PRESTAMO]]*Tabla14[[#This Row],[% INTERES ]]/30*U2879))+Tabla14[[#This Row],[VALOR CUOTAS]]</f>
        <v>#VALUE!</v>
      </c>
      <c r="S2879" s="88">
        <f>-IF(Tabla14[[#This Row],[DIAS HABILES O MORA]]&lt;0,(Tabla14[[#This Row],[VALOR PRESTAMO]]*Tabla14[[#This Row],[% INTERES ]]/30*U2879))</f>
        <v>0</v>
      </c>
      <c r="T2879" s="53" t="e">
        <f>Tabla14[[#This Row],[DEUDA CAPITAL]]+Tabla14[[#This Row],[INTERES  CUOTA]]</f>
        <v>#NUM!</v>
      </c>
      <c r="U2879" s="61" t="str">
        <f t="shared" si="459"/>
        <v/>
      </c>
    </row>
    <row r="2880" spans="9:21" ht="24.75" customHeight="1" x14ac:dyDescent="0.35">
      <c r="I2880" s="42">
        <f t="shared" si="450"/>
        <v>0</v>
      </c>
      <c r="J2880" s="65" t="e">
        <f t="shared" si="451"/>
        <v>#NUM!</v>
      </c>
      <c r="K2880" s="83" t="e">
        <f t="shared" si="452"/>
        <v>#NUM!</v>
      </c>
      <c r="L2880" s="83">
        <f t="shared" si="453"/>
        <v>0</v>
      </c>
      <c r="M2880" s="110" t="str">
        <f t="shared" si="454"/>
        <v/>
      </c>
      <c r="N2880" s="51" t="str">
        <f t="shared" si="455"/>
        <v/>
      </c>
      <c r="O2880" s="52" t="str">
        <f t="shared" si="456"/>
        <v/>
      </c>
      <c r="P2880" s="88">
        <f t="shared" si="457"/>
        <v>0</v>
      </c>
      <c r="Q2880" s="88">
        <f t="shared" si="458"/>
        <v>0</v>
      </c>
      <c r="R2880" s="88" t="e">
        <f>-IF(Tabla14[[#This Row],[DIAS HABILES O MORA]]&lt;0,(Tabla14[[#This Row],[VALOR PRESTAMO]]*Tabla14[[#This Row],[% INTERES ]]/30*U2880))+Tabla14[[#This Row],[VALOR CUOTAS]]</f>
        <v>#VALUE!</v>
      </c>
      <c r="S2880" s="88">
        <f>-IF(Tabla14[[#This Row],[DIAS HABILES O MORA]]&lt;0,(Tabla14[[#This Row],[VALOR PRESTAMO]]*Tabla14[[#This Row],[% INTERES ]]/30*U2880))</f>
        <v>0</v>
      </c>
      <c r="T2880" s="53" t="e">
        <f>Tabla14[[#This Row],[DEUDA CAPITAL]]+Tabla14[[#This Row],[INTERES  CUOTA]]</f>
        <v>#NUM!</v>
      </c>
      <c r="U2880" s="61" t="str">
        <f t="shared" si="459"/>
        <v/>
      </c>
    </row>
    <row r="2881" spans="9:21" ht="24.75" customHeight="1" x14ac:dyDescent="0.35">
      <c r="I2881" s="42">
        <f t="shared" si="450"/>
        <v>0</v>
      </c>
      <c r="J2881" s="65" t="e">
        <f t="shared" si="451"/>
        <v>#NUM!</v>
      </c>
      <c r="K2881" s="83" t="e">
        <f t="shared" si="452"/>
        <v>#NUM!</v>
      </c>
      <c r="L2881" s="83">
        <f t="shared" si="453"/>
        <v>0</v>
      </c>
      <c r="M2881" s="110" t="str">
        <f t="shared" si="454"/>
        <v/>
      </c>
      <c r="N2881" s="51" t="str">
        <f t="shared" si="455"/>
        <v/>
      </c>
      <c r="O2881" s="52" t="str">
        <f t="shared" si="456"/>
        <v/>
      </c>
      <c r="P2881" s="88">
        <f t="shared" si="457"/>
        <v>0</v>
      </c>
      <c r="Q2881" s="88">
        <f t="shared" si="458"/>
        <v>0</v>
      </c>
      <c r="R2881" s="88" t="e">
        <f>-IF(Tabla14[[#This Row],[DIAS HABILES O MORA]]&lt;0,(Tabla14[[#This Row],[VALOR PRESTAMO]]*Tabla14[[#This Row],[% INTERES ]]/30*U2881))+Tabla14[[#This Row],[VALOR CUOTAS]]</f>
        <v>#VALUE!</v>
      </c>
      <c r="S2881" s="88">
        <f>-IF(Tabla14[[#This Row],[DIAS HABILES O MORA]]&lt;0,(Tabla14[[#This Row],[VALOR PRESTAMO]]*Tabla14[[#This Row],[% INTERES ]]/30*U2881))</f>
        <v>0</v>
      </c>
      <c r="T2881" s="53" t="e">
        <f>Tabla14[[#This Row],[DEUDA CAPITAL]]+Tabla14[[#This Row],[INTERES  CUOTA]]</f>
        <v>#NUM!</v>
      </c>
      <c r="U2881" s="61" t="str">
        <f t="shared" si="459"/>
        <v/>
      </c>
    </row>
    <row r="2882" spans="9:21" ht="24.75" customHeight="1" x14ac:dyDescent="0.35">
      <c r="I2882" s="42">
        <f t="shared" si="450"/>
        <v>0</v>
      </c>
      <c r="J2882" s="65" t="e">
        <f t="shared" si="451"/>
        <v>#NUM!</v>
      </c>
      <c r="K2882" s="83" t="e">
        <f t="shared" si="452"/>
        <v>#NUM!</v>
      </c>
      <c r="L2882" s="83">
        <f t="shared" si="453"/>
        <v>0</v>
      </c>
      <c r="M2882" s="110" t="str">
        <f t="shared" si="454"/>
        <v/>
      </c>
      <c r="N2882" s="51" t="str">
        <f t="shared" si="455"/>
        <v/>
      </c>
      <c r="O2882" s="52" t="str">
        <f t="shared" si="456"/>
        <v/>
      </c>
      <c r="P2882" s="88">
        <f t="shared" si="457"/>
        <v>0</v>
      </c>
      <c r="Q2882" s="88">
        <f t="shared" si="458"/>
        <v>0</v>
      </c>
      <c r="R2882" s="88" t="e">
        <f>-IF(Tabla14[[#This Row],[DIAS HABILES O MORA]]&lt;0,(Tabla14[[#This Row],[VALOR PRESTAMO]]*Tabla14[[#This Row],[% INTERES ]]/30*U2882))+Tabla14[[#This Row],[VALOR CUOTAS]]</f>
        <v>#VALUE!</v>
      </c>
      <c r="S2882" s="88">
        <f>-IF(Tabla14[[#This Row],[DIAS HABILES O MORA]]&lt;0,(Tabla14[[#This Row],[VALOR PRESTAMO]]*Tabla14[[#This Row],[% INTERES ]]/30*U2882))</f>
        <v>0</v>
      </c>
      <c r="T2882" s="53" t="e">
        <f>Tabla14[[#This Row],[DEUDA CAPITAL]]+Tabla14[[#This Row],[INTERES  CUOTA]]</f>
        <v>#NUM!</v>
      </c>
      <c r="U2882" s="61" t="str">
        <f t="shared" si="459"/>
        <v/>
      </c>
    </row>
    <row r="2883" spans="9:21" ht="24.75" customHeight="1" x14ac:dyDescent="0.35">
      <c r="I2883" s="42">
        <f t="shared" si="450"/>
        <v>0</v>
      </c>
      <c r="J2883" s="65" t="e">
        <f t="shared" si="451"/>
        <v>#NUM!</v>
      </c>
      <c r="K2883" s="83" t="e">
        <f t="shared" si="452"/>
        <v>#NUM!</v>
      </c>
      <c r="L2883" s="83">
        <f t="shared" si="453"/>
        <v>0</v>
      </c>
      <c r="M2883" s="110" t="str">
        <f t="shared" si="454"/>
        <v/>
      </c>
      <c r="N2883" s="51" t="str">
        <f t="shared" si="455"/>
        <v/>
      </c>
      <c r="O2883" s="52" t="str">
        <f t="shared" si="456"/>
        <v/>
      </c>
      <c r="P2883" s="88">
        <f t="shared" si="457"/>
        <v>0</v>
      </c>
      <c r="Q2883" s="88">
        <f t="shared" si="458"/>
        <v>0</v>
      </c>
      <c r="R2883" s="88" t="e">
        <f>-IF(Tabla14[[#This Row],[DIAS HABILES O MORA]]&lt;0,(Tabla14[[#This Row],[VALOR PRESTAMO]]*Tabla14[[#This Row],[% INTERES ]]/30*U2883))+Tabla14[[#This Row],[VALOR CUOTAS]]</f>
        <v>#VALUE!</v>
      </c>
      <c r="S2883" s="88">
        <f>-IF(Tabla14[[#This Row],[DIAS HABILES O MORA]]&lt;0,(Tabla14[[#This Row],[VALOR PRESTAMO]]*Tabla14[[#This Row],[% INTERES ]]/30*U2883))</f>
        <v>0</v>
      </c>
      <c r="T2883" s="53" t="e">
        <f>Tabla14[[#This Row],[DEUDA CAPITAL]]+Tabla14[[#This Row],[INTERES  CUOTA]]</f>
        <v>#NUM!</v>
      </c>
      <c r="U2883" s="61" t="str">
        <f t="shared" si="459"/>
        <v/>
      </c>
    </row>
    <row r="2884" spans="9:21" ht="24.75" customHeight="1" x14ac:dyDescent="0.35">
      <c r="I2884" s="42">
        <f t="shared" si="450"/>
        <v>0</v>
      </c>
      <c r="J2884" s="65" t="e">
        <f t="shared" si="451"/>
        <v>#NUM!</v>
      </c>
      <c r="K2884" s="83" t="e">
        <f t="shared" si="452"/>
        <v>#NUM!</v>
      </c>
      <c r="L2884" s="83">
        <f t="shared" si="453"/>
        <v>0</v>
      </c>
      <c r="M2884" s="110" t="str">
        <f t="shared" si="454"/>
        <v/>
      </c>
      <c r="N2884" s="51" t="str">
        <f t="shared" si="455"/>
        <v/>
      </c>
      <c r="O2884" s="52" t="str">
        <f t="shared" si="456"/>
        <v/>
      </c>
      <c r="P2884" s="88">
        <f t="shared" si="457"/>
        <v>0</v>
      </c>
      <c r="Q2884" s="88">
        <f t="shared" si="458"/>
        <v>0</v>
      </c>
      <c r="R2884" s="88" t="e">
        <f>-IF(Tabla14[[#This Row],[DIAS HABILES O MORA]]&lt;0,(Tabla14[[#This Row],[VALOR PRESTAMO]]*Tabla14[[#This Row],[% INTERES ]]/30*U2884))+Tabla14[[#This Row],[VALOR CUOTAS]]</f>
        <v>#VALUE!</v>
      </c>
      <c r="S2884" s="88">
        <f>-IF(Tabla14[[#This Row],[DIAS HABILES O MORA]]&lt;0,(Tabla14[[#This Row],[VALOR PRESTAMO]]*Tabla14[[#This Row],[% INTERES ]]/30*U2884))</f>
        <v>0</v>
      </c>
      <c r="T2884" s="53" t="e">
        <f>Tabla14[[#This Row],[DEUDA CAPITAL]]+Tabla14[[#This Row],[INTERES  CUOTA]]</f>
        <v>#NUM!</v>
      </c>
      <c r="U2884" s="61" t="str">
        <f t="shared" si="459"/>
        <v/>
      </c>
    </row>
    <row r="2885" spans="9:21" ht="24.75" customHeight="1" x14ac:dyDescent="0.35">
      <c r="I2885" s="42">
        <f t="shared" si="450"/>
        <v>0</v>
      </c>
      <c r="J2885" s="65" t="e">
        <f t="shared" si="451"/>
        <v>#NUM!</v>
      </c>
      <c r="K2885" s="83" t="e">
        <f t="shared" si="452"/>
        <v>#NUM!</v>
      </c>
      <c r="L2885" s="83">
        <f t="shared" si="453"/>
        <v>0</v>
      </c>
      <c r="M2885" s="110" t="str">
        <f t="shared" si="454"/>
        <v/>
      </c>
      <c r="N2885" s="51" t="str">
        <f t="shared" si="455"/>
        <v/>
      </c>
      <c r="O2885" s="52" t="str">
        <f t="shared" si="456"/>
        <v/>
      </c>
      <c r="P2885" s="88">
        <f t="shared" si="457"/>
        <v>0</v>
      </c>
      <c r="Q2885" s="88">
        <f t="shared" si="458"/>
        <v>0</v>
      </c>
      <c r="R2885" s="88" t="e">
        <f>-IF(Tabla14[[#This Row],[DIAS HABILES O MORA]]&lt;0,(Tabla14[[#This Row],[VALOR PRESTAMO]]*Tabla14[[#This Row],[% INTERES ]]/30*U2885))+Tabla14[[#This Row],[VALOR CUOTAS]]</f>
        <v>#VALUE!</v>
      </c>
      <c r="S2885" s="88">
        <f>-IF(Tabla14[[#This Row],[DIAS HABILES O MORA]]&lt;0,(Tabla14[[#This Row],[VALOR PRESTAMO]]*Tabla14[[#This Row],[% INTERES ]]/30*U2885))</f>
        <v>0</v>
      </c>
      <c r="T2885" s="53" t="e">
        <f>Tabla14[[#This Row],[DEUDA CAPITAL]]+Tabla14[[#This Row],[INTERES  CUOTA]]</f>
        <v>#NUM!</v>
      </c>
      <c r="U2885" s="61" t="str">
        <f t="shared" si="459"/>
        <v/>
      </c>
    </row>
    <row r="2886" spans="9:21" ht="24.75" customHeight="1" x14ac:dyDescent="0.35">
      <c r="I2886" s="42">
        <f t="shared" si="450"/>
        <v>0</v>
      </c>
      <c r="J2886" s="65" t="e">
        <f t="shared" si="451"/>
        <v>#NUM!</v>
      </c>
      <c r="K2886" s="83" t="e">
        <f t="shared" si="452"/>
        <v>#NUM!</v>
      </c>
      <c r="L2886" s="83">
        <f t="shared" si="453"/>
        <v>0</v>
      </c>
      <c r="M2886" s="110" t="str">
        <f t="shared" si="454"/>
        <v/>
      </c>
      <c r="N2886" s="51" t="str">
        <f t="shared" si="455"/>
        <v/>
      </c>
      <c r="O2886" s="52" t="str">
        <f t="shared" si="456"/>
        <v/>
      </c>
      <c r="P2886" s="88">
        <f t="shared" si="457"/>
        <v>0</v>
      </c>
      <c r="Q2886" s="88">
        <f t="shared" si="458"/>
        <v>0</v>
      </c>
      <c r="R2886" s="88" t="e">
        <f>-IF(Tabla14[[#This Row],[DIAS HABILES O MORA]]&lt;0,(Tabla14[[#This Row],[VALOR PRESTAMO]]*Tabla14[[#This Row],[% INTERES ]]/30*U2886))+Tabla14[[#This Row],[VALOR CUOTAS]]</f>
        <v>#VALUE!</v>
      </c>
      <c r="S2886" s="88">
        <f>-IF(Tabla14[[#This Row],[DIAS HABILES O MORA]]&lt;0,(Tabla14[[#This Row],[VALOR PRESTAMO]]*Tabla14[[#This Row],[% INTERES ]]/30*U2886))</f>
        <v>0</v>
      </c>
      <c r="T2886" s="53" t="e">
        <f>Tabla14[[#This Row],[DEUDA CAPITAL]]+Tabla14[[#This Row],[INTERES  CUOTA]]</f>
        <v>#NUM!</v>
      </c>
      <c r="U2886" s="61" t="str">
        <f t="shared" si="459"/>
        <v/>
      </c>
    </row>
    <row r="2887" spans="9:21" ht="24.75" customHeight="1" x14ac:dyDescent="0.35">
      <c r="I2887" s="42">
        <f t="shared" si="450"/>
        <v>0</v>
      </c>
      <c r="J2887" s="65" t="e">
        <f t="shared" si="451"/>
        <v>#NUM!</v>
      </c>
      <c r="K2887" s="83" t="e">
        <f t="shared" si="452"/>
        <v>#NUM!</v>
      </c>
      <c r="L2887" s="83">
        <f t="shared" si="453"/>
        <v>0</v>
      </c>
      <c r="M2887" s="110" t="str">
        <f t="shared" si="454"/>
        <v/>
      </c>
      <c r="N2887" s="51" t="str">
        <f t="shared" si="455"/>
        <v/>
      </c>
      <c r="O2887" s="52" t="str">
        <f t="shared" si="456"/>
        <v/>
      </c>
      <c r="P2887" s="88">
        <f t="shared" si="457"/>
        <v>0</v>
      </c>
      <c r="Q2887" s="88">
        <f t="shared" si="458"/>
        <v>0</v>
      </c>
      <c r="R2887" s="88" t="e">
        <f>-IF(Tabla14[[#This Row],[DIAS HABILES O MORA]]&lt;0,(Tabla14[[#This Row],[VALOR PRESTAMO]]*Tabla14[[#This Row],[% INTERES ]]/30*U2887))+Tabla14[[#This Row],[VALOR CUOTAS]]</f>
        <v>#VALUE!</v>
      </c>
      <c r="S2887" s="88">
        <f>-IF(Tabla14[[#This Row],[DIAS HABILES O MORA]]&lt;0,(Tabla14[[#This Row],[VALOR PRESTAMO]]*Tabla14[[#This Row],[% INTERES ]]/30*U2887))</f>
        <v>0</v>
      </c>
      <c r="T2887" s="53" t="e">
        <f>Tabla14[[#This Row],[DEUDA CAPITAL]]+Tabla14[[#This Row],[INTERES  CUOTA]]</f>
        <v>#NUM!</v>
      </c>
      <c r="U2887" s="61" t="str">
        <f t="shared" si="459"/>
        <v/>
      </c>
    </row>
    <row r="2888" spans="9:21" ht="24.75" customHeight="1" x14ac:dyDescent="0.35">
      <c r="I2888" s="42">
        <f t="shared" si="450"/>
        <v>0</v>
      </c>
      <c r="J2888" s="65" t="e">
        <f t="shared" si="451"/>
        <v>#NUM!</v>
      </c>
      <c r="K2888" s="83" t="e">
        <f t="shared" si="452"/>
        <v>#NUM!</v>
      </c>
      <c r="L2888" s="83">
        <f t="shared" si="453"/>
        <v>0</v>
      </c>
      <c r="M2888" s="110" t="str">
        <f t="shared" si="454"/>
        <v/>
      </c>
      <c r="N2888" s="51" t="str">
        <f t="shared" si="455"/>
        <v/>
      </c>
      <c r="O2888" s="52" t="str">
        <f t="shared" si="456"/>
        <v/>
      </c>
      <c r="P2888" s="88">
        <f t="shared" si="457"/>
        <v>0</v>
      </c>
      <c r="Q2888" s="88">
        <f t="shared" si="458"/>
        <v>0</v>
      </c>
      <c r="R2888" s="88" t="e">
        <f>-IF(Tabla14[[#This Row],[DIAS HABILES O MORA]]&lt;0,(Tabla14[[#This Row],[VALOR PRESTAMO]]*Tabla14[[#This Row],[% INTERES ]]/30*U2888))+Tabla14[[#This Row],[VALOR CUOTAS]]</f>
        <v>#VALUE!</v>
      </c>
      <c r="S2888" s="88">
        <f>-IF(Tabla14[[#This Row],[DIAS HABILES O MORA]]&lt;0,(Tabla14[[#This Row],[VALOR PRESTAMO]]*Tabla14[[#This Row],[% INTERES ]]/30*U2888))</f>
        <v>0</v>
      </c>
      <c r="T2888" s="53" t="e">
        <f>Tabla14[[#This Row],[DEUDA CAPITAL]]+Tabla14[[#This Row],[INTERES  CUOTA]]</f>
        <v>#NUM!</v>
      </c>
      <c r="U2888" s="61" t="str">
        <f t="shared" si="459"/>
        <v/>
      </c>
    </row>
    <row r="2889" spans="9:21" ht="24.75" customHeight="1" x14ac:dyDescent="0.35">
      <c r="I2889" s="42">
        <f t="shared" si="450"/>
        <v>0</v>
      </c>
      <c r="J2889" s="65" t="e">
        <f t="shared" si="451"/>
        <v>#NUM!</v>
      </c>
      <c r="K2889" s="83" t="e">
        <f t="shared" si="452"/>
        <v>#NUM!</v>
      </c>
      <c r="L2889" s="83">
        <f t="shared" si="453"/>
        <v>0</v>
      </c>
      <c r="M2889" s="110" t="str">
        <f t="shared" si="454"/>
        <v/>
      </c>
      <c r="N2889" s="51" t="str">
        <f t="shared" si="455"/>
        <v/>
      </c>
      <c r="O2889" s="52" t="str">
        <f t="shared" si="456"/>
        <v/>
      </c>
      <c r="P2889" s="88">
        <f t="shared" si="457"/>
        <v>0</v>
      </c>
      <c r="Q2889" s="88">
        <f t="shared" si="458"/>
        <v>0</v>
      </c>
      <c r="R2889" s="88" t="e">
        <f>-IF(Tabla14[[#This Row],[DIAS HABILES O MORA]]&lt;0,(Tabla14[[#This Row],[VALOR PRESTAMO]]*Tabla14[[#This Row],[% INTERES ]]/30*U2889))+Tabla14[[#This Row],[VALOR CUOTAS]]</f>
        <v>#VALUE!</v>
      </c>
      <c r="S2889" s="88">
        <f>-IF(Tabla14[[#This Row],[DIAS HABILES O MORA]]&lt;0,(Tabla14[[#This Row],[VALOR PRESTAMO]]*Tabla14[[#This Row],[% INTERES ]]/30*U2889))</f>
        <v>0</v>
      </c>
      <c r="T2889" s="53" t="e">
        <f>Tabla14[[#This Row],[DEUDA CAPITAL]]+Tabla14[[#This Row],[INTERES  CUOTA]]</f>
        <v>#NUM!</v>
      </c>
      <c r="U2889" s="61" t="str">
        <f t="shared" si="459"/>
        <v/>
      </c>
    </row>
    <row r="2890" spans="9:21" ht="24.75" customHeight="1" x14ac:dyDescent="0.35">
      <c r="I2890" s="42">
        <f t="shared" si="450"/>
        <v>0</v>
      </c>
      <c r="J2890" s="65" t="e">
        <f t="shared" si="451"/>
        <v>#NUM!</v>
      </c>
      <c r="K2890" s="83" t="e">
        <f t="shared" si="452"/>
        <v>#NUM!</v>
      </c>
      <c r="L2890" s="83">
        <f t="shared" si="453"/>
        <v>0</v>
      </c>
      <c r="M2890" s="110" t="str">
        <f t="shared" si="454"/>
        <v/>
      </c>
      <c r="N2890" s="51" t="str">
        <f t="shared" si="455"/>
        <v/>
      </c>
      <c r="O2890" s="52" t="str">
        <f t="shared" si="456"/>
        <v/>
      </c>
      <c r="P2890" s="88">
        <f t="shared" si="457"/>
        <v>0</v>
      </c>
      <c r="Q2890" s="88">
        <f t="shared" si="458"/>
        <v>0</v>
      </c>
      <c r="R2890" s="88" t="e">
        <f>-IF(Tabla14[[#This Row],[DIAS HABILES O MORA]]&lt;0,(Tabla14[[#This Row],[VALOR PRESTAMO]]*Tabla14[[#This Row],[% INTERES ]]/30*U2890))+Tabla14[[#This Row],[VALOR CUOTAS]]</f>
        <v>#VALUE!</v>
      </c>
      <c r="S2890" s="88">
        <f>-IF(Tabla14[[#This Row],[DIAS HABILES O MORA]]&lt;0,(Tabla14[[#This Row],[VALOR PRESTAMO]]*Tabla14[[#This Row],[% INTERES ]]/30*U2890))</f>
        <v>0</v>
      </c>
      <c r="T2890" s="53" t="e">
        <f>Tabla14[[#This Row],[DEUDA CAPITAL]]+Tabla14[[#This Row],[INTERES  CUOTA]]</f>
        <v>#NUM!</v>
      </c>
      <c r="U2890" s="61" t="str">
        <f t="shared" si="459"/>
        <v/>
      </c>
    </row>
    <row r="2891" spans="9:21" ht="24.75" customHeight="1" x14ac:dyDescent="0.35">
      <c r="I2891" s="42">
        <f t="shared" si="450"/>
        <v>0</v>
      </c>
      <c r="J2891" s="65" t="e">
        <f t="shared" si="451"/>
        <v>#NUM!</v>
      </c>
      <c r="K2891" s="83" t="e">
        <f t="shared" si="452"/>
        <v>#NUM!</v>
      </c>
      <c r="L2891" s="83">
        <f t="shared" si="453"/>
        <v>0</v>
      </c>
      <c r="M2891" s="110" t="str">
        <f t="shared" si="454"/>
        <v/>
      </c>
      <c r="N2891" s="51" t="str">
        <f t="shared" si="455"/>
        <v/>
      </c>
      <c r="O2891" s="52" t="str">
        <f t="shared" si="456"/>
        <v/>
      </c>
      <c r="P2891" s="88">
        <f t="shared" si="457"/>
        <v>0</v>
      </c>
      <c r="Q2891" s="88">
        <f t="shared" si="458"/>
        <v>0</v>
      </c>
      <c r="R2891" s="88" t="e">
        <f>-IF(Tabla14[[#This Row],[DIAS HABILES O MORA]]&lt;0,(Tabla14[[#This Row],[VALOR PRESTAMO]]*Tabla14[[#This Row],[% INTERES ]]/30*U2891))+Tabla14[[#This Row],[VALOR CUOTAS]]</f>
        <v>#VALUE!</v>
      </c>
      <c r="S2891" s="88">
        <f>-IF(Tabla14[[#This Row],[DIAS HABILES O MORA]]&lt;0,(Tabla14[[#This Row],[VALOR PRESTAMO]]*Tabla14[[#This Row],[% INTERES ]]/30*U2891))</f>
        <v>0</v>
      </c>
      <c r="T2891" s="53" t="e">
        <f>Tabla14[[#This Row],[DEUDA CAPITAL]]+Tabla14[[#This Row],[INTERES  CUOTA]]</f>
        <v>#NUM!</v>
      </c>
      <c r="U2891" s="61" t="str">
        <f t="shared" si="459"/>
        <v/>
      </c>
    </row>
    <row r="2892" spans="9:21" ht="24.75" customHeight="1" x14ac:dyDescent="0.35">
      <c r="I2892" s="42">
        <f t="shared" si="450"/>
        <v>0</v>
      </c>
      <c r="J2892" s="65" t="e">
        <f t="shared" si="451"/>
        <v>#NUM!</v>
      </c>
      <c r="K2892" s="83" t="e">
        <f t="shared" si="452"/>
        <v>#NUM!</v>
      </c>
      <c r="L2892" s="83">
        <f t="shared" si="453"/>
        <v>0</v>
      </c>
      <c r="M2892" s="110" t="str">
        <f t="shared" si="454"/>
        <v/>
      </c>
      <c r="N2892" s="51" t="str">
        <f t="shared" si="455"/>
        <v/>
      </c>
      <c r="O2892" s="52" t="str">
        <f t="shared" si="456"/>
        <v/>
      </c>
      <c r="P2892" s="88">
        <f t="shared" si="457"/>
        <v>0</v>
      </c>
      <c r="Q2892" s="88">
        <f t="shared" si="458"/>
        <v>0</v>
      </c>
      <c r="R2892" s="88" t="e">
        <f>-IF(Tabla14[[#This Row],[DIAS HABILES O MORA]]&lt;0,(Tabla14[[#This Row],[VALOR PRESTAMO]]*Tabla14[[#This Row],[% INTERES ]]/30*U2892))+Tabla14[[#This Row],[VALOR CUOTAS]]</f>
        <v>#VALUE!</v>
      </c>
      <c r="S2892" s="88">
        <f>-IF(Tabla14[[#This Row],[DIAS HABILES O MORA]]&lt;0,(Tabla14[[#This Row],[VALOR PRESTAMO]]*Tabla14[[#This Row],[% INTERES ]]/30*U2892))</f>
        <v>0</v>
      </c>
      <c r="T2892" s="53" t="e">
        <f>Tabla14[[#This Row],[DEUDA CAPITAL]]+Tabla14[[#This Row],[INTERES  CUOTA]]</f>
        <v>#NUM!</v>
      </c>
      <c r="U2892" s="61" t="str">
        <f t="shared" si="459"/>
        <v/>
      </c>
    </row>
    <row r="2893" spans="9:21" ht="24.75" customHeight="1" x14ac:dyDescent="0.35">
      <c r="I2893" s="42">
        <f t="shared" si="450"/>
        <v>0</v>
      </c>
      <c r="J2893" s="65" t="e">
        <f t="shared" si="451"/>
        <v>#NUM!</v>
      </c>
      <c r="K2893" s="83" t="e">
        <f t="shared" si="452"/>
        <v>#NUM!</v>
      </c>
      <c r="L2893" s="83">
        <f t="shared" si="453"/>
        <v>0</v>
      </c>
      <c r="M2893" s="110" t="str">
        <f t="shared" si="454"/>
        <v/>
      </c>
      <c r="N2893" s="51" t="str">
        <f t="shared" si="455"/>
        <v/>
      </c>
      <c r="O2893" s="52" t="str">
        <f t="shared" si="456"/>
        <v/>
      </c>
      <c r="P2893" s="88">
        <f t="shared" si="457"/>
        <v>0</v>
      </c>
      <c r="Q2893" s="88">
        <f t="shared" si="458"/>
        <v>0</v>
      </c>
      <c r="R2893" s="88" t="e">
        <f>-IF(Tabla14[[#This Row],[DIAS HABILES O MORA]]&lt;0,(Tabla14[[#This Row],[VALOR PRESTAMO]]*Tabla14[[#This Row],[% INTERES ]]/30*U2893))+Tabla14[[#This Row],[VALOR CUOTAS]]</f>
        <v>#VALUE!</v>
      </c>
      <c r="S2893" s="88">
        <f>-IF(Tabla14[[#This Row],[DIAS HABILES O MORA]]&lt;0,(Tabla14[[#This Row],[VALOR PRESTAMO]]*Tabla14[[#This Row],[% INTERES ]]/30*U2893))</f>
        <v>0</v>
      </c>
      <c r="T2893" s="53" t="e">
        <f>Tabla14[[#This Row],[DEUDA CAPITAL]]+Tabla14[[#This Row],[INTERES  CUOTA]]</f>
        <v>#NUM!</v>
      </c>
      <c r="U2893" s="61" t="str">
        <f t="shared" si="459"/>
        <v/>
      </c>
    </row>
    <row r="2894" spans="9:21" ht="24.75" customHeight="1" x14ac:dyDescent="0.35">
      <c r="I2894" s="42">
        <f t="shared" si="450"/>
        <v>0</v>
      </c>
      <c r="J2894" s="65" t="e">
        <f t="shared" si="451"/>
        <v>#NUM!</v>
      </c>
      <c r="K2894" s="83" t="e">
        <f t="shared" si="452"/>
        <v>#NUM!</v>
      </c>
      <c r="L2894" s="83">
        <f t="shared" si="453"/>
        <v>0</v>
      </c>
      <c r="M2894" s="110" t="str">
        <f t="shared" si="454"/>
        <v/>
      </c>
      <c r="N2894" s="51" t="str">
        <f t="shared" si="455"/>
        <v/>
      </c>
      <c r="O2894" s="52" t="str">
        <f t="shared" si="456"/>
        <v/>
      </c>
      <c r="P2894" s="88">
        <f t="shared" si="457"/>
        <v>0</v>
      </c>
      <c r="Q2894" s="88">
        <f t="shared" si="458"/>
        <v>0</v>
      </c>
      <c r="R2894" s="88" t="e">
        <f>-IF(Tabla14[[#This Row],[DIAS HABILES O MORA]]&lt;0,(Tabla14[[#This Row],[VALOR PRESTAMO]]*Tabla14[[#This Row],[% INTERES ]]/30*U2894))+Tabla14[[#This Row],[VALOR CUOTAS]]</f>
        <v>#VALUE!</v>
      </c>
      <c r="S2894" s="88">
        <f>-IF(Tabla14[[#This Row],[DIAS HABILES O MORA]]&lt;0,(Tabla14[[#This Row],[VALOR PRESTAMO]]*Tabla14[[#This Row],[% INTERES ]]/30*U2894))</f>
        <v>0</v>
      </c>
      <c r="T2894" s="53" t="e">
        <f>Tabla14[[#This Row],[DEUDA CAPITAL]]+Tabla14[[#This Row],[INTERES  CUOTA]]</f>
        <v>#NUM!</v>
      </c>
      <c r="U2894" s="61" t="str">
        <f t="shared" si="459"/>
        <v/>
      </c>
    </row>
    <row r="2895" spans="9:21" ht="24.75" customHeight="1" x14ac:dyDescent="0.35">
      <c r="I2895" s="42">
        <f t="shared" si="450"/>
        <v>0</v>
      </c>
      <c r="J2895" s="65" t="e">
        <f t="shared" si="451"/>
        <v>#NUM!</v>
      </c>
      <c r="K2895" s="83" t="e">
        <f t="shared" si="452"/>
        <v>#NUM!</v>
      </c>
      <c r="L2895" s="83">
        <f t="shared" si="453"/>
        <v>0</v>
      </c>
      <c r="M2895" s="110" t="str">
        <f t="shared" si="454"/>
        <v/>
      </c>
      <c r="N2895" s="51" t="str">
        <f t="shared" si="455"/>
        <v/>
      </c>
      <c r="O2895" s="52" t="str">
        <f t="shared" si="456"/>
        <v/>
      </c>
      <c r="P2895" s="88">
        <f t="shared" si="457"/>
        <v>0</v>
      </c>
      <c r="Q2895" s="88">
        <f t="shared" si="458"/>
        <v>0</v>
      </c>
      <c r="R2895" s="88" t="e">
        <f>-IF(Tabla14[[#This Row],[DIAS HABILES O MORA]]&lt;0,(Tabla14[[#This Row],[VALOR PRESTAMO]]*Tabla14[[#This Row],[% INTERES ]]/30*U2895))+Tabla14[[#This Row],[VALOR CUOTAS]]</f>
        <v>#VALUE!</v>
      </c>
      <c r="S2895" s="88">
        <f>-IF(Tabla14[[#This Row],[DIAS HABILES O MORA]]&lt;0,(Tabla14[[#This Row],[VALOR PRESTAMO]]*Tabla14[[#This Row],[% INTERES ]]/30*U2895))</f>
        <v>0</v>
      </c>
      <c r="T2895" s="53" t="e">
        <f>Tabla14[[#This Row],[DEUDA CAPITAL]]+Tabla14[[#This Row],[INTERES  CUOTA]]</f>
        <v>#NUM!</v>
      </c>
      <c r="U2895" s="61" t="str">
        <f t="shared" si="459"/>
        <v/>
      </c>
    </row>
    <row r="2896" spans="9:21" ht="24.75" customHeight="1" x14ac:dyDescent="0.35">
      <c r="I2896" s="42">
        <f t="shared" ref="I2896:I2959" si="460">IF(C2896&lt;0,"",IF(Q2896=0,0,IF(G2896=0,H2896+1,IF(H2896&lt;G2896,H2896+1,IF(G2896=H2896,0)))))</f>
        <v>0</v>
      </c>
      <c r="J2896" s="65" t="e">
        <f t="shared" ref="J2896:J2959" si="461">IF(F2896="SOLO INTERES",Q2896*D2896,-IPMT(D2896,I2896,G2896,C2896))</f>
        <v>#NUM!</v>
      </c>
      <c r="K2896" s="83" t="e">
        <f t="shared" ref="K2896:K2959" si="462">IF(F2896="SOLO INTERES",0,-PPMT(D2896,I2896,G2896,C2896))</f>
        <v>#NUM!</v>
      </c>
      <c r="L2896" s="83">
        <f t="shared" ref="L2896:L2959" si="463">IF(F2896="SOLO INTERES",SUM(Y2896:AAE2896),IFERROR(-CUMIPMT(D2896,G2896,C2896,1,H2896,0),0)+SUM(Y2896:WY2896))</f>
        <v>0</v>
      </c>
      <c r="M2896" s="110" t="str">
        <f t="shared" ref="M2896:M2959" si="464">IFERROR(IF(F2896="SOLO INTERES",Q2896*D2896,-PMT(D2896,G2896,C2896,0)),"")</f>
        <v/>
      </c>
      <c r="N2896" s="51" t="str">
        <f t="shared" ref="N2896:N2959" si="465">IF(Q2896=0,"",IF(E2896="MENSUAL",EDATE(B2896,I2896),IF(E2896="QUINCENAL",B2896+(I2896*15),IF(E2896="SEMANAL",B2896+(I2896*7)))))</f>
        <v/>
      </c>
      <c r="O2896" s="52" t="str">
        <f t="shared" ref="O2896:O2959" si="466">IF(C2896=0,"",IF(Q2896&lt;1,"PAGADO",IF(N2896=$A$3,"COBRAR HOY",IF(N2896&lt;$A$3,"EN MORA",IF(N2896&gt;$A$3,"AL DIA")))))</f>
        <v/>
      </c>
      <c r="P2896" s="88">
        <f t="shared" ref="P2896:P2959" si="467">IFERROR(-CUMPRINC(D2896,G2896,C2896,1,H2896,0),0)+W2896</f>
        <v>0</v>
      </c>
      <c r="Q2896" s="88">
        <f t="shared" ref="Q2896:Q2959" si="468">IFERROR(C2896-P2896,"")</f>
        <v>0</v>
      </c>
      <c r="R2896" s="88" t="e">
        <f>-IF(Tabla14[[#This Row],[DIAS HABILES O MORA]]&lt;0,(Tabla14[[#This Row],[VALOR PRESTAMO]]*Tabla14[[#This Row],[% INTERES ]]/30*U2896))+Tabla14[[#This Row],[VALOR CUOTAS]]</f>
        <v>#VALUE!</v>
      </c>
      <c r="S2896" s="88">
        <f>-IF(Tabla14[[#This Row],[DIAS HABILES O MORA]]&lt;0,(Tabla14[[#This Row],[VALOR PRESTAMO]]*Tabla14[[#This Row],[% INTERES ]]/30*U2896))</f>
        <v>0</v>
      </c>
      <c r="T2896" s="53" t="e">
        <f>Tabla14[[#This Row],[DEUDA CAPITAL]]+Tabla14[[#This Row],[INTERES  CUOTA]]</f>
        <v>#NUM!</v>
      </c>
      <c r="U2896" s="61" t="str">
        <f t="shared" ref="U2896:U2959" si="469">IF(O2896="PAGADO","",IFERROR(-IF(C2896=0,"",$A$3-N2896),""))</f>
        <v/>
      </c>
    </row>
    <row r="2897" spans="9:21" ht="24.75" customHeight="1" x14ac:dyDescent="0.35">
      <c r="I2897" s="42">
        <f t="shared" si="460"/>
        <v>0</v>
      </c>
      <c r="J2897" s="65" t="e">
        <f t="shared" si="461"/>
        <v>#NUM!</v>
      </c>
      <c r="K2897" s="83" t="e">
        <f t="shared" si="462"/>
        <v>#NUM!</v>
      </c>
      <c r="L2897" s="83">
        <f t="shared" si="463"/>
        <v>0</v>
      </c>
      <c r="M2897" s="110" t="str">
        <f t="shared" si="464"/>
        <v/>
      </c>
      <c r="N2897" s="51" t="str">
        <f t="shared" si="465"/>
        <v/>
      </c>
      <c r="O2897" s="52" t="str">
        <f t="shared" si="466"/>
        <v/>
      </c>
      <c r="P2897" s="88">
        <f t="shared" si="467"/>
        <v>0</v>
      </c>
      <c r="Q2897" s="88">
        <f t="shared" si="468"/>
        <v>0</v>
      </c>
      <c r="R2897" s="88" t="e">
        <f>-IF(Tabla14[[#This Row],[DIAS HABILES O MORA]]&lt;0,(Tabla14[[#This Row],[VALOR PRESTAMO]]*Tabla14[[#This Row],[% INTERES ]]/30*U2897))+Tabla14[[#This Row],[VALOR CUOTAS]]</f>
        <v>#VALUE!</v>
      </c>
      <c r="S2897" s="88">
        <f>-IF(Tabla14[[#This Row],[DIAS HABILES O MORA]]&lt;0,(Tabla14[[#This Row],[VALOR PRESTAMO]]*Tabla14[[#This Row],[% INTERES ]]/30*U2897))</f>
        <v>0</v>
      </c>
      <c r="T2897" s="53" t="e">
        <f>Tabla14[[#This Row],[DEUDA CAPITAL]]+Tabla14[[#This Row],[INTERES  CUOTA]]</f>
        <v>#NUM!</v>
      </c>
      <c r="U2897" s="61" t="str">
        <f t="shared" si="469"/>
        <v/>
      </c>
    </row>
    <row r="2898" spans="9:21" ht="24.75" customHeight="1" x14ac:dyDescent="0.35">
      <c r="I2898" s="42">
        <f t="shared" si="460"/>
        <v>0</v>
      </c>
      <c r="J2898" s="65" t="e">
        <f t="shared" si="461"/>
        <v>#NUM!</v>
      </c>
      <c r="K2898" s="83" t="e">
        <f t="shared" si="462"/>
        <v>#NUM!</v>
      </c>
      <c r="L2898" s="83">
        <f t="shared" si="463"/>
        <v>0</v>
      </c>
      <c r="M2898" s="110" t="str">
        <f t="shared" si="464"/>
        <v/>
      </c>
      <c r="N2898" s="51" t="str">
        <f t="shared" si="465"/>
        <v/>
      </c>
      <c r="O2898" s="52" t="str">
        <f t="shared" si="466"/>
        <v/>
      </c>
      <c r="P2898" s="88">
        <f t="shared" si="467"/>
        <v>0</v>
      </c>
      <c r="Q2898" s="88">
        <f t="shared" si="468"/>
        <v>0</v>
      </c>
      <c r="R2898" s="88" t="e">
        <f>-IF(Tabla14[[#This Row],[DIAS HABILES O MORA]]&lt;0,(Tabla14[[#This Row],[VALOR PRESTAMO]]*Tabla14[[#This Row],[% INTERES ]]/30*U2898))+Tabla14[[#This Row],[VALOR CUOTAS]]</f>
        <v>#VALUE!</v>
      </c>
      <c r="S2898" s="88">
        <f>-IF(Tabla14[[#This Row],[DIAS HABILES O MORA]]&lt;0,(Tabla14[[#This Row],[VALOR PRESTAMO]]*Tabla14[[#This Row],[% INTERES ]]/30*U2898))</f>
        <v>0</v>
      </c>
      <c r="T2898" s="53" t="e">
        <f>Tabla14[[#This Row],[DEUDA CAPITAL]]+Tabla14[[#This Row],[INTERES  CUOTA]]</f>
        <v>#NUM!</v>
      </c>
      <c r="U2898" s="61" t="str">
        <f t="shared" si="469"/>
        <v/>
      </c>
    </row>
    <row r="2899" spans="9:21" ht="24.75" customHeight="1" x14ac:dyDescent="0.35">
      <c r="I2899" s="42">
        <f t="shared" si="460"/>
        <v>0</v>
      </c>
      <c r="J2899" s="65" t="e">
        <f t="shared" si="461"/>
        <v>#NUM!</v>
      </c>
      <c r="K2899" s="83" t="e">
        <f t="shared" si="462"/>
        <v>#NUM!</v>
      </c>
      <c r="L2899" s="83">
        <f t="shared" si="463"/>
        <v>0</v>
      </c>
      <c r="M2899" s="110" t="str">
        <f t="shared" si="464"/>
        <v/>
      </c>
      <c r="N2899" s="51" t="str">
        <f t="shared" si="465"/>
        <v/>
      </c>
      <c r="O2899" s="52" t="str">
        <f t="shared" si="466"/>
        <v/>
      </c>
      <c r="P2899" s="88">
        <f t="shared" si="467"/>
        <v>0</v>
      </c>
      <c r="Q2899" s="88">
        <f t="shared" si="468"/>
        <v>0</v>
      </c>
      <c r="R2899" s="88" t="e">
        <f>-IF(Tabla14[[#This Row],[DIAS HABILES O MORA]]&lt;0,(Tabla14[[#This Row],[VALOR PRESTAMO]]*Tabla14[[#This Row],[% INTERES ]]/30*U2899))+Tabla14[[#This Row],[VALOR CUOTAS]]</f>
        <v>#VALUE!</v>
      </c>
      <c r="S2899" s="88">
        <f>-IF(Tabla14[[#This Row],[DIAS HABILES O MORA]]&lt;0,(Tabla14[[#This Row],[VALOR PRESTAMO]]*Tabla14[[#This Row],[% INTERES ]]/30*U2899))</f>
        <v>0</v>
      </c>
      <c r="T2899" s="53" t="e">
        <f>Tabla14[[#This Row],[DEUDA CAPITAL]]+Tabla14[[#This Row],[INTERES  CUOTA]]</f>
        <v>#NUM!</v>
      </c>
      <c r="U2899" s="61" t="str">
        <f t="shared" si="469"/>
        <v/>
      </c>
    </row>
    <row r="2900" spans="9:21" ht="24.75" customHeight="1" x14ac:dyDescent="0.35">
      <c r="I2900" s="42">
        <f t="shared" si="460"/>
        <v>0</v>
      </c>
      <c r="J2900" s="65" t="e">
        <f t="shared" si="461"/>
        <v>#NUM!</v>
      </c>
      <c r="K2900" s="83" t="e">
        <f t="shared" si="462"/>
        <v>#NUM!</v>
      </c>
      <c r="L2900" s="83">
        <f t="shared" si="463"/>
        <v>0</v>
      </c>
      <c r="M2900" s="110" t="str">
        <f t="shared" si="464"/>
        <v/>
      </c>
      <c r="N2900" s="51" t="str">
        <f t="shared" si="465"/>
        <v/>
      </c>
      <c r="O2900" s="52" t="str">
        <f t="shared" si="466"/>
        <v/>
      </c>
      <c r="P2900" s="88">
        <f t="shared" si="467"/>
        <v>0</v>
      </c>
      <c r="Q2900" s="88">
        <f t="shared" si="468"/>
        <v>0</v>
      </c>
      <c r="R2900" s="88" t="e">
        <f>-IF(Tabla14[[#This Row],[DIAS HABILES O MORA]]&lt;0,(Tabla14[[#This Row],[VALOR PRESTAMO]]*Tabla14[[#This Row],[% INTERES ]]/30*U2900))+Tabla14[[#This Row],[VALOR CUOTAS]]</f>
        <v>#VALUE!</v>
      </c>
      <c r="S2900" s="88">
        <f>-IF(Tabla14[[#This Row],[DIAS HABILES O MORA]]&lt;0,(Tabla14[[#This Row],[VALOR PRESTAMO]]*Tabla14[[#This Row],[% INTERES ]]/30*U2900))</f>
        <v>0</v>
      </c>
      <c r="T2900" s="53" t="e">
        <f>Tabla14[[#This Row],[DEUDA CAPITAL]]+Tabla14[[#This Row],[INTERES  CUOTA]]</f>
        <v>#NUM!</v>
      </c>
      <c r="U2900" s="61" t="str">
        <f t="shared" si="469"/>
        <v/>
      </c>
    </row>
    <row r="2901" spans="9:21" ht="24.75" customHeight="1" x14ac:dyDescent="0.35">
      <c r="I2901" s="42">
        <f t="shared" si="460"/>
        <v>0</v>
      </c>
      <c r="J2901" s="65" t="e">
        <f t="shared" si="461"/>
        <v>#NUM!</v>
      </c>
      <c r="K2901" s="83" t="e">
        <f t="shared" si="462"/>
        <v>#NUM!</v>
      </c>
      <c r="L2901" s="83">
        <f t="shared" si="463"/>
        <v>0</v>
      </c>
      <c r="M2901" s="110" t="str">
        <f t="shared" si="464"/>
        <v/>
      </c>
      <c r="N2901" s="51" t="str">
        <f t="shared" si="465"/>
        <v/>
      </c>
      <c r="O2901" s="52" t="str">
        <f t="shared" si="466"/>
        <v/>
      </c>
      <c r="P2901" s="88">
        <f t="shared" si="467"/>
        <v>0</v>
      </c>
      <c r="Q2901" s="88">
        <f t="shared" si="468"/>
        <v>0</v>
      </c>
      <c r="R2901" s="88" t="e">
        <f>-IF(Tabla14[[#This Row],[DIAS HABILES O MORA]]&lt;0,(Tabla14[[#This Row],[VALOR PRESTAMO]]*Tabla14[[#This Row],[% INTERES ]]/30*U2901))+Tabla14[[#This Row],[VALOR CUOTAS]]</f>
        <v>#VALUE!</v>
      </c>
      <c r="S2901" s="88">
        <f>-IF(Tabla14[[#This Row],[DIAS HABILES O MORA]]&lt;0,(Tabla14[[#This Row],[VALOR PRESTAMO]]*Tabla14[[#This Row],[% INTERES ]]/30*U2901))</f>
        <v>0</v>
      </c>
      <c r="T2901" s="53" t="e">
        <f>Tabla14[[#This Row],[DEUDA CAPITAL]]+Tabla14[[#This Row],[INTERES  CUOTA]]</f>
        <v>#NUM!</v>
      </c>
      <c r="U2901" s="61" t="str">
        <f t="shared" si="469"/>
        <v/>
      </c>
    </row>
    <row r="2902" spans="9:21" ht="24.75" customHeight="1" x14ac:dyDescent="0.35">
      <c r="I2902" s="42">
        <f t="shared" si="460"/>
        <v>0</v>
      </c>
      <c r="J2902" s="65" t="e">
        <f t="shared" si="461"/>
        <v>#NUM!</v>
      </c>
      <c r="K2902" s="83" t="e">
        <f t="shared" si="462"/>
        <v>#NUM!</v>
      </c>
      <c r="L2902" s="83">
        <f t="shared" si="463"/>
        <v>0</v>
      </c>
      <c r="M2902" s="110" t="str">
        <f t="shared" si="464"/>
        <v/>
      </c>
      <c r="N2902" s="51" t="str">
        <f t="shared" si="465"/>
        <v/>
      </c>
      <c r="O2902" s="52" t="str">
        <f t="shared" si="466"/>
        <v/>
      </c>
      <c r="P2902" s="88">
        <f t="shared" si="467"/>
        <v>0</v>
      </c>
      <c r="Q2902" s="88">
        <f t="shared" si="468"/>
        <v>0</v>
      </c>
      <c r="R2902" s="88" t="e">
        <f>-IF(Tabla14[[#This Row],[DIAS HABILES O MORA]]&lt;0,(Tabla14[[#This Row],[VALOR PRESTAMO]]*Tabla14[[#This Row],[% INTERES ]]/30*U2902))+Tabla14[[#This Row],[VALOR CUOTAS]]</f>
        <v>#VALUE!</v>
      </c>
      <c r="S2902" s="88">
        <f>-IF(Tabla14[[#This Row],[DIAS HABILES O MORA]]&lt;0,(Tabla14[[#This Row],[VALOR PRESTAMO]]*Tabla14[[#This Row],[% INTERES ]]/30*U2902))</f>
        <v>0</v>
      </c>
      <c r="T2902" s="53" t="e">
        <f>Tabla14[[#This Row],[DEUDA CAPITAL]]+Tabla14[[#This Row],[INTERES  CUOTA]]</f>
        <v>#NUM!</v>
      </c>
      <c r="U2902" s="61" t="str">
        <f t="shared" si="469"/>
        <v/>
      </c>
    </row>
    <row r="2903" spans="9:21" ht="24.75" customHeight="1" x14ac:dyDescent="0.35">
      <c r="I2903" s="42">
        <f t="shared" si="460"/>
        <v>0</v>
      </c>
      <c r="J2903" s="65" t="e">
        <f t="shared" si="461"/>
        <v>#NUM!</v>
      </c>
      <c r="K2903" s="83" t="e">
        <f t="shared" si="462"/>
        <v>#NUM!</v>
      </c>
      <c r="L2903" s="83">
        <f t="shared" si="463"/>
        <v>0</v>
      </c>
      <c r="M2903" s="110" t="str">
        <f t="shared" si="464"/>
        <v/>
      </c>
      <c r="N2903" s="51" t="str">
        <f t="shared" si="465"/>
        <v/>
      </c>
      <c r="O2903" s="52" t="str">
        <f t="shared" si="466"/>
        <v/>
      </c>
      <c r="P2903" s="88">
        <f t="shared" si="467"/>
        <v>0</v>
      </c>
      <c r="Q2903" s="88">
        <f t="shared" si="468"/>
        <v>0</v>
      </c>
      <c r="R2903" s="88" t="e">
        <f>-IF(Tabla14[[#This Row],[DIAS HABILES O MORA]]&lt;0,(Tabla14[[#This Row],[VALOR PRESTAMO]]*Tabla14[[#This Row],[% INTERES ]]/30*U2903))+Tabla14[[#This Row],[VALOR CUOTAS]]</f>
        <v>#VALUE!</v>
      </c>
      <c r="S2903" s="88">
        <f>-IF(Tabla14[[#This Row],[DIAS HABILES O MORA]]&lt;0,(Tabla14[[#This Row],[VALOR PRESTAMO]]*Tabla14[[#This Row],[% INTERES ]]/30*U2903))</f>
        <v>0</v>
      </c>
      <c r="T2903" s="53" t="e">
        <f>Tabla14[[#This Row],[DEUDA CAPITAL]]+Tabla14[[#This Row],[INTERES  CUOTA]]</f>
        <v>#NUM!</v>
      </c>
      <c r="U2903" s="61" t="str">
        <f t="shared" si="469"/>
        <v/>
      </c>
    </row>
    <row r="2904" spans="9:21" ht="24.75" customHeight="1" x14ac:dyDescent="0.35">
      <c r="I2904" s="42">
        <f t="shared" si="460"/>
        <v>0</v>
      </c>
      <c r="J2904" s="65" t="e">
        <f t="shared" si="461"/>
        <v>#NUM!</v>
      </c>
      <c r="K2904" s="83" t="e">
        <f t="shared" si="462"/>
        <v>#NUM!</v>
      </c>
      <c r="L2904" s="83">
        <f t="shared" si="463"/>
        <v>0</v>
      </c>
      <c r="M2904" s="110" t="str">
        <f t="shared" si="464"/>
        <v/>
      </c>
      <c r="N2904" s="51" t="str">
        <f t="shared" si="465"/>
        <v/>
      </c>
      <c r="O2904" s="52" t="str">
        <f t="shared" si="466"/>
        <v/>
      </c>
      <c r="P2904" s="88">
        <f t="shared" si="467"/>
        <v>0</v>
      </c>
      <c r="Q2904" s="88">
        <f t="shared" si="468"/>
        <v>0</v>
      </c>
      <c r="R2904" s="88" t="e">
        <f>-IF(Tabla14[[#This Row],[DIAS HABILES O MORA]]&lt;0,(Tabla14[[#This Row],[VALOR PRESTAMO]]*Tabla14[[#This Row],[% INTERES ]]/30*U2904))+Tabla14[[#This Row],[VALOR CUOTAS]]</f>
        <v>#VALUE!</v>
      </c>
      <c r="S2904" s="88">
        <f>-IF(Tabla14[[#This Row],[DIAS HABILES O MORA]]&lt;0,(Tabla14[[#This Row],[VALOR PRESTAMO]]*Tabla14[[#This Row],[% INTERES ]]/30*U2904))</f>
        <v>0</v>
      </c>
      <c r="T2904" s="53" t="e">
        <f>Tabla14[[#This Row],[DEUDA CAPITAL]]+Tabla14[[#This Row],[INTERES  CUOTA]]</f>
        <v>#NUM!</v>
      </c>
      <c r="U2904" s="61" t="str">
        <f t="shared" si="469"/>
        <v/>
      </c>
    </row>
    <row r="2905" spans="9:21" ht="24.75" customHeight="1" x14ac:dyDescent="0.35">
      <c r="I2905" s="42">
        <f t="shared" si="460"/>
        <v>0</v>
      </c>
      <c r="J2905" s="65" t="e">
        <f t="shared" si="461"/>
        <v>#NUM!</v>
      </c>
      <c r="K2905" s="83" t="e">
        <f t="shared" si="462"/>
        <v>#NUM!</v>
      </c>
      <c r="L2905" s="83">
        <f t="shared" si="463"/>
        <v>0</v>
      </c>
      <c r="M2905" s="110" t="str">
        <f t="shared" si="464"/>
        <v/>
      </c>
      <c r="N2905" s="51" t="str">
        <f t="shared" si="465"/>
        <v/>
      </c>
      <c r="O2905" s="52" t="str">
        <f t="shared" si="466"/>
        <v/>
      </c>
      <c r="P2905" s="88">
        <f t="shared" si="467"/>
        <v>0</v>
      </c>
      <c r="Q2905" s="88">
        <f t="shared" si="468"/>
        <v>0</v>
      </c>
      <c r="R2905" s="88" t="e">
        <f>-IF(Tabla14[[#This Row],[DIAS HABILES O MORA]]&lt;0,(Tabla14[[#This Row],[VALOR PRESTAMO]]*Tabla14[[#This Row],[% INTERES ]]/30*U2905))+Tabla14[[#This Row],[VALOR CUOTAS]]</f>
        <v>#VALUE!</v>
      </c>
      <c r="S2905" s="88">
        <f>-IF(Tabla14[[#This Row],[DIAS HABILES O MORA]]&lt;0,(Tabla14[[#This Row],[VALOR PRESTAMO]]*Tabla14[[#This Row],[% INTERES ]]/30*U2905))</f>
        <v>0</v>
      </c>
      <c r="T2905" s="53" t="e">
        <f>Tabla14[[#This Row],[DEUDA CAPITAL]]+Tabla14[[#This Row],[INTERES  CUOTA]]</f>
        <v>#NUM!</v>
      </c>
      <c r="U2905" s="61" t="str">
        <f t="shared" si="469"/>
        <v/>
      </c>
    </row>
    <row r="2906" spans="9:21" ht="24.75" customHeight="1" x14ac:dyDescent="0.35">
      <c r="I2906" s="42">
        <f t="shared" si="460"/>
        <v>0</v>
      </c>
      <c r="J2906" s="65" t="e">
        <f t="shared" si="461"/>
        <v>#NUM!</v>
      </c>
      <c r="K2906" s="83" t="e">
        <f t="shared" si="462"/>
        <v>#NUM!</v>
      </c>
      <c r="L2906" s="83">
        <f t="shared" si="463"/>
        <v>0</v>
      </c>
      <c r="M2906" s="110" t="str">
        <f t="shared" si="464"/>
        <v/>
      </c>
      <c r="N2906" s="51" t="str">
        <f t="shared" si="465"/>
        <v/>
      </c>
      <c r="O2906" s="52" t="str">
        <f t="shared" si="466"/>
        <v/>
      </c>
      <c r="P2906" s="88">
        <f t="shared" si="467"/>
        <v>0</v>
      </c>
      <c r="Q2906" s="88">
        <f t="shared" si="468"/>
        <v>0</v>
      </c>
      <c r="R2906" s="88" t="e">
        <f>-IF(Tabla14[[#This Row],[DIAS HABILES O MORA]]&lt;0,(Tabla14[[#This Row],[VALOR PRESTAMO]]*Tabla14[[#This Row],[% INTERES ]]/30*U2906))+Tabla14[[#This Row],[VALOR CUOTAS]]</f>
        <v>#VALUE!</v>
      </c>
      <c r="S2906" s="88">
        <f>-IF(Tabla14[[#This Row],[DIAS HABILES O MORA]]&lt;0,(Tabla14[[#This Row],[VALOR PRESTAMO]]*Tabla14[[#This Row],[% INTERES ]]/30*U2906))</f>
        <v>0</v>
      </c>
      <c r="T2906" s="53" t="e">
        <f>Tabla14[[#This Row],[DEUDA CAPITAL]]+Tabla14[[#This Row],[INTERES  CUOTA]]</f>
        <v>#NUM!</v>
      </c>
      <c r="U2906" s="61" t="str">
        <f t="shared" si="469"/>
        <v/>
      </c>
    </row>
    <row r="2907" spans="9:21" ht="24.75" customHeight="1" x14ac:dyDescent="0.35">
      <c r="I2907" s="42">
        <f t="shared" si="460"/>
        <v>0</v>
      </c>
      <c r="J2907" s="65" t="e">
        <f t="shared" si="461"/>
        <v>#NUM!</v>
      </c>
      <c r="K2907" s="83" t="e">
        <f t="shared" si="462"/>
        <v>#NUM!</v>
      </c>
      <c r="L2907" s="83">
        <f t="shared" si="463"/>
        <v>0</v>
      </c>
      <c r="M2907" s="110" t="str">
        <f t="shared" si="464"/>
        <v/>
      </c>
      <c r="N2907" s="51" t="str">
        <f t="shared" si="465"/>
        <v/>
      </c>
      <c r="O2907" s="52" t="str">
        <f t="shared" si="466"/>
        <v/>
      </c>
      <c r="P2907" s="88">
        <f t="shared" si="467"/>
        <v>0</v>
      </c>
      <c r="Q2907" s="88">
        <f t="shared" si="468"/>
        <v>0</v>
      </c>
      <c r="R2907" s="88" t="e">
        <f>-IF(Tabla14[[#This Row],[DIAS HABILES O MORA]]&lt;0,(Tabla14[[#This Row],[VALOR PRESTAMO]]*Tabla14[[#This Row],[% INTERES ]]/30*U2907))+Tabla14[[#This Row],[VALOR CUOTAS]]</f>
        <v>#VALUE!</v>
      </c>
      <c r="S2907" s="88">
        <f>-IF(Tabla14[[#This Row],[DIAS HABILES O MORA]]&lt;0,(Tabla14[[#This Row],[VALOR PRESTAMO]]*Tabla14[[#This Row],[% INTERES ]]/30*U2907))</f>
        <v>0</v>
      </c>
      <c r="T2907" s="53" t="e">
        <f>Tabla14[[#This Row],[DEUDA CAPITAL]]+Tabla14[[#This Row],[INTERES  CUOTA]]</f>
        <v>#NUM!</v>
      </c>
      <c r="U2907" s="61" t="str">
        <f t="shared" si="469"/>
        <v/>
      </c>
    </row>
    <row r="2908" spans="9:21" ht="24.75" customHeight="1" x14ac:dyDescent="0.35">
      <c r="I2908" s="42">
        <f t="shared" si="460"/>
        <v>0</v>
      </c>
      <c r="J2908" s="65" t="e">
        <f t="shared" si="461"/>
        <v>#NUM!</v>
      </c>
      <c r="K2908" s="83" t="e">
        <f t="shared" si="462"/>
        <v>#NUM!</v>
      </c>
      <c r="L2908" s="83">
        <f t="shared" si="463"/>
        <v>0</v>
      </c>
      <c r="M2908" s="110" t="str">
        <f t="shared" si="464"/>
        <v/>
      </c>
      <c r="N2908" s="51" t="str">
        <f t="shared" si="465"/>
        <v/>
      </c>
      <c r="O2908" s="52" t="str">
        <f t="shared" si="466"/>
        <v/>
      </c>
      <c r="P2908" s="88">
        <f t="shared" si="467"/>
        <v>0</v>
      </c>
      <c r="Q2908" s="88">
        <f t="shared" si="468"/>
        <v>0</v>
      </c>
      <c r="R2908" s="88" t="e">
        <f>-IF(Tabla14[[#This Row],[DIAS HABILES O MORA]]&lt;0,(Tabla14[[#This Row],[VALOR PRESTAMO]]*Tabla14[[#This Row],[% INTERES ]]/30*U2908))+Tabla14[[#This Row],[VALOR CUOTAS]]</f>
        <v>#VALUE!</v>
      </c>
      <c r="S2908" s="88">
        <f>-IF(Tabla14[[#This Row],[DIAS HABILES O MORA]]&lt;0,(Tabla14[[#This Row],[VALOR PRESTAMO]]*Tabla14[[#This Row],[% INTERES ]]/30*U2908))</f>
        <v>0</v>
      </c>
      <c r="T2908" s="53" t="e">
        <f>Tabla14[[#This Row],[DEUDA CAPITAL]]+Tabla14[[#This Row],[INTERES  CUOTA]]</f>
        <v>#NUM!</v>
      </c>
      <c r="U2908" s="61" t="str">
        <f t="shared" si="469"/>
        <v/>
      </c>
    </row>
    <row r="2909" spans="9:21" ht="24.75" customHeight="1" x14ac:dyDescent="0.35">
      <c r="I2909" s="42">
        <f t="shared" si="460"/>
        <v>0</v>
      </c>
      <c r="J2909" s="65" t="e">
        <f t="shared" si="461"/>
        <v>#NUM!</v>
      </c>
      <c r="K2909" s="83" t="e">
        <f t="shared" si="462"/>
        <v>#NUM!</v>
      </c>
      <c r="L2909" s="83">
        <f t="shared" si="463"/>
        <v>0</v>
      </c>
      <c r="M2909" s="110" t="str">
        <f t="shared" si="464"/>
        <v/>
      </c>
      <c r="N2909" s="51" t="str">
        <f t="shared" si="465"/>
        <v/>
      </c>
      <c r="O2909" s="52" t="str">
        <f t="shared" si="466"/>
        <v/>
      </c>
      <c r="P2909" s="88">
        <f t="shared" si="467"/>
        <v>0</v>
      </c>
      <c r="Q2909" s="88">
        <f t="shared" si="468"/>
        <v>0</v>
      </c>
      <c r="R2909" s="88" t="e">
        <f>-IF(Tabla14[[#This Row],[DIAS HABILES O MORA]]&lt;0,(Tabla14[[#This Row],[VALOR PRESTAMO]]*Tabla14[[#This Row],[% INTERES ]]/30*U2909))+Tabla14[[#This Row],[VALOR CUOTAS]]</f>
        <v>#VALUE!</v>
      </c>
      <c r="S2909" s="88">
        <f>-IF(Tabla14[[#This Row],[DIAS HABILES O MORA]]&lt;0,(Tabla14[[#This Row],[VALOR PRESTAMO]]*Tabla14[[#This Row],[% INTERES ]]/30*U2909))</f>
        <v>0</v>
      </c>
      <c r="T2909" s="53" t="e">
        <f>Tabla14[[#This Row],[DEUDA CAPITAL]]+Tabla14[[#This Row],[INTERES  CUOTA]]</f>
        <v>#NUM!</v>
      </c>
      <c r="U2909" s="61" t="str">
        <f t="shared" si="469"/>
        <v/>
      </c>
    </row>
    <row r="2910" spans="9:21" ht="24.75" customHeight="1" x14ac:dyDescent="0.35">
      <c r="I2910" s="42">
        <f t="shared" si="460"/>
        <v>0</v>
      </c>
      <c r="J2910" s="65" t="e">
        <f t="shared" si="461"/>
        <v>#NUM!</v>
      </c>
      <c r="K2910" s="83" t="e">
        <f t="shared" si="462"/>
        <v>#NUM!</v>
      </c>
      <c r="L2910" s="83">
        <f t="shared" si="463"/>
        <v>0</v>
      </c>
      <c r="M2910" s="110" t="str">
        <f t="shared" si="464"/>
        <v/>
      </c>
      <c r="N2910" s="51" t="str">
        <f t="shared" si="465"/>
        <v/>
      </c>
      <c r="O2910" s="52" t="str">
        <f t="shared" si="466"/>
        <v/>
      </c>
      <c r="P2910" s="88">
        <f t="shared" si="467"/>
        <v>0</v>
      </c>
      <c r="Q2910" s="88">
        <f t="shared" si="468"/>
        <v>0</v>
      </c>
      <c r="R2910" s="88" t="e">
        <f>-IF(Tabla14[[#This Row],[DIAS HABILES O MORA]]&lt;0,(Tabla14[[#This Row],[VALOR PRESTAMO]]*Tabla14[[#This Row],[% INTERES ]]/30*U2910))+Tabla14[[#This Row],[VALOR CUOTAS]]</f>
        <v>#VALUE!</v>
      </c>
      <c r="S2910" s="88">
        <f>-IF(Tabla14[[#This Row],[DIAS HABILES O MORA]]&lt;0,(Tabla14[[#This Row],[VALOR PRESTAMO]]*Tabla14[[#This Row],[% INTERES ]]/30*U2910))</f>
        <v>0</v>
      </c>
      <c r="T2910" s="53" t="e">
        <f>Tabla14[[#This Row],[DEUDA CAPITAL]]+Tabla14[[#This Row],[INTERES  CUOTA]]</f>
        <v>#NUM!</v>
      </c>
      <c r="U2910" s="61" t="str">
        <f t="shared" si="469"/>
        <v/>
      </c>
    </row>
    <row r="2911" spans="9:21" ht="24.75" customHeight="1" x14ac:dyDescent="0.35">
      <c r="I2911" s="42">
        <f t="shared" si="460"/>
        <v>0</v>
      </c>
      <c r="J2911" s="65" t="e">
        <f t="shared" si="461"/>
        <v>#NUM!</v>
      </c>
      <c r="K2911" s="83" t="e">
        <f t="shared" si="462"/>
        <v>#NUM!</v>
      </c>
      <c r="L2911" s="83">
        <f t="shared" si="463"/>
        <v>0</v>
      </c>
      <c r="M2911" s="110" t="str">
        <f t="shared" si="464"/>
        <v/>
      </c>
      <c r="N2911" s="51" t="str">
        <f t="shared" si="465"/>
        <v/>
      </c>
      <c r="O2911" s="52" t="str">
        <f t="shared" si="466"/>
        <v/>
      </c>
      <c r="P2911" s="88">
        <f t="shared" si="467"/>
        <v>0</v>
      </c>
      <c r="Q2911" s="88">
        <f t="shared" si="468"/>
        <v>0</v>
      </c>
      <c r="R2911" s="88" t="e">
        <f>-IF(Tabla14[[#This Row],[DIAS HABILES O MORA]]&lt;0,(Tabla14[[#This Row],[VALOR PRESTAMO]]*Tabla14[[#This Row],[% INTERES ]]/30*U2911))+Tabla14[[#This Row],[VALOR CUOTAS]]</f>
        <v>#VALUE!</v>
      </c>
      <c r="S2911" s="88">
        <f>-IF(Tabla14[[#This Row],[DIAS HABILES O MORA]]&lt;0,(Tabla14[[#This Row],[VALOR PRESTAMO]]*Tabla14[[#This Row],[% INTERES ]]/30*U2911))</f>
        <v>0</v>
      </c>
      <c r="T2911" s="53" t="e">
        <f>Tabla14[[#This Row],[DEUDA CAPITAL]]+Tabla14[[#This Row],[INTERES  CUOTA]]</f>
        <v>#NUM!</v>
      </c>
      <c r="U2911" s="61" t="str">
        <f t="shared" si="469"/>
        <v/>
      </c>
    </row>
    <row r="2912" spans="9:21" ht="24.75" customHeight="1" x14ac:dyDescent="0.35">
      <c r="I2912" s="42">
        <f t="shared" si="460"/>
        <v>0</v>
      </c>
      <c r="J2912" s="65" t="e">
        <f t="shared" si="461"/>
        <v>#NUM!</v>
      </c>
      <c r="K2912" s="83" t="e">
        <f t="shared" si="462"/>
        <v>#NUM!</v>
      </c>
      <c r="L2912" s="83">
        <f t="shared" si="463"/>
        <v>0</v>
      </c>
      <c r="M2912" s="110" t="str">
        <f t="shared" si="464"/>
        <v/>
      </c>
      <c r="N2912" s="51" t="str">
        <f t="shared" si="465"/>
        <v/>
      </c>
      <c r="O2912" s="52" t="str">
        <f t="shared" si="466"/>
        <v/>
      </c>
      <c r="P2912" s="88">
        <f t="shared" si="467"/>
        <v>0</v>
      </c>
      <c r="Q2912" s="88">
        <f t="shared" si="468"/>
        <v>0</v>
      </c>
      <c r="R2912" s="88" t="e">
        <f>-IF(Tabla14[[#This Row],[DIAS HABILES O MORA]]&lt;0,(Tabla14[[#This Row],[VALOR PRESTAMO]]*Tabla14[[#This Row],[% INTERES ]]/30*U2912))+Tabla14[[#This Row],[VALOR CUOTAS]]</f>
        <v>#VALUE!</v>
      </c>
      <c r="S2912" s="88">
        <f>-IF(Tabla14[[#This Row],[DIAS HABILES O MORA]]&lt;0,(Tabla14[[#This Row],[VALOR PRESTAMO]]*Tabla14[[#This Row],[% INTERES ]]/30*U2912))</f>
        <v>0</v>
      </c>
      <c r="T2912" s="53" t="e">
        <f>Tabla14[[#This Row],[DEUDA CAPITAL]]+Tabla14[[#This Row],[INTERES  CUOTA]]</f>
        <v>#NUM!</v>
      </c>
      <c r="U2912" s="61" t="str">
        <f t="shared" si="469"/>
        <v/>
      </c>
    </row>
    <row r="2913" spans="9:21" ht="24.75" customHeight="1" x14ac:dyDescent="0.35">
      <c r="I2913" s="42">
        <f t="shared" si="460"/>
        <v>0</v>
      </c>
      <c r="J2913" s="65" t="e">
        <f t="shared" si="461"/>
        <v>#NUM!</v>
      </c>
      <c r="K2913" s="83" t="e">
        <f t="shared" si="462"/>
        <v>#NUM!</v>
      </c>
      <c r="L2913" s="83">
        <f t="shared" si="463"/>
        <v>0</v>
      </c>
      <c r="M2913" s="110" t="str">
        <f t="shared" si="464"/>
        <v/>
      </c>
      <c r="N2913" s="51" t="str">
        <f t="shared" si="465"/>
        <v/>
      </c>
      <c r="O2913" s="52" t="str">
        <f t="shared" si="466"/>
        <v/>
      </c>
      <c r="P2913" s="88">
        <f t="shared" si="467"/>
        <v>0</v>
      </c>
      <c r="Q2913" s="88">
        <f t="shared" si="468"/>
        <v>0</v>
      </c>
      <c r="R2913" s="88" t="e">
        <f>-IF(Tabla14[[#This Row],[DIAS HABILES O MORA]]&lt;0,(Tabla14[[#This Row],[VALOR PRESTAMO]]*Tabla14[[#This Row],[% INTERES ]]/30*U2913))+Tabla14[[#This Row],[VALOR CUOTAS]]</f>
        <v>#VALUE!</v>
      </c>
      <c r="S2913" s="88">
        <f>-IF(Tabla14[[#This Row],[DIAS HABILES O MORA]]&lt;0,(Tabla14[[#This Row],[VALOR PRESTAMO]]*Tabla14[[#This Row],[% INTERES ]]/30*U2913))</f>
        <v>0</v>
      </c>
      <c r="T2913" s="53" t="e">
        <f>Tabla14[[#This Row],[DEUDA CAPITAL]]+Tabla14[[#This Row],[INTERES  CUOTA]]</f>
        <v>#NUM!</v>
      </c>
      <c r="U2913" s="61" t="str">
        <f t="shared" si="469"/>
        <v/>
      </c>
    </row>
    <row r="2914" spans="9:21" ht="24.75" customHeight="1" x14ac:dyDescent="0.35">
      <c r="I2914" s="42">
        <f t="shared" si="460"/>
        <v>0</v>
      </c>
      <c r="J2914" s="65" t="e">
        <f t="shared" si="461"/>
        <v>#NUM!</v>
      </c>
      <c r="K2914" s="83" t="e">
        <f t="shared" si="462"/>
        <v>#NUM!</v>
      </c>
      <c r="L2914" s="83">
        <f t="shared" si="463"/>
        <v>0</v>
      </c>
      <c r="M2914" s="110" t="str">
        <f t="shared" si="464"/>
        <v/>
      </c>
      <c r="N2914" s="51" t="str">
        <f t="shared" si="465"/>
        <v/>
      </c>
      <c r="O2914" s="52" t="str">
        <f t="shared" si="466"/>
        <v/>
      </c>
      <c r="P2914" s="88">
        <f t="shared" si="467"/>
        <v>0</v>
      </c>
      <c r="Q2914" s="88">
        <f t="shared" si="468"/>
        <v>0</v>
      </c>
      <c r="R2914" s="88" t="e">
        <f>-IF(Tabla14[[#This Row],[DIAS HABILES O MORA]]&lt;0,(Tabla14[[#This Row],[VALOR PRESTAMO]]*Tabla14[[#This Row],[% INTERES ]]/30*U2914))+Tabla14[[#This Row],[VALOR CUOTAS]]</f>
        <v>#VALUE!</v>
      </c>
      <c r="S2914" s="88">
        <f>-IF(Tabla14[[#This Row],[DIAS HABILES O MORA]]&lt;0,(Tabla14[[#This Row],[VALOR PRESTAMO]]*Tabla14[[#This Row],[% INTERES ]]/30*U2914))</f>
        <v>0</v>
      </c>
      <c r="T2914" s="53" t="e">
        <f>Tabla14[[#This Row],[DEUDA CAPITAL]]+Tabla14[[#This Row],[INTERES  CUOTA]]</f>
        <v>#NUM!</v>
      </c>
      <c r="U2914" s="61" t="str">
        <f t="shared" si="469"/>
        <v/>
      </c>
    </row>
    <row r="2915" spans="9:21" ht="24.75" customHeight="1" x14ac:dyDescent="0.35">
      <c r="I2915" s="42">
        <f t="shared" si="460"/>
        <v>0</v>
      </c>
      <c r="J2915" s="65" t="e">
        <f t="shared" si="461"/>
        <v>#NUM!</v>
      </c>
      <c r="K2915" s="83" t="e">
        <f t="shared" si="462"/>
        <v>#NUM!</v>
      </c>
      <c r="L2915" s="83">
        <f t="shared" si="463"/>
        <v>0</v>
      </c>
      <c r="M2915" s="110" t="str">
        <f t="shared" si="464"/>
        <v/>
      </c>
      <c r="N2915" s="51" t="str">
        <f t="shared" si="465"/>
        <v/>
      </c>
      <c r="O2915" s="52" t="str">
        <f t="shared" si="466"/>
        <v/>
      </c>
      <c r="P2915" s="88">
        <f t="shared" si="467"/>
        <v>0</v>
      </c>
      <c r="Q2915" s="88">
        <f t="shared" si="468"/>
        <v>0</v>
      </c>
      <c r="R2915" s="88" t="e">
        <f>-IF(Tabla14[[#This Row],[DIAS HABILES O MORA]]&lt;0,(Tabla14[[#This Row],[VALOR PRESTAMO]]*Tabla14[[#This Row],[% INTERES ]]/30*U2915))+Tabla14[[#This Row],[VALOR CUOTAS]]</f>
        <v>#VALUE!</v>
      </c>
      <c r="S2915" s="88">
        <f>-IF(Tabla14[[#This Row],[DIAS HABILES O MORA]]&lt;0,(Tabla14[[#This Row],[VALOR PRESTAMO]]*Tabla14[[#This Row],[% INTERES ]]/30*U2915))</f>
        <v>0</v>
      </c>
      <c r="T2915" s="53" t="e">
        <f>Tabla14[[#This Row],[DEUDA CAPITAL]]+Tabla14[[#This Row],[INTERES  CUOTA]]</f>
        <v>#NUM!</v>
      </c>
      <c r="U2915" s="61" t="str">
        <f t="shared" si="469"/>
        <v/>
      </c>
    </row>
    <row r="2916" spans="9:21" ht="24.75" customHeight="1" x14ac:dyDescent="0.35">
      <c r="I2916" s="42">
        <f t="shared" si="460"/>
        <v>0</v>
      </c>
      <c r="J2916" s="65" t="e">
        <f t="shared" si="461"/>
        <v>#NUM!</v>
      </c>
      <c r="K2916" s="83" t="e">
        <f t="shared" si="462"/>
        <v>#NUM!</v>
      </c>
      <c r="L2916" s="83">
        <f t="shared" si="463"/>
        <v>0</v>
      </c>
      <c r="M2916" s="110" t="str">
        <f t="shared" si="464"/>
        <v/>
      </c>
      <c r="N2916" s="51" t="str">
        <f t="shared" si="465"/>
        <v/>
      </c>
      <c r="O2916" s="52" t="str">
        <f t="shared" si="466"/>
        <v/>
      </c>
      <c r="P2916" s="88">
        <f t="shared" si="467"/>
        <v>0</v>
      </c>
      <c r="Q2916" s="88">
        <f t="shared" si="468"/>
        <v>0</v>
      </c>
      <c r="R2916" s="88" t="e">
        <f>-IF(Tabla14[[#This Row],[DIAS HABILES O MORA]]&lt;0,(Tabla14[[#This Row],[VALOR PRESTAMO]]*Tabla14[[#This Row],[% INTERES ]]/30*U2916))+Tabla14[[#This Row],[VALOR CUOTAS]]</f>
        <v>#VALUE!</v>
      </c>
      <c r="S2916" s="88">
        <f>-IF(Tabla14[[#This Row],[DIAS HABILES O MORA]]&lt;0,(Tabla14[[#This Row],[VALOR PRESTAMO]]*Tabla14[[#This Row],[% INTERES ]]/30*U2916))</f>
        <v>0</v>
      </c>
      <c r="T2916" s="53" t="e">
        <f>Tabla14[[#This Row],[DEUDA CAPITAL]]+Tabla14[[#This Row],[INTERES  CUOTA]]</f>
        <v>#NUM!</v>
      </c>
      <c r="U2916" s="61" t="str">
        <f t="shared" si="469"/>
        <v/>
      </c>
    </row>
    <row r="2917" spans="9:21" ht="24.75" customHeight="1" x14ac:dyDescent="0.35">
      <c r="I2917" s="42">
        <f t="shared" si="460"/>
        <v>0</v>
      </c>
      <c r="J2917" s="65" t="e">
        <f t="shared" si="461"/>
        <v>#NUM!</v>
      </c>
      <c r="K2917" s="83" t="e">
        <f t="shared" si="462"/>
        <v>#NUM!</v>
      </c>
      <c r="L2917" s="83">
        <f t="shared" si="463"/>
        <v>0</v>
      </c>
      <c r="M2917" s="110" t="str">
        <f t="shared" si="464"/>
        <v/>
      </c>
      <c r="N2917" s="51" t="str">
        <f t="shared" si="465"/>
        <v/>
      </c>
      <c r="O2917" s="52" t="str">
        <f t="shared" si="466"/>
        <v/>
      </c>
      <c r="P2917" s="88">
        <f t="shared" si="467"/>
        <v>0</v>
      </c>
      <c r="Q2917" s="88">
        <f t="shared" si="468"/>
        <v>0</v>
      </c>
      <c r="R2917" s="88" t="e">
        <f>-IF(Tabla14[[#This Row],[DIAS HABILES O MORA]]&lt;0,(Tabla14[[#This Row],[VALOR PRESTAMO]]*Tabla14[[#This Row],[% INTERES ]]/30*U2917))+Tabla14[[#This Row],[VALOR CUOTAS]]</f>
        <v>#VALUE!</v>
      </c>
      <c r="S2917" s="88">
        <f>-IF(Tabla14[[#This Row],[DIAS HABILES O MORA]]&lt;0,(Tabla14[[#This Row],[VALOR PRESTAMO]]*Tabla14[[#This Row],[% INTERES ]]/30*U2917))</f>
        <v>0</v>
      </c>
      <c r="T2917" s="53" t="e">
        <f>Tabla14[[#This Row],[DEUDA CAPITAL]]+Tabla14[[#This Row],[INTERES  CUOTA]]</f>
        <v>#NUM!</v>
      </c>
      <c r="U2917" s="61" t="str">
        <f t="shared" si="469"/>
        <v/>
      </c>
    </row>
    <row r="2918" spans="9:21" ht="24.75" customHeight="1" x14ac:dyDescent="0.35">
      <c r="I2918" s="42">
        <f t="shared" si="460"/>
        <v>0</v>
      </c>
      <c r="J2918" s="65" t="e">
        <f t="shared" si="461"/>
        <v>#NUM!</v>
      </c>
      <c r="K2918" s="83" t="e">
        <f t="shared" si="462"/>
        <v>#NUM!</v>
      </c>
      <c r="L2918" s="83">
        <f t="shared" si="463"/>
        <v>0</v>
      </c>
      <c r="M2918" s="110" t="str">
        <f t="shared" si="464"/>
        <v/>
      </c>
      <c r="N2918" s="51" t="str">
        <f t="shared" si="465"/>
        <v/>
      </c>
      <c r="O2918" s="52" t="str">
        <f t="shared" si="466"/>
        <v/>
      </c>
      <c r="P2918" s="88">
        <f t="shared" si="467"/>
        <v>0</v>
      </c>
      <c r="Q2918" s="88">
        <f t="shared" si="468"/>
        <v>0</v>
      </c>
      <c r="R2918" s="88" t="e">
        <f>-IF(Tabla14[[#This Row],[DIAS HABILES O MORA]]&lt;0,(Tabla14[[#This Row],[VALOR PRESTAMO]]*Tabla14[[#This Row],[% INTERES ]]/30*U2918))+Tabla14[[#This Row],[VALOR CUOTAS]]</f>
        <v>#VALUE!</v>
      </c>
      <c r="S2918" s="88">
        <f>-IF(Tabla14[[#This Row],[DIAS HABILES O MORA]]&lt;0,(Tabla14[[#This Row],[VALOR PRESTAMO]]*Tabla14[[#This Row],[% INTERES ]]/30*U2918))</f>
        <v>0</v>
      </c>
      <c r="T2918" s="53" t="e">
        <f>Tabla14[[#This Row],[DEUDA CAPITAL]]+Tabla14[[#This Row],[INTERES  CUOTA]]</f>
        <v>#NUM!</v>
      </c>
      <c r="U2918" s="61" t="str">
        <f t="shared" si="469"/>
        <v/>
      </c>
    </row>
    <row r="2919" spans="9:21" ht="24.75" customHeight="1" x14ac:dyDescent="0.35">
      <c r="I2919" s="42">
        <f t="shared" si="460"/>
        <v>0</v>
      </c>
      <c r="J2919" s="65" t="e">
        <f t="shared" si="461"/>
        <v>#NUM!</v>
      </c>
      <c r="K2919" s="83" t="e">
        <f t="shared" si="462"/>
        <v>#NUM!</v>
      </c>
      <c r="L2919" s="83">
        <f t="shared" si="463"/>
        <v>0</v>
      </c>
      <c r="M2919" s="110" t="str">
        <f t="shared" si="464"/>
        <v/>
      </c>
      <c r="N2919" s="51" t="str">
        <f t="shared" si="465"/>
        <v/>
      </c>
      <c r="O2919" s="52" t="str">
        <f t="shared" si="466"/>
        <v/>
      </c>
      <c r="P2919" s="88">
        <f t="shared" si="467"/>
        <v>0</v>
      </c>
      <c r="Q2919" s="88">
        <f t="shared" si="468"/>
        <v>0</v>
      </c>
      <c r="R2919" s="88" t="e">
        <f>-IF(Tabla14[[#This Row],[DIAS HABILES O MORA]]&lt;0,(Tabla14[[#This Row],[VALOR PRESTAMO]]*Tabla14[[#This Row],[% INTERES ]]/30*U2919))+Tabla14[[#This Row],[VALOR CUOTAS]]</f>
        <v>#VALUE!</v>
      </c>
      <c r="S2919" s="88">
        <f>-IF(Tabla14[[#This Row],[DIAS HABILES O MORA]]&lt;0,(Tabla14[[#This Row],[VALOR PRESTAMO]]*Tabla14[[#This Row],[% INTERES ]]/30*U2919))</f>
        <v>0</v>
      </c>
      <c r="T2919" s="53" t="e">
        <f>Tabla14[[#This Row],[DEUDA CAPITAL]]+Tabla14[[#This Row],[INTERES  CUOTA]]</f>
        <v>#NUM!</v>
      </c>
      <c r="U2919" s="61" t="str">
        <f t="shared" si="469"/>
        <v/>
      </c>
    </row>
    <row r="2920" spans="9:21" ht="24.75" customHeight="1" x14ac:dyDescent="0.35">
      <c r="I2920" s="42">
        <f t="shared" si="460"/>
        <v>0</v>
      </c>
      <c r="J2920" s="65" t="e">
        <f t="shared" si="461"/>
        <v>#NUM!</v>
      </c>
      <c r="K2920" s="83" t="e">
        <f t="shared" si="462"/>
        <v>#NUM!</v>
      </c>
      <c r="L2920" s="83">
        <f t="shared" si="463"/>
        <v>0</v>
      </c>
      <c r="M2920" s="110" t="str">
        <f t="shared" si="464"/>
        <v/>
      </c>
      <c r="N2920" s="51" t="str">
        <f t="shared" si="465"/>
        <v/>
      </c>
      <c r="O2920" s="52" t="str">
        <f t="shared" si="466"/>
        <v/>
      </c>
      <c r="P2920" s="88">
        <f t="shared" si="467"/>
        <v>0</v>
      </c>
      <c r="Q2920" s="88">
        <f t="shared" si="468"/>
        <v>0</v>
      </c>
      <c r="R2920" s="88" t="e">
        <f>-IF(Tabla14[[#This Row],[DIAS HABILES O MORA]]&lt;0,(Tabla14[[#This Row],[VALOR PRESTAMO]]*Tabla14[[#This Row],[% INTERES ]]/30*U2920))+Tabla14[[#This Row],[VALOR CUOTAS]]</f>
        <v>#VALUE!</v>
      </c>
      <c r="S2920" s="88">
        <f>-IF(Tabla14[[#This Row],[DIAS HABILES O MORA]]&lt;0,(Tabla14[[#This Row],[VALOR PRESTAMO]]*Tabla14[[#This Row],[% INTERES ]]/30*U2920))</f>
        <v>0</v>
      </c>
      <c r="T2920" s="53" t="e">
        <f>Tabla14[[#This Row],[DEUDA CAPITAL]]+Tabla14[[#This Row],[INTERES  CUOTA]]</f>
        <v>#NUM!</v>
      </c>
      <c r="U2920" s="61" t="str">
        <f t="shared" si="469"/>
        <v/>
      </c>
    </row>
    <row r="2921" spans="9:21" ht="24.75" customHeight="1" x14ac:dyDescent="0.35">
      <c r="I2921" s="42">
        <f t="shared" si="460"/>
        <v>0</v>
      </c>
      <c r="J2921" s="65" t="e">
        <f t="shared" si="461"/>
        <v>#NUM!</v>
      </c>
      <c r="K2921" s="83" t="e">
        <f t="shared" si="462"/>
        <v>#NUM!</v>
      </c>
      <c r="L2921" s="83">
        <f t="shared" si="463"/>
        <v>0</v>
      </c>
      <c r="M2921" s="110" t="str">
        <f t="shared" si="464"/>
        <v/>
      </c>
      <c r="N2921" s="51" t="str">
        <f t="shared" si="465"/>
        <v/>
      </c>
      <c r="O2921" s="52" t="str">
        <f t="shared" si="466"/>
        <v/>
      </c>
      <c r="P2921" s="88">
        <f t="shared" si="467"/>
        <v>0</v>
      </c>
      <c r="Q2921" s="88">
        <f t="shared" si="468"/>
        <v>0</v>
      </c>
      <c r="R2921" s="88" t="e">
        <f>-IF(Tabla14[[#This Row],[DIAS HABILES O MORA]]&lt;0,(Tabla14[[#This Row],[VALOR PRESTAMO]]*Tabla14[[#This Row],[% INTERES ]]/30*U2921))+Tabla14[[#This Row],[VALOR CUOTAS]]</f>
        <v>#VALUE!</v>
      </c>
      <c r="S2921" s="88">
        <f>-IF(Tabla14[[#This Row],[DIAS HABILES O MORA]]&lt;0,(Tabla14[[#This Row],[VALOR PRESTAMO]]*Tabla14[[#This Row],[% INTERES ]]/30*U2921))</f>
        <v>0</v>
      </c>
      <c r="T2921" s="53" t="e">
        <f>Tabla14[[#This Row],[DEUDA CAPITAL]]+Tabla14[[#This Row],[INTERES  CUOTA]]</f>
        <v>#NUM!</v>
      </c>
      <c r="U2921" s="61" t="str">
        <f t="shared" si="469"/>
        <v/>
      </c>
    </row>
    <row r="2922" spans="9:21" ht="24.75" customHeight="1" x14ac:dyDescent="0.35">
      <c r="I2922" s="42">
        <f t="shared" si="460"/>
        <v>0</v>
      </c>
      <c r="J2922" s="65" t="e">
        <f t="shared" si="461"/>
        <v>#NUM!</v>
      </c>
      <c r="K2922" s="83" t="e">
        <f t="shared" si="462"/>
        <v>#NUM!</v>
      </c>
      <c r="L2922" s="83">
        <f t="shared" si="463"/>
        <v>0</v>
      </c>
      <c r="M2922" s="110" t="str">
        <f t="shared" si="464"/>
        <v/>
      </c>
      <c r="N2922" s="51" t="str">
        <f t="shared" si="465"/>
        <v/>
      </c>
      <c r="O2922" s="52" t="str">
        <f t="shared" si="466"/>
        <v/>
      </c>
      <c r="P2922" s="88">
        <f t="shared" si="467"/>
        <v>0</v>
      </c>
      <c r="Q2922" s="88">
        <f t="shared" si="468"/>
        <v>0</v>
      </c>
      <c r="R2922" s="88" t="e">
        <f>-IF(Tabla14[[#This Row],[DIAS HABILES O MORA]]&lt;0,(Tabla14[[#This Row],[VALOR PRESTAMO]]*Tabla14[[#This Row],[% INTERES ]]/30*U2922))+Tabla14[[#This Row],[VALOR CUOTAS]]</f>
        <v>#VALUE!</v>
      </c>
      <c r="S2922" s="88">
        <f>-IF(Tabla14[[#This Row],[DIAS HABILES O MORA]]&lt;0,(Tabla14[[#This Row],[VALOR PRESTAMO]]*Tabla14[[#This Row],[% INTERES ]]/30*U2922))</f>
        <v>0</v>
      </c>
      <c r="T2922" s="53" t="e">
        <f>Tabla14[[#This Row],[DEUDA CAPITAL]]+Tabla14[[#This Row],[INTERES  CUOTA]]</f>
        <v>#NUM!</v>
      </c>
      <c r="U2922" s="61" t="str">
        <f t="shared" si="469"/>
        <v/>
      </c>
    </row>
    <row r="2923" spans="9:21" ht="24.75" customHeight="1" x14ac:dyDescent="0.35">
      <c r="I2923" s="42">
        <f t="shared" si="460"/>
        <v>0</v>
      </c>
      <c r="J2923" s="65" t="e">
        <f t="shared" si="461"/>
        <v>#NUM!</v>
      </c>
      <c r="K2923" s="83" t="e">
        <f t="shared" si="462"/>
        <v>#NUM!</v>
      </c>
      <c r="L2923" s="83">
        <f t="shared" si="463"/>
        <v>0</v>
      </c>
      <c r="M2923" s="110" t="str">
        <f t="shared" si="464"/>
        <v/>
      </c>
      <c r="N2923" s="51" t="str">
        <f t="shared" si="465"/>
        <v/>
      </c>
      <c r="O2923" s="52" t="str">
        <f t="shared" si="466"/>
        <v/>
      </c>
      <c r="P2923" s="88">
        <f t="shared" si="467"/>
        <v>0</v>
      </c>
      <c r="Q2923" s="88">
        <f t="shared" si="468"/>
        <v>0</v>
      </c>
      <c r="R2923" s="88" t="e">
        <f>-IF(Tabla14[[#This Row],[DIAS HABILES O MORA]]&lt;0,(Tabla14[[#This Row],[VALOR PRESTAMO]]*Tabla14[[#This Row],[% INTERES ]]/30*U2923))+Tabla14[[#This Row],[VALOR CUOTAS]]</f>
        <v>#VALUE!</v>
      </c>
      <c r="S2923" s="88">
        <f>-IF(Tabla14[[#This Row],[DIAS HABILES O MORA]]&lt;0,(Tabla14[[#This Row],[VALOR PRESTAMO]]*Tabla14[[#This Row],[% INTERES ]]/30*U2923))</f>
        <v>0</v>
      </c>
      <c r="T2923" s="53" t="e">
        <f>Tabla14[[#This Row],[DEUDA CAPITAL]]+Tabla14[[#This Row],[INTERES  CUOTA]]</f>
        <v>#NUM!</v>
      </c>
      <c r="U2923" s="61" t="str">
        <f t="shared" si="469"/>
        <v/>
      </c>
    </row>
    <row r="2924" spans="9:21" ht="24.75" customHeight="1" x14ac:dyDescent="0.35">
      <c r="I2924" s="42">
        <f t="shared" si="460"/>
        <v>0</v>
      </c>
      <c r="J2924" s="65" t="e">
        <f t="shared" si="461"/>
        <v>#NUM!</v>
      </c>
      <c r="K2924" s="83" t="e">
        <f t="shared" si="462"/>
        <v>#NUM!</v>
      </c>
      <c r="L2924" s="83">
        <f t="shared" si="463"/>
        <v>0</v>
      </c>
      <c r="M2924" s="110" t="str">
        <f t="shared" si="464"/>
        <v/>
      </c>
      <c r="N2924" s="51" t="str">
        <f t="shared" si="465"/>
        <v/>
      </c>
      <c r="O2924" s="52" t="str">
        <f t="shared" si="466"/>
        <v/>
      </c>
      <c r="P2924" s="88">
        <f t="shared" si="467"/>
        <v>0</v>
      </c>
      <c r="Q2924" s="88">
        <f t="shared" si="468"/>
        <v>0</v>
      </c>
      <c r="R2924" s="88" t="e">
        <f>-IF(Tabla14[[#This Row],[DIAS HABILES O MORA]]&lt;0,(Tabla14[[#This Row],[VALOR PRESTAMO]]*Tabla14[[#This Row],[% INTERES ]]/30*U2924))+Tabla14[[#This Row],[VALOR CUOTAS]]</f>
        <v>#VALUE!</v>
      </c>
      <c r="S2924" s="88">
        <f>-IF(Tabla14[[#This Row],[DIAS HABILES O MORA]]&lt;0,(Tabla14[[#This Row],[VALOR PRESTAMO]]*Tabla14[[#This Row],[% INTERES ]]/30*U2924))</f>
        <v>0</v>
      </c>
      <c r="T2924" s="53" t="e">
        <f>Tabla14[[#This Row],[DEUDA CAPITAL]]+Tabla14[[#This Row],[INTERES  CUOTA]]</f>
        <v>#NUM!</v>
      </c>
      <c r="U2924" s="61" t="str">
        <f t="shared" si="469"/>
        <v/>
      </c>
    </row>
    <row r="2925" spans="9:21" ht="24.75" customHeight="1" x14ac:dyDescent="0.35">
      <c r="I2925" s="42">
        <f t="shared" si="460"/>
        <v>0</v>
      </c>
      <c r="J2925" s="65" t="e">
        <f t="shared" si="461"/>
        <v>#NUM!</v>
      </c>
      <c r="K2925" s="83" t="e">
        <f t="shared" si="462"/>
        <v>#NUM!</v>
      </c>
      <c r="L2925" s="83">
        <f t="shared" si="463"/>
        <v>0</v>
      </c>
      <c r="M2925" s="110" t="str">
        <f t="shared" si="464"/>
        <v/>
      </c>
      <c r="N2925" s="51" t="str">
        <f t="shared" si="465"/>
        <v/>
      </c>
      <c r="O2925" s="52" t="str">
        <f t="shared" si="466"/>
        <v/>
      </c>
      <c r="P2925" s="88">
        <f t="shared" si="467"/>
        <v>0</v>
      </c>
      <c r="Q2925" s="88">
        <f t="shared" si="468"/>
        <v>0</v>
      </c>
      <c r="R2925" s="88" t="e">
        <f>-IF(Tabla14[[#This Row],[DIAS HABILES O MORA]]&lt;0,(Tabla14[[#This Row],[VALOR PRESTAMO]]*Tabla14[[#This Row],[% INTERES ]]/30*U2925))+Tabla14[[#This Row],[VALOR CUOTAS]]</f>
        <v>#VALUE!</v>
      </c>
      <c r="S2925" s="88">
        <f>-IF(Tabla14[[#This Row],[DIAS HABILES O MORA]]&lt;0,(Tabla14[[#This Row],[VALOR PRESTAMO]]*Tabla14[[#This Row],[% INTERES ]]/30*U2925))</f>
        <v>0</v>
      </c>
      <c r="T2925" s="53" t="e">
        <f>Tabla14[[#This Row],[DEUDA CAPITAL]]+Tabla14[[#This Row],[INTERES  CUOTA]]</f>
        <v>#NUM!</v>
      </c>
      <c r="U2925" s="61" t="str">
        <f t="shared" si="469"/>
        <v/>
      </c>
    </row>
    <row r="2926" spans="9:21" ht="24.75" customHeight="1" x14ac:dyDescent="0.35">
      <c r="I2926" s="42">
        <f t="shared" si="460"/>
        <v>0</v>
      </c>
      <c r="J2926" s="65" t="e">
        <f t="shared" si="461"/>
        <v>#NUM!</v>
      </c>
      <c r="K2926" s="83" t="e">
        <f t="shared" si="462"/>
        <v>#NUM!</v>
      </c>
      <c r="L2926" s="83">
        <f t="shared" si="463"/>
        <v>0</v>
      </c>
      <c r="M2926" s="110" t="str">
        <f t="shared" si="464"/>
        <v/>
      </c>
      <c r="N2926" s="51" t="str">
        <f t="shared" si="465"/>
        <v/>
      </c>
      <c r="O2926" s="52" t="str">
        <f t="shared" si="466"/>
        <v/>
      </c>
      <c r="P2926" s="88">
        <f t="shared" si="467"/>
        <v>0</v>
      </c>
      <c r="Q2926" s="88">
        <f t="shared" si="468"/>
        <v>0</v>
      </c>
      <c r="R2926" s="88" t="e">
        <f>-IF(Tabla14[[#This Row],[DIAS HABILES O MORA]]&lt;0,(Tabla14[[#This Row],[VALOR PRESTAMO]]*Tabla14[[#This Row],[% INTERES ]]/30*U2926))+Tabla14[[#This Row],[VALOR CUOTAS]]</f>
        <v>#VALUE!</v>
      </c>
      <c r="S2926" s="88">
        <f>-IF(Tabla14[[#This Row],[DIAS HABILES O MORA]]&lt;0,(Tabla14[[#This Row],[VALOR PRESTAMO]]*Tabla14[[#This Row],[% INTERES ]]/30*U2926))</f>
        <v>0</v>
      </c>
      <c r="T2926" s="53" t="e">
        <f>Tabla14[[#This Row],[DEUDA CAPITAL]]+Tabla14[[#This Row],[INTERES  CUOTA]]</f>
        <v>#NUM!</v>
      </c>
      <c r="U2926" s="61" t="str">
        <f t="shared" si="469"/>
        <v/>
      </c>
    </row>
    <row r="2927" spans="9:21" ht="24.75" customHeight="1" x14ac:dyDescent="0.35">
      <c r="I2927" s="42">
        <f t="shared" si="460"/>
        <v>0</v>
      </c>
      <c r="J2927" s="65" t="e">
        <f t="shared" si="461"/>
        <v>#NUM!</v>
      </c>
      <c r="K2927" s="83" t="e">
        <f t="shared" si="462"/>
        <v>#NUM!</v>
      </c>
      <c r="L2927" s="83">
        <f t="shared" si="463"/>
        <v>0</v>
      </c>
      <c r="M2927" s="110" t="str">
        <f t="shared" si="464"/>
        <v/>
      </c>
      <c r="N2927" s="51" t="str">
        <f t="shared" si="465"/>
        <v/>
      </c>
      <c r="O2927" s="52" t="str">
        <f t="shared" si="466"/>
        <v/>
      </c>
      <c r="P2927" s="88">
        <f t="shared" si="467"/>
        <v>0</v>
      </c>
      <c r="Q2927" s="88">
        <f t="shared" si="468"/>
        <v>0</v>
      </c>
      <c r="R2927" s="88" t="e">
        <f>-IF(Tabla14[[#This Row],[DIAS HABILES O MORA]]&lt;0,(Tabla14[[#This Row],[VALOR PRESTAMO]]*Tabla14[[#This Row],[% INTERES ]]/30*U2927))+Tabla14[[#This Row],[VALOR CUOTAS]]</f>
        <v>#VALUE!</v>
      </c>
      <c r="S2927" s="88">
        <f>-IF(Tabla14[[#This Row],[DIAS HABILES O MORA]]&lt;0,(Tabla14[[#This Row],[VALOR PRESTAMO]]*Tabla14[[#This Row],[% INTERES ]]/30*U2927))</f>
        <v>0</v>
      </c>
      <c r="T2927" s="53" t="e">
        <f>Tabla14[[#This Row],[DEUDA CAPITAL]]+Tabla14[[#This Row],[INTERES  CUOTA]]</f>
        <v>#NUM!</v>
      </c>
      <c r="U2927" s="61" t="str">
        <f t="shared" si="469"/>
        <v/>
      </c>
    </row>
    <row r="2928" spans="9:21" ht="24.75" customHeight="1" x14ac:dyDescent="0.35">
      <c r="I2928" s="42">
        <f t="shared" si="460"/>
        <v>0</v>
      </c>
      <c r="J2928" s="65" t="e">
        <f t="shared" si="461"/>
        <v>#NUM!</v>
      </c>
      <c r="K2928" s="83" t="e">
        <f t="shared" si="462"/>
        <v>#NUM!</v>
      </c>
      <c r="L2928" s="83">
        <f t="shared" si="463"/>
        <v>0</v>
      </c>
      <c r="M2928" s="110" t="str">
        <f t="shared" si="464"/>
        <v/>
      </c>
      <c r="N2928" s="51" t="str">
        <f t="shared" si="465"/>
        <v/>
      </c>
      <c r="O2928" s="52" t="str">
        <f t="shared" si="466"/>
        <v/>
      </c>
      <c r="P2928" s="88">
        <f t="shared" si="467"/>
        <v>0</v>
      </c>
      <c r="Q2928" s="88">
        <f t="shared" si="468"/>
        <v>0</v>
      </c>
      <c r="R2928" s="88" t="e">
        <f>-IF(Tabla14[[#This Row],[DIAS HABILES O MORA]]&lt;0,(Tabla14[[#This Row],[VALOR PRESTAMO]]*Tabla14[[#This Row],[% INTERES ]]/30*U2928))+Tabla14[[#This Row],[VALOR CUOTAS]]</f>
        <v>#VALUE!</v>
      </c>
      <c r="S2928" s="88">
        <f>-IF(Tabla14[[#This Row],[DIAS HABILES O MORA]]&lt;0,(Tabla14[[#This Row],[VALOR PRESTAMO]]*Tabla14[[#This Row],[% INTERES ]]/30*U2928))</f>
        <v>0</v>
      </c>
      <c r="T2928" s="53" t="e">
        <f>Tabla14[[#This Row],[DEUDA CAPITAL]]+Tabla14[[#This Row],[INTERES  CUOTA]]</f>
        <v>#NUM!</v>
      </c>
      <c r="U2928" s="61" t="str">
        <f t="shared" si="469"/>
        <v/>
      </c>
    </row>
    <row r="2929" spans="9:21" ht="24.75" customHeight="1" x14ac:dyDescent="0.35">
      <c r="I2929" s="42">
        <f t="shared" si="460"/>
        <v>0</v>
      </c>
      <c r="J2929" s="65" t="e">
        <f t="shared" si="461"/>
        <v>#NUM!</v>
      </c>
      <c r="K2929" s="83" t="e">
        <f t="shared" si="462"/>
        <v>#NUM!</v>
      </c>
      <c r="L2929" s="83">
        <f t="shared" si="463"/>
        <v>0</v>
      </c>
      <c r="M2929" s="110" t="str">
        <f t="shared" si="464"/>
        <v/>
      </c>
      <c r="N2929" s="51" t="str">
        <f t="shared" si="465"/>
        <v/>
      </c>
      <c r="O2929" s="52" t="str">
        <f t="shared" si="466"/>
        <v/>
      </c>
      <c r="P2929" s="88">
        <f t="shared" si="467"/>
        <v>0</v>
      </c>
      <c r="Q2929" s="88">
        <f t="shared" si="468"/>
        <v>0</v>
      </c>
      <c r="R2929" s="88" t="e">
        <f>-IF(Tabla14[[#This Row],[DIAS HABILES O MORA]]&lt;0,(Tabla14[[#This Row],[VALOR PRESTAMO]]*Tabla14[[#This Row],[% INTERES ]]/30*U2929))+Tabla14[[#This Row],[VALOR CUOTAS]]</f>
        <v>#VALUE!</v>
      </c>
      <c r="S2929" s="88">
        <f>-IF(Tabla14[[#This Row],[DIAS HABILES O MORA]]&lt;0,(Tabla14[[#This Row],[VALOR PRESTAMO]]*Tabla14[[#This Row],[% INTERES ]]/30*U2929))</f>
        <v>0</v>
      </c>
      <c r="T2929" s="53" t="e">
        <f>Tabla14[[#This Row],[DEUDA CAPITAL]]+Tabla14[[#This Row],[INTERES  CUOTA]]</f>
        <v>#NUM!</v>
      </c>
      <c r="U2929" s="61" t="str">
        <f t="shared" si="469"/>
        <v/>
      </c>
    </row>
    <row r="2930" spans="9:21" ht="24.75" customHeight="1" x14ac:dyDescent="0.35">
      <c r="I2930" s="42">
        <f t="shared" si="460"/>
        <v>0</v>
      </c>
      <c r="J2930" s="65" t="e">
        <f t="shared" si="461"/>
        <v>#NUM!</v>
      </c>
      <c r="K2930" s="83" t="e">
        <f t="shared" si="462"/>
        <v>#NUM!</v>
      </c>
      <c r="L2930" s="83">
        <f t="shared" si="463"/>
        <v>0</v>
      </c>
      <c r="M2930" s="110" t="str">
        <f t="shared" si="464"/>
        <v/>
      </c>
      <c r="N2930" s="51" t="str">
        <f t="shared" si="465"/>
        <v/>
      </c>
      <c r="O2930" s="52" t="str">
        <f t="shared" si="466"/>
        <v/>
      </c>
      <c r="P2930" s="88">
        <f t="shared" si="467"/>
        <v>0</v>
      </c>
      <c r="Q2930" s="88">
        <f t="shared" si="468"/>
        <v>0</v>
      </c>
      <c r="R2930" s="88" t="e">
        <f>-IF(Tabla14[[#This Row],[DIAS HABILES O MORA]]&lt;0,(Tabla14[[#This Row],[VALOR PRESTAMO]]*Tabla14[[#This Row],[% INTERES ]]/30*U2930))+Tabla14[[#This Row],[VALOR CUOTAS]]</f>
        <v>#VALUE!</v>
      </c>
      <c r="S2930" s="88">
        <f>-IF(Tabla14[[#This Row],[DIAS HABILES O MORA]]&lt;0,(Tabla14[[#This Row],[VALOR PRESTAMO]]*Tabla14[[#This Row],[% INTERES ]]/30*U2930))</f>
        <v>0</v>
      </c>
      <c r="T2930" s="53" t="e">
        <f>Tabla14[[#This Row],[DEUDA CAPITAL]]+Tabla14[[#This Row],[INTERES  CUOTA]]</f>
        <v>#NUM!</v>
      </c>
      <c r="U2930" s="61" t="str">
        <f t="shared" si="469"/>
        <v/>
      </c>
    </row>
    <row r="2931" spans="9:21" ht="24.75" customHeight="1" x14ac:dyDescent="0.35">
      <c r="I2931" s="42">
        <f t="shared" si="460"/>
        <v>0</v>
      </c>
      <c r="J2931" s="65" t="e">
        <f t="shared" si="461"/>
        <v>#NUM!</v>
      </c>
      <c r="K2931" s="83" t="e">
        <f t="shared" si="462"/>
        <v>#NUM!</v>
      </c>
      <c r="L2931" s="83">
        <f t="shared" si="463"/>
        <v>0</v>
      </c>
      <c r="M2931" s="110" t="str">
        <f t="shared" si="464"/>
        <v/>
      </c>
      <c r="N2931" s="51" t="str">
        <f t="shared" si="465"/>
        <v/>
      </c>
      <c r="O2931" s="52" t="str">
        <f t="shared" si="466"/>
        <v/>
      </c>
      <c r="P2931" s="88">
        <f t="shared" si="467"/>
        <v>0</v>
      </c>
      <c r="Q2931" s="88">
        <f t="shared" si="468"/>
        <v>0</v>
      </c>
      <c r="R2931" s="88" t="e">
        <f>-IF(Tabla14[[#This Row],[DIAS HABILES O MORA]]&lt;0,(Tabla14[[#This Row],[VALOR PRESTAMO]]*Tabla14[[#This Row],[% INTERES ]]/30*U2931))+Tabla14[[#This Row],[VALOR CUOTAS]]</f>
        <v>#VALUE!</v>
      </c>
      <c r="S2931" s="88">
        <f>-IF(Tabla14[[#This Row],[DIAS HABILES O MORA]]&lt;0,(Tabla14[[#This Row],[VALOR PRESTAMO]]*Tabla14[[#This Row],[% INTERES ]]/30*U2931))</f>
        <v>0</v>
      </c>
      <c r="T2931" s="53" t="e">
        <f>Tabla14[[#This Row],[DEUDA CAPITAL]]+Tabla14[[#This Row],[INTERES  CUOTA]]</f>
        <v>#NUM!</v>
      </c>
      <c r="U2931" s="61" t="str">
        <f t="shared" si="469"/>
        <v/>
      </c>
    </row>
    <row r="2932" spans="9:21" ht="24.75" customHeight="1" x14ac:dyDescent="0.35">
      <c r="I2932" s="42">
        <f t="shared" si="460"/>
        <v>0</v>
      </c>
      <c r="J2932" s="65" t="e">
        <f t="shared" si="461"/>
        <v>#NUM!</v>
      </c>
      <c r="K2932" s="83" t="e">
        <f t="shared" si="462"/>
        <v>#NUM!</v>
      </c>
      <c r="L2932" s="83">
        <f t="shared" si="463"/>
        <v>0</v>
      </c>
      <c r="M2932" s="110" t="str">
        <f t="shared" si="464"/>
        <v/>
      </c>
      <c r="N2932" s="51" t="str">
        <f t="shared" si="465"/>
        <v/>
      </c>
      <c r="O2932" s="52" t="str">
        <f t="shared" si="466"/>
        <v/>
      </c>
      <c r="P2932" s="88">
        <f t="shared" si="467"/>
        <v>0</v>
      </c>
      <c r="Q2932" s="88">
        <f t="shared" si="468"/>
        <v>0</v>
      </c>
      <c r="R2932" s="88" t="e">
        <f>-IF(Tabla14[[#This Row],[DIAS HABILES O MORA]]&lt;0,(Tabla14[[#This Row],[VALOR PRESTAMO]]*Tabla14[[#This Row],[% INTERES ]]/30*U2932))+Tabla14[[#This Row],[VALOR CUOTAS]]</f>
        <v>#VALUE!</v>
      </c>
      <c r="S2932" s="88">
        <f>-IF(Tabla14[[#This Row],[DIAS HABILES O MORA]]&lt;0,(Tabla14[[#This Row],[VALOR PRESTAMO]]*Tabla14[[#This Row],[% INTERES ]]/30*U2932))</f>
        <v>0</v>
      </c>
      <c r="T2932" s="53" t="e">
        <f>Tabla14[[#This Row],[DEUDA CAPITAL]]+Tabla14[[#This Row],[INTERES  CUOTA]]</f>
        <v>#NUM!</v>
      </c>
      <c r="U2932" s="61" t="str">
        <f t="shared" si="469"/>
        <v/>
      </c>
    </row>
    <row r="2933" spans="9:21" ht="24.75" customHeight="1" x14ac:dyDescent="0.35">
      <c r="I2933" s="42">
        <f t="shared" si="460"/>
        <v>0</v>
      </c>
      <c r="J2933" s="65" t="e">
        <f t="shared" si="461"/>
        <v>#NUM!</v>
      </c>
      <c r="K2933" s="83" t="e">
        <f t="shared" si="462"/>
        <v>#NUM!</v>
      </c>
      <c r="L2933" s="83">
        <f t="shared" si="463"/>
        <v>0</v>
      </c>
      <c r="M2933" s="110" t="str">
        <f t="shared" si="464"/>
        <v/>
      </c>
      <c r="N2933" s="51" t="str">
        <f t="shared" si="465"/>
        <v/>
      </c>
      <c r="O2933" s="52" t="str">
        <f t="shared" si="466"/>
        <v/>
      </c>
      <c r="P2933" s="88">
        <f t="shared" si="467"/>
        <v>0</v>
      </c>
      <c r="Q2933" s="88">
        <f t="shared" si="468"/>
        <v>0</v>
      </c>
      <c r="R2933" s="88" t="e">
        <f>-IF(Tabla14[[#This Row],[DIAS HABILES O MORA]]&lt;0,(Tabla14[[#This Row],[VALOR PRESTAMO]]*Tabla14[[#This Row],[% INTERES ]]/30*U2933))+Tabla14[[#This Row],[VALOR CUOTAS]]</f>
        <v>#VALUE!</v>
      </c>
      <c r="S2933" s="88">
        <f>-IF(Tabla14[[#This Row],[DIAS HABILES O MORA]]&lt;0,(Tabla14[[#This Row],[VALOR PRESTAMO]]*Tabla14[[#This Row],[% INTERES ]]/30*U2933))</f>
        <v>0</v>
      </c>
      <c r="T2933" s="53" t="e">
        <f>Tabla14[[#This Row],[DEUDA CAPITAL]]+Tabla14[[#This Row],[INTERES  CUOTA]]</f>
        <v>#NUM!</v>
      </c>
      <c r="U2933" s="61" t="str">
        <f t="shared" si="469"/>
        <v/>
      </c>
    </row>
    <row r="2934" spans="9:21" ht="24.75" customHeight="1" x14ac:dyDescent="0.35">
      <c r="I2934" s="42">
        <f t="shared" si="460"/>
        <v>0</v>
      </c>
      <c r="J2934" s="65" t="e">
        <f t="shared" si="461"/>
        <v>#NUM!</v>
      </c>
      <c r="K2934" s="83" t="e">
        <f t="shared" si="462"/>
        <v>#NUM!</v>
      </c>
      <c r="L2934" s="83">
        <f t="shared" si="463"/>
        <v>0</v>
      </c>
      <c r="M2934" s="110" t="str">
        <f t="shared" si="464"/>
        <v/>
      </c>
      <c r="N2934" s="51" t="str">
        <f t="shared" si="465"/>
        <v/>
      </c>
      <c r="O2934" s="52" t="str">
        <f t="shared" si="466"/>
        <v/>
      </c>
      <c r="P2934" s="88">
        <f t="shared" si="467"/>
        <v>0</v>
      </c>
      <c r="Q2934" s="88">
        <f t="shared" si="468"/>
        <v>0</v>
      </c>
      <c r="R2934" s="88" t="e">
        <f>-IF(Tabla14[[#This Row],[DIAS HABILES O MORA]]&lt;0,(Tabla14[[#This Row],[VALOR PRESTAMO]]*Tabla14[[#This Row],[% INTERES ]]/30*U2934))+Tabla14[[#This Row],[VALOR CUOTAS]]</f>
        <v>#VALUE!</v>
      </c>
      <c r="S2934" s="88">
        <f>-IF(Tabla14[[#This Row],[DIAS HABILES O MORA]]&lt;0,(Tabla14[[#This Row],[VALOR PRESTAMO]]*Tabla14[[#This Row],[% INTERES ]]/30*U2934))</f>
        <v>0</v>
      </c>
      <c r="T2934" s="53" t="e">
        <f>Tabla14[[#This Row],[DEUDA CAPITAL]]+Tabla14[[#This Row],[INTERES  CUOTA]]</f>
        <v>#NUM!</v>
      </c>
      <c r="U2934" s="61" t="str">
        <f t="shared" si="469"/>
        <v/>
      </c>
    </row>
    <row r="2935" spans="9:21" ht="24.75" customHeight="1" x14ac:dyDescent="0.35">
      <c r="I2935" s="42">
        <f t="shared" si="460"/>
        <v>0</v>
      </c>
      <c r="J2935" s="65" t="e">
        <f t="shared" si="461"/>
        <v>#NUM!</v>
      </c>
      <c r="K2935" s="83" t="e">
        <f t="shared" si="462"/>
        <v>#NUM!</v>
      </c>
      <c r="L2935" s="83">
        <f t="shared" si="463"/>
        <v>0</v>
      </c>
      <c r="M2935" s="110" t="str">
        <f t="shared" si="464"/>
        <v/>
      </c>
      <c r="N2935" s="51" t="str">
        <f t="shared" si="465"/>
        <v/>
      </c>
      <c r="O2935" s="52" t="str">
        <f t="shared" si="466"/>
        <v/>
      </c>
      <c r="P2935" s="88">
        <f t="shared" si="467"/>
        <v>0</v>
      </c>
      <c r="Q2935" s="88">
        <f t="shared" si="468"/>
        <v>0</v>
      </c>
      <c r="R2935" s="88" t="e">
        <f>-IF(Tabla14[[#This Row],[DIAS HABILES O MORA]]&lt;0,(Tabla14[[#This Row],[VALOR PRESTAMO]]*Tabla14[[#This Row],[% INTERES ]]/30*U2935))+Tabla14[[#This Row],[VALOR CUOTAS]]</f>
        <v>#VALUE!</v>
      </c>
      <c r="S2935" s="88">
        <f>-IF(Tabla14[[#This Row],[DIAS HABILES O MORA]]&lt;0,(Tabla14[[#This Row],[VALOR PRESTAMO]]*Tabla14[[#This Row],[% INTERES ]]/30*U2935))</f>
        <v>0</v>
      </c>
      <c r="T2935" s="53" t="e">
        <f>Tabla14[[#This Row],[DEUDA CAPITAL]]+Tabla14[[#This Row],[INTERES  CUOTA]]</f>
        <v>#NUM!</v>
      </c>
      <c r="U2935" s="61" t="str">
        <f t="shared" si="469"/>
        <v/>
      </c>
    </row>
    <row r="2936" spans="9:21" ht="24.75" customHeight="1" x14ac:dyDescent="0.35">
      <c r="I2936" s="42">
        <f t="shared" si="460"/>
        <v>0</v>
      </c>
      <c r="J2936" s="65" t="e">
        <f t="shared" si="461"/>
        <v>#NUM!</v>
      </c>
      <c r="K2936" s="83" t="e">
        <f t="shared" si="462"/>
        <v>#NUM!</v>
      </c>
      <c r="L2936" s="83">
        <f t="shared" si="463"/>
        <v>0</v>
      </c>
      <c r="M2936" s="110" t="str">
        <f t="shared" si="464"/>
        <v/>
      </c>
      <c r="N2936" s="51" t="str">
        <f t="shared" si="465"/>
        <v/>
      </c>
      <c r="O2936" s="52" t="str">
        <f t="shared" si="466"/>
        <v/>
      </c>
      <c r="P2936" s="88">
        <f t="shared" si="467"/>
        <v>0</v>
      </c>
      <c r="Q2936" s="88">
        <f t="shared" si="468"/>
        <v>0</v>
      </c>
      <c r="R2936" s="88" t="e">
        <f>-IF(Tabla14[[#This Row],[DIAS HABILES O MORA]]&lt;0,(Tabla14[[#This Row],[VALOR PRESTAMO]]*Tabla14[[#This Row],[% INTERES ]]/30*U2936))+Tabla14[[#This Row],[VALOR CUOTAS]]</f>
        <v>#VALUE!</v>
      </c>
      <c r="S2936" s="88">
        <f>-IF(Tabla14[[#This Row],[DIAS HABILES O MORA]]&lt;0,(Tabla14[[#This Row],[VALOR PRESTAMO]]*Tabla14[[#This Row],[% INTERES ]]/30*U2936))</f>
        <v>0</v>
      </c>
      <c r="T2936" s="53" t="e">
        <f>Tabla14[[#This Row],[DEUDA CAPITAL]]+Tabla14[[#This Row],[INTERES  CUOTA]]</f>
        <v>#NUM!</v>
      </c>
      <c r="U2936" s="61" t="str">
        <f t="shared" si="469"/>
        <v/>
      </c>
    </row>
    <row r="2937" spans="9:21" ht="24.75" customHeight="1" x14ac:dyDescent="0.35">
      <c r="I2937" s="42">
        <f t="shared" si="460"/>
        <v>0</v>
      </c>
      <c r="J2937" s="65" t="e">
        <f t="shared" si="461"/>
        <v>#NUM!</v>
      </c>
      <c r="K2937" s="83" t="e">
        <f t="shared" si="462"/>
        <v>#NUM!</v>
      </c>
      <c r="L2937" s="83">
        <f t="shared" si="463"/>
        <v>0</v>
      </c>
      <c r="M2937" s="110" t="str">
        <f t="shared" si="464"/>
        <v/>
      </c>
      <c r="N2937" s="51" t="str">
        <f t="shared" si="465"/>
        <v/>
      </c>
      <c r="O2937" s="52" t="str">
        <f t="shared" si="466"/>
        <v/>
      </c>
      <c r="P2937" s="88">
        <f t="shared" si="467"/>
        <v>0</v>
      </c>
      <c r="Q2937" s="88">
        <f t="shared" si="468"/>
        <v>0</v>
      </c>
      <c r="R2937" s="88" t="e">
        <f>-IF(Tabla14[[#This Row],[DIAS HABILES O MORA]]&lt;0,(Tabla14[[#This Row],[VALOR PRESTAMO]]*Tabla14[[#This Row],[% INTERES ]]/30*U2937))+Tabla14[[#This Row],[VALOR CUOTAS]]</f>
        <v>#VALUE!</v>
      </c>
      <c r="S2937" s="88">
        <f>-IF(Tabla14[[#This Row],[DIAS HABILES O MORA]]&lt;0,(Tabla14[[#This Row],[VALOR PRESTAMO]]*Tabla14[[#This Row],[% INTERES ]]/30*U2937))</f>
        <v>0</v>
      </c>
      <c r="T2937" s="53" t="e">
        <f>Tabla14[[#This Row],[DEUDA CAPITAL]]+Tabla14[[#This Row],[INTERES  CUOTA]]</f>
        <v>#NUM!</v>
      </c>
      <c r="U2937" s="61" t="str">
        <f t="shared" si="469"/>
        <v/>
      </c>
    </row>
    <row r="2938" spans="9:21" ht="24.75" customHeight="1" x14ac:dyDescent="0.35">
      <c r="I2938" s="42">
        <f t="shared" si="460"/>
        <v>0</v>
      </c>
      <c r="J2938" s="65" t="e">
        <f t="shared" si="461"/>
        <v>#NUM!</v>
      </c>
      <c r="K2938" s="83" t="e">
        <f t="shared" si="462"/>
        <v>#NUM!</v>
      </c>
      <c r="L2938" s="83">
        <f t="shared" si="463"/>
        <v>0</v>
      </c>
      <c r="M2938" s="110" t="str">
        <f t="shared" si="464"/>
        <v/>
      </c>
      <c r="N2938" s="51" t="str">
        <f t="shared" si="465"/>
        <v/>
      </c>
      <c r="O2938" s="52" t="str">
        <f t="shared" si="466"/>
        <v/>
      </c>
      <c r="P2938" s="88">
        <f t="shared" si="467"/>
        <v>0</v>
      </c>
      <c r="Q2938" s="88">
        <f t="shared" si="468"/>
        <v>0</v>
      </c>
      <c r="R2938" s="88" t="e">
        <f>-IF(Tabla14[[#This Row],[DIAS HABILES O MORA]]&lt;0,(Tabla14[[#This Row],[VALOR PRESTAMO]]*Tabla14[[#This Row],[% INTERES ]]/30*U2938))+Tabla14[[#This Row],[VALOR CUOTAS]]</f>
        <v>#VALUE!</v>
      </c>
      <c r="S2938" s="88">
        <f>-IF(Tabla14[[#This Row],[DIAS HABILES O MORA]]&lt;0,(Tabla14[[#This Row],[VALOR PRESTAMO]]*Tabla14[[#This Row],[% INTERES ]]/30*U2938))</f>
        <v>0</v>
      </c>
      <c r="T2938" s="53" t="e">
        <f>Tabla14[[#This Row],[DEUDA CAPITAL]]+Tabla14[[#This Row],[INTERES  CUOTA]]</f>
        <v>#NUM!</v>
      </c>
      <c r="U2938" s="61" t="str">
        <f t="shared" si="469"/>
        <v/>
      </c>
    </row>
    <row r="2939" spans="9:21" ht="24.75" customHeight="1" x14ac:dyDescent="0.35">
      <c r="I2939" s="42">
        <f t="shared" si="460"/>
        <v>0</v>
      </c>
      <c r="J2939" s="65" t="e">
        <f t="shared" si="461"/>
        <v>#NUM!</v>
      </c>
      <c r="K2939" s="83" t="e">
        <f t="shared" si="462"/>
        <v>#NUM!</v>
      </c>
      <c r="L2939" s="83">
        <f t="shared" si="463"/>
        <v>0</v>
      </c>
      <c r="M2939" s="110" t="str">
        <f t="shared" si="464"/>
        <v/>
      </c>
      <c r="N2939" s="51" t="str">
        <f t="shared" si="465"/>
        <v/>
      </c>
      <c r="O2939" s="52" t="str">
        <f t="shared" si="466"/>
        <v/>
      </c>
      <c r="P2939" s="88">
        <f t="shared" si="467"/>
        <v>0</v>
      </c>
      <c r="Q2939" s="88">
        <f t="shared" si="468"/>
        <v>0</v>
      </c>
      <c r="R2939" s="88" t="e">
        <f>-IF(Tabla14[[#This Row],[DIAS HABILES O MORA]]&lt;0,(Tabla14[[#This Row],[VALOR PRESTAMO]]*Tabla14[[#This Row],[% INTERES ]]/30*U2939))+Tabla14[[#This Row],[VALOR CUOTAS]]</f>
        <v>#VALUE!</v>
      </c>
      <c r="S2939" s="88">
        <f>-IF(Tabla14[[#This Row],[DIAS HABILES O MORA]]&lt;0,(Tabla14[[#This Row],[VALOR PRESTAMO]]*Tabla14[[#This Row],[% INTERES ]]/30*U2939))</f>
        <v>0</v>
      </c>
      <c r="T2939" s="53" t="e">
        <f>Tabla14[[#This Row],[DEUDA CAPITAL]]+Tabla14[[#This Row],[INTERES  CUOTA]]</f>
        <v>#NUM!</v>
      </c>
      <c r="U2939" s="61" t="str">
        <f t="shared" si="469"/>
        <v/>
      </c>
    </row>
    <row r="2940" spans="9:21" ht="24.75" customHeight="1" x14ac:dyDescent="0.35">
      <c r="I2940" s="42">
        <f t="shared" si="460"/>
        <v>0</v>
      </c>
      <c r="J2940" s="65" t="e">
        <f t="shared" si="461"/>
        <v>#NUM!</v>
      </c>
      <c r="K2940" s="83" t="e">
        <f t="shared" si="462"/>
        <v>#NUM!</v>
      </c>
      <c r="L2940" s="83">
        <f t="shared" si="463"/>
        <v>0</v>
      </c>
      <c r="M2940" s="110" t="str">
        <f t="shared" si="464"/>
        <v/>
      </c>
      <c r="N2940" s="51" t="str">
        <f t="shared" si="465"/>
        <v/>
      </c>
      <c r="O2940" s="52" t="str">
        <f t="shared" si="466"/>
        <v/>
      </c>
      <c r="P2940" s="88">
        <f t="shared" si="467"/>
        <v>0</v>
      </c>
      <c r="Q2940" s="88">
        <f t="shared" si="468"/>
        <v>0</v>
      </c>
      <c r="R2940" s="88" t="e">
        <f>-IF(Tabla14[[#This Row],[DIAS HABILES O MORA]]&lt;0,(Tabla14[[#This Row],[VALOR PRESTAMO]]*Tabla14[[#This Row],[% INTERES ]]/30*U2940))+Tabla14[[#This Row],[VALOR CUOTAS]]</f>
        <v>#VALUE!</v>
      </c>
      <c r="S2940" s="88">
        <f>-IF(Tabla14[[#This Row],[DIAS HABILES O MORA]]&lt;0,(Tabla14[[#This Row],[VALOR PRESTAMO]]*Tabla14[[#This Row],[% INTERES ]]/30*U2940))</f>
        <v>0</v>
      </c>
      <c r="T2940" s="53" t="e">
        <f>Tabla14[[#This Row],[DEUDA CAPITAL]]+Tabla14[[#This Row],[INTERES  CUOTA]]</f>
        <v>#NUM!</v>
      </c>
      <c r="U2940" s="61" t="str">
        <f t="shared" si="469"/>
        <v/>
      </c>
    </row>
    <row r="2941" spans="9:21" ht="24.75" customHeight="1" x14ac:dyDescent="0.35">
      <c r="I2941" s="42">
        <f t="shared" si="460"/>
        <v>0</v>
      </c>
      <c r="J2941" s="65" t="e">
        <f t="shared" si="461"/>
        <v>#NUM!</v>
      </c>
      <c r="K2941" s="83" t="e">
        <f t="shared" si="462"/>
        <v>#NUM!</v>
      </c>
      <c r="L2941" s="83">
        <f t="shared" si="463"/>
        <v>0</v>
      </c>
      <c r="M2941" s="110" t="str">
        <f t="shared" si="464"/>
        <v/>
      </c>
      <c r="N2941" s="51" t="str">
        <f t="shared" si="465"/>
        <v/>
      </c>
      <c r="O2941" s="52" t="str">
        <f t="shared" si="466"/>
        <v/>
      </c>
      <c r="P2941" s="88">
        <f t="shared" si="467"/>
        <v>0</v>
      </c>
      <c r="Q2941" s="88">
        <f t="shared" si="468"/>
        <v>0</v>
      </c>
      <c r="R2941" s="88" t="e">
        <f>-IF(Tabla14[[#This Row],[DIAS HABILES O MORA]]&lt;0,(Tabla14[[#This Row],[VALOR PRESTAMO]]*Tabla14[[#This Row],[% INTERES ]]/30*U2941))+Tabla14[[#This Row],[VALOR CUOTAS]]</f>
        <v>#VALUE!</v>
      </c>
      <c r="S2941" s="88">
        <f>-IF(Tabla14[[#This Row],[DIAS HABILES O MORA]]&lt;0,(Tabla14[[#This Row],[VALOR PRESTAMO]]*Tabla14[[#This Row],[% INTERES ]]/30*U2941))</f>
        <v>0</v>
      </c>
      <c r="T2941" s="53" t="e">
        <f>Tabla14[[#This Row],[DEUDA CAPITAL]]+Tabla14[[#This Row],[INTERES  CUOTA]]</f>
        <v>#NUM!</v>
      </c>
      <c r="U2941" s="61" t="str">
        <f t="shared" si="469"/>
        <v/>
      </c>
    </row>
    <row r="2942" spans="9:21" ht="24.75" customHeight="1" x14ac:dyDescent="0.35">
      <c r="I2942" s="42">
        <f t="shared" si="460"/>
        <v>0</v>
      </c>
      <c r="J2942" s="65" t="e">
        <f t="shared" si="461"/>
        <v>#NUM!</v>
      </c>
      <c r="K2942" s="83" t="e">
        <f t="shared" si="462"/>
        <v>#NUM!</v>
      </c>
      <c r="L2942" s="83">
        <f t="shared" si="463"/>
        <v>0</v>
      </c>
      <c r="M2942" s="110" t="str">
        <f t="shared" si="464"/>
        <v/>
      </c>
      <c r="N2942" s="51" t="str">
        <f t="shared" si="465"/>
        <v/>
      </c>
      <c r="O2942" s="52" t="str">
        <f t="shared" si="466"/>
        <v/>
      </c>
      <c r="P2942" s="88">
        <f t="shared" si="467"/>
        <v>0</v>
      </c>
      <c r="Q2942" s="88">
        <f t="shared" si="468"/>
        <v>0</v>
      </c>
      <c r="R2942" s="88" t="e">
        <f>-IF(Tabla14[[#This Row],[DIAS HABILES O MORA]]&lt;0,(Tabla14[[#This Row],[VALOR PRESTAMO]]*Tabla14[[#This Row],[% INTERES ]]/30*U2942))+Tabla14[[#This Row],[VALOR CUOTAS]]</f>
        <v>#VALUE!</v>
      </c>
      <c r="S2942" s="88">
        <f>-IF(Tabla14[[#This Row],[DIAS HABILES O MORA]]&lt;0,(Tabla14[[#This Row],[VALOR PRESTAMO]]*Tabla14[[#This Row],[% INTERES ]]/30*U2942))</f>
        <v>0</v>
      </c>
      <c r="T2942" s="53" t="e">
        <f>Tabla14[[#This Row],[DEUDA CAPITAL]]+Tabla14[[#This Row],[INTERES  CUOTA]]</f>
        <v>#NUM!</v>
      </c>
      <c r="U2942" s="61" t="str">
        <f t="shared" si="469"/>
        <v/>
      </c>
    </row>
    <row r="2943" spans="9:21" ht="24.75" customHeight="1" x14ac:dyDescent="0.35">
      <c r="I2943" s="42">
        <f t="shared" si="460"/>
        <v>0</v>
      </c>
      <c r="J2943" s="65" t="e">
        <f t="shared" si="461"/>
        <v>#NUM!</v>
      </c>
      <c r="K2943" s="83" t="e">
        <f t="shared" si="462"/>
        <v>#NUM!</v>
      </c>
      <c r="L2943" s="83">
        <f t="shared" si="463"/>
        <v>0</v>
      </c>
      <c r="M2943" s="110" t="str">
        <f t="shared" si="464"/>
        <v/>
      </c>
      <c r="N2943" s="51" t="str">
        <f t="shared" si="465"/>
        <v/>
      </c>
      <c r="O2943" s="52" t="str">
        <f t="shared" si="466"/>
        <v/>
      </c>
      <c r="P2943" s="88">
        <f t="shared" si="467"/>
        <v>0</v>
      </c>
      <c r="Q2943" s="88">
        <f t="shared" si="468"/>
        <v>0</v>
      </c>
      <c r="R2943" s="88" t="e">
        <f>-IF(Tabla14[[#This Row],[DIAS HABILES O MORA]]&lt;0,(Tabla14[[#This Row],[VALOR PRESTAMO]]*Tabla14[[#This Row],[% INTERES ]]/30*U2943))+Tabla14[[#This Row],[VALOR CUOTAS]]</f>
        <v>#VALUE!</v>
      </c>
      <c r="S2943" s="88">
        <f>-IF(Tabla14[[#This Row],[DIAS HABILES O MORA]]&lt;0,(Tabla14[[#This Row],[VALOR PRESTAMO]]*Tabla14[[#This Row],[% INTERES ]]/30*U2943))</f>
        <v>0</v>
      </c>
      <c r="T2943" s="53" t="e">
        <f>Tabla14[[#This Row],[DEUDA CAPITAL]]+Tabla14[[#This Row],[INTERES  CUOTA]]</f>
        <v>#NUM!</v>
      </c>
      <c r="U2943" s="61" t="str">
        <f t="shared" si="469"/>
        <v/>
      </c>
    </row>
    <row r="2944" spans="9:21" ht="24.75" customHeight="1" x14ac:dyDescent="0.35">
      <c r="I2944" s="42">
        <f t="shared" si="460"/>
        <v>0</v>
      </c>
      <c r="J2944" s="65" t="e">
        <f t="shared" si="461"/>
        <v>#NUM!</v>
      </c>
      <c r="K2944" s="83" t="e">
        <f t="shared" si="462"/>
        <v>#NUM!</v>
      </c>
      <c r="L2944" s="83">
        <f t="shared" si="463"/>
        <v>0</v>
      </c>
      <c r="M2944" s="110" t="str">
        <f t="shared" si="464"/>
        <v/>
      </c>
      <c r="N2944" s="51" t="str">
        <f t="shared" si="465"/>
        <v/>
      </c>
      <c r="O2944" s="52" t="str">
        <f t="shared" si="466"/>
        <v/>
      </c>
      <c r="P2944" s="88">
        <f t="shared" si="467"/>
        <v>0</v>
      </c>
      <c r="Q2944" s="88">
        <f t="shared" si="468"/>
        <v>0</v>
      </c>
      <c r="R2944" s="88" t="e">
        <f>-IF(Tabla14[[#This Row],[DIAS HABILES O MORA]]&lt;0,(Tabla14[[#This Row],[VALOR PRESTAMO]]*Tabla14[[#This Row],[% INTERES ]]/30*U2944))+Tabla14[[#This Row],[VALOR CUOTAS]]</f>
        <v>#VALUE!</v>
      </c>
      <c r="S2944" s="88">
        <f>-IF(Tabla14[[#This Row],[DIAS HABILES O MORA]]&lt;0,(Tabla14[[#This Row],[VALOR PRESTAMO]]*Tabla14[[#This Row],[% INTERES ]]/30*U2944))</f>
        <v>0</v>
      </c>
      <c r="T2944" s="53" t="e">
        <f>Tabla14[[#This Row],[DEUDA CAPITAL]]+Tabla14[[#This Row],[INTERES  CUOTA]]</f>
        <v>#NUM!</v>
      </c>
      <c r="U2944" s="61" t="str">
        <f t="shared" si="469"/>
        <v/>
      </c>
    </row>
    <row r="2945" spans="9:21" ht="24.75" customHeight="1" x14ac:dyDescent="0.35">
      <c r="I2945" s="42">
        <f t="shared" si="460"/>
        <v>0</v>
      </c>
      <c r="J2945" s="65" t="e">
        <f t="shared" si="461"/>
        <v>#NUM!</v>
      </c>
      <c r="K2945" s="83" t="e">
        <f t="shared" si="462"/>
        <v>#NUM!</v>
      </c>
      <c r="L2945" s="83">
        <f t="shared" si="463"/>
        <v>0</v>
      </c>
      <c r="M2945" s="110" t="str">
        <f t="shared" si="464"/>
        <v/>
      </c>
      <c r="N2945" s="51" t="str">
        <f t="shared" si="465"/>
        <v/>
      </c>
      <c r="O2945" s="52" t="str">
        <f t="shared" si="466"/>
        <v/>
      </c>
      <c r="P2945" s="88">
        <f t="shared" si="467"/>
        <v>0</v>
      </c>
      <c r="Q2945" s="88">
        <f t="shared" si="468"/>
        <v>0</v>
      </c>
      <c r="R2945" s="88" t="e">
        <f>-IF(Tabla14[[#This Row],[DIAS HABILES O MORA]]&lt;0,(Tabla14[[#This Row],[VALOR PRESTAMO]]*Tabla14[[#This Row],[% INTERES ]]/30*U2945))+Tabla14[[#This Row],[VALOR CUOTAS]]</f>
        <v>#VALUE!</v>
      </c>
      <c r="S2945" s="88">
        <f>-IF(Tabla14[[#This Row],[DIAS HABILES O MORA]]&lt;0,(Tabla14[[#This Row],[VALOR PRESTAMO]]*Tabla14[[#This Row],[% INTERES ]]/30*U2945))</f>
        <v>0</v>
      </c>
      <c r="T2945" s="53" t="e">
        <f>Tabla14[[#This Row],[DEUDA CAPITAL]]+Tabla14[[#This Row],[INTERES  CUOTA]]</f>
        <v>#NUM!</v>
      </c>
      <c r="U2945" s="61" t="str">
        <f t="shared" si="469"/>
        <v/>
      </c>
    </row>
    <row r="2946" spans="9:21" ht="24.75" customHeight="1" x14ac:dyDescent="0.35">
      <c r="I2946" s="42">
        <f t="shared" si="460"/>
        <v>0</v>
      </c>
      <c r="J2946" s="65" t="e">
        <f t="shared" si="461"/>
        <v>#NUM!</v>
      </c>
      <c r="K2946" s="83" t="e">
        <f t="shared" si="462"/>
        <v>#NUM!</v>
      </c>
      <c r="L2946" s="83">
        <f t="shared" si="463"/>
        <v>0</v>
      </c>
      <c r="M2946" s="110" t="str">
        <f t="shared" si="464"/>
        <v/>
      </c>
      <c r="N2946" s="51" t="str">
        <f t="shared" si="465"/>
        <v/>
      </c>
      <c r="O2946" s="52" t="str">
        <f t="shared" si="466"/>
        <v/>
      </c>
      <c r="P2946" s="88">
        <f t="shared" si="467"/>
        <v>0</v>
      </c>
      <c r="Q2946" s="88">
        <f t="shared" si="468"/>
        <v>0</v>
      </c>
      <c r="R2946" s="88" t="e">
        <f>-IF(Tabla14[[#This Row],[DIAS HABILES O MORA]]&lt;0,(Tabla14[[#This Row],[VALOR PRESTAMO]]*Tabla14[[#This Row],[% INTERES ]]/30*U2946))+Tabla14[[#This Row],[VALOR CUOTAS]]</f>
        <v>#VALUE!</v>
      </c>
      <c r="S2946" s="88">
        <f>-IF(Tabla14[[#This Row],[DIAS HABILES O MORA]]&lt;0,(Tabla14[[#This Row],[VALOR PRESTAMO]]*Tabla14[[#This Row],[% INTERES ]]/30*U2946))</f>
        <v>0</v>
      </c>
      <c r="T2946" s="53" t="e">
        <f>Tabla14[[#This Row],[DEUDA CAPITAL]]+Tabla14[[#This Row],[INTERES  CUOTA]]</f>
        <v>#NUM!</v>
      </c>
      <c r="U2946" s="61" t="str">
        <f t="shared" si="469"/>
        <v/>
      </c>
    </row>
    <row r="2947" spans="9:21" ht="24.75" customHeight="1" x14ac:dyDescent="0.35">
      <c r="I2947" s="42">
        <f t="shared" si="460"/>
        <v>0</v>
      </c>
      <c r="J2947" s="65" t="e">
        <f t="shared" si="461"/>
        <v>#NUM!</v>
      </c>
      <c r="K2947" s="83" t="e">
        <f t="shared" si="462"/>
        <v>#NUM!</v>
      </c>
      <c r="L2947" s="83">
        <f t="shared" si="463"/>
        <v>0</v>
      </c>
      <c r="M2947" s="110" t="str">
        <f t="shared" si="464"/>
        <v/>
      </c>
      <c r="N2947" s="51" t="str">
        <f t="shared" si="465"/>
        <v/>
      </c>
      <c r="O2947" s="52" t="str">
        <f t="shared" si="466"/>
        <v/>
      </c>
      <c r="P2947" s="88">
        <f t="shared" si="467"/>
        <v>0</v>
      </c>
      <c r="Q2947" s="88">
        <f t="shared" si="468"/>
        <v>0</v>
      </c>
      <c r="R2947" s="88" t="e">
        <f>-IF(Tabla14[[#This Row],[DIAS HABILES O MORA]]&lt;0,(Tabla14[[#This Row],[VALOR PRESTAMO]]*Tabla14[[#This Row],[% INTERES ]]/30*U2947))+Tabla14[[#This Row],[VALOR CUOTAS]]</f>
        <v>#VALUE!</v>
      </c>
      <c r="S2947" s="88">
        <f>-IF(Tabla14[[#This Row],[DIAS HABILES O MORA]]&lt;0,(Tabla14[[#This Row],[VALOR PRESTAMO]]*Tabla14[[#This Row],[% INTERES ]]/30*U2947))</f>
        <v>0</v>
      </c>
      <c r="T2947" s="53" t="e">
        <f>Tabla14[[#This Row],[DEUDA CAPITAL]]+Tabla14[[#This Row],[INTERES  CUOTA]]</f>
        <v>#NUM!</v>
      </c>
      <c r="U2947" s="61" t="str">
        <f t="shared" si="469"/>
        <v/>
      </c>
    </row>
    <row r="2948" spans="9:21" ht="24.75" customHeight="1" x14ac:dyDescent="0.35">
      <c r="I2948" s="42">
        <f t="shared" si="460"/>
        <v>0</v>
      </c>
      <c r="J2948" s="65" t="e">
        <f t="shared" si="461"/>
        <v>#NUM!</v>
      </c>
      <c r="K2948" s="83" t="e">
        <f t="shared" si="462"/>
        <v>#NUM!</v>
      </c>
      <c r="L2948" s="83">
        <f t="shared" si="463"/>
        <v>0</v>
      </c>
      <c r="M2948" s="110" t="str">
        <f t="shared" si="464"/>
        <v/>
      </c>
      <c r="N2948" s="51" t="str">
        <f t="shared" si="465"/>
        <v/>
      </c>
      <c r="O2948" s="52" t="str">
        <f t="shared" si="466"/>
        <v/>
      </c>
      <c r="P2948" s="88">
        <f t="shared" si="467"/>
        <v>0</v>
      </c>
      <c r="Q2948" s="88">
        <f t="shared" si="468"/>
        <v>0</v>
      </c>
      <c r="R2948" s="88" t="e">
        <f>-IF(Tabla14[[#This Row],[DIAS HABILES O MORA]]&lt;0,(Tabla14[[#This Row],[VALOR PRESTAMO]]*Tabla14[[#This Row],[% INTERES ]]/30*U2948))+Tabla14[[#This Row],[VALOR CUOTAS]]</f>
        <v>#VALUE!</v>
      </c>
      <c r="S2948" s="88">
        <f>-IF(Tabla14[[#This Row],[DIAS HABILES O MORA]]&lt;0,(Tabla14[[#This Row],[VALOR PRESTAMO]]*Tabla14[[#This Row],[% INTERES ]]/30*U2948))</f>
        <v>0</v>
      </c>
      <c r="T2948" s="53" t="e">
        <f>Tabla14[[#This Row],[DEUDA CAPITAL]]+Tabla14[[#This Row],[INTERES  CUOTA]]</f>
        <v>#NUM!</v>
      </c>
      <c r="U2948" s="61" t="str">
        <f t="shared" si="469"/>
        <v/>
      </c>
    </row>
    <row r="2949" spans="9:21" ht="24.75" customHeight="1" x14ac:dyDescent="0.35">
      <c r="I2949" s="42">
        <f t="shared" si="460"/>
        <v>0</v>
      </c>
      <c r="J2949" s="65" t="e">
        <f t="shared" si="461"/>
        <v>#NUM!</v>
      </c>
      <c r="K2949" s="83" t="e">
        <f t="shared" si="462"/>
        <v>#NUM!</v>
      </c>
      <c r="L2949" s="83">
        <f t="shared" si="463"/>
        <v>0</v>
      </c>
      <c r="M2949" s="110" t="str">
        <f t="shared" si="464"/>
        <v/>
      </c>
      <c r="N2949" s="51" t="str">
        <f t="shared" si="465"/>
        <v/>
      </c>
      <c r="O2949" s="52" t="str">
        <f t="shared" si="466"/>
        <v/>
      </c>
      <c r="P2949" s="88">
        <f t="shared" si="467"/>
        <v>0</v>
      </c>
      <c r="Q2949" s="88">
        <f t="shared" si="468"/>
        <v>0</v>
      </c>
      <c r="R2949" s="88" t="e">
        <f>-IF(Tabla14[[#This Row],[DIAS HABILES O MORA]]&lt;0,(Tabla14[[#This Row],[VALOR PRESTAMO]]*Tabla14[[#This Row],[% INTERES ]]/30*U2949))+Tabla14[[#This Row],[VALOR CUOTAS]]</f>
        <v>#VALUE!</v>
      </c>
      <c r="S2949" s="88">
        <f>-IF(Tabla14[[#This Row],[DIAS HABILES O MORA]]&lt;0,(Tabla14[[#This Row],[VALOR PRESTAMO]]*Tabla14[[#This Row],[% INTERES ]]/30*U2949))</f>
        <v>0</v>
      </c>
      <c r="T2949" s="53" t="e">
        <f>Tabla14[[#This Row],[DEUDA CAPITAL]]+Tabla14[[#This Row],[INTERES  CUOTA]]</f>
        <v>#NUM!</v>
      </c>
      <c r="U2949" s="61" t="str">
        <f t="shared" si="469"/>
        <v/>
      </c>
    </row>
    <row r="2950" spans="9:21" ht="24.75" customHeight="1" x14ac:dyDescent="0.35">
      <c r="I2950" s="42">
        <f t="shared" si="460"/>
        <v>0</v>
      </c>
      <c r="J2950" s="65" t="e">
        <f t="shared" si="461"/>
        <v>#NUM!</v>
      </c>
      <c r="K2950" s="83" t="e">
        <f t="shared" si="462"/>
        <v>#NUM!</v>
      </c>
      <c r="L2950" s="83">
        <f t="shared" si="463"/>
        <v>0</v>
      </c>
      <c r="M2950" s="110" t="str">
        <f t="shared" si="464"/>
        <v/>
      </c>
      <c r="N2950" s="51" t="str">
        <f t="shared" si="465"/>
        <v/>
      </c>
      <c r="O2950" s="52" t="str">
        <f t="shared" si="466"/>
        <v/>
      </c>
      <c r="P2950" s="88">
        <f t="shared" si="467"/>
        <v>0</v>
      </c>
      <c r="Q2950" s="88">
        <f t="shared" si="468"/>
        <v>0</v>
      </c>
      <c r="R2950" s="88" t="e">
        <f>-IF(Tabla14[[#This Row],[DIAS HABILES O MORA]]&lt;0,(Tabla14[[#This Row],[VALOR PRESTAMO]]*Tabla14[[#This Row],[% INTERES ]]/30*U2950))+Tabla14[[#This Row],[VALOR CUOTAS]]</f>
        <v>#VALUE!</v>
      </c>
      <c r="S2950" s="88">
        <f>-IF(Tabla14[[#This Row],[DIAS HABILES O MORA]]&lt;0,(Tabla14[[#This Row],[VALOR PRESTAMO]]*Tabla14[[#This Row],[% INTERES ]]/30*U2950))</f>
        <v>0</v>
      </c>
      <c r="T2950" s="53" t="e">
        <f>Tabla14[[#This Row],[DEUDA CAPITAL]]+Tabla14[[#This Row],[INTERES  CUOTA]]</f>
        <v>#NUM!</v>
      </c>
      <c r="U2950" s="61" t="str">
        <f t="shared" si="469"/>
        <v/>
      </c>
    </row>
    <row r="2951" spans="9:21" ht="24.75" customHeight="1" x14ac:dyDescent="0.35">
      <c r="I2951" s="42">
        <f t="shared" si="460"/>
        <v>0</v>
      </c>
      <c r="J2951" s="65" t="e">
        <f t="shared" si="461"/>
        <v>#NUM!</v>
      </c>
      <c r="K2951" s="83" t="e">
        <f t="shared" si="462"/>
        <v>#NUM!</v>
      </c>
      <c r="L2951" s="83">
        <f t="shared" si="463"/>
        <v>0</v>
      </c>
      <c r="M2951" s="110" t="str">
        <f t="shared" si="464"/>
        <v/>
      </c>
      <c r="N2951" s="51" t="str">
        <f t="shared" si="465"/>
        <v/>
      </c>
      <c r="O2951" s="52" t="str">
        <f t="shared" si="466"/>
        <v/>
      </c>
      <c r="P2951" s="88">
        <f t="shared" si="467"/>
        <v>0</v>
      </c>
      <c r="Q2951" s="88">
        <f t="shared" si="468"/>
        <v>0</v>
      </c>
      <c r="R2951" s="88" t="e">
        <f>-IF(Tabla14[[#This Row],[DIAS HABILES O MORA]]&lt;0,(Tabla14[[#This Row],[VALOR PRESTAMO]]*Tabla14[[#This Row],[% INTERES ]]/30*U2951))+Tabla14[[#This Row],[VALOR CUOTAS]]</f>
        <v>#VALUE!</v>
      </c>
      <c r="S2951" s="88">
        <f>-IF(Tabla14[[#This Row],[DIAS HABILES O MORA]]&lt;0,(Tabla14[[#This Row],[VALOR PRESTAMO]]*Tabla14[[#This Row],[% INTERES ]]/30*U2951))</f>
        <v>0</v>
      </c>
      <c r="T2951" s="53" t="e">
        <f>Tabla14[[#This Row],[DEUDA CAPITAL]]+Tabla14[[#This Row],[INTERES  CUOTA]]</f>
        <v>#NUM!</v>
      </c>
      <c r="U2951" s="61" t="str">
        <f t="shared" si="469"/>
        <v/>
      </c>
    </row>
    <row r="2952" spans="9:21" ht="24.75" customHeight="1" x14ac:dyDescent="0.35">
      <c r="I2952" s="42">
        <f t="shared" si="460"/>
        <v>0</v>
      </c>
      <c r="J2952" s="65" t="e">
        <f t="shared" si="461"/>
        <v>#NUM!</v>
      </c>
      <c r="K2952" s="83" t="e">
        <f t="shared" si="462"/>
        <v>#NUM!</v>
      </c>
      <c r="L2952" s="83">
        <f t="shared" si="463"/>
        <v>0</v>
      </c>
      <c r="M2952" s="110" t="str">
        <f t="shared" si="464"/>
        <v/>
      </c>
      <c r="N2952" s="51" t="str">
        <f t="shared" si="465"/>
        <v/>
      </c>
      <c r="O2952" s="52" t="str">
        <f t="shared" si="466"/>
        <v/>
      </c>
      <c r="P2952" s="88">
        <f t="shared" si="467"/>
        <v>0</v>
      </c>
      <c r="Q2952" s="88">
        <f t="shared" si="468"/>
        <v>0</v>
      </c>
      <c r="R2952" s="88" t="e">
        <f>-IF(Tabla14[[#This Row],[DIAS HABILES O MORA]]&lt;0,(Tabla14[[#This Row],[VALOR PRESTAMO]]*Tabla14[[#This Row],[% INTERES ]]/30*U2952))+Tabla14[[#This Row],[VALOR CUOTAS]]</f>
        <v>#VALUE!</v>
      </c>
      <c r="S2952" s="88">
        <f>-IF(Tabla14[[#This Row],[DIAS HABILES O MORA]]&lt;0,(Tabla14[[#This Row],[VALOR PRESTAMO]]*Tabla14[[#This Row],[% INTERES ]]/30*U2952))</f>
        <v>0</v>
      </c>
      <c r="T2952" s="53" t="e">
        <f>Tabla14[[#This Row],[DEUDA CAPITAL]]+Tabla14[[#This Row],[INTERES  CUOTA]]</f>
        <v>#NUM!</v>
      </c>
      <c r="U2952" s="61" t="str">
        <f t="shared" si="469"/>
        <v/>
      </c>
    </row>
    <row r="2953" spans="9:21" ht="24.75" customHeight="1" x14ac:dyDescent="0.35">
      <c r="I2953" s="42">
        <f t="shared" si="460"/>
        <v>0</v>
      </c>
      <c r="J2953" s="65" t="e">
        <f t="shared" si="461"/>
        <v>#NUM!</v>
      </c>
      <c r="K2953" s="83" t="e">
        <f t="shared" si="462"/>
        <v>#NUM!</v>
      </c>
      <c r="L2953" s="83">
        <f t="shared" si="463"/>
        <v>0</v>
      </c>
      <c r="M2953" s="110" t="str">
        <f t="shared" si="464"/>
        <v/>
      </c>
      <c r="N2953" s="51" t="str">
        <f t="shared" si="465"/>
        <v/>
      </c>
      <c r="O2953" s="52" t="str">
        <f t="shared" si="466"/>
        <v/>
      </c>
      <c r="P2953" s="88">
        <f t="shared" si="467"/>
        <v>0</v>
      </c>
      <c r="Q2953" s="88">
        <f t="shared" si="468"/>
        <v>0</v>
      </c>
      <c r="R2953" s="88" t="e">
        <f>-IF(Tabla14[[#This Row],[DIAS HABILES O MORA]]&lt;0,(Tabla14[[#This Row],[VALOR PRESTAMO]]*Tabla14[[#This Row],[% INTERES ]]/30*U2953))+Tabla14[[#This Row],[VALOR CUOTAS]]</f>
        <v>#VALUE!</v>
      </c>
      <c r="S2953" s="88">
        <f>-IF(Tabla14[[#This Row],[DIAS HABILES O MORA]]&lt;0,(Tabla14[[#This Row],[VALOR PRESTAMO]]*Tabla14[[#This Row],[% INTERES ]]/30*U2953))</f>
        <v>0</v>
      </c>
      <c r="T2953" s="53" t="e">
        <f>Tabla14[[#This Row],[DEUDA CAPITAL]]+Tabla14[[#This Row],[INTERES  CUOTA]]</f>
        <v>#NUM!</v>
      </c>
      <c r="U2953" s="61" t="str">
        <f t="shared" si="469"/>
        <v/>
      </c>
    </row>
    <row r="2954" spans="9:21" ht="24.75" customHeight="1" x14ac:dyDescent="0.35">
      <c r="I2954" s="42">
        <f t="shared" si="460"/>
        <v>0</v>
      </c>
      <c r="J2954" s="65" t="e">
        <f t="shared" si="461"/>
        <v>#NUM!</v>
      </c>
      <c r="K2954" s="83" t="e">
        <f t="shared" si="462"/>
        <v>#NUM!</v>
      </c>
      <c r="L2954" s="83">
        <f t="shared" si="463"/>
        <v>0</v>
      </c>
      <c r="M2954" s="110" t="str">
        <f t="shared" si="464"/>
        <v/>
      </c>
      <c r="N2954" s="51" t="str">
        <f t="shared" si="465"/>
        <v/>
      </c>
      <c r="O2954" s="52" t="str">
        <f t="shared" si="466"/>
        <v/>
      </c>
      <c r="P2954" s="88">
        <f t="shared" si="467"/>
        <v>0</v>
      </c>
      <c r="Q2954" s="88">
        <f t="shared" si="468"/>
        <v>0</v>
      </c>
      <c r="R2954" s="88" t="e">
        <f>-IF(Tabla14[[#This Row],[DIAS HABILES O MORA]]&lt;0,(Tabla14[[#This Row],[VALOR PRESTAMO]]*Tabla14[[#This Row],[% INTERES ]]/30*U2954))+Tabla14[[#This Row],[VALOR CUOTAS]]</f>
        <v>#VALUE!</v>
      </c>
      <c r="S2954" s="88">
        <f>-IF(Tabla14[[#This Row],[DIAS HABILES O MORA]]&lt;0,(Tabla14[[#This Row],[VALOR PRESTAMO]]*Tabla14[[#This Row],[% INTERES ]]/30*U2954))</f>
        <v>0</v>
      </c>
      <c r="T2954" s="53" t="e">
        <f>Tabla14[[#This Row],[DEUDA CAPITAL]]+Tabla14[[#This Row],[INTERES  CUOTA]]</f>
        <v>#NUM!</v>
      </c>
      <c r="U2954" s="61" t="str">
        <f t="shared" si="469"/>
        <v/>
      </c>
    </row>
    <row r="2955" spans="9:21" ht="24.75" customHeight="1" x14ac:dyDescent="0.35">
      <c r="I2955" s="42">
        <f t="shared" si="460"/>
        <v>0</v>
      </c>
      <c r="J2955" s="65" t="e">
        <f t="shared" si="461"/>
        <v>#NUM!</v>
      </c>
      <c r="K2955" s="83" t="e">
        <f t="shared" si="462"/>
        <v>#NUM!</v>
      </c>
      <c r="L2955" s="83">
        <f t="shared" si="463"/>
        <v>0</v>
      </c>
      <c r="M2955" s="110" t="str">
        <f t="shared" si="464"/>
        <v/>
      </c>
      <c r="N2955" s="51" t="str">
        <f t="shared" si="465"/>
        <v/>
      </c>
      <c r="O2955" s="52" t="str">
        <f t="shared" si="466"/>
        <v/>
      </c>
      <c r="P2955" s="88">
        <f t="shared" si="467"/>
        <v>0</v>
      </c>
      <c r="Q2955" s="88">
        <f t="shared" si="468"/>
        <v>0</v>
      </c>
      <c r="R2955" s="88" t="e">
        <f>-IF(Tabla14[[#This Row],[DIAS HABILES O MORA]]&lt;0,(Tabla14[[#This Row],[VALOR PRESTAMO]]*Tabla14[[#This Row],[% INTERES ]]/30*U2955))+Tabla14[[#This Row],[VALOR CUOTAS]]</f>
        <v>#VALUE!</v>
      </c>
      <c r="S2955" s="88">
        <f>-IF(Tabla14[[#This Row],[DIAS HABILES O MORA]]&lt;0,(Tabla14[[#This Row],[VALOR PRESTAMO]]*Tabla14[[#This Row],[% INTERES ]]/30*U2955))</f>
        <v>0</v>
      </c>
      <c r="T2955" s="53" t="e">
        <f>Tabla14[[#This Row],[DEUDA CAPITAL]]+Tabla14[[#This Row],[INTERES  CUOTA]]</f>
        <v>#NUM!</v>
      </c>
      <c r="U2955" s="61" t="str">
        <f t="shared" si="469"/>
        <v/>
      </c>
    </row>
    <row r="2956" spans="9:21" ht="24.75" customHeight="1" x14ac:dyDescent="0.35">
      <c r="I2956" s="42">
        <f t="shared" si="460"/>
        <v>0</v>
      </c>
      <c r="J2956" s="65" t="e">
        <f t="shared" si="461"/>
        <v>#NUM!</v>
      </c>
      <c r="K2956" s="83" t="e">
        <f t="shared" si="462"/>
        <v>#NUM!</v>
      </c>
      <c r="L2956" s="83">
        <f t="shared" si="463"/>
        <v>0</v>
      </c>
      <c r="M2956" s="110" t="str">
        <f t="shared" si="464"/>
        <v/>
      </c>
      <c r="N2956" s="51" t="str">
        <f t="shared" si="465"/>
        <v/>
      </c>
      <c r="O2956" s="52" t="str">
        <f t="shared" si="466"/>
        <v/>
      </c>
      <c r="P2956" s="88">
        <f t="shared" si="467"/>
        <v>0</v>
      </c>
      <c r="Q2956" s="88">
        <f t="shared" si="468"/>
        <v>0</v>
      </c>
      <c r="R2956" s="88" t="e">
        <f>-IF(Tabla14[[#This Row],[DIAS HABILES O MORA]]&lt;0,(Tabla14[[#This Row],[VALOR PRESTAMO]]*Tabla14[[#This Row],[% INTERES ]]/30*U2956))+Tabla14[[#This Row],[VALOR CUOTAS]]</f>
        <v>#VALUE!</v>
      </c>
      <c r="S2956" s="88">
        <f>-IF(Tabla14[[#This Row],[DIAS HABILES O MORA]]&lt;0,(Tabla14[[#This Row],[VALOR PRESTAMO]]*Tabla14[[#This Row],[% INTERES ]]/30*U2956))</f>
        <v>0</v>
      </c>
      <c r="T2956" s="53" t="e">
        <f>Tabla14[[#This Row],[DEUDA CAPITAL]]+Tabla14[[#This Row],[INTERES  CUOTA]]</f>
        <v>#NUM!</v>
      </c>
      <c r="U2956" s="61" t="str">
        <f t="shared" si="469"/>
        <v/>
      </c>
    </row>
    <row r="2957" spans="9:21" ht="24.75" customHeight="1" x14ac:dyDescent="0.35">
      <c r="I2957" s="42">
        <f t="shared" si="460"/>
        <v>0</v>
      </c>
      <c r="J2957" s="65" t="e">
        <f t="shared" si="461"/>
        <v>#NUM!</v>
      </c>
      <c r="K2957" s="83" t="e">
        <f t="shared" si="462"/>
        <v>#NUM!</v>
      </c>
      <c r="L2957" s="83">
        <f t="shared" si="463"/>
        <v>0</v>
      </c>
      <c r="M2957" s="110" t="str">
        <f t="shared" si="464"/>
        <v/>
      </c>
      <c r="N2957" s="51" t="str">
        <f t="shared" si="465"/>
        <v/>
      </c>
      <c r="O2957" s="52" t="str">
        <f t="shared" si="466"/>
        <v/>
      </c>
      <c r="P2957" s="88">
        <f t="shared" si="467"/>
        <v>0</v>
      </c>
      <c r="Q2957" s="88">
        <f t="shared" si="468"/>
        <v>0</v>
      </c>
      <c r="R2957" s="88" t="e">
        <f>-IF(Tabla14[[#This Row],[DIAS HABILES O MORA]]&lt;0,(Tabla14[[#This Row],[VALOR PRESTAMO]]*Tabla14[[#This Row],[% INTERES ]]/30*U2957))+Tabla14[[#This Row],[VALOR CUOTAS]]</f>
        <v>#VALUE!</v>
      </c>
      <c r="S2957" s="88">
        <f>-IF(Tabla14[[#This Row],[DIAS HABILES O MORA]]&lt;0,(Tabla14[[#This Row],[VALOR PRESTAMO]]*Tabla14[[#This Row],[% INTERES ]]/30*U2957))</f>
        <v>0</v>
      </c>
      <c r="T2957" s="53" t="e">
        <f>Tabla14[[#This Row],[DEUDA CAPITAL]]+Tabla14[[#This Row],[INTERES  CUOTA]]</f>
        <v>#NUM!</v>
      </c>
      <c r="U2957" s="61" t="str">
        <f t="shared" si="469"/>
        <v/>
      </c>
    </row>
    <row r="2958" spans="9:21" ht="24.75" customHeight="1" x14ac:dyDescent="0.35">
      <c r="I2958" s="42">
        <f t="shared" si="460"/>
        <v>0</v>
      </c>
      <c r="J2958" s="65" t="e">
        <f t="shared" si="461"/>
        <v>#NUM!</v>
      </c>
      <c r="K2958" s="83" t="e">
        <f t="shared" si="462"/>
        <v>#NUM!</v>
      </c>
      <c r="L2958" s="83">
        <f t="shared" si="463"/>
        <v>0</v>
      </c>
      <c r="M2958" s="110" t="str">
        <f t="shared" si="464"/>
        <v/>
      </c>
      <c r="N2958" s="51" t="str">
        <f t="shared" si="465"/>
        <v/>
      </c>
      <c r="O2958" s="52" t="str">
        <f t="shared" si="466"/>
        <v/>
      </c>
      <c r="P2958" s="88">
        <f t="shared" si="467"/>
        <v>0</v>
      </c>
      <c r="Q2958" s="88">
        <f t="shared" si="468"/>
        <v>0</v>
      </c>
      <c r="R2958" s="88" t="e">
        <f>-IF(Tabla14[[#This Row],[DIAS HABILES O MORA]]&lt;0,(Tabla14[[#This Row],[VALOR PRESTAMO]]*Tabla14[[#This Row],[% INTERES ]]/30*U2958))+Tabla14[[#This Row],[VALOR CUOTAS]]</f>
        <v>#VALUE!</v>
      </c>
      <c r="S2958" s="88">
        <f>-IF(Tabla14[[#This Row],[DIAS HABILES O MORA]]&lt;0,(Tabla14[[#This Row],[VALOR PRESTAMO]]*Tabla14[[#This Row],[% INTERES ]]/30*U2958))</f>
        <v>0</v>
      </c>
      <c r="T2958" s="53" t="e">
        <f>Tabla14[[#This Row],[DEUDA CAPITAL]]+Tabla14[[#This Row],[INTERES  CUOTA]]</f>
        <v>#NUM!</v>
      </c>
      <c r="U2958" s="61" t="str">
        <f t="shared" si="469"/>
        <v/>
      </c>
    </row>
    <row r="2959" spans="9:21" ht="24.75" customHeight="1" x14ac:dyDescent="0.35">
      <c r="I2959" s="42">
        <f t="shared" si="460"/>
        <v>0</v>
      </c>
      <c r="J2959" s="65" t="e">
        <f t="shared" si="461"/>
        <v>#NUM!</v>
      </c>
      <c r="K2959" s="83" t="e">
        <f t="shared" si="462"/>
        <v>#NUM!</v>
      </c>
      <c r="L2959" s="83">
        <f t="shared" si="463"/>
        <v>0</v>
      </c>
      <c r="M2959" s="110" t="str">
        <f t="shared" si="464"/>
        <v/>
      </c>
      <c r="N2959" s="51" t="str">
        <f t="shared" si="465"/>
        <v/>
      </c>
      <c r="O2959" s="52" t="str">
        <f t="shared" si="466"/>
        <v/>
      </c>
      <c r="P2959" s="88">
        <f t="shared" si="467"/>
        <v>0</v>
      </c>
      <c r="Q2959" s="88">
        <f t="shared" si="468"/>
        <v>0</v>
      </c>
      <c r="R2959" s="88" t="e">
        <f>-IF(Tabla14[[#This Row],[DIAS HABILES O MORA]]&lt;0,(Tabla14[[#This Row],[VALOR PRESTAMO]]*Tabla14[[#This Row],[% INTERES ]]/30*U2959))+Tabla14[[#This Row],[VALOR CUOTAS]]</f>
        <v>#VALUE!</v>
      </c>
      <c r="S2959" s="88">
        <f>-IF(Tabla14[[#This Row],[DIAS HABILES O MORA]]&lt;0,(Tabla14[[#This Row],[VALOR PRESTAMO]]*Tabla14[[#This Row],[% INTERES ]]/30*U2959))</f>
        <v>0</v>
      </c>
      <c r="T2959" s="53" t="e">
        <f>Tabla14[[#This Row],[DEUDA CAPITAL]]+Tabla14[[#This Row],[INTERES  CUOTA]]</f>
        <v>#NUM!</v>
      </c>
      <c r="U2959" s="61" t="str">
        <f t="shared" si="469"/>
        <v/>
      </c>
    </row>
    <row r="2960" spans="9:21" ht="24.75" customHeight="1" x14ac:dyDescent="0.35">
      <c r="I2960" s="42">
        <f t="shared" ref="I2960:I3023" si="470">IF(C2960&lt;0,"",IF(Q2960=0,0,IF(G2960=0,H2960+1,IF(H2960&lt;G2960,H2960+1,IF(G2960=H2960,0)))))</f>
        <v>0</v>
      </c>
      <c r="J2960" s="65" t="e">
        <f t="shared" ref="J2960:J3023" si="471">IF(F2960="SOLO INTERES",Q2960*D2960,-IPMT(D2960,I2960,G2960,C2960))</f>
        <v>#NUM!</v>
      </c>
      <c r="K2960" s="83" t="e">
        <f t="shared" ref="K2960:K3023" si="472">IF(F2960="SOLO INTERES",0,-PPMT(D2960,I2960,G2960,C2960))</f>
        <v>#NUM!</v>
      </c>
      <c r="L2960" s="83">
        <f t="shared" ref="L2960:L3023" si="473">IF(F2960="SOLO INTERES",SUM(Y2960:AAE2960),IFERROR(-CUMIPMT(D2960,G2960,C2960,1,H2960,0),0)+SUM(Y2960:WY2960))</f>
        <v>0</v>
      </c>
      <c r="M2960" s="110" t="str">
        <f t="shared" ref="M2960:M3023" si="474">IFERROR(IF(F2960="SOLO INTERES",Q2960*D2960,-PMT(D2960,G2960,C2960,0)),"")</f>
        <v/>
      </c>
      <c r="N2960" s="51" t="str">
        <f t="shared" ref="N2960:N3023" si="475">IF(Q2960=0,"",IF(E2960="MENSUAL",EDATE(B2960,I2960),IF(E2960="QUINCENAL",B2960+(I2960*15),IF(E2960="SEMANAL",B2960+(I2960*7)))))</f>
        <v/>
      </c>
      <c r="O2960" s="52" t="str">
        <f t="shared" ref="O2960:O3023" si="476">IF(C2960=0,"",IF(Q2960&lt;1,"PAGADO",IF(N2960=$A$3,"COBRAR HOY",IF(N2960&lt;$A$3,"EN MORA",IF(N2960&gt;$A$3,"AL DIA")))))</f>
        <v/>
      </c>
      <c r="P2960" s="88">
        <f t="shared" ref="P2960:P3023" si="477">IFERROR(-CUMPRINC(D2960,G2960,C2960,1,H2960,0),0)+W2960</f>
        <v>0</v>
      </c>
      <c r="Q2960" s="88">
        <f t="shared" ref="Q2960:Q3023" si="478">IFERROR(C2960-P2960,"")</f>
        <v>0</v>
      </c>
      <c r="R2960" s="88" t="e">
        <f>-IF(Tabla14[[#This Row],[DIAS HABILES O MORA]]&lt;0,(Tabla14[[#This Row],[VALOR PRESTAMO]]*Tabla14[[#This Row],[% INTERES ]]/30*U2960))+Tabla14[[#This Row],[VALOR CUOTAS]]</f>
        <v>#VALUE!</v>
      </c>
      <c r="S2960" s="88">
        <f>-IF(Tabla14[[#This Row],[DIAS HABILES O MORA]]&lt;0,(Tabla14[[#This Row],[VALOR PRESTAMO]]*Tabla14[[#This Row],[% INTERES ]]/30*U2960))</f>
        <v>0</v>
      </c>
      <c r="T2960" s="53" t="e">
        <f>Tabla14[[#This Row],[DEUDA CAPITAL]]+Tabla14[[#This Row],[INTERES  CUOTA]]</f>
        <v>#NUM!</v>
      </c>
      <c r="U2960" s="61" t="str">
        <f t="shared" ref="U2960:U3023" si="479">IF(O2960="PAGADO","",IFERROR(-IF(C2960=0,"",$A$3-N2960),""))</f>
        <v/>
      </c>
    </row>
    <row r="2961" spans="9:21" ht="24.75" customHeight="1" x14ac:dyDescent="0.35">
      <c r="I2961" s="42">
        <f t="shared" si="470"/>
        <v>0</v>
      </c>
      <c r="J2961" s="65" t="e">
        <f t="shared" si="471"/>
        <v>#NUM!</v>
      </c>
      <c r="K2961" s="83" t="e">
        <f t="shared" si="472"/>
        <v>#NUM!</v>
      </c>
      <c r="L2961" s="83">
        <f t="shared" si="473"/>
        <v>0</v>
      </c>
      <c r="M2961" s="110" t="str">
        <f t="shared" si="474"/>
        <v/>
      </c>
      <c r="N2961" s="51" t="str">
        <f t="shared" si="475"/>
        <v/>
      </c>
      <c r="O2961" s="52" t="str">
        <f t="shared" si="476"/>
        <v/>
      </c>
      <c r="P2961" s="88">
        <f t="shared" si="477"/>
        <v>0</v>
      </c>
      <c r="Q2961" s="88">
        <f t="shared" si="478"/>
        <v>0</v>
      </c>
      <c r="R2961" s="88" t="e">
        <f>-IF(Tabla14[[#This Row],[DIAS HABILES O MORA]]&lt;0,(Tabla14[[#This Row],[VALOR PRESTAMO]]*Tabla14[[#This Row],[% INTERES ]]/30*U2961))+Tabla14[[#This Row],[VALOR CUOTAS]]</f>
        <v>#VALUE!</v>
      </c>
      <c r="S2961" s="88">
        <f>-IF(Tabla14[[#This Row],[DIAS HABILES O MORA]]&lt;0,(Tabla14[[#This Row],[VALOR PRESTAMO]]*Tabla14[[#This Row],[% INTERES ]]/30*U2961))</f>
        <v>0</v>
      </c>
      <c r="T2961" s="53" t="e">
        <f>Tabla14[[#This Row],[DEUDA CAPITAL]]+Tabla14[[#This Row],[INTERES  CUOTA]]</f>
        <v>#NUM!</v>
      </c>
      <c r="U2961" s="61" t="str">
        <f t="shared" si="479"/>
        <v/>
      </c>
    </row>
    <row r="2962" spans="9:21" ht="24.75" customHeight="1" x14ac:dyDescent="0.35">
      <c r="I2962" s="42">
        <f t="shared" si="470"/>
        <v>0</v>
      </c>
      <c r="J2962" s="65" t="e">
        <f t="shared" si="471"/>
        <v>#NUM!</v>
      </c>
      <c r="K2962" s="83" t="e">
        <f t="shared" si="472"/>
        <v>#NUM!</v>
      </c>
      <c r="L2962" s="83">
        <f t="shared" si="473"/>
        <v>0</v>
      </c>
      <c r="M2962" s="110" t="str">
        <f t="shared" si="474"/>
        <v/>
      </c>
      <c r="N2962" s="51" t="str">
        <f t="shared" si="475"/>
        <v/>
      </c>
      <c r="O2962" s="52" t="str">
        <f t="shared" si="476"/>
        <v/>
      </c>
      <c r="P2962" s="88">
        <f t="shared" si="477"/>
        <v>0</v>
      </c>
      <c r="Q2962" s="88">
        <f t="shared" si="478"/>
        <v>0</v>
      </c>
      <c r="R2962" s="88" t="e">
        <f>-IF(Tabla14[[#This Row],[DIAS HABILES O MORA]]&lt;0,(Tabla14[[#This Row],[VALOR PRESTAMO]]*Tabla14[[#This Row],[% INTERES ]]/30*U2962))+Tabla14[[#This Row],[VALOR CUOTAS]]</f>
        <v>#VALUE!</v>
      </c>
      <c r="S2962" s="88">
        <f>-IF(Tabla14[[#This Row],[DIAS HABILES O MORA]]&lt;0,(Tabla14[[#This Row],[VALOR PRESTAMO]]*Tabla14[[#This Row],[% INTERES ]]/30*U2962))</f>
        <v>0</v>
      </c>
      <c r="T2962" s="53" t="e">
        <f>Tabla14[[#This Row],[DEUDA CAPITAL]]+Tabla14[[#This Row],[INTERES  CUOTA]]</f>
        <v>#NUM!</v>
      </c>
      <c r="U2962" s="61" t="str">
        <f t="shared" si="479"/>
        <v/>
      </c>
    </row>
    <row r="2963" spans="9:21" ht="24.75" customHeight="1" x14ac:dyDescent="0.35">
      <c r="I2963" s="42">
        <f t="shared" si="470"/>
        <v>0</v>
      </c>
      <c r="J2963" s="65" t="e">
        <f t="shared" si="471"/>
        <v>#NUM!</v>
      </c>
      <c r="K2963" s="83" t="e">
        <f t="shared" si="472"/>
        <v>#NUM!</v>
      </c>
      <c r="L2963" s="83">
        <f t="shared" si="473"/>
        <v>0</v>
      </c>
      <c r="M2963" s="110" t="str">
        <f t="shared" si="474"/>
        <v/>
      </c>
      <c r="N2963" s="51" t="str">
        <f t="shared" si="475"/>
        <v/>
      </c>
      <c r="O2963" s="52" t="str">
        <f t="shared" si="476"/>
        <v/>
      </c>
      <c r="P2963" s="88">
        <f t="shared" si="477"/>
        <v>0</v>
      </c>
      <c r="Q2963" s="88">
        <f t="shared" si="478"/>
        <v>0</v>
      </c>
      <c r="R2963" s="88" t="e">
        <f>-IF(Tabla14[[#This Row],[DIAS HABILES O MORA]]&lt;0,(Tabla14[[#This Row],[VALOR PRESTAMO]]*Tabla14[[#This Row],[% INTERES ]]/30*U2963))+Tabla14[[#This Row],[VALOR CUOTAS]]</f>
        <v>#VALUE!</v>
      </c>
      <c r="S2963" s="88">
        <f>-IF(Tabla14[[#This Row],[DIAS HABILES O MORA]]&lt;0,(Tabla14[[#This Row],[VALOR PRESTAMO]]*Tabla14[[#This Row],[% INTERES ]]/30*U2963))</f>
        <v>0</v>
      </c>
      <c r="T2963" s="53" t="e">
        <f>Tabla14[[#This Row],[DEUDA CAPITAL]]+Tabla14[[#This Row],[INTERES  CUOTA]]</f>
        <v>#NUM!</v>
      </c>
      <c r="U2963" s="61" t="str">
        <f t="shared" si="479"/>
        <v/>
      </c>
    </row>
    <row r="2964" spans="9:21" ht="24.75" customHeight="1" x14ac:dyDescent="0.35">
      <c r="I2964" s="42">
        <f t="shared" si="470"/>
        <v>0</v>
      </c>
      <c r="J2964" s="65" t="e">
        <f t="shared" si="471"/>
        <v>#NUM!</v>
      </c>
      <c r="K2964" s="83" t="e">
        <f t="shared" si="472"/>
        <v>#NUM!</v>
      </c>
      <c r="L2964" s="83">
        <f t="shared" si="473"/>
        <v>0</v>
      </c>
      <c r="M2964" s="110" t="str">
        <f t="shared" si="474"/>
        <v/>
      </c>
      <c r="N2964" s="51" t="str">
        <f t="shared" si="475"/>
        <v/>
      </c>
      <c r="O2964" s="52" t="str">
        <f t="shared" si="476"/>
        <v/>
      </c>
      <c r="P2964" s="88">
        <f t="shared" si="477"/>
        <v>0</v>
      </c>
      <c r="Q2964" s="88">
        <f t="shared" si="478"/>
        <v>0</v>
      </c>
      <c r="R2964" s="88" t="e">
        <f>-IF(Tabla14[[#This Row],[DIAS HABILES O MORA]]&lt;0,(Tabla14[[#This Row],[VALOR PRESTAMO]]*Tabla14[[#This Row],[% INTERES ]]/30*U2964))+Tabla14[[#This Row],[VALOR CUOTAS]]</f>
        <v>#VALUE!</v>
      </c>
      <c r="S2964" s="88">
        <f>-IF(Tabla14[[#This Row],[DIAS HABILES O MORA]]&lt;0,(Tabla14[[#This Row],[VALOR PRESTAMO]]*Tabla14[[#This Row],[% INTERES ]]/30*U2964))</f>
        <v>0</v>
      </c>
      <c r="T2964" s="53" t="e">
        <f>Tabla14[[#This Row],[DEUDA CAPITAL]]+Tabla14[[#This Row],[INTERES  CUOTA]]</f>
        <v>#NUM!</v>
      </c>
      <c r="U2964" s="61" t="str">
        <f t="shared" si="479"/>
        <v/>
      </c>
    </row>
    <row r="2965" spans="9:21" ht="24.75" customHeight="1" x14ac:dyDescent="0.35">
      <c r="I2965" s="42">
        <f t="shared" si="470"/>
        <v>0</v>
      </c>
      <c r="J2965" s="65" t="e">
        <f t="shared" si="471"/>
        <v>#NUM!</v>
      </c>
      <c r="K2965" s="83" t="e">
        <f t="shared" si="472"/>
        <v>#NUM!</v>
      </c>
      <c r="L2965" s="83">
        <f t="shared" si="473"/>
        <v>0</v>
      </c>
      <c r="M2965" s="110" t="str">
        <f t="shared" si="474"/>
        <v/>
      </c>
      <c r="N2965" s="51" t="str">
        <f t="shared" si="475"/>
        <v/>
      </c>
      <c r="O2965" s="52" t="str">
        <f t="shared" si="476"/>
        <v/>
      </c>
      <c r="P2965" s="88">
        <f t="shared" si="477"/>
        <v>0</v>
      </c>
      <c r="Q2965" s="88">
        <f t="shared" si="478"/>
        <v>0</v>
      </c>
      <c r="R2965" s="88" t="e">
        <f>-IF(Tabla14[[#This Row],[DIAS HABILES O MORA]]&lt;0,(Tabla14[[#This Row],[VALOR PRESTAMO]]*Tabla14[[#This Row],[% INTERES ]]/30*U2965))+Tabla14[[#This Row],[VALOR CUOTAS]]</f>
        <v>#VALUE!</v>
      </c>
      <c r="S2965" s="88">
        <f>-IF(Tabla14[[#This Row],[DIAS HABILES O MORA]]&lt;0,(Tabla14[[#This Row],[VALOR PRESTAMO]]*Tabla14[[#This Row],[% INTERES ]]/30*U2965))</f>
        <v>0</v>
      </c>
      <c r="T2965" s="53" t="e">
        <f>Tabla14[[#This Row],[DEUDA CAPITAL]]+Tabla14[[#This Row],[INTERES  CUOTA]]</f>
        <v>#NUM!</v>
      </c>
      <c r="U2965" s="61" t="str">
        <f t="shared" si="479"/>
        <v/>
      </c>
    </row>
    <row r="2966" spans="9:21" ht="24.75" customHeight="1" x14ac:dyDescent="0.35">
      <c r="I2966" s="42">
        <f t="shared" si="470"/>
        <v>0</v>
      </c>
      <c r="J2966" s="65" t="e">
        <f t="shared" si="471"/>
        <v>#NUM!</v>
      </c>
      <c r="K2966" s="83" t="e">
        <f t="shared" si="472"/>
        <v>#NUM!</v>
      </c>
      <c r="L2966" s="83">
        <f t="shared" si="473"/>
        <v>0</v>
      </c>
      <c r="M2966" s="110" t="str">
        <f t="shared" si="474"/>
        <v/>
      </c>
      <c r="N2966" s="51" t="str">
        <f t="shared" si="475"/>
        <v/>
      </c>
      <c r="O2966" s="52" t="str">
        <f t="shared" si="476"/>
        <v/>
      </c>
      <c r="P2966" s="88">
        <f t="shared" si="477"/>
        <v>0</v>
      </c>
      <c r="Q2966" s="88">
        <f t="shared" si="478"/>
        <v>0</v>
      </c>
      <c r="R2966" s="88" t="e">
        <f>-IF(Tabla14[[#This Row],[DIAS HABILES O MORA]]&lt;0,(Tabla14[[#This Row],[VALOR PRESTAMO]]*Tabla14[[#This Row],[% INTERES ]]/30*U2966))+Tabla14[[#This Row],[VALOR CUOTAS]]</f>
        <v>#VALUE!</v>
      </c>
      <c r="S2966" s="88">
        <f>-IF(Tabla14[[#This Row],[DIAS HABILES O MORA]]&lt;0,(Tabla14[[#This Row],[VALOR PRESTAMO]]*Tabla14[[#This Row],[% INTERES ]]/30*U2966))</f>
        <v>0</v>
      </c>
      <c r="T2966" s="53" t="e">
        <f>Tabla14[[#This Row],[DEUDA CAPITAL]]+Tabla14[[#This Row],[INTERES  CUOTA]]</f>
        <v>#NUM!</v>
      </c>
      <c r="U2966" s="61" t="str">
        <f t="shared" si="479"/>
        <v/>
      </c>
    </row>
    <row r="2967" spans="9:21" ht="24.75" customHeight="1" x14ac:dyDescent="0.35">
      <c r="I2967" s="42">
        <f t="shared" si="470"/>
        <v>0</v>
      </c>
      <c r="J2967" s="65" t="e">
        <f t="shared" si="471"/>
        <v>#NUM!</v>
      </c>
      <c r="K2967" s="83" t="e">
        <f t="shared" si="472"/>
        <v>#NUM!</v>
      </c>
      <c r="L2967" s="83">
        <f t="shared" si="473"/>
        <v>0</v>
      </c>
      <c r="M2967" s="110" t="str">
        <f t="shared" si="474"/>
        <v/>
      </c>
      <c r="N2967" s="51" t="str">
        <f t="shared" si="475"/>
        <v/>
      </c>
      <c r="O2967" s="52" t="str">
        <f t="shared" si="476"/>
        <v/>
      </c>
      <c r="P2967" s="88">
        <f t="shared" si="477"/>
        <v>0</v>
      </c>
      <c r="Q2967" s="88">
        <f t="shared" si="478"/>
        <v>0</v>
      </c>
      <c r="R2967" s="88" t="e">
        <f>-IF(Tabla14[[#This Row],[DIAS HABILES O MORA]]&lt;0,(Tabla14[[#This Row],[VALOR PRESTAMO]]*Tabla14[[#This Row],[% INTERES ]]/30*U2967))+Tabla14[[#This Row],[VALOR CUOTAS]]</f>
        <v>#VALUE!</v>
      </c>
      <c r="S2967" s="88">
        <f>-IF(Tabla14[[#This Row],[DIAS HABILES O MORA]]&lt;0,(Tabla14[[#This Row],[VALOR PRESTAMO]]*Tabla14[[#This Row],[% INTERES ]]/30*U2967))</f>
        <v>0</v>
      </c>
      <c r="T2967" s="53" t="e">
        <f>Tabla14[[#This Row],[DEUDA CAPITAL]]+Tabla14[[#This Row],[INTERES  CUOTA]]</f>
        <v>#NUM!</v>
      </c>
      <c r="U2967" s="61" t="str">
        <f t="shared" si="479"/>
        <v/>
      </c>
    </row>
    <row r="2968" spans="9:21" ht="24.75" customHeight="1" x14ac:dyDescent="0.35">
      <c r="I2968" s="42">
        <f t="shared" si="470"/>
        <v>0</v>
      </c>
      <c r="J2968" s="65" t="e">
        <f t="shared" si="471"/>
        <v>#NUM!</v>
      </c>
      <c r="K2968" s="83" t="e">
        <f t="shared" si="472"/>
        <v>#NUM!</v>
      </c>
      <c r="L2968" s="83">
        <f t="shared" si="473"/>
        <v>0</v>
      </c>
      <c r="M2968" s="110" t="str">
        <f t="shared" si="474"/>
        <v/>
      </c>
      <c r="N2968" s="51" t="str">
        <f t="shared" si="475"/>
        <v/>
      </c>
      <c r="O2968" s="52" t="str">
        <f t="shared" si="476"/>
        <v/>
      </c>
      <c r="P2968" s="88">
        <f t="shared" si="477"/>
        <v>0</v>
      </c>
      <c r="Q2968" s="88">
        <f t="shared" si="478"/>
        <v>0</v>
      </c>
      <c r="R2968" s="88" t="e">
        <f>-IF(Tabla14[[#This Row],[DIAS HABILES O MORA]]&lt;0,(Tabla14[[#This Row],[VALOR PRESTAMO]]*Tabla14[[#This Row],[% INTERES ]]/30*U2968))+Tabla14[[#This Row],[VALOR CUOTAS]]</f>
        <v>#VALUE!</v>
      </c>
      <c r="S2968" s="88">
        <f>-IF(Tabla14[[#This Row],[DIAS HABILES O MORA]]&lt;0,(Tabla14[[#This Row],[VALOR PRESTAMO]]*Tabla14[[#This Row],[% INTERES ]]/30*U2968))</f>
        <v>0</v>
      </c>
      <c r="T2968" s="53" t="e">
        <f>Tabla14[[#This Row],[DEUDA CAPITAL]]+Tabla14[[#This Row],[INTERES  CUOTA]]</f>
        <v>#NUM!</v>
      </c>
      <c r="U2968" s="61" t="str">
        <f t="shared" si="479"/>
        <v/>
      </c>
    </row>
    <row r="2969" spans="9:21" ht="24.75" customHeight="1" x14ac:dyDescent="0.35">
      <c r="I2969" s="42">
        <f t="shared" si="470"/>
        <v>0</v>
      </c>
      <c r="J2969" s="65" t="e">
        <f t="shared" si="471"/>
        <v>#NUM!</v>
      </c>
      <c r="K2969" s="83" t="e">
        <f t="shared" si="472"/>
        <v>#NUM!</v>
      </c>
      <c r="L2969" s="83">
        <f t="shared" si="473"/>
        <v>0</v>
      </c>
      <c r="M2969" s="110" t="str">
        <f t="shared" si="474"/>
        <v/>
      </c>
      <c r="N2969" s="51" t="str">
        <f t="shared" si="475"/>
        <v/>
      </c>
      <c r="O2969" s="52" t="str">
        <f t="shared" si="476"/>
        <v/>
      </c>
      <c r="P2969" s="88">
        <f t="shared" si="477"/>
        <v>0</v>
      </c>
      <c r="Q2969" s="88">
        <f t="shared" si="478"/>
        <v>0</v>
      </c>
      <c r="R2969" s="88" t="e">
        <f>-IF(Tabla14[[#This Row],[DIAS HABILES O MORA]]&lt;0,(Tabla14[[#This Row],[VALOR PRESTAMO]]*Tabla14[[#This Row],[% INTERES ]]/30*U2969))+Tabla14[[#This Row],[VALOR CUOTAS]]</f>
        <v>#VALUE!</v>
      </c>
      <c r="S2969" s="88">
        <f>-IF(Tabla14[[#This Row],[DIAS HABILES O MORA]]&lt;0,(Tabla14[[#This Row],[VALOR PRESTAMO]]*Tabla14[[#This Row],[% INTERES ]]/30*U2969))</f>
        <v>0</v>
      </c>
      <c r="T2969" s="53" t="e">
        <f>Tabla14[[#This Row],[DEUDA CAPITAL]]+Tabla14[[#This Row],[INTERES  CUOTA]]</f>
        <v>#NUM!</v>
      </c>
      <c r="U2969" s="61" t="str">
        <f t="shared" si="479"/>
        <v/>
      </c>
    </row>
    <row r="2970" spans="9:21" ht="24.75" customHeight="1" x14ac:dyDescent="0.35">
      <c r="I2970" s="42">
        <f t="shared" si="470"/>
        <v>0</v>
      </c>
      <c r="J2970" s="65" t="e">
        <f t="shared" si="471"/>
        <v>#NUM!</v>
      </c>
      <c r="K2970" s="83" t="e">
        <f t="shared" si="472"/>
        <v>#NUM!</v>
      </c>
      <c r="L2970" s="83">
        <f t="shared" si="473"/>
        <v>0</v>
      </c>
      <c r="M2970" s="110" t="str">
        <f t="shared" si="474"/>
        <v/>
      </c>
      <c r="N2970" s="51" t="str">
        <f t="shared" si="475"/>
        <v/>
      </c>
      <c r="O2970" s="52" t="str">
        <f t="shared" si="476"/>
        <v/>
      </c>
      <c r="P2970" s="88">
        <f t="shared" si="477"/>
        <v>0</v>
      </c>
      <c r="Q2970" s="88">
        <f t="shared" si="478"/>
        <v>0</v>
      </c>
      <c r="R2970" s="88" t="e">
        <f>-IF(Tabla14[[#This Row],[DIAS HABILES O MORA]]&lt;0,(Tabla14[[#This Row],[VALOR PRESTAMO]]*Tabla14[[#This Row],[% INTERES ]]/30*U2970))+Tabla14[[#This Row],[VALOR CUOTAS]]</f>
        <v>#VALUE!</v>
      </c>
      <c r="S2970" s="88">
        <f>-IF(Tabla14[[#This Row],[DIAS HABILES O MORA]]&lt;0,(Tabla14[[#This Row],[VALOR PRESTAMO]]*Tabla14[[#This Row],[% INTERES ]]/30*U2970))</f>
        <v>0</v>
      </c>
      <c r="T2970" s="53" t="e">
        <f>Tabla14[[#This Row],[DEUDA CAPITAL]]+Tabla14[[#This Row],[INTERES  CUOTA]]</f>
        <v>#NUM!</v>
      </c>
      <c r="U2970" s="61" t="str">
        <f t="shared" si="479"/>
        <v/>
      </c>
    </row>
    <row r="2971" spans="9:21" ht="24.75" customHeight="1" x14ac:dyDescent="0.35">
      <c r="I2971" s="42">
        <f t="shared" si="470"/>
        <v>0</v>
      </c>
      <c r="J2971" s="65" t="e">
        <f t="shared" si="471"/>
        <v>#NUM!</v>
      </c>
      <c r="K2971" s="83" t="e">
        <f t="shared" si="472"/>
        <v>#NUM!</v>
      </c>
      <c r="L2971" s="83">
        <f t="shared" si="473"/>
        <v>0</v>
      </c>
      <c r="M2971" s="110" t="str">
        <f t="shared" si="474"/>
        <v/>
      </c>
      <c r="N2971" s="51" t="str">
        <f t="shared" si="475"/>
        <v/>
      </c>
      <c r="O2971" s="52" t="str">
        <f t="shared" si="476"/>
        <v/>
      </c>
      <c r="P2971" s="88">
        <f t="shared" si="477"/>
        <v>0</v>
      </c>
      <c r="Q2971" s="88">
        <f t="shared" si="478"/>
        <v>0</v>
      </c>
      <c r="R2971" s="88" t="e">
        <f>-IF(Tabla14[[#This Row],[DIAS HABILES O MORA]]&lt;0,(Tabla14[[#This Row],[VALOR PRESTAMO]]*Tabla14[[#This Row],[% INTERES ]]/30*U2971))+Tabla14[[#This Row],[VALOR CUOTAS]]</f>
        <v>#VALUE!</v>
      </c>
      <c r="S2971" s="88">
        <f>-IF(Tabla14[[#This Row],[DIAS HABILES O MORA]]&lt;0,(Tabla14[[#This Row],[VALOR PRESTAMO]]*Tabla14[[#This Row],[% INTERES ]]/30*U2971))</f>
        <v>0</v>
      </c>
      <c r="T2971" s="53" t="e">
        <f>Tabla14[[#This Row],[DEUDA CAPITAL]]+Tabla14[[#This Row],[INTERES  CUOTA]]</f>
        <v>#NUM!</v>
      </c>
      <c r="U2971" s="61" t="str">
        <f t="shared" si="479"/>
        <v/>
      </c>
    </row>
    <row r="2972" spans="9:21" ht="24.75" customHeight="1" x14ac:dyDescent="0.35">
      <c r="I2972" s="42">
        <f t="shared" si="470"/>
        <v>0</v>
      </c>
      <c r="J2972" s="65" t="e">
        <f t="shared" si="471"/>
        <v>#NUM!</v>
      </c>
      <c r="K2972" s="83" t="e">
        <f t="shared" si="472"/>
        <v>#NUM!</v>
      </c>
      <c r="L2972" s="83">
        <f t="shared" si="473"/>
        <v>0</v>
      </c>
      <c r="M2972" s="110" t="str">
        <f t="shared" si="474"/>
        <v/>
      </c>
      <c r="N2972" s="51" t="str">
        <f t="shared" si="475"/>
        <v/>
      </c>
      <c r="O2972" s="52" t="str">
        <f t="shared" si="476"/>
        <v/>
      </c>
      <c r="P2972" s="88">
        <f t="shared" si="477"/>
        <v>0</v>
      </c>
      <c r="Q2972" s="88">
        <f t="shared" si="478"/>
        <v>0</v>
      </c>
      <c r="R2972" s="88" t="e">
        <f>-IF(Tabla14[[#This Row],[DIAS HABILES O MORA]]&lt;0,(Tabla14[[#This Row],[VALOR PRESTAMO]]*Tabla14[[#This Row],[% INTERES ]]/30*U2972))+Tabla14[[#This Row],[VALOR CUOTAS]]</f>
        <v>#VALUE!</v>
      </c>
      <c r="S2972" s="88">
        <f>-IF(Tabla14[[#This Row],[DIAS HABILES O MORA]]&lt;0,(Tabla14[[#This Row],[VALOR PRESTAMO]]*Tabla14[[#This Row],[% INTERES ]]/30*U2972))</f>
        <v>0</v>
      </c>
      <c r="T2972" s="53" t="e">
        <f>Tabla14[[#This Row],[DEUDA CAPITAL]]+Tabla14[[#This Row],[INTERES  CUOTA]]</f>
        <v>#NUM!</v>
      </c>
      <c r="U2972" s="61" t="str">
        <f t="shared" si="479"/>
        <v/>
      </c>
    </row>
    <row r="2973" spans="9:21" ht="24.75" customHeight="1" x14ac:dyDescent="0.35">
      <c r="I2973" s="42">
        <f t="shared" si="470"/>
        <v>0</v>
      </c>
      <c r="J2973" s="65" t="e">
        <f t="shared" si="471"/>
        <v>#NUM!</v>
      </c>
      <c r="K2973" s="83" t="e">
        <f t="shared" si="472"/>
        <v>#NUM!</v>
      </c>
      <c r="L2973" s="83">
        <f t="shared" si="473"/>
        <v>0</v>
      </c>
      <c r="M2973" s="110" t="str">
        <f t="shared" si="474"/>
        <v/>
      </c>
      <c r="N2973" s="51" t="str">
        <f t="shared" si="475"/>
        <v/>
      </c>
      <c r="O2973" s="52" t="str">
        <f t="shared" si="476"/>
        <v/>
      </c>
      <c r="P2973" s="88">
        <f t="shared" si="477"/>
        <v>0</v>
      </c>
      <c r="Q2973" s="88">
        <f t="shared" si="478"/>
        <v>0</v>
      </c>
      <c r="R2973" s="88" t="e">
        <f>-IF(Tabla14[[#This Row],[DIAS HABILES O MORA]]&lt;0,(Tabla14[[#This Row],[VALOR PRESTAMO]]*Tabla14[[#This Row],[% INTERES ]]/30*U2973))+Tabla14[[#This Row],[VALOR CUOTAS]]</f>
        <v>#VALUE!</v>
      </c>
      <c r="S2973" s="88">
        <f>-IF(Tabla14[[#This Row],[DIAS HABILES O MORA]]&lt;0,(Tabla14[[#This Row],[VALOR PRESTAMO]]*Tabla14[[#This Row],[% INTERES ]]/30*U2973))</f>
        <v>0</v>
      </c>
      <c r="T2973" s="53" t="e">
        <f>Tabla14[[#This Row],[DEUDA CAPITAL]]+Tabla14[[#This Row],[INTERES  CUOTA]]</f>
        <v>#NUM!</v>
      </c>
      <c r="U2973" s="61" t="str">
        <f t="shared" si="479"/>
        <v/>
      </c>
    </row>
    <row r="2974" spans="9:21" ht="24.75" customHeight="1" x14ac:dyDescent="0.35">
      <c r="I2974" s="42">
        <f t="shared" si="470"/>
        <v>0</v>
      </c>
      <c r="J2974" s="65" t="e">
        <f t="shared" si="471"/>
        <v>#NUM!</v>
      </c>
      <c r="K2974" s="83" t="e">
        <f t="shared" si="472"/>
        <v>#NUM!</v>
      </c>
      <c r="L2974" s="83">
        <f t="shared" si="473"/>
        <v>0</v>
      </c>
      <c r="M2974" s="110" t="str">
        <f t="shared" si="474"/>
        <v/>
      </c>
      <c r="N2974" s="51" t="str">
        <f t="shared" si="475"/>
        <v/>
      </c>
      <c r="O2974" s="52" t="str">
        <f t="shared" si="476"/>
        <v/>
      </c>
      <c r="P2974" s="88">
        <f t="shared" si="477"/>
        <v>0</v>
      </c>
      <c r="Q2974" s="88">
        <f t="shared" si="478"/>
        <v>0</v>
      </c>
      <c r="R2974" s="88" t="e">
        <f>-IF(Tabla14[[#This Row],[DIAS HABILES O MORA]]&lt;0,(Tabla14[[#This Row],[VALOR PRESTAMO]]*Tabla14[[#This Row],[% INTERES ]]/30*U2974))+Tabla14[[#This Row],[VALOR CUOTAS]]</f>
        <v>#VALUE!</v>
      </c>
      <c r="S2974" s="88">
        <f>-IF(Tabla14[[#This Row],[DIAS HABILES O MORA]]&lt;0,(Tabla14[[#This Row],[VALOR PRESTAMO]]*Tabla14[[#This Row],[% INTERES ]]/30*U2974))</f>
        <v>0</v>
      </c>
      <c r="T2974" s="53" t="e">
        <f>Tabla14[[#This Row],[DEUDA CAPITAL]]+Tabla14[[#This Row],[INTERES  CUOTA]]</f>
        <v>#NUM!</v>
      </c>
      <c r="U2974" s="61" t="str">
        <f t="shared" si="479"/>
        <v/>
      </c>
    </row>
    <row r="2975" spans="9:21" ht="24.75" customHeight="1" x14ac:dyDescent="0.35">
      <c r="I2975" s="42">
        <f t="shared" si="470"/>
        <v>0</v>
      </c>
      <c r="J2975" s="65" t="e">
        <f t="shared" si="471"/>
        <v>#NUM!</v>
      </c>
      <c r="K2975" s="83" t="e">
        <f t="shared" si="472"/>
        <v>#NUM!</v>
      </c>
      <c r="L2975" s="83">
        <f t="shared" si="473"/>
        <v>0</v>
      </c>
      <c r="M2975" s="110" t="str">
        <f t="shared" si="474"/>
        <v/>
      </c>
      <c r="N2975" s="51" t="str">
        <f t="shared" si="475"/>
        <v/>
      </c>
      <c r="O2975" s="52" t="str">
        <f t="shared" si="476"/>
        <v/>
      </c>
      <c r="P2975" s="88">
        <f t="shared" si="477"/>
        <v>0</v>
      </c>
      <c r="Q2975" s="88">
        <f t="shared" si="478"/>
        <v>0</v>
      </c>
      <c r="R2975" s="88" t="e">
        <f>-IF(Tabla14[[#This Row],[DIAS HABILES O MORA]]&lt;0,(Tabla14[[#This Row],[VALOR PRESTAMO]]*Tabla14[[#This Row],[% INTERES ]]/30*U2975))+Tabla14[[#This Row],[VALOR CUOTAS]]</f>
        <v>#VALUE!</v>
      </c>
      <c r="S2975" s="88">
        <f>-IF(Tabla14[[#This Row],[DIAS HABILES O MORA]]&lt;0,(Tabla14[[#This Row],[VALOR PRESTAMO]]*Tabla14[[#This Row],[% INTERES ]]/30*U2975))</f>
        <v>0</v>
      </c>
      <c r="T2975" s="53" t="e">
        <f>Tabla14[[#This Row],[DEUDA CAPITAL]]+Tabla14[[#This Row],[INTERES  CUOTA]]</f>
        <v>#NUM!</v>
      </c>
      <c r="U2975" s="61" t="str">
        <f t="shared" si="479"/>
        <v/>
      </c>
    </row>
    <row r="2976" spans="9:21" ht="24.75" customHeight="1" x14ac:dyDescent="0.35">
      <c r="I2976" s="42">
        <f t="shared" si="470"/>
        <v>0</v>
      </c>
      <c r="J2976" s="65" t="e">
        <f t="shared" si="471"/>
        <v>#NUM!</v>
      </c>
      <c r="K2976" s="83" t="e">
        <f t="shared" si="472"/>
        <v>#NUM!</v>
      </c>
      <c r="L2976" s="83">
        <f t="shared" si="473"/>
        <v>0</v>
      </c>
      <c r="M2976" s="110" t="str">
        <f t="shared" si="474"/>
        <v/>
      </c>
      <c r="N2976" s="51" t="str">
        <f t="shared" si="475"/>
        <v/>
      </c>
      <c r="O2976" s="52" t="str">
        <f t="shared" si="476"/>
        <v/>
      </c>
      <c r="P2976" s="88">
        <f t="shared" si="477"/>
        <v>0</v>
      </c>
      <c r="Q2976" s="88">
        <f t="shared" si="478"/>
        <v>0</v>
      </c>
      <c r="R2976" s="88" t="e">
        <f>-IF(Tabla14[[#This Row],[DIAS HABILES O MORA]]&lt;0,(Tabla14[[#This Row],[VALOR PRESTAMO]]*Tabla14[[#This Row],[% INTERES ]]/30*U2976))+Tabla14[[#This Row],[VALOR CUOTAS]]</f>
        <v>#VALUE!</v>
      </c>
      <c r="S2976" s="88">
        <f>-IF(Tabla14[[#This Row],[DIAS HABILES O MORA]]&lt;0,(Tabla14[[#This Row],[VALOR PRESTAMO]]*Tabla14[[#This Row],[% INTERES ]]/30*U2976))</f>
        <v>0</v>
      </c>
      <c r="T2976" s="53" t="e">
        <f>Tabla14[[#This Row],[DEUDA CAPITAL]]+Tabla14[[#This Row],[INTERES  CUOTA]]</f>
        <v>#NUM!</v>
      </c>
      <c r="U2976" s="61" t="str">
        <f t="shared" si="479"/>
        <v/>
      </c>
    </row>
    <row r="2977" spans="9:21" ht="24.75" customHeight="1" x14ac:dyDescent="0.35">
      <c r="I2977" s="42">
        <f t="shared" si="470"/>
        <v>0</v>
      </c>
      <c r="J2977" s="65" t="e">
        <f t="shared" si="471"/>
        <v>#NUM!</v>
      </c>
      <c r="K2977" s="83" t="e">
        <f t="shared" si="472"/>
        <v>#NUM!</v>
      </c>
      <c r="L2977" s="83">
        <f t="shared" si="473"/>
        <v>0</v>
      </c>
      <c r="M2977" s="110" t="str">
        <f t="shared" si="474"/>
        <v/>
      </c>
      <c r="N2977" s="51" t="str">
        <f t="shared" si="475"/>
        <v/>
      </c>
      <c r="O2977" s="52" t="str">
        <f t="shared" si="476"/>
        <v/>
      </c>
      <c r="P2977" s="88">
        <f t="shared" si="477"/>
        <v>0</v>
      </c>
      <c r="Q2977" s="88">
        <f t="shared" si="478"/>
        <v>0</v>
      </c>
      <c r="R2977" s="88" t="e">
        <f>-IF(Tabla14[[#This Row],[DIAS HABILES O MORA]]&lt;0,(Tabla14[[#This Row],[VALOR PRESTAMO]]*Tabla14[[#This Row],[% INTERES ]]/30*U2977))+Tabla14[[#This Row],[VALOR CUOTAS]]</f>
        <v>#VALUE!</v>
      </c>
      <c r="S2977" s="88">
        <f>-IF(Tabla14[[#This Row],[DIAS HABILES O MORA]]&lt;0,(Tabla14[[#This Row],[VALOR PRESTAMO]]*Tabla14[[#This Row],[% INTERES ]]/30*U2977))</f>
        <v>0</v>
      </c>
      <c r="T2977" s="53" t="e">
        <f>Tabla14[[#This Row],[DEUDA CAPITAL]]+Tabla14[[#This Row],[INTERES  CUOTA]]</f>
        <v>#NUM!</v>
      </c>
      <c r="U2977" s="61" t="str">
        <f t="shared" si="479"/>
        <v/>
      </c>
    </row>
    <row r="2978" spans="9:21" ht="24.75" customHeight="1" x14ac:dyDescent="0.35">
      <c r="I2978" s="42">
        <f t="shared" si="470"/>
        <v>0</v>
      </c>
      <c r="J2978" s="65" t="e">
        <f t="shared" si="471"/>
        <v>#NUM!</v>
      </c>
      <c r="K2978" s="83" t="e">
        <f t="shared" si="472"/>
        <v>#NUM!</v>
      </c>
      <c r="L2978" s="83">
        <f t="shared" si="473"/>
        <v>0</v>
      </c>
      <c r="M2978" s="110" t="str">
        <f t="shared" si="474"/>
        <v/>
      </c>
      <c r="N2978" s="51" t="str">
        <f t="shared" si="475"/>
        <v/>
      </c>
      <c r="O2978" s="52" t="str">
        <f t="shared" si="476"/>
        <v/>
      </c>
      <c r="P2978" s="88">
        <f t="shared" si="477"/>
        <v>0</v>
      </c>
      <c r="Q2978" s="88">
        <f t="shared" si="478"/>
        <v>0</v>
      </c>
      <c r="R2978" s="88" t="e">
        <f>-IF(Tabla14[[#This Row],[DIAS HABILES O MORA]]&lt;0,(Tabla14[[#This Row],[VALOR PRESTAMO]]*Tabla14[[#This Row],[% INTERES ]]/30*U2978))+Tabla14[[#This Row],[VALOR CUOTAS]]</f>
        <v>#VALUE!</v>
      </c>
      <c r="S2978" s="88">
        <f>-IF(Tabla14[[#This Row],[DIAS HABILES O MORA]]&lt;0,(Tabla14[[#This Row],[VALOR PRESTAMO]]*Tabla14[[#This Row],[% INTERES ]]/30*U2978))</f>
        <v>0</v>
      </c>
      <c r="T2978" s="53" t="e">
        <f>Tabla14[[#This Row],[DEUDA CAPITAL]]+Tabla14[[#This Row],[INTERES  CUOTA]]</f>
        <v>#NUM!</v>
      </c>
      <c r="U2978" s="61" t="str">
        <f t="shared" si="479"/>
        <v/>
      </c>
    </row>
    <row r="2979" spans="9:21" ht="24.75" customHeight="1" x14ac:dyDescent="0.35">
      <c r="I2979" s="42">
        <f t="shared" si="470"/>
        <v>0</v>
      </c>
      <c r="J2979" s="65" t="e">
        <f t="shared" si="471"/>
        <v>#NUM!</v>
      </c>
      <c r="K2979" s="83" t="e">
        <f t="shared" si="472"/>
        <v>#NUM!</v>
      </c>
      <c r="L2979" s="83">
        <f t="shared" si="473"/>
        <v>0</v>
      </c>
      <c r="M2979" s="110" t="str">
        <f t="shared" si="474"/>
        <v/>
      </c>
      <c r="N2979" s="51" t="str">
        <f t="shared" si="475"/>
        <v/>
      </c>
      <c r="O2979" s="52" t="str">
        <f t="shared" si="476"/>
        <v/>
      </c>
      <c r="P2979" s="88">
        <f t="shared" si="477"/>
        <v>0</v>
      </c>
      <c r="Q2979" s="88">
        <f t="shared" si="478"/>
        <v>0</v>
      </c>
      <c r="R2979" s="88" t="e">
        <f>-IF(Tabla14[[#This Row],[DIAS HABILES O MORA]]&lt;0,(Tabla14[[#This Row],[VALOR PRESTAMO]]*Tabla14[[#This Row],[% INTERES ]]/30*U2979))+Tabla14[[#This Row],[VALOR CUOTAS]]</f>
        <v>#VALUE!</v>
      </c>
      <c r="S2979" s="88">
        <f>-IF(Tabla14[[#This Row],[DIAS HABILES O MORA]]&lt;0,(Tabla14[[#This Row],[VALOR PRESTAMO]]*Tabla14[[#This Row],[% INTERES ]]/30*U2979))</f>
        <v>0</v>
      </c>
      <c r="T2979" s="53" t="e">
        <f>Tabla14[[#This Row],[DEUDA CAPITAL]]+Tabla14[[#This Row],[INTERES  CUOTA]]</f>
        <v>#NUM!</v>
      </c>
      <c r="U2979" s="61" t="str">
        <f t="shared" si="479"/>
        <v/>
      </c>
    </row>
    <row r="2980" spans="9:21" ht="24.75" customHeight="1" x14ac:dyDescent="0.35">
      <c r="I2980" s="42">
        <f t="shared" si="470"/>
        <v>0</v>
      </c>
      <c r="J2980" s="65" t="e">
        <f t="shared" si="471"/>
        <v>#NUM!</v>
      </c>
      <c r="K2980" s="83" t="e">
        <f t="shared" si="472"/>
        <v>#NUM!</v>
      </c>
      <c r="L2980" s="83">
        <f t="shared" si="473"/>
        <v>0</v>
      </c>
      <c r="M2980" s="110" t="str">
        <f t="shared" si="474"/>
        <v/>
      </c>
      <c r="N2980" s="51" t="str">
        <f t="shared" si="475"/>
        <v/>
      </c>
      <c r="O2980" s="52" t="str">
        <f t="shared" si="476"/>
        <v/>
      </c>
      <c r="P2980" s="88">
        <f t="shared" si="477"/>
        <v>0</v>
      </c>
      <c r="Q2980" s="88">
        <f t="shared" si="478"/>
        <v>0</v>
      </c>
      <c r="R2980" s="88" t="e">
        <f>-IF(Tabla14[[#This Row],[DIAS HABILES O MORA]]&lt;0,(Tabla14[[#This Row],[VALOR PRESTAMO]]*Tabla14[[#This Row],[% INTERES ]]/30*U2980))+Tabla14[[#This Row],[VALOR CUOTAS]]</f>
        <v>#VALUE!</v>
      </c>
      <c r="S2980" s="88">
        <f>-IF(Tabla14[[#This Row],[DIAS HABILES O MORA]]&lt;0,(Tabla14[[#This Row],[VALOR PRESTAMO]]*Tabla14[[#This Row],[% INTERES ]]/30*U2980))</f>
        <v>0</v>
      </c>
      <c r="T2980" s="53" t="e">
        <f>Tabla14[[#This Row],[DEUDA CAPITAL]]+Tabla14[[#This Row],[INTERES  CUOTA]]</f>
        <v>#NUM!</v>
      </c>
      <c r="U2980" s="61" t="str">
        <f t="shared" si="479"/>
        <v/>
      </c>
    </row>
    <row r="2981" spans="9:21" ht="24.75" customHeight="1" x14ac:dyDescent="0.35">
      <c r="I2981" s="42">
        <f t="shared" si="470"/>
        <v>0</v>
      </c>
      <c r="J2981" s="65" t="e">
        <f t="shared" si="471"/>
        <v>#NUM!</v>
      </c>
      <c r="K2981" s="83" t="e">
        <f t="shared" si="472"/>
        <v>#NUM!</v>
      </c>
      <c r="L2981" s="83">
        <f t="shared" si="473"/>
        <v>0</v>
      </c>
      <c r="M2981" s="110" t="str">
        <f t="shared" si="474"/>
        <v/>
      </c>
      <c r="N2981" s="51" t="str">
        <f t="shared" si="475"/>
        <v/>
      </c>
      <c r="O2981" s="52" t="str">
        <f t="shared" si="476"/>
        <v/>
      </c>
      <c r="P2981" s="88">
        <f t="shared" si="477"/>
        <v>0</v>
      </c>
      <c r="Q2981" s="88">
        <f t="shared" si="478"/>
        <v>0</v>
      </c>
      <c r="R2981" s="88" t="e">
        <f>-IF(Tabla14[[#This Row],[DIAS HABILES O MORA]]&lt;0,(Tabla14[[#This Row],[VALOR PRESTAMO]]*Tabla14[[#This Row],[% INTERES ]]/30*U2981))+Tabla14[[#This Row],[VALOR CUOTAS]]</f>
        <v>#VALUE!</v>
      </c>
      <c r="S2981" s="88">
        <f>-IF(Tabla14[[#This Row],[DIAS HABILES O MORA]]&lt;0,(Tabla14[[#This Row],[VALOR PRESTAMO]]*Tabla14[[#This Row],[% INTERES ]]/30*U2981))</f>
        <v>0</v>
      </c>
      <c r="T2981" s="53" t="e">
        <f>Tabla14[[#This Row],[DEUDA CAPITAL]]+Tabla14[[#This Row],[INTERES  CUOTA]]</f>
        <v>#NUM!</v>
      </c>
      <c r="U2981" s="61" t="str">
        <f t="shared" si="479"/>
        <v/>
      </c>
    </row>
    <row r="2982" spans="9:21" ht="24.75" customHeight="1" x14ac:dyDescent="0.35">
      <c r="I2982" s="42">
        <f t="shared" si="470"/>
        <v>0</v>
      </c>
      <c r="J2982" s="65" t="e">
        <f t="shared" si="471"/>
        <v>#NUM!</v>
      </c>
      <c r="K2982" s="83" t="e">
        <f t="shared" si="472"/>
        <v>#NUM!</v>
      </c>
      <c r="L2982" s="83">
        <f t="shared" si="473"/>
        <v>0</v>
      </c>
      <c r="M2982" s="110" t="str">
        <f t="shared" si="474"/>
        <v/>
      </c>
      <c r="N2982" s="51" t="str">
        <f t="shared" si="475"/>
        <v/>
      </c>
      <c r="O2982" s="52" t="str">
        <f t="shared" si="476"/>
        <v/>
      </c>
      <c r="P2982" s="88">
        <f t="shared" si="477"/>
        <v>0</v>
      </c>
      <c r="Q2982" s="88">
        <f t="shared" si="478"/>
        <v>0</v>
      </c>
      <c r="R2982" s="88" t="e">
        <f>-IF(Tabla14[[#This Row],[DIAS HABILES O MORA]]&lt;0,(Tabla14[[#This Row],[VALOR PRESTAMO]]*Tabla14[[#This Row],[% INTERES ]]/30*U2982))+Tabla14[[#This Row],[VALOR CUOTAS]]</f>
        <v>#VALUE!</v>
      </c>
      <c r="S2982" s="88">
        <f>-IF(Tabla14[[#This Row],[DIAS HABILES O MORA]]&lt;0,(Tabla14[[#This Row],[VALOR PRESTAMO]]*Tabla14[[#This Row],[% INTERES ]]/30*U2982))</f>
        <v>0</v>
      </c>
      <c r="T2982" s="53" t="e">
        <f>Tabla14[[#This Row],[DEUDA CAPITAL]]+Tabla14[[#This Row],[INTERES  CUOTA]]</f>
        <v>#NUM!</v>
      </c>
      <c r="U2982" s="61" t="str">
        <f t="shared" si="479"/>
        <v/>
      </c>
    </row>
    <row r="2983" spans="9:21" ht="24.75" customHeight="1" x14ac:dyDescent="0.35">
      <c r="I2983" s="42">
        <f t="shared" si="470"/>
        <v>0</v>
      </c>
      <c r="J2983" s="65" t="e">
        <f t="shared" si="471"/>
        <v>#NUM!</v>
      </c>
      <c r="K2983" s="83" t="e">
        <f t="shared" si="472"/>
        <v>#NUM!</v>
      </c>
      <c r="L2983" s="83">
        <f t="shared" si="473"/>
        <v>0</v>
      </c>
      <c r="M2983" s="110" t="str">
        <f t="shared" si="474"/>
        <v/>
      </c>
      <c r="N2983" s="51" t="str">
        <f t="shared" si="475"/>
        <v/>
      </c>
      <c r="O2983" s="52" t="str">
        <f t="shared" si="476"/>
        <v/>
      </c>
      <c r="P2983" s="88">
        <f t="shared" si="477"/>
        <v>0</v>
      </c>
      <c r="Q2983" s="88">
        <f t="shared" si="478"/>
        <v>0</v>
      </c>
      <c r="R2983" s="88" t="e">
        <f>-IF(Tabla14[[#This Row],[DIAS HABILES O MORA]]&lt;0,(Tabla14[[#This Row],[VALOR PRESTAMO]]*Tabla14[[#This Row],[% INTERES ]]/30*U2983))+Tabla14[[#This Row],[VALOR CUOTAS]]</f>
        <v>#VALUE!</v>
      </c>
      <c r="S2983" s="88">
        <f>-IF(Tabla14[[#This Row],[DIAS HABILES O MORA]]&lt;0,(Tabla14[[#This Row],[VALOR PRESTAMO]]*Tabla14[[#This Row],[% INTERES ]]/30*U2983))</f>
        <v>0</v>
      </c>
      <c r="T2983" s="53" t="e">
        <f>Tabla14[[#This Row],[DEUDA CAPITAL]]+Tabla14[[#This Row],[INTERES  CUOTA]]</f>
        <v>#NUM!</v>
      </c>
      <c r="U2983" s="61" t="str">
        <f t="shared" si="479"/>
        <v/>
      </c>
    </row>
    <row r="2984" spans="9:21" ht="24.75" customHeight="1" x14ac:dyDescent="0.35">
      <c r="I2984" s="42">
        <f t="shared" si="470"/>
        <v>0</v>
      </c>
      <c r="J2984" s="65" t="e">
        <f t="shared" si="471"/>
        <v>#NUM!</v>
      </c>
      <c r="K2984" s="83" t="e">
        <f t="shared" si="472"/>
        <v>#NUM!</v>
      </c>
      <c r="L2984" s="83">
        <f t="shared" si="473"/>
        <v>0</v>
      </c>
      <c r="M2984" s="110" t="str">
        <f t="shared" si="474"/>
        <v/>
      </c>
      <c r="N2984" s="51" t="str">
        <f t="shared" si="475"/>
        <v/>
      </c>
      <c r="O2984" s="52" t="str">
        <f t="shared" si="476"/>
        <v/>
      </c>
      <c r="P2984" s="88">
        <f t="shared" si="477"/>
        <v>0</v>
      </c>
      <c r="Q2984" s="88">
        <f t="shared" si="478"/>
        <v>0</v>
      </c>
      <c r="R2984" s="88" t="e">
        <f>-IF(Tabla14[[#This Row],[DIAS HABILES O MORA]]&lt;0,(Tabla14[[#This Row],[VALOR PRESTAMO]]*Tabla14[[#This Row],[% INTERES ]]/30*U2984))+Tabla14[[#This Row],[VALOR CUOTAS]]</f>
        <v>#VALUE!</v>
      </c>
      <c r="S2984" s="88">
        <f>-IF(Tabla14[[#This Row],[DIAS HABILES O MORA]]&lt;0,(Tabla14[[#This Row],[VALOR PRESTAMO]]*Tabla14[[#This Row],[% INTERES ]]/30*U2984))</f>
        <v>0</v>
      </c>
      <c r="T2984" s="53" t="e">
        <f>Tabla14[[#This Row],[DEUDA CAPITAL]]+Tabla14[[#This Row],[INTERES  CUOTA]]</f>
        <v>#NUM!</v>
      </c>
      <c r="U2984" s="61" t="str">
        <f t="shared" si="479"/>
        <v/>
      </c>
    </row>
    <row r="2985" spans="9:21" ht="24.75" customHeight="1" x14ac:dyDescent="0.35">
      <c r="I2985" s="42">
        <f t="shared" si="470"/>
        <v>0</v>
      </c>
      <c r="J2985" s="65" t="e">
        <f t="shared" si="471"/>
        <v>#NUM!</v>
      </c>
      <c r="K2985" s="83" t="e">
        <f t="shared" si="472"/>
        <v>#NUM!</v>
      </c>
      <c r="L2985" s="83">
        <f t="shared" si="473"/>
        <v>0</v>
      </c>
      <c r="M2985" s="110" t="str">
        <f t="shared" si="474"/>
        <v/>
      </c>
      <c r="N2985" s="51" t="str">
        <f t="shared" si="475"/>
        <v/>
      </c>
      <c r="O2985" s="52" t="str">
        <f t="shared" si="476"/>
        <v/>
      </c>
      <c r="P2985" s="88">
        <f t="shared" si="477"/>
        <v>0</v>
      </c>
      <c r="Q2985" s="88">
        <f t="shared" si="478"/>
        <v>0</v>
      </c>
      <c r="R2985" s="88" t="e">
        <f>-IF(Tabla14[[#This Row],[DIAS HABILES O MORA]]&lt;0,(Tabla14[[#This Row],[VALOR PRESTAMO]]*Tabla14[[#This Row],[% INTERES ]]/30*U2985))+Tabla14[[#This Row],[VALOR CUOTAS]]</f>
        <v>#VALUE!</v>
      </c>
      <c r="S2985" s="88">
        <f>-IF(Tabla14[[#This Row],[DIAS HABILES O MORA]]&lt;0,(Tabla14[[#This Row],[VALOR PRESTAMO]]*Tabla14[[#This Row],[% INTERES ]]/30*U2985))</f>
        <v>0</v>
      </c>
      <c r="T2985" s="53" t="e">
        <f>Tabla14[[#This Row],[DEUDA CAPITAL]]+Tabla14[[#This Row],[INTERES  CUOTA]]</f>
        <v>#NUM!</v>
      </c>
      <c r="U2985" s="61" t="str">
        <f t="shared" si="479"/>
        <v/>
      </c>
    </row>
    <row r="2986" spans="9:21" ht="24.75" customHeight="1" x14ac:dyDescent="0.35">
      <c r="I2986" s="42">
        <f t="shared" si="470"/>
        <v>0</v>
      </c>
      <c r="J2986" s="65" t="e">
        <f t="shared" si="471"/>
        <v>#NUM!</v>
      </c>
      <c r="K2986" s="83" t="e">
        <f t="shared" si="472"/>
        <v>#NUM!</v>
      </c>
      <c r="L2986" s="83">
        <f t="shared" si="473"/>
        <v>0</v>
      </c>
      <c r="M2986" s="110" t="str">
        <f t="shared" si="474"/>
        <v/>
      </c>
      <c r="N2986" s="51" t="str">
        <f t="shared" si="475"/>
        <v/>
      </c>
      <c r="O2986" s="52" t="str">
        <f t="shared" si="476"/>
        <v/>
      </c>
      <c r="P2986" s="88">
        <f t="shared" si="477"/>
        <v>0</v>
      </c>
      <c r="Q2986" s="88">
        <f t="shared" si="478"/>
        <v>0</v>
      </c>
      <c r="R2986" s="88" t="e">
        <f>-IF(Tabla14[[#This Row],[DIAS HABILES O MORA]]&lt;0,(Tabla14[[#This Row],[VALOR PRESTAMO]]*Tabla14[[#This Row],[% INTERES ]]/30*U2986))+Tabla14[[#This Row],[VALOR CUOTAS]]</f>
        <v>#VALUE!</v>
      </c>
      <c r="S2986" s="88">
        <f>-IF(Tabla14[[#This Row],[DIAS HABILES O MORA]]&lt;0,(Tabla14[[#This Row],[VALOR PRESTAMO]]*Tabla14[[#This Row],[% INTERES ]]/30*U2986))</f>
        <v>0</v>
      </c>
      <c r="T2986" s="53" t="e">
        <f>Tabla14[[#This Row],[DEUDA CAPITAL]]+Tabla14[[#This Row],[INTERES  CUOTA]]</f>
        <v>#NUM!</v>
      </c>
      <c r="U2986" s="61" t="str">
        <f t="shared" si="479"/>
        <v/>
      </c>
    </row>
    <row r="2987" spans="9:21" ht="24.75" customHeight="1" x14ac:dyDescent="0.35">
      <c r="I2987" s="42">
        <f t="shared" si="470"/>
        <v>0</v>
      </c>
      <c r="J2987" s="65" t="e">
        <f t="shared" si="471"/>
        <v>#NUM!</v>
      </c>
      <c r="K2987" s="83" t="e">
        <f t="shared" si="472"/>
        <v>#NUM!</v>
      </c>
      <c r="L2987" s="83">
        <f t="shared" si="473"/>
        <v>0</v>
      </c>
      <c r="M2987" s="110" t="str">
        <f t="shared" si="474"/>
        <v/>
      </c>
      <c r="N2987" s="51" t="str">
        <f t="shared" si="475"/>
        <v/>
      </c>
      <c r="O2987" s="52" t="str">
        <f t="shared" si="476"/>
        <v/>
      </c>
      <c r="P2987" s="88">
        <f t="shared" si="477"/>
        <v>0</v>
      </c>
      <c r="Q2987" s="88">
        <f t="shared" si="478"/>
        <v>0</v>
      </c>
      <c r="R2987" s="88" t="e">
        <f>-IF(Tabla14[[#This Row],[DIAS HABILES O MORA]]&lt;0,(Tabla14[[#This Row],[VALOR PRESTAMO]]*Tabla14[[#This Row],[% INTERES ]]/30*U2987))+Tabla14[[#This Row],[VALOR CUOTAS]]</f>
        <v>#VALUE!</v>
      </c>
      <c r="S2987" s="88">
        <f>-IF(Tabla14[[#This Row],[DIAS HABILES O MORA]]&lt;0,(Tabla14[[#This Row],[VALOR PRESTAMO]]*Tabla14[[#This Row],[% INTERES ]]/30*U2987))</f>
        <v>0</v>
      </c>
      <c r="T2987" s="53" t="e">
        <f>Tabla14[[#This Row],[DEUDA CAPITAL]]+Tabla14[[#This Row],[INTERES  CUOTA]]</f>
        <v>#NUM!</v>
      </c>
      <c r="U2987" s="61" t="str">
        <f t="shared" si="479"/>
        <v/>
      </c>
    </row>
    <row r="2988" spans="9:21" ht="24.75" customHeight="1" x14ac:dyDescent="0.35">
      <c r="I2988" s="42">
        <f t="shared" si="470"/>
        <v>0</v>
      </c>
      <c r="J2988" s="65" t="e">
        <f t="shared" si="471"/>
        <v>#NUM!</v>
      </c>
      <c r="K2988" s="83" t="e">
        <f t="shared" si="472"/>
        <v>#NUM!</v>
      </c>
      <c r="L2988" s="83">
        <f t="shared" si="473"/>
        <v>0</v>
      </c>
      <c r="M2988" s="110" t="str">
        <f t="shared" si="474"/>
        <v/>
      </c>
      <c r="N2988" s="51" t="str">
        <f t="shared" si="475"/>
        <v/>
      </c>
      <c r="O2988" s="52" t="str">
        <f t="shared" si="476"/>
        <v/>
      </c>
      <c r="P2988" s="88">
        <f t="shared" si="477"/>
        <v>0</v>
      </c>
      <c r="Q2988" s="88">
        <f t="shared" si="478"/>
        <v>0</v>
      </c>
      <c r="R2988" s="88" t="e">
        <f>-IF(Tabla14[[#This Row],[DIAS HABILES O MORA]]&lt;0,(Tabla14[[#This Row],[VALOR PRESTAMO]]*Tabla14[[#This Row],[% INTERES ]]/30*U2988))+Tabla14[[#This Row],[VALOR CUOTAS]]</f>
        <v>#VALUE!</v>
      </c>
      <c r="S2988" s="88">
        <f>-IF(Tabla14[[#This Row],[DIAS HABILES O MORA]]&lt;0,(Tabla14[[#This Row],[VALOR PRESTAMO]]*Tabla14[[#This Row],[% INTERES ]]/30*U2988))</f>
        <v>0</v>
      </c>
      <c r="T2988" s="53" t="e">
        <f>Tabla14[[#This Row],[DEUDA CAPITAL]]+Tabla14[[#This Row],[INTERES  CUOTA]]</f>
        <v>#NUM!</v>
      </c>
      <c r="U2988" s="61" t="str">
        <f t="shared" si="479"/>
        <v/>
      </c>
    </row>
    <row r="2989" spans="9:21" ht="24.75" customHeight="1" x14ac:dyDescent="0.35">
      <c r="I2989" s="42">
        <f t="shared" si="470"/>
        <v>0</v>
      </c>
      <c r="J2989" s="65" t="e">
        <f t="shared" si="471"/>
        <v>#NUM!</v>
      </c>
      <c r="K2989" s="83" t="e">
        <f t="shared" si="472"/>
        <v>#NUM!</v>
      </c>
      <c r="L2989" s="83">
        <f t="shared" si="473"/>
        <v>0</v>
      </c>
      <c r="M2989" s="110" t="str">
        <f t="shared" si="474"/>
        <v/>
      </c>
      <c r="N2989" s="51" t="str">
        <f t="shared" si="475"/>
        <v/>
      </c>
      <c r="O2989" s="52" t="str">
        <f t="shared" si="476"/>
        <v/>
      </c>
      <c r="P2989" s="88">
        <f t="shared" si="477"/>
        <v>0</v>
      </c>
      <c r="Q2989" s="88">
        <f t="shared" si="478"/>
        <v>0</v>
      </c>
      <c r="R2989" s="88" t="e">
        <f>-IF(Tabla14[[#This Row],[DIAS HABILES O MORA]]&lt;0,(Tabla14[[#This Row],[VALOR PRESTAMO]]*Tabla14[[#This Row],[% INTERES ]]/30*U2989))+Tabla14[[#This Row],[VALOR CUOTAS]]</f>
        <v>#VALUE!</v>
      </c>
      <c r="S2989" s="88">
        <f>-IF(Tabla14[[#This Row],[DIAS HABILES O MORA]]&lt;0,(Tabla14[[#This Row],[VALOR PRESTAMO]]*Tabla14[[#This Row],[% INTERES ]]/30*U2989))</f>
        <v>0</v>
      </c>
      <c r="T2989" s="53" t="e">
        <f>Tabla14[[#This Row],[DEUDA CAPITAL]]+Tabla14[[#This Row],[INTERES  CUOTA]]</f>
        <v>#NUM!</v>
      </c>
      <c r="U2989" s="61" t="str">
        <f t="shared" si="479"/>
        <v/>
      </c>
    </row>
    <row r="2990" spans="9:21" ht="24.75" customHeight="1" x14ac:dyDescent="0.35">
      <c r="I2990" s="42">
        <f t="shared" si="470"/>
        <v>0</v>
      </c>
      <c r="J2990" s="65" t="e">
        <f t="shared" si="471"/>
        <v>#NUM!</v>
      </c>
      <c r="K2990" s="83" t="e">
        <f t="shared" si="472"/>
        <v>#NUM!</v>
      </c>
      <c r="L2990" s="83">
        <f t="shared" si="473"/>
        <v>0</v>
      </c>
      <c r="M2990" s="110" t="str">
        <f t="shared" si="474"/>
        <v/>
      </c>
      <c r="N2990" s="51" t="str">
        <f t="shared" si="475"/>
        <v/>
      </c>
      <c r="O2990" s="52" t="str">
        <f t="shared" si="476"/>
        <v/>
      </c>
      <c r="P2990" s="88">
        <f t="shared" si="477"/>
        <v>0</v>
      </c>
      <c r="Q2990" s="88">
        <f t="shared" si="478"/>
        <v>0</v>
      </c>
      <c r="R2990" s="88" t="e">
        <f>-IF(Tabla14[[#This Row],[DIAS HABILES O MORA]]&lt;0,(Tabla14[[#This Row],[VALOR PRESTAMO]]*Tabla14[[#This Row],[% INTERES ]]/30*U2990))+Tabla14[[#This Row],[VALOR CUOTAS]]</f>
        <v>#VALUE!</v>
      </c>
      <c r="S2990" s="88">
        <f>-IF(Tabla14[[#This Row],[DIAS HABILES O MORA]]&lt;0,(Tabla14[[#This Row],[VALOR PRESTAMO]]*Tabla14[[#This Row],[% INTERES ]]/30*U2990))</f>
        <v>0</v>
      </c>
      <c r="T2990" s="53" t="e">
        <f>Tabla14[[#This Row],[DEUDA CAPITAL]]+Tabla14[[#This Row],[INTERES  CUOTA]]</f>
        <v>#NUM!</v>
      </c>
      <c r="U2990" s="61" t="str">
        <f t="shared" si="479"/>
        <v/>
      </c>
    </row>
    <row r="2991" spans="9:21" ht="24.75" customHeight="1" x14ac:dyDescent="0.35">
      <c r="I2991" s="42">
        <f t="shared" si="470"/>
        <v>0</v>
      </c>
      <c r="J2991" s="65" t="e">
        <f t="shared" si="471"/>
        <v>#NUM!</v>
      </c>
      <c r="K2991" s="83" t="e">
        <f t="shared" si="472"/>
        <v>#NUM!</v>
      </c>
      <c r="L2991" s="83">
        <f t="shared" si="473"/>
        <v>0</v>
      </c>
      <c r="M2991" s="110" t="str">
        <f t="shared" si="474"/>
        <v/>
      </c>
      <c r="N2991" s="51" t="str">
        <f t="shared" si="475"/>
        <v/>
      </c>
      <c r="O2991" s="52" t="str">
        <f t="shared" si="476"/>
        <v/>
      </c>
      <c r="P2991" s="88">
        <f t="shared" si="477"/>
        <v>0</v>
      </c>
      <c r="Q2991" s="88">
        <f t="shared" si="478"/>
        <v>0</v>
      </c>
      <c r="R2991" s="88" t="e">
        <f>-IF(Tabla14[[#This Row],[DIAS HABILES O MORA]]&lt;0,(Tabla14[[#This Row],[VALOR PRESTAMO]]*Tabla14[[#This Row],[% INTERES ]]/30*U2991))+Tabla14[[#This Row],[VALOR CUOTAS]]</f>
        <v>#VALUE!</v>
      </c>
      <c r="S2991" s="88">
        <f>-IF(Tabla14[[#This Row],[DIAS HABILES O MORA]]&lt;0,(Tabla14[[#This Row],[VALOR PRESTAMO]]*Tabla14[[#This Row],[% INTERES ]]/30*U2991))</f>
        <v>0</v>
      </c>
      <c r="T2991" s="53" t="e">
        <f>Tabla14[[#This Row],[DEUDA CAPITAL]]+Tabla14[[#This Row],[INTERES  CUOTA]]</f>
        <v>#NUM!</v>
      </c>
      <c r="U2991" s="61" t="str">
        <f t="shared" si="479"/>
        <v/>
      </c>
    </row>
    <row r="2992" spans="9:21" ht="24.75" customHeight="1" x14ac:dyDescent="0.35">
      <c r="I2992" s="42">
        <f t="shared" si="470"/>
        <v>0</v>
      </c>
      <c r="J2992" s="65" t="e">
        <f t="shared" si="471"/>
        <v>#NUM!</v>
      </c>
      <c r="K2992" s="83" t="e">
        <f t="shared" si="472"/>
        <v>#NUM!</v>
      </c>
      <c r="L2992" s="83">
        <f t="shared" si="473"/>
        <v>0</v>
      </c>
      <c r="M2992" s="110" t="str">
        <f t="shared" si="474"/>
        <v/>
      </c>
      <c r="N2992" s="51" t="str">
        <f t="shared" si="475"/>
        <v/>
      </c>
      <c r="O2992" s="52" t="str">
        <f t="shared" si="476"/>
        <v/>
      </c>
      <c r="P2992" s="88">
        <f t="shared" si="477"/>
        <v>0</v>
      </c>
      <c r="Q2992" s="88">
        <f t="shared" si="478"/>
        <v>0</v>
      </c>
      <c r="R2992" s="88" t="e">
        <f>-IF(Tabla14[[#This Row],[DIAS HABILES O MORA]]&lt;0,(Tabla14[[#This Row],[VALOR PRESTAMO]]*Tabla14[[#This Row],[% INTERES ]]/30*U2992))+Tabla14[[#This Row],[VALOR CUOTAS]]</f>
        <v>#VALUE!</v>
      </c>
      <c r="S2992" s="88">
        <f>-IF(Tabla14[[#This Row],[DIAS HABILES O MORA]]&lt;0,(Tabla14[[#This Row],[VALOR PRESTAMO]]*Tabla14[[#This Row],[% INTERES ]]/30*U2992))</f>
        <v>0</v>
      </c>
      <c r="T2992" s="53" t="e">
        <f>Tabla14[[#This Row],[DEUDA CAPITAL]]+Tabla14[[#This Row],[INTERES  CUOTA]]</f>
        <v>#NUM!</v>
      </c>
      <c r="U2992" s="61" t="str">
        <f t="shared" si="479"/>
        <v/>
      </c>
    </row>
    <row r="2993" spans="9:21" ht="24.75" customHeight="1" x14ac:dyDescent="0.35">
      <c r="I2993" s="42">
        <f t="shared" si="470"/>
        <v>0</v>
      </c>
      <c r="J2993" s="65" t="e">
        <f t="shared" si="471"/>
        <v>#NUM!</v>
      </c>
      <c r="K2993" s="83" t="e">
        <f t="shared" si="472"/>
        <v>#NUM!</v>
      </c>
      <c r="L2993" s="83">
        <f t="shared" si="473"/>
        <v>0</v>
      </c>
      <c r="M2993" s="110" t="str">
        <f t="shared" si="474"/>
        <v/>
      </c>
      <c r="N2993" s="51" t="str">
        <f t="shared" si="475"/>
        <v/>
      </c>
      <c r="O2993" s="52" t="str">
        <f t="shared" si="476"/>
        <v/>
      </c>
      <c r="P2993" s="88">
        <f t="shared" si="477"/>
        <v>0</v>
      </c>
      <c r="Q2993" s="88">
        <f t="shared" si="478"/>
        <v>0</v>
      </c>
      <c r="R2993" s="88" t="e">
        <f>-IF(Tabla14[[#This Row],[DIAS HABILES O MORA]]&lt;0,(Tabla14[[#This Row],[VALOR PRESTAMO]]*Tabla14[[#This Row],[% INTERES ]]/30*U2993))+Tabla14[[#This Row],[VALOR CUOTAS]]</f>
        <v>#VALUE!</v>
      </c>
      <c r="S2993" s="88">
        <f>-IF(Tabla14[[#This Row],[DIAS HABILES O MORA]]&lt;0,(Tabla14[[#This Row],[VALOR PRESTAMO]]*Tabla14[[#This Row],[% INTERES ]]/30*U2993))</f>
        <v>0</v>
      </c>
      <c r="T2993" s="53" t="e">
        <f>Tabla14[[#This Row],[DEUDA CAPITAL]]+Tabla14[[#This Row],[INTERES  CUOTA]]</f>
        <v>#NUM!</v>
      </c>
      <c r="U2993" s="61" t="str">
        <f t="shared" si="479"/>
        <v/>
      </c>
    </row>
    <row r="2994" spans="9:21" ht="24.75" customHeight="1" x14ac:dyDescent="0.35">
      <c r="I2994" s="42">
        <f t="shared" si="470"/>
        <v>0</v>
      </c>
      <c r="J2994" s="65" t="e">
        <f t="shared" si="471"/>
        <v>#NUM!</v>
      </c>
      <c r="K2994" s="83" t="e">
        <f t="shared" si="472"/>
        <v>#NUM!</v>
      </c>
      <c r="L2994" s="83">
        <f t="shared" si="473"/>
        <v>0</v>
      </c>
      <c r="M2994" s="110" t="str">
        <f t="shared" si="474"/>
        <v/>
      </c>
      <c r="N2994" s="51" t="str">
        <f t="shared" si="475"/>
        <v/>
      </c>
      <c r="O2994" s="52" t="str">
        <f t="shared" si="476"/>
        <v/>
      </c>
      <c r="P2994" s="88">
        <f t="shared" si="477"/>
        <v>0</v>
      </c>
      <c r="Q2994" s="88">
        <f t="shared" si="478"/>
        <v>0</v>
      </c>
      <c r="R2994" s="88" t="e">
        <f>-IF(Tabla14[[#This Row],[DIAS HABILES O MORA]]&lt;0,(Tabla14[[#This Row],[VALOR PRESTAMO]]*Tabla14[[#This Row],[% INTERES ]]/30*U2994))+Tabla14[[#This Row],[VALOR CUOTAS]]</f>
        <v>#VALUE!</v>
      </c>
      <c r="S2994" s="88">
        <f>-IF(Tabla14[[#This Row],[DIAS HABILES O MORA]]&lt;0,(Tabla14[[#This Row],[VALOR PRESTAMO]]*Tabla14[[#This Row],[% INTERES ]]/30*U2994))</f>
        <v>0</v>
      </c>
      <c r="T2994" s="53" t="e">
        <f>Tabla14[[#This Row],[DEUDA CAPITAL]]+Tabla14[[#This Row],[INTERES  CUOTA]]</f>
        <v>#NUM!</v>
      </c>
      <c r="U2994" s="61" t="str">
        <f t="shared" si="479"/>
        <v/>
      </c>
    </row>
    <row r="2995" spans="9:21" ht="24.75" customHeight="1" x14ac:dyDescent="0.35">
      <c r="I2995" s="42">
        <f t="shared" si="470"/>
        <v>0</v>
      </c>
      <c r="J2995" s="65" t="e">
        <f t="shared" si="471"/>
        <v>#NUM!</v>
      </c>
      <c r="K2995" s="83" t="e">
        <f t="shared" si="472"/>
        <v>#NUM!</v>
      </c>
      <c r="L2995" s="83">
        <f t="shared" si="473"/>
        <v>0</v>
      </c>
      <c r="M2995" s="110" t="str">
        <f t="shared" si="474"/>
        <v/>
      </c>
      <c r="N2995" s="51" t="str">
        <f t="shared" si="475"/>
        <v/>
      </c>
      <c r="O2995" s="52" t="str">
        <f t="shared" si="476"/>
        <v/>
      </c>
      <c r="P2995" s="88">
        <f t="shared" si="477"/>
        <v>0</v>
      </c>
      <c r="Q2995" s="88">
        <f t="shared" si="478"/>
        <v>0</v>
      </c>
      <c r="R2995" s="88" t="e">
        <f>-IF(Tabla14[[#This Row],[DIAS HABILES O MORA]]&lt;0,(Tabla14[[#This Row],[VALOR PRESTAMO]]*Tabla14[[#This Row],[% INTERES ]]/30*U2995))+Tabla14[[#This Row],[VALOR CUOTAS]]</f>
        <v>#VALUE!</v>
      </c>
      <c r="S2995" s="88">
        <f>-IF(Tabla14[[#This Row],[DIAS HABILES O MORA]]&lt;0,(Tabla14[[#This Row],[VALOR PRESTAMO]]*Tabla14[[#This Row],[% INTERES ]]/30*U2995))</f>
        <v>0</v>
      </c>
      <c r="T2995" s="53" t="e">
        <f>Tabla14[[#This Row],[DEUDA CAPITAL]]+Tabla14[[#This Row],[INTERES  CUOTA]]</f>
        <v>#NUM!</v>
      </c>
      <c r="U2995" s="61" t="str">
        <f t="shared" si="479"/>
        <v/>
      </c>
    </row>
    <row r="2996" spans="9:21" ht="24.75" customHeight="1" x14ac:dyDescent="0.35">
      <c r="I2996" s="42">
        <f t="shared" si="470"/>
        <v>0</v>
      </c>
      <c r="J2996" s="65" t="e">
        <f t="shared" si="471"/>
        <v>#NUM!</v>
      </c>
      <c r="K2996" s="83" t="e">
        <f t="shared" si="472"/>
        <v>#NUM!</v>
      </c>
      <c r="L2996" s="83">
        <f t="shared" si="473"/>
        <v>0</v>
      </c>
      <c r="M2996" s="110" t="str">
        <f t="shared" si="474"/>
        <v/>
      </c>
      <c r="N2996" s="51" t="str">
        <f t="shared" si="475"/>
        <v/>
      </c>
      <c r="O2996" s="52" t="str">
        <f t="shared" si="476"/>
        <v/>
      </c>
      <c r="P2996" s="88">
        <f t="shared" si="477"/>
        <v>0</v>
      </c>
      <c r="Q2996" s="88">
        <f t="shared" si="478"/>
        <v>0</v>
      </c>
      <c r="R2996" s="88" t="e">
        <f>-IF(Tabla14[[#This Row],[DIAS HABILES O MORA]]&lt;0,(Tabla14[[#This Row],[VALOR PRESTAMO]]*Tabla14[[#This Row],[% INTERES ]]/30*U2996))+Tabla14[[#This Row],[VALOR CUOTAS]]</f>
        <v>#VALUE!</v>
      </c>
      <c r="S2996" s="88">
        <f>-IF(Tabla14[[#This Row],[DIAS HABILES O MORA]]&lt;0,(Tabla14[[#This Row],[VALOR PRESTAMO]]*Tabla14[[#This Row],[% INTERES ]]/30*U2996))</f>
        <v>0</v>
      </c>
      <c r="T2996" s="53" t="e">
        <f>Tabla14[[#This Row],[DEUDA CAPITAL]]+Tabla14[[#This Row],[INTERES  CUOTA]]</f>
        <v>#NUM!</v>
      </c>
      <c r="U2996" s="61" t="str">
        <f t="shared" si="479"/>
        <v/>
      </c>
    </row>
    <row r="2997" spans="9:21" ht="24.75" customHeight="1" x14ac:dyDescent="0.35">
      <c r="I2997" s="42">
        <f t="shared" si="470"/>
        <v>0</v>
      </c>
      <c r="J2997" s="65" t="e">
        <f t="shared" si="471"/>
        <v>#NUM!</v>
      </c>
      <c r="K2997" s="83" t="e">
        <f t="shared" si="472"/>
        <v>#NUM!</v>
      </c>
      <c r="L2997" s="83">
        <f t="shared" si="473"/>
        <v>0</v>
      </c>
      <c r="M2997" s="110" t="str">
        <f t="shared" si="474"/>
        <v/>
      </c>
      <c r="N2997" s="51" t="str">
        <f t="shared" si="475"/>
        <v/>
      </c>
      <c r="O2997" s="52" t="str">
        <f t="shared" si="476"/>
        <v/>
      </c>
      <c r="P2997" s="88">
        <f t="shared" si="477"/>
        <v>0</v>
      </c>
      <c r="Q2997" s="88">
        <f t="shared" si="478"/>
        <v>0</v>
      </c>
      <c r="R2997" s="88" t="e">
        <f>-IF(Tabla14[[#This Row],[DIAS HABILES O MORA]]&lt;0,(Tabla14[[#This Row],[VALOR PRESTAMO]]*Tabla14[[#This Row],[% INTERES ]]/30*U2997))+Tabla14[[#This Row],[VALOR CUOTAS]]</f>
        <v>#VALUE!</v>
      </c>
      <c r="S2997" s="88">
        <f>-IF(Tabla14[[#This Row],[DIAS HABILES O MORA]]&lt;0,(Tabla14[[#This Row],[VALOR PRESTAMO]]*Tabla14[[#This Row],[% INTERES ]]/30*U2997))</f>
        <v>0</v>
      </c>
      <c r="T2997" s="53" t="e">
        <f>Tabla14[[#This Row],[DEUDA CAPITAL]]+Tabla14[[#This Row],[INTERES  CUOTA]]</f>
        <v>#NUM!</v>
      </c>
      <c r="U2997" s="61" t="str">
        <f t="shared" si="479"/>
        <v/>
      </c>
    </row>
    <row r="2998" spans="9:21" ht="24.75" customHeight="1" x14ac:dyDescent="0.35">
      <c r="I2998" s="42">
        <f t="shared" si="470"/>
        <v>0</v>
      </c>
      <c r="J2998" s="65" t="e">
        <f t="shared" si="471"/>
        <v>#NUM!</v>
      </c>
      <c r="K2998" s="83" t="e">
        <f t="shared" si="472"/>
        <v>#NUM!</v>
      </c>
      <c r="L2998" s="83">
        <f t="shared" si="473"/>
        <v>0</v>
      </c>
      <c r="M2998" s="110" t="str">
        <f t="shared" si="474"/>
        <v/>
      </c>
      <c r="N2998" s="51" t="str">
        <f t="shared" si="475"/>
        <v/>
      </c>
      <c r="O2998" s="52" t="str">
        <f t="shared" si="476"/>
        <v/>
      </c>
      <c r="P2998" s="88">
        <f t="shared" si="477"/>
        <v>0</v>
      </c>
      <c r="Q2998" s="88">
        <f t="shared" si="478"/>
        <v>0</v>
      </c>
      <c r="R2998" s="88" t="e">
        <f>-IF(Tabla14[[#This Row],[DIAS HABILES O MORA]]&lt;0,(Tabla14[[#This Row],[VALOR PRESTAMO]]*Tabla14[[#This Row],[% INTERES ]]/30*U2998))+Tabla14[[#This Row],[VALOR CUOTAS]]</f>
        <v>#VALUE!</v>
      </c>
      <c r="S2998" s="88">
        <f>-IF(Tabla14[[#This Row],[DIAS HABILES O MORA]]&lt;0,(Tabla14[[#This Row],[VALOR PRESTAMO]]*Tabla14[[#This Row],[% INTERES ]]/30*U2998))</f>
        <v>0</v>
      </c>
      <c r="T2998" s="53" t="e">
        <f>Tabla14[[#This Row],[DEUDA CAPITAL]]+Tabla14[[#This Row],[INTERES  CUOTA]]</f>
        <v>#NUM!</v>
      </c>
      <c r="U2998" s="61" t="str">
        <f t="shared" si="479"/>
        <v/>
      </c>
    </row>
    <row r="2999" spans="9:21" ht="24.75" customHeight="1" x14ac:dyDescent="0.35">
      <c r="I2999" s="42">
        <f t="shared" si="470"/>
        <v>0</v>
      </c>
      <c r="J2999" s="65" t="e">
        <f t="shared" si="471"/>
        <v>#NUM!</v>
      </c>
      <c r="K2999" s="83" t="e">
        <f t="shared" si="472"/>
        <v>#NUM!</v>
      </c>
      <c r="L2999" s="83">
        <f t="shared" si="473"/>
        <v>0</v>
      </c>
      <c r="M2999" s="110" t="str">
        <f t="shared" si="474"/>
        <v/>
      </c>
      <c r="N2999" s="51" t="str">
        <f t="shared" si="475"/>
        <v/>
      </c>
      <c r="O2999" s="52" t="str">
        <f t="shared" si="476"/>
        <v/>
      </c>
      <c r="P2999" s="88">
        <f t="shared" si="477"/>
        <v>0</v>
      </c>
      <c r="Q2999" s="88">
        <f t="shared" si="478"/>
        <v>0</v>
      </c>
      <c r="R2999" s="88" t="e">
        <f>-IF(Tabla14[[#This Row],[DIAS HABILES O MORA]]&lt;0,(Tabla14[[#This Row],[VALOR PRESTAMO]]*Tabla14[[#This Row],[% INTERES ]]/30*U2999))+Tabla14[[#This Row],[VALOR CUOTAS]]</f>
        <v>#VALUE!</v>
      </c>
      <c r="S2999" s="88">
        <f>-IF(Tabla14[[#This Row],[DIAS HABILES O MORA]]&lt;0,(Tabla14[[#This Row],[VALOR PRESTAMO]]*Tabla14[[#This Row],[% INTERES ]]/30*U2999))</f>
        <v>0</v>
      </c>
      <c r="T2999" s="53" t="e">
        <f>Tabla14[[#This Row],[DEUDA CAPITAL]]+Tabla14[[#This Row],[INTERES  CUOTA]]</f>
        <v>#NUM!</v>
      </c>
      <c r="U2999" s="61" t="str">
        <f t="shared" si="479"/>
        <v/>
      </c>
    </row>
    <row r="3000" spans="9:21" ht="24.75" customHeight="1" x14ac:dyDescent="0.35">
      <c r="I3000" s="42">
        <f t="shared" si="470"/>
        <v>0</v>
      </c>
      <c r="J3000" s="65" t="e">
        <f t="shared" si="471"/>
        <v>#NUM!</v>
      </c>
      <c r="K3000" s="83" t="e">
        <f t="shared" si="472"/>
        <v>#NUM!</v>
      </c>
      <c r="L3000" s="83">
        <f t="shared" si="473"/>
        <v>0</v>
      </c>
      <c r="M3000" s="110" t="str">
        <f t="shared" si="474"/>
        <v/>
      </c>
      <c r="N3000" s="51" t="str">
        <f t="shared" si="475"/>
        <v/>
      </c>
      <c r="O3000" s="52" t="str">
        <f t="shared" si="476"/>
        <v/>
      </c>
      <c r="P3000" s="88">
        <f t="shared" si="477"/>
        <v>0</v>
      </c>
      <c r="Q3000" s="88">
        <f t="shared" si="478"/>
        <v>0</v>
      </c>
      <c r="R3000" s="88" t="e">
        <f>-IF(Tabla14[[#This Row],[DIAS HABILES O MORA]]&lt;0,(Tabla14[[#This Row],[VALOR PRESTAMO]]*Tabla14[[#This Row],[% INTERES ]]/30*U3000))+Tabla14[[#This Row],[VALOR CUOTAS]]</f>
        <v>#VALUE!</v>
      </c>
      <c r="S3000" s="88">
        <f>-IF(Tabla14[[#This Row],[DIAS HABILES O MORA]]&lt;0,(Tabla14[[#This Row],[VALOR PRESTAMO]]*Tabla14[[#This Row],[% INTERES ]]/30*U3000))</f>
        <v>0</v>
      </c>
      <c r="T3000" s="53" t="e">
        <f>Tabla14[[#This Row],[DEUDA CAPITAL]]+Tabla14[[#This Row],[INTERES  CUOTA]]</f>
        <v>#NUM!</v>
      </c>
      <c r="U3000" s="61" t="str">
        <f t="shared" si="479"/>
        <v/>
      </c>
    </row>
    <row r="3001" spans="9:21" ht="24.75" customHeight="1" x14ac:dyDescent="0.35">
      <c r="I3001" s="42">
        <f t="shared" si="470"/>
        <v>0</v>
      </c>
      <c r="J3001" s="65" t="e">
        <f t="shared" si="471"/>
        <v>#NUM!</v>
      </c>
      <c r="K3001" s="83" t="e">
        <f t="shared" si="472"/>
        <v>#NUM!</v>
      </c>
      <c r="L3001" s="83">
        <f t="shared" si="473"/>
        <v>0</v>
      </c>
      <c r="M3001" s="110" t="str">
        <f t="shared" si="474"/>
        <v/>
      </c>
      <c r="N3001" s="51" t="str">
        <f t="shared" si="475"/>
        <v/>
      </c>
      <c r="O3001" s="52" t="str">
        <f t="shared" si="476"/>
        <v/>
      </c>
      <c r="P3001" s="88">
        <f t="shared" si="477"/>
        <v>0</v>
      </c>
      <c r="Q3001" s="88">
        <f t="shared" si="478"/>
        <v>0</v>
      </c>
      <c r="R3001" s="88" t="e">
        <f>-IF(Tabla14[[#This Row],[DIAS HABILES O MORA]]&lt;0,(Tabla14[[#This Row],[VALOR PRESTAMO]]*Tabla14[[#This Row],[% INTERES ]]/30*U3001))+Tabla14[[#This Row],[VALOR CUOTAS]]</f>
        <v>#VALUE!</v>
      </c>
      <c r="S3001" s="88">
        <f>-IF(Tabla14[[#This Row],[DIAS HABILES O MORA]]&lt;0,(Tabla14[[#This Row],[VALOR PRESTAMO]]*Tabla14[[#This Row],[% INTERES ]]/30*U3001))</f>
        <v>0</v>
      </c>
      <c r="T3001" s="53" t="e">
        <f>Tabla14[[#This Row],[DEUDA CAPITAL]]+Tabla14[[#This Row],[INTERES  CUOTA]]</f>
        <v>#NUM!</v>
      </c>
      <c r="U3001" s="61" t="str">
        <f t="shared" si="479"/>
        <v/>
      </c>
    </row>
    <row r="3002" spans="9:21" ht="24.75" customHeight="1" x14ac:dyDescent="0.35">
      <c r="I3002" s="42">
        <f t="shared" si="470"/>
        <v>0</v>
      </c>
      <c r="J3002" s="65" t="e">
        <f t="shared" si="471"/>
        <v>#NUM!</v>
      </c>
      <c r="K3002" s="83" t="e">
        <f t="shared" si="472"/>
        <v>#NUM!</v>
      </c>
      <c r="L3002" s="83">
        <f t="shared" si="473"/>
        <v>0</v>
      </c>
      <c r="M3002" s="110" t="str">
        <f t="shared" si="474"/>
        <v/>
      </c>
      <c r="N3002" s="51" t="str">
        <f t="shared" si="475"/>
        <v/>
      </c>
      <c r="O3002" s="52" t="str">
        <f t="shared" si="476"/>
        <v/>
      </c>
      <c r="P3002" s="88">
        <f t="shared" si="477"/>
        <v>0</v>
      </c>
      <c r="Q3002" s="88">
        <f t="shared" si="478"/>
        <v>0</v>
      </c>
      <c r="R3002" s="88" t="e">
        <f>-IF(Tabla14[[#This Row],[DIAS HABILES O MORA]]&lt;0,(Tabla14[[#This Row],[VALOR PRESTAMO]]*Tabla14[[#This Row],[% INTERES ]]/30*U3002))+Tabla14[[#This Row],[VALOR CUOTAS]]</f>
        <v>#VALUE!</v>
      </c>
      <c r="S3002" s="88">
        <f>-IF(Tabla14[[#This Row],[DIAS HABILES O MORA]]&lt;0,(Tabla14[[#This Row],[VALOR PRESTAMO]]*Tabla14[[#This Row],[% INTERES ]]/30*U3002))</f>
        <v>0</v>
      </c>
      <c r="T3002" s="53" t="e">
        <f>Tabla14[[#This Row],[DEUDA CAPITAL]]+Tabla14[[#This Row],[INTERES  CUOTA]]</f>
        <v>#NUM!</v>
      </c>
      <c r="U3002" s="61" t="str">
        <f t="shared" si="479"/>
        <v/>
      </c>
    </row>
    <row r="3003" spans="9:21" ht="24.75" customHeight="1" x14ac:dyDescent="0.35">
      <c r="I3003" s="42">
        <f t="shared" si="470"/>
        <v>0</v>
      </c>
      <c r="J3003" s="65" t="e">
        <f t="shared" si="471"/>
        <v>#NUM!</v>
      </c>
      <c r="K3003" s="83" t="e">
        <f t="shared" si="472"/>
        <v>#NUM!</v>
      </c>
      <c r="L3003" s="83">
        <f t="shared" si="473"/>
        <v>0</v>
      </c>
      <c r="M3003" s="110" t="str">
        <f t="shared" si="474"/>
        <v/>
      </c>
      <c r="N3003" s="51" t="str">
        <f t="shared" si="475"/>
        <v/>
      </c>
      <c r="O3003" s="52" t="str">
        <f t="shared" si="476"/>
        <v/>
      </c>
      <c r="P3003" s="88">
        <f t="shared" si="477"/>
        <v>0</v>
      </c>
      <c r="Q3003" s="88">
        <f t="shared" si="478"/>
        <v>0</v>
      </c>
      <c r="R3003" s="88" t="e">
        <f>-IF(Tabla14[[#This Row],[DIAS HABILES O MORA]]&lt;0,(Tabla14[[#This Row],[VALOR PRESTAMO]]*Tabla14[[#This Row],[% INTERES ]]/30*U3003))+Tabla14[[#This Row],[VALOR CUOTAS]]</f>
        <v>#VALUE!</v>
      </c>
      <c r="S3003" s="88">
        <f>-IF(Tabla14[[#This Row],[DIAS HABILES O MORA]]&lt;0,(Tabla14[[#This Row],[VALOR PRESTAMO]]*Tabla14[[#This Row],[% INTERES ]]/30*U3003))</f>
        <v>0</v>
      </c>
      <c r="T3003" s="53" t="e">
        <f>Tabla14[[#This Row],[DEUDA CAPITAL]]+Tabla14[[#This Row],[INTERES  CUOTA]]</f>
        <v>#NUM!</v>
      </c>
      <c r="U3003" s="61" t="str">
        <f t="shared" si="479"/>
        <v/>
      </c>
    </row>
    <row r="3004" spans="9:21" ht="24.75" customHeight="1" x14ac:dyDescent="0.35">
      <c r="I3004" s="42">
        <f t="shared" si="470"/>
        <v>0</v>
      </c>
      <c r="J3004" s="65" t="e">
        <f t="shared" si="471"/>
        <v>#NUM!</v>
      </c>
      <c r="K3004" s="83" t="e">
        <f t="shared" si="472"/>
        <v>#NUM!</v>
      </c>
      <c r="L3004" s="83">
        <f t="shared" si="473"/>
        <v>0</v>
      </c>
      <c r="M3004" s="110" t="str">
        <f t="shared" si="474"/>
        <v/>
      </c>
      <c r="N3004" s="51" t="str">
        <f t="shared" si="475"/>
        <v/>
      </c>
      <c r="O3004" s="52" t="str">
        <f t="shared" si="476"/>
        <v/>
      </c>
      <c r="P3004" s="88">
        <f t="shared" si="477"/>
        <v>0</v>
      </c>
      <c r="Q3004" s="88">
        <f t="shared" si="478"/>
        <v>0</v>
      </c>
      <c r="R3004" s="88" t="e">
        <f>-IF(Tabla14[[#This Row],[DIAS HABILES O MORA]]&lt;0,(Tabla14[[#This Row],[VALOR PRESTAMO]]*Tabla14[[#This Row],[% INTERES ]]/30*U3004))+Tabla14[[#This Row],[VALOR CUOTAS]]</f>
        <v>#VALUE!</v>
      </c>
      <c r="S3004" s="88">
        <f>-IF(Tabla14[[#This Row],[DIAS HABILES O MORA]]&lt;0,(Tabla14[[#This Row],[VALOR PRESTAMO]]*Tabla14[[#This Row],[% INTERES ]]/30*U3004))</f>
        <v>0</v>
      </c>
      <c r="T3004" s="53" t="e">
        <f>Tabla14[[#This Row],[DEUDA CAPITAL]]+Tabla14[[#This Row],[INTERES  CUOTA]]</f>
        <v>#NUM!</v>
      </c>
      <c r="U3004" s="61" t="str">
        <f t="shared" si="479"/>
        <v/>
      </c>
    </row>
    <row r="3005" spans="9:21" ht="24.75" customHeight="1" x14ac:dyDescent="0.35">
      <c r="I3005" s="42">
        <f t="shared" si="470"/>
        <v>0</v>
      </c>
      <c r="J3005" s="65" t="e">
        <f t="shared" si="471"/>
        <v>#NUM!</v>
      </c>
      <c r="K3005" s="83" t="e">
        <f t="shared" si="472"/>
        <v>#NUM!</v>
      </c>
      <c r="L3005" s="83">
        <f t="shared" si="473"/>
        <v>0</v>
      </c>
      <c r="M3005" s="110" t="str">
        <f t="shared" si="474"/>
        <v/>
      </c>
      <c r="N3005" s="51" t="str">
        <f t="shared" si="475"/>
        <v/>
      </c>
      <c r="O3005" s="52" t="str">
        <f t="shared" si="476"/>
        <v/>
      </c>
      <c r="P3005" s="88">
        <f t="shared" si="477"/>
        <v>0</v>
      </c>
      <c r="Q3005" s="88">
        <f t="shared" si="478"/>
        <v>0</v>
      </c>
      <c r="R3005" s="88" t="e">
        <f>-IF(Tabla14[[#This Row],[DIAS HABILES O MORA]]&lt;0,(Tabla14[[#This Row],[VALOR PRESTAMO]]*Tabla14[[#This Row],[% INTERES ]]/30*U3005))+Tabla14[[#This Row],[VALOR CUOTAS]]</f>
        <v>#VALUE!</v>
      </c>
      <c r="S3005" s="88">
        <f>-IF(Tabla14[[#This Row],[DIAS HABILES O MORA]]&lt;0,(Tabla14[[#This Row],[VALOR PRESTAMO]]*Tabla14[[#This Row],[% INTERES ]]/30*U3005))</f>
        <v>0</v>
      </c>
      <c r="T3005" s="53" t="e">
        <f>Tabla14[[#This Row],[DEUDA CAPITAL]]+Tabla14[[#This Row],[INTERES  CUOTA]]</f>
        <v>#NUM!</v>
      </c>
      <c r="U3005" s="61" t="str">
        <f t="shared" si="479"/>
        <v/>
      </c>
    </row>
    <row r="3006" spans="9:21" ht="24.75" customHeight="1" x14ac:dyDescent="0.35">
      <c r="I3006" s="42">
        <f t="shared" si="470"/>
        <v>0</v>
      </c>
      <c r="J3006" s="65" t="e">
        <f t="shared" si="471"/>
        <v>#NUM!</v>
      </c>
      <c r="K3006" s="83" t="e">
        <f t="shared" si="472"/>
        <v>#NUM!</v>
      </c>
      <c r="L3006" s="83">
        <f t="shared" si="473"/>
        <v>0</v>
      </c>
      <c r="M3006" s="110" t="str">
        <f t="shared" si="474"/>
        <v/>
      </c>
      <c r="N3006" s="51" t="str">
        <f t="shared" si="475"/>
        <v/>
      </c>
      <c r="O3006" s="52" t="str">
        <f t="shared" si="476"/>
        <v/>
      </c>
      <c r="P3006" s="88">
        <f t="shared" si="477"/>
        <v>0</v>
      </c>
      <c r="Q3006" s="88">
        <f t="shared" si="478"/>
        <v>0</v>
      </c>
      <c r="R3006" s="88" t="e">
        <f>-IF(Tabla14[[#This Row],[DIAS HABILES O MORA]]&lt;0,(Tabla14[[#This Row],[VALOR PRESTAMO]]*Tabla14[[#This Row],[% INTERES ]]/30*U3006))+Tabla14[[#This Row],[VALOR CUOTAS]]</f>
        <v>#VALUE!</v>
      </c>
      <c r="S3006" s="88">
        <f>-IF(Tabla14[[#This Row],[DIAS HABILES O MORA]]&lt;0,(Tabla14[[#This Row],[VALOR PRESTAMO]]*Tabla14[[#This Row],[% INTERES ]]/30*U3006))</f>
        <v>0</v>
      </c>
      <c r="T3006" s="53" t="e">
        <f>Tabla14[[#This Row],[DEUDA CAPITAL]]+Tabla14[[#This Row],[INTERES  CUOTA]]</f>
        <v>#NUM!</v>
      </c>
      <c r="U3006" s="61" t="str">
        <f t="shared" si="479"/>
        <v/>
      </c>
    </row>
    <row r="3007" spans="9:21" ht="24.75" customHeight="1" x14ac:dyDescent="0.35">
      <c r="I3007" s="42">
        <f t="shared" si="470"/>
        <v>0</v>
      </c>
      <c r="J3007" s="65" t="e">
        <f t="shared" si="471"/>
        <v>#NUM!</v>
      </c>
      <c r="K3007" s="83" t="e">
        <f t="shared" si="472"/>
        <v>#NUM!</v>
      </c>
      <c r="L3007" s="83">
        <f t="shared" si="473"/>
        <v>0</v>
      </c>
      <c r="M3007" s="110" t="str">
        <f t="shared" si="474"/>
        <v/>
      </c>
      <c r="N3007" s="51" t="str">
        <f t="shared" si="475"/>
        <v/>
      </c>
      <c r="O3007" s="52" t="str">
        <f t="shared" si="476"/>
        <v/>
      </c>
      <c r="P3007" s="88">
        <f t="shared" si="477"/>
        <v>0</v>
      </c>
      <c r="Q3007" s="88">
        <f t="shared" si="478"/>
        <v>0</v>
      </c>
      <c r="R3007" s="88" t="e">
        <f>-IF(Tabla14[[#This Row],[DIAS HABILES O MORA]]&lt;0,(Tabla14[[#This Row],[VALOR PRESTAMO]]*Tabla14[[#This Row],[% INTERES ]]/30*U3007))+Tabla14[[#This Row],[VALOR CUOTAS]]</f>
        <v>#VALUE!</v>
      </c>
      <c r="S3007" s="88">
        <f>-IF(Tabla14[[#This Row],[DIAS HABILES O MORA]]&lt;0,(Tabla14[[#This Row],[VALOR PRESTAMO]]*Tabla14[[#This Row],[% INTERES ]]/30*U3007))</f>
        <v>0</v>
      </c>
      <c r="T3007" s="53" t="e">
        <f>Tabla14[[#This Row],[DEUDA CAPITAL]]+Tabla14[[#This Row],[INTERES  CUOTA]]</f>
        <v>#NUM!</v>
      </c>
      <c r="U3007" s="61" t="str">
        <f t="shared" si="479"/>
        <v/>
      </c>
    </row>
    <row r="3008" spans="9:21" ht="24.75" customHeight="1" x14ac:dyDescent="0.35">
      <c r="I3008" s="42">
        <f t="shared" si="470"/>
        <v>0</v>
      </c>
      <c r="J3008" s="65" t="e">
        <f t="shared" si="471"/>
        <v>#NUM!</v>
      </c>
      <c r="K3008" s="83" t="e">
        <f t="shared" si="472"/>
        <v>#NUM!</v>
      </c>
      <c r="L3008" s="83">
        <f t="shared" si="473"/>
        <v>0</v>
      </c>
      <c r="M3008" s="110" t="str">
        <f t="shared" si="474"/>
        <v/>
      </c>
      <c r="N3008" s="51" t="str">
        <f t="shared" si="475"/>
        <v/>
      </c>
      <c r="O3008" s="52" t="str">
        <f t="shared" si="476"/>
        <v/>
      </c>
      <c r="P3008" s="88">
        <f t="shared" si="477"/>
        <v>0</v>
      </c>
      <c r="Q3008" s="88">
        <f t="shared" si="478"/>
        <v>0</v>
      </c>
      <c r="R3008" s="88" t="e">
        <f>-IF(Tabla14[[#This Row],[DIAS HABILES O MORA]]&lt;0,(Tabla14[[#This Row],[VALOR PRESTAMO]]*Tabla14[[#This Row],[% INTERES ]]/30*U3008))+Tabla14[[#This Row],[VALOR CUOTAS]]</f>
        <v>#VALUE!</v>
      </c>
      <c r="S3008" s="88">
        <f>-IF(Tabla14[[#This Row],[DIAS HABILES O MORA]]&lt;0,(Tabla14[[#This Row],[VALOR PRESTAMO]]*Tabla14[[#This Row],[% INTERES ]]/30*U3008))</f>
        <v>0</v>
      </c>
      <c r="T3008" s="53" t="e">
        <f>Tabla14[[#This Row],[DEUDA CAPITAL]]+Tabla14[[#This Row],[INTERES  CUOTA]]</f>
        <v>#NUM!</v>
      </c>
      <c r="U3008" s="61" t="str">
        <f t="shared" si="479"/>
        <v/>
      </c>
    </row>
    <row r="3009" spans="9:21" ht="24.75" customHeight="1" x14ac:dyDescent="0.35">
      <c r="I3009" s="42">
        <f t="shared" si="470"/>
        <v>0</v>
      </c>
      <c r="J3009" s="65" t="e">
        <f t="shared" si="471"/>
        <v>#NUM!</v>
      </c>
      <c r="K3009" s="83" t="e">
        <f t="shared" si="472"/>
        <v>#NUM!</v>
      </c>
      <c r="L3009" s="83">
        <f t="shared" si="473"/>
        <v>0</v>
      </c>
      <c r="M3009" s="110" t="str">
        <f t="shared" si="474"/>
        <v/>
      </c>
      <c r="N3009" s="51" t="str">
        <f t="shared" si="475"/>
        <v/>
      </c>
      <c r="O3009" s="52" t="str">
        <f t="shared" si="476"/>
        <v/>
      </c>
      <c r="P3009" s="88">
        <f t="shared" si="477"/>
        <v>0</v>
      </c>
      <c r="Q3009" s="88">
        <f t="shared" si="478"/>
        <v>0</v>
      </c>
      <c r="R3009" s="88" t="e">
        <f>-IF(Tabla14[[#This Row],[DIAS HABILES O MORA]]&lt;0,(Tabla14[[#This Row],[VALOR PRESTAMO]]*Tabla14[[#This Row],[% INTERES ]]/30*U3009))+Tabla14[[#This Row],[VALOR CUOTAS]]</f>
        <v>#VALUE!</v>
      </c>
      <c r="S3009" s="88">
        <f>-IF(Tabla14[[#This Row],[DIAS HABILES O MORA]]&lt;0,(Tabla14[[#This Row],[VALOR PRESTAMO]]*Tabla14[[#This Row],[% INTERES ]]/30*U3009))</f>
        <v>0</v>
      </c>
      <c r="T3009" s="53" t="e">
        <f>Tabla14[[#This Row],[DEUDA CAPITAL]]+Tabla14[[#This Row],[INTERES  CUOTA]]</f>
        <v>#NUM!</v>
      </c>
      <c r="U3009" s="61" t="str">
        <f t="shared" si="479"/>
        <v/>
      </c>
    </row>
    <row r="3010" spans="9:21" ht="24.75" customHeight="1" x14ac:dyDescent="0.35">
      <c r="I3010" s="42">
        <f t="shared" si="470"/>
        <v>0</v>
      </c>
      <c r="J3010" s="65" t="e">
        <f t="shared" si="471"/>
        <v>#NUM!</v>
      </c>
      <c r="K3010" s="83" t="e">
        <f t="shared" si="472"/>
        <v>#NUM!</v>
      </c>
      <c r="L3010" s="83">
        <f t="shared" si="473"/>
        <v>0</v>
      </c>
      <c r="M3010" s="110" t="str">
        <f t="shared" si="474"/>
        <v/>
      </c>
      <c r="N3010" s="51" t="str">
        <f t="shared" si="475"/>
        <v/>
      </c>
      <c r="O3010" s="52" t="str">
        <f t="shared" si="476"/>
        <v/>
      </c>
      <c r="P3010" s="88">
        <f t="shared" si="477"/>
        <v>0</v>
      </c>
      <c r="Q3010" s="88">
        <f t="shared" si="478"/>
        <v>0</v>
      </c>
      <c r="R3010" s="88" t="e">
        <f>-IF(Tabla14[[#This Row],[DIAS HABILES O MORA]]&lt;0,(Tabla14[[#This Row],[VALOR PRESTAMO]]*Tabla14[[#This Row],[% INTERES ]]/30*U3010))+Tabla14[[#This Row],[VALOR CUOTAS]]</f>
        <v>#VALUE!</v>
      </c>
      <c r="S3010" s="88">
        <f>-IF(Tabla14[[#This Row],[DIAS HABILES O MORA]]&lt;0,(Tabla14[[#This Row],[VALOR PRESTAMO]]*Tabla14[[#This Row],[% INTERES ]]/30*U3010))</f>
        <v>0</v>
      </c>
      <c r="T3010" s="53" t="e">
        <f>Tabla14[[#This Row],[DEUDA CAPITAL]]+Tabla14[[#This Row],[INTERES  CUOTA]]</f>
        <v>#NUM!</v>
      </c>
      <c r="U3010" s="61" t="str">
        <f t="shared" si="479"/>
        <v/>
      </c>
    </row>
    <row r="3011" spans="9:21" ht="24.75" customHeight="1" x14ac:dyDescent="0.35">
      <c r="I3011" s="42">
        <f t="shared" si="470"/>
        <v>0</v>
      </c>
      <c r="J3011" s="65" t="e">
        <f t="shared" si="471"/>
        <v>#NUM!</v>
      </c>
      <c r="K3011" s="83" t="e">
        <f t="shared" si="472"/>
        <v>#NUM!</v>
      </c>
      <c r="L3011" s="83">
        <f t="shared" si="473"/>
        <v>0</v>
      </c>
      <c r="M3011" s="110" t="str">
        <f t="shared" si="474"/>
        <v/>
      </c>
      <c r="N3011" s="51" t="str">
        <f t="shared" si="475"/>
        <v/>
      </c>
      <c r="O3011" s="52" t="str">
        <f t="shared" si="476"/>
        <v/>
      </c>
      <c r="P3011" s="88">
        <f t="shared" si="477"/>
        <v>0</v>
      </c>
      <c r="Q3011" s="88">
        <f t="shared" si="478"/>
        <v>0</v>
      </c>
      <c r="R3011" s="88" t="e">
        <f>-IF(Tabla14[[#This Row],[DIAS HABILES O MORA]]&lt;0,(Tabla14[[#This Row],[VALOR PRESTAMO]]*Tabla14[[#This Row],[% INTERES ]]/30*U3011))+Tabla14[[#This Row],[VALOR CUOTAS]]</f>
        <v>#VALUE!</v>
      </c>
      <c r="S3011" s="88">
        <f>-IF(Tabla14[[#This Row],[DIAS HABILES O MORA]]&lt;0,(Tabla14[[#This Row],[VALOR PRESTAMO]]*Tabla14[[#This Row],[% INTERES ]]/30*U3011))</f>
        <v>0</v>
      </c>
      <c r="T3011" s="53" t="e">
        <f>Tabla14[[#This Row],[DEUDA CAPITAL]]+Tabla14[[#This Row],[INTERES  CUOTA]]</f>
        <v>#NUM!</v>
      </c>
      <c r="U3011" s="61" t="str">
        <f t="shared" si="479"/>
        <v/>
      </c>
    </row>
    <row r="3012" spans="9:21" ht="24.75" customHeight="1" x14ac:dyDescent="0.35">
      <c r="I3012" s="42">
        <f t="shared" si="470"/>
        <v>0</v>
      </c>
      <c r="J3012" s="65" t="e">
        <f t="shared" si="471"/>
        <v>#NUM!</v>
      </c>
      <c r="K3012" s="83" t="e">
        <f t="shared" si="472"/>
        <v>#NUM!</v>
      </c>
      <c r="L3012" s="83">
        <f t="shared" si="473"/>
        <v>0</v>
      </c>
      <c r="M3012" s="110" t="str">
        <f t="shared" si="474"/>
        <v/>
      </c>
      <c r="N3012" s="51" t="str">
        <f t="shared" si="475"/>
        <v/>
      </c>
      <c r="O3012" s="52" t="str">
        <f t="shared" si="476"/>
        <v/>
      </c>
      <c r="P3012" s="88">
        <f t="shared" si="477"/>
        <v>0</v>
      </c>
      <c r="Q3012" s="88">
        <f t="shared" si="478"/>
        <v>0</v>
      </c>
      <c r="R3012" s="88" t="e">
        <f>-IF(Tabla14[[#This Row],[DIAS HABILES O MORA]]&lt;0,(Tabla14[[#This Row],[VALOR PRESTAMO]]*Tabla14[[#This Row],[% INTERES ]]/30*U3012))+Tabla14[[#This Row],[VALOR CUOTAS]]</f>
        <v>#VALUE!</v>
      </c>
      <c r="S3012" s="88">
        <f>-IF(Tabla14[[#This Row],[DIAS HABILES O MORA]]&lt;0,(Tabla14[[#This Row],[VALOR PRESTAMO]]*Tabla14[[#This Row],[% INTERES ]]/30*U3012))</f>
        <v>0</v>
      </c>
      <c r="T3012" s="53" t="e">
        <f>Tabla14[[#This Row],[DEUDA CAPITAL]]+Tabla14[[#This Row],[INTERES  CUOTA]]</f>
        <v>#NUM!</v>
      </c>
      <c r="U3012" s="61" t="str">
        <f t="shared" si="479"/>
        <v/>
      </c>
    </row>
    <row r="3013" spans="9:21" ht="24.75" customHeight="1" x14ac:dyDescent="0.35">
      <c r="I3013" s="42">
        <f t="shared" si="470"/>
        <v>0</v>
      </c>
      <c r="J3013" s="65" t="e">
        <f t="shared" si="471"/>
        <v>#NUM!</v>
      </c>
      <c r="K3013" s="83" t="e">
        <f t="shared" si="472"/>
        <v>#NUM!</v>
      </c>
      <c r="L3013" s="83">
        <f t="shared" si="473"/>
        <v>0</v>
      </c>
      <c r="M3013" s="110" t="str">
        <f t="shared" si="474"/>
        <v/>
      </c>
      <c r="N3013" s="51" t="str">
        <f t="shared" si="475"/>
        <v/>
      </c>
      <c r="O3013" s="52" t="str">
        <f t="shared" si="476"/>
        <v/>
      </c>
      <c r="P3013" s="88">
        <f t="shared" si="477"/>
        <v>0</v>
      </c>
      <c r="Q3013" s="88">
        <f t="shared" si="478"/>
        <v>0</v>
      </c>
      <c r="R3013" s="88" t="e">
        <f>-IF(Tabla14[[#This Row],[DIAS HABILES O MORA]]&lt;0,(Tabla14[[#This Row],[VALOR PRESTAMO]]*Tabla14[[#This Row],[% INTERES ]]/30*U3013))+Tabla14[[#This Row],[VALOR CUOTAS]]</f>
        <v>#VALUE!</v>
      </c>
      <c r="S3013" s="88">
        <f>-IF(Tabla14[[#This Row],[DIAS HABILES O MORA]]&lt;0,(Tabla14[[#This Row],[VALOR PRESTAMO]]*Tabla14[[#This Row],[% INTERES ]]/30*U3013))</f>
        <v>0</v>
      </c>
      <c r="T3013" s="53" t="e">
        <f>Tabla14[[#This Row],[DEUDA CAPITAL]]+Tabla14[[#This Row],[INTERES  CUOTA]]</f>
        <v>#NUM!</v>
      </c>
      <c r="U3013" s="61" t="str">
        <f t="shared" si="479"/>
        <v/>
      </c>
    </row>
    <row r="3014" spans="9:21" ht="24.75" customHeight="1" x14ac:dyDescent="0.35">
      <c r="I3014" s="42">
        <f t="shared" si="470"/>
        <v>0</v>
      </c>
      <c r="J3014" s="65" t="e">
        <f t="shared" si="471"/>
        <v>#NUM!</v>
      </c>
      <c r="K3014" s="83" t="e">
        <f t="shared" si="472"/>
        <v>#NUM!</v>
      </c>
      <c r="L3014" s="83">
        <f t="shared" si="473"/>
        <v>0</v>
      </c>
      <c r="M3014" s="110" t="str">
        <f t="shared" si="474"/>
        <v/>
      </c>
      <c r="N3014" s="51" t="str">
        <f t="shared" si="475"/>
        <v/>
      </c>
      <c r="O3014" s="52" t="str">
        <f t="shared" si="476"/>
        <v/>
      </c>
      <c r="P3014" s="88">
        <f t="shared" si="477"/>
        <v>0</v>
      </c>
      <c r="Q3014" s="88">
        <f t="shared" si="478"/>
        <v>0</v>
      </c>
      <c r="R3014" s="88" t="e">
        <f>-IF(Tabla14[[#This Row],[DIAS HABILES O MORA]]&lt;0,(Tabla14[[#This Row],[VALOR PRESTAMO]]*Tabla14[[#This Row],[% INTERES ]]/30*U3014))+Tabla14[[#This Row],[VALOR CUOTAS]]</f>
        <v>#VALUE!</v>
      </c>
      <c r="S3014" s="88">
        <f>-IF(Tabla14[[#This Row],[DIAS HABILES O MORA]]&lt;0,(Tabla14[[#This Row],[VALOR PRESTAMO]]*Tabla14[[#This Row],[% INTERES ]]/30*U3014))</f>
        <v>0</v>
      </c>
      <c r="T3014" s="53" t="e">
        <f>Tabla14[[#This Row],[DEUDA CAPITAL]]+Tabla14[[#This Row],[INTERES  CUOTA]]</f>
        <v>#NUM!</v>
      </c>
      <c r="U3014" s="61" t="str">
        <f t="shared" si="479"/>
        <v/>
      </c>
    </row>
    <row r="3015" spans="9:21" ht="24.75" customHeight="1" x14ac:dyDescent="0.35">
      <c r="I3015" s="42">
        <f t="shared" si="470"/>
        <v>0</v>
      </c>
      <c r="J3015" s="65" t="e">
        <f t="shared" si="471"/>
        <v>#NUM!</v>
      </c>
      <c r="K3015" s="83" t="e">
        <f t="shared" si="472"/>
        <v>#NUM!</v>
      </c>
      <c r="L3015" s="83">
        <f t="shared" si="473"/>
        <v>0</v>
      </c>
      <c r="M3015" s="110" t="str">
        <f t="shared" si="474"/>
        <v/>
      </c>
      <c r="N3015" s="51" t="str">
        <f t="shared" si="475"/>
        <v/>
      </c>
      <c r="O3015" s="52" t="str">
        <f t="shared" si="476"/>
        <v/>
      </c>
      <c r="P3015" s="88">
        <f t="shared" si="477"/>
        <v>0</v>
      </c>
      <c r="Q3015" s="88">
        <f t="shared" si="478"/>
        <v>0</v>
      </c>
      <c r="R3015" s="88" t="e">
        <f>-IF(Tabla14[[#This Row],[DIAS HABILES O MORA]]&lt;0,(Tabla14[[#This Row],[VALOR PRESTAMO]]*Tabla14[[#This Row],[% INTERES ]]/30*U3015))+Tabla14[[#This Row],[VALOR CUOTAS]]</f>
        <v>#VALUE!</v>
      </c>
      <c r="S3015" s="88">
        <f>-IF(Tabla14[[#This Row],[DIAS HABILES O MORA]]&lt;0,(Tabla14[[#This Row],[VALOR PRESTAMO]]*Tabla14[[#This Row],[% INTERES ]]/30*U3015))</f>
        <v>0</v>
      </c>
      <c r="T3015" s="53" t="e">
        <f>Tabla14[[#This Row],[DEUDA CAPITAL]]+Tabla14[[#This Row],[INTERES  CUOTA]]</f>
        <v>#NUM!</v>
      </c>
      <c r="U3015" s="61" t="str">
        <f t="shared" si="479"/>
        <v/>
      </c>
    </row>
    <row r="3016" spans="9:21" ht="24.75" customHeight="1" x14ac:dyDescent="0.35">
      <c r="I3016" s="42">
        <f t="shared" si="470"/>
        <v>0</v>
      </c>
      <c r="J3016" s="65" t="e">
        <f t="shared" si="471"/>
        <v>#NUM!</v>
      </c>
      <c r="K3016" s="83" t="e">
        <f t="shared" si="472"/>
        <v>#NUM!</v>
      </c>
      <c r="L3016" s="83">
        <f t="shared" si="473"/>
        <v>0</v>
      </c>
      <c r="M3016" s="110" t="str">
        <f t="shared" si="474"/>
        <v/>
      </c>
      <c r="N3016" s="51" t="str">
        <f t="shared" si="475"/>
        <v/>
      </c>
      <c r="O3016" s="52" t="str">
        <f t="shared" si="476"/>
        <v/>
      </c>
      <c r="P3016" s="88">
        <f t="shared" si="477"/>
        <v>0</v>
      </c>
      <c r="Q3016" s="88">
        <f t="shared" si="478"/>
        <v>0</v>
      </c>
      <c r="R3016" s="88" t="e">
        <f>-IF(Tabla14[[#This Row],[DIAS HABILES O MORA]]&lt;0,(Tabla14[[#This Row],[VALOR PRESTAMO]]*Tabla14[[#This Row],[% INTERES ]]/30*U3016))+Tabla14[[#This Row],[VALOR CUOTAS]]</f>
        <v>#VALUE!</v>
      </c>
      <c r="S3016" s="88">
        <f>-IF(Tabla14[[#This Row],[DIAS HABILES O MORA]]&lt;0,(Tabla14[[#This Row],[VALOR PRESTAMO]]*Tabla14[[#This Row],[% INTERES ]]/30*U3016))</f>
        <v>0</v>
      </c>
      <c r="T3016" s="53" t="e">
        <f>Tabla14[[#This Row],[DEUDA CAPITAL]]+Tabla14[[#This Row],[INTERES  CUOTA]]</f>
        <v>#NUM!</v>
      </c>
      <c r="U3016" s="61" t="str">
        <f t="shared" si="479"/>
        <v/>
      </c>
    </row>
    <row r="3017" spans="9:21" ht="24.75" customHeight="1" x14ac:dyDescent="0.35">
      <c r="I3017" s="42">
        <f t="shared" si="470"/>
        <v>0</v>
      </c>
      <c r="J3017" s="65" t="e">
        <f t="shared" si="471"/>
        <v>#NUM!</v>
      </c>
      <c r="K3017" s="83" t="e">
        <f t="shared" si="472"/>
        <v>#NUM!</v>
      </c>
      <c r="L3017" s="83">
        <f t="shared" si="473"/>
        <v>0</v>
      </c>
      <c r="M3017" s="110" t="str">
        <f t="shared" si="474"/>
        <v/>
      </c>
      <c r="N3017" s="51" t="str">
        <f t="shared" si="475"/>
        <v/>
      </c>
      <c r="O3017" s="52" t="str">
        <f t="shared" si="476"/>
        <v/>
      </c>
      <c r="P3017" s="88">
        <f t="shared" si="477"/>
        <v>0</v>
      </c>
      <c r="Q3017" s="88">
        <f t="shared" si="478"/>
        <v>0</v>
      </c>
      <c r="R3017" s="88" t="e">
        <f>-IF(Tabla14[[#This Row],[DIAS HABILES O MORA]]&lt;0,(Tabla14[[#This Row],[VALOR PRESTAMO]]*Tabla14[[#This Row],[% INTERES ]]/30*U3017))+Tabla14[[#This Row],[VALOR CUOTAS]]</f>
        <v>#VALUE!</v>
      </c>
      <c r="S3017" s="88">
        <f>-IF(Tabla14[[#This Row],[DIAS HABILES O MORA]]&lt;0,(Tabla14[[#This Row],[VALOR PRESTAMO]]*Tabla14[[#This Row],[% INTERES ]]/30*U3017))</f>
        <v>0</v>
      </c>
      <c r="T3017" s="53" t="e">
        <f>Tabla14[[#This Row],[DEUDA CAPITAL]]+Tabla14[[#This Row],[INTERES  CUOTA]]</f>
        <v>#NUM!</v>
      </c>
      <c r="U3017" s="61" t="str">
        <f t="shared" si="479"/>
        <v/>
      </c>
    </row>
    <row r="3018" spans="9:21" ht="24.75" customHeight="1" x14ac:dyDescent="0.35">
      <c r="I3018" s="42">
        <f t="shared" si="470"/>
        <v>0</v>
      </c>
      <c r="J3018" s="65" t="e">
        <f t="shared" si="471"/>
        <v>#NUM!</v>
      </c>
      <c r="K3018" s="83" t="e">
        <f t="shared" si="472"/>
        <v>#NUM!</v>
      </c>
      <c r="L3018" s="83">
        <f t="shared" si="473"/>
        <v>0</v>
      </c>
      <c r="M3018" s="110" t="str">
        <f t="shared" si="474"/>
        <v/>
      </c>
      <c r="N3018" s="51" t="str">
        <f t="shared" si="475"/>
        <v/>
      </c>
      <c r="O3018" s="52" t="str">
        <f t="shared" si="476"/>
        <v/>
      </c>
      <c r="P3018" s="88">
        <f t="shared" si="477"/>
        <v>0</v>
      </c>
      <c r="Q3018" s="88">
        <f t="shared" si="478"/>
        <v>0</v>
      </c>
      <c r="R3018" s="88" t="e">
        <f>-IF(Tabla14[[#This Row],[DIAS HABILES O MORA]]&lt;0,(Tabla14[[#This Row],[VALOR PRESTAMO]]*Tabla14[[#This Row],[% INTERES ]]/30*U3018))+Tabla14[[#This Row],[VALOR CUOTAS]]</f>
        <v>#VALUE!</v>
      </c>
      <c r="S3018" s="88">
        <f>-IF(Tabla14[[#This Row],[DIAS HABILES O MORA]]&lt;0,(Tabla14[[#This Row],[VALOR PRESTAMO]]*Tabla14[[#This Row],[% INTERES ]]/30*U3018))</f>
        <v>0</v>
      </c>
      <c r="T3018" s="53" t="e">
        <f>Tabla14[[#This Row],[DEUDA CAPITAL]]+Tabla14[[#This Row],[INTERES  CUOTA]]</f>
        <v>#NUM!</v>
      </c>
      <c r="U3018" s="61" t="str">
        <f t="shared" si="479"/>
        <v/>
      </c>
    </row>
    <row r="3019" spans="9:21" ht="24.75" customHeight="1" x14ac:dyDescent="0.35">
      <c r="I3019" s="42">
        <f t="shared" si="470"/>
        <v>0</v>
      </c>
      <c r="J3019" s="65" t="e">
        <f t="shared" si="471"/>
        <v>#NUM!</v>
      </c>
      <c r="K3019" s="83" t="e">
        <f t="shared" si="472"/>
        <v>#NUM!</v>
      </c>
      <c r="L3019" s="83">
        <f t="shared" si="473"/>
        <v>0</v>
      </c>
      <c r="M3019" s="110" t="str">
        <f t="shared" si="474"/>
        <v/>
      </c>
      <c r="N3019" s="51" t="str">
        <f t="shared" si="475"/>
        <v/>
      </c>
      <c r="O3019" s="52" t="str">
        <f t="shared" si="476"/>
        <v/>
      </c>
      <c r="P3019" s="88">
        <f t="shared" si="477"/>
        <v>0</v>
      </c>
      <c r="Q3019" s="88">
        <f t="shared" si="478"/>
        <v>0</v>
      </c>
      <c r="R3019" s="88" t="e">
        <f>-IF(Tabla14[[#This Row],[DIAS HABILES O MORA]]&lt;0,(Tabla14[[#This Row],[VALOR PRESTAMO]]*Tabla14[[#This Row],[% INTERES ]]/30*U3019))+Tabla14[[#This Row],[VALOR CUOTAS]]</f>
        <v>#VALUE!</v>
      </c>
      <c r="S3019" s="88">
        <f>-IF(Tabla14[[#This Row],[DIAS HABILES O MORA]]&lt;0,(Tabla14[[#This Row],[VALOR PRESTAMO]]*Tabla14[[#This Row],[% INTERES ]]/30*U3019))</f>
        <v>0</v>
      </c>
      <c r="T3019" s="53" t="e">
        <f>Tabla14[[#This Row],[DEUDA CAPITAL]]+Tabla14[[#This Row],[INTERES  CUOTA]]</f>
        <v>#NUM!</v>
      </c>
      <c r="U3019" s="61" t="str">
        <f t="shared" si="479"/>
        <v/>
      </c>
    </row>
    <row r="3020" spans="9:21" ht="24.75" customHeight="1" x14ac:dyDescent="0.35">
      <c r="I3020" s="42">
        <f t="shared" si="470"/>
        <v>0</v>
      </c>
      <c r="J3020" s="65" t="e">
        <f t="shared" si="471"/>
        <v>#NUM!</v>
      </c>
      <c r="K3020" s="83" t="e">
        <f t="shared" si="472"/>
        <v>#NUM!</v>
      </c>
      <c r="L3020" s="83">
        <f t="shared" si="473"/>
        <v>0</v>
      </c>
      <c r="M3020" s="110" t="str">
        <f t="shared" si="474"/>
        <v/>
      </c>
      <c r="N3020" s="51" t="str">
        <f t="shared" si="475"/>
        <v/>
      </c>
      <c r="O3020" s="52" t="str">
        <f t="shared" si="476"/>
        <v/>
      </c>
      <c r="P3020" s="88">
        <f t="shared" si="477"/>
        <v>0</v>
      </c>
      <c r="Q3020" s="88">
        <f t="shared" si="478"/>
        <v>0</v>
      </c>
      <c r="R3020" s="88" t="e">
        <f>-IF(Tabla14[[#This Row],[DIAS HABILES O MORA]]&lt;0,(Tabla14[[#This Row],[VALOR PRESTAMO]]*Tabla14[[#This Row],[% INTERES ]]/30*U3020))+Tabla14[[#This Row],[VALOR CUOTAS]]</f>
        <v>#VALUE!</v>
      </c>
      <c r="S3020" s="88">
        <f>-IF(Tabla14[[#This Row],[DIAS HABILES O MORA]]&lt;0,(Tabla14[[#This Row],[VALOR PRESTAMO]]*Tabla14[[#This Row],[% INTERES ]]/30*U3020))</f>
        <v>0</v>
      </c>
      <c r="T3020" s="53" t="e">
        <f>Tabla14[[#This Row],[DEUDA CAPITAL]]+Tabla14[[#This Row],[INTERES  CUOTA]]</f>
        <v>#NUM!</v>
      </c>
      <c r="U3020" s="61" t="str">
        <f t="shared" si="479"/>
        <v/>
      </c>
    </row>
    <row r="3021" spans="9:21" ht="24.75" customHeight="1" x14ac:dyDescent="0.35">
      <c r="I3021" s="42">
        <f t="shared" si="470"/>
        <v>0</v>
      </c>
      <c r="J3021" s="65" t="e">
        <f t="shared" si="471"/>
        <v>#NUM!</v>
      </c>
      <c r="K3021" s="83" t="e">
        <f t="shared" si="472"/>
        <v>#NUM!</v>
      </c>
      <c r="L3021" s="83">
        <f t="shared" si="473"/>
        <v>0</v>
      </c>
      <c r="M3021" s="110" t="str">
        <f t="shared" si="474"/>
        <v/>
      </c>
      <c r="N3021" s="51" t="str">
        <f t="shared" si="475"/>
        <v/>
      </c>
      <c r="O3021" s="52" t="str">
        <f t="shared" si="476"/>
        <v/>
      </c>
      <c r="P3021" s="88">
        <f t="shared" si="477"/>
        <v>0</v>
      </c>
      <c r="Q3021" s="88">
        <f t="shared" si="478"/>
        <v>0</v>
      </c>
      <c r="R3021" s="88" t="e">
        <f>-IF(Tabla14[[#This Row],[DIAS HABILES O MORA]]&lt;0,(Tabla14[[#This Row],[VALOR PRESTAMO]]*Tabla14[[#This Row],[% INTERES ]]/30*U3021))+Tabla14[[#This Row],[VALOR CUOTAS]]</f>
        <v>#VALUE!</v>
      </c>
      <c r="S3021" s="88">
        <f>-IF(Tabla14[[#This Row],[DIAS HABILES O MORA]]&lt;0,(Tabla14[[#This Row],[VALOR PRESTAMO]]*Tabla14[[#This Row],[% INTERES ]]/30*U3021))</f>
        <v>0</v>
      </c>
      <c r="T3021" s="53" t="e">
        <f>Tabla14[[#This Row],[DEUDA CAPITAL]]+Tabla14[[#This Row],[INTERES  CUOTA]]</f>
        <v>#NUM!</v>
      </c>
      <c r="U3021" s="61" t="str">
        <f t="shared" si="479"/>
        <v/>
      </c>
    </row>
    <row r="3022" spans="9:21" ht="24.75" customHeight="1" x14ac:dyDescent="0.35">
      <c r="I3022" s="42">
        <f t="shared" si="470"/>
        <v>0</v>
      </c>
      <c r="J3022" s="65" t="e">
        <f t="shared" si="471"/>
        <v>#NUM!</v>
      </c>
      <c r="K3022" s="83" t="e">
        <f t="shared" si="472"/>
        <v>#NUM!</v>
      </c>
      <c r="L3022" s="83">
        <f t="shared" si="473"/>
        <v>0</v>
      </c>
      <c r="M3022" s="110" t="str">
        <f t="shared" si="474"/>
        <v/>
      </c>
      <c r="N3022" s="51" t="str">
        <f t="shared" si="475"/>
        <v/>
      </c>
      <c r="O3022" s="52" t="str">
        <f t="shared" si="476"/>
        <v/>
      </c>
      <c r="P3022" s="88">
        <f t="shared" si="477"/>
        <v>0</v>
      </c>
      <c r="Q3022" s="88">
        <f t="shared" si="478"/>
        <v>0</v>
      </c>
      <c r="R3022" s="88" t="e">
        <f>-IF(Tabla14[[#This Row],[DIAS HABILES O MORA]]&lt;0,(Tabla14[[#This Row],[VALOR PRESTAMO]]*Tabla14[[#This Row],[% INTERES ]]/30*U3022))+Tabla14[[#This Row],[VALOR CUOTAS]]</f>
        <v>#VALUE!</v>
      </c>
      <c r="S3022" s="88">
        <f>-IF(Tabla14[[#This Row],[DIAS HABILES O MORA]]&lt;0,(Tabla14[[#This Row],[VALOR PRESTAMO]]*Tabla14[[#This Row],[% INTERES ]]/30*U3022))</f>
        <v>0</v>
      </c>
      <c r="T3022" s="53" t="e">
        <f>Tabla14[[#This Row],[DEUDA CAPITAL]]+Tabla14[[#This Row],[INTERES  CUOTA]]</f>
        <v>#NUM!</v>
      </c>
      <c r="U3022" s="61" t="str">
        <f t="shared" si="479"/>
        <v/>
      </c>
    </row>
    <row r="3023" spans="9:21" ht="24.75" customHeight="1" x14ac:dyDescent="0.35">
      <c r="I3023" s="42">
        <f t="shared" si="470"/>
        <v>0</v>
      </c>
      <c r="J3023" s="65" t="e">
        <f t="shared" si="471"/>
        <v>#NUM!</v>
      </c>
      <c r="K3023" s="83" t="e">
        <f t="shared" si="472"/>
        <v>#NUM!</v>
      </c>
      <c r="L3023" s="83">
        <f t="shared" si="473"/>
        <v>0</v>
      </c>
      <c r="M3023" s="110" t="str">
        <f t="shared" si="474"/>
        <v/>
      </c>
      <c r="N3023" s="51" t="str">
        <f t="shared" si="475"/>
        <v/>
      </c>
      <c r="O3023" s="52" t="str">
        <f t="shared" si="476"/>
        <v/>
      </c>
      <c r="P3023" s="88">
        <f t="shared" si="477"/>
        <v>0</v>
      </c>
      <c r="Q3023" s="88">
        <f t="shared" si="478"/>
        <v>0</v>
      </c>
      <c r="R3023" s="88" t="e">
        <f>-IF(Tabla14[[#This Row],[DIAS HABILES O MORA]]&lt;0,(Tabla14[[#This Row],[VALOR PRESTAMO]]*Tabla14[[#This Row],[% INTERES ]]/30*U3023))+Tabla14[[#This Row],[VALOR CUOTAS]]</f>
        <v>#VALUE!</v>
      </c>
      <c r="S3023" s="88">
        <f>-IF(Tabla14[[#This Row],[DIAS HABILES O MORA]]&lt;0,(Tabla14[[#This Row],[VALOR PRESTAMO]]*Tabla14[[#This Row],[% INTERES ]]/30*U3023))</f>
        <v>0</v>
      </c>
      <c r="T3023" s="53" t="e">
        <f>Tabla14[[#This Row],[DEUDA CAPITAL]]+Tabla14[[#This Row],[INTERES  CUOTA]]</f>
        <v>#NUM!</v>
      </c>
      <c r="U3023" s="61" t="str">
        <f t="shared" si="479"/>
        <v/>
      </c>
    </row>
    <row r="3024" spans="9:21" ht="24.75" customHeight="1" x14ac:dyDescent="0.35">
      <c r="I3024" s="42">
        <f t="shared" ref="I3024:I3087" si="480">IF(C3024&lt;0,"",IF(Q3024=0,0,IF(G3024=0,H3024+1,IF(H3024&lt;G3024,H3024+1,IF(G3024=H3024,0)))))</f>
        <v>0</v>
      </c>
      <c r="J3024" s="65" t="e">
        <f t="shared" ref="J3024:J3087" si="481">IF(F3024="SOLO INTERES",Q3024*D3024,-IPMT(D3024,I3024,G3024,C3024))</f>
        <v>#NUM!</v>
      </c>
      <c r="K3024" s="83" t="e">
        <f t="shared" ref="K3024:K3087" si="482">IF(F3024="SOLO INTERES",0,-PPMT(D3024,I3024,G3024,C3024))</f>
        <v>#NUM!</v>
      </c>
      <c r="L3024" s="83">
        <f t="shared" ref="L3024:L3087" si="483">IF(F3024="SOLO INTERES",SUM(Y3024:AAE3024),IFERROR(-CUMIPMT(D3024,G3024,C3024,1,H3024,0),0)+SUM(Y3024:WY3024))</f>
        <v>0</v>
      </c>
      <c r="M3024" s="110" t="str">
        <f t="shared" ref="M3024:M3087" si="484">IFERROR(IF(F3024="SOLO INTERES",Q3024*D3024,-PMT(D3024,G3024,C3024,0)),"")</f>
        <v/>
      </c>
      <c r="N3024" s="51" t="str">
        <f t="shared" ref="N3024:N3087" si="485">IF(Q3024=0,"",IF(E3024="MENSUAL",EDATE(B3024,I3024),IF(E3024="QUINCENAL",B3024+(I3024*15),IF(E3024="SEMANAL",B3024+(I3024*7)))))</f>
        <v/>
      </c>
      <c r="O3024" s="52" t="str">
        <f t="shared" ref="O3024:O3087" si="486">IF(C3024=0,"",IF(Q3024&lt;1,"PAGADO",IF(N3024=$A$3,"COBRAR HOY",IF(N3024&lt;$A$3,"EN MORA",IF(N3024&gt;$A$3,"AL DIA")))))</f>
        <v/>
      </c>
      <c r="P3024" s="88">
        <f t="shared" ref="P3024:P3087" si="487">IFERROR(-CUMPRINC(D3024,G3024,C3024,1,H3024,0),0)+W3024</f>
        <v>0</v>
      </c>
      <c r="Q3024" s="88">
        <f t="shared" ref="Q3024:Q3087" si="488">IFERROR(C3024-P3024,"")</f>
        <v>0</v>
      </c>
      <c r="R3024" s="88" t="e">
        <f>-IF(Tabla14[[#This Row],[DIAS HABILES O MORA]]&lt;0,(Tabla14[[#This Row],[VALOR PRESTAMO]]*Tabla14[[#This Row],[% INTERES ]]/30*U3024))+Tabla14[[#This Row],[VALOR CUOTAS]]</f>
        <v>#VALUE!</v>
      </c>
      <c r="S3024" s="88">
        <f>-IF(Tabla14[[#This Row],[DIAS HABILES O MORA]]&lt;0,(Tabla14[[#This Row],[VALOR PRESTAMO]]*Tabla14[[#This Row],[% INTERES ]]/30*U3024))</f>
        <v>0</v>
      </c>
      <c r="T3024" s="53" t="e">
        <f>Tabla14[[#This Row],[DEUDA CAPITAL]]+Tabla14[[#This Row],[INTERES  CUOTA]]</f>
        <v>#NUM!</v>
      </c>
      <c r="U3024" s="61" t="str">
        <f t="shared" ref="U3024:U3087" si="489">IF(O3024="PAGADO","",IFERROR(-IF(C3024=0,"",$A$3-N3024),""))</f>
        <v/>
      </c>
    </row>
    <row r="3025" spans="9:21" ht="24.75" customHeight="1" x14ac:dyDescent="0.35">
      <c r="I3025" s="42">
        <f t="shared" si="480"/>
        <v>0</v>
      </c>
      <c r="J3025" s="65" t="e">
        <f t="shared" si="481"/>
        <v>#NUM!</v>
      </c>
      <c r="K3025" s="83" t="e">
        <f t="shared" si="482"/>
        <v>#NUM!</v>
      </c>
      <c r="L3025" s="83">
        <f t="shared" si="483"/>
        <v>0</v>
      </c>
      <c r="M3025" s="110" t="str">
        <f t="shared" si="484"/>
        <v/>
      </c>
      <c r="N3025" s="51" t="str">
        <f t="shared" si="485"/>
        <v/>
      </c>
      <c r="O3025" s="52" t="str">
        <f t="shared" si="486"/>
        <v/>
      </c>
      <c r="P3025" s="88">
        <f t="shared" si="487"/>
        <v>0</v>
      </c>
      <c r="Q3025" s="88">
        <f t="shared" si="488"/>
        <v>0</v>
      </c>
      <c r="R3025" s="88" t="e">
        <f>-IF(Tabla14[[#This Row],[DIAS HABILES O MORA]]&lt;0,(Tabla14[[#This Row],[VALOR PRESTAMO]]*Tabla14[[#This Row],[% INTERES ]]/30*U3025))+Tabla14[[#This Row],[VALOR CUOTAS]]</f>
        <v>#VALUE!</v>
      </c>
      <c r="S3025" s="88">
        <f>-IF(Tabla14[[#This Row],[DIAS HABILES O MORA]]&lt;0,(Tabla14[[#This Row],[VALOR PRESTAMO]]*Tabla14[[#This Row],[% INTERES ]]/30*U3025))</f>
        <v>0</v>
      </c>
      <c r="T3025" s="53" t="e">
        <f>Tabla14[[#This Row],[DEUDA CAPITAL]]+Tabla14[[#This Row],[INTERES  CUOTA]]</f>
        <v>#NUM!</v>
      </c>
      <c r="U3025" s="61" t="str">
        <f t="shared" si="489"/>
        <v/>
      </c>
    </row>
    <row r="3026" spans="9:21" ht="24.75" customHeight="1" x14ac:dyDescent="0.35">
      <c r="I3026" s="42">
        <f t="shared" si="480"/>
        <v>0</v>
      </c>
      <c r="J3026" s="65" t="e">
        <f t="shared" si="481"/>
        <v>#NUM!</v>
      </c>
      <c r="K3026" s="83" t="e">
        <f t="shared" si="482"/>
        <v>#NUM!</v>
      </c>
      <c r="L3026" s="83">
        <f t="shared" si="483"/>
        <v>0</v>
      </c>
      <c r="M3026" s="110" t="str">
        <f t="shared" si="484"/>
        <v/>
      </c>
      <c r="N3026" s="51" t="str">
        <f t="shared" si="485"/>
        <v/>
      </c>
      <c r="O3026" s="52" t="str">
        <f t="shared" si="486"/>
        <v/>
      </c>
      <c r="P3026" s="88">
        <f t="shared" si="487"/>
        <v>0</v>
      </c>
      <c r="Q3026" s="88">
        <f t="shared" si="488"/>
        <v>0</v>
      </c>
      <c r="R3026" s="88" t="e">
        <f>-IF(Tabla14[[#This Row],[DIAS HABILES O MORA]]&lt;0,(Tabla14[[#This Row],[VALOR PRESTAMO]]*Tabla14[[#This Row],[% INTERES ]]/30*U3026))+Tabla14[[#This Row],[VALOR CUOTAS]]</f>
        <v>#VALUE!</v>
      </c>
      <c r="S3026" s="88">
        <f>-IF(Tabla14[[#This Row],[DIAS HABILES O MORA]]&lt;0,(Tabla14[[#This Row],[VALOR PRESTAMO]]*Tabla14[[#This Row],[% INTERES ]]/30*U3026))</f>
        <v>0</v>
      </c>
      <c r="T3026" s="53" t="e">
        <f>Tabla14[[#This Row],[DEUDA CAPITAL]]+Tabla14[[#This Row],[INTERES  CUOTA]]</f>
        <v>#NUM!</v>
      </c>
      <c r="U3026" s="61" t="str">
        <f t="shared" si="489"/>
        <v/>
      </c>
    </row>
    <row r="3027" spans="9:21" ht="24.75" customHeight="1" x14ac:dyDescent="0.35">
      <c r="I3027" s="42">
        <f t="shared" si="480"/>
        <v>0</v>
      </c>
      <c r="J3027" s="65" t="e">
        <f t="shared" si="481"/>
        <v>#NUM!</v>
      </c>
      <c r="K3027" s="83" t="e">
        <f t="shared" si="482"/>
        <v>#NUM!</v>
      </c>
      <c r="L3027" s="83">
        <f t="shared" si="483"/>
        <v>0</v>
      </c>
      <c r="M3027" s="110" t="str">
        <f t="shared" si="484"/>
        <v/>
      </c>
      <c r="N3027" s="51" t="str">
        <f t="shared" si="485"/>
        <v/>
      </c>
      <c r="O3027" s="52" t="str">
        <f t="shared" si="486"/>
        <v/>
      </c>
      <c r="P3027" s="88">
        <f t="shared" si="487"/>
        <v>0</v>
      </c>
      <c r="Q3027" s="88">
        <f t="shared" si="488"/>
        <v>0</v>
      </c>
      <c r="R3027" s="88" t="e">
        <f>-IF(Tabla14[[#This Row],[DIAS HABILES O MORA]]&lt;0,(Tabla14[[#This Row],[VALOR PRESTAMO]]*Tabla14[[#This Row],[% INTERES ]]/30*U3027))+Tabla14[[#This Row],[VALOR CUOTAS]]</f>
        <v>#VALUE!</v>
      </c>
      <c r="S3027" s="88">
        <f>-IF(Tabla14[[#This Row],[DIAS HABILES O MORA]]&lt;0,(Tabla14[[#This Row],[VALOR PRESTAMO]]*Tabla14[[#This Row],[% INTERES ]]/30*U3027))</f>
        <v>0</v>
      </c>
      <c r="T3027" s="53" t="e">
        <f>Tabla14[[#This Row],[DEUDA CAPITAL]]+Tabla14[[#This Row],[INTERES  CUOTA]]</f>
        <v>#NUM!</v>
      </c>
      <c r="U3027" s="61" t="str">
        <f t="shared" si="489"/>
        <v/>
      </c>
    </row>
    <row r="3028" spans="9:21" ht="24.75" customHeight="1" x14ac:dyDescent="0.35">
      <c r="I3028" s="42">
        <f t="shared" si="480"/>
        <v>0</v>
      </c>
      <c r="J3028" s="65" t="e">
        <f t="shared" si="481"/>
        <v>#NUM!</v>
      </c>
      <c r="K3028" s="83" t="e">
        <f t="shared" si="482"/>
        <v>#NUM!</v>
      </c>
      <c r="L3028" s="83">
        <f t="shared" si="483"/>
        <v>0</v>
      </c>
      <c r="M3028" s="110" t="str">
        <f t="shared" si="484"/>
        <v/>
      </c>
      <c r="N3028" s="51" t="str">
        <f t="shared" si="485"/>
        <v/>
      </c>
      <c r="O3028" s="52" t="str">
        <f t="shared" si="486"/>
        <v/>
      </c>
      <c r="P3028" s="88">
        <f t="shared" si="487"/>
        <v>0</v>
      </c>
      <c r="Q3028" s="88">
        <f t="shared" si="488"/>
        <v>0</v>
      </c>
      <c r="R3028" s="88" t="e">
        <f>-IF(Tabla14[[#This Row],[DIAS HABILES O MORA]]&lt;0,(Tabla14[[#This Row],[VALOR PRESTAMO]]*Tabla14[[#This Row],[% INTERES ]]/30*U3028))+Tabla14[[#This Row],[VALOR CUOTAS]]</f>
        <v>#VALUE!</v>
      </c>
      <c r="S3028" s="88">
        <f>-IF(Tabla14[[#This Row],[DIAS HABILES O MORA]]&lt;0,(Tabla14[[#This Row],[VALOR PRESTAMO]]*Tabla14[[#This Row],[% INTERES ]]/30*U3028))</f>
        <v>0</v>
      </c>
      <c r="T3028" s="53" t="e">
        <f>Tabla14[[#This Row],[DEUDA CAPITAL]]+Tabla14[[#This Row],[INTERES  CUOTA]]</f>
        <v>#NUM!</v>
      </c>
      <c r="U3028" s="61" t="str">
        <f t="shared" si="489"/>
        <v/>
      </c>
    </row>
    <row r="3029" spans="9:21" ht="24.75" customHeight="1" x14ac:dyDescent="0.35">
      <c r="I3029" s="42">
        <f t="shared" si="480"/>
        <v>0</v>
      </c>
      <c r="J3029" s="65" t="e">
        <f t="shared" si="481"/>
        <v>#NUM!</v>
      </c>
      <c r="K3029" s="83" t="e">
        <f t="shared" si="482"/>
        <v>#NUM!</v>
      </c>
      <c r="L3029" s="83">
        <f t="shared" si="483"/>
        <v>0</v>
      </c>
      <c r="M3029" s="110" t="str">
        <f t="shared" si="484"/>
        <v/>
      </c>
      <c r="N3029" s="51" t="str">
        <f t="shared" si="485"/>
        <v/>
      </c>
      <c r="O3029" s="52" t="str">
        <f t="shared" si="486"/>
        <v/>
      </c>
      <c r="P3029" s="88">
        <f t="shared" si="487"/>
        <v>0</v>
      </c>
      <c r="Q3029" s="88">
        <f t="shared" si="488"/>
        <v>0</v>
      </c>
      <c r="R3029" s="88" t="e">
        <f>-IF(Tabla14[[#This Row],[DIAS HABILES O MORA]]&lt;0,(Tabla14[[#This Row],[VALOR PRESTAMO]]*Tabla14[[#This Row],[% INTERES ]]/30*U3029))+Tabla14[[#This Row],[VALOR CUOTAS]]</f>
        <v>#VALUE!</v>
      </c>
      <c r="S3029" s="88">
        <f>-IF(Tabla14[[#This Row],[DIAS HABILES O MORA]]&lt;0,(Tabla14[[#This Row],[VALOR PRESTAMO]]*Tabla14[[#This Row],[% INTERES ]]/30*U3029))</f>
        <v>0</v>
      </c>
      <c r="T3029" s="53" t="e">
        <f>Tabla14[[#This Row],[DEUDA CAPITAL]]+Tabla14[[#This Row],[INTERES  CUOTA]]</f>
        <v>#NUM!</v>
      </c>
      <c r="U3029" s="61" t="str">
        <f t="shared" si="489"/>
        <v/>
      </c>
    </row>
    <row r="3030" spans="9:21" ht="24.75" customHeight="1" x14ac:dyDescent="0.35">
      <c r="I3030" s="42">
        <f t="shared" si="480"/>
        <v>0</v>
      </c>
      <c r="J3030" s="65" t="e">
        <f t="shared" si="481"/>
        <v>#NUM!</v>
      </c>
      <c r="K3030" s="83" t="e">
        <f t="shared" si="482"/>
        <v>#NUM!</v>
      </c>
      <c r="L3030" s="83">
        <f t="shared" si="483"/>
        <v>0</v>
      </c>
      <c r="M3030" s="110" t="str">
        <f t="shared" si="484"/>
        <v/>
      </c>
      <c r="N3030" s="51" t="str">
        <f t="shared" si="485"/>
        <v/>
      </c>
      <c r="O3030" s="52" t="str">
        <f t="shared" si="486"/>
        <v/>
      </c>
      <c r="P3030" s="88">
        <f t="shared" si="487"/>
        <v>0</v>
      </c>
      <c r="Q3030" s="88">
        <f t="shared" si="488"/>
        <v>0</v>
      </c>
      <c r="R3030" s="88" t="e">
        <f>-IF(Tabla14[[#This Row],[DIAS HABILES O MORA]]&lt;0,(Tabla14[[#This Row],[VALOR PRESTAMO]]*Tabla14[[#This Row],[% INTERES ]]/30*U3030))+Tabla14[[#This Row],[VALOR CUOTAS]]</f>
        <v>#VALUE!</v>
      </c>
      <c r="S3030" s="88">
        <f>-IF(Tabla14[[#This Row],[DIAS HABILES O MORA]]&lt;0,(Tabla14[[#This Row],[VALOR PRESTAMO]]*Tabla14[[#This Row],[% INTERES ]]/30*U3030))</f>
        <v>0</v>
      </c>
      <c r="T3030" s="53" t="e">
        <f>Tabla14[[#This Row],[DEUDA CAPITAL]]+Tabla14[[#This Row],[INTERES  CUOTA]]</f>
        <v>#NUM!</v>
      </c>
      <c r="U3030" s="61" t="str">
        <f t="shared" si="489"/>
        <v/>
      </c>
    </row>
    <row r="3031" spans="9:21" ht="24.75" customHeight="1" x14ac:dyDescent="0.35">
      <c r="I3031" s="42">
        <f t="shared" si="480"/>
        <v>0</v>
      </c>
      <c r="J3031" s="65" t="e">
        <f t="shared" si="481"/>
        <v>#NUM!</v>
      </c>
      <c r="K3031" s="83" t="e">
        <f t="shared" si="482"/>
        <v>#NUM!</v>
      </c>
      <c r="L3031" s="83">
        <f t="shared" si="483"/>
        <v>0</v>
      </c>
      <c r="M3031" s="110" t="str">
        <f t="shared" si="484"/>
        <v/>
      </c>
      <c r="N3031" s="51" t="str">
        <f t="shared" si="485"/>
        <v/>
      </c>
      <c r="O3031" s="52" t="str">
        <f t="shared" si="486"/>
        <v/>
      </c>
      <c r="P3031" s="88">
        <f t="shared" si="487"/>
        <v>0</v>
      </c>
      <c r="Q3031" s="88">
        <f t="shared" si="488"/>
        <v>0</v>
      </c>
      <c r="R3031" s="88" t="e">
        <f>-IF(Tabla14[[#This Row],[DIAS HABILES O MORA]]&lt;0,(Tabla14[[#This Row],[VALOR PRESTAMO]]*Tabla14[[#This Row],[% INTERES ]]/30*U3031))+Tabla14[[#This Row],[VALOR CUOTAS]]</f>
        <v>#VALUE!</v>
      </c>
      <c r="S3031" s="88">
        <f>-IF(Tabla14[[#This Row],[DIAS HABILES O MORA]]&lt;0,(Tabla14[[#This Row],[VALOR PRESTAMO]]*Tabla14[[#This Row],[% INTERES ]]/30*U3031))</f>
        <v>0</v>
      </c>
      <c r="T3031" s="53" t="e">
        <f>Tabla14[[#This Row],[DEUDA CAPITAL]]+Tabla14[[#This Row],[INTERES  CUOTA]]</f>
        <v>#NUM!</v>
      </c>
      <c r="U3031" s="61" t="str">
        <f t="shared" si="489"/>
        <v/>
      </c>
    </row>
    <row r="3032" spans="9:21" ht="24.75" customHeight="1" x14ac:dyDescent="0.35">
      <c r="I3032" s="42">
        <f t="shared" si="480"/>
        <v>0</v>
      </c>
      <c r="J3032" s="65" t="e">
        <f t="shared" si="481"/>
        <v>#NUM!</v>
      </c>
      <c r="K3032" s="83" t="e">
        <f t="shared" si="482"/>
        <v>#NUM!</v>
      </c>
      <c r="L3032" s="83">
        <f t="shared" si="483"/>
        <v>0</v>
      </c>
      <c r="M3032" s="110" t="str">
        <f t="shared" si="484"/>
        <v/>
      </c>
      <c r="N3032" s="51" t="str">
        <f t="shared" si="485"/>
        <v/>
      </c>
      <c r="O3032" s="52" t="str">
        <f t="shared" si="486"/>
        <v/>
      </c>
      <c r="P3032" s="88">
        <f t="shared" si="487"/>
        <v>0</v>
      </c>
      <c r="Q3032" s="88">
        <f t="shared" si="488"/>
        <v>0</v>
      </c>
      <c r="R3032" s="88" t="e">
        <f>-IF(Tabla14[[#This Row],[DIAS HABILES O MORA]]&lt;0,(Tabla14[[#This Row],[VALOR PRESTAMO]]*Tabla14[[#This Row],[% INTERES ]]/30*U3032))+Tabla14[[#This Row],[VALOR CUOTAS]]</f>
        <v>#VALUE!</v>
      </c>
      <c r="S3032" s="88">
        <f>-IF(Tabla14[[#This Row],[DIAS HABILES O MORA]]&lt;0,(Tabla14[[#This Row],[VALOR PRESTAMO]]*Tabla14[[#This Row],[% INTERES ]]/30*U3032))</f>
        <v>0</v>
      </c>
      <c r="T3032" s="53" t="e">
        <f>Tabla14[[#This Row],[DEUDA CAPITAL]]+Tabla14[[#This Row],[INTERES  CUOTA]]</f>
        <v>#NUM!</v>
      </c>
      <c r="U3032" s="61" t="str">
        <f t="shared" si="489"/>
        <v/>
      </c>
    </row>
    <row r="3033" spans="9:21" ht="24.75" customHeight="1" x14ac:dyDescent="0.35">
      <c r="I3033" s="42">
        <f t="shared" si="480"/>
        <v>0</v>
      </c>
      <c r="J3033" s="65" t="e">
        <f t="shared" si="481"/>
        <v>#NUM!</v>
      </c>
      <c r="K3033" s="83" t="e">
        <f t="shared" si="482"/>
        <v>#NUM!</v>
      </c>
      <c r="L3033" s="83">
        <f t="shared" si="483"/>
        <v>0</v>
      </c>
      <c r="M3033" s="110" t="str">
        <f t="shared" si="484"/>
        <v/>
      </c>
      <c r="N3033" s="51" t="str">
        <f t="shared" si="485"/>
        <v/>
      </c>
      <c r="O3033" s="52" t="str">
        <f t="shared" si="486"/>
        <v/>
      </c>
      <c r="P3033" s="88">
        <f t="shared" si="487"/>
        <v>0</v>
      </c>
      <c r="Q3033" s="88">
        <f t="shared" si="488"/>
        <v>0</v>
      </c>
      <c r="R3033" s="88" t="e">
        <f>-IF(Tabla14[[#This Row],[DIAS HABILES O MORA]]&lt;0,(Tabla14[[#This Row],[VALOR PRESTAMO]]*Tabla14[[#This Row],[% INTERES ]]/30*U3033))+Tabla14[[#This Row],[VALOR CUOTAS]]</f>
        <v>#VALUE!</v>
      </c>
      <c r="S3033" s="88">
        <f>-IF(Tabla14[[#This Row],[DIAS HABILES O MORA]]&lt;0,(Tabla14[[#This Row],[VALOR PRESTAMO]]*Tabla14[[#This Row],[% INTERES ]]/30*U3033))</f>
        <v>0</v>
      </c>
      <c r="T3033" s="53" t="e">
        <f>Tabla14[[#This Row],[DEUDA CAPITAL]]+Tabla14[[#This Row],[INTERES  CUOTA]]</f>
        <v>#NUM!</v>
      </c>
      <c r="U3033" s="61" t="str">
        <f t="shared" si="489"/>
        <v/>
      </c>
    </row>
    <row r="3034" spans="9:21" ht="24.75" customHeight="1" x14ac:dyDescent="0.35">
      <c r="I3034" s="42">
        <f t="shared" si="480"/>
        <v>0</v>
      </c>
      <c r="J3034" s="65" t="e">
        <f t="shared" si="481"/>
        <v>#NUM!</v>
      </c>
      <c r="K3034" s="83" t="e">
        <f t="shared" si="482"/>
        <v>#NUM!</v>
      </c>
      <c r="L3034" s="83">
        <f t="shared" si="483"/>
        <v>0</v>
      </c>
      <c r="M3034" s="110" t="str">
        <f t="shared" si="484"/>
        <v/>
      </c>
      <c r="N3034" s="51" t="str">
        <f t="shared" si="485"/>
        <v/>
      </c>
      <c r="O3034" s="52" t="str">
        <f t="shared" si="486"/>
        <v/>
      </c>
      <c r="P3034" s="88">
        <f t="shared" si="487"/>
        <v>0</v>
      </c>
      <c r="Q3034" s="88">
        <f t="shared" si="488"/>
        <v>0</v>
      </c>
      <c r="R3034" s="88" t="e">
        <f>-IF(Tabla14[[#This Row],[DIAS HABILES O MORA]]&lt;0,(Tabla14[[#This Row],[VALOR PRESTAMO]]*Tabla14[[#This Row],[% INTERES ]]/30*U3034))+Tabla14[[#This Row],[VALOR CUOTAS]]</f>
        <v>#VALUE!</v>
      </c>
      <c r="S3034" s="88">
        <f>-IF(Tabla14[[#This Row],[DIAS HABILES O MORA]]&lt;0,(Tabla14[[#This Row],[VALOR PRESTAMO]]*Tabla14[[#This Row],[% INTERES ]]/30*U3034))</f>
        <v>0</v>
      </c>
      <c r="T3034" s="53" t="e">
        <f>Tabla14[[#This Row],[DEUDA CAPITAL]]+Tabla14[[#This Row],[INTERES  CUOTA]]</f>
        <v>#NUM!</v>
      </c>
      <c r="U3034" s="61" t="str">
        <f t="shared" si="489"/>
        <v/>
      </c>
    </row>
    <row r="3035" spans="9:21" ht="24.75" customHeight="1" x14ac:dyDescent="0.35">
      <c r="I3035" s="42">
        <f t="shared" si="480"/>
        <v>0</v>
      </c>
      <c r="J3035" s="65" t="e">
        <f t="shared" si="481"/>
        <v>#NUM!</v>
      </c>
      <c r="K3035" s="83" t="e">
        <f t="shared" si="482"/>
        <v>#NUM!</v>
      </c>
      <c r="L3035" s="83">
        <f t="shared" si="483"/>
        <v>0</v>
      </c>
      <c r="M3035" s="110" t="str">
        <f t="shared" si="484"/>
        <v/>
      </c>
      <c r="N3035" s="51" t="str">
        <f t="shared" si="485"/>
        <v/>
      </c>
      <c r="O3035" s="52" t="str">
        <f t="shared" si="486"/>
        <v/>
      </c>
      <c r="P3035" s="88">
        <f t="shared" si="487"/>
        <v>0</v>
      </c>
      <c r="Q3035" s="88">
        <f t="shared" si="488"/>
        <v>0</v>
      </c>
      <c r="R3035" s="88" t="e">
        <f>-IF(Tabla14[[#This Row],[DIAS HABILES O MORA]]&lt;0,(Tabla14[[#This Row],[VALOR PRESTAMO]]*Tabla14[[#This Row],[% INTERES ]]/30*U3035))+Tabla14[[#This Row],[VALOR CUOTAS]]</f>
        <v>#VALUE!</v>
      </c>
      <c r="S3035" s="88">
        <f>-IF(Tabla14[[#This Row],[DIAS HABILES O MORA]]&lt;0,(Tabla14[[#This Row],[VALOR PRESTAMO]]*Tabla14[[#This Row],[% INTERES ]]/30*U3035))</f>
        <v>0</v>
      </c>
      <c r="T3035" s="53" t="e">
        <f>Tabla14[[#This Row],[DEUDA CAPITAL]]+Tabla14[[#This Row],[INTERES  CUOTA]]</f>
        <v>#NUM!</v>
      </c>
      <c r="U3035" s="61" t="str">
        <f t="shared" si="489"/>
        <v/>
      </c>
    </row>
    <row r="3036" spans="9:21" ht="24.75" customHeight="1" x14ac:dyDescent="0.35">
      <c r="I3036" s="42">
        <f t="shared" si="480"/>
        <v>0</v>
      </c>
      <c r="J3036" s="65" t="e">
        <f t="shared" si="481"/>
        <v>#NUM!</v>
      </c>
      <c r="K3036" s="83" t="e">
        <f t="shared" si="482"/>
        <v>#NUM!</v>
      </c>
      <c r="L3036" s="83">
        <f t="shared" si="483"/>
        <v>0</v>
      </c>
      <c r="M3036" s="110" t="str">
        <f t="shared" si="484"/>
        <v/>
      </c>
      <c r="N3036" s="51" t="str">
        <f t="shared" si="485"/>
        <v/>
      </c>
      <c r="O3036" s="52" t="str">
        <f t="shared" si="486"/>
        <v/>
      </c>
      <c r="P3036" s="88">
        <f t="shared" si="487"/>
        <v>0</v>
      </c>
      <c r="Q3036" s="88">
        <f t="shared" si="488"/>
        <v>0</v>
      </c>
      <c r="R3036" s="88" t="e">
        <f>-IF(Tabla14[[#This Row],[DIAS HABILES O MORA]]&lt;0,(Tabla14[[#This Row],[VALOR PRESTAMO]]*Tabla14[[#This Row],[% INTERES ]]/30*U3036))+Tabla14[[#This Row],[VALOR CUOTAS]]</f>
        <v>#VALUE!</v>
      </c>
      <c r="S3036" s="88">
        <f>-IF(Tabla14[[#This Row],[DIAS HABILES O MORA]]&lt;0,(Tabla14[[#This Row],[VALOR PRESTAMO]]*Tabla14[[#This Row],[% INTERES ]]/30*U3036))</f>
        <v>0</v>
      </c>
      <c r="T3036" s="53" t="e">
        <f>Tabla14[[#This Row],[DEUDA CAPITAL]]+Tabla14[[#This Row],[INTERES  CUOTA]]</f>
        <v>#NUM!</v>
      </c>
      <c r="U3036" s="61" t="str">
        <f t="shared" si="489"/>
        <v/>
      </c>
    </row>
    <row r="3037" spans="9:21" ht="24.75" customHeight="1" x14ac:dyDescent="0.35">
      <c r="I3037" s="42">
        <f t="shared" si="480"/>
        <v>0</v>
      </c>
      <c r="J3037" s="65" t="e">
        <f t="shared" si="481"/>
        <v>#NUM!</v>
      </c>
      <c r="K3037" s="83" t="e">
        <f t="shared" si="482"/>
        <v>#NUM!</v>
      </c>
      <c r="L3037" s="83">
        <f t="shared" si="483"/>
        <v>0</v>
      </c>
      <c r="M3037" s="110" t="str">
        <f t="shared" si="484"/>
        <v/>
      </c>
      <c r="N3037" s="51" t="str">
        <f t="shared" si="485"/>
        <v/>
      </c>
      <c r="O3037" s="52" t="str">
        <f t="shared" si="486"/>
        <v/>
      </c>
      <c r="P3037" s="88">
        <f t="shared" si="487"/>
        <v>0</v>
      </c>
      <c r="Q3037" s="88">
        <f t="shared" si="488"/>
        <v>0</v>
      </c>
      <c r="R3037" s="88" t="e">
        <f>-IF(Tabla14[[#This Row],[DIAS HABILES O MORA]]&lt;0,(Tabla14[[#This Row],[VALOR PRESTAMO]]*Tabla14[[#This Row],[% INTERES ]]/30*U3037))+Tabla14[[#This Row],[VALOR CUOTAS]]</f>
        <v>#VALUE!</v>
      </c>
      <c r="S3037" s="88">
        <f>-IF(Tabla14[[#This Row],[DIAS HABILES O MORA]]&lt;0,(Tabla14[[#This Row],[VALOR PRESTAMO]]*Tabla14[[#This Row],[% INTERES ]]/30*U3037))</f>
        <v>0</v>
      </c>
      <c r="T3037" s="53" t="e">
        <f>Tabla14[[#This Row],[DEUDA CAPITAL]]+Tabla14[[#This Row],[INTERES  CUOTA]]</f>
        <v>#NUM!</v>
      </c>
      <c r="U3037" s="61" t="str">
        <f t="shared" si="489"/>
        <v/>
      </c>
    </row>
    <row r="3038" spans="9:21" ht="24.75" customHeight="1" x14ac:dyDescent="0.35">
      <c r="I3038" s="42">
        <f t="shared" si="480"/>
        <v>0</v>
      </c>
      <c r="J3038" s="65" t="e">
        <f t="shared" si="481"/>
        <v>#NUM!</v>
      </c>
      <c r="K3038" s="83" t="e">
        <f t="shared" si="482"/>
        <v>#NUM!</v>
      </c>
      <c r="L3038" s="83">
        <f t="shared" si="483"/>
        <v>0</v>
      </c>
      <c r="M3038" s="110" t="str">
        <f t="shared" si="484"/>
        <v/>
      </c>
      <c r="N3038" s="51" t="str">
        <f t="shared" si="485"/>
        <v/>
      </c>
      <c r="O3038" s="52" t="str">
        <f t="shared" si="486"/>
        <v/>
      </c>
      <c r="P3038" s="88">
        <f t="shared" si="487"/>
        <v>0</v>
      </c>
      <c r="Q3038" s="88">
        <f t="shared" si="488"/>
        <v>0</v>
      </c>
      <c r="R3038" s="88" t="e">
        <f>-IF(Tabla14[[#This Row],[DIAS HABILES O MORA]]&lt;0,(Tabla14[[#This Row],[VALOR PRESTAMO]]*Tabla14[[#This Row],[% INTERES ]]/30*U3038))+Tabla14[[#This Row],[VALOR CUOTAS]]</f>
        <v>#VALUE!</v>
      </c>
      <c r="S3038" s="88">
        <f>-IF(Tabla14[[#This Row],[DIAS HABILES O MORA]]&lt;0,(Tabla14[[#This Row],[VALOR PRESTAMO]]*Tabla14[[#This Row],[% INTERES ]]/30*U3038))</f>
        <v>0</v>
      </c>
      <c r="T3038" s="53" t="e">
        <f>Tabla14[[#This Row],[DEUDA CAPITAL]]+Tabla14[[#This Row],[INTERES  CUOTA]]</f>
        <v>#NUM!</v>
      </c>
      <c r="U3038" s="61" t="str">
        <f t="shared" si="489"/>
        <v/>
      </c>
    </row>
    <row r="3039" spans="9:21" ht="24.75" customHeight="1" x14ac:dyDescent="0.35">
      <c r="I3039" s="42">
        <f t="shared" si="480"/>
        <v>0</v>
      </c>
      <c r="J3039" s="65" t="e">
        <f t="shared" si="481"/>
        <v>#NUM!</v>
      </c>
      <c r="K3039" s="83" t="e">
        <f t="shared" si="482"/>
        <v>#NUM!</v>
      </c>
      <c r="L3039" s="83">
        <f t="shared" si="483"/>
        <v>0</v>
      </c>
      <c r="M3039" s="110" t="str">
        <f t="shared" si="484"/>
        <v/>
      </c>
      <c r="N3039" s="51" t="str">
        <f t="shared" si="485"/>
        <v/>
      </c>
      <c r="O3039" s="52" t="str">
        <f t="shared" si="486"/>
        <v/>
      </c>
      <c r="P3039" s="88">
        <f t="shared" si="487"/>
        <v>0</v>
      </c>
      <c r="Q3039" s="88">
        <f t="shared" si="488"/>
        <v>0</v>
      </c>
      <c r="R3039" s="88" t="e">
        <f>-IF(Tabla14[[#This Row],[DIAS HABILES O MORA]]&lt;0,(Tabla14[[#This Row],[VALOR PRESTAMO]]*Tabla14[[#This Row],[% INTERES ]]/30*U3039))+Tabla14[[#This Row],[VALOR CUOTAS]]</f>
        <v>#VALUE!</v>
      </c>
      <c r="S3039" s="88">
        <f>-IF(Tabla14[[#This Row],[DIAS HABILES O MORA]]&lt;0,(Tabla14[[#This Row],[VALOR PRESTAMO]]*Tabla14[[#This Row],[% INTERES ]]/30*U3039))</f>
        <v>0</v>
      </c>
      <c r="T3039" s="53" t="e">
        <f>Tabla14[[#This Row],[DEUDA CAPITAL]]+Tabla14[[#This Row],[INTERES  CUOTA]]</f>
        <v>#NUM!</v>
      </c>
      <c r="U3039" s="61" t="str">
        <f t="shared" si="489"/>
        <v/>
      </c>
    </row>
    <row r="3040" spans="9:21" ht="24.75" customHeight="1" x14ac:dyDescent="0.35">
      <c r="I3040" s="42">
        <f t="shared" si="480"/>
        <v>0</v>
      </c>
      <c r="J3040" s="65" t="e">
        <f t="shared" si="481"/>
        <v>#NUM!</v>
      </c>
      <c r="K3040" s="83" t="e">
        <f t="shared" si="482"/>
        <v>#NUM!</v>
      </c>
      <c r="L3040" s="83">
        <f t="shared" si="483"/>
        <v>0</v>
      </c>
      <c r="M3040" s="110" t="str">
        <f t="shared" si="484"/>
        <v/>
      </c>
      <c r="N3040" s="51" t="str">
        <f t="shared" si="485"/>
        <v/>
      </c>
      <c r="O3040" s="52" t="str">
        <f t="shared" si="486"/>
        <v/>
      </c>
      <c r="P3040" s="88">
        <f t="shared" si="487"/>
        <v>0</v>
      </c>
      <c r="Q3040" s="88">
        <f t="shared" si="488"/>
        <v>0</v>
      </c>
      <c r="R3040" s="88" t="e">
        <f>-IF(Tabla14[[#This Row],[DIAS HABILES O MORA]]&lt;0,(Tabla14[[#This Row],[VALOR PRESTAMO]]*Tabla14[[#This Row],[% INTERES ]]/30*U3040))+Tabla14[[#This Row],[VALOR CUOTAS]]</f>
        <v>#VALUE!</v>
      </c>
      <c r="S3040" s="88">
        <f>-IF(Tabla14[[#This Row],[DIAS HABILES O MORA]]&lt;0,(Tabla14[[#This Row],[VALOR PRESTAMO]]*Tabla14[[#This Row],[% INTERES ]]/30*U3040))</f>
        <v>0</v>
      </c>
      <c r="T3040" s="53" t="e">
        <f>Tabla14[[#This Row],[DEUDA CAPITAL]]+Tabla14[[#This Row],[INTERES  CUOTA]]</f>
        <v>#NUM!</v>
      </c>
      <c r="U3040" s="61" t="str">
        <f t="shared" si="489"/>
        <v/>
      </c>
    </row>
    <row r="3041" spans="9:21" ht="24.75" customHeight="1" x14ac:dyDescent="0.35">
      <c r="I3041" s="42">
        <f t="shared" si="480"/>
        <v>0</v>
      </c>
      <c r="J3041" s="65" t="e">
        <f t="shared" si="481"/>
        <v>#NUM!</v>
      </c>
      <c r="K3041" s="83" t="e">
        <f t="shared" si="482"/>
        <v>#NUM!</v>
      </c>
      <c r="L3041" s="83">
        <f t="shared" si="483"/>
        <v>0</v>
      </c>
      <c r="M3041" s="110" t="str">
        <f t="shared" si="484"/>
        <v/>
      </c>
      <c r="N3041" s="51" t="str">
        <f t="shared" si="485"/>
        <v/>
      </c>
      <c r="O3041" s="52" t="str">
        <f t="shared" si="486"/>
        <v/>
      </c>
      <c r="P3041" s="88">
        <f t="shared" si="487"/>
        <v>0</v>
      </c>
      <c r="Q3041" s="88">
        <f t="shared" si="488"/>
        <v>0</v>
      </c>
      <c r="R3041" s="88" t="e">
        <f>-IF(Tabla14[[#This Row],[DIAS HABILES O MORA]]&lt;0,(Tabla14[[#This Row],[VALOR PRESTAMO]]*Tabla14[[#This Row],[% INTERES ]]/30*U3041))+Tabla14[[#This Row],[VALOR CUOTAS]]</f>
        <v>#VALUE!</v>
      </c>
      <c r="S3041" s="88">
        <f>-IF(Tabla14[[#This Row],[DIAS HABILES O MORA]]&lt;0,(Tabla14[[#This Row],[VALOR PRESTAMO]]*Tabla14[[#This Row],[% INTERES ]]/30*U3041))</f>
        <v>0</v>
      </c>
      <c r="T3041" s="53" t="e">
        <f>Tabla14[[#This Row],[DEUDA CAPITAL]]+Tabla14[[#This Row],[INTERES  CUOTA]]</f>
        <v>#NUM!</v>
      </c>
      <c r="U3041" s="61" t="str">
        <f t="shared" si="489"/>
        <v/>
      </c>
    </row>
    <row r="3042" spans="9:21" ht="24.75" customHeight="1" x14ac:dyDescent="0.35">
      <c r="I3042" s="42">
        <f t="shared" si="480"/>
        <v>0</v>
      </c>
      <c r="J3042" s="65" t="e">
        <f t="shared" si="481"/>
        <v>#NUM!</v>
      </c>
      <c r="K3042" s="83" t="e">
        <f t="shared" si="482"/>
        <v>#NUM!</v>
      </c>
      <c r="L3042" s="83">
        <f t="shared" si="483"/>
        <v>0</v>
      </c>
      <c r="M3042" s="110" t="str">
        <f t="shared" si="484"/>
        <v/>
      </c>
      <c r="N3042" s="51" t="str">
        <f t="shared" si="485"/>
        <v/>
      </c>
      <c r="O3042" s="52" t="str">
        <f t="shared" si="486"/>
        <v/>
      </c>
      <c r="P3042" s="88">
        <f t="shared" si="487"/>
        <v>0</v>
      </c>
      <c r="Q3042" s="88">
        <f t="shared" si="488"/>
        <v>0</v>
      </c>
      <c r="R3042" s="88" t="e">
        <f>-IF(Tabla14[[#This Row],[DIAS HABILES O MORA]]&lt;0,(Tabla14[[#This Row],[VALOR PRESTAMO]]*Tabla14[[#This Row],[% INTERES ]]/30*U3042))+Tabla14[[#This Row],[VALOR CUOTAS]]</f>
        <v>#VALUE!</v>
      </c>
      <c r="S3042" s="88">
        <f>-IF(Tabla14[[#This Row],[DIAS HABILES O MORA]]&lt;0,(Tabla14[[#This Row],[VALOR PRESTAMO]]*Tabla14[[#This Row],[% INTERES ]]/30*U3042))</f>
        <v>0</v>
      </c>
      <c r="T3042" s="53" t="e">
        <f>Tabla14[[#This Row],[DEUDA CAPITAL]]+Tabla14[[#This Row],[INTERES  CUOTA]]</f>
        <v>#NUM!</v>
      </c>
      <c r="U3042" s="61" t="str">
        <f t="shared" si="489"/>
        <v/>
      </c>
    </row>
    <row r="3043" spans="9:21" ht="24.75" customHeight="1" x14ac:dyDescent="0.35">
      <c r="I3043" s="42">
        <f t="shared" si="480"/>
        <v>0</v>
      </c>
      <c r="J3043" s="65" t="e">
        <f t="shared" si="481"/>
        <v>#NUM!</v>
      </c>
      <c r="K3043" s="83" t="e">
        <f t="shared" si="482"/>
        <v>#NUM!</v>
      </c>
      <c r="L3043" s="83">
        <f t="shared" si="483"/>
        <v>0</v>
      </c>
      <c r="M3043" s="110" t="str">
        <f t="shared" si="484"/>
        <v/>
      </c>
      <c r="N3043" s="51" t="str">
        <f t="shared" si="485"/>
        <v/>
      </c>
      <c r="O3043" s="52" t="str">
        <f t="shared" si="486"/>
        <v/>
      </c>
      <c r="P3043" s="88">
        <f t="shared" si="487"/>
        <v>0</v>
      </c>
      <c r="Q3043" s="88">
        <f t="shared" si="488"/>
        <v>0</v>
      </c>
      <c r="R3043" s="88" t="e">
        <f>-IF(Tabla14[[#This Row],[DIAS HABILES O MORA]]&lt;0,(Tabla14[[#This Row],[VALOR PRESTAMO]]*Tabla14[[#This Row],[% INTERES ]]/30*U3043))+Tabla14[[#This Row],[VALOR CUOTAS]]</f>
        <v>#VALUE!</v>
      </c>
      <c r="S3043" s="88">
        <f>-IF(Tabla14[[#This Row],[DIAS HABILES O MORA]]&lt;0,(Tabla14[[#This Row],[VALOR PRESTAMO]]*Tabla14[[#This Row],[% INTERES ]]/30*U3043))</f>
        <v>0</v>
      </c>
      <c r="T3043" s="53" t="e">
        <f>Tabla14[[#This Row],[DEUDA CAPITAL]]+Tabla14[[#This Row],[INTERES  CUOTA]]</f>
        <v>#NUM!</v>
      </c>
      <c r="U3043" s="61" t="str">
        <f t="shared" si="489"/>
        <v/>
      </c>
    </row>
    <row r="3044" spans="9:21" ht="24.75" customHeight="1" x14ac:dyDescent="0.35">
      <c r="I3044" s="42">
        <f t="shared" si="480"/>
        <v>0</v>
      </c>
      <c r="J3044" s="65" t="e">
        <f t="shared" si="481"/>
        <v>#NUM!</v>
      </c>
      <c r="K3044" s="83" t="e">
        <f t="shared" si="482"/>
        <v>#NUM!</v>
      </c>
      <c r="L3044" s="83">
        <f t="shared" si="483"/>
        <v>0</v>
      </c>
      <c r="M3044" s="110" t="str">
        <f t="shared" si="484"/>
        <v/>
      </c>
      <c r="N3044" s="51" t="str">
        <f t="shared" si="485"/>
        <v/>
      </c>
      <c r="O3044" s="52" t="str">
        <f t="shared" si="486"/>
        <v/>
      </c>
      <c r="P3044" s="88">
        <f t="shared" si="487"/>
        <v>0</v>
      </c>
      <c r="Q3044" s="88">
        <f t="shared" si="488"/>
        <v>0</v>
      </c>
      <c r="R3044" s="88" t="e">
        <f>-IF(Tabla14[[#This Row],[DIAS HABILES O MORA]]&lt;0,(Tabla14[[#This Row],[VALOR PRESTAMO]]*Tabla14[[#This Row],[% INTERES ]]/30*U3044))+Tabla14[[#This Row],[VALOR CUOTAS]]</f>
        <v>#VALUE!</v>
      </c>
      <c r="S3044" s="88">
        <f>-IF(Tabla14[[#This Row],[DIAS HABILES O MORA]]&lt;0,(Tabla14[[#This Row],[VALOR PRESTAMO]]*Tabla14[[#This Row],[% INTERES ]]/30*U3044))</f>
        <v>0</v>
      </c>
      <c r="T3044" s="53" t="e">
        <f>Tabla14[[#This Row],[DEUDA CAPITAL]]+Tabla14[[#This Row],[INTERES  CUOTA]]</f>
        <v>#NUM!</v>
      </c>
      <c r="U3044" s="61" t="str">
        <f t="shared" si="489"/>
        <v/>
      </c>
    </row>
    <row r="3045" spans="9:21" ht="24.75" customHeight="1" x14ac:dyDescent="0.35">
      <c r="I3045" s="42">
        <f t="shared" si="480"/>
        <v>0</v>
      </c>
      <c r="J3045" s="65" t="e">
        <f t="shared" si="481"/>
        <v>#NUM!</v>
      </c>
      <c r="K3045" s="83" t="e">
        <f t="shared" si="482"/>
        <v>#NUM!</v>
      </c>
      <c r="L3045" s="83">
        <f t="shared" si="483"/>
        <v>0</v>
      </c>
      <c r="M3045" s="110" t="str">
        <f t="shared" si="484"/>
        <v/>
      </c>
      <c r="N3045" s="51" t="str">
        <f t="shared" si="485"/>
        <v/>
      </c>
      <c r="O3045" s="52" t="str">
        <f t="shared" si="486"/>
        <v/>
      </c>
      <c r="P3045" s="88">
        <f t="shared" si="487"/>
        <v>0</v>
      </c>
      <c r="Q3045" s="88">
        <f t="shared" si="488"/>
        <v>0</v>
      </c>
      <c r="R3045" s="88" t="e">
        <f>-IF(Tabla14[[#This Row],[DIAS HABILES O MORA]]&lt;0,(Tabla14[[#This Row],[VALOR PRESTAMO]]*Tabla14[[#This Row],[% INTERES ]]/30*U3045))+Tabla14[[#This Row],[VALOR CUOTAS]]</f>
        <v>#VALUE!</v>
      </c>
      <c r="S3045" s="88">
        <f>-IF(Tabla14[[#This Row],[DIAS HABILES O MORA]]&lt;0,(Tabla14[[#This Row],[VALOR PRESTAMO]]*Tabla14[[#This Row],[% INTERES ]]/30*U3045))</f>
        <v>0</v>
      </c>
      <c r="T3045" s="53" t="e">
        <f>Tabla14[[#This Row],[DEUDA CAPITAL]]+Tabla14[[#This Row],[INTERES  CUOTA]]</f>
        <v>#NUM!</v>
      </c>
      <c r="U3045" s="61" t="str">
        <f t="shared" si="489"/>
        <v/>
      </c>
    </row>
    <row r="3046" spans="9:21" ht="24.75" customHeight="1" x14ac:dyDescent="0.35">
      <c r="I3046" s="42">
        <f t="shared" si="480"/>
        <v>0</v>
      </c>
      <c r="J3046" s="65" t="e">
        <f t="shared" si="481"/>
        <v>#NUM!</v>
      </c>
      <c r="K3046" s="83" t="e">
        <f t="shared" si="482"/>
        <v>#NUM!</v>
      </c>
      <c r="L3046" s="83">
        <f t="shared" si="483"/>
        <v>0</v>
      </c>
      <c r="M3046" s="110" t="str">
        <f t="shared" si="484"/>
        <v/>
      </c>
      <c r="N3046" s="51" t="str">
        <f t="shared" si="485"/>
        <v/>
      </c>
      <c r="O3046" s="52" t="str">
        <f t="shared" si="486"/>
        <v/>
      </c>
      <c r="P3046" s="88">
        <f t="shared" si="487"/>
        <v>0</v>
      </c>
      <c r="Q3046" s="88">
        <f t="shared" si="488"/>
        <v>0</v>
      </c>
      <c r="R3046" s="88" t="e">
        <f>-IF(Tabla14[[#This Row],[DIAS HABILES O MORA]]&lt;0,(Tabla14[[#This Row],[VALOR PRESTAMO]]*Tabla14[[#This Row],[% INTERES ]]/30*U3046))+Tabla14[[#This Row],[VALOR CUOTAS]]</f>
        <v>#VALUE!</v>
      </c>
      <c r="S3046" s="88">
        <f>-IF(Tabla14[[#This Row],[DIAS HABILES O MORA]]&lt;0,(Tabla14[[#This Row],[VALOR PRESTAMO]]*Tabla14[[#This Row],[% INTERES ]]/30*U3046))</f>
        <v>0</v>
      </c>
      <c r="T3046" s="53" t="e">
        <f>Tabla14[[#This Row],[DEUDA CAPITAL]]+Tabla14[[#This Row],[INTERES  CUOTA]]</f>
        <v>#NUM!</v>
      </c>
      <c r="U3046" s="61" t="str">
        <f t="shared" si="489"/>
        <v/>
      </c>
    </row>
    <row r="3047" spans="9:21" ht="24.75" customHeight="1" x14ac:dyDescent="0.35">
      <c r="I3047" s="42">
        <f t="shared" si="480"/>
        <v>0</v>
      </c>
      <c r="J3047" s="65" t="e">
        <f t="shared" si="481"/>
        <v>#NUM!</v>
      </c>
      <c r="K3047" s="83" t="e">
        <f t="shared" si="482"/>
        <v>#NUM!</v>
      </c>
      <c r="L3047" s="83">
        <f t="shared" si="483"/>
        <v>0</v>
      </c>
      <c r="M3047" s="110" t="str">
        <f t="shared" si="484"/>
        <v/>
      </c>
      <c r="N3047" s="51" t="str">
        <f t="shared" si="485"/>
        <v/>
      </c>
      <c r="O3047" s="52" t="str">
        <f t="shared" si="486"/>
        <v/>
      </c>
      <c r="P3047" s="88">
        <f t="shared" si="487"/>
        <v>0</v>
      </c>
      <c r="Q3047" s="88">
        <f t="shared" si="488"/>
        <v>0</v>
      </c>
      <c r="R3047" s="88" t="e">
        <f>-IF(Tabla14[[#This Row],[DIAS HABILES O MORA]]&lt;0,(Tabla14[[#This Row],[VALOR PRESTAMO]]*Tabla14[[#This Row],[% INTERES ]]/30*U3047))+Tabla14[[#This Row],[VALOR CUOTAS]]</f>
        <v>#VALUE!</v>
      </c>
      <c r="S3047" s="88">
        <f>-IF(Tabla14[[#This Row],[DIAS HABILES O MORA]]&lt;0,(Tabla14[[#This Row],[VALOR PRESTAMO]]*Tabla14[[#This Row],[% INTERES ]]/30*U3047))</f>
        <v>0</v>
      </c>
      <c r="T3047" s="53" t="e">
        <f>Tabla14[[#This Row],[DEUDA CAPITAL]]+Tabla14[[#This Row],[INTERES  CUOTA]]</f>
        <v>#NUM!</v>
      </c>
      <c r="U3047" s="61" t="str">
        <f t="shared" si="489"/>
        <v/>
      </c>
    </row>
    <row r="3048" spans="9:21" ht="24.75" customHeight="1" x14ac:dyDescent="0.35">
      <c r="I3048" s="42">
        <f t="shared" si="480"/>
        <v>0</v>
      </c>
      <c r="J3048" s="65" t="e">
        <f t="shared" si="481"/>
        <v>#NUM!</v>
      </c>
      <c r="K3048" s="83" t="e">
        <f t="shared" si="482"/>
        <v>#NUM!</v>
      </c>
      <c r="L3048" s="83">
        <f t="shared" si="483"/>
        <v>0</v>
      </c>
      <c r="M3048" s="110" t="str">
        <f t="shared" si="484"/>
        <v/>
      </c>
      <c r="N3048" s="51" t="str">
        <f t="shared" si="485"/>
        <v/>
      </c>
      <c r="O3048" s="52" t="str">
        <f t="shared" si="486"/>
        <v/>
      </c>
      <c r="P3048" s="88">
        <f t="shared" si="487"/>
        <v>0</v>
      </c>
      <c r="Q3048" s="88">
        <f t="shared" si="488"/>
        <v>0</v>
      </c>
      <c r="R3048" s="88" t="e">
        <f>-IF(Tabla14[[#This Row],[DIAS HABILES O MORA]]&lt;0,(Tabla14[[#This Row],[VALOR PRESTAMO]]*Tabla14[[#This Row],[% INTERES ]]/30*U3048))+Tabla14[[#This Row],[VALOR CUOTAS]]</f>
        <v>#VALUE!</v>
      </c>
      <c r="S3048" s="88">
        <f>-IF(Tabla14[[#This Row],[DIAS HABILES O MORA]]&lt;0,(Tabla14[[#This Row],[VALOR PRESTAMO]]*Tabla14[[#This Row],[% INTERES ]]/30*U3048))</f>
        <v>0</v>
      </c>
      <c r="T3048" s="53" t="e">
        <f>Tabla14[[#This Row],[DEUDA CAPITAL]]+Tabla14[[#This Row],[INTERES  CUOTA]]</f>
        <v>#NUM!</v>
      </c>
      <c r="U3048" s="61" t="str">
        <f t="shared" si="489"/>
        <v/>
      </c>
    </row>
    <row r="3049" spans="9:21" ht="24.75" customHeight="1" x14ac:dyDescent="0.35">
      <c r="I3049" s="42">
        <f t="shared" si="480"/>
        <v>0</v>
      </c>
      <c r="J3049" s="65" t="e">
        <f t="shared" si="481"/>
        <v>#NUM!</v>
      </c>
      <c r="K3049" s="83" t="e">
        <f t="shared" si="482"/>
        <v>#NUM!</v>
      </c>
      <c r="L3049" s="83">
        <f t="shared" si="483"/>
        <v>0</v>
      </c>
      <c r="M3049" s="110" t="str">
        <f t="shared" si="484"/>
        <v/>
      </c>
      <c r="N3049" s="51" t="str">
        <f t="shared" si="485"/>
        <v/>
      </c>
      <c r="O3049" s="52" t="str">
        <f t="shared" si="486"/>
        <v/>
      </c>
      <c r="P3049" s="88">
        <f t="shared" si="487"/>
        <v>0</v>
      </c>
      <c r="Q3049" s="88">
        <f t="shared" si="488"/>
        <v>0</v>
      </c>
      <c r="R3049" s="88" t="e">
        <f>-IF(Tabla14[[#This Row],[DIAS HABILES O MORA]]&lt;0,(Tabla14[[#This Row],[VALOR PRESTAMO]]*Tabla14[[#This Row],[% INTERES ]]/30*U3049))+Tabla14[[#This Row],[VALOR CUOTAS]]</f>
        <v>#VALUE!</v>
      </c>
      <c r="S3049" s="88">
        <f>-IF(Tabla14[[#This Row],[DIAS HABILES O MORA]]&lt;0,(Tabla14[[#This Row],[VALOR PRESTAMO]]*Tabla14[[#This Row],[% INTERES ]]/30*U3049))</f>
        <v>0</v>
      </c>
      <c r="T3049" s="53" t="e">
        <f>Tabla14[[#This Row],[DEUDA CAPITAL]]+Tabla14[[#This Row],[INTERES  CUOTA]]</f>
        <v>#NUM!</v>
      </c>
      <c r="U3049" s="61" t="str">
        <f t="shared" si="489"/>
        <v/>
      </c>
    </row>
    <row r="3050" spans="9:21" ht="24.75" customHeight="1" x14ac:dyDescent="0.35">
      <c r="I3050" s="42">
        <f t="shared" si="480"/>
        <v>0</v>
      </c>
      <c r="J3050" s="65" t="e">
        <f t="shared" si="481"/>
        <v>#NUM!</v>
      </c>
      <c r="K3050" s="83" t="e">
        <f t="shared" si="482"/>
        <v>#NUM!</v>
      </c>
      <c r="L3050" s="83">
        <f t="shared" si="483"/>
        <v>0</v>
      </c>
      <c r="M3050" s="110" t="str">
        <f t="shared" si="484"/>
        <v/>
      </c>
      <c r="N3050" s="51" t="str">
        <f t="shared" si="485"/>
        <v/>
      </c>
      <c r="O3050" s="52" t="str">
        <f t="shared" si="486"/>
        <v/>
      </c>
      <c r="P3050" s="88">
        <f t="shared" si="487"/>
        <v>0</v>
      </c>
      <c r="Q3050" s="88">
        <f t="shared" si="488"/>
        <v>0</v>
      </c>
      <c r="R3050" s="88" t="e">
        <f>-IF(Tabla14[[#This Row],[DIAS HABILES O MORA]]&lt;0,(Tabla14[[#This Row],[VALOR PRESTAMO]]*Tabla14[[#This Row],[% INTERES ]]/30*U3050))+Tabla14[[#This Row],[VALOR CUOTAS]]</f>
        <v>#VALUE!</v>
      </c>
      <c r="S3050" s="88">
        <f>-IF(Tabla14[[#This Row],[DIAS HABILES O MORA]]&lt;0,(Tabla14[[#This Row],[VALOR PRESTAMO]]*Tabla14[[#This Row],[% INTERES ]]/30*U3050))</f>
        <v>0</v>
      </c>
      <c r="T3050" s="53" t="e">
        <f>Tabla14[[#This Row],[DEUDA CAPITAL]]+Tabla14[[#This Row],[INTERES  CUOTA]]</f>
        <v>#NUM!</v>
      </c>
      <c r="U3050" s="61" t="str">
        <f t="shared" si="489"/>
        <v/>
      </c>
    </row>
    <row r="3051" spans="9:21" ht="24.75" customHeight="1" x14ac:dyDescent="0.35">
      <c r="I3051" s="42">
        <f t="shared" si="480"/>
        <v>0</v>
      </c>
      <c r="J3051" s="65" t="e">
        <f t="shared" si="481"/>
        <v>#NUM!</v>
      </c>
      <c r="K3051" s="83" t="e">
        <f t="shared" si="482"/>
        <v>#NUM!</v>
      </c>
      <c r="L3051" s="83">
        <f t="shared" si="483"/>
        <v>0</v>
      </c>
      <c r="M3051" s="110" t="str">
        <f t="shared" si="484"/>
        <v/>
      </c>
      <c r="N3051" s="51" t="str">
        <f t="shared" si="485"/>
        <v/>
      </c>
      <c r="O3051" s="52" t="str">
        <f t="shared" si="486"/>
        <v/>
      </c>
      <c r="P3051" s="88">
        <f t="shared" si="487"/>
        <v>0</v>
      </c>
      <c r="Q3051" s="88">
        <f t="shared" si="488"/>
        <v>0</v>
      </c>
      <c r="R3051" s="88" t="e">
        <f>-IF(Tabla14[[#This Row],[DIAS HABILES O MORA]]&lt;0,(Tabla14[[#This Row],[VALOR PRESTAMO]]*Tabla14[[#This Row],[% INTERES ]]/30*U3051))+Tabla14[[#This Row],[VALOR CUOTAS]]</f>
        <v>#VALUE!</v>
      </c>
      <c r="S3051" s="88">
        <f>-IF(Tabla14[[#This Row],[DIAS HABILES O MORA]]&lt;0,(Tabla14[[#This Row],[VALOR PRESTAMO]]*Tabla14[[#This Row],[% INTERES ]]/30*U3051))</f>
        <v>0</v>
      </c>
      <c r="T3051" s="53" t="e">
        <f>Tabla14[[#This Row],[DEUDA CAPITAL]]+Tabla14[[#This Row],[INTERES  CUOTA]]</f>
        <v>#NUM!</v>
      </c>
      <c r="U3051" s="61" t="str">
        <f t="shared" si="489"/>
        <v/>
      </c>
    </row>
    <row r="3052" spans="9:21" ht="24.75" customHeight="1" x14ac:dyDescent="0.35">
      <c r="I3052" s="42">
        <f t="shared" si="480"/>
        <v>0</v>
      </c>
      <c r="J3052" s="65" t="e">
        <f t="shared" si="481"/>
        <v>#NUM!</v>
      </c>
      <c r="K3052" s="83" t="e">
        <f t="shared" si="482"/>
        <v>#NUM!</v>
      </c>
      <c r="L3052" s="83">
        <f t="shared" si="483"/>
        <v>0</v>
      </c>
      <c r="M3052" s="110" t="str">
        <f t="shared" si="484"/>
        <v/>
      </c>
      <c r="N3052" s="51" t="str">
        <f t="shared" si="485"/>
        <v/>
      </c>
      <c r="O3052" s="52" t="str">
        <f t="shared" si="486"/>
        <v/>
      </c>
      <c r="P3052" s="88">
        <f t="shared" si="487"/>
        <v>0</v>
      </c>
      <c r="Q3052" s="88">
        <f t="shared" si="488"/>
        <v>0</v>
      </c>
      <c r="R3052" s="88" t="e">
        <f>-IF(Tabla14[[#This Row],[DIAS HABILES O MORA]]&lt;0,(Tabla14[[#This Row],[VALOR PRESTAMO]]*Tabla14[[#This Row],[% INTERES ]]/30*U3052))+Tabla14[[#This Row],[VALOR CUOTAS]]</f>
        <v>#VALUE!</v>
      </c>
      <c r="S3052" s="88">
        <f>-IF(Tabla14[[#This Row],[DIAS HABILES O MORA]]&lt;0,(Tabla14[[#This Row],[VALOR PRESTAMO]]*Tabla14[[#This Row],[% INTERES ]]/30*U3052))</f>
        <v>0</v>
      </c>
      <c r="T3052" s="53" t="e">
        <f>Tabla14[[#This Row],[DEUDA CAPITAL]]+Tabla14[[#This Row],[INTERES  CUOTA]]</f>
        <v>#NUM!</v>
      </c>
      <c r="U3052" s="61" t="str">
        <f t="shared" si="489"/>
        <v/>
      </c>
    </row>
    <row r="3053" spans="9:21" ht="24.75" customHeight="1" x14ac:dyDescent="0.35">
      <c r="I3053" s="42">
        <f t="shared" si="480"/>
        <v>0</v>
      </c>
      <c r="J3053" s="65" t="e">
        <f t="shared" si="481"/>
        <v>#NUM!</v>
      </c>
      <c r="K3053" s="83" t="e">
        <f t="shared" si="482"/>
        <v>#NUM!</v>
      </c>
      <c r="L3053" s="83">
        <f t="shared" si="483"/>
        <v>0</v>
      </c>
      <c r="M3053" s="110" t="str">
        <f t="shared" si="484"/>
        <v/>
      </c>
      <c r="N3053" s="51" t="str">
        <f t="shared" si="485"/>
        <v/>
      </c>
      <c r="O3053" s="52" t="str">
        <f t="shared" si="486"/>
        <v/>
      </c>
      <c r="P3053" s="88">
        <f t="shared" si="487"/>
        <v>0</v>
      </c>
      <c r="Q3053" s="88">
        <f t="shared" si="488"/>
        <v>0</v>
      </c>
      <c r="R3053" s="88" t="e">
        <f>-IF(Tabla14[[#This Row],[DIAS HABILES O MORA]]&lt;0,(Tabla14[[#This Row],[VALOR PRESTAMO]]*Tabla14[[#This Row],[% INTERES ]]/30*U3053))+Tabla14[[#This Row],[VALOR CUOTAS]]</f>
        <v>#VALUE!</v>
      </c>
      <c r="S3053" s="88">
        <f>-IF(Tabla14[[#This Row],[DIAS HABILES O MORA]]&lt;0,(Tabla14[[#This Row],[VALOR PRESTAMO]]*Tabla14[[#This Row],[% INTERES ]]/30*U3053))</f>
        <v>0</v>
      </c>
      <c r="T3053" s="53" t="e">
        <f>Tabla14[[#This Row],[DEUDA CAPITAL]]+Tabla14[[#This Row],[INTERES  CUOTA]]</f>
        <v>#NUM!</v>
      </c>
      <c r="U3053" s="61" t="str">
        <f t="shared" si="489"/>
        <v/>
      </c>
    </row>
    <row r="3054" spans="9:21" ht="24.75" customHeight="1" x14ac:dyDescent="0.35">
      <c r="I3054" s="42">
        <f t="shared" si="480"/>
        <v>0</v>
      </c>
      <c r="J3054" s="65" t="e">
        <f t="shared" si="481"/>
        <v>#NUM!</v>
      </c>
      <c r="K3054" s="83" t="e">
        <f t="shared" si="482"/>
        <v>#NUM!</v>
      </c>
      <c r="L3054" s="83">
        <f t="shared" si="483"/>
        <v>0</v>
      </c>
      <c r="M3054" s="110" t="str">
        <f t="shared" si="484"/>
        <v/>
      </c>
      <c r="N3054" s="51" t="str">
        <f t="shared" si="485"/>
        <v/>
      </c>
      <c r="O3054" s="52" t="str">
        <f t="shared" si="486"/>
        <v/>
      </c>
      <c r="P3054" s="88">
        <f t="shared" si="487"/>
        <v>0</v>
      </c>
      <c r="Q3054" s="88">
        <f t="shared" si="488"/>
        <v>0</v>
      </c>
      <c r="R3054" s="88" t="e">
        <f>-IF(Tabla14[[#This Row],[DIAS HABILES O MORA]]&lt;0,(Tabla14[[#This Row],[VALOR PRESTAMO]]*Tabla14[[#This Row],[% INTERES ]]/30*U3054))+Tabla14[[#This Row],[VALOR CUOTAS]]</f>
        <v>#VALUE!</v>
      </c>
      <c r="S3054" s="88">
        <f>-IF(Tabla14[[#This Row],[DIAS HABILES O MORA]]&lt;0,(Tabla14[[#This Row],[VALOR PRESTAMO]]*Tabla14[[#This Row],[% INTERES ]]/30*U3054))</f>
        <v>0</v>
      </c>
      <c r="T3054" s="53" t="e">
        <f>Tabla14[[#This Row],[DEUDA CAPITAL]]+Tabla14[[#This Row],[INTERES  CUOTA]]</f>
        <v>#NUM!</v>
      </c>
      <c r="U3054" s="61" t="str">
        <f t="shared" si="489"/>
        <v/>
      </c>
    </row>
    <row r="3055" spans="9:21" ht="24.75" customHeight="1" x14ac:dyDescent="0.35">
      <c r="I3055" s="42">
        <f t="shared" si="480"/>
        <v>0</v>
      </c>
      <c r="J3055" s="65" t="e">
        <f t="shared" si="481"/>
        <v>#NUM!</v>
      </c>
      <c r="K3055" s="83" t="e">
        <f t="shared" si="482"/>
        <v>#NUM!</v>
      </c>
      <c r="L3055" s="83">
        <f t="shared" si="483"/>
        <v>0</v>
      </c>
      <c r="M3055" s="110" t="str">
        <f t="shared" si="484"/>
        <v/>
      </c>
      <c r="N3055" s="51" t="str">
        <f t="shared" si="485"/>
        <v/>
      </c>
      <c r="O3055" s="52" t="str">
        <f t="shared" si="486"/>
        <v/>
      </c>
      <c r="P3055" s="88">
        <f t="shared" si="487"/>
        <v>0</v>
      </c>
      <c r="Q3055" s="88">
        <f t="shared" si="488"/>
        <v>0</v>
      </c>
      <c r="R3055" s="88" t="e">
        <f>-IF(Tabla14[[#This Row],[DIAS HABILES O MORA]]&lt;0,(Tabla14[[#This Row],[VALOR PRESTAMO]]*Tabla14[[#This Row],[% INTERES ]]/30*U3055))+Tabla14[[#This Row],[VALOR CUOTAS]]</f>
        <v>#VALUE!</v>
      </c>
      <c r="S3055" s="88">
        <f>-IF(Tabla14[[#This Row],[DIAS HABILES O MORA]]&lt;0,(Tabla14[[#This Row],[VALOR PRESTAMO]]*Tabla14[[#This Row],[% INTERES ]]/30*U3055))</f>
        <v>0</v>
      </c>
      <c r="T3055" s="53" t="e">
        <f>Tabla14[[#This Row],[DEUDA CAPITAL]]+Tabla14[[#This Row],[INTERES  CUOTA]]</f>
        <v>#NUM!</v>
      </c>
      <c r="U3055" s="61" t="str">
        <f t="shared" si="489"/>
        <v/>
      </c>
    </row>
    <row r="3056" spans="9:21" ht="24.75" customHeight="1" x14ac:dyDescent="0.35">
      <c r="I3056" s="42">
        <f t="shared" si="480"/>
        <v>0</v>
      </c>
      <c r="J3056" s="65" t="e">
        <f t="shared" si="481"/>
        <v>#NUM!</v>
      </c>
      <c r="K3056" s="83" t="e">
        <f t="shared" si="482"/>
        <v>#NUM!</v>
      </c>
      <c r="L3056" s="83">
        <f t="shared" si="483"/>
        <v>0</v>
      </c>
      <c r="M3056" s="110" t="str">
        <f t="shared" si="484"/>
        <v/>
      </c>
      <c r="N3056" s="51" t="str">
        <f t="shared" si="485"/>
        <v/>
      </c>
      <c r="O3056" s="52" t="str">
        <f t="shared" si="486"/>
        <v/>
      </c>
      <c r="P3056" s="88">
        <f t="shared" si="487"/>
        <v>0</v>
      </c>
      <c r="Q3056" s="88">
        <f t="shared" si="488"/>
        <v>0</v>
      </c>
      <c r="R3056" s="88" t="e">
        <f>-IF(Tabla14[[#This Row],[DIAS HABILES O MORA]]&lt;0,(Tabla14[[#This Row],[VALOR PRESTAMO]]*Tabla14[[#This Row],[% INTERES ]]/30*U3056))+Tabla14[[#This Row],[VALOR CUOTAS]]</f>
        <v>#VALUE!</v>
      </c>
      <c r="S3056" s="88">
        <f>-IF(Tabla14[[#This Row],[DIAS HABILES O MORA]]&lt;0,(Tabla14[[#This Row],[VALOR PRESTAMO]]*Tabla14[[#This Row],[% INTERES ]]/30*U3056))</f>
        <v>0</v>
      </c>
      <c r="T3056" s="53" t="e">
        <f>Tabla14[[#This Row],[DEUDA CAPITAL]]+Tabla14[[#This Row],[INTERES  CUOTA]]</f>
        <v>#NUM!</v>
      </c>
      <c r="U3056" s="61" t="str">
        <f t="shared" si="489"/>
        <v/>
      </c>
    </row>
    <row r="3057" spans="9:21" ht="24.75" customHeight="1" x14ac:dyDescent="0.35">
      <c r="I3057" s="42">
        <f t="shared" si="480"/>
        <v>0</v>
      </c>
      <c r="J3057" s="65" t="e">
        <f t="shared" si="481"/>
        <v>#NUM!</v>
      </c>
      <c r="K3057" s="83" t="e">
        <f t="shared" si="482"/>
        <v>#NUM!</v>
      </c>
      <c r="L3057" s="83">
        <f t="shared" si="483"/>
        <v>0</v>
      </c>
      <c r="M3057" s="110" t="str">
        <f t="shared" si="484"/>
        <v/>
      </c>
      <c r="N3057" s="51" t="str">
        <f t="shared" si="485"/>
        <v/>
      </c>
      <c r="O3057" s="52" t="str">
        <f t="shared" si="486"/>
        <v/>
      </c>
      <c r="P3057" s="88">
        <f t="shared" si="487"/>
        <v>0</v>
      </c>
      <c r="Q3057" s="88">
        <f t="shared" si="488"/>
        <v>0</v>
      </c>
      <c r="R3057" s="88" t="e">
        <f>-IF(Tabla14[[#This Row],[DIAS HABILES O MORA]]&lt;0,(Tabla14[[#This Row],[VALOR PRESTAMO]]*Tabla14[[#This Row],[% INTERES ]]/30*U3057))+Tabla14[[#This Row],[VALOR CUOTAS]]</f>
        <v>#VALUE!</v>
      </c>
      <c r="S3057" s="88">
        <f>-IF(Tabla14[[#This Row],[DIAS HABILES O MORA]]&lt;0,(Tabla14[[#This Row],[VALOR PRESTAMO]]*Tabla14[[#This Row],[% INTERES ]]/30*U3057))</f>
        <v>0</v>
      </c>
      <c r="T3057" s="53" t="e">
        <f>Tabla14[[#This Row],[DEUDA CAPITAL]]+Tabla14[[#This Row],[INTERES  CUOTA]]</f>
        <v>#NUM!</v>
      </c>
      <c r="U3057" s="61" t="str">
        <f t="shared" si="489"/>
        <v/>
      </c>
    </row>
    <row r="3058" spans="9:21" ht="24.75" customHeight="1" x14ac:dyDescent="0.35">
      <c r="I3058" s="42">
        <f t="shared" si="480"/>
        <v>0</v>
      </c>
      <c r="J3058" s="65" t="e">
        <f t="shared" si="481"/>
        <v>#NUM!</v>
      </c>
      <c r="K3058" s="83" t="e">
        <f t="shared" si="482"/>
        <v>#NUM!</v>
      </c>
      <c r="L3058" s="83">
        <f t="shared" si="483"/>
        <v>0</v>
      </c>
      <c r="M3058" s="110" t="str">
        <f t="shared" si="484"/>
        <v/>
      </c>
      <c r="N3058" s="51" t="str">
        <f t="shared" si="485"/>
        <v/>
      </c>
      <c r="O3058" s="52" t="str">
        <f t="shared" si="486"/>
        <v/>
      </c>
      <c r="P3058" s="88">
        <f t="shared" si="487"/>
        <v>0</v>
      </c>
      <c r="Q3058" s="88">
        <f t="shared" si="488"/>
        <v>0</v>
      </c>
      <c r="R3058" s="88" t="e">
        <f>-IF(Tabla14[[#This Row],[DIAS HABILES O MORA]]&lt;0,(Tabla14[[#This Row],[VALOR PRESTAMO]]*Tabla14[[#This Row],[% INTERES ]]/30*U3058))+Tabla14[[#This Row],[VALOR CUOTAS]]</f>
        <v>#VALUE!</v>
      </c>
      <c r="S3058" s="88">
        <f>-IF(Tabla14[[#This Row],[DIAS HABILES O MORA]]&lt;0,(Tabla14[[#This Row],[VALOR PRESTAMO]]*Tabla14[[#This Row],[% INTERES ]]/30*U3058))</f>
        <v>0</v>
      </c>
      <c r="T3058" s="53" t="e">
        <f>Tabla14[[#This Row],[DEUDA CAPITAL]]+Tabla14[[#This Row],[INTERES  CUOTA]]</f>
        <v>#NUM!</v>
      </c>
      <c r="U3058" s="61" t="str">
        <f t="shared" si="489"/>
        <v/>
      </c>
    </row>
    <row r="3059" spans="9:21" ht="24.75" customHeight="1" x14ac:dyDescent="0.35">
      <c r="I3059" s="42">
        <f t="shared" si="480"/>
        <v>0</v>
      </c>
      <c r="J3059" s="65" t="e">
        <f t="shared" si="481"/>
        <v>#NUM!</v>
      </c>
      <c r="K3059" s="83" t="e">
        <f t="shared" si="482"/>
        <v>#NUM!</v>
      </c>
      <c r="L3059" s="83">
        <f t="shared" si="483"/>
        <v>0</v>
      </c>
      <c r="M3059" s="110" t="str">
        <f t="shared" si="484"/>
        <v/>
      </c>
      <c r="N3059" s="51" t="str">
        <f t="shared" si="485"/>
        <v/>
      </c>
      <c r="O3059" s="52" t="str">
        <f t="shared" si="486"/>
        <v/>
      </c>
      <c r="P3059" s="88">
        <f t="shared" si="487"/>
        <v>0</v>
      </c>
      <c r="Q3059" s="88">
        <f t="shared" si="488"/>
        <v>0</v>
      </c>
      <c r="R3059" s="88" t="e">
        <f>-IF(Tabla14[[#This Row],[DIAS HABILES O MORA]]&lt;0,(Tabla14[[#This Row],[VALOR PRESTAMO]]*Tabla14[[#This Row],[% INTERES ]]/30*U3059))+Tabla14[[#This Row],[VALOR CUOTAS]]</f>
        <v>#VALUE!</v>
      </c>
      <c r="S3059" s="88">
        <f>-IF(Tabla14[[#This Row],[DIAS HABILES O MORA]]&lt;0,(Tabla14[[#This Row],[VALOR PRESTAMO]]*Tabla14[[#This Row],[% INTERES ]]/30*U3059))</f>
        <v>0</v>
      </c>
      <c r="T3059" s="53" t="e">
        <f>Tabla14[[#This Row],[DEUDA CAPITAL]]+Tabla14[[#This Row],[INTERES  CUOTA]]</f>
        <v>#NUM!</v>
      </c>
      <c r="U3059" s="61" t="str">
        <f t="shared" si="489"/>
        <v/>
      </c>
    </row>
    <row r="3060" spans="9:21" ht="24.75" customHeight="1" x14ac:dyDescent="0.35">
      <c r="I3060" s="42">
        <f t="shared" si="480"/>
        <v>0</v>
      </c>
      <c r="J3060" s="65" t="e">
        <f t="shared" si="481"/>
        <v>#NUM!</v>
      </c>
      <c r="K3060" s="83" t="e">
        <f t="shared" si="482"/>
        <v>#NUM!</v>
      </c>
      <c r="L3060" s="83">
        <f t="shared" si="483"/>
        <v>0</v>
      </c>
      <c r="M3060" s="110" t="str">
        <f t="shared" si="484"/>
        <v/>
      </c>
      <c r="N3060" s="51" t="str">
        <f t="shared" si="485"/>
        <v/>
      </c>
      <c r="O3060" s="52" t="str">
        <f t="shared" si="486"/>
        <v/>
      </c>
      <c r="P3060" s="88">
        <f t="shared" si="487"/>
        <v>0</v>
      </c>
      <c r="Q3060" s="88">
        <f t="shared" si="488"/>
        <v>0</v>
      </c>
      <c r="R3060" s="88" t="e">
        <f>-IF(Tabla14[[#This Row],[DIAS HABILES O MORA]]&lt;0,(Tabla14[[#This Row],[VALOR PRESTAMO]]*Tabla14[[#This Row],[% INTERES ]]/30*U3060))+Tabla14[[#This Row],[VALOR CUOTAS]]</f>
        <v>#VALUE!</v>
      </c>
      <c r="S3060" s="88">
        <f>-IF(Tabla14[[#This Row],[DIAS HABILES O MORA]]&lt;0,(Tabla14[[#This Row],[VALOR PRESTAMO]]*Tabla14[[#This Row],[% INTERES ]]/30*U3060))</f>
        <v>0</v>
      </c>
      <c r="T3060" s="53" t="e">
        <f>Tabla14[[#This Row],[DEUDA CAPITAL]]+Tabla14[[#This Row],[INTERES  CUOTA]]</f>
        <v>#NUM!</v>
      </c>
      <c r="U3060" s="61" t="str">
        <f t="shared" si="489"/>
        <v/>
      </c>
    </row>
    <row r="3061" spans="9:21" ht="24.75" customHeight="1" x14ac:dyDescent="0.35">
      <c r="I3061" s="42">
        <f t="shared" si="480"/>
        <v>0</v>
      </c>
      <c r="J3061" s="65" t="e">
        <f t="shared" si="481"/>
        <v>#NUM!</v>
      </c>
      <c r="K3061" s="83" t="e">
        <f t="shared" si="482"/>
        <v>#NUM!</v>
      </c>
      <c r="L3061" s="83">
        <f t="shared" si="483"/>
        <v>0</v>
      </c>
      <c r="M3061" s="110" t="str">
        <f t="shared" si="484"/>
        <v/>
      </c>
      <c r="N3061" s="51" t="str">
        <f t="shared" si="485"/>
        <v/>
      </c>
      <c r="O3061" s="52" t="str">
        <f t="shared" si="486"/>
        <v/>
      </c>
      <c r="P3061" s="88">
        <f t="shared" si="487"/>
        <v>0</v>
      </c>
      <c r="Q3061" s="88">
        <f t="shared" si="488"/>
        <v>0</v>
      </c>
      <c r="R3061" s="88" t="e">
        <f>-IF(Tabla14[[#This Row],[DIAS HABILES O MORA]]&lt;0,(Tabla14[[#This Row],[VALOR PRESTAMO]]*Tabla14[[#This Row],[% INTERES ]]/30*U3061))+Tabla14[[#This Row],[VALOR CUOTAS]]</f>
        <v>#VALUE!</v>
      </c>
      <c r="S3061" s="88">
        <f>-IF(Tabla14[[#This Row],[DIAS HABILES O MORA]]&lt;0,(Tabla14[[#This Row],[VALOR PRESTAMO]]*Tabla14[[#This Row],[% INTERES ]]/30*U3061))</f>
        <v>0</v>
      </c>
      <c r="T3061" s="53" t="e">
        <f>Tabla14[[#This Row],[DEUDA CAPITAL]]+Tabla14[[#This Row],[INTERES  CUOTA]]</f>
        <v>#NUM!</v>
      </c>
      <c r="U3061" s="61" t="str">
        <f t="shared" si="489"/>
        <v/>
      </c>
    </row>
    <row r="3062" spans="9:21" ht="24.75" customHeight="1" x14ac:dyDescent="0.35">
      <c r="I3062" s="42">
        <f t="shared" si="480"/>
        <v>0</v>
      </c>
      <c r="J3062" s="65" t="e">
        <f t="shared" si="481"/>
        <v>#NUM!</v>
      </c>
      <c r="K3062" s="83" t="e">
        <f t="shared" si="482"/>
        <v>#NUM!</v>
      </c>
      <c r="L3062" s="83">
        <f t="shared" si="483"/>
        <v>0</v>
      </c>
      <c r="M3062" s="110" t="str">
        <f t="shared" si="484"/>
        <v/>
      </c>
      <c r="N3062" s="51" t="str">
        <f t="shared" si="485"/>
        <v/>
      </c>
      <c r="O3062" s="52" t="str">
        <f t="shared" si="486"/>
        <v/>
      </c>
      <c r="P3062" s="88">
        <f t="shared" si="487"/>
        <v>0</v>
      </c>
      <c r="Q3062" s="88">
        <f t="shared" si="488"/>
        <v>0</v>
      </c>
      <c r="R3062" s="88" t="e">
        <f>-IF(Tabla14[[#This Row],[DIAS HABILES O MORA]]&lt;0,(Tabla14[[#This Row],[VALOR PRESTAMO]]*Tabla14[[#This Row],[% INTERES ]]/30*U3062))+Tabla14[[#This Row],[VALOR CUOTAS]]</f>
        <v>#VALUE!</v>
      </c>
      <c r="S3062" s="88">
        <f>-IF(Tabla14[[#This Row],[DIAS HABILES O MORA]]&lt;0,(Tabla14[[#This Row],[VALOR PRESTAMO]]*Tabla14[[#This Row],[% INTERES ]]/30*U3062))</f>
        <v>0</v>
      </c>
      <c r="T3062" s="53" t="e">
        <f>Tabla14[[#This Row],[DEUDA CAPITAL]]+Tabla14[[#This Row],[INTERES  CUOTA]]</f>
        <v>#NUM!</v>
      </c>
      <c r="U3062" s="61" t="str">
        <f t="shared" si="489"/>
        <v/>
      </c>
    </row>
    <row r="3063" spans="9:21" ht="24.75" customHeight="1" x14ac:dyDescent="0.35">
      <c r="I3063" s="42">
        <f t="shared" si="480"/>
        <v>0</v>
      </c>
      <c r="J3063" s="65" t="e">
        <f t="shared" si="481"/>
        <v>#NUM!</v>
      </c>
      <c r="K3063" s="83" t="e">
        <f t="shared" si="482"/>
        <v>#NUM!</v>
      </c>
      <c r="L3063" s="83">
        <f t="shared" si="483"/>
        <v>0</v>
      </c>
      <c r="M3063" s="110" t="str">
        <f t="shared" si="484"/>
        <v/>
      </c>
      <c r="N3063" s="51" t="str">
        <f t="shared" si="485"/>
        <v/>
      </c>
      <c r="O3063" s="52" t="str">
        <f t="shared" si="486"/>
        <v/>
      </c>
      <c r="P3063" s="88">
        <f t="shared" si="487"/>
        <v>0</v>
      </c>
      <c r="Q3063" s="88">
        <f t="shared" si="488"/>
        <v>0</v>
      </c>
      <c r="R3063" s="88" t="e">
        <f>-IF(Tabla14[[#This Row],[DIAS HABILES O MORA]]&lt;0,(Tabla14[[#This Row],[VALOR PRESTAMO]]*Tabla14[[#This Row],[% INTERES ]]/30*U3063))+Tabla14[[#This Row],[VALOR CUOTAS]]</f>
        <v>#VALUE!</v>
      </c>
      <c r="S3063" s="88">
        <f>-IF(Tabla14[[#This Row],[DIAS HABILES O MORA]]&lt;0,(Tabla14[[#This Row],[VALOR PRESTAMO]]*Tabla14[[#This Row],[% INTERES ]]/30*U3063))</f>
        <v>0</v>
      </c>
      <c r="T3063" s="53" t="e">
        <f>Tabla14[[#This Row],[DEUDA CAPITAL]]+Tabla14[[#This Row],[INTERES  CUOTA]]</f>
        <v>#NUM!</v>
      </c>
      <c r="U3063" s="61" t="str">
        <f t="shared" si="489"/>
        <v/>
      </c>
    </row>
    <row r="3064" spans="9:21" ht="24.75" customHeight="1" x14ac:dyDescent="0.35">
      <c r="I3064" s="42">
        <f t="shared" si="480"/>
        <v>0</v>
      </c>
      <c r="J3064" s="65" t="e">
        <f t="shared" si="481"/>
        <v>#NUM!</v>
      </c>
      <c r="K3064" s="83" t="e">
        <f t="shared" si="482"/>
        <v>#NUM!</v>
      </c>
      <c r="L3064" s="83">
        <f t="shared" si="483"/>
        <v>0</v>
      </c>
      <c r="M3064" s="110" t="str">
        <f t="shared" si="484"/>
        <v/>
      </c>
      <c r="N3064" s="51" t="str">
        <f t="shared" si="485"/>
        <v/>
      </c>
      <c r="O3064" s="52" t="str">
        <f t="shared" si="486"/>
        <v/>
      </c>
      <c r="P3064" s="88">
        <f t="shared" si="487"/>
        <v>0</v>
      </c>
      <c r="Q3064" s="88">
        <f t="shared" si="488"/>
        <v>0</v>
      </c>
      <c r="R3064" s="88" t="e">
        <f>-IF(Tabla14[[#This Row],[DIAS HABILES O MORA]]&lt;0,(Tabla14[[#This Row],[VALOR PRESTAMO]]*Tabla14[[#This Row],[% INTERES ]]/30*U3064))+Tabla14[[#This Row],[VALOR CUOTAS]]</f>
        <v>#VALUE!</v>
      </c>
      <c r="S3064" s="88">
        <f>-IF(Tabla14[[#This Row],[DIAS HABILES O MORA]]&lt;0,(Tabla14[[#This Row],[VALOR PRESTAMO]]*Tabla14[[#This Row],[% INTERES ]]/30*U3064))</f>
        <v>0</v>
      </c>
      <c r="T3064" s="53" t="e">
        <f>Tabla14[[#This Row],[DEUDA CAPITAL]]+Tabla14[[#This Row],[INTERES  CUOTA]]</f>
        <v>#NUM!</v>
      </c>
      <c r="U3064" s="61" t="str">
        <f t="shared" si="489"/>
        <v/>
      </c>
    </row>
    <row r="3065" spans="9:21" ht="24.75" customHeight="1" x14ac:dyDescent="0.35">
      <c r="I3065" s="42">
        <f t="shared" si="480"/>
        <v>0</v>
      </c>
      <c r="J3065" s="65" t="e">
        <f t="shared" si="481"/>
        <v>#NUM!</v>
      </c>
      <c r="K3065" s="83" t="e">
        <f t="shared" si="482"/>
        <v>#NUM!</v>
      </c>
      <c r="L3065" s="83">
        <f t="shared" si="483"/>
        <v>0</v>
      </c>
      <c r="M3065" s="110" t="str">
        <f t="shared" si="484"/>
        <v/>
      </c>
      <c r="N3065" s="51" t="str">
        <f t="shared" si="485"/>
        <v/>
      </c>
      <c r="O3065" s="52" t="str">
        <f t="shared" si="486"/>
        <v/>
      </c>
      <c r="P3065" s="88">
        <f t="shared" si="487"/>
        <v>0</v>
      </c>
      <c r="Q3065" s="88">
        <f t="shared" si="488"/>
        <v>0</v>
      </c>
      <c r="R3065" s="88" t="e">
        <f>-IF(Tabla14[[#This Row],[DIAS HABILES O MORA]]&lt;0,(Tabla14[[#This Row],[VALOR PRESTAMO]]*Tabla14[[#This Row],[% INTERES ]]/30*U3065))+Tabla14[[#This Row],[VALOR CUOTAS]]</f>
        <v>#VALUE!</v>
      </c>
      <c r="S3065" s="88">
        <f>-IF(Tabla14[[#This Row],[DIAS HABILES O MORA]]&lt;0,(Tabla14[[#This Row],[VALOR PRESTAMO]]*Tabla14[[#This Row],[% INTERES ]]/30*U3065))</f>
        <v>0</v>
      </c>
      <c r="T3065" s="53" t="e">
        <f>Tabla14[[#This Row],[DEUDA CAPITAL]]+Tabla14[[#This Row],[INTERES  CUOTA]]</f>
        <v>#NUM!</v>
      </c>
      <c r="U3065" s="61" t="str">
        <f t="shared" si="489"/>
        <v/>
      </c>
    </row>
    <row r="3066" spans="9:21" ht="24.75" customHeight="1" x14ac:dyDescent="0.35">
      <c r="I3066" s="42">
        <f t="shared" si="480"/>
        <v>0</v>
      </c>
      <c r="J3066" s="65" t="e">
        <f t="shared" si="481"/>
        <v>#NUM!</v>
      </c>
      <c r="K3066" s="83" t="e">
        <f t="shared" si="482"/>
        <v>#NUM!</v>
      </c>
      <c r="L3066" s="83">
        <f t="shared" si="483"/>
        <v>0</v>
      </c>
      <c r="M3066" s="110" t="str">
        <f t="shared" si="484"/>
        <v/>
      </c>
      <c r="N3066" s="51" t="str">
        <f t="shared" si="485"/>
        <v/>
      </c>
      <c r="O3066" s="52" t="str">
        <f t="shared" si="486"/>
        <v/>
      </c>
      <c r="P3066" s="88">
        <f t="shared" si="487"/>
        <v>0</v>
      </c>
      <c r="Q3066" s="88">
        <f t="shared" si="488"/>
        <v>0</v>
      </c>
      <c r="R3066" s="88" t="e">
        <f>-IF(Tabla14[[#This Row],[DIAS HABILES O MORA]]&lt;0,(Tabla14[[#This Row],[VALOR PRESTAMO]]*Tabla14[[#This Row],[% INTERES ]]/30*U3066))+Tabla14[[#This Row],[VALOR CUOTAS]]</f>
        <v>#VALUE!</v>
      </c>
      <c r="S3066" s="88">
        <f>-IF(Tabla14[[#This Row],[DIAS HABILES O MORA]]&lt;0,(Tabla14[[#This Row],[VALOR PRESTAMO]]*Tabla14[[#This Row],[% INTERES ]]/30*U3066))</f>
        <v>0</v>
      </c>
      <c r="T3066" s="53" t="e">
        <f>Tabla14[[#This Row],[DEUDA CAPITAL]]+Tabla14[[#This Row],[INTERES  CUOTA]]</f>
        <v>#NUM!</v>
      </c>
      <c r="U3066" s="61" t="str">
        <f t="shared" si="489"/>
        <v/>
      </c>
    </row>
    <row r="3067" spans="9:21" ht="24.75" customHeight="1" x14ac:dyDescent="0.35">
      <c r="I3067" s="42">
        <f t="shared" si="480"/>
        <v>0</v>
      </c>
      <c r="J3067" s="65" t="e">
        <f t="shared" si="481"/>
        <v>#NUM!</v>
      </c>
      <c r="K3067" s="83" t="e">
        <f t="shared" si="482"/>
        <v>#NUM!</v>
      </c>
      <c r="L3067" s="83">
        <f t="shared" si="483"/>
        <v>0</v>
      </c>
      <c r="M3067" s="110" t="str">
        <f t="shared" si="484"/>
        <v/>
      </c>
      <c r="N3067" s="51" t="str">
        <f t="shared" si="485"/>
        <v/>
      </c>
      <c r="O3067" s="52" t="str">
        <f t="shared" si="486"/>
        <v/>
      </c>
      <c r="P3067" s="88">
        <f t="shared" si="487"/>
        <v>0</v>
      </c>
      <c r="Q3067" s="88">
        <f t="shared" si="488"/>
        <v>0</v>
      </c>
      <c r="R3067" s="88" t="e">
        <f>-IF(Tabla14[[#This Row],[DIAS HABILES O MORA]]&lt;0,(Tabla14[[#This Row],[VALOR PRESTAMO]]*Tabla14[[#This Row],[% INTERES ]]/30*U3067))+Tabla14[[#This Row],[VALOR CUOTAS]]</f>
        <v>#VALUE!</v>
      </c>
      <c r="S3067" s="88">
        <f>-IF(Tabla14[[#This Row],[DIAS HABILES O MORA]]&lt;0,(Tabla14[[#This Row],[VALOR PRESTAMO]]*Tabla14[[#This Row],[% INTERES ]]/30*U3067))</f>
        <v>0</v>
      </c>
      <c r="T3067" s="53" t="e">
        <f>Tabla14[[#This Row],[DEUDA CAPITAL]]+Tabla14[[#This Row],[INTERES  CUOTA]]</f>
        <v>#NUM!</v>
      </c>
      <c r="U3067" s="61" t="str">
        <f t="shared" si="489"/>
        <v/>
      </c>
    </row>
    <row r="3068" spans="9:21" ht="24.75" customHeight="1" x14ac:dyDescent="0.35">
      <c r="I3068" s="42">
        <f t="shared" si="480"/>
        <v>0</v>
      </c>
      <c r="J3068" s="65" t="e">
        <f t="shared" si="481"/>
        <v>#NUM!</v>
      </c>
      <c r="K3068" s="83" t="e">
        <f t="shared" si="482"/>
        <v>#NUM!</v>
      </c>
      <c r="L3068" s="83">
        <f t="shared" si="483"/>
        <v>0</v>
      </c>
      <c r="M3068" s="110" t="str">
        <f t="shared" si="484"/>
        <v/>
      </c>
      <c r="N3068" s="51" t="str">
        <f t="shared" si="485"/>
        <v/>
      </c>
      <c r="O3068" s="52" t="str">
        <f t="shared" si="486"/>
        <v/>
      </c>
      <c r="P3068" s="88">
        <f t="shared" si="487"/>
        <v>0</v>
      </c>
      <c r="Q3068" s="88">
        <f t="shared" si="488"/>
        <v>0</v>
      </c>
      <c r="R3068" s="88" t="e">
        <f>-IF(Tabla14[[#This Row],[DIAS HABILES O MORA]]&lt;0,(Tabla14[[#This Row],[VALOR PRESTAMO]]*Tabla14[[#This Row],[% INTERES ]]/30*U3068))+Tabla14[[#This Row],[VALOR CUOTAS]]</f>
        <v>#VALUE!</v>
      </c>
      <c r="S3068" s="88">
        <f>-IF(Tabla14[[#This Row],[DIAS HABILES O MORA]]&lt;0,(Tabla14[[#This Row],[VALOR PRESTAMO]]*Tabla14[[#This Row],[% INTERES ]]/30*U3068))</f>
        <v>0</v>
      </c>
      <c r="T3068" s="53" t="e">
        <f>Tabla14[[#This Row],[DEUDA CAPITAL]]+Tabla14[[#This Row],[INTERES  CUOTA]]</f>
        <v>#NUM!</v>
      </c>
      <c r="U3068" s="61" t="str">
        <f t="shared" si="489"/>
        <v/>
      </c>
    </row>
    <row r="3069" spans="9:21" ht="24.75" customHeight="1" x14ac:dyDescent="0.35">
      <c r="I3069" s="42">
        <f t="shared" si="480"/>
        <v>0</v>
      </c>
      <c r="J3069" s="65" t="e">
        <f t="shared" si="481"/>
        <v>#NUM!</v>
      </c>
      <c r="K3069" s="83" t="e">
        <f t="shared" si="482"/>
        <v>#NUM!</v>
      </c>
      <c r="L3069" s="83">
        <f t="shared" si="483"/>
        <v>0</v>
      </c>
      <c r="M3069" s="110" t="str">
        <f t="shared" si="484"/>
        <v/>
      </c>
      <c r="N3069" s="51" t="str">
        <f t="shared" si="485"/>
        <v/>
      </c>
      <c r="O3069" s="52" t="str">
        <f t="shared" si="486"/>
        <v/>
      </c>
      <c r="P3069" s="88">
        <f t="shared" si="487"/>
        <v>0</v>
      </c>
      <c r="Q3069" s="88">
        <f t="shared" si="488"/>
        <v>0</v>
      </c>
      <c r="R3069" s="88" t="e">
        <f>-IF(Tabla14[[#This Row],[DIAS HABILES O MORA]]&lt;0,(Tabla14[[#This Row],[VALOR PRESTAMO]]*Tabla14[[#This Row],[% INTERES ]]/30*U3069))+Tabla14[[#This Row],[VALOR CUOTAS]]</f>
        <v>#VALUE!</v>
      </c>
      <c r="S3069" s="88">
        <f>-IF(Tabla14[[#This Row],[DIAS HABILES O MORA]]&lt;0,(Tabla14[[#This Row],[VALOR PRESTAMO]]*Tabla14[[#This Row],[% INTERES ]]/30*U3069))</f>
        <v>0</v>
      </c>
      <c r="T3069" s="53" t="e">
        <f>Tabla14[[#This Row],[DEUDA CAPITAL]]+Tabla14[[#This Row],[INTERES  CUOTA]]</f>
        <v>#NUM!</v>
      </c>
      <c r="U3069" s="61" t="str">
        <f t="shared" si="489"/>
        <v/>
      </c>
    </row>
    <row r="3070" spans="9:21" ht="24.75" customHeight="1" x14ac:dyDescent="0.35">
      <c r="I3070" s="42">
        <f t="shared" si="480"/>
        <v>0</v>
      </c>
      <c r="J3070" s="65" t="e">
        <f t="shared" si="481"/>
        <v>#NUM!</v>
      </c>
      <c r="K3070" s="83" t="e">
        <f t="shared" si="482"/>
        <v>#NUM!</v>
      </c>
      <c r="L3070" s="83">
        <f t="shared" si="483"/>
        <v>0</v>
      </c>
      <c r="M3070" s="110" t="str">
        <f t="shared" si="484"/>
        <v/>
      </c>
      <c r="N3070" s="51" t="str">
        <f t="shared" si="485"/>
        <v/>
      </c>
      <c r="O3070" s="52" t="str">
        <f t="shared" si="486"/>
        <v/>
      </c>
      <c r="P3070" s="88">
        <f t="shared" si="487"/>
        <v>0</v>
      </c>
      <c r="Q3070" s="88">
        <f t="shared" si="488"/>
        <v>0</v>
      </c>
      <c r="R3070" s="88" t="e">
        <f>-IF(Tabla14[[#This Row],[DIAS HABILES O MORA]]&lt;0,(Tabla14[[#This Row],[VALOR PRESTAMO]]*Tabla14[[#This Row],[% INTERES ]]/30*U3070))+Tabla14[[#This Row],[VALOR CUOTAS]]</f>
        <v>#VALUE!</v>
      </c>
      <c r="S3070" s="88">
        <f>-IF(Tabla14[[#This Row],[DIAS HABILES O MORA]]&lt;0,(Tabla14[[#This Row],[VALOR PRESTAMO]]*Tabla14[[#This Row],[% INTERES ]]/30*U3070))</f>
        <v>0</v>
      </c>
      <c r="T3070" s="53" t="e">
        <f>Tabla14[[#This Row],[DEUDA CAPITAL]]+Tabla14[[#This Row],[INTERES  CUOTA]]</f>
        <v>#NUM!</v>
      </c>
      <c r="U3070" s="61" t="str">
        <f t="shared" si="489"/>
        <v/>
      </c>
    </row>
    <row r="3071" spans="9:21" ht="24.75" customHeight="1" x14ac:dyDescent="0.35">
      <c r="I3071" s="42">
        <f t="shared" si="480"/>
        <v>0</v>
      </c>
      <c r="J3071" s="65" t="e">
        <f t="shared" si="481"/>
        <v>#NUM!</v>
      </c>
      <c r="K3071" s="83" t="e">
        <f t="shared" si="482"/>
        <v>#NUM!</v>
      </c>
      <c r="L3071" s="83">
        <f t="shared" si="483"/>
        <v>0</v>
      </c>
      <c r="M3071" s="110" t="str">
        <f t="shared" si="484"/>
        <v/>
      </c>
      <c r="N3071" s="51" t="str">
        <f t="shared" si="485"/>
        <v/>
      </c>
      <c r="O3071" s="52" t="str">
        <f t="shared" si="486"/>
        <v/>
      </c>
      <c r="P3071" s="88">
        <f t="shared" si="487"/>
        <v>0</v>
      </c>
      <c r="Q3071" s="88">
        <f t="shared" si="488"/>
        <v>0</v>
      </c>
      <c r="R3071" s="88" t="e">
        <f>-IF(Tabla14[[#This Row],[DIAS HABILES O MORA]]&lt;0,(Tabla14[[#This Row],[VALOR PRESTAMO]]*Tabla14[[#This Row],[% INTERES ]]/30*U3071))+Tabla14[[#This Row],[VALOR CUOTAS]]</f>
        <v>#VALUE!</v>
      </c>
      <c r="S3071" s="88">
        <f>-IF(Tabla14[[#This Row],[DIAS HABILES O MORA]]&lt;0,(Tabla14[[#This Row],[VALOR PRESTAMO]]*Tabla14[[#This Row],[% INTERES ]]/30*U3071))</f>
        <v>0</v>
      </c>
      <c r="T3071" s="53" t="e">
        <f>Tabla14[[#This Row],[DEUDA CAPITAL]]+Tabla14[[#This Row],[INTERES  CUOTA]]</f>
        <v>#NUM!</v>
      </c>
      <c r="U3071" s="61" t="str">
        <f t="shared" si="489"/>
        <v/>
      </c>
    </row>
    <row r="3072" spans="9:21" ht="24.75" customHeight="1" x14ac:dyDescent="0.35">
      <c r="I3072" s="42">
        <f t="shared" si="480"/>
        <v>0</v>
      </c>
      <c r="J3072" s="65" t="e">
        <f t="shared" si="481"/>
        <v>#NUM!</v>
      </c>
      <c r="K3072" s="83" t="e">
        <f t="shared" si="482"/>
        <v>#NUM!</v>
      </c>
      <c r="L3072" s="83">
        <f t="shared" si="483"/>
        <v>0</v>
      </c>
      <c r="M3072" s="110" t="str">
        <f t="shared" si="484"/>
        <v/>
      </c>
      <c r="N3072" s="51" t="str">
        <f t="shared" si="485"/>
        <v/>
      </c>
      <c r="O3072" s="52" t="str">
        <f t="shared" si="486"/>
        <v/>
      </c>
      <c r="P3072" s="88">
        <f t="shared" si="487"/>
        <v>0</v>
      </c>
      <c r="Q3072" s="88">
        <f t="shared" si="488"/>
        <v>0</v>
      </c>
      <c r="R3072" s="88" t="e">
        <f>-IF(Tabla14[[#This Row],[DIAS HABILES O MORA]]&lt;0,(Tabla14[[#This Row],[VALOR PRESTAMO]]*Tabla14[[#This Row],[% INTERES ]]/30*U3072))+Tabla14[[#This Row],[VALOR CUOTAS]]</f>
        <v>#VALUE!</v>
      </c>
      <c r="S3072" s="88">
        <f>-IF(Tabla14[[#This Row],[DIAS HABILES O MORA]]&lt;0,(Tabla14[[#This Row],[VALOR PRESTAMO]]*Tabla14[[#This Row],[% INTERES ]]/30*U3072))</f>
        <v>0</v>
      </c>
      <c r="T3072" s="53" t="e">
        <f>Tabla14[[#This Row],[DEUDA CAPITAL]]+Tabla14[[#This Row],[INTERES  CUOTA]]</f>
        <v>#NUM!</v>
      </c>
      <c r="U3072" s="61" t="str">
        <f t="shared" si="489"/>
        <v/>
      </c>
    </row>
    <row r="3073" spans="9:21" ht="24.75" customHeight="1" x14ac:dyDescent="0.35">
      <c r="I3073" s="42">
        <f t="shared" si="480"/>
        <v>0</v>
      </c>
      <c r="J3073" s="65" t="e">
        <f t="shared" si="481"/>
        <v>#NUM!</v>
      </c>
      <c r="K3073" s="83" t="e">
        <f t="shared" si="482"/>
        <v>#NUM!</v>
      </c>
      <c r="L3073" s="83">
        <f t="shared" si="483"/>
        <v>0</v>
      </c>
      <c r="M3073" s="110" t="str">
        <f t="shared" si="484"/>
        <v/>
      </c>
      <c r="N3073" s="51" t="str">
        <f t="shared" si="485"/>
        <v/>
      </c>
      <c r="O3073" s="52" t="str">
        <f t="shared" si="486"/>
        <v/>
      </c>
      <c r="P3073" s="88">
        <f t="shared" si="487"/>
        <v>0</v>
      </c>
      <c r="Q3073" s="88">
        <f t="shared" si="488"/>
        <v>0</v>
      </c>
      <c r="R3073" s="88" t="e">
        <f>-IF(Tabla14[[#This Row],[DIAS HABILES O MORA]]&lt;0,(Tabla14[[#This Row],[VALOR PRESTAMO]]*Tabla14[[#This Row],[% INTERES ]]/30*U3073))+Tabla14[[#This Row],[VALOR CUOTAS]]</f>
        <v>#VALUE!</v>
      </c>
      <c r="S3073" s="88">
        <f>-IF(Tabla14[[#This Row],[DIAS HABILES O MORA]]&lt;0,(Tabla14[[#This Row],[VALOR PRESTAMO]]*Tabla14[[#This Row],[% INTERES ]]/30*U3073))</f>
        <v>0</v>
      </c>
      <c r="T3073" s="53" t="e">
        <f>Tabla14[[#This Row],[DEUDA CAPITAL]]+Tabla14[[#This Row],[INTERES  CUOTA]]</f>
        <v>#NUM!</v>
      </c>
      <c r="U3073" s="61" t="str">
        <f t="shared" si="489"/>
        <v/>
      </c>
    </row>
    <row r="3074" spans="9:21" ht="24.75" customHeight="1" x14ac:dyDescent="0.35">
      <c r="I3074" s="42">
        <f t="shared" si="480"/>
        <v>0</v>
      </c>
      <c r="J3074" s="65" t="e">
        <f t="shared" si="481"/>
        <v>#NUM!</v>
      </c>
      <c r="K3074" s="83" t="e">
        <f t="shared" si="482"/>
        <v>#NUM!</v>
      </c>
      <c r="L3074" s="83">
        <f t="shared" si="483"/>
        <v>0</v>
      </c>
      <c r="M3074" s="110" t="str">
        <f t="shared" si="484"/>
        <v/>
      </c>
      <c r="N3074" s="51" t="str">
        <f t="shared" si="485"/>
        <v/>
      </c>
      <c r="O3074" s="52" t="str">
        <f t="shared" si="486"/>
        <v/>
      </c>
      <c r="P3074" s="88">
        <f t="shared" si="487"/>
        <v>0</v>
      </c>
      <c r="Q3074" s="88">
        <f t="shared" si="488"/>
        <v>0</v>
      </c>
      <c r="R3074" s="88" t="e">
        <f>-IF(Tabla14[[#This Row],[DIAS HABILES O MORA]]&lt;0,(Tabla14[[#This Row],[VALOR PRESTAMO]]*Tabla14[[#This Row],[% INTERES ]]/30*U3074))+Tabla14[[#This Row],[VALOR CUOTAS]]</f>
        <v>#VALUE!</v>
      </c>
      <c r="S3074" s="88">
        <f>-IF(Tabla14[[#This Row],[DIAS HABILES O MORA]]&lt;0,(Tabla14[[#This Row],[VALOR PRESTAMO]]*Tabla14[[#This Row],[% INTERES ]]/30*U3074))</f>
        <v>0</v>
      </c>
      <c r="T3074" s="53" t="e">
        <f>Tabla14[[#This Row],[DEUDA CAPITAL]]+Tabla14[[#This Row],[INTERES  CUOTA]]</f>
        <v>#NUM!</v>
      </c>
      <c r="U3074" s="61" t="str">
        <f t="shared" si="489"/>
        <v/>
      </c>
    </row>
    <row r="3075" spans="9:21" ht="24.75" customHeight="1" x14ac:dyDescent="0.35">
      <c r="I3075" s="42">
        <f t="shared" si="480"/>
        <v>0</v>
      </c>
      <c r="J3075" s="65" t="e">
        <f t="shared" si="481"/>
        <v>#NUM!</v>
      </c>
      <c r="K3075" s="83" t="e">
        <f t="shared" si="482"/>
        <v>#NUM!</v>
      </c>
      <c r="L3075" s="83">
        <f t="shared" si="483"/>
        <v>0</v>
      </c>
      <c r="M3075" s="110" t="str">
        <f t="shared" si="484"/>
        <v/>
      </c>
      <c r="N3075" s="51" t="str">
        <f t="shared" si="485"/>
        <v/>
      </c>
      <c r="O3075" s="52" t="str">
        <f t="shared" si="486"/>
        <v/>
      </c>
      <c r="P3075" s="88">
        <f t="shared" si="487"/>
        <v>0</v>
      </c>
      <c r="Q3075" s="88">
        <f t="shared" si="488"/>
        <v>0</v>
      </c>
      <c r="R3075" s="88" t="e">
        <f>-IF(Tabla14[[#This Row],[DIAS HABILES O MORA]]&lt;0,(Tabla14[[#This Row],[VALOR PRESTAMO]]*Tabla14[[#This Row],[% INTERES ]]/30*U3075))+Tabla14[[#This Row],[VALOR CUOTAS]]</f>
        <v>#VALUE!</v>
      </c>
      <c r="S3075" s="88">
        <f>-IF(Tabla14[[#This Row],[DIAS HABILES O MORA]]&lt;0,(Tabla14[[#This Row],[VALOR PRESTAMO]]*Tabla14[[#This Row],[% INTERES ]]/30*U3075))</f>
        <v>0</v>
      </c>
      <c r="T3075" s="53" t="e">
        <f>Tabla14[[#This Row],[DEUDA CAPITAL]]+Tabla14[[#This Row],[INTERES  CUOTA]]</f>
        <v>#NUM!</v>
      </c>
      <c r="U3075" s="61" t="str">
        <f t="shared" si="489"/>
        <v/>
      </c>
    </row>
    <row r="3076" spans="9:21" ht="24.75" customHeight="1" x14ac:dyDescent="0.35">
      <c r="I3076" s="42">
        <f t="shared" si="480"/>
        <v>0</v>
      </c>
      <c r="J3076" s="65" t="e">
        <f t="shared" si="481"/>
        <v>#NUM!</v>
      </c>
      <c r="K3076" s="83" t="e">
        <f t="shared" si="482"/>
        <v>#NUM!</v>
      </c>
      <c r="L3076" s="83">
        <f t="shared" si="483"/>
        <v>0</v>
      </c>
      <c r="M3076" s="110" t="str">
        <f t="shared" si="484"/>
        <v/>
      </c>
      <c r="N3076" s="51" t="str">
        <f t="shared" si="485"/>
        <v/>
      </c>
      <c r="O3076" s="52" t="str">
        <f t="shared" si="486"/>
        <v/>
      </c>
      <c r="P3076" s="88">
        <f t="shared" si="487"/>
        <v>0</v>
      </c>
      <c r="Q3076" s="88">
        <f t="shared" si="488"/>
        <v>0</v>
      </c>
      <c r="R3076" s="88" t="e">
        <f>-IF(Tabla14[[#This Row],[DIAS HABILES O MORA]]&lt;0,(Tabla14[[#This Row],[VALOR PRESTAMO]]*Tabla14[[#This Row],[% INTERES ]]/30*U3076))+Tabla14[[#This Row],[VALOR CUOTAS]]</f>
        <v>#VALUE!</v>
      </c>
      <c r="S3076" s="88">
        <f>-IF(Tabla14[[#This Row],[DIAS HABILES O MORA]]&lt;0,(Tabla14[[#This Row],[VALOR PRESTAMO]]*Tabla14[[#This Row],[% INTERES ]]/30*U3076))</f>
        <v>0</v>
      </c>
      <c r="T3076" s="53" t="e">
        <f>Tabla14[[#This Row],[DEUDA CAPITAL]]+Tabla14[[#This Row],[INTERES  CUOTA]]</f>
        <v>#NUM!</v>
      </c>
      <c r="U3076" s="61" t="str">
        <f t="shared" si="489"/>
        <v/>
      </c>
    </row>
    <row r="3077" spans="9:21" ht="24.75" customHeight="1" x14ac:dyDescent="0.35">
      <c r="I3077" s="42">
        <f t="shared" si="480"/>
        <v>0</v>
      </c>
      <c r="J3077" s="65" t="e">
        <f t="shared" si="481"/>
        <v>#NUM!</v>
      </c>
      <c r="K3077" s="83" t="e">
        <f t="shared" si="482"/>
        <v>#NUM!</v>
      </c>
      <c r="L3077" s="83">
        <f t="shared" si="483"/>
        <v>0</v>
      </c>
      <c r="M3077" s="110" t="str">
        <f t="shared" si="484"/>
        <v/>
      </c>
      <c r="N3077" s="51" t="str">
        <f t="shared" si="485"/>
        <v/>
      </c>
      <c r="O3077" s="52" t="str">
        <f t="shared" si="486"/>
        <v/>
      </c>
      <c r="P3077" s="88">
        <f t="shared" si="487"/>
        <v>0</v>
      </c>
      <c r="Q3077" s="88">
        <f t="shared" si="488"/>
        <v>0</v>
      </c>
      <c r="R3077" s="88" t="e">
        <f>-IF(Tabla14[[#This Row],[DIAS HABILES O MORA]]&lt;0,(Tabla14[[#This Row],[VALOR PRESTAMO]]*Tabla14[[#This Row],[% INTERES ]]/30*U3077))+Tabla14[[#This Row],[VALOR CUOTAS]]</f>
        <v>#VALUE!</v>
      </c>
      <c r="S3077" s="88">
        <f>-IF(Tabla14[[#This Row],[DIAS HABILES O MORA]]&lt;0,(Tabla14[[#This Row],[VALOR PRESTAMO]]*Tabla14[[#This Row],[% INTERES ]]/30*U3077))</f>
        <v>0</v>
      </c>
      <c r="T3077" s="53" t="e">
        <f>Tabla14[[#This Row],[DEUDA CAPITAL]]+Tabla14[[#This Row],[INTERES  CUOTA]]</f>
        <v>#NUM!</v>
      </c>
      <c r="U3077" s="61" t="str">
        <f t="shared" si="489"/>
        <v/>
      </c>
    </row>
    <row r="3078" spans="9:21" ht="24.75" customHeight="1" x14ac:dyDescent="0.35">
      <c r="I3078" s="42">
        <f t="shared" si="480"/>
        <v>0</v>
      </c>
      <c r="J3078" s="65" t="e">
        <f t="shared" si="481"/>
        <v>#NUM!</v>
      </c>
      <c r="K3078" s="83" t="e">
        <f t="shared" si="482"/>
        <v>#NUM!</v>
      </c>
      <c r="L3078" s="83">
        <f t="shared" si="483"/>
        <v>0</v>
      </c>
      <c r="M3078" s="110" t="str">
        <f t="shared" si="484"/>
        <v/>
      </c>
      <c r="N3078" s="51" t="str">
        <f t="shared" si="485"/>
        <v/>
      </c>
      <c r="O3078" s="52" t="str">
        <f t="shared" si="486"/>
        <v/>
      </c>
      <c r="P3078" s="88">
        <f t="shared" si="487"/>
        <v>0</v>
      </c>
      <c r="Q3078" s="88">
        <f t="shared" si="488"/>
        <v>0</v>
      </c>
      <c r="R3078" s="88" t="e">
        <f>-IF(Tabla14[[#This Row],[DIAS HABILES O MORA]]&lt;0,(Tabla14[[#This Row],[VALOR PRESTAMO]]*Tabla14[[#This Row],[% INTERES ]]/30*U3078))+Tabla14[[#This Row],[VALOR CUOTAS]]</f>
        <v>#VALUE!</v>
      </c>
      <c r="S3078" s="88">
        <f>-IF(Tabla14[[#This Row],[DIAS HABILES O MORA]]&lt;0,(Tabla14[[#This Row],[VALOR PRESTAMO]]*Tabla14[[#This Row],[% INTERES ]]/30*U3078))</f>
        <v>0</v>
      </c>
      <c r="T3078" s="53" t="e">
        <f>Tabla14[[#This Row],[DEUDA CAPITAL]]+Tabla14[[#This Row],[INTERES  CUOTA]]</f>
        <v>#NUM!</v>
      </c>
      <c r="U3078" s="61" t="str">
        <f t="shared" si="489"/>
        <v/>
      </c>
    </row>
    <row r="3079" spans="9:21" ht="24.75" customHeight="1" x14ac:dyDescent="0.35">
      <c r="I3079" s="42">
        <f t="shared" si="480"/>
        <v>0</v>
      </c>
      <c r="J3079" s="65" t="e">
        <f t="shared" si="481"/>
        <v>#NUM!</v>
      </c>
      <c r="K3079" s="83" t="e">
        <f t="shared" si="482"/>
        <v>#NUM!</v>
      </c>
      <c r="L3079" s="83">
        <f t="shared" si="483"/>
        <v>0</v>
      </c>
      <c r="M3079" s="110" t="str">
        <f t="shared" si="484"/>
        <v/>
      </c>
      <c r="N3079" s="51" t="str">
        <f t="shared" si="485"/>
        <v/>
      </c>
      <c r="O3079" s="52" t="str">
        <f t="shared" si="486"/>
        <v/>
      </c>
      <c r="P3079" s="88">
        <f t="shared" si="487"/>
        <v>0</v>
      </c>
      <c r="Q3079" s="88">
        <f t="shared" si="488"/>
        <v>0</v>
      </c>
      <c r="R3079" s="88" t="e">
        <f>-IF(Tabla14[[#This Row],[DIAS HABILES O MORA]]&lt;0,(Tabla14[[#This Row],[VALOR PRESTAMO]]*Tabla14[[#This Row],[% INTERES ]]/30*U3079))+Tabla14[[#This Row],[VALOR CUOTAS]]</f>
        <v>#VALUE!</v>
      </c>
      <c r="S3079" s="88">
        <f>-IF(Tabla14[[#This Row],[DIAS HABILES O MORA]]&lt;0,(Tabla14[[#This Row],[VALOR PRESTAMO]]*Tabla14[[#This Row],[% INTERES ]]/30*U3079))</f>
        <v>0</v>
      </c>
      <c r="T3079" s="53" t="e">
        <f>Tabla14[[#This Row],[DEUDA CAPITAL]]+Tabla14[[#This Row],[INTERES  CUOTA]]</f>
        <v>#NUM!</v>
      </c>
      <c r="U3079" s="61" t="str">
        <f t="shared" si="489"/>
        <v/>
      </c>
    </row>
    <row r="3080" spans="9:21" ht="24.75" customHeight="1" x14ac:dyDescent="0.35">
      <c r="I3080" s="42">
        <f t="shared" si="480"/>
        <v>0</v>
      </c>
      <c r="J3080" s="65" t="e">
        <f t="shared" si="481"/>
        <v>#NUM!</v>
      </c>
      <c r="K3080" s="83" t="e">
        <f t="shared" si="482"/>
        <v>#NUM!</v>
      </c>
      <c r="L3080" s="83">
        <f t="shared" si="483"/>
        <v>0</v>
      </c>
      <c r="M3080" s="110" t="str">
        <f t="shared" si="484"/>
        <v/>
      </c>
      <c r="N3080" s="51" t="str">
        <f t="shared" si="485"/>
        <v/>
      </c>
      <c r="O3080" s="52" t="str">
        <f t="shared" si="486"/>
        <v/>
      </c>
      <c r="P3080" s="88">
        <f t="shared" si="487"/>
        <v>0</v>
      </c>
      <c r="Q3080" s="88">
        <f t="shared" si="488"/>
        <v>0</v>
      </c>
      <c r="R3080" s="88" t="e">
        <f>-IF(Tabla14[[#This Row],[DIAS HABILES O MORA]]&lt;0,(Tabla14[[#This Row],[VALOR PRESTAMO]]*Tabla14[[#This Row],[% INTERES ]]/30*U3080))+Tabla14[[#This Row],[VALOR CUOTAS]]</f>
        <v>#VALUE!</v>
      </c>
      <c r="S3080" s="88">
        <f>-IF(Tabla14[[#This Row],[DIAS HABILES O MORA]]&lt;0,(Tabla14[[#This Row],[VALOR PRESTAMO]]*Tabla14[[#This Row],[% INTERES ]]/30*U3080))</f>
        <v>0</v>
      </c>
      <c r="T3080" s="53" t="e">
        <f>Tabla14[[#This Row],[DEUDA CAPITAL]]+Tabla14[[#This Row],[INTERES  CUOTA]]</f>
        <v>#NUM!</v>
      </c>
      <c r="U3080" s="61" t="str">
        <f t="shared" si="489"/>
        <v/>
      </c>
    </row>
    <row r="3081" spans="9:21" ht="24.75" customHeight="1" x14ac:dyDescent="0.35">
      <c r="I3081" s="42">
        <f t="shared" si="480"/>
        <v>0</v>
      </c>
      <c r="J3081" s="65" t="e">
        <f t="shared" si="481"/>
        <v>#NUM!</v>
      </c>
      <c r="K3081" s="83" t="e">
        <f t="shared" si="482"/>
        <v>#NUM!</v>
      </c>
      <c r="L3081" s="83">
        <f t="shared" si="483"/>
        <v>0</v>
      </c>
      <c r="M3081" s="110" t="str">
        <f t="shared" si="484"/>
        <v/>
      </c>
      <c r="N3081" s="51" t="str">
        <f t="shared" si="485"/>
        <v/>
      </c>
      <c r="O3081" s="52" t="str">
        <f t="shared" si="486"/>
        <v/>
      </c>
      <c r="P3081" s="88">
        <f t="shared" si="487"/>
        <v>0</v>
      </c>
      <c r="Q3081" s="88">
        <f t="shared" si="488"/>
        <v>0</v>
      </c>
      <c r="R3081" s="88" t="e">
        <f>-IF(Tabla14[[#This Row],[DIAS HABILES O MORA]]&lt;0,(Tabla14[[#This Row],[VALOR PRESTAMO]]*Tabla14[[#This Row],[% INTERES ]]/30*U3081))+Tabla14[[#This Row],[VALOR CUOTAS]]</f>
        <v>#VALUE!</v>
      </c>
      <c r="S3081" s="88">
        <f>-IF(Tabla14[[#This Row],[DIAS HABILES O MORA]]&lt;0,(Tabla14[[#This Row],[VALOR PRESTAMO]]*Tabla14[[#This Row],[% INTERES ]]/30*U3081))</f>
        <v>0</v>
      </c>
      <c r="T3081" s="53" t="e">
        <f>Tabla14[[#This Row],[DEUDA CAPITAL]]+Tabla14[[#This Row],[INTERES  CUOTA]]</f>
        <v>#NUM!</v>
      </c>
      <c r="U3081" s="61" t="str">
        <f t="shared" si="489"/>
        <v/>
      </c>
    </row>
    <row r="3082" spans="9:21" ht="24.75" customHeight="1" x14ac:dyDescent="0.35">
      <c r="I3082" s="42">
        <f t="shared" si="480"/>
        <v>0</v>
      </c>
      <c r="J3082" s="65" t="e">
        <f t="shared" si="481"/>
        <v>#NUM!</v>
      </c>
      <c r="K3082" s="83" t="e">
        <f t="shared" si="482"/>
        <v>#NUM!</v>
      </c>
      <c r="L3082" s="83">
        <f t="shared" si="483"/>
        <v>0</v>
      </c>
      <c r="M3082" s="110" t="str">
        <f t="shared" si="484"/>
        <v/>
      </c>
      <c r="N3082" s="51" t="str">
        <f t="shared" si="485"/>
        <v/>
      </c>
      <c r="O3082" s="52" t="str">
        <f t="shared" si="486"/>
        <v/>
      </c>
      <c r="P3082" s="88">
        <f t="shared" si="487"/>
        <v>0</v>
      </c>
      <c r="Q3082" s="88">
        <f t="shared" si="488"/>
        <v>0</v>
      </c>
      <c r="R3082" s="88" t="e">
        <f>-IF(Tabla14[[#This Row],[DIAS HABILES O MORA]]&lt;0,(Tabla14[[#This Row],[VALOR PRESTAMO]]*Tabla14[[#This Row],[% INTERES ]]/30*U3082))+Tabla14[[#This Row],[VALOR CUOTAS]]</f>
        <v>#VALUE!</v>
      </c>
      <c r="S3082" s="88">
        <f>-IF(Tabla14[[#This Row],[DIAS HABILES O MORA]]&lt;0,(Tabla14[[#This Row],[VALOR PRESTAMO]]*Tabla14[[#This Row],[% INTERES ]]/30*U3082))</f>
        <v>0</v>
      </c>
      <c r="T3082" s="53" t="e">
        <f>Tabla14[[#This Row],[DEUDA CAPITAL]]+Tabla14[[#This Row],[INTERES  CUOTA]]</f>
        <v>#NUM!</v>
      </c>
      <c r="U3082" s="61" t="str">
        <f t="shared" si="489"/>
        <v/>
      </c>
    </row>
    <row r="3083" spans="9:21" ht="24.75" customHeight="1" x14ac:dyDescent="0.35">
      <c r="I3083" s="42">
        <f t="shared" si="480"/>
        <v>0</v>
      </c>
      <c r="J3083" s="65" t="e">
        <f t="shared" si="481"/>
        <v>#NUM!</v>
      </c>
      <c r="K3083" s="83" t="e">
        <f t="shared" si="482"/>
        <v>#NUM!</v>
      </c>
      <c r="L3083" s="83">
        <f t="shared" si="483"/>
        <v>0</v>
      </c>
      <c r="M3083" s="110" t="str">
        <f t="shared" si="484"/>
        <v/>
      </c>
      <c r="N3083" s="51" t="str">
        <f t="shared" si="485"/>
        <v/>
      </c>
      <c r="O3083" s="52" t="str">
        <f t="shared" si="486"/>
        <v/>
      </c>
      <c r="P3083" s="88">
        <f t="shared" si="487"/>
        <v>0</v>
      </c>
      <c r="Q3083" s="88">
        <f t="shared" si="488"/>
        <v>0</v>
      </c>
      <c r="R3083" s="88" t="e">
        <f>-IF(Tabla14[[#This Row],[DIAS HABILES O MORA]]&lt;0,(Tabla14[[#This Row],[VALOR PRESTAMO]]*Tabla14[[#This Row],[% INTERES ]]/30*U3083))+Tabla14[[#This Row],[VALOR CUOTAS]]</f>
        <v>#VALUE!</v>
      </c>
      <c r="S3083" s="88">
        <f>-IF(Tabla14[[#This Row],[DIAS HABILES O MORA]]&lt;0,(Tabla14[[#This Row],[VALOR PRESTAMO]]*Tabla14[[#This Row],[% INTERES ]]/30*U3083))</f>
        <v>0</v>
      </c>
      <c r="T3083" s="53" t="e">
        <f>Tabla14[[#This Row],[DEUDA CAPITAL]]+Tabla14[[#This Row],[INTERES  CUOTA]]</f>
        <v>#NUM!</v>
      </c>
      <c r="U3083" s="61" t="str">
        <f t="shared" si="489"/>
        <v/>
      </c>
    </row>
    <row r="3084" spans="9:21" ht="24.75" customHeight="1" x14ac:dyDescent="0.35">
      <c r="I3084" s="42">
        <f t="shared" si="480"/>
        <v>0</v>
      </c>
      <c r="J3084" s="65" t="e">
        <f t="shared" si="481"/>
        <v>#NUM!</v>
      </c>
      <c r="K3084" s="83" t="e">
        <f t="shared" si="482"/>
        <v>#NUM!</v>
      </c>
      <c r="L3084" s="83">
        <f t="shared" si="483"/>
        <v>0</v>
      </c>
      <c r="M3084" s="110" t="str">
        <f t="shared" si="484"/>
        <v/>
      </c>
      <c r="N3084" s="51" t="str">
        <f t="shared" si="485"/>
        <v/>
      </c>
      <c r="O3084" s="52" t="str">
        <f t="shared" si="486"/>
        <v/>
      </c>
      <c r="P3084" s="88">
        <f t="shared" si="487"/>
        <v>0</v>
      </c>
      <c r="Q3084" s="88">
        <f t="shared" si="488"/>
        <v>0</v>
      </c>
      <c r="R3084" s="88" t="e">
        <f>-IF(Tabla14[[#This Row],[DIAS HABILES O MORA]]&lt;0,(Tabla14[[#This Row],[VALOR PRESTAMO]]*Tabla14[[#This Row],[% INTERES ]]/30*U3084))+Tabla14[[#This Row],[VALOR CUOTAS]]</f>
        <v>#VALUE!</v>
      </c>
      <c r="S3084" s="88">
        <f>-IF(Tabla14[[#This Row],[DIAS HABILES O MORA]]&lt;0,(Tabla14[[#This Row],[VALOR PRESTAMO]]*Tabla14[[#This Row],[% INTERES ]]/30*U3084))</f>
        <v>0</v>
      </c>
      <c r="T3084" s="53" t="e">
        <f>Tabla14[[#This Row],[DEUDA CAPITAL]]+Tabla14[[#This Row],[INTERES  CUOTA]]</f>
        <v>#NUM!</v>
      </c>
      <c r="U3084" s="61" t="str">
        <f t="shared" si="489"/>
        <v/>
      </c>
    </row>
    <row r="3085" spans="9:21" ht="24.75" customHeight="1" x14ac:dyDescent="0.35">
      <c r="I3085" s="42">
        <f t="shared" si="480"/>
        <v>0</v>
      </c>
      <c r="J3085" s="65" t="e">
        <f t="shared" si="481"/>
        <v>#NUM!</v>
      </c>
      <c r="K3085" s="83" t="e">
        <f t="shared" si="482"/>
        <v>#NUM!</v>
      </c>
      <c r="L3085" s="83">
        <f t="shared" si="483"/>
        <v>0</v>
      </c>
      <c r="M3085" s="110" t="str">
        <f t="shared" si="484"/>
        <v/>
      </c>
      <c r="N3085" s="51" t="str">
        <f t="shared" si="485"/>
        <v/>
      </c>
      <c r="O3085" s="52" t="str">
        <f t="shared" si="486"/>
        <v/>
      </c>
      <c r="P3085" s="88">
        <f t="shared" si="487"/>
        <v>0</v>
      </c>
      <c r="Q3085" s="88">
        <f t="shared" si="488"/>
        <v>0</v>
      </c>
      <c r="R3085" s="88" t="e">
        <f>-IF(Tabla14[[#This Row],[DIAS HABILES O MORA]]&lt;0,(Tabla14[[#This Row],[VALOR PRESTAMO]]*Tabla14[[#This Row],[% INTERES ]]/30*U3085))+Tabla14[[#This Row],[VALOR CUOTAS]]</f>
        <v>#VALUE!</v>
      </c>
      <c r="S3085" s="88">
        <f>-IF(Tabla14[[#This Row],[DIAS HABILES O MORA]]&lt;0,(Tabla14[[#This Row],[VALOR PRESTAMO]]*Tabla14[[#This Row],[% INTERES ]]/30*U3085))</f>
        <v>0</v>
      </c>
      <c r="T3085" s="53" t="e">
        <f>Tabla14[[#This Row],[DEUDA CAPITAL]]+Tabla14[[#This Row],[INTERES  CUOTA]]</f>
        <v>#NUM!</v>
      </c>
      <c r="U3085" s="61" t="str">
        <f t="shared" si="489"/>
        <v/>
      </c>
    </row>
    <row r="3086" spans="9:21" ht="24.75" customHeight="1" x14ac:dyDescent="0.35">
      <c r="I3086" s="42">
        <f t="shared" si="480"/>
        <v>0</v>
      </c>
      <c r="J3086" s="65" t="e">
        <f t="shared" si="481"/>
        <v>#NUM!</v>
      </c>
      <c r="K3086" s="83" t="e">
        <f t="shared" si="482"/>
        <v>#NUM!</v>
      </c>
      <c r="L3086" s="83">
        <f t="shared" si="483"/>
        <v>0</v>
      </c>
      <c r="M3086" s="110" t="str">
        <f t="shared" si="484"/>
        <v/>
      </c>
      <c r="N3086" s="51" t="str">
        <f t="shared" si="485"/>
        <v/>
      </c>
      <c r="O3086" s="52" t="str">
        <f t="shared" si="486"/>
        <v/>
      </c>
      <c r="P3086" s="88">
        <f t="shared" si="487"/>
        <v>0</v>
      </c>
      <c r="Q3086" s="88">
        <f t="shared" si="488"/>
        <v>0</v>
      </c>
      <c r="R3086" s="88" t="e">
        <f>-IF(Tabla14[[#This Row],[DIAS HABILES O MORA]]&lt;0,(Tabla14[[#This Row],[VALOR PRESTAMO]]*Tabla14[[#This Row],[% INTERES ]]/30*U3086))+Tabla14[[#This Row],[VALOR CUOTAS]]</f>
        <v>#VALUE!</v>
      </c>
      <c r="S3086" s="88">
        <f>-IF(Tabla14[[#This Row],[DIAS HABILES O MORA]]&lt;0,(Tabla14[[#This Row],[VALOR PRESTAMO]]*Tabla14[[#This Row],[% INTERES ]]/30*U3086))</f>
        <v>0</v>
      </c>
      <c r="T3086" s="53" t="e">
        <f>Tabla14[[#This Row],[DEUDA CAPITAL]]+Tabla14[[#This Row],[INTERES  CUOTA]]</f>
        <v>#NUM!</v>
      </c>
      <c r="U3086" s="61" t="str">
        <f t="shared" si="489"/>
        <v/>
      </c>
    </row>
    <row r="3087" spans="9:21" ht="24.75" customHeight="1" x14ac:dyDescent="0.35">
      <c r="I3087" s="42">
        <f t="shared" si="480"/>
        <v>0</v>
      </c>
      <c r="J3087" s="65" t="e">
        <f t="shared" si="481"/>
        <v>#NUM!</v>
      </c>
      <c r="K3087" s="83" t="e">
        <f t="shared" si="482"/>
        <v>#NUM!</v>
      </c>
      <c r="L3087" s="83">
        <f t="shared" si="483"/>
        <v>0</v>
      </c>
      <c r="M3087" s="110" t="str">
        <f t="shared" si="484"/>
        <v/>
      </c>
      <c r="N3087" s="51" t="str">
        <f t="shared" si="485"/>
        <v/>
      </c>
      <c r="O3087" s="52" t="str">
        <f t="shared" si="486"/>
        <v/>
      </c>
      <c r="P3087" s="88">
        <f t="shared" si="487"/>
        <v>0</v>
      </c>
      <c r="Q3087" s="88">
        <f t="shared" si="488"/>
        <v>0</v>
      </c>
      <c r="R3087" s="88" t="e">
        <f>-IF(Tabla14[[#This Row],[DIAS HABILES O MORA]]&lt;0,(Tabla14[[#This Row],[VALOR PRESTAMO]]*Tabla14[[#This Row],[% INTERES ]]/30*U3087))+Tabla14[[#This Row],[VALOR CUOTAS]]</f>
        <v>#VALUE!</v>
      </c>
      <c r="S3087" s="88">
        <f>-IF(Tabla14[[#This Row],[DIAS HABILES O MORA]]&lt;0,(Tabla14[[#This Row],[VALOR PRESTAMO]]*Tabla14[[#This Row],[% INTERES ]]/30*U3087))</f>
        <v>0</v>
      </c>
      <c r="T3087" s="53" t="e">
        <f>Tabla14[[#This Row],[DEUDA CAPITAL]]+Tabla14[[#This Row],[INTERES  CUOTA]]</f>
        <v>#NUM!</v>
      </c>
      <c r="U3087" s="61" t="str">
        <f t="shared" si="489"/>
        <v/>
      </c>
    </row>
    <row r="3088" spans="9:21" ht="24.75" customHeight="1" x14ac:dyDescent="0.35">
      <c r="I3088" s="42">
        <f t="shared" ref="I3088:I3151" si="490">IF(C3088&lt;0,"",IF(Q3088=0,0,IF(G3088=0,H3088+1,IF(H3088&lt;G3088,H3088+1,IF(G3088=H3088,0)))))</f>
        <v>0</v>
      </c>
      <c r="J3088" s="65" t="e">
        <f t="shared" ref="J3088:J3151" si="491">IF(F3088="SOLO INTERES",Q3088*D3088,-IPMT(D3088,I3088,G3088,C3088))</f>
        <v>#NUM!</v>
      </c>
      <c r="K3088" s="83" t="e">
        <f t="shared" ref="K3088:K3151" si="492">IF(F3088="SOLO INTERES",0,-PPMT(D3088,I3088,G3088,C3088))</f>
        <v>#NUM!</v>
      </c>
      <c r="L3088" s="83">
        <f t="shared" ref="L3088:L3151" si="493">IF(F3088="SOLO INTERES",SUM(Y3088:AAE3088),IFERROR(-CUMIPMT(D3088,G3088,C3088,1,H3088,0),0)+SUM(Y3088:WY3088))</f>
        <v>0</v>
      </c>
      <c r="M3088" s="110" t="str">
        <f t="shared" ref="M3088:M3151" si="494">IFERROR(IF(F3088="SOLO INTERES",Q3088*D3088,-PMT(D3088,G3088,C3088,0)),"")</f>
        <v/>
      </c>
      <c r="N3088" s="51" t="str">
        <f t="shared" ref="N3088:N3151" si="495">IF(Q3088=0,"",IF(E3088="MENSUAL",EDATE(B3088,I3088),IF(E3088="QUINCENAL",B3088+(I3088*15),IF(E3088="SEMANAL",B3088+(I3088*7)))))</f>
        <v/>
      </c>
      <c r="O3088" s="52" t="str">
        <f t="shared" ref="O3088:O3151" si="496">IF(C3088=0,"",IF(Q3088&lt;1,"PAGADO",IF(N3088=$A$3,"COBRAR HOY",IF(N3088&lt;$A$3,"EN MORA",IF(N3088&gt;$A$3,"AL DIA")))))</f>
        <v/>
      </c>
      <c r="P3088" s="88">
        <f t="shared" ref="P3088:P3151" si="497">IFERROR(-CUMPRINC(D3088,G3088,C3088,1,H3088,0),0)+W3088</f>
        <v>0</v>
      </c>
      <c r="Q3088" s="88">
        <f t="shared" ref="Q3088:Q3151" si="498">IFERROR(C3088-P3088,"")</f>
        <v>0</v>
      </c>
      <c r="R3088" s="88" t="e">
        <f>-IF(Tabla14[[#This Row],[DIAS HABILES O MORA]]&lt;0,(Tabla14[[#This Row],[VALOR PRESTAMO]]*Tabla14[[#This Row],[% INTERES ]]/30*U3088))+Tabla14[[#This Row],[VALOR CUOTAS]]</f>
        <v>#VALUE!</v>
      </c>
      <c r="S3088" s="88">
        <f>-IF(Tabla14[[#This Row],[DIAS HABILES O MORA]]&lt;0,(Tabla14[[#This Row],[VALOR PRESTAMO]]*Tabla14[[#This Row],[% INTERES ]]/30*U3088))</f>
        <v>0</v>
      </c>
      <c r="T3088" s="53" t="e">
        <f>Tabla14[[#This Row],[DEUDA CAPITAL]]+Tabla14[[#This Row],[INTERES  CUOTA]]</f>
        <v>#NUM!</v>
      </c>
      <c r="U3088" s="61" t="str">
        <f t="shared" ref="U3088:U3151" si="499">IF(O3088="PAGADO","",IFERROR(-IF(C3088=0,"",$A$3-N3088),""))</f>
        <v/>
      </c>
    </row>
    <row r="3089" spans="9:21" ht="24.75" customHeight="1" x14ac:dyDescent="0.35">
      <c r="I3089" s="42">
        <f t="shared" si="490"/>
        <v>0</v>
      </c>
      <c r="J3089" s="65" t="e">
        <f t="shared" si="491"/>
        <v>#NUM!</v>
      </c>
      <c r="K3089" s="83" t="e">
        <f t="shared" si="492"/>
        <v>#NUM!</v>
      </c>
      <c r="L3089" s="83">
        <f t="shared" si="493"/>
        <v>0</v>
      </c>
      <c r="M3089" s="110" t="str">
        <f t="shared" si="494"/>
        <v/>
      </c>
      <c r="N3089" s="51" t="str">
        <f t="shared" si="495"/>
        <v/>
      </c>
      <c r="O3089" s="52" t="str">
        <f t="shared" si="496"/>
        <v/>
      </c>
      <c r="P3089" s="88">
        <f t="shared" si="497"/>
        <v>0</v>
      </c>
      <c r="Q3089" s="88">
        <f t="shared" si="498"/>
        <v>0</v>
      </c>
      <c r="R3089" s="88" t="e">
        <f>-IF(Tabla14[[#This Row],[DIAS HABILES O MORA]]&lt;0,(Tabla14[[#This Row],[VALOR PRESTAMO]]*Tabla14[[#This Row],[% INTERES ]]/30*U3089))+Tabla14[[#This Row],[VALOR CUOTAS]]</f>
        <v>#VALUE!</v>
      </c>
      <c r="S3089" s="88">
        <f>-IF(Tabla14[[#This Row],[DIAS HABILES O MORA]]&lt;0,(Tabla14[[#This Row],[VALOR PRESTAMO]]*Tabla14[[#This Row],[% INTERES ]]/30*U3089))</f>
        <v>0</v>
      </c>
      <c r="T3089" s="53" t="e">
        <f>Tabla14[[#This Row],[DEUDA CAPITAL]]+Tabla14[[#This Row],[INTERES  CUOTA]]</f>
        <v>#NUM!</v>
      </c>
      <c r="U3089" s="61" t="str">
        <f t="shared" si="499"/>
        <v/>
      </c>
    </row>
    <row r="3090" spans="9:21" ht="24.75" customHeight="1" x14ac:dyDescent="0.35">
      <c r="I3090" s="42">
        <f t="shared" si="490"/>
        <v>0</v>
      </c>
      <c r="J3090" s="65" t="e">
        <f t="shared" si="491"/>
        <v>#NUM!</v>
      </c>
      <c r="K3090" s="83" t="e">
        <f t="shared" si="492"/>
        <v>#NUM!</v>
      </c>
      <c r="L3090" s="83">
        <f t="shared" si="493"/>
        <v>0</v>
      </c>
      <c r="M3090" s="110" t="str">
        <f t="shared" si="494"/>
        <v/>
      </c>
      <c r="N3090" s="51" t="str">
        <f t="shared" si="495"/>
        <v/>
      </c>
      <c r="O3090" s="52" t="str">
        <f t="shared" si="496"/>
        <v/>
      </c>
      <c r="P3090" s="88">
        <f t="shared" si="497"/>
        <v>0</v>
      </c>
      <c r="Q3090" s="88">
        <f t="shared" si="498"/>
        <v>0</v>
      </c>
      <c r="R3090" s="88" t="e">
        <f>-IF(Tabla14[[#This Row],[DIAS HABILES O MORA]]&lt;0,(Tabla14[[#This Row],[VALOR PRESTAMO]]*Tabla14[[#This Row],[% INTERES ]]/30*U3090))+Tabla14[[#This Row],[VALOR CUOTAS]]</f>
        <v>#VALUE!</v>
      </c>
      <c r="S3090" s="88">
        <f>-IF(Tabla14[[#This Row],[DIAS HABILES O MORA]]&lt;0,(Tabla14[[#This Row],[VALOR PRESTAMO]]*Tabla14[[#This Row],[% INTERES ]]/30*U3090))</f>
        <v>0</v>
      </c>
      <c r="T3090" s="53" t="e">
        <f>Tabla14[[#This Row],[DEUDA CAPITAL]]+Tabla14[[#This Row],[INTERES  CUOTA]]</f>
        <v>#NUM!</v>
      </c>
      <c r="U3090" s="61" t="str">
        <f t="shared" si="499"/>
        <v/>
      </c>
    </row>
    <row r="3091" spans="9:21" ht="24.75" customHeight="1" x14ac:dyDescent="0.35">
      <c r="I3091" s="42">
        <f t="shared" si="490"/>
        <v>0</v>
      </c>
      <c r="J3091" s="65" t="e">
        <f t="shared" si="491"/>
        <v>#NUM!</v>
      </c>
      <c r="K3091" s="83" t="e">
        <f t="shared" si="492"/>
        <v>#NUM!</v>
      </c>
      <c r="L3091" s="83">
        <f t="shared" si="493"/>
        <v>0</v>
      </c>
      <c r="M3091" s="110" t="str">
        <f t="shared" si="494"/>
        <v/>
      </c>
      <c r="N3091" s="51" t="str">
        <f t="shared" si="495"/>
        <v/>
      </c>
      <c r="O3091" s="52" t="str">
        <f t="shared" si="496"/>
        <v/>
      </c>
      <c r="P3091" s="88">
        <f t="shared" si="497"/>
        <v>0</v>
      </c>
      <c r="Q3091" s="88">
        <f t="shared" si="498"/>
        <v>0</v>
      </c>
      <c r="R3091" s="88" t="e">
        <f>-IF(Tabla14[[#This Row],[DIAS HABILES O MORA]]&lt;0,(Tabla14[[#This Row],[VALOR PRESTAMO]]*Tabla14[[#This Row],[% INTERES ]]/30*U3091))+Tabla14[[#This Row],[VALOR CUOTAS]]</f>
        <v>#VALUE!</v>
      </c>
      <c r="S3091" s="88">
        <f>-IF(Tabla14[[#This Row],[DIAS HABILES O MORA]]&lt;0,(Tabla14[[#This Row],[VALOR PRESTAMO]]*Tabla14[[#This Row],[% INTERES ]]/30*U3091))</f>
        <v>0</v>
      </c>
      <c r="T3091" s="53" t="e">
        <f>Tabla14[[#This Row],[DEUDA CAPITAL]]+Tabla14[[#This Row],[INTERES  CUOTA]]</f>
        <v>#NUM!</v>
      </c>
      <c r="U3091" s="61" t="str">
        <f t="shared" si="499"/>
        <v/>
      </c>
    </row>
    <row r="3092" spans="9:21" ht="24.75" customHeight="1" x14ac:dyDescent="0.35">
      <c r="I3092" s="42">
        <f t="shared" si="490"/>
        <v>0</v>
      </c>
      <c r="J3092" s="65" t="e">
        <f t="shared" si="491"/>
        <v>#NUM!</v>
      </c>
      <c r="K3092" s="83" t="e">
        <f t="shared" si="492"/>
        <v>#NUM!</v>
      </c>
      <c r="L3092" s="83">
        <f t="shared" si="493"/>
        <v>0</v>
      </c>
      <c r="M3092" s="110" t="str">
        <f t="shared" si="494"/>
        <v/>
      </c>
      <c r="N3092" s="51" t="str">
        <f t="shared" si="495"/>
        <v/>
      </c>
      <c r="O3092" s="52" t="str">
        <f t="shared" si="496"/>
        <v/>
      </c>
      <c r="P3092" s="88">
        <f t="shared" si="497"/>
        <v>0</v>
      </c>
      <c r="Q3092" s="88">
        <f t="shared" si="498"/>
        <v>0</v>
      </c>
      <c r="R3092" s="88" t="e">
        <f>-IF(Tabla14[[#This Row],[DIAS HABILES O MORA]]&lt;0,(Tabla14[[#This Row],[VALOR PRESTAMO]]*Tabla14[[#This Row],[% INTERES ]]/30*U3092))+Tabla14[[#This Row],[VALOR CUOTAS]]</f>
        <v>#VALUE!</v>
      </c>
      <c r="S3092" s="88">
        <f>-IF(Tabla14[[#This Row],[DIAS HABILES O MORA]]&lt;0,(Tabla14[[#This Row],[VALOR PRESTAMO]]*Tabla14[[#This Row],[% INTERES ]]/30*U3092))</f>
        <v>0</v>
      </c>
      <c r="T3092" s="53" t="e">
        <f>Tabla14[[#This Row],[DEUDA CAPITAL]]+Tabla14[[#This Row],[INTERES  CUOTA]]</f>
        <v>#NUM!</v>
      </c>
      <c r="U3092" s="61" t="str">
        <f t="shared" si="499"/>
        <v/>
      </c>
    </row>
    <row r="3093" spans="9:21" ht="24.75" customHeight="1" x14ac:dyDescent="0.35">
      <c r="I3093" s="42">
        <f t="shared" si="490"/>
        <v>0</v>
      </c>
      <c r="J3093" s="65" t="e">
        <f t="shared" si="491"/>
        <v>#NUM!</v>
      </c>
      <c r="K3093" s="83" t="e">
        <f t="shared" si="492"/>
        <v>#NUM!</v>
      </c>
      <c r="L3093" s="83">
        <f t="shared" si="493"/>
        <v>0</v>
      </c>
      <c r="M3093" s="110" t="str">
        <f t="shared" si="494"/>
        <v/>
      </c>
      <c r="N3093" s="51" t="str">
        <f t="shared" si="495"/>
        <v/>
      </c>
      <c r="O3093" s="52" t="str">
        <f t="shared" si="496"/>
        <v/>
      </c>
      <c r="P3093" s="88">
        <f t="shared" si="497"/>
        <v>0</v>
      </c>
      <c r="Q3093" s="88">
        <f t="shared" si="498"/>
        <v>0</v>
      </c>
      <c r="R3093" s="88" t="e">
        <f>-IF(Tabla14[[#This Row],[DIAS HABILES O MORA]]&lt;0,(Tabla14[[#This Row],[VALOR PRESTAMO]]*Tabla14[[#This Row],[% INTERES ]]/30*U3093))+Tabla14[[#This Row],[VALOR CUOTAS]]</f>
        <v>#VALUE!</v>
      </c>
      <c r="S3093" s="88">
        <f>-IF(Tabla14[[#This Row],[DIAS HABILES O MORA]]&lt;0,(Tabla14[[#This Row],[VALOR PRESTAMO]]*Tabla14[[#This Row],[% INTERES ]]/30*U3093))</f>
        <v>0</v>
      </c>
      <c r="T3093" s="53" t="e">
        <f>Tabla14[[#This Row],[DEUDA CAPITAL]]+Tabla14[[#This Row],[INTERES  CUOTA]]</f>
        <v>#NUM!</v>
      </c>
      <c r="U3093" s="61" t="str">
        <f t="shared" si="499"/>
        <v/>
      </c>
    </row>
    <row r="3094" spans="9:21" ht="24.75" customHeight="1" x14ac:dyDescent="0.35">
      <c r="I3094" s="42">
        <f t="shared" si="490"/>
        <v>0</v>
      </c>
      <c r="J3094" s="65" t="e">
        <f t="shared" si="491"/>
        <v>#NUM!</v>
      </c>
      <c r="K3094" s="83" t="e">
        <f t="shared" si="492"/>
        <v>#NUM!</v>
      </c>
      <c r="L3094" s="83">
        <f t="shared" si="493"/>
        <v>0</v>
      </c>
      <c r="M3094" s="110" t="str">
        <f t="shared" si="494"/>
        <v/>
      </c>
      <c r="N3094" s="51" t="str">
        <f t="shared" si="495"/>
        <v/>
      </c>
      <c r="O3094" s="52" t="str">
        <f t="shared" si="496"/>
        <v/>
      </c>
      <c r="P3094" s="88">
        <f t="shared" si="497"/>
        <v>0</v>
      </c>
      <c r="Q3094" s="88">
        <f t="shared" si="498"/>
        <v>0</v>
      </c>
      <c r="R3094" s="88" t="e">
        <f>-IF(Tabla14[[#This Row],[DIAS HABILES O MORA]]&lt;0,(Tabla14[[#This Row],[VALOR PRESTAMO]]*Tabla14[[#This Row],[% INTERES ]]/30*U3094))+Tabla14[[#This Row],[VALOR CUOTAS]]</f>
        <v>#VALUE!</v>
      </c>
      <c r="S3094" s="88">
        <f>-IF(Tabla14[[#This Row],[DIAS HABILES O MORA]]&lt;0,(Tabla14[[#This Row],[VALOR PRESTAMO]]*Tabla14[[#This Row],[% INTERES ]]/30*U3094))</f>
        <v>0</v>
      </c>
      <c r="T3094" s="53" t="e">
        <f>Tabla14[[#This Row],[DEUDA CAPITAL]]+Tabla14[[#This Row],[INTERES  CUOTA]]</f>
        <v>#NUM!</v>
      </c>
      <c r="U3094" s="61" t="str">
        <f t="shared" si="499"/>
        <v/>
      </c>
    </row>
    <row r="3095" spans="9:21" ht="24.75" customHeight="1" x14ac:dyDescent="0.35">
      <c r="I3095" s="42">
        <f t="shared" si="490"/>
        <v>0</v>
      </c>
      <c r="J3095" s="65" t="e">
        <f t="shared" si="491"/>
        <v>#NUM!</v>
      </c>
      <c r="K3095" s="83" t="e">
        <f t="shared" si="492"/>
        <v>#NUM!</v>
      </c>
      <c r="L3095" s="83">
        <f t="shared" si="493"/>
        <v>0</v>
      </c>
      <c r="M3095" s="110" t="str">
        <f t="shared" si="494"/>
        <v/>
      </c>
      <c r="N3095" s="51" t="str">
        <f t="shared" si="495"/>
        <v/>
      </c>
      <c r="O3095" s="52" t="str">
        <f t="shared" si="496"/>
        <v/>
      </c>
      <c r="P3095" s="88">
        <f t="shared" si="497"/>
        <v>0</v>
      </c>
      <c r="Q3095" s="88">
        <f t="shared" si="498"/>
        <v>0</v>
      </c>
      <c r="R3095" s="88" t="e">
        <f>-IF(Tabla14[[#This Row],[DIAS HABILES O MORA]]&lt;0,(Tabla14[[#This Row],[VALOR PRESTAMO]]*Tabla14[[#This Row],[% INTERES ]]/30*U3095))+Tabla14[[#This Row],[VALOR CUOTAS]]</f>
        <v>#VALUE!</v>
      </c>
      <c r="S3095" s="88">
        <f>-IF(Tabla14[[#This Row],[DIAS HABILES O MORA]]&lt;0,(Tabla14[[#This Row],[VALOR PRESTAMO]]*Tabla14[[#This Row],[% INTERES ]]/30*U3095))</f>
        <v>0</v>
      </c>
      <c r="T3095" s="53" t="e">
        <f>Tabla14[[#This Row],[DEUDA CAPITAL]]+Tabla14[[#This Row],[INTERES  CUOTA]]</f>
        <v>#NUM!</v>
      </c>
      <c r="U3095" s="61" t="str">
        <f t="shared" si="499"/>
        <v/>
      </c>
    </row>
    <row r="3096" spans="9:21" ht="24.75" customHeight="1" x14ac:dyDescent="0.35">
      <c r="I3096" s="42">
        <f t="shared" si="490"/>
        <v>0</v>
      </c>
      <c r="J3096" s="65" t="e">
        <f t="shared" si="491"/>
        <v>#NUM!</v>
      </c>
      <c r="K3096" s="83" t="e">
        <f t="shared" si="492"/>
        <v>#NUM!</v>
      </c>
      <c r="L3096" s="83">
        <f t="shared" si="493"/>
        <v>0</v>
      </c>
      <c r="M3096" s="110" t="str">
        <f t="shared" si="494"/>
        <v/>
      </c>
      <c r="N3096" s="51" t="str">
        <f t="shared" si="495"/>
        <v/>
      </c>
      <c r="O3096" s="52" t="str">
        <f t="shared" si="496"/>
        <v/>
      </c>
      <c r="P3096" s="88">
        <f t="shared" si="497"/>
        <v>0</v>
      </c>
      <c r="Q3096" s="88">
        <f t="shared" si="498"/>
        <v>0</v>
      </c>
      <c r="R3096" s="88" t="e">
        <f>-IF(Tabla14[[#This Row],[DIAS HABILES O MORA]]&lt;0,(Tabla14[[#This Row],[VALOR PRESTAMO]]*Tabla14[[#This Row],[% INTERES ]]/30*U3096))+Tabla14[[#This Row],[VALOR CUOTAS]]</f>
        <v>#VALUE!</v>
      </c>
      <c r="S3096" s="88">
        <f>-IF(Tabla14[[#This Row],[DIAS HABILES O MORA]]&lt;0,(Tabla14[[#This Row],[VALOR PRESTAMO]]*Tabla14[[#This Row],[% INTERES ]]/30*U3096))</f>
        <v>0</v>
      </c>
      <c r="T3096" s="53" t="e">
        <f>Tabla14[[#This Row],[DEUDA CAPITAL]]+Tabla14[[#This Row],[INTERES  CUOTA]]</f>
        <v>#NUM!</v>
      </c>
      <c r="U3096" s="61" t="str">
        <f t="shared" si="499"/>
        <v/>
      </c>
    </row>
    <row r="3097" spans="9:21" ht="24.75" customHeight="1" x14ac:dyDescent="0.35">
      <c r="I3097" s="42">
        <f t="shared" si="490"/>
        <v>0</v>
      </c>
      <c r="J3097" s="65" t="e">
        <f t="shared" si="491"/>
        <v>#NUM!</v>
      </c>
      <c r="K3097" s="83" t="e">
        <f t="shared" si="492"/>
        <v>#NUM!</v>
      </c>
      <c r="L3097" s="83">
        <f t="shared" si="493"/>
        <v>0</v>
      </c>
      <c r="M3097" s="110" t="str">
        <f t="shared" si="494"/>
        <v/>
      </c>
      <c r="N3097" s="51" t="str">
        <f t="shared" si="495"/>
        <v/>
      </c>
      <c r="O3097" s="52" t="str">
        <f t="shared" si="496"/>
        <v/>
      </c>
      <c r="P3097" s="88">
        <f t="shared" si="497"/>
        <v>0</v>
      </c>
      <c r="Q3097" s="88">
        <f t="shared" si="498"/>
        <v>0</v>
      </c>
      <c r="R3097" s="88" t="e">
        <f>-IF(Tabla14[[#This Row],[DIAS HABILES O MORA]]&lt;0,(Tabla14[[#This Row],[VALOR PRESTAMO]]*Tabla14[[#This Row],[% INTERES ]]/30*U3097))+Tabla14[[#This Row],[VALOR CUOTAS]]</f>
        <v>#VALUE!</v>
      </c>
      <c r="S3097" s="88">
        <f>-IF(Tabla14[[#This Row],[DIAS HABILES O MORA]]&lt;0,(Tabla14[[#This Row],[VALOR PRESTAMO]]*Tabla14[[#This Row],[% INTERES ]]/30*U3097))</f>
        <v>0</v>
      </c>
      <c r="T3097" s="53" t="e">
        <f>Tabla14[[#This Row],[DEUDA CAPITAL]]+Tabla14[[#This Row],[INTERES  CUOTA]]</f>
        <v>#NUM!</v>
      </c>
      <c r="U3097" s="61" t="str">
        <f t="shared" si="499"/>
        <v/>
      </c>
    </row>
    <row r="3098" spans="9:21" ht="24.75" customHeight="1" x14ac:dyDescent="0.35">
      <c r="I3098" s="42">
        <f t="shared" si="490"/>
        <v>0</v>
      </c>
      <c r="J3098" s="65" t="e">
        <f t="shared" si="491"/>
        <v>#NUM!</v>
      </c>
      <c r="K3098" s="83" t="e">
        <f t="shared" si="492"/>
        <v>#NUM!</v>
      </c>
      <c r="L3098" s="83">
        <f t="shared" si="493"/>
        <v>0</v>
      </c>
      <c r="M3098" s="110" t="str">
        <f t="shared" si="494"/>
        <v/>
      </c>
      <c r="N3098" s="51" t="str">
        <f t="shared" si="495"/>
        <v/>
      </c>
      <c r="O3098" s="52" t="str">
        <f t="shared" si="496"/>
        <v/>
      </c>
      <c r="P3098" s="88">
        <f t="shared" si="497"/>
        <v>0</v>
      </c>
      <c r="Q3098" s="88">
        <f t="shared" si="498"/>
        <v>0</v>
      </c>
      <c r="R3098" s="88" t="e">
        <f>-IF(Tabla14[[#This Row],[DIAS HABILES O MORA]]&lt;0,(Tabla14[[#This Row],[VALOR PRESTAMO]]*Tabla14[[#This Row],[% INTERES ]]/30*U3098))+Tabla14[[#This Row],[VALOR CUOTAS]]</f>
        <v>#VALUE!</v>
      </c>
      <c r="S3098" s="88">
        <f>-IF(Tabla14[[#This Row],[DIAS HABILES O MORA]]&lt;0,(Tabla14[[#This Row],[VALOR PRESTAMO]]*Tabla14[[#This Row],[% INTERES ]]/30*U3098))</f>
        <v>0</v>
      </c>
      <c r="T3098" s="53" t="e">
        <f>Tabla14[[#This Row],[DEUDA CAPITAL]]+Tabla14[[#This Row],[INTERES  CUOTA]]</f>
        <v>#NUM!</v>
      </c>
      <c r="U3098" s="61" t="str">
        <f t="shared" si="499"/>
        <v/>
      </c>
    </row>
    <row r="3099" spans="9:21" ht="24.75" customHeight="1" x14ac:dyDescent="0.35">
      <c r="I3099" s="42">
        <f t="shared" si="490"/>
        <v>0</v>
      </c>
      <c r="J3099" s="65" t="e">
        <f t="shared" si="491"/>
        <v>#NUM!</v>
      </c>
      <c r="K3099" s="83" t="e">
        <f t="shared" si="492"/>
        <v>#NUM!</v>
      </c>
      <c r="L3099" s="83">
        <f t="shared" si="493"/>
        <v>0</v>
      </c>
      <c r="M3099" s="110" t="str">
        <f t="shared" si="494"/>
        <v/>
      </c>
      <c r="N3099" s="51" t="str">
        <f t="shared" si="495"/>
        <v/>
      </c>
      <c r="O3099" s="52" t="str">
        <f t="shared" si="496"/>
        <v/>
      </c>
      <c r="P3099" s="88">
        <f t="shared" si="497"/>
        <v>0</v>
      </c>
      <c r="Q3099" s="88">
        <f t="shared" si="498"/>
        <v>0</v>
      </c>
      <c r="R3099" s="88" t="e">
        <f>-IF(Tabla14[[#This Row],[DIAS HABILES O MORA]]&lt;0,(Tabla14[[#This Row],[VALOR PRESTAMO]]*Tabla14[[#This Row],[% INTERES ]]/30*U3099))+Tabla14[[#This Row],[VALOR CUOTAS]]</f>
        <v>#VALUE!</v>
      </c>
      <c r="S3099" s="88">
        <f>-IF(Tabla14[[#This Row],[DIAS HABILES O MORA]]&lt;0,(Tabla14[[#This Row],[VALOR PRESTAMO]]*Tabla14[[#This Row],[% INTERES ]]/30*U3099))</f>
        <v>0</v>
      </c>
      <c r="T3099" s="53" t="e">
        <f>Tabla14[[#This Row],[DEUDA CAPITAL]]+Tabla14[[#This Row],[INTERES  CUOTA]]</f>
        <v>#NUM!</v>
      </c>
      <c r="U3099" s="61" t="str">
        <f t="shared" si="499"/>
        <v/>
      </c>
    </row>
    <row r="3100" spans="9:21" ht="24.75" customHeight="1" x14ac:dyDescent="0.35">
      <c r="I3100" s="42">
        <f t="shared" si="490"/>
        <v>0</v>
      </c>
      <c r="J3100" s="65" t="e">
        <f t="shared" si="491"/>
        <v>#NUM!</v>
      </c>
      <c r="K3100" s="83" t="e">
        <f t="shared" si="492"/>
        <v>#NUM!</v>
      </c>
      <c r="L3100" s="83">
        <f t="shared" si="493"/>
        <v>0</v>
      </c>
      <c r="M3100" s="110" t="str">
        <f t="shared" si="494"/>
        <v/>
      </c>
      <c r="N3100" s="51" t="str">
        <f t="shared" si="495"/>
        <v/>
      </c>
      <c r="O3100" s="52" t="str">
        <f t="shared" si="496"/>
        <v/>
      </c>
      <c r="P3100" s="88">
        <f t="shared" si="497"/>
        <v>0</v>
      </c>
      <c r="Q3100" s="88">
        <f t="shared" si="498"/>
        <v>0</v>
      </c>
      <c r="R3100" s="88" t="e">
        <f>-IF(Tabla14[[#This Row],[DIAS HABILES O MORA]]&lt;0,(Tabla14[[#This Row],[VALOR PRESTAMO]]*Tabla14[[#This Row],[% INTERES ]]/30*U3100))+Tabla14[[#This Row],[VALOR CUOTAS]]</f>
        <v>#VALUE!</v>
      </c>
      <c r="S3100" s="88">
        <f>-IF(Tabla14[[#This Row],[DIAS HABILES O MORA]]&lt;0,(Tabla14[[#This Row],[VALOR PRESTAMO]]*Tabla14[[#This Row],[% INTERES ]]/30*U3100))</f>
        <v>0</v>
      </c>
      <c r="T3100" s="53" t="e">
        <f>Tabla14[[#This Row],[DEUDA CAPITAL]]+Tabla14[[#This Row],[INTERES  CUOTA]]</f>
        <v>#NUM!</v>
      </c>
      <c r="U3100" s="61" t="str">
        <f t="shared" si="499"/>
        <v/>
      </c>
    </row>
    <row r="3101" spans="9:21" ht="24.75" customHeight="1" x14ac:dyDescent="0.35">
      <c r="I3101" s="42">
        <f t="shared" si="490"/>
        <v>0</v>
      </c>
      <c r="J3101" s="65" t="e">
        <f t="shared" si="491"/>
        <v>#NUM!</v>
      </c>
      <c r="K3101" s="83" t="e">
        <f t="shared" si="492"/>
        <v>#NUM!</v>
      </c>
      <c r="L3101" s="83">
        <f t="shared" si="493"/>
        <v>0</v>
      </c>
      <c r="M3101" s="110" t="str">
        <f t="shared" si="494"/>
        <v/>
      </c>
      <c r="N3101" s="51" t="str">
        <f t="shared" si="495"/>
        <v/>
      </c>
      <c r="O3101" s="52" t="str">
        <f t="shared" si="496"/>
        <v/>
      </c>
      <c r="P3101" s="88">
        <f t="shared" si="497"/>
        <v>0</v>
      </c>
      <c r="Q3101" s="88">
        <f t="shared" si="498"/>
        <v>0</v>
      </c>
      <c r="R3101" s="88" t="e">
        <f>-IF(Tabla14[[#This Row],[DIAS HABILES O MORA]]&lt;0,(Tabla14[[#This Row],[VALOR PRESTAMO]]*Tabla14[[#This Row],[% INTERES ]]/30*U3101))+Tabla14[[#This Row],[VALOR CUOTAS]]</f>
        <v>#VALUE!</v>
      </c>
      <c r="S3101" s="88">
        <f>-IF(Tabla14[[#This Row],[DIAS HABILES O MORA]]&lt;0,(Tabla14[[#This Row],[VALOR PRESTAMO]]*Tabla14[[#This Row],[% INTERES ]]/30*U3101))</f>
        <v>0</v>
      </c>
      <c r="T3101" s="53" t="e">
        <f>Tabla14[[#This Row],[DEUDA CAPITAL]]+Tabla14[[#This Row],[INTERES  CUOTA]]</f>
        <v>#NUM!</v>
      </c>
      <c r="U3101" s="61" t="str">
        <f t="shared" si="499"/>
        <v/>
      </c>
    </row>
    <row r="3102" spans="9:21" ht="24.75" customHeight="1" x14ac:dyDescent="0.35">
      <c r="I3102" s="42">
        <f t="shared" si="490"/>
        <v>0</v>
      </c>
      <c r="J3102" s="65" t="e">
        <f t="shared" si="491"/>
        <v>#NUM!</v>
      </c>
      <c r="K3102" s="83" t="e">
        <f t="shared" si="492"/>
        <v>#NUM!</v>
      </c>
      <c r="L3102" s="83">
        <f t="shared" si="493"/>
        <v>0</v>
      </c>
      <c r="M3102" s="110" t="str">
        <f t="shared" si="494"/>
        <v/>
      </c>
      <c r="N3102" s="51" t="str">
        <f t="shared" si="495"/>
        <v/>
      </c>
      <c r="O3102" s="52" t="str">
        <f t="shared" si="496"/>
        <v/>
      </c>
      <c r="P3102" s="88">
        <f t="shared" si="497"/>
        <v>0</v>
      </c>
      <c r="Q3102" s="88">
        <f t="shared" si="498"/>
        <v>0</v>
      </c>
      <c r="R3102" s="88" t="e">
        <f>-IF(Tabla14[[#This Row],[DIAS HABILES O MORA]]&lt;0,(Tabla14[[#This Row],[VALOR PRESTAMO]]*Tabla14[[#This Row],[% INTERES ]]/30*U3102))+Tabla14[[#This Row],[VALOR CUOTAS]]</f>
        <v>#VALUE!</v>
      </c>
      <c r="S3102" s="88">
        <f>-IF(Tabla14[[#This Row],[DIAS HABILES O MORA]]&lt;0,(Tabla14[[#This Row],[VALOR PRESTAMO]]*Tabla14[[#This Row],[% INTERES ]]/30*U3102))</f>
        <v>0</v>
      </c>
      <c r="T3102" s="53" t="e">
        <f>Tabla14[[#This Row],[DEUDA CAPITAL]]+Tabla14[[#This Row],[INTERES  CUOTA]]</f>
        <v>#NUM!</v>
      </c>
      <c r="U3102" s="61" t="str">
        <f t="shared" si="499"/>
        <v/>
      </c>
    </row>
    <row r="3103" spans="9:21" ht="24.75" customHeight="1" x14ac:dyDescent="0.35">
      <c r="I3103" s="42">
        <f t="shared" si="490"/>
        <v>0</v>
      </c>
      <c r="J3103" s="65" t="e">
        <f t="shared" si="491"/>
        <v>#NUM!</v>
      </c>
      <c r="K3103" s="83" t="e">
        <f t="shared" si="492"/>
        <v>#NUM!</v>
      </c>
      <c r="L3103" s="83">
        <f t="shared" si="493"/>
        <v>0</v>
      </c>
      <c r="M3103" s="110" t="str">
        <f t="shared" si="494"/>
        <v/>
      </c>
      <c r="N3103" s="51" t="str">
        <f t="shared" si="495"/>
        <v/>
      </c>
      <c r="O3103" s="52" t="str">
        <f t="shared" si="496"/>
        <v/>
      </c>
      <c r="P3103" s="88">
        <f t="shared" si="497"/>
        <v>0</v>
      </c>
      <c r="Q3103" s="88">
        <f t="shared" si="498"/>
        <v>0</v>
      </c>
      <c r="R3103" s="88" t="e">
        <f>-IF(Tabla14[[#This Row],[DIAS HABILES O MORA]]&lt;0,(Tabla14[[#This Row],[VALOR PRESTAMO]]*Tabla14[[#This Row],[% INTERES ]]/30*U3103))+Tabla14[[#This Row],[VALOR CUOTAS]]</f>
        <v>#VALUE!</v>
      </c>
      <c r="S3103" s="88">
        <f>-IF(Tabla14[[#This Row],[DIAS HABILES O MORA]]&lt;0,(Tabla14[[#This Row],[VALOR PRESTAMO]]*Tabla14[[#This Row],[% INTERES ]]/30*U3103))</f>
        <v>0</v>
      </c>
      <c r="T3103" s="53" t="e">
        <f>Tabla14[[#This Row],[DEUDA CAPITAL]]+Tabla14[[#This Row],[INTERES  CUOTA]]</f>
        <v>#NUM!</v>
      </c>
      <c r="U3103" s="61" t="str">
        <f t="shared" si="499"/>
        <v/>
      </c>
    </row>
    <row r="3104" spans="9:21" ht="24.75" customHeight="1" x14ac:dyDescent="0.35">
      <c r="I3104" s="42">
        <f t="shared" si="490"/>
        <v>0</v>
      </c>
      <c r="J3104" s="65" t="e">
        <f t="shared" si="491"/>
        <v>#NUM!</v>
      </c>
      <c r="K3104" s="83" t="e">
        <f t="shared" si="492"/>
        <v>#NUM!</v>
      </c>
      <c r="L3104" s="83">
        <f t="shared" si="493"/>
        <v>0</v>
      </c>
      <c r="M3104" s="110" t="str">
        <f t="shared" si="494"/>
        <v/>
      </c>
      <c r="N3104" s="51" t="str">
        <f t="shared" si="495"/>
        <v/>
      </c>
      <c r="O3104" s="52" t="str">
        <f t="shared" si="496"/>
        <v/>
      </c>
      <c r="P3104" s="88">
        <f t="shared" si="497"/>
        <v>0</v>
      </c>
      <c r="Q3104" s="88">
        <f t="shared" si="498"/>
        <v>0</v>
      </c>
      <c r="R3104" s="88" t="e">
        <f>-IF(Tabla14[[#This Row],[DIAS HABILES O MORA]]&lt;0,(Tabla14[[#This Row],[VALOR PRESTAMO]]*Tabla14[[#This Row],[% INTERES ]]/30*U3104))+Tabla14[[#This Row],[VALOR CUOTAS]]</f>
        <v>#VALUE!</v>
      </c>
      <c r="S3104" s="88">
        <f>-IF(Tabla14[[#This Row],[DIAS HABILES O MORA]]&lt;0,(Tabla14[[#This Row],[VALOR PRESTAMO]]*Tabla14[[#This Row],[% INTERES ]]/30*U3104))</f>
        <v>0</v>
      </c>
      <c r="T3104" s="53" t="e">
        <f>Tabla14[[#This Row],[DEUDA CAPITAL]]+Tabla14[[#This Row],[INTERES  CUOTA]]</f>
        <v>#NUM!</v>
      </c>
      <c r="U3104" s="61" t="str">
        <f t="shared" si="499"/>
        <v/>
      </c>
    </row>
    <row r="3105" spans="9:21" ht="24.75" customHeight="1" x14ac:dyDescent="0.35">
      <c r="I3105" s="42">
        <f t="shared" si="490"/>
        <v>0</v>
      </c>
      <c r="J3105" s="65" t="e">
        <f t="shared" si="491"/>
        <v>#NUM!</v>
      </c>
      <c r="K3105" s="83" t="e">
        <f t="shared" si="492"/>
        <v>#NUM!</v>
      </c>
      <c r="L3105" s="83">
        <f t="shared" si="493"/>
        <v>0</v>
      </c>
      <c r="M3105" s="110" t="str">
        <f t="shared" si="494"/>
        <v/>
      </c>
      <c r="N3105" s="51" t="str">
        <f t="shared" si="495"/>
        <v/>
      </c>
      <c r="O3105" s="52" t="str">
        <f t="shared" si="496"/>
        <v/>
      </c>
      <c r="P3105" s="88">
        <f t="shared" si="497"/>
        <v>0</v>
      </c>
      <c r="Q3105" s="88">
        <f t="shared" si="498"/>
        <v>0</v>
      </c>
      <c r="R3105" s="88" t="e">
        <f>-IF(Tabla14[[#This Row],[DIAS HABILES O MORA]]&lt;0,(Tabla14[[#This Row],[VALOR PRESTAMO]]*Tabla14[[#This Row],[% INTERES ]]/30*U3105))+Tabla14[[#This Row],[VALOR CUOTAS]]</f>
        <v>#VALUE!</v>
      </c>
      <c r="S3105" s="88">
        <f>-IF(Tabla14[[#This Row],[DIAS HABILES O MORA]]&lt;0,(Tabla14[[#This Row],[VALOR PRESTAMO]]*Tabla14[[#This Row],[% INTERES ]]/30*U3105))</f>
        <v>0</v>
      </c>
      <c r="T3105" s="53" t="e">
        <f>Tabla14[[#This Row],[DEUDA CAPITAL]]+Tabla14[[#This Row],[INTERES  CUOTA]]</f>
        <v>#NUM!</v>
      </c>
      <c r="U3105" s="61" t="str">
        <f t="shared" si="499"/>
        <v/>
      </c>
    </row>
    <row r="3106" spans="9:21" ht="24.75" customHeight="1" x14ac:dyDescent="0.35">
      <c r="I3106" s="42">
        <f t="shared" si="490"/>
        <v>0</v>
      </c>
      <c r="J3106" s="65" t="e">
        <f t="shared" si="491"/>
        <v>#NUM!</v>
      </c>
      <c r="K3106" s="83" t="e">
        <f t="shared" si="492"/>
        <v>#NUM!</v>
      </c>
      <c r="L3106" s="83">
        <f t="shared" si="493"/>
        <v>0</v>
      </c>
      <c r="M3106" s="110" t="str">
        <f t="shared" si="494"/>
        <v/>
      </c>
      <c r="N3106" s="51" t="str">
        <f t="shared" si="495"/>
        <v/>
      </c>
      <c r="O3106" s="52" t="str">
        <f t="shared" si="496"/>
        <v/>
      </c>
      <c r="P3106" s="88">
        <f t="shared" si="497"/>
        <v>0</v>
      </c>
      <c r="Q3106" s="88">
        <f t="shared" si="498"/>
        <v>0</v>
      </c>
      <c r="R3106" s="88" t="e">
        <f>-IF(Tabla14[[#This Row],[DIAS HABILES O MORA]]&lt;0,(Tabla14[[#This Row],[VALOR PRESTAMO]]*Tabla14[[#This Row],[% INTERES ]]/30*U3106))+Tabla14[[#This Row],[VALOR CUOTAS]]</f>
        <v>#VALUE!</v>
      </c>
      <c r="S3106" s="88">
        <f>-IF(Tabla14[[#This Row],[DIAS HABILES O MORA]]&lt;0,(Tabla14[[#This Row],[VALOR PRESTAMO]]*Tabla14[[#This Row],[% INTERES ]]/30*U3106))</f>
        <v>0</v>
      </c>
      <c r="T3106" s="53" t="e">
        <f>Tabla14[[#This Row],[DEUDA CAPITAL]]+Tabla14[[#This Row],[INTERES  CUOTA]]</f>
        <v>#NUM!</v>
      </c>
      <c r="U3106" s="61" t="str">
        <f t="shared" si="499"/>
        <v/>
      </c>
    </row>
    <row r="3107" spans="9:21" ht="24.75" customHeight="1" x14ac:dyDescent="0.35">
      <c r="I3107" s="42">
        <f t="shared" si="490"/>
        <v>0</v>
      </c>
      <c r="J3107" s="65" t="e">
        <f t="shared" si="491"/>
        <v>#NUM!</v>
      </c>
      <c r="K3107" s="83" t="e">
        <f t="shared" si="492"/>
        <v>#NUM!</v>
      </c>
      <c r="L3107" s="83">
        <f t="shared" si="493"/>
        <v>0</v>
      </c>
      <c r="M3107" s="110" t="str">
        <f t="shared" si="494"/>
        <v/>
      </c>
      <c r="N3107" s="51" t="str">
        <f t="shared" si="495"/>
        <v/>
      </c>
      <c r="O3107" s="52" t="str">
        <f t="shared" si="496"/>
        <v/>
      </c>
      <c r="P3107" s="88">
        <f t="shared" si="497"/>
        <v>0</v>
      </c>
      <c r="Q3107" s="88">
        <f t="shared" si="498"/>
        <v>0</v>
      </c>
      <c r="R3107" s="88" t="e">
        <f>-IF(Tabla14[[#This Row],[DIAS HABILES O MORA]]&lt;0,(Tabla14[[#This Row],[VALOR PRESTAMO]]*Tabla14[[#This Row],[% INTERES ]]/30*U3107))+Tabla14[[#This Row],[VALOR CUOTAS]]</f>
        <v>#VALUE!</v>
      </c>
      <c r="S3107" s="88">
        <f>-IF(Tabla14[[#This Row],[DIAS HABILES O MORA]]&lt;0,(Tabla14[[#This Row],[VALOR PRESTAMO]]*Tabla14[[#This Row],[% INTERES ]]/30*U3107))</f>
        <v>0</v>
      </c>
      <c r="T3107" s="53" t="e">
        <f>Tabla14[[#This Row],[DEUDA CAPITAL]]+Tabla14[[#This Row],[INTERES  CUOTA]]</f>
        <v>#NUM!</v>
      </c>
      <c r="U3107" s="61" t="str">
        <f t="shared" si="499"/>
        <v/>
      </c>
    </row>
    <row r="3108" spans="9:21" ht="24.75" customHeight="1" x14ac:dyDescent="0.35">
      <c r="I3108" s="42">
        <f t="shared" si="490"/>
        <v>0</v>
      </c>
      <c r="J3108" s="65" t="e">
        <f t="shared" si="491"/>
        <v>#NUM!</v>
      </c>
      <c r="K3108" s="83" t="e">
        <f t="shared" si="492"/>
        <v>#NUM!</v>
      </c>
      <c r="L3108" s="83">
        <f t="shared" si="493"/>
        <v>0</v>
      </c>
      <c r="M3108" s="110" t="str">
        <f t="shared" si="494"/>
        <v/>
      </c>
      <c r="N3108" s="51" t="str">
        <f t="shared" si="495"/>
        <v/>
      </c>
      <c r="O3108" s="52" t="str">
        <f t="shared" si="496"/>
        <v/>
      </c>
      <c r="P3108" s="88">
        <f t="shared" si="497"/>
        <v>0</v>
      </c>
      <c r="Q3108" s="88">
        <f t="shared" si="498"/>
        <v>0</v>
      </c>
      <c r="R3108" s="88" t="e">
        <f>-IF(Tabla14[[#This Row],[DIAS HABILES O MORA]]&lt;0,(Tabla14[[#This Row],[VALOR PRESTAMO]]*Tabla14[[#This Row],[% INTERES ]]/30*U3108))+Tabla14[[#This Row],[VALOR CUOTAS]]</f>
        <v>#VALUE!</v>
      </c>
      <c r="S3108" s="88">
        <f>-IF(Tabla14[[#This Row],[DIAS HABILES O MORA]]&lt;0,(Tabla14[[#This Row],[VALOR PRESTAMO]]*Tabla14[[#This Row],[% INTERES ]]/30*U3108))</f>
        <v>0</v>
      </c>
      <c r="T3108" s="53" t="e">
        <f>Tabla14[[#This Row],[DEUDA CAPITAL]]+Tabla14[[#This Row],[INTERES  CUOTA]]</f>
        <v>#NUM!</v>
      </c>
      <c r="U3108" s="61" t="str">
        <f t="shared" si="499"/>
        <v/>
      </c>
    </row>
    <row r="3109" spans="9:21" ht="24.75" customHeight="1" x14ac:dyDescent="0.35">
      <c r="I3109" s="42">
        <f t="shared" si="490"/>
        <v>0</v>
      </c>
      <c r="J3109" s="65" t="e">
        <f t="shared" si="491"/>
        <v>#NUM!</v>
      </c>
      <c r="K3109" s="83" t="e">
        <f t="shared" si="492"/>
        <v>#NUM!</v>
      </c>
      <c r="L3109" s="83">
        <f t="shared" si="493"/>
        <v>0</v>
      </c>
      <c r="M3109" s="110" t="str">
        <f t="shared" si="494"/>
        <v/>
      </c>
      <c r="N3109" s="51" t="str">
        <f t="shared" si="495"/>
        <v/>
      </c>
      <c r="O3109" s="52" t="str">
        <f t="shared" si="496"/>
        <v/>
      </c>
      <c r="P3109" s="88">
        <f t="shared" si="497"/>
        <v>0</v>
      </c>
      <c r="Q3109" s="88">
        <f t="shared" si="498"/>
        <v>0</v>
      </c>
      <c r="R3109" s="88" t="e">
        <f>-IF(Tabla14[[#This Row],[DIAS HABILES O MORA]]&lt;0,(Tabla14[[#This Row],[VALOR PRESTAMO]]*Tabla14[[#This Row],[% INTERES ]]/30*U3109))+Tabla14[[#This Row],[VALOR CUOTAS]]</f>
        <v>#VALUE!</v>
      </c>
      <c r="S3109" s="88">
        <f>-IF(Tabla14[[#This Row],[DIAS HABILES O MORA]]&lt;0,(Tabla14[[#This Row],[VALOR PRESTAMO]]*Tabla14[[#This Row],[% INTERES ]]/30*U3109))</f>
        <v>0</v>
      </c>
      <c r="T3109" s="53" t="e">
        <f>Tabla14[[#This Row],[DEUDA CAPITAL]]+Tabla14[[#This Row],[INTERES  CUOTA]]</f>
        <v>#NUM!</v>
      </c>
      <c r="U3109" s="61" t="str">
        <f t="shared" si="499"/>
        <v/>
      </c>
    </row>
    <row r="3110" spans="9:21" ht="24.75" customHeight="1" x14ac:dyDescent="0.35">
      <c r="I3110" s="42">
        <f t="shared" si="490"/>
        <v>0</v>
      </c>
      <c r="J3110" s="65" t="e">
        <f t="shared" si="491"/>
        <v>#NUM!</v>
      </c>
      <c r="K3110" s="83" t="e">
        <f t="shared" si="492"/>
        <v>#NUM!</v>
      </c>
      <c r="L3110" s="83">
        <f t="shared" si="493"/>
        <v>0</v>
      </c>
      <c r="M3110" s="110" t="str">
        <f t="shared" si="494"/>
        <v/>
      </c>
      <c r="N3110" s="51" t="str">
        <f t="shared" si="495"/>
        <v/>
      </c>
      <c r="O3110" s="52" t="str">
        <f t="shared" si="496"/>
        <v/>
      </c>
      <c r="P3110" s="88">
        <f t="shared" si="497"/>
        <v>0</v>
      </c>
      <c r="Q3110" s="88">
        <f t="shared" si="498"/>
        <v>0</v>
      </c>
      <c r="R3110" s="88" t="e">
        <f>-IF(Tabla14[[#This Row],[DIAS HABILES O MORA]]&lt;0,(Tabla14[[#This Row],[VALOR PRESTAMO]]*Tabla14[[#This Row],[% INTERES ]]/30*U3110))+Tabla14[[#This Row],[VALOR CUOTAS]]</f>
        <v>#VALUE!</v>
      </c>
      <c r="S3110" s="88">
        <f>-IF(Tabla14[[#This Row],[DIAS HABILES O MORA]]&lt;0,(Tabla14[[#This Row],[VALOR PRESTAMO]]*Tabla14[[#This Row],[% INTERES ]]/30*U3110))</f>
        <v>0</v>
      </c>
      <c r="T3110" s="53" t="e">
        <f>Tabla14[[#This Row],[DEUDA CAPITAL]]+Tabla14[[#This Row],[INTERES  CUOTA]]</f>
        <v>#NUM!</v>
      </c>
      <c r="U3110" s="61" t="str">
        <f t="shared" si="499"/>
        <v/>
      </c>
    </row>
    <row r="3111" spans="9:21" ht="24.75" customHeight="1" x14ac:dyDescent="0.35">
      <c r="I3111" s="42">
        <f t="shared" si="490"/>
        <v>0</v>
      </c>
      <c r="J3111" s="65" t="e">
        <f t="shared" si="491"/>
        <v>#NUM!</v>
      </c>
      <c r="K3111" s="83" t="e">
        <f t="shared" si="492"/>
        <v>#NUM!</v>
      </c>
      <c r="L3111" s="83">
        <f t="shared" si="493"/>
        <v>0</v>
      </c>
      <c r="M3111" s="110" t="str">
        <f t="shared" si="494"/>
        <v/>
      </c>
      <c r="N3111" s="51" t="str">
        <f t="shared" si="495"/>
        <v/>
      </c>
      <c r="O3111" s="52" t="str">
        <f t="shared" si="496"/>
        <v/>
      </c>
      <c r="P3111" s="88">
        <f t="shared" si="497"/>
        <v>0</v>
      </c>
      <c r="Q3111" s="88">
        <f t="shared" si="498"/>
        <v>0</v>
      </c>
      <c r="R3111" s="88" t="e">
        <f>-IF(Tabla14[[#This Row],[DIAS HABILES O MORA]]&lt;0,(Tabla14[[#This Row],[VALOR PRESTAMO]]*Tabla14[[#This Row],[% INTERES ]]/30*U3111))+Tabla14[[#This Row],[VALOR CUOTAS]]</f>
        <v>#VALUE!</v>
      </c>
      <c r="S3111" s="88">
        <f>-IF(Tabla14[[#This Row],[DIAS HABILES O MORA]]&lt;0,(Tabla14[[#This Row],[VALOR PRESTAMO]]*Tabla14[[#This Row],[% INTERES ]]/30*U3111))</f>
        <v>0</v>
      </c>
      <c r="T3111" s="53" t="e">
        <f>Tabla14[[#This Row],[DEUDA CAPITAL]]+Tabla14[[#This Row],[INTERES  CUOTA]]</f>
        <v>#NUM!</v>
      </c>
      <c r="U3111" s="61" t="str">
        <f t="shared" si="499"/>
        <v/>
      </c>
    </row>
    <row r="3112" spans="9:21" ht="24.75" customHeight="1" x14ac:dyDescent="0.35">
      <c r="I3112" s="42">
        <f t="shared" si="490"/>
        <v>0</v>
      </c>
      <c r="J3112" s="65" t="e">
        <f t="shared" si="491"/>
        <v>#NUM!</v>
      </c>
      <c r="K3112" s="83" t="e">
        <f t="shared" si="492"/>
        <v>#NUM!</v>
      </c>
      <c r="L3112" s="83">
        <f t="shared" si="493"/>
        <v>0</v>
      </c>
      <c r="M3112" s="110" t="str">
        <f t="shared" si="494"/>
        <v/>
      </c>
      <c r="N3112" s="51" t="str">
        <f t="shared" si="495"/>
        <v/>
      </c>
      <c r="O3112" s="52" t="str">
        <f t="shared" si="496"/>
        <v/>
      </c>
      <c r="P3112" s="88">
        <f t="shared" si="497"/>
        <v>0</v>
      </c>
      <c r="Q3112" s="88">
        <f t="shared" si="498"/>
        <v>0</v>
      </c>
      <c r="R3112" s="88" t="e">
        <f>-IF(Tabla14[[#This Row],[DIAS HABILES O MORA]]&lt;0,(Tabla14[[#This Row],[VALOR PRESTAMO]]*Tabla14[[#This Row],[% INTERES ]]/30*U3112))+Tabla14[[#This Row],[VALOR CUOTAS]]</f>
        <v>#VALUE!</v>
      </c>
      <c r="S3112" s="88">
        <f>-IF(Tabla14[[#This Row],[DIAS HABILES O MORA]]&lt;0,(Tabla14[[#This Row],[VALOR PRESTAMO]]*Tabla14[[#This Row],[% INTERES ]]/30*U3112))</f>
        <v>0</v>
      </c>
      <c r="T3112" s="53" t="e">
        <f>Tabla14[[#This Row],[DEUDA CAPITAL]]+Tabla14[[#This Row],[INTERES  CUOTA]]</f>
        <v>#NUM!</v>
      </c>
      <c r="U3112" s="61" t="str">
        <f t="shared" si="499"/>
        <v/>
      </c>
    </row>
    <row r="3113" spans="9:21" ht="24.75" customHeight="1" x14ac:dyDescent="0.35">
      <c r="I3113" s="42">
        <f t="shared" si="490"/>
        <v>0</v>
      </c>
      <c r="J3113" s="65" t="e">
        <f t="shared" si="491"/>
        <v>#NUM!</v>
      </c>
      <c r="K3113" s="83" t="e">
        <f t="shared" si="492"/>
        <v>#NUM!</v>
      </c>
      <c r="L3113" s="83">
        <f t="shared" si="493"/>
        <v>0</v>
      </c>
      <c r="M3113" s="110" t="str">
        <f t="shared" si="494"/>
        <v/>
      </c>
      <c r="N3113" s="51" t="str">
        <f t="shared" si="495"/>
        <v/>
      </c>
      <c r="O3113" s="52" t="str">
        <f t="shared" si="496"/>
        <v/>
      </c>
      <c r="P3113" s="88">
        <f t="shared" si="497"/>
        <v>0</v>
      </c>
      <c r="Q3113" s="88">
        <f t="shared" si="498"/>
        <v>0</v>
      </c>
      <c r="R3113" s="88" t="e">
        <f>-IF(Tabla14[[#This Row],[DIAS HABILES O MORA]]&lt;0,(Tabla14[[#This Row],[VALOR PRESTAMO]]*Tabla14[[#This Row],[% INTERES ]]/30*U3113))+Tabla14[[#This Row],[VALOR CUOTAS]]</f>
        <v>#VALUE!</v>
      </c>
      <c r="S3113" s="88">
        <f>-IF(Tabla14[[#This Row],[DIAS HABILES O MORA]]&lt;0,(Tabla14[[#This Row],[VALOR PRESTAMO]]*Tabla14[[#This Row],[% INTERES ]]/30*U3113))</f>
        <v>0</v>
      </c>
      <c r="T3113" s="53" t="e">
        <f>Tabla14[[#This Row],[DEUDA CAPITAL]]+Tabla14[[#This Row],[INTERES  CUOTA]]</f>
        <v>#NUM!</v>
      </c>
      <c r="U3113" s="61" t="str">
        <f t="shared" si="499"/>
        <v/>
      </c>
    </row>
    <row r="3114" spans="9:21" ht="24.75" customHeight="1" x14ac:dyDescent="0.35">
      <c r="I3114" s="42">
        <f t="shared" si="490"/>
        <v>0</v>
      </c>
      <c r="J3114" s="65" t="e">
        <f t="shared" si="491"/>
        <v>#NUM!</v>
      </c>
      <c r="K3114" s="83" t="e">
        <f t="shared" si="492"/>
        <v>#NUM!</v>
      </c>
      <c r="L3114" s="83">
        <f t="shared" si="493"/>
        <v>0</v>
      </c>
      <c r="M3114" s="110" t="str">
        <f t="shared" si="494"/>
        <v/>
      </c>
      <c r="N3114" s="51" t="str">
        <f t="shared" si="495"/>
        <v/>
      </c>
      <c r="O3114" s="52" t="str">
        <f t="shared" si="496"/>
        <v/>
      </c>
      <c r="P3114" s="88">
        <f t="shared" si="497"/>
        <v>0</v>
      </c>
      <c r="Q3114" s="88">
        <f t="shared" si="498"/>
        <v>0</v>
      </c>
      <c r="R3114" s="88" t="e">
        <f>-IF(Tabla14[[#This Row],[DIAS HABILES O MORA]]&lt;0,(Tabla14[[#This Row],[VALOR PRESTAMO]]*Tabla14[[#This Row],[% INTERES ]]/30*U3114))+Tabla14[[#This Row],[VALOR CUOTAS]]</f>
        <v>#VALUE!</v>
      </c>
      <c r="S3114" s="88">
        <f>-IF(Tabla14[[#This Row],[DIAS HABILES O MORA]]&lt;0,(Tabla14[[#This Row],[VALOR PRESTAMO]]*Tabla14[[#This Row],[% INTERES ]]/30*U3114))</f>
        <v>0</v>
      </c>
      <c r="T3114" s="53" t="e">
        <f>Tabla14[[#This Row],[DEUDA CAPITAL]]+Tabla14[[#This Row],[INTERES  CUOTA]]</f>
        <v>#NUM!</v>
      </c>
      <c r="U3114" s="61" t="str">
        <f t="shared" si="499"/>
        <v/>
      </c>
    </row>
    <row r="3115" spans="9:21" ht="24.75" customHeight="1" x14ac:dyDescent="0.35">
      <c r="I3115" s="42">
        <f t="shared" si="490"/>
        <v>0</v>
      </c>
      <c r="J3115" s="65" t="e">
        <f t="shared" si="491"/>
        <v>#NUM!</v>
      </c>
      <c r="K3115" s="83" t="e">
        <f t="shared" si="492"/>
        <v>#NUM!</v>
      </c>
      <c r="L3115" s="83">
        <f t="shared" si="493"/>
        <v>0</v>
      </c>
      <c r="M3115" s="110" t="str">
        <f t="shared" si="494"/>
        <v/>
      </c>
      <c r="N3115" s="51" t="str">
        <f t="shared" si="495"/>
        <v/>
      </c>
      <c r="O3115" s="52" t="str">
        <f t="shared" si="496"/>
        <v/>
      </c>
      <c r="P3115" s="88">
        <f t="shared" si="497"/>
        <v>0</v>
      </c>
      <c r="Q3115" s="88">
        <f t="shared" si="498"/>
        <v>0</v>
      </c>
      <c r="R3115" s="88" t="e">
        <f>-IF(Tabla14[[#This Row],[DIAS HABILES O MORA]]&lt;0,(Tabla14[[#This Row],[VALOR PRESTAMO]]*Tabla14[[#This Row],[% INTERES ]]/30*U3115))+Tabla14[[#This Row],[VALOR CUOTAS]]</f>
        <v>#VALUE!</v>
      </c>
      <c r="S3115" s="88">
        <f>-IF(Tabla14[[#This Row],[DIAS HABILES O MORA]]&lt;0,(Tabla14[[#This Row],[VALOR PRESTAMO]]*Tabla14[[#This Row],[% INTERES ]]/30*U3115))</f>
        <v>0</v>
      </c>
      <c r="T3115" s="53" t="e">
        <f>Tabla14[[#This Row],[DEUDA CAPITAL]]+Tabla14[[#This Row],[INTERES  CUOTA]]</f>
        <v>#NUM!</v>
      </c>
      <c r="U3115" s="61" t="str">
        <f t="shared" si="499"/>
        <v/>
      </c>
    </row>
    <row r="3116" spans="9:21" ht="24.75" customHeight="1" x14ac:dyDescent="0.35">
      <c r="I3116" s="42">
        <f t="shared" si="490"/>
        <v>0</v>
      </c>
      <c r="J3116" s="65" t="e">
        <f t="shared" si="491"/>
        <v>#NUM!</v>
      </c>
      <c r="K3116" s="83" t="e">
        <f t="shared" si="492"/>
        <v>#NUM!</v>
      </c>
      <c r="L3116" s="83">
        <f t="shared" si="493"/>
        <v>0</v>
      </c>
      <c r="M3116" s="110" t="str">
        <f t="shared" si="494"/>
        <v/>
      </c>
      <c r="N3116" s="51" t="str">
        <f t="shared" si="495"/>
        <v/>
      </c>
      <c r="O3116" s="52" t="str">
        <f t="shared" si="496"/>
        <v/>
      </c>
      <c r="P3116" s="88">
        <f t="shared" si="497"/>
        <v>0</v>
      </c>
      <c r="Q3116" s="88">
        <f t="shared" si="498"/>
        <v>0</v>
      </c>
      <c r="R3116" s="88" t="e">
        <f>-IF(Tabla14[[#This Row],[DIAS HABILES O MORA]]&lt;0,(Tabla14[[#This Row],[VALOR PRESTAMO]]*Tabla14[[#This Row],[% INTERES ]]/30*U3116))+Tabla14[[#This Row],[VALOR CUOTAS]]</f>
        <v>#VALUE!</v>
      </c>
      <c r="S3116" s="88">
        <f>-IF(Tabla14[[#This Row],[DIAS HABILES O MORA]]&lt;0,(Tabla14[[#This Row],[VALOR PRESTAMO]]*Tabla14[[#This Row],[% INTERES ]]/30*U3116))</f>
        <v>0</v>
      </c>
      <c r="T3116" s="53" t="e">
        <f>Tabla14[[#This Row],[DEUDA CAPITAL]]+Tabla14[[#This Row],[INTERES  CUOTA]]</f>
        <v>#NUM!</v>
      </c>
      <c r="U3116" s="61" t="str">
        <f t="shared" si="499"/>
        <v/>
      </c>
    </row>
    <row r="3117" spans="9:21" ht="24.75" customHeight="1" x14ac:dyDescent="0.35">
      <c r="I3117" s="42">
        <f t="shared" si="490"/>
        <v>0</v>
      </c>
      <c r="J3117" s="65" t="e">
        <f t="shared" si="491"/>
        <v>#NUM!</v>
      </c>
      <c r="K3117" s="83" t="e">
        <f t="shared" si="492"/>
        <v>#NUM!</v>
      </c>
      <c r="L3117" s="83">
        <f t="shared" si="493"/>
        <v>0</v>
      </c>
      <c r="M3117" s="110" t="str">
        <f t="shared" si="494"/>
        <v/>
      </c>
      <c r="N3117" s="51" t="str">
        <f t="shared" si="495"/>
        <v/>
      </c>
      <c r="O3117" s="52" t="str">
        <f t="shared" si="496"/>
        <v/>
      </c>
      <c r="P3117" s="88">
        <f t="shared" si="497"/>
        <v>0</v>
      </c>
      <c r="Q3117" s="88">
        <f t="shared" si="498"/>
        <v>0</v>
      </c>
      <c r="R3117" s="88" t="e">
        <f>-IF(Tabla14[[#This Row],[DIAS HABILES O MORA]]&lt;0,(Tabla14[[#This Row],[VALOR PRESTAMO]]*Tabla14[[#This Row],[% INTERES ]]/30*U3117))+Tabla14[[#This Row],[VALOR CUOTAS]]</f>
        <v>#VALUE!</v>
      </c>
      <c r="S3117" s="88">
        <f>-IF(Tabla14[[#This Row],[DIAS HABILES O MORA]]&lt;0,(Tabla14[[#This Row],[VALOR PRESTAMO]]*Tabla14[[#This Row],[% INTERES ]]/30*U3117))</f>
        <v>0</v>
      </c>
      <c r="T3117" s="53" t="e">
        <f>Tabla14[[#This Row],[DEUDA CAPITAL]]+Tabla14[[#This Row],[INTERES  CUOTA]]</f>
        <v>#NUM!</v>
      </c>
      <c r="U3117" s="61" t="str">
        <f t="shared" si="499"/>
        <v/>
      </c>
    </row>
    <row r="3118" spans="9:21" ht="24.75" customHeight="1" x14ac:dyDescent="0.35">
      <c r="I3118" s="42">
        <f t="shared" si="490"/>
        <v>0</v>
      </c>
      <c r="J3118" s="65" t="e">
        <f t="shared" si="491"/>
        <v>#NUM!</v>
      </c>
      <c r="K3118" s="83" t="e">
        <f t="shared" si="492"/>
        <v>#NUM!</v>
      </c>
      <c r="L3118" s="83">
        <f t="shared" si="493"/>
        <v>0</v>
      </c>
      <c r="M3118" s="110" t="str">
        <f t="shared" si="494"/>
        <v/>
      </c>
      <c r="N3118" s="51" t="str">
        <f t="shared" si="495"/>
        <v/>
      </c>
      <c r="O3118" s="52" t="str">
        <f t="shared" si="496"/>
        <v/>
      </c>
      <c r="P3118" s="88">
        <f t="shared" si="497"/>
        <v>0</v>
      </c>
      <c r="Q3118" s="88">
        <f t="shared" si="498"/>
        <v>0</v>
      </c>
      <c r="R3118" s="88" t="e">
        <f>-IF(Tabla14[[#This Row],[DIAS HABILES O MORA]]&lt;0,(Tabla14[[#This Row],[VALOR PRESTAMO]]*Tabla14[[#This Row],[% INTERES ]]/30*U3118))+Tabla14[[#This Row],[VALOR CUOTAS]]</f>
        <v>#VALUE!</v>
      </c>
      <c r="S3118" s="88">
        <f>-IF(Tabla14[[#This Row],[DIAS HABILES O MORA]]&lt;0,(Tabla14[[#This Row],[VALOR PRESTAMO]]*Tabla14[[#This Row],[% INTERES ]]/30*U3118))</f>
        <v>0</v>
      </c>
      <c r="T3118" s="53" t="e">
        <f>Tabla14[[#This Row],[DEUDA CAPITAL]]+Tabla14[[#This Row],[INTERES  CUOTA]]</f>
        <v>#NUM!</v>
      </c>
      <c r="U3118" s="61" t="str">
        <f t="shared" si="499"/>
        <v/>
      </c>
    </row>
    <row r="3119" spans="9:21" ht="24.75" customHeight="1" x14ac:dyDescent="0.35">
      <c r="I3119" s="42">
        <f t="shared" si="490"/>
        <v>0</v>
      </c>
      <c r="J3119" s="65" t="e">
        <f t="shared" si="491"/>
        <v>#NUM!</v>
      </c>
      <c r="K3119" s="83" t="e">
        <f t="shared" si="492"/>
        <v>#NUM!</v>
      </c>
      <c r="L3119" s="83">
        <f t="shared" si="493"/>
        <v>0</v>
      </c>
      <c r="M3119" s="110" t="str">
        <f t="shared" si="494"/>
        <v/>
      </c>
      <c r="N3119" s="51" t="str">
        <f t="shared" si="495"/>
        <v/>
      </c>
      <c r="O3119" s="52" t="str">
        <f t="shared" si="496"/>
        <v/>
      </c>
      <c r="P3119" s="88">
        <f t="shared" si="497"/>
        <v>0</v>
      </c>
      <c r="Q3119" s="88">
        <f t="shared" si="498"/>
        <v>0</v>
      </c>
      <c r="R3119" s="88" t="e">
        <f>-IF(Tabla14[[#This Row],[DIAS HABILES O MORA]]&lt;0,(Tabla14[[#This Row],[VALOR PRESTAMO]]*Tabla14[[#This Row],[% INTERES ]]/30*U3119))+Tabla14[[#This Row],[VALOR CUOTAS]]</f>
        <v>#VALUE!</v>
      </c>
      <c r="S3119" s="88">
        <f>-IF(Tabla14[[#This Row],[DIAS HABILES O MORA]]&lt;0,(Tabla14[[#This Row],[VALOR PRESTAMO]]*Tabla14[[#This Row],[% INTERES ]]/30*U3119))</f>
        <v>0</v>
      </c>
      <c r="T3119" s="53" t="e">
        <f>Tabla14[[#This Row],[DEUDA CAPITAL]]+Tabla14[[#This Row],[INTERES  CUOTA]]</f>
        <v>#NUM!</v>
      </c>
      <c r="U3119" s="61" t="str">
        <f t="shared" si="499"/>
        <v/>
      </c>
    </row>
    <row r="3120" spans="9:21" ht="24.75" customHeight="1" x14ac:dyDescent="0.35">
      <c r="I3120" s="42">
        <f t="shared" si="490"/>
        <v>0</v>
      </c>
      <c r="J3120" s="65" t="e">
        <f t="shared" si="491"/>
        <v>#NUM!</v>
      </c>
      <c r="K3120" s="83" t="e">
        <f t="shared" si="492"/>
        <v>#NUM!</v>
      </c>
      <c r="L3120" s="83">
        <f t="shared" si="493"/>
        <v>0</v>
      </c>
      <c r="M3120" s="110" t="str">
        <f t="shared" si="494"/>
        <v/>
      </c>
      <c r="N3120" s="51" t="str">
        <f t="shared" si="495"/>
        <v/>
      </c>
      <c r="O3120" s="52" t="str">
        <f t="shared" si="496"/>
        <v/>
      </c>
      <c r="P3120" s="88">
        <f t="shared" si="497"/>
        <v>0</v>
      </c>
      <c r="Q3120" s="88">
        <f t="shared" si="498"/>
        <v>0</v>
      </c>
      <c r="R3120" s="88" t="e">
        <f>-IF(Tabla14[[#This Row],[DIAS HABILES O MORA]]&lt;0,(Tabla14[[#This Row],[VALOR PRESTAMO]]*Tabla14[[#This Row],[% INTERES ]]/30*U3120))+Tabla14[[#This Row],[VALOR CUOTAS]]</f>
        <v>#VALUE!</v>
      </c>
      <c r="S3120" s="88">
        <f>-IF(Tabla14[[#This Row],[DIAS HABILES O MORA]]&lt;0,(Tabla14[[#This Row],[VALOR PRESTAMO]]*Tabla14[[#This Row],[% INTERES ]]/30*U3120))</f>
        <v>0</v>
      </c>
      <c r="T3120" s="53" t="e">
        <f>Tabla14[[#This Row],[DEUDA CAPITAL]]+Tabla14[[#This Row],[INTERES  CUOTA]]</f>
        <v>#NUM!</v>
      </c>
      <c r="U3120" s="61" t="str">
        <f t="shared" si="499"/>
        <v/>
      </c>
    </row>
    <row r="3121" spans="9:21" ht="24.75" customHeight="1" x14ac:dyDescent="0.35">
      <c r="I3121" s="42">
        <f t="shared" si="490"/>
        <v>0</v>
      </c>
      <c r="J3121" s="65" t="e">
        <f t="shared" si="491"/>
        <v>#NUM!</v>
      </c>
      <c r="K3121" s="83" t="e">
        <f t="shared" si="492"/>
        <v>#NUM!</v>
      </c>
      <c r="L3121" s="83">
        <f t="shared" si="493"/>
        <v>0</v>
      </c>
      <c r="M3121" s="110" t="str">
        <f t="shared" si="494"/>
        <v/>
      </c>
      <c r="N3121" s="51" t="str">
        <f t="shared" si="495"/>
        <v/>
      </c>
      <c r="O3121" s="52" t="str">
        <f t="shared" si="496"/>
        <v/>
      </c>
      <c r="P3121" s="88">
        <f t="shared" si="497"/>
        <v>0</v>
      </c>
      <c r="Q3121" s="88">
        <f t="shared" si="498"/>
        <v>0</v>
      </c>
      <c r="R3121" s="88" t="e">
        <f>-IF(Tabla14[[#This Row],[DIAS HABILES O MORA]]&lt;0,(Tabla14[[#This Row],[VALOR PRESTAMO]]*Tabla14[[#This Row],[% INTERES ]]/30*U3121))+Tabla14[[#This Row],[VALOR CUOTAS]]</f>
        <v>#VALUE!</v>
      </c>
      <c r="S3121" s="88">
        <f>-IF(Tabla14[[#This Row],[DIAS HABILES O MORA]]&lt;0,(Tabla14[[#This Row],[VALOR PRESTAMO]]*Tabla14[[#This Row],[% INTERES ]]/30*U3121))</f>
        <v>0</v>
      </c>
      <c r="T3121" s="53" t="e">
        <f>Tabla14[[#This Row],[DEUDA CAPITAL]]+Tabla14[[#This Row],[INTERES  CUOTA]]</f>
        <v>#NUM!</v>
      </c>
      <c r="U3121" s="61" t="str">
        <f t="shared" si="499"/>
        <v/>
      </c>
    </row>
    <row r="3122" spans="9:21" ht="24.75" customHeight="1" x14ac:dyDescent="0.35">
      <c r="I3122" s="42">
        <f t="shared" si="490"/>
        <v>0</v>
      </c>
      <c r="J3122" s="65" t="e">
        <f t="shared" si="491"/>
        <v>#NUM!</v>
      </c>
      <c r="K3122" s="83" t="e">
        <f t="shared" si="492"/>
        <v>#NUM!</v>
      </c>
      <c r="L3122" s="83">
        <f t="shared" si="493"/>
        <v>0</v>
      </c>
      <c r="M3122" s="110" t="str">
        <f t="shared" si="494"/>
        <v/>
      </c>
      <c r="N3122" s="51" t="str">
        <f t="shared" si="495"/>
        <v/>
      </c>
      <c r="O3122" s="52" t="str">
        <f t="shared" si="496"/>
        <v/>
      </c>
      <c r="P3122" s="88">
        <f t="shared" si="497"/>
        <v>0</v>
      </c>
      <c r="Q3122" s="88">
        <f t="shared" si="498"/>
        <v>0</v>
      </c>
      <c r="R3122" s="88" t="e">
        <f>-IF(Tabla14[[#This Row],[DIAS HABILES O MORA]]&lt;0,(Tabla14[[#This Row],[VALOR PRESTAMO]]*Tabla14[[#This Row],[% INTERES ]]/30*U3122))+Tabla14[[#This Row],[VALOR CUOTAS]]</f>
        <v>#VALUE!</v>
      </c>
      <c r="S3122" s="88">
        <f>-IF(Tabla14[[#This Row],[DIAS HABILES O MORA]]&lt;0,(Tabla14[[#This Row],[VALOR PRESTAMO]]*Tabla14[[#This Row],[% INTERES ]]/30*U3122))</f>
        <v>0</v>
      </c>
      <c r="T3122" s="53" t="e">
        <f>Tabla14[[#This Row],[DEUDA CAPITAL]]+Tabla14[[#This Row],[INTERES  CUOTA]]</f>
        <v>#NUM!</v>
      </c>
      <c r="U3122" s="61" t="str">
        <f t="shared" si="499"/>
        <v/>
      </c>
    </row>
    <row r="3123" spans="9:21" ht="24.75" customHeight="1" x14ac:dyDescent="0.35">
      <c r="I3123" s="42">
        <f t="shared" si="490"/>
        <v>0</v>
      </c>
      <c r="J3123" s="65" t="e">
        <f t="shared" si="491"/>
        <v>#NUM!</v>
      </c>
      <c r="K3123" s="83" t="e">
        <f t="shared" si="492"/>
        <v>#NUM!</v>
      </c>
      <c r="L3123" s="83">
        <f t="shared" si="493"/>
        <v>0</v>
      </c>
      <c r="M3123" s="110" t="str">
        <f t="shared" si="494"/>
        <v/>
      </c>
      <c r="N3123" s="51" t="str">
        <f t="shared" si="495"/>
        <v/>
      </c>
      <c r="O3123" s="52" t="str">
        <f t="shared" si="496"/>
        <v/>
      </c>
      <c r="P3123" s="88">
        <f t="shared" si="497"/>
        <v>0</v>
      </c>
      <c r="Q3123" s="88">
        <f t="shared" si="498"/>
        <v>0</v>
      </c>
      <c r="R3123" s="88" t="e">
        <f>-IF(Tabla14[[#This Row],[DIAS HABILES O MORA]]&lt;0,(Tabla14[[#This Row],[VALOR PRESTAMO]]*Tabla14[[#This Row],[% INTERES ]]/30*U3123))+Tabla14[[#This Row],[VALOR CUOTAS]]</f>
        <v>#VALUE!</v>
      </c>
      <c r="S3123" s="88">
        <f>-IF(Tabla14[[#This Row],[DIAS HABILES O MORA]]&lt;0,(Tabla14[[#This Row],[VALOR PRESTAMO]]*Tabla14[[#This Row],[% INTERES ]]/30*U3123))</f>
        <v>0</v>
      </c>
      <c r="T3123" s="53" t="e">
        <f>Tabla14[[#This Row],[DEUDA CAPITAL]]+Tabla14[[#This Row],[INTERES  CUOTA]]</f>
        <v>#NUM!</v>
      </c>
      <c r="U3123" s="61" t="str">
        <f t="shared" si="499"/>
        <v/>
      </c>
    </row>
    <row r="3124" spans="9:21" ht="24.75" customHeight="1" x14ac:dyDescent="0.35">
      <c r="I3124" s="42">
        <f t="shared" si="490"/>
        <v>0</v>
      </c>
      <c r="J3124" s="65" t="e">
        <f t="shared" si="491"/>
        <v>#NUM!</v>
      </c>
      <c r="K3124" s="83" t="e">
        <f t="shared" si="492"/>
        <v>#NUM!</v>
      </c>
      <c r="L3124" s="83">
        <f t="shared" si="493"/>
        <v>0</v>
      </c>
      <c r="M3124" s="110" t="str">
        <f t="shared" si="494"/>
        <v/>
      </c>
      <c r="N3124" s="51" t="str">
        <f t="shared" si="495"/>
        <v/>
      </c>
      <c r="O3124" s="52" t="str">
        <f t="shared" si="496"/>
        <v/>
      </c>
      <c r="P3124" s="88">
        <f t="shared" si="497"/>
        <v>0</v>
      </c>
      <c r="Q3124" s="88">
        <f t="shared" si="498"/>
        <v>0</v>
      </c>
      <c r="R3124" s="88" t="e">
        <f>-IF(Tabla14[[#This Row],[DIAS HABILES O MORA]]&lt;0,(Tabla14[[#This Row],[VALOR PRESTAMO]]*Tabla14[[#This Row],[% INTERES ]]/30*U3124))+Tabla14[[#This Row],[VALOR CUOTAS]]</f>
        <v>#VALUE!</v>
      </c>
      <c r="S3124" s="88">
        <f>-IF(Tabla14[[#This Row],[DIAS HABILES O MORA]]&lt;0,(Tabla14[[#This Row],[VALOR PRESTAMO]]*Tabla14[[#This Row],[% INTERES ]]/30*U3124))</f>
        <v>0</v>
      </c>
      <c r="T3124" s="53" t="e">
        <f>Tabla14[[#This Row],[DEUDA CAPITAL]]+Tabla14[[#This Row],[INTERES  CUOTA]]</f>
        <v>#NUM!</v>
      </c>
      <c r="U3124" s="61" t="str">
        <f t="shared" si="499"/>
        <v/>
      </c>
    </row>
    <row r="3125" spans="9:21" ht="24.75" customHeight="1" x14ac:dyDescent="0.35">
      <c r="I3125" s="42">
        <f t="shared" si="490"/>
        <v>0</v>
      </c>
      <c r="J3125" s="65" t="e">
        <f t="shared" si="491"/>
        <v>#NUM!</v>
      </c>
      <c r="K3125" s="83" t="e">
        <f t="shared" si="492"/>
        <v>#NUM!</v>
      </c>
      <c r="L3125" s="83">
        <f t="shared" si="493"/>
        <v>0</v>
      </c>
      <c r="M3125" s="110" t="str">
        <f t="shared" si="494"/>
        <v/>
      </c>
      <c r="N3125" s="51" t="str">
        <f t="shared" si="495"/>
        <v/>
      </c>
      <c r="O3125" s="52" t="str">
        <f t="shared" si="496"/>
        <v/>
      </c>
      <c r="P3125" s="88">
        <f t="shared" si="497"/>
        <v>0</v>
      </c>
      <c r="Q3125" s="88">
        <f t="shared" si="498"/>
        <v>0</v>
      </c>
      <c r="R3125" s="88" t="e">
        <f>-IF(Tabla14[[#This Row],[DIAS HABILES O MORA]]&lt;0,(Tabla14[[#This Row],[VALOR PRESTAMO]]*Tabla14[[#This Row],[% INTERES ]]/30*U3125))+Tabla14[[#This Row],[VALOR CUOTAS]]</f>
        <v>#VALUE!</v>
      </c>
      <c r="S3125" s="88">
        <f>-IF(Tabla14[[#This Row],[DIAS HABILES O MORA]]&lt;0,(Tabla14[[#This Row],[VALOR PRESTAMO]]*Tabla14[[#This Row],[% INTERES ]]/30*U3125))</f>
        <v>0</v>
      </c>
      <c r="T3125" s="53" t="e">
        <f>Tabla14[[#This Row],[DEUDA CAPITAL]]+Tabla14[[#This Row],[INTERES  CUOTA]]</f>
        <v>#NUM!</v>
      </c>
      <c r="U3125" s="61" t="str">
        <f t="shared" si="499"/>
        <v/>
      </c>
    </row>
    <row r="3126" spans="9:21" ht="24.75" customHeight="1" x14ac:dyDescent="0.35">
      <c r="I3126" s="42">
        <f t="shared" si="490"/>
        <v>0</v>
      </c>
      <c r="J3126" s="65" t="e">
        <f t="shared" si="491"/>
        <v>#NUM!</v>
      </c>
      <c r="K3126" s="83" t="e">
        <f t="shared" si="492"/>
        <v>#NUM!</v>
      </c>
      <c r="L3126" s="83">
        <f t="shared" si="493"/>
        <v>0</v>
      </c>
      <c r="M3126" s="110" t="str">
        <f t="shared" si="494"/>
        <v/>
      </c>
      <c r="N3126" s="51" t="str">
        <f t="shared" si="495"/>
        <v/>
      </c>
      <c r="O3126" s="52" t="str">
        <f t="shared" si="496"/>
        <v/>
      </c>
      <c r="P3126" s="88">
        <f t="shared" si="497"/>
        <v>0</v>
      </c>
      <c r="Q3126" s="88">
        <f t="shared" si="498"/>
        <v>0</v>
      </c>
      <c r="R3126" s="88" t="e">
        <f>-IF(Tabla14[[#This Row],[DIAS HABILES O MORA]]&lt;0,(Tabla14[[#This Row],[VALOR PRESTAMO]]*Tabla14[[#This Row],[% INTERES ]]/30*U3126))+Tabla14[[#This Row],[VALOR CUOTAS]]</f>
        <v>#VALUE!</v>
      </c>
      <c r="S3126" s="88">
        <f>-IF(Tabla14[[#This Row],[DIAS HABILES O MORA]]&lt;0,(Tabla14[[#This Row],[VALOR PRESTAMO]]*Tabla14[[#This Row],[% INTERES ]]/30*U3126))</f>
        <v>0</v>
      </c>
      <c r="T3126" s="53" t="e">
        <f>Tabla14[[#This Row],[DEUDA CAPITAL]]+Tabla14[[#This Row],[INTERES  CUOTA]]</f>
        <v>#NUM!</v>
      </c>
      <c r="U3126" s="61" t="str">
        <f t="shared" si="499"/>
        <v/>
      </c>
    </row>
    <row r="3127" spans="9:21" ht="24.75" customHeight="1" x14ac:dyDescent="0.35">
      <c r="I3127" s="42">
        <f t="shared" si="490"/>
        <v>0</v>
      </c>
      <c r="J3127" s="65" t="e">
        <f t="shared" si="491"/>
        <v>#NUM!</v>
      </c>
      <c r="K3127" s="83" t="e">
        <f t="shared" si="492"/>
        <v>#NUM!</v>
      </c>
      <c r="L3127" s="83">
        <f t="shared" si="493"/>
        <v>0</v>
      </c>
      <c r="M3127" s="110" t="str">
        <f t="shared" si="494"/>
        <v/>
      </c>
      <c r="N3127" s="51" t="str">
        <f t="shared" si="495"/>
        <v/>
      </c>
      <c r="O3127" s="52" t="str">
        <f t="shared" si="496"/>
        <v/>
      </c>
      <c r="P3127" s="88">
        <f t="shared" si="497"/>
        <v>0</v>
      </c>
      <c r="Q3127" s="88">
        <f t="shared" si="498"/>
        <v>0</v>
      </c>
      <c r="R3127" s="88" t="e">
        <f>-IF(Tabla14[[#This Row],[DIAS HABILES O MORA]]&lt;0,(Tabla14[[#This Row],[VALOR PRESTAMO]]*Tabla14[[#This Row],[% INTERES ]]/30*U3127))+Tabla14[[#This Row],[VALOR CUOTAS]]</f>
        <v>#VALUE!</v>
      </c>
      <c r="S3127" s="88">
        <f>-IF(Tabla14[[#This Row],[DIAS HABILES O MORA]]&lt;0,(Tabla14[[#This Row],[VALOR PRESTAMO]]*Tabla14[[#This Row],[% INTERES ]]/30*U3127))</f>
        <v>0</v>
      </c>
      <c r="T3127" s="53" t="e">
        <f>Tabla14[[#This Row],[DEUDA CAPITAL]]+Tabla14[[#This Row],[INTERES  CUOTA]]</f>
        <v>#NUM!</v>
      </c>
      <c r="U3127" s="61" t="str">
        <f t="shared" si="499"/>
        <v/>
      </c>
    </row>
    <row r="3128" spans="9:21" ht="24.75" customHeight="1" x14ac:dyDescent="0.35">
      <c r="I3128" s="42">
        <f t="shared" si="490"/>
        <v>0</v>
      </c>
      <c r="J3128" s="65" t="e">
        <f t="shared" si="491"/>
        <v>#NUM!</v>
      </c>
      <c r="K3128" s="83" t="e">
        <f t="shared" si="492"/>
        <v>#NUM!</v>
      </c>
      <c r="L3128" s="83">
        <f t="shared" si="493"/>
        <v>0</v>
      </c>
      <c r="M3128" s="110" t="str">
        <f t="shared" si="494"/>
        <v/>
      </c>
      <c r="N3128" s="51" t="str">
        <f t="shared" si="495"/>
        <v/>
      </c>
      <c r="O3128" s="52" t="str">
        <f t="shared" si="496"/>
        <v/>
      </c>
      <c r="P3128" s="88">
        <f t="shared" si="497"/>
        <v>0</v>
      </c>
      <c r="Q3128" s="88">
        <f t="shared" si="498"/>
        <v>0</v>
      </c>
      <c r="R3128" s="88" t="e">
        <f>-IF(Tabla14[[#This Row],[DIAS HABILES O MORA]]&lt;0,(Tabla14[[#This Row],[VALOR PRESTAMO]]*Tabla14[[#This Row],[% INTERES ]]/30*U3128))+Tabla14[[#This Row],[VALOR CUOTAS]]</f>
        <v>#VALUE!</v>
      </c>
      <c r="S3128" s="88">
        <f>-IF(Tabla14[[#This Row],[DIAS HABILES O MORA]]&lt;0,(Tabla14[[#This Row],[VALOR PRESTAMO]]*Tabla14[[#This Row],[% INTERES ]]/30*U3128))</f>
        <v>0</v>
      </c>
      <c r="T3128" s="53" t="e">
        <f>Tabla14[[#This Row],[DEUDA CAPITAL]]+Tabla14[[#This Row],[INTERES  CUOTA]]</f>
        <v>#NUM!</v>
      </c>
      <c r="U3128" s="61" t="str">
        <f t="shared" si="499"/>
        <v/>
      </c>
    </row>
    <row r="3129" spans="9:21" ht="24.75" customHeight="1" x14ac:dyDescent="0.35">
      <c r="I3129" s="42">
        <f t="shared" si="490"/>
        <v>0</v>
      </c>
      <c r="J3129" s="65" t="e">
        <f t="shared" si="491"/>
        <v>#NUM!</v>
      </c>
      <c r="K3129" s="83" t="e">
        <f t="shared" si="492"/>
        <v>#NUM!</v>
      </c>
      <c r="L3129" s="83">
        <f t="shared" si="493"/>
        <v>0</v>
      </c>
      <c r="M3129" s="110" t="str">
        <f t="shared" si="494"/>
        <v/>
      </c>
      <c r="N3129" s="51" t="str">
        <f t="shared" si="495"/>
        <v/>
      </c>
      <c r="O3129" s="52" t="str">
        <f t="shared" si="496"/>
        <v/>
      </c>
      <c r="P3129" s="88">
        <f t="shared" si="497"/>
        <v>0</v>
      </c>
      <c r="Q3129" s="88">
        <f t="shared" si="498"/>
        <v>0</v>
      </c>
      <c r="R3129" s="88" t="e">
        <f>-IF(Tabla14[[#This Row],[DIAS HABILES O MORA]]&lt;0,(Tabla14[[#This Row],[VALOR PRESTAMO]]*Tabla14[[#This Row],[% INTERES ]]/30*U3129))+Tabla14[[#This Row],[VALOR CUOTAS]]</f>
        <v>#VALUE!</v>
      </c>
      <c r="S3129" s="88">
        <f>-IF(Tabla14[[#This Row],[DIAS HABILES O MORA]]&lt;0,(Tabla14[[#This Row],[VALOR PRESTAMO]]*Tabla14[[#This Row],[% INTERES ]]/30*U3129))</f>
        <v>0</v>
      </c>
      <c r="T3129" s="53" t="e">
        <f>Tabla14[[#This Row],[DEUDA CAPITAL]]+Tabla14[[#This Row],[INTERES  CUOTA]]</f>
        <v>#NUM!</v>
      </c>
      <c r="U3129" s="61" t="str">
        <f t="shared" si="499"/>
        <v/>
      </c>
    </row>
    <row r="3130" spans="9:21" ht="24.75" customHeight="1" x14ac:dyDescent="0.35">
      <c r="I3130" s="42">
        <f t="shared" si="490"/>
        <v>0</v>
      </c>
      <c r="J3130" s="65" t="e">
        <f t="shared" si="491"/>
        <v>#NUM!</v>
      </c>
      <c r="K3130" s="83" t="e">
        <f t="shared" si="492"/>
        <v>#NUM!</v>
      </c>
      <c r="L3130" s="83">
        <f t="shared" si="493"/>
        <v>0</v>
      </c>
      <c r="M3130" s="110" t="str">
        <f t="shared" si="494"/>
        <v/>
      </c>
      <c r="N3130" s="51" t="str">
        <f t="shared" si="495"/>
        <v/>
      </c>
      <c r="O3130" s="52" t="str">
        <f t="shared" si="496"/>
        <v/>
      </c>
      <c r="P3130" s="88">
        <f t="shared" si="497"/>
        <v>0</v>
      </c>
      <c r="Q3130" s="88">
        <f t="shared" si="498"/>
        <v>0</v>
      </c>
      <c r="R3130" s="88" t="e">
        <f>-IF(Tabla14[[#This Row],[DIAS HABILES O MORA]]&lt;0,(Tabla14[[#This Row],[VALOR PRESTAMO]]*Tabla14[[#This Row],[% INTERES ]]/30*U3130))+Tabla14[[#This Row],[VALOR CUOTAS]]</f>
        <v>#VALUE!</v>
      </c>
      <c r="S3130" s="88">
        <f>-IF(Tabla14[[#This Row],[DIAS HABILES O MORA]]&lt;0,(Tabla14[[#This Row],[VALOR PRESTAMO]]*Tabla14[[#This Row],[% INTERES ]]/30*U3130))</f>
        <v>0</v>
      </c>
      <c r="T3130" s="53" t="e">
        <f>Tabla14[[#This Row],[DEUDA CAPITAL]]+Tabla14[[#This Row],[INTERES  CUOTA]]</f>
        <v>#NUM!</v>
      </c>
      <c r="U3130" s="61" t="str">
        <f t="shared" si="499"/>
        <v/>
      </c>
    </row>
    <row r="3131" spans="9:21" ht="24.75" customHeight="1" x14ac:dyDescent="0.35">
      <c r="I3131" s="42">
        <f t="shared" si="490"/>
        <v>0</v>
      </c>
      <c r="J3131" s="65" t="e">
        <f t="shared" si="491"/>
        <v>#NUM!</v>
      </c>
      <c r="K3131" s="83" t="e">
        <f t="shared" si="492"/>
        <v>#NUM!</v>
      </c>
      <c r="L3131" s="83">
        <f t="shared" si="493"/>
        <v>0</v>
      </c>
      <c r="M3131" s="110" t="str">
        <f t="shared" si="494"/>
        <v/>
      </c>
      <c r="N3131" s="51" t="str">
        <f t="shared" si="495"/>
        <v/>
      </c>
      <c r="O3131" s="52" t="str">
        <f t="shared" si="496"/>
        <v/>
      </c>
      <c r="P3131" s="88">
        <f t="shared" si="497"/>
        <v>0</v>
      </c>
      <c r="Q3131" s="88">
        <f t="shared" si="498"/>
        <v>0</v>
      </c>
      <c r="R3131" s="88" t="e">
        <f>-IF(Tabla14[[#This Row],[DIAS HABILES O MORA]]&lt;0,(Tabla14[[#This Row],[VALOR PRESTAMO]]*Tabla14[[#This Row],[% INTERES ]]/30*U3131))+Tabla14[[#This Row],[VALOR CUOTAS]]</f>
        <v>#VALUE!</v>
      </c>
      <c r="S3131" s="88">
        <f>-IF(Tabla14[[#This Row],[DIAS HABILES O MORA]]&lt;0,(Tabla14[[#This Row],[VALOR PRESTAMO]]*Tabla14[[#This Row],[% INTERES ]]/30*U3131))</f>
        <v>0</v>
      </c>
      <c r="T3131" s="53" t="e">
        <f>Tabla14[[#This Row],[DEUDA CAPITAL]]+Tabla14[[#This Row],[INTERES  CUOTA]]</f>
        <v>#NUM!</v>
      </c>
      <c r="U3131" s="61" t="str">
        <f t="shared" si="499"/>
        <v/>
      </c>
    </row>
    <row r="3132" spans="9:21" ht="24.75" customHeight="1" x14ac:dyDescent="0.35">
      <c r="I3132" s="42">
        <f t="shared" si="490"/>
        <v>0</v>
      </c>
      <c r="J3132" s="65" t="e">
        <f t="shared" si="491"/>
        <v>#NUM!</v>
      </c>
      <c r="K3132" s="83" t="e">
        <f t="shared" si="492"/>
        <v>#NUM!</v>
      </c>
      <c r="L3132" s="83">
        <f t="shared" si="493"/>
        <v>0</v>
      </c>
      <c r="M3132" s="110" t="str">
        <f t="shared" si="494"/>
        <v/>
      </c>
      <c r="N3132" s="51" t="str">
        <f t="shared" si="495"/>
        <v/>
      </c>
      <c r="O3132" s="52" t="str">
        <f t="shared" si="496"/>
        <v/>
      </c>
      <c r="P3132" s="88">
        <f t="shared" si="497"/>
        <v>0</v>
      </c>
      <c r="Q3132" s="88">
        <f t="shared" si="498"/>
        <v>0</v>
      </c>
      <c r="R3132" s="88" t="e">
        <f>-IF(Tabla14[[#This Row],[DIAS HABILES O MORA]]&lt;0,(Tabla14[[#This Row],[VALOR PRESTAMO]]*Tabla14[[#This Row],[% INTERES ]]/30*U3132))+Tabla14[[#This Row],[VALOR CUOTAS]]</f>
        <v>#VALUE!</v>
      </c>
      <c r="S3132" s="88">
        <f>-IF(Tabla14[[#This Row],[DIAS HABILES O MORA]]&lt;0,(Tabla14[[#This Row],[VALOR PRESTAMO]]*Tabla14[[#This Row],[% INTERES ]]/30*U3132))</f>
        <v>0</v>
      </c>
      <c r="T3132" s="53" t="e">
        <f>Tabla14[[#This Row],[DEUDA CAPITAL]]+Tabla14[[#This Row],[INTERES  CUOTA]]</f>
        <v>#NUM!</v>
      </c>
      <c r="U3132" s="61" t="str">
        <f t="shared" si="499"/>
        <v/>
      </c>
    </row>
    <row r="3133" spans="9:21" ht="24.75" customHeight="1" x14ac:dyDescent="0.35">
      <c r="I3133" s="42">
        <f t="shared" si="490"/>
        <v>0</v>
      </c>
      <c r="J3133" s="65" t="e">
        <f t="shared" si="491"/>
        <v>#NUM!</v>
      </c>
      <c r="K3133" s="83" t="e">
        <f t="shared" si="492"/>
        <v>#NUM!</v>
      </c>
      <c r="L3133" s="83">
        <f t="shared" si="493"/>
        <v>0</v>
      </c>
      <c r="M3133" s="110" t="str">
        <f t="shared" si="494"/>
        <v/>
      </c>
      <c r="N3133" s="51" t="str">
        <f t="shared" si="495"/>
        <v/>
      </c>
      <c r="O3133" s="52" t="str">
        <f t="shared" si="496"/>
        <v/>
      </c>
      <c r="P3133" s="88">
        <f t="shared" si="497"/>
        <v>0</v>
      </c>
      <c r="Q3133" s="88">
        <f t="shared" si="498"/>
        <v>0</v>
      </c>
      <c r="R3133" s="88" t="e">
        <f>-IF(Tabla14[[#This Row],[DIAS HABILES O MORA]]&lt;0,(Tabla14[[#This Row],[VALOR PRESTAMO]]*Tabla14[[#This Row],[% INTERES ]]/30*U3133))+Tabla14[[#This Row],[VALOR CUOTAS]]</f>
        <v>#VALUE!</v>
      </c>
      <c r="S3133" s="88">
        <f>-IF(Tabla14[[#This Row],[DIAS HABILES O MORA]]&lt;0,(Tabla14[[#This Row],[VALOR PRESTAMO]]*Tabla14[[#This Row],[% INTERES ]]/30*U3133))</f>
        <v>0</v>
      </c>
      <c r="T3133" s="53" t="e">
        <f>Tabla14[[#This Row],[DEUDA CAPITAL]]+Tabla14[[#This Row],[INTERES  CUOTA]]</f>
        <v>#NUM!</v>
      </c>
      <c r="U3133" s="61" t="str">
        <f t="shared" si="499"/>
        <v/>
      </c>
    </row>
    <row r="3134" spans="9:21" ht="24.75" customHeight="1" x14ac:dyDescent="0.35">
      <c r="I3134" s="42">
        <f t="shared" si="490"/>
        <v>0</v>
      </c>
      <c r="J3134" s="65" t="e">
        <f t="shared" si="491"/>
        <v>#NUM!</v>
      </c>
      <c r="K3134" s="83" t="e">
        <f t="shared" si="492"/>
        <v>#NUM!</v>
      </c>
      <c r="L3134" s="83">
        <f t="shared" si="493"/>
        <v>0</v>
      </c>
      <c r="M3134" s="110" t="str">
        <f t="shared" si="494"/>
        <v/>
      </c>
      <c r="N3134" s="51" t="str">
        <f t="shared" si="495"/>
        <v/>
      </c>
      <c r="O3134" s="52" t="str">
        <f t="shared" si="496"/>
        <v/>
      </c>
      <c r="P3134" s="88">
        <f t="shared" si="497"/>
        <v>0</v>
      </c>
      <c r="Q3134" s="88">
        <f t="shared" si="498"/>
        <v>0</v>
      </c>
      <c r="R3134" s="88" t="e">
        <f>-IF(Tabla14[[#This Row],[DIAS HABILES O MORA]]&lt;0,(Tabla14[[#This Row],[VALOR PRESTAMO]]*Tabla14[[#This Row],[% INTERES ]]/30*U3134))+Tabla14[[#This Row],[VALOR CUOTAS]]</f>
        <v>#VALUE!</v>
      </c>
      <c r="S3134" s="88">
        <f>-IF(Tabla14[[#This Row],[DIAS HABILES O MORA]]&lt;0,(Tabla14[[#This Row],[VALOR PRESTAMO]]*Tabla14[[#This Row],[% INTERES ]]/30*U3134))</f>
        <v>0</v>
      </c>
      <c r="T3134" s="53" t="e">
        <f>Tabla14[[#This Row],[DEUDA CAPITAL]]+Tabla14[[#This Row],[INTERES  CUOTA]]</f>
        <v>#NUM!</v>
      </c>
      <c r="U3134" s="61" t="str">
        <f t="shared" si="499"/>
        <v/>
      </c>
    </row>
    <row r="3135" spans="9:21" ht="24.75" customHeight="1" x14ac:dyDescent="0.35">
      <c r="I3135" s="42">
        <f t="shared" si="490"/>
        <v>0</v>
      </c>
      <c r="J3135" s="65" t="e">
        <f t="shared" si="491"/>
        <v>#NUM!</v>
      </c>
      <c r="K3135" s="83" t="e">
        <f t="shared" si="492"/>
        <v>#NUM!</v>
      </c>
      <c r="L3135" s="83">
        <f t="shared" si="493"/>
        <v>0</v>
      </c>
      <c r="M3135" s="110" t="str">
        <f t="shared" si="494"/>
        <v/>
      </c>
      <c r="N3135" s="51" t="str">
        <f t="shared" si="495"/>
        <v/>
      </c>
      <c r="O3135" s="52" t="str">
        <f t="shared" si="496"/>
        <v/>
      </c>
      <c r="P3135" s="88">
        <f t="shared" si="497"/>
        <v>0</v>
      </c>
      <c r="Q3135" s="88">
        <f t="shared" si="498"/>
        <v>0</v>
      </c>
      <c r="R3135" s="88" t="e">
        <f>-IF(Tabla14[[#This Row],[DIAS HABILES O MORA]]&lt;0,(Tabla14[[#This Row],[VALOR PRESTAMO]]*Tabla14[[#This Row],[% INTERES ]]/30*U3135))+Tabla14[[#This Row],[VALOR CUOTAS]]</f>
        <v>#VALUE!</v>
      </c>
      <c r="S3135" s="88">
        <f>-IF(Tabla14[[#This Row],[DIAS HABILES O MORA]]&lt;0,(Tabla14[[#This Row],[VALOR PRESTAMO]]*Tabla14[[#This Row],[% INTERES ]]/30*U3135))</f>
        <v>0</v>
      </c>
      <c r="T3135" s="53" t="e">
        <f>Tabla14[[#This Row],[DEUDA CAPITAL]]+Tabla14[[#This Row],[INTERES  CUOTA]]</f>
        <v>#NUM!</v>
      </c>
      <c r="U3135" s="61" t="str">
        <f t="shared" si="499"/>
        <v/>
      </c>
    </row>
    <row r="3136" spans="9:21" ht="24.75" customHeight="1" x14ac:dyDescent="0.35">
      <c r="I3136" s="42">
        <f t="shared" si="490"/>
        <v>0</v>
      </c>
      <c r="J3136" s="65" t="e">
        <f t="shared" si="491"/>
        <v>#NUM!</v>
      </c>
      <c r="K3136" s="83" t="e">
        <f t="shared" si="492"/>
        <v>#NUM!</v>
      </c>
      <c r="L3136" s="83">
        <f t="shared" si="493"/>
        <v>0</v>
      </c>
      <c r="M3136" s="110" t="str">
        <f t="shared" si="494"/>
        <v/>
      </c>
      <c r="N3136" s="51" t="str">
        <f t="shared" si="495"/>
        <v/>
      </c>
      <c r="O3136" s="52" t="str">
        <f t="shared" si="496"/>
        <v/>
      </c>
      <c r="P3136" s="88">
        <f t="shared" si="497"/>
        <v>0</v>
      </c>
      <c r="Q3136" s="88">
        <f t="shared" si="498"/>
        <v>0</v>
      </c>
      <c r="R3136" s="88" t="e">
        <f>-IF(Tabla14[[#This Row],[DIAS HABILES O MORA]]&lt;0,(Tabla14[[#This Row],[VALOR PRESTAMO]]*Tabla14[[#This Row],[% INTERES ]]/30*U3136))+Tabla14[[#This Row],[VALOR CUOTAS]]</f>
        <v>#VALUE!</v>
      </c>
      <c r="S3136" s="88">
        <f>-IF(Tabla14[[#This Row],[DIAS HABILES O MORA]]&lt;0,(Tabla14[[#This Row],[VALOR PRESTAMO]]*Tabla14[[#This Row],[% INTERES ]]/30*U3136))</f>
        <v>0</v>
      </c>
      <c r="T3136" s="53" t="e">
        <f>Tabla14[[#This Row],[DEUDA CAPITAL]]+Tabla14[[#This Row],[INTERES  CUOTA]]</f>
        <v>#NUM!</v>
      </c>
      <c r="U3136" s="61" t="str">
        <f t="shared" si="499"/>
        <v/>
      </c>
    </row>
    <row r="3137" spans="9:21" ht="24.75" customHeight="1" x14ac:dyDescent="0.35">
      <c r="I3137" s="42">
        <f t="shared" si="490"/>
        <v>0</v>
      </c>
      <c r="J3137" s="65" t="e">
        <f t="shared" si="491"/>
        <v>#NUM!</v>
      </c>
      <c r="K3137" s="83" t="e">
        <f t="shared" si="492"/>
        <v>#NUM!</v>
      </c>
      <c r="L3137" s="83">
        <f t="shared" si="493"/>
        <v>0</v>
      </c>
      <c r="M3137" s="110" t="str">
        <f t="shared" si="494"/>
        <v/>
      </c>
      <c r="N3137" s="51" t="str">
        <f t="shared" si="495"/>
        <v/>
      </c>
      <c r="O3137" s="52" t="str">
        <f t="shared" si="496"/>
        <v/>
      </c>
      <c r="P3137" s="88">
        <f t="shared" si="497"/>
        <v>0</v>
      </c>
      <c r="Q3137" s="88">
        <f t="shared" si="498"/>
        <v>0</v>
      </c>
      <c r="R3137" s="88" t="e">
        <f>-IF(Tabla14[[#This Row],[DIAS HABILES O MORA]]&lt;0,(Tabla14[[#This Row],[VALOR PRESTAMO]]*Tabla14[[#This Row],[% INTERES ]]/30*U3137))+Tabla14[[#This Row],[VALOR CUOTAS]]</f>
        <v>#VALUE!</v>
      </c>
      <c r="S3137" s="88">
        <f>-IF(Tabla14[[#This Row],[DIAS HABILES O MORA]]&lt;0,(Tabla14[[#This Row],[VALOR PRESTAMO]]*Tabla14[[#This Row],[% INTERES ]]/30*U3137))</f>
        <v>0</v>
      </c>
      <c r="T3137" s="53" t="e">
        <f>Tabla14[[#This Row],[DEUDA CAPITAL]]+Tabla14[[#This Row],[INTERES  CUOTA]]</f>
        <v>#NUM!</v>
      </c>
      <c r="U3137" s="61" t="str">
        <f t="shared" si="499"/>
        <v/>
      </c>
    </row>
    <row r="3138" spans="9:21" ht="24.75" customHeight="1" x14ac:dyDescent="0.35">
      <c r="I3138" s="42">
        <f t="shared" si="490"/>
        <v>0</v>
      </c>
      <c r="J3138" s="65" t="e">
        <f t="shared" si="491"/>
        <v>#NUM!</v>
      </c>
      <c r="K3138" s="83" t="e">
        <f t="shared" si="492"/>
        <v>#NUM!</v>
      </c>
      <c r="L3138" s="83">
        <f t="shared" si="493"/>
        <v>0</v>
      </c>
      <c r="M3138" s="110" t="str">
        <f t="shared" si="494"/>
        <v/>
      </c>
      <c r="N3138" s="51" t="str">
        <f t="shared" si="495"/>
        <v/>
      </c>
      <c r="O3138" s="52" t="str">
        <f t="shared" si="496"/>
        <v/>
      </c>
      <c r="P3138" s="88">
        <f t="shared" si="497"/>
        <v>0</v>
      </c>
      <c r="Q3138" s="88">
        <f t="shared" si="498"/>
        <v>0</v>
      </c>
      <c r="R3138" s="88" t="e">
        <f>-IF(Tabla14[[#This Row],[DIAS HABILES O MORA]]&lt;0,(Tabla14[[#This Row],[VALOR PRESTAMO]]*Tabla14[[#This Row],[% INTERES ]]/30*U3138))+Tabla14[[#This Row],[VALOR CUOTAS]]</f>
        <v>#VALUE!</v>
      </c>
      <c r="S3138" s="88">
        <f>-IF(Tabla14[[#This Row],[DIAS HABILES O MORA]]&lt;0,(Tabla14[[#This Row],[VALOR PRESTAMO]]*Tabla14[[#This Row],[% INTERES ]]/30*U3138))</f>
        <v>0</v>
      </c>
      <c r="T3138" s="53" t="e">
        <f>Tabla14[[#This Row],[DEUDA CAPITAL]]+Tabla14[[#This Row],[INTERES  CUOTA]]</f>
        <v>#NUM!</v>
      </c>
      <c r="U3138" s="61" t="str">
        <f t="shared" si="499"/>
        <v/>
      </c>
    </row>
    <row r="3139" spans="9:21" ht="24.75" customHeight="1" x14ac:dyDescent="0.35">
      <c r="I3139" s="42">
        <f t="shared" si="490"/>
        <v>0</v>
      </c>
      <c r="J3139" s="65" t="e">
        <f t="shared" si="491"/>
        <v>#NUM!</v>
      </c>
      <c r="K3139" s="83" t="e">
        <f t="shared" si="492"/>
        <v>#NUM!</v>
      </c>
      <c r="L3139" s="83">
        <f t="shared" si="493"/>
        <v>0</v>
      </c>
      <c r="M3139" s="110" t="str">
        <f t="shared" si="494"/>
        <v/>
      </c>
      <c r="N3139" s="51" t="str">
        <f t="shared" si="495"/>
        <v/>
      </c>
      <c r="O3139" s="52" t="str">
        <f t="shared" si="496"/>
        <v/>
      </c>
      <c r="P3139" s="88">
        <f t="shared" si="497"/>
        <v>0</v>
      </c>
      <c r="Q3139" s="88">
        <f t="shared" si="498"/>
        <v>0</v>
      </c>
      <c r="R3139" s="88" t="e">
        <f>-IF(Tabla14[[#This Row],[DIAS HABILES O MORA]]&lt;0,(Tabla14[[#This Row],[VALOR PRESTAMO]]*Tabla14[[#This Row],[% INTERES ]]/30*U3139))+Tabla14[[#This Row],[VALOR CUOTAS]]</f>
        <v>#VALUE!</v>
      </c>
      <c r="S3139" s="88">
        <f>-IF(Tabla14[[#This Row],[DIAS HABILES O MORA]]&lt;0,(Tabla14[[#This Row],[VALOR PRESTAMO]]*Tabla14[[#This Row],[% INTERES ]]/30*U3139))</f>
        <v>0</v>
      </c>
      <c r="T3139" s="53" t="e">
        <f>Tabla14[[#This Row],[DEUDA CAPITAL]]+Tabla14[[#This Row],[INTERES  CUOTA]]</f>
        <v>#NUM!</v>
      </c>
      <c r="U3139" s="61" t="str">
        <f t="shared" si="499"/>
        <v/>
      </c>
    </row>
    <row r="3140" spans="9:21" ht="24.75" customHeight="1" x14ac:dyDescent="0.35">
      <c r="I3140" s="42">
        <f t="shared" si="490"/>
        <v>0</v>
      </c>
      <c r="J3140" s="65" t="e">
        <f t="shared" si="491"/>
        <v>#NUM!</v>
      </c>
      <c r="K3140" s="83" t="e">
        <f t="shared" si="492"/>
        <v>#NUM!</v>
      </c>
      <c r="L3140" s="83">
        <f t="shared" si="493"/>
        <v>0</v>
      </c>
      <c r="M3140" s="110" t="str">
        <f t="shared" si="494"/>
        <v/>
      </c>
      <c r="N3140" s="51" t="str">
        <f t="shared" si="495"/>
        <v/>
      </c>
      <c r="O3140" s="52" t="str">
        <f t="shared" si="496"/>
        <v/>
      </c>
      <c r="P3140" s="88">
        <f t="shared" si="497"/>
        <v>0</v>
      </c>
      <c r="Q3140" s="88">
        <f t="shared" si="498"/>
        <v>0</v>
      </c>
      <c r="R3140" s="88" t="e">
        <f>-IF(Tabla14[[#This Row],[DIAS HABILES O MORA]]&lt;0,(Tabla14[[#This Row],[VALOR PRESTAMO]]*Tabla14[[#This Row],[% INTERES ]]/30*U3140))+Tabla14[[#This Row],[VALOR CUOTAS]]</f>
        <v>#VALUE!</v>
      </c>
      <c r="S3140" s="88">
        <f>-IF(Tabla14[[#This Row],[DIAS HABILES O MORA]]&lt;0,(Tabla14[[#This Row],[VALOR PRESTAMO]]*Tabla14[[#This Row],[% INTERES ]]/30*U3140))</f>
        <v>0</v>
      </c>
      <c r="T3140" s="53" t="e">
        <f>Tabla14[[#This Row],[DEUDA CAPITAL]]+Tabla14[[#This Row],[INTERES  CUOTA]]</f>
        <v>#NUM!</v>
      </c>
      <c r="U3140" s="61" t="str">
        <f t="shared" si="499"/>
        <v/>
      </c>
    </row>
    <row r="3141" spans="9:21" ht="24.75" customHeight="1" x14ac:dyDescent="0.35">
      <c r="I3141" s="42">
        <f t="shared" si="490"/>
        <v>0</v>
      </c>
      <c r="J3141" s="65" t="e">
        <f t="shared" si="491"/>
        <v>#NUM!</v>
      </c>
      <c r="K3141" s="83" t="e">
        <f t="shared" si="492"/>
        <v>#NUM!</v>
      </c>
      <c r="L3141" s="83">
        <f t="shared" si="493"/>
        <v>0</v>
      </c>
      <c r="M3141" s="110" t="str">
        <f t="shared" si="494"/>
        <v/>
      </c>
      <c r="N3141" s="51" t="str">
        <f t="shared" si="495"/>
        <v/>
      </c>
      <c r="O3141" s="52" t="str">
        <f t="shared" si="496"/>
        <v/>
      </c>
      <c r="P3141" s="88">
        <f t="shared" si="497"/>
        <v>0</v>
      </c>
      <c r="Q3141" s="88">
        <f t="shared" si="498"/>
        <v>0</v>
      </c>
      <c r="R3141" s="88" t="e">
        <f>-IF(Tabla14[[#This Row],[DIAS HABILES O MORA]]&lt;0,(Tabla14[[#This Row],[VALOR PRESTAMO]]*Tabla14[[#This Row],[% INTERES ]]/30*U3141))+Tabla14[[#This Row],[VALOR CUOTAS]]</f>
        <v>#VALUE!</v>
      </c>
      <c r="S3141" s="88">
        <f>-IF(Tabla14[[#This Row],[DIAS HABILES O MORA]]&lt;0,(Tabla14[[#This Row],[VALOR PRESTAMO]]*Tabla14[[#This Row],[% INTERES ]]/30*U3141))</f>
        <v>0</v>
      </c>
      <c r="T3141" s="53" t="e">
        <f>Tabla14[[#This Row],[DEUDA CAPITAL]]+Tabla14[[#This Row],[INTERES  CUOTA]]</f>
        <v>#NUM!</v>
      </c>
      <c r="U3141" s="61" t="str">
        <f t="shared" si="499"/>
        <v/>
      </c>
    </row>
    <row r="3142" spans="9:21" ht="24.75" customHeight="1" x14ac:dyDescent="0.35">
      <c r="I3142" s="42">
        <f t="shared" si="490"/>
        <v>0</v>
      </c>
      <c r="J3142" s="65" t="e">
        <f t="shared" si="491"/>
        <v>#NUM!</v>
      </c>
      <c r="K3142" s="83" t="e">
        <f t="shared" si="492"/>
        <v>#NUM!</v>
      </c>
      <c r="L3142" s="83">
        <f t="shared" si="493"/>
        <v>0</v>
      </c>
      <c r="M3142" s="110" t="str">
        <f t="shared" si="494"/>
        <v/>
      </c>
      <c r="N3142" s="51" t="str">
        <f t="shared" si="495"/>
        <v/>
      </c>
      <c r="O3142" s="52" t="str">
        <f t="shared" si="496"/>
        <v/>
      </c>
      <c r="P3142" s="88">
        <f t="shared" si="497"/>
        <v>0</v>
      </c>
      <c r="Q3142" s="88">
        <f t="shared" si="498"/>
        <v>0</v>
      </c>
      <c r="R3142" s="88" t="e">
        <f>-IF(Tabla14[[#This Row],[DIAS HABILES O MORA]]&lt;0,(Tabla14[[#This Row],[VALOR PRESTAMO]]*Tabla14[[#This Row],[% INTERES ]]/30*U3142))+Tabla14[[#This Row],[VALOR CUOTAS]]</f>
        <v>#VALUE!</v>
      </c>
      <c r="S3142" s="88">
        <f>-IF(Tabla14[[#This Row],[DIAS HABILES O MORA]]&lt;0,(Tabla14[[#This Row],[VALOR PRESTAMO]]*Tabla14[[#This Row],[% INTERES ]]/30*U3142))</f>
        <v>0</v>
      </c>
      <c r="T3142" s="53" t="e">
        <f>Tabla14[[#This Row],[DEUDA CAPITAL]]+Tabla14[[#This Row],[INTERES  CUOTA]]</f>
        <v>#NUM!</v>
      </c>
      <c r="U3142" s="61" t="str">
        <f t="shared" si="499"/>
        <v/>
      </c>
    </row>
    <row r="3143" spans="9:21" ht="24.75" customHeight="1" x14ac:dyDescent="0.35">
      <c r="I3143" s="42">
        <f t="shared" si="490"/>
        <v>0</v>
      </c>
      <c r="J3143" s="65" t="e">
        <f t="shared" si="491"/>
        <v>#NUM!</v>
      </c>
      <c r="K3143" s="83" t="e">
        <f t="shared" si="492"/>
        <v>#NUM!</v>
      </c>
      <c r="L3143" s="83">
        <f t="shared" si="493"/>
        <v>0</v>
      </c>
      <c r="M3143" s="110" t="str">
        <f t="shared" si="494"/>
        <v/>
      </c>
      <c r="N3143" s="51" t="str">
        <f t="shared" si="495"/>
        <v/>
      </c>
      <c r="O3143" s="52" t="str">
        <f t="shared" si="496"/>
        <v/>
      </c>
      <c r="P3143" s="88">
        <f t="shared" si="497"/>
        <v>0</v>
      </c>
      <c r="Q3143" s="88">
        <f t="shared" si="498"/>
        <v>0</v>
      </c>
      <c r="R3143" s="88" t="e">
        <f>-IF(Tabla14[[#This Row],[DIAS HABILES O MORA]]&lt;0,(Tabla14[[#This Row],[VALOR PRESTAMO]]*Tabla14[[#This Row],[% INTERES ]]/30*U3143))+Tabla14[[#This Row],[VALOR CUOTAS]]</f>
        <v>#VALUE!</v>
      </c>
      <c r="S3143" s="88">
        <f>-IF(Tabla14[[#This Row],[DIAS HABILES O MORA]]&lt;0,(Tabla14[[#This Row],[VALOR PRESTAMO]]*Tabla14[[#This Row],[% INTERES ]]/30*U3143))</f>
        <v>0</v>
      </c>
      <c r="T3143" s="53" t="e">
        <f>Tabla14[[#This Row],[DEUDA CAPITAL]]+Tabla14[[#This Row],[INTERES  CUOTA]]</f>
        <v>#NUM!</v>
      </c>
      <c r="U3143" s="61" t="str">
        <f t="shared" si="499"/>
        <v/>
      </c>
    </row>
    <row r="3144" spans="9:21" ht="24.75" customHeight="1" x14ac:dyDescent="0.35">
      <c r="I3144" s="42">
        <f t="shared" si="490"/>
        <v>0</v>
      </c>
      <c r="J3144" s="65" t="e">
        <f t="shared" si="491"/>
        <v>#NUM!</v>
      </c>
      <c r="K3144" s="83" t="e">
        <f t="shared" si="492"/>
        <v>#NUM!</v>
      </c>
      <c r="L3144" s="83">
        <f t="shared" si="493"/>
        <v>0</v>
      </c>
      <c r="M3144" s="110" t="str">
        <f t="shared" si="494"/>
        <v/>
      </c>
      <c r="N3144" s="51" t="str">
        <f t="shared" si="495"/>
        <v/>
      </c>
      <c r="O3144" s="52" t="str">
        <f t="shared" si="496"/>
        <v/>
      </c>
      <c r="P3144" s="88">
        <f t="shared" si="497"/>
        <v>0</v>
      </c>
      <c r="Q3144" s="88">
        <f t="shared" si="498"/>
        <v>0</v>
      </c>
      <c r="R3144" s="88" t="e">
        <f>-IF(Tabla14[[#This Row],[DIAS HABILES O MORA]]&lt;0,(Tabla14[[#This Row],[VALOR PRESTAMO]]*Tabla14[[#This Row],[% INTERES ]]/30*U3144))+Tabla14[[#This Row],[VALOR CUOTAS]]</f>
        <v>#VALUE!</v>
      </c>
      <c r="S3144" s="88">
        <f>-IF(Tabla14[[#This Row],[DIAS HABILES O MORA]]&lt;0,(Tabla14[[#This Row],[VALOR PRESTAMO]]*Tabla14[[#This Row],[% INTERES ]]/30*U3144))</f>
        <v>0</v>
      </c>
      <c r="T3144" s="53" t="e">
        <f>Tabla14[[#This Row],[DEUDA CAPITAL]]+Tabla14[[#This Row],[INTERES  CUOTA]]</f>
        <v>#NUM!</v>
      </c>
      <c r="U3144" s="61" t="str">
        <f t="shared" si="499"/>
        <v/>
      </c>
    </row>
    <row r="3145" spans="9:21" ht="24.75" customHeight="1" x14ac:dyDescent="0.35">
      <c r="I3145" s="42">
        <f t="shared" si="490"/>
        <v>0</v>
      </c>
      <c r="J3145" s="65" t="e">
        <f t="shared" si="491"/>
        <v>#NUM!</v>
      </c>
      <c r="K3145" s="83" t="e">
        <f t="shared" si="492"/>
        <v>#NUM!</v>
      </c>
      <c r="L3145" s="83">
        <f t="shared" si="493"/>
        <v>0</v>
      </c>
      <c r="M3145" s="110" t="str">
        <f t="shared" si="494"/>
        <v/>
      </c>
      <c r="N3145" s="51" t="str">
        <f t="shared" si="495"/>
        <v/>
      </c>
      <c r="O3145" s="52" t="str">
        <f t="shared" si="496"/>
        <v/>
      </c>
      <c r="P3145" s="88">
        <f t="shared" si="497"/>
        <v>0</v>
      </c>
      <c r="Q3145" s="88">
        <f t="shared" si="498"/>
        <v>0</v>
      </c>
      <c r="R3145" s="88" t="e">
        <f>-IF(Tabla14[[#This Row],[DIAS HABILES O MORA]]&lt;0,(Tabla14[[#This Row],[VALOR PRESTAMO]]*Tabla14[[#This Row],[% INTERES ]]/30*U3145))+Tabla14[[#This Row],[VALOR CUOTAS]]</f>
        <v>#VALUE!</v>
      </c>
      <c r="S3145" s="88">
        <f>-IF(Tabla14[[#This Row],[DIAS HABILES O MORA]]&lt;0,(Tabla14[[#This Row],[VALOR PRESTAMO]]*Tabla14[[#This Row],[% INTERES ]]/30*U3145))</f>
        <v>0</v>
      </c>
      <c r="T3145" s="53" t="e">
        <f>Tabla14[[#This Row],[DEUDA CAPITAL]]+Tabla14[[#This Row],[INTERES  CUOTA]]</f>
        <v>#NUM!</v>
      </c>
      <c r="U3145" s="61" t="str">
        <f t="shared" si="499"/>
        <v/>
      </c>
    </row>
    <row r="3146" spans="9:21" ht="24.75" customHeight="1" x14ac:dyDescent="0.35">
      <c r="I3146" s="42">
        <f t="shared" si="490"/>
        <v>0</v>
      </c>
      <c r="J3146" s="65" t="e">
        <f t="shared" si="491"/>
        <v>#NUM!</v>
      </c>
      <c r="K3146" s="83" t="e">
        <f t="shared" si="492"/>
        <v>#NUM!</v>
      </c>
      <c r="L3146" s="83">
        <f t="shared" si="493"/>
        <v>0</v>
      </c>
      <c r="M3146" s="110" t="str">
        <f t="shared" si="494"/>
        <v/>
      </c>
      <c r="N3146" s="51" t="str">
        <f t="shared" si="495"/>
        <v/>
      </c>
      <c r="O3146" s="52" t="str">
        <f t="shared" si="496"/>
        <v/>
      </c>
      <c r="P3146" s="88">
        <f t="shared" si="497"/>
        <v>0</v>
      </c>
      <c r="Q3146" s="88">
        <f t="shared" si="498"/>
        <v>0</v>
      </c>
      <c r="R3146" s="88" t="e">
        <f>-IF(Tabla14[[#This Row],[DIAS HABILES O MORA]]&lt;0,(Tabla14[[#This Row],[VALOR PRESTAMO]]*Tabla14[[#This Row],[% INTERES ]]/30*U3146))+Tabla14[[#This Row],[VALOR CUOTAS]]</f>
        <v>#VALUE!</v>
      </c>
      <c r="S3146" s="88">
        <f>-IF(Tabla14[[#This Row],[DIAS HABILES O MORA]]&lt;0,(Tabla14[[#This Row],[VALOR PRESTAMO]]*Tabla14[[#This Row],[% INTERES ]]/30*U3146))</f>
        <v>0</v>
      </c>
      <c r="T3146" s="53" t="e">
        <f>Tabla14[[#This Row],[DEUDA CAPITAL]]+Tabla14[[#This Row],[INTERES  CUOTA]]</f>
        <v>#NUM!</v>
      </c>
      <c r="U3146" s="61" t="str">
        <f t="shared" si="499"/>
        <v/>
      </c>
    </row>
    <row r="3147" spans="9:21" ht="24.75" customHeight="1" x14ac:dyDescent="0.35">
      <c r="I3147" s="42">
        <f t="shared" si="490"/>
        <v>0</v>
      </c>
      <c r="J3147" s="65" t="e">
        <f t="shared" si="491"/>
        <v>#NUM!</v>
      </c>
      <c r="K3147" s="83" t="e">
        <f t="shared" si="492"/>
        <v>#NUM!</v>
      </c>
      <c r="L3147" s="83">
        <f t="shared" si="493"/>
        <v>0</v>
      </c>
      <c r="M3147" s="110" t="str">
        <f t="shared" si="494"/>
        <v/>
      </c>
      <c r="N3147" s="51" t="str">
        <f t="shared" si="495"/>
        <v/>
      </c>
      <c r="O3147" s="52" t="str">
        <f t="shared" si="496"/>
        <v/>
      </c>
      <c r="P3147" s="88">
        <f t="shared" si="497"/>
        <v>0</v>
      </c>
      <c r="Q3147" s="88">
        <f t="shared" si="498"/>
        <v>0</v>
      </c>
      <c r="R3147" s="88" t="e">
        <f>-IF(Tabla14[[#This Row],[DIAS HABILES O MORA]]&lt;0,(Tabla14[[#This Row],[VALOR PRESTAMO]]*Tabla14[[#This Row],[% INTERES ]]/30*U3147))+Tabla14[[#This Row],[VALOR CUOTAS]]</f>
        <v>#VALUE!</v>
      </c>
      <c r="S3147" s="88">
        <f>-IF(Tabla14[[#This Row],[DIAS HABILES O MORA]]&lt;0,(Tabla14[[#This Row],[VALOR PRESTAMO]]*Tabla14[[#This Row],[% INTERES ]]/30*U3147))</f>
        <v>0</v>
      </c>
      <c r="T3147" s="53" t="e">
        <f>Tabla14[[#This Row],[DEUDA CAPITAL]]+Tabla14[[#This Row],[INTERES  CUOTA]]</f>
        <v>#NUM!</v>
      </c>
      <c r="U3147" s="61" t="str">
        <f t="shared" si="499"/>
        <v/>
      </c>
    </row>
    <row r="3148" spans="9:21" ht="24.75" customHeight="1" x14ac:dyDescent="0.35">
      <c r="I3148" s="42">
        <f t="shared" si="490"/>
        <v>0</v>
      </c>
      <c r="J3148" s="65" t="e">
        <f t="shared" si="491"/>
        <v>#NUM!</v>
      </c>
      <c r="K3148" s="83" t="e">
        <f t="shared" si="492"/>
        <v>#NUM!</v>
      </c>
      <c r="L3148" s="83">
        <f t="shared" si="493"/>
        <v>0</v>
      </c>
      <c r="M3148" s="110" t="str">
        <f t="shared" si="494"/>
        <v/>
      </c>
      <c r="N3148" s="51" t="str">
        <f t="shared" si="495"/>
        <v/>
      </c>
      <c r="O3148" s="52" t="str">
        <f t="shared" si="496"/>
        <v/>
      </c>
      <c r="P3148" s="88">
        <f t="shared" si="497"/>
        <v>0</v>
      </c>
      <c r="Q3148" s="88">
        <f t="shared" si="498"/>
        <v>0</v>
      </c>
      <c r="R3148" s="88" t="e">
        <f>-IF(Tabla14[[#This Row],[DIAS HABILES O MORA]]&lt;0,(Tabla14[[#This Row],[VALOR PRESTAMO]]*Tabla14[[#This Row],[% INTERES ]]/30*U3148))+Tabla14[[#This Row],[VALOR CUOTAS]]</f>
        <v>#VALUE!</v>
      </c>
      <c r="S3148" s="88">
        <f>-IF(Tabla14[[#This Row],[DIAS HABILES O MORA]]&lt;0,(Tabla14[[#This Row],[VALOR PRESTAMO]]*Tabla14[[#This Row],[% INTERES ]]/30*U3148))</f>
        <v>0</v>
      </c>
      <c r="T3148" s="53" t="e">
        <f>Tabla14[[#This Row],[DEUDA CAPITAL]]+Tabla14[[#This Row],[INTERES  CUOTA]]</f>
        <v>#NUM!</v>
      </c>
      <c r="U3148" s="61" t="str">
        <f t="shared" si="499"/>
        <v/>
      </c>
    </row>
    <row r="3149" spans="9:21" ht="24.75" customHeight="1" x14ac:dyDescent="0.35">
      <c r="I3149" s="42">
        <f t="shared" si="490"/>
        <v>0</v>
      </c>
      <c r="J3149" s="65" t="e">
        <f t="shared" si="491"/>
        <v>#NUM!</v>
      </c>
      <c r="K3149" s="83" t="e">
        <f t="shared" si="492"/>
        <v>#NUM!</v>
      </c>
      <c r="L3149" s="83">
        <f t="shared" si="493"/>
        <v>0</v>
      </c>
      <c r="M3149" s="110" t="str">
        <f t="shared" si="494"/>
        <v/>
      </c>
      <c r="N3149" s="51" t="str">
        <f t="shared" si="495"/>
        <v/>
      </c>
      <c r="O3149" s="52" t="str">
        <f t="shared" si="496"/>
        <v/>
      </c>
      <c r="P3149" s="88">
        <f t="shared" si="497"/>
        <v>0</v>
      </c>
      <c r="Q3149" s="88">
        <f t="shared" si="498"/>
        <v>0</v>
      </c>
      <c r="R3149" s="88" t="e">
        <f>-IF(Tabla14[[#This Row],[DIAS HABILES O MORA]]&lt;0,(Tabla14[[#This Row],[VALOR PRESTAMO]]*Tabla14[[#This Row],[% INTERES ]]/30*U3149))+Tabla14[[#This Row],[VALOR CUOTAS]]</f>
        <v>#VALUE!</v>
      </c>
      <c r="S3149" s="88">
        <f>-IF(Tabla14[[#This Row],[DIAS HABILES O MORA]]&lt;0,(Tabla14[[#This Row],[VALOR PRESTAMO]]*Tabla14[[#This Row],[% INTERES ]]/30*U3149))</f>
        <v>0</v>
      </c>
      <c r="T3149" s="53" t="e">
        <f>Tabla14[[#This Row],[DEUDA CAPITAL]]+Tabla14[[#This Row],[INTERES  CUOTA]]</f>
        <v>#NUM!</v>
      </c>
      <c r="U3149" s="61" t="str">
        <f t="shared" si="499"/>
        <v/>
      </c>
    </row>
    <row r="3150" spans="9:21" ht="24.75" customHeight="1" x14ac:dyDescent="0.35">
      <c r="I3150" s="42">
        <f t="shared" si="490"/>
        <v>0</v>
      </c>
      <c r="J3150" s="65" t="e">
        <f t="shared" si="491"/>
        <v>#NUM!</v>
      </c>
      <c r="K3150" s="83" t="e">
        <f t="shared" si="492"/>
        <v>#NUM!</v>
      </c>
      <c r="L3150" s="83">
        <f t="shared" si="493"/>
        <v>0</v>
      </c>
      <c r="M3150" s="110" t="str">
        <f t="shared" si="494"/>
        <v/>
      </c>
      <c r="N3150" s="51" t="str">
        <f t="shared" si="495"/>
        <v/>
      </c>
      <c r="O3150" s="52" t="str">
        <f t="shared" si="496"/>
        <v/>
      </c>
      <c r="P3150" s="88">
        <f t="shared" si="497"/>
        <v>0</v>
      </c>
      <c r="Q3150" s="88">
        <f t="shared" si="498"/>
        <v>0</v>
      </c>
      <c r="R3150" s="88" t="e">
        <f>-IF(Tabla14[[#This Row],[DIAS HABILES O MORA]]&lt;0,(Tabla14[[#This Row],[VALOR PRESTAMO]]*Tabla14[[#This Row],[% INTERES ]]/30*U3150))+Tabla14[[#This Row],[VALOR CUOTAS]]</f>
        <v>#VALUE!</v>
      </c>
      <c r="S3150" s="88">
        <f>-IF(Tabla14[[#This Row],[DIAS HABILES O MORA]]&lt;0,(Tabla14[[#This Row],[VALOR PRESTAMO]]*Tabla14[[#This Row],[% INTERES ]]/30*U3150))</f>
        <v>0</v>
      </c>
      <c r="T3150" s="53" t="e">
        <f>Tabla14[[#This Row],[DEUDA CAPITAL]]+Tabla14[[#This Row],[INTERES  CUOTA]]</f>
        <v>#NUM!</v>
      </c>
      <c r="U3150" s="61" t="str">
        <f t="shared" si="499"/>
        <v/>
      </c>
    </row>
    <row r="3151" spans="9:21" ht="24.75" customHeight="1" x14ac:dyDescent="0.35">
      <c r="I3151" s="42">
        <f t="shared" si="490"/>
        <v>0</v>
      </c>
      <c r="J3151" s="65" t="e">
        <f t="shared" si="491"/>
        <v>#NUM!</v>
      </c>
      <c r="K3151" s="83" t="e">
        <f t="shared" si="492"/>
        <v>#NUM!</v>
      </c>
      <c r="L3151" s="83">
        <f t="shared" si="493"/>
        <v>0</v>
      </c>
      <c r="M3151" s="110" t="str">
        <f t="shared" si="494"/>
        <v/>
      </c>
      <c r="N3151" s="51" t="str">
        <f t="shared" si="495"/>
        <v/>
      </c>
      <c r="O3151" s="52" t="str">
        <f t="shared" si="496"/>
        <v/>
      </c>
      <c r="P3151" s="88">
        <f t="shared" si="497"/>
        <v>0</v>
      </c>
      <c r="Q3151" s="88">
        <f t="shared" si="498"/>
        <v>0</v>
      </c>
      <c r="R3151" s="88" t="e">
        <f>-IF(Tabla14[[#This Row],[DIAS HABILES O MORA]]&lt;0,(Tabla14[[#This Row],[VALOR PRESTAMO]]*Tabla14[[#This Row],[% INTERES ]]/30*U3151))+Tabla14[[#This Row],[VALOR CUOTAS]]</f>
        <v>#VALUE!</v>
      </c>
      <c r="S3151" s="88">
        <f>-IF(Tabla14[[#This Row],[DIAS HABILES O MORA]]&lt;0,(Tabla14[[#This Row],[VALOR PRESTAMO]]*Tabla14[[#This Row],[% INTERES ]]/30*U3151))</f>
        <v>0</v>
      </c>
      <c r="T3151" s="53" t="e">
        <f>Tabla14[[#This Row],[DEUDA CAPITAL]]+Tabla14[[#This Row],[INTERES  CUOTA]]</f>
        <v>#NUM!</v>
      </c>
      <c r="U3151" s="61" t="str">
        <f t="shared" si="499"/>
        <v/>
      </c>
    </row>
    <row r="3152" spans="9:21" ht="24.75" customHeight="1" x14ac:dyDescent="0.35">
      <c r="I3152" s="42">
        <f t="shared" ref="I3152:I3215" si="500">IF(C3152&lt;0,"",IF(Q3152=0,0,IF(G3152=0,H3152+1,IF(H3152&lt;G3152,H3152+1,IF(G3152=H3152,0)))))</f>
        <v>0</v>
      </c>
      <c r="J3152" s="65" t="e">
        <f t="shared" ref="J3152:J3215" si="501">IF(F3152="SOLO INTERES",Q3152*D3152,-IPMT(D3152,I3152,G3152,C3152))</f>
        <v>#NUM!</v>
      </c>
      <c r="K3152" s="83" t="e">
        <f t="shared" ref="K3152:K3215" si="502">IF(F3152="SOLO INTERES",0,-PPMT(D3152,I3152,G3152,C3152))</f>
        <v>#NUM!</v>
      </c>
      <c r="L3152" s="83">
        <f t="shared" ref="L3152:L3215" si="503">IF(F3152="SOLO INTERES",SUM(Y3152:AAE3152),IFERROR(-CUMIPMT(D3152,G3152,C3152,1,H3152,0),0)+SUM(Y3152:WY3152))</f>
        <v>0</v>
      </c>
      <c r="M3152" s="110" t="str">
        <f t="shared" ref="M3152:M3215" si="504">IFERROR(IF(F3152="SOLO INTERES",Q3152*D3152,-PMT(D3152,G3152,C3152,0)),"")</f>
        <v/>
      </c>
      <c r="N3152" s="51" t="str">
        <f t="shared" ref="N3152:N3215" si="505">IF(Q3152=0,"",IF(E3152="MENSUAL",EDATE(B3152,I3152),IF(E3152="QUINCENAL",B3152+(I3152*15),IF(E3152="SEMANAL",B3152+(I3152*7)))))</f>
        <v/>
      </c>
      <c r="O3152" s="52" t="str">
        <f t="shared" ref="O3152:O3215" si="506">IF(C3152=0,"",IF(Q3152&lt;1,"PAGADO",IF(N3152=$A$3,"COBRAR HOY",IF(N3152&lt;$A$3,"EN MORA",IF(N3152&gt;$A$3,"AL DIA")))))</f>
        <v/>
      </c>
      <c r="P3152" s="88">
        <f t="shared" ref="P3152:P3215" si="507">IFERROR(-CUMPRINC(D3152,G3152,C3152,1,H3152,0),0)+W3152</f>
        <v>0</v>
      </c>
      <c r="Q3152" s="88">
        <f t="shared" ref="Q3152:Q3215" si="508">IFERROR(C3152-P3152,"")</f>
        <v>0</v>
      </c>
      <c r="R3152" s="88" t="e">
        <f>-IF(Tabla14[[#This Row],[DIAS HABILES O MORA]]&lt;0,(Tabla14[[#This Row],[VALOR PRESTAMO]]*Tabla14[[#This Row],[% INTERES ]]/30*U3152))+Tabla14[[#This Row],[VALOR CUOTAS]]</f>
        <v>#VALUE!</v>
      </c>
      <c r="S3152" s="88">
        <f>-IF(Tabla14[[#This Row],[DIAS HABILES O MORA]]&lt;0,(Tabla14[[#This Row],[VALOR PRESTAMO]]*Tabla14[[#This Row],[% INTERES ]]/30*U3152))</f>
        <v>0</v>
      </c>
      <c r="T3152" s="53" t="e">
        <f>Tabla14[[#This Row],[DEUDA CAPITAL]]+Tabla14[[#This Row],[INTERES  CUOTA]]</f>
        <v>#NUM!</v>
      </c>
      <c r="U3152" s="61" t="str">
        <f t="shared" ref="U3152:U3215" si="509">IF(O3152="PAGADO","",IFERROR(-IF(C3152=0,"",$A$3-N3152),""))</f>
        <v/>
      </c>
    </row>
    <row r="3153" spans="9:21" ht="24.75" customHeight="1" x14ac:dyDescent="0.35">
      <c r="I3153" s="42">
        <f t="shared" si="500"/>
        <v>0</v>
      </c>
      <c r="J3153" s="65" t="e">
        <f t="shared" si="501"/>
        <v>#NUM!</v>
      </c>
      <c r="K3153" s="83" t="e">
        <f t="shared" si="502"/>
        <v>#NUM!</v>
      </c>
      <c r="L3153" s="83">
        <f t="shared" si="503"/>
        <v>0</v>
      </c>
      <c r="M3153" s="110" t="str">
        <f t="shared" si="504"/>
        <v/>
      </c>
      <c r="N3153" s="51" t="str">
        <f t="shared" si="505"/>
        <v/>
      </c>
      <c r="O3153" s="52" t="str">
        <f t="shared" si="506"/>
        <v/>
      </c>
      <c r="P3153" s="88">
        <f t="shared" si="507"/>
        <v>0</v>
      </c>
      <c r="Q3153" s="88">
        <f t="shared" si="508"/>
        <v>0</v>
      </c>
      <c r="R3153" s="88" t="e">
        <f>-IF(Tabla14[[#This Row],[DIAS HABILES O MORA]]&lt;0,(Tabla14[[#This Row],[VALOR PRESTAMO]]*Tabla14[[#This Row],[% INTERES ]]/30*U3153))+Tabla14[[#This Row],[VALOR CUOTAS]]</f>
        <v>#VALUE!</v>
      </c>
      <c r="S3153" s="88">
        <f>-IF(Tabla14[[#This Row],[DIAS HABILES O MORA]]&lt;0,(Tabla14[[#This Row],[VALOR PRESTAMO]]*Tabla14[[#This Row],[% INTERES ]]/30*U3153))</f>
        <v>0</v>
      </c>
      <c r="T3153" s="53" t="e">
        <f>Tabla14[[#This Row],[DEUDA CAPITAL]]+Tabla14[[#This Row],[INTERES  CUOTA]]</f>
        <v>#NUM!</v>
      </c>
      <c r="U3153" s="61" t="str">
        <f t="shared" si="509"/>
        <v/>
      </c>
    </row>
    <row r="3154" spans="9:21" ht="24.75" customHeight="1" x14ac:dyDescent="0.35">
      <c r="I3154" s="42">
        <f t="shared" si="500"/>
        <v>0</v>
      </c>
      <c r="J3154" s="65" t="e">
        <f t="shared" si="501"/>
        <v>#NUM!</v>
      </c>
      <c r="K3154" s="83" t="e">
        <f t="shared" si="502"/>
        <v>#NUM!</v>
      </c>
      <c r="L3154" s="83">
        <f t="shared" si="503"/>
        <v>0</v>
      </c>
      <c r="M3154" s="110" t="str">
        <f t="shared" si="504"/>
        <v/>
      </c>
      <c r="N3154" s="51" t="str">
        <f t="shared" si="505"/>
        <v/>
      </c>
      <c r="O3154" s="52" t="str">
        <f t="shared" si="506"/>
        <v/>
      </c>
      <c r="P3154" s="88">
        <f t="shared" si="507"/>
        <v>0</v>
      </c>
      <c r="Q3154" s="88">
        <f t="shared" si="508"/>
        <v>0</v>
      </c>
      <c r="R3154" s="88" t="e">
        <f>-IF(Tabla14[[#This Row],[DIAS HABILES O MORA]]&lt;0,(Tabla14[[#This Row],[VALOR PRESTAMO]]*Tabla14[[#This Row],[% INTERES ]]/30*U3154))+Tabla14[[#This Row],[VALOR CUOTAS]]</f>
        <v>#VALUE!</v>
      </c>
      <c r="S3154" s="88">
        <f>-IF(Tabla14[[#This Row],[DIAS HABILES O MORA]]&lt;0,(Tabla14[[#This Row],[VALOR PRESTAMO]]*Tabla14[[#This Row],[% INTERES ]]/30*U3154))</f>
        <v>0</v>
      </c>
      <c r="T3154" s="53" t="e">
        <f>Tabla14[[#This Row],[DEUDA CAPITAL]]+Tabla14[[#This Row],[INTERES  CUOTA]]</f>
        <v>#NUM!</v>
      </c>
      <c r="U3154" s="61" t="str">
        <f t="shared" si="509"/>
        <v/>
      </c>
    </row>
    <row r="3155" spans="9:21" ht="24.75" customHeight="1" x14ac:dyDescent="0.35">
      <c r="I3155" s="42">
        <f t="shared" si="500"/>
        <v>0</v>
      </c>
      <c r="J3155" s="65" t="e">
        <f t="shared" si="501"/>
        <v>#NUM!</v>
      </c>
      <c r="K3155" s="83" t="e">
        <f t="shared" si="502"/>
        <v>#NUM!</v>
      </c>
      <c r="L3155" s="83">
        <f t="shared" si="503"/>
        <v>0</v>
      </c>
      <c r="M3155" s="110" t="str">
        <f t="shared" si="504"/>
        <v/>
      </c>
      <c r="N3155" s="51" t="str">
        <f t="shared" si="505"/>
        <v/>
      </c>
      <c r="O3155" s="52" t="str">
        <f t="shared" si="506"/>
        <v/>
      </c>
      <c r="P3155" s="88">
        <f t="shared" si="507"/>
        <v>0</v>
      </c>
      <c r="Q3155" s="88">
        <f t="shared" si="508"/>
        <v>0</v>
      </c>
      <c r="R3155" s="88" t="e">
        <f>-IF(Tabla14[[#This Row],[DIAS HABILES O MORA]]&lt;0,(Tabla14[[#This Row],[VALOR PRESTAMO]]*Tabla14[[#This Row],[% INTERES ]]/30*U3155))+Tabla14[[#This Row],[VALOR CUOTAS]]</f>
        <v>#VALUE!</v>
      </c>
      <c r="S3155" s="88">
        <f>-IF(Tabla14[[#This Row],[DIAS HABILES O MORA]]&lt;0,(Tabla14[[#This Row],[VALOR PRESTAMO]]*Tabla14[[#This Row],[% INTERES ]]/30*U3155))</f>
        <v>0</v>
      </c>
      <c r="T3155" s="53" t="e">
        <f>Tabla14[[#This Row],[DEUDA CAPITAL]]+Tabla14[[#This Row],[INTERES  CUOTA]]</f>
        <v>#NUM!</v>
      </c>
      <c r="U3155" s="61" t="str">
        <f t="shared" si="509"/>
        <v/>
      </c>
    </row>
    <row r="3156" spans="9:21" ht="24.75" customHeight="1" x14ac:dyDescent="0.35">
      <c r="I3156" s="42">
        <f t="shared" si="500"/>
        <v>0</v>
      </c>
      <c r="J3156" s="65" t="e">
        <f t="shared" si="501"/>
        <v>#NUM!</v>
      </c>
      <c r="K3156" s="83" t="e">
        <f t="shared" si="502"/>
        <v>#NUM!</v>
      </c>
      <c r="L3156" s="83">
        <f t="shared" si="503"/>
        <v>0</v>
      </c>
      <c r="M3156" s="110" t="str">
        <f t="shared" si="504"/>
        <v/>
      </c>
      <c r="N3156" s="51" t="str">
        <f t="shared" si="505"/>
        <v/>
      </c>
      <c r="O3156" s="52" t="str">
        <f t="shared" si="506"/>
        <v/>
      </c>
      <c r="P3156" s="88">
        <f t="shared" si="507"/>
        <v>0</v>
      </c>
      <c r="Q3156" s="88">
        <f t="shared" si="508"/>
        <v>0</v>
      </c>
      <c r="R3156" s="88" t="e">
        <f>-IF(Tabla14[[#This Row],[DIAS HABILES O MORA]]&lt;0,(Tabla14[[#This Row],[VALOR PRESTAMO]]*Tabla14[[#This Row],[% INTERES ]]/30*U3156))+Tabla14[[#This Row],[VALOR CUOTAS]]</f>
        <v>#VALUE!</v>
      </c>
      <c r="S3156" s="88">
        <f>-IF(Tabla14[[#This Row],[DIAS HABILES O MORA]]&lt;0,(Tabla14[[#This Row],[VALOR PRESTAMO]]*Tabla14[[#This Row],[% INTERES ]]/30*U3156))</f>
        <v>0</v>
      </c>
      <c r="T3156" s="53" t="e">
        <f>Tabla14[[#This Row],[DEUDA CAPITAL]]+Tabla14[[#This Row],[INTERES  CUOTA]]</f>
        <v>#NUM!</v>
      </c>
      <c r="U3156" s="61" t="str">
        <f t="shared" si="509"/>
        <v/>
      </c>
    </row>
    <row r="3157" spans="9:21" ht="24.75" customHeight="1" x14ac:dyDescent="0.35">
      <c r="I3157" s="42">
        <f t="shared" si="500"/>
        <v>0</v>
      </c>
      <c r="J3157" s="65" t="e">
        <f t="shared" si="501"/>
        <v>#NUM!</v>
      </c>
      <c r="K3157" s="83" t="e">
        <f t="shared" si="502"/>
        <v>#NUM!</v>
      </c>
      <c r="L3157" s="83">
        <f t="shared" si="503"/>
        <v>0</v>
      </c>
      <c r="M3157" s="110" t="str">
        <f t="shared" si="504"/>
        <v/>
      </c>
      <c r="N3157" s="51" t="str">
        <f t="shared" si="505"/>
        <v/>
      </c>
      <c r="O3157" s="52" t="str">
        <f t="shared" si="506"/>
        <v/>
      </c>
      <c r="P3157" s="88">
        <f t="shared" si="507"/>
        <v>0</v>
      </c>
      <c r="Q3157" s="88">
        <f t="shared" si="508"/>
        <v>0</v>
      </c>
      <c r="R3157" s="88" t="e">
        <f>-IF(Tabla14[[#This Row],[DIAS HABILES O MORA]]&lt;0,(Tabla14[[#This Row],[VALOR PRESTAMO]]*Tabla14[[#This Row],[% INTERES ]]/30*U3157))+Tabla14[[#This Row],[VALOR CUOTAS]]</f>
        <v>#VALUE!</v>
      </c>
      <c r="S3157" s="88">
        <f>-IF(Tabla14[[#This Row],[DIAS HABILES O MORA]]&lt;0,(Tabla14[[#This Row],[VALOR PRESTAMO]]*Tabla14[[#This Row],[% INTERES ]]/30*U3157))</f>
        <v>0</v>
      </c>
      <c r="T3157" s="53" t="e">
        <f>Tabla14[[#This Row],[DEUDA CAPITAL]]+Tabla14[[#This Row],[INTERES  CUOTA]]</f>
        <v>#NUM!</v>
      </c>
      <c r="U3157" s="61" t="str">
        <f t="shared" si="509"/>
        <v/>
      </c>
    </row>
    <row r="3158" spans="9:21" ht="24.75" customHeight="1" x14ac:dyDescent="0.35">
      <c r="I3158" s="42">
        <f t="shared" si="500"/>
        <v>0</v>
      </c>
      <c r="J3158" s="65" t="e">
        <f t="shared" si="501"/>
        <v>#NUM!</v>
      </c>
      <c r="K3158" s="83" t="e">
        <f t="shared" si="502"/>
        <v>#NUM!</v>
      </c>
      <c r="L3158" s="83">
        <f t="shared" si="503"/>
        <v>0</v>
      </c>
      <c r="M3158" s="110" t="str">
        <f t="shared" si="504"/>
        <v/>
      </c>
      <c r="N3158" s="51" t="str">
        <f t="shared" si="505"/>
        <v/>
      </c>
      <c r="O3158" s="52" t="str">
        <f t="shared" si="506"/>
        <v/>
      </c>
      <c r="P3158" s="88">
        <f t="shared" si="507"/>
        <v>0</v>
      </c>
      <c r="Q3158" s="88">
        <f t="shared" si="508"/>
        <v>0</v>
      </c>
      <c r="R3158" s="88" t="e">
        <f>-IF(Tabla14[[#This Row],[DIAS HABILES O MORA]]&lt;0,(Tabla14[[#This Row],[VALOR PRESTAMO]]*Tabla14[[#This Row],[% INTERES ]]/30*U3158))+Tabla14[[#This Row],[VALOR CUOTAS]]</f>
        <v>#VALUE!</v>
      </c>
      <c r="S3158" s="88">
        <f>-IF(Tabla14[[#This Row],[DIAS HABILES O MORA]]&lt;0,(Tabla14[[#This Row],[VALOR PRESTAMO]]*Tabla14[[#This Row],[% INTERES ]]/30*U3158))</f>
        <v>0</v>
      </c>
      <c r="T3158" s="53" t="e">
        <f>Tabla14[[#This Row],[DEUDA CAPITAL]]+Tabla14[[#This Row],[INTERES  CUOTA]]</f>
        <v>#NUM!</v>
      </c>
      <c r="U3158" s="61" t="str">
        <f t="shared" si="509"/>
        <v/>
      </c>
    </row>
    <row r="3159" spans="9:21" ht="24.75" customHeight="1" x14ac:dyDescent="0.35">
      <c r="I3159" s="42">
        <f t="shared" si="500"/>
        <v>0</v>
      </c>
      <c r="J3159" s="65" t="e">
        <f t="shared" si="501"/>
        <v>#NUM!</v>
      </c>
      <c r="K3159" s="83" t="e">
        <f t="shared" si="502"/>
        <v>#NUM!</v>
      </c>
      <c r="L3159" s="83">
        <f t="shared" si="503"/>
        <v>0</v>
      </c>
      <c r="M3159" s="110" t="str">
        <f t="shared" si="504"/>
        <v/>
      </c>
      <c r="N3159" s="51" t="str">
        <f t="shared" si="505"/>
        <v/>
      </c>
      <c r="O3159" s="52" t="str">
        <f t="shared" si="506"/>
        <v/>
      </c>
      <c r="P3159" s="88">
        <f t="shared" si="507"/>
        <v>0</v>
      </c>
      <c r="Q3159" s="88">
        <f t="shared" si="508"/>
        <v>0</v>
      </c>
      <c r="R3159" s="88" t="e">
        <f>-IF(Tabla14[[#This Row],[DIAS HABILES O MORA]]&lt;0,(Tabla14[[#This Row],[VALOR PRESTAMO]]*Tabla14[[#This Row],[% INTERES ]]/30*U3159))+Tabla14[[#This Row],[VALOR CUOTAS]]</f>
        <v>#VALUE!</v>
      </c>
      <c r="S3159" s="88">
        <f>-IF(Tabla14[[#This Row],[DIAS HABILES O MORA]]&lt;0,(Tabla14[[#This Row],[VALOR PRESTAMO]]*Tabla14[[#This Row],[% INTERES ]]/30*U3159))</f>
        <v>0</v>
      </c>
      <c r="T3159" s="53" t="e">
        <f>Tabla14[[#This Row],[DEUDA CAPITAL]]+Tabla14[[#This Row],[INTERES  CUOTA]]</f>
        <v>#NUM!</v>
      </c>
      <c r="U3159" s="61" t="str">
        <f t="shared" si="509"/>
        <v/>
      </c>
    </row>
    <row r="3160" spans="9:21" ht="24.75" customHeight="1" x14ac:dyDescent="0.35">
      <c r="I3160" s="42">
        <f t="shared" si="500"/>
        <v>0</v>
      </c>
      <c r="J3160" s="65" t="e">
        <f t="shared" si="501"/>
        <v>#NUM!</v>
      </c>
      <c r="K3160" s="83" t="e">
        <f t="shared" si="502"/>
        <v>#NUM!</v>
      </c>
      <c r="L3160" s="83">
        <f t="shared" si="503"/>
        <v>0</v>
      </c>
      <c r="M3160" s="110" t="str">
        <f t="shared" si="504"/>
        <v/>
      </c>
      <c r="N3160" s="51" t="str">
        <f t="shared" si="505"/>
        <v/>
      </c>
      <c r="O3160" s="52" t="str">
        <f t="shared" si="506"/>
        <v/>
      </c>
      <c r="P3160" s="88">
        <f t="shared" si="507"/>
        <v>0</v>
      </c>
      <c r="Q3160" s="88">
        <f t="shared" si="508"/>
        <v>0</v>
      </c>
      <c r="R3160" s="88" t="e">
        <f>-IF(Tabla14[[#This Row],[DIAS HABILES O MORA]]&lt;0,(Tabla14[[#This Row],[VALOR PRESTAMO]]*Tabla14[[#This Row],[% INTERES ]]/30*U3160))+Tabla14[[#This Row],[VALOR CUOTAS]]</f>
        <v>#VALUE!</v>
      </c>
      <c r="S3160" s="88">
        <f>-IF(Tabla14[[#This Row],[DIAS HABILES O MORA]]&lt;0,(Tabla14[[#This Row],[VALOR PRESTAMO]]*Tabla14[[#This Row],[% INTERES ]]/30*U3160))</f>
        <v>0</v>
      </c>
      <c r="T3160" s="53" t="e">
        <f>Tabla14[[#This Row],[DEUDA CAPITAL]]+Tabla14[[#This Row],[INTERES  CUOTA]]</f>
        <v>#NUM!</v>
      </c>
      <c r="U3160" s="61" t="str">
        <f t="shared" si="509"/>
        <v/>
      </c>
    </row>
    <row r="3161" spans="9:21" ht="24.75" customHeight="1" x14ac:dyDescent="0.35">
      <c r="I3161" s="42">
        <f t="shared" si="500"/>
        <v>0</v>
      </c>
      <c r="J3161" s="65" t="e">
        <f t="shared" si="501"/>
        <v>#NUM!</v>
      </c>
      <c r="K3161" s="83" t="e">
        <f t="shared" si="502"/>
        <v>#NUM!</v>
      </c>
      <c r="L3161" s="83">
        <f t="shared" si="503"/>
        <v>0</v>
      </c>
      <c r="M3161" s="110" t="str">
        <f t="shared" si="504"/>
        <v/>
      </c>
      <c r="N3161" s="51" t="str">
        <f t="shared" si="505"/>
        <v/>
      </c>
      <c r="O3161" s="52" t="str">
        <f t="shared" si="506"/>
        <v/>
      </c>
      <c r="P3161" s="88">
        <f t="shared" si="507"/>
        <v>0</v>
      </c>
      <c r="Q3161" s="88">
        <f t="shared" si="508"/>
        <v>0</v>
      </c>
      <c r="R3161" s="88" t="e">
        <f>-IF(Tabla14[[#This Row],[DIAS HABILES O MORA]]&lt;0,(Tabla14[[#This Row],[VALOR PRESTAMO]]*Tabla14[[#This Row],[% INTERES ]]/30*U3161))+Tabla14[[#This Row],[VALOR CUOTAS]]</f>
        <v>#VALUE!</v>
      </c>
      <c r="S3161" s="88">
        <f>-IF(Tabla14[[#This Row],[DIAS HABILES O MORA]]&lt;0,(Tabla14[[#This Row],[VALOR PRESTAMO]]*Tabla14[[#This Row],[% INTERES ]]/30*U3161))</f>
        <v>0</v>
      </c>
      <c r="T3161" s="53" t="e">
        <f>Tabla14[[#This Row],[DEUDA CAPITAL]]+Tabla14[[#This Row],[INTERES  CUOTA]]</f>
        <v>#NUM!</v>
      </c>
      <c r="U3161" s="61" t="str">
        <f t="shared" si="509"/>
        <v/>
      </c>
    </row>
    <row r="3162" spans="9:21" ht="24.75" customHeight="1" x14ac:dyDescent="0.35">
      <c r="I3162" s="42">
        <f t="shared" si="500"/>
        <v>0</v>
      </c>
      <c r="J3162" s="65" t="e">
        <f t="shared" si="501"/>
        <v>#NUM!</v>
      </c>
      <c r="K3162" s="83" t="e">
        <f t="shared" si="502"/>
        <v>#NUM!</v>
      </c>
      <c r="L3162" s="83">
        <f t="shared" si="503"/>
        <v>0</v>
      </c>
      <c r="M3162" s="110" t="str">
        <f t="shared" si="504"/>
        <v/>
      </c>
      <c r="N3162" s="51" t="str">
        <f t="shared" si="505"/>
        <v/>
      </c>
      <c r="O3162" s="52" t="str">
        <f t="shared" si="506"/>
        <v/>
      </c>
      <c r="P3162" s="88">
        <f t="shared" si="507"/>
        <v>0</v>
      </c>
      <c r="Q3162" s="88">
        <f t="shared" si="508"/>
        <v>0</v>
      </c>
      <c r="R3162" s="88" t="e">
        <f>-IF(Tabla14[[#This Row],[DIAS HABILES O MORA]]&lt;0,(Tabla14[[#This Row],[VALOR PRESTAMO]]*Tabla14[[#This Row],[% INTERES ]]/30*U3162))+Tabla14[[#This Row],[VALOR CUOTAS]]</f>
        <v>#VALUE!</v>
      </c>
      <c r="S3162" s="88">
        <f>-IF(Tabla14[[#This Row],[DIAS HABILES O MORA]]&lt;0,(Tabla14[[#This Row],[VALOR PRESTAMO]]*Tabla14[[#This Row],[% INTERES ]]/30*U3162))</f>
        <v>0</v>
      </c>
      <c r="T3162" s="53" t="e">
        <f>Tabla14[[#This Row],[DEUDA CAPITAL]]+Tabla14[[#This Row],[INTERES  CUOTA]]</f>
        <v>#NUM!</v>
      </c>
      <c r="U3162" s="61" t="str">
        <f t="shared" si="509"/>
        <v/>
      </c>
    </row>
    <row r="3163" spans="9:21" ht="24.75" customHeight="1" x14ac:dyDescent="0.35">
      <c r="I3163" s="42">
        <f t="shared" si="500"/>
        <v>0</v>
      </c>
      <c r="J3163" s="65" t="e">
        <f t="shared" si="501"/>
        <v>#NUM!</v>
      </c>
      <c r="K3163" s="83" t="e">
        <f t="shared" si="502"/>
        <v>#NUM!</v>
      </c>
      <c r="L3163" s="83">
        <f t="shared" si="503"/>
        <v>0</v>
      </c>
      <c r="M3163" s="110" t="str">
        <f t="shared" si="504"/>
        <v/>
      </c>
      <c r="N3163" s="51" t="str">
        <f t="shared" si="505"/>
        <v/>
      </c>
      <c r="O3163" s="52" t="str">
        <f t="shared" si="506"/>
        <v/>
      </c>
      <c r="P3163" s="88">
        <f t="shared" si="507"/>
        <v>0</v>
      </c>
      <c r="Q3163" s="88">
        <f t="shared" si="508"/>
        <v>0</v>
      </c>
      <c r="R3163" s="88" t="e">
        <f>-IF(Tabla14[[#This Row],[DIAS HABILES O MORA]]&lt;0,(Tabla14[[#This Row],[VALOR PRESTAMO]]*Tabla14[[#This Row],[% INTERES ]]/30*U3163))+Tabla14[[#This Row],[VALOR CUOTAS]]</f>
        <v>#VALUE!</v>
      </c>
      <c r="S3163" s="88">
        <f>-IF(Tabla14[[#This Row],[DIAS HABILES O MORA]]&lt;0,(Tabla14[[#This Row],[VALOR PRESTAMO]]*Tabla14[[#This Row],[% INTERES ]]/30*U3163))</f>
        <v>0</v>
      </c>
      <c r="T3163" s="53" t="e">
        <f>Tabla14[[#This Row],[DEUDA CAPITAL]]+Tabla14[[#This Row],[INTERES  CUOTA]]</f>
        <v>#NUM!</v>
      </c>
      <c r="U3163" s="61" t="str">
        <f t="shared" si="509"/>
        <v/>
      </c>
    </row>
    <row r="3164" spans="9:21" ht="24.75" customHeight="1" x14ac:dyDescent="0.35">
      <c r="I3164" s="42">
        <f t="shared" si="500"/>
        <v>0</v>
      </c>
      <c r="J3164" s="65" t="e">
        <f t="shared" si="501"/>
        <v>#NUM!</v>
      </c>
      <c r="K3164" s="83" t="e">
        <f t="shared" si="502"/>
        <v>#NUM!</v>
      </c>
      <c r="L3164" s="83">
        <f t="shared" si="503"/>
        <v>0</v>
      </c>
      <c r="M3164" s="110" t="str">
        <f t="shared" si="504"/>
        <v/>
      </c>
      <c r="N3164" s="51" t="str">
        <f t="shared" si="505"/>
        <v/>
      </c>
      <c r="O3164" s="52" t="str">
        <f t="shared" si="506"/>
        <v/>
      </c>
      <c r="P3164" s="88">
        <f t="shared" si="507"/>
        <v>0</v>
      </c>
      <c r="Q3164" s="88">
        <f t="shared" si="508"/>
        <v>0</v>
      </c>
      <c r="R3164" s="88" t="e">
        <f>-IF(Tabla14[[#This Row],[DIAS HABILES O MORA]]&lt;0,(Tabla14[[#This Row],[VALOR PRESTAMO]]*Tabla14[[#This Row],[% INTERES ]]/30*U3164))+Tabla14[[#This Row],[VALOR CUOTAS]]</f>
        <v>#VALUE!</v>
      </c>
      <c r="S3164" s="88">
        <f>-IF(Tabla14[[#This Row],[DIAS HABILES O MORA]]&lt;0,(Tabla14[[#This Row],[VALOR PRESTAMO]]*Tabla14[[#This Row],[% INTERES ]]/30*U3164))</f>
        <v>0</v>
      </c>
      <c r="T3164" s="53" t="e">
        <f>Tabla14[[#This Row],[DEUDA CAPITAL]]+Tabla14[[#This Row],[INTERES  CUOTA]]</f>
        <v>#NUM!</v>
      </c>
      <c r="U3164" s="61" t="str">
        <f t="shared" si="509"/>
        <v/>
      </c>
    </row>
    <row r="3165" spans="9:21" ht="24.75" customHeight="1" x14ac:dyDescent="0.35">
      <c r="I3165" s="42">
        <f t="shared" si="500"/>
        <v>0</v>
      </c>
      <c r="J3165" s="65" t="e">
        <f t="shared" si="501"/>
        <v>#NUM!</v>
      </c>
      <c r="K3165" s="83" t="e">
        <f t="shared" si="502"/>
        <v>#NUM!</v>
      </c>
      <c r="L3165" s="83">
        <f t="shared" si="503"/>
        <v>0</v>
      </c>
      <c r="M3165" s="110" t="str">
        <f t="shared" si="504"/>
        <v/>
      </c>
      <c r="N3165" s="51" t="str">
        <f t="shared" si="505"/>
        <v/>
      </c>
      <c r="O3165" s="52" t="str">
        <f t="shared" si="506"/>
        <v/>
      </c>
      <c r="P3165" s="88">
        <f t="shared" si="507"/>
        <v>0</v>
      </c>
      <c r="Q3165" s="88">
        <f t="shared" si="508"/>
        <v>0</v>
      </c>
      <c r="R3165" s="88" t="e">
        <f>-IF(Tabla14[[#This Row],[DIAS HABILES O MORA]]&lt;0,(Tabla14[[#This Row],[VALOR PRESTAMO]]*Tabla14[[#This Row],[% INTERES ]]/30*U3165))+Tabla14[[#This Row],[VALOR CUOTAS]]</f>
        <v>#VALUE!</v>
      </c>
      <c r="S3165" s="88">
        <f>-IF(Tabla14[[#This Row],[DIAS HABILES O MORA]]&lt;0,(Tabla14[[#This Row],[VALOR PRESTAMO]]*Tabla14[[#This Row],[% INTERES ]]/30*U3165))</f>
        <v>0</v>
      </c>
      <c r="T3165" s="53" t="e">
        <f>Tabla14[[#This Row],[DEUDA CAPITAL]]+Tabla14[[#This Row],[INTERES  CUOTA]]</f>
        <v>#NUM!</v>
      </c>
      <c r="U3165" s="61" t="str">
        <f t="shared" si="509"/>
        <v/>
      </c>
    </row>
    <row r="3166" spans="9:21" ht="24.75" customHeight="1" x14ac:dyDescent="0.35">
      <c r="I3166" s="42">
        <f t="shared" si="500"/>
        <v>0</v>
      </c>
      <c r="J3166" s="65" t="e">
        <f t="shared" si="501"/>
        <v>#NUM!</v>
      </c>
      <c r="K3166" s="83" t="e">
        <f t="shared" si="502"/>
        <v>#NUM!</v>
      </c>
      <c r="L3166" s="83">
        <f t="shared" si="503"/>
        <v>0</v>
      </c>
      <c r="M3166" s="110" t="str">
        <f t="shared" si="504"/>
        <v/>
      </c>
      <c r="N3166" s="51" t="str">
        <f t="shared" si="505"/>
        <v/>
      </c>
      <c r="O3166" s="52" t="str">
        <f t="shared" si="506"/>
        <v/>
      </c>
      <c r="P3166" s="88">
        <f t="shared" si="507"/>
        <v>0</v>
      </c>
      <c r="Q3166" s="88">
        <f t="shared" si="508"/>
        <v>0</v>
      </c>
      <c r="R3166" s="88" t="e">
        <f>-IF(Tabla14[[#This Row],[DIAS HABILES O MORA]]&lt;0,(Tabla14[[#This Row],[VALOR PRESTAMO]]*Tabla14[[#This Row],[% INTERES ]]/30*U3166))+Tabla14[[#This Row],[VALOR CUOTAS]]</f>
        <v>#VALUE!</v>
      </c>
      <c r="S3166" s="88">
        <f>-IF(Tabla14[[#This Row],[DIAS HABILES O MORA]]&lt;0,(Tabla14[[#This Row],[VALOR PRESTAMO]]*Tabla14[[#This Row],[% INTERES ]]/30*U3166))</f>
        <v>0</v>
      </c>
      <c r="T3166" s="53" t="e">
        <f>Tabla14[[#This Row],[DEUDA CAPITAL]]+Tabla14[[#This Row],[INTERES  CUOTA]]</f>
        <v>#NUM!</v>
      </c>
      <c r="U3166" s="61" t="str">
        <f t="shared" si="509"/>
        <v/>
      </c>
    </row>
    <row r="3167" spans="9:21" ht="24.75" customHeight="1" x14ac:dyDescent="0.35">
      <c r="I3167" s="42">
        <f t="shared" si="500"/>
        <v>0</v>
      </c>
      <c r="J3167" s="65" t="e">
        <f t="shared" si="501"/>
        <v>#NUM!</v>
      </c>
      <c r="K3167" s="83" t="e">
        <f t="shared" si="502"/>
        <v>#NUM!</v>
      </c>
      <c r="L3167" s="83">
        <f t="shared" si="503"/>
        <v>0</v>
      </c>
      <c r="M3167" s="110" t="str">
        <f t="shared" si="504"/>
        <v/>
      </c>
      <c r="N3167" s="51" t="str">
        <f t="shared" si="505"/>
        <v/>
      </c>
      <c r="O3167" s="52" t="str">
        <f t="shared" si="506"/>
        <v/>
      </c>
      <c r="P3167" s="88">
        <f t="shared" si="507"/>
        <v>0</v>
      </c>
      <c r="Q3167" s="88">
        <f t="shared" si="508"/>
        <v>0</v>
      </c>
      <c r="R3167" s="88" t="e">
        <f>-IF(Tabla14[[#This Row],[DIAS HABILES O MORA]]&lt;0,(Tabla14[[#This Row],[VALOR PRESTAMO]]*Tabla14[[#This Row],[% INTERES ]]/30*U3167))+Tabla14[[#This Row],[VALOR CUOTAS]]</f>
        <v>#VALUE!</v>
      </c>
      <c r="S3167" s="88">
        <f>-IF(Tabla14[[#This Row],[DIAS HABILES O MORA]]&lt;0,(Tabla14[[#This Row],[VALOR PRESTAMO]]*Tabla14[[#This Row],[% INTERES ]]/30*U3167))</f>
        <v>0</v>
      </c>
      <c r="T3167" s="53" t="e">
        <f>Tabla14[[#This Row],[DEUDA CAPITAL]]+Tabla14[[#This Row],[INTERES  CUOTA]]</f>
        <v>#NUM!</v>
      </c>
      <c r="U3167" s="61" t="str">
        <f t="shared" si="509"/>
        <v/>
      </c>
    </row>
    <row r="3168" spans="9:21" ht="24.75" customHeight="1" x14ac:dyDescent="0.35">
      <c r="I3168" s="42">
        <f t="shared" si="500"/>
        <v>0</v>
      </c>
      <c r="J3168" s="65" t="e">
        <f t="shared" si="501"/>
        <v>#NUM!</v>
      </c>
      <c r="K3168" s="83" t="e">
        <f t="shared" si="502"/>
        <v>#NUM!</v>
      </c>
      <c r="L3168" s="83">
        <f t="shared" si="503"/>
        <v>0</v>
      </c>
      <c r="M3168" s="110" t="str">
        <f t="shared" si="504"/>
        <v/>
      </c>
      <c r="N3168" s="51" t="str">
        <f t="shared" si="505"/>
        <v/>
      </c>
      <c r="O3168" s="52" t="str">
        <f t="shared" si="506"/>
        <v/>
      </c>
      <c r="P3168" s="88">
        <f t="shared" si="507"/>
        <v>0</v>
      </c>
      <c r="Q3168" s="88">
        <f t="shared" si="508"/>
        <v>0</v>
      </c>
      <c r="R3168" s="88" t="e">
        <f>-IF(Tabla14[[#This Row],[DIAS HABILES O MORA]]&lt;0,(Tabla14[[#This Row],[VALOR PRESTAMO]]*Tabla14[[#This Row],[% INTERES ]]/30*U3168))+Tabla14[[#This Row],[VALOR CUOTAS]]</f>
        <v>#VALUE!</v>
      </c>
      <c r="S3168" s="88">
        <f>-IF(Tabla14[[#This Row],[DIAS HABILES O MORA]]&lt;0,(Tabla14[[#This Row],[VALOR PRESTAMO]]*Tabla14[[#This Row],[% INTERES ]]/30*U3168))</f>
        <v>0</v>
      </c>
      <c r="T3168" s="53" t="e">
        <f>Tabla14[[#This Row],[DEUDA CAPITAL]]+Tabla14[[#This Row],[INTERES  CUOTA]]</f>
        <v>#NUM!</v>
      </c>
      <c r="U3168" s="61" t="str">
        <f t="shared" si="509"/>
        <v/>
      </c>
    </row>
    <row r="3169" spans="9:21" ht="24.75" customHeight="1" x14ac:dyDescent="0.35">
      <c r="I3169" s="42">
        <f t="shared" si="500"/>
        <v>0</v>
      </c>
      <c r="J3169" s="65" t="e">
        <f t="shared" si="501"/>
        <v>#NUM!</v>
      </c>
      <c r="K3169" s="83" t="e">
        <f t="shared" si="502"/>
        <v>#NUM!</v>
      </c>
      <c r="L3169" s="83">
        <f t="shared" si="503"/>
        <v>0</v>
      </c>
      <c r="M3169" s="110" t="str">
        <f t="shared" si="504"/>
        <v/>
      </c>
      <c r="N3169" s="51" t="str">
        <f t="shared" si="505"/>
        <v/>
      </c>
      <c r="O3169" s="52" t="str">
        <f t="shared" si="506"/>
        <v/>
      </c>
      <c r="P3169" s="88">
        <f t="shared" si="507"/>
        <v>0</v>
      </c>
      <c r="Q3169" s="88">
        <f t="shared" si="508"/>
        <v>0</v>
      </c>
      <c r="R3169" s="88" t="e">
        <f>-IF(Tabla14[[#This Row],[DIAS HABILES O MORA]]&lt;0,(Tabla14[[#This Row],[VALOR PRESTAMO]]*Tabla14[[#This Row],[% INTERES ]]/30*U3169))+Tabla14[[#This Row],[VALOR CUOTAS]]</f>
        <v>#VALUE!</v>
      </c>
      <c r="S3169" s="88">
        <f>-IF(Tabla14[[#This Row],[DIAS HABILES O MORA]]&lt;0,(Tabla14[[#This Row],[VALOR PRESTAMO]]*Tabla14[[#This Row],[% INTERES ]]/30*U3169))</f>
        <v>0</v>
      </c>
      <c r="T3169" s="53" t="e">
        <f>Tabla14[[#This Row],[DEUDA CAPITAL]]+Tabla14[[#This Row],[INTERES  CUOTA]]</f>
        <v>#NUM!</v>
      </c>
      <c r="U3169" s="61" t="str">
        <f t="shared" si="509"/>
        <v/>
      </c>
    </row>
    <row r="3170" spans="9:21" ht="24.75" customHeight="1" x14ac:dyDescent="0.35">
      <c r="I3170" s="42">
        <f t="shared" si="500"/>
        <v>0</v>
      </c>
      <c r="J3170" s="65" t="e">
        <f t="shared" si="501"/>
        <v>#NUM!</v>
      </c>
      <c r="K3170" s="83" t="e">
        <f t="shared" si="502"/>
        <v>#NUM!</v>
      </c>
      <c r="L3170" s="83">
        <f t="shared" si="503"/>
        <v>0</v>
      </c>
      <c r="M3170" s="110" t="str">
        <f t="shared" si="504"/>
        <v/>
      </c>
      <c r="N3170" s="51" t="str">
        <f t="shared" si="505"/>
        <v/>
      </c>
      <c r="O3170" s="52" t="str">
        <f t="shared" si="506"/>
        <v/>
      </c>
      <c r="P3170" s="88">
        <f t="shared" si="507"/>
        <v>0</v>
      </c>
      <c r="Q3170" s="88">
        <f t="shared" si="508"/>
        <v>0</v>
      </c>
      <c r="R3170" s="88" t="e">
        <f>-IF(Tabla14[[#This Row],[DIAS HABILES O MORA]]&lt;0,(Tabla14[[#This Row],[VALOR PRESTAMO]]*Tabla14[[#This Row],[% INTERES ]]/30*U3170))+Tabla14[[#This Row],[VALOR CUOTAS]]</f>
        <v>#VALUE!</v>
      </c>
      <c r="S3170" s="88">
        <f>-IF(Tabla14[[#This Row],[DIAS HABILES O MORA]]&lt;0,(Tabla14[[#This Row],[VALOR PRESTAMO]]*Tabla14[[#This Row],[% INTERES ]]/30*U3170))</f>
        <v>0</v>
      </c>
      <c r="T3170" s="53" t="e">
        <f>Tabla14[[#This Row],[DEUDA CAPITAL]]+Tabla14[[#This Row],[INTERES  CUOTA]]</f>
        <v>#NUM!</v>
      </c>
      <c r="U3170" s="61" t="str">
        <f t="shared" si="509"/>
        <v/>
      </c>
    </row>
    <row r="3171" spans="9:21" ht="24.75" customHeight="1" x14ac:dyDescent="0.35">
      <c r="I3171" s="42">
        <f t="shared" si="500"/>
        <v>0</v>
      </c>
      <c r="J3171" s="65" t="e">
        <f t="shared" si="501"/>
        <v>#NUM!</v>
      </c>
      <c r="K3171" s="83" t="e">
        <f t="shared" si="502"/>
        <v>#NUM!</v>
      </c>
      <c r="L3171" s="83">
        <f t="shared" si="503"/>
        <v>0</v>
      </c>
      <c r="M3171" s="110" t="str">
        <f t="shared" si="504"/>
        <v/>
      </c>
      <c r="N3171" s="51" t="str">
        <f t="shared" si="505"/>
        <v/>
      </c>
      <c r="O3171" s="52" t="str">
        <f t="shared" si="506"/>
        <v/>
      </c>
      <c r="P3171" s="88">
        <f t="shared" si="507"/>
        <v>0</v>
      </c>
      <c r="Q3171" s="88">
        <f t="shared" si="508"/>
        <v>0</v>
      </c>
      <c r="R3171" s="88" t="e">
        <f>-IF(Tabla14[[#This Row],[DIAS HABILES O MORA]]&lt;0,(Tabla14[[#This Row],[VALOR PRESTAMO]]*Tabla14[[#This Row],[% INTERES ]]/30*U3171))+Tabla14[[#This Row],[VALOR CUOTAS]]</f>
        <v>#VALUE!</v>
      </c>
      <c r="S3171" s="88">
        <f>-IF(Tabla14[[#This Row],[DIAS HABILES O MORA]]&lt;0,(Tabla14[[#This Row],[VALOR PRESTAMO]]*Tabla14[[#This Row],[% INTERES ]]/30*U3171))</f>
        <v>0</v>
      </c>
      <c r="T3171" s="53" t="e">
        <f>Tabla14[[#This Row],[DEUDA CAPITAL]]+Tabla14[[#This Row],[INTERES  CUOTA]]</f>
        <v>#NUM!</v>
      </c>
      <c r="U3171" s="61" t="str">
        <f t="shared" si="509"/>
        <v/>
      </c>
    </row>
    <row r="3172" spans="9:21" ht="24.75" customHeight="1" x14ac:dyDescent="0.35">
      <c r="I3172" s="42">
        <f t="shared" si="500"/>
        <v>0</v>
      </c>
      <c r="J3172" s="65" t="e">
        <f t="shared" si="501"/>
        <v>#NUM!</v>
      </c>
      <c r="K3172" s="83" t="e">
        <f t="shared" si="502"/>
        <v>#NUM!</v>
      </c>
      <c r="L3172" s="83">
        <f t="shared" si="503"/>
        <v>0</v>
      </c>
      <c r="M3172" s="110" t="str">
        <f t="shared" si="504"/>
        <v/>
      </c>
      <c r="N3172" s="51" t="str">
        <f t="shared" si="505"/>
        <v/>
      </c>
      <c r="O3172" s="52" t="str">
        <f t="shared" si="506"/>
        <v/>
      </c>
      <c r="P3172" s="88">
        <f t="shared" si="507"/>
        <v>0</v>
      </c>
      <c r="Q3172" s="88">
        <f t="shared" si="508"/>
        <v>0</v>
      </c>
      <c r="R3172" s="88" t="e">
        <f>-IF(Tabla14[[#This Row],[DIAS HABILES O MORA]]&lt;0,(Tabla14[[#This Row],[VALOR PRESTAMO]]*Tabla14[[#This Row],[% INTERES ]]/30*U3172))+Tabla14[[#This Row],[VALOR CUOTAS]]</f>
        <v>#VALUE!</v>
      </c>
      <c r="S3172" s="88">
        <f>-IF(Tabla14[[#This Row],[DIAS HABILES O MORA]]&lt;0,(Tabla14[[#This Row],[VALOR PRESTAMO]]*Tabla14[[#This Row],[% INTERES ]]/30*U3172))</f>
        <v>0</v>
      </c>
      <c r="T3172" s="53" t="e">
        <f>Tabla14[[#This Row],[DEUDA CAPITAL]]+Tabla14[[#This Row],[INTERES  CUOTA]]</f>
        <v>#NUM!</v>
      </c>
      <c r="U3172" s="61" t="str">
        <f t="shared" si="509"/>
        <v/>
      </c>
    </row>
    <row r="3173" spans="9:21" ht="24.75" customHeight="1" x14ac:dyDescent="0.35">
      <c r="I3173" s="42">
        <f t="shared" si="500"/>
        <v>0</v>
      </c>
      <c r="J3173" s="65" t="e">
        <f t="shared" si="501"/>
        <v>#NUM!</v>
      </c>
      <c r="K3173" s="83" t="e">
        <f t="shared" si="502"/>
        <v>#NUM!</v>
      </c>
      <c r="L3173" s="83">
        <f t="shared" si="503"/>
        <v>0</v>
      </c>
      <c r="M3173" s="110" t="str">
        <f t="shared" si="504"/>
        <v/>
      </c>
      <c r="N3173" s="51" t="str">
        <f t="shared" si="505"/>
        <v/>
      </c>
      <c r="O3173" s="52" t="str">
        <f t="shared" si="506"/>
        <v/>
      </c>
      <c r="P3173" s="88">
        <f t="shared" si="507"/>
        <v>0</v>
      </c>
      <c r="Q3173" s="88">
        <f t="shared" si="508"/>
        <v>0</v>
      </c>
      <c r="R3173" s="88" t="e">
        <f>-IF(Tabla14[[#This Row],[DIAS HABILES O MORA]]&lt;0,(Tabla14[[#This Row],[VALOR PRESTAMO]]*Tabla14[[#This Row],[% INTERES ]]/30*U3173))+Tabla14[[#This Row],[VALOR CUOTAS]]</f>
        <v>#VALUE!</v>
      </c>
      <c r="S3173" s="88">
        <f>-IF(Tabla14[[#This Row],[DIAS HABILES O MORA]]&lt;0,(Tabla14[[#This Row],[VALOR PRESTAMO]]*Tabla14[[#This Row],[% INTERES ]]/30*U3173))</f>
        <v>0</v>
      </c>
      <c r="T3173" s="53" t="e">
        <f>Tabla14[[#This Row],[DEUDA CAPITAL]]+Tabla14[[#This Row],[INTERES  CUOTA]]</f>
        <v>#NUM!</v>
      </c>
      <c r="U3173" s="61" t="str">
        <f t="shared" si="509"/>
        <v/>
      </c>
    </row>
    <row r="3174" spans="9:21" ht="24.75" customHeight="1" x14ac:dyDescent="0.35">
      <c r="I3174" s="42">
        <f t="shared" si="500"/>
        <v>0</v>
      </c>
      <c r="J3174" s="65" t="e">
        <f t="shared" si="501"/>
        <v>#NUM!</v>
      </c>
      <c r="K3174" s="83" t="e">
        <f t="shared" si="502"/>
        <v>#NUM!</v>
      </c>
      <c r="L3174" s="83">
        <f t="shared" si="503"/>
        <v>0</v>
      </c>
      <c r="M3174" s="110" t="str">
        <f t="shared" si="504"/>
        <v/>
      </c>
      <c r="N3174" s="51" t="str">
        <f t="shared" si="505"/>
        <v/>
      </c>
      <c r="O3174" s="52" t="str">
        <f t="shared" si="506"/>
        <v/>
      </c>
      <c r="P3174" s="88">
        <f t="shared" si="507"/>
        <v>0</v>
      </c>
      <c r="Q3174" s="88">
        <f t="shared" si="508"/>
        <v>0</v>
      </c>
      <c r="R3174" s="88" t="e">
        <f>-IF(Tabla14[[#This Row],[DIAS HABILES O MORA]]&lt;0,(Tabla14[[#This Row],[VALOR PRESTAMO]]*Tabla14[[#This Row],[% INTERES ]]/30*U3174))+Tabla14[[#This Row],[VALOR CUOTAS]]</f>
        <v>#VALUE!</v>
      </c>
      <c r="S3174" s="88">
        <f>-IF(Tabla14[[#This Row],[DIAS HABILES O MORA]]&lt;0,(Tabla14[[#This Row],[VALOR PRESTAMO]]*Tabla14[[#This Row],[% INTERES ]]/30*U3174))</f>
        <v>0</v>
      </c>
      <c r="T3174" s="53" t="e">
        <f>Tabla14[[#This Row],[DEUDA CAPITAL]]+Tabla14[[#This Row],[INTERES  CUOTA]]</f>
        <v>#NUM!</v>
      </c>
      <c r="U3174" s="61" t="str">
        <f t="shared" si="509"/>
        <v/>
      </c>
    </row>
    <row r="3175" spans="9:21" ht="24.75" customHeight="1" x14ac:dyDescent="0.35">
      <c r="I3175" s="42">
        <f t="shared" si="500"/>
        <v>0</v>
      </c>
      <c r="J3175" s="65" t="e">
        <f t="shared" si="501"/>
        <v>#NUM!</v>
      </c>
      <c r="K3175" s="83" t="e">
        <f t="shared" si="502"/>
        <v>#NUM!</v>
      </c>
      <c r="L3175" s="83">
        <f t="shared" si="503"/>
        <v>0</v>
      </c>
      <c r="M3175" s="110" t="str">
        <f t="shared" si="504"/>
        <v/>
      </c>
      <c r="N3175" s="51" t="str">
        <f t="shared" si="505"/>
        <v/>
      </c>
      <c r="O3175" s="52" t="str">
        <f t="shared" si="506"/>
        <v/>
      </c>
      <c r="P3175" s="88">
        <f t="shared" si="507"/>
        <v>0</v>
      </c>
      <c r="Q3175" s="88">
        <f t="shared" si="508"/>
        <v>0</v>
      </c>
      <c r="R3175" s="88" t="e">
        <f>-IF(Tabla14[[#This Row],[DIAS HABILES O MORA]]&lt;0,(Tabla14[[#This Row],[VALOR PRESTAMO]]*Tabla14[[#This Row],[% INTERES ]]/30*U3175))+Tabla14[[#This Row],[VALOR CUOTAS]]</f>
        <v>#VALUE!</v>
      </c>
      <c r="S3175" s="88">
        <f>-IF(Tabla14[[#This Row],[DIAS HABILES O MORA]]&lt;0,(Tabla14[[#This Row],[VALOR PRESTAMO]]*Tabla14[[#This Row],[% INTERES ]]/30*U3175))</f>
        <v>0</v>
      </c>
      <c r="T3175" s="53" t="e">
        <f>Tabla14[[#This Row],[DEUDA CAPITAL]]+Tabla14[[#This Row],[INTERES  CUOTA]]</f>
        <v>#NUM!</v>
      </c>
      <c r="U3175" s="61" t="str">
        <f t="shared" si="509"/>
        <v/>
      </c>
    </row>
    <row r="3176" spans="9:21" ht="24.75" customHeight="1" x14ac:dyDescent="0.35">
      <c r="I3176" s="42">
        <f t="shared" si="500"/>
        <v>0</v>
      </c>
      <c r="J3176" s="65" t="e">
        <f t="shared" si="501"/>
        <v>#NUM!</v>
      </c>
      <c r="K3176" s="83" t="e">
        <f t="shared" si="502"/>
        <v>#NUM!</v>
      </c>
      <c r="L3176" s="83">
        <f t="shared" si="503"/>
        <v>0</v>
      </c>
      <c r="M3176" s="110" t="str">
        <f t="shared" si="504"/>
        <v/>
      </c>
      <c r="N3176" s="51" t="str">
        <f t="shared" si="505"/>
        <v/>
      </c>
      <c r="O3176" s="52" t="str">
        <f t="shared" si="506"/>
        <v/>
      </c>
      <c r="P3176" s="88">
        <f t="shared" si="507"/>
        <v>0</v>
      </c>
      <c r="Q3176" s="88">
        <f t="shared" si="508"/>
        <v>0</v>
      </c>
      <c r="R3176" s="88" t="e">
        <f>-IF(Tabla14[[#This Row],[DIAS HABILES O MORA]]&lt;0,(Tabla14[[#This Row],[VALOR PRESTAMO]]*Tabla14[[#This Row],[% INTERES ]]/30*U3176))+Tabla14[[#This Row],[VALOR CUOTAS]]</f>
        <v>#VALUE!</v>
      </c>
      <c r="S3176" s="88">
        <f>-IF(Tabla14[[#This Row],[DIAS HABILES O MORA]]&lt;0,(Tabla14[[#This Row],[VALOR PRESTAMO]]*Tabla14[[#This Row],[% INTERES ]]/30*U3176))</f>
        <v>0</v>
      </c>
      <c r="T3176" s="53" t="e">
        <f>Tabla14[[#This Row],[DEUDA CAPITAL]]+Tabla14[[#This Row],[INTERES  CUOTA]]</f>
        <v>#NUM!</v>
      </c>
      <c r="U3176" s="61" t="str">
        <f t="shared" si="509"/>
        <v/>
      </c>
    </row>
    <row r="3177" spans="9:21" ht="24.75" customHeight="1" x14ac:dyDescent="0.35">
      <c r="I3177" s="42">
        <f t="shared" si="500"/>
        <v>0</v>
      </c>
      <c r="J3177" s="65" t="e">
        <f t="shared" si="501"/>
        <v>#NUM!</v>
      </c>
      <c r="K3177" s="83" t="e">
        <f t="shared" si="502"/>
        <v>#NUM!</v>
      </c>
      <c r="L3177" s="83">
        <f t="shared" si="503"/>
        <v>0</v>
      </c>
      <c r="M3177" s="110" t="str">
        <f t="shared" si="504"/>
        <v/>
      </c>
      <c r="N3177" s="51" t="str">
        <f t="shared" si="505"/>
        <v/>
      </c>
      <c r="O3177" s="52" t="str">
        <f t="shared" si="506"/>
        <v/>
      </c>
      <c r="P3177" s="88">
        <f t="shared" si="507"/>
        <v>0</v>
      </c>
      <c r="Q3177" s="88">
        <f t="shared" si="508"/>
        <v>0</v>
      </c>
      <c r="R3177" s="88" t="e">
        <f>-IF(Tabla14[[#This Row],[DIAS HABILES O MORA]]&lt;0,(Tabla14[[#This Row],[VALOR PRESTAMO]]*Tabla14[[#This Row],[% INTERES ]]/30*U3177))+Tabla14[[#This Row],[VALOR CUOTAS]]</f>
        <v>#VALUE!</v>
      </c>
      <c r="S3177" s="88">
        <f>-IF(Tabla14[[#This Row],[DIAS HABILES O MORA]]&lt;0,(Tabla14[[#This Row],[VALOR PRESTAMO]]*Tabla14[[#This Row],[% INTERES ]]/30*U3177))</f>
        <v>0</v>
      </c>
      <c r="T3177" s="53" t="e">
        <f>Tabla14[[#This Row],[DEUDA CAPITAL]]+Tabla14[[#This Row],[INTERES  CUOTA]]</f>
        <v>#NUM!</v>
      </c>
      <c r="U3177" s="61" t="str">
        <f t="shared" si="509"/>
        <v/>
      </c>
    </row>
    <row r="3178" spans="9:21" ht="24.75" customHeight="1" x14ac:dyDescent="0.35">
      <c r="I3178" s="42">
        <f t="shared" si="500"/>
        <v>0</v>
      </c>
      <c r="J3178" s="65" t="e">
        <f t="shared" si="501"/>
        <v>#NUM!</v>
      </c>
      <c r="K3178" s="83" t="e">
        <f t="shared" si="502"/>
        <v>#NUM!</v>
      </c>
      <c r="L3178" s="83">
        <f t="shared" si="503"/>
        <v>0</v>
      </c>
      <c r="M3178" s="110" t="str">
        <f t="shared" si="504"/>
        <v/>
      </c>
      <c r="N3178" s="51" t="str">
        <f t="shared" si="505"/>
        <v/>
      </c>
      <c r="O3178" s="52" t="str">
        <f t="shared" si="506"/>
        <v/>
      </c>
      <c r="P3178" s="88">
        <f t="shared" si="507"/>
        <v>0</v>
      </c>
      <c r="Q3178" s="88">
        <f t="shared" si="508"/>
        <v>0</v>
      </c>
      <c r="R3178" s="88" t="e">
        <f>-IF(Tabla14[[#This Row],[DIAS HABILES O MORA]]&lt;0,(Tabla14[[#This Row],[VALOR PRESTAMO]]*Tabla14[[#This Row],[% INTERES ]]/30*U3178))+Tabla14[[#This Row],[VALOR CUOTAS]]</f>
        <v>#VALUE!</v>
      </c>
      <c r="S3178" s="88">
        <f>-IF(Tabla14[[#This Row],[DIAS HABILES O MORA]]&lt;0,(Tabla14[[#This Row],[VALOR PRESTAMO]]*Tabla14[[#This Row],[% INTERES ]]/30*U3178))</f>
        <v>0</v>
      </c>
      <c r="T3178" s="53" t="e">
        <f>Tabla14[[#This Row],[DEUDA CAPITAL]]+Tabla14[[#This Row],[INTERES  CUOTA]]</f>
        <v>#NUM!</v>
      </c>
      <c r="U3178" s="61" t="str">
        <f t="shared" si="509"/>
        <v/>
      </c>
    </row>
    <row r="3179" spans="9:21" ht="24.75" customHeight="1" x14ac:dyDescent="0.35">
      <c r="I3179" s="42">
        <f t="shared" si="500"/>
        <v>0</v>
      </c>
      <c r="J3179" s="65" t="e">
        <f t="shared" si="501"/>
        <v>#NUM!</v>
      </c>
      <c r="K3179" s="83" t="e">
        <f t="shared" si="502"/>
        <v>#NUM!</v>
      </c>
      <c r="L3179" s="83">
        <f t="shared" si="503"/>
        <v>0</v>
      </c>
      <c r="M3179" s="110" t="str">
        <f t="shared" si="504"/>
        <v/>
      </c>
      <c r="N3179" s="51" t="str">
        <f t="shared" si="505"/>
        <v/>
      </c>
      <c r="O3179" s="52" t="str">
        <f t="shared" si="506"/>
        <v/>
      </c>
      <c r="P3179" s="88">
        <f t="shared" si="507"/>
        <v>0</v>
      </c>
      <c r="Q3179" s="88">
        <f t="shared" si="508"/>
        <v>0</v>
      </c>
      <c r="R3179" s="88" t="e">
        <f>-IF(Tabla14[[#This Row],[DIAS HABILES O MORA]]&lt;0,(Tabla14[[#This Row],[VALOR PRESTAMO]]*Tabla14[[#This Row],[% INTERES ]]/30*U3179))+Tabla14[[#This Row],[VALOR CUOTAS]]</f>
        <v>#VALUE!</v>
      </c>
      <c r="S3179" s="88">
        <f>-IF(Tabla14[[#This Row],[DIAS HABILES O MORA]]&lt;0,(Tabla14[[#This Row],[VALOR PRESTAMO]]*Tabla14[[#This Row],[% INTERES ]]/30*U3179))</f>
        <v>0</v>
      </c>
      <c r="T3179" s="53" t="e">
        <f>Tabla14[[#This Row],[DEUDA CAPITAL]]+Tabla14[[#This Row],[INTERES  CUOTA]]</f>
        <v>#NUM!</v>
      </c>
      <c r="U3179" s="61" t="str">
        <f t="shared" si="509"/>
        <v/>
      </c>
    </row>
    <row r="3180" spans="9:21" ht="24.75" customHeight="1" x14ac:dyDescent="0.35">
      <c r="I3180" s="42">
        <f t="shared" si="500"/>
        <v>0</v>
      </c>
      <c r="J3180" s="65" t="e">
        <f t="shared" si="501"/>
        <v>#NUM!</v>
      </c>
      <c r="K3180" s="83" t="e">
        <f t="shared" si="502"/>
        <v>#NUM!</v>
      </c>
      <c r="L3180" s="83">
        <f t="shared" si="503"/>
        <v>0</v>
      </c>
      <c r="M3180" s="110" t="str">
        <f t="shared" si="504"/>
        <v/>
      </c>
      <c r="N3180" s="51" t="str">
        <f t="shared" si="505"/>
        <v/>
      </c>
      <c r="O3180" s="52" t="str">
        <f t="shared" si="506"/>
        <v/>
      </c>
      <c r="P3180" s="88">
        <f t="shared" si="507"/>
        <v>0</v>
      </c>
      <c r="Q3180" s="88">
        <f t="shared" si="508"/>
        <v>0</v>
      </c>
      <c r="R3180" s="88" t="e">
        <f>-IF(Tabla14[[#This Row],[DIAS HABILES O MORA]]&lt;0,(Tabla14[[#This Row],[VALOR PRESTAMO]]*Tabla14[[#This Row],[% INTERES ]]/30*U3180))+Tabla14[[#This Row],[VALOR CUOTAS]]</f>
        <v>#VALUE!</v>
      </c>
      <c r="S3180" s="88">
        <f>-IF(Tabla14[[#This Row],[DIAS HABILES O MORA]]&lt;0,(Tabla14[[#This Row],[VALOR PRESTAMO]]*Tabla14[[#This Row],[% INTERES ]]/30*U3180))</f>
        <v>0</v>
      </c>
      <c r="T3180" s="53" t="e">
        <f>Tabla14[[#This Row],[DEUDA CAPITAL]]+Tabla14[[#This Row],[INTERES  CUOTA]]</f>
        <v>#NUM!</v>
      </c>
      <c r="U3180" s="61" t="str">
        <f t="shared" si="509"/>
        <v/>
      </c>
    </row>
    <row r="3181" spans="9:21" ht="24.75" customHeight="1" x14ac:dyDescent="0.35">
      <c r="I3181" s="42">
        <f t="shared" si="500"/>
        <v>0</v>
      </c>
      <c r="J3181" s="65" t="e">
        <f t="shared" si="501"/>
        <v>#NUM!</v>
      </c>
      <c r="K3181" s="83" t="e">
        <f t="shared" si="502"/>
        <v>#NUM!</v>
      </c>
      <c r="L3181" s="83">
        <f t="shared" si="503"/>
        <v>0</v>
      </c>
      <c r="M3181" s="110" t="str">
        <f t="shared" si="504"/>
        <v/>
      </c>
      <c r="N3181" s="51" t="str">
        <f t="shared" si="505"/>
        <v/>
      </c>
      <c r="O3181" s="52" t="str">
        <f t="shared" si="506"/>
        <v/>
      </c>
      <c r="P3181" s="88">
        <f t="shared" si="507"/>
        <v>0</v>
      </c>
      <c r="Q3181" s="88">
        <f t="shared" si="508"/>
        <v>0</v>
      </c>
      <c r="R3181" s="88" t="e">
        <f>-IF(Tabla14[[#This Row],[DIAS HABILES O MORA]]&lt;0,(Tabla14[[#This Row],[VALOR PRESTAMO]]*Tabla14[[#This Row],[% INTERES ]]/30*U3181))+Tabla14[[#This Row],[VALOR CUOTAS]]</f>
        <v>#VALUE!</v>
      </c>
      <c r="S3181" s="88">
        <f>-IF(Tabla14[[#This Row],[DIAS HABILES O MORA]]&lt;0,(Tabla14[[#This Row],[VALOR PRESTAMO]]*Tabla14[[#This Row],[% INTERES ]]/30*U3181))</f>
        <v>0</v>
      </c>
      <c r="T3181" s="53" t="e">
        <f>Tabla14[[#This Row],[DEUDA CAPITAL]]+Tabla14[[#This Row],[INTERES  CUOTA]]</f>
        <v>#NUM!</v>
      </c>
      <c r="U3181" s="61" t="str">
        <f t="shared" si="509"/>
        <v/>
      </c>
    </row>
    <row r="3182" spans="9:21" ht="24.75" customHeight="1" x14ac:dyDescent="0.35">
      <c r="I3182" s="42">
        <f t="shared" si="500"/>
        <v>0</v>
      </c>
      <c r="J3182" s="65" t="e">
        <f t="shared" si="501"/>
        <v>#NUM!</v>
      </c>
      <c r="K3182" s="83" t="e">
        <f t="shared" si="502"/>
        <v>#NUM!</v>
      </c>
      <c r="L3182" s="83">
        <f t="shared" si="503"/>
        <v>0</v>
      </c>
      <c r="M3182" s="110" t="str">
        <f t="shared" si="504"/>
        <v/>
      </c>
      <c r="N3182" s="51" t="str">
        <f t="shared" si="505"/>
        <v/>
      </c>
      <c r="O3182" s="52" t="str">
        <f t="shared" si="506"/>
        <v/>
      </c>
      <c r="P3182" s="88">
        <f t="shared" si="507"/>
        <v>0</v>
      </c>
      <c r="Q3182" s="88">
        <f t="shared" si="508"/>
        <v>0</v>
      </c>
      <c r="R3182" s="88" t="e">
        <f>-IF(Tabla14[[#This Row],[DIAS HABILES O MORA]]&lt;0,(Tabla14[[#This Row],[VALOR PRESTAMO]]*Tabla14[[#This Row],[% INTERES ]]/30*U3182))+Tabla14[[#This Row],[VALOR CUOTAS]]</f>
        <v>#VALUE!</v>
      </c>
      <c r="S3182" s="88">
        <f>-IF(Tabla14[[#This Row],[DIAS HABILES O MORA]]&lt;0,(Tabla14[[#This Row],[VALOR PRESTAMO]]*Tabla14[[#This Row],[% INTERES ]]/30*U3182))</f>
        <v>0</v>
      </c>
      <c r="T3182" s="53" t="e">
        <f>Tabla14[[#This Row],[DEUDA CAPITAL]]+Tabla14[[#This Row],[INTERES  CUOTA]]</f>
        <v>#NUM!</v>
      </c>
      <c r="U3182" s="61" t="str">
        <f t="shared" si="509"/>
        <v/>
      </c>
    </row>
    <row r="3183" spans="9:21" ht="24.75" customHeight="1" x14ac:dyDescent="0.35">
      <c r="I3183" s="42">
        <f t="shared" si="500"/>
        <v>0</v>
      </c>
      <c r="J3183" s="65" t="e">
        <f t="shared" si="501"/>
        <v>#NUM!</v>
      </c>
      <c r="K3183" s="83" t="e">
        <f t="shared" si="502"/>
        <v>#NUM!</v>
      </c>
      <c r="L3183" s="83">
        <f t="shared" si="503"/>
        <v>0</v>
      </c>
      <c r="M3183" s="110" t="str">
        <f t="shared" si="504"/>
        <v/>
      </c>
      <c r="N3183" s="51" t="str">
        <f t="shared" si="505"/>
        <v/>
      </c>
      <c r="O3183" s="52" t="str">
        <f t="shared" si="506"/>
        <v/>
      </c>
      <c r="P3183" s="88">
        <f t="shared" si="507"/>
        <v>0</v>
      </c>
      <c r="Q3183" s="88">
        <f t="shared" si="508"/>
        <v>0</v>
      </c>
      <c r="R3183" s="88" t="e">
        <f>-IF(Tabla14[[#This Row],[DIAS HABILES O MORA]]&lt;0,(Tabla14[[#This Row],[VALOR PRESTAMO]]*Tabla14[[#This Row],[% INTERES ]]/30*U3183))+Tabla14[[#This Row],[VALOR CUOTAS]]</f>
        <v>#VALUE!</v>
      </c>
      <c r="S3183" s="88">
        <f>-IF(Tabla14[[#This Row],[DIAS HABILES O MORA]]&lt;0,(Tabla14[[#This Row],[VALOR PRESTAMO]]*Tabla14[[#This Row],[% INTERES ]]/30*U3183))</f>
        <v>0</v>
      </c>
      <c r="T3183" s="53" t="e">
        <f>Tabla14[[#This Row],[DEUDA CAPITAL]]+Tabla14[[#This Row],[INTERES  CUOTA]]</f>
        <v>#NUM!</v>
      </c>
      <c r="U3183" s="61" t="str">
        <f t="shared" si="509"/>
        <v/>
      </c>
    </row>
    <row r="3184" spans="9:21" ht="24.75" customHeight="1" x14ac:dyDescent="0.35">
      <c r="I3184" s="42">
        <f t="shared" si="500"/>
        <v>0</v>
      </c>
      <c r="J3184" s="65" t="e">
        <f t="shared" si="501"/>
        <v>#NUM!</v>
      </c>
      <c r="K3184" s="83" t="e">
        <f t="shared" si="502"/>
        <v>#NUM!</v>
      </c>
      <c r="L3184" s="83">
        <f t="shared" si="503"/>
        <v>0</v>
      </c>
      <c r="M3184" s="110" t="str">
        <f t="shared" si="504"/>
        <v/>
      </c>
      <c r="N3184" s="51" t="str">
        <f t="shared" si="505"/>
        <v/>
      </c>
      <c r="O3184" s="52" t="str">
        <f t="shared" si="506"/>
        <v/>
      </c>
      <c r="P3184" s="88">
        <f t="shared" si="507"/>
        <v>0</v>
      </c>
      <c r="Q3184" s="88">
        <f t="shared" si="508"/>
        <v>0</v>
      </c>
      <c r="R3184" s="88" t="e">
        <f>-IF(Tabla14[[#This Row],[DIAS HABILES O MORA]]&lt;0,(Tabla14[[#This Row],[VALOR PRESTAMO]]*Tabla14[[#This Row],[% INTERES ]]/30*U3184))+Tabla14[[#This Row],[VALOR CUOTAS]]</f>
        <v>#VALUE!</v>
      </c>
      <c r="S3184" s="88">
        <f>-IF(Tabla14[[#This Row],[DIAS HABILES O MORA]]&lt;0,(Tabla14[[#This Row],[VALOR PRESTAMO]]*Tabla14[[#This Row],[% INTERES ]]/30*U3184))</f>
        <v>0</v>
      </c>
      <c r="T3184" s="53" t="e">
        <f>Tabla14[[#This Row],[DEUDA CAPITAL]]+Tabla14[[#This Row],[INTERES  CUOTA]]</f>
        <v>#NUM!</v>
      </c>
      <c r="U3184" s="61" t="str">
        <f t="shared" si="509"/>
        <v/>
      </c>
    </row>
    <row r="3185" spans="9:21" ht="24.75" customHeight="1" x14ac:dyDescent="0.35">
      <c r="I3185" s="42">
        <f t="shared" si="500"/>
        <v>0</v>
      </c>
      <c r="J3185" s="65" t="e">
        <f t="shared" si="501"/>
        <v>#NUM!</v>
      </c>
      <c r="K3185" s="83" t="e">
        <f t="shared" si="502"/>
        <v>#NUM!</v>
      </c>
      <c r="L3185" s="83">
        <f t="shared" si="503"/>
        <v>0</v>
      </c>
      <c r="M3185" s="110" t="str">
        <f t="shared" si="504"/>
        <v/>
      </c>
      <c r="N3185" s="51" t="str">
        <f t="shared" si="505"/>
        <v/>
      </c>
      <c r="O3185" s="52" t="str">
        <f t="shared" si="506"/>
        <v/>
      </c>
      <c r="P3185" s="88">
        <f t="shared" si="507"/>
        <v>0</v>
      </c>
      <c r="Q3185" s="88">
        <f t="shared" si="508"/>
        <v>0</v>
      </c>
      <c r="R3185" s="88" t="e">
        <f>-IF(Tabla14[[#This Row],[DIAS HABILES O MORA]]&lt;0,(Tabla14[[#This Row],[VALOR PRESTAMO]]*Tabla14[[#This Row],[% INTERES ]]/30*U3185))+Tabla14[[#This Row],[VALOR CUOTAS]]</f>
        <v>#VALUE!</v>
      </c>
      <c r="S3185" s="88">
        <f>-IF(Tabla14[[#This Row],[DIAS HABILES O MORA]]&lt;0,(Tabla14[[#This Row],[VALOR PRESTAMO]]*Tabla14[[#This Row],[% INTERES ]]/30*U3185))</f>
        <v>0</v>
      </c>
      <c r="T3185" s="53" t="e">
        <f>Tabla14[[#This Row],[DEUDA CAPITAL]]+Tabla14[[#This Row],[INTERES  CUOTA]]</f>
        <v>#NUM!</v>
      </c>
      <c r="U3185" s="61" t="str">
        <f t="shared" si="509"/>
        <v/>
      </c>
    </row>
    <row r="3186" spans="9:21" ht="24.75" customHeight="1" x14ac:dyDescent="0.35">
      <c r="I3186" s="42">
        <f t="shared" si="500"/>
        <v>0</v>
      </c>
      <c r="J3186" s="65" t="e">
        <f t="shared" si="501"/>
        <v>#NUM!</v>
      </c>
      <c r="K3186" s="83" t="e">
        <f t="shared" si="502"/>
        <v>#NUM!</v>
      </c>
      <c r="L3186" s="83">
        <f t="shared" si="503"/>
        <v>0</v>
      </c>
      <c r="M3186" s="110" t="str">
        <f t="shared" si="504"/>
        <v/>
      </c>
      <c r="N3186" s="51" t="str">
        <f t="shared" si="505"/>
        <v/>
      </c>
      <c r="O3186" s="52" t="str">
        <f t="shared" si="506"/>
        <v/>
      </c>
      <c r="P3186" s="88">
        <f t="shared" si="507"/>
        <v>0</v>
      </c>
      <c r="Q3186" s="88">
        <f t="shared" si="508"/>
        <v>0</v>
      </c>
      <c r="R3186" s="88" t="e">
        <f>-IF(Tabla14[[#This Row],[DIAS HABILES O MORA]]&lt;0,(Tabla14[[#This Row],[VALOR PRESTAMO]]*Tabla14[[#This Row],[% INTERES ]]/30*U3186))+Tabla14[[#This Row],[VALOR CUOTAS]]</f>
        <v>#VALUE!</v>
      </c>
      <c r="S3186" s="88">
        <f>-IF(Tabla14[[#This Row],[DIAS HABILES O MORA]]&lt;0,(Tabla14[[#This Row],[VALOR PRESTAMO]]*Tabla14[[#This Row],[% INTERES ]]/30*U3186))</f>
        <v>0</v>
      </c>
      <c r="T3186" s="53" t="e">
        <f>Tabla14[[#This Row],[DEUDA CAPITAL]]+Tabla14[[#This Row],[INTERES  CUOTA]]</f>
        <v>#NUM!</v>
      </c>
      <c r="U3186" s="61" t="str">
        <f t="shared" si="509"/>
        <v/>
      </c>
    </row>
    <row r="3187" spans="9:21" ht="24.75" customHeight="1" x14ac:dyDescent="0.35">
      <c r="I3187" s="42">
        <f t="shared" si="500"/>
        <v>0</v>
      </c>
      <c r="J3187" s="65" t="e">
        <f t="shared" si="501"/>
        <v>#NUM!</v>
      </c>
      <c r="K3187" s="83" t="e">
        <f t="shared" si="502"/>
        <v>#NUM!</v>
      </c>
      <c r="L3187" s="83">
        <f t="shared" si="503"/>
        <v>0</v>
      </c>
      <c r="M3187" s="110" t="str">
        <f t="shared" si="504"/>
        <v/>
      </c>
      <c r="N3187" s="51" t="str">
        <f t="shared" si="505"/>
        <v/>
      </c>
      <c r="O3187" s="52" t="str">
        <f t="shared" si="506"/>
        <v/>
      </c>
      <c r="P3187" s="88">
        <f t="shared" si="507"/>
        <v>0</v>
      </c>
      <c r="Q3187" s="88">
        <f t="shared" si="508"/>
        <v>0</v>
      </c>
      <c r="R3187" s="88" t="e">
        <f>-IF(Tabla14[[#This Row],[DIAS HABILES O MORA]]&lt;0,(Tabla14[[#This Row],[VALOR PRESTAMO]]*Tabla14[[#This Row],[% INTERES ]]/30*U3187))+Tabla14[[#This Row],[VALOR CUOTAS]]</f>
        <v>#VALUE!</v>
      </c>
      <c r="S3187" s="88">
        <f>-IF(Tabla14[[#This Row],[DIAS HABILES O MORA]]&lt;0,(Tabla14[[#This Row],[VALOR PRESTAMO]]*Tabla14[[#This Row],[% INTERES ]]/30*U3187))</f>
        <v>0</v>
      </c>
      <c r="T3187" s="53" t="e">
        <f>Tabla14[[#This Row],[DEUDA CAPITAL]]+Tabla14[[#This Row],[INTERES  CUOTA]]</f>
        <v>#NUM!</v>
      </c>
      <c r="U3187" s="61" t="str">
        <f t="shared" si="509"/>
        <v/>
      </c>
    </row>
    <row r="3188" spans="9:21" ht="24.75" customHeight="1" x14ac:dyDescent="0.35">
      <c r="I3188" s="42">
        <f t="shared" si="500"/>
        <v>0</v>
      </c>
      <c r="J3188" s="65" t="e">
        <f t="shared" si="501"/>
        <v>#NUM!</v>
      </c>
      <c r="K3188" s="83" t="e">
        <f t="shared" si="502"/>
        <v>#NUM!</v>
      </c>
      <c r="L3188" s="83">
        <f t="shared" si="503"/>
        <v>0</v>
      </c>
      <c r="M3188" s="110" t="str">
        <f t="shared" si="504"/>
        <v/>
      </c>
      <c r="N3188" s="51" t="str">
        <f t="shared" si="505"/>
        <v/>
      </c>
      <c r="O3188" s="52" t="str">
        <f t="shared" si="506"/>
        <v/>
      </c>
      <c r="P3188" s="88">
        <f t="shared" si="507"/>
        <v>0</v>
      </c>
      <c r="Q3188" s="88">
        <f t="shared" si="508"/>
        <v>0</v>
      </c>
      <c r="R3188" s="88" t="e">
        <f>-IF(Tabla14[[#This Row],[DIAS HABILES O MORA]]&lt;0,(Tabla14[[#This Row],[VALOR PRESTAMO]]*Tabla14[[#This Row],[% INTERES ]]/30*U3188))+Tabla14[[#This Row],[VALOR CUOTAS]]</f>
        <v>#VALUE!</v>
      </c>
      <c r="S3188" s="88">
        <f>-IF(Tabla14[[#This Row],[DIAS HABILES O MORA]]&lt;0,(Tabla14[[#This Row],[VALOR PRESTAMO]]*Tabla14[[#This Row],[% INTERES ]]/30*U3188))</f>
        <v>0</v>
      </c>
      <c r="T3188" s="53" t="e">
        <f>Tabla14[[#This Row],[DEUDA CAPITAL]]+Tabla14[[#This Row],[INTERES  CUOTA]]</f>
        <v>#NUM!</v>
      </c>
      <c r="U3188" s="61" t="str">
        <f t="shared" si="509"/>
        <v/>
      </c>
    </row>
    <row r="3189" spans="9:21" ht="24.75" customHeight="1" x14ac:dyDescent="0.35">
      <c r="I3189" s="42">
        <f t="shared" si="500"/>
        <v>0</v>
      </c>
      <c r="J3189" s="65" t="e">
        <f t="shared" si="501"/>
        <v>#NUM!</v>
      </c>
      <c r="K3189" s="83" t="e">
        <f t="shared" si="502"/>
        <v>#NUM!</v>
      </c>
      <c r="L3189" s="83">
        <f t="shared" si="503"/>
        <v>0</v>
      </c>
      <c r="M3189" s="110" t="str">
        <f t="shared" si="504"/>
        <v/>
      </c>
      <c r="N3189" s="51" t="str">
        <f t="shared" si="505"/>
        <v/>
      </c>
      <c r="O3189" s="52" t="str">
        <f t="shared" si="506"/>
        <v/>
      </c>
      <c r="P3189" s="88">
        <f t="shared" si="507"/>
        <v>0</v>
      </c>
      <c r="Q3189" s="88">
        <f t="shared" si="508"/>
        <v>0</v>
      </c>
      <c r="R3189" s="88" t="e">
        <f>-IF(Tabla14[[#This Row],[DIAS HABILES O MORA]]&lt;0,(Tabla14[[#This Row],[VALOR PRESTAMO]]*Tabla14[[#This Row],[% INTERES ]]/30*U3189))+Tabla14[[#This Row],[VALOR CUOTAS]]</f>
        <v>#VALUE!</v>
      </c>
      <c r="S3189" s="88">
        <f>-IF(Tabla14[[#This Row],[DIAS HABILES O MORA]]&lt;0,(Tabla14[[#This Row],[VALOR PRESTAMO]]*Tabla14[[#This Row],[% INTERES ]]/30*U3189))</f>
        <v>0</v>
      </c>
      <c r="T3189" s="53" t="e">
        <f>Tabla14[[#This Row],[DEUDA CAPITAL]]+Tabla14[[#This Row],[INTERES  CUOTA]]</f>
        <v>#NUM!</v>
      </c>
      <c r="U3189" s="61" t="str">
        <f t="shared" si="509"/>
        <v/>
      </c>
    </row>
    <row r="3190" spans="9:21" ht="24.75" customHeight="1" x14ac:dyDescent="0.35">
      <c r="I3190" s="42">
        <f t="shared" si="500"/>
        <v>0</v>
      </c>
      <c r="J3190" s="65" t="e">
        <f t="shared" si="501"/>
        <v>#NUM!</v>
      </c>
      <c r="K3190" s="83" t="e">
        <f t="shared" si="502"/>
        <v>#NUM!</v>
      </c>
      <c r="L3190" s="83">
        <f t="shared" si="503"/>
        <v>0</v>
      </c>
      <c r="M3190" s="110" t="str">
        <f t="shared" si="504"/>
        <v/>
      </c>
      <c r="N3190" s="51" t="str">
        <f t="shared" si="505"/>
        <v/>
      </c>
      <c r="O3190" s="52" t="str">
        <f t="shared" si="506"/>
        <v/>
      </c>
      <c r="P3190" s="88">
        <f t="shared" si="507"/>
        <v>0</v>
      </c>
      <c r="Q3190" s="88">
        <f t="shared" si="508"/>
        <v>0</v>
      </c>
      <c r="R3190" s="88" t="e">
        <f>-IF(Tabla14[[#This Row],[DIAS HABILES O MORA]]&lt;0,(Tabla14[[#This Row],[VALOR PRESTAMO]]*Tabla14[[#This Row],[% INTERES ]]/30*U3190))+Tabla14[[#This Row],[VALOR CUOTAS]]</f>
        <v>#VALUE!</v>
      </c>
      <c r="S3190" s="88">
        <f>-IF(Tabla14[[#This Row],[DIAS HABILES O MORA]]&lt;0,(Tabla14[[#This Row],[VALOR PRESTAMO]]*Tabla14[[#This Row],[% INTERES ]]/30*U3190))</f>
        <v>0</v>
      </c>
      <c r="T3190" s="53" t="e">
        <f>Tabla14[[#This Row],[DEUDA CAPITAL]]+Tabla14[[#This Row],[INTERES  CUOTA]]</f>
        <v>#NUM!</v>
      </c>
      <c r="U3190" s="61" t="str">
        <f t="shared" si="509"/>
        <v/>
      </c>
    </row>
    <row r="3191" spans="9:21" ht="24.75" customHeight="1" x14ac:dyDescent="0.35">
      <c r="I3191" s="42">
        <f t="shared" si="500"/>
        <v>0</v>
      </c>
      <c r="J3191" s="65" t="e">
        <f t="shared" si="501"/>
        <v>#NUM!</v>
      </c>
      <c r="K3191" s="83" t="e">
        <f t="shared" si="502"/>
        <v>#NUM!</v>
      </c>
      <c r="L3191" s="83">
        <f t="shared" si="503"/>
        <v>0</v>
      </c>
      <c r="M3191" s="110" t="str">
        <f t="shared" si="504"/>
        <v/>
      </c>
      <c r="N3191" s="51" t="str">
        <f t="shared" si="505"/>
        <v/>
      </c>
      <c r="O3191" s="52" t="str">
        <f t="shared" si="506"/>
        <v/>
      </c>
      <c r="P3191" s="88">
        <f t="shared" si="507"/>
        <v>0</v>
      </c>
      <c r="Q3191" s="88">
        <f t="shared" si="508"/>
        <v>0</v>
      </c>
      <c r="R3191" s="88" t="e">
        <f>-IF(Tabla14[[#This Row],[DIAS HABILES O MORA]]&lt;0,(Tabla14[[#This Row],[VALOR PRESTAMO]]*Tabla14[[#This Row],[% INTERES ]]/30*U3191))+Tabla14[[#This Row],[VALOR CUOTAS]]</f>
        <v>#VALUE!</v>
      </c>
      <c r="S3191" s="88">
        <f>-IF(Tabla14[[#This Row],[DIAS HABILES O MORA]]&lt;0,(Tabla14[[#This Row],[VALOR PRESTAMO]]*Tabla14[[#This Row],[% INTERES ]]/30*U3191))</f>
        <v>0</v>
      </c>
      <c r="T3191" s="53" t="e">
        <f>Tabla14[[#This Row],[DEUDA CAPITAL]]+Tabla14[[#This Row],[INTERES  CUOTA]]</f>
        <v>#NUM!</v>
      </c>
      <c r="U3191" s="61" t="str">
        <f t="shared" si="509"/>
        <v/>
      </c>
    </row>
    <row r="3192" spans="9:21" ht="24.75" customHeight="1" x14ac:dyDescent="0.35">
      <c r="I3192" s="42">
        <f t="shared" si="500"/>
        <v>0</v>
      </c>
      <c r="J3192" s="65" t="e">
        <f t="shared" si="501"/>
        <v>#NUM!</v>
      </c>
      <c r="K3192" s="83" t="e">
        <f t="shared" si="502"/>
        <v>#NUM!</v>
      </c>
      <c r="L3192" s="83">
        <f t="shared" si="503"/>
        <v>0</v>
      </c>
      <c r="M3192" s="110" t="str">
        <f t="shared" si="504"/>
        <v/>
      </c>
      <c r="N3192" s="51" t="str">
        <f t="shared" si="505"/>
        <v/>
      </c>
      <c r="O3192" s="52" t="str">
        <f t="shared" si="506"/>
        <v/>
      </c>
      <c r="P3192" s="88">
        <f t="shared" si="507"/>
        <v>0</v>
      </c>
      <c r="Q3192" s="88">
        <f t="shared" si="508"/>
        <v>0</v>
      </c>
      <c r="R3192" s="88" t="e">
        <f>-IF(Tabla14[[#This Row],[DIAS HABILES O MORA]]&lt;0,(Tabla14[[#This Row],[VALOR PRESTAMO]]*Tabla14[[#This Row],[% INTERES ]]/30*U3192))+Tabla14[[#This Row],[VALOR CUOTAS]]</f>
        <v>#VALUE!</v>
      </c>
      <c r="S3192" s="88">
        <f>-IF(Tabla14[[#This Row],[DIAS HABILES O MORA]]&lt;0,(Tabla14[[#This Row],[VALOR PRESTAMO]]*Tabla14[[#This Row],[% INTERES ]]/30*U3192))</f>
        <v>0</v>
      </c>
      <c r="T3192" s="53" t="e">
        <f>Tabla14[[#This Row],[DEUDA CAPITAL]]+Tabla14[[#This Row],[INTERES  CUOTA]]</f>
        <v>#NUM!</v>
      </c>
      <c r="U3192" s="61" t="str">
        <f t="shared" si="509"/>
        <v/>
      </c>
    </row>
    <row r="3193" spans="9:21" ht="24.75" customHeight="1" x14ac:dyDescent="0.35">
      <c r="I3193" s="42">
        <f t="shared" si="500"/>
        <v>0</v>
      </c>
      <c r="J3193" s="65" t="e">
        <f t="shared" si="501"/>
        <v>#NUM!</v>
      </c>
      <c r="K3193" s="83" t="e">
        <f t="shared" si="502"/>
        <v>#NUM!</v>
      </c>
      <c r="L3193" s="83">
        <f t="shared" si="503"/>
        <v>0</v>
      </c>
      <c r="M3193" s="110" t="str">
        <f t="shared" si="504"/>
        <v/>
      </c>
      <c r="N3193" s="51" t="str">
        <f t="shared" si="505"/>
        <v/>
      </c>
      <c r="O3193" s="52" t="str">
        <f t="shared" si="506"/>
        <v/>
      </c>
      <c r="P3193" s="88">
        <f t="shared" si="507"/>
        <v>0</v>
      </c>
      <c r="Q3193" s="88">
        <f t="shared" si="508"/>
        <v>0</v>
      </c>
      <c r="R3193" s="88" t="e">
        <f>-IF(Tabla14[[#This Row],[DIAS HABILES O MORA]]&lt;0,(Tabla14[[#This Row],[VALOR PRESTAMO]]*Tabla14[[#This Row],[% INTERES ]]/30*U3193))+Tabla14[[#This Row],[VALOR CUOTAS]]</f>
        <v>#VALUE!</v>
      </c>
      <c r="S3193" s="88">
        <f>-IF(Tabla14[[#This Row],[DIAS HABILES O MORA]]&lt;0,(Tabla14[[#This Row],[VALOR PRESTAMO]]*Tabla14[[#This Row],[% INTERES ]]/30*U3193))</f>
        <v>0</v>
      </c>
      <c r="T3193" s="53" t="e">
        <f>Tabla14[[#This Row],[DEUDA CAPITAL]]+Tabla14[[#This Row],[INTERES  CUOTA]]</f>
        <v>#NUM!</v>
      </c>
      <c r="U3193" s="61" t="str">
        <f t="shared" si="509"/>
        <v/>
      </c>
    </row>
    <row r="3194" spans="9:21" ht="24.75" customHeight="1" x14ac:dyDescent="0.35">
      <c r="I3194" s="42">
        <f t="shared" si="500"/>
        <v>0</v>
      </c>
      <c r="J3194" s="65" t="e">
        <f t="shared" si="501"/>
        <v>#NUM!</v>
      </c>
      <c r="K3194" s="83" t="e">
        <f t="shared" si="502"/>
        <v>#NUM!</v>
      </c>
      <c r="L3194" s="83">
        <f t="shared" si="503"/>
        <v>0</v>
      </c>
      <c r="M3194" s="110" t="str">
        <f t="shared" si="504"/>
        <v/>
      </c>
      <c r="N3194" s="51" t="str">
        <f t="shared" si="505"/>
        <v/>
      </c>
      <c r="O3194" s="52" t="str">
        <f t="shared" si="506"/>
        <v/>
      </c>
      <c r="P3194" s="88">
        <f t="shared" si="507"/>
        <v>0</v>
      </c>
      <c r="Q3194" s="88">
        <f t="shared" si="508"/>
        <v>0</v>
      </c>
      <c r="R3194" s="88" t="e">
        <f>-IF(Tabla14[[#This Row],[DIAS HABILES O MORA]]&lt;0,(Tabla14[[#This Row],[VALOR PRESTAMO]]*Tabla14[[#This Row],[% INTERES ]]/30*U3194))+Tabla14[[#This Row],[VALOR CUOTAS]]</f>
        <v>#VALUE!</v>
      </c>
      <c r="S3194" s="88">
        <f>-IF(Tabla14[[#This Row],[DIAS HABILES O MORA]]&lt;0,(Tabla14[[#This Row],[VALOR PRESTAMO]]*Tabla14[[#This Row],[% INTERES ]]/30*U3194))</f>
        <v>0</v>
      </c>
      <c r="T3194" s="53" t="e">
        <f>Tabla14[[#This Row],[DEUDA CAPITAL]]+Tabla14[[#This Row],[INTERES  CUOTA]]</f>
        <v>#NUM!</v>
      </c>
      <c r="U3194" s="61" t="str">
        <f t="shared" si="509"/>
        <v/>
      </c>
    </row>
    <row r="3195" spans="9:21" ht="24.75" customHeight="1" x14ac:dyDescent="0.35">
      <c r="I3195" s="42">
        <f t="shared" si="500"/>
        <v>0</v>
      </c>
      <c r="J3195" s="65" t="e">
        <f t="shared" si="501"/>
        <v>#NUM!</v>
      </c>
      <c r="K3195" s="83" t="e">
        <f t="shared" si="502"/>
        <v>#NUM!</v>
      </c>
      <c r="L3195" s="83">
        <f t="shared" si="503"/>
        <v>0</v>
      </c>
      <c r="M3195" s="110" t="str">
        <f t="shared" si="504"/>
        <v/>
      </c>
      <c r="N3195" s="51" t="str">
        <f t="shared" si="505"/>
        <v/>
      </c>
      <c r="O3195" s="52" t="str">
        <f t="shared" si="506"/>
        <v/>
      </c>
      <c r="P3195" s="88">
        <f t="shared" si="507"/>
        <v>0</v>
      </c>
      <c r="Q3195" s="88">
        <f t="shared" si="508"/>
        <v>0</v>
      </c>
      <c r="R3195" s="88" t="e">
        <f>-IF(Tabla14[[#This Row],[DIAS HABILES O MORA]]&lt;0,(Tabla14[[#This Row],[VALOR PRESTAMO]]*Tabla14[[#This Row],[% INTERES ]]/30*U3195))+Tabla14[[#This Row],[VALOR CUOTAS]]</f>
        <v>#VALUE!</v>
      </c>
      <c r="S3195" s="88">
        <f>-IF(Tabla14[[#This Row],[DIAS HABILES O MORA]]&lt;0,(Tabla14[[#This Row],[VALOR PRESTAMO]]*Tabla14[[#This Row],[% INTERES ]]/30*U3195))</f>
        <v>0</v>
      </c>
      <c r="T3195" s="53" t="e">
        <f>Tabla14[[#This Row],[DEUDA CAPITAL]]+Tabla14[[#This Row],[INTERES  CUOTA]]</f>
        <v>#NUM!</v>
      </c>
      <c r="U3195" s="61" t="str">
        <f t="shared" si="509"/>
        <v/>
      </c>
    </row>
    <row r="3196" spans="9:21" ht="24.75" customHeight="1" x14ac:dyDescent="0.35">
      <c r="I3196" s="42">
        <f t="shared" si="500"/>
        <v>0</v>
      </c>
      <c r="J3196" s="65" t="e">
        <f t="shared" si="501"/>
        <v>#NUM!</v>
      </c>
      <c r="K3196" s="83" t="e">
        <f t="shared" si="502"/>
        <v>#NUM!</v>
      </c>
      <c r="L3196" s="83">
        <f t="shared" si="503"/>
        <v>0</v>
      </c>
      <c r="M3196" s="110" t="str">
        <f t="shared" si="504"/>
        <v/>
      </c>
      <c r="N3196" s="51" t="str">
        <f t="shared" si="505"/>
        <v/>
      </c>
      <c r="O3196" s="52" t="str">
        <f t="shared" si="506"/>
        <v/>
      </c>
      <c r="P3196" s="88">
        <f t="shared" si="507"/>
        <v>0</v>
      </c>
      <c r="Q3196" s="88">
        <f t="shared" si="508"/>
        <v>0</v>
      </c>
      <c r="R3196" s="88" t="e">
        <f>-IF(Tabla14[[#This Row],[DIAS HABILES O MORA]]&lt;0,(Tabla14[[#This Row],[VALOR PRESTAMO]]*Tabla14[[#This Row],[% INTERES ]]/30*U3196))+Tabla14[[#This Row],[VALOR CUOTAS]]</f>
        <v>#VALUE!</v>
      </c>
      <c r="S3196" s="88">
        <f>-IF(Tabla14[[#This Row],[DIAS HABILES O MORA]]&lt;0,(Tabla14[[#This Row],[VALOR PRESTAMO]]*Tabla14[[#This Row],[% INTERES ]]/30*U3196))</f>
        <v>0</v>
      </c>
      <c r="T3196" s="53" t="e">
        <f>Tabla14[[#This Row],[DEUDA CAPITAL]]+Tabla14[[#This Row],[INTERES  CUOTA]]</f>
        <v>#NUM!</v>
      </c>
      <c r="U3196" s="61" t="str">
        <f t="shared" si="509"/>
        <v/>
      </c>
    </row>
    <row r="3197" spans="9:21" ht="24.75" customHeight="1" x14ac:dyDescent="0.35">
      <c r="I3197" s="42">
        <f t="shared" si="500"/>
        <v>0</v>
      </c>
      <c r="J3197" s="65" t="e">
        <f t="shared" si="501"/>
        <v>#NUM!</v>
      </c>
      <c r="K3197" s="83" t="e">
        <f t="shared" si="502"/>
        <v>#NUM!</v>
      </c>
      <c r="L3197" s="83">
        <f t="shared" si="503"/>
        <v>0</v>
      </c>
      <c r="M3197" s="110" t="str">
        <f t="shared" si="504"/>
        <v/>
      </c>
      <c r="N3197" s="51" t="str">
        <f t="shared" si="505"/>
        <v/>
      </c>
      <c r="O3197" s="52" t="str">
        <f t="shared" si="506"/>
        <v/>
      </c>
      <c r="P3197" s="88">
        <f t="shared" si="507"/>
        <v>0</v>
      </c>
      <c r="Q3197" s="88">
        <f t="shared" si="508"/>
        <v>0</v>
      </c>
      <c r="R3197" s="88" t="e">
        <f>-IF(Tabla14[[#This Row],[DIAS HABILES O MORA]]&lt;0,(Tabla14[[#This Row],[VALOR PRESTAMO]]*Tabla14[[#This Row],[% INTERES ]]/30*U3197))+Tabla14[[#This Row],[VALOR CUOTAS]]</f>
        <v>#VALUE!</v>
      </c>
      <c r="S3197" s="88">
        <f>-IF(Tabla14[[#This Row],[DIAS HABILES O MORA]]&lt;0,(Tabla14[[#This Row],[VALOR PRESTAMO]]*Tabla14[[#This Row],[% INTERES ]]/30*U3197))</f>
        <v>0</v>
      </c>
      <c r="T3197" s="53" t="e">
        <f>Tabla14[[#This Row],[DEUDA CAPITAL]]+Tabla14[[#This Row],[INTERES  CUOTA]]</f>
        <v>#NUM!</v>
      </c>
      <c r="U3197" s="61" t="str">
        <f t="shared" si="509"/>
        <v/>
      </c>
    </row>
    <row r="3198" spans="9:21" ht="24.75" customHeight="1" x14ac:dyDescent="0.35">
      <c r="I3198" s="42">
        <f t="shared" si="500"/>
        <v>0</v>
      </c>
      <c r="J3198" s="65" t="e">
        <f t="shared" si="501"/>
        <v>#NUM!</v>
      </c>
      <c r="K3198" s="83" t="e">
        <f t="shared" si="502"/>
        <v>#NUM!</v>
      </c>
      <c r="L3198" s="83">
        <f t="shared" si="503"/>
        <v>0</v>
      </c>
      <c r="M3198" s="110" t="str">
        <f t="shared" si="504"/>
        <v/>
      </c>
      <c r="N3198" s="51" t="str">
        <f t="shared" si="505"/>
        <v/>
      </c>
      <c r="O3198" s="52" t="str">
        <f t="shared" si="506"/>
        <v/>
      </c>
      <c r="P3198" s="88">
        <f t="shared" si="507"/>
        <v>0</v>
      </c>
      <c r="Q3198" s="88">
        <f t="shared" si="508"/>
        <v>0</v>
      </c>
      <c r="R3198" s="88" t="e">
        <f>-IF(Tabla14[[#This Row],[DIAS HABILES O MORA]]&lt;0,(Tabla14[[#This Row],[VALOR PRESTAMO]]*Tabla14[[#This Row],[% INTERES ]]/30*U3198))+Tabla14[[#This Row],[VALOR CUOTAS]]</f>
        <v>#VALUE!</v>
      </c>
      <c r="S3198" s="88">
        <f>-IF(Tabla14[[#This Row],[DIAS HABILES O MORA]]&lt;0,(Tabla14[[#This Row],[VALOR PRESTAMO]]*Tabla14[[#This Row],[% INTERES ]]/30*U3198))</f>
        <v>0</v>
      </c>
      <c r="T3198" s="53" t="e">
        <f>Tabla14[[#This Row],[DEUDA CAPITAL]]+Tabla14[[#This Row],[INTERES  CUOTA]]</f>
        <v>#NUM!</v>
      </c>
      <c r="U3198" s="61" t="str">
        <f t="shared" si="509"/>
        <v/>
      </c>
    </row>
    <row r="3199" spans="9:21" ht="24.75" customHeight="1" x14ac:dyDescent="0.35">
      <c r="I3199" s="42">
        <f t="shared" si="500"/>
        <v>0</v>
      </c>
      <c r="J3199" s="65" t="e">
        <f t="shared" si="501"/>
        <v>#NUM!</v>
      </c>
      <c r="K3199" s="83" t="e">
        <f t="shared" si="502"/>
        <v>#NUM!</v>
      </c>
      <c r="L3199" s="83">
        <f t="shared" si="503"/>
        <v>0</v>
      </c>
      <c r="M3199" s="110" t="str">
        <f t="shared" si="504"/>
        <v/>
      </c>
      <c r="N3199" s="51" t="str">
        <f t="shared" si="505"/>
        <v/>
      </c>
      <c r="O3199" s="52" t="str">
        <f t="shared" si="506"/>
        <v/>
      </c>
      <c r="P3199" s="88">
        <f t="shared" si="507"/>
        <v>0</v>
      </c>
      <c r="Q3199" s="88">
        <f t="shared" si="508"/>
        <v>0</v>
      </c>
      <c r="R3199" s="88" t="e">
        <f>-IF(Tabla14[[#This Row],[DIAS HABILES O MORA]]&lt;0,(Tabla14[[#This Row],[VALOR PRESTAMO]]*Tabla14[[#This Row],[% INTERES ]]/30*U3199))+Tabla14[[#This Row],[VALOR CUOTAS]]</f>
        <v>#VALUE!</v>
      </c>
      <c r="S3199" s="88">
        <f>-IF(Tabla14[[#This Row],[DIAS HABILES O MORA]]&lt;0,(Tabla14[[#This Row],[VALOR PRESTAMO]]*Tabla14[[#This Row],[% INTERES ]]/30*U3199))</f>
        <v>0</v>
      </c>
      <c r="T3199" s="53" t="e">
        <f>Tabla14[[#This Row],[DEUDA CAPITAL]]+Tabla14[[#This Row],[INTERES  CUOTA]]</f>
        <v>#NUM!</v>
      </c>
      <c r="U3199" s="61" t="str">
        <f t="shared" si="509"/>
        <v/>
      </c>
    </row>
    <row r="3200" spans="9:21" ht="24.75" customHeight="1" x14ac:dyDescent="0.35">
      <c r="I3200" s="42">
        <f t="shared" si="500"/>
        <v>0</v>
      </c>
      <c r="J3200" s="65" t="e">
        <f t="shared" si="501"/>
        <v>#NUM!</v>
      </c>
      <c r="K3200" s="83" t="e">
        <f t="shared" si="502"/>
        <v>#NUM!</v>
      </c>
      <c r="L3200" s="83">
        <f t="shared" si="503"/>
        <v>0</v>
      </c>
      <c r="M3200" s="110" t="str">
        <f t="shared" si="504"/>
        <v/>
      </c>
      <c r="N3200" s="51" t="str">
        <f t="shared" si="505"/>
        <v/>
      </c>
      <c r="O3200" s="52" t="str">
        <f t="shared" si="506"/>
        <v/>
      </c>
      <c r="P3200" s="88">
        <f t="shared" si="507"/>
        <v>0</v>
      </c>
      <c r="Q3200" s="88">
        <f t="shared" si="508"/>
        <v>0</v>
      </c>
      <c r="R3200" s="88" t="e">
        <f>-IF(Tabla14[[#This Row],[DIAS HABILES O MORA]]&lt;0,(Tabla14[[#This Row],[VALOR PRESTAMO]]*Tabla14[[#This Row],[% INTERES ]]/30*U3200))+Tabla14[[#This Row],[VALOR CUOTAS]]</f>
        <v>#VALUE!</v>
      </c>
      <c r="S3200" s="88">
        <f>-IF(Tabla14[[#This Row],[DIAS HABILES O MORA]]&lt;0,(Tabla14[[#This Row],[VALOR PRESTAMO]]*Tabla14[[#This Row],[% INTERES ]]/30*U3200))</f>
        <v>0</v>
      </c>
      <c r="T3200" s="53" t="e">
        <f>Tabla14[[#This Row],[DEUDA CAPITAL]]+Tabla14[[#This Row],[INTERES  CUOTA]]</f>
        <v>#NUM!</v>
      </c>
      <c r="U3200" s="61" t="str">
        <f t="shared" si="509"/>
        <v/>
      </c>
    </row>
    <row r="3201" spans="9:21" ht="24.75" customHeight="1" x14ac:dyDescent="0.35">
      <c r="I3201" s="42">
        <f t="shared" si="500"/>
        <v>0</v>
      </c>
      <c r="J3201" s="65" t="e">
        <f t="shared" si="501"/>
        <v>#NUM!</v>
      </c>
      <c r="K3201" s="83" t="e">
        <f t="shared" si="502"/>
        <v>#NUM!</v>
      </c>
      <c r="L3201" s="83">
        <f t="shared" si="503"/>
        <v>0</v>
      </c>
      <c r="M3201" s="110" t="str">
        <f t="shared" si="504"/>
        <v/>
      </c>
      <c r="N3201" s="51" t="str">
        <f t="shared" si="505"/>
        <v/>
      </c>
      <c r="O3201" s="52" t="str">
        <f t="shared" si="506"/>
        <v/>
      </c>
      <c r="P3201" s="88">
        <f t="shared" si="507"/>
        <v>0</v>
      </c>
      <c r="Q3201" s="88">
        <f t="shared" si="508"/>
        <v>0</v>
      </c>
      <c r="R3201" s="88" t="e">
        <f>-IF(Tabla14[[#This Row],[DIAS HABILES O MORA]]&lt;0,(Tabla14[[#This Row],[VALOR PRESTAMO]]*Tabla14[[#This Row],[% INTERES ]]/30*U3201))+Tabla14[[#This Row],[VALOR CUOTAS]]</f>
        <v>#VALUE!</v>
      </c>
      <c r="S3201" s="88">
        <f>-IF(Tabla14[[#This Row],[DIAS HABILES O MORA]]&lt;0,(Tabla14[[#This Row],[VALOR PRESTAMO]]*Tabla14[[#This Row],[% INTERES ]]/30*U3201))</f>
        <v>0</v>
      </c>
      <c r="T3201" s="53" t="e">
        <f>Tabla14[[#This Row],[DEUDA CAPITAL]]+Tabla14[[#This Row],[INTERES  CUOTA]]</f>
        <v>#NUM!</v>
      </c>
      <c r="U3201" s="61" t="str">
        <f t="shared" si="509"/>
        <v/>
      </c>
    </row>
    <row r="3202" spans="9:21" ht="24.75" customHeight="1" x14ac:dyDescent="0.35">
      <c r="I3202" s="42">
        <f t="shared" si="500"/>
        <v>0</v>
      </c>
      <c r="J3202" s="65" t="e">
        <f t="shared" si="501"/>
        <v>#NUM!</v>
      </c>
      <c r="K3202" s="83" t="e">
        <f t="shared" si="502"/>
        <v>#NUM!</v>
      </c>
      <c r="L3202" s="83">
        <f t="shared" si="503"/>
        <v>0</v>
      </c>
      <c r="M3202" s="110" t="str">
        <f t="shared" si="504"/>
        <v/>
      </c>
      <c r="N3202" s="51" t="str">
        <f t="shared" si="505"/>
        <v/>
      </c>
      <c r="O3202" s="52" t="str">
        <f t="shared" si="506"/>
        <v/>
      </c>
      <c r="P3202" s="88">
        <f t="shared" si="507"/>
        <v>0</v>
      </c>
      <c r="Q3202" s="88">
        <f t="shared" si="508"/>
        <v>0</v>
      </c>
      <c r="R3202" s="88" t="e">
        <f>-IF(Tabla14[[#This Row],[DIAS HABILES O MORA]]&lt;0,(Tabla14[[#This Row],[VALOR PRESTAMO]]*Tabla14[[#This Row],[% INTERES ]]/30*U3202))+Tabla14[[#This Row],[VALOR CUOTAS]]</f>
        <v>#VALUE!</v>
      </c>
      <c r="S3202" s="88">
        <f>-IF(Tabla14[[#This Row],[DIAS HABILES O MORA]]&lt;0,(Tabla14[[#This Row],[VALOR PRESTAMO]]*Tabla14[[#This Row],[% INTERES ]]/30*U3202))</f>
        <v>0</v>
      </c>
      <c r="T3202" s="53" t="e">
        <f>Tabla14[[#This Row],[DEUDA CAPITAL]]+Tabla14[[#This Row],[INTERES  CUOTA]]</f>
        <v>#NUM!</v>
      </c>
      <c r="U3202" s="61" t="str">
        <f t="shared" si="509"/>
        <v/>
      </c>
    </row>
    <row r="3203" spans="9:21" ht="24.75" customHeight="1" x14ac:dyDescent="0.35">
      <c r="I3203" s="42">
        <f t="shared" si="500"/>
        <v>0</v>
      </c>
      <c r="J3203" s="65" t="e">
        <f t="shared" si="501"/>
        <v>#NUM!</v>
      </c>
      <c r="K3203" s="83" t="e">
        <f t="shared" si="502"/>
        <v>#NUM!</v>
      </c>
      <c r="L3203" s="83">
        <f t="shared" si="503"/>
        <v>0</v>
      </c>
      <c r="M3203" s="110" t="str">
        <f t="shared" si="504"/>
        <v/>
      </c>
      <c r="N3203" s="51" t="str">
        <f t="shared" si="505"/>
        <v/>
      </c>
      <c r="O3203" s="52" t="str">
        <f t="shared" si="506"/>
        <v/>
      </c>
      <c r="P3203" s="88">
        <f t="shared" si="507"/>
        <v>0</v>
      </c>
      <c r="Q3203" s="88">
        <f t="shared" si="508"/>
        <v>0</v>
      </c>
      <c r="R3203" s="88" t="e">
        <f>-IF(Tabla14[[#This Row],[DIAS HABILES O MORA]]&lt;0,(Tabla14[[#This Row],[VALOR PRESTAMO]]*Tabla14[[#This Row],[% INTERES ]]/30*U3203))+Tabla14[[#This Row],[VALOR CUOTAS]]</f>
        <v>#VALUE!</v>
      </c>
      <c r="S3203" s="88">
        <f>-IF(Tabla14[[#This Row],[DIAS HABILES O MORA]]&lt;0,(Tabla14[[#This Row],[VALOR PRESTAMO]]*Tabla14[[#This Row],[% INTERES ]]/30*U3203))</f>
        <v>0</v>
      </c>
      <c r="T3203" s="53" t="e">
        <f>Tabla14[[#This Row],[DEUDA CAPITAL]]+Tabla14[[#This Row],[INTERES  CUOTA]]</f>
        <v>#NUM!</v>
      </c>
      <c r="U3203" s="61" t="str">
        <f t="shared" si="509"/>
        <v/>
      </c>
    </row>
    <row r="3204" spans="9:21" ht="24.75" customHeight="1" x14ac:dyDescent="0.35">
      <c r="I3204" s="42">
        <f t="shared" si="500"/>
        <v>0</v>
      </c>
      <c r="J3204" s="65" t="e">
        <f t="shared" si="501"/>
        <v>#NUM!</v>
      </c>
      <c r="K3204" s="83" t="e">
        <f t="shared" si="502"/>
        <v>#NUM!</v>
      </c>
      <c r="L3204" s="83">
        <f t="shared" si="503"/>
        <v>0</v>
      </c>
      <c r="M3204" s="110" t="str">
        <f t="shared" si="504"/>
        <v/>
      </c>
      <c r="N3204" s="51" t="str">
        <f t="shared" si="505"/>
        <v/>
      </c>
      <c r="O3204" s="52" t="str">
        <f t="shared" si="506"/>
        <v/>
      </c>
      <c r="P3204" s="88">
        <f t="shared" si="507"/>
        <v>0</v>
      </c>
      <c r="Q3204" s="88">
        <f t="shared" si="508"/>
        <v>0</v>
      </c>
      <c r="R3204" s="88" t="e">
        <f>-IF(Tabla14[[#This Row],[DIAS HABILES O MORA]]&lt;0,(Tabla14[[#This Row],[VALOR PRESTAMO]]*Tabla14[[#This Row],[% INTERES ]]/30*U3204))+Tabla14[[#This Row],[VALOR CUOTAS]]</f>
        <v>#VALUE!</v>
      </c>
      <c r="S3204" s="88">
        <f>-IF(Tabla14[[#This Row],[DIAS HABILES O MORA]]&lt;0,(Tabla14[[#This Row],[VALOR PRESTAMO]]*Tabla14[[#This Row],[% INTERES ]]/30*U3204))</f>
        <v>0</v>
      </c>
      <c r="T3204" s="53" t="e">
        <f>Tabla14[[#This Row],[DEUDA CAPITAL]]+Tabla14[[#This Row],[INTERES  CUOTA]]</f>
        <v>#NUM!</v>
      </c>
      <c r="U3204" s="61" t="str">
        <f t="shared" si="509"/>
        <v/>
      </c>
    </row>
    <row r="3205" spans="9:21" ht="24.75" customHeight="1" x14ac:dyDescent="0.35">
      <c r="I3205" s="42">
        <f t="shared" si="500"/>
        <v>0</v>
      </c>
      <c r="J3205" s="65" t="e">
        <f t="shared" si="501"/>
        <v>#NUM!</v>
      </c>
      <c r="K3205" s="83" t="e">
        <f t="shared" si="502"/>
        <v>#NUM!</v>
      </c>
      <c r="L3205" s="83">
        <f t="shared" si="503"/>
        <v>0</v>
      </c>
      <c r="M3205" s="110" t="str">
        <f t="shared" si="504"/>
        <v/>
      </c>
      <c r="N3205" s="51" t="str">
        <f t="shared" si="505"/>
        <v/>
      </c>
      <c r="O3205" s="52" t="str">
        <f t="shared" si="506"/>
        <v/>
      </c>
      <c r="P3205" s="88">
        <f t="shared" si="507"/>
        <v>0</v>
      </c>
      <c r="Q3205" s="88">
        <f t="shared" si="508"/>
        <v>0</v>
      </c>
      <c r="R3205" s="88" t="e">
        <f>-IF(Tabla14[[#This Row],[DIAS HABILES O MORA]]&lt;0,(Tabla14[[#This Row],[VALOR PRESTAMO]]*Tabla14[[#This Row],[% INTERES ]]/30*U3205))+Tabla14[[#This Row],[VALOR CUOTAS]]</f>
        <v>#VALUE!</v>
      </c>
      <c r="S3205" s="88">
        <f>-IF(Tabla14[[#This Row],[DIAS HABILES O MORA]]&lt;0,(Tabla14[[#This Row],[VALOR PRESTAMO]]*Tabla14[[#This Row],[% INTERES ]]/30*U3205))</f>
        <v>0</v>
      </c>
      <c r="T3205" s="53" t="e">
        <f>Tabla14[[#This Row],[DEUDA CAPITAL]]+Tabla14[[#This Row],[INTERES  CUOTA]]</f>
        <v>#NUM!</v>
      </c>
      <c r="U3205" s="61" t="str">
        <f t="shared" si="509"/>
        <v/>
      </c>
    </row>
    <row r="3206" spans="9:21" ht="24.75" customHeight="1" x14ac:dyDescent="0.35">
      <c r="I3206" s="42">
        <f t="shared" si="500"/>
        <v>0</v>
      </c>
      <c r="J3206" s="65" t="e">
        <f t="shared" si="501"/>
        <v>#NUM!</v>
      </c>
      <c r="K3206" s="83" t="e">
        <f t="shared" si="502"/>
        <v>#NUM!</v>
      </c>
      <c r="L3206" s="83">
        <f t="shared" si="503"/>
        <v>0</v>
      </c>
      <c r="M3206" s="110" t="str">
        <f t="shared" si="504"/>
        <v/>
      </c>
      <c r="N3206" s="51" t="str">
        <f t="shared" si="505"/>
        <v/>
      </c>
      <c r="O3206" s="52" t="str">
        <f t="shared" si="506"/>
        <v/>
      </c>
      <c r="P3206" s="88">
        <f t="shared" si="507"/>
        <v>0</v>
      </c>
      <c r="Q3206" s="88">
        <f t="shared" si="508"/>
        <v>0</v>
      </c>
      <c r="R3206" s="88" t="e">
        <f>-IF(Tabla14[[#This Row],[DIAS HABILES O MORA]]&lt;0,(Tabla14[[#This Row],[VALOR PRESTAMO]]*Tabla14[[#This Row],[% INTERES ]]/30*U3206))+Tabla14[[#This Row],[VALOR CUOTAS]]</f>
        <v>#VALUE!</v>
      </c>
      <c r="S3206" s="88">
        <f>-IF(Tabla14[[#This Row],[DIAS HABILES O MORA]]&lt;0,(Tabla14[[#This Row],[VALOR PRESTAMO]]*Tabla14[[#This Row],[% INTERES ]]/30*U3206))</f>
        <v>0</v>
      </c>
      <c r="T3206" s="53" t="e">
        <f>Tabla14[[#This Row],[DEUDA CAPITAL]]+Tabla14[[#This Row],[INTERES  CUOTA]]</f>
        <v>#NUM!</v>
      </c>
      <c r="U3206" s="61" t="str">
        <f t="shared" si="509"/>
        <v/>
      </c>
    </row>
    <row r="3207" spans="9:21" ht="24.75" customHeight="1" x14ac:dyDescent="0.35">
      <c r="I3207" s="42">
        <f t="shared" si="500"/>
        <v>0</v>
      </c>
      <c r="J3207" s="65" t="e">
        <f t="shared" si="501"/>
        <v>#NUM!</v>
      </c>
      <c r="K3207" s="83" t="e">
        <f t="shared" si="502"/>
        <v>#NUM!</v>
      </c>
      <c r="L3207" s="83">
        <f t="shared" si="503"/>
        <v>0</v>
      </c>
      <c r="M3207" s="110" t="str">
        <f t="shared" si="504"/>
        <v/>
      </c>
      <c r="N3207" s="51" t="str">
        <f t="shared" si="505"/>
        <v/>
      </c>
      <c r="O3207" s="52" t="str">
        <f t="shared" si="506"/>
        <v/>
      </c>
      <c r="P3207" s="88">
        <f t="shared" si="507"/>
        <v>0</v>
      </c>
      <c r="Q3207" s="88">
        <f t="shared" si="508"/>
        <v>0</v>
      </c>
      <c r="R3207" s="88" t="e">
        <f>-IF(Tabla14[[#This Row],[DIAS HABILES O MORA]]&lt;0,(Tabla14[[#This Row],[VALOR PRESTAMO]]*Tabla14[[#This Row],[% INTERES ]]/30*U3207))+Tabla14[[#This Row],[VALOR CUOTAS]]</f>
        <v>#VALUE!</v>
      </c>
      <c r="S3207" s="88">
        <f>-IF(Tabla14[[#This Row],[DIAS HABILES O MORA]]&lt;0,(Tabla14[[#This Row],[VALOR PRESTAMO]]*Tabla14[[#This Row],[% INTERES ]]/30*U3207))</f>
        <v>0</v>
      </c>
      <c r="T3207" s="53" t="e">
        <f>Tabla14[[#This Row],[DEUDA CAPITAL]]+Tabla14[[#This Row],[INTERES  CUOTA]]</f>
        <v>#NUM!</v>
      </c>
      <c r="U3207" s="61" t="str">
        <f t="shared" si="509"/>
        <v/>
      </c>
    </row>
    <row r="3208" spans="9:21" ht="24.75" customHeight="1" x14ac:dyDescent="0.35">
      <c r="I3208" s="42">
        <f t="shared" si="500"/>
        <v>0</v>
      </c>
      <c r="J3208" s="65" t="e">
        <f t="shared" si="501"/>
        <v>#NUM!</v>
      </c>
      <c r="K3208" s="83" t="e">
        <f t="shared" si="502"/>
        <v>#NUM!</v>
      </c>
      <c r="L3208" s="83">
        <f t="shared" si="503"/>
        <v>0</v>
      </c>
      <c r="M3208" s="110" t="str">
        <f t="shared" si="504"/>
        <v/>
      </c>
      <c r="N3208" s="51" t="str">
        <f t="shared" si="505"/>
        <v/>
      </c>
      <c r="O3208" s="52" t="str">
        <f t="shared" si="506"/>
        <v/>
      </c>
      <c r="P3208" s="88">
        <f t="shared" si="507"/>
        <v>0</v>
      </c>
      <c r="Q3208" s="88">
        <f t="shared" si="508"/>
        <v>0</v>
      </c>
      <c r="R3208" s="88" t="e">
        <f>-IF(Tabla14[[#This Row],[DIAS HABILES O MORA]]&lt;0,(Tabla14[[#This Row],[VALOR PRESTAMO]]*Tabla14[[#This Row],[% INTERES ]]/30*U3208))+Tabla14[[#This Row],[VALOR CUOTAS]]</f>
        <v>#VALUE!</v>
      </c>
      <c r="S3208" s="88">
        <f>-IF(Tabla14[[#This Row],[DIAS HABILES O MORA]]&lt;0,(Tabla14[[#This Row],[VALOR PRESTAMO]]*Tabla14[[#This Row],[% INTERES ]]/30*U3208))</f>
        <v>0</v>
      </c>
      <c r="T3208" s="53" t="e">
        <f>Tabla14[[#This Row],[DEUDA CAPITAL]]+Tabla14[[#This Row],[INTERES  CUOTA]]</f>
        <v>#NUM!</v>
      </c>
      <c r="U3208" s="61" t="str">
        <f t="shared" si="509"/>
        <v/>
      </c>
    </row>
    <row r="3209" spans="9:21" ht="24.75" customHeight="1" x14ac:dyDescent="0.35">
      <c r="I3209" s="42">
        <f t="shared" si="500"/>
        <v>0</v>
      </c>
      <c r="J3209" s="65" t="e">
        <f t="shared" si="501"/>
        <v>#NUM!</v>
      </c>
      <c r="K3209" s="83" t="e">
        <f t="shared" si="502"/>
        <v>#NUM!</v>
      </c>
      <c r="L3209" s="83">
        <f t="shared" si="503"/>
        <v>0</v>
      </c>
      <c r="M3209" s="110" t="str">
        <f t="shared" si="504"/>
        <v/>
      </c>
      <c r="N3209" s="51" t="str">
        <f t="shared" si="505"/>
        <v/>
      </c>
      <c r="O3209" s="52" t="str">
        <f t="shared" si="506"/>
        <v/>
      </c>
      <c r="P3209" s="88">
        <f t="shared" si="507"/>
        <v>0</v>
      </c>
      <c r="Q3209" s="88">
        <f t="shared" si="508"/>
        <v>0</v>
      </c>
      <c r="R3209" s="88" t="e">
        <f>-IF(Tabla14[[#This Row],[DIAS HABILES O MORA]]&lt;0,(Tabla14[[#This Row],[VALOR PRESTAMO]]*Tabla14[[#This Row],[% INTERES ]]/30*U3209))+Tabla14[[#This Row],[VALOR CUOTAS]]</f>
        <v>#VALUE!</v>
      </c>
      <c r="S3209" s="88">
        <f>-IF(Tabla14[[#This Row],[DIAS HABILES O MORA]]&lt;0,(Tabla14[[#This Row],[VALOR PRESTAMO]]*Tabla14[[#This Row],[% INTERES ]]/30*U3209))</f>
        <v>0</v>
      </c>
      <c r="T3209" s="53" t="e">
        <f>Tabla14[[#This Row],[DEUDA CAPITAL]]+Tabla14[[#This Row],[INTERES  CUOTA]]</f>
        <v>#NUM!</v>
      </c>
      <c r="U3209" s="61" t="str">
        <f t="shared" si="509"/>
        <v/>
      </c>
    </row>
    <row r="3210" spans="9:21" ht="24.75" customHeight="1" x14ac:dyDescent="0.35">
      <c r="I3210" s="42">
        <f t="shared" si="500"/>
        <v>0</v>
      </c>
      <c r="J3210" s="65" t="e">
        <f t="shared" si="501"/>
        <v>#NUM!</v>
      </c>
      <c r="K3210" s="83" t="e">
        <f t="shared" si="502"/>
        <v>#NUM!</v>
      </c>
      <c r="L3210" s="83">
        <f t="shared" si="503"/>
        <v>0</v>
      </c>
      <c r="M3210" s="110" t="str">
        <f t="shared" si="504"/>
        <v/>
      </c>
      <c r="N3210" s="51" t="str">
        <f t="shared" si="505"/>
        <v/>
      </c>
      <c r="O3210" s="52" t="str">
        <f t="shared" si="506"/>
        <v/>
      </c>
      <c r="P3210" s="88">
        <f t="shared" si="507"/>
        <v>0</v>
      </c>
      <c r="Q3210" s="88">
        <f t="shared" si="508"/>
        <v>0</v>
      </c>
      <c r="R3210" s="88" t="e">
        <f>-IF(Tabla14[[#This Row],[DIAS HABILES O MORA]]&lt;0,(Tabla14[[#This Row],[VALOR PRESTAMO]]*Tabla14[[#This Row],[% INTERES ]]/30*U3210))+Tabla14[[#This Row],[VALOR CUOTAS]]</f>
        <v>#VALUE!</v>
      </c>
      <c r="S3210" s="88">
        <f>-IF(Tabla14[[#This Row],[DIAS HABILES O MORA]]&lt;0,(Tabla14[[#This Row],[VALOR PRESTAMO]]*Tabla14[[#This Row],[% INTERES ]]/30*U3210))</f>
        <v>0</v>
      </c>
      <c r="T3210" s="53" t="e">
        <f>Tabla14[[#This Row],[DEUDA CAPITAL]]+Tabla14[[#This Row],[INTERES  CUOTA]]</f>
        <v>#NUM!</v>
      </c>
      <c r="U3210" s="61" t="str">
        <f t="shared" si="509"/>
        <v/>
      </c>
    </row>
    <row r="3211" spans="9:21" ht="24.75" customHeight="1" x14ac:dyDescent="0.35">
      <c r="I3211" s="42">
        <f t="shared" si="500"/>
        <v>0</v>
      </c>
      <c r="J3211" s="65" t="e">
        <f t="shared" si="501"/>
        <v>#NUM!</v>
      </c>
      <c r="K3211" s="83" t="e">
        <f t="shared" si="502"/>
        <v>#NUM!</v>
      </c>
      <c r="L3211" s="83">
        <f t="shared" si="503"/>
        <v>0</v>
      </c>
      <c r="M3211" s="110" t="str">
        <f t="shared" si="504"/>
        <v/>
      </c>
      <c r="N3211" s="51" t="str">
        <f t="shared" si="505"/>
        <v/>
      </c>
      <c r="O3211" s="52" t="str">
        <f t="shared" si="506"/>
        <v/>
      </c>
      <c r="P3211" s="88">
        <f t="shared" si="507"/>
        <v>0</v>
      </c>
      <c r="Q3211" s="88">
        <f t="shared" si="508"/>
        <v>0</v>
      </c>
      <c r="R3211" s="88" t="e">
        <f>-IF(Tabla14[[#This Row],[DIAS HABILES O MORA]]&lt;0,(Tabla14[[#This Row],[VALOR PRESTAMO]]*Tabla14[[#This Row],[% INTERES ]]/30*U3211))+Tabla14[[#This Row],[VALOR CUOTAS]]</f>
        <v>#VALUE!</v>
      </c>
      <c r="S3211" s="88">
        <f>-IF(Tabla14[[#This Row],[DIAS HABILES O MORA]]&lt;0,(Tabla14[[#This Row],[VALOR PRESTAMO]]*Tabla14[[#This Row],[% INTERES ]]/30*U3211))</f>
        <v>0</v>
      </c>
      <c r="T3211" s="53" t="e">
        <f>Tabla14[[#This Row],[DEUDA CAPITAL]]+Tabla14[[#This Row],[INTERES  CUOTA]]</f>
        <v>#NUM!</v>
      </c>
      <c r="U3211" s="61" t="str">
        <f t="shared" si="509"/>
        <v/>
      </c>
    </row>
    <row r="3212" spans="9:21" ht="24.75" customHeight="1" x14ac:dyDescent="0.35">
      <c r="I3212" s="42">
        <f t="shared" si="500"/>
        <v>0</v>
      </c>
      <c r="J3212" s="65" t="e">
        <f t="shared" si="501"/>
        <v>#NUM!</v>
      </c>
      <c r="K3212" s="83" t="e">
        <f t="shared" si="502"/>
        <v>#NUM!</v>
      </c>
      <c r="L3212" s="83">
        <f t="shared" si="503"/>
        <v>0</v>
      </c>
      <c r="M3212" s="110" t="str">
        <f t="shared" si="504"/>
        <v/>
      </c>
      <c r="N3212" s="51" t="str">
        <f t="shared" si="505"/>
        <v/>
      </c>
      <c r="O3212" s="52" t="str">
        <f t="shared" si="506"/>
        <v/>
      </c>
      <c r="P3212" s="88">
        <f t="shared" si="507"/>
        <v>0</v>
      </c>
      <c r="Q3212" s="88">
        <f t="shared" si="508"/>
        <v>0</v>
      </c>
      <c r="R3212" s="88" t="e">
        <f>-IF(Tabla14[[#This Row],[DIAS HABILES O MORA]]&lt;0,(Tabla14[[#This Row],[VALOR PRESTAMO]]*Tabla14[[#This Row],[% INTERES ]]/30*U3212))+Tabla14[[#This Row],[VALOR CUOTAS]]</f>
        <v>#VALUE!</v>
      </c>
      <c r="S3212" s="88">
        <f>-IF(Tabla14[[#This Row],[DIAS HABILES O MORA]]&lt;0,(Tabla14[[#This Row],[VALOR PRESTAMO]]*Tabla14[[#This Row],[% INTERES ]]/30*U3212))</f>
        <v>0</v>
      </c>
      <c r="T3212" s="53" t="e">
        <f>Tabla14[[#This Row],[DEUDA CAPITAL]]+Tabla14[[#This Row],[INTERES  CUOTA]]</f>
        <v>#NUM!</v>
      </c>
      <c r="U3212" s="61" t="str">
        <f t="shared" si="509"/>
        <v/>
      </c>
    </row>
    <row r="3213" spans="9:21" ht="24.75" customHeight="1" x14ac:dyDescent="0.35">
      <c r="I3213" s="42">
        <f t="shared" si="500"/>
        <v>0</v>
      </c>
      <c r="J3213" s="65" t="e">
        <f t="shared" si="501"/>
        <v>#NUM!</v>
      </c>
      <c r="K3213" s="83" t="e">
        <f t="shared" si="502"/>
        <v>#NUM!</v>
      </c>
      <c r="L3213" s="83">
        <f t="shared" si="503"/>
        <v>0</v>
      </c>
      <c r="M3213" s="110" t="str">
        <f t="shared" si="504"/>
        <v/>
      </c>
      <c r="N3213" s="51" t="str">
        <f t="shared" si="505"/>
        <v/>
      </c>
      <c r="O3213" s="52" t="str">
        <f t="shared" si="506"/>
        <v/>
      </c>
      <c r="P3213" s="88">
        <f t="shared" si="507"/>
        <v>0</v>
      </c>
      <c r="Q3213" s="88">
        <f t="shared" si="508"/>
        <v>0</v>
      </c>
      <c r="R3213" s="88" t="e">
        <f>-IF(Tabla14[[#This Row],[DIAS HABILES O MORA]]&lt;0,(Tabla14[[#This Row],[VALOR PRESTAMO]]*Tabla14[[#This Row],[% INTERES ]]/30*U3213))+Tabla14[[#This Row],[VALOR CUOTAS]]</f>
        <v>#VALUE!</v>
      </c>
      <c r="S3213" s="88">
        <f>-IF(Tabla14[[#This Row],[DIAS HABILES O MORA]]&lt;0,(Tabla14[[#This Row],[VALOR PRESTAMO]]*Tabla14[[#This Row],[% INTERES ]]/30*U3213))</f>
        <v>0</v>
      </c>
      <c r="T3213" s="53" t="e">
        <f>Tabla14[[#This Row],[DEUDA CAPITAL]]+Tabla14[[#This Row],[INTERES  CUOTA]]</f>
        <v>#NUM!</v>
      </c>
      <c r="U3213" s="61" t="str">
        <f t="shared" si="509"/>
        <v/>
      </c>
    </row>
    <row r="3214" spans="9:21" ht="24.75" customHeight="1" x14ac:dyDescent="0.35">
      <c r="I3214" s="42">
        <f t="shared" si="500"/>
        <v>0</v>
      </c>
      <c r="J3214" s="65" t="e">
        <f t="shared" si="501"/>
        <v>#NUM!</v>
      </c>
      <c r="K3214" s="83" t="e">
        <f t="shared" si="502"/>
        <v>#NUM!</v>
      </c>
      <c r="L3214" s="83">
        <f t="shared" si="503"/>
        <v>0</v>
      </c>
      <c r="M3214" s="110" t="str">
        <f t="shared" si="504"/>
        <v/>
      </c>
      <c r="N3214" s="51" t="str">
        <f t="shared" si="505"/>
        <v/>
      </c>
      <c r="O3214" s="52" t="str">
        <f t="shared" si="506"/>
        <v/>
      </c>
      <c r="P3214" s="88">
        <f t="shared" si="507"/>
        <v>0</v>
      </c>
      <c r="Q3214" s="88">
        <f t="shared" si="508"/>
        <v>0</v>
      </c>
      <c r="R3214" s="88" t="e">
        <f>-IF(Tabla14[[#This Row],[DIAS HABILES O MORA]]&lt;0,(Tabla14[[#This Row],[VALOR PRESTAMO]]*Tabla14[[#This Row],[% INTERES ]]/30*U3214))+Tabla14[[#This Row],[VALOR CUOTAS]]</f>
        <v>#VALUE!</v>
      </c>
      <c r="S3214" s="88">
        <f>-IF(Tabla14[[#This Row],[DIAS HABILES O MORA]]&lt;0,(Tabla14[[#This Row],[VALOR PRESTAMO]]*Tabla14[[#This Row],[% INTERES ]]/30*U3214))</f>
        <v>0</v>
      </c>
      <c r="T3214" s="53" t="e">
        <f>Tabla14[[#This Row],[DEUDA CAPITAL]]+Tabla14[[#This Row],[INTERES  CUOTA]]</f>
        <v>#NUM!</v>
      </c>
      <c r="U3214" s="61" t="str">
        <f t="shared" si="509"/>
        <v/>
      </c>
    </row>
    <row r="3215" spans="9:21" ht="24.75" customHeight="1" x14ac:dyDescent="0.35">
      <c r="I3215" s="42">
        <f t="shared" si="500"/>
        <v>0</v>
      </c>
      <c r="J3215" s="65" t="e">
        <f t="shared" si="501"/>
        <v>#NUM!</v>
      </c>
      <c r="K3215" s="83" t="e">
        <f t="shared" si="502"/>
        <v>#NUM!</v>
      </c>
      <c r="L3215" s="83">
        <f t="shared" si="503"/>
        <v>0</v>
      </c>
      <c r="M3215" s="110" t="str">
        <f t="shared" si="504"/>
        <v/>
      </c>
      <c r="N3215" s="51" t="str">
        <f t="shared" si="505"/>
        <v/>
      </c>
      <c r="O3215" s="52" t="str">
        <f t="shared" si="506"/>
        <v/>
      </c>
      <c r="P3215" s="88">
        <f t="shared" si="507"/>
        <v>0</v>
      </c>
      <c r="Q3215" s="88">
        <f t="shared" si="508"/>
        <v>0</v>
      </c>
      <c r="R3215" s="88" t="e">
        <f>-IF(Tabla14[[#This Row],[DIAS HABILES O MORA]]&lt;0,(Tabla14[[#This Row],[VALOR PRESTAMO]]*Tabla14[[#This Row],[% INTERES ]]/30*U3215))+Tabla14[[#This Row],[VALOR CUOTAS]]</f>
        <v>#VALUE!</v>
      </c>
      <c r="S3215" s="88">
        <f>-IF(Tabla14[[#This Row],[DIAS HABILES O MORA]]&lt;0,(Tabla14[[#This Row],[VALOR PRESTAMO]]*Tabla14[[#This Row],[% INTERES ]]/30*U3215))</f>
        <v>0</v>
      </c>
      <c r="T3215" s="53" t="e">
        <f>Tabla14[[#This Row],[DEUDA CAPITAL]]+Tabla14[[#This Row],[INTERES  CUOTA]]</f>
        <v>#NUM!</v>
      </c>
      <c r="U3215" s="61" t="str">
        <f t="shared" si="509"/>
        <v/>
      </c>
    </row>
    <row r="3216" spans="9:21" ht="24.75" customHeight="1" x14ac:dyDescent="0.35">
      <c r="I3216" s="42">
        <f t="shared" ref="I3216:I3279" si="510">IF(C3216&lt;0,"",IF(Q3216=0,0,IF(G3216=0,H3216+1,IF(H3216&lt;G3216,H3216+1,IF(G3216=H3216,0)))))</f>
        <v>0</v>
      </c>
      <c r="J3216" s="65" t="e">
        <f t="shared" ref="J3216:J3279" si="511">IF(F3216="SOLO INTERES",Q3216*D3216,-IPMT(D3216,I3216,G3216,C3216))</f>
        <v>#NUM!</v>
      </c>
      <c r="K3216" s="83" t="e">
        <f t="shared" ref="K3216:K3279" si="512">IF(F3216="SOLO INTERES",0,-PPMT(D3216,I3216,G3216,C3216))</f>
        <v>#NUM!</v>
      </c>
      <c r="L3216" s="83">
        <f t="shared" ref="L3216:L3279" si="513">IF(F3216="SOLO INTERES",SUM(Y3216:AAE3216),IFERROR(-CUMIPMT(D3216,G3216,C3216,1,H3216,0),0)+SUM(Y3216:WY3216))</f>
        <v>0</v>
      </c>
      <c r="M3216" s="110" t="str">
        <f t="shared" ref="M3216:M3279" si="514">IFERROR(IF(F3216="SOLO INTERES",Q3216*D3216,-PMT(D3216,G3216,C3216,0)),"")</f>
        <v/>
      </c>
      <c r="N3216" s="51" t="str">
        <f t="shared" ref="N3216:N3279" si="515">IF(Q3216=0,"",IF(E3216="MENSUAL",EDATE(B3216,I3216),IF(E3216="QUINCENAL",B3216+(I3216*15),IF(E3216="SEMANAL",B3216+(I3216*7)))))</f>
        <v/>
      </c>
      <c r="O3216" s="52" t="str">
        <f t="shared" ref="O3216:O3279" si="516">IF(C3216=0,"",IF(Q3216&lt;1,"PAGADO",IF(N3216=$A$3,"COBRAR HOY",IF(N3216&lt;$A$3,"EN MORA",IF(N3216&gt;$A$3,"AL DIA")))))</f>
        <v/>
      </c>
      <c r="P3216" s="88">
        <f t="shared" ref="P3216:P3279" si="517">IFERROR(-CUMPRINC(D3216,G3216,C3216,1,H3216,0),0)+W3216</f>
        <v>0</v>
      </c>
      <c r="Q3216" s="88">
        <f t="shared" ref="Q3216:Q3279" si="518">IFERROR(C3216-P3216,"")</f>
        <v>0</v>
      </c>
      <c r="R3216" s="88" t="e">
        <f>-IF(Tabla14[[#This Row],[DIAS HABILES O MORA]]&lt;0,(Tabla14[[#This Row],[VALOR PRESTAMO]]*Tabla14[[#This Row],[% INTERES ]]/30*U3216))+Tabla14[[#This Row],[VALOR CUOTAS]]</f>
        <v>#VALUE!</v>
      </c>
      <c r="S3216" s="88">
        <f>-IF(Tabla14[[#This Row],[DIAS HABILES O MORA]]&lt;0,(Tabla14[[#This Row],[VALOR PRESTAMO]]*Tabla14[[#This Row],[% INTERES ]]/30*U3216))</f>
        <v>0</v>
      </c>
      <c r="T3216" s="53" t="e">
        <f>Tabla14[[#This Row],[DEUDA CAPITAL]]+Tabla14[[#This Row],[INTERES  CUOTA]]</f>
        <v>#NUM!</v>
      </c>
      <c r="U3216" s="61" t="str">
        <f t="shared" ref="U3216:U3279" si="519">IF(O3216="PAGADO","",IFERROR(-IF(C3216=0,"",$A$3-N3216),""))</f>
        <v/>
      </c>
    </row>
    <row r="3217" spans="9:21" ht="24.75" customHeight="1" x14ac:dyDescent="0.35">
      <c r="I3217" s="42">
        <f t="shared" si="510"/>
        <v>0</v>
      </c>
      <c r="J3217" s="65" t="e">
        <f t="shared" si="511"/>
        <v>#NUM!</v>
      </c>
      <c r="K3217" s="83" t="e">
        <f t="shared" si="512"/>
        <v>#NUM!</v>
      </c>
      <c r="L3217" s="83">
        <f t="shared" si="513"/>
        <v>0</v>
      </c>
      <c r="M3217" s="110" t="str">
        <f t="shared" si="514"/>
        <v/>
      </c>
      <c r="N3217" s="51" t="str">
        <f t="shared" si="515"/>
        <v/>
      </c>
      <c r="O3217" s="52" t="str">
        <f t="shared" si="516"/>
        <v/>
      </c>
      <c r="P3217" s="88">
        <f t="shared" si="517"/>
        <v>0</v>
      </c>
      <c r="Q3217" s="88">
        <f t="shared" si="518"/>
        <v>0</v>
      </c>
      <c r="R3217" s="88" t="e">
        <f>-IF(Tabla14[[#This Row],[DIAS HABILES O MORA]]&lt;0,(Tabla14[[#This Row],[VALOR PRESTAMO]]*Tabla14[[#This Row],[% INTERES ]]/30*U3217))+Tabla14[[#This Row],[VALOR CUOTAS]]</f>
        <v>#VALUE!</v>
      </c>
      <c r="S3217" s="88">
        <f>-IF(Tabla14[[#This Row],[DIAS HABILES O MORA]]&lt;0,(Tabla14[[#This Row],[VALOR PRESTAMO]]*Tabla14[[#This Row],[% INTERES ]]/30*U3217))</f>
        <v>0</v>
      </c>
      <c r="T3217" s="53" t="e">
        <f>Tabla14[[#This Row],[DEUDA CAPITAL]]+Tabla14[[#This Row],[INTERES  CUOTA]]</f>
        <v>#NUM!</v>
      </c>
      <c r="U3217" s="61" t="str">
        <f t="shared" si="519"/>
        <v/>
      </c>
    </row>
    <row r="3218" spans="9:21" ht="24.75" customHeight="1" x14ac:dyDescent="0.35">
      <c r="I3218" s="42">
        <f t="shared" si="510"/>
        <v>0</v>
      </c>
      <c r="J3218" s="65" t="e">
        <f t="shared" si="511"/>
        <v>#NUM!</v>
      </c>
      <c r="K3218" s="83" t="e">
        <f t="shared" si="512"/>
        <v>#NUM!</v>
      </c>
      <c r="L3218" s="83">
        <f t="shared" si="513"/>
        <v>0</v>
      </c>
      <c r="M3218" s="110" t="str">
        <f t="shared" si="514"/>
        <v/>
      </c>
      <c r="N3218" s="51" t="str">
        <f t="shared" si="515"/>
        <v/>
      </c>
      <c r="O3218" s="52" t="str">
        <f t="shared" si="516"/>
        <v/>
      </c>
      <c r="P3218" s="88">
        <f t="shared" si="517"/>
        <v>0</v>
      </c>
      <c r="Q3218" s="88">
        <f t="shared" si="518"/>
        <v>0</v>
      </c>
      <c r="R3218" s="88" t="e">
        <f>-IF(Tabla14[[#This Row],[DIAS HABILES O MORA]]&lt;0,(Tabla14[[#This Row],[VALOR PRESTAMO]]*Tabla14[[#This Row],[% INTERES ]]/30*U3218))+Tabla14[[#This Row],[VALOR CUOTAS]]</f>
        <v>#VALUE!</v>
      </c>
      <c r="S3218" s="88">
        <f>-IF(Tabla14[[#This Row],[DIAS HABILES O MORA]]&lt;0,(Tabla14[[#This Row],[VALOR PRESTAMO]]*Tabla14[[#This Row],[% INTERES ]]/30*U3218))</f>
        <v>0</v>
      </c>
      <c r="T3218" s="53" t="e">
        <f>Tabla14[[#This Row],[DEUDA CAPITAL]]+Tabla14[[#This Row],[INTERES  CUOTA]]</f>
        <v>#NUM!</v>
      </c>
      <c r="U3218" s="61" t="str">
        <f t="shared" si="519"/>
        <v/>
      </c>
    </row>
    <row r="3219" spans="9:21" ht="24.75" customHeight="1" x14ac:dyDescent="0.35">
      <c r="I3219" s="42">
        <f t="shared" si="510"/>
        <v>0</v>
      </c>
      <c r="J3219" s="65" t="e">
        <f t="shared" si="511"/>
        <v>#NUM!</v>
      </c>
      <c r="K3219" s="83" t="e">
        <f t="shared" si="512"/>
        <v>#NUM!</v>
      </c>
      <c r="L3219" s="83">
        <f t="shared" si="513"/>
        <v>0</v>
      </c>
      <c r="M3219" s="110" t="str">
        <f t="shared" si="514"/>
        <v/>
      </c>
      <c r="N3219" s="51" t="str">
        <f t="shared" si="515"/>
        <v/>
      </c>
      <c r="O3219" s="52" t="str">
        <f t="shared" si="516"/>
        <v/>
      </c>
      <c r="P3219" s="88">
        <f t="shared" si="517"/>
        <v>0</v>
      </c>
      <c r="Q3219" s="88">
        <f t="shared" si="518"/>
        <v>0</v>
      </c>
      <c r="R3219" s="88" t="e">
        <f>-IF(Tabla14[[#This Row],[DIAS HABILES O MORA]]&lt;0,(Tabla14[[#This Row],[VALOR PRESTAMO]]*Tabla14[[#This Row],[% INTERES ]]/30*U3219))+Tabla14[[#This Row],[VALOR CUOTAS]]</f>
        <v>#VALUE!</v>
      </c>
      <c r="S3219" s="88">
        <f>-IF(Tabla14[[#This Row],[DIAS HABILES O MORA]]&lt;0,(Tabla14[[#This Row],[VALOR PRESTAMO]]*Tabla14[[#This Row],[% INTERES ]]/30*U3219))</f>
        <v>0</v>
      </c>
      <c r="T3219" s="53" t="e">
        <f>Tabla14[[#This Row],[DEUDA CAPITAL]]+Tabla14[[#This Row],[INTERES  CUOTA]]</f>
        <v>#NUM!</v>
      </c>
      <c r="U3219" s="61" t="str">
        <f t="shared" si="519"/>
        <v/>
      </c>
    </row>
    <row r="3220" spans="9:21" ht="24.75" customHeight="1" x14ac:dyDescent="0.35">
      <c r="I3220" s="42">
        <f t="shared" si="510"/>
        <v>0</v>
      </c>
      <c r="J3220" s="65" t="e">
        <f t="shared" si="511"/>
        <v>#NUM!</v>
      </c>
      <c r="K3220" s="83" t="e">
        <f t="shared" si="512"/>
        <v>#NUM!</v>
      </c>
      <c r="L3220" s="83">
        <f t="shared" si="513"/>
        <v>0</v>
      </c>
      <c r="M3220" s="110" t="str">
        <f t="shared" si="514"/>
        <v/>
      </c>
      <c r="N3220" s="51" t="str">
        <f t="shared" si="515"/>
        <v/>
      </c>
      <c r="O3220" s="52" t="str">
        <f t="shared" si="516"/>
        <v/>
      </c>
      <c r="P3220" s="88">
        <f t="shared" si="517"/>
        <v>0</v>
      </c>
      <c r="Q3220" s="88">
        <f t="shared" si="518"/>
        <v>0</v>
      </c>
      <c r="R3220" s="88" t="e">
        <f>-IF(Tabla14[[#This Row],[DIAS HABILES O MORA]]&lt;0,(Tabla14[[#This Row],[VALOR PRESTAMO]]*Tabla14[[#This Row],[% INTERES ]]/30*U3220))+Tabla14[[#This Row],[VALOR CUOTAS]]</f>
        <v>#VALUE!</v>
      </c>
      <c r="S3220" s="88">
        <f>-IF(Tabla14[[#This Row],[DIAS HABILES O MORA]]&lt;0,(Tabla14[[#This Row],[VALOR PRESTAMO]]*Tabla14[[#This Row],[% INTERES ]]/30*U3220))</f>
        <v>0</v>
      </c>
      <c r="T3220" s="53" t="e">
        <f>Tabla14[[#This Row],[DEUDA CAPITAL]]+Tabla14[[#This Row],[INTERES  CUOTA]]</f>
        <v>#NUM!</v>
      </c>
      <c r="U3220" s="61" t="str">
        <f t="shared" si="519"/>
        <v/>
      </c>
    </row>
    <row r="3221" spans="9:21" ht="24.75" customHeight="1" x14ac:dyDescent="0.35">
      <c r="I3221" s="42">
        <f t="shared" si="510"/>
        <v>0</v>
      </c>
      <c r="J3221" s="65" t="e">
        <f t="shared" si="511"/>
        <v>#NUM!</v>
      </c>
      <c r="K3221" s="83" t="e">
        <f t="shared" si="512"/>
        <v>#NUM!</v>
      </c>
      <c r="L3221" s="83">
        <f t="shared" si="513"/>
        <v>0</v>
      </c>
      <c r="M3221" s="110" t="str">
        <f t="shared" si="514"/>
        <v/>
      </c>
      <c r="N3221" s="51" t="str">
        <f t="shared" si="515"/>
        <v/>
      </c>
      <c r="O3221" s="52" t="str">
        <f t="shared" si="516"/>
        <v/>
      </c>
      <c r="P3221" s="88">
        <f t="shared" si="517"/>
        <v>0</v>
      </c>
      <c r="Q3221" s="88">
        <f t="shared" si="518"/>
        <v>0</v>
      </c>
      <c r="R3221" s="88" t="e">
        <f>-IF(Tabla14[[#This Row],[DIAS HABILES O MORA]]&lt;0,(Tabla14[[#This Row],[VALOR PRESTAMO]]*Tabla14[[#This Row],[% INTERES ]]/30*U3221))+Tabla14[[#This Row],[VALOR CUOTAS]]</f>
        <v>#VALUE!</v>
      </c>
      <c r="S3221" s="88">
        <f>-IF(Tabla14[[#This Row],[DIAS HABILES O MORA]]&lt;0,(Tabla14[[#This Row],[VALOR PRESTAMO]]*Tabla14[[#This Row],[% INTERES ]]/30*U3221))</f>
        <v>0</v>
      </c>
      <c r="T3221" s="53" t="e">
        <f>Tabla14[[#This Row],[DEUDA CAPITAL]]+Tabla14[[#This Row],[INTERES  CUOTA]]</f>
        <v>#NUM!</v>
      </c>
      <c r="U3221" s="61" t="str">
        <f t="shared" si="519"/>
        <v/>
      </c>
    </row>
    <row r="3222" spans="9:21" ht="24.75" customHeight="1" x14ac:dyDescent="0.35">
      <c r="I3222" s="42">
        <f t="shared" si="510"/>
        <v>0</v>
      </c>
      <c r="J3222" s="65" t="e">
        <f t="shared" si="511"/>
        <v>#NUM!</v>
      </c>
      <c r="K3222" s="83" t="e">
        <f t="shared" si="512"/>
        <v>#NUM!</v>
      </c>
      <c r="L3222" s="83">
        <f t="shared" si="513"/>
        <v>0</v>
      </c>
      <c r="M3222" s="110" t="str">
        <f t="shared" si="514"/>
        <v/>
      </c>
      <c r="N3222" s="51" t="str">
        <f t="shared" si="515"/>
        <v/>
      </c>
      <c r="O3222" s="52" t="str">
        <f t="shared" si="516"/>
        <v/>
      </c>
      <c r="P3222" s="88">
        <f t="shared" si="517"/>
        <v>0</v>
      </c>
      <c r="Q3222" s="88">
        <f t="shared" si="518"/>
        <v>0</v>
      </c>
      <c r="R3222" s="88" t="e">
        <f>-IF(Tabla14[[#This Row],[DIAS HABILES O MORA]]&lt;0,(Tabla14[[#This Row],[VALOR PRESTAMO]]*Tabla14[[#This Row],[% INTERES ]]/30*U3222))+Tabla14[[#This Row],[VALOR CUOTAS]]</f>
        <v>#VALUE!</v>
      </c>
      <c r="S3222" s="88">
        <f>-IF(Tabla14[[#This Row],[DIAS HABILES O MORA]]&lt;0,(Tabla14[[#This Row],[VALOR PRESTAMO]]*Tabla14[[#This Row],[% INTERES ]]/30*U3222))</f>
        <v>0</v>
      </c>
      <c r="T3222" s="53" t="e">
        <f>Tabla14[[#This Row],[DEUDA CAPITAL]]+Tabla14[[#This Row],[INTERES  CUOTA]]</f>
        <v>#NUM!</v>
      </c>
      <c r="U3222" s="61" t="str">
        <f t="shared" si="519"/>
        <v/>
      </c>
    </row>
    <row r="3223" spans="9:21" ht="24.75" customHeight="1" x14ac:dyDescent="0.35">
      <c r="I3223" s="42">
        <f t="shared" si="510"/>
        <v>0</v>
      </c>
      <c r="J3223" s="65" t="e">
        <f t="shared" si="511"/>
        <v>#NUM!</v>
      </c>
      <c r="K3223" s="83" t="e">
        <f t="shared" si="512"/>
        <v>#NUM!</v>
      </c>
      <c r="L3223" s="83">
        <f t="shared" si="513"/>
        <v>0</v>
      </c>
      <c r="M3223" s="110" t="str">
        <f t="shared" si="514"/>
        <v/>
      </c>
      <c r="N3223" s="51" t="str">
        <f t="shared" si="515"/>
        <v/>
      </c>
      <c r="O3223" s="52" t="str">
        <f t="shared" si="516"/>
        <v/>
      </c>
      <c r="P3223" s="88">
        <f t="shared" si="517"/>
        <v>0</v>
      </c>
      <c r="Q3223" s="88">
        <f t="shared" si="518"/>
        <v>0</v>
      </c>
      <c r="R3223" s="88" t="e">
        <f>-IF(Tabla14[[#This Row],[DIAS HABILES O MORA]]&lt;0,(Tabla14[[#This Row],[VALOR PRESTAMO]]*Tabla14[[#This Row],[% INTERES ]]/30*U3223))+Tabla14[[#This Row],[VALOR CUOTAS]]</f>
        <v>#VALUE!</v>
      </c>
      <c r="S3223" s="88">
        <f>-IF(Tabla14[[#This Row],[DIAS HABILES O MORA]]&lt;0,(Tabla14[[#This Row],[VALOR PRESTAMO]]*Tabla14[[#This Row],[% INTERES ]]/30*U3223))</f>
        <v>0</v>
      </c>
      <c r="T3223" s="53" t="e">
        <f>Tabla14[[#This Row],[DEUDA CAPITAL]]+Tabla14[[#This Row],[INTERES  CUOTA]]</f>
        <v>#NUM!</v>
      </c>
      <c r="U3223" s="61" t="str">
        <f t="shared" si="519"/>
        <v/>
      </c>
    </row>
    <row r="3224" spans="9:21" ht="24.75" customHeight="1" x14ac:dyDescent="0.35">
      <c r="I3224" s="42">
        <f t="shared" si="510"/>
        <v>0</v>
      </c>
      <c r="J3224" s="65" t="e">
        <f t="shared" si="511"/>
        <v>#NUM!</v>
      </c>
      <c r="K3224" s="83" t="e">
        <f t="shared" si="512"/>
        <v>#NUM!</v>
      </c>
      <c r="L3224" s="83">
        <f t="shared" si="513"/>
        <v>0</v>
      </c>
      <c r="M3224" s="110" t="str">
        <f t="shared" si="514"/>
        <v/>
      </c>
      <c r="N3224" s="51" t="str">
        <f t="shared" si="515"/>
        <v/>
      </c>
      <c r="O3224" s="52" t="str">
        <f t="shared" si="516"/>
        <v/>
      </c>
      <c r="P3224" s="88">
        <f t="shared" si="517"/>
        <v>0</v>
      </c>
      <c r="Q3224" s="88">
        <f t="shared" si="518"/>
        <v>0</v>
      </c>
      <c r="R3224" s="88" t="e">
        <f>-IF(Tabla14[[#This Row],[DIAS HABILES O MORA]]&lt;0,(Tabla14[[#This Row],[VALOR PRESTAMO]]*Tabla14[[#This Row],[% INTERES ]]/30*U3224))+Tabla14[[#This Row],[VALOR CUOTAS]]</f>
        <v>#VALUE!</v>
      </c>
      <c r="S3224" s="88">
        <f>-IF(Tabla14[[#This Row],[DIAS HABILES O MORA]]&lt;0,(Tabla14[[#This Row],[VALOR PRESTAMO]]*Tabla14[[#This Row],[% INTERES ]]/30*U3224))</f>
        <v>0</v>
      </c>
      <c r="T3224" s="53" t="e">
        <f>Tabla14[[#This Row],[DEUDA CAPITAL]]+Tabla14[[#This Row],[INTERES  CUOTA]]</f>
        <v>#NUM!</v>
      </c>
      <c r="U3224" s="61" t="str">
        <f t="shared" si="519"/>
        <v/>
      </c>
    </row>
    <row r="3225" spans="9:21" ht="24.75" customHeight="1" x14ac:dyDescent="0.35">
      <c r="I3225" s="42">
        <f t="shared" si="510"/>
        <v>0</v>
      </c>
      <c r="J3225" s="65" t="e">
        <f t="shared" si="511"/>
        <v>#NUM!</v>
      </c>
      <c r="K3225" s="83" t="e">
        <f t="shared" si="512"/>
        <v>#NUM!</v>
      </c>
      <c r="L3225" s="83">
        <f t="shared" si="513"/>
        <v>0</v>
      </c>
      <c r="M3225" s="110" t="str">
        <f t="shared" si="514"/>
        <v/>
      </c>
      <c r="N3225" s="51" t="str">
        <f t="shared" si="515"/>
        <v/>
      </c>
      <c r="O3225" s="52" t="str">
        <f t="shared" si="516"/>
        <v/>
      </c>
      <c r="P3225" s="88">
        <f t="shared" si="517"/>
        <v>0</v>
      </c>
      <c r="Q3225" s="88">
        <f t="shared" si="518"/>
        <v>0</v>
      </c>
      <c r="R3225" s="88" t="e">
        <f>-IF(Tabla14[[#This Row],[DIAS HABILES O MORA]]&lt;0,(Tabla14[[#This Row],[VALOR PRESTAMO]]*Tabla14[[#This Row],[% INTERES ]]/30*U3225))+Tabla14[[#This Row],[VALOR CUOTAS]]</f>
        <v>#VALUE!</v>
      </c>
      <c r="S3225" s="88">
        <f>-IF(Tabla14[[#This Row],[DIAS HABILES O MORA]]&lt;0,(Tabla14[[#This Row],[VALOR PRESTAMO]]*Tabla14[[#This Row],[% INTERES ]]/30*U3225))</f>
        <v>0</v>
      </c>
      <c r="T3225" s="53" t="e">
        <f>Tabla14[[#This Row],[DEUDA CAPITAL]]+Tabla14[[#This Row],[INTERES  CUOTA]]</f>
        <v>#NUM!</v>
      </c>
      <c r="U3225" s="61" t="str">
        <f t="shared" si="519"/>
        <v/>
      </c>
    </row>
    <row r="3226" spans="9:21" ht="24.75" customHeight="1" x14ac:dyDescent="0.35">
      <c r="I3226" s="42">
        <f t="shared" si="510"/>
        <v>0</v>
      </c>
      <c r="J3226" s="65" t="e">
        <f t="shared" si="511"/>
        <v>#NUM!</v>
      </c>
      <c r="K3226" s="83" t="e">
        <f t="shared" si="512"/>
        <v>#NUM!</v>
      </c>
      <c r="L3226" s="83">
        <f t="shared" si="513"/>
        <v>0</v>
      </c>
      <c r="M3226" s="110" t="str">
        <f t="shared" si="514"/>
        <v/>
      </c>
      <c r="N3226" s="51" t="str">
        <f t="shared" si="515"/>
        <v/>
      </c>
      <c r="O3226" s="52" t="str">
        <f t="shared" si="516"/>
        <v/>
      </c>
      <c r="P3226" s="88">
        <f t="shared" si="517"/>
        <v>0</v>
      </c>
      <c r="Q3226" s="88">
        <f t="shared" si="518"/>
        <v>0</v>
      </c>
      <c r="R3226" s="88" t="e">
        <f>-IF(Tabla14[[#This Row],[DIAS HABILES O MORA]]&lt;0,(Tabla14[[#This Row],[VALOR PRESTAMO]]*Tabla14[[#This Row],[% INTERES ]]/30*U3226))+Tabla14[[#This Row],[VALOR CUOTAS]]</f>
        <v>#VALUE!</v>
      </c>
      <c r="S3226" s="88">
        <f>-IF(Tabla14[[#This Row],[DIAS HABILES O MORA]]&lt;0,(Tabla14[[#This Row],[VALOR PRESTAMO]]*Tabla14[[#This Row],[% INTERES ]]/30*U3226))</f>
        <v>0</v>
      </c>
      <c r="T3226" s="53" t="e">
        <f>Tabla14[[#This Row],[DEUDA CAPITAL]]+Tabla14[[#This Row],[INTERES  CUOTA]]</f>
        <v>#NUM!</v>
      </c>
      <c r="U3226" s="61" t="str">
        <f t="shared" si="519"/>
        <v/>
      </c>
    </row>
    <row r="3227" spans="9:21" ht="24.75" customHeight="1" x14ac:dyDescent="0.35">
      <c r="I3227" s="42">
        <f t="shared" si="510"/>
        <v>0</v>
      </c>
      <c r="J3227" s="65" t="e">
        <f t="shared" si="511"/>
        <v>#NUM!</v>
      </c>
      <c r="K3227" s="83" t="e">
        <f t="shared" si="512"/>
        <v>#NUM!</v>
      </c>
      <c r="L3227" s="83">
        <f t="shared" si="513"/>
        <v>0</v>
      </c>
      <c r="M3227" s="110" t="str">
        <f t="shared" si="514"/>
        <v/>
      </c>
      <c r="N3227" s="51" t="str">
        <f t="shared" si="515"/>
        <v/>
      </c>
      <c r="O3227" s="52" t="str">
        <f t="shared" si="516"/>
        <v/>
      </c>
      <c r="P3227" s="88">
        <f t="shared" si="517"/>
        <v>0</v>
      </c>
      <c r="Q3227" s="88">
        <f t="shared" si="518"/>
        <v>0</v>
      </c>
      <c r="R3227" s="88" t="e">
        <f>-IF(Tabla14[[#This Row],[DIAS HABILES O MORA]]&lt;0,(Tabla14[[#This Row],[VALOR PRESTAMO]]*Tabla14[[#This Row],[% INTERES ]]/30*U3227))+Tabla14[[#This Row],[VALOR CUOTAS]]</f>
        <v>#VALUE!</v>
      </c>
      <c r="S3227" s="88">
        <f>-IF(Tabla14[[#This Row],[DIAS HABILES O MORA]]&lt;0,(Tabla14[[#This Row],[VALOR PRESTAMO]]*Tabla14[[#This Row],[% INTERES ]]/30*U3227))</f>
        <v>0</v>
      </c>
      <c r="T3227" s="53" t="e">
        <f>Tabla14[[#This Row],[DEUDA CAPITAL]]+Tabla14[[#This Row],[INTERES  CUOTA]]</f>
        <v>#NUM!</v>
      </c>
      <c r="U3227" s="61" t="str">
        <f t="shared" si="519"/>
        <v/>
      </c>
    </row>
    <row r="3228" spans="9:21" ht="24.75" customHeight="1" x14ac:dyDescent="0.35">
      <c r="I3228" s="42">
        <f t="shared" si="510"/>
        <v>0</v>
      </c>
      <c r="J3228" s="65" t="e">
        <f t="shared" si="511"/>
        <v>#NUM!</v>
      </c>
      <c r="K3228" s="83" t="e">
        <f t="shared" si="512"/>
        <v>#NUM!</v>
      </c>
      <c r="L3228" s="83">
        <f t="shared" si="513"/>
        <v>0</v>
      </c>
      <c r="M3228" s="110" t="str">
        <f t="shared" si="514"/>
        <v/>
      </c>
      <c r="N3228" s="51" t="str">
        <f t="shared" si="515"/>
        <v/>
      </c>
      <c r="O3228" s="52" t="str">
        <f t="shared" si="516"/>
        <v/>
      </c>
      <c r="P3228" s="88">
        <f t="shared" si="517"/>
        <v>0</v>
      </c>
      <c r="Q3228" s="88">
        <f t="shared" si="518"/>
        <v>0</v>
      </c>
      <c r="R3228" s="88" t="e">
        <f>-IF(Tabla14[[#This Row],[DIAS HABILES O MORA]]&lt;0,(Tabla14[[#This Row],[VALOR PRESTAMO]]*Tabla14[[#This Row],[% INTERES ]]/30*U3228))+Tabla14[[#This Row],[VALOR CUOTAS]]</f>
        <v>#VALUE!</v>
      </c>
      <c r="S3228" s="88">
        <f>-IF(Tabla14[[#This Row],[DIAS HABILES O MORA]]&lt;0,(Tabla14[[#This Row],[VALOR PRESTAMO]]*Tabla14[[#This Row],[% INTERES ]]/30*U3228))</f>
        <v>0</v>
      </c>
      <c r="T3228" s="53" t="e">
        <f>Tabla14[[#This Row],[DEUDA CAPITAL]]+Tabla14[[#This Row],[INTERES  CUOTA]]</f>
        <v>#NUM!</v>
      </c>
      <c r="U3228" s="61" t="str">
        <f t="shared" si="519"/>
        <v/>
      </c>
    </row>
    <row r="3229" spans="9:21" ht="24.75" customHeight="1" x14ac:dyDescent="0.35">
      <c r="I3229" s="42">
        <f t="shared" si="510"/>
        <v>0</v>
      </c>
      <c r="J3229" s="65" t="e">
        <f t="shared" si="511"/>
        <v>#NUM!</v>
      </c>
      <c r="K3229" s="83" t="e">
        <f t="shared" si="512"/>
        <v>#NUM!</v>
      </c>
      <c r="L3229" s="83">
        <f t="shared" si="513"/>
        <v>0</v>
      </c>
      <c r="M3229" s="110" t="str">
        <f t="shared" si="514"/>
        <v/>
      </c>
      <c r="N3229" s="51" t="str">
        <f t="shared" si="515"/>
        <v/>
      </c>
      <c r="O3229" s="52" t="str">
        <f t="shared" si="516"/>
        <v/>
      </c>
      <c r="P3229" s="88">
        <f t="shared" si="517"/>
        <v>0</v>
      </c>
      <c r="Q3229" s="88">
        <f t="shared" si="518"/>
        <v>0</v>
      </c>
      <c r="R3229" s="88" t="e">
        <f>-IF(Tabla14[[#This Row],[DIAS HABILES O MORA]]&lt;0,(Tabla14[[#This Row],[VALOR PRESTAMO]]*Tabla14[[#This Row],[% INTERES ]]/30*U3229))+Tabla14[[#This Row],[VALOR CUOTAS]]</f>
        <v>#VALUE!</v>
      </c>
      <c r="S3229" s="88">
        <f>-IF(Tabla14[[#This Row],[DIAS HABILES O MORA]]&lt;0,(Tabla14[[#This Row],[VALOR PRESTAMO]]*Tabla14[[#This Row],[% INTERES ]]/30*U3229))</f>
        <v>0</v>
      </c>
      <c r="T3229" s="53" t="e">
        <f>Tabla14[[#This Row],[DEUDA CAPITAL]]+Tabla14[[#This Row],[INTERES  CUOTA]]</f>
        <v>#NUM!</v>
      </c>
      <c r="U3229" s="61" t="str">
        <f t="shared" si="519"/>
        <v/>
      </c>
    </row>
    <row r="3230" spans="9:21" ht="24.75" customHeight="1" x14ac:dyDescent="0.35">
      <c r="I3230" s="42">
        <f t="shared" si="510"/>
        <v>0</v>
      </c>
      <c r="J3230" s="65" t="e">
        <f t="shared" si="511"/>
        <v>#NUM!</v>
      </c>
      <c r="K3230" s="83" t="e">
        <f t="shared" si="512"/>
        <v>#NUM!</v>
      </c>
      <c r="L3230" s="83">
        <f t="shared" si="513"/>
        <v>0</v>
      </c>
      <c r="M3230" s="110" t="str">
        <f t="shared" si="514"/>
        <v/>
      </c>
      <c r="N3230" s="51" t="str">
        <f t="shared" si="515"/>
        <v/>
      </c>
      <c r="O3230" s="52" t="str">
        <f t="shared" si="516"/>
        <v/>
      </c>
      <c r="P3230" s="88">
        <f t="shared" si="517"/>
        <v>0</v>
      </c>
      <c r="Q3230" s="88">
        <f t="shared" si="518"/>
        <v>0</v>
      </c>
      <c r="R3230" s="88" t="e">
        <f>-IF(Tabla14[[#This Row],[DIAS HABILES O MORA]]&lt;0,(Tabla14[[#This Row],[VALOR PRESTAMO]]*Tabla14[[#This Row],[% INTERES ]]/30*U3230))+Tabla14[[#This Row],[VALOR CUOTAS]]</f>
        <v>#VALUE!</v>
      </c>
      <c r="S3230" s="88">
        <f>-IF(Tabla14[[#This Row],[DIAS HABILES O MORA]]&lt;0,(Tabla14[[#This Row],[VALOR PRESTAMO]]*Tabla14[[#This Row],[% INTERES ]]/30*U3230))</f>
        <v>0</v>
      </c>
      <c r="T3230" s="53" t="e">
        <f>Tabla14[[#This Row],[DEUDA CAPITAL]]+Tabla14[[#This Row],[INTERES  CUOTA]]</f>
        <v>#NUM!</v>
      </c>
      <c r="U3230" s="61" t="str">
        <f t="shared" si="519"/>
        <v/>
      </c>
    </row>
    <row r="3231" spans="9:21" ht="24.75" customHeight="1" x14ac:dyDescent="0.35">
      <c r="I3231" s="42">
        <f t="shared" si="510"/>
        <v>0</v>
      </c>
      <c r="J3231" s="65" t="e">
        <f t="shared" si="511"/>
        <v>#NUM!</v>
      </c>
      <c r="K3231" s="83" t="e">
        <f t="shared" si="512"/>
        <v>#NUM!</v>
      </c>
      <c r="L3231" s="83">
        <f t="shared" si="513"/>
        <v>0</v>
      </c>
      <c r="M3231" s="110" t="str">
        <f t="shared" si="514"/>
        <v/>
      </c>
      <c r="N3231" s="51" t="str">
        <f t="shared" si="515"/>
        <v/>
      </c>
      <c r="O3231" s="52" t="str">
        <f t="shared" si="516"/>
        <v/>
      </c>
      <c r="P3231" s="88">
        <f t="shared" si="517"/>
        <v>0</v>
      </c>
      <c r="Q3231" s="88">
        <f t="shared" si="518"/>
        <v>0</v>
      </c>
      <c r="R3231" s="88" t="e">
        <f>-IF(Tabla14[[#This Row],[DIAS HABILES O MORA]]&lt;0,(Tabla14[[#This Row],[VALOR PRESTAMO]]*Tabla14[[#This Row],[% INTERES ]]/30*U3231))+Tabla14[[#This Row],[VALOR CUOTAS]]</f>
        <v>#VALUE!</v>
      </c>
      <c r="S3231" s="88">
        <f>-IF(Tabla14[[#This Row],[DIAS HABILES O MORA]]&lt;0,(Tabla14[[#This Row],[VALOR PRESTAMO]]*Tabla14[[#This Row],[% INTERES ]]/30*U3231))</f>
        <v>0</v>
      </c>
      <c r="T3231" s="53" t="e">
        <f>Tabla14[[#This Row],[DEUDA CAPITAL]]+Tabla14[[#This Row],[INTERES  CUOTA]]</f>
        <v>#NUM!</v>
      </c>
      <c r="U3231" s="61" t="str">
        <f t="shared" si="519"/>
        <v/>
      </c>
    </row>
    <row r="3232" spans="9:21" ht="24.75" customHeight="1" x14ac:dyDescent="0.35">
      <c r="I3232" s="42">
        <f t="shared" si="510"/>
        <v>0</v>
      </c>
      <c r="J3232" s="65" t="e">
        <f t="shared" si="511"/>
        <v>#NUM!</v>
      </c>
      <c r="K3232" s="83" t="e">
        <f t="shared" si="512"/>
        <v>#NUM!</v>
      </c>
      <c r="L3232" s="83">
        <f t="shared" si="513"/>
        <v>0</v>
      </c>
      <c r="M3232" s="110" t="str">
        <f t="shared" si="514"/>
        <v/>
      </c>
      <c r="N3232" s="51" t="str">
        <f t="shared" si="515"/>
        <v/>
      </c>
      <c r="O3232" s="52" t="str">
        <f t="shared" si="516"/>
        <v/>
      </c>
      <c r="P3232" s="88">
        <f t="shared" si="517"/>
        <v>0</v>
      </c>
      <c r="Q3232" s="88">
        <f t="shared" si="518"/>
        <v>0</v>
      </c>
      <c r="R3232" s="88" t="e">
        <f>-IF(Tabla14[[#This Row],[DIAS HABILES O MORA]]&lt;0,(Tabla14[[#This Row],[VALOR PRESTAMO]]*Tabla14[[#This Row],[% INTERES ]]/30*U3232))+Tabla14[[#This Row],[VALOR CUOTAS]]</f>
        <v>#VALUE!</v>
      </c>
      <c r="S3232" s="88">
        <f>-IF(Tabla14[[#This Row],[DIAS HABILES O MORA]]&lt;0,(Tabla14[[#This Row],[VALOR PRESTAMO]]*Tabla14[[#This Row],[% INTERES ]]/30*U3232))</f>
        <v>0</v>
      </c>
      <c r="T3232" s="53" t="e">
        <f>Tabla14[[#This Row],[DEUDA CAPITAL]]+Tabla14[[#This Row],[INTERES  CUOTA]]</f>
        <v>#NUM!</v>
      </c>
      <c r="U3232" s="61" t="str">
        <f t="shared" si="519"/>
        <v/>
      </c>
    </row>
    <row r="3233" spans="9:21" ht="24.75" customHeight="1" x14ac:dyDescent="0.35">
      <c r="I3233" s="42">
        <f t="shared" si="510"/>
        <v>0</v>
      </c>
      <c r="J3233" s="65" t="e">
        <f t="shared" si="511"/>
        <v>#NUM!</v>
      </c>
      <c r="K3233" s="83" t="e">
        <f t="shared" si="512"/>
        <v>#NUM!</v>
      </c>
      <c r="L3233" s="83">
        <f t="shared" si="513"/>
        <v>0</v>
      </c>
      <c r="M3233" s="110" t="str">
        <f t="shared" si="514"/>
        <v/>
      </c>
      <c r="N3233" s="51" t="str">
        <f t="shared" si="515"/>
        <v/>
      </c>
      <c r="O3233" s="52" t="str">
        <f t="shared" si="516"/>
        <v/>
      </c>
      <c r="P3233" s="88">
        <f t="shared" si="517"/>
        <v>0</v>
      </c>
      <c r="Q3233" s="88">
        <f t="shared" si="518"/>
        <v>0</v>
      </c>
      <c r="R3233" s="88" t="e">
        <f>-IF(Tabla14[[#This Row],[DIAS HABILES O MORA]]&lt;0,(Tabla14[[#This Row],[VALOR PRESTAMO]]*Tabla14[[#This Row],[% INTERES ]]/30*U3233))+Tabla14[[#This Row],[VALOR CUOTAS]]</f>
        <v>#VALUE!</v>
      </c>
      <c r="S3233" s="88">
        <f>-IF(Tabla14[[#This Row],[DIAS HABILES O MORA]]&lt;0,(Tabla14[[#This Row],[VALOR PRESTAMO]]*Tabla14[[#This Row],[% INTERES ]]/30*U3233))</f>
        <v>0</v>
      </c>
      <c r="T3233" s="53" t="e">
        <f>Tabla14[[#This Row],[DEUDA CAPITAL]]+Tabla14[[#This Row],[INTERES  CUOTA]]</f>
        <v>#NUM!</v>
      </c>
      <c r="U3233" s="61" t="str">
        <f t="shared" si="519"/>
        <v/>
      </c>
    </row>
    <row r="3234" spans="9:21" ht="24.75" customHeight="1" x14ac:dyDescent="0.35">
      <c r="I3234" s="42">
        <f t="shared" si="510"/>
        <v>0</v>
      </c>
      <c r="J3234" s="65" t="e">
        <f t="shared" si="511"/>
        <v>#NUM!</v>
      </c>
      <c r="K3234" s="83" t="e">
        <f t="shared" si="512"/>
        <v>#NUM!</v>
      </c>
      <c r="L3234" s="83">
        <f t="shared" si="513"/>
        <v>0</v>
      </c>
      <c r="M3234" s="110" t="str">
        <f t="shared" si="514"/>
        <v/>
      </c>
      <c r="N3234" s="51" t="str">
        <f t="shared" si="515"/>
        <v/>
      </c>
      <c r="O3234" s="52" t="str">
        <f t="shared" si="516"/>
        <v/>
      </c>
      <c r="P3234" s="88">
        <f t="shared" si="517"/>
        <v>0</v>
      </c>
      <c r="Q3234" s="88">
        <f t="shared" si="518"/>
        <v>0</v>
      </c>
      <c r="R3234" s="88" t="e">
        <f>-IF(Tabla14[[#This Row],[DIAS HABILES O MORA]]&lt;0,(Tabla14[[#This Row],[VALOR PRESTAMO]]*Tabla14[[#This Row],[% INTERES ]]/30*U3234))+Tabla14[[#This Row],[VALOR CUOTAS]]</f>
        <v>#VALUE!</v>
      </c>
      <c r="S3234" s="88">
        <f>-IF(Tabla14[[#This Row],[DIAS HABILES O MORA]]&lt;0,(Tabla14[[#This Row],[VALOR PRESTAMO]]*Tabla14[[#This Row],[% INTERES ]]/30*U3234))</f>
        <v>0</v>
      </c>
      <c r="T3234" s="53" t="e">
        <f>Tabla14[[#This Row],[DEUDA CAPITAL]]+Tabla14[[#This Row],[INTERES  CUOTA]]</f>
        <v>#NUM!</v>
      </c>
      <c r="U3234" s="61" t="str">
        <f t="shared" si="519"/>
        <v/>
      </c>
    </row>
    <row r="3235" spans="9:21" ht="24.75" customHeight="1" x14ac:dyDescent="0.35">
      <c r="I3235" s="42">
        <f t="shared" si="510"/>
        <v>0</v>
      </c>
      <c r="J3235" s="65" t="e">
        <f t="shared" si="511"/>
        <v>#NUM!</v>
      </c>
      <c r="K3235" s="83" t="e">
        <f t="shared" si="512"/>
        <v>#NUM!</v>
      </c>
      <c r="L3235" s="83">
        <f t="shared" si="513"/>
        <v>0</v>
      </c>
      <c r="M3235" s="110" t="str">
        <f t="shared" si="514"/>
        <v/>
      </c>
      <c r="N3235" s="51" t="str">
        <f t="shared" si="515"/>
        <v/>
      </c>
      <c r="O3235" s="52" t="str">
        <f t="shared" si="516"/>
        <v/>
      </c>
      <c r="P3235" s="88">
        <f t="shared" si="517"/>
        <v>0</v>
      </c>
      <c r="Q3235" s="88">
        <f t="shared" si="518"/>
        <v>0</v>
      </c>
      <c r="R3235" s="88" t="e">
        <f>-IF(Tabla14[[#This Row],[DIAS HABILES O MORA]]&lt;0,(Tabla14[[#This Row],[VALOR PRESTAMO]]*Tabla14[[#This Row],[% INTERES ]]/30*U3235))+Tabla14[[#This Row],[VALOR CUOTAS]]</f>
        <v>#VALUE!</v>
      </c>
      <c r="S3235" s="88">
        <f>-IF(Tabla14[[#This Row],[DIAS HABILES O MORA]]&lt;0,(Tabla14[[#This Row],[VALOR PRESTAMO]]*Tabla14[[#This Row],[% INTERES ]]/30*U3235))</f>
        <v>0</v>
      </c>
      <c r="T3235" s="53" t="e">
        <f>Tabla14[[#This Row],[DEUDA CAPITAL]]+Tabla14[[#This Row],[INTERES  CUOTA]]</f>
        <v>#NUM!</v>
      </c>
      <c r="U3235" s="61" t="str">
        <f t="shared" si="519"/>
        <v/>
      </c>
    </row>
    <row r="3236" spans="9:21" ht="24.75" customHeight="1" x14ac:dyDescent="0.35">
      <c r="I3236" s="42">
        <f t="shared" si="510"/>
        <v>0</v>
      </c>
      <c r="J3236" s="65" t="e">
        <f t="shared" si="511"/>
        <v>#NUM!</v>
      </c>
      <c r="K3236" s="83" t="e">
        <f t="shared" si="512"/>
        <v>#NUM!</v>
      </c>
      <c r="L3236" s="83">
        <f t="shared" si="513"/>
        <v>0</v>
      </c>
      <c r="M3236" s="110" t="str">
        <f t="shared" si="514"/>
        <v/>
      </c>
      <c r="N3236" s="51" t="str">
        <f t="shared" si="515"/>
        <v/>
      </c>
      <c r="O3236" s="52" t="str">
        <f t="shared" si="516"/>
        <v/>
      </c>
      <c r="P3236" s="88">
        <f t="shared" si="517"/>
        <v>0</v>
      </c>
      <c r="Q3236" s="88">
        <f t="shared" si="518"/>
        <v>0</v>
      </c>
      <c r="R3236" s="88" t="e">
        <f>-IF(Tabla14[[#This Row],[DIAS HABILES O MORA]]&lt;0,(Tabla14[[#This Row],[VALOR PRESTAMO]]*Tabla14[[#This Row],[% INTERES ]]/30*U3236))+Tabla14[[#This Row],[VALOR CUOTAS]]</f>
        <v>#VALUE!</v>
      </c>
      <c r="S3236" s="88">
        <f>-IF(Tabla14[[#This Row],[DIAS HABILES O MORA]]&lt;0,(Tabla14[[#This Row],[VALOR PRESTAMO]]*Tabla14[[#This Row],[% INTERES ]]/30*U3236))</f>
        <v>0</v>
      </c>
      <c r="T3236" s="53" t="e">
        <f>Tabla14[[#This Row],[DEUDA CAPITAL]]+Tabla14[[#This Row],[INTERES  CUOTA]]</f>
        <v>#NUM!</v>
      </c>
      <c r="U3236" s="61" t="str">
        <f t="shared" si="519"/>
        <v/>
      </c>
    </row>
    <row r="3237" spans="9:21" ht="24.75" customHeight="1" x14ac:dyDescent="0.35">
      <c r="I3237" s="42">
        <f t="shared" si="510"/>
        <v>0</v>
      </c>
      <c r="J3237" s="65" t="e">
        <f t="shared" si="511"/>
        <v>#NUM!</v>
      </c>
      <c r="K3237" s="83" t="e">
        <f t="shared" si="512"/>
        <v>#NUM!</v>
      </c>
      <c r="L3237" s="83">
        <f t="shared" si="513"/>
        <v>0</v>
      </c>
      <c r="M3237" s="110" t="str">
        <f t="shared" si="514"/>
        <v/>
      </c>
      <c r="N3237" s="51" t="str">
        <f t="shared" si="515"/>
        <v/>
      </c>
      <c r="O3237" s="52" t="str">
        <f t="shared" si="516"/>
        <v/>
      </c>
      <c r="P3237" s="88">
        <f t="shared" si="517"/>
        <v>0</v>
      </c>
      <c r="Q3237" s="88">
        <f t="shared" si="518"/>
        <v>0</v>
      </c>
      <c r="R3237" s="88" t="e">
        <f>-IF(Tabla14[[#This Row],[DIAS HABILES O MORA]]&lt;0,(Tabla14[[#This Row],[VALOR PRESTAMO]]*Tabla14[[#This Row],[% INTERES ]]/30*U3237))+Tabla14[[#This Row],[VALOR CUOTAS]]</f>
        <v>#VALUE!</v>
      </c>
      <c r="S3237" s="88">
        <f>-IF(Tabla14[[#This Row],[DIAS HABILES O MORA]]&lt;0,(Tabla14[[#This Row],[VALOR PRESTAMO]]*Tabla14[[#This Row],[% INTERES ]]/30*U3237))</f>
        <v>0</v>
      </c>
      <c r="T3237" s="53" t="e">
        <f>Tabla14[[#This Row],[DEUDA CAPITAL]]+Tabla14[[#This Row],[INTERES  CUOTA]]</f>
        <v>#NUM!</v>
      </c>
      <c r="U3237" s="61" t="str">
        <f t="shared" si="519"/>
        <v/>
      </c>
    </row>
    <row r="3238" spans="9:21" ht="24.75" customHeight="1" x14ac:dyDescent="0.35">
      <c r="I3238" s="42">
        <f t="shared" si="510"/>
        <v>0</v>
      </c>
      <c r="J3238" s="65" t="e">
        <f t="shared" si="511"/>
        <v>#NUM!</v>
      </c>
      <c r="K3238" s="83" t="e">
        <f t="shared" si="512"/>
        <v>#NUM!</v>
      </c>
      <c r="L3238" s="83">
        <f t="shared" si="513"/>
        <v>0</v>
      </c>
      <c r="M3238" s="110" t="str">
        <f t="shared" si="514"/>
        <v/>
      </c>
      <c r="N3238" s="51" t="str">
        <f t="shared" si="515"/>
        <v/>
      </c>
      <c r="O3238" s="52" t="str">
        <f t="shared" si="516"/>
        <v/>
      </c>
      <c r="P3238" s="88">
        <f t="shared" si="517"/>
        <v>0</v>
      </c>
      <c r="Q3238" s="88">
        <f t="shared" si="518"/>
        <v>0</v>
      </c>
      <c r="R3238" s="88" t="e">
        <f>-IF(Tabla14[[#This Row],[DIAS HABILES O MORA]]&lt;0,(Tabla14[[#This Row],[VALOR PRESTAMO]]*Tabla14[[#This Row],[% INTERES ]]/30*U3238))+Tabla14[[#This Row],[VALOR CUOTAS]]</f>
        <v>#VALUE!</v>
      </c>
      <c r="S3238" s="88">
        <f>-IF(Tabla14[[#This Row],[DIAS HABILES O MORA]]&lt;0,(Tabla14[[#This Row],[VALOR PRESTAMO]]*Tabla14[[#This Row],[% INTERES ]]/30*U3238))</f>
        <v>0</v>
      </c>
      <c r="T3238" s="53" t="e">
        <f>Tabla14[[#This Row],[DEUDA CAPITAL]]+Tabla14[[#This Row],[INTERES  CUOTA]]</f>
        <v>#NUM!</v>
      </c>
      <c r="U3238" s="61" t="str">
        <f t="shared" si="519"/>
        <v/>
      </c>
    </row>
    <row r="3239" spans="9:21" ht="24.75" customHeight="1" x14ac:dyDescent="0.35">
      <c r="I3239" s="42">
        <f t="shared" si="510"/>
        <v>0</v>
      </c>
      <c r="J3239" s="65" t="e">
        <f t="shared" si="511"/>
        <v>#NUM!</v>
      </c>
      <c r="K3239" s="83" t="e">
        <f t="shared" si="512"/>
        <v>#NUM!</v>
      </c>
      <c r="L3239" s="83">
        <f t="shared" si="513"/>
        <v>0</v>
      </c>
      <c r="M3239" s="110" t="str">
        <f t="shared" si="514"/>
        <v/>
      </c>
      <c r="N3239" s="51" t="str">
        <f t="shared" si="515"/>
        <v/>
      </c>
      <c r="O3239" s="52" t="str">
        <f t="shared" si="516"/>
        <v/>
      </c>
      <c r="P3239" s="88">
        <f t="shared" si="517"/>
        <v>0</v>
      </c>
      <c r="Q3239" s="88">
        <f t="shared" si="518"/>
        <v>0</v>
      </c>
      <c r="R3239" s="88" t="e">
        <f>-IF(Tabla14[[#This Row],[DIAS HABILES O MORA]]&lt;0,(Tabla14[[#This Row],[VALOR PRESTAMO]]*Tabla14[[#This Row],[% INTERES ]]/30*U3239))+Tabla14[[#This Row],[VALOR CUOTAS]]</f>
        <v>#VALUE!</v>
      </c>
      <c r="S3239" s="88">
        <f>-IF(Tabla14[[#This Row],[DIAS HABILES O MORA]]&lt;0,(Tabla14[[#This Row],[VALOR PRESTAMO]]*Tabla14[[#This Row],[% INTERES ]]/30*U3239))</f>
        <v>0</v>
      </c>
      <c r="T3239" s="53" t="e">
        <f>Tabla14[[#This Row],[DEUDA CAPITAL]]+Tabla14[[#This Row],[INTERES  CUOTA]]</f>
        <v>#NUM!</v>
      </c>
      <c r="U3239" s="61" t="str">
        <f t="shared" si="519"/>
        <v/>
      </c>
    </row>
    <row r="3240" spans="9:21" ht="24.75" customHeight="1" x14ac:dyDescent="0.35">
      <c r="I3240" s="42">
        <f t="shared" si="510"/>
        <v>0</v>
      </c>
      <c r="J3240" s="65" t="e">
        <f t="shared" si="511"/>
        <v>#NUM!</v>
      </c>
      <c r="K3240" s="83" t="e">
        <f t="shared" si="512"/>
        <v>#NUM!</v>
      </c>
      <c r="L3240" s="83">
        <f t="shared" si="513"/>
        <v>0</v>
      </c>
      <c r="M3240" s="110" t="str">
        <f t="shared" si="514"/>
        <v/>
      </c>
      <c r="N3240" s="51" t="str">
        <f t="shared" si="515"/>
        <v/>
      </c>
      <c r="O3240" s="52" t="str">
        <f t="shared" si="516"/>
        <v/>
      </c>
      <c r="P3240" s="88">
        <f t="shared" si="517"/>
        <v>0</v>
      </c>
      <c r="Q3240" s="88">
        <f t="shared" si="518"/>
        <v>0</v>
      </c>
      <c r="R3240" s="88" t="e">
        <f>-IF(Tabla14[[#This Row],[DIAS HABILES O MORA]]&lt;0,(Tabla14[[#This Row],[VALOR PRESTAMO]]*Tabla14[[#This Row],[% INTERES ]]/30*U3240))+Tabla14[[#This Row],[VALOR CUOTAS]]</f>
        <v>#VALUE!</v>
      </c>
      <c r="S3240" s="88">
        <f>-IF(Tabla14[[#This Row],[DIAS HABILES O MORA]]&lt;0,(Tabla14[[#This Row],[VALOR PRESTAMO]]*Tabla14[[#This Row],[% INTERES ]]/30*U3240))</f>
        <v>0</v>
      </c>
      <c r="T3240" s="53" t="e">
        <f>Tabla14[[#This Row],[DEUDA CAPITAL]]+Tabla14[[#This Row],[INTERES  CUOTA]]</f>
        <v>#NUM!</v>
      </c>
      <c r="U3240" s="61" t="str">
        <f t="shared" si="519"/>
        <v/>
      </c>
    </row>
    <row r="3241" spans="9:21" ht="24.75" customHeight="1" x14ac:dyDescent="0.35">
      <c r="I3241" s="42">
        <f t="shared" si="510"/>
        <v>0</v>
      </c>
      <c r="J3241" s="65" t="e">
        <f t="shared" si="511"/>
        <v>#NUM!</v>
      </c>
      <c r="K3241" s="83" t="e">
        <f t="shared" si="512"/>
        <v>#NUM!</v>
      </c>
      <c r="L3241" s="83">
        <f t="shared" si="513"/>
        <v>0</v>
      </c>
      <c r="M3241" s="110" t="str">
        <f t="shared" si="514"/>
        <v/>
      </c>
      <c r="N3241" s="51" t="str">
        <f t="shared" si="515"/>
        <v/>
      </c>
      <c r="O3241" s="52" t="str">
        <f t="shared" si="516"/>
        <v/>
      </c>
      <c r="P3241" s="88">
        <f t="shared" si="517"/>
        <v>0</v>
      </c>
      <c r="Q3241" s="88">
        <f t="shared" si="518"/>
        <v>0</v>
      </c>
      <c r="R3241" s="88" t="e">
        <f>-IF(Tabla14[[#This Row],[DIAS HABILES O MORA]]&lt;0,(Tabla14[[#This Row],[VALOR PRESTAMO]]*Tabla14[[#This Row],[% INTERES ]]/30*U3241))+Tabla14[[#This Row],[VALOR CUOTAS]]</f>
        <v>#VALUE!</v>
      </c>
      <c r="S3241" s="88">
        <f>-IF(Tabla14[[#This Row],[DIAS HABILES O MORA]]&lt;0,(Tabla14[[#This Row],[VALOR PRESTAMO]]*Tabla14[[#This Row],[% INTERES ]]/30*U3241))</f>
        <v>0</v>
      </c>
      <c r="T3241" s="53" t="e">
        <f>Tabla14[[#This Row],[DEUDA CAPITAL]]+Tabla14[[#This Row],[INTERES  CUOTA]]</f>
        <v>#NUM!</v>
      </c>
      <c r="U3241" s="61" t="str">
        <f t="shared" si="519"/>
        <v/>
      </c>
    </row>
    <row r="3242" spans="9:21" ht="24.75" customHeight="1" x14ac:dyDescent="0.35">
      <c r="I3242" s="42">
        <f t="shared" si="510"/>
        <v>0</v>
      </c>
      <c r="J3242" s="65" t="e">
        <f t="shared" si="511"/>
        <v>#NUM!</v>
      </c>
      <c r="K3242" s="83" t="e">
        <f t="shared" si="512"/>
        <v>#NUM!</v>
      </c>
      <c r="L3242" s="83">
        <f t="shared" si="513"/>
        <v>0</v>
      </c>
      <c r="M3242" s="110" t="str">
        <f t="shared" si="514"/>
        <v/>
      </c>
      <c r="N3242" s="51" t="str">
        <f t="shared" si="515"/>
        <v/>
      </c>
      <c r="O3242" s="52" t="str">
        <f t="shared" si="516"/>
        <v/>
      </c>
      <c r="P3242" s="88">
        <f t="shared" si="517"/>
        <v>0</v>
      </c>
      <c r="Q3242" s="88">
        <f t="shared" si="518"/>
        <v>0</v>
      </c>
      <c r="R3242" s="88" t="e">
        <f>-IF(Tabla14[[#This Row],[DIAS HABILES O MORA]]&lt;0,(Tabla14[[#This Row],[VALOR PRESTAMO]]*Tabla14[[#This Row],[% INTERES ]]/30*U3242))+Tabla14[[#This Row],[VALOR CUOTAS]]</f>
        <v>#VALUE!</v>
      </c>
      <c r="S3242" s="88">
        <f>-IF(Tabla14[[#This Row],[DIAS HABILES O MORA]]&lt;0,(Tabla14[[#This Row],[VALOR PRESTAMO]]*Tabla14[[#This Row],[% INTERES ]]/30*U3242))</f>
        <v>0</v>
      </c>
      <c r="T3242" s="53" t="e">
        <f>Tabla14[[#This Row],[DEUDA CAPITAL]]+Tabla14[[#This Row],[INTERES  CUOTA]]</f>
        <v>#NUM!</v>
      </c>
      <c r="U3242" s="61" t="str">
        <f t="shared" si="519"/>
        <v/>
      </c>
    </row>
    <row r="3243" spans="9:21" ht="24.75" customHeight="1" x14ac:dyDescent="0.35">
      <c r="I3243" s="42">
        <f t="shared" si="510"/>
        <v>0</v>
      </c>
      <c r="J3243" s="65" t="e">
        <f t="shared" si="511"/>
        <v>#NUM!</v>
      </c>
      <c r="K3243" s="83" t="e">
        <f t="shared" si="512"/>
        <v>#NUM!</v>
      </c>
      <c r="L3243" s="83">
        <f t="shared" si="513"/>
        <v>0</v>
      </c>
      <c r="M3243" s="110" t="str">
        <f t="shared" si="514"/>
        <v/>
      </c>
      <c r="N3243" s="51" t="str">
        <f t="shared" si="515"/>
        <v/>
      </c>
      <c r="O3243" s="52" t="str">
        <f t="shared" si="516"/>
        <v/>
      </c>
      <c r="P3243" s="88">
        <f t="shared" si="517"/>
        <v>0</v>
      </c>
      <c r="Q3243" s="88">
        <f t="shared" si="518"/>
        <v>0</v>
      </c>
      <c r="R3243" s="88" t="e">
        <f>-IF(Tabla14[[#This Row],[DIAS HABILES O MORA]]&lt;0,(Tabla14[[#This Row],[VALOR PRESTAMO]]*Tabla14[[#This Row],[% INTERES ]]/30*U3243))+Tabla14[[#This Row],[VALOR CUOTAS]]</f>
        <v>#VALUE!</v>
      </c>
      <c r="S3243" s="88">
        <f>-IF(Tabla14[[#This Row],[DIAS HABILES O MORA]]&lt;0,(Tabla14[[#This Row],[VALOR PRESTAMO]]*Tabla14[[#This Row],[% INTERES ]]/30*U3243))</f>
        <v>0</v>
      </c>
      <c r="T3243" s="53" t="e">
        <f>Tabla14[[#This Row],[DEUDA CAPITAL]]+Tabla14[[#This Row],[INTERES  CUOTA]]</f>
        <v>#NUM!</v>
      </c>
      <c r="U3243" s="61" t="str">
        <f t="shared" si="519"/>
        <v/>
      </c>
    </row>
    <row r="3244" spans="9:21" ht="24.75" customHeight="1" x14ac:dyDescent="0.35">
      <c r="I3244" s="42">
        <f t="shared" si="510"/>
        <v>0</v>
      </c>
      <c r="J3244" s="65" t="e">
        <f t="shared" si="511"/>
        <v>#NUM!</v>
      </c>
      <c r="K3244" s="83" t="e">
        <f t="shared" si="512"/>
        <v>#NUM!</v>
      </c>
      <c r="L3244" s="83">
        <f t="shared" si="513"/>
        <v>0</v>
      </c>
      <c r="M3244" s="110" t="str">
        <f t="shared" si="514"/>
        <v/>
      </c>
      <c r="N3244" s="51" t="str">
        <f t="shared" si="515"/>
        <v/>
      </c>
      <c r="O3244" s="52" t="str">
        <f t="shared" si="516"/>
        <v/>
      </c>
      <c r="P3244" s="88">
        <f t="shared" si="517"/>
        <v>0</v>
      </c>
      <c r="Q3244" s="88">
        <f t="shared" si="518"/>
        <v>0</v>
      </c>
      <c r="R3244" s="88" t="e">
        <f>-IF(Tabla14[[#This Row],[DIAS HABILES O MORA]]&lt;0,(Tabla14[[#This Row],[VALOR PRESTAMO]]*Tabla14[[#This Row],[% INTERES ]]/30*U3244))+Tabla14[[#This Row],[VALOR CUOTAS]]</f>
        <v>#VALUE!</v>
      </c>
      <c r="S3244" s="88">
        <f>-IF(Tabla14[[#This Row],[DIAS HABILES O MORA]]&lt;0,(Tabla14[[#This Row],[VALOR PRESTAMO]]*Tabla14[[#This Row],[% INTERES ]]/30*U3244))</f>
        <v>0</v>
      </c>
      <c r="T3244" s="53" t="e">
        <f>Tabla14[[#This Row],[DEUDA CAPITAL]]+Tabla14[[#This Row],[INTERES  CUOTA]]</f>
        <v>#NUM!</v>
      </c>
      <c r="U3244" s="61" t="str">
        <f t="shared" si="519"/>
        <v/>
      </c>
    </row>
    <row r="3245" spans="9:21" ht="24.75" customHeight="1" x14ac:dyDescent="0.35">
      <c r="I3245" s="42">
        <f t="shared" si="510"/>
        <v>0</v>
      </c>
      <c r="J3245" s="65" t="e">
        <f t="shared" si="511"/>
        <v>#NUM!</v>
      </c>
      <c r="K3245" s="83" t="e">
        <f t="shared" si="512"/>
        <v>#NUM!</v>
      </c>
      <c r="L3245" s="83">
        <f t="shared" si="513"/>
        <v>0</v>
      </c>
      <c r="M3245" s="110" t="str">
        <f t="shared" si="514"/>
        <v/>
      </c>
      <c r="N3245" s="51" t="str">
        <f t="shared" si="515"/>
        <v/>
      </c>
      <c r="O3245" s="52" t="str">
        <f t="shared" si="516"/>
        <v/>
      </c>
      <c r="P3245" s="88">
        <f t="shared" si="517"/>
        <v>0</v>
      </c>
      <c r="Q3245" s="88">
        <f t="shared" si="518"/>
        <v>0</v>
      </c>
      <c r="R3245" s="88" t="e">
        <f>-IF(Tabla14[[#This Row],[DIAS HABILES O MORA]]&lt;0,(Tabla14[[#This Row],[VALOR PRESTAMO]]*Tabla14[[#This Row],[% INTERES ]]/30*U3245))+Tabla14[[#This Row],[VALOR CUOTAS]]</f>
        <v>#VALUE!</v>
      </c>
      <c r="S3245" s="88">
        <f>-IF(Tabla14[[#This Row],[DIAS HABILES O MORA]]&lt;0,(Tabla14[[#This Row],[VALOR PRESTAMO]]*Tabla14[[#This Row],[% INTERES ]]/30*U3245))</f>
        <v>0</v>
      </c>
      <c r="T3245" s="53" t="e">
        <f>Tabla14[[#This Row],[DEUDA CAPITAL]]+Tabla14[[#This Row],[INTERES  CUOTA]]</f>
        <v>#NUM!</v>
      </c>
      <c r="U3245" s="61" t="str">
        <f t="shared" si="519"/>
        <v/>
      </c>
    </row>
    <row r="3246" spans="9:21" ht="24.75" customHeight="1" x14ac:dyDescent="0.35">
      <c r="I3246" s="42">
        <f t="shared" si="510"/>
        <v>0</v>
      </c>
      <c r="J3246" s="65" t="e">
        <f t="shared" si="511"/>
        <v>#NUM!</v>
      </c>
      <c r="K3246" s="83" t="e">
        <f t="shared" si="512"/>
        <v>#NUM!</v>
      </c>
      <c r="L3246" s="83">
        <f t="shared" si="513"/>
        <v>0</v>
      </c>
      <c r="M3246" s="110" t="str">
        <f t="shared" si="514"/>
        <v/>
      </c>
      <c r="N3246" s="51" t="str">
        <f t="shared" si="515"/>
        <v/>
      </c>
      <c r="O3246" s="52" t="str">
        <f t="shared" si="516"/>
        <v/>
      </c>
      <c r="P3246" s="88">
        <f t="shared" si="517"/>
        <v>0</v>
      </c>
      <c r="Q3246" s="88">
        <f t="shared" si="518"/>
        <v>0</v>
      </c>
      <c r="R3246" s="88" t="e">
        <f>-IF(Tabla14[[#This Row],[DIAS HABILES O MORA]]&lt;0,(Tabla14[[#This Row],[VALOR PRESTAMO]]*Tabla14[[#This Row],[% INTERES ]]/30*U3246))+Tabla14[[#This Row],[VALOR CUOTAS]]</f>
        <v>#VALUE!</v>
      </c>
      <c r="S3246" s="88">
        <f>-IF(Tabla14[[#This Row],[DIAS HABILES O MORA]]&lt;0,(Tabla14[[#This Row],[VALOR PRESTAMO]]*Tabla14[[#This Row],[% INTERES ]]/30*U3246))</f>
        <v>0</v>
      </c>
      <c r="T3246" s="53" t="e">
        <f>Tabla14[[#This Row],[DEUDA CAPITAL]]+Tabla14[[#This Row],[INTERES  CUOTA]]</f>
        <v>#NUM!</v>
      </c>
      <c r="U3246" s="61" t="str">
        <f t="shared" si="519"/>
        <v/>
      </c>
    </row>
    <row r="3247" spans="9:21" ht="24.75" customHeight="1" x14ac:dyDescent="0.35">
      <c r="I3247" s="42">
        <f t="shared" si="510"/>
        <v>0</v>
      </c>
      <c r="J3247" s="65" t="e">
        <f t="shared" si="511"/>
        <v>#NUM!</v>
      </c>
      <c r="K3247" s="83" t="e">
        <f t="shared" si="512"/>
        <v>#NUM!</v>
      </c>
      <c r="L3247" s="83">
        <f t="shared" si="513"/>
        <v>0</v>
      </c>
      <c r="M3247" s="110" t="str">
        <f t="shared" si="514"/>
        <v/>
      </c>
      <c r="N3247" s="51" t="str">
        <f t="shared" si="515"/>
        <v/>
      </c>
      <c r="O3247" s="52" t="str">
        <f t="shared" si="516"/>
        <v/>
      </c>
      <c r="P3247" s="88">
        <f t="shared" si="517"/>
        <v>0</v>
      </c>
      <c r="Q3247" s="88">
        <f t="shared" si="518"/>
        <v>0</v>
      </c>
      <c r="R3247" s="88" t="e">
        <f>-IF(Tabla14[[#This Row],[DIAS HABILES O MORA]]&lt;0,(Tabla14[[#This Row],[VALOR PRESTAMO]]*Tabla14[[#This Row],[% INTERES ]]/30*U3247))+Tabla14[[#This Row],[VALOR CUOTAS]]</f>
        <v>#VALUE!</v>
      </c>
      <c r="S3247" s="88">
        <f>-IF(Tabla14[[#This Row],[DIAS HABILES O MORA]]&lt;0,(Tabla14[[#This Row],[VALOR PRESTAMO]]*Tabla14[[#This Row],[% INTERES ]]/30*U3247))</f>
        <v>0</v>
      </c>
      <c r="T3247" s="53" t="e">
        <f>Tabla14[[#This Row],[DEUDA CAPITAL]]+Tabla14[[#This Row],[INTERES  CUOTA]]</f>
        <v>#NUM!</v>
      </c>
      <c r="U3247" s="61" t="str">
        <f t="shared" si="519"/>
        <v/>
      </c>
    </row>
    <row r="3248" spans="9:21" ht="24.75" customHeight="1" x14ac:dyDescent="0.35">
      <c r="I3248" s="42">
        <f t="shared" si="510"/>
        <v>0</v>
      </c>
      <c r="J3248" s="65" t="e">
        <f t="shared" si="511"/>
        <v>#NUM!</v>
      </c>
      <c r="K3248" s="83" t="e">
        <f t="shared" si="512"/>
        <v>#NUM!</v>
      </c>
      <c r="L3248" s="83">
        <f t="shared" si="513"/>
        <v>0</v>
      </c>
      <c r="M3248" s="110" t="str">
        <f t="shared" si="514"/>
        <v/>
      </c>
      <c r="N3248" s="51" t="str">
        <f t="shared" si="515"/>
        <v/>
      </c>
      <c r="O3248" s="52" t="str">
        <f t="shared" si="516"/>
        <v/>
      </c>
      <c r="P3248" s="88">
        <f t="shared" si="517"/>
        <v>0</v>
      </c>
      <c r="Q3248" s="88">
        <f t="shared" si="518"/>
        <v>0</v>
      </c>
      <c r="R3248" s="88" t="e">
        <f>-IF(Tabla14[[#This Row],[DIAS HABILES O MORA]]&lt;0,(Tabla14[[#This Row],[VALOR PRESTAMO]]*Tabla14[[#This Row],[% INTERES ]]/30*U3248))+Tabla14[[#This Row],[VALOR CUOTAS]]</f>
        <v>#VALUE!</v>
      </c>
      <c r="S3248" s="88">
        <f>-IF(Tabla14[[#This Row],[DIAS HABILES O MORA]]&lt;0,(Tabla14[[#This Row],[VALOR PRESTAMO]]*Tabla14[[#This Row],[% INTERES ]]/30*U3248))</f>
        <v>0</v>
      </c>
      <c r="T3248" s="53" t="e">
        <f>Tabla14[[#This Row],[DEUDA CAPITAL]]+Tabla14[[#This Row],[INTERES  CUOTA]]</f>
        <v>#NUM!</v>
      </c>
      <c r="U3248" s="61" t="str">
        <f t="shared" si="519"/>
        <v/>
      </c>
    </row>
    <row r="3249" spans="9:21" ht="24.75" customHeight="1" x14ac:dyDescent="0.35">
      <c r="I3249" s="42">
        <f t="shared" si="510"/>
        <v>0</v>
      </c>
      <c r="J3249" s="65" t="e">
        <f t="shared" si="511"/>
        <v>#NUM!</v>
      </c>
      <c r="K3249" s="83" t="e">
        <f t="shared" si="512"/>
        <v>#NUM!</v>
      </c>
      <c r="L3249" s="83">
        <f t="shared" si="513"/>
        <v>0</v>
      </c>
      <c r="M3249" s="110" t="str">
        <f t="shared" si="514"/>
        <v/>
      </c>
      <c r="N3249" s="51" t="str">
        <f t="shared" si="515"/>
        <v/>
      </c>
      <c r="O3249" s="52" t="str">
        <f t="shared" si="516"/>
        <v/>
      </c>
      <c r="P3249" s="88">
        <f t="shared" si="517"/>
        <v>0</v>
      </c>
      <c r="Q3249" s="88">
        <f t="shared" si="518"/>
        <v>0</v>
      </c>
      <c r="R3249" s="88" t="e">
        <f>-IF(Tabla14[[#This Row],[DIAS HABILES O MORA]]&lt;0,(Tabla14[[#This Row],[VALOR PRESTAMO]]*Tabla14[[#This Row],[% INTERES ]]/30*U3249))+Tabla14[[#This Row],[VALOR CUOTAS]]</f>
        <v>#VALUE!</v>
      </c>
      <c r="S3249" s="88">
        <f>-IF(Tabla14[[#This Row],[DIAS HABILES O MORA]]&lt;0,(Tabla14[[#This Row],[VALOR PRESTAMO]]*Tabla14[[#This Row],[% INTERES ]]/30*U3249))</f>
        <v>0</v>
      </c>
      <c r="T3249" s="53" t="e">
        <f>Tabla14[[#This Row],[DEUDA CAPITAL]]+Tabla14[[#This Row],[INTERES  CUOTA]]</f>
        <v>#NUM!</v>
      </c>
      <c r="U3249" s="61" t="str">
        <f t="shared" si="519"/>
        <v/>
      </c>
    </row>
    <row r="3250" spans="9:21" ht="24.75" customHeight="1" x14ac:dyDescent="0.35">
      <c r="I3250" s="42">
        <f t="shared" si="510"/>
        <v>0</v>
      </c>
      <c r="J3250" s="65" t="e">
        <f t="shared" si="511"/>
        <v>#NUM!</v>
      </c>
      <c r="K3250" s="83" t="e">
        <f t="shared" si="512"/>
        <v>#NUM!</v>
      </c>
      <c r="L3250" s="83">
        <f t="shared" si="513"/>
        <v>0</v>
      </c>
      <c r="M3250" s="110" t="str">
        <f t="shared" si="514"/>
        <v/>
      </c>
      <c r="N3250" s="51" t="str">
        <f t="shared" si="515"/>
        <v/>
      </c>
      <c r="O3250" s="52" t="str">
        <f t="shared" si="516"/>
        <v/>
      </c>
      <c r="P3250" s="88">
        <f t="shared" si="517"/>
        <v>0</v>
      </c>
      <c r="Q3250" s="88">
        <f t="shared" si="518"/>
        <v>0</v>
      </c>
      <c r="R3250" s="88" t="e">
        <f>-IF(Tabla14[[#This Row],[DIAS HABILES O MORA]]&lt;0,(Tabla14[[#This Row],[VALOR PRESTAMO]]*Tabla14[[#This Row],[% INTERES ]]/30*U3250))+Tabla14[[#This Row],[VALOR CUOTAS]]</f>
        <v>#VALUE!</v>
      </c>
      <c r="S3250" s="88">
        <f>-IF(Tabla14[[#This Row],[DIAS HABILES O MORA]]&lt;0,(Tabla14[[#This Row],[VALOR PRESTAMO]]*Tabla14[[#This Row],[% INTERES ]]/30*U3250))</f>
        <v>0</v>
      </c>
      <c r="T3250" s="53" t="e">
        <f>Tabla14[[#This Row],[DEUDA CAPITAL]]+Tabla14[[#This Row],[INTERES  CUOTA]]</f>
        <v>#NUM!</v>
      </c>
      <c r="U3250" s="61" t="str">
        <f t="shared" si="519"/>
        <v/>
      </c>
    </row>
    <row r="3251" spans="9:21" ht="24.75" customHeight="1" x14ac:dyDescent="0.35">
      <c r="I3251" s="42">
        <f t="shared" si="510"/>
        <v>0</v>
      </c>
      <c r="J3251" s="65" t="e">
        <f t="shared" si="511"/>
        <v>#NUM!</v>
      </c>
      <c r="K3251" s="83" t="e">
        <f t="shared" si="512"/>
        <v>#NUM!</v>
      </c>
      <c r="L3251" s="83">
        <f t="shared" si="513"/>
        <v>0</v>
      </c>
      <c r="M3251" s="110" t="str">
        <f t="shared" si="514"/>
        <v/>
      </c>
      <c r="N3251" s="51" t="str">
        <f t="shared" si="515"/>
        <v/>
      </c>
      <c r="O3251" s="52" t="str">
        <f t="shared" si="516"/>
        <v/>
      </c>
      <c r="P3251" s="88">
        <f t="shared" si="517"/>
        <v>0</v>
      </c>
      <c r="Q3251" s="88">
        <f t="shared" si="518"/>
        <v>0</v>
      </c>
      <c r="R3251" s="88" t="e">
        <f>-IF(Tabla14[[#This Row],[DIAS HABILES O MORA]]&lt;0,(Tabla14[[#This Row],[VALOR PRESTAMO]]*Tabla14[[#This Row],[% INTERES ]]/30*U3251))+Tabla14[[#This Row],[VALOR CUOTAS]]</f>
        <v>#VALUE!</v>
      </c>
      <c r="S3251" s="88">
        <f>-IF(Tabla14[[#This Row],[DIAS HABILES O MORA]]&lt;0,(Tabla14[[#This Row],[VALOR PRESTAMO]]*Tabla14[[#This Row],[% INTERES ]]/30*U3251))</f>
        <v>0</v>
      </c>
      <c r="T3251" s="53" t="e">
        <f>Tabla14[[#This Row],[DEUDA CAPITAL]]+Tabla14[[#This Row],[INTERES  CUOTA]]</f>
        <v>#NUM!</v>
      </c>
      <c r="U3251" s="61" t="str">
        <f t="shared" si="519"/>
        <v/>
      </c>
    </row>
    <row r="3252" spans="9:21" ht="24.75" customHeight="1" x14ac:dyDescent="0.35">
      <c r="I3252" s="42">
        <f t="shared" si="510"/>
        <v>0</v>
      </c>
      <c r="J3252" s="65" t="e">
        <f t="shared" si="511"/>
        <v>#NUM!</v>
      </c>
      <c r="K3252" s="83" t="e">
        <f t="shared" si="512"/>
        <v>#NUM!</v>
      </c>
      <c r="L3252" s="83">
        <f t="shared" si="513"/>
        <v>0</v>
      </c>
      <c r="M3252" s="110" t="str">
        <f t="shared" si="514"/>
        <v/>
      </c>
      <c r="N3252" s="51" t="str">
        <f t="shared" si="515"/>
        <v/>
      </c>
      <c r="O3252" s="52" t="str">
        <f t="shared" si="516"/>
        <v/>
      </c>
      <c r="P3252" s="88">
        <f t="shared" si="517"/>
        <v>0</v>
      </c>
      <c r="Q3252" s="88">
        <f t="shared" si="518"/>
        <v>0</v>
      </c>
      <c r="R3252" s="88" t="e">
        <f>-IF(Tabla14[[#This Row],[DIAS HABILES O MORA]]&lt;0,(Tabla14[[#This Row],[VALOR PRESTAMO]]*Tabla14[[#This Row],[% INTERES ]]/30*U3252))+Tabla14[[#This Row],[VALOR CUOTAS]]</f>
        <v>#VALUE!</v>
      </c>
      <c r="S3252" s="88">
        <f>-IF(Tabla14[[#This Row],[DIAS HABILES O MORA]]&lt;0,(Tabla14[[#This Row],[VALOR PRESTAMO]]*Tabla14[[#This Row],[% INTERES ]]/30*U3252))</f>
        <v>0</v>
      </c>
      <c r="T3252" s="53" t="e">
        <f>Tabla14[[#This Row],[DEUDA CAPITAL]]+Tabla14[[#This Row],[INTERES  CUOTA]]</f>
        <v>#NUM!</v>
      </c>
      <c r="U3252" s="61" t="str">
        <f t="shared" si="519"/>
        <v/>
      </c>
    </row>
    <row r="3253" spans="9:21" ht="24.75" customHeight="1" x14ac:dyDescent="0.35">
      <c r="I3253" s="42">
        <f t="shared" si="510"/>
        <v>0</v>
      </c>
      <c r="J3253" s="65" t="e">
        <f t="shared" si="511"/>
        <v>#NUM!</v>
      </c>
      <c r="K3253" s="83" t="e">
        <f t="shared" si="512"/>
        <v>#NUM!</v>
      </c>
      <c r="L3253" s="83">
        <f t="shared" si="513"/>
        <v>0</v>
      </c>
      <c r="M3253" s="110" t="str">
        <f t="shared" si="514"/>
        <v/>
      </c>
      <c r="N3253" s="51" t="str">
        <f t="shared" si="515"/>
        <v/>
      </c>
      <c r="O3253" s="52" t="str">
        <f t="shared" si="516"/>
        <v/>
      </c>
      <c r="P3253" s="88">
        <f t="shared" si="517"/>
        <v>0</v>
      </c>
      <c r="Q3253" s="88">
        <f t="shared" si="518"/>
        <v>0</v>
      </c>
      <c r="R3253" s="88" t="e">
        <f>-IF(Tabla14[[#This Row],[DIAS HABILES O MORA]]&lt;0,(Tabla14[[#This Row],[VALOR PRESTAMO]]*Tabla14[[#This Row],[% INTERES ]]/30*U3253))+Tabla14[[#This Row],[VALOR CUOTAS]]</f>
        <v>#VALUE!</v>
      </c>
      <c r="S3253" s="88">
        <f>-IF(Tabla14[[#This Row],[DIAS HABILES O MORA]]&lt;0,(Tabla14[[#This Row],[VALOR PRESTAMO]]*Tabla14[[#This Row],[% INTERES ]]/30*U3253))</f>
        <v>0</v>
      </c>
      <c r="T3253" s="53" t="e">
        <f>Tabla14[[#This Row],[DEUDA CAPITAL]]+Tabla14[[#This Row],[INTERES  CUOTA]]</f>
        <v>#NUM!</v>
      </c>
      <c r="U3253" s="61" t="str">
        <f t="shared" si="519"/>
        <v/>
      </c>
    </row>
    <row r="3254" spans="9:21" ht="24.75" customHeight="1" x14ac:dyDescent="0.35">
      <c r="I3254" s="42">
        <f t="shared" si="510"/>
        <v>0</v>
      </c>
      <c r="J3254" s="65" t="e">
        <f t="shared" si="511"/>
        <v>#NUM!</v>
      </c>
      <c r="K3254" s="83" t="e">
        <f t="shared" si="512"/>
        <v>#NUM!</v>
      </c>
      <c r="L3254" s="83">
        <f t="shared" si="513"/>
        <v>0</v>
      </c>
      <c r="M3254" s="110" t="str">
        <f t="shared" si="514"/>
        <v/>
      </c>
      <c r="N3254" s="51" t="str">
        <f t="shared" si="515"/>
        <v/>
      </c>
      <c r="O3254" s="52" t="str">
        <f t="shared" si="516"/>
        <v/>
      </c>
      <c r="P3254" s="88">
        <f t="shared" si="517"/>
        <v>0</v>
      </c>
      <c r="Q3254" s="88">
        <f t="shared" si="518"/>
        <v>0</v>
      </c>
      <c r="R3254" s="88" t="e">
        <f>-IF(Tabla14[[#This Row],[DIAS HABILES O MORA]]&lt;0,(Tabla14[[#This Row],[VALOR PRESTAMO]]*Tabla14[[#This Row],[% INTERES ]]/30*U3254))+Tabla14[[#This Row],[VALOR CUOTAS]]</f>
        <v>#VALUE!</v>
      </c>
      <c r="S3254" s="88">
        <f>-IF(Tabla14[[#This Row],[DIAS HABILES O MORA]]&lt;0,(Tabla14[[#This Row],[VALOR PRESTAMO]]*Tabla14[[#This Row],[% INTERES ]]/30*U3254))</f>
        <v>0</v>
      </c>
      <c r="T3254" s="53" t="e">
        <f>Tabla14[[#This Row],[DEUDA CAPITAL]]+Tabla14[[#This Row],[INTERES  CUOTA]]</f>
        <v>#NUM!</v>
      </c>
      <c r="U3254" s="61" t="str">
        <f t="shared" si="519"/>
        <v/>
      </c>
    </row>
    <row r="3255" spans="9:21" ht="24.75" customHeight="1" x14ac:dyDescent="0.35">
      <c r="I3255" s="42">
        <f t="shared" si="510"/>
        <v>0</v>
      </c>
      <c r="J3255" s="65" t="e">
        <f t="shared" si="511"/>
        <v>#NUM!</v>
      </c>
      <c r="K3255" s="83" t="e">
        <f t="shared" si="512"/>
        <v>#NUM!</v>
      </c>
      <c r="L3255" s="83">
        <f t="shared" si="513"/>
        <v>0</v>
      </c>
      <c r="M3255" s="110" t="str">
        <f t="shared" si="514"/>
        <v/>
      </c>
      <c r="N3255" s="51" t="str">
        <f t="shared" si="515"/>
        <v/>
      </c>
      <c r="O3255" s="52" t="str">
        <f t="shared" si="516"/>
        <v/>
      </c>
      <c r="P3255" s="88">
        <f t="shared" si="517"/>
        <v>0</v>
      </c>
      <c r="Q3255" s="88">
        <f t="shared" si="518"/>
        <v>0</v>
      </c>
      <c r="R3255" s="88" t="e">
        <f>-IF(Tabla14[[#This Row],[DIAS HABILES O MORA]]&lt;0,(Tabla14[[#This Row],[VALOR PRESTAMO]]*Tabla14[[#This Row],[% INTERES ]]/30*U3255))+Tabla14[[#This Row],[VALOR CUOTAS]]</f>
        <v>#VALUE!</v>
      </c>
      <c r="S3255" s="88">
        <f>-IF(Tabla14[[#This Row],[DIAS HABILES O MORA]]&lt;0,(Tabla14[[#This Row],[VALOR PRESTAMO]]*Tabla14[[#This Row],[% INTERES ]]/30*U3255))</f>
        <v>0</v>
      </c>
      <c r="T3255" s="53" t="e">
        <f>Tabla14[[#This Row],[DEUDA CAPITAL]]+Tabla14[[#This Row],[INTERES  CUOTA]]</f>
        <v>#NUM!</v>
      </c>
      <c r="U3255" s="61" t="str">
        <f t="shared" si="519"/>
        <v/>
      </c>
    </row>
    <row r="3256" spans="9:21" ht="24.75" customHeight="1" x14ac:dyDescent="0.35">
      <c r="I3256" s="42">
        <f t="shared" si="510"/>
        <v>0</v>
      </c>
      <c r="J3256" s="65" t="e">
        <f t="shared" si="511"/>
        <v>#NUM!</v>
      </c>
      <c r="K3256" s="83" t="e">
        <f t="shared" si="512"/>
        <v>#NUM!</v>
      </c>
      <c r="L3256" s="83">
        <f t="shared" si="513"/>
        <v>0</v>
      </c>
      <c r="M3256" s="110" t="str">
        <f t="shared" si="514"/>
        <v/>
      </c>
      <c r="N3256" s="51" t="str">
        <f t="shared" si="515"/>
        <v/>
      </c>
      <c r="O3256" s="52" t="str">
        <f t="shared" si="516"/>
        <v/>
      </c>
      <c r="P3256" s="88">
        <f t="shared" si="517"/>
        <v>0</v>
      </c>
      <c r="Q3256" s="88">
        <f t="shared" si="518"/>
        <v>0</v>
      </c>
      <c r="R3256" s="88" t="e">
        <f>-IF(Tabla14[[#This Row],[DIAS HABILES O MORA]]&lt;0,(Tabla14[[#This Row],[VALOR PRESTAMO]]*Tabla14[[#This Row],[% INTERES ]]/30*U3256))+Tabla14[[#This Row],[VALOR CUOTAS]]</f>
        <v>#VALUE!</v>
      </c>
      <c r="S3256" s="88">
        <f>-IF(Tabla14[[#This Row],[DIAS HABILES O MORA]]&lt;0,(Tabla14[[#This Row],[VALOR PRESTAMO]]*Tabla14[[#This Row],[% INTERES ]]/30*U3256))</f>
        <v>0</v>
      </c>
      <c r="T3256" s="53" t="e">
        <f>Tabla14[[#This Row],[DEUDA CAPITAL]]+Tabla14[[#This Row],[INTERES  CUOTA]]</f>
        <v>#NUM!</v>
      </c>
      <c r="U3256" s="61" t="str">
        <f t="shared" si="519"/>
        <v/>
      </c>
    </row>
    <row r="3257" spans="9:21" ht="24.75" customHeight="1" x14ac:dyDescent="0.35">
      <c r="I3257" s="42">
        <f t="shared" si="510"/>
        <v>0</v>
      </c>
      <c r="J3257" s="65" t="e">
        <f t="shared" si="511"/>
        <v>#NUM!</v>
      </c>
      <c r="K3257" s="83" t="e">
        <f t="shared" si="512"/>
        <v>#NUM!</v>
      </c>
      <c r="L3257" s="83">
        <f t="shared" si="513"/>
        <v>0</v>
      </c>
      <c r="M3257" s="110" t="str">
        <f t="shared" si="514"/>
        <v/>
      </c>
      <c r="N3257" s="51" t="str">
        <f t="shared" si="515"/>
        <v/>
      </c>
      <c r="O3257" s="52" t="str">
        <f t="shared" si="516"/>
        <v/>
      </c>
      <c r="P3257" s="88">
        <f t="shared" si="517"/>
        <v>0</v>
      </c>
      <c r="Q3257" s="88">
        <f t="shared" si="518"/>
        <v>0</v>
      </c>
      <c r="R3257" s="88" t="e">
        <f>-IF(Tabla14[[#This Row],[DIAS HABILES O MORA]]&lt;0,(Tabla14[[#This Row],[VALOR PRESTAMO]]*Tabla14[[#This Row],[% INTERES ]]/30*U3257))+Tabla14[[#This Row],[VALOR CUOTAS]]</f>
        <v>#VALUE!</v>
      </c>
      <c r="S3257" s="88">
        <f>-IF(Tabla14[[#This Row],[DIAS HABILES O MORA]]&lt;0,(Tabla14[[#This Row],[VALOR PRESTAMO]]*Tabla14[[#This Row],[% INTERES ]]/30*U3257))</f>
        <v>0</v>
      </c>
      <c r="T3257" s="53" t="e">
        <f>Tabla14[[#This Row],[DEUDA CAPITAL]]+Tabla14[[#This Row],[INTERES  CUOTA]]</f>
        <v>#NUM!</v>
      </c>
      <c r="U3257" s="61" t="str">
        <f t="shared" si="519"/>
        <v/>
      </c>
    </row>
    <row r="3258" spans="9:21" ht="24.75" customHeight="1" x14ac:dyDescent="0.35">
      <c r="I3258" s="42">
        <f t="shared" si="510"/>
        <v>0</v>
      </c>
      <c r="J3258" s="65" t="e">
        <f t="shared" si="511"/>
        <v>#NUM!</v>
      </c>
      <c r="K3258" s="83" t="e">
        <f t="shared" si="512"/>
        <v>#NUM!</v>
      </c>
      <c r="L3258" s="83">
        <f t="shared" si="513"/>
        <v>0</v>
      </c>
      <c r="M3258" s="110" t="str">
        <f t="shared" si="514"/>
        <v/>
      </c>
      <c r="N3258" s="51" t="str">
        <f t="shared" si="515"/>
        <v/>
      </c>
      <c r="O3258" s="52" t="str">
        <f t="shared" si="516"/>
        <v/>
      </c>
      <c r="P3258" s="88">
        <f t="shared" si="517"/>
        <v>0</v>
      </c>
      <c r="Q3258" s="88">
        <f t="shared" si="518"/>
        <v>0</v>
      </c>
      <c r="R3258" s="88" t="e">
        <f>-IF(Tabla14[[#This Row],[DIAS HABILES O MORA]]&lt;0,(Tabla14[[#This Row],[VALOR PRESTAMO]]*Tabla14[[#This Row],[% INTERES ]]/30*U3258))+Tabla14[[#This Row],[VALOR CUOTAS]]</f>
        <v>#VALUE!</v>
      </c>
      <c r="S3258" s="88">
        <f>-IF(Tabla14[[#This Row],[DIAS HABILES O MORA]]&lt;0,(Tabla14[[#This Row],[VALOR PRESTAMO]]*Tabla14[[#This Row],[% INTERES ]]/30*U3258))</f>
        <v>0</v>
      </c>
      <c r="T3258" s="53" t="e">
        <f>Tabla14[[#This Row],[DEUDA CAPITAL]]+Tabla14[[#This Row],[INTERES  CUOTA]]</f>
        <v>#NUM!</v>
      </c>
      <c r="U3258" s="61" t="str">
        <f t="shared" si="519"/>
        <v/>
      </c>
    </row>
    <row r="3259" spans="9:21" ht="24.75" customHeight="1" x14ac:dyDescent="0.35">
      <c r="I3259" s="42">
        <f t="shared" si="510"/>
        <v>0</v>
      </c>
      <c r="J3259" s="65" t="e">
        <f t="shared" si="511"/>
        <v>#NUM!</v>
      </c>
      <c r="K3259" s="83" t="e">
        <f t="shared" si="512"/>
        <v>#NUM!</v>
      </c>
      <c r="L3259" s="83">
        <f t="shared" si="513"/>
        <v>0</v>
      </c>
      <c r="M3259" s="110" t="str">
        <f t="shared" si="514"/>
        <v/>
      </c>
      <c r="N3259" s="51" t="str">
        <f t="shared" si="515"/>
        <v/>
      </c>
      <c r="O3259" s="52" t="str">
        <f t="shared" si="516"/>
        <v/>
      </c>
      <c r="P3259" s="88">
        <f t="shared" si="517"/>
        <v>0</v>
      </c>
      <c r="Q3259" s="88">
        <f t="shared" si="518"/>
        <v>0</v>
      </c>
      <c r="R3259" s="88" t="e">
        <f>-IF(Tabla14[[#This Row],[DIAS HABILES O MORA]]&lt;0,(Tabla14[[#This Row],[VALOR PRESTAMO]]*Tabla14[[#This Row],[% INTERES ]]/30*U3259))+Tabla14[[#This Row],[VALOR CUOTAS]]</f>
        <v>#VALUE!</v>
      </c>
      <c r="S3259" s="88">
        <f>-IF(Tabla14[[#This Row],[DIAS HABILES O MORA]]&lt;0,(Tabla14[[#This Row],[VALOR PRESTAMO]]*Tabla14[[#This Row],[% INTERES ]]/30*U3259))</f>
        <v>0</v>
      </c>
      <c r="T3259" s="53" t="e">
        <f>Tabla14[[#This Row],[DEUDA CAPITAL]]+Tabla14[[#This Row],[INTERES  CUOTA]]</f>
        <v>#NUM!</v>
      </c>
      <c r="U3259" s="61" t="str">
        <f t="shared" si="519"/>
        <v/>
      </c>
    </row>
    <row r="3260" spans="9:21" ht="24.75" customHeight="1" x14ac:dyDescent="0.35">
      <c r="I3260" s="42">
        <f t="shared" si="510"/>
        <v>0</v>
      </c>
      <c r="J3260" s="65" t="e">
        <f t="shared" si="511"/>
        <v>#NUM!</v>
      </c>
      <c r="K3260" s="83" t="e">
        <f t="shared" si="512"/>
        <v>#NUM!</v>
      </c>
      <c r="L3260" s="83">
        <f t="shared" si="513"/>
        <v>0</v>
      </c>
      <c r="M3260" s="110" t="str">
        <f t="shared" si="514"/>
        <v/>
      </c>
      <c r="N3260" s="51" t="str">
        <f t="shared" si="515"/>
        <v/>
      </c>
      <c r="O3260" s="52" t="str">
        <f t="shared" si="516"/>
        <v/>
      </c>
      <c r="P3260" s="88">
        <f t="shared" si="517"/>
        <v>0</v>
      </c>
      <c r="Q3260" s="88">
        <f t="shared" si="518"/>
        <v>0</v>
      </c>
      <c r="R3260" s="88" t="e">
        <f>-IF(Tabla14[[#This Row],[DIAS HABILES O MORA]]&lt;0,(Tabla14[[#This Row],[VALOR PRESTAMO]]*Tabla14[[#This Row],[% INTERES ]]/30*U3260))+Tabla14[[#This Row],[VALOR CUOTAS]]</f>
        <v>#VALUE!</v>
      </c>
      <c r="S3260" s="88">
        <f>-IF(Tabla14[[#This Row],[DIAS HABILES O MORA]]&lt;0,(Tabla14[[#This Row],[VALOR PRESTAMO]]*Tabla14[[#This Row],[% INTERES ]]/30*U3260))</f>
        <v>0</v>
      </c>
      <c r="T3260" s="53" t="e">
        <f>Tabla14[[#This Row],[DEUDA CAPITAL]]+Tabla14[[#This Row],[INTERES  CUOTA]]</f>
        <v>#NUM!</v>
      </c>
      <c r="U3260" s="61" t="str">
        <f t="shared" si="519"/>
        <v/>
      </c>
    </row>
    <row r="3261" spans="9:21" ht="24.75" customHeight="1" x14ac:dyDescent="0.35">
      <c r="I3261" s="42">
        <f t="shared" si="510"/>
        <v>0</v>
      </c>
      <c r="J3261" s="65" t="e">
        <f t="shared" si="511"/>
        <v>#NUM!</v>
      </c>
      <c r="K3261" s="83" t="e">
        <f t="shared" si="512"/>
        <v>#NUM!</v>
      </c>
      <c r="L3261" s="83">
        <f t="shared" si="513"/>
        <v>0</v>
      </c>
      <c r="M3261" s="110" t="str">
        <f t="shared" si="514"/>
        <v/>
      </c>
      <c r="N3261" s="51" t="str">
        <f t="shared" si="515"/>
        <v/>
      </c>
      <c r="O3261" s="52" t="str">
        <f t="shared" si="516"/>
        <v/>
      </c>
      <c r="P3261" s="88">
        <f t="shared" si="517"/>
        <v>0</v>
      </c>
      <c r="Q3261" s="88">
        <f t="shared" si="518"/>
        <v>0</v>
      </c>
      <c r="R3261" s="88" t="e">
        <f>-IF(Tabla14[[#This Row],[DIAS HABILES O MORA]]&lt;0,(Tabla14[[#This Row],[VALOR PRESTAMO]]*Tabla14[[#This Row],[% INTERES ]]/30*U3261))+Tabla14[[#This Row],[VALOR CUOTAS]]</f>
        <v>#VALUE!</v>
      </c>
      <c r="S3261" s="88">
        <f>-IF(Tabla14[[#This Row],[DIAS HABILES O MORA]]&lt;0,(Tabla14[[#This Row],[VALOR PRESTAMO]]*Tabla14[[#This Row],[% INTERES ]]/30*U3261))</f>
        <v>0</v>
      </c>
      <c r="T3261" s="53" t="e">
        <f>Tabla14[[#This Row],[DEUDA CAPITAL]]+Tabla14[[#This Row],[INTERES  CUOTA]]</f>
        <v>#NUM!</v>
      </c>
      <c r="U3261" s="61" t="str">
        <f t="shared" si="519"/>
        <v/>
      </c>
    </row>
    <row r="3262" spans="9:21" ht="24.75" customHeight="1" x14ac:dyDescent="0.35">
      <c r="I3262" s="42">
        <f t="shared" si="510"/>
        <v>0</v>
      </c>
      <c r="J3262" s="65" t="e">
        <f t="shared" si="511"/>
        <v>#NUM!</v>
      </c>
      <c r="K3262" s="83" t="e">
        <f t="shared" si="512"/>
        <v>#NUM!</v>
      </c>
      <c r="L3262" s="83">
        <f t="shared" si="513"/>
        <v>0</v>
      </c>
      <c r="M3262" s="110" t="str">
        <f t="shared" si="514"/>
        <v/>
      </c>
      <c r="N3262" s="51" t="str">
        <f t="shared" si="515"/>
        <v/>
      </c>
      <c r="O3262" s="52" t="str">
        <f t="shared" si="516"/>
        <v/>
      </c>
      <c r="P3262" s="88">
        <f t="shared" si="517"/>
        <v>0</v>
      </c>
      <c r="Q3262" s="88">
        <f t="shared" si="518"/>
        <v>0</v>
      </c>
      <c r="R3262" s="88" t="e">
        <f>-IF(Tabla14[[#This Row],[DIAS HABILES O MORA]]&lt;0,(Tabla14[[#This Row],[VALOR PRESTAMO]]*Tabla14[[#This Row],[% INTERES ]]/30*U3262))+Tabla14[[#This Row],[VALOR CUOTAS]]</f>
        <v>#VALUE!</v>
      </c>
      <c r="S3262" s="88">
        <f>-IF(Tabla14[[#This Row],[DIAS HABILES O MORA]]&lt;0,(Tabla14[[#This Row],[VALOR PRESTAMO]]*Tabla14[[#This Row],[% INTERES ]]/30*U3262))</f>
        <v>0</v>
      </c>
      <c r="T3262" s="53" t="e">
        <f>Tabla14[[#This Row],[DEUDA CAPITAL]]+Tabla14[[#This Row],[INTERES  CUOTA]]</f>
        <v>#NUM!</v>
      </c>
      <c r="U3262" s="61" t="str">
        <f t="shared" si="519"/>
        <v/>
      </c>
    </row>
    <row r="3263" spans="9:21" ht="24.75" customHeight="1" x14ac:dyDescent="0.35">
      <c r="I3263" s="42">
        <f t="shared" si="510"/>
        <v>0</v>
      </c>
      <c r="J3263" s="65" t="e">
        <f t="shared" si="511"/>
        <v>#NUM!</v>
      </c>
      <c r="K3263" s="83" t="e">
        <f t="shared" si="512"/>
        <v>#NUM!</v>
      </c>
      <c r="L3263" s="83">
        <f t="shared" si="513"/>
        <v>0</v>
      </c>
      <c r="M3263" s="110" t="str">
        <f t="shared" si="514"/>
        <v/>
      </c>
      <c r="N3263" s="51" t="str">
        <f t="shared" si="515"/>
        <v/>
      </c>
      <c r="O3263" s="52" t="str">
        <f t="shared" si="516"/>
        <v/>
      </c>
      <c r="P3263" s="88">
        <f t="shared" si="517"/>
        <v>0</v>
      </c>
      <c r="Q3263" s="88">
        <f t="shared" si="518"/>
        <v>0</v>
      </c>
      <c r="R3263" s="88" t="e">
        <f>-IF(Tabla14[[#This Row],[DIAS HABILES O MORA]]&lt;0,(Tabla14[[#This Row],[VALOR PRESTAMO]]*Tabla14[[#This Row],[% INTERES ]]/30*U3263))+Tabla14[[#This Row],[VALOR CUOTAS]]</f>
        <v>#VALUE!</v>
      </c>
      <c r="S3263" s="88">
        <f>-IF(Tabla14[[#This Row],[DIAS HABILES O MORA]]&lt;0,(Tabla14[[#This Row],[VALOR PRESTAMO]]*Tabla14[[#This Row],[% INTERES ]]/30*U3263))</f>
        <v>0</v>
      </c>
      <c r="T3263" s="53" t="e">
        <f>Tabla14[[#This Row],[DEUDA CAPITAL]]+Tabla14[[#This Row],[INTERES  CUOTA]]</f>
        <v>#NUM!</v>
      </c>
      <c r="U3263" s="61" t="str">
        <f t="shared" si="519"/>
        <v/>
      </c>
    </row>
    <row r="3264" spans="9:21" ht="24.75" customHeight="1" x14ac:dyDescent="0.35">
      <c r="I3264" s="42">
        <f t="shared" si="510"/>
        <v>0</v>
      </c>
      <c r="J3264" s="65" t="e">
        <f t="shared" si="511"/>
        <v>#NUM!</v>
      </c>
      <c r="K3264" s="83" t="e">
        <f t="shared" si="512"/>
        <v>#NUM!</v>
      </c>
      <c r="L3264" s="83">
        <f t="shared" si="513"/>
        <v>0</v>
      </c>
      <c r="M3264" s="110" t="str">
        <f t="shared" si="514"/>
        <v/>
      </c>
      <c r="N3264" s="51" t="str">
        <f t="shared" si="515"/>
        <v/>
      </c>
      <c r="O3264" s="52" t="str">
        <f t="shared" si="516"/>
        <v/>
      </c>
      <c r="P3264" s="88">
        <f t="shared" si="517"/>
        <v>0</v>
      </c>
      <c r="Q3264" s="88">
        <f t="shared" si="518"/>
        <v>0</v>
      </c>
      <c r="R3264" s="88" t="e">
        <f>-IF(Tabla14[[#This Row],[DIAS HABILES O MORA]]&lt;0,(Tabla14[[#This Row],[VALOR PRESTAMO]]*Tabla14[[#This Row],[% INTERES ]]/30*U3264))+Tabla14[[#This Row],[VALOR CUOTAS]]</f>
        <v>#VALUE!</v>
      </c>
      <c r="S3264" s="88">
        <f>-IF(Tabla14[[#This Row],[DIAS HABILES O MORA]]&lt;0,(Tabla14[[#This Row],[VALOR PRESTAMO]]*Tabla14[[#This Row],[% INTERES ]]/30*U3264))</f>
        <v>0</v>
      </c>
      <c r="T3264" s="53" t="e">
        <f>Tabla14[[#This Row],[DEUDA CAPITAL]]+Tabla14[[#This Row],[INTERES  CUOTA]]</f>
        <v>#NUM!</v>
      </c>
      <c r="U3264" s="61" t="str">
        <f t="shared" si="519"/>
        <v/>
      </c>
    </row>
    <row r="3265" spans="9:21" ht="24.75" customHeight="1" x14ac:dyDescent="0.35">
      <c r="I3265" s="42">
        <f t="shared" si="510"/>
        <v>0</v>
      </c>
      <c r="J3265" s="65" t="e">
        <f t="shared" si="511"/>
        <v>#NUM!</v>
      </c>
      <c r="K3265" s="83" t="e">
        <f t="shared" si="512"/>
        <v>#NUM!</v>
      </c>
      <c r="L3265" s="83">
        <f t="shared" si="513"/>
        <v>0</v>
      </c>
      <c r="M3265" s="110" t="str">
        <f t="shared" si="514"/>
        <v/>
      </c>
      <c r="N3265" s="51" t="str">
        <f t="shared" si="515"/>
        <v/>
      </c>
      <c r="O3265" s="52" t="str">
        <f t="shared" si="516"/>
        <v/>
      </c>
      <c r="P3265" s="88">
        <f t="shared" si="517"/>
        <v>0</v>
      </c>
      <c r="Q3265" s="88">
        <f t="shared" si="518"/>
        <v>0</v>
      </c>
      <c r="R3265" s="88" t="e">
        <f>-IF(Tabla14[[#This Row],[DIAS HABILES O MORA]]&lt;0,(Tabla14[[#This Row],[VALOR PRESTAMO]]*Tabla14[[#This Row],[% INTERES ]]/30*U3265))+Tabla14[[#This Row],[VALOR CUOTAS]]</f>
        <v>#VALUE!</v>
      </c>
      <c r="S3265" s="88">
        <f>-IF(Tabla14[[#This Row],[DIAS HABILES O MORA]]&lt;0,(Tabla14[[#This Row],[VALOR PRESTAMO]]*Tabla14[[#This Row],[% INTERES ]]/30*U3265))</f>
        <v>0</v>
      </c>
      <c r="T3265" s="53" t="e">
        <f>Tabla14[[#This Row],[DEUDA CAPITAL]]+Tabla14[[#This Row],[INTERES  CUOTA]]</f>
        <v>#NUM!</v>
      </c>
      <c r="U3265" s="61" t="str">
        <f t="shared" si="519"/>
        <v/>
      </c>
    </row>
    <row r="3266" spans="9:21" ht="24.75" customHeight="1" x14ac:dyDescent="0.35">
      <c r="I3266" s="42">
        <f t="shared" si="510"/>
        <v>0</v>
      </c>
      <c r="J3266" s="65" t="e">
        <f t="shared" si="511"/>
        <v>#NUM!</v>
      </c>
      <c r="K3266" s="83" t="e">
        <f t="shared" si="512"/>
        <v>#NUM!</v>
      </c>
      <c r="L3266" s="83">
        <f t="shared" si="513"/>
        <v>0</v>
      </c>
      <c r="M3266" s="110" t="str">
        <f t="shared" si="514"/>
        <v/>
      </c>
      <c r="N3266" s="51" t="str">
        <f t="shared" si="515"/>
        <v/>
      </c>
      <c r="O3266" s="52" t="str">
        <f t="shared" si="516"/>
        <v/>
      </c>
      <c r="P3266" s="88">
        <f t="shared" si="517"/>
        <v>0</v>
      </c>
      <c r="Q3266" s="88">
        <f t="shared" si="518"/>
        <v>0</v>
      </c>
      <c r="R3266" s="88" t="e">
        <f>-IF(Tabla14[[#This Row],[DIAS HABILES O MORA]]&lt;0,(Tabla14[[#This Row],[VALOR PRESTAMO]]*Tabla14[[#This Row],[% INTERES ]]/30*U3266))+Tabla14[[#This Row],[VALOR CUOTAS]]</f>
        <v>#VALUE!</v>
      </c>
      <c r="S3266" s="88">
        <f>-IF(Tabla14[[#This Row],[DIAS HABILES O MORA]]&lt;0,(Tabla14[[#This Row],[VALOR PRESTAMO]]*Tabla14[[#This Row],[% INTERES ]]/30*U3266))</f>
        <v>0</v>
      </c>
      <c r="T3266" s="53" t="e">
        <f>Tabla14[[#This Row],[DEUDA CAPITAL]]+Tabla14[[#This Row],[INTERES  CUOTA]]</f>
        <v>#NUM!</v>
      </c>
      <c r="U3266" s="61" t="str">
        <f t="shared" si="519"/>
        <v/>
      </c>
    </row>
    <row r="3267" spans="9:21" ht="24.75" customHeight="1" x14ac:dyDescent="0.35">
      <c r="I3267" s="42">
        <f t="shared" si="510"/>
        <v>0</v>
      </c>
      <c r="J3267" s="65" t="e">
        <f t="shared" si="511"/>
        <v>#NUM!</v>
      </c>
      <c r="K3267" s="83" t="e">
        <f t="shared" si="512"/>
        <v>#NUM!</v>
      </c>
      <c r="L3267" s="83">
        <f t="shared" si="513"/>
        <v>0</v>
      </c>
      <c r="M3267" s="110" t="str">
        <f t="shared" si="514"/>
        <v/>
      </c>
      <c r="N3267" s="51" t="str">
        <f t="shared" si="515"/>
        <v/>
      </c>
      <c r="O3267" s="52" t="str">
        <f t="shared" si="516"/>
        <v/>
      </c>
      <c r="P3267" s="88">
        <f t="shared" si="517"/>
        <v>0</v>
      </c>
      <c r="Q3267" s="88">
        <f t="shared" si="518"/>
        <v>0</v>
      </c>
      <c r="R3267" s="88" t="e">
        <f>-IF(Tabla14[[#This Row],[DIAS HABILES O MORA]]&lt;0,(Tabla14[[#This Row],[VALOR PRESTAMO]]*Tabla14[[#This Row],[% INTERES ]]/30*U3267))+Tabla14[[#This Row],[VALOR CUOTAS]]</f>
        <v>#VALUE!</v>
      </c>
      <c r="S3267" s="88">
        <f>-IF(Tabla14[[#This Row],[DIAS HABILES O MORA]]&lt;0,(Tabla14[[#This Row],[VALOR PRESTAMO]]*Tabla14[[#This Row],[% INTERES ]]/30*U3267))</f>
        <v>0</v>
      </c>
      <c r="T3267" s="53" t="e">
        <f>Tabla14[[#This Row],[DEUDA CAPITAL]]+Tabla14[[#This Row],[INTERES  CUOTA]]</f>
        <v>#NUM!</v>
      </c>
      <c r="U3267" s="61" t="str">
        <f t="shared" si="519"/>
        <v/>
      </c>
    </row>
    <row r="3268" spans="9:21" ht="24.75" customHeight="1" x14ac:dyDescent="0.35">
      <c r="I3268" s="42">
        <f t="shared" si="510"/>
        <v>0</v>
      </c>
      <c r="J3268" s="65" t="e">
        <f t="shared" si="511"/>
        <v>#NUM!</v>
      </c>
      <c r="K3268" s="83" t="e">
        <f t="shared" si="512"/>
        <v>#NUM!</v>
      </c>
      <c r="L3268" s="83">
        <f t="shared" si="513"/>
        <v>0</v>
      </c>
      <c r="M3268" s="110" t="str">
        <f t="shared" si="514"/>
        <v/>
      </c>
      <c r="N3268" s="51" t="str">
        <f t="shared" si="515"/>
        <v/>
      </c>
      <c r="O3268" s="52" t="str">
        <f t="shared" si="516"/>
        <v/>
      </c>
      <c r="P3268" s="88">
        <f t="shared" si="517"/>
        <v>0</v>
      </c>
      <c r="Q3268" s="88">
        <f t="shared" si="518"/>
        <v>0</v>
      </c>
      <c r="R3268" s="88" t="e">
        <f>-IF(Tabla14[[#This Row],[DIAS HABILES O MORA]]&lt;0,(Tabla14[[#This Row],[VALOR PRESTAMO]]*Tabla14[[#This Row],[% INTERES ]]/30*U3268))+Tabla14[[#This Row],[VALOR CUOTAS]]</f>
        <v>#VALUE!</v>
      </c>
      <c r="S3268" s="88">
        <f>-IF(Tabla14[[#This Row],[DIAS HABILES O MORA]]&lt;0,(Tabla14[[#This Row],[VALOR PRESTAMO]]*Tabla14[[#This Row],[% INTERES ]]/30*U3268))</f>
        <v>0</v>
      </c>
      <c r="T3268" s="53" t="e">
        <f>Tabla14[[#This Row],[DEUDA CAPITAL]]+Tabla14[[#This Row],[INTERES  CUOTA]]</f>
        <v>#NUM!</v>
      </c>
      <c r="U3268" s="61" t="str">
        <f t="shared" si="519"/>
        <v/>
      </c>
    </row>
    <row r="3269" spans="9:21" ht="24.75" customHeight="1" x14ac:dyDescent="0.35">
      <c r="I3269" s="42">
        <f t="shared" si="510"/>
        <v>0</v>
      </c>
      <c r="J3269" s="65" t="e">
        <f t="shared" si="511"/>
        <v>#NUM!</v>
      </c>
      <c r="K3269" s="83" t="e">
        <f t="shared" si="512"/>
        <v>#NUM!</v>
      </c>
      <c r="L3269" s="83">
        <f t="shared" si="513"/>
        <v>0</v>
      </c>
      <c r="M3269" s="110" t="str">
        <f t="shared" si="514"/>
        <v/>
      </c>
      <c r="N3269" s="51" t="str">
        <f t="shared" si="515"/>
        <v/>
      </c>
      <c r="O3269" s="52" t="str">
        <f t="shared" si="516"/>
        <v/>
      </c>
      <c r="P3269" s="88">
        <f t="shared" si="517"/>
        <v>0</v>
      </c>
      <c r="Q3269" s="88">
        <f t="shared" si="518"/>
        <v>0</v>
      </c>
      <c r="R3269" s="88" t="e">
        <f>-IF(Tabla14[[#This Row],[DIAS HABILES O MORA]]&lt;0,(Tabla14[[#This Row],[VALOR PRESTAMO]]*Tabla14[[#This Row],[% INTERES ]]/30*U3269))+Tabla14[[#This Row],[VALOR CUOTAS]]</f>
        <v>#VALUE!</v>
      </c>
      <c r="S3269" s="88">
        <f>-IF(Tabla14[[#This Row],[DIAS HABILES O MORA]]&lt;0,(Tabla14[[#This Row],[VALOR PRESTAMO]]*Tabla14[[#This Row],[% INTERES ]]/30*U3269))</f>
        <v>0</v>
      </c>
      <c r="T3269" s="53" t="e">
        <f>Tabla14[[#This Row],[DEUDA CAPITAL]]+Tabla14[[#This Row],[INTERES  CUOTA]]</f>
        <v>#NUM!</v>
      </c>
      <c r="U3269" s="61" t="str">
        <f t="shared" si="519"/>
        <v/>
      </c>
    </row>
    <row r="3270" spans="9:21" ht="24.75" customHeight="1" x14ac:dyDescent="0.35">
      <c r="I3270" s="42">
        <f t="shared" si="510"/>
        <v>0</v>
      </c>
      <c r="J3270" s="65" t="e">
        <f t="shared" si="511"/>
        <v>#NUM!</v>
      </c>
      <c r="K3270" s="83" t="e">
        <f t="shared" si="512"/>
        <v>#NUM!</v>
      </c>
      <c r="L3270" s="83">
        <f t="shared" si="513"/>
        <v>0</v>
      </c>
      <c r="M3270" s="110" t="str">
        <f t="shared" si="514"/>
        <v/>
      </c>
      <c r="N3270" s="51" t="str">
        <f t="shared" si="515"/>
        <v/>
      </c>
      <c r="O3270" s="52" t="str">
        <f t="shared" si="516"/>
        <v/>
      </c>
      <c r="P3270" s="88">
        <f t="shared" si="517"/>
        <v>0</v>
      </c>
      <c r="Q3270" s="88">
        <f t="shared" si="518"/>
        <v>0</v>
      </c>
      <c r="R3270" s="88" t="e">
        <f>-IF(Tabla14[[#This Row],[DIAS HABILES O MORA]]&lt;0,(Tabla14[[#This Row],[VALOR PRESTAMO]]*Tabla14[[#This Row],[% INTERES ]]/30*U3270))+Tabla14[[#This Row],[VALOR CUOTAS]]</f>
        <v>#VALUE!</v>
      </c>
      <c r="S3270" s="88">
        <f>-IF(Tabla14[[#This Row],[DIAS HABILES O MORA]]&lt;0,(Tabla14[[#This Row],[VALOR PRESTAMO]]*Tabla14[[#This Row],[% INTERES ]]/30*U3270))</f>
        <v>0</v>
      </c>
      <c r="T3270" s="53" t="e">
        <f>Tabla14[[#This Row],[DEUDA CAPITAL]]+Tabla14[[#This Row],[INTERES  CUOTA]]</f>
        <v>#NUM!</v>
      </c>
      <c r="U3270" s="61" t="str">
        <f t="shared" si="519"/>
        <v/>
      </c>
    </row>
    <row r="3271" spans="9:21" ht="24.75" customHeight="1" x14ac:dyDescent="0.35">
      <c r="I3271" s="42">
        <f t="shared" si="510"/>
        <v>0</v>
      </c>
      <c r="J3271" s="65" t="e">
        <f t="shared" si="511"/>
        <v>#NUM!</v>
      </c>
      <c r="K3271" s="83" t="e">
        <f t="shared" si="512"/>
        <v>#NUM!</v>
      </c>
      <c r="L3271" s="83">
        <f t="shared" si="513"/>
        <v>0</v>
      </c>
      <c r="M3271" s="110" t="str">
        <f t="shared" si="514"/>
        <v/>
      </c>
      <c r="N3271" s="51" t="str">
        <f t="shared" si="515"/>
        <v/>
      </c>
      <c r="O3271" s="52" t="str">
        <f t="shared" si="516"/>
        <v/>
      </c>
      <c r="P3271" s="88">
        <f t="shared" si="517"/>
        <v>0</v>
      </c>
      <c r="Q3271" s="88">
        <f t="shared" si="518"/>
        <v>0</v>
      </c>
      <c r="R3271" s="88" t="e">
        <f>-IF(Tabla14[[#This Row],[DIAS HABILES O MORA]]&lt;0,(Tabla14[[#This Row],[VALOR PRESTAMO]]*Tabla14[[#This Row],[% INTERES ]]/30*U3271))+Tabla14[[#This Row],[VALOR CUOTAS]]</f>
        <v>#VALUE!</v>
      </c>
      <c r="S3271" s="88">
        <f>-IF(Tabla14[[#This Row],[DIAS HABILES O MORA]]&lt;0,(Tabla14[[#This Row],[VALOR PRESTAMO]]*Tabla14[[#This Row],[% INTERES ]]/30*U3271))</f>
        <v>0</v>
      </c>
      <c r="T3271" s="53" t="e">
        <f>Tabla14[[#This Row],[DEUDA CAPITAL]]+Tabla14[[#This Row],[INTERES  CUOTA]]</f>
        <v>#NUM!</v>
      </c>
      <c r="U3271" s="61" t="str">
        <f t="shared" si="519"/>
        <v/>
      </c>
    </row>
    <row r="3272" spans="9:21" ht="24.75" customHeight="1" x14ac:dyDescent="0.35">
      <c r="I3272" s="42">
        <f t="shared" si="510"/>
        <v>0</v>
      </c>
      <c r="J3272" s="65" t="e">
        <f t="shared" si="511"/>
        <v>#NUM!</v>
      </c>
      <c r="K3272" s="83" t="e">
        <f t="shared" si="512"/>
        <v>#NUM!</v>
      </c>
      <c r="L3272" s="83">
        <f t="shared" si="513"/>
        <v>0</v>
      </c>
      <c r="M3272" s="110" t="str">
        <f t="shared" si="514"/>
        <v/>
      </c>
      <c r="N3272" s="51" t="str">
        <f t="shared" si="515"/>
        <v/>
      </c>
      <c r="O3272" s="52" t="str">
        <f t="shared" si="516"/>
        <v/>
      </c>
      <c r="P3272" s="88">
        <f t="shared" si="517"/>
        <v>0</v>
      </c>
      <c r="Q3272" s="88">
        <f t="shared" si="518"/>
        <v>0</v>
      </c>
      <c r="R3272" s="88" t="e">
        <f>-IF(Tabla14[[#This Row],[DIAS HABILES O MORA]]&lt;0,(Tabla14[[#This Row],[VALOR PRESTAMO]]*Tabla14[[#This Row],[% INTERES ]]/30*U3272))+Tabla14[[#This Row],[VALOR CUOTAS]]</f>
        <v>#VALUE!</v>
      </c>
      <c r="S3272" s="88">
        <f>-IF(Tabla14[[#This Row],[DIAS HABILES O MORA]]&lt;0,(Tabla14[[#This Row],[VALOR PRESTAMO]]*Tabla14[[#This Row],[% INTERES ]]/30*U3272))</f>
        <v>0</v>
      </c>
      <c r="T3272" s="53" t="e">
        <f>Tabla14[[#This Row],[DEUDA CAPITAL]]+Tabla14[[#This Row],[INTERES  CUOTA]]</f>
        <v>#NUM!</v>
      </c>
      <c r="U3272" s="61" t="str">
        <f t="shared" si="519"/>
        <v/>
      </c>
    </row>
    <row r="3273" spans="9:21" ht="24.75" customHeight="1" x14ac:dyDescent="0.35">
      <c r="I3273" s="42">
        <f t="shared" si="510"/>
        <v>0</v>
      </c>
      <c r="J3273" s="65" t="e">
        <f t="shared" si="511"/>
        <v>#NUM!</v>
      </c>
      <c r="K3273" s="83" t="e">
        <f t="shared" si="512"/>
        <v>#NUM!</v>
      </c>
      <c r="L3273" s="83">
        <f t="shared" si="513"/>
        <v>0</v>
      </c>
      <c r="M3273" s="110" t="str">
        <f t="shared" si="514"/>
        <v/>
      </c>
      <c r="N3273" s="51" t="str">
        <f t="shared" si="515"/>
        <v/>
      </c>
      <c r="O3273" s="52" t="str">
        <f t="shared" si="516"/>
        <v/>
      </c>
      <c r="P3273" s="88">
        <f t="shared" si="517"/>
        <v>0</v>
      </c>
      <c r="Q3273" s="88">
        <f t="shared" si="518"/>
        <v>0</v>
      </c>
      <c r="R3273" s="88" t="e">
        <f>-IF(Tabla14[[#This Row],[DIAS HABILES O MORA]]&lt;0,(Tabla14[[#This Row],[VALOR PRESTAMO]]*Tabla14[[#This Row],[% INTERES ]]/30*U3273))+Tabla14[[#This Row],[VALOR CUOTAS]]</f>
        <v>#VALUE!</v>
      </c>
      <c r="S3273" s="88">
        <f>-IF(Tabla14[[#This Row],[DIAS HABILES O MORA]]&lt;0,(Tabla14[[#This Row],[VALOR PRESTAMO]]*Tabla14[[#This Row],[% INTERES ]]/30*U3273))</f>
        <v>0</v>
      </c>
      <c r="T3273" s="53" t="e">
        <f>Tabla14[[#This Row],[DEUDA CAPITAL]]+Tabla14[[#This Row],[INTERES  CUOTA]]</f>
        <v>#NUM!</v>
      </c>
      <c r="U3273" s="61" t="str">
        <f t="shared" si="519"/>
        <v/>
      </c>
    </row>
    <row r="3274" spans="9:21" ht="24.75" customHeight="1" x14ac:dyDescent="0.35">
      <c r="I3274" s="42">
        <f t="shared" si="510"/>
        <v>0</v>
      </c>
      <c r="J3274" s="65" t="e">
        <f t="shared" si="511"/>
        <v>#NUM!</v>
      </c>
      <c r="K3274" s="83" t="e">
        <f t="shared" si="512"/>
        <v>#NUM!</v>
      </c>
      <c r="L3274" s="83">
        <f t="shared" si="513"/>
        <v>0</v>
      </c>
      <c r="M3274" s="110" t="str">
        <f t="shared" si="514"/>
        <v/>
      </c>
      <c r="N3274" s="51" t="str">
        <f t="shared" si="515"/>
        <v/>
      </c>
      <c r="O3274" s="52" t="str">
        <f t="shared" si="516"/>
        <v/>
      </c>
      <c r="P3274" s="88">
        <f t="shared" si="517"/>
        <v>0</v>
      </c>
      <c r="Q3274" s="88">
        <f t="shared" si="518"/>
        <v>0</v>
      </c>
      <c r="R3274" s="88" t="e">
        <f>-IF(Tabla14[[#This Row],[DIAS HABILES O MORA]]&lt;0,(Tabla14[[#This Row],[VALOR PRESTAMO]]*Tabla14[[#This Row],[% INTERES ]]/30*U3274))+Tabla14[[#This Row],[VALOR CUOTAS]]</f>
        <v>#VALUE!</v>
      </c>
      <c r="S3274" s="88">
        <f>-IF(Tabla14[[#This Row],[DIAS HABILES O MORA]]&lt;0,(Tabla14[[#This Row],[VALOR PRESTAMO]]*Tabla14[[#This Row],[% INTERES ]]/30*U3274))</f>
        <v>0</v>
      </c>
      <c r="T3274" s="53" t="e">
        <f>Tabla14[[#This Row],[DEUDA CAPITAL]]+Tabla14[[#This Row],[INTERES  CUOTA]]</f>
        <v>#NUM!</v>
      </c>
      <c r="U3274" s="61" t="str">
        <f t="shared" si="519"/>
        <v/>
      </c>
    </row>
    <row r="3275" spans="9:21" ht="24.75" customHeight="1" x14ac:dyDescent="0.35">
      <c r="I3275" s="42">
        <f t="shared" si="510"/>
        <v>0</v>
      </c>
      <c r="J3275" s="65" t="e">
        <f t="shared" si="511"/>
        <v>#NUM!</v>
      </c>
      <c r="K3275" s="83" t="e">
        <f t="shared" si="512"/>
        <v>#NUM!</v>
      </c>
      <c r="L3275" s="83">
        <f t="shared" si="513"/>
        <v>0</v>
      </c>
      <c r="M3275" s="110" t="str">
        <f t="shared" si="514"/>
        <v/>
      </c>
      <c r="N3275" s="51" t="str">
        <f t="shared" si="515"/>
        <v/>
      </c>
      <c r="O3275" s="52" t="str">
        <f t="shared" si="516"/>
        <v/>
      </c>
      <c r="P3275" s="88">
        <f t="shared" si="517"/>
        <v>0</v>
      </c>
      <c r="Q3275" s="88">
        <f t="shared" si="518"/>
        <v>0</v>
      </c>
      <c r="R3275" s="88" t="e">
        <f>-IF(Tabla14[[#This Row],[DIAS HABILES O MORA]]&lt;0,(Tabla14[[#This Row],[VALOR PRESTAMO]]*Tabla14[[#This Row],[% INTERES ]]/30*U3275))+Tabla14[[#This Row],[VALOR CUOTAS]]</f>
        <v>#VALUE!</v>
      </c>
      <c r="S3275" s="88">
        <f>-IF(Tabla14[[#This Row],[DIAS HABILES O MORA]]&lt;0,(Tabla14[[#This Row],[VALOR PRESTAMO]]*Tabla14[[#This Row],[% INTERES ]]/30*U3275))</f>
        <v>0</v>
      </c>
      <c r="T3275" s="53" t="e">
        <f>Tabla14[[#This Row],[DEUDA CAPITAL]]+Tabla14[[#This Row],[INTERES  CUOTA]]</f>
        <v>#NUM!</v>
      </c>
      <c r="U3275" s="61" t="str">
        <f t="shared" si="519"/>
        <v/>
      </c>
    </row>
    <row r="3276" spans="9:21" ht="24.75" customHeight="1" x14ac:dyDescent="0.35">
      <c r="I3276" s="42">
        <f t="shared" si="510"/>
        <v>0</v>
      </c>
      <c r="J3276" s="65" t="e">
        <f t="shared" si="511"/>
        <v>#NUM!</v>
      </c>
      <c r="K3276" s="83" t="e">
        <f t="shared" si="512"/>
        <v>#NUM!</v>
      </c>
      <c r="L3276" s="83">
        <f t="shared" si="513"/>
        <v>0</v>
      </c>
      <c r="M3276" s="110" t="str">
        <f t="shared" si="514"/>
        <v/>
      </c>
      <c r="N3276" s="51" t="str">
        <f t="shared" si="515"/>
        <v/>
      </c>
      <c r="O3276" s="52" t="str">
        <f t="shared" si="516"/>
        <v/>
      </c>
      <c r="P3276" s="88">
        <f t="shared" si="517"/>
        <v>0</v>
      </c>
      <c r="Q3276" s="88">
        <f t="shared" si="518"/>
        <v>0</v>
      </c>
      <c r="R3276" s="88" t="e">
        <f>-IF(Tabla14[[#This Row],[DIAS HABILES O MORA]]&lt;0,(Tabla14[[#This Row],[VALOR PRESTAMO]]*Tabla14[[#This Row],[% INTERES ]]/30*U3276))+Tabla14[[#This Row],[VALOR CUOTAS]]</f>
        <v>#VALUE!</v>
      </c>
      <c r="S3276" s="88">
        <f>-IF(Tabla14[[#This Row],[DIAS HABILES O MORA]]&lt;0,(Tabla14[[#This Row],[VALOR PRESTAMO]]*Tabla14[[#This Row],[% INTERES ]]/30*U3276))</f>
        <v>0</v>
      </c>
      <c r="T3276" s="53" t="e">
        <f>Tabla14[[#This Row],[DEUDA CAPITAL]]+Tabla14[[#This Row],[INTERES  CUOTA]]</f>
        <v>#NUM!</v>
      </c>
      <c r="U3276" s="61" t="str">
        <f t="shared" si="519"/>
        <v/>
      </c>
    </row>
    <row r="3277" spans="9:21" ht="24.75" customHeight="1" x14ac:dyDescent="0.35">
      <c r="I3277" s="42">
        <f t="shared" si="510"/>
        <v>0</v>
      </c>
      <c r="J3277" s="65" t="e">
        <f t="shared" si="511"/>
        <v>#NUM!</v>
      </c>
      <c r="K3277" s="83" t="e">
        <f t="shared" si="512"/>
        <v>#NUM!</v>
      </c>
      <c r="L3277" s="83">
        <f t="shared" si="513"/>
        <v>0</v>
      </c>
      <c r="M3277" s="110" t="str">
        <f t="shared" si="514"/>
        <v/>
      </c>
      <c r="N3277" s="51" t="str">
        <f t="shared" si="515"/>
        <v/>
      </c>
      <c r="O3277" s="52" t="str">
        <f t="shared" si="516"/>
        <v/>
      </c>
      <c r="P3277" s="88">
        <f t="shared" si="517"/>
        <v>0</v>
      </c>
      <c r="Q3277" s="88">
        <f t="shared" si="518"/>
        <v>0</v>
      </c>
      <c r="R3277" s="88" t="e">
        <f>-IF(Tabla14[[#This Row],[DIAS HABILES O MORA]]&lt;0,(Tabla14[[#This Row],[VALOR PRESTAMO]]*Tabla14[[#This Row],[% INTERES ]]/30*U3277))+Tabla14[[#This Row],[VALOR CUOTAS]]</f>
        <v>#VALUE!</v>
      </c>
      <c r="S3277" s="88">
        <f>-IF(Tabla14[[#This Row],[DIAS HABILES O MORA]]&lt;0,(Tabla14[[#This Row],[VALOR PRESTAMO]]*Tabla14[[#This Row],[% INTERES ]]/30*U3277))</f>
        <v>0</v>
      </c>
      <c r="T3277" s="53" t="e">
        <f>Tabla14[[#This Row],[DEUDA CAPITAL]]+Tabla14[[#This Row],[INTERES  CUOTA]]</f>
        <v>#NUM!</v>
      </c>
      <c r="U3277" s="61" t="str">
        <f t="shared" si="519"/>
        <v/>
      </c>
    </row>
    <row r="3278" spans="9:21" ht="24.75" customHeight="1" x14ac:dyDescent="0.35">
      <c r="I3278" s="42">
        <f t="shared" si="510"/>
        <v>0</v>
      </c>
      <c r="J3278" s="65" t="e">
        <f t="shared" si="511"/>
        <v>#NUM!</v>
      </c>
      <c r="K3278" s="83" t="e">
        <f t="shared" si="512"/>
        <v>#NUM!</v>
      </c>
      <c r="L3278" s="83">
        <f t="shared" si="513"/>
        <v>0</v>
      </c>
      <c r="M3278" s="110" t="str">
        <f t="shared" si="514"/>
        <v/>
      </c>
      <c r="N3278" s="51" t="str">
        <f t="shared" si="515"/>
        <v/>
      </c>
      <c r="O3278" s="52" t="str">
        <f t="shared" si="516"/>
        <v/>
      </c>
      <c r="P3278" s="88">
        <f t="shared" si="517"/>
        <v>0</v>
      </c>
      <c r="Q3278" s="88">
        <f t="shared" si="518"/>
        <v>0</v>
      </c>
      <c r="R3278" s="88" t="e">
        <f>-IF(Tabla14[[#This Row],[DIAS HABILES O MORA]]&lt;0,(Tabla14[[#This Row],[VALOR PRESTAMO]]*Tabla14[[#This Row],[% INTERES ]]/30*U3278))+Tabla14[[#This Row],[VALOR CUOTAS]]</f>
        <v>#VALUE!</v>
      </c>
      <c r="S3278" s="88">
        <f>-IF(Tabla14[[#This Row],[DIAS HABILES O MORA]]&lt;0,(Tabla14[[#This Row],[VALOR PRESTAMO]]*Tabla14[[#This Row],[% INTERES ]]/30*U3278))</f>
        <v>0</v>
      </c>
      <c r="T3278" s="53" t="e">
        <f>Tabla14[[#This Row],[DEUDA CAPITAL]]+Tabla14[[#This Row],[INTERES  CUOTA]]</f>
        <v>#NUM!</v>
      </c>
      <c r="U3278" s="61" t="str">
        <f t="shared" si="519"/>
        <v/>
      </c>
    </row>
    <row r="3279" spans="9:21" ht="24.75" customHeight="1" x14ac:dyDescent="0.35">
      <c r="I3279" s="42">
        <f t="shared" si="510"/>
        <v>0</v>
      </c>
      <c r="J3279" s="65" t="e">
        <f t="shared" si="511"/>
        <v>#NUM!</v>
      </c>
      <c r="K3279" s="83" t="e">
        <f t="shared" si="512"/>
        <v>#NUM!</v>
      </c>
      <c r="L3279" s="83">
        <f t="shared" si="513"/>
        <v>0</v>
      </c>
      <c r="M3279" s="110" t="str">
        <f t="shared" si="514"/>
        <v/>
      </c>
      <c r="N3279" s="51" t="str">
        <f t="shared" si="515"/>
        <v/>
      </c>
      <c r="O3279" s="52" t="str">
        <f t="shared" si="516"/>
        <v/>
      </c>
      <c r="P3279" s="88">
        <f t="shared" si="517"/>
        <v>0</v>
      </c>
      <c r="Q3279" s="88">
        <f t="shared" si="518"/>
        <v>0</v>
      </c>
      <c r="R3279" s="88" t="e">
        <f>-IF(Tabla14[[#This Row],[DIAS HABILES O MORA]]&lt;0,(Tabla14[[#This Row],[VALOR PRESTAMO]]*Tabla14[[#This Row],[% INTERES ]]/30*U3279))+Tabla14[[#This Row],[VALOR CUOTAS]]</f>
        <v>#VALUE!</v>
      </c>
      <c r="S3279" s="88">
        <f>-IF(Tabla14[[#This Row],[DIAS HABILES O MORA]]&lt;0,(Tabla14[[#This Row],[VALOR PRESTAMO]]*Tabla14[[#This Row],[% INTERES ]]/30*U3279))</f>
        <v>0</v>
      </c>
      <c r="T3279" s="53" t="e">
        <f>Tabla14[[#This Row],[DEUDA CAPITAL]]+Tabla14[[#This Row],[INTERES  CUOTA]]</f>
        <v>#NUM!</v>
      </c>
      <c r="U3279" s="61" t="str">
        <f t="shared" si="519"/>
        <v/>
      </c>
    </row>
    <row r="3280" spans="9:21" ht="24.75" customHeight="1" x14ac:dyDescent="0.35">
      <c r="I3280" s="42">
        <f t="shared" ref="I3280:I3343" si="520">IF(C3280&lt;0,"",IF(Q3280=0,0,IF(G3280=0,H3280+1,IF(H3280&lt;G3280,H3280+1,IF(G3280=H3280,0)))))</f>
        <v>0</v>
      </c>
      <c r="J3280" s="65" t="e">
        <f t="shared" ref="J3280:J3343" si="521">IF(F3280="SOLO INTERES",Q3280*D3280,-IPMT(D3280,I3280,G3280,C3280))</f>
        <v>#NUM!</v>
      </c>
      <c r="K3280" s="83" t="e">
        <f t="shared" ref="K3280:K3343" si="522">IF(F3280="SOLO INTERES",0,-PPMT(D3280,I3280,G3280,C3280))</f>
        <v>#NUM!</v>
      </c>
      <c r="L3280" s="83">
        <f t="shared" ref="L3280:L3343" si="523">IF(F3280="SOLO INTERES",SUM(Y3280:AAE3280),IFERROR(-CUMIPMT(D3280,G3280,C3280,1,H3280,0),0)+SUM(Y3280:WY3280))</f>
        <v>0</v>
      </c>
      <c r="M3280" s="110" t="str">
        <f t="shared" ref="M3280:M3343" si="524">IFERROR(IF(F3280="SOLO INTERES",Q3280*D3280,-PMT(D3280,G3280,C3280,0)),"")</f>
        <v/>
      </c>
      <c r="N3280" s="51" t="str">
        <f t="shared" ref="N3280:N3343" si="525">IF(Q3280=0,"",IF(E3280="MENSUAL",EDATE(B3280,I3280),IF(E3280="QUINCENAL",B3280+(I3280*15),IF(E3280="SEMANAL",B3280+(I3280*7)))))</f>
        <v/>
      </c>
      <c r="O3280" s="52" t="str">
        <f t="shared" ref="O3280:O3343" si="526">IF(C3280=0,"",IF(Q3280&lt;1,"PAGADO",IF(N3280=$A$3,"COBRAR HOY",IF(N3280&lt;$A$3,"EN MORA",IF(N3280&gt;$A$3,"AL DIA")))))</f>
        <v/>
      </c>
      <c r="P3280" s="88">
        <f t="shared" ref="P3280:P3343" si="527">IFERROR(-CUMPRINC(D3280,G3280,C3280,1,H3280,0),0)+W3280</f>
        <v>0</v>
      </c>
      <c r="Q3280" s="88">
        <f t="shared" ref="Q3280:Q3343" si="528">IFERROR(C3280-P3280,"")</f>
        <v>0</v>
      </c>
      <c r="R3280" s="88" t="e">
        <f>-IF(Tabla14[[#This Row],[DIAS HABILES O MORA]]&lt;0,(Tabla14[[#This Row],[VALOR PRESTAMO]]*Tabla14[[#This Row],[% INTERES ]]/30*U3280))+Tabla14[[#This Row],[VALOR CUOTAS]]</f>
        <v>#VALUE!</v>
      </c>
      <c r="S3280" s="88">
        <f>-IF(Tabla14[[#This Row],[DIAS HABILES O MORA]]&lt;0,(Tabla14[[#This Row],[VALOR PRESTAMO]]*Tabla14[[#This Row],[% INTERES ]]/30*U3280))</f>
        <v>0</v>
      </c>
      <c r="T3280" s="53" t="e">
        <f>Tabla14[[#This Row],[DEUDA CAPITAL]]+Tabla14[[#This Row],[INTERES  CUOTA]]</f>
        <v>#NUM!</v>
      </c>
      <c r="U3280" s="61" t="str">
        <f t="shared" ref="U3280:U3343" si="529">IF(O3280="PAGADO","",IFERROR(-IF(C3280=0,"",$A$3-N3280),""))</f>
        <v/>
      </c>
    </row>
    <row r="3281" spans="9:21" ht="24.75" customHeight="1" x14ac:dyDescent="0.35">
      <c r="I3281" s="42">
        <f t="shared" si="520"/>
        <v>0</v>
      </c>
      <c r="J3281" s="65" t="e">
        <f t="shared" si="521"/>
        <v>#NUM!</v>
      </c>
      <c r="K3281" s="83" t="e">
        <f t="shared" si="522"/>
        <v>#NUM!</v>
      </c>
      <c r="L3281" s="83">
        <f t="shared" si="523"/>
        <v>0</v>
      </c>
      <c r="M3281" s="110" t="str">
        <f t="shared" si="524"/>
        <v/>
      </c>
      <c r="N3281" s="51" t="str">
        <f t="shared" si="525"/>
        <v/>
      </c>
      <c r="O3281" s="52" t="str">
        <f t="shared" si="526"/>
        <v/>
      </c>
      <c r="P3281" s="88">
        <f t="shared" si="527"/>
        <v>0</v>
      </c>
      <c r="Q3281" s="88">
        <f t="shared" si="528"/>
        <v>0</v>
      </c>
      <c r="R3281" s="88" t="e">
        <f>-IF(Tabla14[[#This Row],[DIAS HABILES O MORA]]&lt;0,(Tabla14[[#This Row],[VALOR PRESTAMO]]*Tabla14[[#This Row],[% INTERES ]]/30*U3281))+Tabla14[[#This Row],[VALOR CUOTAS]]</f>
        <v>#VALUE!</v>
      </c>
      <c r="S3281" s="88">
        <f>-IF(Tabla14[[#This Row],[DIAS HABILES O MORA]]&lt;0,(Tabla14[[#This Row],[VALOR PRESTAMO]]*Tabla14[[#This Row],[% INTERES ]]/30*U3281))</f>
        <v>0</v>
      </c>
      <c r="T3281" s="53" t="e">
        <f>Tabla14[[#This Row],[DEUDA CAPITAL]]+Tabla14[[#This Row],[INTERES  CUOTA]]</f>
        <v>#NUM!</v>
      </c>
      <c r="U3281" s="61" t="str">
        <f t="shared" si="529"/>
        <v/>
      </c>
    </row>
    <row r="3282" spans="9:21" ht="24.75" customHeight="1" x14ac:dyDescent="0.35">
      <c r="I3282" s="42">
        <f t="shared" si="520"/>
        <v>0</v>
      </c>
      <c r="J3282" s="65" t="e">
        <f t="shared" si="521"/>
        <v>#NUM!</v>
      </c>
      <c r="K3282" s="83" t="e">
        <f t="shared" si="522"/>
        <v>#NUM!</v>
      </c>
      <c r="L3282" s="83">
        <f t="shared" si="523"/>
        <v>0</v>
      </c>
      <c r="M3282" s="110" t="str">
        <f t="shared" si="524"/>
        <v/>
      </c>
      <c r="N3282" s="51" t="str">
        <f t="shared" si="525"/>
        <v/>
      </c>
      <c r="O3282" s="52" t="str">
        <f t="shared" si="526"/>
        <v/>
      </c>
      <c r="P3282" s="88">
        <f t="shared" si="527"/>
        <v>0</v>
      </c>
      <c r="Q3282" s="88">
        <f t="shared" si="528"/>
        <v>0</v>
      </c>
      <c r="R3282" s="88" t="e">
        <f>-IF(Tabla14[[#This Row],[DIAS HABILES O MORA]]&lt;0,(Tabla14[[#This Row],[VALOR PRESTAMO]]*Tabla14[[#This Row],[% INTERES ]]/30*U3282))+Tabla14[[#This Row],[VALOR CUOTAS]]</f>
        <v>#VALUE!</v>
      </c>
      <c r="S3282" s="88">
        <f>-IF(Tabla14[[#This Row],[DIAS HABILES O MORA]]&lt;0,(Tabla14[[#This Row],[VALOR PRESTAMO]]*Tabla14[[#This Row],[% INTERES ]]/30*U3282))</f>
        <v>0</v>
      </c>
      <c r="T3282" s="53" t="e">
        <f>Tabla14[[#This Row],[DEUDA CAPITAL]]+Tabla14[[#This Row],[INTERES  CUOTA]]</f>
        <v>#NUM!</v>
      </c>
      <c r="U3282" s="61" t="str">
        <f t="shared" si="529"/>
        <v/>
      </c>
    </row>
    <row r="3283" spans="9:21" ht="24.75" customHeight="1" x14ac:dyDescent="0.35">
      <c r="I3283" s="42">
        <f t="shared" si="520"/>
        <v>0</v>
      </c>
      <c r="J3283" s="65" t="e">
        <f t="shared" si="521"/>
        <v>#NUM!</v>
      </c>
      <c r="K3283" s="83" t="e">
        <f t="shared" si="522"/>
        <v>#NUM!</v>
      </c>
      <c r="L3283" s="83">
        <f t="shared" si="523"/>
        <v>0</v>
      </c>
      <c r="M3283" s="110" t="str">
        <f t="shared" si="524"/>
        <v/>
      </c>
      <c r="N3283" s="51" t="str">
        <f t="shared" si="525"/>
        <v/>
      </c>
      <c r="O3283" s="52" t="str">
        <f t="shared" si="526"/>
        <v/>
      </c>
      <c r="P3283" s="88">
        <f t="shared" si="527"/>
        <v>0</v>
      </c>
      <c r="Q3283" s="88">
        <f t="shared" si="528"/>
        <v>0</v>
      </c>
      <c r="R3283" s="88" t="e">
        <f>-IF(Tabla14[[#This Row],[DIAS HABILES O MORA]]&lt;0,(Tabla14[[#This Row],[VALOR PRESTAMO]]*Tabla14[[#This Row],[% INTERES ]]/30*U3283))+Tabla14[[#This Row],[VALOR CUOTAS]]</f>
        <v>#VALUE!</v>
      </c>
      <c r="S3283" s="88">
        <f>-IF(Tabla14[[#This Row],[DIAS HABILES O MORA]]&lt;0,(Tabla14[[#This Row],[VALOR PRESTAMO]]*Tabla14[[#This Row],[% INTERES ]]/30*U3283))</f>
        <v>0</v>
      </c>
      <c r="T3283" s="53" t="e">
        <f>Tabla14[[#This Row],[DEUDA CAPITAL]]+Tabla14[[#This Row],[INTERES  CUOTA]]</f>
        <v>#NUM!</v>
      </c>
      <c r="U3283" s="61" t="str">
        <f t="shared" si="529"/>
        <v/>
      </c>
    </row>
    <row r="3284" spans="9:21" ht="24.75" customHeight="1" x14ac:dyDescent="0.35">
      <c r="I3284" s="42">
        <f t="shared" si="520"/>
        <v>0</v>
      </c>
      <c r="J3284" s="65" t="e">
        <f t="shared" si="521"/>
        <v>#NUM!</v>
      </c>
      <c r="K3284" s="83" t="e">
        <f t="shared" si="522"/>
        <v>#NUM!</v>
      </c>
      <c r="L3284" s="83">
        <f t="shared" si="523"/>
        <v>0</v>
      </c>
      <c r="M3284" s="110" t="str">
        <f t="shared" si="524"/>
        <v/>
      </c>
      <c r="N3284" s="51" t="str">
        <f t="shared" si="525"/>
        <v/>
      </c>
      <c r="O3284" s="52" t="str">
        <f t="shared" si="526"/>
        <v/>
      </c>
      <c r="P3284" s="88">
        <f t="shared" si="527"/>
        <v>0</v>
      </c>
      <c r="Q3284" s="88">
        <f t="shared" si="528"/>
        <v>0</v>
      </c>
      <c r="R3284" s="88" t="e">
        <f>-IF(Tabla14[[#This Row],[DIAS HABILES O MORA]]&lt;0,(Tabla14[[#This Row],[VALOR PRESTAMO]]*Tabla14[[#This Row],[% INTERES ]]/30*U3284))+Tabla14[[#This Row],[VALOR CUOTAS]]</f>
        <v>#VALUE!</v>
      </c>
      <c r="S3284" s="88">
        <f>-IF(Tabla14[[#This Row],[DIAS HABILES O MORA]]&lt;0,(Tabla14[[#This Row],[VALOR PRESTAMO]]*Tabla14[[#This Row],[% INTERES ]]/30*U3284))</f>
        <v>0</v>
      </c>
      <c r="T3284" s="53" t="e">
        <f>Tabla14[[#This Row],[DEUDA CAPITAL]]+Tabla14[[#This Row],[INTERES  CUOTA]]</f>
        <v>#NUM!</v>
      </c>
      <c r="U3284" s="61" t="str">
        <f t="shared" si="529"/>
        <v/>
      </c>
    </row>
    <row r="3285" spans="9:21" ht="24.75" customHeight="1" x14ac:dyDescent="0.35">
      <c r="I3285" s="42">
        <f t="shared" si="520"/>
        <v>0</v>
      </c>
      <c r="J3285" s="65" t="e">
        <f t="shared" si="521"/>
        <v>#NUM!</v>
      </c>
      <c r="K3285" s="83" t="e">
        <f t="shared" si="522"/>
        <v>#NUM!</v>
      </c>
      <c r="L3285" s="83">
        <f t="shared" si="523"/>
        <v>0</v>
      </c>
      <c r="M3285" s="110" t="str">
        <f t="shared" si="524"/>
        <v/>
      </c>
      <c r="N3285" s="51" t="str">
        <f t="shared" si="525"/>
        <v/>
      </c>
      <c r="O3285" s="52" t="str">
        <f t="shared" si="526"/>
        <v/>
      </c>
      <c r="P3285" s="88">
        <f t="shared" si="527"/>
        <v>0</v>
      </c>
      <c r="Q3285" s="88">
        <f t="shared" si="528"/>
        <v>0</v>
      </c>
      <c r="R3285" s="88" t="e">
        <f>-IF(Tabla14[[#This Row],[DIAS HABILES O MORA]]&lt;0,(Tabla14[[#This Row],[VALOR PRESTAMO]]*Tabla14[[#This Row],[% INTERES ]]/30*U3285))+Tabla14[[#This Row],[VALOR CUOTAS]]</f>
        <v>#VALUE!</v>
      </c>
      <c r="S3285" s="88">
        <f>-IF(Tabla14[[#This Row],[DIAS HABILES O MORA]]&lt;0,(Tabla14[[#This Row],[VALOR PRESTAMO]]*Tabla14[[#This Row],[% INTERES ]]/30*U3285))</f>
        <v>0</v>
      </c>
      <c r="T3285" s="53" t="e">
        <f>Tabla14[[#This Row],[DEUDA CAPITAL]]+Tabla14[[#This Row],[INTERES  CUOTA]]</f>
        <v>#NUM!</v>
      </c>
      <c r="U3285" s="61" t="str">
        <f t="shared" si="529"/>
        <v/>
      </c>
    </row>
    <row r="3286" spans="9:21" ht="24.75" customHeight="1" x14ac:dyDescent="0.35">
      <c r="I3286" s="42">
        <f t="shared" si="520"/>
        <v>0</v>
      </c>
      <c r="J3286" s="65" t="e">
        <f t="shared" si="521"/>
        <v>#NUM!</v>
      </c>
      <c r="K3286" s="83" t="e">
        <f t="shared" si="522"/>
        <v>#NUM!</v>
      </c>
      <c r="L3286" s="83">
        <f t="shared" si="523"/>
        <v>0</v>
      </c>
      <c r="M3286" s="110" t="str">
        <f t="shared" si="524"/>
        <v/>
      </c>
      <c r="N3286" s="51" t="str">
        <f t="shared" si="525"/>
        <v/>
      </c>
      <c r="O3286" s="52" t="str">
        <f t="shared" si="526"/>
        <v/>
      </c>
      <c r="P3286" s="88">
        <f t="shared" si="527"/>
        <v>0</v>
      </c>
      <c r="Q3286" s="88">
        <f t="shared" si="528"/>
        <v>0</v>
      </c>
      <c r="R3286" s="88" t="e">
        <f>-IF(Tabla14[[#This Row],[DIAS HABILES O MORA]]&lt;0,(Tabla14[[#This Row],[VALOR PRESTAMO]]*Tabla14[[#This Row],[% INTERES ]]/30*U3286))+Tabla14[[#This Row],[VALOR CUOTAS]]</f>
        <v>#VALUE!</v>
      </c>
      <c r="S3286" s="88">
        <f>-IF(Tabla14[[#This Row],[DIAS HABILES O MORA]]&lt;0,(Tabla14[[#This Row],[VALOR PRESTAMO]]*Tabla14[[#This Row],[% INTERES ]]/30*U3286))</f>
        <v>0</v>
      </c>
      <c r="T3286" s="53" t="e">
        <f>Tabla14[[#This Row],[DEUDA CAPITAL]]+Tabla14[[#This Row],[INTERES  CUOTA]]</f>
        <v>#NUM!</v>
      </c>
      <c r="U3286" s="61" t="str">
        <f t="shared" si="529"/>
        <v/>
      </c>
    </row>
    <row r="3287" spans="9:21" ht="24.75" customHeight="1" x14ac:dyDescent="0.35">
      <c r="I3287" s="42">
        <f t="shared" si="520"/>
        <v>0</v>
      </c>
      <c r="J3287" s="65" t="e">
        <f t="shared" si="521"/>
        <v>#NUM!</v>
      </c>
      <c r="K3287" s="83" t="e">
        <f t="shared" si="522"/>
        <v>#NUM!</v>
      </c>
      <c r="L3287" s="83">
        <f t="shared" si="523"/>
        <v>0</v>
      </c>
      <c r="M3287" s="110" t="str">
        <f t="shared" si="524"/>
        <v/>
      </c>
      <c r="N3287" s="51" t="str">
        <f t="shared" si="525"/>
        <v/>
      </c>
      <c r="O3287" s="52" t="str">
        <f t="shared" si="526"/>
        <v/>
      </c>
      <c r="P3287" s="88">
        <f t="shared" si="527"/>
        <v>0</v>
      </c>
      <c r="Q3287" s="88">
        <f t="shared" si="528"/>
        <v>0</v>
      </c>
      <c r="R3287" s="88" t="e">
        <f>-IF(Tabla14[[#This Row],[DIAS HABILES O MORA]]&lt;0,(Tabla14[[#This Row],[VALOR PRESTAMO]]*Tabla14[[#This Row],[% INTERES ]]/30*U3287))+Tabla14[[#This Row],[VALOR CUOTAS]]</f>
        <v>#VALUE!</v>
      </c>
      <c r="S3287" s="88">
        <f>-IF(Tabla14[[#This Row],[DIAS HABILES O MORA]]&lt;0,(Tabla14[[#This Row],[VALOR PRESTAMO]]*Tabla14[[#This Row],[% INTERES ]]/30*U3287))</f>
        <v>0</v>
      </c>
      <c r="T3287" s="53" t="e">
        <f>Tabla14[[#This Row],[DEUDA CAPITAL]]+Tabla14[[#This Row],[INTERES  CUOTA]]</f>
        <v>#NUM!</v>
      </c>
      <c r="U3287" s="61" t="str">
        <f t="shared" si="529"/>
        <v/>
      </c>
    </row>
    <row r="3288" spans="9:21" ht="24.75" customHeight="1" x14ac:dyDescent="0.35">
      <c r="I3288" s="42">
        <f t="shared" si="520"/>
        <v>0</v>
      </c>
      <c r="J3288" s="65" t="e">
        <f t="shared" si="521"/>
        <v>#NUM!</v>
      </c>
      <c r="K3288" s="83" t="e">
        <f t="shared" si="522"/>
        <v>#NUM!</v>
      </c>
      <c r="L3288" s="83">
        <f t="shared" si="523"/>
        <v>0</v>
      </c>
      <c r="M3288" s="110" t="str">
        <f t="shared" si="524"/>
        <v/>
      </c>
      <c r="N3288" s="51" t="str">
        <f t="shared" si="525"/>
        <v/>
      </c>
      <c r="O3288" s="52" t="str">
        <f t="shared" si="526"/>
        <v/>
      </c>
      <c r="P3288" s="88">
        <f t="shared" si="527"/>
        <v>0</v>
      </c>
      <c r="Q3288" s="88">
        <f t="shared" si="528"/>
        <v>0</v>
      </c>
      <c r="R3288" s="88" t="e">
        <f>-IF(Tabla14[[#This Row],[DIAS HABILES O MORA]]&lt;0,(Tabla14[[#This Row],[VALOR PRESTAMO]]*Tabla14[[#This Row],[% INTERES ]]/30*U3288))+Tabla14[[#This Row],[VALOR CUOTAS]]</f>
        <v>#VALUE!</v>
      </c>
      <c r="S3288" s="88">
        <f>-IF(Tabla14[[#This Row],[DIAS HABILES O MORA]]&lt;0,(Tabla14[[#This Row],[VALOR PRESTAMO]]*Tabla14[[#This Row],[% INTERES ]]/30*U3288))</f>
        <v>0</v>
      </c>
      <c r="T3288" s="53" t="e">
        <f>Tabla14[[#This Row],[DEUDA CAPITAL]]+Tabla14[[#This Row],[INTERES  CUOTA]]</f>
        <v>#NUM!</v>
      </c>
      <c r="U3288" s="61" t="str">
        <f t="shared" si="529"/>
        <v/>
      </c>
    </row>
    <row r="3289" spans="9:21" ht="24.75" customHeight="1" x14ac:dyDescent="0.35">
      <c r="I3289" s="42">
        <f t="shared" si="520"/>
        <v>0</v>
      </c>
      <c r="J3289" s="65" t="e">
        <f t="shared" si="521"/>
        <v>#NUM!</v>
      </c>
      <c r="K3289" s="83" t="e">
        <f t="shared" si="522"/>
        <v>#NUM!</v>
      </c>
      <c r="L3289" s="83">
        <f t="shared" si="523"/>
        <v>0</v>
      </c>
      <c r="M3289" s="110" t="str">
        <f t="shared" si="524"/>
        <v/>
      </c>
      <c r="N3289" s="51" t="str">
        <f t="shared" si="525"/>
        <v/>
      </c>
      <c r="O3289" s="52" t="str">
        <f t="shared" si="526"/>
        <v/>
      </c>
      <c r="P3289" s="88">
        <f t="shared" si="527"/>
        <v>0</v>
      </c>
      <c r="Q3289" s="88">
        <f t="shared" si="528"/>
        <v>0</v>
      </c>
      <c r="R3289" s="88" t="e">
        <f>-IF(Tabla14[[#This Row],[DIAS HABILES O MORA]]&lt;0,(Tabla14[[#This Row],[VALOR PRESTAMO]]*Tabla14[[#This Row],[% INTERES ]]/30*U3289))+Tabla14[[#This Row],[VALOR CUOTAS]]</f>
        <v>#VALUE!</v>
      </c>
      <c r="S3289" s="88">
        <f>-IF(Tabla14[[#This Row],[DIAS HABILES O MORA]]&lt;0,(Tabla14[[#This Row],[VALOR PRESTAMO]]*Tabla14[[#This Row],[% INTERES ]]/30*U3289))</f>
        <v>0</v>
      </c>
      <c r="T3289" s="53" t="e">
        <f>Tabla14[[#This Row],[DEUDA CAPITAL]]+Tabla14[[#This Row],[INTERES  CUOTA]]</f>
        <v>#NUM!</v>
      </c>
      <c r="U3289" s="61" t="str">
        <f t="shared" si="529"/>
        <v/>
      </c>
    </row>
    <row r="3290" spans="9:21" ht="24.75" customHeight="1" x14ac:dyDescent="0.35">
      <c r="I3290" s="42">
        <f t="shared" si="520"/>
        <v>0</v>
      </c>
      <c r="J3290" s="65" t="e">
        <f t="shared" si="521"/>
        <v>#NUM!</v>
      </c>
      <c r="K3290" s="83" t="e">
        <f t="shared" si="522"/>
        <v>#NUM!</v>
      </c>
      <c r="L3290" s="83">
        <f t="shared" si="523"/>
        <v>0</v>
      </c>
      <c r="M3290" s="110" t="str">
        <f t="shared" si="524"/>
        <v/>
      </c>
      <c r="N3290" s="51" t="str">
        <f t="shared" si="525"/>
        <v/>
      </c>
      <c r="O3290" s="52" t="str">
        <f t="shared" si="526"/>
        <v/>
      </c>
      <c r="P3290" s="88">
        <f t="shared" si="527"/>
        <v>0</v>
      </c>
      <c r="Q3290" s="88">
        <f t="shared" si="528"/>
        <v>0</v>
      </c>
      <c r="R3290" s="88" t="e">
        <f>-IF(Tabla14[[#This Row],[DIAS HABILES O MORA]]&lt;0,(Tabla14[[#This Row],[VALOR PRESTAMO]]*Tabla14[[#This Row],[% INTERES ]]/30*U3290))+Tabla14[[#This Row],[VALOR CUOTAS]]</f>
        <v>#VALUE!</v>
      </c>
      <c r="S3290" s="88">
        <f>-IF(Tabla14[[#This Row],[DIAS HABILES O MORA]]&lt;0,(Tabla14[[#This Row],[VALOR PRESTAMO]]*Tabla14[[#This Row],[% INTERES ]]/30*U3290))</f>
        <v>0</v>
      </c>
      <c r="T3290" s="53" t="e">
        <f>Tabla14[[#This Row],[DEUDA CAPITAL]]+Tabla14[[#This Row],[INTERES  CUOTA]]</f>
        <v>#NUM!</v>
      </c>
      <c r="U3290" s="61" t="str">
        <f t="shared" si="529"/>
        <v/>
      </c>
    </row>
    <row r="3291" spans="9:21" ht="24.75" customHeight="1" x14ac:dyDescent="0.35">
      <c r="I3291" s="42">
        <f t="shared" si="520"/>
        <v>0</v>
      </c>
      <c r="J3291" s="65" t="e">
        <f t="shared" si="521"/>
        <v>#NUM!</v>
      </c>
      <c r="K3291" s="83" t="e">
        <f t="shared" si="522"/>
        <v>#NUM!</v>
      </c>
      <c r="L3291" s="83">
        <f t="shared" si="523"/>
        <v>0</v>
      </c>
      <c r="M3291" s="110" t="str">
        <f t="shared" si="524"/>
        <v/>
      </c>
      <c r="N3291" s="51" t="str">
        <f t="shared" si="525"/>
        <v/>
      </c>
      <c r="O3291" s="52" t="str">
        <f t="shared" si="526"/>
        <v/>
      </c>
      <c r="P3291" s="88">
        <f t="shared" si="527"/>
        <v>0</v>
      </c>
      <c r="Q3291" s="88">
        <f t="shared" si="528"/>
        <v>0</v>
      </c>
      <c r="R3291" s="88" t="e">
        <f>-IF(Tabla14[[#This Row],[DIAS HABILES O MORA]]&lt;0,(Tabla14[[#This Row],[VALOR PRESTAMO]]*Tabla14[[#This Row],[% INTERES ]]/30*U3291))+Tabla14[[#This Row],[VALOR CUOTAS]]</f>
        <v>#VALUE!</v>
      </c>
      <c r="S3291" s="88">
        <f>-IF(Tabla14[[#This Row],[DIAS HABILES O MORA]]&lt;0,(Tabla14[[#This Row],[VALOR PRESTAMO]]*Tabla14[[#This Row],[% INTERES ]]/30*U3291))</f>
        <v>0</v>
      </c>
      <c r="T3291" s="53" t="e">
        <f>Tabla14[[#This Row],[DEUDA CAPITAL]]+Tabla14[[#This Row],[INTERES  CUOTA]]</f>
        <v>#NUM!</v>
      </c>
      <c r="U3291" s="61" t="str">
        <f t="shared" si="529"/>
        <v/>
      </c>
    </row>
    <row r="3292" spans="9:21" ht="24.75" customHeight="1" x14ac:dyDescent="0.35">
      <c r="I3292" s="42">
        <f t="shared" si="520"/>
        <v>0</v>
      </c>
      <c r="J3292" s="65" t="e">
        <f t="shared" si="521"/>
        <v>#NUM!</v>
      </c>
      <c r="K3292" s="83" t="e">
        <f t="shared" si="522"/>
        <v>#NUM!</v>
      </c>
      <c r="L3292" s="83">
        <f t="shared" si="523"/>
        <v>0</v>
      </c>
      <c r="M3292" s="110" t="str">
        <f t="shared" si="524"/>
        <v/>
      </c>
      <c r="N3292" s="51" t="str">
        <f t="shared" si="525"/>
        <v/>
      </c>
      <c r="O3292" s="52" t="str">
        <f t="shared" si="526"/>
        <v/>
      </c>
      <c r="P3292" s="88">
        <f t="shared" si="527"/>
        <v>0</v>
      </c>
      <c r="Q3292" s="88">
        <f t="shared" si="528"/>
        <v>0</v>
      </c>
      <c r="R3292" s="88" t="e">
        <f>-IF(Tabla14[[#This Row],[DIAS HABILES O MORA]]&lt;0,(Tabla14[[#This Row],[VALOR PRESTAMO]]*Tabla14[[#This Row],[% INTERES ]]/30*U3292))+Tabla14[[#This Row],[VALOR CUOTAS]]</f>
        <v>#VALUE!</v>
      </c>
      <c r="S3292" s="88">
        <f>-IF(Tabla14[[#This Row],[DIAS HABILES O MORA]]&lt;0,(Tabla14[[#This Row],[VALOR PRESTAMO]]*Tabla14[[#This Row],[% INTERES ]]/30*U3292))</f>
        <v>0</v>
      </c>
      <c r="T3292" s="53" t="e">
        <f>Tabla14[[#This Row],[DEUDA CAPITAL]]+Tabla14[[#This Row],[INTERES  CUOTA]]</f>
        <v>#NUM!</v>
      </c>
      <c r="U3292" s="61" t="str">
        <f t="shared" si="529"/>
        <v/>
      </c>
    </row>
    <row r="3293" spans="9:21" ht="24.75" customHeight="1" x14ac:dyDescent="0.35">
      <c r="I3293" s="42">
        <f t="shared" si="520"/>
        <v>0</v>
      </c>
      <c r="J3293" s="65" t="e">
        <f t="shared" si="521"/>
        <v>#NUM!</v>
      </c>
      <c r="K3293" s="83" t="e">
        <f t="shared" si="522"/>
        <v>#NUM!</v>
      </c>
      <c r="L3293" s="83">
        <f t="shared" si="523"/>
        <v>0</v>
      </c>
      <c r="M3293" s="110" t="str">
        <f t="shared" si="524"/>
        <v/>
      </c>
      <c r="N3293" s="51" t="str">
        <f t="shared" si="525"/>
        <v/>
      </c>
      <c r="O3293" s="52" t="str">
        <f t="shared" si="526"/>
        <v/>
      </c>
      <c r="P3293" s="88">
        <f t="shared" si="527"/>
        <v>0</v>
      </c>
      <c r="Q3293" s="88">
        <f t="shared" si="528"/>
        <v>0</v>
      </c>
      <c r="R3293" s="88" t="e">
        <f>-IF(Tabla14[[#This Row],[DIAS HABILES O MORA]]&lt;0,(Tabla14[[#This Row],[VALOR PRESTAMO]]*Tabla14[[#This Row],[% INTERES ]]/30*U3293))+Tabla14[[#This Row],[VALOR CUOTAS]]</f>
        <v>#VALUE!</v>
      </c>
      <c r="S3293" s="88">
        <f>-IF(Tabla14[[#This Row],[DIAS HABILES O MORA]]&lt;0,(Tabla14[[#This Row],[VALOR PRESTAMO]]*Tabla14[[#This Row],[% INTERES ]]/30*U3293))</f>
        <v>0</v>
      </c>
      <c r="T3293" s="53" t="e">
        <f>Tabla14[[#This Row],[DEUDA CAPITAL]]+Tabla14[[#This Row],[INTERES  CUOTA]]</f>
        <v>#NUM!</v>
      </c>
      <c r="U3293" s="61" t="str">
        <f t="shared" si="529"/>
        <v/>
      </c>
    </row>
    <row r="3294" spans="9:21" ht="24.75" customHeight="1" x14ac:dyDescent="0.35">
      <c r="I3294" s="42">
        <f t="shared" si="520"/>
        <v>0</v>
      </c>
      <c r="J3294" s="65" t="e">
        <f t="shared" si="521"/>
        <v>#NUM!</v>
      </c>
      <c r="K3294" s="83" t="e">
        <f t="shared" si="522"/>
        <v>#NUM!</v>
      </c>
      <c r="L3294" s="83">
        <f t="shared" si="523"/>
        <v>0</v>
      </c>
      <c r="M3294" s="110" t="str">
        <f t="shared" si="524"/>
        <v/>
      </c>
      <c r="N3294" s="51" t="str">
        <f t="shared" si="525"/>
        <v/>
      </c>
      <c r="O3294" s="52" t="str">
        <f t="shared" si="526"/>
        <v/>
      </c>
      <c r="P3294" s="88">
        <f t="shared" si="527"/>
        <v>0</v>
      </c>
      <c r="Q3294" s="88">
        <f t="shared" si="528"/>
        <v>0</v>
      </c>
      <c r="R3294" s="88" t="e">
        <f>-IF(Tabla14[[#This Row],[DIAS HABILES O MORA]]&lt;0,(Tabla14[[#This Row],[VALOR PRESTAMO]]*Tabla14[[#This Row],[% INTERES ]]/30*U3294))+Tabla14[[#This Row],[VALOR CUOTAS]]</f>
        <v>#VALUE!</v>
      </c>
      <c r="S3294" s="88">
        <f>-IF(Tabla14[[#This Row],[DIAS HABILES O MORA]]&lt;0,(Tabla14[[#This Row],[VALOR PRESTAMO]]*Tabla14[[#This Row],[% INTERES ]]/30*U3294))</f>
        <v>0</v>
      </c>
      <c r="T3294" s="53" t="e">
        <f>Tabla14[[#This Row],[DEUDA CAPITAL]]+Tabla14[[#This Row],[INTERES  CUOTA]]</f>
        <v>#NUM!</v>
      </c>
      <c r="U3294" s="61" t="str">
        <f t="shared" si="529"/>
        <v/>
      </c>
    </row>
    <row r="3295" spans="9:21" ht="24.75" customHeight="1" x14ac:dyDescent="0.35">
      <c r="I3295" s="42">
        <f t="shared" si="520"/>
        <v>0</v>
      </c>
      <c r="J3295" s="65" t="e">
        <f t="shared" si="521"/>
        <v>#NUM!</v>
      </c>
      <c r="K3295" s="83" t="e">
        <f t="shared" si="522"/>
        <v>#NUM!</v>
      </c>
      <c r="L3295" s="83">
        <f t="shared" si="523"/>
        <v>0</v>
      </c>
      <c r="M3295" s="110" t="str">
        <f t="shared" si="524"/>
        <v/>
      </c>
      <c r="N3295" s="51" t="str">
        <f t="shared" si="525"/>
        <v/>
      </c>
      <c r="O3295" s="52" t="str">
        <f t="shared" si="526"/>
        <v/>
      </c>
      <c r="P3295" s="88">
        <f t="shared" si="527"/>
        <v>0</v>
      </c>
      <c r="Q3295" s="88">
        <f t="shared" si="528"/>
        <v>0</v>
      </c>
      <c r="R3295" s="88" t="e">
        <f>-IF(Tabla14[[#This Row],[DIAS HABILES O MORA]]&lt;0,(Tabla14[[#This Row],[VALOR PRESTAMO]]*Tabla14[[#This Row],[% INTERES ]]/30*U3295))+Tabla14[[#This Row],[VALOR CUOTAS]]</f>
        <v>#VALUE!</v>
      </c>
      <c r="S3295" s="88">
        <f>-IF(Tabla14[[#This Row],[DIAS HABILES O MORA]]&lt;0,(Tabla14[[#This Row],[VALOR PRESTAMO]]*Tabla14[[#This Row],[% INTERES ]]/30*U3295))</f>
        <v>0</v>
      </c>
      <c r="T3295" s="53" t="e">
        <f>Tabla14[[#This Row],[DEUDA CAPITAL]]+Tabla14[[#This Row],[INTERES  CUOTA]]</f>
        <v>#NUM!</v>
      </c>
      <c r="U3295" s="61" t="str">
        <f t="shared" si="529"/>
        <v/>
      </c>
    </row>
    <row r="3296" spans="9:21" ht="24.75" customHeight="1" x14ac:dyDescent="0.35">
      <c r="I3296" s="42">
        <f t="shared" si="520"/>
        <v>0</v>
      </c>
      <c r="J3296" s="65" t="e">
        <f t="shared" si="521"/>
        <v>#NUM!</v>
      </c>
      <c r="K3296" s="83" t="e">
        <f t="shared" si="522"/>
        <v>#NUM!</v>
      </c>
      <c r="L3296" s="83">
        <f t="shared" si="523"/>
        <v>0</v>
      </c>
      <c r="M3296" s="110" t="str">
        <f t="shared" si="524"/>
        <v/>
      </c>
      <c r="N3296" s="51" t="str">
        <f t="shared" si="525"/>
        <v/>
      </c>
      <c r="O3296" s="52" t="str">
        <f t="shared" si="526"/>
        <v/>
      </c>
      <c r="P3296" s="88">
        <f t="shared" si="527"/>
        <v>0</v>
      </c>
      <c r="Q3296" s="88">
        <f t="shared" si="528"/>
        <v>0</v>
      </c>
      <c r="R3296" s="88" t="e">
        <f>-IF(Tabla14[[#This Row],[DIAS HABILES O MORA]]&lt;0,(Tabla14[[#This Row],[VALOR PRESTAMO]]*Tabla14[[#This Row],[% INTERES ]]/30*U3296))+Tabla14[[#This Row],[VALOR CUOTAS]]</f>
        <v>#VALUE!</v>
      </c>
      <c r="S3296" s="88">
        <f>-IF(Tabla14[[#This Row],[DIAS HABILES O MORA]]&lt;0,(Tabla14[[#This Row],[VALOR PRESTAMO]]*Tabla14[[#This Row],[% INTERES ]]/30*U3296))</f>
        <v>0</v>
      </c>
      <c r="T3296" s="53" t="e">
        <f>Tabla14[[#This Row],[DEUDA CAPITAL]]+Tabla14[[#This Row],[INTERES  CUOTA]]</f>
        <v>#NUM!</v>
      </c>
      <c r="U3296" s="61" t="str">
        <f t="shared" si="529"/>
        <v/>
      </c>
    </row>
    <row r="3297" spans="9:21" ht="24.75" customHeight="1" x14ac:dyDescent="0.35">
      <c r="I3297" s="42">
        <f t="shared" si="520"/>
        <v>0</v>
      </c>
      <c r="J3297" s="65" t="e">
        <f t="shared" si="521"/>
        <v>#NUM!</v>
      </c>
      <c r="K3297" s="83" t="e">
        <f t="shared" si="522"/>
        <v>#NUM!</v>
      </c>
      <c r="L3297" s="83">
        <f t="shared" si="523"/>
        <v>0</v>
      </c>
      <c r="M3297" s="110" t="str">
        <f t="shared" si="524"/>
        <v/>
      </c>
      <c r="N3297" s="51" t="str">
        <f t="shared" si="525"/>
        <v/>
      </c>
      <c r="O3297" s="52" t="str">
        <f t="shared" si="526"/>
        <v/>
      </c>
      <c r="P3297" s="88">
        <f t="shared" si="527"/>
        <v>0</v>
      </c>
      <c r="Q3297" s="88">
        <f t="shared" si="528"/>
        <v>0</v>
      </c>
      <c r="R3297" s="88" t="e">
        <f>-IF(Tabla14[[#This Row],[DIAS HABILES O MORA]]&lt;0,(Tabla14[[#This Row],[VALOR PRESTAMO]]*Tabla14[[#This Row],[% INTERES ]]/30*U3297))+Tabla14[[#This Row],[VALOR CUOTAS]]</f>
        <v>#VALUE!</v>
      </c>
      <c r="S3297" s="88">
        <f>-IF(Tabla14[[#This Row],[DIAS HABILES O MORA]]&lt;0,(Tabla14[[#This Row],[VALOR PRESTAMO]]*Tabla14[[#This Row],[% INTERES ]]/30*U3297))</f>
        <v>0</v>
      </c>
      <c r="T3297" s="53" t="e">
        <f>Tabla14[[#This Row],[DEUDA CAPITAL]]+Tabla14[[#This Row],[INTERES  CUOTA]]</f>
        <v>#NUM!</v>
      </c>
      <c r="U3297" s="61" t="str">
        <f t="shared" si="529"/>
        <v/>
      </c>
    </row>
    <row r="3298" spans="9:21" ht="24.75" customHeight="1" x14ac:dyDescent="0.35">
      <c r="I3298" s="42">
        <f t="shared" si="520"/>
        <v>0</v>
      </c>
      <c r="J3298" s="65" t="e">
        <f t="shared" si="521"/>
        <v>#NUM!</v>
      </c>
      <c r="K3298" s="83" t="e">
        <f t="shared" si="522"/>
        <v>#NUM!</v>
      </c>
      <c r="L3298" s="83">
        <f t="shared" si="523"/>
        <v>0</v>
      </c>
      <c r="M3298" s="110" t="str">
        <f t="shared" si="524"/>
        <v/>
      </c>
      <c r="N3298" s="51" t="str">
        <f t="shared" si="525"/>
        <v/>
      </c>
      <c r="O3298" s="52" t="str">
        <f t="shared" si="526"/>
        <v/>
      </c>
      <c r="P3298" s="88">
        <f t="shared" si="527"/>
        <v>0</v>
      </c>
      <c r="Q3298" s="88">
        <f t="shared" si="528"/>
        <v>0</v>
      </c>
      <c r="R3298" s="88" t="e">
        <f>-IF(Tabla14[[#This Row],[DIAS HABILES O MORA]]&lt;0,(Tabla14[[#This Row],[VALOR PRESTAMO]]*Tabla14[[#This Row],[% INTERES ]]/30*U3298))+Tabla14[[#This Row],[VALOR CUOTAS]]</f>
        <v>#VALUE!</v>
      </c>
      <c r="S3298" s="88">
        <f>-IF(Tabla14[[#This Row],[DIAS HABILES O MORA]]&lt;0,(Tabla14[[#This Row],[VALOR PRESTAMO]]*Tabla14[[#This Row],[% INTERES ]]/30*U3298))</f>
        <v>0</v>
      </c>
      <c r="T3298" s="53" t="e">
        <f>Tabla14[[#This Row],[DEUDA CAPITAL]]+Tabla14[[#This Row],[INTERES  CUOTA]]</f>
        <v>#NUM!</v>
      </c>
      <c r="U3298" s="61" t="str">
        <f t="shared" si="529"/>
        <v/>
      </c>
    </row>
    <row r="3299" spans="9:21" ht="24.75" customHeight="1" x14ac:dyDescent="0.35">
      <c r="I3299" s="42">
        <f t="shared" si="520"/>
        <v>0</v>
      </c>
      <c r="J3299" s="65" t="e">
        <f t="shared" si="521"/>
        <v>#NUM!</v>
      </c>
      <c r="K3299" s="83" t="e">
        <f t="shared" si="522"/>
        <v>#NUM!</v>
      </c>
      <c r="L3299" s="83">
        <f t="shared" si="523"/>
        <v>0</v>
      </c>
      <c r="M3299" s="110" t="str">
        <f t="shared" si="524"/>
        <v/>
      </c>
      <c r="N3299" s="51" t="str">
        <f t="shared" si="525"/>
        <v/>
      </c>
      <c r="O3299" s="52" t="str">
        <f t="shared" si="526"/>
        <v/>
      </c>
      <c r="P3299" s="88">
        <f t="shared" si="527"/>
        <v>0</v>
      </c>
      <c r="Q3299" s="88">
        <f t="shared" si="528"/>
        <v>0</v>
      </c>
      <c r="R3299" s="88" t="e">
        <f>-IF(Tabla14[[#This Row],[DIAS HABILES O MORA]]&lt;0,(Tabla14[[#This Row],[VALOR PRESTAMO]]*Tabla14[[#This Row],[% INTERES ]]/30*U3299))+Tabla14[[#This Row],[VALOR CUOTAS]]</f>
        <v>#VALUE!</v>
      </c>
      <c r="S3299" s="88">
        <f>-IF(Tabla14[[#This Row],[DIAS HABILES O MORA]]&lt;0,(Tabla14[[#This Row],[VALOR PRESTAMO]]*Tabla14[[#This Row],[% INTERES ]]/30*U3299))</f>
        <v>0</v>
      </c>
      <c r="T3299" s="53" t="e">
        <f>Tabla14[[#This Row],[DEUDA CAPITAL]]+Tabla14[[#This Row],[INTERES  CUOTA]]</f>
        <v>#NUM!</v>
      </c>
      <c r="U3299" s="61" t="str">
        <f t="shared" si="529"/>
        <v/>
      </c>
    </row>
    <row r="3300" spans="9:21" ht="24.75" customHeight="1" x14ac:dyDescent="0.35">
      <c r="I3300" s="42">
        <f t="shared" si="520"/>
        <v>0</v>
      </c>
      <c r="J3300" s="65" t="e">
        <f t="shared" si="521"/>
        <v>#NUM!</v>
      </c>
      <c r="K3300" s="83" t="e">
        <f t="shared" si="522"/>
        <v>#NUM!</v>
      </c>
      <c r="L3300" s="83">
        <f t="shared" si="523"/>
        <v>0</v>
      </c>
      <c r="M3300" s="110" t="str">
        <f t="shared" si="524"/>
        <v/>
      </c>
      <c r="N3300" s="51" t="str">
        <f t="shared" si="525"/>
        <v/>
      </c>
      <c r="O3300" s="52" t="str">
        <f t="shared" si="526"/>
        <v/>
      </c>
      <c r="P3300" s="88">
        <f t="shared" si="527"/>
        <v>0</v>
      </c>
      <c r="Q3300" s="88">
        <f t="shared" si="528"/>
        <v>0</v>
      </c>
      <c r="R3300" s="88" t="e">
        <f>-IF(Tabla14[[#This Row],[DIAS HABILES O MORA]]&lt;0,(Tabla14[[#This Row],[VALOR PRESTAMO]]*Tabla14[[#This Row],[% INTERES ]]/30*U3300))+Tabla14[[#This Row],[VALOR CUOTAS]]</f>
        <v>#VALUE!</v>
      </c>
      <c r="S3300" s="88">
        <f>-IF(Tabla14[[#This Row],[DIAS HABILES O MORA]]&lt;0,(Tabla14[[#This Row],[VALOR PRESTAMO]]*Tabla14[[#This Row],[% INTERES ]]/30*U3300))</f>
        <v>0</v>
      </c>
      <c r="T3300" s="53" t="e">
        <f>Tabla14[[#This Row],[DEUDA CAPITAL]]+Tabla14[[#This Row],[INTERES  CUOTA]]</f>
        <v>#NUM!</v>
      </c>
      <c r="U3300" s="61" t="str">
        <f t="shared" si="529"/>
        <v/>
      </c>
    </row>
    <row r="3301" spans="9:21" ht="24.75" customHeight="1" x14ac:dyDescent="0.35">
      <c r="I3301" s="42">
        <f t="shared" si="520"/>
        <v>0</v>
      </c>
      <c r="J3301" s="65" t="e">
        <f t="shared" si="521"/>
        <v>#NUM!</v>
      </c>
      <c r="K3301" s="83" t="e">
        <f t="shared" si="522"/>
        <v>#NUM!</v>
      </c>
      <c r="L3301" s="83">
        <f t="shared" si="523"/>
        <v>0</v>
      </c>
      <c r="M3301" s="110" t="str">
        <f t="shared" si="524"/>
        <v/>
      </c>
      <c r="N3301" s="51" t="str">
        <f t="shared" si="525"/>
        <v/>
      </c>
      <c r="O3301" s="52" t="str">
        <f t="shared" si="526"/>
        <v/>
      </c>
      <c r="P3301" s="88">
        <f t="shared" si="527"/>
        <v>0</v>
      </c>
      <c r="Q3301" s="88">
        <f t="shared" si="528"/>
        <v>0</v>
      </c>
      <c r="R3301" s="88" t="e">
        <f>-IF(Tabla14[[#This Row],[DIAS HABILES O MORA]]&lt;0,(Tabla14[[#This Row],[VALOR PRESTAMO]]*Tabla14[[#This Row],[% INTERES ]]/30*U3301))+Tabla14[[#This Row],[VALOR CUOTAS]]</f>
        <v>#VALUE!</v>
      </c>
      <c r="S3301" s="88">
        <f>-IF(Tabla14[[#This Row],[DIAS HABILES O MORA]]&lt;0,(Tabla14[[#This Row],[VALOR PRESTAMO]]*Tabla14[[#This Row],[% INTERES ]]/30*U3301))</f>
        <v>0</v>
      </c>
      <c r="T3301" s="53" t="e">
        <f>Tabla14[[#This Row],[DEUDA CAPITAL]]+Tabla14[[#This Row],[INTERES  CUOTA]]</f>
        <v>#NUM!</v>
      </c>
      <c r="U3301" s="61" t="str">
        <f t="shared" si="529"/>
        <v/>
      </c>
    </row>
    <row r="3302" spans="9:21" ht="24.75" customHeight="1" x14ac:dyDescent="0.35">
      <c r="I3302" s="42">
        <f t="shared" si="520"/>
        <v>0</v>
      </c>
      <c r="J3302" s="65" t="e">
        <f t="shared" si="521"/>
        <v>#NUM!</v>
      </c>
      <c r="K3302" s="83" t="e">
        <f t="shared" si="522"/>
        <v>#NUM!</v>
      </c>
      <c r="L3302" s="83">
        <f t="shared" si="523"/>
        <v>0</v>
      </c>
      <c r="M3302" s="110" t="str">
        <f t="shared" si="524"/>
        <v/>
      </c>
      <c r="N3302" s="51" t="str">
        <f t="shared" si="525"/>
        <v/>
      </c>
      <c r="O3302" s="52" t="str">
        <f t="shared" si="526"/>
        <v/>
      </c>
      <c r="P3302" s="88">
        <f t="shared" si="527"/>
        <v>0</v>
      </c>
      <c r="Q3302" s="88">
        <f t="shared" si="528"/>
        <v>0</v>
      </c>
      <c r="R3302" s="88" t="e">
        <f>-IF(Tabla14[[#This Row],[DIAS HABILES O MORA]]&lt;0,(Tabla14[[#This Row],[VALOR PRESTAMO]]*Tabla14[[#This Row],[% INTERES ]]/30*U3302))+Tabla14[[#This Row],[VALOR CUOTAS]]</f>
        <v>#VALUE!</v>
      </c>
      <c r="S3302" s="88">
        <f>-IF(Tabla14[[#This Row],[DIAS HABILES O MORA]]&lt;0,(Tabla14[[#This Row],[VALOR PRESTAMO]]*Tabla14[[#This Row],[% INTERES ]]/30*U3302))</f>
        <v>0</v>
      </c>
      <c r="T3302" s="53" t="e">
        <f>Tabla14[[#This Row],[DEUDA CAPITAL]]+Tabla14[[#This Row],[INTERES  CUOTA]]</f>
        <v>#NUM!</v>
      </c>
      <c r="U3302" s="61" t="str">
        <f t="shared" si="529"/>
        <v/>
      </c>
    </row>
    <row r="3303" spans="9:21" ht="24.75" customHeight="1" x14ac:dyDescent="0.35">
      <c r="I3303" s="42">
        <f t="shared" si="520"/>
        <v>0</v>
      </c>
      <c r="J3303" s="65" t="e">
        <f t="shared" si="521"/>
        <v>#NUM!</v>
      </c>
      <c r="K3303" s="83" t="e">
        <f t="shared" si="522"/>
        <v>#NUM!</v>
      </c>
      <c r="L3303" s="83">
        <f t="shared" si="523"/>
        <v>0</v>
      </c>
      <c r="M3303" s="110" t="str">
        <f t="shared" si="524"/>
        <v/>
      </c>
      <c r="N3303" s="51" t="str">
        <f t="shared" si="525"/>
        <v/>
      </c>
      <c r="O3303" s="52" t="str">
        <f t="shared" si="526"/>
        <v/>
      </c>
      <c r="P3303" s="88">
        <f t="shared" si="527"/>
        <v>0</v>
      </c>
      <c r="Q3303" s="88">
        <f t="shared" si="528"/>
        <v>0</v>
      </c>
      <c r="R3303" s="88" t="e">
        <f>-IF(Tabla14[[#This Row],[DIAS HABILES O MORA]]&lt;0,(Tabla14[[#This Row],[VALOR PRESTAMO]]*Tabla14[[#This Row],[% INTERES ]]/30*U3303))+Tabla14[[#This Row],[VALOR CUOTAS]]</f>
        <v>#VALUE!</v>
      </c>
      <c r="S3303" s="88">
        <f>-IF(Tabla14[[#This Row],[DIAS HABILES O MORA]]&lt;0,(Tabla14[[#This Row],[VALOR PRESTAMO]]*Tabla14[[#This Row],[% INTERES ]]/30*U3303))</f>
        <v>0</v>
      </c>
      <c r="T3303" s="53" t="e">
        <f>Tabla14[[#This Row],[DEUDA CAPITAL]]+Tabla14[[#This Row],[INTERES  CUOTA]]</f>
        <v>#NUM!</v>
      </c>
      <c r="U3303" s="61" t="str">
        <f t="shared" si="529"/>
        <v/>
      </c>
    </row>
    <row r="3304" spans="9:21" ht="24.75" customHeight="1" x14ac:dyDescent="0.35">
      <c r="I3304" s="42">
        <f t="shared" si="520"/>
        <v>0</v>
      </c>
      <c r="J3304" s="65" t="e">
        <f t="shared" si="521"/>
        <v>#NUM!</v>
      </c>
      <c r="K3304" s="83" t="e">
        <f t="shared" si="522"/>
        <v>#NUM!</v>
      </c>
      <c r="L3304" s="83">
        <f t="shared" si="523"/>
        <v>0</v>
      </c>
      <c r="M3304" s="110" t="str">
        <f t="shared" si="524"/>
        <v/>
      </c>
      <c r="N3304" s="51" t="str">
        <f t="shared" si="525"/>
        <v/>
      </c>
      <c r="O3304" s="52" t="str">
        <f t="shared" si="526"/>
        <v/>
      </c>
      <c r="P3304" s="88">
        <f t="shared" si="527"/>
        <v>0</v>
      </c>
      <c r="Q3304" s="88">
        <f t="shared" si="528"/>
        <v>0</v>
      </c>
      <c r="R3304" s="88" t="e">
        <f>-IF(Tabla14[[#This Row],[DIAS HABILES O MORA]]&lt;0,(Tabla14[[#This Row],[VALOR PRESTAMO]]*Tabla14[[#This Row],[% INTERES ]]/30*U3304))+Tabla14[[#This Row],[VALOR CUOTAS]]</f>
        <v>#VALUE!</v>
      </c>
      <c r="S3304" s="88">
        <f>-IF(Tabla14[[#This Row],[DIAS HABILES O MORA]]&lt;0,(Tabla14[[#This Row],[VALOR PRESTAMO]]*Tabla14[[#This Row],[% INTERES ]]/30*U3304))</f>
        <v>0</v>
      </c>
      <c r="T3304" s="53" t="e">
        <f>Tabla14[[#This Row],[DEUDA CAPITAL]]+Tabla14[[#This Row],[INTERES  CUOTA]]</f>
        <v>#NUM!</v>
      </c>
      <c r="U3304" s="61" t="str">
        <f t="shared" si="529"/>
        <v/>
      </c>
    </row>
    <row r="3305" spans="9:21" ht="24.75" customHeight="1" x14ac:dyDescent="0.35">
      <c r="I3305" s="42">
        <f t="shared" si="520"/>
        <v>0</v>
      </c>
      <c r="J3305" s="65" t="e">
        <f t="shared" si="521"/>
        <v>#NUM!</v>
      </c>
      <c r="K3305" s="83" t="e">
        <f t="shared" si="522"/>
        <v>#NUM!</v>
      </c>
      <c r="L3305" s="83">
        <f t="shared" si="523"/>
        <v>0</v>
      </c>
      <c r="M3305" s="110" t="str">
        <f t="shared" si="524"/>
        <v/>
      </c>
      <c r="N3305" s="51" t="str">
        <f t="shared" si="525"/>
        <v/>
      </c>
      <c r="O3305" s="52" t="str">
        <f t="shared" si="526"/>
        <v/>
      </c>
      <c r="P3305" s="88">
        <f t="shared" si="527"/>
        <v>0</v>
      </c>
      <c r="Q3305" s="88">
        <f t="shared" si="528"/>
        <v>0</v>
      </c>
      <c r="R3305" s="88" t="e">
        <f>-IF(Tabla14[[#This Row],[DIAS HABILES O MORA]]&lt;0,(Tabla14[[#This Row],[VALOR PRESTAMO]]*Tabla14[[#This Row],[% INTERES ]]/30*U3305))+Tabla14[[#This Row],[VALOR CUOTAS]]</f>
        <v>#VALUE!</v>
      </c>
      <c r="S3305" s="88">
        <f>-IF(Tabla14[[#This Row],[DIAS HABILES O MORA]]&lt;0,(Tabla14[[#This Row],[VALOR PRESTAMO]]*Tabla14[[#This Row],[% INTERES ]]/30*U3305))</f>
        <v>0</v>
      </c>
      <c r="T3305" s="53" t="e">
        <f>Tabla14[[#This Row],[DEUDA CAPITAL]]+Tabla14[[#This Row],[INTERES  CUOTA]]</f>
        <v>#NUM!</v>
      </c>
      <c r="U3305" s="61" t="str">
        <f t="shared" si="529"/>
        <v/>
      </c>
    </row>
    <row r="3306" spans="9:21" ht="24.75" customHeight="1" x14ac:dyDescent="0.35">
      <c r="I3306" s="42">
        <f t="shared" si="520"/>
        <v>0</v>
      </c>
      <c r="J3306" s="65" t="e">
        <f t="shared" si="521"/>
        <v>#NUM!</v>
      </c>
      <c r="K3306" s="83" t="e">
        <f t="shared" si="522"/>
        <v>#NUM!</v>
      </c>
      <c r="L3306" s="83">
        <f t="shared" si="523"/>
        <v>0</v>
      </c>
      <c r="M3306" s="110" t="str">
        <f t="shared" si="524"/>
        <v/>
      </c>
      <c r="N3306" s="51" t="str">
        <f t="shared" si="525"/>
        <v/>
      </c>
      <c r="O3306" s="52" t="str">
        <f t="shared" si="526"/>
        <v/>
      </c>
      <c r="P3306" s="88">
        <f t="shared" si="527"/>
        <v>0</v>
      </c>
      <c r="Q3306" s="88">
        <f t="shared" si="528"/>
        <v>0</v>
      </c>
      <c r="R3306" s="88" t="e">
        <f>-IF(Tabla14[[#This Row],[DIAS HABILES O MORA]]&lt;0,(Tabla14[[#This Row],[VALOR PRESTAMO]]*Tabla14[[#This Row],[% INTERES ]]/30*U3306))+Tabla14[[#This Row],[VALOR CUOTAS]]</f>
        <v>#VALUE!</v>
      </c>
      <c r="S3306" s="88">
        <f>-IF(Tabla14[[#This Row],[DIAS HABILES O MORA]]&lt;0,(Tabla14[[#This Row],[VALOR PRESTAMO]]*Tabla14[[#This Row],[% INTERES ]]/30*U3306))</f>
        <v>0</v>
      </c>
      <c r="T3306" s="53" t="e">
        <f>Tabla14[[#This Row],[DEUDA CAPITAL]]+Tabla14[[#This Row],[INTERES  CUOTA]]</f>
        <v>#NUM!</v>
      </c>
      <c r="U3306" s="61" t="str">
        <f t="shared" si="529"/>
        <v/>
      </c>
    </row>
    <row r="3307" spans="9:21" ht="24.75" customHeight="1" x14ac:dyDescent="0.35">
      <c r="I3307" s="42">
        <f t="shared" si="520"/>
        <v>0</v>
      </c>
      <c r="J3307" s="65" t="e">
        <f t="shared" si="521"/>
        <v>#NUM!</v>
      </c>
      <c r="K3307" s="83" t="e">
        <f t="shared" si="522"/>
        <v>#NUM!</v>
      </c>
      <c r="L3307" s="83">
        <f t="shared" si="523"/>
        <v>0</v>
      </c>
      <c r="M3307" s="110" t="str">
        <f t="shared" si="524"/>
        <v/>
      </c>
      <c r="N3307" s="51" t="str">
        <f t="shared" si="525"/>
        <v/>
      </c>
      <c r="O3307" s="52" t="str">
        <f t="shared" si="526"/>
        <v/>
      </c>
      <c r="P3307" s="88">
        <f t="shared" si="527"/>
        <v>0</v>
      </c>
      <c r="Q3307" s="88">
        <f t="shared" si="528"/>
        <v>0</v>
      </c>
      <c r="R3307" s="88" t="e">
        <f>-IF(Tabla14[[#This Row],[DIAS HABILES O MORA]]&lt;0,(Tabla14[[#This Row],[VALOR PRESTAMO]]*Tabla14[[#This Row],[% INTERES ]]/30*U3307))+Tabla14[[#This Row],[VALOR CUOTAS]]</f>
        <v>#VALUE!</v>
      </c>
      <c r="S3307" s="88">
        <f>-IF(Tabla14[[#This Row],[DIAS HABILES O MORA]]&lt;0,(Tabla14[[#This Row],[VALOR PRESTAMO]]*Tabla14[[#This Row],[% INTERES ]]/30*U3307))</f>
        <v>0</v>
      </c>
      <c r="T3307" s="53" t="e">
        <f>Tabla14[[#This Row],[DEUDA CAPITAL]]+Tabla14[[#This Row],[INTERES  CUOTA]]</f>
        <v>#NUM!</v>
      </c>
      <c r="U3307" s="61" t="str">
        <f t="shared" si="529"/>
        <v/>
      </c>
    </row>
    <row r="3308" spans="9:21" ht="24.75" customHeight="1" x14ac:dyDescent="0.35">
      <c r="I3308" s="42">
        <f t="shared" si="520"/>
        <v>0</v>
      </c>
      <c r="J3308" s="65" t="e">
        <f t="shared" si="521"/>
        <v>#NUM!</v>
      </c>
      <c r="K3308" s="83" t="e">
        <f t="shared" si="522"/>
        <v>#NUM!</v>
      </c>
      <c r="L3308" s="83">
        <f t="shared" si="523"/>
        <v>0</v>
      </c>
      <c r="M3308" s="110" t="str">
        <f t="shared" si="524"/>
        <v/>
      </c>
      <c r="N3308" s="51" t="str">
        <f t="shared" si="525"/>
        <v/>
      </c>
      <c r="O3308" s="52" t="str">
        <f t="shared" si="526"/>
        <v/>
      </c>
      <c r="P3308" s="88">
        <f t="shared" si="527"/>
        <v>0</v>
      </c>
      <c r="Q3308" s="88">
        <f t="shared" si="528"/>
        <v>0</v>
      </c>
      <c r="R3308" s="88" t="e">
        <f>-IF(Tabla14[[#This Row],[DIAS HABILES O MORA]]&lt;0,(Tabla14[[#This Row],[VALOR PRESTAMO]]*Tabla14[[#This Row],[% INTERES ]]/30*U3308))+Tabla14[[#This Row],[VALOR CUOTAS]]</f>
        <v>#VALUE!</v>
      </c>
      <c r="S3308" s="88">
        <f>-IF(Tabla14[[#This Row],[DIAS HABILES O MORA]]&lt;0,(Tabla14[[#This Row],[VALOR PRESTAMO]]*Tabla14[[#This Row],[% INTERES ]]/30*U3308))</f>
        <v>0</v>
      </c>
      <c r="T3308" s="53" t="e">
        <f>Tabla14[[#This Row],[DEUDA CAPITAL]]+Tabla14[[#This Row],[INTERES  CUOTA]]</f>
        <v>#NUM!</v>
      </c>
      <c r="U3308" s="61" t="str">
        <f t="shared" si="529"/>
        <v/>
      </c>
    </row>
    <row r="3309" spans="9:21" ht="24.75" customHeight="1" x14ac:dyDescent="0.35">
      <c r="I3309" s="42">
        <f t="shared" si="520"/>
        <v>0</v>
      </c>
      <c r="J3309" s="65" t="e">
        <f t="shared" si="521"/>
        <v>#NUM!</v>
      </c>
      <c r="K3309" s="83" t="e">
        <f t="shared" si="522"/>
        <v>#NUM!</v>
      </c>
      <c r="L3309" s="83">
        <f t="shared" si="523"/>
        <v>0</v>
      </c>
      <c r="M3309" s="110" t="str">
        <f t="shared" si="524"/>
        <v/>
      </c>
      <c r="N3309" s="51" t="str">
        <f t="shared" si="525"/>
        <v/>
      </c>
      <c r="O3309" s="52" t="str">
        <f t="shared" si="526"/>
        <v/>
      </c>
      <c r="P3309" s="88">
        <f t="shared" si="527"/>
        <v>0</v>
      </c>
      <c r="Q3309" s="88">
        <f t="shared" si="528"/>
        <v>0</v>
      </c>
      <c r="R3309" s="88" t="e">
        <f>-IF(Tabla14[[#This Row],[DIAS HABILES O MORA]]&lt;0,(Tabla14[[#This Row],[VALOR PRESTAMO]]*Tabla14[[#This Row],[% INTERES ]]/30*U3309))+Tabla14[[#This Row],[VALOR CUOTAS]]</f>
        <v>#VALUE!</v>
      </c>
      <c r="S3309" s="88">
        <f>-IF(Tabla14[[#This Row],[DIAS HABILES O MORA]]&lt;0,(Tabla14[[#This Row],[VALOR PRESTAMO]]*Tabla14[[#This Row],[% INTERES ]]/30*U3309))</f>
        <v>0</v>
      </c>
      <c r="T3309" s="53" t="e">
        <f>Tabla14[[#This Row],[DEUDA CAPITAL]]+Tabla14[[#This Row],[INTERES  CUOTA]]</f>
        <v>#NUM!</v>
      </c>
      <c r="U3309" s="61" t="str">
        <f t="shared" si="529"/>
        <v/>
      </c>
    </row>
    <row r="3310" spans="9:21" ht="24.75" customHeight="1" x14ac:dyDescent="0.35">
      <c r="I3310" s="42">
        <f t="shared" si="520"/>
        <v>0</v>
      </c>
      <c r="J3310" s="65" t="e">
        <f t="shared" si="521"/>
        <v>#NUM!</v>
      </c>
      <c r="K3310" s="83" t="e">
        <f t="shared" si="522"/>
        <v>#NUM!</v>
      </c>
      <c r="L3310" s="83">
        <f t="shared" si="523"/>
        <v>0</v>
      </c>
      <c r="M3310" s="110" t="str">
        <f t="shared" si="524"/>
        <v/>
      </c>
      <c r="N3310" s="51" t="str">
        <f t="shared" si="525"/>
        <v/>
      </c>
      <c r="O3310" s="52" t="str">
        <f t="shared" si="526"/>
        <v/>
      </c>
      <c r="P3310" s="88">
        <f t="shared" si="527"/>
        <v>0</v>
      </c>
      <c r="Q3310" s="88">
        <f t="shared" si="528"/>
        <v>0</v>
      </c>
      <c r="R3310" s="88" t="e">
        <f>-IF(Tabla14[[#This Row],[DIAS HABILES O MORA]]&lt;0,(Tabla14[[#This Row],[VALOR PRESTAMO]]*Tabla14[[#This Row],[% INTERES ]]/30*U3310))+Tabla14[[#This Row],[VALOR CUOTAS]]</f>
        <v>#VALUE!</v>
      </c>
      <c r="S3310" s="88">
        <f>-IF(Tabla14[[#This Row],[DIAS HABILES O MORA]]&lt;0,(Tabla14[[#This Row],[VALOR PRESTAMO]]*Tabla14[[#This Row],[% INTERES ]]/30*U3310))</f>
        <v>0</v>
      </c>
      <c r="T3310" s="53" t="e">
        <f>Tabla14[[#This Row],[DEUDA CAPITAL]]+Tabla14[[#This Row],[INTERES  CUOTA]]</f>
        <v>#NUM!</v>
      </c>
      <c r="U3310" s="61" t="str">
        <f t="shared" si="529"/>
        <v/>
      </c>
    </row>
    <row r="3311" spans="9:21" ht="24.75" customHeight="1" x14ac:dyDescent="0.35">
      <c r="I3311" s="42">
        <f t="shared" si="520"/>
        <v>0</v>
      </c>
      <c r="J3311" s="65" t="e">
        <f t="shared" si="521"/>
        <v>#NUM!</v>
      </c>
      <c r="K3311" s="83" t="e">
        <f t="shared" si="522"/>
        <v>#NUM!</v>
      </c>
      <c r="L3311" s="83">
        <f t="shared" si="523"/>
        <v>0</v>
      </c>
      <c r="M3311" s="110" t="str">
        <f t="shared" si="524"/>
        <v/>
      </c>
      <c r="N3311" s="51" t="str">
        <f t="shared" si="525"/>
        <v/>
      </c>
      <c r="O3311" s="52" t="str">
        <f t="shared" si="526"/>
        <v/>
      </c>
      <c r="P3311" s="88">
        <f t="shared" si="527"/>
        <v>0</v>
      </c>
      <c r="Q3311" s="88">
        <f t="shared" si="528"/>
        <v>0</v>
      </c>
      <c r="R3311" s="88" t="e">
        <f>-IF(Tabla14[[#This Row],[DIAS HABILES O MORA]]&lt;0,(Tabla14[[#This Row],[VALOR PRESTAMO]]*Tabla14[[#This Row],[% INTERES ]]/30*U3311))+Tabla14[[#This Row],[VALOR CUOTAS]]</f>
        <v>#VALUE!</v>
      </c>
      <c r="S3311" s="88">
        <f>-IF(Tabla14[[#This Row],[DIAS HABILES O MORA]]&lt;0,(Tabla14[[#This Row],[VALOR PRESTAMO]]*Tabla14[[#This Row],[% INTERES ]]/30*U3311))</f>
        <v>0</v>
      </c>
      <c r="T3311" s="53" t="e">
        <f>Tabla14[[#This Row],[DEUDA CAPITAL]]+Tabla14[[#This Row],[INTERES  CUOTA]]</f>
        <v>#NUM!</v>
      </c>
      <c r="U3311" s="61" t="str">
        <f t="shared" si="529"/>
        <v/>
      </c>
    </row>
    <row r="3312" spans="9:21" ht="24.75" customHeight="1" x14ac:dyDescent="0.35">
      <c r="I3312" s="42">
        <f t="shared" si="520"/>
        <v>0</v>
      </c>
      <c r="J3312" s="65" t="e">
        <f t="shared" si="521"/>
        <v>#NUM!</v>
      </c>
      <c r="K3312" s="83" t="e">
        <f t="shared" si="522"/>
        <v>#NUM!</v>
      </c>
      <c r="L3312" s="83">
        <f t="shared" si="523"/>
        <v>0</v>
      </c>
      <c r="M3312" s="110" t="str">
        <f t="shared" si="524"/>
        <v/>
      </c>
      <c r="N3312" s="51" t="str">
        <f t="shared" si="525"/>
        <v/>
      </c>
      <c r="O3312" s="52" t="str">
        <f t="shared" si="526"/>
        <v/>
      </c>
      <c r="P3312" s="88">
        <f t="shared" si="527"/>
        <v>0</v>
      </c>
      <c r="Q3312" s="88">
        <f t="shared" si="528"/>
        <v>0</v>
      </c>
      <c r="R3312" s="88" t="e">
        <f>-IF(Tabla14[[#This Row],[DIAS HABILES O MORA]]&lt;0,(Tabla14[[#This Row],[VALOR PRESTAMO]]*Tabla14[[#This Row],[% INTERES ]]/30*U3312))+Tabla14[[#This Row],[VALOR CUOTAS]]</f>
        <v>#VALUE!</v>
      </c>
      <c r="S3312" s="88">
        <f>-IF(Tabla14[[#This Row],[DIAS HABILES O MORA]]&lt;0,(Tabla14[[#This Row],[VALOR PRESTAMO]]*Tabla14[[#This Row],[% INTERES ]]/30*U3312))</f>
        <v>0</v>
      </c>
      <c r="T3312" s="53" t="e">
        <f>Tabla14[[#This Row],[DEUDA CAPITAL]]+Tabla14[[#This Row],[INTERES  CUOTA]]</f>
        <v>#NUM!</v>
      </c>
      <c r="U3312" s="61" t="str">
        <f t="shared" si="529"/>
        <v/>
      </c>
    </row>
    <row r="3313" spans="9:21" ht="24.75" customHeight="1" x14ac:dyDescent="0.35">
      <c r="I3313" s="42">
        <f t="shared" si="520"/>
        <v>0</v>
      </c>
      <c r="J3313" s="65" t="e">
        <f t="shared" si="521"/>
        <v>#NUM!</v>
      </c>
      <c r="K3313" s="83" t="e">
        <f t="shared" si="522"/>
        <v>#NUM!</v>
      </c>
      <c r="L3313" s="83">
        <f t="shared" si="523"/>
        <v>0</v>
      </c>
      <c r="M3313" s="110" t="str">
        <f t="shared" si="524"/>
        <v/>
      </c>
      <c r="N3313" s="51" t="str">
        <f t="shared" si="525"/>
        <v/>
      </c>
      <c r="O3313" s="52" t="str">
        <f t="shared" si="526"/>
        <v/>
      </c>
      <c r="P3313" s="88">
        <f t="shared" si="527"/>
        <v>0</v>
      </c>
      <c r="Q3313" s="88">
        <f t="shared" si="528"/>
        <v>0</v>
      </c>
      <c r="R3313" s="88" t="e">
        <f>-IF(Tabla14[[#This Row],[DIAS HABILES O MORA]]&lt;0,(Tabla14[[#This Row],[VALOR PRESTAMO]]*Tabla14[[#This Row],[% INTERES ]]/30*U3313))+Tabla14[[#This Row],[VALOR CUOTAS]]</f>
        <v>#VALUE!</v>
      </c>
      <c r="S3313" s="88">
        <f>-IF(Tabla14[[#This Row],[DIAS HABILES O MORA]]&lt;0,(Tabla14[[#This Row],[VALOR PRESTAMO]]*Tabla14[[#This Row],[% INTERES ]]/30*U3313))</f>
        <v>0</v>
      </c>
      <c r="T3313" s="53" t="e">
        <f>Tabla14[[#This Row],[DEUDA CAPITAL]]+Tabla14[[#This Row],[INTERES  CUOTA]]</f>
        <v>#NUM!</v>
      </c>
      <c r="U3313" s="61" t="str">
        <f t="shared" si="529"/>
        <v/>
      </c>
    </row>
    <row r="3314" spans="9:21" ht="24.75" customHeight="1" x14ac:dyDescent="0.35">
      <c r="I3314" s="42">
        <f t="shared" si="520"/>
        <v>0</v>
      </c>
      <c r="J3314" s="65" t="e">
        <f t="shared" si="521"/>
        <v>#NUM!</v>
      </c>
      <c r="K3314" s="83" t="e">
        <f t="shared" si="522"/>
        <v>#NUM!</v>
      </c>
      <c r="L3314" s="83">
        <f t="shared" si="523"/>
        <v>0</v>
      </c>
      <c r="M3314" s="110" t="str">
        <f t="shared" si="524"/>
        <v/>
      </c>
      <c r="N3314" s="51" t="str">
        <f t="shared" si="525"/>
        <v/>
      </c>
      <c r="O3314" s="52" t="str">
        <f t="shared" si="526"/>
        <v/>
      </c>
      <c r="P3314" s="88">
        <f t="shared" si="527"/>
        <v>0</v>
      </c>
      <c r="Q3314" s="88">
        <f t="shared" si="528"/>
        <v>0</v>
      </c>
      <c r="R3314" s="88" t="e">
        <f>-IF(Tabla14[[#This Row],[DIAS HABILES O MORA]]&lt;0,(Tabla14[[#This Row],[VALOR PRESTAMO]]*Tabla14[[#This Row],[% INTERES ]]/30*U3314))+Tabla14[[#This Row],[VALOR CUOTAS]]</f>
        <v>#VALUE!</v>
      </c>
      <c r="S3314" s="88">
        <f>-IF(Tabla14[[#This Row],[DIAS HABILES O MORA]]&lt;0,(Tabla14[[#This Row],[VALOR PRESTAMO]]*Tabla14[[#This Row],[% INTERES ]]/30*U3314))</f>
        <v>0</v>
      </c>
      <c r="T3314" s="53" t="e">
        <f>Tabla14[[#This Row],[DEUDA CAPITAL]]+Tabla14[[#This Row],[INTERES  CUOTA]]</f>
        <v>#NUM!</v>
      </c>
      <c r="U3314" s="61" t="str">
        <f t="shared" si="529"/>
        <v/>
      </c>
    </row>
    <row r="3315" spans="9:21" ht="24.75" customHeight="1" x14ac:dyDescent="0.35">
      <c r="I3315" s="42">
        <f t="shared" si="520"/>
        <v>0</v>
      </c>
      <c r="J3315" s="65" t="e">
        <f t="shared" si="521"/>
        <v>#NUM!</v>
      </c>
      <c r="K3315" s="83" t="e">
        <f t="shared" si="522"/>
        <v>#NUM!</v>
      </c>
      <c r="L3315" s="83">
        <f t="shared" si="523"/>
        <v>0</v>
      </c>
      <c r="M3315" s="110" t="str">
        <f t="shared" si="524"/>
        <v/>
      </c>
      <c r="N3315" s="51" t="str">
        <f t="shared" si="525"/>
        <v/>
      </c>
      <c r="O3315" s="52" t="str">
        <f t="shared" si="526"/>
        <v/>
      </c>
      <c r="P3315" s="88">
        <f t="shared" si="527"/>
        <v>0</v>
      </c>
      <c r="Q3315" s="88">
        <f t="shared" si="528"/>
        <v>0</v>
      </c>
      <c r="R3315" s="88" t="e">
        <f>-IF(Tabla14[[#This Row],[DIAS HABILES O MORA]]&lt;0,(Tabla14[[#This Row],[VALOR PRESTAMO]]*Tabla14[[#This Row],[% INTERES ]]/30*U3315))+Tabla14[[#This Row],[VALOR CUOTAS]]</f>
        <v>#VALUE!</v>
      </c>
      <c r="S3315" s="88">
        <f>-IF(Tabla14[[#This Row],[DIAS HABILES O MORA]]&lt;0,(Tabla14[[#This Row],[VALOR PRESTAMO]]*Tabla14[[#This Row],[% INTERES ]]/30*U3315))</f>
        <v>0</v>
      </c>
      <c r="T3315" s="53" t="e">
        <f>Tabla14[[#This Row],[DEUDA CAPITAL]]+Tabla14[[#This Row],[INTERES  CUOTA]]</f>
        <v>#NUM!</v>
      </c>
      <c r="U3315" s="61" t="str">
        <f t="shared" si="529"/>
        <v/>
      </c>
    </row>
    <row r="3316" spans="9:21" ht="24.75" customHeight="1" x14ac:dyDescent="0.35">
      <c r="I3316" s="42">
        <f t="shared" si="520"/>
        <v>0</v>
      </c>
      <c r="J3316" s="65" t="e">
        <f t="shared" si="521"/>
        <v>#NUM!</v>
      </c>
      <c r="K3316" s="83" t="e">
        <f t="shared" si="522"/>
        <v>#NUM!</v>
      </c>
      <c r="L3316" s="83">
        <f t="shared" si="523"/>
        <v>0</v>
      </c>
      <c r="M3316" s="110" t="str">
        <f t="shared" si="524"/>
        <v/>
      </c>
      <c r="N3316" s="51" t="str">
        <f t="shared" si="525"/>
        <v/>
      </c>
      <c r="O3316" s="52" t="str">
        <f t="shared" si="526"/>
        <v/>
      </c>
      <c r="P3316" s="88">
        <f t="shared" si="527"/>
        <v>0</v>
      </c>
      <c r="Q3316" s="88">
        <f t="shared" si="528"/>
        <v>0</v>
      </c>
      <c r="R3316" s="88" t="e">
        <f>-IF(Tabla14[[#This Row],[DIAS HABILES O MORA]]&lt;0,(Tabla14[[#This Row],[VALOR PRESTAMO]]*Tabla14[[#This Row],[% INTERES ]]/30*U3316))+Tabla14[[#This Row],[VALOR CUOTAS]]</f>
        <v>#VALUE!</v>
      </c>
      <c r="S3316" s="88">
        <f>-IF(Tabla14[[#This Row],[DIAS HABILES O MORA]]&lt;0,(Tabla14[[#This Row],[VALOR PRESTAMO]]*Tabla14[[#This Row],[% INTERES ]]/30*U3316))</f>
        <v>0</v>
      </c>
      <c r="T3316" s="53" t="e">
        <f>Tabla14[[#This Row],[DEUDA CAPITAL]]+Tabla14[[#This Row],[INTERES  CUOTA]]</f>
        <v>#NUM!</v>
      </c>
      <c r="U3316" s="61" t="str">
        <f t="shared" si="529"/>
        <v/>
      </c>
    </row>
    <row r="3317" spans="9:21" ht="24.75" customHeight="1" x14ac:dyDescent="0.35">
      <c r="I3317" s="42">
        <f t="shared" si="520"/>
        <v>0</v>
      </c>
      <c r="J3317" s="65" t="e">
        <f t="shared" si="521"/>
        <v>#NUM!</v>
      </c>
      <c r="K3317" s="83" t="e">
        <f t="shared" si="522"/>
        <v>#NUM!</v>
      </c>
      <c r="L3317" s="83">
        <f t="shared" si="523"/>
        <v>0</v>
      </c>
      <c r="M3317" s="110" t="str">
        <f t="shared" si="524"/>
        <v/>
      </c>
      <c r="N3317" s="51" t="str">
        <f t="shared" si="525"/>
        <v/>
      </c>
      <c r="O3317" s="52" t="str">
        <f t="shared" si="526"/>
        <v/>
      </c>
      <c r="P3317" s="88">
        <f t="shared" si="527"/>
        <v>0</v>
      </c>
      <c r="Q3317" s="88">
        <f t="shared" si="528"/>
        <v>0</v>
      </c>
      <c r="R3317" s="88" t="e">
        <f>-IF(Tabla14[[#This Row],[DIAS HABILES O MORA]]&lt;0,(Tabla14[[#This Row],[VALOR PRESTAMO]]*Tabla14[[#This Row],[% INTERES ]]/30*U3317))+Tabla14[[#This Row],[VALOR CUOTAS]]</f>
        <v>#VALUE!</v>
      </c>
      <c r="S3317" s="88">
        <f>-IF(Tabla14[[#This Row],[DIAS HABILES O MORA]]&lt;0,(Tabla14[[#This Row],[VALOR PRESTAMO]]*Tabla14[[#This Row],[% INTERES ]]/30*U3317))</f>
        <v>0</v>
      </c>
      <c r="T3317" s="53" t="e">
        <f>Tabla14[[#This Row],[DEUDA CAPITAL]]+Tabla14[[#This Row],[INTERES  CUOTA]]</f>
        <v>#NUM!</v>
      </c>
      <c r="U3317" s="61" t="str">
        <f t="shared" si="529"/>
        <v/>
      </c>
    </row>
    <row r="3318" spans="9:21" ht="24.75" customHeight="1" x14ac:dyDescent="0.35">
      <c r="I3318" s="42">
        <f t="shared" si="520"/>
        <v>0</v>
      </c>
      <c r="J3318" s="65" t="e">
        <f t="shared" si="521"/>
        <v>#NUM!</v>
      </c>
      <c r="K3318" s="83" t="e">
        <f t="shared" si="522"/>
        <v>#NUM!</v>
      </c>
      <c r="L3318" s="83">
        <f t="shared" si="523"/>
        <v>0</v>
      </c>
      <c r="M3318" s="110" t="str">
        <f t="shared" si="524"/>
        <v/>
      </c>
      <c r="N3318" s="51" t="str">
        <f t="shared" si="525"/>
        <v/>
      </c>
      <c r="O3318" s="52" t="str">
        <f t="shared" si="526"/>
        <v/>
      </c>
      <c r="P3318" s="88">
        <f t="shared" si="527"/>
        <v>0</v>
      </c>
      <c r="Q3318" s="88">
        <f t="shared" si="528"/>
        <v>0</v>
      </c>
      <c r="R3318" s="88" t="e">
        <f>-IF(Tabla14[[#This Row],[DIAS HABILES O MORA]]&lt;0,(Tabla14[[#This Row],[VALOR PRESTAMO]]*Tabla14[[#This Row],[% INTERES ]]/30*U3318))+Tabla14[[#This Row],[VALOR CUOTAS]]</f>
        <v>#VALUE!</v>
      </c>
      <c r="S3318" s="88">
        <f>-IF(Tabla14[[#This Row],[DIAS HABILES O MORA]]&lt;0,(Tabla14[[#This Row],[VALOR PRESTAMO]]*Tabla14[[#This Row],[% INTERES ]]/30*U3318))</f>
        <v>0</v>
      </c>
      <c r="T3318" s="53" t="e">
        <f>Tabla14[[#This Row],[DEUDA CAPITAL]]+Tabla14[[#This Row],[INTERES  CUOTA]]</f>
        <v>#NUM!</v>
      </c>
      <c r="U3318" s="61" t="str">
        <f t="shared" si="529"/>
        <v/>
      </c>
    </row>
    <row r="3319" spans="9:21" ht="24.75" customHeight="1" x14ac:dyDescent="0.35">
      <c r="I3319" s="42">
        <f t="shared" si="520"/>
        <v>0</v>
      </c>
      <c r="J3319" s="65" t="e">
        <f t="shared" si="521"/>
        <v>#NUM!</v>
      </c>
      <c r="K3319" s="83" t="e">
        <f t="shared" si="522"/>
        <v>#NUM!</v>
      </c>
      <c r="L3319" s="83">
        <f t="shared" si="523"/>
        <v>0</v>
      </c>
      <c r="M3319" s="110" t="str">
        <f t="shared" si="524"/>
        <v/>
      </c>
      <c r="N3319" s="51" t="str">
        <f t="shared" si="525"/>
        <v/>
      </c>
      <c r="O3319" s="52" t="str">
        <f t="shared" si="526"/>
        <v/>
      </c>
      <c r="P3319" s="88">
        <f t="shared" si="527"/>
        <v>0</v>
      </c>
      <c r="Q3319" s="88">
        <f t="shared" si="528"/>
        <v>0</v>
      </c>
      <c r="R3319" s="88" t="e">
        <f>-IF(Tabla14[[#This Row],[DIAS HABILES O MORA]]&lt;0,(Tabla14[[#This Row],[VALOR PRESTAMO]]*Tabla14[[#This Row],[% INTERES ]]/30*U3319))+Tabla14[[#This Row],[VALOR CUOTAS]]</f>
        <v>#VALUE!</v>
      </c>
      <c r="S3319" s="88">
        <f>-IF(Tabla14[[#This Row],[DIAS HABILES O MORA]]&lt;0,(Tabla14[[#This Row],[VALOR PRESTAMO]]*Tabla14[[#This Row],[% INTERES ]]/30*U3319))</f>
        <v>0</v>
      </c>
      <c r="T3319" s="53" t="e">
        <f>Tabla14[[#This Row],[DEUDA CAPITAL]]+Tabla14[[#This Row],[INTERES  CUOTA]]</f>
        <v>#NUM!</v>
      </c>
      <c r="U3319" s="61" t="str">
        <f t="shared" si="529"/>
        <v/>
      </c>
    </row>
    <row r="3320" spans="9:21" ht="24.75" customHeight="1" x14ac:dyDescent="0.35">
      <c r="I3320" s="42">
        <f t="shared" si="520"/>
        <v>0</v>
      </c>
      <c r="J3320" s="65" t="e">
        <f t="shared" si="521"/>
        <v>#NUM!</v>
      </c>
      <c r="K3320" s="83" t="e">
        <f t="shared" si="522"/>
        <v>#NUM!</v>
      </c>
      <c r="L3320" s="83">
        <f t="shared" si="523"/>
        <v>0</v>
      </c>
      <c r="M3320" s="110" t="str">
        <f t="shared" si="524"/>
        <v/>
      </c>
      <c r="N3320" s="51" t="str">
        <f t="shared" si="525"/>
        <v/>
      </c>
      <c r="O3320" s="52" t="str">
        <f t="shared" si="526"/>
        <v/>
      </c>
      <c r="P3320" s="88">
        <f t="shared" si="527"/>
        <v>0</v>
      </c>
      <c r="Q3320" s="88">
        <f t="shared" si="528"/>
        <v>0</v>
      </c>
      <c r="R3320" s="88" t="e">
        <f>-IF(Tabla14[[#This Row],[DIAS HABILES O MORA]]&lt;0,(Tabla14[[#This Row],[VALOR PRESTAMO]]*Tabla14[[#This Row],[% INTERES ]]/30*U3320))+Tabla14[[#This Row],[VALOR CUOTAS]]</f>
        <v>#VALUE!</v>
      </c>
      <c r="S3320" s="88">
        <f>-IF(Tabla14[[#This Row],[DIAS HABILES O MORA]]&lt;0,(Tabla14[[#This Row],[VALOR PRESTAMO]]*Tabla14[[#This Row],[% INTERES ]]/30*U3320))</f>
        <v>0</v>
      </c>
      <c r="T3320" s="53" t="e">
        <f>Tabla14[[#This Row],[DEUDA CAPITAL]]+Tabla14[[#This Row],[INTERES  CUOTA]]</f>
        <v>#NUM!</v>
      </c>
      <c r="U3320" s="61" t="str">
        <f t="shared" si="529"/>
        <v/>
      </c>
    </row>
    <row r="3321" spans="9:21" ht="24.75" customHeight="1" x14ac:dyDescent="0.35">
      <c r="I3321" s="42">
        <f t="shared" si="520"/>
        <v>0</v>
      </c>
      <c r="J3321" s="65" t="e">
        <f t="shared" si="521"/>
        <v>#NUM!</v>
      </c>
      <c r="K3321" s="83" t="e">
        <f t="shared" si="522"/>
        <v>#NUM!</v>
      </c>
      <c r="L3321" s="83">
        <f t="shared" si="523"/>
        <v>0</v>
      </c>
      <c r="M3321" s="110" t="str">
        <f t="shared" si="524"/>
        <v/>
      </c>
      <c r="N3321" s="51" t="str">
        <f t="shared" si="525"/>
        <v/>
      </c>
      <c r="O3321" s="52" t="str">
        <f t="shared" si="526"/>
        <v/>
      </c>
      <c r="P3321" s="88">
        <f t="shared" si="527"/>
        <v>0</v>
      </c>
      <c r="Q3321" s="88">
        <f t="shared" si="528"/>
        <v>0</v>
      </c>
      <c r="R3321" s="88" t="e">
        <f>-IF(Tabla14[[#This Row],[DIAS HABILES O MORA]]&lt;0,(Tabla14[[#This Row],[VALOR PRESTAMO]]*Tabla14[[#This Row],[% INTERES ]]/30*U3321))+Tabla14[[#This Row],[VALOR CUOTAS]]</f>
        <v>#VALUE!</v>
      </c>
      <c r="S3321" s="88">
        <f>-IF(Tabla14[[#This Row],[DIAS HABILES O MORA]]&lt;0,(Tabla14[[#This Row],[VALOR PRESTAMO]]*Tabla14[[#This Row],[% INTERES ]]/30*U3321))</f>
        <v>0</v>
      </c>
      <c r="T3321" s="53" t="e">
        <f>Tabla14[[#This Row],[DEUDA CAPITAL]]+Tabla14[[#This Row],[INTERES  CUOTA]]</f>
        <v>#NUM!</v>
      </c>
      <c r="U3321" s="61" t="str">
        <f t="shared" si="529"/>
        <v/>
      </c>
    </row>
    <row r="3322" spans="9:21" ht="24.75" customHeight="1" x14ac:dyDescent="0.35">
      <c r="I3322" s="42">
        <f t="shared" si="520"/>
        <v>0</v>
      </c>
      <c r="J3322" s="65" t="e">
        <f t="shared" si="521"/>
        <v>#NUM!</v>
      </c>
      <c r="K3322" s="83" t="e">
        <f t="shared" si="522"/>
        <v>#NUM!</v>
      </c>
      <c r="L3322" s="83">
        <f t="shared" si="523"/>
        <v>0</v>
      </c>
      <c r="M3322" s="110" t="str">
        <f t="shared" si="524"/>
        <v/>
      </c>
      <c r="N3322" s="51" t="str">
        <f t="shared" si="525"/>
        <v/>
      </c>
      <c r="O3322" s="52" t="str">
        <f t="shared" si="526"/>
        <v/>
      </c>
      <c r="P3322" s="88">
        <f t="shared" si="527"/>
        <v>0</v>
      </c>
      <c r="Q3322" s="88">
        <f t="shared" si="528"/>
        <v>0</v>
      </c>
      <c r="R3322" s="88" t="e">
        <f>-IF(Tabla14[[#This Row],[DIAS HABILES O MORA]]&lt;0,(Tabla14[[#This Row],[VALOR PRESTAMO]]*Tabla14[[#This Row],[% INTERES ]]/30*U3322))+Tabla14[[#This Row],[VALOR CUOTAS]]</f>
        <v>#VALUE!</v>
      </c>
      <c r="S3322" s="88">
        <f>-IF(Tabla14[[#This Row],[DIAS HABILES O MORA]]&lt;0,(Tabla14[[#This Row],[VALOR PRESTAMO]]*Tabla14[[#This Row],[% INTERES ]]/30*U3322))</f>
        <v>0</v>
      </c>
      <c r="T3322" s="53" t="e">
        <f>Tabla14[[#This Row],[DEUDA CAPITAL]]+Tabla14[[#This Row],[INTERES  CUOTA]]</f>
        <v>#NUM!</v>
      </c>
      <c r="U3322" s="61" t="str">
        <f t="shared" si="529"/>
        <v/>
      </c>
    </row>
    <row r="3323" spans="9:21" ht="24.75" customHeight="1" x14ac:dyDescent="0.35">
      <c r="I3323" s="42">
        <f t="shared" si="520"/>
        <v>0</v>
      </c>
      <c r="J3323" s="65" t="e">
        <f t="shared" si="521"/>
        <v>#NUM!</v>
      </c>
      <c r="K3323" s="83" t="e">
        <f t="shared" si="522"/>
        <v>#NUM!</v>
      </c>
      <c r="L3323" s="83">
        <f t="shared" si="523"/>
        <v>0</v>
      </c>
      <c r="M3323" s="110" t="str">
        <f t="shared" si="524"/>
        <v/>
      </c>
      <c r="N3323" s="51" t="str">
        <f t="shared" si="525"/>
        <v/>
      </c>
      <c r="O3323" s="52" t="str">
        <f t="shared" si="526"/>
        <v/>
      </c>
      <c r="P3323" s="88">
        <f t="shared" si="527"/>
        <v>0</v>
      </c>
      <c r="Q3323" s="88">
        <f t="shared" si="528"/>
        <v>0</v>
      </c>
      <c r="R3323" s="88" t="e">
        <f>-IF(Tabla14[[#This Row],[DIAS HABILES O MORA]]&lt;0,(Tabla14[[#This Row],[VALOR PRESTAMO]]*Tabla14[[#This Row],[% INTERES ]]/30*U3323))+Tabla14[[#This Row],[VALOR CUOTAS]]</f>
        <v>#VALUE!</v>
      </c>
      <c r="S3323" s="88">
        <f>-IF(Tabla14[[#This Row],[DIAS HABILES O MORA]]&lt;0,(Tabla14[[#This Row],[VALOR PRESTAMO]]*Tabla14[[#This Row],[% INTERES ]]/30*U3323))</f>
        <v>0</v>
      </c>
      <c r="T3323" s="53" t="e">
        <f>Tabla14[[#This Row],[DEUDA CAPITAL]]+Tabla14[[#This Row],[INTERES  CUOTA]]</f>
        <v>#NUM!</v>
      </c>
      <c r="U3323" s="61" t="str">
        <f t="shared" si="529"/>
        <v/>
      </c>
    </row>
    <row r="3324" spans="9:21" ht="24.75" customHeight="1" x14ac:dyDescent="0.35">
      <c r="I3324" s="42">
        <f t="shared" si="520"/>
        <v>0</v>
      </c>
      <c r="J3324" s="65" t="e">
        <f t="shared" si="521"/>
        <v>#NUM!</v>
      </c>
      <c r="K3324" s="83" t="e">
        <f t="shared" si="522"/>
        <v>#NUM!</v>
      </c>
      <c r="L3324" s="83">
        <f t="shared" si="523"/>
        <v>0</v>
      </c>
      <c r="M3324" s="110" t="str">
        <f t="shared" si="524"/>
        <v/>
      </c>
      <c r="N3324" s="51" t="str">
        <f t="shared" si="525"/>
        <v/>
      </c>
      <c r="O3324" s="52" t="str">
        <f t="shared" si="526"/>
        <v/>
      </c>
      <c r="P3324" s="88">
        <f t="shared" si="527"/>
        <v>0</v>
      </c>
      <c r="Q3324" s="88">
        <f t="shared" si="528"/>
        <v>0</v>
      </c>
      <c r="R3324" s="88" t="e">
        <f>-IF(Tabla14[[#This Row],[DIAS HABILES O MORA]]&lt;0,(Tabla14[[#This Row],[VALOR PRESTAMO]]*Tabla14[[#This Row],[% INTERES ]]/30*U3324))+Tabla14[[#This Row],[VALOR CUOTAS]]</f>
        <v>#VALUE!</v>
      </c>
      <c r="S3324" s="88">
        <f>-IF(Tabla14[[#This Row],[DIAS HABILES O MORA]]&lt;0,(Tabla14[[#This Row],[VALOR PRESTAMO]]*Tabla14[[#This Row],[% INTERES ]]/30*U3324))</f>
        <v>0</v>
      </c>
      <c r="T3324" s="53" t="e">
        <f>Tabla14[[#This Row],[DEUDA CAPITAL]]+Tabla14[[#This Row],[INTERES  CUOTA]]</f>
        <v>#NUM!</v>
      </c>
      <c r="U3324" s="61" t="str">
        <f t="shared" si="529"/>
        <v/>
      </c>
    </row>
    <row r="3325" spans="9:21" ht="24.75" customHeight="1" x14ac:dyDescent="0.35">
      <c r="I3325" s="42">
        <f t="shared" si="520"/>
        <v>0</v>
      </c>
      <c r="J3325" s="65" t="e">
        <f t="shared" si="521"/>
        <v>#NUM!</v>
      </c>
      <c r="K3325" s="83" t="e">
        <f t="shared" si="522"/>
        <v>#NUM!</v>
      </c>
      <c r="L3325" s="83">
        <f t="shared" si="523"/>
        <v>0</v>
      </c>
      <c r="M3325" s="110" t="str">
        <f t="shared" si="524"/>
        <v/>
      </c>
      <c r="N3325" s="51" t="str">
        <f t="shared" si="525"/>
        <v/>
      </c>
      <c r="O3325" s="52" t="str">
        <f t="shared" si="526"/>
        <v/>
      </c>
      <c r="P3325" s="88">
        <f t="shared" si="527"/>
        <v>0</v>
      </c>
      <c r="Q3325" s="88">
        <f t="shared" si="528"/>
        <v>0</v>
      </c>
      <c r="R3325" s="88" t="e">
        <f>-IF(Tabla14[[#This Row],[DIAS HABILES O MORA]]&lt;0,(Tabla14[[#This Row],[VALOR PRESTAMO]]*Tabla14[[#This Row],[% INTERES ]]/30*U3325))+Tabla14[[#This Row],[VALOR CUOTAS]]</f>
        <v>#VALUE!</v>
      </c>
      <c r="S3325" s="88">
        <f>-IF(Tabla14[[#This Row],[DIAS HABILES O MORA]]&lt;0,(Tabla14[[#This Row],[VALOR PRESTAMO]]*Tabla14[[#This Row],[% INTERES ]]/30*U3325))</f>
        <v>0</v>
      </c>
      <c r="T3325" s="53" t="e">
        <f>Tabla14[[#This Row],[DEUDA CAPITAL]]+Tabla14[[#This Row],[INTERES  CUOTA]]</f>
        <v>#NUM!</v>
      </c>
      <c r="U3325" s="61" t="str">
        <f t="shared" si="529"/>
        <v/>
      </c>
    </row>
    <row r="3326" spans="9:21" ht="24.75" customHeight="1" x14ac:dyDescent="0.35">
      <c r="I3326" s="42">
        <f t="shared" si="520"/>
        <v>0</v>
      </c>
      <c r="J3326" s="65" t="e">
        <f t="shared" si="521"/>
        <v>#NUM!</v>
      </c>
      <c r="K3326" s="83" t="e">
        <f t="shared" si="522"/>
        <v>#NUM!</v>
      </c>
      <c r="L3326" s="83">
        <f t="shared" si="523"/>
        <v>0</v>
      </c>
      <c r="M3326" s="110" t="str">
        <f t="shared" si="524"/>
        <v/>
      </c>
      <c r="N3326" s="51" t="str">
        <f t="shared" si="525"/>
        <v/>
      </c>
      <c r="O3326" s="52" t="str">
        <f t="shared" si="526"/>
        <v/>
      </c>
      <c r="P3326" s="88">
        <f t="shared" si="527"/>
        <v>0</v>
      </c>
      <c r="Q3326" s="88">
        <f t="shared" si="528"/>
        <v>0</v>
      </c>
      <c r="R3326" s="88" t="e">
        <f>-IF(Tabla14[[#This Row],[DIAS HABILES O MORA]]&lt;0,(Tabla14[[#This Row],[VALOR PRESTAMO]]*Tabla14[[#This Row],[% INTERES ]]/30*U3326))+Tabla14[[#This Row],[VALOR CUOTAS]]</f>
        <v>#VALUE!</v>
      </c>
      <c r="S3326" s="88">
        <f>-IF(Tabla14[[#This Row],[DIAS HABILES O MORA]]&lt;0,(Tabla14[[#This Row],[VALOR PRESTAMO]]*Tabla14[[#This Row],[% INTERES ]]/30*U3326))</f>
        <v>0</v>
      </c>
      <c r="T3326" s="53" t="e">
        <f>Tabla14[[#This Row],[DEUDA CAPITAL]]+Tabla14[[#This Row],[INTERES  CUOTA]]</f>
        <v>#NUM!</v>
      </c>
      <c r="U3326" s="61" t="str">
        <f t="shared" si="529"/>
        <v/>
      </c>
    </row>
    <row r="3327" spans="9:21" ht="24.75" customHeight="1" x14ac:dyDescent="0.35">
      <c r="I3327" s="42">
        <f t="shared" si="520"/>
        <v>0</v>
      </c>
      <c r="J3327" s="65" t="e">
        <f t="shared" si="521"/>
        <v>#NUM!</v>
      </c>
      <c r="K3327" s="83" t="e">
        <f t="shared" si="522"/>
        <v>#NUM!</v>
      </c>
      <c r="L3327" s="83">
        <f t="shared" si="523"/>
        <v>0</v>
      </c>
      <c r="M3327" s="110" t="str">
        <f t="shared" si="524"/>
        <v/>
      </c>
      <c r="N3327" s="51" t="str">
        <f t="shared" si="525"/>
        <v/>
      </c>
      <c r="O3327" s="52" t="str">
        <f t="shared" si="526"/>
        <v/>
      </c>
      <c r="P3327" s="88">
        <f t="shared" si="527"/>
        <v>0</v>
      </c>
      <c r="Q3327" s="88">
        <f t="shared" si="528"/>
        <v>0</v>
      </c>
      <c r="R3327" s="88" t="e">
        <f>-IF(Tabla14[[#This Row],[DIAS HABILES O MORA]]&lt;0,(Tabla14[[#This Row],[VALOR PRESTAMO]]*Tabla14[[#This Row],[% INTERES ]]/30*U3327))+Tabla14[[#This Row],[VALOR CUOTAS]]</f>
        <v>#VALUE!</v>
      </c>
      <c r="S3327" s="88">
        <f>-IF(Tabla14[[#This Row],[DIAS HABILES O MORA]]&lt;0,(Tabla14[[#This Row],[VALOR PRESTAMO]]*Tabla14[[#This Row],[% INTERES ]]/30*U3327))</f>
        <v>0</v>
      </c>
      <c r="T3327" s="53" t="e">
        <f>Tabla14[[#This Row],[DEUDA CAPITAL]]+Tabla14[[#This Row],[INTERES  CUOTA]]</f>
        <v>#NUM!</v>
      </c>
      <c r="U3327" s="61" t="str">
        <f t="shared" si="529"/>
        <v/>
      </c>
    </row>
    <row r="3328" spans="9:21" ht="24.75" customHeight="1" x14ac:dyDescent="0.35">
      <c r="I3328" s="42">
        <f t="shared" si="520"/>
        <v>0</v>
      </c>
      <c r="J3328" s="65" t="e">
        <f t="shared" si="521"/>
        <v>#NUM!</v>
      </c>
      <c r="K3328" s="83" t="e">
        <f t="shared" si="522"/>
        <v>#NUM!</v>
      </c>
      <c r="L3328" s="83">
        <f t="shared" si="523"/>
        <v>0</v>
      </c>
      <c r="M3328" s="110" t="str">
        <f t="shared" si="524"/>
        <v/>
      </c>
      <c r="N3328" s="51" t="str">
        <f t="shared" si="525"/>
        <v/>
      </c>
      <c r="O3328" s="52" t="str">
        <f t="shared" si="526"/>
        <v/>
      </c>
      <c r="P3328" s="88">
        <f t="shared" si="527"/>
        <v>0</v>
      </c>
      <c r="Q3328" s="88">
        <f t="shared" si="528"/>
        <v>0</v>
      </c>
      <c r="R3328" s="88" t="e">
        <f>-IF(Tabla14[[#This Row],[DIAS HABILES O MORA]]&lt;0,(Tabla14[[#This Row],[VALOR PRESTAMO]]*Tabla14[[#This Row],[% INTERES ]]/30*U3328))+Tabla14[[#This Row],[VALOR CUOTAS]]</f>
        <v>#VALUE!</v>
      </c>
      <c r="S3328" s="88">
        <f>-IF(Tabla14[[#This Row],[DIAS HABILES O MORA]]&lt;0,(Tabla14[[#This Row],[VALOR PRESTAMO]]*Tabla14[[#This Row],[% INTERES ]]/30*U3328))</f>
        <v>0</v>
      </c>
      <c r="T3328" s="53" t="e">
        <f>Tabla14[[#This Row],[DEUDA CAPITAL]]+Tabla14[[#This Row],[INTERES  CUOTA]]</f>
        <v>#NUM!</v>
      </c>
      <c r="U3328" s="61" t="str">
        <f t="shared" si="529"/>
        <v/>
      </c>
    </row>
    <row r="3329" spans="9:21" ht="24.75" customHeight="1" x14ac:dyDescent="0.35">
      <c r="I3329" s="42">
        <f t="shared" si="520"/>
        <v>0</v>
      </c>
      <c r="J3329" s="65" t="e">
        <f t="shared" si="521"/>
        <v>#NUM!</v>
      </c>
      <c r="K3329" s="83" t="e">
        <f t="shared" si="522"/>
        <v>#NUM!</v>
      </c>
      <c r="L3329" s="83">
        <f t="shared" si="523"/>
        <v>0</v>
      </c>
      <c r="M3329" s="110" t="str">
        <f t="shared" si="524"/>
        <v/>
      </c>
      <c r="N3329" s="51" t="str">
        <f t="shared" si="525"/>
        <v/>
      </c>
      <c r="O3329" s="52" t="str">
        <f t="shared" si="526"/>
        <v/>
      </c>
      <c r="P3329" s="88">
        <f t="shared" si="527"/>
        <v>0</v>
      </c>
      <c r="Q3329" s="88">
        <f t="shared" si="528"/>
        <v>0</v>
      </c>
      <c r="R3329" s="88" t="e">
        <f>-IF(Tabla14[[#This Row],[DIAS HABILES O MORA]]&lt;0,(Tabla14[[#This Row],[VALOR PRESTAMO]]*Tabla14[[#This Row],[% INTERES ]]/30*U3329))+Tabla14[[#This Row],[VALOR CUOTAS]]</f>
        <v>#VALUE!</v>
      </c>
      <c r="S3329" s="88">
        <f>-IF(Tabla14[[#This Row],[DIAS HABILES O MORA]]&lt;0,(Tabla14[[#This Row],[VALOR PRESTAMO]]*Tabla14[[#This Row],[% INTERES ]]/30*U3329))</f>
        <v>0</v>
      </c>
      <c r="T3329" s="53" t="e">
        <f>Tabla14[[#This Row],[DEUDA CAPITAL]]+Tabla14[[#This Row],[INTERES  CUOTA]]</f>
        <v>#NUM!</v>
      </c>
      <c r="U3329" s="61" t="str">
        <f t="shared" si="529"/>
        <v/>
      </c>
    </row>
    <row r="3330" spans="9:21" ht="24.75" customHeight="1" x14ac:dyDescent="0.35">
      <c r="I3330" s="42">
        <f t="shared" si="520"/>
        <v>0</v>
      </c>
      <c r="J3330" s="65" t="e">
        <f t="shared" si="521"/>
        <v>#NUM!</v>
      </c>
      <c r="K3330" s="83" t="e">
        <f t="shared" si="522"/>
        <v>#NUM!</v>
      </c>
      <c r="L3330" s="83">
        <f t="shared" si="523"/>
        <v>0</v>
      </c>
      <c r="M3330" s="110" t="str">
        <f t="shared" si="524"/>
        <v/>
      </c>
      <c r="N3330" s="51" t="str">
        <f t="shared" si="525"/>
        <v/>
      </c>
      <c r="O3330" s="52" t="str">
        <f t="shared" si="526"/>
        <v/>
      </c>
      <c r="P3330" s="88">
        <f t="shared" si="527"/>
        <v>0</v>
      </c>
      <c r="Q3330" s="88">
        <f t="shared" si="528"/>
        <v>0</v>
      </c>
      <c r="R3330" s="88" t="e">
        <f>-IF(Tabla14[[#This Row],[DIAS HABILES O MORA]]&lt;0,(Tabla14[[#This Row],[VALOR PRESTAMO]]*Tabla14[[#This Row],[% INTERES ]]/30*U3330))+Tabla14[[#This Row],[VALOR CUOTAS]]</f>
        <v>#VALUE!</v>
      </c>
      <c r="S3330" s="88">
        <f>-IF(Tabla14[[#This Row],[DIAS HABILES O MORA]]&lt;0,(Tabla14[[#This Row],[VALOR PRESTAMO]]*Tabla14[[#This Row],[% INTERES ]]/30*U3330))</f>
        <v>0</v>
      </c>
      <c r="T3330" s="53" t="e">
        <f>Tabla14[[#This Row],[DEUDA CAPITAL]]+Tabla14[[#This Row],[INTERES  CUOTA]]</f>
        <v>#NUM!</v>
      </c>
      <c r="U3330" s="61" t="str">
        <f t="shared" si="529"/>
        <v/>
      </c>
    </row>
    <row r="3331" spans="9:21" ht="24.75" customHeight="1" x14ac:dyDescent="0.35">
      <c r="I3331" s="42">
        <f t="shared" si="520"/>
        <v>0</v>
      </c>
      <c r="J3331" s="65" t="e">
        <f t="shared" si="521"/>
        <v>#NUM!</v>
      </c>
      <c r="K3331" s="83" t="e">
        <f t="shared" si="522"/>
        <v>#NUM!</v>
      </c>
      <c r="L3331" s="83">
        <f t="shared" si="523"/>
        <v>0</v>
      </c>
      <c r="M3331" s="110" t="str">
        <f t="shared" si="524"/>
        <v/>
      </c>
      <c r="N3331" s="51" t="str">
        <f t="shared" si="525"/>
        <v/>
      </c>
      <c r="O3331" s="52" t="str">
        <f t="shared" si="526"/>
        <v/>
      </c>
      <c r="P3331" s="88">
        <f t="shared" si="527"/>
        <v>0</v>
      </c>
      <c r="Q3331" s="88">
        <f t="shared" si="528"/>
        <v>0</v>
      </c>
      <c r="R3331" s="88" t="e">
        <f>-IF(Tabla14[[#This Row],[DIAS HABILES O MORA]]&lt;0,(Tabla14[[#This Row],[VALOR PRESTAMO]]*Tabla14[[#This Row],[% INTERES ]]/30*U3331))+Tabla14[[#This Row],[VALOR CUOTAS]]</f>
        <v>#VALUE!</v>
      </c>
      <c r="S3331" s="88">
        <f>-IF(Tabla14[[#This Row],[DIAS HABILES O MORA]]&lt;0,(Tabla14[[#This Row],[VALOR PRESTAMO]]*Tabla14[[#This Row],[% INTERES ]]/30*U3331))</f>
        <v>0</v>
      </c>
      <c r="T3331" s="53" t="e">
        <f>Tabla14[[#This Row],[DEUDA CAPITAL]]+Tabla14[[#This Row],[INTERES  CUOTA]]</f>
        <v>#NUM!</v>
      </c>
      <c r="U3331" s="61" t="str">
        <f t="shared" si="529"/>
        <v/>
      </c>
    </row>
    <row r="3332" spans="9:21" ht="24.75" customHeight="1" x14ac:dyDescent="0.35">
      <c r="I3332" s="42">
        <f t="shared" si="520"/>
        <v>0</v>
      </c>
      <c r="J3332" s="65" t="e">
        <f t="shared" si="521"/>
        <v>#NUM!</v>
      </c>
      <c r="K3332" s="83" t="e">
        <f t="shared" si="522"/>
        <v>#NUM!</v>
      </c>
      <c r="L3332" s="83">
        <f t="shared" si="523"/>
        <v>0</v>
      </c>
      <c r="M3332" s="110" t="str">
        <f t="shared" si="524"/>
        <v/>
      </c>
      <c r="N3332" s="51" t="str">
        <f t="shared" si="525"/>
        <v/>
      </c>
      <c r="O3332" s="52" t="str">
        <f t="shared" si="526"/>
        <v/>
      </c>
      <c r="P3332" s="88">
        <f t="shared" si="527"/>
        <v>0</v>
      </c>
      <c r="Q3332" s="88">
        <f t="shared" si="528"/>
        <v>0</v>
      </c>
      <c r="R3332" s="88" t="e">
        <f>-IF(Tabla14[[#This Row],[DIAS HABILES O MORA]]&lt;0,(Tabla14[[#This Row],[VALOR PRESTAMO]]*Tabla14[[#This Row],[% INTERES ]]/30*U3332))+Tabla14[[#This Row],[VALOR CUOTAS]]</f>
        <v>#VALUE!</v>
      </c>
      <c r="S3332" s="88">
        <f>-IF(Tabla14[[#This Row],[DIAS HABILES O MORA]]&lt;0,(Tabla14[[#This Row],[VALOR PRESTAMO]]*Tabla14[[#This Row],[% INTERES ]]/30*U3332))</f>
        <v>0</v>
      </c>
      <c r="T3332" s="53" t="e">
        <f>Tabla14[[#This Row],[DEUDA CAPITAL]]+Tabla14[[#This Row],[INTERES  CUOTA]]</f>
        <v>#NUM!</v>
      </c>
      <c r="U3332" s="61" t="str">
        <f t="shared" si="529"/>
        <v/>
      </c>
    </row>
    <row r="3333" spans="9:21" ht="24.75" customHeight="1" x14ac:dyDescent="0.35">
      <c r="I3333" s="42">
        <f t="shared" si="520"/>
        <v>0</v>
      </c>
      <c r="J3333" s="65" t="e">
        <f t="shared" si="521"/>
        <v>#NUM!</v>
      </c>
      <c r="K3333" s="83" t="e">
        <f t="shared" si="522"/>
        <v>#NUM!</v>
      </c>
      <c r="L3333" s="83">
        <f t="shared" si="523"/>
        <v>0</v>
      </c>
      <c r="M3333" s="110" t="str">
        <f t="shared" si="524"/>
        <v/>
      </c>
      <c r="N3333" s="51" t="str">
        <f t="shared" si="525"/>
        <v/>
      </c>
      <c r="O3333" s="52" t="str">
        <f t="shared" si="526"/>
        <v/>
      </c>
      <c r="P3333" s="88">
        <f t="shared" si="527"/>
        <v>0</v>
      </c>
      <c r="Q3333" s="88">
        <f t="shared" si="528"/>
        <v>0</v>
      </c>
      <c r="R3333" s="88" t="e">
        <f>-IF(Tabla14[[#This Row],[DIAS HABILES O MORA]]&lt;0,(Tabla14[[#This Row],[VALOR PRESTAMO]]*Tabla14[[#This Row],[% INTERES ]]/30*U3333))+Tabla14[[#This Row],[VALOR CUOTAS]]</f>
        <v>#VALUE!</v>
      </c>
      <c r="S3333" s="88">
        <f>-IF(Tabla14[[#This Row],[DIAS HABILES O MORA]]&lt;0,(Tabla14[[#This Row],[VALOR PRESTAMO]]*Tabla14[[#This Row],[% INTERES ]]/30*U3333))</f>
        <v>0</v>
      </c>
      <c r="T3333" s="53" t="e">
        <f>Tabla14[[#This Row],[DEUDA CAPITAL]]+Tabla14[[#This Row],[INTERES  CUOTA]]</f>
        <v>#NUM!</v>
      </c>
      <c r="U3333" s="61" t="str">
        <f t="shared" si="529"/>
        <v/>
      </c>
    </row>
    <row r="3334" spans="9:21" ht="24.75" customHeight="1" x14ac:dyDescent="0.35">
      <c r="I3334" s="42">
        <f t="shared" si="520"/>
        <v>0</v>
      </c>
      <c r="J3334" s="65" t="e">
        <f t="shared" si="521"/>
        <v>#NUM!</v>
      </c>
      <c r="K3334" s="83" t="e">
        <f t="shared" si="522"/>
        <v>#NUM!</v>
      </c>
      <c r="L3334" s="83">
        <f t="shared" si="523"/>
        <v>0</v>
      </c>
      <c r="M3334" s="110" t="str">
        <f t="shared" si="524"/>
        <v/>
      </c>
      <c r="N3334" s="51" t="str">
        <f t="shared" si="525"/>
        <v/>
      </c>
      <c r="O3334" s="52" t="str">
        <f t="shared" si="526"/>
        <v/>
      </c>
      <c r="P3334" s="88">
        <f t="shared" si="527"/>
        <v>0</v>
      </c>
      <c r="Q3334" s="88">
        <f t="shared" si="528"/>
        <v>0</v>
      </c>
      <c r="R3334" s="88" t="e">
        <f>-IF(Tabla14[[#This Row],[DIAS HABILES O MORA]]&lt;0,(Tabla14[[#This Row],[VALOR PRESTAMO]]*Tabla14[[#This Row],[% INTERES ]]/30*U3334))+Tabla14[[#This Row],[VALOR CUOTAS]]</f>
        <v>#VALUE!</v>
      </c>
      <c r="S3334" s="88">
        <f>-IF(Tabla14[[#This Row],[DIAS HABILES O MORA]]&lt;0,(Tabla14[[#This Row],[VALOR PRESTAMO]]*Tabla14[[#This Row],[% INTERES ]]/30*U3334))</f>
        <v>0</v>
      </c>
      <c r="T3334" s="53" t="e">
        <f>Tabla14[[#This Row],[DEUDA CAPITAL]]+Tabla14[[#This Row],[INTERES  CUOTA]]</f>
        <v>#NUM!</v>
      </c>
      <c r="U3334" s="61" t="str">
        <f t="shared" si="529"/>
        <v/>
      </c>
    </row>
    <row r="3335" spans="9:21" ht="24.75" customHeight="1" x14ac:dyDescent="0.35">
      <c r="I3335" s="42">
        <f t="shared" si="520"/>
        <v>0</v>
      </c>
      <c r="J3335" s="65" t="e">
        <f t="shared" si="521"/>
        <v>#NUM!</v>
      </c>
      <c r="K3335" s="83" t="e">
        <f t="shared" si="522"/>
        <v>#NUM!</v>
      </c>
      <c r="L3335" s="83">
        <f t="shared" si="523"/>
        <v>0</v>
      </c>
      <c r="M3335" s="110" t="str">
        <f t="shared" si="524"/>
        <v/>
      </c>
      <c r="N3335" s="51" t="str">
        <f t="shared" si="525"/>
        <v/>
      </c>
      <c r="O3335" s="52" t="str">
        <f t="shared" si="526"/>
        <v/>
      </c>
      <c r="P3335" s="88">
        <f t="shared" si="527"/>
        <v>0</v>
      </c>
      <c r="Q3335" s="88">
        <f t="shared" si="528"/>
        <v>0</v>
      </c>
      <c r="R3335" s="88" t="e">
        <f>-IF(Tabla14[[#This Row],[DIAS HABILES O MORA]]&lt;0,(Tabla14[[#This Row],[VALOR PRESTAMO]]*Tabla14[[#This Row],[% INTERES ]]/30*U3335))+Tabla14[[#This Row],[VALOR CUOTAS]]</f>
        <v>#VALUE!</v>
      </c>
      <c r="S3335" s="88">
        <f>-IF(Tabla14[[#This Row],[DIAS HABILES O MORA]]&lt;0,(Tabla14[[#This Row],[VALOR PRESTAMO]]*Tabla14[[#This Row],[% INTERES ]]/30*U3335))</f>
        <v>0</v>
      </c>
      <c r="T3335" s="53" t="e">
        <f>Tabla14[[#This Row],[DEUDA CAPITAL]]+Tabla14[[#This Row],[INTERES  CUOTA]]</f>
        <v>#NUM!</v>
      </c>
      <c r="U3335" s="61" t="str">
        <f t="shared" si="529"/>
        <v/>
      </c>
    </row>
    <row r="3336" spans="9:21" ht="24.75" customHeight="1" x14ac:dyDescent="0.35">
      <c r="I3336" s="42">
        <f t="shared" si="520"/>
        <v>0</v>
      </c>
      <c r="J3336" s="65" t="e">
        <f t="shared" si="521"/>
        <v>#NUM!</v>
      </c>
      <c r="K3336" s="83" t="e">
        <f t="shared" si="522"/>
        <v>#NUM!</v>
      </c>
      <c r="L3336" s="83">
        <f t="shared" si="523"/>
        <v>0</v>
      </c>
      <c r="M3336" s="110" t="str">
        <f t="shared" si="524"/>
        <v/>
      </c>
      <c r="N3336" s="51" t="str">
        <f t="shared" si="525"/>
        <v/>
      </c>
      <c r="O3336" s="52" t="str">
        <f t="shared" si="526"/>
        <v/>
      </c>
      <c r="P3336" s="88">
        <f t="shared" si="527"/>
        <v>0</v>
      </c>
      <c r="Q3336" s="88">
        <f t="shared" si="528"/>
        <v>0</v>
      </c>
      <c r="R3336" s="88" t="e">
        <f>-IF(Tabla14[[#This Row],[DIAS HABILES O MORA]]&lt;0,(Tabla14[[#This Row],[VALOR PRESTAMO]]*Tabla14[[#This Row],[% INTERES ]]/30*U3336))+Tabla14[[#This Row],[VALOR CUOTAS]]</f>
        <v>#VALUE!</v>
      </c>
      <c r="S3336" s="88">
        <f>-IF(Tabla14[[#This Row],[DIAS HABILES O MORA]]&lt;0,(Tabla14[[#This Row],[VALOR PRESTAMO]]*Tabla14[[#This Row],[% INTERES ]]/30*U3336))</f>
        <v>0</v>
      </c>
      <c r="T3336" s="53" t="e">
        <f>Tabla14[[#This Row],[DEUDA CAPITAL]]+Tabla14[[#This Row],[INTERES  CUOTA]]</f>
        <v>#NUM!</v>
      </c>
      <c r="U3336" s="61" t="str">
        <f t="shared" si="529"/>
        <v/>
      </c>
    </row>
    <row r="3337" spans="9:21" ht="24.75" customHeight="1" x14ac:dyDescent="0.35">
      <c r="I3337" s="42">
        <f t="shared" si="520"/>
        <v>0</v>
      </c>
      <c r="J3337" s="65" t="e">
        <f t="shared" si="521"/>
        <v>#NUM!</v>
      </c>
      <c r="K3337" s="83" t="e">
        <f t="shared" si="522"/>
        <v>#NUM!</v>
      </c>
      <c r="L3337" s="83">
        <f t="shared" si="523"/>
        <v>0</v>
      </c>
      <c r="M3337" s="110" t="str">
        <f t="shared" si="524"/>
        <v/>
      </c>
      <c r="N3337" s="51" t="str">
        <f t="shared" si="525"/>
        <v/>
      </c>
      <c r="O3337" s="52" t="str">
        <f t="shared" si="526"/>
        <v/>
      </c>
      <c r="P3337" s="88">
        <f t="shared" si="527"/>
        <v>0</v>
      </c>
      <c r="Q3337" s="88">
        <f t="shared" si="528"/>
        <v>0</v>
      </c>
      <c r="R3337" s="88" t="e">
        <f>-IF(Tabla14[[#This Row],[DIAS HABILES O MORA]]&lt;0,(Tabla14[[#This Row],[VALOR PRESTAMO]]*Tabla14[[#This Row],[% INTERES ]]/30*U3337))+Tabla14[[#This Row],[VALOR CUOTAS]]</f>
        <v>#VALUE!</v>
      </c>
      <c r="S3337" s="88">
        <f>-IF(Tabla14[[#This Row],[DIAS HABILES O MORA]]&lt;0,(Tabla14[[#This Row],[VALOR PRESTAMO]]*Tabla14[[#This Row],[% INTERES ]]/30*U3337))</f>
        <v>0</v>
      </c>
      <c r="T3337" s="53" t="e">
        <f>Tabla14[[#This Row],[DEUDA CAPITAL]]+Tabla14[[#This Row],[INTERES  CUOTA]]</f>
        <v>#NUM!</v>
      </c>
      <c r="U3337" s="61" t="str">
        <f t="shared" si="529"/>
        <v/>
      </c>
    </row>
    <row r="3338" spans="9:21" ht="24.75" customHeight="1" x14ac:dyDescent="0.35">
      <c r="I3338" s="42">
        <f t="shared" si="520"/>
        <v>0</v>
      </c>
      <c r="J3338" s="65" t="e">
        <f t="shared" si="521"/>
        <v>#NUM!</v>
      </c>
      <c r="K3338" s="83" t="e">
        <f t="shared" si="522"/>
        <v>#NUM!</v>
      </c>
      <c r="L3338" s="83">
        <f t="shared" si="523"/>
        <v>0</v>
      </c>
      <c r="M3338" s="110" t="str">
        <f t="shared" si="524"/>
        <v/>
      </c>
      <c r="N3338" s="51" t="str">
        <f t="shared" si="525"/>
        <v/>
      </c>
      <c r="O3338" s="52" t="str">
        <f t="shared" si="526"/>
        <v/>
      </c>
      <c r="P3338" s="88">
        <f t="shared" si="527"/>
        <v>0</v>
      </c>
      <c r="Q3338" s="88">
        <f t="shared" si="528"/>
        <v>0</v>
      </c>
      <c r="R3338" s="88" t="e">
        <f>-IF(Tabla14[[#This Row],[DIAS HABILES O MORA]]&lt;0,(Tabla14[[#This Row],[VALOR PRESTAMO]]*Tabla14[[#This Row],[% INTERES ]]/30*U3338))+Tabla14[[#This Row],[VALOR CUOTAS]]</f>
        <v>#VALUE!</v>
      </c>
      <c r="S3338" s="88">
        <f>-IF(Tabla14[[#This Row],[DIAS HABILES O MORA]]&lt;0,(Tabla14[[#This Row],[VALOR PRESTAMO]]*Tabla14[[#This Row],[% INTERES ]]/30*U3338))</f>
        <v>0</v>
      </c>
      <c r="T3338" s="53" t="e">
        <f>Tabla14[[#This Row],[DEUDA CAPITAL]]+Tabla14[[#This Row],[INTERES  CUOTA]]</f>
        <v>#NUM!</v>
      </c>
      <c r="U3338" s="61" t="str">
        <f t="shared" si="529"/>
        <v/>
      </c>
    </row>
    <row r="3339" spans="9:21" ht="24.75" customHeight="1" x14ac:dyDescent="0.35">
      <c r="I3339" s="42">
        <f t="shared" si="520"/>
        <v>0</v>
      </c>
      <c r="J3339" s="65" t="e">
        <f t="shared" si="521"/>
        <v>#NUM!</v>
      </c>
      <c r="K3339" s="83" t="e">
        <f t="shared" si="522"/>
        <v>#NUM!</v>
      </c>
      <c r="L3339" s="83">
        <f t="shared" si="523"/>
        <v>0</v>
      </c>
      <c r="M3339" s="110" t="str">
        <f t="shared" si="524"/>
        <v/>
      </c>
      <c r="N3339" s="51" t="str">
        <f t="shared" si="525"/>
        <v/>
      </c>
      <c r="O3339" s="52" t="str">
        <f t="shared" si="526"/>
        <v/>
      </c>
      <c r="P3339" s="88">
        <f t="shared" si="527"/>
        <v>0</v>
      </c>
      <c r="Q3339" s="88">
        <f t="shared" si="528"/>
        <v>0</v>
      </c>
      <c r="R3339" s="88" t="e">
        <f>-IF(Tabla14[[#This Row],[DIAS HABILES O MORA]]&lt;0,(Tabla14[[#This Row],[VALOR PRESTAMO]]*Tabla14[[#This Row],[% INTERES ]]/30*U3339))+Tabla14[[#This Row],[VALOR CUOTAS]]</f>
        <v>#VALUE!</v>
      </c>
      <c r="S3339" s="88">
        <f>-IF(Tabla14[[#This Row],[DIAS HABILES O MORA]]&lt;0,(Tabla14[[#This Row],[VALOR PRESTAMO]]*Tabla14[[#This Row],[% INTERES ]]/30*U3339))</f>
        <v>0</v>
      </c>
      <c r="T3339" s="53" t="e">
        <f>Tabla14[[#This Row],[DEUDA CAPITAL]]+Tabla14[[#This Row],[INTERES  CUOTA]]</f>
        <v>#NUM!</v>
      </c>
      <c r="U3339" s="61" t="str">
        <f t="shared" si="529"/>
        <v/>
      </c>
    </row>
    <row r="3340" spans="9:21" ht="24.75" customHeight="1" x14ac:dyDescent="0.35">
      <c r="I3340" s="42">
        <f t="shared" si="520"/>
        <v>0</v>
      </c>
      <c r="J3340" s="65" t="e">
        <f t="shared" si="521"/>
        <v>#NUM!</v>
      </c>
      <c r="K3340" s="83" t="e">
        <f t="shared" si="522"/>
        <v>#NUM!</v>
      </c>
      <c r="L3340" s="83">
        <f t="shared" si="523"/>
        <v>0</v>
      </c>
      <c r="M3340" s="110" t="str">
        <f t="shared" si="524"/>
        <v/>
      </c>
      <c r="N3340" s="51" t="str">
        <f t="shared" si="525"/>
        <v/>
      </c>
      <c r="O3340" s="52" t="str">
        <f t="shared" si="526"/>
        <v/>
      </c>
      <c r="P3340" s="88">
        <f t="shared" si="527"/>
        <v>0</v>
      </c>
      <c r="Q3340" s="88">
        <f t="shared" si="528"/>
        <v>0</v>
      </c>
      <c r="R3340" s="88" t="e">
        <f>-IF(Tabla14[[#This Row],[DIAS HABILES O MORA]]&lt;0,(Tabla14[[#This Row],[VALOR PRESTAMO]]*Tabla14[[#This Row],[% INTERES ]]/30*U3340))+Tabla14[[#This Row],[VALOR CUOTAS]]</f>
        <v>#VALUE!</v>
      </c>
      <c r="S3340" s="88">
        <f>-IF(Tabla14[[#This Row],[DIAS HABILES O MORA]]&lt;0,(Tabla14[[#This Row],[VALOR PRESTAMO]]*Tabla14[[#This Row],[% INTERES ]]/30*U3340))</f>
        <v>0</v>
      </c>
      <c r="T3340" s="53" t="e">
        <f>Tabla14[[#This Row],[DEUDA CAPITAL]]+Tabla14[[#This Row],[INTERES  CUOTA]]</f>
        <v>#NUM!</v>
      </c>
      <c r="U3340" s="61" t="str">
        <f t="shared" si="529"/>
        <v/>
      </c>
    </row>
    <row r="3341" spans="9:21" ht="24.75" customHeight="1" x14ac:dyDescent="0.35">
      <c r="I3341" s="42">
        <f t="shared" si="520"/>
        <v>0</v>
      </c>
      <c r="J3341" s="65" t="e">
        <f t="shared" si="521"/>
        <v>#NUM!</v>
      </c>
      <c r="K3341" s="83" t="e">
        <f t="shared" si="522"/>
        <v>#NUM!</v>
      </c>
      <c r="L3341" s="83">
        <f t="shared" si="523"/>
        <v>0</v>
      </c>
      <c r="M3341" s="110" t="str">
        <f t="shared" si="524"/>
        <v/>
      </c>
      <c r="N3341" s="51" t="str">
        <f t="shared" si="525"/>
        <v/>
      </c>
      <c r="O3341" s="52" t="str">
        <f t="shared" si="526"/>
        <v/>
      </c>
      <c r="P3341" s="88">
        <f t="shared" si="527"/>
        <v>0</v>
      </c>
      <c r="Q3341" s="88">
        <f t="shared" si="528"/>
        <v>0</v>
      </c>
      <c r="R3341" s="88" t="e">
        <f>-IF(Tabla14[[#This Row],[DIAS HABILES O MORA]]&lt;0,(Tabla14[[#This Row],[VALOR PRESTAMO]]*Tabla14[[#This Row],[% INTERES ]]/30*U3341))+Tabla14[[#This Row],[VALOR CUOTAS]]</f>
        <v>#VALUE!</v>
      </c>
      <c r="S3341" s="88">
        <f>-IF(Tabla14[[#This Row],[DIAS HABILES O MORA]]&lt;0,(Tabla14[[#This Row],[VALOR PRESTAMO]]*Tabla14[[#This Row],[% INTERES ]]/30*U3341))</f>
        <v>0</v>
      </c>
      <c r="T3341" s="53" t="e">
        <f>Tabla14[[#This Row],[DEUDA CAPITAL]]+Tabla14[[#This Row],[INTERES  CUOTA]]</f>
        <v>#NUM!</v>
      </c>
      <c r="U3341" s="61" t="str">
        <f t="shared" si="529"/>
        <v/>
      </c>
    </row>
    <row r="3342" spans="9:21" ht="24.75" customHeight="1" x14ac:dyDescent="0.35">
      <c r="I3342" s="42">
        <f t="shared" si="520"/>
        <v>0</v>
      </c>
      <c r="J3342" s="65" t="e">
        <f t="shared" si="521"/>
        <v>#NUM!</v>
      </c>
      <c r="K3342" s="83" t="e">
        <f t="shared" si="522"/>
        <v>#NUM!</v>
      </c>
      <c r="L3342" s="83">
        <f t="shared" si="523"/>
        <v>0</v>
      </c>
      <c r="M3342" s="110" t="str">
        <f t="shared" si="524"/>
        <v/>
      </c>
      <c r="N3342" s="51" t="str">
        <f t="shared" si="525"/>
        <v/>
      </c>
      <c r="O3342" s="52" t="str">
        <f t="shared" si="526"/>
        <v/>
      </c>
      <c r="P3342" s="88">
        <f t="shared" si="527"/>
        <v>0</v>
      </c>
      <c r="Q3342" s="88">
        <f t="shared" si="528"/>
        <v>0</v>
      </c>
      <c r="R3342" s="88" t="e">
        <f>-IF(Tabla14[[#This Row],[DIAS HABILES O MORA]]&lt;0,(Tabla14[[#This Row],[VALOR PRESTAMO]]*Tabla14[[#This Row],[% INTERES ]]/30*U3342))+Tabla14[[#This Row],[VALOR CUOTAS]]</f>
        <v>#VALUE!</v>
      </c>
      <c r="S3342" s="88">
        <f>-IF(Tabla14[[#This Row],[DIAS HABILES O MORA]]&lt;0,(Tabla14[[#This Row],[VALOR PRESTAMO]]*Tabla14[[#This Row],[% INTERES ]]/30*U3342))</f>
        <v>0</v>
      </c>
      <c r="T3342" s="53" t="e">
        <f>Tabla14[[#This Row],[DEUDA CAPITAL]]+Tabla14[[#This Row],[INTERES  CUOTA]]</f>
        <v>#NUM!</v>
      </c>
      <c r="U3342" s="61" t="str">
        <f t="shared" si="529"/>
        <v/>
      </c>
    </row>
    <row r="3343" spans="9:21" ht="24.75" customHeight="1" x14ac:dyDescent="0.35">
      <c r="I3343" s="42">
        <f t="shared" si="520"/>
        <v>0</v>
      </c>
      <c r="J3343" s="65" t="e">
        <f t="shared" si="521"/>
        <v>#NUM!</v>
      </c>
      <c r="K3343" s="83" t="e">
        <f t="shared" si="522"/>
        <v>#NUM!</v>
      </c>
      <c r="L3343" s="83">
        <f t="shared" si="523"/>
        <v>0</v>
      </c>
      <c r="M3343" s="110" t="str">
        <f t="shared" si="524"/>
        <v/>
      </c>
      <c r="N3343" s="51" t="str">
        <f t="shared" si="525"/>
        <v/>
      </c>
      <c r="O3343" s="52" t="str">
        <f t="shared" si="526"/>
        <v/>
      </c>
      <c r="P3343" s="88">
        <f t="shared" si="527"/>
        <v>0</v>
      </c>
      <c r="Q3343" s="88">
        <f t="shared" si="528"/>
        <v>0</v>
      </c>
      <c r="R3343" s="88" t="e">
        <f>-IF(Tabla14[[#This Row],[DIAS HABILES O MORA]]&lt;0,(Tabla14[[#This Row],[VALOR PRESTAMO]]*Tabla14[[#This Row],[% INTERES ]]/30*U3343))+Tabla14[[#This Row],[VALOR CUOTAS]]</f>
        <v>#VALUE!</v>
      </c>
      <c r="S3343" s="88">
        <f>-IF(Tabla14[[#This Row],[DIAS HABILES O MORA]]&lt;0,(Tabla14[[#This Row],[VALOR PRESTAMO]]*Tabla14[[#This Row],[% INTERES ]]/30*U3343))</f>
        <v>0</v>
      </c>
      <c r="T3343" s="53" t="e">
        <f>Tabla14[[#This Row],[DEUDA CAPITAL]]+Tabla14[[#This Row],[INTERES  CUOTA]]</f>
        <v>#NUM!</v>
      </c>
      <c r="U3343" s="61" t="str">
        <f t="shared" si="529"/>
        <v/>
      </c>
    </row>
    <row r="3344" spans="9:21" ht="24.75" customHeight="1" x14ac:dyDescent="0.35">
      <c r="I3344" s="42">
        <f t="shared" ref="I3344:I3407" si="530">IF(C3344&lt;0,"",IF(Q3344=0,0,IF(G3344=0,H3344+1,IF(H3344&lt;G3344,H3344+1,IF(G3344=H3344,0)))))</f>
        <v>0</v>
      </c>
      <c r="J3344" s="65" t="e">
        <f t="shared" ref="J3344:J3407" si="531">IF(F3344="SOLO INTERES",Q3344*D3344,-IPMT(D3344,I3344,G3344,C3344))</f>
        <v>#NUM!</v>
      </c>
      <c r="K3344" s="83" t="e">
        <f t="shared" ref="K3344:K3407" si="532">IF(F3344="SOLO INTERES",0,-PPMT(D3344,I3344,G3344,C3344))</f>
        <v>#NUM!</v>
      </c>
      <c r="L3344" s="83">
        <f t="shared" ref="L3344:L3407" si="533">IF(F3344="SOLO INTERES",SUM(Y3344:AAE3344),IFERROR(-CUMIPMT(D3344,G3344,C3344,1,H3344,0),0)+SUM(Y3344:WY3344))</f>
        <v>0</v>
      </c>
      <c r="M3344" s="110" t="str">
        <f t="shared" ref="M3344:M3407" si="534">IFERROR(IF(F3344="SOLO INTERES",Q3344*D3344,-PMT(D3344,G3344,C3344,0)),"")</f>
        <v/>
      </c>
      <c r="N3344" s="51" t="str">
        <f t="shared" ref="N3344:N3407" si="535">IF(Q3344=0,"",IF(E3344="MENSUAL",EDATE(B3344,I3344),IF(E3344="QUINCENAL",B3344+(I3344*15),IF(E3344="SEMANAL",B3344+(I3344*7)))))</f>
        <v/>
      </c>
      <c r="O3344" s="52" t="str">
        <f t="shared" ref="O3344:O3407" si="536">IF(C3344=0,"",IF(Q3344&lt;1,"PAGADO",IF(N3344=$A$3,"COBRAR HOY",IF(N3344&lt;$A$3,"EN MORA",IF(N3344&gt;$A$3,"AL DIA")))))</f>
        <v/>
      </c>
      <c r="P3344" s="88">
        <f t="shared" ref="P3344:P3407" si="537">IFERROR(-CUMPRINC(D3344,G3344,C3344,1,H3344,0),0)+W3344</f>
        <v>0</v>
      </c>
      <c r="Q3344" s="88">
        <f t="shared" ref="Q3344:Q3407" si="538">IFERROR(C3344-P3344,"")</f>
        <v>0</v>
      </c>
      <c r="R3344" s="88" t="e">
        <f>-IF(Tabla14[[#This Row],[DIAS HABILES O MORA]]&lt;0,(Tabla14[[#This Row],[VALOR PRESTAMO]]*Tabla14[[#This Row],[% INTERES ]]/30*U3344))+Tabla14[[#This Row],[VALOR CUOTAS]]</f>
        <v>#VALUE!</v>
      </c>
      <c r="S3344" s="88">
        <f>-IF(Tabla14[[#This Row],[DIAS HABILES O MORA]]&lt;0,(Tabla14[[#This Row],[VALOR PRESTAMO]]*Tabla14[[#This Row],[% INTERES ]]/30*U3344))</f>
        <v>0</v>
      </c>
      <c r="T3344" s="53" t="e">
        <f>Tabla14[[#This Row],[DEUDA CAPITAL]]+Tabla14[[#This Row],[INTERES  CUOTA]]</f>
        <v>#NUM!</v>
      </c>
      <c r="U3344" s="61" t="str">
        <f t="shared" ref="U3344:U3407" si="539">IF(O3344="PAGADO","",IFERROR(-IF(C3344=0,"",$A$3-N3344),""))</f>
        <v/>
      </c>
    </row>
    <row r="3345" spans="9:21" ht="24.75" customHeight="1" x14ac:dyDescent="0.35">
      <c r="I3345" s="42">
        <f t="shared" si="530"/>
        <v>0</v>
      </c>
      <c r="J3345" s="65" t="e">
        <f t="shared" si="531"/>
        <v>#NUM!</v>
      </c>
      <c r="K3345" s="83" t="e">
        <f t="shared" si="532"/>
        <v>#NUM!</v>
      </c>
      <c r="L3345" s="83">
        <f t="shared" si="533"/>
        <v>0</v>
      </c>
      <c r="M3345" s="110" t="str">
        <f t="shared" si="534"/>
        <v/>
      </c>
      <c r="N3345" s="51" t="str">
        <f t="shared" si="535"/>
        <v/>
      </c>
      <c r="O3345" s="52" t="str">
        <f t="shared" si="536"/>
        <v/>
      </c>
      <c r="P3345" s="88">
        <f t="shared" si="537"/>
        <v>0</v>
      </c>
      <c r="Q3345" s="88">
        <f t="shared" si="538"/>
        <v>0</v>
      </c>
      <c r="R3345" s="88" t="e">
        <f>-IF(Tabla14[[#This Row],[DIAS HABILES O MORA]]&lt;0,(Tabla14[[#This Row],[VALOR PRESTAMO]]*Tabla14[[#This Row],[% INTERES ]]/30*U3345))+Tabla14[[#This Row],[VALOR CUOTAS]]</f>
        <v>#VALUE!</v>
      </c>
      <c r="S3345" s="88">
        <f>-IF(Tabla14[[#This Row],[DIAS HABILES O MORA]]&lt;0,(Tabla14[[#This Row],[VALOR PRESTAMO]]*Tabla14[[#This Row],[% INTERES ]]/30*U3345))</f>
        <v>0</v>
      </c>
      <c r="T3345" s="53" t="e">
        <f>Tabla14[[#This Row],[DEUDA CAPITAL]]+Tabla14[[#This Row],[INTERES  CUOTA]]</f>
        <v>#NUM!</v>
      </c>
      <c r="U3345" s="61" t="str">
        <f t="shared" si="539"/>
        <v/>
      </c>
    </row>
    <row r="3346" spans="9:21" ht="24.75" customHeight="1" x14ac:dyDescent="0.35">
      <c r="I3346" s="42">
        <f t="shared" si="530"/>
        <v>0</v>
      </c>
      <c r="J3346" s="65" t="e">
        <f t="shared" si="531"/>
        <v>#NUM!</v>
      </c>
      <c r="K3346" s="83" t="e">
        <f t="shared" si="532"/>
        <v>#NUM!</v>
      </c>
      <c r="L3346" s="83">
        <f t="shared" si="533"/>
        <v>0</v>
      </c>
      <c r="M3346" s="110" t="str">
        <f t="shared" si="534"/>
        <v/>
      </c>
      <c r="N3346" s="51" t="str">
        <f t="shared" si="535"/>
        <v/>
      </c>
      <c r="O3346" s="52" t="str">
        <f t="shared" si="536"/>
        <v/>
      </c>
      <c r="P3346" s="88">
        <f t="shared" si="537"/>
        <v>0</v>
      </c>
      <c r="Q3346" s="88">
        <f t="shared" si="538"/>
        <v>0</v>
      </c>
      <c r="R3346" s="88" t="e">
        <f>-IF(Tabla14[[#This Row],[DIAS HABILES O MORA]]&lt;0,(Tabla14[[#This Row],[VALOR PRESTAMO]]*Tabla14[[#This Row],[% INTERES ]]/30*U3346))+Tabla14[[#This Row],[VALOR CUOTAS]]</f>
        <v>#VALUE!</v>
      </c>
      <c r="S3346" s="88">
        <f>-IF(Tabla14[[#This Row],[DIAS HABILES O MORA]]&lt;0,(Tabla14[[#This Row],[VALOR PRESTAMO]]*Tabla14[[#This Row],[% INTERES ]]/30*U3346))</f>
        <v>0</v>
      </c>
      <c r="T3346" s="53" t="e">
        <f>Tabla14[[#This Row],[DEUDA CAPITAL]]+Tabla14[[#This Row],[INTERES  CUOTA]]</f>
        <v>#NUM!</v>
      </c>
      <c r="U3346" s="61" t="str">
        <f t="shared" si="539"/>
        <v/>
      </c>
    </row>
    <row r="3347" spans="9:21" ht="24.75" customHeight="1" x14ac:dyDescent="0.35">
      <c r="I3347" s="42">
        <f t="shared" si="530"/>
        <v>0</v>
      </c>
      <c r="J3347" s="65" t="e">
        <f t="shared" si="531"/>
        <v>#NUM!</v>
      </c>
      <c r="K3347" s="83" t="e">
        <f t="shared" si="532"/>
        <v>#NUM!</v>
      </c>
      <c r="L3347" s="83">
        <f t="shared" si="533"/>
        <v>0</v>
      </c>
      <c r="M3347" s="110" t="str">
        <f t="shared" si="534"/>
        <v/>
      </c>
      <c r="N3347" s="51" t="str">
        <f t="shared" si="535"/>
        <v/>
      </c>
      <c r="O3347" s="52" t="str">
        <f t="shared" si="536"/>
        <v/>
      </c>
      <c r="P3347" s="88">
        <f t="shared" si="537"/>
        <v>0</v>
      </c>
      <c r="Q3347" s="88">
        <f t="shared" si="538"/>
        <v>0</v>
      </c>
      <c r="R3347" s="88" t="e">
        <f>-IF(Tabla14[[#This Row],[DIAS HABILES O MORA]]&lt;0,(Tabla14[[#This Row],[VALOR PRESTAMO]]*Tabla14[[#This Row],[% INTERES ]]/30*U3347))+Tabla14[[#This Row],[VALOR CUOTAS]]</f>
        <v>#VALUE!</v>
      </c>
      <c r="S3347" s="88">
        <f>-IF(Tabla14[[#This Row],[DIAS HABILES O MORA]]&lt;0,(Tabla14[[#This Row],[VALOR PRESTAMO]]*Tabla14[[#This Row],[% INTERES ]]/30*U3347))</f>
        <v>0</v>
      </c>
      <c r="T3347" s="53" t="e">
        <f>Tabla14[[#This Row],[DEUDA CAPITAL]]+Tabla14[[#This Row],[INTERES  CUOTA]]</f>
        <v>#NUM!</v>
      </c>
      <c r="U3347" s="61" t="str">
        <f t="shared" si="539"/>
        <v/>
      </c>
    </row>
    <row r="3348" spans="9:21" ht="24.75" customHeight="1" x14ac:dyDescent="0.35">
      <c r="I3348" s="42">
        <f t="shared" si="530"/>
        <v>0</v>
      </c>
      <c r="J3348" s="65" t="e">
        <f t="shared" si="531"/>
        <v>#NUM!</v>
      </c>
      <c r="K3348" s="83" t="e">
        <f t="shared" si="532"/>
        <v>#NUM!</v>
      </c>
      <c r="L3348" s="83">
        <f t="shared" si="533"/>
        <v>0</v>
      </c>
      <c r="M3348" s="110" t="str">
        <f t="shared" si="534"/>
        <v/>
      </c>
      <c r="N3348" s="51" t="str">
        <f t="shared" si="535"/>
        <v/>
      </c>
      <c r="O3348" s="52" t="str">
        <f t="shared" si="536"/>
        <v/>
      </c>
      <c r="P3348" s="88">
        <f t="shared" si="537"/>
        <v>0</v>
      </c>
      <c r="Q3348" s="88">
        <f t="shared" si="538"/>
        <v>0</v>
      </c>
      <c r="R3348" s="88" t="e">
        <f>-IF(Tabla14[[#This Row],[DIAS HABILES O MORA]]&lt;0,(Tabla14[[#This Row],[VALOR PRESTAMO]]*Tabla14[[#This Row],[% INTERES ]]/30*U3348))+Tabla14[[#This Row],[VALOR CUOTAS]]</f>
        <v>#VALUE!</v>
      </c>
      <c r="S3348" s="88">
        <f>-IF(Tabla14[[#This Row],[DIAS HABILES O MORA]]&lt;0,(Tabla14[[#This Row],[VALOR PRESTAMO]]*Tabla14[[#This Row],[% INTERES ]]/30*U3348))</f>
        <v>0</v>
      </c>
      <c r="T3348" s="53" t="e">
        <f>Tabla14[[#This Row],[DEUDA CAPITAL]]+Tabla14[[#This Row],[INTERES  CUOTA]]</f>
        <v>#NUM!</v>
      </c>
      <c r="U3348" s="61" t="str">
        <f t="shared" si="539"/>
        <v/>
      </c>
    </row>
    <row r="3349" spans="9:21" ht="24.75" customHeight="1" x14ac:dyDescent="0.35">
      <c r="I3349" s="42">
        <f t="shared" si="530"/>
        <v>0</v>
      </c>
      <c r="J3349" s="65" t="e">
        <f t="shared" si="531"/>
        <v>#NUM!</v>
      </c>
      <c r="K3349" s="83" t="e">
        <f t="shared" si="532"/>
        <v>#NUM!</v>
      </c>
      <c r="L3349" s="83">
        <f t="shared" si="533"/>
        <v>0</v>
      </c>
      <c r="M3349" s="110" t="str">
        <f t="shared" si="534"/>
        <v/>
      </c>
      <c r="N3349" s="51" t="str">
        <f t="shared" si="535"/>
        <v/>
      </c>
      <c r="O3349" s="52" t="str">
        <f t="shared" si="536"/>
        <v/>
      </c>
      <c r="P3349" s="88">
        <f t="shared" si="537"/>
        <v>0</v>
      </c>
      <c r="Q3349" s="88">
        <f t="shared" si="538"/>
        <v>0</v>
      </c>
      <c r="R3349" s="88" t="e">
        <f>-IF(Tabla14[[#This Row],[DIAS HABILES O MORA]]&lt;0,(Tabla14[[#This Row],[VALOR PRESTAMO]]*Tabla14[[#This Row],[% INTERES ]]/30*U3349))+Tabla14[[#This Row],[VALOR CUOTAS]]</f>
        <v>#VALUE!</v>
      </c>
      <c r="S3349" s="88">
        <f>-IF(Tabla14[[#This Row],[DIAS HABILES O MORA]]&lt;0,(Tabla14[[#This Row],[VALOR PRESTAMO]]*Tabla14[[#This Row],[% INTERES ]]/30*U3349))</f>
        <v>0</v>
      </c>
      <c r="T3349" s="53" t="e">
        <f>Tabla14[[#This Row],[DEUDA CAPITAL]]+Tabla14[[#This Row],[INTERES  CUOTA]]</f>
        <v>#NUM!</v>
      </c>
      <c r="U3349" s="61" t="str">
        <f t="shared" si="539"/>
        <v/>
      </c>
    </row>
    <row r="3350" spans="9:21" ht="24.75" customHeight="1" x14ac:dyDescent="0.35">
      <c r="I3350" s="42">
        <f t="shared" si="530"/>
        <v>0</v>
      </c>
      <c r="J3350" s="65" t="e">
        <f t="shared" si="531"/>
        <v>#NUM!</v>
      </c>
      <c r="K3350" s="83" t="e">
        <f t="shared" si="532"/>
        <v>#NUM!</v>
      </c>
      <c r="L3350" s="83">
        <f t="shared" si="533"/>
        <v>0</v>
      </c>
      <c r="M3350" s="110" t="str">
        <f t="shared" si="534"/>
        <v/>
      </c>
      <c r="N3350" s="51" t="str">
        <f t="shared" si="535"/>
        <v/>
      </c>
      <c r="O3350" s="52" t="str">
        <f t="shared" si="536"/>
        <v/>
      </c>
      <c r="P3350" s="88">
        <f t="shared" si="537"/>
        <v>0</v>
      </c>
      <c r="Q3350" s="88">
        <f t="shared" si="538"/>
        <v>0</v>
      </c>
      <c r="R3350" s="88" t="e">
        <f>-IF(Tabla14[[#This Row],[DIAS HABILES O MORA]]&lt;0,(Tabla14[[#This Row],[VALOR PRESTAMO]]*Tabla14[[#This Row],[% INTERES ]]/30*U3350))+Tabla14[[#This Row],[VALOR CUOTAS]]</f>
        <v>#VALUE!</v>
      </c>
      <c r="S3350" s="88">
        <f>-IF(Tabla14[[#This Row],[DIAS HABILES O MORA]]&lt;0,(Tabla14[[#This Row],[VALOR PRESTAMO]]*Tabla14[[#This Row],[% INTERES ]]/30*U3350))</f>
        <v>0</v>
      </c>
      <c r="T3350" s="53" t="e">
        <f>Tabla14[[#This Row],[DEUDA CAPITAL]]+Tabla14[[#This Row],[INTERES  CUOTA]]</f>
        <v>#NUM!</v>
      </c>
      <c r="U3350" s="61" t="str">
        <f t="shared" si="539"/>
        <v/>
      </c>
    </row>
    <row r="3351" spans="9:21" ht="24.75" customHeight="1" x14ac:dyDescent="0.35">
      <c r="I3351" s="42">
        <f t="shared" si="530"/>
        <v>0</v>
      </c>
      <c r="J3351" s="65" t="e">
        <f t="shared" si="531"/>
        <v>#NUM!</v>
      </c>
      <c r="K3351" s="83" t="e">
        <f t="shared" si="532"/>
        <v>#NUM!</v>
      </c>
      <c r="L3351" s="83">
        <f t="shared" si="533"/>
        <v>0</v>
      </c>
      <c r="M3351" s="110" t="str">
        <f t="shared" si="534"/>
        <v/>
      </c>
      <c r="N3351" s="51" t="str">
        <f t="shared" si="535"/>
        <v/>
      </c>
      <c r="O3351" s="52" t="str">
        <f t="shared" si="536"/>
        <v/>
      </c>
      <c r="P3351" s="88">
        <f t="shared" si="537"/>
        <v>0</v>
      </c>
      <c r="Q3351" s="88">
        <f t="shared" si="538"/>
        <v>0</v>
      </c>
      <c r="R3351" s="88" t="e">
        <f>-IF(Tabla14[[#This Row],[DIAS HABILES O MORA]]&lt;0,(Tabla14[[#This Row],[VALOR PRESTAMO]]*Tabla14[[#This Row],[% INTERES ]]/30*U3351))+Tabla14[[#This Row],[VALOR CUOTAS]]</f>
        <v>#VALUE!</v>
      </c>
      <c r="S3351" s="88">
        <f>-IF(Tabla14[[#This Row],[DIAS HABILES O MORA]]&lt;0,(Tabla14[[#This Row],[VALOR PRESTAMO]]*Tabla14[[#This Row],[% INTERES ]]/30*U3351))</f>
        <v>0</v>
      </c>
      <c r="T3351" s="53" t="e">
        <f>Tabla14[[#This Row],[DEUDA CAPITAL]]+Tabla14[[#This Row],[INTERES  CUOTA]]</f>
        <v>#NUM!</v>
      </c>
      <c r="U3351" s="61" t="str">
        <f t="shared" si="539"/>
        <v/>
      </c>
    </row>
    <row r="3352" spans="9:21" ht="24.75" customHeight="1" x14ac:dyDescent="0.35">
      <c r="I3352" s="42">
        <f t="shared" si="530"/>
        <v>0</v>
      </c>
      <c r="J3352" s="65" t="e">
        <f t="shared" si="531"/>
        <v>#NUM!</v>
      </c>
      <c r="K3352" s="83" t="e">
        <f t="shared" si="532"/>
        <v>#NUM!</v>
      </c>
      <c r="L3352" s="83">
        <f t="shared" si="533"/>
        <v>0</v>
      </c>
      <c r="M3352" s="110" t="str">
        <f t="shared" si="534"/>
        <v/>
      </c>
      <c r="N3352" s="51" t="str">
        <f t="shared" si="535"/>
        <v/>
      </c>
      <c r="O3352" s="52" t="str">
        <f t="shared" si="536"/>
        <v/>
      </c>
      <c r="P3352" s="88">
        <f t="shared" si="537"/>
        <v>0</v>
      </c>
      <c r="Q3352" s="88">
        <f t="shared" si="538"/>
        <v>0</v>
      </c>
      <c r="R3352" s="88" t="e">
        <f>-IF(Tabla14[[#This Row],[DIAS HABILES O MORA]]&lt;0,(Tabla14[[#This Row],[VALOR PRESTAMO]]*Tabla14[[#This Row],[% INTERES ]]/30*U3352))+Tabla14[[#This Row],[VALOR CUOTAS]]</f>
        <v>#VALUE!</v>
      </c>
      <c r="S3352" s="88">
        <f>-IF(Tabla14[[#This Row],[DIAS HABILES O MORA]]&lt;0,(Tabla14[[#This Row],[VALOR PRESTAMO]]*Tabla14[[#This Row],[% INTERES ]]/30*U3352))</f>
        <v>0</v>
      </c>
      <c r="T3352" s="53" t="e">
        <f>Tabla14[[#This Row],[DEUDA CAPITAL]]+Tabla14[[#This Row],[INTERES  CUOTA]]</f>
        <v>#NUM!</v>
      </c>
      <c r="U3352" s="61" t="str">
        <f t="shared" si="539"/>
        <v/>
      </c>
    </row>
    <row r="3353" spans="9:21" ht="24.75" customHeight="1" x14ac:dyDescent="0.35">
      <c r="I3353" s="42">
        <f t="shared" si="530"/>
        <v>0</v>
      </c>
      <c r="J3353" s="65" t="e">
        <f t="shared" si="531"/>
        <v>#NUM!</v>
      </c>
      <c r="K3353" s="83" t="e">
        <f t="shared" si="532"/>
        <v>#NUM!</v>
      </c>
      <c r="L3353" s="83">
        <f t="shared" si="533"/>
        <v>0</v>
      </c>
      <c r="M3353" s="110" t="str">
        <f t="shared" si="534"/>
        <v/>
      </c>
      <c r="N3353" s="51" t="str">
        <f t="shared" si="535"/>
        <v/>
      </c>
      <c r="O3353" s="52" t="str">
        <f t="shared" si="536"/>
        <v/>
      </c>
      <c r="P3353" s="88">
        <f t="shared" si="537"/>
        <v>0</v>
      </c>
      <c r="Q3353" s="88">
        <f t="shared" si="538"/>
        <v>0</v>
      </c>
      <c r="R3353" s="88" t="e">
        <f>-IF(Tabla14[[#This Row],[DIAS HABILES O MORA]]&lt;0,(Tabla14[[#This Row],[VALOR PRESTAMO]]*Tabla14[[#This Row],[% INTERES ]]/30*U3353))+Tabla14[[#This Row],[VALOR CUOTAS]]</f>
        <v>#VALUE!</v>
      </c>
      <c r="S3353" s="88">
        <f>-IF(Tabla14[[#This Row],[DIAS HABILES O MORA]]&lt;0,(Tabla14[[#This Row],[VALOR PRESTAMO]]*Tabla14[[#This Row],[% INTERES ]]/30*U3353))</f>
        <v>0</v>
      </c>
      <c r="T3353" s="53" t="e">
        <f>Tabla14[[#This Row],[DEUDA CAPITAL]]+Tabla14[[#This Row],[INTERES  CUOTA]]</f>
        <v>#NUM!</v>
      </c>
      <c r="U3353" s="61" t="str">
        <f t="shared" si="539"/>
        <v/>
      </c>
    </row>
    <row r="3354" spans="9:21" ht="24.75" customHeight="1" x14ac:dyDescent="0.35">
      <c r="I3354" s="42">
        <f t="shared" si="530"/>
        <v>0</v>
      </c>
      <c r="J3354" s="65" t="e">
        <f t="shared" si="531"/>
        <v>#NUM!</v>
      </c>
      <c r="K3354" s="83" t="e">
        <f t="shared" si="532"/>
        <v>#NUM!</v>
      </c>
      <c r="L3354" s="83">
        <f t="shared" si="533"/>
        <v>0</v>
      </c>
      <c r="M3354" s="110" t="str">
        <f t="shared" si="534"/>
        <v/>
      </c>
      <c r="N3354" s="51" t="str">
        <f t="shared" si="535"/>
        <v/>
      </c>
      <c r="O3354" s="52" t="str">
        <f t="shared" si="536"/>
        <v/>
      </c>
      <c r="P3354" s="88">
        <f t="shared" si="537"/>
        <v>0</v>
      </c>
      <c r="Q3354" s="88">
        <f t="shared" si="538"/>
        <v>0</v>
      </c>
      <c r="R3354" s="88" t="e">
        <f>-IF(Tabla14[[#This Row],[DIAS HABILES O MORA]]&lt;0,(Tabla14[[#This Row],[VALOR PRESTAMO]]*Tabla14[[#This Row],[% INTERES ]]/30*U3354))+Tabla14[[#This Row],[VALOR CUOTAS]]</f>
        <v>#VALUE!</v>
      </c>
      <c r="S3354" s="88">
        <f>-IF(Tabla14[[#This Row],[DIAS HABILES O MORA]]&lt;0,(Tabla14[[#This Row],[VALOR PRESTAMO]]*Tabla14[[#This Row],[% INTERES ]]/30*U3354))</f>
        <v>0</v>
      </c>
      <c r="T3354" s="53" t="e">
        <f>Tabla14[[#This Row],[DEUDA CAPITAL]]+Tabla14[[#This Row],[INTERES  CUOTA]]</f>
        <v>#NUM!</v>
      </c>
      <c r="U3354" s="61" t="str">
        <f t="shared" si="539"/>
        <v/>
      </c>
    </row>
    <row r="3355" spans="9:21" ht="24.75" customHeight="1" x14ac:dyDescent="0.35">
      <c r="I3355" s="42">
        <f t="shared" si="530"/>
        <v>0</v>
      </c>
      <c r="J3355" s="65" t="e">
        <f t="shared" si="531"/>
        <v>#NUM!</v>
      </c>
      <c r="K3355" s="83" t="e">
        <f t="shared" si="532"/>
        <v>#NUM!</v>
      </c>
      <c r="L3355" s="83">
        <f t="shared" si="533"/>
        <v>0</v>
      </c>
      <c r="M3355" s="110" t="str">
        <f t="shared" si="534"/>
        <v/>
      </c>
      <c r="N3355" s="51" t="str">
        <f t="shared" si="535"/>
        <v/>
      </c>
      <c r="O3355" s="52" t="str">
        <f t="shared" si="536"/>
        <v/>
      </c>
      <c r="P3355" s="88">
        <f t="shared" si="537"/>
        <v>0</v>
      </c>
      <c r="Q3355" s="88">
        <f t="shared" si="538"/>
        <v>0</v>
      </c>
      <c r="R3355" s="88" t="e">
        <f>-IF(Tabla14[[#This Row],[DIAS HABILES O MORA]]&lt;0,(Tabla14[[#This Row],[VALOR PRESTAMO]]*Tabla14[[#This Row],[% INTERES ]]/30*U3355))+Tabla14[[#This Row],[VALOR CUOTAS]]</f>
        <v>#VALUE!</v>
      </c>
      <c r="S3355" s="88">
        <f>-IF(Tabla14[[#This Row],[DIAS HABILES O MORA]]&lt;0,(Tabla14[[#This Row],[VALOR PRESTAMO]]*Tabla14[[#This Row],[% INTERES ]]/30*U3355))</f>
        <v>0</v>
      </c>
      <c r="T3355" s="53" t="e">
        <f>Tabla14[[#This Row],[DEUDA CAPITAL]]+Tabla14[[#This Row],[INTERES  CUOTA]]</f>
        <v>#NUM!</v>
      </c>
      <c r="U3355" s="61" t="str">
        <f t="shared" si="539"/>
        <v/>
      </c>
    </row>
    <row r="3356" spans="9:21" ht="24.75" customHeight="1" x14ac:dyDescent="0.35">
      <c r="I3356" s="42">
        <f t="shared" si="530"/>
        <v>0</v>
      </c>
      <c r="J3356" s="65" t="e">
        <f t="shared" si="531"/>
        <v>#NUM!</v>
      </c>
      <c r="K3356" s="83" t="e">
        <f t="shared" si="532"/>
        <v>#NUM!</v>
      </c>
      <c r="L3356" s="83">
        <f t="shared" si="533"/>
        <v>0</v>
      </c>
      <c r="M3356" s="110" t="str">
        <f t="shared" si="534"/>
        <v/>
      </c>
      <c r="N3356" s="51" t="str">
        <f t="shared" si="535"/>
        <v/>
      </c>
      <c r="O3356" s="52" t="str">
        <f t="shared" si="536"/>
        <v/>
      </c>
      <c r="P3356" s="88">
        <f t="shared" si="537"/>
        <v>0</v>
      </c>
      <c r="Q3356" s="88">
        <f t="shared" si="538"/>
        <v>0</v>
      </c>
      <c r="R3356" s="88" t="e">
        <f>-IF(Tabla14[[#This Row],[DIAS HABILES O MORA]]&lt;0,(Tabla14[[#This Row],[VALOR PRESTAMO]]*Tabla14[[#This Row],[% INTERES ]]/30*U3356))+Tabla14[[#This Row],[VALOR CUOTAS]]</f>
        <v>#VALUE!</v>
      </c>
      <c r="S3356" s="88">
        <f>-IF(Tabla14[[#This Row],[DIAS HABILES O MORA]]&lt;0,(Tabla14[[#This Row],[VALOR PRESTAMO]]*Tabla14[[#This Row],[% INTERES ]]/30*U3356))</f>
        <v>0</v>
      </c>
      <c r="T3356" s="53" t="e">
        <f>Tabla14[[#This Row],[DEUDA CAPITAL]]+Tabla14[[#This Row],[INTERES  CUOTA]]</f>
        <v>#NUM!</v>
      </c>
      <c r="U3356" s="61" t="str">
        <f t="shared" si="539"/>
        <v/>
      </c>
    </row>
    <row r="3357" spans="9:21" ht="24.75" customHeight="1" x14ac:dyDescent="0.35">
      <c r="I3357" s="42">
        <f t="shared" si="530"/>
        <v>0</v>
      </c>
      <c r="J3357" s="65" t="e">
        <f t="shared" si="531"/>
        <v>#NUM!</v>
      </c>
      <c r="K3357" s="83" t="e">
        <f t="shared" si="532"/>
        <v>#NUM!</v>
      </c>
      <c r="L3357" s="83">
        <f t="shared" si="533"/>
        <v>0</v>
      </c>
      <c r="M3357" s="110" t="str">
        <f t="shared" si="534"/>
        <v/>
      </c>
      <c r="N3357" s="51" t="str">
        <f t="shared" si="535"/>
        <v/>
      </c>
      <c r="O3357" s="52" t="str">
        <f t="shared" si="536"/>
        <v/>
      </c>
      <c r="P3357" s="88">
        <f t="shared" si="537"/>
        <v>0</v>
      </c>
      <c r="Q3357" s="88">
        <f t="shared" si="538"/>
        <v>0</v>
      </c>
      <c r="R3357" s="88" t="e">
        <f>-IF(Tabla14[[#This Row],[DIAS HABILES O MORA]]&lt;0,(Tabla14[[#This Row],[VALOR PRESTAMO]]*Tabla14[[#This Row],[% INTERES ]]/30*U3357))+Tabla14[[#This Row],[VALOR CUOTAS]]</f>
        <v>#VALUE!</v>
      </c>
      <c r="S3357" s="88">
        <f>-IF(Tabla14[[#This Row],[DIAS HABILES O MORA]]&lt;0,(Tabla14[[#This Row],[VALOR PRESTAMO]]*Tabla14[[#This Row],[% INTERES ]]/30*U3357))</f>
        <v>0</v>
      </c>
      <c r="T3357" s="53" t="e">
        <f>Tabla14[[#This Row],[DEUDA CAPITAL]]+Tabla14[[#This Row],[INTERES  CUOTA]]</f>
        <v>#NUM!</v>
      </c>
      <c r="U3357" s="61" t="str">
        <f t="shared" si="539"/>
        <v/>
      </c>
    </row>
    <row r="3358" spans="9:21" ht="24.75" customHeight="1" x14ac:dyDescent="0.35">
      <c r="I3358" s="42">
        <f t="shared" si="530"/>
        <v>0</v>
      </c>
      <c r="J3358" s="65" t="e">
        <f t="shared" si="531"/>
        <v>#NUM!</v>
      </c>
      <c r="K3358" s="83" t="e">
        <f t="shared" si="532"/>
        <v>#NUM!</v>
      </c>
      <c r="L3358" s="83">
        <f t="shared" si="533"/>
        <v>0</v>
      </c>
      <c r="M3358" s="110" t="str">
        <f t="shared" si="534"/>
        <v/>
      </c>
      <c r="N3358" s="51" t="str">
        <f t="shared" si="535"/>
        <v/>
      </c>
      <c r="O3358" s="52" t="str">
        <f t="shared" si="536"/>
        <v/>
      </c>
      <c r="P3358" s="88">
        <f t="shared" si="537"/>
        <v>0</v>
      </c>
      <c r="Q3358" s="88">
        <f t="shared" si="538"/>
        <v>0</v>
      </c>
      <c r="R3358" s="88" t="e">
        <f>-IF(Tabla14[[#This Row],[DIAS HABILES O MORA]]&lt;0,(Tabla14[[#This Row],[VALOR PRESTAMO]]*Tabla14[[#This Row],[% INTERES ]]/30*U3358))+Tabla14[[#This Row],[VALOR CUOTAS]]</f>
        <v>#VALUE!</v>
      </c>
      <c r="S3358" s="88">
        <f>-IF(Tabla14[[#This Row],[DIAS HABILES O MORA]]&lt;0,(Tabla14[[#This Row],[VALOR PRESTAMO]]*Tabla14[[#This Row],[% INTERES ]]/30*U3358))</f>
        <v>0</v>
      </c>
      <c r="T3358" s="53" t="e">
        <f>Tabla14[[#This Row],[DEUDA CAPITAL]]+Tabla14[[#This Row],[INTERES  CUOTA]]</f>
        <v>#NUM!</v>
      </c>
      <c r="U3358" s="61" t="str">
        <f t="shared" si="539"/>
        <v/>
      </c>
    </row>
    <row r="3359" spans="9:21" ht="24.75" customHeight="1" x14ac:dyDescent="0.35">
      <c r="I3359" s="42">
        <f t="shared" si="530"/>
        <v>0</v>
      </c>
      <c r="J3359" s="65" t="e">
        <f t="shared" si="531"/>
        <v>#NUM!</v>
      </c>
      <c r="K3359" s="83" t="e">
        <f t="shared" si="532"/>
        <v>#NUM!</v>
      </c>
      <c r="L3359" s="83">
        <f t="shared" si="533"/>
        <v>0</v>
      </c>
      <c r="M3359" s="110" t="str">
        <f t="shared" si="534"/>
        <v/>
      </c>
      <c r="N3359" s="51" t="str">
        <f t="shared" si="535"/>
        <v/>
      </c>
      <c r="O3359" s="52" t="str">
        <f t="shared" si="536"/>
        <v/>
      </c>
      <c r="P3359" s="88">
        <f t="shared" si="537"/>
        <v>0</v>
      </c>
      <c r="Q3359" s="88">
        <f t="shared" si="538"/>
        <v>0</v>
      </c>
      <c r="R3359" s="88" t="e">
        <f>-IF(Tabla14[[#This Row],[DIAS HABILES O MORA]]&lt;0,(Tabla14[[#This Row],[VALOR PRESTAMO]]*Tabla14[[#This Row],[% INTERES ]]/30*U3359))+Tabla14[[#This Row],[VALOR CUOTAS]]</f>
        <v>#VALUE!</v>
      </c>
      <c r="S3359" s="88">
        <f>-IF(Tabla14[[#This Row],[DIAS HABILES O MORA]]&lt;0,(Tabla14[[#This Row],[VALOR PRESTAMO]]*Tabla14[[#This Row],[% INTERES ]]/30*U3359))</f>
        <v>0</v>
      </c>
      <c r="T3359" s="53" t="e">
        <f>Tabla14[[#This Row],[DEUDA CAPITAL]]+Tabla14[[#This Row],[INTERES  CUOTA]]</f>
        <v>#NUM!</v>
      </c>
      <c r="U3359" s="61" t="str">
        <f t="shared" si="539"/>
        <v/>
      </c>
    </row>
    <row r="3360" spans="9:21" ht="24.75" customHeight="1" x14ac:dyDescent="0.35">
      <c r="I3360" s="42">
        <f t="shared" si="530"/>
        <v>0</v>
      </c>
      <c r="J3360" s="65" t="e">
        <f t="shared" si="531"/>
        <v>#NUM!</v>
      </c>
      <c r="K3360" s="83" t="e">
        <f t="shared" si="532"/>
        <v>#NUM!</v>
      </c>
      <c r="L3360" s="83">
        <f t="shared" si="533"/>
        <v>0</v>
      </c>
      <c r="M3360" s="110" t="str">
        <f t="shared" si="534"/>
        <v/>
      </c>
      <c r="N3360" s="51" t="str">
        <f t="shared" si="535"/>
        <v/>
      </c>
      <c r="O3360" s="52" t="str">
        <f t="shared" si="536"/>
        <v/>
      </c>
      <c r="P3360" s="88">
        <f t="shared" si="537"/>
        <v>0</v>
      </c>
      <c r="Q3360" s="88">
        <f t="shared" si="538"/>
        <v>0</v>
      </c>
      <c r="R3360" s="88" t="e">
        <f>-IF(Tabla14[[#This Row],[DIAS HABILES O MORA]]&lt;0,(Tabla14[[#This Row],[VALOR PRESTAMO]]*Tabla14[[#This Row],[% INTERES ]]/30*U3360))+Tabla14[[#This Row],[VALOR CUOTAS]]</f>
        <v>#VALUE!</v>
      </c>
      <c r="S3360" s="88">
        <f>-IF(Tabla14[[#This Row],[DIAS HABILES O MORA]]&lt;0,(Tabla14[[#This Row],[VALOR PRESTAMO]]*Tabla14[[#This Row],[% INTERES ]]/30*U3360))</f>
        <v>0</v>
      </c>
      <c r="T3360" s="53" t="e">
        <f>Tabla14[[#This Row],[DEUDA CAPITAL]]+Tabla14[[#This Row],[INTERES  CUOTA]]</f>
        <v>#NUM!</v>
      </c>
      <c r="U3360" s="61" t="str">
        <f t="shared" si="539"/>
        <v/>
      </c>
    </row>
    <row r="3361" spans="9:21" ht="24.75" customHeight="1" x14ac:dyDescent="0.35">
      <c r="I3361" s="42">
        <f t="shared" si="530"/>
        <v>0</v>
      </c>
      <c r="J3361" s="65" t="e">
        <f t="shared" si="531"/>
        <v>#NUM!</v>
      </c>
      <c r="K3361" s="83" t="e">
        <f t="shared" si="532"/>
        <v>#NUM!</v>
      </c>
      <c r="L3361" s="83">
        <f t="shared" si="533"/>
        <v>0</v>
      </c>
      <c r="M3361" s="110" t="str">
        <f t="shared" si="534"/>
        <v/>
      </c>
      <c r="N3361" s="51" t="str">
        <f t="shared" si="535"/>
        <v/>
      </c>
      <c r="O3361" s="52" t="str">
        <f t="shared" si="536"/>
        <v/>
      </c>
      <c r="P3361" s="88">
        <f t="shared" si="537"/>
        <v>0</v>
      </c>
      <c r="Q3361" s="88">
        <f t="shared" si="538"/>
        <v>0</v>
      </c>
      <c r="R3361" s="88" t="e">
        <f>-IF(Tabla14[[#This Row],[DIAS HABILES O MORA]]&lt;0,(Tabla14[[#This Row],[VALOR PRESTAMO]]*Tabla14[[#This Row],[% INTERES ]]/30*U3361))+Tabla14[[#This Row],[VALOR CUOTAS]]</f>
        <v>#VALUE!</v>
      </c>
      <c r="S3361" s="88">
        <f>-IF(Tabla14[[#This Row],[DIAS HABILES O MORA]]&lt;0,(Tabla14[[#This Row],[VALOR PRESTAMO]]*Tabla14[[#This Row],[% INTERES ]]/30*U3361))</f>
        <v>0</v>
      </c>
      <c r="T3361" s="53" t="e">
        <f>Tabla14[[#This Row],[DEUDA CAPITAL]]+Tabla14[[#This Row],[INTERES  CUOTA]]</f>
        <v>#NUM!</v>
      </c>
      <c r="U3361" s="61" t="str">
        <f t="shared" si="539"/>
        <v/>
      </c>
    </row>
    <row r="3362" spans="9:21" ht="24.75" customHeight="1" x14ac:dyDescent="0.35">
      <c r="I3362" s="42">
        <f t="shared" si="530"/>
        <v>0</v>
      </c>
      <c r="J3362" s="65" t="e">
        <f t="shared" si="531"/>
        <v>#NUM!</v>
      </c>
      <c r="K3362" s="83" t="e">
        <f t="shared" si="532"/>
        <v>#NUM!</v>
      </c>
      <c r="L3362" s="83">
        <f t="shared" si="533"/>
        <v>0</v>
      </c>
      <c r="M3362" s="110" t="str">
        <f t="shared" si="534"/>
        <v/>
      </c>
      <c r="N3362" s="51" t="str">
        <f t="shared" si="535"/>
        <v/>
      </c>
      <c r="O3362" s="52" t="str">
        <f t="shared" si="536"/>
        <v/>
      </c>
      <c r="P3362" s="88">
        <f t="shared" si="537"/>
        <v>0</v>
      </c>
      <c r="Q3362" s="88">
        <f t="shared" si="538"/>
        <v>0</v>
      </c>
      <c r="R3362" s="88" t="e">
        <f>-IF(Tabla14[[#This Row],[DIAS HABILES O MORA]]&lt;0,(Tabla14[[#This Row],[VALOR PRESTAMO]]*Tabla14[[#This Row],[% INTERES ]]/30*U3362))+Tabla14[[#This Row],[VALOR CUOTAS]]</f>
        <v>#VALUE!</v>
      </c>
      <c r="S3362" s="88">
        <f>-IF(Tabla14[[#This Row],[DIAS HABILES O MORA]]&lt;0,(Tabla14[[#This Row],[VALOR PRESTAMO]]*Tabla14[[#This Row],[% INTERES ]]/30*U3362))</f>
        <v>0</v>
      </c>
      <c r="T3362" s="53" t="e">
        <f>Tabla14[[#This Row],[DEUDA CAPITAL]]+Tabla14[[#This Row],[INTERES  CUOTA]]</f>
        <v>#NUM!</v>
      </c>
      <c r="U3362" s="61" t="str">
        <f t="shared" si="539"/>
        <v/>
      </c>
    </row>
    <row r="3363" spans="9:21" ht="24.75" customHeight="1" x14ac:dyDescent="0.35">
      <c r="I3363" s="42">
        <f t="shared" si="530"/>
        <v>0</v>
      </c>
      <c r="J3363" s="65" t="e">
        <f t="shared" si="531"/>
        <v>#NUM!</v>
      </c>
      <c r="K3363" s="83" t="e">
        <f t="shared" si="532"/>
        <v>#NUM!</v>
      </c>
      <c r="L3363" s="83">
        <f t="shared" si="533"/>
        <v>0</v>
      </c>
      <c r="M3363" s="110" t="str">
        <f t="shared" si="534"/>
        <v/>
      </c>
      <c r="N3363" s="51" t="str">
        <f t="shared" si="535"/>
        <v/>
      </c>
      <c r="O3363" s="52" t="str">
        <f t="shared" si="536"/>
        <v/>
      </c>
      <c r="P3363" s="88">
        <f t="shared" si="537"/>
        <v>0</v>
      </c>
      <c r="Q3363" s="88">
        <f t="shared" si="538"/>
        <v>0</v>
      </c>
      <c r="R3363" s="88" t="e">
        <f>-IF(Tabla14[[#This Row],[DIAS HABILES O MORA]]&lt;0,(Tabla14[[#This Row],[VALOR PRESTAMO]]*Tabla14[[#This Row],[% INTERES ]]/30*U3363))+Tabla14[[#This Row],[VALOR CUOTAS]]</f>
        <v>#VALUE!</v>
      </c>
      <c r="S3363" s="88">
        <f>-IF(Tabla14[[#This Row],[DIAS HABILES O MORA]]&lt;0,(Tabla14[[#This Row],[VALOR PRESTAMO]]*Tabla14[[#This Row],[% INTERES ]]/30*U3363))</f>
        <v>0</v>
      </c>
      <c r="T3363" s="53" t="e">
        <f>Tabla14[[#This Row],[DEUDA CAPITAL]]+Tabla14[[#This Row],[INTERES  CUOTA]]</f>
        <v>#NUM!</v>
      </c>
      <c r="U3363" s="61" t="str">
        <f t="shared" si="539"/>
        <v/>
      </c>
    </row>
    <row r="3364" spans="9:21" ht="24.75" customHeight="1" x14ac:dyDescent="0.35">
      <c r="I3364" s="42">
        <f t="shared" si="530"/>
        <v>0</v>
      </c>
      <c r="J3364" s="65" t="e">
        <f t="shared" si="531"/>
        <v>#NUM!</v>
      </c>
      <c r="K3364" s="83" t="e">
        <f t="shared" si="532"/>
        <v>#NUM!</v>
      </c>
      <c r="L3364" s="83">
        <f t="shared" si="533"/>
        <v>0</v>
      </c>
      <c r="M3364" s="110" t="str">
        <f t="shared" si="534"/>
        <v/>
      </c>
      <c r="N3364" s="51" t="str">
        <f t="shared" si="535"/>
        <v/>
      </c>
      <c r="O3364" s="52" t="str">
        <f t="shared" si="536"/>
        <v/>
      </c>
      <c r="P3364" s="88">
        <f t="shared" si="537"/>
        <v>0</v>
      </c>
      <c r="Q3364" s="88">
        <f t="shared" si="538"/>
        <v>0</v>
      </c>
      <c r="R3364" s="88" t="e">
        <f>-IF(Tabla14[[#This Row],[DIAS HABILES O MORA]]&lt;0,(Tabla14[[#This Row],[VALOR PRESTAMO]]*Tabla14[[#This Row],[% INTERES ]]/30*U3364))+Tabla14[[#This Row],[VALOR CUOTAS]]</f>
        <v>#VALUE!</v>
      </c>
      <c r="S3364" s="88">
        <f>-IF(Tabla14[[#This Row],[DIAS HABILES O MORA]]&lt;0,(Tabla14[[#This Row],[VALOR PRESTAMO]]*Tabla14[[#This Row],[% INTERES ]]/30*U3364))</f>
        <v>0</v>
      </c>
      <c r="T3364" s="53" t="e">
        <f>Tabla14[[#This Row],[DEUDA CAPITAL]]+Tabla14[[#This Row],[INTERES  CUOTA]]</f>
        <v>#NUM!</v>
      </c>
      <c r="U3364" s="61" t="str">
        <f t="shared" si="539"/>
        <v/>
      </c>
    </row>
    <row r="3365" spans="9:21" ht="24.75" customHeight="1" x14ac:dyDescent="0.35">
      <c r="I3365" s="42">
        <f t="shared" si="530"/>
        <v>0</v>
      </c>
      <c r="J3365" s="65" t="e">
        <f t="shared" si="531"/>
        <v>#NUM!</v>
      </c>
      <c r="K3365" s="83" t="e">
        <f t="shared" si="532"/>
        <v>#NUM!</v>
      </c>
      <c r="L3365" s="83">
        <f t="shared" si="533"/>
        <v>0</v>
      </c>
      <c r="M3365" s="110" t="str">
        <f t="shared" si="534"/>
        <v/>
      </c>
      <c r="N3365" s="51" t="str">
        <f t="shared" si="535"/>
        <v/>
      </c>
      <c r="O3365" s="52" t="str">
        <f t="shared" si="536"/>
        <v/>
      </c>
      <c r="P3365" s="88">
        <f t="shared" si="537"/>
        <v>0</v>
      </c>
      <c r="Q3365" s="88">
        <f t="shared" si="538"/>
        <v>0</v>
      </c>
      <c r="R3365" s="88" t="e">
        <f>-IF(Tabla14[[#This Row],[DIAS HABILES O MORA]]&lt;0,(Tabla14[[#This Row],[VALOR PRESTAMO]]*Tabla14[[#This Row],[% INTERES ]]/30*U3365))+Tabla14[[#This Row],[VALOR CUOTAS]]</f>
        <v>#VALUE!</v>
      </c>
      <c r="S3365" s="88">
        <f>-IF(Tabla14[[#This Row],[DIAS HABILES O MORA]]&lt;0,(Tabla14[[#This Row],[VALOR PRESTAMO]]*Tabla14[[#This Row],[% INTERES ]]/30*U3365))</f>
        <v>0</v>
      </c>
      <c r="T3365" s="53" t="e">
        <f>Tabla14[[#This Row],[DEUDA CAPITAL]]+Tabla14[[#This Row],[INTERES  CUOTA]]</f>
        <v>#NUM!</v>
      </c>
      <c r="U3365" s="61" t="str">
        <f t="shared" si="539"/>
        <v/>
      </c>
    </row>
    <row r="3366" spans="9:21" ht="24.75" customHeight="1" x14ac:dyDescent="0.35">
      <c r="I3366" s="42">
        <f t="shared" si="530"/>
        <v>0</v>
      </c>
      <c r="J3366" s="65" t="e">
        <f t="shared" si="531"/>
        <v>#NUM!</v>
      </c>
      <c r="K3366" s="83" t="e">
        <f t="shared" si="532"/>
        <v>#NUM!</v>
      </c>
      <c r="L3366" s="83">
        <f t="shared" si="533"/>
        <v>0</v>
      </c>
      <c r="M3366" s="110" t="str">
        <f t="shared" si="534"/>
        <v/>
      </c>
      <c r="N3366" s="51" t="str">
        <f t="shared" si="535"/>
        <v/>
      </c>
      <c r="O3366" s="52" t="str">
        <f t="shared" si="536"/>
        <v/>
      </c>
      <c r="P3366" s="88">
        <f t="shared" si="537"/>
        <v>0</v>
      </c>
      <c r="Q3366" s="88">
        <f t="shared" si="538"/>
        <v>0</v>
      </c>
      <c r="R3366" s="88" t="e">
        <f>-IF(Tabla14[[#This Row],[DIAS HABILES O MORA]]&lt;0,(Tabla14[[#This Row],[VALOR PRESTAMO]]*Tabla14[[#This Row],[% INTERES ]]/30*U3366))+Tabla14[[#This Row],[VALOR CUOTAS]]</f>
        <v>#VALUE!</v>
      </c>
      <c r="S3366" s="88">
        <f>-IF(Tabla14[[#This Row],[DIAS HABILES O MORA]]&lt;0,(Tabla14[[#This Row],[VALOR PRESTAMO]]*Tabla14[[#This Row],[% INTERES ]]/30*U3366))</f>
        <v>0</v>
      </c>
      <c r="T3366" s="53" t="e">
        <f>Tabla14[[#This Row],[DEUDA CAPITAL]]+Tabla14[[#This Row],[INTERES  CUOTA]]</f>
        <v>#NUM!</v>
      </c>
      <c r="U3366" s="61" t="str">
        <f t="shared" si="539"/>
        <v/>
      </c>
    </row>
    <row r="3367" spans="9:21" ht="24.75" customHeight="1" x14ac:dyDescent="0.35">
      <c r="I3367" s="42">
        <f t="shared" si="530"/>
        <v>0</v>
      </c>
      <c r="J3367" s="65" t="e">
        <f t="shared" si="531"/>
        <v>#NUM!</v>
      </c>
      <c r="K3367" s="83" t="e">
        <f t="shared" si="532"/>
        <v>#NUM!</v>
      </c>
      <c r="L3367" s="83">
        <f t="shared" si="533"/>
        <v>0</v>
      </c>
      <c r="M3367" s="110" t="str">
        <f t="shared" si="534"/>
        <v/>
      </c>
      <c r="N3367" s="51" t="str">
        <f t="shared" si="535"/>
        <v/>
      </c>
      <c r="O3367" s="52" t="str">
        <f t="shared" si="536"/>
        <v/>
      </c>
      <c r="P3367" s="88">
        <f t="shared" si="537"/>
        <v>0</v>
      </c>
      <c r="Q3367" s="88">
        <f t="shared" si="538"/>
        <v>0</v>
      </c>
      <c r="R3367" s="88" t="e">
        <f>-IF(Tabla14[[#This Row],[DIAS HABILES O MORA]]&lt;0,(Tabla14[[#This Row],[VALOR PRESTAMO]]*Tabla14[[#This Row],[% INTERES ]]/30*U3367))+Tabla14[[#This Row],[VALOR CUOTAS]]</f>
        <v>#VALUE!</v>
      </c>
      <c r="S3367" s="88">
        <f>-IF(Tabla14[[#This Row],[DIAS HABILES O MORA]]&lt;0,(Tabla14[[#This Row],[VALOR PRESTAMO]]*Tabla14[[#This Row],[% INTERES ]]/30*U3367))</f>
        <v>0</v>
      </c>
      <c r="T3367" s="53" t="e">
        <f>Tabla14[[#This Row],[DEUDA CAPITAL]]+Tabla14[[#This Row],[INTERES  CUOTA]]</f>
        <v>#NUM!</v>
      </c>
      <c r="U3367" s="61" t="str">
        <f t="shared" si="539"/>
        <v/>
      </c>
    </row>
    <row r="3368" spans="9:21" ht="24.75" customHeight="1" x14ac:dyDescent="0.35">
      <c r="I3368" s="42">
        <f t="shared" si="530"/>
        <v>0</v>
      </c>
      <c r="J3368" s="65" t="e">
        <f t="shared" si="531"/>
        <v>#NUM!</v>
      </c>
      <c r="K3368" s="83" t="e">
        <f t="shared" si="532"/>
        <v>#NUM!</v>
      </c>
      <c r="L3368" s="83">
        <f t="shared" si="533"/>
        <v>0</v>
      </c>
      <c r="M3368" s="110" t="str">
        <f t="shared" si="534"/>
        <v/>
      </c>
      <c r="N3368" s="51" t="str">
        <f t="shared" si="535"/>
        <v/>
      </c>
      <c r="O3368" s="52" t="str">
        <f t="shared" si="536"/>
        <v/>
      </c>
      <c r="P3368" s="88">
        <f t="shared" si="537"/>
        <v>0</v>
      </c>
      <c r="Q3368" s="88">
        <f t="shared" si="538"/>
        <v>0</v>
      </c>
      <c r="R3368" s="88" t="e">
        <f>-IF(Tabla14[[#This Row],[DIAS HABILES O MORA]]&lt;0,(Tabla14[[#This Row],[VALOR PRESTAMO]]*Tabla14[[#This Row],[% INTERES ]]/30*U3368))+Tabla14[[#This Row],[VALOR CUOTAS]]</f>
        <v>#VALUE!</v>
      </c>
      <c r="S3368" s="88">
        <f>-IF(Tabla14[[#This Row],[DIAS HABILES O MORA]]&lt;0,(Tabla14[[#This Row],[VALOR PRESTAMO]]*Tabla14[[#This Row],[% INTERES ]]/30*U3368))</f>
        <v>0</v>
      </c>
      <c r="T3368" s="53" t="e">
        <f>Tabla14[[#This Row],[DEUDA CAPITAL]]+Tabla14[[#This Row],[INTERES  CUOTA]]</f>
        <v>#NUM!</v>
      </c>
      <c r="U3368" s="61" t="str">
        <f t="shared" si="539"/>
        <v/>
      </c>
    </row>
    <row r="3369" spans="9:21" ht="24.75" customHeight="1" x14ac:dyDescent="0.35">
      <c r="I3369" s="42">
        <f t="shared" si="530"/>
        <v>0</v>
      </c>
      <c r="J3369" s="65" t="e">
        <f t="shared" si="531"/>
        <v>#NUM!</v>
      </c>
      <c r="K3369" s="83" t="e">
        <f t="shared" si="532"/>
        <v>#NUM!</v>
      </c>
      <c r="L3369" s="83">
        <f t="shared" si="533"/>
        <v>0</v>
      </c>
      <c r="M3369" s="110" t="str">
        <f t="shared" si="534"/>
        <v/>
      </c>
      <c r="N3369" s="51" t="str">
        <f t="shared" si="535"/>
        <v/>
      </c>
      <c r="O3369" s="52" t="str">
        <f t="shared" si="536"/>
        <v/>
      </c>
      <c r="P3369" s="88">
        <f t="shared" si="537"/>
        <v>0</v>
      </c>
      <c r="Q3369" s="88">
        <f t="shared" si="538"/>
        <v>0</v>
      </c>
      <c r="R3369" s="88" t="e">
        <f>-IF(Tabla14[[#This Row],[DIAS HABILES O MORA]]&lt;0,(Tabla14[[#This Row],[VALOR PRESTAMO]]*Tabla14[[#This Row],[% INTERES ]]/30*U3369))+Tabla14[[#This Row],[VALOR CUOTAS]]</f>
        <v>#VALUE!</v>
      </c>
      <c r="S3369" s="88">
        <f>-IF(Tabla14[[#This Row],[DIAS HABILES O MORA]]&lt;0,(Tabla14[[#This Row],[VALOR PRESTAMO]]*Tabla14[[#This Row],[% INTERES ]]/30*U3369))</f>
        <v>0</v>
      </c>
      <c r="T3369" s="53" t="e">
        <f>Tabla14[[#This Row],[DEUDA CAPITAL]]+Tabla14[[#This Row],[INTERES  CUOTA]]</f>
        <v>#NUM!</v>
      </c>
      <c r="U3369" s="61" t="str">
        <f t="shared" si="539"/>
        <v/>
      </c>
    </row>
    <row r="3370" spans="9:21" ht="24.75" customHeight="1" x14ac:dyDescent="0.35">
      <c r="I3370" s="42">
        <f t="shared" si="530"/>
        <v>0</v>
      </c>
      <c r="J3370" s="65" t="e">
        <f t="shared" si="531"/>
        <v>#NUM!</v>
      </c>
      <c r="K3370" s="83" t="e">
        <f t="shared" si="532"/>
        <v>#NUM!</v>
      </c>
      <c r="L3370" s="83">
        <f t="shared" si="533"/>
        <v>0</v>
      </c>
      <c r="M3370" s="110" t="str">
        <f t="shared" si="534"/>
        <v/>
      </c>
      <c r="N3370" s="51" t="str">
        <f t="shared" si="535"/>
        <v/>
      </c>
      <c r="O3370" s="52" t="str">
        <f t="shared" si="536"/>
        <v/>
      </c>
      <c r="P3370" s="88">
        <f t="shared" si="537"/>
        <v>0</v>
      </c>
      <c r="Q3370" s="88">
        <f t="shared" si="538"/>
        <v>0</v>
      </c>
      <c r="R3370" s="88" t="e">
        <f>-IF(Tabla14[[#This Row],[DIAS HABILES O MORA]]&lt;0,(Tabla14[[#This Row],[VALOR PRESTAMO]]*Tabla14[[#This Row],[% INTERES ]]/30*U3370))+Tabla14[[#This Row],[VALOR CUOTAS]]</f>
        <v>#VALUE!</v>
      </c>
      <c r="S3370" s="88">
        <f>-IF(Tabla14[[#This Row],[DIAS HABILES O MORA]]&lt;0,(Tabla14[[#This Row],[VALOR PRESTAMO]]*Tabla14[[#This Row],[% INTERES ]]/30*U3370))</f>
        <v>0</v>
      </c>
      <c r="T3370" s="53" t="e">
        <f>Tabla14[[#This Row],[DEUDA CAPITAL]]+Tabla14[[#This Row],[INTERES  CUOTA]]</f>
        <v>#NUM!</v>
      </c>
      <c r="U3370" s="61" t="str">
        <f t="shared" si="539"/>
        <v/>
      </c>
    </row>
    <row r="3371" spans="9:21" ht="24.75" customHeight="1" x14ac:dyDescent="0.35">
      <c r="I3371" s="42">
        <f t="shared" si="530"/>
        <v>0</v>
      </c>
      <c r="J3371" s="65" t="e">
        <f t="shared" si="531"/>
        <v>#NUM!</v>
      </c>
      <c r="K3371" s="83" t="e">
        <f t="shared" si="532"/>
        <v>#NUM!</v>
      </c>
      <c r="L3371" s="83">
        <f t="shared" si="533"/>
        <v>0</v>
      </c>
      <c r="M3371" s="110" t="str">
        <f t="shared" si="534"/>
        <v/>
      </c>
      <c r="N3371" s="51" t="str">
        <f t="shared" si="535"/>
        <v/>
      </c>
      <c r="O3371" s="52" t="str">
        <f t="shared" si="536"/>
        <v/>
      </c>
      <c r="P3371" s="88">
        <f t="shared" si="537"/>
        <v>0</v>
      </c>
      <c r="Q3371" s="88">
        <f t="shared" si="538"/>
        <v>0</v>
      </c>
      <c r="R3371" s="88" t="e">
        <f>-IF(Tabla14[[#This Row],[DIAS HABILES O MORA]]&lt;0,(Tabla14[[#This Row],[VALOR PRESTAMO]]*Tabla14[[#This Row],[% INTERES ]]/30*U3371))+Tabla14[[#This Row],[VALOR CUOTAS]]</f>
        <v>#VALUE!</v>
      </c>
      <c r="S3371" s="88">
        <f>-IF(Tabla14[[#This Row],[DIAS HABILES O MORA]]&lt;0,(Tabla14[[#This Row],[VALOR PRESTAMO]]*Tabla14[[#This Row],[% INTERES ]]/30*U3371))</f>
        <v>0</v>
      </c>
      <c r="T3371" s="53" t="e">
        <f>Tabla14[[#This Row],[DEUDA CAPITAL]]+Tabla14[[#This Row],[INTERES  CUOTA]]</f>
        <v>#NUM!</v>
      </c>
      <c r="U3371" s="61" t="str">
        <f t="shared" si="539"/>
        <v/>
      </c>
    </row>
    <row r="3372" spans="9:21" ht="24.75" customHeight="1" x14ac:dyDescent="0.35">
      <c r="I3372" s="42">
        <f t="shared" si="530"/>
        <v>0</v>
      </c>
      <c r="J3372" s="65" t="e">
        <f t="shared" si="531"/>
        <v>#NUM!</v>
      </c>
      <c r="K3372" s="83" t="e">
        <f t="shared" si="532"/>
        <v>#NUM!</v>
      </c>
      <c r="L3372" s="83">
        <f t="shared" si="533"/>
        <v>0</v>
      </c>
      <c r="M3372" s="110" t="str">
        <f t="shared" si="534"/>
        <v/>
      </c>
      <c r="N3372" s="51" t="str">
        <f t="shared" si="535"/>
        <v/>
      </c>
      <c r="O3372" s="52" t="str">
        <f t="shared" si="536"/>
        <v/>
      </c>
      <c r="P3372" s="88">
        <f t="shared" si="537"/>
        <v>0</v>
      </c>
      <c r="Q3372" s="88">
        <f t="shared" si="538"/>
        <v>0</v>
      </c>
      <c r="R3372" s="88" t="e">
        <f>-IF(Tabla14[[#This Row],[DIAS HABILES O MORA]]&lt;0,(Tabla14[[#This Row],[VALOR PRESTAMO]]*Tabla14[[#This Row],[% INTERES ]]/30*U3372))+Tabla14[[#This Row],[VALOR CUOTAS]]</f>
        <v>#VALUE!</v>
      </c>
      <c r="S3372" s="88">
        <f>-IF(Tabla14[[#This Row],[DIAS HABILES O MORA]]&lt;0,(Tabla14[[#This Row],[VALOR PRESTAMO]]*Tabla14[[#This Row],[% INTERES ]]/30*U3372))</f>
        <v>0</v>
      </c>
      <c r="T3372" s="53" t="e">
        <f>Tabla14[[#This Row],[DEUDA CAPITAL]]+Tabla14[[#This Row],[INTERES  CUOTA]]</f>
        <v>#NUM!</v>
      </c>
      <c r="U3372" s="61" t="str">
        <f t="shared" si="539"/>
        <v/>
      </c>
    </row>
    <row r="3373" spans="9:21" ht="24.75" customHeight="1" x14ac:dyDescent="0.35">
      <c r="I3373" s="42">
        <f t="shared" si="530"/>
        <v>0</v>
      </c>
      <c r="J3373" s="65" t="e">
        <f t="shared" si="531"/>
        <v>#NUM!</v>
      </c>
      <c r="K3373" s="83" t="e">
        <f t="shared" si="532"/>
        <v>#NUM!</v>
      </c>
      <c r="L3373" s="83">
        <f t="shared" si="533"/>
        <v>0</v>
      </c>
      <c r="M3373" s="110" t="str">
        <f t="shared" si="534"/>
        <v/>
      </c>
      <c r="N3373" s="51" t="str">
        <f t="shared" si="535"/>
        <v/>
      </c>
      <c r="O3373" s="52" t="str">
        <f t="shared" si="536"/>
        <v/>
      </c>
      <c r="P3373" s="88">
        <f t="shared" si="537"/>
        <v>0</v>
      </c>
      <c r="Q3373" s="88">
        <f t="shared" si="538"/>
        <v>0</v>
      </c>
      <c r="R3373" s="88" t="e">
        <f>-IF(Tabla14[[#This Row],[DIAS HABILES O MORA]]&lt;0,(Tabla14[[#This Row],[VALOR PRESTAMO]]*Tabla14[[#This Row],[% INTERES ]]/30*U3373))+Tabla14[[#This Row],[VALOR CUOTAS]]</f>
        <v>#VALUE!</v>
      </c>
      <c r="S3373" s="88">
        <f>-IF(Tabla14[[#This Row],[DIAS HABILES O MORA]]&lt;0,(Tabla14[[#This Row],[VALOR PRESTAMO]]*Tabla14[[#This Row],[% INTERES ]]/30*U3373))</f>
        <v>0</v>
      </c>
      <c r="T3373" s="53" t="e">
        <f>Tabla14[[#This Row],[DEUDA CAPITAL]]+Tabla14[[#This Row],[INTERES  CUOTA]]</f>
        <v>#NUM!</v>
      </c>
      <c r="U3373" s="61" t="str">
        <f t="shared" si="539"/>
        <v/>
      </c>
    </row>
    <row r="3374" spans="9:21" ht="24.75" customHeight="1" x14ac:dyDescent="0.35">
      <c r="I3374" s="42">
        <f t="shared" si="530"/>
        <v>0</v>
      </c>
      <c r="J3374" s="65" t="e">
        <f t="shared" si="531"/>
        <v>#NUM!</v>
      </c>
      <c r="K3374" s="83" t="e">
        <f t="shared" si="532"/>
        <v>#NUM!</v>
      </c>
      <c r="L3374" s="83">
        <f t="shared" si="533"/>
        <v>0</v>
      </c>
      <c r="M3374" s="110" t="str">
        <f t="shared" si="534"/>
        <v/>
      </c>
      <c r="N3374" s="51" t="str">
        <f t="shared" si="535"/>
        <v/>
      </c>
      <c r="O3374" s="52" t="str">
        <f t="shared" si="536"/>
        <v/>
      </c>
      <c r="P3374" s="88">
        <f t="shared" si="537"/>
        <v>0</v>
      </c>
      <c r="Q3374" s="88">
        <f t="shared" si="538"/>
        <v>0</v>
      </c>
      <c r="R3374" s="88" t="e">
        <f>-IF(Tabla14[[#This Row],[DIAS HABILES O MORA]]&lt;0,(Tabla14[[#This Row],[VALOR PRESTAMO]]*Tabla14[[#This Row],[% INTERES ]]/30*U3374))+Tabla14[[#This Row],[VALOR CUOTAS]]</f>
        <v>#VALUE!</v>
      </c>
      <c r="S3374" s="88">
        <f>-IF(Tabla14[[#This Row],[DIAS HABILES O MORA]]&lt;0,(Tabla14[[#This Row],[VALOR PRESTAMO]]*Tabla14[[#This Row],[% INTERES ]]/30*U3374))</f>
        <v>0</v>
      </c>
      <c r="T3374" s="53" t="e">
        <f>Tabla14[[#This Row],[DEUDA CAPITAL]]+Tabla14[[#This Row],[INTERES  CUOTA]]</f>
        <v>#NUM!</v>
      </c>
      <c r="U3374" s="61" t="str">
        <f t="shared" si="539"/>
        <v/>
      </c>
    </row>
    <row r="3375" spans="9:21" ht="24.75" customHeight="1" x14ac:dyDescent="0.35">
      <c r="I3375" s="42">
        <f t="shared" si="530"/>
        <v>0</v>
      </c>
      <c r="J3375" s="65" t="e">
        <f t="shared" si="531"/>
        <v>#NUM!</v>
      </c>
      <c r="K3375" s="83" t="e">
        <f t="shared" si="532"/>
        <v>#NUM!</v>
      </c>
      <c r="L3375" s="83">
        <f t="shared" si="533"/>
        <v>0</v>
      </c>
      <c r="M3375" s="110" t="str">
        <f t="shared" si="534"/>
        <v/>
      </c>
      <c r="N3375" s="51" t="str">
        <f t="shared" si="535"/>
        <v/>
      </c>
      <c r="O3375" s="52" t="str">
        <f t="shared" si="536"/>
        <v/>
      </c>
      <c r="P3375" s="88">
        <f t="shared" si="537"/>
        <v>0</v>
      </c>
      <c r="Q3375" s="88">
        <f t="shared" si="538"/>
        <v>0</v>
      </c>
      <c r="R3375" s="88" t="e">
        <f>-IF(Tabla14[[#This Row],[DIAS HABILES O MORA]]&lt;0,(Tabla14[[#This Row],[VALOR PRESTAMO]]*Tabla14[[#This Row],[% INTERES ]]/30*U3375))+Tabla14[[#This Row],[VALOR CUOTAS]]</f>
        <v>#VALUE!</v>
      </c>
      <c r="S3375" s="88">
        <f>-IF(Tabla14[[#This Row],[DIAS HABILES O MORA]]&lt;0,(Tabla14[[#This Row],[VALOR PRESTAMO]]*Tabla14[[#This Row],[% INTERES ]]/30*U3375))</f>
        <v>0</v>
      </c>
      <c r="T3375" s="53" t="e">
        <f>Tabla14[[#This Row],[DEUDA CAPITAL]]+Tabla14[[#This Row],[INTERES  CUOTA]]</f>
        <v>#NUM!</v>
      </c>
      <c r="U3375" s="61" t="str">
        <f t="shared" si="539"/>
        <v/>
      </c>
    </row>
    <row r="3376" spans="9:21" ht="24.75" customHeight="1" x14ac:dyDescent="0.35">
      <c r="I3376" s="42">
        <f t="shared" si="530"/>
        <v>0</v>
      </c>
      <c r="J3376" s="65" t="e">
        <f t="shared" si="531"/>
        <v>#NUM!</v>
      </c>
      <c r="K3376" s="83" t="e">
        <f t="shared" si="532"/>
        <v>#NUM!</v>
      </c>
      <c r="L3376" s="83">
        <f t="shared" si="533"/>
        <v>0</v>
      </c>
      <c r="M3376" s="110" t="str">
        <f t="shared" si="534"/>
        <v/>
      </c>
      <c r="N3376" s="51" t="str">
        <f t="shared" si="535"/>
        <v/>
      </c>
      <c r="O3376" s="52" t="str">
        <f t="shared" si="536"/>
        <v/>
      </c>
      <c r="P3376" s="88">
        <f t="shared" si="537"/>
        <v>0</v>
      </c>
      <c r="Q3376" s="88">
        <f t="shared" si="538"/>
        <v>0</v>
      </c>
      <c r="R3376" s="88" t="e">
        <f>-IF(Tabla14[[#This Row],[DIAS HABILES O MORA]]&lt;0,(Tabla14[[#This Row],[VALOR PRESTAMO]]*Tabla14[[#This Row],[% INTERES ]]/30*U3376))+Tabla14[[#This Row],[VALOR CUOTAS]]</f>
        <v>#VALUE!</v>
      </c>
      <c r="S3376" s="88">
        <f>-IF(Tabla14[[#This Row],[DIAS HABILES O MORA]]&lt;0,(Tabla14[[#This Row],[VALOR PRESTAMO]]*Tabla14[[#This Row],[% INTERES ]]/30*U3376))</f>
        <v>0</v>
      </c>
      <c r="T3376" s="53" t="e">
        <f>Tabla14[[#This Row],[DEUDA CAPITAL]]+Tabla14[[#This Row],[INTERES  CUOTA]]</f>
        <v>#NUM!</v>
      </c>
      <c r="U3376" s="61" t="str">
        <f t="shared" si="539"/>
        <v/>
      </c>
    </row>
    <row r="3377" spans="9:21" ht="24.75" customHeight="1" x14ac:dyDescent="0.35">
      <c r="I3377" s="42">
        <f t="shared" si="530"/>
        <v>0</v>
      </c>
      <c r="J3377" s="65" t="e">
        <f t="shared" si="531"/>
        <v>#NUM!</v>
      </c>
      <c r="K3377" s="83" t="e">
        <f t="shared" si="532"/>
        <v>#NUM!</v>
      </c>
      <c r="L3377" s="83">
        <f t="shared" si="533"/>
        <v>0</v>
      </c>
      <c r="M3377" s="110" t="str">
        <f t="shared" si="534"/>
        <v/>
      </c>
      <c r="N3377" s="51" t="str">
        <f t="shared" si="535"/>
        <v/>
      </c>
      <c r="O3377" s="52" t="str">
        <f t="shared" si="536"/>
        <v/>
      </c>
      <c r="P3377" s="88">
        <f t="shared" si="537"/>
        <v>0</v>
      </c>
      <c r="Q3377" s="88">
        <f t="shared" si="538"/>
        <v>0</v>
      </c>
      <c r="R3377" s="88" t="e">
        <f>-IF(Tabla14[[#This Row],[DIAS HABILES O MORA]]&lt;0,(Tabla14[[#This Row],[VALOR PRESTAMO]]*Tabla14[[#This Row],[% INTERES ]]/30*U3377))+Tabla14[[#This Row],[VALOR CUOTAS]]</f>
        <v>#VALUE!</v>
      </c>
      <c r="S3377" s="88">
        <f>-IF(Tabla14[[#This Row],[DIAS HABILES O MORA]]&lt;0,(Tabla14[[#This Row],[VALOR PRESTAMO]]*Tabla14[[#This Row],[% INTERES ]]/30*U3377))</f>
        <v>0</v>
      </c>
      <c r="T3377" s="53" t="e">
        <f>Tabla14[[#This Row],[DEUDA CAPITAL]]+Tabla14[[#This Row],[INTERES  CUOTA]]</f>
        <v>#NUM!</v>
      </c>
      <c r="U3377" s="61" t="str">
        <f t="shared" si="539"/>
        <v/>
      </c>
    </row>
    <row r="3378" spans="9:21" ht="24.75" customHeight="1" x14ac:dyDescent="0.35">
      <c r="I3378" s="42">
        <f t="shared" si="530"/>
        <v>0</v>
      </c>
      <c r="J3378" s="65" t="e">
        <f t="shared" si="531"/>
        <v>#NUM!</v>
      </c>
      <c r="K3378" s="83" t="e">
        <f t="shared" si="532"/>
        <v>#NUM!</v>
      </c>
      <c r="L3378" s="83">
        <f t="shared" si="533"/>
        <v>0</v>
      </c>
      <c r="M3378" s="110" t="str">
        <f t="shared" si="534"/>
        <v/>
      </c>
      <c r="N3378" s="51" t="str">
        <f t="shared" si="535"/>
        <v/>
      </c>
      <c r="O3378" s="52" t="str">
        <f t="shared" si="536"/>
        <v/>
      </c>
      <c r="P3378" s="88">
        <f t="shared" si="537"/>
        <v>0</v>
      </c>
      <c r="Q3378" s="88">
        <f t="shared" si="538"/>
        <v>0</v>
      </c>
      <c r="R3378" s="88" t="e">
        <f>-IF(Tabla14[[#This Row],[DIAS HABILES O MORA]]&lt;0,(Tabla14[[#This Row],[VALOR PRESTAMO]]*Tabla14[[#This Row],[% INTERES ]]/30*U3378))+Tabla14[[#This Row],[VALOR CUOTAS]]</f>
        <v>#VALUE!</v>
      </c>
      <c r="S3378" s="88">
        <f>-IF(Tabla14[[#This Row],[DIAS HABILES O MORA]]&lt;0,(Tabla14[[#This Row],[VALOR PRESTAMO]]*Tabla14[[#This Row],[% INTERES ]]/30*U3378))</f>
        <v>0</v>
      </c>
      <c r="T3378" s="53" t="e">
        <f>Tabla14[[#This Row],[DEUDA CAPITAL]]+Tabla14[[#This Row],[INTERES  CUOTA]]</f>
        <v>#NUM!</v>
      </c>
      <c r="U3378" s="61" t="str">
        <f t="shared" si="539"/>
        <v/>
      </c>
    </row>
    <row r="3379" spans="9:21" ht="24.75" customHeight="1" x14ac:dyDescent="0.35">
      <c r="I3379" s="42">
        <f t="shared" si="530"/>
        <v>0</v>
      </c>
      <c r="J3379" s="65" t="e">
        <f t="shared" si="531"/>
        <v>#NUM!</v>
      </c>
      <c r="K3379" s="83" t="e">
        <f t="shared" si="532"/>
        <v>#NUM!</v>
      </c>
      <c r="L3379" s="83">
        <f t="shared" si="533"/>
        <v>0</v>
      </c>
      <c r="M3379" s="110" t="str">
        <f t="shared" si="534"/>
        <v/>
      </c>
      <c r="N3379" s="51" t="str">
        <f t="shared" si="535"/>
        <v/>
      </c>
      <c r="O3379" s="52" t="str">
        <f t="shared" si="536"/>
        <v/>
      </c>
      <c r="P3379" s="88">
        <f t="shared" si="537"/>
        <v>0</v>
      </c>
      <c r="Q3379" s="88">
        <f t="shared" si="538"/>
        <v>0</v>
      </c>
      <c r="R3379" s="88" t="e">
        <f>-IF(Tabla14[[#This Row],[DIAS HABILES O MORA]]&lt;0,(Tabla14[[#This Row],[VALOR PRESTAMO]]*Tabla14[[#This Row],[% INTERES ]]/30*U3379))+Tabla14[[#This Row],[VALOR CUOTAS]]</f>
        <v>#VALUE!</v>
      </c>
      <c r="S3379" s="88">
        <f>-IF(Tabla14[[#This Row],[DIAS HABILES O MORA]]&lt;0,(Tabla14[[#This Row],[VALOR PRESTAMO]]*Tabla14[[#This Row],[% INTERES ]]/30*U3379))</f>
        <v>0</v>
      </c>
      <c r="T3379" s="53" t="e">
        <f>Tabla14[[#This Row],[DEUDA CAPITAL]]+Tabla14[[#This Row],[INTERES  CUOTA]]</f>
        <v>#NUM!</v>
      </c>
      <c r="U3379" s="61" t="str">
        <f t="shared" si="539"/>
        <v/>
      </c>
    </row>
    <row r="3380" spans="9:21" ht="24.75" customHeight="1" x14ac:dyDescent="0.35">
      <c r="I3380" s="42">
        <f t="shared" si="530"/>
        <v>0</v>
      </c>
      <c r="J3380" s="65" t="e">
        <f t="shared" si="531"/>
        <v>#NUM!</v>
      </c>
      <c r="K3380" s="83" t="e">
        <f t="shared" si="532"/>
        <v>#NUM!</v>
      </c>
      <c r="L3380" s="83">
        <f t="shared" si="533"/>
        <v>0</v>
      </c>
      <c r="M3380" s="110" t="str">
        <f t="shared" si="534"/>
        <v/>
      </c>
      <c r="N3380" s="51" t="str">
        <f t="shared" si="535"/>
        <v/>
      </c>
      <c r="O3380" s="52" t="str">
        <f t="shared" si="536"/>
        <v/>
      </c>
      <c r="P3380" s="88">
        <f t="shared" si="537"/>
        <v>0</v>
      </c>
      <c r="Q3380" s="88">
        <f t="shared" si="538"/>
        <v>0</v>
      </c>
      <c r="R3380" s="88" t="e">
        <f>-IF(Tabla14[[#This Row],[DIAS HABILES O MORA]]&lt;0,(Tabla14[[#This Row],[VALOR PRESTAMO]]*Tabla14[[#This Row],[% INTERES ]]/30*U3380))+Tabla14[[#This Row],[VALOR CUOTAS]]</f>
        <v>#VALUE!</v>
      </c>
      <c r="S3380" s="88">
        <f>-IF(Tabla14[[#This Row],[DIAS HABILES O MORA]]&lt;0,(Tabla14[[#This Row],[VALOR PRESTAMO]]*Tabla14[[#This Row],[% INTERES ]]/30*U3380))</f>
        <v>0</v>
      </c>
      <c r="T3380" s="53" t="e">
        <f>Tabla14[[#This Row],[DEUDA CAPITAL]]+Tabla14[[#This Row],[INTERES  CUOTA]]</f>
        <v>#NUM!</v>
      </c>
      <c r="U3380" s="61" t="str">
        <f t="shared" si="539"/>
        <v/>
      </c>
    </row>
    <row r="3381" spans="9:21" ht="24.75" customHeight="1" x14ac:dyDescent="0.35">
      <c r="I3381" s="42">
        <f t="shared" si="530"/>
        <v>0</v>
      </c>
      <c r="J3381" s="65" t="e">
        <f t="shared" si="531"/>
        <v>#NUM!</v>
      </c>
      <c r="K3381" s="83" t="e">
        <f t="shared" si="532"/>
        <v>#NUM!</v>
      </c>
      <c r="L3381" s="83">
        <f t="shared" si="533"/>
        <v>0</v>
      </c>
      <c r="M3381" s="110" t="str">
        <f t="shared" si="534"/>
        <v/>
      </c>
      <c r="N3381" s="51" t="str">
        <f t="shared" si="535"/>
        <v/>
      </c>
      <c r="O3381" s="52" t="str">
        <f t="shared" si="536"/>
        <v/>
      </c>
      <c r="P3381" s="88">
        <f t="shared" si="537"/>
        <v>0</v>
      </c>
      <c r="Q3381" s="88">
        <f t="shared" si="538"/>
        <v>0</v>
      </c>
      <c r="R3381" s="88" t="e">
        <f>-IF(Tabla14[[#This Row],[DIAS HABILES O MORA]]&lt;0,(Tabla14[[#This Row],[VALOR PRESTAMO]]*Tabla14[[#This Row],[% INTERES ]]/30*U3381))+Tabla14[[#This Row],[VALOR CUOTAS]]</f>
        <v>#VALUE!</v>
      </c>
      <c r="S3381" s="88">
        <f>-IF(Tabla14[[#This Row],[DIAS HABILES O MORA]]&lt;0,(Tabla14[[#This Row],[VALOR PRESTAMO]]*Tabla14[[#This Row],[% INTERES ]]/30*U3381))</f>
        <v>0</v>
      </c>
      <c r="T3381" s="53" t="e">
        <f>Tabla14[[#This Row],[DEUDA CAPITAL]]+Tabla14[[#This Row],[INTERES  CUOTA]]</f>
        <v>#NUM!</v>
      </c>
      <c r="U3381" s="61" t="str">
        <f t="shared" si="539"/>
        <v/>
      </c>
    </row>
    <row r="3382" spans="9:21" ht="24.75" customHeight="1" x14ac:dyDescent="0.35">
      <c r="I3382" s="42">
        <f t="shared" si="530"/>
        <v>0</v>
      </c>
      <c r="J3382" s="65" t="e">
        <f t="shared" si="531"/>
        <v>#NUM!</v>
      </c>
      <c r="K3382" s="83" t="e">
        <f t="shared" si="532"/>
        <v>#NUM!</v>
      </c>
      <c r="L3382" s="83">
        <f t="shared" si="533"/>
        <v>0</v>
      </c>
      <c r="M3382" s="110" t="str">
        <f t="shared" si="534"/>
        <v/>
      </c>
      <c r="N3382" s="51" t="str">
        <f t="shared" si="535"/>
        <v/>
      </c>
      <c r="O3382" s="52" t="str">
        <f t="shared" si="536"/>
        <v/>
      </c>
      <c r="P3382" s="88">
        <f t="shared" si="537"/>
        <v>0</v>
      </c>
      <c r="Q3382" s="88">
        <f t="shared" si="538"/>
        <v>0</v>
      </c>
      <c r="R3382" s="88" t="e">
        <f>-IF(Tabla14[[#This Row],[DIAS HABILES O MORA]]&lt;0,(Tabla14[[#This Row],[VALOR PRESTAMO]]*Tabla14[[#This Row],[% INTERES ]]/30*U3382))+Tabla14[[#This Row],[VALOR CUOTAS]]</f>
        <v>#VALUE!</v>
      </c>
      <c r="S3382" s="88">
        <f>-IF(Tabla14[[#This Row],[DIAS HABILES O MORA]]&lt;0,(Tabla14[[#This Row],[VALOR PRESTAMO]]*Tabla14[[#This Row],[% INTERES ]]/30*U3382))</f>
        <v>0</v>
      </c>
      <c r="T3382" s="53" t="e">
        <f>Tabla14[[#This Row],[DEUDA CAPITAL]]+Tabla14[[#This Row],[INTERES  CUOTA]]</f>
        <v>#NUM!</v>
      </c>
      <c r="U3382" s="61" t="str">
        <f t="shared" si="539"/>
        <v/>
      </c>
    </row>
    <row r="3383" spans="9:21" ht="24.75" customHeight="1" x14ac:dyDescent="0.35">
      <c r="I3383" s="42">
        <f t="shared" si="530"/>
        <v>0</v>
      </c>
      <c r="J3383" s="65" t="e">
        <f t="shared" si="531"/>
        <v>#NUM!</v>
      </c>
      <c r="K3383" s="83" t="e">
        <f t="shared" si="532"/>
        <v>#NUM!</v>
      </c>
      <c r="L3383" s="83">
        <f t="shared" si="533"/>
        <v>0</v>
      </c>
      <c r="M3383" s="110" t="str">
        <f t="shared" si="534"/>
        <v/>
      </c>
      <c r="N3383" s="51" t="str">
        <f t="shared" si="535"/>
        <v/>
      </c>
      <c r="O3383" s="52" t="str">
        <f t="shared" si="536"/>
        <v/>
      </c>
      <c r="P3383" s="88">
        <f t="shared" si="537"/>
        <v>0</v>
      </c>
      <c r="Q3383" s="88">
        <f t="shared" si="538"/>
        <v>0</v>
      </c>
      <c r="R3383" s="88" t="e">
        <f>-IF(Tabla14[[#This Row],[DIAS HABILES O MORA]]&lt;0,(Tabla14[[#This Row],[VALOR PRESTAMO]]*Tabla14[[#This Row],[% INTERES ]]/30*U3383))+Tabla14[[#This Row],[VALOR CUOTAS]]</f>
        <v>#VALUE!</v>
      </c>
      <c r="S3383" s="88">
        <f>-IF(Tabla14[[#This Row],[DIAS HABILES O MORA]]&lt;0,(Tabla14[[#This Row],[VALOR PRESTAMO]]*Tabla14[[#This Row],[% INTERES ]]/30*U3383))</f>
        <v>0</v>
      </c>
      <c r="T3383" s="53" t="e">
        <f>Tabla14[[#This Row],[DEUDA CAPITAL]]+Tabla14[[#This Row],[INTERES  CUOTA]]</f>
        <v>#NUM!</v>
      </c>
      <c r="U3383" s="61" t="str">
        <f t="shared" si="539"/>
        <v/>
      </c>
    </row>
    <row r="3384" spans="9:21" ht="24.75" customHeight="1" x14ac:dyDescent="0.35">
      <c r="I3384" s="42">
        <f t="shared" si="530"/>
        <v>0</v>
      </c>
      <c r="J3384" s="65" t="e">
        <f t="shared" si="531"/>
        <v>#NUM!</v>
      </c>
      <c r="K3384" s="83" t="e">
        <f t="shared" si="532"/>
        <v>#NUM!</v>
      </c>
      <c r="L3384" s="83">
        <f t="shared" si="533"/>
        <v>0</v>
      </c>
      <c r="M3384" s="110" t="str">
        <f t="shared" si="534"/>
        <v/>
      </c>
      <c r="N3384" s="51" t="str">
        <f t="shared" si="535"/>
        <v/>
      </c>
      <c r="O3384" s="52" t="str">
        <f t="shared" si="536"/>
        <v/>
      </c>
      <c r="P3384" s="88">
        <f t="shared" si="537"/>
        <v>0</v>
      </c>
      <c r="Q3384" s="88">
        <f t="shared" si="538"/>
        <v>0</v>
      </c>
      <c r="R3384" s="88" t="e">
        <f>-IF(Tabla14[[#This Row],[DIAS HABILES O MORA]]&lt;0,(Tabla14[[#This Row],[VALOR PRESTAMO]]*Tabla14[[#This Row],[% INTERES ]]/30*U3384))+Tabla14[[#This Row],[VALOR CUOTAS]]</f>
        <v>#VALUE!</v>
      </c>
      <c r="S3384" s="88">
        <f>-IF(Tabla14[[#This Row],[DIAS HABILES O MORA]]&lt;0,(Tabla14[[#This Row],[VALOR PRESTAMO]]*Tabla14[[#This Row],[% INTERES ]]/30*U3384))</f>
        <v>0</v>
      </c>
      <c r="T3384" s="53" t="e">
        <f>Tabla14[[#This Row],[DEUDA CAPITAL]]+Tabla14[[#This Row],[INTERES  CUOTA]]</f>
        <v>#NUM!</v>
      </c>
      <c r="U3384" s="61" t="str">
        <f t="shared" si="539"/>
        <v/>
      </c>
    </row>
    <row r="3385" spans="9:21" ht="24.75" customHeight="1" x14ac:dyDescent="0.35">
      <c r="I3385" s="42">
        <f t="shared" si="530"/>
        <v>0</v>
      </c>
      <c r="J3385" s="65" t="e">
        <f t="shared" si="531"/>
        <v>#NUM!</v>
      </c>
      <c r="K3385" s="83" t="e">
        <f t="shared" si="532"/>
        <v>#NUM!</v>
      </c>
      <c r="L3385" s="83">
        <f t="shared" si="533"/>
        <v>0</v>
      </c>
      <c r="M3385" s="110" t="str">
        <f t="shared" si="534"/>
        <v/>
      </c>
      <c r="N3385" s="51" t="str">
        <f t="shared" si="535"/>
        <v/>
      </c>
      <c r="O3385" s="52" t="str">
        <f t="shared" si="536"/>
        <v/>
      </c>
      <c r="P3385" s="88">
        <f t="shared" si="537"/>
        <v>0</v>
      </c>
      <c r="Q3385" s="88">
        <f t="shared" si="538"/>
        <v>0</v>
      </c>
      <c r="R3385" s="88" t="e">
        <f>-IF(Tabla14[[#This Row],[DIAS HABILES O MORA]]&lt;0,(Tabla14[[#This Row],[VALOR PRESTAMO]]*Tabla14[[#This Row],[% INTERES ]]/30*U3385))+Tabla14[[#This Row],[VALOR CUOTAS]]</f>
        <v>#VALUE!</v>
      </c>
      <c r="S3385" s="88">
        <f>-IF(Tabla14[[#This Row],[DIAS HABILES O MORA]]&lt;0,(Tabla14[[#This Row],[VALOR PRESTAMO]]*Tabla14[[#This Row],[% INTERES ]]/30*U3385))</f>
        <v>0</v>
      </c>
      <c r="T3385" s="53" t="e">
        <f>Tabla14[[#This Row],[DEUDA CAPITAL]]+Tabla14[[#This Row],[INTERES  CUOTA]]</f>
        <v>#NUM!</v>
      </c>
      <c r="U3385" s="61" t="str">
        <f t="shared" si="539"/>
        <v/>
      </c>
    </row>
    <row r="3386" spans="9:21" ht="24.75" customHeight="1" x14ac:dyDescent="0.35">
      <c r="I3386" s="42">
        <f t="shared" si="530"/>
        <v>0</v>
      </c>
      <c r="J3386" s="65" t="e">
        <f t="shared" si="531"/>
        <v>#NUM!</v>
      </c>
      <c r="K3386" s="83" t="e">
        <f t="shared" si="532"/>
        <v>#NUM!</v>
      </c>
      <c r="L3386" s="83">
        <f t="shared" si="533"/>
        <v>0</v>
      </c>
      <c r="M3386" s="110" t="str">
        <f t="shared" si="534"/>
        <v/>
      </c>
      <c r="N3386" s="51" t="str">
        <f t="shared" si="535"/>
        <v/>
      </c>
      <c r="O3386" s="52" t="str">
        <f t="shared" si="536"/>
        <v/>
      </c>
      <c r="P3386" s="88">
        <f t="shared" si="537"/>
        <v>0</v>
      </c>
      <c r="Q3386" s="88">
        <f t="shared" si="538"/>
        <v>0</v>
      </c>
      <c r="R3386" s="88" t="e">
        <f>-IF(Tabla14[[#This Row],[DIAS HABILES O MORA]]&lt;0,(Tabla14[[#This Row],[VALOR PRESTAMO]]*Tabla14[[#This Row],[% INTERES ]]/30*U3386))+Tabla14[[#This Row],[VALOR CUOTAS]]</f>
        <v>#VALUE!</v>
      </c>
      <c r="S3386" s="88">
        <f>-IF(Tabla14[[#This Row],[DIAS HABILES O MORA]]&lt;0,(Tabla14[[#This Row],[VALOR PRESTAMO]]*Tabla14[[#This Row],[% INTERES ]]/30*U3386))</f>
        <v>0</v>
      </c>
      <c r="T3386" s="53" t="e">
        <f>Tabla14[[#This Row],[DEUDA CAPITAL]]+Tabla14[[#This Row],[INTERES  CUOTA]]</f>
        <v>#NUM!</v>
      </c>
      <c r="U3386" s="61" t="str">
        <f t="shared" si="539"/>
        <v/>
      </c>
    </row>
    <row r="3387" spans="9:21" ht="24.75" customHeight="1" x14ac:dyDescent="0.35">
      <c r="I3387" s="42">
        <f t="shared" si="530"/>
        <v>0</v>
      </c>
      <c r="J3387" s="65" t="e">
        <f t="shared" si="531"/>
        <v>#NUM!</v>
      </c>
      <c r="K3387" s="83" t="e">
        <f t="shared" si="532"/>
        <v>#NUM!</v>
      </c>
      <c r="L3387" s="83">
        <f t="shared" si="533"/>
        <v>0</v>
      </c>
      <c r="M3387" s="110" t="str">
        <f t="shared" si="534"/>
        <v/>
      </c>
      <c r="N3387" s="51" t="str">
        <f t="shared" si="535"/>
        <v/>
      </c>
      <c r="O3387" s="52" t="str">
        <f t="shared" si="536"/>
        <v/>
      </c>
      <c r="P3387" s="88">
        <f t="shared" si="537"/>
        <v>0</v>
      </c>
      <c r="Q3387" s="88">
        <f t="shared" si="538"/>
        <v>0</v>
      </c>
      <c r="R3387" s="88" t="e">
        <f>-IF(Tabla14[[#This Row],[DIAS HABILES O MORA]]&lt;0,(Tabla14[[#This Row],[VALOR PRESTAMO]]*Tabla14[[#This Row],[% INTERES ]]/30*U3387))+Tabla14[[#This Row],[VALOR CUOTAS]]</f>
        <v>#VALUE!</v>
      </c>
      <c r="S3387" s="88">
        <f>-IF(Tabla14[[#This Row],[DIAS HABILES O MORA]]&lt;0,(Tabla14[[#This Row],[VALOR PRESTAMO]]*Tabla14[[#This Row],[% INTERES ]]/30*U3387))</f>
        <v>0</v>
      </c>
      <c r="T3387" s="53" t="e">
        <f>Tabla14[[#This Row],[DEUDA CAPITAL]]+Tabla14[[#This Row],[INTERES  CUOTA]]</f>
        <v>#NUM!</v>
      </c>
      <c r="U3387" s="61" t="str">
        <f t="shared" si="539"/>
        <v/>
      </c>
    </row>
    <row r="3388" spans="9:21" ht="24.75" customHeight="1" x14ac:dyDescent="0.35">
      <c r="I3388" s="42">
        <f t="shared" si="530"/>
        <v>0</v>
      </c>
      <c r="J3388" s="65" t="e">
        <f t="shared" si="531"/>
        <v>#NUM!</v>
      </c>
      <c r="K3388" s="83" t="e">
        <f t="shared" si="532"/>
        <v>#NUM!</v>
      </c>
      <c r="L3388" s="83">
        <f t="shared" si="533"/>
        <v>0</v>
      </c>
      <c r="M3388" s="110" t="str">
        <f t="shared" si="534"/>
        <v/>
      </c>
      <c r="N3388" s="51" t="str">
        <f t="shared" si="535"/>
        <v/>
      </c>
      <c r="O3388" s="52" t="str">
        <f t="shared" si="536"/>
        <v/>
      </c>
      <c r="P3388" s="88">
        <f t="shared" si="537"/>
        <v>0</v>
      </c>
      <c r="Q3388" s="88">
        <f t="shared" si="538"/>
        <v>0</v>
      </c>
      <c r="R3388" s="88" t="e">
        <f>-IF(Tabla14[[#This Row],[DIAS HABILES O MORA]]&lt;0,(Tabla14[[#This Row],[VALOR PRESTAMO]]*Tabla14[[#This Row],[% INTERES ]]/30*U3388))+Tabla14[[#This Row],[VALOR CUOTAS]]</f>
        <v>#VALUE!</v>
      </c>
      <c r="S3388" s="88">
        <f>-IF(Tabla14[[#This Row],[DIAS HABILES O MORA]]&lt;0,(Tabla14[[#This Row],[VALOR PRESTAMO]]*Tabla14[[#This Row],[% INTERES ]]/30*U3388))</f>
        <v>0</v>
      </c>
      <c r="T3388" s="53" t="e">
        <f>Tabla14[[#This Row],[DEUDA CAPITAL]]+Tabla14[[#This Row],[INTERES  CUOTA]]</f>
        <v>#NUM!</v>
      </c>
      <c r="U3388" s="61" t="str">
        <f t="shared" si="539"/>
        <v/>
      </c>
    </row>
    <row r="3389" spans="9:21" ht="24.75" customHeight="1" x14ac:dyDescent="0.35">
      <c r="I3389" s="42">
        <f t="shared" si="530"/>
        <v>0</v>
      </c>
      <c r="J3389" s="65" t="e">
        <f t="shared" si="531"/>
        <v>#NUM!</v>
      </c>
      <c r="K3389" s="83" t="e">
        <f t="shared" si="532"/>
        <v>#NUM!</v>
      </c>
      <c r="L3389" s="83">
        <f t="shared" si="533"/>
        <v>0</v>
      </c>
      <c r="M3389" s="110" t="str">
        <f t="shared" si="534"/>
        <v/>
      </c>
      <c r="N3389" s="51" t="str">
        <f t="shared" si="535"/>
        <v/>
      </c>
      <c r="O3389" s="52" t="str">
        <f t="shared" si="536"/>
        <v/>
      </c>
      <c r="P3389" s="88">
        <f t="shared" si="537"/>
        <v>0</v>
      </c>
      <c r="Q3389" s="88">
        <f t="shared" si="538"/>
        <v>0</v>
      </c>
      <c r="R3389" s="88" t="e">
        <f>-IF(Tabla14[[#This Row],[DIAS HABILES O MORA]]&lt;0,(Tabla14[[#This Row],[VALOR PRESTAMO]]*Tabla14[[#This Row],[% INTERES ]]/30*U3389))+Tabla14[[#This Row],[VALOR CUOTAS]]</f>
        <v>#VALUE!</v>
      </c>
      <c r="S3389" s="88">
        <f>-IF(Tabla14[[#This Row],[DIAS HABILES O MORA]]&lt;0,(Tabla14[[#This Row],[VALOR PRESTAMO]]*Tabla14[[#This Row],[% INTERES ]]/30*U3389))</f>
        <v>0</v>
      </c>
      <c r="T3389" s="53" t="e">
        <f>Tabla14[[#This Row],[DEUDA CAPITAL]]+Tabla14[[#This Row],[INTERES  CUOTA]]</f>
        <v>#NUM!</v>
      </c>
      <c r="U3389" s="61" t="str">
        <f t="shared" si="539"/>
        <v/>
      </c>
    </row>
    <row r="3390" spans="9:21" ht="24.75" customHeight="1" x14ac:dyDescent="0.35">
      <c r="I3390" s="42">
        <f t="shared" si="530"/>
        <v>0</v>
      </c>
      <c r="J3390" s="65" t="e">
        <f t="shared" si="531"/>
        <v>#NUM!</v>
      </c>
      <c r="K3390" s="83" t="e">
        <f t="shared" si="532"/>
        <v>#NUM!</v>
      </c>
      <c r="L3390" s="83">
        <f t="shared" si="533"/>
        <v>0</v>
      </c>
      <c r="M3390" s="110" t="str">
        <f t="shared" si="534"/>
        <v/>
      </c>
      <c r="N3390" s="51" t="str">
        <f t="shared" si="535"/>
        <v/>
      </c>
      <c r="O3390" s="52" t="str">
        <f t="shared" si="536"/>
        <v/>
      </c>
      <c r="P3390" s="88">
        <f t="shared" si="537"/>
        <v>0</v>
      </c>
      <c r="Q3390" s="88">
        <f t="shared" si="538"/>
        <v>0</v>
      </c>
      <c r="R3390" s="88" t="e">
        <f>-IF(Tabla14[[#This Row],[DIAS HABILES O MORA]]&lt;0,(Tabla14[[#This Row],[VALOR PRESTAMO]]*Tabla14[[#This Row],[% INTERES ]]/30*U3390))+Tabla14[[#This Row],[VALOR CUOTAS]]</f>
        <v>#VALUE!</v>
      </c>
      <c r="S3390" s="88">
        <f>-IF(Tabla14[[#This Row],[DIAS HABILES O MORA]]&lt;0,(Tabla14[[#This Row],[VALOR PRESTAMO]]*Tabla14[[#This Row],[% INTERES ]]/30*U3390))</f>
        <v>0</v>
      </c>
      <c r="T3390" s="53" t="e">
        <f>Tabla14[[#This Row],[DEUDA CAPITAL]]+Tabla14[[#This Row],[INTERES  CUOTA]]</f>
        <v>#NUM!</v>
      </c>
      <c r="U3390" s="61" t="str">
        <f t="shared" si="539"/>
        <v/>
      </c>
    </row>
    <row r="3391" spans="9:21" ht="24.75" customHeight="1" x14ac:dyDescent="0.35">
      <c r="I3391" s="42">
        <f t="shared" si="530"/>
        <v>0</v>
      </c>
      <c r="J3391" s="65" t="e">
        <f t="shared" si="531"/>
        <v>#NUM!</v>
      </c>
      <c r="K3391" s="83" t="e">
        <f t="shared" si="532"/>
        <v>#NUM!</v>
      </c>
      <c r="L3391" s="83">
        <f t="shared" si="533"/>
        <v>0</v>
      </c>
      <c r="M3391" s="110" t="str">
        <f t="shared" si="534"/>
        <v/>
      </c>
      <c r="N3391" s="51" t="str">
        <f t="shared" si="535"/>
        <v/>
      </c>
      <c r="O3391" s="52" t="str">
        <f t="shared" si="536"/>
        <v/>
      </c>
      <c r="P3391" s="88">
        <f t="shared" si="537"/>
        <v>0</v>
      </c>
      <c r="Q3391" s="88">
        <f t="shared" si="538"/>
        <v>0</v>
      </c>
      <c r="R3391" s="88" t="e">
        <f>-IF(Tabla14[[#This Row],[DIAS HABILES O MORA]]&lt;0,(Tabla14[[#This Row],[VALOR PRESTAMO]]*Tabla14[[#This Row],[% INTERES ]]/30*U3391))+Tabla14[[#This Row],[VALOR CUOTAS]]</f>
        <v>#VALUE!</v>
      </c>
      <c r="S3391" s="88">
        <f>-IF(Tabla14[[#This Row],[DIAS HABILES O MORA]]&lt;0,(Tabla14[[#This Row],[VALOR PRESTAMO]]*Tabla14[[#This Row],[% INTERES ]]/30*U3391))</f>
        <v>0</v>
      </c>
      <c r="T3391" s="53" t="e">
        <f>Tabla14[[#This Row],[DEUDA CAPITAL]]+Tabla14[[#This Row],[INTERES  CUOTA]]</f>
        <v>#NUM!</v>
      </c>
      <c r="U3391" s="61" t="str">
        <f t="shared" si="539"/>
        <v/>
      </c>
    </row>
    <row r="3392" spans="9:21" ht="24.75" customHeight="1" x14ac:dyDescent="0.35">
      <c r="I3392" s="42">
        <f t="shared" si="530"/>
        <v>0</v>
      </c>
      <c r="J3392" s="65" t="e">
        <f t="shared" si="531"/>
        <v>#NUM!</v>
      </c>
      <c r="K3392" s="83" t="e">
        <f t="shared" si="532"/>
        <v>#NUM!</v>
      </c>
      <c r="L3392" s="83">
        <f t="shared" si="533"/>
        <v>0</v>
      </c>
      <c r="M3392" s="110" t="str">
        <f t="shared" si="534"/>
        <v/>
      </c>
      <c r="N3392" s="51" t="str">
        <f t="shared" si="535"/>
        <v/>
      </c>
      <c r="O3392" s="52" t="str">
        <f t="shared" si="536"/>
        <v/>
      </c>
      <c r="P3392" s="88">
        <f t="shared" si="537"/>
        <v>0</v>
      </c>
      <c r="Q3392" s="88">
        <f t="shared" si="538"/>
        <v>0</v>
      </c>
      <c r="R3392" s="88" t="e">
        <f>-IF(Tabla14[[#This Row],[DIAS HABILES O MORA]]&lt;0,(Tabla14[[#This Row],[VALOR PRESTAMO]]*Tabla14[[#This Row],[% INTERES ]]/30*U3392))+Tabla14[[#This Row],[VALOR CUOTAS]]</f>
        <v>#VALUE!</v>
      </c>
      <c r="S3392" s="88">
        <f>-IF(Tabla14[[#This Row],[DIAS HABILES O MORA]]&lt;0,(Tabla14[[#This Row],[VALOR PRESTAMO]]*Tabla14[[#This Row],[% INTERES ]]/30*U3392))</f>
        <v>0</v>
      </c>
      <c r="T3392" s="53" t="e">
        <f>Tabla14[[#This Row],[DEUDA CAPITAL]]+Tabla14[[#This Row],[INTERES  CUOTA]]</f>
        <v>#NUM!</v>
      </c>
      <c r="U3392" s="61" t="str">
        <f t="shared" si="539"/>
        <v/>
      </c>
    </row>
    <row r="3393" spans="9:21" ht="24.75" customHeight="1" x14ac:dyDescent="0.35">
      <c r="I3393" s="42">
        <f t="shared" si="530"/>
        <v>0</v>
      </c>
      <c r="J3393" s="65" t="e">
        <f t="shared" si="531"/>
        <v>#NUM!</v>
      </c>
      <c r="K3393" s="83" t="e">
        <f t="shared" si="532"/>
        <v>#NUM!</v>
      </c>
      <c r="L3393" s="83">
        <f t="shared" si="533"/>
        <v>0</v>
      </c>
      <c r="M3393" s="110" t="str">
        <f t="shared" si="534"/>
        <v/>
      </c>
      <c r="N3393" s="51" t="str">
        <f t="shared" si="535"/>
        <v/>
      </c>
      <c r="O3393" s="52" t="str">
        <f t="shared" si="536"/>
        <v/>
      </c>
      <c r="P3393" s="88">
        <f t="shared" si="537"/>
        <v>0</v>
      </c>
      <c r="Q3393" s="88">
        <f t="shared" si="538"/>
        <v>0</v>
      </c>
      <c r="R3393" s="88" t="e">
        <f>-IF(Tabla14[[#This Row],[DIAS HABILES O MORA]]&lt;0,(Tabla14[[#This Row],[VALOR PRESTAMO]]*Tabla14[[#This Row],[% INTERES ]]/30*U3393))+Tabla14[[#This Row],[VALOR CUOTAS]]</f>
        <v>#VALUE!</v>
      </c>
      <c r="S3393" s="88">
        <f>-IF(Tabla14[[#This Row],[DIAS HABILES O MORA]]&lt;0,(Tabla14[[#This Row],[VALOR PRESTAMO]]*Tabla14[[#This Row],[% INTERES ]]/30*U3393))</f>
        <v>0</v>
      </c>
      <c r="T3393" s="53" t="e">
        <f>Tabla14[[#This Row],[DEUDA CAPITAL]]+Tabla14[[#This Row],[INTERES  CUOTA]]</f>
        <v>#NUM!</v>
      </c>
      <c r="U3393" s="61" t="str">
        <f t="shared" si="539"/>
        <v/>
      </c>
    </row>
    <row r="3394" spans="9:21" ht="24.75" customHeight="1" x14ac:dyDescent="0.35">
      <c r="I3394" s="42">
        <f t="shared" si="530"/>
        <v>0</v>
      </c>
      <c r="J3394" s="65" t="e">
        <f t="shared" si="531"/>
        <v>#NUM!</v>
      </c>
      <c r="K3394" s="83" t="e">
        <f t="shared" si="532"/>
        <v>#NUM!</v>
      </c>
      <c r="L3394" s="83">
        <f t="shared" si="533"/>
        <v>0</v>
      </c>
      <c r="M3394" s="110" t="str">
        <f t="shared" si="534"/>
        <v/>
      </c>
      <c r="N3394" s="51" t="str">
        <f t="shared" si="535"/>
        <v/>
      </c>
      <c r="O3394" s="52" t="str">
        <f t="shared" si="536"/>
        <v/>
      </c>
      <c r="P3394" s="88">
        <f t="shared" si="537"/>
        <v>0</v>
      </c>
      <c r="Q3394" s="88">
        <f t="shared" si="538"/>
        <v>0</v>
      </c>
      <c r="R3394" s="88" t="e">
        <f>-IF(Tabla14[[#This Row],[DIAS HABILES O MORA]]&lt;0,(Tabla14[[#This Row],[VALOR PRESTAMO]]*Tabla14[[#This Row],[% INTERES ]]/30*U3394))+Tabla14[[#This Row],[VALOR CUOTAS]]</f>
        <v>#VALUE!</v>
      </c>
      <c r="S3394" s="88">
        <f>-IF(Tabla14[[#This Row],[DIAS HABILES O MORA]]&lt;0,(Tabla14[[#This Row],[VALOR PRESTAMO]]*Tabla14[[#This Row],[% INTERES ]]/30*U3394))</f>
        <v>0</v>
      </c>
      <c r="T3394" s="53" t="e">
        <f>Tabla14[[#This Row],[DEUDA CAPITAL]]+Tabla14[[#This Row],[INTERES  CUOTA]]</f>
        <v>#NUM!</v>
      </c>
      <c r="U3394" s="61" t="str">
        <f t="shared" si="539"/>
        <v/>
      </c>
    </row>
    <row r="3395" spans="9:21" ht="24.75" customHeight="1" x14ac:dyDescent="0.35">
      <c r="I3395" s="42">
        <f t="shared" si="530"/>
        <v>0</v>
      </c>
      <c r="J3395" s="65" t="e">
        <f t="shared" si="531"/>
        <v>#NUM!</v>
      </c>
      <c r="K3395" s="83" t="e">
        <f t="shared" si="532"/>
        <v>#NUM!</v>
      </c>
      <c r="L3395" s="83">
        <f t="shared" si="533"/>
        <v>0</v>
      </c>
      <c r="M3395" s="110" t="str">
        <f t="shared" si="534"/>
        <v/>
      </c>
      <c r="N3395" s="51" t="str">
        <f t="shared" si="535"/>
        <v/>
      </c>
      <c r="O3395" s="52" t="str">
        <f t="shared" si="536"/>
        <v/>
      </c>
      <c r="P3395" s="88">
        <f t="shared" si="537"/>
        <v>0</v>
      </c>
      <c r="Q3395" s="88">
        <f t="shared" si="538"/>
        <v>0</v>
      </c>
      <c r="R3395" s="88" t="e">
        <f>-IF(Tabla14[[#This Row],[DIAS HABILES O MORA]]&lt;0,(Tabla14[[#This Row],[VALOR PRESTAMO]]*Tabla14[[#This Row],[% INTERES ]]/30*U3395))+Tabla14[[#This Row],[VALOR CUOTAS]]</f>
        <v>#VALUE!</v>
      </c>
      <c r="S3395" s="88">
        <f>-IF(Tabla14[[#This Row],[DIAS HABILES O MORA]]&lt;0,(Tabla14[[#This Row],[VALOR PRESTAMO]]*Tabla14[[#This Row],[% INTERES ]]/30*U3395))</f>
        <v>0</v>
      </c>
      <c r="T3395" s="53" t="e">
        <f>Tabla14[[#This Row],[DEUDA CAPITAL]]+Tabla14[[#This Row],[INTERES  CUOTA]]</f>
        <v>#NUM!</v>
      </c>
      <c r="U3395" s="61" t="str">
        <f t="shared" si="539"/>
        <v/>
      </c>
    </row>
    <row r="3396" spans="9:21" ht="24.75" customHeight="1" x14ac:dyDescent="0.35">
      <c r="I3396" s="42">
        <f t="shared" si="530"/>
        <v>0</v>
      </c>
      <c r="J3396" s="65" t="e">
        <f t="shared" si="531"/>
        <v>#NUM!</v>
      </c>
      <c r="K3396" s="83" t="e">
        <f t="shared" si="532"/>
        <v>#NUM!</v>
      </c>
      <c r="L3396" s="83">
        <f t="shared" si="533"/>
        <v>0</v>
      </c>
      <c r="M3396" s="110" t="str">
        <f t="shared" si="534"/>
        <v/>
      </c>
      <c r="N3396" s="51" t="str">
        <f t="shared" si="535"/>
        <v/>
      </c>
      <c r="O3396" s="52" t="str">
        <f t="shared" si="536"/>
        <v/>
      </c>
      <c r="P3396" s="88">
        <f t="shared" si="537"/>
        <v>0</v>
      </c>
      <c r="Q3396" s="88">
        <f t="shared" si="538"/>
        <v>0</v>
      </c>
      <c r="R3396" s="88" t="e">
        <f>-IF(Tabla14[[#This Row],[DIAS HABILES O MORA]]&lt;0,(Tabla14[[#This Row],[VALOR PRESTAMO]]*Tabla14[[#This Row],[% INTERES ]]/30*U3396))+Tabla14[[#This Row],[VALOR CUOTAS]]</f>
        <v>#VALUE!</v>
      </c>
      <c r="S3396" s="88">
        <f>-IF(Tabla14[[#This Row],[DIAS HABILES O MORA]]&lt;0,(Tabla14[[#This Row],[VALOR PRESTAMO]]*Tabla14[[#This Row],[% INTERES ]]/30*U3396))</f>
        <v>0</v>
      </c>
      <c r="T3396" s="53" t="e">
        <f>Tabla14[[#This Row],[DEUDA CAPITAL]]+Tabla14[[#This Row],[INTERES  CUOTA]]</f>
        <v>#NUM!</v>
      </c>
      <c r="U3396" s="61" t="str">
        <f t="shared" si="539"/>
        <v/>
      </c>
    </row>
    <row r="3397" spans="9:21" ht="24.75" customHeight="1" x14ac:dyDescent="0.35">
      <c r="I3397" s="42">
        <f t="shared" si="530"/>
        <v>0</v>
      </c>
      <c r="J3397" s="65" t="e">
        <f t="shared" si="531"/>
        <v>#NUM!</v>
      </c>
      <c r="K3397" s="83" t="e">
        <f t="shared" si="532"/>
        <v>#NUM!</v>
      </c>
      <c r="L3397" s="83">
        <f t="shared" si="533"/>
        <v>0</v>
      </c>
      <c r="M3397" s="110" t="str">
        <f t="shared" si="534"/>
        <v/>
      </c>
      <c r="N3397" s="51" t="str">
        <f t="shared" si="535"/>
        <v/>
      </c>
      <c r="O3397" s="52" t="str">
        <f t="shared" si="536"/>
        <v/>
      </c>
      <c r="P3397" s="88">
        <f t="shared" si="537"/>
        <v>0</v>
      </c>
      <c r="Q3397" s="88">
        <f t="shared" si="538"/>
        <v>0</v>
      </c>
      <c r="R3397" s="88" t="e">
        <f>-IF(Tabla14[[#This Row],[DIAS HABILES O MORA]]&lt;0,(Tabla14[[#This Row],[VALOR PRESTAMO]]*Tabla14[[#This Row],[% INTERES ]]/30*U3397))+Tabla14[[#This Row],[VALOR CUOTAS]]</f>
        <v>#VALUE!</v>
      </c>
      <c r="S3397" s="88">
        <f>-IF(Tabla14[[#This Row],[DIAS HABILES O MORA]]&lt;0,(Tabla14[[#This Row],[VALOR PRESTAMO]]*Tabla14[[#This Row],[% INTERES ]]/30*U3397))</f>
        <v>0</v>
      </c>
      <c r="T3397" s="53" t="e">
        <f>Tabla14[[#This Row],[DEUDA CAPITAL]]+Tabla14[[#This Row],[INTERES  CUOTA]]</f>
        <v>#NUM!</v>
      </c>
      <c r="U3397" s="61" t="str">
        <f t="shared" si="539"/>
        <v/>
      </c>
    </row>
    <row r="3398" spans="9:21" ht="24.75" customHeight="1" x14ac:dyDescent="0.35">
      <c r="I3398" s="42">
        <f t="shared" si="530"/>
        <v>0</v>
      </c>
      <c r="J3398" s="65" t="e">
        <f t="shared" si="531"/>
        <v>#NUM!</v>
      </c>
      <c r="K3398" s="83" t="e">
        <f t="shared" si="532"/>
        <v>#NUM!</v>
      </c>
      <c r="L3398" s="83">
        <f t="shared" si="533"/>
        <v>0</v>
      </c>
      <c r="M3398" s="110" t="str">
        <f t="shared" si="534"/>
        <v/>
      </c>
      <c r="N3398" s="51" t="str">
        <f t="shared" si="535"/>
        <v/>
      </c>
      <c r="O3398" s="52" t="str">
        <f t="shared" si="536"/>
        <v/>
      </c>
      <c r="P3398" s="88">
        <f t="shared" si="537"/>
        <v>0</v>
      </c>
      <c r="Q3398" s="88">
        <f t="shared" si="538"/>
        <v>0</v>
      </c>
      <c r="R3398" s="88" t="e">
        <f>-IF(Tabla14[[#This Row],[DIAS HABILES O MORA]]&lt;0,(Tabla14[[#This Row],[VALOR PRESTAMO]]*Tabla14[[#This Row],[% INTERES ]]/30*U3398))+Tabla14[[#This Row],[VALOR CUOTAS]]</f>
        <v>#VALUE!</v>
      </c>
      <c r="S3398" s="88">
        <f>-IF(Tabla14[[#This Row],[DIAS HABILES O MORA]]&lt;0,(Tabla14[[#This Row],[VALOR PRESTAMO]]*Tabla14[[#This Row],[% INTERES ]]/30*U3398))</f>
        <v>0</v>
      </c>
      <c r="T3398" s="53" t="e">
        <f>Tabla14[[#This Row],[DEUDA CAPITAL]]+Tabla14[[#This Row],[INTERES  CUOTA]]</f>
        <v>#NUM!</v>
      </c>
      <c r="U3398" s="61" t="str">
        <f t="shared" si="539"/>
        <v/>
      </c>
    </row>
    <row r="3399" spans="9:21" ht="24.75" customHeight="1" x14ac:dyDescent="0.35">
      <c r="I3399" s="42">
        <f t="shared" si="530"/>
        <v>0</v>
      </c>
      <c r="J3399" s="65" t="e">
        <f t="shared" si="531"/>
        <v>#NUM!</v>
      </c>
      <c r="K3399" s="83" t="e">
        <f t="shared" si="532"/>
        <v>#NUM!</v>
      </c>
      <c r="L3399" s="83">
        <f t="shared" si="533"/>
        <v>0</v>
      </c>
      <c r="M3399" s="110" t="str">
        <f t="shared" si="534"/>
        <v/>
      </c>
      <c r="N3399" s="51" t="str">
        <f t="shared" si="535"/>
        <v/>
      </c>
      <c r="O3399" s="52" t="str">
        <f t="shared" si="536"/>
        <v/>
      </c>
      <c r="P3399" s="88">
        <f t="shared" si="537"/>
        <v>0</v>
      </c>
      <c r="Q3399" s="88">
        <f t="shared" si="538"/>
        <v>0</v>
      </c>
      <c r="R3399" s="88" t="e">
        <f>-IF(Tabla14[[#This Row],[DIAS HABILES O MORA]]&lt;0,(Tabla14[[#This Row],[VALOR PRESTAMO]]*Tabla14[[#This Row],[% INTERES ]]/30*U3399))+Tabla14[[#This Row],[VALOR CUOTAS]]</f>
        <v>#VALUE!</v>
      </c>
      <c r="S3399" s="88">
        <f>-IF(Tabla14[[#This Row],[DIAS HABILES O MORA]]&lt;0,(Tabla14[[#This Row],[VALOR PRESTAMO]]*Tabla14[[#This Row],[% INTERES ]]/30*U3399))</f>
        <v>0</v>
      </c>
      <c r="T3399" s="53" t="e">
        <f>Tabla14[[#This Row],[DEUDA CAPITAL]]+Tabla14[[#This Row],[INTERES  CUOTA]]</f>
        <v>#NUM!</v>
      </c>
      <c r="U3399" s="61" t="str">
        <f t="shared" si="539"/>
        <v/>
      </c>
    </row>
    <row r="3400" spans="9:21" ht="24.75" customHeight="1" x14ac:dyDescent="0.35">
      <c r="I3400" s="42">
        <f t="shared" si="530"/>
        <v>0</v>
      </c>
      <c r="J3400" s="65" t="e">
        <f t="shared" si="531"/>
        <v>#NUM!</v>
      </c>
      <c r="K3400" s="83" t="e">
        <f t="shared" si="532"/>
        <v>#NUM!</v>
      </c>
      <c r="L3400" s="83">
        <f t="shared" si="533"/>
        <v>0</v>
      </c>
      <c r="M3400" s="110" t="str">
        <f t="shared" si="534"/>
        <v/>
      </c>
      <c r="N3400" s="51" t="str">
        <f t="shared" si="535"/>
        <v/>
      </c>
      <c r="O3400" s="52" t="str">
        <f t="shared" si="536"/>
        <v/>
      </c>
      <c r="P3400" s="88">
        <f t="shared" si="537"/>
        <v>0</v>
      </c>
      <c r="Q3400" s="88">
        <f t="shared" si="538"/>
        <v>0</v>
      </c>
      <c r="R3400" s="88" t="e">
        <f>-IF(Tabla14[[#This Row],[DIAS HABILES O MORA]]&lt;0,(Tabla14[[#This Row],[VALOR PRESTAMO]]*Tabla14[[#This Row],[% INTERES ]]/30*U3400))+Tabla14[[#This Row],[VALOR CUOTAS]]</f>
        <v>#VALUE!</v>
      </c>
      <c r="S3400" s="88">
        <f>-IF(Tabla14[[#This Row],[DIAS HABILES O MORA]]&lt;0,(Tabla14[[#This Row],[VALOR PRESTAMO]]*Tabla14[[#This Row],[% INTERES ]]/30*U3400))</f>
        <v>0</v>
      </c>
      <c r="T3400" s="53" t="e">
        <f>Tabla14[[#This Row],[DEUDA CAPITAL]]+Tabla14[[#This Row],[INTERES  CUOTA]]</f>
        <v>#NUM!</v>
      </c>
      <c r="U3400" s="61" t="str">
        <f t="shared" si="539"/>
        <v/>
      </c>
    </row>
    <row r="3401" spans="9:21" ht="24.75" customHeight="1" x14ac:dyDescent="0.35">
      <c r="I3401" s="42">
        <f t="shared" si="530"/>
        <v>0</v>
      </c>
      <c r="J3401" s="65" t="e">
        <f t="shared" si="531"/>
        <v>#NUM!</v>
      </c>
      <c r="K3401" s="83" t="e">
        <f t="shared" si="532"/>
        <v>#NUM!</v>
      </c>
      <c r="L3401" s="83">
        <f t="shared" si="533"/>
        <v>0</v>
      </c>
      <c r="M3401" s="110" t="str">
        <f t="shared" si="534"/>
        <v/>
      </c>
      <c r="N3401" s="51" t="str">
        <f t="shared" si="535"/>
        <v/>
      </c>
      <c r="O3401" s="52" t="str">
        <f t="shared" si="536"/>
        <v/>
      </c>
      <c r="P3401" s="88">
        <f t="shared" si="537"/>
        <v>0</v>
      </c>
      <c r="Q3401" s="88">
        <f t="shared" si="538"/>
        <v>0</v>
      </c>
      <c r="R3401" s="88" t="e">
        <f>-IF(Tabla14[[#This Row],[DIAS HABILES O MORA]]&lt;0,(Tabla14[[#This Row],[VALOR PRESTAMO]]*Tabla14[[#This Row],[% INTERES ]]/30*U3401))+Tabla14[[#This Row],[VALOR CUOTAS]]</f>
        <v>#VALUE!</v>
      </c>
      <c r="S3401" s="88">
        <f>-IF(Tabla14[[#This Row],[DIAS HABILES O MORA]]&lt;0,(Tabla14[[#This Row],[VALOR PRESTAMO]]*Tabla14[[#This Row],[% INTERES ]]/30*U3401))</f>
        <v>0</v>
      </c>
      <c r="T3401" s="53" t="e">
        <f>Tabla14[[#This Row],[DEUDA CAPITAL]]+Tabla14[[#This Row],[INTERES  CUOTA]]</f>
        <v>#NUM!</v>
      </c>
      <c r="U3401" s="61" t="str">
        <f t="shared" si="539"/>
        <v/>
      </c>
    </row>
    <row r="3402" spans="9:21" ht="24.75" customHeight="1" x14ac:dyDescent="0.35">
      <c r="I3402" s="42">
        <f t="shared" si="530"/>
        <v>0</v>
      </c>
      <c r="J3402" s="65" t="e">
        <f t="shared" si="531"/>
        <v>#NUM!</v>
      </c>
      <c r="K3402" s="83" t="e">
        <f t="shared" si="532"/>
        <v>#NUM!</v>
      </c>
      <c r="L3402" s="83">
        <f t="shared" si="533"/>
        <v>0</v>
      </c>
      <c r="M3402" s="110" t="str">
        <f t="shared" si="534"/>
        <v/>
      </c>
      <c r="N3402" s="51" t="str">
        <f t="shared" si="535"/>
        <v/>
      </c>
      <c r="O3402" s="52" t="str">
        <f t="shared" si="536"/>
        <v/>
      </c>
      <c r="P3402" s="88">
        <f t="shared" si="537"/>
        <v>0</v>
      </c>
      <c r="Q3402" s="88">
        <f t="shared" si="538"/>
        <v>0</v>
      </c>
      <c r="R3402" s="88" t="e">
        <f>-IF(Tabla14[[#This Row],[DIAS HABILES O MORA]]&lt;0,(Tabla14[[#This Row],[VALOR PRESTAMO]]*Tabla14[[#This Row],[% INTERES ]]/30*U3402))+Tabla14[[#This Row],[VALOR CUOTAS]]</f>
        <v>#VALUE!</v>
      </c>
      <c r="S3402" s="88">
        <f>-IF(Tabla14[[#This Row],[DIAS HABILES O MORA]]&lt;0,(Tabla14[[#This Row],[VALOR PRESTAMO]]*Tabla14[[#This Row],[% INTERES ]]/30*U3402))</f>
        <v>0</v>
      </c>
      <c r="T3402" s="53" t="e">
        <f>Tabla14[[#This Row],[DEUDA CAPITAL]]+Tabla14[[#This Row],[INTERES  CUOTA]]</f>
        <v>#NUM!</v>
      </c>
      <c r="U3402" s="61" t="str">
        <f t="shared" si="539"/>
        <v/>
      </c>
    </row>
    <row r="3403" spans="9:21" ht="24.75" customHeight="1" x14ac:dyDescent="0.35">
      <c r="I3403" s="42">
        <f t="shared" si="530"/>
        <v>0</v>
      </c>
      <c r="J3403" s="65" t="e">
        <f t="shared" si="531"/>
        <v>#NUM!</v>
      </c>
      <c r="K3403" s="83" t="e">
        <f t="shared" si="532"/>
        <v>#NUM!</v>
      </c>
      <c r="L3403" s="83">
        <f t="shared" si="533"/>
        <v>0</v>
      </c>
      <c r="M3403" s="110" t="str">
        <f t="shared" si="534"/>
        <v/>
      </c>
      <c r="N3403" s="51" t="str">
        <f t="shared" si="535"/>
        <v/>
      </c>
      <c r="O3403" s="52" t="str">
        <f t="shared" si="536"/>
        <v/>
      </c>
      <c r="P3403" s="88">
        <f t="shared" si="537"/>
        <v>0</v>
      </c>
      <c r="Q3403" s="88">
        <f t="shared" si="538"/>
        <v>0</v>
      </c>
      <c r="R3403" s="88" t="e">
        <f>-IF(Tabla14[[#This Row],[DIAS HABILES O MORA]]&lt;0,(Tabla14[[#This Row],[VALOR PRESTAMO]]*Tabla14[[#This Row],[% INTERES ]]/30*U3403))+Tabla14[[#This Row],[VALOR CUOTAS]]</f>
        <v>#VALUE!</v>
      </c>
      <c r="S3403" s="88">
        <f>-IF(Tabla14[[#This Row],[DIAS HABILES O MORA]]&lt;0,(Tabla14[[#This Row],[VALOR PRESTAMO]]*Tabla14[[#This Row],[% INTERES ]]/30*U3403))</f>
        <v>0</v>
      </c>
      <c r="T3403" s="53" t="e">
        <f>Tabla14[[#This Row],[DEUDA CAPITAL]]+Tabla14[[#This Row],[INTERES  CUOTA]]</f>
        <v>#NUM!</v>
      </c>
      <c r="U3403" s="61" t="str">
        <f t="shared" si="539"/>
        <v/>
      </c>
    </row>
    <row r="3404" spans="9:21" ht="24.75" customHeight="1" x14ac:dyDescent="0.35">
      <c r="I3404" s="42">
        <f t="shared" si="530"/>
        <v>0</v>
      </c>
      <c r="J3404" s="65" t="e">
        <f t="shared" si="531"/>
        <v>#NUM!</v>
      </c>
      <c r="K3404" s="83" t="e">
        <f t="shared" si="532"/>
        <v>#NUM!</v>
      </c>
      <c r="L3404" s="83">
        <f t="shared" si="533"/>
        <v>0</v>
      </c>
      <c r="M3404" s="110" t="str">
        <f t="shared" si="534"/>
        <v/>
      </c>
      <c r="N3404" s="51" t="str">
        <f t="shared" si="535"/>
        <v/>
      </c>
      <c r="O3404" s="52" t="str">
        <f t="shared" si="536"/>
        <v/>
      </c>
      <c r="P3404" s="88">
        <f t="shared" si="537"/>
        <v>0</v>
      </c>
      <c r="Q3404" s="88">
        <f t="shared" si="538"/>
        <v>0</v>
      </c>
      <c r="R3404" s="88" t="e">
        <f>-IF(Tabla14[[#This Row],[DIAS HABILES O MORA]]&lt;0,(Tabla14[[#This Row],[VALOR PRESTAMO]]*Tabla14[[#This Row],[% INTERES ]]/30*U3404))+Tabla14[[#This Row],[VALOR CUOTAS]]</f>
        <v>#VALUE!</v>
      </c>
      <c r="S3404" s="88">
        <f>-IF(Tabla14[[#This Row],[DIAS HABILES O MORA]]&lt;0,(Tabla14[[#This Row],[VALOR PRESTAMO]]*Tabla14[[#This Row],[% INTERES ]]/30*U3404))</f>
        <v>0</v>
      </c>
      <c r="T3404" s="53" t="e">
        <f>Tabla14[[#This Row],[DEUDA CAPITAL]]+Tabla14[[#This Row],[INTERES  CUOTA]]</f>
        <v>#NUM!</v>
      </c>
      <c r="U3404" s="61" t="str">
        <f t="shared" si="539"/>
        <v/>
      </c>
    </row>
    <row r="3405" spans="9:21" ht="24.75" customHeight="1" x14ac:dyDescent="0.35">
      <c r="I3405" s="42">
        <f t="shared" si="530"/>
        <v>0</v>
      </c>
      <c r="J3405" s="65" t="e">
        <f t="shared" si="531"/>
        <v>#NUM!</v>
      </c>
      <c r="K3405" s="83" t="e">
        <f t="shared" si="532"/>
        <v>#NUM!</v>
      </c>
      <c r="L3405" s="83">
        <f t="shared" si="533"/>
        <v>0</v>
      </c>
      <c r="M3405" s="110" t="str">
        <f t="shared" si="534"/>
        <v/>
      </c>
      <c r="N3405" s="51" t="str">
        <f t="shared" si="535"/>
        <v/>
      </c>
      <c r="O3405" s="52" t="str">
        <f t="shared" si="536"/>
        <v/>
      </c>
      <c r="P3405" s="88">
        <f t="shared" si="537"/>
        <v>0</v>
      </c>
      <c r="Q3405" s="88">
        <f t="shared" si="538"/>
        <v>0</v>
      </c>
      <c r="R3405" s="88" t="e">
        <f>-IF(Tabla14[[#This Row],[DIAS HABILES O MORA]]&lt;0,(Tabla14[[#This Row],[VALOR PRESTAMO]]*Tabla14[[#This Row],[% INTERES ]]/30*U3405))+Tabla14[[#This Row],[VALOR CUOTAS]]</f>
        <v>#VALUE!</v>
      </c>
      <c r="S3405" s="88">
        <f>-IF(Tabla14[[#This Row],[DIAS HABILES O MORA]]&lt;0,(Tabla14[[#This Row],[VALOR PRESTAMO]]*Tabla14[[#This Row],[% INTERES ]]/30*U3405))</f>
        <v>0</v>
      </c>
      <c r="T3405" s="53" t="e">
        <f>Tabla14[[#This Row],[DEUDA CAPITAL]]+Tabla14[[#This Row],[INTERES  CUOTA]]</f>
        <v>#NUM!</v>
      </c>
      <c r="U3405" s="61" t="str">
        <f t="shared" si="539"/>
        <v/>
      </c>
    </row>
    <row r="3406" spans="9:21" ht="24.75" customHeight="1" x14ac:dyDescent="0.35">
      <c r="I3406" s="42">
        <f t="shared" si="530"/>
        <v>0</v>
      </c>
      <c r="J3406" s="65" t="e">
        <f t="shared" si="531"/>
        <v>#NUM!</v>
      </c>
      <c r="K3406" s="83" t="e">
        <f t="shared" si="532"/>
        <v>#NUM!</v>
      </c>
      <c r="L3406" s="83">
        <f t="shared" si="533"/>
        <v>0</v>
      </c>
      <c r="M3406" s="110" t="str">
        <f t="shared" si="534"/>
        <v/>
      </c>
      <c r="N3406" s="51" t="str">
        <f t="shared" si="535"/>
        <v/>
      </c>
      <c r="O3406" s="52" t="str">
        <f t="shared" si="536"/>
        <v/>
      </c>
      <c r="P3406" s="88">
        <f t="shared" si="537"/>
        <v>0</v>
      </c>
      <c r="Q3406" s="88">
        <f t="shared" si="538"/>
        <v>0</v>
      </c>
      <c r="R3406" s="88" t="e">
        <f>-IF(Tabla14[[#This Row],[DIAS HABILES O MORA]]&lt;0,(Tabla14[[#This Row],[VALOR PRESTAMO]]*Tabla14[[#This Row],[% INTERES ]]/30*U3406))+Tabla14[[#This Row],[VALOR CUOTAS]]</f>
        <v>#VALUE!</v>
      </c>
      <c r="S3406" s="88">
        <f>-IF(Tabla14[[#This Row],[DIAS HABILES O MORA]]&lt;0,(Tabla14[[#This Row],[VALOR PRESTAMO]]*Tabla14[[#This Row],[% INTERES ]]/30*U3406))</f>
        <v>0</v>
      </c>
      <c r="T3406" s="53" t="e">
        <f>Tabla14[[#This Row],[DEUDA CAPITAL]]+Tabla14[[#This Row],[INTERES  CUOTA]]</f>
        <v>#NUM!</v>
      </c>
      <c r="U3406" s="61" t="str">
        <f t="shared" si="539"/>
        <v/>
      </c>
    </row>
    <row r="3407" spans="9:21" ht="24.75" customHeight="1" x14ac:dyDescent="0.35">
      <c r="I3407" s="42">
        <f t="shared" si="530"/>
        <v>0</v>
      </c>
      <c r="J3407" s="65" t="e">
        <f t="shared" si="531"/>
        <v>#NUM!</v>
      </c>
      <c r="K3407" s="83" t="e">
        <f t="shared" si="532"/>
        <v>#NUM!</v>
      </c>
      <c r="L3407" s="83">
        <f t="shared" si="533"/>
        <v>0</v>
      </c>
      <c r="M3407" s="110" t="str">
        <f t="shared" si="534"/>
        <v/>
      </c>
      <c r="N3407" s="51" t="str">
        <f t="shared" si="535"/>
        <v/>
      </c>
      <c r="O3407" s="52" t="str">
        <f t="shared" si="536"/>
        <v/>
      </c>
      <c r="P3407" s="88">
        <f t="shared" si="537"/>
        <v>0</v>
      </c>
      <c r="Q3407" s="88">
        <f t="shared" si="538"/>
        <v>0</v>
      </c>
      <c r="R3407" s="88" t="e">
        <f>-IF(Tabla14[[#This Row],[DIAS HABILES O MORA]]&lt;0,(Tabla14[[#This Row],[VALOR PRESTAMO]]*Tabla14[[#This Row],[% INTERES ]]/30*U3407))+Tabla14[[#This Row],[VALOR CUOTAS]]</f>
        <v>#VALUE!</v>
      </c>
      <c r="S3407" s="88">
        <f>-IF(Tabla14[[#This Row],[DIAS HABILES O MORA]]&lt;0,(Tabla14[[#This Row],[VALOR PRESTAMO]]*Tabla14[[#This Row],[% INTERES ]]/30*U3407))</f>
        <v>0</v>
      </c>
      <c r="T3407" s="53" t="e">
        <f>Tabla14[[#This Row],[DEUDA CAPITAL]]+Tabla14[[#This Row],[INTERES  CUOTA]]</f>
        <v>#NUM!</v>
      </c>
      <c r="U3407" s="61" t="str">
        <f t="shared" si="539"/>
        <v/>
      </c>
    </row>
    <row r="3408" spans="9:21" ht="24.75" customHeight="1" x14ac:dyDescent="0.35">
      <c r="I3408" s="42">
        <f t="shared" ref="I3408:I3471" si="540">IF(C3408&lt;0,"",IF(Q3408=0,0,IF(G3408=0,H3408+1,IF(H3408&lt;G3408,H3408+1,IF(G3408=H3408,0)))))</f>
        <v>0</v>
      </c>
      <c r="J3408" s="65" t="e">
        <f t="shared" ref="J3408:J3471" si="541">IF(F3408="SOLO INTERES",Q3408*D3408,-IPMT(D3408,I3408,G3408,C3408))</f>
        <v>#NUM!</v>
      </c>
      <c r="K3408" s="83" t="e">
        <f t="shared" ref="K3408:K3471" si="542">IF(F3408="SOLO INTERES",0,-PPMT(D3408,I3408,G3408,C3408))</f>
        <v>#NUM!</v>
      </c>
      <c r="L3408" s="83">
        <f t="shared" ref="L3408:L3471" si="543">IF(F3408="SOLO INTERES",SUM(Y3408:AAE3408),IFERROR(-CUMIPMT(D3408,G3408,C3408,1,H3408,0),0)+SUM(Y3408:WY3408))</f>
        <v>0</v>
      </c>
      <c r="M3408" s="110" t="str">
        <f t="shared" ref="M3408:M3471" si="544">IFERROR(IF(F3408="SOLO INTERES",Q3408*D3408,-PMT(D3408,G3408,C3408,0)),"")</f>
        <v/>
      </c>
      <c r="N3408" s="51" t="str">
        <f t="shared" ref="N3408:N3471" si="545">IF(Q3408=0,"",IF(E3408="MENSUAL",EDATE(B3408,I3408),IF(E3408="QUINCENAL",B3408+(I3408*15),IF(E3408="SEMANAL",B3408+(I3408*7)))))</f>
        <v/>
      </c>
      <c r="O3408" s="52" t="str">
        <f t="shared" ref="O3408:O3471" si="546">IF(C3408=0,"",IF(Q3408&lt;1,"PAGADO",IF(N3408=$A$3,"COBRAR HOY",IF(N3408&lt;$A$3,"EN MORA",IF(N3408&gt;$A$3,"AL DIA")))))</f>
        <v/>
      </c>
      <c r="P3408" s="88">
        <f t="shared" ref="P3408:P3471" si="547">IFERROR(-CUMPRINC(D3408,G3408,C3408,1,H3408,0),0)+W3408</f>
        <v>0</v>
      </c>
      <c r="Q3408" s="88">
        <f t="shared" ref="Q3408:Q3471" si="548">IFERROR(C3408-P3408,"")</f>
        <v>0</v>
      </c>
      <c r="R3408" s="88" t="e">
        <f>-IF(Tabla14[[#This Row],[DIAS HABILES O MORA]]&lt;0,(Tabla14[[#This Row],[VALOR PRESTAMO]]*Tabla14[[#This Row],[% INTERES ]]/30*U3408))+Tabla14[[#This Row],[VALOR CUOTAS]]</f>
        <v>#VALUE!</v>
      </c>
      <c r="S3408" s="88">
        <f>-IF(Tabla14[[#This Row],[DIAS HABILES O MORA]]&lt;0,(Tabla14[[#This Row],[VALOR PRESTAMO]]*Tabla14[[#This Row],[% INTERES ]]/30*U3408))</f>
        <v>0</v>
      </c>
      <c r="T3408" s="53" t="e">
        <f>Tabla14[[#This Row],[DEUDA CAPITAL]]+Tabla14[[#This Row],[INTERES  CUOTA]]</f>
        <v>#NUM!</v>
      </c>
      <c r="U3408" s="61" t="str">
        <f t="shared" ref="U3408:U3471" si="549">IF(O3408="PAGADO","",IFERROR(-IF(C3408=0,"",$A$3-N3408),""))</f>
        <v/>
      </c>
    </row>
    <row r="3409" spans="9:21" ht="24.75" customHeight="1" x14ac:dyDescent="0.35">
      <c r="I3409" s="42">
        <f t="shared" si="540"/>
        <v>0</v>
      </c>
      <c r="J3409" s="65" t="e">
        <f t="shared" si="541"/>
        <v>#NUM!</v>
      </c>
      <c r="K3409" s="83" t="e">
        <f t="shared" si="542"/>
        <v>#NUM!</v>
      </c>
      <c r="L3409" s="83">
        <f t="shared" si="543"/>
        <v>0</v>
      </c>
      <c r="M3409" s="110" t="str">
        <f t="shared" si="544"/>
        <v/>
      </c>
      <c r="N3409" s="51" t="str">
        <f t="shared" si="545"/>
        <v/>
      </c>
      <c r="O3409" s="52" t="str">
        <f t="shared" si="546"/>
        <v/>
      </c>
      <c r="P3409" s="88">
        <f t="shared" si="547"/>
        <v>0</v>
      </c>
      <c r="Q3409" s="88">
        <f t="shared" si="548"/>
        <v>0</v>
      </c>
      <c r="R3409" s="88" t="e">
        <f>-IF(Tabla14[[#This Row],[DIAS HABILES O MORA]]&lt;0,(Tabla14[[#This Row],[VALOR PRESTAMO]]*Tabla14[[#This Row],[% INTERES ]]/30*U3409))+Tabla14[[#This Row],[VALOR CUOTAS]]</f>
        <v>#VALUE!</v>
      </c>
      <c r="S3409" s="88">
        <f>-IF(Tabla14[[#This Row],[DIAS HABILES O MORA]]&lt;0,(Tabla14[[#This Row],[VALOR PRESTAMO]]*Tabla14[[#This Row],[% INTERES ]]/30*U3409))</f>
        <v>0</v>
      </c>
      <c r="T3409" s="53" t="e">
        <f>Tabla14[[#This Row],[DEUDA CAPITAL]]+Tabla14[[#This Row],[INTERES  CUOTA]]</f>
        <v>#NUM!</v>
      </c>
      <c r="U3409" s="61" t="str">
        <f t="shared" si="549"/>
        <v/>
      </c>
    </row>
    <row r="3410" spans="9:21" ht="24.75" customHeight="1" x14ac:dyDescent="0.35">
      <c r="I3410" s="42">
        <f t="shared" si="540"/>
        <v>0</v>
      </c>
      <c r="J3410" s="65" t="e">
        <f t="shared" si="541"/>
        <v>#NUM!</v>
      </c>
      <c r="K3410" s="83" t="e">
        <f t="shared" si="542"/>
        <v>#NUM!</v>
      </c>
      <c r="L3410" s="83">
        <f t="shared" si="543"/>
        <v>0</v>
      </c>
      <c r="M3410" s="110" t="str">
        <f t="shared" si="544"/>
        <v/>
      </c>
      <c r="N3410" s="51" t="str">
        <f t="shared" si="545"/>
        <v/>
      </c>
      <c r="O3410" s="52" t="str">
        <f t="shared" si="546"/>
        <v/>
      </c>
      <c r="P3410" s="88">
        <f t="shared" si="547"/>
        <v>0</v>
      </c>
      <c r="Q3410" s="88">
        <f t="shared" si="548"/>
        <v>0</v>
      </c>
      <c r="R3410" s="88" t="e">
        <f>-IF(Tabla14[[#This Row],[DIAS HABILES O MORA]]&lt;0,(Tabla14[[#This Row],[VALOR PRESTAMO]]*Tabla14[[#This Row],[% INTERES ]]/30*U3410))+Tabla14[[#This Row],[VALOR CUOTAS]]</f>
        <v>#VALUE!</v>
      </c>
      <c r="S3410" s="88">
        <f>-IF(Tabla14[[#This Row],[DIAS HABILES O MORA]]&lt;0,(Tabla14[[#This Row],[VALOR PRESTAMO]]*Tabla14[[#This Row],[% INTERES ]]/30*U3410))</f>
        <v>0</v>
      </c>
      <c r="T3410" s="53" t="e">
        <f>Tabla14[[#This Row],[DEUDA CAPITAL]]+Tabla14[[#This Row],[INTERES  CUOTA]]</f>
        <v>#NUM!</v>
      </c>
      <c r="U3410" s="61" t="str">
        <f t="shared" si="549"/>
        <v/>
      </c>
    </row>
    <row r="3411" spans="9:21" ht="24.75" customHeight="1" x14ac:dyDescent="0.35">
      <c r="I3411" s="42">
        <f t="shared" si="540"/>
        <v>0</v>
      </c>
      <c r="J3411" s="65" t="e">
        <f t="shared" si="541"/>
        <v>#NUM!</v>
      </c>
      <c r="K3411" s="83" t="e">
        <f t="shared" si="542"/>
        <v>#NUM!</v>
      </c>
      <c r="L3411" s="83">
        <f t="shared" si="543"/>
        <v>0</v>
      </c>
      <c r="M3411" s="110" t="str">
        <f t="shared" si="544"/>
        <v/>
      </c>
      <c r="N3411" s="51" t="str">
        <f t="shared" si="545"/>
        <v/>
      </c>
      <c r="O3411" s="52" t="str">
        <f t="shared" si="546"/>
        <v/>
      </c>
      <c r="P3411" s="88">
        <f t="shared" si="547"/>
        <v>0</v>
      </c>
      <c r="Q3411" s="88">
        <f t="shared" si="548"/>
        <v>0</v>
      </c>
      <c r="R3411" s="88" t="e">
        <f>-IF(Tabla14[[#This Row],[DIAS HABILES O MORA]]&lt;0,(Tabla14[[#This Row],[VALOR PRESTAMO]]*Tabla14[[#This Row],[% INTERES ]]/30*U3411))+Tabla14[[#This Row],[VALOR CUOTAS]]</f>
        <v>#VALUE!</v>
      </c>
      <c r="S3411" s="88">
        <f>-IF(Tabla14[[#This Row],[DIAS HABILES O MORA]]&lt;0,(Tabla14[[#This Row],[VALOR PRESTAMO]]*Tabla14[[#This Row],[% INTERES ]]/30*U3411))</f>
        <v>0</v>
      </c>
      <c r="T3411" s="53" t="e">
        <f>Tabla14[[#This Row],[DEUDA CAPITAL]]+Tabla14[[#This Row],[INTERES  CUOTA]]</f>
        <v>#NUM!</v>
      </c>
      <c r="U3411" s="61" t="str">
        <f t="shared" si="549"/>
        <v/>
      </c>
    </row>
    <row r="3412" spans="9:21" ht="24.75" customHeight="1" x14ac:dyDescent="0.35">
      <c r="I3412" s="42">
        <f t="shared" si="540"/>
        <v>0</v>
      </c>
      <c r="J3412" s="65" t="e">
        <f t="shared" si="541"/>
        <v>#NUM!</v>
      </c>
      <c r="K3412" s="83" t="e">
        <f t="shared" si="542"/>
        <v>#NUM!</v>
      </c>
      <c r="L3412" s="83">
        <f t="shared" si="543"/>
        <v>0</v>
      </c>
      <c r="M3412" s="110" t="str">
        <f t="shared" si="544"/>
        <v/>
      </c>
      <c r="N3412" s="51" t="str">
        <f t="shared" si="545"/>
        <v/>
      </c>
      <c r="O3412" s="52" t="str">
        <f t="shared" si="546"/>
        <v/>
      </c>
      <c r="P3412" s="88">
        <f t="shared" si="547"/>
        <v>0</v>
      </c>
      <c r="Q3412" s="88">
        <f t="shared" si="548"/>
        <v>0</v>
      </c>
      <c r="R3412" s="88" t="e">
        <f>-IF(Tabla14[[#This Row],[DIAS HABILES O MORA]]&lt;0,(Tabla14[[#This Row],[VALOR PRESTAMO]]*Tabla14[[#This Row],[% INTERES ]]/30*U3412))+Tabla14[[#This Row],[VALOR CUOTAS]]</f>
        <v>#VALUE!</v>
      </c>
      <c r="S3412" s="88">
        <f>-IF(Tabla14[[#This Row],[DIAS HABILES O MORA]]&lt;0,(Tabla14[[#This Row],[VALOR PRESTAMO]]*Tabla14[[#This Row],[% INTERES ]]/30*U3412))</f>
        <v>0</v>
      </c>
      <c r="T3412" s="53" t="e">
        <f>Tabla14[[#This Row],[DEUDA CAPITAL]]+Tabla14[[#This Row],[INTERES  CUOTA]]</f>
        <v>#NUM!</v>
      </c>
      <c r="U3412" s="61" t="str">
        <f t="shared" si="549"/>
        <v/>
      </c>
    </row>
    <row r="3413" spans="9:21" ht="24.75" customHeight="1" x14ac:dyDescent="0.35">
      <c r="I3413" s="42">
        <f t="shared" si="540"/>
        <v>0</v>
      </c>
      <c r="J3413" s="65" t="e">
        <f t="shared" si="541"/>
        <v>#NUM!</v>
      </c>
      <c r="K3413" s="83" t="e">
        <f t="shared" si="542"/>
        <v>#NUM!</v>
      </c>
      <c r="L3413" s="83">
        <f t="shared" si="543"/>
        <v>0</v>
      </c>
      <c r="M3413" s="110" t="str">
        <f t="shared" si="544"/>
        <v/>
      </c>
      <c r="N3413" s="51" t="str">
        <f t="shared" si="545"/>
        <v/>
      </c>
      <c r="O3413" s="52" t="str">
        <f t="shared" si="546"/>
        <v/>
      </c>
      <c r="P3413" s="88">
        <f t="shared" si="547"/>
        <v>0</v>
      </c>
      <c r="Q3413" s="88">
        <f t="shared" si="548"/>
        <v>0</v>
      </c>
      <c r="R3413" s="88" t="e">
        <f>-IF(Tabla14[[#This Row],[DIAS HABILES O MORA]]&lt;0,(Tabla14[[#This Row],[VALOR PRESTAMO]]*Tabla14[[#This Row],[% INTERES ]]/30*U3413))+Tabla14[[#This Row],[VALOR CUOTAS]]</f>
        <v>#VALUE!</v>
      </c>
      <c r="S3413" s="88">
        <f>-IF(Tabla14[[#This Row],[DIAS HABILES O MORA]]&lt;0,(Tabla14[[#This Row],[VALOR PRESTAMO]]*Tabla14[[#This Row],[% INTERES ]]/30*U3413))</f>
        <v>0</v>
      </c>
      <c r="T3413" s="53" t="e">
        <f>Tabla14[[#This Row],[DEUDA CAPITAL]]+Tabla14[[#This Row],[INTERES  CUOTA]]</f>
        <v>#NUM!</v>
      </c>
      <c r="U3413" s="61" t="str">
        <f t="shared" si="549"/>
        <v/>
      </c>
    </row>
    <row r="3414" spans="9:21" ht="24.75" customHeight="1" x14ac:dyDescent="0.35">
      <c r="I3414" s="42">
        <f t="shared" si="540"/>
        <v>0</v>
      </c>
      <c r="J3414" s="65" t="e">
        <f t="shared" si="541"/>
        <v>#NUM!</v>
      </c>
      <c r="K3414" s="83" t="e">
        <f t="shared" si="542"/>
        <v>#NUM!</v>
      </c>
      <c r="L3414" s="83">
        <f t="shared" si="543"/>
        <v>0</v>
      </c>
      <c r="M3414" s="110" t="str">
        <f t="shared" si="544"/>
        <v/>
      </c>
      <c r="N3414" s="51" t="str">
        <f t="shared" si="545"/>
        <v/>
      </c>
      <c r="O3414" s="52" t="str">
        <f t="shared" si="546"/>
        <v/>
      </c>
      <c r="P3414" s="88">
        <f t="shared" si="547"/>
        <v>0</v>
      </c>
      <c r="Q3414" s="88">
        <f t="shared" si="548"/>
        <v>0</v>
      </c>
      <c r="R3414" s="88" t="e">
        <f>-IF(Tabla14[[#This Row],[DIAS HABILES O MORA]]&lt;0,(Tabla14[[#This Row],[VALOR PRESTAMO]]*Tabla14[[#This Row],[% INTERES ]]/30*U3414))+Tabla14[[#This Row],[VALOR CUOTAS]]</f>
        <v>#VALUE!</v>
      </c>
      <c r="S3414" s="88">
        <f>-IF(Tabla14[[#This Row],[DIAS HABILES O MORA]]&lt;0,(Tabla14[[#This Row],[VALOR PRESTAMO]]*Tabla14[[#This Row],[% INTERES ]]/30*U3414))</f>
        <v>0</v>
      </c>
      <c r="T3414" s="53" t="e">
        <f>Tabla14[[#This Row],[DEUDA CAPITAL]]+Tabla14[[#This Row],[INTERES  CUOTA]]</f>
        <v>#NUM!</v>
      </c>
      <c r="U3414" s="61" t="str">
        <f t="shared" si="549"/>
        <v/>
      </c>
    </row>
    <row r="3415" spans="9:21" ht="24.75" customHeight="1" x14ac:dyDescent="0.35">
      <c r="I3415" s="42">
        <f t="shared" si="540"/>
        <v>0</v>
      </c>
      <c r="J3415" s="65" t="e">
        <f t="shared" si="541"/>
        <v>#NUM!</v>
      </c>
      <c r="K3415" s="83" t="e">
        <f t="shared" si="542"/>
        <v>#NUM!</v>
      </c>
      <c r="L3415" s="83">
        <f t="shared" si="543"/>
        <v>0</v>
      </c>
      <c r="M3415" s="110" t="str">
        <f t="shared" si="544"/>
        <v/>
      </c>
      <c r="N3415" s="51" t="str">
        <f t="shared" si="545"/>
        <v/>
      </c>
      <c r="O3415" s="52" t="str">
        <f t="shared" si="546"/>
        <v/>
      </c>
      <c r="P3415" s="88">
        <f t="shared" si="547"/>
        <v>0</v>
      </c>
      <c r="Q3415" s="88">
        <f t="shared" si="548"/>
        <v>0</v>
      </c>
      <c r="R3415" s="88" t="e">
        <f>-IF(Tabla14[[#This Row],[DIAS HABILES O MORA]]&lt;0,(Tabla14[[#This Row],[VALOR PRESTAMO]]*Tabla14[[#This Row],[% INTERES ]]/30*U3415))+Tabla14[[#This Row],[VALOR CUOTAS]]</f>
        <v>#VALUE!</v>
      </c>
      <c r="S3415" s="88">
        <f>-IF(Tabla14[[#This Row],[DIAS HABILES O MORA]]&lt;0,(Tabla14[[#This Row],[VALOR PRESTAMO]]*Tabla14[[#This Row],[% INTERES ]]/30*U3415))</f>
        <v>0</v>
      </c>
      <c r="T3415" s="53" t="e">
        <f>Tabla14[[#This Row],[DEUDA CAPITAL]]+Tabla14[[#This Row],[INTERES  CUOTA]]</f>
        <v>#NUM!</v>
      </c>
      <c r="U3415" s="61" t="str">
        <f t="shared" si="549"/>
        <v/>
      </c>
    </row>
    <row r="3416" spans="9:21" ht="24.75" customHeight="1" x14ac:dyDescent="0.35">
      <c r="I3416" s="42">
        <f t="shared" si="540"/>
        <v>0</v>
      </c>
      <c r="J3416" s="65" t="e">
        <f t="shared" si="541"/>
        <v>#NUM!</v>
      </c>
      <c r="K3416" s="83" t="e">
        <f t="shared" si="542"/>
        <v>#NUM!</v>
      </c>
      <c r="L3416" s="83">
        <f t="shared" si="543"/>
        <v>0</v>
      </c>
      <c r="M3416" s="110" t="str">
        <f t="shared" si="544"/>
        <v/>
      </c>
      <c r="N3416" s="51" t="str">
        <f t="shared" si="545"/>
        <v/>
      </c>
      <c r="O3416" s="52" t="str">
        <f t="shared" si="546"/>
        <v/>
      </c>
      <c r="P3416" s="88">
        <f t="shared" si="547"/>
        <v>0</v>
      </c>
      <c r="Q3416" s="88">
        <f t="shared" si="548"/>
        <v>0</v>
      </c>
      <c r="R3416" s="88" t="e">
        <f>-IF(Tabla14[[#This Row],[DIAS HABILES O MORA]]&lt;0,(Tabla14[[#This Row],[VALOR PRESTAMO]]*Tabla14[[#This Row],[% INTERES ]]/30*U3416))+Tabla14[[#This Row],[VALOR CUOTAS]]</f>
        <v>#VALUE!</v>
      </c>
      <c r="S3416" s="88">
        <f>-IF(Tabla14[[#This Row],[DIAS HABILES O MORA]]&lt;0,(Tabla14[[#This Row],[VALOR PRESTAMO]]*Tabla14[[#This Row],[% INTERES ]]/30*U3416))</f>
        <v>0</v>
      </c>
      <c r="T3416" s="53" t="e">
        <f>Tabla14[[#This Row],[DEUDA CAPITAL]]+Tabla14[[#This Row],[INTERES  CUOTA]]</f>
        <v>#NUM!</v>
      </c>
      <c r="U3416" s="61" t="str">
        <f t="shared" si="549"/>
        <v/>
      </c>
    </row>
    <row r="3417" spans="9:21" ht="24.75" customHeight="1" x14ac:dyDescent="0.35">
      <c r="I3417" s="42">
        <f t="shared" si="540"/>
        <v>0</v>
      </c>
      <c r="J3417" s="65" t="e">
        <f t="shared" si="541"/>
        <v>#NUM!</v>
      </c>
      <c r="K3417" s="83" t="e">
        <f t="shared" si="542"/>
        <v>#NUM!</v>
      </c>
      <c r="L3417" s="83">
        <f t="shared" si="543"/>
        <v>0</v>
      </c>
      <c r="M3417" s="110" t="str">
        <f t="shared" si="544"/>
        <v/>
      </c>
      <c r="N3417" s="51" t="str">
        <f t="shared" si="545"/>
        <v/>
      </c>
      <c r="O3417" s="52" t="str">
        <f t="shared" si="546"/>
        <v/>
      </c>
      <c r="P3417" s="88">
        <f t="shared" si="547"/>
        <v>0</v>
      </c>
      <c r="Q3417" s="88">
        <f t="shared" si="548"/>
        <v>0</v>
      </c>
      <c r="R3417" s="88" t="e">
        <f>-IF(Tabla14[[#This Row],[DIAS HABILES O MORA]]&lt;0,(Tabla14[[#This Row],[VALOR PRESTAMO]]*Tabla14[[#This Row],[% INTERES ]]/30*U3417))+Tabla14[[#This Row],[VALOR CUOTAS]]</f>
        <v>#VALUE!</v>
      </c>
      <c r="S3417" s="88">
        <f>-IF(Tabla14[[#This Row],[DIAS HABILES O MORA]]&lt;0,(Tabla14[[#This Row],[VALOR PRESTAMO]]*Tabla14[[#This Row],[% INTERES ]]/30*U3417))</f>
        <v>0</v>
      </c>
      <c r="T3417" s="53" t="e">
        <f>Tabla14[[#This Row],[DEUDA CAPITAL]]+Tabla14[[#This Row],[INTERES  CUOTA]]</f>
        <v>#NUM!</v>
      </c>
      <c r="U3417" s="61" t="str">
        <f t="shared" si="549"/>
        <v/>
      </c>
    </row>
    <row r="3418" spans="9:21" ht="24.75" customHeight="1" x14ac:dyDescent="0.35">
      <c r="I3418" s="42">
        <f t="shared" si="540"/>
        <v>0</v>
      </c>
      <c r="J3418" s="65" t="e">
        <f t="shared" si="541"/>
        <v>#NUM!</v>
      </c>
      <c r="K3418" s="83" t="e">
        <f t="shared" si="542"/>
        <v>#NUM!</v>
      </c>
      <c r="L3418" s="83">
        <f t="shared" si="543"/>
        <v>0</v>
      </c>
      <c r="M3418" s="110" t="str">
        <f t="shared" si="544"/>
        <v/>
      </c>
      <c r="N3418" s="51" t="str">
        <f t="shared" si="545"/>
        <v/>
      </c>
      <c r="O3418" s="52" t="str">
        <f t="shared" si="546"/>
        <v/>
      </c>
      <c r="P3418" s="88">
        <f t="shared" si="547"/>
        <v>0</v>
      </c>
      <c r="Q3418" s="88">
        <f t="shared" si="548"/>
        <v>0</v>
      </c>
      <c r="R3418" s="88" t="e">
        <f>-IF(Tabla14[[#This Row],[DIAS HABILES O MORA]]&lt;0,(Tabla14[[#This Row],[VALOR PRESTAMO]]*Tabla14[[#This Row],[% INTERES ]]/30*U3418))+Tabla14[[#This Row],[VALOR CUOTAS]]</f>
        <v>#VALUE!</v>
      </c>
      <c r="S3418" s="88">
        <f>-IF(Tabla14[[#This Row],[DIAS HABILES O MORA]]&lt;0,(Tabla14[[#This Row],[VALOR PRESTAMO]]*Tabla14[[#This Row],[% INTERES ]]/30*U3418))</f>
        <v>0</v>
      </c>
      <c r="T3418" s="53" t="e">
        <f>Tabla14[[#This Row],[DEUDA CAPITAL]]+Tabla14[[#This Row],[INTERES  CUOTA]]</f>
        <v>#NUM!</v>
      </c>
      <c r="U3418" s="61" t="str">
        <f t="shared" si="549"/>
        <v/>
      </c>
    </row>
    <row r="3419" spans="9:21" ht="24.75" customHeight="1" x14ac:dyDescent="0.35">
      <c r="I3419" s="42">
        <f t="shared" si="540"/>
        <v>0</v>
      </c>
      <c r="J3419" s="65" t="e">
        <f t="shared" si="541"/>
        <v>#NUM!</v>
      </c>
      <c r="K3419" s="83" t="e">
        <f t="shared" si="542"/>
        <v>#NUM!</v>
      </c>
      <c r="L3419" s="83">
        <f t="shared" si="543"/>
        <v>0</v>
      </c>
      <c r="M3419" s="110" t="str">
        <f t="shared" si="544"/>
        <v/>
      </c>
      <c r="N3419" s="51" t="str">
        <f t="shared" si="545"/>
        <v/>
      </c>
      <c r="O3419" s="52" t="str">
        <f t="shared" si="546"/>
        <v/>
      </c>
      <c r="P3419" s="88">
        <f t="shared" si="547"/>
        <v>0</v>
      </c>
      <c r="Q3419" s="88">
        <f t="shared" si="548"/>
        <v>0</v>
      </c>
      <c r="R3419" s="88" t="e">
        <f>-IF(Tabla14[[#This Row],[DIAS HABILES O MORA]]&lt;0,(Tabla14[[#This Row],[VALOR PRESTAMO]]*Tabla14[[#This Row],[% INTERES ]]/30*U3419))+Tabla14[[#This Row],[VALOR CUOTAS]]</f>
        <v>#VALUE!</v>
      </c>
      <c r="S3419" s="88">
        <f>-IF(Tabla14[[#This Row],[DIAS HABILES O MORA]]&lt;0,(Tabla14[[#This Row],[VALOR PRESTAMO]]*Tabla14[[#This Row],[% INTERES ]]/30*U3419))</f>
        <v>0</v>
      </c>
      <c r="T3419" s="53" t="e">
        <f>Tabla14[[#This Row],[DEUDA CAPITAL]]+Tabla14[[#This Row],[INTERES  CUOTA]]</f>
        <v>#NUM!</v>
      </c>
      <c r="U3419" s="61" t="str">
        <f t="shared" si="549"/>
        <v/>
      </c>
    </row>
    <row r="3420" spans="9:21" ht="24.75" customHeight="1" x14ac:dyDescent="0.35">
      <c r="I3420" s="42">
        <f t="shared" si="540"/>
        <v>0</v>
      </c>
      <c r="J3420" s="65" t="e">
        <f t="shared" si="541"/>
        <v>#NUM!</v>
      </c>
      <c r="K3420" s="83" t="e">
        <f t="shared" si="542"/>
        <v>#NUM!</v>
      </c>
      <c r="L3420" s="83">
        <f t="shared" si="543"/>
        <v>0</v>
      </c>
      <c r="M3420" s="110" t="str">
        <f t="shared" si="544"/>
        <v/>
      </c>
      <c r="N3420" s="51" t="str">
        <f t="shared" si="545"/>
        <v/>
      </c>
      <c r="O3420" s="52" t="str">
        <f t="shared" si="546"/>
        <v/>
      </c>
      <c r="P3420" s="88">
        <f t="shared" si="547"/>
        <v>0</v>
      </c>
      <c r="Q3420" s="88">
        <f t="shared" si="548"/>
        <v>0</v>
      </c>
      <c r="R3420" s="88" t="e">
        <f>-IF(Tabla14[[#This Row],[DIAS HABILES O MORA]]&lt;0,(Tabla14[[#This Row],[VALOR PRESTAMO]]*Tabla14[[#This Row],[% INTERES ]]/30*U3420))+Tabla14[[#This Row],[VALOR CUOTAS]]</f>
        <v>#VALUE!</v>
      </c>
      <c r="S3420" s="88">
        <f>-IF(Tabla14[[#This Row],[DIAS HABILES O MORA]]&lt;0,(Tabla14[[#This Row],[VALOR PRESTAMO]]*Tabla14[[#This Row],[% INTERES ]]/30*U3420))</f>
        <v>0</v>
      </c>
      <c r="T3420" s="53" t="e">
        <f>Tabla14[[#This Row],[DEUDA CAPITAL]]+Tabla14[[#This Row],[INTERES  CUOTA]]</f>
        <v>#NUM!</v>
      </c>
      <c r="U3420" s="61" t="str">
        <f t="shared" si="549"/>
        <v/>
      </c>
    </row>
    <row r="3421" spans="9:21" ht="24.75" customHeight="1" x14ac:dyDescent="0.35">
      <c r="I3421" s="42">
        <f t="shared" si="540"/>
        <v>0</v>
      </c>
      <c r="J3421" s="65" t="e">
        <f t="shared" si="541"/>
        <v>#NUM!</v>
      </c>
      <c r="K3421" s="83" t="e">
        <f t="shared" si="542"/>
        <v>#NUM!</v>
      </c>
      <c r="L3421" s="83">
        <f t="shared" si="543"/>
        <v>0</v>
      </c>
      <c r="M3421" s="110" t="str">
        <f t="shared" si="544"/>
        <v/>
      </c>
      <c r="N3421" s="51" t="str">
        <f t="shared" si="545"/>
        <v/>
      </c>
      <c r="O3421" s="52" t="str">
        <f t="shared" si="546"/>
        <v/>
      </c>
      <c r="P3421" s="88">
        <f t="shared" si="547"/>
        <v>0</v>
      </c>
      <c r="Q3421" s="88">
        <f t="shared" si="548"/>
        <v>0</v>
      </c>
      <c r="R3421" s="88" t="e">
        <f>-IF(Tabla14[[#This Row],[DIAS HABILES O MORA]]&lt;0,(Tabla14[[#This Row],[VALOR PRESTAMO]]*Tabla14[[#This Row],[% INTERES ]]/30*U3421))+Tabla14[[#This Row],[VALOR CUOTAS]]</f>
        <v>#VALUE!</v>
      </c>
      <c r="S3421" s="88">
        <f>-IF(Tabla14[[#This Row],[DIAS HABILES O MORA]]&lt;0,(Tabla14[[#This Row],[VALOR PRESTAMO]]*Tabla14[[#This Row],[% INTERES ]]/30*U3421))</f>
        <v>0</v>
      </c>
      <c r="T3421" s="53" t="e">
        <f>Tabla14[[#This Row],[DEUDA CAPITAL]]+Tabla14[[#This Row],[INTERES  CUOTA]]</f>
        <v>#NUM!</v>
      </c>
      <c r="U3421" s="61" t="str">
        <f t="shared" si="549"/>
        <v/>
      </c>
    </row>
    <row r="3422" spans="9:21" ht="24.75" customHeight="1" x14ac:dyDescent="0.35">
      <c r="I3422" s="42">
        <f t="shared" si="540"/>
        <v>0</v>
      </c>
      <c r="J3422" s="65" t="e">
        <f t="shared" si="541"/>
        <v>#NUM!</v>
      </c>
      <c r="K3422" s="83" t="e">
        <f t="shared" si="542"/>
        <v>#NUM!</v>
      </c>
      <c r="L3422" s="83">
        <f t="shared" si="543"/>
        <v>0</v>
      </c>
      <c r="M3422" s="110" t="str">
        <f t="shared" si="544"/>
        <v/>
      </c>
      <c r="N3422" s="51" t="str">
        <f t="shared" si="545"/>
        <v/>
      </c>
      <c r="O3422" s="52" t="str">
        <f t="shared" si="546"/>
        <v/>
      </c>
      <c r="P3422" s="88">
        <f t="shared" si="547"/>
        <v>0</v>
      </c>
      <c r="Q3422" s="88">
        <f t="shared" si="548"/>
        <v>0</v>
      </c>
      <c r="R3422" s="88" t="e">
        <f>-IF(Tabla14[[#This Row],[DIAS HABILES O MORA]]&lt;0,(Tabla14[[#This Row],[VALOR PRESTAMO]]*Tabla14[[#This Row],[% INTERES ]]/30*U3422))+Tabla14[[#This Row],[VALOR CUOTAS]]</f>
        <v>#VALUE!</v>
      </c>
      <c r="S3422" s="88">
        <f>-IF(Tabla14[[#This Row],[DIAS HABILES O MORA]]&lt;0,(Tabla14[[#This Row],[VALOR PRESTAMO]]*Tabla14[[#This Row],[% INTERES ]]/30*U3422))</f>
        <v>0</v>
      </c>
      <c r="T3422" s="53" t="e">
        <f>Tabla14[[#This Row],[DEUDA CAPITAL]]+Tabla14[[#This Row],[INTERES  CUOTA]]</f>
        <v>#NUM!</v>
      </c>
      <c r="U3422" s="61" t="str">
        <f t="shared" si="549"/>
        <v/>
      </c>
    </row>
    <row r="3423" spans="9:21" ht="24.75" customHeight="1" x14ac:dyDescent="0.35">
      <c r="I3423" s="42">
        <f t="shared" si="540"/>
        <v>0</v>
      </c>
      <c r="J3423" s="65" t="e">
        <f t="shared" si="541"/>
        <v>#NUM!</v>
      </c>
      <c r="K3423" s="83" t="e">
        <f t="shared" si="542"/>
        <v>#NUM!</v>
      </c>
      <c r="L3423" s="83">
        <f t="shared" si="543"/>
        <v>0</v>
      </c>
      <c r="M3423" s="110" t="str">
        <f t="shared" si="544"/>
        <v/>
      </c>
      <c r="N3423" s="51" t="str">
        <f t="shared" si="545"/>
        <v/>
      </c>
      <c r="O3423" s="52" t="str">
        <f t="shared" si="546"/>
        <v/>
      </c>
      <c r="P3423" s="88">
        <f t="shared" si="547"/>
        <v>0</v>
      </c>
      <c r="Q3423" s="88">
        <f t="shared" si="548"/>
        <v>0</v>
      </c>
      <c r="R3423" s="88" t="e">
        <f>-IF(Tabla14[[#This Row],[DIAS HABILES O MORA]]&lt;0,(Tabla14[[#This Row],[VALOR PRESTAMO]]*Tabla14[[#This Row],[% INTERES ]]/30*U3423))+Tabla14[[#This Row],[VALOR CUOTAS]]</f>
        <v>#VALUE!</v>
      </c>
      <c r="S3423" s="88">
        <f>-IF(Tabla14[[#This Row],[DIAS HABILES O MORA]]&lt;0,(Tabla14[[#This Row],[VALOR PRESTAMO]]*Tabla14[[#This Row],[% INTERES ]]/30*U3423))</f>
        <v>0</v>
      </c>
      <c r="T3423" s="53" t="e">
        <f>Tabla14[[#This Row],[DEUDA CAPITAL]]+Tabla14[[#This Row],[INTERES  CUOTA]]</f>
        <v>#NUM!</v>
      </c>
      <c r="U3423" s="61" t="str">
        <f t="shared" si="549"/>
        <v/>
      </c>
    </row>
    <row r="3424" spans="9:21" ht="24.75" customHeight="1" x14ac:dyDescent="0.35">
      <c r="I3424" s="42">
        <f t="shared" si="540"/>
        <v>0</v>
      </c>
      <c r="J3424" s="65" t="e">
        <f t="shared" si="541"/>
        <v>#NUM!</v>
      </c>
      <c r="K3424" s="83" t="e">
        <f t="shared" si="542"/>
        <v>#NUM!</v>
      </c>
      <c r="L3424" s="83">
        <f t="shared" si="543"/>
        <v>0</v>
      </c>
      <c r="M3424" s="110" t="str">
        <f t="shared" si="544"/>
        <v/>
      </c>
      <c r="N3424" s="51" t="str">
        <f t="shared" si="545"/>
        <v/>
      </c>
      <c r="O3424" s="52" t="str">
        <f t="shared" si="546"/>
        <v/>
      </c>
      <c r="P3424" s="88">
        <f t="shared" si="547"/>
        <v>0</v>
      </c>
      <c r="Q3424" s="88">
        <f t="shared" si="548"/>
        <v>0</v>
      </c>
      <c r="R3424" s="88" t="e">
        <f>-IF(Tabla14[[#This Row],[DIAS HABILES O MORA]]&lt;0,(Tabla14[[#This Row],[VALOR PRESTAMO]]*Tabla14[[#This Row],[% INTERES ]]/30*U3424))+Tabla14[[#This Row],[VALOR CUOTAS]]</f>
        <v>#VALUE!</v>
      </c>
      <c r="S3424" s="88">
        <f>-IF(Tabla14[[#This Row],[DIAS HABILES O MORA]]&lt;0,(Tabla14[[#This Row],[VALOR PRESTAMO]]*Tabla14[[#This Row],[% INTERES ]]/30*U3424))</f>
        <v>0</v>
      </c>
      <c r="T3424" s="53" t="e">
        <f>Tabla14[[#This Row],[DEUDA CAPITAL]]+Tabla14[[#This Row],[INTERES  CUOTA]]</f>
        <v>#NUM!</v>
      </c>
      <c r="U3424" s="61" t="str">
        <f t="shared" si="549"/>
        <v/>
      </c>
    </row>
    <row r="3425" spans="9:21" ht="24.75" customHeight="1" x14ac:dyDescent="0.35">
      <c r="I3425" s="42">
        <f t="shared" si="540"/>
        <v>0</v>
      </c>
      <c r="J3425" s="65" t="e">
        <f t="shared" si="541"/>
        <v>#NUM!</v>
      </c>
      <c r="K3425" s="83" t="e">
        <f t="shared" si="542"/>
        <v>#NUM!</v>
      </c>
      <c r="L3425" s="83">
        <f t="shared" si="543"/>
        <v>0</v>
      </c>
      <c r="M3425" s="110" t="str">
        <f t="shared" si="544"/>
        <v/>
      </c>
      <c r="N3425" s="51" t="str">
        <f t="shared" si="545"/>
        <v/>
      </c>
      <c r="O3425" s="52" t="str">
        <f t="shared" si="546"/>
        <v/>
      </c>
      <c r="P3425" s="88">
        <f t="shared" si="547"/>
        <v>0</v>
      </c>
      <c r="Q3425" s="88">
        <f t="shared" si="548"/>
        <v>0</v>
      </c>
      <c r="R3425" s="88" t="e">
        <f>-IF(Tabla14[[#This Row],[DIAS HABILES O MORA]]&lt;0,(Tabla14[[#This Row],[VALOR PRESTAMO]]*Tabla14[[#This Row],[% INTERES ]]/30*U3425))+Tabla14[[#This Row],[VALOR CUOTAS]]</f>
        <v>#VALUE!</v>
      </c>
      <c r="S3425" s="88">
        <f>-IF(Tabla14[[#This Row],[DIAS HABILES O MORA]]&lt;0,(Tabla14[[#This Row],[VALOR PRESTAMO]]*Tabla14[[#This Row],[% INTERES ]]/30*U3425))</f>
        <v>0</v>
      </c>
      <c r="T3425" s="53" t="e">
        <f>Tabla14[[#This Row],[DEUDA CAPITAL]]+Tabla14[[#This Row],[INTERES  CUOTA]]</f>
        <v>#NUM!</v>
      </c>
      <c r="U3425" s="61" t="str">
        <f t="shared" si="549"/>
        <v/>
      </c>
    </row>
    <row r="3426" spans="9:21" ht="24.75" customHeight="1" x14ac:dyDescent="0.35">
      <c r="I3426" s="42">
        <f t="shared" si="540"/>
        <v>0</v>
      </c>
      <c r="J3426" s="65" t="e">
        <f t="shared" si="541"/>
        <v>#NUM!</v>
      </c>
      <c r="K3426" s="83" t="e">
        <f t="shared" si="542"/>
        <v>#NUM!</v>
      </c>
      <c r="L3426" s="83">
        <f t="shared" si="543"/>
        <v>0</v>
      </c>
      <c r="M3426" s="110" t="str">
        <f t="shared" si="544"/>
        <v/>
      </c>
      <c r="N3426" s="51" t="str">
        <f t="shared" si="545"/>
        <v/>
      </c>
      <c r="O3426" s="52" t="str">
        <f t="shared" si="546"/>
        <v/>
      </c>
      <c r="P3426" s="88">
        <f t="shared" si="547"/>
        <v>0</v>
      </c>
      <c r="Q3426" s="88">
        <f t="shared" si="548"/>
        <v>0</v>
      </c>
      <c r="R3426" s="88" t="e">
        <f>-IF(Tabla14[[#This Row],[DIAS HABILES O MORA]]&lt;0,(Tabla14[[#This Row],[VALOR PRESTAMO]]*Tabla14[[#This Row],[% INTERES ]]/30*U3426))+Tabla14[[#This Row],[VALOR CUOTAS]]</f>
        <v>#VALUE!</v>
      </c>
      <c r="S3426" s="88">
        <f>-IF(Tabla14[[#This Row],[DIAS HABILES O MORA]]&lt;0,(Tabla14[[#This Row],[VALOR PRESTAMO]]*Tabla14[[#This Row],[% INTERES ]]/30*U3426))</f>
        <v>0</v>
      </c>
      <c r="T3426" s="53" t="e">
        <f>Tabla14[[#This Row],[DEUDA CAPITAL]]+Tabla14[[#This Row],[INTERES  CUOTA]]</f>
        <v>#NUM!</v>
      </c>
      <c r="U3426" s="61" t="str">
        <f t="shared" si="549"/>
        <v/>
      </c>
    </row>
    <row r="3427" spans="9:21" ht="24.75" customHeight="1" x14ac:dyDescent="0.35">
      <c r="I3427" s="42">
        <f t="shared" si="540"/>
        <v>0</v>
      </c>
      <c r="J3427" s="65" t="e">
        <f t="shared" si="541"/>
        <v>#NUM!</v>
      </c>
      <c r="K3427" s="83" t="e">
        <f t="shared" si="542"/>
        <v>#NUM!</v>
      </c>
      <c r="L3427" s="83">
        <f t="shared" si="543"/>
        <v>0</v>
      </c>
      <c r="M3427" s="110" t="str">
        <f t="shared" si="544"/>
        <v/>
      </c>
      <c r="N3427" s="51" t="str">
        <f t="shared" si="545"/>
        <v/>
      </c>
      <c r="O3427" s="52" t="str">
        <f t="shared" si="546"/>
        <v/>
      </c>
      <c r="P3427" s="88">
        <f t="shared" si="547"/>
        <v>0</v>
      </c>
      <c r="Q3427" s="88">
        <f t="shared" si="548"/>
        <v>0</v>
      </c>
      <c r="R3427" s="88" t="e">
        <f>-IF(Tabla14[[#This Row],[DIAS HABILES O MORA]]&lt;0,(Tabla14[[#This Row],[VALOR PRESTAMO]]*Tabla14[[#This Row],[% INTERES ]]/30*U3427))+Tabla14[[#This Row],[VALOR CUOTAS]]</f>
        <v>#VALUE!</v>
      </c>
      <c r="S3427" s="88">
        <f>-IF(Tabla14[[#This Row],[DIAS HABILES O MORA]]&lt;0,(Tabla14[[#This Row],[VALOR PRESTAMO]]*Tabla14[[#This Row],[% INTERES ]]/30*U3427))</f>
        <v>0</v>
      </c>
      <c r="T3427" s="53" t="e">
        <f>Tabla14[[#This Row],[DEUDA CAPITAL]]+Tabla14[[#This Row],[INTERES  CUOTA]]</f>
        <v>#NUM!</v>
      </c>
      <c r="U3427" s="61" t="str">
        <f t="shared" si="549"/>
        <v/>
      </c>
    </row>
    <row r="3428" spans="9:21" ht="24.75" customHeight="1" x14ac:dyDescent="0.35">
      <c r="I3428" s="42">
        <f t="shared" si="540"/>
        <v>0</v>
      </c>
      <c r="J3428" s="65" t="e">
        <f t="shared" si="541"/>
        <v>#NUM!</v>
      </c>
      <c r="K3428" s="83" t="e">
        <f t="shared" si="542"/>
        <v>#NUM!</v>
      </c>
      <c r="L3428" s="83">
        <f t="shared" si="543"/>
        <v>0</v>
      </c>
      <c r="M3428" s="110" t="str">
        <f t="shared" si="544"/>
        <v/>
      </c>
      <c r="N3428" s="51" t="str">
        <f t="shared" si="545"/>
        <v/>
      </c>
      <c r="O3428" s="52" t="str">
        <f t="shared" si="546"/>
        <v/>
      </c>
      <c r="P3428" s="88">
        <f t="shared" si="547"/>
        <v>0</v>
      </c>
      <c r="Q3428" s="88">
        <f t="shared" si="548"/>
        <v>0</v>
      </c>
      <c r="R3428" s="88" t="e">
        <f>-IF(Tabla14[[#This Row],[DIAS HABILES O MORA]]&lt;0,(Tabla14[[#This Row],[VALOR PRESTAMO]]*Tabla14[[#This Row],[% INTERES ]]/30*U3428))+Tabla14[[#This Row],[VALOR CUOTAS]]</f>
        <v>#VALUE!</v>
      </c>
      <c r="S3428" s="88">
        <f>-IF(Tabla14[[#This Row],[DIAS HABILES O MORA]]&lt;0,(Tabla14[[#This Row],[VALOR PRESTAMO]]*Tabla14[[#This Row],[% INTERES ]]/30*U3428))</f>
        <v>0</v>
      </c>
      <c r="T3428" s="53" t="e">
        <f>Tabla14[[#This Row],[DEUDA CAPITAL]]+Tabla14[[#This Row],[INTERES  CUOTA]]</f>
        <v>#NUM!</v>
      </c>
      <c r="U3428" s="61" t="str">
        <f t="shared" si="549"/>
        <v/>
      </c>
    </row>
    <row r="3429" spans="9:21" ht="24.75" customHeight="1" x14ac:dyDescent="0.35">
      <c r="I3429" s="42">
        <f t="shared" si="540"/>
        <v>0</v>
      </c>
      <c r="J3429" s="65" t="e">
        <f t="shared" si="541"/>
        <v>#NUM!</v>
      </c>
      <c r="K3429" s="83" t="e">
        <f t="shared" si="542"/>
        <v>#NUM!</v>
      </c>
      <c r="L3429" s="83">
        <f t="shared" si="543"/>
        <v>0</v>
      </c>
      <c r="M3429" s="110" t="str">
        <f t="shared" si="544"/>
        <v/>
      </c>
      <c r="N3429" s="51" t="str">
        <f t="shared" si="545"/>
        <v/>
      </c>
      <c r="O3429" s="52" t="str">
        <f t="shared" si="546"/>
        <v/>
      </c>
      <c r="P3429" s="88">
        <f t="shared" si="547"/>
        <v>0</v>
      </c>
      <c r="Q3429" s="88">
        <f t="shared" si="548"/>
        <v>0</v>
      </c>
      <c r="R3429" s="88" t="e">
        <f>-IF(Tabla14[[#This Row],[DIAS HABILES O MORA]]&lt;0,(Tabla14[[#This Row],[VALOR PRESTAMO]]*Tabla14[[#This Row],[% INTERES ]]/30*U3429))+Tabla14[[#This Row],[VALOR CUOTAS]]</f>
        <v>#VALUE!</v>
      </c>
      <c r="S3429" s="88">
        <f>-IF(Tabla14[[#This Row],[DIAS HABILES O MORA]]&lt;0,(Tabla14[[#This Row],[VALOR PRESTAMO]]*Tabla14[[#This Row],[% INTERES ]]/30*U3429))</f>
        <v>0</v>
      </c>
      <c r="T3429" s="53" t="e">
        <f>Tabla14[[#This Row],[DEUDA CAPITAL]]+Tabla14[[#This Row],[INTERES  CUOTA]]</f>
        <v>#NUM!</v>
      </c>
      <c r="U3429" s="61" t="str">
        <f t="shared" si="549"/>
        <v/>
      </c>
    </row>
    <row r="3430" spans="9:21" ht="24.75" customHeight="1" x14ac:dyDescent="0.35">
      <c r="I3430" s="42">
        <f t="shared" si="540"/>
        <v>0</v>
      </c>
      <c r="J3430" s="65" t="e">
        <f t="shared" si="541"/>
        <v>#NUM!</v>
      </c>
      <c r="K3430" s="83" t="e">
        <f t="shared" si="542"/>
        <v>#NUM!</v>
      </c>
      <c r="L3430" s="83">
        <f t="shared" si="543"/>
        <v>0</v>
      </c>
      <c r="M3430" s="110" t="str">
        <f t="shared" si="544"/>
        <v/>
      </c>
      <c r="N3430" s="51" t="str">
        <f t="shared" si="545"/>
        <v/>
      </c>
      <c r="O3430" s="52" t="str">
        <f t="shared" si="546"/>
        <v/>
      </c>
      <c r="P3430" s="88">
        <f t="shared" si="547"/>
        <v>0</v>
      </c>
      <c r="Q3430" s="88">
        <f t="shared" si="548"/>
        <v>0</v>
      </c>
      <c r="R3430" s="88" t="e">
        <f>-IF(Tabla14[[#This Row],[DIAS HABILES O MORA]]&lt;0,(Tabla14[[#This Row],[VALOR PRESTAMO]]*Tabla14[[#This Row],[% INTERES ]]/30*U3430))+Tabla14[[#This Row],[VALOR CUOTAS]]</f>
        <v>#VALUE!</v>
      </c>
      <c r="S3430" s="88">
        <f>-IF(Tabla14[[#This Row],[DIAS HABILES O MORA]]&lt;0,(Tabla14[[#This Row],[VALOR PRESTAMO]]*Tabla14[[#This Row],[% INTERES ]]/30*U3430))</f>
        <v>0</v>
      </c>
      <c r="T3430" s="53" t="e">
        <f>Tabla14[[#This Row],[DEUDA CAPITAL]]+Tabla14[[#This Row],[INTERES  CUOTA]]</f>
        <v>#NUM!</v>
      </c>
      <c r="U3430" s="61" t="str">
        <f t="shared" si="549"/>
        <v/>
      </c>
    </row>
    <row r="3431" spans="9:21" ht="24.75" customHeight="1" x14ac:dyDescent="0.35">
      <c r="I3431" s="42">
        <f t="shared" si="540"/>
        <v>0</v>
      </c>
      <c r="J3431" s="65" t="e">
        <f t="shared" si="541"/>
        <v>#NUM!</v>
      </c>
      <c r="K3431" s="83" t="e">
        <f t="shared" si="542"/>
        <v>#NUM!</v>
      </c>
      <c r="L3431" s="83">
        <f t="shared" si="543"/>
        <v>0</v>
      </c>
      <c r="M3431" s="110" t="str">
        <f t="shared" si="544"/>
        <v/>
      </c>
      <c r="N3431" s="51" t="str">
        <f t="shared" si="545"/>
        <v/>
      </c>
      <c r="O3431" s="52" t="str">
        <f t="shared" si="546"/>
        <v/>
      </c>
      <c r="P3431" s="88">
        <f t="shared" si="547"/>
        <v>0</v>
      </c>
      <c r="Q3431" s="88">
        <f t="shared" si="548"/>
        <v>0</v>
      </c>
      <c r="R3431" s="88" t="e">
        <f>-IF(Tabla14[[#This Row],[DIAS HABILES O MORA]]&lt;0,(Tabla14[[#This Row],[VALOR PRESTAMO]]*Tabla14[[#This Row],[% INTERES ]]/30*U3431))+Tabla14[[#This Row],[VALOR CUOTAS]]</f>
        <v>#VALUE!</v>
      </c>
      <c r="S3431" s="88">
        <f>-IF(Tabla14[[#This Row],[DIAS HABILES O MORA]]&lt;0,(Tabla14[[#This Row],[VALOR PRESTAMO]]*Tabla14[[#This Row],[% INTERES ]]/30*U3431))</f>
        <v>0</v>
      </c>
      <c r="T3431" s="53" t="e">
        <f>Tabla14[[#This Row],[DEUDA CAPITAL]]+Tabla14[[#This Row],[INTERES  CUOTA]]</f>
        <v>#NUM!</v>
      </c>
      <c r="U3431" s="61" t="str">
        <f t="shared" si="549"/>
        <v/>
      </c>
    </row>
    <row r="3432" spans="9:21" ht="24.75" customHeight="1" x14ac:dyDescent="0.35">
      <c r="I3432" s="42">
        <f t="shared" si="540"/>
        <v>0</v>
      </c>
      <c r="J3432" s="65" t="e">
        <f t="shared" si="541"/>
        <v>#NUM!</v>
      </c>
      <c r="K3432" s="83" t="e">
        <f t="shared" si="542"/>
        <v>#NUM!</v>
      </c>
      <c r="L3432" s="83">
        <f t="shared" si="543"/>
        <v>0</v>
      </c>
      <c r="M3432" s="110" t="str">
        <f t="shared" si="544"/>
        <v/>
      </c>
      <c r="N3432" s="51" t="str">
        <f t="shared" si="545"/>
        <v/>
      </c>
      <c r="O3432" s="52" t="str">
        <f t="shared" si="546"/>
        <v/>
      </c>
      <c r="P3432" s="88">
        <f t="shared" si="547"/>
        <v>0</v>
      </c>
      <c r="Q3432" s="88">
        <f t="shared" si="548"/>
        <v>0</v>
      </c>
      <c r="R3432" s="88" t="e">
        <f>-IF(Tabla14[[#This Row],[DIAS HABILES O MORA]]&lt;0,(Tabla14[[#This Row],[VALOR PRESTAMO]]*Tabla14[[#This Row],[% INTERES ]]/30*U3432))+Tabla14[[#This Row],[VALOR CUOTAS]]</f>
        <v>#VALUE!</v>
      </c>
      <c r="S3432" s="88">
        <f>-IF(Tabla14[[#This Row],[DIAS HABILES O MORA]]&lt;0,(Tabla14[[#This Row],[VALOR PRESTAMO]]*Tabla14[[#This Row],[% INTERES ]]/30*U3432))</f>
        <v>0</v>
      </c>
      <c r="T3432" s="53" t="e">
        <f>Tabla14[[#This Row],[DEUDA CAPITAL]]+Tabla14[[#This Row],[INTERES  CUOTA]]</f>
        <v>#NUM!</v>
      </c>
      <c r="U3432" s="61" t="str">
        <f t="shared" si="549"/>
        <v/>
      </c>
    </row>
    <row r="3433" spans="9:21" ht="24.75" customHeight="1" x14ac:dyDescent="0.35">
      <c r="I3433" s="42">
        <f t="shared" si="540"/>
        <v>0</v>
      </c>
      <c r="J3433" s="65" t="e">
        <f t="shared" si="541"/>
        <v>#NUM!</v>
      </c>
      <c r="K3433" s="83" t="e">
        <f t="shared" si="542"/>
        <v>#NUM!</v>
      </c>
      <c r="L3433" s="83">
        <f t="shared" si="543"/>
        <v>0</v>
      </c>
      <c r="M3433" s="110" t="str">
        <f t="shared" si="544"/>
        <v/>
      </c>
      <c r="N3433" s="51" t="str">
        <f t="shared" si="545"/>
        <v/>
      </c>
      <c r="O3433" s="52" t="str">
        <f t="shared" si="546"/>
        <v/>
      </c>
      <c r="P3433" s="88">
        <f t="shared" si="547"/>
        <v>0</v>
      </c>
      <c r="Q3433" s="88">
        <f t="shared" si="548"/>
        <v>0</v>
      </c>
      <c r="R3433" s="88" t="e">
        <f>-IF(Tabla14[[#This Row],[DIAS HABILES O MORA]]&lt;0,(Tabla14[[#This Row],[VALOR PRESTAMO]]*Tabla14[[#This Row],[% INTERES ]]/30*U3433))+Tabla14[[#This Row],[VALOR CUOTAS]]</f>
        <v>#VALUE!</v>
      </c>
      <c r="S3433" s="88">
        <f>-IF(Tabla14[[#This Row],[DIAS HABILES O MORA]]&lt;0,(Tabla14[[#This Row],[VALOR PRESTAMO]]*Tabla14[[#This Row],[% INTERES ]]/30*U3433))</f>
        <v>0</v>
      </c>
      <c r="T3433" s="53" t="e">
        <f>Tabla14[[#This Row],[DEUDA CAPITAL]]+Tabla14[[#This Row],[INTERES  CUOTA]]</f>
        <v>#NUM!</v>
      </c>
      <c r="U3433" s="61" t="str">
        <f t="shared" si="549"/>
        <v/>
      </c>
    </row>
    <row r="3434" spans="9:21" ht="24.75" customHeight="1" x14ac:dyDescent="0.35">
      <c r="I3434" s="42">
        <f t="shared" si="540"/>
        <v>0</v>
      </c>
      <c r="J3434" s="65" t="e">
        <f t="shared" si="541"/>
        <v>#NUM!</v>
      </c>
      <c r="K3434" s="83" t="e">
        <f t="shared" si="542"/>
        <v>#NUM!</v>
      </c>
      <c r="L3434" s="83">
        <f t="shared" si="543"/>
        <v>0</v>
      </c>
      <c r="M3434" s="110" t="str">
        <f t="shared" si="544"/>
        <v/>
      </c>
      <c r="N3434" s="51" t="str">
        <f t="shared" si="545"/>
        <v/>
      </c>
      <c r="O3434" s="52" t="str">
        <f t="shared" si="546"/>
        <v/>
      </c>
      <c r="P3434" s="88">
        <f t="shared" si="547"/>
        <v>0</v>
      </c>
      <c r="Q3434" s="88">
        <f t="shared" si="548"/>
        <v>0</v>
      </c>
      <c r="R3434" s="88" t="e">
        <f>-IF(Tabla14[[#This Row],[DIAS HABILES O MORA]]&lt;0,(Tabla14[[#This Row],[VALOR PRESTAMO]]*Tabla14[[#This Row],[% INTERES ]]/30*U3434))+Tabla14[[#This Row],[VALOR CUOTAS]]</f>
        <v>#VALUE!</v>
      </c>
      <c r="S3434" s="88">
        <f>-IF(Tabla14[[#This Row],[DIAS HABILES O MORA]]&lt;0,(Tabla14[[#This Row],[VALOR PRESTAMO]]*Tabla14[[#This Row],[% INTERES ]]/30*U3434))</f>
        <v>0</v>
      </c>
      <c r="T3434" s="53" t="e">
        <f>Tabla14[[#This Row],[DEUDA CAPITAL]]+Tabla14[[#This Row],[INTERES  CUOTA]]</f>
        <v>#NUM!</v>
      </c>
      <c r="U3434" s="61" t="str">
        <f t="shared" si="549"/>
        <v/>
      </c>
    </row>
    <row r="3435" spans="9:21" ht="24.75" customHeight="1" x14ac:dyDescent="0.35">
      <c r="I3435" s="42">
        <f t="shared" si="540"/>
        <v>0</v>
      </c>
      <c r="J3435" s="65" t="e">
        <f t="shared" si="541"/>
        <v>#NUM!</v>
      </c>
      <c r="K3435" s="83" t="e">
        <f t="shared" si="542"/>
        <v>#NUM!</v>
      </c>
      <c r="L3435" s="83">
        <f t="shared" si="543"/>
        <v>0</v>
      </c>
      <c r="M3435" s="110" t="str">
        <f t="shared" si="544"/>
        <v/>
      </c>
      <c r="N3435" s="51" t="str">
        <f t="shared" si="545"/>
        <v/>
      </c>
      <c r="O3435" s="52" t="str">
        <f t="shared" si="546"/>
        <v/>
      </c>
      <c r="P3435" s="88">
        <f t="shared" si="547"/>
        <v>0</v>
      </c>
      <c r="Q3435" s="88">
        <f t="shared" si="548"/>
        <v>0</v>
      </c>
      <c r="R3435" s="88" t="e">
        <f>-IF(Tabla14[[#This Row],[DIAS HABILES O MORA]]&lt;0,(Tabla14[[#This Row],[VALOR PRESTAMO]]*Tabla14[[#This Row],[% INTERES ]]/30*U3435))+Tabla14[[#This Row],[VALOR CUOTAS]]</f>
        <v>#VALUE!</v>
      </c>
      <c r="S3435" s="88">
        <f>-IF(Tabla14[[#This Row],[DIAS HABILES O MORA]]&lt;0,(Tabla14[[#This Row],[VALOR PRESTAMO]]*Tabla14[[#This Row],[% INTERES ]]/30*U3435))</f>
        <v>0</v>
      </c>
      <c r="T3435" s="53" t="e">
        <f>Tabla14[[#This Row],[DEUDA CAPITAL]]+Tabla14[[#This Row],[INTERES  CUOTA]]</f>
        <v>#NUM!</v>
      </c>
      <c r="U3435" s="61" t="str">
        <f t="shared" si="549"/>
        <v/>
      </c>
    </row>
    <row r="3436" spans="9:21" ht="24.75" customHeight="1" x14ac:dyDescent="0.35">
      <c r="I3436" s="42">
        <f t="shared" si="540"/>
        <v>0</v>
      </c>
      <c r="J3436" s="65" t="e">
        <f t="shared" si="541"/>
        <v>#NUM!</v>
      </c>
      <c r="K3436" s="83" t="e">
        <f t="shared" si="542"/>
        <v>#NUM!</v>
      </c>
      <c r="L3436" s="83">
        <f t="shared" si="543"/>
        <v>0</v>
      </c>
      <c r="M3436" s="110" t="str">
        <f t="shared" si="544"/>
        <v/>
      </c>
      <c r="N3436" s="51" t="str">
        <f t="shared" si="545"/>
        <v/>
      </c>
      <c r="O3436" s="52" t="str">
        <f t="shared" si="546"/>
        <v/>
      </c>
      <c r="P3436" s="88">
        <f t="shared" si="547"/>
        <v>0</v>
      </c>
      <c r="Q3436" s="88">
        <f t="shared" si="548"/>
        <v>0</v>
      </c>
      <c r="R3436" s="88" t="e">
        <f>-IF(Tabla14[[#This Row],[DIAS HABILES O MORA]]&lt;0,(Tabla14[[#This Row],[VALOR PRESTAMO]]*Tabla14[[#This Row],[% INTERES ]]/30*U3436))+Tabla14[[#This Row],[VALOR CUOTAS]]</f>
        <v>#VALUE!</v>
      </c>
      <c r="S3436" s="88">
        <f>-IF(Tabla14[[#This Row],[DIAS HABILES O MORA]]&lt;0,(Tabla14[[#This Row],[VALOR PRESTAMO]]*Tabla14[[#This Row],[% INTERES ]]/30*U3436))</f>
        <v>0</v>
      </c>
      <c r="T3436" s="53" t="e">
        <f>Tabla14[[#This Row],[DEUDA CAPITAL]]+Tabla14[[#This Row],[INTERES  CUOTA]]</f>
        <v>#NUM!</v>
      </c>
      <c r="U3436" s="61" t="str">
        <f t="shared" si="549"/>
        <v/>
      </c>
    </row>
    <row r="3437" spans="9:21" ht="24.75" customHeight="1" x14ac:dyDescent="0.35">
      <c r="I3437" s="42">
        <f t="shared" si="540"/>
        <v>0</v>
      </c>
      <c r="J3437" s="65" t="e">
        <f t="shared" si="541"/>
        <v>#NUM!</v>
      </c>
      <c r="K3437" s="83" t="e">
        <f t="shared" si="542"/>
        <v>#NUM!</v>
      </c>
      <c r="L3437" s="83">
        <f t="shared" si="543"/>
        <v>0</v>
      </c>
      <c r="M3437" s="110" t="str">
        <f t="shared" si="544"/>
        <v/>
      </c>
      <c r="N3437" s="51" t="str">
        <f t="shared" si="545"/>
        <v/>
      </c>
      <c r="O3437" s="52" t="str">
        <f t="shared" si="546"/>
        <v/>
      </c>
      <c r="P3437" s="88">
        <f t="shared" si="547"/>
        <v>0</v>
      </c>
      <c r="Q3437" s="88">
        <f t="shared" si="548"/>
        <v>0</v>
      </c>
      <c r="R3437" s="88" t="e">
        <f>-IF(Tabla14[[#This Row],[DIAS HABILES O MORA]]&lt;0,(Tabla14[[#This Row],[VALOR PRESTAMO]]*Tabla14[[#This Row],[% INTERES ]]/30*U3437))+Tabla14[[#This Row],[VALOR CUOTAS]]</f>
        <v>#VALUE!</v>
      </c>
      <c r="S3437" s="88">
        <f>-IF(Tabla14[[#This Row],[DIAS HABILES O MORA]]&lt;0,(Tabla14[[#This Row],[VALOR PRESTAMO]]*Tabla14[[#This Row],[% INTERES ]]/30*U3437))</f>
        <v>0</v>
      </c>
      <c r="T3437" s="53" t="e">
        <f>Tabla14[[#This Row],[DEUDA CAPITAL]]+Tabla14[[#This Row],[INTERES  CUOTA]]</f>
        <v>#NUM!</v>
      </c>
      <c r="U3437" s="61" t="str">
        <f t="shared" si="549"/>
        <v/>
      </c>
    </row>
    <row r="3438" spans="9:21" ht="24.75" customHeight="1" x14ac:dyDescent="0.35">
      <c r="I3438" s="42">
        <f t="shared" si="540"/>
        <v>0</v>
      </c>
      <c r="J3438" s="65" t="e">
        <f t="shared" si="541"/>
        <v>#NUM!</v>
      </c>
      <c r="K3438" s="83" t="e">
        <f t="shared" si="542"/>
        <v>#NUM!</v>
      </c>
      <c r="L3438" s="83">
        <f t="shared" si="543"/>
        <v>0</v>
      </c>
      <c r="M3438" s="110" t="str">
        <f t="shared" si="544"/>
        <v/>
      </c>
      <c r="N3438" s="51" t="str">
        <f t="shared" si="545"/>
        <v/>
      </c>
      <c r="O3438" s="52" t="str">
        <f t="shared" si="546"/>
        <v/>
      </c>
      <c r="P3438" s="88">
        <f t="shared" si="547"/>
        <v>0</v>
      </c>
      <c r="Q3438" s="88">
        <f t="shared" si="548"/>
        <v>0</v>
      </c>
      <c r="R3438" s="88" t="e">
        <f>-IF(Tabla14[[#This Row],[DIAS HABILES O MORA]]&lt;0,(Tabla14[[#This Row],[VALOR PRESTAMO]]*Tabla14[[#This Row],[% INTERES ]]/30*U3438))+Tabla14[[#This Row],[VALOR CUOTAS]]</f>
        <v>#VALUE!</v>
      </c>
      <c r="S3438" s="88">
        <f>-IF(Tabla14[[#This Row],[DIAS HABILES O MORA]]&lt;0,(Tabla14[[#This Row],[VALOR PRESTAMO]]*Tabla14[[#This Row],[% INTERES ]]/30*U3438))</f>
        <v>0</v>
      </c>
      <c r="T3438" s="53" t="e">
        <f>Tabla14[[#This Row],[DEUDA CAPITAL]]+Tabla14[[#This Row],[INTERES  CUOTA]]</f>
        <v>#NUM!</v>
      </c>
      <c r="U3438" s="61" t="str">
        <f t="shared" si="549"/>
        <v/>
      </c>
    </row>
    <row r="3439" spans="9:21" ht="24.75" customHeight="1" x14ac:dyDescent="0.35">
      <c r="I3439" s="42">
        <f t="shared" si="540"/>
        <v>0</v>
      </c>
      <c r="J3439" s="65" t="e">
        <f t="shared" si="541"/>
        <v>#NUM!</v>
      </c>
      <c r="K3439" s="83" t="e">
        <f t="shared" si="542"/>
        <v>#NUM!</v>
      </c>
      <c r="L3439" s="83">
        <f t="shared" si="543"/>
        <v>0</v>
      </c>
      <c r="M3439" s="110" t="str">
        <f t="shared" si="544"/>
        <v/>
      </c>
      <c r="N3439" s="51" t="str">
        <f t="shared" si="545"/>
        <v/>
      </c>
      <c r="O3439" s="52" t="str">
        <f t="shared" si="546"/>
        <v/>
      </c>
      <c r="P3439" s="88">
        <f t="shared" si="547"/>
        <v>0</v>
      </c>
      <c r="Q3439" s="88">
        <f t="shared" si="548"/>
        <v>0</v>
      </c>
      <c r="R3439" s="88" t="e">
        <f>-IF(Tabla14[[#This Row],[DIAS HABILES O MORA]]&lt;0,(Tabla14[[#This Row],[VALOR PRESTAMO]]*Tabla14[[#This Row],[% INTERES ]]/30*U3439))+Tabla14[[#This Row],[VALOR CUOTAS]]</f>
        <v>#VALUE!</v>
      </c>
      <c r="S3439" s="88">
        <f>-IF(Tabla14[[#This Row],[DIAS HABILES O MORA]]&lt;0,(Tabla14[[#This Row],[VALOR PRESTAMO]]*Tabla14[[#This Row],[% INTERES ]]/30*U3439))</f>
        <v>0</v>
      </c>
      <c r="T3439" s="53" t="e">
        <f>Tabla14[[#This Row],[DEUDA CAPITAL]]+Tabla14[[#This Row],[INTERES  CUOTA]]</f>
        <v>#NUM!</v>
      </c>
      <c r="U3439" s="61" t="str">
        <f t="shared" si="549"/>
        <v/>
      </c>
    </row>
    <row r="3440" spans="9:21" ht="24.75" customHeight="1" x14ac:dyDescent="0.35">
      <c r="I3440" s="42">
        <f t="shared" si="540"/>
        <v>0</v>
      </c>
      <c r="J3440" s="65" t="e">
        <f t="shared" si="541"/>
        <v>#NUM!</v>
      </c>
      <c r="K3440" s="83" t="e">
        <f t="shared" si="542"/>
        <v>#NUM!</v>
      </c>
      <c r="L3440" s="83">
        <f t="shared" si="543"/>
        <v>0</v>
      </c>
      <c r="M3440" s="110" t="str">
        <f t="shared" si="544"/>
        <v/>
      </c>
      <c r="N3440" s="51" t="str">
        <f t="shared" si="545"/>
        <v/>
      </c>
      <c r="O3440" s="52" t="str">
        <f t="shared" si="546"/>
        <v/>
      </c>
      <c r="P3440" s="88">
        <f t="shared" si="547"/>
        <v>0</v>
      </c>
      <c r="Q3440" s="88">
        <f t="shared" si="548"/>
        <v>0</v>
      </c>
      <c r="R3440" s="88" t="e">
        <f>-IF(Tabla14[[#This Row],[DIAS HABILES O MORA]]&lt;0,(Tabla14[[#This Row],[VALOR PRESTAMO]]*Tabla14[[#This Row],[% INTERES ]]/30*U3440))+Tabla14[[#This Row],[VALOR CUOTAS]]</f>
        <v>#VALUE!</v>
      </c>
      <c r="S3440" s="88">
        <f>-IF(Tabla14[[#This Row],[DIAS HABILES O MORA]]&lt;0,(Tabla14[[#This Row],[VALOR PRESTAMO]]*Tabla14[[#This Row],[% INTERES ]]/30*U3440))</f>
        <v>0</v>
      </c>
      <c r="T3440" s="53" t="e">
        <f>Tabla14[[#This Row],[DEUDA CAPITAL]]+Tabla14[[#This Row],[INTERES  CUOTA]]</f>
        <v>#NUM!</v>
      </c>
      <c r="U3440" s="61" t="str">
        <f t="shared" si="549"/>
        <v/>
      </c>
    </row>
    <row r="3441" spans="9:21" ht="24.75" customHeight="1" x14ac:dyDescent="0.35">
      <c r="I3441" s="42">
        <f t="shared" si="540"/>
        <v>0</v>
      </c>
      <c r="J3441" s="65" t="e">
        <f t="shared" si="541"/>
        <v>#NUM!</v>
      </c>
      <c r="K3441" s="83" t="e">
        <f t="shared" si="542"/>
        <v>#NUM!</v>
      </c>
      <c r="L3441" s="83">
        <f t="shared" si="543"/>
        <v>0</v>
      </c>
      <c r="M3441" s="110" t="str">
        <f t="shared" si="544"/>
        <v/>
      </c>
      <c r="N3441" s="51" t="str">
        <f t="shared" si="545"/>
        <v/>
      </c>
      <c r="O3441" s="52" t="str">
        <f t="shared" si="546"/>
        <v/>
      </c>
      <c r="P3441" s="88">
        <f t="shared" si="547"/>
        <v>0</v>
      </c>
      <c r="Q3441" s="88">
        <f t="shared" si="548"/>
        <v>0</v>
      </c>
      <c r="R3441" s="88" t="e">
        <f>-IF(Tabla14[[#This Row],[DIAS HABILES O MORA]]&lt;0,(Tabla14[[#This Row],[VALOR PRESTAMO]]*Tabla14[[#This Row],[% INTERES ]]/30*U3441))+Tabla14[[#This Row],[VALOR CUOTAS]]</f>
        <v>#VALUE!</v>
      </c>
      <c r="S3441" s="88">
        <f>-IF(Tabla14[[#This Row],[DIAS HABILES O MORA]]&lt;0,(Tabla14[[#This Row],[VALOR PRESTAMO]]*Tabla14[[#This Row],[% INTERES ]]/30*U3441))</f>
        <v>0</v>
      </c>
      <c r="T3441" s="53" t="e">
        <f>Tabla14[[#This Row],[DEUDA CAPITAL]]+Tabla14[[#This Row],[INTERES  CUOTA]]</f>
        <v>#NUM!</v>
      </c>
      <c r="U3441" s="61" t="str">
        <f t="shared" si="549"/>
        <v/>
      </c>
    </row>
    <row r="3442" spans="9:21" ht="24.75" customHeight="1" x14ac:dyDescent="0.35">
      <c r="I3442" s="42">
        <f t="shared" si="540"/>
        <v>0</v>
      </c>
      <c r="J3442" s="65" t="e">
        <f t="shared" si="541"/>
        <v>#NUM!</v>
      </c>
      <c r="K3442" s="83" t="e">
        <f t="shared" si="542"/>
        <v>#NUM!</v>
      </c>
      <c r="L3442" s="83">
        <f t="shared" si="543"/>
        <v>0</v>
      </c>
      <c r="M3442" s="110" t="str">
        <f t="shared" si="544"/>
        <v/>
      </c>
      <c r="N3442" s="51" t="str">
        <f t="shared" si="545"/>
        <v/>
      </c>
      <c r="O3442" s="52" t="str">
        <f t="shared" si="546"/>
        <v/>
      </c>
      <c r="P3442" s="88">
        <f t="shared" si="547"/>
        <v>0</v>
      </c>
      <c r="Q3442" s="88">
        <f t="shared" si="548"/>
        <v>0</v>
      </c>
      <c r="R3442" s="88" t="e">
        <f>-IF(Tabla14[[#This Row],[DIAS HABILES O MORA]]&lt;0,(Tabla14[[#This Row],[VALOR PRESTAMO]]*Tabla14[[#This Row],[% INTERES ]]/30*U3442))+Tabla14[[#This Row],[VALOR CUOTAS]]</f>
        <v>#VALUE!</v>
      </c>
      <c r="S3442" s="88">
        <f>-IF(Tabla14[[#This Row],[DIAS HABILES O MORA]]&lt;0,(Tabla14[[#This Row],[VALOR PRESTAMO]]*Tabla14[[#This Row],[% INTERES ]]/30*U3442))</f>
        <v>0</v>
      </c>
      <c r="T3442" s="53" t="e">
        <f>Tabla14[[#This Row],[DEUDA CAPITAL]]+Tabla14[[#This Row],[INTERES  CUOTA]]</f>
        <v>#NUM!</v>
      </c>
      <c r="U3442" s="61" t="str">
        <f t="shared" si="549"/>
        <v/>
      </c>
    </row>
    <row r="3443" spans="9:21" ht="24.75" customHeight="1" x14ac:dyDescent="0.35">
      <c r="I3443" s="42">
        <f t="shared" si="540"/>
        <v>0</v>
      </c>
      <c r="J3443" s="65" t="e">
        <f t="shared" si="541"/>
        <v>#NUM!</v>
      </c>
      <c r="K3443" s="83" t="e">
        <f t="shared" si="542"/>
        <v>#NUM!</v>
      </c>
      <c r="L3443" s="83">
        <f t="shared" si="543"/>
        <v>0</v>
      </c>
      <c r="M3443" s="110" t="str">
        <f t="shared" si="544"/>
        <v/>
      </c>
      <c r="N3443" s="51" t="str">
        <f t="shared" si="545"/>
        <v/>
      </c>
      <c r="O3443" s="52" t="str">
        <f t="shared" si="546"/>
        <v/>
      </c>
      <c r="P3443" s="88">
        <f t="shared" si="547"/>
        <v>0</v>
      </c>
      <c r="Q3443" s="88">
        <f t="shared" si="548"/>
        <v>0</v>
      </c>
      <c r="R3443" s="88" t="e">
        <f>-IF(Tabla14[[#This Row],[DIAS HABILES O MORA]]&lt;0,(Tabla14[[#This Row],[VALOR PRESTAMO]]*Tabla14[[#This Row],[% INTERES ]]/30*U3443))+Tabla14[[#This Row],[VALOR CUOTAS]]</f>
        <v>#VALUE!</v>
      </c>
      <c r="S3443" s="88">
        <f>-IF(Tabla14[[#This Row],[DIAS HABILES O MORA]]&lt;0,(Tabla14[[#This Row],[VALOR PRESTAMO]]*Tabla14[[#This Row],[% INTERES ]]/30*U3443))</f>
        <v>0</v>
      </c>
      <c r="T3443" s="53" t="e">
        <f>Tabla14[[#This Row],[DEUDA CAPITAL]]+Tabla14[[#This Row],[INTERES  CUOTA]]</f>
        <v>#NUM!</v>
      </c>
      <c r="U3443" s="61" t="str">
        <f t="shared" si="549"/>
        <v/>
      </c>
    </row>
    <row r="3444" spans="9:21" ht="24.75" customHeight="1" x14ac:dyDescent="0.35">
      <c r="I3444" s="42">
        <f t="shared" si="540"/>
        <v>0</v>
      </c>
      <c r="J3444" s="65" t="e">
        <f t="shared" si="541"/>
        <v>#NUM!</v>
      </c>
      <c r="K3444" s="83" t="e">
        <f t="shared" si="542"/>
        <v>#NUM!</v>
      </c>
      <c r="L3444" s="83">
        <f t="shared" si="543"/>
        <v>0</v>
      </c>
      <c r="M3444" s="110" t="str">
        <f t="shared" si="544"/>
        <v/>
      </c>
      <c r="N3444" s="51" t="str">
        <f t="shared" si="545"/>
        <v/>
      </c>
      <c r="O3444" s="52" t="str">
        <f t="shared" si="546"/>
        <v/>
      </c>
      <c r="P3444" s="88">
        <f t="shared" si="547"/>
        <v>0</v>
      </c>
      <c r="Q3444" s="88">
        <f t="shared" si="548"/>
        <v>0</v>
      </c>
      <c r="R3444" s="88" t="e">
        <f>-IF(Tabla14[[#This Row],[DIAS HABILES O MORA]]&lt;0,(Tabla14[[#This Row],[VALOR PRESTAMO]]*Tabla14[[#This Row],[% INTERES ]]/30*U3444))+Tabla14[[#This Row],[VALOR CUOTAS]]</f>
        <v>#VALUE!</v>
      </c>
      <c r="S3444" s="88">
        <f>-IF(Tabla14[[#This Row],[DIAS HABILES O MORA]]&lt;0,(Tabla14[[#This Row],[VALOR PRESTAMO]]*Tabla14[[#This Row],[% INTERES ]]/30*U3444))</f>
        <v>0</v>
      </c>
      <c r="T3444" s="53" t="e">
        <f>Tabla14[[#This Row],[DEUDA CAPITAL]]+Tabla14[[#This Row],[INTERES  CUOTA]]</f>
        <v>#NUM!</v>
      </c>
      <c r="U3444" s="61" t="str">
        <f t="shared" si="549"/>
        <v/>
      </c>
    </row>
    <row r="3445" spans="9:21" ht="24.75" customHeight="1" x14ac:dyDescent="0.35">
      <c r="I3445" s="42">
        <f t="shared" si="540"/>
        <v>0</v>
      </c>
      <c r="J3445" s="65" t="e">
        <f t="shared" si="541"/>
        <v>#NUM!</v>
      </c>
      <c r="K3445" s="83" t="e">
        <f t="shared" si="542"/>
        <v>#NUM!</v>
      </c>
      <c r="L3445" s="83">
        <f t="shared" si="543"/>
        <v>0</v>
      </c>
      <c r="M3445" s="110" t="str">
        <f t="shared" si="544"/>
        <v/>
      </c>
      <c r="N3445" s="51" t="str">
        <f t="shared" si="545"/>
        <v/>
      </c>
      <c r="O3445" s="52" t="str">
        <f t="shared" si="546"/>
        <v/>
      </c>
      <c r="P3445" s="88">
        <f t="shared" si="547"/>
        <v>0</v>
      </c>
      <c r="Q3445" s="88">
        <f t="shared" si="548"/>
        <v>0</v>
      </c>
      <c r="R3445" s="88" t="e">
        <f>-IF(Tabla14[[#This Row],[DIAS HABILES O MORA]]&lt;0,(Tabla14[[#This Row],[VALOR PRESTAMO]]*Tabla14[[#This Row],[% INTERES ]]/30*U3445))+Tabla14[[#This Row],[VALOR CUOTAS]]</f>
        <v>#VALUE!</v>
      </c>
      <c r="S3445" s="88">
        <f>-IF(Tabla14[[#This Row],[DIAS HABILES O MORA]]&lt;0,(Tabla14[[#This Row],[VALOR PRESTAMO]]*Tabla14[[#This Row],[% INTERES ]]/30*U3445))</f>
        <v>0</v>
      </c>
      <c r="T3445" s="53" t="e">
        <f>Tabla14[[#This Row],[DEUDA CAPITAL]]+Tabla14[[#This Row],[INTERES  CUOTA]]</f>
        <v>#NUM!</v>
      </c>
      <c r="U3445" s="61" t="str">
        <f t="shared" si="549"/>
        <v/>
      </c>
    </row>
    <row r="3446" spans="9:21" ht="24.75" customHeight="1" x14ac:dyDescent="0.35">
      <c r="I3446" s="42">
        <f t="shared" si="540"/>
        <v>0</v>
      </c>
      <c r="J3446" s="65" t="e">
        <f t="shared" si="541"/>
        <v>#NUM!</v>
      </c>
      <c r="K3446" s="83" t="e">
        <f t="shared" si="542"/>
        <v>#NUM!</v>
      </c>
      <c r="L3446" s="83">
        <f t="shared" si="543"/>
        <v>0</v>
      </c>
      <c r="M3446" s="110" t="str">
        <f t="shared" si="544"/>
        <v/>
      </c>
      <c r="N3446" s="51" t="str">
        <f t="shared" si="545"/>
        <v/>
      </c>
      <c r="O3446" s="52" t="str">
        <f t="shared" si="546"/>
        <v/>
      </c>
      <c r="P3446" s="88">
        <f t="shared" si="547"/>
        <v>0</v>
      </c>
      <c r="Q3446" s="88">
        <f t="shared" si="548"/>
        <v>0</v>
      </c>
      <c r="R3446" s="88" t="e">
        <f>-IF(Tabla14[[#This Row],[DIAS HABILES O MORA]]&lt;0,(Tabla14[[#This Row],[VALOR PRESTAMO]]*Tabla14[[#This Row],[% INTERES ]]/30*U3446))+Tabla14[[#This Row],[VALOR CUOTAS]]</f>
        <v>#VALUE!</v>
      </c>
      <c r="S3446" s="88">
        <f>-IF(Tabla14[[#This Row],[DIAS HABILES O MORA]]&lt;0,(Tabla14[[#This Row],[VALOR PRESTAMO]]*Tabla14[[#This Row],[% INTERES ]]/30*U3446))</f>
        <v>0</v>
      </c>
      <c r="T3446" s="53" t="e">
        <f>Tabla14[[#This Row],[DEUDA CAPITAL]]+Tabla14[[#This Row],[INTERES  CUOTA]]</f>
        <v>#NUM!</v>
      </c>
      <c r="U3446" s="61" t="str">
        <f t="shared" si="549"/>
        <v/>
      </c>
    </row>
    <row r="3447" spans="9:21" ht="24.75" customHeight="1" x14ac:dyDescent="0.35">
      <c r="I3447" s="42">
        <f t="shared" si="540"/>
        <v>0</v>
      </c>
      <c r="J3447" s="65" t="e">
        <f t="shared" si="541"/>
        <v>#NUM!</v>
      </c>
      <c r="K3447" s="83" t="e">
        <f t="shared" si="542"/>
        <v>#NUM!</v>
      </c>
      <c r="L3447" s="83">
        <f t="shared" si="543"/>
        <v>0</v>
      </c>
      <c r="M3447" s="110" t="str">
        <f t="shared" si="544"/>
        <v/>
      </c>
      <c r="N3447" s="51" t="str">
        <f t="shared" si="545"/>
        <v/>
      </c>
      <c r="O3447" s="52" t="str">
        <f t="shared" si="546"/>
        <v/>
      </c>
      <c r="P3447" s="88">
        <f t="shared" si="547"/>
        <v>0</v>
      </c>
      <c r="Q3447" s="88">
        <f t="shared" si="548"/>
        <v>0</v>
      </c>
      <c r="R3447" s="88" t="e">
        <f>-IF(Tabla14[[#This Row],[DIAS HABILES O MORA]]&lt;0,(Tabla14[[#This Row],[VALOR PRESTAMO]]*Tabla14[[#This Row],[% INTERES ]]/30*U3447))+Tabla14[[#This Row],[VALOR CUOTAS]]</f>
        <v>#VALUE!</v>
      </c>
      <c r="S3447" s="88">
        <f>-IF(Tabla14[[#This Row],[DIAS HABILES O MORA]]&lt;0,(Tabla14[[#This Row],[VALOR PRESTAMO]]*Tabla14[[#This Row],[% INTERES ]]/30*U3447))</f>
        <v>0</v>
      </c>
      <c r="T3447" s="53" t="e">
        <f>Tabla14[[#This Row],[DEUDA CAPITAL]]+Tabla14[[#This Row],[INTERES  CUOTA]]</f>
        <v>#NUM!</v>
      </c>
      <c r="U3447" s="61" t="str">
        <f t="shared" si="549"/>
        <v/>
      </c>
    </row>
    <row r="3448" spans="9:21" ht="24.75" customHeight="1" x14ac:dyDescent="0.35">
      <c r="I3448" s="42">
        <f t="shared" si="540"/>
        <v>0</v>
      </c>
      <c r="J3448" s="65" t="e">
        <f t="shared" si="541"/>
        <v>#NUM!</v>
      </c>
      <c r="K3448" s="83" t="e">
        <f t="shared" si="542"/>
        <v>#NUM!</v>
      </c>
      <c r="L3448" s="83">
        <f t="shared" si="543"/>
        <v>0</v>
      </c>
      <c r="M3448" s="110" t="str">
        <f t="shared" si="544"/>
        <v/>
      </c>
      <c r="N3448" s="51" t="str">
        <f t="shared" si="545"/>
        <v/>
      </c>
      <c r="O3448" s="52" t="str">
        <f t="shared" si="546"/>
        <v/>
      </c>
      <c r="P3448" s="88">
        <f t="shared" si="547"/>
        <v>0</v>
      </c>
      <c r="Q3448" s="88">
        <f t="shared" si="548"/>
        <v>0</v>
      </c>
      <c r="R3448" s="88" t="e">
        <f>-IF(Tabla14[[#This Row],[DIAS HABILES O MORA]]&lt;0,(Tabla14[[#This Row],[VALOR PRESTAMO]]*Tabla14[[#This Row],[% INTERES ]]/30*U3448))+Tabla14[[#This Row],[VALOR CUOTAS]]</f>
        <v>#VALUE!</v>
      </c>
      <c r="S3448" s="88">
        <f>-IF(Tabla14[[#This Row],[DIAS HABILES O MORA]]&lt;0,(Tabla14[[#This Row],[VALOR PRESTAMO]]*Tabla14[[#This Row],[% INTERES ]]/30*U3448))</f>
        <v>0</v>
      </c>
      <c r="T3448" s="53" t="e">
        <f>Tabla14[[#This Row],[DEUDA CAPITAL]]+Tabla14[[#This Row],[INTERES  CUOTA]]</f>
        <v>#NUM!</v>
      </c>
      <c r="U3448" s="61" t="str">
        <f t="shared" si="549"/>
        <v/>
      </c>
    </row>
    <row r="3449" spans="9:21" ht="24.75" customHeight="1" x14ac:dyDescent="0.35">
      <c r="I3449" s="42">
        <f t="shared" si="540"/>
        <v>0</v>
      </c>
      <c r="J3449" s="65" t="e">
        <f t="shared" si="541"/>
        <v>#NUM!</v>
      </c>
      <c r="K3449" s="83" t="e">
        <f t="shared" si="542"/>
        <v>#NUM!</v>
      </c>
      <c r="L3449" s="83">
        <f t="shared" si="543"/>
        <v>0</v>
      </c>
      <c r="M3449" s="110" t="str">
        <f t="shared" si="544"/>
        <v/>
      </c>
      <c r="N3449" s="51" t="str">
        <f t="shared" si="545"/>
        <v/>
      </c>
      <c r="O3449" s="52" t="str">
        <f t="shared" si="546"/>
        <v/>
      </c>
      <c r="P3449" s="88">
        <f t="shared" si="547"/>
        <v>0</v>
      </c>
      <c r="Q3449" s="88">
        <f t="shared" si="548"/>
        <v>0</v>
      </c>
      <c r="R3449" s="88" t="e">
        <f>-IF(Tabla14[[#This Row],[DIAS HABILES O MORA]]&lt;0,(Tabla14[[#This Row],[VALOR PRESTAMO]]*Tabla14[[#This Row],[% INTERES ]]/30*U3449))+Tabla14[[#This Row],[VALOR CUOTAS]]</f>
        <v>#VALUE!</v>
      </c>
      <c r="S3449" s="88">
        <f>-IF(Tabla14[[#This Row],[DIAS HABILES O MORA]]&lt;0,(Tabla14[[#This Row],[VALOR PRESTAMO]]*Tabla14[[#This Row],[% INTERES ]]/30*U3449))</f>
        <v>0</v>
      </c>
      <c r="T3449" s="53" t="e">
        <f>Tabla14[[#This Row],[DEUDA CAPITAL]]+Tabla14[[#This Row],[INTERES  CUOTA]]</f>
        <v>#NUM!</v>
      </c>
      <c r="U3449" s="61" t="str">
        <f t="shared" si="549"/>
        <v/>
      </c>
    </row>
    <row r="3450" spans="9:21" ht="24.75" customHeight="1" x14ac:dyDescent="0.35">
      <c r="I3450" s="42">
        <f t="shared" si="540"/>
        <v>0</v>
      </c>
      <c r="J3450" s="65" t="e">
        <f t="shared" si="541"/>
        <v>#NUM!</v>
      </c>
      <c r="K3450" s="83" t="e">
        <f t="shared" si="542"/>
        <v>#NUM!</v>
      </c>
      <c r="L3450" s="83">
        <f t="shared" si="543"/>
        <v>0</v>
      </c>
      <c r="M3450" s="110" t="str">
        <f t="shared" si="544"/>
        <v/>
      </c>
      <c r="N3450" s="51" t="str">
        <f t="shared" si="545"/>
        <v/>
      </c>
      <c r="O3450" s="52" t="str">
        <f t="shared" si="546"/>
        <v/>
      </c>
      <c r="P3450" s="88">
        <f t="shared" si="547"/>
        <v>0</v>
      </c>
      <c r="Q3450" s="88">
        <f t="shared" si="548"/>
        <v>0</v>
      </c>
      <c r="R3450" s="88" t="e">
        <f>-IF(Tabla14[[#This Row],[DIAS HABILES O MORA]]&lt;0,(Tabla14[[#This Row],[VALOR PRESTAMO]]*Tabla14[[#This Row],[% INTERES ]]/30*U3450))+Tabla14[[#This Row],[VALOR CUOTAS]]</f>
        <v>#VALUE!</v>
      </c>
      <c r="S3450" s="88">
        <f>-IF(Tabla14[[#This Row],[DIAS HABILES O MORA]]&lt;0,(Tabla14[[#This Row],[VALOR PRESTAMO]]*Tabla14[[#This Row],[% INTERES ]]/30*U3450))</f>
        <v>0</v>
      </c>
      <c r="T3450" s="53" t="e">
        <f>Tabla14[[#This Row],[DEUDA CAPITAL]]+Tabla14[[#This Row],[INTERES  CUOTA]]</f>
        <v>#NUM!</v>
      </c>
      <c r="U3450" s="61" t="str">
        <f t="shared" si="549"/>
        <v/>
      </c>
    </row>
    <row r="3451" spans="9:21" ht="24.75" customHeight="1" x14ac:dyDescent="0.35">
      <c r="I3451" s="42">
        <f t="shared" si="540"/>
        <v>0</v>
      </c>
      <c r="J3451" s="65" t="e">
        <f t="shared" si="541"/>
        <v>#NUM!</v>
      </c>
      <c r="K3451" s="83" t="e">
        <f t="shared" si="542"/>
        <v>#NUM!</v>
      </c>
      <c r="L3451" s="83">
        <f t="shared" si="543"/>
        <v>0</v>
      </c>
      <c r="M3451" s="110" t="str">
        <f t="shared" si="544"/>
        <v/>
      </c>
      <c r="N3451" s="51" t="str">
        <f t="shared" si="545"/>
        <v/>
      </c>
      <c r="O3451" s="52" t="str">
        <f t="shared" si="546"/>
        <v/>
      </c>
      <c r="P3451" s="88">
        <f t="shared" si="547"/>
        <v>0</v>
      </c>
      <c r="Q3451" s="88">
        <f t="shared" si="548"/>
        <v>0</v>
      </c>
      <c r="R3451" s="88" t="e">
        <f>-IF(Tabla14[[#This Row],[DIAS HABILES O MORA]]&lt;0,(Tabla14[[#This Row],[VALOR PRESTAMO]]*Tabla14[[#This Row],[% INTERES ]]/30*U3451))+Tabla14[[#This Row],[VALOR CUOTAS]]</f>
        <v>#VALUE!</v>
      </c>
      <c r="S3451" s="88">
        <f>-IF(Tabla14[[#This Row],[DIAS HABILES O MORA]]&lt;0,(Tabla14[[#This Row],[VALOR PRESTAMO]]*Tabla14[[#This Row],[% INTERES ]]/30*U3451))</f>
        <v>0</v>
      </c>
      <c r="T3451" s="53" t="e">
        <f>Tabla14[[#This Row],[DEUDA CAPITAL]]+Tabla14[[#This Row],[INTERES  CUOTA]]</f>
        <v>#NUM!</v>
      </c>
      <c r="U3451" s="61" t="str">
        <f t="shared" si="549"/>
        <v/>
      </c>
    </row>
    <row r="3452" spans="9:21" ht="24.75" customHeight="1" x14ac:dyDescent="0.35">
      <c r="I3452" s="42">
        <f t="shared" si="540"/>
        <v>0</v>
      </c>
      <c r="J3452" s="65" t="e">
        <f t="shared" si="541"/>
        <v>#NUM!</v>
      </c>
      <c r="K3452" s="83" t="e">
        <f t="shared" si="542"/>
        <v>#NUM!</v>
      </c>
      <c r="L3452" s="83">
        <f t="shared" si="543"/>
        <v>0</v>
      </c>
      <c r="M3452" s="110" t="str">
        <f t="shared" si="544"/>
        <v/>
      </c>
      <c r="N3452" s="51" t="str">
        <f t="shared" si="545"/>
        <v/>
      </c>
      <c r="O3452" s="52" t="str">
        <f t="shared" si="546"/>
        <v/>
      </c>
      <c r="P3452" s="88">
        <f t="shared" si="547"/>
        <v>0</v>
      </c>
      <c r="Q3452" s="88">
        <f t="shared" si="548"/>
        <v>0</v>
      </c>
      <c r="R3452" s="88" t="e">
        <f>-IF(Tabla14[[#This Row],[DIAS HABILES O MORA]]&lt;0,(Tabla14[[#This Row],[VALOR PRESTAMO]]*Tabla14[[#This Row],[% INTERES ]]/30*U3452))+Tabla14[[#This Row],[VALOR CUOTAS]]</f>
        <v>#VALUE!</v>
      </c>
      <c r="S3452" s="88">
        <f>-IF(Tabla14[[#This Row],[DIAS HABILES O MORA]]&lt;0,(Tabla14[[#This Row],[VALOR PRESTAMO]]*Tabla14[[#This Row],[% INTERES ]]/30*U3452))</f>
        <v>0</v>
      </c>
      <c r="T3452" s="53" t="e">
        <f>Tabla14[[#This Row],[DEUDA CAPITAL]]+Tabla14[[#This Row],[INTERES  CUOTA]]</f>
        <v>#NUM!</v>
      </c>
      <c r="U3452" s="61" t="str">
        <f t="shared" si="549"/>
        <v/>
      </c>
    </row>
    <row r="3453" spans="9:21" ht="24.75" customHeight="1" x14ac:dyDescent="0.35">
      <c r="I3453" s="42">
        <f t="shared" si="540"/>
        <v>0</v>
      </c>
      <c r="J3453" s="65" t="e">
        <f t="shared" si="541"/>
        <v>#NUM!</v>
      </c>
      <c r="K3453" s="83" t="e">
        <f t="shared" si="542"/>
        <v>#NUM!</v>
      </c>
      <c r="L3453" s="83">
        <f t="shared" si="543"/>
        <v>0</v>
      </c>
      <c r="M3453" s="110" t="str">
        <f t="shared" si="544"/>
        <v/>
      </c>
      <c r="N3453" s="51" t="str">
        <f t="shared" si="545"/>
        <v/>
      </c>
      <c r="O3453" s="52" t="str">
        <f t="shared" si="546"/>
        <v/>
      </c>
      <c r="P3453" s="88">
        <f t="shared" si="547"/>
        <v>0</v>
      </c>
      <c r="Q3453" s="88">
        <f t="shared" si="548"/>
        <v>0</v>
      </c>
      <c r="R3453" s="88" t="e">
        <f>-IF(Tabla14[[#This Row],[DIAS HABILES O MORA]]&lt;0,(Tabla14[[#This Row],[VALOR PRESTAMO]]*Tabla14[[#This Row],[% INTERES ]]/30*U3453))+Tabla14[[#This Row],[VALOR CUOTAS]]</f>
        <v>#VALUE!</v>
      </c>
      <c r="S3453" s="88">
        <f>-IF(Tabla14[[#This Row],[DIAS HABILES O MORA]]&lt;0,(Tabla14[[#This Row],[VALOR PRESTAMO]]*Tabla14[[#This Row],[% INTERES ]]/30*U3453))</f>
        <v>0</v>
      </c>
      <c r="T3453" s="53" t="e">
        <f>Tabla14[[#This Row],[DEUDA CAPITAL]]+Tabla14[[#This Row],[INTERES  CUOTA]]</f>
        <v>#NUM!</v>
      </c>
      <c r="U3453" s="61" t="str">
        <f t="shared" si="549"/>
        <v/>
      </c>
    </row>
    <row r="3454" spans="9:21" ht="24.75" customHeight="1" x14ac:dyDescent="0.35">
      <c r="I3454" s="42">
        <f t="shared" si="540"/>
        <v>0</v>
      </c>
      <c r="J3454" s="65" t="e">
        <f t="shared" si="541"/>
        <v>#NUM!</v>
      </c>
      <c r="K3454" s="83" t="e">
        <f t="shared" si="542"/>
        <v>#NUM!</v>
      </c>
      <c r="L3454" s="83">
        <f t="shared" si="543"/>
        <v>0</v>
      </c>
      <c r="M3454" s="110" t="str">
        <f t="shared" si="544"/>
        <v/>
      </c>
      <c r="N3454" s="51" t="str">
        <f t="shared" si="545"/>
        <v/>
      </c>
      <c r="O3454" s="52" t="str">
        <f t="shared" si="546"/>
        <v/>
      </c>
      <c r="P3454" s="88">
        <f t="shared" si="547"/>
        <v>0</v>
      </c>
      <c r="Q3454" s="88">
        <f t="shared" si="548"/>
        <v>0</v>
      </c>
      <c r="R3454" s="88" t="e">
        <f>-IF(Tabla14[[#This Row],[DIAS HABILES O MORA]]&lt;0,(Tabla14[[#This Row],[VALOR PRESTAMO]]*Tabla14[[#This Row],[% INTERES ]]/30*U3454))+Tabla14[[#This Row],[VALOR CUOTAS]]</f>
        <v>#VALUE!</v>
      </c>
      <c r="S3454" s="88">
        <f>-IF(Tabla14[[#This Row],[DIAS HABILES O MORA]]&lt;0,(Tabla14[[#This Row],[VALOR PRESTAMO]]*Tabla14[[#This Row],[% INTERES ]]/30*U3454))</f>
        <v>0</v>
      </c>
      <c r="T3454" s="53" t="e">
        <f>Tabla14[[#This Row],[DEUDA CAPITAL]]+Tabla14[[#This Row],[INTERES  CUOTA]]</f>
        <v>#NUM!</v>
      </c>
      <c r="U3454" s="61" t="str">
        <f t="shared" si="549"/>
        <v/>
      </c>
    </row>
    <row r="3455" spans="9:21" ht="24.75" customHeight="1" x14ac:dyDescent="0.35">
      <c r="I3455" s="42">
        <f t="shared" si="540"/>
        <v>0</v>
      </c>
      <c r="J3455" s="65" t="e">
        <f t="shared" si="541"/>
        <v>#NUM!</v>
      </c>
      <c r="K3455" s="83" t="e">
        <f t="shared" si="542"/>
        <v>#NUM!</v>
      </c>
      <c r="L3455" s="83">
        <f t="shared" si="543"/>
        <v>0</v>
      </c>
      <c r="M3455" s="110" t="str">
        <f t="shared" si="544"/>
        <v/>
      </c>
      <c r="N3455" s="51" t="str">
        <f t="shared" si="545"/>
        <v/>
      </c>
      <c r="O3455" s="52" t="str">
        <f t="shared" si="546"/>
        <v/>
      </c>
      <c r="P3455" s="88">
        <f t="shared" si="547"/>
        <v>0</v>
      </c>
      <c r="Q3455" s="88">
        <f t="shared" si="548"/>
        <v>0</v>
      </c>
      <c r="R3455" s="88" t="e">
        <f>-IF(Tabla14[[#This Row],[DIAS HABILES O MORA]]&lt;0,(Tabla14[[#This Row],[VALOR PRESTAMO]]*Tabla14[[#This Row],[% INTERES ]]/30*U3455))+Tabla14[[#This Row],[VALOR CUOTAS]]</f>
        <v>#VALUE!</v>
      </c>
      <c r="S3455" s="88">
        <f>-IF(Tabla14[[#This Row],[DIAS HABILES O MORA]]&lt;0,(Tabla14[[#This Row],[VALOR PRESTAMO]]*Tabla14[[#This Row],[% INTERES ]]/30*U3455))</f>
        <v>0</v>
      </c>
      <c r="T3455" s="53" t="e">
        <f>Tabla14[[#This Row],[DEUDA CAPITAL]]+Tabla14[[#This Row],[INTERES  CUOTA]]</f>
        <v>#NUM!</v>
      </c>
      <c r="U3455" s="61" t="str">
        <f t="shared" si="549"/>
        <v/>
      </c>
    </row>
    <row r="3456" spans="9:21" ht="24.75" customHeight="1" x14ac:dyDescent="0.35">
      <c r="I3456" s="42">
        <f t="shared" si="540"/>
        <v>0</v>
      </c>
      <c r="J3456" s="65" t="e">
        <f t="shared" si="541"/>
        <v>#NUM!</v>
      </c>
      <c r="K3456" s="83" t="e">
        <f t="shared" si="542"/>
        <v>#NUM!</v>
      </c>
      <c r="L3456" s="83">
        <f t="shared" si="543"/>
        <v>0</v>
      </c>
      <c r="M3456" s="110" t="str">
        <f t="shared" si="544"/>
        <v/>
      </c>
      <c r="N3456" s="51" t="str">
        <f t="shared" si="545"/>
        <v/>
      </c>
      <c r="O3456" s="52" t="str">
        <f t="shared" si="546"/>
        <v/>
      </c>
      <c r="P3456" s="88">
        <f t="shared" si="547"/>
        <v>0</v>
      </c>
      <c r="Q3456" s="88">
        <f t="shared" si="548"/>
        <v>0</v>
      </c>
      <c r="R3456" s="88" t="e">
        <f>-IF(Tabla14[[#This Row],[DIAS HABILES O MORA]]&lt;0,(Tabla14[[#This Row],[VALOR PRESTAMO]]*Tabla14[[#This Row],[% INTERES ]]/30*U3456))+Tabla14[[#This Row],[VALOR CUOTAS]]</f>
        <v>#VALUE!</v>
      </c>
      <c r="S3456" s="88">
        <f>-IF(Tabla14[[#This Row],[DIAS HABILES O MORA]]&lt;0,(Tabla14[[#This Row],[VALOR PRESTAMO]]*Tabla14[[#This Row],[% INTERES ]]/30*U3456))</f>
        <v>0</v>
      </c>
      <c r="T3456" s="53" t="e">
        <f>Tabla14[[#This Row],[DEUDA CAPITAL]]+Tabla14[[#This Row],[INTERES  CUOTA]]</f>
        <v>#NUM!</v>
      </c>
      <c r="U3456" s="61" t="str">
        <f t="shared" si="549"/>
        <v/>
      </c>
    </row>
    <row r="3457" spans="9:21" ht="24.75" customHeight="1" x14ac:dyDescent="0.35">
      <c r="I3457" s="42">
        <f t="shared" si="540"/>
        <v>0</v>
      </c>
      <c r="J3457" s="65" t="e">
        <f t="shared" si="541"/>
        <v>#NUM!</v>
      </c>
      <c r="K3457" s="83" t="e">
        <f t="shared" si="542"/>
        <v>#NUM!</v>
      </c>
      <c r="L3457" s="83">
        <f t="shared" si="543"/>
        <v>0</v>
      </c>
      <c r="M3457" s="110" t="str">
        <f t="shared" si="544"/>
        <v/>
      </c>
      <c r="N3457" s="51" t="str">
        <f t="shared" si="545"/>
        <v/>
      </c>
      <c r="O3457" s="52" t="str">
        <f t="shared" si="546"/>
        <v/>
      </c>
      <c r="P3457" s="88">
        <f t="shared" si="547"/>
        <v>0</v>
      </c>
      <c r="Q3457" s="88">
        <f t="shared" si="548"/>
        <v>0</v>
      </c>
      <c r="R3457" s="88" t="e">
        <f>-IF(Tabla14[[#This Row],[DIAS HABILES O MORA]]&lt;0,(Tabla14[[#This Row],[VALOR PRESTAMO]]*Tabla14[[#This Row],[% INTERES ]]/30*U3457))+Tabla14[[#This Row],[VALOR CUOTAS]]</f>
        <v>#VALUE!</v>
      </c>
      <c r="S3457" s="88">
        <f>-IF(Tabla14[[#This Row],[DIAS HABILES O MORA]]&lt;0,(Tabla14[[#This Row],[VALOR PRESTAMO]]*Tabla14[[#This Row],[% INTERES ]]/30*U3457))</f>
        <v>0</v>
      </c>
      <c r="T3457" s="53" t="e">
        <f>Tabla14[[#This Row],[DEUDA CAPITAL]]+Tabla14[[#This Row],[INTERES  CUOTA]]</f>
        <v>#NUM!</v>
      </c>
      <c r="U3457" s="61" t="str">
        <f t="shared" si="549"/>
        <v/>
      </c>
    </row>
    <row r="3458" spans="9:21" ht="24.75" customHeight="1" x14ac:dyDescent="0.35">
      <c r="I3458" s="42">
        <f t="shared" si="540"/>
        <v>0</v>
      </c>
      <c r="J3458" s="65" t="e">
        <f t="shared" si="541"/>
        <v>#NUM!</v>
      </c>
      <c r="K3458" s="83" t="e">
        <f t="shared" si="542"/>
        <v>#NUM!</v>
      </c>
      <c r="L3458" s="83">
        <f t="shared" si="543"/>
        <v>0</v>
      </c>
      <c r="M3458" s="110" t="str">
        <f t="shared" si="544"/>
        <v/>
      </c>
      <c r="N3458" s="51" t="str">
        <f t="shared" si="545"/>
        <v/>
      </c>
      <c r="O3458" s="52" t="str">
        <f t="shared" si="546"/>
        <v/>
      </c>
      <c r="P3458" s="88">
        <f t="shared" si="547"/>
        <v>0</v>
      </c>
      <c r="Q3458" s="88">
        <f t="shared" si="548"/>
        <v>0</v>
      </c>
      <c r="R3458" s="88" t="e">
        <f>-IF(Tabla14[[#This Row],[DIAS HABILES O MORA]]&lt;0,(Tabla14[[#This Row],[VALOR PRESTAMO]]*Tabla14[[#This Row],[% INTERES ]]/30*U3458))+Tabla14[[#This Row],[VALOR CUOTAS]]</f>
        <v>#VALUE!</v>
      </c>
      <c r="S3458" s="88">
        <f>-IF(Tabla14[[#This Row],[DIAS HABILES O MORA]]&lt;0,(Tabla14[[#This Row],[VALOR PRESTAMO]]*Tabla14[[#This Row],[% INTERES ]]/30*U3458))</f>
        <v>0</v>
      </c>
      <c r="T3458" s="53" t="e">
        <f>Tabla14[[#This Row],[DEUDA CAPITAL]]+Tabla14[[#This Row],[INTERES  CUOTA]]</f>
        <v>#NUM!</v>
      </c>
      <c r="U3458" s="61" t="str">
        <f t="shared" si="549"/>
        <v/>
      </c>
    </row>
    <row r="3459" spans="9:21" ht="24.75" customHeight="1" x14ac:dyDescent="0.35">
      <c r="I3459" s="42">
        <f t="shared" si="540"/>
        <v>0</v>
      </c>
      <c r="J3459" s="65" t="e">
        <f t="shared" si="541"/>
        <v>#NUM!</v>
      </c>
      <c r="K3459" s="83" t="e">
        <f t="shared" si="542"/>
        <v>#NUM!</v>
      </c>
      <c r="L3459" s="83">
        <f t="shared" si="543"/>
        <v>0</v>
      </c>
      <c r="M3459" s="110" t="str">
        <f t="shared" si="544"/>
        <v/>
      </c>
      <c r="N3459" s="51" t="str">
        <f t="shared" si="545"/>
        <v/>
      </c>
      <c r="O3459" s="52" t="str">
        <f t="shared" si="546"/>
        <v/>
      </c>
      <c r="P3459" s="88">
        <f t="shared" si="547"/>
        <v>0</v>
      </c>
      <c r="Q3459" s="88">
        <f t="shared" si="548"/>
        <v>0</v>
      </c>
      <c r="R3459" s="88" t="e">
        <f>-IF(Tabla14[[#This Row],[DIAS HABILES O MORA]]&lt;0,(Tabla14[[#This Row],[VALOR PRESTAMO]]*Tabla14[[#This Row],[% INTERES ]]/30*U3459))+Tabla14[[#This Row],[VALOR CUOTAS]]</f>
        <v>#VALUE!</v>
      </c>
      <c r="S3459" s="88">
        <f>-IF(Tabla14[[#This Row],[DIAS HABILES O MORA]]&lt;0,(Tabla14[[#This Row],[VALOR PRESTAMO]]*Tabla14[[#This Row],[% INTERES ]]/30*U3459))</f>
        <v>0</v>
      </c>
      <c r="T3459" s="53" t="e">
        <f>Tabla14[[#This Row],[DEUDA CAPITAL]]+Tabla14[[#This Row],[INTERES  CUOTA]]</f>
        <v>#NUM!</v>
      </c>
      <c r="U3459" s="61" t="str">
        <f t="shared" si="549"/>
        <v/>
      </c>
    </row>
    <row r="3460" spans="9:21" ht="24.75" customHeight="1" x14ac:dyDescent="0.35">
      <c r="I3460" s="42">
        <f t="shared" si="540"/>
        <v>0</v>
      </c>
      <c r="J3460" s="65" t="e">
        <f t="shared" si="541"/>
        <v>#NUM!</v>
      </c>
      <c r="K3460" s="83" t="e">
        <f t="shared" si="542"/>
        <v>#NUM!</v>
      </c>
      <c r="L3460" s="83">
        <f t="shared" si="543"/>
        <v>0</v>
      </c>
      <c r="M3460" s="110" t="str">
        <f t="shared" si="544"/>
        <v/>
      </c>
      <c r="N3460" s="51" t="str">
        <f t="shared" si="545"/>
        <v/>
      </c>
      <c r="O3460" s="52" t="str">
        <f t="shared" si="546"/>
        <v/>
      </c>
      <c r="P3460" s="88">
        <f t="shared" si="547"/>
        <v>0</v>
      </c>
      <c r="Q3460" s="88">
        <f t="shared" si="548"/>
        <v>0</v>
      </c>
      <c r="R3460" s="88" t="e">
        <f>-IF(Tabla14[[#This Row],[DIAS HABILES O MORA]]&lt;0,(Tabla14[[#This Row],[VALOR PRESTAMO]]*Tabla14[[#This Row],[% INTERES ]]/30*U3460))+Tabla14[[#This Row],[VALOR CUOTAS]]</f>
        <v>#VALUE!</v>
      </c>
      <c r="S3460" s="88">
        <f>-IF(Tabla14[[#This Row],[DIAS HABILES O MORA]]&lt;0,(Tabla14[[#This Row],[VALOR PRESTAMO]]*Tabla14[[#This Row],[% INTERES ]]/30*U3460))</f>
        <v>0</v>
      </c>
      <c r="T3460" s="53" t="e">
        <f>Tabla14[[#This Row],[DEUDA CAPITAL]]+Tabla14[[#This Row],[INTERES  CUOTA]]</f>
        <v>#NUM!</v>
      </c>
      <c r="U3460" s="61" t="str">
        <f t="shared" si="549"/>
        <v/>
      </c>
    </row>
    <row r="3461" spans="9:21" ht="24.75" customHeight="1" x14ac:dyDescent="0.35">
      <c r="I3461" s="42">
        <f t="shared" si="540"/>
        <v>0</v>
      </c>
      <c r="J3461" s="65" t="e">
        <f t="shared" si="541"/>
        <v>#NUM!</v>
      </c>
      <c r="K3461" s="83" t="e">
        <f t="shared" si="542"/>
        <v>#NUM!</v>
      </c>
      <c r="L3461" s="83">
        <f t="shared" si="543"/>
        <v>0</v>
      </c>
      <c r="M3461" s="110" t="str">
        <f t="shared" si="544"/>
        <v/>
      </c>
      <c r="N3461" s="51" t="str">
        <f t="shared" si="545"/>
        <v/>
      </c>
      <c r="O3461" s="52" t="str">
        <f t="shared" si="546"/>
        <v/>
      </c>
      <c r="P3461" s="88">
        <f t="shared" si="547"/>
        <v>0</v>
      </c>
      <c r="Q3461" s="88">
        <f t="shared" si="548"/>
        <v>0</v>
      </c>
      <c r="R3461" s="88" t="e">
        <f>-IF(Tabla14[[#This Row],[DIAS HABILES O MORA]]&lt;0,(Tabla14[[#This Row],[VALOR PRESTAMO]]*Tabla14[[#This Row],[% INTERES ]]/30*U3461))+Tabla14[[#This Row],[VALOR CUOTAS]]</f>
        <v>#VALUE!</v>
      </c>
      <c r="S3461" s="88">
        <f>-IF(Tabla14[[#This Row],[DIAS HABILES O MORA]]&lt;0,(Tabla14[[#This Row],[VALOR PRESTAMO]]*Tabla14[[#This Row],[% INTERES ]]/30*U3461))</f>
        <v>0</v>
      </c>
      <c r="T3461" s="53" t="e">
        <f>Tabla14[[#This Row],[DEUDA CAPITAL]]+Tabla14[[#This Row],[INTERES  CUOTA]]</f>
        <v>#NUM!</v>
      </c>
      <c r="U3461" s="61" t="str">
        <f t="shared" si="549"/>
        <v/>
      </c>
    </row>
    <row r="3462" spans="9:21" ht="24.75" customHeight="1" x14ac:dyDescent="0.35">
      <c r="I3462" s="42">
        <f t="shared" si="540"/>
        <v>0</v>
      </c>
      <c r="J3462" s="65" t="e">
        <f t="shared" si="541"/>
        <v>#NUM!</v>
      </c>
      <c r="K3462" s="83" t="e">
        <f t="shared" si="542"/>
        <v>#NUM!</v>
      </c>
      <c r="L3462" s="83">
        <f t="shared" si="543"/>
        <v>0</v>
      </c>
      <c r="M3462" s="110" t="str">
        <f t="shared" si="544"/>
        <v/>
      </c>
      <c r="N3462" s="51" t="str">
        <f t="shared" si="545"/>
        <v/>
      </c>
      <c r="O3462" s="52" t="str">
        <f t="shared" si="546"/>
        <v/>
      </c>
      <c r="P3462" s="88">
        <f t="shared" si="547"/>
        <v>0</v>
      </c>
      <c r="Q3462" s="88">
        <f t="shared" si="548"/>
        <v>0</v>
      </c>
      <c r="R3462" s="88" t="e">
        <f>-IF(Tabla14[[#This Row],[DIAS HABILES O MORA]]&lt;0,(Tabla14[[#This Row],[VALOR PRESTAMO]]*Tabla14[[#This Row],[% INTERES ]]/30*U3462))+Tabla14[[#This Row],[VALOR CUOTAS]]</f>
        <v>#VALUE!</v>
      </c>
      <c r="S3462" s="88">
        <f>-IF(Tabla14[[#This Row],[DIAS HABILES O MORA]]&lt;0,(Tabla14[[#This Row],[VALOR PRESTAMO]]*Tabla14[[#This Row],[% INTERES ]]/30*U3462))</f>
        <v>0</v>
      </c>
      <c r="T3462" s="53" t="e">
        <f>Tabla14[[#This Row],[DEUDA CAPITAL]]+Tabla14[[#This Row],[INTERES  CUOTA]]</f>
        <v>#NUM!</v>
      </c>
      <c r="U3462" s="61" t="str">
        <f t="shared" si="549"/>
        <v/>
      </c>
    </row>
    <row r="3463" spans="9:21" ht="24.75" customHeight="1" x14ac:dyDescent="0.35">
      <c r="I3463" s="42">
        <f t="shared" si="540"/>
        <v>0</v>
      </c>
      <c r="J3463" s="65" t="e">
        <f t="shared" si="541"/>
        <v>#NUM!</v>
      </c>
      <c r="K3463" s="83" t="e">
        <f t="shared" si="542"/>
        <v>#NUM!</v>
      </c>
      <c r="L3463" s="83">
        <f t="shared" si="543"/>
        <v>0</v>
      </c>
      <c r="M3463" s="110" t="str">
        <f t="shared" si="544"/>
        <v/>
      </c>
      <c r="N3463" s="51" t="str">
        <f t="shared" si="545"/>
        <v/>
      </c>
      <c r="O3463" s="52" t="str">
        <f t="shared" si="546"/>
        <v/>
      </c>
      <c r="P3463" s="88">
        <f t="shared" si="547"/>
        <v>0</v>
      </c>
      <c r="Q3463" s="88">
        <f t="shared" si="548"/>
        <v>0</v>
      </c>
      <c r="R3463" s="88" t="e">
        <f>-IF(Tabla14[[#This Row],[DIAS HABILES O MORA]]&lt;0,(Tabla14[[#This Row],[VALOR PRESTAMO]]*Tabla14[[#This Row],[% INTERES ]]/30*U3463))+Tabla14[[#This Row],[VALOR CUOTAS]]</f>
        <v>#VALUE!</v>
      </c>
      <c r="S3463" s="88">
        <f>-IF(Tabla14[[#This Row],[DIAS HABILES O MORA]]&lt;0,(Tabla14[[#This Row],[VALOR PRESTAMO]]*Tabla14[[#This Row],[% INTERES ]]/30*U3463))</f>
        <v>0</v>
      </c>
      <c r="T3463" s="53" t="e">
        <f>Tabla14[[#This Row],[DEUDA CAPITAL]]+Tabla14[[#This Row],[INTERES  CUOTA]]</f>
        <v>#NUM!</v>
      </c>
      <c r="U3463" s="61" t="str">
        <f t="shared" si="549"/>
        <v/>
      </c>
    </row>
    <row r="3464" spans="9:21" ht="24.75" customHeight="1" x14ac:dyDescent="0.35">
      <c r="I3464" s="42">
        <f t="shared" si="540"/>
        <v>0</v>
      </c>
      <c r="J3464" s="65" t="e">
        <f t="shared" si="541"/>
        <v>#NUM!</v>
      </c>
      <c r="K3464" s="83" t="e">
        <f t="shared" si="542"/>
        <v>#NUM!</v>
      </c>
      <c r="L3464" s="83">
        <f t="shared" si="543"/>
        <v>0</v>
      </c>
      <c r="M3464" s="110" t="str">
        <f t="shared" si="544"/>
        <v/>
      </c>
      <c r="N3464" s="51" t="str">
        <f t="shared" si="545"/>
        <v/>
      </c>
      <c r="O3464" s="52" t="str">
        <f t="shared" si="546"/>
        <v/>
      </c>
      <c r="P3464" s="88">
        <f t="shared" si="547"/>
        <v>0</v>
      </c>
      <c r="Q3464" s="88">
        <f t="shared" si="548"/>
        <v>0</v>
      </c>
      <c r="R3464" s="88" t="e">
        <f>-IF(Tabla14[[#This Row],[DIAS HABILES O MORA]]&lt;0,(Tabla14[[#This Row],[VALOR PRESTAMO]]*Tabla14[[#This Row],[% INTERES ]]/30*U3464))+Tabla14[[#This Row],[VALOR CUOTAS]]</f>
        <v>#VALUE!</v>
      </c>
      <c r="S3464" s="88">
        <f>-IF(Tabla14[[#This Row],[DIAS HABILES O MORA]]&lt;0,(Tabla14[[#This Row],[VALOR PRESTAMO]]*Tabla14[[#This Row],[% INTERES ]]/30*U3464))</f>
        <v>0</v>
      </c>
      <c r="T3464" s="53" t="e">
        <f>Tabla14[[#This Row],[DEUDA CAPITAL]]+Tabla14[[#This Row],[INTERES  CUOTA]]</f>
        <v>#NUM!</v>
      </c>
      <c r="U3464" s="61" t="str">
        <f t="shared" si="549"/>
        <v/>
      </c>
    </row>
    <row r="3465" spans="9:21" ht="24.75" customHeight="1" x14ac:dyDescent="0.35">
      <c r="I3465" s="42">
        <f t="shared" si="540"/>
        <v>0</v>
      </c>
      <c r="J3465" s="65" t="e">
        <f t="shared" si="541"/>
        <v>#NUM!</v>
      </c>
      <c r="K3465" s="83" t="e">
        <f t="shared" si="542"/>
        <v>#NUM!</v>
      </c>
      <c r="L3465" s="83">
        <f t="shared" si="543"/>
        <v>0</v>
      </c>
      <c r="M3465" s="110" t="str">
        <f t="shared" si="544"/>
        <v/>
      </c>
      <c r="N3465" s="51" t="str">
        <f t="shared" si="545"/>
        <v/>
      </c>
      <c r="O3465" s="52" t="str">
        <f t="shared" si="546"/>
        <v/>
      </c>
      <c r="P3465" s="88">
        <f t="shared" si="547"/>
        <v>0</v>
      </c>
      <c r="Q3465" s="88">
        <f t="shared" si="548"/>
        <v>0</v>
      </c>
      <c r="R3465" s="88" t="e">
        <f>-IF(Tabla14[[#This Row],[DIAS HABILES O MORA]]&lt;0,(Tabla14[[#This Row],[VALOR PRESTAMO]]*Tabla14[[#This Row],[% INTERES ]]/30*U3465))+Tabla14[[#This Row],[VALOR CUOTAS]]</f>
        <v>#VALUE!</v>
      </c>
      <c r="S3465" s="88">
        <f>-IF(Tabla14[[#This Row],[DIAS HABILES O MORA]]&lt;0,(Tabla14[[#This Row],[VALOR PRESTAMO]]*Tabla14[[#This Row],[% INTERES ]]/30*U3465))</f>
        <v>0</v>
      </c>
      <c r="T3465" s="53" t="e">
        <f>Tabla14[[#This Row],[DEUDA CAPITAL]]+Tabla14[[#This Row],[INTERES  CUOTA]]</f>
        <v>#NUM!</v>
      </c>
      <c r="U3465" s="61" t="str">
        <f t="shared" si="549"/>
        <v/>
      </c>
    </row>
    <row r="3466" spans="9:21" ht="24.75" customHeight="1" x14ac:dyDescent="0.35">
      <c r="I3466" s="42">
        <f t="shared" si="540"/>
        <v>0</v>
      </c>
      <c r="J3466" s="65" t="e">
        <f t="shared" si="541"/>
        <v>#NUM!</v>
      </c>
      <c r="K3466" s="83" t="e">
        <f t="shared" si="542"/>
        <v>#NUM!</v>
      </c>
      <c r="L3466" s="83">
        <f t="shared" si="543"/>
        <v>0</v>
      </c>
      <c r="M3466" s="110" t="str">
        <f t="shared" si="544"/>
        <v/>
      </c>
      <c r="N3466" s="51" t="str">
        <f t="shared" si="545"/>
        <v/>
      </c>
      <c r="O3466" s="52" t="str">
        <f t="shared" si="546"/>
        <v/>
      </c>
      <c r="P3466" s="88">
        <f t="shared" si="547"/>
        <v>0</v>
      </c>
      <c r="Q3466" s="88">
        <f t="shared" si="548"/>
        <v>0</v>
      </c>
      <c r="R3466" s="88" t="e">
        <f>-IF(Tabla14[[#This Row],[DIAS HABILES O MORA]]&lt;0,(Tabla14[[#This Row],[VALOR PRESTAMO]]*Tabla14[[#This Row],[% INTERES ]]/30*U3466))+Tabla14[[#This Row],[VALOR CUOTAS]]</f>
        <v>#VALUE!</v>
      </c>
      <c r="S3466" s="88">
        <f>-IF(Tabla14[[#This Row],[DIAS HABILES O MORA]]&lt;0,(Tabla14[[#This Row],[VALOR PRESTAMO]]*Tabla14[[#This Row],[% INTERES ]]/30*U3466))</f>
        <v>0</v>
      </c>
      <c r="T3466" s="53" t="e">
        <f>Tabla14[[#This Row],[DEUDA CAPITAL]]+Tabla14[[#This Row],[INTERES  CUOTA]]</f>
        <v>#NUM!</v>
      </c>
      <c r="U3466" s="61" t="str">
        <f t="shared" si="549"/>
        <v/>
      </c>
    </row>
    <row r="3467" spans="9:21" ht="24.75" customHeight="1" x14ac:dyDescent="0.35">
      <c r="I3467" s="42">
        <f t="shared" si="540"/>
        <v>0</v>
      </c>
      <c r="J3467" s="65" t="e">
        <f t="shared" si="541"/>
        <v>#NUM!</v>
      </c>
      <c r="K3467" s="83" t="e">
        <f t="shared" si="542"/>
        <v>#NUM!</v>
      </c>
      <c r="L3467" s="83">
        <f t="shared" si="543"/>
        <v>0</v>
      </c>
      <c r="M3467" s="110" t="str">
        <f t="shared" si="544"/>
        <v/>
      </c>
      <c r="N3467" s="51" t="str">
        <f t="shared" si="545"/>
        <v/>
      </c>
      <c r="O3467" s="52" t="str">
        <f t="shared" si="546"/>
        <v/>
      </c>
      <c r="P3467" s="88">
        <f t="shared" si="547"/>
        <v>0</v>
      </c>
      <c r="Q3467" s="88">
        <f t="shared" si="548"/>
        <v>0</v>
      </c>
      <c r="R3467" s="88" t="e">
        <f>-IF(Tabla14[[#This Row],[DIAS HABILES O MORA]]&lt;0,(Tabla14[[#This Row],[VALOR PRESTAMO]]*Tabla14[[#This Row],[% INTERES ]]/30*U3467))+Tabla14[[#This Row],[VALOR CUOTAS]]</f>
        <v>#VALUE!</v>
      </c>
      <c r="S3467" s="88">
        <f>-IF(Tabla14[[#This Row],[DIAS HABILES O MORA]]&lt;0,(Tabla14[[#This Row],[VALOR PRESTAMO]]*Tabla14[[#This Row],[% INTERES ]]/30*U3467))</f>
        <v>0</v>
      </c>
      <c r="T3467" s="53" t="e">
        <f>Tabla14[[#This Row],[DEUDA CAPITAL]]+Tabla14[[#This Row],[INTERES  CUOTA]]</f>
        <v>#NUM!</v>
      </c>
      <c r="U3467" s="61" t="str">
        <f t="shared" si="549"/>
        <v/>
      </c>
    </row>
    <row r="3468" spans="9:21" ht="24.75" customHeight="1" x14ac:dyDescent="0.35">
      <c r="I3468" s="42">
        <f t="shared" si="540"/>
        <v>0</v>
      </c>
      <c r="J3468" s="65" t="e">
        <f t="shared" si="541"/>
        <v>#NUM!</v>
      </c>
      <c r="K3468" s="83" t="e">
        <f t="shared" si="542"/>
        <v>#NUM!</v>
      </c>
      <c r="L3468" s="83">
        <f t="shared" si="543"/>
        <v>0</v>
      </c>
      <c r="M3468" s="110" t="str">
        <f t="shared" si="544"/>
        <v/>
      </c>
      <c r="N3468" s="51" t="str">
        <f t="shared" si="545"/>
        <v/>
      </c>
      <c r="O3468" s="52" t="str">
        <f t="shared" si="546"/>
        <v/>
      </c>
      <c r="P3468" s="88">
        <f t="shared" si="547"/>
        <v>0</v>
      </c>
      <c r="Q3468" s="88">
        <f t="shared" si="548"/>
        <v>0</v>
      </c>
      <c r="R3468" s="88" t="e">
        <f>-IF(Tabla14[[#This Row],[DIAS HABILES O MORA]]&lt;0,(Tabla14[[#This Row],[VALOR PRESTAMO]]*Tabla14[[#This Row],[% INTERES ]]/30*U3468))+Tabla14[[#This Row],[VALOR CUOTAS]]</f>
        <v>#VALUE!</v>
      </c>
      <c r="S3468" s="88">
        <f>-IF(Tabla14[[#This Row],[DIAS HABILES O MORA]]&lt;0,(Tabla14[[#This Row],[VALOR PRESTAMO]]*Tabla14[[#This Row],[% INTERES ]]/30*U3468))</f>
        <v>0</v>
      </c>
      <c r="T3468" s="53" t="e">
        <f>Tabla14[[#This Row],[DEUDA CAPITAL]]+Tabla14[[#This Row],[INTERES  CUOTA]]</f>
        <v>#NUM!</v>
      </c>
      <c r="U3468" s="61" t="str">
        <f t="shared" si="549"/>
        <v/>
      </c>
    </row>
    <row r="3469" spans="9:21" ht="24.75" customHeight="1" x14ac:dyDescent="0.35">
      <c r="I3469" s="42">
        <f t="shared" si="540"/>
        <v>0</v>
      </c>
      <c r="J3469" s="65" t="e">
        <f t="shared" si="541"/>
        <v>#NUM!</v>
      </c>
      <c r="K3469" s="83" t="e">
        <f t="shared" si="542"/>
        <v>#NUM!</v>
      </c>
      <c r="L3469" s="83">
        <f t="shared" si="543"/>
        <v>0</v>
      </c>
      <c r="M3469" s="110" t="str">
        <f t="shared" si="544"/>
        <v/>
      </c>
      <c r="N3469" s="51" t="str">
        <f t="shared" si="545"/>
        <v/>
      </c>
      <c r="O3469" s="52" t="str">
        <f t="shared" si="546"/>
        <v/>
      </c>
      <c r="P3469" s="88">
        <f t="shared" si="547"/>
        <v>0</v>
      </c>
      <c r="Q3469" s="88">
        <f t="shared" si="548"/>
        <v>0</v>
      </c>
      <c r="R3469" s="88" t="e">
        <f>-IF(Tabla14[[#This Row],[DIAS HABILES O MORA]]&lt;0,(Tabla14[[#This Row],[VALOR PRESTAMO]]*Tabla14[[#This Row],[% INTERES ]]/30*U3469))+Tabla14[[#This Row],[VALOR CUOTAS]]</f>
        <v>#VALUE!</v>
      </c>
      <c r="S3469" s="88">
        <f>-IF(Tabla14[[#This Row],[DIAS HABILES O MORA]]&lt;0,(Tabla14[[#This Row],[VALOR PRESTAMO]]*Tabla14[[#This Row],[% INTERES ]]/30*U3469))</f>
        <v>0</v>
      </c>
      <c r="T3469" s="53" t="e">
        <f>Tabla14[[#This Row],[DEUDA CAPITAL]]+Tabla14[[#This Row],[INTERES  CUOTA]]</f>
        <v>#NUM!</v>
      </c>
      <c r="U3469" s="61" t="str">
        <f t="shared" si="549"/>
        <v/>
      </c>
    </row>
    <row r="3470" spans="9:21" ht="24.75" customHeight="1" x14ac:dyDescent="0.35">
      <c r="I3470" s="42">
        <f t="shared" si="540"/>
        <v>0</v>
      </c>
      <c r="J3470" s="65" t="e">
        <f t="shared" si="541"/>
        <v>#NUM!</v>
      </c>
      <c r="K3470" s="83" t="e">
        <f t="shared" si="542"/>
        <v>#NUM!</v>
      </c>
      <c r="L3470" s="83">
        <f t="shared" si="543"/>
        <v>0</v>
      </c>
      <c r="M3470" s="110" t="str">
        <f t="shared" si="544"/>
        <v/>
      </c>
      <c r="N3470" s="51" t="str">
        <f t="shared" si="545"/>
        <v/>
      </c>
      <c r="O3470" s="52" t="str">
        <f t="shared" si="546"/>
        <v/>
      </c>
      <c r="P3470" s="88">
        <f t="shared" si="547"/>
        <v>0</v>
      </c>
      <c r="Q3470" s="88">
        <f t="shared" si="548"/>
        <v>0</v>
      </c>
      <c r="R3470" s="88" t="e">
        <f>-IF(Tabla14[[#This Row],[DIAS HABILES O MORA]]&lt;0,(Tabla14[[#This Row],[VALOR PRESTAMO]]*Tabla14[[#This Row],[% INTERES ]]/30*U3470))+Tabla14[[#This Row],[VALOR CUOTAS]]</f>
        <v>#VALUE!</v>
      </c>
      <c r="S3470" s="88">
        <f>-IF(Tabla14[[#This Row],[DIAS HABILES O MORA]]&lt;0,(Tabla14[[#This Row],[VALOR PRESTAMO]]*Tabla14[[#This Row],[% INTERES ]]/30*U3470))</f>
        <v>0</v>
      </c>
      <c r="T3470" s="53" t="e">
        <f>Tabla14[[#This Row],[DEUDA CAPITAL]]+Tabla14[[#This Row],[INTERES  CUOTA]]</f>
        <v>#NUM!</v>
      </c>
      <c r="U3470" s="61" t="str">
        <f t="shared" si="549"/>
        <v/>
      </c>
    </row>
    <row r="3471" spans="9:21" ht="24.75" customHeight="1" x14ac:dyDescent="0.35">
      <c r="I3471" s="42">
        <f t="shared" si="540"/>
        <v>0</v>
      </c>
      <c r="J3471" s="65" t="e">
        <f t="shared" si="541"/>
        <v>#NUM!</v>
      </c>
      <c r="K3471" s="83" t="e">
        <f t="shared" si="542"/>
        <v>#NUM!</v>
      </c>
      <c r="L3471" s="83">
        <f t="shared" si="543"/>
        <v>0</v>
      </c>
      <c r="M3471" s="110" t="str">
        <f t="shared" si="544"/>
        <v/>
      </c>
      <c r="N3471" s="51" t="str">
        <f t="shared" si="545"/>
        <v/>
      </c>
      <c r="O3471" s="52" t="str">
        <f t="shared" si="546"/>
        <v/>
      </c>
      <c r="P3471" s="88">
        <f t="shared" si="547"/>
        <v>0</v>
      </c>
      <c r="Q3471" s="88">
        <f t="shared" si="548"/>
        <v>0</v>
      </c>
      <c r="R3471" s="88" t="e">
        <f>-IF(Tabla14[[#This Row],[DIAS HABILES O MORA]]&lt;0,(Tabla14[[#This Row],[VALOR PRESTAMO]]*Tabla14[[#This Row],[% INTERES ]]/30*U3471))+Tabla14[[#This Row],[VALOR CUOTAS]]</f>
        <v>#VALUE!</v>
      </c>
      <c r="S3471" s="88">
        <f>-IF(Tabla14[[#This Row],[DIAS HABILES O MORA]]&lt;0,(Tabla14[[#This Row],[VALOR PRESTAMO]]*Tabla14[[#This Row],[% INTERES ]]/30*U3471))</f>
        <v>0</v>
      </c>
      <c r="T3471" s="53" t="e">
        <f>Tabla14[[#This Row],[DEUDA CAPITAL]]+Tabla14[[#This Row],[INTERES  CUOTA]]</f>
        <v>#NUM!</v>
      </c>
      <c r="U3471" s="61" t="str">
        <f t="shared" si="549"/>
        <v/>
      </c>
    </row>
    <row r="3472" spans="9:21" ht="24.75" customHeight="1" x14ac:dyDescent="0.35">
      <c r="I3472" s="42">
        <f t="shared" ref="I3472:I3535" si="550">IF(C3472&lt;0,"",IF(Q3472=0,0,IF(G3472=0,H3472+1,IF(H3472&lt;G3472,H3472+1,IF(G3472=H3472,0)))))</f>
        <v>0</v>
      </c>
      <c r="J3472" s="65" t="e">
        <f t="shared" ref="J3472:J3535" si="551">IF(F3472="SOLO INTERES",Q3472*D3472,-IPMT(D3472,I3472,G3472,C3472))</f>
        <v>#NUM!</v>
      </c>
      <c r="K3472" s="83" t="e">
        <f t="shared" ref="K3472:K3535" si="552">IF(F3472="SOLO INTERES",0,-PPMT(D3472,I3472,G3472,C3472))</f>
        <v>#NUM!</v>
      </c>
      <c r="L3472" s="83">
        <f t="shared" ref="L3472:L3535" si="553">IF(F3472="SOLO INTERES",SUM(Y3472:AAE3472),IFERROR(-CUMIPMT(D3472,G3472,C3472,1,H3472,0),0)+SUM(Y3472:WY3472))</f>
        <v>0</v>
      </c>
      <c r="M3472" s="110" t="str">
        <f t="shared" ref="M3472:M3535" si="554">IFERROR(IF(F3472="SOLO INTERES",Q3472*D3472,-PMT(D3472,G3472,C3472,0)),"")</f>
        <v/>
      </c>
      <c r="N3472" s="51" t="str">
        <f t="shared" ref="N3472:N3535" si="555">IF(Q3472=0,"",IF(E3472="MENSUAL",EDATE(B3472,I3472),IF(E3472="QUINCENAL",B3472+(I3472*15),IF(E3472="SEMANAL",B3472+(I3472*7)))))</f>
        <v/>
      </c>
      <c r="O3472" s="52" t="str">
        <f t="shared" ref="O3472:O3535" si="556">IF(C3472=0,"",IF(Q3472&lt;1,"PAGADO",IF(N3472=$A$3,"COBRAR HOY",IF(N3472&lt;$A$3,"EN MORA",IF(N3472&gt;$A$3,"AL DIA")))))</f>
        <v/>
      </c>
      <c r="P3472" s="88">
        <f t="shared" ref="P3472:P3535" si="557">IFERROR(-CUMPRINC(D3472,G3472,C3472,1,H3472,0),0)+W3472</f>
        <v>0</v>
      </c>
      <c r="Q3472" s="88">
        <f t="shared" ref="Q3472:Q3535" si="558">IFERROR(C3472-P3472,"")</f>
        <v>0</v>
      </c>
      <c r="R3472" s="88" t="e">
        <f>-IF(Tabla14[[#This Row],[DIAS HABILES O MORA]]&lt;0,(Tabla14[[#This Row],[VALOR PRESTAMO]]*Tabla14[[#This Row],[% INTERES ]]/30*U3472))+Tabla14[[#This Row],[VALOR CUOTAS]]</f>
        <v>#VALUE!</v>
      </c>
      <c r="S3472" s="88">
        <f>-IF(Tabla14[[#This Row],[DIAS HABILES O MORA]]&lt;0,(Tabla14[[#This Row],[VALOR PRESTAMO]]*Tabla14[[#This Row],[% INTERES ]]/30*U3472))</f>
        <v>0</v>
      </c>
      <c r="T3472" s="53" t="e">
        <f>Tabla14[[#This Row],[DEUDA CAPITAL]]+Tabla14[[#This Row],[INTERES  CUOTA]]</f>
        <v>#NUM!</v>
      </c>
      <c r="U3472" s="61" t="str">
        <f t="shared" ref="U3472:U3535" si="559">IF(O3472="PAGADO","",IFERROR(-IF(C3472=0,"",$A$3-N3472),""))</f>
        <v/>
      </c>
    </row>
    <row r="3473" spans="9:21" ht="24.75" customHeight="1" x14ac:dyDescent="0.35">
      <c r="I3473" s="42">
        <f t="shared" si="550"/>
        <v>0</v>
      </c>
      <c r="J3473" s="65" t="e">
        <f t="shared" si="551"/>
        <v>#NUM!</v>
      </c>
      <c r="K3473" s="83" t="e">
        <f t="shared" si="552"/>
        <v>#NUM!</v>
      </c>
      <c r="L3473" s="83">
        <f t="shared" si="553"/>
        <v>0</v>
      </c>
      <c r="M3473" s="110" t="str">
        <f t="shared" si="554"/>
        <v/>
      </c>
      <c r="N3473" s="51" t="str">
        <f t="shared" si="555"/>
        <v/>
      </c>
      <c r="O3473" s="52" t="str">
        <f t="shared" si="556"/>
        <v/>
      </c>
      <c r="P3473" s="88">
        <f t="shared" si="557"/>
        <v>0</v>
      </c>
      <c r="Q3473" s="88">
        <f t="shared" si="558"/>
        <v>0</v>
      </c>
      <c r="R3473" s="88" t="e">
        <f>-IF(Tabla14[[#This Row],[DIAS HABILES O MORA]]&lt;0,(Tabla14[[#This Row],[VALOR PRESTAMO]]*Tabla14[[#This Row],[% INTERES ]]/30*U3473))+Tabla14[[#This Row],[VALOR CUOTAS]]</f>
        <v>#VALUE!</v>
      </c>
      <c r="S3473" s="88">
        <f>-IF(Tabla14[[#This Row],[DIAS HABILES O MORA]]&lt;0,(Tabla14[[#This Row],[VALOR PRESTAMO]]*Tabla14[[#This Row],[% INTERES ]]/30*U3473))</f>
        <v>0</v>
      </c>
      <c r="T3473" s="53" t="e">
        <f>Tabla14[[#This Row],[DEUDA CAPITAL]]+Tabla14[[#This Row],[INTERES  CUOTA]]</f>
        <v>#NUM!</v>
      </c>
      <c r="U3473" s="61" t="str">
        <f t="shared" si="559"/>
        <v/>
      </c>
    </row>
    <row r="3474" spans="9:21" ht="24.75" customHeight="1" x14ac:dyDescent="0.35">
      <c r="I3474" s="42">
        <f t="shared" si="550"/>
        <v>0</v>
      </c>
      <c r="J3474" s="65" t="e">
        <f t="shared" si="551"/>
        <v>#NUM!</v>
      </c>
      <c r="K3474" s="83" t="e">
        <f t="shared" si="552"/>
        <v>#NUM!</v>
      </c>
      <c r="L3474" s="83">
        <f t="shared" si="553"/>
        <v>0</v>
      </c>
      <c r="M3474" s="110" t="str">
        <f t="shared" si="554"/>
        <v/>
      </c>
      <c r="N3474" s="51" t="str">
        <f t="shared" si="555"/>
        <v/>
      </c>
      <c r="O3474" s="52" t="str">
        <f t="shared" si="556"/>
        <v/>
      </c>
      <c r="P3474" s="88">
        <f t="shared" si="557"/>
        <v>0</v>
      </c>
      <c r="Q3474" s="88">
        <f t="shared" si="558"/>
        <v>0</v>
      </c>
      <c r="R3474" s="88" t="e">
        <f>-IF(Tabla14[[#This Row],[DIAS HABILES O MORA]]&lt;0,(Tabla14[[#This Row],[VALOR PRESTAMO]]*Tabla14[[#This Row],[% INTERES ]]/30*U3474))+Tabla14[[#This Row],[VALOR CUOTAS]]</f>
        <v>#VALUE!</v>
      </c>
      <c r="S3474" s="88">
        <f>-IF(Tabla14[[#This Row],[DIAS HABILES O MORA]]&lt;0,(Tabla14[[#This Row],[VALOR PRESTAMO]]*Tabla14[[#This Row],[% INTERES ]]/30*U3474))</f>
        <v>0</v>
      </c>
      <c r="T3474" s="53" t="e">
        <f>Tabla14[[#This Row],[DEUDA CAPITAL]]+Tabla14[[#This Row],[INTERES  CUOTA]]</f>
        <v>#NUM!</v>
      </c>
      <c r="U3474" s="61" t="str">
        <f t="shared" si="559"/>
        <v/>
      </c>
    </row>
    <row r="3475" spans="9:21" ht="24.75" customHeight="1" x14ac:dyDescent="0.35">
      <c r="I3475" s="42">
        <f t="shared" si="550"/>
        <v>0</v>
      </c>
      <c r="J3475" s="65" t="e">
        <f t="shared" si="551"/>
        <v>#NUM!</v>
      </c>
      <c r="K3475" s="83" t="e">
        <f t="shared" si="552"/>
        <v>#NUM!</v>
      </c>
      <c r="L3475" s="83">
        <f t="shared" si="553"/>
        <v>0</v>
      </c>
      <c r="M3475" s="110" t="str">
        <f t="shared" si="554"/>
        <v/>
      </c>
      <c r="N3475" s="51" t="str">
        <f t="shared" si="555"/>
        <v/>
      </c>
      <c r="O3475" s="52" t="str">
        <f t="shared" si="556"/>
        <v/>
      </c>
      <c r="P3475" s="88">
        <f t="shared" si="557"/>
        <v>0</v>
      </c>
      <c r="Q3475" s="88">
        <f t="shared" si="558"/>
        <v>0</v>
      </c>
      <c r="R3475" s="88" t="e">
        <f>-IF(Tabla14[[#This Row],[DIAS HABILES O MORA]]&lt;0,(Tabla14[[#This Row],[VALOR PRESTAMO]]*Tabla14[[#This Row],[% INTERES ]]/30*U3475))+Tabla14[[#This Row],[VALOR CUOTAS]]</f>
        <v>#VALUE!</v>
      </c>
      <c r="S3475" s="88">
        <f>-IF(Tabla14[[#This Row],[DIAS HABILES O MORA]]&lt;0,(Tabla14[[#This Row],[VALOR PRESTAMO]]*Tabla14[[#This Row],[% INTERES ]]/30*U3475))</f>
        <v>0</v>
      </c>
      <c r="T3475" s="53" t="e">
        <f>Tabla14[[#This Row],[DEUDA CAPITAL]]+Tabla14[[#This Row],[INTERES  CUOTA]]</f>
        <v>#NUM!</v>
      </c>
      <c r="U3475" s="61" t="str">
        <f t="shared" si="559"/>
        <v/>
      </c>
    </row>
    <row r="3476" spans="9:21" ht="24.75" customHeight="1" x14ac:dyDescent="0.35">
      <c r="I3476" s="42">
        <f t="shared" si="550"/>
        <v>0</v>
      </c>
      <c r="J3476" s="65" t="e">
        <f t="shared" si="551"/>
        <v>#NUM!</v>
      </c>
      <c r="K3476" s="83" t="e">
        <f t="shared" si="552"/>
        <v>#NUM!</v>
      </c>
      <c r="L3476" s="83">
        <f t="shared" si="553"/>
        <v>0</v>
      </c>
      <c r="M3476" s="110" t="str">
        <f t="shared" si="554"/>
        <v/>
      </c>
      <c r="N3476" s="51" t="str">
        <f t="shared" si="555"/>
        <v/>
      </c>
      <c r="O3476" s="52" t="str">
        <f t="shared" si="556"/>
        <v/>
      </c>
      <c r="P3476" s="88">
        <f t="shared" si="557"/>
        <v>0</v>
      </c>
      <c r="Q3476" s="88">
        <f t="shared" si="558"/>
        <v>0</v>
      </c>
      <c r="R3476" s="88" t="e">
        <f>-IF(Tabla14[[#This Row],[DIAS HABILES O MORA]]&lt;0,(Tabla14[[#This Row],[VALOR PRESTAMO]]*Tabla14[[#This Row],[% INTERES ]]/30*U3476))+Tabla14[[#This Row],[VALOR CUOTAS]]</f>
        <v>#VALUE!</v>
      </c>
      <c r="S3476" s="88">
        <f>-IF(Tabla14[[#This Row],[DIAS HABILES O MORA]]&lt;0,(Tabla14[[#This Row],[VALOR PRESTAMO]]*Tabla14[[#This Row],[% INTERES ]]/30*U3476))</f>
        <v>0</v>
      </c>
      <c r="T3476" s="53" t="e">
        <f>Tabla14[[#This Row],[DEUDA CAPITAL]]+Tabla14[[#This Row],[INTERES  CUOTA]]</f>
        <v>#NUM!</v>
      </c>
      <c r="U3476" s="61" t="str">
        <f t="shared" si="559"/>
        <v/>
      </c>
    </row>
    <row r="3477" spans="9:21" ht="24.75" customHeight="1" x14ac:dyDescent="0.35">
      <c r="I3477" s="42">
        <f t="shared" si="550"/>
        <v>0</v>
      </c>
      <c r="J3477" s="65" t="e">
        <f t="shared" si="551"/>
        <v>#NUM!</v>
      </c>
      <c r="K3477" s="83" t="e">
        <f t="shared" si="552"/>
        <v>#NUM!</v>
      </c>
      <c r="L3477" s="83">
        <f t="shared" si="553"/>
        <v>0</v>
      </c>
      <c r="M3477" s="110" t="str">
        <f t="shared" si="554"/>
        <v/>
      </c>
      <c r="N3477" s="51" t="str">
        <f t="shared" si="555"/>
        <v/>
      </c>
      <c r="O3477" s="52" t="str">
        <f t="shared" si="556"/>
        <v/>
      </c>
      <c r="P3477" s="88">
        <f t="shared" si="557"/>
        <v>0</v>
      </c>
      <c r="Q3477" s="88">
        <f t="shared" si="558"/>
        <v>0</v>
      </c>
      <c r="R3477" s="88" t="e">
        <f>-IF(Tabla14[[#This Row],[DIAS HABILES O MORA]]&lt;0,(Tabla14[[#This Row],[VALOR PRESTAMO]]*Tabla14[[#This Row],[% INTERES ]]/30*U3477))+Tabla14[[#This Row],[VALOR CUOTAS]]</f>
        <v>#VALUE!</v>
      </c>
      <c r="S3477" s="88">
        <f>-IF(Tabla14[[#This Row],[DIAS HABILES O MORA]]&lt;0,(Tabla14[[#This Row],[VALOR PRESTAMO]]*Tabla14[[#This Row],[% INTERES ]]/30*U3477))</f>
        <v>0</v>
      </c>
      <c r="T3477" s="53" t="e">
        <f>Tabla14[[#This Row],[DEUDA CAPITAL]]+Tabla14[[#This Row],[INTERES  CUOTA]]</f>
        <v>#NUM!</v>
      </c>
      <c r="U3477" s="61" t="str">
        <f t="shared" si="559"/>
        <v/>
      </c>
    </row>
    <row r="3478" spans="9:21" ht="24.75" customHeight="1" x14ac:dyDescent="0.35">
      <c r="I3478" s="42">
        <f t="shared" si="550"/>
        <v>0</v>
      </c>
      <c r="J3478" s="65" t="e">
        <f t="shared" si="551"/>
        <v>#NUM!</v>
      </c>
      <c r="K3478" s="83" t="e">
        <f t="shared" si="552"/>
        <v>#NUM!</v>
      </c>
      <c r="L3478" s="83">
        <f t="shared" si="553"/>
        <v>0</v>
      </c>
      <c r="M3478" s="110" t="str">
        <f t="shared" si="554"/>
        <v/>
      </c>
      <c r="N3478" s="51" t="str">
        <f t="shared" si="555"/>
        <v/>
      </c>
      <c r="O3478" s="52" t="str">
        <f t="shared" si="556"/>
        <v/>
      </c>
      <c r="P3478" s="88">
        <f t="shared" si="557"/>
        <v>0</v>
      </c>
      <c r="Q3478" s="88">
        <f t="shared" si="558"/>
        <v>0</v>
      </c>
      <c r="R3478" s="88" t="e">
        <f>-IF(Tabla14[[#This Row],[DIAS HABILES O MORA]]&lt;0,(Tabla14[[#This Row],[VALOR PRESTAMO]]*Tabla14[[#This Row],[% INTERES ]]/30*U3478))+Tabla14[[#This Row],[VALOR CUOTAS]]</f>
        <v>#VALUE!</v>
      </c>
      <c r="S3478" s="88">
        <f>-IF(Tabla14[[#This Row],[DIAS HABILES O MORA]]&lt;0,(Tabla14[[#This Row],[VALOR PRESTAMO]]*Tabla14[[#This Row],[% INTERES ]]/30*U3478))</f>
        <v>0</v>
      </c>
      <c r="T3478" s="53" t="e">
        <f>Tabla14[[#This Row],[DEUDA CAPITAL]]+Tabla14[[#This Row],[INTERES  CUOTA]]</f>
        <v>#NUM!</v>
      </c>
      <c r="U3478" s="61" t="str">
        <f t="shared" si="559"/>
        <v/>
      </c>
    </row>
    <row r="3479" spans="9:21" ht="24.75" customHeight="1" x14ac:dyDescent="0.35">
      <c r="I3479" s="42">
        <f t="shared" si="550"/>
        <v>0</v>
      </c>
      <c r="J3479" s="65" t="e">
        <f t="shared" si="551"/>
        <v>#NUM!</v>
      </c>
      <c r="K3479" s="83" t="e">
        <f t="shared" si="552"/>
        <v>#NUM!</v>
      </c>
      <c r="L3479" s="83">
        <f t="shared" si="553"/>
        <v>0</v>
      </c>
      <c r="M3479" s="110" t="str">
        <f t="shared" si="554"/>
        <v/>
      </c>
      <c r="N3479" s="51" t="str">
        <f t="shared" si="555"/>
        <v/>
      </c>
      <c r="O3479" s="52" t="str">
        <f t="shared" si="556"/>
        <v/>
      </c>
      <c r="P3479" s="88">
        <f t="shared" si="557"/>
        <v>0</v>
      </c>
      <c r="Q3479" s="88">
        <f t="shared" si="558"/>
        <v>0</v>
      </c>
      <c r="R3479" s="88" t="e">
        <f>-IF(Tabla14[[#This Row],[DIAS HABILES O MORA]]&lt;0,(Tabla14[[#This Row],[VALOR PRESTAMO]]*Tabla14[[#This Row],[% INTERES ]]/30*U3479))+Tabla14[[#This Row],[VALOR CUOTAS]]</f>
        <v>#VALUE!</v>
      </c>
      <c r="S3479" s="88">
        <f>-IF(Tabla14[[#This Row],[DIAS HABILES O MORA]]&lt;0,(Tabla14[[#This Row],[VALOR PRESTAMO]]*Tabla14[[#This Row],[% INTERES ]]/30*U3479))</f>
        <v>0</v>
      </c>
      <c r="T3479" s="53" t="e">
        <f>Tabla14[[#This Row],[DEUDA CAPITAL]]+Tabla14[[#This Row],[INTERES  CUOTA]]</f>
        <v>#NUM!</v>
      </c>
      <c r="U3479" s="61" t="str">
        <f t="shared" si="559"/>
        <v/>
      </c>
    </row>
    <row r="3480" spans="9:21" ht="24.75" customHeight="1" x14ac:dyDescent="0.35">
      <c r="I3480" s="42">
        <f t="shared" si="550"/>
        <v>0</v>
      </c>
      <c r="J3480" s="65" t="e">
        <f t="shared" si="551"/>
        <v>#NUM!</v>
      </c>
      <c r="K3480" s="83" t="e">
        <f t="shared" si="552"/>
        <v>#NUM!</v>
      </c>
      <c r="L3480" s="83">
        <f t="shared" si="553"/>
        <v>0</v>
      </c>
      <c r="M3480" s="110" t="str">
        <f t="shared" si="554"/>
        <v/>
      </c>
      <c r="N3480" s="51" t="str">
        <f t="shared" si="555"/>
        <v/>
      </c>
      <c r="O3480" s="52" t="str">
        <f t="shared" si="556"/>
        <v/>
      </c>
      <c r="P3480" s="88">
        <f t="shared" si="557"/>
        <v>0</v>
      </c>
      <c r="Q3480" s="88">
        <f t="shared" si="558"/>
        <v>0</v>
      </c>
      <c r="R3480" s="88" t="e">
        <f>-IF(Tabla14[[#This Row],[DIAS HABILES O MORA]]&lt;0,(Tabla14[[#This Row],[VALOR PRESTAMO]]*Tabla14[[#This Row],[% INTERES ]]/30*U3480))+Tabla14[[#This Row],[VALOR CUOTAS]]</f>
        <v>#VALUE!</v>
      </c>
      <c r="S3480" s="88">
        <f>-IF(Tabla14[[#This Row],[DIAS HABILES O MORA]]&lt;0,(Tabla14[[#This Row],[VALOR PRESTAMO]]*Tabla14[[#This Row],[% INTERES ]]/30*U3480))</f>
        <v>0</v>
      </c>
      <c r="T3480" s="53" t="e">
        <f>Tabla14[[#This Row],[DEUDA CAPITAL]]+Tabla14[[#This Row],[INTERES  CUOTA]]</f>
        <v>#NUM!</v>
      </c>
      <c r="U3480" s="61" t="str">
        <f t="shared" si="559"/>
        <v/>
      </c>
    </row>
    <row r="3481" spans="9:21" ht="24.75" customHeight="1" x14ac:dyDescent="0.35">
      <c r="I3481" s="42">
        <f t="shared" si="550"/>
        <v>0</v>
      </c>
      <c r="J3481" s="65" t="e">
        <f t="shared" si="551"/>
        <v>#NUM!</v>
      </c>
      <c r="K3481" s="83" t="e">
        <f t="shared" si="552"/>
        <v>#NUM!</v>
      </c>
      <c r="L3481" s="83">
        <f t="shared" si="553"/>
        <v>0</v>
      </c>
      <c r="M3481" s="110" t="str">
        <f t="shared" si="554"/>
        <v/>
      </c>
      <c r="N3481" s="51" t="str">
        <f t="shared" si="555"/>
        <v/>
      </c>
      <c r="O3481" s="52" t="str">
        <f t="shared" si="556"/>
        <v/>
      </c>
      <c r="P3481" s="88">
        <f t="shared" si="557"/>
        <v>0</v>
      </c>
      <c r="Q3481" s="88">
        <f t="shared" si="558"/>
        <v>0</v>
      </c>
      <c r="R3481" s="88" t="e">
        <f>-IF(Tabla14[[#This Row],[DIAS HABILES O MORA]]&lt;0,(Tabla14[[#This Row],[VALOR PRESTAMO]]*Tabla14[[#This Row],[% INTERES ]]/30*U3481))+Tabla14[[#This Row],[VALOR CUOTAS]]</f>
        <v>#VALUE!</v>
      </c>
      <c r="S3481" s="88">
        <f>-IF(Tabla14[[#This Row],[DIAS HABILES O MORA]]&lt;0,(Tabla14[[#This Row],[VALOR PRESTAMO]]*Tabla14[[#This Row],[% INTERES ]]/30*U3481))</f>
        <v>0</v>
      </c>
      <c r="T3481" s="53" t="e">
        <f>Tabla14[[#This Row],[DEUDA CAPITAL]]+Tabla14[[#This Row],[INTERES  CUOTA]]</f>
        <v>#NUM!</v>
      </c>
      <c r="U3481" s="61" t="str">
        <f t="shared" si="559"/>
        <v/>
      </c>
    </row>
    <row r="3482" spans="9:21" ht="24.75" customHeight="1" x14ac:dyDescent="0.35">
      <c r="I3482" s="42">
        <f t="shared" si="550"/>
        <v>0</v>
      </c>
      <c r="J3482" s="65" t="e">
        <f t="shared" si="551"/>
        <v>#NUM!</v>
      </c>
      <c r="K3482" s="83" t="e">
        <f t="shared" si="552"/>
        <v>#NUM!</v>
      </c>
      <c r="L3482" s="83">
        <f t="shared" si="553"/>
        <v>0</v>
      </c>
      <c r="M3482" s="110" t="str">
        <f t="shared" si="554"/>
        <v/>
      </c>
      <c r="N3482" s="51" t="str">
        <f t="shared" si="555"/>
        <v/>
      </c>
      <c r="O3482" s="52" t="str">
        <f t="shared" si="556"/>
        <v/>
      </c>
      <c r="P3482" s="88">
        <f t="shared" si="557"/>
        <v>0</v>
      </c>
      <c r="Q3482" s="88">
        <f t="shared" si="558"/>
        <v>0</v>
      </c>
      <c r="R3482" s="88" t="e">
        <f>-IF(Tabla14[[#This Row],[DIAS HABILES O MORA]]&lt;0,(Tabla14[[#This Row],[VALOR PRESTAMO]]*Tabla14[[#This Row],[% INTERES ]]/30*U3482))+Tabla14[[#This Row],[VALOR CUOTAS]]</f>
        <v>#VALUE!</v>
      </c>
      <c r="S3482" s="88">
        <f>-IF(Tabla14[[#This Row],[DIAS HABILES O MORA]]&lt;0,(Tabla14[[#This Row],[VALOR PRESTAMO]]*Tabla14[[#This Row],[% INTERES ]]/30*U3482))</f>
        <v>0</v>
      </c>
      <c r="T3482" s="53" t="e">
        <f>Tabla14[[#This Row],[DEUDA CAPITAL]]+Tabla14[[#This Row],[INTERES  CUOTA]]</f>
        <v>#NUM!</v>
      </c>
      <c r="U3482" s="61" t="str">
        <f t="shared" si="559"/>
        <v/>
      </c>
    </row>
    <row r="3483" spans="9:21" ht="24.75" customHeight="1" x14ac:dyDescent="0.35">
      <c r="I3483" s="42">
        <f t="shared" si="550"/>
        <v>0</v>
      </c>
      <c r="J3483" s="65" t="e">
        <f t="shared" si="551"/>
        <v>#NUM!</v>
      </c>
      <c r="K3483" s="83" t="e">
        <f t="shared" si="552"/>
        <v>#NUM!</v>
      </c>
      <c r="L3483" s="83">
        <f t="shared" si="553"/>
        <v>0</v>
      </c>
      <c r="M3483" s="110" t="str">
        <f t="shared" si="554"/>
        <v/>
      </c>
      <c r="N3483" s="51" t="str">
        <f t="shared" si="555"/>
        <v/>
      </c>
      <c r="O3483" s="52" t="str">
        <f t="shared" si="556"/>
        <v/>
      </c>
      <c r="P3483" s="88">
        <f t="shared" si="557"/>
        <v>0</v>
      </c>
      <c r="Q3483" s="88">
        <f t="shared" si="558"/>
        <v>0</v>
      </c>
      <c r="R3483" s="88" t="e">
        <f>-IF(Tabla14[[#This Row],[DIAS HABILES O MORA]]&lt;0,(Tabla14[[#This Row],[VALOR PRESTAMO]]*Tabla14[[#This Row],[% INTERES ]]/30*U3483))+Tabla14[[#This Row],[VALOR CUOTAS]]</f>
        <v>#VALUE!</v>
      </c>
      <c r="S3483" s="88">
        <f>-IF(Tabla14[[#This Row],[DIAS HABILES O MORA]]&lt;0,(Tabla14[[#This Row],[VALOR PRESTAMO]]*Tabla14[[#This Row],[% INTERES ]]/30*U3483))</f>
        <v>0</v>
      </c>
      <c r="T3483" s="53" t="e">
        <f>Tabla14[[#This Row],[DEUDA CAPITAL]]+Tabla14[[#This Row],[INTERES  CUOTA]]</f>
        <v>#NUM!</v>
      </c>
      <c r="U3483" s="61" t="str">
        <f t="shared" si="559"/>
        <v/>
      </c>
    </row>
    <row r="3484" spans="9:21" ht="24.75" customHeight="1" x14ac:dyDescent="0.35">
      <c r="I3484" s="42">
        <f t="shared" si="550"/>
        <v>0</v>
      </c>
      <c r="J3484" s="65" t="e">
        <f t="shared" si="551"/>
        <v>#NUM!</v>
      </c>
      <c r="K3484" s="83" t="e">
        <f t="shared" si="552"/>
        <v>#NUM!</v>
      </c>
      <c r="L3484" s="83">
        <f t="shared" si="553"/>
        <v>0</v>
      </c>
      <c r="M3484" s="110" t="str">
        <f t="shared" si="554"/>
        <v/>
      </c>
      <c r="N3484" s="51" t="str">
        <f t="shared" si="555"/>
        <v/>
      </c>
      <c r="O3484" s="52" t="str">
        <f t="shared" si="556"/>
        <v/>
      </c>
      <c r="P3484" s="88">
        <f t="shared" si="557"/>
        <v>0</v>
      </c>
      <c r="Q3484" s="88">
        <f t="shared" si="558"/>
        <v>0</v>
      </c>
      <c r="R3484" s="88" t="e">
        <f>-IF(Tabla14[[#This Row],[DIAS HABILES O MORA]]&lt;0,(Tabla14[[#This Row],[VALOR PRESTAMO]]*Tabla14[[#This Row],[% INTERES ]]/30*U3484))+Tabla14[[#This Row],[VALOR CUOTAS]]</f>
        <v>#VALUE!</v>
      </c>
      <c r="S3484" s="88">
        <f>-IF(Tabla14[[#This Row],[DIAS HABILES O MORA]]&lt;0,(Tabla14[[#This Row],[VALOR PRESTAMO]]*Tabla14[[#This Row],[% INTERES ]]/30*U3484))</f>
        <v>0</v>
      </c>
      <c r="T3484" s="53" t="e">
        <f>Tabla14[[#This Row],[DEUDA CAPITAL]]+Tabla14[[#This Row],[INTERES  CUOTA]]</f>
        <v>#NUM!</v>
      </c>
      <c r="U3484" s="61" t="str">
        <f t="shared" si="559"/>
        <v/>
      </c>
    </row>
    <row r="3485" spans="9:21" ht="24.75" customHeight="1" x14ac:dyDescent="0.35">
      <c r="I3485" s="42">
        <f t="shared" si="550"/>
        <v>0</v>
      </c>
      <c r="J3485" s="65" t="e">
        <f t="shared" si="551"/>
        <v>#NUM!</v>
      </c>
      <c r="K3485" s="83" t="e">
        <f t="shared" si="552"/>
        <v>#NUM!</v>
      </c>
      <c r="L3485" s="83">
        <f t="shared" si="553"/>
        <v>0</v>
      </c>
      <c r="M3485" s="110" t="str">
        <f t="shared" si="554"/>
        <v/>
      </c>
      <c r="N3485" s="51" t="str">
        <f t="shared" si="555"/>
        <v/>
      </c>
      <c r="O3485" s="52" t="str">
        <f t="shared" si="556"/>
        <v/>
      </c>
      <c r="P3485" s="88">
        <f t="shared" si="557"/>
        <v>0</v>
      </c>
      <c r="Q3485" s="88">
        <f t="shared" si="558"/>
        <v>0</v>
      </c>
      <c r="R3485" s="88" t="e">
        <f>-IF(Tabla14[[#This Row],[DIAS HABILES O MORA]]&lt;0,(Tabla14[[#This Row],[VALOR PRESTAMO]]*Tabla14[[#This Row],[% INTERES ]]/30*U3485))+Tabla14[[#This Row],[VALOR CUOTAS]]</f>
        <v>#VALUE!</v>
      </c>
      <c r="S3485" s="88">
        <f>-IF(Tabla14[[#This Row],[DIAS HABILES O MORA]]&lt;0,(Tabla14[[#This Row],[VALOR PRESTAMO]]*Tabla14[[#This Row],[% INTERES ]]/30*U3485))</f>
        <v>0</v>
      </c>
      <c r="T3485" s="53" t="e">
        <f>Tabla14[[#This Row],[DEUDA CAPITAL]]+Tabla14[[#This Row],[INTERES  CUOTA]]</f>
        <v>#NUM!</v>
      </c>
      <c r="U3485" s="61" t="str">
        <f t="shared" si="559"/>
        <v/>
      </c>
    </row>
    <row r="3486" spans="9:21" ht="24.75" customHeight="1" x14ac:dyDescent="0.35">
      <c r="I3486" s="42">
        <f t="shared" si="550"/>
        <v>0</v>
      </c>
      <c r="J3486" s="65" t="e">
        <f t="shared" si="551"/>
        <v>#NUM!</v>
      </c>
      <c r="K3486" s="83" t="e">
        <f t="shared" si="552"/>
        <v>#NUM!</v>
      </c>
      <c r="L3486" s="83">
        <f t="shared" si="553"/>
        <v>0</v>
      </c>
      <c r="M3486" s="110" t="str">
        <f t="shared" si="554"/>
        <v/>
      </c>
      <c r="N3486" s="51" t="str">
        <f t="shared" si="555"/>
        <v/>
      </c>
      <c r="O3486" s="52" t="str">
        <f t="shared" si="556"/>
        <v/>
      </c>
      <c r="P3486" s="88">
        <f t="shared" si="557"/>
        <v>0</v>
      </c>
      <c r="Q3486" s="88">
        <f t="shared" si="558"/>
        <v>0</v>
      </c>
      <c r="R3486" s="88" t="e">
        <f>-IF(Tabla14[[#This Row],[DIAS HABILES O MORA]]&lt;0,(Tabla14[[#This Row],[VALOR PRESTAMO]]*Tabla14[[#This Row],[% INTERES ]]/30*U3486))+Tabla14[[#This Row],[VALOR CUOTAS]]</f>
        <v>#VALUE!</v>
      </c>
      <c r="S3486" s="88">
        <f>-IF(Tabla14[[#This Row],[DIAS HABILES O MORA]]&lt;0,(Tabla14[[#This Row],[VALOR PRESTAMO]]*Tabla14[[#This Row],[% INTERES ]]/30*U3486))</f>
        <v>0</v>
      </c>
      <c r="T3486" s="53" t="e">
        <f>Tabla14[[#This Row],[DEUDA CAPITAL]]+Tabla14[[#This Row],[INTERES  CUOTA]]</f>
        <v>#NUM!</v>
      </c>
      <c r="U3486" s="61" t="str">
        <f t="shared" si="559"/>
        <v/>
      </c>
    </row>
    <row r="3487" spans="9:21" ht="24.75" customHeight="1" x14ac:dyDescent="0.35">
      <c r="I3487" s="42">
        <f t="shared" si="550"/>
        <v>0</v>
      </c>
      <c r="J3487" s="65" t="e">
        <f t="shared" si="551"/>
        <v>#NUM!</v>
      </c>
      <c r="K3487" s="83" t="e">
        <f t="shared" si="552"/>
        <v>#NUM!</v>
      </c>
      <c r="L3487" s="83">
        <f t="shared" si="553"/>
        <v>0</v>
      </c>
      <c r="M3487" s="110" t="str">
        <f t="shared" si="554"/>
        <v/>
      </c>
      <c r="N3487" s="51" t="str">
        <f t="shared" si="555"/>
        <v/>
      </c>
      <c r="O3487" s="52" t="str">
        <f t="shared" si="556"/>
        <v/>
      </c>
      <c r="P3487" s="88">
        <f t="shared" si="557"/>
        <v>0</v>
      </c>
      <c r="Q3487" s="88">
        <f t="shared" si="558"/>
        <v>0</v>
      </c>
      <c r="R3487" s="88" t="e">
        <f>-IF(Tabla14[[#This Row],[DIAS HABILES O MORA]]&lt;0,(Tabla14[[#This Row],[VALOR PRESTAMO]]*Tabla14[[#This Row],[% INTERES ]]/30*U3487))+Tabla14[[#This Row],[VALOR CUOTAS]]</f>
        <v>#VALUE!</v>
      </c>
      <c r="S3487" s="88">
        <f>-IF(Tabla14[[#This Row],[DIAS HABILES O MORA]]&lt;0,(Tabla14[[#This Row],[VALOR PRESTAMO]]*Tabla14[[#This Row],[% INTERES ]]/30*U3487))</f>
        <v>0</v>
      </c>
      <c r="T3487" s="53" t="e">
        <f>Tabla14[[#This Row],[DEUDA CAPITAL]]+Tabla14[[#This Row],[INTERES  CUOTA]]</f>
        <v>#NUM!</v>
      </c>
      <c r="U3487" s="61" t="str">
        <f t="shared" si="559"/>
        <v/>
      </c>
    </row>
    <row r="3488" spans="9:21" ht="24.75" customHeight="1" x14ac:dyDescent="0.35">
      <c r="I3488" s="42">
        <f t="shared" si="550"/>
        <v>0</v>
      </c>
      <c r="J3488" s="65" t="e">
        <f t="shared" si="551"/>
        <v>#NUM!</v>
      </c>
      <c r="K3488" s="83" t="e">
        <f t="shared" si="552"/>
        <v>#NUM!</v>
      </c>
      <c r="L3488" s="83">
        <f t="shared" si="553"/>
        <v>0</v>
      </c>
      <c r="M3488" s="110" t="str">
        <f t="shared" si="554"/>
        <v/>
      </c>
      <c r="N3488" s="51" t="str">
        <f t="shared" si="555"/>
        <v/>
      </c>
      <c r="O3488" s="52" t="str">
        <f t="shared" si="556"/>
        <v/>
      </c>
      <c r="P3488" s="88">
        <f t="shared" si="557"/>
        <v>0</v>
      </c>
      <c r="Q3488" s="88">
        <f t="shared" si="558"/>
        <v>0</v>
      </c>
      <c r="R3488" s="88" t="e">
        <f>-IF(Tabla14[[#This Row],[DIAS HABILES O MORA]]&lt;0,(Tabla14[[#This Row],[VALOR PRESTAMO]]*Tabla14[[#This Row],[% INTERES ]]/30*U3488))+Tabla14[[#This Row],[VALOR CUOTAS]]</f>
        <v>#VALUE!</v>
      </c>
      <c r="S3488" s="88">
        <f>-IF(Tabla14[[#This Row],[DIAS HABILES O MORA]]&lt;0,(Tabla14[[#This Row],[VALOR PRESTAMO]]*Tabla14[[#This Row],[% INTERES ]]/30*U3488))</f>
        <v>0</v>
      </c>
      <c r="T3488" s="53" t="e">
        <f>Tabla14[[#This Row],[DEUDA CAPITAL]]+Tabla14[[#This Row],[INTERES  CUOTA]]</f>
        <v>#NUM!</v>
      </c>
      <c r="U3488" s="61" t="str">
        <f t="shared" si="559"/>
        <v/>
      </c>
    </row>
    <row r="3489" spans="9:21" ht="24.75" customHeight="1" x14ac:dyDescent="0.35">
      <c r="I3489" s="42">
        <f t="shared" si="550"/>
        <v>0</v>
      </c>
      <c r="J3489" s="65" t="e">
        <f t="shared" si="551"/>
        <v>#NUM!</v>
      </c>
      <c r="K3489" s="83" t="e">
        <f t="shared" si="552"/>
        <v>#NUM!</v>
      </c>
      <c r="L3489" s="83">
        <f t="shared" si="553"/>
        <v>0</v>
      </c>
      <c r="M3489" s="110" t="str">
        <f t="shared" si="554"/>
        <v/>
      </c>
      <c r="N3489" s="51" t="str">
        <f t="shared" si="555"/>
        <v/>
      </c>
      <c r="O3489" s="52" t="str">
        <f t="shared" si="556"/>
        <v/>
      </c>
      <c r="P3489" s="88">
        <f t="shared" si="557"/>
        <v>0</v>
      </c>
      <c r="Q3489" s="88">
        <f t="shared" si="558"/>
        <v>0</v>
      </c>
      <c r="R3489" s="88" t="e">
        <f>-IF(Tabla14[[#This Row],[DIAS HABILES O MORA]]&lt;0,(Tabla14[[#This Row],[VALOR PRESTAMO]]*Tabla14[[#This Row],[% INTERES ]]/30*U3489))+Tabla14[[#This Row],[VALOR CUOTAS]]</f>
        <v>#VALUE!</v>
      </c>
      <c r="S3489" s="88">
        <f>-IF(Tabla14[[#This Row],[DIAS HABILES O MORA]]&lt;0,(Tabla14[[#This Row],[VALOR PRESTAMO]]*Tabla14[[#This Row],[% INTERES ]]/30*U3489))</f>
        <v>0</v>
      </c>
      <c r="T3489" s="53" t="e">
        <f>Tabla14[[#This Row],[DEUDA CAPITAL]]+Tabla14[[#This Row],[INTERES  CUOTA]]</f>
        <v>#NUM!</v>
      </c>
      <c r="U3489" s="61" t="str">
        <f t="shared" si="559"/>
        <v/>
      </c>
    </row>
    <row r="3490" spans="9:21" ht="24.75" customHeight="1" x14ac:dyDescent="0.35">
      <c r="I3490" s="42">
        <f t="shared" si="550"/>
        <v>0</v>
      </c>
      <c r="J3490" s="65" t="e">
        <f t="shared" si="551"/>
        <v>#NUM!</v>
      </c>
      <c r="K3490" s="83" t="e">
        <f t="shared" si="552"/>
        <v>#NUM!</v>
      </c>
      <c r="L3490" s="83">
        <f t="shared" si="553"/>
        <v>0</v>
      </c>
      <c r="M3490" s="110" t="str">
        <f t="shared" si="554"/>
        <v/>
      </c>
      <c r="N3490" s="51" t="str">
        <f t="shared" si="555"/>
        <v/>
      </c>
      <c r="O3490" s="52" t="str">
        <f t="shared" si="556"/>
        <v/>
      </c>
      <c r="P3490" s="88">
        <f t="shared" si="557"/>
        <v>0</v>
      </c>
      <c r="Q3490" s="88">
        <f t="shared" si="558"/>
        <v>0</v>
      </c>
      <c r="R3490" s="88" t="e">
        <f>-IF(Tabla14[[#This Row],[DIAS HABILES O MORA]]&lt;0,(Tabla14[[#This Row],[VALOR PRESTAMO]]*Tabla14[[#This Row],[% INTERES ]]/30*U3490))+Tabla14[[#This Row],[VALOR CUOTAS]]</f>
        <v>#VALUE!</v>
      </c>
      <c r="S3490" s="88">
        <f>-IF(Tabla14[[#This Row],[DIAS HABILES O MORA]]&lt;0,(Tabla14[[#This Row],[VALOR PRESTAMO]]*Tabla14[[#This Row],[% INTERES ]]/30*U3490))</f>
        <v>0</v>
      </c>
      <c r="T3490" s="53" t="e">
        <f>Tabla14[[#This Row],[DEUDA CAPITAL]]+Tabla14[[#This Row],[INTERES  CUOTA]]</f>
        <v>#NUM!</v>
      </c>
      <c r="U3490" s="61" t="str">
        <f t="shared" si="559"/>
        <v/>
      </c>
    </row>
    <row r="3491" spans="9:21" ht="24.75" customHeight="1" x14ac:dyDescent="0.35">
      <c r="I3491" s="42">
        <f t="shared" si="550"/>
        <v>0</v>
      </c>
      <c r="J3491" s="65" t="e">
        <f t="shared" si="551"/>
        <v>#NUM!</v>
      </c>
      <c r="K3491" s="83" t="e">
        <f t="shared" si="552"/>
        <v>#NUM!</v>
      </c>
      <c r="L3491" s="83">
        <f t="shared" si="553"/>
        <v>0</v>
      </c>
      <c r="M3491" s="110" t="str">
        <f t="shared" si="554"/>
        <v/>
      </c>
      <c r="N3491" s="51" t="str">
        <f t="shared" si="555"/>
        <v/>
      </c>
      <c r="O3491" s="52" t="str">
        <f t="shared" si="556"/>
        <v/>
      </c>
      <c r="P3491" s="88">
        <f t="shared" si="557"/>
        <v>0</v>
      </c>
      <c r="Q3491" s="88">
        <f t="shared" si="558"/>
        <v>0</v>
      </c>
      <c r="R3491" s="88" t="e">
        <f>-IF(Tabla14[[#This Row],[DIAS HABILES O MORA]]&lt;0,(Tabla14[[#This Row],[VALOR PRESTAMO]]*Tabla14[[#This Row],[% INTERES ]]/30*U3491))+Tabla14[[#This Row],[VALOR CUOTAS]]</f>
        <v>#VALUE!</v>
      </c>
      <c r="S3491" s="88">
        <f>-IF(Tabla14[[#This Row],[DIAS HABILES O MORA]]&lt;0,(Tabla14[[#This Row],[VALOR PRESTAMO]]*Tabla14[[#This Row],[% INTERES ]]/30*U3491))</f>
        <v>0</v>
      </c>
      <c r="T3491" s="53" t="e">
        <f>Tabla14[[#This Row],[DEUDA CAPITAL]]+Tabla14[[#This Row],[INTERES  CUOTA]]</f>
        <v>#NUM!</v>
      </c>
      <c r="U3491" s="61" t="str">
        <f t="shared" si="559"/>
        <v/>
      </c>
    </row>
    <row r="3492" spans="9:21" ht="24.75" customHeight="1" x14ac:dyDescent="0.35">
      <c r="I3492" s="42">
        <f t="shared" si="550"/>
        <v>0</v>
      </c>
      <c r="J3492" s="65" t="e">
        <f t="shared" si="551"/>
        <v>#NUM!</v>
      </c>
      <c r="K3492" s="83" t="e">
        <f t="shared" si="552"/>
        <v>#NUM!</v>
      </c>
      <c r="L3492" s="83">
        <f t="shared" si="553"/>
        <v>0</v>
      </c>
      <c r="M3492" s="110" t="str">
        <f t="shared" si="554"/>
        <v/>
      </c>
      <c r="N3492" s="51" t="str">
        <f t="shared" si="555"/>
        <v/>
      </c>
      <c r="O3492" s="52" t="str">
        <f t="shared" si="556"/>
        <v/>
      </c>
      <c r="P3492" s="88">
        <f t="shared" si="557"/>
        <v>0</v>
      </c>
      <c r="Q3492" s="88">
        <f t="shared" si="558"/>
        <v>0</v>
      </c>
      <c r="R3492" s="88" t="e">
        <f>-IF(Tabla14[[#This Row],[DIAS HABILES O MORA]]&lt;0,(Tabla14[[#This Row],[VALOR PRESTAMO]]*Tabla14[[#This Row],[% INTERES ]]/30*U3492))+Tabla14[[#This Row],[VALOR CUOTAS]]</f>
        <v>#VALUE!</v>
      </c>
      <c r="S3492" s="88">
        <f>-IF(Tabla14[[#This Row],[DIAS HABILES O MORA]]&lt;0,(Tabla14[[#This Row],[VALOR PRESTAMO]]*Tabla14[[#This Row],[% INTERES ]]/30*U3492))</f>
        <v>0</v>
      </c>
      <c r="T3492" s="53" t="e">
        <f>Tabla14[[#This Row],[DEUDA CAPITAL]]+Tabla14[[#This Row],[INTERES  CUOTA]]</f>
        <v>#NUM!</v>
      </c>
      <c r="U3492" s="61" t="str">
        <f t="shared" si="559"/>
        <v/>
      </c>
    </row>
    <row r="3493" spans="9:21" ht="24.75" customHeight="1" x14ac:dyDescent="0.35">
      <c r="I3493" s="42">
        <f t="shared" si="550"/>
        <v>0</v>
      </c>
      <c r="J3493" s="65" t="e">
        <f t="shared" si="551"/>
        <v>#NUM!</v>
      </c>
      <c r="K3493" s="83" t="e">
        <f t="shared" si="552"/>
        <v>#NUM!</v>
      </c>
      <c r="L3493" s="83">
        <f t="shared" si="553"/>
        <v>0</v>
      </c>
      <c r="M3493" s="110" t="str">
        <f t="shared" si="554"/>
        <v/>
      </c>
      <c r="N3493" s="51" t="str">
        <f t="shared" si="555"/>
        <v/>
      </c>
      <c r="O3493" s="52" t="str">
        <f t="shared" si="556"/>
        <v/>
      </c>
      <c r="P3493" s="88">
        <f t="shared" si="557"/>
        <v>0</v>
      </c>
      <c r="Q3493" s="88">
        <f t="shared" si="558"/>
        <v>0</v>
      </c>
      <c r="R3493" s="88" t="e">
        <f>-IF(Tabla14[[#This Row],[DIAS HABILES O MORA]]&lt;0,(Tabla14[[#This Row],[VALOR PRESTAMO]]*Tabla14[[#This Row],[% INTERES ]]/30*U3493))+Tabla14[[#This Row],[VALOR CUOTAS]]</f>
        <v>#VALUE!</v>
      </c>
      <c r="S3493" s="88">
        <f>-IF(Tabla14[[#This Row],[DIAS HABILES O MORA]]&lt;0,(Tabla14[[#This Row],[VALOR PRESTAMO]]*Tabla14[[#This Row],[% INTERES ]]/30*U3493))</f>
        <v>0</v>
      </c>
      <c r="T3493" s="53" t="e">
        <f>Tabla14[[#This Row],[DEUDA CAPITAL]]+Tabla14[[#This Row],[INTERES  CUOTA]]</f>
        <v>#NUM!</v>
      </c>
      <c r="U3493" s="61" t="str">
        <f t="shared" si="559"/>
        <v/>
      </c>
    </row>
    <row r="3494" spans="9:21" ht="24.75" customHeight="1" x14ac:dyDescent="0.35">
      <c r="I3494" s="42">
        <f t="shared" si="550"/>
        <v>0</v>
      </c>
      <c r="J3494" s="65" t="e">
        <f t="shared" si="551"/>
        <v>#NUM!</v>
      </c>
      <c r="K3494" s="83" t="e">
        <f t="shared" si="552"/>
        <v>#NUM!</v>
      </c>
      <c r="L3494" s="83">
        <f t="shared" si="553"/>
        <v>0</v>
      </c>
      <c r="M3494" s="110" t="str">
        <f t="shared" si="554"/>
        <v/>
      </c>
      <c r="N3494" s="51" t="str">
        <f t="shared" si="555"/>
        <v/>
      </c>
      <c r="O3494" s="52" t="str">
        <f t="shared" si="556"/>
        <v/>
      </c>
      <c r="P3494" s="88">
        <f t="shared" si="557"/>
        <v>0</v>
      </c>
      <c r="Q3494" s="88">
        <f t="shared" si="558"/>
        <v>0</v>
      </c>
      <c r="R3494" s="88" t="e">
        <f>-IF(Tabla14[[#This Row],[DIAS HABILES O MORA]]&lt;0,(Tabla14[[#This Row],[VALOR PRESTAMO]]*Tabla14[[#This Row],[% INTERES ]]/30*U3494))+Tabla14[[#This Row],[VALOR CUOTAS]]</f>
        <v>#VALUE!</v>
      </c>
      <c r="S3494" s="88">
        <f>-IF(Tabla14[[#This Row],[DIAS HABILES O MORA]]&lt;0,(Tabla14[[#This Row],[VALOR PRESTAMO]]*Tabla14[[#This Row],[% INTERES ]]/30*U3494))</f>
        <v>0</v>
      </c>
      <c r="T3494" s="53" t="e">
        <f>Tabla14[[#This Row],[DEUDA CAPITAL]]+Tabla14[[#This Row],[INTERES  CUOTA]]</f>
        <v>#NUM!</v>
      </c>
      <c r="U3494" s="61" t="str">
        <f t="shared" si="559"/>
        <v/>
      </c>
    </row>
    <row r="3495" spans="9:21" ht="24.75" customHeight="1" x14ac:dyDescent="0.35">
      <c r="I3495" s="42">
        <f t="shared" si="550"/>
        <v>0</v>
      </c>
      <c r="J3495" s="65" t="e">
        <f t="shared" si="551"/>
        <v>#NUM!</v>
      </c>
      <c r="K3495" s="83" t="e">
        <f t="shared" si="552"/>
        <v>#NUM!</v>
      </c>
      <c r="L3495" s="83">
        <f t="shared" si="553"/>
        <v>0</v>
      </c>
      <c r="M3495" s="110" t="str">
        <f t="shared" si="554"/>
        <v/>
      </c>
      <c r="N3495" s="51" t="str">
        <f t="shared" si="555"/>
        <v/>
      </c>
      <c r="O3495" s="52" t="str">
        <f t="shared" si="556"/>
        <v/>
      </c>
      <c r="P3495" s="88">
        <f t="shared" si="557"/>
        <v>0</v>
      </c>
      <c r="Q3495" s="88">
        <f t="shared" si="558"/>
        <v>0</v>
      </c>
      <c r="R3495" s="88" t="e">
        <f>-IF(Tabla14[[#This Row],[DIAS HABILES O MORA]]&lt;0,(Tabla14[[#This Row],[VALOR PRESTAMO]]*Tabla14[[#This Row],[% INTERES ]]/30*U3495))+Tabla14[[#This Row],[VALOR CUOTAS]]</f>
        <v>#VALUE!</v>
      </c>
      <c r="S3495" s="88">
        <f>-IF(Tabla14[[#This Row],[DIAS HABILES O MORA]]&lt;0,(Tabla14[[#This Row],[VALOR PRESTAMO]]*Tabla14[[#This Row],[% INTERES ]]/30*U3495))</f>
        <v>0</v>
      </c>
      <c r="T3495" s="53" t="e">
        <f>Tabla14[[#This Row],[DEUDA CAPITAL]]+Tabla14[[#This Row],[INTERES  CUOTA]]</f>
        <v>#NUM!</v>
      </c>
      <c r="U3495" s="61" t="str">
        <f t="shared" si="559"/>
        <v/>
      </c>
    </row>
    <row r="3496" spans="9:21" ht="24.75" customHeight="1" x14ac:dyDescent="0.35">
      <c r="I3496" s="42">
        <f t="shared" si="550"/>
        <v>0</v>
      </c>
      <c r="J3496" s="65" t="e">
        <f t="shared" si="551"/>
        <v>#NUM!</v>
      </c>
      <c r="K3496" s="83" t="e">
        <f t="shared" si="552"/>
        <v>#NUM!</v>
      </c>
      <c r="L3496" s="83">
        <f t="shared" si="553"/>
        <v>0</v>
      </c>
      <c r="M3496" s="110" t="str">
        <f t="shared" si="554"/>
        <v/>
      </c>
      <c r="N3496" s="51" t="str">
        <f t="shared" si="555"/>
        <v/>
      </c>
      <c r="O3496" s="52" t="str">
        <f t="shared" si="556"/>
        <v/>
      </c>
      <c r="P3496" s="88">
        <f t="shared" si="557"/>
        <v>0</v>
      </c>
      <c r="Q3496" s="88">
        <f t="shared" si="558"/>
        <v>0</v>
      </c>
      <c r="R3496" s="88" t="e">
        <f>-IF(Tabla14[[#This Row],[DIAS HABILES O MORA]]&lt;0,(Tabla14[[#This Row],[VALOR PRESTAMO]]*Tabla14[[#This Row],[% INTERES ]]/30*U3496))+Tabla14[[#This Row],[VALOR CUOTAS]]</f>
        <v>#VALUE!</v>
      </c>
      <c r="S3496" s="88">
        <f>-IF(Tabla14[[#This Row],[DIAS HABILES O MORA]]&lt;0,(Tabla14[[#This Row],[VALOR PRESTAMO]]*Tabla14[[#This Row],[% INTERES ]]/30*U3496))</f>
        <v>0</v>
      </c>
      <c r="T3496" s="53" t="e">
        <f>Tabla14[[#This Row],[DEUDA CAPITAL]]+Tabla14[[#This Row],[INTERES  CUOTA]]</f>
        <v>#NUM!</v>
      </c>
      <c r="U3496" s="61" t="str">
        <f t="shared" si="559"/>
        <v/>
      </c>
    </row>
    <row r="3497" spans="9:21" ht="24.75" customHeight="1" x14ac:dyDescent="0.35">
      <c r="I3497" s="42">
        <f t="shared" si="550"/>
        <v>0</v>
      </c>
      <c r="J3497" s="65" t="e">
        <f t="shared" si="551"/>
        <v>#NUM!</v>
      </c>
      <c r="K3497" s="83" t="e">
        <f t="shared" si="552"/>
        <v>#NUM!</v>
      </c>
      <c r="L3497" s="83">
        <f t="shared" si="553"/>
        <v>0</v>
      </c>
      <c r="M3497" s="110" t="str">
        <f t="shared" si="554"/>
        <v/>
      </c>
      <c r="N3497" s="51" t="str">
        <f t="shared" si="555"/>
        <v/>
      </c>
      <c r="O3497" s="52" t="str">
        <f t="shared" si="556"/>
        <v/>
      </c>
      <c r="P3497" s="88">
        <f t="shared" si="557"/>
        <v>0</v>
      </c>
      <c r="Q3497" s="88">
        <f t="shared" si="558"/>
        <v>0</v>
      </c>
      <c r="R3497" s="88" t="e">
        <f>-IF(Tabla14[[#This Row],[DIAS HABILES O MORA]]&lt;0,(Tabla14[[#This Row],[VALOR PRESTAMO]]*Tabla14[[#This Row],[% INTERES ]]/30*U3497))+Tabla14[[#This Row],[VALOR CUOTAS]]</f>
        <v>#VALUE!</v>
      </c>
      <c r="S3497" s="88">
        <f>-IF(Tabla14[[#This Row],[DIAS HABILES O MORA]]&lt;0,(Tabla14[[#This Row],[VALOR PRESTAMO]]*Tabla14[[#This Row],[% INTERES ]]/30*U3497))</f>
        <v>0</v>
      </c>
      <c r="T3497" s="53" t="e">
        <f>Tabla14[[#This Row],[DEUDA CAPITAL]]+Tabla14[[#This Row],[INTERES  CUOTA]]</f>
        <v>#NUM!</v>
      </c>
      <c r="U3497" s="61" t="str">
        <f t="shared" si="559"/>
        <v/>
      </c>
    </row>
    <row r="3498" spans="9:21" ht="24.75" customHeight="1" x14ac:dyDescent="0.35">
      <c r="I3498" s="42">
        <f t="shared" si="550"/>
        <v>0</v>
      </c>
      <c r="J3498" s="65" t="e">
        <f t="shared" si="551"/>
        <v>#NUM!</v>
      </c>
      <c r="K3498" s="83" t="e">
        <f t="shared" si="552"/>
        <v>#NUM!</v>
      </c>
      <c r="L3498" s="83">
        <f t="shared" si="553"/>
        <v>0</v>
      </c>
      <c r="M3498" s="110" t="str">
        <f t="shared" si="554"/>
        <v/>
      </c>
      <c r="N3498" s="51" t="str">
        <f t="shared" si="555"/>
        <v/>
      </c>
      <c r="O3498" s="52" t="str">
        <f t="shared" si="556"/>
        <v/>
      </c>
      <c r="P3498" s="88">
        <f t="shared" si="557"/>
        <v>0</v>
      </c>
      <c r="Q3498" s="88">
        <f t="shared" si="558"/>
        <v>0</v>
      </c>
      <c r="R3498" s="88" t="e">
        <f>-IF(Tabla14[[#This Row],[DIAS HABILES O MORA]]&lt;0,(Tabla14[[#This Row],[VALOR PRESTAMO]]*Tabla14[[#This Row],[% INTERES ]]/30*U3498))+Tabla14[[#This Row],[VALOR CUOTAS]]</f>
        <v>#VALUE!</v>
      </c>
      <c r="S3498" s="88">
        <f>-IF(Tabla14[[#This Row],[DIAS HABILES O MORA]]&lt;0,(Tabla14[[#This Row],[VALOR PRESTAMO]]*Tabla14[[#This Row],[% INTERES ]]/30*U3498))</f>
        <v>0</v>
      </c>
      <c r="T3498" s="53" t="e">
        <f>Tabla14[[#This Row],[DEUDA CAPITAL]]+Tabla14[[#This Row],[INTERES  CUOTA]]</f>
        <v>#NUM!</v>
      </c>
      <c r="U3498" s="61" t="str">
        <f t="shared" si="559"/>
        <v/>
      </c>
    </row>
    <row r="3499" spans="9:21" ht="24.75" customHeight="1" x14ac:dyDescent="0.35">
      <c r="I3499" s="42">
        <f t="shared" si="550"/>
        <v>0</v>
      </c>
      <c r="J3499" s="65" t="e">
        <f t="shared" si="551"/>
        <v>#NUM!</v>
      </c>
      <c r="K3499" s="83" t="e">
        <f t="shared" si="552"/>
        <v>#NUM!</v>
      </c>
      <c r="L3499" s="83">
        <f t="shared" si="553"/>
        <v>0</v>
      </c>
      <c r="M3499" s="110" t="str">
        <f t="shared" si="554"/>
        <v/>
      </c>
      <c r="N3499" s="51" t="str">
        <f t="shared" si="555"/>
        <v/>
      </c>
      <c r="O3499" s="52" t="str">
        <f t="shared" si="556"/>
        <v/>
      </c>
      <c r="P3499" s="88">
        <f t="shared" si="557"/>
        <v>0</v>
      </c>
      <c r="Q3499" s="88">
        <f t="shared" si="558"/>
        <v>0</v>
      </c>
      <c r="R3499" s="88" t="e">
        <f>-IF(Tabla14[[#This Row],[DIAS HABILES O MORA]]&lt;0,(Tabla14[[#This Row],[VALOR PRESTAMO]]*Tabla14[[#This Row],[% INTERES ]]/30*U3499))+Tabla14[[#This Row],[VALOR CUOTAS]]</f>
        <v>#VALUE!</v>
      </c>
      <c r="S3499" s="88">
        <f>-IF(Tabla14[[#This Row],[DIAS HABILES O MORA]]&lt;0,(Tabla14[[#This Row],[VALOR PRESTAMO]]*Tabla14[[#This Row],[% INTERES ]]/30*U3499))</f>
        <v>0</v>
      </c>
      <c r="T3499" s="53" t="e">
        <f>Tabla14[[#This Row],[DEUDA CAPITAL]]+Tabla14[[#This Row],[INTERES  CUOTA]]</f>
        <v>#NUM!</v>
      </c>
      <c r="U3499" s="61" t="str">
        <f t="shared" si="559"/>
        <v/>
      </c>
    </row>
    <row r="3500" spans="9:21" ht="24.75" customHeight="1" x14ac:dyDescent="0.35">
      <c r="I3500" s="42">
        <f t="shared" si="550"/>
        <v>0</v>
      </c>
      <c r="J3500" s="65" t="e">
        <f t="shared" si="551"/>
        <v>#NUM!</v>
      </c>
      <c r="K3500" s="83" t="e">
        <f t="shared" si="552"/>
        <v>#NUM!</v>
      </c>
      <c r="L3500" s="83">
        <f t="shared" si="553"/>
        <v>0</v>
      </c>
      <c r="M3500" s="110" t="str">
        <f t="shared" si="554"/>
        <v/>
      </c>
      <c r="N3500" s="51" t="str">
        <f t="shared" si="555"/>
        <v/>
      </c>
      <c r="O3500" s="52" t="str">
        <f t="shared" si="556"/>
        <v/>
      </c>
      <c r="P3500" s="88">
        <f t="shared" si="557"/>
        <v>0</v>
      </c>
      <c r="Q3500" s="88">
        <f t="shared" si="558"/>
        <v>0</v>
      </c>
      <c r="R3500" s="88" t="e">
        <f>-IF(Tabla14[[#This Row],[DIAS HABILES O MORA]]&lt;0,(Tabla14[[#This Row],[VALOR PRESTAMO]]*Tabla14[[#This Row],[% INTERES ]]/30*U3500))+Tabla14[[#This Row],[VALOR CUOTAS]]</f>
        <v>#VALUE!</v>
      </c>
      <c r="S3500" s="88">
        <f>-IF(Tabla14[[#This Row],[DIAS HABILES O MORA]]&lt;0,(Tabla14[[#This Row],[VALOR PRESTAMO]]*Tabla14[[#This Row],[% INTERES ]]/30*U3500))</f>
        <v>0</v>
      </c>
      <c r="T3500" s="53" t="e">
        <f>Tabla14[[#This Row],[DEUDA CAPITAL]]+Tabla14[[#This Row],[INTERES  CUOTA]]</f>
        <v>#NUM!</v>
      </c>
      <c r="U3500" s="61" t="str">
        <f t="shared" si="559"/>
        <v/>
      </c>
    </row>
    <row r="3501" spans="9:21" ht="24.75" customHeight="1" x14ac:dyDescent="0.35">
      <c r="I3501" s="42">
        <f t="shared" si="550"/>
        <v>0</v>
      </c>
      <c r="J3501" s="65" t="e">
        <f t="shared" si="551"/>
        <v>#NUM!</v>
      </c>
      <c r="K3501" s="83" t="e">
        <f t="shared" si="552"/>
        <v>#NUM!</v>
      </c>
      <c r="L3501" s="83">
        <f t="shared" si="553"/>
        <v>0</v>
      </c>
      <c r="M3501" s="110" t="str">
        <f t="shared" si="554"/>
        <v/>
      </c>
      <c r="N3501" s="51" t="str">
        <f t="shared" si="555"/>
        <v/>
      </c>
      <c r="O3501" s="52" t="str">
        <f t="shared" si="556"/>
        <v/>
      </c>
      <c r="P3501" s="88">
        <f t="shared" si="557"/>
        <v>0</v>
      </c>
      <c r="Q3501" s="88">
        <f t="shared" si="558"/>
        <v>0</v>
      </c>
      <c r="R3501" s="88" t="e">
        <f>-IF(Tabla14[[#This Row],[DIAS HABILES O MORA]]&lt;0,(Tabla14[[#This Row],[VALOR PRESTAMO]]*Tabla14[[#This Row],[% INTERES ]]/30*U3501))+Tabla14[[#This Row],[VALOR CUOTAS]]</f>
        <v>#VALUE!</v>
      </c>
      <c r="S3501" s="88">
        <f>-IF(Tabla14[[#This Row],[DIAS HABILES O MORA]]&lt;0,(Tabla14[[#This Row],[VALOR PRESTAMO]]*Tabla14[[#This Row],[% INTERES ]]/30*U3501))</f>
        <v>0</v>
      </c>
      <c r="T3501" s="53" t="e">
        <f>Tabla14[[#This Row],[DEUDA CAPITAL]]+Tabla14[[#This Row],[INTERES  CUOTA]]</f>
        <v>#NUM!</v>
      </c>
      <c r="U3501" s="61" t="str">
        <f t="shared" si="559"/>
        <v/>
      </c>
    </row>
    <row r="3502" spans="9:21" ht="24.75" customHeight="1" x14ac:dyDescent="0.35">
      <c r="I3502" s="42">
        <f t="shared" si="550"/>
        <v>0</v>
      </c>
      <c r="J3502" s="65" t="e">
        <f t="shared" si="551"/>
        <v>#NUM!</v>
      </c>
      <c r="K3502" s="83" t="e">
        <f t="shared" si="552"/>
        <v>#NUM!</v>
      </c>
      <c r="L3502" s="83">
        <f t="shared" si="553"/>
        <v>0</v>
      </c>
      <c r="M3502" s="110" t="str">
        <f t="shared" si="554"/>
        <v/>
      </c>
      <c r="N3502" s="51" t="str">
        <f t="shared" si="555"/>
        <v/>
      </c>
      <c r="O3502" s="52" t="str">
        <f t="shared" si="556"/>
        <v/>
      </c>
      <c r="P3502" s="88">
        <f t="shared" si="557"/>
        <v>0</v>
      </c>
      <c r="Q3502" s="88">
        <f t="shared" si="558"/>
        <v>0</v>
      </c>
      <c r="R3502" s="88" t="e">
        <f>-IF(Tabla14[[#This Row],[DIAS HABILES O MORA]]&lt;0,(Tabla14[[#This Row],[VALOR PRESTAMO]]*Tabla14[[#This Row],[% INTERES ]]/30*U3502))+Tabla14[[#This Row],[VALOR CUOTAS]]</f>
        <v>#VALUE!</v>
      </c>
      <c r="S3502" s="88">
        <f>-IF(Tabla14[[#This Row],[DIAS HABILES O MORA]]&lt;0,(Tabla14[[#This Row],[VALOR PRESTAMO]]*Tabla14[[#This Row],[% INTERES ]]/30*U3502))</f>
        <v>0</v>
      </c>
      <c r="T3502" s="53" t="e">
        <f>Tabla14[[#This Row],[DEUDA CAPITAL]]+Tabla14[[#This Row],[INTERES  CUOTA]]</f>
        <v>#NUM!</v>
      </c>
      <c r="U3502" s="61" t="str">
        <f t="shared" si="559"/>
        <v/>
      </c>
    </row>
    <row r="3503" spans="9:21" ht="24.75" customHeight="1" x14ac:dyDescent="0.35">
      <c r="I3503" s="42">
        <f t="shared" si="550"/>
        <v>0</v>
      </c>
      <c r="J3503" s="65" t="e">
        <f t="shared" si="551"/>
        <v>#NUM!</v>
      </c>
      <c r="K3503" s="83" t="e">
        <f t="shared" si="552"/>
        <v>#NUM!</v>
      </c>
      <c r="L3503" s="83">
        <f t="shared" si="553"/>
        <v>0</v>
      </c>
      <c r="M3503" s="110" t="str">
        <f t="shared" si="554"/>
        <v/>
      </c>
      <c r="N3503" s="51" t="str">
        <f t="shared" si="555"/>
        <v/>
      </c>
      <c r="O3503" s="52" t="str">
        <f t="shared" si="556"/>
        <v/>
      </c>
      <c r="P3503" s="88">
        <f t="shared" si="557"/>
        <v>0</v>
      </c>
      <c r="Q3503" s="88">
        <f t="shared" si="558"/>
        <v>0</v>
      </c>
      <c r="R3503" s="88" t="e">
        <f>-IF(Tabla14[[#This Row],[DIAS HABILES O MORA]]&lt;0,(Tabla14[[#This Row],[VALOR PRESTAMO]]*Tabla14[[#This Row],[% INTERES ]]/30*U3503))+Tabla14[[#This Row],[VALOR CUOTAS]]</f>
        <v>#VALUE!</v>
      </c>
      <c r="S3503" s="88">
        <f>-IF(Tabla14[[#This Row],[DIAS HABILES O MORA]]&lt;0,(Tabla14[[#This Row],[VALOR PRESTAMO]]*Tabla14[[#This Row],[% INTERES ]]/30*U3503))</f>
        <v>0</v>
      </c>
      <c r="T3503" s="53" t="e">
        <f>Tabla14[[#This Row],[DEUDA CAPITAL]]+Tabla14[[#This Row],[INTERES  CUOTA]]</f>
        <v>#NUM!</v>
      </c>
      <c r="U3503" s="61" t="str">
        <f t="shared" si="559"/>
        <v/>
      </c>
    </row>
    <row r="3504" spans="9:21" ht="24.75" customHeight="1" x14ac:dyDescent="0.35">
      <c r="I3504" s="42">
        <f t="shared" si="550"/>
        <v>0</v>
      </c>
      <c r="J3504" s="65" t="e">
        <f t="shared" si="551"/>
        <v>#NUM!</v>
      </c>
      <c r="K3504" s="83" t="e">
        <f t="shared" si="552"/>
        <v>#NUM!</v>
      </c>
      <c r="L3504" s="83">
        <f t="shared" si="553"/>
        <v>0</v>
      </c>
      <c r="M3504" s="110" t="str">
        <f t="shared" si="554"/>
        <v/>
      </c>
      <c r="N3504" s="51" t="str">
        <f t="shared" si="555"/>
        <v/>
      </c>
      <c r="O3504" s="52" t="str">
        <f t="shared" si="556"/>
        <v/>
      </c>
      <c r="P3504" s="88">
        <f t="shared" si="557"/>
        <v>0</v>
      </c>
      <c r="Q3504" s="88">
        <f t="shared" si="558"/>
        <v>0</v>
      </c>
      <c r="R3504" s="88" t="e">
        <f>-IF(Tabla14[[#This Row],[DIAS HABILES O MORA]]&lt;0,(Tabla14[[#This Row],[VALOR PRESTAMO]]*Tabla14[[#This Row],[% INTERES ]]/30*U3504))+Tabla14[[#This Row],[VALOR CUOTAS]]</f>
        <v>#VALUE!</v>
      </c>
      <c r="S3504" s="88">
        <f>-IF(Tabla14[[#This Row],[DIAS HABILES O MORA]]&lt;0,(Tabla14[[#This Row],[VALOR PRESTAMO]]*Tabla14[[#This Row],[% INTERES ]]/30*U3504))</f>
        <v>0</v>
      </c>
      <c r="T3504" s="53" t="e">
        <f>Tabla14[[#This Row],[DEUDA CAPITAL]]+Tabla14[[#This Row],[INTERES  CUOTA]]</f>
        <v>#NUM!</v>
      </c>
      <c r="U3504" s="61" t="str">
        <f t="shared" si="559"/>
        <v/>
      </c>
    </row>
    <row r="3505" spans="9:21" ht="24.75" customHeight="1" x14ac:dyDescent="0.35">
      <c r="I3505" s="42">
        <f t="shared" si="550"/>
        <v>0</v>
      </c>
      <c r="J3505" s="65" t="e">
        <f t="shared" si="551"/>
        <v>#NUM!</v>
      </c>
      <c r="K3505" s="83" t="e">
        <f t="shared" si="552"/>
        <v>#NUM!</v>
      </c>
      <c r="L3505" s="83">
        <f t="shared" si="553"/>
        <v>0</v>
      </c>
      <c r="M3505" s="110" t="str">
        <f t="shared" si="554"/>
        <v/>
      </c>
      <c r="N3505" s="51" t="str">
        <f t="shared" si="555"/>
        <v/>
      </c>
      <c r="O3505" s="52" t="str">
        <f t="shared" si="556"/>
        <v/>
      </c>
      <c r="P3505" s="88">
        <f t="shared" si="557"/>
        <v>0</v>
      </c>
      <c r="Q3505" s="88">
        <f t="shared" si="558"/>
        <v>0</v>
      </c>
      <c r="R3505" s="88" t="e">
        <f>-IF(Tabla14[[#This Row],[DIAS HABILES O MORA]]&lt;0,(Tabla14[[#This Row],[VALOR PRESTAMO]]*Tabla14[[#This Row],[% INTERES ]]/30*U3505))+Tabla14[[#This Row],[VALOR CUOTAS]]</f>
        <v>#VALUE!</v>
      </c>
      <c r="S3505" s="88">
        <f>-IF(Tabla14[[#This Row],[DIAS HABILES O MORA]]&lt;0,(Tabla14[[#This Row],[VALOR PRESTAMO]]*Tabla14[[#This Row],[% INTERES ]]/30*U3505))</f>
        <v>0</v>
      </c>
      <c r="T3505" s="53" t="e">
        <f>Tabla14[[#This Row],[DEUDA CAPITAL]]+Tabla14[[#This Row],[INTERES  CUOTA]]</f>
        <v>#NUM!</v>
      </c>
      <c r="U3505" s="61" t="str">
        <f t="shared" si="559"/>
        <v/>
      </c>
    </row>
    <row r="3506" spans="9:21" ht="24.75" customHeight="1" x14ac:dyDescent="0.35">
      <c r="I3506" s="42">
        <f t="shared" si="550"/>
        <v>0</v>
      </c>
      <c r="J3506" s="65" t="e">
        <f t="shared" si="551"/>
        <v>#NUM!</v>
      </c>
      <c r="K3506" s="83" t="e">
        <f t="shared" si="552"/>
        <v>#NUM!</v>
      </c>
      <c r="L3506" s="83">
        <f t="shared" si="553"/>
        <v>0</v>
      </c>
      <c r="M3506" s="110" t="str">
        <f t="shared" si="554"/>
        <v/>
      </c>
      <c r="N3506" s="51" t="str">
        <f t="shared" si="555"/>
        <v/>
      </c>
      <c r="O3506" s="52" t="str">
        <f t="shared" si="556"/>
        <v/>
      </c>
      <c r="P3506" s="88">
        <f t="shared" si="557"/>
        <v>0</v>
      </c>
      <c r="Q3506" s="88">
        <f t="shared" si="558"/>
        <v>0</v>
      </c>
      <c r="R3506" s="88" t="e">
        <f>-IF(Tabla14[[#This Row],[DIAS HABILES O MORA]]&lt;0,(Tabla14[[#This Row],[VALOR PRESTAMO]]*Tabla14[[#This Row],[% INTERES ]]/30*U3506))+Tabla14[[#This Row],[VALOR CUOTAS]]</f>
        <v>#VALUE!</v>
      </c>
      <c r="S3506" s="88">
        <f>-IF(Tabla14[[#This Row],[DIAS HABILES O MORA]]&lt;0,(Tabla14[[#This Row],[VALOR PRESTAMO]]*Tabla14[[#This Row],[% INTERES ]]/30*U3506))</f>
        <v>0</v>
      </c>
      <c r="T3506" s="53" t="e">
        <f>Tabla14[[#This Row],[DEUDA CAPITAL]]+Tabla14[[#This Row],[INTERES  CUOTA]]</f>
        <v>#NUM!</v>
      </c>
      <c r="U3506" s="61" t="str">
        <f t="shared" si="559"/>
        <v/>
      </c>
    </row>
    <row r="3507" spans="9:21" ht="24.75" customHeight="1" x14ac:dyDescent="0.35">
      <c r="I3507" s="42">
        <f t="shared" si="550"/>
        <v>0</v>
      </c>
      <c r="J3507" s="65" t="e">
        <f t="shared" si="551"/>
        <v>#NUM!</v>
      </c>
      <c r="K3507" s="83" t="e">
        <f t="shared" si="552"/>
        <v>#NUM!</v>
      </c>
      <c r="L3507" s="83">
        <f t="shared" si="553"/>
        <v>0</v>
      </c>
      <c r="M3507" s="110" t="str">
        <f t="shared" si="554"/>
        <v/>
      </c>
      <c r="N3507" s="51" t="str">
        <f t="shared" si="555"/>
        <v/>
      </c>
      <c r="O3507" s="52" t="str">
        <f t="shared" si="556"/>
        <v/>
      </c>
      <c r="P3507" s="88">
        <f t="shared" si="557"/>
        <v>0</v>
      </c>
      <c r="Q3507" s="88">
        <f t="shared" si="558"/>
        <v>0</v>
      </c>
      <c r="R3507" s="88" t="e">
        <f>-IF(Tabla14[[#This Row],[DIAS HABILES O MORA]]&lt;0,(Tabla14[[#This Row],[VALOR PRESTAMO]]*Tabla14[[#This Row],[% INTERES ]]/30*U3507))+Tabla14[[#This Row],[VALOR CUOTAS]]</f>
        <v>#VALUE!</v>
      </c>
      <c r="S3507" s="88">
        <f>-IF(Tabla14[[#This Row],[DIAS HABILES O MORA]]&lt;0,(Tabla14[[#This Row],[VALOR PRESTAMO]]*Tabla14[[#This Row],[% INTERES ]]/30*U3507))</f>
        <v>0</v>
      </c>
      <c r="T3507" s="53" t="e">
        <f>Tabla14[[#This Row],[DEUDA CAPITAL]]+Tabla14[[#This Row],[INTERES  CUOTA]]</f>
        <v>#NUM!</v>
      </c>
      <c r="U3507" s="61" t="str">
        <f t="shared" si="559"/>
        <v/>
      </c>
    </row>
    <row r="3508" spans="9:21" ht="24.75" customHeight="1" x14ac:dyDescent="0.35">
      <c r="I3508" s="42">
        <f t="shared" si="550"/>
        <v>0</v>
      </c>
      <c r="J3508" s="65" t="e">
        <f t="shared" si="551"/>
        <v>#NUM!</v>
      </c>
      <c r="K3508" s="83" t="e">
        <f t="shared" si="552"/>
        <v>#NUM!</v>
      </c>
      <c r="L3508" s="83">
        <f t="shared" si="553"/>
        <v>0</v>
      </c>
      <c r="M3508" s="110" t="str">
        <f t="shared" si="554"/>
        <v/>
      </c>
      <c r="N3508" s="51" t="str">
        <f t="shared" si="555"/>
        <v/>
      </c>
      <c r="O3508" s="52" t="str">
        <f t="shared" si="556"/>
        <v/>
      </c>
      <c r="P3508" s="88">
        <f t="shared" si="557"/>
        <v>0</v>
      </c>
      <c r="Q3508" s="88">
        <f t="shared" si="558"/>
        <v>0</v>
      </c>
      <c r="R3508" s="88" t="e">
        <f>-IF(Tabla14[[#This Row],[DIAS HABILES O MORA]]&lt;0,(Tabla14[[#This Row],[VALOR PRESTAMO]]*Tabla14[[#This Row],[% INTERES ]]/30*U3508))+Tabla14[[#This Row],[VALOR CUOTAS]]</f>
        <v>#VALUE!</v>
      </c>
      <c r="S3508" s="88">
        <f>-IF(Tabla14[[#This Row],[DIAS HABILES O MORA]]&lt;0,(Tabla14[[#This Row],[VALOR PRESTAMO]]*Tabla14[[#This Row],[% INTERES ]]/30*U3508))</f>
        <v>0</v>
      </c>
      <c r="T3508" s="53" t="e">
        <f>Tabla14[[#This Row],[DEUDA CAPITAL]]+Tabla14[[#This Row],[INTERES  CUOTA]]</f>
        <v>#NUM!</v>
      </c>
      <c r="U3508" s="61" t="str">
        <f t="shared" si="559"/>
        <v/>
      </c>
    </row>
    <row r="3509" spans="9:21" ht="24.75" customHeight="1" x14ac:dyDescent="0.35">
      <c r="I3509" s="42">
        <f t="shared" si="550"/>
        <v>0</v>
      </c>
      <c r="J3509" s="65" t="e">
        <f t="shared" si="551"/>
        <v>#NUM!</v>
      </c>
      <c r="K3509" s="83" t="e">
        <f t="shared" si="552"/>
        <v>#NUM!</v>
      </c>
      <c r="L3509" s="83">
        <f t="shared" si="553"/>
        <v>0</v>
      </c>
      <c r="M3509" s="110" t="str">
        <f t="shared" si="554"/>
        <v/>
      </c>
      <c r="N3509" s="51" t="str">
        <f t="shared" si="555"/>
        <v/>
      </c>
      <c r="O3509" s="52" t="str">
        <f t="shared" si="556"/>
        <v/>
      </c>
      <c r="P3509" s="88">
        <f t="shared" si="557"/>
        <v>0</v>
      </c>
      <c r="Q3509" s="88">
        <f t="shared" si="558"/>
        <v>0</v>
      </c>
      <c r="R3509" s="88" t="e">
        <f>-IF(Tabla14[[#This Row],[DIAS HABILES O MORA]]&lt;0,(Tabla14[[#This Row],[VALOR PRESTAMO]]*Tabla14[[#This Row],[% INTERES ]]/30*U3509))+Tabla14[[#This Row],[VALOR CUOTAS]]</f>
        <v>#VALUE!</v>
      </c>
      <c r="S3509" s="88">
        <f>-IF(Tabla14[[#This Row],[DIAS HABILES O MORA]]&lt;0,(Tabla14[[#This Row],[VALOR PRESTAMO]]*Tabla14[[#This Row],[% INTERES ]]/30*U3509))</f>
        <v>0</v>
      </c>
      <c r="T3509" s="53" t="e">
        <f>Tabla14[[#This Row],[DEUDA CAPITAL]]+Tabla14[[#This Row],[INTERES  CUOTA]]</f>
        <v>#NUM!</v>
      </c>
      <c r="U3509" s="61" t="str">
        <f t="shared" si="559"/>
        <v/>
      </c>
    </row>
    <row r="3510" spans="9:21" ht="24.75" customHeight="1" x14ac:dyDescent="0.35">
      <c r="I3510" s="42">
        <f t="shared" si="550"/>
        <v>0</v>
      </c>
      <c r="J3510" s="65" t="e">
        <f t="shared" si="551"/>
        <v>#NUM!</v>
      </c>
      <c r="K3510" s="83" t="e">
        <f t="shared" si="552"/>
        <v>#NUM!</v>
      </c>
      <c r="L3510" s="83">
        <f t="shared" si="553"/>
        <v>0</v>
      </c>
      <c r="M3510" s="110" t="str">
        <f t="shared" si="554"/>
        <v/>
      </c>
      <c r="N3510" s="51" t="str">
        <f t="shared" si="555"/>
        <v/>
      </c>
      <c r="O3510" s="52" t="str">
        <f t="shared" si="556"/>
        <v/>
      </c>
      <c r="P3510" s="88">
        <f t="shared" si="557"/>
        <v>0</v>
      </c>
      <c r="Q3510" s="88">
        <f t="shared" si="558"/>
        <v>0</v>
      </c>
      <c r="R3510" s="88" t="e">
        <f>-IF(Tabla14[[#This Row],[DIAS HABILES O MORA]]&lt;0,(Tabla14[[#This Row],[VALOR PRESTAMO]]*Tabla14[[#This Row],[% INTERES ]]/30*U3510))+Tabla14[[#This Row],[VALOR CUOTAS]]</f>
        <v>#VALUE!</v>
      </c>
      <c r="S3510" s="88">
        <f>-IF(Tabla14[[#This Row],[DIAS HABILES O MORA]]&lt;0,(Tabla14[[#This Row],[VALOR PRESTAMO]]*Tabla14[[#This Row],[% INTERES ]]/30*U3510))</f>
        <v>0</v>
      </c>
      <c r="T3510" s="53" t="e">
        <f>Tabla14[[#This Row],[DEUDA CAPITAL]]+Tabla14[[#This Row],[INTERES  CUOTA]]</f>
        <v>#NUM!</v>
      </c>
      <c r="U3510" s="61" t="str">
        <f t="shared" si="559"/>
        <v/>
      </c>
    </row>
    <row r="3511" spans="9:21" ht="24.75" customHeight="1" x14ac:dyDescent="0.35">
      <c r="I3511" s="42">
        <f t="shared" si="550"/>
        <v>0</v>
      </c>
      <c r="J3511" s="65" t="e">
        <f t="shared" si="551"/>
        <v>#NUM!</v>
      </c>
      <c r="K3511" s="83" t="e">
        <f t="shared" si="552"/>
        <v>#NUM!</v>
      </c>
      <c r="L3511" s="83">
        <f t="shared" si="553"/>
        <v>0</v>
      </c>
      <c r="M3511" s="110" t="str">
        <f t="shared" si="554"/>
        <v/>
      </c>
      <c r="N3511" s="51" t="str">
        <f t="shared" si="555"/>
        <v/>
      </c>
      <c r="O3511" s="52" t="str">
        <f t="shared" si="556"/>
        <v/>
      </c>
      <c r="P3511" s="88">
        <f t="shared" si="557"/>
        <v>0</v>
      </c>
      <c r="Q3511" s="88">
        <f t="shared" si="558"/>
        <v>0</v>
      </c>
      <c r="R3511" s="88" t="e">
        <f>-IF(Tabla14[[#This Row],[DIAS HABILES O MORA]]&lt;0,(Tabla14[[#This Row],[VALOR PRESTAMO]]*Tabla14[[#This Row],[% INTERES ]]/30*U3511))+Tabla14[[#This Row],[VALOR CUOTAS]]</f>
        <v>#VALUE!</v>
      </c>
      <c r="S3511" s="88">
        <f>-IF(Tabla14[[#This Row],[DIAS HABILES O MORA]]&lt;0,(Tabla14[[#This Row],[VALOR PRESTAMO]]*Tabla14[[#This Row],[% INTERES ]]/30*U3511))</f>
        <v>0</v>
      </c>
      <c r="T3511" s="53" t="e">
        <f>Tabla14[[#This Row],[DEUDA CAPITAL]]+Tabla14[[#This Row],[INTERES  CUOTA]]</f>
        <v>#NUM!</v>
      </c>
      <c r="U3511" s="61" t="str">
        <f t="shared" si="559"/>
        <v/>
      </c>
    </row>
    <row r="3512" spans="9:21" ht="24.75" customHeight="1" x14ac:dyDescent="0.35">
      <c r="I3512" s="42">
        <f t="shared" si="550"/>
        <v>0</v>
      </c>
      <c r="J3512" s="65" t="e">
        <f t="shared" si="551"/>
        <v>#NUM!</v>
      </c>
      <c r="K3512" s="83" t="e">
        <f t="shared" si="552"/>
        <v>#NUM!</v>
      </c>
      <c r="L3512" s="83">
        <f t="shared" si="553"/>
        <v>0</v>
      </c>
      <c r="M3512" s="110" t="str">
        <f t="shared" si="554"/>
        <v/>
      </c>
      <c r="N3512" s="51" t="str">
        <f t="shared" si="555"/>
        <v/>
      </c>
      <c r="O3512" s="52" t="str">
        <f t="shared" si="556"/>
        <v/>
      </c>
      <c r="P3512" s="88">
        <f t="shared" si="557"/>
        <v>0</v>
      </c>
      <c r="Q3512" s="88">
        <f t="shared" si="558"/>
        <v>0</v>
      </c>
      <c r="R3512" s="88" t="e">
        <f>-IF(Tabla14[[#This Row],[DIAS HABILES O MORA]]&lt;0,(Tabla14[[#This Row],[VALOR PRESTAMO]]*Tabla14[[#This Row],[% INTERES ]]/30*U3512))+Tabla14[[#This Row],[VALOR CUOTAS]]</f>
        <v>#VALUE!</v>
      </c>
      <c r="S3512" s="88">
        <f>-IF(Tabla14[[#This Row],[DIAS HABILES O MORA]]&lt;0,(Tabla14[[#This Row],[VALOR PRESTAMO]]*Tabla14[[#This Row],[% INTERES ]]/30*U3512))</f>
        <v>0</v>
      </c>
      <c r="T3512" s="53" t="e">
        <f>Tabla14[[#This Row],[DEUDA CAPITAL]]+Tabla14[[#This Row],[INTERES  CUOTA]]</f>
        <v>#NUM!</v>
      </c>
      <c r="U3512" s="61" t="str">
        <f t="shared" si="559"/>
        <v/>
      </c>
    </row>
    <row r="3513" spans="9:21" ht="24.75" customHeight="1" x14ac:dyDescent="0.35">
      <c r="I3513" s="42">
        <f t="shared" si="550"/>
        <v>0</v>
      </c>
      <c r="J3513" s="65" t="e">
        <f t="shared" si="551"/>
        <v>#NUM!</v>
      </c>
      <c r="K3513" s="83" t="e">
        <f t="shared" si="552"/>
        <v>#NUM!</v>
      </c>
      <c r="L3513" s="83">
        <f t="shared" si="553"/>
        <v>0</v>
      </c>
      <c r="M3513" s="110" t="str">
        <f t="shared" si="554"/>
        <v/>
      </c>
      <c r="N3513" s="51" t="str">
        <f t="shared" si="555"/>
        <v/>
      </c>
      <c r="O3513" s="52" t="str">
        <f t="shared" si="556"/>
        <v/>
      </c>
      <c r="P3513" s="88">
        <f t="shared" si="557"/>
        <v>0</v>
      </c>
      <c r="Q3513" s="88">
        <f t="shared" si="558"/>
        <v>0</v>
      </c>
      <c r="R3513" s="88" t="e">
        <f>-IF(Tabla14[[#This Row],[DIAS HABILES O MORA]]&lt;0,(Tabla14[[#This Row],[VALOR PRESTAMO]]*Tabla14[[#This Row],[% INTERES ]]/30*U3513))+Tabla14[[#This Row],[VALOR CUOTAS]]</f>
        <v>#VALUE!</v>
      </c>
      <c r="S3513" s="88">
        <f>-IF(Tabla14[[#This Row],[DIAS HABILES O MORA]]&lt;0,(Tabla14[[#This Row],[VALOR PRESTAMO]]*Tabla14[[#This Row],[% INTERES ]]/30*U3513))</f>
        <v>0</v>
      </c>
      <c r="T3513" s="53" t="e">
        <f>Tabla14[[#This Row],[DEUDA CAPITAL]]+Tabla14[[#This Row],[INTERES  CUOTA]]</f>
        <v>#NUM!</v>
      </c>
      <c r="U3513" s="61" t="str">
        <f t="shared" si="559"/>
        <v/>
      </c>
    </row>
    <row r="3514" spans="9:21" ht="24.75" customHeight="1" x14ac:dyDescent="0.35">
      <c r="I3514" s="42">
        <f t="shared" si="550"/>
        <v>0</v>
      </c>
      <c r="J3514" s="65" t="e">
        <f t="shared" si="551"/>
        <v>#NUM!</v>
      </c>
      <c r="K3514" s="83" t="e">
        <f t="shared" si="552"/>
        <v>#NUM!</v>
      </c>
      <c r="L3514" s="83">
        <f t="shared" si="553"/>
        <v>0</v>
      </c>
      <c r="M3514" s="110" t="str">
        <f t="shared" si="554"/>
        <v/>
      </c>
      <c r="N3514" s="51" t="str">
        <f t="shared" si="555"/>
        <v/>
      </c>
      <c r="O3514" s="52" t="str">
        <f t="shared" si="556"/>
        <v/>
      </c>
      <c r="P3514" s="88">
        <f t="shared" si="557"/>
        <v>0</v>
      </c>
      <c r="Q3514" s="88">
        <f t="shared" si="558"/>
        <v>0</v>
      </c>
      <c r="R3514" s="88" t="e">
        <f>-IF(Tabla14[[#This Row],[DIAS HABILES O MORA]]&lt;0,(Tabla14[[#This Row],[VALOR PRESTAMO]]*Tabla14[[#This Row],[% INTERES ]]/30*U3514))+Tabla14[[#This Row],[VALOR CUOTAS]]</f>
        <v>#VALUE!</v>
      </c>
      <c r="S3514" s="88">
        <f>-IF(Tabla14[[#This Row],[DIAS HABILES O MORA]]&lt;0,(Tabla14[[#This Row],[VALOR PRESTAMO]]*Tabla14[[#This Row],[% INTERES ]]/30*U3514))</f>
        <v>0</v>
      </c>
      <c r="T3514" s="53" t="e">
        <f>Tabla14[[#This Row],[DEUDA CAPITAL]]+Tabla14[[#This Row],[INTERES  CUOTA]]</f>
        <v>#NUM!</v>
      </c>
      <c r="U3514" s="61" t="str">
        <f t="shared" si="559"/>
        <v/>
      </c>
    </row>
    <row r="3515" spans="9:21" ht="24.75" customHeight="1" x14ac:dyDescent="0.35">
      <c r="I3515" s="42">
        <f t="shared" si="550"/>
        <v>0</v>
      </c>
      <c r="J3515" s="65" t="e">
        <f t="shared" si="551"/>
        <v>#NUM!</v>
      </c>
      <c r="K3515" s="83" t="e">
        <f t="shared" si="552"/>
        <v>#NUM!</v>
      </c>
      <c r="L3515" s="83">
        <f t="shared" si="553"/>
        <v>0</v>
      </c>
      <c r="M3515" s="110" t="str">
        <f t="shared" si="554"/>
        <v/>
      </c>
      <c r="N3515" s="51" t="str">
        <f t="shared" si="555"/>
        <v/>
      </c>
      <c r="O3515" s="52" t="str">
        <f t="shared" si="556"/>
        <v/>
      </c>
      <c r="P3515" s="88">
        <f t="shared" si="557"/>
        <v>0</v>
      </c>
      <c r="Q3515" s="88">
        <f t="shared" si="558"/>
        <v>0</v>
      </c>
      <c r="R3515" s="88" t="e">
        <f>-IF(Tabla14[[#This Row],[DIAS HABILES O MORA]]&lt;0,(Tabla14[[#This Row],[VALOR PRESTAMO]]*Tabla14[[#This Row],[% INTERES ]]/30*U3515))+Tabla14[[#This Row],[VALOR CUOTAS]]</f>
        <v>#VALUE!</v>
      </c>
      <c r="S3515" s="88">
        <f>-IF(Tabla14[[#This Row],[DIAS HABILES O MORA]]&lt;0,(Tabla14[[#This Row],[VALOR PRESTAMO]]*Tabla14[[#This Row],[% INTERES ]]/30*U3515))</f>
        <v>0</v>
      </c>
      <c r="T3515" s="53" t="e">
        <f>Tabla14[[#This Row],[DEUDA CAPITAL]]+Tabla14[[#This Row],[INTERES  CUOTA]]</f>
        <v>#NUM!</v>
      </c>
      <c r="U3515" s="61" t="str">
        <f t="shared" si="559"/>
        <v/>
      </c>
    </row>
    <row r="3516" spans="9:21" ht="24.75" customHeight="1" x14ac:dyDescent="0.35">
      <c r="I3516" s="42">
        <f t="shared" si="550"/>
        <v>0</v>
      </c>
      <c r="J3516" s="65" t="e">
        <f t="shared" si="551"/>
        <v>#NUM!</v>
      </c>
      <c r="K3516" s="83" t="e">
        <f t="shared" si="552"/>
        <v>#NUM!</v>
      </c>
      <c r="L3516" s="83">
        <f t="shared" si="553"/>
        <v>0</v>
      </c>
      <c r="M3516" s="110" t="str">
        <f t="shared" si="554"/>
        <v/>
      </c>
      <c r="N3516" s="51" t="str">
        <f t="shared" si="555"/>
        <v/>
      </c>
      <c r="O3516" s="52" t="str">
        <f t="shared" si="556"/>
        <v/>
      </c>
      <c r="P3516" s="88">
        <f t="shared" si="557"/>
        <v>0</v>
      </c>
      <c r="Q3516" s="88">
        <f t="shared" si="558"/>
        <v>0</v>
      </c>
      <c r="R3516" s="88" t="e">
        <f>-IF(Tabla14[[#This Row],[DIAS HABILES O MORA]]&lt;0,(Tabla14[[#This Row],[VALOR PRESTAMO]]*Tabla14[[#This Row],[% INTERES ]]/30*U3516))+Tabla14[[#This Row],[VALOR CUOTAS]]</f>
        <v>#VALUE!</v>
      </c>
      <c r="S3516" s="88">
        <f>-IF(Tabla14[[#This Row],[DIAS HABILES O MORA]]&lt;0,(Tabla14[[#This Row],[VALOR PRESTAMO]]*Tabla14[[#This Row],[% INTERES ]]/30*U3516))</f>
        <v>0</v>
      </c>
      <c r="T3516" s="53" t="e">
        <f>Tabla14[[#This Row],[DEUDA CAPITAL]]+Tabla14[[#This Row],[INTERES  CUOTA]]</f>
        <v>#NUM!</v>
      </c>
      <c r="U3516" s="61" t="str">
        <f t="shared" si="559"/>
        <v/>
      </c>
    </row>
    <row r="3517" spans="9:21" ht="24.75" customHeight="1" x14ac:dyDescent="0.35">
      <c r="I3517" s="42">
        <f t="shared" si="550"/>
        <v>0</v>
      </c>
      <c r="J3517" s="65" t="e">
        <f t="shared" si="551"/>
        <v>#NUM!</v>
      </c>
      <c r="K3517" s="83" t="e">
        <f t="shared" si="552"/>
        <v>#NUM!</v>
      </c>
      <c r="L3517" s="83">
        <f t="shared" si="553"/>
        <v>0</v>
      </c>
      <c r="M3517" s="110" t="str">
        <f t="shared" si="554"/>
        <v/>
      </c>
      <c r="N3517" s="51" t="str">
        <f t="shared" si="555"/>
        <v/>
      </c>
      <c r="O3517" s="52" t="str">
        <f t="shared" si="556"/>
        <v/>
      </c>
      <c r="P3517" s="88">
        <f t="shared" si="557"/>
        <v>0</v>
      </c>
      <c r="Q3517" s="88">
        <f t="shared" si="558"/>
        <v>0</v>
      </c>
      <c r="R3517" s="88" t="e">
        <f>-IF(Tabla14[[#This Row],[DIAS HABILES O MORA]]&lt;0,(Tabla14[[#This Row],[VALOR PRESTAMO]]*Tabla14[[#This Row],[% INTERES ]]/30*U3517))+Tabla14[[#This Row],[VALOR CUOTAS]]</f>
        <v>#VALUE!</v>
      </c>
      <c r="S3517" s="88">
        <f>-IF(Tabla14[[#This Row],[DIAS HABILES O MORA]]&lt;0,(Tabla14[[#This Row],[VALOR PRESTAMO]]*Tabla14[[#This Row],[% INTERES ]]/30*U3517))</f>
        <v>0</v>
      </c>
      <c r="T3517" s="53" t="e">
        <f>Tabla14[[#This Row],[DEUDA CAPITAL]]+Tabla14[[#This Row],[INTERES  CUOTA]]</f>
        <v>#NUM!</v>
      </c>
      <c r="U3517" s="61" t="str">
        <f t="shared" si="559"/>
        <v/>
      </c>
    </row>
    <row r="3518" spans="9:21" ht="24.75" customHeight="1" x14ac:dyDescent="0.35">
      <c r="I3518" s="42">
        <f t="shared" si="550"/>
        <v>0</v>
      </c>
      <c r="J3518" s="65" t="e">
        <f t="shared" si="551"/>
        <v>#NUM!</v>
      </c>
      <c r="K3518" s="83" t="e">
        <f t="shared" si="552"/>
        <v>#NUM!</v>
      </c>
      <c r="L3518" s="83">
        <f t="shared" si="553"/>
        <v>0</v>
      </c>
      <c r="M3518" s="110" t="str">
        <f t="shared" si="554"/>
        <v/>
      </c>
      <c r="N3518" s="51" t="str">
        <f t="shared" si="555"/>
        <v/>
      </c>
      <c r="O3518" s="52" t="str">
        <f t="shared" si="556"/>
        <v/>
      </c>
      <c r="P3518" s="88">
        <f t="shared" si="557"/>
        <v>0</v>
      </c>
      <c r="Q3518" s="88">
        <f t="shared" si="558"/>
        <v>0</v>
      </c>
      <c r="R3518" s="88" t="e">
        <f>-IF(Tabla14[[#This Row],[DIAS HABILES O MORA]]&lt;0,(Tabla14[[#This Row],[VALOR PRESTAMO]]*Tabla14[[#This Row],[% INTERES ]]/30*U3518))+Tabla14[[#This Row],[VALOR CUOTAS]]</f>
        <v>#VALUE!</v>
      </c>
      <c r="S3518" s="88">
        <f>-IF(Tabla14[[#This Row],[DIAS HABILES O MORA]]&lt;0,(Tabla14[[#This Row],[VALOR PRESTAMO]]*Tabla14[[#This Row],[% INTERES ]]/30*U3518))</f>
        <v>0</v>
      </c>
      <c r="T3518" s="53" t="e">
        <f>Tabla14[[#This Row],[DEUDA CAPITAL]]+Tabla14[[#This Row],[INTERES  CUOTA]]</f>
        <v>#NUM!</v>
      </c>
      <c r="U3518" s="61" t="str">
        <f t="shared" si="559"/>
        <v/>
      </c>
    </row>
    <row r="3519" spans="9:21" ht="24.75" customHeight="1" x14ac:dyDescent="0.35">
      <c r="I3519" s="42">
        <f t="shared" si="550"/>
        <v>0</v>
      </c>
      <c r="J3519" s="65" t="e">
        <f t="shared" si="551"/>
        <v>#NUM!</v>
      </c>
      <c r="K3519" s="83" t="e">
        <f t="shared" si="552"/>
        <v>#NUM!</v>
      </c>
      <c r="L3519" s="83">
        <f t="shared" si="553"/>
        <v>0</v>
      </c>
      <c r="M3519" s="110" t="str">
        <f t="shared" si="554"/>
        <v/>
      </c>
      <c r="N3519" s="51" t="str">
        <f t="shared" si="555"/>
        <v/>
      </c>
      <c r="O3519" s="52" t="str">
        <f t="shared" si="556"/>
        <v/>
      </c>
      <c r="P3519" s="88">
        <f t="shared" si="557"/>
        <v>0</v>
      </c>
      <c r="Q3519" s="88">
        <f t="shared" si="558"/>
        <v>0</v>
      </c>
      <c r="R3519" s="88" t="e">
        <f>-IF(Tabla14[[#This Row],[DIAS HABILES O MORA]]&lt;0,(Tabla14[[#This Row],[VALOR PRESTAMO]]*Tabla14[[#This Row],[% INTERES ]]/30*U3519))+Tabla14[[#This Row],[VALOR CUOTAS]]</f>
        <v>#VALUE!</v>
      </c>
      <c r="S3519" s="88">
        <f>-IF(Tabla14[[#This Row],[DIAS HABILES O MORA]]&lt;0,(Tabla14[[#This Row],[VALOR PRESTAMO]]*Tabla14[[#This Row],[% INTERES ]]/30*U3519))</f>
        <v>0</v>
      </c>
      <c r="T3519" s="53" t="e">
        <f>Tabla14[[#This Row],[DEUDA CAPITAL]]+Tabla14[[#This Row],[INTERES  CUOTA]]</f>
        <v>#NUM!</v>
      </c>
      <c r="U3519" s="61" t="str">
        <f t="shared" si="559"/>
        <v/>
      </c>
    </row>
    <row r="3520" spans="9:21" ht="24.75" customHeight="1" x14ac:dyDescent="0.35">
      <c r="I3520" s="42">
        <f t="shared" si="550"/>
        <v>0</v>
      </c>
      <c r="J3520" s="65" t="e">
        <f t="shared" si="551"/>
        <v>#NUM!</v>
      </c>
      <c r="K3520" s="83" t="e">
        <f t="shared" si="552"/>
        <v>#NUM!</v>
      </c>
      <c r="L3520" s="83">
        <f t="shared" si="553"/>
        <v>0</v>
      </c>
      <c r="M3520" s="110" t="str">
        <f t="shared" si="554"/>
        <v/>
      </c>
      <c r="N3520" s="51" t="str">
        <f t="shared" si="555"/>
        <v/>
      </c>
      <c r="O3520" s="52" t="str">
        <f t="shared" si="556"/>
        <v/>
      </c>
      <c r="P3520" s="88">
        <f t="shared" si="557"/>
        <v>0</v>
      </c>
      <c r="Q3520" s="88">
        <f t="shared" si="558"/>
        <v>0</v>
      </c>
      <c r="R3520" s="88" t="e">
        <f>-IF(Tabla14[[#This Row],[DIAS HABILES O MORA]]&lt;0,(Tabla14[[#This Row],[VALOR PRESTAMO]]*Tabla14[[#This Row],[% INTERES ]]/30*U3520))+Tabla14[[#This Row],[VALOR CUOTAS]]</f>
        <v>#VALUE!</v>
      </c>
      <c r="S3520" s="88">
        <f>-IF(Tabla14[[#This Row],[DIAS HABILES O MORA]]&lt;0,(Tabla14[[#This Row],[VALOR PRESTAMO]]*Tabla14[[#This Row],[% INTERES ]]/30*U3520))</f>
        <v>0</v>
      </c>
      <c r="T3520" s="53" t="e">
        <f>Tabla14[[#This Row],[DEUDA CAPITAL]]+Tabla14[[#This Row],[INTERES  CUOTA]]</f>
        <v>#NUM!</v>
      </c>
      <c r="U3520" s="61" t="str">
        <f t="shared" si="559"/>
        <v/>
      </c>
    </row>
    <row r="3521" spans="9:21" ht="24.75" customHeight="1" x14ac:dyDescent="0.35">
      <c r="I3521" s="42">
        <f t="shared" si="550"/>
        <v>0</v>
      </c>
      <c r="J3521" s="65" t="e">
        <f t="shared" si="551"/>
        <v>#NUM!</v>
      </c>
      <c r="K3521" s="83" t="e">
        <f t="shared" si="552"/>
        <v>#NUM!</v>
      </c>
      <c r="L3521" s="83">
        <f t="shared" si="553"/>
        <v>0</v>
      </c>
      <c r="M3521" s="110" t="str">
        <f t="shared" si="554"/>
        <v/>
      </c>
      <c r="N3521" s="51" t="str">
        <f t="shared" si="555"/>
        <v/>
      </c>
      <c r="O3521" s="52" t="str">
        <f t="shared" si="556"/>
        <v/>
      </c>
      <c r="P3521" s="88">
        <f t="shared" si="557"/>
        <v>0</v>
      </c>
      <c r="Q3521" s="88">
        <f t="shared" si="558"/>
        <v>0</v>
      </c>
      <c r="R3521" s="88" t="e">
        <f>-IF(Tabla14[[#This Row],[DIAS HABILES O MORA]]&lt;0,(Tabla14[[#This Row],[VALOR PRESTAMO]]*Tabla14[[#This Row],[% INTERES ]]/30*U3521))+Tabla14[[#This Row],[VALOR CUOTAS]]</f>
        <v>#VALUE!</v>
      </c>
      <c r="S3521" s="88">
        <f>-IF(Tabla14[[#This Row],[DIAS HABILES O MORA]]&lt;0,(Tabla14[[#This Row],[VALOR PRESTAMO]]*Tabla14[[#This Row],[% INTERES ]]/30*U3521))</f>
        <v>0</v>
      </c>
      <c r="T3521" s="53" t="e">
        <f>Tabla14[[#This Row],[DEUDA CAPITAL]]+Tabla14[[#This Row],[INTERES  CUOTA]]</f>
        <v>#NUM!</v>
      </c>
      <c r="U3521" s="61" t="str">
        <f t="shared" si="559"/>
        <v/>
      </c>
    </row>
    <row r="3522" spans="9:21" ht="24.75" customHeight="1" x14ac:dyDescent="0.35">
      <c r="I3522" s="42">
        <f t="shared" si="550"/>
        <v>0</v>
      </c>
      <c r="J3522" s="65" t="e">
        <f t="shared" si="551"/>
        <v>#NUM!</v>
      </c>
      <c r="K3522" s="83" t="e">
        <f t="shared" si="552"/>
        <v>#NUM!</v>
      </c>
      <c r="L3522" s="83">
        <f t="shared" si="553"/>
        <v>0</v>
      </c>
      <c r="M3522" s="110" t="str">
        <f t="shared" si="554"/>
        <v/>
      </c>
      <c r="N3522" s="51" t="str">
        <f t="shared" si="555"/>
        <v/>
      </c>
      <c r="O3522" s="52" t="str">
        <f t="shared" si="556"/>
        <v/>
      </c>
      <c r="P3522" s="88">
        <f t="shared" si="557"/>
        <v>0</v>
      </c>
      <c r="Q3522" s="88">
        <f t="shared" si="558"/>
        <v>0</v>
      </c>
      <c r="R3522" s="88" t="e">
        <f>-IF(Tabla14[[#This Row],[DIAS HABILES O MORA]]&lt;0,(Tabla14[[#This Row],[VALOR PRESTAMO]]*Tabla14[[#This Row],[% INTERES ]]/30*U3522))+Tabla14[[#This Row],[VALOR CUOTAS]]</f>
        <v>#VALUE!</v>
      </c>
      <c r="S3522" s="88">
        <f>-IF(Tabla14[[#This Row],[DIAS HABILES O MORA]]&lt;0,(Tabla14[[#This Row],[VALOR PRESTAMO]]*Tabla14[[#This Row],[% INTERES ]]/30*U3522))</f>
        <v>0</v>
      </c>
      <c r="T3522" s="53" t="e">
        <f>Tabla14[[#This Row],[DEUDA CAPITAL]]+Tabla14[[#This Row],[INTERES  CUOTA]]</f>
        <v>#NUM!</v>
      </c>
      <c r="U3522" s="61" t="str">
        <f t="shared" si="559"/>
        <v/>
      </c>
    </row>
    <row r="3523" spans="9:21" ht="24.75" customHeight="1" x14ac:dyDescent="0.35">
      <c r="I3523" s="42">
        <f t="shared" si="550"/>
        <v>0</v>
      </c>
      <c r="J3523" s="65" t="e">
        <f t="shared" si="551"/>
        <v>#NUM!</v>
      </c>
      <c r="K3523" s="83" t="e">
        <f t="shared" si="552"/>
        <v>#NUM!</v>
      </c>
      <c r="L3523" s="83">
        <f t="shared" si="553"/>
        <v>0</v>
      </c>
      <c r="M3523" s="110" t="str">
        <f t="shared" si="554"/>
        <v/>
      </c>
      <c r="N3523" s="51" t="str">
        <f t="shared" si="555"/>
        <v/>
      </c>
      <c r="O3523" s="52" t="str">
        <f t="shared" si="556"/>
        <v/>
      </c>
      <c r="P3523" s="88">
        <f t="shared" si="557"/>
        <v>0</v>
      </c>
      <c r="Q3523" s="88">
        <f t="shared" si="558"/>
        <v>0</v>
      </c>
      <c r="R3523" s="88" t="e">
        <f>-IF(Tabla14[[#This Row],[DIAS HABILES O MORA]]&lt;0,(Tabla14[[#This Row],[VALOR PRESTAMO]]*Tabla14[[#This Row],[% INTERES ]]/30*U3523))+Tabla14[[#This Row],[VALOR CUOTAS]]</f>
        <v>#VALUE!</v>
      </c>
      <c r="S3523" s="88">
        <f>-IF(Tabla14[[#This Row],[DIAS HABILES O MORA]]&lt;0,(Tabla14[[#This Row],[VALOR PRESTAMO]]*Tabla14[[#This Row],[% INTERES ]]/30*U3523))</f>
        <v>0</v>
      </c>
      <c r="T3523" s="53" t="e">
        <f>Tabla14[[#This Row],[DEUDA CAPITAL]]+Tabla14[[#This Row],[INTERES  CUOTA]]</f>
        <v>#NUM!</v>
      </c>
      <c r="U3523" s="61" t="str">
        <f t="shared" si="559"/>
        <v/>
      </c>
    </row>
    <row r="3524" spans="9:21" ht="24.75" customHeight="1" x14ac:dyDescent="0.35">
      <c r="I3524" s="42">
        <f t="shared" si="550"/>
        <v>0</v>
      </c>
      <c r="J3524" s="65" t="e">
        <f t="shared" si="551"/>
        <v>#NUM!</v>
      </c>
      <c r="K3524" s="83" t="e">
        <f t="shared" si="552"/>
        <v>#NUM!</v>
      </c>
      <c r="L3524" s="83">
        <f t="shared" si="553"/>
        <v>0</v>
      </c>
      <c r="M3524" s="110" t="str">
        <f t="shared" si="554"/>
        <v/>
      </c>
      <c r="N3524" s="51" t="str">
        <f t="shared" si="555"/>
        <v/>
      </c>
      <c r="O3524" s="52" t="str">
        <f t="shared" si="556"/>
        <v/>
      </c>
      <c r="P3524" s="88">
        <f t="shared" si="557"/>
        <v>0</v>
      </c>
      <c r="Q3524" s="88">
        <f t="shared" si="558"/>
        <v>0</v>
      </c>
      <c r="R3524" s="88" t="e">
        <f>-IF(Tabla14[[#This Row],[DIAS HABILES O MORA]]&lt;0,(Tabla14[[#This Row],[VALOR PRESTAMO]]*Tabla14[[#This Row],[% INTERES ]]/30*U3524))+Tabla14[[#This Row],[VALOR CUOTAS]]</f>
        <v>#VALUE!</v>
      </c>
      <c r="S3524" s="88">
        <f>-IF(Tabla14[[#This Row],[DIAS HABILES O MORA]]&lt;0,(Tabla14[[#This Row],[VALOR PRESTAMO]]*Tabla14[[#This Row],[% INTERES ]]/30*U3524))</f>
        <v>0</v>
      </c>
      <c r="T3524" s="53" t="e">
        <f>Tabla14[[#This Row],[DEUDA CAPITAL]]+Tabla14[[#This Row],[INTERES  CUOTA]]</f>
        <v>#NUM!</v>
      </c>
      <c r="U3524" s="61" t="str">
        <f t="shared" si="559"/>
        <v/>
      </c>
    </row>
    <row r="3525" spans="9:21" ht="24.75" customHeight="1" x14ac:dyDescent="0.35">
      <c r="I3525" s="42">
        <f t="shared" si="550"/>
        <v>0</v>
      </c>
      <c r="J3525" s="65" t="e">
        <f t="shared" si="551"/>
        <v>#NUM!</v>
      </c>
      <c r="K3525" s="83" t="e">
        <f t="shared" si="552"/>
        <v>#NUM!</v>
      </c>
      <c r="L3525" s="83">
        <f t="shared" si="553"/>
        <v>0</v>
      </c>
      <c r="M3525" s="110" t="str">
        <f t="shared" si="554"/>
        <v/>
      </c>
      <c r="N3525" s="51" t="str">
        <f t="shared" si="555"/>
        <v/>
      </c>
      <c r="O3525" s="52" t="str">
        <f t="shared" si="556"/>
        <v/>
      </c>
      <c r="P3525" s="88">
        <f t="shared" si="557"/>
        <v>0</v>
      </c>
      <c r="Q3525" s="88">
        <f t="shared" si="558"/>
        <v>0</v>
      </c>
      <c r="R3525" s="88" t="e">
        <f>-IF(Tabla14[[#This Row],[DIAS HABILES O MORA]]&lt;0,(Tabla14[[#This Row],[VALOR PRESTAMO]]*Tabla14[[#This Row],[% INTERES ]]/30*U3525))+Tabla14[[#This Row],[VALOR CUOTAS]]</f>
        <v>#VALUE!</v>
      </c>
      <c r="S3525" s="88">
        <f>-IF(Tabla14[[#This Row],[DIAS HABILES O MORA]]&lt;0,(Tabla14[[#This Row],[VALOR PRESTAMO]]*Tabla14[[#This Row],[% INTERES ]]/30*U3525))</f>
        <v>0</v>
      </c>
      <c r="T3525" s="53" t="e">
        <f>Tabla14[[#This Row],[DEUDA CAPITAL]]+Tabla14[[#This Row],[INTERES  CUOTA]]</f>
        <v>#NUM!</v>
      </c>
      <c r="U3525" s="61" t="str">
        <f t="shared" si="559"/>
        <v/>
      </c>
    </row>
    <row r="3526" spans="9:21" ht="24.75" customHeight="1" x14ac:dyDescent="0.35">
      <c r="I3526" s="42">
        <f t="shared" si="550"/>
        <v>0</v>
      </c>
      <c r="J3526" s="65" t="e">
        <f t="shared" si="551"/>
        <v>#NUM!</v>
      </c>
      <c r="K3526" s="83" t="e">
        <f t="shared" si="552"/>
        <v>#NUM!</v>
      </c>
      <c r="L3526" s="83">
        <f t="shared" si="553"/>
        <v>0</v>
      </c>
      <c r="M3526" s="110" t="str">
        <f t="shared" si="554"/>
        <v/>
      </c>
      <c r="N3526" s="51" t="str">
        <f t="shared" si="555"/>
        <v/>
      </c>
      <c r="O3526" s="52" t="str">
        <f t="shared" si="556"/>
        <v/>
      </c>
      <c r="P3526" s="88">
        <f t="shared" si="557"/>
        <v>0</v>
      </c>
      <c r="Q3526" s="88">
        <f t="shared" si="558"/>
        <v>0</v>
      </c>
      <c r="R3526" s="88" t="e">
        <f>-IF(Tabla14[[#This Row],[DIAS HABILES O MORA]]&lt;0,(Tabla14[[#This Row],[VALOR PRESTAMO]]*Tabla14[[#This Row],[% INTERES ]]/30*U3526))+Tabla14[[#This Row],[VALOR CUOTAS]]</f>
        <v>#VALUE!</v>
      </c>
      <c r="S3526" s="88">
        <f>-IF(Tabla14[[#This Row],[DIAS HABILES O MORA]]&lt;0,(Tabla14[[#This Row],[VALOR PRESTAMO]]*Tabla14[[#This Row],[% INTERES ]]/30*U3526))</f>
        <v>0</v>
      </c>
      <c r="T3526" s="53" t="e">
        <f>Tabla14[[#This Row],[DEUDA CAPITAL]]+Tabla14[[#This Row],[INTERES  CUOTA]]</f>
        <v>#NUM!</v>
      </c>
      <c r="U3526" s="61" t="str">
        <f t="shared" si="559"/>
        <v/>
      </c>
    </row>
    <row r="3527" spans="9:21" ht="24.75" customHeight="1" x14ac:dyDescent="0.35">
      <c r="I3527" s="42">
        <f t="shared" si="550"/>
        <v>0</v>
      </c>
      <c r="J3527" s="65" t="e">
        <f t="shared" si="551"/>
        <v>#NUM!</v>
      </c>
      <c r="K3527" s="83" t="e">
        <f t="shared" si="552"/>
        <v>#NUM!</v>
      </c>
      <c r="L3527" s="83">
        <f t="shared" si="553"/>
        <v>0</v>
      </c>
      <c r="M3527" s="110" t="str">
        <f t="shared" si="554"/>
        <v/>
      </c>
      <c r="N3527" s="51" t="str">
        <f t="shared" si="555"/>
        <v/>
      </c>
      <c r="O3527" s="52" t="str">
        <f t="shared" si="556"/>
        <v/>
      </c>
      <c r="P3527" s="88">
        <f t="shared" si="557"/>
        <v>0</v>
      </c>
      <c r="Q3527" s="88">
        <f t="shared" si="558"/>
        <v>0</v>
      </c>
      <c r="R3527" s="88" t="e">
        <f>-IF(Tabla14[[#This Row],[DIAS HABILES O MORA]]&lt;0,(Tabla14[[#This Row],[VALOR PRESTAMO]]*Tabla14[[#This Row],[% INTERES ]]/30*U3527))+Tabla14[[#This Row],[VALOR CUOTAS]]</f>
        <v>#VALUE!</v>
      </c>
      <c r="S3527" s="88">
        <f>-IF(Tabla14[[#This Row],[DIAS HABILES O MORA]]&lt;0,(Tabla14[[#This Row],[VALOR PRESTAMO]]*Tabla14[[#This Row],[% INTERES ]]/30*U3527))</f>
        <v>0</v>
      </c>
      <c r="T3527" s="53" t="e">
        <f>Tabla14[[#This Row],[DEUDA CAPITAL]]+Tabla14[[#This Row],[INTERES  CUOTA]]</f>
        <v>#NUM!</v>
      </c>
      <c r="U3527" s="61" t="str">
        <f t="shared" si="559"/>
        <v/>
      </c>
    </row>
    <row r="3528" spans="9:21" ht="24.75" customHeight="1" x14ac:dyDescent="0.35">
      <c r="I3528" s="42">
        <f t="shared" si="550"/>
        <v>0</v>
      </c>
      <c r="J3528" s="65" t="e">
        <f t="shared" si="551"/>
        <v>#NUM!</v>
      </c>
      <c r="K3528" s="83" t="e">
        <f t="shared" si="552"/>
        <v>#NUM!</v>
      </c>
      <c r="L3528" s="83">
        <f t="shared" si="553"/>
        <v>0</v>
      </c>
      <c r="M3528" s="110" t="str">
        <f t="shared" si="554"/>
        <v/>
      </c>
      <c r="N3528" s="51" t="str">
        <f t="shared" si="555"/>
        <v/>
      </c>
      <c r="O3528" s="52" t="str">
        <f t="shared" si="556"/>
        <v/>
      </c>
      <c r="P3528" s="88">
        <f t="shared" si="557"/>
        <v>0</v>
      </c>
      <c r="Q3528" s="88">
        <f t="shared" si="558"/>
        <v>0</v>
      </c>
      <c r="R3528" s="88" t="e">
        <f>-IF(Tabla14[[#This Row],[DIAS HABILES O MORA]]&lt;0,(Tabla14[[#This Row],[VALOR PRESTAMO]]*Tabla14[[#This Row],[% INTERES ]]/30*U3528))+Tabla14[[#This Row],[VALOR CUOTAS]]</f>
        <v>#VALUE!</v>
      </c>
      <c r="S3528" s="88">
        <f>-IF(Tabla14[[#This Row],[DIAS HABILES O MORA]]&lt;0,(Tabla14[[#This Row],[VALOR PRESTAMO]]*Tabla14[[#This Row],[% INTERES ]]/30*U3528))</f>
        <v>0</v>
      </c>
      <c r="T3528" s="53" t="e">
        <f>Tabla14[[#This Row],[DEUDA CAPITAL]]+Tabla14[[#This Row],[INTERES  CUOTA]]</f>
        <v>#NUM!</v>
      </c>
      <c r="U3528" s="61" t="str">
        <f t="shared" si="559"/>
        <v/>
      </c>
    </row>
    <row r="3529" spans="9:21" ht="24.75" customHeight="1" x14ac:dyDescent="0.35">
      <c r="I3529" s="42">
        <f t="shared" si="550"/>
        <v>0</v>
      </c>
      <c r="J3529" s="65" t="e">
        <f t="shared" si="551"/>
        <v>#NUM!</v>
      </c>
      <c r="K3529" s="83" t="e">
        <f t="shared" si="552"/>
        <v>#NUM!</v>
      </c>
      <c r="L3529" s="83">
        <f t="shared" si="553"/>
        <v>0</v>
      </c>
      <c r="M3529" s="110" t="str">
        <f t="shared" si="554"/>
        <v/>
      </c>
      <c r="N3529" s="51" t="str">
        <f t="shared" si="555"/>
        <v/>
      </c>
      <c r="O3529" s="52" t="str">
        <f t="shared" si="556"/>
        <v/>
      </c>
      <c r="P3529" s="88">
        <f t="shared" si="557"/>
        <v>0</v>
      </c>
      <c r="Q3529" s="88">
        <f t="shared" si="558"/>
        <v>0</v>
      </c>
      <c r="R3529" s="88" t="e">
        <f>-IF(Tabla14[[#This Row],[DIAS HABILES O MORA]]&lt;0,(Tabla14[[#This Row],[VALOR PRESTAMO]]*Tabla14[[#This Row],[% INTERES ]]/30*U3529))+Tabla14[[#This Row],[VALOR CUOTAS]]</f>
        <v>#VALUE!</v>
      </c>
      <c r="S3529" s="88">
        <f>-IF(Tabla14[[#This Row],[DIAS HABILES O MORA]]&lt;0,(Tabla14[[#This Row],[VALOR PRESTAMO]]*Tabla14[[#This Row],[% INTERES ]]/30*U3529))</f>
        <v>0</v>
      </c>
      <c r="T3529" s="53" t="e">
        <f>Tabla14[[#This Row],[DEUDA CAPITAL]]+Tabla14[[#This Row],[INTERES  CUOTA]]</f>
        <v>#NUM!</v>
      </c>
      <c r="U3529" s="61" t="str">
        <f t="shared" si="559"/>
        <v/>
      </c>
    </row>
    <row r="3530" spans="9:21" ht="24.75" customHeight="1" x14ac:dyDescent="0.35">
      <c r="I3530" s="42">
        <f t="shared" si="550"/>
        <v>0</v>
      </c>
      <c r="J3530" s="65" t="e">
        <f t="shared" si="551"/>
        <v>#NUM!</v>
      </c>
      <c r="K3530" s="83" t="e">
        <f t="shared" si="552"/>
        <v>#NUM!</v>
      </c>
      <c r="L3530" s="83">
        <f t="shared" si="553"/>
        <v>0</v>
      </c>
      <c r="M3530" s="110" t="str">
        <f t="shared" si="554"/>
        <v/>
      </c>
      <c r="N3530" s="51" t="str">
        <f t="shared" si="555"/>
        <v/>
      </c>
      <c r="O3530" s="52" t="str">
        <f t="shared" si="556"/>
        <v/>
      </c>
      <c r="P3530" s="88">
        <f t="shared" si="557"/>
        <v>0</v>
      </c>
      <c r="Q3530" s="88">
        <f t="shared" si="558"/>
        <v>0</v>
      </c>
      <c r="R3530" s="88" t="e">
        <f>-IF(Tabla14[[#This Row],[DIAS HABILES O MORA]]&lt;0,(Tabla14[[#This Row],[VALOR PRESTAMO]]*Tabla14[[#This Row],[% INTERES ]]/30*U3530))+Tabla14[[#This Row],[VALOR CUOTAS]]</f>
        <v>#VALUE!</v>
      </c>
      <c r="S3530" s="88">
        <f>-IF(Tabla14[[#This Row],[DIAS HABILES O MORA]]&lt;0,(Tabla14[[#This Row],[VALOR PRESTAMO]]*Tabla14[[#This Row],[% INTERES ]]/30*U3530))</f>
        <v>0</v>
      </c>
      <c r="T3530" s="53" t="e">
        <f>Tabla14[[#This Row],[DEUDA CAPITAL]]+Tabla14[[#This Row],[INTERES  CUOTA]]</f>
        <v>#NUM!</v>
      </c>
      <c r="U3530" s="61" t="str">
        <f t="shared" si="559"/>
        <v/>
      </c>
    </row>
    <row r="3531" spans="9:21" ht="24.75" customHeight="1" x14ac:dyDescent="0.35">
      <c r="I3531" s="42">
        <f t="shared" si="550"/>
        <v>0</v>
      </c>
      <c r="J3531" s="65" t="e">
        <f t="shared" si="551"/>
        <v>#NUM!</v>
      </c>
      <c r="K3531" s="83" t="e">
        <f t="shared" si="552"/>
        <v>#NUM!</v>
      </c>
      <c r="L3531" s="83">
        <f t="shared" si="553"/>
        <v>0</v>
      </c>
      <c r="M3531" s="110" t="str">
        <f t="shared" si="554"/>
        <v/>
      </c>
      <c r="N3531" s="51" t="str">
        <f t="shared" si="555"/>
        <v/>
      </c>
      <c r="O3531" s="52" t="str">
        <f t="shared" si="556"/>
        <v/>
      </c>
      <c r="P3531" s="88">
        <f t="shared" si="557"/>
        <v>0</v>
      </c>
      <c r="Q3531" s="88">
        <f t="shared" si="558"/>
        <v>0</v>
      </c>
      <c r="R3531" s="88" t="e">
        <f>-IF(Tabla14[[#This Row],[DIAS HABILES O MORA]]&lt;0,(Tabla14[[#This Row],[VALOR PRESTAMO]]*Tabla14[[#This Row],[% INTERES ]]/30*U3531))+Tabla14[[#This Row],[VALOR CUOTAS]]</f>
        <v>#VALUE!</v>
      </c>
      <c r="S3531" s="88">
        <f>-IF(Tabla14[[#This Row],[DIAS HABILES O MORA]]&lt;0,(Tabla14[[#This Row],[VALOR PRESTAMO]]*Tabla14[[#This Row],[% INTERES ]]/30*U3531))</f>
        <v>0</v>
      </c>
      <c r="T3531" s="53" t="e">
        <f>Tabla14[[#This Row],[DEUDA CAPITAL]]+Tabla14[[#This Row],[INTERES  CUOTA]]</f>
        <v>#NUM!</v>
      </c>
      <c r="U3531" s="61" t="str">
        <f t="shared" si="559"/>
        <v/>
      </c>
    </row>
    <row r="3532" spans="9:21" ht="24.75" customHeight="1" x14ac:dyDescent="0.35">
      <c r="I3532" s="42">
        <f t="shared" si="550"/>
        <v>0</v>
      </c>
      <c r="J3532" s="65" t="e">
        <f t="shared" si="551"/>
        <v>#NUM!</v>
      </c>
      <c r="K3532" s="83" t="e">
        <f t="shared" si="552"/>
        <v>#NUM!</v>
      </c>
      <c r="L3532" s="83">
        <f t="shared" si="553"/>
        <v>0</v>
      </c>
      <c r="M3532" s="110" t="str">
        <f t="shared" si="554"/>
        <v/>
      </c>
      <c r="N3532" s="51" t="str">
        <f t="shared" si="555"/>
        <v/>
      </c>
      <c r="O3532" s="52" t="str">
        <f t="shared" si="556"/>
        <v/>
      </c>
      <c r="P3532" s="88">
        <f t="shared" si="557"/>
        <v>0</v>
      </c>
      <c r="Q3532" s="88">
        <f t="shared" si="558"/>
        <v>0</v>
      </c>
      <c r="R3532" s="88" t="e">
        <f>-IF(Tabla14[[#This Row],[DIAS HABILES O MORA]]&lt;0,(Tabla14[[#This Row],[VALOR PRESTAMO]]*Tabla14[[#This Row],[% INTERES ]]/30*U3532))+Tabla14[[#This Row],[VALOR CUOTAS]]</f>
        <v>#VALUE!</v>
      </c>
      <c r="S3532" s="88">
        <f>-IF(Tabla14[[#This Row],[DIAS HABILES O MORA]]&lt;0,(Tabla14[[#This Row],[VALOR PRESTAMO]]*Tabla14[[#This Row],[% INTERES ]]/30*U3532))</f>
        <v>0</v>
      </c>
      <c r="T3532" s="53" t="e">
        <f>Tabla14[[#This Row],[DEUDA CAPITAL]]+Tabla14[[#This Row],[INTERES  CUOTA]]</f>
        <v>#NUM!</v>
      </c>
      <c r="U3532" s="61" t="str">
        <f t="shared" si="559"/>
        <v/>
      </c>
    </row>
    <row r="3533" spans="9:21" ht="24.75" customHeight="1" x14ac:dyDescent="0.35">
      <c r="I3533" s="42">
        <f t="shared" si="550"/>
        <v>0</v>
      </c>
      <c r="J3533" s="65" t="e">
        <f t="shared" si="551"/>
        <v>#NUM!</v>
      </c>
      <c r="K3533" s="83" t="e">
        <f t="shared" si="552"/>
        <v>#NUM!</v>
      </c>
      <c r="L3533" s="83">
        <f t="shared" si="553"/>
        <v>0</v>
      </c>
      <c r="M3533" s="110" t="str">
        <f t="shared" si="554"/>
        <v/>
      </c>
      <c r="N3533" s="51" t="str">
        <f t="shared" si="555"/>
        <v/>
      </c>
      <c r="O3533" s="52" t="str">
        <f t="shared" si="556"/>
        <v/>
      </c>
      <c r="P3533" s="88">
        <f t="shared" si="557"/>
        <v>0</v>
      </c>
      <c r="Q3533" s="88">
        <f t="shared" si="558"/>
        <v>0</v>
      </c>
      <c r="R3533" s="88" t="e">
        <f>-IF(Tabla14[[#This Row],[DIAS HABILES O MORA]]&lt;0,(Tabla14[[#This Row],[VALOR PRESTAMO]]*Tabla14[[#This Row],[% INTERES ]]/30*U3533))+Tabla14[[#This Row],[VALOR CUOTAS]]</f>
        <v>#VALUE!</v>
      </c>
      <c r="S3533" s="88">
        <f>-IF(Tabla14[[#This Row],[DIAS HABILES O MORA]]&lt;0,(Tabla14[[#This Row],[VALOR PRESTAMO]]*Tabla14[[#This Row],[% INTERES ]]/30*U3533))</f>
        <v>0</v>
      </c>
      <c r="T3533" s="53" t="e">
        <f>Tabla14[[#This Row],[DEUDA CAPITAL]]+Tabla14[[#This Row],[INTERES  CUOTA]]</f>
        <v>#NUM!</v>
      </c>
      <c r="U3533" s="61" t="str">
        <f t="shared" si="559"/>
        <v/>
      </c>
    </row>
    <row r="3534" spans="9:21" ht="24.75" customHeight="1" x14ac:dyDescent="0.35">
      <c r="I3534" s="42">
        <f t="shared" si="550"/>
        <v>0</v>
      </c>
      <c r="J3534" s="65" t="e">
        <f t="shared" si="551"/>
        <v>#NUM!</v>
      </c>
      <c r="K3534" s="83" t="e">
        <f t="shared" si="552"/>
        <v>#NUM!</v>
      </c>
      <c r="L3534" s="83">
        <f t="shared" si="553"/>
        <v>0</v>
      </c>
      <c r="M3534" s="110" t="str">
        <f t="shared" si="554"/>
        <v/>
      </c>
      <c r="N3534" s="51" t="str">
        <f t="shared" si="555"/>
        <v/>
      </c>
      <c r="O3534" s="52" t="str">
        <f t="shared" si="556"/>
        <v/>
      </c>
      <c r="P3534" s="88">
        <f t="shared" si="557"/>
        <v>0</v>
      </c>
      <c r="Q3534" s="88">
        <f t="shared" si="558"/>
        <v>0</v>
      </c>
      <c r="R3534" s="88" t="e">
        <f>-IF(Tabla14[[#This Row],[DIAS HABILES O MORA]]&lt;0,(Tabla14[[#This Row],[VALOR PRESTAMO]]*Tabla14[[#This Row],[% INTERES ]]/30*U3534))+Tabla14[[#This Row],[VALOR CUOTAS]]</f>
        <v>#VALUE!</v>
      </c>
      <c r="S3534" s="88">
        <f>-IF(Tabla14[[#This Row],[DIAS HABILES O MORA]]&lt;0,(Tabla14[[#This Row],[VALOR PRESTAMO]]*Tabla14[[#This Row],[% INTERES ]]/30*U3534))</f>
        <v>0</v>
      </c>
      <c r="T3534" s="53" t="e">
        <f>Tabla14[[#This Row],[DEUDA CAPITAL]]+Tabla14[[#This Row],[INTERES  CUOTA]]</f>
        <v>#NUM!</v>
      </c>
      <c r="U3534" s="61" t="str">
        <f t="shared" si="559"/>
        <v/>
      </c>
    </row>
    <row r="3535" spans="9:21" ht="24.75" customHeight="1" x14ac:dyDescent="0.35">
      <c r="I3535" s="42">
        <f t="shared" si="550"/>
        <v>0</v>
      </c>
      <c r="J3535" s="65" t="e">
        <f t="shared" si="551"/>
        <v>#NUM!</v>
      </c>
      <c r="K3535" s="83" t="e">
        <f t="shared" si="552"/>
        <v>#NUM!</v>
      </c>
      <c r="L3535" s="83">
        <f t="shared" si="553"/>
        <v>0</v>
      </c>
      <c r="M3535" s="110" t="str">
        <f t="shared" si="554"/>
        <v/>
      </c>
      <c r="N3535" s="51" t="str">
        <f t="shared" si="555"/>
        <v/>
      </c>
      <c r="O3535" s="52" t="str">
        <f t="shared" si="556"/>
        <v/>
      </c>
      <c r="P3535" s="88">
        <f t="shared" si="557"/>
        <v>0</v>
      </c>
      <c r="Q3535" s="88">
        <f t="shared" si="558"/>
        <v>0</v>
      </c>
      <c r="R3535" s="88" t="e">
        <f>-IF(Tabla14[[#This Row],[DIAS HABILES O MORA]]&lt;0,(Tabla14[[#This Row],[VALOR PRESTAMO]]*Tabla14[[#This Row],[% INTERES ]]/30*U3535))+Tabla14[[#This Row],[VALOR CUOTAS]]</f>
        <v>#VALUE!</v>
      </c>
      <c r="S3535" s="88">
        <f>-IF(Tabla14[[#This Row],[DIAS HABILES O MORA]]&lt;0,(Tabla14[[#This Row],[VALOR PRESTAMO]]*Tabla14[[#This Row],[% INTERES ]]/30*U3535))</f>
        <v>0</v>
      </c>
      <c r="T3535" s="53" t="e">
        <f>Tabla14[[#This Row],[DEUDA CAPITAL]]+Tabla14[[#This Row],[INTERES  CUOTA]]</f>
        <v>#NUM!</v>
      </c>
      <c r="U3535" s="61" t="str">
        <f t="shared" si="559"/>
        <v/>
      </c>
    </row>
    <row r="3536" spans="9:21" ht="24.75" customHeight="1" x14ac:dyDescent="0.35">
      <c r="I3536" s="42">
        <f t="shared" ref="I3536:I3599" si="560">IF(C3536&lt;0,"",IF(Q3536=0,0,IF(G3536=0,H3536+1,IF(H3536&lt;G3536,H3536+1,IF(G3536=H3536,0)))))</f>
        <v>0</v>
      </c>
      <c r="J3536" s="65" t="e">
        <f t="shared" ref="J3536:J3599" si="561">IF(F3536="SOLO INTERES",Q3536*D3536,-IPMT(D3536,I3536,G3536,C3536))</f>
        <v>#NUM!</v>
      </c>
      <c r="K3536" s="83" t="e">
        <f t="shared" ref="K3536:K3599" si="562">IF(F3536="SOLO INTERES",0,-PPMT(D3536,I3536,G3536,C3536))</f>
        <v>#NUM!</v>
      </c>
      <c r="L3536" s="83">
        <f t="shared" ref="L3536:L3599" si="563">IF(F3536="SOLO INTERES",SUM(Y3536:AAE3536),IFERROR(-CUMIPMT(D3536,G3536,C3536,1,H3536,0),0)+SUM(Y3536:WY3536))</f>
        <v>0</v>
      </c>
      <c r="M3536" s="110" t="str">
        <f t="shared" ref="M3536:M3599" si="564">IFERROR(IF(F3536="SOLO INTERES",Q3536*D3536,-PMT(D3536,G3536,C3536,0)),"")</f>
        <v/>
      </c>
      <c r="N3536" s="51" t="str">
        <f t="shared" ref="N3536:N3599" si="565">IF(Q3536=0,"",IF(E3536="MENSUAL",EDATE(B3536,I3536),IF(E3536="QUINCENAL",B3536+(I3536*15),IF(E3536="SEMANAL",B3536+(I3536*7)))))</f>
        <v/>
      </c>
      <c r="O3536" s="52" t="str">
        <f t="shared" ref="O3536:O3599" si="566">IF(C3536=0,"",IF(Q3536&lt;1,"PAGADO",IF(N3536=$A$3,"COBRAR HOY",IF(N3536&lt;$A$3,"EN MORA",IF(N3536&gt;$A$3,"AL DIA")))))</f>
        <v/>
      </c>
      <c r="P3536" s="88">
        <f t="shared" ref="P3536:P3599" si="567">IFERROR(-CUMPRINC(D3536,G3536,C3536,1,H3536,0),0)+W3536</f>
        <v>0</v>
      </c>
      <c r="Q3536" s="88">
        <f t="shared" ref="Q3536:Q3599" si="568">IFERROR(C3536-P3536,"")</f>
        <v>0</v>
      </c>
      <c r="R3536" s="88" t="e">
        <f>-IF(Tabla14[[#This Row],[DIAS HABILES O MORA]]&lt;0,(Tabla14[[#This Row],[VALOR PRESTAMO]]*Tabla14[[#This Row],[% INTERES ]]/30*U3536))+Tabla14[[#This Row],[VALOR CUOTAS]]</f>
        <v>#VALUE!</v>
      </c>
      <c r="S3536" s="88">
        <f>-IF(Tabla14[[#This Row],[DIAS HABILES O MORA]]&lt;0,(Tabla14[[#This Row],[VALOR PRESTAMO]]*Tabla14[[#This Row],[% INTERES ]]/30*U3536))</f>
        <v>0</v>
      </c>
      <c r="T3536" s="53" t="e">
        <f>Tabla14[[#This Row],[DEUDA CAPITAL]]+Tabla14[[#This Row],[INTERES  CUOTA]]</f>
        <v>#NUM!</v>
      </c>
      <c r="U3536" s="61" t="str">
        <f t="shared" ref="U3536:U3599" si="569">IF(O3536="PAGADO","",IFERROR(-IF(C3536=0,"",$A$3-N3536),""))</f>
        <v/>
      </c>
    </row>
    <row r="3537" spans="9:21" ht="24.75" customHeight="1" x14ac:dyDescent="0.35">
      <c r="I3537" s="42">
        <f t="shared" si="560"/>
        <v>0</v>
      </c>
      <c r="J3537" s="65" t="e">
        <f t="shared" si="561"/>
        <v>#NUM!</v>
      </c>
      <c r="K3537" s="83" t="e">
        <f t="shared" si="562"/>
        <v>#NUM!</v>
      </c>
      <c r="L3537" s="83">
        <f t="shared" si="563"/>
        <v>0</v>
      </c>
      <c r="M3537" s="110" t="str">
        <f t="shared" si="564"/>
        <v/>
      </c>
      <c r="N3537" s="51" t="str">
        <f t="shared" si="565"/>
        <v/>
      </c>
      <c r="O3537" s="52" t="str">
        <f t="shared" si="566"/>
        <v/>
      </c>
      <c r="P3537" s="88">
        <f t="shared" si="567"/>
        <v>0</v>
      </c>
      <c r="Q3537" s="88">
        <f t="shared" si="568"/>
        <v>0</v>
      </c>
      <c r="R3537" s="88" t="e">
        <f>-IF(Tabla14[[#This Row],[DIAS HABILES O MORA]]&lt;0,(Tabla14[[#This Row],[VALOR PRESTAMO]]*Tabla14[[#This Row],[% INTERES ]]/30*U3537))+Tabla14[[#This Row],[VALOR CUOTAS]]</f>
        <v>#VALUE!</v>
      </c>
      <c r="S3537" s="88">
        <f>-IF(Tabla14[[#This Row],[DIAS HABILES O MORA]]&lt;0,(Tabla14[[#This Row],[VALOR PRESTAMO]]*Tabla14[[#This Row],[% INTERES ]]/30*U3537))</f>
        <v>0</v>
      </c>
      <c r="T3537" s="53" t="e">
        <f>Tabla14[[#This Row],[DEUDA CAPITAL]]+Tabla14[[#This Row],[INTERES  CUOTA]]</f>
        <v>#NUM!</v>
      </c>
      <c r="U3537" s="61" t="str">
        <f t="shared" si="569"/>
        <v/>
      </c>
    </row>
    <row r="3538" spans="9:21" ht="24.75" customHeight="1" x14ac:dyDescent="0.35">
      <c r="I3538" s="42">
        <f t="shared" si="560"/>
        <v>0</v>
      </c>
      <c r="J3538" s="65" t="e">
        <f t="shared" si="561"/>
        <v>#NUM!</v>
      </c>
      <c r="K3538" s="83" t="e">
        <f t="shared" si="562"/>
        <v>#NUM!</v>
      </c>
      <c r="L3538" s="83">
        <f t="shared" si="563"/>
        <v>0</v>
      </c>
      <c r="M3538" s="110" t="str">
        <f t="shared" si="564"/>
        <v/>
      </c>
      <c r="N3538" s="51" t="str">
        <f t="shared" si="565"/>
        <v/>
      </c>
      <c r="O3538" s="52" t="str">
        <f t="shared" si="566"/>
        <v/>
      </c>
      <c r="P3538" s="88">
        <f t="shared" si="567"/>
        <v>0</v>
      </c>
      <c r="Q3538" s="88">
        <f t="shared" si="568"/>
        <v>0</v>
      </c>
      <c r="R3538" s="88" t="e">
        <f>-IF(Tabla14[[#This Row],[DIAS HABILES O MORA]]&lt;0,(Tabla14[[#This Row],[VALOR PRESTAMO]]*Tabla14[[#This Row],[% INTERES ]]/30*U3538))+Tabla14[[#This Row],[VALOR CUOTAS]]</f>
        <v>#VALUE!</v>
      </c>
      <c r="S3538" s="88">
        <f>-IF(Tabla14[[#This Row],[DIAS HABILES O MORA]]&lt;0,(Tabla14[[#This Row],[VALOR PRESTAMO]]*Tabla14[[#This Row],[% INTERES ]]/30*U3538))</f>
        <v>0</v>
      </c>
      <c r="T3538" s="53" t="e">
        <f>Tabla14[[#This Row],[DEUDA CAPITAL]]+Tabla14[[#This Row],[INTERES  CUOTA]]</f>
        <v>#NUM!</v>
      </c>
      <c r="U3538" s="61" t="str">
        <f t="shared" si="569"/>
        <v/>
      </c>
    </row>
    <row r="3539" spans="9:21" ht="24.75" customHeight="1" x14ac:dyDescent="0.35">
      <c r="I3539" s="42">
        <f t="shared" si="560"/>
        <v>0</v>
      </c>
      <c r="J3539" s="65" t="e">
        <f t="shared" si="561"/>
        <v>#NUM!</v>
      </c>
      <c r="K3539" s="83" t="e">
        <f t="shared" si="562"/>
        <v>#NUM!</v>
      </c>
      <c r="L3539" s="83">
        <f t="shared" si="563"/>
        <v>0</v>
      </c>
      <c r="M3539" s="110" t="str">
        <f t="shared" si="564"/>
        <v/>
      </c>
      <c r="N3539" s="51" t="str">
        <f t="shared" si="565"/>
        <v/>
      </c>
      <c r="O3539" s="52" t="str">
        <f t="shared" si="566"/>
        <v/>
      </c>
      <c r="P3539" s="88">
        <f t="shared" si="567"/>
        <v>0</v>
      </c>
      <c r="Q3539" s="88">
        <f t="shared" si="568"/>
        <v>0</v>
      </c>
      <c r="R3539" s="88" t="e">
        <f>-IF(Tabla14[[#This Row],[DIAS HABILES O MORA]]&lt;0,(Tabla14[[#This Row],[VALOR PRESTAMO]]*Tabla14[[#This Row],[% INTERES ]]/30*U3539))+Tabla14[[#This Row],[VALOR CUOTAS]]</f>
        <v>#VALUE!</v>
      </c>
      <c r="S3539" s="88">
        <f>-IF(Tabla14[[#This Row],[DIAS HABILES O MORA]]&lt;0,(Tabla14[[#This Row],[VALOR PRESTAMO]]*Tabla14[[#This Row],[% INTERES ]]/30*U3539))</f>
        <v>0</v>
      </c>
      <c r="T3539" s="53" t="e">
        <f>Tabla14[[#This Row],[DEUDA CAPITAL]]+Tabla14[[#This Row],[INTERES  CUOTA]]</f>
        <v>#NUM!</v>
      </c>
      <c r="U3539" s="61" t="str">
        <f t="shared" si="569"/>
        <v/>
      </c>
    </row>
    <row r="3540" spans="9:21" ht="24.75" customHeight="1" x14ac:dyDescent="0.35">
      <c r="I3540" s="42">
        <f t="shared" si="560"/>
        <v>0</v>
      </c>
      <c r="J3540" s="65" t="e">
        <f t="shared" si="561"/>
        <v>#NUM!</v>
      </c>
      <c r="K3540" s="83" t="e">
        <f t="shared" si="562"/>
        <v>#NUM!</v>
      </c>
      <c r="L3540" s="83">
        <f t="shared" si="563"/>
        <v>0</v>
      </c>
      <c r="M3540" s="110" t="str">
        <f t="shared" si="564"/>
        <v/>
      </c>
      <c r="N3540" s="51" t="str">
        <f t="shared" si="565"/>
        <v/>
      </c>
      <c r="O3540" s="52" t="str">
        <f t="shared" si="566"/>
        <v/>
      </c>
      <c r="P3540" s="88">
        <f t="shared" si="567"/>
        <v>0</v>
      </c>
      <c r="Q3540" s="88">
        <f t="shared" si="568"/>
        <v>0</v>
      </c>
      <c r="R3540" s="88" t="e">
        <f>-IF(Tabla14[[#This Row],[DIAS HABILES O MORA]]&lt;0,(Tabla14[[#This Row],[VALOR PRESTAMO]]*Tabla14[[#This Row],[% INTERES ]]/30*U3540))+Tabla14[[#This Row],[VALOR CUOTAS]]</f>
        <v>#VALUE!</v>
      </c>
      <c r="S3540" s="88">
        <f>-IF(Tabla14[[#This Row],[DIAS HABILES O MORA]]&lt;0,(Tabla14[[#This Row],[VALOR PRESTAMO]]*Tabla14[[#This Row],[% INTERES ]]/30*U3540))</f>
        <v>0</v>
      </c>
      <c r="T3540" s="53" t="e">
        <f>Tabla14[[#This Row],[DEUDA CAPITAL]]+Tabla14[[#This Row],[INTERES  CUOTA]]</f>
        <v>#NUM!</v>
      </c>
      <c r="U3540" s="61" t="str">
        <f t="shared" si="569"/>
        <v/>
      </c>
    </row>
    <row r="3541" spans="9:21" ht="24.75" customHeight="1" x14ac:dyDescent="0.35">
      <c r="I3541" s="42">
        <f t="shared" si="560"/>
        <v>0</v>
      </c>
      <c r="J3541" s="65" t="e">
        <f t="shared" si="561"/>
        <v>#NUM!</v>
      </c>
      <c r="K3541" s="83" t="e">
        <f t="shared" si="562"/>
        <v>#NUM!</v>
      </c>
      <c r="L3541" s="83">
        <f t="shared" si="563"/>
        <v>0</v>
      </c>
      <c r="M3541" s="110" t="str">
        <f t="shared" si="564"/>
        <v/>
      </c>
      <c r="N3541" s="51" t="str">
        <f t="shared" si="565"/>
        <v/>
      </c>
      <c r="O3541" s="52" t="str">
        <f t="shared" si="566"/>
        <v/>
      </c>
      <c r="P3541" s="88">
        <f t="shared" si="567"/>
        <v>0</v>
      </c>
      <c r="Q3541" s="88">
        <f t="shared" si="568"/>
        <v>0</v>
      </c>
      <c r="R3541" s="88" t="e">
        <f>-IF(Tabla14[[#This Row],[DIAS HABILES O MORA]]&lt;0,(Tabla14[[#This Row],[VALOR PRESTAMO]]*Tabla14[[#This Row],[% INTERES ]]/30*U3541))+Tabla14[[#This Row],[VALOR CUOTAS]]</f>
        <v>#VALUE!</v>
      </c>
      <c r="S3541" s="88">
        <f>-IF(Tabla14[[#This Row],[DIAS HABILES O MORA]]&lt;0,(Tabla14[[#This Row],[VALOR PRESTAMO]]*Tabla14[[#This Row],[% INTERES ]]/30*U3541))</f>
        <v>0</v>
      </c>
      <c r="T3541" s="53" t="e">
        <f>Tabla14[[#This Row],[DEUDA CAPITAL]]+Tabla14[[#This Row],[INTERES  CUOTA]]</f>
        <v>#NUM!</v>
      </c>
      <c r="U3541" s="61" t="str">
        <f t="shared" si="569"/>
        <v/>
      </c>
    </row>
    <row r="3542" spans="9:21" ht="24.75" customHeight="1" x14ac:dyDescent="0.35">
      <c r="I3542" s="42">
        <f t="shared" si="560"/>
        <v>0</v>
      </c>
      <c r="J3542" s="65" t="e">
        <f t="shared" si="561"/>
        <v>#NUM!</v>
      </c>
      <c r="K3542" s="83" t="e">
        <f t="shared" si="562"/>
        <v>#NUM!</v>
      </c>
      <c r="L3542" s="83">
        <f t="shared" si="563"/>
        <v>0</v>
      </c>
      <c r="M3542" s="110" t="str">
        <f t="shared" si="564"/>
        <v/>
      </c>
      <c r="N3542" s="51" t="str">
        <f t="shared" si="565"/>
        <v/>
      </c>
      <c r="O3542" s="52" t="str">
        <f t="shared" si="566"/>
        <v/>
      </c>
      <c r="P3542" s="88">
        <f t="shared" si="567"/>
        <v>0</v>
      </c>
      <c r="Q3542" s="88">
        <f t="shared" si="568"/>
        <v>0</v>
      </c>
      <c r="R3542" s="88" t="e">
        <f>-IF(Tabla14[[#This Row],[DIAS HABILES O MORA]]&lt;0,(Tabla14[[#This Row],[VALOR PRESTAMO]]*Tabla14[[#This Row],[% INTERES ]]/30*U3542))+Tabla14[[#This Row],[VALOR CUOTAS]]</f>
        <v>#VALUE!</v>
      </c>
      <c r="S3542" s="88">
        <f>-IF(Tabla14[[#This Row],[DIAS HABILES O MORA]]&lt;0,(Tabla14[[#This Row],[VALOR PRESTAMO]]*Tabla14[[#This Row],[% INTERES ]]/30*U3542))</f>
        <v>0</v>
      </c>
      <c r="T3542" s="53" t="e">
        <f>Tabla14[[#This Row],[DEUDA CAPITAL]]+Tabla14[[#This Row],[INTERES  CUOTA]]</f>
        <v>#NUM!</v>
      </c>
      <c r="U3542" s="61" t="str">
        <f t="shared" si="569"/>
        <v/>
      </c>
    </row>
    <row r="3543" spans="9:21" ht="24.75" customHeight="1" x14ac:dyDescent="0.35">
      <c r="I3543" s="42">
        <f t="shared" si="560"/>
        <v>0</v>
      </c>
      <c r="J3543" s="65" t="e">
        <f t="shared" si="561"/>
        <v>#NUM!</v>
      </c>
      <c r="K3543" s="83" t="e">
        <f t="shared" si="562"/>
        <v>#NUM!</v>
      </c>
      <c r="L3543" s="83">
        <f t="shared" si="563"/>
        <v>0</v>
      </c>
      <c r="M3543" s="110" t="str">
        <f t="shared" si="564"/>
        <v/>
      </c>
      <c r="N3543" s="51" t="str">
        <f t="shared" si="565"/>
        <v/>
      </c>
      <c r="O3543" s="52" t="str">
        <f t="shared" si="566"/>
        <v/>
      </c>
      <c r="P3543" s="88">
        <f t="shared" si="567"/>
        <v>0</v>
      </c>
      <c r="Q3543" s="88">
        <f t="shared" si="568"/>
        <v>0</v>
      </c>
      <c r="R3543" s="88" t="e">
        <f>-IF(Tabla14[[#This Row],[DIAS HABILES O MORA]]&lt;0,(Tabla14[[#This Row],[VALOR PRESTAMO]]*Tabla14[[#This Row],[% INTERES ]]/30*U3543))+Tabla14[[#This Row],[VALOR CUOTAS]]</f>
        <v>#VALUE!</v>
      </c>
      <c r="S3543" s="88">
        <f>-IF(Tabla14[[#This Row],[DIAS HABILES O MORA]]&lt;0,(Tabla14[[#This Row],[VALOR PRESTAMO]]*Tabla14[[#This Row],[% INTERES ]]/30*U3543))</f>
        <v>0</v>
      </c>
      <c r="T3543" s="53" t="e">
        <f>Tabla14[[#This Row],[DEUDA CAPITAL]]+Tabla14[[#This Row],[INTERES  CUOTA]]</f>
        <v>#NUM!</v>
      </c>
      <c r="U3543" s="61" t="str">
        <f t="shared" si="569"/>
        <v/>
      </c>
    </row>
    <row r="3544" spans="9:21" ht="24.75" customHeight="1" x14ac:dyDescent="0.35">
      <c r="I3544" s="42">
        <f t="shared" si="560"/>
        <v>0</v>
      </c>
      <c r="J3544" s="65" t="e">
        <f t="shared" si="561"/>
        <v>#NUM!</v>
      </c>
      <c r="K3544" s="83" t="e">
        <f t="shared" si="562"/>
        <v>#NUM!</v>
      </c>
      <c r="L3544" s="83">
        <f t="shared" si="563"/>
        <v>0</v>
      </c>
      <c r="M3544" s="110" t="str">
        <f t="shared" si="564"/>
        <v/>
      </c>
      <c r="N3544" s="51" t="str">
        <f t="shared" si="565"/>
        <v/>
      </c>
      <c r="O3544" s="52" t="str">
        <f t="shared" si="566"/>
        <v/>
      </c>
      <c r="P3544" s="88">
        <f t="shared" si="567"/>
        <v>0</v>
      </c>
      <c r="Q3544" s="88">
        <f t="shared" si="568"/>
        <v>0</v>
      </c>
      <c r="R3544" s="88" t="e">
        <f>-IF(Tabla14[[#This Row],[DIAS HABILES O MORA]]&lt;0,(Tabla14[[#This Row],[VALOR PRESTAMO]]*Tabla14[[#This Row],[% INTERES ]]/30*U3544))+Tabla14[[#This Row],[VALOR CUOTAS]]</f>
        <v>#VALUE!</v>
      </c>
      <c r="S3544" s="88">
        <f>-IF(Tabla14[[#This Row],[DIAS HABILES O MORA]]&lt;0,(Tabla14[[#This Row],[VALOR PRESTAMO]]*Tabla14[[#This Row],[% INTERES ]]/30*U3544))</f>
        <v>0</v>
      </c>
      <c r="T3544" s="53" t="e">
        <f>Tabla14[[#This Row],[DEUDA CAPITAL]]+Tabla14[[#This Row],[INTERES  CUOTA]]</f>
        <v>#NUM!</v>
      </c>
      <c r="U3544" s="61" t="str">
        <f t="shared" si="569"/>
        <v/>
      </c>
    </row>
    <row r="3545" spans="9:21" ht="24.75" customHeight="1" x14ac:dyDescent="0.35">
      <c r="I3545" s="42">
        <f t="shared" si="560"/>
        <v>0</v>
      </c>
      <c r="J3545" s="65" t="e">
        <f t="shared" si="561"/>
        <v>#NUM!</v>
      </c>
      <c r="K3545" s="83" t="e">
        <f t="shared" si="562"/>
        <v>#NUM!</v>
      </c>
      <c r="L3545" s="83">
        <f t="shared" si="563"/>
        <v>0</v>
      </c>
      <c r="M3545" s="110" t="str">
        <f t="shared" si="564"/>
        <v/>
      </c>
      <c r="N3545" s="51" t="str">
        <f t="shared" si="565"/>
        <v/>
      </c>
      <c r="O3545" s="52" t="str">
        <f t="shared" si="566"/>
        <v/>
      </c>
      <c r="P3545" s="88">
        <f t="shared" si="567"/>
        <v>0</v>
      </c>
      <c r="Q3545" s="88">
        <f t="shared" si="568"/>
        <v>0</v>
      </c>
      <c r="R3545" s="88" t="e">
        <f>-IF(Tabla14[[#This Row],[DIAS HABILES O MORA]]&lt;0,(Tabla14[[#This Row],[VALOR PRESTAMO]]*Tabla14[[#This Row],[% INTERES ]]/30*U3545))+Tabla14[[#This Row],[VALOR CUOTAS]]</f>
        <v>#VALUE!</v>
      </c>
      <c r="S3545" s="88">
        <f>-IF(Tabla14[[#This Row],[DIAS HABILES O MORA]]&lt;0,(Tabla14[[#This Row],[VALOR PRESTAMO]]*Tabla14[[#This Row],[% INTERES ]]/30*U3545))</f>
        <v>0</v>
      </c>
      <c r="T3545" s="53" t="e">
        <f>Tabla14[[#This Row],[DEUDA CAPITAL]]+Tabla14[[#This Row],[INTERES  CUOTA]]</f>
        <v>#NUM!</v>
      </c>
      <c r="U3545" s="61" t="str">
        <f t="shared" si="569"/>
        <v/>
      </c>
    </row>
    <row r="3546" spans="9:21" ht="24.75" customHeight="1" x14ac:dyDescent="0.35">
      <c r="I3546" s="42">
        <f t="shared" si="560"/>
        <v>0</v>
      </c>
      <c r="J3546" s="65" t="e">
        <f t="shared" si="561"/>
        <v>#NUM!</v>
      </c>
      <c r="K3546" s="83" t="e">
        <f t="shared" si="562"/>
        <v>#NUM!</v>
      </c>
      <c r="L3546" s="83">
        <f t="shared" si="563"/>
        <v>0</v>
      </c>
      <c r="M3546" s="110" t="str">
        <f t="shared" si="564"/>
        <v/>
      </c>
      <c r="N3546" s="51" t="str">
        <f t="shared" si="565"/>
        <v/>
      </c>
      <c r="O3546" s="52" t="str">
        <f t="shared" si="566"/>
        <v/>
      </c>
      <c r="P3546" s="88">
        <f t="shared" si="567"/>
        <v>0</v>
      </c>
      <c r="Q3546" s="88">
        <f t="shared" si="568"/>
        <v>0</v>
      </c>
      <c r="R3546" s="88" t="e">
        <f>-IF(Tabla14[[#This Row],[DIAS HABILES O MORA]]&lt;0,(Tabla14[[#This Row],[VALOR PRESTAMO]]*Tabla14[[#This Row],[% INTERES ]]/30*U3546))+Tabla14[[#This Row],[VALOR CUOTAS]]</f>
        <v>#VALUE!</v>
      </c>
      <c r="S3546" s="88">
        <f>-IF(Tabla14[[#This Row],[DIAS HABILES O MORA]]&lt;0,(Tabla14[[#This Row],[VALOR PRESTAMO]]*Tabla14[[#This Row],[% INTERES ]]/30*U3546))</f>
        <v>0</v>
      </c>
      <c r="T3546" s="53" t="e">
        <f>Tabla14[[#This Row],[DEUDA CAPITAL]]+Tabla14[[#This Row],[INTERES  CUOTA]]</f>
        <v>#NUM!</v>
      </c>
      <c r="U3546" s="61" t="str">
        <f t="shared" si="569"/>
        <v/>
      </c>
    </row>
    <row r="3547" spans="9:21" ht="24.75" customHeight="1" x14ac:dyDescent="0.35">
      <c r="I3547" s="42">
        <f t="shared" si="560"/>
        <v>0</v>
      </c>
      <c r="J3547" s="65" t="e">
        <f t="shared" si="561"/>
        <v>#NUM!</v>
      </c>
      <c r="K3547" s="83" t="e">
        <f t="shared" si="562"/>
        <v>#NUM!</v>
      </c>
      <c r="L3547" s="83">
        <f t="shared" si="563"/>
        <v>0</v>
      </c>
      <c r="M3547" s="110" t="str">
        <f t="shared" si="564"/>
        <v/>
      </c>
      <c r="N3547" s="51" t="str">
        <f t="shared" si="565"/>
        <v/>
      </c>
      <c r="O3547" s="52" t="str">
        <f t="shared" si="566"/>
        <v/>
      </c>
      <c r="P3547" s="88">
        <f t="shared" si="567"/>
        <v>0</v>
      </c>
      <c r="Q3547" s="88">
        <f t="shared" si="568"/>
        <v>0</v>
      </c>
      <c r="R3547" s="88" t="e">
        <f>-IF(Tabla14[[#This Row],[DIAS HABILES O MORA]]&lt;0,(Tabla14[[#This Row],[VALOR PRESTAMO]]*Tabla14[[#This Row],[% INTERES ]]/30*U3547))+Tabla14[[#This Row],[VALOR CUOTAS]]</f>
        <v>#VALUE!</v>
      </c>
      <c r="S3547" s="88">
        <f>-IF(Tabla14[[#This Row],[DIAS HABILES O MORA]]&lt;0,(Tabla14[[#This Row],[VALOR PRESTAMO]]*Tabla14[[#This Row],[% INTERES ]]/30*U3547))</f>
        <v>0</v>
      </c>
      <c r="T3547" s="53" t="e">
        <f>Tabla14[[#This Row],[DEUDA CAPITAL]]+Tabla14[[#This Row],[INTERES  CUOTA]]</f>
        <v>#NUM!</v>
      </c>
      <c r="U3547" s="61" t="str">
        <f t="shared" si="569"/>
        <v/>
      </c>
    </row>
    <row r="3548" spans="9:21" ht="24.75" customHeight="1" x14ac:dyDescent="0.35">
      <c r="I3548" s="42">
        <f t="shared" si="560"/>
        <v>0</v>
      </c>
      <c r="J3548" s="65" t="e">
        <f t="shared" si="561"/>
        <v>#NUM!</v>
      </c>
      <c r="K3548" s="83" t="e">
        <f t="shared" si="562"/>
        <v>#NUM!</v>
      </c>
      <c r="L3548" s="83">
        <f t="shared" si="563"/>
        <v>0</v>
      </c>
      <c r="M3548" s="110" t="str">
        <f t="shared" si="564"/>
        <v/>
      </c>
      <c r="N3548" s="51" t="str">
        <f t="shared" si="565"/>
        <v/>
      </c>
      <c r="O3548" s="52" t="str">
        <f t="shared" si="566"/>
        <v/>
      </c>
      <c r="P3548" s="88">
        <f t="shared" si="567"/>
        <v>0</v>
      </c>
      <c r="Q3548" s="88">
        <f t="shared" si="568"/>
        <v>0</v>
      </c>
      <c r="R3548" s="88" t="e">
        <f>-IF(Tabla14[[#This Row],[DIAS HABILES O MORA]]&lt;0,(Tabla14[[#This Row],[VALOR PRESTAMO]]*Tabla14[[#This Row],[% INTERES ]]/30*U3548))+Tabla14[[#This Row],[VALOR CUOTAS]]</f>
        <v>#VALUE!</v>
      </c>
      <c r="S3548" s="88">
        <f>-IF(Tabla14[[#This Row],[DIAS HABILES O MORA]]&lt;0,(Tabla14[[#This Row],[VALOR PRESTAMO]]*Tabla14[[#This Row],[% INTERES ]]/30*U3548))</f>
        <v>0</v>
      </c>
      <c r="T3548" s="53" t="e">
        <f>Tabla14[[#This Row],[DEUDA CAPITAL]]+Tabla14[[#This Row],[INTERES  CUOTA]]</f>
        <v>#NUM!</v>
      </c>
      <c r="U3548" s="61" t="str">
        <f t="shared" si="569"/>
        <v/>
      </c>
    </row>
    <row r="3549" spans="9:21" ht="24.75" customHeight="1" x14ac:dyDescent="0.35">
      <c r="I3549" s="42">
        <f t="shared" si="560"/>
        <v>0</v>
      </c>
      <c r="J3549" s="65" t="e">
        <f t="shared" si="561"/>
        <v>#NUM!</v>
      </c>
      <c r="K3549" s="83" t="e">
        <f t="shared" si="562"/>
        <v>#NUM!</v>
      </c>
      <c r="L3549" s="83">
        <f t="shared" si="563"/>
        <v>0</v>
      </c>
      <c r="M3549" s="110" t="str">
        <f t="shared" si="564"/>
        <v/>
      </c>
      <c r="N3549" s="51" t="str">
        <f t="shared" si="565"/>
        <v/>
      </c>
      <c r="O3549" s="52" t="str">
        <f t="shared" si="566"/>
        <v/>
      </c>
      <c r="P3549" s="88">
        <f t="shared" si="567"/>
        <v>0</v>
      </c>
      <c r="Q3549" s="88">
        <f t="shared" si="568"/>
        <v>0</v>
      </c>
      <c r="R3549" s="88" t="e">
        <f>-IF(Tabla14[[#This Row],[DIAS HABILES O MORA]]&lt;0,(Tabla14[[#This Row],[VALOR PRESTAMO]]*Tabla14[[#This Row],[% INTERES ]]/30*U3549))+Tabla14[[#This Row],[VALOR CUOTAS]]</f>
        <v>#VALUE!</v>
      </c>
      <c r="S3549" s="88">
        <f>-IF(Tabla14[[#This Row],[DIAS HABILES O MORA]]&lt;0,(Tabla14[[#This Row],[VALOR PRESTAMO]]*Tabla14[[#This Row],[% INTERES ]]/30*U3549))</f>
        <v>0</v>
      </c>
      <c r="T3549" s="53" t="e">
        <f>Tabla14[[#This Row],[DEUDA CAPITAL]]+Tabla14[[#This Row],[INTERES  CUOTA]]</f>
        <v>#NUM!</v>
      </c>
      <c r="U3549" s="61" t="str">
        <f t="shared" si="569"/>
        <v/>
      </c>
    </row>
    <row r="3550" spans="9:21" ht="24.75" customHeight="1" x14ac:dyDescent="0.35">
      <c r="I3550" s="42">
        <f t="shared" si="560"/>
        <v>0</v>
      </c>
      <c r="J3550" s="65" t="e">
        <f t="shared" si="561"/>
        <v>#NUM!</v>
      </c>
      <c r="K3550" s="83" t="e">
        <f t="shared" si="562"/>
        <v>#NUM!</v>
      </c>
      <c r="L3550" s="83">
        <f t="shared" si="563"/>
        <v>0</v>
      </c>
      <c r="M3550" s="110" t="str">
        <f t="shared" si="564"/>
        <v/>
      </c>
      <c r="N3550" s="51" t="str">
        <f t="shared" si="565"/>
        <v/>
      </c>
      <c r="O3550" s="52" t="str">
        <f t="shared" si="566"/>
        <v/>
      </c>
      <c r="P3550" s="88">
        <f t="shared" si="567"/>
        <v>0</v>
      </c>
      <c r="Q3550" s="88">
        <f t="shared" si="568"/>
        <v>0</v>
      </c>
      <c r="R3550" s="88" t="e">
        <f>-IF(Tabla14[[#This Row],[DIAS HABILES O MORA]]&lt;0,(Tabla14[[#This Row],[VALOR PRESTAMO]]*Tabla14[[#This Row],[% INTERES ]]/30*U3550))+Tabla14[[#This Row],[VALOR CUOTAS]]</f>
        <v>#VALUE!</v>
      </c>
      <c r="S3550" s="88">
        <f>-IF(Tabla14[[#This Row],[DIAS HABILES O MORA]]&lt;0,(Tabla14[[#This Row],[VALOR PRESTAMO]]*Tabla14[[#This Row],[% INTERES ]]/30*U3550))</f>
        <v>0</v>
      </c>
      <c r="T3550" s="53" t="e">
        <f>Tabla14[[#This Row],[DEUDA CAPITAL]]+Tabla14[[#This Row],[INTERES  CUOTA]]</f>
        <v>#NUM!</v>
      </c>
      <c r="U3550" s="61" t="str">
        <f t="shared" si="569"/>
        <v/>
      </c>
    </row>
    <row r="3551" spans="9:21" ht="24.75" customHeight="1" x14ac:dyDescent="0.35">
      <c r="I3551" s="42">
        <f t="shared" si="560"/>
        <v>0</v>
      </c>
      <c r="J3551" s="65" t="e">
        <f t="shared" si="561"/>
        <v>#NUM!</v>
      </c>
      <c r="K3551" s="83" t="e">
        <f t="shared" si="562"/>
        <v>#NUM!</v>
      </c>
      <c r="L3551" s="83">
        <f t="shared" si="563"/>
        <v>0</v>
      </c>
      <c r="M3551" s="110" t="str">
        <f t="shared" si="564"/>
        <v/>
      </c>
      <c r="N3551" s="51" t="str">
        <f t="shared" si="565"/>
        <v/>
      </c>
      <c r="O3551" s="52" t="str">
        <f t="shared" si="566"/>
        <v/>
      </c>
      <c r="P3551" s="88">
        <f t="shared" si="567"/>
        <v>0</v>
      </c>
      <c r="Q3551" s="88">
        <f t="shared" si="568"/>
        <v>0</v>
      </c>
      <c r="R3551" s="88" t="e">
        <f>-IF(Tabla14[[#This Row],[DIAS HABILES O MORA]]&lt;0,(Tabla14[[#This Row],[VALOR PRESTAMO]]*Tabla14[[#This Row],[% INTERES ]]/30*U3551))+Tabla14[[#This Row],[VALOR CUOTAS]]</f>
        <v>#VALUE!</v>
      </c>
      <c r="S3551" s="88">
        <f>-IF(Tabla14[[#This Row],[DIAS HABILES O MORA]]&lt;0,(Tabla14[[#This Row],[VALOR PRESTAMO]]*Tabla14[[#This Row],[% INTERES ]]/30*U3551))</f>
        <v>0</v>
      </c>
      <c r="T3551" s="53" t="e">
        <f>Tabla14[[#This Row],[DEUDA CAPITAL]]+Tabla14[[#This Row],[INTERES  CUOTA]]</f>
        <v>#NUM!</v>
      </c>
      <c r="U3551" s="61" t="str">
        <f t="shared" si="569"/>
        <v/>
      </c>
    </row>
    <row r="3552" spans="9:21" ht="24.75" customHeight="1" x14ac:dyDescent="0.35">
      <c r="I3552" s="42">
        <f t="shared" si="560"/>
        <v>0</v>
      </c>
      <c r="J3552" s="65" t="e">
        <f t="shared" si="561"/>
        <v>#NUM!</v>
      </c>
      <c r="K3552" s="83" t="e">
        <f t="shared" si="562"/>
        <v>#NUM!</v>
      </c>
      <c r="L3552" s="83">
        <f t="shared" si="563"/>
        <v>0</v>
      </c>
      <c r="M3552" s="110" t="str">
        <f t="shared" si="564"/>
        <v/>
      </c>
      <c r="N3552" s="51" t="str">
        <f t="shared" si="565"/>
        <v/>
      </c>
      <c r="O3552" s="52" t="str">
        <f t="shared" si="566"/>
        <v/>
      </c>
      <c r="P3552" s="88">
        <f t="shared" si="567"/>
        <v>0</v>
      </c>
      <c r="Q3552" s="88">
        <f t="shared" si="568"/>
        <v>0</v>
      </c>
      <c r="R3552" s="88" t="e">
        <f>-IF(Tabla14[[#This Row],[DIAS HABILES O MORA]]&lt;0,(Tabla14[[#This Row],[VALOR PRESTAMO]]*Tabla14[[#This Row],[% INTERES ]]/30*U3552))+Tabla14[[#This Row],[VALOR CUOTAS]]</f>
        <v>#VALUE!</v>
      </c>
      <c r="S3552" s="88">
        <f>-IF(Tabla14[[#This Row],[DIAS HABILES O MORA]]&lt;0,(Tabla14[[#This Row],[VALOR PRESTAMO]]*Tabla14[[#This Row],[% INTERES ]]/30*U3552))</f>
        <v>0</v>
      </c>
      <c r="T3552" s="53" t="e">
        <f>Tabla14[[#This Row],[DEUDA CAPITAL]]+Tabla14[[#This Row],[INTERES  CUOTA]]</f>
        <v>#NUM!</v>
      </c>
      <c r="U3552" s="61" t="str">
        <f t="shared" si="569"/>
        <v/>
      </c>
    </row>
    <row r="3553" spans="9:21" ht="24.75" customHeight="1" x14ac:dyDescent="0.35">
      <c r="I3553" s="42">
        <f t="shared" si="560"/>
        <v>0</v>
      </c>
      <c r="J3553" s="65" t="e">
        <f t="shared" si="561"/>
        <v>#NUM!</v>
      </c>
      <c r="K3553" s="83" t="e">
        <f t="shared" si="562"/>
        <v>#NUM!</v>
      </c>
      <c r="L3553" s="83">
        <f t="shared" si="563"/>
        <v>0</v>
      </c>
      <c r="M3553" s="110" t="str">
        <f t="shared" si="564"/>
        <v/>
      </c>
      <c r="N3553" s="51" t="str">
        <f t="shared" si="565"/>
        <v/>
      </c>
      <c r="O3553" s="52" t="str">
        <f t="shared" si="566"/>
        <v/>
      </c>
      <c r="P3553" s="88">
        <f t="shared" si="567"/>
        <v>0</v>
      </c>
      <c r="Q3553" s="88">
        <f t="shared" si="568"/>
        <v>0</v>
      </c>
      <c r="R3553" s="88" t="e">
        <f>-IF(Tabla14[[#This Row],[DIAS HABILES O MORA]]&lt;0,(Tabla14[[#This Row],[VALOR PRESTAMO]]*Tabla14[[#This Row],[% INTERES ]]/30*U3553))+Tabla14[[#This Row],[VALOR CUOTAS]]</f>
        <v>#VALUE!</v>
      </c>
      <c r="S3553" s="88">
        <f>-IF(Tabla14[[#This Row],[DIAS HABILES O MORA]]&lt;0,(Tabla14[[#This Row],[VALOR PRESTAMO]]*Tabla14[[#This Row],[% INTERES ]]/30*U3553))</f>
        <v>0</v>
      </c>
      <c r="T3553" s="53" t="e">
        <f>Tabla14[[#This Row],[DEUDA CAPITAL]]+Tabla14[[#This Row],[INTERES  CUOTA]]</f>
        <v>#NUM!</v>
      </c>
      <c r="U3553" s="61" t="str">
        <f t="shared" si="569"/>
        <v/>
      </c>
    </row>
    <row r="3554" spans="9:21" ht="24.75" customHeight="1" x14ac:dyDescent="0.35">
      <c r="I3554" s="42">
        <f t="shared" si="560"/>
        <v>0</v>
      </c>
      <c r="J3554" s="65" t="e">
        <f t="shared" si="561"/>
        <v>#NUM!</v>
      </c>
      <c r="K3554" s="83" t="e">
        <f t="shared" si="562"/>
        <v>#NUM!</v>
      </c>
      <c r="L3554" s="83">
        <f t="shared" si="563"/>
        <v>0</v>
      </c>
      <c r="M3554" s="110" t="str">
        <f t="shared" si="564"/>
        <v/>
      </c>
      <c r="N3554" s="51" t="str">
        <f t="shared" si="565"/>
        <v/>
      </c>
      <c r="O3554" s="52" t="str">
        <f t="shared" si="566"/>
        <v/>
      </c>
      <c r="P3554" s="88">
        <f t="shared" si="567"/>
        <v>0</v>
      </c>
      <c r="Q3554" s="88">
        <f t="shared" si="568"/>
        <v>0</v>
      </c>
      <c r="R3554" s="88" t="e">
        <f>-IF(Tabla14[[#This Row],[DIAS HABILES O MORA]]&lt;0,(Tabla14[[#This Row],[VALOR PRESTAMO]]*Tabla14[[#This Row],[% INTERES ]]/30*U3554))+Tabla14[[#This Row],[VALOR CUOTAS]]</f>
        <v>#VALUE!</v>
      </c>
      <c r="S3554" s="88">
        <f>-IF(Tabla14[[#This Row],[DIAS HABILES O MORA]]&lt;0,(Tabla14[[#This Row],[VALOR PRESTAMO]]*Tabla14[[#This Row],[% INTERES ]]/30*U3554))</f>
        <v>0</v>
      </c>
      <c r="T3554" s="53" t="e">
        <f>Tabla14[[#This Row],[DEUDA CAPITAL]]+Tabla14[[#This Row],[INTERES  CUOTA]]</f>
        <v>#NUM!</v>
      </c>
      <c r="U3554" s="61" t="str">
        <f t="shared" si="569"/>
        <v/>
      </c>
    </row>
    <row r="3555" spans="9:21" ht="24.75" customHeight="1" x14ac:dyDescent="0.35">
      <c r="I3555" s="42">
        <f t="shared" si="560"/>
        <v>0</v>
      </c>
      <c r="J3555" s="65" t="e">
        <f t="shared" si="561"/>
        <v>#NUM!</v>
      </c>
      <c r="K3555" s="83" t="e">
        <f t="shared" si="562"/>
        <v>#NUM!</v>
      </c>
      <c r="L3555" s="83">
        <f t="shared" si="563"/>
        <v>0</v>
      </c>
      <c r="M3555" s="110" t="str">
        <f t="shared" si="564"/>
        <v/>
      </c>
      <c r="N3555" s="51" t="str">
        <f t="shared" si="565"/>
        <v/>
      </c>
      <c r="O3555" s="52" t="str">
        <f t="shared" si="566"/>
        <v/>
      </c>
      <c r="P3555" s="88">
        <f t="shared" si="567"/>
        <v>0</v>
      </c>
      <c r="Q3555" s="88">
        <f t="shared" si="568"/>
        <v>0</v>
      </c>
      <c r="R3555" s="88" t="e">
        <f>-IF(Tabla14[[#This Row],[DIAS HABILES O MORA]]&lt;0,(Tabla14[[#This Row],[VALOR PRESTAMO]]*Tabla14[[#This Row],[% INTERES ]]/30*U3555))+Tabla14[[#This Row],[VALOR CUOTAS]]</f>
        <v>#VALUE!</v>
      </c>
      <c r="S3555" s="88">
        <f>-IF(Tabla14[[#This Row],[DIAS HABILES O MORA]]&lt;0,(Tabla14[[#This Row],[VALOR PRESTAMO]]*Tabla14[[#This Row],[% INTERES ]]/30*U3555))</f>
        <v>0</v>
      </c>
      <c r="T3555" s="53" t="e">
        <f>Tabla14[[#This Row],[DEUDA CAPITAL]]+Tabla14[[#This Row],[INTERES  CUOTA]]</f>
        <v>#NUM!</v>
      </c>
      <c r="U3555" s="61" t="str">
        <f t="shared" si="569"/>
        <v/>
      </c>
    </row>
    <row r="3556" spans="9:21" ht="24.75" customHeight="1" x14ac:dyDescent="0.35">
      <c r="I3556" s="42">
        <f t="shared" si="560"/>
        <v>0</v>
      </c>
      <c r="J3556" s="65" t="e">
        <f t="shared" si="561"/>
        <v>#NUM!</v>
      </c>
      <c r="K3556" s="83" t="e">
        <f t="shared" si="562"/>
        <v>#NUM!</v>
      </c>
      <c r="L3556" s="83">
        <f t="shared" si="563"/>
        <v>0</v>
      </c>
      <c r="M3556" s="110" t="str">
        <f t="shared" si="564"/>
        <v/>
      </c>
      <c r="N3556" s="51" t="str">
        <f t="shared" si="565"/>
        <v/>
      </c>
      <c r="O3556" s="52" t="str">
        <f t="shared" si="566"/>
        <v/>
      </c>
      <c r="P3556" s="88">
        <f t="shared" si="567"/>
        <v>0</v>
      </c>
      <c r="Q3556" s="88">
        <f t="shared" si="568"/>
        <v>0</v>
      </c>
      <c r="R3556" s="88" t="e">
        <f>-IF(Tabla14[[#This Row],[DIAS HABILES O MORA]]&lt;0,(Tabla14[[#This Row],[VALOR PRESTAMO]]*Tabla14[[#This Row],[% INTERES ]]/30*U3556))+Tabla14[[#This Row],[VALOR CUOTAS]]</f>
        <v>#VALUE!</v>
      </c>
      <c r="S3556" s="88">
        <f>-IF(Tabla14[[#This Row],[DIAS HABILES O MORA]]&lt;0,(Tabla14[[#This Row],[VALOR PRESTAMO]]*Tabla14[[#This Row],[% INTERES ]]/30*U3556))</f>
        <v>0</v>
      </c>
      <c r="T3556" s="53" t="e">
        <f>Tabla14[[#This Row],[DEUDA CAPITAL]]+Tabla14[[#This Row],[INTERES  CUOTA]]</f>
        <v>#NUM!</v>
      </c>
      <c r="U3556" s="61" t="str">
        <f t="shared" si="569"/>
        <v/>
      </c>
    </row>
    <row r="3557" spans="9:21" ht="24.75" customHeight="1" x14ac:dyDescent="0.35">
      <c r="I3557" s="42">
        <f t="shared" si="560"/>
        <v>0</v>
      </c>
      <c r="J3557" s="65" t="e">
        <f t="shared" si="561"/>
        <v>#NUM!</v>
      </c>
      <c r="K3557" s="83" t="e">
        <f t="shared" si="562"/>
        <v>#NUM!</v>
      </c>
      <c r="L3557" s="83">
        <f t="shared" si="563"/>
        <v>0</v>
      </c>
      <c r="M3557" s="110" t="str">
        <f t="shared" si="564"/>
        <v/>
      </c>
      <c r="N3557" s="51" t="str">
        <f t="shared" si="565"/>
        <v/>
      </c>
      <c r="O3557" s="52" t="str">
        <f t="shared" si="566"/>
        <v/>
      </c>
      <c r="P3557" s="88">
        <f t="shared" si="567"/>
        <v>0</v>
      </c>
      <c r="Q3557" s="88">
        <f t="shared" si="568"/>
        <v>0</v>
      </c>
      <c r="R3557" s="88" t="e">
        <f>-IF(Tabla14[[#This Row],[DIAS HABILES O MORA]]&lt;0,(Tabla14[[#This Row],[VALOR PRESTAMO]]*Tabla14[[#This Row],[% INTERES ]]/30*U3557))+Tabla14[[#This Row],[VALOR CUOTAS]]</f>
        <v>#VALUE!</v>
      </c>
      <c r="S3557" s="88">
        <f>-IF(Tabla14[[#This Row],[DIAS HABILES O MORA]]&lt;0,(Tabla14[[#This Row],[VALOR PRESTAMO]]*Tabla14[[#This Row],[% INTERES ]]/30*U3557))</f>
        <v>0</v>
      </c>
      <c r="T3557" s="53" t="e">
        <f>Tabla14[[#This Row],[DEUDA CAPITAL]]+Tabla14[[#This Row],[INTERES  CUOTA]]</f>
        <v>#NUM!</v>
      </c>
      <c r="U3557" s="61" t="str">
        <f t="shared" si="569"/>
        <v/>
      </c>
    </row>
    <row r="3558" spans="9:21" ht="24.75" customHeight="1" x14ac:dyDescent="0.35">
      <c r="I3558" s="42">
        <f t="shared" si="560"/>
        <v>0</v>
      </c>
      <c r="J3558" s="65" t="e">
        <f t="shared" si="561"/>
        <v>#NUM!</v>
      </c>
      <c r="K3558" s="83" t="e">
        <f t="shared" si="562"/>
        <v>#NUM!</v>
      </c>
      <c r="L3558" s="83">
        <f t="shared" si="563"/>
        <v>0</v>
      </c>
      <c r="M3558" s="110" t="str">
        <f t="shared" si="564"/>
        <v/>
      </c>
      <c r="N3558" s="51" t="str">
        <f t="shared" si="565"/>
        <v/>
      </c>
      <c r="O3558" s="52" t="str">
        <f t="shared" si="566"/>
        <v/>
      </c>
      <c r="P3558" s="88">
        <f t="shared" si="567"/>
        <v>0</v>
      </c>
      <c r="Q3558" s="88">
        <f t="shared" si="568"/>
        <v>0</v>
      </c>
      <c r="R3558" s="88" t="e">
        <f>-IF(Tabla14[[#This Row],[DIAS HABILES O MORA]]&lt;0,(Tabla14[[#This Row],[VALOR PRESTAMO]]*Tabla14[[#This Row],[% INTERES ]]/30*U3558))+Tabla14[[#This Row],[VALOR CUOTAS]]</f>
        <v>#VALUE!</v>
      </c>
      <c r="S3558" s="88">
        <f>-IF(Tabla14[[#This Row],[DIAS HABILES O MORA]]&lt;0,(Tabla14[[#This Row],[VALOR PRESTAMO]]*Tabla14[[#This Row],[% INTERES ]]/30*U3558))</f>
        <v>0</v>
      </c>
      <c r="T3558" s="53" t="e">
        <f>Tabla14[[#This Row],[DEUDA CAPITAL]]+Tabla14[[#This Row],[INTERES  CUOTA]]</f>
        <v>#NUM!</v>
      </c>
      <c r="U3558" s="61" t="str">
        <f t="shared" si="569"/>
        <v/>
      </c>
    </row>
    <row r="3559" spans="9:21" ht="24.75" customHeight="1" x14ac:dyDescent="0.35">
      <c r="I3559" s="42">
        <f t="shared" si="560"/>
        <v>0</v>
      </c>
      <c r="J3559" s="65" t="e">
        <f t="shared" si="561"/>
        <v>#NUM!</v>
      </c>
      <c r="K3559" s="83" t="e">
        <f t="shared" si="562"/>
        <v>#NUM!</v>
      </c>
      <c r="L3559" s="83">
        <f t="shared" si="563"/>
        <v>0</v>
      </c>
      <c r="M3559" s="110" t="str">
        <f t="shared" si="564"/>
        <v/>
      </c>
      <c r="N3559" s="51" t="str">
        <f t="shared" si="565"/>
        <v/>
      </c>
      <c r="O3559" s="52" t="str">
        <f t="shared" si="566"/>
        <v/>
      </c>
      <c r="P3559" s="88">
        <f t="shared" si="567"/>
        <v>0</v>
      </c>
      <c r="Q3559" s="88">
        <f t="shared" si="568"/>
        <v>0</v>
      </c>
      <c r="R3559" s="88" t="e">
        <f>-IF(Tabla14[[#This Row],[DIAS HABILES O MORA]]&lt;0,(Tabla14[[#This Row],[VALOR PRESTAMO]]*Tabla14[[#This Row],[% INTERES ]]/30*U3559))+Tabla14[[#This Row],[VALOR CUOTAS]]</f>
        <v>#VALUE!</v>
      </c>
      <c r="S3559" s="88">
        <f>-IF(Tabla14[[#This Row],[DIAS HABILES O MORA]]&lt;0,(Tabla14[[#This Row],[VALOR PRESTAMO]]*Tabla14[[#This Row],[% INTERES ]]/30*U3559))</f>
        <v>0</v>
      </c>
      <c r="T3559" s="53" t="e">
        <f>Tabla14[[#This Row],[DEUDA CAPITAL]]+Tabla14[[#This Row],[INTERES  CUOTA]]</f>
        <v>#NUM!</v>
      </c>
      <c r="U3559" s="61" t="str">
        <f t="shared" si="569"/>
        <v/>
      </c>
    </row>
    <row r="3560" spans="9:21" ht="24.75" customHeight="1" x14ac:dyDescent="0.35">
      <c r="I3560" s="42">
        <f t="shared" si="560"/>
        <v>0</v>
      </c>
      <c r="J3560" s="65" t="e">
        <f t="shared" si="561"/>
        <v>#NUM!</v>
      </c>
      <c r="K3560" s="83" t="e">
        <f t="shared" si="562"/>
        <v>#NUM!</v>
      </c>
      <c r="L3560" s="83">
        <f t="shared" si="563"/>
        <v>0</v>
      </c>
      <c r="M3560" s="110" t="str">
        <f t="shared" si="564"/>
        <v/>
      </c>
      <c r="N3560" s="51" t="str">
        <f t="shared" si="565"/>
        <v/>
      </c>
      <c r="O3560" s="52" t="str">
        <f t="shared" si="566"/>
        <v/>
      </c>
      <c r="P3560" s="88">
        <f t="shared" si="567"/>
        <v>0</v>
      </c>
      <c r="Q3560" s="88">
        <f t="shared" si="568"/>
        <v>0</v>
      </c>
      <c r="R3560" s="88" t="e">
        <f>-IF(Tabla14[[#This Row],[DIAS HABILES O MORA]]&lt;0,(Tabla14[[#This Row],[VALOR PRESTAMO]]*Tabla14[[#This Row],[% INTERES ]]/30*U3560))+Tabla14[[#This Row],[VALOR CUOTAS]]</f>
        <v>#VALUE!</v>
      </c>
      <c r="S3560" s="88">
        <f>-IF(Tabla14[[#This Row],[DIAS HABILES O MORA]]&lt;0,(Tabla14[[#This Row],[VALOR PRESTAMO]]*Tabla14[[#This Row],[% INTERES ]]/30*U3560))</f>
        <v>0</v>
      </c>
      <c r="T3560" s="53" t="e">
        <f>Tabla14[[#This Row],[DEUDA CAPITAL]]+Tabla14[[#This Row],[INTERES  CUOTA]]</f>
        <v>#NUM!</v>
      </c>
      <c r="U3560" s="61" t="str">
        <f t="shared" si="569"/>
        <v/>
      </c>
    </row>
    <row r="3561" spans="9:21" ht="24.75" customHeight="1" x14ac:dyDescent="0.35">
      <c r="I3561" s="42">
        <f t="shared" si="560"/>
        <v>0</v>
      </c>
      <c r="J3561" s="65" t="e">
        <f t="shared" si="561"/>
        <v>#NUM!</v>
      </c>
      <c r="K3561" s="83" t="e">
        <f t="shared" si="562"/>
        <v>#NUM!</v>
      </c>
      <c r="L3561" s="83">
        <f t="shared" si="563"/>
        <v>0</v>
      </c>
      <c r="M3561" s="110" t="str">
        <f t="shared" si="564"/>
        <v/>
      </c>
      <c r="N3561" s="51" t="str">
        <f t="shared" si="565"/>
        <v/>
      </c>
      <c r="O3561" s="52" t="str">
        <f t="shared" si="566"/>
        <v/>
      </c>
      <c r="P3561" s="88">
        <f t="shared" si="567"/>
        <v>0</v>
      </c>
      <c r="Q3561" s="88">
        <f t="shared" si="568"/>
        <v>0</v>
      </c>
      <c r="R3561" s="88" t="e">
        <f>-IF(Tabla14[[#This Row],[DIAS HABILES O MORA]]&lt;0,(Tabla14[[#This Row],[VALOR PRESTAMO]]*Tabla14[[#This Row],[% INTERES ]]/30*U3561))+Tabla14[[#This Row],[VALOR CUOTAS]]</f>
        <v>#VALUE!</v>
      </c>
      <c r="S3561" s="88">
        <f>-IF(Tabla14[[#This Row],[DIAS HABILES O MORA]]&lt;0,(Tabla14[[#This Row],[VALOR PRESTAMO]]*Tabla14[[#This Row],[% INTERES ]]/30*U3561))</f>
        <v>0</v>
      </c>
      <c r="T3561" s="53" t="e">
        <f>Tabla14[[#This Row],[DEUDA CAPITAL]]+Tabla14[[#This Row],[INTERES  CUOTA]]</f>
        <v>#NUM!</v>
      </c>
      <c r="U3561" s="61" t="str">
        <f t="shared" si="569"/>
        <v/>
      </c>
    </row>
    <row r="3562" spans="9:21" ht="24.75" customHeight="1" x14ac:dyDescent="0.35">
      <c r="I3562" s="42">
        <f t="shared" si="560"/>
        <v>0</v>
      </c>
      <c r="J3562" s="65" t="e">
        <f t="shared" si="561"/>
        <v>#NUM!</v>
      </c>
      <c r="K3562" s="83" t="e">
        <f t="shared" si="562"/>
        <v>#NUM!</v>
      </c>
      <c r="L3562" s="83">
        <f t="shared" si="563"/>
        <v>0</v>
      </c>
      <c r="M3562" s="110" t="str">
        <f t="shared" si="564"/>
        <v/>
      </c>
      <c r="N3562" s="51" t="str">
        <f t="shared" si="565"/>
        <v/>
      </c>
      <c r="O3562" s="52" t="str">
        <f t="shared" si="566"/>
        <v/>
      </c>
      <c r="P3562" s="88">
        <f t="shared" si="567"/>
        <v>0</v>
      </c>
      <c r="Q3562" s="88">
        <f t="shared" si="568"/>
        <v>0</v>
      </c>
      <c r="R3562" s="88" t="e">
        <f>-IF(Tabla14[[#This Row],[DIAS HABILES O MORA]]&lt;0,(Tabla14[[#This Row],[VALOR PRESTAMO]]*Tabla14[[#This Row],[% INTERES ]]/30*U3562))+Tabla14[[#This Row],[VALOR CUOTAS]]</f>
        <v>#VALUE!</v>
      </c>
      <c r="S3562" s="88">
        <f>-IF(Tabla14[[#This Row],[DIAS HABILES O MORA]]&lt;0,(Tabla14[[#This Row],[VALOR PRESTAMO]]*Tabla14[[#This Row],[% INTERES ]]/30*U3562))</f>
        <v>0</v>
      </c>
      <c r="T3562" s="53" t="e">
        <f>Tabla14[[#This Row],[DEUDA CAPITAL]]+Tabla14[[#This Row],[INTERES  CUOTA]]</f>
        <v>#NUM!</v>
      </c>
      <c r="U3562" s="61" t="str">
        <f t="shared" si="569"/>
        <v/>
      </c>
    </row>
    <row r="3563" spans="9:21" ht="24.75" customHeight="1" x14ac:dyDescent="0.35">
      <c r="I3563" s="42">
        <f t="shared" si="560"/>
        <v>0</v>
      </c>
      <c r="J3563" s="65" t="e">
        <f t="shared" si="561"/>
        <v>#NUM!</v>
      </c>
      <c r="K3563" s="83" t="e">
        <f t="shared" si="562"/>
        <v>#NUM!</v>
      </c>
      <c r="L3563" s="83">
        <f t="shared" si="563"/>
        <v>0</v>
      </c>
      <c r="M3563" s="110" t="str">
        <f t="shared" si="564"/>
        <v/>
      </c>
      <c r="N3563" s="51" t="str">
        <f t="shared" si="565"/>
        <v/>
      </c>
      <c r="O3563" s="52" t="str">
        <f t="shared" si="566"/>
        <v/>
      </c>
      <c r="P3563" s="88">
        <f t="shared" si="567"/>
        <v>0</v>
      </c>
      <c r="Q3563" s="88">
        <f t="shared" si="568"/>
        <v>0</v>
      </c>
      <c r="R3563" s="88" t="e">
        <f>-IF(Tabla14[[#This Row],[DIAS HABILES O MORA]]&lt;0,(Tabla14[[#This Row],[VALOR PRESTAMO]]*Tabla14[[#This Row],[% INTERES ]]/30*U3563))+Tabla14[[#This Row],[VALOR CUOTAS]]</f>
        <v>#VALUE!</v>
      </c>
      <c r="S3563" s="88">
        <f>-IF(Tabla14[[#This Row],[DIAS HABILES O MORA]]&lt;0,(Tabla14[[#This Row],[VALOR PRESTAMO]]*Tabla14[[#This Row],[% INTERES ]]/30*U3563))</f>
        <v>0</v>
      </c>
      <c r="T3563" s="53" t="e">
        <f>Tabla14[[#This Row],[DEUDA CAPITAL]]+Tabla14[[#This Row],[INTERES  CUOTA]]</f>
        <v>#NUM!</v>
      </c>
      <c r="U3563" s="61" t="str">
        <f t="shared" si="569"/>
        <v/>
      </c>
    </row>
    <row r="3564" spans="9:21" ht="24.75" customHeight="1" x14ac:dyDescent="0.35">
      <c r="I3564" s="42">
        <f t="shared" si="560"/>
        <v>0</v>
      </c>
      <c r="J3564" s="65" t="e">
        <f t="shared" si="561"/>
        <v>#NUM!</v>
      </c>
      <c r="K3564" s="83" t="e">
        <f t="shared" si="562"/>
        <v>#NUM!</v>
      </c>
      <c r="L3564" s="83">
        <f t="shared" si="563"/>
        <v>0</v>
      </c>
      <c r="M3564" s="110" t="str">
        <f t="shared" si="564"/>
        <v/>
      </c>
      <c r="N3564" s="51" t="str">
        <f t="shared" si="565"/>
        <v/>
      </c>
      <c r="O3564" s="52" t="str">
        <f t="shared" si="566"/>
        <v/>
      </c>
      <c r="P3564" s="88">
        <f t="shared" si="567"/>
        <v>0</v>
      </c>
      <c r="Q3564" s="88">
        <f t="shared" si="568"/>
        <v>0</v>
      </c>
      <c r="R3564" s="88" t="e">
        <f>-IF(Tabla14[[#This Row],[DIAS HABILES O MORA]]&lt;0,(Tabla14[[#This Row],[VALOR PRESTAMO]]*Tabla14[[#This Row],[% INTERES ]]/30*U3564))+Tabla14[[#This Row],[VALOR CUOTAS]]</f>
        <v>#VALUE!</v>
      </c>
      <c r="S3564" s="88">
        <f>-IF(Tabla14[[#This Row],[DIAS HABILES O MORA]]&lt;0,(Tabla14[[#This Row],[VALOR PRESTAMO]]*Tabla14[[#This Row],[% INTERES ]]/30*U3564))</f>
        <v>0</v>
      </c>
      <c r="T3564" s="53" t="e">
        <f>Tabla14[[#This Row],[DEUDA CAPITAL]]+Tabla14[[#This Row],[INTERES  CUOTA]]</f>
        <v>#NUM!</v>
      </c>
      <c r="U3564" s="61" t="str">
        <f t="shared" si="569"/>
        <v/>
      </c>
    </row>
    <row r="3565" spans="9:21" ht="24.75" customHeight="1" x14ac:dyDescent="0.35">
      <c r="I3565" s="42">
        <f t="shared" si="560"/>
        <v>0</v>
      </c>
      <c r="J3565" s="65" t="e">
        <f t="shared" si="561"/>
        <v>#NUM!</v>
      </c>
      <c r="K3565" s="83" t="e">
        <f t="shared" si="562"/>
        <v>#NUM!</v>
      </c>
      <c r="L3565" s="83">
        <f t="shared" si="563"/>
        <v>0</v>
      </c>
      <c r="M3565" s="110" t="str">
        <f t="shared" si="564"/>
        <v/>
      </c>
      <c r="N3565" s="51" t="str">
        <f t="shared" si="565"/>
        <v/>
      </c>
      <c r="O3565" s="52" t="str">
        <f t="shared" si="566"/>
        <v/>
      </c>
      <c r="P3565" s="88">
        <f t="shared" si="567"/>
        <v>0</v>
      </c>
      <c r="Q3565" s="88">
        <f t="shared" si="568"/>
        <v>0</v>
      </c>
      <c r="R3565" s="88" t="e">
        <f>-IF(Tabla14[[#This Row],[DIAS HABILES O MORA]]&lt;0,(Tabla14[[#This Row],[VALOR PRESTAMO]]*Tabla14[[#This Row],[% INTERES ]]/30*U3565))+Tabla14[[#This Row],[VALOR CUOTAS]]</f>
        <v>#VALUE!</v>
      </c>
      <c r="S3565" s="88">
        <f>-IF(Tabla14[[#This Row],[DIAS HABILES O MORA]]&lt;0,(Tabla14[[#This Row],[VALOR PRESTAMO]]*Tabla14[[#This Row],[% INTERES ]]/30*U3565))</f>
        <v>0</v>
      </c>
      <c r="T3565" s="53" t="e">
        <f>Tabla14[[#This Row],[DEUDA CAPITAL]]+Tabla14[[#This Row],[INTERES  CUOTA]]</f>
        <v>#NUM!</v>
      </c>
      <c r="U3565" s="61" t="str">
        <f t="shared" si="569"/>
        <v/>
      </c>
    </row>
    <row r="3566" spans="9:21" ht="24.75" customHeight="1" x14ac:dyDescent="0.35">
      <c r="I3566" s="42">
        <f t="shared" si="560"/>
        <v>0</v>
      </c>
      <c r="J3566" s="65" t="e">
        <f t="shared" si="561"/>
        <v>#NUM!</v>
      </c>
      <c r="K3566" s="83" t="e">
        <f t="shared" si="562"/>
        <v>#NUM!</v>
      </c>
      <c r="L3566" s="83">
        <f t="shared" si="563"/>
        <v>0</v>
      </c>
      <c r="M3566" s="110" t="str">
        <f t="shared" si="564"/>
        <v/>
      </c>
      <c r="N3566" s="51" t="str">
        <f t="shared" si="565"/>
        <v/>
      </c>
      <c r="O3566" s="52" t="str">
        <f t="shared" si="566"/>
        <v/>
      </c>
      <c r="P3566" s="88">
        <f t="shared" si="567"/>
        <v>0</v>
      </c>
      <c r="Q3566" s="88">
        <f t="shared" si="568"/>
        <v>0</v>
      </c>
      <c r="R3566" s="88" t="e">
        <f>-IF(Tabla14[[#This Row],[DIAS HABILES O MORA]]&lt;0,(Tabla14[[#This Row],[VALOR PRESTAMO]]*Tabla14[[#This Row],[% INTERES ]]/30*U3566))+Tabla14[[#This Row],[VALOR CUOTAS]]</f>
        <v>#VALUE!</v>
      </c>
      <c r="S3566" s="88">
        <f>-IF(Tabla14[[#This Row],[DIAS HABILES O MORA]]&lt;0,(Tabla14[[#This Row],[VALOR PRESTAMO]]*Tabla14[[#This Row],[% INTERES ]]/30*U3566))</f>
        <v>0</v>
      </c>
      <c r="T3566" s="53" t="e">
        <f>Tabla14[[#This Row],[DEUDA CAPITAL]]+Tabla14[[#This Row],[INTERES  CUOTA]]</f>
        <v>#NUM!</v>
      </c>
      <c r="U3566" s="61" t="str">
        <f t="shared" si="569"/>
        <v/>
      </c>
    </row>
    <row r="3567" spans="9:21" ht="24.75" customHeight="1" x14ac:dyDescent="0.35">
      <c r="I3567" s="42">
        <f t="shared" si="560"/>
        <v>0</v>
      </c>
      <c r="J3567" s="65" t="e">
        <f t="shared" si="561"/>
        <v>#NUM!</v>
      </c>
      <c r="K3567" s="83" t="e">
        <f t="shared" si="562"/>
        <v>#NUM!</v>
      </c>
      <c r="L3567" s="83">
        <f t="shared" si="563"/>
        <v>0</v>
      </c>
      <c r="M3567" s="110" t="str">
        <f t="shared" si="564"/>
        <v/>
      </c>
      <c r="N3567" s="51" t="str">
        <f t="shared" si="565"/>
        <v/>
      </c>
      <c r="O3567" s="52" t="str">
        <f t="shared" si="566"/>
        <v/>
      </c>
      <c r="P3567" s="88">
        <f t="shared" si="567"/>
        <v>0</v>
      </c>
      <c r="Q3567" s="88">
        <f t="shared" si="568"/>
        <v>0</v>
      </c>
      <c r="R3567" s="88" t="e">
        <f>-IF(Tabla14[[#This Row],[DIAS HABILES O MORA]]&lt;0,(Tabla14[[#This Row],[VALOR PRESTAMO]]*Tabla14[[#This Row],[% INTERES ]]/30*U3567))+Tabla14[[#This Row],[VALOR CUOTAS]]</f>
        <v>#VALUE!</v>
      </c>
      <c r="S3567" s="88">
        <f>-IF(Tabla14[[#This Row],[DIAS HABILES O MORA]]&lt;0,(Tabla14[[#This Row],[VALOR PRESTAMO]]*Tabla14[[#This Row],[% INTERES ]]/30*U3567))</f>
        <v>0</v>
      </c>
      <c r="T3567" s="53" t="e">
        <f>Tabla14[[#This Row],[DEUDA CAPITAL]]+Tabla14[[#This Row],[INTERES  CUOTA]]</f>
        <v>#NUM!</v>
      </c>
      <c r="U3567" s="61" t="str">
        <f t="shared" si="569"/>
        <v/>
      </c>
    </row>
    <row r="3568" spans="9:21" ht="24.75" customHeight="1" x14ac:dyDescent="0.35">
      <c r="I3568" s="42">
        <f t="shared" si="560"/>
        <v>0</v>
      </c>
      <c r="J3568" s="65" t="e">
        <f t="shared" si="561"/>
        <v>#NUM!</v>
      </c>
      <c r="K3568" s="83" t="e">
        <f t="shared" si="562"/>
        <v>#NUM!</v>
      </c>
      <c r="L3568" s="83">
        <f t="shared" si="563"/>
        <v>0</v>
      </c>
      <c r="M3568" s="110" t="str">
        <f t="shared" si="564"/>
        <v/>
      </c>
      <c r="N3568" s="51" t="str">
        <f t="shared" si="565"/>
        <v/>
      </c>
      <c r="O3568" s="52" t="str">
        <f t="shared" si="566"/>
        <v/>
      </c>
      <c r="P3568" s="88">
        <f t="shared" si="567"/>
        <v>0</v>
      </c>
      <c r="Q3568" s="88">
        <f t="shared" si="568"/>
        <v>0</v>
      </c>
      <c r="R3568" s="88" t="e">
        <f>-IF(Tabla14[[#This Row],[DIAS HABILES O MORA]]&lt;0,(Tabla14[[#This Row],[VALOR PRESTAMO]]*Tabla14[[#This Row],[% INTERES ]]/30*U3568))+Tabla14[[#This Row],[VALOR CUOTAS]]</f>
        <v>#VALUE!</v>
      </c>
      <c r="S3568" s="88">
        <f>-IF(Tabla14[[#This Row],[DIAS HABILES O MORA]]&lt;0,(Tabla14[[#This Row],[VALOR PRESTAMO]]*Tabla14[[#This Row],[% INTERES ]]/30*U3568))</f>
        <v>0</v>
      </c>
      <c r="T3568" s="53" t="e">
        <f>Tabla14[[#This Row],[DEUDA CAPITAL]]+Tabla14[[#This Row],[INTERES  CUOTA]]</f>
        <v>#NUM!</v>
      </c>
      <c r="U3568" s="61" t="str">
        <f t="shared" si="569"/>
        <v/>
      </c>
    </row>
    <row r="3569" spans="9:21" ht="24.75" customHeight="1" x14ac:dyDescent="0.35">
      <c r="I3569" s="42">
        <f t="shared" si="560"/>
        <v>0</v>
      </c>
      <c r="J3569" s="65" t="e">
        <f t="shared" si="561"/>
        <v>#NUM!</v>
      </c>
      <c r="K3569" s="83" t="e">
        <f t="shared" si="562"/>
        <v>#NUM!</v>
      </c>
      <c r="L3569" s="83">
        <f t="shared" si="563"/>
        <v>0</v>
      </c>
      <c r="M3569" s="110" t="str">
        <f t="shared" si="564"/>
        <v/>
      </c>
      <c r="N3569" s="51" t="str">
        <f t="shared" si="565"/>
        <v/>
      </c>
      <c r="O3569" s="52" t="str">
        <f t="shared" si="566"/>
        <v/>
      </c>
      <c r="P3569" s="88">
        <f t="shared" si="567"/>
        <v>0</v>
      </c>
      <c r="Q3569" s="88">
        <f t="shared" si="568"/>
        <v>0</v>
      </c>
      <c r="R3569" s="88" t="e">
        <f>-IF(Tabla14[[#This Row],[DIAS HABILES O MORA]]&lt;0,(Tabla14[[#This Row],[VALOR PRESTAMO]]*Tabla14[[#This Row],[% INTERES ]]/30*U3569))+Tabla14[[#This Row],[VALOR CUOTAS]]</f>
        <v>#VALUE!</v>
      </c>
      <c r="S3569" s="88">
        <f>-IF(Tabla14[[#This Row],[DIAS HABILES O MORA]]&lt;0,(Tabla14[[#This Row],[VALOR PRESTAMO]]*Tabla14[[#This Row],[% INTERES ]]/30*U3569))</f>
        <v>0</v>
      </c>
      <c r="T3569" s="53" t="e">
        <f>Tabla14[[#This Row],[DEUDA CAPITAL]]+Tabla14[[#This Row],[INTERES  CUOTA]]</f>
        <v>#NUM!</v>
      </c>
      <c r="U3569" s="61" t="str">
        <f t="shared" si="569"/>
        <v/>
      </c>
    </row>
    <row r="3570" spans="9:21" ht="24.75" customHeight="1" x14ac:dyDescent="0.35">
      <c r="I3570" s="42">
        <f t="shared" si="560"/>
        <v>0</v>
      </c>
      <c r="J3570" s="65" t="e">
        <f t="shared" si="561"/>
        <v>#NUM!</v>
      </c>
      <c r="K3570" s="83" t="e">
        <f t="shared" si="562"/>
        <v>#NUM!</v>
      </c>
      <c r="L3570" s="83">
        <f t="shared" si="563"/>
        <v>0</v>
      </c>
      <c r="M3570" s="110" t="str">
        <f t="shared" si="564"/>
        <v/>
      </c>
      <c r="N3570" s="51" t="str">
        <f t="shared" si="565"/>
        <v/>
      </c>
      <c r="O3570" s="52" t="str">
        <f t="shared" si="566"/>
        <v/>
      </c>
      <c r="P3570" s="88">
        <f t="shared" si="567"/>
        <v>0</v>
      </c>
      <c r="Q3570" s="88">
        <f t="shared" si="568"/>
        <v>0</v>
      </c>
      <c r="R3570" s="88" t="e">
        <f>-IF(Tabla14[[#This Row],[DIAS HABILES O MORA]]&lt;0,(Tabla14[[#This Row],[VALOR PRESTAMO]]*Tabla14[[#This Row],[% INTERES ]]/30*U3570))+Tabla14[[#This Row],[VALOR CUOTAS]]</f>
        <v>#VALUE!</v>
      </c>
      <c r="S3570" s="88">
        <f>-IF(Tabla14[[#This Row],[DIAS HABILES O MORA]]&lt;0,(Tabla14[[#This Row],[VALOR PRESTAMO]]*Tabla14[[#This Row],[% INTERES ]]/30*U3570))</f>
        <v>0</v>
      </c>
      <c r="T3570" s="53" t="e">
        <f>Tabla14[[#This Row],[DEUDA CAPITAL]]+Tabla14[[#This Row],[INTERES  CUOTA]]</f>
        <v>#NUM!</v>
      </c>
      <c r="U3570" s="61" t="str">
        <f t="shared" si="569"/>
        <v/>
      </c>
    </row>
    <row r="3571" spans="9:21" ht="24.75" customHeight="1" x14ac:dyDescent="0.35">
      <c r="I3571" s="42">
        <f t="shared" si="560"/>
        <v>0</v>
      </c>
      <c r="J3571" s="65" t="e">
        <f t="shared" si="561"/>
        <v>#NUM!</v>
      </c>
      <c r="K3571" s="83" t="e">
        <f t="shared" si="562"/>
        <v>#NUM!</v>
      </c>
      <c r="L3571" s="83">
        <f t="shared" si="563"/>
        <v>0</v>
      </c>
      <c r="M3571" s="110" t="str">
        <f t="shared" si="564"/>
        <v/>
      </c>
      <c r="N3571" s="51" t="str">
        <f t="shared" si="565"/>
        <v/>
      </c>
      <c r="O3571" s="52" t="str">
        <f t="shared" si="566"/>
        <v/>
      </c>
      <c r="P3571" s="88">
        <f t="shared" si="567"/>
        <v>0</v>
      </c>
      <c r="Q3571" s="88">
        <f t="shared" si="568"/>
        <v>0</v>
      </c>
      <c r="R3571" s="88" t="e">
        <f>-IF(Tabla14[[#This Row],[DIAS HABILES O MORA]]&lt;0,(Tabla14[[#This Row],[VALOR PRESTAMO]]*Tabla14[[#This Row],[% INTERES ]]/30*U3571))+Tabla14[[#This Row],[VALOR CUOTAS]]</f>
        <v>#VALUE!</v>
      </c>
      <c r="S3571" s="88">
        <f>-IF(Tabla14[[#This Row],[DIAS HABILES O MORA]]&lt;0,(Tabla14[[#This Row],[VALOR PRESTAMO]]*Tabla14[[#This Row],[% INTERES ]]/30*U3571))</f>
        <v>0</v>
      </c>
      <c r="T3571" s="53" t="e">
        <f>Tabla14[[#This Row],[DEUDA CAPITAL]]+Tabla14[[#This Row],[INTERES  CUOTA]]</f>
        <v>#NUM!</v>
      </c>
      <c r="U3571" s="61" t="str">
        <f t="shared" si="569"/>
        <v/>
      </c>
    </row>
    <row r="3572" spans="9:21" ht="24.75" customHeight="1" x14ac:dyDescent="0.35">
      <c r="I3572" s="42">
        <f t="shared" si="560"/>
        <v>0</v>
      </c>
      <c r="J3572" s="65" t="e">
        <f t="shared" si="561"/>
        <v>#NUM!</v>
      </c>
      <c r="K3572" s="83" t="e">
        <f t="shared" si="562"/>
        <v>#NUM!</v>
      </c>
      <c r="L3572" s="83">
        <f t="shared" si="563"/>
        <v>0</v>
      </c>
      <c r="M3572" s="110" t="str">
        <f t="shared" si="564"/>
        <v/>
      </c>
      <c r="N3572" s="51" t="str">
        <f t="shared" si="565"/>
        <v/>
      </c>
      <c r="O3572" s="52" t="str">
        <f t="shared" si="566"/>
        <v/>
      </c>
      <c r="P3572" s="88">
        <f t="shared" si="567"/>
        <v>0</v>
      </c>
      <c r="Q3572" s="88">
        <f t="shared" si="568"/>
        <v>0</v>
      </c>
      <c r="R3572" s="88" t="e">
        <f>-IF(Tabla14[[#This Row],[DIAS HABILES O MORA]]&lt;0,(Tabla14[[#This Row],[VALOR PRESTAMO]]*Tabla14[[#This Row],[% INTERES ]]/30*U3572))+Tabla14[[#This Row],[VALOR CUOTAS]]</f>
        <v>#VALUE!</v>
      </c>
      <c r="S3572" s="88">
        <f>-IF(Tabla14[[#This Row],[DIAS HABILES O MORA]]&lt;0,(Tabla14[[#This Row],[VALOR PRESTAMO]]*Tabla14[[#This Row],[% INTERES ]]/30*U3572))</f>
        <v>0</v>
      </c>
      <c r="T3572" s="53" t="e">
        <f>Tabla14[[#This Row],[DEUDA CAPITAL]]+Tabla14[[#This Row],[INTERES  CUOTA]]</f>
        <v>#NUM!</v>
      </c>
      <c r="U3572" s="61" t="str">
        <f t="shared" si="569"/>
        <v/>
      </c>
    </row>
    <row r="3573" spans="9:21" ht="24.75" customHeight="1" x14ac:dyDescent="0.35">
      <c r="I3573" s="42">
        <f t="shared" si="560"/>
        <v>0</v>
      </c>
      <c r="J3573" s="65" t="e">
        <f t="shared" si="561"/>
        <v>#NUM!</v>
      </c>
      <c r="K3573" s="83" t="e">
        <f t="shared" si="562"/>
        <v>#NUM!</v>
      </c>
      <c r="L3573" s="83">
        <f t="shared" si="563"/>
        <v>0</v>
      </c>
      <c r="M3573" s="110" t="str">
        <f t="shared" si="564"/>
        <v/>
      </c>
      <c r="N3573" s="51" t="str">
        <f t="shared" si="565"/>
        <v/>
      </c>
      <c r="O3573" s="52" t="str">
        <f t="shared" si="566"/>
        <v/>
      </c>
      <c r="P3573" s="88">
        <f t="shared" si="567"/>
        <v>0</v>
      </c>
      <c r="Q3573" s="88">
        <f t="shared" si="568"/>
        <v>0</v>
      </c>
      <c r="R3573" s="88" t="e">
        <f>-IF(Tabla14[[#This Row],[DIAS HABILES O MORA]]&lt;0,(Tabla14[[#This Row],[VALOR PRESTAMO]]*Tabla14[[#This Row],[% INTERES ]]/30*U3573))+Tabla14[[#This Row],[VALOR CUOTAS]]</f>
        <v>#VALUE!</v>
      </c>
      <c r="S3573" s="88">
        <f>-IF(Tabla14[[#This Row],[DIAS HABILES O MORA]]&lt;0,(Tabla14[[#This Row],[VALOR PRESTAMO]]*Tabla14[[#This Row],[% INTERES ]]/30*U3573))</f>
        <v>0</v>
      </c>
      <c r="T3573" s="53" t="e">
        <f>Tabla14[[#This Row],[DEUDA CAPITAL]]+Tabla14[[#This Row],[INTERES  CUOTA]]</f>
        <v>#NUM!</v>
      </c>
      <c r="U3573" s="61" t="str">
        <f t="shared" si="569"/>
        <v/>
      </c>
    </row>
    <row r="3574" spans="9:21" ht="24.75" customHeight="1" x14ac:dyDescent="0.35">
      <c r="I3574" s="42">
        <f t="shared" si="560"/>
        <v>0</v>
      </c>
      <c r="J3574" s="65" t="e">
        <f t="shared" si="561"/>
        <v>#NUM!</v>
      </c>
      <c r="K3574" s="83" t="e">
        <f t="shared" si="562"/>
        <v>#NUM!</v>
      </c>
      <c r="L3574" s="83">
        <f t="shared" si="563"/>
        <v>0</v>
      </c>
      <c r="M3574" s="110" t="str">
        <f t="shared" si="564"/>
        <v/>
      </c>
      <c r="N3574" s="51" t="str">
        <f t="shared" si="565"/>
        <v/>
      </c>
      <c r="O3574" s="52" t="str">
        <f t="shared" si="566"/>
        <v/>
      </c>
      <c r="P3574" s="88">
        <f t="shared" si="567"/>
        <v>0</v>
      </c>
      <c r="Q3574" s="88">
        <f t="shared" si="568"/>
        <v>0</v>
      </c>
      <c r="R3574" s="88" t="e">
        <f>-IF(Tabla14[[#This Row],[DIAS HABILES O MORA]]&lt;0,(Tabla14[[#This Row],[VALOR PRESTAMO]]*Tabla14[[#This Row],[% INTERES ]]/30*U3574))+Tabla14[[#This Row],[VALOR CUOTAS]]</f>
        <v>#VALUE!</v>
      </c>
      <c r="S3574" s="88">
        <f>-IF(Tabla14[[#This Row],[DIAS HABILES O MORA]]&lt;0,(Tabla14[[#This Row],[VALOR PRESTAMO]]*Tabla14[[#This Row],[% INTERES ]]/30*U3574))</f>
        <v>0</v>
      </c>
      <c r="T3574" s="53" t="e">
        <f>Tabla14[[#This Row],[DEUDA CAPITAL]]+Tabla14[[#This Row],[INTERES  CUOTA]]</f>
        <v>#NUM!</v>
      </c>
      <c r="U3574" s="61" t="str">
        <f t="shared" si="569"/>
        <v/>
      </c>
    </row>
    <row r="3575" spans="9:21" ht="24.75" customHeight="1" x14ac:dyDescent="0.35">
      <c r="I3575" s="42">
        <f t="shared" si="560"/>
        <v>0</v>
      </c>
      <c r="J3575" s="65" t="e">
        <f t="shared" si="561"/>
        <v>#NUM!</v>
      </c>
      <c r="K3575" s="83" t="e">
        <f t="shared" si="562"/>
        <v>#NUM!</v>
      </c>
      <c r="L3575" s="83">
        <f t="shared" si="563"/>
        <v>0</v>
      </c>
      <c r="M3575" s="110" t="str">
        <f t="shared" si="564"/>
        <v/>
      </c>
      <c r="N3575" s="51" t="str">
        <f t="shared" si="565"/>
        <v/>
      </c>
      <c r="O3575" s="52" t="str">
        <f t="shared" si="566"/>
        <v/>
      </c>
      <c r="P3575" s="88">
        <f t="shared" si="567"/>
        <v>0</v>
      </c>
      <c r="Q3575" s="88">
        <f t="shared" si="568"/>
        <v>0</v>
      </c>
      <c r="R3575" s="88" t="e">
        <f>-IF(Tabla14[[#This Row],[DIAS HABILES O MORA]]&lt;0,(Tabla14[[#This Row],[VALOR PRESTAMO]]*Tabla14[[#This Row],[% INTERES ]]/30*U3575))+Tabla14[[#This Row],[VALOR CUOTAS]]</f>
        <v>#VALUE!</v>
      </c>
      <c r="S3575" s="88">
        <f>-IF(Tabla14[[#This Row],[DIAS HABILES O MORA]]&lt;0,(Tabla14[[#This Row],[VALOR PRESTAMO]]*Tabla14[[#This Row],[% INTERES ]]/30*U3575))</f>
        <v>0</v>
      </c>
      <c r="T3575" s="53" t="e">
        <f>Tabla14[[#This Row],[DEUDA CAPITAL]]+Tabla14[[#This Row],[INTERES  CUOTA]]</f>
        <v>#NUM!</v>
      </c>
      <c r="U3575" s="61" t="str">
        <f t="shared" si="569"/>
        <v/>
      </c>
    </row>
    <row r="3576" spans="9:21" ht="24.75" customHeight="1" x14ac:dyDescent="0.35">
      <c r="I3576" s="42">
        <f t="shared" si="560"/>
        <v>0</v>
      </c>
      <c r="J3576" s="65" t="e">
        <f t="shared" si="561"/>
        <v>#NUM!</v>
      </c>
      <c r="K3576" s="83" t="e">
        <f t="shared" si="562"/>
        <v>#NUM!</v>
      </c>
      <c r="L3576" s="83">
        <f t="shared" si="563"/>
        <v>0</v>
      </c>
      <c r="M3576" s="110" t="str">
        <f t="shared" si="564"/>
        <v/>
      </c>
      <c r="N3576" s="51" t="str">
        <f t="shared" si="565"/>
        <v/>
      </c>
      <c r="O3576" s="52" t="str">
        <f t="shared" si="566"/>
        <v/>
      </c>
      <c r="P3576" s="88">
        <f t="shared" si="567"/>
        <v>0</v>
      </c>
      <c r="Q3576" s="88">
        <f t="shared" si="568"/>
        <v>0</v>
      </c>
      <c r="R3576" s="88" t="e">
        <f>-IF(Tabla14[[#This Row],[DIAS HABILES O MORA]]&lt;0,(Tabla14[[#This Row],[VALOR PRESTAMO]]*Tabla14[[#This Row],[% INTERES ]]/30*U3576))+Tabla14[[#This Row],[VALOR CUOTAS]]</f>
        <v>#VALUE!</v>
      </c>
      <c r="S3576" s="88">
        <f>-IF(Tabla14[[#This Row],[DIAS HABILES O MORA]]&lt;0,(Tabla14[[#This Row],[VALOR PRESTAMO]]*Tabla14[[#This Row],[% INTERES ]]/30*U3576))</f>
        <v>0</v>
      </c>
      <c r="T3576" s="53" t="e">
        <f>Tabla14[[#This Row],[DEUDA CAPITAL]]+Tabla14[[#This Row],[INTERES  CUOTA]]</f>
        <v>#NUM!</v>
      </c>
      <c r="U3576" s="61" t="str">
        <f t="shared" si="569"/>
        <v/>
      </c>
    </row>
    <row r="3577" spans="9:21" ht="24.75" customHeight="1" x14ac:dyDescent="0.35">
      <c r="I3577" s="42">
        <f t="shared" si="560"/>
        <v>0</v>
      </c>
      <c r="J3577" s="65" t="e">
        <f t="shared" si="561"/>
        <v>#NUM!</v>
      </c>
      <c r="K3577" s="83" t="e">
        <f t="shared" si="562"/>
        <v>#NUM!</v>
      </c>
      <c r="L3577" s="83">
        <f t="shared" si="563"/>
        <v>0</v>
      </c>
      <c r="M3577" s="110" t="str">
        <f t="shared" si="564"/>
        <v/>
      </c>
      <c r="N3577" s="51" t="str">
        <f t="shared" si="565"/>
        <v/>
      </c>
      <c r="O3577" s="52" t="str">
        <f t="shared" si="566"/>
        <v/>
      </c>
      <c r="P3577" s="88">
        <f t="shared" si="567"/>
        <v>0</v>
      </c>
      <c r="Q3577" s="88">
        <f t="shared" si="568"/>
        <v>0</v>
      </c>
      <c r="R3577" s="88" t="e">
        <f>-IF(Tabla14[[#This Row],[DIAS HABILES O MORA]]&lt;0,(Tabla14[[#This Row],[VALOR PRESTAMO]]*Tabla14[[#This Row],[% INTERES ]]/30*U3577))+Tabla14[[#This Row],[VALOR CUOTAS]]</f>
        <v>#VALUE!</v>
      </c>
      <c r="S3577" s="88">
        <f>-IF(Tabla14[[#This Row],[DIAS HABILES O MORA]]&lt;0,(Tabla14[[#This Row],[VALOR PRESTAMO]]*Tabla14[[#This Row],[% INTERES ]]/30*U3577))</f>
        <v>0</v>
      </c>
      <c r="T3577" s="53" t="e">
        <f>Tabla14[[#This Row],[DEUDA CAPITAL]]+Tabla14[[#This Row],[INTERES  CUOTA]]</f>
        <v>#NUM!</v>
      </c>
      <c r="U3577" s="61" t="str">
        <f t="shared" si="569"/>
        <v/>
      </c>
    </row>
    <row r="3578" spans="9:21" ht="24.75" customHeight="1" x14ac:dyDescent="0.35">
      <c r="I3578" s="42">
        <f t="shared" si="560"/>
        <v>0</v>
      </c>
      <c r="J3578" s="65" t="e">
        <f t="shared" si="561"/>
        <v>#NUM!</v>
      </c>
      <c r="K3578" s="83" t="e">
        <f t="shared" si="562"/>
        <v>#NUM!</v>
      </c>
      <c r="L3578" s="83">
        <f t="shared" si="563"/>
        <v>0</v>
      </c>
      <c r="M3578" s="110" t="str">
        <f t="shared" si="564"/>
        <v/>
      </c>
      <c r="N3578" s="51" t="str">
        <f t="shared" si="565"/>
        <v/>
      </c>
      <c r="O3578" s="52" t="str">
        <f t="shared" si="566"/>
        <v/>
      </c>
      <c r="P3578" s="88">
        <f t="shared" si="567"/>
        <v>0</v>
      </c>
      <c r="Q3578" s="88">
        <f t="shared" si="568"/>
        <v>0</v>
      </c>
      <c r="R3578" s="88" t="e">
        <f>-IF(Tabla14[[#This Row],[DIAS HABILES O MORA]]&lt;0,(Tabla14[[#This Row],[VALOR PRESTAMO]]*Tabla14[[#This Row],[% INTERES ]]/30*U3578))+Tabla14[[#This Row],[VALOR CUOTAS]]</f>
        <v>#VALUE!</v>
      </c>
      <c r="S3578" s="88">
        <f>-IF(Tabla14[[#This Row],[DIAS HABILES O MORA]]&lt;0,(Tabla14[[#This Row],[VALOR PRESTAMO]]*Tabla14[[#This Row],[% INTERES ]]/30*U3578))</f>
        <v>0</v>
      </c>
      <c r="T3578" s="53" t="e">
        <f>Tabla14[[#This Row],[DEUDA CAPITAL]]+Tabla14[[#This Row],[INTERES  CUOTA]]</f>
        <v>#NUM!</v>
      </c>
      <c r="U3578" s="61" t="str">
        <f t="shared" si="569"/>
        <v/>
      </c>
    </row>
    <row r="3579" spans="9:21" ht="24.75" customHeight="1" x14ac:dyDescent="0.35">
      <c r="I3579" s="42">
        <f t="shared" si="560"/>
        <v>0</v>
      </c>
      <c r="J3579" s="65" t="e">
        <f t="shared" si="561"/>
        <v>#NUM!</v>
      </c>
      <c r="K3579" s="83" t="e">
        <f t="shared" si="562"/>
        <v>#NUM!</v>
      </c>
      <c r="L3579" s="83">
        <f t="shared" si="563"/>
        <v>0</v>
      </c>
      <c r="M3579" s="110" t="str">
        <f t="shared" si="564"/>
        <v/>
      </c>
      <c r="N3579" s="51" t="str">
        <f t="shared" si="565"/>
        <v/>
      </c>
      <c r="O3579" s="52" t="str">
        <f t="shared" si="566"/>
        <v/>
      </c>
      <c r="P3579" s="88">
        <f t="shared" si="567"/>
        <v>0</v>
      </c>
      <c r="Q3579" s="88">
        <f t="shared" si="568"/>
        <v>0</v>
      </c>
      <c r="R3579" s="88" t="e">
        <f>-IF(Tabla14[[#This Row],[DIAS HABILES O MORA]]&lt;0,(Tabla14[[#This Row],[VALOR PRESTAMO]]*Tabla14[[#This Row],[% INTERES ]]/30*U3579))+Tabla14[[#This Row],[VALOR CUOTAS]]</f>
        <v>#VALUE!</v>
      </c>
      <c r="S3579" s="88">
        <f>-IF(Tabla14[[#This Row],[DIAS HABILES O MORA]]&lt;0,(Tabla14[[#This Row],[VALOR PRESTAMO]]*Tabla14[[#This Row],[% INTERES ]]/30*U3579))</f>
        <v>0</v>
      </c>
      <c r="T3579" s="53" t="e">
        <f>Tabla14[[#This Row],[DEUDA CAPITAL]]+Tabla14[[#This Row],[INTERES  CUOTA]]</f>
        <v>#NUM!</v>
      </c>
      <c r="U3579" s="61" t="str">
        <f t="shared" si="569"/>
        <v/>
      </c>
    </row>
    <row r="3580" spans="9:21" ht="24.75" customHeight="1" x14ac:dyDescent="0.35">
      <c r="I3580" s="42">
        <f t="shared" si="560"/>
        <v>0</v>
      </c>
      <c r="J3580" s="65" t="e">
        <f t="shared" si="561"/>
        <v>#NUM!</v>
      </c>
      <c r="K3580" s="83" t="e">
        <f t="shared" si="562"/>
        <v>#NUM!</v>
      </c>
      <c r="L3580" s="83">
        <f t="shared" si="563"/>
        <v>0</v>
      </c>
      <c r="M3580" s="110" t="str">
        <f t="shared" si="564"/>
        <v/>
      </c>
      <c r="N3580" s="51" t="str">
        <f t="shared" si="565"/>
        <v/>
      </c>
      <c r="O3580" s="52" t="str">
        <f t="shared" si="566"/>
        <v/>
      </c>
      <c r="P3580" s="88">
        <f t="shared" si="567"/>
        <v>0</v>
      </c>
      <c r="Q3580" s="88">
        <f t="shared" si="568"/>
        <v>0</v>
      </c>
      <c r="R3580" s="88" t="e">
        <f>-IF(Tabla14[[#This Row],[DIAS HABILES O MORA]]&lt;0,(Tabla14[[#This Row],[VALOR PRESTAMO]]*Tabla14[[#This Row],[% INTERES ]]/30*U3580))+Tabla14[[#This Row],[VALOR CUOTAS]]</f>
        <v>#VALUE!</v>
      </c>
      <c r="S3580" s="88">
        <f>-IF(Tabla14[[#This Row],[DIAS HABILES O MORA]]&lt;0,(Tabla14[[#This Row],[VALOR PRESTAMO]]*Tabla14[[#This Row],[% INTERES ]]/30*U3580))</f>
        <v>0</v>
      </c>
      <c r="T3580" s="53" t="e">
        <f>Tabla14[[#This Row],[DEUDA CAPITAL]]+Tabla14[[#This Row],[INTERES  CUOTA]]</f>
        <v>#NUM!</v>
      </c>
      <c r="U3580" s="61" t="str">
        <f t="shared" si="569"/>
        <v/>
      </c>
    </row>
    <row r="3581" spans="9:21" ht="24.75" customHeight="1" x14ac:dyDescent="0.35">
      <c r="I3581" s="42">
        <f t="shared" si="560"/>
        <v>0</v>
      </c>
      <c r="J3581" s="65" t="e">
        <f t="shared" si="561"/>
        <v>#NUM!</v>
      </c>
      <c r="K3581" s="83" t="e">
        <f t="shared" si="562"/>
        <v>#NUM!</v>
      </c>
      <c r="L3581" s="83">
        <f t="shared" si="563"/>
        <v>0</v>
      </c>
      <c r="M3581" s="110" t="str">
        <f t="shared" si="564"/>
        <v/>
      </c>
      <c r="N3581" s="51" t="str">
        <f t="shared" si="565"/>
        <v/>
      </c>
      <c r="O3581" s="52" t="str">
        <f t="shared" si="566"/>
        <v/>
      </c>
      <c r="P3581" s="88">
        <f t="shared" si="567"/>
        <v>0</v>
      </c>
      <c r="Q3581" s="88">
        <f t="shared" si="568"/>
        <v>0</v>
      </c>
      <c r="R3581" s="88" t="e">
        <f>-IF(Tabla14[[#This Row],[DIAS HABILES O MORA]]&lt;0,(Tabla14[[#This Row],[VALOR PRESTAMO]]*Tabla14[[#This Row],[% INTERES ]]/30*U3581))+Tabla14[[#This Row],[VALOR CUOTAS]]</f>
        <v>#VALUE!</v>
      </c>
      <c r="S3581" s="88">
        <f>-IF(Tabla14[[#This Row],[DIAS HABILES O MORA]]&lt;0,(Tabla14[[#This Row],[VALOR PRESTAMO]]*Tabla14[[#This Row],[% INTERES ]]/30*U3581))</f>
        <v>0</v>
      </c>
      <c r="T3581" s="53" t="e">
        <f>Tabla14[[#This Row],[DEUDA CAPITAL]]+Tabla14[[#This Row],[INTERES  CUOTA]]</f>
        <v>#NUM!</v>
      </c>
      <c r="U3581" s="61" t="str">
        <f t="shared" si="569"/>
        <v/>
      </c>
    </row>
    <row r="3582" spans="9:21" ht="24.75" customHeight="1" x14ac:dyDescent="0.35">
      <c r="I3582" s="42">
        <f t="shared" si="560"/>
        <v>0</v>
      </c>
      <c r="J3582" s="65" t="e">
        <f t="shared" si="561"/>
        <v>#NUM!</v>
      </c>
      <c r="K3582" s="83" t="e">
        <f t="shared" si="562"/>
        <v>#NUM!</v>
      </c>
      <c r="L3582" s="83">
        <f t="shared" si="563"/>
        <v>0</v>
      </c>
      <c r="M3582" s="110" t="str">
        <f t="shared" si="564"/>
        <v/>
      </c>
      <c r="N3582" s="51" t="str">
        <f t="shared" si="565"/>
        <v/>
      </c>
      <c r="O3582" s="52" t="str">
        <f t="shared" si="566"/>
        <v/>
      </c>
      <c r="P3582" s="88">
        <f t="shared" si="567"/>
        <v>0</v>
      </c>
      <c r="Q3582" s="88">
        <f t="shared" si="568"/>
        <v>0</v>
      </c>
      <c r="R3582" s="88" t="e">
        <f>-IF(Tabla14[[#This Row],[DIAS HABILES O MORA]]&lt;0,(Tabla14[[#This Row],[VALOR PRESTAMO]]*Tabla14[[#This Row],[% INTERES ]]/30*U3582))+Tabla14[[#This Row],[VALOR CUOTAS]]</f>
        <v>#VALUE!</v>
      </c>
      <c r="S3582" s="88">
        <f>-IF(Tabla14[[#This Row],[DIAS HABILES O MORA]]&lt;0,(Tabla14[[#This Row],[VALOR PRESTAMO]]*Tabla14[[#This Row],[% INTERES ]]/30*U3582))</f>
        <v>0</v>
      </c>
      <c r="T3582" s="53" t="e">
        <f>Tabla14[[#This Row],[DEUDA CAPITAL]]+Tabla14[[#This Row],[INTERES  CUOTA]]</f>
        <v>#NUM!</v>
      </c>
      <c r="U3582" s="61" t="str">
        <f t="shared" si="569"/>
        <v/>
      </c>
    </row>
    <row r="3583" spans="9:21" ht="24.75" customHeight="1" x14ac:dyDescent="0.35">
      <c r="I3583" s="42">
        <f t="shared" si="560"/>
        <v>0</v>
      </c>
      <c r="J3583" s="65" t="e">
        <f t="shared" si="561"/>
        <v>#NUM!</v>
      </c>
      <c r="K3583" s="83" t="e">
        <f t="shared" si="562"/>
        <v>#NUM!</v>
      </c>
      <c r="L3583" s="83">
        <f t="shared" si="563"/>
        <v>0</v>
      </c>
      <c r="M3583" s="110" t="str">
        <f t="shared" si="564"/>
        <v/>
      </c>
      <c r="N3583" s="51" t="str">
        <f t="shared" si="565"/>
        <v/>
      </c>
      <c r="O3583" s="52" t="str">
        <f t="shared" si="566"/>
        <v/>
      </c>
      <c r="P3583" s="88">
        <f t="shared" si="567"/>
        <v>0</v>
      </c>
      <c r="Q3583" s="88">
        <f t="shared" si="568"/>
        <v>0</v>
      </c>
      <c r="R3583" s="88" t="e">
        <f>-IF(Tabla14[[#This Row],[DIAS HABILES O MORA]]&lt;0,(Tabla14[[#This Row],[VALOR PRESTAMO]]*Tabla14[[#This Row],[% INTERES ]]/30*U3583))+Tabla14[[#This Row],[VALOR CUOTAS]]</f>
        <v>#VALUE!</v>
      </c>
      <c r="S3583" s="88">
        <f>-IF(Tabla14[[#This Row],[DIAS HABILES O MORA]]&lt;0,(Tabla14[[#This Row],[VALOR PRESTAMO]]*Tabla14[[#This Row],[% INTERES ]]/30*U3583))</f>
        <v>0</v>
      </c>
      <c r="T3583" s="53" t="e">
        <f>Tabla14[[#This Row],[DEUDA CAPITAL]]+Tabla14[[#This Row],[INTERES  CUOTA]]</f>
        <v>#NUM!</v>
      </c>
      <c r="U3583" s="61" t="str">
        <f t="shared" si="569"/>
        <v/>
      </c>
    </row>
    <row r="3584" spans="9:21" ht="24.75" customHeight="1" x14ac:dyDescent="0.35">
      <c r="I3584" s="42">
        <f t="shared" si="560"/>
        <v>0</v>
      </c>
      <c r="J3584" s="65" t="e">
        <f t="shared" si="561"/>
        <v>#NUM!</v>
      </c>
      <c r="K3584" s="83" t="e">
        <f t="shared" si="562"/>
        <v>#NUM!</v>
      </c>
      <c r="L3584" s="83">
        <f t="shared" si="563"/>
        <v>0</v>
      </c>
      <c r="M3584" s="110" t="str">
        <f t="shared" si="564"/>
        <v/>
      </c>
      <c r="N3584" s="51" t="str">
        <f t="shared" si="565"/>
        <v/>
      </c>
      <c r="O3584" s="52" t="str">
        <f t="shared" si="566"/>
        <v/>
      </c>
      <c r="P3584" s="88">
        <f t="shared" si="567"/>
        <v>0</v>
      </c>
      <c r="Q3584" s="88">
        <f t="shared" si="568"/>
        <v>0</v>
      </c>
      <c r="R3584" s="88" t="e">
        <f>-IF(Tabla14[[#This Row],[DIAS HABILES O MORA]]&lt;0,(Tabla14[[#This Row],[VALOR PRESTAMO]]*Tabla14[[#This Row],[% INTERES ]]/30*U3584))+Tabla14[[#This Row],[VALOR CUOTAS]]</f>
        <v>#VALUE!</v>
      </c>
      <c r="S3584" s="88">
        <f>-IF(Tabla14[[#This Row],[DIAS HABILES O MORA]]&lt;0,(Tabla14[[#This Row],[VALOR PRESTAMO]]*Tabla14[[#This Row],[% INTERES ]]/30*U3584))</f>
        <v>0</v>
      </c>
      <c r="T3584" s="53" t="e">
        <f>Tabla14[[#This Row],[DEUDA CAPITAL]]+Tabla14[[#This Row],[INTERES  CUOTA]]</f>
        <v>#NUM!</v>
      </c>
      <c r="U3584" s="61" t="str">
        <f t="shared" si="569"/>
        <v/>
      </c>
    </row>
    <row r="3585" spans="9:21" ht="24.75" customHeight="1" x14ac:dyDescent="0.35">
      <c r="I3585" s="42">
        <f t="shared" si="560"/>
        <v>0</v>
      </c>
      <c r="J3585" s="65" t="e">
        <f t="shared" si="561"/>
        <v>#NUM!</v>
      </c>
      <c r="K3585" s="83" t="e">
        <f t="shared" si="562"/>
        <v>#NUM!</v>
      </c>
      <c r="L3585" s="83">
        <f t="shared" si="563"/>
        <v>0</v>
      </c>
      <c r="M3585" s="110" t="str">
        <f t="shared" si="564"/>
        <v/>
      </c>
      <c r="N3585" s="51" t="str">
        <f t="shared" si="565"/>
        <v/>
      </c>
      <c r="O3585" s="52" t="str">
        <f t="shared" si="566"/>
        <v/>
      </c>
      <c r="P3585" s="88">
        <f t="shared" si="567"/>
        <v>0</v>
      </c>
      <c r="Q3585" s="88">
        <f t="shared" si="568"/>
        <v>0</v>
      </c>
      <c r="R3585" s="88" t="e">
        <f>-IF(Tabla14[[#This Row],[DIAS HABILES O MORA]]&lt;0,(Tabla14[[#This Row],[VALOR PRESTAMO]]*Tabla14[[#This Row],[% INTERES ]]/30*U3585))+Tabla14[[#This Row],[VALOR CUOTAS]]</f>
        <v>#VALUE!</v>
      </c>
      <c r="S3585" s="88">
        <f>-IF(Tabla14[[#This Row],[DIAS HABILES O MORA]]&lt;0,(Tabla14[[#This Row],[VALOR PRESTAMO]]*Tabla14[[#This Row],[% INTERES ]]/30*U3585))</f>
        <v>0</v>
      </c>
      <c r="T3585" s="53" t="e">
        <f>Tabla14[[#This Row],[DEUDA CAPITAL]]+Tabla14[[#This Row],[INTERES  CUOTA]]</f>
        <v>#NUM!</v>
      </c>
      <c r="U3585" s="61" t="str">
        <f t="shared" si="569"/>
        <v/>
      </c>
    </row>
    <row r="3586" spans="9:21" ht="24.75" customHeight="1" x14ac:dyDescent="0.35">
      <c r="I3586" s="42">
        <f t="shared" si="560"/>
        <v>0</v>
      </c>
      <c r="J3586" s="65" t="e">
        <f t="shared" si="561"/>
        <v>#NUM!</v>
      </c>
      <c r="K3586" s="83" t="e">
        <f t="shared" si="562"/>
        <v>#NUM!</v>
      </c>
      <c r="L3586" s="83">
        <f t="shared" si="563"/>
        <v>0</v>
      </c>
      <c r="M3586" s="110" t="str">
        <f t="shared" si="564"/>
        <v/>
      </c>
      <c r="N3586" s="51" t="str">
        <f t="shared" si="565"/>
        <v/>
      </c>
      <c r="O3586" s="52" t="str">
        <f t="shared" si="566"/>
        <v/>
      </c>
      <c r="P3586" s="88">
        <f t="shared" si="567"/>
        <v>0</v>
      </c>
      <c r="Q3586" s="88">
        <f t="shared" si="568"/>
        <v>0</v>
      </c>
      <c r="R3586" s="88" t="e">
        <f>-IF(Tabla14[[#This Row],[DIAS HABILES O MORA]]&lt;0,(Tabla14[[#This Row],[VALOR PRESTAMO]]*Tabla14[[#This Row],[% INTERES ]]/30*U3586))+Tabla14[[#This Row],[VALOR CUOTAS]]</f>
        <v>#VALUE!</v>
      </c>
      <c r="S3586" s="88">
        <f>-IF(Tabla14[[#This Row],[DIAS HABILES O MORA]]&lt;0,(Tabla14[[#This Row],[VALOR PRESTAMO]]*Tabla14[[#This Row],[% INTERES ]]/30*U3586))</f>
        <v>0</v>
      </c>
      <c r="T3586" s="53" t="e">
        <f>Tabla14[[#This Row],[DEUDA CAPITAL]]+Tabla14[[#This Row],[INTERES  CUOTA]]</f>
        <v>#NUM!</v>
      </c>
      <c r="U3586" s="61" t="str">
        <f t="shared" si="569"/>
        <v/>
      </c>
    </row>
    <row r="3587" spans="9:21" ht="24.75" customHeight="1" x14ac:dyDescent="0.35">
      <c r="I3587" s="42">
        <f t="shared" si="560"/>
        <v>0</v>
      </c>
      <c r="J3587" s="65" t="e">
        <f t="shared" si="561"/>
        <v>#NUM!</v>
      </c>
      <c r="K3587" s="83" t="e">
        <f t="shared" si="562"/>
        <v>#NUM!</v>
      </c>
      <c r="L3587" s="83">
        <f t="shared" si="563"/>
        <v>0</v>
      </c>
      <c r="M3587" s="110" t="str">
        <f t="shared" si="564"/>
        <v/>
      </c>
      <c r="N3587" s="51" t="str">
        <f t="shared" si="565"/>
        <v/>
      </c>
      <c r="O3587" s="52" t="str">
        <f t="shared" si="566"/>
        <v/>
      </c>
      <c r="P3587" s="88">
        <f t="shared" si="567"/>
        <v>0</v>
      </c>
      <c r="Q3587" s="88">
        <f t="shared" si="568"/>
        <v>0</v>
      </c>
      <c r="R3587" s="88" t="e">
        <f>-IF(Tabla14[[#This Row],[DIAS HABILES O MORA]]&lt;0,(Tabla14[[#This Row],[VALOR PRESTAMO]]*Tabla14[[#This Row],[% INTERES ]]/30*U3587))+Tabla14[[#This Row],[VALOR CUOTAS]]</f>
        <v>#VALUE!</v>
      </c>
      <c r="S3587" s="88">
        <f>-IF(Tabla14[[#This Row],[DIAS HABILES O MORA]]&lt;0,(Tabla14[[#This Row],[VALOR PRESTAMO]]*Tabla14[[#This Row],[% INTERES ]]/30*U3587))</f>
        <v>0</v>
      </c>
      <c r="T3587" s="53" t="e">
        <f>Tabla14[[#This Row],[DEUDA CAPITAL]]+Tabla14[[#This Row],[INTERES  CUOTA]]</f>
        <v>#NUM!</v>
      </c>
      <c r="U3587" s="61" t="str">
        <f t="shared" si="569"/>
        <v/>
      </c>
    </row>
    <row r="3588" spans="9:21" ht="24.75" customHeight="1" x14ac:dyDescent="0.35">
      <c r="I3588" s="42">
        <f t="shared" si="560"/>
        <v>0</v>
      </c>
      <c r="J3588" s="65" t="e">
        <f t="shared" si="561"/>
        <v>#NUM!</v>
      </c>
      <c r="K3588" s="83" t="e">
        <f t="shared" si="562"/>
        <v>#NUM!</v>
      </c>
      <c r="L3588" s="83">
        <f t="shared" si="563"/>
        <v>0</v>
      </c>
      <c r="M3588" s="110" t="str">
        <f t="shared" si="564"/>
        <v/>
      </c>
      <c r="N3588" s="51" t="str">
        <f t="shared" si="565"/>
        <v/>
      </c>
      <c r="O3588" s="52" t="str">
        <f t="shared" si="566"/>
        <v/>
      </c>
      <c r="P3588" s="88">
        <f t="shared" si="567"/>
        <v>0</v>
      </c>
      <c r="Q3588" s="88">
        <f t="shared" si="568"/>
        <v>0</v>
      </c>
      <c r="R3588" s="88" t="e">
        <f>-IF(Tabla14[[#This Row],[DIAS HABILES O MORA]]&lt;0,(Tabla14[[#This Row],[VALOR PRESTAMO]]*Tabla14[[#This Row],[% INTERES ]]/30*U3588))+Tabla14[[#This Row],[VALOR CUOTAS]]</f>
        <v>#VALUE!</v>
      </c>
      <c r="S3588" s="88">
        <f>-IF(Tabla14[[#This Row],[DIAS HABILES O MORA]]&lt;0,(Tabla14[[#This Row],[VALOR PRESTAMO]]*Tabla14[[#This Row],[% INTERES ]]/30*U3588))</f>
        <v>0</v>
      </c>
      <c r="T3588" s="53" t="e">
        <f>Tabla14[[#This Row],[DEUDA CAPITAL]]+Tabla14[[#This Row],[INTERES  CUOTA]]</f>
        <v>#NUM!</v>
      </c>
      <c r="U3588" s="61" t="str">
        <f t="shared" si="569"/>
        <v/>
      </c>
    </row>
    <row r="3589" spans="9:21" ht="24.75" customHeight="1" x14ac:dyDescent="0.35">
      <c r="I3589" s="42">
        <f t="shared" si="560"/>
        <v>0</v>
      </c>
      <c r="J3589" s="65" t="e">
        <f t="shared" si="561"/>
        <v>#NUM!</v>
      </c>
      <c r="K3589" s="83" t="e">
        <f t="shared" si="562"/>
        <v>#NUM!</v>
      </c>
      <c r="L3589" s="83">
        <f t="shared" si="563"/>
        <v>0</v>
      </c>
      <c r="M3589" s="110" t="str">
        <f t="shared" si="564"/>
        <v/>
      </c>
      <c r="N3589" s="51" t="str">
        <f t="shared" si="565"/>
        <v/>
      </c>
      <c r="O3589" s="52" t="str">
        <f t="shared" si="566"/>
        <v/>
      </c>
      <c r="P3589" s="88">
        <f t="shared" si="567"/>
        <v>0</v>
      </c>
      <c r="Q3589" s="88">
        <f t="shared" si="568"/>
        <v>0</v>
      </c>
      <c r="R3589" s="88" t="e">
        <f>-IF(Tabla14[[#This Row],[DIAS HABILES O MORA]]&lt;0,(Tabla14[[#This Row],[VALOR PRESTAMO]]*Tabla14[[#This Row],[% INTERES ]]/30*U3589))+Tabla14[[#This Row],[VALOR CUOTAS]]</f>
        <v>#VALUE!</v>
      </c>
      <c r="S3589" s="88">
        <f>-IF(Tabla14[[#This Row],[DIAS HABILES O MORA]]&lt;0,(Tabla14[[#This Row],[VALOR PRESTAMO]]*Tabla14[[#This Row],[% INTERES ]]/30*U3589))</f>
        <v>0</v>
      </c>
      <c r="T3589" s="53" t="e">
        <f>Tabla14[[#This Row],[DEUDA CAPITAL]]+Tabla14[[#This Row],[INTERES  CUOTA]]</f>
        <v>#NUM!</v>
      </c>
      <c r="U3589" s="61" t="str">
        <f t="shared" si="569"/>
        <v/>
      </c>
    </row>
    <row r="3590" spans="9:21" ht="24.75" customHeight="1" x14ac:dyDescent="0.35">
      <c r="I3590" s="42">
        <f t="shared" si="560"/>
        <v>0</v>
      </c>
      <c r="J3590" s="65" t="e">
        <f t="shared" si="561"/>
        <v>#NUM!</v>
      </c>
      <c r="K3590" s="83" t="e">
        <f t="shared" si="562"/>
        <v>#NUM!</v>
      </c>
      <c r="L3590" s="83">
        <f t="shared" si="563"/>
        <v>0</v>
      </c>
      <c r="M3590" s="110" t="str">
        <f t="shared" si="564"/>
        <v/>
      </c>
      <c r="N3590" s="51" t="str">
        <f t="shared" si="565"/>
        <v/>
      </c>
      <c r="O3590" s="52" t="str">
        <f t="shared" si="566"/>
        <v/>
      </c>
      <c r="P3590" s="88">
        <f t="shared" si="567"/>
        <v>0</v>
      </c>
      <c r="Q3590" s="88">
        <f t="shared" si="568"/>
        <v>0</v>
      </c>
      <c r="R3590" s="88" t="e">
        <f>-IF(Tabla14[[#This Row],[DIAS HABILES O MORA]]&lt;0,(Tabla14[[#This Row],[VALOR PRESTAMO]]*Tabla14[[#This Row],[% INTERES ]]/30*U3590))+Tabla14[[#This Row],[VALOR CUOTAS]]</f>
        <v>#VALUE!</v>
      </c>
      <c r="S3590" s="88">
        <f>-IF(Tabla14[[#This Row],[DIAS HABILES O MORA]]&lt;0,(Tabla14[[#This Row],[VALOR PRESTAMO]]*Tabla14[[#This Row],[% INTERES ]]/30*U3590))</f>
        <v>0</v>
      </c>
      <c r="T3590" s="53" t="e">
        <f>Tabla14[[#This Row],[DEUDA CAPITAL]]+Tabla14[[#This Row],[INTERES  CUOTA]]</f>
        <v>#NUM!</v>
      </c>
      <c r="U3590" s="61" t="str">
        <f t="shared" si="569"/>
        <v/>
      </c>
    </row>
    <row r="3591" spans="9:21" ht="24.75" customHeight="1" x14ac:dyDescent="0.35">
      <c r="I3591" s="42">
        <f t="shared" si="560"/>
        <v>0</v>
      </c>
      <c r="J3591" s="65" t="e">
        <f t="shared" si="561"/>
        <v>#NUM!</v>
      </c>
      <c r="K3591" s="83" t="e">
        <f t="shared" si="562"/>
        <v>#NUM!</v>
      </c>
      <c r="L3591" s="83">
        <f t="shared" si="563"/>
        <v>0</v>
      </c>
      <c r="M3591" s="110" t="str">
        <f t="shared" si="564"/>
        <v/>
      </c>
      <c r="N3591" s="51" t="str">
        <f t="shared" si="565"/>
        <v/>
      </c>
      <c r="O3591" s="52" t="str">
        <f t="shared" si="566"/>
        <v/>
      </c>
      <c r="P3591" s="88">
        <f t="shared" si="567"/>
        <v>0</v>
      </c>
      <c r="Q3591" s="88">
        <f t="shared" si="568"/>
        <v>0</v>
      </c>
      <c r="R3591" s="88" t="e">
        <f>-IF(Tabla14[[#This Row],[DIAS HABILES O MORA]]&lt;0,(Tabla14[[#This Row],[VALOR PRESTAMO]]*Tabla14[[#This Row],[% INTERES ]]/30*U3591))+Tabla14[[#This Row],[VALOR CUOTAS]]</f>
        <v>#VALUE!</v>
      </c>
      <c r="S3591" s="88">
        <f>-IF(Tabla14[[#This Row],[DIAS HABILES O MORA]]&lt;0,(Tabla14[[#This Row],[VALOR PRESTAMO]]*Tabla14[[#This Row],[% INTERES ]]/30*U3591))</f>
        <v>0</v>
      </c>
      <c r="T3591" s="53" t="e">
        <f>Tabla14[[#This Row],[DEUDA CAPITAL]]+Tabla14[[#This Row],[INTERES  CUOTA]]</f>
        <v>#NUM!</v>
      </c>
      <c r="U3591" s="61" t="str">
        <f t="shared" si="569"/>
        <v/>
      </c>
    </row>
    <row r="3592" spans="9:21" ht="24.75" customHeight="1" x14ac:dyDescent="0.35">
      <c r="I3592" s="42">
        <f t="shared" si="560"/>
        <v>0</v>
      </c>
      <c r="J3592" s="65" t="e">
        <f t="shared" si="561"/>
        <v>#NUM!</v>
      </c>
      <c r="K3592" s="83" t="e">
        <f t="shared" si="562"/>
        <v>#NUM!</v>
      </c>
      <c r="L3592" s="83">
        <f t="shared" si="563"/>
        <v>0</v>
      </c>
      <c r="M3592" s="110" t="str">
        <f t="shared" si="564"/>
        <v/>
      </c>
      <c r="N3592" s="51" t="str">
        <f t="shared" si="565"/>
        <v/>
      </c>
      <c r="O3592" s="52" t="str">
        <f t="shared" si="566"/>
        <v/>
      </c>
      <c r="P3592" s="88">
        <f t="shared" si="567"/>
        <v>0</v>
      </c>
      <c r="Q3592" s="88">
        <f t="shared" si="568"/>
        <v>0</v>
      </c>
      <c r="R3592" s="88" t="e">
        <f>-IF(Tabla14[[#This Row],[DIAS HABILES O MORA]]&lt;0,(Tabla14[[#This Row],[VALOR PRESTAMO]]*Tabla14[[#This Row],[% INTERES ]]/30*U3592))+Tabla14[[#This Row],[VALOR CUOTAS]]</f>
        <v>#VALUE!</v>
      </c>
      <c r="S3592" s="88">
        <f>-IF(Tabla14[[#This Row],[DIAS HABILES O MORA]]&lt;0,(Tabla14[[#This Row],[VALOR PRESTAMO]]*Tabla14[[#This Row],[% INTERES ]]/30*U3592))</f>
        <v>0</v>
      </c>
      <c r="T3592" s="53" t="e">
        <f>Tabla14[[#This Row],[DEUDA CAPITAL]]+Tabla14[[#This Row],[INTERES  CUOTA]]</f>
        <v>#NUM!</v>
      </c>
      <c r="U3592" s="61" t="str">
        <f t="shared" si="569"/>
        <v/>
      </c>
    </row>
    <row r="3593" spans="9:21" ht="24.75" customHeight="1" x14ac:dyDescent="0.35">
      <c r="I3593" s="42">
        <f t="shared" si="560"/>
        <v>0</v>
      </c>
      <c r="J3593" s="65" t="e">
        <f t="shared" si="561"/>
        <v>#NUM!</v>
      </c>
      <c r="K3593" s="83" t="e">
        <f t="shared" si="562"/>
        <v>#NUM!</v>
      </c>
      <c r="L3593" s="83">
        <f t="shared" si="563"/>
        <v>0</v>
      </c>
      <c r="M3593" s="110" t="str">
        <f t="shared" si="564"/>
        <v/>
      </c>
      <c r="N3593" s="51" t="str">
        <f t="shared" si="565"/>
        <v/>
      </c>
      <c r="O3593" s="52" t="str">
        <f t="shared" si="566"/>
        <v/>
      </c>
      <c r="P3593" s="88">
        <f t="shared" si="567"/>
        <v>0</v>
      </c>
      <c r="Q3593" s="88">
        <f t="shared" si="568"/>
        <v>0</v>
      </c>
      <c r="R3593" s="88" t="e">
        <f>-IF(Tabla14[[#This Row],[DIAS HABILES O MORA]]&lt;0,(Tabla14[[#This Row],[VALOR PRESTAMO]]*Tabla14[[#This Row],[% INTERES ]]/30*U3593))+Tabla14[[#This Row],[VALOR CUOTAS]]</f>
        <v>#VALUE!</v>
      </c>
      <c r="S3593" s="88">
        <f>-IF(Tabla14[[#This Row],[DIAS HABILES O MORA]]&lt;0,(Tabla14[[#This Row],[VALOR PRESTAMO]]*Tabla14[[#This Row],[% INTERES ]]/30*U3593))</f>
        <v>0</v>
      </c>
      <c r="T3593" s="53" t="e">
        <f>Tabla14[[#This Row],[DEUDA CAPITAL]]+Tabla14[[#This Row],[INTERES  CUOTA]]</f>
        <v>#NUM!</v>
      </c>
      <c r="U3593" s="61" t="str">
        <f t="shared" si="569"/>
        <v/>
      </c>
    </row>
    <row r="3594" spans="9:21" ht="24.75" customHeight="1" x14ac:dyDescent="0.35">
      <c r="I3594" s="42">
        <f t="shared" si="560"/>
        <v>0</v>
      </c>
      <c r="J3594" s="65" t="e">
        <f t="shared" si="561"/>
        <v>#NUM!</v>
      </c>
      <c r="K3594" s="83" t="e">
        <f t="shared" si="562"/>
        <v>#NUM!</v>
      </c>
      <c r="L3594" s="83">
        <f t="shared" si="563"/>
        <v>0</v>
      </c>
      <c r="M3594" s="110" t="str">
        <f t="shared" si="564"/>
        <v/>
      </c>
      <c r="N3594" s="51" t="str">
        <f t="shared" si="565"/>
        <v/>
      </c>
      <c r="O3594" s="52" t="str">
        <f t="shared" si="566"/>
        <v/>
      </c>
      <c r="P3594" s="88">
        <f t="shared" si="567"/>
        <v>0</v>
      </c>
      <c r="Q3594" s="88">
        <f t="shared" si="568"/>
        <v>0</v>
      </c>
      <c r="R3594" s="88" t="e">
        <f>-IF(Tabla14[[#This Row],[DIAS HABILES O MORA]]&lt;0,(Tabla14[[#This Row],[VALOR PRESTAMO]]*Tabla14[[#This Row],[% INTERES ]]/30*U3594))+Tabla14[[#This Row],[VALOR CUOTAS]]</f>
        <v>#VALUE!</v>
      </c>
      <c r="S3594" s="88">
        <f>-IF(Tabla14[[#This Row],[DIAS HABILES O MORA]]&lt;0,(Tabla14[[#This Row],[VALOR PRESTAMO]]*Tabla14[[#This Row],[% INTERES ]]/30*U3594))</f>
        <v>0</v>
      </c>
      <c r="T3594" s="53" t="e">
        <f>Tabla14[[#This Row],[DEUDA CAPITAL]]+Tabla14[[#This Row],[INTERES  CUOTA]]</f>
        <v>#NUM!</v>
      </c>
      <c r="U3594" s="61" t="str">
        <f t="shared" si="569"/>
        <v/>
      </c>
    </row>
    <row r="3595" spans="9:21" ht="24.75" customHeight="1" x14ac:dyDescent="0.35">
      <c r="I3595" s="42">
        <f t="shared" si="560"/>
        <v>0</v>
      </c>
      <c r="J3595" s="65" t="e">
        <f t="shared" si="561"/>
        <v>#NUM!</v>
      </c>
      <c r="K3595" s="83" t="e">
        <f t="shared" si="562"/>
        <v>#NUM!</v>
      </c>
      <c r="L3595" s="83">
        <f t="shared" si="563"/>
        <v>0</v>
      </c>
      <c r="M3595" s="110" t="str">
        <f t="shared" si="564"/>
        <v/>
      </c>
      <c r="N3595" s="51" t="str">
        <f t="shared" si="565"/>
        <v/>
      </c>
      <c r="O3595" s="52" t="str">
        <f t="shared" si="566"/>
        <v/>
      </c>
      <c r="P3595" s="88">
        <f t="shared" si="567"/>
        <v>0</v>
      </c>
      <c r="Q3595" s="88">
        <f t="shared" si="568"/>
        <v>0</v>
      </c>
      <c r="R3595" s="88" t="e">
        <f>-IF(Tabla14[[#This Row],[DIAS HABILES O MORA]]&lt;0,(Tabla14[[#This Row],[VALOR PRESTAMO]]*Tabla14[[#This Row],[% INTERES ]]/30*U3595))+Tabla14[[#This Row],[VALOR CUOTAS]]</f>
        <v>#VALUE!</v>
      </c>
      <c r="S3595" s="88">
        <f>-IF(Tabla14[[#This Row],[DIAS HABILES O MORA]]&lt;0,(Tabla14[[#This Row],[VALOR PRESTAMO]]*Tabla14[[#This Row],[% INTERES ]]/30*U3595))</f>
        <v>0</v>
      </c>
      <c r="T3595" s="53" t="e">
        <f>Tabla14[[#This Row],[DEUDA CAPITAL]]+Tabla14[[#This Row],[INTERES  CUOTA]]</f>
        <v>#NUM!</v>
      </c>
      <c r="U3595" s="61" t="str">
        <f t="shared" si="569"/>
        <v/>
      </c>
    </row>
    <row r="3596" spans="9:21" ht="24.75" customHeight="1" x14ac:dyDescent="0.35">
      <c r="I3596" s="42">
        <f t="shared" si="560"/>
        <v>0</v>
      </c>
      <c r="J3596" s="65" t="e">
        <f t="shared" si="561"/>
        <v>#NUM!</v>
      </c>
      <c r="K3596" s="83" t="e">
        <f t="shared" si="562"/>
        <v>#NUM!</v>
      </c>
      <c r="L3596" s="83">
        <f t="shared" si="563"/>
        <v>0</v>
      </c>
      <c r="M3596" s="110" t="str">
        <f t="shared" si="564"/>
        <v/>
      </c>
      <c r="N3596" s="51" t="str">
        <f t="shared" si="565"/>
        <v/>
      </c>
      <c r="O3596" s="52" t="str">
        <f t="shared" si="566"/>
        <v/>
      </c>
      <c r="P3596" s="88">
        <f t="shared" si="567"/>
        <v>0</v>
      </c>
      <c r="Q3596" s="88">
        <f t="shared" si="568"/>
        <v>0</v>
      </c>
      <c r="R3596" s="88" t="e">
        <f>-IF(Tabla14[[#This Row],[DIAS HABILES O MORA]]&lt;0,(Tabla14[[#This Row],[VALOR PRESTAMO]]*Tabla14[[#This Row],[% INTERES ]]/30*U3596))+Tabla14[[#This Row],[VALOR CUOTAS]]</f>
        <v>#VALUE!</v>
      </c>
      <c r="S3596" s="88">
        <f>-IF(Tabla14[[#This Row],[DIAS HABILES O MORA]]&lt;0,(Tabla14[[#This Row],[VALOR PRESTAMO]]*Tabla14[[#This Row],[% INTERES ]]/30*U3596))</f>
        <v>0</v>
      </c>
      <c r="T3596" s="53" t="e">
        <f>Tabla14[[#This Row],[DEUDA CAPITAL]]+Tabla14[[#This Row],[INTERES  CUOTA]]</f>
        <v>#NUM!</v>
      </c>
      <c r="U3596" s="61" t="str">
        <f t="shared" si="569"/>
        <v/>
      </c>
    </row>
    <row r="3597" spans="9:21" ht="24.75" customHeight="1" x14ac:dyDescent="0.35">
      <c r="I3597" s="42">
        <f t="shared" si="560"/>
        <v>0</v>
      </c>
      <c r="J3597" s="65" t="e">
        <f t="shared" si="561"/>
        <v>#NUM!</v>
      </c>
      <c r="K3597" s="83" t="e">
        <f t="shared" si="562"/>
        <v>#NUM!</v>
      </c>
      <c r="L3597" s="83">
        <f t="shared" si="563"/>
        <v>0</v>
      </c>
      <c r="M3597" s="110" t="str">
        <f t="shared" si="564"/>
        <v/>
      </c>
      <c r="N3597" s="51" t="str">
        <f t="shared" si="565"/>
        <v/>
      </c>
      <c r="O3597" s="52" t="str">
        <f t="shared" si="566"/>
        <v/>
      </c>
      <c r="P3597" s="88">
        <f t="shared" si="567"/>
        <v>0</v>
      </c>
      <c r="Q3597" s="88">
        <f t="shared" si="568"/>
        <v>0</v>
      </c>
      <c r="R3597" s="88" t="e">
        <f>-IF(Tabla14[[#This Row],[DIAS HABILES O MORA]]&lt;0,(Tabla14[[#This Row],[VALOR PRESTAMO]]*Tabla14[[#This Row],[% INTERES ]]/30*U3597))+Tabla14[[#This Row],[VALOR CUOTAS]]</f>
        <v>#VALUE!</v>
      </c>
      <c r="S3597" s="88">
        <f>-IF(Tabla14[[#This Row],[DIAS HABILES O MORA]]&lt;0,(Tabla14[[#This Row],[VALOR PRESTAMO]]*Tabla14[[#This Row],[% INTERES ]]/30*U3597))</f>
        <v>0</v>
      </c>
      <c r="T3597" s="53" t="e">
        <f>Tabla14[[#This Row],[DEUDA CAPITAL]]+Tabla14[[#This Row],[INTERES  CUOTA]]</f>
        <v>#NUM!</v>
      </c>
      <c r="U3597" s="61" t="str">
        <f t="shared" si="569"/>
        <v/>
      </c>
    </row>
    <row r="3598" spans="9:21" ht="24.75" customHeight="1" x14ac:dyDescent="0.35">
      <c r="I3598" s="42">
        <f t="shared" si="560"/>
        <v>0</v>
      </c>
      <c r="J3598" s="65" t="e">
        <f t="shared" si="561"/>
        <v>#NUM!</v>
      </c>
      <c r="K3598" s="83" t="e">
        <f t="shared" si="562"/>
        <v>#NUM!</v>
      </c>
      <c r="L3598" s="83">
        <f t="shared" si="563"/>
        <v>0</v>
      </c>
      <c r="M3598" s="110" t="str">
        <f t="shared" si="564"/>
        <v/>
      </c>
      <c r="N3598" s="51" t="str">
        <f t="shared" si="565"/>
        <v/>
      </c>
      <c r="O3598" s="52" t="str">
        <f t="shared" si="566"/>
        <v/>
      </c>
      <c r="P3598" s="88">
        <f t="shared" si="567"/>
        <v>0</v>
      </c>
      <c r="Q3598" s="88">
        <f t="shared" si="568"/>
        <v>0</v>
      </c>
      <c r="R3598" s="88" t="e">
        <f>-IF(Tabla14[[#This Row],[DIAS HABILES O MORA]]&lt;0,(Tabla14[[#This Row],[VALOR PRESTAMO]]*Tabla14[[#This Row],[% INTERES ]]/30*U3598))+Tabla14[[#This Row],[VALOR CUOTAS]]</f>
        <v>#VALUE!</v>
      </c>
      <c r="S3598" s="88">
        <f>-IF(Tabla14[[#This Row],[DIAS HABILES O MORA]]&lt;0,(Tabla14[[#This Row],[VALOR PRESTAMO]]*Tabla14[[#This Row],[% INTERES ]]/30*U3598))</f>
        <v>0</v>
      </c>
      <c r="T3598" s="53" t="e">
        <f>Tabla14[[#This Row],[DEUDA CAPITAL]]+Tabla14[[#This Row],[INTERES  CUOTA]]</f>
        <v>#NUM!</v>
      </c>
      <c r="U3598" s="61" t="str">
        <f t="shared" si="569"/>
        <v/>
      </c>
    </row>
    <row r="3599" spans="9:21" ht="24.75" customHeight="1" x14ac:dyDescent="0.35">
      <c r="I3599" s="42">
        <f t="shared" si="560"/>
        <v>0</v>
      </c>
      <c r="J3599" s="65" t="e">
        <f t="shared" si="561"/>
        <v>#NUM!</v>
      </c>
      <c r="K3599" s="83" t="e">
        <f t="shared" si="562"/>
        <v>#NUM!</v>
      </c>
      <c r="L3599" s="83">
        <f t="shared" si="563"/>
        <v>0</v>
      </c>
      <c r="M3599" s="110" t="str">
        <f t="shared" si="564"/>
        <v/>
      </c>
      <c r="N3599" s="51" t="str">
        <f t="shared" si="565"/>
        <v/>
      </c>
      <c r="O3599" s="52" t="str">
        <f t="shared" si="566"/>
        <v/>
      </c>
      <c r="P3599" s="88">
        <f t="shared" si="567"/>
        <v>0</v>
      </c>
      <c r="Q3599" s="88">
        <f t="shared" si="568"/>
        <v>0</v>
      </c>
      <c r="R3599" s="88" t="e">
        <f>-IF(Tabla14[[#This Row],[DIAS HABILES O MORA]]&lt;0,(Tabla14[[#This Row],[VALOR PRESTAMO]]*Tabla14[[#This Row],[% INTERES ]]/30*U3599))+Tabla14[[#This Row],[VALOR CUOTAS]]</f>
        <v>#VALUE!</v>
      </c>
      <c r="S3599" s="88">
        <f>-IF(Tabla14[[#This Row],[DIAS HABILES O MORA]]&lt;0,(Tabla14[[#This Row],[VALOR PRESTAMO]]*Tabla14[[#This Row],[% INTERES ]]/30*U3599))</f>
        <v>0</v>
      </c>
      <c r="T3599" s="53" t="e">
        <f>Tabla14[[#This Row],[DEUDA CAPITAL]]+Tabla14[[#This Row],[INTERES  CUOTA]]</f>
        <v>#NUM!</v>
      </c>
      <c r="U3599" s="61" t="str">
        <f t="shared" si="569"/>
        <v/>
      </c>
    </row>
    <row r="3600" spans="9:21" ht="24.75" customHeight="1" x14ac:dyDescent="0.35">
      <c r="I3600" s="42">
        <f t="shared" ref="I3600:I3663" si="570">IF(C3600&lt;0,"",IF(Q3600=0,0,IF(G3600=0,H3600+1,IF(H3600&lt;G3600,H3600+1,IF(G3600=H3600,0)))))</f>
        <v>0</v>
      </c>
      <c r="J3600" s="65" t="e">
        <f t="shared" ref="J3600:J3663" si="571">IF(F3600="SOLO INTERES",Q3600*D3600,-IPMT(D3600,I3600,G3600,C3600))</f>
        <v>#NUM!</v>
      </c>
      <c r="K3600" s="83" t="e">
        <f t="shared" ref="K3600:K3663" si="572">IF(F3600="SOLO INTERES",0,-PPMT(D3600,I3600,G3600,C3600))</f>
        <v>#NUM!</v>
      </c>
      <c r="L3600" s="83">
        <f t="shared" ref="L3600:L3663" si="573">IF(F3600="SOLO INTERES",SUM(Y3600:AAE3600),IFERROR(-CUMIPMT(D3600,G3600,C3600,1,H3600,0),0)+SUM(Y3600:WY3600))</f>
        <v>0</v>
      </c>
      <c r="M3600" s="110" t="str">
        <f t="shared" ref="M3600:M3663" si="574">IFERROR(IF(F3600="SOLO INTERES",Q3600*D3600,-PMT(D3600,G3600,C3600,0)),"")</f>
        <v/>
      </c>
      <c r="N3600" s="51" t="str">
        <f t="shared" ref="N3600:N3663" si="575">IF(Q3600=0,"",IF(E3600="MENSUAL",EDATE(B3600,I3600),IF(E3600="QUINCENAL",B3600+(I3600*15),IF(E3600="SEMANAL",B3600+(I3600*7)))))</f>
        <v/>
      </c>
      <c r="O3600" s="52" t="str">
        <f t="shared" ref="O3600:O3663" si="576">IF(C3600=0,"",IF(Q3600&lt;1,"PAGADO",IF(N3600=$A$3,"COBRAR HOY",IF(N3600&lt;$A$3,"EN MORA",IF(N3600&gt;$A$3,"AL DIA")))))</f>
        <v/>
      </c>
      <c r="P3600" s="88">
        <f t="shared" ref="P3600:P3663" si="577">IFERROR(-CUMPRINC(D3600,G3600,C3600,1,H3600,0),0)+W3600</f>
        <v>0</v>
      </c>
      <c r="Q3600" s="88">
        <f t="shared" ref="Q3600:Q3663" si="578">IFERROR(C3600-P3600,"")</f>
        <v>0</v>
      </c>
      <c r="R3600" s="88" t="e">
        <f>-IF(Tabla14[[#This Row],[DIAS HABILES O MORA]]&lt;0,(Tabla14[[#This Row],[VALOR PRESTAMO]]*Tabla14[[#This Row],[% INTERES ]]/30*U3600))+Tabla14[[#This Row],[VALOR CUOTAS]]</f>
        <v>#VALUE!</v>
      </c>
      <c r="S3600" s="88">
        <f>-IF(Tabla14[[#This Row],[DIAS HABILES O MORA]]&lt;0,(Tabla14[[#This Row],[VALOR PRESTAMO]]*Tabla14[[#This Row],[% INTERES ]]/30*U3600))</f>
        <v>0</v>
      </c>
      <c r="T3600" s="53" t="e">
        <f>Tabla14[[#This Row],[DEUDA CAPITAL]]+Tabla14[[#This Row],[INTERES  CUOTA]]</f>
        <v>#NUM!</v>
      </c>
      <c r="U3600" s="61" t="str">
        <f t="shared" ref="U3600:U3663" si="579">IF(O3600="PAGADO","",IFERROR(-IF(C3600=0,"",$A$3-N3600),""))</f>
        <v/>
      </c>
    </row>
    <row r="3601" spans="9:21" ht="24.75" customHeight="1" x14ac:dyDescent="0.35">
      <c r="I3601" s="42">
        <f t="shared" si="570"/>
        <v>0</v>
      </c>
      <c r="J3601" s="65" t="e">
        <f t="shared" si="571"/>
        <v>#NUM!</v>
      </c>
      <c r="K3601" s="83" t="e">
        <f t="shared" si="572"/>
        <v>#NUM!</v>
      </c>
      <c r="L3601" s="83">
        <f t="shared" si="573"/>
        <v>0</v>
      </c>
      <c r="M3601" s="110" t="str">
        <f t="shared" si="574"/>
        <v/>
      </c>
      <c r="N3601" s="51" t="str">
        <f t="shared" si="575"/>
        <v/>
      </c>
      <c r="O3601" s="52" t="str">
        <f t="shared" si="576"/>
        <v/>
      </c>
      <c r="P3601" s="88">
        <f t="shared" si="577"/>
        <v>0</v>
      </c>
      <c r="Q3601" s="88">
        <f t="shared" si="578"/>
        <v>0</v>
      </c>
      <c r="R3601" s="88" t="e">
        <f>-IF(Tabla14[[#This Row],[DIAS HABILES O MORA]]&lt;0,(Tabla14[[#This Row],[VALOR PRESTAMO]]*Tabla14[[#This Row],[% INTERES ]]/30*U3601))+Tabla14[[#This Row],[VALOR CUOTAS]]</f>
        <v>#VALUE!</v>
      </c>
      <c r="S3601" s="88">
        <f>-IF(Tabla14[[#This Row],[DIAS HABILES O MORA]]&lt;0,(Tabla14[[#This Row],[VALOR PRESTAMO]]*Tabla14[[#This Row],[% INTERES ]]/30*U3601))</f>
        <v>0</v>
      </c>
      <c r="T3601" s="53" t="e">
        <f>Tabla14[[#This Row],[DEUDA CAPITAL]]+Tabla14[[#This Row],[INTERES  CUOTA]]</f>
        <v>#NUM!</v>
      </c>
      <c r="U3601" s="61" t="str">
        <f t="shared" si="579"/>
        <v/>
      </c>
    </row>
    <row r="3602" spans="9:21" ht="24.75" customHeight="1" x14ac:dyDescent="0.35">
      <c r="I3602" s="42">
        <f t="shared" si="570"/>
        <v>0</v>
      </c>
      <c r="J3602" s="65" t="e">
        <f t="shared" si="571"/>
        <v>#NUM!</v>
      </c>
      <c r="K3602" s="83" t="e">
        <f t="shared" si="572"/>
        <v>#NUM!</v>
      </c>
      <c r="L3602" s="83">
        <f t="shared" si="573"/>
        <v>0</v>
      </c>
      <c r="M3602" s="110" t="str">
        <f t="shared" si="574"/>
        <v/>
      </c>
      <c r="N3602" s="51" t="str">
        <f t="shared" si="575"/>
        <v/>
      </c>
      <c r="O3602" s="52" t="str">
        <f t="shared" si="576"/>
        <v/>
      </c>
      <c r="P3602" s="88">
        <f t="shared" si="577"/>
        <v>0</v>
      </c>
      <c r="Q3602" s="88">
        <f t="shared" si="578"/>
        <v>0</v>
      </c>
      <c r="R3602" s="88" t="e">
        <f>-IF(Tabla14[[#This Row],[DIAS HABILES O MORA]]&lt;0,(Tabla14[[#This Row],[VALOR PRESTAMO]]*Tabla14[[#This Row],[% INTERES ]]/30*U3602))+Tabla14[[#This Row],[VALOR CUOTAS]]</f>
        <v>#VALUE!</v>
      </c>
      <c r="S3602" s="88">
        <f>-IF(Tabla14[[#This Row],[DIAS HABILES O MORA]]&lt;0,(Tabla14[[#This Row],[VALOR PRESTAMO]]*Tabla14[[#This Row],[% INTERES ]]/30*U3602))</f>
        <v>0</v>
      </c>
      <c r="T3602" s="53" t="e">
        <f>Tabla14[[#This Row],[DEUDA CAPITAL]]+Tabla14[[#This Row],[INTERES  CUOTA]]</f>
        <v>#NUM!</v>
      </c>
      <c r="U3602" s="61" t="str">
        <f t="shared" si="579"/>
        <v/>
      </c>
    </row>
    <row r="3603" spans="9:21" ht="24.75" customHeight="1" x14ac:dyDescent="0.35">
      <c r="I3603" s="42">
        <f t="shared" si="570"/>
        <v>0</v>
      </c>
      <c r="J3603" s="65" t="e">
        <f t="shared" si="571"/>
        <v>#NUM!</v>
      </c>
      <c r="K3603" s="83" t="e">
        <f t="shared" si="572"/>
        <v>#NUM!</v>
      </c>
      <c r="L3603" s="83">
        <f t="shared" si="573"/>
        <v>0</v>
      </c>
      <c r="M3603" s="110" t="str">
        <f t="shared" si="574"/>
        <v/>
      </c>
      <c r="N3603" s="51" t="str">
        <f t="shared" si="575"/>
        <v/>
      </c>
      <c r="O3603" s="52" t="str">
        <f t="shared" si="576"/>
        <v/>
      </c>
      <c r="P3603" s="88">
        <f t="shared" si="577"/>
        <v>0</v>
      </c>
      <c r="Q3603" s="88">
        <f t="shared" si="578"/>
        <v>0</v>
      </c>
      <c r="R3603" s="88" t="e">
        <f>-IF(Tabla14[[#This Row],[DIAS HABILES O MORA]]&lt;0,(Tabla14[[#This Row],[VALOR PRESTAMO]]*Tabla14[[#This Row],[% INTERES ]]/30*U3603))+Tabla14[[#This Row],[VALOR CUOTAS]]</f>
        <v>#VALUE!</v>
      </c>
      <c r="S3603" s="88">
        <f>-IF(Tabla14[[#This Row],[DIAS HABILES O MORA]]&lt;0,(Tabla14[[#This Row],[VALOR PRESTAMO]]*Tabla14[[#This Row],[% INTERES ]]/30*U3603))</f>
        <v>0</v>
      </c>
      <c r="T3603" s="53" t="e">
        <f>Tabla14[[#This Row],[DEUDA CAPITAL]]+Tabla14[[#This Row],[INTERES  CUOTA]]</f>
        <v>#NUM!</v>
      </c>
      <c r="U3603" s="61" t="str">
        <f t="shared" si="579"/>
        <v/>
      </c>
    </row>
    <row r="3604" spans="9:21" ht="24.75" customHeight="1" x14ac:dyDescent="0.35">
      <c r="I3604" s="42">
        <f t="shared" si="570"/>
        <v>0</v>
      </c>
      <c r="J3604" s="65" t="e">
        <f t="shared" si="571"/>
        <v>#NUM!</v>
      </c>
      <c r="K3604" s="83" t="e">
        <f t="shared" si="572"/>
        <v>#NUM!</v>
      </c>
      <c r="L3604" s="83">
        <f t="shared" si="573"/>
        <v>0</v>
      </c>
      <c r="M3604" s="110" t="str">
        <f t="shared" si="574"/>
        <v/>
      </c>
      <c r="N3604" s="51" t="str">
        <f t="shared" si="575"/>
        <v/>
      </c>
      <c r="O3604" s="52" t="str">
        <f t="shared" si="576"/>
        <v/>
      </c>
      <c r="P3604" s="88">
        <f t="shared" si="577"/>
        <v>0</v>
      </c>
      <c r="Q3604" s="88">
        <f t="shared" si="578"/>
        <v>0</v>
      </c>
      <c r="R3604" s="88" t="e">
        <f>-IF(Tabla14[[#This Row],[DIAS HABILES O MORA]]&lt;0,(Tabla14[[#This Row],[VALOR PRESTAMO]]*Tabla14[[#This Row],[% INTERES ]]/30*U3604))+Tabla14[[#This Row],[VALOR CUOTAS]]</f>
        <v>#VALUE!</v>
      </c>
      <c r="S3604" s="88">
        <f>-IF(Tabla14[[#This Row],[DIAS HABILES O MORA]]&lt;0,(Tabla14[[#This Row],[VALOR PRESTAMO]]*Tabla14[[#This Row],[% INTERES ]]/30*U3604))</f>
        <v>0</v>
      </c>
      <c r="T3604" s="53" t="e">
        <f>Tabla14[[#This Row],[DEUDA CAPITAL]]+Tabla14[[#This Row],[INTERES  CUOTA]]</f>
        <v>#NUM!</v>
      </c>
      <c r="U3604" s="61" t="str">
        <f t="shared" si="579"/>
        <v/>
      </c>
    </row>
    <row r="3605" spans="9:21" ht="24.75" customHeight="1" x14ac:dyDescent="0.35">
      <c r="I3605" s="42">
        <f t="shared" si="570"/>
        <v>0</v>
      </c>
      <c r="J3605" s="65" t="e">
        <f t="shared" si="571"/>
        <v>#NUM!</v>
      </c>
      <c r="K3605" s="83" t="e">
        <f t="shared" si="572"/>
        <v>#NUM!</v>
      </c>
      <c r="L3605" s="83">
        <f t="shared" si="573"/>
        <v>0</v>
      </c>
      <c r="M3605" s="110" t="str">
        <f t="shared" si="574"/>
        <v/>
      </c>
      <c r="N3605" s="51" t="str">
        <f t="shared" si="575"/>
        <v/>
      </c>
      <c r="O3605" s="52" t="str">
        <f t="shared" si="576"/>
        <v/>
      </c>
      <c r="P3605" s="88">
        <f t="shared" si="577"/>
        <v>0</v>
      </c>
      <c r="Q3605" s="88">
        <f t="shared" si="578"/>
        <v>0</v>
      </c>
      <c r="R3605" s="88" t="e">
        <f>-IF(Tabla14[[#This Row],[DIAS HABILES O MORA]]&lt;0,(Tabla14[[#This Row],[VALOR PRESTAMO]]*Tabla14[[#This Row],[% INTERES ]]/30*U3605))+Tabla14[[#This Row],[VALOR CUOTAS]]</f>
        <v>#VALUE!</v>
      </c>
      <c r="S3605" s="88">
        <f>-IF(Tabla14[[#This Row],[DIAS HABILES O MORA]]&lt;0,(Tabla14[[#This Row],[VALOR PRESTAMO]]*Tabla14[[#This Row],[% INTERES ]]/30*U3605))</f>
        <v>0</v>
      </c>
      <c r="T3605" s="53" t="e">
        <f>Tabla14[[#This Row],[DEUDA CAPITAL]]+Tabla14[[#This Row],[INTERES  CUOTA]]</f>
        <v>#NUM!</v>
      </c>
      <c r="U3605" s="61" t="str">
        <f t="shared" si="579"/>
        <v/>
      </c>
    </row>
    <row r="3606" spans="9:21" ht="24.75" customHeight="1" x14ac:dyDescent="0.35">
      <c r="I3606" s="42">
        <f t="shared" si="570"/>
        <v>0</v>
      </c>
      <c r="J3606" s="65" t="e">
        <f t="shared" si="571"/>
        <v>#NUM!</v>
      </c>
      <c r="K3606" s="83" t="e">
        <f t="shared" si="572"/>
        <v>#NUM!</v>
      </c>
      <c r="L3606" s="83">
        <f t="shared" si="573"/>
        <v>0</v>
      </c>
      <c r="M3606" s="110" t="str">
        <f t="shared" si="574"/>
        <v/>
      </c>
      <c r="N3606" s="51" t="str">
        <f t="shared" si="575"/>
        <v/>
      </c>
      <c r="O3606" s="52" t="str">
        <f t="shared" si="576"/>
        <v/>
      </c>
      <c r="P3606" s="88">
        <f t="shared" si="577"/>
        <v>0</v>
      </c>
      <c r="Q3606" s="88">
        <f t="shared" si="578"/>
        <v>0</v>
      </c>
      <c r="R3606" s="88" t="e">
        <f>-IF(Tabla14[[#This Row],[DIAS HABILES O MORA]]&lt;0,(Tabla14[[#This Row],[VALOR PRESTAMO]]*Tabla14[[#This Row],[% INTERES ]]/30*U3606))+Tabla14[[#This Row],[VALOR CUOTAS]]</f>
        <v>#VALUE!</v>
      </c>
      <c r="S3606" s="88">
        <f>-IF(Tabla14[[#This Row],[DIAS HABILES O MORA]]&lt;0,(Tabla14[[#This Row],[VALOR PRESTAMO]]*Tabla14[[#This Row],[% INTERES ]]/30*U3606))</f>
        <v>0</v>
      </c>
      <c r="T3606" s="53" t="e">
        <f>Tabla14[[#This Row],[DEUDA CAPITAL]]+Tabla14[[#This Row],[INTERES  CUOTA]]</f>
        <v>#NUM!</v>
      </c>
      <c r="U3606" s="61" t="str">
        <f t="shared" si="579"/>
        <v/>
      </c>
    </row>
    <row r="3607" spans="9:21" ht="24.75" customHeight="1" x14ac:dyDescent="0.35">
      <c r="I3607" s="42">
        <f t="shared" si="570"/>
        <v>0</v>
      </c>
      <c r="J3607" s="65" t="e">
        <f t="shared" si="571"/>
        <v>#NUM!</v>
      </c>
      <c r="K3607" s="83" t="e">
        <f t="shared" si="572"/>
        <v>#NUM!</v>
      </c>
      <c r="L3607" s="83">
        <f t="shared" si="573"/>
        <v>0</v>
      </c>
      <c r="M3607" s="110" t="str">
        <f t="shared" si="574"/>
        <v/>
      </c>
      <c r="N3607" s="51" t="str">
        <f t="shared" si="575"/>
        <v/>
      </c>
      <c r="O3607" s="52" t="str">
        <f t="shared" si="576"/>
        <v/>
      </c>
      <c r="P3607" s="88">
        <f t="shared" si="577"/>
        <v>0</v>
      </c>
      <c r="Q3607" s="88">
        <f t="shared" si="578"/>
        <v>0</v>
      </c>
      <c r="R3607" s="88" t="e">
        <f>-IF(Tabla14[[#This Row],[DIAS HABILES O MORA]]&lt;0,(Tabla14[[#This Row],[VALOR PRESTAMO]]*Tabla14[[#This Row],[% INTERES ]]/30*U3607))+Tabla14[[#This Row],[VALOR CUOTAS]]</f>
        <v>#VALUE!</v>
      </c>
      <c r="S3607" s="88">
        <f>-IF(Tabla14[[#This Row],[DIAS HABILES O MORA]]&lt;0,(Tabla14[[#This Row],[VALOR PRESTAMO]]*Tabla14[[#This Row],[% INTERES ]]/30*U3607))</f>
        <v>0</v>
      </c>
      <c r="T3607" s="53" t="e">
        <f>Tabla14[[#This Row],[DEUDA CAPITAL]]+Tabla14[[#This Row],[INTERES  CUOTA]]</f>
        <v>#NUM!</v>
      </c>
      <c r="U3607" s="61" t="str">
        <f t="shared" si="579"/>
        <v/>
      </c>
    </row>
    <row r="3608" spans="9:21" ht="24.75" customHeight="1" x14ac:dyDescent="0.35">
      <c r="I3608" s="42">
        <f t="shared" si="570"/>
        <v>0</v>
      </c>
      <c r="J3608" s="65" t="e">
        <f t="shared" si="571"/>
        <v>#NUM!</v>
      </c>
      <c r="K3608" s="83" t="e">
        <f t="shared" si="572"/>
        <v>#NUM!</v>
      </c>
      <c r="L3608" s="83">
        <f t="shared" si="573"/>
        <v>0</v>
      </c>
      <c r="M3608" s="110" t="str">
        <f t="shared" si="574"/>
        <v/>
      </c>
      <c r="N3608" s="51" t="str">
        <f t="shared" si="575"/>
        <v/>
      </c>
      <c r="O3608" s="52" t="str">
        <f t="shared" si="576"/>
        <v/>
      </c>
      <c r="P3608" s="88">
        <f t="shared" si="577"/>
        <v>0</v>
      </c>
      <c r="Q3608" s="88">
        <f t="shared" si="578"/>
        <v>0</v>
      </c>
      <c r="R3608" s="88" t="e">
        <f>-IF(Tabla14[[#This Row],[DIAS HABILES O MORA]]&lt;0,(Tabla14[[#This Row],[VALOR PRESTAMO]]*Tabla14[[#This Row],[% INTERES ]]/30*U3608))+Tabla14[[#This Row],[VALOR CUOTAS]]</f>
        <v>#VALUE!</v>
      </c>
      <c r="S3608" s="88">
        <f>-IF(Tabla14[[#This Row],[DIAS HABILES O MORA]]&lt;0,(Tabla14[[#This Row],[VALOR PRESTAMO]]*Tabla14[[#This Row],[% INTERES ]]/30*U3608))</f>
        <v>0</v>
      </c>
      <c r="T3608" s="53" t="e">
        <f>Tabla14[[#This Row],[DEUDA CAPITAL]]+Tabla14[[#This Row],[INTERES  CUOTA]]</f>
        <v>#NUM!</v>
      </c>
      <c r="U3608" s="61" t="str">
        <f t="shared" si="579"/>
        <v/>
      </c>
    </row>
    <row r="3609" spans="9:21" ht="24.75" customHeight="1" x14ac:dyDescent="0.35">
      <c r="I3609" s="42">
        <f t="shared" si="570"/>
        <v>0</v>
      </c>
      <c r="J3609" s="65" t="e">
        <f t="shared" si="571"/>
        <v>#NUM!</v>
      </c>
      <c r="K3609" s="83" t="e">
        <f t="shared" si="572"/>
        <v>#NUM!</v>
      </c>
      <c r="L3609" s="83">
        <f t="shared" si="573"/>
        <v>0</v>
      </c>
      <c r="M3609" s="110" t="str">
        <f t="shared" si="574"/>
        <v/>
      </c>
      <c r="N3609" s="51" t="str">
        <f t="shared" si="575"/>
        <v/>
      </c>
      <c r="O3609" s="52" t="str">
        <f t="shared" si="576"/>
        <v/>
      </c>
      <c r="P3609" s="88">
        <f t="shared" si="577"/>
        <v>0</v>
      </c>
      <c r="Q3609" s="88">
        <f t="shared" si="578"/>
        <v>0</v>
      </c>
      <c r="R3609" s="88" t="e">
        <f>-IF(Tabla14[[#This Row],[DIAS HABILES O MORA]]&lt;0,(Tabla14[[#This Row],[VALOR PRESTAMO]]*Tabla14[[#This Row],[% INTERES ]]/30*U3609))+Tabla14[[#This Row],[VALOR CUOTAS]]</f>
        <v>#VALUE!</v>
      </c>
      <c r="S3609" s="88">
        <f>-IF(Tabla14[[#This Row],[DIAS HABILES O MORA]]&lt;0,(Tabla14[[#This Row],[VALOR PRESTAMO]]*Tabla14[[#This Row],[% INTERES ]]/30*U3609))</f>
        <v>0</v>
      </c>
      <c r="T3609" s="53" t="e">
        <f>Tabla14[[#This Row],[DEUDA CAPITAL]]+Tabla14[[#This Row],[INTERES  CUOTA]]</f>
        <v>#NUM!</v>
      </c>
      <c r="U3609" s="61" t="str">
        <f t="shared" si="579"/>
        <v/>
      </c>
    </row>
    <row r="3610" spans="9:21" ht="24.75" customHeight="1" x14ac:dyDescent="0.35">
      <c r="I3610" s="42">
        <f t="shared" si="570"/>
        <v>0</v>
      </c>
      <c r="J3610" s="65" t="e">
        <f t="shared" si="571"/>
        <v>#NUM!</v>
      </c>
      <c r="K3610" s="83" t="e">
        <f t="shared" si="572"/>
        <v>#NUM!</v>
      </c>
      <c r="L3610" s="83">
        <f t="shared" si="573"/>
        <v>0</v>
      </c>
      <c r="M3610" s="110" t="str">
        <f t="shared" si="574"/>
        <v/>
      </c>
      <c r="N3610" s="51" t="str">
        <f t="shared" si="575"/>
        <v/>
      </c>
      <c r="O3610" s="52" t="str">
        <f t="shared" si="576"/>
        <v/>
      </c>
      <c r="P3610" s="88">
        <f t="shared" si="577"/>
        <v>0</v>
      </c>
      <c r="Q3610" s="88">
        <f t="shared" si="578"/>
        <v>0</v>
      </c>
      <c r="R3610" s="88" t="e">
        <f>-IF(Tabla14[[#This Row],[DIAS HABILES O MORA]]&lt;0,(Tabla14[[#This Row],[VALOR PRESTAMO]]*Tabla14[[#This Row],[% INTERES ]]/30*U3610))+Tabla14[[#This Row],[VALOR CUOTAS]]</f>
        <v>#VALUE!</v>
      </c>
      <c r="S3610" s="88">
        <f>-IF(Tabla14[[#This Row],[DIAS HABILES O MORA]]&lt;0,(Tabla14[[#This Row],[VALOR PRESTAMO]]*Tabla14[[#This Row],[% INTERES ]]/30*U3610))</f>
        <v>0</v>
      </c>
      <c r="T3610" s="53" t="e">
        <f>Tabla14[[#This Row],[DEUDA CAPITAL]]+Tabla14[[#This Row],[INTERES  CUOTA]]</f>
        <v>#NUM!</v>
      </c>
      <c r="U3610" s="61" t="str">
        <f t="shared" si="579"/>
        <v/>
      </c>
    </row>
    <row r="3611" spans="9:21" ht="24.75" customHeight="1" x14ac:dyDescent="0.35">
      <c r="I3611" s="42">
        <f t="shared" si="570"/>
        <v>0</v>
      </c>
      <c r="J3611" s="65" t="e">
        <f t="shared" si="571"/>
        <v>#NUM!</v>
      </c>
      <c r="K3611" s="83" t="e">
        <f t="shared" si="572"/>
        <v>#NUM!</v>
      </c>
      <c r="L3611" s="83">
        <f t="shared" si="573"/>
        <v>0</v>
      </c>
      <c r="M3611" s="110" t="str">
        <f t="shared" si="574"/>
        <v/>
      </c>
      <c r="N3611" s="51" t="str">
        <f t="shared" si="575"/>
        <v/>
      </c>
      <c r="O3611" s="52" t="str">
        <f t="shared" si="576"/>
        <v/>
      </c>
      <c r="P3611" s="88">
        <f t="shared" si="577"/>
        <v>0</v>
      </c>
      <c r="Q3611" s="88">
        <f t="shared" si="578"/>
        <v>0</v>
      </c>
      <c r="R3611" s="88" t="e">
        <f>-IF(Tabla14[[#This Row],[DIAS HABILES O MORA]]&lt;0,(Tabla14[[#This Row],[VALOR PRESTAMO]]*Tabla14[[#This Row],[% INTERES ]]/30*U3611))+Tabla14[[#This Row],[VALOR CUOTAS]]</f>
        <v>#VALUE!</v>
      </c>
      <c r="S3611" s="88">
        <f>-IF(Tabla14[[#This Row],[DIAS HABILES O MORA]]&lt;0,(Tabla14[[#This Row],[VALOR PRESTAMO]]*Tabla14[[#This Row],[% INTERES ]]/30*U3611))</f>
        <v>0</v>
      </c>
      <c r="T3611" s="53" t="e">
        <f>Tabla14[[#This Row],[DEUDA CAPITAL]]+Tabla14[[#This Row],[INTERES  CUOTA]]</f>
        <v>#NUM!</v>
      </c>
      <c r="U3611" s="61" t="str">
        <f t="shared" si="579"/>
        <v/>
      </c>
    </row>
    <row r="3612" spans="9:21" ht="24.75" customHeight="1" x14ac:dyDescent="0.35">
      <c r="I3612" s="42">
        <f t="shared" si="570"/>
        <v>0</v>
      </c>
      <c r="J3612" s="65" t="e">
        <f t="shared" si="571"/>
        <v>#NUM!</v>
      </c>
      <c r="K3612" s="83" t="e">
        <f t="shared" si="572"/>
        <v>#NUM!</v>
      </c>
      <c r="L3612" s="83">
        <f t="shared" si="573"/>
        <v>0</v>
      </c>
      <c r="M3612" s="110" t="str">
        <f t="shared" si="574"/>
        <v/>
      </c>
      <c r="N3612" s="51" t="str">
        <f t="shared" si="575"/>
        <v/>
      </c>
      <c r="O3612" s="52" t="str">
        <f t="shared" si="576"/>
        <v/>
      </c>
      <c r="P3612" s="88">
        <f t="shared" si="577"/>
        <v>0</v>
      </c>
      <c r="Q3612" s="88">
        <f t="shared" si="578"/>
        <v>0</v>
      </c>
      <c r="R3612" s="88" t="e">
        <f>-IF(Tabla14[[#This Row],[DIAS HABILES O MORA]]&lt;0,(Tabla14[[#This Row],[VALOR PRESTAMO]]*Tabla14[[#This Row],[% INTERES ]]/30*U3612))+Tabla14[[#This Row],[VALOR CUOTAS]]</f>
        <v>#VALUE!</v>
      </c>
      <c r="S3612" s="88">
        <f>-IF(Tabla14[[#This Row],[DIAS HABILES O MORA]]&lt;0,(Tabla14[[#This Row],[VALOR PRESTAMO]]*Tabla14[[#This Row],[% INTERES ]]/30*U3612))</f>
        <v>0</v>
      </c>
      <c r="T3612" s="53" t="e">
        <f>Tabla14[[#This Row],[DEUDA CAPITAL]]+Tabla14[[#This Row],[INTERES  CUOTA]]</f>
        <v>#NUM!</v>
      </c>
      <c r="U3612" s="61" t="str">
        <f t="shared" si="579"/>
        <v/>
      </c>
    </row>
    <row r="3613" spans="9:21" ht="24.75" customHeight="1" x14ac:dyDescent="0.35">
      <c r="I3613" s="42">
        <f t="shared" si="570"/>
        <v>0</v>
      </c>
      <c r="J3613" s="65" t="e">
        <f t="shared" si="571"/>
        <v>#NUM!</v>
      </c>
      <c r="K3613" s="83" t="e">
        <f t="shared" si="572"/>
        <v>#NUM!</v>
      </c>
      <c r="L3613" s="83">
        <f t="shared" si="573"/>
        <v>0</v>
      </c>
      <c r="M3613" s="110" t="str">
        <f t="shared" si="574"/>
        <v/>
      </c>
      <c r="N3613" s="51" t="str">
        <f t="shared" si="575"/>
        <v/>
      </c>
      <c r="O3613" s="52" t="str">
        <f t="shared" si="576"/>
        <v/>
      </c>
      <c r="P3613" s="88">
        <f t="shared" si="577"/>
        <v>0</v>
      </c>
      <c r="Q3613" s="88">
        <f t="shared" si="578"/>
        <v>0</v>
      </c>
      <c r="R3613" s="88" t="e">
        <f>-IF(Tabla14[[#This Row],[DIAS HABILES O MORA]]&lt;0,(Tabla14[[#This Row],[VALOR PRESTAMO]]*Tabla14[[#This Row],[% INTERES ]]/30*U3613))+Tabla14[[#This Row],[VALOR CUOTAS]]</f>
        <v>#VALUE!</v>
      </c>
      <c r="S3613" s="88">
        <f>-IF(Tabla14[[#This Row],[DIAS HABILES O MORA]]&lt;0,(Tabla14[[#This Row],[VALOR PRESTAMO]]*Tabla14[[#This Row],[% INTERES ]]/30*U3613))</f>
        <v>0</v>
      </c>
      <c r="T3613" s="53" t="e">
        <f>Tabla14[[#This Row],[DEUDA CAPITAL]]+Tabla14[[#This Row],[INTERES  CUOTA]]</f>
        <v>#NUM!</v>
      </c>
      <c r="U3613" s="61" t="str">
        <f t="shared" si="579"/>
        <v/>
      </c>
    </row>
    <row r="3614" spans="9:21" ht="24.75" customHeight="1" x14ac:dyDescent="0.35">
      <c r="I3614" s="42">
        <f t="shared" si="570"/>
        <v>0</v>
      </c>
      <c r="J3614" s="65" t="e">
        <f t="shared" si="571"/>
        <v>#NUM!</v>
      </c>
      <c r="K3614" s="83" t="e">
        <f t="shared" si="572"/>
        <v>#NUM!</v>
      </c>
      <c r="L3614" s="83">
        <f t="shared" si="573"/>
        <v>0</v>
      </c>
      <c r="M3614" s="110" t="str">
        <f t="shared" si="574"/>
        <v/>
      </c>
      <c r="N3614" s="51" t="str">
        <f t="shared" si="575"/>
        <v/>
      </c>
      <c r="O3614" s="52" t="str">
        <f t="shared" si="576"/>
        <v/>
      </c>
      <c r="P3614" s="88">
        <f t="shared" si="577"/>
        <v>0</v>
      </c>
      <c r="Q3614" s="88">
        <f t="shared" si="578"/>
        <v>0</v>
      </c>
      <c r="R3614" s="88" t="e">
        <f>-IF(Tabla14[[#This Row],[DIAS HABILES O MORA]]&lt;0,(Tabla14[[#This Row],[VALOR PRESTAMO]]*Tabla14[[#This Row],[% INTERES ]]/30*U3614))+Tabla14[[#This Row],[VALOR CUOTAS]]</f>
        <v>#VALUE!</v>
      </c>
      <c r="S3614" s="88">
        <f>-IF(Tabla14[[#This Row],[DIAS HABILES O MORA]]&lt;0,(Tabla14[[#This Row],[VALOR PRESTAMO]]*Tabla14[[#This Row],[% INTERES ]]/30*U3614))</f>
        <v>0</v>
      </c>
      <c r="T3614" s="53" t="e">
        <f>Tabla14[[#This Row],[DEUDA CAPITAL]]+Tabla14[[#This Row],[INTERES  CUOTA]]</f>
        <v>#NUM!</v>
      </c>
      <c r="U3614" s="61" t="str">
        <f t="shared" si="579"/>
        <v/>
      </c>
    </row>
    <row r="3615" spans="9:21" ht="24.75" customHeight="1" x14ac:dyDescent="0.35">
      <c r="I3615" s="42">
        <f t="shared" si="570"/>
        <v>0</v>
      </c>
      <c r="J3615" s="65" t="e">
        <f t="shared" si="571"/>
        <v>#NUM!</v>
      </c>
      <c r="K3615" s="83" t="e">
        <f t="shared" si="572"/>
        <v>#NUM!</v>
      </c>
      <c r="L3615" s="83">
        <f t="shared" si="573"/>
        <v>0</v>
      </c>
      <c r="M3615" s="110" t="str">
        <f t="shared" si="574"/>
        <v/>
      </c>
      <c r="N3615" s="51" t="str">
        <f t="shared" si="575"/>
        <v/>
      </c>
      <c r="O3615" s="52" t="str">
        <f t="shared" si="576"/>
        <v/>
      </c>
      <c r="P3615" s="88">
        <f t="shared" si="577"/>
        <v>0</v>
      </c>
      <c r="Q3615" s="88">
        <f t="shared" si="578"/>
        <v>0</v>
      </c>
      <c r="R3615" s="88" t="e">
        <f>-IF(Tabla14[[#This Row],[DIAS HABILES O MORA]]&lt;0,(Tabla14[[#This Row],[VALOR PRESTAMO]]*Tabla14[[#This Row],[% INTERES ]]/30*U3615))+Tabla14[[#This Row],[VALOR CUOTAS]]</f>
        <v>#VALUE!</v>
      </c>
      <c r="S3615" s="88">
        <f>-IF(Tabla14[[#This Row],[DIAS HABILES O MORA]]&lt;0,(Tabla14[[#This Row],[VALOR PRESTAMO]]*Tabla14[[#This Row],[% INTERES ]]/30*U3615))</f>
        <v>0</v>
      </c>
      <c r="T3615" s="53" t="e">
        <f>Tabla14[[#This Row],[DEUDA CAPITAL]]+Tabla14[[#This Row],[INTERES  CUOTA]]</f>
        <v>#NUM!</v>
      </c>
      <c r="U3615" s="61" t="str">
        <f t="shared" si="579"/>
        <v/>
      </c>
    </row>
    <row r="3616" spans="9:21" ht="24.75" customHeight="1" x14ac:dyDescent="0.35">
      <c r="I3616" s="42">
        <f t="shared" si="570"/>
        <v>0</v>
      </c>
      <c r="J3616" s="65" t="e">
        <f t="shared" si="571"/>
        <v>#NUM!</v>
      </c>
      <c r="K3616" s="83" t="e">
        <f t="shared" si="572"/>
        <v>#NUM!</v>
      </c>
      <c r="L3616" s="83">
        <f t="shared" si="573"/>
        <v>0</v>
      </c>
      <c r="M3616" s="110" t="str">
        <f t="shared" si="574"/>
        <v/>
      </c>
      <c r="N3616" s="51" t="str">
        <f t="shared" si="575"/>
        <v/>
      </c>
      <c r="O3616" s="52" t="str">
        <f t="shared" si="576"/>
        <v/>
      </c>
      <c r="P3616" s="88">
        <f t="shared" si="577"/>
        <v>0</v>
      </c>
      <c r="Q3616" s="88">
        <f t="shared" si="578"/>
        <v>0</v>
      </c>
      <c r="R3616" s="88" t="e">
        <f>-IF(Tabla14[[#This Row],[DIAS HABILES O MORA]]&lt;0,(Tabla14[[#This Row],[VALOR PRESTAMO]]*Tabla14[[#This Row],[% INTERES ]]/30*U3616))+Tabla14[[#This Row],[VALOR CUOTAS]]</f>
        <v>#VALUE!</v>
      </c>
      <c r="S3616" s="88">
        <f>-IF(Tabla14[[#This Row],[DIAS HABILES O MORA]]&lt;0,(Tabla14[[#This Row],[VALOR PRESTAMO]]*Tabla14[[#This Row],[% INTERES ]]/30*U3616))</f>
        <v>0</v>
      </c>
      <c r="T3616" s="53" t="e">
        <f>Tabla14[[#This Row],[DEUDA CAPITAL]]+Tabla14[[#This Row],[INTERES  CUOTA]]</f>
        <v>#NUM!</v>
      </c>
      <c r="U3616" s="61" t="str">
        <f t="shared" si="579"/>
        <v/>
      </c>
    </row>
    <row r="3617" spans="9:21" ht="24.75" customHeight="1" x14ac:dyDescent="0.35">
      <c r="I3617" s="42">
        <f t="shared" si="570"/>
        <v>0</v>
      </c>
      <c r="J3617" s="65" t="e">
        <f t="shared" si="571"/>
        <v>#NUM!</v>
      </c>
      <c r="K3617" s="83" t="e">
        <f t="shared" si="572"/>
        <v>#NUM!</v>
      </c>
      <c r="L3617" s="83">
        <f t="shared" si="573"/>
        <v>0</v>
      </c>
      <c r="M3617" s="110" t="str">
        <f t="shared" si="574"/>
        <v/>
      </c>
      <c r="N3617" s="51" t="str">
        <f t="shared" si="575"/>
        <v/>
      </c>
      <c r="O3617" s="52" t="str">
        <f t="shared" si="576"/>
        <v/>
      </c>
      <c r="P3617" s="88">
        <f t="shared" si="577"/>
        <v>0</v>
      </c>
      <c r="Q3617" s="88">
        <f t="shared" si="578"/>
        <v>0</v>
      </c>
      <c r="R3617" s="88" t="e">
        <f>-IF(Tabla14[[#This Row],[DIAS HABILES O MORA]]&lt;0,(Tabla14[[#This Row],[VALOR PRESTAMO]]*Tabla14[[#This Row],[% INTERES ]]/30*U3617))+Tabla14[[#This Row],[VALOR CUOTAS]]</f>
        <v>#VALUE!</v>
      </c>
      <c r="S3617" s="88">
        <f>-IF(Tabla14[[#This Row],[DIAS HABILES O MORA]]&lt;0,(Tabla14[[#This Row],[VALOR PRESTAMO]]*Tabla14[[#This Row],[% INTERES ]]/30*U3617))</f>
        <v>0</v>
      </c>
      <c r="T3617" s="53" t="e">
        <f>Tabla14[[#This Row],[DEUDA CAPITAL]]+Tabla14[[#This Row],[INTERES  CUOTA]]</f>
        <v>#NUM!</v>
      </c>
      <c r="U3617" s="61" t="str">
        <f t="shared" si="579"/>
        <v/>
      </c>
    </row>
    <row r="3618" spans="9:21" ht="24.75" customHeight="1" x14ac:dyDescent="0.35">
      <c r="I3618" s="42">
        <f t="shared" si="570"/>
        <v>0</v>
      </c>
      <c r="J3618" s="65" t="e">
        <f t="shared" si="571"/>
        <v>#NUM!</v>
      </c>
      <c r="K3618" s="83" t="e">
        <f t="shared" si="572"/>
        <v>#NUM!</v>
      </c>
      <c r="L3618" s="83">
        <f t="shared" si="573"/>
        <v>0</v>
      </c>
      <c r="M3618" s="110" t="str">
        <f t="shared" si="574"/>
        <v/>
      </c>
      <c r="N3618" s="51" t="str">
        <f t="shared" si="575"/>
        <v/>
      </c>
      <c r="O3618" s="52" t="str">
        <f t="shared" si="576"/>
        <v/>
      </c>
      <c r="P3618" s="88">
        <f t="shared" si="577"/>
        <v>0</v>
      </c>
      <c r="Q3618" s="88">
        <f t="shared" si="578"/>
        <v>0</v>
      </c>
      <c r="R3618" s="88" t="e">
        <f>-IF(Tabla14[[#This Row],[DIAS HABILES O MORA]]&lt;0,(Tabla14[[#This Row],[VALOR PRESTAMO]]*Tabla14[[#This Row],[% INTERES ]]/30*U3618))+Tabla14[[#This Row],[VALOR CUOTAS]]</f>
        <v>#VALUE!</v>
      </c>
      <c r="S3618" s="88">
        <f>-IF(Tabla14[[#This Row],[DIAS HABILES O MORA]]&lt;0,(Tabla14[[#This Row],[VALOR PRESTAMO]]*Tabla14[[#This Row],[% INTERES ]]/30*U3618))</f>
        <v>0</v>
      </c>
      <c r="T3618" s="53" t="e">
        <f>Tabla14[[#This Row],[DEUDA CAPITAL]]+Tabla14[[#This Row],[INTERES  CUOTA]]</f>
        <v>#NUM!</v>
      </c>
      <c r="U3618" s="61" t="str">
        <f t="shared" si="579"/>
        <v/>
      </c>
    </row>
    <row r="3619" spans="9:21" ht="24.75" customHeight="1" x14ac:dyDescent="0.35">
      <c r="I3619" s="42">
        <f t="shared" si="570"/>
        <v>0</v>
      </c>
      <c r="J3619" s="65" t="e">
        <f t="shared" si="571"/>
        <v>#NUM!</v>
      </c>
      <c r="K3619" s="83" t="e">
        <f t="shared" si="572"/>
        <v>#NUM!</v>
      </c>
      <c r="L3619" s="83">
        <f t="shared" si="573"/>
        <v>0</v>
      </c>
      <c r="M3619" s="110" t="str">
        <f t="shared" si="574"/>
        <v/>
      </c>
      <c r="N3619" s="51" t="str">
        <f t="shared" si="575"/>
        <v/>
      </c>
      <c r="O3619" s="52" t="str">
        <f t="shared" si="576"/>
        <v/>
      </c>
      <c r="P3619" s="88">
        <f t="shared" si="577"/>
        <v>0</v>
      </c>
      <c r="Q3619" s="88">
        <f t="shared" si="578"/>
        <v>0</v>
      </c>
      <c r="R3619" s="88" t="e">
        <f>-IF(Tabla14[[#This Row],[DIAS HABILES O MORA]]&lt;0,(Tabla14[[#This Row],[VALOR PRESTAMO]]*Tabla14[[#This Row],[% INTERES ]]/30*U3619))+Tabla14[[#This Row],[VALOR CUOTAS]]</f>
        <v>#VALUE!</v>
      </c>
      <c r="S3619" s="88">
        <f>-IF(Tabla14[[#This Row],[DIAS HABILES O MORA]]&lt;0,(Tabla14[[#This Row],[VALOR PRESTAMO]]*Tabla14[[#This Row],[% INTERES ]]/30*U3619))</f>
        <v>0</v>
      </c>
      <c r="T3619" s="53" t="e">
        <f>Tabla14[[#This Row],[DEUDA CAPITAL]]+Tabla14[[#This Row],[INTERES  CUOTA]]</f>
        <v>#NUM!</v>
      </c>
      <c r="U3619" s="61" t="str">
        <f t="shared" si="579"/>
        <v/>
      </c>
    </row>
    <row r="3620" spans="9:21" ht="24.75" customHeight="1" x14ac:dyDescent="0.35">
      <c r="I3620" s="42">
        <f t="shared" si="570"/>
        <v>0</v>
      </c>
      <c r="J3620" s="65" t="e">
        <f t="shared" si="571"/>
        <v>#NUM!</v>
      </c>
      <c r="K3620" s="83" t="e">
        <f t="shared" si="572"/>
        <v>#NUM!</v>
      </c>
      <c r="L3620" s="83">
        <f t="shared" si="573"/>
        <v>0</v>
      </c>
      <c r="M3620" s="110" t="str">
        <f t="shared" si="574"/>
        <v/>
      </c>
      <c r="N3620" s="51" t="str">
        <f t="shared" si="575"/>
        <v/>
      </c>
      <c r="O3620" s="52" t="str">
        <f t="shared" si="576"/>
        <v/>
      </c>
      <c r="P3620" s="88">
        <f t="shared" si="577"/>
        <v>0</v>
      </c>
      <c r="Q3620" s="88">
        <f t="shared" si="578"/>
        <v>0</v>
      </c>
      <c r="R3620" s="88" t="e">
        <f>-IF(Tabla14[[#This Row],[DIAS HABILES O MORA]]&lt;0,(Tabla14[[#This Row],[VALOR PRESTAMO]]*Tabla14[[#This Row],[% INTERES ]]/30*U3620))+Tabla14[[#This Row],[VALOR CUOTAS]]</f>
        <v>#VALUE!</v>
      </c>
      <c r="S3620" s="88">
        <f>-IF(Tabla14[[#This Row],[DIAS HABILES O MORA]]&lt;0,(Tabla14[[#This Row],[VALOR PRESTAMO]]*Tabla14[[#This Row],[% INTERES ]]/30*U3620))</f>
        <v>0</v>
      </c>
      <c r="T3620" s="53" t="e">
        <f>Tabla14[[#This Row],[DEUDA CAPITAL]]+Tabla14[[#This Row],[INTERES  CUOTA]]</f>
        <v>#NUM!</v>
      </c>
      <c r="U3620" s="61" t="str">
        <f t="shared" si="579"/>
        <v/>
      </c>
    </row>
    <row r="3621" spans="9:21" ht="24.75" customHeight="1" x14ac:dyDescent="0.35">
      <c r="I3621" s="42">
        <f t="shared" si="570"/>
        <v>0</v>
      </c>
      <c r="J3621" s="65" t="e">
        <f t="shared" si="571"/>
        <v>#NUM!</v>
      </c>
      <c r="K3621" s="83" t="e">
        <f t="shared" si="572"/>
        <v>#NUM!</v>
      </c>
      <c r="L3621" s="83">
        <f t="shared" si="573"/>
        <v>0</v>
      </c>
      <c r="M3621" s="110" t="str">
        <f t="shared" si="574"/>
        <v/>
      </c>
      <c r="N3621" s="51" t="str">
        <f t="shared" si="575"/>
        <v/>
      </c>
      <c r="O3621" s="52" t="str">
        <f t="shared" si="576"/>
        <v/>
      </c>
      <c r="P3621" s="88">
        <f t="shared" si="577"/>
        <v>0</v>
      </c>
      <c r="Q3621" s="88">
        <f t="shared" si="578"/>
        <v>0</v>
      </c>
      <c r="R3621" s="88" t="e">
        <f>-IF(Tabla14[[#This Row],[DIAS HABILES O MORA]]&lt;0,(Tabla14[[#This Row],[VALOR PRESTAMO]]*Tabla14[[#This Row],[% INTERES ]]/30*U3621))+Tabla14[[#This Row],[VALOR CUOTAS]]</f>
        <v>#VALUE!</v>
      </c>
      <c r="S3621" s="88">
        <f>-IF(Tabla14[[#This Row],[DIAS HABILES O MORA]]&lt;0,(Tabla14[[#This Row],[VALOR PRESTAMO]]*Tabla14[[#This Row],[% INTERES ]]/30*U3621))</f>
        <v>0</v>
      </c>
      <c r="T3621" s="53" t="e">
        <f>Tabla14[[#This Row],[DEUDA CAPITAL]]+Tabla14[[#This Row],[INTERES  CUOTA]]</f>
        <v>#NUM!</v>
      </c>
      <c r="U3621" s="61" t="str">
        <f t="shared" si="579"/>
        <v/>
      </c>
    </row>
    <row r="3622" spans="9:21" ht="24.75" customHeight="1" x14ac:dyDescent="0.35">
      <c r="I3622" s="42">
        <f t="shared" si="570"/>
        <v>0</v>
      </c>
      <c r="J3622" s="65" t="e">
        <f t="shared" si="571"/>
        <v>#NUM!</v>
      </c>
      <c r="K3622" s="83" t="e">
        <f t="shared" si="572"/>
        <v>#NUM!</v>
      </c>
      <c r="L3622" s="83">
        <f t="shared" si="573"/>
        <v>0</v>
      </c>
      <c r="M3622" s="110" t="str">
        <f t="shared" si="574"/>
        <v/>
      </c>
      <c r="N3622" s="51" t="str">
        <f t="shared" si="575"/>
        <v/>
      </c>
      <c r="O3622" s="52" t="str">
        <f t="shared" si="576"/>
        <v/>
      </c>
      <c r="P3622" s="88">
        <f t="shared" si="577"/>
        <v>0</v>
      </c>
      <c r="Q3622" s="88">
        <f t="shared" si="578"/>
        <v>0</v>
      </c>
      <c r="R3622" s="88" t="e">
        <f>-IF(Tabla14[[#This Row],[DIAS HABILES O MORA]]&lt;0,(Tabla14[[#This Row],[VALOR PRESTAMO]]*Tabla14[[#This Row],[% INTERES ]]/30*U3622))+Tabla14[[#This Row],[VALOR CUOTAS]]</f>
        <v>#VALUE!</v>
      </c>
      <c r="S3622" s="88">
        <f>-IF(Tabla14[[#This Row],[DIAS HABILES O MORA]]&lt;0,(Tabla14[[#This Row],[VALOR PRESTAMO]]*Tabla14[[#This Row],[% INTERES ]]/30*U3622))</f>
        <v>0</v>
      </c>
      <c r="T3622" s="53" t="e">
        <f>Tabla14[[#This Row],[DEUDA CAPITAL]]+Tabla14[[#This Row],[INTERES  CUOTA]]</f>
        <v>#NUM!</v>
      </c>
      <c r="U3622" s="61" t="str">
        <f t="shared" si="579"/>
        <v/>
      </c>
    </row>
    <row r="3623" spans="9:21" ht="24.75" customHeight="1" x14ac:dyDescent="0.35">
      <c r="I3623" s="42">
        <f t="shared" si="570"/>
        <v>0</v>
      </c>
      <c r="J3623" s="65" t="e">
        <f t="shared" si="571"/>
        <v>#NUM!</v>
      </c>
      <c r="K3623" s="83" t="e">
        <f t="shared" si="572"/>
        <v>#NUM!</v>
      </c>
      <c r="L3623" s="83">
        <f t="shared" si="573"/>
        <v>0</v>
      </c>
      <c r="M3623" s="110" t="str">
        <f t="shared" si="574"/>
        <v/>
      </c>
      <c r="N3623" s="51" t="str">
        <f t="shared" si="575"/>
        <v/>
      </c>
      <c r="O3623" s="52" t="str">
        <f t="shared" si="576"/>
        <v/>
      </c>
      <c r="P3623" s="88">
        <f t="shared" si="577"/>
        <v>0</v>
      </c>
      <c r="Q3623" s="88">
        <f t="shared" si="578"/>
        <v>0</v>
      </c>
      <c r="R3623" s="88" t="e">
        <f>-IF(Tabla14[[#This Row],[DIAS HABILES O MORA]]&lt;0,(Tabla14[[#This Row],[VALOR PRESTAMO]]*Tabla14[[#This Row],[% INTERES ]]/30*U3623))+Tabla14[[#This Row],[VALOR CUOTAS]]</f>
        <v>#VALUE!</v>
      </c>
      <c r="S3623" s="88">
        <f>-IF(Tabla14[[#This Row],[DIAS HABILES O MORA]]&lt;0,(Tabla14[[#This Row],[VALOR PRESTAMO]]*Tabla14[[#This Row],[% INTERES ]]/30*U3623))</f>
        <v>0</v>
      </c>
      <c r="T3623" s="53" t="e">
        <f>Tabla14[[#This Row],[DEUDA CAPITAL]]+Tabla14[[#This Row],[INTERES  CUOTA]]</f>
        <v>#NUM!</v>
      </c>
      <c r="U3623" s="61" t="str">
        <f t="shared" si="579"/>
        <v/>
      </c>
    </row>
    <row r="3624" spans="9:21" ht="24.75" customHeight="1" x14ac:dyDescent="0.35">
      <c r="I3624" s="42">
        <f t="shared" si="570"/>
        <v>0</v>
      </c>
      <c r="J3624" s="65" t="e">
        <f t="shared" si="571"/>
        <v>#NUM!</v>
      </c>
      <c r="K3624" s="83" t="e">
        <f t="shared" si="572"/>
        <v>#NUM!</v>
      </c>
      <c r="L3624" s="83">
        <f t="shared" si="573"/>
        <v>0</v>
      </c>
      <c r="M3624" s="110" t="str">
        <f t="shared" si="574"/>
        <v/>
      </c>
      <c r="N3624" s="51" t="str">
        <f t="shared" si="575"/>
        <v/>
      </c>
      <c r="O3624" s="52" t="str">
        <f t="shared" si="576"/>
        <v/>
      </c>
      <c r="P3624" s="88">
        <f t="shared" si="577"/>
        <v>0</v>
      </c>
      <c r="Q3624" s="88">
        <f t="shared" si="578"/>
        <v>0</v>
      </c>
      <c r="R3624" s="88" t="e">
        <f>-IF(Tabla14[[#This Row],[DIAS HABILES O MORA]]&lt;0,(Tabla14[[#This Row],[VALOR PRESTAMO]]*Tabla14[[#This Row],[% INTERES ]]/30*U3624))+Tabla14[[#This Row],[VALOR CUOTAS]]</f>
        <v>#VALUE!</v>
      </c>
      <c r="S3624" s="88">
        <f>-IF(Tabla14[[#This Row],[DIAS HABILES O MORA]]&lt;0,(Tabla14[[#This Row],[VALOR PRESTAMO]]*Tabla14[[#This Row],[% INTERES ]]/30*U3624))</f>
        <v>0</v>
      </c>
      <c r="T3624" s="53" t="e">
        <f>Tabla14[[#This Row],[DEUDA CAPITAL]]+Tabla14[[#This Row],[INTERES  CUOTA]]</f>
        <v>#NUM!</v>
      </c>
      <c r="U3624" s="61" t="str">
        <f t="shared" si="579"/>
        <v/>
      </c>
    </row>
    <row r="3625" spans="9:21" ht="24.75" customHeight="1" x14ac:dyDescent="0.35">
      <c r="I3625" s="42">
        <f t="shared" si="570"/>
        <v>0</v>
      </c>
      <c r="J3625" s="65" t="e">
        <f t="shared" si="571"/>
        <v>#NUM!</v>
      </c>
      <c r="K3625" s="83" t="e">
        <f t="shared" si="572"/>
        <v>#NUM!</v>
      </c>
      <c r="L3625" s="83">
        <f t="shared" si="573"/>
        <v>0</v>
      </c>
      <c r="M3625" s="110" t="str">
        <f t="shared" si="574"/>
        <v/>
      </c>
      <c r="N3625" s="51" t="str">
        <f t="shared" si="575"/>
        <v/>
      </c>
      <c r="O3625" s="52" t="str">
        <f t="shared" si="576"/>
        <v/>
      </c>
      <c r="P3625" s="88">
        <f t="shared" si="577"/>
        <v>0</v>
      </c>
      <c r="Q3625" s="88">
        <f t="shared" si="578"/>
        <v>0</v>
      </c>
      <c r="R3625" s="88" t="e">
        <f>-IF(Tabla14[[#This Row],[DIAS HABILES O MORA]]&lt;0,(Tabla14[[#This Row],[VALOR PRESTAMO]]*Tabla14[[#This Row],[% INTERES ]]/30*U3625))+Tabla14[[#This Row],[VALOR CUOTAS]]</f>
        <v>#VALUE!</v>
      </c>
      <c r="S3625" s="88">
        <f>-IF(Tabla14[[#This Row],[DIAS HABILES O MORA]]&lt;0,(Tabla14[[#This Row],[VALOR PRESTAMO]]*Tabla14[[#This Row],[% INTERES ]]/30*U3625))</f>
        <v>0</v>
      </c>
      <c r="T3625" s="53" t="e">
        <f>Tabla14[[#This Row],[DEUDA CAPITAL]]+Tabla14[[#This Row],[INTERES  CUOTA]]</f>
        <v>#NUM!</v>
      </c>
      <c r="U3625" s="61" t="str">
        <f t="shared" si="579"/>
        <v/>
      </c>
    </row>
    <row r="3626" spans="9:21" ht="24.75" customHeight="1" x14ac:dyDescent="0.35">
      <c r="I3626" s="42">
        <f t="shared" si="570"/>
        <v>0</v>
      </c>
      <c r="J3626" s="65" t="e">
        <f t="shared" si="571"/>
        <v>#NUM!</v>
      </c>
      <c r="K3626" s="83" t="e">
        <f t="shared" si="572"/>
        <v>#NUM!</v>
      </c>
      <c r="L3626" s="83">
        <f t="shared" si="573"/>
        <v>0</v>
      </c>
      <c r="M3626" s="110" t="str">
        <f t="shared" si="574"/>
        <v/>
      </c>
      <c r="N3626" s="51" t="str">
        <f t="shared" si="575"/>
        <v/>
      </c>
      <c r="O3626" s="52" t="str">
        <f t="shared" si="576"/>
        <v/>
      </c>
      <c r="P3626" s="88">
        <f t="shared" si="577"/>
        <v>0</v>
      </c>
      <c r="Q3626" s="88">
        <f t="shared" si="578"/>
        <v>0</v>
      </c>
      <c r="R3626" s="88" t="e">
        <f>-IF(Tabla14[[#This Row],[DIAS HABILES O MORA]]&lt;0,(Tabla14[[#This Row],[VALOR PRESTAMO]]*Tabla14[[#This Row],[% INTERES ]]/30*U3626))+Tabla14[[#This Row],[VALOR CUOTAS]]</f>
        <v>#VALUE!</v>
      </c>
      <c r="S3626" s="88">
        <f>-IF(Tabla14[[#This Row],[DIAS HABILES O MORA]]&lt;0,(Tabla14[[#This Row],[VALOR PRESTAMO]]*Tabla14[[#This Row],[% INTERES ]]/30*U3626))</f>
        <v>0</v>
      </c>
      <c r="T3626" s="53" t="e">
        <f>Tabla14[[#This Row],[DEUDA CAPITAL]]+Tabla14[[#This Row],[INTERES  CUOTA]]</f>
        <v>#NUM!</v>
      </c>
      <c r="U3626" s="61" t="str">
        <f t="shared" si="579"/>
        <v/>
      </c>
    </row>
    <row r="3627" spans="9:21" ht="24.75" customHeight="1" x14ac:dyDescent="0.35">
      <c r="I3627" s="42">
        <f t="shared" si="570"/>
        <v>0</v>
      </c>
      <c r="J3627" s="65" t="e">
        <f t="shared" si="571"/>
        <v>#NUM!</v>
      </c>
      <c r="K3627" s="83" t="e">
        <f t="shared" si="572"/>
        <v>#NUM!</v>
      </c>
      <c r="L3627" s="83">
        <f t="shared" si="573"/>
        <v>0</v>
      </c>
      <c r="M3627" s="110" t="str">
        <f t="shared" si="574"/>
        <v/>
      </c>
      <c r="N3627" s="51" t="str">
        <f t="shared" si="575"/>
        <v/>
      </c>
      <c r="O3627" s="52" t="str">
        <f t="shared" si="576"/>
        <v/>
      </c>
      <c r="P3627" s="88">
        <f t="shared" si="577"/>
        <v>0</v>
      </c>
      <c r="Q3627" s="88">
        <f t="shared" si="578"/>
        <v>0</v>
      </c>
      <c r="R3627" s="88" t="e">
        <f>-IF(Tabla14[[#This Row],[DIAS HABILES O MORA]]&lt;0,(Tabla14[[#This Row],[VALOR PRESTAMO]]*Tabla14[[#This Row],[% INTERES ]]/30*U3627))+Tabla14[[#This Row],[VALOR CUOTAS]]</f>
        <v>#VALUE!</v>
      </c>
      <c r="S3627" s="88">
        <f>-IF(Tabla14[[#This Row],[DIAS HABILES O MORA]]&lt;0,(Tabla14[[#This Row],[VALOR PRESTAMO]]*Tabla14[[#This Row],[% INTERES ]]/30*U3627))</f>
        <v>0</v>
      </c>
      <c r="T3627" s="53" t="e">
        <f>Tabla14[[#This Row],[DEUDA CAPITAL]]+Tabla14[[#This Row],[INTERES  CUOTA]]</f>
        <v>#NUM!</v>
      </c>
      <c r="U3627" s="61" t="str">
        <f t="shared" si="579"/>
        <v/>
      </c>
    </row>
    <row r="3628" spans="9:21" ht="24.75" customHeight="1" x14ac:dyDescent="0.35">
      <c r="I3628" s="42">
        <f t="shared" si="570"/>
        <v>0</v>
      </c>
      <c r="J3628" s="65" t="e">
        <f t="shared" si="571"/>
        <v>#NUM!</v>
      </c>
      <c r="K3628" s="83" t="e">
        <f t="shared" si="572"/>
        <v>#NUM!</v>
      </c>
      <c r="L3628" s="83">
        <f t="shared" si="573"/>
        <v>0</v>
      </c>
      <c r="M3628" s="110" t="str">
        <f t="shared" si="574"/>
        <v/>
      </c>
      <c r="N3628" s="51" t="str">
        <f t="shared" si="575"/>
        <v/>
      </c>
      <c r="O3628" s="52" t="str">
        <f t="shared" si="576"/>
        <v/>
      </c>
      <c r="P3628" s="88">
        <f t="shared" si="577"/>
        <v>0</v>
      </c>
      <c r="Q3628" s="88">
        <f t="shared" si="578"/>
        <v>0</v>
      </c>
      <c r="R3628" s="88" t="e">
        <f>-IF(Tabla14[[#This Row],[DIAS HABILES O MORA]]&lt;0,(Tabla14[[#This Row],[VALOR PRESTAMO]]*Tabla14[[#This Row],[% INTERES ]]/30*U3628))+Tabla14[[#This Row],[VALOR CUOTAS]]</f>
        <v>#VALUE!</v>
      </c>
      <c r="S3628" s="88">
        <f>-IF(Tabla14[[#This Row],[DIAS HABILES O MORA]]&lt;0,(Tabla14[[#This Row],[VALOR PRESTAMO]]*Tabla14[[#This Row],[% INTERES ]]/30*U3628))</f>
        <v>0</v>
      </c>
      <c r="T3628" s="53" t="e">
        <f>Tabla14[[#This Row],[DEUDA CAPITAL]]+Tabla14[[#This Row],[INTERES  CUOTA]]</f>
        <v>#NUM!</v>
      </c>
      <c r="U3628" s="61" t="str">
        <f t="shared" si="579"/>
        <v/>
      </c>
    </row>
    <row r="3629" spans="9:21" ht="24.75" customHeight="1" x14ac:dyDescent="0.35">
      <c r="I3629" s="42">
        <f t="shared" si="570"/>
        <v>0</v>
      </c>
      <c r="J3629" s="65" t="e">
        <f t="shared" si="571"/>
        <v>#NUM!</v>
      </c>
      <c r="K3629" s="83" t="e">
        <f t="shared" si="572"/>
        <v>#NUM!</v>
      </c>
      <c r="L3629" s="83">
        <f t="shared" si="573"/>
        <v>0</v>
      </c>
      <c r="M3629" s="110" t="str">
        <f t="shared" si="574"/>
        <v/>
      </c>
      <c r="N3629" s="51" t="str">
        <f t="shared" si="575"/>
        <v/>
      </c>
      <c r="O3629" s="52" t="str">
        <f t="shared" si="576"/>
        <v/>
      </c>
      <c r="P3629" s="88">
        <f t="shared" si="577"/>
        <v>0</v>
      </c>
      <c r="Q3629" s="88">
        <f t="shared" si="578"/>
        <v>0</v>
      </c>
      <c r="R3629" s="88" t="e">
        <f>-IF(Tabla14[[#This Row],[DIAS HABILES O MORA]]&lt;0,(Tabla14[[#This Row],[VALOR PRESTAMO]]*Tabla14[[#This Row],[% INTERES ]]/30*U3629))+Tabla14[[#This Row],[VALOR CUOTAS]]</f>
        <v>#VALUE!</v>
      </c>
      <c r="S3629" s="88">
        <f>-IF(Tabla14[[#This Row],[DIAS HABILES O MORA]]&lt;0,(Tabla14[[#This Row],[VALOR PRESTAMO]]*Tabla14[[#This Row],[% INTERES ]]/30*U3629))</f>
        <v>0</v>
      </c>
      <c r="T3629" s="53" t="e">
        <f>Tabla14[[#This Row],[DEUDA CAPITAL]]+Tabla14[[#This Row],[INTERES  CUOTA]]</f>
        <v>#NUM!</v>
      </c>
      <c r="U3629" s="61" t="str">
        <f t="shared" si="579"/>
        <v/>
      </c>
    </row>
    <row r="3630" spans="9:21" ht="24.75" customHeight="1" x14ac:dyDescent="0.35">
      <c r="I3630" s="42">
        <f t="shared" si="570"/>
        <v>0</v>
      </c>
      <c r="J3630" s="65" t="e">
        <f t="shared" si="571"/>
        <v>#NUM!</v>
      </c>
      <c r="K3630" s="83" t="e">
        <f t="shared" si="572"/>
        <v>#NUM!</v>
      </c>
      <c r="L3630" s="83">
        <f t="shared" si="573"/>
        <v>0</v>
      </c>
      <c r="M3630" s="110" t="str">
        <f t="shared" si="574"/>
        <v/>
      </c>
      <c r="N3630" s="51" t="str">
        <f t="shared" si="575"/>
        <v/>
      </c>
      <c r="O3630" s="52" t="str">
        <f t="shared" si="576"/>
        <v/>
      </c>
      <c r="P3630" s="88">
        <f t="shared" si="577"/>
        <v>0</v>
      </c>
      <c r="Q3630" s="88">
        <f t="shared" si="578"/>
        <v>0</v>
      </c>
      <c r="R3630" s="88" t="e">
        <f>-IF(Tabla14[[#This Row],[DIAS HABILES O MORA]]&lt;0,(Tabla14[[#This Row],[VALOR PRESTAMO]]*Tabla14[[#This Row],[% INTERES ]]/30*U3630))+Tabla14[[#This Row],[VALOR CUOTAS]]</f>
        <v>#VALUE!</v>
      </c>
      <c r="S3630" s="88">
        <f>-IF(Tabla14[[#This Row],[DIAS HABILES O MORA]]&lt;0,(Tabla14[[#This Row],[VALOR PRESTAMO]]*Tabla14[[#This Row],[% INTERES ]]/30*U3630))</f>
        <v>0</v>
      </c>
      <c r="T3630" s="53" t="e">
        <f>Tabla14[[#This Row],[DEUDA CAPITAL]]+Tabla14[[#This Row],[INTERES  CUOTA]]</f>
        <v>#NUM!</v>
      </c>
      <c r="U3630" s="61" t="str">
        <f t="shared" si="579"/>
        <v/>
      </c>
    </row>
    <row r="3631" spans="9:21" ht="24.75" customHeight="1" x14ac:dyDescent="0.35">
      <c r="I3631" s="42">
        <f t="shared" si="570"/>
        <v>0</v>
      </c>
      <c r="J3631" s="65" t="e">
        <f t="shared" si="571"/>
        <v>#NUM!</v>
      </c>
      <c r="K3631" s="83" t="e">
        <f t="shared" si="572"/>
        <v>#NUM!</v>
      </c>
      <c r="L3631" s="83">
        <f t="shared" si="573"/>
        <v>0</v>
      </c>
      <c r="M3631" s="110" t="str">
        <f t="shared" si="574"/>
        <v/>
      </c>
      <c r="N3631" s="51" t="str">
        <f t="shared" si="575"/>
        <v/>
      </c>
      <c r="O3631" s="52" t="str">
        <f t="shared" si="576"/>
        <v/>
      </c>
      <c r="P3631" s="88">
        <f t="shared" si="577"/>
        <v>0</v>
      </c>
      <c r="Q3631" s="88">
        <f t="shared" si="578"/>
        <v>0</v>
      </c>
      <c r="R3631" s="88" t="e">
        <f>-IF(Tabla14[[#This Row],[DIAS HABILES O MORA]]&lt;0,(Tabla14[[#This Row],[VALOR PRESTAMO]]*Tabla14[[#This Row],[% INTERES ]]/30*U3631))+Tabla14[[#This Row],[VALOR CUOTAS]]</f>
        <v>#VALUE!</v>
      </c>
      <c r="S3631" s="88">
        <f>-IF(Tabla14[[#This Row],[DIAS HABILES O MORA]]&lt;0,(Tabla14[[#This Row],[VALOR PRESTAMO]]*Tabla14[[#This Row],[% INTERES ]]/30*U3631))</f>
        <v>0</v>
      </c>
      <c r="T3631" s="53" t="e">
        <f>Tabla14[[#This Row],[DEUDA CAPITAL]]+Tabla14[[#This Row],[INTERES  CUOTA]]</f>
        <v>#NUM!</v>
      </c>
      <c r="U3631" s="61" t="str">
        <f t="shared" si="579"/>
        <v/>
      </c>
    </row>
    <row r="3632" spans="9:21" ht="24.75" customHeight="1" x14ac:dyDescent="0.35">
      <c r="I3632" s="42">
        <f t="shared" si="570"/>
        <v>0</v>
      </c>
      <c r="J3632" s="65" t="e">
        <f t="shared" si="571"/>
        <v>#NUM!</v>
      </c>
      <c r="K3632" s="83" t="e">
        <f t="shared" si="572"/>
        <v>#NUM!</v>
      </c>
      <c r="L3632" s="83">
        <f t="shared" si="573"/>
        <v>0</v>
      </c>
      <c r="M3632" s="110" t="str">
        <f t="shared" si="574"/>
        <v/>
      </c>
      <c r="N3632" s="51" t="str">
        <f t="shared" si="575"/>
        <v/>
      </c>
      <c r="O3632" s="52" t="str">
        <f t="shared" si="576"/>
        <v/>
      </c>
      <c r="P3632" s="88">
        <f t="shared" si="577"/>
        <v>0</v>
      </c>
      <c r="Q3632" s="88">
        <f t="shared" si="578"/>
        <v>0</v>
      </c>
      <c r="R3632" s="88" t="e">
        <f>-IF(Tabla14[[#This Row],[DIAS HABILES O MORA]]&lt;0,(Tabla14[[#This Row],[VALOR PRESTAMO]]*Tabla14[[#This Row],[% INTERES ]]/30*U3632))+Tabla14[[#This Row],[VALOR CUOTAS]]</f>
        <v>#VALUE!</v>
      </c>
      <c r="S3632" s="88">
        <f>-IF(Tabla14[[#This Row],[DIAS HABILES O MORA]]&lt;0,(Tabla14[[#This Row],[VALOR PRESTAMO]]*Tabla14[[#This Row],[% INTERES ]]/30*U3632))</f>
        <v>0</v>
      </c>
      <c r="T3632" s="53" t="e">
        <f>Tabla14[[#This Row],[DEUDA CAPITAL]]+Tabla14[[#This Row],[INTERES  CUOTA]]</f>
        <v>#NUM!</v>
      </c>
      <c r="U3632" s="61" t="str">
        <f t="shared" si="579"/>
        <v/>
      </c>
    </row>
    <row r="3633" spans="9:21" ht="24.75" customHeight="1" x14ac:dyDescent="0.35">
      <c r="I3633" s="42">
        <f t="shared" si="570"/>
        <v>0</v>
      </c>
      <c r="J3633" s="65" t="e">
        <f t="shared" si="571"/>
        <v>#NUM!</v>
      </c>
      <c r="K3633" s="83" t="e">
        <f t="shared" si="572"/>
        <v>#NUM!</v>
      </c>
      <c r="L3633" s="83">
        <f t="shared" si="573"/>
        <v>0</v>
      </c>
      <c r="M3633" s="110" t="str">
        <f t="shared" si="574"/>
        <v/>
      </c>
      <c r="N3633" s="51" t="str">
        <f t="shared" si="575"/>
        <v/>
      </c>
      <c r="O3633" s="52" t="str">
        <f t="shared" si="576"/>
        <v/>
      </c>
      <c r="P3633" s="88">
        <f t="shared" si="577"/>
        <v>0</v>
      </c>
      <c r="Q3633" s="88">
        <f t="shared" si="578"/>
        <v>0</v>
      </c>
      <c r="R3633" s="88" t="e">
        <f>-IF(Tabla14[[#This Row],[DIAS HABILES O MORA]]&lt;0,(Tabla14[[#This Row],[VALOR PRESTAMO]]*Tabla14[[#This Row],[% INTERES ]]/30*U3633))+Tabla14[[#This Row],[VALOR CUOTAS]]</f>
        <v>#VALUE!</v>
      </c>
      <c r="S3633" s="88">
        <f>-IF(Tabla14[[#This Row],[DIAS HABILES O MORA]]&lt;0,(Tabla14[[#This Row],[VALOR PRESTAMO]]*Tabla14[[#This Row],[% INTERES ]]/30*U3633))</f>
        <v>0</v>
      </c>
      <c r="T3633" s="53" t="e">
        <f>Tabla14[[#This Row],[DEUDA CAPITAL]]+Tabla14[[#This Row],[INTERES  CUOTA]]</f>
        <v>#NUM!</v>
      </c>
      <c r="U3633" s="61" t="str">
        <f t="shared" si="579"/>
        <v/>
      </c>
    </row>
    <row r="3634" spans="9:21" ht="24.75" customHeight="1" x14ac:dyDescent="0.35">
      <c r="I3634" s="42">
        <f t="shared" si="570"/>
        <v>0</v>
      </c>
      <c r="J3634" s="65" t="e">
        <f t="shared" si="571"/>
        <v>#NUM!</v>
      </c>
      <c r="K3634" s="83" t="e">
        <f t="shared" si="572"/>
        <v>#NUM!</v>
      </c>
      <c r="L3634" s="83">
        <f t="shared" si="573"/>
        <v>0</v>
      </c>
      <c r="M3634" s="110" t="str">
        <f t="shared" si="574"/>
        <v/>
      </c>
      <c r="N3634" s="51" t="str">
        <f t="shared" si="575"/>
        <v/>
      </c>
      <c r="O3634" s="52" t="str">
        <f t="shared" si="576"/>
        <v/>
      </c>
      <c r="P3634" s="88">
        <f t="shared" si="577"/>
        <v>0</v>
      </c>
      <c r="Q3634" s="88">
        <f t="shared" si="578"/>
        <v>0</v>
      </c>
      <c r="R3634" s="88" t="e">
        <f>-IF(Tabla14[[#This Row],[DIAS HABILES O MORA]]&lt;0,(Tabla14[[#This Row],[VALOR PRESTAMO]]*Tabla14[[#This Row],[% INTERES ]]/30*U3634))+Tabla14[[#This Row],[VALOR CUOTAS]]</f>
        <v>#VALUE!</v>
      </c>
      <c r="S3634" s="88">
        <f>-IF(Tabla14[[#This Row],[DIAS HABILES O MORA]]&lt;0,(Tabla14[[#This Row],[VALOR PRESTAMO]]*Tabla14[[#This Row],[% INTERES ]]/30*U3634))</f>
        <v>0</v>
      </c>
      <c r="T3634" s="53" t="e">
        <f>Tabla14[[#This Row],[DEUDA CAPITAL]]+Tabla14[[#This Row],[INTERES  CUOTA]]</f>
        <v>#NUM!</v>
      </c>
      <c r="U3634" s="61" t="str">
        <f t="shared" si="579"/>
        <v/>
      </c>
    </row>
    <row r="3635" spans="9:21" ht="24.75" customHeight="1" x14ac:dyDescent="0.35">
      <c r="I3635" s="42">
        <f t="shared" si="570"/>
        <v>0</v>
      </c>
      <c r="J3635" s="65" t="e">
        <f t="shared" si="571"/>
        <v>#NUM!</v>
      </c>
      <c r="K3635" s="83" t="e">
        <f t="shared" si="572"/>
        <v>#NUM!</v>
      </c>
      <c r="L3635" s="83">
        <f t="shared" si="573"/>
        <v>0</v>
      </c>
      <c r="M3635" s="110" t="str">
        <f t="shared" si="574"/>
        <v/>
      </c>
      <c r="N3635" s="51" t="str">
        <f t="shared" si="575"/>
        <v/>
      </c>
      <c r="O3635" s="52" t="str">
        <f t="shared" si="576"/>
        <v/>
      </c>
      <c r="P3635" s="88">
        <f t="shared" si="577"/>
        <v>0</v>
      </c>
      <c r="Q3635" s="88">
        <f t="shared" si="578"/>
        <v>0</v>
      </c>
      <c r="R3635" s="88" t="e">
        <f>-IF(Tabla14[[#This Row],[DIAS HABILES O MORA]]&lt;0,(Tabla14[[#This Row],[VALOR PRESTAMO]]*Tabla14[[#This Row],[% INTERES ]]/30*U3635))+Tabla14[[#This Row],[VALOR CUOTAS]]</f>
        <v>#VALUE!</v>
      </c>
      <c r="S3635" s="88">
        <f>-IF(Tabla14[[#This Row],[DIAS HABILES O MORA]]&lt;0,(Tabla14[[#This Row],[VALOR PRESTAMO]]*Tabla14[[#This Row],[% INTERES ]]/30*U3635))</f>
        <v>0</v>
      </c>
      <c r="T3635" s="53" t="e">
        <f>Tabla14[[#This Row],[DEUDA CAPITAL]]+Tabla14[[#This Row],[INTERES  CUOTA]]</f>
        <v>#NUM!</v>
      </c>
      <c r="U3635" s="61" t="str">
        <f t="shared" si="579"/>
        <v/>
      </c>
    </row>
    <row r="3636" spans="9:21" ht="24.75" customHeight="1" x14ac:dyDescent="0.35">
      <c r="I3636" s="42">
        <f t="shared" si="570"/>
        <v>0</v>
      </c>
      <c r="J3636" s="65" t="e">
        <f t="shared" si="571"/>
        <v>#NUM!</v>
      </c>
      <c r="K3636" s="83" t="e">
        <f t="shared" si="572"/>
        <v>#NUM!</v>
      </c>
      <c r="L3636" s="83">
        <f t="shared" si="573"/>
        <v>0</v>
      </c>
      <c r="M3636" s="110" t="str">
        <f t="shared" si="574"/>
        <v/>
      </c>
      <c r="N3636" s="51" t="str">
        <f t="shared" si="575"/>
        <v/>
      </c>
      <c r="O3636" s="52" t="str">
        <f t="shared" si="576"/>
        <v/>
      </c>
      <c r="P3636" s="88">
        <f t="shared" si="577"/>
        <v>0</v>
      </c>
      <c r="Q3636" s="88">
        <f t="shared" si="578"/>
        <v>0</v>
      </c>
      <c r="R3636" s="88" t="e">
        <f>-IF(Tabla14[[#This Row],[DIAS HABILES O MORA]]&lt;0,(Tabla14[[#This Row],[VALOR PRESTAMO]]*Tabla14[[#This Row],[% INTERES ]]/30*U3636))+Tabla14[[#This Row],[VALOR CUOTAS]]</f>
        <v>#VALUE!</v>
      </c>
      <c r="S3636" s="88">
        <f>-IF(Tabla14[[#This Row],[DIAS HABILES O MORA]]&lt;0,(Tabla14[[#This Row],[VALOR PRESTAMO]]*Tabla14[[#This Row],[% INTERES ]]/30*U3636))</f>
        <v>0</v>
      </c>
      <c r="T3636" s="53" t="e">
        <f>Tabla14[[#This Row],[DEUDA CAPITAL]]+Tabla14[[#This Row],[INTERES  CUOTA]]</f>
        <v>#NUM!</v>
      </c>
      <c r="U3636" s="61" t="str">
        <f t="shared" si="579"/>
        <v/>
      </c>
    </row>
    <row r="3637" spans="9:21" ht="24.75" customHeight="1" x14ac:dyDescent="0.35">
      <c r="I3637" s="42">
        <f t="shared" si="570"/>
        <v>0</v>
      </c>
      <c r="J3637" s="65" t="e">
        <f t="shared" si="571"/>
        <v>#NUM!</v>
      </c>
      <c r="K3637" s="83" t="e">
        <f t="shared" si="572"/>
        <v>#NUM!</v>
      </c>
      <c r="L3637" s="83">
        <f t="shared" si="573"/>
        <v>0</v>
      </c>
      <c r="M3637" s="110" t="str">
        <f t="shared" si="574"/>
        <v/>
      </c>
      <c r="N3637" s="51" t="str">
        <f t="shared" si="575"/>
        <v/>
      </c>
      <c r="O3637" s="52" t="str">
        <f t="shared" si="576"/>
        <v/>
      </c>
      <c r="P3637" s="88">
        <f t="shared" si="577"/>
        <v>0</v>
      </c>
      <c r="Q3637" s="88">
        <f t="shared" si="578"/>
        <v>0</v>
      </c>
      <c r="R3637" s="88" t="e">
        <f>-IF(Tabla14[[#This Row],[DIAS HABILES O MORA]]&lt;0,(Tabla14[[#This Row],[VALOR PRESTAMO]]*Tabla14[[#This Row],[% INTERES ]]/30*U3637))+Tabla14[[#This Row],[VALOR CUOTAS]]</f>
        <v>#VALUE!</v>
      </c>
      <c r="S3637" s="88">
        <f>-IF(Tabla14[[#This Row],[DIAS HABILES O MORA]]&lt;0,(Tabla14[[#This Row],[VALOR PRESTAMO]]*Tabla14[[#This Row],[% INTERES ]]/30*U3637))</f>
        <v>0</v>
      </c>
      <c r="T3637" s="53" t="e">
        <f>Tabla14[[#This Row],[DEUDA CAPITAL]]+Tabla14[[#This Row],[INTERES  CUOTA]]</f>
        <v>#NUM!</v>
      </c>
      <c r="U3637" s="61" t="str">
        <f t="shared" si="579"/>
        <v/>
      </c>
    </row>
    <row r="3638" spans="9:21" ht="24.75" customHeight="1" x14ac:dyDescent="0.35">
      <c r="I3638" s="42">
        <f t="shared" si="570"/>
        <v>0</v>
      </c>
      <c r="J3638" s="65" t="e">
        <f t="shared" si="571"/>
        <v>#NUM!</v>
      </c>
      <c r="K3638" s="83" t="e">
        <f t="shared" si="572"/>
        <v>#NUM!</v>
      </c>
      <c r="L3638" s="83">
        <f t="shared" si="573"/>
        <v>0</v>
      </c>
      <c r="M3638" s="110" t="str">
        <f t="shared" si="574"/>
        <v/>
      </c>
      <c r="N3638" s="51" t="str">
        <f t="shared" si="575"/>
        <v/>
      </c>
      <c r="O3638" s="52" t="str">
        <f t="shared" si="576"/>
        <v/>
      </c>
      <c r="P3638" s="88">
        <f t="shared" si="577"/>
        <v>0</v>
      </c>
      <c r="Q3638" s="88">
        <f t="shared" si="578"/>
        <v>0</v>
      </c>
      <c r="R3638" s="88" t="e">
        <f>-IF(Tabla14[[#This Row],[DIAS HABILES O MORA]]&lt;0,(Tabla14[[#This Row],[VALOR PRESTAMO]]*Tabla14[[#This Row],[% INTERES ]]/30*U3638))+Tabla14[[#This Row],[VALOR CUOTAS]]</f>
        <v>#VALUE!</v>
      </c>
      <c r="S3638" s="88">
        <f>-IF(Tabla14[[#This Row],[DIAS HABILES O MORA]]&lt;0,(Tabla14[[#This Row],[VALOR PRESTAMO]]*Tabla14[[#This Row],[% INTERES ]]/30*U3638))</f>
        <v>0</v>
      </c>
      <c r="T3638" s="53" t="e">
        <f>Tabla14[[#This Row],[DEUDA CAPITAL]]+Tabla14[[#This Row],[INTERES  CUOTA]]</f>
        <v>#NUM!</v>
      </c>
      <c r="U3638" s="61" t="str">
        <f t="shared" si="579"/>
        <v/>
      </c>
    </row>
    <row r="3639" spans="9:21" ht="24.75" customHeight="1" x14ac:dyDescent="0.35">
      <c r="I3639" s="42">
        <f t="shared" si="570"/>
        <v>0</v>
      </c>
      <c r="J3639" s="65" t="e">
        <f t="shared" si="571"/>
        <v>#NUM!</v>
      </c>
      <c r="K3639" s="83" t="e">
        <f t="shared" si="572"/>
        <v>#NUM!</v>
      </c>
      <c r="L3639" s="83">
        <f t="shared" si="573"/>
        <v>0</v>
      </c>
      <c r="M3639" s="110" t="str">
        <f t="shared" si="574"/>
        <v/>
      </c>
      <c r="N3639" s="51" t="str">
        <f t="shared" si="575"/>
        <v/>
      </c>
      <c r="O3639" s="52" t="str">
        <f t="shared" si="576"/>
        <v/>
      </c>
      <c r="P3639" s="88">
        <f t="shared" si="577"/>
        <v>0</v>
      </c>
      <c r="Q3639" s="88">
        <f t="shared" si="578"/>
        <v>0</v>
      </c>
      <c r="R3639" s="88" t="e">
        <f>-IF(Tabla14[[#This Row],[DIAS HABILES O MORA]]&lt;0,(Tabla14[[#This Row],[VALOR PRESTAMO]]*Tabla14[[#This Row],[% INTERES ]]/30*U3639))+Tabla14[[#This Row],[VALOR CUOTAS]]</f>
        <v>#VALUE!</v>
      </c>
      <c r="S3639" s="88">
        <f>-IF(Tabla14[[#This Row],[DIAS HABILES O MORA]]&lt;0,(Tabla14[[#This Row],[VALOR PRESTAMO]]*Tabla14[[#This Row],[% INTERES ]]/30*U3639))</f>
        <v>0</v>
      </c>
      <c r="T3639" s="53" t="e">
        <f>Tabla14[[#This Row],[DEUDA CAPITAL]]+Tabla14[[#This Row],[INTERES  CUOTA]]</f>
        <v>#NUM!</v>
      </c>
      <c r="U3639" s="61" t="str">
        <f t="shared" si="579"/>
        <v/>
      </c>
    </row>
    <row r="3640" spans="9:21" ht="24.75" customHeight="1" x14ac:dyDescent="0.35">
      <c r="I3640" s="42">
        <f t="shared" si="570"/>
        <v>0</v>
      </c>
      <c r="J3640" s="65" t="e">
        <f t="shared" si="571"/>
        <v>#NUM!</v>
      </c>
      <c r="K3640" s="83" t="e">
        <f t="shared" si="572"/>
        <v>#NUM!</v>
      </c>
      <c r="L3640" s="83">
        <f t="shared" si="573"/>
        <v>0</v>
      </c>
      <c r="M3640" s="110" t="str">
        <f t="shared" si="574"/>
        <v/>
      </c>
      <c r="N3640" s="51" t="str">
        <f t="shared" si="575"/>
        <v/>
      </c>
      <c r="O3640" s="52" t="str">
        <f t="shared" si="576"/>
        <v/>
      </c>
      <c r="P3640" s="88">
        <f t="shared" si="577"/>
        <v>0</v>
      </c>
      <c r="Q3640" s="88">
        <f t="shared" si="578"/>
        <v>0</v>
      </c>
      <c r="R3640" s="88" t="e">
        <f>-IF(Tabla14[[#This Row],[DIAS HABILES O MORA]]&lt;0,(Tabla14[[#This Row],[VALOR PRESTAMO]]*Tabla14[[#This Row],[% INTERES ]]/30*U3640))+Tabla14[[#This Row],[VALOR CUOTAS]]</f>
        <v>#VALUE!</v>
      </c>
      <c r="S3640" s="88">
        <f>-IF(Tabla14[[#This Row],[DIAS HABILES O MORA]]&lt;0,(Tabla14[[#This Row],[VALOR PRESTAMO]]*Tabla14[[#This Row],[% INTERES ]]/30*U3640))</f>
        <v>0</v>
      </c>
      <c r="T3640" s="53" t="e">
        <f>Tabla14[[#This Row],[DEUDA CAPITAL]]+Tabla14[[#This Row],[INTERES  CUOTA]]</f>
        <v>#NUM!</v>
      </c>
      <c r="U3640" s="61" t="str">
        <f t="shared" si="579"/>
        <v/>
      </c>
    </row>
    <row r="3641" spans="9:21" ht="24.75" customHeight="1" x14ac:dyDescent="0.35">
      <c r="I3641" s="42">
        <f t="shared" si="570"/>
        <v>0</v>
      </c>
      <c r="J3641" s="65" t="e">
        <f t="shared" si="571"/>
        <v>#NUM!</v>
      </c>
      <c r="K3641" s="83" t="e">
        <f t="shared" si="572"/>
        <v>#NUM!</v>
      </c>
      <c r="L3641" s="83">
        <f t="shared" si="573"/>
        <v>0</v>
      </c>
      <c r="M3641" s="110" t="str">
        <f t="shared" si="574"/>
        <v/>
      </c>
      <c r="N3641" s="51" t="str">
        <f t="shared" si="575"/>
        <v/>
      </c>
      <c r="O3641" s="52" t="str">
        <f t="shared" si="576"/>
        <v/>
      </c>
      <c r="P3641" s="88">
        <f t="shared" si="577"/>
        <v>0</v>
      </c>
      <c r="Q3641" s="88">
        <f t="shared" si="578"/>
        <v>0</v>
      </c>
      <c r="R3641" s="88" t="e">
        <f>-IF(Tabla14[[#This Row],[DIAS HABILES O MORA]]&lt;0,(Tabla14[[#This Row],[VALOR PRESTAMO]]*Tabla14[[#This Row],[% INTERES ]]/30*U3641))+Tabla14[[#This Row],[VALOR CUOTAS]]</f>
        <v>#VALUE!</v>
      </c>
      <c r="S3641" s="88">
        <f>-IF(Tabla14[[#This Row],[DIAS HABILES O MORA]]&lt;0,(Tabla14[[#This Row],[VALOR PRESTAMO]]*Tabla14[[#This Row],[% INTERES ]]/30*U3641))</f>
        <v>0</v>
      </c>
      <c r="T3641" s="53" t="e">
        <f>Tabla14[[#This Row],[DEUDA CAPITAL]]+Tabla14[[#This Row],[INTERES  CUOTA]]</f>
        <v>#NUM!</v>
      </c>
      <c r="U3641" s="61" t="str">
        <f t="shared" si="579"/>
        <v/>
      </c>
    </row>
    <row r="3642" spans="9:21" ht="24.75" customHeight="1" x14ac:dyDescent="0.35">
      <c r="I3642" s="42">
        <f t="shared" si="570"/>
        <v>0</v>
      </c>
      <c r="J3642" s="65" t="e">
        <f t="shared" si="571"/>
        <v>#NUM!</v>
      </c>
      <c r="K3642" s="83" t="e">
        <f t="shared" si="572"/>
        <v>#NUM!</v>
      </c>
      <c r="L3642" s="83">
        <f t="shared" si="573"/>
        <v>0</v>
      </c>
      <c r="M3642" s="110" t="str">
        <f t="shared" si="574"/>
        <v/>
      </c>
      <c r="N3642" s="51" t="str">
        <f t="shared" si="575"/>
        <v/>
      </c>
      <c r="O3642" s="52" t="str">
        <f t="shared" si="576"/>
        <v/>
      </c>
      <c r="P3642" s="88">
        <f t="shared" si="577"/>
        <v>0</v>
      </c>
      <c r="Q3642" s="88">
        <f t="shared" si="578"/>
        <v>0</v>
      </c>
      <c r="R3642" s="88" t="e">
        <f>-IF(Tabla14[[#This Row],[DIAS HABILES O MORA]]&lt;0,(Tabla14[[#This Row],[VALOR PRESTAMO]]*Tabla14[[#This Row],[% INTERES ]]/30*U3642))+Tabla14[[#This Row],[VALOR CUOTAS]]</f>
        <v>#VALUE!</v>
      </c>
      <c r="S3642" s="88">
        <f>-IF(Tabla14[[#This Row],[DIAS HABILES O MORA]]&lt;0,(Tabla14[[#This Row],[VALOR PRESTAMO]]*Tabla14[[#This Row],[% INTERES ]]/30*U3642))</f>
        <v>0</v>
      </c>
      <c r="T3642" s="53" t="e">
        <f>Tabla14[[#This Row],[DEUDA CAPITAL]]+Tabla14[[#This Row],[INTERES  CUOTA]]</f>
        <v>#NUM!</v>
      </c>
      <c r="U3642" s="61" t="str">
        <f t="shared" si="579"/>
        <v/>
      </c>
    </row>
    <row r="3643" spans="9:21" ht="24.75" customHeight="1" x14ac:dyDescent="0.35">
      <c r="I3643" s="42">
        <f t="shared" si="570"/>
        <v>0</v>
      </c>
      <c r="J3643" s="65" t="e">
        <f t="shared" si="571"/>
        <v>#NUM!</v>
      </c>
      <c r="K3643" s="83" t="e">
        <f t="shared" si="572"/>
        <v>#NUM!</v>
      </c>
      <c r="L3643" s="83">
        <f t="shared" si="573"/>
        <v>0</v>
      </c>
      <c r="M3643" s="110" t="str">
        <f t="shared" si="574"/>
        <v/>
      </c>
      <c r="N3643" s="51" t="str">
        <f t="shared" si="575"/>
        <v/>
      </c>
      <c r="O3643" s="52" t="str">
        <f t="shared" si="576"/>
        <v/>
      </c>
      <c r="P3643" s="88">
        <f t="shared" si="577"/>
        <v>0</v>
      </c>
      <c r="Q3643" s="88">
        <f t="shared" si="578"/>
        <v>0</v>
      </c>
      <c r="R3643" s="88" t="e">
        <f>-IF(Tabla14[[#This Row],[DIAS HABILES O MORA]]&lt;0,(Tabla14[[#This Row],[VALOR PRESTAMO]]*Tabla14[[#This Row],[% INTERES ]]/30*U3643))+Tabla14[[#This Row],[VALOR CUOTAS]]</f>
        <v>#VALUE!</v>
      </c>
      <c r="S3643" s="88">
        <f>-IF(Tabla14[[#This Row],[DIAS HABILES O MORA]]&lt;0,(Tabla14[[#This Row],[VALOR PRESTAMO]]*Tabla14[[#This Row],[% INTERES ]]/30*U3643))</f>
        <v>0</v>
      </c>
      <c r="T3643" s="53" t="e">
        <f>Tabla14[[#This Row],[DEUDA CAPITAL]]+Tabla14[[#This Row],[INTERES  CUOTA]]</f>
        <v>#NUM!</v>
      </c>
      <c r="U3643" s="61" t="str">
        <f t="shared" si="579"/>
        <v/>
      </c>
    </row>
    <row r="3644" spans="9:21" ht="24.75" customHeight="1" x14ac:dyDescent="0.35">
      <c r="I3644" s="42">
        <f t="shared" si="570"/>
        <v>0</v>
      </c>
      <c r="J3644" s="65" t="e">
        <f t="shared" si="571"/>
        <v>#NUM!</v>
      </c>
      <c r="K3644" s="83" t="e">
        <f t="shared" si="572"/>
        <v>#NUM!</v>
      </c>
      <c r="L3644" s="83">
        <f t="shared" si="573"/>
        <v>0</v>
      </c>
      <c r="M3644" s="110" t="str">
        <f t="shared" si="574"/>
        <v/>
      </c>
      <c r="N3644" s="51" t="str">
        <f t="shared" si="575"/>
        <v/>
      </c>
      <c r="O3644" s="52" t="str">
        <f t="shared" si="576"/>
        <v/>
      </c>
      <c r="P3644" s="88">
        <f t="shared" si="577"/>
        <v>0</v>
      </c>
      <c r="Q3644" s="88">
        <f t="shared" si="578"/>
        <v>0</v>
      </c>
      <c r="R3644" s="88" t="e">
        <f>-IF(Tabla14[[#This Row],[DIAS HABILES O MORA]]&lt;0,(Tabla14[[#This Row],[VALOR PRESTAMO]]*Tabla14[[#This Row],[% INTERES ]]/30*U3644))+Tabla14[[#This Row],[VALOR CUOTAS]]</f>
        <v>#VALUE!</v>
      </c>
      <c r="S3644" s="88">
        <f>-IF(Tabla14[[#This Row],[DIAS HABILES O MORA]]&lt;0,(Tabla14[[#This Row],[VALOR PRESTAMO]]*Tabla14[[#This Row],[% INTERES ]]/30*U3644))</f>
        <v>0</v>
      </c>
      <c r="T3644" s="53" t="e">
        <f>Tabla14[[#This Row],[DEUDA CAPITAL]]+Tabla14[[#This Row],[INTERES  CUOTA]]</f>
        <v>#NUM!</v>
      </c>
      <c r="U3644" s="61" t="str">
        <f t="shared" si="579"/>
        <v/>
      </c>
    </row>
    <row r="3645" spans="9:21" ht="24.75" customHeight="1" x14ac:dyDescent="0.35">
      <c r="I3645" s="42">
        <f t="shared" si="570"/>
        <v>0</v>
      </c>
      <c r="J3645" s="65" t="e">
        <f t="shared" si="571"/>
        <v>#NUM!</v>
      </c>
      <c r="K3645" s="83" t="e">
        <f t="shared" si="572"/>
        <v>#NUM!</v>
      </c>
      <c r="L3645" s="83">
        <f t="shared" si="573"/>
        <v>0</v>
      </c>
      <c r="M3645" s="110" t="str">
        <f t="shared" si="574"/>
        <v/>
      </c>
      <c r="N3645" s="51" t="str">
        <f t="shared" si="575"/>
        <v/>
      </c>
      <c r="O3645" s="52" t="str">
        <f t="shared" si="576"/>
        <v/>
      </c>
      <c r="P3645" s="88">
        <f t="shared" si="577"/>
        <v>0</v>
      </c>
      <c r="Q3645" s="88">
        <f t="shared" si="578"/>
        <v>0</v>
      </c>
      <c r="R3645" s="88" t="e">
        <f>-IF(Tabla14[[#This Row],[DIAS HABILES O MORA]]&lt;0,(Tabla14[[#This Row],[VALOR PRESTAMO]]*Tabla14[[#This Row],[% INTERES ]]/30*U3645))+Tabla14[[#This Row],[VALOR CUOTAS]]</f>
        <v>#VALUE!</v>
      </c>
      <c r="S3645" s="88">
        <f>-IF(Tabla14[[#This Row],[DIAS HABILES O MORA]]&lt;0,(Tabla14[[#This Row],[VALOR PRESTAMO]]*Tabla14[[#This Row],[% INTERES ]]/30*U3645))</f>
        <v>0</v>
      </c>
      <c r="T3645" s="53" t="e">
        <f>Tabla14[[#This Row],[DEUDA CAPITAL]]+Tabla14[[#This Row],[INTERES  CUOTA]]</f>
        <v>#NUM!</v>
      </c>
      <c r="U3645" s="61" t="str">
        <f t="shared" si="579"/>
        <v/>
      </c>
    </row>
    <row r="3646" spans="9:21" ht="24.75" customHeight="1" x14ac:dyDescent="0.35">
      <c r="I3646" s="42">
        <f t="shared" si="570"/>
        <v>0</v>
      </c>
      <c r="J3646" s="65" t="e">
        <f t="shared" si="571"/>
        <v>#NUM!</v>
      </c>
      <c r="K3646" s="83" t="e">
        <f t="shared" si="572"/>
        <v>#NUM!</v>
      </c>
      <c r="L3646" s="83">
        <f t="shared" si="573"/>
        <v>0</v>
      </c>
      <c r="M3646" s="110" t="str">
        <f t="shared" si="574"/>
        <v/>
      </c>
      <c r="N3646" s="51" t="str">
        <f t="shared" si="575"/>
        <v/>
      </c>
      <c r="O3646" s="52" t="str">
        <f t="shared" si="576"/>
        <v/>
      </c>
      <c r="P3646" s="88">
        <f t="shared" si="577"/>
        <v>0</v>
      </c>
      <c r="Q3646" s="88">
        <f t="shared" si="578"/>
        <v>0</v>
      </c>
      <c r="R3646" s="88" t="e">
        <f>-IF(Tabla14[[#This Row],[DIAS HABILES O MORA]]&lt;0,(Tabla14[[#This Row],[VALOR PRESTAMO]]*Tabla14[[#This Row],[% INTERES ]]/30*U3646))+Tabla14[[#This Row],[VALOR CUOTAS]]</f>
        <v>#VALUE!</v>
      </c>
      <c r="S3646" s="88">
        <f>-IF(Tabla14[[#This Row],[DIAS HABILES O MORA]]&lt;0,(Tabla14[[#This Row],[VALOR PRESTAMO]]*Tabla14[[#This Row],[% INTERES ]]/30*U3646))</f>
        <v>0</v>
      </c>
      <c r="T3646" s="53" t="e">
        <f>Tabla14[[#This Row],[DEUDA CAPITAL]]+Tabla14[[#This Row],[INTERES  CUOTA]]</f>
        <v>#NUM!</v>
      </c>
      <c r="U3646" s="61" t="str">
        <f t="shared" si="579"/>
        <v/>
      </c>
    </row>
    <row r="3647" spans="9:21" ht="24.75" customHeight="1" x14ac:dyDescent="0.35">
      <c r="I3647" s="42">
        <f t="shared" si="570"/>
        <v>0</v>
      </c>
      <c r="J3647" s="65" t="e">
        <f t="shared" si="571"/>
        <v>#NUM!</v>
      </c>
      <c r="K3647" s="83" t="e">
        <f t="shared" si="572"/>
        <v>#NUM!</v>
      </c>
      <c r="L3647" s="83">
        <f t="shared" si="573"/>
        <v>0</v>
      </c>
      <c r="M3647" s="110" t="str">
        <f t="shared" si="574"/>
        <v/>
      </c>
      <c r="N3647" s="51" t="str">
        <f t="shared" si="575"/>
        <v/>
      </c>
      <c r="O3647" s="52" t="str">
        <f t="shared" si="576"/>
        <v/>
      </c>
      <c r="P3647" s="88">
        <f t="shared" si="577"/>
        <v>0</v>
      </c>
      <c r="Q3647" s="88">
        <f t="shared" si="578"/>
        <v>0</v>
      </c>
      <c r="R3647" s="88" t="e">
        <f>-IF(Tabla14[[#This Row],[DIAS HABILES O MORA]]&lt;0,(Tabla14[[#This Row],[VALOR PRESTAMO]]*Tabla14[[#This Row],[% INTERES ]]/30*U3647))+Tabla14[[#This Row],[VALOR CUOTAS]]</f>
        <v>#VALUE!</v>
      </c>
      <c r="S3647" s="88">
        <f>-IF(Tabla14[[#This Row],[DIAS HABILES O MORA]]&lt;0,(Tabla14[[#This Row],[VALOR PRESTAMO]]*Tabla14[[#This Row],[% INTERES ]]/30*U3647))</f>
        <v>0</v>
      </c>
      <c r="T3647" s="53" t="e">
        <f>Tabla14[[#This Row],[DEUDA CAPITAL]]+Tabla14[[#This Row],[INTERES  CUOTA]]</f>
        <v>#NUM!</v>
      </c>
      <c r="U3647" s="61" t="str">
        <f t="shared" si="579"/>
        <v/>
      </c>
    </row>
    <row r="3648" spans="9:21" ht="24.75" customHeight="1" x14ac:dyDescent="0.35">
      <c r="I3648" s="42">
        <f t="shared" si="570"/>
        <v>0</v>
      </c>
      <c r="J3648" s="65" t="e">
        <f t="shared" si="571"/>
        <v>#NUM!</v>
      </c>
      <c r="K3648" s="83" t="e">
        <f t="shared" si="572"/>
        <v>#NUM!</v>
      </c>
      <c r="L3648" s="83">
        <f t="shared" si="573"/>
        <v>0</v>
      </c>
      <c r="M3648" s="110" t="str">
        <f t="shared" si="574"/>
        <v/>
      </c>
      <c r="N3648" s="51" t="str">
        <f t="shared" si="575"/>
        <v/>
      </c>
      <c r="O3648" s="52" t="str">
        <f t="shared" si="576"/>
        <v/>
      </c>
      <c r="P3648" s="88">
        <f t="shared" si="577"/>
        <v>0</v>
      </c>
      <c r="Q3648" s="88">
        <f t="shared" si="578"/>
        <v>0</v>
      </c>
      <c r="R3648" s="88" t="e">
        <f>-IF(Tabla14[[#This Row],[DIAS HABILES O MORA]]&lt;0,(Tabla14[[#This Row],[VALOR PRESTAMO]]*Tabla14[[#This Row],[% INTERES ]]/30*U3648))+Tabla14[[#This Row],[VALOR CUOTAS]]</f>
        <v>#VALUE!</v>
      </c>
      <c r="S3648" s="88">
        <f>-IF(Tabla14[[#This Row],[DIAS HABILES O MORA]]&lt;0,(Tabla14[[#This Row],[VALOR PRESTAMO]]*Tabla14[[#This Row],[% INTERES ]]/30*U3648))</f>
        <v>0</v>
      </c>
      <c r="T3648" s="53" t="e">
        <f>Tabla14[[#This Row],[DEUDA CAPITAL]]+Tabla14[[#This Row],[INTERES  CUOTA]]</f>
        <v>#NUM!</v>
      </c>
      <c r="U3648" s="61" t="str">
        <f t="shared" si="579"/>
        <v/>
      </c>
    </row>
    <row r="3649" spans="9:21" ht="24.75" customHeight="1" x14ac:dyDescent="0.35">
      <c r="I3649" s="42">
        <f t="shared" si="570"/>
        <v>0</v>
      </c>
      <c r="J3649" s="65" t="e">
        <f t="shared" si="571"/>
        <v>#NUM!</v>
      </c>
      <c r="K3649" s="83" t="e">
        <f t="shared" si="572"/>
        <v>#NUM!</v>
      </c>
      <c r="L3649" s="83">
        <f t="shared" si="573"/>
        <v>0</v>
      </c>
      <c r="M3649" s="110" t="str">
        <f t="shared" si="574"/>
        <v/>
      </c>
      <c r="N3649" s="51" t="str">
        <f t="shared" si="575"/>
        <v/>
      </c>
      <c r="O3649" s="52" t="str">
        <f t="shared" si="576"/>
        <v/>
      </c>
      <c r="P3649" s="88">
        <f t="shared" si="577"/>
        <v>0</v>
      </c>
      <c r="Q3649" s="88">
        <f t="shared" si="578"/>
        <v>0</v>
      </c>
      <c r="R3649" s="88" t="e">
        <f>-IF(Tabla14[[#This Row],[DIAS HABILES O MORA]]&lt;0,(Tabla14[[#This Row],[VALOR PRESTAMO]]*Tabla14[[#This Row],[% INTERES ]]/30*U3649))+Tabla14[[#This Row],[VALOR CUOTAS]]</f>
        <v>#VALUE!</v>
      </c>
      <c r="S3649" s="88">
        <f>-IF(Tabla14[[#This Row],[DIAS HABILES O MORA]]&lt;0,(Tabla14[[#This Row],[VALOR PRESTAMO]]*Tabla14[[#This Row],[% INTERES ]]/30*U3649))</f>
        <v>0</v>
      </c>
      <c r="T3649" s="53" t="e">
        <f>Tabla14[[#This Row],[DEUDA CAPITAL]]+Tabla14[[#This Row],[INTERES  CUOTA]]</f>
        <v>#NUM!</v>
      </c>
      <c r="U3649" s="61" t="str">
        <f t="shared" si="579"/>
        <v/>
      </c>
    </row>
    <row r="3650" spans="9:21" ht="24.75" customHeight="1" x14ac:dyDescent="0.35">
      <c r="I3650" s="42">
        <f t="shared" si="570"/>
        <v>0</v>
      </c>
      <c r="J3650" s="65" t="e">
        <f t="shared" si="571"/>
        <v>#NUM!</v>
      </c>
      <c r="K3650" s="83" t="e">
        <f t="shared" si="572"/>
        <v>#NUM!</v>
      </c>
      <c r="L3650" s="83">
        <f t="shared" si="573"/>
        <v>0</v>
      </c>
      <c r="M3650" s="110" t="str">
        <f t="shared" si="574"/>
        <v/>
      </c>
      <c r="N3650" s="51" t="str">
        <f t="shared" si="575"/>
        <v/>
      </c>
      <c r="O3650" s="52" t="str">
        <f t="shared" si="576"/>
        <v/>
      </c>
      <c r="P3650" s="88">
        <f t="shared" si="577"/>
        <v>0</v>
      </c>
      <c r="Q3650" s="88">
        <f t="shared" si="578"/>
        <v>0</v>
      </c>
      <c r="R3650" s="88" t="e">
        <f>-IF(Tabla14[[#This Row],[DIAS HABILES O MORA]]&lt;0,(Tabla14[[#This Row],[VALOR PRESTAMO]]*Tabla14[[#This Row],[% INTERES ]]/30*U3650))+Tabla14[[#This Row],[VALOR CUOTAS]]</f>
        <v>#VALUE!</v>
      </c>
      <c r="S3650" s="88">
        <f>-IF(Tabla14[[#This Row],[DIAS HABILES O MORA]]&lt;0,(Tabla14[[#This Row],[VALOR PRESTAMO]]*Tabla14[[#This Row],[% INTERES ]]/30*U3650))</f>
        <v>0</v>
      </c>
      <c r="T3650" s="53" t="e">
        <f>Tabla14[[#This Row],[DEUDA CAPITAL]]+Tabla14[[#This Row],[INTERES  CUOTA]]</f>
        <v>#NUM!</v>
      </c>
      <c r="U3650" s="61" t="str">
        <f t="shared" si="579"/>
        <v/>
      </c>
    </row>
    <row r="3651" spans="9:21" ht="24.75" customHeight="1" x14ac:dyDescent="0.35">
      <c r="I3651" s="42">
        <f t="shared" si="570"/>
        <v>0</v>
      </c>
      <c r="J3651" s="65" t="e">
        <f t="shared" si="571"/>
        <v>#NUM!</v>
      </c>
      <c r="K3651" s="83" t="e">
        <f t="shared" si="572"/>
        <v>#NUM!</v>
      </c>
      <c r="L3651" s="83">
        <f t="shared" si="573"/>
        <v>0</v>
      </c>
      <c r="M3651" s="110" t="str">
        <f t="shared" si="574"/>
        <v/>
      </c>
      <c r="N3651" s="51" t="str">
        <f t="shared" si="575"/>
        <v/>
      </c>
      <c r="O3651" s="52" t="str">
        <f t="shared" si="576"/>
        <v/>
      </c>
      <c r="P3651" s="88">
        <f t="shared" si="577"/>
        <v>0</v>
      </c>
      <c r="Q3651" s="88">
        <f t="shared" si="578"/>
        <v>0</v>
      </c>
      <c r="R3651" s="88" t="e">
        <f>-IF(Tabla14[[#This Row],[DIAS HABILES O MORA]]&lt;0,(Tabla14[[#This Row],[VALOR PRESTAMO]]*Tabla14[[#This Row],[% INTERES ]]/30*U3651))+Tabla14[[#This Row],[VALOR CUOTAS]]</f>
        <v>#VALUE!</v>
      </c>
      <c r="S3651" s="88">
        <f>-IF(Tabla14[[#This Row],[DIAS HABILES O MORA]]&lt;0,(Tabla14[[#This Row],[VALOR PRESTAMO]]*Tabla14[[#This Row],[% INTERES ]]/30*U3651))</f>
        <v>0</v>
      </c>
      <c r="T3651" s="53" t="e">
        <f>Tabla14[[#This Row],[DEUDA CAPITAL]]+Tabla14[[#This Row],[INTERES  CUOTA]]</f>
        <v>#NUM!</v>
      </c>
      <c r="U3651" s="61" t="str">
        <f t="shared" si="579"/>
        <v/>
      </c>
    </row>
    <row r="3652" spans="9:21" ht="24.75" customHeight="1" x14ac:dyDescent="0.35">
      <c r="I3652" s="42">
        <f t="shared" si="570"/>
        <v>0</v>
      </c>
      <c r="J3652" s="65" t="e">
        <f t="shared" si="571"/>
        <v>#NUM!</v>
      </c>
      <c r="K3652" s="83" t="e">
        <f t="shared" si="572"/>
        <v>#NUM!</v>
      </c>
      <c r="L3652" s="83">
        <f t="shared" si="573"/>
        <v>0</v>
      </c>
      <c r="M3652" s="110" t="str">
        <f t="shared" si="574"/>
        <v/>
      </c>
      <c r="N3652" s="51" t="str">
        <f t="shared" si="575"/>
        <v/>
      </c>
      <c r="O3652" s="52" t="str">
        <f t="shared" si="576"/>
        <v/>
      </c>
      <c r="P3652" s="88">
        <f t="shared" si="577"/>
        <v>0</v>
      </c>
      <c r="Q3652" s="88">
        <f t="shared" si="578"/>
        <v>0</v>
      </c>
      <c r="R3652" s="88" t="e">
        <f>-IF(Tabla14[[#This Row],[DIAS HABILES O MORA]]&lt;0,(Tabla14[[#This Row],[VALOR PRESTAMO]]*Tabla14[[#This Row],[% INTERES ]]/30*U3652))+Tabla14[[#This Row],[VALOR CUOTAS]]</f>
        <v>#VALUE!</v>
      </c>
      <c r="S3652" s="88">
        <f>-IF(Tabla14[[#This Row],[DIAS HABILES O MORA]]&lt;0,(Tabla14[[#This Row],[VALOR PRESTAMO]]*Tabla14[[#This Row],[% INTERES ]]/30*U3652))</f>
        <v>0</v>
      </c>
      <c r="T3652" s="53" t="e">
        <f>Tabla14[[#This Row],[DEUDA CAPITAL]]+Tabla14[[#This Row],[INTERES  CUOTA]]</f>
        <v>#NUM!</v>
      </c>
      <c r="U3652" s="61" t="str">
        <f t="shared" si="579"/>
        <v/>
      </c>
    </row>
    <row r="3653" spans="9:21" ht="24.75" customHeight="1" x14ac:dyDescent="0.35">
      <c r="I3653" s="42">
        <f t="shared" si="570"/>
        <v>0</v>
      </c>
      <c r="J3653" s="65" t="e">
        <f t="shared" si="571"/>
        <v>#NUM!</v>
      </c>
      <c r="K3653" s="83" t="e">
        <f t="shared" si="572"/>
        <v>#NUM!</v>
      </c>
      <c r="L3653" s="83">
        <f t="shared" si="573"/>
        <v>0</v>
      </c>
      <c r="M3653" s="110" t="str">
        <f t="shared" si="574"/>
        <v/>
      </c>
      <c r="N3653" s="51" t="str">
        <f t="shared" si="575"/>
        <v/>
      </c>
      <c r="O3653" s="52" t="str">
        <f t="shared" si="576"/>
        <v/>
      </c>
      <c r="P3653" s="88">
        <f t="shared" si="577"/>
        <v>0</v>
      </c>
      <c r="Q3653" s="88">
        <f t="shared" si="578"/>
        <v>0</v>
      </c>
      <c r="R3653" s="88" t="e">
        <f>-IF(Tabla14[[#This Row],[DIAS HABILES O MORA]]&lt;0,(Tabla14[[#This Row],[VALOR PRESTAMO]]*Tabla14[[#This Row],[% INTERES ]]/30*U3653))+Tabla14[[#This Row],[VALOR CUOTAS]]</f>
        <v>#VALUE!</v>
      </c>
      <c r="S3653" s="88">
        <f>-IF(Tabla14[[#This Row],[DIAS HABILES O MORA]]&lt;0,(Tabla14[[#This Row],[VALOR PRESTAMO]]*Tabla14[[#This Row],[% INTERES ]]/30*U3653))</f>
        <v>0</v>
      </c>
      <c r="T3653" s="53" t="e">
        <f>Tabla14[[#This Row],[DEUDA CAPITAL]]+Tabla14[[#This Row],[INTERES  CUOTA]]</f>
        <v>#NUM!</v>
      </c>
      <c r="U3653" s="61" t="str">
        <f t="shared" si="579"/>
        <v/>
      </c>
    </row>
    <row r="3654" spans="9:21" ht="24.75" customHeight="1" x14ac:dyDescent="0.35">
      <c r="I3654" s="42">
        <f t="shared" si="570"/>
        <v>0</v>
      </c>
      <c r="J3654" s="65" t="e">
        <f t="shared" si="571"/>
        <v>#NUM!</v>
      </c>
      <c r="K3654" s="83" t="e">
        <f t="shared" si="572"/>
        <v>#NUM!</v>
      </c>
      <c r="L3654" s="83">
        <f t="shared" si="573"/>
        <v>0</v>
      </c>
      <c r="M3654" s="110" t="str">
        <f t="shared" si="574"/>
        <v/>
      </c>
      <c r="N3654" s="51" t="str">
        <f t="shared" si="575"/>
        <v/>
      </c>
      <c r="O3654" s="52" t="str">
        <f t="shared" si="576"/>
        <v/>
      </c>
      <c r="P3654" s="88">
        <f t="shared" si="577"/>
        <v>0</v>
      </c>
      <c r="Q3654" s="88">
        <f t="shared" si="578"/>
        <v>0</v>
      </c>
      <c r="R3654" s="88" t="e">
        <f>-IF(Tabla14[[#This Row],[DIAS HABILES O MORA]]&lt;0,(Tabla14[[#This Row],[VALOR PRESTAMO]]*Tabla14[[#This Row],[% INTERES ]]/30*U3654))+Tabla14[[#This Row],[VALOR CUOTAS]]</f>
        <v>#VALUE!</v>
      </c>
      <c r="S3654" s="88">
        <f>-IF(Tabla14[[#This Row],[DIAS HABILES O MORA]]&lt;0,(Tabla14[[#This Row],[VALOR PRESTAMO]]*Tabla14[[#This Row],[% INTERES ]]/30*U3654))</f>
        <v>0</v>
      </c>
      <c r="T3654" s="53" t="e">
        <f>Tabla14[[#This Row],[DEUDA CAPITAL]]+Tabla14[[#This Row],[INTERES  CUOTA]]</f>
        <v>#NUM!</v>
      </c>
      <c r="U3654" s="61" t="str">
        <f t="shared" si="579"/>
        <v/>
      </c>
    </row>
    <row r="3655" spans="9:21" ht="24.75" customHeight="1" x14ac:dyDescent="0.35">
      <c r="I3655" s="42">
        <f t="shared" si="570"/>
        <v>0</v>
      </c>
      <c r="J3655" s="65" t="e">
        <f t="shared" si="571"/>
        <v>#NUM!</v>
      </c>
      <c r="K3655" s="83" t="e">
        <f t="shared" si="572"/>
        <v>#NUM!</v>
      </c>
      <c r="L3655" s="83">
        <f t="shared" si="573"/>
        <v>0</v>
      </c>
      <c r="M3655" s="110" t="str">
        <f t="shared" si="574"/>
        <v/>
      </c>
      <c r="N3655" s="51" t="str">
        <f t="shared" si="575"/>
        <v/>
      </c>
      <c r="O3655" s="52" t="str">
        <f t="shared" si="576"/>
        <v/>
      </c>
      <c r="P3655" s="88">
        <f t="shared" si="577"/>
        <v>0</v>
      </c>
      <c r="Q3655" s="88">
        <f t="shared" si="578"/>
        <v>0</v>
      </c>
      <c r="R3655" s="88" t="e">
        <f>-IF(Tabla14[[#This Row],[DIAS HABILES O MORA]]&lt;0,(Tabla14[[#This Row],[VALOR PRESTAMO]]*Tabla14[[#This Row],[% INTERES ]]/30*U3655))+Tabla14[[#This Row],[VALOR CUOTAS]]</f>
        <v>#VALUE!</v>
      </c>
      <c r="S3655" s="88">
        <f>-IF(Tabla14[[#This Row],[DIAS HABILES O MORA]]&lt;0,(Tabla14[[#This Row],[VALOR PRESTAMO]]*Tabla14[[#This Row],[% INTERES ]]/30*U3655))</f>
        <v>0</v>
      </c>
      <c r="T3655" s="53" t="e">
        <f>Tabla14[[#This Row],[DEUDA CAPITAL]]+Tabla14[[#This Row],[INTERES  CUOTA]]</f>
        <v>#NUM!</v>
      </c>
      <c r="U3655" s="61" t="str">
        <f t="shared" si="579"/>
        <v/>
      </c>
    </row>
    <row r="3656" spans="9:21" ht="24.75" customHeight="1" x14ac:dyDescent="0.35">
      <c r="I3656" s="42">
        <f t="shared" si="570"/>
        <v>0</v>
      </c>
      <c r="J3656" s="65" t="e">
        <f t="shared" si="571"/>
        <v>#NUM!</v>
      </c>
      <c r="K3656" s="83" t="e">
        <f t="shared" si="572"/>
        <v>#NUM!</v>
      </c>
      <c r="L3656" s="83">
        <f t="shared" si="573"/>
        <v>0</v>
      </c>
      <c r="M3656" s="110" t="str">
        <f t="shared" si="574"/>
        <v/>
      </c>
      <c r="N3656" s="51" t="str">
        <f t="shared" si="575"/>
        <v/>
      </c>
      <c r="O3656" s="52" t="str">
        <f t="shared" si="576"/>
        <v/>
      </c>
      <c r="P3656" s="88">
        <f t="shared" si="577"/>
        <v>0</v>
      </c>
      <c r="Q3656" s="88">
        <f t="shared" si="578"/>
        <v>0</v>
      </c>
      <c r="R3656" s="88" t="e">
        <f>-IF(Tabla14[[#This Row],[DIAS HABILES O MORA]]&lt;0,(Tabla14[[#This Row],[VALOR PRESTAMO]]*Tabla14[[#This Row],[% INTERES ]]/30*U3656))+Tabla14[[#This Row],[VALOR CUOTAS]]</f>
        <v>#VALUE!</v>
      </c>
      <c r="S3656" s="88">
        <f>-IF(Tabla14[[#This Row],[DIAS HABILES O MORA]]&lt;0,(Tabla14[[#This Row],[VALOR PRESTAMO]]*Tabla14[[#This Row],[% INTERES ]]/30*U3656))</f>
        <v>0</v>
      </c>
      <c r="T3656" s="53" t="e">
        <f>Tabla14[[#This Row],[DEUDA CAPITAL]]+Tabla14[[#This Row],[INTERES  CUOTA]]</f>
        <v>#NUM!</v>
      </c>
      <c r="U3656" s="61" t="str">
        <f t="shared" si="579"/>
        <v/>
      </c>
    </row>
    <row r="3657" spans="9:21" ht="24.75" customHeight="1" x14ac:dyDescent="0.35">
      <c r="I3657" s="42">
        <f t="shared" si="570"/>
        <v>0</v>
      </c>
      <c r="J3657" s="65" t="e">
        <f t="shared" si="571"/>
        <v>#NUM!</v>
      </c>
      <c r="K3657" s="83" t="e">
        <f t="shared" si="572"/>
        <v>#NUM!</v>
      </c>
      <c r="L3657" s="83">
        <f t="shared" si="573"/>
        <v>0</v>
      </c>
      <c r="M3657" s="110" t="str">
        <f t="shared" si="574"/>
        <v/>
      </c>
      <c r="N3657" s="51" t="str">
        <f t="shared" si="575"/>
        <v/>
      </c>
      <c r="O3657" s="52" t="str">
        <f t="shared" si="576"/>
        <v/>
      </c>
      <c r="P3657" s="88">
        <f t="shared" si="577"/>
        <v>0</v>
      </c>
      <c r="Q3657" s="88">
        <f t="shared" si="578"/>
        <v>0</v>
      </c>
      <c r="R3657" s="88" t="e">
        <f>-IF(Tabla14[[#This Row],[DIAS HABILES O MORA]]&lt;0,(Tabla14[[#This Row],[VALOR PRESTAMO]]*Tabla14[[#This Row],[% INTERES ]]/30*U3657))+Tabla14[[#This Row],[VALOR CUOTAS]]</f>
        <v>#VALUE!</v>
      </c>
      <c r="S3657" s="88">
        <f>-IF(Tabla14[[#This Row],[DIAS HABILES O MORA]]&lt;0,(Tabla14[[#This Row],[VALOR PRESTAMO]]*Tabla14[[#This Row],[% INTERES ]]/30*U3657))</f>
        <v>0</v>
      </c>
      <c r="T3657" s="53" t="e">
        <f>Tabla14[[#This Row],[DEUDA CAPITAL]]+Tabla14[[#This Row],[INTERES  CUOTA]]</f>
        <v>#NUM!</v>
      </c>
      <c r="U3657" s="61" t="str">
        <f t="shared" si="579"/>
        <v/>
      </c>
    </row>
    <row r="3658" spans="9:21" ht="24.75" customHeight="1" x14ac:dyDescent="0.35">
      <c r="I3658" s="42">
        <f t="shared" si="570"/>
        <v>0</v>
      </c>
      <c r="J3658" s="65" t="e">
        <f t="shared" si="571"/>
        <v>#NUM!</v>
      </c>
      <c r="K3658" s="83" t="e">
        <f t="shared" si="572"/>
        <v>#NUM!</v>
      </c>
      <c r="L3658" s="83">
        <f t="shared" si="573"/>
        <v>0</v>
      </c>
      <c r="M3658" s="110" t="str">
        <f t="shared" si="574"/>
        <v/>
      </c>
      <c r="N3658" s="51" t="str">
        <f t="shared" si="575"/>
        <v/>
      </c>
      <c r="O3658" s="52" t="str">
        <f t="shared" si="576"/>
        <v/>
      </c>
      <c r="P3658" s="88">
        <f t="shared" si="577"/>
        <v>0</v>
      </c>
      <c r="Q3658" s="88">
        <f t="shared" si="578"/>
        <v>0</v>
      </c>
      <c r="R3658" s="88" t="e">
        <f>-IF(Tabla14[[#This Row],[DIAS HABILES O MORA]]&lt;0,(Tabla14[[#This Row],[VALOR PRESTAMO]]*Tabla14[[#This Row],[% INTERES ]]/30*U3658))+Tabla14[[#This Row],[VALOR CUOTAS]]</f>
        <v>#VALUE!</v>
      </c>
      <c r="S3658" s="88">
        <f>-IF(Tabla14[[#This Row],[DIAS HABILES O MORA]]&lt;0,(Tabla14[[#This Row],[VALOR PRESTAMO]]*Tabla14[[#This Row],[% INTERES ]]/30*U3658))</f>
        <v>0</v>
      </c>
      <c r="T3658" s="53" t="e">
        <f>Tabla14[[#This Row],[DEUDA CAPITAL]]+Tabla14[[#This Row],[INTERES  CUOTA]]</f>
        <v>#NUM!</v>
      </c>
      <c r="U3658" s="61" t="str">
        <f t="shared" si="579"/>
        <v/>
      </c>
    </row>
    <row r="3659" spans="9:21" ht="24.75" customHeight="1" x14ac:dyDescent="0.35">
      <c r="I3659" s="42">
        <f t="shared" si="570"/>
        <v>0</v>
      </c>
      <c r="J3659" s="65" t="e">
        <f t="shared" si="571"/>
        <v>#NUM!</v>
      </c>
      <c r="K3659" s="83" t="e">
        <f t="shared" si="572"/>
        <v>#NUM!</v>
      </c>
      <c r="L3659" s="83">
        <f t="shared" si="573"/>
        <v>0</v>
      </c>
      <c r="M3659" s="110" t="str">
        <f t="shared" si="574"/>
        <v/>
      </c>
      <c r="N3659" s="51" t="str">
        <f t="shared" si="575"/>
        <v/>
      </c>
      <c r="O3659" s="52" t="str">
        <f t="shared" si="576"/>
        <v/>
      </c>
      <c r="P3659" s="88">
        <f t="shared" si="577"/>
        <v>0</v>
      </c>
      <c r="Q3659" s="88">
        <f t="shared" si="578"/>
        <v>0</v>
      </c>
      <c r="R3659" s="88" t="e">
        <f>-IF(Tabla14[[#This Row],[DIAS HABILES O MORA]]&lt;0,(Tabla14[[#This Row],[VALOR PRESTAMO]]*Tabla14[[#This Row],[% INTERES ]]/30*U3659))+Tabla14[[#This Row],[VALOR CUOTAS]]</f>
        <v>#VALUE!</v>
      </c>
      <c r="S3659" s="88">
        <f>-IF(Tabla14[[#This Row],[DIAS HABILES O MORA]]&lt;0,(Tabla14[[#This Row],[VALOR PRESTAMO]]*Tabla14[[#This Row],[% INTERES ]]/30*U3659))</f>
        <v>0</v>
      </c>
      <c r="T3659" s="53" t="e">
        <f>Tabla14[[#This Row],[DEUDA CAPITAL]]+Tabla14[[#This Row],[INTERES  CUOTA]]</f>
        <v>#NUM!</v>
      </c>
      <c r="U3659" s="61" t="str">
        <f t="shared" si="579"/>
        <v/>
      </c>
    </row>
    <row r="3660" spans="9:21" ht="24.75" customHeight="1" x14ac:dyDescent="0.35">
      <c r="I3660" s="42">
        <f t="shared" si="570"/>
        <v>0</v>
      </c>
      <c r="J3660" s="65" t="e">
        <f t="shared" si="571"/>
        <v>#NUM!</v>
      </c>
      <c r="K3660" s="83" t="e">
        <f t="shared" si="572"/>
        <v>#NUM!</v>
      </c>
      <c r="L3660" s="83">
        <f t="shared" si="573"/>
        <v>0</v>
      </c>
      <c r="M3660" s="110" t="str">
        <f t="shared" si="574"/>
        <v/>
      </c>
      <c r="N3660" s="51" t="str">
        <f t="shared" si="575"/>
        <v/>
      </c>
      <c r="O3660" s="52" t="str">
        <f t="shared" si="576"/>
        <v/>
      </c>
      <c r="P3660" s="88">
        <f t="shared" si="577"/>
        <v>0</v>
      </c>
      <c r="Q3660" s="88">
        <f t="shared" si="578"/>
        <v>0</v>
      </c>
      <c r="R3660" s="88" t="e">
        <f>-IF(Tabla14[[#This Row],[DIAS HABILES O MORA]]&lt;0,(Tabla14[[#This Row],[VALOR PRESTAMO]]*Tabla14[[#This Row],[% INTERES ]]/30*U3660))+Tabla14[[#This Row],[VALOR CUOTAS]]</f>
        <v>#VALUE!</v>
      </c>
      <c r="S3660" s="88">
        <f>-IF(Tabla14[[#This Row],[DIAS HABILES O MORA]]&lt;0,(Tabla14[[#This Row],[VALOR PRESTAMO]]*Tabla14[[#This Row],[% INTERES ]]/30*U3660))</f>
        <v>0</v>
      </c>
      <c r="T3660" s="53" t="e">
        <f>Tabla14[[#This Row],[DEUDA CAPITAL]]+Tabla14[[#This Row],[INTERES  CUOTA]]</f>
        <v>#NUM!</v>
      </c>
      <c r="U3660" s="61" t="str">
        <f t="shared" si="579"/>
        <v/>
      </c>
    </row>
    <row r="3661" spans="9:21" ht="24.75" customHeight="1" x14ac:dyDescent="0.35">
      <c r="I3661" s="42">
        <f t="shared" si="570"/>
        <v>0</v>
      </c>
      <c r="J3661" s="65" t="e">
        <f t="shared" si="571"/>
        <v>#NUM!</v>
      </c>
      <c r="K3661" s="83" t="e">
        <f t="shared" si="572"/>
        <v>#NUM!</v>
      </c>
      <c r="L3661" s="83">
        <f t="shared" si="573"/>
        <v>0</v>
      </c>
      <c r="M3661" s="110" t="str">
        <f t="shared" si="574"/>
        <v/>
      </c>
      <c r="N3661" s="51" t="str">
        <f t="shared" si="575"/>
        <v/>
      </c>
      <c r="O3661" s="52" t="str">
        <f t="shared" si="576"/>
        <v/>
      </c>
      <c r="P3661" s="88">
        <f t="shared" si="577"/>
        <v>0</v>
      </c>
      <c r="Q3661" s="88">
        <f t="shared" si="578"/>
        <v>0</v>
      </c>
      <c r="R3661" s="88" t="e">
        <f>-IF(Tabla14[[#This Row],[DIAS HABILES O MORA]]&lt;0,(Tabla14[[#This Row],[VALOR PRESTAMO]]*Tabla14[[#This Row],[% INTERES ]]/30*U3661))+Tabla14[[#This Row],[VALOR CUOTAS]]</f>
        <v>#VALUE!</v>
      </c>
      <c r="S3661" s="88">
        <f>-IF(Tabla14[[#This Row],[DIAS HABILES O MORA]]&lt;0,(Tabla14[[#This Row],[VALOR PRESTAMO]]*Tabla14[[#This Row],[% INTERES ]]/30*U3661))</f>
        <v>0</v>
      </c>
      <c r="T3661" s="53" t="e">
        <f>Tabla14[[#This Row],[DEUDA CAPITAL]]+Tabla14[[#This Row],[INTERES  CUOTA]]</f>
        <v>#NUM!</v>
      </c>
      <c r="U3661" s="61" t="str">
        <f t="shared" si="579"/>
        <v/>
      </c>
    </row>
    <row r="3662" spans="9:21" ht="24.75" customHeight="1" x14ac:dyDescent="0.35">
      <c r="I3662" s="42">
        <f t="shared" si="570"/>
        <v>0</v>
      </c>
      <c r="J3662" s="65" t="e">
        <f t="shared" si="571"/>
        <v>#NUM!</v>
      </c>
      <c r="K3662" s="83" t="e">
        <f t="shared" si="572"/>
        <v>#NUM!</v>
      </c>
      <c r="L3662" s="83">
        <f t="shared" si="573"/>
        <v>0</v>
      </c>
      <c r="M3662" s="110" t="str">
        <f t="shared" si="574"/>
        <v/>
      </c>
      <c r="N3662" s="51" t="str">
        <f t="shared" si="575"/>
        <v/>
      </c>
      <c r="O3662" s="52" t="str">
        <f t="shared" si="576"/>
        <v/>
      </c>
      <c r="P3662" s="88">
        <f t="shared" si="577"/>
        <v>0</v>
      </c>
      <c r="Q3662" s="88">
        <f t="shared" si="578"/>
        <v>0</v>
      </c>
      <c r="R3662" s="88" t="e">
        <f>-IF(Tabla14[[#This Row],[DIAS HABILES O MORA]]&lt;0,(Tabla14[[#This Row],[VALOR PRESTAMO]]*Tabla14[[#This Row],[% INTERES ]]/30*U3662))+Tabla14[[#This Row],[VALOR CUOTAS]]</f>
        <v>#VALUE!</v>
      </c>
      <c r="S3662" s="88">
        <f>-IF(Tabla14[[#This Row],[DIAS HABILES O MORA]]&lt;0,(Tabla14[[#This Row],[VALOR PRESTAMO]]*Tabla14[[#This Row],[% INTERES ]]/30*U3662))</f>
        <v>0</v>
      </c>
      <c r="T3662" s="53" t="e">
        <f>Tabla14[[#This Row],[DEUDA CAPITAL]]+Tabla14[[#This Row],[INTERES  CUOTA]]</f>
        <v>#NUM!</v>
      </c>
      <c r="U3662" s="61" t="str">
        <f t="shared" si="579"/>
        <v/>
      </c>
    </row>
    <row r="3663" spans="9:21" ht="24.75" customHeight="1" x14ac:dyDescent="0.35">
      <c r="I3663" s="42">
        <f t="shared" si="570"/>
        <v>0</v>
      </c>
      <c r="J3663" s="65" t="e">
        <f t="shared" si="571"/>
        <v>#NUM!</v>
      </c>
      <c r="K3663" s="83" t="e">
        <f t="shared" si="572"/>
        <v>#NUM!</v>
      </c>
      <c r="L3663" s="83">
        <f t="shared" si="573"/>
        <v>0</v>
      </c>
      <c r="M3663" s="110" t="str">
        <f t="shared" si="574"/>
        <v/>
      </c>
      <c r="N3663" s="51" t="str">
        <f t="shared" si="575"/>
        <v/>
      </c>
      <c r="O3663" s="52" t="str">
        <f t="shared" si="576"/>
        <v/>
      </c>
      <c r="P3663" s="88">
        <f t="shared" si="577"/>
        <v>0</v>
      </c>
      <c r="Q3663" s="88">
        <f t="shared" si="578"/>
        <v>0</v>
      </c>
      <c r="R3663" s="88" t="e">
        <f>-IF(Tabla14[[#This Row],[DIAS HABILES O MORA]]&lt;0,(Tabla14[[#This Row],[VALOR PRESTAMO]]*Tabla14[[#This Row],[% INTERES ]]/30*U3663))+Tabla14[[#This Row],[VALOR CUOTAS]]</f>
        <v>#VALUE!</v>
      </c>
      <c r="S3663" s="88">
        <f>-IF(Tabla14[[#This Row],[DIAS HABILES O MORA]]&lt;0,(Tabla14[[#This Row],[VALOR PRESTAMO]]*Tabla14[[#This Row],[% INTERES ]]/30*U3663))</f>
        <v>0</v>
      </c>
      <c r="T3663" s="53" t="e">
        <f>Tabla14[[#This Row],[DEUDA CAPITAL]]+Tabla14[[#This Row],[INTERES  CUOTA]]</f>
        <v>#NUM!</v>
      </c>
      <c r="U3663" s="61" t="str">
        <f t="shared" si="579"/>
        <v/>
      </c>
    </row>
    <row r="3664" spans="9:21" ht="24.75" customHeight="1" x14ac:dyDescent="0.35">
      <c r="I3664" s="42">
        <f t="shared" ref="I3664:I3727" si="580">IF(C3664&lt;0,"",IF(Q3664=0,0,IF(G3664=0,H3664+1,IF(H3664&lt;G3664,H3664+1,IF(G3664=H3664,0)))))</f>
        <v>0</v>
      </c>
      <c r="J3664" s="65" t="e">
        <f t="shared" ref="J3664:J3727" si="581">IF(F3664="SOLO INTERES",Q3664*D3664,-IPMT(D3664,I3664,G3664,C3664))</f>
        <v>#NUM!</v>
      </c>
      <c r="K3664" s="83" t="e">
        <f t="shared" ref="K3664:K3727" si="582">IF(F3664="SOLO INTERES",0,-PPMT(D3664,I3664,G3664,C3664))</f>
        <v>#NUM!</v>
      </c>
      <c r="L3664" s="83">
        <f t="shared" ref="L3664:L3727" si="583">IF(F3664="SOLO INTERES",SUM(Y3664:AAE3664),IFERROR(-CUMIPMT(D3664,G3664,C3664,1,H3664,0),0)+SUM(Y3664:WY3664))</f>
        <v>0</v>
      </c>
      <c r="M3664" s="110" t="str">
        <f t="shared" ref="M3664:M3727" si="584">IFERROR(IF(F3664="SOLO INTERES",Q3664*D3664,-PMT(D3664,G3664,C3664,0)),"")</f>
        <v/>
      </c>
      <c r="N3664" s="51" t="str">
        <f t="shared" ref="N3664:N3727" si="585">IF(Q3664=0,"",IF(E3664="MENSUAL",EDATE(B3664,I3664),IF(E3664="QUINCENAL",B3664+(I3664*15),IF(E3664="SEMANAL",B3664+(I3664*7)))))</f>
        <v/>
      </c>
      <c r="O3664" s="52" t="str">
        <f t="shared" ref="O3664:O3727" si="586">IF(C3664=0,"",IF(Q3664&lt;1,"PAGADO",IF(N3664=$A$3,"COBRAR HOY",IF(N3664&lt;$A$3,"EN MORA",IF(N3664&gt;$A$3,"AL DIA")))))</f>
        <v/>
      </c>
      <c r="P3664" s="88">
        <f t="shared" ref="P3664:P3727" si="587">IFERROR(-CUMPRINC(D3664,G3664,C3664,1,H3664,0),0)+W3664</f>
        <v>0</v>
      </c>
      <c r="Q3664" s="88">
        <f t="shared" ref="Q3664:Q3727" si="588">IFERROR(C3664-P3664,"")</f>
        <v>0</v>
      </c>
      <c r="R3664" s="88" t="e">
        <f>-IF(Tabla14[[#This Row],[DIAS HABILES O MORA]]&lt;0,(Tabla14[[#This Row],[VALOR PRESTAMO]]*Tabla14[[#This Row],[% INTERES ]]/30*U3664))+Tabla14[[#This Row],[VALOR CUOTAS]]</f>
        <v>#VALUE!</v>
      </c>
      <c r="S3664" s="88">
        <f>-IF(Tabla14[[#This Row],[DIAS HABILES O MORA]]&lt;0,(Tabla14[[#This Row],[VALOR PRESTAMO]]*Tabla14[[#This Row],[% INTERES ]]/30*U3664))</f>
        <v>0</v>
      </c>
      <c r="T3664" s="53" t="e">
        <f>Tabla14[[#This Row],[DEUDA CAPITAL]]+Tabla14[[#This Row],[INTERES  CUOTA]]</f>
        <v>#NUM!</v>
      </c>
      <c r="U3664" s="61" t="str">
        <f t="shared" ref="U3664:U3727" si="589">IF(O3664="PAGADO","",IFERROR(-IF(C3664=0,"",$A$3-N3664),""))</f>
        <v/>
      </c>
    </row>
    <row r="3665" spans="9:21" ht="24.75" customHeight="1" x14ac:dyDescent="0.35">
      <c r="I3665" s="42">
        <f t="shared" si="580"/>
        <v>0</v>
      </c>
      <c r="J3665" s="65" t="e">
        <f t="shared" si="581"/>
        <v>#NUM!</v>
      </c>
      <c r="K3665" s="83" t="e">
        <f t="shared" si="582"/>
        <v>#NUM!</v>
      </c>
      <c r="L3665" s="83">
        <f t="shared" si="583"/>
        <v>0</v>
      </c>
      <c r="M3665" s="110" t="str">
        <f t="shared" si="584"/>
        <v/>
      </c>
      <c r="N3665" s="51" t="str">
        <f t="shared" si="585"/>
        <v/>
      </c>
      <c r="O3665" s="52" t="str">
        <f t="shared" si="586"/>
        <v/>
      </c>
      <c r="P3665" s="88">
        <f t="shared" si="587"/>
        <v>0</v>
      </c>
      <c r="Q3665" s="88">
        <f t="shared" si="588"/>
        <v>0</v>
      </c>
      <c r="R3665" s="88" t="e">
        <f>-IF(Tabla14[[#This Row],[DIAS HABILES O MORA]]&lt;0,(Tabla14[[#This Row],[VALOR PRESTAMO]]*Tabla14[[#This Row],[% INTERES ]]/30*U3665))+Tabla14[[#This Row],[VALOR CUOTAS]]</f>
        <v>#VALUE!</v>
      </c>
      <c r="S3665" s="88">
        <f>-IF(Tabla14[[#This Row],[DIAS HABILES O MORA]]&lt;0,(Tabla14[[#This Row],[VALOR PRESTAMO]]*Tabla14[[#This Row],[% INTERES ]]/30*U3665))</f>
        <v>0</v>
      </c>
      <c r="T3665" s="53" t="e">
        <f>Tabla14[[#This Row],[DEUDA CAPITAL]]+Tabla14[[#This Row],[INTERES  CUOTA]]</f>
        <v>#NUM!</v>
      </c>
      <c r="U3665" s="61" t="str">
        <f t="shared" si="589"/>
        <v/>
      </c>
    </row>
    <row r="3666" spans="9:21" ht="24.75" customHeight="1" x14ac:dyDescent="0.35">
      <c r="I3666" s="42">
        <f t="shared" si="580"/>
        <v>0</v>
      </c>
      <c r="J3666" s="65" t="e">
        <f t="shared" si="581"/>
        <v>#NUM!</v>
      </c>
      <c r="K3666" s="83" t="e">
        <f t="shared" si="582"/>
        <v>#NUM!</v>
      </c>
      <c r="L3666" s="83">
        <f t="shared" si="583"/>
        <v>0</v>
      </c>
      <c r="M3666" s="110" t="str">
        <f t="shared" si="584"/>
        <v/>
      </c>
      <c r="N3666" s="51" t="str">
        <f t="shared" si="585"/>
        <v/>
      </c>
      <c r="O3666" s="52" t="str">
        <f t="shared" si="586"/>
        <v/>
      </c>
      <c r="P3666" s="88">
        <f t="shared" si="587"/>
        <v>0</v>
      </c>
      <c r="Q3666" s="88">
        <f t="shared" si="588"/>
        <v>0</v>
      </c>
      <c r="R3666" s="88" t="e">
        <f>-IF(Tabla14[[#This Row],[DIAS HABILES O MORA]]&lt;0,(Tabla14[[#This Row],[VALOR PRESTAMO]]*Tabla14[[#This Row],[% INTERES ]]/30*U3666))+Tabla14[[#This Row],[VALOR CUOTAS]]</f>
        <v>#VALUE!</v>
      </c>
      <c r="S3666" s="88">
        <f>-IF(Tabla14[[#This Row],[DIAS HABILES O MORA]]&lt;0,(Tabla14[[#This Row],[VALOR PRESTAMO]]*Tabla14[[#This Row],[% INTERES ]]/30*U3666))</f>
        <v>0</v>
      </c>
      <c r="T3666" s="53" t="e">
        <f>Tabla14[[#This Row],[DEUDA CAPITAL]]+Tabla14[[#This Row],[INTERES  CUOTA]]</f>
        <v>#NUM!</v>
      </c>
      <c r="U3666" s="61" t="str">
        <f t="shared" si="589"/>
        <v/>
      </c>
    </row>
    <row r="3667" spans="9:21" ht="24.75" customHeight="1" x14ac:dyDescent="0.35">
      <c r="I3667" s="42">
        <f t="shared" si="580"/>
        <v>0</v>
      </c>
      <c r="J3667" s="65" t="e">
        <f t="shared" si="581"/>
        <v>#NUM!</v>
      </c>
      <c r="K3667" s="83" t="e">
        <f t="shared" si="582"/>
        <v>#NUM!</v>
      </c>
      <c r="L3667" s="83">
        <f t="shared" si="583"/>
        <v>0</v>
      </c>
      <c r="M3667" s="110" t="str">
        <f t="shared" si="584"/>
        <v/>
      </c>
      <c r="N3667" s="51" t="str">
        <f t="shared" si="585"/>
        <v/>
      </c>
      <c r="O3667" s="52" t="str">
        <f t="shared" si="586"/>
        <v/>
      </c>
      <c r="P3667" s="88">
        <f t="shared" si="587"/>
        <v>0</v>
      </c>
      <c r="Q3667" s="88">
        <f t="shared" si="588"/>
        <v>0</v>
      </c>
      <c r="R3667" s="88" t="e">
        <f>-IF(Tabla14[[#This Row],[DIAS HABILES O MORA]]&lt;0,(Tabla14[[#This Row],[VALOR PRESTAMO]]*Tabla14[[#This Row],[% INTERES ]]/30*U3667))+Tabla14[[#This Row],[VALOR CUOTAS]]</f>
        <v>#VALUE!</v>
      </c>
      <c r="S3667" s="88">
        <f>-IF(Tabla14[[#This Row],[DIAS HABILES O MORA]]&lt;0,(Tabla14[[#This Row],[VALOR PRESTAMO]]*Tabla14[[#This Row],[% INTERES ]]/30*U3667))</f>
        <v>0</v>
      </c>
      <c r="T3667" s="53" t="e">
        <f>Tabla14[[#This Row],[DEUDA CAPITAL]]+Tabla14[[#This Row],[INTERES  CUOTA]]</f>
        <v>#NUM!</v>
      </c>
      <c r="U3667" s="61" t="str">
        <f t="shared" si="589"/>
        <v/>
      </c>
    </row>
    <row r="3668" spans="9:21" ht="24.75" customHeight="1" x14ac:dyDescent="0.35">
      <c r="I3668" s="42">
        <f t="shared" si="580"/>
        <v>0</v>
      </c>
      <c r="J3668" s="65" t="e">
        <f t="shared" si="581"/>
        <v>#NUM!</v>
      </c>
      <c r="K3668" s="83" t="e">
        <f t="shared" si="582"/>
        <v>#NUM!</v>
      </c>
      <c r="L3668" s="83">
        <f t="shared" si="583"/>
        <v>0</v>
      </c>
      <c r="M3668" s="110" t="str">
        <f t="shared" si="584"/>
        <v/>
      </c>
      <c r="N3668" s="51" t="str">
        <f t="shared" si="585"/>
        <v/>
      </c>
      <c r="O3668" s="52" t="str">
        <f t="shared" si="586"/>
        <v/>
      </c>
      <c r="P3668" s="88">
        <f t="shared" si="587"/>
        <v>0</v>
      </c>
      <c r="Q3668" s="88">
        <f t="shared" si="588"/>
        <v>0</v>
      </c>
      <c r="R3668" s="88" t="e">
        <f>-IF(Tabla14[[#This Row],[DIAS HABILES O MORA]]&lt;0,(Tabla14[[#This Row],[VALOR PRESTAMO]]*Tabla14[[#This Row],[% INTERES ]]/30*U3668))+Tabla14[[#This Row],[VALOR CUOTAS]]</f>
        <v>#VALUE!</v>
      </c>
      <c r="S3668" s="88">
        <f>-IF(Tabla14[[#This Row],[DIAS HABILES O MORA]]&lt;0,(Tabla14[[#This Row],[VALOR PRESTAMO]]*Tabla14[[#This Row],[% INTERES ]]/30*U3668))</f>
        <v>0</v>
      </c>
      <c r="T3668" s="53" t="e">
        <f>Tabla14[[#This Row],[DEUDA CAPITAL]]+Tabla14[[#This Row],[INTERES  CUOTA]]</f>
        <v>#NUM!</v>
      </c>
      <c r="U3668" s="61" t="str">
        <f t="shared" si="589"/>
        <v/>
      </c>
    </row>
    <row r="3669" spans="9:21" ht="24.75" customHeight="1" x14ac:dyDescent="0.35">
      <c r="I3669" s="42">
        <f t="shared" si="580"/>
        <v>0</v>
      </c>
      <c r="J3669" s="65" t="e">
        <f t="shared" si="581"/>
        <v>#NUM!</v>
      </c>
      <c r="K3669" s="83" t="e">
        <f t="shared" si="582"/>
        <v>#NUM!</v>
      </c>
      <c r="L3669" s="83">
        <f t="shared" si="583"/>
        <v>0</v>
      </c>
      <c r="M3669" s="110" t="str">
        <f t="shared" si="584"/>
        <v/>
      </c>
      <c r="N3669" s="51" t="str">
        <f t="shared" si="585"/>
        <v/>
      </c>
      <c r="O3669" s="52" t="str">
        <f t="shared" si="586"/>
        <v/>
      </c>
      <c r="P3669" s="88">
        <f t="shared" si="587"/>
        <v>0</v>
      </c>
      <c r="Q3669" s="88">
        <f t="shared" si="588"/>
        <v>0</v>
      </c>
      <c r="R3669" s="88" t="e">
        <f>-IF(Tabla14[[#This Row],[DIAS HABILES O MORA]]&lt;0,(Tabla14[[#This Row],[VALOR PRESTAMO]]*Tabla14[[#This Row],[% INTERES ]]/30*U3669))+Tabla14[[#This Row],[VALOR CUOTAS]]</f>
        <v>#VALUE!</v>
      </c>
      <c r="S3669" s="88">
        <f>-IF(Tabla14[[#This Row],[DIAS HABILES O MORA]]&lt;0,(Tabla14[[#This Row],[VALOR PRESTAMO]]*Tabla14[[#This Row],[% INTERES ]]/30*U3669))</f>
        <v>0</v>
      </c>
      <c r="T3669" s="53" t="e">
        <f>Tabla14[[#This Row],[DEUDA CAPITAL]]+Tabla14[[#This Row],[INTERES  CUOTA]]</f>
        <v>#NUM!</v>
      </c>
      <c r="U3669" s="61" t="str">
        <f t="shared" si="589"/>
        <v/>
      </c>
    </row>
    <row r="3670" spans="9:21" ht="24.75" customHeight="1" x14ac:dyDescent="0.35">
      <c r="I3670" s="42">
        <f t="shared" si="580"/>
        <v>0</v>
      </c>
      <c r="J3670" s="65" t="e">
        <f t="shared" si="581"/>
        <v>#NUM!</v>
      </c>
      <c r="K3670" s="83" t="e">
        <f t="shared" si="582"/>
        <v>#NUM!</v>
      </c>
      <c r="L3670" s="83">
        <f t="shared" si="583"/>
        <v>0</v>
      </c>
      <c r="M3670" s="110" t="str">
        <f t="shared" si="584"/>
        <v/>
      </c>
      <c r="N3670" s="51" t="str">
        <f t="shared" si="585"/>
        <v/>
      </c>
      <c r="O3670" s="52" t="str">
        <f t="shared" si="586"/>
        <v/>
      </c>
      <c r="P3670" s="88">
        <f t="shared" si="587"/>
        <v>0</v>
      </c>
      <c r="Q3670" s="88">
        <f t="shared" si="588"/>
        <v>0</v>
      </c>
      <c r="R3670" s="88" t="e">
        <f>-IF(Tabla14[[#This Row],[DIAS HABILES O MORA]]&lt;0,(Tabla14[[#This Row],[VALOR PRESTAMO]]*Tabla14[[#This Row],[% INTERES ]]/30*U3670))+Tabla14[[#This Row],[VALOR CUOTAS]]</f>
        <v>#VALUE!</v>
      </c>
      <c r="S3670" s="88">
        <f>-IF(Tabla14[[#This Row],[DIAS HABILES O MORA]]&lt;0,(Tabla14[[#This Row],[VALOR PRESTAMO]]*Tabla14[[#This Row],[% INTERES ]]/30*U3670))</f>
        <v>0</v>
      </c>
      <c r="T3670" s="53" t="e">
        <f>Tabla14[[#This Row],[DEUDA CAPITAL]]+Tabla14[[#This Row],[INTERES  CUOTA]]</f>
        <v>#NUM!</v>
      </c>
      <c r="U3670" s="61" t="str">
        <f t="shared" si="589"/>
        <v/>
      </c>
    </row>
    <row r="3671" spans="9:21" ht="24.75" customHeight="1" x14ac:dyDescent="0.35">
      <c r="I3671" s="42">
        <f t="shared" si="580"/>
        <v>0</v>
      </c>
      <c r="J3671" s="65" t="e">
        <f t="shared" si="581"/>
        <v>#NUM!</v>
      </c>
      <c r="K3671" s="83" t="e">
        <f t="shared" si="582"/>
        <v>#NUM!</v>
      </c>
      <c r="L3671" s="83">
        <f t="shared" si="583"/>
        <v>0</v>
      </c>
      <c r="M3671" s="110" t="str">
        <f t="shared" si="584"/>
        <v/>
      </c>
      <c r="N3671" s="51" t="str">
        <f t="shared" si="585"/>
        <v/>
      </c>
      <c r="O3671" s="52" t="str">
        <f t="shared" si="586"/>
        <v/>
      </c>
      <c r="P3671" s="88">
        <f t="shared" si="587"/>
        <v>0</v>
      </c>
      <c r="Q3671" s="88">
        <f t="shared" si="588"/>
        <v>0</v>
      </c>
      <c r="R3671" s="88" t="e">
        <f>-IF(Tabla14[[#This Row],[DIAS HABILES O MORA]]&lt;0,(Tabla14[[#This Row],[VALOR PRESTAMO]]*Tabla14[[#This Row],[% INTERES ]]/30*U3671))+Tabla14[[#This Row],[VALOR CUOTAS]]</f>
        <v>#VALUE!</v>
      </c>
      <c r="S3671" s="88">
        <f>-IF(Tabla14[[#This Row],[DIAS HABILES O MORA]]&lt;0,(Tabla14[[#This Row],[VALOR PRESTAMO]]*Tabla14[[#This Row],[% INTERES ]]/30*U3671))</f>
        <v>0</v>
      </c>
      <c r="T3671" s="53" t="e">
        <f>Tabla14[[#This Row],[DEUDA CAPITAL]]+Tabla14[[#This Row],[INTERES  CUOTA]]</f>
        <v>#NUM!</v>
      </c>
      <c r="U3671" s="61" t="str">
        <f t="shared" si="589"/>
        <v/>
      </c>
    </row>
    <row r="3672" spans="9:21" ht="24.75" customHeight="1" x14ac:dyDescent="0.35">
      <c r="I3672" s="42">
        <f t="shared" si="580"/>
        <v>0</v>
      </c>
      <c r="J3672" s="65" t="e">
        <f t="shared" si="581"/>
        <v>#NUM!</v>
      </c>
      <c r="K3672" s="83" t="e">
        <f t="shared" si="582"/>
        <v>#NUM!</v>
      </c>
      <c r="L3672" s="83">
        <f t="shared" si="583"/>
        <v>0</v>
      </c>
      <c r="M3672" s="110" t="str">
        <f t="shared" si="584"/>
        <v/>
      </c>
      <c r="N3672" s="51" t="str">
        <f t="shared" si="585"/>
        <v/>
      </c>
      <c r="O3672" s="52" t="str">
        <f t="shared" si="586"/>
        <v/>
      </c>
      <c r="P3672" s="88">
        <f t="shared" si="587"/>
        <v>0</v>
      </c>
      <c r="Q3672" s="88">
        <f t="shared" si="588"/>
        <v>0</v>
      </c>
      <c r="R3672" s="88" t="e">
        <f>-IF(Tabla14[[#This Row],[DIAS HABILES O MORA]]&lt;0,(Tabla14[[#This Row],[VALOR PRESTAMO]]*Tabla14[[#This Row],[% INTERES ]]/30*U3672))+Tabla14[[#This Row],[VALOR CUOTAS]]</f>
        <v>#VALUE!</v>
      </c>
      <c r="S3672" s="88">
        <f>-IF(Tabla14[[#This Row],[DIAS HABILES O MORA]]&lt;0,(Tabla14[[#This Row],[VALOR PRESTAMO]]*Tabla14[[#This Row],[% INTERES ]]/30*U3672))</f>
        <v>0</v>
      </c>
      <c r="T3672" s="53" t="e">
        <f>Tabla14[[#This Row],[DEUDA CAPITAL]]+Tabla14[[#This Row],[INTERES  CUOTA]]</f>
        <v>#NUM!</v>
      </c>
      <c r="U3672" s="61" t="str">
        <f t="shared" si="589"/>
        <v/>
      </c>
    </row>
    <row r="3673" spans="9:21" ht="24.75" customHeight="1" x14ac:dyDescent="0.35">
      <c r="I3673" s="42">
        <f t="shared" si="580"/>
        <v>0</v>
      </c>
      <c r="J3673" s="65" t="e">
        <f t="shared" si="581"/>
        <v>#NUM!</v>
      </c>
      <c r="K3673" s="83" t="e">
        <f t="shared" si="582"/>
        <v>#NUM!</v>
      </c>
      <c r="L3673" s="83">
        <f t="shared" si="583"/>
        <v>0</v>
      </c>
      <c r="M3673" s="110" t="str">
        <f t="shared" si="584"/>
        <v/>
      </c>
      <c r="N3673" s="51" t="str">
        <f t="shared" si="585"/>
        <v/>
      </c>
      <c r="O3673" s="52" t="str">
        <f t="shared" si="586"/>
        <v/>
      </c>
      <c r="P3673" s="88">
        <f t="shared" si="587"/>
        <v>0</v>
      </c>
      <c r="Q3673" s="88">
        <f t="shared" si="588"/>
        <v>0</v>
      </c>
      <c r="R3673" s="88" t="e">
        <f>-IF(Tabla14[[#This Row],[DIAS HABILES O MORA]]&lt;0,(Tabla14[[#This Row],[VALOR PRESTAMO]]*Tabla14[[#This Row],[% INTERES ]]/30*U3673))+Tabla14[[#This Row],[VALOR CUOTAS]]</f>
        <v>#VALUE!</v>
      </c>
      <c r="S3673" s="88">
        <f>-IF(Tabla14[[#This Row],[DIAS HABILES O MORA]]&lt;0,(Tabla14[[#This Row],[VALOR PRESTAMO]]*Tabla14[[#This Row],[% INTERES ]]/30*U3673))</f>
        <v>0</v>
      </c>
      <c r="T3673" s="53" t="e">
        <f>Tabla14[[#This Row],[DEUDA CAPITAL]]+Tabla14[[#This Row],[INTERES  CUOTA]]</f>
        <v>#NUM!</v>
      </c>
      <c r="U3673" s="61" t="str">
        <f t="shared" si="589"/>
        <v/>
      </c>
    </row>
    <row r="3674" spans="9:21" ht="24.75" customHeight="1" x14ac:dyDescent="0.35">
      <c r="I3674" s="42">
        <f t="shared" si="580"/>
        <v>0</v>
      </c>
      <c r="J3674" s="65" t="e">
        <f t="shared" si="581"/>
        <v>#NUM!</v>
      </c>
      <c r="K3674" s="83" t="e">
        <f t="shared" si="582"/>
        <v>#NUM!</v>
      </c>
      <c r="L3674" s="83">
        <f t="shared" si="583"/>
        <v>0</v>
      </c>
      <c r="M3674" s="110" t="str">
        <f t="shared" si="584"/>
        <v/>
      </c>
      <c r="N3674" s="51" t="str">
        <f t="shared" si="585"/>
        <v/>
      </c>
      <c r="O3674" s="52" t="str">
        <f t="shared" si="586"/>
        <v/>
      </c>
      <c r="P3674" s="88">
        <f t="shared" si="587"/>
        <v>0</v>
      </c>
      <c r="Q3674" s="88">
        <f t="shared" si="588"/>
        <v>0</v>
      </c>
      <c r="R3674" s="88" t="e">
        <f>-IF(Tabla14[[#This Row],[DIAS HABILES O MORA]]&lt;0,(Tabla14[[#This Row],[VALOR PRESTAMO]]*Tabla14[[#This Row],[% INTERES ]]/30*U3674))+Tabla14[[#This Row],[VALOR CUOTAS]]</f>
        <v>#VALUE!</v>
      </c>
      <c r="S3674" s="88">
        <f>-IF(Tabla14[[#This Row],[DIAS HABILES O MORA]]&lt;0,(Tabla14[[#This Row],[VALOR PRESTAMO]]*Tabla14[[#This Row],[% INTERES ]]/30*U3674))</f>
        <v>0</v>
      </c>
      <c r="T3674" s="53" t="e">
        <f>Tabla14[[#This Row],[DEUDA CAPITAL]]+Tabla14[[#This Row],[INTERES  CUOTA]]</f>
        <v>#NUM!</v>
      </c>
      <c r="U3674" s="61" t="str">
        <f t="shared" si="589"/>
        <v/>
      </c>
    </row>
    <row r="3675" spans="9:21" ht="24.75" customHeight="1" x14ac:dyDescent="0.35">
      <c r="I3675" s="42">
        <f t="shared" si="580"/>
        <v>0</v>
      </c>
      <c r="J3675" s="65" t="e">
        <f t="shared" si="581"/>
        <v>#NUM!</v>
      </c>
      <c r="K3675" s="83" t="e">
        <f t="shared" si="582"/>
        <v>#NUM!</v>
      </c>
      <c r="L3675" s="83">
        <f t="shared" si="583"/>
        <v>0</v>
      </c>
      <c r="M3675" s="110" t="str">
        <f t="shared" si="584"/>
        <v/>
      </c>
      <c r="N3675" s="51" t="str">
        <f t="shared" si="585"/>
        <v/>
      </c>
      <c r="O3675" s="52" t="str">
        <f t="shared" si="586"/>
        <v/>
      </c>
      <c r="P3675" s="88">
        <f t="shared" si="587"/>
        <v>0</v>
      </c>
      <c r="Q3675" s="88">
        <f t="shared" si="588"/>
        <v>0</v>
      </c>
      <c r="R3675" s="88" t="e">
        <f>-IF(Tabla14[[#This Row],[DIAS HABILES O MORA]]&lt;0,(Tabla14[[#This Row],[VALOR PRESTAMO]]*Tabla14[[#This Row],[% INTERES ]]/30*U3675))+Tabla14[[#This Row],[VALOR CUOTAS]]</f>
        <v>#VALUE!</v>
      </c>
      <c r="S3675" s="88">
        <f>-IF(Tabla14[[#This Row],[DIAS HABILES O MORA]]&lt;0,(Tabla14[[#This Row],[VALOR PRESTAMO]]*Tabla14[[#This Row],[% INTERES ]]/30*U3675))</f>
        <v>0</v>
      </c>
      <c r="T3675" s="53" t="e">
        <f>Tabla14[[#This Row],[DEUDA CAPITAL]]+Tabla14[[#This Row],[INTERES  CUOTA]]</f>
        <v>#NUM!</v>
      </c>
      <c r="U3675" s="61" t="str">
        <f t="shared" si="589"/>
        <v/>
      </c>
    </row>
    <row r="3676" spans="9:21" ht="24.75" customHeight="1" x14ac:dyDescent="0.35">
      <c r="I3676" s="42">
        <f t="shared" si="580"/>
        <v>0</v>
      </c>
      <c r="J3676" s="65" t="e">
        <f t="shared" si="581"/>
        <v>#NUM!</v>
      </c>
      <c r="K3676" s="83" t="e">
        <f t="shared" si="582"/>
        <v>#NUM!</v>
      </c>
      <c r="L3676" s="83">
        <f t="shared" si="583"/>
        <v>0</v>
      </c>
      <c r="M3676" s="110" t="str">
        <f t="shared" si="584"/>
        <v/>
      </c>
      <c r="N3676" s="51" t="str">
        <f t="shared" si="585"/>
        <v/>
      </c>
      <c r="O3676" s="52" t="str">
        <f t="shared" si="586"/>
        <v/>
      </c>
      <c r="P3676" s="88">
        <f t="shared" si="587"/>
        <v>0</v>
      </c>
      <c r="Q3676" s="88">
        <f t="shared" si="588"/>
        <v>0</v>
      </c>
      <c r="R3676" s="88" t="e">
        <f>-IF(Tabla14[[#This Row],[DIAS HABILES O MORA]]&lt;0,(Tabla14[[#This Row],[VALOR PRESTAMO]]*Tabla14[[#This Row],[% INTERES ]]/30*U3676))+Tabla14[[#This Row],[VALOR CUOTAS]]</f>
        <v>#VALUE!</v>
      </c>
      <c r="S3676" s="88">
        <f>-IF(Tabla14[[#This Row],[DIAS HABILES O MORA]]&lt;0,(Tabla14[[#This Row],[VALOR PRESTAMO]]*Tabla14[[#This Row],[% INTERES ]]/30*U3676))</f>
        <v>0</v>
      </c>
      <c r="T3676" s="53" t="e">
        <f>Tabla14[[#This Row],[DEUDA CAPITAL]]+Tabla14[[#This Row],[INTERES  CUOTA]]</f>
        <v>#NUM!</v>
      </c>
      <c r="U3676" s="61" t="str">
        <f t="shared" si="589"/>
        <v/>
      </c>
    </row>
    <row r="3677" spans="9:21" ht="24.75" customHeight="1" x14ac:dyDescent="0.35">
      <c r="I3677" s="42">
        <f t="shared" si="580"/>
        <v>0</v>
      </c>
      <c r="J3677" s="65" t="e">
        <f t="shared" si="581"/>
        <v>#NUM!</v>
      </c>
      <c r="K3677" s="83" t="e">
        <f t="shared" si="582"/>
        <v>#NUM!</v>
      </c>
      <c r="L3677" s="83">
        <f t="shared" si="583"/>
        <v>0</v>
      </c>
      <c r="M3677" s="110" t="str">
        <f t="shared" si="584"/>
        <v/>
      </c>
      <c r="N3677" s="51" t="str">
        <f t="shared" si="585"/>
        <v/>
      </c>
      <c r="O3677" s="52" t="str">
        <f t="shared" si="586"/>
        <v/>
      </c>
      <c r="P3677" s="88">
        <f t="shared" si="587"/>
        <v>0</v>
      </c>
      <c r="Q3677" s="88">
        <f t="shared" si="588"/>
        <v>0</v>
      </c>
      <c r="R3677" s="88" t="e">
        <f>-IF(Tabla14[[#This Row],[DIAS HABILES O MORA]]&lt;0,(Tabla14[[#This Row],[VALOR PRESTAMO]]*Tabla14[[#This Row],[% INTERES ]]/30*U3677))+Tabla14[[#This Row],[VALOR CUOTAS]]</f>
        <v>#VALUE!</v>
      </c>
      <c r="S3677" s="88">
        <f>-IF(Tabla14[[#This Row],[DIAS HABILES O MORA]]&lt;0,(Tabla14[[#This Row],[VALOR PRESTAMO]]*Tabla14[[#This Row],[% INTERES ]]/30*U3677))</f>
        <v>0</v>
      </c>
      <c r="T3677" s="53" t="e">
        <f>Tabla14[[#This Row],[DEUDA CAPITAL]]+Tabla14[[#This Row],[INTERES  CUOTA]]</f>
        <v>#NUM!</v>
      </c>
      <c r="U3677" s="61" t="str">
        <f t="shared" si="589"/>
        <v/>
      </c>
    </row>
    <row r="3678" spans="9:21" ht="24.75" customHeight="1" x14ac:dyDescent="0.35">
      <c r="I3678" s="42">
        <f t="shared" si="580"/>
        <v>0</v>
      </c>
      <c r="J3678" s="65" t="e">
        <f t="shared" si="581"/>
        <v>#NUM!</v>
      </c>
      <c r="K3678" s="83" t="e">
        <f t="shared" si="582"/>
        <v>#NUM!</v>
      </c>
      <c r="L3678" s="83">
        <f t="shared" si="583"/>
        <v>0</v>
      </c>
      <c r="M3678" s="110" t="str">
        <f t="shared" si="584"/>
        <v/>
      </c>
      <c r="N3678" s="51" t="str">
        <f t="shared" si="585"/>
        <v/>
      </c>
      <c r="O3678" s="52" t="str">
        <f t="shared" si="586"/>
        <v/>
      </c>
      <c r="P3678" s="88">
        <f t="shared" si="587"/>
        <v>0</v>
      </c>
      <c r="Q3678" s="88">
        <f t="shared" si="588"/>
        <v>0</v>
      </c>
      <c r="R3678" s="88" t="e">
        <f>-IF(Tabla14[[#This Row],[DIAS HABILES O MORA]]&lt;0,(Tabla14[[#This Row],[VALOR PRESTAMO]]*Tabla14[[#This Row],[% INTERES ]]/30*U3678))+Tabla14[[#This Row],[VALOR CUOTAS]]</f>
        <v>#VALUE!</v>
      </c>
      <c r="S3678" s="88">
        <f>-IF(Tabla14[[#This Row],[DIAS HABILES O MORA]]&lt;0,(Tabla14[[#This Row],[VALOR PRESTAMO]]*Tabla14[[#This Row],[% INTERES ]]/30*U3678))</f>
        <v>0</v>
      </c>
      <c r="T3678" s="53" t="e">
        <f>Tabla14[[#This Row],[DEUDA CAPITAL]]+Tabla14[[#This Row],[INTERES  CUOTA]]</f>
        <v>#NUM!</v>
      </c>
      <c r="U3678" s="61" t="str">
        <f t="shared" si="589"/>
        <v/>
      </c>
    </row>
    <row r="3679" spans="9:21" ht="24.75" customHeight="1" x14ac:dyDescent="0.35">
      <c r="I3679" s="42">
        <f t="shared" si="580"/>
        <v>0</v>
      </c>
      <c r="J3679" s="65" t="e">
        <f t="shared" si="581"/>
        <v>#NUM!</v>
      </c>
      <c r="K3679" s="83" t="e">
        <f t="shared" si="582"/>
        <v>#NUM!</v>
      </c>
      <c r="L3679" s="83">
        <f t="shared" si="583"/>
        <v>0</v>
      </c>
      <c r="M3679" s="110" t="str">
        <f t="shared" si="584"/>
        <v/>
      </c>
      <c r="N3679" s="51" t="str">
        <f t="shared" si="585"/>
        <v/>
      </c>
      <c r="O3679" s="52" t="str">
        <f t="shared" si="586"/>
        <v/>
      </c>
      <c r="P3679" s="88">
        <f t="shared" si="587"/>
        <v>0</v>
      </c>
      <c r="Q3679" s="88">
        <f t="shared" si="588"/>
        <v>0</v>
      </c>
      <c r="R3679" s="88" t="e">
        <f>-IF(Tabla14[[#This Row],[DIAS HABILES O MORA]]&lt;0,(Tabla14[[#This Row],[VALOR PRESTAMO]]*Tabla14[[#This Row],[% INTERES ]]/30*U3679))+Tabla14[[#This Row],[VALOR CUOTAS]]</f>
        <v>#VALUE!</v>
      </c>
      <c r="S3679" s="88">
        <f>-IF(Tabla14[[#This Row],[DIAS HABILES O MORA]]&lt;0,(Tabla14[[#This Row],[VALOR PRESTAMO]]*Tabla14[[#This Row],[% INTERES ]]/30*U3679))</f>
        <v>0</v>
      </c>
      <c r="T3679" s="53" t="e">
        <f>Tabla14[[#This Row],[DEUDA CAPITAL]]+Tabla14[[#This Row],[INTERES  CUOTA]]</f>
        <v>#NUM!</v>
      </c>
      <c r="U3679" s="61" t="str">
        <f t="shared" si="589"/>
        <v/>
      </c>
    </row>
    <row r="3680" spans="9:21" ht="24.75" customHeight="1" x14ac:dyDescent="0.35">
      <c r="I3680" s="42">
        <f t="shared" si="580"/>
        <v>0</v>
      </c>
      <c r="J3680" s="65" t="e">
        <f t="shared" si="581"/>
        <v>#NUM!</v>
      </c>
      <c r="K3680" s="83" t="e">
        <f t="shared" si="582"/>
        <v>#NUM!</v>
      </c>
      <c r="L3680" s="83">
        <f t="shared" si="583"/>
        <v>0</v>
      </c>
      <c r="M3680" s="110" t="str">
        <f t="shared" si="584"/>
        <v/>
      </c>
      <c r="N3680" s="51" t="str">
        <f t="shared" si="585"/>
        <v/>
      </c>
      <c r="O3680" s="52" t="str">
        <f t="shared" si="586"/>
        <v/>
      </c>
      <c r="P3680" s="88">
        <f t="shared" si="587"/>
        <v>0</v>
      </c>
      <c r="Q3680" s="88">
        <f t="shared" si="588"/>
        <v>0</v>
      </c>
      <c r="R3680" s="88" t="e">
        <f>-IF(Tabla14[[#This Row],[DIAS HABILES O MORA]]&lt;0,(Tabla14[[#This Row],[VALOR PRESTAMO]]*Tabla14[[#This Row],[% INTERES ]]/30*U3680))+Tabla14[[#This Row],[VALOR CUOTAS]]</f>
        <v>#VALUE!</v>
      </c>
      <c r="S3680" s="88">
        <f>-IF(Tabla14[[#This Row],[DIAS HABILES O MORA]]&lt;0,(Tabla14[[#This Row],[VALOR PRESTAMO]]*Tabla14[[#This Row],[% INTERES ]]/30*U3680))</f>
        <v>0</v>
      </c>
      <c r="T3680" s="53" t="e">
        <f>Tabla14[[#This Row],[DEUDA CAPITAL]]+Tabla14[[#This Row],[INTERES  CUOTA]]</f>
        <v>#NUM!</v>
      </c>
      <c r="U3680" s="61" t="str">
        <f t="shared" si="589"/>
        <v/>
      </c>
    </row>
    <row r="3681" spans="9:21" ht="24.75" customHeight="1" x14ac:dyDescent="0.35">
      <c r="I3681" s="42">
        <f t="shared" si="580"/>
        <v>0</v>
      </c>
      <c r="J3681" s="65" t="e">
        <f t="shared" si="581"/>
        <v>#NUM!</v>
      </c>
      <c r="K3681" s="83" t="e">
        <f t="shared" si="582"/>
        <v>#NUM!</v>
      </c>
      <c r="L3681" s="83">
        <f t="shared" si="583"/>
        <v>0</v>
      </c>
      <c r="M3681" s="110" t="str">
        <f t="shared" si="584"/>
        <v/>
      </c>
      <c r="N3681" s="51" t="str">
        <f t="shared" si="585"/>
        <v/>
      </c>
      <c r="O3681" s="52" t="str">
        <f t="shared" si="586"/>
        <v/>
      </c>
      <c r="P3681" s="88">
        <f t="shared" si="587"/>
        <v>0</v>
      </c>
      <c r="Q3681" s="88">
        <f t="shared" si="588"/>
        <v>0</v>
      </c>
      <c r="R3681" s="88" t="e">
        <f>-IF(Tabla14[[#This Row],[DIAS HABILES O MORA]]&lt;0,(Tabla14[[#This Row],[VALOR PRESTAMO]]*Tabla14[[#This Row],[% INTERES ]]/30*U3681))+Tabla14[[#This Row],[VALOR CUOTAS]]</f>
        <v>#VALUE!</v>
      </c>
      <c r="S3681" s="88">
        <f>-IF(Tabla14[[#This Row],[DIAS HABILES O MORA]]&lt;0,(Tabla14[[#This Row],[VALOR PRESTAMO]]*Tabla14[[#This Row],[% INTERES ]]/30*U3681))</f>
        <v>0</v>
      </c>
      <c r="T3681" s="53" t="e">
        <f>Tabla14[[#This Row],[DEUDA CAPITAL]]+Tabla14[[#This Row],[INTERES  CUOTA]]</f>
        <v>#NUM!</v>
      </c>
      <c r="U3681" s="61" t="str">
        <f t="shared" si="589"/>
        <v/>
      </c>
    </row>
    <row r="3682" spans="9:21" ht="24.75" customHeight="1" x14ac:dyDescent="0.35">
      <c r="I3682" s="42">
        <f t="shared" si="580"/>
        <v>0</v>
      </c>
      <c r="J3682" s="65" t="e">
        <f t="shared" si="581"/>
        <v>#NUM!</v>
      </c>
      <c r="K3682" s="83" t="e">
        <f t="shared" si="582"/>
        <v>#NUM!</v>
      </c>
      <c r="L3682" s="83">
        <f t="shared" si="583"/>
        <v>0</v>
      </c>
      <c r="M3682" s="110" t="str">
        <f t="shared" si="584"/>
        <v/>
      </c>
      <c r="N3682" s="51" t="str">
        <f t="shared" si="585"/>
        <v/>
      </c>
      <c r="O3682" s="52" t="str">
        <f t="shared" si="586"/>
        <v/>
      </c>
      <c r="P3682" s="88">
        <f t="shared" si="587"/>
        <v>0</v>
      </c>
      <c r="Q3682" s="88">
        <f t="shared" si="588"/>
        <v>0</v>
      </c>
      <c r="R3682" s="88" t="e">
        <f>-IF(Tabla14[[#This Row],[DIAS HABILES O MORA]]&lt;0,(Tabla14[[#This Row],[VALOR PRESTAMO]]*Tabla14[[#This Row],[% INTERES ]]/30*U3682))+Tabla14[[#This Row],[VALOR CUOTAS]]</f>
        <v>#VALUE!</v>
      </c>
      <c r="S3682" s="88">
        <f>-IF(Tabla14[[#This Row],[DIAS HABILES O MORA]]&lt;0,(Tabla14[[#This Row],[VALOR PRESTAMO]]*Tabla14[[#This Row],[% INTERES ]]/30*U3682))</f>
        <v>0</v>
      </c>
      <c r="T3682" s="53" t="e">
        <f>Tabla14[[#This Row],[DEUDA CAPITAL]]+Tabla14[[#This Row],[INTERES  CUOTA]]</f>
        <v>#NUM!</v>
      </c>
      <c r="U3682" s="61" t="str">
        <f t="shared" si="589"/>
        <v/>
      </c>
    </row>
    <row r="3683" spans="9:21" ht="24.75" customHeight="1" x14ac:dyDescent="0.35">
      <c r="I3683" s="42">
        <f t="shared" si="580"/>
        <v>0</v>
      </c>
      <c r="J3683" s="65" t="e">
        <f t="shared" si="581"/>
        <v>#NUM!</v>
      </c>
      <c r="K3683" s="83" t="e">
        <f t="shared" si="582"/>
        <v>#NUM!</v>
      </c>
      <c r="L3683" s="83">
        <f t="shared" si="583"/>
        <v>0</v>
      </c>
      <c r="M3683" s="110" t="str">
        <f t="shared" si="584"/>
        <v/>
      </c>
      <c r="N3683" s="51" t="str">
        <f t="shared" si="585"/>
        <v/>
      </c>
      <c r="O3683" s="52" t="str">
        <f t="shared" si="586"/>
        <v/>
      </c>
      <c r="P3683" s="88">
        <f t="shared" si="587"/>
        <v>0</v>
      </c>
      <c r="Q3683" s="88">
        <f t="shared" si="588"/>
        <v>0</v>
      </c>
      <c r="R3683" s="88" t="e">
        <f>-IF(Tabla14[[#This Row],[DIAS HABILES O MORA]]&lt;0,(Tabla14[[#This Row],[VALOR PRESTAMO]]*Tabla14[[#This Row],[% INTERES ]]/30*U3683))+Tabla14[[#This Row],[VALOR CUOTAS]]</f>
        <v>#VALUE!</v>
      </c>
      <c r="S3683" s="88">
        <f>-IF(Tabla14[[#This Row],[DIAS HABILES O MORA]]&lt;0,(Tabla14[[#This Row],[VALOR PRESTAMO]]*Tabla14[[#This Row],[% INTERES ]]/30*U3683))</f>
        <v>0</v>
      </c>
      <c r="T3683" s="53" t="e">
        <f>Tabla14[[#This Row],[DEUDA CAPITAL]]+Tabla14[[#This Row],[INTERES  CUOTA]]</f>
        <v>#NUM!</v>
      </c>
      <c r="U3683" s="61" t="str">
        <f t="shared" si="589"/>
        <v/>
      </c>
    </row>
    <row r="3684" spans="9:21" ht="24.75" customHeight="1" x14ac:dyDescent="0.35">
      <c r="I3684" s="42">
        <f t="shared" si="580"/>
        <v>0</v>
      </c>
      <c r="J3684" s="65" t="e">
        <f t="shared" si="581"/>
        <v>#NUM!</v>
      </c>
      <c r="K3684" s="83" t="e">
        <f t="shared" si="582"/>
        <v>#NUM!</v>
      </c>
      <c r="L3684" s="83">
        <f t="shared" si="583"/>
        <v>0</v>
      </c>
      <c r="M3684" s="110" t="str">
        <f t="shared" si="584"/>
        <v/>
      </c>
      <c r="N3684" s="51" t="str">
        <f t="shared" si="585"/>
        <v/>
      </c>
      <c r="O3684" s="52" t="str">
        <f t="shared" si="586"/>
        <v/>
      </c>
      <c r="P3684" s="88">
        <f t="shared" si="587"/>
        <v>0</v>
      </c>
      <c r="Q3684" s="88">
        <f t="shared" si="588"/>
        <v>0</v>
      </c>
      <c r="R3684" s="88" t="e">
        <f>-IF(Tabla14[[#This Row],[DIAS HABILES O MORA]]&lt;0,(Tabla14[[#This Row],[VALOR PRESTAMO]]*Tabla14[[#This Row],[% INTERES ]]/30*U3684))+Tabla14[[#This Row],[VALOR CUOTAS]]</f>
        <v>#VALUE!</v>
      </c>
      <c r="S3684" s="88">
        <f>-IF(Tabla14[[#This Row],[DIAS HABILES O MORA]]&lt;0,(Tabla14[[#This Row],[VALOR PRESTAMO]]*Tabla14[[#This Row],[% INTERES ]]/30*U3684))</f>
        <v>0</v>
      </c>
      <c r="T3684" s="53" t="e">
        <f>Tabla14[[#This Row],[DEUDA CAPITAL]]+Tabla14[[#This Row],[INTERES  CUOTA]]</f>
        <v>#NUM!</v>
      </c>
      <c r="U3684" s="61" t="str">
        <f t="shared" si="589"/>
        <v/>
      </c>
    </row>
    <row r="3685" spans="9:21" ht="24.75" customHeight="1" x14ac:dyDescent="0.35">
      <c r="I3685" s="42">
        <f t="shared" si="580"/>
        <v>0</v>
      </c>
      <c r="J3685" s="65" t="e">
        <f t="shared" si="581"/>
        <v>#NUM!</v>
      </c>
      <c r="K3685" s="83" t="e">
        <f t="shared" si="582"/>
        <v>#NUM!</v>
      </c>
      <c r="L3685" s="83">
        <f t="shared" si="583"/>
        <v>0</v>
      </c>
      <c r="M3685" s="110" t="str">
        <f t="shared" si="584"/>
        <v/>
      </c>
      <c r="N3685" s="51" t="str">
        <f t="shared" si="585"/>
        <v/>
      </c>
      <c r="O3685" s="52" t="str">
        <f t="shared" si="586"/>
        <v/>
      </c>
      <c r="P3685" s="88">
        <f t="shared" si="587"/>
        <v>0</v>
      </c>
      <c r="Q3685" s="88">
        <f t="shared" si="588"/>
        <v>0</v>
      </c>
      <c r="R3685" s="88" t="e">
        <f>-IF(Tabla14[[#This Row],[DIAS HABILES O MORA]]&lt;0,(Tabla14[[#This Row],[VALOR PRESTAMO]]*Tabla14[[#This Row],[% INTERES ]]/30*U3685))+Tabla14[[#This Row],[VALOR CUOTAS]]</f>
        <v>#VALUE!</v>
      </c>
      <c r="S3685" s="88">
        <f>-IF(Tabla14[[#This Row],[DIAS HABILES O MORA]]&lt;0,(Tabla14[[#This Row],[VALOR PRESTAMO]]*Tabla14[[#This Row],[% INTERES ]]/30*U3685))</f>
        <v>0</v>
      </c>
      <c r="T3685" s="53" t="e">
        <f>Tabla14[[#This Row],[DEUDA CAPITAL]]+Tabla14[[#This Row],[INTERES  CUOTA]]</f>
        <v>#NUM!</v>
      </c>
      <c r="U3685" s="61" t="str">
        <f t="shared" si="589"/>
        <v/>
      </c>
    </row>
    <row r="3686" spans="9:21" ht="24.75" customHeight="1" x14ac:dyDescent="0.35">
      <c r="I3686" s="42">
        <f t="shared" si="580"/>
        <v>0</v>
      </c>
      <c r="J3686" s="65" t="e">
        <f t="shared" si="581"/>
        <v>#NUM!</v>
      </c>
      <c r="K3686" s="83" t="e">
        <f t="shared" si="582"/>
        <v>#NUM!</v>
      </c>
      <c r="L3686" s="83">
        <f t="shared" si="583"/>
        <v>0</v>
      </c>
      <c r="M3686" s="110" t="str">
        <f t="shared" si="584"/>
        <v/>
      </c>
      <c r="N3686" s="51" t="str">
        <f t="shared" si="585"/>
        <v/>
      </c>
      <c r="O3686" s="52" t="str">
        <f t="shared" si="586"/>
        <v/>
      </c>
      <c r="P3686" s="88">
        <f t="shared" si="587"/>
        <v>0</v>
      </c>
      <c r="Q3686" s="88">
        <f t="shared" si="588"/>
        <v>0</v>
      </c>
      <c r="R3686" s="88" t="e">
        <f>-IF(Tabla14[[#This Row],[DIAS HABILES O MORA]]&lt;0,(Tabla14[[#This Row],[VALOR PRESTAMO]]*Tabla14[[#This Row],[% INTERES ]]/30*U3686))+Tabla14[[#This Row],[VALOR CUOTAS]]</f>
        <v>#VALUE!</v>
      </c>
      <c r="S3686" s="88">
        <f>-IF(Tabla14[[#This Row],[DIAS HABILES O MORA]]&lt;0,(Tabla14[[#This Row],[VALOR PRESTAMO]]*Tabla14[[#This Row],[% INTERES ]]/30*U3686))</f>
        <v>0</v>
      </c>
      <c r="T3686" s="53" t="e">
        <f>Tabla14[[#This Row],[DEUDA CAPITAL]]+Tabla14[[#This Row],[INTERES  CUOTA]]</f>
        <v>#NUM!</v>
      </c>
      <c r="U3686" s="61" t="str">
        <f t="shared" si="589"/>
        <v/>
      </c>
    </row>
    <row r="3687" spans="9:21" ht="24.75" customHeight="1" x14ac:dyDescent="0.35">
      <c r="I3687" s="42">
        <f t="shared" si="580"/>
        <v>0</v>
      </c>
      <c r="J3687" s="65" t="e">
        <f t="shared" si="581"/>
        <v>#NUM!</v>
      </c>
      <c r="K3687" s="83" t="e">
        <f t="shared" si="582"/>
        <v>#NUM!</v>
      </c>
      <c r="L3687" s="83">
        <f t="shared" si="583"/>
        <v>0</v>
      </c>
      <c r="M3687" s="110" t="str">
        <f t="shared" si="584"/>
        <v/>
      </c>
      <c r="N3687" s="51" t="str">
        <f t="shared" si="585"/>
        <v/>
      </c>
      <c r="O3687" s="52" t="str">
        <f t="shared" si="586"/>
        <v/>
      </c>
      <c r="P3687" s="88">
        <f t="shared" si="587"/>
        <v>0</v>
      </c>
      <c r="Q3687" s="88">
        <f t="shared" si="588"/>
        <v>0</v>
      </c>
      <c r="R3687" s="88" t="e">
        <f>-IF(Tabla14[[#This Row],[DIAS HABILES O MORA]]&lt;0,(Tabla14[[#This Row],[VALOR PRESTAMO]]*Tabla14[[#This Row],[% INTERES ]]/30*U3687))+Tabla14[[#This Row],[VALOR CUOTAS]]</f>
        <v>#VALUE!</v>
      </c>
      <c r="S3687" s="88">
        <f>-IF(Tabla14[[#This Row],[DIAS HABILES O MORA]]&lt;0,(Tabla14[[#This Row],[VALOR PRESTAMO]]*Tabla14[[#This Row],[% INTERES ]]/30*U3687))</f>
        <v>0</v>
      </c>
      <c r="T3687" s="53" t="e">
        <f>Tabla14[[#This Row],[DEUDA CAPITAL]]+Tabla14[[#This Row],[INTERES  CUOTA]]</f>
        <v>#NUM!</v>
      </c>
      <c r="U3687" s="61" t="str">
        <f t="shared" si="589"/>
        <v/>
      </c>
    </row>
    <row r="3688" spans="9:21" ht="24.75" customHeight="1" x14ac:dyDescent="0.35">
      <c r="I3688" s="42">
        <f t="shared" si="580"/>
        <v>0</v>
      </c>
      <c r="J3688" s="65" t="e">
        <f t="shared" si="581"/>
        <v>#NUM!</v>
      </c>
      <c r="K3688" s="83" t="e">
        <f t="shared" si="582"/>
        <v>#NUM!</v>
      </c>
      <c r="L3688" s="83">
        <f t="shared" si="583"/>
        <v>0</v>
      </c>
      <c r="M3688" s="110" t="str">
        <f t="shared" si="584"/>
        <v/>
      </c>
      <c r="N3688" s="51" t="str">
        <f t="shared" si="585"/>
        <v/>
      </c>
      <c r="O3688" s="52" t="str">
        <f t="shared" si="586"/>
        <v/>
      </c>
      <c r="P3688" s="88">
        <f t="shared" si="587"/>
        <v>0</v>
      </c>
      <c r="Q3688" s="88">
        <f t="shared" si="588"/>
        <v>0</v>
      </c>
      <c r="R3688" s="88" t="e">
        <f>-IF(Tabla14[[#This Row],[DIAS HABILES O MORA]]&lt;0,(Tabla14[[#This Row],[VALOR PRESTAMO]]*Tabla14[[#This Row],[% INTERES ]]/30*U3688))+Tabla14[[#This Row],[VALOR CUOTAS]]</f>
        <v>#VALUE!</v>
      </c>
      <c r="S3688" s="88">
        <f>-IF(Tabla14[[#This Row],[DIAS HABILES O MORA]]&lt;0,(Tabla14[[#This Row],[VALOR PRESTAMO]]*Tabla14[[#This Row],[% INTERES ]]/30*U3688))</f>
        <v>0</v>
      </c>
      <c r="T3688" s="53" t="e">
        <f>Tabla14[[#This Row],[DEUDA CAPITAL]]+Tabla14[[#This Row],[INTERES  CUOTA]]</f>
        <v>#NUM!</v>
      </c>
      <c r="U3688" s="61" t="str">
        <f t="shared" si="589"/>
        <v/>
      </c>
    </row>
    <row r="3689" spans="9:21" ht="24.75" customHeight="1" x14ac:dyDescent="0.35">
      <c r="I3689" s="42">
        <f t="shared" si="580"/>
        <v>0</v>
      </c>
      <c r="J3689" s="65" t="e">
        <f t="shared" si="581"/>
        <v>#NUM!</v>
      </c>
      <c r="K3689" s="83" t="e">
        <f t="shared" si="582"/>
        <v>#NUM!</v>
      </c>
      <c r="L3689" s="83">
        <f t="shared" si="583"/>
        <v>0</v>
      </c>
      <c r="M3689" s="110" t="str">
        <f t="shared" si="584"/>
        <v/>
      </c>
      <c r="N3689" s="51" t="str">
        <f t="shared" si="585"/>
        <v/>
      </c>
      <c r="O3689" s="52" t="str">
        <f t="shared" si="586"/>
        <v/>
      </c>
      <c r="P3689" s="88">
        <f t="shared" si="587"/>
        <v>0</v>
      </c>
      <c r="Q3689" s="88">
        <f t="shared" si="588"/>
        <v>0</v>
      </c>
      <c r="R3689" s="88" t="e">
        <f>-IF(Tabla14[[#This Row],[DIAS HABILES O MORA]]&lt;0,(Tabla14[[#This Row],[VALOR PRESTAMO]]*Tabla14[[#This Row],[% INTERES ]]/30*U3689))+Tabla14[[#This Row],[VALOR CUOTAS]]</f>
        <v>#VALUE!</v>
      </c>
      <c r="S3689" s="88">
        <f>-IF(Tabla14[[#This Row],[DIAS HABILES O MORA]]&lt;0,(Tabla14[[#This Row],[VALOR PRESTAMO]]*Tabla14[[#This Row],[% INTERES ]]/30*U3689))</f>
        <v>0</v>
      </c>
      <c r="T3689" s="53" t="e">
        <f>Tabla14[[#This Row],[DEUDA CAPITAL]]+Tabla14[[#This Row],[INTERES  CUOTA]]</f>
        <v>#NUM!</v>
      </c>
      <c r="U3689" s="61" t="str">
        <f t="shared" si="589"/>
        <v/>
      </c>
    </row>
    <row r="3690" spans="9:21" ht="24.75" customHeight="1" x14ac:dyDescent="0.35">
      <c r="I3690" s="42">
        <f t="shared" si="580"/>
        <v>0</v>
      </c>
      <c r="J3690" s="65" t="e">
        <f t="shared" si="581"/>
        <v>#NUM!</v>
      </c>
      <c r="K3690" s="83" t="e">
        <f t="shared" si="582"/>
        <v>#NUM!</v>
      </c>
      <c r="L3690" s="83">
        <f t="shared" si="583"/>
        <v>0</v>
      </c>
      <c r="M3690" s="110" t="str">
        <f t="shared" si="584"/>
        <v/>
      </c>
      <c r="N3690" s="51" t="str">
        <f t="shared" si="585"/>
        <v/>
      </c>
      <c r="O3690" s="52" t="str">
        <f t="shared" si="586"/>
        <v/>
      </c>
      <c r="P3690" s="88">
        <f t="shared" si="587"/>
        <v>0</v>
      </c>
      <c r="Q3690" s="88">
        <f t="shared" si="588"/>
        <v>0</v>
      </c>
      <c r="R3690" s="88" t="e">
        <f>-IF(Tabla14[[#This Row],[DIAS HABILES O MORA]]&lt;0,(Tabla14[[#This Row],[VALOR PRESTAMO]]*Tabla14[[#This Row],[% INTERES ]]/30*U3690))+Tabla14[[#This Row],[VALOR CUOTAS]]</f>
        <v>#VALUE!</v>
      </c>
      <c r="S3690" s="88">
        <f>-IF(Tabla14[[#This Row],[DIAS HABILES O MORA]]&lt;0,(Tabla14[[#This Row],[VALOR PRESTAMO]]*Tabla14[[#This Row],[% INTERES ]]/30*U3690))</f>
        <v>0</v>
      </c>
      <c r="T3690" s="53" t="e">
        <f>Tabla14[[#This Row],[DEUDA CAPITAL]]+Tabla14[[#This Row],[INTERES  CUOTA]]</f>
        <v>#NUM!</v>
      </c>
      <c r="U3690" s="61" t="str">
        <f t="shared" si="589"/>
        <v/>
      </c>
    </row>
    <row r="3691" spans="9:21" ht="24.75" customHeight="1" x14ac:dyDescent="0.35">
      <c r="I3691" s="42">
        <f t="shared" si="580"/>
        <v>0</v>
      </c>
      <c r="J3691" s="65" t="e">
        <f t="shared" si="581"/>
        <v>#NUM!</v>
      </c>
      <c r="K3691" s="83" t="e">
        <f t="shared" si="582"/>
        <v>#NUM!</v>
      </c>
      <c r="L3691" s="83">
        <f t="shared" si="583"/>
        <v>0</v>
      </c>
      <c r="M3691" s="110" t="str">
        <f t="shared" si="584"/>
        <v/>
      </c>
      <c r="N3691" s="51" t="str">
        <f t="shared" si="585"/>
        <v/>
      </c>
      <c r="O3691" s="52" t="str">
        <f t="shared" si="586"/>
        <v/>
      </c>
      <c r="P3691" s="88">
        <f t="shared" si="587"/>
        <v>0</v>
      </c>
      <c r="Q3691" s="88">
        <f t="shared" si="588"/>
        <v>0</v>
      </c>
      <c r="R3691" s="88" t="e">
        <f>-IF(Tabla14[[#This Row],[DIAS HABILES O MORA]]&lt;0,(Tabla14[[#This Row],[VALOR PRESTAMO]]*Tabla14[[#This Row],[% INTERES ]]/30*U3691))+Tabla14[[#This Row],[VALOR CUOTAS]]</f>
        <v>#VALUE!</v>
      </c>
      <c r="S3691" s="88">
        <f>-IF(Tabla14[[#This Row],[DIAS HABILES O MORA]]&lt;0,(Tabla14[[#This Row],[VALOR PRESTAMO]]*Tabla14[[#This Row],[% INTERES ]]/30*U3691))</f>
        <v>0</v>
      </c>
      <c r="T3691" s="53" t="e">
        <f>Tabla14[[#This Row],[DEUDA CAPITAL]]+Tabla14[[#This Row],[INTERES  CUOTA]]</f>
        <v>#NUM!</v>
      </c>
      <c r="U3691" s="61" t="str">
        <f t="shared" si="589"/>
        <v/>
      </c>
    </row>
    <row r="3692" spans="9:21" ht="24.75" customHeight="1" x14ac:dyDescent="0.35">
      <c r="I3692" s="42">
        <f t="shared" si="580"/>
        <v>0</v>
      </c>
      <c r="J3692" s="65" t="e">
        <f t="shared" si="581"/>
        <v>#NUM!</v>
      </c>
      <c r="K3692" s="83" t="e">
        <f t="shared" si="582"/>
        <v>#NUM!</v>
      </c>
      <c r="L3692" s="83">
        <f t="shared" si="583"/>
        <v>0</v>
      </c>
      <c r="M3692" s="110" t="str">
        <f t="shared" si="584"/>
        <v/>
      </c>
      <c r="N3692" s="51" t="str">
        <f t="shared" si="585"/>
        <v/>
      </c>
      <c r="O3692" s="52" t="str">
        <f t="shared" si="586"/>
        <v/>
      </c>
      <c r="P3692" s="88">
        <f t="shared" si="587"/>
        <v>0</v>
      </c>
      <c r="Q3692" s="88">
        <f t="shared" si="588"/>
        <v>0</v>
      </c>
      <c r="R3692" s="88" t="e">
        <f>-IF(Tabla14[[#This Row],[DIAS HABILES O MORA]]&lt;0,(Tabla14[[#This Row],[VALOR PRESTAMO]]*Tabla14[[#This Row],[% INTERES ]]/30*U3692))+Tabla14[[#This Row],[VALOR CUOTAS]]</f>
        <v>#VALUE!</v>
      </c>
      <c r="S3692" s="88">
        <f>-IF(Tabla14[[#This Row],[DIAS HABILES O MORA]]&lt;0,(Tabla14[[#This Row],[VALOR PRESTAMO]]*Tabla14[[#This Row],[% INTERES ]]/30*U3692))</f>
        <v>0</v>
      </c>
      <c r="T3692" s="53" t="e">
        <f>Tabla14[[#This Row],[DEUDA CAPITAL]]+Tabla14[[#This Row],[INTERES  CUOTA]]</f>
        <v>#NUM!</v>
      </c>
      <c r="U3692" s="61" t="str">
        <f t="shared" si="589"/>
        <v/>
      </c>
    </row>
    <row r="3693" spans="9:21" ht="24.75" customHeight="1" x14ac:dyDescent="0.35">
      <c r="I3693" s="42">
        <f t="shared" si="580"/>
        <v>0</v>
      </c>
      <c r="J3693" s="65" t="e">
        <f t="shared" si="581"/>
        <v>#NUM!</v>
      </c>
      <c r="K3693" s="83" t="e">
        <f t="shared" si="582"/>
        <v>#NUM!</v>
      </c>
      <c r="L3693" s="83">
        <f t="shared" si="583"/>
        <v>0</v>
      </c>
      <c r="M3693" s="110" t="str">
        <f t="shared" si="584"/>
        <v/>
      </c>
      <c r="N3693" s="51" t="str">
        <f t="shared" si="585"/>
        <v/>
      </c>
      <c r="O3693" s="52" t="str">
        <f t="shared" si="586"/>
        <v/>
      </c>
      <c r="P3693" s="88">
        <f t="shared" si="587"/>
        <v>0</v>
      </c>
      <c r="Q3693" s="88">
        <f t="shared" si="588"/>
        <v>0</v>
      </c>
      <c r="R3693" s="88" t="e">
        <f>-IF(Tabla14[[#This Row],[DIAS HABILES O MORA]]&lt;0,(Tabla14[[#This Row],[VALOR PRESTAMO]]*Tabla14[[#This Row],[% INTERES ]]/30*U3693))+Tabla14[[#This Row],[VALOR CUOTAS]]</f>
        <v>#VALUE!</v>
      </c>
      <c r="S3693" s="88">
        <f>-IF(Tabla14[[#This Row],[DIAS HABILES O MORA]]&lt;0,(Tabla14[[#This Row],[VALOR PRESTAMO]]*Tabla14[[#This Row],[% INTERES ]]/30*U3693))</f>
        <v>0</v>
      </c>
      <c r="T3693" s="53" t="e">
        <f>Tabla14[[#This Row],[DEUDA CAPITAL]]+Tabla14[[#This Row],[INTERES  CUOTA]]</f>
        <v>#NUM!</v>
      </c>
      <c r="U3693" s="61" t="str">
        <f t="shared" si="589"/>
        <v/>
      </c>
    </row>
    <row r="3694" spans="9:21" ht="24.75" customHeight="1" x14ac:dyDescent="0.35">
      <c r="I3694" s="42">
        <f t="shared" si="580"/>
        <v>0</v>
      </c>
      <c r="J3694" s="65" t="e">
        <f t="shared" si="581"/>
        <v>#NUM!</v>
      </c>
      <c r="K3694" s="83" t="e">
        <f t="shared" si="582"/>
        <v>#NUM!</v>
      </c>
      <c r="L3694" s="83">
        <f t="shared" si="583"/>
        <v>0</v>
      </c>
      <c r="M3694" s="110" t="str">
        <f t="shared" si="584"/>
        <v/>
      </c>
      <c r="N3694" s="51" t="str">
        <f t="shared" si="585"/>
        <v/>
      </c>
      <c r="O3694" s="52" t="str">
        <f t="shared" si="586"/>
        <v/>
      </c>
      <c r="P3694" s="88">
        <f t="shared" si="587"/>
        <v>0</v>
      </c>
      <c r="Q3694" s="88">
        <f t="shared" si="588"/>
        <v>0</v>
      </c>
      <c r="R3694" s="88" t="e">
        <f>-IF(Tabla14[[#This Row],[DIAS HABILES O MORA]]&lt;0,(Tabla14[[#This Row],[VALOR PRESTAMO]]*Tabla14[[#This Row],[% INTERES ]]/30*U3694))+Tabla14[[#This Row],[VALOR CUOTAS]]</f>
        <v>#VALUE!</v>
      </c>
      <c r="S3694" s="88">
        <f>-IF(Tabla14[[#This Row],[DIAS HABILES O MORA]]&lt;0,(Tabla14[[#This Row],[VALOR PRESTAMO]]*Tabla14[[#This Row],[% INTERES ]]/30*U3694))</f>
        <v>0</v>
      </c>
      <c r="T3694" s="53" t="e">
        <f>Tabla14[[#This Row],[DEUDA CAPITAL]]+Tabla14[[#This Row],[INTERES  CUOTA]]</f>
        <v>#NUM!</v>
      </c>
      <c r="U3694" s="61" t="str">
        <f t="shared" si="589"/>
        <v/>
      </c>
    </row>
    <row r="3695" spans="9:21" ht="24.75" customHeight="1" x14ac:dyDescent="0.35">
      <c r="I3695" s="42">
        <f t="shared" si="580"/>
        <v>0</v>
      </c>
      <c r="J3695" s="65" t="e">
        <f t="shared" si="581"/>
        <v>#NUM!</v>
      </c>
      <c r="K3695" s="83" t="e">
        <f t="shared" si="582"/>
        <v>#NUM!</v>
      </c>
      <c r="L3695" s="83">
        <f t="shared" si="583"/>
        <v>0</v>
      </c>
      <c r="M3695" s="110" t="str">
        <f t="shared" si="584"/>
        <v/>
      </c>
      <c r="N3695" s="51" t="str">
        <f t="shared" si="585"/>
        <v/>
      </c>
      <c r="O3695" s="52" t="str">
        <f t="shared" si="586"/>
        <v/>
      </c>
      <c r="P3695" s="88">
        <f t="shared" si="587"/>
        <v>0</v>
      </c>
      <c r="Q3695" s="88">
        <f t="shared" si="588"/>
        <v>0</v>
      </c>
      <c r="R3695" s="88" t="e">
        <f>-IF(Tabla14[[#This Row],[DIAS HABILES O MORA]]&lt;0,(Tabla14[[#This Row],[VALOR PRESTAMO]]*Tabla14[[#This Row],[% INTERES ]]/30*U3695))+Tabla14[[#This Row],[VALOR CUOTAS]]</f>
        <v>#VALUE!</v>
      </c>
      <c r="S3695" s="88">
        <f>-IF(Tabla14[[#This Row],[DIAS HABILES O MORA]]&lt;0,(Tabla14[[#This Row],[VALOR PRESTAMO]]*Tabla14[[#This Row],[% INTERES ]]/30*U3695))</f>
        <v>0</v>
      </c>
      <c r="T3695" s="53" t="e">
        <f>Tabla14[[#This Row],[DEUDA CAPITAL]]+Tabla14[[#This Row],[INTERES  CUOTA]]</f>
        <v>#NUM!</v>
      </c>
      <c r="U3695" s="61" t="str">
        <f t="shared" si="589"/>
        <v/>
      </c>
    </row>
    <row r="3696" spans="9:21" ht="24.75" customHeight="1" x14ac:dyDescent="0.35">
      <c r="I3696" s="42">
        <f t="shared" si="580"/>
        <v>0</v>
      </c>
      <c r="J3696" s="65" t="e">
        <f t="shared" si="581"/>
        <v>#NUM!</v>
      </c>
      <c r="K3696" s="83" t="e">
        <f t="shared" si="582"/>
        <v>#NUM!</v>
      </c>
      <c r="L3696" s="83">
        <f t="shared" si="583"/>
        <v>0</v>
      </c>
      <c r="M3696" s="110" t="str">
        <f t="shared" si="584"/>
        <v/>
      </c>
      <c r="N3696" s="51" t="str">
        <f t="shared" si="585"/>
        <v/>
      </c>
      <c r="O3696" s="52" t="str">
        <f t="shared" si="586"/>
        <v/>
      </c>
      <c r="P3696" s="88">
        <f t="shared" si="587"/>
        <v>0</v>
      </c>
      <c r="Q3696" s="88">
        <f t="shared" si="588"/>
        <v>0</v>
      </c>
      <c r="R3696" s="88" t="e">
        <f>-IF(Tabla14[[#This Row],[DIAS HABILES O MORA]]&lt;0,(Tabla14[[#This Row],[VALOR PRESTAMO]]*Tabla14[[#This Row],[% INTERES ]]/30*U3696))+Tabla14[[#This Row],[VALOR CUOTAS]]</f>
        <v>#VALUE!</v>
      </c>
      <c r="S3696" s="88">
        <f>-IF(Tabla14[[#This Row],[DIAS HABILES O MORA]]&lt;0,(Tabla14[[#This Row],[VALOR PRESTAMO]]*Tabla14[[#This Row],[% INTERES ]]/30*U3696))</f>
        <v>0</v>
      </c>
      <c r="T3696" s="53" t="e">
        <f>Tabla14[[#This Row],[DEUDA CAPITAL]]+Tabla14[[#This Row],[INTERES  CUOTA]]</f>
        <v>#NUM!</v>
      </c>
      <c r="U3696" s="61" t="str">
        <f t="shared" si="589"/>
        <v/>
      </c>
    </row>
    <row r="3697" spans="9:21" ht="24.75" customHeight="1" x14ac:dyDescent="0.35">
      <c r="I3697" s="42">
        <f t="shared" si="580"/>
        <v>0</v>
      </c>
      <c r="J3697" s="65" t="e">
        <f t="shared" si="581"/>
        <v>#NUM!</v>
      </c>
      <c r="K3697" s="83" t="e">
        <f t="shared" si="582"/>
        <v>#NUM!</v>
      </c>
      <c r="L3697" s="83">
        <f t="shared" si="583"/>
        <v>0</v>
      </c>
      <c r="M3697" s="110" t="str">
        <f t="shared" si="584"/>
        <v/>
      </c>
      <c r="N3697" s="51" t="str">
        <f t="shared" si="585"/>
        <v/>
      </c>
      <c r="O3697" s="52" t="str">
        <f t="shared" si="586"/>
        <v/>
      </c>
      <c r="P3697" s="88">
        <f t="shared" si="587"/>
        <v>0</v>
      </c>
      <c r="Q3697" s="88">
        <f t="shared" si="588"/>
        <v>0</v>
      </c>
      <c r="R3697" s="88" t="e">
        <f>-IF(Tabla14[[#This Row],[DIAS HABILES O MORA]]&lt;0,(Tabla14[[#This Row],[VALOR PRESTAMO]]*Tabla14[[#This Row],[% INTERES ]]/30*U3697))+Tabla14[[#This Row],[VALOR CUOTAS]]</f>
        <v>#VALUE!</v>
      </c>
      <c r="S3697" s="88">
        <f>-IF(Tabla14[[#This Row],[DIAS HABILES O MORA]]&lt;0,(Tabla14[[#This Row],[VALOR PRESTAMO]]*Tabla14[[#This Row],[% INTERES ]]/30*U3697))</f>
        <v>0</v>
      </c>
      <c r="T3697" s="53" t="e">
        <f>Tabla14[[#This Row],[DEUDA CAPITAL]]+Tabla14[[#This Row],[INTERES  CUOTA]]</f>
        <v>#NUM!</v>
      </c>
      <c r="U3697" s="61" t="str">
        <f t="shared" si="589"/>
        <v/>
      </c>
    </row>
    <row r="3698" spans="9:21" ht="24.75" customHeight="1" x14ac:dyDescent="0.35">
      <c r="I3698" s="42">
        <f t="shared" si="580"/>
        <v>0</v>
      </c>
      <c r="J3698" s="65" t="e">
        <f t="shared" si="581"/>
        <v>#NUM!</v>
      </c>
      <c r="K3698" s="83" t="e">
        <f t="shared" si="582"/>
        <v>#NUM!</v>
      </c>
      <c r="L3698" s="83">
        <f t="shared" si="583"/>
        <v>0</v>
      </c>
      <c r="M3698" s="110" t="str">
        <f t="shared" si="584"/>
        <v/>
      </c>
      <c r="N3698" s="51" t="str">
        <f t="shared" si="585"/>
        <v/>
      </c>
      <c r="O3698" s="52" t="str">
        <f t="shared" si="586"/>
        <v/>
      </c>
      <c r="P3698" s="88">
        <f t="shared" si="587"/>
        <v>0</v>
      </c>
      <c r="Q3698" s="88">
        <f t="shared" si="588"/>
        <v>0</v>
      </c>
      <c r="R3698" s="88" t="e">
        <f>-IF(Tabla14[[#This Row],[DIAS HABILES O MORA]]&lt;0,(Tabla14[[#This Row],[VALOR PRESTAMO]]*Tabla14[[#This Row],[% INTERES ]]/30*U3698))+Tabla14[[#This Row],[VALOR CUOTAS]]</f>
        <v>#VALUE!</v>
      </c>
      <c r="S3698" s="88">
        <f>-IF(Tabla14[[#This Row],[DIAS HABILES O MORA]]&lt;0,(Tabla14[[#This Row],[VALOR PRESTAMO]]*Tabla14[[#This Row],[% INTERES ]]/30*U3698))</f>
        <v>0</v>
      </c>
      <c r="T3698" s="53" t="e">
        <f>Tabla14[[#This Row],[DEUDA CAPITAL]]+Tabla14[[#This Row],[INTERES  CUOTA]]</f>
        <v>#NUM!</v>
      </c>
      <c r="U3698" s="61" t="str">
        <f t="shared" si="589"/>
        <v/>
      </c>
    </row>
    <row r="3699" spans="9:21" ht="24.75" customHeight="1" x14ac:dyDescent="0.35">
      <c r="I3699" s="42">
        <f t="shared" si="580"/>
        <v>0</v>
      </c>
      <c r="J3699" s="65" t="e">
        <f t="shared" si="581"/>
        <v>#NUM!</v>
      </c>
      <c r="K3699" s="83" t="e">
        <f t="shared" si="582"/>
        <v>#NUM!</v>
      </c>
      <c r="L3699" s="83">
        <f t="shared" si="583"/>
        <v>0</v>
      </c>
      <c r="M3699" s="110" t="str">
        <f t="shared" si="584"/>
        <v/>
      </c>
      <c r="N3699" s="51" t="str">
        <f t="shared" si="585"/>
        <v/>
      </c>
      <c r="O3699" s="52" t="str">
        <f t="shared" si="586"/>
        <v/>
      </c>
      <c r="P3699" s="88">
        <f t="shared" si="587"/>
        <v>0</v>
      </c>
      <c r="Q3699" s="88">
        <f t="shared" si="588"/>
        <v>0</v>
      </c>
      <c r="R3699" s="88" t="e">
        <f>-IF(Tabla14[[#This Row],[DIAS HABILES O MORA]]&lt;0,(Tabla14[[#This Row],[VALOR PRESTAMO]]*Tabla14[[#This Row],[% INTERES ]]/30*U3699))+Tabla14[[#This Row],[VALOR CUOTAS]]</f>
        <v>#VALUE!</v>
      </c>
      <c r="S3699" s="88">
        <f>-IF(Tabla14[[#This Row],[DIAS HABILES O MORA]]&lt;0,(Tabla14[[#This Row],[VALOR PRESTAMO]]*Tabla14[[#This Row],[% INTERES ]]/30*U3699))</f>
        <v>0</v>
      </c>
      <c r="T3699" s="53" t="e">
        <f>Tabla14[[#This Row],[DEUDA CAPITAL]]+Tabla14[[#This Row],[INTERES  CUOTA]]</f>
        <v>#NUM!</v>
      </c>
      <c r="U3699" s="61" t="str">
        <f t="shared" si="589"/>
        <v/>
      </c>
    </row>
    <row r="3700" spans="9:21" ht="24.75" customHeight="1" x14ac:dyDescent="0.35">
      <c r="I3700" s="42">
        <f t="shared" si="580"/>
        <v>0</v>
      </c>
      <c r="J3700" s="65" t="e">
        <f t="shared" si="581"/>
        <v>#NUM!</v>
      </c>
      <c r="K3700" s="83" t="e">
        <f t="shared" si="582"/>
        <v>#NUM!</v>
      </c>
      <c r="L3700" s="83">
        <f t="shared" si="583"/>
        <v>0</v>
      </c>
      <c r="M3700" s="110" t="str">
        <f t="shared" si="584"/>
        <v/>
      </c>
      <c r="N3700" s="51" t="str">
        <f t="shared" si="585"/>
        <v/>
      </c>
      <c r="O3700" s="52" t="str">
        <f t="shared" si="586"/>
        <v/>
      </c>
      <c r="P3700" s="88">
        <f t="shared" si="587"/>
        <v>0</v>
      </c>
      <c r="Q3700" s="88">
        <f t="shared" si="588"/>
        <v>0</v>
      </c>
      <c r="R3700" s="88" t="e">
        <f>-IF(Tabla14[[#This Row],[DIAS HABILES O MORA]]&lt;0,(Tabla14[[#This Row],[VALOR PRESTAMO]]*Tabla14[[#This Row],[% INTERES ]]/30*U3700))+Tabla14[[#This Row],[VALOR CUOTAS]]</f>
        <v>#VALUE!</v>
      </c>
      <c r="S3700" s="88">
        <f>-IF(Tabla14[[#This Row],[DIAS HABILES O MORA]]&lt;0,(Tabla14[[#This Row],[VALOR PRESTAMO]]*Tabla14[[#This Row],[% INTERES ]]/30*U3700))</f>
        <v>0</v>
      </c>
      <c r="T3700" s="53" t="e">
        <f>Tabla14[[#This Row],[DEUDA CAPITAL]]+Tabla14[[#This Row],[INTERES  CUOTA]]</f>
        <v>#NUM!</v>
      </c>
      <c r="U3700" s="61" t="str">
        <f t="shared" si="589"/>
        <v/>
      </c>
    </row>
    <row r="3701" spans="9:21" ht="24.75" customHeight="1" x14ac:dyDescent="0.35">
      <c r="I3701" s="42">
        <f t="shared" si="580"/>
        <v>0</v>
      </c>
      <c r="J3701" s="65" t="e">
        <f t="shared" si="581"/>
        <v>#NUM!</v>
      </c>
      <c r="K3701" s="83" t="e">
        <f t="shared" si="582"/>
        <v>#NUM!</v>
      </c>
      <c r="L3701" s="83">
        <f t="shared" si="583"/>
        <v>0</v>
      </c>
      <c r="M3701" s="110" t="str">
        <f t="shared" si="584"/>
        <v/>
      </c>
      <c r="N3701" s="51" t="str">
        <f t="shared" si="585"/>
        <v/>
      </c>
      <c r="O3701" s="52" t="str">
        <f t="shared" si="586"/>
        <v/>
      </c>
      <c r="P3701" s="88">
        <f t="shared" si="587"/>
        <v>0</v>
      </c>
      <c r="Q3701" s="88">
        <f t="shared" si="588"/>
        <v>0</v>
      </c>
      <c r="R3701" s="88" t="e">
        <f>-IF(Tabla14[[#This Row],[DIAS HABILES O MORA]]&lt;0,(Tabla14[[#This Row],[VALOR PRESTAMO]]*Tabla14[[#This Row],[% INTERES ]]/30*U3701))+Tabla14[[#This Row],[VALOR CUOTAS]]</f>
        <v>#VALUE!</v>
      </c>
      <c r="S3701" s="88">
        <f>-IF(Tabla14[[#This Row],[DIAS HABILES O MORA]]&lt;0,(Tabla14[[#This Row],[VALOR PRESTAMO]]*Tabla14[[#This Row],[% INTERES ]]/30*U3701))</f>
        <v>0</v>
      </c>
      <c r="T3701" s="53" t="e">
        <f>Tabla14[[#This Row],[DEUDA CAPITAL]]+Tabla14[[#This Row],[INTERES  CUOTA]]</f>
        <v>#NUM!</v>
      </c>
      <c r="U3701" s="61" t="str">
        <f t="shared" si="589"/>
        <v/>
      </c>
    </row>
    <row r="3702" spans="9:21" ht="24.75" customHeight="1" x14ac:dyDescent="0.35">
      <c r="I3702" s="42">
        <f t="shared" si="580"/>
        <v>0</v>
      </c>
      <c r="J3702" s="65" t="e">
        <f t="shared" si="581"/>
        <v>#NUM!</v>
      </c>
      <c r="K3702" s="83" t="e">
        <f t="shared" si="582"/>
        <v>#NUM!</v>
      </c>
      <c r="L3702" s="83">
        <f t="shared" si="583"/>
        <v>0</v>
      </c>
      <c r="M3702" s="110" t="str">
        <f t="shared" si="584"/>
        <v/>
      </c>
      <c r="N3702" s="51" t="str">
        <f t="shared" si="585"/>
        <v/>
      </c>
      <c r="O3702" s="52" t="str">
        <f t="shared" si="586"/>
        <v/>
      </c>
      <c r="P3702" s="88">
        <f t="shared" si="587"/>
        <v>0</v>
      </c>
      <c r="Q3702" s="88">
        <f t="shared" si="588"/>
        <v>0</v>
      </c>
      <c r="R3702" s="88" t="e">
        <f>-IF(Tabla14[[#This Row],[DIAS HABILES O MORA]]&lt;0,(Tabla14[[#This Row],[VALOR PRESTAMO]]*Tabla14[[#This Row],[% INTERES ]]/30*U3702))+Tabla14[[#This Row],[VALOR CUOTAS]]</f>
        <v>#VALUE!</v>
      </c>
      <c r="S3702" s="88">
        <f>-IF(Tabla14[[#This Row],[DIAS HABILES O MORA]]&lt;0,(Tabla14[[#This Row],[VALOR PRESTAMO]]*Tabla14[[#This Row],[% INTERES ]]/30*U3702))</f>
        <v>0</v>
      </c>
      <c r="T3702" s="53" t="e">
        <f>Tabla14[[#This Row],[DEUDA CAPITAL]]+Tabla14[[#This Row],[INTERES  CUOTA]]</f>
        <v>#NUM!</v>
      </c>
      <c r="U3702" s="61" t="str">
        <f t="shared" si="589"/>
        <v/>
      </c>
    </row>
    <row r="3703" spans="9:21" ht="24.75" customHeight="1" x14ac:dyDescent="0.35">
      <c r="I3703" s="42">
        <f t="shared" si="580"/>
        <v>0</v>
      </c>
      <c r="J3703" s="65" t="e">
        <f t="shared" si="581"/>
        <v>#NUM!</v>
      </c>
      <c r="K3703" s="83" t="e">
        <f t="shared" si="582"/>
        <v>#NUM!</v>
      </c>
      <c r="L3703" s="83">
        <f t="shared" si="583"/>
        <v>0</v>
      </c>
      <c r="M3703" s="110" t="str">
        <f t="shared" si="584"/>
        <v/>
      </c>
      <c r="N3703" s="51" t="str">
        <f t="shared" si="585"/>
        <v/>
      </c>
      <c r="O3703" s="52" t="str">
        <f t="shared" si="586"/>
        <v/>
      </c>
      <c r="P3703" s="88">
        <f t="shared" si="587"/>
        <v>0</v>
      </c>
      <c r="Q3703" s="88">
        <f t="shared" si="588"/>
        <v>0</v>
      </c>
      <c r="R3703" s="88" t="e">
        <f>-IF(Tabla14[[#This Row],[DIAS HABILES O MORA]]&lt;0,(Tabla14[[#This Row],[VALOR PRESTAMO]]*Tabla14[[#This Row],[% INTERES ]]/30*U3703))+Tabla14[[#This Row],[VALOR CUOTAS]]</f>
        <v>#VALUE!</v>
      </c>
      <c r="S3703" s="88">
        <f>-IF(Tabla14[[#This Row],[DIAS HABILES O MORA]]&lt;0,(Tabla14[[#This Row],[VALOR PRESTAMO]]*Tabla14[[#This Row],[% INTERES ]]/30*U3703))</f>
        <v>0</v>
      </c>
      <c r="T3703" s="53" t="e">
        <f>Tabla14[[#This Row],[DEUDA CAPITAL]]+Tabla14[[#This Row],[INTERES  CUOTA]]</f>
        <v>#NUM!</v>
      </c>
      <c r="U3703" s="61" t="str">
        <f t="shared" si="589"/>
        <v/>
      </c>
    </row>
    <row r="3704" spans="9:21" ht="24.75" customHeight="1" x14ac:dyDescent="0.35">
      <c r="I3704" s="42">
        <f t="shared" si="580"/>
        <v>0</v>
      </c>
      <c r="J3704" s="65" t="e">
        <f t="shared" si="581"/>
        <v>#NUM!</v>
      </c>
      <c r="K3704" s="83" t="e">
        <f t="shared" si="582"/>
        <v>#NUM!</v>
      </c>
      <c r="L3704" s="83">
        <f t="shared" si="583"/>
        <v>0</v>
      </c>
      <c r="M3704" s="110" t="str">
        <f t="shared" si="584"/>
        <v/>
      </c>
      <c r="N3704" s="51" t="str">
        <f t="shared" si="585"/>
        <v/>
      </c>
      <c r="O3704" s="52" t="str">
        <f t="shared" si="586"/>
        <v/>
      </c>
      <c r="P3704" s="88">
        <f t="shared" si="587"/>
        <v>0</v>
      </c>
      <c r="Q3704" s="88">
        <f t="shared" si="588"/>
        <v>0</v>
      </c>
      <c r="R3704" s="88" t="e">
        <f>-IF(Tabla14[[#This Row],[DIAS HABILES O MORA]]&lt;0,(Tabla14[[#This Row],[VALOR PRESTAMO]]*Tabla14[[#This Row],[% INTERES ]]/30*U3704))+Tabla14[[#This Row],[VALOR CUOTAS]]</f>
        <v>#VALUE!</v>
      </c>
      <c r="S3704" s="88">
        <f>-IF(Tabla14[[#This Row],[DIAS HABILES O MORA]]&lt;0,(Tabla14[[#This Row],[VALOR PRESTAMO]]*Tabla14[[#This Row],[% INTERES ]]/30*U3704))</f>
        <v>0</v>
      </c>
      <c r="T3704" s="53" t="e">
        <f>Tabla14[[#This Row],[DEUDA CAPITAL]]+Tabla14[[#This Row],[INTERES  CUOTA]]</f>
        <v>#NUM!</v>
      </c>
      <c r="U3704" s="61" t="str">
        <f t="shared" si="589"/>
        <v/>
      </c>
    </row>
    <row r="3705" spans="9:21" ht="24.75" customHeight="1" x14ac:dyDescent="0.35">
      <c r="I3705" s="42">
        <f t="shared" si="580"/>
        <v>0</v>
      </c>
      <c r="J3705" s="65" t="e">
        <f t="shared" si="581"/>
        <v>#NUM!</v>
      </c>
      <c r="K3705" s="83" t="e">
        <f t="shared" si="582"/>
        <v>#NUM!</v>
      </c>
      <c r="L3705" s="83">
        <f t="shared" si="583"/>
        <v>0</v>
      </c>
      <c r="M3705" s="110" t="str">
        <f t="shared" si="584"/>
        <v/>
      </c>
      <c r="N3705" s="51" t="str">
        <f t="shared" si="585"/>
        <v/>
      </c>
      <c r="O3705" s="52" t="str">
        <f t="shared" si="586"/>
        <v/>
      </c>
      <c r="P3705" s="88">
        <f t="shared" si="587"/>
        <v>0</v>
      </c>
      <c r="Q3705" s="88">
        <f t="shared" si="588"/>
        <v>0</v>
      </c>
      <c r="R3705" s="88" t="e">
        <f>-IF(Tabla14[[#This Row],[DIAS HABILES O MORA]]&lt;0,(Tabla14[[#This Row],[VALOR PRESTAMO]]*Tabla14[[#This Row],[% INTERES ]]/30*U3705))+Tabla14[[#This Row],[VALOR CUOTAS]]</f>
        <v>#VALUE!</v>
      </c>
      <c r="S3705" s="88">
        <f>-IF(Tabla14[[#This Row],[DIAS HABILES O MORA]]&lt;0,(Tabla14[[#This Row],[VALOR PRESTAMO]]*Tabla14[[#This Row],[% INTERES ]]/30*U3705))</f>
        <v>0</v>
      </c>
      <c r="T3705" s="53" t="e">
        <f>Tabla14[[#This Row],[DEUDA CAPITAL]]+Tabla14[[#This Row],[INTERES  CUOTA]]</f>
        <v>#NUM!</v>
      </c>
      <c r="U3705" s="61" t="str">
        <f t="shared" si="589"/>
        <v/>
      </c>
    </row>
    <row r="3706" spans="9:21" ht="24.75" customHeight="1" x14ac:dyDescent="0.35">
      <c r="I3706" s="42">
        <f t="shared" si="580"/>
        <v>0</v>
      </c>
      <c r="J3706" s="65" t="e">
        <f t="shared" si="581"/>
        <v>#NUM!</v>
      </c>
      <c r="K3706" s="83" t="e">
        <f t="shared" si="582"/>
        <v>#NUM!</v>
      </c>
      <c r="L3706" s="83">
        <f t="shared" si="583"/>
        <v>0</v>
      </c>
      <c r="M3706" s="110" t="str">
        <f t="shared" si="584"/>
        <v/>
      </c>
      <c r="N3706" s="51" t="str">
        <f t="shared" si="585"/>
        <v/>
      </c>
      <c r="O3706" s="52" t="str">
        <f t="shared" si="586"/>
        <v/>
      </c>
      <c r="P3706" s="88">
        <f t="shared" si="587"/>
        <v>0</v>
      </c>
      <c r="Q3706" s="88">
        <f t="shared" si="588"/>
        <v>0</v>
      </c>
      <c r="R3706" s="88" t="e">
        <f>-IF(Tabla14[[#This Row],[DIAS HABILES O MORA]]&lt;0,(Tabla14[[#This Row],[VALOR PRESTAMO]]*Tabla14[[#This Row],[% INTERES ]]/30*U3706))+Tabla14[[#This Row],[VALOR CUOTAS]]</f>
        <v>#VALUE!</v>
      </c>
      <c r="S3706" s="88">
        <f>-IF(Tabla14[[#This Row],[DIAS HABILES O MORA]]&lt;0,(Tabla14[[#This Row],[VALOR PRESTAMO]]*Tabla14[[#This Row],[% INTERES ]]/30*U3706))</f>
        <v>0</v>
      </c>
      <c r="T3706" s="53" t="e">
        <f>Tabla14[[#This Row],[DEUDA CAPITAL]]+Tabla14[[#This Row],[INTERES  CUOTA]]</f>
        <v>#NUM!</v>
      </c>
      <c r="U3706" s="61" t="str">
        <f t="shared" si="589"/>
        <v/>
      </c>
    </row>
    <row r="3707" spans="9:21" ht="24.75" customHeight="1" x14ac:dyDescent="0.35">
      <c r="I3707" s="42">
        <f t="shared" si="580"/>
        <v>0</v>
      </c>
      <c r="J3707" s="65" t="e">
        <f t="shared" si="581"/>
        <v>#NUM!</v>
      </c>
      <c r="K3707" s="83" t="e">
        <f t="shared" si="582"/>
        <v>#NUM!</v>
      </c>
      <c r="L3707" s="83">
        <f t="shared" si="583"/>
        <v>0</v>
      </c>
      <c r="M3707" s="110" t="str">
        <f t="shared" si="584"/>
        <v/>
      </c>
      <c r="N3707" s="51" t="str">
        <f t="shared" si="585"/>
        <v/>
      </c>
      <c r="O3707" s="52" t="str">
        <f t="shared" si="586"/>
        <v/>
      </c>
      <c r="P3707" s="88">
        <f t="shared" si="587"/>
        <v>0</v>
      </c>
      <c r="Q3707" s="88">
        <f t="shared" si="588"/>
        <v>0</v>
      </c>
      <c r="R3707" s="88" t="e">
        <f>-IF(Tabla14[[#This Row],[DIAS HABILES O MORA]]&lt;0,(Tabla14[[#This Row],[VALOR PRESTAMO]]*Tabla14[[#This Row],[% INTERES ]]/30*U3707))+Tabla14[[#This Row],[VALOR CUOTAS]]</f>
        <v>#VALUE!</v>
      </c>
      <c r="S3707" s="88">
        <f>-IF(Tabla14[[#This Row],[DIAS HABILES O MORA]]&lt;0,(Tabla14[[#This Row],[VALOR PRESTAMO]]*Tabla14[[#This Row],[% INTERES ]]/30*U3707))</f>
        <v>0</v>
      </c>
      <c r="T3707" s="53" t="e">
        <f>Tabla14[[#This Row],[DEUDA CAPITAL]]+Tabla14[[#This Row],[INTERES  CUOTA]]</f>
        <v>#NUM!</v>
      </c>
      <c r="U3707" s="61" t="str">
        <f t="shared" si="589"/>
        <v/>
      </c>
    </row>
    <row r="3708" spans="9:21" ht="24.75" customHeight="1" x14ac:dyDescent="0.35">
      <c r="I3708" s="42">
        <f t="shared" si="580"/>
        <v>0</v>
      </c>
      <c r="J3708" s="65" t="e">
        <f t="shared" si="581"/>
        <v>#NUM!</v>
      </c>
      <c r="K3708" s="83" t="e">
        <f t="shared" si="582"/>
        <v>#NUM!</v>
      </c>
      <c r="L3708" s="83">
        <f t="shared" si="583"/>
        <v>0</v>
      </c>
      <c r="M3708" s="110" t="str">
        <f t="shared" si="584"/>
        <v/>
      </c>
      <c r="N3708" s="51" t="str">
        <f t="shared" si="585"/>
        <v/>
      </c>
      <c r="O3708" s="52" t="str">
        <f t="shared" si="586"/>
        <v/>
      </c>
      <c r="P3708" s="88">
        <f t="shared" si="587"/>
        <v>0</v>
      </c>
      <c r="Q3708" s="88">
        <f t="shared" si="588"/>
        <v>0</v>
      </c>
      <c r="R3708" s="88" t="e">
        <f>-IF(Tabla14[[#This Row],[DIAS HABILES O MORA]]&lt;0,(Tabla14[[#This Row],[VALOR PRESTAMO]]*Tabla14[[#This Row],[% INTERES ]]/30*U3708))+Tabla14[[#This Row],[VALOR CUOTAS]]</f>
        <v>#VALUE!</v>
      </c>
      <c r="S3708" s="88">
        <f>-IF(Tabla14[[#This Row],[DIAS HABILES O MORA]]&lt;0,(Tabla14[[#This Row],[VALOR PRESTAMO]]*Tabla14[[#This Row],[% INTERES ]]/30*U3708))</f>
        <v>0</v>
      </c>
      <c r="T3708" s="53" t="e">
        <f>Tabla14[[#This Row],[DEUDA CAPITAL]]+Tabla14[[#This Row],[INTERES  CUOTA]]</f>
        <v>#NUM!</v>
      </c>
      <c r="U3708" s="61" t="str">
        <f t="shared" si="589"/>
        <v/>
      </c>
    </row>
    <row r="3709" spans="9:21" ht="24.75" customHeight="1" x14ac:dyDescent="0.35">
      <c r="I3709" s="42">
        <f t="shared" si="580"/>
        <v>0</v>
      </c>
      <c r="J3709" s="65" t="e">
        <f t="shared" si="581"/>
        <v>#NUM!</v>
      </c>
      <c r="K3709" s="83" t="e">
        <f t="shared" si="582"/>
        <v>#NUM!</v>
      </c>
      <c r="L3709" s="83">
        <f t="shared" si="583"/>
        <v>0</v>
      </c>
      <c r="M3709" s="110" t="str">
        <f t="shared" si="584"/>
        <v/>
      </c>
      <c r="N3709" s="51" t="str">
        <f t="shared" si="585"/>
        <v/>
      </c>
      <c r="O3709" s="52" t="str">
        <f t="shared" si="586"/>
        <v/>
      </c>
      <c r="P3709" s="88">
        <f t="shared" si="587"/>
        <v>0</v>
      </c>
      <c r="Q3709" s="88">
        <f t="shared" si="588"/>
        <v>0</v>
      </c>
      <c r="R3709" s="88" t="e">
        <f>-IF(Tabla14[[#This Row],[DIAS HABILES O MORA]]&lt;0,(Tabla14[[#This Row],[VALOR PRESTAMO]]*Tabla14[[#This Row],[% INTERES ]]/30*U3709))+Tabla14[[#This Row],[VALOR CUOTAS]]</f>
        <v>#VALUE!</v>
      </c>
      <c r="S3709" s="88">
        <f>-IF(Tabla14[[#This Row],[DIAS HABILES O MORA]]&lt;0,(Tabla14[[#This Row],[VALOR PRESTAMO]]*Tabla14[[#This Row],[% INTERES ]]/30*U3709))</f>
        <v>0</v>
      </c>
      <c r="T3709" s="53" t="e">
        <f>Tabla14[[#This Row],[DEUDA CAPITAL]]+Tabla14[[#This Row],[INTERES  CUOTA]]</f>
        <v>#NUM!</v>
      </c>
      <c r="U3709" s="61" t="str">
        <f t="shared" si="589"/>
        <v/>
      </c>
    </row>
    <row r="3710" spans="9:21" ht="24.75" customHeight="1" x14ac:dyDescent="0.35">
      <c r="I3710" s="42">
        <f t="shared" si="580"/>
        <v>0</v>
      </c>
      <c r="J3710" s="65" t="e">
        <f t="shared" si="581"/>
        <v>#NUM!</v>
      </c>
      <c r="K3710" s="83" t="e">
        <f t="shared" si="582"/>
        <v>#NUM!</v>
      </c>
      <c r="L3710" s="83">
        <f t="shared" si="583"/>
        <v>0</v>
      </c>
      <c r="M3710" s="110" t="str">
        <f t="shared" si="584"/>
        <v/>
      </c>
      <c r="N3710" s="51" t="str">
        <f t="shared" si="585"/>
        <v/>
      </c>
      <c r="O3710" s="52" t="str">
        <f t="shared" si="586"/>
        <v/>
      </c>
      <c r="P3710" s="88">
        <f t="shared" si="587"/>
        <v>0</v>
      </c>
      <c r="Q3710" s="88">
        <f t="shared" si="588"/>
        <v>0</v>
      </c>
      <c r="R3710" s="88" t="e">
        <f>-IF(Tabla14[[#This Row],[DIAS HABILES O MORA]]&lt;0,(Tabla14[[#This Row],[VALOR PRESTAMO]]*Tabla14[[#This Row],[% INTERES ]]/30*U3710))+Tabla14[[#This Row],[VALOR CUOTAS]]</f>
        <v>#VALUE!</v>
      </c>
      <c r="S3710" s="88">
        <f>-IF(Tabla14[[#This Row],[DIAS HABILES O MORA]]&lt;0,(Tabla14[[#This Row],[VALOR PRESTAMO]]*Tabla14[[#This Row],[% INTERES ]]/30*U3710))</f>
        <v>0</v>
      </c>
      <c r="T3710" s="53" t="e">
        <f>Tabla14[[#This Row],[DEUDA CAPITAL]]+Tabla14[[#This Row],[INTERES  CUOTA]]</f>
        <v>#NUM!</v>
      </c>
      <c r="U3710" s="61" t="str">
        <f t="shared" si="589"/>
        <v/>
      </c>
    </row>
    <row r="3711" spans="9:21" ht="24.75" customHeight="1" x14ac:dyDescent="0.35">
      <c r="I3711" s="42">
        <f t="shared" si="580"/>
        <v>0</v>
      </c>
      <c r="J3711" s="65" t="e">
        <f t="shared" si="581"/>
        <v>#NUM!</v>
      </c>
      <c r="K3711" s="83" t="e">
        <f t="shared" si="582"/>
        <v>#NUM!</v>
      </c>
      <c r="L3711" s="83">
        <f t="shared" si="583"/>
        <v>0</v>
      </c>
      <c r="M3711" s="110" t="str">
        <f t="shared" si="584"/>
        <v/>
      </c>
      <c r="N3711" s="51" t="str">
        <f t="shared" si="585"/>
        <v/>
      </c>
      <c r="O3711" s="52" t="str">
        <f t="shared" si="586"/>
        <v/>
      </c>
      <c r="P3711" s="88">
        <f t="shared" si="587"/>
        <v>0</v>
      </c>
      <c r="Q3711" s="88">
        <f t="shared" si="588"/>
        <v>0</v>
      </c>
      <c r="R3711" s="88" t="e">
        <f>-IF(Tabla14[[#This Row],[DIAS HABILES O MORA]]&lt;0,(Tabla14[[#This Row],[VALOR PRESTAMO]]*Tabla14[[#This Row],[% INTERES ]]/30*U3711))+Tabla14[[#This Row],[VALOR CUOTAS]]</f>
        <v>#VALUE!</v>
      </c>
      <c r="S3711" s="88">
        <f>-IF(Tabla14[[#This Row],[DIAS HABILES O MORA]]&lt;0,(Tabla14[[#This Row],[VALOR PRESTAMO]]*Tabla14[[#This Row],[% INTERES ]]/30*U3711))</f>
        <v>0</v>
      </c>
      <c r="T3711" s="53" t="e">
        <f>Tabla14[[#This Row],[DEUDA CAPITAL]]+Tabla14[[#This Row],[INTERES  CUOTA]]</f>
        <v>#NUM!</v>
      </c>
      <c r="U3711" s="61" t="str">
        <f t="shared" si="589"/>
        <v/>
      </c>
    </row>
    <row r="3712" spans="9:21" ht="24.75" customHeight="1" x14ac:dyDescent="0.35">
      <c r="I3712" s="42">
        <f t="shared" si="580"/>
        <v>0</v>
      </c>
      <c r="J3712" s="65" t="e">
        <f t="shared" si="581"/>
        <v>#NUM!</v>
      </c>
      <c r="K3712" s="83" t="e">
        <f t="shared" si="582"/>
        <v>#NUM!</v>
      </c>
      <c r="L3712" s="83">
        <f t="shared" si="583"/>
        <v>0</v>
      </c>
      <c r="M3712" s="110" t="str">
        <f t="shared" si="584"/>
        <v/>
      </c>
      <c r="N3712" s="51" t="str">
        <f t="shared" si="585"/>
        <v/>
      </c>
      <c r="O3712" s="52" t="str">
        <f t="shared" si="586"/>
        <v/>
      </c>
      <c r="P3712" s="88">
        <f t="shared" si="587"/>
        <v>0</v>
      </c>
      <c r="Q3712" s="88">
        <f t="shared" si="588"/>
        <v>0</v>
      </c>
      <c r="R3712" s="88" t="e">
        <f>-IF(Tabla14[[#This Row],[DIAS HABILES O MORA]]&lt;0,(Tabla14[[#This Row],[VALOR PRESTAMO]]*Tabla14[[#This Row],[% INTERES ]]/30*U3712))+Tabla14[[#This Row],[VALOR CUOTAS]]</f>
        <v>#VALUE!</v>
      </c>
      <c r="S3712" s="88">
        <f>-IF(Tabla14[[#This Row],[DIAS HABILES O MORA]]&lt;0,(Tabla14[[#This Row],[VALOR PRESTAMO]]*Tabla14[[#This Row],[% INTERES ]]/30*U3712))</f>
        <v>0</v>
      </c>
      <c r="T3712" s="53" t="e">
        <f>Tabla14[[#This Row],[DEUDA CAPITAL]]+Tabla14[[#This Row],[INTERES  CUOTA]]</f>
        <v>#NUM!</v>
      </c>
      <c r="U3712" s="61" t="str">
        <f t="shared" si="589"/>
        <v/>
      </c>
    </row>
    <row r="3713" spans="9:21" ht="24.75" customHeight="1" x14ac:dyDescent="0.35">
      <c r="I3713" s="42">
        <f t="shared" si="580"/>
        <v>0</v>
      </c>
      <c r="J3713" s="65" t="e">
        <f t="shared" si="581"/>
        <v>#NUM!</v>
      </c>
      <c r="K3713" s="83" t="e">
        <f t="shared" si="582"/>
        <v>#NUM!</v>
      </c>
      <c r="L3713" s="83">
        <f t="shared" si="583"/>
        <v>0</v>
      </c>
      <c r="M3713" s="110" t="str">
        <f t="shared" si="584"/>
        <v/>
      </c>
      <c r="N3713" s="51" t="str">
        <f t="shared" si="585"/>
        <v/>
      </c>
      <c r="O3713" s="52" t="str">
        <f t="shared" si="586"/>
        <v/>
      </c>
      <c r="P3713" s="88">
        <f t="shared" si="587"/>
        <v>0</v>
      </c>
      <c r="Q3713" s="88">
        <f t="shared" si="588"/>
        <v>0</v>
      </c>
      <c r="R3713" s="88" t="e">
        <f>-IF(Tabla14[[#This Row],[DIAS HABILES O MORA]]&lt;0,(Tabla14[[#This Row],[VALOR PRESTAMO]]*Tabla14[[#This Row],[% INTERES ]]/30*U3713))+Tabla14[[#This Row],[VALOR CUOTAS]]</f>
        <v>#VALUE!</v>
      </c>
      <c r="S3713" s="88">
        <f>-IF(Tabla14[[#This Row],[DIAS HABILES O MORA]]&lt;0,(Tabla14[[#This Row],[VALOR PRESTAMO]]*Tabla14[[#This Row],[% INTERES ]]/30*U3713))</f>
        <v>0</v>
      </c>
      <c r="T3713" s="53" t="e">
        <f>Tabla14[[#This Row],[DEUDA CAPITAL]]+Tabla14[[#This Row],[INTERES  CUOTA]]</f>
        <v>#NUM!</v>
      </c>
      <c r="U3713" s="61" t="str">
        <f t="shared" si="589"/>
        <v/>
      </c>
    </row>
    <row r="3714" spans="9:21" ht="24.75" customHeight="1" x14ac:dyDescent="0.35">
      <c r="I3714" s="42">
        <f t="shared" si="580"/>
        <v>0</v>
      </c>
      <c r="J3714" s="65" t="e">
        <f t="shared" si="581"/>
        <v>#NUM!</v>
      </c>
      <c r="K3714" s="83" t="e">
        <f t="shared" si="582"/>
        <v>#NUM!</v>
      </c>
      <c r="L3714" s="83">
        <f t="shared" si="583"/>
        <v>0</v>
      </c>
      <c r="M3714" s="110" t="str">
        <f t="shared" si="584"/>
        <v/>
      </c>
      <c r="N3714" s="51" t="str">
        <f t="shared" si="585"/>
        <v/>
      </c>
      <c r="O3714" s="52" t="str">
        <f t="shared" si="586"/>
        <v/>
      </c>
      <c r="P3714" s="88">
        <f t="shared" si="587"/>
        <v>0</v>
      </c>
      <c r="Q3714" s="88">
        <f t="shared" si="588"/>
        <v>0</v>
      </c>
      <c r="R3714" s="88" t="e">
        <f>-IF(Tabla14[[#This Row],[DIAS HABILES O MORA]]&lt;0,(Tabla14[[#This Row],[VALOR PRESTAMO]]*Tabla14[[#This Row],[% INTERES ]]/30*U3714))+Tabla14[[#This Row],[VALOR CUOTAS]]</f>
        <v>#VALUE!</v>
      </c>
      <c r="S3714" s="88">
        <f>-IF(Tabla14[[#This Row],[DIAS HABILES O MORA]]&lt;0,(Tabla14[[#This Row],[VALOR PRESTAMO]]*Tabla14[[#This Row],[% INTERES ]]/30*U3714))</f>
        <v>0</v>
      </c>
      <c r="T3714" s="53" t="e">
        <f>Tabla14[[#This Row],[DEUDA CAPITAL]]+Tabla14[[#This Row],[INTERES  CUOTA]]</f>
        <v>#NUM!</v>
      </c>
      <c r="U3714" s="61" t="str">
        <f t="shared" si="589"/>
        <v/>
      </c>
    </row>
    <row r="3715" spans="9:21" ht="24.75" customHeight="1" x14ac:dyDescent="0.35">
      <c r="I3715" s="42">
        <f t="shared" si="580"/>
        <v>0</v>
      </c>
      <c r="J3715" s="65" t="e">
        <f t="shared" si="581"/>
        <v>#NUM!</v>
      </c>
      <c r="K3715" s="83" t="e">
        <f t="shared" si="582"/>
        <v>#NUM!</v>
      </c>
      <c r="L3715" s="83">
        <f t="shared" si="583"/>
        <v>0</v>
      </c>
      <c r="M3715" s="110" t="str">
        <f t="shared" si="584"/>
        <v/>
      </c>
      <c r="N3715" s="51" t="str">
        <f t="shared" si="585"/>
        <v/>
      </c>
      <c r="O3715" s="52" t="str">
        <f t="shared" si="586"/>
        <v/>
      </c>
      <c r="P3715" s="88">
        <f t="shared" si="587"/>
        <v>0</v>
      </c>
      <c r="Q3715" s="88">
        <f t="shared" si="588"/>
        <v>0</v>
      </c>
      <c r="R3715" s="88" t="e">
        <f>-IF(Tabla14[[#This Row],[DIAS HABILES O MORA]]&lt;0,(Tabla14[[#This Row],[VALOR PRESTAMO]]*Tabla14[[#This Row],[% INTERES ]]/30*U3715))+Tabla14[[#This Row],[VALOR CUOTAS]]</f>
        <v>#VALUE!</v>
      </c>
      <c r="S3715" s="88">
        <f>-IF(Tabla14[[#This Row],[DIAS HABILES O MORA]]&lt;0,(Tabla14[[#This Row],[VALOR PRESTAMO]]*Tabla14[[#This Row],[% INTERES ]]/30*U3715))</f>
        <v>0</v>
      </c>
      <c r="T3715" s="53" t="e">
        <f>Tabla14[[#This Row],[DEUDA CAPITAL]]+Tabla14[[#This Row],[INTERES  CUOTA]]</f>
        <v>#NUM!</v>
      </c>
      <c r="U3715" s="61" t="str">
        <f t="shared" si="589"/>
        <v/>
      </c>
    </row>
    <row r="3716" spans="9:21" ht="24.75" customHeight="1" x14ac:dyDescent="0.35">
      <c r="I3716" s="42">
        <f t="shared" si="580"/>
        <v>0</v>
      </c>
      <c r="J3716" s="65" t="e">
        <f t="shared" si="581"/>
        <v>#NUM!</v>
      </c>
      <c r="K3716" s="83" t="e">
        <f t="shared" si="582"/>
        <v>#NUM!</v>
      </c>
      <c r="L3716" s="83">
        <f t="shared" si="583"/>
        <v>0</v>
      </c>
      <c r="M3716" s="110" t="str">
        <f t="shared" si="584"/>
        <v/>
      </c>
      <c r="N3716" s="51" t="str">
        <f t="shared" si="585"/>
        <v/>
      </c>
      <c r="O3716" s="52" t="str">
        <f t="shared" si="586"/>
        <v/>
      </c>
      <c r="P3716" s="88">
        <f t="shared" si="587"/>
        <v>0</v>
      </c>
      <c r="Q3716" s="88">
        <f t="shared" si="588"/>
        <v>0</v>
      </c>
      <c r="R3716" s="88" t="e">
        <f>-IF(Tabla14[[#This Row],[DIAS HABILES O MORA]]&lt;0,(Tabla14[[#This Row],[VALOR PRESTAMO]]*Tabla14[[#This Row],[% INTERES ]]/30*U3716))+Tabla14[[#This Row],[VALOR CUOTAS]]</f>
        <v>#VALUE!</v>
      </c>
      <c r="S3716" s="88">
        <f>-IF(Tabla14[[#This Row],[DIAS HABILES O MORA]]&lt;0,(Tabla14[[#This Row],[VALOR PRESTAMO]]*Tabla14[[#This Row],[% INTERES ]]/30*U3716))</f>
        <v>0</v>
      </c>
      <c r="T3716" s="53" t="e">
        <f>Tabla14[[#This Row],[DEUDA CAPITAL]]+Tabla14[[#This Row],[INTERES  CUOTA]]</f>
        <v>#NUM!</v>
      </c>
      <c r="U3716" s="61" t="str">
        <f t="shared" si="589"/>
        <v/>
      </c>
    </row>
    <row r="3717" spans="9:21" ht="24.75" customHeight="1" x14ac:dyDescent="0.35">
      <c r="I3717" s="42">
        <f t="shared" si="580"/>
        <v>0</v>
      </c>
      <c r="J3717" s="65" t="e">
        <f t="shared" si="581"/>
        <v>#NUM!</v>
      </c>
      <c r="K3717" s="83" t="e">
        <f t="shared" si="582"/>
        <v>#NUM!</v>
      </c>
      <c r="L3717" s="83">
        <f t="shared" si="583"/>
        <v>0</v>
      </c>
      <c r="M3717" s="110" t="str">
        <f t="shared" si="584"/>
        <v/>
      </c>
      <c r="N3717" s="51" t="str">
        <f t="shared" si="585"/>
        <v/>
      </c>
      <c r="O3717" s="52" t="str">
        <f t="shared" si="586"/>
        <v/>
      </c>
      <c r="P3717" s="88">
        <f t="shared" si="587"/>
        <v>0</v>
      </c>
      <c r="Q3717" s="88">
        <f t="shared" si="588"/>
        <v>0</v>
      </c>
      <c r="R3717" s="88" t="e">
        <f>-IF(Tabla14[[#This Row],[DIAS HABILES O MORA]]&lt;0,(Tabla14[[#This Row],[VALOR PRESTAMO]]*Tabla14[[#This Row],[% INTERES ]]/30*U3717))+Tabla14[[#This Row],[VALOR CUOTAS]]</f>
        <v>#VALUE!</v>
      </c>
      <c r="S3717" s="88">
        <f>-IF(Tabla14[[#This Row],[DIAS HABILES O MORA]]&lt;0,(Tabla14[[#This Row],[VALOR PRESTAMO]]*Tabla14[[#This Row],[% INTERES ]]/30*U3717))</f>
        <v>0</v>
      </c>
      <c r="T3717" s="53" t="e">
        <f>Tabla14[[#This Row],[DEUDA CAPITAL]]+Tabla14[[#This Row],[INTERES  CUOTA]]</f>
        <v>#NUM!</v>
      </c>
      <c r="U3717" s="61" t="str">
        <f t="shared" si="589"/>
        <v/>
      </c>
    </row>
    <row r="3718" spans="9:21" ht="24.75" customHeight="1" x14ac:dyDescent="0.35">
      <c r="I3718" s="42">
        <f t="shared" si="580"/>
        <v>0</v>
      </c>
      <c r="J3718" s="65" t="e">
        <f t="shared" si="581"/>
        <v>#NUM!</v>
      </c>
      <c r="K3718" s="83" t="e">
        <f t="shared" si="582"/>
        <v>#NUM!</v>
      </c>
      <c r="L3718" s="83">
        <f t="shared" si="583"/>
        <v>0</v>
      </c>
      <c r="M3718" s="110" t="str">
        <f t="shared" si="584"/>
        <v/>
      </c>
      <c r="N3718" s="51" t="str">
        <f t="shared" si="585"/>
        <v/>
      </c>
      <c r="O3718" s="52" t="str">
        <f t="shared" si="586"/>
        <v/>
      </c>
      <c r="P3718" s="88">
        <f t="shared" si="587"/>
        <v>0</v>
      </c>
      <c r="Q3718" s="88">
        <f t="shared" si="588"/>
        <v>0</v>
      </c>
      <c r="R3718" s="88" t="e">
        <f>-IF(Tabla14[[#This Row],[DIAS HABILES O MORA]]&lt;0,(Tabla14[[#This Row],[VALOR PRESTAMO]]*Tabla14[[#This Row],[% INTERES ]]/30*U3718))+Tabla14[[#This Row],[VALOR CUOTAS]]</f>
        <v>#VALUE!</v>
      </c>
      <c r="S3718" s="88">
        <f>-IF(Tabla14[[#This Row],[DIAS HABILES O MORA]]&lt;0,(Tabla14[[#This Row],[VALOR PRESTAMO]]*Tabla14[[#This Row],[% INTERES ]]/30*U3718))</f>
        <v>0</v>
      </c>
      <c r="T3718" s="53" t="e">
        <f>Tabla14[[#This Row],[DEUDA CAPITAL]]+Tabla14[[#This Row],[INTERES  CUOTA]]</f>
        <v>#NUM!</v>
      </c>
      <c r="U3718" s="61" t="str">
        <f t="shared" si="589"/>
        <v/>
      </c>
    </row>
    <row r="3719" spans="9:21" ht="24.75" customHeight="1" x14ac:dyDescent="0.35">
      <c r="I3719" s="42">
        <f t="shared" si="580"/>
        <v>0</v>
      </c>
      <c r="J3719" s="65" t="e">
        <f t="shared" si="581"/>
        <v>#NUM!</v>
      </c>
      <c r="K3719" s="83" t="e">
        <f t="shared" si="582"/>
        <v>#NUM!</v>
      </c>
      <c r="L3719" s="83">
        <f t="shared" si="583"/>
        <v>0</v>
      </c>
      <c r="M3719" s="110" t="str">
        <f t="shared" si="584"/>
        <v/>
      </c>
      <c r="N3719" s="51" t="str">
        <f t="shared" si="585"/>
        <v/>
      </c>
      <c r="O3719" s="52" t="str">
        <f t="shared" si="586"/>
        <v/>
      </c>
      <c r="P3719" s="88">
        <f t="shared" si="587"/>
        <v>0</v>
      </c>
      <c r="Q3719" s="88">
        <f t="shared" si="588"/>
        <v>0</v>
      </c>
      <c r="R3719" s="88" t="e">
        <f>-IF(Tabla14[[#This Row],[DIAS HABILES O MORA]]&lt;0,(Tabla14[[#This Row],[VALOR PRESTAMO]]*Tabla14[[#This Row],[% INTERES ]]/30*U3719))+Tabla14[[#This Row],[VALOR CUOTAS]]</f>
        <v>#VALUE!</v>
      </c>
      <c r="S3719" s="88">
        <f>-IF(Tabla14[[#This Row],[DIAS HABILES O MORA]]&lt;0,(Tabla14[[#This Row],[VALOR PRESTAMO]]*Tabla14[[#This Row],[% INTERES ]]/30*U3719))</f>
        <v>0</v>
      </c>
      <c r="T3719" s="53" t="e">
        <f>Tabla14[[#This Row],[DEUDA CAPITAL]]+Tabla14[[#This Row],[INTERES  CUOTA]]</f>
        <v>#NUM!</v>
      </c>
      <c r="U3719" s="61" t="str">
        <f t="shared" si="589"/>
        <v/>
      </c>
    </row>
    <row r="3720" spans="9:21" ht="24.75" customHeight="1" x14ac:dyDescent="0.35">
      <c r="I3720" s="42">
        <f t="shared" si="580"/>
        <v>0</v>
      </c>
      <c r="J3720" s="65" t="e">
        <f t="shared" si="581"/>
        <v>#NUM!</v>
      </c>
      <c r="K3720" s="83" t="e">
        <f t="shared" si="582"/>
        <v>#NUM!</v>
      </c>
      <c r="L3720" s="83">
        <f t="shared" si="583"/>
        <v>0</v>
      </c>
      <c r="M3720" s="110" t="str">
        <f t="shared" si="584"/>
        <v/>
      </c>
      <c r="N3720" s="51" t="str">
        <f t="shared" si="585"/>
        <v/>
      </c>
      <c r="O3720" s="52" t="str">
        <f t="shared" si="586"/>
        <v/>
      </c>
      <c r="P3720" s="88">
        <f t="shared" si="587"/>
        <v>0</v>
      </c>
      <c r="Q3720" s="88">
        <f t="shared" si="588"/>
        <v>0</v>
      </c>
      <c r="R3720" s="88" t="e">
        <f>-IF(Tabla14[[#This Row],[DIAS HABILES O MORA]]&lt;0,(Tabla14[[#This Row],[VALOR PRESTAMO]]*Tabla14[[#This Row],[% INTERES ]]/30*U3720))+Tabla14[[#This Row],[VALOR CUOTAS]]</f>
        <v>#VALUE!</v>
      </c>
      <c r="S3720" s="88">
        <f>-IF(Tabla14[[#This Row],[DIAS HABILES O MORA]]&lt;0,(Tabla14[[#This Row],[VALOR PRESTAMO]]*Tabla14[[#This Row],[% INTERES ]]/30*U3720))</f>
        <v>0</v>
      </c>
      <c r="T3720" s="53" t="e">
        <f>Tabla14[[#This Row],[DEUDA CAPITAL]]+Tabla14[[#This Row],[INTERES  CUOTA]]</f>
        <v>#NUM!</v>
      </c>
      <c r="U3720" s="61" t="str">
        <f t="shared" si="589"/>
        <v/>
      </c>
    </row>
    <row r="3721" spans="9:21" ht="24.75" customHeight="1" x14ac:dyDescent="0.35">
      <c r="I3721" s="42">
        <f t="shared" si="580"/>
        <v>0</v>
      </c>
      <c r="J3721" s="65" t="e">
        <f t="shared" si="581"/>
        <v>#NUM!</v>
      </c>
      <c r="K3721" s="83" t="e">
        <f t="shared" si="582"/>
        <v>#NUM!</v>
      </c>
      <c r="L3721" s="83">
        <f t="shared" si="583"/>
        <v>0</v>
      </c>
      <c r="M3721" s="110" t="str">
        <f t="shared" si="584"/>
        <v/>
      </c>
      <c r="N3721" s="51" t="str">
        <f t="shared" si="585"/>
        <v/>
      </c>
      <c r="O3721" s="52" t="str">
        <f t="shared" si="586"/>
        <v/>
      </c>
      <c r="P3721" s="88">
        <f t="shared" si="587"/>
        <v>0</v>
      </c>
      <c r="Q3721" s="88">
        <f t="shared" si="588"/>
        <v>0</v>
      </c>
      <c r="R3721" s="88" t="e">
        <f>-IF(Tabla14[[#This Row],[DIAS HABILES O MORA]]&lt;0,(Tabla14[[#This Row],[VALOR PRESTAMO]]*Tabla14[[#This Row],[% INTERES ]]/30*U3721))+Tabla14[[#This Row],[VALOR CUOTAS]]</f>
        <v>#VALUE!</v>
      </c>
      <c r="S3721" s="88">
        <f>-IF(Tabla14[[#This Row],[DIAS HABILES O MORA]]&lt;0,(Tabla14[[#This Row],[VALOR PRESTAMO]]*Tabla14[[#This Row],[% INTERES ]]/30*U3721))</f>
        <v>0</v>
      </c>
      <c r="T3721" s="53" t="e">
        <f>Tabla14[[#This Row],[DEUDA CAPITAL]]+Tabla14[[#This Row],[INTERES  CUOTA]]</f>
        <v>#NUM!</v>
      </c>
      <c r="U3721" s="61" t="str">
        <f t="shared" si="589"/>
        <v/>
      </c>
    </row>
    <row r="3722" spans="9:21" ht="24.75" customHeight="1" x14ac:dyDescent="0.35">
      <c r="I3722" s="42">
        <f t="shared" si="580"/>
        <v>0</v>
      </c>
      <c r="J3722" s="65" t="e">
        <f t="shared" si="581"/>
        <v>#NUM!</v>
      </c>
      <c r="K3722" s="83" t="e">
        <f t="shared" si="582"/>
        <v>#NUM!</v>
      </c>
      <c r="L3722" s="83">
        <f t="shared" si="583"/>
        <v>0</v>
      </c>
      <c r="M3722" s="110" t="str">
        <f t="shared" si="584"/>
        <v/>
      </c>
      <c r="N3722" s="51" t="str">
        <f t="shared" si="585"/>
        <v/>
      </c>
      <c r="O3722" s="52" t="str">
        <f t="shared" si="586"/>
        <v/>
      </c>
      <c r="P3722" s="88">
        <f t="shared" si="587"/>
        <v>0</v>
      </c>
      <c r="Q3722" s="88">
        <f t="shared" si="588"/>
        <v>0</v>
      </c>
      <c r="R3722" s="88" t="e">
        <f>-IF(Tabla14[[#This Row],[DIAS HABILES O MORA]]&lt;0,(Tabla14[[#This Row],[VALOR PRESTAMO]]*Tabla14[[#This Row],[% INTERES ]]/30*U3722))+Tabla14[[#This Row],[VALOR CUOTAS]]</f>
        <v>#VALUE!</v>
      </c>
      <c r="S3722" s="88">
        <f>-IF(Tabla14[[#This Row],[DIAS HABILES O MORA]]&lt;0,(Tabla14[[#This Row],[VALOR PRESTAMO]]*Tabla14[[#This Row],[% INTERES ]]/30*U3722))</f>
        <v>0</v>
      </c>
      <c r="T3722" s="53" t="e">
        <f>Tabla14[[#This Row],[DEUDA CAPITAL]]+Tabla14[[#This Row],[INTERES  CUOTA]]</f>
        <v>#NUM!</v>
      </c>
      <c r="U3722" s="61" t="str">
        <f t="shared" si="589"/>
        <v/>
      </c>
    </row>
    <row r="3723" spans="9:21" ht="24.75" customHeight="1" x14ac:dyDescent="0.35">
      <c r="I3723" s="42">
        <f t="shared" si="580"/>
        <v>0</v>
      </c>
      <c r="J3723" s="65" t="e">
        <f t="shared" si="581"/>
        <v>#NUM!</v>
      </c>
      <c r="K3723" s="83" t="e">
        <f t="shared" si="582"/>
        <v>#NUM!</v>
      </c>
      <c r="L3723" s="83">
        <f t="shared" si="583"/>
        <v>0</v>
      </c>
      <c r="M3723" s="110" t="str">
        <f t="shared" si="584"/>
        <v/>
      </c>
      <c r="N3723" s="51" t="str">
        <f t="shared" si="585"/>
        <v/>
      </c>
      <c r="O3723" s="52" t="str">
        <f t="shared" si="586"/>
        <v/>
      </c>
      <c r="P3723" s="88">
        <f t="shared" si="587"/>
        <v>0</v>
      </c>
      <c r="Q3723" s="88">
        <f t="shared" si="588"/>
        <v>0</v>
      </c>
      <c r="R3723" s="88" t="e">
        <f>-IF(Tabla14[[#This Row],[DIAS HABILES O MORA]]&lt;0,(Tabla14[[#This Row],[VALOR PRESTAMO]]*Tabla14[[#This Row],[% INTERES ]]/30*U3723))+Tabla14[[#This Row],[VALOR CUOTAS]]</f>
        <v>#VALUE!</v>
      </c>
      <c r="S3723" s="88">
        <f>-IF(Tabla14[[#This Row],[DIAS HABILES O MORA]]&lt;0,(Tabla14[[#This Row],[VALOR PRESTAMO]]*Tabla14[[#This Row],[% INTERES ]]/30*U3723))</f>
        <v>0</v>
      </c>
      <c r="T3723" s="53" t="e">
        <f>Tabla14[[#This Row],[DEUDA CAPITAL]]+Tabla14[[#This Row],[INTERES  CUOTA]]</f>
        <v>#NUM!</v>
      </c>
      <c r="U3723" s="61" t="str">
        <f t="shared" si="589"/>
        <v/>
      </c>
    </row>
    <row r="3724" spans="9:21" ht="24.75" customHeight="1" x14ac:dyDescent="0.35">
      <c r="I3724" s="42">
        <f t="shared" si="580"/>
        <v>0</v>
      </c>
      <c r="J3724" s="65" t="e">
        <f t="shared" si="581"/>
        <v>#NUM!</v>
      </c>
      <c r="K3724" s="83" t="e">
        <f t="shared" si="582"/>
        <v>#NUM!</v>
      </c>
      <c r="L3724" s="83">
        <f t="shared" si="583"/>
        <v>0</v>
      </c>
      <c r="M3724" s="110" t="str">
        <f t="shared" si="584"/>
        <v/>
      </c>
      <c r="N3724" s="51" t="str">
        <f t="shared" si="585"/>
        <v/>
      </c>
      <c r="O3724" s="52" t="str">
        <f t="shared" si="586"/>
        <v/>
      </c>
      <c r="P3724" s="88">
        <f t="shared" si="587"/>
        <v>0</v>
      </c>
      <c r="Q3724" s="88">
        <f t="shared" si="588"/>
        <v>0</v>
      </c>
      <c r="R3724" s="88" t="e">
        <f>-IF(Tabla14[[#This Row],[DIAS HABILES O MORA]]&lt;0,(Tabla14[[#This Row],[VALOR PRESTAMO]]*Tabla14[[#This Row],[% INTERES ]]/30*U3724))+Tabla14[[#This Row],[VALOR CUOTAS]]</f>
        <v>#VALUE!</v>
      </c>
      <c r="S3724" s="88">
        <f>-IF(Tabla14[[#This Row],[DIAS HABILES O MORA]]&lt;0,(Tabla14[[#This Row],[VALOR PRESTAMO]]*Tabla14[[#This Row],[% INTERES ]]/30*U3724))</f>
        <v>0</v>
      </c>
      <c r="T3724" s="53" t="e">
        <f>Tabla14[[#This Row],[DEUDA CAPITAL]]+Tabla14[[#This Row],[INTERES  CUOTA]]</f>
        <v>#NUM!</v>
      </c>
      <c r="U3724" s="61" t="str">
        <f t="shared" si="589"/>
        <v/>
      </c>
    </row>
    <row r="3725" spans="9:21" ht="24.75" customHeight="1" x14ac:dyDescent="0.35">
      <c r="I3725" s="42">
        <f t="shared" si="580"/>
        <v>0</v>
      </c>
      <c r="J3725" s="65" t="e">
        <f t="shared" si="581"/>
        <v>#NUM!</v>
      </c>
      <c r="K3725" s="83" t="e">
        <f t="shared" si="582"/>
        <v>#NUM!</v>
      </c>
      <c r="L3725" s="83">
        <f t="shared" si="583"/>
        <v>0</v>
      </c>
      <c r="M3725" s="110" t="str">
        <f t="shared" si="584"/>
        <v/>
      </c>
      <c r="N3725" s="51" t="str">
        <f t="shared" si="585"/>
        <v/>
      </c>
      <c r="O3725" s="52" t="str">
        <f t="shared" si="586"/>
        <v/>
      </c>
      <c r="P3725" s="88">
        <f t="shared" si="587"/>
        <v>0</v>
      </c>
      <c r="Q3725" s="88">
        <f t="shared" si="588"/>
        <v>0</v>
      </c>
      <c r="R3725" s="88" t="e">
        <f>-IF(Tabla14[[#This Row],[DIAS HABILES O MORA]]&lt;0,(Tabla14[[#This Row],[VALOR PRESTAMO]]*Tabla14[[#This Row],[% INTERES ]]/30*U3725))+Tabla14[[#This Row],[VALOR CUOTAS]]</f>
        <v>#VALUE!</v>
      </c>
      <c r="S3725" s="88">
        <f>-IF(Tabla14[[#This Row],[DIAS HABILES O MORA]]&lt;0,(Tabla14[[#This Row],[VALOR PRESTAMO]]*Tabla14[[#This Row],[% INTERES ]]/30*U3725))</f>
        <v>0</v>
      </c>
      <c r="T3725" s="53" t="e">
        <f>Tabla14[[#This Row],[DEUDA CAPITAL]]+Tabla14[[#This Row],[INTERES  CUOTA]]</f>
        <v>#NUM!</v>
      </c>
      <c r="U3725" s="61" t="str">
        <f t="shared" si="589"/>
        <v/>
      </c>
    </row>
    <row r="3726" spans="9:21" ht="24.75" customHeight="1" x14ac:dyDescent="0.35">
      <c r="I3726" s="42">
        <f t="shared" si="580"/>
        <v>0</v>
      </c>
      <c r="J3726" s="65" t="e">
        <f t="shared" si="581"/>
        <v>#NUM!</v>
      </c>
      <c r="K3726" s="83" t="e">
        <f t="shared" si="582"/>
        <v>#NUM!</v>
      </c>
      <c r="L3726" s="83">
        <f t="shared" si="583"/>
        <v>0</v>
      </c>
      <c r="M3726" s="110" t="str">
        <f t="shared" si="584"/>
        <v/>
      </c>
      <c r="N3726" s="51" t="str">
        <f t="shared" si="585"/>
        <v/>
      </c>
      <c r="O3726" s="52" t="str">
        <f t="shared" si="586"/>
        <v/>
      </c>
      <c r="P3726" s="88">
        <f t="shared" si="587"/>
        <v>0</v>
      </c>
      <c r="Q3726" s="88">
        <f t="shared" si="588"/>
        <v>0</v>
      </c>
      <c r="R3726" s="88" t="e">
        <f>-IF(Tabla14[[#This Row],[DIAS HABILES O MORA]]&lt;0,(Tabla14[[#This Row],[VALOR PRESTAMO]]*Tabla14[[#This Row],[% INTERES ]]/30*U3726))+Tabla14[[#This Row],[VALOR CUOTAS]]</f>
        <v>#VALUE!</v>
      </c>
      <c r="S3726" s="88">
        <f>-IF(Tabla14[[#This Row],[DIAS HABILES O MORA]]&lt;0,(Tabla14[[#This Row],[VALOR PRESTAMO]]*Tabla14[[#This Row],[% INTERES ]]/30*U3726))</f>
        <v>0</v>
      </c>
      <c r="T3726" s="53" t="e">
        <f>Tabla14[[#This Row],[DEUDA CAPITAL]]+Tabla14[[#This Row],[INTERES  CUOTA]]</f>
        <v>#NUM!</v>
      </c>
      <c r="U3726" s="61" t="str">
        <f t="shared" si="589"/>
        <v/>
      </c>
    </row>
    <row r="3727" spans="9:21" ht="24.75" customHeight="1" x14ac:dyDescent="0.35">
      <c r="I3727" s="42">
        <f t="shared" si="580"/>
        <v>0</v>
      </c>
      <c r="J3727" s="65" t="e">
        <f t="shared" si="581"/>
        <v>#NUM!</v>
      </c>
      <c r="K3727" s="83" t="e">
        <f t="shared" si="582"/>
        <v>#NUM!</v>
      </c>
      <c r="L3727" s="83">
        <f t="shared" si="583"/>
        <v>0</v>
      </c>
      <c r="M3727" s="110" t="str">
        <f t="shared" si="584"/>
        <v/>
      </c>
      <c r="N3727" s="51" t="str">
        <f t="shared" si="585"/>
        <v/>
      </c>
      <c r="O3727" s="52" t="str">
        <f t="shared" si="586"/>
        <v/>
      </c>
      <c r="P3727" s="88">
        <f t="shared" si="587"/>
        <v>0</v>
      </c>
      <c r="Q3727" s="88">
        <f t="shared" si="588"/>
        <v>0</v>
      </c>
      <c r="R3727" s="88" t="e">
        <f>-IF(Tabla14[[#This Row],[DIAS HABILES O MORA]]&lt;0,(Tabla14[[#This Row],[VALOR PRESTAMO]]*Tabla14[[#This Row],[% INTERES ]]/30*U3727))+Tabla14[[#This Row],[VALOR CUOTAS]]</f>
        <v>#VALUE!</v>
      </c>
      <c r="S3727" s="88">
        <f>-IF(Tabla14[[#This Row],[DIAS HABILES O MORA]]&lt;0,(Tabla14[[#This Row],[VALOR PRESTAMO]]*Tabla14[[#This Row],[% INTERES ]]/30*U3727))</f>
        <v>0</v>
      </c>
      <c r="T3727" s="53" t="e">
        <f>Tabla14[[#This Row],[DEUDA CAPITAL]]+Tabla14[[#This Row],[INTERES  CUOTA]]</f>
        <v>#NUM!</v>
      </c>
      <c r="U3727" s="61" t="str">
        <f t="shared" si="589"/>
        <v/>
      </c>
    </row>
    <row r="3728" spans="9:21" ht="24.75" customHeight="1" x14ac:dyDescent="0.35">
      <c r="I3728" s="42">
        <f t="shared" ref="I3728:I3791" si="590">IF(C3728&lt;0,"",IF(Q3728=0,0,IF(G3728=0,H3728+1,IF(H3728&lt;G3728,H3728+1,IF(G3728=H3728,0)))))</f>
        <v>0</v>
      </c>
      <c r="J3728" s="65" t="e">
        <f t="shared" ref="J3728:J3791" si="591">IF(F3728="SOLO INTERES",Q3728*D3728,-IPMT(D3728,I3728,G3728,C3728))</f>
        <v>#NUM!</v>
      </c>
      <c r="K3728" s="83" t="e">
        <f t="shared" ref="K3728:K3791" si="592">IF(F3728="SOLO INTERES",0,-PPMT(D3728,I3728,G3728,C3728))</f>
        <v>#NUM!</v>
      </c>
      <c r="L3728" s="83">
        <f t="shared" ref="L3728:L3791" si="593">IF(F3728="SOLO INTERES",SUM(Y3728:AAE3728),IFERROR(-CUMIPMT(D3728,G3728,C3728,1,H3728,0),0)+SUM(Y3728:WY3728))</f>
        <v>0</v>
      </c>
      <c r="M3728" s="110" t="str">
        <f t="shared" ref="M3728:M3791" si="594">IFERROR(IF(F3728="SOLO INTERES",Q3728*D3728,-PMT(D3728,G3728,C3728,0)),"")</f>
        <v/>
      </c>
      <c r="N3728" s="51" t="str">
        <f t="shared" ref="N3728:N3791" si="595">IF(Q3728=0,"",IF(E3728="MENSUAL",EDATE(B3728,I3728),IF(E3728="QUINCENAL",B3728+(I3728*15),IF(E3728="SEMANAL",B3728+(I3728*7)))))</f>
        <v/>
      </c>
      <c r="O3728" s="52" t="str">
        <f t="shared" ref="O3728:O3791" si="596">IF(C3728=0,"",IF(Q3728&lt;1,"PAGADO",IF(N3728=$A$3,"COBRAR HOY",IF(N3728&lt;$A$3,"EN MORA",IF(N3728&gt;$A$3,"AL DIA")))))</f>
        <v/>
      </c>
      <c r="P3728" s="88">
        <f t="shared" ref="P3728:P3791" si="597">IFERROR(-CUMPRINC(D3728,G3728,C3728,1,H3728,0),0)+W3728</f>
        <v>0</v>
      </c>
      <c r="Q3728" s="88">
        <f t="shared" ref="Q3728:Q3791" si="598">IFERROR(C3728-P3728,"")</f>
        <v>0</v>
      </c>
      <c r="R3728" s="88" t="e">
        <f>-IF(Tabla14[[#This Row],[DIAS HABILES O MORA]]&lt;0,(Tabla14[[#This Row],[VALOR PRESTAMO]]*Tabla14[[#This Row],[% INTERES ]]/30*U3728))+Tabla14[[#This Row],[VALOR CUOTAS]]</f>
        <v>#VALUE!</v>
      </c>
      <c r="S3728" s="88">
        <f>-IF(Tabla14[[#This Row],[DIAS HABILES O MORA]]&lt;0,(Tabla14[[#This Row],[VALOR PRESTAMO]]*Tabla14[[#This Row],[% INTERES ]]/30*U3728))</f>
        <v>0</v>
      </c>
      <c r="T3728" s="53" t="e">
        <f>Tabla14[[#This Row],[DEUDA CAPITAL]]+Tabla14[[#This Row],[INTERES  CUOTA]]</f>
        <v>#NUM!</v>
      </c>
      <c r="U3728" s="61" t="str">
        <f t="shared" ref="U3728:U3791" si="599">IF(O3728="PAGADO","",IFERROR(-IF(C3728=0,"",$A$3-N3728),""))</f>
        <v/>
      </c>
    </row>
    <row r="3729" spans="9:21" ht="24.75" customHeight="1" x14ac:dyDescent="0.35">
      <c r="I3729" s="42">
        <f t="shared" si="590"/>
        <v>0</v>
      </c>
      <c r="J3729" s="65" t="e">
        <f t="shared" si="591"/>
        <v>#NUM!</v>
      </c>
      <c r="K3729" s="83" t="e">
        <f t="shared" si="592"/>
        <v>#NUM!</v>
      </c>
      <c r="L3729" s="83">
        <f t="shared" si="593"/>
        <v>0</v>
      </c>
      <c r="M3729" s="110" t="str">
        <f t="shared" si="594"/>
        <v/>
      </c>
      <c r="N3729" s="51" t="str">
        <f t="shared" si="595"/>
        <v/>
      </c>
      <c r="O3729" s="52" t="str">
        <f t="shared" si="596"/>
        <v/>
      </c>
      <c r="P3729" s="88">
        <f t="shared" si="597"/>
        <v>0</v>
      </c>
      <c r="Q3729" s="88">
        <f t="shared" si="598"/>
        <v>0</v>
      </c>
      <c r="R3729" s="88" t="e">
        <f>-IF(Tabla14[[#This Row],[DIAS HABILES O MORA]]&lt;0,(Tabla14[[#This Row],[VALOR PRESTAMO]]*Tabla14[[#This Row],[% INTERES ]]/30*U3729))+Tabla14[[#This Row],[VALOR CUOTAS]]</f>
        <v>#VALUE!</v>
      </c>
      <c r="S3729" s="88">
        <f>-IF(Tabla14[[#This Row],[DIAS HABILES O MORA]]&lt;0,(Tabla14[[#This Row],[VALOR PRESTAMO]]*Tabla14[[#This Row],[% INTERES ]]/30*U3729))</f>
        <v>0</v>
      </c>
      <c r="T3729" s="53" t="e">
        <f>Tabla14[[#This Row],[DEUDA CAPITAL]]+Tabla14[[#This Row],[INTERES  CUOTA]]</f>
        <v>#NUM!</v>
      </c>
      <c r="U3729" s="61" t="str">
        <f t="shared" si="599"/>
        <v/>
      </c>
    </row>
    <row r="3730" spans="9:21" ht="24.75" customHeight="1" x14ac:dyDescent="0.35">
      <c r="I3730" s="42">
        <f t="shared" si="590"/>
        <v>0</v>
      </c>
      <c r="J3730" s="65" t="e">
        <f t="shared" si="591"/>
        <v>#NUM!</v>
      </c>
      <c r="K3730" s="83" t="e">
        <f t="shared" si="592"/>
        <v>#NUM!</v>
      </c>
      <c r="L3730" s="83">
        <f t="shared" si="593"/>
        <v>0</v>
      </c>
      <c r="M3730" s="110" t="str">
        <f t="shared" si="594"/>
        <v/>
      </c>
      <c r="N3730" s="51" t="str">
        <f t="shared" si="595"/>
        <v/>
      </c>
      <c r="O3730" s="52" t="str">
        <f t="shared" si="596"/>
        <v/>
      </c>
      <c r="P3730" s="88">
        <f t="shared" si="597"/>
        <v>0</v>
      </c>
      <c r="Q3730" s="88">
        <f t="shared" si="598"/>
        <v>0</v>
      </c>
      <c r="R3730" s="88" t="e">
        <f>-IF(Tabla14[[#This Row],[DIAS HABILES O MORA]]&lt;0,(Tabla14[[#This Row],[VALOR PRESTAMO]]*Tabla14[[#This Row],[% INTERES ]]/30*U3730))+Tabla14[[#This Row],[VALOR CUOTAS]]</f>
        <v>#VALUE!</v>
      </c>
      <c r="S3730" s="88">
        <f>-IF(Tabla14[[#This Row],[DIAS HABILES O MORA]]&lt;0,(Tabla14[[#This Row],[VALOR PRESTAMO]]*Tabla14[[#This Row],[% INTERES ]]/30*U3730))</f>
        <v>0</v>
      </c>
      <c r="T3730" s="53" t="e">
        <f>Tabla14[[#This Row],[DEUDA CAPITAL]]+Tabla14[[#This Row],[INTERES  CUOTA]]</f>
        <v>#NUM!</v>
      </c>
      <c r="U3730" s="61" t="str">
        <f t="shared" si="599"/>
        <v/>
      </c>
    </row>
    <row r="3731" spans="9:21" ht="24.75" customHeight="1" x14ac:dyDescent="0.35">
      <c r="I3731" s="42">
        <f t="shared" si="590"/>
        <v>0</v>
      </c>
      <c r="J3731" s="65" t="e">
        <f t="shared" si="591"/>
        <v>#NUM!</v>
      </c>
      <c r="K3731" s="83" t="e">
        <f t="shared" si="592"/>
        <v>#NUM!</v>
      </c>
      <c r="L3731" s="83">
        <f t="shared" si="593"/>
        <v>0</v>
      </c>
      <c r="M3731" s="110" t="str">
        <f t="shared" si="594"/>
        <v/>
      </c>
      <c r="N3731" s="51" t="str">
        <f t="shared" si="595"/>
        <v/>
      </c>
      <c r="O3731" s="52" t="str">
        <f t="shared" si="596"/>
        <v/>
      </c>
      <c r="P3731" s="88">
        <f t="shared" si="597"/>
        <v>0</v>
      </c>
      <c r="Q3731" s="88">
        <f t="shared" si="598"/>
        <v>0</v>
      </c>
      <c r="R3731" s="88" t="e">
        <f>-IF(Tabla14[[#This Row],[DIAS HABILES O MORA]]&lt;0,(Tabla14[[#This Row],[VALOR PRESTAMO]]*Tabla14[[#This Row],[% INTERES ]]/30*U3731))+Tabla14[[#This Row],[VALOR CUOTAS]]</f>
        <v>#VALUE!</v>
      </c>
      <c r="S3731" s="88">
        <f>-IF(Tabla14[[#This Row],[DIAS HABILES O MORA]]&lt;0,(Tabla14[[#This Row],[VALOR PRESTAMO]]*Tabla14[[#This Row],[% INTERES ]]/30*U3731))</f>
        <v>0</v>
      </c>
      <c r="T3731" s="53" t="e">
        <f>Tabla14[[#This Row],[DEUDA CAPITAL]]+Tabla14[[#This Row],[INTERES  CUOTA]]</f>
        <v>#NUM!</v>
      </c>
      <c r="U3731" s="61" t="str">
        <f t="shared" si="599"/>
        <v/>
      </c>
    </row>
    <row r="3732" spans="9:21" ht="24.75" customHeight="1" x14ac:dyDescent="0.35">
      <c r="I3732" s="42">
        <f t="shared" si="590"/>
        <v>0</v>
      </c>
      <c r="J3732" s="65" t="e">
        <f t="shared" si="591"/>
        <v>#NUM!</v>
      </c>
      <c r="K3732" s="83" t="e">
        <f t="shared" si="592"/>
        <v>#NUM!</v>
      </c>
      <c r="L3732" s="83">
        <f t="shared" si="593"/>
        <v>0</v>
      </c>
      <c r="M3732" s="110" t="str">
        <f t="shared" si="594"/>
        <v/>
      </c>
      <c r="N3732" s="51" t="str">
        <f t="shared" si="595"/>
        <v/>
      </c>
      <c r="O3732" s="52" t="str">
        <f t="shared" si="596"/>
        <v/>
      </c>
      <c r="P3732" s="88">
        <f t="shared" si="597"/>
        <v>0</v>
      </c>
      <c r="Q3732" s="88">
        <f t="shared" si="598"/>
        <v>0</v>
      </c>
      <c r="R3732" s="88" t="e">
        <f>-IF(Tabla14[[#This Row],[DIAS HABILES O MORA]]&lt;0,(Tabla14[[#This Row],[VALOR PRESTAMO]]*Tabla14[[#This Row],[% INTERES ]]/30*U3732))+Tabla14[[#This Row],[VALOR CUOTAS]]</f>
        <v>#VALUE!</v>
      </c>
      <c r="S3732" s="88">
        <f>-IF(Tabla14[[#This Row],[DIAS HABILES O MORA]]&lt;0,(Tabla14[[#This Row],[VALOR PRESTAMO]]*Tabla14[[#This Row],[% INTERES ]]/30*U3732))</f>
        <v>0</v>
      </c>
      <c r="T3732" s="53" t="e">
        <f>Tabla14[[#This Row],[DEUDA CAPITAL]]+Tabla14[[#This Row],[INTERES  CUOTA]]</f>
        <v>#NUM!</v>
      </c>
      <c r="U3732" s="61" t="str">
        <f t="shared" si="599"/>
        <v/>
      </c>
    </row>
    <row r="3733" spans="9:21" ht="24.75" customHeight="1" x14ac:dyDescent="0.35">
      <c r="I3733" s="42">
        <f t="shared" si="590"/>
        <v>0</v>
      </c>
      <c r="J3733" s="65" t="e">
        <f t="shared" si="591"/>
        <v>#NUM!</v>
      </c>
      <c r="K3733" s="83" t="e">
        <f t="shared" si="592"/>
        <v>#NUM!</v>
      </c>
      <c r="L3733" s="83">
        <f t="shared" si="593"/>
        <v>0</v>
      </c>
      <c r="M3733" s="110" t="str">
        <f t="shared" si="594"/>
        <v/>
      </c>
      <c r="N3733" s="51" t="str">
        <f t="shared" si="595"/>
        <v/>
      </c>
      <c r="O3733" s="52" t="str">
        <f t="shared" si="596"/>
        <v/>
      </c>
      <c r="P3733" s="88">
        <f t="shared" si="597"/>
        <v>0</v>
      </c>
      <c r="Q3733" s="88">
        <f t="shared" si="598"/>
        <v>0</v>
      </c>
      <c r="R3733" s="88" t="e">
        <f>-IF(Tabla14[[#This Row],[DIAS HABILES O MORA]]&lt;0,(Tabla14[[#This Row],[VALOR PRESTAMO]]*Tabla14[[#This Row],[% INTERES ]]/30*U3733))+Tabla14[[#This Row],[VALOR CUOTAS]]</f>
        <v>#VALUE!</v>
      </c>
      <c r="S3733" s="88">
        <f>-IF(Tabla14[[#This Row],[DIAS HABILES O MORA]]&lt;0,(Tabla14[[#This Row],[VALOR PRESTAMO]]*Tabla14[[#This Row],[% INTERES ]]/30*U3733))</f>
        <v>0</v>
      </c>
      <c r="T3733" s="53" t="e">
        <f>Tabla14[[#This Row],[DEUDA CAPITAL]]+Tabla14[[#This Row],[INTERES  CUOTA]]</f>
        <v>#NUM!</v>
      </c>
      <c r="U3733" s="61" t="str">
        <f t="shared" si="599"/>
        <v/>
      </c>
    </row>
    <row r="3734" spans="9:21" ht="24.75" customHeight="1" x14ac:dyDescent="0.35">
      <c r="I3734" s="42">
        <f t="shared" si="590"/>
        <v>0</v>
      </c>
      <c r="J3734" s="65" t="e">
        <f t="shared" si="591"/>
        <v>#NUM!</v>
      </c>
      <c r="K3734" s="83" t="e">
        <f t="shared" si="592"/>
        <v>#NUM!</v>
      </c>
      <c r="L3734" s="83">
        <f t="shared" si="593"/>
        <v>0</v>
      </c>
      <c r="M3734" s="110" t="str">
        <f t="shared" si="594"/>
        <v/>
      </c>
      <c r="N3734" s="51" t="str">
        <f t="shared" si="595"/>
        <v/>
      </c>
      <c r="O3734" s="52" t="str">
        <f t="shared" si="596"/>
        <v/>
      </c>
      <c r="P3734" s="88">
        <f t="shared" si="597"/>
        <v>0</v>
      </c>
      <c r="Q3734" s="88">
        <f t="shared" si="598"/>
        <v>0</v>
      </c>
      <c r="R3734" s="88" t="e">
        <f>-IF(Tabla14[[#This Row],[DIAS HABILES O MORA]]&lt;0,(Tabla14[[#This Row],[VALOR PRESTAMO]]*Tabla14[[#This Row],[% INTERES ]]/30*U3734))+Tabla14[[#This Row],[VALOR CUOTAS]]</f>
        <v>#VALUE!</v>
      </c>
      <c r="S3734" s="88">
        <f>-IF(Tabla14[[#This Row],[DIAS HABILES O MORA]]&lt;0,(Tabla14[[#This Row],[VALOR PRESTAMO]]*Tabla14[[#This Row],[% INTERES ]]/30*U3734))</f>
        <v>0</v>
      </c>
      <c r="T3734" s="53" t="e">
        <f>Tabla14[[#This Row],[DEUDA CAPITAL]]+Tabla14[[#This Row],[INTERES  CUOTA]]</f>
        <v>#NUM!</v>
      </c>
      <c r="U3734" s="61" t="str">
        <f t="shared" si="599"/>
        <v/>
      </c>
    </row>
    <row r="3735" spans="9:21" ht="24.75" customHeight="1" x14ac:dyDescent="0.35">
      <c r="I3735" s="42">
        <f t="shared" si="590"/>
        <v>0</v>
      </c>
      <c r="J3735" s="65" t="e">
        <f t="shared" si="591"/>
        <v>#NUM!</v>
      </c>
      <c r="K3735" s="83" t="e">
        <f t="shared" si="592"/>
        <v>#NUM!</v>
      </c>
      <c r="L3735" s="83">
        <f t="shared" si="593"/>
        <v>0</v>
      </c>
      <c r="M3735" s="110" t="str">
        <f t="shared" si="594"/>
        <v/>
      </c>
      <c r="N3735" s="51" t="str">
        <f t="shared" si="595"/>
        <v/>
      </c>
      <c r="O3735" s="52" t="str">
        <f t="shared" si="596"/>
        <v/>
      </c>
      <c r="P3735" s="88">
        <f t="shared" si="597"/>
        <v>0</v>
      </c>
      <c r="Q3735" s="88">
        <f t="shared" si="598"/>
        <v>0</v>
      </c>
      <c r="R3735" s="88" t="e">
        <f>-IF(Tabla14[[#This Row],[DIAS HABILES O MORA]]&lt;0,(Tabla14[[#This Row],[VALOR PRESTAMO]]*Tabla14[[#This Row],[% INTERES ]]/30*U3735))+Tabla14[[#This Row],[VALOR CUOTAS]]</f>
        <v>#VALUE!</v>
      </c>
      <c r="S3735" s="88">
        <f>-IF(Tabla14[[#This Row],[DIAS HABILES O MORA]]&lt;0,(Tabla14[[#This Row],[VALOR PRESTAMO]]*Tabla14[[#This Row],[% INTERES ]]/30*U3735))</f>
        <v>0</v>
      </c>
      <c r="T3735" s="53" t="e">
        <f>Tabla14[[#This Row],[DEUDA CAPITAL]]+Tabla14[[#This Row],[INTERES  CUOTA]]</f>
        <v>#NUM!</v>
      </c>
      <c r="U3735" s="61" t="str">
        <f t="shared" si="599"/>
        <v/>
      </c>
    </row>
    <row r="3736" spans="9:21" ht="24.75" customHeight="1" x14ac:dyDescent="0.35">
      <c r="I3736" s="42">
        <f t="shared" si="590"/>
        <v>0</v>
      </c>
      <c r="J3736" s="65" t="e">
        <f t="shared" si="591"/>
        <v>#NUM!</v>
      </c>
      <c r="K3736" s="83" t="e">
        <f t="shared" si="592"/>
        <v>#NUM!</v>
      </c>
      <c r="L3736" s="83">
        <f t="shared" si="593"/>
        <v>0</v>
      </c>
      <c r="M3736" s="110" t="str">
        <f t="shared" si="594"/>
        <v/>
      </c>
      <c r="N3736" s="51" t="str">
        <f t="shared" si="595"/>
        <v/>
      </c>
      <c r="O3736" s="52" t="str">
        <f t="shared" si="596"/>
        <v/>
      </c>
      <c r="P3736" s="88">
        <f t="shared" si="597"/>
        <v>0</v>
      </c>
      <c r="Q3736" s="88">
        <f t="shared" si="598"/>
        <v>0</v>
      </c>
      <c r="R3736" s="88" t="e">
        <f>-IF(Tabla14[[#This Row],[DIAS HABILES O MORA]]&lt;0,(Tabla14[[#This Row],[VALOR PRESTAMO]]*Tabla14[[#This Row],[% INTERES ]]/30*U3736))+Tabla14[[#This Row],[VALOR CUOTAS]]</f>
        <v>#VALUE!</v>
      </c>
      <c r="S3736" s="88">
        <f>-IF(Tabla14[[#This Row],[DIAS HABILES O MORA]]&lt;0,(Tabla14[[#This Row],[VALOR PRESTAMO]]*Tabla14[[#This Row],[% INTERES ]]/30*U3736))</f>
        <v>0</v>
      </c>
      <c r="T3736" s="53" t="e">
        <f>Tabla14[[#This Row],[DEUDA CAPITAL]]+Tabla14[[#This Row],[INTERES  CUOTA]]</f>
        <v>#NUM!</v>
      </c>
      <c r="U3736" s="61" t="str">
        <f t="shared" si="599"/>
        <v/>
      </c>
    </row>
    <row r="3737" spans="9:21" ht="24.75" customHeight="1" x14ac:dyDescent="0.35">
      <c r="I3737" s="42">
        <f t="shared" si="590"/>
        <v>0</v>
      </c>
      <c r="J3737" s="65" t="e">
        <f t="shared" si="591"/>
        <v>#NUM!</v>
      </c>
      <c r="K3737" s="83" t="e">
        <f t="shared" si="592"/>
        <v>#NUM!</v>
      </c>
      <c r="L3737" s="83">
        <f t="shared" si="593"/>
        <v>0</v>
      </c>
      <c r="M3737" s="110" t="str">
        <f t="shared" si="594"/>
        <v/>
      </c>
      <c r="N3737" s="51" t="str">
        <f t="shared" si="595"/>
        <v/>
      </c>
      <c r="O3737" s="52" t="str">
        <f t="shared" si="596"/>
        <v/>
      </c>
      <c r="P3737" s="88">
        <f t="shared" si="597"/>
        <v>0</v>
      </c>
      <c r="Q3737" s="88">
        <f t="shared" si="598"/>
        <v>0</v>
      </c>
      <c r="R3737" s="88" t="e">
        <f>-IF(Tabla14[[#This Row],[DIAS HABILES O MORA]]&lt;0,(Tabla14[[#This Row],[VALOR PRESTAMO]]*Tabla14[[#This Row],[% INTERES ]]/30*U3737))+Tabla14[[#This Row],[VALOR CUOTAS]]</f>
        <v>#VALUE!</v>
      </c>
      <c r="S3737" s="88">
        <f>-IF(Tabla14[[#This Row],[DIAS HABILES O MORA]]&lt;0,(Tabla14[[#This Row],[VALOR PRESTAMO]]*Tabla14[[#This Row],[% INTERES ]]/30*U3737))</f>
        <v>0</v>
      </c>
      <c r="T3737" s="53" t="e">
        <f>Tabla14[[#This Row],[DEUDA CAPITAL]]+Tabla14[[#This Row],[INTERES  CUOTA]]</f>
        <v>#NUM!</v>
      </c>
      <c r="U3737" s="61" t="str">
        <f t="shared" si="599"/>
        <v/>
      </c>
    </row>
    <row r="3738" spans="9:21" ht="24.75" customHeight="1" x14ac:dyDescent="0.35">
      <c r="I3738" s="42">
        <f t="shared" si="590"/>
        <v>0</v>
      </c>
      <c r="J3738" s="65" t="e">
        <f t="shared" si="591"/>
        <v>#NUM!</v>
      </c>
      <c r="K3738" s="83" t="e">
        <f t="shared" si="592"/>
        <v>#NUM!</v>
      </c>
      <c r="L3738" s="83">
        <f t="shared" si="593"/>
        <v>0</v>
      </c>
      <c r="M3738" s="110" t="str">
        <f t="shared" si="594"/>
        <v/>
      </c>
      <c r="N3738" s="51" t="str">
        <f t="shared" si="595"/>
        <v/>
      </c>
      <c r="O3738" s="52" t="str">
        <f t="shared" si="596"/>
        <v/>
      </c>
      <c r="P3738" s="88">
        <f t="shared" si="597"/>
        <v>0</v>
      </c>
      <c r="Q3738" s="88">
        <f t="shared" si="598"/>
        <v>0</v>
      </c>
      <c r="R3738" s="88" t="e">
        <f>-IF(Tabla14[[#This Row],[DIAS HABILES O MORA]]&lt;0,(Tabla14[[#This Row],[VALOR PRESTAMO]]*Tabla14[[#This Row],[% INTERES ]]/30*U3738))+Tabla14[[#This Row],[VALOR CUOTAS]]</f>
        <v>#VALUE!</v>
      </c>
      <c r="S3738" s="88">
        <f>-IF(Tabla14[[#This Row],[DIAS HABILES O MORA]]&lt;0,(Tabla14[[#This Row],[VALOR PRESTAMO]]*Tabla14[[#This Row],[% INTERES ]]/30*U3738))</f>
        <v>0</v>
      </c>
      <c r="T3738" s="53" t="e">
        <f>Tabla14[[#This Row],[DEUDA CAPITAL]]+Tabla14[[#This Row],[INTERES  CUOTA]]</f>
        <v>#NUM!</v>
      </c>
      <c r="U3738" s="61" t="str">
        <f t="shared" si="599"/>
        <v/>
      </c>
    </row>
    <row r="3739" spans="9:21" ht="24.75" customHeight="1" x14ac:dyDescent="0.35">
      <c r="I3739" s="42">
        <f t="shared" si="590"/>
        <v>0</v>
      </c>
      <c r="J3739" s="65" t="e">
        <f t="shared" si="591"/>
        <v>#NUM!</v>
      </c>
      <c r="K3739" s="83" t="e">
        <f t="shared" si="592"/>
        <v>#NUM!</v>
      </c>
      <c r="L3739" s="83">
        <f t="shared" si="593"/>
        <v>0</v>
      </c>
      <c r="M3739" s="110" t="str">
        <f t="shared" si="594"/>
        <v/>
      </c>
      <c r="N3739" s="51" t="str">
        <f t="shared" si="595"/>
        <v/>
      </c>
      <c r="O3739" s="52" t="str">
        <f t="shared" si="596"/>
        <v/>
      </c>
      <c r="P3739" s="88">
        <f t="shared" si="597"/>
        <v>0</v>
      </c>
      <c r="Q3739" s="88">
        <f t="shared" si="598"/>
        <v>0</v>
      </c>
      <c r="R3739" s="88" t="e">
        <f>-IF(Tabla14[[#This Row],[DIAS HABILES O MORA]]&lt;0,(Tabla14[[#This Row],[VALOR PRESTAMO]]*Tabla14[[#This Row],[% INTERES ]]/30*U3739))+Tabla14[[#This Row],[VALOR CUOTAS]]</f>
        <v>#VALUE!</v>
      </c>
      <c r="S3739" s="88">
        <f>-IF(Tabla14[[#This Row],[DIAS HABILES O MORA]]&lt;0,(Tabla14[[#This Row],[VALOR PRESTAMO]]*Tabla14[[#This Row],[% INTERES ]]/30*U3739))</f>
        <v>0</v>
      </c>
      <c r="T3739" s="53" t="e">
        <f>Tabla14[[#This Row],[DEUDA CAPITAL]]+Tabla14[[#This Row],[INTERES  CUOTA]]</f>
        <v>#NUM!</v>
      </c>
      <c r="U3739" s="61" t="str">
        <f t="shared" si="599"/>
        <v/>
      </c>
    </row>
    <row r="3740" spans="9:21" ht="24.75" customHeight="1" x14ac:dyDescent="0.35">
      <c r="I3740" s="42">
        <f t="shared" si="590"/>
        <v>0</v>
      </c>
      <c r="J3740" s="65" t="e">
        <f t="shared" si="591"/>
        <v>#NUM!</v>
      </c>
      <c r="K3740" s="83" t="e">
        <f t="shared" si="592"/>
        <v>#NUM!</v>
      </c>
      <c r="L3740" s="83">
        <f t="shared" si="593"/>
        <v>0</v>
      </c>
      <c r="M3740" s="110" t="str">
        <f t="shared" si="594"/>
        <v/>
      </c>
      <c r="N3740" s="51" t="str">
        <f t="shared" si="595"/>
        <v/>
      </c>
      <c r="O3740" s="52" t="str">
        <f t="shared" si="596"/>
        <v/>
      </c>
      <c r="P3740" s="88">
        <f t="shared" si="597"/>
        <v>0</v>
      </c>
      <c r="Q3740" s="88">
        <f t="shared" si="598"/>
        <v>0</v>
      </c>
      <c r="R3740" s="88" t="e">
        <f>-IF(Tabla14[[#This Row],[DIAS HABILES O MORA]]&lt;0,(Tabla14[[#This Row],[VALOR PRESTAMO]]*Tabla14[[#This Row],[% INTERES ]]/30*U3740))+Tabla14[[#This Row],[VALOR CUOTAS]]</f>
        <v>#VALUE!</v>
      </c>
      <c r="S3740" s="88">
        <f>-IF(Tabla14[[#This Row],[DIAS HABILES O MORA]]&lt;0,(Tabla14[[#This Row],[VALOR PRESTAMO]]*Tabla14[[#This Row],[% INTERES ]]/30*U3740))</f>
        <v>0</v>
      </c>
      <c r="T3740" s="53" t="e">
        <f>Tabla14[[#This Row],[DEUDA CAPITAL]]+Tabla14[[#This Row],[INTERES  CUOTA]]</f>
        <v>#NUM!</v>
      </c>
      <c r="U3740" s="61" t="str">
        <f t="shared" si="599"/>
        <v/>
      </c>
    </row>
    <row r="3741" spans="9:21" ht="24.75" customHeight="1" x14ac:dyDescent="0.35">
      <c r="I3741" s="42">
        <f t="shared" si="590"/>
        <v>0</v>
      </c>
      <c r="J3741" s="65" t="e">
        <f t="shared" si="591"/>
        <v>#NUM!</v>
      </c>
      <c r="K3741" s="83" t="e">
        <f t="shared" si="592"/>
        <v>#NUM!</v>
      </c>
      <c r="L3741" s="83">
        <f t="shared" si="593"/>
        <v>0</v>
      </c>
      <c r="M3741" s="110" t="str">
        <f t="shared" si="594"/>
        <v/>
      </c>
      <c r="N3741" s="51" t="str">
        <f t="shared" si="595"/>
        <v/>
      </c>
      <c r="O3741" s="52" t="str">
        <f t="shared" si="596"/>
        <v/>
      </c>
      <c r="P3741" s="88">
        <f t="shared" si="597"/>
        <v>0</v>
      </c>
      <c r="Q3741" s="88">
        <f t="shared" si="598"/>
        <v>0</v>
      </c>
      <c r="R3741" s="88" t="e">
        <f>-IF(Tabla14[[#This Row],[DIAS HABILES O MORA]]&lt;0,(Tabla14[[#This Row],[VALOR PRESTAMO]]*Tabla14[[#This Row],[% INTERES ]]/30*U3741))+Tabla14[[#This Row],[VALOR CUOTAS]]</f>
        <v>#VALUE!</v>
      </c>
      <c r="S3741" s="88">
        <f>-IF(Tabla14[[#This Row],[DIAS HABILES O MORA]]&lt;0,(Tabla14[[#This Row],[VALOR PRESTAMO]]*Tabla14[[#This Row],[% INTERES ]]/30*U3741))</f>
        <v>0</v>
      </c>
      <c r="T3741" s="53" t="e">
        <f>Tabla14[[#This Row],[DEUDA CAPITAL]]+Tabla14[[#This Row],[INTERES  CUOTA]]</f>
        <v>#NUM!</v>
      </c>
      <c r="U3741" s="61" t="str">
        <f t="shared" si="599"/>
        <v/>
      </c>
    </row>
    <row r="3742" spans="9:21" ht="24.75" customHeight="1" x14ac:dyDescent="0.35">
      <c r="I3742" s="42">
        <f t="shared" si="590"/>
        <v>0</v>
      </c>
      <c r="J3742" s="65" t="e">
        <f t="shared" si="591"/>
        <v>#NUM!</v>
      </c>
      <c r="K3742" s="83" t="e">
        <f t="shared" si="592"/>
        <v>#NUM!</v>
      </c>
      <c r="L3742" s="83">
        <f t="shared" si="593"/>
        <v>0</v>
      </c>
      <c r="M3742" s="110" t="str">
        <f t="shared" si="594"/>
        <v/>
      </c>
      <c r="N3742" s="51" t="str">
        <f t="shared" si="595"/>
        <v/>
      </c>
      <c r="O3742" s="52" t="str">
        <f t="shared" si="596"/>
        <v/>
      </c>
      <c r="P3742" s="88">
        <f t="shared" si="597"/>
        <v>0</v>
      </c>
      <c r="Q3742" s="88">
        <f t="shared" si="598"/>
        <v>0</v>
      </c>
      <c r="R3742" s="88" t="e">
        <f>-IF(Tabla14[[#This Row],[DIAS HABILES O MORA]]&lt;0,(Tabla14[[#This Row],[VALOR PRESTAMO]]*Tabla14[[#This Row],[% INTERES ]]/30*U3742))+Tabla14[[#This Row],[VALOR CUOTAS]]</f>
        <v>#VALUE!</v>
      </c>
      <c r="S3742" s="88">
        <f>-IF(Tabla14[[#This Row],[DIAS HABILES O MORA]]&lt;0,(Tabla14[[#This Row],[VALOR PRESTAMO]]*Tabla14[[#This Row],[% INTERES ]]/30*U3742))</f>
        <v>0</v>
      </c>
      <c r="T3742" s="53" t="e">
        <f>Tabla14[[#This Row],[DEUDA CAPITAL]]+Tabla14[[#This Row],[INTERES  CUOTA]]</f>
        <v>#NUM!</v>
      </c>
      <c r="U3742" s="61" t="str">
        <f t="shared" si="599"/>
        <v/>
      </c>
    </row>
    <row r="3743" spans="9:21" ht="24.75" customHeight="1" x14ac:dyDescent="0.35">
      <c r="I3743" s="42">
        <f t="shared" si="590"/>
        <v>0</v>
      </c>
      <c r="J3743" s="65" t="e">
        <f t="shared" si="591"/>
        <v>#NUM!</v>
      </c>
      <c r="K3743" s="83" t="e">
        <f t="shared" si="592"/>
        <v>#NUM!</v>
      </c>
      <c r="L3743" s="83">
        <f t="shared" si="593"/>
        <v>0</v>
      </c>
      <c r="M3743" s="110" t="str">
        <f t="shared" si="594"/>
        <v/>
      </c>
      <c r="N3743" s="51" t="str">
        <f t="shared" si="595"/>
        <v/>
      </c>
      <c r="O3743" s="52" t="str">
        <f t="shared" si="596"/>
        <v/>
      </c>
      <c r="P3743" s="88">
        <f t="shared" si="597"/>
        <v>0</v>
      </c>
      <c r="Q3743" s="88">
        <f t="shared" si="598"/>
        <v>0</v>
      </c>
      <c r="R3743" s="88" t="e">
        <f>-IF(Tabla14[[#This Row],[DIAS HABILES O MORA]]&lt;0,(Tabla14[[#This Row],[VALOR PRESTAMO]]*Tabla14[[#This Row],[% INTERES ]]/30*U3743))+Tabla14[[#This Row],[VALOR CUOTAS]]</f>
        <v>#VALUE!</v>
      </c>
      <c r="S3743" s="88">
        <f>-IF(Tabla14[[#This Row],[DIAS HABILES O MORA]]&lt;0,(Tabla14[[#This Row],[VALOR PRESTAMO]]*Tabla14[[#This Row],[% INTERES ]]/30*U3743))</f>
        <v>0</v>
      </c>
      <c r="T3743" s="53" t="e">
        <f>Tabla14[[#This Row],[DEUDA CAPITAL]]+Tabla14[[#This Row],[INTERES  CUOTA]]</f>
        <v>#NUM!</v>
      </c>
      <c r="U3743" s="61" t="str">
        <f t="shared" si="599"/>
        <v/>
      </c>
    </row>
    <row r="3744" spans="9:21" ht="24.75" customHeight="1" x14ac:dyDescent="0.35">
      <c r="I3744" s="42">
        <f t="shared" si="590"/>
        <v>0</v>
      </c>
      <c r="J3744" s="65" t="e">
        <f t="shared" si="591"/>
        <v>#NUM!</v>
      </c>
      <c r="K3744" s="83" t="e">
        <f t="shared" si="592"/>
        <v>#NUM!</v>
      </c>
      <c r="L3744" s="83">
        <f t="shared" si="593"/>
        <v>0</v>
      </c>
      <c r="M3744" s="110" t="str">
        <f t="shared" si="594"/>
        <v/>
      </c>
      <c r="N3744" s="51" t="str">
        <f t="shared" si="595"/>
        <v/>
      </c>
      <c r="O3744" s="52" t="str">
        <f t="shared" si="596"/>
        <v/>
      </c>
      <c r="P3744" s="88">
        <f t="shared" si="597"/>
        <v>0</v>
      </c>
      <c r="Q3744" s="88">
        <f t="shared" si="598"/>
        <v>0</v>
      </c>
      <c r="R3744" s="88" t="e">
        <f>-IF(Tabla14[[#This Row],[DIAS HABILES O MORA]]&lt;0,(Tabla14[[#This Row],[VALOR PRESTAMO]]*Tabla14[[#This Row],[% INTERES ]]/30*U3744))+Tabla14[[#This Row],[VALOR CUOTAS]]</f>
        <v>#VALUE!</v>
      </c>
      <c r="S3744" s="88">
        <f>-IF(Tabla14[[#This Row],[DIAS HABILES O MORA]]&lt;0,(Tabla14[[#This Row],[VALOR PRESTAMO]]*Tabla14[[#This Row],[% INTERES ]]/30*U3744))</f>
        <v>0</v>
      </c>
      <c r="T3744" s="53" t="e">
        <f>Tabla14[[#This Row],[DEUDA CAPITAL]]+Tabla14[[#This Row],[INTERES  CUOTA]]</f>
        <v>#NUM!</v>
      </c>
      <c r="U3744" s="61" t="str">
        <f t="shared" si="599"/>
        <v/>
      </c>
    </row>
    <row r="3745" spans="9:21" ht="24.75" customHeight="1" x14ac:dyDescent="0.35">
      <c r="I3745" s="42">
        <f t="shared" si="590"/>
        <v>0</v>
      </c>
      <c r="J3745" s="65" t="e">
        <f t="shared" si="591"/>
        <v>#NUM!</v>
      </c>
      <c r="K3745" s="83" t="e">
        <f t="shared" si="592"/>
        <v>#NUM!</v>
      </c>
      <c r="L3745" s="83">
        <f t="shared" si="593"/>
        <v>0</v>
      </c>
      <c r="M3745" s="110" t="str">
        <f t="shared" si="594"/>
        <v/>
      </c>
      <c r="N3745" s="51" t="str">
        <f t="shared" si="595"/>
        <v/>
      </c>
      <c r="O3745" s="52" t="str">
        <f t="shared" si="596"/>
        <v/>
      </c>
      <c r="P3745" s="88">
        <f t="shared" si="597"/>
        <v>0</v>
      </c>
      <c r="Q3745" s="88">
        <f t="shared" si="598"/>
        <v>0</v>
      </c>
      <c r="R3745" s="88" t="e">
        <f>-IF(Tabla14[[#This Row],[DIAS HABILES O MORA]]&lt;0,(Tabla14[[#This Row],[VALOR PRESTAMO]]*Tabla14[[#This Row],[% INTERES ]]/30*U3745))+Tabla14[[#This Row],[VALOR CUOTAS]]</f>
        <v>#VALUE!</v>
      </c>
      <c r="S3745" s="88">
        <f>-IF(Tabla14[[#This Row],[DIAS HABILES O MORA]]&lt;0,(Tabla14[[#This Row],[VALOR PRESTAMO]]*Tabla14[[#This Row],[% INTERES ]]/30*U3745))</f>
        <v>0</v>
      </c>
      <c r="T3745" s="53" t="e">
        <f>Tabla14[[#This Row],[DEUDA CAPITAL]]+Tabla14[[#This Row],[INTERES  CUOTA]]</f>
        <v>#NUM!</v>
      </c>
      <c r="U3745" s="61" t="str">
        <f t="shared" si="599"/>
        <v/>
      </c>
    </row>
    <row r="3746" spans="9:21" ht="24.75" customHeight="1" x14ac:dyDescent="0.35">
      <c r="I3746" s="42">
        <f t="shared" si="590"/>
        <v>0</v>
      </c>
      <c r="J3746" s="65" t="e">
        <f t="shared" si="591"/>
        <v>#NUM!</v>
      </c>
      <c r="K3746" s="83" t="e">
        <f t="shared" si="592"/>
        <v>#NUM!</v>
      </c>
      <c r="L3746" s="83">
        <f t="shared" si="593"/>
        <v>0</v>
      </c>
      <c r="M3746" s="110" t="str">
        <f t="shared" si="594"/>
        <v/>
      </c>
      <c r="N3746" s="51" t="str">
        <f t="shared" si="595"/>
        <v/>
      </c>
      <c r="O3746" s="52" t="str">
        <f t="shared" si="596"/>
        <v/>
      </c>
      <c r="P3746" s="88">
        <f t="shared" si="597"/>
        <v>0</v>
      </c>
      <c r="Q3746" s="88">
        <f t="shared" si="598"/>
        <v>0</v>
      </c>
      <c r="R3746" s="88" t="e">
        <f>-IF(Tabla14[[#This Row],[DIAS HABILES O MORA]]&lt;0,(Tabla14[[#This Row],[VALOR PRESTAMO]]*Tabla14[[#This Row],[% INTERES ]]/30*U3746))+Tabla14[[#This Row],[VALOR CUOTAS]]</f>
        <v>#VALUE!</v>
      </c>
      <c r="S3746" s="88">
        <f>-IF(Tabla14[[#This Row],[DIAS HABILES O MORA]]&lt;0,(Tabla14[[#This Row],[VALOR PRESTAMO]]*Tabla14[[#This Row],[% INTERES ]]/30*U3746))</f>
        <v>0</v>
      </c>
      <c r="T3746" s="53" t="e">
        <f>Tabla14[[#This Row],[DEUDA CAPITAL]]+Tabla14[[#This Row],[INTERES  CUOTA]]</f>
        <v>#NUM!</v>
      </c>
      <c r="U3746" s="61" t="str">
        <f t="shared" si="599"/>
        <v/>
      </c>
    </row>
    <row r="3747" spans="9:21" ht="24.75" customHeight="1" x14ac:dyDescent="0.35">
      <c r="I3747" s="42">
        <f t="shared" si="590"/>
        <v>0</v>
      </c>
      <c r="J3747" s="65" t="e">
        <f t="shared" si="591"/>
        <v>#NUM!</v>
      </c>
      <c r="K3747" s="83" t="e">
        <f t="shared" si="592"/>
        <v>#NUM!</v>
      </c>
      <c r="L3747" s="83">
        <f t="shared" si="593"/>
        <v>0</v>
      </c>
      <c r="M3747" s="110" t="str">
        <f t="shared" si="594"/>
        <v/>
      </c>
      <c r="N3747" s="51" t="str">
        <f t="shared" si="595"/>
        <v/>
      </c>
      <c r="O3747" s="52" t="str">
        <f t="shared" si="596"/>
        <v/>
      </c>
      <c r="P3747" s="88">
        <f t="shared" si="597"/>
        <v>0</v>
      </c>
      <c r="Q3747" s="88">
        <f t="shared" si="598"/>
        <v>0</v>
      </c>
      <c r="R3747" s="88" t="e">
        <f>-IF(Tabla14[[#This Row],[DIAS HABILES O MORA]]&lt;0,(Tabla14[[#This Row],[VALOR PRESTAMO]]*Tabla14[[#This Row],[% INTERES ]]/30*U3747))+Tabla14[[#This Row],[VALOR CUOTAS]]</f>
        <v>#VALUE!</v>
      </c>
      <c r="S3747" s="88">
        <f>-IF(Tabla14[[#This Row],[DIAS HABILES O MORA]]&lt;0,(Tabla14[[#This Row],[VALOR PRESTAMO]]*Tabla14[[#This Row],[% INTERES ]]/30*U3747))</f>
        <v>0</v>
      </c>
      <c r="T3747" s="53" t="e">
        <f>Tabla14[[#This Row],[DEUDA CAPITAL]]+Tabla14[[#This Row],[INTERES  CUOTA]]</f>
        <v>#NUM!</v>
      </c>
      <c r="U3747" s="61" t="str">
        <f t="shared" si="599"/>
        <v/>
      </c>
    </row>
    <row r="3748" spans="9:21" ht="24.75" customHeight="1" x14ac:dyDescent="0.35">
      <c r="I3748" s="42">
        <f t="shared" si="590"/>
        <v>0</v>
      </c>
      <c r="J3748" s="65" t="e">
        <f t="shared" si="591"/>
        <v>#NUM!</v>
      </c>
      <c r="K3748" s="83" t="e">
        <f t="shared" si="592"/>
        <v>#NUM!</v>
      </c>
      <c r="L3748" s="83">
        <f t="shared" si="593"/>
        <v>0</v>
      </c>
      <c r="M3748" s="110" t="str">
        <f t="shared" si="594"/>
        <v/>
      </c>
      <c r="N3748" s="51" t="str">
        <f t="shared" si="595"/>
        <v/>
      </c>
      <c r="O3748" s="52" t="str">
        <f t="shared" si="596"/>
        <v/>
      </c>
      <c r="P3748" s="88">
        <f t="shared" si="597"/>
        <v>0</v>
      </c>
      <c r="Q3748" s="88">
        <f t="shared" si="598"/>
        <v>0</v>
      </c>
      <c r="R3748" s="88" t="e">
        <f>-IF(Tabla14[[#This Row],[DIAS HABILES O MORA]]&lt;0,(Tabla14[[#This Row],[VALOR PRESTAMO]]*Tabla14[[#This Row],[% INTERES ]]/30*U3748))+Tabla14[[#This Row],[VALOR CUOTAS]]</f>
        <v>#VALUE!</v>
      </c>
      <c r="S3748" s="88">
        <f>-IF(Tabla14[[#This Row],[DIAS HABILES O MORA]]&lt;0,(Tabla14[[#This Row],[VALOR PRESTAMO]]*Tabla14[[#This Row],[% INTERES ]]/30*U3748))</f>
        <v>0</v>
      </c>
      <c r="T3748" s="53" t="e">
        <f>Tabla14[[#This Row],[DEUDA CAPITAL]]+Tabla14[[#This Row],[INTERES  CUOTA]]</f>
        <v>#NUM!</v>
      </c>
      <c r="U3748" s="61" t="str">
        <f t="shared" si="599"/>
        <v/>
      </c>
    </row>
    <row r="3749" spans="9:21" ht="24.75" customHeight="1" x14ac:dyDescent="0.35">
      <c r="I3749" s="42">
        <f t="shared" si="590"/>
        <v>0</v>
      </c>
      <c r="J3749" s="65" t="e">
        <f t="shared" si="591"/>
        <v>#NUM!</v>
      </c>
      <c r="K3749" s="83" t="e">
        <f t="shared" si="592"/>
        <v>#NUM!</v>
      </c>
      <c r="L3749" s="83">
        <f t="shared" si="593"/>
        <v>0</v>
      </c>
      <c r="M3749" s="110" t="str">
        <f t="shared" si="594"/>
        <v/>
      </c>
      <c r="N3749" s="51" t="str">
        <f t="shared" si="595"/>
        <v/>
      </c>
      <c r="O3749" s="52" t="str">
        <f t="shared" si="596"/>
        <v/>
      </c>
      <c r="P3749" s="88">
        <f t="shared" si="597"/>
        <v>0</v>
      </c>
      <c r="Q3749" s="88">
        <f t="shared" si="598"/>
        <v>0</v>
      </c>
      <c r="R3749" s="88" t="e">
        <f>-IF(Tabla14[[#This Row],[DIAS HABILES O MORA]]&lt;0,(Tabla14[[#This Row],[VALOR PRESTAMO]]*Tabla14[[#This Row],[% INTERES ]]/30*U3749))+Tabla14[[#This Row],[VALOR CUOTAS]]</f>
        <v>#VALUE!</v>
      </c>
      <c r="S3749" s="88">
        <f>-IF(Tabla14[[#This Row],[DIAS HABILES O MORA]]&lt;0,(Tabla14[[#This Row],[VALOR PRESTAMO]]*Tabla14[[#This Row],[% INTERES ]]/30*U3749))</f>
        <v>0</v>
      </c>
      <c r="T3749" s="53" t="e">
        <f>Tabla14[[#This Row],[DEUDA CAPITAL]]+Tabla14[[#This Row],[INTERES  CUOTA]]</f>
        <v>#NUM!</v>
      </c>
      <c r="U3749" s="61" t="str">
        <f t="shared" si="599"/>
        <v/>
      </c>
    </row>
    <row r="3750" spans="9:21" ht="24.75" customHeight="1" x14ac:dyDescent="0.35">
      <c r="I3750" s="42">
        <f t="shared" si="590"/>
        <v>0</v>
      </c>
      <c r="J3750" s="65" t="e">
        <f t="shared" si="591"/>
        <v>#NUM!</v>
      </c>
      <c r="K3750" s="83" t="e">
        <f t="shared" si="592"/>
        <v>#NUM!</v>
      </c>
      <c r="L3750" s="83">
        <f t="shared" si="593"/>
        <v>0</v>
      </c>
      <c r="M3750" s="110" t="str">
        <f t="shared" si="594"/>
        <v/>
      </c>
      <c r="N3750" s="51" t="str">
        <f t="shared" si="595"/>
        <v/>
      </c>
      <c r="O3750" s="52" t="str">
        <f t="shared" si="596"/>
        <v/>
      </c>
      <c r="P3750" s="88">
        <f t="shared" si="597"/>
        <v>0</v>
      </c>
      <c r="Q3750" s="88">
        <f t="shared" si="598"/>
        <v>0</v>
      </c>
      <c r="R3750" s="88" t="e">
        <f>-IF(Tabla14[[#This Row],[DIAS HABILES O MORA]]&lt;0,(Tabla14[[#This Row],[VALOR PRESTAMO]]*Tabla14[[#This Row],[% INTERES ]]/30*U3750))+Tabla14[[#This Row],[VALOR CUOTAS]]</f>
        <v>#VALUE!</v>
      </c>
      <c r="S3750" s="88">
        <f>-IF(Tabla14[[#This Row],[DIAS HABILES O MORA]]&lt;0,(Tabla14[[#This Row],[VALOR PRESTAMO]]*Tabla14[[#This Row],[% INTERES ]]/30*U3750))</f>
        <v>0</v>
      </c>
      <c r="T3750" s="53" t="e">
        <f>Tabla14[[#This Row],[DEUDA CAPITAL]]+Tabla14[[#This Row],[INTERES  CUOTA]]</f>
        <v>#NUM!</v>
      </c>
      <c r="U3750" s="61" t="str">
        <f t="shared" si="599"/>
        <v/>
      </c>
    </row>
    <row r="3751" spans="9:21" ht="24.75" customHeight="1" x14ac:dyDescent="0.35">
      <c r="I3751" s="42">
        <f t="shared" si="590"/>
        <v>0</v>
      </c>
      <c r="J3751" s="65" t="e">
        <f t="shared" si="591"/>
        <v>#NUM!</v>
      </c>
      <c r="K3751" s="83" t="e">
        <f t="shared" si="592"/>
        <v>#NUM!</v>
      </c>
      <c r="L3751" s="83">
        <f t="shared" si="593"/>
        <v>0</v>
      </c>
      <c r="M3751" s="110" t="str">
        <f t="shared" si="594"/>
        <v/>
      </c>
      <c r="N3751" s="51" t="str">
        <f t="shared" si="595"/>
        <v/>
      </c>
      <c r="O3751" s="52" t="str">
        <f t="shared" si="596"/>
        <v/>
      </c>
      <c r="P3751" s="88">
        <f t="shared" si="597"/>
        <v>0</v>
      </c>
      <c r="Q3751" s="88">
        <f t="shared" si="598"/>
        <v>0</v>
      </c>
      <c r="R3751" s="88" t="e">
        <f>-IF(Tabla14[[#This Row],[DIAS HABILES O MORA]]&lt;0,(Tabla14[[#This Row],[VALOR PRESTAMO]]*Tabla14[[#This Row],[% INTERES ]]/30*U3751))+Tabla14[[#This Row],[VALOR CUOTAS]]</f>
        <v>#VALUE!</v>
      </c>
      <c r="S3751" s="88">
        <f>-IF(Tabla14[[#This Row],[DIAS HABILES O MORA]]&lt;0,(Tabla14[[#This Row],[VALOR PRESTAMO]]*Tabla14[[#This Row],[% INTERES ]]/30*U3751))</f>
        <v>0</v>
      </c>
      <c r="T3751" s="53" t="e">
        <f>Tabla14[[#This Row],[DEUDA CAPITAL]]+Tabla14[[#This Row],[INTERES  CUOTA]]</f>
        <v>#NUM!</v>
      </c>
      <c r="U3751" s="61" t="str">
        <f t="shared" si="599"/>
        <v/>
      </c>
    </row>
    <row r="3752" spans="9:21" ht="24.75" customHeight="1" x14ac:dyDescent="0.35">
      <c r="I3752" s="42">
        <f t="shared" si="590"/>
        <v>0</v>
      </c>
      <c r="J3752" s="65" t="e">
        <f t="shared" si="591"/>
        <v>#NUM!</v>
      </c>
      <c r="K3752" s="83" t="e">
        <f t="shared" si="592"/>
        <v>#NUM!</v>
      </c>
      <c r="L3752" s="83">
        <f t="shared" si="593"/>
        <v>0</v>
      </c>
      <c r="M3752" s="110" t="str">
        <f t="shared" si="594"/>
        <v/>
      </c>
      <c r="N3752" s="51" t="str">
        <f t="shared" si="595"/>
        <v/>
      </c>
      <c r="O3752" s="52" t="str">
        <f t="shared" si="596"/>
        <v/>
      </c>
      <c r="P3752" s="88">
        <f t="shared" si="597"/>
        <v>0</v>
      </c>
      <c r="Q3752" s="88">
        <f t="shared" si="598"/>
        <v>0</v>
      </c>
      <c r="R3752" s="88" t="e">
        <f>-IF(Tabla14[[#This Row],[DIAS HABILES O MORA]]&lt;0,(Tabla14[[#This Row],[VALOR PRESTAMO]]*Tabla14[[#This Row],[% INTERES ]]/30*U3752))+Tabla14[[#This Row],[VALOR CUOTAS]]</f>
        <v>#VALUE!</v>
      </c>
      <c r="S3752" s="88">
        <f>-IF(Tabla14[[#This Row],[DIAS HABILES O MORA]]&lt;0,(Tabla14[[#This Row],[VALOR PRESTAMO]]*Tabla14[[#This Row],[% INTERES ]]/30*U3752))</f>
        <v>0</v>
      </c>
      <c r="T3752" s="53" t="e">
        <f>Tabla14[[#This Row],[DEUDA CAPITAL]]+Tabla14[[#This Row],[INTERES  CUOTA]]</f>
        <v>#NUM!</v>
      </c>
      <c r="U3752" s="61" t="str">
        <f t="shared" si="599"/>
        <v/>
      </c>
    </row>
    <row r="3753" spans="9:21" ht="24.75" customHeight="1" x14ac:dyDescent="0.35">
      <c r="I3753" s="42">
        <f t="shared" si="590"/>
        <v>0</v>
      </c>
      <c r="J3753" s="65" t="e">
        <f t="shared" si="591"/>
        <v>#NUM!</v>
      </c>
      <c r="K3753" s="83" t="e">
        <f t="shared" si="592"/>
        <v>#NUM!</v>
      </c>
      <c r="L3753" s="83">
        <f t="shared" si="593"/>
        <v>0</v>
      </c>
      <c r="M3753" s="110" t="str">
        <f t="shared" si="594"/>
        <v/>
      </c>
      <c r="N3753" s="51" t="str">
        <f t="shared" si="595"/>
        <v/>
      </c>
      <c r="O3753" s="52" t="str">
        <f t="shared" si="596"/>
        <v/>
      </c>
      <c r="P3753" s="88">
        <f t="shared" si="597"/>
        <v>0</v>
      </c>
      <c r="Q3753" s="88">
        <f t="shared" si="598"/>
        <v>0</v>
      </c>
      <c r="R3753" s="88" t="e">
        <f>-IF(Tabla14[[#This Row],[DIAS HABILES O MORA]]&lt;0,(Tabla14[[#This Row],[VALOR PRESTAMO]]*Tabla14[[#This Row],[% INTERES ]]/30*U3753))+Tabla14[[#This Row],[VALOR CUOTAS]]</f>
        <v>#VALUE!</v>
      </c>
      <c r="S3753" s="88">
        <f>-IF(Tabla14[[#This Row],[DIAS HABILES O MORA]]&lt;0,(Tabla14[[#This Row],[VALOR PRESTAMO]]*Tabla14[[#This Row],[% INTERES ]]/30*U3753))</f>
        <v>0</v>
      </c>
      <c r="T3753" s="53" t="e">
        <f>Tabla14[[#This Row],[DEUDA CAPITAL]]+Tabla14[[#This Row],[INTERES  CUOTA]]</f>
        <v>#NUM!</v>
      </c>
      <c r="U3753" s="61" t="str">
        <f t="shared" si="599"/>
        <v/>
      </c>
    </row>
    <row r="3754" spans="9:21" ht="24.75" customHeight="1" x14ac:dyDescent="0.35">
      <c r="I3754" s="42">
        <f t="shared" si="590"/>
        <v>0</v>
      </c>
      <c r="J3754" s="65" t="e">
        <f t="shared" si="591"/>
        <v>#NUM!</v>
      </c>
      <c r="K3754" s="83" t="e">
        <f t="shared" si="592"/>
        <v>#NUM!</v>
      </c>
      <c r="L3754" s="83">
        <f t="shared" si="593"/>
        <v>0</v>
      </c>
      <c r="M3754" s="110" t="str">
        <f t="shared" si="594"/>
        <v/>
      </c>
      <c r="N3754" s="51" t="str">
        <f t="shared" si="595"/>
        <v/>
      </c>
      <c r="O3754" s="52" t="str">
        <f t="shared" si="596"/>
        <v/>
      </c>
      <c r="P3754" s="88">
        <f t="shared" si="597"/>
        <v>0</v>
      </c>
      <c r="Q3754" s="88">
        <f t="shared" si="598"/>
        <v>0</v>
      </c>
      <c r="R3754" s="88" t="e">
        <f>-IF(Tabla14[[#This Row],[DIAS HABILES O MORA]]&lt;0,(Tabla14[[#This Row],[VALOR PRESTAMO]]*Tabla14[[#This Row],[% INTERES ]]/30*U3754))+Tabla14[[#This Row],[VALOR CUOTAS]]</f>
        <v>#VALUE!</v>
      </c>
      <c r="S3754" s="88">
        <f>-IF(Tabla14[[#This Row],[DIAS HABILES O MORA]]&lt;0,(Tabla14[[#This Row],[VALOR PRESTAMO]]*Tabla14[[#This Row],[% INTERES ]]/30*U3754))</f>
        <v>0</v>
      </c>
      <c r="T3754" s="53" t="e">
        <f>Tabla14[[#This Row],[DEUDA CAPITAL]]+Tabla14[[#This Row],[INTERES  CUOTA]]</f>
        <v>#NUM!</v>
      </c>
      <c r="U3754" s="61" t="str">
        <f t="shared" si="599"/>
        <v/>
      </c>
    </row>
    <row r="3755" spans="9:21" ht="24.75" customHeight="1" x14ac:dyDescent="0.35">
      <c r="I3755" s="42">
        <f t="shared" si="590"/>
        <v>0</v>
      </c>
      <c r="J3755" s="65" t="e">
        <f t="shared" si="591"/>
        <v>#NUM!</v>
      </c>
      <c r="K3755" s="83" t="e">
        <f t="shared" si="592"/>
        <v>#NUM!</v>
      </c>
      <c r="L3755" s="83">
        <f t="shared" si="593"/>
        <v>0</v>
      </c>
      <c r="M3755" s="110" t="str">
        <f t="shared" si="594"/>
        <v/>
      </c>
      <c r="N3755" s="51" t="str">
        <f t="shared" si="595"/>
        <v/>
      </c>
      <c r="O3755" s="52" t="str">
        <f t="shared" si="596"/>
        <v/>
      </c>
      <c r="P3755" s="88">
        <f t="shared" si="597"/>
        <v>0</v>
      </c>
      <c r="Q3755" s="88">
        <f t="shared" si="598"/>
        <v>0</v>
      </c>
      <c r="R3755" s="88" t="e">
        <f>-IF(Tabla14[[#This Row],[DIAS HABILES O MORA]]&lt;0,(Tabla14[[#This Row],[VALOR PRESTAMO]]*Tabla14[[#This Row],[% INTERES ]]/30*U3755))+Tabla14[[#This Row],[VALOR CUOTAS]]</f>
        <v>#VALUE!</v>
      </c>
      <c r="S3755" s="88">
        <f>-IF(Tabla14[[#This Row],[DIAS HABILES O MORA]]&lt;0,(Tabla14[[#This Row],[VALOR PRESTAMO]]*Tabla14[[#This Row],[% INTERES ]]/30*U3755))</f>
        <v>0</v>
      </c>
      <c r="T3755" s="53" t="e">
        <f>Tabla14[[#This Row],[DEUDA CAPITAL]]+Tabla14[[#This Row],[INTERES  CUOTA]]</f>
        <v>#NUM!</v>
      </c>
      <c r="U3755" s="61" t="str">
        <f t="shared" si="599"/>
        <v/>
      </c>
    </row>
    <row r="3756" spans="9:21" ht="24.75" customHeight="1" x14ac:dyDescent="0.35">
      <c r="I3756" s="42">
        <f t="shared" si="590"/>
        <v>0</v>
      </c>
      <c r="J3756" s="65" t="e">
        <f t="shared" si="591"/>
        <v>#NUM!</v>
      </c>
      <c r="K3756" s="83" t="e">
        <f t="shared" si="592"/>
        <v>#NUM!</v>
      </c>
      <c r="L3756" s="83">
        <f t="shared" si="593"/>
        <v>0</v>
      </c>
      <c r="M3756" s="110" t="str">
        <f t="shared" si="594"/>
        <v/>
      </c>
      <c r="N3756" s="51" t="str">
        <f t="shared" si="595"/>
        <v/>
      </c>
      <c r="O3756" s="52" t="str">
        <f t="shared" si="596"/>
        <v/>
      </c>
      <c r="P3756" s="88">
        <f t="shared" si="597"/>
        <v>0</v>
      </c>
      <c r="Q3756" s="88">
        <f t="shared" si="598"/>
        <v>0</v>
      </c>
      <c r="R3756" s="88" t="e">
        <f>-IF(Tabla14[[#This Row],[DIAS HABILES O MORA]]&lt;0,(Tabla14[[#This Row],[VALOR PRESTAMO]]*Tabla14[[#This Row],[% INTERES ]]/30*U3756))+Tabla14[[#This Row],[VALOR CUOTAS]]</f>
        <v>#VALUE!</v>
      </c>
      <c r="S3756" s="88">
        <f>-IF(Tabla14[[#This Row],[DIAS HABILES O MORA]]&lt;0,(Tabla14[[#This Row],[VALOR PRESTAMO]]*Tabla14[[#This Row],[% INTERES ]]/30*U3756))</f>
        <v>0</v>
      </c>
      <c r="T3756" s="53" t="e">
        <f>Tabla14[[#This Row],[DEUDA CAPITAL]]+Tabla14[[#This Row],[INTERES  CUOTA]]</f>
        <v>#NUM!</v>
      </c>
      <c r="U3756" s="61" t="str">
        <f t="shared" si="599"/>
        <v/>
      </c>
    </row>
    <row r="3757" spans="9:21" ht="24.75" customHeight="1" x14ac:dyDescent="0.35">
      <c r="I3757" s="42">
        <f t="shared" si="590"/>
        <v>0</v>
      </c>
      <c r="J3757" s="65" t="e">
        <f t="shared" si="591"/>
        <v>#NUM!</v>
      </c>
      <c r="K3757" s="83" t="e">
        <f t="shared" si="592"/>
        <v>#NUM!</v>
      </c>
      <c r="L3757" s="83">
        <f t="shared" si="593"/>
        <v>0</v>
      </c>
      <c r="M3757" s="110" t="str">
        <f t="shared" si="594"/>
        <v/>
      </c>
      <c r="N3757" s="51" t="str">
        <f t="shared" si="595"/>
        <v/>
      </c>
      <c r="O3757" s="52" t="str">
        <f t="shared" si="596"/>
        <v/>
      </c>
      <c r="P3757" s="88">
        <f t="shared" si="597"/>
        <v>0</v>
      </c>
      <c r="Q3757" s="88">
        <f t="shared" si="598"/>
        <v>0</v>
      </c>
      <c r="R3757" s="88" t="e">
        <f>-IF(Tabla14[[#This Row],[DIAS HABILES O MORA]]&lt;0,(Tabla14[[#This Row],[VALOR PRESTAMO]]*Tabla14[[#This Row],[% INTERES ]]/30*U3757))+Tabla14[[#This Row],[VALOR CUOTAS]]</f>
        <v>#VALUE!</v>
      </c>
      <c r="S3757" s="88">
        <f>-IF(Tabla14[[#This Row],[DIAS HABILES O MORA]]&lt;0,(Tabla14[[#This Row],[VALOR PRESTAMO]]*Tabla14[[#This Row],[% INTERES ]]/30*U3757))</f>
        <v>0</v>
      </c>
      <c r="T3757" s="53" t="e">
        <f>Tabla14[[#This Row],[DEUDA CAPITAL]]+Tabla14[[#This Row],[INTERES  CUOTA]]</f>
        <v>#NUM!</v>
      </c>
      <c r="U3757" s="61" t="str">
        <f t="shared" si="599"/>
        <v/>
      </c>
    </row>
    <row r="3758" spans="9:21" ht="24.75" customHeight="1" x14ac:dyDescent="0.35">
      <c r="I3758" s="42">
        <f t="shared" si="590"/>
        <v>0</v>
      </c>
      <c r="J3758" s="65" t="e">
        <f t="shared" si="591"/>
        <v>#NUM!</v>
      </c>
      <c r="K3758" s="83" t="e">
        <f t="shared" si="592"/>
        <v>#NUM!</v>
      </c>
      <c r="L3758" s="83">
        <f t="shared" si="593"/>
        <v>0</v>
      </c>
      <c r="M3758" s="110" t="str">
        <f t="shared" si="594"/>
        <v/>
      </c>
      <c r="N3758" s="51" t="str">
        <f t="shared" si="595"/>
        <v/>
      </c>
      <c r="O3758" s="52" t="str">
        <f t="shared" si="596"/>
        <v/>
      </c>
      <c r="P3758" s="88">
        <f t="shared" si="597"/>
        <v>0</v>
      </c>
      <c r="Q3758" s="88">
        <f t="shared" si="598"/>
        <v>0</v>
      </c>
      <c r="R3758" s="88" t="e">
        <f>-IF(Tabla14[[#This Row],[DIAS HABILES O MORA]]&lt;0,(Tabla14[[#This Row],[VALOR PRESTAMO]]*Tabla14[[#This Row],[% INTERES ]]/30*U3758))+Tabla14[[#This Row],[VALOR CUOTAS]]</f>
        <v>#VALUE!</v>
      </c>
      <c r="S3758" s="88">
        <f>-IF(Tabla14[[#This Row],[DIAS HABILES O MORA]]&lt;0,(Tabla14[[#This Row],[VALOR PRESTAMO]]*Tabla14[[#This Row],[% INTERES ]]/30*U3758))</f>
        <v>0</v>
      </c>
      <c r="T3758" s="53" t="e">
        <f>Tabla14[[#This Row],[DEUDA CAPITAL]]+Tabla14[[#This Row],[INTERES  CUOTA]]</f>
        <v>#NUM!</v>
      </c>
      <c r="U3758" s="61" t="str">
        <f t="shared" si="599"/>
        <v/>
      </c>
    </row>
    <row r="3759" spans="9:21" ht="24.75" customHeight="1" x14ac:dyDescent="0.35">
      <c r="I3759" s="42">
        <f t="shared" si="590"/>
        <v>0</v>
      </c>
      <c r="J3759" s="65" t="e">
        <f t="shared" si="591"/>
        <v>#NUM!</v>
      </c>
      <c r="K3759" s="83" t="e">
        <f t="shared" si="592"/>
        <v>#NUM!</v>
      </c>
      <c r="L3759" s="83">
        <f t="shared" si="593"/>
        <v>0</v>
      </c>
      <c r="M3759" s="110" t="str">
        <f t="shared" si="594"/>
        <v/>
      </c>
      <c r="N3759" s="51" t="str">
        <f t="shared" si="595"/>
        <v/>
      </c>
      <c r="O3759" s="52" t="str">
        <f t="shared" si="596"/>
        <v/>
      </c>
      <c r="P3759" s="88">
        <f t="shared" si="597"/>
        <v>0</v>
      </c>
      <c r="Q3759" s="88">
        <f t="shared" si="598"/>
        <v>0</v>
      </c>
      <c r="R3759" s="88" t="e">
        <f>-IF(Tabla14[[#This Row],[DIAS HABILES O MORA]]&lt;0,(Tabla14[[#This Row],[VALOR PRESTAMO]]*Tabla14[[#This Row],[% INTERES ]]/30*U3759))+Tabla14[[#This Row],[VALOR CUOTAS]]</f>
        <v>#VALUE!</v>
      </c>
      <c r="S3759" s="88">
        <f>-IF(Tabla14[[#This Row],[DIAS HABILES O MORA]]&lt;0,(Tabla14[[#This Row],[VALOR PRESTAMO]]*Tabla14[[#This Row],[% INTERES ]]/30*U3759))</f>
        <v>0</v>
      </c>
      <c r="T3759" s="53" t="e">
        <f>Tabla14[[#This Row],[DEUDA CAPITAL]]+Tabla14[[#This Row],[INTERES  CUOTA]]</f>
        <v>#NUM!</v>
      </c>
      <c r="U3759" s="61" t="str">
        <f t="shared" si="599"/>
        <v/>
      </c>
    </row>
    <row r="3760" spans="9:21" ht="24.75" customHeight="1" x14ac:dyDescent="0.35">
      <c r="I3760" s="42">
        <f t="shared" si="590"/>
        <v>0</v>
      </c>
      <c r="J3760" s="65" t="e">
        <f t="shared" si="591"/>
        <v>#NUM!</v>
      </c>
      <c r="K3760" s="83" t="e">
        <f t="shared" si="592"/>
        <v>#NUM!</v>
      </c>
      <c r="L3760" s="83">
        <f t="shared" si="593"/>
        <v>0</v>
      </c>
      <c r="M3760" s="110" t="str">
        <f t="shared" si="594"/>
        <v/>
      </c>
      <c r="N3760" s="51" t="str">
        <f t="shared" si="595"/>
        <v/>
      </c>
      <c r="O3760" s="52" t="str">
        <f t="shared" si="596"/>
        <v/>
      </c>
      <c r="P3760" s="88">
        <f t="shared" si="597"/>
        <v>0</v>
      </c>
      <c r="Q3760" s="88">
        <f t="shared" si="598"/>
        <v>0</v>
      </c>
      <c r="R3760" s="88" t="e">
        <f>-IF(Tabla14[[#This Row],[DIAS HABILES O MORA]]&lt;0,(Tabla14[[#This Row],[VALOR PRESTAMO]]*Tabla14[[#This Row],[% INTERES ]]/30*U3760))+Tabla14[[#This Row],[VALOR CUOTAS]]</f>
        <v>#VALUE!</v>
      </c>
      <c r="S3760" s="88">
        <f>-IF(Tabla14[[#This Row],[DIAS HABILES O MORA]]&lt;0,(Tabla14[[#This Row],[VALOR PRESTAMO]]*Tabla14[[#This Row],[% INTERES ]]/30*U3760))</f>
        <v>0</v>
      </c>
      <c r="T3760" s="53" t="e">
        <f>Tabla14[[#This Row],[DEUDA CAPITAL]]+Tabla14[[#This Row],[INTERES  CUOTA]]</f>
        <v>#NUM!</v>
      </c>
      <c r="U3760" s="61" t="str">
        <f t="shared" si="599"/>
        <v/>
      </c>
    </row>
    <row r="3761" spans="9:21" ht="24.75" customHeight="1" x14ac:dyDescent="0.35">
      <c r="I3761" s="42">
        <f t="shared" si="590"/>
        <v>0</v>
      </c>
      <c r="J3761" s="65" t="e">
        <f t="shared" si="591"/>
        <v>#NUM!</v>
      </c>
      <c r="K3761" s="83" t="e">
        <f t="shared" si="592"/>
        <v>#NUM!</v>
      </c>
      <c r="L3761" s="83">
        <f t="shared" si="593"/>
        <v>0</v>
      </c>
      <c r="M3761" s="110" t="str">
        <f t="shared" si="594"/>
        <v/>
      </c>
      <c r="N3761" s="51" t="str">
        <f t="shared" si="595"/>
        <v/>
      </c>
      <c r="O3761" s="52" t="str">
        <f t="shared" si="596"/>
        <v/>
      </c>
      <c r="P3761" s="88">
        <f t="shared" si="597"/>
        <v>0</v>
      </c>
      <c r="Q3761" s="88">
        <f t="shared" si="598"/>
        <v>0</v>
      </c>
      <c r="R3761" s="88" t="e">
        <f>-IF(Tabla14[[#This Row],[DIAS HABILES O MORA]]&lt;0,(Tabla14[[#This Row],[VALOR PRESTAMO]]*Tabla14[[#This Row],[% INTERES ]]/30*U3761))+Tabla14[[#This Row],[VALOR CUOTAS]]</f>
        <v>#VALUE!</v>
      </c>
      <c r="S3761" s="88">
        <f>-IF(Tabla14[[#This Row],[DIAS HABILES O MORA]]&lt;0,(Tabla14[[#This Row],[VALOR PRESTAMO]]*Tabla14[[#This Row],[% INTERES ]]/30*U3761))</f>
        <v>0</v>
      </c>
      <c r="T3761" s="53" t="e">
        <f>Tabla14[[#This Row],[DEUDA CAPITAL]]+Tabla14[[#This Row],[INTERES  CUOTA]]</f>
        <v>#NUM!</v>
      </c>
      <c r="U3761" s="61" t="str">
        <f t="shared" si="599"/>
        <v/>
      </c>
    </row>
    <row r="3762" spans="9:21" ht="24.75" customHeight="1" x14ac:dyDescent="0.35">
      <c r="I3762" s="42">
        <f t="shared" si="590"/>
        <v>0</v>
      </c>
      <c r="J3762" s="65" t="e">
        <f t="shared" si="591"/>
        <v>#NUM!</v>
      </c>
      <c r="K3762" s="83" t="e">
        <f t="shared" si="592"/>
        <v>#NUM!</v>
      </c>
      <c r="L3762" s="83">
        <f t="shared" si="593"/>
        <v>0</v>
      </c>
      <c r="M3762" s="110" t="str">
        <f t="shared" si="594"/>
        <v/>
      </c>
      <c r="N3762" s="51" t="str">
        <f t="shared" si="595"/>
        <v/>
      </c>
      <c r="O3762" s="52" t="str">
        <f t="shared" si="596"/>
        <v/>
      </c>
      <c r="P3762" s="88">
        <f t="shared" si="597"/>
        <v>0</v>
      </c>
      <c r="Q3762" s="88">
        <f t="shared" si="598"/>
        <v>0</v>
      </c>
      <c r="R3762" s="88" t="e">
        <f>-IF(Tabla14[[#This Row],[DIAS HABILES O MORA]]&lt;0,(Tabla14[[#This Row],[VALOR PRESTAMO]]*Tabla14[[#This Row],[% INTERES ]]/30*U3762))+Tabla14[[#This Row],[VALOR CUOTAS]]</f>
        <v>#VALUE!</v>
      </c>
      <c r="S3762" s="88">
        <f>-IF(Tabla14[[#This Row],[DIAS HABILES O MORA]]&lt;0,(Tabla14[[#This Row],[VALOR PRESTAMO]]*Tabla14[[#This Row],[% INTERES ]]/30*U3762))</f>
        <v>0</v>
      </c>
      <c r="T3762" s="53" t="e">
        <f>Tabla14[[#This Row],[DEUDA CAPITAL]]+Tabla14[[#This Row],[INTERES  CUOTA]]</f>
        <v>#NUM!</v>
      </c>
      <c r="U3762" s="61" t="str">
        <f t="shared" si="599"/>
        <v/>
      </c>
    </row>
    <row r="3763" spans="9:21" ht="24.75" customHeight="1" x14ac:dyDescent="0.35">
      <c r="I3763" s="42">
        <f t="shared" si="590"/>
        <v>0</v>
      </c>
      <c r="J3763" s="65" t="e">
        <f t="shared" si="591"/>
        <v>#NUM!</v>
      </c>
      <c r="K3763" s="83" t="e">
        <f t="shared" si="592"/>
        <v>#NUM!</v>
      </c>
      <c r="L3763" s="83">
        <f t="shared" si="593"/>
        <v>0</v>
      </c>
      <c r="M3763" s="110" t="str">
        <f t="shared" si="594"/>
        <v/>
      </c>
      <c r="N3763" s="51" t="str">
        <f t="shared" si="595"/>
        <v/>
      </c>
      <c r="O3763" s="52" t="str">
        <f t="shared" si="596"/>
        <v/>
      </c>
      <c r="P3763" s="88">
        <f t="shared" si="597"/>
        <v>0</v>
      </c>
      <c r="Q3763" s="88">
        <f t="shared" si="598"/>
        <v>0</v>
      </c>
      <c r="R3763" s="88" t="e">
        <f>-IF(Tabla14[[#This Row],[DIAS HABILES O MORA]]&lt;0,(Tabla14[[#This Row],[VALOR PRESTAMO]]*Tabla14[[#This Row],[% INTERES ]]/30*U3763))+Tabla14[[#This Row],[VALOR CUOTAS]]</f>
        <v>#VALUE!</v>
      </c>
      <c r="S3763" s="88">
        <f>-IF(Tabla14[[#This Row],[DIAS HABILES O MORA]]&lt;0,(Tabla14[[#This Row],[VALOR PRESTAMO]]*Tabla14[[#This Row],[% INTERES ]]/30*U3763))</f>
        <v>0</v>
      </c>
      <c r="T3763" s="53" t="e">
        <f>Tabla14[[#This Row],[DEUDA CAPITAL]]+Tabla14[[#This Row],[INTERES  CUOTA]]</f>
        <v>#NUM!</v>
      </c>
      <c r="U3763" s="61" t="str">
        <f t="shared" si="599"/>
        <v/>
      </c>
    </row>
    <row r="3764" spans="9:21" ht="24.75" customHeight="1" x14ac:dyDescent="0.35">
      <c r="I3764" s="42">
        <f t="shared" si="590"/>
        <v>0</v>
      </c>
      <c r="J3764" s="65" t="e">
        <f t="shared" si="591"/>
        <v>#NUM!</v>
      </c>
      <c r="K3764" s="83" t="e">
        <f t="shared" si="592"/>
        <v>#NUM!</v>
      </c>
      <c r="L3764" s="83">
        <f t="shared" si="593"/>
        <v>0</v>
      </c>
      <c r="M3764" s="110" t="str">
        <f t="shared" si="594"/>
        <v/>
      </c>
      <c r="N3764" s="51" t="str">
        <f t="shared" si="595"/>
        <v/>
      </c>
      <c r="O3764" s="52" t="str">
        <f t="shared" si="596"/>
        <v/>
      </c>
      <c r="P3764" s="88">
        <f t="shared" si="597"/>
        <v>0</v>
      </c>
      <c r="Q3764" s="88">
        <f t="shared" si="598"/>
        <v>0</v>
      </c>
      <c r="R3764" s="88" t="e">
        <f>-IF(Tabla14[[#This Row],[DIAS HABILES O MORA]]&lt;0,(Tabla14[[#This Row],[VALOR PRESTAMO]]*Tabla14[[#This Row],[% INTERES ]]/30*U3764))+Tabla14[[#This Row],[VALOR CUOTAS]]</f>
        <v>#VALUE!</v>
      </c>
      <c r="S3764" s="88">
        <f>-IF(Tabla14[[#This Row],[DIAS HABILES O MORA]]&lt;0,(Tabla14[[#This Row],[VALOR PRESTAMO]]*Tabla14[[#This Row],[% INTERES ]]/30*U3764))</f>
        <v>0</v>
      </c>
      <c r="T3764" s="53" t="e">
        <f>Tabla14[[#This Row],[DEUDA CAPITAL]]+Tabla14[[#This Row],[INTERES  CUOTA]]</f>
        <v>#NUM!</v>
      </c>
      <c r="U3764" s="61" t="str">
        <f t="shared" si="599"/>
        <v/>
      </c>
    </row>
    <row r="3765" spans="9:21" ht="24.75" customHeight="1" x14ac:dyDescent="0.35">
      <c r="I3765" s="42">
        <f t="shared" si="590"/>
        <v>0</v>
      </c>
      <c r="J3765" s="65" t="e">
        <f t="shared" si="591"/>
        <v>#NUM!</v>
      </c>
      <c r="K3765" s="83" t="e">
        <f t="shared" si="592"/>
        <v>#NUM!</v>
      </c>
      <c r="L3765" s="83">
        <f t="shared" si="593"/>
        <v>0</v>
      </c>
      <c r="M3765" s="110" t="str">
        <f t="shared" si="594"/>
        <v/>
      </c>
      <c r="N3765" s="51" t="str">
        <f t="shared" si="595"/>
        <v/>
      </c>
      <c r="O3765" s="52" t="str">
        <f t="shared" si="596"/>
        <v/>
      </c>
      <c r="P3765" s="88">
        <f t="shared" si="597"/>
        <v>0</v>
      </c>
      <c r="Q3765" s="88">
        <f t="shared" si="598"/>
        <v>0</v>
      </c>
      <c r="R3765" s="88" t="e">
        <f>-IF(Tabla14[[#This Row],[DIAS HABILES O MORA]]&lt;0,(Tabla14[[#This Row],[VALOR PRESTAMO]]*Tabla14[[#This Row],[% INTERES ]]/30*U3765))+Tabla14[[#This Row],[VALOR CUOTAS]]</f>
        <v>#VALUE!</v>
      </c>
      <c r="S3765" s="88">
        <f>-IF(Tabla14[[#This Row],[DIAS HABILES O MORA]]&lt;0,(Tabla14[[#This Row],[VALOR PRESTAMO]]*Tabla14[[#This Row],[% INTERES ]]/30*U3765))</f>
        <v>0</v>
      </c>
      <c r="T3765" s="53" t="e">
        <f>Tabla14[[#This Row],[DEUDA CAPITAL]]+Tabla14[[#This Row],[INTERES  CUOTA]]</f>
        <v>#NUM!</v>
      </c>
      <c r="U3765" s="61" t="str">
        <f t="shared" si="599"/>
        <v/>
      </c>
    </row>
    <row r="3766" spans="9:21" ht="24.75" customHeight="1" x14ac:dyDescent="0.35">
      <c r="I3766" s="42">
        <f t="shared" si="590"/>
        <v>0</v>
      </c>
      <c r="J3766" s="65" t="e">
        <f t="shared" si="591"/>
        <v>#NUM!</v>
      </c>
      <c r="K3766" s="83" t="e">
        <f t="shared" si="592"/>
        <v>#NUM!</v>
      </c>
      <c r="L3766" s="83">
        <f t="shared" si="593"/>
        <v>0</v>
      </c>
      <c r="M3766" s="110" t="str">
        <f t="shared" si="594"/>
        <v/>
      </c>
      <c r="N3766" s="51" t="str">
        <f t="shared" si="595"/>
        <v/>
      </c>
      <c r="O3766" s="52" t="str">
        <f t="shared" si="596"/>
        <v/>
      </c>
      <c r="P3766" s="88">
        <f t="shared" si="597"/>
        <v>0</v>
      </c>
      <c r="Q3766" s="88">
        <f t="shared" si="598"/>
        <v>0</v>
      </c>
      <c r="R3766" s="88" t="e">
        <f>-IF(Tabla14[[#This Row],[DIAS HABILES O MORA]]&lt;0,(Tabla14[[#This Row],[VALOR PRESTAMO]]*Tabla14[[#This Row],[% INTERES ]]/30*U3766))+Tabla14[[#This Row],[VALOR CUOTAS]]</f>
        <v>#VALUE!</v>
      </c>
      <c r="S3766" s="88">
        <f>-IF(Tabla14[[#This Row],[DIAS HABILES O MORA]]&lt;0,(Tabla14[[#This Row],[VALOR PRESTAMO]]*Tabla14[[#This Row],[% INTERES ]]/30*U3766))</f>
        <v>0</v>
      </c>
      <c r="T3766" s="53" t="e">
        <f>Tabla14[[#This Row],[DEUDA CAPITAL]]+Tabla14[[#This Row],[INTERES  CUOTA]]</f>
        <v>#NUM!</v>
      </c>
      <c r="U3766" s="61" t="str">
        <f t="shared" si="599"/>
        <v/>
      </c>
    </row>
    <row r="3767" spans="9:21" ht="24.75" customHeight="1" x14ac:dyDescent="0.35">
      <c r="I3767" s="42">
        <f t="shared" si="590"/>
        <v>0</v>
      </c>
      <c r="J3767" s="65" t="e">
        <f t="shared" si="591"/>
        <v>#NUM!</v>
      </c>
      <c r="K3767" s="83" t="e">
        <f t="shared" si="592"/>
        <v>#NUM!</v>
      </c>
      <c r="L3767" s="83">
        <f t="shared" si="593"/>
        <v>0</v>
      </c>
      <c r="M3767" s="110" t="str">
        <f t="shared" si="594"/>
        <v/>
      </c>
      <c r="N3767" s="51" t="str">
        <f t="shared" si="595"/>
        <v/>
      </c>
      <c r="O3767" s="52" t="str">
        <f t="shared" si="596"/>
        <v/>
      </c>
      <c r="P3767" s="88">
        <f t="shared" si="597"/>
        <v>0</v>
      </c>
      <c r="Q3767" s="88">
        <f t="shared" si="598"/>
        <v>0</v>
      </c>
      <c r="R3767" s="88" t="e">
        <f>-IF(Tabla14[[#This Row],[DIAS HABILES O MORA]]&lt;0,(Tabla14[[#This Row],[VALOR PRESTAMO]]*Tabla14[[#This Row],[% INTERES ]]/30*U3767))+Tabla14[[#This Row],[VALOR CUOTAS]]</f>
        <v>#VALUE!</v>
      </c>
      <c r="S3767" s="88">
        <f>-IF(Tabla14[[#This Row],[DIAS HABILES O MORA]]&lt;0,(Tabla14[[#This Row],[VALOR PRESTAMO]]*Tabla14[[#This Row],[% INTERES ]]/30*U3767))</f>
        <v>0</v>
      </c>
      <c r="T3767" s="53" t="e">
        <f>Tabla14[[#This Row],[DEUDA CAPITAL]]+Tabla14[[#This Row],[INTERES  CUOTA]]</f>
        <v>#NUM!</v>
      </c>
      <c r="U3767" s="61" t="str">
        <f t="shared" si="599"/>
        <v/>
      </c>
    </row>
    <row r="3768" spans="9:21" ht="24.75" customHeight="1" x14ac:dyDescent="0.35">
      <c r="I3768" s="42">
        <f t="shared" si="590"/>
        <v>0</v>
      </c>
      <c r="J3768" s="65" t="e">
        <f t="shared" si="591"/>
        <v>#NUM!</v>
      </c>
      <c r="K3768" s="83" t="e">
        <f t="shared" si="592"/>
        <v>#NUM!</v>
      </c>
      <c r="L3768" s="83">
        <f t="shared" si="593"/>
        <v>0</v>
      </c>
      <c r="M3768" s="110" t="str">
        <f t="shared" si="594"/>
        <v/>
      </c>
      <c r="N3768" s="51" t="str">
        <f t="shared" si="595"/>
        <v/>
      </c>
      <c r="O3768" s="52" t="str">
        <f t="shared" si="596"/>
        <v/>
      </c>
      <c r="P3768" s="88">
        <f t="shared" si="597"/>
        <v>0</v>
      </c>
      <c r="Q3768" s="88">
        <f t="shared" si="598"/>
        <v>0</v>
      </c>
      <c r="R3768" s="88" t="e">
        <f>-IF(Tabla14[[#This Row],[DIAS HABILES O MORA]]&lt;0,(Tabla14[[#This Row],[VALOR PRESTAMO]]*Tabla14[[#This Row],[% INTERES ]]/30*U3768))+Tabla14[[#This Row],[VALOR CUOTAS]]</f>
        <v>#VALUE!</v>
      </c>
      <c r="S3768" s="88">
        <f>-IF(Tabla14[[#This Row],[DIAS HABILES O MORA]]&lt;0,(Tabla14[[#This Row],[VALOR PRESTAMO]]*Tabla14[[#This Row],[% INTERES ]]/30*U3768))</f>
        <v>0</v>
      </c>
      <c r="T3768" s="53" t="e">
        <f>Tabla14[[#This Row],[DEUDA CAPITAL]]+Tabla14[[#This Row],[INTERES  CUOTA]]</f>
        <v>#NUM!</v>
      </c>
      <c r="U3768" s="61" t="str">
        <f t="shared" si="599"/>
        <v/>
      </c>
    </row>
    <row r="3769" spans="9:21" ht="24.75" customHeight="1" x14ac:dyDescent="0.35">
      <c r="I3769" s="42">
        <f t="shared" si="590"/>
        <v>0</v>
      </c>
      <c r="J3769" s="65" t="e">
        <f t="shared" si="591"/>
        <v>#NUM!</v>
      </c>
      <c r="K3769" s="83" t="e">
        <f t="shared" si="592"/>
        <v>#NUM!</v>
      </c>
      <c r="L3769" s="83">
        <f t="shared" si="593"/>
        <v>0</v>
      </c>
      <c r="M3769" s="110" t="str">
        <f t="shared" si="594"/>
        <v/>
      </c>
      <c r="N3769" s="51" t="str">
        <f t="shared" si="595"/>
        <v/>
      </c>
      <c r="O3769" s="52" t="str">
        <f t="shared" si="596"/>
        <v/>
      </c>
      <c r="P3769" s="88">
        <f t="shared" si="597"/>
        <v>0</v>
      </c>
      <c r="Q3769" s="88">
        <f t="shared" si="598"/>
        <v>0</v>
      </c>
      <c r="R3769" s="88" t="e">
        <f>-IF(Tabla14[[#This Row],[DIAS HABILES O MORA]]&lt;0,(Tabla14[[#This Row],[VALOR PRESTAMO]]*Tabla14[[#This Row],[% INTERES ]]/30*U3769))+Tabla14[[#This Row],[VALOR CUOTAS]]</f>
        <v>#VALUE!</v>
      </c>
      <c r="S3769" s="88">
        <f>-IF(Tabla14[[#This Row],[DIAS HABILES O MORA]]&lt;0,(Tabla14[[#This Row],[VALOR PRESTAMO]]*Tabla14[[#This Row],[% INTERES ]]/30*U3769))</f>
        <v>0</v>
      </c>
      <c r="T3769" s="53" t="e">
        <f>Tabla14[[#This Row],[DEUDA CAPITAL]]+Tabla14[[#This Row],[INTERES  CUOTA]]</f>
        <v>#NUM!</v>
      </c>
      <c r="U3769" s="61" t="str">
        <f t="shared" si="599"/>
        <v/>
      </c>
    </row>
    <row r="3770" spans="9:21" ht="24.75" customHeight="1" x14ac:dyDescent="0.35">
      <c r="I3770" s="42">
        <f t="shared" si="590"/>
        <v>0</v>
      </c>
      <c r="J3770" s="65" t="e">
        <f t="shared" si="591"/>
        <v>#NUM!</v>
      </c>
      <c r="K3770" s="83" t="e">
        <f t="shared" si="592"/>
        <v>#NUM!</v>
      </c>
      <c r="L3770" s="83">
        <f t="shared" si="593"/>
        <v>0</v>
      </c>
      <c r="M3770" s="110" t="str">
        <f t="shared" si="594"/>
        <v/>
      </c>
      <c r="N3770" s="51" t="str">
        <f t="shared" si="595"/>
        <v/>
      </c>
      <c r="O3770" s="52" t="str">
        <f t="shared" si="596"/>
        <v/>
      </c>
      <c r="P3770" s="88">
        <f t="shared" si="597"/>
        <v>0</v>
      </c>
      <c r="Q3770" s="88">
        <f t="shared" si="598"/>
        <v>0</v>
      </c>
      <c r="R3770" s="88" t="e">
        <f>-IF(Tabla14[[#This Row],[DIAS HABILES O MORA]]&lt;0,(Tabla14[[#This Row],[VALOR PRESTAMO]]*Tabla14[[#This Row],[% INTERES ]]/30*U3770))+Tabla14[[#This Row],[VALOR CUOTAS]]</f>
        <v>#VALUE!</v>
      </c>
      <c r="S3770" s="88">
        <f>-IF(Tabla14[[#This Row],[DIAS HABILES O MORA]]&lt;0,(Tabla14[[#This Row],[VALOR PRESTAMO]]*Tabla14[[#This Row],[% INTERES ]]/30*U3770))</f>
        <v>0</v>
      </c>
      <c r="T3770" s="53" t="e">
        <f>Tabla14[[#This Row],[DEUDA CAPITAL]]+Tabla14[[#This Row],[INTERES  CUOTA]]</f>
        <v>#NUM!</v>
      </c>
      <c r="U3770" s="61" t="str">
        <f t="shared" si="599"/>
        <v/>
      </c>
    </row>
    <row r="3771" spans="9:21" ht="24.75" customHeight="1" x14ac:dyDescent="0.35">
      <c r="I3771" s="42">
        <f t="shared" si="590"/>
        <v>0</v>
      </c>
      <c r="J3771" s="65" t="e">
        <f t="shared" si="591"/>
        <v>#NUM!</v>
      </c>
      <c r="K3771" s="83" t="e">
        <f t="shared" si="592"/>
        <v>#NUM!</v>
      </c>
      <c r="L3771" s="83">
        <f t="shared" si="593"/>
        <v>0</v>
      </c>
      <c r="M3771" s="110" t="str">
        <f t="shared" si="594"/>
        <v/>
      </c>
      <c r="N3771" s="51" t="str">
        <f t="shared" si="595"/>
        <v/>
      </c>
      <c r="O3771" s="52" t="str">
        <f t="shared" si="596"/>
        <v/>
      </c>
      <c r="P3771" s="88">
        <f t="shared" si="597"/>
        <v>0</v>
      </c>
      <c r="Q3771" s="88">
        <f t="shared" si="598"/>
        <v>0</v>
      </c>
      <c r="R3771" s="88" t="e">
        <f>-IF(Tabla14[[#This Row],[DIAS HABILES O MORA]]&lt;0,(Tabla14[[#This Row],[VALOR PRESTAMO]]*Tabla14[[#This Row],[% INTERES ]]/30*U3771))+Tabla14[[#This Row],[VALOR CUOTAS]]</f>
        <v>#VALUE!</v>
      </c>
      <c r="S3771" s="88">
        <f>-IF(Tabla14[[#This Row],[DIAS HABILES O MORA]]&lt;0,(Tabla14[[#This Row],[VALOR PRESTAMO]]*Tabla14[[#This Row],[% INTERES ]]/30*U3771))</f>
        <v>0</v>
      </c>
      <c r="T3771" s="53" t="e">
        <f>Tabla14[[#This Row],[DEUDA CAPITAL]]+Tabla14[[#This Row],[INTERES  CUOTA]]</f>
        <v>#NUM!</v>
      </c>
      <c r="U3771" s="61" t="str">
        <f t="shared" si="599"/>
        <v/>
      </c>
    </row>
    <row r="3772" spans="9:21" ht="24.75" customHeight="1" x14ac:dyDescent="0.35">
      <c r="I3772" s="42">
        <f t="shared" si="590"/>
        <v>0</v>
      </c>
      <c r="J3772" s="65" t="e">
        <f t="shared" si="591"/>
        <v>#NUM!</v>
      </c>
      <c r="K3772" s="83" t="e">
        <f t="shared" si="592"/>
        <v>#NUM!</v>
      </c>
      <c r="L3772" s="83">
        <f t="shared" si="593"/>
        <v>0</v>
      </c>
      <c r="M3772" s="110" t="str">
        <f t="shared" si="594"/>
        <v/>
      </c>
      <c r="N3772" s="51" t="str">
        <f t="shared" si="595"/>
        <v/>
      </c>
      <c r="O3772" s="52" t="str">
        <f t="shared" si="596"/>
        <v/>
      </c>
      <c r="P3772" s="88">
        <f t="shared" si="597"/>
        <v>0</v>
      </c>
      <c r="Q3772" s="88">
        <f t="shared" si="598"/>
        <v>0</v>
      </c>
      <c r="R3772" s="88" t="e">
        <f>-IF(Tabla14[[#This Row],[DIAS HABILES O MORA]]&lt;0,(Tabla14[[#This Row],[VALOR PRESTAMO]]*Tabla14[[#This Row],[% INTERES ]]/30*U3772))+Tabla14[[#This Row],[VALOR CUOTAS]]</f>
        <v>#VALUE!</v>
      </c>
      <c r="S3772" s="88">
        <f>-IF(Tabla14[[#This Row],[DIAS HABILES O MORA]]&lt;0,(Tabla14[[#This Row],[VALOR PRESTAMO]]*Tabla14[[#This Row],[% INTERES ]]/30*U3772))</f>
        <v>0</v>
      </c>
      <c r="T3772" s="53" t="e">
        <f>Tabla14[[#This Row],[DEUDA CAPITAL]]+Tabla14[[#This Row],[INTERES  CUOTA]]</f>
        <v>#NUM!</v>
      </c>
      <c r="U3772" s="61" t="str">
        <f t="shared" si="599"/>
        <v/>
      </c>
    </row>
    <row r="3773" spans="9:21" ht="24.75" customHeight="1" x14ac:dyDescent="0.35">
      <c r="I3773" s="42">
        <f t="shared" si="590"/>
        <v>0</v>
      </c>
      <c r="J3773" s="65" t="e">
        <f t="shared" si="591"/>
        <v>#NUM!</v>
      </c>
      <c r="K3773" s="83" t="e">
        <f t="shared" si="592"/>
        <v>#NUM!</v>
      </c>
      <c r="L3773" s="83">
        <f t="shared" si="593"/>
        <v>0</v>
      </c>
      <c r="M3773" s="110" t="str">
        <f t="shared" si="594"/>
        <v/>
      </c>
      <c r="N3773" s="51" t="str">
        <f t="shared" si="595"/>
        <v/>
      </c>
      <c r="O3773" s="52" t="str">
        <f t="shared" si="596"/>
        <v/>
      </c>
      <c r="P3773" s="88">
        <f t="shared" si="597"/>
        <v>0</v>
      </c>
      <c r="Q3773" s="88">
        <f t="shared" si="598"/>
        <v>0</v>
      </c>
      <c r="R3773" s="88" t="e">
        <f>-IF(Tabla14[[#This Row],[DIAS HABILES O MORA]]&lt;0,(Tabla14[[#This Row],[VALOR PRESTAMO]]*Tabla14[[#This Row],[% INTERES ]]/30*U3773))+Tabla14[[#This Row],[VALOR CUOTAS]]</f>
        <v>#VALUE!</v>
      </c>
      <c r="S3773" s="88">
        <f>-IF(Tabla14[[#This Row],[DIAS HABILES O MORA]]&lt;0,(Tabla14[[#This Row],[VALOR PRESTAMO]]*Tabla14[[#This Row],[% INTERES ]]/30*U3773))</f>
        <v>0</v>
      </c>
      <c r="T3773" s="53" t="e">
        <f>Tabla14[[#This Row],[DEUDA CAPITAL]]+Tabla14[[#This Row],[INTERES  CUOTA]]</f>
        <v>#NUM!</v>
      </c>
      <c r="U3773" s="61" t="str">
        <f t="shared" si="599"/>
        <v/>
      </c>
    </row>
    <row r="3774" spans="9:21" ht="24.75" customHeight="1" x14ac:dyDescent="0.35">
      <c r="I3774" s="42">
        <f t="shared" si="590"/>
        <v>0</v>
      </c>
      <c r="J3774" s="65" t="e">
        <f t="shared" si="591"/>
        <v>#NUM!</v>
      </c>
      <c r="K3774" s="83" t="e">
        <f t="shared" si="592"/>
        <v>#NUM!</v>
      </c>
      <c r="L3774" s="83">
        <f t="shared" si="593"/>
        <v>0</v>
      </c>
      <c r="M3774" s="110" t="str">
        <f t="shared" si="594"/>
        <v/>
      </c>
      <c r="N3774" s="51" t="str">
        <f t="shared" si="595"/>
        <v/>
      </c>
      <c r="O3774" s="52" t="str">
        <f t="shared" si="596"/>
        <v/>
      </c>
      <c r="P3774" s="88">
        <f t="shared" si="597"/>
        <v>0</v>
      </c>
      <c r="Q3774" s="88">
        <f t="shared" si="598"/>
        <v>0</v>
      </c>
      <c r="R3774" s="88" t="e">
        <f>-IF(Tabla14[[#This Row],[DIAS HABILES O MORA]]&lt;0,(Tabla14[[#This Row],[VALOR PRESTAMO]]*Tabla14[[#This Row],[% INTERES ]]/30*U3774))+Tabla14[[#This Row],[VALOR CUOTAS]]</f>
        <v>#VALUE!</v>
      </c>
      <c r="S3774" s="88">
        <f>-IF(Tabla14[[#This Row],[DIAS HABILES O MORA]]&lt;0,(Tabla14[[#This Row],[VALOR PRESTAMO]]*Tabla14[[#This Row],[% INTERES ]]/30*U3774))</f>
        <v>0</v>
      </c>
      <c r="T3774" s="53" t="e">
        <f>Tabla14[[#This Row],[DEUDA CAPITAL]]+Tabla14[[#This Row],[INTERES  CUOTA]]</f>
        <v>#NUM!</v>
      </c>
      <c r="U3774" s="61" t="str">
        <f t="shared" si="599"/>
        <v/>
      </c>
    </row>
    <row r="3775" spans="9:21" ht="24.75" customHeight="1" x14ac:dyDescent="0.35">
      <c r="I3775" s="42">
        <f t="shared" si="590"/>
        <v>0</v>
      </c>
      <c r="J3775" s="65" t="e">
        <f t="shared" si="591"/>
        <v>#NUM!</v>
      </c>
      <c r="K3775" s="83" t="e">
        <f t="shared" si="592"/>
        <v>#NUM!</v>
      </c>
      <c r="L3775" s="83">
        <f t="shared" si="593"/>
        <v>0</v>
      </c>
      <c r="M3775" s="110" t="str">
        <f t="shared" si="594"/>
        <v/>
      </c>
      <c r="N3775" s="51" t="str">
        <f t="shared" si="595"/>
        <v/>
      </c>
      <c r="O3775" s="52" t="str">
        <f t="shared" si="596"/>
        <v/>
      </c>
      <c r="P3775" s="88">
        <f t="shared" si="597"/>
        <v>0</v>
      </c>
      <c r="Q3775" s="88">
        <f t="shared" si="598"/>
        <v>0</v>
      </c>
      <c r="R3775" s="88" t="e">
        <f>-IF(Tabla14[[#This Row],[DIAS HABILES O MORA]]&lt;0,(Tabla14[[#This Row],[VALOR PRESTAMO]]*Tabla14[[#This Row],[% INTERES ]]/30*U3775))+Tabla14[[#This Row],[VALOR CUOTAS]]</f>
        <v>#VALUE!</v>
      </c>
      <c r="S3775" s="88">
        <f>-IF(Tabla14[[#This Row],[DIAS HABILES O MORA]]&lt;0,(Tabla14[[#This Row],[VALOR PRESTAMO]]*Tabla14[[#This Row],[% INTERES ]]/30*U3775))</f>
        <v>0</v>
      </c>
      <c r="T3775" s="53" t="e">
        <f>Tabla14[[#This Row],[DEUDA CAPITAL]]+Tabla14[[#This Row],[INTERES  CUOTA]]</f>
        <v>#NUM!</v>
      </c>
      <c r="U3775" s="61" t="str">
        <f t="shared" si="599"/>
        <v/>
      </c>
    </row>
    <row r="3776" spans="9:21" ht="24.75" customHeight="1" x14ac:dyDescent="0.35">
      <c r="I3776" s="42">
        <f t="shared" si="590"/>
        <v>0</v>
      </c>
      <c r="J3776" s="65" t="e">
        <f t="shared" si="591"/>
        <v>#NUM!</v>
      </c>
      <c r="K3776" s="83" t="e">
        <f t="shared" si="592"/>
        <v>#NUM!</v>
      </c>
      <c r="L3776" s="83">
        <f t="shared" si="593"/>
        <v>0</v>
      </c>
      <c r="M3776" s="110" t="str">
        <f t="shared" si="594"/>
        <v/>
      </c>
      <c r="N3776" s="51" t="str">
        <f t="shared" si="595"/>
        <v/>
      </c>
      <c r="O3776" s="52" t="str">
        <f t="shared" si="596"/>
        <v/>
      </c>
      <c r="P3776" s="88">
        <f t="shared" si="597"/>
        <v>0</v>
      </c>
      <c r="Q3776" s="88">
        <f t="shared" si="598"/>
        <v>0</v>
      </c>
      <c r="R3776" s="88" t="e">
        <f>-IF(Tabla14[[#This Row],[DIAS HABILES O MORA]]&lt;0,(Tabla14[[#This Row],[VALOR PRESTAMO]]*Tabla14[[#This Row],[% INTERES ]]/30*U3776))+Tabla14[[#This Row],[VALOR CUOTAS]]</f>
        <v>#VALUE!</v>
      </c>
      <c r="S3776" s="88">
        <f>-IF(Tabla14[[#This Row],[DIAS HABILES O MORA]]&lt;0,(Tabla14[[#This Row],[VALOR PRESTAMO]]*Tabla14[[#This Row],[% INTERES ]]/30*U3776))</f>
        <v>0</v>
      </c>
      <c r="T3776" s="53" t="e">
        <f>Tabla14[[#This Row],[DEUDA CAPITAL]]+Tabla14[[#This Row],[INTERES  CUOTA]]</f>
        <v>#NUM!</v>
      </c>
      <c r="U3776" s="61" t="str">
        <f t="shared" si="599"/>
        <v/>
      </c>
    </row>
    <row r="3777" spans="9:21" ht="24.75" customHeight="1" x14ac:dyDescent="0.35">
      <c r="I3777" s="42">
        <f t="shared" si="590"/>
        <v>0</v>
      </c>
      <c r="J3777" s="65" t="e">
        <f t="shared" si="591"/>
        <v>#NUM!</v>
      </c>
      <c r="K3777" s="83" t="e">
        <f t="shared" si="592"/>
        <v>#NUM!</v>
      </c>
      <c r="L3777" s="83">
        <f t="shared" si="593"/>
        <v>0</v>
      </c>
      <c r="M3777" s="110" t="str">
        <f t="shared" si="594"/>
        <v/>
      </c>
      <c r="N3777" s="51" t="str">
        <f t="shared" si="595"/>
        <v/>
      </c>
      <c r="O3777" s="52" t="str">
        <f t="shared" si="596"/>
        <v/>
      </c>
      <c r="P3777" s="88">
        <f t="shared" si="597"/>
        <v>0</v>
      </c>
      <c r="Q3777" s="88">
        <f t="shared" si="598"/>
        <v>0</v>
      </c>
      <c r="R3777" s="88" t="e">
        <f>-IF(Tabla14[[#This Row],[DIAS HABILES O MORA]]&lt;0,(Tabla14[[#This Row],[VALOR PRESTAMO]]*Tabla14[[#This Row],[% INTERES ]]/30*U3777))+Tabla14[[#This Row],[VALOR CUOTAS]]</f>
        <v>#VALUE!</v>
      </c>
      <c r="S3777" s="88">
        <f>-IF(Tabla14[[#This Row],[DIAS HABILES O MORA]]&lt;0,(Tabla14[[#This Row],[VALOR PRESTAMO]]*Tabla14[[#This Row],[% INTERES ]]/30*U3777))</f>
        <v>0</v>
      </c>
      <c r="T3777" s="53" t="e">
        <f>Tabla14[[#This Row],[DEUDA CAPITAL]]+Tabla14[[#This Row],[INTERES  CUOTA]]</f>
        <v>#NUM!</v>
      </c>
      <c r="U3777" s="61" t="str">
        <f t="shared" si="599"/>
        <v/>
      </c>
    </row>
    <row r="3778" spans="9:21" ht="24.75" customHeight="1" x14ac:dyDescent="0.35">
      <c r="I3778" s="42">
        <f t="shared" si="590"/>
        <v>0</v>
      </c>
      <c r="J3778" s="65" t="e">
        <f t="shared" si="591"/>
        <v>#NUM!</v>
      </c>
      <c r="K3778" s="83" t="e">
        <f t="shared" si="592"/>
        <v>#NUM!</v>
      </c>
      <c r="L3778" s="83">
        <f t="shared" si="593"/>
        <v>0</v>
      </c>
      <c r="M3778" s="110" t="str">
        <f t="shared" si="594"/>
        <v/>
      </c>
      <c r="N3778" s="51" t="str">
        <f t="shared" si="595"/>
        <v/>
      </c>
      <c r="O3778" s="52" t="str">
        <f t="shared" si="596"/>
        <v/>
      </c>
      <c r="P3778" s="88">
        <f t="shared" si="597"/>
        <v>0</v>
      </c>
      <c r="Q3778" s="88">
        <f t="shared" si="598"/>
        <v>0</v>
      </c>
      <c r="R3778" s="88" t="e">
        <f>-IF(Tabla14[[#This Row],[DIAS HABILES O MORA]]&lt;0,(Tabla14[[#This Row],[VALOR PRESTAMO]]*Tabla14[[#This Row],[% INTERES ]]/30*U3778))+Tabla14[[#This Row],[VALOR CUOTAS]]</f>
        <v>#VALUE!</v>
      </c>
      <c r="S3778" s="88">
        <f>-IF(Tabla14[[#This Row],[DIAS HABILES O MORA]]&lt;0,(Tabla14[[#This Row],[VALOR PRESTAMO]]*Tabla14[[#This Row],[% INTERES ]]/30*U3778))</f>
        <v>0</v>
      </c>
      <c r="T3778" s="53" t="e">
        <f>Tabla14[[#This Row],[DEUDA CAPITAL]]+Tabla14[[#This Row],[INTERES  CUOTA]]</f>
        <v>#NUM!</v>
      </c>
      <c r="U3778" s="61" t="str">
        <f t="shared" si="599"/>
        <v/>
      </c>
    </row>
    <row r="3779" spans="9:21" ht="24.75" customHeight="1" x14ac:dyDescent="0.35">
      <c r="I3779" s="42">
        <f t="shared" si="590"/>
        <v>0</v>
      </c>
      <c r="J3779" s="65" t="e">
        <f t="shared" si="591"/>
        <v>#NUM!</v>
      </c>
      <c r="K3779" s="83" t="e">
        <f t="shared" si="592"/>
        <v>#NUM!</v>
      </c>
      <c r="L3779" s="83">
        <f t="shared" si="593"/>
        <v>0</v>
      </c>
      <c r="M3779" s="110" t="str">
        <f t="shared" si="594"/>
        <v/>
      </c>
      <c r="N3779" s="51" t="str">
        <f t="shared" si="595"/>
        <v/>
      </c>
      <c r="O3779" s="52" t="str">
        <f t="shared" si="596"/>
        <v/>
      </c>
      <c r="P3779" s="88">
        <f t="shared" si="597"/>
        <v>0</v>
      </c>
      <c r="Q3779" s="88">
        <f t="shared" si="598"/>
        <v>0</v>
      </c>
      <c r="R3779" s="88" t="e">
        <f>-IF(Tabla14[[#This Row],[DIAS HABILES O MORA]]&lt;0,(Tabla14[[#This Row],[VALOR PRESTAMO]]*Tabla14[[#This Row],[% INTERES ]]/30*U3779))+Tabla14[[#This Row],[VALOR CUOTAS]]</f>
        <v>#VALUE!</v>
      </c>
      <c r="S3779" s="88">
        <f>-IF(Tabla14[[#This Row],[DIAS HABILES O MORA]]&lt;0,(Tabla14[[#This Row],[VALOR PRESTAMO]]*Tabla14[[#This Row],[% INTERES ]]/30*U3779))</f>
        <v>0</v>
      </c>
      <c r="T3779" s="53" t="e">
        <f>Tabla14[[#This Row],[DEUDA CAPITAL]]+Tabla14[[#This Row],[INTERES  CUOTA]]</f>
        <v>#NUM!</v>
      </c>
      <c r="U3779" s="61" t="str">
        <f t="shared" si="599"/>
        <v/>
      </c>
    </row>
    <row r="3780" spans="9:21" ht="24.75" customHeight="1" x14ac:dyDescent="0.35">
      <c r="I3780" s="42">
        <f t="shared" si="590"/>
        <v>0</v>
      </c>
      <c r="J3780" s="65" t="e">
        <f t="shared" si="591"/>
        <v>#NUM!</v>
      </c>
      <c r="K3780" s="83" t="e">
        <f t="shared" si="592"/>
        <v>#NUM!</v>
      </c>
      <c r="L3780" s="83">
        <f t="shared" si="593"/>
        <v>0</v>
      </c>
      <c r="M3780" s="110" t="str">
        <f t="shared" si="594"/>
        <v/>
      </c>
      <c r="N3780" s="51" t="str">
        <f t="shared" si="595"/>
        <v/>
      </c>
      <c r="O3780" s="52" t="str">
        <f t="shared" si="596"/>
        <v/>
      </c>
      <c r="P3780" s="88">
        <f t="shared" si="597"/>
        <v>0</v>
      </c>
      <c r="Q3780" s="88">
        <f t="shared" si="598"/>
        <v>0</v>
      </c>
      <c r="R3780" s="88" t="e">
        <f>-IF(Tabla14[[#This Row],[DIAS HABILES O MORA]]&lt;0,(Tabla14[[#This Row],[VALOR PRESTAMO]]*Tabla14[[#This Row],[% INTERES ]]/30*U3780))+Tabla14[[#This Row],[VALOR CUOTAS]]</f>
        <v>#VALUE!</v>
      </c>
      <c r="S3780" s="88">
        <f>-IF(Tabla14[[#This Row],[DIAS HABILES O MORA]]&lt;0,(Tabla14[[#This Row],[VALOR PRESTAMO]]*Tabla14[[#This Row],[% INTERES ]]/30*U3780))</f>
        <v>0</v>
      </c>
      <c r="T3780" s="53" t="e">
        <f>Tabla14[[#This Row],[DEUDA CAPITAL]]+Tabla14[[#This Row],[INTERES  CUOTA]]</f>
        <v>#NUM!</v>
      </c>
      <c r="U3780" s="61" t="str">
        <f t="shared" si="599"/>
        <v/>
      </c>
    </row>
    <row r="3781" spans="9:21" ht="24.75" customHeight="1" x14ac:dyDescent="0.35">
      <c r="I3781" s="42">
        <f t="shared" si="590"/>
        <v>0</v>
      </c>
      <c r="J3781" s="65" t="e">
        <f t="shared" si="591"/>
        <v>#NUM!</v>
      </c>
      <c r="K3781" s="83" t="e">
        <f t="shared" si="592"/>
        <v>#NUM!</v>
      </c>
      <c r="L3781" s="83">
        <f t="shared" si="593"/>
        <v>0</v>
      </c>
      <c r="M3781" s="110" t="str">
        <f t="shared" si="594"/>
        <v/>
      </c>
      <c r="N3781" s="51" t="str">
        <f t="shared" si="595"/>
        <v/>
      </c>
      <c r="O3781" s="52" t="str">
        <f t="shared" si="596"/>
        <v/>
      </c>
      <c r="P3781" s="88">
        <f t="shared" si="597"/>
        <v>0</v>
      </c>
      <c r="Q3781" s="88">
        <f t="shared" si="598"/>
        <v>0</v>
      </c>
      <c r="R3781" s="88" t="e">
        <f>-IF(Tabla14[[#This Row],[DIAS HABILES O MORA]]&lt;0,(Tabla14[[#This Row],[VALOR PRESTAMO]]*Tabla14[[#This Row],[% INTERES ]]/30*U3781))+Tabla14[[#This Row],[VALOR CUOTAS]]</f>
        <v>#VALUE!</v>
      </c>
      <c r="S3781" s="88">
        <f>-IF(Tabla14[[#This Row],[DIAS HABILES O MORA]]&lt;0,(Tabla14[[#This Row],[VALOR PRESTAMO]]*Tabla14[[#This Row],[% INTERES ]]/30*U3781))</f>
        <v>0</v>
      </c>
      <c r="T3781" s="53" t="e">
        <f>Tabla14[[#This Row],[DEUDA CAPITAL]]+Tabla14[[#This Row],[INTERES  CUOTA]]</f>
        <v>#NUM!</v>
      </c>
      <c r="U3781" s="61" t="str">
        <f t="shared" si="599"/>
        <v/>
      </c>
    </row>
    <row r="3782" spans="9:21" ht="24.75" customHeight="1" x14ac:dyDescent="0.35">
      <c r="I3782" s="42">
        <f t="shared" si="590"/>
        <v>0</v>
      </c>
      <c r="J3782" s="65" t="e">
        <f t="shared" si="591"/>
        <v>#NUM!</v>
      </c>
      <c r="K3782" s="83" t="e">
        <f t="shared" si="592"/>
        <v>#NUM!</v>
      </c>
      <c r="L3782" s="83">
        <f t="shared" si="593"/>
        <v>0</v>
      </c>
      <c r="M3782" s="110" t="str">
        <f t="shared" si="594"/>
        <v/>
      </c>
      <c r="N3782" s="51" t="str">
        <f t="shared" si="595"/>
        <v/>
      </c>
      <c r="O3782" s="52" t="str">
        <f t="shared" si="596"/>
        <v/>
      </c>
      <c r="P3782" s="88">
        <f t="shared" si="597"/>
        <v>0</v>
      </c>
      <c r="Q3782" s="88">
        <f t="shared" si="598"/>
        <v>0</v>
      </c>
      <c r="R3782" s="88" t="e">
        <f>-IF(Tabla14[[#This Row],[DIAS HABILES O MORA]]&lt;0,(Tabla14[[#This Row],[VALOR PRESTAMO]]*Tabla14[[#This Row],[% INTERES ]]/30*U3782))+Tabla14[[#This Row],[VALOR CUOTAS]]</f>
        <v>#VALUE!</v>
      </c>
      <c r="S3782" s="88">
        <f>-IF(Tabla14[[#This Row],[DIAS HABILES O MORA]]&lt;0,(Tabla14[[#This Row],[VALOR PRESTAMO]]*Tabla14[[#This Row],[% INTERES ]]/30*U3782))</f>
        <v>0</v>
      </c>
      <c r="T3782" s="53" t="e">
        <f>Tabla14[[#This Row],[DEUDA CAPITAL]]+Tabla14[[#This Row],[INTERES  CUOTA]]</f>
        <v>#NUM!</v>
      </c>
      <c r="U3782" s="61" t="str">
        <f t="shared" si="599"/>
        <v/>
      </c>
    </row>
    <row r="3783" spans="9:21" ht="24.75" customHeight="1" x14ac:dyDescent="0.35">
      <c r="I3783" s="42">
        <f t="shared" si="590"/>
        <v>0</v>
      </c>
      <c r="J3783" s="65" t="e">
        <f t="shared" si="591"/>
        <v>#NUM!</v>
      </c>
      <c r="K3783" s="83" t="e">
        <f t="shared" si="592"/>
        <v>#NUM!</v>
      </c>
      <c r="L3783" s="83">
        <f t="shared" si="593"/>
        <v>0</v>
      </c>
      <c r="M3783" s="110" t="str">
        <f t="shared" si="594"/>
        <v/>
      </c>
      <c r="N3783" s="51" t="str">
        <f t="shared" si="595"/>
        <v/>
      </c>
      <c r="O3783" s="52" t="str">
        <f t="shared" si="596"/>
        <v/>
      </c>
      <c r="P3783" s="88">
        <f t="shared" si="597"/>
        <v>0</v>
      </c>
      <c r="Q3783" s="88">
        <f t="shared" si="598"/>
        <v>0</v>
      </c>
      <c r="R3783" s="88" t="e">
        <f>-IF(Tabla14[[#This Row],[DIAS HABILES O MORA]]&lt;0,(Tabla14[[#This Row],[VALOR PRESTAMO]]*Tabla14[[#This Row],[% INTERES ]]/30*U3783))+Tabla14[[#This Row],[VALOR CUOTAS]]</f>
        <v>#VALUE!</v>
      </c>
      <c r="S3783" s="88">
        <f>-IF(Tabla14[[#This Row],[DIAS HABILES O MORA]]&lt;0,(Tabla14[[#This Row],[VALOR PRESTAMO]]*Tabla14[[#This Row],[% INTERES ]]/30*U3783))</f>
        <v>0</v>
      </c>
      <c r="T3783" s="53" t="e">
        <f>Tabla14[[#This Row],[DEUDA CAPITAL]]+Tabla14[[#This Row],[INTERES  CUOTA]]</f>
        <v>#NUM!</v>
      </c>
      <c r="U3783" s="61" t="str">
        <f t="shared" si="599"/>
        <v/>
      </c>
    </row>
    <row r="3784" spans="9:21" ht="24.75" customHeight="1" x14ac:dyDescent="0.35">
      <c r="I3784" s="42">
        <f t="shared" si="590"/>
        <v>0</v>
      </c>
      <c r="J3784" s="65" t="e">
        <f t="shared" si="591"/>
        <v>#NUM!</v>
      </c>
      <c r="K3784" s="83" t="e">
        <f t="shared" si="592"/>
        <v>#NUM!</v>
      </c>
      <c r="L3784" s="83">
        <f t="shared" si="593"/>
        <v>0</v>
      </c>
      <c r="M3784" s="110" t="str">
        <f t="shared" si="594"/>
        <v/>
      </c>
      <c r="N3784" s="51" t="str">
        <f t="shared" si="595"/>
        <v/>
      </c>
      <c r="O3784" s="52" t="str">
        <f t="shared" si="596"/>
        <v/>
      </c>
      <c r="P3784" s="88">
        <f t="shared" si="597"/>
        <v>0</v>
      </c>
      <c r="Q3784" s="88">
        <f t="shared" si="598"/>
        <v>0</v>
      </c>
      <c r="R3784" s="88" t="e">
        <f>-IF(Tabla14[[#This Row],[DIAS HABILES O MORA]]&lt;0,(Tabla14[[#This Row],[VALOR PRESTAMO]]*Tabla14[[#This Row],[% INTERES ]]/30*U3784))+Tabla14[[#This Row],[VALOR CUOTAS]]</f>
        <v>#VALUE!</v>
      </c>
      <c r="S3784" s="88">
        <f>-IF(Tabla14[[#This Row],[DIAS HABILES O MORA]]&lt;0,(Tabla14[[#This Row],[VALOR PRESTAMO]]*Tabla14[[#This Row],[% INTERES ]]/30*U3784))</f>
        <v>0</v>
      </c>
      <c r="T3784" s="53" t="e">
        <f>Tabla14[[#This Row],[DEUDA CAPITAL]]+Tabla14[[#This Row],[INTERES  CUOTA]]</f>
        <v>#NUM!</v>
      </c>
      <c r="U3784" s="61" t="str">
        <f t="shared" si="599"/>
        <v/>
      </c>
    </row>
    <row r="3785" spans="9:21" ht="24.75" customHeight="1" x14ac:dyDescent="0.35">
      <c r="I3785" s="42">
        <f t="shared" si="590"/>
        <v>0</v>
      </c>
      <c r="J3785" s="65" t="e">
        <f t="shared" si="591"/>
        <v>#NUM!</v>
      </c>
      <c r="K3785" s="83" t="e">
        <f t="shared" si="592"/>
        <v>#NUM!</v>
      </c>
      <c r="L3785" s="83">
        <f t="shared" si="593"/>
        <v>0</v>
      </c>
      <c r="M3785" s="110" t="str">
        <f t="shared" si="594"/>
        <v/>
      </c>
      <c r="N3785" s="51" t="str">
        <f t="shared" si="595"/>
        <v/>
      </c>
      <c r="O3785" s="52" t="str">
        <f t="shared" si="596"/>
        <v/>
      </c>
      <c r="P3785" s="88">
        <f t="shared" si="597"/>
        <v>0</v>
      </c>
      <c r="Q3785" s="88">
        <f t="shared" si="598"/>
        <v>0</v>
      </c>
      <c r="R3785" s="88" t="e">
        <f>-IF(Tabla14[[#This Row],[DIAS HABILES O MORA]]&lt;0,(Tabla14[[#This Row],[VALOR PRESTAMO]]*Tabla14[[#This Row],[% INTERES ]]/30*U3785))+Tabla14[[#This Row],[VALOR CUOTAS]]</f>
        <v>#VALUE!</v>
      </c>
      <c r="S3785" s="88">
        <f>-IF(Tabla14[[#This Row],[DIAS HABILES O MORA]]&lt;0,(Tabla14[[#This Row],[VALOR PRESTAMO]]*Tabla14[[#This Row],[% INTERES ]]/30*U3785))</f>
        <v>0</v>
      </c>
      <c r="T3785" s="53" t="e">
        <f>Tabla14[[#This Row],[DEUDA CAPITAL]]+Tabla14[[#This Row],[INTERES  CUOTA]]</f>
        <v>#NUM!</v>
      </c>
      <c r="U3785" s="61" t="str">
        <f t="shared" si="599"/>
        <v/>
      </c>
    </row>
    <row r="3786" spans="9:21" ht="24.75" customHeight="1" x14ac:dyDescent="0.35">
      <c r="I3786" s="42">
        <f t="shared" si="590"/>
        <v>0</v>
      </c>
      <c r="J3786" s="65" t="e">
        <f t="shared" si="591"/>
        <v>#NUM!</v>
      </c>
      <c r="K3786" s="83" t="e">
        <f t="shared" si="592"/>
        <v>#NUM!</v>
      </c>
      <c r="L3786" s="83">
        <f t="shared" si="593"/>
        <v>0</v>
      </c>
      <c r="M3786" s="110" t="str">
        <f t="shared" si="594"/>
        <v/>
      </c>
      <c r="N3786" s="51" t="str">
        <f t="shared" si="595"/>
        <v/>
      </c>
      <c r="O3786" s="52" t="str">
        <f t="shared" si="596"/>
        <v/>
      </c>
      <c r="P3786" s="88">
        <f t="shared" si="597"/>
        <v>0</v>
      </c>
      <c r="Q3786" s="88">
        <f t="shared" si="598"/>
        <v>0</v>
      </c>
      <c r="R3786" s="88" t="e">
        <f>-IF(Tabla14[[#This Row],[DIAS HABILES O MORA]]&lt;0,(Tabla14[[#This Row],[VALOR PRESTAMO]]*Tabla14[[#This Row],[% INTERES ]]/30*U3786))+Tabla14[[#This Row],[VALOR CUOTAS]]</f>
        <v>#VALUE!</v>
      </c>
      <c r="S3786" s="88">
        <f>-IF(Tabla14[[#This Row],[DIAS HABILES O MORA]]&lt;0,(Tabla14[[#This Row],[VALOR PRESTAMO]]*Tabla14[[#This Row],[% INTERES ]]/30*U3786))</f>
        <v>0</v>
      </c>
      <c r="T3786" s="53" t="e">
        <f>Tabla14[[#This Row],[DEUDA CAPITAL]]+Tabla14[[#This Row],[INTERES  CUOTA]]</f>
        <v>#NUM!</v>
      </c>
      <c r="U3786" s="61" t="str">
        <f t="shared" si="599"/>
        <v/>
      </c>
    </row>
    <row r="3787" spans="9:21" ht="24.75" customHeight="1" x14ac:dyDescent="0.35">
      <c r="I3787" s="42">
        <f t="shared" si="590"/>
        <v>0</v>
      </c>
      <c r="J3787" s="65" t="e">
        <f t="shared" si="591"/>
        <v>#NUM!</v>
      </c>
      <c r="K3787" s="83" t="e">
        <f t="shared" si="592"/>
        <v>#NUM!</v>
      </c>
      <c r="L3787" s="83">
        <f t="shared" si="593"/>
        <v>0</v>
      </c>
      <c r="M3787" s="110" t="str">
        <f t="shared" si="594"/>
        <v/>
      </c>
      <c r="N3787" s="51" t="str">
        <f t="shared" si="595"/>
        <v/>
      </c>
      <c r="O3787" s="52" t="str">
        <f t="shared" si="596"/>
        <v/>
      </c>
      <c r="P3787" s="88">
        <f t="shared" si="597"/>
        <v>0</v>
      </c>
      <c r="Q3787" s="88">
        <f t="shared" si="598"/>
        <v>0</v>
      </c>
      <c r="R3787" s="88" t="e">
        <f>-IF(Tabla14[[#This Row],[DIAS HABILES O MORA]]&lt;0,(Tabla14[[#This Row],[VALOR PRESTAMO]]*Tabla14[[#This Row],[% INTERES ]]/30*U3787))+Tabla14[[#This Row],[VALOR CUOTAS]]</f>
        <v>#VALUE!</v>
      </c>
      <c r="S3787" s="88">
        <f>-IF(Tabla14[[#This Row],[DIAS HABILES O MORA]]&lt;0,(Tabla14[[#This Row],[VALOR PRESTAMO]]*Tabla14[[#This Row],[% INTERES ]]/30*U3787))</f>
        <v>0</v>
      </c>
      <c r="T3787" s="53" t="e">
        <f>Tabla14[[#This Row],[DEUDA CAPITAL]]+Tabla14[[#This Row],[INTERES  CUOTA]]</f>
        <v>#NUM!</v>
      </c>
      <c r="U3787" s="61" t="str">
        <f t="shared" si="599"/>
        <v/>
      </c>
    </row>
    <row r="3788" spans="9:21" ht="24.75" customHeight="1" x14ac:dyDescent="0.35">
      <c r="I3788" s="42">
        <f t="shared" si="590"/>
        <v>0</v>
      </c>
      <c r="J3788" s="65" t="e">
        <f t="shared" si="591"/>
        <v>#NUM!</v>
      </c>
      <c r="K3788" s="83" t="e">
        <f t="shared" si="592"/>
        <v>#NUM!</v>
      </c>
      <c r="L3788" s="83">
        <f t="shared" si="593"/>
        <v>0</v>
      </c>
      <c r="M3788" s="110" t="str">
        <f t="shared" si="594"/>
        <v/>
      </c>
      <c r="N3788" s="51" t="str">
        <f t="shared" si="595"/>
        <v/>
      </c>
      <c r="O3788" s="52" t="str">
        <f t="shared" si="596"/>
        <v/>
      </c>
      <c r="P3788" s="88">
        <f t="shared" si="597"/>
        <v>0</v>
      </c>
      <c r="Q3788" s="88">
        <f t="shared" si="598"/>
        <v>0</v>
      </c>
      <c r="R3788" s="88" t="e">
        <f>-IF(Tabla14[[#This Row],[DIAS HABILES O MORA]]&lt;0,(Tabla14[[#This Row],[VALOR PRESTAMO]]*Tabla14[[#This Row],[% INTERES ]]/30*U3788))+Tabla14[[#This Row],[VALOR CUOTAS]]</f>
        <v>#VALUE!</v>
      </c>
      <c r="S3788" s="88">
        <f>-IF(Tabla14[[#This Row],[DIAS HABILES O MORA]]&lt;0,(Tabla14[[#This Row],[VALOR PRESTAMO]]*Tabla14[[#This Row],[% INTERES ]]/30*U3788))</f>
        <v>0</v>
      </c>
      <c r="T3788" s="53" t="e">
        <f>Tabla14[[#This Row],[DEUDA CAPITAL]]+Tabla14[[#This Row],[INTERES  CUOTA]]</f>
        <v>#NUM!</v>
      </c>
      <c r="U3788" s="61" t="str">
        <f t="shared" si="599"/>
        <v/>
      </c>
    </row>
    <row r="3789" spans="9:21" ht="24.75" customHeight="1" x14ac:dyDescent="0.35">
      <c r="I3789" s="42">
        <f t="shared" si="590"/>
        <v>0</v>
      </c>
      <c r="J3789" s="65" t="e">
        <f t="shared" si="591"/>
        <v>#NUM!</v>
      </c>
      <c r="K3789" s="83" t="e">
        <f t="shared" si="592"/>
        <v>#NUM!</v>
      </c>
      <c r="L3789" s="83">
        <f t="shared" si="593"/>
        <v>0</v>
      </c>
      <c r="M3789" s="110" t="str">
        <f t="shared" si="594"/>
        <v/>
      </c>
      <c r="N3789" s="51" t="str">
        <f t="shared" si="595"/>
        <v/>
      </c>
      <c r="O3789" s="52" t="str">
        <f t="shared" si="596"/>
        <v/>
      </c>
      <c r="P3789" s="88">
        <f t="shared" si="597"/>
        <v>0</v>
      </c>
      <c r="Q3789" s="88">
        <f t="shared" si="598"/>
        <v>0</v>
      </c>
      <c r="R3789" s="88" t="e">
        <f>-IF(Tabla14[[#This Row],[DIAS HABILES O MORA]]&lt;0,(Tabla14[[#This Row],[VALOR PRESTAMO]]*Tabla14[[#This Row],[% INTERES ]]/30*U3789))+Tabla14[[#This Row],[VALOR CUOTAS]]</f>
        <v>#VALUE!</v>
      </c>
      <c r="S3789" s="88">
        <f>-IF(Tabla14[[#This Row],[DIAS HABILES O MORA]]&lt;0,(Tabla14[[#This Row],[VALOR PRESTAMO]]*Tabla14[[#This Row],[% INTERES ]]/30*U3789))</f>
        <v>0</v>
      </c>
      <c r="T3789" s="53" t="e">
        <f>Tabla14[[#This Row],[DEUDA CAPITAL]]+Tabla14[[#This Row],[INTERES  CUOTA]]</f>
        <v>#NUM!</v>
      </c>
      <c r="U3789" s="61" t="str">
        <f t="shared" si="599"/>
        <v/>
      </c>
    </row>
    <row r="3790" spans="9:21" ht="24.75" customHeight="1" x14ac:dyDescent="0.35">
      <c r="I3790" s="42">
        <f t="shared" si="590"/>
        <v>0</v>
      </c>
      <c r="J3790" s="65" t="e">
        <f t="shared" si="591"/>
        <v>#NUM!</v>
      </c>
      <c r="K3790" s="83" t="e">
        <f t="shared" si="592"/>
        <v>#NUM!</v>
      </c>
      <c r="L3790" s="83">
        <f t="shared" si="593"/>
        <v>0</v>
      </c>
      <c r="M3790" s="110" t="str">
        <f t="shared" si="594"/>
        <v/>
      </c>
      <c r="N3790" s="51" t="str">
        <f t="shared" si="595"/>
        <v/>
      </c>
      <c r="O3790" s="52" t="str">
        <f t="shared" si="596"/>
        <v/>
      </c>
      <c r="P3790" s="88">
        <f t="shared" si="597"/>
        <v>0</v>
      </c>
      <c r="Q3790" s="88">
        <f t="shared" si="598"/>
        <v>0</v>
      </c>
      <c r="R3790" s="88" t="e">
        <f>-IF(Tabla14[[#This Row],[DIAS HABILES O MORA]]&lt;0,(Tabla14[[#This Row],[VALOR PRESTAMO]]*Tabla14[[#This Row],[% INTERES ]]/30*U3790))+Tabla14[[#This Row],[VALOR CUOTAS]]</f>
        <v>#VALUE!</v>
      </c>
      <c r="S3790" s="88">
        <f>-IF(Tabla14[[#This Row],[DIAS HABILES O MORA]]&lt;0,(Tabla14[[#This Row],[VALOR PRESTAMO]]*Tabla14[[#This Row],[% INTERES ]]/30*U3790))</f>
        <v>0</v>
      </c>
      <c r="T3790" s="53" t="e">
        <f>Tabla14[[#This Row],[DEUDA CAPITAL]]+Tabla14[[#This Row],[INTERES  CUOTA]]</f>
        <v>#NUM!</v>
      </c>
      <c r="U3790" s="61" t="str">
        <f t="shared" si="599"/>
        <v/>
      </c>
    </row>
    <row r="3791" spans="9:21" ht="24.75" customHeight="1" x14ac:dyDescent="0.35">
      <c r="I3791" s="42">
        <f t="shared" si="590"/>
        <v>0</v>
      </c>
      <c r="J3791" s="65" t="e">
        <f t="shared" si="591"/>
        <v>#NUM!</v>
      </c>
      <c r="K3791" s="83" t="e">
        <f t="shared" si="592"/>
        <v>#NUM!</v>
      </c>
      <c r="L3791" s="83">
        <f t="shared" si="593"/>
        <v>0</v>
      </c>
      <c r="M3791" s="110" t="str">
        <f t="shared" si="594"/>
        <v/>
      </c>
      <c r="N3791" s="51" t="str">
        <f t="shared" si="595"/>
        <v/>
      </c>
      <c r="O3791" s="52" t="str">
        <f t="shared" si="596"/>
        <v/>
      </c>
      <c r="P3791" s="88">
        <f t="shared" si="597"/>
        <v>0</v>
      </c>
      <c r="Q3791" s="88">
        <f t="shared" si="598"/>
        <v>0</v>
      </c>
      <c r="R3791" s="88" t="e">
        <f>-IF(Tabla14[[#This Row],[DIAS HABILES O MORA]]&lt;0,(Tabla14[[#This Row],[VALOR PRESTAMO]]*Tabla14[[#This Row],[% INTERES ]]/30*U3791))+Tabla14[[#This Row],[VALOR CUOTAS]]</f>
        <v>#VALUE!</v>
      </c>
      <c r="S3791" s="88">
        <f>-IF(Tabla14[[#This Row],[DIAS HABILES O MORA]]&lt;0,(Tabla14[[#This Row],[VALOR PRESTAMO]]*Tabla14[[#This Row],[% INTERES ]]/30*U3791))</f>
        <v>0</v>
      </c>
      <c r="T3791" s="53" t="e">
        <f>Tabla14[[#This Row],[DEUDA CAPITAL]]+Tabla14[[#This Row],[INTERES  CUOTA]]</f>
        <v>#NUM!</v>
      </c>
      <c r="U3791" s="61" t="str">
        <f t="shared" si="599"/>
        <v/>
      </c>
    </row>
    <row r="3792" spans="9:21" ht="24.75" customHeight="1" x14ac:dyDescent="0.35">
      <c r="I3792" s="42">
        <f t="shared" ref="I3792:I3855" si="600">IF(C3792&lt;0,"",IF(Q3792=0,0,IF(G3792=0,H3792+1,IF(H3792&lt;G3792,H3792+1,IF(G3792=H3792,0)))))</f>
        <v>0</v>
      </c>
      <c r="J3792" s="65" t="e">
        <f t="shared" ref="J3792:J3855" si="601">IF(F3792="SOLO INTERES",Q3792*D3792,-IPMT(D3792,I3792,G3792,C3792))</f>
        <v>#NUM!</v>
      </c>
      <c r="K3792" s="83" t="e">
        <f t="shared" ref="K3792:K3855" si="602">IF(F3792="SOLO INTERES",0,-PPMT(D3792,I3792,G3792,C3792))</f>
        <v>#NUM!</v>
      </c>
      <c r="L3792" s="83">
        <f t="shared" ref="L3792:L3855" si="603">IF(F3792="SOLO INTERES",SUM(Y3792:AAE3792),IFERROR(-CUMIPMT(D3792,G3792,C3792,1,H3792,0),0)+SUM(Y3792:WY3792))</f>
        <v>0</v>
      </c>
      <c r="M3792" s="110" t="str">
        <f t="shared" ref="M3792:M3855" si="604">IFERROR(IF(F3792="SOLO INTERES",Q3792*D3792,-PMT(D3792,G3792,C3792,0)),"")</f>
        <v/>
      </c>
      <c r="N3792" s="51" t="str">
        <f t="shared" ref="N3792:N3855" si="605">IF(Q3792=0,"",IF(E3792="MENSUAL",EDATE(B3792,I3792),IF(E3792="QUINCENAL",B3792+(I3792*15),IF(E3792="SEMANAL",B3792+(I3792*7)))))</f>
        <v/>
      </c>
      <c r="O3792" s="52" t="str">
        <f t="shared" ref="O3792:O3855" si="606">IF(C3792=0,"",IF(Q3792&lt;1,"PAGADO",IF(N3792=$A$3,"COBRAR HOY",IF(N3792&lt;$A$3,"EN MORA",IF(N3792&gt;$A$3,"AL DIA")))))</f>
        <v/>
      </c>
      <c r="P3792" s="88">
        <f t="shared" ref="P3792:P3855" si="607">IFERROR(-CUMPRINC(D3792,G3792,C3792,1,H3792,0),0)+W3792</f>
        <v>0</v>
      </c>
      <c r="Q3792" s="88">
        <f t="shared" ref="Q3792:Q3855" si="608">IFERROR(C3792-P3792,"")</f>
        <v>0</v>
      </c>
      <c r="R3792" s="88" t="e">
        <f>-IF(Tabla14[[#This Row],[DIAS HABILES O MORA]]&lt;0,(Tabla14[[#This Row],[VALOR PRESTAMO]]*Tabla14[[#This Row],[% INTERES ]]/30*U3792))+Tabla14[[#This Row],[VALOR CUOTAS]]</f>
        <v>#VALUE!</v>
      </c>
      <c r="S3792" s="88">
        <f>-IF(Tabla14[[#This Row],[DIAS HABILES O MORA]]&lt;0,(Tabla14[[#This Row],[VALOR PRESTAMO]]*Tabla14[[#This Row],[% INTERES ]]/30*U3792))</f>
        <v>0</v>
      </c>
      <c r="T3792" s="53" t="e">
        <f>Tabla14[[#This Row],[DEUDA CAPITAL]]+Tabla14[[#This Row],[INTERES  CUOTA]]</f>
        <v>#NUM!</v>
      </c>
      <c r="U3792" s="61" t="str">
        <f t="shared" ref="U3792:U3855" si="609">IF(O3792="PAGADO","",IFERROR(-IF(C3792=0,"",$A$3-N3792),""))</f>
        <v/>
      </c>
    </row>
    <row r="3793" spans="9:21" ht="24.75" customHeight="1" x14ac:dyDescent="0.35">
      <c r="I3793" s="42">
        <f t="shared" si="600"/>
        <v>0</v>
      </c>
      <c r="J3793" s="65" t="e">
        <f t="shared" si="601"/>
        <v>#NUM!</v>
      </c>
      <c r="K3793" s="83" t="e">
        <f t="shared" si="602"/>
        <v>#NUM!</v>
      </c>
      <c r="L3793" s="83">
        <f t="shared" si="603"/>
        <v>0</v>
      </c>
      <c r="M3793" s="110" t="str">
        <f t="shared" si="604"/>
        <v/>
      </c>
      <c r="N3793" s="51" t="str">
        <f t="shared" si="605"/>
        <v/>
      </c>
      <c r="O3793" s="52" t="str">
        <f t="shared" si="606"/>
        <v/>
      </c>
      <c r="P3793" s="88">
        <f t="shared" si="607"/>
        <v>0</v>
      </c>
      <c r="Q3793" s="88">
        <f t="shared" si="608"/>
        <v>0</v>
      </c>
      <c r="R3793" s="88" t="e">
        <f>-IF(Tabla14[[#This Row],[DIAS HABILES O MORA]]&lt;0,(Tabla14[[#This Row],[VALOR PRESTAMO]]*Tabla14[[#This Row],[% INTERES ]]/30*U3793))+Tabla14[[#This Row],[VALOR CUOTAS]]</f>
        <v>#VALUE!</v>
      </c>
      <c r="S3793" s="88">
        <f>-IF(Tabla14[[#This Row],[DIAS HABILES O MORA]]&lt;0,(Tabla14[[#This Row],[VALOR PRESTAMO]]*Tabla14[[#This Row],[% INTERES ]]/30*U3793))</f>
        <v>0</v>
      </c>
      <c r="T3793" s="53" t="e">
        <f>Tabla14[[#This Row],[DEUDA CAPITAL]]+Tabla14[[#This Row],[INTERES  CUOTA]]</f>
        <v>#NUM!</v>
      </c>
      <c r="U3793" s="61" t="str">
        <f t="shared" si="609"/>
        <v/>
      </c>
    </row>
    <row r="3794" spans="9:21" ht="24.75" customHeight="1" x14ac:dyDescent="0.35">
      <c r="I3794" s="42">
        <f t="shared" si="600"/>
        <v>0</v>
      </c>
      <c r="J3794" s="65" t="e">
        <f t="shared" si="601"/>
        <v>#NUM!</v>
      </c>
      <c r="K3794" s="83" t="e">
        <f t="shared" si="602"/>
        <v>#NUM!</v>
      </c>
      <c r="L3794" s="83">
        <f t="shared" si="603"/>
        <v>0</v>
      </c>
      <c r="M3794" s="110" t="str">
        <f t="shared" si="604"/>
        <v/>
      </c>
      <c r="N3794" s="51" t="str">
        <f t="shared" si="605"/>
        <v/>
      </c>
      <c r="O3794" s="52" t="str">
        <f t="shared" si="606"/>
        <v/>
      </c>
      <c r="P3794" s="88">
        <f t="shared" si="607"/>
        <v>0</v>
      </c>
      <c r="Q3794" s="88">
        <f t="shared" si="608"/>
        <v>0</v>
      </c>
      <c r="R3794" s="88" t="e">
        <f>-IF(Tabla14[[#This Row],[DIAS HABILES O MORA]]&lt;0,(Tabla14[[#This Row],[VALOR PRESTAMO]]*Tabla14[[#This Row],[% INTERES ]]/30*U3794))+Tabla14[[#This Row],[VALOR CUOTAS]]</f>
        <v>#VALUE!</v>
      </c>
      <c r="S3794" s="88">
        <f>-IF(Tabla14[[#This Row],[DIAS HABILES O MORA]]&lt;0,(Tabla14[[#This Row],[VALOR PRESTAMO]]*Tabla14[[#This Row],[% INTERES ]]/30*U3794))</f>
        <v>0</v>
      </c>
      <c r="T3794" s="53" t="e">
        <f>Tabla14[[#This Row],[DEUDA CAPITAL]]+Tabla14[[#This Row],[INTERES  CUOTA]]</f>
        <v>#NUM!</v>
      </c>
      <c r="U3794" s="61" t="str">
        <f t="shared" si="609"/>
        <v/>
      </c>
    </row>
    <row r="3795" spans="9:21" ht="24.75" customHeight="1" x14ac:dyDescent="0.35">
      <c r="I3795" s="42">
        <f t="shared" si="600"/>
        <v>0</v>
      </c>
      <c r="J3795" s="65" t="e">
        <f t="shared" si="601"/>
        <v>#NUM!</v>
      </c>
      <c r="K3795" s="83" t="e">
        <f t="shared" si="602"/>
        <v>#NUM!</v>
      </c>
      <c r="L3795" s="83">
        <f t="shared" si="603"/>
        <v>0</v>
      </c>
      <c r="M3795" s="110" t="str">
        <f t="shared" si="604"/>
        <v/>
      </c>
      <c r="N3795" s="51" t="str">
        <f t="shared" si="605"/>
        <v/>
      </c>
      <c r="O3795" s="52" t="str">
        <f t="shared" si="606"/>
        <v/>
      </c>
      <c r="P3795" s="88">
        <f t="shared" si="607"/>
        <v>0</v>
      </c>
      <c r="Q3795" s="88">
        <f t="shared" si="608"/>
        <v>0</v>
      </c>
      <c r="R3795" s="88" t="e">
        <f>-IF(Tabla14[[#This Row],[DIAS HABILES O MORA]]&lt;0,(Tabla14[[#This Row],[VALOR PRESTAMO]]*Tabla14[[#This Row],[% INTERES ]]/30*U3795))+Tabla14[[#This Row],[VALOR CUOTAS]]</f>
        <v>#VALUE!</v>
      </c>
      <c r="S3795" s="88">
        <f>-IF(Tabla14[[#This Row],[DIAS HABILES O MORA]]&lt;0,(Tabla14[[#This Row],[VALOR PRESTAMO]]*Tabla14[[#This Row],[% INTERES ]]/30*U3795))</f>
        <v>0</v>
      </c>
      <c r="T3795" s="53" t="e">
        <f>Tabla14[[#This Row],[DEUDA CAPITAL]]+Tabla14[[#This Row],[INTERES  CUOTA]]</f>
        <v>#NUM!</v>
      </c>
      <c r="U3795" s="61" t="str">
        <f t="shared" si="609"/>
        <v/>
      </c>
    </row>
    <row r="3796" spans="9:21" ht="24.75" customHeight="1" x14ac:dyDescent="0.35">
      <c r="I3796" s="42">
        <f t="shared" si="600"/>
        <v>0</v>
      </c>
      <c r="J3796" s="65" t="e">
        <f t="shared" si="601"/>
        <v>#NUM!</v>
      </c>
      <c r="K3796" s="83" t="e">
        <f t="shared" si="602"/>
        <v>#NUM!</v>
      </c>
      <c r="L3796" s="83">
        <f t="shared" si="603"/>
        <v>0</v>
      </c>
      <c r="M3796" s="110" t="str">
        <f t="shared" si="604"/>
        <v/>
      </c>
      <c r="N3796" s="51" t="str">
        <f t="shared" si="605"/>
        <v/>
      </c>
      <c r="O3796" s="52" t="str">
        <f t="shared" si="606"/>
        <v/>
      </c>
      <c r="P3796" s="88">
        <f t="shared" si="607"/>
        <v>0</v>
      </c>
      <c r="Q3796" s="88">
        <f t="shared" si="608"/>
        <v>0</v>
      </c>
      <c r="R3796" s="88" t="e">
        <f>-IF(Tabla14[[#This Row],[DIAS HABILES O MORA]]&lt;0,(Tabla14[[#This Row],[VALOR PRESTAMO]]*Tabla14[[#This Row],[% INTERES ]]/30*U3796))+Tabla14[[#This Row],[VALOR CUOTAS]]</f>
        <v>#VALUE!</v>
      </c>
      <c r="S3796" s="88">
        <f>-IF(Tabla14[[#This Row],[DIAS HABILES O MORA]]&lt;0,(Tabla14[[#This Row],[VALOR PRESTAMO]]*Tabla14[[#This Row],[% INTERES ]]/30*U3796))</f>
        <v>0</v>
      </c>
      <c r="T3796" s="53" t="e">
        <f>Tabla14[[#This Row],[DEUDA CAPITAL]]+Tabla14[[#This Row],[INTERES  CUOTA]]</f>
        <v>#NUM!</v>
      </c>
      <c r="U3796" s="61" t="str">
        <f t="shared" si="609"/>
        <v/>
      </c>
    </row>
    <row r="3797" spans="9:21" ht="24.75" customHeight="1" x14ac:dyDescent="0.35">
      <c r="I3797" s="42">
        <f t="shared" si="600"/>
        <v>0</v>
      </c>
      <c r="J3797" s="65" t="e">
        <f t="shared" si="601"/>
        <v>#NUM!</v>
      </c>
      <c r="K3797" s="83" t="e">
        <f t="shared" si="602"/>
        <v>#NUM!</v>
      </c>
      <c r="L3797" s="83">
        <f t="shared" si="603"/>
        <v>0</v>
      </c>
      <c r="M3797" s="110" t="str">
        <f t="shared" si="604"/>
        <v/>
      </c>
      <c r="N3797" s="51" t="str">
        <f t="shared" si="605"/>
        <v/>
      </c>
      <c r="O3797" s="52" t="str">
        <f t="shared" si="606"/>
        <v/>
      </c>
      <c r="P3797" s="88">
        <f t="shared" si="607"/>
        <v>0</v>
      </c>
      <c r="Q3797" s="88">
        <f t="shared" si="608"/>
        <v>0</v>
      </c>
      <c r="R3797" s="88" t="e">
        <f>-IF(Tabla14[[#This Row],[DIAS HABILES O MORA]]&lt;0,(Tabla14[[#This Row],[VALOR PRESTAMO]]*Tabla14[[#This Row],[% INTERES ]]/30*U3797))+Tabla14[[#This Row],[VALOR CUOTAS]]</f>
        <v>#VALUE!</v>
      </c>
      <c r="S3797" s="88">
        <f>-IF(Tabla14[[#This Row],[DIAS HABILES O MORA]]&lt;0,(Tabla14[[#This Row],[VALOR PRESTAMO]]*Tabla14[[#This Row],[% INTERES ]]/30*U3797))</f>
        <v>0</v>
      </c>
      <c r="T3797" s="53" t="e">
        <f>Tabla14[[#This Row],[DEUDA CAPITAL]]+Tabla14[[#This Row],[INTERES  CUOTA]]</f>
        <v>#NUM!</v>
      </c>
      <c r="U3797" s="61" t="str">
        <f t="shared" si="609"/>
        <v/>
      </c>
    </row>
    <row r="3798" spans="9:21" ht="24.75" customHeight="1" x14ac:dyDescent="0.35">
      <c r="I3798" s="42">
        <f t="shared" si="600"/>
        <v>0</v>
      </c>
      <c r="J3798" s="65" t="e">
        <f t="shared" si="601"/>
        <v>#NUM!</v>
      </c>
      <c r="K3798" s="83" t="e">
        <f t="shared" si="602"/>
        <v>#NUM!</v>
      </c>
      <c r="L3798" s="83">
        <f t="shared" si="603"/>
        <v>0</v>
      </c>
      <c r="M3798" s="110" t="str">
        <f t="shared" si="604"/>
        <v/>
      </c>
      <c r="N3798" s="51" t="str">
        <f t="shared" si="605"/>
        <v/>
      </c>
      <c r="O3798" s="52" t="str">
        <f t="shared" si="606"/>
        <v/>
      </c>
      <c r="P3798" s="88">
        <f t="shared" si="607"/>
        <v>0</v>
      </c>
      <c r="Q3798" s="88">
        <f t="shared" si="608"/>
        <v>0</v>
      </c>
      <c r="R3798" s="88" t="e">
        <f>-IF(Tabla14[[#This Row],[DIAS HABILES O MORA]]&lt;0,(Tabla14[[#This Row],[VALOR PRESTAMO]]*Tabla14[[#This Row],[% INTERES ]]/30*U3798))+Tabla14[[#This Row],[VALOR CUOTAS]]</f>
        <v>#VALUE!</v>
      </c>
      <c r="S3798" s="88">
        <f>-IF(Tabla14[[#This Row],[DIAS HABILES O MORA]]&lt;0,(Tabla14[[#This Row],[VALOR PRESTAMO]]*Tabla14[[#This Row],[% INTERES ]]/30*U3798))</f>
        <v>0</v>
      </c>
      <c r="T3798" s="53" t="e">
        <f>Tabla14[[#This Row],[DEUDA CAPITAL]]+Tabla14[[#This Row],[INTERES  CUOTA]]</f>
        <v>#NUM!</v>
      </c>
      <c r="U3798" s="61" t="str">
        <f t="shared" si="609"/>
        <v/>
      </c>
    </row>
    <row r="3799" spans="9:21" ht="24.75" customHeight="1" x14ac:dyDescent="0.35">
      <c r="I3799" s="42">
        <f t="shared" si="600"/>
        <v>0</v>
      </c>
      <c r="J3799" s="65" t="e">
        <f t="shared" si="601"/>
        <v>#NUM!</v>
      </c>
      <c r="K3799" s="83" t="e">
        <f t="shared" si="602"/>
        <v>#NUM!</v>
      </c>
      <c r="L3799" s="83">
        <f t="shared" si="603"/>
        <v>0</v>
      </c>
      <c r="M3799" s="110" t="str">
        <f t="shared" si="604"/>
        <v/>
      </c>
      <c r="N3799" s="51" t="str">
        <f t="shared" si="605"/>
        <v/>
      </c>
      <c r="O3799" s="52" t="str">
        <f t="shared" si="606"/>
        <v/>
      </c>
      <c r="P3799" s="88">
        <f t="shared" si="607"/>
        <v>0</v>
      </c>
      <c r="Q3799" s="88">
        <f t="shared" si="608"/>
        <v>0</v>
      </c>
      <c r="R3799" s="88" t="e">
        <f>-IF(Tabla14[[#This Row],[DIAS HABILES O MORA]]&lt;0,(Tabla14[[#This Row],[VALOR PRESTAMO]]*Tabla14[[#This Row],[% INTERES ]]/30*U3799))+Tabla14[[#This Row],[VALOR CUOTAS]]</f>
        <v>#VALUE!</v>
      </c>
      <c r="S3799" s="88">
        <f>-IF(Tabla14[[#This Row],[DIAS HABILES O MORA]]&lt;0,(Tabla14[[#This Row],[VALOR PRESTAMO]]*Tabla14[[#This Row],[% INTERES ]]/30*U3799))</f>
        <v>0</v>
      </c>
      <c r="T3799" s="53" t="e">
        <f>Tabla14[[#This Row],[DEUDA CAPITAL]]+Tabla14[[#This Row],[INTERES  CUOTA]]</f>
        <v>#NUM!</v>
      </c>
      <c r="U3799" s="61" t="str">
        <f t="shared" si="609"/>
        <v/>
      </c>
    </row>
    <row r="3800" spans="9:21" ht="24.75" customHeight="1" x14ac:dyDescent="0.35">
      <c r="I3800" s="42">
        <f t="shared" si="600"/>
        <v>0</v>
      </c>
      <c r="J3800" s="65" t="e">
        <f t="shared" si="601"/>
        <v>#NUM!</v>
      </c>
      <c r="K3800" s="83" t="e">
        <f t="shared" si="602"/>
        <v>#NUM!</v>
      </c>
      <c r="L3800" s="83">
        <f t="shared" si="603"/>
        <v>0</v>
      </c>
      <c r="M3800" s="110" t="str">
        <f t="shared" si="604"/>
        <v/>
      </c>
      <c r="N3800" s="51" t="str">
        <f t="shared" si="605"/>
        <v/>
      </c>
      <c r="O3800" s="52" t="str">
        <f t="shared" si="606"/>
        <v/>
      </c>
      <c r="P3800" s="88">
        <f t="shared" si="607"/>
        <v>0</v>
      </c>
      <c r="Q3800" s="88">
        <f t="shared" si="608"/>
        <v>0</v>
      </c>
      <c r="R3800" s="88" t="e">
        <f>-IF(Tabla14[[#This Row],[DIAS HABILES O MORA]]&lt;0,(Tabla14[[#This Row],[VALOR PRESTAMO]]*Tabla14[[#This Row],[% INTERES ]]/30*U3800))+Tabla14[[#This Row],[VALOR CUOTAS]]</f>
        <v>#VALUE!</v>
      </c>
      <c r="S3800" s="88">
        <f>-IF(Tabla14[[#This Row],[DIAS HABILES O MORA]]&lt;0,(Tabla14[[#This Row],[VALOR PRESTAMO]]*Tabla14[[#This Row],[% INTERES ]]/30*U3800))</f>
        <v>0</v>
      </c>
      <c r="T3800" s="53" t="e">
        <f>Tabla14[[#This Row],[DEUDA CAPITAL]]+Tabla14[[#This Row],[INTERES  CUOTA]]</f>
        <v>#NUM!</v>
      </c>
      <c r="U3800" s="61" t="str">
        <f t="shared" si="609"/>
        <v/>
      </c>
    </row>
    <row r="3801" spans="9:21" ht="24.75" customHeight="1" x14ac:dyDescent="0.35">
      <c r="I3801" s="42">
        <f t="shared" si="600"/>
        <v>0</v>
      </c>
      <c r="J3801" s="65" t="e">
        <f t="shared" si="601"/>
        <v>#NUM!</v>
      </c>
      <c r="K3801" s="83" t="e">
        <f t="shared" si="602"/>
        <v>#NUM!</v>
      </c>
      <c r="L3801" s="83">
        <f t="shared" si="603"/>
        <v>0</v>
      </c>
      <c r="M3801" s="110" t="str">
        <f t="shared" si="604"/>
        <v/>
      </c>
      <c r="N3801" s="51" t="str">
        <f t="shared" si="605"/>
        <v/>
      </c>
      <c r="O3801" s="52" t="str">
        <f t="shared" si="606"/>
        <v/>
      </c>
      <c r="P3801" s="88">
        <f t="shared" si="607"/>
        <v>0</v>
      </c>
      <c r="Q3801" s="88">
        <f t="shared" si="608"/>
        <v>0</v>
      </c>
      <c r="R3801" s="88" t="e">
        <f>-IF(Tabla14[[#This Row],[DIAS HABILES O MORA]]&lt;0,(Tabla14[[#This Row],[VALOR PRESTAMO]]*Tabla14[[#This Row],[% INTERES ]]/30*U3801))+Tabla14[[#This Row],[VALOR CUOTAS]]</f>
        <v>#VALUE!</v>
      </c>
      <c r="S3801" s="88">
        <f>-IF(Tabla14[[#This Row],[DIAS HABILES O MORA]]&lt;0,(Tabla14[[#This Row],[VALOR PRESTAMO]]*Tabla14[[#This Row],[% INTERES ]]/30*U3801))</f>
        <v>0</v>
      </c>
      <c r="T3801" s="53" t="e">
        <f>Tabla14[[#This Row],[DEUDA CAPITAL]]+Tabla14[[#This Row],[INTERES  CUOTA]]</f>
        <v>#NUM!</v>
      </c>
      <c r="U3801" s="61" t="str">
        <f t="shared" si="609"/>
        <v/>
      </c>
    </row>
    <row r="3802" spans="9:21" ht="24.75" customHeight="1" x14ac:dyDescent="0.35">
      <c r="I3802" s="42">
        <f t="shared" si="600"/>
        <v>0</v>
      </c>
      <c r="J3802" s="65" t="e">
        <f t="shared" si="601"/>
        <v>#NUM!</v>
      </c>
      <c r="K3802" s="83" t="e">
        <f t="shared" si="602"/>
        <v>#NUM!</v>
      </c>
      <c r="L3802" s="83">
        <f t="shared" si="603"/>
        <v>0</v>
      </c>
      <c r="M3802" s="110" t="str">
        <f t="shared" si="604"/>
        <v/>
      </c>
      <c r="N3802" s="51" t="str">
        <f t="shared" si="605"/>
        <v/>
      </c>
      <c r="O3802" s="52" t="str">
        <f t="shared" si="606"/>
        <v/>
      </c>
      <c r="P3802" s="88">
        <f t="shared" si="607"/>
        <v>0</v>
      </c>
      <c r="Q3802" s="88">
        <f t="shared" si="608"/>
        <v>0</v>
      </c>
      <c r="R3802" s="88" t="e">
        <f>-IF(Tabla14[[#This Row],[DIAS HABILES O MORA]]&lt;0,(Tabla14[[#This Row],[VALOR PRESTAMO]]*Tabla14[[#This Row],[% INTERES ]]/30*U3802))+Tabla14[[#This Row],[VALOR CUOTAS]]</f>
        <v>#VALUE!</v>
      </c>
      <c r="S3802" s="88">
        <f>-IF(Tabla14[[#This Row],[DIAS HABILES O MORA]]&lt;0,(Tabla14[[#This Row],[VALOR PRESTAMO]]*Tabla14[[#This Row],[% INTERES ]]/30*U3802))</f>
        <v>0</v>
      </c>
      <c r="T3802" s="53" t="e">
        <f>Tabla14[[#This Row],[DEUDA CAPITAL]]+Tabla14[[#This Row],[INTERES  CUOTA]]</f>
        <v>#NUM!</v>
      </c>
      <c r="U3802" s="61" t="str">
        <f t="shared" si="609"/>
        <v/>
      </c>
    </row>
    <row r="3803" spans="9:21" ht="24.75" customHeight="1" x14ac:dyDescent="0.35">
      <c r="I3803" s="42">
        <f t="shared" si="600"/>
        <v>0</v>
      </c>
      <c r="J3803" s="65" t="e">
        <f t="shared" si="601"/>
        <v>#NUM!</v>
      </c>
      <c r="K3803" s="83" t="e">
        <f t="shared" si="602"/>
        <v>#NUM!</v>
      </c>
      <c r="L3803" s="83">
        <f t="shared" si="603"/>
        <v>0</v>
      </c>
      <c r="M3803" s="110" t="str">
        <f t="shared" si="604"/>
        <v/>
      </c>
      <c r="N3803" s="51" t="str">
        <f t="shared" si="605"/>
        <v/>
      </c>
      <c r="O3803" s="52" t="str">
        <f t="shared" si="606"/>
        <v/>
      </c>
      <c r="P3803" s="88">
        <f t="shared" si="607"/>
        <v>0</v>
      </c>
      <c r="Q3803" s="88">
        <f t="shared" si="608"/>
        <v>0</v>
      </c>
      <c r="R3803" s="88" t="e">
        <f>-IF(Tabla14[[#This Row],[DIAS HABILES O MORA]]&lt;0,(Tabla14[[#This Row],[VALOR PRESTAMO]]*Tabla14[[#This Row],[% INTERES ]]/30*U3803))+Tabla14[[#This Row],[VALOR CUOTAS]]</f>
        <v>#VALUE!</v>
      </c>
      <c r="S3803" s="88">
        <f>-IF(Tabla14[[#This Row],[DIAS HABILES O MORA]]&lt;0,(Tabla14[[#This Row],[VALOR PRESTAMO]]*Tabla14[[#This Row],[% INTERES ]]/30*U3803))</f>
        <v>0</v>
      </c>
      <c r="T3803" s="53" t="e">
        <f>Tabla14[[#This Row],[DEUDA CAPITAL]]+Tabla14[[#This Row],[INTERES  CUOTA]]</f>
        <v>#NUM!</v>
      </c>
      <c r="U3803" s="61" t="str">
        <f t="shared" si="609"/>
        <v/>
      </c>
    </row>
    <row r="3804" spans="9:21" ht="24.75" customHeight="1" x14ac:dyDescent="0.35">
      <c r="I3804" s="42">
        <f t="shared" si="600"/>
        <v>0</v>
      </c>
      <c r="J3804" s="65" t="e">
        <f t="shared" si="601"/>
        <v>#NUM!</v>
      </c>
      <c r="K3804" s="83" t="e">
        <f t="shared" si="602"/>
        <v>#NUM!</v>
      </c>
      <c r="L3804" s="83">
        <f t="shared" si="603"/>
        <v>0</v>
      </c>
      <c r="M3804" s="110" t="str">
        <f t="shared" si="604"/>
        <v/>
      </c>
      <c r="N3804" s="51" t="str">
        <f t="shared" si="605"/>
        <v/>
      </c>
      <c r="O3804" s="52" t="str">
        <f t="shared" si="606"/>
        <v/>
      </c>
      <c r="P3804" s="88">
        <f t="shared" si="607"/>
        <v>0</v>
      </c>
      <c r="Q3804" s="88">
        <f t="shared" si="608"/>
        <v>0</v>
      </c>
      <c r="R3804" s="88" t="e">
        <f>-IF(Tabla14[[#This Row],[DIAS HABILES O MORA]]&lt;0,(Tabla14[[#This Row],[VALOR PRESTAMO]]*Tabla14[[#This Row],[% INTERES ]]/30*U3804))+Tabla14[[#This Row],[VALOR CUOTAS]]</f>
        <v>#VALUE!</v>
      </c>
      <c r="S3804" s="88">
        <f>-IF(Tabla14[[#This Row],[DIAS HABILES O MORA]]&lt;0,(Tabla14[[#This Row],[VALOR PRESTAMO]]*Tabla14[[#This Row],[% INTERES ]]/30*U3804))</f>
        <v>0</v>
      </c>
      <c r="T3804" s="53" t="e">
        <f>Tabla14[[#This Row],[DEUDA CAPITAL]]+Tabla14[[#This Row],[INTERES  CUOTA]]</f>
        <v>#NUM!</v>
      </c>
      <c r="U3804" s="61" t="str">
        <f t="shared" si="609"/>
        <v/>
      </c>
    </row>
    <row r="3805" spans="9:21" ht="24.75" customHeight="1" x14ac:dyDescent="0.35">
      <c r="I3805" s="42">
        <f t="shared" si="600"/>
        <v>0</v>
      </c>
      <c r="J3805" s="65" t="e">
        <f t="shared" si="601"/>
        <v>#NUM!</v>
      </c>
      <c r="K3805" s="83" t="e">
        <f t="shared" si="602"/>
        <v>#NUM!</v>
      </c>
      <c r="L3805" s="83">
        <f t="shared" si="603"/>
        <v>0</v>
      </c>
      <c r="M3805" s="110" t="str">
        <f t="shared" si="604"/>
        <v/>
      </c>
      <c r="N3805" s="51" t="str">
        <f t="shared" si="605"/>
        <v/>
      </c>
      <c r="O3805" s="52" t="str">
        <f t="shared" si="606"/>
        <v/>
      </c>
      <c r="P3805" s="88">
        <f t="shared" si="607"/>
        <v>0</v>
      </c>
      <c r="Q3805" s="88">
        <f t="shared" si="608"/>
        <v>0</v>
      </c>
      <c r="R3805" s="88" t="e">
        <f>-IF(Tabla14[[#This Row],[DIAS HABILES O MORA]]&lt;0,(Tabla14[[#This Row],[VALOR PRESTAMO]]*Tabla14[[#This Row],[% INTERES ]]/30*U3805))+Tabla14[[#This Row],[VALOR CUOTAS]]</f>
        <v>#VALUE!</v>
      </c>
      <c r="S3805" s="88">
        <f>-IF(Tabla14[[#This Row],[DIAS HABILES O MORA]]&lt;0,(Tabla14[[#This Row],[VALOR PRESTAMO]]*Tabla14[[#This Row],[% INTERES ]]/30*U3805))</f>
        <v>0</v>
      </c>
      <c r="T3805" s="53" t="e">
        <f>Tabla14[[#This Row],[DEUDA CAPITAL]]+Tabla14[[#This Row],[INTERES  CUOTA]]</f>
        <v>#NUM!</v>
      </c>
      <c r="U3805" s="61" t="str">
        <f t="shared" si="609"/>
        <v/>
      </c>
    </row>
    <row r="3806" spans="9:21" ht="24.75" customHeight="1" x14ac:dyDescent="0.35">
      <c r="I3806" s="42">
        <f t="shared" si="600"/>
        <v>0</v>
      </c>
      <c r="J3806" s="65" t="e">
        <f t="shared" si="601"/>
        <v>#NUM!</v>
      </c>
      <c r="K3806" s="83" t="e">
        <f t="shared" si="602"/>
        <v>#NUM!</v>
      </c>
      <c r="L3806" s="83">
        <f t="shared" si="603"/>
        <v>0</v>
      </c>
      <c r="M3806" s="110" t="str">
        <f t="shared" si="604"/>
        <v/>
      </c>
      <c r="N3806" s="51" t="str">
        <f t="shared" si="605"/>
        <v/>
      </c>
      <c r="O3806" s="52" t="str">
        <f t="shared" si="606"/>
        <v/>
      </c>
      <c r="P3806" s="88">
        <f t="shared" si="607"/>
        <v>0</v>
      </c>
      <c r="Q3806" s="88">
        <f t="shared" si="608"/>
        <v>0</v>
      </c>
      <c r="R3806" s="88" t="e">
        <f>-IF(Tabla14[[#This Row],[DIAS HABILES O MORA]]&lt;0,(Tabla14[[#This Row],[VALOR PRESTAMO]]*Tabla14[[#This Row],[% INTERES ]]/30*U3806))+Tabla14[[#This Row],[VALOR CUOTAS]]</f>
        <v>#VALUE!</v>
      </c>
      <c r="S3806" s="88">
        <f>-IF(Tabla14[[#This Row],[DIAS HABILES O MORA]]&lt;0,(Tabla14[[#This Row],[VALOR PRESTAMO]]*Tabla14[[#This Row],[% INTERES ]]/30*U3806))</f>
        <v>0</v>
      </c>
      <c r="T3806" s="53" t="e">
        <f>Tabla14[[#This Row],[DEUDA CAPITAL]]+Tabla14[[#This Row],[INTERES  CUOTA]]</f>
        <v>#NUM!</v>
      </c>
      <c r="U3806" s="61" t="str">
        <f t="shared" si="609"/>
        <v/>
      </c>
    </row>
    <row r="3807" spans="9:21" ht="24.75" customHeight="1" x14ac:dyDescent="0.35">
      <c r="I3807" s="42">
        <f t="shared" si="600"/>
        <v>0</v>
      </c>
      <c r="J3807" s="65" t="e">
        <f t="shared" si="601"/>
        <v>#NUM!</v>
      </c>
      <c r="K3807" s="83" t="e">
        <f t="shared" si="602"/>
        <v>#NUM!</v>
      </c>
      <c r="L3807" s="83">
        <f t="shared" si="603"/>
        <v>0</v>
      </c>
      <c r="M3807" s="110" t="str">
        <f t="shared" si="604"/>
        <v/>
      </c>
      <c r="N3807" s="51" t="str">
        <f t="shared" si="605"/>
        <v/>
      </c>
      <c r="O3807" s="52" t="str">
        <f t="shared" si="606"/>
        <v/>
      </c>
      <c r="P3807" s="88">
        <f t="shared" si="607"/>
        <v>0</v>
      </c>
      <c r="Q3807" s="88">
        <f t="shared" si="608"/>
        <v>0</v>
      </c>
      <c r="R3807" s="88" t="e">
        <f>-IF(Tabla14[[#This Row],[DIAS HABILES O MORA]]&lt;0,(Tabla14[[#This Row],[VALOR PRESTAMO]]*Tabla14[[#This Row],[% INTERES ]]/30*U3807))+Tabla14[[#This Row],[VALOR CUOTAS]]</f>
        <v>#VALUE!</v>
      </c>
      <c r="S3807" s="88">
        <f>-IF(Tabla14[[#This Row],[DIAS HABILES O MORA]]&lt;0,(Tabla14[[#This Row],[VALOR PRESTAMO]]*Tabla14[[#This Row],[% INTERES ]]/30*U3807))</f>
        <v>0</v>
      </c>
      <c r="T3807" s="53" t="e">
        <f>Tabla14[[#This Row],[DEUDA CAPITAL]]+Tabla14[[#This Row],[INTERES  CUOTA]]</f>
        <v>#NUM!</v>
      </c>
      <c r="U3807" s="61" t="str">
        <f t="shared" si="609"/>
        <v/>
      </c>
    </row>
    <row r="3808" spans="9:21" ht="24.75" customHeight="1" x14ac:dyDescent="0.35">
      <c r="I3808" s="42">
        <f t="shared" si="600"/>
        <v>0</v>
      </c>
      <c r="J3808" s="65" t="e">
        <f t="shared" si="601"/>
        <v>#NUM!</v>
      </c>
      <c r="K3808" s="83" t="e">
        <f t="shared" si="602"/>
        <v>#NUM!</v>
      </c>
      <c r="L3808" s="83">
        <f t="shared" si="603"/>
        <v>0</v>
      </c>
      <c r="M3808" s="110" t="str">
        <f t="shared" si="604"/>
        <v/>
      </c>
      <c r="N3808" s="51" t="str">
        <f t="shared" si="605"/>
        <v/>
      </c>
      <c r="O3808" s="52" t="str">
        <f t="shared" si="606"/>
        <v/>
      </c>
      <c r="P3808" s="88">
        <f t="shared" si="607"/>
        <v>0</v>
      </c>
      <c r="Q3808" s="88">
        <f t="shared" si="608"/>
        <v>0</v>
      </c>
      <c r="R3808" s="88" t="e">
        <f>-IF(Tabla14[[#This Row],[DIAS HABILES O MORA]]&lt;0,(Tabla14[[#This Row],[VALOR PRESTAMO]]*Tabla14[[#This Row],[% INTERES ]]/30*U3808))+Tabla14[[#This Row],[VALOR CUOTAS]]</f>
        <v>#VALUE!</v>
      </c>
      <c r="S3808" s="88">
        <f>-IF(Tabla14[[#This Row],[DIAS HABILES O MORA]]&lt;0,(Tabla14[[#This Row],[VALOR PRESTAMO]]*Tabla14[[#This Row],[% INTERES ]]/30*U3808))</f>
        <v>0</v>
      </c>
      <c r="T3808" s="53" t="e">
        <f>Tabla14[[#This Row],[DEUDA CAPITAL]]+Tabla14[[#This Row],[INTERES  CUOTA]]</f>
        <v>#NUM!</v>
      </c>
      <c r="U3808" s="61" t="str">
        <f t="shared" si="609"/>
        <v/>
      </c>
    </row>
    <row r="3809" spans="9:21" ht="24.75" customHeight="1" x14ac:dyDescent="0.35">
      <c r="I3809" s="42">
        <f t="shared" si="600"/>
        <v>0</v>
      </c>
      <c r="J3809" s="65" t="e">
        <f t="shared" si="601"/>
        <v>#NUM!</v>
      </c>
      <c r="K3809" s="83" t="e">
        <f t="shared" si="602"/>
        <v>#NUM!</v>
      </c>
      <c r="L3809" s="83">
        <f t="shared" si="603"/>
        <v>0</v>
      </c>
      <c r="M3809" s="110" t="str">
        <f t="shared" si="604"/>
        <v/>
      </c>
      <c r="N3809" s="51" t="str">
        <f t="shared" si="605"/>
        <v/>
      </c>
      <c r="O3809" s="52" t="str">
        <f t="shared" si="606"/>
        <v/>
      </c>
      <c r="P3809" s="88">
        <f t="shared" si="607"/>
        <v>0</v>
      </c>
      <c r="Q3809" s="88">
        <f t="shared" si="608"/>
        <v>0</v>
      </c>
      <c r="R3809" s="88" t="e">
        <f>-IF(Tabla14[[#This Row],[DIAS HABILES O MORA]]&lt;0,(Tabla14[[#This Row],[VALOR PRESTAMO]]*Tabla14[[#This Row],[% INTERES ]]/30*U3809))+Tabla14[[#This Row],[VALOR CUOTAS]]</f>
        <v>#VALUE!</v>
      </c>
      <c r="S3809" s="88">
        <f>-IF(Tabla14[[#This Row],[DIAS HABILES O MORA]]&lt;0,(Tabla14[[#This Row],[VALOR PRESTAMO]]*Tabla14[[#This Row],[% INTERES ]]/30*U3809))</f>
        <v>0</v>
      </c>
      <c r="T3809" s="53" t="e">
        <f>Tabla14[[#This Row],[DEUDA CAPITAL]]+Tabla14[[#This Row],[INTERES  CUOTA]]</f>
        <v>#NUM!</v>
      </c>
      <c r="U3809" s="61" t="str">
        <f t="shared" si="609"/>
        <v/>
      </c>
    </row>
    <row r="3810" spans="9:21" ht="24.75" customHeight="1" x14ac:dyDescent="0.35">
      <c r="I3810" s="42">
        <f t="shared" si="600"/>
        <v>0</v>
      </c>
      <c r="J3810" s="65" t="e">
        <f t="shared" si="601"/>
        <v>#NUM!</v>
      </c>
      <c r="K3810" s="83" t="e">
        <f t="shared" si="602"/>
        <v>#NUM!</v>
      </c>
      <c r="L3810" s="83">
        <f t="shared" si="603"/>
        <v>0</v>
      </c>
      <c r="M3810" s="110" t="str">
        <f t="shared" si="604"/>
        <v/>
      </c>
      <c r="N3810" s="51" t="str">
        <f t="shared" si="605"/>
        <v/>
      </c>
      <c r="O3810" s="52" t="str">
        <f t="shared" si="606"/>
        <v/>
      </c>
      <c r="P3810" s="88">
        <f t="shared" si="607"/>
        <v>0</v>
      </c>
      <c r="Q3810" s="88">
        <f t="shared" si="608"/>
        <v>0</v>
      </c>
      <c r="R3810" s="88" t="e">
        <f>-IF(Tabla14[[#This Row],[DIAS HABILES O MORA]]&lt;0,(Tabla14[[#This Row],[VALOR PRESTAMO]]*Tabla14[[#This Row],[% INTERES ]]/30*U3810))+Tabla14[[#This Row],[VALOR CUOTAS]]</f>
        <v>#VALUE!</v>
      </c>
      <c r="S3810" s="88">
        <f>-IF(Tabla14[[#This Row],[DIAS HABILES O MORA]]&lt;0,(Tabla14[[#This Row],[VALOR PRESTAMO]]*Tabla14[[#This Row],[% INTERES ]]/30*U3810))</f>
        <v>0</v>
      </c>
      <c r="T3810" s="53" t="e">
        <f>Tabla14[[#This Row],[DEUDA CAPITAL]]+Tabla14[[#This Row],[INTERES  CUOTA]]</f>
        <v>#NUM!</v>
      </c>
      <c r="U3810" s="61" t="str">
        <f t="shared" si="609"/>
        <v/>
      </c>
    </row>
    <row r="3811" spans="9:21" ht="24.75" customHeight="1" x14ac:dyDescent="0.35">
      <c r="I3811" s="42">
        <f t="shared" si="600"/>
        <v>0</v>
      </c>
      <c r="J3811" s="65" t="e">
        <f t="shared" si="601"/>
        <v>#NUM!</v>
      </c>
      <c r="K3811" s="83" t="e">
        <f t="shared" si="602"/>
        <v>#NUM!</v>
      </c>
      <c r="L3811" s="83">
        <f t="shared" si="603"/>
        <v>0</v>
      </c>
      <c r="M3811" s="110" t="str">
        <f t="shared" si="604"/>
        <v/>
      </c>
      <c r="N3811" s="51" t="str">
        <f t="shared" si="605"/>
        <v/>
      </c>
      <c r="O3811" s="52" t="str">
        <f t="shared" si="606"/>
        <v/>
      </c>
      <c r="P3811" s="88">
        <f t="shared" si="607"/>
        <v>0</v>
      </c>
      <c r="Q3811" s="88">
        <f t="shared" si="608"/>
        <v>0</v>
      </c>
      <c r="R3811" s="88" t="e">
        <f>-IF(Tabla14[[#This Row],[DIAS HABILES O MORA]]&lt;0,(Tabla14[[#This Row],[VALOR PRESTAMO]]*Tabla14[[#This Row],[% INTERES ]]/30*U3811))+Tabla14[[#This Row],[VALOR CUOTAS]]</f>
        <v>#VALUE!</v>
      </c>
      <c r="S3811" s="88">
        <f>-IF(Tabla14[[#This Row],[DIAS HABILES O MORA]]&lt;0,(Tabla14[[#This Row],[VALOR PRESTAMO]]*Tabla14[[#This Row],[% INTERES ]]/30*U3811))</f>
        <v>0</v>
      </c>
      <c r="T3811" s="53" t="e">
        <f>Tabla14[[#This Row],[DEUDA CAPITAL]]+Tabla14[[#This Row],[INTERES  CUOTA]]</f>
        <v>#NUM!</v>
      </c>
      <c r="U3811" s="61" t="str">
        <f t="shared" si="609"/>
        <v/>
      </c>
    </row>
    <row r="3812" spans="9:21" ht="24.75" customHeight="1" x14ac:dyDescent="0.35">
      <c r="I3812" s="42">
        <f t="shared" si="600"/>
        <v>0</v>
      </c>
      <c r="J3812" s="65" t="e">
        <f t="shared" si="601"/>
        <v>#NUM!</v>
      </c>
      <c r="K3812" s="83" t="e">
        <f t="shared" si="602"/>
        <v>#NUM!</v>
      </c>
      <c r="L3812" s="83">
        <f t="shared" si="603"/>
        <v>0</v>
      </c>
      <c r="M3812" s="110" t="str">
        <f t="shared" si="604"/>
        <v/>
      </c>
      <c r="N3812" s="51" t="str">
        <f t="shared" si="605"/>
        <v/>
      </c>
      <c r="O3812" s="52" t="str">
        <f t="shared" si="606"/>
        <v/>
      </c>
      <c r="P3812" s="88">
        <f t="shared" si="607"/>
        <v>0</v>
      </c>
      <c r="Q3812" s="88">
        <f t="shared" si="608"/>
        <v>0</v>
      </c>
      <c r="R3812" s="88" t="e">
        <f>-IF(Tabla14[[#This Row],[DIAS HABILES O MORA]]&lt;0,(Tabla14[[#This Row],[VALOR PRESTAMO]]*Tabla14[[#This Row],[% INTERES ]]/30*U3812))+Tabla14[[#This Row],[VALOR CUOTAS]]</f>
        <v>#VALUE!</v>
      </c>
      <c r="S3812" s="88">
        <f>-IF(Tabla14[[#This Row],[DIAS HABILES O MORA]]&lt;0,(Tabla14[[#This Row],[VALOR PRESTAMO]]*Tabla14[[#This Row],[% INTERES ]]/30*U3812))</f>
        <v>0</v>
      </c>
      <c r="T3812" s="53" t="e">
        <f>Tabla14[[#This Row],[DEUDA CAPITAL]]+Tabla14[[#This Row],[INTERES  CUOTA]]</f>
        <v>#NUM!</v>
      </c>
      <c r="U3812" s="61" t="str">
        <f t="shared" si="609"/>
        <v/>
      </c>
    </row>
    <row r="3813" spans="9:21" ht="24.75" customHeight="1" x14ac:dyDescent="0.35">
      <c r="I3813" s="42">
        <f t="shared" si="600"/>
        <v>0</v>
      </c>
      <c r="J3813" s="65" t="e">
        <f t="shared" si="601"/>
        <v>#NUM!</v>
      </c>
      <c r="K3813" s="83" t="e">
        <f t="shared" si="602"/>
        <v>#NUM!</v>
      </c>
      <c r="L3813" s="83">
        <f t="shared" si="603"/>
        <v>0</v>
      </c>
      <c r="M3813" s="110" t="str">
        <f t="shared" si="604"/>
        <v/>
      </c>
      <c r="N3813" s="51" t="str">
        <f t="shared" si="605"/>
        <v/>
      </c>
      <c r="O3813" s="52" t="str">
        <f t="shared" si="606"/>
        <v/>
      </c>
      <c r="P3813" s="88">
        <f t="shared" si="607"/>
        <v>0</v>
      </c>
      <c r="Q3813" s="88">
        <f t="shared" si="608"/>
        <v>0</v>
      </c>
      <c r="R3813" s="88" t="e">
        <f>-IF(Tabla14[[#This Row],[DIAS HABILES O MORA]]&lt;0,(Tabla14[[#This Row],[VALOR PRESTAMO]]*Tabla14[[#This Row],[% INTERES ]]/30*U3813))+Tabla14[[#This Row],[VALOR CUOTAS]]</f>
        <v>#VALUE!</v>
      </c>
      <c r="S3813" s="88">
        <f>-IF(Tabla14[[#This Row],[DIAS HABILES O MORA]]&lt;0,(Tabla14[[#This Row],[VALOR PRESTAMO]]*Tabla14[[#This Row],[% INTERES ]]/30*U3813))</f>
        <v>0</v>
      </c>
      <c r="T3813" s="53" t="e">
        <f>Tabla14[[#This Row],[DEUDA CAPITAL]]+Tabla14[[#This Row],[INTERES  CUOTA]]</f>
        <v>#NUM!</v>
      </c>
      <c r="U3813" s="61" t="str">
        <f t="shared" si="609"/>
        <v/>
      </c>
    </row>
    <row r="3814" spans="9:21" ht="24.75" customHeight="1" x14ac:dyDescent="0.35">
      <c r="I3814" s="42">
        <f t="shared" si="600"/>
        <v>0</v>
      </c>
      <c r="J3814" s="65" t="e">
        <f t="shared" si="601"/>
        <v>#NUM!</v>
      </c>
      <c r="K3814" s="83" t="e">
        <f t="shared" si="602"/>
        <v>#NUM!</v>
      </c>
      <c r="L3814" s="83">
        <f t="shared" si="603"/>
        <v>0</v>
      </c>
      <c r="M3814" s="110" t="str">
        <f t="shared" si="604"/>
        <v/>
      </c>
      <c r="N3814" s="51" t="str">
        <f t="shared" si="605"/>
        <v/>
      </c>
      <c r="O3814" s="52" t="str">
        <f t="shared" si="606"/>
        <v/>
      </c>
      <c r="P3814" s="88">
        <f t="shared" si="607"/>
        <v>0</v>
      </c>
      <c r="Q3814" s="88">
        <f t="shared" si="608"/>
        <v>0</v>
      </c>
      <c r="R3814" s="88" t="e">
        <f>-IF(Tabla14[[#This Row],[DIAS HABILES O MORA]]&lt;0,(Tabla14[[#This Row],[VALOR PRESTAMO]]*Tabla14[[#This Row],[% INTERES ]]/30*U3814))+Tabla14[[#This Row],[VALOR CUOTAS]]</f>
        <v>#VALUE!</v>
      </c>
      <c r="S3814" s="88">
        <f>-IF(Tabla14[[#This Row],[DIAS HABILES O MORA]]&lt;0,(Tabla14[[#This Row],[VALOR PRESTAMO]]*Tabla14[[#This Row],[% INTERES ]]/30*U3814))</f>
        <v>0</v>
      </c>
      <c r="T3814" s="53" t="e">
        <f>Tabla14[[#This Row],[DEUDA CAPITAL]]+Tabla14[[#This Row],[INTERES  CUOTA]]</f>
        <v>#NUM!</v>
      </c>
      <c r="U3814" s="61" t="str">
        <f t="shared" si="609"/>
        <v/>
      </c>
    </row>
    <row r="3815" spans="9:21" ht="24.75" customHeight="1" x14ac:dyDescent="0.35">
      <c r="I3815" s="42">
        <f t="shared" si="600"/>
        <v>0</v>
      </c>
      <c r="J3815" s="65" t="e">
        <f t="shared" si="601"/>
        <v>#NUM!</v>
      </c>
      <c r="K3815" s="83" t="e">
        <f t="shared" si="602"/>
        <v>#NUM!</v>
      </c>
      <c r="L3815" s="83">
        <f t="shared" si="603"/>
        <v>0</v>
      </c>
      <c r="M3815" s="110" t="str">
        <f t="shared" si="604"/>
        <v/>
      </c>
      <c r="N3815" s="51" t="str">
        <f t="shared" si="605"/>
        <v/>
      </c>
      <c r="O3815" s="52" t="str">
        <f t="shared" si="606"/>
        <v/>
      </c>
      <c r="P3815" s="88">
        <f t="shared" si="607"/>
        <v>0</v>
      </c>
      <c r="Q3815" s="88">
        <f t="shared" si="608"/>
        <v>0</v>
      </c>
      <c r="R3815" s="88" t="e">
        <f>-IF(Tabla14[[#This Row],[DIAS HABILES O MORA]]&lt;0,(Tabla14[[#This Row],[VALOR PRESTAMO]]*Tabla14[[#This Row],[% INTERES ]]/30*U3815))+Tabla14[[#This Row],[VALOR CUOTAS]]</f>
        <v>#VALUE!</v>
      </c>
      <c r="S3815" s="88">
        <f>-IF(Tabla14[[#This Row],[DIAS HABILES O MORA]]&lt;0,(Tabla14[[#This Row],[VALOR PRESTAMO]]*Tabla14[[#This Row],[% INTERES ]]/30*U3815))</f>
        <v>0</v>
      </c>
      <c r="T3815" s="53" t="e">
        <f>Tabla14[[#This Row],[DEUDA CAPITAL]]+Tabla14[[#This Row],[INTERES  CUOTA]]</f>
        <v>#NUM!</v>
      </c>
      <c r="U3815" s="61" t="str">
        <f t="shared" si="609"/>
        <v/>
      </c>
    </row>
    <row r="3816" spans="9:21" ht="24.75" customHeight="1" x14ac:dyDescent="0.35">
      <c r="I3816" s="42">
        <f t="shared" si="600"/>
        <v>0</v>
      </c>
      <c r="J3816" s="65" t="e">
        <f t="shared" si="601"/>
        <v>#NUM!</v>
      </c>
      <c r="K3816" s="83" t="e">
        <f t="shared" si="602"/>
        <v>#NUM!</v>
      </c>
      <c r="L3816" s="83">
        <f t="shared" si="603"/>
        <v>0</v>
      </c>
      <c r="M3816" s="110" t="str">
        <f t="shared" si="604"/>
        <v/>
      </c>
      <c r="N3816" s="51" t="str">
        <f t="shared" si="605"/>
        <v/>
      </c>
      <c r="O3816" s="52" t="str">
        <f t="shared" si="606"/>
        <v/>
      </c>
      <c r="P3816" s="88">
        <f t="shared" si="607"/>
        <v>0</v>
      </c>
      <c r="Q3816" s="88">
        <f t="shared" si="608"/>
        <v>0</v>
      </c>
      <c r="R3816" s="88" t="e">
        <f>-IF(Tabla14[[#This Row],[DIAS HABILES O MORA]]&lt;0,(Tabla14[[#This Row],[VALOR PRESTAMO]]*Tabla14[[#This Row],[% INTERES ]]/30*U3816))+Tabla14[[#This Row],[VALOR CUOTAS]]</f>
        <v>#VALUE!</v>
      </c>
      <c r="S3816" s="88">
        <f>-IF(Tabla14[[#This Row],[DIAS HABILES O MORA]]&lt;0,(Tabla14[[#This Row],[VALOR PRESTAMO]]*Tabla14[[#This Row],[% INTERES ]]/30*U3816))</f>
        <v>0</v>
      </c>
      <c r="T3816" s="53" t="e">
        <f>Tabla14[[#This Row],[DEUDA CAPITAL]]+Tabla14[[#This Row],[INTERES  CUOTA]]</f>
        <v>#NUM!</v>
      </c>
      <c r="U3816" s="61" t="str">
        <f t="shared" si="609"/>
        <v/>
      </c>
    </row>
    <row r="3817" spans="9:21" ht="24.75" customHeight="1" x14ac:dyDescent="0.35">
      <c r="I3817" s="42">
        <f t="shared" si="600"/>
        <v>0</v>
      </c>
      <c r="J3817" s="65" t="e">
        <f t="shared" si="601"/>
        <v>#NUM!</v>
      </c>
      <c r="K3817" s="83" t="e">
        <f t="shared" si="602"/>
        <v>#NUM!</v>
      </c>
      <c r="L3817" s="83">
        <f t="shared" si="603"/>
        <v>0</v>
      </c>
      <c r="M3817" s="110" t="str">
        <f t="shared" si="604"/>
        <v/>
      </c>
      <c r="N3817" s="51" t="str">
        <f t="shared" si="605"/>
        <v/>
      </c>
      <c r="O3817" s="52" t="str">
        <f t="shared" si="606"/>
        <v/>
      </c>
      <c r="P3817" s="88">
        <f t="shared" si="607"/>
        <v>0</v>
      </c>
      <c r="Q3817" s="88">
        <f t="shared" si="608"/>
        <v>0</v>
      </c>
      <c r="R3817" s="88" t="e">
        <f>-IF(Tabla14[[#This Row],[DIAS HABILES O MORA]]&lt;0,(Tabla14[[#This Row],[VALOR PRESTAMO]]*Tabla14[[#This Row],[% INTERES ]]/30*U3817))+Tabla14[[#This Row],[VALOR CUOTAS]]</f>
        <v>#VALUE!</v>
      </c>
      <c r="S3817" s="88">
        <f>-IF(Tabla14[[#This Row],[DIAS HABILES O MORA]]&lt;0,(Tabla14[[#This Row],[VALOR PRESTAMO]]*Tabla14[[#This Row],[% INTERES ]]/30*U3817))</f>
        <v>0</v>
      </c>
      <c r="T3817" s="53" t="e">
        <f>Tabla14[[#This Row],[DEUDA CAPITAL]]+Tabla14[[#This Row],[INTERES  CUOTA]]</f>
        <v>#NUM!</v>
      </c>
      <c r="U3817" s="61" t="str">
        <f t="shared" si="609"/>
        <v/>
      </c>
    </row>
    <row r="3818" spans="9:21" ht="24.75" customHeight="1" x14ac:dyDescent="0.35">
      <c r="I3818" s="42">
        <f t="shared" si="600"/>
        <v>0</v>
      </c>
      <c r="J3818" s="65" t="e">
        <f t="shared" si="601"/>
        <v>#NUM!</v>
      </c>
      <c r="K3818" s="83" t="e">
        <f t="shared" si="602"/>
        <v>#NUM!</v>
      </c>
      <c r="L3818" s="83">
        <f t="shared" si="603"/>
        <v>0</v>
      </c>
      <c r="M3818" s="110" t="str">
        <f t="shared" si="604"/>
        <v/>
      </c>
      <c r="N3818" s="51" t="str">
        <f t="shared" si="605"/>
        <v/>
      </c>
      <c r="O3818" s="52" t="str">
        <f t="shared" si="606"/>
        <v/>
      </c>
      <c r="P3818" s="88">
        <f t="shared" si="607"/>
        <v>0</v>
      </c>
      <c r="Q3818" s="88">
        <f t="shared" si="608"/>
        <v>0</v>
      </c>
      <c r="R3818" s="88" t="e">
        <f>-IF(Tabla14[[#This Row],[DIAS HABILES O MORA]]&lt;0,(Tabla14[[#This Row],[VALOR PRESTAMO]]*Tabla14[[#This Row],[% INTERES ]]/30*U3818))+Tabla14[[#This Row],[VALOR CUOTAS]]</f>
        <v>#VALUE!</v>
      </c>
      <c r="S3818" s="88">
        <f>-IF(Tabla14[[#This Row],[DIAS HABILES O MORA]]&lt;0,(Tabla14[[#This Row],[VALOR PRESTAMO]]*Tabla14[[#This Row],[% INTERES ]]/30*U3818))</f>
        <v>0</v>
      </c>
      <c r="T3818" s="53" t="e">
        <f>Tabla14[[#This Row],[DEUDA CAPITAL]]+Tabla14[[#This Row],[INTERES  CUOTA]]</f>
        <v>#NUM!</v>
      </c>
      <c r="U3818" s="61" t="str">
        <f t="shared" si="609"/>
        <v/>
      </c>
    </row>
    <row r="3819" spans="9:21" ht="24.75" customHeight="1" x14ac:dyDescent="0.35">
      <c r="I3819" s="42">
        <f t="shared" si="600"/>
        <v>0</v>
      </c>
      <c r="J3819" s="65" t="e">
        <f t="shared" si="601"/>
        <v>#NUM!</v>
      </c>
      <c r="K3819" s="83" t="e">
        <f t="shared" si="602"/>
        <v>#NUM!</v>
      </c>
      <c r="L3819" s="83">
        <f t="shared" si="603"/>
        <v>0</v>
      </c>
      <c r="M3819" s="110" t="str">
        <f t="shared" si="604"/>
        <v/>
      </c>
      <c r="N3819" s="51" t="str">
        <f t="shared" si="605"/>
        <v/>
      </c>
      <c r="O3819" s="52" t="str">
        <f t="shared" si="606"/>
        <v/>
      </c>
      <c r="P3819" s="88">
        <f t="shared" si="607"/>
        <v>0</v>
      </c>
      <c r="Q3819" s="88">
        <f t="shared" si="608"/>
        <v>0</v>
      </c>
      <c r="R3819" s="88" t="e">
        <f>-IF(Tabla14[[#This Row],[DIAS HABILES O MORA]]&lt;0,(Tabla14[[#This Row],[VALOR PRESTAMO]]*Tabla14[[#This Row],[% INTERES ]]/30*U3819))+Tabla14[[#This Row],[VALOR CUOTAS]]</f>
        <v>#VALUE!</v>
      </c>
      <c r="S3819" s="88">
        <f>-IF(Tabla14[[#This Row],[DIAS HABILES O MORA]]&lt;0,(Tabla14[[#This Row],[VALOR PRESTAMO]]*Tabla14[[#This Row],[% INTERES ]]/30*U3819))</f>
        <v>0</v>
      </c>
      <c r="T3819" s="53" t="e">
        <f>Tabla14[[#This Row],[DEUDA CAPITAL]]+Tabla14[[#This Row],[INTERES  CUOTA]]</f>
        <v>#NUM!</v>
      </c>
      <c r="U3819" s="61" t="str">
        <f t="shared" si="609"/>
        <v/>
      </c>
    </row>
    <row r="3820" spans="9:21" ht="24.75" customHeight="1" x14ac:dyDescent="0.35">
      <c r="I3820" s="42">
        <f t="shared" si="600"/>
        <v>0</v>
      </c>
      <c r="J3820" s="65" t="e">
        <f t="shared" si="601"/>
        <v>#NUM!</v>
      </c>
      <c r="K3820" s="83" t="e">
        <f t="shared" si="602"/>
        <v>#NUM!</v>
      </c>
      <c r="L3820" s="83">
        <f t="shared" si="603"/>
        <v>0</v>
      </c>
      <c r="M3820" s="110" t="str">
        <f t="shared" si="604"/>
        <v/>
      </c>
      <c r="N3820" s="51" t="str">
        <f t="shared" si="605"/>
        <v/>
      </c>
      <c r="O3820" s="52" t="str">
        <f t="shared" si="606"/>
        <v/>
      </c>
      <c r="P3820" s="88">
        <f t="shared" si="607"/>
        <v>0</v>
      </c>
      <c r="Q3820" s="88">
        <f t="shared" si="608"/>
        <v>0</v>
      </c>
      <c r="R3820" s="88" t="e">
        <f>-IF(Tabla14[[#This Row],[DIAS HABILES O MORA]]&lt;0,(Tabla14[[#This Row],[VALOR PRESTAMO]]*Tabla14[[#This Row],[% INTERES ]]/30*U3820))+Tabla14[[#This Row],[VALOR CUOTAS]]</f>
        <v>#VALUE!</v>
      </c>
      <c r="S3820" s="88">
        <f>-IF(Tabla14[[#This Row],[DIAS HABILES O MORA]]&lt;0,(Tabla14[[#This Row],[VALOR PRESTAMO]]*Tabla14[[#This Row],[% INTERES ]]/30*U3820))</f>
        <v>0</v>
      </c>
      <c r="T3820" s="53" t="e">
        <f>Tabla14[[#This Row],[DEUDA CAPITAL]]+Tabla14[[#This Row],[INTERES  CUOTA]]</f>
        <v>#NUM!</v>
      </c>
      <c r="U3820" s="61" t="str">
        <f t="shared" si="609"/>
        <v/>
      </c>
    </row>
    <row r="3821" spans="9:21" ht="24.75" customHeight="1" x14ac:dyDescent="0.35">
      <c r="I3821" s="42">
        <f t="shared" si="600"/>
        <v>0</v>
      </c>
      <c r="J3821" s="65" t="e">
        <f t="shared" si="601"/>
        <v>#NUM!</v>
      </c>
      <c r="K3821" s="83" t="e">
        <f t="shared" si="602"/>
        <v>#NUM!</v>
      </c>
      <c r="L3821" s="83">
        <f t="shared" si="603"/>
        <v>0</v>
      </c>
      <c r="M3821" s="110" t="str">
        <f t="shared" si="604"/>
        <v/>
      </c>
      <c r="N3821" s="51" t="str">
        <f t="shared" si="605"/>
        <v/>
      </c>
      <c r="O3821" s="52" t="str">
        <f t="shared" si="606"/>
        <v/>
      </c>
      <c r="P3821" s="88">
        <f t="shared" si="607"/>
        <v>0</v>
      </c>
      <c r="Q3821" s="88">
        <f t="shared" si="608"/>
        <v>0</v>
      </c>
      <c r="R3821" s="88" t="e">
        <f>-IF(Tabla14[[#This Row],[DIAS HABILES O MORA]]&lt;0,(Tabla14[[#This Row],[VALOR PRESTAMO]]*Tabla14[[#This Row],[% INTERES ]]/30*U3821))+Tabla14[[#This Row],[VALOR CUOTAS]]</f>
        <v>#VALUE!</v>
      </c>
      <c r="S3821" s="88">
        <f>-IF(Tabla14[[#This Row],[DIAS HABILES O MORA]]&lt;0,(Tabla14[[#This Row],[VALOR PRESTAMO]]*Tabla14[[#This Row],[% INTERES ]]/30*U3821))</f>
        <v>0</v>
      </c>
      <c r="T3821" s="53" t="e">
        <f>Tabla14[[#This Row],[DEUDA CAPITAL]]+Tabla14[[#This Row],[INTERES  CUOTA]]</f>
        <v>#NUM!</v>
      </c>
      <c r="U3821" s="61" t="str">
        <f t="shared" si="609"/>
        <v/>
      </c>
    </row>
    <row r="3822" spans="9:21" ht="24.75" customHeight="1" x14ac:dyDescent="0.35">
      <c r="I3822" s="42">
        <f t="shared" si="600"/>
        <v>0</v>
      </c>
      <c r="J3822" s="65" t="e">
        <f t="shared" si="601"/>
        <v>#NUM!</v>
      </c>
      <c r="K3822" s="83" t="e">
        <f t="shared" si="602"/>
        <v>#NUM!</v>
      </c>
      <c r="L3822" s="83">
        <f t="shared" si="603"/>
        <v>0</v>
      </c>
      <c r="M3822" s="110" t="str">
        <f t="shared" si="604"/>
        <v/>
      </c>
      <c r="N3822" s="51" t="str">
        <f t="shared" si="605"/>
        <v/>
      </c>
      <c r="O3822" s="52" t="str">
        <f t="shared" si="606"/>
        <v/>
      </c>
      <c r="P3822" s="88">
        <f t="shared" si="607"/>
        <v>0</v>
      </c>
      <c r="Q3822" s="88">
        <f t="shared" si="608"/>
        <v>0</v>
      </c>
      <c r="R3822" s="88" t="e">
        <f>-IF(Tabla14[[#This Row],[DIAS HABILES O MORA]]&lt;0,(Tabla14[[#This Row],[VALOR PRESTAMO]]*Tabla14[[#This Row],[% INTERES ]]/30*U3822))+Tabla14[[#This Row],[VALOR CUOTAS]]</f>
        <v>#VALUE!</v>
      </c>
      <c r="S3822" s="88">
        <f>-IF(Tabla14[[#This Row],[DIAS HABILES O MORA]]&lt;0,(Tabla14[[#This Row],[VALOR PRESTAMO]]*Tabla14[[#This Row],[% INTERES ]]/30*U3822))</f>
        <v>0</v>
      </c>
      <c r="T3822" s="53" t="e">
        <f>Tabla14[[#This Row],[DEUDA CAPITAL]]+Tabla14[[#This Row],[INTERES  CUOTA]]</f>
        <v>#NUM!</v>
      </c>
      <c r="U3822" s="61" t="str">
        <f t="shared" si="609"/>
        <v/>
      </c>
    </row>
    <row r="3823" spans="9:21" ht="24.75" customHeight="1" x14ac:dyDescent="0.35">
      <c r="I3823" s="42">
        <f t="shared" si="600"/>
        <v>0</v>
      </c>
      <c r="J3823" s="65" t="e">
        <f t="shared" si="601"/>
        <v>#NUM!</v>
      </c>
      <c r="K3823" s="83" t="e">
        <f t="shared" si="602"/>
        <v>#NUM!</v>
      </c>
      <c r="L3823" s="83">
        <f t="shared" si="603"/>
        <v>0</v>
      </c>
      <c r="M3823" s="110" t="str">
        <f t="shared" si="604"/>
        <v/>
      </c>
      <c r="N3823" s="51" t="str">
        <f t="shared" si="605"/>
        <v/>
      </c>
      <c r="O3823" s="52" t="str">
        <f t="shared" si="606"/>
        <v/>
      </c>
      <c r="P3823" s="88">
        <f t="shared" si="607"/>
        <v>0</v>
      </c>
      <c r="Q3823" s="88">
        <f t="shared" si="608"/>
        <v>0</v>
      </c>
      <c r="R3823" s="88" t="e">
        <f>-IF(Tabla14[[#This Row],[DIAS HABILES O MORA]]&lt;0,(Tabla14[[#This Row],[VALOR PRESTAMO]]*Tabla14[[#This Row],[% INTERES ]]/30*U3823))+Tabla14[[#This Row],[VALOR CUOTAS]]</f>
        <v>#VALUE!</v>
      </c>
      <c r="S3823" s="88">
        <f>-IF(Tabla14[[#This Row],[DIAS HABILES O MORA]]&lt;0,(Tabla14[[#This Row],[VALOR PRESTAMO]]*Tabla14[[#This Row],[% INTERES ]]/30*U3823))</f>
        <v>0</v>
      </c>
      <c r="T3823" s="53" t="e">
        <f>Tabla14[[#This Row],[DEUDA CAPITAL]]+Tabla14[[#This Row],[INTERES  CUOTA]]</f>
        <v>#NUM!</v>
      </c>
      <c r="U3823" s="61" t="str">
        <f t="shared" si="609"/>
        <v/>
      </c>
    </row>
    <row r="3824" spans="9:21" ht="24.75" customHeight="1" x14ac:dyDescent="0.35">
      <c r="I3824" s="42">
        <f t="shared" si="600"/>
        <v>0</v>
      </c>
      <c r="J3824" s="65" t="e">
        <f t="shared" si="601"/>
        <v>#NUM!</v>
      </c>
      <c r="K3824" s="83" t="e">
        <f t="shared" si="602"/>
        <v>#NUM!</v>
      </c>
      <c r="L3824" s="83">
        <f t="shared" si="603"/>
        <v>0</v>
      </c>
      <c r="M3824" s="110" t="str">
        <f t="shared" si="604"/>
        <v/>
      </c>
      <c r="N3824" s="51" t="str">
        <f t="shared" si="605"/>
        <v/>
      </c>
      <c r="O3824" s="52" t="str">
        <f t="shared" si="606"/>
        <v/>
      </c>
      <c r="P3824" s="88">
        <f t="shared" si="607"/>
        <v>0</v>
      </c>
      <c r="Q3824" s="88">
        <f t="shared" si="608"/>
        <v>0</v>
      </c>
      <c r="R3824" s="88" t="e">
        <f>-IF(Tabla14[[#This Row],[DIAS HABILES O MORA]]&lt;0,(Tabla14[[#This Row],[VALOR PRESTAMO]]*Tabla14[[#This Row],[% INTERES ]]/30*U3824))+Tabla14[[#This Row],[VALOR CUOTAS]]</f>
        <v>#VALUE!</v>
      </c>
      <c r="S3824" s="88">
        <f>-IF(Tabla14[[#This Row],[DIAS HABILES O MORA]]&lt;0,(Tabla14[[#This Row],[VALOR PRESTAMO]]*Tabla14[[#This Row],[% INTERES ]]/30*U3824))</f>
        <v>0</v>
      </c>
      <c r="T3824" s="53" t="e">
        <f>Tabla14[[#This Row],[DEUDA CAPITAL]]+Tabla14[[#This Row],[INTERES  CUOTA]]</f>
        <v>#NUM!</v>
      </c>
      <c r="U3824" s="61" t="str">
        <f t="shared" si="609"/>
        <v/>
      </c>
    </row>
    <row r="3825" spans="9:21" ht="24.75" customHeight="1" x14ac:dyDescent="0.35">
      <c r="I3825" s="42">
        <f t="shared" si="600"/>
        <v>0</v>
      </c>
      <c r="J3825" s="65" t="e">
        <f t="shared" si="601"/>
        <v>#NUM!</v>
      </c>
      <c r="K3825" s="83" t="e">
        <f t="shared" si="602"/>
        <v>#NUM!</v>
      </c>
      <c r="L3825" s="83">
        <f t="shared" si="603"/>
        <v>0</v>
      </c>
      <c r="M3825" s="110" t="str">
        <f t="shared" si="604"/>
        <v/>
      </c>
      <c r="N3825" s="51" t="str">
        <f t="shared" si="605"/>
        <v/>
      </c>
      <c r="O3825" s="52" t="str">
        <f t="shared" si="606"/>
        <v/>
      </c>
      <c r="P3825" s="88">
        <f t="shared" si="607"/>
        <v>0</v>
      </c>
      <c r="Q3825" s="88">
        <f t="shared" si="608"/>
        <v>0</v>
      </c>
      <c r="R3825" s="88" t="e">
        <f>-IF(Tabla14[[#This Row],[DIAS HABILES O MORA]]&lt;0,(Tabla14[[#This Row],[VALOR PRESTAMO]]*Tabla14[[#This Row],[% INTERES ]]/30*U3825))+Tabla14[[#This Row],[VALOR CUOTAS]]</f>
        <v>#VALUE!</v>
      </c>
      <c r="S3825" s="88">
        <f>-IF(Tabla14[[#This Row],[DIAS HABILES O MORA]]&lt;0,(Tabla14[[#This Row],[VALOR PRESTAMO]]*Tabla14[[#This Row],[% INTERES ]]/30*U3825))</f>
        <v>0</v>
      </c>
      <c r="T3825" s="53" t="e">
        <f>Tabla14[[#This Row],[DEUDA CAPITAL]]+Tabla14[[#This Row],[INTERES  CUOTA]]</f>
        <v>#NUM!</v>
      </c>
      <c r="U3825" s="61" t="str">
        <f t="shared" si="609"/>
        <v/>
      </c>
    </row>
    <row r="3826" spans="9:21" ht="24.75" customHeight="1" x14ac:dyDescent="0.35">
      <c r="I3826" s="42">
        <f t="shared" si="600"/>
        <v>0</v>
      </c>
      <c r="J3826" s="65" t="e">
        <f t="shared" si="601"/>
        <v>#NUM!</v>
      </c>
      <c r="K3826" s="83" t="e">
        <f t="shared" si="602"/>
        <v>#NUM!</v>
      </c>
      <c r="L3826" s="83">
        <f t="shared" si="603"/>
        <v>0</v>
      </c>
      <c r="M3826" s="110" t="str">
        <f t="shared" si="604"/>
        <v/>
      </c>
      <c r="N3826" s="51" t="str">
        <f t="shared" si="605"/>
        <v/>
      </c>
      <c r="O3826" s="52" t="str">
        <f t="shared" si="606"/>
        <v/>
      </c>
      <c r="P3826" s="88">
        <f t="shared" si="607"/>
        <v>0</v>
      </c>
      <c r="Q3826" s="88">
        <f t="shared" si="608"/>
        <v>0</v>
      </c>
      <c r="R3826" s="88" t="e">
        <f>-IF(Tabla14[[#This Row],[DIAS HABILES O MORA]]&lt;0,(Tabla14[[#This Row],[VALOR PRESTAMO]]*Tabla14[[#This Row],[% INTERES ]]/30*U3826))+Tabla14[[#This Row],[VALOR CUOTAS]]</f>
        <v>#VALUE!</v>
      </c>
      <c r="S3826" s="88">
        <f>-IF(Tabla14[[#This Row],[DIAS HABILES O MORA]]&lt;0,(Tabla14[[#This Row],[VALOR PRESTAMO]]*Tabla14[[#This Row],[% INTERES ]]/30*U3826))</f>
        <v>0</v>
      </c>
      <c r="T3826" s="53" t="e">
        <f>Tabla14[[#This Row],[DEUDA CAPITAL]]+Tabla14[[#This Row],[INTERES  CUOTA]]</f>
        <v>#NUM!</v>
      </c>
      <c r="U3826" s="61" t="str">
        <f t="shared" si="609"/>
        <v/>
      </c>
    </row>
    <row r="3827" spans="9:21" ht="24.75" customHeight="1" x14ac:dyDescent="0.35">
      <c r="I3827" s="42">
        <f t="shared" si="600"/>
        <v>0</v>
      </c>
      <c r="J3827" s="65" t="e">
        <f t="shared" si="601"/>
        <v>#NUM!</v>
      </c>
      <c r="K3827" s="83" t="e">
        <f t="shared" si="602"/>
        <v>#NUM!</v>
      </c>
      <c r="L3827" s="83">
        <f t="shared" si="603"/>
        <v>0</v>
      </c>
      <c r="M3827" s="110" t="str">
        <f t="shared" si="604"/>
        <v/>
      </c>
      <c r="N3827" s="51" t="str">
        <f t="shared" si="605"/>
        <v/>
      </c>
      <c r="O3827" s="52" t="str">
        <f t="shared" si="606"/>
        <v/>
      </c>
      <c r="P3827" s="88">
        <f t="shared" si="607"/>
        <v>0</v>
      </c>
      <c r="Q3827" s="88">
        <f t="shared" si="608"/>
        <v>0</v>
      </c>
      <c r="R3827" s="88" t="e">
        <f>-IF(Tabla14[[#This Row],[DIAS HABILES O MORA]]&lt;0,(Tabla14[[#This Row],[VALOR PRESTAMO]]*Tabla14[[#This Row],[% INTERES ]]/30*U3827))+Tabla14[[#This Row],[VALOR CUOTAS]]</f>
        <v>#VALUE!</v>
      </c>
      <c r="S3827" s="88">
        <f>-IF(Tabla14[[#This Row],[DIAS HABILES O MORA]]&lt;0,(Tabla14[[#This Row],[VALOR PRESTAMO]]*Tabla14[[#This Row],[% INTERES ]]/30*U3827))</f>
        <v>0</v>
      </c>
      <c r="T3827" s="53" t="e">
        <f>Tabla14[[#This Row],[DEUDA CAPITAL]]+Tabla14[[#This Row],[INTERES  CUOTA]]</f>
        <v>#NUM!</v>
      </c>
      <c r="U3827" s="61" t="str">
        <f t="shared" si="609"/>
        <v/>
      </c>
    </row>
    <row r="3828" spans="9:21" ht="24.75" customHeight="1" x14ac:dyDescent="0.35">
      <c r="I3828" s="42">
        <f t="shared" si="600"/>
        <v>0</v>
      </c>
      <c r="J3828" s="65" t="e">
        <f t="shared" si="601"/>
        <v>#NUM!</v>
      </c>
      <c r="K3828" s="83" t="e">
        <f t="shared" si="602"/>
        <v>#NUM!</v>
      </c>
      <c r="L3828" s="83">
        <f t="shared" si="603"/>
        <v>0</v>
      </c>
      <c r="M3828" s="110" t="str">
        <f t="shared" si="604"/>
        <v/>
      </c>
      <c r="N3828" s="51" t="str">
        <f t="shared" si="605"/>
        <v/>
      </c>
      <c r="O3828" s="52" t="str">
        <f t="shared" si="606"/>
        <v/>
      </c>
      <c r="P3828" s="88">
        <f t="shared" si="607"/>
        <v>0</v>
      </c>
      <c r="Q3828" s="88">
        <f t="shared" si="608"/>
        <v>0</v>
      </c>
      <c r="R3828" s="88" t="e">
        <f>-IF(Tabla14[[#This Row],[DIAS HABILES O MORA]]&lt;0,(Tabla14[[#This Row],[VALOR PRESTAMO]]*Tabla14[[#This Row],[% INTERES ]]/30*U3828))+Tabla14[[#This Row],[VALOR CUOTAS]]</f>
        <v>#VALUE!</v>
      </c>
      <c r="S3828" s="88">
        <f>-IF(Tabla14[[#This Row],[DIAS HABILES O MORA]]&lt;0,(Tabla14[[#This Row],[VALOR PRESTAMO]]*Tabla14[[#This Row],[% INTERES ]]/30*U3828))</f>
        <v>0</v>
      </c>
      <c r="T3828" s="53" t="e">
        <f>Tabla14[[#This Row],[DEUDA CAPITAL]]+Tabla14[[#This Row],[INTERES  CUOTA]]</f>
        <v>#NUM!</v>
      </c>
      <c r="U3828" s="61" t="str">
        <f t="shared" si="609"/>
        <v/>
      </c>
    </row>
    <row r="3829" spans="9:21" ht="24.75" customHeight="1" x14ac:dyDescent="0.35">
      <c r="I3829" s="42">
        <f t="shared" si="600"/>
        <v>0</v>
      </c>
      <c r="J3829" s="65" t="e">
        <f t="shared" si="601"/>
        <v>#NUM!</v>
      </c>
      <c r="K3829" s="83" t="e">
        <f t="shared" si="602"/>
        <v>#NUM!</v>
      </c>
      <c r="L3829" s="83">
        <f t="shared" si="603"/>
        <v>0</v>
      </c>
      <c r="M3829" s="110" t="str">
        <f t="shared" si="604"/>
        <v/>
      </c>
      <c r="N3829" s="51" t="str">
        <f t="shared" si="605"/>
        <v/>
      </c>
      <c r="O3829" s="52" t="str">
        <f t="shared" si="606"/>
        <v/>
      </c>
      <c r="P3829" s="88">
        <f t="shared" si="607"/>
        <v>0</v>
      </c>
      <c r="Q3829" s="88">
        <f t="shared" si="608"/>
        <v>0</v>
      </c>
      <c r="R3829" s="88" t="e">
        <f>-IF(Tabla14[[#This Row],[DIAS HABILES O MORA]]&lt;0,(Tabla14[[#This Row],[VALOR PRESTAMO]]*Tabla14[[#This Row],[% INTERES ]]/30*U3829))+Tabla14[[#This Row],[VALOR CUOTAS]]</f>
        <v>#VALUE!</v>
      </c>
      <c r="S3829" s="88">
        <f>-IF(Tabla14[[#This Row],[DIAS HABILES O MORA]]&lt;0,(Tabla14[[#This Row],[VALOR PRESTAMO]]*Tabla14[[#This Row],[% INTERES ]]/30*U3829))</f>
        <v>0</v>
      </c>
      <c r="T3829" s="53" t="e">
        <f>Tabla14[[#This Row],[DEUDA CAPITAL]]+Tabla14[[#This Row],[INTERES  CUOTA]]</f>
        <v>#NUM!</v>
      </c>
      <c r="U3829" s="61" t="str">
        <f t="shared" si="609"/>
        <v/>
      </c>
    </row>
    <row r="3830" spans="9:21" ht="24.75" customHeight="1" x14ac:dyDescent="0.35">
      <c r="I3830" s="42">
        <f t="shared" si="600"/>
        <v>0</v>
      </c>
      <c r="J3830" s="65" t="e">
        <f t="shared" si="601"/>
        <v>#NUM!</v>
      </c>
      <c r="K3830" s="83" t="e">
        <f t="shared" si="602"/>
        <v>#NUM!</v>
      </c>
      <c r="L3830" s="83">
        <f t="shared" si="603"/>
        <v>0</v>
      </c>
      <c r="M3830" s="110" t="str">
        <f t="shared" si="604"/>
        <v/>
      </c>
      <c r="N3830" s="51" t="str">
        <f t="shared" si="605"/>
        <v/>
      </c>
      <c r="O3830" s="52" t="str">
        <f t="shared" si="606"/>
        <v/>
      </c>
      <c r="P3830" s="88">
        <f t="shared" si="607"/>
        <v>0</v>
      </c>
      <c r="Q3830" s="88">
        <f t="shared" si="608"/>
        <v>0</v>
      </c>
      <c r="R3830" s="88" t="e">
        <f>-IF(Tabla14[[#This Row],[DIAS HABILES O MORA]]&lt;0,(Tabla14[[#This Row],[VALOR PRESTAMO]]*Tabla14[[#This Row],[% INTERES ]]/30*U3830))+Tabla14[[#This Row],[VALOR CUOTAS]]</f>
        <v>#VALUE!</v>
      </c>
      <c r="S3830" s="88">
        <f>-IF(Tabla14[[#This Row],[DIAS HABILES O MORA]]&lt;0,(Tabla14[[#This Row],[VALOR PRESTAMO]]*Tabla14[[#This Row],[% INTERES ]]/30*U3830))</f>
        <v>0</v>
      </c>
      <c r="T3830" s="53" t="e">
        <f>Tabla14[[#This Row],[DEUDA CAPITAL]]+Tabla14[[#This Row],[INTERES  CUOTA]]</f>
        <v>#NUM!</v>
      </c>
      <c r="U3830" s="61" t="str">
        <f t="shared" si="609"/>
        <v/>
      </c>
    </row>
    <row r="3831" spans="9:21" ht="24.75" customHeight="1" x14ac:dyDescent="0.35">
      <c r="I3831" s="42">
        <f t="shared" si="600"/>
        <v>0</v>
      </c>
      <c r="J3831" s="65" t="e">
        <f t="shared" si="601"/>
        <v>#NUM!</v>
      </c>
      <c r="K3831" s="83" t="e">
        <f t="shared" si="602"/>
        <v>#NUM!</v>
      </c>
      <c r="L3831" s="83">
        <f t="shared" si="603"/>
        <v>0</v>
      </c>
      <c r="M3831" s="110" t="str">
        <f t="shared" si="604"/>
        <v/>
      </c>
      <c r="N3831" s="51" t="str">
        <f t="shared" si="605"/>
        <v/>
      </c>
      <c r="O3831" s="52" t="str">
        <f t="shared" si="606"/>
        <v/>
      </c>
      <c r="P3831" s="88">
        <f t="shared" si="607"/>
        <v>0</v>
      </c>
      <c r="Q3831" s="88">
        <f t="shared" si="608"/>
        <v>0</v>
      </c>
      <c r="R3831" s="88" t="e">
        <f>-IF(Tabla14[[#This Row],[DIAS HABILES O MORA]]&lt;0,(Tabla14[[#This Row],[VALOR PRESTAMO]]*Tabla14[[#This Row],[% INTERES ]]/30*U3831))+Tabla14[[#This Row],[VALOR CUOTAS]]</f>
        <v>#VALUE!</v>
      </c>
      <c r="S3831" s="88">
        <f>-IF(Tabla14[[#This Row],[DIAS HABILES O MORA]]&lt;0,(Tabla14[[#This Row],[VALOR PRESTAMO]]*Tabla14[[#This Row],[% INTERES ]]/30*U3831))</f>
        <v>0</v>
      </c>
      <c r="T3831" s="53" t="e">
        <f>Tabla14[[#This Row],[DEUDA CAPITAL]]+Tabla14[[#This Row],[INTERES  CUOTA]]</f>
        <v>#NUM!</v>
      </c>
      <c r="U3831" s="61" t="str">
        <f t="shared" si="609"/>
        <v/>
      </c>
    </row>
    <row r="3832" spans="9:21" ht="24.75" customHeight="1" x14ac:dyDescent="0.35">
      <c r="I3832" s="42">
        <f t="shared" si="600"/>
        <v>0</v>
      </c>
      <c r="J3832" s="65" t="e">
        <f t="shared" si="601"/>
        <v>#NUM!</v>
      </c>
      <c r="K3832" s="83" t="e">
        <f t="shared" si="602"/>
        <v>#NUM!</v>
      </c>
      <c r="L3832" s="83">
        <f t="shared" si="603"/>
        <v>0</v>
      </c>
      <c r="M3832" s="110" t="str">
        <f t="shared" si="604"/>
        <v/>
      </c>
      <c r="N3832" s="51" t="str">
        <f t="shared" si="605"/>
        <v/>
      </c>
      <c r="O3832" s="52" t="str">
        <f t="shared" si="606"/>
        <v/>
      </c>
      <c r="P3832" s="88">
        <f t="shared" si="607"/>
        <v>0</v>
      </c>
      <c r="Q3832" s="88">
        <f t="shared" si="608"/>
        <v>0</v>
      </c>
      <c r="R3832" s="88" t="e">
        <f>-IF(Tabla14[[#This Row],[DIAS HABILES O MORA]]&lt;0,(Tabla14[[#This Row],[VALOR PRESTAMO]]*Tabla14[[#This Row],[% INTERES ]]/30*U3832))+Tabla14[[#This Row],[VALOR CUOTAS]]</f>
        <v>#VALUE!</v>
      </c>
      <c r="S3832" s="88">
        <f>-IF(Tabla14[[#This Row],[DIAS HABILES O MORA]]&lt;0,(Tabla14[[#This Row],[VALOR PRESTAMO]]*Tabla14[[#This Row],[% INTERES ]]/30*U3832))</f>
        <v>0</v>
      </c>
      <c r="T3832" s="53" t="e">
        <f>Tabla14[[#This Row],[DEUDA CAPITAL]]+Tabla14[[#This Row],[INTERES  CUOTA]]</f>
        <v>#NUM!</v>
      </c>
      <c r="U3832" s="61" t="str">
        <f t="shared" si="609"/>
        <v/>
      </c>
    </row>
    <row r="3833" spans="9:21" ht="24.75" customHeight="1" x14ac:dyDescent="0.35">
      <c r="I3833" s="42">
        <f t="shared" si="600"/>
        <v>0</v>
      </c>
      <c r="J3833" s="65" t="e">
        <f t="shared" si="601"/>
        <v>#NUM!</v>
      </c>
      <c r="K3833" s="83" t="e">
        <f t="shared" si="602"/>
        <v>#NUM!</v>
      </c>
      <c r="L3833" s="83">
        <f t="shared" si="603"/>
        <v>0</v>
      </c>
      <c r="M3833" s="110" t="str">
        <f t="shared" si="604"/>
        <v/>
      </c>
      <c r="N3833" s="51" t="str">
        <f t="shared" si="605"/>
        <v/>
      </c>
      <c r="O3833" s="52" t="str">
        <f t="shared" si="606"/>
        <v/>
      </c>
      <c r="P3833" s="88">
        <f t="shared" si="607"/>
        <v>0</v>
      </c>
      <c r="Q3833" s="88">
        <f t="shared" si="608"/>
        <v>0</v>
      </c>
      <c r="R3833" s="88" t="e">
        <f>-IF(Tabla14[[#This Row],[DIAS HABILES O MORA]]&lt;0,(Tabla14[[#This Row],[VALOR PRESTAMO]]*Tabla14[[#This Row],[% INTERES ]]/30*U3833))+Tabla14[[#This Row],[VALOR CUOTAS]]</f>
        <v>#VALUE!</v>
      </c>
      <c r="S3833" s="88">
        <f>-IF(Tabla14[[#This Row],[DIAS HABILES O MORA]]&lt;0,(Tabla14[[#This Row],[VALOR PRESTAMO]]*Tabla14[[#This Row],[% INTERES ]]/30*U3833))</f>
        <v>0</v>
      </c>
      <c r="T3833" s="53" t="e">
        <f>Tabla14[[#This Row],[DEUDA CAPITAL]]+Tabla14[[#This Row],[INTERES  CUOTA]]</f>
        <v>#NUM!</v>
      </c>
      <c r="U3833" s="61" t="str">
        <f t="shared" si="609"/>
        <v/>
      </c>
    </row>
    <row r="3834" spans="9:21" ht="24.75" customHeight="1" x14ac:dyDescent="0.35">
      <c r="I3834" s="42">
        <f t="shared" si="600"/>
        <v>0</v>
      </c>
      <c r="J3834" s="65" t="e">
        <f t="shared" si="601"/>
        <v>#NUM!</v>
      </c>
      <c r="K3834" s="83" t="e">
        <f t="shared" si="602"/>
        <v>#NUM!</v>
      </c>
      <c r="L3834" s="83">
        <f t="shared" si="603"/>
        <v>0</v>
      </c>
      <c r="M3834" s="110" t="str">
        <f t="shared" si="604"/>
        <v/>
      </c>
      <c r="N3834" s="51" t="str">
        <f t="shared" si="605"/>
        <v/>
      </c>
      <c r="O3834" s="52" t="str">
        <f t="shared" si="606"/>
        <v/>
      </c>
      <c r="P3834" s="88">
        <f t="shared" si="607"/>
        <v>0</v>
      </c>
      <c r="Q3834" s="88">
        <f t="shared" si="608"/>
        <v>0</v>
      </c>
      <c r="R3834" s="88" t="e">
        <f>-IF(Tabla14[[#This Row],[DIAS HABILES O MORA]]&lt;0,(Tabla14[[#This Row],[VALOR PRESTAMO]]*Tabla14[[#This Row],[% INTERES ]]/30*U3834))+Tabla14[[#This Row],[VALOR CUOTAS]]</f>
        <v>#VALUE!</v>
      </c>
      <c r="S3834" s="88">
        <f>-IF(Tabla14[[#This Row],[DIAS HABILES O MORA]]&lt;0,(Tabla14[[#This Row],[VALOR PRESTAMO]]*Tabla14[[#This Row],[% INTERES ]]/30*U3834))</f>
        <v>0</v>
      </c>
      <c r="T3834" s="53" t="e">
        <f>Tabla14[[#This Row],[DEUDA CAPITAL]]+Tabla14[[#This Row],[INTERES  CUOTA]]</f>
        <v>#NUM!</v>
      </c>
      <c r="U3834" s="61" t="str">
        <f t="shared" si="609"/>
        <v/>
      </c>
    </row>
    <row r="3835" spans="9:21" ht="24.75" customHeight="1" x14ac:dyDescent="0.35">
      <c r="I3835" s="42">
        <f t="shared" si="600"/>
        <v>0</v>
      </c>
      <c r="J3835" s="65" t="e">
        <f t="shared" si="601"/>
        <v>#NUM!</v>
      </c>
      <c r="K3835" s="83" t="e">
        <f t="shared" si="602"/>
        <v>#NUM!</v>
      </c>
      <c r="L3835" s="83">
        <f t="shared" si="603"/>
        <v>0</v>
      </c>
      <c r="M3835" s="110" t="str">
        <f t="shared" si="604"/>
        <v/>
      </c>
      <c r="N3835" s="51" t="str">
        <f t="shared" si="605"/>
        <v/>
      </c>
      <c r="O3835" s="52" t="str">
        <f t="shared" si="606"/>
        <v/>
      </c>
      <c r="P3835" s="88">
        <f t="shared" si="607"/>
        <v>0</v>
      </c>
      <c r="Q3835" s="88">
        <f t="shared" si="608"/>
        <v>0</v>
      </c>
      <c r="R3835" s="88" t="e">
        <f>-IF(Tabla14[[#This Row],[DIAS HABILES O MORA]]&lt;0,(Tabla14[[#This Row],[VALOR PRESTAMO]]*Tabla14[[#This Row],[% INTERES ]]/30*U3835))+Tabla14[[#This Row],[VALOR CUOTAS]]</f>
        <v>#VALUE!</v>
      </c>
      <c r="S3835" s="88">
        <f>-IF(Tabla14[[#This Row],[DIAS HABILES O MORA]]&lt;0,(Tabla14[[#This Row],[VALOR PRESTAMO]]*Tabla14[[#This Row],[% INTERES ]]/30*U3835))</f>
        <v>0</v>
      </c>
      <c r="T3835" s="53" t="e">
        <f>Tabla14[[#This Row],[DEUDA CAPITAL]]+Tabla14[[#This Row],[INTERES  CUOTA]]</f>
        <v>#NUM!</v>
      </c>
      <c r="U3835" s="61" t="str">
        <f t="shared" si="609"/>
        <v/>
      </c>
    </row>
    <row r="3836" spans="9:21" ht="24.75" customHeight="1" x14ac:dyDescent="0.35">
      <c r="I3836" s="42">
        <f t="shared" si="600"/>
        <v>0</v>
      </c>
      <c r="J3836" s="65" t="e">
        <f t="shared" si="601"/>
        <v>#NUM!</v>
      </c>
      <c r="K3836" s="83" t="e">
        <f t="shared" si="602"/>
        <v>#NUM!</v>
      </c>
      <c r="L3836" s="83">
        <f t="shared" si="603"/>
        <v>0</v>
      </c>
      <c r="M3836" s="110" t="str">
        <f t="shared" si="604"/>
        <v/>
      </c>
      <c r="N3836" s="51" t="str">
        <f t="shared" si="605"/>
        <v/>
      </c>
      <c r="O3836" s="52" t="str">
        <f t="shared" si="606"/>
        <v/>
      </c>
      <c r="P3836" s="88">
        <f t="shared" si="607"/>
        <v>0</v>
      </c>
      <c r="Q3836" s="88">
        <f t="shared" si="608"/>
        <v>0</v>
      </c>
      <c r="R3836" s="88" t="e">
        <f>-IF(Tabla14[[#This Row],[DIAS HABILES O MORA]]&lt;0,(Tabla14[[#This Row],[VALOR PRESTAMO]]*Tabla14[[#This Row],[% INTERES ]]/30*U3836))+Tabla14[[#This Row],[VALOR CUOTAS]]</f>
        <v>#VALUE!</v>
      </c>
      <c r="S3836" s="88">
        <f>-IF(Tabla14[[#This Row],[DIAS HABILES O MORA]]&lt;0,(Tabla14[[#This Row],[VALOR PRESTAMO]]*Tabla14[[#This Row],[% INTERES ]]/30*U3836))</f>
        <v>0</v>
      </c>
      <c r="T3836" s="53" t="e">
        <f>Tabla14[[#This Row],[DEUDA CAPITAL]]+Tabla14[[#This Row],[INTERES  CUOTA]]</f>
        <v>#NUM!</v>
      </c>
      <c r="U3836" s="61" t="str">
        <f t="shared" si="609"/>
        <v/>
      </c>
    </row>
    <row r="3837" spans="9:21" ht="24.75" customHeight="1" x14ac:dyDescent="0.35">
      <c r="I3837" s="42">
        <f t="shared" si="600"/>
        <v>0</v>
      </c>
      <c r="J3837" s="65" t="e">
        <f t="shared" si="601"/>
        <v>#NUM!</v>
      </c>
      <c r="K3837" s="83" t="e">
        <f t="shared" si="602"/>
        <v>#NUM!</v>
      </c>
      <c r="L3837" s="83">
        <f t="shared" si="603"/>
        <v>0</v>
      </c>
      <c r="M3837" s="110" t="str">
        <f t="shared" si="604"/>
        <v/>
      </c>
      <c r="N3837" s="51" t="str">
        <f t="shared" si="605"/>
        <v/>
      </c>
      <c r="O3837" s="52" t="str">
        <f t="shared" si="606"/>
        <v/>
      </c>
      <c r="P3837" s="88">
        <f t="shared" si="607"/>
        <v>0</v>
      </c>
      <c r="Q3837" s="88">
        <f t="shared" si="608"/>
        <v>0</v>
      </c>
      <c r="R3837" s="88" t="e">
        <f>-IF(Tabla14[[#This Row],[DIAS HABILES O MORA]]&lt;0,(Tabla14[[#This Row],[VALOR PRESTAMO]]*Tabla14[[#This Row],[% INTERES ]]/30*U3837))+Tabla14[[#This Row],[VALOR CUOTAS]]</f>
        <v>#VALUE!</v>
      </c>
      <c r="S3837" s="88">
        <f>-IF(Tabla14[[#This Row],[DIAS HABILES O MORA]]&lt;0,(Tabla14[[#This Row],[VALOR PRESTAMO]]*Tabla14[[#This Row],[% INTERES ]]/30*U3837))</f>
        <v>0</v>
      </c>
      <c r="T3837" s="53" t="e">
        <f>Tabla14[[#This Row],[DEUDA CAPITAL]]+Tabla14[[#This Row],[INTERES  CUOTA]]</f>
        <v>#NUM!</v>
      </c>
      <c r="U3837" s="61" t="str">
        <f t="shared" si="609"/>
        <v/>
      </c>
    </row>
    <row r="3838" spans="9:21" ht="24.75" customHeight="1" x14ac:dyDescent="0.35">
      <c r="I3838" s="42">
        <f t="shared" si="600"/>
        <v>0</v>
      </c>
      <c r="J3838" s="65" t="e">
        <f t="shared" si="601"/>
        <v>#NUM!</v>
      </c>
      <c r="K3838" s="83" t="e">
        <f t="shared" si="602"/>
        <v>#NUM!</v>
      </c>
      <c r="L3838" s="83">
        <f t="shared" si="603"/>
        <v>0</v>
      </c>
      <c r="M3838" s="110" t="str">
        <f t="shared" si="604"/>
        <v/>
      </c>
      <c r="N3838" s="51" t="str">
        <f t="shared" si="605"/>
        <v/>
      </c>
      <c r="O3838" s="52" t="str">
        <f t="shared" si="606"/>
        <v/>
      </c>
      <c r="P3838" s="88">
        <f t="shared" si="607"/>
        <v>0</v>
      </c>
      <c r="Q3838" s="88">
        <f t="shared" si="608"/>
        <v>0</v>
      </c>
      <c r="R3838" s="88" t="e">
        <f>-IF(Tabla14[[#This Row],[DIAS HABILES O MORA]]&lt;0,(Tabla14[[#This Row],[VALOR PRESTAMO]]*Tabla14[[#This Row],[% INTERES ]]/30*U3838))+Tabla14[[#This Row],[VALOR CUOTAS]]</f>
        <v>#VALUE!</v>
      </c>
      <c r="S3838" s="88">
        <f>-IF(Tabla14[[#This Row],[DIAS HABILES O MORA]]&lt;0,(Tabla14[[#This Row],[VALOR PRESTAMO]]*Tabla14[[#This Row],[% INTERES ]]/30*U3838))</f>
        <v>0</v>
      </c>
      <c r="T3838" s="53" t="e">
        <f>Tabla14[[#This Row],[DEUDA CAPITAL]]+Tabla14[[#This Row],[INTERES  CUOTA]]</f>
        <v>#NUM!</v>
      </c>
      <c r="U3838" s="61" t="str">
        <f t="shared" si="609"/>
        <v/>
      </c>
    </row>
    <row r="3839" spans="9:21" ht="24.75" customHeight="1" x14ac:dyDescent="0.35">
      <c r="I3839" s="42">
        <f t="shared" si="600"/>
        <v>0</v>
      </c>
      <c r="J3839" s="65" t="e">
        <f t="shared" si="601"/>
        <v>#NUM!</v>
      </c>
      <c r="K3839" s="83" t="e">
        <f t="shared" si="602"/>
        <v>#NUM!</v>
      </c>
      <c r="L3839" s="83">
        <f t="shared" si="603"/>
        <v>0</v>
      </c>
      <c r="M3839" s="110" t="str">
        <f t="shared" si="604"/>
        <v/>
      </c>
      <c r="N3839" s="51" t="str">
        <f t="shared" si="605"/>
        <v/>
      </c>
      <c r="O3839" s="52" t="str">
        <f t="shared" si="606"/>
        <v/>
      </c>
      <c r="P3839" s="88">
        <f t="shared" si="607"/>
        <v>0</v>
      </c>
      <c r="Q3839" s="88">
        <f t="shared" si="608"/>
        <v>0</v>
      </c>
      <c r="R3839" s="88" t="e">
        <f>-IF(Tabla14[[#This Row],[DIAS HABILES O MORA]]&lt;0,(Tabla14[[#This Row],[VALOR PRESTAMO]]*Tabla14[[#This Row],[% INTERES ]]/30*U3839))+Tabla14[[#This Row],[VALOR CUOTAS]]</f>
        <v>#VALUE!</v>
      </c>
      <c r="S3839" s="88">
        <f>-IF(Tabla14[[#This Row],[DIAS HABILES O MORA]]&lt;0,(Tabla14[[#This Row],[VALOR PRESTAMO]]*Tabla14[[#This Row],[% INTERES ]]/30*U3839))</f>
        <v>0</v>
      </c>
      <c r="T3839" s="53" t="e">
        <f>Tabla14[[#This Row],[DEUDA CAPITAL]]+Tabla14[[#This Row],[INTERES  CUOTA]]</f>
        <v>#NUM!</v>
      </c>
      <c r="U3839" s="61" t="str">
        <f t="shared" si="609"/>
        <v/>
      </c>
    </row>
    <row r="3840" spans="9:21" ht="24.75" customHeight="1" x14ac:dyDescent="0.35">
      <c r="I3840" s="42">
        <f t="shared" si="600"/>
        <v>0</v>
      </c>
      <c r="J3840" s="65" t="e">
        <f t="shared" si="601"/>
        <v>#NUM!</v>
      </c>
      <c r="K3840" s="83" t="e">
        <f t="shared" si="602"/>
        <v>#NUM!</v>
      </c>
      <c r="L3840" s="83">
        <f t="shared" si="603"/>
        <v>0</v>
      </c>
      <c r="M3840" s="110" t="str">
        <f t="shared" si="604"/>
        <v/>
      </c>
      <c r="N3840" s="51" t="str">
        <f t="shared" si="605"/>
        <v/>
      </c>
      <c r="O3840" s="52" t="str">
        <f t="shared" si="606"/>
        <v/>
      </c>
      <c r="P3840" s="88">
        <f t="shared" si="607"/>
        <v>0</v>
      </c>
      <c r="Q3840" s="88">
        <f t="shared" si="608"/>
        <v>0</v>
      </c>
      <c r="R3840" s="88" t="e">
        <f>-IF(Tabla14[[#This Row],[DIAS HABILES O MORA]]&lt;0,(Tabla14[[#This Row],[VALOR PRESTAMO]]*Tabla14[[#This Row],[% INTERES ]]/30*U3840))+Tabla14[[#This Row],[VALOR CUOTAS]]</f>
        <v>#VALUE!</v>
      </c>
      <c r="S3840" s="88">
        <f>-IF(Tabla14[[#This Row],[DIAS HABILES O MORA]]&lt;0,(Tabla14[[#This Row],[VALOR PRESTAMO]]*Tabla14[[#This Row],[% INTERES ]]/30*U3840))</f>
        <v>0</v>
      </c>
      <c r="T3840" s="53" t="e">
        <f>Tabla14[[#This Row],[DEUDA CAPITAL]]+Tabla14[[#This Row],[INTERES  CUOTA]]</f>
        <v>#NUM!</v>
      </c>
      <c r="U3840" s="61" t="str">
        <f t="shared" si="609"/>
        <v/>
      </c>
    </row>
    <row r="3841" spans="9:21" ht="24.75" customHeight="1" x14ac:dyDescent="0.35">
      <c r="I3841" s="42">
        <f t="shared" si="600"/>
        <v>0</v>
      </c>
      <c r="J3841" s="65" t="e">
        <f t="shared" si="601"/>
        <v>#NUM!</v>
      </c>
      <c r="K3841" s="83" t="e">
        <f t="shared" si="602"/>
        <v>#NUM!</v>
      </c>
      <c r="L3841" s="83">
        <f t="shared" si="603"/>
        <v>0</v>
      </c>
      <c r="M3841" s="110" t="str">
        <f t="shared" si="604"/>
        <v/>
      </c>
      <c r="N3841" s="51" t="str">
        <f t="shared" si="605"/>
        <v/>
      </c>
      <c r="O3841" s="52" t="str">
        <f t="shared" si="606"/>
        <v/>
      </c>
      <c r="P3841" s="88">
        <f t="shared" si="607"/>
        <v>0</v>
      </c>
      <c r="Q3841" s="88">
        <f t="shared" si="608"/>
        <v>0</v>
      </c>
      <c r="R3841" s="88" t="e">
        <f>-IF(Tabla14[[#This Row],[DIAS HABILES O MORA]]&lt;0,(Tabla14[[#This Row],[VALOR PRESTAMO]]*Tabla14[[#This Row],[% INTERES ]]/30*U3841))+Tabla14[[#This Row],[VALOR CUOTAS]]</f>
        <v>#VALUE!</v>
      </c>
      <c r="S3841" s="88">
        <f>-IF(Tabla14[[#This Row],[DIAS HABILES O MORA]]&lt;0,(Tabla14[[#This Row],[VALOR PRESTAMO]]*Tabla14[[#This Row],[% INTERES ]]/30*U3841))</f>
        <v>0</v>
      </c>
      <c r="T3841" s="53" t="e">
        <f>Tabla14[[#This Row],[DEUDA CAPITAL]]+Tabla14[[#This Row],[INTERES  CUOTA]]</f>
        <v>#NUM!</v>
      </c>
      <c r="U3841" s="61" t="str">
        <f t="shared" si="609"/>
        <v/>
      </c>
    </row>
    <row r="3842" spans="9:21" ht="24.75" customHeight="1" x14ac:dyDescent="0.35">
      <c r="I3842" s="42">
        <f t="shared" si="600"/>
        <v>0</v>
      </c>
      <c r="J3842" s="65" t="e">
        <f t="shared" si="601"/>
        <v>#NUM!</v>
      </c>
      <c r="K3842" s="83" t="e">
        <f t="shared" si="602"/>
        <v>#NUM!</v>
      </c>
      <c r="L3842" s="83">
        <f t="shared" si="603"/>
        <v>0</v>
      </c>
      <c r="M3842" s="110" t="str">
        <f t="shared" si="604"/>
        <v/>
      </c>
      <c r="N3842" s="51" t="str">
        <f t="shared" si="605"/>
        <v/>
      </c>
      <c r="O3842" s="52" t="str">
        <f t="shared" si="606"/>
        <v/>
      </c>
      <c r="P3842" s="88">
        <f t="shared" si="607"/>
        <v>0</v>
      </c>
      <c r="Q3842" s="88">
        <f t="shared" si="608"/>
        <v>0</v>
      </c>
      <c r="R3842" s="88" t="e">
        <f>-IF(Tabla14[[#This Row],[DIAS HABILES O MORA]]&lt;0,(Tabla14[[#This Row],[VALOR PRESTAMO]]*Tabla14[[#This Row],[% INTERES ]]/30*U3842))+Tabla14[[#This Row],[VALOR CUOTAS]]</f>
        <v>#VALUE!</v>
      </c>
      <c r="S3842" s="88">
        <f>-IF(Tabla14[[#This Row],[DIAS HABILES O MORA]]&lt;0,(Tabla14[[#This Row],[VALOR PRESTAMO]]*Tabla14[[#This Row],[% INTERES ]]/30*U3842))</f>
        <v>0</v>
      </c>
      <c r="T3842" s="53" t="e">
        <f>Tabla14[[#This Row],[DEUDA CAPITAL]]+Tabla14[[#This Row],[INTERES  CUOTA]]</f>
        <v>#NUM!</v>
      </c>
      <c r="U3842" s="61" t="str">
        <f t="shared" si="609"/>
        <v/>
      </c>
    </row>
    <row r="3843" spans="9:21" ht="24.75" customHeight="1" x14ac:dyDescent="0.35">
      <c r="I3843" s="42">
        <f t="shared" si="600"/>
        <v>0</v>
      </c>
      <c r="J3843" s="65" t="e">
        <f t="shared" si="601"/>
        <v>#NUM!</v>
      </c>
      <c r="K3843" s="83" t="e">
        <f t="shared" si="602"/>
        <v>#NUM!</v>
      </c>
      <c r="L3843" s="83">
        <f t="shared" si="603"/>
        <v>0</v>
      </c>
      <c r="M3843" s="110" t="str">
        <f t="shared" si="604"/>
        <v/>
      </c>
      <c r="N3843" s="51" t="str">
        <f t="shared" si="605"/>
        <v/>
      </c>
      <c r="O3843" s="52" t="str">
        <f t="shared" si="606"/>
        <v/>
      </c>
      <c r="P3843" s="88">
        <f t="shared" si="607"/>
        <v>0</v>
      </c>
      <c r="Q3843" s="88">
        <f t="shared" si="608"/>
        <v>0</v>
      </c>
      <c r="R3843" s="88" t="e">
        <f>-IF(Tabla14[[#This Row],[DIAS HABILES O MORA]]&lt;0,(Tabla14[[#This Row],[VALOR PRESTAMO]]*Tabla14[[#This Row],[% INTERES ]]/30*U3843))+Tabla14[[#This Row],[VALOR CUOTAS]]</f>
        <v>#VALUE!</v>
      </c>
      <c r="S3843" s="88">
        <f>-IF(Tabla14[[#This Row],[DIAS HABILES O MORA]]&lt;0,(Tabla14[[#This Row],[VALOR PRESTAMO]]*Tabla14[[#This Row],[% INTERES ]]/30*U3843))</f>
        <v>0</v>
      </c>
      <c r="T3843" s="53" t="e">
        <f>Tabla14[[#This Row],[DEUDA CAPITAL]]+Tabla14[[#This Row],[INTERES  CUOTA]]</f>
        <v>#NUM!</v>
      </c>
      <c r="U3843" s="61" t="str">
        <f t="shared" si="609"/>
        <v/>
      </c>
    </row>
    <row r="3844" spans="9:21" ht="24.75" customHeight="1" x14ac:dyDescent="0.35">
      <c r="I3844" s="42">
        <f t="shared" si="600"/>
        <v>0</v>
      </c>
      <c r="J3844" s="65" t="e">
        <f t="shared" si="601"/>
        <v>#NUM!</v>
      </c>
      <c r="K3844" s="83" t="e">
        <f t="shared" si="602"/>
        <v>#NUM!</v>
      </c>
      <c r="L3844" s="83">
        <f t="shared" si="603"/>
        <v>0</v>
      </c>
      <c r="M3844" s="110" t="str">
        <f t="shared" si="604"/>
        <v/>
      </c>
      <c r="N3844" s="51" t="str">
        <f t="shared" si="605"/>
        <v/>
      </c>
      <c r="O3844" s="52" t="str">
        <f t="shared" si="606"/>
        <v/>
      </c>
      <c r="P3844" s="88">
        <f t="shared" si="607"/>
        <v>0</v>
      </c>
      <c r="Q3844" s="88">
        <f t="shared" si="608"/>
        <v>0</v>
      </c>
      <c r="R3844" s="88" t="e">
        <f>-IF(Tabla14[[#This Row],[DIAS HABILES O MORA]]&lt;0,(Tabla14[[#This Row],[VALOR PRESTAMO]]*Tabla14[[#This Row],[% INTERES ]]/30*U3844))+Tabla14[[#This Row],[VALOR CUOTAS]]</f>
        <v>#VALUE!</v>
      </c>
      <c r="S3844" s="88">
        <f>-IF(Tabla14[[#This Row],[DIAS HABILES O MORA]]&lt;0,(Tabla14[[#This Row],[VALOR PRESTAMO]]*Tabla14[[#This Row],[% INTERES ]]/30*U3844))</f>
        <v>0</v>
      </c>
      <c r="T3844" s="53" t="e">
        <f>Tabla14[[#This Row],[DEUDA CAPITAL]]+Tabla14[[#This Row],[INTERES  CUOTA]]</f>
        <v>#NUM!</v>
      </c>
      <c r="U3844" s="61" t="str">
        <f t="shared" si="609"/>
        <v/>
      </c>
    </row>
    <row r="3845" spans="9:21" ht="24.75" customHeight="1" x14ac:dyDescent="0.35">
      <c r="I3845" s="42">
        <f t="shared" si="600"/>
        <v>0</v>
      </c>
      <c r="J3845" s="65" t="e">
        <f t="shared" si="601"/>
        <v>#NUM!</v>
      </c>
      <c r="K3845" s="83" t="e">
        <f t="shared" si="602"/>
        <v>#NUM!</v>
      </c>
      <c r="L3845" s="83">
        <f t="shared" si="603"/>
        <v>0</v>
      </c>
      <c r="M3845" s="110" t="str">
        <f t="shared" si="604"/>
        <v/>
      </c>
      <c r="N3845" s="51" t="str">
        <f t="shared" si="605"/>
        <v/>
      </c>
      <c r="O3845" s="52" t="str">
        <f t="shared" si="606"/>
        <v/>
      </c>
      <c r="P3845" s="88">
        <f t="shared" si="607"/>
        <v>0</v>
      </c>
      <c r="Q3845" s="88">
        <f t="shared" si="608"/>
        <v>0</v>
      </c>
      <c r="R3845" s="88" t="e">
        <f>-IF(Tabla14[[#This Row],[DIAS HABILES O MORA]]&lt;0,(Tabla14[[#This Row],[VALOR PRESTAMO]]*Tabla14[[#This Row],[% INTERES ]]/30*U3845))+Tabla14[[#This Row],[VALOR CUOTAS]]</f>
        <v>#VALUE!</v>
      </c>
      <c r="S3845" s="88">
        <f>-IF(Tabla14[[#This Row],[DIAS HABILES O MORA]]&lt;0,(Tabla14[[#This Row],[VALOR PRESTAMO]]*Tabla14[[#This Row],[% INTERES ]]/30*U3845))</f>
        <v>0</v>
      </c>
      <c r="T3845" s="53" t="e">
        <f>Tabla14[[#This Row],[DEUDA CAPITAL]]+Tabla14[[#This Row],[INTERES  CUOTA]]</f>
        <v>#NUM!</v>
      </c>
      <c r="U3845" s="61" t="str">
        <f t="shared" si="609"/>
        <v/>
      </c>
    </row>
    <row r="3846" spans="9:21" ht="24.75" customHeight="1" x14ac:dyDescent="0.35">
      <c r="I3846" s="42">
        <f t="shared" si="600"/>
        <v>0</v>
      </c>
      <c r="J3846" s="65" t="e">
        <f t="shared" si="601"/>
        <v>#NUM!</v>
      </c>
      <c r="K3846" s="83" t="e">
        <f t="shared" si="602"/>
        <v>#NUM!</v>
      </c>
      <c r="L3846" s="83">
        <f t="shared" si="603"/>
        <v>0</v>
      </c>
      <c r="M3846" s="110" t="str">
        <f t="shared" si="604"/>
        <v/>
      </c>
      <c r="N3846" s="51" t="str">
        <f t="shared" si="605"/>
        <v/>
      </c>
      <c r="O3846" s="52" t="str">
        <f t="shared" si="606"/>
        <v/>
      </c>
      <c r="P3846" s="88">
        <f t="shared" si="607"/>
        <v>0</v>
      </c>
      <c r="Q3846" s="88">
        <f t="shared" si="608"/>
        <v>0</v>
      </c>
      <c r="R3846" s="88" t="e">
        <f>-IF(Tabla14[[#This Row],[DIAS HABILES O MORA]]&lt;0,(Tabla14[[#This Row],[VALOR PRESTAMO]]*Tabla14[[#This Row],[% INTERES ]]/30*U3846))+Tabla14[[#This Row],[VALOR CUOTAS]]</f>
        <v>#VALUE!</v>
      </c>
      <c r="S3846" s="88">
        <f>-IF(Tabla14[[#This Row],[DIAS HABILES O MORA]]&lt;0,(Tabla14[[#This Row],[VALOR PRESTAMO]]*Tabla14[[#This Row],[% INTERES ]]/30*U3846))</f>
        <v>0</v>
      </c>
      <c r="T3846" s="53" t="e">
        <f>Tabla14[[#This Row],[DEUDA CAPITAL]]+Tabla14[[#This Row],[INTERES  CUOTA]]</f>
        <v>#NUM!</v>
      </c>
      <c r="U3846" s="61" t="str">
        <f t="shared" si="609"/>
        <v/>
      </c>
    </row>
    <row r="3847" spans="9:21" ht="24.75" customHeight="1" x14ac:dyDescent="0.35">
      <c r="I3847" s="42">
        <f t="shared" si="600"/>
        <v>0</v>
      </c>
      <c r="J3847" s="65" t="e">
        <f t="shared" si="601"/>
        <v>#NUM!</v>
      </c>
      <c r="K3847" s="83" t="e">
        <f t="shared" si="602"/>
        <v>#NUM!</v>
      </c>
      <c r="L3847" s="83">
        <f t="shared" si="603"/>
        <v>0</v>
      </c>
      <c r="M3847" s="110" t="str">
        <f t="shared" si="604"/>
        <v/>
      </c>
      <c r="N3847" s="51" t="str">
        <f t="shared" si="605"/>
        <v/>
      </c>
      <c r="O3847" s="52" t="str">
        <f t="shared" si="606"/>
        <v/>
      </c>
      <c r="P3847" s="88">
        <f t="shared" si="607"/>
        <v>0</v>
      </c>
      <c r="Q3847" s="88">
        <f t="shared" si="608"/>
        <v>0</v>
      </c>
      <c r="R3847" s="88" t="e">
        <f>-IF(Tabla14[[#This Row],[DIAS HABILES O MORA]]&lt;0,(Tabla14[[#This Row],[VALOR PRESTAMO]]*Tabla14[[#This Row],[% INTERES ]]/30*U3847))+Tabla14[[#This Row],[VALOR CUOTAS]]</f>
        <v>#VALUE!</v>
      </c>
      <c r="S3847" s="88">
        <f>-IF(Tabla14[[#This Row],[DIAS HABILES O MORA]]&lt;0,(Tabla14[[#This Row],[VALOR PRESTAMO]]*Tabla14[[#This Row],[% INTERES ]]/30*U3847))</f>
        <v>0</v>
      </c>
      <c r="T3847" s="53" t="e">
        <f>Tabla14[[#This Row],[DEUDA CAPITAL]]+Tabla14[[#This Row],[INTERES  CUOTA]]</f>
        <v>#NUM!</v>
      </c>
      <c r="U3847" s="61" t="str">
        <f t="shared" si="609"/>
        <v/>
      </c>
    </row>
    <row r="3848" spans="9:21" ht="24.75" customHeight="1" x14ac:dyDescent="0.35">
      <c r="I3848" s="42">
        <f t="shared" si="600"/>
        <v>0</v>
      </c>
      <c r="J3848" s="65" t="e">
        <f t="shared" si="601"/>
        <v>#NUM!</v>
      </c>
      <c r="K3848" s="83" t="e">
        <f t="shared" si="602"/>
        <v>#NUM!</v>
      </c>
      <c r="L3848" s="83">
        <f t="shared" si="603"/>
        <v>0</v>
      </c>
      <c r="M3848" s="110" t="str">
        <f t="shared" si="604"/>
        <v/>
      </c>
      <c r="N3848" s="51" t="str">
        <f t="shared" si="605"/>
        <v/>
      </c>
      <c r="O3848" s="52" t="str">
        <f t="shared" si="606"/>
        <v/>
      </c>
      <c r="P3848" s="88">
        <f t="shared" si="607"/>
        <v>0</v>
      </c>
      <c r="Q3848" s="88">
        <f t="shared" si="608"/>
        <v>0</v>
      </c>
      <c r="R3848" s="88" t="e">
        <f>-IF(Tabla14[[#This Row],[DIAS HABILES O MORA]]&lt;0,(Tabla14[[#This Row],[VALOR PRESTAMO]]*Tabla14[[#This Row],[% INTERES ]]/30*U3848))+Tabla14[[#This Row],[VALOR CUOTAS]]</f>
        <v>#VALUE!</v>
      </c>
      <c r="S3848" s="88">
        <f>-IF(Tabla14[[#This Row],[DIAS HABILES O MORA]]&lt;0,(Tabla14[[#This Row],[VALOR PRESTAMO]]*Tabla14[[#This Row],[% INTERES ]]/30*U3848))</f>
        <v>0</v>
      </c>
      <c r="T3848" s="53" t="e">
        <f>Tabla14[[#This Row],[DEUDA CAPITAL]]+Tabla14[[#This Row],[INTERES  CUOTA]]</f>
        <v>#NUM!</v>
      </c>
      <c r="U3848" s="61" t="str">
        <f t="shared" si="609"/>
        <v/>
      </c>
    </row>
    <row r="3849" spans="9:21" ht="24.75" customHeight="1" x14ac:dyDescent="0.35">
      <c r="I3849" s="42">
        <f t="shared" si="600"/>
        <v>0</v>
      </c>
      <c r="J3849" s="65" t="e">
        <f t="shared" si="601"/>
        <v>#NUM!</v>
      </c>
      <c r="K3849" s="83" t="e">
        <f t="shared" si="602"/>
        <v>#NUM!</v>
      </c>
      <c r="L3849" s="83">
        <f t="shared" si="603"/>
        <v>0</v>
      </c>
      <c r="M3849" s="110" t="str">
        <f t="shared" si="604"/>
        <v/>
      </c>
      <c r="N3849" s="51" t="str">
        <f t="shared" si="605"/>
        <v/>
      </c>
      <c r="O3849" s="52" t="str">
        <f t="shared" si="606"/>
        <v/>
      </c>
      <c r="P3849" s="88">
        <f t="shared" si="607"/>
        <v>0</v>
      </c>
      <c r="Q3849" s="88">
        <f t="shared" si="608"/>
        <v>0</v>
      </c>
      <c r="R3849" s="88" t="e">
        <f>-IF(Tabla14[[#This Row],[DIAS HABILES O MORA]]&lt;0,(Tabla14[[#This Row],[VALOR PRESTAMO]]*Tabla14[[#This Row],[% INTERES ]]/30*U3849))+Tabla14[[#This Row],[VALOR CUOTAS]]</f>
        <v>#VALUE!</v>
      </c>
      <c r="S3849" s="88">
        <f>-IF(Tabla14[[#This Row],[DIAS HABILES O MORA]]&lt;0,(Tabla14[[#This Row],[VALOR PRESTAMO]]*Tabla14[[#This Row],[% INTERES ]]/30*U3849))</f>
        <v>0</v>
      </c>
      <c r="T3849" s="53" t="e">
        <f>Tabla14[[#This Row],[DEUDA CAPITAL]]+Tabla14[[#This Row],[INTERES  CUOTA]]</f>
        <v>#NUM!</v>
      </c>
      <c r="U3849" s="61" t="str">
        <f t="shared" si="609"/>
        <v/>
      </c>
    </row>
    <row r="3850" spans="9:21" ht="24.75" customHeight="1" x14ac:dyDescent="0.35">
      <c r="I3850" s="42">
        <f t="shared" si="600"/>
        <v>0</v>
      </c>
      <c r="J3850" s="65" t="e">
        <f t="shared" si="601"/>
        <v>#NUM!</v>
      </c>
      <c r="K3850" s="83" t="e">
        <f t="shared" si="602"/>
        <v>#NUM!</v>
      </c>
      <c r="L3850" s="83">
        <f t="shared" si="603"/>
        <v>0</v>
      </c>
      <c r="M3850" s="110" t="str">
        <f t="shared" si="604"/>
        <v/>
      </c>
      <c r="N3850" s="51" t="str">
        <f t="shared" si="605"/>
        <v/>
      </c>
      <c r="O3850" s="52" t="str">
        <f t="shared" si="606"/>
        <v/>
      </c>
      <c r="P3850" s="88">
        <f t="shared" si="607"/>
        <v>0</v>
      </c>
      <c r="Q3850" s="88">
        <f t="shared" si="608"/>
        <v>0</v>
      </c>
      <c r="R3850" s="88" t="e">
        <f>-IF(Tabla14[[#This Row],[DIAS HABILES O MORA]]&lt;0,(Tabla14[[#This Row],[VALOR PRESTAMO]]*Tabla14[[#This Row],[% INTERES ]]/30*U3850))+Tabla14[[#This Row],[VALOR CUOTAS]]</f>
        <v>#VALUE!</v>
      </c>
      <c r="S3850" s="88">
        <f>-IF(Tabla14[[#This Row],[DIAS HABILES O MORA]]&lt;0,(Tabla14[[#This Row],[VALOR PRESTAMO]]*Tabla14[[#This Row],[% INTERES ]]/30*U3850))</f>
        <v>0</v>
      </c>
      <c r="T3850" s="53" t="e">
        <f>Tabla14[[#This Row],[DEUDA CAPITAL]]+Tabla14[[#This Row],[INTERES  CUOTA]]</f>
        <v>#NUM!</v>
      </c>
      <c r="U3850" s="61" t="str">
        <f t="shared" si="609"/>
        <v/>
      </c>
    </row>
    <row r="3851" spans="9:21" ht="24.75" customHeight="1" x14ac:dyDescent="0.35">
      <c r="I3851" s="42">
        <f t="shared" si="600"/>
        <v>0</v>
      </c>
      <c r="J3851" s="65" t="e">
        <f t="shared" si="601"/>
        <v>#NUM!</v>
      </c>
      <c r="K3851" s="83" t="e">
        <f t="shared" si="602"/>
        <v>#NUM!</v>
      </c>
      <c r="L3851" s="83">
        <f t="shared" si="603"/>
        <v>0</v>
      </c>
      <c r="M3851" s="110" t="str">
        <f t="shared" si="604"/>
        <v/>
      </c>
      <c r="N3851" s="51" t="str">
        <f t="shared" si="605"/>
        <v/>
      </c>
      <c r="O3851" s="52" t="str">
        <f t="shared" si="606"/>
        <v/>
      </c>
      <c r="P3851" s="88">
        <f t="shared" si="607"/>
        <v>0</v>
      </c>
      <c r="Q3851" s="88">
        <f t="shared" si="608"/>
        <v>0</v>
      </c>
      <c r="R3851" s="88" t="e">
        <f>-IF(Tabla14[[#This Row],[DIAS HABILES O MORA]]&lt;0,(Tabla14[[#This Row],[VALOR PRESTAMO]]*Tabla14[[#This Row],[% INTERES ]]/30*U3851))+Tabla14[[#This Row],[VALOR CUOTAS]]</f>
        <v>#VALUE!</v>
      </c>
      <c r="S3851" s="88">
        <f>-IF(Tabla14[[#This Row],[DIAS HABILES O MORA]]&lt;0,(Tabla14[[#This Row],[VALOR PRESTAMO]]*Tabla14[[#This Row],[% INTERES ]]/30*U3851))</f>
        <v>0</v>
      </c>
      <c r="T3851" s="53" t="e">
        <f>Tabla14[[#This Row],[DEUDA CAPITAL]]+Tabla14[[#This Row],[INTERES  CUOTA]]</f>
        <v>#NUM!</v>
      </c>
      <c r="U3851" s="61" t="str">
        <f t="shared" si="609"/>
        <v/>
      </c>
    </row>
    <row r="3852" spans="9:21" ht="24.75" customHeight="1" x14ac:dyDescent="0.35">
      <c r="I3852" s="42">
        <f t="shared" si="600"/>
        <v>0</v>
      </c>
      <c r="J3852" s="65" t="e">
        <f t="shared" si="601"/>
        <v>#NUM!</v>
      </c>
      <c r="K3852" s="83" t="e">
        <f t="shared" si="602"/>
        <v>#NUM!</v>
      </c>
      <c r="L3852" s="83">
        <f t="shared" si="603"/>
        <v>0</v>
      </c>
      <c r="M3852" s="110" t="str">
        <f t="shared" si="604"/>
        <v/>
      </c>
      <c r="N3852" s="51" t="str">
        <f t="shared" si="605"/>
        <v/>
      </c>
      <c r="O3852" s="52" t="str">
        <f t="shared" si="606"/>
        <v/>
      </c>
      <c r="P3852" s="88">
        <f t="shared" si="607"/>
        <v>0</v>
      </c>
      <c r="Q3852" s="88">
        <f t="shared" si="608"/>
        <v>0</v>
      </c>
      <c r="R3852" s="88" t="e">
        <f>-IF(Tabla14[[#This Row],[DIAS HABILES O MORA]]&lt;0,(Tabla14[[#This Row],[VALOR PRESTAMO]]*Tabla14[[#This Row],[% INTERES ]]/30*U3852))+Tabla14[[#This Row],[VALOR CUOTAS]]</f>
        <v>#VALUE!</v>
      </c>
      <c r="S3852" s="88">
        <f>-IF(Tabla14[[#This Row],[DIAS HABILES O MORA]]&lt;0,(Tabla14[[#This Row],[VALOR PRESTAMO]]*Tabla14[[#This Row],[% INTERES ]]/30*U3852))</f>
        <v>0</v>
      </c>
      <c r="T3852" s="53" t="e">
        <f>Tabla14[[#This Row],[DEUDA CAPITAL]]+Tabla14[[#This Row],[INTERES  CUOTA]]</f>
        <v>#NUM!</v>
      </c>
      <c r="U3852" s="61" t="str">
        <f t="shared" si="609"/>
        <v/>
      </c>
    </row>
    <row r="3853" spans="9:21" ht="24.75" customHeight="1" x14ac:dyDescent="0.35">
      <c r="I3853" s="42">
        <f t="shared" si="600"/>
        <v>0</v>
      </c>
      <c r="J3853" s="65" t="e">
        <f t="shared" si="601"/>
        <v>#NUM!</v>
      </c>
      <c r="K3853" s="83" t="e">
        <f t="shared" si="602"/>
        <v>#NUM!</v>
      </c>
      <c r="L3853" s="83">
        <f t="shared" si="603"/>
        <v>0</v>
      </c>
      <c r="M3853" s="110" t="str">
        <f t="shared" si="604"/>
        <v/>
      </c>
      <c r="N3853" s="51" t="str">
        <f t="shared" si="605"/>
        <v/>
      </c>
      <c r="O3853" s="52" t="str">
        <f t="shared" si="606"/>
        <v/>
      </c>
      <c r="P3853" s="88">
        <f t="shared" si="607"/>
        <v>0</v>
      </c>
      <c r="Q3853" s="88">
        <f t="shared" si="608"/>
        <v>0</v>
      </c>
      <c r="R3853" s="88" t="e">
        <f>-IF(Tabla14[[#This Row],[DIAS HABILES O MORA]]&lt;0,(Tabla14[[#This Row],[VALOR PRESTAMO]]*Tabla14[[#This Row],[% INTERES ]]/30*U3853))+Tabla14[[#This Row],[VALOR CUOTAS]]</f>
        <v>#VALUE!</v>
      </c>
      <c r="S3853" s="88">
        <f>-IF(Tabla14[[#This Row],[DIAS HABILES O MORA]]&lt;0,(Tabla14[[#This Row],[VALOR PRESTAMO]]*Tabla14[[#This Row],[% INTERES ]]/30*U3853))</f>
        <v>0</v>
      </c>
      <c r="T3853" s="53" t="e">
        <f>Tabla14[[#This Row],[DEUDA CAPITAL]]+Tabla14[[#This Row],[INTERES  CUOTA]]</f>
        <v>#NUM!</v>
      </c>
      <c r="U3853" s="61" t="str">
        <f t="shared" si="609"/>
        <v/>
      </c>
    </row>
    <row r="3854" spans="9:21" ht="24.75" customHeight="1" x14ac:dyDescent="0.35">
      <c r="I3854" s="42">
        <f t="shared" si="600"/>
        <v>0</v>
      </c>
      <c r="J3854" s="65" t="e">
        <f t="shared" si="601"/>
        <v>#NUM!</v>
      </c>
      <c r="K3854" s="83" t="e">
        <f t="shared" si="602"/>
        <v>#NUM!</v>
      </c>
      <c r="L3854" s="83">
        <f t="shared" si="603"/>
        <v>0</v>
      </c>
      <c r="M3854" s="110" t="str">
        <f t="shared" si="604"/>
        <v/>
      </c>
      <c r="N3854" s="51" t="str">
        <f t="shared" si="605"/>
        <v/>
      </c>
      <c r="O3854" s="52" t="str">
        <f t="shared" si="606"/>
        <v/>
      </c>
      <c r="P3854" s="88">
        <f t="shared" si="607"/>
        <v>0</v>
      </c>
      <c r="Q3854" s="88">
        <f t="shared" si="608"/>
        <v>0</v>
      </c>
      <c r="R3854" s="88" t="e">
        <f>-IF(Tabla14[[#This Row],[DIAS HABILES O MORA]]&lt;0,(Tabla14[[#This Row],[VALOR PRESTAMO]]*Tabla14[[#This Row],[% INTERES ]]/30*U3854))+Tabla14[[#This Row],[VALOR CUOTAS]]</f>
        <v>#VALUE!</v>
      </c>
      <c r="S3854" s="88">
        <f>-IF(Tabla14[[#This Row],[DIAS HABILES O MORA]]&lt;0,(Tabla14[[#This Row],[VALOR PRESTAMO]]*Tabla14[[#This Row],[% INTERES ]]/30*U3854))</f>
        <v>0</v>
      </c>
      <c r="T3854" s="53" t="e">
        <f>Tabla14[[#This Row],[DEUDA CAPITAL]]+Tabla14[[#This Row],[INTERES  CUOTA]]</f>
        <v>#NUM!</v>
      </c>
      <c r="U3854" s="61" t="str">
        <f t="shared" si="609"/>
        <v/>
      </c>
    </row>
    <row r="3855" spans="9:21" ht="24.75" customHeight="1" x14ac:dyDescent="0.35">
      <c r="I3855" s="42">
        <f t="shared" si="600"/>
        <v>0</v>
      </c>
      <c r="J3855" s="65" t="e">
        <f t="shared" si="601"/>
        <v>#NUM!</v>
      </c>
      <c r="K3855" s="83" t="e">
        <f t="shared" si="602"/>
        <v>#NUM!</v>
      </c>
      <c r="L3855" s="83">
        <f t="shared" si="603"/>
        <v>0</v>
      </c>
      <c r="M3855" s="110" t="str">
        <f t="shared" si="604"/>
        <v/>
      </c>
      <c r="N3855" s="51" t="str">
        <f t="shared" si="605"/>
        <v/>
      </c>
      <c r="O3855" s="52" t="str">
        <f t="shared" si="606"/>
        <v/>
      </c>
      <c r="P3855" s="88">
        <f t="shared" si="607"/>
        <v>0</v>
      </c>
      <c r="Q3855" s="88">
        <f t="shared" si="608"/>
        <v>0</v>
      </c>
      <c r="R3855" s="88" t="e">
        <f>-IF(Tabla14[[#This Row],[DIAS HABILES O MORA]]&lt;0,(Tabla14[[#This Row],[VALOR PRESTAMO]]*Tabla14[[#This Row],[% INTERES ]]/30*U3855))+Tabla14[[#This Row],[VALOR CUOTAS]]</f>
        <v>#VALUE!</v>
      </c>
      <c r="S3855" s="88">
        <f>-IF(Tabla14[[#This Row],[DIAS HABILES O MORA]]&lt;0,(Tabla14[[#This Row],[VALOR PRESTAMO]]*Tabla14[[#This Row],[% INTERES ]]/30*U3855))</f>
        <v>0</v>
      </c>
      <c r="T3855" s="53" t="e">
        <f>Tabla14[[#This Row],[DEUDA CAPITAL]]+Tabla14[[#This Row],[INTERES  CUOTA]]</f>
        <v>#NUM!</v>
      </c>
      <c r="U3855" s="61" t="str">
        <f t="shared" si="609"/>
        <v/>
      </c>
    </row>
    <row r="3856" spans="9:21" ht="24.75" customHeight="1" x14ac:dyDescent="0.35">
      <c r="I3856" s="42">
        <f t="shared" ref="I3856:I3919" si="610">IF(C3856&lt;0,"",IF(Q3856=0,0,IF(G3856=0,H3856+1,IF(H3856&lt;G3856,H3856+1,IF(G3856=H3856,0)))))</f>
        <v>0</v>
      </c>
      <c r="J3856" s="65" t="e">
        <f t="shared" ref="J3856:J3919" si="611">IF(F3856="SOLO INTERES",Q3856*D3856,-IPMT(D3856,I3856,G3856,C3856))</f>
        <v>#NUM!</v>
      </c>
      <c r="K3856" s="83" t="e">
        <f t="shared" ref="K3856:K3919" si="612">IF(F3856="SOLO INTERES",0,-PPMT(D3856,I3856,G3856,C3856))</f>
        <v>#NUM!</v>
      </c>
      <c r="L3856" s="83">
        <f t="shared" ref="L3856:L3919" si="613">IF(F3856="SOLO INTERES",SUM(Y3856:AAE3856),IFERROR(-CUMIPMT(D3856,G3856,C3856,1,H3856,0),0)+SUM(Y3856:WY3856))</f>
        <v>0</v>
      </c>
      <c r="M3856" s="110" t="str">
        <f t="shared" ref="M3856:M3919" si="614">IFERROR(IF(F3856="SOLO INTERES",Q3856*D3856,-PMT(D3856,G3856,C3856,0)),"")</f>
        <v/>
      </c>
      <c r="N3856" s="51" t="str">
        <f t="shared" ref="N3856:N3919" si="615">IF(Q3856=0,"",IF(E3856="MENSUAL",EDATE(B3856,I3856),IF(E3856="QUINCENAL",B3856+(I3856*15),IF(E3856="SEMANAL",B3856+(I3856*7)))))</f>
        <v/>
      </c>
      <c r="O3856" s="52" t="str">
        <f t="shared" ref="O3856:O3919" si="616">IF(C3856=0,"",IF(Q3856&lt;1,"PAGADO",IF(N3856=$A$3,"COBRAR HOY",IF(N3856&lt;$A$3,"EN MORA",IF(N3856&gt;$A$3,"AL DIA")))))</f>
        <v/>
      </c>
      <c r="P3856" s="88">
        <f t="shared" ref="P3856:P3919" si="617">IFERROR(-CUMPRINC(D3856,G3856,C3856,1,H3856,0),0)+W3856</f>
        <v>0</v>
      </c>
      <c r="Q3856" s="88">
        <f t="shared" ref="Q3856:Q3919" si="618">IFERROR(C3856-P3856,"")</f>
        <v>0</v>
      </c>
      <c r="R3856" s="88" t="e">
        <f>-IF(Tabla14[[#This Row],[DIAS HABILES O MORA]]&lt;0,(Tabla14[[#This Row],[VALOR PRESTAMO]]*Tabla14[[#This Row],[% INTERES ]]/30*U3856))+Tabla14[[#This Row],[VALOR CUOTAS]]</f>
        <v>#VALUE!</v>
      </c>
      <c r="S3856" s="88">
        <f>-IF(Tabla14[[#This Row],[DIAS HABILES O MORA]]&lt;0,(Tabla14[[#This Row],[VALOR PRESTAMO]]*Tabla14[[#This Row],[% INTERES ]]/30*U3856))</f>
        <v>0</v>
      </c>
      <c r="T3856" s="53" t="e">
        <f>Tabla14[[#This Row],[DEUDA CAPITAL]]+Tabla14[[#This Row],[INTERES  CUOTA]]</f>
        <v>#NUM!</v>
      </c>
      <c r="U3856" s="61" t="str">
        <f t="shared" ref="U3856:U3919" si="619">IF(O3856="PAGADO","",IFERROR(-IF(C3856=0,"",$A$3-N3856),""))</f>
        <v/>
      </c>
    </row>
    <row r="3857" spans="9:21" ht="24.75" customHeight="1" x14ac:dyDescent="0.35">
      <c r="I3857" s="42">
        <f t="shared" si="610"/>
        <v>0</v>
      </c>
      <c r="J3857" s="65" t="e">
        <f t="shared" si="611"/>
        <v>#NUM!</v>
      </c>
      <c r="K3857" s="83" t="e">
        <f t="shared" si="612"/>
        <v>#NUM!</v>
      </c>
      <c r="L3857" s="83">
        <f t="shared" si="613"/>
        <v>0</v>
      </c>
      <c r="M3857" s="110" t="str">
        <f t="shared" si="614"/>
        <v/>
      </c>
      <c r="N3857" s="51" t="str">
        <f t="shared" si="615"/>
        <v/>
      </c>
      <c r="O3857" s="52" t="str">
        <f t="shared" si="616"/>
        <v/>
      </c>
      <c r="P3857" s="88">
        <f t="shared" si="617"/>
        <v>0</v>
      </c>
      <c r="Q3857" s="88">
        <f t="shared" si="618"/>
        <v>0</v>
      </c>
      <c r="R3857" s="88" t="e">
        <f>-IF(Tabla14[[#This Row],[DIAS HABILES O MORA]]&lt;0,(Tabla14[[#This Row],[VALOR PRESTAMO]]*Tabla14[[#This Row],[% INTERES ]]/30*U3857))+Tabla14[[#This Row],[VALOR CUOTAS]]</f>
        <v>#VALUE!</v>
      </c>
      <c r="S3857" s="88">
        <f>-IF(Tabla14[[#This Row],[DIAS HABILES O MORA]]&lt;0,(Tabla14[[#This Row],[VALOR PRESTAMO]]*Tabla14[[#This Row],[% INTERES ]]/30*U3857))</f>
        <v>0</v>
      </c>
      <c r="T3857" s="53" t="e">
        <f>Tabla14[[#This Row],[DEUDA CAPITAL]]+Tabla14[[#This Row],[INTERES  CUOTA]]</f>
        <v>#NUM!</v>
      </c>
      <c r="U3857" s="61" t="str">
        <f t="shared" si="619"/>
        <v/>
      </c>
    </row>
    <row r="3858" spans="9:21" ht="24.75" customHeight="1" x14ac:dyDescent="0.35">
      <c r="I3858" s="42">
        <f t="shared" si="610"/>
        <v>0</v>
      </c>
      <c r="J3858" s="65" t="e">
        <f t="shared" si="611"/>
        <v>#NUM!</v>
      </c>
      <c r="K3858" s="83" t="e">
        <f t="shared" si="612"/>
        <v>#NUM!</v>
      </c>
      <c r="L3858" s="83">
        <f t="shared" si="613"/>
        <v>0</v>
      </c>
      <c r="M3858" s="110" t="str">
        <f t="shared" si="614"/>
        <v/>
      </c>
      <c r="N3858" s="51" t="str">
        <f t="shared" si="615"/>
        <v/>
      </c>
      <c r="O3858" s="52" t="str">
        <f t="shared" si="616"/>
        <v/>
      </c>
      <c r="P3858" s="88">
        <f t="shared" si="617"/>
        <v>0</v>
      </c>
      <c r="Q3858" s="88">
        <f t="shared" si="618"/>
        <v>0</v>
      </c>
      <c r="R3858" s="88" t="e">
        <f>-IF(Tabla14[[#This Row],[DIAS HABILES O MORA]]&lt;0,(Tabla14[[#This Row],[VALOR PRESTAMO]]*Tabla14[[#This Row],[% INTERES ]]/30*U3858))+Tabla14[[#This Row],[VALOR CUOTAS]]</f>
        <v>#VALUE!</v>
      </c>
      <c r="S3858" s="88">
        <f>-IF(Tabla14[[#This Row],[DIAS HABILES O MORA]]&lt;0,(Tabla14[[#This Row],[VALOR PRESTAMO]]*Tabla14[[#This Row],[% INTERES ]]/30*U3858))</f>
        <v>0</v>
      </c>
      <c r="T3858" s="53" t="e">
        <f>Tabla14[[#This Row],[DEUDA CAPITAL]]+Tabla14[[#This Row],[INTERES  CUOTA]]</f>
        <v>#NUM!</v>
      </c>
      <c r="U3858" s="61" t="str">
        <f t="shared" si="619"/>
        <v/>
      </c>
    </row>
    <row r="3859" spans="9:21" ht="24.75" customHeight="1" x14ac:dyDescent="0.35">
      <c r="I3859" s="42">
        <f t="shared" si="610"/>
        <v>0</v>
      </c>
      <c r="J3859" s="65" t="e">
        <f t="shared" si="611"/>
        <v>#NUM!</v>
      </c>
      <c r="K3859" s="83" t="e">
        <f t="shared" si="612"/>
        <v>#NUM!</v>
      </c>
      <c r="L3859" s="83">
        <f t="shared" si="613"/>
        <v>0</v>
      </c>
      <c r="M3859" s="110" t="str">
        <f t="shared" si="614"/>
        <v/>
      </c>
      <c r="N3859" s="51" t="str">
        <f t="shared" si="615"/>
        <v/>
      </c>
      <c r="O3859" s="52" t="str">
        <f t="shared" si="616"/>
        <v/>
      </c>
      <c r="P3859" s="88">
        <f t="shared" si="617"/>
        <v>0</v>
      </c>
      <c r="Q3859" s="88">
        <f t="shared" si="618"/>
        <v>0</v>
      </c>
      <c r="R3859" s="88" t="e">
        <f>-IF(Tabla14[[#This Row],[DIAS HABILES O MORA]]&lt;0,(Tabla14[[#This Row],[VALOR PRESTAMO]]*Tabla14[[#This Row],[% INTERES ]]/30*U3859))+Tabla14[[#This Row],[VALOR CUOTAS]]</f>
        <v>#VALUE!</v>
      </c>
      <c r="S3859" s="88">
        <f>-IF(Tabla14[[#This Row],[DIAS HABILES O MORA]]&lt;0,(Tabla14[[#This Row],[VALOR PRESTAMO]]*Tabla14[[#This Row],[% INTERES ]]/30*U3859))</f>
        <v>0</v>
      </c>
      <c r="T3859" s="53" t="e">
        <f>Tabla14[[#This Row],[DEUDA CAPITAL]]+Tabla14[[#This Row],[INTERES  CUOTA]]</f>
        <v>#NUM!</v>
      </c>
      <c r="U3859" s="61" t="str">
        <f t="shared" si="619"/>
        <v/>
      </c>
    </row>
    <row r="3860" spans="9:21" ht="24.75" customHeight="1" x14ac:dyDescent="0.35">
      <c r="I3860" s="42">
        <f t="shared" si="610"/>
        <v>0</v>
      </c>
      <c r="J3860" s="65" t="e">
        <f t="shared" si="611"/>
        <v>#NUM!</v>
      </c>
      <c r="K3860" s="83" t="e">
        <f t="shared" si="612"/>
        <v>#NUM!</v>
      </c>
      <c r="L3860" s="83">
        <f t="shared" si="613"/>
        <v>0</v>
      </c>
      <c r="M3860" s="110" t="str">
        <f t="shared" si="614"/>
        <v/>
      </c>
      <c r="N3860" s="51" t="str">
        <f t="shared" si="615"/>
        <v/>
      </c>
      <c r="O3860" s="52" t="str">
        <f t="shared" si="616"/>
        <v/>
      </c>
      <c r="P3860" s="88">
        <f t="shared" si="617"/>
        <v>0</v>
      </c>
      <c r="Q3860" s="88">
        <f t="shared" si="618"/>
        <v>0</v>
      </c>
      <c r="R3860" s="88" t="e">
        <f>-IF(Tabla14[[#This Row],[DIAS HABILES O MORA]]&lt;0,(Tabla14[[#This Row],[VALOR PRESTAMO]]*Tabla14[[#This Row],[% INTERES ]]/30*U3860))+Tabla14[[#This Row],[VALOR CUOTAS]]</f>
        <v>#VALUE!</v>
      </c>
      <c r="S3860" s="88">
        <f>-IF(Tabla14[[#This Row],[DIAS HABILES O MORA]]&lt;0,(Tabla14[[#This Row],[VALOR PRESTAMO]]*Tabla14[[#This Row],[% INTERES ]]/30*U3860))</f>
        <v>0</v>
      </c>
      <c r="T3860" s="53" t="e">
        <f>Tabla14[[#This Row],[DEUDA CAPITAL]]+Tabla14[[#This Row],[INTERES  CUOTA]]</f>
        <v>#NUM!</v>
      </c>
      <c r="U3860" s="61" t="str">
        <f t="shared" si="619"/>
        <v/>
      </c>
    </row>
    <row r="3861" spans="9:21" ht="24.75" customHeight="1" x14ac:dyDescent="0.35">
      <c r="I3861" s="42">
        <f t="shared" si="610"/>
        <v>0</v>
      </c>
      <c r="J3861" s="65" t="e">
        <f t="shared" si="611"/>
        <v>#NUM!</v>
      </c>
      <c r="K3861" s="83" t="e">
        <f t="shared" si="612"/>
        <v>#NUM!</v>
      </c>
      <c r="L3861" s="83">
        <f t="shared" si="613"/>
        <v>0</v>
      </c>
      <c r="M3861" s="110" t="str">
        <f t="shared" si="614"/>
        <v/>
      </c>
      <c r="N3861" s="51" t="str">
        <f t="shared" si="615"/>
        <v/>
      </c>
      <c r="O3861" s="52" t="str">
        <f t="shared" si="616"/>
        <v/>
      </c>
      <c r="P3861" s="88">
        <f t="shared" si="617"/>
        <v>0</v>
      </c>
      <c r="Q3861" s="88">
        <f t="shared" si="618"/>
        <v>0</v>
      </c>
      <c r="R3861" s="88" t="e">
        <f>-IF(Tabla14[[#This Row],[DIAS HABILES O MORA]]&lt;0,(Tabla14[[#This Row],[VALOR PRESTAMO]]*Tabla14[[#This Row],[% INTERES ]]/30*U3861))+Tabla14[[#This Row],[VALOR CUOTAS]]</f>
        <v>#VALUE!</v>
      </c>
      <c r="S3861" s="88">
        <f>-IF(Tabla14[[#This Row],[DIAS HABILES O MORA]]&lt;0,(Tabla14[[#This Row],[VALOR PRESTAMO]]*Tabla14[[#This Row],[% INTERES ]]/30*U3861))</f>
        <v>0</v>
      </c>
      <c r="T3861" s="53" t="e">
        <f>Tabla14[[#This Row],[DEUDA CAPITAL]]+Tabla14[[#This Row],[INTERES  CUOTA]]</f>
        <v>#NUM!</v>
      </c>
      <c r="U3861" s="61" t="str">
        <f t="shared" si="619"/>
        <v/>
      </c>
    </row>
    <row r="3862" spans="9:21" ht="24.75" customHeight="1" x14ac:dyDescent="0.35">
      <c r="I3862" s="42">
        <f t="shared" si="610"/>
        <v>0</v>
      </c>
      <c r="J3862" s="65" t="e">
        <f t="shared" si="611"/>
        <v>#NUM!</v>
      </c>
      <c r="K3862" s="83" t="e">
        <f t="shared" si="612"/>
        <v>#NUM!</v>
      </c>
      <c r="L3862" s="83">
        <f t="shared" si="613"/>
        <v>0</v>
      </c>
      <c r="M3862" s="110" t="str">
        <f t="shared" si="614"/>
        <v/>
      </c>
      <c r="N3862" s="51" t="str">
        <f t="shared" si="615"/>
        <v/>
      </c>
      <c r="O3862" s="52" t="str">
        <f t="shared" si="616"/>
        <v/>
      </c>
      <c r="P3862" s="88">
        <f t="shared" si="617"/>
        <v>0</v>
      </c>
      <c r="Q3862" s="88">
        <f t="shared" si="618"/>
        <v>0</v>
      </c>
      <c r="R3862" s="88" t="e">
        <f>-IF(Tabla14[[#This Row],[DIAS HABILES O MORA]]&lt;0,(Tabla14[[#This Row],[VALOR PRESTAMO]]*Tabla14[[#This Row],[% INTERES ]]/30*U3862))+Tabla14[[#This Row],[VALOR CUOTAS]]</f>
        <v>#VALUE!</v>
      </c>
      <c r="S3862" s="88">
        <f>-IF(Tabla14[[#This Row],[DIAS HABILES O MORA]]&lt;0,(Tabla14[[#This Row],[VALOR PRESTAMO]]*Tabla14[[#This Row],[% INTERES ]]/30*U3862))</f>
        <v>0</v>
      </c>
      <c r="T3862" s="53" t="e">
        <f>Tabla14[[#This Row],[DEUDA CAPITAL]]+Tabla14[[#This Row],[INTERES  CUOTA]]</f>
        <v>#NUM!</v>
      </c>
      <c r="U3862" s="61" t="str">
        <f t="shared" si="619"/>
        <v/>
      </c>
    </row>
    <row r="3863" spans="9:21" ht="24.75" customHeight="1" x14ac:dyDescent="0.35">
      <c r="I3863" s="42">
        <f t="shared" si="610"/>
        <v>0</v>
      </c>
      <c r="J3863" s="65" t="e">
        <f t="shared" si="611"/>
        <v>#NUM!</v>
      </c>
      <c r="K3863" s="83" t="e">
        <f t="shared" si="612"/>
        <v>#NUM!</v>
      </c>
      <c r="L3863" s="83">
        <f t="shared" si="613"/>
        <v>0</v>
      </c>
      <c r="M3863" s="110" t="str">
        <f t="shared" si="614"/>
        <v/>
      </c>
      <c r="N3863" s="51" t="str">
        <f t="shared" si="615"/>
        <v/>
      </c>
      <c r="O3863" s="52" t="str">
        <f t="shared" si="616"/>
        <v/>
      </c>
      <c r="P3863" s="88">
        <f t="shared" si="617"/>
        <v>0</v>
      </c>
      <c r="Q3863" s="88">
        <f t="shared" si="618"/>
        <v>0</v>
      </c>
      <c r="R3863" s="88" t="e">
        <f>-IF(Tabla14[[#This Row],[DIAS HABILES O MORA]]&lt;0,(Tabla14[[#This Row],[VALOR PRESTAMO]]*Tabla14[[#This Row],[% INTERES ]]/30*U3863))+Tabla14[[#This Row],[VALOR CUOTAS]]</f>
        <v>#VALUE!</v>
      </c>
      <c r="S3863" s="88">
        <f>-IF(Tabla14[[#This Row],[DIAS HABILES O MORA]]&lt;0,(Tabla14[[#This Row],[VALOR PRESTAMO]]*Tabla14[[#This Row],[% INTERES ]]/30*U3863))</f>
        <v>0</v>
      </c>
      <c r="T3863" s="53" t="e">
        <f>Tabla14[[#This Row],[DEUDA CAPITAL]]+Tabla14[[#This Row],[INTERES  CUOTA]]</f>
        <v>#NUM!</v>
      </c>
      <c r="U3863" s="61" t="str">
        <f t="shared" si="619"/>
        <v/>
      </c>
    </row>
    <row r="3864" spans="9:21" ht="24.75" customHeight="1" x14ac:dyDescent="0.35">
      <c r="I3864" s="42">
        <f t="shared" si="610"/>
        <v>0</v>
      </c>
      <c r="J3864" s="65" t="e">
        <f t="shared" si="611"/>
        <v>#NUM!</v>
      </c>
      <c r="K3864" s="83" t="e">
        <f t="shared" si="612"/>
        <v>#NUM!</v>
      </c>
      <c r="L3864" s="83">
        <f t="shared" si="613"/>
        <v>0</v>
      </c>
      <c r="M3864" s="110" t="str">
        <f t="shared" si="614"/>
        <v/>
      </c>
      <c r="N3864" s="51" t="str">
        <f t="shared" si="615"/>
        <v/>
      </c>
      <c r="O3864" s="52" t="str">
        <f t="shared" si="616"/>
        <v/>
      </c>
      <c r="P3864" s="88">
        <f t="shared" si="617"/>
        <v>0</v>
      </c>
      <c r="Q3864" s="88">
        <f t="shared" si="618"/>
        <v>0</v>
      </c>
      <c r="R3864" s="88" t="e">
        <f>-IF(Tabla14[[#This Row],[DIAS HABILES O MORA]]&lt;0,(Tabla14[[#This Row],[VALOR PRESTAMO]]*Tabla14[[#This Row],[% INTERES ]]/30*U3864))+Tabla14[[#This Row],[VALOR CUOTAS]]</f>
        <v>#VALUE!</v>
      </c>
      <c r="S3864" s="88">
        <f>-IF(Tabla14[[#This Row],[DIAS HABILES O MORA]]&lt;0,(Tabla14[[#This Row],[VALOR PRESTAMO]]*Tabla14[[#This Row],[% INTERES ]]/30*U3864))</f>
        <v>0</v>
      </c>
      <c r="T3864" s="53" t="e">
        <f>Tabla14[[#This Row],[DEUDA CAPITAL]]+Tabla14[[#This Row],[INTERES  CUOTA]]</f>
        <v>#NUM!</v>
      </c>
      <c r="U3864" s="61" t="str">
        <f t="shared" si="619"/>
        <v/>
      </c>
    </row>
    <row r="3865" spans="9:21" ht="24.75" customHeight="1" x14ac:dyDescent="0.35">
      <c r="I3865" s="42">
        <f t="shared" si="610"/>
        <v>0</v>
      </c>
      <c r="J3865" s="65" t="e">
        <f t="shared" si="611"/>
        <v>#NUM!</v>
      </c>
      <c r="K3865" s="83" t="e">
        <f t="shared" si="612"/>
        <v>#NUM!</v>
      </c>
      <c r="L3865" s="83">
        <f t="shared" si="613"/>
        <v>0</v>
      </c>
      <c r="M3865" s="110" t="str">
        <f t="shared" si="614"/>
        <v/>
      </c>
      <c r="N3865" s="51" t="str">
        <f t="shared" si="615"/>
        <v/>
      </c>
      <c r="O3865" s="52" t="str">
        <f t="shared" si="616"/>
        <v/>
      </c>
      <c r="P3865" s="88">
        <f t="shared" si="617"/>
        <v>0</v>
      </c>
      <c r="Q3865" s="88">
        <f t="shared" si="618"/>
        <v>0</v>
      </c>
      <c r="R3865" s="88" t="e">
        <f>-IF(Tabla14[[#This Row],[DIAS HABILES O MORA]]&lt;0,(Tabla14[[#This Row],[VALOR PRESTAMO]]*Tabla14[[#This Row],[% INTERES ]]/30*U3865))+Tabla14[[#This Row],[VALOR CUOTAS]]</f>
        <v>#VALUE!</v>
      </c>
      <c r="S3865" s="88">
        <f>-IF(Tabla14[[#This Row],[DIAS HABILES O MORA]]&lt;0,(Tabla14[[#This Row],[VALOR PRESTAMO]]*Tabla14[[#This Row],[% INTERES ]]/30*U3865))</f>
        <v>0</v>
      </c>
      <c r="T3865" s="53" t="e">
        <f>Tabla14[[#This Row],[DEUDA CAPITAL]]+Tabla14[[#This Row],[INTERES  CUOTA]]</f>
        <v>#NUM!</v>
      </c>
      <c r="U3865" s="61" t="str">
        <f t="shared" si="619"/>
        <v/>
      </c>
    </row>
    <row r="3866" spans="9:21" ht="24.75" customHeight="1" x14ac:dyDescent="0.35">
      <c r="I3866" s="42">
        <f t="shared" si="610"/>
        <v>0</v>
      </c>
      <c r="J3866" s="65" t="e">
        <f t="shared" si="611"/>
        <v>#NUM!</v>
      </c>
      <c r="K3866" s="83" t="e">
        <f t="shared" si="612"/>
        <v>#NUM!</v>
      </c>
      <c r="L3866" s="83">
        <f t="shared" si="613"/>
        <v>0</v>
      </c>
      <c r="M3866" s="110" t="str">
        <f t="shared" si="614"/>
        <v/>
      </c>
      <c r="N3866" s="51" t="str">
        <f t="shared" si="615"/>
        <v/>
      </c>
      <c r="O3866" s="52" t="str">
        <f t="shared" si="616"/>
        <v/>
      </c>
      <c r="P3866" s="88">
        <f t="shared" si="617"/>
        <v>0</v>
      </c>
      <c r="Q3866" s="88">
        <f t="shared" si="618"/>
        <v>0</v>
      </c>
      <c r="R3866" s="88" t="e">
        <f>-IF(Tabla14[[#This Row],[DIAS HABILES O MORA]]&lt;0,(Tabla14[[#This Row],[VALOR PRESTAMO]]*Tabla14[[#This Row],[% INTERES ]]/30*U3866))+Tabla14[[#This Row],[VALOR CUOTAS]]</f>
        <v>#VALUE!</v>
      </c>
      <c r="S3866" s="88">
        <f>-IF(Tabla14[[#This Row],[DIAS HABILES O MORA]]&lt;0,(Tabla14[[#This Row],[VALOR PRESTAMO]]*Tabla14[[#This Row],[% INTERES ]]/30*U3866))</f>
        <v>0</v>
      </c>
      <c r="T3866" s="53" t="e">
        <f>Tabla14[[#This Row],[DEUDA CAPITAL]]+Tabla14[[#This Row],[INTERES  CUOTA]]</f>
        <v>#NUM!</v>
      </c>
      <c r="U3866" s="61" t="str">
        <f t="shared" si="619"/>
        <v/>
      </c>
    </row>
    <row r="3867" spans="9:21" ht="24.75" customHeight="1" x14ac:dyDescent="0.35">
      <c r="I3867" s="42">
        <f t="shared" si="610"/>
        <v>0</v>
      </c>
      <c r="J3867" s="65" t="e">
        <f t="shared" si="611"/>
        <v>#NUM!</v>
      </c>
      <c r="K3867" s="83" t="e">
        <f t="shared" si="612"/>
        <v>#NUM!</v>
      </c>
      <c r="L3867" s="83">
        <f t="shared" si="613"/>
        <v>0</v>
      </c>
      <c r="M3867" s="110" t="str">
        <f t="shared" si="614"/>
        <v/>
      </c>
      <c r="N3867" s="51" t="str">
        <f t="shared" si="615"/>
        <v/>
      </c>
      <c r="O3867" s="52" t="str">
        <f t="shared" si="616"/>
        <v/>
      </c>
      <c r="P3867" s="88">
        <f t="shared" si="617"/>
        <v>0</v>
      </c>
      <c r="Q3867" s="88">
        <f t="shared" si="618"/>
        <v>0</v>
      </c>
      <c r="R3867" s="88" t="e">
        <f>-IF(Tabla14[[#This Row],[DIAS HABILES O MORA]]&lt;0,(Tabla14[[#This Row],[VALOR PRESTAMO]]*Tabla14[[#This Row],[% INTERES ]]/30*U3867))+Tabla14[[#This Row],[VALOR CUOTAS]]</f>
        <v>#VALUE!</v>
      </c>
      <c r="S3867" s="88">
        <f>-IF(Tabla14[[#This Row],[DIAS HABILES O MORA]]&lt;0,(Tabla14[[#This Row],[VALOR PRESTAMO]]*Tabla14[[#This Row],[% INTERES ]]/30*U3867))</f>
        <v>0</v>
      </c>
      <c r="T3867" s="53" t="e">
        <f>Tabla14[[#This Row],[DEUDA CAPITAL]]+Tabla14[[#This Row],[INTERES  CUOTA]]</f>
        <v>#NUM!</v>
      </c>
      <c r="U3867" s="61" t="str">
        <f t="shared" si="619"/>
        <v/>
      </c>
    </row>
    <row r="3868" spans="9:21" ht="24.75" customHeight="1" x14ac:dyDescent="0.35">
      <c r="I3868" s="42">
        <f t="shared" si="610"/>
        <v>0</v>
      </c>
      <c r="J3868" s="65" t="e">
        <f t="shared" si="611"/>
        <v>#NUM!</v>
      </c>
      <c r="K3868" s="83" t="e">
        <f t="shared" si="612"/>
        <v>#NUM!</v>
      </c>
      <c r="L3868" s="83">
        <f t="shared" si="613"/>
        <v>0</v>
      </c>
      <c r="M3868" s="110" t="str">
        <f t="shared" si="614"/>
        <v/>
      </c>
      <c r="N3868" s="51" t="str">
        <f t="shared" si="615"/>
        <v/>
      </c>
      <c r="O3868" s="52" t="str">
        <f t="shared" si="616"/>
        <v/>
      </c>
      <c r="P3868" s="88">
        <f t="shared" si="617"/>
        <v>0</v>
      </c>
      <c r="Q3868" s="88">
        <f t="shared" si="618"/>
        <v>0</v>
      </c>
      <c r="R3868" s="88" t="e">
        <f>-IF(Tabla14[[#This Row],[DIAS HABILES O MORA]]&lt;0,(Tabla14[[#This Row],[VALOR PRESTAMO]]*Tabla14[[#This Row],[% INTERES ]]/30*U3868))+Tabla14[[#This Row],[VALOR CUOTAS]]</f>
        <v>#VALUE!</v>
      </c>
      <c r="S3868" s="88">
        <f>-IF(Tabla14[[#This Row],[DIAS HABILES O MORA]]&lt;0,(Tabla14[[#This Row],[VALOR PRESTAMO]]*Tabla14[[#This Row],[% INTERES ]]/30*U3868))</f>
        <v>0</v>
      </c>
      <c r="T3868" s="53" t="e">
        <f>Tabla14[[#This Row],[DEUDA CAPITAL]]+Tabla14[[#This Row],[INTERES  CUOTA]]</f>
        <v>#NUM!</v>
      </c>
      <c r="U3868" s="61" t="str">
        <f t="shared" si="619"/>
        <v/>
      </c>
    </row>
    <row r="3869" spans="9:21" ht="24.75" customHeight="1" x14ac:dyDescent="0.35">
      <c r="I3869" s="42">
        <f t="shared" si="610"/>
        <v>0</v>
      </c>
      <c r="J3869" s="65" t="e">
        <f t="shared" si="611"/>
        <v>#NUM!</v>
      </c>
      <c r="K3869" s="83" t="e">
        <f t="shared" si="612"/>
        <v>#NUM!</v>
      </c>
      <c r="L3869" s="83">
        <f t="shared" si="613"/>
        <v>0</v>
      </c>
      <c r="M3869" s="110" t="str">
        <f t="shared" si="614"/>
        <v/>
      </c>
      <c r="N3869" s="51" t="str">
        <f t="shared" si="615"/>
        <v/>
      </c>
      <c r="O3869" s="52" t="str">
        <f t="shared" si="616"/>
        <v/>
      </c>
      <c r="P3869" s="88">
        <f t="shared" si="617"/>
        <v>0</v>
      </c>
      <c r="Q3869" s="88">
        <f t="shared" si="618"/>
        <v>0</v>
      </c>
      <c r="R3869" s="88" t="e">
        <f>-IF(Tabla14[[#This Row],[DIAS HABILES O MORA]]&lt;0,(Tabla14[[#This Row],[VALOR PRESTAMO]]*Tabla14[[#This Row],[% INTERES ]]/30*U3869))+Tabla14[[#This Row],[VALOR CUOTAS]]</f>
        <v>#VALUE!</v>
      </c>
      <c r="S3869" s="88">
        <f>-IF(Tabla14[[#This Row],[DIAS HABILES O MORA]]&lt;0,(Tabla14[[#This Row],[VALOR PRESTAMO]]*Tabla14[[#This Row],[% INTERES ]]/30*U3869))</f>
        <v>0</v>
      </c>
      <c r="T3869" s="53" t="e">
        <f>Tabla14[[#This Row],[DEUDA CAPITAL]]+Tabla14[[#This Row],[INTERES  CUOTA]]</f>
        <v>#NUM!</v>
      </c>
      <c r="U3869" s="61" t="str">
        <f t="shared" si="619"/>
        <v/>
      </c>
    </row>
    <row r="3870" spans="9:21" ht="24.75" customHeight="1" x14ac:dyDescent="0.35">
      <c r="I3870" s="42">
        <f t="shared" si="610"/>
        <v>0</v>
      </c>
      <c r="J3870" s="65" t="e">
        <f t="shared" si="611"/>
        <v>#NUM!</v>
      </c>
      <c r="K3870" s="83" t="e">
        <f t="shared" si="612"/>
        <v>#NUM!</v>
      </c>
      <c r="L3870" s="83">
        <f t="shared" si="613"/>
        <v>0</v>
      </c>
      <c r="M3870" s="110" t="str">
        <f t="shared" si="614"/>
        <v/>
      </c>
      <c r="N3870" s="51" t="str">
        <f t="shared" si="615"/>
        <v/>
      </c>
      <c r="O3870" s="52" t="str">
        <f t="shared" si="616"/>
        <v/>
      </c>
      <c r="P3870" s="88">
        <f t="shared" si="617"/>
        <v>0</v>
      </c>
      <c r="Q3870" s="88">
        <f t="shared" si="618"/>
        <v>0</v>
      </c>
      <c r="R3870" s="88" t="e">
        <f>-IF(Tabla14[[#This Row],[DIAS HABILES O MORA]]&lt;0,(Tabla14[[#This Row],[VALOR PRESTAMO]]*Tabla14[[#This Row],[% INTERES ]]/30*U3870))+Tabla14[[#This Row],[VALOR CUOTAS]]</f>
        <v>#VALUE!</v>
      </c>
      <c r="S3870" s="88">
        <f>-IF(Tabla14[[#This Row],[DIAS HABILES O MORA]]&lt;0,(Tabla14[[#This Row],[VALOR PRESTAMO]]*Tabla14[[#This Row],[% INTERES ]]/30*U3870))</f>
        <v>0</v>
      </c>
      <c r="T3870" s="53" t="e">
        <f>Tabla14[[#This Row],[DEUDA CAPITAL]]+Tabla14[[#This Row],[INTERES  CUOTA]]</f>
        <v>#NUM!</v>
      </c>
      <c r="U3870" s="61" t="str">
        <f t="shared" si="619"/>
        <v/>
      </c>
    </row>
    <row r="3871" spans="9:21" ht="24.75" customHeight="1" x14ac:dyDescent="0.35">
      <c r="I3871" s="42">
        <f t="shared" si="610"/>
        <v>0</v>
      </c>
      <c r="J3871" s="65" t="e">
        <f t="shared" si="611"/>
        <v>#NUM!</v>
      </c>
      <c r="K3871" s="83" t="e">
        <f t="shared" si="612"/>
        <v>#NUM!</v>
      </c>
      <c r="L3871" s="83">
        <f t="shared" si="613"/>
        <v>0</v>
      </c>
      <c r="M3871" s="110" t="str">
        <f t="shared" si="614"/>
        <v/>
      </c>
      <c r="N3871" s="51" t="str">
        <f t="shared" si="615"/>
        <v/>
      </c>
      <c r="O3871" s="52" t="str">
        <f t="shared" si="616"/>
        <v/>
      </c>
      <c r="P3871" s="88">
        <f t="shared" si="617"/>
        <v>0</v>
      </c>
      <c r="Q3871" s="88">
        <f t="shared" si="618"/>
        <v>0</v>
      </c>
      <c r="R3871" s="88" t="e">
        <f>-IF(Tabla14[[#This Row],[DIAS HABILES O MORA]]&lt;0,(Tabla14[[#This Row],[VALOR PRESTAMO]]*Tabla14[[#This Row],[% INTERES ]]/30*U3871))+Tabla14[[#This Row],[VALOR CUOTAS]]</f>
        <v>#VALUE!</v>
      </c>
      <c r="S3871" s="88">
        <f>-IF(Tabla14[[#This Row],[DIAS HABILES O MORA]]&lt;0,(Tabla14[[#This Row],[VALOR PRESTAMO]]*Tabla14[[#This Row],[% INTERES ]]/30*U3871))</f>
        <v>0</v>
      </c>
      <c r="T3871" s="53" t="e">
        <f>Tabla14[[#This Row],[DEUDA CAPITAL]]+Tabla14[[#This Row],[INTERES  CUOTA]]</f>
        <v>#NUM!</v>
      </c>
      <c r="U3871" s="61" t="str">
        <f t="shared" si="619"/>
        <v/>
      </c>
    </row>
    <row r="3872" spans="9:21" ht="24.75" customHeight="1" x14ac:dyDescent="0.35">
      <c r="I3872" s="42">
        <f t="shared" si="610"/>
        <v>0</v>
      </c>
      <c r="J3872" s="65" t="e">
        <f t="shared" si="611"/>
        <v>#NUM!</v>
      </c>
      <c r="K3872" s="83" t="e">
        <f t="shared" si="612"/>
        <v>#NUM!</v>
      </c>
      <c r="L3872" s="83">
        <f t="shared" si="613"/>
        <v>0</v>
      </c>
      <c r="M3872" s="110" t="str">
        <f t="shared" si="614"/>
        <v/>
      </c>
      <c r="N3872" s="51" t="str">
        <f t="shared" si="615"/>
        <v/>
      </c>
      <c r="O3872" s="52" t="str">
        <f t="shared" si="616"/>
        <v/>
      </c>
      <c r="P3872" s="88">
        <f t="shared" si="617"/>
        <v>0</v>
      </c>
      <c r="Q3872" s="88">
        <f t="shared" si="618"/>
        <v>0</v>
      </c>
      <c r="R3872" s="88" t="e">
        <f>-IF(Tabla14[[#This Row],[DIAS HABILES O MORA]]&lt;0,(Tabla14[[#This Row],[VALOR PRESTAMO]]*Tabla14[[#This Row],[% INTERES ]]/30*U3872))+Tabla14[[#This Row],[VALOR CUOTAS]]</f>
        <v>#VALUE!</v>
      </c>
      <c r="S3872" s="88">
        <f>-IF(Tabla14[[#This Row],[DIAS HABILES O MORA]]&lt;0,(Tabla14[[#This Row],[VALOR PRESTAMO]]*Tabla14[[#This Row],[% INTERES ]]/30*U3872))</f>
        <v>0</v>
      </c>
      <c r="T3872" s="53" t="e">
        <f>Tabla14[[#This Row],[DEUDA CAPITAL]]+Tabla14[[#This Row],[INTERES  CUOTA]]</f>
        <v>#NUM!</v>
      </c>
      <c r="U3872" s="61" t="str">
        <f t="shared" si="619"/>
        <v/>
      </c>
    </row>
    <row r="3873" spans="9:21" ht="24.75" customHeight="1" x14ac:dyDescent="0.35">
      <c r="I3873" s="42">
        <f t="shared" si="610"/>
        <v>0</v>
      </c>
      <c r="J3873" s="65" t="e">
        <f t="shared" si="611"/>
        <v>#NUM!</v>
      </c>
      <c r="K3873" s="83" t="e">
        <f t="shared" si="612"/>
        <v>#NUM!</v>
      </c>
      <c r="L3873" s="83">
        <f t="shared" si="613"/>
        <v>0</v>
      </c>
      <c r="M3873" s="110" t="str">
        <f t="shared" si="614"/>
        <v/>
      </c>
      <c r="N3873" s="51" t="str">
        <f t="shared" si="615"/>
        <v/>
      </c>
      <c r="O3873" s="52" t="str">
        <f t="shared" si="616"/>
        <v/>
      </c>
      <c r="P3873" s="88">
        <f t="shared" si="617"/>
        <v>0</v>
      </c>
      <c r="Q3873" s="88">
        <f t="shared" si="618"/>
        <v>0</v>
      </c>
      <c r="R3873" s="88" t="e">
        <f>-IF(Tabla14[[#This Row],[DIAS HABILES O MORA]]&lt;0,(Tabla14[[#This Row],[VALOR PRESTAMO]]*Tabla14[[#This Row],[% INTERES ]]/30*U3873))+Tabla14[[#This Row],[VALOR CUOTAS]]</f>
        <v>#VALUE!</v>
      </c>
      <c r="S3873" s="88">
        <f>-IF(Tabla14[[#This Row],[DIAS HABILES O MORA]]&lt;0,(Tabla14[[#This Row],[VALOR PRESTAMO]]*Tabla14[[#This Row],[% INTERES ]]/30*U3873))</f>
        <v>0</v>
      </c>
      <c r="T3873" s="53" t="e">
        <f>Tabla14[[#This Row],[DEUDA CAPITAL]]+Tabla14[[#This Row],[INTERES  CUOTA]]</f>
        <v>#NUM!</v>
      </c>
      <c r="U3873" s="61" t="str">
        <f t="shared" si="619"/>
        <v/>
      </c>
    </row>
    <row r="3874" spans="9:21" ht="24.75" customHeight="1" x14ac:dyDescent="0.35">
      <c r="I3874" s="42">
        <f t="shared" si="610"/>
        <v>0</v>
      </c>
      <c r="J3874" s="65" t="e">
        <f t="shared" si="611"/>
        <v>#NUM!</v>
      </c>
      <c r="K3874" s="83" t="e">
        <f t="shared" si="612"/>
        <v>#NUM!</v>
      </c>
      <c r="L3874" s="83">
        <f t="shared" si="613"/>
        <v>0</v>
      </c>
      <c r="M3874" s="110" t="str">
        <f t="shared" si="614"/>
        <v/>
      </c>
      <c r="N3874" s="51" t="str">
        <f t="shared" si="615"/>
        <v/>
      </c>
      <c r="O3874" s="52" t="str">
        <f t="shared" si="616"/>
        <v/>
      </c>
      <c r="P3874" s="88">
        <f t="shared" si="617"/>
        <v>0</v>
      </c>
      <c r="Q3874" s="88">
        <f t="shared" si="618"/>
        <v>0</v>
      </c>
      <c r="R3874" s="88" t="e">
        <f>-IF(Tabla14[[#This Row],[DIAS HABILES O MORA]]&lt;0,(Tabla14[[#This Row],[VALOR PRESTAMO]]*Tabla14[[#This Row],[% INTERES ]]/30*U3874))+Tabla14[[#This Row],[VALOR CUOTAS]]</f>
        <v>#VALUE!</v>
      </c>
      <c r="S3874" s="88">
        <f>-IF(Tabla14[[#This Row],[DIAS HABILES O MORA]]&lt;0,(Tabla14[[#This Row],[VALOR PRESTAMO]]*Tabla14[[#This Row],[% INTERES ]]/30*U3874))</f>
        <v>0</v>
      </c>
      <c r="T3874" s="53" t="e">
        <f>Tabla14[[#This Row],[DEUDA CAPITAL]]+Tabla14[[#This Row],[INTERES  CUOTA]]</f>
        <v>#NUM!</v>
      </c>
      <c r="U3874" s="61" t="str">
        <f t="shared" si="619"/>
        <v/>
      </c>
    </row>
    <row r="3875" spans="9:21" ht="24.75" customHeight="1" x14ac:dyDescent="0.35">
      <c r="I3875" s="42">
        <f t="shared" si="610"/>
        <v>0</v>
      </c>
      <c r="J3875" s="65" t="e">
        <f t="shared" si="611"/>
        <v>#NUM!</v>
      </c>
      <c r="K3875" s="83" t="e">
        <f t="shared" si="612"/>
        <v>#NUM!</v>
      </c>
      <c r="L3875" s="83">
        <f t="shared" si="613"/>
        <v>0</v>
      </c>
      <c r="M3875" s="110" t="str">
        <f t="shared" si="614"/>
        <v/>
      </c>
      <c r="N3875" s="51" t="str">
        <f t="shared" si="615"/>
        <v/>
      </c>
      <c r="O3875" s="52" t="str">
        <f t="shared" si="616"/>
        <v/>
      </c>
      <c r="P3875" s="88">
        <f t="shared" si="617"/>
        <v>0</v>
      </c>
      <c r="Q3875" s="88">
        <f t="shared" si="618"/>
        <v>0</v>
      </c>
      <c r="R3875" s="88" t="e">
        <f>-IF(Tabla14[[#This Row],[DIAS HABILES O MORA]]&lt;0,(Tabla14[[#This Row],[VALOR PRESTAMO]]*Tabla14[[#This Row],[% INTERES ]]/30*U3875))+Tabla14[[#This Row],[VALOR CUOTAS]]</f>
        <v>#VALUE!</v>
      </c>
      <c r="S3875" s="88">
        <f>-IF(Tabla14[[#This Row],[DIAS HABILES O MORA]]&lt;0,(Tabla14[[#This Row],[VALOR PRESTAMO]]*Tabla14[[#This Row],[% INTERES ]]/30*U3875))</f>
        <v>0</v>
      </c>
      <c r="T3875" s="53" t="e">
        <f>Tabla14[[#This Row],[DEUDA CAPITAL]]+Tabla14[[#This Row],[INTERES  CUOTA]]</f>
        <v>#NUM!</v>
      </c>
      <c r="U3875" s="61" t="str">
        <f t="shared" si="619"/>
        <v/>
      </c>
    </row>
    <row r="3876" spans="9:21" ht="24.75" customHeight="1" x14ac:dyDescent="0.35">
      <c r="I3876" s="42">
        <f t="shared" si="610"/>
        <v>0</v>
      </c>
      <c r="J3876" s="65" t="e">
        <f t="shared" si="611"/>
        <v>#NUM!</v>
      </c>
      <c r="K3876" s="83" t="e">
        <f t="shared" si="612"/>
        <v>#NUM!</v>
      </c>
      <c r="L3876" s="83">
        <f t="shared" si="613"/>
        <v>0</v>
      </c>
      <c r="M3876" s="110" t="str">
        <f t="shared" si="614"/>
        <v/>
      </c>
      <c r="N3876" s="51" t="str">
        <f t="shared" si="615"/>
        <v/>
      </c>
      <c r="O3876" s="52" t="str">
        <f t="shared" si="616"/>
        <v/>
      </c>
      <c r="P3876" s="88">
        <f t="shared" si="617"/>
        <v>0</v>
      </c>
      <c r="Q3876" s="88">
        <f t="shared" si="618"/>
        <v>0</v>
      </c>
      <c r="R3876" s="88" t="e">
        <f>-IF(Tabla14[[#This Row],[DIAS HABILES O MORA]]&lt;0,(Tabla14[[#This Row],[VALOR PRESTAMO]]*Tabla14[[#This Row],[% INTERES ]]/30*U3876))+Tabla14[[#This Row],[VALOR CUOTAS]]</f>
        <v>#VALUE!</v>
      </c>
      <c r="S3876" s="88">
        <f>-IF(Tabla14[[#This Row],[DIAS HABILES O MORA]]&lt;0,(Tabla14[[#This Row],[VALOR PRESTAMO]]*Tabla14[[#This Row],[% INTERES ]]/30*U3876))</f>
        <v>0</v>
      </c>
      <c r="T3876" s="53" t="e">
        <f>Tabla14[[#This Row],[DEUDA CAPITAL]]+Tabla14[[#This Row],[INTERES  CUOTA]]</f>
        <v>#NUM!</v>
      </c>
      <c r="U3876" s="61" t="str">
        <f t="shared" si="619"/>
        <v/>
      </c>
    </row>
    <row r="3877" spans="9:21" ht="24.75" customHeight="1" x14ac:dyDescent="0.35">
      <c r="I3877" s="42">
        <f t="shared" si="610"/>
        <v>0</v>
      </c>
      <c r="J3877" s="65" t="e">
        <f t="shared" si="611"/>
        <v>#NUM!</v>
      </c>
      <c r="K3877" s="83" t="e">
        <f t="shared" si="612"/>
        <v>#NUM!</v>
      </c>
      <c r="L3877" s="83">
        <f t="shared" si="613"/>
        <v>0</v>
      </c>
      <c r="M3877" s="110" t="str">
        <f t="shared" si="614"/>
        <v/>
      </c>
      <c r="N3877" s="51" t="str">
        <f t="shared" si="615"/>
        <v/>
      </c>
      <c r="O3877" s="52" t="str">
        <f t="shared" si="616"/>
        <v/>
      </c>
      <c r="P3877" s="88">
        <f t="shared" si="617"/>
        <v>0</v>
      </c>
      <c r="Q3877" s="88">
        <f t="shared" si="618"/>
        <v>0</v>
      </c>
      <c r="R3877" s="88" t="e">
        <f>-IF(Tabla14[[#This Row],[DIAS HABILES O MORA]]&lt;0,(Tabla14[[#This Row],[VALOR PRESTAMO]]*Tabla14[[#This Row],[% INTERES ]]/30*U3877))+Tabla14[[#This Row],[VALOR CUOTAS]]</f>
        <v>#VALUE!</v>
      </c>
      <c r="S3877" s="88">
        <f>-IF(Tabla14[[#This Row],[DIAS HABILES O MORA]]&lt;0,(Tabla14[[#This Row],[VALOR PRESTAMO]]*Tabla14[[#This Row],[% INTERES ]]/30*U3877))</f>
        <v>0</v>
      </c>
      <c r="T3877" s="53" t="e">
        <f>Tabla14[[#This Row],[DEUDA CAPITAL]]+Tabla14[[#This Row],[INTERES  CUOTA]]</f>
        <v>#NUM!</v>
      </c>
      <c r="U3877" s="61" t="str">
        <f t="shared" si="619"/>
        <v/>
      </c>
    </row>
    <row r="3878" spans="9:21" ht="24.75" customHeight="1" x14ac:dyDescent="0.35">
      <c r="I3878" s="42">
        <f t="shared" si="610"/>
        <v>0</v>
      </c>
      <c r="J3878" s="65" t="e">
        <f t="shared" si="611"/>
        <v>#NUM!</v>
      </c>
      <c r="K3878" s="83" t="e">
        <f t="shared" si="612"/>
        <v>#NUM!</v>
      </c>
      <c r="L3878" s="83">
        <f t="shared" si="613"/>
        <v>0</v>
      </c>
      <c r="M3878" s="110" t="str">
        <f t="shared" si="614"/>
        <v/>
      </c>
      <c r="N3878" s="51" t="str">
        <f t="shared" si="615"/>
        <v/>
      </c>
      <c r="O3878" s="52" t="str">
        <f t="shared" si="616"/>
        <v/>
      </c>
      <c r="P3878" s="88">
        <f t="shared" si="617"/>
        <v>0</v>
      </c>
      <c r="Q3878" s="88">
        <f t="shared" si="618"/>
        <v>0</v>
      </c>
      <c r="R3878" s="88" t="e">
        <f>-IF(Tabla14[[#This Row],[DIAS HABILES O MORA]]&lt;0,(Tabla14[[#This Row],[VALOR PRESTAMO]]*Tabla14[[#This Row],[% INTERES ]]/30*U3878))+Tabla14[[#This Row],[VALOR CUOTAS]]</f>
        <v>#VALUE!</v>
      </c>
      <c r="S3878" s="88">
        <f>-IF(Tabla14[[#This Row],[DIAS HABILES O MORA]]&lt;0,(Tabla14[[#This Row],[VALOR PRESTAMO]]*Tabla14[[#This Row],[% INTERES ]]/30*U3878))</f>
        <v>0</v>
      </c>
      <c r="T3878" s="53" t="e">
        <f>Tabla14[[#This Row],[DEUDA CAPITAL]]+Tabla14[[#This Row],[INTERES  CUOTA]]</f>
        <v>#NUM!</v>
      </c>
      <c r="U3878" s="61" t="str">
        <f t="shared" si="619"/>
        <v/>
      </c>
    </row>
    <row r="3879" spans="9:21" ht="24.75" customHeight="1" x14ac:dyDescent="0.35">
      <c r="I3879" s="42">
        <f t="shared" si="610"/>
        <v>0</v>
      </c>
      <c r="J3879" s="65" t="e">
        <f t="shared" si="611"/>
        <v>#NUM!</v>
      </c>
      <c r="K3879" s="83" t="e">
        <f t="shared" si="612"/>
        <v>#NUM!</v>
      </c>
      <c r="L3879" s="83">
        <f t="shared" si="613"/>
        <v>0</v>
      </c>
      <c r="M3879" s="110" t="str">
        <f t="shared" si="614"/>
        <v/>
      </c>
      <c r="N3879" s="51" t="str">
        <f t="shared" si="615"/>
        <v/>
      </c>
      <c r="O3879" s="52" t="str">
        <f t="shared" si="616"/>
        <v/>
      </c>
      <c r="P3879" s="88">
        <f t="shared" si="617"/>
        <v>0</v>
      </c>
      <c r="Q3879" s="88">
        <f t="shared" si="618"/>
        <v>0</v>
      </c>
      <c r="R3879" s="88" t="e">
        <f>-IF(Tabla14[[#This Row],[DIAS HABILES O MORA]]&lt;0,(Tabla14[[#This Row],[VALOR PRESTAMO]]*Tabla14[[#This Row],[% INTERES ]]/30*U3879))+Tabla14[[#This Row],[VALOR CUOTAS]]</f>
        <v>#VALUE!</v>
      </c>
      <c r="S3879" s="88">
        <f>-IF(Tabla14[[#This Row],[DIAS HABILES O MORA]]&lt;0,(Tabla14[[#This Row],[VALOR PRESTAMO]]*Tabla14[[#This Row],[% INTERES ]]/30*U3879))</f>
        <v>0</v>
      </c>
      <c r="T3879" s="53" t="e">
        <f>Tabla14[[#This Row],[DEUDA CAPITAL]]+Tabla14[[#This Row],[INTERES  CUOTA]]</f>
        <v>#NUM!</v>
      </c>
      <c r="U3879" s="61" t="str">
        <f t="shared" si="619"/>
        <v/>
      </c>
    </row>
    <row r="3880" spans="9:21" ht="24.75" customHeight="1" x14ac:dyDescent="0.35">
      <c r="I3880" s="42">
        <f t="shared" si="610"/>
        <v>0</v>
      </c>
      <c r="J3880" s="65" t="e">
        <f t="shared" si="611"/>
        <v>#NUM!</v>
      </c>
      <c r="K3880" s="83" t="e">
        <f t="shared" si="612"/>
        <v>#NUM!</v>
      </c>
      <c r="L3880" s="83">
        <f t="shared" si="613"/>
        <v>0</v>
      </c>
      <c r="M3880" s="110" t="str">
        <f t="shared" si="614"/>
        <v/>
      </c>
      <c r="N3880" s="51" t="str">
        <f t="shared" si="615"/>
        <v/>
      </c>
      <c r="O3880" s="52" t="str">
        <f t="shared" si="616"/>
        <v/>
      </c>
      <c r="P3880" s="88">
        <f t="shared" si="617"/>
        <v>0</v>
      </c>
      <c r="Q3880" s="88">
        <f t="shared" si="618"/>
        <v>0</v>
      </c>
      <c r="R3880" s="88" t="e">
        <f>-IF(Tabla14[[#This Row],[DIAS HABILES O MORA]]&lt;0,(Tabla14[[#This Row],[VALOR PRESTAMO]]*Tabla14[[#This Row],[% INTERES ]]/30*U3880))+Tabla14[[#This Row],[VALOR CUOTAS]]</f>
        <v>#VALUE!</v>
      </c>
      <c r="S3880" s="88">
        <f>-IF(Tabla14[[#This Row],[DIAS HABILES O MORA]]&lt;0,(Tabla14[[#This Row],[VALOR PRESTAMO]]*Tabla14[[#This Row],[% INTERES ]]/30*U3880))</f>
        <v>0</v>
      </c>
      <c r="T3880" s="53" t="e">
        <f>Tabla14[[#This Row],[DEUDA CAPITAL]]+Tabla14[[#This Row],[INTERES  CUOTA]]</f>
        <v>#NUM!</v>
      </c>
      <c r="U3880" s="61" t="str">
        <f t="shared" si="619"/>
        <v/>
      </c>
    </row>
    <row r="3881" spans="9:21" ht="24.75" customHeight="1" x14ac:dyDescent="0.35">
      <c r="I3881" s="42">
        <f t="shared" si="610"/>
        <v>0</v>
      </c>
      <c r="J3881" s="65" t="e">
        <f t="shared" si="611"/>
        <v>#NUM!</v>
      </c>
      <c r="K3881" s="83" t="e">
        <f t="shared" si="612"/>
        <v>#NUM!</v>
      </c>
      <c r="L3881" s="83">
        <f t="shared" si="613"/>
        <v>0</v>
      </c>
      <c r="M3881" s="110" t="str">
        <f t="shared" si="614"/>
        <v/>
      </c>
      <c r="N3881" s="51" t="str">
        <f t="shared" si="615"/>
        <v/>
      </c>
      <c r="O3881" s="52" t="str">
        <f t="shared" si="616"/>
        <v/>
      </c>
      <c r="P3881" s="88">
        <f t="shared" si="617"/>
        <v>0</v>
      </c>
      <c r="Q3881" s="88">
        <f t="shared" si="618"/>
        <v>0</v>
      </c>
      <c r="R3881" s="88" t="e">
        <f>-IF(Tabla14[[#This Row],[DIAS HABILES O MORA]]&lt;0,(Tabla14[[#This Row],[VALOR PRESTAMO]]*Tabla14[[#This Row],[% INTERES ]]/30*U3881))+Tabla14[[#This Row],[VALOR CUOTAS]]</f>
        <v>#VALUE!</v>
      </c>
      <c r="S3881" s="88">
        <f>-IF(Tabla14[[#This Row],[DIAS HABILES O MORA]]&lt;0,(Tabla14[[#This Row],[VALOR PRESTAMO]]*Tabla14[[#This Row],[% INTERES ]]/30*U3881))</f>
        <v>0</v>
      </c>
      <c r="T3881" s="53" t="e">
        <f>Tabla14[[#This Row],[DEUDA CAPITAL]]+Tabla14[[#This Row],[INTERES  CUOTA]]</f>
        <v>#NUM!</v>
      </c>
      <c r="U3881" s="61" t="str">
        <f t="shared" si="619"/>
        <v/>
      </c>
    </row>
    <row r="3882" spans="9:21" ht="24.75" customHeight="1" x14ac:dyDescent="0.35">
      <c r="I3882" s="42">
        <f t="shared" si="610"/>
        <v>0</v>
      </c>
      <c r="J3882" s="65" t="e">
        <f t="shared" si="611"/>
        <v>#NUM!</v>
      </c>
      <c r="K3882" s="83" t="e">
        <f t="shared" si="612"/>
        <v>#NUM!</v>
      </c>
      <c r="L3882" s="83">
        <f t="shared" si="613"/>
        <v>0</v>
      </c>
      <c r="M3882" s="110" t="str">
        <f t="shared" si="614"/>
        <v/>
      </c>
      <c r="N3882" s="51" t="str">
        <f t="shared" si="615"/>
        <v/>
      </c>
      <c r="O3882" s="52" t="str">
        <f t="shared" si="616"/>
        <v/>
      </c>
      <c r="P3882" s="88">
        <f t="shared" si="617"/>
        <v>0</v>
      </c>
      <c r="Q3882" s="88">
        <f t="shared" si="618"/>
        <v>0</v>
      </c>
      <c r="R3882" s="88" t="e">
        <f>-IF(Tabla14[[#This Row],[DIAS HABILES O MORA]]&lt;0,(Tabla14[[#This Row],[VALOR PRESTAMO]]*Tabla14[[#This Row],[% INTERES ]]/30*U3882))+Tabla14[[#This Row],[VALOR CUOTAS]]</f>
        <v>#VALUE!</v>
      </c>
      <c r="S3882" s="88">
        <f>-IF(Tabla14[[#This Row],[DIAS HABILES O MORA]]&lt;0,(Tabla14[[#This Row],[VALOR PRESTAMO]]*Tabla14[[#This Row],[% INTERES ]]/30*U3882))</f>
        <v>0</v>
      </c>
      <c r="T3882" s="53" t="e">
        <f>Tabla14[[#This Row],[DEUDA CAPITAL]]+Tabla14[[#This Row],[INTERES  CUOTA]]</f>
        <v>#NUM!</v>
      </c>
      <c r="U3882" s="61" t="str">
        <f t="shared" si="619"/>
        <v/>
      </c>
    </row>
    <row r="3883" spans="9:21" ht="24.75" customHeight="1" x14ac:dyDescent="0.35">
      <c r="I3883" s="42">
        <f t="shared" si="610"/>
        <v>0</v>
      </c>
      <c r="J3883" s="65" t="e">
        <f t="shared" si="611"/>
        <v>#NUM!</v>
      </c>
      <c r="K3883" s="83" t="e">
        <f t="shared" si="612"/>
        <v>#NUM!</v>
      </c>
      <c r="L3883" s="83">
        <f t="shared" si="613"/>
        <v>0</v>
      </c>
      <c r="M3883" s="110" t="str">
        <f t="shared" si="614"/>
        <v/>
      </c>
      <c r="N3883" s="51" t="str">
        <f t="shared" si="615"/>
        <v/>
      </c>
      <c r="O3883" s="52" t="str">
        <f t="shared" si="616"/>
        <v/>
      </c>
      <c r="P3883" s="88">
        <f t="shared" si="617"/>
        <v>0</v>
      </c>
      <c r="Q3883" s="88">
        <f t="shared" si="618"/>
        <v>0</v>
      </c>
      <c r="R3883" s="88" t="e">
        <f>-IF(Tabla14[[#This Row],[DIAS HABILES O MORA]]&lt;0,(Tabla14[[#This Row],[VALOR PRESTAMO]]*Tabla14[[#This Row],[% INTERES ]]/30*U3883))+Tabla14[[#This Row],[VALOR CUOTAS]]</f>
        <v>#VALUE!</v>
      </c>
      <c r="S3883" s="88">
        <f>-IF(Tabla14[[#This Row],[DIAS HABILES O MORA]]&lt;0,(Tabla14[[#This Row],[VALOR PRESTAMO]]*Tabla14[[#This Row],[% INTERES ]]/30*U3883))</f>
        <v>0</v>
      </c>
      <c r="T3883" s="53" t="e">
        <f>Tabla14[[#This Row],[DEUDA CAPITAL]]+Tabla14[[#This Row],[INTERES  CUOTA]]</f>
        <v>#NUM!</v>
      </c>
      <c r="U3883" s="61" t="str">
        <f t="shared" si="619"/>
        <v/>
      </c>
    </row>
    <row r="3884" spans="9:21" ht="24.75" customHeight="1" x14ac:dyDescent="0.35">
      <c r="I3884" s="42">
        <f t="shared" si="610"/>
        <v>0</v>
      </c>
      <c r="J3884" s="65" t="e">
        <f t="shared" si="611"/>
        <v>#NUM!</v>
      </c>
      <c r="K3884" s="83" t="e">
        <f t="shared" si="612"/>
        <v>#NUM!</v>
      </c>
      <c r="L3884" s="83">
        <f t="shared" si="613"/>
        <v>0</v>
      </c>
      <c r="M3884" s="110" t="str">
        <f t="shared" si="614"/>
        <v/>
      </c>
      <c r="N3884" s="51" t="str">
        <f t="shared" si="615"/>
        <v/>
      </c>
      <c r="O3884" s="52" t="str">
        <f t="shared" si="616"/>
        <v/>
      </c>
      <c r="P3884" s="88">
        <f t="shared" si="617"/>
        <v>0</v>
      </c>
      <c r="Q3884" s="88">
        <f t="shared" si="618"/>
        <v>0</v>
      </c>
      <c r="R3884" s="88" t="e">
        <f>-IF(Tabla14[[#This Row],[DIAS HABILES O MORA]]&lt;0,(Tabla14[[#This Row],[VALOR PRESTAMO]]*Tabla14[[#This Row],[% INTERES ]]/30*U3884))+Tabla14[[#This Row],[VALOR CUOTAS]]</f>
        <v>#VALUE!</v>
      </c>
      <c r="S3884" s="88">
        <f>-IF(Tabla14[[#This Row],[DIAS HABILES O MORA]]&lt;0,(Tabla14[[#This Row],[VALOR PRESTAMO]]*Tabla14[[#This Row],[% INTERES ]]/30*U3884))</f>
        <v>0</v>
      </c>
      <c r="T3884" s="53" t="e">
        <f>Tabla14[[#This Row],[DEUDA CAPITAL]]+Tabla14[[#This Row],[INTERES  CUOTA]]</f>
        <v>#NUM!</v>
      </c>
      <c r="U3884" s="61" t="str">
        <f t="shared" si="619"/>
        <v/>
      </c>
    </row>
    <row r="3885" spans="9:21" ht="24.75" customHeight="1" x14ac:dyDescent="0.35">
      <c r="I3885" s="42">
        <f t="shared" si="610"/>
        <v>0</v>
      </c>
      <c r="J3885" s="65" t="e">
        <f t="shared" si="611"/>
        <v>#NUM!</v>
      </c>
      <c r="K3885" s="83" t="e">
        <f t="shared" si="612"/>
        <v>#NUM!</v>
      </c>
      <c r="L3885" s="83">
        <f t="shared" si="613"/>
        <v>0</v>
      </c>
      <c r="M3885" s="110" t="str">
        <f t="shared" si="614"/>
        <v/>
      </c>
      <c r="N3885" s="51" t="str">
        <f t="shared" si="615"/>
        <v/>
      </c>
      <c r="O3885" s="52" t="str">
        <f t="shared" si="616"/>
        <v/>
      </c>
      <c r="P3885" s="88">
        <f t="shared" si="617"/>
        <v>0</v>
      </c>
      <c r="Q3885" s="88">
        <f t="shared" si="618"/>
        <v>0</v>
      </c>
      <c r="R3885" s="88" t="e">
        <f>-IF(Tabla14[[#This Row],[DIAS HABILES O MORA]]&lt;0,(Tabla14[[#This Row],[VALOR PRESTAMO]]*Tabla14[[#This Row],[% INTERES ]]/30*U3885))+Tabla14[[#This Row],[VALOR CUOTAS]]</f>
        <v>#VALUE!</v>
      </c>
      <c r="S3885" s="88">
        <f>-IF(Tabla14[[#This Row],[DIAS HABILES O MORA]]&lt;0,(Tabla14[[#This Row],[VALOR PRESTAMO]]*Tabla14[[#This Row],[% INTERES ]]/30*U3885))</f>
        <v>0</v>
      </c>
      <c r="T3885" s="53" t="e">
        <f>Tabla14[[#This Row],[DEUDA CAPITAL]]+Tabla14[[#This Row],[INTERES  CUOTA]]</f>
        <v>#NUM!</v>
      </c>
      <c r="U3885" s="61" t="str">
        <f t="shared" si="619"/>
        <v/>
      </c>
    </row>
    <row r="3886" spans="9:21" ht="24.75" customHeight="1" x14ac:dyDescent="0.35">
      <c r="I3886" s="42">
        <f t="shared" si="610"/>
        <v>0</v>
      </c>
      <c r="J3886" s="65" t="e">
        <f t="shared" si="611"/>
        <v>#NUM!</v>
      </c>
      <c r="K3886" s="83" t="e">
        <f t="shared" si="612"/>
        <v>#NUM!</v>
      </c>
      <c r="L3886" s="83">
        <f t="shared" si="613"/>
        <v>0</v>
      </c>
      <c r="M3886" s="110" t="str">
        <f t="shared" si="614"/>
        <v/>
      </c>
      <c r="N3886" s="51" t="str">
        <f t="shared" si="615"/>
        <v/>
      </c>
      <c r="O3886" s="52" t="str">
        <f t="shared" si="616"/>
        <v/>
      </c>
      <c r="P3886" s="88">
        <f t="shared" si="617"/>
        <v>0</v>
      </c>
      <c r="Q3886" s="88">
        <f t="shared" si="618"/>
        <v>0</v>
      </c>
      <c r="R3886" s="88" t="e">
        <f>-IF(Tabla14[[#This Row],[DIAS HABILES O MORA]]&lt;0,(Tabla14[[#This Row],[VALOR PRESTAMO]]*Tabla14[[#This Row],[% INTERES ]]/30*U3886))+Tabla14[[#This Row],[VALOR CUOTAS]]</f>
        <v>#VALUE!</v>
      </c>
      <c r="S3886" s="88">
        <f>-IF(Tabla14[[#This Row],[DIAS HABILES O MORA]]&lt;0,(Tabla14[[#This Row],[VALOR PRESTAMO]]*Tabla14[[#This Row],[% INTERES ]]/30*U3886))</f>
        <v>0</v>
      </c>
      <c r="T3886" s="53" t="e">
        <f>Tabla14[[#This Row],[DEUDA CAPITAL]]+Tabla14[[#This Row],[INTERES  CUOTA]]</f>
        <v>#NUM!</v>
      </c>
      <c r="U3886" s="61" t="str">
        <f t="shared" si="619"/>
        <v/>
      </c>
    </row>
    <row r="3887" spans="9:21" ht="24.75" customHeight="1" x14ac:dyDescent="0.35">
      <c r="I3887" s="42">
        <f t="shared" si="610"/>
        <v>0</v>
      </c>
      <c r="J3887" s="65" t="e">
        <f t="shared" si="611"/>
        <v>#NUM!</v>
      </c>
      <c r="K3887" s="83" t="e">
        <f t="shared" si="612"/>
        <v>#NUM!</v>
      </c>
      <c r="L3887" s="83">
        <f t="shared" si="613"/>
        <v>0</v>
      </c>
      <c r="M3887" s="110" t="str">
        <f t="shared" si="614"/>
        <v/>
      </c>
      <c r="N3887" s="51" t="str">
        <f t="shared" si="615"/>
        <v/>
      </c>
      <c r="O3887" s="52" t="str">
        <f t="shared" si="616"/>
        <v/>
      </c>
      <c r="P3887" s="88">
        <f t="shared" si="617"/>
        <v>0</v>
      </c>
      <c r="Q3887" s="88">
        <f t="shared" si="618"/>
        <v>0</v>
      </c>
      <c r="R3887" s="88" t="e">
        <f>-IF(Tabla14[[#This Row],[DIAS HABILES O MORA]]&lt;0,(Tabla14[[#This Row],[VALOR PRESTAMO]]*Tabla14[[#This Row],[% INTERES ]]/30*U3887))+Tabla14[[#This Row],[VALOR CUOTAS]]</f>
        <v>#VALUE!</v>
      </c>
      <c r="S3887" s="88">
        <f>-IF(Tabla14[[#This Row],[DIAS HABILES O MORA]]&lt;0,(Tabla14[[#This Row],[VALOR PRESTAMO]]*Tabla14[[#This Row],[% INTERES ]]/30*U3887))</f>
        <v>0</v>
      </c>
      <c r="T3887" s="53" t="e">
        <f>Tabla14[[#This Row],[DEUDA CAPITAL]]+Tabla14[[#This Row],[INTERES  CUOTA]]</f>
        <v>#NUM!</v>
      </c>
      <c r="U3887" s="61" t="str">
        <f t="shared" si="619"/>
        <v/>
      </c>
    </row>
    <row r="3888" spans="9:21" ht="24.75" customHeight="1" x14ac:dyDescent="0.35">
      <c r="I3888" s="42">
        <f t="shared" si="610"/>
        <v>0</v>
      </c>
      <c r="J3888" s="65" t="e">
        <f t="shared" si="611"/>
        <v>#NUM!</v>
      </c>
      <c r="K3888" s="83" t="e">
        <f t="shared" si="612"/>
        <v>#NUM!</v>
      </c>
      <c r="L3888" s="83">
        <f t="shared" si="613"/>
        <v>0</v>
      </c>
      <c r="M3888" s="110" t="str">
        <f t="shared" si="614"/>
        <v/>
      </c>
      <c r="N3888" s="51" t="str">
        <f t="shared" si="615"/>
        <v/>
      </c>
      <c r="O3888" s="52" t="str">
        <f t="shared" si="616"/>
        <v/>
      </c>
      <c r="P3888" s="88">
        <f t="shared" si="617"/>
        <v>0</v>
      </c>
      <c r="Q3888" s="88">
        <f t="shared" si="618"/>
        <v>0</v>
      </c>
      <c r="R3888" s="88" t="e">
        <f>-IF(Tabla14[[#This Row],[DIAS HABILES O MORA]]&lt;0,(Tabla14[[#This Row],[VALOR PRESTAMO]]*Tabla14[[#This Row],[% INTERES ]]/30*U3888))+Tabla14[[#This Row],[VALOR CUOTAS]]</f>
        <v>#VALUE!</v>
      </c>
      <c r="S3888" s="88">
        <f>-IF(Tabla14[[#This Row],[DIAS HABILES O MORA]]&lt;0,(Tabla14[[#This Row],[VALOR PRESTAMO]]*Tabla14[[#This Row],[% INTERES ]]/30*U3888))</f>
        <v>0</v>
      </c>
      <c r="T3888" s="53" t="e">
        <f>Tabla14[[#This Row],[DEUDA CAPITAL]]+Tabla14[[#This Row],[INTERES  CUOTA]]</f>
        <v>#NUM!</v>
      </c>
      <c r="U3888" s="61" t="str">
        <f t="shared" si="619"/>
        <v/>
      </c>
    </row>
    <row r="3889" spans="9:21" ht="24.75" customHeight="1" x14ac:dyDescent="0.35">
      <c r="I3889" s="42">
        <f t="shared" si="610"/>
        <v>0</v>
      </c>
      <c r="J3889" s="65" t="e">
        <f t="shared" si="611"/>
        <v>#NUM!</v>
      </c>
      <c r="K3889" s="83" t="e">
        <f t="shared" si="612"/>
        <v>#NUM!</v>
      </c>
      <c r="L3889" s="83">
        <f t="shared" si="613"/>
        <v>0</v>
      </c>
      <c r="M3889" s="110" t="str">
        <f t="shared" si="614"/>
        <v/>
      </c>
      <c r="N3889" s="51" t="str">
        <f t="shared" si="615"/>
        <v/>
      </c>
      <c r="O3889" s="52" t="str">
        <f t="shared" si="616"/>
        <v/>
      </c>
      <c r="P3889" s="88">
        <f t="shared" si="617"/>
        <v>0</v>
      </c>
      <c r="Q3889" s="88">
        <f t="shared" si="618"/>
        <v>0</v>
      </c>
      <c r="R3889" s="88" t="e">
        <f>-IF(Tabla14[[#This Row],[DIAS HABILES O MORA]]&lt;0,(Tabla14[[#This Row],[VALOR PRESTAMO]]*Tabla14[[#This Row],[% INTERES ]]/30*U3889))+Tabla14[[#This Row],[VALOR CUOTAS]]</f>
        <v>#VALUE!</v>
      </c>
      <c r="S3889" s="88">
        <f>-IF(Tabla14[[#This Row],[DIAS HABILES O MORA]]&lt;0,(Tabla14[[#This Row],[VALOR PRESTAMO]]*Tabla14[[#This Row],[% INTERES ]]/30*U3889))</f>
        <v>0</v>
      </c>
      <c r="T3889" s="53" t="e">
        <f>Tabla14[[#This Row],[DEUDA CAPITAL]]+Tabla14[[#This Row],[INTERES  CUOTA]]</f>
        <v>#NUM!</v>
      </c>
      <c r="U3889" s="61" t="str">
        <f t="shared" si="619"/>
        <v/>
      </c>
    </row>
    <row r="3890" spans="9:21" ht="24.75" customHeight="1" x14ac:dyDescent="0.35">
      <c r="I3890" s="42">
        <f t="shared" si="610"/>
        <v>0</v>
      </c>
      <c r="J3890" s="65" t="e">
        <f t="shared" si="611"/>
        <v>#NUM!</v>
      </c>
      <c r="K3890" s="83" t="e">
        <f t="shared" si="612"/>
        <v>#NUM!</v>
      </c>
      <c r="L3890" s="83">
        <f t="shared" si="613"/>
        <v>0</v>
      </c>
      <c r="M3890" s="110" t="str">
        <f t="shared" si="614"/>
        <v/>
      </c>
      <c r="N3890" s="51" t="str">
        <f t="shared" si="615"/>
        <v/>
      </c>
      <c r="O3890" s="52" t="str">
        <f t="shared" si="616"/>
        <v/>
      </c>
      <c r="P3890" s="88">
        <f t="shared" si="617"/>
        <v>0</v>
      </c>
      <c r="Q3890" s="88">
        <f t="shared" si="618"/>
        <v>0</v>
      </c>
      <c r="R3890" s="88" t="e">
        <f>-IF(Tabla14[[#This Row],[DIAS HABILES O MORA]]&lt;0,(Tabla14[[#This Row],[VALOR PRESTAMO]]*Tabla14[[#This Row],[% INTERES ]]/30*U3890))+Tabla14[[#This Row],[VALOR CUOTAS]]</f>
        <v>#VALUE!</v>
      </c>
      <c r="S3890" s="88">
        <f>-IF(Tabla14[[#This Row],[DIAS HABILES O MORA]]&lt;0,(Tabla14[[#This Row],[VALOR PRESTAMO]]*Tabla14[[#This Row],[% INTERES ]]/30*U3890))</f>
        <v>0</v>
      </c>
      <c r="T3890" s="53" t="e">
        <f>Tabla14[[#This Row],[DEUDA CAPITAL]]+Tabla14[[#This Row],[INTERES  CUOTA]]</f>
        <v>#NUM!</v>
      </c>
      <c r="U3890" s="61" t="str">
        <f t="shared" si="619"/>
        <v/>
      </c>
    </row>
    <row r="3891" spans="9:21" ht="24.75" customHeight="1" x14ac:dyDescent="0.35">
      <c r="I3891" s="42">
        <f t="shared" si="610"/>
        <v>0</v>
      </c>
      <c r="J3891" s="65" t="e">
        <f t="shared" si="611"/>
        <v>#NUM!</v>
      </c>
      <c r="K3891" s="83" t="e">
        <f t="shared" si="612"/>
        <v>#NUM!</v>
      </c>
      <c r="L3891" s="83">
        <f t="shared" si="613"/>
        <v>0</v>
      </c>
      <c r="M3891" s="110" t="str">
        <f t="shared" si="614"/>
        <v/>
      </c>
      <c r="N3891" s="51" t="str">
        <f t="shared" si="615"/>
        <v/>
      </c>
      <c r="O3891" s="52" t="str">
        <f t="shared" si="616"/>
        <v/>
      </c>
      <c r="P3891" s="88">
        <f t="shared" si="617"/>
        <v>0</v>
      </c>
      <c r="Q3891" s="88">
        <f t="shared" si="618"/>
        <v>0</v>
      </c>
      <c r="R3891" s="88" t="e">
        <f>-IF(Tabla14[[#This Row],[DIAS HABILES O MORA]]&lt;0,(Tabla14[[#This Row],[VALOR PRESTAMO]]*Tabla14[[#This Row],[% INTERES ]]/30*U3891))+Tabla14[[#This Row],[VALOR CUOTAS]]</f>
        <v>#VALUE!</v>
      </c>
      <c r="S3891" s="88">
        <f>-IF(Tabla14[[#This Row],[DIAS HABILES O MORA]]&lt;0,(Tabla14[[#This Row],[VALOR PRESTAMO]]*Tabla14[[#This Row],[% INTERES ]]/30*U3891))</f>
        <v>0</v>
      </c>
      <c r="T3891" s="53" t="e">
        <f>Tabla14[[#This Row],[DEUDA CAPITAL]]+Tabla14[[#This Row],[INTERES  CUOTA]]</f>
        <v>#NUM!</v>
      </c>
      <c r="U3891" s="61" t="str">
        <f t="shared" si="619"/>
        <v/>
      </c>
    </row>
    <row r="3892" spans="9:21" ht="24.75" customHeight="1" x14ac:dyDescent="0.35">
      <c r="I3892" s="42">
        <f t="shared" si="610"/>
        <v>0</v>
      </c>
      <c r="J3892" s="65" t="e">
        <f t="shared" si="611"/>
        <v>#NUM!</v>
      </c>
      <c r="K3892" s="83" t="e">
        <f t="shared" si="612"/>
        <v>#NUM!</v>
      </c>
      <c r="L3892" s="83">
        <f t="shared" si="613"/>
        <v>0</v>
      </c>
      <c r="M3892" s="110" t="str">
        <f t="shared" si="614"/>
        <v/>
      </c>
      <c r="N3892" s="51" t="str">
        <f t="shared" si="615"/>
        <v/>
      </c>
      <c r="O3892" s="52" t="str">
        <f t="shared" si="616"/>
        <v/>
      </c>
      <c r="P3892" s="88">
        <f t="shared" si="617"/>
        <v>0</v>
      </c>
      <c r="Q3892" s="88">
        <f t="shared" si="618"/>
        <v>0</v>
      </c>
      <c r="R3892" s="88" t="e">
        <f>-IF(Tabla14[[#This Row],[DIAS HABILES O MORA]]&lt;0,(Tabla14[[#This Row],[VALOR PRESTAMO]]*Tabla14[[#This Row],[% INTERES ]]/30*U3892))+Tabla14[[#This Row],[VALOR CUOTAS]]</f>
        <v>#VALUE!</v>
      </c>
      <c r="S3892" s="88">
        <f>-IF(Tabla14[[#This Row],[DIAS HABILES O MORA]]&lt;0,(Tabla14[[#This Row],[VALOR PRESTAMO]]*Tabla14[[#This Row],[% INTERES ]]/30*U3892))</f>
        <v>0</v>
      </c>
      <c r="T3892" s="53" t="e">
        <f>Tabla14[[#This Row],[DEUDA CAPITAL]]+Tabla14[[#This Row],[INTERES  CUOTA]]</f>
        <v>#NUM!</v>
      </c>
      <c r="U3892" s="61" t="str">
        <f t="shared" si="619"/>
        <v/>
      </c>
    </row>
    <row r="3893" spans="9:21" ht="24.75" customHeight="1" x14ac:dyDescent="0.35">
      <c r="I3893" s="42">
        <f t="shared" si="610"/>
        <v>0</v>
      </c>
      <c r="J3893" s="65" t="e">
        <f t="shared" si="611"/>
        <v>#NUM!</v>
      </c>
      <c r="K3893" s="83" t="e">
        <f t="shared" si="612"/>
        <v>#NUM!</v>
      </c>
      <c r="L3893" s="83">
        <f t="shared" si="613"/>
        <v>0</v>
      </c>
      <c r="M3893" s="110" t="str">
        <f t="shared" si="614"/>
        <v/>
      </c>
      <c r="N3893" s="51" t="str">
        <f t="shared" si="615"/>
        <v/>
      </c>
      <c r="O3893" s="52" t="str">
        <f t="shared" si="616"/>
        <v/>
      </c>
      <c r="P3893" s="88">
        <f t="shared" si="617"/>
        <v>0</v>
      </c>
      <c r="Q3893" s="88">
        <f t="shared" si="618"/>
        <v>0</v>
      </c>
      <c r="R3893" s="88" t="e">
        <f>-IF(Tabla14[[#This Row],[DIAS HABILES O MORA]]&lt;0,(Tabla14[[#This Row],[VALOR PRESTAMO]]*Tabla14[[#This Row],[% INTERES ]]/30*U3893))+Tabla14[[#This Row],[VALOR CUOTAS]]</f>
        <v>#VALUE!</v>
      </c>
      <c r="S3893" s="88">
        <f>-IF(Tabla14[[#This Row],[DIAS HABILES O MORA]]&lt;0,(Tabla14[[#This Row],[VALOR PRESTAMO]]*Tabla14[[#This Row],[% INTERES ]]/30*U3893))</f>
        <v>0</v>
      </c>
      <c r="T3893" s="53" t="e">
        <f>Tabla14[[#This Row],[DEUDA CAPITAL]]+Tabla14[[#This Row],[INTERES  CUOTA]]</f>
        <v>#NUM!</v>
      </c>
      <c r="U3893" s="61" t="str">
        <f t="shared" si="619"/>
        <v/>
      </c>
    </row>
    <row r="3894" spans="9:21" ht="24.75" customHeight="1" x14ac:dyDescent="0.35">
      <c r="I3894" s="42">
        <f t="shared" si="610"/>
        <v>0</v>
      </c>
      <c r="J3894" s="65" t="e">
        <f t="shared" si="611"/>
        <v>#NUM!</v>
      </c>
      <c r="K3894" s="83" t="e">
        <f t="shared" si="612"/>
        <v>#NUM!</v>
      </c>
      <c r="L3894" s="83">
        <f t="shared" si="613"/>
        <v>0</v>
      </c>
      <c r="M3894" s="110" t="str">
        <f t="shared" si="614"/>
        <v/>
      </c>
      <c r="N3894" s="51" t="str">
        <f t="shared" si="615"/>
        <v/>
      </c>
      <c r="O3894" s="52" t="str">
        <f t="shared" si="616"/>
        <v/>
      </c>
      <c r="P3894" s="88">
        <f t="shared" si="617"/>
        <v>0</v>
      </c>
      <c r="Q3894" s="88">
        <f t="shared" si="618"/>
        <v>0</v>
      </c>
      <c r="R3894" s="88" t="e">
        <f>-IF(Tabla14[[#This Row],[DIAS HABILES O MORA]]&lt;0,(Tabla14[[#This Row],[VALOR PRESTAMO]]*Tabla14[[#This Row],[% INTERES ]]/30*U3894))+Tabla14[[#This Row],[VALOR CUOTAS]]</f>
        <v>#VALUE!</v>
      </c>
      <c r="S3894" s="88">
        <f>-IF(Tabla14[[#This Row],[DIAS HABILES O MORA]]&lt;0,(Tabla14[[#This Row],[VALOR PRESTAMO]]*Tabla14[[#This Row],[% INTERES ]]/30*U3894))</f>
        <v>0</v>
      </c>
      <c r="T3894" s="53" t="e">
        <f>Tabla14[[#This Row],[DEUDA CAPITAL]]+Tabla14[[#This Row],[INTERES  CUOTA]]</f>
        <v>#NUM!</v>
      </c>
      <c r="U3894" s="61" t="str">
        <f t="shared" si="619"/>
        <v/>
      </c>
    </row>
    <row r="3895" spans="9:21" ht="24.75" customHeight="1" x14ac:dyDescent="0.35">
      <c r="I3895" s="42">
        <f t="shared" si="610"/>
        <v>0</v>
      </c>
      <c r="J3895" s="65" t="e">
        <f t="shared" si="611"/>
        <v>#NUM!</v>
      </c>
      <c r="K3895" s="83" t="e">
        <f t="shared" si="612"/>
        <v>#NUM!</v>
      </c>
      <c r="L3895" s="83">
        <f t="shared" si="613"/>
        <v>0</v>
      </c>
      <c r="M3895" s="110" t="str">
        <f t="shared" si="614"/>
        <v/>
      </c>
      <c r="N3895" s="51" t="str">
        <f t="shared" si="615"/>
        <v/>
      </c>
      <c r="O3895" s="52" t="str">
        <f t="shared" si="616"/>
        <v/>
      </c>
      <c r="P3895" s="88">
        <f t="shared" si="617"/>
        <v>0</v>
      </c>
      <c r="Q3895" s="88">
        <f t="shared" si="618"/>
        <v>0</v>
      </c>
      <c r="R3895" s="88" t="e">
        <f>-IF(Tabla14[[#This Row],[DIAS HABILES O MORA]]&lt;0,(Tabla14[[#This Row],[VALOR PRESTAMO]]*Tabla14[[#This Row],[% INTERES ]]/30*U3895))+Tabla14[[#This Row],[VALOR CUOTAS]]</f>
        <v>#VALUE!</v>
      </c>
      <c r="S3895" s="88">
        <f>-IF(Tabla14[[#This Row],[DIAS HABILES O MORA]]&lt;0,(Tabla14[[#This Row],[VALOR PRESTAMO]]*Tabla14[[#This Row],[% INTERES ]]/30*U3895))</f>
        <v>0</v>
      </c>
      <c r="T3895" s="53" t="e">
        <f>Tabla14[[#This Row],[DEUDA CAPITAL]]+Tabla14[[#This Row],[INTERES  CUOTA]]</f>
        <v>#NUM!</v>
      </c>
      <c r="U3895" s="61" t="str">
        <f t="shared" si="619"/>
        <v/>
      </c>
    </row>
    <row r="3896" spans="9:21" ht="24.75" customHeight="1" x14ac:dyDescent="0.35">
      <c r="I3896" s="42">
        <f t="shared" si="610"/>
        <v>0</v>
      </c>
      <c r="J3896" s="65" t="e">
        <f t="shared" si="611"/>
        <v>#NUM!</v>
      </c>
      <c r="K3896" s="83" t="e">
        <f t="shared" si="612"/>
        <v>#NUM!</v>
      </c>
      <c r="L3896" s="83">
        <f t="shared" si="613"/>
        <v>0</v>
      </c>
      <c r="M3896" s="110" t="str">
        <f t="shared" si="614"/>
        <v/>
      </c>
      <c r="N3896" s="51" t="str">
        <f t="shared" si="615"/>
        <v/>
      </c>
      <c r="O3896" s="52" t="str">
        <f t="shared" si="616"/>
        <v/>
      </c>
      <c r="P3896" s="88">
        <f t="shared" si="617"/>
        <v>0</v>
      </c>
      <c r="Q3896" s="88">
        <f t="shared" si="618"/>
        <v>0</v>
      </c>
      <c r="R3896" s="88" t="e">
        <f>-IF(Tabla14[[#This Row],[DIAS HABILES O MORA]]&lt;0,(Tabla14[[#This Row],[VALOR PRESTAMO]]*Tabla14[[#This Row],[% INTERES ]]/30*U3896))+Tabla14[[#This Row],[VALOR CUOTAS]]</f>
        <v>#VALUE!</v>
      </c>
      <c r="S3896" s="88">
        <f>-IF(Tabla14[[#This Row],[DIAS HABILES O MORA]]&lt;0,(Tabla14[[#This Row],[VALOR PRESTAMO]]*Tabla14[[#This Row],[% INTERES ]]/30*U3896))</f>
        <v>0</v>
      </c>
      <c r="T3896" s="53" t="e">
        <f>Tabla14[[#This Row],[DEUDA CAPITAL]]+Tabla14[[#This Row],[INTERES  CUOTA]]</f>
        <v>#NUM!</v>
      </c>
      <c r="U3896" s="61" t="str">
        <f t="shared" si="619"/>
        <v/>
      </c>
    </row>
    <row r="3897" spans="9:21" ht="24.75" customHeight="1" x14ac:dyDescent="0.35">
      <c r="I3897" s="42">
        <f t="shared" si="610"/>
        <v>0</v>
      </c>
      <c r="J3897" s="65" t="e">
        <f t="shared" si="611"/>
        <v>#NUM!</v>
      </c>
      <c r="K3897" s="83" t="e">
        <f t="shared" si="612"/>
        <v>#NUM!</v>
      </c>
      <c r="L3897" s="83">
        <f t="shared" si="613"/>
        <v>0</v>
      </c>
      <c r="M3897" s="110" t="str">
        <f t="shared" si="614"/>
        <v/>
      </c>
      <c r="N3897" s="51" t="str">
        <f t="shared" si="615"/>
        <v/>
      </c>
      <c r="O3897" s="52" t="str">
        <f t="shared" si="616"/>
        <v/>
      </c>
      <c r="P3897" s="88">
        <f t="shared" si="617"/>
        <v>0</v>
      </c>
      <c r="Q3897" s="88">
        <f t="shared" si="618"/>
        <v>0</v>
      </c>
      <c r="R3897" s="88" t="e">
        <f>-IF(Tabla14[[#This Row],[DIAS HABILES O MORA]]&lt;0,(Tabla14[[#This Row],[VALOR PRESTAMO]]*Tabla14[[#This Row],[% INTERES ]]/30*U3897))+Tabla14[[#This Row],[VALOR CUOTAS]]</f>
        <v>#VALUE!</v>
      </c>
      <c r="S3897" s="88">
        <f>-IF(Tabla14[[#This Row],[DIAS HABILES O MORA]]&lt;0,(Tabla14[[#This Row],[VALOR PRESTAMO]]*Tabla14[[#This Row],[% INTERES ]]/30*U3897))</f>
        <v>0</v>
      </c>
      <c r="T3897" s="53" t="e">
        <f>Tabla14[[#This Row],[DEUDA CAPITAL]]+Tabla14[[#This Row],[INTERES  CUOTA]]</f>
        <v>#NUM!</v>
      </c>
      <c r="U3897" s="61" t="str">
        <f t="shared" si="619"/>
        <v/>
      </c>
    </row>
    <row r="3898" spans="9:21" ht="24.75" customHeight="1" x14ac:dyDescent="0.35">
      <c r="I3898" s="42">
        <f t="shared" si="610"/>
        <v>0</v>
      </c>
      <c r="J3898" s="65" t="e">
        <f t="shared" si="611"/>
        <v>#NUM!</v>
      </c>
      <c r="K3898" s="83" t="e">
        <f t="shared" si="612"/>
        <v>#NUM!</v>
      </c>
      <c r="L3898" s="83">
        <f t="shared" si="613"/>
        <v>0</v>
      </c>
      <c r="M3898" s="110" t="str">
        <f t="shared" si="614"/>
        <v/>
      </c>
      <c r="N3898" s="51" t="str">
        <f t="shared" si="615"/>
        <v/>
      </c>
      <c r="O3898" s="52" t="str">
        <f t="shared" si="616"/>
        <v/>
      </c>
      <c r="P3898" s="88">
        <f t="shared" si="617"/>
        <v>0</v>
      </c>
      <c r="Q3898" s="88">
        <f t="shared" si="618"/>
        <v>0</v>
      </c>
      <c r="R3898" s="88" t="e">
        <f>-IF(Tabla14[[#This Row],[DIAS HABILES O MORA]]&lt;0,(Tabla14[[#This Row],[VALOR PRESTAMO]]*Tabla14[[#This Row],[% INTERES ]]/30*U3898))+Tabla14[[#This Row],[VALOR CUOTAS]]</f>
        <v>#VALUE!</v>
      </c>
      <c r="S3898" s="88">
        <f>-IF(Tabla14[[#This Row],[DIAS HABILES O MORA]]&lt;0,(Tabla14[[#This Row],[VALOR PRESTAMO]]*Tabla14[[#This Row],[% INTERES ]]/30*U3898))</f>
        <v>0</v>
      </c>
      <c r="T3898" s="53" t="e">
        <f>Tabla14[[#This Row],[DEUDA CAPITAL]]+Tabla14[[#This Row],[INTERES  CUOTA]]</f>
        <v>#NUM!</v>
      </c>
      <c r="U3898" s="61" t="str">
        <f t="shared" si="619"/>
        <v/>
      </c>
    </row>
    <row r="3899" spans="9:21" ht="24.75" customHeight="1" x14ac:dyDescent="0.35">
      <c r="I3899" s="42">
        <f t="shared" si="610"/>
        <v>0</v>
      </c>
      <c r="J3899" s="65" t="e">
        <f t="shared" si="611"/>
        <v>#NUM!</v>
      </c>
      <c r="K3899" s="83" t="e">
        <f t="shared" si="612"/>
        <v>#NUM!</v>
      </c>
      <c r="L3899" s="83">
        <f t="shared" si="613"/>
        <v>0</v>
      </c>
      <c r="M3899" s="110" t="str">
        <f t="shared" si="614"/>
        <v/>
      </c>
      <c r="N3899" s="51" t="str">
        <f t="shared" si="615"/>
        <v/>
      </c>
      <c r="O3899" s="52" t="str">
        <f t="shared" si="616"/>
        <v/>
      </c>
      <c r="P3899" s="88">
        <f t="shared" si="617"/>
        <v>0</v>
      </c>
      <c r="Q3899" s="88">
        <f t="shared" si="618"/>
        <v>0</v>
      </c>
      <c r="R3899" s="88" t="e">
        <f>-IF(Tabla14[[#This Row],[DIAS HABILES O MORA]]&lt;0,(Tabla14[[#This Row],[VALOR PRESTAMO]]*Tabla14[[#This Row],[% INTERES ]]/30*U3899))+Tabla14[[#This Row],[VALOR CUOTAS]]</f>
        <v>#VALUE!</v>
      </c>
      <c r="S3899" s="88">
        <f>-IF(Tabla14[[#This Row],[DIAS HABILES O MORA]]&lt;0,(Tabla14[[#This Row],[VALOR PRESTAMO]]*Tabla14[[#This Row],[% INTERES ]]/30*U3899))</f>
        <v>0</v>
      </c>
      <c r="T3899" s="53" t="e">
        <f>Tabla14[[#This Row],[DEUDA CAPITAL]]+Tabla14[[#This Row],[INTERES  CUOTA]]</f>
        <v>#NUM!</v>
      </c>
      <c r="U3899" s="61" t="str">
        <f t="shared" si="619"/>
        <v/>
      </c>
    </row>
    <row r="3900" spans="9:21" ht="24.75" customHeight="1" x14ac:dyDescent="0.35">
      <c r="I3900" s="42">
        <f t="shared" si="610"/>
        <v>0</v>
      </c>
      <c r="J3900" s="65" t="e">
        <f t="shared" si="611"/>
        <v>#NUM!</v>
      </c>
      <c r="K3900" s="83" t="e">
        <f t="shared" si="612"/>
        <v>#NUM!</v>
      </c>
      <c r="L3900" s="83">
        <f t="shared" si="613"/>
        <v>0</v>
      </c>
      <c r="M3900" s="110" t="str">
        <f t="shared" si="614"/>
        <v/>
      </c>
      <c r="N3900" s="51" t="str">
        <f t="shared" si="615"/>
        <v/>
      </c>
      <c r="O3900" s="52" t="str">
        <f t="shared" si="616"/>
        <v/>
      </c>
      <c r="P3900" s="88">
        <f t="shared" si="617"/>
        <v>0</v>
      </c>
      <c r="Q3900" s="88">
        <f t="shared" si="618"/>
        <v>0</v>
      </c>
      <c r="R3900" s="88" t="e">
        <f>-IF(Tabla14[[#This Row],[DIAS HABILES O MORA]]&lt;0,(Tabla14[[#This Row],[VALOR PRESTAMO]]*Tabla14[[#This Row],[% INTERES ]]/30*U3900))+Tabla14[[#This Row],[VALOR CUOTAS]]</f>
        <v>#VALUE!</v>
      </c>
      <c r="S3900" s="88">
        <f>-IF(Tabla14[[#This Row],[DIAS HABILES O MORA]]&lt;0,(Tabla14[[#This Row],[VALOR PRESTAMO]]*Tabla14[[#This Row],[% INTERES ]]/30*U3900))</f>
        <v>0</v>
      </c>
      <c r="T3900" s="53" t="e">
        <f>Tabla14[[#This Row],[DEUDA CAPITAL]]+Tabla14[[#This Row],[INTERES  CUOTA]]</f>
        <v>#NUM!</v>
      </c>
      <c r="U3900" s="61" t="str">
        <f t="shared" si="619"/>
        <v/>
      </c>
    </row>
    <row r="3901" spans="9:21" ht="24.75" customHeight="1" x14ac:dyDescent="0.35">
      <c r="I3901" s="42">
        <f t="shared" si="610"/>
        <v>0</v>
      </c>
      <c r="J3901" s="65" t="e">
        <f t="shared" si="611"/>
        <v>#NUM!</v>
      </c>
      <c r="K3901" s="83" t="e">
        <f t="shared" si="612"/>
        <v>#NUM!</v>
      </c>
      <c r="L3901" s="83">
        <f t="shared" si="613"/>
        <v>0</v>
      </c>
      <c r="M3901" s="110" t="str">
        <f t="shared" si="614"/>
        <v/>
      </c>
      <c r="N3901" s="51" t="str">
        <f t="shared" si="615"/>
        <v/>
      </c>
      <c r="O3901" s="52" t="str">
        <f t="shared" si="616"/>
        <v/>
      </c>
      <c r="P3901" s="88">
        <f t="shared" si="617"/>
        <v>0</v>
      </c>
      <c r="Q3901" s="88">
        <f t="shared" si="618"/>
        <v>0</v>
      </c>
      <c r="R3901" s="88" t="e">
        <f>-IF(Tabla14[[#This Row],[DIAS HABILES O MORA]]&lt;0,(Tabla14[[#This Row],[VALOR PRESTAMO]]*Tabla14[[#This Row],[% INTERES ]]/30*U3901))+Tabla14[[#This Row],[VALOR CUOTAS]]</f>
        <v>#VALUE!</v>
      </c>
      <c r="S3901" s="88">
        <f>-IF(Tabla14[[#This Row],[DIAS HABILES O MORA]]&lt;0,(Tabla14[[#This Row],[VALOR PRESTAMO]]*Tabla14[[#This Row],[% INTERES ]]/30*U3901))</f>
        <v>0</v>
      </c>
      <c r="T3901" s="53" t="e">
        <f>Tabla14[[#This Row],[DEUDA CAPITAL]]+Tabla14[[#This Row],[INTERES  CUOTA]]</f>
        <v>#NUM!</v>
      </c>
      <c r="U3901" s="61" t="str">
        <f t="shared" si="619"/>
        <v/>
      </c>
    </row>
    <row r="3902" spans="9:21" ht="24.75" customHeight="1" x14ac:dyDescent="0.35">
      <c r="I3902" s="42">
        <f t="shared" si="610"/>
        <v>0</v>
      </c>
      <c r="J3902" s="65" t="e">
        <f t="shared" si="611"/>
        <v>#NUM!</v>
      </c>
      <c r="K3902" s="83" t="e">
        <f t="shared" si="612"/>
        <v>#NUM!</v>
      </c>
      <c r="L3902" s="83">
        <f t="shared" si="613"/>
        <v>0</v>
      </c>
      <c r="M3902" s="110" t="str">
        <f t="shared" si="614"/>
        <v/>
      </c>
      <c r="N3902" s="51" t="str">
        <f t="shared" si="615"/>
        <v/>
      </c>
      <c r="O3902" s="52" t="str">
        <f t="shared" si="616"/>
        <v/>
      </c>
      <c r="P3902" s="88">
        <f t="shared" si="617"/>
        <v>0</v>
      </c>
      <c r="Q3902" s="88">
        <f t="shared" si="618"/>
        <v>0</v>
      </c>
      <c r="R3902" s="88" t="e">
        <f>-IF(Tabla14[[#This Row],[DIAS HABILES O MORA]]&lt;0,(Tabla14[[#This Row],[VALOR PRESTAMO]]*Tabla14[[#This Row],[% INTERES ]]/30*U3902))+Tabla14[[#This Row],[VALOR CUOTAS]]</f>
        <v>#VALUE!</v>
      </c>
      <c r="S3902" s="88">
        <f>-IF(Tabla14[[#This Row],[DIAS HABILES O MORA]]&lt;0,(Tabla14[[#This Row],[VALOR PRESTAMO]]*Tabla14[[#This Row],[% INTERES ]]/30*U3902))</f>
        <v>0</v>
      </c>
      <c r="T3902" s="53" t="e">
        <f>Tabla14[[#This Row],[DEUDA CAPITAL]]+Tabla14[[#This Row],[INTERES  CUOTA]]</f>
        <v>#NUM!</v>
      </c>
      <c r="U3902" s="61" t="str">
        <f t="shared" si="619"/>
        <v/>
      </c>
    </row>
    <row r="3903" spans="9:21" ht="24.75" customHeight="1" x14ac:dyDescent="0.35">
      <c r="I3903" s="42">
        <f t="shared" si="610"/>
        <v>0</v>
      </c>
      <c r="J3903" s="65" t="e">
        <f t="shared" si="611"/>
        <v>#NUM!</v>
      </c>
      <c r="K3903" s="83" t="e">
        <f t="shared" si="612"/>
        <v>#NUM!</v>
      </c>
      <c r="L3903" s="83">
        <f t="shared" si="613"/>
        <v>0</v>
      </c>
      <c r="M3903" s="110" t="str">
        <f t="shared" si="614"/>
        <v/>
      </c>
      <c r="N3903" s="51" t="str">
        <f t="shared" si="615"/>
        <v/>
      </c>
      <c r="O3903" s="52" t="str">
        <f t="shared" si="616"/>
        <v/>
      </c>
      <c r="P3903" s="88">
        <f t="shared" si="617"/>
        <v>0</v>
      </c>
      <c r="Q3903" s="88">
        <f t="shared" si="618"/>
        <v>0</v>
      </c>
      <c r="R3903" s="88" t="e">
        <f>-IF(Tabla14[[#This Row],[DIAS HABILES O MORA]]&lt;0,(Tabla14[[#This Row],[VALOR PRESTAMO]]*Tabla14[[#This Row],[% INTERES ]]/30*U3903))+Tabla14[[#This Row],[VALOR CUOTAS]]</f>
        <v>#VALUE!</v>
      </c>
      <c r="S3903" s="88">
        <f>-IF(Tabla14[[#This Row],[DIAS HABILES O MORA]]&lt;0,(Tabla14[[#This Row],[VALOR PRESTAMO]]*Tabla14[[#This Row],[% INTERES ]]/30*U3903))</f>
        <v>0</v>
      </c>
      <c r="T3903" s="53" t="e">
        <f>Tabla14[[#This Row],[DEUDA CAPITAL]]+Tabla14[[#This Row],[INTERES  CUOTA]]</f>
        <v>#NUM!</v>
      </c>
      <c r="U3903" s="61" t="str">
        <f t="shared" si="619"/>
        <v/>
      </c>
    </row>
    <row r="3904" spans="9:21" ht="24.75" customHeight="1" x14ac:dyDescent="0.35">
      <c r="I3904" s="42">
        <f t="shared" si="610"/>
        <v>0</v>
      </c>
      <c r="J3904" s="65" t="e">
        <f t="shared" si="611"/>
        <v>#NUM!</v>
      </c>
      <c r="K3904" s="83" t="e">
        <f t="shared" si="612"/>
        <v>#NUM!</v>
      </c>
      <c r="L3904" s="83">
        <f t="shared" si="613"/>
        <v>0</v>
      </c>
      <c r="M3904" s="110" t="str">
        <f t="shared" si="614"/>
        <v/>
      </c>
      <c r="N3904" s="51" t="str">
        <f t="shared" si="615"/>
        <v/>
      </c>
      <c r="O3904" s="52" t="str">
        <f t="shared" si="616"/>
        <v/>
      </c>
      <c r="P3904" s="88">
        <f t="shared" si="617"/>
        <v>0</v>
      </c>
      <c r="Q3904" s="88">
        <f t="shared" si="618"/>
        <v>0</v>
      </c>
      <c r="R3904" s="88" t="e">
        <f>-IF(Tabla14[[#This Row],[DIAS HABILES O MORA]]&lt;0,(Tabla14[[#This Row],[VALOR PRESTAMO]]*Tabla14[[#This Row],[% INTERES ]]/30*U3904))+Tabla14[[#This Row],[VALOR CUOTAS]]</f>
        <v>#VALUE!</v>
      </c>
      <c r="S3904" s="88">
        <f>-IF(Tabla14[[#This Row],[DIAS HABILES O MORA]]&lt;0,(Tabla14[[#This Row],[VALOR PRESTAMO]]*Tabla14[[#This Row],[% INTERES ]]/30*U3904))</f>
        <v>0</v>
      </c>
      <c r="T3904" s="53" t="e">
        <f>Tabla14[[#This Row],[DEUDA CAPITAL]]+Tabla14[[#This Row],[INTERES  CUOTA]]</f>
        <v>#NUM!</v>
      </c>
      <c r="U3904" s="61" t="str">
        <f t="shared" si="619"/>
        <v/>
      </c>
    </row>
    <row r="3905" spans="9:21" ht="24.75" customHeight="1" x14ac:dyDescent="0.35">
      <c r="I3905" s="42">
        <f t="shared" si="610"/>
        <v>0</v>
      </c>
      <c r="J3905" s="65" t="e">
        <f t="shared" si="611"/>
        <v>#NUM!</v>
      </c>
      <c r="K3905" s="83" t="e">
        <f t="shared" si="612"/>
        <v>#NUM!</v>
      </c>
      <c r="L3905" s="83">
        <f t="shared" si="613"/>
        <v>0</v>
      </c>
      <c r="M3905" s="110" t="str">
        <f t="shared" si="614"/>
        <v/>
      </c>
      <c r="N3905" s="51" t="str">
        <f t="shared" si="615"/>
        <v/>
      </c>
      <c r="O3905" s="52" t="str">
        <f t="shared" si="616"/>
        <v/>
      </c>
      <c r="P3905" s="88">
        <f t="shared" si="617"/>
        <v>0</v>
      </c>
      <c r="Q3905" s="88">
        <f t="shared" si="618"/>
        <v>0</v>
      </c>
      <c r="R3905" s="88" t="e">
        <f>-IF(Tabla14[[#This Row],[DIAS HABILES O MORA]]&lt;0,(Tabla14[[#This Row],[VALOR PRESTAMO]]*Tabla14[[#This Row],[% INTERES ]]/30*U3905))+Tabla14[[#This Row],[VALOR CUOTAS]]</f>
        <v>#VALUE!</v>
      </c>
      <c r="S3905" s="88">
        <f>-IF(Tabla14[[#This Row],[DIAS HABILES O MORA]]&lt;0,(Tabla14[[#This Row],[VALOR PRESTAMO]]*Tabla14[[#This Row],[% INTERES ]]/30*U3905))</f>
        <v>0</v>
      </c>
      <c r="T3905" s="53" t="e">
        <f>Tabla14[[#This Row],[DEUDA CAPITAL]]+Tabla14[[#This Row],[INTERES  CUOTA]]</f>
        <v>#NUM!</v>
      </c>
      <c r="U3905" s="61" t="str">
        <f t="shared" si="619"/>
        <v/>
      </c>
    </row>
    <row r="3906" spans="9:21" ht="24.75" customHeight="1" x14ac:dyDescent="0.35">
      <c r="I3906" s="42">
        <f t="shared" si="610"/>
        <v>0</v>
      </c>
      <c r="J3906" s="65" t="e">
        <f t="shared" si="611"/>
        <v>#NUM!</v>
      </c>
      <c r="K3906" s="83" t="e">
        <f t="shared" si="612"/>
        <v>#NUM!</v>
      </c>
      <c r="L3906" s="83">
        <f t="shared" si="613"/>
        <v>0</v>
      </c>
      <c r="M3906" s="110" t="str">
        <f t="shared" si="614"/>
        <v/>
      </c>
      <c r="N3906" s="51" t="str">
        <f t="shared" si="615"/>
        <v/>
      </c>
      <c r="O3906" s="52" t="str">
        <f t="shared" si="616"/>
        <v/>
      </c>
      <c r="P3906" s="88">
        <f t="shared" si="617"/>
        <v>0</v>
      </c>
      <c r="Q3906" s="88">
        <f t="shared" si="618"/>
        <v>0</v>
      </c>
      <c r="R3906" s="88" t="e">
        <f>-IF(Tabla14[[#This Row],[DIAS HABILES O MORA]]&lt;0,(Tabla14[[#This Row],[VALOR PRESTAMO]]*Tabla14[[#This Row],[% INTERES ]]/30*U3906))+Tabla14[[#This Row],[VALOR CUOTAS]]</f>
        <v>#VALUE!</v>
      </c>
      <c r="S3906" s="88">
        <f>-IF(Tabla14[[#This Row],[DIAS HABILES O MORA]]&lt;0,(Tabla14[[#This Row],[VALOR PRESTAMO]]*Tabla14[[#This Row],[% INTERES ]]/30*U3906))</f>
        <v>0</v>
      </c>
      <c r="T3906" s="53" t="e">
        <f>Tabla14[[#This Row],[DEUDA CAPITAL]]+Tabla14[[#This Row],[INTERES  CUOTA]]</f>
        <v>#NUM!</v>
      </c>
      <c r="U3906" s="61" t="str">
        <f t="shared" si="619"/>
        <v/>
      </c>
    </row>
    <row r="3907" spans="9:21" ht="24.75" customHeight="1" x14ac:dyDescent="0.35">
      <c r="I3907" s="42">
        <f t="shared" si="610"/>
        <v>0</v>
      </c>
      <c r="J3907" s="65" t="e">
        <f t="shared" si="611"/>
        <v>#NUM!</v>
      </c>
      <c r="K3907" s="83" t="e">
        <f t="shared" si="612"/>
        <v>#NUM!</v>
      </c>
      <c r="L3907" s="83">
        <f t="shared" si="613"/>
        <v>0</v>
      </c>
      <c r="M3907" s="110" t="str">
        <f t="shared" si="614"/>
        <v/>
      </c>
      <c r="N3907" s="51" t="str">
        <f t="shared" si="615"/>
        <v/>
      </c>
      <c r="O3907" s="52" t="str">
        <f t="shared" si="616"/>
        <v/>
      </c>
      <c r="P3907" s="88">
        <f t="shared" si="617"/>
        <v>0</v>
      </c>
      <c r="Q3907" s="88">
        <f t="shared" si="618"/>
        <v>0</v>
      </c>
      <c r="R3907" s="88" t="e">
        <f>-IF(Tabla14[[#This Row],[DIAS HABILES O MORA]]&lt;0,(Tabla14[[#This Row],[VALOR PRESTAMO]]*Tabla14[[#This Row],[% INTERES ]]/30*U3907))+Tabla14[[#This Row],[VALOR CUOTAS]]</f>
        <v>#VALUE!</v>
      </c>
      <c r="S3907" s="88">
        <f>-IF(Tabla14[[#This Row],[DIAS HABILES O MORA]]&lt;0,(Tabla14[[#This Row],[VALOR PRESTAMO]]*Tabla14[[#This Row],[% INTERES ]]/30*U3907))</f>
        <v>0</v>
      </c>
      <c r="T3907" s="53" t="e">
        <f>Tabla14[[#This Row],[DEUDA CAPITAL]]+Tabla14[[#This Row],[INTERES  CUOTA]]</f>
        <v>#NUM!</v>
      </c>
      <c r="U3907" s="61" t="str">
        <f t="shared" si="619"/>
        <v/>
      </c>
    </row>
    <row r="3908" spans="9:21" ht="24.75" customHeight="1" x14ac:dyDescent="0.35">
      <c r="I3908" s="42">
        <f t="shared" si="610"/>
        <v>0</v>
      </c>
      <c r="J3908" s="65" t="e">
        <f t="shared" si="611"/>
        <v>#NUM!</v>
      </c>
      <c r="K3908" s="83" t="e">
        <f t="shared" si="612"/>
        <v>#NUM!</v>
      </c>
      <c r="L3908" s="83">
        <f t="shared" si="613"/>
        <v>0</v>
      </c>
      <c r="M3908" s="110" t="str">
        <f t="shared" si="614"/>
        <v/>
      </c>
      <c r="N3908" s="51" t="str">
        <f t="shared" si="615"/>
        <v/>
      </c>
      <c r="O3908" s="52" t="str">
        <f t="shared" si="616"/>
        <v/>
      </c>
      <c r="P3908" s="88">
        <f t="shared" si="617"/>
        <v>0</v>
      </c>
      <c r="Q3908" s="88">
        <f t="shared" si="618"/>
        <v>0</v>
      </c>
      <c r="R3908" s="88" t="e">
        <f>-IF(Tabla14[[#This Row],[DIAS HABILES O MORA]]&lt;0,(Tabla14[[#This Row],[VALOR PRESTAMO]]*Tabla14[[#This Row],[% INTERES ]]/30*U3908))+Tabla14[[#This Row],[VALOR CUOTAS]]</f>
        <v>#VALUE!</v>
      </c>
      <c r="S3908" s="88">
        <f>-IF(Tabla14[[#This Row],[DIAS HABILES O MORA]]&lt;0,(Tabla14[[#This Row],[VALOR PRESTAMO]]*Tabla14[[#This Row],[% INTERES ]]/30*U3908))</f>
        <v>0</v>
      </c>
      <c r="T3908" s="53" t="e">
        <f>Tabla14[[#This Row],[DEUDA CAPITAL]]+Tabla14[[#This Row],[INTERES  CUOTA]]</f>
        <v>#NUM!</v>
      </c>
      <c r="U3908" s="61" t="str">
        <f t="shared" si="619"/>
        <v/>
      </c>
    </row>
    <row r="3909" spans="9:21" ht="24.75" customHeight="1" x14ac:dyDescent="0.35">
      <c r="I3909" s="42">
        <f t="shared" si="610"/>
        <v>0</v>
      </c>
      <c r="J3909" s="65" t="e">
        <f t="shared" si="611"/>
        <v>#NUM!</v>
      </c>
      <c r="K3909" s="83" t="e">
        <f t="shared" si="612"/>
        <v>#NUM!</v>
      </c>
      <c r="L3909" s="83">
        <f t="shared" si="613"/>
        <v>0</v>
      </c>
      <c r="M3909" s="110" t="str">
        <f t="shared" si="614"/>
        <v/>
      </c>
      <c r="N3909" s="51" t="str">
        <f t="shared" si="615"/>
        <v/>
      </c>
      <c r="O3909" s="52" t="str">
        <f t="shared" si="616"/>
        <v/>
      </c>
      <c r="P3909" s="88">
        <f t="shared" si="617"/>
        <v>0</v>
      </c>
      <c r="Q3909" s="88">
        <f t="shared" si="618"/>
        <v>0</v>
      </c>
      <c r="R3909" s="88" t="e">
        <f>-IF(Tabla14[[#This Row],[DIAS HABILES O MORA]]&lt;0,(Tabla14[[#This Row],[VALOR PRESTAMO]]*Tabla14[[#This Row],[% INTERES ]]/30*U3909))+Tabla14[[#This Row],[VALOR CUOTAS]]</f>
        <v>#VALUE!</v>
      </c>
      <c r="S3909" s="88">
        <f>-IF(Tabla14[[#This Row],[DIAS HABILES O MORA]]&lt;0,(Tabla14[[#This Row],[VALOR PRESTAMO]]*Tabla14[[#This Row],[% INTERES ]]/30*U3909))</f>
        <v>0</v>
      </c>
      <c r="T3909" s="53" t="e">
        <f>Tabla14[[#This Row],[DEUDA CAPITAL]]+Tabla14[[#This Row],[INTERES  CUOTA]]</f>
        <v>#NUM!</v>
      </c>
      <c r="U3909" s="61" t="str">
        <f t="shared" si="619"/>
        <v/>
      </c>
    </row>
    <row r="3910" spans="9:21" ht="24.75" customHeight="1" x14ac:dyDescent="0.35">
      <c r="I3910" s="42">
        <f t="shared" si="610"/>
        <v>0</v>
      </c>
      <c r="J3910" s="65" t="e">
        <f t="shared" si="611"/>
        <v>#NUM!</v>
      </c>
      <c r="K3910" s="83" t="e">
        <f t="shared" si="612"/>
        <v>#NUM!</v>
      </c>
      <c r="L3910" s="83">
        <f t="shared" si="613"/>
        <v>0</v>
      </c>
      <c r="M3910" s="110" t="str">
        <f t="shared" si="614"/>
        <v/>
      </c>
      <c r="N3910" s="51" t="str">
        <f t="shared" si="615"/>
        <v/>
      </c>
      <c r="O3910" s="52" t="str">
        <f t="shared" si="616"/>
        <v/>
      </c>
      <c r="P3910" s="88">
        <f t="shared" si="617"/>
        <v>0</v>
      </c>
      <c r="Q3910" s="88">
        <f t="shared" si="618"/>
        <v>0</v>
      </c>
      <c r="R3910" s="88" t="e">
        <f>-IF(Tabla14[[#This Row],[DIAS HABILES O MORA]]&lt;0,(Tabla14[[#This Row],[VALOR PRESTAMO]]*Tabla14[[#This Row],[% INTERES ]]/30*U3910))+Tabla14[[#This Row],[VALOR CUOTAS]]</f>
        <v>#VALUE!</v>
      </c>
      <c r="S3910" s="88">
        <f>-IF(Tabla14[[#This Row],[DIAS HABILES O MORA]]&lt;0,(Tabla14[[#This Row],[VALOR PRESTAMO]]*Tabla14[[#This Row],[% INTERES ]]/30*U3910))</f>
        <v>0</v>
      </c>
      <c r="T3910" s="53" t="e">
        <f>Tabla14[[#This Row],[DEUDA CAPITAL]]+Tabla14[[#This Row],[INTERES  CUOTA]]</f>
        <v>#NUM!</v>
      </c>
      <c r="U3910" s="61" t="str">
        <f t="shared" si="619"/>
        <v/>
      </c>
    </row>
    <row r="3911" spans="9:21" ht="24.75" customHeight="1" x14ac:dyDescent="0.35">
      <c r="I3911" s="42">
        <f t="shared" si="610"/>
        <v>0</v>
      </c>
      <c r="J3911" s="65" t="e">
        <f t="shared" si="611"/>
        <v>#NUM!</v>
      </c>
      <c r="K3911" s="83" t="e">
        <f t="shared" si="612"/>
        <v>#NUM!</v>
      </c>
      <c r="L3911" s="83">
        <f t="shared" si="613"/>
        <v>0</v>
      </c>
      <c r="M3911" s="110" t="str">
        <f t="shared" si="614"/>
        <v/>
      </c>
      <c r="N3911" s="51" t="str">
        <f t="shared" si="615"/>
        <v/>
      </c>
      <c r="O3911" s="52" t="str">
        <f t="shared" si="616"/>
        <v/>
      </c>
      <c r="P3911" s="88">
        <f t="shared" si="617"/>
        <v>0</v>
      </c>
      <c r="Q3911" s="88">
        <f t="shared" si="618"/>
        <v>0</v>
      </c>
      <c r="R3911" s="88" t="e">
        <f>-IF(Tabla14[[#This Row],[DIAS HABILES O MORA]]&lt;0,(Tabla14[[#This Row],[VALOR PRESTAMO]]*Tabla14[[#This Row],[% INTERES ]]/30*U3911))+Tabla14[[#This Row],[VALOR CUOTAS]]</f>
        <v>#VALUE!</v>
      </c>
      <c r="S3911" s="88">
        <f>-IF(Tabla14[[#This Row],[DIAS HABILES O MORA]]&lt;0,(Tabla14[[#This Row],[VALOR PRESTAMO]]*Tabla14[[#This Row],[% INTERES ]]/30*U3911))</f>
        <v>0</v>
      </c>
      <c r="T3911" s="53" t="e">
        <f>Tabla14[[#This Row],[DEUDA CAPITAL]]+Tabla14[[#This Row],[INTERES  CUOTA]]</f>
        <v>#NUM!</v>
      </c>
      <c r="U3911" s="61" t="str">
        <f t="shared" si="619"/>
        <v/>
      </c>
    </row>
    <row r="3912" spans="9:21" ht="24.75" customHeight="1" x14ac:dyDescent="0.35">
      <c r="I3912" s="42">
        <f t="shared" si="610"/>
        <v>0</v>
      </c>
      <c r="J3912" s="65" t="e">
        <f t="shared" si="611"/>
        <v>#NUM!</v>
      </c>
      <c r="K3912" s="83" t="e">
        <f t="shared" si="612"/>
        <v>#NUM!</v>
      </c>
      <c r="L3912" s="83">
        <f t="shared" si="613"/>
        <v>0</v>
      </c>
      <c r="M3912" s="110" t="str">
        <f t="shared" si="614"/>
        <v/>
      </c>
      <c r="N3912" s="51" t="str">
        <f t="shared" si="615"/>
        <v/>
      </c>
      <c r="O3912" s="52" t="str">
        <f t="shared" si="616"/>
        <v/>
      </c>
      <c r="P3912" s="88">
        <f t="shared" si="617"/>
        <v>0</v>
      </c>
      <c r="Q3912" s="88">
        <f t="shared" si="618"/>
        <v>0</v>
      </c>
      <c r="R3912" s="88" t="e">
        <f>-IF(Tabla14[[#This Row],[DIAS HABILES O MORA]]&lt;0,(Tabla14[[#This Row],[VALOR PRESTAMO]]*Tabla14[[#This Row],[% INTERES ]]/30*U3912))+Tabla14[[#This Row],[VALOR CUOTAS]]</f>
        <v>#VALUE!</v>
      </c>
      <c r="S3912" s="88">
        <f>-IF(Tabla14[[#This Row],[DIAS HABILES O MORA]]&lt;0,(Tabla14[[#This Row],[VALOR PRESTAMO]]*Tabla14[[#This Row],[% INTERES ]]/30*U3912))</f>
        <v>0</v>
      </c>
      <c r="T3912" s="53" t="e">
        <f>Tabla14[[#This Row],[DEUDA CAPITAL]]+Tabla14[[#This Row],[INTERES  CUOTA]]</f>
        <v>#NUM!</v>
      </c>
      <c r="U3912" s="61" t="str">
        <f t="shared" si="619"/>
        <v/>
      </c>
    </row>
    <row r="3913" spans="9:21" ht="24.75" customHeight="1" x14ac:dyDescent="0.35">
      <c r="I3913" s="42">
        <f t="shared" si="610"/>
        <v>0</v>
      </c>
      <c r="J3913" s="65" t="e">
        <f t="shared" si="611"/>
        <v>#NUM!</v>
      </c>
      <c r="K3913" s="83" t="e">
        <f t="shared" si="612"/>
        <v>#NUM!</v>
      </c>
      <c r="L3913" s="83">
        <f t="shared" si="613"/>
        <v>0</v>
      </c>
      <c r="M3913" s="110" t="str">
        <f t="shared" si="614"/>
        <v/>
      </c>
      <c r="N3913" s="51" t="str">
        <f t="shared" si="615"/>
        <v/>
      </c>
      <c r="O3913" s="52" t="str">
        <f t="shared" si="616"/>
        <v/>
      </c>
      <c r="P3913" s="88">
        <f t="shared" si="617"/>
        <v>0</v>
      </c>
      <c r="Q3913" s="88">
        <f t="shared" si="618"/>
        <v>0</v>
      </c>
      <c r="R3913" s="88" t="e">
        <f>-IF(Tabla14[[#This Row],[DIAS HABILES O MORA]]&lt;0,(Tabla14[[#This Row],[VALOR PRESTAMO]]*Tabla14[[#This Row],[% INTERES ]]/30*U3913))+Tabla14[[#This Row],[VALOR CUOTAS]]</f>
        <v>#VALUE!</v>
      </c>
      <c r="S3913" s="88">
        <f>-IF(Tabla14[[#This Row],[DIAS HABILES O MORA]]&lt;0,(Tabla14[[#This Row],[VALOR PRESTAMO]]*Tabla14[[#This Row],[% INTERES ]]/30*U3913))</f>
        <v>0</v>
      </c>
      <c r="T3913" s="53" t="e">
        <f>Tabla14[[#This Row],[DEUDA CAPITAL]]+Tabla14[[#This Row],[INTERES  CUOTA]]</f>
        <v>#NUM!</v>
      </c>
      <c r="U3913" s="61" t="str">
        <f t="shared" si="619"/>
        <v/>
      </c>
    </row>
    <row r="3914" spans="9:21" ht="24.75" customHeight="1" x14ac:dyDescent="0.35">
      <c r="I3914" s="42">
        <f t="shared" si="610"/>
        <v>0</v>
      </c>
      <c r="J3914" s="65" t="e">
        <f t="shared" si="611"/>
        <v>#NUM!</v>
      </c>
      <c r="K3914" s="83" t="e">
        <f t="shared" si="612"/>
        <v>#NUM!</v>
      </c>
      <c r="L3914" s="83">
        <f t="shared" si="613"/>
        <v>0</v>
      </c>
      <c r="M3914" s="110" t="str">
        <f t="shared" si="614"/>
        <v/>
      </c>
      <c r="N3914" s="51" t="str">
        <f t="shared" si="615"/>
        <v/>
      </c>
      <c r="O3914" s="52" t="str">
        <f t="shared" si="616"/>
        <v/>
      </c>
      <c r="P3914" s="88">
        <f t="shared" si="617"/>
        <v>0</v>
      </c>
      <c r="Q3914" s="88">
        <f t="shared" si="618"/>
        <v>0</v>
      </c>
      <c r="R3914" s="88" t="e">
        <f>-IF(Tabla14[[#This Row],[DIAS HABILES O MORA]]&lt;0,(Tabla14[[#This Row],[VALOR PRESTAMO]]*Tabla14[[#This Row],[% INTERES ]]/30*U3914))+Tabla14[[#This Row],[VALOR CUOTAS]]</f>
        <v>#VALUE!</v>
      </c>
      <c r="S3914" s="88">
        <f>-IF(Tabla14[[#This Row],[DIAS HABILES O MORA]]&lt;0,(Tabla14[[#This Row],[VALOR PRESTAMO]]*Tabla14[[#This Row],[% INTERES ]]/30*U3914))</f>
        <v>0</v>
      </c>
      <c r="T3914" s="53" t="e">
        <f>Tabla14[[#This Row],[DEUDA CAPITAL]]+Tabla14[[#This Row],[INTERES  CUOTA]]</f>
        <v>#NUM!</v>
      </c>
      <c r="U3914" s="61" t="str">
        <f t="shared" si="619"/>
        <v/>
      </c>
    </row>
    <row r="3915" spans="9:21" ht="24.75" customHeight="1" x14ac:dyDescent="0.35">
      <c r="I3915" s="42">
        <f t="shared" si="610"/>
        <v>0</v>
      </c>
      <c r="J3915" s="65" t="e">
        <f t="shared" si="611"/>
        <v>#NUM!</v>
      </c>
      <c r="K3915" s="83" t="e">
        <f t="shared" si="612"/>
        <v>#NUM!</v>
      </c>
      <c r="L3915" s="83">
        <f t="shared" si="613"/>
        <v>0</v>
      </c>
      <c r="M3915" s="110" t="str">
        <f t="shared" si="614"/>
        <v/>
      </c>
      <c r="N3915" s="51" t="str">
        <f t="shared" si="615"/>
        <v/>
      </c>
      <c r="O3915" s="52" t="str">
        <f t="shared" si="616"/>
        <v/>
      </c>
      <c r="P3915" s="88">
        <f t="shared" si="617"/>
        <v>0</v>
      </c>
      <c r="Q3915" s="88">
        <f t="shared" si="618"/>
        <v>0</v>
      </c>
      <c r="R3915" s="88" t="e">
        <f>-IF(Tabla14[[#This Row],[DIAS HABILES O MORA]]&lt;0,(Tabla14[[#This Row],[VALOR PRESTAMO]]*Tabla14[[#This Row],[% INTERES ]]/30*U3915))+Tabla14[[#This Row],[VALOR CUOTAS]]</f>
        <v>#VALUE!</v>
      </c>
      <c r="S3915" s="88">
        <f>-IF(Tabla14[[#This Row],[DIAS HABILES O MORA]]&lt;0,(Tabla14[[#This Row],[VALOR PRESTAMO]]*Tabla14[[#This Row],[% INTERES ]]/30*U3915))</f>
        <v>0</v>
      </c>
      <c r="T3915" s="53" t="e">
        <f>Tabla14[[#This Row],[DEUDA CAPITAL]]+Tabla14[[#This Row],[INTERES  CUOTA]]</f>
        <v>#NUM!</v>
      </c>
      <c r="U3915" s="61" t="str">
        <f t="shared" si="619"/>
        <v/>
      </c>
    </row>
    <row r="3916" spans="9:21" ht="24.75" customHeight="1" x14ac:dyDescent="0.35">
      <c r="I3916" s="42">
        <f t="shared" si="610"/>
        <v>0</v>
      </c>
      <c r="J3916" s="65" t="e">
        <f t="shared" si="611"/>
        <v>#NUM!</v>
      </c>
      <c r="K3916" s="83" t="e">
        <f t="shared" si="612"/>
        <v>#NUM!</v>
      </c>
      <c r="L3916" s="83">
        <f t="shared" si="613"/>
        <v>0</v>
      </c>
      <c r="M3916" s="110" t="str">
        <f t="shared" si="614"/>
        <v/>
      </c>
      <c r="N3916" s="51" t="str">
        <f t="shared" si="615"/>
        <v/>
      </c>
      <c r="O3916" s="52" t="str">
        <f t="shared" si="616"/>
        <v/>
      </c>
      <c r="P3916" s="88">
        <f t="shared" si="617"/>
        <v>0</v>
      </c>
      <c r="Q3916" s="88">
        <f t="shared" si="618"/>
        <v>0</v>
      </c>
      <c r="R3916" s="88" t="e">
        <f>-IF(Tabla14[[#This Row],[DIAS HABILES O MORA]]&lt;0,(Tabla14[[#This Row],[VALOR PRESTAMO]]*Tabla14[[#This Row],[% INTERES ]]/30*U3916))+Tabla14[[#This Row],[VALOR CUOTAS]]</f>
        <v>#VALUE!</v>
      </c>
      <c r="S3916" s="88">
        <f>-IF(Tabla14[[#This Row],[DIAS HABILES O MORA]]&lt;0,(Tabla14[[#This Row],[VALOR PRESTAMO]]*Tabla14[[#This Row],[% INTERES ]]/30*U3916))</f>
        <v>0</v>
      </c>
      <c r="T3916" s="53" t="e">
        <f>Tabla14[[#This Row],[DEUDA CAPITAL]]+Tabla14[[#This Row],[INTERES  CUOTA]]</f>
        <v>#NUM!</v>
      </c>
      <c r="U3916" s="61" t="str">
        <f t="shared" si="619"/>
        <v/>
      </c>
    </row>
    <row r="3917" spans="9:21" ht="24.75" customHeight="1" x14ac:dyDescent="0.35">
      <c r="I3917" s="42">
        <f t="shared" si="610"/>
        <v>0</v>
      </c>
      <c r="J3917" s="65" t="e">
        <f t="shared" si="611"/>
        <v>#NUM!</v>
      </c>
      <c r="K3917" s="83" t="e">
        <f t="shared" si="612"/>
        <v>#NUM!</v>
      </c>
      <c r="L3917" s="83">
        <f t="shared" si="613"/>
        <v>0</v>
      </c>
      <c r="M3917" s="110" t="str">
        <f t="shared" si="614"/>
        <v/>
      </c>
      <c r="N3917" s="51" t="str">
        <f t="shared" si="615"/>
        <v/>
      </c>
      <c r="O3917" s="52" t="str">
        <f t="shared" si="616"/>
        <v/>
      </c>
      <c r="P3917" s="88">
        <f t="shared" si="617"/>
        <v>0</v>
      </c>
      <c r="Q3917" s="88">
        <f t="shared" si="618"/>
        <v>0</v>
      </c>
      <c r="R3917" s="88" t="e">
        <f>-IF(Tabla14[[#This Row],[DIAS HABILES O MORA]]&lt;0,(Tabla14[[#This Row],[VALOR PRESTAMO]]*Tabla14[[#This Row],[% INTERES ]]/30*U3917))+Tabla14[[#This Row],[VALOR CUOTAS]]</f>
        <v>#VALUE!</v>
      </c>
      <c r="S3917" s="88">
        <f>-IF(Tabla14[[#This Row],[DIAS HABILES O MORA]]&lt;0,(Tabla14[[#This Row],[VALOR PRESTAMO]]*Tabla14[[#This Row],[% INTERES ]]/30*U3917))</f>
        <v>0</v>
      </c>
      <c r="T3917" s="53" t="e">
        <f>Tabla14[[#This Row],[DEUDA CAPITAL]]+Tabla14[[#This Row],[INTERES  CUOTA]]</f>
        <v>#NUM!</v>
      </c>
      <c r="U3917" s="61" t="str">
        <f t="shared" si="619"/>
        <v/>
      </c>
    </row>
    <row r="3918" spans="9:21" ht="24.75" customHeight="1" x14ac:dyDescent="0.35">
      <c r="I3918" s="42">
        <f t="shared" si="610"/>
        <v>0</v>
      </c>
      <c r="J3918" s="65" t="e">
        <f t="shared" si="611"/>
        <v>#NUM!</v>
      </c>
      <c r="K3918" s="83" t="e">
        <f t="shared" si="612"/>
        <v>#NUM!</v>
      </c>
      <c r="L3918" s="83">
        <f t="shared" si="613"/>
        <v>0</v>
      </c>
      <c r="M3918" s="110" t="str">
        <f t="shared" si="614"/>
        <v/>
      </c>
      <c r="N3918" s="51" t="str">
        <f t="shared" si="615"/>
        <v/>
      </c>
      <c r="O3918" s="52" t="str">
        <f t="shared" si="616"/>
        <v/>
      </c>
      <c r="P3918" s="88">
        <f t="shared" si="617"/>
        <v>0</v>
      </c>
      <c r="Q3918" s="88">
        <f t="shared" si="618"/>
        <v>0</v>
      </c>
      <c r="R3918" s="88" t="e">
        <f>-IF(Tabla14[[#This Row],[DIAS HABILES O MORA]]&lt;0,(Tabla14[[#This Row],[VALOR PRESTAMO]]*Tabla14[[#This Row],[% INTERES ]]/30*U3918))+Tabla14[[#This Row],[VALOR CUOTAS]]</f>
        <v>#VALUE!</v>
      </c>
      <c r="S3918" s="88">
        <f>-IF(Tabla14[[#This Row],[DIAS HABILES O MORA]]&lt;0,(Tabla14[[#This Row],[VALOR PRESTAMO]]*Tabla14[[#This Row],[% INTERES ]]/30*U3918))</f>
        <v>0</v>
      </c>
      <c r="T3918" s="53" t="e">
        <f>Tabla14[[#This Row],[DEUDA CAPITAL]]+Tabla14[[#This Row],[INTERES  CUOTA]]</f>
        <v>#NUM!</v>
      </c>
      <c r="U3918" s="61" t="str">
        <f t="shared" si="619"/>
        <v/>
      </c>
    </row>
    <row r="3919" spans="9:21" ht="24.75" customHeight="1" x14ac:dyDescent="0.35">
      <c r="I3919" s="42">
        <f t="shared" si="610"/>
        <v>0</v>
      </c>
      <c r="J3919" s="65" t="e">
        <f t="shared" si="611"/>
        <v>#NUM!</v>
      </c>
      <c r="K3919" s="83" t="e">
        <f t="shared" si="612"/>
        <v>#NUM!</v>
      </c>
      <c r="L3919" s="83">
        <f t="shared" si="613"/>
        <v>0</v>
      </c>
      <c r="M3919" s="110" t="str">
        <f t="shared" si="614"/>
        <v/>
      </c>
      <c r="N3919" s="51" t="str">
        <f t="shared" si="615"/>
        <v/>
      </c>
      <c r="O3919" s="52" t="str">
        <f t="shared" si="616"/>
        <v/>
      </c>
      <c r="P3919" s="88">
        <f t="shared" si="617"/>
        <v>0</v>
      </c>
      <c r="Q3919" s="88">
        <f t="shared" si="618"/>
        <v>0</v>
      </c>
      <c r="R3919" s="88" t="e">
        <f>-IF(Tabla14[[#This Row],[DIAS HABILES O MORA]]&lt;0,(Tabla14[[#This Row],[VALOR PRESTAMO]]*Tabla14[[#This Row],[% INTERES ]]/30*U3919))+Tabla14[[#This Row],[VALOR CUOTAS]]</f>
        <v>#VALUE!</v>
      </c>
      <c r="S3919" s="88">
        <f>-IF(Tabla14[[#This Row],[DIAS HABILES O MORA]]&lt;0,(Tabla14[[#This Row],[VALOR PRESTAMO]]*Tabla14[[#This Row],[% INTERES ]]/30*U3919))</f>
        <v>0</v>
      </c>
      <c r="T3919" s="53" t="e">
        <f>Tabla14[[#This Row],[DEUDA CAPITAL]]+Tabla14[[#This Row],[INTERES  CUOTA]]</f>
        <v>#NUM!</v>
      </c>
      <c r="U3919" s="61" t="str">
        <f t="shared" si="619"/>
        <v/>
      </c>
    </row>
    <row r="3920" spans="9:21" ht="24.75" customHeight="1" x14ac:dyDescent="0.35">
      <c r="I3920" s="42">
        <f t="shared" ref="I3920:I3983" si="620">IF(C3920&lt;0,"",IF(Q3920=0,0,IF(G3920=0,H3920+1,IF(H3920&lt;G3920,H3920+1,IF(G3920=H3920,0)))))</f>
        <v>0</v>
      </c>
      <c r="J3920" s="65" t="e">
        <f t="shared" ref="J3920:J3983" si="621">IF(F3920="SOLO INTERES",Q3920*D3920,-IPMT(D3920,I3920,G3920,C3920))</f>
        <v>#NUM!</v>
      </c>
      <c r="K3920" s="83" t="e">
        <f t="shared" ref="K3920:K3983" si="622">IF(F3920="SOLO INTERES",0,-PPMT(D3920,I3920,G3920,C3920))</f>
        <v>#NUM!</v>
      </c>
      <c r="L3920" s="83">
        <f t="shared" ref="L3920:L3983" si="623">IF(F3920="SOLO INTERES",SUM(Y3920:AAE3920),IFERROR(-CUMIPMT(D3920,G3920,C3920,1,H3920,0),0)+SUM(Y3920:WY3920))</f>
        <v>0</v>
      </c>
      <c r="M3920" s="110" t="str">
        <f t="shared" ref="M3920:M3983" si="624">IFERROR(IF(F3920="SOLO INTERES",Q3920*D3920,-PMT(D3920,G3920,C3920,0)),"")</f>
        <v/>
      </c>
      <c r="N3920" s="51" t="str">
        <f t="shared" ref="N3920:N3983" si="625">IF(Q3920=0,"",IF(E3920="MENSUAL",EDATE(B3920,I3920),IF(E3920="QUINCENAL",B3920+(I3920*15),IF(E3920="SEMANAL",B3920+(I3920*7)))))</f>
        <v/>
      </c>
      <c r="O3920" s="52" t="str">
        <f t="shared" ref="O3920:O3983" si="626">IF(C3920=0,"",IF(Q3920&lt;1,"PAGADO",IF(N3920=$A$3,"COBRAR HOY",IF(N3920&lt;$A$3,"EN MORA",IF(N3920&gt;$A$3,"AL DIA")))))</f>
        <v/>
      </c>
      <c r="P3920" s="88">
        <f t="shared" ref="P3920:P3983" si="627">IFERROR(-CUMPRINC(D3920,G3920,C3920,1,H3920,0),0)+W3920</f>
        <v>0</v>
      </c>
      <c r="Q3920" s="88">
        <f t="shared" ref="Q3920:Q3983" si="628">IFERROR(C3920-P3920,"")</f>
        <v>0</v>
      </c>
      <c r="R3920" s="88" t="e">
        <f>-IF(Tabla14[[#This Row],[DIAS HABILES O MORA]]&lt;0,(Tabla14[[#This Row],[VALOR PRESTAMO]]*Tabla14[[#This Row],[% INTERES ]]/30*U3920))+Tabla14[[#This Row],[VALOR CUOTAS]]</f>
        <v>#VALUE!</v>
      </c>
      <c r="S3920" s="88">
        <f>-IF(Tabla14[[#This Row],[DIAS HABILES O MORA]]&lt;0,(Tabla14[[#This Row],[VALOR PRESTAMO]]*Tabla14[[#This Row],[% INTERES ]]/30*U3920))</f>
        <v>0</v>
      </c>
      <c r="T3920" s="53" t="e">
        <f>Tabla14[[#This Row],[DEUDA CAPITAL]]+Tabla14[[#This Row],[INTERES  CUOTA]]</f>
        <v>#NUM!</v>
      </c>
      <c r="U3920" s="61" t="str">
        <f t="shared" ref="U3920:U3983" si="629">IF(O3920="PAGADO","",IFERROR(-IF(C3920=0,"",$A$3-N3920),""))</f>
        <v/>
      </c>
    </row>
    <row r="3921" spans="9:21" ht="24.75" customHeight="1" x14ac:dyDescent="0.35">
      <c r="I3921" s="42">
        <f t="shared" si="620"/>
        <v>0</v>
      </c>
      <c r="J3921" s="65" t="e">
        <f t="shared" si="621"/>
        <v>#NUM!</v>
      </c>
      <c r="K3921" s="83" t="e">
        <f t="shared" si="622"/>
        <v>#NUM!</v>
      </c>
      <c r="L3921" s="83">
        <f t="shared" si="623"/>
        <v>0</v>
      </c>
      <c r="M3921" s="110" t="str">
        <f t="shared" si="624"/>
        <v/>
      </c>
      <c r="N3921" s="51" t="str">
        <f t="shared" si="625"/>
        <v/>
      </c>
      <c r="O3921" s="52" t="str">
        <f t="shared" si="626"/>
        <v/>
      </c>
      <c r="P3921" s="88">
        <f t="shared" si="627"/>
        <v>0</v>
      </c>
      <c r="Q3921" s="88">
        <f t="shared" si="628"/>
        <v>0</v>
      </c>
      <c r="R3921" s="88" t="e">
        <f>-IF(Tabla14[[#This Row],[DIAS HABILES O MORA]]&lt;0,(Tabla14[[#This Row],[VALOR PRESTAMO]]*Tabla14[[#This Row],[% INTERES ]]/30*U3921))+Tabla14[[#This Row],[VALOR CUOTAS]]</f>
        <v>#VALUE!</v>
      </c>
      <c r="S3921" s="88">
        <f>-IF(Tabla14[[#This Row],[DIAS HABILES O MORA]]&lt;0,(Tabla14[[#This Row],[VALOR PRESTAMO]]*Tabla14[[#This Row],[% INTERES ]]/30*U3921))</f>
        <v>0</v>
      </c>
      <c r="T3921" s="53" t="e">
        <f>Tabla14[[#This Row],[DEUDA CAPITAL]]+Tabla14[[#This Row],[INTERES  CUOTA]]</f>
        <v>#NUM!</v>
      </c>
      <c r="U3921" s="61" t="str">
        <f t="shared" si="629"/>
        <v/>
      </c>
    </row>
    <row r="3922" spans="9:21" ht="24.75" customHeight="1" x14ac:dyDescent="0.35">
      <c r="I3922" s="42">
        <f t="shared" si="620"/>
        <v>0</v>
      </c>
      <c r="J3922" s="65" t="e">
        <f t="shared" si="621"/>
        <v>#NUM!</v>
      </c>
      <c r="K3922" s="83" t="e">
        <f t="shared" si="622"/>
        <v>#NUM!</v>
      </c>
      <c r="L3922" s="83">
        <f t="shared" si="623"/>
        <v>0</v>
      </c>
      <c r="M3922" s="110" t="str">
        <f t="shared" si="624"/>
        <v/>
      </c>
      <c r="N3922" s="51" t="str">
        <f t="shared" si="625"/>
        <v/>
      </c>
      <c r="O3922" s="52" t="str">
        <f t="shared" si="626"/>
        <v/>
      </c>
      <c r="P3922" s="88">
        <f t="shared" si="627"/>
        <v>0</v>
      </c>
      <c r="Q3922" s="88">
        <f t="shared" si="628"/>
        <v>0</v>
      </c>
      <c r="R3922" s="88" t="e">
        <f>-IF(Tabla14[[#This Row],[DIAS HABILES O MORA]]&lt;0,(Tabla14[[#This Row],[VALOR PRESTAMO]]*Tabla14[[#This Row],[% INTERES ]]/30*U3922))+Tabla14[[#This Row],[VALOR CUOTAS]]</f>
        <v>#VALUE!</v>
      </c>
      <c r="S3922" s="88">
        <f>-IF(Tabla14[[#This Row],[DIAS HABILES O MORA]]&lt;0,(Tabla14[[#This Row],[VALOR PRESTAMO]]*Tabla14[[#This Row],[% INTERES ]]/30*U3922))</f>
        <v>0</v>
      </c>
      <c r="T3922" s="53" t="e">
        <f>Tabla14[[#This Row],[DEUDA CAPITAL]]+Tabla14[[#This Row],[INTERES  CUOTA]]</f>
        <v>#NUM!</v>
      </c>
      <c r="U3922" s="61" t="str">
        <f t="shared" si="629"/>
        <v/>
      </c>
    </row>
    <row r="3923" spans="9:21" ht="24.75" customHeight="1" x14ac:dyDescent="0.35">
      <c r="I3923" s="42">
        <f t="shared" si="620"/>
        <v>0</v>
      </c>
      <c r="J3923" s="65" t="e">
        <f t="shared" si="621"/>
        <v>#NUM!</v>
      </c>
      <c r="K3923" s="83" t="e">
        <f t="shared" si="622"/>
        <v>#NUM!</v>
      </c>
      <c r="L3923" s="83">
        <f t="shared" si="623"/>
        <v>0</v>
      </c>
      <c r="M3923" s="110" t="str">
        <f t="shared" si="624"/>
        <v/>
      </c>
      <c r="N3923" s="51" t="str">
        <f t="shared" si="625"/>
        <v/>
      </c>
      <c r="O3923" s="52" t="str">
        <f t="shared" si="626"/>
        <v/>
      </c>
      <c r="P3923" s="88">
        <f t="shared" si="627"/>
        <v>0</v>
      </c>
      <c r="Q3923" s="88">
        <f t="shared" si="628"/>
        <v>0</v>
      </c>
      <c r="R3923" s="88" t="e">
        <f>-IF(Tabla14[[#This Row],[DIAS HABILES O MORA]]&lt;0,(Tabla14[[#This Row],[VALOR PRESTAMO]]*Tabla14[[#This Row],[% INTERES ]]/30*U3923))+Tabla14[[#This Row],[VALOR CUOTAS]]</f>
        <v>#VALUE!</v>
      </c>
      <c r="S3923" s="88">
        <f>-IF(Tabla14[[#This Row],[DIAS HABILES O MORA]]&lt;0,(Tabla14[[#This Row],[VALOR PRESTAMO]]*Tabla14[[#This Row],[% INTERES ]]/30*U3923))</f>
        <v>0</v>
      </c>
      <c r="T3923" s="53" t="e">
        <f>Tabla14[[#This Row],[DEUDA CAPITAL]]+Tabla14[[#This Row],[INTERES  CUOTA]]</f>
        <v>#NUM!</v>
      </c>
      <c r="U3923" s="61" t="str">
        <f t="shared" si="629"/>
        <v/>
      </c>
    </row>
    <row r="3924" spans="9:21" ht="24.75" customHeight="1" x14ac:dyDescent="0.35">
      <c r="I3924" s="42">
        <f t="shared" si="620"/>
        <v>0</v>
      </c>
      <c r="J3924" s="65" t="e">
        <f t="shared" si="621"/>
        <v>#NUM!</v>
      </c>
      <c r="K3924" s="83" t="e">
        <f t="shared" si="622"/>
        <v>#NUM!</v>
      </c>
      <c r="L3924" s="83">
        <f t="shared" si="623"/>
        <v>0</v>
      </c>
      <c r="M3924" s="110" t="str">
        <f t="shared" si="624"/>
        <v/>
      </c>
      <c r="N3924" s="51" t="str">
        <f t="shared" si="625"/>
        <v/>
      </c>
      <c r="O3924" s="52" t="str">
        <f t="shared" si="626"/>
        <v/>
      </c>
      <c r="P3924" s="88">
        <f t="shared" si="627"/>
        <v>0</v>
      </c>
      <c r="Q3924" s="88">
        <f t="shared" si="628"/>
        <v>0</v>
      </c>
      <c r="R3924" s="88" t="e">
        <f>-IF(Tabla14[[#This Row],[DIAS HABILES O MORA]]&lt;0,(Tabla14[[#This Row],[VALOR PRESTAMO]]*Tabla14[[#This Row],[% INTERES ]]/30*U3924))+Tabla14[[#This Row],[VALOR CUOTAS]]</f>
        <v>#VALUE!</v>
      </c>
      <c r="S3924" s="88">
        <f>-IF(Tabla14[[#This Row],[DIAS HABILES O MORA]]&lt;0,(Tabla14[[#This Row],[VALOR PRESTAMO]]*Tabla14[[#This Row],[% INTERES ]]/30*U3924))</f>
        <v>0</v>
      </c>
      <c r="T3924" s="53" t="e">
        <f>Tabla14[[#This Row],[DEUDA CAPITAL]]+Tabla14[[#This Row],[INTERES  CUOTA]]</f>
        <v>#NUM!</v>
      </c>
      <c r="U3924" s="61" t="str">
        <f t="shared" si="629"/>
        <v/>
      </c>
    </row>
    <row r="3925" spans="9:21" ht="24.75" customHeight="1" x14ac:dyDescent="0.35">
      <c r="I3925" s="42">
        <f t="shared" si="620"/>
        <v>0</v>
      </c>
      <c r="J3925" s="65" t="e">
        <f t="shared" si="621"/>
        <v>#NUM!</v>
      </c>
      <c r="K3925" s="83" t="e">
        <f t="shared" si="622"/>
        <v>#NUM!</v>
      </c>
      <c r="L3925" s="83">
        <f t="shared" si="623"/>
        <v>0</v>
      </c>
      <c r="M3925" s="110" t="str">
        <f t="shared" si="624"/>
        <v/>
      </c>
      <c r="N3925" s="51" t="str">
        <f t="shared" si="625"/>
        <v/>
      </c>
      <c r="O3925" s="52" t="str">
        <f t="shared" si="626"/>
        <v/>
      </c>
      <c r="P3925" s="88">
        <f t="shared" si="627"/>
        <v>0</v>
      </c>
      <c r="Q3925" s="88">
        <f t="shared" si="628"/>
        <v>0</v>
      </c>
      <c r="R3925" s="88" t="e">
        <f>-IF(Tabla14[[#This Row],[DIAS HABILES O MORA]]&lt;0,(Tabla14[[#This Row],[VALOR PRESTAMO]]*Tabla14[[#This Row],[% INTERES ]]/30*U3925))+Tabla14[[#This Row],[VALOR CUOTAS]]</f>
        <v>#VALUE!</v>
      </c>
      <c r="S3925" s="88">
        <f>-IF(Tabla14[[#This Row],[DIAS HABILES O MORA]]&lt;0,(Tabla14[[#This Row],[VALOR PRESTAMO]]*Tabla14[[#This Row],[% INTERES ]]/30*U3925))</f>
        <v>0</v>
      </c>
      <c r="T3925" s="53" t="e">
        <f>Tabla14[[#This Row],[DEUDA CAPITAL]]+Tabla14[[#This Row],[INTERES  CUOTA]]</f>
        <v>#NUM!</v>
      </c>
      <c r="U3925" s="61" t="str">
        <f t="shared" si="629"/>
        <v/>
      </c>
    </row>
    <row r="3926" spans="9:21" ht="24.75" customHeight="1" x14ac:dyDescent="0.35">
      <c r="I3926" s="42">
        <f t="shared" si="620"/>
        <v>0</v>
      </c>
      <c r="J3926" s="65" t="e">
        <f t="shared" si="621"/>
        <v>#NUM!</v>
      </c>
      <c r="K3926" s="83" t="e">
        <f t="shared" si="622"/>
        <v>#NUM!</v>
      </c>
      <c r="L3926" s="83">
        <f t="shared" si="623"/>
        <v>0</v>
      </c>
      <c r="M3926" s="110" t="str">
        <f t="shared" si="624"/>
        <v/>
      </c>
      <c r="N3926" s="51" t="str">
        <f t="shared" si="625"/>
        <v/>
      </c>
      <c r="O3926" s="52" t="str">
        <f t="shared" si="626"/>
        <v/>
      </c>
      <c r="P3926" s="88">
        <f t="shared" si="627"/>
        <v>0</v>
      </c>
      <c r="Q3926" s="88">
        <f t="shared" si="628"/>
        <v>0</v>
      </c>
      <c r="R3926" s="88" t="e">
        <f>-IF(Tabla14[[#This Row],[DIAS HABILES O MORA]]&lt;0,(Tabla14[[#This Row],[VALOR PRESTAMO]]*Tabla14[[#This Row],[% INTERES ]]/30*U3926))+Tabla14[[#This Row],[VALOR CUOTAS]]</f>
        <v>#VALUE!</v>
      </c>
      <c r="S3926" s="88">
        <f>-IF(Tabla14[[#This Row],[DIAS HABILES O MORA]]&lt;0,(Tabla14[[#This Row],[VALOR PRESTAMO]]*Tabla14[[#This Row],[% INTERES ]]/30*U3926))</f>
        <v>0</v>
      </c>
      <c r="T3926" s="53" t="e">
        <f>Tabla14[[#This Row],[DEUDA CAPITAL]]+Tabla14[[#This Row],[INTERES  CUOTA]]</f>
        <v>#NUM!</v>
      </c>
      <c r="U3926" s="61" t="str">
        <f t="shared" si="629"/>
        <v/>
      </c>
    </row>
    <row r="3927" spans="9:21" ht="24.75" customHeight="1" x14ac:dyDescent="0.35">
      <c r="I3927" s="42">
        <f t="shared" si="620"/>
        <v>0</v>
      </c>
      <c r="J3927" s="65" t="e">
        <f t="shared" si="621"/>
        <v>#NUM!</v>
      </c>
      <c r="K3927" s="83" t="e">
        <f t="shared" si="622"/>
        <v>#NUM!</v>
      </c>
      <c r="L3927" s="83">
        <f t="shared" si="623"/>
        <v>0</v>
      </c>
      <c r="M3927" s="110" t="str">
        <f t="shared" si="624"/>
        <v/>
      </c>
      <c r="N3927" s="51" t="str">
        <f t="shared" si="625"/>
        <v/>
      </c>
      <c r="O3927" s="52" t="str">
        <f t="shared" si="626"/>
        <v/>
      </c>
      <c r="P3927" s="88">
        <f t="shared" si="627"/>
        <v>0</v>
      </c>
      <c r="Q3927" s="88">
        <f t="shared" si="628"/>
        <v>0</v>
      </c>
      <c r="R3927" s="88" t="e">
        <f>-IF(Tabla14[[#This Row],[DIAS HABILES O MORA]]&lt;0,(Tabla14[[#This Row],[VALOR PRESTAMO]]*Tabla14[[#This Row],[% INTERES ]]/30*U3927))+Tabla14[[#This Row],[VALOR CUOTAS]]</f>
        <v>#VALUE!</v>
      </c>
      <c r="S3927" s="88">
        <f>-IF(Tabla14[[#This Row],[DIAS HABILES O MORA]]&lt;0,(Tabla14[[#This Row],[VALOR PRESTAMO]]*Tabla14[[#This Row],[% INTERES ]]/30*U3927))</f>
        <v>0</v>
      </c>
      <c r="T3927" s="53" t="e">
        <f>Tabla14[[#This Row],[DEUDA CAPITAL]]+Tabla14[[#This Row],[INTERES  CUOTA]]</f>
        <v>#NUM!</v>
      </c>
      <c r="U3927" s="61" t="str">
        <f t="shared" si="629"/>
        <v/>
      </c>
    </row>
    <row r="3928" spans="9:21" ht="24.75" customHeight="1" x14ac:dyDescent="0.35">
      <c r="I3928" s="42">
        <f t="shared" si="620"/>
        <v>0</v>
      </c>
      <c r="J3928" s="65" t="e">
        <f t="shared" si="621"/>
        <v>#NUM!</v>
      </c>
      <c r="K3928" s="83" t="e">
        <f t="shared" si="622"/>
        <v>#NUM!</v>
      </c>
      <c r="L3928" s="83">
        <f t="shared" si="623"/>
        <v>0</v>
      </c>
      <c r="M3928" s="110" t="str">
        <f t="shared" si="624"/>
        <v/>
      </c>
      <c r="N3928" s="51" t="str">
        <f t="shared" si="625"/>
        <v/>
      </c>
      <c r="O3928" s="52" t="str">
        <f t="shared" si="626"/>
        <v/>
      </c>
      <c r="P3928" s="88">
        <f t="shared" si="627"/>
        <v>0</v>
      </c>
      <c r="Q3928" s="88">
        <f t="shared" si="628"/>
        <v>0</v>
      </c>
      <c r="R3928" s="88" t="e">
        <f>-IF(Tabla14[[#This Row],[DIAS HABILES O MORA]]&lt;0,(Tabla14[[#This Row],[VALOR PRESTAMO]]*Tabla14[[#This Row],[% INTERES ]]/30*U3928))+Tabla14[[#This Row],[VALOR CUOTAS]]</f>
        <v>#VALUE!</v>
      </c>
      <c r="S3928" s="88">
        <f>-IF(Tabla14[[#This Row],[DIAS HABILES O MORA]]&lt;0,(Tabla14[[#This Row],[VALOR PRESTAMO]]*Tabla14[[#This Row],[% INTERES ]]/30*U3928))</f>
        <v>0</v>
      </c>
      <c r="T3928" s="53" t="e">
        <f>Tabla14[[#This Row],[DEUDA CAPITAL]]+Tabla14[[#This Row],[INTERES  CUOTA]]</f>
        <v>#NUM!</v>
      </c>
      <c r="U3928" s="61" t="str">
        <f t="shared" si="629"/>
        <v/>
      </c>
    </row>
    <row r="3929" spans="9:21" ht="24.75" customHeight="1" x14ac:dyDescent="0.35">
      <c r="I3929" s="42">
        <f t="shared" si="620"/>
        <v>0</v>
      </c>
      <c r="J3929" s="65" t="e">
        <f t="shared" si="621"/>
        <v>#NUM!</v>
      </c>
      <c r="K3929" s="83" t="e">
        <f t="shared" si="622"/>
        <v>#NUM!</v>
      </c>
      <c r="L3929" s="83">
        <f t="shared" si="623"/>
        <v>0</v>
      </c>
      <c r="M3929" s="110" t="str">
        <f t="shared" si="624"/>
        <v/>
      </c>
      <c r="N3929" s="51" t="str">
        <f t="shared" si="625"/>
        <v/>
      </c>
      <c r="O3929" s="52" t="str">
        <f t="shared" si="626"/>
        <v/>
      </c>
      <c r="P3929" s="88">
        <f t="shared" si="627"/>
        <v>0</v>
      </c>
      <c r="Q3929" s="88">
        <f t="shared" si="628"/>
        <v>0</v>
      </c>
      <c r="R3929" s="88" t="e">
        <f>-IF(Tabla14[[#This Row],[DIAS HABILES O MORA]]&lt;0,(Tabla14[[#This Row],[VALOR PRESTAMO]]*Tabla14[[#This Row],[% INTERES ]]/30*U3929))+Tabla14[[#This Row],[VALOR CUOTAS]]</f>
        <v>#VALUE!</v>
      </c>
      <c r="S3929" s="88">
        <f>-IF(Tabla14[[#This Row],[DIAS HABILES O MORA]]&lt;0,(Tabla14[[#This Row],[VALOR PRESTAMO]]*Tabla14[[#This Row],[% INTERES ]]/30*U3929))</f>
        <v>0</v>
      </c>
      <c r="T3929" s="53" t="e">
        <f>Tabla14[[#This Row],[DEUDA CAPITAL]]+Tabla14[[#This Row],[INTERES  CUOTA]]</f>
        <v>#NUM!</v>
      </c>
      <c r="U3929" s="61" t="str">
        <f t="shared" si="629"/>
        <v/>
      </c>
    </row>
    <row r="3930" spans="9:21" ht="24.75" customHeight="1" x14ac:dyDescent="0.35">
      <c r="I3930" s="42">
        <f t="shared" si="620"/>
        <v>0</v>
      </c>
      <c r="J3930" s="65" t="e">
        <f t="shared" si="621"/>
        <v>#NUM!</v>
      </c>
      <c r="K3930" s="83" t="e">
        <f t="shared" si="622"/>
        <v>#NUM!</v>
      </c>
      <c r="L3930" s="83">
        <f t="shared" si="623"/>
        <v>0</v>
      </c>
      <c r="M3930" s="110" t="str">
        <f t="shared" si="624"/>
        <v/>
      </c>
      <c r="N3930" s="51" t="str">
        <f t="shared" si="625"/>
        <v/>
      </c>
      <c r="O3930" s="52" t="str">
        <f t="shared" si="626"/>
        <v/>
      </c>
      <c r="P3930" s="88">
        <f t="shared" si="627"/>
        <v>0</v>
      </c>
      <c r="Q3930" s="88">
        <f t="shared" si="628"/>
        <v>0</v>
      </c>
      <c r="R3930" s="88" t="e">
        <f>-IF(Tabla14[[#This Row],[DIAS HABILES O MORA]]&lt;0,(Tabla14[[#This Row],[VALOR PRESTAMO]]*Tabla14[[#This Row],[% INTERES ]]/30*U3930))+Tabla14[[#This Row],[VALOR CUOTAS]]</f>
        <v>#VALUE!</v>
      </c>
      <c r="S3930" s="88">
        <f>-IF(Tabla14[[#This Row],[DIAS HABILES O MORA]]&lt;0,(Tabla14[[#This Row],[VALOR PRESTAMO]]*Tabla14[[#This Row],[% INTERES ]]/30*U3930))</f>
        <v>0</v>
      </c>
      <c r="T3930" s="53" t="e">
        <f>Tabla14[[#This Row],[DEUDA CAPITAL]]+Tabla14[[#This Row],[INTERES  CUOTA]]</f>
        <v>#NUM!</v>
      </c>
      <c r="U3930" s="61" t="str">
        <f t="shared" si="629"/>
        <v/>
      </c>
    </row>
    <row r="3931" spans="9:21" ht="24.75" customHeight="1" x14ac:dyDescent="0.35">
      <c r="I3931" s="42">
        <f t="shared" si="620"/>
        <v>0</v>
      </c>
      <c r="J3931" s="65" t="e">
        <f t="shared" si="621"/>
        <v>#NUM!</v>
      </c>
      <c r="K3931" s="83" t="e">
        <f t="shared" si="622"/>
        <v>#NUM!</v>
      </c>
      <c r="L3931" s="83">
        <f t="shared" si="623"/>
        <v>0</v>
      </c>
      <c r="M3931" s="110" t="str">
        <f t="shared" si="624"/>
        <v/>
      </c>
      <c r="N3931" s="51" t="str">
        <f t="shared" si="625"/>
        <v/>
      </c>
      <c r="O3931" s="52" t="str">
        <f t="shared" si="626"/>
        <v/>
      </c>
      <c r="P3931" s="88">
        <f t="shared" si="627"/>
        <v>0</v>
      </c>
      <c r="Q3931" s="88">
        <f t="shared" si="628"/>
        <v>0</v>
      </c>
      <c r="R3931" s="88" t="e">
        <f>-IF(Tabla14[[#This Row],[DIAS HABILES O MORA]]&lt;0,(Tabla14[[#This Row],[VALOR PRESTAMO]]*Tabla14[[#This Row],[% INTERES ]]/30*U3931))+Tabla14[[#This Row],[VALOR CUOTAS]]</f>
        <v>#VALUE!</v>
      </c>
      <c r="S3931" s="88">
        <f>-IF(Tabla14[[#This Row],[DIAS HABILES O MORA]]&lt;0,(Tabla14[[#This Row],[VALOR PRESTAMO]]*Tabla14[[#This Row],[% INTERES ]]/30*U3931))</f>
        <v>0</v>
      </c>
      <c r="T3931" s="53" t="e">
        <f>Tabla14[[#This Row],[DEUDA CAPITAL]]+Tabla14[[#This Row],[INTERES  CUOTA]]</f>
        <v>#NUM!</v>
      </c>
      <c r="U3931" s="61" t="str">
        <f t="shared" si="629"/>
        <v/>
      </c>
    </row>
    <row r="3932" spans="9:21" ht="24.75" customHeight="1" x14ac:dyDescent="0.35">
      <c r="I3932" s="42">
        <f t="shared" si="620"/>
        <v>0</v>
      </c>
      <c r="J3932" s="65" t="e">
        <f t="shared" si="621"/>
        <v>#NUM!</v>
      </c>
      <c r="K3932" s="83" t="e">
        <f t="shared" si="622"/>
        <v>#NUM!</v>
      </c>
      <c r="L3932" s="83">
        <f t="shared" si="623"/>
        <v>0</v>
      </c>
      <c r="M3932" s="110" t="str">
        <f t="shared" si="624"/>
        <v/>
      </c>
      <c r="N3932" s="51" t="str">
        <f t="shared" si="625"/>
        <v/>
      </c>
      <c r="O3932" s="52" t="str">
        <f t="shared" si="626"/>
        <v/>
      </c>
      <c r="P3932" s="88">
        <f t="shared" si="627"/>
        <v>0</v>
      </c>
      <c r="Q3932" s="88">
        <f t="shared" si="628"/>
        <v>0</v>
      </c>
      <c r="R3932" s="88" t="e">
        <f>-IF(Tabla14[[#This Row],[DIAS HABILES O MORA]]&lt;0,(Tabla14[[#This Row],[VALOR PRESTAMO]]*Tabla14[[#This Row],[% INTERES ]]/30*U3932))+Tabla14[[#This Row],[VALOR CUOTAS]]</f>
        <v>#VALUE!</v>
      </c>
      <c r="S3932" s="88">
        <f>-IF(Tabla14[[#This Row],[DIAS HABILES O MORA]]&lt;0,(Tabla14[[#This Row],[VALOR PRESTAMO]]*Tabla14[[#This Row],[% INTERES ]]/30*U3932))</f>
        <v>0</v>
      </c>
      <c r="T3932" s="53" t="e">
        <f>Tabla14[[#This Row],[DEUDA CAPITAL]]+Tabla14[[#This Row],[INTERES  CUOTA]]</f>
        <v>#NUM!</v>
      </c>
      <c r="U3932" s="61" t="str">
        <f t="shared" si="629"/>
        <v/>
      </c>
    </row>
    <row r="3933" spans="9:21" ht="24.75" customHeight="1" x14ac:dyDescent="0.35">
      <c r="I3933" s="42">
        <f t="shared" si="620"/>
        <v>0</v>
      </c>
      <c r="J3933" s="65" t="e">
        <f t="shared" si="621"/>
        <v>#NUM!</v>
      </c>
      <c r="K3933" s="83" t="e">
        <f t="shared" si="622"/>
        <v>#NUM!</v>
      </c>
      <c r="L3933" s="83">
        <f t="shared" si="623"/>
        <v>0</v>
      </c>
      <c r="M3933" s="110" t="str">
        <f t="shared" si="624"/>
        <v/>
      </c>
      <c r="N3933" s="51" t="str">
        <f t="shared" si="625"/>
        <v/>
      </c>
      <c r="O3933" s="52" t="str">
        <f t="shared" si="626"/>
        <v/>
      </c>
      <c r="P3933" s="88">
        <f t="shared" si="627"/>
        <v>0</v>
      </c>
      <c r="Q3933" s="88">
        <f t="shared" si="628"/>
        <v>0</v>
      </c>
      <c r="R3933" s="88" t="e">
        <f>-IF(Tabla14[[#This Row],[DIAS HABILES O MORA]]&lt;0,(Tabla14[[#This Row],[VALOR PRESTAMO]]*Tabla14[[#This Row],[% INTERES ]]/30*U3933))+Tabla14[[#This Row],[VALOR CUOTAS]]</f>
        <v>#VALUE!</v>
      </c>
      <c r="S3933" s="88">
        <f>-IF(Tabla14[[#This Row],[DIAS HABILES O MORA]]&lt;0,(Tabla14[[#This Row],[VALOR PRESTAMO]]*Tabla14[[#This Row],[% INTERES ]]/30*U3933))</f>
        <v>0</v>
      </c>
      <c r="T3933" s="53" t="e">
        <f>Tabla14[[#This Row],[DEUDA CAPITAL]]+Tabla14[[#This Row],[INTERES  CUOTA]]</f>
        <v>#NUM!</v>
      </c>
      <c r="U3933" s="61" t="str">
        <f t="shared" si="629"/>
        <v/>
      </c>
    </row>
    <row r="3934" spans="9:21" ht="24.75" customHeight="1" x14ac:dyDescent="0.35">
      <c r="I3934" s="42">
        <f t="shared" si="620"/>
        <v>0</v>
      </c>
      <c r="J3934" s="65" t="e">
        <f t="shared" si="621"/>
        <v>#NUM!</v>
      </c>
      <c r="K3934" s="83" t="e">
        <f t="shared" si="622"/>
        <v>#NUM!</v>
      </c>
      <c r="L3934" s="83">
        <f t="shared" si="623"/>
        <v>0</v>
      </c>
      <c r="M3934" s="110" t="str">
        <f t="shared" si="624"/>
        <v/>
      </c>
      <c r="N3934" s="51" t="str">
        <f t="shared" si="625"/>
        <v/>
      </c>
      <c r="O3934" s="52" t="str">
        <f t="shared" si="626"/>
        <v/>
      </c>
      <c r="P3934" s="88">
        <f t="shared" si="627"/>
        <v>0</v>
      </c>
      <c r="Q3934" s="88">
        <f t="shared" si="628"/>
        <v>0</v>
      </c>
      <c r="R3934" s="88" t="e">
        <f>-IF(Tabla14[[#This Row],[DIAS HABILES O MORA]]&lt;0,(Tabla14[[#This Row],[VALOR PRESTAMO]]*Tabla14[[#This Row],[% INTERES ]]/30*U3934))+Tabla14[[#This Row],[VALOR CUOTAS]]</f>
        <v>#VALUE!</v>
      </c>
      <c r="S3934" s="88">
        <f>-IF(Tabla14[[#This Row],[DIAS HABILES O MORA]]&lt;0,(Tabla14[[#This Row],[VALOR PRESTAMO]]*Tabla14[[#This Row],[% INTERES ]]/30*U3934))</f>
        <v>0</v>
      </c>
      <c r="T3934" s="53" t="e">
        <f>Tabla14[[#This Row],[DEUDA CAPITAL]]+Tabla14[[#This Row],[INTERES  CUOTA]]</f>
        <v>#NUM!</v>
      </c>
      <c r="U3934" s="61" t="str">
        <f t="shared" si="629"/>
        <v/>
      </c>
    </row>
    <row r="3935" spans="9:21" ht="24.75" customHeight="1" x14ac:dyDescent="0.35">
      <c r="I3935" s="42">
        <f t="shared" si="620"/>
        <v>0</v>
      </c>
      <c r="J3935" s="65" t="e">
        <f t="shared" si="621"/>
        <v>#NUM!</v>
      </c>
      <c r="K3935" s="83" t="e">
        <f t="shared" si="622"/>
        <v>#NUM!</v>
      </c>
      <c r="L3935" s="83">
        <f t="shared" si="623"/>
        <v>0</v>
      </c>
      <c r="M3935" s="110" t="str">
        <f t="shared" si="624"/>
        <v/>
      </c>
      <c r="N3935" s="51" t="str">
        <f t="shared" si="625"/>
        <v/>
      </c>
      <c r="O3935" s="52" t="str">
        <f t="shared" si="626"/>
        <v/>
      </c>
      <c r="P3935" s="88">
        <f t="shared" si="627"/>
        <v>0</v>
      </c>
      <c r="Q3935" s="88">
        <f t="shared" si="628"/>
        <v>0</v>
      </c>
      <c r="R3935" s="88" t="e">
        <f>-IF(Tabla14[[#This Row],[DIAS HABILES O MORA]]&lt;0,(Tabla14[[#This Row],[VALOR PRESTAMO]]*Tabla14[[#This Row],[% INTERES ]]/30*U3935))+Tabla14[[#This Row],[VALOR CUOTAS]]</f>
        <v>#VALUE!</v>
      </c>
      <c r="S3935" s="88">
        <f>-IF(Tabla14[[#This Row],[DIAS HABILES O MORA]]&lt;0,(Tabla14[[#This Row],[VALOR PRESTAMO]]*Tabla14[[#This Row],[% INTERES ]]/30*U3935))</f>
        <v>0</v>
      </c>
      <c r="T3935" s="53" t="e">
        <f>Tabla14[[#This Row],[DEUDA CAPITAL]]+Tabla14[[#This Row],[INTERES  CUOTA]]</f>
        <v>#NUM!</v>
      </c>
      <c r="U3935" s="61" t="str">
        <f t="shared" si="629"/>
        <v/>
      </c>
    </row>
    <row r="3936" spans="9:21" ht="24.75" customHeight="1" x14ac:dyDescent="0.35">
      <c r="I3936" s="42">
        <f t="shared" si="620"/>
        <v>0</v>
      </c>
      <c r="J3936" s="65" t="e">
        <f t="shared" si="621"/>
        <v>#NUM!</v>
      </c>
      <c r="K3936" s="83" t="e">
        <f t="shared" si="622"/>
        <v>#NUM!</v>
      </c>
      <c r="L3936" s="83">
        <f t="shared" si="623"/>
        <v>0</v>
      </c>
      <c r="M3936" s="110" t="str">
        <f t="shared" si="624"/>
        <v/>
      </c>
      <c r="N3936" s="51" t="str">
        <f t="shared" si="625"/>
        <v/>
      </c>
      <c r="O3936" s="52" t="str">
        <f t="shared" si="626"/>
        <v/>
      </c>
      <c r="P3936" s="88">
        <f t="shared" si="627"/>
        <v>0</v>
      </c>
      <c r="Q3936" s="88">
        <f t="shared" si="628"/>
        <v>0</v>
      </c>
      <c r="R3936" s="88" t="e">
        <f>-IF(Tabla14[[#This Row],[DIAS HABILES O MORA]]&lt;0,(Tabla14[[#This Row],[VALOR PRESTAMO]]*Tabla14[[#This Row],[% INTERES ]]/30*U3936))+Tabla14[[#This Row],[VALOR CUOTAS]]</f>
        <v>#VALUE!</v>
      </c>
      <c r="S3936" s="88">
        <f>-IF(Tabla14[[#This Row],[DIAS HABILES O MORA]]&lt;0,(Tabla14[[#This Row],[VALOR PRESTAMO]]*Tabla14[[#This Row],[% INTERES ]]/30*U3936))</f>
        <v>0</v>
      </c>
      <c r="T3936" s="53" t="e">
        <f>Tabla14[[#This Row],[DEUDA CAPITAL]]+Tabla14[[#This Row],[INTERES  CUOTA]]</f>
        <v>#NUM!</v>
      </c>
      <c r="U3936" s="61" t="str">
        <f t="shared" si="629"/>
        <v/>
      </c>
    </row>
    <row r="3937" spans="9:21" ht="24.75" customHeight="1" x14ac:dyDescent="0.35">
      <c r="I3937" s="42">
        <f t="shared" si="620"/>
        <v>0</v>
      </c>
      <c r="J3937" s="65" t="e">
        <f t="shared" si="621"/>
        <v>#NUM!</v>
      </c>
      <c r="K3937" s="83" t="e">
        <f t="shared" si="622"/>
        <v>#NUM!</v>
      </c>
      <c r="L3937" s="83">
        <f t="shared" si="623"/>
        <v>0</v>
      </c>
      <c r="M3937" s="110" t="str">
        <f t="shared" si="624"/>
        <v/>
      </c>
      <c r="N3937" s="51" t="str">
        <f t="shared" si="625"/>
        <v/>
      </c>
      <c r="O3937" s="52" t="str">
        <f t="shared" si="626"/>
        <v/>
      </c>
      <c r="P3937" s="88">
        <f t="shared" si="627"/>
        <v>0</v>
      </c>
      <c r="Q3937" s="88">
        <f t="shared" si="628"/>
        <v>0</v>
      </c>
      <c r="R3937" s="88" t="e">
        <f>-IF(Tabla14[[#This Row],[DIAS HABILES O MORA]]&lt;0,(Tabla14[[#This Row],[VALOR PRESTAMO]]*Tabla14[[#This Row],[% INTERES ]]/30*U3937))+Tabla14[[#This Row],[VALOR CUOTAS]]</f>
        <v>#VALUE!</v>
      </c>
      <c r="S3937" s="88">
        <f>-IF(Tabla14[[#This Row],[DIAS HABILES O MORA]]&lt;0,(Tabla14[[#This Row],[VALOR PRESTAMO]]*Tabla14[[#This Row],[% INTERES ]]/30*U3937))</f>
        <v>0</v>
      </c>
      <c r="T3937" s="53" t="e">
        <f>Tabla14[[#This Row],[DEUDA CAPITAL]]+Tabla14[[#This Row],[INTERES  CUOTA]]</f>
        <v>#NUM!</v>
      </c>
      <c r="U3937" s="61" t="str">
        <f t="shared" si="629"/>
        <v/>
      </c>
    </row>
    <row r="3938" spans="9:21" ht="24.75" customHeight="1" x14ac:dyDescent="0.35">
      <c r="I3938" s="42">
        <f t="shared" si="620"/>
        <v>0</v>
      </c>
      <c r="J3938" s="65" t="e">
        <f t="shared" si="621"/>
        <v>#NUM!</v>
      </c>
      <c r="K3938" s="83" t="e">
        <f t="shared" si="622"/>
        <v>#NUM!</v>
      </c>
      <c r="L3938" s="83">
        <f t="shared" si="623"/>
        <v>0</v>
      </c>
      <c r="M3938" s="110" t="str">
        <f t="shared" si="624"/>
        <v/>
      </c>
      <c r="N3938" s="51" t="str">
        <f t="shared" si="625"/>
        <v/>
      </c>
      <c r="O3938" s="52" t="str">
        <f t="shared" si="626"/>
        <v/>
      </c>
      <c r="P3938" s="88">
        <f t="shared" si="627"/>
        <v>0</v>
      </c>
      <c r="Q3938" s="88">
        <f t="shared" si="628"/>
        <v>0</v>
      </c>
      <c r="R3938" s="88" t="e">
        <f>-IF(Tabla14[[#This Row],[DIAS HABILES O MORA]]&lt;0,(Tabla14[[#This Row],[VALOR PRESTAMO]]*Tabla14[[#This Row],[% INTERES ]]/30*U3938))+Tabla14[[#This Row],[VALOR CUOTAS]]</f>
        <v>#VALUE!</v>
      </c>
      <c r="S3938" s="88">
        <f>-IF(Tabla14[[#This Row],[DIAS HABILES O MORA]]&lt;0,(Tabla14[[#This Row],[VALOR PRESTAMO]]*Tabla14[[#This Row],[% INTERES ]]/30*U3938))</f>
        <v>0</v>
      </c>
      <c r="T3938" s="53" t="e">
        <f>Tabla14[[#This Row],[DEUDA CAPITAL]]+Tabla14[[#This Row],[INTERES  CUOTA]]</f>
        <v>#NUM!</v>
      </c>
      <c r="U3938" s="61" t="str">
        <f t="shared" si="629"/>
        <v/>
      </c>
    </row>
    <row r="3939" spans="9:21" ht="24.75" customHeight="1" x14ac:dyDescent="0.35">
      <c r="I3939" s="42">
        <f t="shared" si="620"/>
        <v>0</v>
      </c>
      <c r="J3939" s="65" t="e">
        <f t="shared" si="621"/>
        <v>#NUM!</v>
      </c>
      <c r="K3939" s="83" t="e">
        <f t="shared" si="622"/>
        <v>#NUM!</v>
      </c>
      <c r="L3939" s="83">
        <f t="shared" si="623"/>
        <v>0</v>
      </c>
      <c r="M3939" s="110" t="str">
        <f t="shared" si="624"/>
        <v/>
      </c>
      <c r="N3939" s="51" t="str">
        <f t="shared" si="625"/>
        <v/>
      </c>
      <c r="O3939" s="52" t="str">
        <f t="shared" si="626"/>
        <v/>
      </c>
      <c r="P3939" s="88">
        <f t="shared" si="627"/>
        <v>0</v>
      </c>
      <c r="Q3939" s="88">
        <f t="shared" si="628"/>
        <v>0</v>
      </c>
      <c r="R3939" s="88" t="e">
        <f>-IF(Tabla14[[#This Row],[DIAS HABILES O MORA]]&lt;0,(Tabla14[[#This Row],[VALOR PRESTAMO]]*Tabla14[[#This Row],[% INTERES ]]/30*U3939))+Tabla14[[#This Row],[VALOR CUOTAS]]</f>
        <v>#VALUE!</v>
      </c>
      <c r="S3939" s="88">
        <f>-IF(Tabla14[[#This Row],[DIAS HABILES O MORA]]&lt;0,(Tabla14[[#This Row],[VALOR PRESTAMO]]*Tabla14[[#This Row],[% INTERES ]]/30*U3939))</f>
        <v>0</v>
      </c>
      <c r="T3939" s="53" t="e">
        <f>Tabla14[[#This Row],[DEUDA CAPITAL]]+Tabla14[[#This Row],[INTERES  CUOTA]]</f>
        <v>#NUM!</v>
      </c>
      <c r="U3939" s="61" t="str">
        <f t="shared" si="629"/>
        <v/>
      </c>
    </row>
    <row r="3940" spans="9:21" ht="24.75" customHeight="1" x14ac:dyDescent="0.35">
      <c r="I3940" s="42">
        <f t="shared" si="620"/>
        <v>0</v>
      </c>
      <c r="J3940" s="65" t="e">
        <f t="shared" si="621"/>
        <v>#NUM!</v>
      </c>
      <c r="K3940" s="83" t="e">
        <f t="shared" si="622"/>
        <v>#NUM!</v>
      </c>
      <c r="L3940" s="83">
        <f t="shared" si="623"/>
        <v>0</v>
      </c>
      <c r="M3940" s="110" t="str">
        <f t="shared" si="624"/>
        <v/>
      </c>
      <c r="N3940" s="51" t="str">
        <f t="shared" si="625"/>
        <v/>
      </c>
      <c r="O3940" s="52" t="str">
        <f t="shared" si="626"/>
        <v/>
      </c>
      <c r="P3940" s="88">
        <f t="shared" si="627"/>
        <v>0</v>
      </c>
      <c r="Q3940" s="88">
        <f t="shared" si="628"/>
        <v>0</v>
      </c>
      <c r="R3940" s="88" t="e">
        <f>-IF(Tabla14[[#This Row],[DIAS HABILES O MORA]]&lt;0,(Tabla14[[#This Row],[VALOR PRESTAMO]]*Tabla14[[#This Row],[% INTERES ]]/30*U3940))+Tabla14[[#This Row],[VALOR CUOTAS]]</f>
        <v>#VALUE!</v>
      </c>
      <c r="S3940" s="88">
        <f>-IF(Tabla14[[#This Row],[DIAS HABILES O MORA]]&lt;0,(Tabla14[[#This Row],[VALOR PRESTAMO]]*Tabla14[[#This Row],[% INTERES ]]/30*U3940))</f>
        <v>0</v>
      </c>
      <c r="T3940" s="53" t="e">
        <f>Tabla14[[#This Row],[DEUDA CAPITAL]]+Tabla14[[#This Row],[INTERES  CUOTA]]</f>
        <v>#NUM!</v>
      </c>
      <c r="U3940" s="61" t="str">
        <f t="shared" si="629"/>
        <v/>
      </c>
    </row>
    <row r="3941" spans="9:21" ht="24.75" customHeight="1" x14ac:dyDescent="0.35">
      <c r="I3941" s="42">
        <f t="shared" si="620"/>
        <v>0</v>
      </c>
      <c r="J3941" s="65" t="e">
        <f t="shared" si="621"/>
        <v>#NUM!</v>
      </c>
      <c r="K3941" s="83" t="e">
        <f t="shared" si="622"/>
        <v>#NUM!</v>
      </c>
      <c r="L3941" s="83">
        <f t="shared" si="623"/>
        <v>0</v>
      </c>
      <c r="M3941" s="110" t="str">
        <f t="shared" si="624"/>
        <v/>
      </c>
      <c r="N3941" s="51" t="str">
        <f t="shared" si="625"/>
        <v/>
      </c>
      <c r="O3941" s="52" t="str">
        <f t="shared" si="626"/>
        <v/>
      </c>
      <c r="P3941" s="88">
        <f t="shared" si="627"/>
        <v>0</v>
      </c>
      <c r="Q3941" s="88">
        <f t="shared" si="628"/>
        <v>0</v>
      </c>
      <c r="R3941" s="88" t="e">
        <f>-IF(Tabla14[[#This Row],[DIAS HABILES O MORA]]&lt;0,(Tabla14[[#This Row],[VALOR PRESTAMO]]*Tabla14[[#This Row],[% INTERES ]]/30*U3941))+Tabla14[[#This Row],[VALOR CUOTAS]]</f>
        <v>#VALUE!</v>
      </c>
      <c r="S3941" s="88">
        <f>-IF(Tabla14[[#This Row],[DIAS HABILES O MORA]]&lt;0,(Tabla14[[#This Row],[VALOR PRESTAMO]]*Tabla14[[#This Row],[% INTERES ]]/30*U3941))</f>
        <v>0</v>
      </c>
      <c r="T3941" s="53" t="e">
        <f>Tabla14[[#This Row],[DEUDA CAPITAL]]+Tabla14[[#This Row],[INTERES  CUOTA]]</f>
        <v>#NUM!</v>
      </c>
      <c r="U3941" s="61" t="str">
        <f t="shared" si="629"/>
        <v/>
      </c>
    </row>
    <row r="3942" spans="9:21" ht="24.75" customHeight="1" x14ac:dyDescent="0.35">
      <c r="I3942" s="42">
        <f t="shared" si="620"/>
        <v>0</v>
      </c>
      <c r="J3942" s="65" t="e">
        <f t="shared" si="621"/>
        <v>#NUM!</v>
      </c>
      <c r="K3942" s="83" t="e">
        <f t="shared" si="622"/>
        <v>#NUM!</v>
      </c>
      <c r="L3942" s="83">
        <f t="shared" si="623"/>
        <v>0</v>
      </c>
      <c r="M3942" s="110" t="str">
        <f t="shared" si="624"/>
        <v/>
      </c>
      <c r="N3942" s="51" t="str">
        <f t="shared" si="625"/>
        <v/>
      </c>
      <c r="O3942" s="52" t="str">
        <f t="shared" si="626"/>
        <v/>
      </c>
      <c r="P3942" s="88">
        <f t="shared" si="627"/>
        <v>0</v>
      </c>
      <c r="Q3942" s="88">
        <f t="shared" si="628"/>
        <v>0</v>
      </c>
      <c r="R3942" s="88" t="e">
        <f>-IF(Tabla14[[#This Row],[DIAS HABILES O MORA]]&lt;0,(Tabla14[[#This Row],[VALOR PRESTAMO]]*Tabla14[[#This Row],[% INTERES ]]/30*U3942))+Tabla14[[#This Row],[VALOR CUOTAS]]</f>
        <v>#VALUE!</v>
      </c>
      <c r="S3942" s="88">
        <f>-IF(Tabla14[[#This Row],[DIAS HABILES O MORA]]&lt;0,(Tabla14[[#This Row],[VALOR PRESTAMO]]*Tabla14[[#This Row],[% INTERES ]]/30*U3942))</f>
        <v>0</v>
      </c>
      <c r="T3942" s="53" t="e">
        <f>Tabla14[[#This Row],[DEUDA CAPITAL]]+Tabla14[[#This Row],[INTERES  CUOTA]]</f>
        <v>#NUM!</v>
      </c>
      <c r="U3942" s="61" t="str">
        <f t="shared" si="629"/>
        <v/>
      </c>
    </row>
    <row r="3943" spans="9:21" ht="24.75" customHeight="1" x14ac:dyDescent="0.35">
      <c r="I3943" s="42">
        <f t="shared" si="620"/>
        <v>0</v>
      </c>
      <c r="J3943" s="65" t="e">
        <f t="shared" si="621"/>
        <v>#NUM!</v>
      </c>
      <c r="K3943" s="83" t="e">
        <f t="shared" si="622"/>
        <v>#NUM!</v>
      </c>
      <c r="L3943" s="83">
        <f t="shared" si="623"/>
        <v>0</v>
      </c>
      <c r="M3943" s="110" t="str">
        <f t="shared" si="624"/>
        <v/>
      </c>
      <c r="N3943" s="51" t="str">
        <f t="shared" si="625"/>
        <v/>
      </c>
      <c r="O3943" s="52" t="str">
        <f t="shared" si="626"/>
        <v/>
      </c>
      <c r="P3943" s="88">
        <f t="shared" si="627"/>
        <v>0</v>
      </c>
      <c r="Q3943" s="88">
        <f t="shared" si="628"/>
        <v>0</v>
      </c>
      <c r="R3943" s="88" t="e">
        <f>-IF(Tabla14[[#This Row],[DIAS HABILES O MORA]]&lt;0,(Tabla14[[#This Row],[VALOR PRESTAMO]]*Tabla14[[#This Row],[% INTERES ]]/30*U3943))+Tabla14[[#This Row],[VALOR CUOTAS]]</f>
        <v>#VALUE!</v>
      </c>
      <c r="S3943" s="88">
        <f>-IF(Tabla14[[#This Row],[DIAS HABILES O MORA]]&lt;0,(Tabla14[[#This Row],[VALOR PRESTAMO]]*Tabla14[[#This Row],[% INTERES ]]/30*U3943))</f>
        <v>0</v>
      </c>
      <c r="T3943" s="53" t="e">
        <f>Tabla14[[#This Row],[DEUDA CAPITAL]]+Tabla14[[#This Row],[INTERES  CUOTA]]</f>
        <v>#NUM!</v>
      </c>
      <c r="U3943" s="61" t="str">
        <f t="shared" si="629"/>
        <v/>
      </c>
    </row>
    <row r="3944" spans="9:21" ht="24.75" customHeight="1" x14ac:dyDescent="0.35">
      <c r="I3944" s="42">
        <f t="shared" si="620"/>
        <v>0</v>
      </c>
      <c r="J3944" s="65" t="e">
        <f t="shared" si="621"/>
        <v>#NUM!</v>
      </c>
      <c r="K3944" s="83" t="e">
        <f t="shared" si="622"/>
        <v>#NUM!</v>
      </c>
      <c r="L3944" s="83">
        <f t="shared" si="623"/>
        <v>0</v>
      </c>
      <c r="M3944" s="110" t="str">
        <f t="shared" si="624"/>
        <v/>
      </c>
      <c r="N3944" s="51" t="str">
        <f t="shared" si="625"/>
        <v/>
      </c>
      <c r="O3944" s="52" t="str">
        <f t="shared" si="626"/>
        <v/>
      </c>
      <c r="P3944" s="88">
        <f t="shared" si="627"/>
        <v>0</v>
      </c>
      <c r="Q3944" s="88">
        <f t="shared" si="628"/>
        <v>0</v>
      </c>
      <c r="R3944" s="88" t="e">
        <f>-IF(Tabla14[[#This Row],[DIAS HABILES O MORA]]&lt;0,(Tabla14[[#This Row],[VALOR PRESTAMO]]*Tabla14[[#This Row],[% INTERES ]]/30*U3944))+Tabla14[[#This Row],[VALOR CUOTAS]]</f>
        <v>#VALUE!</v>
      </c>
      <c r="S3944" s="88">
        <f>-IF(Tabla14[[#This Row],[DIAS HABILES O MORA]]&lt;0,(Tabla14[[#This Row],[VALOR PRESTAMO]]*Tabla14[[#This Row],[% INTERES ]]/30*U3944))</f>
        <v>0</v>
      </c>
      <c r="T3944" s="53" t="e">
        <f>Tabla14[[#This Row],[DEUDA CAPITAL]]+Tabla14[[#This Row],[INTERES  CUOTA]]</f>
        <v>#NUM!</v>
      </c>
      <c r="U3944" s="61" t="str">
        <f t="shared" si="629"/>
        <v/>
      </c>
    </row>
    <row r="3945" spans="9:21" ht="24.75" customHeight="1" x14ac:dyDescent="0.35">
      <c r="I3945" s="42">
        <f t="shared" si="620"/>
        <v>0</v>
      </c>
      <c r="J3945" s="65" t="e">
        <f t="shared" si="621"/>
        <v>#NUM!</v>
      </c>
      <c r="K3945" s="83" t="e">
        <f t="shared" si="622"/>
        <v>#NUM!</v>
      </c>
      <c r="L3945" s="83">
        <f t="shared" si="623"/>
        <v>0</v>
      </c>
      <c r="M3945" s="110" t="str">
        <f t="shared" si="624"/>
        <v/>
      </c>
      <c r="N3945" s="51" t="str">
        <f t="shared" si="625"/>
        <v/>
      </c>
      <c r="O3945" s="52" t="str">
        <f t="shared" si="626"/>
        <v/>
      </c>
      <c r="P3945" s="88">
        <f t="shared" si="627"/>
        <v>0</v>
      </c>
      <c r="Q3945" s="88">
        <f t="shared" si="628"/>
        <v>0</v>
      </c>
      <c r="R3945" s="88" t="e">
        <f>-IF(Tabla14[[#This Row],[DIAS HABILES O MORA]]&lt;0,(Tabla14[[#This Row],[VALOR PRESTAMO]]*Tabla14[[#This Row],[% INTERES ]]/30*U3945))+Tabla14[[#This Row],[VALOR CUOTAS]]</f>
        <v>#VALUE!</v>
      </c>
      <c r="S3945" s="88">
        <f>-IF(Tabla14[[#This Row],[DIAS HABILES O MORA]]&lt;0,(Tabla14[[#This Row],[VALOR PRESTAMO]]*Tabla14[[#This Row],[% INTERES ]]/30*U3945))</f>
        <v>0</v>
      </c>
      <c r="T3945" s="53" t="e">
        <f>Tabla14[[#This Row],[DEUDA CAPITAL]]+Tabla14[[#This Row],[INTERES  CUOTA]]</f>
        <v>#NUM!</v>
      </c>
      <c r="U3945" s="61" t="str">
        <f t="shared" si="629"/>
        <v/>
      </c>
    </row>
    <row r="3946" spans="9:21" ht="24.75" customHeight="1" x14ac:dyDescent="0.35">
      <c r="I3946" s="42">
        <f t="shared" si="620"/>
        <v>0</v>
      </c>
      <c r="J3946" s="65" t="e">
        <f t="shared" si="621"/>
        <v>#NUM!</v>
      </c>
      <c r="K3946" s="83" t="e">
        <f t="shared" si="622"/>
        <v>#NUM!</v>
      </c>
      <c r="L3946" s="83">
        <f t="shared" si="623"/>
        <v>0</v>
      </c>
      <c r="M3946" s="110" t="str">
        <f t="shared" si="624"/>
        <v/>
      </c>
      <c r="N3946" s="51" t="str">
        <f t="shared" si="625"/>
        <v/>
      </c>
      <c r="O3946" s="52" t="str">
        <f t="shared" si="626"/>
        <v/>
      </c>
      <c r="P3946" s="88">
        <f t="shared" si="627"/>
        <v>0</v>
      </c>
      <c r="Q3946" s="88">
        <f t="shared" si="628"/>
        <v>0</v>
      </c>
      <c r="R3946" s="88" t="e">
        <f>-IF(Tabla14[[#This Row],[DIAS HABILES O MORA]]&lt;0,(Tabla14[[#This Row],[VALOR PRESTAMO]]*Tabla14[[#This Row],[% INTERES ]]/30*U3946))+Tabla14[[#This Row],[VALOR CUOTAS]]</f>
        <v>#VALUE!</v>
      </c>
      <c r="S3946" s="88">
        <f>-IF(Tabla14[[#This Row],[DIAS HABILES O MORA]]&lt;0,(Tabla14[[#This Row],[VALOR PRESTAMO]]*Tabla14[[#This Row],[% INTERES ]]/30*U3946))</f>
        <v>0</v>
      </c>
      <c r="T3946" s="53" t="e">
        <f>Tabla14[[#This Row],[DEUDA CAPITAL]]+Tabla14[[#This Row],[INTERES  CUOTA]]</f>
        <v>#NUM!</v>
      </c>
      <c r="U3946" s="61" t="str">
        <f t="shared" si="629"/>
        <v/>
      </c>
    </row>
    <row r="3947" spans="9:21" ht="24.75" customHeight="1" x14ac:dyDescent="0.35">
      <c r="I3947" s="42">
        <f t="shared" si="620"/>
        <v>0</v>
      </c>
      <c r="J3947" s="65" t="e">
        <f t="shared" si="621"/>
        <v>#NUM!</v>
      </c>
      <c r="K3947" s="83" t="e">
        <f t="shared" si="622"/>
        <v>#NUM!</v>
      </c>
      <c r="L3947" s="83">
        <f t="shared" si="623"/>
        <v>0</v>
      </c>
      <c r="M3947" s="110" t="str">
        <f t="shared" si="624"/>
        <v/>
      </c>
      <c r="N3947" s="51" t="str">
        <f t="shared" si="625"/>
        <v/>
      </c>
      <c r="O3947" s="52" t="str">
        <f t="shared" si="626"/>
        <v/>
      </c>
      <c r="P3947" s="88">
        <f t="shared" si="627"/>
        <v>0</v>
      </c>
      <c r="Q3947" s="88">
        <f t="shared" si="628"/>
        <v>0</v>
      </c>
      <c r="R3947" s="88" t="e">
        <f>-IF(Tabla14[[#This Row],[DIAS HABILES O MORA]]&lt;0,(Tabla14[[#This Row],[VALOR PRESTAMO]]*Tabla14[[#This Row],[% INTERES ]]/30*U3947))+Tabla14[[#This Row],[VALOR CUOTAS]]</f>
        <v>#VALUE!</v>
      </c>
      <c r="S3947" s="88">
        <f>-IF(Tabla14[[#This Row],[DIAS HABILES O MORA]]&lt;0,(Tabla14[[#This Row],[VALOR PRESTAMO]]*Tabla14[[#This Row],[% INTERES ]]/30*U3947))</f>
        <v>0</v>
      </c>
      <c r="T3947" s="53" t="e">
        <f>Tabla14[[#This Row],[DEUDA CAPITAL]]+Tabla14[[#This Row],[INTERES  CUOTA]]</f>
        <v>#NUM!</v>
      </c>
      <c r="U3947" s="61" t="str">
        <f t="shared" si="629"/>
        <v/>
      </c>
    </row>
    <row r="3948" spans="9:21" ht="24.75" customHeight="1" x14ac:dyDescent="0.35">
      <c r="I3948" s="42">
        <f t="shared" si="620"/>
        <v>0</v>
      </c>
      <c r="J3948" s="65" t="e">
        <f t="shared" si="621"/>
        <v>#NUM!</v>
      </c>
      <c r="K3948" s="83" t="e">
        <f t="shared" si="622"/>
        <v>#NUM!</v>
      </c>
      <c r="L3948" s="83">
        <f t="shared" si="623"/>
        <v>0</v>
      </c>
      <c r="M3948" s="110" t="str">
        <f t="shared" si="624"/>
        <v/>
      </c>
      <c r="N3948" s="51" t="str">
        <f t="shared" si="625"/>
        <v/>
      </c>
      <c r="O3948" s="52" t="str">
        <f t="shared" si="626"/>
        <v/>
      </c>
      <c r="P3948" s="88">
        <f t="shared" si="627"/>
        <v>0</v>
      </c>
      <c r="Q3948" s="88">
        <f t="shared" si="628"/>
        <v>0</v>
      </c>
      <c r="R3948" s="88" t="e">
        <f>-IF(Tabla14[[#This Row],[DIAS HABILES O MORA]]&lt;0,(Tabla14[[#This Row],[VALOR PRESTAMO]]*Tabla14[[#This Row],[% INTERES ]]/30*U3948))+Tabla14[[#This Row],[VALOR CUOTAS]]</f>
        <v>#VALUE!</v>
      </c>
      <c r="S3948" s="88">
        <f>-IF(Tabla14[[#This Row],[DIAS HABILES O MORA]]&lt;0,(Tabla14[[#This Row],[VALOR PRESTAMO]]*Tabla14[[#This Row],[% INTERES ]]/30*U3948))</f>
        <v>0</v>
      </c>
      <c r="T3948" s="53" t="e">
        <f>Tabla14[[#This Row],[DEUDA CAPITAL]]+Tabla14[[#This Row],[INTERES  CUOTA]]</f>
        <v>#NUM!</v>
      </c>
      <c r="U3948" s="61" t="str">
        <f t="shared" si="629"/>
        <v/>
      </c>
    </row>
    <row r="3949" spans="9:21" ht="24.75" customHeight="1" x14ac:dyDescent="0.35">
      <c r="I3949" s="42">
        <f t="shared" si="620"/>
        <v>0</v>
      </c>
      <c r="J3949" s="65" t="e">
        <f t="shared" si="621"/>
        <v>#NUM!</v>
      </c>
      <c r="K3949" s="83" t="e">
        <f t="shared" si="622"/>
        <v>#NUM!</v>
      </c>
      <c r="L3949" s="83">
        <f t="shared" si="623"/>
        <v>0</v>
      </c>
      <c r="M3949" s="110" t="str">
        <f t="shared" si="624"/>
        <v/>
      </c>
      <c r="N3949" s="51" t="str">
        <f t="shared" si="625"/>
        <v/>
      </c>
      <c r="O3949" s="52" t="str">
        <f t="shared" si="626"/>
        <v/>
      </c>
      <c r="P3949" s="88">
        <f t="shared" si="627"/>
        <v>0</v>
      </c>
      <c r="Q3949" s="88">
        <f t="shared" si="628"/>
        <v>0</v>
      </c>
      <c r="R3949" s="88" t="e">
        <f>-IF(Tabla14[[#This Row],[DIAS HABILES O MORA]]&lt;0,(Tabla14[[#This Row],[VALOR PRESTAMO]]*Tabla14[[#This Row],[% INTERES ]]/30*U3949))+Tabla14[[#This Row],[VALOR CUOTAS]]</f>
        <v>#VALUE!</v>
      </c>
      <c r="S3949" s="88">
        <f>-IF(Tabla14[[#This Row],[DIAS HABILES O MORA]]&lt;0,(Tabla14[[#This Row],[VALOR PRESTAMO]]*Tabla14[[#This Row],[% INTERES ]]/30*U3949))</f>
        <v>0</v>
      </c>
      <c r="T3949" s="53" t="e">
        <f>Tabla14[[#This Row],[DEUDA CAPITAL]]+Tabla14[[#This Row],[INTERES  CUOTA]]</f>
        <v>#NUM!</v>
      </c>
      <c r="U3949" s="61" t="str">
        <f t="shared" si="629"/>
        <v/>
      </c>
    </row>
    <row r="3950" spans="9:21" ht="24.75" customHeight="1" x14ac:dyDescent="0.35">
      <c r="I3950" s="42">
        <f t="shared" si="620"/>
        <v>0</v>
      </c>
      <c r="J3950" s="65" t="e">
        <f t="shared" si="621"/>
        <v>#NUM!</v>
      </c>
      <c r="K3950" s="83" t="e">
        <f t="shared" si="622"/>
        <v>#NUM!</v>
      </c>
      <c r="L3950" s="83">
        <f t="shared" si="623"/>
        <v>0</v>
      </c>
      <c r="M3950" s="110" t="str">
        <f t="shared" si="624"/>
        <v/>
      </c>
      <c r="N3950" s="51" t="str">
        <f t="shared" si="625"/>
        <v/>
      </c>
      <c r="O3950" s="52" t="str">
        <f t="shared" si="626"/>
        <v/>
      </c>
      <c r="P3950" s="88">
        <f t="shared" si="627"/>
        <v>0</v>
      </c>
      <c r="Q3950" s="88">
        <f t="shared" si="628"/>
        <v>0</v>
      </c>
      <c r="R3950" s="88" t="e">
        <f>-IF(Tabla14[[#This Row],[DIAS HABILES O MORA]]&lt;0,(Tabla14[[#This Row],[VALOR PRESTAMO]]*Tabla14[[#This Row],[% INTERES ]]/30*U3950))+Tabla14[[#This Row],[VALOR CUOTAS]]</f>
        <v>#VALUE!</v>
      </c>
      <c r="S3950" s="88">
        <f>-IF(Tabla14[[#This Row],[DIAS HABILES O MORA]]&lt;0,(Tabla14[[#This Row],[VALOR PRESTAMO]]*Tabla14[[#This Row],[% INTERES ]]/30*U3950))</f>
        <v>0</v>
      </c>
      <c r="T3950" s="53" t="e">
        <f>Tabla14[[#This Row],[DEUDA CAPITAL]]+Tabla14[[#This Row],[INTERES  CUOTA]]</f>
        <v>#NUM!</v>
      </c>
      <c r="U3950" s="61" t="str">
        <f t="shared" si="629"/>
        <v/>
      </c>
    </row>
    <row r="3951" spans="9:21" ht="24.75" customHeight="1" x14ac:dyDescent="0.35">
      <c r="I3951" s="42">
        <f t="shared" si="620"/>
        <v>0</v>
      </c>
      <c r="J3951" s="65" t="e">
        <f t="shared" si="621"/>
        <v>#NUM!</v>
      </c>
      <c r="K3951" s="83" t="e">
        <f t="shared" si="622"/>
        <v>#NUM!</v>
      </c>
      <c r="L3951" s="83">
        <f t="shared" si="623"/>
        <v>0</v>
      </c>
      <c r="M3951" s="110" t="str">
        <f t="shared" si="624"/>
        <v/>
      </c>
      <c r="N3951" s="51" t="str">
        <f t="shared" si="625"/>
        <v/>
      </c>
      <c r="O3951" s="52" t="str">
        <f t="shared" si="626"/>
        <v/>
      </c>
      <c r="P3951" s="88">
        <f t="shared" si="627"/>
        <v>0</v>
      </c>
      <c r="Q3951" s="88">
        <f t="shared" si="628"/>
        <v>0</v>
      </c>
      <c r="R3951" s="88" t="e">
        <f>-IF(Tabla14[[#This Row],[DIAS HABILES O MORA]]&lt;0,(Tabla14[[#This Row],[VALOR PRESTAMO]]*Tabla14[[#This Row],[% INTERES ]]/30*U3951))+Tabla14[[#This Row],[VALOR CUOTAS]]</f>
        <v>#VALUE!</v>
      </c>
      <c r="S3951" s="88">
        <f>-IF(Tabla14[[#This Row],[DIAS HABILES O MORA]]&lt;0,(Tabla14[[#This Row],[VALOR PRESTAMO]]*Tabla14[[#This Row],[% INTERES ]]/30*U3951))</f>
        <v>0</v>
      </c>
      <c r="T3951" s="53" t="e">
        <f>Tabla14[[#This Row],[DEUDA CAPITAL]]+Tabla14[[#This Row],[INTERES  CUOTA]]</f>
        <v>#NUM!</v>
      </c>
      <c r="U3951" s="61" t="str">
        <f t="shared" si="629"/>
        <v/>
      </c>
    </row>
    <row r="3952" spans="9:21" ht="24.75" customHeight="1" x14ac:dyDescent="0.35">
      <c r="I3952" s="42">
        <f t="shared" si="620"/>
        <v>0</v>
      </c>
      <c r="J3952" s="65" t="e">
        <f t="shared" si="621"/>
        <v>#NUM!</v>
      </c>
      <c r="K3952" s="83" t="e">
        <f t="shared" si="622"/>
        <v>#NUM!</v>
      </c>
      <c r="L3952" s="83">
        <f t="shared" si="623"/>
        <v>0</v>
      </c>
      <c r="M3952" s="110" t="str">
        <f t="shared" si="624"/>
        <v/>
      </c>
      <c r="N3952" s="51" t="str">
        <f t="shared" si="625"/>
        <v/>
      </c>
      <c r="O3952" s="52" t="str">
        <f t="shared" si="626"/>
        <v/>
      </c>
      <c r="P3952" s="88">
        <f t="shared" si="627"/>
        <v>0</v>
      </c>
      <c r="Q3952" s="88">
        <f t="shared" si="628"/>
        <v>0</v>
      </c>
      <c r="R3952" s="88" t="e">
        <f>-IF(Tabla14[[#This Row],[DIAS HABILES O MORA]]&lt;0,(Tabla14[[#This Row],[VALOR PRESTAMO]]*Tabla14[[#This Row],[% INTERES ]]/30*U3952))+Tabla14[[#This Row],[VALOR CUOTAS]]</f>
        <v>#VALUE!</v>
      </c>
      <c r="S3952" s="88">
        <f>-IF(Tabla14[[#This Row],[DIAS HABILES O MORA]]&lt;0,(Tabla14[[#This Row],[VALOR PRESTAMO]]*Tabla14[[#This Row],[% INTERES ]]/30*U3952))</f>
        <v>0</v>
      </c>
      <c r="T3952" s="53" t="e">
        <f>Tabla14[[#This Row],[DEUDA CAPITAL]]+Tabla14[[#This Row],[INTERES  CUOTA]]</f>
        <v>#NUM!</v>
      </c>
      <c r="U3952" s="61" t="str">
        <f t="shared" si="629"/>
        <v/>
      </c>
    </row>
    <row r="3953" spans="9:21" ht="24.75" customHeight="1" x14ac:dyDescent="0.35">
      <c r="I3953" s="42">
        <f t="shared" si="620"/>
        <v>0</v>
      </c>
      <c r="J3953" s="65" t="e">
        <f t="shared" si="621"/>
        <v>#NUM!</v>
      </c>
      <c r="K3953" s="83" t="e">
        <f t="shared" si="622"/>
        <v>#NUM!</v>
      </c>
      <c r="L3953" s="83">
        <f t="shared" si="623"/>
        <v>0</v>
      </c>
      <c r="M3953" s="110" t="str">
        <f t="shared" si="624"/>
        <v/>
      </c>
      <c r="N3953" s="51" t="str">
        <f t="shared" si="625"/>
        <v/>
      </c>
      <c r="O3953" s="52" t="str">
        <f t="shared" si="626"/>
        <v/>
      </c>
      <c r="P3953" s="88">
        <f t="shared" si="627"/>
        <v>0</v>
      </c>
      <c r="Q3953" s="88">
        <f t="shared" si="628"/>
        <v>0</v>
      </c>
      <c r="R3953" s="88" t="e">
        <f>-IF(Tabla14[[#This Row],[DIAS HABILES O MORA]]&lt;0,(Tabla14[[#This Row],[VALOR PRESTAMO]]*Tabla14[[#This Row],[% INTERES ]]/30*U3953))+Tabla14[[#This Row],[VALOR CUOTAS]]</f>
        <v>#VALUE!</v>
      </c>
      <c r="S3953" s="88">
        <f>-IF(Tabla14[[#This Row],[DIAS HABILES O MORA]]&lt;0,(Tabla14[[#This Row],[VALOR PRESTAMO]]*Tabla14[[#This Row],[% INTERES ]]/30*U3953))</f>
        <v>0</v>
      </c>
      <c r="T3953" s="53" t="e">
        <f>Tabla14[[#This Row],[DEUDA CAPITAL]]+Tabla14[[#This Row],[INTERES  CUOTA]]</f>
        <v>#NUM!</v>
      </c>
      <c r="U3953" s="61" t="str">
        <f t="shared" si="629"/>
        <v/>
      </c>
    </row>
    <row r="3954" spans="9:21" ht="24.75" customHeight="1" x14ac:dyDescent="0.35">
      <c r="I3954" s="42">
        <f t="shared" si="620"/>
        <v>0</v>
      </c>
      <c r="J3954" s="65" t="e">
        <f t="shared" si="621"/>
        <v>#NUM!</v>
      </c>
      <c r="K3954" s="83" t="e">
        <f t="shared" si="622"/>
        <v>#NUM!</v>
      </c>
      <c r="L3954" s="83">
        <f t="shared" si="623"/>
        <v>0</v>
      </c>
      <c r="M3954" s="110" t="str">
        <f t="shared" si="624"/>
        <v/>
      </c>
      <c r="N3954" s="51" t="str">
        <f t="shared" si="625"/>
        <v/>
      </c>
      <c r="O3954" s="52" t="str">
        <f t="shared" si="626"/>
        <v/>
      </c>
      <c r="P3954" s="88">
        <f t="shared" si="627"/>
        <v>0</v>
      </c>
      <c r="Q3954" s="88">
        <f t="shared" si="628"/>
        <v>0</v>
      </c>
      <c r="R3954" s="88" t="e">
        <f>-IF(Tabla14[[#This Row],[DIAS HABILES O MORA]]&lt;0,(Tabla14[[#This Row],[VALOR PRESTAMO]]*Tabla14[[#This Row],[% INTERES ]]/30*U3954))+Tabla14[[#This Row],[VALOR CUOTAS]]</f>
        <v>#VALUE!</v>
      </c>
      <c r="S3954" s="88">
        <f>-IF(Tabla14[[#This Row],[DIAS HABILES O MORA]]&lt;0,(Tabla14[[#This Row],[VALOR PRESTAMO]]*Tabla14[[#This Row],[% INTERES ]]/30*U3954))</f>
        <v>0</v>
      </c>
      <c r="T3954" s="53" t="e">
        <f>Tabla14[[#This Row],[DEUDA CAPITAL]]+Tabla14[[#This Row],[INTERES  CUOTA]]</f>
        <v>#NUM!</v>
      </c>
      <c r="U3954" s="61" t="str">
        <f t="shared" si="629"/>
        <v/>
      </c>
    </row>
    <row r="3955" spans="9:21" ht="24.75" customHeight="1" x14ac:dyDescent="0.35">
      <c r="I3955" s="42">
        <f t="shared" si="620"/>
        <v>0</v>
      </c>
      <c r="J3955" s="65" t="e">
        <f t="shared" si="621"/>
        <v>#NUM!</v>
      </c>
      <c r="K3955" s="83" t="e">
        <f t="shared" si="622"/>
        <v>#NUM!</v>
      </c>
      <c r="L3955" s="83">
        <f t="shared" si="623"/>
        <v>0</v>
      </c>
      <c r="M3955" s="110" t="str">
        <f t="shared" si="624"/>
        <v/>
      </c>
      <c r="N3955" s="51" t="str">
        <f t="shared" si="625"/>
        <v/>
      </c>
      <c r="O3955" s="52" t="str">
        <f t="shared" si="626"/>
        <v/>
      </c>
      <c r="P3955" s="88">
        <f t="shared" si="627"/>
        <v>0</v>
      </c>
      <c r="Q3955" s="88">
        <f t="shared" si="628"/>
        <v>0</v>
      </c>
      <c r="R3955" s="88" t="e">
        <f>-IF(Tabla14[[#This Row],[DIAS HABILES O MORA]]&lt;0,(Tabla14[[#This Row],[VALOR PRESTAMO]]*Tabla14[[#This Row],[% INTERES ]]/30*U3955))+Tabla14[[#This Row],[VALOR CUOTAS]]</f>
        <v>#VALUE!</v>
      </c>
      <c r="S3955" s="88">
        <f>-IF(Tabla14[[#This Row],[DIAS HABILES O MORA]]&lt;0,(Tabla14[[#This Row],[VALOR PRESTAMO]]*Tabla14[[#This Row],[% INTERES ]]/30*U3955))</f>
        <v>0</v>
      </c>
      <c r="T3955" s="53" t="e">
        <f>Tabla14[[#This Row],[DEUDA CAPITAL]]+Tabla14[[#This Row],[INTERES  CUOTA]]</f>
        <v>#NUM!</v>
      </c>
      <c r="U3955" s="61" t="str">
        <f t="shared" si="629"/>
        <v/>
      </c>
    </row>
    <row r="3956" spans="9:21" ht="24.75" customHeight="1" x14ac:dyDescent="0.35">
      <c r="I3956" s="42">
        <f t="shared" si="620"/>
        <v>0</v>
      </c>
      <c r="J3956" s="65" t="e">
        <f t="shared" si="621"/>
        <v>#NUM!</v>
      </c>
      <c r="K3956" s="83" t="e">
        <f t="shared" si="622"/>
        <v>#NUM!</v>
      </c>
      <c r="L3956" s="83">
        <f t="shared" si="623"/>
        <v>0</v>
      </c>
      <c r="M3956" s="110" t="str">
        <f t="shared" si="624"/>
        <v/>
      </c>
      <c r="N3956" s="51" t="str">
        <f t="shared" si="625"/>
        <v/>
      </c>
      <c r="O3956" s="52" t="str">
        <f t="shared" si="626"/>
        <v/>
      </c>
      <c r="P3956" s="88">
        <f t="shared" si="627"/>
        <v>0</v>
      </c>
      <c r="Q3956" s="88">
        <f t="shared" si="628"/>
        <v>0</v>
      </c>
      <c r="R3956" s="88" t="e">
        <f>-IF(Tabla14[[#This Row],[DIAS HABILES O MORA]]&lt;0,(Tabla14[[#This Row],[VALOR PRESTAMO]]*Tabla14[[#This Row],[% INTERES ]]/30*U3956))+Tabla14[[#This Row],[VALOR CUOTAS]]</f>
        <v>#VALUE!</v>
      </c>
      <c r="S3956" s="88">
        <f>-IF(Tabla14[[#This Row],[DIAS HABILES O MORA]]&lt;0,(Tabla14[[#This Row],[VALOR PRESTAMO]]*Tabla14[[#This Row],[% INTERES ]]/30*U3956))</f>
        <v>0</v>
      </c>
      <c r="T3956" s="53" t="e">
        <f>Tabla14[[#This Row],[DEUDA CAPITAL]]+Tabla14[[#This Row],[INTERES  CUOTA]]</f>
        <v>#NUM!</v>
      </c>
      <c r="U3956" s="61" t="str">
        <f t="shared" si="629"/>
        <v/>
      </c>
    </row>
    <row r="3957" spans="9:21" ht="24.75" customHeight="1" x14ac:dyDescent="0.35">
      <c r="I3957" s="42">
        <f t="shared" si="620"/>
        <v>0</v>
      </c>
      <c r="J3957" s="65" t="e">
        <f t="shared" si="621"/>
        <v>#NUM!</v>
      </c>
      <c r="K3957" s="83" t="e">
        <f t="shared" si="622"/>
        <v>#NUM!</v>
      </c>
      <c r="L3957" s="83">
        <f t="shared" si="623"/>
        <v>0</v>
      </c>
      <c r="M3957" s="110" t="str">
        <f t="shared" si="624"/>
        <v/>
      </c>
      <c r="N3957" s="51" t="str">
        <f t="shared" si="625"/>
        <v/>
      </c>
      <c r="O3957" s="52" t="str">
        <f t="shared" si="626"/>
        <v/>
      </c>
      <c r="P3957" s="88">
        <f t="shared" si="627"/>
        <v>0</v>
      </c>
      <c r="Q3957" s="88">
        <f t="shared" si="628"/>
        <v>0</v>
      </c>
      <c r="R3957" s="88" t="e">
        <f>-IF(Tabla14[[#This Row],[DIAS HABILES O MORA]]&lt;0,(Tabla14[[#This Row],[VALOR PRESTAMO]]*Tabla14[[#This Row],[% INTERES ]]/30*U3957))+Tabla14[[#This Row],[VALOR CUOTAS]]</f>
        <v>#VALUE!</v>
      </c>
      <c r="S3957" s="88">
        <f>-IF(Tabla14[[#This Row],[DIAS HABILES O MORA]]&lt;0,(Tabla14[[#This Row],[VALOR PRESTAMO]]*Tabla14[[#This Row],[% INTERES ]]/30*U3957))</f>
        <v>0</v>
      </c>
      <c r="T3957" s="53" t="e">
        <f>Tabla14[[#This Row],[DEUDA CAPITAL]]+Tabla14[[#This Row],[INTERES  CUOTA]]</f>
        <v>#NUM!</v>
      </c>
      <c r="U3957" s="61" t="str">
        <f t="shared" si="629"/>
        <v/>
      </c>
    </row>
    <row r="3958" spans="9:21" ht="24.75" customHeight="1" x14ac:dyDescent="0.35">
      <c r="I3958" s="42">
        <f t="shared" si="620"/>
        <v>0</v>
      </c>
      <c r="J3958" s="65" t="e">
        <f t="shared" si="621"/>
        <v>#NUM!</v>
      </c>
      <c r="K3958" s="83" t="e">
        <f t="shared" si="622"/>
        <v>#NUM!</v>
      </c>
      <c r="L3958" s="83">
        <f t="shared" si="623"/>
        <v>0</v>
      </c>
      <c r="M3958" s="110" t="str">
        <f t="shared" si="624"/>
        <v/>
      </c>
      <c r="N3958" s="51" t="str">
        <f t="shared" si="625"/>
        <v/>
      </c>
      <c r="O3958" s="52" t="str">
        <f t="shared" si="626"/>
        <v/>
      </c>
      <c r="P3958" s="88">
        <f t="shared" si="627"/>
        <v>0</v>
      </c>
      <c r="Q3958" s="88">
        <f t="shared" si="628"/>
        <v>0</v>
      </c>
      <c r="R3958" s="88" t="e">
        <f>-IF(Tabla14[[#This Row],[DIAS HABILES O MORA]]&lt;0,(Tabla14[[#This Row],[VALOR PRESTAMO]]*Tabla14[[#This Row],[% INTERES ]]/30*U3958))+Tabla14[[#This Row],[VALOR CUOTAS]]</f>
        <v>#VALUE!</v>
      </c>
      <c r="S3958" s="88">
        <f>-IF(Tabla14[[#This Row],[DIAS HABILES O MORA]]&lt;0,(Tabla14[[#This Row],[VALOR PRESTAMO]]*Tabla14[[#This Row],[% INTERES ]]/30*U3958))</f>
        <v>0</v>
      </c>
      <c r="T3958" s="53" t="e">
        <f>Tabla14[[#This Row],[DEUDA CAPITAL]]+Tabla14[[#This Row],[INTERES  CUOTA]]</f>
        <v>#NUM!</v>
      </c>
      <c r="U3958" s="61" t="str">
        <f t="shared" si="629"/>
        <v/>
      </c>
    </row>
    <row r="3959" spans="9:21" ht="24.75" customHeight="1" x14ac:dyDescent="0.35">
      <c r="I3959" s="42">
        <f t="shared" si="620"/>
        <v>0</v>
      </c>
      <c r="J3959" s="65" t="e">
        <f t="shared" si="621"/>
        <v>#NUM!</v>
      </c>
      <c r="K3959" s="83" t="e">
        <f t="shared" si="622"/>
        <v>#NUM!</v>
      </c>
      <c r="L3959" s="83">
        <f t="shared" si="623"/>
        <v>0</v>
      </c>
      <c r="M3959" s="110" t="str">
        <f t="shared" si="624"/>
        <v/>
      </c>
      <c r="N3959" s="51" t="str">
        <f t="shared" si="625"/>
        <v/>
      </c>
      <c r="O3959" s="52" t="str">
        <f t="shared" si="626"/>
        <v/>
      </c>
      <c r="P3959" s="88">
        <f t="shared" si="627"/>
        <v>0</v>
      </c>
      <c r="Q3959" s="88">
        <f t="shared" si="628"/>
        <v>0</v>
      </c>
      <c r="R3959" s="88" t="e">
        <f>-IF(Tabla14[[#This Row],[DIAS HABILES O MORA]]&lt;0,(Tabla14[[#This Row],[VALOR PRESTAMO]]*Tabla14[[#This Row],[% INTERES ]]/30*U3959))+Tabla14[[#This Row],[VALOR CUOTAS]]</f>
        <v>#VALUE!</v>
      </c>
      <c r="S3959" s="88">
        <f>-IF(Tabla14[[#This Row],[DIAS HABILES O MORA]]&lt;0,(Tabla14[[#This Row],[VALOR PRESTAMO]]*Tabla14[[#This Row],[% INTERES ]]/30*U3959))</f>
        <v>0</v>
      </c>
      <c r="T3959" s="53" t="e">
        <f>Tabla14[[#This Row],[DEUDA CAPITAL]]+Tabla14[[#This Row],[INTERES  CUOTA]]</f>
        <v>#NUM!</v>
      </c>
      <c r="U3959" s="61" t="str">
        <f t="shared" si="629"/>
        <v/>
      </c>
    </row>
    <row r="3960" spans="9:21" ht="24.75" customHeight="1" x14ac:dyDescent="0.35">
      <c r="I3960" s="42">
        <f t="shared" si="620"/>
        <v>0</v>
      </c>
      <c r="J3960" s="65" t="e">
        <f t="shared" si="621"/>
        <v>#NUM!</v>
      </c>
      <c r="K3960" s="83" t="e">
        <f t="shared" si="622"/>
        <v>#NUM!</v>
      </c>
      <c r="L3960" s="83">
        <f t="shared" si="623"/>
        <v>0</v>
      </c>
      <c r="M3960" s="110" t="str">
        <f t="shared" si="624"/>
        <v/>
      </c>
      <c r="N3960" s="51" t="str">
        <f t="shared" si="625"/>
        <v/>
      </c>
      <c r="O3960" s="52" t="str">
        <f t="shared" si="626"/>
        <v/>
      </c>
      <c r="P3960" s="88">
        <f t="shared" si="627"/>
        <v>0</v>
      </c>
      <c r="Q3960" s="88">
        <f t="shared" si="628"/>
        <v>0</v>
      </c>
      <c r="R3960" s="88" t="e">
        <f>-IF(Tabla14[[#This Row],[DIAS HABILES O MORA]]&lt;0,(Tabla14[[#This Row],[VALOR PRESTAMO]]*Tabla14[[#This Row],[% INTERES ]]/30*U3960))+Tabla14[[#This Row],[VALOR CUOTAS]]</f>
        <v>#VALUE!</v>
      </c>
      <c r="S3960" s="88">
        <f>-IF(Tabla14[[#This Row],[DIAS HABILES O MORA]]&lt;0,(Tabla14[[#This Row],[VALOR PRESTAMO]]*Tabla14[[#This Row],[% INTERES ]]/30*U3960))</f>
        <v>0</v>
      </c>
      <c r="T3960" s="53" t="e">
        <f>Tabla14[[#This Row],[DEUDA CAPITAL]]+Tabla14[[#This Row],[INTERES  CUOTA]]</f>
        <v>#NUM!</v>
      </c>
      <c r="U3960" s="61" t="str">
        <f t="shared" si="629"/>
        <v/>
      </c>
    </row>
    <row r="3961" spans="9:21" ht="24.75" customHeight="1" x14ac:dyDescent="0.35">
      <c r="I3961" s="42">
        <f t="shared" si="620"/>
        <v>0</v>
      </c>
      <c r="J3961" s="65" t="e">
        <f t="shared" si="621"/>
        <v>#NUM!</v>
      </c>
      <c r="K3961" s="83" t="e">
        <f t="shared" si="622"/>
        <v>#NUM!</v>
      </c>
      <c r="L3961" s="83">
        <f t="shared" si="623"/>
        <v>0</v>
      </c>
      <c r="M3961" s="110" t="str">
        <f t="shared" si="624"/>
        <v/>
      </c>
      <c r="N3961" s="51" t="str">
        <f t="shared" si="625"/>
        <v/>
      </c>
      <c r="O3961" s="52" t="str">
        <f t="shared" si="626"/>
        <v/>
      </c>
      <c r="P3961" s="88">
        <f t="shared" si="627"/>
        <v>0</v>
      </c>
      <c r="Q3961" s="88">
        <f t="shared" si="628"/>
        <v>0</v>
      </c>
      <c r="R3961" s="88" t="e">
        <f>-IF(Tabla14[[#This Row],[DIAS HABILES O MORA]]&lt;0,(Tabla14[[#This Row],[VALOR PRESTAMO]]*Tabla14[[#This Row],[% INTERES ]]/30*U3961))+Tabla14[[#This Row],[VALOR CUOTAS]]</f>
        <v>#VALUE!</v>
      </c>
      <c r="S3961" s="88">
        <f>-IF(Tabla14[[#This Row],[DIAS HABILES O MORA]]&lt;0,(Tabla14[[#This Row],[VALOR PRESTAMO]]*Tabla14[[#This Row],[% INTERES ]]/30*U3961))</f>
        <v>0</v>
      </c>
      <c r="T3961" s="53" t="e">
        <f>Tabla14[[#This Row],[DEUDA CAPITAL]]+Tabla14[[#This Row],[INTERES  CUOTA]]</f>
        <v>#NUM!</v>
      </c>
      <c r="U3961" s="61" t="str">
        <f t="shared" si="629"/>
        <v/>
      </c>
    </row>
    <row r="3962" spans="9:21" ht="24.75" customHeight="1" x14ac:dyDescent="0.35">
      <c r="I3962" s="42">
        <f t="shared" si="620"/>
        <v>0</v>
      </c>
      <c r="J3962" s="65" t="e">
        <f t="shared" si="621"/>
        <v>#NUM!</v>
      </c>
      <c r="K3962" s="83" t="e">
        <f t="shared" si="622"/>
        <v>#NUM!</v>
      </c>
      <c r="L3962" s="83">
        <f t="shared" si="623"/>
        <v>0</v>
      </c>
      <c r="M3962" s="110" t="str">
        <f t="shared" si="624"/>
        <v/>
      </c>
      <c r="N3962" s="51" t="str">
        <f t="shared" si="625"/>
        <v/>
      </c>
      <c r="O3962" s="52" t="str">
        <f t="shared" si="626"/>
        <v/>
      </c>
      <c r="P3962" s="88">
        <f t="shared" si="627"/>
        <v>0</v>
      </c>
      <c r="Q3962" s="88">
        <f t="shared" si="628"/>
        <v>0</v>
      </c>
      <c r="R3962" s="88" t="e">
        <f>-IF(Tabla14[[#This Row],[DIAS HABILES O MORA]]&lt;0,(Tabla14[[#This Row],[VALOR PRESTAMO]]*Tabla14[[#This Row],[% INTERES ]]/30*U3962))+Tabla14[[#This Row],[VALOR CUOTAS]]</f>
        <v>#VALUE!</v>
      </c>
      <c r="S3962" s="88">
        <f>-IF(Tabla14[[#This Row],[DIAS HABILES O MORA]]&lt;0,(Tabla14[[#This Row],[VALOR PRESTAMO]]*Tabla14[[#This Row],[% INTERES ]]/30*U3962))</f>
        <v>0</v>
      </c>
      <c r="T3962" s="53" t="e">
        <f>Tabla14[[#This Row],[DEUDA CAPITAL]]+Tabla14[[#This Row],[INTERES  CUOTA]]</f>
        <v>#NUM!</v>
      </c>
      <c r="U3962" s="61" t="str">
        <f t="shared" si="629"/>
        <v/>
      </c>
    </row>
    <row r="3963" spans="9:21" ht="24.75" customHeight="1" x14ac:dyDescent="0.35">
      <c r="I3963" s="42">
        <f t="shared" si="620"/>
        <v>0</v>
      </c>
      <c r="J3963" s="65" t="e">
        <f t="shared" si="621"/>
        <v>#NUM!</v>
      </c>
      <c r="K3963" s="83" t="e">
        <f t="shared" si="622"/>
        <v>#NUM!</v>
      </c>
      <c r="L3963" s="83">
        <f t="shared" si="623"/>
        <v>0</v>
      </c>
      <c r="M3963" s="110" t="str">
        <f t="shared" si="624"/>
        <v/>
      </c>
      <c r="N3963" s="51" t="str">
        <f t="shared" si="625"/>
        <v/>
      </c>
      <c r="O3963" s="52" t="str">
        <f t="shared" si="626"/>
        <v/>
      </c>
      <c r="P3963" s="88">
        <f t="shared" si="627"/>
        <v>0</v>
      </c>
      <c r="Q3963" s="88">
        <f t="shared" si="628"/>
        <v>0</v>
      </c>
      <c r="R3963" s="88" t="e">
        <f>-IF(Tabla14[[#This Row],[DIAS HABILES O MORA]]&lt;0,(Tabla14[[#This Row],[VALOR PRESTAMO]]*Tabla14[[#This Row],[% INTERES ]]/30*U3963))+Tabla14[[#This Row],[VALOR CUOTAS]]</f>
        <v>#VALUE!</v>
      </c>
      <c r="S3963" s="88">
        <f>-IF(Tabla14[[#This Row],[DIAS HABILES O MORA]]&lt;0,(Tabla14[[#This Row],[VALOR PRESTAMO]]*Tabla14[[#This Row],[% INTERES ]]/30*U3963))</f>
        <v>0</v>
      </c>
      <c r="T3963" s="53" t="e">
        <f>Tabla14[[#This Row],[DEUDA CAPITAL]]+Tabla14[[#This Row],[INTERES  CUOTA]]</f>
        <v>#NUM!</v>
      </c>
      <c r="U3963" s="61" t="str">
        <f t="shared" si="629"/>
        <v/>
      </c>
    </row>
    <row r="3964" spans="9:21" ht="24.75" customHeight="1" x14ac:dyDescent="0.35">
      <c r="I3964" s="42">
        <f t="shared" si="620"/>
        <v>0</v>
      </c>
      <c r="J3964" s="65" t="e">
        <f t="shared" si="621"/>
        <v>#NUM!</v>
      </c>
      <c r="K3964" s="83" t="e">
        <f t="shared" si="622"/>
        <v>#NUM!</v>
      </c>
      <c r="L3964" s="83">
        <f t="shared" si="623"/>
        <v>0</v>
      </c>
      <c r="M3964" s="110" t="str">
        <f t="shared" si="624"/>
        <v/>
      </c>
      <c r="N3964" s="51" t="str">
        <f t="shared" si="625"/>
        <v/>
      </c>
      <c r="O3964" s="52" t="str">
        <f t="shared" si="626"/>
        <v/>
      </c>
      <c r="P3964" s="88">
        <f t="shared" si="627"/>
        <v>0</v>
      </c>
      <c r="Q3964" s="88">
        <f t="shared" si="628"/>
        <v>0</v>
      </c>
      <c r="R3964" s="88" t="e">
        <f>-IF(Tabla14[[#This Row],[DIAS HABILES O MORA]]&lt;0,(Tabla14[[#This Row],[VALOR PRESTAMO]]*Tabla14[[#This Row],[% INTERES ]]/30*U3964))+Tabla14[[#This Row],[VALOR CUOTAS]]</f>
        <v>#VALUE!</v>
      </c>
      <c r="S3964" s="88">
        <f>-IF(Tabla14[[#This Row],[DIAS HABILES O MORA]]&lt;0,(Tabla14[[#This Row],[VALOR PRESTAMO]]*Tabla14[[#This Row],[% INTERES ]]/30*U3964))</f>
        <v>0</v>
      </c>
      <c r="T3964" s="53" t="e">
        <f>Tabla14[[#This Row],[DEUDA CAPITAL]]+Tabla14[[#This Row],[INTERES  CUOTA]]</f>
        <v>#NUM!</v>
      </c>
      <c r="U3964" s="61" t="str">
        <f t="shared" si="629"/>
        <v/>
      </c>
    </row>
    <row r="3965" spans="9:21" ht="24.75" customHeight="1" x14ac:dyDescent="0.35">
      <c r="I3965" s="42">
        <f t="shared" si="620"/>
        <v>0</v>
      </c>
      <c r="J3965" s="65" t="e">
        <f t="shared" si="621"/>
        <v>#NUM!</v>
      </c>
      <c r="K3965" s="83" t="e">
        <f t="shared" si="622"/>
        <v>#NUM!</v>
      </c>
      <c r="L3965" s="83">
        <f t="shared" si="623"/>
        <v>0</v>
      </c>
      <c r="M3965" s="110" t="str">
        <f t="shared" si="624"/>
        <v/>
      </c>
      <c r="N3965" s="51" t="str">
        <f t="shared" si="625"/>
        <v/>
      </c>
      <c r="O3965" s="52" t="str">
        <f t="shared" si="626"/>
        <v/>
      </c>
      <c r="P3965" s="88">
        <f t="shared" si="627"/>
        <v>0</v>
      </c>
      <c r="Q3965" s="88">
        <f t="shared" si="628"/>
        <v>0</v>
      </c>
      <c r="R3965" s="88" t="e">
        <f>-IF(Tabla14[[#This Row],[DIAS HABILES O MORA]]&lt;0,(Tabla14[[#This Row],[VALOR PRESTAMO]]*Tabla14[[#This Row],[% INTERES ]]/30*U3965))+Tabla14[[#This Row],[VALOR CUOTAS]]</f>
        <v>#VALUE!</v>
      </c>
      <c r="S3965" s="88">
        <f>-IF(Tabla14[[#This Row],[DIAS HABILES O MORA]]&lt;0,(Tabla14[[#This Row],[VALOR PRESTAMO]]*Tabla14[[#This Row],[% INTERES ]]/30*U3965))</f>
        <v>0</v>
      </c>
      <c r="T3965" s="53" t="e">
        <f>Tabla14[[#This Row],[DEUDA CAPITAL]]+Tabla14[[#This Row],[INTERES  CUOTA]]</f>
        <v>#NUM!</v>
      </c>
      <c r="U3965" s="61" t="str">
        <f t="shared" si="629"/>
        <v/>
      </c>
    </row>
    <row r="3966" spans="9:21" ht="24.75" customHeight="1" x14ac:dyDescent="0.35">
      <c r="I3966" s="42">
        <f t="shared" si="620"/>
        <v>0</v>
      </c>
      <c r="J3966" s="65" t="e">
        <f t="shared" si="621"/>
        <v>#NUM!</v>
      </c>
      <c r="K3966" s="83" t="e">
        <f t="shared" si="622"/>
        <v>#NUM!</v>
      </c>
      <c r="L3966" s="83">
        <f t="shared" si="623"/>
        <v>0</v>
      </c>
      <c r="M3966" s="110" t="str">
        <f t="shared" si="624"/>
        <v/>
      </c>
      <c r="N3966" s="51" t="str">
        <f t="shared" si="625"/>
        <v/>
      </c>
      <c r="O3966" s="52" t="str">
        <f t="shared" si="626"/>
        <v/>
      </c>
      <c r="P3966" s="88">
        <f t="shared" si="627"/>
        <v>0</v>
      </c>
      <c r="Q3966" s="88">
        <f t="shared" si="628"/>
        <v>0</v>
      </c>
      <c r="R3966" s="88" t="e">
        <f>-IF(Tabla14[[#This Row],[DIAS HABILES O MORA]]&lt;0,(Tabla14[[#This Row],[VALOR PRESTAMO]]*Tabla14[[#This Row],[% INTERES ]]/30*U3966))+Tabla14[[#This Row],[VALOR CUOTAS]]</f>
        <v>#VALUE!</v>
      </c>
      <c r="S3966" s="88">
        <f>-IF(Tabla14[[#This Row],[DIAS HABILES O MORA]]&lt;0,(Tabla14[[#This Row],[VALOR PRESTAMO]]*Tabla14[[#This Row],[% INTERES ]]/30*U3966))</f>
        <v>0</v>
      </c>
      <c r="T3966" s="53" t="e">
        <f>Tabla14[[#This Row],[DEUDA CAPITAL]]+Tabla14[[#This Row],[INTERES  CUOTA]]</f>
        <v>#NUM!</v>
      </c>
      <c r="U3966" s="61" t="str">
        <f t="shared" si="629"/>
        <v/>
      </c>
    </row>
    <row r="3967" spans="9:21" ht="24.75" customHeight="1" x14ac:dyDescent="0.35">
      <c r="I3967" s="42">
        <f t="shared" si="620"/>
        <v>0</v>
      </c>
      <c r="J3967" s="65" t="e">
        <f t="shared" si="621"/>
        <v>#NUM!</v>
      </c>
      <c r="K3967" s="83" t="e">
        <f t="shared" si="622"/>
        <v>#NUM!</v>
      </c>
      <c r="L3967" s="83">
        <f t="shared" si="623"/>
        <v>0</v>
      </c>
      <c r="M3967" s="110" t="str">
        <f t="shared" si="624"/>
        <v/>
      </c>
      <c r="N3967" s="51" t="str">
        <f t="shared" si="625"/>
        <v/>
      </c>
      <c r="O3967" s="52" t="str">
        <f t="shared" si="626"/>
        <v/>
      </c>
      <c r="P3967" s="88">
        <f t="shared" si="627"/>
        <v>0</v>
      </c>
      <c r="Q3967" s="88">
        <f t="shared" si="628"/>
        <v>0</v>
      </c>
      <c r="R3967" s="88" t="e">
        <f>-IF(Tabla14[[#This Row],[DIAS HABILES O MORA]]&lt;0,(Tabla14[[#This Row],[VALOR PRESTAMO]]*Tabla14[[#This Row],[% INTERES ]]/30*U3967))+Tabla14[[#This Row],[VALOR CUOTAS]]</f>
        <v>#VALUE!</v>
      </c>
      <c r="S3967" s="88">
        <f>-IF(Tabla14[[#This Row],[DIAS HABILES O MORA]]&lt;0,(Tabla14[[#This Row],[VALOR PRESTAMO]]*Tabla14[[#This Row],[% INTERES ]]/30*U3967))</f>
        <v>0</v>
      </c>
      <c r="T3967" s="53" t="e">
        <f>Tabla14[[#This Row],[DEUDA CAPITAL]]+Tabla14[[#This Row],[INTERES  CUOTA]]</f>
        <v>#NUM!</v>
      </c>
      <c r="U3967" s="61" t="str">
        <f t="shared" si="629"/>
        <v/>
      </c>
    </row>
    <row r="3968" spans="9:21" ht="24.75" customHeight="1" x14ac:dyDescent="0.35">
      <c r="I3968" s="42">
        <f t="shared" si="620"/>
        <v>0</v>
      </c>
      <c r="J3968" s="65" t="e">
        <f t="shared" si="621"/>
        <v>#NUM!</v>
      </c>
      <c r="K3968" s="83" t="e">
        <f t="shared" si="622"/>
        <v>#NUM!</v>
      </c>
      <c r="L3968" s="83">
        <f t="shared" si="623"/>
        <v>0</v>
      </c>
      <c r="M3968" s="110" t="str">
        <f t="shared" si="624"/>
        <v/>
      </c>
      <c r="N3968" s="51" t="str">
        <f t="shared" si="625"/>
        <v/>
      </c>
      <c r="O3968" s="52" t="str">
        <f t="shared" si="626"/>
        <v/>
      </c>
      <c r="P3968" s="88">
        <f t="shared" si="627"/>
        <v>0</v>
      </c>
      <c r="Q3968" s="88">
        <f t="shared" si="628"/>
        <v>0</v>
      </c>
      <c r="R3968" s="88" t="e">
        <f>-IF(Tabla14[[#This Row],[DIAS HABILES O MORA]]&lt;0,(Tabla14[[#This Row],[VALOR PRESTAMO]]*Tabla14[[#This Row],[% INTERES ]]/30*U3968))+Tabla14[[#This Row],[VALOR CUOTAS]]</f>
        <v>#VALUE!</v>
      </c>
      <c r="S3968" s="88">
        <f>-IF(Tabla14[[#This Row],[DIAS HABILES O MORA]]&lt;0,(Tabla14[[#This Row],[VALOR PRESTAMO]]*Tabla14[[#This Row],[% INTERES ]]/30*U3968))</f>
        <v>0</v>
      </c>
      <c r="T3968" s="53" t="e">
        <f>Tabla14[[#This Row],[DEUDA CAPITAL]]+Tabla14[[#This Row],[INTERES  CUOTA]]</f>
        <v>#NUM!</v>
      </c>
      <c r="U3968" s="61" t="str">
        <f t="shared" si="629"/>
        <v/>
      </c>
    </row>
    <row r="3969" spans="9:21" ht="24.75" customHeight="1" x14ac:dyDescent="0.35">
      <c r="I3969" s="42">
        <f t="shared" si="620"/>
        <v>0</v>
      </c>
      <c r="J3969" s="65" t="e">
        <f t="shared" si="621"/>
        <v>#NUM!</v>
      </c>
      <c r="K3969" s="83" t="e">
        <f t="shared" si="622"/>
        <v>#NUM!</v>
      </c>
      <c r="L3969" s="83">
        <f t="shared" si="623"/>
        <v>0</v>
      </c>
      <c r="M3969" s="110" t="str">
        <f t="shared" si="624"/>
        <v/>
      </c>
      <c r="N3969" s="51" t="str">
        <f t="shared" si="625"/>
        <v/>
      </c>
      <c r="O3969" s="52" t="str">
        <f t="shared" si="626"/>
        <v/>
      </c>
      <c r="P3969" s="88">
        <f t="shared" si="627"/>
        <v>0</v>
      </c>
      <c r="Q3969" s="88">
        <f t="shared" si="628"/>
        <v>0</v>
      </c>
      <c r="R3969" s="88" t="e">
        <f>-IF(Tabla14[[#This Row],[DIAS HABILES O MORA]]&lt;0,(Tabla14[[#This Row],[VALOR PRESTAMO]]*Tabla14[[#This Row],[% INTERES ]]/30*U3969))+Tabla14[[#This Row],[VALOR CUOTAS]]</f>
        <v>#VALUE!</v>
      </c>
      <c r="S3969" s="88">
        <f>-IF(Tabla14[[#This Row],[DIAS HABILES O MORA]]&lt;0,(Tabla14[[#This Row],[VALOR PRESTAMO]]*Tabla14[[#This Row],[% INTERES ]]/30*U3969))</f>
        <v>0</v>
      </c>
      <c r="T3969" s="53" t="e">
        <f>Tabla14[[#This Row],[DEUDA CAPITAL]]+Tabla14[[#This Row],[INTERES  CUOTA]]</f>
        <v>#NUM!</v>
      </c>
      <c r="U3969" s="61" t="str">
        <f t="shared" si="629"/>
        <v/>
      </c>
    </row>
    <row r="3970" spans="9:21" ht="24.75" customHeight="1" x14ac:dyDescent="0.35">
      <c r="I3970" s="42">
        <f t="shared" si="620"/>
        <v>0</v>
      </c>
      <c r="J3970" s="65" t="e">
        <f t="shared" si="621"/>
        <v>#NUM!</v>
      </c>
      <c r="K3970" s="83" t="e">
        <f t="shared" si="622"/>
        <v>#NUM!</v>
      </c>
      <c r="L3970" s="83">
        <f t="shared" si="623"/>
        <v>0</v>
      </c>
      <c r="M3970" s="110" t="str">
        <f t="shared" si="624"/>
        <v/>
      </c>
      <c r="N3970" s="51" t="str">
        <f t="shared" si="625"/>
        <v/>
      </c>
      <c r="O3970" s="52" t="str">
        <f t="shared" si="626"/>
        <v/>
      </c>
      <c r="P3970" s="88">
        <f t="shared" si="627"/>
        <v>0</v>
      </c>
      <c r="Q3970" s="88">
        <f t="shared" si="628"/>
        <v>0</v>
      </c>
      <c r="R3970" s="88" t="e">
        <f>-IF(Tabla14[[#This Row],[DIAS HABILES O MORA]]&lt;0,(Tabla14[[#This Row],[VALOR PRESTAMO]]*Tabla14[[#This Row],[% INTERES ]]/30*U3970))+Tabla14[[#This Row],[VALOR CUOTAS]]</f>
        <v>#VALUE!</v>
      </c>
      <c r="S3970" s="88">
        <f>-IF(Tabla14[[#This Row],[DIAS HABILES O MORA]]&lt;0,(Tabla14[[#This Row],[VALOR PRESTAMO]]*Tabla14[[#This Row],[% INTERES ]]/30*U3970))</f>
        <v>0</v>
      </c>
      <c r="T3970" s="53" t="e">
        <f>Tabla14[[#This Row],[DEUDA CAPITAL]]+Tabla14[[#This Row],[INTERES  CUOTA]]</f>
        <v>#NUM!</v>
      </c>
      <c r="U3970" s="61" t="str">
        <f t="shared" si="629"/>
        <v/>
      </c>
    </row>
    <row r="3971" spans="9:21" ht="24.75" customHeight="1" x14ac:dyDescent="0.35">
      <c r="I3971" s="42">
        <f t="shared" si="620"/>
        <v>0</v>
      </c>
      <c r="J3971" s="65" t="e">
        <f t="shared" si="621"/>
        <v>#NUM!</v>
      </c>
      <c r="K3971" s="83" t="e">
        <f t="shared" si="622"/>
        <v>#NUM!</v>
      </c>
      <c r="L3971" s="83">
        <f t="shared" si="623"/>
        <v>0</v>
      </c>
      <c r="M3971" s="110" t="str">
        <f t="shared" si="624"/>
        <v/>
      </c>
      <c r="N3971" s="51" t="str">
        <f t="shared" si="625"/>
        <v/>
      </c>
      <c r="O3971" s="52" t="str">
        <f t="shared" si="626"/>
        <v/>
      </c>
      <c r="P3971" s="88">
        <f t="shared" si="627"/>
        <v>0</v>
      </c>
      <c r="Q3971" s="88">
        <f t="shared" si="628"/>
        <v>0</v>
      </c>
      <c r="R3971" s="88" t="e">
        <f>-IF(Tabla14[[#This Row],[DIAS HABILES O MORA]]&lt;0,(Tabla14[[#This Row],[VALOR PRESTAMO]]*Tabla14[[#This Row],[% INTERES ]]/30*U3971))+Tabla14[[#This Row],[VALOR CUOTAS]]</f>
        <v>#VALUE!</v>
      </c>
      <c r="S3971" s="88">
        <f>-IF(Tabla14[[#This Row],[DIAS HABILES O MORA]]&lt;0,(Tabla14[[#This Row],[VALOR PRESTAMO]]*Tabla14[[#This Row],[% INTERES ]]/30*U3971))</f>
        <v>0</v>
      </c>
      <c r="T3971" s="53" t="e">
        <f>Tabla14[[#This Row],[DEUDA CAPITAL]]+Tabla14[[#This Row],[INTERES  CUOTA]]</f>
        <v>#NUM!</v>
      </c>
      <c r="U3971" s="61" t="str">
        <f t="shared" si="629"/>
        <v/>
      </c>
    </row>
    <row r="3972" spans="9:21" ht="24.75" customHeight="1" x14ac:dyDescent="0.35">
      <c r="I3972" s="42">
        <f t="shared" si="620"/>
        <v>0</v>
      </c>
      <c r="J3972" s="65" t="e">
        <f t="shared" si="621"/>
        <v>#NUM!</v>
      </c>
      <c r="K3972" s="83" t="e">
        <f t="shared" si="622"/>
        <v>#NUM!</v>
      </c>
      <c r="L3972" s="83">
        <f t="shared" si="623"/>
        <v>0</v>
      </c>
      <c r="M3972" s="110" t="str">
        <f t="shared" si="624"/>
        <v/>
      </c>
      <c r="N3972" s="51" t="str">
        <f t="shared" si="625"/>
        <v/>
      </c>
      <c r="O3972" s="52" t="str">
        <f t="shared" si="626"/>
        <v/>
      </c>
      <c r="P3972" s="88">
        <f t="shared" si="627"/>
        <v>0</v>
      </c>
      <c r="Q3972" s="88">
        <f t="shared" si="628"/>
        <v>0</v>
      </c>
      <c r="R3972" s="88" t="e">
        <f>-IF(Tabla14[[#This Row],[DIAS HABILES O MORA]]&lt;0,(Tabla14[[#This Row],[VALOR PRESTAMO]]*Tabla14[[#This Row],[% INTERES ]]/30*U3972))+Tabla14[[#This Row],[VALOR CUOTAS]]</f>
        <v>#VALUE!</v>
      </c>
      <c r="S3972" s="88">
        <f>-IF(Tabla14[[#This Row],[DIAS HABILES O MORA]]&lt;0,(Tabla14[[#This Row],[VALOR PRESTAMO]]*Tabla14[[#This Row],[% INTERES ]]/30*U3972))</f>
        <v>0</v>
      </c>
      <c r="T3972" s="53" t="e">
        <f>Tabla14[[#This Row],[DEUDA CAPITAL]]+Tabla14[[#This Row],[INTERES  CUOTA]]</f>
        <v>#NUM!</v>
      </c>
      <c r="U3972" s="61" t="str">
        <f t="shared" si="629"/>
        <v/>
      </c>
    </row>
    <row r="3973" spans="9:21" ht="24.75" customHeight="1" x14ac:dyDescent="0.35">
      <c r="I3973" s="42">
        <f t="shared" si="620"/>
        <v>0</v>
      </c>
      <c r="J3973" s="65" t="e">
        <f t="shared" si="621"/>
        <v>#NUM!</v>
      </c>
      <c r="K3973" s="83" t="e">
        <f t="shared" si="622"/>
        <v>#NUM!</v>
      </c>
      <c r="L3973" s="83">
        <f t="shared" si="623"/>
        <v>0</v>
      </c>
      <c r="M3973" s="110" t="str">
        <f t="shared" si="624"/>
        <v/>
      </c>
      <c r="N3973" s="51" t="str">
        <f t="shared" si="625"/>
        <v/>
      </c>
      <c r="O3973" s="52" t="str">
        <f t="shared" si="626"/>
        <v/>
      </c>
      <c r="P3973" s="88">
        <f t="shared" si="627"/>
        <v>0</v>
      </c>
      <c r="Q3973" s="88">
        <f t="shared" si="628"/>
        <v>0</v>
      </c>
      <c r="R3973" s="88" t="e">
        <f>-IF(Tabla14[[#This Row],[DIAS HABILES O MORA]]&lt;0,(Tabla14[[#This Row],[VALOR PRESTAMO]]*Tabla14[[#This Row],[% INTERES ]]/30*U3973))+Tabla14[[#This Row],[VALOR CUOTAS]]</f>
        <v>#VALUE!</v>
      </c>
      <c r="S3973" s="88">
        <f>-IF(Tabla14[[#This Row],[DIAS HABILES O MORA]]&lt;0,(Tabla14[[#This Row],[VALOR PRESTAMO]]*Tabla14[[#This Row],[% INTERES ]]/30*U3973))</f>
        <v>0</v>
      </c>
      <c r="T3973" s="53" t="e">
        <f>Tabla14[[#This Row],[DEUDA CAPITAL]]+Tabla14[[#This Row],[INTERES  CUOTA]]</f>
        <v>#NUM!</v>
      </c>
      <c r="U3973" s="61" t="str">
        <f t="shared" si="629"/>
        <v/>
      </c>
    </row>
    <row r="3974" spans="9:21" ht="24.75" customHeight="1" x14ac:dyDescent="0.35">
      <c r="I3974" s="42">
        <f t="shared" si="620"/>
        <v>0</v>
      </c>
      <c r="J3974" s="65" t="e">
        <f t="shared" si="621"/>
        <v>#NUM!</v>
      </c>
      <c r="K3974" s="83" t="e">
        <f t="shared" si="622"/>
        <v>#NUM!</v>
      </c>
      <c r="L3974" s="83">
        <f t="shared" si="623"/>
        <v>0</v>
      </c>
      <c r="M3974" s="110" t="str">
        <f t="shared" si="624"/>
        <v/>
      </c>
      <c r="N3974" s="51" t="str">
        <f t="shared" si="625"/>
        <v/>
      </c>
      <c r="O3974" s="52" t="str">
        <f t="shared" si="626"/>
        <v/>
      </c>
      <c r="P3974" s="88">
        <f t="shared" si="627"/>
        <v>0</v>
      </c>
      <c r="Q3974" s="88">
        <f t="shared" si="628"/>
        <v>0</v>
      </c>
      <c r="R3974" s="88" t="e">
        <f>-IF(Tabla14[[#This Row],[DIAS HABILES O MORA]]&lt;0,(Tabla14[[#This Row],[VALOR PRESTAMO]]*Tabla14[[#This Row],[% INTERES ]]/30*U3974))+Tabla14[[#This Row],[VALOR CUOTAS]]</f>
        <v>#VALUE!</v>
      </c>
      <c r="S3974" s="88">
        <f>-IF(Tabla14[[#This Row],[DIAS HABILES O MORA]]&lt;0,(Tabla14[[#This Row],[VALOR PRESTAMO]]*Tabla14[[#This Row],[% INTERES ]]/30*U3974))</f>
        <v>0</v>
      </c>
      <c r="T3974" s="53" t="e">
        <f>Tabla14[[#This Row],[DEUDA CAPITAL]]+Tabla14[[#This Row],[INTERES  CUOTA]]</f>
        <v>#NUM!</v>
      </c>
      <c r="U3974" s="61" t="str">
        <f t="shared" si="629"/>
        <v/>
      </c>
    </row>
    <row r="3975" spans="9:21" ht="24.75" customHeight="1" x14ac:dyDescent="0.35">
      <c r="I3975" s="42">
        <f t="shared" si="620"/>
        <v>0</v>
      </c>
      <c r="J3975" s="65" t="e">
        <f t="shared" si="621"/>
        <v>#NUM!</v>
      </c>
      <c r="K3975" s="83" t="e">
        <f t="shared" si="622"/>
        <v>#NUM!</v>
      </c>
      <c r="L3975" s="83">
        <f t="shared" si="623"/>
        <v>0</v>
      </c>
      <c r="M3975" s="110" t="str">
        <f t="shared" si="624"/>
        <v/>
      </c>
      <c r="N3975" s="51" t="str">
        <f t="shared" si="625"/>
        <v/>
      </c>
      <c r="O3975" s="52" t="str">
        <f t="shared" si="626"/>
        <v/>
      </c>
      <c r="P3975" s="88">
        <f t="shared" si="627"/>
        <v>0</v>
      </c>
      <c r="Q3975" s="88">
        <f t="shared" si="628"/>
        <v>0</v>
      </c>
      <c r="R3975" s="88" t="e">
        <f>-IF(Tabla14[[#This Row],[DIAS HABILES O MORA]]&lt;0,(Tabla14[[#This Row],[VALOR PRESTAMO]]*Tabla14[[#This Row],[% INTERES ]]/30*U3975))+Tabla14[[#This Row],[VALOR CUOTAS]]</f>
        <v>#VALUE!</v>
      </c>
      <c r="S3975" s="88">
        <f>-IF(Tabla14[[#This Row],[DIAS HABILES O MORA]]&lt;0,(Tabla14[[#This Row],[VALOR PRESTAMO]]*Tabla14[[#This Row],[% INTERES ]]/30*U3975))</f>
        <v>0</v>
      </c>
      <c r="T3975" s="53" t="e">
        <f>Tabla14[[#This Row],[DEUDA CAPITAL]]+Tabla14[[#This Row],[INTERES  CUOTA]]</f>
        <v>#NUM!</v>
      </c>
      <c r="U3975" s="61" t="str">
        <f t="shared" si="629"/>
        <v/>
      </c>
    </row>
    <row r="3976" spans="9:21" ht="24.75" customHeight="1" x14ac:dyDescent="0.35">
      <c r="I3976" s="42">
        <f t="shared" si="620"/>
        <v>0</v>
      </c>
      <c r="J3976" s="65" t="e">
        <f t="shared" si="621"/>
        <v>#NUM!</v>
      </c>
      <c r="K3976" s="83" t="e">
        <f t="shared" si="622"/>
        <v>#NUM!</v>
      </c>
      <c r="L3976" s="83">
        <f t="shared" si="623"/>
        <v>0</v>
      </c>
      <c r="M3976" s="110" t="str">
        <f t="shared" si="624"/>
        <v/>
      </c>
      <c r="N3976" s="51" t="str">
        <f t="shared" si="625"/>
        <v/>
      </c>
      <c r="O3976" s="52" t="str">
        <f t="shared" si="626"/>
        <v/>
      </c>
      <c r="P3976" s="88">
        <f t="shared" si="627"/>
        <v>0</v>
      </c>
      <c r="Q3976" s="88">
        <f t="shared" si="628"/>
        <v>0</v>
      </c>
      <c r="R3976" s="88" t="e">
        <f>-IF(Tabla14[[#This Row],[DIAS HABILES O MORA]]&lt;0,(Tabla14[[#This Row],[VALOR PRESTAMO]]*Tabla14[[#This Row],[% INTERES ]]/30*U3976))+Tabla14[[#This Row],[VALOR CUOTAS]]</f>
        <v>#VALUE!</v>
      </c>
      <c r="S3976" s="88">
        <f>-IF(Tabla14[[#This Row],[DIAS HABILES O MORA]]&lt;0,(Tabla14[[#This Row],[VALOR PRESTAMO]]*Tabla14[[#This Row],[% INTERES ]]/30*U3976))</f>
        <v>0</v>
      </c>
      <c r="T3976" s="53" t="e">
        <f>Tabla14[[#This Row],[DEUDA CAPITAL]]+Tabla14[[#This Row],[INTERES  CUOTA]]</f>
        <v>#NUM!</v>
      </c>
      <c r="U3976" s="61" t="str">
        <f t="shared" si="629"/>
        <v/>
      </c>
    </row>
    <row r="3977" spans="9:21" ht="24.75" customHeight="1" x14ac:dyDescent="0.35">
      <c r="I3977" s="42">
        <f t="shared" si="620"/>
        <v>0</v>
      </c>
      <c r="J3977" s="65" t="e">
        <f t="shared" si="621"/>
        <v>#NUM!</v>
      </c>
      <c r="K3977" s="83" t="e">
        <f t="shared" si="622"/>
        <v>#NUM!</v>
      </c>
      <c r="L3977" s="83">
        <f t="shared" si="623"/>
        <v>0</v>
      </c>
      <c r="M3977" s="110" t="str">
        <f t="shared" si="624"/>
        <v/>
      </c>
      <c r="N3977" s="51" t="str">
        <f t="shared" si="625"/>
        <v/>
      </c>
      <c r="O3977" s="52" t="str">
        <f t="shared" si="626"/>
        <v/>
      </c>
      <c r="P3977" s="88">
        <f t="shared" si="627"/>
        <v>0</v>
      </c>
      <c r="Q3977" s="88">
        <f t="shared" si="628"/>
        <v>0</v>
      </c>
      <c r="R3977" s="88" t="e">
        <f>-IF(Tabla14[[#This Row],[DIAS HABILES O MORA]]&lt;0,(Tabla14[[#This Row],[VALOR PRESTAMO]]*Tabla14[[#This Row],[% INTERES ]]/30*U3977))+Tabla14[[#This Row],[VALOR CUOTAS]]</f>
        <v>#VALUE!</v>
      </c>
      <c r="S3977" s="88">
        <f>-IF(Tabla14[[#This Row],[DIAS HABILES O MORA]]&lt;0,(Tabla14[[#This Row],[VALOR PRESTAMO]]*Tabla14[[#This Row],[% INTERES ]]/30*U3977))</f>
        <v>0</v>
      </c>
      <c r="T3977" s="53" t="e">
        <f>Tabla14[[#This Row],[DEUDA CAPITAL]]+Tabla14[[#This Row],[INTERES  CUOTA]]</f>
        <v>#NUM!</v>
      </c>
      <c r="U3977" s="61" t="str">
        <f t="shared" si="629"/>
        <v/>
      </c>
    </row>
    <row r="3978" spans="9:21" ht="24.75" customHeight="1" x14ac:dyDescent="0.35">
      <c r="I3978" s="42">
        <f t="shared" si="620"/>
        <v>0</v>
      </c>
      <c r="J3978" s="65" t="e">
        <f t="shared" si="621"/>
        <v>#NUM!</v>
      </c>
      <c r="K3978" s="83" t="e">
        <f t="shared" si="622"/>
        <v>#NUM!</v>
      </c>
      <c r="L3978" s="83">
        <f t="shared" si="623"/>
        <v>0</v>
      </c>
      <c r="M3978" s="110" t="str">
        <f t="shared" si="624"/>
        <v/>
      </c>
      <c r="N3978" s="51" t="str">
        <f t="shared" si="625"/>
        <v/>
      </c>
      <c r="O3978" s="52" t="str">
        <f t="shared" si="626"/>
        <v/>
      </c>
      <c r="P3978" s="88">
        <f t="shared" si="627"/>
        <v>0</v>
      </c>
      <c r="Q3978" s="88">
        <f t="shared" si="628"/>
        <v>0</v>
      </c>
      <c r="R3978" s="88" t="e">
        <f>-IF(Tabla14[[#This Row],[DIAS HABILES O MORA]]&lt;0,(Tabla14[[#This Row],[VALOR PRESTAMO]]*Tabla14[[#This Row],[% INTERES ]]/30*U3978))+Tabla14[[#This Row],[VALOR CUOTAS]]</f>
        <v>#VALUE!</v>
      </c>
      <c r="S3978" s="88">
        <f>-IF(Tabla14[[#This Row],[DIAS HABILES O MORA]]&lt;0,(Tabla14[[#This Row],[VALOR PRESTAMO]]*Tabla14[[#This Row],[% INTERES ]]/30*U3978))</f>
        <v>0</v>
      </c>
      <c r="T3978" s="53" t="e">
        <f>Tabla14[[#This Row],[DEUDA CAPITAL]]+Tabla14[[#This Row],[INTERES  CUOTA]]</f>
        <v>#NUM!</v>
      </c>
      <c r="U3978" s="61" t="str">
        <f t="shared" si="629"/>
        <v/>
      </c>
    </row>
    <row r="3979" spans="9:21" ht="24.75" customHeight="1" x14ac:dyDescent="0.35">
      <c r="I3979" s="42">
        <f t="shared" si="620"/>
        <v>0</v>
      </c>
      <c r="J3979" s="65" t="e">
        <f t="shared" si="621"/>
        <v>#NUM!</v>
      </c>
      <c r="K3979" s="83" t="e">
        <f t="shared" si="622"/>
        <v>#NUM!</v>
      </c>
      <c r="L3979" s="83">
        <f t="shared" si="623"/>
        <v>0</v>
      </c>
      <c r="M3979" s="110" t="str">
        <f t="shared" si="624"/>
        <v/>
      </c>
      <c r="N3979" s="51" t="str">
        <f t="shared" si="625"/>
        <v/>
      </c>
      <c r="O3979" s="52" t="str">
        <f t="shared" si="626"/>
        <v/>
      </c>
      <c r="P3979" s="88">
        <f t="shared" si="627"/>
        <v>0</v>
      </c>
      <c r="Q3979" s="88">
        <f t="shared" si="628"/>
        <v>0</v>
      </c>
      <c r="R3979" s="88" t="e">
        <f>-IF(Tabla14[[#This Row],[DIAS HABILES O MORA]]&lt;0,(Tabla14[[#This Row],[VALOR PRESTAMO]]*Tabla14[[#This Row],[% INTERES ]]/30*U3979))+Tabla14[[#This Row],[VALOR CUOTAS]]</f>
        <v>#VALUE!</v>
      </c>
      <c r="S3979" s="88">
        <f>-IF(Tabla14[[#This Row],[DIAS HABILES O MORA]]&lt;0,(Tabla14[[#This Row],[VALOR PRESTAMO]]*Tabla14[[#This Row],[% INTERES ]]/30*U3979))</f>
        <v>0</v>
      </c>
      <c r="T3979" s="53" t="e">
        <f>Tabla14[[#This Row],[DEUDA CAPITAL]]+Tabla14[[#This Row],[INTERES  CUOTA]]</f>
        <v>#NUM!</v>
      </c>
      <c r="U3979" s="61" t="str">
        <f t="shared" si="629"/>
        <v/>
      </c>
    </row>
    <row r="3980" spans="9:21" ht="24.75" customHeight="1" x14ac:dyDescent="0.35">
      <c r="I3980" s="42">
        <f t="shared" si="620"/>
        <v>0</v>
      </c>
      <c r="J3980" s="65" t="e">
        <f t="shared" si="621"/>
        <v>#NUM!</v>
      </c>
      <c r="K3980" s="83" t="e">
        <f t="shared" si="622"/>
        <v>#NUM!</v>
      </c>
      <c r="L3980" s="83">
        <f t="shared" si="623"/>
        <v>0</v>
      </c>
      <c r="M3980" s="110" t="str">
        <f t="shared" si="624"/>
        <v/>
      </c>
      <c r="N3980" s="51" t="str">
        <f t="shared" si="625"/>
        <v/>
      </c>
      <c r="O3980" s="52" t="str">
        <f t="shared" si="626"/>
        <v/>
      </c>
      <c r="P3980" s="88">
        <f t="shared" si="627"/>
        <v>0</v>
      </c>
      <c r="Q3980" s="88">
        <f t="shared" si="628"/>
        <v>0</v>
      </c>
      <c r="R3980" s="88" t="e">
        <f>-IF(Tabla14[[#This Row],[DIAS HABILES O MORA]]&lt;0,(Tabla14[[#This Row],[VALOR PRESTAMO]]*Tabla14[[#This Row],[% INTERES ]]/30*U3980))+Tabla14[[#This Row],[VALOR CUOTAS]]</f>
        <v>#VALUE!</v>
      </c>
      <c r="S3980" s="88">
        <f>-IF(Tabla14[[#This Row],[DIAS HABILES O MORA]]&lt;0,(Tabla14[[#This Row],[VALOR PRESTAMO]]*Tabla14[[#This Row],[% INTERES ]]/30*U3980))</f>
        <v>0</v>
      </c>
      <c r="T3980" s="53" t="e">
        <f>Tabla14[[#This Row],[DEUDA CAPITAL]]+Tabla14[[#This Row],[INTERES  CUOTA]]</f>
        <v>#NUM!</v>
      </c>
      <c r="U3980" s="61" t="str">
        <f t="shared" si="629"/>
        <v/>
      </c>
    </row>
    <row r="3981" spans="9:21" ht="24.75" customHeight="1" x14ac:dyDescent="0.35">
      <c r="I3981" s="42">
        <f t="shared" si="620"/>
        <v>0</v>
      </c>
      <c r="J3981" s="65" t="e">
        <f t="shared" si="621"/>
        <v>#NUM!</v>
      </c>
      <c r="K3981" s="83" t="e">
        <f t="shared" si="622"/>
        <v>#NUM!</v>
      </c>
      <c r="L3981" s="83">
        <f t="shared" si="623"/>
        <v>0</v>
      </c>
      <c r="M3981" s="110" t="str">
        <f t="shared" si="624"/>
        <v/>
      </c>
      <c r="N3981" s="51" t="str">
        <f t="shared" si="625"/>
        <v/>
      </c>
      <c r="O3981" s="52" t="str">
        <f t="shared" si="626"/>
        <v/>
      </c>
      <c r="P3981" s="88">
        <f t="shared" si="627"/>
        <v>0</v>
      </c>
      <c r="Q3981" s="88">
        <f t="shared" si="628"/>
        <v>0</v>
      </c>
      <c r="R3981" s="88" t="e">
        <f>-IF(Tabla14[[#This Row],[DIAS HABILES O MORA]]&lt;0,(Tabla14[[#This Row],[VALOR PRESTAMO]]*Tabla14[[#This Row],[% INTERES ]]/30*U3981))+Tabla14[[#This Row],[VALOR CUOTAS]]</f>
        <v>#VALUE!</v>
      </c>
      <c r="S3981" s="88">
        <f>-IF(Tabla14[[#This Row],[DIAS HABILES O MORA]]&lt;0,(Tabla14[[#This Row],[VALOR PRESTAMO]]*Tabla14[[#This Row],[% INTERES ]]/30*U3981))</f>
        <v>0</v>
      </c>
      <c r="T3981" s="53" t="e">
        <f>Tabla14[[#This Row],[DEUDA CAPITAL]]+Tabla14[[#This Row],[INTERES  CUOTA]]</f>
        <v>#NUM!</v>
      </c>
      <c r="U3981" s="61" t="str">
        <f t="shared" si="629"/>
        <v/>
      </c>
    </row>
    <row r="3982" spans="9:21" ht="24.75" customHeight="1" x14ac:dyDescent="0.35">
      <c r="I3982" s="42">
        <f t="shared" si="620"/>
        <v>0</v>
      </c>
      <c r="J3982" s="65" t="e">
        <f t="shared" si="621"/>
        <v>#NUM!</v>
      </c>
      <c r="K3982" s="83" t="e">
        <f t="shared" si="622"/>
        <v>#NUM!</v>
      </c>
      <c r="L3982" s="83">
        <f t="shared" si="623"/>
        <v>0</v>
      </c>
      <c r="M3982" s="110" t="str">
        <f t="shared" si="624"/>
        <v/>
      </c>
      <c r="N3982" s="51" t="str">
        <f t="shared" si="625"/>
        <v/>
      </c>
      <c r="O3982" s="52" t="str">
        <f t="shared" si="626"/>
        <v/>
      </c>
      <c r="P3982" s="88">
        <f t="shared" si="627"/>
        <v>0</v>
      </c>
      <c r="Q3982" s="88">
        <f t="shared" si="628"/>
        <v>0</v>
      </c>
      <c r="R3982" s="88" t="e">
        <f>-IF(Tabla14[[#This Row],[DIAS HABILES O MORA]]&lt;0,(Tabla14[[#This Row],[VALOR PRESTAMO]]*Tabla14[[#This Row],[% INTERES ]]/30*U3982))+Tabla14[[#This Row],[VALOR CUOTAS]]</f>
        <v>#VALUE!</v>
      </c>
      <c r="S3982" s="88">
        <f>-IF(Tabla14[[#This Row],[DIAS HABILES O MORA]]&lt;0,(Tabla14[[#This Row],[VALOR PRESTAMO]]*Tabla14[[#This Row],[% INTERES ]]/30*U3982))</f>
        <v>0</v>
      </c>
      <c r="T3982" s="53" t="e">
        <f>Tabla14[[#This Row],[DEUDA CAPITAL]]+Tabla14[[#This Row],[INTERES  CUOTA]]</f>
        <v>#NUM!</v>
      </c>
      <c r="U3982" s="61" t="str">
        <f t="shared" si="629"/>
        <v/>
      </c>
    </row>
    <row r="3983" spans="9:21" ht="24.75" customHeight="1" x14ac:dyDescent="0.35">
      <c r="I3983" s="42">
        <f t="shared" si="620"/>
        <v>0</v>
      </c>
      <c r="J3983" s="65" t="e">
        <f t="shared" si="621"/>
        <v>#NUM!</v>
      </c>
      <c r="K3983" s="83" t="e">
        <f t="shared" si="622"/>
        <v>#NUM!</v>
      </c>
      <c r="L3983" s="83">
        <f t="shared" si="623"/>
        <v>0</v>
      </c>
      <c r="M3983" s="110" t="str">
        <f t="shared" si="624"/>
        <v/>
      </c>
      <c r="N3983" s="51" t="str">
        <f t="shared" si="625"/>
        <v/>
      </c>
      <c r="O3983" s="52" t="str">
        <f t="shared" si="626"/>
        <v/>
      </c>
      <c r="P3983" s="88">
        <f t="shared" si="627"/>
        <v>0</v>
      </c>
      <c r="Q3983" s="88">
        <f t="shared" si="628"/>
        <v>0</v>
      </c>
      <c r="R3983" s="88" t="e">
        <f>-IF(Tabla14[[#This Row],[DIAS HABILES O MORA]]&lt;0,(Tabla14[[#This Row],[VALOR PRESTAMO]]*Tabla14[[#This Row],[% INTERES ]]/30*U3983))+Tabla14[[#This Row],[VALOR CUOTAS]]</f>
        <v>#VALUE!</v>
      </c>
      <c r="S3983" s="88">
        <f>-IF(Tabla14[[#This Row],[DIAS HABILES O MORA]]&lt;0,(Tabla14[[#This Row],[VALOR PRESTAMO]]*Tabla14[[#This Row],[% INTERES ]]/30*U3983))</f>
        <v>0</v>
      </c>
      <c r="T3983" s="53" t="e">
        <f>Tabla14[[#This Row],[DEUDA CAPITAL]]+Tabla14[[#This Row],[INTERES  CUOTA]]</f>
        <v>#NUM!</v>
      </c>
      <c r="U3983" s="61" t="str">
        <f t="shared" si="629"/>
        <v/>
      </c>
    </row>
    <row r="3984" spans="9:21" ht="24.75" customHeight="1" x14ac:dyDescent="0.35">
      <c r="I3984" s="42">
        <f t="shared" ref="I3984:I4047" si="630">IF(C3984&lt;0,"",IF(Q3984=0,0,IF(G3984=0,H3984+1,IF(H3984&lt;G3984,H3984+1,IF(G3984=H3984,0)))))</f>
        <v>0</v>
      </c>
      <c r="J3984" s="65" t="e">
        <f t="shared" ref="J3984:J4047" si="631">IF(F3984="SOLO INTERES",Q3984*D3984,-IPMT(D3984,I3984,G3984,C3984))</f>
        <v>#NUM!</v>
      </c>
      <c r="K3984" s="83" t="e">
        <f t="shared" ref="K3984:K4047" si="632">IF(F3984="SOLO INTERES",0,-PPMT(D3984,I3984,G3984,C3984))</f>
        <v>#NUM!</v>
      </c>
      <c r="L3984" s="83">
        <f t="shared" ref="L3984:L4047" si="633">IF(F3984="SOLO INTERES",SUM(Y3984:AAE3984),IFERROR(-CUMIPMT(D3984,G3984,C3984,1,H3984,0),0)+SUM(Y3984:WY3984))</f>
        <v>0</v>
      </c>
      <c r="M3984" s="110" t="str">
        <f t="shared" ref="M3984:M4047" si="634">IFERROR(IF(F3984="SOLO INTERES",Q3984*D3984,-PMT(D3984,G3984,C3984,0)),"")</f>
        <v/>
      </c>
      <c r="N3984" s="51" t="str">
        <f t="shared" ref="N3984:N4047" si="635">IF(Q3984=0,"",IF(E3984="MENSUAL",EDATE(B3984,I3984),IF(E3984="QUINCENAL",B3984+(I3984*15),IF(E3984="SEMANAL",B3984+(I3984*7)))))</f>
        <v/>
      </c>
      <c r="O3984" s="52" t="str">
        <f t="shared" ref="O3984:O4047" si="636">IF(C3984=0,"",IF(Q3984&lt;1,"PAGADO",IF(N3984=$A$3,"COBRAR HOY",IF(N3984&lt;$A$3,"EN MORA",IF(N3984&gt;$A$3,"AL DIA")))))</f>
        <v/>
      </c>
      <c r="P3984" s="88">
        <f t="shared" ref="P3984:P4047" si="637">IFERROR(-CUMPRINC(D3984,G3984,C3984,1,H3984,0),0)+W3984</f>
        <v>0</v>
      </c>
      <c r="Q3984" s="88">
        <f t="shared" ref="Q3984:Q4047" si="638">IFERROR(C3984-P3984,"")</f>
        <v>0</v>
      </c>
      <c r="R3984" s="88" t="e">
        <f>-IF(Tabla14[[#This Row],[DIAS HABILES O MORA]]&lt;0,(Tabla14[[#This Row],[VALOR PRESTAMO]]*Tabla14[[#This Row],[% INTERES ]]/30*U3984))+Tabla14[[#This Row],[VALOR CUOTAS]]</f>
        <v>#VALUE!</v>
      </c>
      <c r="S3984" s="88">
        <f>-IF(Tabla14[[#This Row],[DIAS HABILES O MORA]]&lt;0,(Tabla14[[#This Row],[VALOR PRESTAMO]]*Tabla14[[#This Row],[% INTERES ]]/30*U3984))</f>
        <v>0</v>
      </c>
      <c r="T3984" s="53" t="e">
        <f>Tabla14[[#This Row],[DEUDA CAPITAL]]+Tabla14[[#This Row],[INTERES  CUOTA]]</f>
        <v>#NUM!</v>
      </c>
      <c r="U3984" s="61" t="str">
        <f t="shared" ref="U3984:U4047" si="639">IF(O3984="PAGADO","",IFERROR(-IF(C3984=0,"",$A$3-N3984),""))</f>
        <v/>
      </c>
    </row>
    <row r="3985" spans="9:21" ht="24.75" customHeight="1" x14ac:dyDescent="0.35">
      <c r="I3985" s="42">
        <f t="shared" si="630"/>
        <v>0</v>
      </c>
      <c r="J3985" s="65" t="e">
        <f t="shared" si="631"/>
        <v>#NUM!</v>
      </c>
      <c r="K3985" s="83" t="e">
        <f t="shared" si="632"/>
        <v>#NUM!</v>
      </c>
      <c r="L3985" s="83">
        <f t="shared" si="633"/>
        <v>0</v>
      </c>
      <c r="M3985" s="110" t="str">
        <f t="shared" si="634"/>
        <v/>
      </c>
      <c r="N3985" s="51" t="str">
        <f t="shared" si="635"/>
        <v/>
      </c>
      <c r="O3985" s="52" t="str">
        <f t="shared" si="636"/>
        <v/>
      </c>
      <c r="P3985" s="88">
        <f t="shared" si="637"/>
        <v>0</v>
      </c>
      <c r="Q3985" s="88">
        <f t="shared" si="638"/>
        <v>0</v>
      </c>
      <c r="R3985" s="88" t="e">
        <f>-IF(Tabla14[[#This Row],[DIAS HABILES O MORA]]&lt;0,(Tabla14[[#This Row],[VALOR PRESTAMO]]*Tabla14[[#This Row],[% INTERES ]]/30*U3985))+Tabla14[[#This Row],[VALOR CUOTAS]]</f>
        <v>#VALUE!</v>
      </c>
      <c r="S3985" s="88">
        <f>-IF(Tabla14[[#This Row],[DIAS HABILES O MORA]]&lt;0,(Tabla14[[#This Row],[VALOR PRESTAMO]]*Tabla14[[#This Row],[% INTERES ]]/30*U3985))</f>
        <v>0</v>
      </c>
      <c r="T3985" s="53" t="e">
        <f>Tabla14[[#This Row],[DEUDA CAPITAL]]+Tabla14[[#This Row],[INTERES  CUOTA]]</f>
        <v>#NUM!</v>
      </c>
      <c r="U3985" s="61" t="str">
        <f t="shared" si="639"/>
        <v/>
      </c>
    </row>
    <row r="3986" spans="9:21" ht="24.75" customHeight="1" x14ac:dyDescent="0.35">
      <c r="I3986" s="42">
        <f t="shared" si="630"/>
        <v>0</v>
      </c>
      <c r="J3986" s="65" t="e">
        <f t="shared" si="631"/>
        <v>#NUM!</v>
      </c>
      <c r="K3986" s="83" t="e">
        <f t="shared" si="632"/>
        <v>#NUM!</v>
      </c>
      <c r="L3986" s="83">
        <f t="shared" si="633"/>
        <v>0</v>
      </c>
      <c r="M3986" s="110" t="str">
        <f t="shared" si="634"/>
        <v/>
      </c>
      <c r="N3986" s="51" t="str">
        <f t="shared" si="635"/>
        <v/>
      </c>
      <c r="O3986" s="52" t="str">
        <f t="shared" si="636"/>
        <v/>
      </c>
      <c r="P3986" s="88">
        <f t="shared" si="637"/>
        <v>0</v>
      </c>
      <c r="Q3986" s="88">
        <f t="shared" si="638"/>
        <v>0</v>
      </c>
      <c r="R3986" s="88" t="e">
        <f>-IF(Tabla14[[#This Row],[DIAS HABILES O MORA]]&lt;0,(Tabla14[[#This Row],[VALOR PRESTAMO]]*Tabla14[[#This Row],[% INTERES ]]/30*U3986))+Tabla14[[#This Row],[VALOR CUOTAS]]</f>
        <v>#VALUE!</v>
      </c>
      <c r="S3986" s="88">
        <f>-IF(Tabla14[[#This Row],[DIAS HABILES O MORA]]&lt;0,(Tabla14[[#This Row],[VALOR PRESTAMO]]*Tabla14[[#This Row],[% INTERES ]]/30*U3986))</f>
        <v>0</v>
      </c>
      <c r="T3986" s="53" t="e">
        <f>Tabla14[[#This Row],[DEUDA CAPITAL]]+Tabla14[[#This Row],[INTERES  CUOTA]]</f>
        <v>#NUM!</v>
      </c>
      <c r="U3986" s="61" t="str">
        <f t="shared" si="639"/>
        <v/>
      </c>
    </row>
    <row r="3987" spans="9:21" ht="24.75" customHeight="1" x14ac:dyDescent="0.35">
      <c r="I3987" s="42">
        <f t="shared" si="630"/>
        <v>0</v>
      </c>
      <c r="J3987" s="65" t="e">
        <f t="shared" si="631"/>
        <v>#NUM!</v>
      </c>
      <c r="K3987" s="83" t="e">
        <f t="shared" si="632"/>
        <v>#NUM!</v>
      </c>
      <c r="L3987" s="83">
        <f t="shared" si="633"/>
        <v>0</v>
      </c>
      <c r="M3987" s="110" t="str">
        <f t="shared" si="634"/>
        <v/>
      </c>
      <c r="N3987" s="51" t="str">
        <f t="shared" si="635"/>
        <v/>
      </c>
      <c r="O3987" s="52" t="str">
        <f t="shared" si="636"/>
        <v/>
      </c>
      <c r="P3987" s="88">
        <f t="shared" si="637"/>
        <v>0</v>
      </c>
      <c r="Q3987" s="88">
        <f t="shared" si="638"/>
        <v>0</v>
      </c>
      <c r="R3987" s="88" t="e">
        <f>-IF(Tabla14[[#This Row],[DIAS HABILES O MORA]]&lt;0,(Tabla14[[#This Row],[VALOR PRESTAMO]]*Tabla14[[#This Row],[% INTERES ]]/30*U3987))+Tabla14[[#This Row],[VALOR CUOTAS]]</f>
        <v>#VALUE!</v>
      </c>
      <c r="S3987" s="88">
        <f>-IF(Tabla14[[#This Row],[DIAS HABILES O MORA]]&lt;0,(Tabla14[[#This Row],[VALOR PRESTAMO]]*Tabla14[[#This Row],[% INTERES ]]/30*U3987))</f>
        <v>0</v>
      </c>
      <c r="T3987" s="53" t="e">
        <f>Tabla14[[#This Row],[DEUDA CAPITAL]]+Tabla14[[#This Row],[INTERES  CUOTA]]</f>
        <v>#NUM!</v>
      </c>
      <c r="U3987" s="61" t="str">
        <f t="shared" si="639"/>
        <v/>
      </c>
    </row>
    <row r="3988" spans="9:21" ht="24.75" customHeight="1" x14ac:dyDescent="0.35">
      <c r="I3988" s="42">
        <f t="shared" si="630"/>
        <v>0</v>
      </c>
      <c r="J3988" s="65" t="e">
        <f t="shared" si="631"/>
        <v>#NUM!</v>
      </c>
      <c r="K3988" s="83" t="e">
        <f t="shared" si="632"/>
        <v>#NUM!</v>
      </c>
      <c r="L3988" s="83">
        <f t="shared" si="633"/>
        <v>0</v>
      </c>
      <c r="M3988" s="110" t="str">
        <f t="shared" si="634"/>
        <v/>
      </c>
      <c r="N3988" s="51" t="str">
        <f t="shared" si="635"/>
        <v/>
      </c>
      <c r="O3988" s="52" t="str">
        <f t="shared" si="636"/>
        <v/>
      </c>
      <c r="P3988" s="88">
        <f t="shared" si="637"/>
        <v>0</v>
      </c>
      <c r="Q3988" s="88">
        <f t="shared" si="638"/>
        <v>0</v>
      </c>
      <c r="R3988" s="88" t="e">
        <f>-IF(Tabla14[[#This Row],[DIAS HABILES O MORA]]&lt;0,(Tabla14[[#This Row],[VALOR PRESTAMO]]*Tabla14[[#This Row],[% INTERES ]]/30*U3988))+Tabla14[[#This Row],[VALOR CUOTAS]]</f>
        <v>#VALUE!</v>
      </c>
      <c r="S3988" s="88">
        <f>-IF(Tabla14[[#This Row],[DIAS HABILES O MORA]]&lt;0,(Tabla14[[#This Row],[VALOR PRESTAMO]]*Tabla14[[#This Row],[% INTERES ]]/30*U3988))</f>
        <v>0</v>
      </c>
      <c r="T3988" s="53" t="e">
        <f>Tabla14[[#This Row],[DEUDA CAPITAL]]+Tabla14[[#This Row],[INTERES  CUOTA]]</f>
        <v>#NUM!</v>
      </c>
      <c r="U3988" s="61" t="str">
        <f t="shared" si="639"/>
        <v/>
      </c>
    </row>
    <row r="3989" spans="9:21" ht="24.75" customHeight="1" x14ac:dyDescent="0.35">
      <c r="I3989" s="42">
        <f t="shared" si="630"/>
        <v>0</v>
      </c>
      <c r="J3989" s="65" t="e">
        <f t="shared" si="631"/>
        <v>#NUM!</v>
      </c>
      <c r="K3989" s="83" t="e">
        <f t="shared" si="632"/>
        <v>#NUM!</v>
      </c>
      <c r="L3989" s="83">
        <f t="shared" si="633"/>
        <v>0</v>
      </c>
      <c r="M3989" s="110" t="str">
        <f t="shared" si="634"/>
        <v/>
      </c>
      <c r="N3989" s="51" t="str">
        <f t="shared" si="635"/>
        <v/>
      </c>
      <c r="O3989" s="52" t="str">
        <f t="shared" si="636"/>
        <v/>
      </c>
      <c r="P3989" s="88">
        <f t="shared" si="637"/>
        <v>0</v>
      </c>
      <c r="Q3989" s="88">
        <f t="shared" si="638"/>
        <v>0</v>
      </c>
      <c r="R3989" s="88" t="e">
        <f>-IF(Tabla14[[#This Row],[DIAS HABILES O MORA]]&lt;0,(Tabla14[[#This Row],[VALOR PRESTAMO]]*Tabla14[[#This Row],[% INTERES ]]/30*U3989))+Tabla14[[#This Row],[VALOR CUOTAS]]</f>
        <v>#VALUE!</v>
      </c>
      <c r="S3989" s="88">
        <f>-IF(Tabla14[[#This Row],[DIAS HABILES O MORA]]&lt;0,(Tabla14[[#This Row],[VALOR PRESTAMO]]*Tabla14[[#This Row],[% INTERES ]]/30*U3989))</f>
        <v>0</v>
      </c>
      <c r="T3989" s="53" t="e">
        <f>Tabla14[[#This Row],[DEUDA CAPITAL]]+Tabla14[[#This Row],[INTERES  CUOTA]]</f>
        <v>#NUM!</v>
      </c>
      <c r="U3989" s="61" t="str">
        <f t="shared" si="639"/>
        <v/>
      </c>
    </row>
    <row r="3990" spans="9:21" ht="24.75" customHeight="1" x14ac:dyDescent="0.35">
      <c r="I3990" s="42">
        <f t="shared" si="630"/>
        <v>0</v>
      </c>
      <c r="J3990" s="65" t="e">
        <f t="shared" si="631"/>
        <v>#NUM!</v>
      </c>
      <c r="K3990" s="83" t="e">
        <f t="shared" si="632"/>
        <v>#NUM!</v>
      </c>
      <c r="L3990" s="83">
        <f t="shared" si="633"/>
        <v>0</v>
      </c>
      <c r="M3990" s="110" t="str">
        <f t="shared" si="634"/>
        <v/>
      </c>
      <c r="N3990" s="51" t="str">
        <f t="shared" si="635"/>
        <v/>
      </c>
      <c r="O3990" s="52" t="str">
        <f t="shared" si="636"/>
        <v/>
      </c>
      <c r="P3990" s="88">
        <f t="shared" si="637"/>
        <v>0</v>
      </c>
      <c r="Q3990" s="88">
        <f t="shared" si="638"/>
        <v>0</v>
      </c>
      <c r="R3990" s="88" t="e">
        <f>-IF(Tabla14[[#This Row],[DIAS HABILES O MORA]]&lt;0,(Tabla14[[#This Row],[VALOR PRESTAMO]]*Tabla14[[#This Row],[% INTERES ]]/30*U3990))+Tabla14[[#This Row],[VALOR CUOTAS]]</f>
        <v>#VALUE!</v>
      </c>
      <c r="S3990" s="88">
        <f>-IF(Tabla14[[#This Row],[DIAS HABILES O MORA]]&lt;0,(Tabla14[[#This Row],[VALOR PRESTAMO]]*Tabla14[[#This Row],[% INTERES ]]/30*U3990))</f>
        <v>0</v>
      </c>
      <c r="T3990" s="53" t="e">
        <f>Tabla14[[#This Row],[DEUDA CAPITAL]]+Tabla14[[#This Row],[INTERES  CUOTA]]</f>
        <v>#NUM!</v>
      </c>
      <c r="U3990" s="61" t="str">
        <f t="shared" si="639"/>
        <v/>
      </c>
    </row>
    <row r="3991" spans="9:21" ht="24.75" customHeight="1" x14ac:dyDescent="0.35">
      <c r="I3991" s="42">
        <f t="shared" si="630"/>
        <v>0</v>
      </c>
      <c r="J3991" s="65" t="e">
        <f t="shared" si="631"/>
        <v>#NUM!</v>
      </c>
      <c r="K3991" s="83" t="e">
        <f t="shared" si="632"/>
        <v>#NUM!</v>
      </c>
      <c r="L3991" s="83">
        <f t="shared" si="633"/>
        <v>0</v>
      </c>
      <c r="M3991" s="110" t="str">
        <f t="shared" si="634"/>
        <v/>
      </c>
      <c r="N3991" s="51" t="str">
        <f t="shared" si="635"/>
        <v/>
      </c>
      <c r="O3991" s="52" t="str">
        <f t="shared" si="636"/>
        <v/>
      </c>
      <c r="P3991" s="88">
        <f t="shared" si="637"/>
        <v>0</v>
      </c>
      <c r="Q3991" s="88">
        <f t="shared" si="638"/>
        <v>0</v>
      </c>
      <c r="R3991" s="88" t="e">
        <f>-IF(Tabla14[[#This Row],[DIAS HABILES O MORA]]&lt;0,(Tabla14[[#This Row],[VALOR PRESTAMO]]*Tabla14[[#This Row],[% INTERES ]]/30*U3991))+Tabla14[[#This Row],[VALOR CUOTAS]]</f>
        <v>#VALUE!</v>
      </c>
      <c r="S3991" s="88">
        <f>-IF(Tabla14[[#This Row],[DIAS HABILES O MORA]]&lt;0,(Tabla14[[#This Row],[VALOR PRESTAMO]]*Tabla14[[#This Row],[% INTERES ]]/30*U3991))</f>
        <v>0</v>
      </c>
      <c r="T3991" s="53" t="e">
        <f>Tabla14[[#This Row],[DEUDA CAPITAL]]+Tabla14[[#This Row],[INTERES  CUOTA]]</f>
        <v>#NUM!</v>
      </c>
      <c r="U3991" s="61" t="str">
        <f t="shared" si="639"/>
        <v/>
      </c>
    </row>
    <row r="3992" spans="9:21" ht="24.75" customHeight="1" x14ac:dyDescent="0.35">
      <c r="I3992" s="42">
        <f t="shared" si="630"/>
        <v>0</v>
      </c>
      <c r="J3992" s="65" t="e">
        <f t="shared" si="631"/>
        <v>#NUM!</v>
      </c>
      <c r="K3992" s="83" t="e">
        <f t="shared" si="632"/>
        <v>#NUM!</v>
      </c>
      <c r="L3992" s="83">
        <f t="shared" si="633"/>
        <v>0</v>
      </c>
      <c r="M3992" s="110" t="str">
        <f t="shared" si="634"/>
        <v/>
      </c>
      <c r="N3992" s="51" t="str">
        <f t="shared" si="635"/>
        <v/>
      </c>
      <c r="O3992" s="52" t="str">
        <f t="shared" si="636"/>
        <v/>
      </c>
      <c r="P3992" s="88">
        <f t="shared" si="637"/>
        <v>0</v>
      </c>
      <c r="Q3992" s="88">
        <f t="shared" si="638"/>
        <v>0</v>
      </c>
      <c r="R3992" s="88" t="e">
        <f>-IF(Tabla14[[#This Row],[DIAS HABILES O MORA]]&lt;0,(Tabla14[[#This Row],[VALOR PRESTAMO]]*Tabla14[[#This Row],[% INTERES ]]/30*U3992))+Tabla14[[#This Row],[VALOR CUOTAS]]</f>
        <v>#VALUE!</v>
      </c>
      <c r="S3992" s="88">
        <f>-IF(Tabla14[[#This Row],[DIAS HABILES O MORA]]&lt;0,(Tabla14[[#This Row],[VALOR PRESTAMO]]*Tabla14[[#This Row],[% INTERES ]]/30*U3992))</f>
        <v>0</v>
      </c>
      <c r="T3992" s="53" t="e">
        <f>Tabla14[[#This Row],[DEUDA CAPITAL]]+Tabla14[[#This Row],[INTERES  CUOTA]]</f>
        <v>#NUM!</v>
      </c>
      <c r="U3992" s="61" t="str">
        <f t="shared" si="639"/>
        <v/>
      </c>
    </row>
    <row r="3993" spans="9:21" ht="24.75" customHeight="1" x14ac:dyDescent="0.35">
      <c r="I3993" s="42">
        <f t="shared" si="630"/>
        <v>0</v>
      </c>
      <c r="J3993" s="65" t="e">
        <f t="shared" si="631"/>
        <v>#NUM!</v>
      </c>
      <c r="K3993" s="83" t="e">
        <f t="shared" si="632"/>
        <v>#NUM!</v>
      </c>
      <c r="L3993" s="83">
        <f t="shared" si="633"/>
        <v>0</v>
      </c>
      <c r="M3993" s="110" t="str">
        <f t="shared" si="634"/>
        <v/>
      </c>
      <c r="N3993" s="51" t="str">
        <f t="shared" si="635"/>
        <v/>
      </c>
      <c r="O3993" s="52" t="str">
        <f t="shared" si="636"/>
        <v/>
      </c>
      <c r="P3993" s="88">
        <f t="shared" si="637"/>
        <v>0</v>
      </c>
      <c r="Q3993" s="88">
        <f t="shared" si="638"/>
        <v>0</v>
      </c>
      <c r="R3993" s="88" t="e">
        <f>-IF(Tabla14[[#This Row],[DIAS HABILES O MORA]]&lt;0,(Tabla14[[#This Row],[VALOR PRESTAMO]]*Tabla14[[#This Row],[% INTERES ]]/30*U3993))+Tabla14[[#This Row],[VALOR CUOTAS]]</f>
        <v>#VALUE!</v>
      </c>
      <c r="S3993" s="88">
        <f>-IF(Tabla14[[#This Row],[DIAS HABILES O MORA]]&lt;0,(Tabla14[[#This Row],[VALOR PRESTAMO]]*Tabla14[[#This Row],[% INTERES ]]/30*U3993))</f>
        <v>0</v>
      </c>
      <c r="T3993" s="53" t="e">
        <f>Tabla14[[#This Row],[DEUDA CAPITAL]]+Tabla14[[#This Row],[INTERES  CUOTA]]</f>
        <v>#NUM!</v>
      </c>
      <c r="U3993" s="61" t="str">
        <f t="shared" si="639"/>
        <v/>
      </c>
    </row>
    <row r="3994" spans="9:21" ht="24.75" customHeight="1" x14ac:dyDescent="0.35">
      <c r="I3994" s="42">
        <f t="shared" si="630"/>
        <v>0</v>
      </c>
      <c r="J3994" s="65" t="e">
        <f t="shared" si="631"/>
        <v>#NUM!</v>
      </c>
      <c r="K3994" s="83" t="e">
        <f t="shared" si="632"/>
        <v>#NUM!</v>
      </c>
      <c r="L3994" s="83">
        <f t="shared" si="633"/>
        <v>0</v>
      </c>
      <c r="M3994" s="110" t="str">
        <f t="shared" si="634"/>
        <v/>
      </c>
      <c r="N3994" s="51" t="str">
        <f t="shared" si="635"/>
        <v/>
      </c>
      <c r="O3994" s="52" t="str">
        <f t="shared" si="636"/>
        <v/>
      </c>
      <c r="P3994" s="88">
        <f t="shared" si="637"/>
        <v>0</v>
      </c>
      <c r="Q3994" s="88">
        <f t="shared" si="638"/>
        <v>0</v>
      </c>
      <c r="R3994" s="88" t="e">
        <f>-IF(Tabla14[[#This Row],[DIAS HABILES O MORA]]&lt;0,(Tabla14[[#This Row],[VALOR PRESTAMO]]*Tabla14[[#This Row],[% INTERES ]]/30*U3994))+Tabla14[[#This Row],[VALOR CUOTAS]]</f>
        <v>#VALUE!</v>
      </c>
      <c r="S3994" s="88">
        <f>-IF(Tabla14[[#This Row],[DIAS HABILES O MORA]]&lt;0,(Tabla14[[#This Row],[VALOR PRESTAMO]]*Tabla14[[#This Row],[% INTERES ]]/30*U3994))</f>
        <v>0</v>
      </c>
      <c r="T3994" s="53" t="e">
        <f>Tabla14[[#This Row],[DEUDA CAPITAL]]+Tabla14[[#This Row],[INTERES  CUOTA]]</f>
        <v>#NUM!</v>
      </c>
      <c r="U3994" s="61" t="str">
        <f t="shared" si="639"/>
        <v/>
      </c>
    </row>
    <row r="3995" spans="9:21" ht="24.75" customHeight="1" x14ac:dyDescent="0.35">
      <c r="I3995" s="42">
        <f t="shared" si="630"/>
        <v>0</v>
      </c>
      <c r="J3995" s="65" t="e">
        <f t="shared" si="631"/>
        <v>#NUM!</v>
      </c>
      <c r="K3995" s="83" t="e">
        <f t="shared" si="632"/>
        <v>#NUM!</v>
      </c>
      <c r="L3995" s="83">
        <f t="shared" si="633"/>
        <v>0</v>
      </c>
      <c r="M3995" s="110" t="str">
        <f t="shared" si="634"/>
        <v/>
      </c>
      <c r="N3995" s="51" t="str">
        <f t="shared" si="635"/>
        <v/>
      </c>
      <c r="O3995" s="52" t="str">
        <f t="shared" si="636"/>
        <v/>
      </c>
      <c r="P3995" s="88">
        <f t="shared" si="637"/>
        <v>0</v>
      </c>
      <c r="Q3995" s="88">
        <f t="shared" si="638"/>
        <v>0</v>
      </c>
      <c r="R3995" s="88" t="e">
        <f>-IF(Tabla14[[#This Row],[DIAS HABILES O MORA]]&lt;0,(Tabla14[[#This Row],[VALOR PRESTAMO]]*Tabla14[[#This Row],[% INTERES ]]/30*U3995))+Tabla14[[#This Row],[VALOR CUOTAS]]</f>
        <v>#VALUE!</v>
      </c>
      <c r="S3995" s="88">
        <f>-IF(Tabla14[[#This Row],[DIAS HABILES O MORA]]&lt;0,(Tabla14[[#This Row],[VALOR PRESTAMO]]*Tabla14[[#This Row],[% INTERES ]]/30*U3995))</f>
        <v>0</v>
      </c>
      <c r="T3995" s="53" t="e">
        <f>Tabla14[[#This Row],[DEUDA CAPITAL]]+Tabla14[[#This Row],[INTERES  CUOTA]]</f>
        <v>#NUM!</v>
      </c>
      <c r="U3995" s="61" t="str">
        <f t="shared" si="639"/>
        <v/>
      </c>
    </row>
    <row r="3996" spans="9:21" ht="24.75" customHeight="1" x14ac:dyDescent="0.35">
      <c r="I3996" s="42">
        <f t="shared" si="630"/>
        <v>0</v>
      </c>
      <c r="J3996" s="65" t="e">
        <f t="shared" si="631"/>
        <v>#NUM!</v>
      </c>
      <c r="K3996" s="83" t="e">
        <f t="shared" si="632"/>
        <v>#NUM!</v>
      </c>
      <c r="L3996" s="83">
        <f t="shared" si="633"/>
        <v>0</v>
      </c>
      <c r="M3996" s="110" t="str">
        <f t="shared" si="634"/>
        <v/>
      </c>
      <c r="N3996" s="51" t="str">
        <f t="shared" si="635"/>
        <v/>
      </c>
      <c r="O3996" s="52" t="str">
        <f t="shared" si="636"/>
        <v/>
      </c>
      <c r="P3996" s="88">
        <f t="shared" si="637"/>
        <v>0</v>
      </c>
      <c r="Q3996" s="88">
        <f t="shared" si="638"/>
        <v>0</v>
      </c>
      <c r="R3996" s="88" t="e">
        <f>-IF(Tabla14[[#This Row],[DIAS HABILES O MORA]]&lt;0,(Tabla14[[#This Row],[VALOR PRESTAMO]]*Tabla14[[#This Row],[% INTERES ]]/30*U3996))+Tabla14[[#This Row],[VALOR CUOTAS]]</f>
        <v>#VALUE!</v>
      </c>
      <c r="S3996" s="88">
        <f>-IF(Tabla14[[#This Row],[DIAS HABILES O MORA]]&lt;0,(Tabla14[[#This Row],[VALOR PRESTAMO]]*Tabla14[[#This Row],[% INTERES ]]/30*U3996))</f>
        <v>0</v>
      </c>
      <c r="T3996" s="53" t="e">
        <f>Tabla14[[#This Row],[DEUDA CAPITAL]]+Tabla14[[#This Row],[INTERES  CUOTA]]</f>
        <v>#NUM!</v>
      </c>
      <c r="U3996" s="61" t="str">
        <f t="shared" si="639"/>
        <v/>
      </c>
    </row>
    <row r="3997" spans="9:21" ht="24.75" customHeight="1" x14ac:dyDescent="0.35">
      <c r="I3997" s="42">
        <f t="shared" si="630"/>
        <v>0</v>
      </c>
      <c r="J3997" s="65" t="e">
        <f t="shared" si="631"/>
        <v>#NUM!</v>
      </c>
      <c r="K3997" s="83" t="e">
        <f t="shared" si="632"/>
        <v>#NUM!</v>
      </c>
      <c r="L3997" s="83">
        <f t="shared" si="633"/>
        <v>0</v>
      </c>
      <c r="M3997" s="110" t="str">
        <f t="shared" si="634"/>
        <v/>
      </c>
      <c r="N3997" s="51" t="str">
        <f t="shared" si="635"/>
        <v/>
      </c>
      <c r="O3997" s="52" t="str">
        <f t="shared" si="636"/>
        <v/>
      </c>
      <c r="P3997" s="88">
        <f t="shared" si="637"/>
        <v>0</v>
      </c>
      <c r="Q3997" s="88">
        <f t="shared" si="638"/>
        <v>0</v>
      </c>
      <c r="R3997" s="88" t="e">
        <f>-IF(Tabla14[[#This Row],[DIAS HABILES O MORA]]&lt;0,(Tabla14[[#This Row],[VALOR PRESTAMO]]*Tabla14[[#This Row],[% INTERES ]]/30*U3997))+Tabla14[[#This Row],[VALOR CUOTAS]]</f>
        <v>#VALUE!</v>
      </c>
      <c r="S3997" s="88">
        <f>-IF(Tabla14[[#This Row],[DIAS HABILES O MORA]]&lt;0,(Tabla14[[#This Row],[VALOR PRESTAMO]]*Tabla14[[#This Row],[% INTERES ]]/30*U3997))</f>
        <v>0</v>
      </c>
      <c r="T3997" s="53" t="e">
        <f>Tabla14[[#This Row],[DEUDA CAPITAL]]+Tabla14[[#This Row],[INTERES  CUOTA]]</f>
        <v>#NUM!</v>
      </c>
      <c r="U3997" s="61" t="str">
        <f t="shared" si="639"/>
        <v/>
      </c>
    </row>
    <row r="3998" spans="9:21" ht="24.75" customHeight="1" x14ac:dyDescent="0.35">
      <c r="I3998" s="42">
        <f t="shared" si="630"/>
        <v>0</v>
      </c>
      <c r="J3998" s="65" t="e">
        <f t="shared" si="631"/>
        <v>#NUM!</v>
      </c>
      <c r="K3998" s="83" t="e">
        <f t="shared" si="632"/>
        <v>#NUM!</v>
      </c>
      <c r="L3998" s="83">
        <f t="shared" si="633"/>
        <v>0</v>
      </c>
      <c r="M3998" s="110" t="str">
        <f t="shared" si="634"/>
        <v/>
      </c>
      <c r="N3998" s="51" t="str">
        <f t="shared" si="635"/>
        <v/>
      </c>
      <c r="O3998" s="52" t="str">
        <f t="shared" si="636"/>
        <v/>
      </c>
      <c r="P3998" s="88">
        <f t="shared" si="637"/>
        <v>0</v>
      </c>
      <c r="Q3998" s="88">
        <f t="shared" si="638"/>
        <v>0</v>
      </c>
      <c r="R3998" s="88" t="e">
        <f>-IF(Tabla14[[#This Row],[DIAS HABILES O MORA]]&lt;0,(Tabla14[[#This Row],[VALOR PRESTAMO]]*Tabla14[[#This Row],[% INTERES ]]/30*U3998))+Tabla14[[#This Row],[VALOR CUOTAS]]</f>
        <v>#VALUE!</v>
      </c>
      <c r="S3998" s="88">
        <f>-IF(Tabla14[[#This Row],[DIAS HABILES O MORA]]&lt;0,(Tabla14[[#This Row],[VALOR PRESTAMO]]*Tabla14[[#This Row],[% INTERES ]]/30*U3998))</f>
        <v>0</v>
      </c>
      <c r="T3998" s="53" t="e">
        <f>Tabla14[[#This Row],[DEUDA CAPITAL]]+Tabla14[[#This Row],[INTERES  CUOTA]]</f>
        <v>#NUM!</v>
      </c>
      <c r="U3998" s="61" t="str">
        <f t="shared" si="639"/>
        <v/>
      </c>
    </row>
    <row r="3999" spans="9:21" ht="24.75" customHeight="1" x14ac:dyDescent="0.35">
      <c r="I3999" s="42">
        <f t="shared" si="630"/>
        <v>0</v>
      </c>
      <c r="J3999" s="65" t="e">
        <f t="shared" si="631"/>
        <v>#NUM!</v>
      </c>
      <c r="K3999" s="83" t="e">
        <f t="shared" si="632"/>
        <v>#NUM!</v>
      </c>
      <c r="L3999" s="83">
        <f t="shared" si="633"/>
        <v>0</v>
      </c>
      <c r="M3999" s="110" t="str">
        <f t="shared" si="634"/>
        <v/>
      </c>
      <c r="N3999" s="51" t="str">
        <f t="shared" si="635"/>
        <v/>
      </c>
      <c r="O3999" s="52" t="str">
        <f t="shared" si="636"/>
        <v/>
      </c>
      <c r="P3999" s="88">
        <f t="shared" si="637"/>
        <v>0</v>
      </c>
      <c r="Q3999" s="88">
        <f t="shared" si="638"/>
        <v>0</v>
      </c>
      <c r="R3999" s="88" t="e">
        <f>-IF(Tabla14[[#This Row],[DIAS HABILES O MORA]]&lt;0,(Tabla14[[#This Row],[VALOR PRESTAMO]]*Tabla14[[#This Row],[% INTERES ]]/30*U3999))+Tabla14[[#This Row],[VALOR CUOTAS]]</f>
        <v>#VALUE!</v>
      </c>
      <c r="S3999" s="88">
        <f>-IF(Tabla14[[#This Row],[DIAS HABILES O MORA]]&lt;0,(Tabla14[[#This Row],[VALOR PRESTAMO]]*Tabla14[[#This Row],[% INTERES ]]/30*U3999))</f>
        <v>0</v>
      </c>
      <c r="T3999" s="53" t="e">
        <f>Tabla14[[#This Row],[DEUDA CAPITAL]]+Tabla14[[#This Row],[INTERES  CUOTA]]</f>
        <v>#NUM!</v>
      </c>
      <c r="U3999" s="61" t="str">
        <f t="shared" si="639"/>
        <v/>
      </c>
    </row>
    <row r="4000" spans="9:21" ht="24.75" customHeight="1" x14ac:dyDescent="0.35">
      <c r="I4000" s="42">
        <f t="shared" si="630"/>
        <v>0</v>
      </c>
      <c r="J4000" s="65" t="e">
        <f t="shared" si="631"/>
        <v>#NUM!</v>
      </c>
      <c r="K4000" s="83" t="e">
        <f t="shared" si="632"/>
        <v>#NUM!</v>
      </c>
      <c r="L4000" s="83">
        <f t="shared" si="633"/>
        <v>0</v>
      </c>
      <c r="M4000" s="110" t="str">
        <f t="shared" si="634"/>
        <v/>
      </c>
      <c r="N4000" s="51" t="str">
        <f t="shared" si="635"/>
        <v/>
      </c>
      <c r="O4000" s="52" t="str">
        <f t="shared" si="636"/>
        <v/>
      </c>
      <c r="P4000" s="88">
        <f t="shared" si="637"/>
        <v>0</v>
      </c>
      <c r="Q4000" s="88">
        <f t="shared" si="638"/>
        <v>0</v>
      </c>
      <c r="R4000" s="88" t="e">
        <f>-IF(Tabla14[[#This Row],[DIAS HABILES O MORA]]&lt;0,(Tabla14[[#This Row],[VALOR PRESTAMO]]*Tabla14[[#This Row],[% INTERES ]]/30*U4000))+Tabla14[[#This Row],[VALOR CUOTAS]]</f>
        <v>#VALUE!</v>
      </c>
      <c r="S4000" s="88">
        <f>-IF(Tabla14[[#This Row],[DIAS HABILES O MORA]]&lt;0,(Tabla14[[#This Row],[VALOR PRESTAMO]]*Tabla14[[#This Row],[% INTERES ]]/30*U4000))</f>
        <v>0</v>
      </c>
      <c r="T4000" s="53" t="e">
        <f>Tabla14[[#This Row],[DEUDA CAPITAL]]+Tabla14[[#This Row],[INTERES  CUOTA]]</f>
        <v>#NUM!</v>
      </c>
      <c r="U4000" s="61" t="str">
        <f t="shared" si="639"/>
        <v/>
      </c>
    </row>
    <row r="4001" spans="9:21" ht="24.75" customHeight="1" x14ac:dyDescent="0.35">
      <c r="I4001" s="42">
        <f t="shared" si="630"/>
        <v>0</v>
      </c>
      <c r="J4001" s="65" t="e">
        <f t="shared" si="631"/>
        <v>#NUM!</v>
      </c>
      <c r="K4001" s="83" t="e">
        <f t="shared" si="632"/>
        <v>#NUM!</v>
      </c>
      <c r="L4001" s="83">
        <f t="shared" si="633"/>
        <v>0</v>
      </c>
      <c r="M4001" s="110" t="str">
        <f t="shared" si="634"/>
        <v/>
      </c>
      <c r="N4001" s="51" t="str">
        <f t="shared" si="635"/>
        <v/>
      </c>
      <c r="O4001" s="52" t="str">
        <f t="shared" si="636"/>
        <v/>
      </c>
      <c r="P4001" s="88">
        <f t="shared" si="637"/>
        <v>0</v>
      </c>
      <c r="Q4001" s="88">
        <f t="shared" si="638"/>
        <v>0</v>
      </c>
      <c r="R4001" s="88" t="e">
        <f>-IF(Tabla14[[#This Row],[DIAS HABILES O MORA]]&lt;0,(Tabla14[[#This Row],[VALOR PRESTAMO]]*Tabla14[[#This Row],[% INTERES ]]/30*U4001))+Tabla14[[#This Row],[VALOR CUOTAS]]</f>
        <v>#VALUE!</v>
      </c>
      <c r="S4001" s="88">
        <f>-IF(Tabla14[[#This Row],[DIAS HABILES O MORA]]&lt;0,(Tabla14[[#This Row],[VALOR PRESTAMO]]*Tabla14[[#This Row],[% INTERES ]]/30*U4001))</f>
        <v>0</v>
      </c>
      <c r="T4001" s="53" t="e">
        <f>Tabla14[[#This Row],[DEUDA CAPITAL]]+Tabla14[[#This Row],[INTERES  CUOTA]]</f>
        <v>#NUM!</v>
      </c>
      <c r="U4001" s="61" t="str">
        <f t="shared" si="639"/>
        <v/>
      </c>
    </row>
    <row r="4002" spans="9:21" ht="24.75" customHeight="1" x14ac:dyDescent="0.35">
      <c r="I4002" s="42">
        <f t="shared" si="630"/>
        <v>0</v>
      </c>
      <c r="J4002" s="65" t="e">
        <f t="shared" si="631"/>
        <v>#NUM!</v>
      </c>
      <c r="K4002" s="83" t="e">
        <f t="shared" si="632"/>
        <v>#NUM!</v>
      </c>
      <c r="L4002" s="83">
        <f t="shared" si="633"/>
        <v>0</v>
      </c>
      <c r="M4002" s="110" t="str">
        <f t="shared" si="634"/>
        <v/>
      </c>
      <c r="N4002" s="51" t="str">
        <f t="shared" si="635"/>
        <v/>
      </c>
      <c r="O4002" s="52" t="str">
        <f t="shared" si="636"/>
        <v/>
      </c>
      <c r="P4002" s="88">
        <f t="shared" si="637"/>
        <v>0</v>
      </c>
      <c r="Q4002" s="88">
        <f t="shared" si="638"/>
        <v>0</v>
      </c>
      <c r="R4002" s="88" t="e">
        <f>-IF(Tabla14[[#This Row],[DIAS HABILES O MORA]]&lt;0,(Tabla14[[#This Row],[VALOR PRESTAMO]]*Tabla14[[#This Row],[% INTERES ]]/30*U4002))+Tabla14[[#This Row],[VALOR CUOTAS]]</f>
        <v>#VALUE!</v>
      </c>
      <c r="S4002" s="88">
        <f>-IF(Tabla14[[#This Row],[DIAS HABILES O MORA]]&lt;0,(Tabla14[[#This Row],[VALOR PRESTAMO]]*Tabla14[[#This Row],[% INTERES ]]/30*U4002))</f>
        <v>0</v>
      </c>
      <c r="T4002" s="53" t="e">
        <f>Tabla14[[#This Row],[DEUDA CAPITAL]]+Tabla14[[#This Row],[INTERES  CUOTA]]</f>
        <v>#NUM!</v>
      </c>
      <c r="U4002" s="61" t="str">
        <f t="shared" si="639"/>
        <v/>
      </c>
    </row>
    <row r="4003" spans="9:21" ht="24.75" customHeight="1" x14ac:dyDescent="0.35">
      <c r="I4003" s="42">
        <f t="shared" si="630"/>
        <v>0</v>
      </c>
      <c r="J4003" s="65" t="e">
        <f t="shared" si="631"/>
        <v>#NUM!</v>
      </c>
      <c r="K4003" s="83" t="e">
        <f t="shared" si="632"/>
        <v>#NUM!</v>
      </c>
      <c r="L4003" s="83">
        <f t="shared" si="633"/>
        <v>0</v>
      </c>
      <c r="M4003" s="110" t="str">
        <f t="shared" si="634"/>
        <v/>
      </c>
      <c r="N4003" s="51" t="str">
        <f t="shared" si="635"/>
        <v/>
      </c>
      <c r="O4003" s="52" t="str">
        <f t="shared" si="636"/>
        <v/>
      </c>
      <c r="P4003" s="88">
        <f t="shared" si="637"/>
        <v>0</v>
      </c>
      <c r="Q4003" s="88">
        <f t="shared" si="638"/>
        <v>0</v>
      </c>
      <c r="R4003" s="88" t="e">
        <f>-IF(Tabla14[[#This Row],[DIAS HABILES O MORA]]&lt;0,(Tabla14[[#This Row],[VALOR PRESTAMO]]*Tabla14[[#This Row],[% INTERES ]]/30*U4003))+Tabla14[[#This Row],[VALOR CUOTAS]]</f>
        <v>#VALUE!</v>
      </c>
      <c r="S4003" s="88">
        <f>-IF(Tabla14[[#This Row],[DIAS HABILES O MORA]]&lt;0,(Tabla14[[#This Row],[VALOR PRESTAMO]]*Tabla14[[#This Row],[% INTERES ]]/30*U4003))</f>
        <v>0</v>
      </c>
      <c r="T4003" s="53" t="e">
        <f>Tabla14[[#This Row],[DEUDA CAPITAL]]+Tabla14[[#This Row],[INTERES  CUOTA]]</f>
        <v>#NUM!</v>
      </c>
      <c r="U4003" s="61" t="str">
        <f t="shared" si="639"/>
        <v/>
      </c>
    </row>
    <row r="4004" spans="9:21" ht="24.75" customHeight="1" x14ac:dyDescent="0.35">
      <c r="I4004" s="42">
        <f t="shared" si="630"/>
        <v>0</v>
      </c>
      <c r="J4004" s="65" t="e">
        <f t="shared" si="631"/>
        <v>#NUM!</v>
      </c>
      <c r="K4004" s="83" t="e">
        <f t="shared" si="632"/>
        <v>#NUM!</v>
      </c>
      <c r="L4004" s="83">
        <f t="shared" si="633"/>
        <v>0</v>
      </c>
      <c r="M4004" s="110" t="str">
        <f t="shared" si="634"/>
        <v/>
      </c>
      <c r="N4004" s="51" t="str">
        <f t="shared" si="635"/>
        <v/>
      </c>
      <c r="O4004" s="52" t="str">
        <f t="shared" si="636"/>
        <v/>
      </c>
      <c r="P4004" s="88">
        <f t="shared" si="637"/>
        <v>0</v>
      </c>
      <c r="Q4004" s="88">
        <f t="shared" si="638"/>
        <v>0</v>
      </c>
      <c r="R4004" s="88" t="e">
        <f>-IF(Tabla14[[#This Row],[DIAS HABILES O MORA]]&lt;0,(Tabla14[[#This Row],[VALOR PRESTAMO]]*Tabla14[[#This Row],[% INTERES ]]/30*U4004))+Tabla14[[#This Row],[VALOR CUOTAS]]</f>
        <v>#VALUE!</v>
      </c>
      <c r="S4004" s="88">
        <f>-IF(Tabla14[[#This Row],[DIAS HABILES O MORA]]&lt;0,(Tabla14[[#This Row],[VALOR PRESTAMO]]*Tabla14[[#This Row],[% INTERES ]]/30*U4004))</f>
        <v>0</v>
      </c>
      <c r="T4004" s="53" t="e">
        <f>Tabla14[[#This Row],[DEUDA CAPITAL]]+Tabla14[[#This Row],[INTERES  CUOTA]]</f>
        <v>#NUM!</v>
      </c>
      <c r="U4004" s="61" t="str">
        <f t="shared" si="639"/>
        <v/>
      </c>
    </row>
    <row r="4005" spans="9:21" ht="24.75" customHeight="1" x14ac:dyDescent="0.35">
      <c r="I4005" s="42">
        <f t="shared" si="630"/>
        <v>0</v>
      </c>
      <c r="J4005" s="65" t="e">
        <f t="shared" si="631"/>
        <v>#NUM!</v>
      </c>
      <c r="K4005" s="83" t="e">
        <f t="shared" si="632"/>
        <v>#NUM!</v>
      </c>
      <c r="L4005" s="83">
        <f t="shared" si="633"/>
        <v>0</v>
      </c>
      <c r="M4005" s="110" t="str">
        <f t="shared" si="634"/>
        <v/>
      </c>
      <c r="N4005" s="51" t="str">
        <f t="shared" si="635"/>
        <v/>
      </c>
      <c r="O4005" s="52" t="str">
        <f t="shared" si="636"/>
        <v/>
      </c>
      <c r="P4005" s="88">
        <f t="shared" si="637"/>
        <v>0</v>
      </c>
      <c r="Q4005" s="88">
        <f t="shared" si="638"/>
        <v>0</v>
      </c>
      <c r="R4005" s="88" t="e">
        <f>-IF(Tabla14[[#This Row],[DIAS HABILES O MORA]]&lt;0,(Tabla14[[#This Row],[VALOR PRESTAMO]]*Tabla14[[#This Row],[% INTERES ]]/30*U4005))+Tabla14[[#This Row],[VALOR CUOTAS]]</f>
        <v>#VALUE!</v>
      </c>
      <c r="S4005" s="88">
        <f>-IF(Tabla14[[#This Row],[DIAS HABILES O MORA]]&lt;0,(Tabla14[[#This Row],[VALOR PRESTAMO]]*Tabla14[[#This Row],[% INTERES ]]/30*U4005))</f>
        <v>0</v>
      </c>
      <c r="T4005" s="53" t="e">
        <f>Tabla14[[#This Row],[DEUDA CAPITAL]]+Tabla14[[#This Row],[INTERES  CUOTA]]</f>
        <v>#NUM!</v>
      </c>
      <c r="U4005" s="61" t="str">
        <f t="shared" si="639"/>
        <v/>
      </c>
    </row>
    <row r="4006" spans="9:21" ht="24.75" customHeight="1" x14ac:dyDescent="0.35">
      <c r="I4006" s="42">
        <f t="shared" si="630"/>
        <v>0</v>
      </c>
      <c r="J4006" s="65" t="e">
        <f t="shared" si="631"/>
        <v>#NUM!</v>
      </c>
      <c r="K4006" s="83" t="e">
        <f t="shared" si="632"/>
        <v>#NUM!</v>
      </c>
      <c r="L4006" s="83">
        <f t="shared" si="633"/>
        <v>0</v>
      </c>
      <c r="M4006" s="110" t="str">
        <f t="shared" si="634"/>
        <v/>
      </c>
      <c r="N4006" s="51" t="str">
        <f t="shared" si="635"/>
        <v/>
      </c>
      <c r="O4006" s="52" t="str">
        <f t="shared" si="636"/>
        <v/>
      </c>
      <c r="P4006" s="88">
        <f t="shared" si="637"/>
        <v>0</v>
      </c>
      <c r="Q4006" s="88">
        <f t="shared" si="638"/>
        <v>0</v>
      </c>
      <c r="R4006" s="88" t="e">
        <f>-IF(Tabla14[[#This Row],[DIAS HABILES O MORA]]&lt;0,(Tabla14[[#This Row],[VALOR PRESTAMO]]*Tabla14[[#This Row],[% INTERES ]]/30*U4006))+Tabla14[[#This Row],[VALOR CUOTAS]]</f>
        <v>#VALUE!</v>
      </c>
      <c r="S4006" s="88">
        <f>-IF(Tabla14[[#This Row],[DIAS HABILES O MORA]]&lt;0,(Tabla14[[#This Row],[VALOR PRESTAMO]]*Tabla14[[#This Row],[% INTERES ]]/30*U4006))</f>
        <v>0</v>
      </c>
      <c r="T4006" s="53" t="e">
        <f>Tabla14[[#This Row],[DEUDA CAPITAL]]+Tabla14[[#This Row],[INTERES  CUOTA]]</f>
        <v>#NUM!</v>
      </c>
      <c r="U4006" s="61" t="str">
        <f t="shared" si="639"/>
        <v/>
      </c>
    </row>
    <row r="4007" spans="9:21" ht="24.75" customHeight="1" x14ac:dyDescent="0.35">
      <c r="I4007" s="42">
        <f t="shared" si="630"/>
        <v>0</v>
      </c>
      <c r="J4007" s="65" t="e">
        <f t="shared" si="631"/>
        <v>#NUM!</v>
      </c>
      <c r="K4007" s="83" t="e">
        <f t="shared" si="632"/>
        <v>#NUM!</v>
      </c>
      <c r="L4007" s="83">
        <f t="shared" si="633"/>
        <v>0</v>
      </c>
      <c r="M4007" s="110" t="str">
        <f t="shared" si="634"/>
        <v/>
      </c>
      <c r="N4007" s="51" t="str">
        <f t="shared" si="635"/>
        <v/>
      </c>
      <c r="O4007" s="52" t="str">
        <f t="shared" si="636"/>
        <v/>
      </c>
      <c r="P4007" s="88">
        <f t="shared" si="637"/>
        <v>0</v>
      </c>
      <c r="Q4007" s="88">
        <f t="shared" si="638"/>
        <v>0</v>
      </c>
      <c r="R4007" s="88" t="e">
        <f>-IF(Tabla14[[#This Row],[DIAS HABILES O MORA]]&lt;0,(Tabla14[[#This Row],[VALOR PRESTAMO]]*Tabla14[[#This Row],[% INTERES ]]/30*U4007))+Tabla14[[#This Row],[VALOR CUOTAS]]</f>
        <v>#VALUE!</v>
      </c>
      <c r="S4007" s="88">
        <f>-IF(Tabla14[[#This Row],[DIAS HABILES O MORA]]&lt;0,(Tabla14[[#This Row],[VALOR PRESTAMO]]*Tabla14[[#This Row],[% INTERES ]]/30*U4007))</f>
        <v>0</v>
      </c>
      <c r="T4007" s="53" t="e">
        <f>Tabla14[[#This Row],[DEUDA CAPITAL]]+Tabla14[[#This Row],[INTERES  CUOTA]]</f>
        <v>#NUM!</v>
      </c>
      <c r="U4007" s="61" t="str">
        <f t="shared" si="639"/>
        <v/>
      </c>
    </row>
    <row r="4008" spans="9:21" ht="24.75" customHeight="1" x14ac:dyDescent="0.35">
      <c r="I4008" s="42">
        <f t="shared" si="630"/>
        <v>0</v>
      </c>
      <c r="J4008" s="65" t="e">
        <f t="shared" si="631"/>
        <v>#NUM!</v>
      </c>
      <c r="K4008" s="83" t="e">
        <f t="shared" si="632"/>
        <v>#NUM!</v>
      </c>
      <c r="L4008" s="83">
        <f t="shared" si="633"/>
        <v>0</v>
      </c>
      <c r="M4008" s="110" t="str">
        <f t="shared" si="634"/>
        <v/>
      </c>
      <c r="N4008" s="51" t="str">
        <f t="shared" si="635"/>
        <v/>
      </c>
      <c r="O4008" s="52" t="str">
        <f t="shared" si="636"/>
        <v/>
      </c>
      <c r="P4008" s="88">
        <f t="shared" si="637"/>
        <v>0</v>
      </c>
      <c r="Q4008" s="88">
        <f t="shared" si="638"/>
        <v>0</v>
      </c>
      <c r="R4008" s="88" t="e">
        <f>-IF(Tabla14[[#This Row],[DIAS HABILES O MORA]]&lt;0,(Tabla14[[#This Row],[VALOR PRESTAMO]]*Tabla14[[#This Row],[% INTERES ]]/30*U4008))+Tabla14[[#This Row],[VALOR CUOTAS]]</f>
        <v>#VALUE!</v>
      </c>
      <c r="S4008" s="88">
        <f>-IF(Tabla14[[#This Row],[DIAS HABILES O MORA]]&lt;0,(Tabla14[[#This Row],[VALOR PRESTAMO]]*Tabla14[[#This Row],[% INTERES ]]/30*U4008))</f>
        <v>0</v>
      </c>
      <c r="T4008" s="53" t="e">
        <f>Tabla14[[#This Row],[DEUDA CAPITAL]]+Tabla14[[#This Row],[INTERES  CUOTA]]</f>
        <v>#NUM!</v>
      </c>
      <c r="U4008" s="61" t="str">
        <f t="shared" si="639"/>
        <v/>
      </c>
    </row>
    <row r="4009" spans="9:21" ht="24.75" customHeight="1" x14ac:dyDescent="0.35">
      <c r="I4009" s="42">
        <f t="shared" si="630"/>
        <v>0</v>
      </c>
      <c r="J4009" s="65" t="e">
        <f t="shared" si="631"/>
        <v>#NUM!</v>
      </c>
      <c r="K4009" s="83" t="e">
        <f t="shared" si="632"/>
        <v>#NUM!</v>
      </c>
      <c r="L4009" s="83">
        <f t="shared" si="633"/>
        <v>0</v>
      </c>
      <c r="M4009" s="110" t="str">
        <f t="shared" si="634"/>
        <v/>
      </c>
      <c r="N4009" s="51" t="str">
        <f t="shared" si="635"/>
        <v/>
      </c>
      <c r="O4009" s="52" t="str">
        <f t="shared" si="636"/>
        <v/>
      </c>
      <c r="P4009" s="88">
        <f t="shared" si="637"/>
        <v>0</v>
      </c>
      <c r="Q4009" s="88">
        <f t="shared" si="638"/>
        <v>0</v>
      </c>
      <c r="R4009" s="88" t="e">
        <f>-IF(Tabla14[[#This Row],[DIAS HABILES O MORA]]&lt;0,(Tabla14[[#This Row],[VALOR PRESTAMO]]*Tabla14[[#This Row],[% INTERES ]]/30*U4009))+Tabla14[[#This Row],[VALOR CUOTAS]]</f>
        <v>#VALUE!</v>
      </c>
      <c r="S4009" s="88">
        <f>-IF(Tabla14[[#This Row],[DIAS HABILES O MORA]]&lt;0,(Tabla14[[#This Row],[VALOR PRESTAMO]]*Tabla14[[#This Row],[% INTERES ]]/30*U4009))</f>
        <v>0</v>
      </c>
      <c r="T4009" s="53" t="e">
        <f>Tabla14[[#This Row],[DEUDA CAPITAL]]+Tabla14[[#This Row],[INTERES  CUOTA]]</f>
        <v>#NUM!</v>
      </c>
      <c r="U4009" s="61" t="str">
        <f t="shared" si="639"/>
        <v/>
      </c>
    </row>
    <row r="4010" spans="9:21" ht="24.75" customHeight="1" x14ac:dyDescent="0.35">
      <c r="I4010" s="42">
        <f t="shared" si="630"/>
        <v>0</v>
      </c>
      <c r="J4010" s="65" t="e">
        <f t="shared" si="631"/>
        <v>#NUM!</v>
      </c>
      <c r="K4010" s="83" t="e">
        <f t="shared" si="632"/>
        <v>#NUM!</v>
      </c>
      <c r="L4010" s="83">
        <f t="shared" si="633"/>
        <v>0</v>
      </c>
      <c r="M4010" s="110" t="str">
        <f t="shared" si="634"/>
        <v/>
      </c>
      <c r="N4010" s="51" t="str">
        <f t="shared" si="635"/>
        <v/>
      </c>
      <c r="O4010" s="52" t="str">
        <f t="shared" si="636"/>
        <v/>
      </c>
      <c r="P4010" s="88">
        <f t="shared" si="637"/>
        <v>0</v>
      </c>
      <c r="Q4010" s="88">
        <f t="shared" si="638"/>
        <v>0</v>
      </c>
      <c r="R4010" s="88" t="e">
        <f>-IF(Tabla14[[#This Row],[DIAS HABILES O MORA]]&lt;0,(Tabla14[[#This Row],[VALOR PRESTAMO]]*Tabla14[[#This Row],[% INTERES ]]/30*U4010))+Tabla14[[#This Row],[VALOR CUOTAS]]</f>
        <v>#VALUE!</v>
      </c>
      <c r="S4010" s="88">
        <f>-IF(Tabla14[[#This Row],[DIAS HABILES O MORA]]&lt;0,(Tabla14[[#This Row],[VALOR PRESTAMO]]*Tabla14[[#This Row],[% INTERES ]]/30*U4010))</f>
        <v>0</v>
      </c>
      <c r="T4010" s="53" t="e">
        <f>Tabla14[[#This Row],[DEUDA CAPITAL]]+Tabla14[[#This Row],[INTERES  CUOTA]]</f>
        <v>#NUM!</v>
      </c>
      <c r="U4010" s="61" t="str">
        <f t="shared" si="639"/>
        <v/>
      </c>
    </row>
    <row r="4011" spans="9:21" ht="24.75" customHeight="1" x14ac:dyDescent="0.35">
      <c r="I4011" s="42">
        <f t="shared" si="630"/>
        <v>0</v>
      </c>
      <c r="J4011" s="65" t="e">
        <f t="shared" si="631"/>
        <v>#NUM!</v>
      </c>
      <c r="K4011" s="83" t="e">
        <f t="shared" si="632"/>
        <v>#NUM!</v>
      </c>
      <c r="L4011" s="83">
        <f t="shared" si="633"/>
        <v>0</v>
      </c>
      <c r="M4011" s="110" t="str">
        <f t="shared" si="634"/>
        <v/>
      </c>
      <c r="N4011" s="51" t="str">
        <f t="shared" si="635"/>
        <v/>
      </c>
      <c r="O4011" s="52" t="str">
        <f t="shared" si="636"/>
        <v/>
      </c>
      <c r="P4011" s="88">
        <f t="shared" si="637"/>
        <v>0</v>
      </c>
      <c r="Q4011" s="88">
        <f t="shared" si="638"/>
        <v>0</v>
      </c>
      <c r="R4011" s="88" t="e">
        <f>-IF(Tabla14[[#This Row],[DIAS HABILES O MORA]]&lt;0,(Tabla14[[#This Row],[VALOR PRESTAMO]]*Tabla14[[#This Row],[% INTERES ]]/30*U4011))+Tabla14[[#This Row],[VALOR CUOTAS]]</f>
        <v>#VALUE!</v>
      </c>
      <c r="S4011" s="88">
        <f>-IF(Tabla14[[#This Row],[DIAS HABILES O MORA]]&lt;0,(Tabla14[[#This Row],[VALOR PRESTAMO]]*Tabla14[[#This Row],[% INTERES ]]/30*U4011))</f>
        <v>0</v>
      </c>
      <c r="T4011" s="53" t="e">
        <f>Tabla14[[#This Row],[DEUDA CAPITAL]]+Tabla14[[#This Row],[INTERES  CUOTA]]</f>
        <v>#NUM!</v>
      </c>
      <c r="U4011" s="61" t="str">
        <f t="shared" si="639"/>
        <v/>
      </c>
    </row>
    <row r="4012" spans="9:21" ht="24.75" customHeight="1" x14ac:dyDescent="0.35">
      <c r="I4012" s="42">
        <f t="shared" si="630"/>
        <v>0</v>
      </c>
      <c r="J4012" s="65" t="e">
        <f t="shared" si="631"/>
        <v>#NUM!</v>
      </c>
      <c r="K4012" s="83" t="e">
        <f t="shared" si="632"/>
        <v>#NUM!</v>
      </c>
      <c r="L4012" s="83">
        <f t="shared" si="633"/>
        <v>0</v>
      </c>
      <c r="M4012" s="110" t="str">
        <f t="shared" si="634"/>
        <v/>
      </c>
      <c r="N4012" s="51" t="str">
        <f t="shared" si="635"/>
        <v/>
      </c>
      <c r="O4012" s="52" t="str">
        <f t="shared" si="636"/>
        <v/>
      </c>
      <c r="P4012" s="88">
        <f t="shared" si="637"/>
        <v>0</v>
      </c>
      <c r="Q4012" s="88">
        <f t="shared" si="638"/>
        <v>0</v>
      </c>
      <c r="R4012" s="88" t="e">
        <f>-IF(Tabla14[[#This Row],[DIAS HABILES O MORA]]&lt;0,(Tabla14[[#This Row],[VALOR PRESTAMO]]*Tabla14[[#This Row],[% INTERES ]]/30*U4012))+Tabla14[[#This Row],[VALOR CUOTAS]]</f>
        <v>#VALUE!</v>
      </c>
      <c r="S4012" s="88">
        <f>-IF(Tabla14[[#This Row],[DIAS HABILES O MORA]]&lt;0,(Tabla14[[#This Row],[VALOR PRESTAMO]]*Tabla14[[#This Row],[% INTERES ]]/30*U4012))</f>
        <v>0</v>
      </c>
      <c r="T4012" s="53" t="e">
        <f>Tabla14[[#This Row],[DEUDA CAPITAL]]+Tabla14[[#This Row],[INTERES  CUOTA]]</f>
        <v>#NUM!</v>
      </c>
      <c r="U4012" s="61" t="str">
        <f t="shared" si="639"/>
        <v/>
      </c>
    </row>
    <row r="4013" spans="9:21" ht="24.75" customHeight="1" x14ac:dyDescent="0.35">
      <c r="I4013" s="42">
        <f t="shared" si="630"/>
        <v>0</v>
      </c>
      <c r="J4013" s="65" t="e">
        <f t="shared" si="631"/>
        <v>#NUM!</v>
      </c>
      <c r="K4013" s="83" t="e">
        <f t="shared" si="632"/>
        <v>#NUM!</v>
      </c>
      <c r="L4013" s="83">
        <f t="shared" si="633"/>
        <v>0</v>
      </c>
      <c r="M4013" s="110" t="str">
        <f t="shared" si="634"/>
        <v/>
      </c>
      <c r="N4013" s="51" t="str">
        <f t="shared" si="635"/>
        <v/>
      </c>
      <c r="O4013" s="52" t="str">
        <f t="shared" si="636"/>
        <v/>
      </c>
      <c r="P4013" s="88">
        <f t="shared" si="637"/>
        <v>0</v>
      </c>
      <c r="Q4013" s="88">
        <f t="shared" si="638"/>
        <v>0</v>
      </c>
      <c r="R4013" s="88" t="e">
        <f>-IF(Tabla14[[#This Row],[DIAS HABILES O MORA]]&lt;0,(Tabla14[[#This Row],[VALOR PRESTAMO]]*Tabla14[[#This Row],[% INTERES ]]/30*U4013))+Tabla14[[#This Row],[VALOR CUOTAS]]</f>
        <v>#VALUE!</v>
      </c>
      <c r="S4013" s="88">
        <f>-IF(Tabla14[[#This Row],[DIAS HABILES O MORA]]&lt;0,(Tabla14[[#This Row],[VALOR PRESTAMO]]*Tabla14[[#This Row],[% INTERES ]]/30*U4013))</f>
        <v>0</v>
      </c>
      <c r="T4013" s="53" t="e">
        <f>Tabla14[[#This Row],[DEUDA CAPITAL]]+Tabla14[[#This Row],[INTERES  CUOTA]]</f>
        <v>#NUM!</v>
      </c>
      <c r="U4013" s="61" t="str">
        <f t="shared" si="639"/>
        <v/>
      </c>
    </row>
    <row r="4014" spans="9:21" ht="24.75" customHeight="1" x14ac:dyDescent="0.35">
      <c r="I4014" s="42">
        <f t="shared" si="630"/>
        <v>0</v>
      </c>
      <c r="J4014" s="65" t="e">
        <f t="shared" si="631"/>
        <v>#NUM!</v>
      </c>
      <c r="K4014" s="83" t="e">
        <f t="shared" si="632"/>
        <v>#NUM!</v>
      </c>
      <c r="L4014" s="83">
        <f t="shared" si="633"/>
        <v>0</v>
      </c>
      <c r="M4014" s="110" t="str">
        <f t="shared" si="634"/>
        <v/>
      </c>
      <c r="N4014" s="51" t="str">
        <f t="shared" si="635"/>
        <v/>
      </c>
      <c r="O4014" s="52" t="str">
        <f t="shared" si="636"/>
        <v/>
      </c>
      <c r="P4014" s="88">
        <f t="shared" si="637"/>
        <v>0</v>
      </c>
      <c r="Q4014" s="88">
        <f t="shared" si="638"/>
        <v>0</v>
      </c>
      <c r="R4014" s="88" t="e">
        <f>-IF(Tabla14[[#This Row],[DIAS HABILES O MORA]]&lt;0,(Tabla14[[#This Row],[VALOR PRESTAMO]]*Tabla14[[#This Row],[% INTERES ]]/30*U4014))+Tabla14[[#This Row],[VALOR CUOTAS]]</f>
        <v>#VALUE!</v>
      </c>
      <c r="S4014" s="88">
        <f>-IF(Tabla14[[#This Row],[DIAS HABILES O MORA]]&lt;0,(Tabla14[[#This Row],[VALOR PRESTAMO]]*Tabla14[[#This Row],[% INTERES ]]/30*U4014))</f>
        <v>0</v>
      </c>
      <c r="T4014" s="53" t="e">
        <f>Tabla14[[#This Row],[DEUDA CAPITAL]]+Tabla14[[#This Row],[INTERES  CUOTA]]</f>
        <v>#NUM!</v>
      </c>
      <c r="U4014" s="61" t="str">
        <f t="shared" si="639"/>
        <v/>
      </c>
    </row>
    <row r="4015" spans="9:21" ht="24.75" customHeight="1" x14ac:dyDescent="0.35">
      <c r="I4015" s="42">
        <f t="shared" si="630"/>
        <v>0</v>
      </c>
      <c r="J4015" s="65" t="e">
        <f t="shared" si="631"/>
        <v>#NUM!</v>
      </c>
      <c r="K4015" s="83" t="e">
        <f t="shared" si="632"/>
        <v>#NUM!</v>
      </c>
      <c r="L4015" s="83">
        <f t="shared" si="633"/>
        <v>0</v>
      </c>
      <c r="M4015" s="110" t="str">
        <f t="shared" si="634"/>
        <v/>
      </c>
      <c r="N4015" s="51" t="str">
        <f t="shared" si="635"/>
        <v/>
      </c>
      <c r="O4015" s="52" t="str">
        <f t="shared" si="636"/>
        <v/>
      </c>
      <c r="P4015" s="88">
        <f t="shared" si="637"/>
        <v>0</v>
      </c>
      <c r="Q4015" s="88">
        <f t="shared" si="638"/>
        <v>0</v>
      </c>
      <c r="R4015" s="88" t="e">
        <f>-IF(Tabla14[[#This Row],[DIAS HABILES O MORA]]&lt;0,(Tabla14[[#This Row],[VALOR PRESTAMO]]*Tabla14[[#This Row],[% INTERES ]]/30*U4015))+Tabla14[[#This Row],[VALOR CUOTAS]]</f>
        <v>#VALUE!</v>
      </c>
      <c r="S4015" s="88">
        <f>-IF(Tabla14[[#This Row],[DIAS HABILES O MORA]]&lt;0,(Tabla14[[#This Row],[VALOR PRESTAMO]]*Tabla14[[#This Row],[% INTERES ]]/30*U4015))</f>
        <v>0</v>
      </c>
      <c r="T4015" s="53" t="e">
        <f>Tabla14[[#This Row],[DEUDA CAPITAL]]+Tabla14[[#This Row],[INTERES  CUOTA]]</f>
        <v>#NUM!</v>
      </c>
      <c r="U4015" s="61" t="str">
        <f t="shared" si="639"/>
        <v/>
      </c>
    </row>
    <row r="4016" spans="9:21" ht="24.75" customHeight="1" x14ac:dyDescent="0.35">
      <c r="I4016" s="42">
        <f t="shared" si="630"/>
        <v>0</v>
      </c>
      <c r="J4016" s="65" t="e">
        <f t="shared" si="631"/>
        <v>#NUM!</v>
      </c>
      <c r="K4016" s="83" t="e">
        <f t="shared" si="632"/>
        <v>#NUM!</v>
      </c>
      <c r="L4016" s="83">
        <f t="shared" si="633"/>
        <v>0</v>
      </c>
      <c r="M4016" s="110" t="str">
        <f t="shared" si="634"/>
        <v/>
      </c>
      <c r="N4016" s="51" t="str">
        <f t="shared" si="635"/>
        <v/>
      </c>
      <c r="O4016" s="52" t="str">
        <f t="shared" si="636"/>
        <v/>
      </c>
      <c r="P4016" s="88">
        <f t="shared" si="637"/>
        <v>0</v>
      </c>
      <c r="Q4016" s="88">
        <f t="shared" si="638"/>
        <v>0</v>
      </c>
      <c r="R4016" s="88" t="e">
        <f>-IF(Tabla14[[#This Row],[DIAS HABILES O MORA]]&lt;0,(Tabla14[[#This Row],[VALOR PRESTAMO]]*Tabla14[[#This Row],[% INTERES ]]/30*U4016))+Tabla14[[#This Row],[VALOR CUOTAS]]</f>
        <v>#VALUE!</v>
      </c>
      <c r="S4016" s="88">
        <f>-IF(Tabla14[[#This Row],[DIAS HABILES O MORA]]&lt;0,(Tabla14[[#This Row],[VALOR PRESTAMO]]*Tabla14[[#This Row],[% INTERES ]]/30*U4016))</f>
        <v>0</v>
      </c>
      <c r="T4016" s="53" t="e">
        <f>Tabla14[[#This Row],[DEUDA CAPITAL]]+Tabla14[[#This Row],[INTERES  CUOTA]]</f>
        <v>#NUM!</v>
      </c>
      <c r="U4016" s="61" t="str">
        <f t="shared" si="639"/>
        <v/>
      </c>
    </row>
    <row r="4017" spans="9:21" ht="24.75" customHeight="1" x14ac:dyDescent="0.35">
      <c r="I4017" s="42">
        <f t="shared" si="630"/>
        <v>0</v>
      </c>
      <c r="J4017" s="65" t="e">
        <f t="shared" si="631"/>
        <v>#NUM!</v>
      </c>
      <c r="K4017" s="83" t="e">
        <f t="shared" si="632"/>
        <v>#NUM!</v>
      </c>
      <c r="L4017" s="83">
        <f t="shared" si="633"/>
        <v>0</v>
      </c>
      <c r="M4017" s="110" t="str">
        <f t="shared" si="634"/>
        <v/>
      </c>
      <c r="N4017" s="51" t="str">
        <f t="shared" si="635"/>
        <v/>
      </c>
      <c r="O4017" s="52" t="str">
        <f t="shared" si="636"/>
        <v/>
      </c>
      <c r="P4017" s="88">
        <f t="shared" si="637"/>
        <v>0</v>
      </c>
      <c r="Q4017" s="88">
        <f t="shared" si="638"/>
        <v>0</v>
      </c>
      <c r="R4017" s="88" t="e">
        <f>-IF(Tabla14[[#This Row],[DIAS HABILES O MORA]]&lt;0,(Tabla14[[#This Row],[VALOR PRESTAMO]]*Tabla14[[#This Row],[% INTERES ]]/30*U4017))+Tabla14[[#This Row],[VALOR CUOTAS]]</f>
        <v>#VALUE!</v>
      </c>
      <c r="S4017" s="88">
        <f>-IF(Tabla14[[#This Row],[DIAS HABILES O MORA]]&lt;0,(Tabla14[[#This Row],[VALOR PRESTAMO]]*Tabla14[[#This Row],[% INTERES ]]/30*U4017))</f>
        <v>0</v>
      </c>
      <c r="T4017" s="53" t="e">
        <f>Tabla14[[#This Row],[DEUDA CAPITAL]]+Tabla14[[#This Row],[INTERES  CUOTA]]</f>
        <v>#NUM!</v>
      </c>
      <c r="U4017" s="61" t="str">
        <f t="shared" si="639"/>
        <v/>
      </c>
    </row>
    <row r="4018" spans="9:21" ht="24.75" customHeight="1" x14ac:dyDescent="0.35">
      <c r="I4018" s="42">
        <f t="shared" si="630"/>
        <v>0</v>
      </c>
      <c r="J4018" s="65" t="e">
        <f t="shared" si="631"/>
        <v>#NUM!</v>
      </c>
      <c r="K4018" s="83" t="e">
        <f t="shared" si="632"/>
        <v>#NUM!</v>
      </c>
      <c r="L4018" s="83">
        <f t="shared" si="633"/>
        <v>0</v>
      </c>
      <c r="M4018" s="110" t="str">
        <f t="shared" si="634"/>
        <v/>
      </c>
      <c r="N4018" s="51" t="str">
        <f t="shared" si="635"/>
        <v/>
      </c>
      <c r="O4018" s="52" t="str">
        <f t="shared" si="636"/>
        <v/>
      </c>
      <c r="P4018" s="88">
        <f t="shared" si="637"/>
        <v>0</v>
      </c>
      <c r="Q4018" s="88">
        <f t="shared" si="638"/>
        <v>0</v>
      </c>
      <c r="R4018" s="88" t="e">
        <f>-IF(Tabla14[[#This Row],[DIAS HABILES O MORA]]&lt;0,(Tabla14[[#This Row],[VALOR PRESTAMO]]*Tabla14[[#This Row],[% INTERES ]]/30*U4018))+Tabla14[[#This Row],[VALOR CUOTAS]]</f>
        <v>#VALUE!</v>
      </c>
      <c r="S4018" s="88">
        <f>-IF(Tabla14[[#This Row],[DIAS HABILES O MORA]]&lt;0,(Tabla14[[#This Row],[VALOR PRESTAMO]]*Tabla14[[#This Row],[% INTERES ]]/30*U4018))</f>
        <v>0</v>
      </c>
      <c r="T4018" s="53" t="e">
        <f>Tabla14[[#This Row],[DEUDA CAPITAL]]+Tabla14[[#This Row],[INTERES  CUOTA]]</f>
        <v>#NUM!</v>
      </c>
      <c r="U4018" s="61" t="str">
        <f t="shared" si="639"/>
        <v/>
      </c>
    </row>
    <row r="4019" spans="9:21" ht="24.75" customHeight="1" x14ac:dyDescent="0.35">
      <c r="I4019" s="42">
        <f t="shared" si="630"/>
        <v>0</v>
      </c>
      <c r="J4019" s="65" t="e">
        <f t="shared" si="631"/>
        <v>#NUM!</v>
      </c>
      <c r="K4019" s="83" t="e">
        <f t="shared" si="632"/>
        <v>#NUM!</v>
      </c>
      <c r="L4019" s="83">
        <f t="shared" si="633"/>
        <v>0</v>
      </c>
      <c r="M4019" s="110" t="str">
        <f t="shared" si="634"/>
        <v/>
      </c>
      <c r="N4019" s="51" t="str">
        <f t="shared" si="635"/>
        <v/>
      </c>
      <c r="O4019" s="52" t="str">
        <f t="shared" si="636"/>
        <v/>
      </c>
      <c r="P4019" s="88">
        <f t="shared" si="637"/>
        <v>0</v>
      </c>
      <c r="Q4019" s="88">
        <f t="shared" si="638"/>
        <v>0</v>
      </c>
      <c r="R4019" s="88" t="e">
        <f>-IF(Tabla14[[#This Row],[DIAS HABILES O MORA]]&lt;0,(Tabla14[[#This Row],[VALOR PRESTAMO]]*Tabla14[[#This Row],[% INTERES ]]/30*U4019))+Tabla14[[#This Row],[VALOR CUOTAS]]</f>
        <v>#VALUE!</v>
      </c>
      <c r="S4019" s="88">
        <f>-IF(Tabla14[[#This Row],[DIAS HABILES O MORA]]&lt;0,(Tabla14[[#This Row],[VALOR PRESTAMO]]*Tabla14[[#This Row],[% INTERES ]]/30*U4019))</f>
        <v>0</v>
      </c>
      <c r="T4019" s="53" t="e">
        <f>Tabla14[[#This Row],[DEUDA CAPITAL]]+Tabla14[[#This Row],[INTERES  CUOTA]]</f>
        <v>#NUM!</v>
      </c>
      <c r="U4019" s="61" t="str">
        <f t="shared" si="639"/>
        <v/>
      </c>
    </row>
    <row r="4020" spans="9:21" ht="24.75" customHeight="1" x14ac:dyDescent="0.35">
      <c r="I4020" s="42">
        <f t="shared" si="630"/>
        <v>0</v>
      </c>
      <c r="J4020" s="65" t="e">
        <f t="shared" si="631"/>
        <v>#NUM!</v>
      </c>
      <c r="K4020" s="83" t="e">
        <f t="shared" si="632"/>
        <v>#NUM!</v>
      </c>
      <c r="L4020" s="83">
        <f t="shared" si="633"/>
        <v>0</v>
      </c>
      <c r="M4020" s="110" t="str">
        <f t="shared" si="634"/>
        <v/>
      </c>
      <c r="N4020" s="51" t="str">
        <f t="shared" si="635"/>
        <v/>
      </c>
      <c r="O4020" s="52" t="str">
        <f t="shared" si="636"/>
        <v/>
      </c>
      <c r="P4020" s="88">
        <f t="shared" si="637"/>
        <v>0</v>
      </c>
      <c r="Q4020" s="88">
        <f t="shared" si="638"/>
        <v>0</v>
      </c>
      <c r="R4020" s="88" t="e">
        <f>-IF(Tabla14[[#This Row],[DIAS HABILES O MORA]]&lt;0,(Tabla14[[#This Row],[VALOR PRESTAMO]]*Tabla14[[#This Row],[% INTERES ]]/30*U4020))+Tabla14[[#This Row],[VALOR CUOTAS]]</f>
        <v>#VALUE!</v>
      </c>
      <c r="S4020" s="88">
        <f>-IF(Tabla14[[#This Row],[DIAS HABILES O MORA]]&lt;0,(Tabla14[[#This Row],[VALOR PRESTAMO]]*Tabla14[[#This Row],[% INTERES ]]/30*U4020))</f>
        <v>0</v>
      </c>
      <c r="T4020" s="53" t="e">
        <f>Tabla14[[#This Row],[DEUDA CAPITAL]]+Tabla14[[#This Row],[INTERES  CUOTA]]</f>
        <v>#NUM!</v>
      </c>
      <c r="U4020" s="61" t="str">
        <f t="shared" si="639"/>
        <v/>
      </c>
    </row>
    <row r="4021" spans="9:21" ht="24.75" customHeight="1" x14ac:dyDescent="0.35">
      <c r="I4021" s="42">
        <f t="shared" si="630"/>
        <v>0</v>
      </c>
      <c r="J4021" s="65" t="e">
        <f t="shared" si="631"/>
        <v>#NUM!</v>
      </c>
      <c r="K4021" s="83" t="e">
        <f t="shared" si="632"/>
        <v>#NUM!</v>
      </c>
      <c r="L4021" s="83">
        <f t="shared" si="633"/>
        <v>0</v>
      </c>
      <c r="M4021" s="110" t="str">
        <f t="shared" si="634"/>
        <v/>
      </c>
      <c r="N4021" s="51" t="str">
        <f t="shared" si="635"/>
        <v/>
      </c>
      <c r="O4021" s="52" t="str">
        <f t="shared" si="636"/>
        <v/>
      </c>
      <c r="P4021" s="88">
        <f t="shared" si="637"/>
        <v>0</v>
      </c>
      <c r="Q4021" s="88">
        <f t="shared" si="638"/>
        <v>0</v>
      </c>
      <c r="R4021" s="88" t="e">
        <f>-IF(Tabla14[[#This Row],[DIAS HABILES O MORA]]&lt;0,(Tabla14[[#This Row],[VALOR PRESTAMO]]*Tabla14[[#This Row],[% INTERES ]]/30*U4021))+Tabla14[[#This Row],[VALOR CUOTAS]]</f>
        <v>#VALUE!</v>
      </c>
      <c r="S4021" s="88">
        <f>-IF(Tabla14[[#This Row],[DIAS HABILES O MORA]]&lt;0,(Tabla14[[#This Row],[VALOR PRESTAMO]]*Tabla14[[#This Row],[% INTERES ]]/30*U4021))</f>
        <v>0</v>
      </c>
      <c r="T4021" s="53" t="e">
        <f>Tabla14[[#This Row],[DEUDA CAPITAL]]+Tabla14[[#This Row],[INTERES  CUOTA]]</f>
        <v>#NUM!</v>
      </c>
      <c r="U4021" s="61" t="str">
        <f t="shared" si="639"/>
        <v/>
      </c>
    </row>
    <row r="4022" spans="9:21" ht="24.75" customHeight="1" x14ac:dyDescent="0.35">
      <c r="I4022" s="42">
        <f t="shared" si="630"/>
        <v>0</v>
      </c>
      <c r="J4022" s="65" t="e">
        <f t="shared" si="631"/>
        <v>#NUM!</v>
      </c>
      <c r="K4022" s="83" t="e">
        <f t="shared" si="632"/>
        <v>#NUM!</v>
      </c>
      <c r="L4022" s="83">
        <f t="shared" si="633"/>
        <v>0</v>
      </c>
      <c r="M4022" s="110" t="str">
        <f t="shared" si="634"/>
        <v/>
      </c>
      <c r="N4022" s="51" t="str">
        <f t="shared" si="635"/>
        <v/>
      </c>
      <c r="O4022" s="52" t="str">
        <f t="shared" si="636"/>
        <v/>
      </c>
      <c r="P4022" s="88">
        <f t="shared" si="637"/>
        <v>0</v>
      </c>
      <c r="Q4022" s="88">
        <f t="shared" si="638"/>
        <v>0</v>
      </c>
      <c r="R4022" s="88" t="e">
        <f>-IF(Tabla14[[#This Row],[DIAS HABILES O MORA]]&lt;0,(Tabla14[[#This Row],[VALOR PRESTAMO]]*Tabla14[[#This Row],[% INTERES ]]/30*U4022))+Tabla14[[#This Row],[VALOR CUOTAS]]</f>
        <v>#VALUE!</v>
      </c>
      <c r="S4022" s="88">
        <f>-IF(Tabla14[[#This Row],[DIAS HABILES O MORA]]&lt;0,(Tabla14[[#This Row],[VALOR PRESTAMO]]*Tabla14[[#This Row],[% INTERES ]]/30*U4022))</f>
        <v>0</v>
      </c>
      <c r="T4022" s="53" t="e">
        <f>Tabla14[[#This Row],[DEUDA CAPITAL]]+Tabla14[[#This Row],[INTERES  CUOTA]]</f>
        <v>#NUM!</v>
      </c>
      <c r="U4022" s="61" t="str">
        <f t="shared" si="639"/>
        <v/>
      </c>
    </row>
    <row r="4023" spans="9:21" ht="24.75" customHeight="1" x14ac:dyDescent="0.35">
      <c r="I4023" s="42">
        <f t="shared" si="630"/>
        <v>0</v>
      </c>
      <c r="J4023" s="65" t="e">
        <f t="shared" si="631"/>
        <v>#NUM!</v>
      </c>
      <c r="K4023" s="83" t="e">
        <f t="shared" si="632"/>
        <v>#NUM!</v>
      </c>
      <c r="L4023" s="83">
        <f t="shared" si="633"/>
        <v>0</v>
      </c>
      <c r="M4023" s="110" t="str">
        <f t="shared" si="634"/>
        <v/>
      </c>
      <c r="N4023" s="51" t="str">
        <f t="shared" si="635"/>
        <v/>
      </c>
      <c r="O4023" s="52" t="str">
        <f t="shared" si="636"/>
        <v/>
      </c>
      <c r="P4023" s="88">
        <f t="shared" si="637"/>
        <v>0</v>
      </c>
      <c r="Q4023" s="88">
        <f t="shared" si="638"/>
        <v>0</v>
      </c>
      <c r="R4023" s="88" t="e">
        <f>-IF(Tabla14[[#This Row],[DIAS HABILES O MORA]]&lt;0,(Tabla14[[#This Row],[VALOR PRESTAMO]]*Tabla14[[#This Row],[% INTERES ]]/30*U4023))+Tabla14[[#This Row],[VALOR CUOTAS]]</f>
        <v>#VALUE!</v>
      </c>
      <c r="S4023" s="88">
        <f>-IF(Tabla14[[#This Row],[DIAS HABILES O MORA]]&lt;0,(Tabla14[[#This Row],[VALOR PRESTAMO]]*Tabla14[[#This Row],[% INTERES ]]/30*U4023))</f>
        <v>0</v>
      </c>
      <c r="T4023" s="53" t="e">
        <f>Tabla14[[#This Row],[DEUDA CAPITAL]]+Tabla14[[#This Row],[INTERES  CUOTA]]</f>
        <v>#NUM!</v>
      </c>
      <c r="U4023" s="61" t="str">
        <f t="shared" si="639"/>
        <v/>
      </c>
    </row>
    <row r="4024" spans="9:21" ht="24.75" customHeight="1" x14ac:dyDescent="0.35">
      <c r="I4024" s="42">
        <f t="shared" si="630"/>
        <v>0</v>
      </c>
      <c r="J4024" s="65" t="e">
        <f t="shared" si="631"/>
        <v>#NUM!</v>
      </c>
      <c r="K4024" s="83" t="e">
        <f t="shared" si="632"/>
        <v>#NUM!</v>
      </c>
      <c r="L4024" s="83">
        <f t="shared" si="633"/>
        <v>0</v>
      </c>
      <c r="M4024" s="110" t="str">
        <f t="shared" si="634"/>
        <v/>
      </c>
      <c r="N4024" s="51" t="str">
        <f t="shared" si="635"/>
        <v/>
      </c>
      <c r="O4024" s="52" t="str">
        <f t="shared" si="636"/>
        <v/>
      </c>
      <c r="P4024" s="88">
        <f t="shared" si="637"/>
        <v>0</v>
      </c>
      <c r="Q4024" s="88">
        <f t="shared" si="638"/>
        <v>0</v>
      </c>
      <c r="R4024" s="88" t="e">
        <f>-IF(Tabla14[[#This Row],[DIAS HABILES O MORA]]&lt;0,(Tabla14[[#This Row],[VALOR PRESTAMO]]*Tabla14[[#This Row],[% INTERES ]]/30*U4024))+Tabla14[[#This Row],[VALOR CUOTAS]]</f>
        <v>#VALUE!</v>
      </c>
      <c r="S4024" s="88">
        <f>-IF(Tabla14[[#This Row],[DIAS HABILES O MORA]]&lt;0,(Tabla14[[#This Row],[VALOR PRESTAMO]]*Tabla14[[#This Row],[% INTERES ]]/30*U4024))</f>
        <v>0</v>
      </c>
      <c r="T4024" s="53" t="e">
        <f>Tabla14[[#This Row],[DEUDA CAPITAL]]+Tabla14[[#This Row],[INTERES  CUOTA]]</f>
        <v>#NUM!</v>
      </c>
      <c r="U4024" s="61" t="str">
        <f t="shared" si="639"/>
        <v/>
      </c>
    </row>
    <row r="4025" spans="9:21" ht="24.75" customHeight="1" x14ac:dyDescent="0.35">
      <c r="I4025" s="42">
        <f t="shared" si="630"/>
        <v>0</v>
      </c>
      <c r="J4025" s="65" t="e">
        <f t="shared" si="631"/>
        <v>#NUM!</v>
      </c>
      <c r="K4025" s="83" t="e">
        <f t="shared" si="632"/>
        <v>#NUM!</v>
      </c>
      <c r="L4025" s="83">
        <f t="shared" si="633"/>
        <v>0</v>
      </c>
      <c r="M4025" s="110" t="str">
        <f t="shared" si="634"/>
        <v/>
      </c>
      <c r="N4025" s="51" t="str">
        <f t="shared" si="635"/>
        <v/>
      </c>
      <c r="O4025" s="52" t="str">
        <f t="shared" si="636"/>
        <v/>
      </c>
      <c r="P4025" s="88">
        <f t="shared" si="637"/>
        <v>0</v>
      </c>
      <c r="Q4025" s="88">
        <f t="shared" si="638"/>
        <v>0</v>
      </c>
      <c r="R4025" s="88" t="e">
        <f>-IF(Tabla14[[#This Row],[DIAS HABILES O MORA]]&lt;0,(Tabla14[[#This Row],[VALOR PRESTAMO]]*Tabla14[[#This Row],[% INTERES ]]/30*U4025))+Tabla14[[#This Row],[VALOR CUOTAS]]</f>
        <v>#VALUE!</v>
      </c>
      <c r="S4025" s="88">
        <f>-IF(Tabla14[[#This Row],[DIAS HABILES O MORA]]&lt;0,(Tabla14[[#This Row],[VALOR PRESTAMO]]*Tabla14[[#This Row],[% INTERES ]]/30*U4025))</f>
        <v>0</v>
      </c>
      <c r="T4025" s="53" t="e">
        <f>Tabla14[[#This Row],[DEUDA CAPITAL]]+Tabla14[[#This Row],[INTERES  CUOTA]]</f>
        <v>#NUM!</v>
      </c>
      <c r="U4025" s="61" t="str">
        <f t="shared" si="639"/>
        <v/>
      </c>
    </row>
    <row r="4026" spans="9:21" ht="24.75" customHeight="1" x14ac:dyDescent="0.35">
      <c r="I4026" s="42">
        <f t="shared" si="630"/>
        <v>0</v>
      </c>
      <c r="J4026" s="65" t="e">
        <f t="shared" si="631"/>
        <v>#NUM!</v>
      </c>
      <c r="K4026" s="83" t="e">
        <f t="shared" si="632"/>
        <v>#NUM!</v>
      </c>
      <c r="L4026" s="83">
        <f t="shared" si="633"/>
        <v>0</v>
      </c>
      <c r="M4026" s="110" t="str">
        <f t="shared" si="634"/>
        <v/>
      </c>
      <c r="N4026" s="51" t="str">
        <f t="shared" si="635"/>
        <v/>
      </c>
      <c r="O4026" s="52" t="str">
        <f t="shared" si="636"/>
        <v/>
      </c>
      <c r="P4026" s="88">
        <f t="shared" si="637"/>
        <v>0</v>
      </c>
      <c r="Q4026" s="88">
        <f t="shared" si="638"/>
        <v>0</v>
      </c>
      <c r="R4026" s="88" t="e">
        <f>-IF(Tabla14[[#This Row],[DIAS HABILES O MORA]]&lt;0,(Tabla14[[#This Row],[VALOR PRESTAMO]]*Tabla14[[#This Row],[% INTERES ]]/30*U4026))+Tabla14[[#This Row],[VALOR CUOTAS]]</f>
        <v>#VALUE!</v>
      </c>
      <c r="S4026" s="88">
        <f>-IF(Tabla14[[#This Row],[DIAS HABILES O MORA]]&lt;0,(Tabla14[[#This Row],[VALOR PRESTAMO]]*Tabla14[[#This Row],[% INTERES ]]/30*U4026))</f>
        <v>0</v>
      </c>
      <c r="T4026" s="53" t="e">
        <f>Tabla14[[#This Row],[DEUDA CAPITAL]]+Tabla14[[#This Row],[INTERES  CUOTA]]</f>
        <v>#NUM!</v>
      </c>
      <c r="U4026" s="61" t="str">
        <f t="shared" si="639"/>
        <v/>
      </c>
    </row>
    <row r="4027" spans="9:21" ht="24.75" customHeight="1" x14ac:dyDescent="0.35">
      <c r="I4027" s="42">
        <f t="shared" si="630"/>
        <v>0</v>
      </c>
      <c r="J4027" s="65" t="e">
        <f t="shared" si="631"/>
        <v>#NUM!</v>
      </c>
      <c r="K4027" s="83" t="e">
        <f t="shared" si="632"/>
        <v>#NUM!</v>
      </c>
      <c r="L4027" s="83">
        <f t="shared" si="633"/>
        <v>0</v>
      </c>
      <c r="M4027" s="110" t="str">
        <f t="shared" si="634"/>
        <v/>
      </c>
      <c r="N4027" s="51" t="str">
        <f t="shared" si="635"/>
        <v/>
      </c>
      <c r="O4027" s="52" t="str">
        <f t="shared" si="636"/>
        <v/>
      </c>
      <c r="P4027" s="88">
        <f t="shared" si="637"/>
        <v>0</v>
      </c>
      <c r="Q4027" s="88">
        <f t="shared" si="638"/>
        <v>0</v>
      </c>
      <c r="R4027" s="88" t="e">
        <f>-IF(Tabla14[[#This Row],[DIAS HABILES O MORA]]&lt;0,(Tabla14[[#This Row],[VALOR PRESTAMO]]*Tabla14[[#This Row],[% INTERES ]]/30*U4027))+Tabla14[[#This Row],[VALOR CUOTAS]]</f>
        <v>#VALUE!</v>
      </c>
      <c r="S4027" s="88">
        <f>-IF(Tabla14[[#This Row],[DIAS HABILES O MORA]]&lt;0,(Tabla14[[#This Row],[VALOR PRESTAMO]]*Tabla14[[#This Row],[% INTERES ]]/30*U4027))</f>
        <v>0</v>
      </c>
      <c r="T4027" s="53" t="e">
        <f>Tabla14[[#This Row],[DEUDA CAPITAL]]+Tabla14[[#This Row],[INTERES  CUOTA]]</f>
        <v>#NUM!</v>
      </c>
      <c r="U4027" s="61" t="str">
        <f t="shared" si="639"/>
        <v/>
      </c>
    </row>
    <row r="4028" spans="9:21" ht="24.75" customHeight="1" x14ac:dyDescent="0.35">
      <c r="I4028" s="42">
        <f t="shared" si="630"/>
        <v>0</v>
      </c>
      <c r="J4028" s="65" t="e">
        <f t="shared" si="631"/>
        <v>#NUM!</v>
      </c>
      <c r="K4028" s="83" t="e">
        <f t="shared" si="632"/>
        <v>#NUM!</v>
      </c>
      <c r="L4028" s="83">
        <f t="shared" si="633"/>
        <v>0</v>
      </c>
      <c r="M4028" s="110" t="str">
        <f t="shared" si="634"/>
        <v/>
      </c>
      <c r="N4028" s="51" t="str">
        <f t="shared" si="635"/>
        <v/>
      </c>
      <c r="O4028" s="52" t="str">
        <f t="shared" si="636"/>
        <v/>
      </c>
      <c r="P4028" s="88">
        <f t="shared" si="637"/>
        <v>0</v>
      </c>
      <c r="Q4028" s="88">
        <f t="shared" si="638"/>
        <v>0</v>
      </c>
      <c r="R4028" s="88" t="e">
        <f>-IF(Tabla14[[#This Row],[DIAS HABILES O MORA]]&lt;0,(Tabla14[[#This Row],[VALOR PRESTAMO]]*Tabla14[[#This Row],[% INTERES ]]/30*U4028))+Tabla14[[#This Row],[VALOR CUOTAS]]</f>
        <v>#VALUE!</v>
      </c>
      <c r="S4028" s="88">
        <f>-IF(Tabla14[[#This Row],[DIAS HABILES O MORA]]&lt;0,(Tabla14[[#This Row],[VALOR PRESTAMO]]*Tabla14[[#This Row],[% INTERES ]]/30*U4028))</f>
        <v>0</v>
      </c>
      <c r="T4028" s="53" t="e">
        <f>Tabla14[[#This Row],[DEUDA CAPITAL]]+Tabla14[[#This Row],[INTERES  CUOTA]]</f>
        <v>#NUM!</v>
      </c>
      <c r="U4028" s="61" t="str">
        <f t="shared" si="639"/>
        <v/>
      </c>
    </row>
    <row r="4029" spans="9:21" ht="24.75" customHeight="1" x14ac:dyDescent="0.35">
      <c r="I4029" s="42">
        <f t="shared" si="630"/>
        <v>0</v>
      </c>
      <c r="J4029" s="65" t="e">
        <f t="shared" si="631"/>
        <v>#NUM!</v>
      </c>
      <c r="K4029" s="83" t="e">
        <f t="shared" si="632"/>
        <v>#NUM!</v>
      </c>
      <c r="L4029" s="83">
        <f t="shared" si="633"/>
        <v>0</v>
      </c>
      <c r="M4029" s="110" t="str">
        <f t="shared" si="634"/>
        <v/>
      </c>
      <c r="N4029" s="51" t="str">
        <f t="shared" si="635"/>
        <v/>
      </c>
      <c r="O4029" s="52" t="str">
        <f t="shared" si="636"/>
        <v/>
      </c>
      <c r="P4029" s="88">
        <f t="shared" si="637"/>
        <v>0</v>
      </c>
      <c r="Q4029" s="88">
        <f t="shared" si="638"/>
        <v>0</v>
      </c>
      <c r="R4029" s="88" t="e">
        <f>-IF(Tabla14[[#This Row],[DIAS HABILES O MORA]]&lt;0,(Tabla14[[#This Row],[VALOR PRESTAMO]]*Tabla14[[#This Row],[% INTERES ]]/30*U4029))+Tabla14[[#This Row],[VALOR CUOTAS]]</f>
        <v>#VALUE!</v>
      </c>
      <c r="S4029" s="88">
        <f>-IF(Tabla14[[#This Row],[DIAS HABILES O MORA]]&lt;0,(Tabla14[[#This Row],[VALOR PRESTAMO]]*Tabla14[[#This Row],[% INTERES ]]/30*U4029))</f>
        <v>0</v>
      </c>
      <c r="T4029" s="53" t="e">
        <f>Tabla14[[#This Row],[DEUDA CAPITAL]]+Tabla14[[#This Row],[INTERES  CUOTA]]</f>
        <v>#NUM!</v>
      </c>
      <c r="U4029" s="61" t="str">
        <f t="shared" si="639"/>
        <v/>
      </c>
    </row>
    <row r="4030" spans="9:21" ht="24.75" customHeight="1" x14ac:dyDescent="0.35">
      <c r="I4030" s="42">
        <f t="shared" si="630"/>
        <v>0</v>
      </c>
      <c r="J4030" s="65" t="e">
        <f t="shared" si="631"/>
        <v>#NUM!</v>
      </c>
      <c r="K4030" s="83" t="e">
        <f t="shared" si="632"/>
        <v>#NUM!</v>
      </c>
      <c r="L4030" s="83">
        <f t="shared" si="633"/>
        <v>0</v>
      </c>
      <c r="M4030" s="110" t="str">
        <f t="shared" si="634"/>
        <v/>
      </c>
      <c r="N4030" s="51" t="str">
        <f t="shared" si="635"/>
        <v/>
      </c>
      <c r="O4030" s="52" t="str">
        <f t="shared" si="636"/>
        <v/>
      </c>
      <c r="P4030" s="88">
        <f t="shared" si="637"/>
        <v>0</v>
      </c>
      <c r="Q4030" s="88">
        <f t="shared" si="638"/>
        <v>0</v>
      </c>
      <c r="R4030" s="88" t="e">
        <f>-IF(Tabla14[[#This Row],[DIAS HABILES O MORA]]&lt;0,(Tabla14[[#This Row],[VALOR PRESTAMO]]*Tabla14[[#This Row],[% INTERES ]]/30*U4030))+Tabla14[[#This Row],[VALOR CUOTAS]]</f>
        <v>#VALUE!</v>
      </c>
      <c r="S4030" s="88">
        <f>-IF(Tabla14[[#This Row],[DIAS HABILES O MORA]]&lt;0,(Tabla14[[#This Row],[VALOR PRESTAMO]]*Tabla14[[#This Row],[% INTERES ]]/30*U4030))</f>
        <v>0</v>
      </c>
      <c r="T4030" s="53" t="e">
        <f>Tabla14[[#This Row],[DEUDA CAPITAL]]+Tabla14[[#This Row],[INTERES  CUOTA]]</f>
        <v>#NUM!</v>
      </c>
      <c r="U4030" s="61" t="str">
        <f t="shared" si="639"/>
        <v/>
      </c>
    </row>
    <row r="4031" spans="9:21" ht="24.75" customHeight="1" x14ac:dyDescent="0.35">
      <c r="I4031" s="42">
        <f t="shared" si="630"/>
        <v>0</v>
      </c>
      <c r="J4031" s="65" t="e">
        <f t="shared" si="631"/>
        <v>#NUM!</v>
      </c>
      <c r="K4031" s="83" t="e">
        <f t="shared" si="632"/>
        <v>#NUM!</v>
      </c>
      <c r="L4031" s="83">
        <f t="shared" si="633"/>
        <v>0</v>
      </c>
      <c r="M4031" s="110" t="str">
        <f t="shared" si="634"/>
        <v/>
      </c>
      <c r="N4031" s="51" t="str">
        <f t="shared" si="635"/>
        <v/>
      </c>
      <c r="O4031" s="52" t="str">
        <f t="shared" si="636"/>
        <v/>
      </c>
      <c r="P4031" s="88">
        <f t="shared" si="637"/>
        <v>0</v>
      </c>
      <c r="Q4031" s="88">
        <f t="shared" si="638"/>
        <v>0</v>
      </c>
      <c r="R4031" s="88" t="e">
        <f>-IF(Tabla14[[#This Row],[DIAS HABILES O MORA]]&lt;0,(Tabla14[[#This Row],[VALOR PRESTAMO]]*Tabla14[[#This Row],[% INTERES ]]/30*U4031))+Tabla14[[#This Row],[VALOR CUOTAS]]</f>
        <v>#VALUE!</v>
      </c>
      <c r="S4031" s="88">
        <f>-IF(Tabla14[[#This Row],[DIAS HABILES O MORA]]&lt;0,(Tabla14[[#This Row],[VALOR PRESTAMO]]*Tabla14[[#This Row],[% INTERES ]]/30*U4031))</f>
        <v>0</v>
      </c>
      <c r="T4031" s="53" t="e">
        <f>Tabla14[[#This Row],[DEUDA CAPITAL]]+Tabla14[[#This Row],[INTERES  CUOTA]]</f>
        <v>#NUM!</v>
      </c>
      <c r="U4031" s="61" t="str">
        <f t="shared" si="639"/>
        <v/>
      </c>
    </row>
    <row r="4032" spans="9:21" ht="24.75" customHeight="1" x14ac:dyDescent="0.35">
      <c r="I4032" s="42">
        <f t="shared" si="630"/>
        <v>0</v>
      </c>
      <c r="J4032" s="65" t="e">
        <f t="shared" si="631"/>
        <v>#NUM!</v>
      </c>
      <c r="K4032" s="83" t="e">
        <f t="shared" si="632"/>
        <v>#NUM!</v>
      </c>
      <c r="L4032" s="83">
        <f t="shared" si="633"/>
        <v>0</v>
      </c>
      <c r="M4032" s="110" t="str">
        <f t="shared" si="634"/>
        <v/>
      </c>
      <c r="N4032" s="51" t="str">
        <f t="shared" si="635"/>
        <v/>
      </c>
      <c r="O4032" s="52" t="str">
        <f t="shared" si="636"/>
        <v/>
      </c>
      <c r="P4032" s="88">
        <f t="shared" si="637"/>
        <v>0</v>
      </c>
      <c r="Q4032" s="88">
        <f t="shared" si="638"/>
        <v>0</v>
      </c>
      <c r="R4032" s="88" t="e">
        <f>-IF(Tabla14[[#This Row],[DIAS HABILES O MORA]]&lt;0,(Tabla14[[#This Row],[VALOR PRESTAMO]]*Tabla14[[#This Row],[% INTERES ]]/30*U4032))+Tabla14[[#This Row],[VALOR CUOTAS]]</f>
        <v>#VALUE!</v>
      </c>
      <c r="S4032" s="88">
        <f>-IF(Tabla14[[#This Row],[DIAS HABILES O MORA]]&lt;0,(Tabla14[[#This Row],[VALOR PRESTAMO]]*Tabla14[[#This Row],[% INTERES ]]/30*U4032))</f>
        <v>0</v>
      </c>
      <c r="T4032" s="53" t="e">
        <f>Tabla14[[#This Row],[DEUDA CAPITAL]]+Tabla14[[#This Row],[INTERES  CUOTA]]</f>
        <v>#NUM!</v>
      </c>
      <c r="U4032" s="61" t="str">
        <f t="shared" si="639"/>
        <v/>
      </c>
    </row>
    <row r="4033" spans="9:21" ht="24.75" customHeight="1" x14ac:dyDescent="0.35">
      <c r="I4033" s="42">
        <f t="shared" si="630"/>
        <v>0</v>
      </c>
      <c r="J4033" s="65" t="e">
        <f t="shared" si="631"/>
        <v>#NUM!</v>
      </c>
      <c r="K4033" s="83" t="e">
        <f t="shared" si="632"/>
        <v>#NUM!</v>
      </c>
      <c r="L4033" s="83">
        <f t="shared" si="633"/>
        <v>0</v>
      </c>
      <c r="M4033" s="110" t="str">
        <f t="shared" si="634"/>
        <v/>
      </c>
      <c r="N4033" s="51" t="str">
        <f t="shared" si="635"/>
        <v/>
      </c>
      <c r="O4033" s="52" t="str">
        <f t="shared" si="636"/>
        <v/>
      </c>
      <c r="P4033" s="88">
        <f t="shared" si="637"/>
        <v>0</v>
      </c>
      <c r="Q4033" s="88">
        <f t="shared" si="638"/>
        <v>0</v>
      </c>
      <c r="R4033" s="88" t="e">
        <f>-IF(Tabla14[[#This Row],[DIAS HABILES O MORA]]&lt;0,(Tabla14[[#This Row],[VALOR PRESTAMO]]*Tabla14[[#This Row],[% INTERES ]]/30*U4033))+Tabla14[[#This Row],[VALOR CUOTAS]]</f>
        <v>#VALUE!</v>
      </c>
      <c r="S4033" s="88">
        <f>-IF(Tabla14[[#This Row],[DIAS HABILES O MORA]]&lt;0,(Tabla14[[#This Row],[VALOR PRESTAMO]]*Tabla14[[#This Row],[% INTERES ]]/30*U4033))</f>
        <v>0</v>
      </c>
      <c r="T4033" s="53" t="e">
        <f>Tabla14[[#This Row],[DEUDA CAPITAL]]+Tabla14[[#This Row],[INTERES  CUOTA]]</f>
        <v>#NUM!</v>
      </c>
      <c r="U4033" s="61" t="str">
        <f t="shared" si="639"/>
        <v/>
      </c>
    </row>
    <row r="4034" spans="9:21" ht="24.75" customHeight="1" x14ac:dyDescent="0.35">
      <c r="I4034" s="42">
        <f t="shared" si="630"/>
        <v>0</v>
      </c>
      <c r="J4034" s="65" t="e">
        <f t="shared" si="631"/>
        <v>#NUM!</v>
      </c>
      <c r="K4034" s="83" t="e">
        <f t="shared" si="632"/>
        <v>#NUM!</v>
      </c>
      <c r="L4034" s="83">
        <f t="shared" si="633"/>
        <v>0</v>
      </c>
      <c r="M4034" s="110" t="str">
        <f t="shared" si="634"/>
        <v/>
      </c>
      <c r="N4034" s="51" t="str">
        <f t="shared" si="635"/>
        <v/>
      </c>
      <c r="O4034" s="52" t="str">
        <f t="shared" si="636"/>
        <v/>
      </c>
      <c r="P4034" s="88">
        <f t="shared" si="637"/>
        <v>0</v>
      </c>
      <c r="Q4034" s="88">
        <f t="shared" si="638"/>
        <v>0</v>
      </c>
      <c r="R4034" s="88" t="e">
        <f>-IF(Tabla14[[#This Row],[DIAS HABILES O MORA]]&lt;0,(Tabla14[[#This Row],[VALOR PRESTAMO]]*Tabla14[[#This Row],[% INTERES ]]/30*U4034))+Tabla14[[#This Row],[VALOR CUOTAS]]</f>
        <v>#VALUE!</v>
      </c>
      <c r="S4034" s="88">
        <f>-IF(Tabla14[[#This Row],[DIAS HABILES O MORA]]&lt;0,(Tabla14[[#This Row],[VALOR PRESTAMO]]*Tabla14[[#This Row],[% INTERES ]]/30*U4034))</f>
        <v>0</v>
      </c>
      <c r="T4034" s="53" t="e">
        <f>Tabla14[[#This Row],[DEUDA CAPITAL]]+Tabla14[[#This Row],[INTERES  CUOTA]]</f>
        <v>#NUM!</v>
      </c>
      <c r="U4034" s="61" t="str">
        <f t="shared" si="639"/>
        <v/>
      </c>
    </row>
    <row r="4035" spans="9:21" ht="24.75" customHeight="1" x14ac:dyDescent="0.35">
      <c r="I4035" s="42">
        <f t="shared" si="630"/>
        <v>0</v>
      </c>
      <c r="J4035" s="65" t="e">
        <f t="shared" si="631"/>
        <v>#NUM!</v>
      </c>
      <c r="K4035" s="83" t="e">
        <f t="shared" si="632"/>
        <v>#NUM!</v>
      </c>
      <c r="L4035" s="83">
        <f t="shared" si="633"/>
        <v>0</v>
      </c>
      <c r="M4035" s="110" t="str">
        <f t="shared" si="634"/>
        <v/>
      </c>
      <c r="N4035" s="51" t="str">
        <f t="shared" si="635"/>
        <v/>
      </c>
      <c r="O4035" s="52" t="str">
        <f t="shared" si="636"/>
        <v/>
      </c>
      <c r="P4035" s="88">
        <f t="shared" si="637"/>
        <v>0</v>
      </c>
      <c r="Q4035" s="88">
        <f t="shared" si="638"/>
        <v>0</v>
      </c>
      <c r="R4035" s="88" t="e">
        <f>-IF(Tabla14[[#This Row],[DIAS HABILES O MORA]]&lt;0,(Tabla14[[#This Row],[VALOR PRESTAMO]]*Tabla14[[#This Row],[% INTERES ]]/30*U4035))+Tabla14[[#This Row],[VALOR CUOTAS]]</f>
        <v>#VALUE!</v>
      </c>
      <c r="S4035" s="88">
        <f>-IF(Tabla14[[#This Row],[DIAS HABILES O MORA]]&lt;0,(Tabla14[[#This Row],[VALOR PRESTAMO]]*Tabla14[[#This Row],[% INTERES ]]/30*U4035))</f>
        <v>0</v>
      </c>
      <c r="T4035" s="53" t="e">
        <f>Tabla14[[#This Row],[DEUDA CAPITAL]]+Tabla14[[#This Row],[INTERES  CUOTA]]</f>
        <v>#NUM!</v>
      </c>
      <c r="U4035" s="61" t="str">
        <f t="shared" si="639"/>
        <v/>
      </c>
    </row>
    <row r="4036" spans="9:21" ht="24.75" customHeight="1" x14ac:dyDescent="0.35">
      <c r="I4036" s="42">
        <f t="shared" si="630"/>
        <v>0</v>
      </c>
      <c r="J4036" s="65" t="e">
        <f t="shared" si="631"/>
        <v>#NUM!</v>
      </c>
      <c r="K4036" s="83" t="e">
        <f t="shared" si="632"/>
        <v>#NUM!</v>
      </c>
      <c r="L4036" s="83">
        <f t="shared" si="633"/>
        <v>0</v>
      </c>
      <c r="M4036" s="110" t="str">
        <f t="shared" si="634"/>
        <v/>
      </c>
      <c r="N4036" s="51" t="str">
        <f t="shared" si="635"/>
        <v/>
      </c>
      <c r="O4036" s="52" t="str">
        <f t="shared" si="636"/>
        <v/>
      </c>
      <c r="P4036" s="88">
        <f t="shared" si="637"/>
        <v>0</v>
      </c>
      <c r="Q4036" s="88">
        <f t="shared" si="638"/>
        <v>0</v>
      </c>
      <c r="R4036" s="88" t="e">
        <f>-IF(Tabla14[[#This Row],[DIAS HABILES O MORA]]&lt;0,(Tabla14[[#This Row],[VALOR PRESTAMO]]*Tabla14[[#This Row],[% INTERES ]]/30*U4036))+Tabla14[[#This Row],[VALOR CUOTAS]]</f>
        <v>#VALUE!</v>
      </c>
      <c r="S4036" s="88">
        <f>-IF(Tabla14[[#This Row],[DIAS HABILES O MORA]]&lt;0,(Tabla14[[#This Row],[VALOR PRESTAMO]]*Tabla14[[#This Row],[% INTERES ]]/30*U4036))</f>
        <v>0</v>
      </c>
      <c r="T4036" s="53" t="e">
        <f>Tabla14[[#This Row],[DEUDA CAPITAL]]+Tabla14[[#This Row],[INTERES  CUOTA]]</f>
        <v>#NUM!</v>
      </c>
      <c r="U4036" s="61" t="str">
        <f t="shared" si="639"/>
        <v/>
      </c>
    </row>
    <row r="4037" spans="9:21" ht="24.75" customHeight="1" x14ac:dyDescent="0.35">
      <c r="I4037" s="42">
        <f t="shared" si="630"/>
        <v>0</v>
      </c>
      <c r="J4037" s="65" t="e">
        <f t="shared" si="631"/>
        <v>#NUM!</v>
      </c>
      <c r="K4037" s="83" t="e">
        <f t="shared" si="632"/>
        <v>#NUM!</v>
      </c>
      <c r="L4037" s="83">
        <f t="shared" si="633"/>
        <v>0</v>
      </c>
      <c r="M4037" s="110" t="str">
        <f t="shared" si="634"/>
        <v/>
      </c>
      <c r="N4037" s="51" t="str">
        <f t="shared" si="635"/>
        <v/>
      </c>
      <c r="O4037" s="52" t="str">
        <f t="shared" si="636"/>
        <v/>
      </c>
      <c r="P4037" s="88">
        <f t="shared" si="637"/>
        <v>0</v>
      </c>
      <c r="Q4037" s="88">
        <f t="shared" si="638"/>
        <v>0</v>
      </c>
      <c r="R4037" s="88" t="e">
        <f>-IF(Tabla14[[#This Row],[DIAS HABILES O MORA]]&lt;0,(Tabla14[[#This Row],[VALOR PRESTAMO]]*Tabla14[[#This Row],[% INTERES ]]/30*U4037))+Tabla14[[#This Row],[VALOR CUOTAS]]</f>
        <v>#VALUE!</v>
      </c>
      <c r="S4037" s="88">
        <f>-IF(Tabla14[[#This Row],[DIAS HABILES O MORA]]&lt;0,(Tabla14[[#This Row],[VALOR PRESTAMO]]*Tabla14[[#This Row],[% INTERES ]]/30*U4037))</f>
        <v>0</v>
      </c>
      <c r="T4037" s="53" t="e">
        <f>Tabla14[[#This Row],[DEUDA CAPITAL]]+Tabla14[[#This Row],[INTERES  CUOTA]]</f>
        <v>#NUM!</v>
      </c>
      <c r="U4037" s="61" t="str">
        <f t="shared" si="639"/>
        <v/>
      </c>
    </row>
    <row r="4038" spans="9:21" ht="24.75" customHeight="1" x14ac:dyDescent="0.35">
      <c r="I4038" s="42">
        <f t="shared" si="630"/>
        <v>0</v>
      </c>
      <c r="J4038" s="65" t="e">
        <f t="shared" si="631"/>
        <v>#NUM!</v>
      </c>
      <c r="K4038" s="83" t="e">
        <f t="shared" si="632"/>
        <v>#NUM!</v>
      </c>
      <c r="L4038" s="83">
        <f t="shared" si="633"/>
        <v>0</v>
      </c>
      <c r="M4038" s="110" t="str">
        <f t="shared" si="634"/>
        <v/>
      </c>
      <c r="N4038" s="51" t="str">
        <f t="shared" si="635"/>
        <v/>
      </c>
      <c r="O4038" s="52" t="str">
        <f t="shared" si="636"/>
        <v/>
      </c>
      <c r="P4038" s="88">
        <f t="shared" si="637"/>
        <v>0</v>
      </c>
      <c r="Q4038" s="88">
        <f t="shared" si="638"/>
        <v>0</v>
      </c>
      <c r="R4038" s="88" t="e">
        <f>-IF(Tabla14[[#This Row],[DIAS HABILES O MORA]]&lt;0,(Tabla14[[#This Row],[VALOR PRESTAMO]]*Tabla14[[#This Row],[% INTERES ]]/30*U4038))+Tabla14[[#This Row],[VALOR CUOTAS]]</f>
        <v>#VALUE!</v>
      </c>
      <c r="S4038" s="88">
        <f>-IF(Tabla14[[#This Row],[DIAS HABILES O MORA]]&lt;0,(Tabla14[[#This Row],[VALOR PRESTAMO]]*Tabla14[[#This Row],[% INTERES ]]/30*U4038))</f>
        <v>0</v>
      </c>
      <c r="T4038" s="53" t="e">
        <f>Tabla14[[#This Row],[DEUDA CAPITAL]]+Tabla14[[#This Row],[INTERES  CUOTA]]</f>
        <v>#NUM!</v>
      </c>
      <c r="U4038" s="61" t="str">
        <f t="shared" si="639"/>
        <v/>
      </c>
    </row>
    <row r="4039" spans="9:21" ht="24.75" customHeight="1" x14ac:dyDescent="0.35">
      <c r="I4039" s="42">
        <f t="shared" si="630"/>
        <v>0</v>
      </c>
      <c r="J4039" s="65" t="e">
        <f t="shared" si="631"/>
        <v>#NUM!</v>
      </c>
      <c r="K4039" s="83" t="e">
        <f t="shared" si="632"/>
        <v>#NUM!</v>
      </c>
      <c r="L4039" s="83">
        <f t="shared" si="633"/>
        <v>0</v>
      </c>
      <c r="M4039" s="110" t="str">
        <f t="shared" si="634"/>
        <v/>
      </c>
      <c r="N4039" s="51" t="str">
        <f t="shared" si="635"/>
        <v/>
      </c>
      <c r="O4039" s="52" t="str">
        <f t="shared" si="636"/>
        <v/>
      </c>
      <c r="P4039" s="88">
        <f t="shared" si="637"/>
        <v>0</v>
      </c>
      <c r="Q4039" s="88">
        <f t="shared" si="638"/>
        <v>0</v>
      </c>
      <c r="R4039" s="88" t="e">
        <f>-IF(Tabla14[[#This Row],[DIAS HABILES O MORA]]&lt;0,(Tabla14[[#This Row],[VALOR PRESTAMO]]*Tabla14[[#This Row],[% INTERES ]]/30*U4039))+Tabla14[[#This Row],[VALOR CUOTAS]]</f>
        <v>#VALUE!</v>
      </c>
      <c r="S4039" s="88">
        <f>-IF(Tabla14[[#This Row],[DIAS HABILES O MORA]]&lt;0,(Tabla14[[#This Row],[VALOR PRESTAMO]]*Tabla14[[#This Row],[% INTERES ]]/30*U4039))</f>
        <v>0</v>
      </c>
      <c r="T4039" s="53" t="e">
        <f>Tabla14[[#This Row],[DEUDA CAPITAL]]+Tabla14[[#This Row],[INTERES  CUOTA]]</f>
        <v>#NUM!</v>
      </c>
      <c r="U4039" s="61" t="str">
        <f t="shared" si="639"/>
        <v/>
      </c>
    </row>
    <row r="4040" spans="9:21" ht="24.75" customHeight="1" x14ac:dyDescent="0.35">
      <c r="I4040" s="42">
        <f t="shared" si="630"/>
        <v>0</v>
      </c>
      <c r="J4040" s="65" t="e">
        <f t="shared" si="631"/>
        <v>#NUM!</v>
      </c>
      <c r="K4040" s="83" t="e">
        <f t="shared" si="632"/>
        <v>#NUM!</v>
      </c>
      <c r="L4040" s="83">
        <f t="shared" si="633"/>
        <v>0</v>
      </c>
      <c r="M4040" s="110" t="str">
        <f t="shared" si="634"/>
        <v/>
      </c>
      <c r="N4040" s="51" t="str">
        <f t="shared" si="635"/>
        <v/>
      </c>
      <c r="O4040" s="52" t="str">
        <f t="shared" si="636"/>
        <v/>
      </c>
      <c r="P4040" s="88">
        <f t="shared" si="637"/>
        <v>0</v>
      </c>
      <c r="Q4040" s="88">
        <f t="shared" si="638"/>
        <v>0</v>
      </c>
      <c r="R4040" s="88" t="e">
        <f>-IF(Tabla14[[#This Row],[DIAS HABILES O MORA]]&lt;0,(Tabla14[[#This Row],[VALOR PRESTAMO]]*Tabla14[[#This Row],[% INTERES ]]/30*U4040))+Tabla14[[#This Row],[VALOR CUOTAS]]</f>
        <v>#VALUE!</v>
      </c>
      <c r="S4040" s="88">
        <f>-IF(Tabla14[[#This Row],[DIAS HABILES O MORA]]&lt;0,(Tabla14[[#This Row],[VALOR PRESTAMO]]*Tabla14[[#This Row],[% INTERES ]]/30*U4040))</f>
        <v>0</v>
      </c>
      <c r="T4040" s="53" t="e">
        <f>Tabla14[[#This Row],[DEUDA CAPITAL]]+Tabla14[[#This Row],[INTERES  CUOTA]]</f>
        <v>#NUM!</v>
      </c>
      <c r="U4040" s="61" t="str">
        <f t="shared" si="639"/>
        <v/>
      </c>
    </row>
    <row r="4041" spans="9:21" ht="24.75" customHeight="1" x14ac:dyDescent="0.35">
      <c r="I4041" s="42">
        <f t="shared" si="630"/>
        <v>0</v>
      </c>
      <c r="J4041" s="65" t="e">
        <f t="shared" si="631"/>
        <v>#NUM!</v>
      </c>
      <c r="K4041" s="83" t="e">
        <f t="shared" si="632"/>
        <v>#NUM!</v>
      </c>
      <c r="L4041" s="83">
        <f t="shared" si="633"/>
        <v>0</v>
      </c>
      <c r="M4041" s="110" t="str">
        <f t="shared" si="634"/>
        <v/>
      </c>
      <c r="N4041" s="51" t="str">
        <f t="shared" si="635"/>
        <v/>
      </c>
      <c r="O4041" s="52" t="str">
        <f t="shared" si="636"/>
        <v/>
      </c>
      <c r="P4041" s="88">
        <f t="shared" si="637"/>
        <v>0</v>
      </c>
      <c r="Q4041" s="88">
        <f t="shared" si="638"/>
        <v>0</v>
      </c>
      <c r="R4041" s="88" t="e">
        <f>-IF(Tabla14[[#This Row],[DIAS HABILES O MORA]]&lt;0,(Tabla14[[#This Row],[VALOR PRESTAMO]]*Tabla14[[#This Row],[% INTERES ]]/30*U4041))+Tabla14[[#This Row],[VALOR CUOTAS]]</f>
        <v>#VALUE!</v>
      </c>
      <c r="S4041" s="88">
        <f>-IF(Tabla14[[#This Row],[DIAS HABILES O MORA]]&lt;0,(Tabla14[[#This Row],[VALOR PRESTAMO]]*Tabla14[[#This Row],[% INTERES ]]/30*U4041))</f>
        <v>0</v>
      </c>
      <c r="T4041" s="53" t="e">
        <f>Tabla14[[#This Row],[DEUDA CAPITAL]]+Tabla14[[#This Row],[INTERES  CUOTA]]</f>
        <v>#NUM!</v>
      </c>
      <c r="U4041" s="61" t="str">
        <f t="shared" si="639"/>
        <v/>
      </c>
    </row>
    <row r="4042" spans="9:21" ht="24.75" customHeight="1" x14ac:dyDescent="0.35">
      <c r="I4042" s="42">
        <f t="shared" si="630"/>
        <v>0</v>
      </c>
      <c r="J4042" s="65" t="e">
        <f t="shared" si="631"/>
        <v>#NUM!</v>
      </c>
      <c r="K4042" s="83" t="e">
        <f t="shared" si="632"/>
        <v>#NUM!</v>
      </c>
      <c r="L4042" s="83">
        <f t="shared" si="633"/>
        <v>0</v>
      </c>
      <c r="M4042" s="110" t="str">
        <f t="shared" si="634"/>
        <v/>
      </c>
      <c r="N4042" s="51" t="str">
        <f t="shared" si="635"/>
        <v/>
      </c>
      <c r="O4042" s="52" t="str">
        <f t="shared" si="636"/>
        <v/>
      </c>
      <c r="P4042" s="88">
        <f t="shared" si="637"/>
        <v>0</v>
      </c>
      <c r="Q4042" s="88">
        <f t="shared" si="638"/>
        <v>0</v>
      </c>
      <c r="R4042" s="88" t="e">
        <f>-IF(Tabla14[[#This Row],[DIAS HABILES O MORA]]&lt;0,(Tabla14[[#This Row],[VALOR PRESTAMO]]*Tabla14[[#This Row],[% INTERES ]]/30*U4042))+Tabla14[[#This Row],[VALOR CUOTAS]]</f>
        <v>#VALUE!</v>
      </c>
      <c r="S4042" s="88">
        <f>-IF(Tabla14[[#This Row],[DIAS HABILES O MORA]]&lt;0,(Tabla14[[#This Row],[VALOR PRESTAMO]]*Tabla14[[#This Row],[% INTERES ]]/30*U4042))</f>
        <v>0</v>
      </c>
      <c r="T4042" s="53" t="e">
        <f>Tabla14[[#This Row],[DEUDA CAPITAL]]+Tabla14[[#This Row],[INTERES  CUOTA]]</f>
        <v>#NUM!</v>
      </c>
      <c r="U4042" s="61" t="str">
        <f t="shared" si="639"/>
        <v/>
      </c>
    </row>
    <row r="4043" spans="9:21" ht="24.75" customHeight="1" x14ac:dyDescent="0.35">
      <c r="I4043" s="42">
        <f t="shared" si="630"/>
        <v>0</v>
      </c>
      <c r="J4043" s="65" t="e">
        <f t="shared" si="631"/>
        <v>#NUM!</v>
      </c>
      <c r="K4043" s="83" t="e">
        <f t="shared" si="632"/>
        <v>#NUM!</v>
      </c>
      <c r="L4043" s="83">
        <f t="shared" si="633"/>
        <v>0</v>
      </c>
      <c r="M4043" s="110" t="str">
        <f t="shared" si="634"/>
        <v/>
      </c>
      <c r="N4043" s="51" t="str">
        <f t="shared" si="635"/>
        <v/>
      </c>
      <c r="O4043" s="52" t="str">
        <f t="shared" si="636"/>
        <v/>
      </c>
      <c r="P4043" s="88">
        <f t="shared" si="637"/>
        <v>0</v>
      </c>
      <c r="Q4043" s="88">
        <f t="shared" si="638"/>
        <v>0</v>
      </c>
      <c r="R4043" s="88" t="e">
        <f>-IF(Tabla14[[#This Row],[DIAS HABILES O MORA]]&lt;0,(Tabla14[[#This Row],[VALOR PRESTAMO]]*Tabla14[[#This Row],[% INTERES ]]/30*U4043))+Tabla14[[#This Row],[VALOR CUOTAS]]</f>
        <v>#VALUE!</v>
      </c>
      <c r="S4043" s="88">
        <f>-IF(Tabla14[[#This Row],[DIAS HABILES O MORA]]&lt;0,(Tabla14[[#This Row],[VALOR PRESTAMO]]*Tabla14[[#This Row],[% INTERES ]]/30*U4043))</f>
        <v>0</v>
      </c>
      <c r="T4043" s="53" t="e">
        <f>Tabla14[[#This Row],[DEUDA CAPITAL]]+Tabla14[[#This Row],[INTERES  CUOTA]]</f>
        <v>#NUM!</v>
      </c>
      <c r="U4043" s="61" t="str">
        <f t="shared" si="639"/>
        <v/>
      </c>
    </row>
    <row r="4044" spans="9:21" ht="24.75" customHeight="1" x14ac:dyDescent="0.35">
      <c r="I4044" s="42">
        <f t="shared" si="630"/>
        <v>0</v>
      </c>
      <c r="J4044" s="65" t="e">
        <f t="shared" si="631"/>
        <v>#NUM!</v>
      </c>
      <c r="K4044" s="83" t="e">
        <f t="shared" si="632"/>
        <v>#NUM!</v>
      </c>
      <c r="L4044" s="83">
        <f t="shared" si="633"/>
        <v>0</v>
      </c>
      <c r="M4044" s="110" t="str">
        <f t="shared" si="634"/>
        <v/>
      </c>
      <c r="N4044" s="51" t="str">
        <f t="shared" si="635"/>
        <v/>
      </c>
      <c r="O4044" s="52" t="str">
        <f t="shared" si="636"/>
        <v/>
      </c>
      <c r="P4044" s="88">
        <f t="shared" si="637"/>
        <v>0</v>
      </c>
      <c r="Q4044" s="88">
        <f t="shared" si="638"/>
        <v>0</v>
      </c>
      <c r="R4044" s="88" t="e">
        <f>-IF(Tabla14[[#This Row],[DIAS HABILES O MORA]]&lt;0,(Tabla14[[#This Row],[VALOR PRESTAMO]]*Tabla14[[#This Row],[% INTERES ]]/30*U4044))+Tabla14[[#This Row],[VALOR CUOTAS]]</f>
        <v>#VALUE!</v>
      </c>
      <c r="S4044" s="88">
        <f>-IF(Tabla14[[#This Row],[DIAS HABILES O MORA]]&lt;0,(Tabla14[[#This Row],[VALOR PRESTAMO]]*Tabla14[[#This Row],[% INTERES ]]/30*U4044))</f>
        <v>0</v>
      </c>
      <c r="T4044" s="53" t="e">
        <f>Tabla14[[#This Row],[DEUDA CAPITAL]]+Tabla14[[#This Row],[INTERES  CUOTA]]</f>
        <v>#NUM!</v>
      </c>
      <c r="U4044" s="61" t="str">
        <f t="shared" si="639"/>
        <v/>
      </c>
    </row>
    <row r="4045" spans="9:21" ht="24.75" customHeight="1" x14ac:dyDescent="0.35">
      <c r="I4045" s="42">
        <f t="shared" si="630"/>
        <v>0</v>
      </c>
      <c r="J4045" s="65" t="e">
        <f t="shared" si="631"/>
        <v>#NUM!</v>
      </c>
      <c r="K4045" s="83" t="e">
        <f t="shared" si="632"/>
        <v>#NUM!</v>
      </c>
      <c r="L4045" s="83">
        <f t="shared" si="633"/>
        <v>0</v>
      </c>
      <c r="M4045" s="110" t="str">
        <f t="shared" si="634"/>
        <v/>
      </c>
      <c r="N4045" s="51" t="str">
        <f t="shared" si="635"/>
        <v/>
      </c>
      <c r="O4045" s="52" t="str">
        <f t="shared" si="636"/>
        <v/>
      </c>
      <c r="P4045" s="88">
        <f t="shared" si="637"/>
        <v>0</v>
      </c>
      <c r="Q4045" s="88">
        <f t="shared" si="638"/>
        <v>0</v>
      </c>
      <c r="R4045" s="88" t="e">
        <f>-IF(Tabla14[[#This Row],[DIAS HABILES O MORA]]&lt;0,(Tabla14[[#This Row],[VALOR PRESTAMO]]*Tabla14[[#This Row],[% INTERES ]]/30*U4045))+Tabla14[[#This Row],[VALOR CUOTAS]]</f>
        <v>#VALUE!</v>
      </c>
      <c r="S4045" s="88">
        <f>-IF(Tabla14[[#This Row],[DIAS HABILES O MORA]]&lt;0,(Tabla14[[#This Row],[VALOR PRESTAMO]]*Tabla14[[#This Row],[% INTERES ]]/30*U4045))</f>
        <v>0</v>
      </c>
      <c r="T4045" s="53" t="e">
        <f>Tabla14[[#This Row],[DEUDA CAPITAL]]+Tabla14[[#This Row],[INTERES  CUOTA]]</f>
        <v>#NUM!</v>
      </c>
      <c r="U4045" s="61" t="str">
        <f t="shared" si="639"/>
        <v/>
      </c>
    </row>
    <row r="4046" spans="9:21" ht="24.75" customHeight="1" x14ac:dyDescent="0.35">
      <c r="I4046" s="42">
        <f t="shared" si="630"/>
        <v>0</v>
      </c>
      <c r="J4046" s="65" t="e">
        <f t="shared" si="631"/>
        <v>#NUM!</v>
      </c>
      <c r="K4046" s="83" t="e">
        <f t="shared" si="632"/>
        <v>#NUM!</v>
      </c>
      <c r="L4046" s="83">
        <f t="shared" si="633"/>
        <v>0</v>
      </c>
      <c r="M4046" s="110" t="str">
        <f t="shared" si="634"/>
        <v/>
      </c>
      <c r="N4046" s="51" t="str">
        <f t="shared" si="635"/>
        <v/>
      </c>
      <c r="O4046" s="52" t="str">
        <f t="shared" si="636"/>
        <v/>
      </c>
      <c r="P4046" s="88">
        <f t="shared" si="637"/>
        <v>0</v>
      </c>
      <c r="Q4046" s="88">
        <f t="shared" si="638"/>
        <v>0</v>
      </c>
      <c r="R4046" s="88" t="e">
        <f>-IF(Tabla14[[#This Row],[DIAS HABILES O MORA]]&lt;0,(Tabla14[[#This Row],[VALOR PRESTAMO]]*Tabla14[[#This Row],[% INTERES ]]/30*U4046))+Tabla14[[#This Row],[VALOR CUOTAS]]</f>
        <v>#VALUE!</v>
      </c>
      <c r="S4046" s="88">
        <f>-IF(Tabla14[[#This Row],[DIAS HABILES O MORA]]&lt;0,(Tabla14[[#This Row],[VALOR PRESTAMO]]*Tabla14[[#This Row],[% INTERES ]]/30*U4046))</f>
        <v>0</v>
      </c>
      <c r="T4046" s="53" t="e">
        <f>Tabla14[[#This Row],[DEUDA CAPITAL]]+Tabla14[[#This Row],[INTERES  CUOTA]]</f>
        <v>#NUM!</v>
      </c>
      <c r="U4046" s="61" t="str">
        <f t="shared" si="639"/>
        <v/>
      </c>
    </row>
    <row r="4047" spans="9:21" ht="24.75" customHeight="1" x14ac:dyDescent="0.35">
      <c r="I4047" s="42">
        <f t="shared" si="630"/>
        <v>0</v>
      </c>
      <c r="J4047" s="65" t="e">
        <f t="shared" si="631"/>
        <v>#NUM!</v>
      </c>
      <c r="K4047" s="83" t="e">
        <f t="shared" si="632"/>
        <v>#NUM!</v>
      </c>
      <c r="L4047" s="83">
        <f t="shared" si="633"/>
        <v>0</v>
      </c>
      <c r="M4047" s="110" t="str">
        <f t="shared" si="634"/>
        <v/>
      </c>
      <c r="N4047" s="51" t="str">
        <f t="shared" si="635"/>
        <v/>
      </c>
      <c r="O4047" s="52" t="str">
        <f t="shared" si="636"/>
        <v/>
      </c>
      <c r="P4047" s="88">
        <f t="shared" si="637"/>
        <v>0</v>
      </c>
      <c r="Q4047" s="88">
        <f t="shared" si="638"/>
        <v>0</v>
      </c>
      <c r="R4047" s="88" t="e">
        <f>-IF(Tabla14[[#This Row],[DIAS HABILES O MORA]]&lt;0,(Tabla14[[#This Row],[VALOR PRESTAMO]]*Tabla14[[#This Row],[% INTERES ]]/30*U4047))+Tabla14[[#This Row],[VALOR CUOTAS]]</f>
        <v>#VALUE!</v>
      </c>
      <c r="S4047" s="88">
        <f>-IF(Tabla14[[#This Row],[DIAS HABILES O MORA]]&lt;0,(Tabla14[[#This Row],[VALOR PRESTAMO]]*Tabla14[[#This Row],[% INTERES ]]/30*U4047))</f>
        <v>0</v>
      </c>
      <c r="T4047" s="53" t="e">
        <f>Tabla14[[#This Row],[DEUDA CAPITAL]]+Tabla14[[#This Row],[INTERES  CUOTA]]</f>
        <v>#NUM!</v>
      </c>
      <c r="U4047" s="61" t="str">
        <f t="shared" si="639"/>
        <v/>
      </c>
    </row>
    <row r="4048" spans="9:21" ht="24.75" customHeight="1" x14ac:dyDescent="0.35">
      <c r="I4048" s="42">
        <f t="shared" ref="I4048:I4111" si="640">IF(C4048&lt;0,"",IF(Q4048=0,0,IF(G4048=0,H4048+1,IF(H4048&lt;G4048,H4048+1,IF(G4048=H4048,0)))))</f>
        <v>0</v>
      </c>
      <c r="J4048" s="65" t="e">
        <f t="shared" ref="J4048:J4111" si="641">IF(F4048="SOLO INTERES",Q4048*D4048,-IPMT(D4048,I4048,G4048,C4048))</f>
        <v>#NUM!</v>
      </c>
      <c r="K4048" s="83" t="e">
        <f t="shared" ref="K4048:K4111" si="642">IF(F4048="SOLO INTERES",0,-PPMT(D4048,I4048,G4048,C4048))</f>
        <v>#NUM!</v>
      </c>
      <c r="L4048" s="83">
        <f t="shared" ref="L4048:L4111" si="643">IF(F4048="SOLO INTERES",SUM(Y4048:AAE4048),IFERROR(-CUMIPMT(D4048,G4048,C4048,1,H4048,0),0)+SUM(Y4048:WY4048))</f>
        <v>0</v>
      </c>
      <c r="M4048" s="110" t="str">
        <f t="shared" ref="M4048:M4111" si="644">IFERROR(IF(F4048="SOLO INTERES",Q4048*D4048,-PMT(D4048,G4048,C4048,0)),"")</f>
        <v/>
      </c>
      <c r="N4048" s="51" t="str">
        <f t="shared" ref="N4048:N4111" si="645">IF(Q4048=0,"",IF(E4048="MENSUAL",EDATE(B4048,I4048),IF(E4048="QUINCENAL",B4048+(I4048*15),IF(E4048="SEMANAL",B4048+(I4048*7)))))</f>
        <v/>
      </c>
      <c r="O4048" s="52" t="str">
        <f t="shared" ref="O4048:O4111" si="646">IF(C4048=0,"",IF(Q4048&lt;1,"PAGADO",IF(N4048=$A$3,"COBRAR HOY",IF(N4048&lt;$A$3,"EN MORA",IF(N4048&gt;$A$3,"AL DIA")))))</f>
        <v/>
      </c>
      <c r="P4048" s="88">
        <f t="shared" ref="P4048:P4111" si="647">IFERROR(-CUMPRINC(D4048,G4048,C4048,1,H4048,0),0)+W4048</f>
        <v>0</v>
      </c>
      <c r="Q4048" s="88">
        <f t="shared" ref="Q4048:Q4111" si="648">IFERROR(C4048-P4048,"")</f>
        <v>0</v>
      </c>
      <c r="R4048" s="88" t="e">
        <f>-IF(Tabla14[[#This Row],[DIAS HABILES O MORA]]&lt;0,(Tabla14[[#This Row],[VALOR PRESTAMO]]*Tabla14[[#This Row],[% INTERES ]]/30*U4048))+Tabla14[[#This Row],[VALOR CUOTAS]]</f>
        <v>#VALUE!</v>
      </c>
      <c r="S4048" s="88">
        <f>-IF(Tabla14[[#This Row],[DIAS HABILES O MORA]]&lt;0,(Tabla14[[#This Row],[VALOR PRESTAMO]]*Tabla14[[#This Row],[% INTERES ]]/30*U4048))</f>
        <v>0</v>
      </c>
      <c r="T4048" s="53" t="e">
        <f>Tabla14[[#This Row],[DEUDA CAPITAL]]+Tabla14[[#This Row],[INTERES  CUOTA]]</f>
        <v>#NUM!</v>
      </c>
      <c r="U4048" s="61" t="str">
        <f t="shared" ref="U4048:U4111" si="649">IF(O4048="PAGADO","",IFERROR(-IF(C4048=0,"",$A$3-N4048),""))</f>
        <v/>
      </c>
    </row>
    <row r="4049" spans="9:21" ht="24.75" customHeight="1" x14ac:dyDescent="0.35">
      <c r="I4049" s="42">
        <f t="shared" si="640"/>
        <v>0</v>
      </c>
      <c r="J4049" s="65" t="e">
        <f t="shared" si="641"/>
        <v>#NUM!</v>
      </c>
      <c r="K4049" s="83" t="e">
        <f t="shared" si="642"/>
        <v>#NUM!</v>
      </c>
      <c r="L4049" s="83">
        <f t="shared" si="643"/>
        <v>0</v>
      </c>
      <c r="M4049" s="110" t="str">
        <f t="shared" si="644"/>
        <v/>
      </c>
      <c r="N4049" s="51" t="str">
        <f t="shared" si="645"/>
        <v/>
      </c>
      <c r="O4049" s="52" t="str">
        <f t="shared" si="646"/>
        <v/>
      </c>
      <c r="P4049" s="88">
        <f t="shared" si="647"/>
        <v>0</v>
      </c>
      <c r="Q4049" s="88">
        <f t="shared" si="648"/>
        <v>0</v>
      </c>
      <c r="R4049" s="88" t="e">
        <f>-IF(Tabla14[[#This Row],[DIAS HABILES O MORA]]&lt;0,(Tabla14[[#This Row],[VALOR PRESTAMO]]*Tabla14[[#This Row],[% INTERES ]]/30*U4049))+Tabla14[[#This Row],[VALOR CUOTAS]]</f>
        <v>#VALUE!</v>
      </c>
      <c r="S4049" s="88">
        <f>-IF(Tabla14[[#This Row],[DIAS HABILES O MORA]]&lt;0,(Tabla14[[#This Row],[VALOR PRESTAMO]]*Tabla14[[#This Row],[% INTERES ]]/30*U4049))</f>
        <v>0</v>
      </c>
      <c r="T4049" s="53" t="e">
        <f>Tabla14[[#This Row],[DEUDA CAPITAL]]+Tabla14[[#This Row],[INTERES  CUOTA]]</f>
        <v>#NUM!</v>
      </c>
      <c r="U4049" s="61" t="str">
        <f t="shared" si="649"/>
        <v/>
      </c>
    </row>
    <row r="4050" spans="9:21" ht="24.75" customHeight="1" x14ac:dyDescent="0.35">
      <c r="I4050" s="42">
        <f t="shared" si="640"/>
        <v>0</v>
      </c>
      <c r="J4050" s="65" t="e">
        <f t="shared" si="641"/>
        <v>#NUM!</v>
      </c>
      <c r="K4050" s="83" t="e">
        <f t="shared" si="642"/>
        <v>#NUM!</v>
      </c>
      <c r="L4050" s="83">
        <f t="shared" si="643"/>
        <v>0</v>
      </c>
      <c r="M4050" s="110" t="str">
        <f t="shared" si="644"/>
        <v/>
      </c>
      <c r="N4050" s="51" t="str">
        <f t="shared" si="645"/>
        <v/>
      </c>
      <c r="O4050" s="52" t="str">
        <f t="shared" si="646"/>
        <v/>
      </c>
      <c r="P4050" s="88">
        <f t="shared" si="647"/>
        <v>0</v>
      </c>
      <c r="Q4050" s="88">
        <f t="shared" si="648"/>
        <v>0</v>
      </c>
      <c r="R4050" s="88" t="e">
        <f>-IF(Tabla14[[#This Row],[DIAS HABILES O MORA]]&lt;0,(Tabla14[[#This Row],[VALOR PRESTAMO]]*Tabla14[[#This Row],[% INTERES ]]/30*U4050))+Tabla14[[#This Row],[VALOR CUOTAS]]</f>
        <v>#VALUE!</v>
      </c>
      <c r="S4050" s="88">
        <f>-IF(Tabla14[[#This Row],[DIAS HABILES O MORA]]&lt;0,(Tabla14[[#This Row],[VALOR PRESTAMO]]*Tabla14[[#This Row],[% INTERES ]]/30*U4050))</f>
        <v>0</v>
      </c>
      <c r="T4050" s="53" t="e">
        <f>Tabla14[[#This Row],[DEUDA CAPITAL]]+Tabla14[[#This Row],[INTERES  CUOTA]]</f>
        <v>#NUM!</v>
      </c>
      <c r="U4050" s="61" t="str">
        <f t="shared" si="649"/>
        <v/>
      </c>
    </row>
    <row r="4051" spans="9:21" ht="24.75" customHeight="1" x14ac:dyDescent="0.35">
      <c r="I4051" s="42">
        <f t="shared" si="640"/>
        <v>0</v>
      </c>
      <c r="J4051" s="65" t="e">
        <f t="shared" si="641"/>
        <v>#NUM!</v>
      </c>
      <c r="K4051" s="83" t="e">
        <f t="shared" si="642"/>
        <v>#NUM!</v>
      </c>
      <c r="L4051" s="83">
        <f t="shared" si="643"/>
        <v>0</v>
      </c>
      <c r="M4051" s="110" t="str">
        <f t="shared" si="644"/>
        <v/>
      </c>
      <c r="N4051" s="51" t="str">
        <f t="shared" si="645"/>
        <v/>
      </c>
      <c r="O4051" s="52" t="str">
        <f t="shared" si="646"/>
        <v/>
      </c>
      <c r="P4051" s="88">
        <f t="shared" si="647"/>
        <v>0</v>
      </c>
      <c r="Q4051" s="88">
        <f t="shared" si="648"/>
        <v>0</v>
      </c>
      <c r="R4051" s="88" t="e">
        <f>-IF(Tabla14[[#This Row],[DIAS HABILES O MORA]]&lt;0,(Tabla14[[#This Row],[VALOR PRESTAMO]]*Tabla14[[#This Row],[% INTERES ]]/30*U4051))+Tabla14[[#This Row],[VALOR CUOTAS]]</f>
        <v>#VALUE!</v>
      </c>
      <c r="S4051" s="88">
        <f>-IF(Tabla14[[#This Row],[DIAS HABILES O MORA]]&lt;0,(Tabla14[[#This Row],[VALOR PRESTAMO]]*Tabla14[[#This Row],[% INTERES ]]/30*U4051))</f>
        <v>0</v>
      </c>
      <c r="T4051" s="53" t="e">
        <f>Tabla14[[#This Row],[DEUDA CAPITAL]]+Tabla14[[#This Row],[INTERES  CUOTA]]</f>
        <v>#NUM!</v>
      </c>
      <c r="U4051" s="61" t="str">
        <f t="shared" si="649"/>
        <v/>
      </c>
    </row>
    <row r="4052" spans="9:21" ht="24.75" customHeight="1" x14ac:dyDescent="0.35">
      <c r="I4052" s="42">
        <f t="shared" si="640"/>
        <v>0</v>
      </c>
      <c r="J4052" s="65" t="e">
        <f t="shared" si="641"/>
        <v>#NUM!</v>
      </c>
      <c r="K4052" s="83" t="e">
        <f t="shared" si="642"/>
        <v>#NUM!</v>
      </c>
      <c r="L4052" s="83">
        <f t="shared" si="643"/>
        <v>0</v>
      </c>
      <c r="M4052" s="110" t="str">
        <f t="shared" si="644"/>
        <v/>
      </c>
      <c r="N4052" s="51" t="str">
        <f t="shared" si="645"/>
        <v/>
      </c>
      <c r="O4052" s="52" t="str">
        <f t="shared" si="646"/>
        <v/>
      </c>
      <c r="P4052" s="88">
        <f t="shared" si="647"/>
        <v>0</v>
      </c>
      <c r="Q4052" s="88">
        <f t="shared" si="648"/>
        <v>0</v>
      </c>
      <c r="R4052" s="88" t="e">
        <f>-IF(Tabla14[[#This Row],[DIAS HABILES O MORA]]&lt;0,(Tabla14[[#This Row],[VALOR PRESTAMO]]*Tabla14[[#This Row],[% INTERES ]]/30*U4052))+Tabla14[[#This Row],[VALOR CUOTAS]]</f>
        <v>#VALUE!</v>
      </c>
      <c r="S4052" s="88">
        <f>-IF(Tabla14[[#This Row],[DIAS HABILES O MORA]]&lt;0,(Tabla14[[#This Row],[VALOR PRESTAMO]]*Tabla14[[#This Row],[% INTERES ]]/30*U4052))</f>
        <v>0</v>
      </c>
      <c r="T4052" s="53" t="e">
        <f>Tabla14[[#This Row],[DEUDA CAPITAL]]+Tabla14[[#This Row],[INTERES  CUOTA]]</f>
        <v>#NUM!</v>
      </c>
      <c r="U4052" s="61" t="str">
        <f t="shared" si="649"/>
        <v/>
      </c>
    </row>
    <row r="4053" spans="9:21" ht="24.75" customHeight="1" x14ac:dyDescent="0.35">
      <c r="I4053" s="42">
        <f t="shared" si="640"/>
        <v>0</v>
      </c>
      <c r="J4053" s="65" t="e">
        <f t="shared" si="641"/>
        <v>#NUM!</v>
      </c>
      <c r="K4053" s="83" t="e">
        <f t="shared" si="642"/>
        <v>#NUM!</v>
      </c>
      <c r="L4053" s="83">
        <f t="shared" si="643"/>
        <v>0</v>
      </c>
      <c r="M4053" s="110" t="str">
        <f t="shared" si="644"/>
        <v/>
      </c>
      <c r="N4053" s="51" t="str">
        <f t="shared" si="645"/>
        <v/>
      </c>
      <c r="O4053" s="52" t="str">
        <f t="shared" si="646"/>
        <v/>
      </c>
      <c r="P4053" s="88">
        <f t="shared" si="647"/>
        <v>0</v>
      </c>
      <c r="Q4053" s="88">
        <f t="shared" si="648"/>
        <v>0</v>
      </c>
      <c r="R4053" s="88" t="e">
        <f>-IF(Tabla14[[#This Row],[DIAS HABILES O MORA]]&lt;0,(Tabla14[[#This Row],[VALOR PRESTAMO]]*Tabla14[[#This Row],[% INTERES ]]/30*U4053))+Tabla14[[#This Row],[VALOR CUOTAS]]</f>
        <v>#VALUE!</v>
      </c>
      <c r="S4053" s="88">
        <f>-IF(Tabla14[[#This Row],[DIAS HABILES O MORA]]&lt;0,(Tabla14[[#This Row],[VALOR PRESTAMO]]*Tabla14[[#This Row],[% INTERES ]]/30*U4053))</f>
        <v>0</v>
      </c>
      <c r="T4053" s="53" t="e">
        <f>Tabla14[[#This Row],[DEUDA CAPITAL]]+Tabla14[[#This Row],[INTERES  CUOTA]]</f>
        <v>#NUM!</v>
      </c>
      <c r="U4053" s="61" t="str">
        <f t="shared" si="649"/>
        <v/>
      </c>
    </row>
    <row r="4054" spans="9:21" ht="24.75" customHeight="1" x14ac:dyDescent="0.35">
      <c r="I4054" s="42">
        <f t="shared" si="640"/>
        <v>0</v>
      </c>
      <c r="J4054" s="65" t="e">
        <f t="shared" si="641"/>
        <v>#NUM!</v>
      </c>
      <c r="K4054" s="83" t="e">
        <f t="shared" si="642"/>
        <v>#NUM!</v>
      </c>
      <c r="L4054" s="83">
        <f t="shared" si="643"/>
        <v>0</v>
      </c>
      <c r="M4054" s="110" t="str">
        <f t="shared" si="644"/>
        <v/>
      </c>
      <c r="N4054" s="51" t="str">
        <f t="shared" si="645"/>
        <v/>
      </c>
      <c r="O4054" s="52" t="str">
        <f t="shared" si="646"/>
        <v/>
      </c>
      <c r="P4054" s="88">
        <f t="shared" si="647"/>
        <v>0</v>
      </c>
      <c r="Q4054" s="88">
        <f t="shared" si="648"/>
        <v>0</v>
      </c>
      <c r="R4054" s="88" t="e">
        <f>-IF(Tabla14[[#This Row],[DIAS HABILES O MORA]]&lt;0,(Tabla14[[#This Row],[VALOR PRESTAMO]]*Tabla14[[#This Row],[% INTERES ]]/30*U4054))+Tabla14[[#This Row],[VALOR CUOTAS]]</f>
        <v>#VALUE!</v>
      </c>
      <c r="S4054" s="88">
        <f>-IF(Tabla14[[#This Row],[DIAS HABILES O MORA]]&lt;0,(Tabla14[[#This Row],[VALOR PRESTAMO]]*Tabla14[[#This Row],[% INTERES ]]/30*U4054))</f>
        <v>0</v>
      </c>
      <c r="T4054" s="53" t="e">
        <f>Tabla14[[#This Row],[DEUDA CAPITAL]]+Tabla14[[#This Row],[INTERES  CUOTA]]</f>
        <v>#NUM!</v>
      </c>
      <c r="U4054" s="61" t="str">
        <f t="shared" si="649"/>
        <v/>
      </c>
    </row>
    <row r="4055" spans="9:21" ht="24.75" customHeight="1" x14ac:dyDescent="0.35">
      <c r="I4055" s="42">
        <f t="shared" si="640"/>
        <v>0</v>
      </c>
      <c r="J4055" s="65" t="e">
        <f t="shared" si="641"/>
        <v>#NUM!</v>
      </c>
      <c r="K4055" s="83" t="e">
        <f t="shared" si="642"/>
        <v>#NUM!</v>
      </c>
      <c r="L4055" s="83">
        <f t="shared" si="643"/>
        <v>0</v>
      </c>
      <c r="M4055" s="110" t="str">
        <f t="shared" si="644"/>
        <v/>
      </c>
      <c r="N4055" s="51" t="str">
        <f t="shared" si="645"/>
        <v/>
      </c>
      <c r="O4055" s="52" t="str">
        <f t="shared" si="646"/>
        <v/>
      </c>
      <c r="P4055" s="88">
        <f t="shared" si="647"/>
        <v>0</v>
      </c>
      <c r="Q4055" s="88">
        <f t="shared" si="648"/>
        <v>0</v>
      </c>
      <c r="R4055" s="88" t="e">
        <f>-IF(Tabla14[[#This Row],[DIAS HABILES O MORA]]&lt;0,(Tabla14[[#This Row],[VALOR PRESTAMO]]*Tabla14[[#This Row],[% INTERES ]]/30*U4055))+Tabla14[[#This Row],[VALOR CUOTAS]]</f>
        <v>#VALUE!</v>
      </c>
      <c r="S4055" s="88">
        <f>-IF(Tabla14[[#This Row],[DIAS HABILES O MORA]]&lt;0,(Tabla14[[#This Row],[VALOR PRESTAMO]]*Tabla14[[#This Row],[% INTERES ]]/30*U4055))</f>
        <v>0</v>
      </c>
      <c r="T4055" s="53" t="e">
        <f>Tabla14[[#This Row],[DEUDA CAPITAL]]+Tabla14[[#This Row],[INTERES  CUOTA]]</f>
        <v>#NUM!</v>
      </c>
      <c r="U4055" s="61" t="str">
        <f t="shared" si="649"/>
        <v/>
      </c>
    </row>
    <row r="4056" spans="9:21" ht="24.75" customHeight="1" x14ac:dyDescent="0.35">
      <c r="I4056" s="42">
        <f t="shared" si="640"/>
        <v>0</v>
      </c>
      <c r="J4056" s="65" t="e">
        <f t="shared" si="641"/>
        <v>#NUM!</v>
      </c>
      <c r="K4056" s="83" t="e">
        <f t="shared" si="642"/>
        <v>#NUM!</v>
      </c>
      <c r="L4056" s="83">
        <f t="shared" si="643"/>
        <v>0</v>
      </c>
      <c r="M4056" s="110" t="str">
        <f t="shared" si="644"/>
        <v/>
      </c>
      <c r="N4056" s="51" t="str">
        <f t="shared" si="645"/>
        <v/>
      </c>
      <c r="O4056" s="52" t="str">
        <f t="shared" si="646"/>
        <v/>
      </c>
      <c r="P4056" s="88">
        <f t="shared" si="647"/>
        <v>0</v>
      </c>
      <c r="Q4056" s="88">
        <f t="shared" si="648"/>
        <v>0</v>
      </c>
      <c r="R4056" s="88" t="e">
        <f>-IF(Tabla14[[#This Row],[DIAS HABILES O MORA]]&lt;0,(Tabla14[[#This Row],[VALOR PRESTAMO]]*Tabla14[[#This Row],[% INTERES ]]/30*U4056))+Tabla14[[#This Row],[VALOR CUOTAS]]</f>
        <v>#VALUE!</v>
      </c>
      <c r="S4056" s="88">
        <f>-IF(Tabla14[[#This Row],[DIAS HABILES O MORA]]&lt;0,(Tabla14[[#This Row],[VALOR PRESTAMO]]*Tabla14[[#This Row],[% INTERES ]]/30*U4056))</f>
        <v>0</v>
      </c>
      <c r="T4056" s="53" t="e">
        <f>Tabla14[[#This Row],[DEUDA CAPITAL]]+Tabla14[[#This Row],[INTERES  CUOTA]]</f>
        <v>#NUM!</v>
      </c>
      <c r="U4056" s="61" t="str">
        <f t="shared" si="649"/>
        <v/>
      </c>
    </row>
    <row r="4057" spans="9:21" ht="24.75" customHeight="1" x14ac:dyDescent="0.35">
      <c r="I4057" s="42">
        <f t="shared" si="640"/>
        <v>0</v>
      </c>
      <c r="J4057" s="65" t="e">
        <f t="shared" si="641"/>
        <v>#NUM!</v>
      </c>
      <c r="K4057" s="83" t="e">
        <f t="shared" si="642"/>
        <v>#NUM!</v>
      </c>
      <c r="L4057" s="83">
        <f t="shared" si="643"/>
        <v>0</v>
      </c>
      <c r="M4057" s="110" t="str">
        <f t="shared" si="644"/>
        <v/>
      </c>
      <c r="N4057" s="51" t="str">
        <f t="shared" si="645"/>
        <v/>
      </c>
      <c r="O4057" s="52" t="str">
        <f t="shared" si="646"/>
        <v/>
      </c>
      <c r="P4057" s="88">
        <f t="shared" si="647"/>
        <v>0</v>
      </c>
      <c r="Q4057" s="88">
        <f t="shared" si="648"/>
        <v>0</v>
      </c>
      <c r="R4057" s="88" t="e">
        <f>-IF(Tabla14[[#This Row],[DIAS HABILES O MORA]]&lt;0,(Tabla14[[#This Row],[VALOR PRESTAMO]]*Tabla14[[#This Row],[% INTERES ]]/30*U4057))+Tabla14[[#This Row],[VALOR CUOTAS]]</f>
        <v>#VALUE!</v>
      </c>
      <c r="S4057" s="88">
        <f>-IF(Tabla14[[#This Row],[DIAS HABILES O MORA]]&lt;0,(Tabla14[[#This Row],[VALOR PRESTAMO]]*Tabla14[[#This Row],[% INTERES ]]/30*U4057))</f>
        <v>0</v>
      </c>
      <c r="T4057" s="53" t="e">
        <f>Tabla14[[#This Row],[DEUDA CAPITAL]]+Tabla14[[#This Row],[INTERES  CUOTA]]</f>
        <v>#NUM!</v>
      </c>
      <c r="U4057" s="61" t="str">
        <f t="shared" si="649"/>
        <v/>
      </c>
    </row>
    <row r="4058" spans="9:21" ht="24.75" customHeight="1" x14ac:dyDescent="0.35">
      <c r="I4058" s="42">
        <f t="shared" si="640"/>
        <v>0</v>
      </c>
      <c r="J4058" s="65" t="e">
        <f t="shared" si="641"/>
        <v>#NUM!</v>
      </c>
      <c r="K4058" s="83" t="e">
        <f t="shared" si="642"/>
        <v>#NUM!</v>
      </c>
      <c r="L4058" s="83">
        <f t="shared" si="643"/>
        <v>0</v>
      </c>
      <c r="M4058" s="110" t="str">
        <f t="shared" si="644"/>
        <v/>
      </c>
      <c r="N4058" s="51" t="str">
        <f t="shared" si="645"/>
        <v/>
      </c>
      <c r="O4058" s="52" t="str">
        <f t="shared" si="646"/>
        <v/>
      </c>
      <c r="P4058" s="88">
        <f t="shared" si="647"/>
        <v>0</v>
      </c>
      <c r="Q4058" s="88">
        <f t="shared" si="648"/>
        <v>0</v>
      </c>
      <c r="R4058" s="88" t="e">
        <f>-IF(Tabla14[[#This Row],[DIAS HABILES O MORA]]&lt;0,(Tabla14[[#This Row],[VALOR PRESTAMO]]*Tabla14[[#This Row],[% INTERES ]]/30*U4058))+Tabla14[[#This Row],[VALOR CUOTAS]]</f>
        <v>#VALUE!</v>
      </c>
      <c r="S4058" s="88">
        <f>-IF(Tabla14[[#This Row],[DIAS HABILES O MORA]]&lt;0,(Tabla14[[#This Row],[VALOR PRESTAMO]]*Tabla14[[#This Row],[% INTERES ]]/30*U4058))</f>
        <v>0</v>
      </c>
      <c r="T4058" s="53" t="e">
        <f>Tabla14[[#This Row],[DEUDA CAPITAL]]+Tabla14[[#This Row],[INTERES  CUOTA]]</f>
        <v>#NUM!</v>
      </c>
      <c r="U4058" s="61" t="str">
        <f t="shared" si="649"/>
        <v/>
      </c>
    </row>
    <row r="4059" spans="9:21" ht="24.75" customHeight="1" x14ac:dyDescent="0.35">
      <c r="I4059" s="42">
        <f t="shared" si="640"/>
        <v>0</v>
      </c>
      <c r="J4059" s="65" t="e">
        <f t="shared" si="641"/>
        <v>#NUM!</v>
      </c>
      <c r="K4059" s="83" t="e">
        <f t="shared" si="642"/>
        <v>#NUM!</v>
      </c>
      <c r="L4059" s="83">
        <f t="shared" si="643"/>
        <v>0</v>
      </c>
      <c r="M4059" s="110" t="str">
        <f t="shared" si="644"/>
        <v/>
      </c>
      <c r="N4059" s="51" t="str">
        <f t="shared" si="645"/>
        <v/>
      </c>
      <c r="O4059" s="52" t="str">
        <f t="shared" si="646"/>
        <v/>
      </c>
      <c r="P4059" s="88">
        <f t="shared" si="647"/>
        <v>0</v>
      </c>
      <c r="Q4059" s="88">
        <f t="shared" si="648"/>
        <v>0</v>
      </c>
      <c r="R4059" s="88" t="e">
        <f>-IF(Tabla14[[#This Row],[DIAS HABILES O MORA]]&lt;0,(Tabla14[[#This Row],[VALOR PRESTAMO]]*Tabla14[[#This Row],[% INTERES ]]/30*U4059))+Tabla14[[#This Row],[VALOR CUOTAS]]</f>
        <v>#VALUE!</v>
      </c>
      <c r="S4059" s="88">
        <f>-IF(Tabla14[[#This Row],[DIAS HABILES O MORA]]&lt;0,(Tabla14[[#This Row],[VALOR PRESTAMO]]*Tabla14[[#This Row],[% INTERES ]]/30*U4059))</f>
        <v>0</v>
      </c>
      <c r="T4059" s="53" t="e">
        <f>Tabla14[[#This Row],[DEUDA CAPITAL]]+Tabla14[[#This Row],[INTERES  CUOTA]]</f>
        <v>#NUM!</v>
      </c>
      <c r="U4059" s="61" t="str">
        <f t="shared" si="649"/>
        <v/>
      </c>
    </row>
    <row r="4060" spans="9:21" ht="24.75" customHeight="1" x14ac:dyDescent="0.35">
      <c r="I4060" s="42">
        <f t="shared" si="640"/>
        <v>0</v>
      </c>
      <c r="J4060" s="65" t="e">
        <f t="shared" si="641"/>
        <v>#NUM!</v>
      </c>
      <c r="K4060" s="83" t="e">
        <f t="shared" si="642"/>
        <v>#NUM!</v>
      </c>
      <c r="L4060" s="83">
        <f t="shared" si="643"/>
        <v>0</v>
      </c>
      <c r="M4060" s="110" t="str">
        <f t="shared" si="644"/>
        <v/>
      </c>
      <c r="N4060" s="51" t="str">
        <f t="shared" si="645"/>
        <v/>
      </c>
      <c r="O4060" s="52" t="str">
        <f t="shared" si="646"/>
        <v/>
      </c>
      <c r="P4060" s="88">
        <f t="shared" si="647"/>
        <v>0</v>
      </c>
      <c r="Q4060" s="88">
        <f t="shared" si="648"/>
        <v>0</v>
      </c>
      <c r="R4060" s="88" t="e">
        <f>-IF(Tabla14[[#This Row],[DIAS HABILES O MORA]]&lt;0,(Tabla14[[#This Row],[VALOR PRESTAMO]]*Tabla14[[#This Row],[% INTERES ]]/30*U4060))+Tabla14[[#This Row],[VALOR CUOTAS]]</f>
        <v>#VALUE!</v>
      </c>
      <c r="S4060" s="88">
        <f>-IF(Tabla14[[#This Row],[DIAS HABILES O MORA]]&lt;0,(Tabla14[[#This Row],[VALOR PRESTAMO]]*Tabla14[[#This Row],[% INTERES ]]/30*U4060))</f>
        <v>0</v>
      </c>
      <c r="T4060" s="53" t="e">
        <f>Tabla14[[#This Row],[DEUDA CAPITAL]]+Tabla14[[#This Row],[INTERES  CUOTA]]</f>
        <v>#NUM!</v>
      </c>
      <c r="U4060" s="61" t="str">
        <f t="shared" si="649"/>
        <v/>
      </c>
    </row>
    <row r="4061" spans="9:21" ht="24.75" customHeight="1" x14ac:dyDescent="0.35">
      <c r="I4061" s="42">
        <f t="shared" si="640"/>
        <v>0</v>
      </c>
      <c r="J4061" s="65" t="e">
        <f t="shared" si="641"/>
        <v>#NUM!</v>
      </c>
      <c r="K4061" s="83" t="e">
        <f t="shared" si="642"/>
        <v>#NUM!</v>
      </c>
      <c r="L4061" s="83">
        <f t="shared" si="643"/>
        <v>0</v>
      </c>
      <c r="M4061" s="110" t="str">
        <f t="shared" si="644"/>
        <v/>
      </c>
      <c r="N4061" s="51" t="str">
        <f t="shared" si="645"/>
        <v/>
      </c>
      <c r="O4061" s="52" t="str">
        <f t="shared" si="646"/>
        <v/>
      </c>
      <c r="P4061" s="88">
        <f t="shared" si="647"/>
        <v>0</v>
      </c>
      <c r="Q4061" s="88">
        <f t="shared" si="648"/>
        <v>0</v>
      </c>
      <c r="R4061" s="88" t="e">
        <f>-IF(Tabla14[[#This Row],[DIAS HABILES O MORA]]&lt;0,(Tabla14[[#This Row],[VALOR PRESTAMO]]*Tabla14[[#This Row],[% INTERES ]]/30*U4061))+Tabla14[[#This Row],[VALOR CUOTAS]]</f>
        <v>#VALUE!</v>
      </c>
      <c r="S4061" s="88">
        <f>-IF(Tabla14[[#This Row],[DIAS HABILES O MORA]]&lt;0,(Tabla14[[#This Row],[VALOR PRESTAMO]]*Tabla14[[#This Row],[% INTERES ]]/30*U4061))</f>
        <v>0</v>
      </c>
      <c r="T4061" s="53" t="e">
        <f>Tabla14[[#This Row],[DEUDA CAPITAL]]+Tabla14[[#This Row],[INTERES  CUOTA]]</f>
        <v>#NUM!</v>
      </c>
      <c r="U4061" s="61" t="str">
        <f t="shared" si="649"/>
        <v/>
      </c>
    </row>
    <row r="4062" spans="9:21" ht="24.75" customHeight="1" x14ac:dyDescent="0.35">
      <c r="I4062" s="42">
        <f t="shared" si="640"/>
        <v>0</v>
      </c>
      <c r="J4062" s="65" t="e">
        <f t="shared" si="641"/>
        <v>#NUM!</v>
      </c>
      <c r="K4062" s="83" t="e">
        <f t="shared" si="642"/>
        <v>#NUM!</v>
      </c>
      <c r="L4062" s="83">
        <f t="shared" si="643"/>
        <v>0</v>
      </c>
      <c r="M4062" s="110" t="str">
        <f t="shared" si="644"/>
        <v/>
      </c>
      <c r="N4062" s="51" t="str">
        <f t="shared" si="645"/>
        <v/>
      </c>
      <c r="O4062" s="52" t="str">
        <f t="shared" si="646"/>
        <v/>
      </c>
      <c r="P4062" s="88">
        <f t="shared" si="647"/>
        <v>0</v>
      </c>
      <c r="Q4062" s="88">
        <f t="shared" si="648"/>
        <v>0</v>
      </c>
      <c r="R4062" s="88" t="e">
        <f>-IF(Tabla14[[#This Row],[DIAS HABILES O MORA]]&lt;0,(Tabla14[[#This Row],[VALOR PRESTAMO]]*Tabla14[[#This Row],[% INTERES ]]/30*U4062))+Tabla14[[#This Row],[VALOR CUOTAS]]</f>
        <v>#VALUE!</v>
      </c>
      <c r="S4062" s="88">
        <f>-IF(Tabla14[[#This Row],[DIAS HABILES O MORA]]&lt;0,(Tabla14[[#This Row],[VALOR PRESTAMO]]*Tabla14[[#This Row],[% INTERES ]]/30*U4062))</f>
        <v>0</v>
      </c>
      <c r="T4062" s="53" t="e">
        <f>Tabla14[[#This Row],[DEUDA CAPITAL]]+Tabla14[[#This Row],[INTERES  CUOTA]]</f>
        <v>#NUM!</v>
      </c>
      <c r="U4062" s="61" t="str">
        <f t="shared" si="649"/>
        <v/>
      </c>
    </row>
    <row r="4063" spans="9:21" ht="24.75" customHeight="1" x14ac:dyDescent="0.35">
      <c r="I4063" s="42">
        <f t="shared" si="640"/>
        <v>0</v>
      </c>
      <c r="J4063" s="65" t="e">
        <f t="shared" si="641"/>
        <v>#NUM!</v>
      </c>
      <c r="K4063" s="83" t="e">
        <f t="shared" si="642"/>
        <v>#NUM!</v>
      </c>
      <c r="L4063" s="83">
        <f t="shared" si="643"/>
        <v>0</v>
      </c>
      <c r="M4063" s="110" t="str">
        <f t="shared" si="644"/>
        <v/>
      </c>
      <c r="N4063" s="51" t="str">
        <f t="shared" si="645"/>
        <v/>
      </c>
      <c r="O4063" s="52" t="str">
        <f t="shared" si="646"/>
        <v/>
      </c>
      <c r="P4063" s="88">
        <f t="shared" si="647"/>
        <v>0</v>
      </c>
      <c r="Q4063" s="88">
        <f t="shared" si="648"/>
        <v>0</v>
      </c>
      <c r="R4063" s="88" t="e">
        <f>-IF(Tabla14[[#This Row],[DIAS HABILES O MORA]]&lt;0,(Tabla14[[#This Row],[VALOR PRESTAMO]]*Tabla14[[#This Row],[% INTERES ]]/30*U4063))+Tabla14[[#This Row],[VALOR CUOTAS]]</f>
        <v>#VALUE!</v>
      </c>
      <c r="S4063" s="88">
        <f>-IF(Tabla14[[#This Row],[DIAS HABILES O MORA]]&lt;0,(Tabla14[[#This Row],[VALOR PRESTAMO]]*Tabla14[[#This Row],[% INTERES ]]/30*U4063))</f>
        <v>0</v>
      </c>
      <c r="T4063" s="53" t="e">
        <f>Tabla14[[#This Row],[DEUDA CAPITAL]]+Tabla14[[#This Row],[INTERES  CUOTA]]</f>
        <v>#NUM!</v>
      </c>
      <c r="U4063" s="61" t="str">
        <f t="shared" si="649"/>
        <v/>
      </c>
    </row>
    <row r="4064" spans="9:21" ht="24.75" customHeight="1" x14ac:dyDescent="0.35">
      <c r="I4064" s="42">
        <f t="shared" si="640"/>
        <v>0</v>
      </c>
      <c r="J4064" s="65" t="e">
        <f t="shared" si="641"/>
        <v>#NUM!</v>
      </c>
      <c r="K4064" s="83" t="e">
        <f t="shared" si="642"/>
        <v>#NUM!</v>
      </c>
      <c r="L4064" s="83">
        <f t="shared" si="643"/>
        <v>0</v>
      </c>
      <c r="M4064" s="110" t="str">
        <f t="shared" si="644"/>
        <v/>
      </c>
      <c r="N4064" s="51" t="str">
        <f t="shared" si="645"/>
        <v/>
      </c>
      <c r="O4064" s="52" t="str">
        <f t="shared" si="646"/>
        <v/>
      </c>
      <c r="P4064" s="88">
        <f t="shared" si="647"/>
        <v>0</v>
      </c>
      <c r="Q4064" s="88">
        <f t="shared" si="648"/>
        <v>0</v>
      </c>
      <c r="R4064" s="88" t="e">
        <f>-IF(Tabla14[[#This Row],[DIAS HABILES O MORA]]&lt;0,(Tabla14[[#This Row],[VALOR PRESTAMO]]*Tabla14[[#This Row],[% INTERES ]]/30*U4064))+Tabla14[[#This Row],[VALOR CUOTAS]]</f>
        <v>#VALUE!</v>
      </c>
      <c r="S4064" s="88">
        <f>-IF(Tabla14[[#This Row],[DIAS HABILES O MORA]]&lt;0,(Tabla14[[#This Row],[VALOR PRESTAMO]]*Tabla14[[#This Row],[% INTERES ]]/30*U4064))</f>
        <v>0</v>
      </c>
      <c r="T4064" s="53" t="e">
        <f>Tabla14[[#This Row],[DEUDA CAPITAL]]+Tabla14[[#This Row],[INTERES  CUOTA]]</f>
        <v>#NUM!</v>
      </c>
      <c r="U4064" s="61" t="str">
        <f t="shared" si="649"/>
        <v/>
      </c>
    </row>
    <row r="4065" spans="9:21" ht="24.75" customHeight="1" x14ac:dyDescent="0.35">
      <c r="I4065" s="42">
        <f t="shared" si="640"/>
        <v>0</v>
      </c>
      <c r="J4065" s="65" t="e">
        <f t="shared" si="641"/>
        <v>#NUM!</v>
      </c>
      <c r="K4065" s="83" t="e">
        <f t="shared" si="642"/>
        <v>#NUM!</v>
      </c>
      <c r="L4065" s="83">
        <f t="shared" si="643"/>
        <v>0</v>
      </c>
      <c r="M4065" s="110" t="str">
        <f t="shared" si="644"/>
        <v/>
      </c>
      <c r="N4065" s="51" t="str">
        <f t="shared" si="645"/>
        <v/>
      </c>
      <c r="O4065" s="52" t="str">
        <f t="shared" si="646"/>
        <v/>
      </c>
      <c r="P4065" s="88">
        <f t="shared" si="647"/>
        <v>0</v>
      </c>
      <c r="Q4065" s="88">
        <f t="shared" si="648"/>
        <v>0</v>
      </c>
      <c r="R4065" s="88" t="e">
        <f>-IF(Tabla14[[#This Row],[DIAS HABILES O MORA]]&lt;0,(Tabla14[[#This Row],[VALOR PRESTAMO]]*Tabla14[[#This Row],[% INTERES ]]/30*U4065))+Tabla14[[#This Row],[VALOR CUOTAS]]</f>
        <v>#VALUE!</v>
      </c>
      <c r="S4065" s="88">
        <f>-IF(Tabla14[[#This Row],[DIAS HABILES O MORA]]&lt;0,(Tabla14[[#This Row],[VALOR PRESTAMO]]*Tabla14[[#This Row],[% INTERES ]]/30*U4065))</f>
        <v>0</v>
      </c>
      <c r="T4065" s="53" t="e">
        <f>Tabla14[[#This Row],[DEUDA CAPITAL]]+Tabla14[[#This Row],[INTERES  CUOTA]]</f>
        <v>#NUM!</v>
      </c>
      <c r="U4065" s="61" t="str">
        <f t="shared" si="649"/>
        <v/>
      </c>
    </row>
    <row r="4066" spans="9:21" ht="24.75" customHeight="1" x14ac:dyDescent="0.35">
      <c r="I4066" s="42">
        <f t="shared" si="640"/>
        <v>0</v>
      </c>
      <c r="J4066" s="65" t="e">
        <f t="shared" si="641"/>
        <v>#NUM!</v>
      </c>
      <c r="K4066" s="83" t="e">
        <f t="shared" si="642"/>
        <v>#NUM!</v>
      </c>
      <c r="L4066" s="83">
        <f t="shared" si="643"/>
        <v>0</v>
      </c>
      <c r="M4066" s="110" t="str">
        <f t="shared" si="644"/>
        <v/>
      </c>
      <c r="N4066" s="51" t="str">
        <f t="shared" si="645"/>
        <v/>
      </c>
      <c r="O4066" s="52" t="str">
        <f t="shared" si="646"/>
        <v/>
      </c>
      <c r="P4066" s="88">
        <f t="shared" si="647"/>
        <v>0</v>
      </c>
      <c r="Q4066" s="88">
        <f t="shared" si="648"/>
        <v>0</v>
      </c>
      <c r="R4066" s="88" t="e">
        <f>-IF(Tabla14[[#This Row],[DIAS HABILES O MORA]]&lt;0,(Tabla14[[#This Row],[VALOR PRESTAMO]]*Tabla14[[#This Row],[% INTERES ]]/30*U4066))+Tabla14[[#This Row],[VALOR CUOTAS]]</f>
        <v>#VALUE!</v>
      </c>
      <c r="S4066" s="88">
        <f>-IF(Tabla14[[#This Row],[DIAS HABILES O MORA]]&lt;0,(Tabla14[[#This Row],[VALOR PRESTAMO]]*Tabla14[[#This Row],[% INTERES ]]/30*U4066))</f>
        <v>0</v>
      </c>
      <c r="T4066" s="53" t="e">
        <f>Tabla14[[#This Row],[DEUDA CAPITAL]]+Tabla14[[#This Row],[INTERES  CUOTA]]</f>
        <v>#NUM!</v>
      </c>
      <c r="U4066" s="61" t="str">
        <f t="shared" si="649"/>
        <v/>
      </c>
    </row>
    <row r="4067" spans="9:21" ht="24.75" customHeight="1" x14ac:dyDescent="0.35">
      <c r="I4067" s="42">
        <f t="shared" si="640"/>
        <v>0</v>
      </c>
      <c r="J4067" s="65" t="e">
        <f t="shared" si="641"/>
        <v>#NUM!</v>
      </c>
      <c r="K4067" s="83" t="e">
        <f t="shared" si="642"/>
        <v>#NUM!</v>
      </c>
      <c r="L4067" s="83">
        <f t="shared" si="643"/>
        <v>0</v>
      </c>
      <c r="M4067" s="110" t="str">
        <f t="shared" si="644"/>
        <v/>
      </c>
      <c r="N4067" s="51" t="str">
        <f t="shared" si="645"/>
        <v/>
      </c>
      <c r="O4067" s="52" t="str">
        <f t="shared" si="646"/>
        <v/>
      </c>
      <c r="P4067" s="88">
        <f t="shared" si="647"/>
        <v>0</v>
      </c>
      <c r="Q4067" s="88">
        <f t="shared" si="648"/>
        <v>0</v>
      </c>
      <c r="R4067" s="88" t="e">
        <f>-IF(Tabla14[[#This Row],[DIAS HABILES O MORA]]&lt;0,(Tabla14[[#This Row],[VALOR PRESTAMO]]*Tabla14[[#This Row],[% INTERES ]]/30*U4067))+Tabla14[[#This Row],[VALOR CUOTAS]]</f>
        <v>#VALUE!</v>
      </c>
      <c r="S4067" s="88">
        <f>-IF(Tabla14[[#This Row],[DIAS HABILES O MORA]]&lt;0,(Tabla14[[#This Row],[VALOR PRESTAMO]]*Tabla14[[#This Row],[% INTERES ]]/30*U4067))</f>
        <v>0</v>
      </c>
      <c r="T4067" s="53" t="e">
        <f>Tabla14[[#This Row],[DEUDA CAPITAL]]+Tabla14[[#This Row],[INTERES  CUOTA]]</f>
        <v>#NUM!</v>
      </c>
      <c r="U4067" s="61" t="str">
        <f t="shared" si="649"/>
        <v/>
      </c>
    </row>
    <row r="4068" spans="9:21" ht="24.75" customHeight="1" x14ac:dyDescent="0.35">
      <c r="I4068" s="42">
        <f t="shared" si="640"/>
        <v>0</v>
      </c>
      <c r="J4068" s="65" t="e">
        <f t="shared" si="641"/>
        <v>#NUM!</v>
      </c>
      <c r="K4068" s="83" t="e">
        <f t="shared" si="642"/>
        <v>#NUM!</v>
      </c>
      <c r="L4068" s="83">
        <f t="shared" si="643"/>
        <v>0</v>
      </c>
      <c r="M4068" s="110" t="str">
        <f t="shared" si="644"/>
        <v/>
      </c>
      <c r="N4068" s="51" t="str">
        <f t="shared" si="645"/>
        <v/>
      </c>
      <c r="O4068" s="52" t="str">
        <f t="shared" si="646"/>
        <v/>
      </c>
      <c r="P4068" s="88">
        <f t="shared" si="647"/>
        <v>0</v>
      </c>
      <c r="Q4068" s="88">
        <f t="shared" si="648"/>
        <v>0</v>
      </c>
      <c r="R4068" s="88" t="e">
        <f>-IF(Tabla14[[#This Row],[DIAS HABILES O MORA]]&lt;0,(Tabla14[[#This Row],[VALOR PRESTAMO]]*Tabla14[[#This Row],[% INTERES ]]/30*U4068))+Tabla14[[#This Row],[VALOR CUOTAS]]</f>
        <v>#VALUE!</v>
      </c>
      <c r="S4068" s="88">
        <f>-IF(Tabla14[[#This Row],[DIAS HABILES O MORA]]&lt;0,(Tabla14[[#This Row],[VALOR PRESTAMO]]*Tabla14[[#This Row],[% INTERES ]]/30*U4068))</f>
        <v>0</v>
      </c>
      <c r="T4068" s="53" t="e">
        <f>Tabla14[[#This Row],[DEUDA CAPITAL]]+Tabla14[[#This Row],[INTERES  CUOTA]]</f>
        <v>#NUM!</v>
      </c>
      <c r="U4068" s="61" t="str">
        <f t="shared" si="649"/>
        <v/>
      </c>
    </row>
    <row r="4069" spans="9:21" ht="24.75" customHeight="1" x14ac:dyDescent="0.35">
      <c r="I4069" s="42">
        <f t="shared" si="640"/>
        <v>0</v>
      </c>
      <c r="J4069" s="65" t="e">
        <f t="shared" si="641"/>
        <v>#NUM!</v>
      </c>
      <c r="K4069" s="83" t="e">
        <f t="shared" si="642"/>
        <v>#NUM!</v>
      </c>
      <c r="L4069" s="83">
        <f t="shared" si="643"/>
        <v>0</v>
      </c>
      <c r="M4069" s="110" t="str">
        <f t="shared" si="644"/>
        <v/>
      </c>
      <c r="N4069" s="51" t="str">
        <f t="shared" si="645"/>
        <v/>
      </c>
      <c r="O4069" s="52" t="str">
        <f t="shared" si="646"/>
        <v/>
      </c>
      <c r="P4069" s="88">
        <f t="shared" si="647"/>
        <v>0</v>
      </c>
      <c r="Q4069" s="88">
        <f t="shared" si="648"/>
        <v>0</v>
      </c>
      <c r="R4069" s="88" t="e">
        <f>-IF(Tabla14[[#This Row],[DIAS HABILES O MORA]]&lt;0,(Tabla14[[#This Row],[VALOR PRESTAMO]]*Tabla14[[#This Row],[% INTERES ]]/30*U4069))+Tabla14[[#This Row],[VALOR CUOTAS]]</f>
        <v>#VALUE!</v>
      </c>
      <c r="S4069" s="88">
        <f>-IF(Tabla14[[#This Row],[DIAS HABILES O MORA]]&lt;0,(Tabla14[[#This Row],[VALOR PRESTAMO]]*Tabla14[[#This Row],[% INTERES ]]/30*U4069))</f>
        <v>0</v>
      </c>
      <c r="T4069" s="53" t="e">
        <f>Tabla14[[#This Row],[DEUDA CAPITAL]]+Tabla14[[#This Row],[INTERES  CUOTA]]</f>
        <v>#NUM!</v>
      </c>
      <c r="U4069" s="61" t="str">
        <f t="shared" si="649"/>
        <v/>
      </c>
    </row>
    <row r="4070" spans="9:21" ht="24.75" customHeight="1" x14ac:dyDescent="0.35">
      <c r="I4070" s="42">
        <f t="shared" si="640"/>
        <v>0</v>
      </c>
      <c r="J4070" s="65" t="e">
        <f t="shared" si="641"/>
        <v>#NUM!</v>
      </c>
      <c r="K4070" s="83" t="e">
        <f t="shared" si="642"/>
        <v>#NUM!</v>
      </c>
      <c r="L4070" s="83">
        <f t="shared" si="643"/>
        <v>0</v>
      </c>
      <c r="M4070" s="110" t="str">
        <f t="shared" si="644"/>
        <v/>
      </c>
      <c r="N4070" s="51" t="str">
        <f t="shared" si="645"/>
        <v/>
      </c>
      <c r="O4070" s="52" t="str">
        <f t="shared" si="646"/>
        <v/>
      </c>
      <c r="P4070" s="88">
        <f t="shared" si="647"/>
        <v>0</v>
      </c>
      <c r="Q4070" s="88">
        <f t="shared" si="648"/>
        <v>0</v>
      </c>
      <c r="R4070" s="88" t="e">
        <f>-IF(Tabla14[[#This Row],[DIAS HABILES O MORA]]&lt;0,(Tabla14[[#This Row],[VALOR PRESTAMO]]*Tabla14[[#This Row],[% INTERES ]]/30*U4070))+Tabla14[[#This Row],[VALOR CUOTAS]]</f>
        <v>#VALUE!</v>
      </c>
      <c r="S4070" s="88">
        <f>-IF(Tabla14[[#This Row],[DIAS HABILES O MORA]]&lt;0,(Tabla14[[#This Row],[VALOR PRESTAMO]]*Tabla14[[#This Row],[% INTERES ]]/30*U4070))</f>
        <v>0</v>
      </c>
      <c r="T4070" s="53" t="e">
        <f>Tabla14[[#This Row],[DEUDA CAPITAL]]+Tabla14[[#This Row],[INTERES  CUOTA]]</f>
        <v>#NUM!</v>
      </c>
      <c r="U4070" s="61" t="str">
        <f t="shared" si="649"/>
        <v/>
      </c>
    </row>
    <row r="4071" spans="9:21" ht="24.75" customHeight="1" x14ac:dyDescent="0.35">
      <c r="I4071" s="42">
        <f t="shared" si="640"/>
        <v>0</v>
      </c>
      <c r="J4071" s="65" t="e">
        <f t="shared" si="641"/>
        <v>#NUM!</v>
      </c>
      <c r="K4071" s="83" t="e">
        <f t="shared" si="642"/>
        <v>#NUM!</v>
      </c>
      <c r="L4071" s="83">
        <f t="shared" si="643"/>
        <v>0</v>
      </c>
      <c r="M4071" s="110" t="str">
        <f t="shared" si="644"/>
        <v/>
      </c>
      <c r="N4071" s="51" t="str">
        <f t="shared" si="645"/>
        <v/>
      </c>
      <c r="O4071" s="52" t="str">
        <f t="shared" si="646"/>
        <v/>
      </c>
      <c r="P4071" s="88">
        <f t="shared" si="647"/>
        <v>0</v>
      </c>
      <c r="Q4071" s="88">
        <f t="shared" si="648"/>
        <v>0</v>
      </c>
      <c r="R4071" s="88" t="e">
        <f>-IF(Tabla14[[#This Row],[DIAS HABILES O MORA]]&lt;0,(Tabla14[[#This Row],[VALOR PRESTAMO]]*Tabla14[[#This Row],[% INTERES ]]/30*U4071))+Tabla14[[#This Row],[VALOR CUOTAS]]</f>
        <v>#VALUE!</v>
      </c>
      <c r="S4071" s="88">
        <f>-IF(Tabla14[[#This Row],[DIAS HABILES O MORA]]&lt;0,(Tabla14[[#This Row],[VALOR PRESTAMO]]*Tabla14[[#This Row],[% INTERES ]]/30*U4071))</f>
        <v>0</v>
      </c>
      <c r="T4071" s="53" t="e">
        <f>Tabla14[[#This Row],[DEUDA CAPITAL]]+Tabla14[[#This Row],[INTERES  CUOTA]]</f>
        <v>#NUM!</v>
      </c>
      <c r="U4071" s="61" t="str">
        <f t="shared" si="649"/>
        <v/>
      </c>
    </row>
    <row r="4072" spans="9:21" ht="24.75" customHeight="1" x14ac:dyDescent="0.35">
      <c r="I4072" s="42">
        <f t="shared" si="640"/>
        <v>0</v>
      </c>
      <c r="J4072" s="65" t="e">
        <f t="shared" si="641"/>
        <v>#NUM!</v>
      </c>
      <c r="K4072" s="83" t="e">
        <f t="shared" si="642"/>
        <v>#NUM!</v>
      </c>
      <c r="L4072" s="83">
        <f t="shared" si="643"/>
        <v>0</v>
      </c>
      <c r="M4072" s="110" t="str">
        <f t="shared" si="644"/>
        <v/>
      </c>
      <c r="N4072" s="51" t="str">
        <f t="shared" si="645"/>
        <v/>
      </c>
      <c r="O4072" s="52" t="str">
        <f t="shared" si="646"/>
        <v/>
      </c>
      <c r="P4072" s="88">
        <f t="shared" si="647"/>
        <v>0</v>
      </c>
      <c r="Q4072" s="88">
        <f t="shared" si="648"/>
        <v>0</v>
      </c>
      <c r="R4072" s="88" t="e">
        <f>-IF(Tabla14[[#This Row],[DIAS HABILES O MORA]]&lt;0,(Tabla14[[#This Row],[VALOR PRESTAMO]]*Tabla14[[#This Row],[% INTERES ]]/30*U4072))+Tabla14[[#This Row],[VALOR CUOTAS]]</f>
        <v>#VALUE!</v>
      </c>
      <c r="S4072" s="88">
        <f>-IF(Tabla14[[#This Row],[DIAS HABILES O MORA]]&lt;0,(Tabla14[[#This Row],[VALOR PRESTAMO]]*Tabla14[[#This Row],[% INTERES ]]/30*U4072))</f>
        <v>0</v>
      </c>
      <c r="T4072" s="53" t="e">
        <f>Tabla14[[#This Row],[DEUDA CAPITAL]]+Tabla14[[#This Row],[INTERES  CUOTA]]</f>
        <v>#NUM!</v>
      </c>
      <c r="U4072" s="61" t="str">
        <f t="shared" si="649"/>
        <v/>
      </c>
    </row>
    <row r="4073" spans="9:21" ht="24.75" customHeight="1" x14ac:dyDescent="0.35">
      <c r="I4073" s="42">
        <f t="shared" si="640"/>
        <v>0</v>
      </c>
      <c r="J4073" s="65" t="e">
        <f t="shared" si="641"/>
        <v>#NUM!</v>
      </c>
      <c r="K4073" s="83" t="e">
        <f t="shared" si="642"/>
        <v>#NUM!</v>
      </c>
      <c r="L4073" s="83">
        <f t="shared" si="643"/>
        <v>0</v>
      </c>
      <c r="M4073" s="110" t="str">
        <f t="shared" si="644"/>
        <v/>
      </c>
      <c r="N4073" s="51" t="str">
        <f t="shared" si="645"/>
        <v/>
      </c>
      <c r="O4073" s="52" t="str">
        <f t="shared" si="646"/>
        <v/>
      </c>
      <c r="P4073" s="88">
        <f t="shared" si="647"/>
        <v>0</v>
      </c>
      <c r="Q4073" s="88">
        <f t="shared" si="648"/>
        <v>0</v>
      </c>
      <c r="R4073" s="88" t="e">
        <f>-IF(Tabla14[[#This Row],[DIAS HABILES O MORA]]&lt;0,(Tabla14[[#This Row],[VALOR PRESTAMO]]*Tabla14[[#This Row],[% INTERES ]]/30*U4073))+Tabla14[[#This Row],[VALOR CUOTAS]]</f>
        <v>#VALUE!</v>
      </c>
      <c r="S4073" s="88">
        <f>-IF(Tabla14[[#This Row],[DIAS HABILES O MORA]]&lt;0,(Tabla14[[#This Row],[VALOR PRESTAMO]]*Tabla14[[#This Row],[% INTERES ]]/30*U4073))</f>
        <v>0</v>
      </c>
      <c r="T4073" s="53" t="e">
        <f>Tabla14[[#This Row],[DEUDA CAPITAL]]+Tabla14[[#This Row],[INTERES  CUOTA]]</f>
        <v>#NUM!</v>
      </c>
      <c r="U4073" s="61" t="str">
        <f t="shared" si="649"/>
        <v/>
      </c>
    </row>
    <row r="4074" spans="9:21" ht="24.75" customHeight="1" x14ac:dyDescent="0.35">
      <c r="I4074" s="42">
        <f t="shared" si="640"/>
        <v>0</v>
      </c>
      <c r="J4074" s="65" t="e">
        <f t="shared" si="641"/>
        <v>#NUM!</v>
      </c>
      <c r="K4074" s="83" t="e">
        <f t="shared" si="642"/>
        <v>#NUM!</v>
      </c>
      <c r="L4074" s="83">
        <f t="shared" si="643"/>
        <v>0</v>
      </c>
      <c r="M4074" s="110" t="str">
        <f t="shared" si="644"/>
        <v/>
      </c>
      <c r="N4074" s="51" t="str">
        <f t="shared" si="645"/>
        <v/>
      </c>
      <c r="O4074" s="52" t="str">
        <f t="shared" si="646"/>
        <v/>
      </c>
      <c r="P4074" s="88">
        <f t="shared" si="647"/>
        <v>0</v>
      </c>
      <c r="Q4074" s="88">
        <f t="shared" si="648"/>
        <v>0</v>
      </c>
      <c r="R4074" s="88" t="e">
        <f>-IF(Tabla14[[#This Row],[DIAS HABILES O MORA]]&lt;0,(Tabla14[[#This Row],[VALOR PRESTAMO]]*Tabla14[[#This Row],[% INTERES ]]/30*U4074))+Tabla14[[#This Row],[VALOR CUOTAS]]</f>
        <v>#VALUE!</v>
      </c>
      <c r="S4074" s="88">
        <f>-IF(Tabla14[[#This Row],[DIAS HABILES O MORA]]&lt;0,(Tabla14[[#This Row],[VALOR PRESTAMO]]*Tabla14[[#This Row],[% INTERES ]]/30*U4074))</f>
        <v>0</v>
      </c>
      <c r="T4074" s="53" t="e">
        <f>Tabla14[[#This Row],[DEUDA CAPITAL]]+Tabla14[[#This Row],[INTERES  CUOTA]]</f>
        <v>#NUM!</v>
      </c>
      <c r="U4074" s="61" t="str">
        <f t="shared" si="649"/>
        <v/>
      </c>
    </row>
    <row r="4075" spans="9:21" ht="24.75" customHeight="1" x14ac:dyDescent="0.35">
      <c r="I4075" s="42">
        <f t="shared" si="640"/>
        <v>0</v>
      </c>
      <c r="J4075" s="65" t="e">
        <f t="shared" si="641"/>
        <v>#NUM!</v>
      </c>
      <c r="K4075" s="83" t="e">
        <f t="shared" si="642"/>
        <v>#NUM!</v>
      </c>
      <c r="L4075" s="83">
        <f t="shared" si="643"/>
        <v>0</v>
      </c>
      <c r="M4075" s="110" t="str">
        <f t="shared" si="644"/>
        <v/>
      </c>
      <c r="N4075" s="51" t="str">
        <f t="shared" si="645"/>
        <v/>
      </c>
      <c r="O4075" s="52" t="str">
        <f t="shared" si="646"/>
        <v/>
      </c>
      <c r="P4075" s="88">
        <f t="shared" si="647"/>
        <v>0</v>
      </c>
      <c r="Q4075" s="88">
        <f t="shared" si="648"/>
        <v>0</v>
      </c>
      <c r="R4075" s="88" t="e">
        <f>-IF(Tabla14[[#This Row],[DIAS HABILES O MORA]]&lt;0,(Tabla14[[#This Row],[VALOR PRESTAMO]]*Tabla14[[#This Row],[% INTERES ]]/30*U4075))+Tabla14[[#This Row],[VALOR CUOTAS]]</f>
        <v>#VALUE!</v>
      </c>
      <c r="S4075" s="88">
        <f>-IF(Tabla14[[#This Row],[DIAS HABILES O MORA]]&lt;0,(Tabla14[[#This Row],[VALOR PRESTAMO]]*Tabla14[[#This Row],[% INTERES ]]/30*U4075))</f>
        <v>0</v>
      </c>
      <c r="T4075" s="53" t="e">
        <f>Tabla14[[#This Row],[DEUDA CAPITAL]]+Tabla14[[#This Row],[INTERES  CUOTA]]</f>
        <v>#NUM!</v>
      </c>
      <c r="U4075" s="61" t="str">
        <f t="shared" si="649"/>
        <v/>
      </c>
    </row>
    <row r="4076" spans="9:21" ht="24.75" customHeight="1" x14ac:dyDescent="0.35">
      <c r="I4076" s="42">
        <f t="shared" si="640"/>
        <v>0</v>
      </c>
      <c r="J4076" s="65" t="e">
        <f t="shared" si="641"/>
        <v>#NUM!</v>
      </c>
      <c r="K4076" s="83" t="e">
        <f t="shared" si="642"/>
        <v>#NUM!</v>
      </c>
      <c r="L4076" s="83">
        <f t="shared" si="643"/>
        <v>0</v>
      </c>
      <c r="M4076" s="110" t="str">
        <f t="shared" si="644"/>
        <v/>
      </c>
      <c r="N4076" s="51" t="str">
        <f t="shared" si="645"/>
        <v/>
      </c>
      <c r="O4076" s="52" t="str">
        <f t="shared" si="646"/>
        <v/>
      </c>
      <c r="P4076" s="88">
        <f t="shared" si="647"/>
        <v>0</v>
      </c>
      <c r="Q4076" s="88">
        <f t="shared" si="648"/>
        <v>0</v>
      </c>
      <c r="R4076" s="88" t="e">
        <f>-IF(Tabla14[[#This Row],[DIAS HABILES O MORA]]&lt;0,(Tabla14[[#This Row],[VALOR PRESTAMO]]*Tabla14[[#This Row],[% INTERES ]]/30*U4076))+Tabla14[[#This Row],[VALOR CUOTAS]]</f>
        <v>#VALUE!</v>
      </c>
      <c r="S4076" s="88">
        <f>-IF(Tabla14[[#This Row],[DIAS HABILES O MORA]]&lt;0,(Tabla14[[#This Row],[VALOR PRESTAMO]]*Tabla14[[#This Row],[% INTERES ]]/30*U4076))</f>
        <v>0</v>
      </c>
      <c r="T4076" s="53" t="e">
        <f>Tabla14[[#This Row],[DEUDA CAPITAL]]+Tabla14[[#This Row],[INTERES  CUOTA]]</f>
        <v>#NUM!</v>
      </c>
      <c r="U4076" s="61" t="str">
        <f t="shared" si="649"/>
        <v/>
      </c>
    </row>
    <row r="4077" spans="9:21" ht="24.75" customHeight="1" x14ac:dyDescent="0.35">
      <c r="I4077" s="42">
        <f t="shared" si="640"/>
        <v>0</v>
      </c>
      <c r="J4077" s="65" t="e">
        <f t="shared" si="641"/>
        <v>#NUM!</v>
      </c>
      <c r="K4077" s="83" t="e">
        <f t="shared" si="642"/>
        <v>#NUM!</v>
      </c>
      <c r="L4077" s="83">
        <f t="shared" si="643"/>
        <v>0</v>
      </c>
      <c r="M4077" s="110" t="str">
        <f t="shared" si="644"/>
        <v/>
      </c>
      <c r="N4077" s="51" t="str">
        <f t="shared" si="645"/>
        <v/>
      </c>
      <c r="O4077" s="52" t="str">
        <f t="shared" si="646"/>
        <v/>
      </c>
      <c r="P4077" s="88">
        <f t="shared" si="647"/>
        <v>0</v>
      </c>
      <c r="Q4077" s="88">
        <f t="shared" si="648"/>
        <v>0</v>
      </c>
      <c r="R4077" s="88" t="e">
        <f>-IF(Tabla14[[#This Row],[DIAS HABILES O MORA]]&lt;0,(Tabla14[[#This Row],[VALOR PRESTAMO]]*Tabla14[[#This Row],[% INTERES ]]/30*U4077))+Tabla14[[#This Row],[VALOR CUOTAS]]</f>
        <v>#VALUE!</v>
      </c>
      <c r="S4077" s="88">
        <f>-IF(Tabla14[[#This Row],[DIAS HABILES O MORA]]&lt;0,(Tabla14[[#This Row],[VALOR PRESTAMO]]*Tabla14[[#This Row],[% INTERES ]]/30*U4077))</f>
        <v>0</v>
      </c>
      <c r="T4077" s="53" t="e">
        <f>Tabla14[[#This Row],[DEUDA CAPITAL]]+Tabla14[[#This Row],[INTERES  CUOTA]]</f>
        <v>#NUM!</v>
      </c>
      <c r="U4077" s="61" t="str">
        <f t="shared" si="649"/>
        <v/>
      </c>
    </row>
    <row r="4078" spans="9:21" ht="24.75" customHeight="1" x14ac:dyDescent="0.35">
      <c r="I4078" s="42">
        <f t="shared" si="640"/>
        <v>0</v>
      </c>
      <c r="J4078" s="65" t="e">
        <f t="shared" si="641"/>
        <v>#NUM!</v>
      </c>
      <c r="K4078" s="83" t="e">
        <f t="shared" si="642"/>
        <v>#NUM!</v>
      </c>
      <c r="L4078" s="83">
        <f t="shared" si="643"/>
        <v>0</v>
      </c>
      <c r="M4078" s="110" t="str">
        <f t="shared" si="644"/>
        <v/>
      </c>
      <c r="N4078" s="51" t="str">
        <f t="shared" si="645"/>
        <v/>
      </c>
      <c r="O4078" s="52" t="str">
        <f t="shared" si="646"/>
        <v/>
      </c>
      <c r="P4078" s="88">
        <f t="shared" si="647"/>
        <v>0</v>
      </c>
      <c r="Q4078" s="88">
        <f t="shared" si="648"/>
        <v>0</v>
      </c>
      <c r="R4078" s="88" t="e">
        <f>-IF(Tabla14[[#This Row],[DIAS HABILES O MORA]]&lt;0,(Tabla14[[#This Row],[VALOR PRESTAMO]]*Tabla14[[#This Row],[% INTERES ]]/30*U4078))+Tabla14[[#This Row],[VALOR CUOTAS]]</f>
        <v>#VALUE!</v>
      </c>
      <c r="S4078" s="88">
        <f>-IF(Tabla14[[#This Row],[DIAS HABILES O MORA]]&lt;0,(Tabla14[[#This Row],[VALOR PRESTAMO]]*Tabla14[[#This Row],[% INTERES ]]/30*U4078))</f>
        <v>0</v>
      </c>
      <c r="T4078" s="53" t="e">
        <f>Tabla14[[#This Row],[DEUDA CAPITAL]]+Tabla14[[#This Row],[INTERES  CUOTA]]</f>
        <v>#NUM!</v>
      </c>
      <c r="U4078" s="61" t="str">
        <f t="shared" si="649"/>
        <v/>
      </c>
    </row>
    <row r="4079" spans="9:21" ht="24.75" customHeight="1" x14ac:dyDescent="0.35">
      <c r="I4079" s="42">
        <f t="shared" si="640"/>
        <v>0</v>
      </c>
      <c r="J4079" s="65" t="e">
        <f t="shared" si="641"/>
        <v>#NUM!</v>
      </c>
      <c r="K4079" s="83" t="e">
        <f t="shared" si="642"/>
        <v>#NUM!</v>
      </c>
      <c r="L4079" s="83">
        <f t="shared" si="643"/>
        <v>0</v>
      </c>
      <c r="M4079" s="110" t="str">
        <f t="shared" si="644"/>
        <v/>
      </c>
      <c r="N4079" s="51" t="str">
        <f t="shared" si="645"/>
        <v/>
      </c>
      <c r="O4079" s="52" t="str">
        <f t="shared" si="646"/>
        <v/>
      </c>
      <c r="P4079" s="88">
        <f t="shared" si="647"/>
        <v>0</v>
      </c>
      <c r="Q4079" s="88">
        <f t="shared" si="648"/>
        <v>0</v>
      </c>
      <c r="R4079" s="88" t="e">
        <f>-IF(Tabla14[[#This Row],[DIAS HABILES O MORA]]&lt;0,(Tabla14[[#This Row],[VALOR PRESTAMO]]*Tabla14[[#This Row],[% INTERES ]]/30*U4079))+Tabla14[[#This Row],[VALOR CUOTAS]]</f>
        <v>#VALUE!</v>
      </c>
      <c r="S4079" s="88">
        <f>-IF(Tabla14[[#This Row],[DIAS HABILES O MORA]]&lt;0,(Tabla14[[#This Row],[VALOR PRESTAMO]]*Tabla14[[#This Row],[% INTERES ]]/30*U4079))</f>
        <v>0</v>
      </c>
      <c r="T4079" s="53" t="e">
        <f>Tabla14[[#This Row],[DEUDA CAPITAL]]+Tabla14[[#This Row],[INTERES  CUOTA]]</f>
        <v>#NUM!</v>
      </c>
      <c r="U4079" s="61" t="str">
        <f t="shared" si="649"/>
        <v/>
      </c>
    </row>
    <row r="4080" spans="9:21" ht="24.75" customHeight="1" x14ac:dyDescent="0.35">
      <c r="I4080" s="42">
        <f t="shared" si="640"/>
        <v>0</v>
      </c>
      <c r="J4080" s="65" t="e">
        <f t="shared" si="641"/>
        <v>#NUM!</v>
      </c>
      <c r="K4080" s="83" t="e">
        <f t="shared" si="642"/>
        <v>#NUM!</v>
      </c>
      <c r="L4080" s="83">
        <f t="shared" si="643"/>
        <v>0</v>
      </c>
      <c r="M4080" s="110" t="str">
        <f t="shared" si="644"/>
        <v/>
      </c>
      <c r="N4080" s="51" t="str">
        <f t="shared" si="645"/>
        <v/>
      </c>
      <c r="O4080" s="52" t="str">
        <f t="shared" si="646"/>
        <v/>
      </c>
      <c r="P4080" s="88">
        <f t="shared" si="647"/>
        <v>0</v>
      </c>
      <c r="Q4080" s="88">
        <f t="shared" si="648"/>
        <v>0</v>
      </c>
      <c r="R4080" s="88" t="e">
        <f>-IF(Tabla14[[#This Row],[DIAS HABILES O MORA]]&lt;0,(Tabla14[[#This Row],[VALOR PRESTAMO]]*Tabla14[[#This Row],[% INTERES ]]/30*U4080))+Tabla14[[#This Row],[VALOR CUOTAS]]</f>
        <v>#VALUE!</v>
      </c>
      <c r="S4080" s="88">
        <f>-IF(Tabla14[[#This Row],[DIAS HABILES O MORA]]&lt;0,(Tabla14[[#This Row],[VALOR PRESTAMO]]*Tabla14[[#This Row],[% INTERES ]]/30*U4080))</f>
        <v>0</v>
      </c>
      <c r="T4080" s="53" t="e">
        <f>Tabla14[[#This Row],[DEUDA CAPITAL]]+Tabla14[[#This Row],[INTERES  CUOTA]]</f>
        <v>#NUM!</v>
      </c>
      <c r="U4080" s="61" t="str">
        <f t="shared" si="649"/>
        <v/>
      </c>
    </row>
    <row r="4081" spans="9:21" ht="24.75" customHeight="1" x14ac:dyDescent="0.35">
      <c r="I4081" s="42">
        <f t="shared" si="640"/>
        <v>0</v>
      </c>
      <c r="J4081" s="65" t="e">
        <f t="shared" si="641"/>
        <v>#NUM!</v>
      </c>
      <c r="K4081" s="83" t="e">
        <f t="shared" si="642"/>
        <v>#NUM!</v>
      </c>
      <c r="L4081" s="83">
        <f t="shared" si="643"/>
        <v>0</v>
      </c>
      <c r="M4081" s="110" t="str">
        <f t="shared" si="644"/>
        <v/>
      </c>
      <c r="N4081" s="51" t="str">
        <f t="shared" si="645"/>
        <v/>
      </c>
      <c r="O4081" s="52" t="str">
        <f t="shared" si="646"/>
        <v/>
      </c>
      <c r="P4081" s="88">
        <f t="shared" si="647"/>
        <v>0</v>
      </c>
      <c r="Q4081" s="88">
        <f t="shared" si="648"/>
        <v>0</v>
      </c>
      <c r="R4081" s="88" t="e">
        <f>-IF(Tabla14[[#This Row],[DIAS HABILES O MORA]]&lt;0,(Tabla14[[#This Row],[VALOR PRESTAMO]]*Tabla14[[#This Row],[% INTERES ]]/30*U4081))+Tabla14[[#This Row],[VALOR CUOTAS]]</f>
        <v>#VALUE!</v>
      </c>
      <c r="S4081" s="88">
        <f>-IF(Tabla14[[#This Row],[DIAS HABILES O MORA]]&lt;0,(Tabla14[[#This Row],[VALOR PRESTAMO]]*Tabla14[[#This Row],[% INTERES ]]/30*U4081))</f>
        <v>0</v>
      </c>
      <c r="T4081" s="53" t="e">
        <f>Tabla14[[#This Row],[DEUDA CAPITAL]]+Tabla14[[#This Row],[INTERES  CUOTA]]</f>
        <v>#NUM!</v>
      </c>
      <c r="U4081" s="61" t="str">
        <f t="shared" si="649"/>
        <v/>
      </c>
    </row>
    <row r="4082" spans="9:21" ht="24.75" customHeight="1" x14ac:dyDescent="0.35">
      <c r="I4082" s="42">
        <f t="shared" si="640"/>
        <v>0</v>
      </c>
      <c r="J4082" s="65" t="e">
        <f t="shared" si="641"/>
        <v>#NUM!</v>
      </c>
      <c r="K4082" s="83" t="e">
        <f t="shared" si="642"/>
        <v>#NUM!</v>
      </c>
      <c r="L4082" s="83">
        <f t="shared" si="643"/>
        <v>0</v>
      </c>
      <c r="M4082" s="110" t="str">
        <f t="shared" si="644"/>
        <v/>
      </c>
      <c r="N4082" s="51" t="str">
        <f t="shared" si="645"/>
        <v/>
      </c>
      <c r="O4082" s="52" t="str">
        <f t="shared" si="646"/>
        <v/>
      </c>
      <c r="P4082" s="88">
        <f t="shared" si="647"/>
        <v>0</v>
      </c>
      <c r="Q4082" s="88">
        <f t="shared" si="648"/>
        <v>0</v>
      </c>
      <c r="R4082" s="88" t="e">
        <f>-IF(Tabla14[[#This Row],[DIAS HABILES O MORA]]&lt;0,(Tabla14[[#This Row],[VALOR PRESTAMO]]*Tabla14[[#This Row],[% INTERES ]]/30*U4082))+Tabla14[[#This Row],[VALOR CUOTAS]]</f>
        <v>#VALUE!</v>
      </c>
      <c r="S4082" s="88">
        <f>-IF(Tabla14[[#This Row],[DIAS HABILES O MORA]]&lt;0,(Tabla14[[#This Row],[VALOR PRESTAMO]]*Tabla14[[#This Row],[% INTERES ]]/30*U4082))</f>
        <v>0</v>
      </c>
      <c r="T4082" s="53" t="e">
        <f>Tabla14[[#This Row],[DEUDA CAPITAL]]+Tabla14[[#This Row],[INTERES  CUOTA]]</f>
        <v>#NUM!</v>
      </c>
      <c r="U4082" s="61" t="str">
        <f t="shared" si="649"/>
        <v/>
      </c>
    </row>
    <row r="4083" spans="9:21" ht="24.75" customHeight="1" x14ac:dyDescent="0.35">
      <c r="I4083" s="42">
        <f t="shared" si="640"/>
        <v>0</v>
      </c>
      <c r="J4083" s="65" t="e">
        <f t="shared" si="641"/>
        <v>#NUM!</v>
      </c>
      <c r="K4083" s="83" t="e">
        <f t="shared" si="642"/>
        <v>#NUM!</v>
      </c>
      <c r="L4083" s="83">
        <f t="shared" si="643"/>
        <v>0</v>
      </c>
      <c r="M4083" s="110" t="str">
        <f t="shared" si="644"/>
        <v/>
      </c>
      <c r="N4083" s="51" t="str">
        <f t="shared" si="645"/>
        <v/>
      </c>
      <c r="O4083" s="52" t="str">
        <f t="shared" si="646"/>
        <v/>
      </c>
      <c r="P4083" s="88">
        <f t="shared" si="647"/>
        <v>0</v>
      </c>
      <c r="Q4083" s="88">
        <f t="shared" si="648"/>
        <v>0</v>
      </c>
      <c r="R4083" s="88" t="e">
        <f>-IF(Tabla14[[#This Row],[DIAS HABILES O MORA]]&lt;0,(Tabla14[[#This Row],[VALOR PRESTAMO]]*Tabla14[[#This Row],[% INTERES ]]/30*U4083))+Tabla14[[#This Row],[VALOR CUOTAS]]</f>
        <v>#VALUE!</v>
      </c>
      <c r="S4083" s="88">
        <f>-IF(Tabla14[[#This Row],[DIAS HABILES O MORA]]&lt;0,(Tabla14[[#This Row],[VALOR PRESTAMO]]*Tabla14[[#This Row],[% INTERES ]]/30*U4083))</f>
        <v>0</v>
      </c>
      <c r="T4083" s="53" t="e">
        <f>Tabla14[[#This Row],[DEUDA CAPITAL]]+Tabla14[[#This Row],[INTERES  CUOTA]]</f>
        <v>#NUM!</v>
      </c>
      <c r="U4083" s="61" t="str">
        <f t="shared" si="649"/>
        <v/>
      </c>
    </row>
    <row r="4084" spans="9:21" ht="24.75" customHeight="1" x14ac:dyDescent="0.35">
      <c r="I4084" s="42">
        <f t="shared" si="640"/>
        <v>0</v>
      </c>
      <c r="J4084" s="65" t="e">
        <f t="shared" si="641"/>
        <v>#NUM!</v>
      </c>
      <c r="K4084" s="83" t="e">
        <f t="shared" si="642"/>
        <v>#NUM!</v>
      </c>
      <c r="L4084" s="83">
        <f t="shared" si="643"/>
        <v>0</v>
      </c>
      <c r="M4084" s="110" t="str">
        <f t="shared" si="644"/>
        <v/>
      </c>
      <c r="N4084" s="51" t="str">
        <f t="shared" si="645"/>
        <v/>
      </c>
      <c r="O4084" s="52" t="str">
        <f t="shared" si="646"/>
        <v/>
      </c>
      <c r="P4084" s="88">
        <f t="shared" si="647"/>
        <v>0</v>
      </c>
      <c r="Q4084" s="88">
        <f t="shared" si="648"/>
        <v>0</v>
      </c>
      <c r="R4084" s="88" t="e">
        <f>-IF(Tabla14[[#This Row],[DIAS HABILES O MORA]]&lt;0,(Tabla14[[#This Row],[VALOR PRESTAMO]]*Tabla14[[#This Row],[% INTERES ]]/30*U4084))+Tabla14[[#This Row],[VALOR CUOTAS]]</f>
        <v>#VALUE!</v>
      </c>
      <c r="S4084" s="88">
        <f>-IF(Tabla14[[#This Row],[DIAS HABILES O MORA]]&lt;0,(Tabla14[[#This Row],[VALOR PRESTAMO]]*Tabla14[[#This Row],[% INTERES ]]/30*U4084))</f>
        <v>0</v>
      </c>
      <c r="T4084" s="53" t="e">
        <f>Tabla14[[#This Row],[DEUDA CAPITAL]]+Tabla14[[#This Row],[INTERES  CUOTA]]</f>
        <v>#NUM!</v>
      </c>
      <c r="U4084" s="61" t="str">
        <f t="shared" si="649"/>
        <v/>
      </c>
    </row>
    <row r="4085" spans="9:21" ht="24.75" customHeight="1" x14ac:dyDescent="0.35">
      <c r="I4085" s="42">
        <f t="shared" si="640"/>
        <v>0</v>
      </c>
      <c r="J4085" s="65" t="e">
        <f t="shared" si="641"/>
        <v>#NUM!</v>
      </c>
      <c r="K4085" s="83" t="e">
        <f t="shared" si="642"/>
        <v>#NUM!</v>
      </c>
      <c r="L4085" s="83">
        <f t="shared" si="643"/>
        <v>0</v>
      </c>
      <c r="M4085" s="110" t="str">
        <f t="shared" si="644"/>
        <v/>
      </c>
      <c r="N4085" s="51" t="str">
        <f t="shared" si="645"/>
        <v/>
      </c>
      <c r="O4085" s="52" t="str">
        <f t="shared" si="646"/>
        <v/>
      </c>
      <c r="P4085" s="88">
        <f t="shared" si="647"/>
        <v>0</v>
      </c>
      <c r="Q4085" s="88">
        <f t="shared" si="648"/>
        <v>0</v>
      </c>
      <c r="R4085" s="88" t="e">
        <f>-IF(Tabla14[[#This Row],[DIAS HABILES O MORA]]&lt;0,(Tabla14[[#This Row],[VALOR PRESTAMO]]*Tabla14[[#This Row],[% INTERES ]]/30*U4085))+Tabla14[[#This Row],[VALOR CUOTAS]]</f>
        <v>#VALUE!</v>
      </c>
      <c r="S4085" s="88">
        <f>-IF(Tabla14[[#This Row],[DIAS HABILES O MORA]]&lt;0,(Tabla14[[#This Row],[VALOR PRESTAMO]]*Tabla14[[#This Row],[% INTERES ]]/30*U4085))</f>
        <v>0</v>
      </c>
      <c r="T4085" s="53" t="e">
        <f>Tabla14[[#This Row],[DEUDA CAPITAL]]+Tabla14[[#This Row],[INTERES  CUOTA]]</f>
        <v>#NUM!</v>
      </c>
      <c r="U4085" s="61" t="str">
        <f t="shared" si="649"/>
        <v/>
      </c>
    </row>
    <row r="4086" spans="9:21" ht="24.75" customHeight="1" x14ac:dyDescent="0.35">
      <c r="I4086" s="42">
        <f t="shared" si="640"/>
        <v>0</v>
      </c>
      <c r="J4086" s="65" t="e">
        <f t="shared" si="641"/>
        <v>#NUM!</v>
      </c>
      <c r="K4086" s="83" t="e">
        <f t="shared" si="642"/>
        <v>#NUM!</v>
      </c>
      <c r="L4086" s="83">
        <f t="shared" si="643"/>
        <v>0</v>
      </c>
      <c r="M4086" s="110" t="str">
        <f t="shared" si="644"/>
        <v/>
      </c>
      <c r="N4086" s="51" t="str">
        <f t="shared" si="645"/>
        <v/>
      </c>
      <c r="O4086" s="52" t="str">
        <f t="shared" si="646"/>
        <v/>
      </c>
      <c r="P4086" s="88">
        <f t="shared" si="647"/>
        <v>0</v>
      </c>
      <c r="Q4086" s="88">
        <f t="shared" si="648"/>
        <v>0</v>
      </c>
      <c r="R4086" s="88" t="e">
        <f>-IF(Tabla14[[#This Row],[DIAS HABILES O MORA]]&lt;0,(Tabla14[[#This Row],[VALOR PRESTAMO]]*Tabla14[[#This Row],[% INTERES ]]/30*U4086))+Tabla14[[#This Row],[VALOR CUOTAS]]</f>
        <v>#VALUE!</v>
      </c>
      <c r="S4086" s="88">
        <f>-IF(Tabla14[[#This Row],[DIAS HABILES O MORA]]&lt;0,(Tabla14[[#This Row],[VALOR PRESTAMO]]*Tabla14[[#This Row],[% INTERES ]]/30*U4086))</f>
        <v>0</v>
      </c>
      <c r="T4086" s="53" t="e">
        <f>Tabla14[[#This Row],[DEUDA CAPITAL]]+Tabla14[[#This Row],[INTERES  CUOTA]]</f>
        <v>#NUM!</v>
      </c>
      <c r="U4086" s="61" t="str">
        <f t="shared" si="649"/>
        <v/>
      </c>
    </row>
    <row r="4087" spans="9:21" ht="24.75" customHeight="1" x14ac:dyDescent="0.35">
      <c r="I4087" s="42">
        <f t="shared" si="640"/>
        <v>0</v>
      </c>
      <c r="J4087" s="65" t="e">
        <f t="shared" si="641"/>
        <v>#NUM!</v>
      </c>
      <c r="K4087" s="83" t="e">
        <f t="shared" si="642"/>
        <v>#NUM!</v>
      </c>
      <c r="L4087" s="83">
        <f t="shared" si="643"/>
        <v>0</v>
      </c>
      <c r="M4087" s="110" t="str">
        <f t="shared" si="644"/>
        <v/>
      </c>
      <c r="N4087" s="51" t="str">
        <f t="shared" si="645"/>
        <v/>
      </c>
      <c r="O4087" s="52" t="str">
        <f t="shared" si="646"/>
        <v/>
      </c>
      <c r="P4087" s="88">
        <f t="shared" si="647"/>
        <v>0</v>
      </c>
      <c r="Q4087" s="88">
        <f t="shared" si="648"/>
        <v>0</v>
      </c>
      <c r="R4087" s="88" t="e">
        <f>-IF(Tabla14[[#This Row],[DIAS HABILES O MORA]]&lt;0,(Tabla14[[#This Row],[VALOR PRESTAMO]]*Tabla14[[#This Row],[% INTERES ]]/30*U4087))+Tabla14[[#This Row],[VALOR CUOTAS]]</f>
        <v>#VALUE!</v>
      </c>
      <c r="S4087" s="88">
        <f>-IF(Tabla14[[#This Row],[DIAS HABILES O MORA]]&lt;0,(Tabla14[[#This Row],[VALOR PRESTAMO]]*Tabla14[[#This Row],[% INTERES ]]/30*U4087))</f>
        <v>0</v>
      </c>
      <c r="T4087" s="53" t="e">
        <f>Tabla14[[#This Row],[DEUDA CAPITAL]]+Tabla14[[#This Row],[INTERES  CUOTA]]</f>
        <v>#NUM!</v>
      </c>
      <c r="U4087" s="61" t="str">
        <f t="shared" si="649"/>
        <v/>
      </c>
    </row>
    <row r="4088" spans="9:21" ht="24.75" customHeight="1" x14ac:dyDescent="0.35">
      <c r="I4088" s="42">
        <f t="shared" si="640"/>
        <v>0</v>
      </c>
      <c r="J4088" s="65" t="e">
        <f t="shared" si="641"/>
        <v>#NUM!</v>
      </c>
      <c r="K4088" s="83" t="e">
        <f t="shared" si="642"/>
        <v>#NUM!</v>
      </c>
      <c r="L4088" s="83">
        <f t="shared" si="643"/>
        <v>0</v>
      </c>
      <c r="M4088" s="110" t="str">
        <f t="shared" si="644"/>
        <v/>
      </c>
      <c r="N4088" s="51" t="str">
        <f t="shared" si="645"/>
        <v/>
      </c>
      <c r="O4088" s="52" t="str">
        <f t="shared" si="646"/>
        <v/>
      </c>
      <c r="P4088" s="88">
        <f t="shared" si="647"/>
        <v>0</v>
      </c>
      <c r="Q4088" s="88">
        <f t="shared" si="648"/>
        <v>0</v>
      </c>
      <c r="R4088" s="88" t="e">
        <f>-IF(Tabla14[[#This Row],[DIAS HABILES O MORA]]&lt;0,(Tabla14[[#This Row],[VALOR PRESTAMO]]*Tabla14[[#This Row],[% INTERES ]]/30*U4088))+Tabla14[[#This Row],[VALOR CUOTAS]]</f>
        <v>#VALUE!</v>
      </c>
      <c r="S4088" s="88">
        <f>-IF(Tabla14[[#This Row],[DIAS HABILES O MORA]]&lt;0,(Tabla14[[#This Row],[VALOR PRESTAMO]]*Tabla14[[#This Row],[% INTERES ]]/30*U4088))</f>
        <v>0</v>
      </c>
      <c r="T4088" s="53" t="e">
        <f>Tabla14[[#This Row],[DEUDA CAPITAL]]+Tabla14[[#This Row],[INTERES  CUOTA]]</f>
        <v>#NUM!</v>
      </c>
      <c r="U4088" s="61" t="str">
        <f t="shared" si="649"/>
        <v/>
      </c>
    </row>
    <row r="4089" spans="9:21" ht="24.75" customHeight="1" x14ac:dyDescent="0.35">
      <c r="I4089" s="42">
        <f t="shared" si="640"/>
        <v>0</v>
      </c>
      <c r="J4089" s="65" t="e">
        <f t="shared" si="641"/>
        <v>#NUM!</v>
      </c>
      <c r="K4089" s="83" t="e">
        <f t="shared" si="642"/>
        <v>#NUM!</v>
      </c>
      <c r="L4089" s="83">
        <f t="shared" si="643"/>
        <v>0</v>
      </c>
      <c r="M4089" s="110" t="str">
        <f t="shared" si="644"/>
        <v/>
      </c>
      <c r="N4089" s="51" t="str">
        <f t="shared" si="645"/>
        <v/>
      </c>
      <c r="O4089" s="52" t="str">
        <f t="shared" si="646"/>
        <v/>
      </c>
      <c r="P4089" s="88">
        <f t="shared" si="647"/>
        <v>0</v>
      </c>
      <c r="Q4089" s="88">
        <f t="shared" si="648"/>
        <v>0</v>
      </c>
      <c r="R4089" s="88" t="e">
        <f>-IF(Tabla14[[#This Row],[DIAS HABILES O MORA]]&lt;0,(Tabla14[[#This Row],[VALOR PRESTAMO]]*Tabla14[[#This Row],[% INTERES ]]/30*U4089))+Tabla14[[#This Row],[VALOR CUOTAS]]</f>
        <v>#VALUE!</v>
      </c>
      <c r="S4089" s="88">
        <f>-IF(Tabla14[[#This Row],[DIAS HABILES O MORA]]&lt;0,(Tabla14[[#This Row],[VALOR PRESTAMO]]*Tabla14[[#This Row],[% INTERES ]]/30*U4089))</f>
        <v>0</v>
      </c>
      <c r="T4089" s="53" t="e">
        <f>Tabla14[[#This Row],[DEUDA CAPITAL]]+Tabla14[[#This Row],[INTERES  CUOTA]]</f>
        <v>#NUM!</v>
      </c>
      <c r="U4089" s="61" t="str">
        <f t="shared" si="649"/>
        <v/>
      </c>
    </row>
    <row r="4090" spans="9:21" ht="24.75" customHeight="1" x14ac:dyDescent="0.35">
      <c r="I4090" s="42">
        <f t="shared" si="640"/>
        <v>0</v>
      </c>
      <c r="J4090" s="65" t="e">
        <f t="shared" si="641"/>
        <v>#NUM!</v>
      </c>
      <c r="K4090" s="83" t="e">
        <f t="shared" si="642"/>
        <v>#NUM!</v>
      </c>
      <c r="L4090" s="83">
        <f t="shared" si="643"/>
        <v>0</v>
      </c>
      <c r="M4090" s="110" t="str">
        <f t="shared" si="644"/>
        <v/>
      </c>
      <c r="N4090" s="51" t="str">
        <f t="shared" si="645"/>
        <v/>
      </c>
      <c r="O4090" s="52" t="str">
        <f t="shared" si="646"/>
        <v/>
      </c>
      <c r="P4090" s="88">
        <f t="shared" si="647"/>
        <v>0</v>
      </c>
      <c r="Q4090" s="88">
        <f t="shared" si="648"/>
        <v>0</v>
      </c>
      <c r="R4090" s="88" t="e">
        <f>-IF(Tabla14[[#This Row],[DIAS HABILES O MORA]]&lt;0,(Tabla14[[#This Row],[VALOR PRESTAMO]]*Tabla14[[#This Row],[% INTERES ]]/30*U4090))+Tabla14[[#This Row],[VALOR CUOTAS]]</f>
        <v>#VALUE!</v>
      </c>
      <c r="S4090" s="88">
        <f>-IF(Tabla14[[#This Row],[DIAS HABILES O MORA]]&lt;0,(Tabla14[[#This Row],[VALOR PRESTAMO]]*Tabla14[[#This Row],[% INTERES ]]/30*U4090))</f>
        <v>0</v>
      </c>
      <c r="T4090" s="53" t="e">
        <f>Tabla14[[#This Row],[DEUDA CAPITAL]]+Tabla14[[#This Row],[INTERES  CUOTA]]</f>
        <v>#NUM!</v>
      </c>
      <c r="U4090" s="61" t="str">
        <f t="shared" si="649"/>
        <v/>
      </c>
    </row>
    <row r="4091" spans="9:21" ht="24.75" customHeight="1" x14ac:dyDescent="0.35">
      <c r="I4091" s="42">
        <f t="shared" si="640"/>
        <v>0</v>
      </c>
      <c r="J4091" s="65" t="e">
        <f t="shared" si="641"/>
        <v>#NUM!</v>
      </c>
      <c r="K4091" s="83" t="e">
        <f t="shared" si="642"/>
        <v>#NUM!</v>
      </c>
      <c r="L4091" s="83">
        <f t="shared" si="643"/>
        <v>0</v>
      </c>
      <c r="M4091" s="110" t="str">
        <f t="shared" si="644"/>
        <v/>
      </c>
      <c r="N4091" s="51" t="str">
        <f t="shared" si="645"/>
        <v/>
      </c>
      <c r="O4091" s="52" t="str">
        <f t="shared" si="646"/>
        <v/>
      </c>
      <c r="P4091" s="88">
        <f t="shared" si="647"/>
        <v>0</v>
      </c>
      <c r="Q4091" s="88">
        <f t="shared" si="648"/>
        <v>0</v>
      </c>
      <c r="R4091" s="88" t="e">
        <f>-IF(Tabla14[[#This Row],[DIAS HABILES O MORA]]&lt;0,(Tabla14[[#This Row],[VALOR PRESTAMO]]*Tabla14[[#This Row],[% INTERES ]]/30*U4091))+Tabla14[[#This Row],[VALOR CUOTAS]]</f>
        <v>#VALUE!</v>
      </c>
      <c r="S4091" s="88">
        <f>-IF(Tabla14[[#This Row],[DIAS HABILES O MORA]]&lt;0,(Tabla14[[#This Row],[VALOR PRESTAMO]]*Tabla14[[#This Row],[% INTERES ]]/30*U4091))</f>
        <v>0</v>
      </c>
      <c r="T4091" s="53" t="e">
        <f>Tabla14[[#This Row],[DEUDA CAPITAL]]+Tabla14[[#This Row],[INTERES  CUOTA]]</f>
        <v>#NUM!</v>
      </c>
      <c r="U4091" s="61" t="str">
        <f t="shared" si="649"/>
        <v/>
      </c>
    </row>
    <row r="4092" spans="9:21" ht="24.75" customHeight="1" x14ac:dyDescent="0.35">
      <c r="I4092" s="42">
        <f t="shared" si="640"/>
        <v>0</v>
      </c>
      <c r="J4092" s="65" t="e">
        <f t="shared" si="641"/>
        <v>#NUM!</v>
      </c>
      <c r="K4092" s="83" t="e">
        <f t="shared" si="642"/>
        <v>#NUM!</v>
      </c>
      <c r="L4092" s="83">
        <f t="shared" si="643"/>
        <v>0</v>
      </c>
      <c r="M4092" s="110" t="str">
        <f t="shared" si="644"/>
        <v/>
      </c>
      <c r="N4092" s="51" t="str">
        <f t="shared" si="645"/>
        <v/>
      </c>
      <c r="O4092" s="52" t="str">
        <f t="shared" si="646"/>
        <v/>
      </c>
      <c r="P4092" s="88">
        <f t="shared" si="647"/>
        <v>0</v>
      </c>
      <c r="Q4092" s="88">
        <f t="shared" si="648"/>
        <v>0</v>
      </c>
      <c r="R4092" s="88" t="e">
        <f>-IF(Tabla14[[#This Row],[DIAS HABILES O MORA]]&lt;0,(Tabla14[[#This Row],[VALOR PRESTAMO]]*Tabla14[[#This Row],[% INTERES ]]/30*U4092))+Tabla14[[#This Row],[VALOR CUOTAS]]</f>
        <v>#VALUE!</v>
      </c>
      <c r="S4092" s="88">
        <f>-IF(Tabla14[[#This Row],[DIAS HABILES O MORA]]&lt;0,(Tabla14[[#This Row],[VALOR PRESTAMO]]*Tabla14[[#This Row],[% INTERES ]]/30*U4092))</f>
        <v>0</v>
      </c>
      <c r="T4092" s="53" t="e">
        <f>Tabla14[[#This Row],[DEUDA CAPITAL]]+Tabla14[[#This Row],[INTERES  CUOTA]]</f>
        <v>#NUM!</v>
      </c>
      <c r="U4092" s="61" t="str">
        <f t="shared" si="649"/>
        <v/>
      </c>
    </row>
    <row r="4093" spans="9:21" ht="24.75" customHeight="1" x14ac:dyDescent="0.35">
      <c r="I4093" s="42">
        <f t="shared" si="640"/>
        <v>0</v>
      </c>
      <c r="J4093" s="65" t="e">
        <f t="shared" si="641"/>
        <v>#NUM!</v>
      </c>
      <c r="K4093" s="83" t="e">
        <f t="shared" si="642"/>
        <v>#NUM!</v>
      </c>
      <c r="L4093" s="83">
        <f t="shared" si="643"/>
        <v>0</v>
      </c>
      <c r="M4093" s="110" t="str">
        <f t="shared" si="644"/>
        <v/>
      </c>
      <c r="N4093" s="51" t="str">
        <f t="shared" si="645"/>
        <v/>
      </c>
      <c r="O4093" s="52" t="str">
        <f t="shared" si="646"/>
        <v/>
      </c>
      <c r="P4093" s="88">
        <f t="shared" si="647"/>
        <v>0</v>
      </c>
      <c r="Q4093" s="88">
        <f t="shared" si="648"/>
        <v>0</v>
      </c>
      <c r="R4093" s="88" t="e">
        <f>-IF(Tabla14[[#This Row],[DIAS HABILES O MORA]]&lt;0,(Tabla14[[#This Row],[VALOR PRESTAMO]]*Tabla14[[#This Row],[% INTERES ]]/30*U4093))+Tabla14[[#This Row],[VALOR CUOTAS]]</f>
        <v>#VALUE!</v>
      </c>
      <c r="S4093" s="88">
        <f>-IF(Tabla14[[#This Row],[DIAS HABILES O MORA]]&lt;0,(Tabla14[[#This Row],[VALOR PRESTAMO]]*Tabla14[[#This Row],[% INTERES ]]/30*U4093))</f>
        <v>0</v>
      </c>
      <c r="T4093" s="53" t="e">
        <f>Tabla14[[#This Row],[DEUDA CAPITAL]]+Tabla14[[#This Row],[INTERES  CUOTA]]</f>
        <v>#NUM!</v>
      </c>
      <c r="U4093" s="61" t="str">
        <f t="shared" si="649"/>
        <v/>
      </c>
    </row>
    <row r="4094" spans="9:21" ht="24.75" customHeight="1" x14ac:dyDescent="0.35">
      <c r="I4094" s="42">
        <f t="shared" si="640"/>
        <v>0</v>
      </c>
      <c r="J4094" s="65" t="e">
        <f t="shared" si="641"/>
        <v>#NUM!</v>
      </c>
      <c r="K4094" s="83" t="e">
        <f t="shared" si="642"/>
        <v>#NUM!</v>
      </c>
      <c r="L4094" s="83">
        <f t="shared" si="643"/>
        <v>0</v>
      </c>
      <c r="M4094" s="110" t="str">
        <f t="shared" si="644"/>
        <v/>
      </c>
      <c r="N4094" s="51" t="str">
        <f t="shared" si="645"/>
        <v/>
      </c>
      <c r="O4094" s="52" t="str">
        <f t="shared" si="646"/>
        <v/>
      </c>
      <c r="P4094" s="88">
        <f t="shared" si="647"/>
        <v>0</v>
      </c>
      <c r="Q4094" s="88">
        <f t="shared" si="648"/>
        <v>0</v>
      </c>
      <c r="R4094" s="88" t="e">
        <f>-IF(Tabla14[[#This Row],[DIAS HABILES O MORA]]&lt;0,(Tabla14[[#This Row],[VALOR PRESTAMO]]*Tabla14[[#This Row],[% INTERES ]]/30*U4094))+Tabla14[[#This Row],[VALOR CUOTAS]]</f>
        <v>#VALUE!</v>
      </c>
      <c r="S4094" s="88">
        <f>-IF(Tabla14[[#This Row],[DIAS HABILES O MORA]]&lt;0,(Tabla14[[#This Row],[VALOR PRESTAMO]]*Tabla14[[#This Row],[% INTERES ]]/30*U4094))</f>
        <v>0</v>
      </c>
      <c r="T4094" s="53" t="e">
        <f>Tabla14[[#This Row],[DEUDA CAPITAL]]+Tabla14[[#This Row],[INTERES  CUOTA]]</f>
        <v>#NUM!</v>
      </c>
      <c r="U4094" s="61" t="str">
        <f t="shared" si="649"/>
        <v/>
      </c>
    </row>
    <row r="4095" spans="9:21" ht="24.75" customHeight="1" x14ac:dyDescent="0.35">
      <c r="I4095" s="42">
        <f t="shared" si="640"/>
        <v>0</v>
      </c>
      <c r="J4095" s="65" t="e">
        <f t="shared" si="641"/>
        <v>#NUM!</v>
      </c>
      <c r="K4095" s="83" t="e">
        <f t="shared" si="642"/>
        <v>#NUM!</v>
      </c>
      <c r="L4095" s="83">
        <f t="shared" si="643"/>
        <v>0</v>
      </c>
      <c r="M4095" s="110" t="str">
        <f t="shared" si="644"/>
        <v/>
      </c>
      <c r="N4095" s="51" t="str">
        <f t="shared" si="645"/>
        <v/>
      </c>
      <c r="O4095" s="52" t="str">
        <f t="shared" si="646"/>
        <v/>
      </c>
      <c r="P4095" s="88">
        <f t="shared" si="647"/>
        <v>0</v>
      </c>
      <c r="Q4095" s="88">
        <f t="shared" si="648"/>
        <v>0</v>
      </c>
      <c r="R4095" s="88" t="e">
        <f>-IF(Tabla14[[#This Row],[DIAS HABILES O MORA]]&lt;0,(Tabla14[[#This Row],[VALOR PRESTAMO]]*Tabla14[[#This Row],[% INTERES ]]/30*U4095))+Tabla14[[#This Row],[VALOR CUOTAS]]</f>
        <v>#VALUE!</v>
      </c>
      <c r="S4095" s="88">
        <f>-IF(Tabla14[[#This Row],[DIAS HABILES O MORA]]&lt;0,(Tabla14[[#This Row],[VALOR PRESTAMO]]*Tabla14[[#This Row],[% INTERES ]]/30*U4095))</f>
        <v>0</v>
      </c>
      <c r="T4095" s="53" t="e">
        <f>Tabla14[[#This Row],[DEUDA CAPITAL]]+Tabla14[[#This Row],[INTERES  CUOTA]]</f>
        <v>#NUM!</v>
      </c>
      <c r="U4095" s="61" t="str">
        <f t="shared" si="649"/>
        <v/>
      </c>
    </row>
    <row r="4096" spans="9:21" ht="24.75" customHeight="1" x14ac:dyDescent="0.35">
      <c r="I4096" s="42">
        <f t="shared" si="640"/>
        <v>0</v>
      </c>
      <c r="J4096" s="65" t="e">
        <f t="shared" si="641"/>
        <v>#NUM!</v>
      </c>
      <c r="K4096" s="83" t="e">
        <f t="shared" si="642"/>
        <v>#NUM!</v>
      </c>
      <c r="L4096" s="83">
        <f t="shared" si="643"/>
        <v>0</v>
      </c>
      <c r="M4096" s="110" t="str">
        <f t="shared" si="644"/>
        <v/>
      </c>
      <c r="N4096" s="51" t="str">
        <f t="shared" si="645"/>
        <v/>
      </c>
      <c r="O4096" s="52" t="str">
        <f t="shared" si="646"/>
        <v/>
      </c>
      <c r="P4096" s="88">
        <f t="shared" si="647"/>
        <v>0</v>
      </c>
      <c r="Q4096" s="88">
        <f t="shared" si="648"/>
        <v>0</v>
      </c>
      <c r="R4096" s="88" t="e">
        <f>-IF(Tabla14[[#This Row],[DIAS HABILES O MORA]]&lt;0,(Tabla14[[#This Row],[VALOR PRESTAMO]]*Tabla14[[#This Row],[% INTERES ]]/30*U4096))+Tabla14[[#This Row],[VALOR CUOTAS]]</f>
        <v>#VALUE!</v>
      </c>
      <c r="S4096" s="88">
        <f>-IF(Tabla14[[#This Row],[DIAS HABILES O MORA]]&lt;0,(Tabla14[[#This Row],[VALOR PRESTAMO]]*Tabla14[[#This Row],[% INTERES ]]/30*U4096))</f>
        <v>0</v>
      </c>
      <c r="T4096" s="53" t="e">
        <f>Tabla14[[#This Row],[DEUDA CAPITAL]]+Tabla14[[#This Row],[INTERES  CUOTA]]</f>
        <v>#NUM!</v>
      </c>
      <c r="U4096" s="61" t="str">
        <f t="shared" si="649"/>
        <v/>
      </c>
    </row>
    <row r="4097" spans="9:21" ht="24.75" customHeight="1" x14ac:dyDescent="0.35">
      <c r="I4097" s="42">
        <f t="shared" si="640"/>
        <v>0</v>
      </c>
      <c r="J4097" s="65" t="e">
        <f t="shared" si="641"/>
        <v>#NUM!</v>
      </c>
      <c r="K4097" s="83" t="e">
        <f t="shared" si="642"/>
        <v>#NUM!</v>
      </c>
      <c r="L4097" s="83">
        <f t="shared" si="643"/>
        <v>0</v>
      </c>
      <c r="M4097" s="110" t="str">
        <f t="shared" si="644"/>
        <v/>
      </c>
      <c r="N4097" s="51" t="str">
        <f t="shared" si="645"/>
        <v/>
      </c>
      <c r="O4097" s="52" t="str">
        <f t="shared" si="646"/>
        <v/>
      </c>
      <c r="P4097" s="88">
        <f t="shared" si="647"/>
        <v>0</v>
      </c>
      <c r="Q4097" s="88">
        <f t="shared" si="648"/>
        <v>0</v>
      </c>
      <c r="R4097" s="88" t="e">
        <f>-IF(Tabla14[[#This Row],[DIAS HABILES O MORA]]&lt;0,(Tabla14[[#This Row],[VALOR PRESTAMO]]*Tabla14[[#This Row],[% INTERES ]]/30*U4097))+Tabla14[[#This Row],[VALOR CUOTAS]]</f>
        <v>#VALUE!</v>
      </c>
      <c r="S4097" s="88">
        <f>-IF(Tabla14[[#This Row],[DIAS HABILES O MORA]]&lt;0,(Tabla14[[#This Row],[VALOR PRESTAMO]]*Tabla14[[#This Row],[% INTERES ]]/30*U4097))</f>
        <v>0</v>
      </c>
      <c r="T4097" s="53" t="e">
        <f>Tabla14[[#This Row],[DEUDA CAPITAL]]+Tabla14[[#This Row],[INTERES  CUOTA]]</f>
        <v>#NUM!</v>
      </c>
      <c r="U4097" s="61" t="str">
        <f t="shared" si="649"/>
        <v/>
      </c>
    </row>
    <row r="4098" spans="9:21" ht="24.75" customHeight="1" x14ac:dyDescent="0.35">
      <c r="I4098" s="42">
        <f t="shared" si="640"/>
        <v>0</v>
      </c>
      <c r="J4098" s="65" t="e">
        <f t="shared" si="641"/>
        <v>#NUM!</v>
      </c>
      <c r="K4098" s="83" t="e">
        <f t="shared" si="642"/>
        <v>#NUM!</v>
      </c>
      <c r="L4098" s="83">
        <f t="shared" si="643"/>
        <v>0</v>
      </c>
      <c r="M4098" s="110" t="str">
        <f t="shared" si="644"/>
        <v/>
      </c>
      <c r="N4098" s="51" t="str">
        <f t="shared" si="645"/>
        <v/>
      </c>
      <c r="O4098" s="52" t="str">
        <f t="shared" si="646"/>
        <v/>
      </c>
      <c r="P4098" s="88">
        <f t="shared" si="647"/>
        <v>0</v>
      </c>
      <c r="Q4098" s="88">
        <f t="shared" si="648"/>
        <v>0</v>
      </c>
      <c r="R4098" s="88" t="e">
        <f>-IF(Tabla14[[#This Row],[DIAS HABILES O MORA]]&lt;0,(Tabla14[[#This Row],[VALOR PRESTAMO]]*Tabla14[[#This Row],[% INTERES ]]/30*U4098))+Tabla14[[#This Row],[VALOR CUOTAS]]</f>
        <v>#VALUE!</v>
      </c>
      <c r="S4098" s="88">
        <f>-IF(Tabla14[[#This Row],[DIAS HABILES O MORA]]&lt;0,(Tabla14[[#This Row],[VALOR PRESTAMO]]*Tabla14[[#This Row],[% INTERES ]]/30*U4098))</f>
        <v>0</v>
      </c>
      <c r="T4098" s="53" t="e">
        <f>Tabla14[[#This Row],[DEUDA CAPITAL]]+Tabla14[[#This Row],[INTERES  CUOTA]]</f>
        <v>#NUM!</v>
      </c>
      <c r="U4098" s="61" t="str">
        <f t="shared" si="649"/>
        <v/>
      </c>
    </row>
    <row r="4099" spans="9:21" ht="24.75" customHeight="1" x14ac:dyDescent="0.35">
      <c r="I4099" s="42">
        <f t="shared" si="640"/>
        <v>0</v>
      </c>
      <c r="J4099" s="65" t="e">
        <f t="shared" si="641"/>
        <v>#NUM!</v>
      </c>
      <c r="K4099" s="83" t="e">
        <f t="shared" si="642"/>
        <v>#NUM!</v>
      </c>
      <c r="L4099" s="83">
        <f t="shared" si="643"/>
        <v>0</v>
      </c>
      <c r="M4099" s="110" t="str">
        <f t="shared" si="644"/>
        <v/>
      </c>
      <c r="N4099" s="51" t="str">
        <f t="shared" si="645"/>
        <v/>
      </c>
      <c r="O4099" s="52" t="str">
        <f t="shared" si="646"/>
        <v/>
      </c>
      <c r="P4099" s="88">
        <f t="shared" si="647"/>
        <v>0</v>
      </c>
      <c r="Q4099" s="88">
        <f t="shared" si="648"/>
        <v>0</v>
      </c>
      <c r="R4099" s="88" t="e">
        <f>-IF(Tabla14[[#This Row],[DIAS HABILES O MORA]]&lt;0,(Tabla14[[#This Row],[VALOR PRESTAMO]]*Tabla14[[#This Row],[% INTERES ]]/30*U4099))+Tabla14[[#This Row],[VALOR CUOTAS]]</f>
        <v>#VALUE!</v>
      </c>
      <c r="S4099" s="88">
        <f>-IF(Tabla14[[#This Row],[DIAS HABILES O MORA]]&lt;0,(Tabla14[[#This Row],[VALOR PRESTAMO]]*Tabla14[[#This Row],[% INTERES ]]/30*U4099))</f>
        <v>0</v>
      </c>
      <c r="T4099" s="53" t="e">
        <f>Tabla14[[#This Row],[DEUDA CAPITAL]]+Tabla14[[#This Row],[INTERES  CUOTA]]</f>
        <v>#NUM!</v>
      </c>
      <c r="U4099" s="61" t="str">
        <f t="shared" si="649"/>
        <v/>
      </c>
    </row>
    <row r="4100" spans="9:21" ht="24.75" customHeight="1" x14ac:dyDescent="0.35">
      <c r="I4100" s="42">
        <f t="shared" si="640"/>
        <v>0</v>
      </c>
      <c r="J4100" s="65" t="e">
        <f t="shared" si="641"/>
        <v>#NUM!</v>
      </c>
      <c r="K4100" s="83" t="e">
        <f t="shared" si="642"/>
        <v>#NUM!</v>
      </c>
      <c r="L4100" s="83">
        <f t="shared" si="643"/>
        <v>0</v>
      </c>
      <c r="M4100" s="110" t="str">
        <f t="shared" si="644"/>
        <v/>
      </c>
      <c r="N4100" s="51" t="str">
        <f t="shared" si="645"/>
        <v/>
      </c>
      <c r="O4100" s="52" t="str">
        <f t="shared" si="646"/>
        <v/>
      </c>
      <c r="P4100" s="88">
        <f t="shared" si="647"/>
        <v>0</v>
      </c>
      <c r="Q4100" s="88">
        <f t="shared" si="648"/>
        <v>0</v>
      </c>
      <c r="R4100" s="88" t="e">
        <f>-IF(Tabla14[[#This Row],[DIAS HABILES O MORA]]&lt;0,(Tabla14[[#This Row],[VALOR PRESTAMO]]*Tabla14[[#This Row],[% INTERES ]]/30*U4100))+Tabla14[[#This Row],[VALOR CUOTAS]]</f>
        <v>#VALUE!</v>
      </c>
      <c r="S4100" s="88">
        <f>-IF(Tabla14[[#This Row],[DIAS HABILES O MORA]]&lt;0,(Tabla14[[#This Row],[VALOR PRESTAMO]]*Tabla14[[#This Row],[% INTERES ]]/30*U4100))</f>
        <v>0</v>
      </c>
      <c r="T4100" s="53" t="e">
        <f>Tabla14[[#This Row],[DEUDA CAPITAL]]+Tabla14[[#This Row],[INTERES  CUOTA]]</f>
        <v>#NUM!</v>
      </c>
      <c r="U4100" s="61" t="str">
        <f t="shared" si="649"/>
        <v/>
      </c>
    </row>
    <row r="4101" spans="9:21" ht="24.75" customHeight="1" x14ac:dyDescent="0.35">
      <c r="I4101" s="42">
        <f t="shared" si="640"/>
        <v>0</v>
      </c>
      <c r="J4101" s="65" t="e">
        <f t="shared" si="641"/>
        <v>#NUM!</v>
      </c>
      <c r="K4101" s="83" t="e">
        <f t="shared" si="642"/>
        <v>#NUM!</v>
      </c>
      <c r="L4101" s="83">
        <f t="shared" si="643"/>
        <v>0</v>
      </c>
      <c r="M4101" s="110" t="str">
        <f t="shared" si="644"/>
        <v/>
      </c>
      <c r="N4101" s="51" t="str">
        <f t="shared" si="645"/>
        <v/>
      </c>
      <c r="O4101" s="52" t="str">
        <f t="shared" si="646"/>
        <v/>
      </c>
      <c r="P4101" s="88">
        <f t="shared" si="647"/>
        <v>0</v>
      </c>
      <c r="Q4101" s="88">
        <f t="shared" si="648"/>
        <v>0</v>
      </c>
      <c r="R4101" s="88" t="e">
        <f>-IF(Tabla14[[#This Row],[DIAS HABILES O MORA]]&lt;0,(Tabla14[[#This Row],[VALOR PRESTAMO]]*Tabla14[[#This Row],[% INTERES ]]/30*U4101))+Tabla14[[#This Row],[VALOR CUOTAS]]</f>
        <v>#VALUE!</v>
      </c>
      <c r="S4101" s="88">
        <f>-IF(Tabla14[[#This Row],[DIAS HABILES O MORA]]&lt;0,(Tabla14[[#This Row],[VALOR PRESTAMO]]*Tabla14[[#This Row],[% INTERES ]]/30*U4101))</f>
        <v>0</v>
      </c>
      <c r="T4101" s="53" t="e">
        <f>Tabla14[[#This Row],[DEUDA CAPITAL]]+Tabla14[[#This Row],[INTERES  CUOTA]]</f>
        <v>#NUM!</v>
      </c>
      <c r="U4101" s="61" t="str">
        <f t="shared" si="649"/>
        <v/>
      </c>
    </row>
    <row r="4102" spans="9:21" ht="24.75" customHeight="1" x14ac:dyDescent="0.35">
      <c r="I4102" s="42">
        <f t="shared" si="640"/>
        <v>0</v>
      </c>
      <c r="J4102" s="65" t="e">
        <f t="shared" si="641"/>
        <v>#NUM!</v>
      </c>
      <c r="K4102" s="83" t="e">
        <f t="shared" si="642"/>
        <v>#NUM!</v>
      </c>
      <c r="L4102" s="83">
        <f t="shared" si="643"/>
        <v>0</v>
      </c>
      <c r="M4102" s="110" t="str">
        <f t="shared" si="644"/>
        <v/>
      </c>
      <c r="N4102" s="51" t="str">
        <f t="shared" si="645"/>
        <v/>
      </c>
      <c r="O4102" s="52" t="str">
        <f t="shared" si="646"/>
        <v/>
      </c>
      <c r="P4102" s="88">
        <f t="shared" si="647"/>
        <v>0</v>
      </c>
      <c r="Q4102" s="88">
        <f t="shared" si="648"/>
        <v>0</v>
      </c>
      <c r="R4102" s="88" t="e">
        <f>-IF(Tabla14[[#This Row],[DIAS HABILES O MORA]]&lt;0,(Tabla14[[#This Row],[VALOR PRESTAMO]]*Tabla14[[#This Row],[% INTERES ]]/30*U4102))+Tabla14[[#This Row],[VALOR CUOTAS]]</f>
        <v>#VALUE!</v>
      </c>
      <c r="S4102" s="88">
        <f>-IF(Tabla14[[#This Row],[DIAS HABILES O MORA]]&lt;0,(Tabla14[[#This Row],[VALOR PRESTAMO]]*Tabla14[[#This Row],[% INTERES ]]/30*U4102))</f>
        <v>0</v>
      </c>
      <c r="T4102" s="53" t="e">
        <f>Tabla14[[#This Row],[DEUDA CAPITAL]]+Tabla14[[#This Row],[INTERES  CUOTA]]</f>
        <v>#NUM!</v>
      </c>
      <c r="U4102" s="61" t="str">
        <f t="shared" si="649"/>
        <v/>
      </c>
    </row>
    <row r="4103" spans="9:21" ht="24.75" customHeight="1" x14ac:dyDescent="0.35">
      <c r="I4103" s="42">
        <f t="shared" si="640"/>
        <v>0</v>
      </c>
      <c r="J4103" s="65" t="e">
        <f t="shared" si="641"/>
        <v>#NUM!</v>
      </c>
      <c r="K4103" s="83" t="e">
        <f t="shared" si="642"/>
        <v>#NUM!</v>
      </c>
      <c r="L4103" s="83">
        <f t="shared" si="643"/>
        <v>0</v>
      </c>
      <c r="M4103" s="110" t="str">
        <f t="shared" si="644"/>
        <v/>
      </c>
      <c r="N4103" s="51" t="str">
        <f t="shared" si="645"/>
        <v/>
      </c>
      <c r="O4103" s="52" t="str">
        <f t="shared" si="646"/>
        <v/>
      </c>
      <c r="P4103" s="88">
        <f t="shared" si="647"/>
        <v>0</v>
      </c>
      <c r="Q4103" s="88">
        <f t="shared" si="648"/>
        <v>0</v>
      </c>
      <c r="R4103" s="88" t="e">
        <f>-IF(Tabla14[[#This Row],[DIAS HABILES O MORA]]&lt;0,(Tabla14[[#This Row],[VALOR PRESTAMO]]*Tabla14[[#This Row],[% INTERES ]]/30*U4103))+Tabla14[[#This Row],[VALOR CUOTAS]]</f>
        <v>#VALUE!</v>
      </c>
      <c r="S4103" s="88">
        <f>-IF(Tabla14[[#This Row],[DIAS HABILES O MORA]]&lt;0,(Tabla14[[#This Row],[VALOR PRESTAMO]]*Tabla14[[#This Row],[% INTERES ]]/30*U4103))</f>
        <v>0</v>
      </c>
      <c r="T4103" s="53" t="e">
        <f>Tabla14[[#This Row],[DEUDA CAPITAL]]+Tabla14[[#This Row],[INTERES  CUOTA]]</f>
        <v>#NUM!</v>
      </c>
      <c r="U4103" s="61" t="str">
        <f t="shared" si="649"/>
        <v/>
      </c>
    </row>
    <row r="4104" spans="9:21" ht="24.75" customHeight="1" x14ac:dyDescent="0.35">
      <c r="I4104" s="42">
        <f t="shared" si="640"/>
        <v>0</v>
      </c>
      <c r="J4104" s="65" t="e">
        <f t="shared" si="641"/>
        <v>#NUM!</v>
      </c>
      <c r="K4104" s="83" t="e">
        <f t="shared" si="642"/>
        <v>#NUM!</v>
      </c>
      <c r="L4104" s="83">
        <f t="shared" si="643"/>
        <v>0</v>
      </c>
      <c r="M4104" s="110" t="str">
        <f t="shared" si="644"/>
        <v/>
      </c>
      <c r="N4104" s="51" t="str">
        <f t="shared" si="645"/>
        <v/>
      </c>
      <c r="O4104" s="52" t="str">
        <f t="shared" si="646"/>
        <v/>
      </c>
      <c r="P4104" s="88">
        <f t="shared" si="647"/>
        <v>0</v>
      </c>
      <c r="Q4104" s="88">
        <f t="shared" si="648"/>
        <v>0</v>
      </c>
      <c r="R4104" s="88" t="e">
        <f>-IF(Tabla14[[#This Row],[DIAS HABILES O MORA]]&lt;0,(Tabla14[[#This Row],[VALOR PRESTAMO]]*Tabla14[[#This Row],[% INTERES ]]/30*U4104))+Tabla14[[#This Row],[VALOR CUOTAS]]</f>
        <v>#VALUE!</v>
      </c>
      <c r="S4104" s="88">
        <f>-IF(Tabla14[[#This Row],[DIAS HABILES O MORA]]&lt;0,(Tabla14[[#This Row],[VALOR PRESTAMO]]*Tabla14[[#This Row],[% INTERES ]]/30*U4104))</f>
        <v>0</v>
      </c>
      <c r="T4104" s="53" t="e">
        <f>Tabla14[[#This Row],[DEUDA CAPITAL]]+Tabla14[[#This Row],[INTERES  CUOTA]]</f>
        <v>#NUM!</v>
      </c>
      <c r="U4104" s="61" t="str">
        <f t="shared" si="649"/>
        <v/>
      </c>
    </row>
    <row r="4105" spans="9:21" ht="24.75" customHeight="1" x14ac:dyDescent="0.35">
      <c r="I4105" s="42">
        <f t="shared" si="640"/>
        <v>0</v>
      </c>
      <c r="J4105" s="65" t="e">
        <f t="shared" si="641"/>
        <v>#NUM!</v>
      </c>
      <c r="K4105" s="83" t="e">
        <f t="shared" si="642"/>
        <v>#NUM!</v>
      </c>
      <c r="L4105" s="83">
        <f t="shared" si="643"/>
        <v>0</v>
      </c>
      <c r="M4105" s="110" t="str">
        <f t="shared" si="644"/>
        <v/>
      </c>
      <c r="N4105" s="51" t="str">
        <f t="shared" si="645"/>
        <v/>
      </c>
      <c r="O4105" s="52" t="str">
        <f t="shared" si="646"/>
        <v/>
      </c>
      <c r="P4105" s="88">
        <f t="shared" si="647"/>
        <v>0</v>
      </c>
      <c r="Q4105" s="88">
        <f t="shared" si="648"/>
        <v>0</v>
      </c>
      <c r="R4105" s="88" t="e">
        <f>-IF(Tabla14[[#This Row],[DIAS HABILES O MORA]]&lt;0,(Tabla14[[#This Row],[VALOR PRESTAMO]]*Tabla14[[#This Row],[% INTERES ]]/30*U4105))+Tabla14[[#This Row],[VALOR CUOTAS]]</f>
        <v>#VALUE!</v>
      </c>
      <c r="S4105" s="88">
        <f>-IF(Tabla14[[#This Row],[DIAS HABILES O MORA]]&lt;0,(Tabla14[[#This Row],[VALOR PRESTAMO]]*Tabla14[[#This Row],[% INTERES ]]/30*U4105))</f>
        <v>0</v>
      </c>
      <c r="T4105" s="53" t="e">
        <f>Tabla14[[#This Row],[DEUDA CAPITAL]]+Tabla14[[#This Row],[INTERES  CUOTA]]</f>
        <v>#NUM!</v>
      </c>
      <c r="U4105" s="61" t="str">
        <f t="shared" si="649"/>
        <v/>
      </c>
    </row>
    <row r="4106" spans="9:21" ht="24.75" customHeight="1" x14ac:dyDescent="0.35">
      <c r="I4106" s="42">
        <f t="shared" si="640"/>
        <v>0</v>
      </c>
      <c r="J4106" s="65" t="e">
        <f t="shared" si="641"/>
        <v>#NUM!</v>
      </c>
      <c r="K4106" s="83" t="e">
        <f t="shared" si="642"/>
        <v>#NUM!</v>
      </c>
      <c r="L4106" s="83">
        <f t="shared" si="643"/>
        <v>0</v>
      </c>
      <c r="M4106" s="110" t="str">
        <f t="shared" si="644"/>
        <v/>
      </c>
      <c r="N4106" s="51" t="str">
        <f t="shared" si="645"/>
        <v/>
      </c>
      <c r="O4106" s="52" t="str">
        <f t="shared" si="646"/>
        <v/>
      </c>
      <c r="P4106" s="88">
        <f t="shared" si="647"/>
        <v>0</v>
      </c>
      <c r="Q4106" s="88">
        <f t="shared" si="648"/>
        <v>0</v>
      </c>
      <c r="R4106" s="88" t="e">
        <f>-IF(Tabla14[[#This Row],[DIAS HABILES O MORA]]&lt;0,(Tabla14[[#This Row],[VALOR PRESTAMO]]*Tabla14[[#This Row],[% INTERES ]]/30*U4106))+Tabla14[[#This Row],[VALOR CUOTAS]]</f>
        <v>#VALUE!</v>
      </c>
      <c r="S4106" s="88">
        <f>-IF(Tabla14[[#This Row],[DIAS HABILES O MORA]]&lt;0,(Tabla14[[#This Row],[VALOR PRESTAMO]]*Tabla14[[#This Row],[% INTERES ]]/30*U4106))</f>
        <v>0</v>
      </c>
      <c r="T4106" s="53" t="e">
        <f>Tabla14[[#This Row],[DEUDA CAPITAL]]+Tabla14[[#This Row],[INTERES  CUOTA]]</f>
        <v>#NUM!</v>
      </c>
      <c r="U4106" s="61" t="str">
        <f t="shared" si="649"/>
        <v/>
      </c>
    </row>
    <row r="4107" spans="9:21" ht="24.75" customHeight="1" x14ac:dyDescent="0.35">
      <c r="I4107" s="42">
        <f t="shared" si="640"/>
        <v>0</v>
      </c>
      <c r="J4107" s="65" t="e">
        <f t="shared" si="641"/>
        <v>#NUM!</v>
      </c>
      <c r="K4107" s="83" t="e">
        <f t="shared" si="642"/>
        <v>#NUM!</v>
      </c>
      <c r="L4107" s="83">
        <f t="shared" si="643"/>
        <v>0</v>
      </c>
      <c r="M4107" s="110" t="str">
        <f t="shared" si="644"/>
        <v/>
      </c>
      <c r="N4107" s="51" t="str">
        <f t="shared" si="645"/>
        <v/>
      </c>
      <c r="O4107" s="52" t="str">
        <f t="shared" si="646"/>
        <v/>
      </c>
      <c r="P4107" s="88">
        <f t="shared" si="647"/>
        <v>0</v>
      </c>
      <c r="Q4107" s="88">
        <f t="shared" si="648"/>
        <v>0</v>
      </c>
      <c r="R4107" s="88" t="e">
        <f>-IF(Tabla14[[#This Row],[DIAS HABILES O MORA]]&lt;0,(Tabla14[[#This Row],[VALOR PRESTAMO]]*Tabla14[[#This Row],[% INTERES ]]/30*U4107))+Tabla14[[#This Row],[VALOR CUOTAS]]</f>
        <v>#VALUE!</v>
      </c>
      <c r="S4107" s="88">
        <f>-IF(Tabla14[[#This Row],[DIAS HABILES O MORA]]&lt;0,(Tabla14[[#This Row],[VALOR PRESTAMO]]*Tabla14[[#This Row],[% INTERES ]]/30*U4107))</f>
        <v>0</v>
      </c>
      <c r="T4107" s="53" t="e">
        <f>Tabla14[[#This Row],[DEUDA CAPITAL]]+Tabla14[[#This Row],[INTERES  CUOTA]]</f>
        <v>#NUM!</v>
      </c>
      <c r="U4107" s="61" t="str">
        <f t="shared" si="649"/>
        <v/>
      </c>
    </row>
    <row r="4108" spans="9:21" ht="24.75" customHeight="1" x14ac:dyDescent="0.35">
      <c r="I4108" s="42">
        <f t="shared" si="640"/>
        <v>0</v>
      </c>
      <c r="J4108" s="65" t="e">
        <f t="shared" si="641"/>
        <v>#NUM!</v>
      </c>
      <c r="K4108" s="83" t="e">
        <f t="shared" si="642"/>
        <v>#NUM!</v>
      </c>
      <c r="L4108" s="83">
        <f t="shared" si="643"/>
        <v>0</v>
      </c>
      <c r="M4108" s="110" t="str">
        <f t="shared" si="644"/>
        <v/>
      </c>
      <c r="N4108" s="51" t="str">
        <f t="shared" si="645"/>
        <v/>
      </c>
      <c r="O4108" s="52" t="str">
        <f t="shared" si="646"/>
        <v/>
      </c>
      <c r="P4108" s="88">
        <f t="shared" si="647"/>
        <v>0</v>
      </c>
      <c r="Q4108" s="88">
        <f t="shared" si="648"/>
        <v>0</v>
      </c>
      <c r="R4108" s="88" t="e">
        <f>-IF(Tabla14[[#This Row],[DIAS HABILES O MORA]]&lt;0,(Tabla14[[#This Row],[VALOR PRESTAMO]]*Tabla14[[#This Row],[% INTERES ]]/30*U4108))+Tabla14[[#This Row],[VALOR CUOTAS]]</f>
        <v>#VALUE!</v>
      </c>
      <c r="S4108" s="88">
        <f>-IF(Tabla14[[#This Row],[DIAS HABILES O MORA]]&lt;0,(Tabla14[[#This Row],[VALOR PRESTAMO]]*Tabla14[[#This Row],[% INTERES ]]/30*U4108))</f>
        <v>0</v>
      </c>
      <c r="T4108" s="53" t="e">
        <f>Tabla14[[#This Row],[DEUDA CAPITAL]]+Tabla14[[#This Row],[INTERES  CUOTA]]</f>
        <v>#NUM!</v>
      </c>
      <c r="U4108" s="61" t="str">
        <f t="shared" si="649"/>
        <v/>
      </c>
    </row>
    <row r="4109" spans="9:21" ht="24.75" customHeight="1" x14ac:dyDescent="0.35">
      <c r="I4109" s="42">
        <f t="shared" si="640"/>
        <v>0</v>
      </c>
      <c r="J4109" s="65" t="e">
        <f t="shared" si="641"/>
        <v>#NUM!</v>
      </c>
      <c r="K4109" s="83" t="e">
        <f t="shared" si="642"/>
        <v>#NUM!</v>
      </c>
      <c r="L4109" s="83">
        <f t="shared" si="643"/>
        <v>0</v>
      </c>
      <c r="M4109" s="110" t="str">
        <f t="shared" si="644"/>
        <v/>
      </c>
      <c r="N4109" s="51" t="str">
        <f t="shared" si="645"/>
        <v/>
      </c>
      <c r="O4109" s="52" t="str">
        <f t="shared" si="646"/>
        <v/>
      </c>
      <c r="P4109" s="88">
        <f t="shared" si="647"/>
        <v>0</v>
      </c>
      <c r="Q4109" s="88">
        <f t="shared" si="648"/>
        <v>0</v>
      </c>
      <c r="R4109" s="88" t="e">
        <f>-IF(Tabla14[[#This Row],[DIAS HABILES O MORA]]&lt;0,(Tabla14[[#This Row],[VALOR PRESTAMO]]*Tabla14[[#This Row],[% INTERES ]]/30*U4109))+Tabla14[[#This Row],[VALOR CUOTAS]]</f>
        <v>#VALUE!</v>
      </c>
      <c r="S4109" s="88">
        <f>-IF(Tabla14[[#This Row],[DIAS HABILES O MORA]]&lt;0,(Tabla14[[#This Row],[VALOR PRESTAMO]]*Tabla14[[#This Row],[% INTERES ]]/30*U4109))</f>
        <v>0</v>
      </c>
      <c r="T4109" s="53" t="e">
        <f>Tabla14[[#This Row],[DEUDA CAPITAL]]+Tabla14[[#This Row],[INTERES  CUOTA]]</f>
        <v>#NUM!</v>
      </c>
      <c r="U4109" s="61" t="str">
        <f t="shared" si="649"/>
        <v/>
      </c>
    </row>
    <row r="4110" spans="9:21" ht="24.75" customHeight="1" x14ac:dyDescent="0.35">
      <c r="I4110" s="42">
        <f t="shared" si="640"/>
        <v>0</v>
      </c>
      <c r="J4110" s="65" t="e">
        <f t="shared" si="641"/>
        <v>#NUM!</v>
      </c>
      <c r="K4110" s="83" t="e">
        <f t="shared" si="642"/>
        <v>#NUM!</v>
      </c>
      <c r="L4110" s="83">
        <f t="shared" si="643"/>
        <v>0</v>
      </c>
      <c r="M4110" s="110" t="str">
        <f t="shared" si="644"/>
        <v/>
      </c>
      <c r="N4110" s="51" t="str">
        <f t="shared" si="645"/>
        <v/>
      </c>
      <c r="O4110" s="52" t="str">
        <f t="shared" si="646"/>
        <v/>
      </c>
      <c r="P4110" s="88">
        <f t="shared" si="647"/>
        <v>0</v>
      </c>
      <c r="Q4110" s="88">
        <f t="shared" si="648"/>
        <v>0</v>
      </c>
      <c r="R4110" s="88" t="e">
        <f>-IF(Tabla14[[#This Row],[DIAS HABILES O MORA]]&lt;0,(Tabla14[[#This Row],[VALOR PRESTAMO]]*Tabla14[[#This Row],[% INTERES ]]/30*U4110))+Tabla14[[#This Row],[VALOR CUOTAS]]</f>
        <v>#VALUE!</v>
      </c>
      <c r="S4110" s="88">
        <f>-IF(Tabla14[[#This Row],[DIAS HABILES O MORA]]&lt;0,(Tabla14[[#This Row],[VALOR PRESTAMO]]*Tabla14[[#This Row],[% INTERES ]]/30*U4110))</f>
        <v>0</v>
      </c>
      <c r="T4110" s="53" t="e">
        <f>Tabla14[[#This Row],[DEUDA CAPITAL]]+Tabla14[[#This Row],[INTERES  CUOTA]]</f>
        <v>#NUM!</v>
      </c>
      <c r="U4110" s="61" t="str">
        <f t="shared" si="649"/>
        <v/>
      </c>
    </row>
    <row r="4111" spans="9:21" ht="24.75" customHeight="1" x14ac:dyDescent="0.35">
      <c r="I4111" s="42">
        <f t="shared" si="640"/>
        <v>0</v>
      </c>
      <c r="J4111" s="65" t="e">
        <f t="shared" si="641"/>
        <v>#NUM!</v>
      </c>
      <c r="K4111" s="83" t="e">
        <f t="shared" si="642"/>
        <v>#NUM!</v>
      </c>
      <c r="L4111" s="83">
        <f t="shared" si="643"/>
        <v>0</v>
      </c>
      <c r="M4111" s="110" t="str">
        <f t="shared" si="644"/>
        <v/>
      </c>
      <c r="N4111" s="51" t="str">
        <f t="shared" si="645"/>
        <v/>
      </c>
      <c r="O4111" s="52" t="str">
        <f t="shared" si="646"/>
        <v/>
      </c>
      <c r="P4111" s="88">
        <f t="shared" si="647"/>
        <v>0</v>
      </c>
      <c r="Q4111" s="88">
        <f t="shared" si="648"/>
        <v>0</v>
      </c>
      <c r="R4111" s="88" t="e">
        <f>-IF(Tabla14[[#This Row],[DIAS HABILES O MORA]]&lt;0,(Tabla14[[#This Row],[VALOR PRESTAMO]]*Tabla14[[#This Row],[% INTERES ]]/30*U4111))+Tabla14[[#This Row],[VALOR CUOTAS]]</f>
        <v>#VALUE!</v>
      </c>
      <c r="S4111" s="88">
        <f>-IF(Tabla14[[#This Row],[DIAS HABILES O MORA]]&lt;0,(Tabla14[[#This Row],[VALOR PRESTAMO]]*Tabla14[[#This Row],[% INTERES ]]/30*U4111))</f>
        <v>0</v>
      </c>
      <c r="T4111" s="53" t="e">
        <f>Tabla14[[#This Row],[DEUDA CAPITAL]]+Tabla14[[#This Row],[INTERES  CUOTA]]</f>
        <v>#NUM!</v>
      </c>
      <c r="U4111" s="61" t="str">
        <f t="shared" si="649"/>
        <v/>
      </c>
    </row>
    <row r="4112" spans="9:21" ht="24.75" customHeight="1" x14ac:dyDescent="0.35">
      <c r="I4112" s="42">
        <f t="shared" ref="I4112:I4175" si="650">IF(C4112&lt;0,"",IF(Q4112=0,0,IF(G4112=0,H4112+1,IF(H4112&lt;G4112,H4112+1,IF(G4112=H4112,0)))))</f>
        <v>0</v>
      </c>
      <c r="J4112" s="65" t="e">
        <f t="shared" ref="J4112:J4175" si="651">IF(F4112="SOLO INTERES",Q4112*D4112,-IPMT(D4112,I4112,G4112,C4112))</f>
        <v>#NUM!</v>
      </c>
      <c r="K4112" s="83" t="e">
        <f t="shared" ref="K4112:K4175" si="652">IF(F4112="SOLO INTERES",0,-PPMT(D4112,I4112,G4112,C4112))</f>
        <v>#NUM!</v>
      </c>
      <c r="L4112" s="83">
        <f t="shared" ref="L4112:L4175" si="653">IF(F4112="SOLO INTERES",SUM(Y4112:AAE4112),IFERROR(-CUMIPMT(D4112,G4112,C4112,1,H4112,0),0)+SUM(Y4112:WY4112))</f>
        <v>0</v>
      </c>
      <c r="M4112" s="110" t="str">
        <f t="shared" ref="M4112:M4175" si="654">IFERROR(IF(F4112="SOLO INTERES",Q4112*D4112,-PMT(D4112,G4112,C4112,0)),"")</f>
        <v/>
      </c>
      <c r="N4112" s="51" t="str">
        <f t="shared" ref="N4112:N4175" si="655">IF(Q4112=0,"",IF(E4112="MENSUAL",EDATE(B4112,I4112),IF(E4112="QUINCENAL",B4112+(I4112*15),IF(E4112="SEMANAL",B4112+(I4112*7)))))</f>
        <v/>
      </c>
      <c r="O4112" s="52" t="str">
        <f t="shared" ref="O4112:O4175" si="656">IF(C4112=0,"",IF(Q4112&lt;1,"PAGADO",IF(N4112=$A$3,"COBRAR HOY",IF(N4112&lt;$A$3,"EN MORA",IF(N4112&gt;$A$3,"AL DIA")))))</f>
        <v/>
      </c>
      <c r="P4112" s="88">
        <f t="shared" ref="P4112:P4175" si="657">IFERROR(-CUMPRINC(D4112,G4112,C4112,1,H4112,0),0)+W4112</f>
        <v>0</v>
      </c>
      <c r="Q4112" s="88">
        <f t="shared" ref="Q4112:Q4175" si="658">IFERROR(C4112-P4112,"")</f>
        <v>0</v>
      </c>
      <c r="R4112" s="88" t="e">
        <f>-IF(Tabla14[[#This Row],[DIAS HABILES O MORA]]&lt;0,(Tabla14[[#This Row],[VALOR PRESTAMO]]*Tabla14[[#This Row],[% INTERES ]]/30*U4112))+Tabla14[[#This Row],[VALOR CUOTAS]]</f>
        <v>#VALUE!</v>
      </c>
      <c r="S4112" s="88">
        <f>-IF(Tabla14[[#This Row],[DIAS HABILES O MORA]]&lt;0,(Tabla14[[#This Row],[VALOR PRESTAMO]]*Tabla14[[#This Row],[% INTERES ]]/30*U4112))</f>
        <v>0</v>
      </c>
      <c r="T4112" s="53" t="e">
        <f>Tabla14[[#This Row],[DEUDA CAPITAL]]+Tabla14[[#This Row],[INTERES  CUOTA]]</f>
        <v>#NUM!</v>
      </c>
      <c r="U4112" s="61" t="str">
        <f t="shared" ref="U4112:U4175" si="659">IF(O4112="PAGADO","",IFERROR(-IF(C4112=0,"",$A$3-N4112),""))</f>
        <v/>
      </c>
    </row>
    <row r="4113" spans="9:21" ht="24.75" customHeight="1" x14ac:dyDescent="0.35">
      <c r="I4113" s="42">
        <f t="shared" si="650"/>
        <v>0</v>
      </c>
      <c r="J4113" s="65" t="e">
        <f t="shared" si="651"/>
        <v>#NUM!</v>
      </c>
      <c r="K4113" s="83" t="e">
        <f t="shared" si="652"/>
        <v>#NUM!</v>
      </c>
      <c r="L4113" s="83">
        <f t="shared" si="653"/>
        <v>0</v>
      </c>
      <c r="M4113" s="110" t="str">
        <f t="shared" si="654"/>
        <v/>
      </c>
      <c r="N4113" s="51" t="str">
        <f t="shared" si="655"/>
        <v/>
      </c>
      <c r="O4113" s="52" t="str">
        <f t="shared" si="656"/>
        <v/>
      </c>
      <c r="P4113" s="88">
        <f t="shared" si="657"/>
        <v>0</v>
      </c>
      <c r="Q4113" s="88">
        <f t="shared" si="658"/>
        <v>0</v>
      </c>
      <c r="R4113" s="88" t="e">
        <f>-IF(Tabla14[[#This Row],[DIAS HABILES O MORA]]&lt;0,(Tabla14[[#This Row],[VALOR PRESTAMO]]*Tabla14[[#This Row],[% INTERES ]]/30*U4113))+Tabla14[[#This Row],[VALOR CUOTAS]]</f>
        <v>#VALUE!</v>
      </c>
      <c r="S4113" s="88">
        <f>-IF(Tabla14[[#This Row],[DIAS HABILES O MORA]]&lt;0,(Tabla14[[#This Row],[VALOR PRESTAMO]]*Tabla14[[#This Row],[% INTERES ]]/30*U4113))</f>
        <v>0</v>
      </c>
      <c r="T4113" s="53" t="e">
        <f>Tabla14[[#This Row],[DEUDA CAPITAL]]+Tabla14[[#This Row],[INTERES  CUOTA]]</f>
        <v>#NUM!</v>
      </c>
      <c r="U4113" s="61" t="str">
        <f t="shared" si="659"/>
        <v/>
      </c>
    </row>
    <row r="4114" spans="9:21" ht="24.75" customHeight="1" x14ac:dyDescent="0.35">
      <c r="I4114" s="42">
        <f t="shared" si="650"/>
        <v>0</v>
      </c>
      <c r="J4114" s="65" t="e">
        <f t="shared" si="651"/>
        <v>#NUM!</v>
      </c>
      <c r="K4114" s="83" t="e">
        <f t="shared" si="652"/>
        <v>#NUM!</v>
      </c>
      <c r="L4114" s="83">
        <f t="shared" si="653"/>
        <v>0</v>
      </c>
      <c r="M4114" s="110" t="str">
        <f t="shared" si="654"/>
        <v/>
      </c>
      <c r="N4114" s="51" t="str">
        <f t="shared" si="655"/>
        <v/>
      </c>
      <c r="O4114" s="52" t="str">
        <f t="shared" si="656"/>
        <v/>
      </c>
      <c r="P4114" s="88">
        <f t="shared" si="657"/>
        <v>0</v>
      </c>
      <c r="Q4114" s="88">
        <f t="shared" si="658"/>
        <v>0</v>
      </c>
      <c r="R4114" s="88" t="e">
        <f>-IF(Tabla14[[#This Row],[DIAS HABILES O MORA]]&lt;0,(Tabla14[[#This Row],[VALOR PRESTAMO]]*Tabla14[[#This Row],[% INTERES ]]/30*U4114))+Tabla14[[#This Row],[VALOR CUOTAS]]</f>
        <v>#VALUE!</v>
      </c>
      <c r="S4114" s="88">
        <f>-IF(Tabla14[[#This Row],[DIAS HABILES O MORA]]&lt;0,(Tabla14[[#This Row],[VALOR PRESTAMO]]*Tabla14[[#This Row],[% INTERES ]]/30*U4114))</f>
        <v>0</v>
      </c>
      <c r="T4114" s="53" t="e">
        <f>Tabla14[[#This Row],[DEUDA CAPITAL]]+Tabla14[[#This Row],[INTERES  CUOTA]]</f>
        <v>#NUM!</v>
      </c>
      <c r="U4114" s="61" t="str">
        <f t="shared" si="659"/>
        <v/>
      </c>
    </row>
    <row r="4115" spans="9:21" ht="24.75" customHeight="1" x14ac:dyDescent="0.35">
      <c r="I4115" s="42">
        <f t="shared" si="650"/>
        <v>0</v>
      </c>
      <c r="J4115" s="65" t="e">
        <f t="shared" si="651"/>
        <v>#NUM!</v>
      </c>
      <c r="K4115" s="83" t="e">
        <f t="shared" si="652"/>
        <v>#NUM!</v>
      </c>
      <c r="L4115" s="83">
        <f t="shared" si="653"/>
        <v>0</v>
      </c>
      <c r="M4115" s="110" t="str">
        <f t="shared" si="654"/>
        <v/>
      </c>
      <c r="N4115" s="51" t="str">
        <f t="shared" si="655"/>
        <v/>
      </c>
      <c r="O4115" s="52" t="str">
        <f t="shared" si="656"/>
        <v/>
      </c>
      <c r="P4115" s="88">
        <f t="shared" si="657"/>
        <v>0</v>
      </c>
      <c r="Q4115" s="88">
        <f t="shared" si="658"/>
        <v>0</v>
      </c>
      <c r="R4115" s="88" t="e">
        <f>-IF(Tabla14[[#This Row],[DIAS HABILES O MORA]]&lt;0,(Tabla14[[#This Row],[VALOR PRESTAMO]]*Tabla14[[#This Row],[% INTERES ]]/30*U4115))+Tabla14[[#This Row],[VALOR CUOTAS]]</f>
        <v>#VALUE!</v>
      </c>
      <c r="S4115" s="88">
        <f>-IF(Tabla14[[#This Row],[DIAS HABILES O MORA]]&lt;0,(Tabla14[[#This Row],[VALOR PRESTAMO]]*Tabla14[[#This Row],[% INTERES ]]/30*U4115))</f>
        <v>0</v>
      </c>
      <c r="T4115" s="53" t="e">
        <f>Tabla14[[#This Row],[DEUDA CAPITAL]]+Tabla14[[#This Row],[INTERES  CUOTA]]</f>
        <v>#NUM!</v>
      </c>
      <c r="U4115" s="61" t="str">
        <f t="shared" si="659"/>
        <v/>
      </c>
    </row>
    <row r="4116" spans="9:21" ht="24.75" customHeight="1" x14ac:dyDescent="0.35">
      <c r="I4116" s="42">
        <f t="shared" si="650"/>
        <v>0</v>
      </c>
      <c r="J4116" s="65" t="e">
        <f t="shared" si="651"/>
        <v>#NUM!</v>
      </c>
      <c r="K4116" s="83" t="e">
        <f t="shared" si="652"/>
        <v>#NUM!</v>
      </c>
      <c r="L4116" s="83">
        <f t="shared" si="653"/>
        <v>0</v>
      </c>
      <c r="M4116" s="110" t="str">
        <f t="shared" si="654"/>
        <v/>
      </c>
      <c r="N4116" s="51" t="str">
        <f t="shared" si="655"/>
        <v/>
      </c>
      <c r="O4116" s="52" t="str">
        <f t="shared" si="656"/>
        <v/>
      </c>
      <c r="P4116" s="88">
        <f t="shared" si="657"/>
        <v>0</v>
      </c>
      <c r="Q4116" s="88">
        <f t="shared" si="658"/>
        <v>0</v>
      </c>
      <c r="R4116" s="88" t="e">
        <f>-IF(Tabla14[[#This Row],[DIAS HABILES O MORA]]&lt;0,(Tabla14[[#This Row],[VALOR PRESTAMO]]*Tabla14[[#This Row],[% INTERES ]]/30*U4116))+Tabla14[[#This Row],[VALOR CUOTAS]]</f>
        <v>#VALUE!</v>
      </c>
      <c r="S4116" s="88">
        <f>-IF(Tabla14[[#This Row],[DIAS HABILES O MORA]]&lt;0,(Tabla14[[#This Row],[VALOR PRESTAMO]]*Tabla14[[#This Row],[% INTERES ]]/30*U4116))</f>
        <v>0</v>
      </c>
      <c r="T4116" s="53" t="e">
        <f>Tabla14[[#This Row],[DEUDA CAPITAL]]+Tabla14[[#This Row],[INTERES  CUOTA]]</f>
        <v>#NUM!</v>
      </c>
      <c r="U4116" s="61" t="str">
        <f t="shared" si="659"/>
        <v/>
      </c>
    </row>
    <row r="4117" spans="9:21" ht="24.75" customHeight="1" x14ac:dyDescent="0.35">
      <c r="I4117" s="42">
        <f t="shared" si="650"/>
        <v>0</v>
      </c>
      <c r="J4117" s="65" t="e">
        <f t="shared" si="651"/>
        <v>#NUM!</v>
      </c>
      <c r="K4117" s="83" t="e">
        <f t="shared" si="652"/>
        <v>#NUM!</v>
      </c>
      <c r="L4117" s="83">
        <f t="shared" si="653"/>
        <v>0</v>
      </c>
      <c r="M4117" s="110" t="str">
        <f t="shared" si="654"/>
        <v/>
      </c>
      <c r="N4117" s="51" t="str">
        <f t="shared" si="655"/>
        <v/>
      </c>
      <c r="O4117" s="52" t="str">
        <f t="shared" si="656"/>
        <v/>
      </c>
      <c r="P4117" s="88">
        <f t="shared" si="657"/>
        <v>0</v>
      </c>
      <c r="Q4117" s="88">
        <f t="shared" si="658"/>
        <v>0</v>
      </c>
      <c r="R4117" s="88" t="e">
        <f>-IF(Tabla14[[#This Row],[DIAS HABILES O MORA]]&lt;0,(Tabla14[[#This Row],[VALOR PRESTAMO]]*Tabla14[[#This Row],[% INTERES ]]/30*U4117))+Tabla14[[#This Row],[VALOR CUOTAS]]</f>
        <v>#VALUE!</v>
      </c>
      <c r="S4117" s="88">
        <f>-IF(Tabla14[[#This Row],[DIAS HABILES O MORA]]&lt;0,(Tabla14[[#This Row],[VALOR PRESTAMO]]*Tabla14[[#This Row],[% INTERES ]]/30*U4117))</f>
        <v>0</v>
      </c>
      <c r="T4117" s="53" t="e">
        <f>Tabla14[[#This Row],[DEUDA CAPITAL]]+Tabla14[[#This Row],[INTERES  CUOTA]]</f>
        <v>#NUM!</v>
      </c>
      <c r="U4117" s="61" t="str">
        <f t="shared" si="659"/>
        <v/>
      </c>
    </row>
    <row r="4118" spans="9:21" ht="24.75" customHeight="1" x14ac:dyDescent="0.35">
      <c r="I4118" s="42">
        <f t="shared" si="650"/>
        <v>0</v>
      </c>
      <c r="J4118" s="65" t="e">
        <f t="shared" si="651"/>
        <v>#NUM!</v>
      </c>
      <c r="K4118" s="83" t="e">
        <f t="shared" si="652"/>
        <v>#NUM!</v>
      </c>
      <c r="L4118" s="83">
        <f t="shared" si="653"/>
        <v>0</v>
      </c>
      <c r="M4118" s="110" t="str">
        <f t="shared" si="654"/>
        <v/>
      </c>
      <c r="N4118" s="51" t="str">
        <f t="shared" si="655"/>
        <v/>
      </c>
      <c r="O4118" s="52" t="str">
        <f t="shared" si="656"/>
        <v/>
      </c>
      <c r="P4118" s="88">
        <f t="shared" si="657"/>
        <v>0</v>
      </c>
      <c r="Q4118" s="88">
        <f t="shared" si="658"/>
        <v>0</v>
      </c>
      <c r="R4118" s="88" t="e">
        <f>-IF(Tabla14[[#This Row],[DIAS HABILES O MORA]]&lt;0,(Tabla14[[#This Row],[VALOR PRESTAMO]]*Tabla14[[#This Row],[% INTERES ]]/30*U4118))+Tabla14[[#This Row],[VALOR CUOTAS]]</f>
        <v>#VALUE!</v>
      </c>
      <c r="S4118" s="88">
        <f>-IF(Tabla14[[#This Row],[DIAS HABILES O MORA]]&lt;0,(Tabla14[[#This Row],[VALOR PRESTAMO]]*Tabla14[[#This Row],[% INTERES ]]/30*U4118))</f>
        <v>0</v>
      </c>
      <c r="T4118" s="53" t="e">
        <f>Tabla14[[#This Row],[DEUDA CAPITAL]]+Tabla14[[#This Row],[INTERES  CUOTA]]</f>
        <v>#NUM!</v>
      </c>
      <c r="U4118" s="61" t="str">
        <f t="shared" si="659"/>
        <v/>
      </c>
    </row>
    <row r="4119" spans="9:21" ht="24.75" customHeight="1" x14ac:dyDescent="0.35">
      <c r="I4119" s="42">
        <f t="shared" si="650"/>
        <v>0</v>
      </c>
      <c r="J4119" s="65" t="e">
        <f t="shared" si="651"/>
        <v>#NUM!</v>
      </c>
      <c r="K4119" s="83" t="e">
        <f t="shared" si="652"/>
        <v>#NUM!</v>
      </c>
      <c r="L4119" s="83">
        <f t="shared" si="653"/>
        <v>0</v>
      </c>
      <c r="M4119" s="110" t="str">
        <f t="shared" si="654"/>
        <v/>
      </c>
      <c r="N4119" s="51" t="str">
        <f t="shared" si="655"/>
        <v/>
      </c>
      <c r="O4119" s="52" t="str">
        <f t="shared" si="656"/>
        <v/>
      </c>
      <c r="P4119" s="88">
        <f t="shared" si="657"/>
        <v>0</v>
      </c>
      <c r="Q4119" s="88">
        <f t="shared" si="658"/>
        <v>0</v>
      </c>
      <c r="R4119" s="88" t="e">
        <f>-IF(Tabla14[[#This Row],[DIAS HABILES O MORA]]&lt;0,(Tabla14[[#This Row],[VALOR PRESTAMO]]*Tabla14[[#This Row],[% INTERES ]]/30*U4119))+Tabla14[[#This Row],[VALOR CUOTAS]]</f>
        <v>#VALUE!</v>
      </c>
      <c r="S4119" s="88">
        <f>-IF(Tabla14[[#This Row],[DIAS HABILES O MORA]]&lt;0,(Tabla14[[#This Row],[VALOR PRESTAMO]]*Tabla14[[#This Row],[% INTERES ]]/30*U4119))</f>
        <v>0</v>
      </c>
      <c r="T4119" s="53" t="e">
        <f>Tabla14[[#This Row],[DEUDA CAPITAL]]+Tabla14[[#This Row],[INTERES  CUOTA]]</f>
        <v>#NUM!</v>
      </c>
      <c r="U4119" s="61" t="str">
        <f t="shared" si="659"/>
        <v/>
      </c>
    </row>
    <row r="4120" spans="9:21" ht="24.75" customHeight="1" x14ac:dyDescent="0.35">
      <c r="I4120" s="42">
        <f t="shared" si="650"/>
        <v>0</v>
      </c>
      <c r="J4120" s="65" t="e">
        <f t="shared" si="651"/>
        <v>#NUM!</v>
      </c>
      <c r="K4120" s="83" t="e">
        <f t="shared" si="652"/>
        <v>#NUM!</v>
      </c>
      <c r="L4120" s="83">
        <f t="shared" si="653"/>
        <v>0</v>
      </c>
      <c r="M4120" s="110" t="str">
        <f t="shared" si="654"/>
        <v/>
      </c>
      <c r="N4120" s="51" t="str">
        <f t="shared" si="655"/>
        <v/>
      </c>
      <c r="O4120" s="52" t="str">
        <f t="shared" si="656"/>
        <v/>
      </c>
      <c r="P4120" s="88">
        <f t="shared" si="657"/>
        <v>0</v>
      </c>
      <c r="Q4120" s="88">
        <f t="shared" si="658"/>
        <v>0</v>
      </c>
      <c r="R4120" s="88" t="e">
        <f>-IF(Tabla14[[#This Row],[DIAS HABILES O MORA]]&lt;0,(Tabla14[[#This Row],[VALOR PRESTAMO]]*Tabla14[[#This Row],[% INTERES ]]/30*U4120))+Tabla14[[#This Row],[VALOR CUOTAS]]</f>
        <v>#VALUE!</v>
      </c>
      <c r="S4120" s="88">
        <f>-IF(Tabla14[[#This Row],[DIAS HABILES O MORA]]&lt;0,(Tabla14[[#This Row],[VALOR PRESTAMO]]*Tabla14[[#This Row],[% INTERES ]]/30*U4120))</f>
        <v>0</v>
      </c>
      <c r="T4120" s="53" t="e">
        <f>Tabla14[[#This Row],[DEUDA CAPITAL]]+Tabla14[[#This Row],[INTERES  CUOTA]]</f>
        <v>#NUM!</v>
      </c>
      <c r="U4120" s="61" t="str">
        <f t="shared" si="659"/>
        <v/>
      </c>
    </row>
    <row r="4121" spans="9:21" ht="24.75" customHeight="1" x14ac:dyDescent="0.35">
      <c r="I4121" s="42">
        <f t="shared" si="650"/>
        <v>0</v>
      </c>
      <c r="J4121" s="65" t="e">
        <f t="shared" si="651"/>
        <v>#NUM!</v>
      </c>
      <c r="K4121" s="83" t="e">
        <f t="shared" si="652"/>
        <v>#NUM!</v>
      </c>
      <c r="L4121" s="83">
        <f t="shared" si="653"/>
        <v>0</v>
      </c>
      <c r="M4121" s="110" t="str">
        <f t="shared" si="654"/>
        <v/>
      </c>
      <c r="N4121" s="51" t="str">
        <f t="shared" si="655"/>
        <v/>
      </c>
      <c r="O4121" s="52" t="str">
        <f t="shared" si="656"/>
        <v/>
      </c>
      <c r="P4121" s="88">
        <f t="shared" si="657"/>
        <v>0</v>
      </c>
      <c r="Q4121" s="88">
        <f t="shared" si="658"/>
        <v>0</v>
      </c>
      <c r="R4121" s="88" t="e">
        <f>-IF(Tabla14[[#This Row],[DIAS HABILES O MORA]]&lt;0,(Tabla14[[#This Row],[VALOR PRESTAMO]]*Tabla14[[#This Row],[% INTERES ]]/30*U4121))+Tabla14[[#This Row],[VALOR CUOTAS]]</f>
        <v>#VALUE!</v>
      </c>
      <c r="S4121" s="88">
        <f>-IF(Tabla14[[#This Row],[DIAS HABILES O MORA]]&lt;0,(Tabla14[[#This Row],[VALOR PRESTAMO]]*Tabla14[[#This Row],[% INTERES ]]/30*U4121))</f>
        <v>0</v>
      </c>
      <c r="T4121" s="53" t="e">
        <f>Tabla14[[#This Row],[DEUDA CAPITAL]]+Tabla14[[#This Row],[INTERES  CUOTA]]</f>
        <v>#NUM!</v>
      </c>
      <c r="U4121" s="61" t="str">
        <f t="shared" si="659"/>
        <v/>
      </c>
    </row>
    <row r="4122" spans="9:21" ht="24.75" customHeight="1" x14ac:dyDescent="0.35">
      <c r="I4122" s="42">
        <f t="shared" si="650"/>
        <v>0</v>
      </c>
      <c r="J4122" s="65" t="e">
        <f t="shared" si="651"/>
        <v>#NUM!</v>
      </c>
      <c r="K4122" s="83" t="e">
        <f t="shared" si="652"/>
        <v>#NUM!</v>
      </c>
      <c r="L4122" s="83">
        <f t="shared" si="653"/>
        <v>0</v>
      </c>
      <c r="M4122" s="110" t="str">
        <f t="shared" si="654"/>
        <v/>
      </c>
      <c r="N4122" s="51" t="str">
        <f t="shared" si="655"/>
        <v/>
      </c>
      <c r="O4122" s="52" t="str">
        <f t="shared" si="656"/>
        <v/>
      </c>
      <c r="P4122" s="88">
        <f t="shared" si="657"/>
        <v>0</v>
      </c>
      <c r="Q4122" s="88">
        <f t="shared" si="658"/>
        <v>0</v>
      </c>
      <c r="R4122" s="88" t="e">
        <f>-IF(Tabla14[[#This Row],[DIAS HABILES O MORA]]&lt;0,(Tabla14[[#This Row],[VALOR PRESTAMO]]*Tabla14[[#This Row],[% INTERES ]]/30*U4122))+Tabla14[[#This Row],[VALOR CUOTAS]]</f>
        <v>#VALUE!</v>
      </c>
      <c r="S4122" s="88">
        <f>-IF(Tabla14[[#This Row],[DIAS HABILES O MORA]]&lt;0,(Tabla14[[#This Row],[VALOR PRESTAMO]]*Tabla14[[#This Row],[% INTERES ]]/30*U4122))</f>
        <v>0</v>
      </c>
      <c r="T4122" s="53" t="e">
        <f>Tabla14[[#This Row],[DEUDA CAPITAL]]+Tabla14[[#This Row],[INTERES  CUOTA]]</f>
        <v>#NUM!</v>
      </c>
      <c r="U4122" s="61" t="str">
        <f t="shared" si="659"/>
        <v/>
      </c>
    </row>
    <row r="4123" spans="9:21" ht="24.75" customHeight="1" x14ac:dyDescent="0.35">
      <c r="I4123" s="42">
        <f t="shared" si="650"/>
        <v>0</v>
      </c>
      <c r="J4123" s="65" t="e">
        <f t="shared" si="651"/>
        <v>#NUM!</v>
      </c>
      <c r="K4123" s="83" t="e">
        <f t="shared" si="652"/>
        <v>#NUM!</v>
      </c>
      <c r="L4123" s="83">
        <f t="shared" si="653"/>
        <v>0</v>
      </c>
      <c r="M4123" s="110" t="str">
        <f t="shared" si="654"/>
        <v/>
      </c>
      <c r="N4123" s="51" t="str">
        <f t="shared" si="655"/>
        <v/>
      </c>
      <c r="O4123" s="52" t="str">
        <f t="shared" si="656"/>
        <v/>
      </c>
      <c r="P4123" s="88">
        <f t="shared" si="657"/>
        <v>0</v>
      </c>
      <c r="Q4123" s="88">
        <f t="shared" si="658"/>
        <v>0</v>
      </c>
      <c r="R4123" s="88" t="e">
        <f>-IF(Tabla14[[#This Row],[DIAS HABILES O MORA]]&lt;0,(Tabla14[[#This Row],[VALOR PRESTAMO]]*Tabla14[[#This Row],[% INTERES ]]/30*U4123))+Tabla14[[#This Row],[VALOR CUOTAS]]</f>
        <v>#VALUE!</v>
      </c>
      <c r="S4123" s="88">
        <f>-IF(Tabla14[[#This Row],[DIAS HABILES O MORA]]&lt;0,(Tabla14[[#This Row],[VALOR PRESTAMO]]*Tabla14[[#This Row],[% INTERES ]]/30*U4123))</f>
        <v>0</v>
      </c>
      <c r="T4123" s="53" t="e">
        <f>Tabla14[[#This Row],[DEUDA CAPITAL]]+Tabla14[[#This Row],[INTERES  CUOTA]]</f>
        <v>#NUM!</v>
      </c>
      <c r="U4123" s="61" t="str">
        <f t="shared" si="659"/>
        <v/>
      </c>
    </row>
    <row r="4124" spans="9:21" ht="24.75" customHeight="1" x14ac:dyDescent="0.35">
      <c r="I4124" s="42">
        <f t="shared" si="650"/>
        <v>0</v>
      </c>
      <c r="J4124" s="65" t="e">
        <f t="shared" si="651"/>
        <v>#NUM!</v>
      </c>
      <c r="K4124" s="83" t="e">
        <f t="shared" si="652"/>
        <v>#NUM!</v>
      </c>
      <c r="L4124" s="83">
        <f t="shared" si="653"/>
        <v>0</v>
      </c>
      <c r="M4124" s="110" t="str">
        <f t="shared" si="654"/>
        <v/>
      </c>
      <c r="N4124" s="51" t="str">
        <f t="shared" si="655"/>
        <v/>
      </c>
      <c r="O4124" s="52" t="str">
        <f t="shared" si="656"/>
        <v/>
      </c>
      <c r="P4124" s="88">
        <f t="shared" si="657"/>
        <v>0</v>
      </c>
      <c r="Q4124" s="88">
        <f t="shared" si="658"/>
        <v>0</v>
      </c>
      <c r="R4124" s="88" t="e">
        <f>-IF(Tabla14[[#This Row],[DIAS HABILES O MORA]]&lt;0,(Tabla14[[#This Row],[VALOR PRESTAMO]]*Tabla14[[#This Row],[% INTERES ]]/30*U4124))+Tabla14[[#This Row],[VALOR CUOTAS]]</f>
        <v>#VALUE!</v>
      </c>
      <c r="S4124" s="88">
        <f>-IF(Tabla14[[#This Row],[DIAS HABILES O MORA]]&lt;0,(Tabla14[[#This Row],[VALOR PRESTAMO]]*Tabla14[[#This Row],[% INTERES ]]/30*U4124))</f>
        <v>0</v>
      </c>
      <c r="T4124" s="53" t="e">
        <f>Tabla14[[#This Row],[DEUDA CAPITAL]]+Tabla14[[#This Row],[INTERES  CUOTA]]</f>
        <v>#NUM!</v>
      </c>
      <c r="U4124" s="61" t="str">
        <f t="shared" si="659"/>
        <v/>
      </c>
    </row>
    <row r="4125" spans="9:21" ht="24.75" customHeight="1" x14ac:dyDescent="0.35">
      <c r="I4125" s="42">
        <f t="shared" si="650"/>
        <v>0</v>
      </c>
      <c r="J4125" s="65" t="e">
        <f t="shared" si="651"/>
        <v>#NUM!</v>
      </c>
      <c r="K4125" s="83" t="e">
        <f t="shared" si="652"/>
        <v>#NUM!</v>
      </c>
      <c r="L4125" s="83">
        <f t="shared" si="653"/>
        <v>0</v>
      </c>
      <c r="M4125" s="110" t="str">
        <f t="shared" si="654"/>
        <v/>
      </c>
      <c r="N4125" s="51" t="str">
        <f t="shared" si="655"/>
        <v/>
      </c>
      <c r="O4125" s="52" t="str">
        <f t="shared" si="656"/>
        <v/>
      </c>
      <c r="P4125" s="88">
        <f t="shared" si="657"/>
        <v>0</v>
      </c>
      <c r="Q4125" s="88">
        <f t="shared" si="658"/>
        <v>0</v>
      </c>
      <c r="R4125" s="88" t="e">
        <f>-IF(Tabla14[[#This Row],[DIAS HABILES O MORA]]&lt;0,(Tabla14[[#This Row],[VALOR PRESTAMO]]*Tabla14[[#This Row],[% INTERES ]]/30*U4125))+Tabla14[[#This Row],[VALOR CUOTAS]]</f>
        <v>#VALUE!</v>
      </c>
      <c r="S4125" s="88">
        <f>-IF(Tabla14[[#This Row],[DIAS HABILES O MORA]]&lt;0,(Tabla14[[#This Row],[VALOR PRESTAMO]]*Tabla14[[#This Row],[% INTERES ]]/30*U4125))</f>
        <v>0</v>
      </c>
      <c r="T4125" s="53" t="e">
        <f>Tabla14[[#This Row],[DEUDA CAPITAL]]+Tabla14[[#This Row],[INTERES  CUOTA]]</f>
        <v>#NUM!</v>
      </c>
      <c r="U4125" s="61" t="str">
        <f t="shared" si="659"/>
        <v/>
      </c>
    </row>
    <row r="4126" spans="9:21" ht="24.75" customHeight="1" x14ac:dyDescent="0.35">
      <c r="I4126" s="42">
        <f t="shared" si="650"/>
        <v>0</v>
      </c>
      <c r="J4126" s="65" t="e">
        <f t="shared" si="651"/>
        <v>#NUM!</v>
      </c>
      <c r="K4126" s="83" t="e">
        <f t="shared" si="652"/>
        <v>#NUM!</v>
      </c>
      <c r="L4126" s="83">
        <f t="shared" si="653"/>
        <v>0</v>
      </c>
      <c r="M4126" s="110" t="str">
        <f t="shared" si="654"/>
        <v/>
      </c>
      <c r="N4126" s="51" t="str">
        <f t="shared" si="655"/>
        <v/>
      </c>
      <c r="O4126" s="52" t="str">
        <f t="shared" si="656"/>
        <v/>
      </c>
      <c r="P4126" s="88">
        <f t="shared" si="657"/>
        <v>0</v>
      </c>
      <c r="Q4126" s="88">
        <f t="shared" si="658"/>
        <v>0</v>
      </c>
      <c r="R4126" s="88" t="e">
        <f>-IF(Tabla14[[#This Row],[DIAS HABILES O MORA]]&lt;0,(Tabla14[[#This Row],[VALOR PRESTAMO]]*Tabla14[[#This Row],[% INTERES ]]/30*U4126))+Tabla14[[#This Row],[VALOR CUOTAS]]</f>
        <v>#VALUE!</v>
      </c>
      <c r="S4126" s="88">
        <f>-IF(Tabla14[[#This Row],[DIAS HABILES O MORA]]&lt;0,(Tabla14[[#This Row],[VALOR PRESTAMO]]*Tabla14[[#This Row],[% INTERES ]]/30*U4126))</f>
        <v>0</v>
      </c>
      <c r="T4126" s="53" t="e">
        <f>Tabla14[[#This Row],[DEUDA CAPITAL]]+Tabla14[[#This Row],[INTERES  CUOTA]]</f>
        <v>#NUM!</v>
      </c>
      <c r="U4126" s="61" t="str">
        <f t="shared" si="659"/>
        <v/>
      </c>
    </row>
    <row r="4127" spans="9:21" ht="24.75" customHeight="1" x14ac:dyDescent="0.35">
      <c r="I4127" s="42">
        <f t="shared" si="650"/>
        <v>0</v>
      </c>
      <c r="J4127" s="65" t="e">
        <f t="shared" si="651"/>
        <v>#NUM!</v>
      </c>
      <c r="K4127" s="83" t="e">
        <f t="shared" si="652"/>
        <v>#NUM!</v>
      </c>
      <c r="L4127" s="83">
        <f t="shared" si="653"/>
        <v>0</v>
      </c>
      <c r="M4127" s="110" t="str">
        <f t="shared" si="654"/>
        <v/>
      </c>
      <c r="N4127" s="51" t="str">
        <f t="shared" si="655"/>
        <v/>
      </c>
      <c r="O4127" s="52" t="str">
        <f t="shared" si="656"/>
        <v/>
      </c>
      <c r="P4127" s="88">
        <f t="shared" si="657"/>
        <v>0</v>
      </c>
      <c r="Q4127" s="88">
        <f t="shared" si="658"/>
        <v>0</v>
      </c>
      <c r="R4127" s="88" t="e">
        <f>-IF(Tabla14[[#This Row],[DIAS HABILES O MORA]]&lt;0,(Tabla14[[#This Row],[VALOR PRESTAMO]]*Tabla14[[#This Row],[% INTERES ]]/30*U4127))+Tabla14[[#This Row],[VALOR CUOTAS]]</f>
        <v>#VALUE!</v>
      </c>
      <c r="S4127" s="88">
        <f>-IF(Tabla14[[#This Row],[DIAS HABILES O MORA]]&lt;0,(Tabla14[[#This Row],[VALOR PRESTAMO]]*Tabla14[[#This Row],[% INTERES ]]/30*U4127))</f>
        <v>0</v>
      </c>
      <c r="T4127" s="53" t="e">
        <f>Tabla14[[#This Row],[DEUDA CAPITAL]]+Tabla14[[#This Row],[INTERES  CUOTA]]</f>
        <v>#NUM!</v>
      </c>
      <c r="U4127" s="61" t="str">
        <f t="shared" si="659"/>
        <v/>
      </c>
    </row>
    <row r="4128" spans="9:21" ht="24.75" customHeight="1" x14ac:dyDescent="0.35">
      <c r="I4128" s="42">
        <f t="shared" si="650"/>
        <v>0</v>
      </c>
      <c r="J4128" s="65" t="e">
        <f t="shared" si="651"/>
        <v>#NUM!</v>
      </c>
      <c r="K4128" s="83" t="e">
        <f t="shared" si="652"/>
        <v>#NUM!</v>
      </c>
      <c r="L4128" s="83">
        <f t="shared" si="653"/>
        <v>0</v>
      </c>
      <c r="M4128" s="110" t="str">
        <f t="shared" si="654"/>
        <v/>
      </c>
      <c r="N4128" s="51" t="str">
        <f t="shared" si="655"/>
        <v/>
      </c>
      <c r="O4128" s="52" t="str">
        <f t="shared" si="656"/>
        <v/>
      </c>
      <c r="P4128" s="88">
        <f t="shared" si="657"/>
        <v>0</v>
      </c>
      <c r="Q4128" s="88">
        <f t="shared" si="658"/>
        <v>0</v>
      </c>
      <c r="R4128" s="88" t="e">
        <f>-IF(Tabla14[[#This Row],[DIAS HABILES O MORA]]&lt;0,(Tabla14[[#This Row],[VALOR PRESTAMO]]*Tabla14[[#This Row],[% INTERES ]]/30*U4128))+Tabla14[[#This Row],[VALOR CUOTAS]]</f>
        <v>#VALUE!</v>
      </c>
      <c r="S4128" s="88">
        <f>-IF(Tabla14[[#This Row],[DIAS HABILES O MORA]]&lt;0,(Tabla14[[#This Row],[VALOR PRESTAMO]]*Tabla14[[#This Row],[% INTERES ]]/30*U4128))</f>
        <v>0</v>
      </c>
      <c r="T4128" s="53" t="e">
        <f>Tabla14[[#This Row],[DEUDA CAPITAL]]+Tabla14[[#This Row],[INTERES  CUOTA]]</f>
        <v>#NUM!</v>
      </c>
      <c r="U4128" s="61" t="str">
        <f t="shared" si="659"/>
        <v/>
      </c>
    </row>
    <row r="4129" spans="9:21" ht="24.75" customHeight="1" x14ac:dyDescent="0.35">
      <c r="I4129" s="42">
        <f t="shared" si="650"/>
        <v>0</v>
      </c>
      <c r="J4129" s="65" t="e">
        <f t="shared" si="651"/>
        <v>#NUM!</v>
      </c>
      <c r="K4129" s="83" t="e">
        <f t="shared" si="652"/>
        <v>#NUM!</v>
      </c>
      <c r="L4129" s="83">
        <f t="shared" si="653"/>
        <v>0</v>
      </c>
      <c r="M4129" s="110" t="str">
        <f t="shared" si="654"/>
        <v/>
      </c>
      <c r="N4129" s="51" t="str">
        <f t="shared" si="655"/>
        <v/>
      </c>
      <c r="O4129" s="52" t="str">
        <f t="shared" si="656"/>
        <v/>
      </c>
      <c r="P4129" s="88">
        <f t="shared" si="657"/>
        <v>0</v>
      </c>
      <c r="Q4129" s="88">
        <f t="shared" si="658"/>
        <v>0</v>
      </c>
      <c r="R4129" s="88" t="e">
        <f>-IF(Tabla14[[#This Row],[DIAS HABILES O MORA]]&lt;0,(Tabla14[[#This Row],[VALOR PRESTAMO]]*Tabla14[[#This Row],[% INTERES ]]/30*U4129))+Tabla14[[#This Row],[VALOR CUOTAS]]</f>
        <v>#VALUE!</v>
      </c>
      <c r="S4129" s="88">
        <f>-IF(Tabla14[[#This Row],[DIAS HABILES O MORA]]&lt;0,(Tabla14[[#This Row],[VALOR PRESTAMO]]*Tabla14[[#This Row],[% INTERES ]]/30*U4129))</f>
        <v>0</v>
      </c>
      <c r="T4129" s="53" t="e">
        <f>Tabla14[[#This Row],[DEUDA CAPITAL]]+Tabla14[[#This Row],[INTERES  CUOTA]]</f>
        <v>#NUM!</v>
      </c>
      <c r="U4129" s="61" t="str">
        <f t="shared" si="659"/>
        <v/>
      </c>
    </row>
    <row r="4130" spans="9:21" ht="24.75" customHeight="1" x14ac:dyDescent="0.35">
      <c r="I4130" s="42">
        <f t="shared" si="650"/>
        <v>0</v>
      </c>
      <c r="J4130" s="65" t="e">
        <f t="shared" si="651"/>
        <v>#NUM!</v>
      </c>
      <c r="K4130" s="83" t="e">
        <f t="shared" si="652"/>
        <v>#NUM!</v>
      </c>
      <c r="L4130" s="83">
        <f t="shared" si="653"/>
        <v>0</v>
      </c>
      <c r="M4130" s="110" t="str">
        <f t="shared" si="654"/>
        <v/>
      </c>
      <c r="N4130" s="51" t="str">
        <f t="shared" si="655"/>
        <v/>
      </c>
      <c r="O4130" s="52" t="str">
        <f t="shared" si="656"/>
        <v/>
      </c>
      <c r="P4130" s="88">
        <f t="shared" si="657"/>
        <v>0</v>
      </c>
      <c r="Q4130" s="88">
        <f t="shared" si="658"/>
        <v>0</v>
      </c>
      <c r="R4130" s="88" t="e">
        <f>-IF(Tabla14[[#This Row],[DIAS HABILES O MORA]]&lt;0,(Tabla14[[#This Row],[VALOR PRESTAMO]]*Tabla14[[#This Row],[% INTERES ]]/30*U4130))+Tabla14[[#This Row],[VALOR CUOTAS]]</f>
        <v>#VALUE!</v>
      </c>
      <c r="S4130" s="88">
        <f>-IF(Tabla14[[#This Row],[DIAS HABILES O MORA]]&lt;0,(Tabla14[[#This Row],[VALOR PRESTAMO]]*Tabla14[[#This Row],[% INTERES ]]/30*U4130))</f>
        <v>0</v>
      </c>
      <c r="T4130" s="53" t="e">
        <f>Tabla14[[#This Row],[DEUDA CAPITAL]]+Tabla14[[#This Row],[INTERES  CUOTA]]</f>
        <v>#NUM!</v>
      </c>
      <c r="U4130" s="61" t="str">
        <f t="shared" si="659"/>
        <v/>
      </c>
    </row>
    <row r="4131" spans="9:21" ht="24.75" customHeight="1" x14ac:dyDescent="0.35">
      <c r="I4131" s="42">
        <f t="shared" si="650"/>
        <v>0</v>
      </c>
      <c r="J4131" s="65" t="e">
        <f t="shared" si="651"/>
        <v>#NUM!</v>
      </c>
      <c r="K4131" s="83" t="e">
        <f t="shared" si="652"/>
        <v>#NUM!</v>
      </c>
      <c r="L4131" s="83">
        <f t="shared" si="653"/>
        <v>0</v>
      </c>
      <c r="M4131" s="110" t="str">
        <f t="shared" si="654"/>
        <v/>
      </c>
      <c r="N4131" s="51" t="str">
        <f t="shared" si="655"/>
        <v/>
      </c>
      <c r="O4131" s="52" t="str">
        <f t="shared" si="656"/>
        <v/>
      </c>
      <c r="P4131" s="88">
        <f t="shared" si="657"/>
        <v>0</v>
      </c>
      <c r="Q4131" s="88">
        <f t="shared" si="658"/>
        <v>0</v>
      </c>
      <c r="R4131" s="88" t="e">
        <f>-IF(Tabla14[[#This Row],[DIAS HABILES O MORA]]&lt;0,(Tabla14[[#This Row],[VALOR PRESTAMO]]*Tabla14[[#This Row],[% INTERES ]]/30*U4131))+Tabla14[[#This Row],[VALOR CUOTAS]]</f>
        <v>#VALUE!</v>
      </c>
      <c r="S4131" s="88">
        <f>-IF(Tabla14[[#This Row],[DIAS HABILES O MORA]]&lt;0,(Tabla14[[#This Row],[VALOR PRESTAMO]]*Tabla14[[#This Row],[% INTERES ]]/30*U4131))</f>
        <v>0</v>
      </c>
      <c r="T4131" s="53" t="e">
        <f>Tabla14[[#This Row],[DEUDA CAPITAL]]+Tabla14[[#This Row],[INTERES  CUOTA]]</f>
        <v>#NUM!</v>
      </c>
      <c r="U4131" s="61" t="str">
        <f t="shared" si="659"/>
        <v/>
      </c>
    </row>
    <row r="4132" spans="9:21" ht="24.75" customHeight="1" x14ac:dyDescent="0.35">
      <c r="I4132" s="42">
        <f t="shared" si="650"/>
        <v>0</v>
      </c>
      <c r="J4132" s="65" t="e">
        <f t="shared" si="651"/>
        <v>#NUM!</v>
      </c>
      <c r="K4132" s="83" t="e">
        <f t="shared" si="652"/>
        <v>#NUM!</v>
      </c>
      <c r="L4132" s="83">
        <f t="shared" si="653"/>
        <v>0</v>
      </c>
      <c r="M4132" s="110" t="str">
        <f t="shared" si="654"/>
        <v/>
      </c>
      <c r="N4132" s="51" t="str">
        <f t="shared" si="655"/>
        <v/>
      </c>
      <c r="O4132" s="52" t="str">
        <f t="shared" si="656"/>
        <v/>
      </c>
      <c r="P4132" s="88">
        <f t="shared" si="657"/>
        <v>0</v>
      </c>
      <c r="Q4132" s="88">
        <f t="shared" si="658"/>
        <v>0</v>
      </c>
      <c r="R4132" s="88" t="e">
        <f>-IF(Tabla14[[#This Row],[DIAS HABILES O MORA]]&lt;0,(Tabla14[[#This Row],[VALOR PRESTAMO]]*Tabla14[[#This Row],[% INTERES ]]/30*U4132))+Tabla14[[#This Row],[VALOR CUOTAS]]</f>
        <v>#VALUE!</v>
      </c>
      <c r="S4132" s="88">
        <f>-IF(Tabla14[[#This Row],[DIAS HABILES O MORA]]&lt;0,(Tabla14[[#This Row],[VALOR PRESTAMO]]*Tabla14[[#This Row],[% INTERES ]]/30*U4132))</f>
        <v>0</v>
      </c>
      <c r="T4132" s="53" t="e">
        <f>Tabla14[[#This Row],[DEUDA CAPITAL]]+Tabla14[[#This Row],[INTERES  CUOTA]]</f>
        <v>#NUM!</v>
      </c>
      <c r="U4132" s="61" t="str">
        <f t="shared" si="659"/>
        <v/>
      </c>
    </row>
    <row r="4133" spans="9:21" ht="24.75" customHeight="1" x14ac:dyDescent="0.35">
      <c r="I4133" s="42">
        <f t="shared" si="650"/>
        <v>0</v>
      </c>
      <c r="J4133" s="65" t="e">
        <f t="shared" si="651"/>
        <v>#NUM!</v>
      </c>
      <c r="K4133" s="83" t="e">
        <f t="shared" si="652"/>
        <v>#NUM!</v>
      </c>
      <c r="L4133" s="83">
        <f t="shared" si="653"/>
        <v>0</v>
      </c>
      <c r="M4133" s="110" t="str">
        <f t="shared" si="654"/>
        <v/>
      </c>
      <c r="N4133" s="51" t="str">
        <f t="shared" si="655"/>
        <v/>
      </c>
      <c r="O4133" s="52" t="str">
        <f t="shared" si="656"/>
        <v/>
      </c>
      <c r="P4133" s="88">
        <f t="shared" si="657"/>
        <v>0</v>
      </c>
      <c r="Q4133" s="88">
        <f t="shared" si="658"/>
        <v>0</v>
      </c>
      <c r="R4133" s="88" t="e">
        <f>-IF(Tabla14[[#This Row],[DIAS HABILES O MORA]]&lt;0,(Tabla14[[#This Row],[VALOR PRESTAMO]]*Tabla14[[#This Row],[% INTERES ]]/30*U4133))+Tabla14[[#This Row],[VALOR CUOTAS]]</f>
        <v>#VALUE!</v>
      </c>
      <c r="S4133" s="88">
        <f>-IF(Tabla14[[#This Row],[DIAS HABILES O MORA]]&lt;0,(Tabla14[[#This Row],[VALOR PRESTAMO]]*Tabla14[[#This Row],[% INTERES ]]/30*U4133))</f>
        <v>0</v>
      </c>
      <c r="T4133" s="53" t="e">
        <f>Tabla14[[#This Row],[DEUDA CAPITAL]]+Tabla14[[#This Row],[INTERES  CUOTA]]</f>
        <v>#NUM!</v>
      </c>
      <c r="U4133" s="61" t="str">
        <f t="shared" si="659"/>
        <v/>
      </c>
    </row>
    <row r="4134" spans="9:21" ht="24.75" customHeight="1" x14ac:dyDescent="0.35">
      <c r="I4134" s="42">
        <f t="shared" si="650"/>
        <v>0</v>
      </c>
      <c r="J4134" s="65" t="e">
        <f t="shared" si="651"/>
        <v>#NUM!</v>
      </c>
      <c r="K4134" s="83" t="e">
        <f t="shared" si="652"/>
        <v>#NUM!</v>
      </c>
      <c r="L4134" s="83">
        <f t="shared" si="653"/>
        <v>0</v>
      </c>
      <c r="M4134" s="110" t="str">
        <f t="shared" si="654"/>
        <v/>
      </c>
      <c r="N4134" s="51" t="str">
        <f t="shared" si="655"/>
        <v/>
      </c>
      <c r="O4134" s="52" t="str">
        <f t="shared" si="656"/>
        <v/>
      </c>
      <c r="P4134" s="88">
        <f t="shared" si="657"/>
        <v>0</v>
      </c>
      <c r="Q4134" s="88">
        <f t="shared" si="658"/>
        <v>0</v>
      </c>
      <c r="R4134" s="88" t="e">
        <f>-IF(Tabla14[[#This Row],[DIAS HABILES O MORA]]&lt;0,(Tabla14[[#This Row],[VALOR PRESTAMO]]*Tabla14[[#This Row],[% INTERES ]]/30*U4134))+Tabla14[[#This Row],[VALOR CUOTAS]]</f>
        <v>#VALUE!</v>
      </c>
      <c r="S4134" s="88">
        <f>-IF(Tabla14[[#This Row],[DIAS HABILES O MORA]]&lt;0,(Tabla14[[#This Row],[VALOR PRESTAMO]]*Tabla14[[#This Row],[% INTERES ]]/30*U4134))</f>
        <v>0</v>
      </c>
      <c r="T4134" s="53" t="e">
        <f>Tabla14[[#This Row],[DEUDA CAPITAL]]+Tabla14[[#This Row],[INTERES  CUOTA]]</f>
        <v>#NUM!</v>
      </c>
      <c r="U4134" s="61" t="str">
        <f t="shared" si="659"/>
        <v/>
      </c>
    </row>
    <row r="4135" spans="9:21" ht="24.75" customHeight="1" x14ac:dyDescent="0.35">
      <c r="I4135" s="42">
        <f t="shared" si="650"/>
        <v>0</v>
      </c>
      <c r="J4135" s="65" t="e">
        <f t="shared" si="651"/>
        <v>#NUM!</v>
      </c>
      <c r="K4135" s="83" t="e">
        <f t="shared" si="652"/>
        <v>#NUM!</v>
      </c>
      <c r="L4135" s="83">
        <f t="shared" si="653"/>
        <v>0</v>
      </c>
      <c r="M4135" s="110" t="str">
        <f t="shared" si="654"/>
        <v/>
      </c>
      <c r="N4135" s="51" t="str">
        <f t="shared" si="655"/>
        <v/>
      </c>
      <c r="O4135" s="52" t="str">
        <f t="shared" si="656"/>
        <v/>
      </c>
      <c r="P4135" s="88">
        <f t="shared" si="657"/>
        <v>0</v>
      </c>
      <c r="Q4135" s="88">
        <f t="shared" si="658"/>
        <v>0</v>
      </c>
      <c r="R4135" s="88" t="e">
        <f>-IF(Tabla14[[#This Row],[DIAS HABILES O MORA]]&lt;0,(Tabla14[[#This Row],[VALOR PRESTAMO]]*Tabla14[[#This Row],[% INTERES ]]/30*U4135))+Tabla14[[#This Row],[VALOR CUOTAS]]</f>
        <v>#VALUE!</v>
      </c>
      <c r="S4135" s="88">
        <f>-IF(Tabla14[[#This Row],[DIAS HABILES O MORA]]&lt;0,(Tabla14[[#This Row],[VALOR PRESTAMO]]*Tabla14[[#This Row],[% INTERES ]]/30*U4135))</f>
        <v>0</v>
      </c>
      <c r="T4135" s="53" t="e">
        <f>Tabla14[[#This Row],[DEUDA CAPITAL]]+Tabla14[[#This Row],[INTERES  CUOTA]]</f>
        <v>#NUM!</v>
      </c>
      <c r="U4135" s="61" t="str">
        <f t="shared" si="659"/>
        <v/>
      </c>
    </row>
    <row r="4136" spans="9:21" ht="24.75" customHeight="1" x14ac:dyDescent="0.35">
      <c r="I4136" s="42">
        <f t="shared" si="650"/>
        <v>0</v>
      </c>
      <c r="J4136" s="65" t="e">
        <f t="shared" si="651"/>
        <v>#NUM!</v>
      </c>
      <c r="K4136" s="83" t="e">
        <f t="shared" si="652"/>
        <v>#NUM!</v>
      </c>
      <c r="L4136" s="83">
        <f t="shared" si="653"/>
        <v>0</v>
      </c>
      <c r="M4136" s="110" t="str">
        <f t="shared" si="654"/>
        <v/>
      </c>
      <c r="N4136" s="51" t="str">
        <f t="shared" si="655"/>
        <v/>
      </c>
      <c r="O4136" s="52" t="str">
        <f t="shared" si="656"/>
        <v/>
      </c>
      <c r="P4136" s="88">
        <f t="shared" si="657"/>
        <v>0</v>
      </c>
      <c r="Q4136" s="88">
        <f t="shared" si="658"/>
        <v>0</v>
      </c>
      <c r="R4136" s="88" t="e">
        <f>-IF(Tabla14[[#This Row],[DIAS HABILES O MORA]]&lt;0,(Tabla14[[#This Row],[VALOR PRESTAMO]]*Tabla14[[#This Row],[% INTERES ]]/30*U4136))+Tabla14[[#This Row],[VALOR CUOTAS]]</f>
        <v>#VALUE!</v>
      </c>
      <c r="S4136" s="88">
        <f>-IF(Tabla14[[#This Row],[DIAS HABILES O MORA]]&lt;0,(Tabla14[[#This Row],[VALOR PRESTAMO]]*Tabla14[[#This Row],[% INTERES ]]/30*U4136))</f>
        <v>0</v>
      </c>
      <c r="T4136" s="53" t="e">
        <f>Tabla14[[#This Row],[DEUDA CAPITAL]]+Tabla14[[#This Row],[INTERES  CUOTA]]</f>
        <v>#NUM!</v>
      </c>
      <c r="U4136" s="61" t="str">
        <f t="shared" si="659"/>
        <v/>
      </c>
    </row>
    <row r="4137" spans="9:21" ht="24.75" customHeight="1" x14ac:dyDescent="0.35">
      <c r="I4137" s="42">
        <f t="shared" si="650"/>
        <v>0</v>
      </c>
      <c r="J4137" s="65" t="e">
        <f t="shared" si="651"/>
        <v>#NUM!</v>
      </c>
      <c r="K4137" s="83" t="e">
        <f t="shared" si="652"/>
        <v>#NUM!</v>
      </c>
      <c r="L4137" s="83">
        <f t="shared" si="653"/>
        <v>0</v>
      </c>
      <c r="M4137" s="110" t="str">
        <f t="shared" si="654"/>
        <v/>
      </c>
      <c r="N4137" s="51" t="str">
        <f t="shared" si="655"/>
        <v/>
      </c>
      <c r="O4137" s="52" t="str">
        <f t="shared" si="656"/>
        <v/>
      </c>
      <c r="P4137" s="88">
        <f t="shared" si="657"/>
        <v>0</v>
      </c>
      <c r="Q4137" s="88">
        <f t="shared" si="658"/>
        <v>0</v>
      </c>
      <c r="R4137" s="88" t="e">
        <f>-IF(Tabla14[[#This Row],[DIAS HABILES O MORA]]&lt;0,(Tabla14[[#This Row],[VALOR PRESTAMO]]*Tabla14[[#This Row],[% INTERES ]]/30*U4137))+Tabla14[[#This Row],[VALOR CUOTAS]]</f>
        <v>#VALUE!</v>
      </c>
      <c r="S4137" s="88">
        <f>-IF(Tabla14[[#This Row],[DIAS HABILES O MORA]]&lt;0,(Tabla14[[#This Row],[VALOR PRESTAMO]]*Tabla14[[#This Row],[% INTERES ]]/30*U4137))</f>
        <v>0</v>
      </c>
      <c r="T4137" s="53" t="e">
        <f>Tabla14[[#This Row],[DEUDA CAPITAL]]+Tabla14[[#This Row],[INTERES  CUOTA]]</f>
        <v>#NUM!</v>
      </c>
      <c r="U4137" s="61" t="str">
        <f t="shared" si="659"/>
        <v/>
      </c>
    </row>
    <row r="4138" spans="9:21" ht="24.75" customHeight="1" x14ac:dyDescent="0.35">
      <c r="I4138" s="42">
        <f t="shared" si="650"/>
        <v>0</v>
      </c>
      <c r="J4138" s="65" t="e">
        <f t="shared" si="651"/>
        <v>#NUM!</v>
      </c>
      <c r="K4138" s="83" t="e">
        <f t="shared" si="652"/>
        <v>#NUM!</v>
      </c>
      <c r="L4138" s="83">
        <f t="shared" si="653"/>
        <v>0</v>
      </c>
      <c r="M4138" s="110" t="str">
        <f t="shared" si="654"/>
        <v/>
      </c>
      <c r="N4138" s="51" t="str">
        <f t="shared" si="655"/>
        <v/>
      </c>
      <c r="O4138" s="52" t="str">
        <f t="shared" si="656"/>
        <v/>
      </c>
      <c r="P4138" s="88">
        <f t="shared" si="657"/>
        <v>0</v>
      </c>
      <c r="Q4138" s="88">
        <f t="shared" si="658"/>
        <v>0</v>
      </c>
      <c r="R4138" s="88" t="e">
        <f>-IF(Tabla14[[#This Row],[DIAS HABILES O MORA]]&lt;0,(Tabla14[[#This Row],[VALOR PRESTAMO]]*Tabla14[[#This Row],[% INTERES ]]/30*U4138))+Tabla14[[#This Row],[VALOR CUOTAS]]</f>
        <v>#VALUE!</v>
      </c>
      <c r="S4138" s="88">
        <f>-IF(Tabla14[[#This Row],[DIAS HABILES O MORA]]&lt;0,(Tabla14[[#This Row],[VALOR PRESTAMO]]*Tabla14[[#This Row],[% INTERES ]]/30*U4138))</f>
        <v>0</v>
      </c>
      <c r="T4138" s="53" t="e">
        <f>Tabla14[[#This Row],[DEUDA CAPITAL]]+Tabla14[[#This Row],[INTERES  CUOTA]]</f>
        <v>#NUM!</v>
      </c>
      <c r="U4138" s="61" t="str">
        <f t="shared" si="659"/>
        <v/>
      </c>
    </row>
    <row r="4139" spans="9:21" ht="24.75" customHeight="1" x14ac:dyDescent="0.35">
      <c r="I4139" s="42">
        <f t="shared" si="650"/>
        <v>0</v>
      </c>
      <c r="J4139" s="65" t="e">
        <f t="shared" si="651"/>
        <v>#NUM!</v>
      </c>
      <c r="K4139" s="83" t="e">
        <f t="shared" si="652"/>
        <v>#NUM!</v>
      </c>
      <c r="L4139" s="83">
        <f t="shared" si="653"/>
        <v>0</v>
      </c>
      <c r="M4139" s="110" t="str">
        <f t="shared" si="654"/>
        <v/>
      </c>
      <c r="N4139" s="51" t="str">
        <f t="shared" si="655"/>
        <v/>
      </c>
      <c r="O4139" s="52" t="str">
        <f t="shared" si="656"/>
        <v/>
      </c>
      <c r="P4139" s="88">
        <f t="shared" si="657"/>
        <v>0</v>
      </c>
      <c r="Q4139" s="88">
        <f t="shared" si="658"/>
        <v>0</v>
      </c>
      <c r="R4139" s="88" t="e">
        <f>-IF(Tabla14[[#This Row],[DIAS HABILES O MORA]]&lt;0,(Tabla14[[#This Row],[VALOR PRESTAMO]]*Tabla14[[#This Row],[% INTERES ]]/30*U4139))+Tabla14[[#This Row],[VALOR CUOTAS]]</f>
        <v>#VALUE!</v>
      </c>
      <c r="S4139" s="88">
        <f>-IF(Tabla14[[#This Row],[DIAS HABILES O MORA]]&lt;0,(Tabla14[[#This Row],[VALOR PRESTAMO]]*Tabla14[[#This Row],[% INTERES ]]/30*U4139))</f>
        <v>0</v>
      </c>
      <c r="T4139" s="53" t="e">
        <f>Tabla14[[#This Row],[DEUDA CAPITAL]]+Tabla14[[#This Row],[INTERES  CUOTA]]</f>
        <v>#NUM!</v>
      </c>
      <c r="U4139" s="61" t="str">
        <f t="shared" si="659"/>
        <v/>
      </c>
    </row>
    <row r="4140" spans="9:21" ht="24.75" customHeight="1" x14ac:dyDescent="0.35">
      <c r="I4140" s="42">
        <f t="shared" si="650"/>
        <v>0</v>
      </c>
      <c r="J4140" s="65" t="e">
        <f t="shared" si="651"/>
        <v>#NUM!</v>
      </c>
      <c r="K4140" s="83" t="e">
        <f t="shared" si="652"/>
        <v>#NUM!</v>
      </c>
      <c r="L4140" s="83">
        <f t="shared" si="653"/>
        <v>0</v>
      </c>
      <c r="M4140" s="110" t="str">
        <f t="shared" si="654"/>
        <v/>
      </c>
      <c r="N4140" s="51" t="str">
        <f t="shared" si="655"/>
        <v/>
      </c>
      <c r="O4140" s="52" t="str">
        <f t="shared" si="656"/>
        <v/>
      </c>
      <c r="P4140" s="88">
        <f t="shared" si="657"/>
        <v>0</v>
      </c>
      <c r="Q4140" s="88">
        <f t="shared" si="658"/>
        <v>0</v>
      </c>
      <c r="R4140" s="88" t="e">
        <f>-IF(Tabla14[[#This Row],[DIAS HABILES O MORA]]&lt;0,(Tabla14[[#This Row],[VALOR PRESTAMO]]*Tabla14[[#This Row],[% INTERES ]]/30*U4140))+Tabla14[[#This Row],[VALOR CUOTAS]]</f>
        <v>#VALUE!</v>
      </c>
      <c r="S4140" s="88">
        <f>-IF(Tabla14[[#This Row],[DIAS HABILES O MORA]]&lt;0,(Tabla14[[#This Row],[VALOR PRESTAMO]]*Tabla14[[#This Row],[% INTERES ]]/30*U4140))</f>
        <v>0</v>
      </c>
      <c r="T4140" s="53" t="e">
        <f>Tabla14[[#This Row],[DEUDA CAPITAL]]+Tabla14[[#This Row],[INTERES  CUOTA]]</f>
        <v>#NUM!</v>
      </c>
      <c r="U4140" s="61" t="str">
        <f t="shared" si="659"/>
        <v/>
      </c>
    </row>
    <row r="4141" spans="9:21" ht="24.75" customHeight="1" x14ac:dyDescent="0.35">
      <c r="I4141" s="42">
        <f t="shared" si="650"/>
        <v>0</v>
      </c>
      <c r="J4141" s="65" t="e">
        <f t="shared" si="651"/>
        <v>#NUM!</v>
      </c>
      <c r="K4141" s="83" t="e">
        <f t="shared" si="652"/>
        <v>#NUM!</v>
      </c>
      <c r="L4141" s="83">
        <f t="shared" si="653"/>
        <v>0</v>
      </c>
      <c r="M4141" s="110" t="str">
        <f t="shared" si="654"/>
        <v/>
      </c>
      <c r="N4141" s="51" t="str">
        <f t="shared" si="655"/>
        <v/>
      </c>
      <c r="O4141" s="52" t="str">
        <f t="shared" si="656"/>
        <v/>
      </c>
      <c r="P4141" s="88">
        <f t="shared" si="657"/>
        <v>0</v>
      </c>
      <c r="Q4141" s="88">
        <f t="shared" si="658"/>
        <v>0</v>
      </c>
      <c r="R4141" s="88" t="e">
        <f>-IF(Tabla14[[#This Row],[DIAS HABILES O MORA]]&lt;0,(Tabla14[[#This Row],[VALOR PRESTAMO]]*Tabla14[[#This Row],[% INTERES ]]/30*U4141))+Tabla14[[#This Row],[VALOR CUOTAS]]</f>
        <v>#VALUE!</v>
      </c>
      <c r="S4141" s="88">
        <f>-IF(Tabla14[[#This Row],[DIAS HABILES O MORA]]&lt;0,(Tabla14[[#This Row],[VALOR PRESTAMO]]*Tabla14[[#This Row],[% INTERES ]]/30*U4141))</f>
        <v>0</v>
      </c>
      <c r="T4141" s="53" t="e">
        <f>Tabla14[[#This Row],[DEUDA CAPITAL]]+Tabla14[[#This Row],[INTERES  CUOTA]]</f>
        <v>#NUM!</v>
      </c>
      <c r="U4141" s="61" t="str">
        <f t="shared" si="659"/>
        <v/>
      </c>
    </row>
    <row r="4142" spans="9:21" ht="24.75" customHeight="1" x14ac:dyDescent="0.35">
      <c r="I4142" s="42">
        <f t="shared" si="650"/>
        <v>0</v>
      </c>
      <c r="J4142" s="65" t="e">
        <f t="shared" si="651"/>
        <v>#NUM!</v>
      </c>
      <c r="K4142" s="83" t="e">
        <f t="shared" si="652"/>
        <v>#NUM!</v>
      </c>
      <c r="L4142" s="83">
        <f t="shared" si="653"/>
        <v>0</v>
      </c>
      <c r="M4142" s="110" t="str">
        <f t="shared" si="654"/>
        <v/>
      </c>
      <c r="N4142" s="51" t="str">
        <f t="shared" si="655"/>
        <v/>
      </c>
      <c r="O4142" s="52" t="str">
        <f t="shared" si="656"/>
        <v/>
      </c>
      <c r="P4142" s="88">
        <f t="shared" si="657"/>
        <v>0</v>
      </c>
      <c r="Q4142" s="88">
        <f t="shared" si="658"/>
        <v>0</v>
      </c>
      <c r="R4142" s="88" t="e">
        <f>-IF(Tabla14[[#This Row],[DIAS HABILES O MORA]]&lt;0,(Tabla14[[#This Row],[VALOR PRESTAMO]]*Tabla14[[#This Row],[% INTERES ]]/30*U4142))+Tabla14[[#This Row],[VALOR CUOTAS]]</f>
        <v>#VALUE!</v>
      </c>
      <c r="S4142" s="88">
        <f>-IF(Tabla14[[#This Row],[DIAS HABILES O MORA]]&lt;0,(Tabla14[[#This Row],[VALOR PRESTAMO]]*Tabla14[[#This Row],[% INTERES ]]/30*U4142))</f>
        <v>0</v>
      </c>
      <c r="T4142" s="53" t="e">
        <f>Tabla14[[#This Row],[DEUDA CAPITAL]]+Tabla14[[#This Row],[INTERES  CUOTA]]</f>
        <v>#NUM!</v>
      </c>
      <c r="U4142" s="61" t="str">
        <f t="shared" si="659"/>
        <v/>
      </c>
    </row>
    <row r="4143" spans="9:21" ht="24.75" customHeight="1" x14ac:dyDescent="0.35">
      <c r="I4143" s="42">
        <f t="shared" si="650"/>
        <v>0</v>
      </c>
      <c r="J4143" s="65" t="e">
        <f t="shared" si="651"/>
        <v>#NUM!</v>
      </c>
      <c r="K4143" s="83" t="e">
        <f t="shared" si="652"/>
        <v>#NUM!</v>
      </c>
      <c r="L4143" s="83">
        <f t="shared" si="653"/>
        <v>0</v>
      </c>
      <c r="M4143" s="110" t="str">
        <f t="shared" si="654"/>
        <v/>
      </c>
      <c r="N4143" s="51" t="str">
        <f t="shared" si="655"/>
        <v/>
      </c>
      <c r="O4143" s="52" t="str">
        <f t="shared" si="656"/>
        <v/>
      </c>
      <c r="P4143" s="88">
        <f t="shared" si="657"/>
        <v>0</v>
      </c>
      <c r="Q4143" s="88">
        <f t="shared" si="658"/>
        <v>0</v>
      </c>
      <c r="R4143" s="88" t="e">
        <f>-IF(Tabla14[[#This Row],[DIAS HABILES O MORA]]&lt;0,(Tabla14[[#This Row],[VALOR PRESTAMO]]*Tabla14[[#This Row],[% INTERES ]]/30*U4143))+Tabla14[[#This Row],[VALOR CUOTAS]]</f>
        <v>#VALUE!</v>
      </c>
      <c r="S4143" s="88">
        <f>-IF(Tabla14[[#This Row],[DIAS HABILES O MORA]]&lt;0,(Tabla14[[#This Row],[VALOR PRESTAMO]]*Tabla14[[#This Row],[% INTERES ]]/30*U4143))</f>
        <v>0</v>
      </c>
      <c r="T4143" s="53" t="e">
        <f>Tabla14[[#This Row],[DEUDA CAPITAL]]+Tabla14[[#This Row],[INTERES  CUOTA]]</f>
        <v>#NUM!</v>
      </c>
      <c r="U4143" s="61" t="str">
        <f t="shared" si="659"/>
        <v/>
      </c>
    </row>
    <row r="4144" spans="9:21" ht="24.75" customHeight="1" x14ac:dyDescent="0.35">
      <c r="I4144" s="42">
        <f t="shared" si="650"/>
        <v>0</v>
      </c>
      <c r="J4144" s="65" t="e">
        <f t="shared" si="651"/>
        <v>#NUM!</v>
      </c>
      <c r="K4144" s="83" t="e">
        <f t="shared" si="652"/>
        <v>#NUM!</v>
      </c>
      <c r="L4144" s="83">
        <f t="shared" si="653"/>
        <v>0</v>
      </c>
      <c r="M4144" s="110" t="str">
        <f t="shared" si="654"/>
        <v/>
      </c>
      <c r="N4144" s="51" t="str">
        <f t="shared" si="655"/>
        <v/>
      </c>
      <c r="O4144" s="52" t="str">
        <f t="shared" si="656"/>
        <v/>
      </c>
      <c r="P4144" s="88">
        <f t="shared" si="657"/>
        <v>0</v>
      </c>
      <c r="Q4144" s="88">
        <f t="shared" si="658"/>
        <v>0</v>
      </c>
      <c r="R4144" s="88" t="e">
        <f>-IF(Tabla14[[#This Row],[DIAS HABILES O MORA]]&lt;0,(Tabla14[[#This Row],[VALOR PRESTAMO]]*Tabla14[[#This Row],[% INTERES ]]/30*U4144))+Tabla14[[#This Row],[VALOR CUOTAS]]</f>
        <v>#VALUE!</v>
      </c>
      <c r="S4144" s="88">
        <f>-IF(Tabla14[[#This Row],[DIAS HABILES O MORA]]&lt;0,(Tabla14[[#This Row],[VALOR PRESTAMO]]*Tabla14[[#This Row],[% INTERES ]]/30*U4144))</f>
        <v>0</v>
      </c>
      <c r="T4144" s="53" t="e">
        <f>Tabla14[[#This Row],[DEUDA CAPITAL]]+Tabla14[[#This Row],[INTERES  CUOTA]]</f>
        <v>#NUM!</v>
      </c>
      <c r="U4144" s="61" t="str">
        <f t="shared" si="659"/>
        <v/>
      </c>
    </row>
    <row r="4145" spans="9:21" ht="24.75" customHeight="1" x14ac:dyDescent="0.35">
      <c r="I4145" s="42">
        <f t="shared" si="650"/>
        <v>0</v>
      </c>
      <c r="J4145" s="65" t="e">
        <f t="shared" si="651"/>
        <v>#NUM!</v>
      </c>
      <c r="K4145" s="83" t="e">
        <f t="shared" si="652"/>
        <v>#NUM!</v>
      </c>
      <c r="L4145" s="83">
        <f t="shared" si="653"/>
        <v>0</v>
      </c>
      <c r="M4145" s="110" t="str">
        <f t="shared" si="654"/>
        <v/>
      </c>
      <c r="N4145" s="51" t="str">
        <f t="shared" si="655"/>
        <v/>
      </c>
      <c r="O4145" s="52" t="str">
        <f t="shared" si="656"/>
        <v/>
      </c>
      <c r="P4145" s="88">
        <f t="shared" si="657"/>
        <v>0</v>
      </c>
      <c r="Q4145" s="88">
        <f t="shared" si="658"/>
        <v>0</v>
      </c>
      <c r="R4145" s="88" t="e">
        <f>-IF(Tabla14[[#This Row],[DIAS HABILES O MORA]]&lt;0,(Tabla14[[#This Row],[VALOR PRESTAMO]]*Tabla14[[#This Row],[% INTERES ]]/30*U4145))+Tabla14[[#This Row],[VALOR CUOTAS]]</f>
        <v>#VALUE!</v>
      </c>
      <c r="S4145" s="88">
        <f>-IF(Tabla14[[#This Row],[DIAS HABILES O MORA]]&lt;0,(Tabla14[[#This Row],[VALOR PRESTAMO]]*Tabla14[[#This Row],[% INTERES ]]/30*U4145))</f>
        <v>0</v>
      </c>
      <c r="T4145" s="53" t="e">
        <f>Tabla14[[#This Row],[DEUDA CAPITAL]]+Tabla14[[#This Row],[INTERES  CUOTA]]</f>
        <v>#NUM!</v>
      </c>
      <c r="U4145" s="61" t="str">
        <f t="shared" si="659"/>
        <v/>
      </c>
    </row>
    <row r="4146" spans="9:21" ht="24.75" customHeight="1" x14ac:dyDescent="0.35">
      <c r="I4146" s="42">
        <f t="shared" si="650"/>
        <v>0</v>
      </c>
      <c r="J4146" s="65" t="e">
        <f t="shared" si="651"/>
        <v>#NUM!</v>
      </c>
      <c r="K4146" s="83" t="e">
        <f t="shared" si="652"/>
        <v>#NUM!</v>
      </c>
      <c r="L4146" s="83">
        <f t="shared" si="653"/>
        <v>0</v>
      </c>
      <c r="M4146" s="110" t="str">
        <f t="shared" si="654"/>
        <v/>
      </c>
      <c r="N4146" s="51" t="str">
        <f t="shared" si="655"/>
        <v/>
      </c>
      <c r="O4146" s="52" t="str">
        <f t="shared" si="656"/>
        <v/>
      </c>
      <c r="P4146" s="88">
        <f t="shared" si="657"/>
        <v>0</v>
      </c>
      <c r="Q4146" s="88">
        <f t="shared" si="658"/>
        <v>0</v>
      </c>
      <c r="R4146" s="88" t="e">
        <f>-IF(Tabla14[[#This Row],[DIAS HABILES O MORA]]&lt;0,(Tabla14[[#This Row],[VALOR PRESTAMO]]*Tabla14[[#This Row],[% INTERES ]]/30*U4146))+Tabla14[[#This Row],[VALOR CUOTAS]]</f>
        <v>#VALUE!</v>
      </c>
      <c r="S4146" s="88">
        <f>-IF(Tabla14[[#This Row],[DIAS HABILES O MORA]]&lt;0,(Tabla14[[#This Row],[VALOR PRESTAMO]]*Tabla14[[#This Row],[% INTERES ]]/30*U4146))</f>
        <v>0</v>
      </c>
      <c r="T4146" s="53" t="e">
        <f>Tabla14[[#This Row],[DEUDA CAPITAL]]+Tabla14[[#This Row],[INTERES  CUOTA]]</f>
        <v>#NUM!</v>
      </c>
      <c r="U4146" s="61" t="str">
        <f t="shared" si="659"/>
        <v/>
      </c>
    </row>
    <row r="4147" spans="9:21" ht="24.75" customHeight="1" x14ac:dyDescent="0.35">
      <c r="I4147" s="42">
        <f t="shared" si="650"/>
        <v>0</v>
      </c>
      <c r="J4147" s="65" t="e">
        <f t="shared" si="651"/>
        <v>#NUM!</v>
      </c>
      <c r="K4147" s="83" t="e">
        <f t="shared" si="652"/>
        <v>#NUM!</v>
      </c>
      <c r="L4147" s="83">
        <f t="shared" si="653"/>
        <v>0</v>
      </c>
      <c r="M4147" s="110" t="str">
        <f t="shared" si="654"/>
        <v/>
      </c>
      <c r="N4147" s="51" t="str">
        <f t="shared" si="655"/>
        <v/>
      </c>
      <c r="O4147" s="52" t="str">
        <f t="shared" si="656"/>
        <v/>
      </c>
      <c r="P4147" s="88">
        <f t="shared" si="657"/>
        <v>0</v>
      </c>
      <c r="Q4147" s="88">
        <f t="shared" si="658"/>
        <v>0</v>
      </c>
      <c r="R4147" s="88" t="e">
        <f>-IF(Tabla14[[#This Row],[DIAS HABILES O MORA]]&lt;0,(Tabla14[[#This Row],[VALOR PRESTAMO]]*Tabla14[[#This Row],[% INTERES ]]/30*U4147))+Tabla14[[#This Row],[VALOR CUOTAS]]</f>
        <v>#VALUE!</v>
      </c>
      <c r="S4147" s="88">
        <f>-IF(Tabla14[[#This Row],[DIAS HABILES O MORA]]&lt;0,(Tabla14[[#This Row],[VALOR PRESTAMO]]*Tabla14[[#This Row],[% INTERES ]]/30*U4147))</f>
        <v>0</v>
      </c>
      <c r="T4147" s="53" t="e">
        <f>Tabla14[[#This Row],[DEUDA CAPITAL]]+Tabla14[[#This Row],[INTERES  CUOTA]]</f>
        <v>#NUM!</v>
      </c>
      <c r="U4147" s="61" t="str">
        <f t="shared" si="659"/>
        <v/>
      </c>
    </row>
    <row r="4148" spans="9:21" ht="24.75" customHeight="1" x14ac:dyDescent="0.35">
      <c r="I4148" s="42">
        <f t="shared" si="650"/>
        <v>0</v>
      </c>
      <c r="J4148" s="65" t="e">
        <f t="shared" si="651"/>
        <v>#NUM!</v>
      </c>
      <c r="K4148" s="83" t="e">
        <f t="shared" si="652"/>
        <v>#NUM!</v>
      </c>
      <c r="L4148" s="83">
        <f t="shared" si="653"/>
        <v>0</v>
      </c>
      <c r="M4148" s="110" t="str">
        <f t="shared" si="654"/>
        <v/>
      </c>
      <c r="N4148" s="51" t="str">
        <f t="shared" si="655"/>
        <v/>
      </c>
      <c r="O4148" s="52" t="str">
        <f t="shared" si="656"/>
        <v/>
      </c>
      <c r="P4148" s="88">
        <f t="shared" si="657"/>
        <v>0</v>
      </c>
      <c r="Q4148" s="88">
        <f t="shared" si="658"/>
        <v>0</v>
      </c>
      <c r="R4148" s="88" t="e">
        <f>-IF(Tabla14[[#This Row],[DIAS HABILES O MORA]]&lt;0,(Tabla14[[#This Row],[VALOR PRESTAMO]]*Tabla14[[#This Row],[% INTERES ]]/30*U4148))+Tabla14[[#This Row],[VALOR CUOTAS]]</f>
        <v>#VALUE!</v>
      </c>
      <c r="S4148" s="88">
        <f>-IF(Tabla14[[#This Row],[DIAS HABILES O MORA]]&lt;0,(Tabla14[[#This Row],[VALOR PRESTAMO]]*Tabla14[[#This Row],[% INTERES ]]/30*U4148))</f>
        <v>0</v>
      </c>
      <c r="T4148" s="53" t="e">
        <f>Tabla14[[#This Row],[DEUDA CAPITAL]]+Tabla14[[#This Row],[INTERES  CUOTA]]</f>
        <v>#NUM!</v>
      </c>
      <c r="U4148" s="61" t="str">
        <f t="shared" si="659"/>
        <v/>
      </c>
    </row>
    <row r="4149" spans="9:21" ht="24.75" customHeight="1" x14ac:dyDescent="0.35">
      <c r="I4149" s="42">
        <f t="shared" si="650"/>
        <v>0</v>
      </c>
      <c r="J4149" s="65" t="e">
        <f t="shared" si="651"/>
        <v>#NUM!</v>
      </c>
      <c r="K4149" s="83" t="e">
        <f t="shared" si="652"/>
        <v>#NUM!</v>
      </c>
      <c r="L4149" s="83">
        <f t="shared" si="653"/>
        <v>0</v>
      </c>
      <c r="M4149" s="110" t="str">
        <f t="shared" si="654"/>
        <v/>
      </c>
      <c r="N4149" s="51" t="str">
        <f t="shared" si="655"/>
        <v/>
      </c>
      <c r="O4149" s="52" t="str">
        <f t="shared" si="656"/>
        <v/>
      </c>
      <c r="P4149" s="88">
        <f t="shared" si="657"/>
        <v>0</v>
      </c>
      <c r="Q4149" s="88">
        <f t="shared" si="658"/>
        <v>0</v>
      </c>
      <c r="R4149" s="88" t="e">
        <f>-IF(Tabla14[[#This Row],[DIAS HABILES O MORA]]&lt;0,(Tabla14[[#This Row],[VALOR PRESTAMO]]*Tabla14[[#This Row],[% INTERES ]]/30*U4149))+Tabla14[[#This Row],[VALOR CUOTAS]]</f>
        <v>#VALUE!</v>
      </c>
      <c r="S4149" s="88">
        <f>-IF(Tabla14[[#This Row],[DIAS HABILES O MORA]]&lt;0,(Tabla14[[#This Row],[VALOR PRESTAMO]]*Tabla14[[#This Row],[% INTERES ]]/30*U4149))</f>
        <v>0</v>
      </c>
      <c r="T4149" s="53" t="e">
        <f>Tabla14[[#This Row],[DEUDA CAPITAL]]+Tabla14[[#This Row],[INTERES  CUOTA]]</f>
        <v>#NUM!</v>
      </c>
      <c r="U4149" s="61" t="str">
        <f t="shared" si="659"/>
        <v/>
      </c>
    </row>
    <row r="4150" spans="9:21" ht="24.75" customHeight="1" x14ac:dyDescent="0.35">
      <c r="I4150" s="42">
        <f t="shared" si="650"/>
        <v>0</v>
      </c>
      <c r="J4150" s="65" t="e">
        <f t="shared" si="651"/>
        <v>#NUM!</v>
      </c>
      <c r="K4150" s="83" t="e">
        <f t="shared" si="652"/>
        <v>#NUM!</v>
      </c>
      <c r="L4150" s="83">
        <f t="shared" si="653"/>
        <v>0</v>
      </c>
      <c r="M4150" s="110" t="str">
        <f t="shared" si="654"/>
        <v/>
      </c>
      <c r="N4150" s="51" t="str">
        <f t="shared" si="655"/>
        <v/>
      </c>
      <c r="O4150" s="52" t="str">
        <f t="shared" si="656"/>
        <v/>
      </c>
      <c r="P4150" s="88">
        <f t="shared" si="657"/>
        <v>0</v>
      </c>
      <c r="Q4150" s="88">
        <f t="shared" si="658"/>
        <v>0</v>
      </c>
      <c r="R4150" s="88" t="e">
        <f>-IF(Tabla14[[#This Row],[DIAS HABILES O MORA]]&lt;0,(Tabla14[[#This Row],[VALOR PRESTAMO]]*Tabla14[[#This Row],[% INTERES ]]/30*U4150))+Tabla14[[#This Row],[VALOR CUOTAS]]</f>
        <v>#VALUE!</v>
      </c>
      <c r="S4150" s="88">
        <f>-IF(Tabla14[[#This Row],[DIAS HABILES O MORA]]&lt;0,(Tabla14[[#This Row],[VALOR PRESTAMO]]*Tabla14[[#This Row],[% INTERES ]]/30*U4150))</f>
        <v>0</v>
      </c>
      <c r="T4150" s="53" t="e">
        <f>Tabla14[[#This Row],[DEUDA CAPITAL]]+Tabla14[[#This Row],[INTERES  CUOTA]]</f>
        <v>#NUM!</v>
      </c>
      <c r="U4150" s="61" t="str">
        <f t="shared" si="659"/>
        <v/>
      </c>
    </row>
    <row r="4151" spans="9:21" ht="24.75" customHeight="1" x14ac:dyDescent="0.35">
      <c r="I4151" s="42">
        <f t="shared" si="650"/>
        <v>0</v>
      </c>
      <c r="J4151" s="65" t="e">
        <f t="shared" si="651"/>
        <v>#NUM!</v>
      </c>
      <c r="K4151" s="83" t="e">
        <f t="shared" si="652"/>
        <v>#NUM!</v>
      </c>
      <c r="L4151" s="83">
        <f t="shared" si="653"/>
        <v>0</v>
      </c>
      <c r="M4151" s="110" t="str">
        <f t="shared" si="654"/>
        <v/>
      </c>
      <c r="N4151" s="51" t="str">
        <f t="shared" si="655"/>
        <v/>
      </c>
      <c r="O4151" s="52" t="str">
        <f t="shared" si="656"/>
        <v/>
      </c>
      <c r="P4151" s="88">
        <f t="shared" si="657"/>
        <v>0</v>
      </c>
      <c r="Q4151" s="88">
        <f t="shared" si="658"/>
        <v>0</v>
      </c>
      <c r="R4151" s="88" t="e">
        <f>-IF(Tabla14[[#This Row],[DIAS HABILES O MORA]]&lt;0,(Tabla14[[#This Row],[VALOR PRESTAMO]]*Tabla14[[#This Row],[% INTERES ]]/30*U4151))+Tabla14[[#This Row],[VALOR CUOTAS]]</f>
        <v>#VALUE!</v>
      </c>
      <c r="S4151" s="88">
        <f>-IF(Tabla14[[#This Row],[DIAS HABILES O MORA]]&lt;0,(Tabla14[[#This Row],[VALOR PRESTAMO]]*Tabla14[[#This Row],[% INTERES ]]/30*U4151))</f>
        <v>0</v>
      </c>
      <c r="T4151" s="53" t="e">
        <f>Tabla14[[#This Row],[DEUDA CAPITAL]]+Tabla14[[#This Row],[INTERES  CUOTA]]</f>
        <v>#NUM!</v>
      </c>
      <c r="U4151" s="61" t="str">
        <f t="shared" si="659"/>
        <v/>
      </c>
    </row>
    <row r="4152" spans="9:21" ht="24.75" customHeight="1" x14ac:dyDescent="0.35">
      <c r="I4152" s="42">
        <f t="shared" si="650"/>
        <v>0</v>
      </c>
      <c r="J4152" s="65" t="e">
        <f t="shared" si="651"/>
        <v>#NUM!</v>
      </c>
      <c r="K4152" s="83" t="e">
        <f t="shared" si="652"/>
        <v>#NUM!</v>
      </c>
      <c r="L4152" s="83">
        <f t="shared" si="653"/>
        <v>0</v>
      </c>
      <c r="M4152" s="110" t="str">
        <f t="shared" si="654"/>
        <v/>
      </c>
      <c r="N4152" s="51" t="str">
        <f t="shared" si="655"/>
        <v/>
      </c>
      <c r="O4152" s="52" t="str">
        <f t="shared" si="656"/>
        <v/>
      </c>
      <c r="P4152" s="88">
        <f t="shared" si="657"/>
        <v>0</v>
      </c>
      <c r="Q4152" s="88">
        <f t="shared" si="658"/>
        <v>0</v>
      </c>
      <c r="R4152" s="88" t="e">
        <f>-IF(Tabla14[[#This Row],[DIAS HABILES O MORA]]&lt;0,(Tabla14[[#This Row],[VALOR PRESTAMO]]*Tabla14[[#This Row],[% INTERES ]]/30*U4152))+Tabla14[[#This Row],[VALOR CUOTAS]]</f>
        <v>#VALUE!</v>
      </c>
      <c r="S4152" s="88">
        <f>-IF(Tabla14[[#This Row],[DIAS HABILES O MORA]]&lt;0,(Tabla14[[#This Row],[VALOR PRESTAMO]]*Tabla14[[#This Row],[% INTERES ]]/30*U4152))</f>
        <v>0</v>
      </c>
      <c r="T4152" s="53" t="e">
        <f>Tabla14[[#This Row],[DEUDA CAPITAL]]+Tabla14[[#This Row],[INTERES  CUOTA]]</f>
        <v>#NUM!</v>
      </c>
      <c r="U4152" s="61" t="str">
        <f t="shared" si="659"/>
        <v/>
      </c>
    </row>
    <row r="4153" spans="9:21" ht="24.75" customHeight="1" x14ac:dyDescent="0.35">
      <c r="I4153" s="42">
        <f t="shared" si="650"/>
        <v>0</v>
      </c>
      <c r="J4153" s="65" t="e">
        <f t="shared" si="651"/>
        <v>#NUM!</v>
      </c>
      <c r="K4153" s="83" t="e">
        <f t="shared" si="652"/>
        <v>#NUM!</v>
      </c>
      <c r="L4153" s="83">
        <f t="shared" si="653"/>
        <v>0</v>
      </c>
      <c r="M4153" s="110" t="str">
        <f t="shared" si="654"/>
        <v/>
      </c>
      <c r="N4153" s="51" t="str">
        <f t="shared" si="655"/>
        <v/>
      </c>
      <c r="O4153" s="52" t="str">
        <f t="shared" si="656"/>
        <v/>
      </c>
      <c r="P4153" s="88">
        <f t="shared" si="657"/>
        <v>0</v>
      </c>
      <c r="Q4153" s="88">
        <f t="shared" si="658"/>
        <v>0</v>
      </c>
      <c r="R4153" s="88" t="e">
        <f>-IF(Tabla14[[#This Row],[DIAS HABILES O MORA]]&lt;0,(Tabla14[[#This Row],[VALOR PRESTAMO]]*Tabla14[[#This Row],[% INTERES ]]/30*U4153))+Tabla14[[#This Row],[VALOR CUOTAS]]</f>
        <v>#VALUE!</v>
      </c>
      <c r="S4153" s="88">
        <f>-IF(Tabla14[[#This Row],[DIAS HABILES O MORA]]&lt;0,(Tabla14[[#This Row],[VALOR PRESTAMO]]*Tabla14[[#This Row],[% INTERES ]]/30*U4153))</f>
        <v>0</v>
      </c>
      <c r="T4153" s="53" t="e">
        <f>Tabla14[[#This Row],[DEUDA CAPITAL]]+Tabla14[[#This Row],[INTERES  CUOTA]]</f>
        <v>#NUM!</v>
      </c>
      <c r="U4153" s="61" t="str">
        <f t="shared" si="659"/>
        <v/>
      </c>
    </row>
    <row r="4154" spans="9:21" ht="24.75" customHeight="1" x14ac:dyDescent="0.35">
      <c r="I4154" s="42">
        <f t="shared" si="650"/>
        <v>0</v>
      </c>
      <c r="J4154" s="65" t="e">
        <f t="shared" si="651"/>
        <v>#NUM!</v>
      </c>
      <c r="K4154" s="83" t="e">
        <f t="shared" si="652"/>
        <v>#NUM!</v>
      </c>
      <c r="L4154" s="83">
        <f t="shared" si="653"/>
        <v>0</v>
      </c>
      <c r="M4154" s="110" t="str">
        <f t="shared" si="654"/>
        <v/>
      </c>
      <c r="N4154" s="51" t="str">
        <f t="shared" si="655"/>
        <v/>
      </c>
      <c r="O4154" s="52" t="str">
        <f t="shared" si="656"/>
        <v/>
      </c>
      <c r="P4154" s="88">
        <f t="shared" si="657"/>
        <v>0</v>
      </c>
      <c r="Q4154" s="88">
        <f t="shared" si="658"/>
        <v>0</v>
      </c>
      <c r="R4154" s="88" t="e">
        <f>-IF(Tabla14[[#This Row],[DIAS HABILES O MORA]]&lt;0,(Tabla14[[#This Row],[VALOR PRESTAMO]]*Tabla14[[#This Row],[% INTERES ]]/30*U4154))+Tabla14[[#This Row],[VALOR CUOTAS]]</f>
        <v>#VALUE!</v>
      </c>
      <c r="S4154" s="88">
        <f>-IF(Tabla14[[#This Row],[DIAS HABILES O MORA]]&lt;0,(Tabla14[[#This Row],[VALOR PRESTAMO]]*Tabla14[[#This Row],[% INTERES ]]/30*U4154))</f>
        <v>0</v>
      </c>
      <c r="T4154" s="53" t="e">
        <f>Tabla14[[#This Row],[DEUDA CAPITAL]]+Tabla14[[#This Row],[INTERES  CUOTA]]</f>
        <v>#NUM!</v>
      </c>
      <c r="U4154" s="61" t="str">
        <f t="shared" si="659"/>
        <v/>
      </c>
    </row>
    <row r="4155" spans="9:21" ht="24.75" customHeight="1" x14ac:dyDescent="0.35">
      <c r="I4155" s="42">
        <f t="shared" si="650"/>
        <v>0</v>
      </c>
      <c r="J4155" s="65" t="e">
        <f t="shared" si="651"/>
        <v>#NUM!</v>
      </c>
      <c r="K4155" s="83" t="e">
        <f t="shared" si="652"/>
        <v>#NUM!</v>
      </c>
      <c r="L4155" s="83">
        <f t="shared" si="653"/>
        <v>0</v>
      </c>
      <c r="M4155" s="110" t="str">
        <f t="shared" si="654"/>
        <v/>
      </c>
      <c r="N4155" s="51" t="str">
        <f t="shared" si="655"/>
        <v/>
      </c>
      <c r="O4155" s="52" t="str">
        <f t="shared" si="656"/>
        <v/>
      </c>
      <c r="P4155" s="88">
        <f t="shared" si="657"/>
        <v>0</v>
      </c>
      <c r="Q4155" s="88">
        <f t="shared" si="658"/>
        <v>0</v>
      </c>
      <c r="R4155" s="88" t="e">
        <f>-IF(Tabla14[[#This Row],[DIAS HABILES O MORA]]&lt;0,(Tabla14[[#This Row],[VALOR PRESTAMO]]*Tabla14[[#This Row],[% INTERES ]]/30*U4155))+Tabla14[[#This Row],[VALOR CUOTAS]]</f>
        <v>#VALUE!</v>
      </c>
      <c r="S4155" s="88">
        <f>-IF(Tabla14[[#This Row],[DIAS HABILES O MORA]]&lt;0,(Tabla14[[#This Row],[VALOR PRESTAMO]]*Tabla14[[#This Row],[% INTERES ]]/30*U4155))</f>
        <v>0</v>
      </c>
      <c r="T4155" s="53" t="e">
        <f>Tabla14[[#This Row],[DEUDA CAPITAL]]+Tabla14[[#This Row],[INTERES  CUOTA]]</f>
        <v>#NUM!</v>
      </c>
      <c r="U4155" s="61" t="str">
        <f t="shared" si="659"/>
        <v/>
      </c>
    </row>
    <row r="4156" spans="9:21" ht="24.75" customHeight="1" x14ac:dyDescent="0.35">
      <c r="I4156" s="42">
        <f t="shared" si="650"/>
        <v>0</v>
      </c>
      <c r="J4156" s="65" t="e">
        <f t="shared" si="651"/>
        <v>#NUM!</v>
      </c>
      <c r="K4156" s="83" t="e">
        <f t="shared" si="652"/>
        <v>#NUM!</v>
      </c>
      <c r="L4156" s="83">
        <f t="shared" si="653"/>
        <v>0</v>
      </c>
      <c r="M4156" s="110" t="str">
        <f t="shared" si="654"/>
        <v/>
      </c>
      <c r="N4156" s="51" t="str">
        <f t="shared" si="655"/>
        <v/>
      </c>
      <c r="O4156" s="52" t="str">
        <f t="shared" si="656"/>
        <v/>
      </c>
      <c r="P4156" s="88">
        <f t="shared" si="657"/>
        <v>0</v>
      </c>
      <c r="Q4156" s="88">
        <f t="shared" si="658"/>
        <v>0</v>
      </c>
      <c r="R4156" s="88" t="e">
        <f>-IF(Tabla14[[#This Row],[DIAS HABILES O MORA]]&lt;0,(Tabla14[[#This Row],[VALOR PRESTAMO]]*Tabla14[[#This Row],[% INTERES ]]/30*U4156))+Tabla14[[#This Row],[VALOR CUOTAS]]</f>
        <v>#VALUE!</v>
      </c>
      <c r="S4156" s="88">
        <f>-IF(Tabla14[[#This Row],[DIAS HABILES O MORA]]&lt;0,(Tabla14[[#This Row],[VALOR PRESTAMO]]*Tabla14[[#This Row],[% INTERES ]]/30*U4156))</f>
        <v>0</v>
      </c>
      <c r="T4156" s="53" t="e">
        <f>Tabla14[[#This Row],[DEUDA CAPITAL]]+Tabla14[[#This Row],[INTERES  CUOTA]]</f>
        <v>#NUM!</v>
      </c>
      <c r="U4156" s="61" t="str">
        <f t="shared" si="659"/>
        <v/>
      </c>
    </row>
    <row r="4157" spans="9:21" ht="24.75" customHeight="1" x14ac:dyDescent="0.35">
      <c r="I4157" s="42">
        <f t="shared" si="650"/>
        <v>0</v>
      </c>
      <c r="J4157" s="65" t="e">
        <f t="shared" si="651"/>
        <v>#NUM!</v>
      </c>
      <c r="K4157" s="83" t="e">
        <f t="shared" si="652"/>
        <v>#NUM!</v>
      </c>
      <c r="L4157" s="83">
        <f t="shared" si="653"/>
        <v>0</v>
      </c>
      <c r="M4157" s="110" t="str">
        <f t="shared" si="654"/>
        <v/>
      </c>
      <c r="N4157" s="51" t="str">
        <f t="shared" si="655"/>
        <v/>
      </c>
      <c r="O4157" s="52" t="str">
        <f t="shared" si="656"/>
        <v/>
      </c>
      <c r="P4157" s="88">
        <f t="shared" si="657"/>
        <v>0</v>
      </c>
      <c r="Q4157" s="88">
        <f t="shared" si="658"/>
        <v>0</v>
      </c>
      <c r="R4157" s="88" t="e">
        <f>-IF(Tabla14[[#This Row],[DIAS HABILES O MORA]]&lt;0,(Tabla14[[#This Row],[VALOR PRESTAMO]]*Tabla14[[#This Row],[% INTERES ]]/30*U4157))+Tabla14[[#This Row],[VALOR CUOTAS]]</f>
        <v>#VALUE!</v>
      </c>
      <c r="S4157" s="88">
        <f>-IF(Tabla14[[#This Row],[DIAS HABILES O MORA]]&lt;0,(Tabla14[[#This Row],[VALOR PRESTAMO]]*Tabla14[[#This Row],[% INTERES ]]/30*U4157))</f>
        <v>0</v>
      </c>
      <c r="T4157" s="53" t="e">
        <f>Tabla14[[#This Row],[DEUDA CAPITAL]]+Tabla14[[#This Row],[INTERES  CUOTA]]</f>
        <v>#NUM!</v>
      </c>
      <c r="U4157" s="61" t="str">
        <f t="shared" si="659"/>
        <v/>
      </c>
    </row>
    <row r="4158" spans="9:21" ht="24.75" customHeight="1" x14ac:dyDescent="0.35">
      <c r="I4158" s="42">
        <f t="shared" si="650"/>
        <v>0</v>
      </c>
      <c r="J4158" s="65" t="e">
        <f t="shared" si="651"/>
        <v>#NUM!</v>
      </c>
      <c r="K4158" s="83" t="e">
        <f t="shared" si="652"/>
        <v>#NUM!</v>
      </c>
      <c r="L4158" s="83">
        <f t="shared" si="653"/>
        <v>0</v>
      </c>
      <c r="M4158" s="110" t="str">
        <f t="shared" si="654"/>
        <v/>
      </c>
      <c r="N4158" s="51" t="str">
        <f t="shared" si="655"/>
        <v/>
      </c>
      <c r="O4158" s="52" t="str">
        <f t="shared" si="656"/>
        <v/>
      </c>
      <c r="P4158" s="88">
        <f t="shared" si="657"/>
        <v>0</v>
      </c>
      <c r="Q4158" s="88">
        <f t="shared" si="658"/>
        <v>0</v>
      </c>
      <c r="R4158" s="88" t="e">
        <f>-IF(Tabla14[[#This Row],[DIAS HABILES O MORA]]&lt;0,(Tabla14[[#This Row],[VALOR PRESTAMO]]*Tabla14[[#This Row],[% INTERES ]]/30*U4158))+Tabla14[[#This Row],[VALOR CUOTAS]]</f>
        <v>#VALUE!</v>
      </c>
      <c r="S4158" s="88">
        <f>-IF(Tabla14[[#This Row],[DIAS HABILES O MORA]]&lt;0,(Tabla14[[#This Row],[VALOR PRESTAMO]]*Tabla14[[#This Row],[% INTERES ]]/30*U4158))</f>
        <v>0</v>
      </c>
      <c r="T4158" s="53" t="e">
        <f>Tabla14[[#This Row],[DEUDA CAPITAL]]+Tabla14[[#This Row],[INTERES  CUOTA]]</f>
        <v>#NUM!</v>
      </c>
      <c r="U4158" s="61" t="str">
        <f t="shared" si="659"/>
        <v/>
      </c>
    </row>
    <row r="4159" spans="9:21" ht="24.75" customHeight="1" x14ac:dyDescent="0.35">
      <c r="I4159" s="42">
        <f t="shared" si="650"/>
        <v>0</v>
      </c>
      <c r="J4159" s="65" t="e">
        <f t="shared" si="651"/>
        <v>#NUM!</v>
      </c>
      <c r="K4159" s="83" t="e">
        <f t="shared" si="652"/>
        <v>#NUM!</v>
      </c>
      <c r="L4159" s="83">
        <f t="shared" si="653"/>
        <v>0</v>
      </c>
      <c r="M4159" s="110" t="str">
        <f t="shared" si="654"/>
        <v/>
      </c>
      <c r="N4159" s="51" t="str">
        <f t="shared" si="655"/>
        <v/>
      </c>
      <c r="O4159" s="52" t="str">
        <f t="shared" si="656"/>
        <v/>
      </c>
      <c r="P4159" s="88">
        <f t="shared" si="657"/>
        <v>0</v>
      </c>
      <c r="Q4159" s="88">
        <f t="shared" si="658"/>
        <v>0</v>
      </c>
      <c r="R4159" s="88" t="e">
        <f>-IF(Tabla14[[#This Row],[DIAS HABILES O MORA]]&lt;0,(Tabla14[[#This Row],[VALOR PRESTAMO]]*Tabla14[[#This Row],[% INTERES ]]/30*U4159))+Tabla14[[#This Row],[VALOR CUOTAS]]</f>
        <v>#VALUE!</v>
      </c>
      <c r="S4159" s="88">
        <f>-IF(Tabla14[[#This Row],[DIAS HABILES O MORA]]&lt;0,(Tabla14[[#This Row],[VALOR PRESTAMO]]*Tabla14[[#This Row],[% INTERES ]]/30*U4159))</f>
        <v>0</v>
      </c>
      <c r="T4159" s="53" t="e">
        <f>Tabla14[[#This Row],[DEUDA CAPITAL]]+Tabla14[[#This Row],[INTERES  CUOTA]]</f>
        <v>#NUM!</v>
      </c>
      <c r="U4159" s="61" t="str">
        <f t="shared" si="659"/>
        <v/>
      </c>
    </row>
    <row r="4160" spans="9:21" ht="24.75" customHeight="1" x14ac:dyDescent="0.35">
      <c r="I4160" s="42">
        <f t="shared" si="650"/>
        <v>0</v>
      </c>
      <c r="J4160" s="65" t="e">
        <f t="shared" si="651"/>
        <v>#NUM!</v>
      </c>
      <c r="K4160" s="83" t="e">
        <f t="shared" si="652"/>
        <v>#NUM!</v>
      </c>
      <c r="L4160" s="83">
        <f t="shared" si="653"/>
        <v>0</v>
      </c>
      <c r="M4160" s="110" t="str">
        <f t="shared" si="654"/>
        <v/>
      </c>
      <c r="N4160" s="51" t="str">
        <f t="shared" si="655"/>
        <v/>
      </c>
      <c r="O4160" s="52" t="str">
        <f t="shared" si="656"/>
        <v/>
      </c>
      <c r="P4160" s="88">
        <f t="shared" si="657"/>
        <v>0</v>
      </c>
      <c r="Q4160" s="88">
        <f t="shared" si="658"/>
        <v>0</v>
      </c>
      <c r="R4160" s="88" t="e">
        <f>-IF(Tabla14[[#This Row],[DIAS HABILES O MORA]]&lt;0,(Tabla14[[#This Row],[VALOR PRESTAMO]]*Tabla14[[#This Row],[% INTERES ]]/30*U4160))+Tabla14[[#This Row],[VALOR CUOTAS]]</f>
        <v>#VALUE!</v>
      </c>
      <c r="S4160" s="88">
        <f>-IF(Tabla14[[#This Row],[DIAS HABILES O MORA]]&lt;0,(Tabla14[[#This Row],[VALOR PRESTAMO]]*Tabla14[[#This Row],[% INTERES ]]/30*U4160))</f>
        <v>0</v>
      </c>
      <c r="T4160" s="53" t="e">
        <f>Tabla14[[#This Row],[DEUDA CAPITAL]]+Tabla14[[#This Row],[INTERES  CUOTA]]</f>
        <v>#NUM!</v>
      </c>
      <c r="U4160" s="61" t="str">
        <f t="shared" si="659"/>
        <v/>
      </c>
    </row>
    <row r="4161" spans="9:21" ht="24.75" customHeight="1" x14ac:dyDescent="0.35">
      <c r="I4161" s="42">
        <f t="shared" si="650"/>
        <v>0</v>
      </c>
      <c r="J4161" s="65" t="e">
        <f t="shared" si="651"/>
        <v>#NUM!</v>
      </c>
      <c r="K4161" s="83" t="e">
        <f t="shared" si="652"/>
        <v>#NUM!</v>
      </c>
      <c r="L4161" s="83">
        <f t="shared" si="653"/>
        <v>0</v>
      </c>
      <c r="M4161" s="110" t="str">
        <f t="shared" si="654"/>
        <v/>
      </c>
      <c r="N4161" s="51" t="str">
        <f t="shared" si="655"/>
        <v/>
      </c>
      <c r="O4161" s="52" t="str">
        <f t="shared" si="656"/>
        <v/>
      </c>
      <c r="P4161" s="88">
        <f t="shared" si="657"/>
        <v>0</v>
      </c>
      <c r="Q4161" s="88">
        <f t="shared" si="658"/>
        <v>0</v>
      </c>
      <c r="R4161" s="88" t="e">
        <f>-IF(Tabla14[[#This Row],[DIAS HABILES O MORA]]&lt;0,(Tabla14[[#This Row],[VALOR PRESTAMO]]*Tabla14[[#This Row],[% INTERES ]]/30*U4161))+Tabla14[[#This Row],[VALOR CUOTAS]]</f>
        <v>#VALUE!</v>
      </c>
      <c r="S4161" s="88">
        <f>-IF(Tabla14[[#This Row],[DIAS HABILES O MORA]]&lt;0,(Tabla14[[#This Row],[VALOR PRESTAMO]]*Tabla14[[#This Row],[% INTERES ]]/30*U4161))</f>
        <v>0</v>
      </c>
      <c r="T4161" s="53" t="e">
        <f>Tabla14[[#This Row],[DEUDA CAPITAL]]+Tabla14[[#This Row],[INTERES  CUOTA]]</f>
        <v>#NUM!</v>
      </c>
      <c r="U4161" s="61" t="str">
        <f t="shared" si="659"/>
        <v/>
      </c>
    </row>
    <row r="4162" spans="9:21" ht="24.75" customHeight="1" x14ac:dyDescent="0.35">
      <c r="I4162" s="42">
        <f t="shared" si="650"/>
        <v>0</v>
      </c>
      <c r="J4162" s="65" t="e">
        <f t="shared" si="651"/>
        <v>#NUM!</v>
      </c>
      <c r="K4162" s="83" t="e">
        <f t="shared" si="652"/>
        <v>#NUM!</v>
      </c>
      <c r="L4162" s="83">
        <f t="shared" si="653"/>
        <v>0</v>
      </c>
      <c r="M4162" s="110" t="str">
        <f t="shared" si="654"/>
        <v/>
      </c>
      <c r="N4162" s="51" t="str">
        <f t="shared" si="655"/>
        <v/>
      </c>
      <c r="O4162" s="52" t="str">
        <f t="shared" si="656"/>
        <v/>
      </c>
      <c r="P4162" s="88">
        <f t="shared" si="657"/>
        <v>0</v>
      </c>
      <c r="Q4162" s="88">
        <f t="shared" si="658"/>
        <v>0</v>
      </c>
      <c r="R4162" s="88" t="e">
        <f>-IF(Tabla14[[#This Row],[DIAS HABILES O MORA]]&lt;0,(Tabla14[[#This Row],[VALOR PRESTAMO]]*Tabla14[[#This Row],[% INTERES ]]/30*U4162))+Tabla14[[#This Row],[VALOR CUOTAS]]</f>
        <v>#VALUE!</v>
      </c>
      <c r="S4162" s="88">
        <f>-IF(Tabla14[[#This Row],[DIAS HABILES O MORA]]&lt;0,(Tabla14[[#This Row],[VALOR PRESTAMO]]*Tabla14[[#This Row],[% INTERES ]]/30*U4162))</f>
        <v>0</v>
      </c>
      <c r="T4162" s="53" t="e">
        <f>Tabla14[[#This Row],[DEUDA CAPITAL]]+Tabla14[[#This Row],[INTERES  CUOTA]]</f>
        <v>#NUM!</v>
      </c>
      <c r="U4162" s="61" t="str">
        <f t="shared" si="659"/>
        <v/>
      </c>
    </row>
    <row r="4163" spans="9:21" ht="24.75" customHeight="1" x14ac:dyDescent="0.35">
      <c r="I4163" s="42">
        <f t="shared" si="650"/>
        <v>0</v>
      </c>
      <c r="J4163" s="65" t="e">
        <f t="shared" si="651"/>
        <v>#NUM!</v>
      </c>
      <c r="K4163" s="83" t="e">
        <f t="shared" si="652"/>
        <v>#NUM!</v>
      </c>
      <c r="L4163" s="83">
        <f t="shared" si="653"/>
        <v>0</v>
      </c>
      <c r="M4163" s="110" t="str">
        <f t="shared" si="654"/>
        <v/>
      </c>
      <c r="N4163" s="51" t="str">
        <f t="shared" si="655"/>
        <v/>
      </c>
      <c r="O4163" s="52" t="str">
        <f t="shared" si="656"/>
        <v/>
      </c>
      <c r="P4163" s="88">
        <f t="shared" si="657"/>
        <v>0</v>
      </c>
      <c r="Q4163" s="88">
        <f t="shared" si="658"/>
        <v>0</v>
      </c>
      <c r="R4163" s="88" t="e">
        <f>-IF(Tabla14[[#This Row],[DIAS HABILES O MORA]]&lt;0,(Tabla14[[#This Row],[VALOR PRESTAMO]]*Tabla14[[#This Row],[% INTERES ]]/30*U4163))+Tabla14[[#This Row],[VALOR CUOTAS]]</f>
        <v>#VALUE!</v>
      </c>
      <c r="S4163" s="88">
        <f>-IF(Tabla14[[#This Row],[DIAS HABILES O MORA]]&lt;0,(Tabla14[[#This Row],[VALOR PRESTAMO]]*Tabla14[[#This Row],[% INTERES ]]/30*U4163))</f>
        <v>0</v>
      </c>
      <c r="T4163" s="53" t="e">
        <f>Tabla14[[#This Row],[DEUDA CAPITAL]]+Tabla14[[#This Row],[INTERES  CUOTA]]</f>
        <v>#NUM!</v>
      </c>
      <c r="U4163" s="61" t="str">
        <f t="shared" si="659"/>
        <v/>
      </c>
    </row>
    <row r="4164" spans="9:21" ht="24.75" customHeight="1" x14ac:dyDescent="0.35">
      <c r="I4164" s="42">
        <f t="shared" si="650"/>
        <v>0</v>
      </c>
      <c r="J4164" s="65" t="e">
        <f t="shared" si="651"/>
        <v>#NUM!</v>
      </c>
      <c r="K4164" s="83" t="e">
        <f t="shared" si="652"/>
        <v>#NUM!</v>
      </c>
      <c r="L4164" s="83">
        <f t="shared" si="653"/>
        <v>0</v>
      </c>
      <c r="M4164" s="110" t="str">
        <f t="shared" si="654"/>
        <v/>
      </c>
      <c r="N4164" s="51" t="str">
        <f t="shared" si="655"/>
        <v/>
      </c>
      <c r="O4164" s="52" t="str">
        <f t="shared" si="656"/>
        <v/>
      </c>
      <c r="P4164" s="88">
        <f t="shared" si="657"/>
        <v>0</v>
      </c>
      <c r="Q4164" s="88">
        <f t="shared" si="658"/>
        <v>0</v>
      </c>
      <c r="R4164" s="88" t="e">
        <f>-IF(Tabla14[[#This Row],[DIAS HABILES O MORA]]&lt;0,(Tabla14[[#This Row],[VALOR PRESTAMO]]*Tabla14[[#This Row],[% INTERES ]]/30*U4164))+Tabla14[[#This Row],[VALOR CUOTAS]]</f>
        <v>#VALUE!</v>
      </c>
      <c r="S4164" s="88">
        <f>-IF(Tabla14[[#This Row],[DIAS HABILES O MORA]]&lt;0,(Tabla14[[#This Row],[VALOR PRESTAMO]]*Tabla14[[#This Row],[% INTERES ]]/30*U4164))</f>
        <v>0</v>
      </c>
      <c r="T4164" s="53" t="e">
        <f>Tabla14[[#This Row],[DEUDA CAPITAL]]+Tabla14[[#This Row],[INTERES  CUOTA]]</f>
        <v>#NUM!</v>
      </c>
      <c r="U4164" s="61" t="str">
        <f t="shared" si="659"/>
        <v/>
      </c>
    </row>
    <row r="4165" spans="9:21" ht="24.75" customHeight="1" x14ac:dyDescent="0.35">
      <c r="I4165" s="42">
        <f t="shared" si="650"/>
        <v>0</v>
      </c>
      <c r="J4165" s="65" t="e">
        <f t="shared" si="651"/>
        <v>#NUM!</v>
      </c>
      <c r="K4165" s="83" t="e">
        <f t="shared" si="652"/>
        <v>#NUM!</v>
      </c>
      <c r="L4165" s="83">
        <f t="shared" si="653"/>
        <v>0</v>
      </c>
      <c r="M4165" s="110" t="str">
        <f t="shared" si="654"/>
        <v/>
      </c>
      <c r="N4165" s="51" t="str">
        <f t="shared" si="655"/>
        <v/>
      </c>
      <c r="O4165" s="52" t="str">
        <f t="shared" si="656"/>
        <v/>
      </c>
      <c r="P4165" s="88">
        <f t="shared" si="657"/>
        <v>0</v>
      </c>
      <c r="Q4165" s="88">
        <f t="shared" si="658"/>
        <v>0</v>
      </c>
      <c r="R4165" s="88" t="e">
        <f>-IF(Tabla14[[#This Row],[DIAS HABILES O MORA]]&lt;0,(Tabla14[[#This Row],[VALOR PRESTAMO]]*Tabla14[[#This Row],[% INTERES ]]/30*U4165))+Tabla14[[#This Row],[VALOR CUOTAS]]</f>
        <v>#VALUE!</v>
      </c>
      <c r="S4165" s="88">
        <f>-IF(Tabla14[[#This Row],[DIAS HABILES O MORA]]&lt;0,(Tabla14[[#This Row],[VALOR PRESTAMO]]*Tabla14[[#This Row],[% INTERES ]]/30*U4165))</f>
        <v>0</v>
      </c>
      <c r="T4165" s="53" t="e">
        <f>Tabla14[[#This Row],[DEUDA CAPITAL]]+Tabla14[[#This Row],[INTERES  CUOTA]]</f>
        <v>#NUM!</v>
      </c>
      <c r="U4165" s="61" t="str">
        <f t="shared" si="659"/>
        <v/>
      </c>
    </row>
    <row r="4166" spans="9:21" ht="24.75" customHeight="1" x14ac:dyDescent="0.35">
      <c r="I4166" s="42">
        <f t="shared" si="650"/>
        <v>0</v>
      </c>
      <c r="J4166" s="65" t="e">
        <f t="shared" si="651"/>
        <v>#NUM!</v>
      </c>
      <c r="K4166" s="83" t="e">
        <f t="shared" si="652"/>
        <v>#NUM!</v>
      </c>
      <c r="L4166" s="83">
        <f t="shared" si="653"/>
        <v>0</v>
      </c>
      <c r="M4166" s="110" t="str">
        <f t="shared" si="654"/>
        <v/>
      </c>
      <c r="N4166" s="51" t="str">
        <f t="shared" si="655"/>
        <v/>
      </c>
      <c r="O4166" s="52" t="str">
        <f t="shared" si="656"/>
        <v/>
      </c>
      <c r="P4166" s="88">
        <f t="shared" si="657"/>
        <v>0</v>
      </c>
      <c r="Q4166" s="88">
        <f t="shared" si="658"/>
        <v>0</v>
      </c>
      <c r="R4166" s="88" t="e">
        <f>-IF(Tabla14[[#This Row],[DIAS HABILES O MORA]]&lt;0,(Tabla14[[#This Row],[VALOR PRESTAMO]]*Tabla14[[#This Row],[% INTERES ]]/30*U4166))+Tabla14[[#This Row],[VALOR CUOTAS]]</f>
        <v>#VALUE!</v>
      </c>
      <c r="S4166" s="88">
        <f>-IF(Tabla14[[#This Row],[DIAS HABILES O MORA]]&lt;0,(Tabla14[[#This Row],[VALOR PRESTAMO]]*Tabla14[[#This Row],[% INTERES ]]/30*U4166))</f>
        <v>0</v>
      </c>
      <c r="T4166" s="53" t="e">
        <f>Tabla14[[#This Row],[DEUDA CAPITAL]]+Tabla14[[#This Row],[INTERES  CUOTA]]</f>
        <v>#NUM!</v>
      </c>
      <c r="U4166" s="61" t="str">
        <f t="shared" si="659"/>
        <v/>
      </c>
    </row>
    <row r="4167" spans="9:21" ht="24.75" customHeight="1" x14ac:dyDescent="0.35">
      <c r="I4167" s="42">
        <f t="shared" si="650"/>
        <v>0</v>
      </c>
      <c r="J4167" s="65" t="e">
        <f t="shared" si="651"/>
        <v>#NUM!</v>
      </c>
      <c r="K4167" s="83" t="e">
        <f t="shared" si="652"/>
        <v>#NUM!</v>
      </c>
      <c r="L4167" s="83">
        <f t="shared" si="653"/>
        <v>0</v>
      </c>
      <c r="M4167" s="110" t="str">
        <f t="shared" si="654"/>
        <v/>
      </c>
      <c r="N4167" s="51" t="str">
        <f t="shared" si="655"/>
        <v/>
      </c>
      <c r="O4167" s="52" t="str">
        <f t="shared" si="656"/>
        <v/>
      </c>
      <c r="P4167" s="88">
        <f t="shared" si="657"/>
        <v>0</v>
      </c>
      <c r="Q4167" s="88">
        <f t="shared" si="658"/>
        <v>0</v>
      </c>
      <c r="R4167" s="88" t="e">
        <f>-IF(Tabla14[[#This Row],[DIAS HABILES O MORA]]&lt;0,(Tabla14[[#This Row],[VALOR PRESTAMO]]*Tabla14[[#This Row],[% INTERES ]]/30*U4167))+Tabla14[[#This Row],[VALOR CUOTAS]]</f>
        <v>#VALUE!</v>
      </c>
      <c r="S4167" s="88">
        <f>-IF(Tabla14[[#This Row],[DIAS HABILES O MORA]]&lt;0,(Tabla14[[#This Row],[VALOR PRESTAMO]]*Tabla14[[#This Row],[% INTERES ]]/30*U4167))</f>
        <v>0</v>
      </c>
      <c r="T4167" s="53" t="e">
        <f>Tabla14[[#This Row],[DEUDA CAPITAL]]+Tabla14[[#This Row],[INTERES  CUOTA]]</f>
        <v>#NUM!</v>
      </c>
      <c r="U4167" s="61" t="str">
        <f t="shared" si="659"/>
        <v/>
      </c>
    </row>
    <row r="4168" spans="9:21" ht="24.75" customHeight="1" x14ac:dyDescent="0.35">
      <c r="I4168" s="42">
        <f t="shared" si="650"/>
        <v>0</v>
      </c>
      <c r="J4168" s="65" t="e">
        <f t="shared" si="651"/>
        <v>#NUM!</v>
      </c>
      <c r="K4168" s="83" t="e">
        <f t="shared" si="652"/>
        <v>#NUM!</v>
      </c>
      <c r="L4168" s="83">
        <f t="shared" si="653"/>
        <v>0</v>
      </c>
      <c r="M4168" s="110" t="str">
        <f t="shared" si="654"/>
        <v/>
      </c>
      <c r="N4168" s="51" t="str">
        <f t="shared" si="655"/>
        <v/>
      </c>
      <c r="O4168" s="52" t="str">
        <f t="shared" si="656"/>
        <v/>
      </c>
      <c r="P4168" s="88">
        <f t="shared" si="657"/>
        <v>0</v>
      </c>
      <c r="Q4168" s="88">
        <f t="shared" si="658"/>
        <v>0</v>
      </c>
      <c r="R4168" s="88" t="e">
        <f>-IF(Tabla14[[#This Row],[DIAS HABILES O MORA]]&lt;0,(Tabla14[[#This Row],[VALOR PRESTAMO]]*Tabla14[[#This Row],[% INTERES ]]/30*U4168))+Tabla14[[#This Row],[VALOR CUOTAS]]</f>
        <v>#VALUE!</v>
      </c>
      <c r="S4168" s="88">
        <f>-IF(Tabla14[[#This Row],[DIAS HABILES O MORA]]&lt;0,(Tabla14[[#This Row],[VALOR PRESTAMO]]*Tabla14[[#This Row],[% INTERES ]]/30*U4168))</f>
        <v>0</v>
      </c>
      <c r="T4168" s="53" t="e">
        <f>Tabla14[[#This Row],[DEUDA CAPITAL]]+Tabla14[[#This Row],[INTERES  CUOTA]]</f>
        <v>#NUM!</v>
      </c>
      <c r="U4168" s="61" t="str">
        <f t="shared" si="659"/>
        <v/>
      </c>
    </row>
    <row r="4169" spans="9:21" ht="24.75" customHeight="1" x14ac:dyDescent="0.35">
      <c r="I4169" s="42">
        <f t="shared" si="650"/>
        <v>0</v>
      </c>
      <c r="J4169" s="65" t="e">
        <f t="shared" si="651"/>
        <v>#NUM!</v>
      </c>
      <c r="K4169" s="83" t="e">
        <f t="shared" si="652"/>
        <v>#NUM!</v>
      </c>
      <c r="L4169" s="83">
        <f t="shared" si="653"/>
        <v>0</v>
      </c>
      <c r="M4169" s="110" t="str">
        <f t="shared" si="654"/>
        <v/>
      </c>
      <c r="N4169" s="51" t="str">
        <f t="shared" si="655"/>
        <v/>
      </c>
      <c r="O4169" s="52" t="str">
        <f t="shared" si="656"/>
        <v/>
      </c>
      <c r="P4169" s="88">
        <f t="shared" si="657"/>
        <v>0</v>
      </c>
      <c r="Q4169" s="88">
        <f t="shared" si="658"/>
        <v>0</v>
      </c>
      <c r="R4169" s="88" t="e">
        <f>-IF(Tabla14[[#This Row],[DIAS HABILES O MORA]]&lt;0,(Tabla14[[#This Row],[VALOR PRESTAMO]]*Tabla14[[#This Row],[% INTERES ]]/30*U4169))+Tabla14[[#This Row],[VALOR CUOTAS]]</f>
        <v>#VALUE!</v>
      </c>
      <c r="S4169" s="88">
        <f>-IF(Tabla14[[#This Row],[DIAS HABILES O MORA]]&lt;0,(Tabla14[[#This Row],[VALOR PRESTAMO]]*Tabla14[[#This Row],[% INTERES ]]/30*U4169))</f>
        <v>0</v>
      </c>
      <c r="T4169" s="53" t="e">
        <f>Tabla14[[#This Row],[DEUDA CAPITAL]]+Tabla14[[#This Row],[INTERES  CUOTA]]</f>
        <v>#NUM!</v>
      </c>
      <c r="U4169" s="61" t="str">
        <f t="shared" si="659"/>
        <v/>
      </c>
    </row>
    <row r="4170" spans="9:21" ht="24.75" customHeight="1" x14ac:dyDescent="0.35">
      <c r="I4170" s="42">
        <f t="shared" si="650"/>
        <v>0</v>
      </c>
      <c r="J4170" s="65" t="e">
        <f t="shared" si="651"/>
        <v>#NUM!</v>
      </c>
      <c r="K4170" s="83" t="e">
        <f t="shared" si="652"/>
        <v>#NUM!</v>
      </c>
      <c r="L4170" s="83">
        <f t="shared" si="653"/>
        <v>0</v>
      </c>
      <c r="M4170" s="110" t="str">
        <f t="shared" si="654"/>
        <v/>
      </c>
      <c r="N4170" s="51" t="str">
        <f t="shared" si="655"/>
        <v/>
      </c>
      <c r="O4170" s="52" t="str">
        <f t="shared" si="656"/>
        <v/>
      </c>
      <c r="P4170" s="88">
        <f t="shared" si="657"/>
        <v>0</v>
      </c>
      <c r="Q4170" s="88">
        <f t="shared" si="658"/>
        <v>0</v>
      </c>
      <c r="R4170" s="88" t="e">
        <f>-IF(Tabla14[[#This Row],[DIAS HABILES O MORA]]&lt;0,(Tabla14[[#This Row],[VALOR PRESTAMO]]*Tabla14[[#This Row],[% INTERES ]]/30*U4170))+Tabla14[[#This Row],[VALOR CUOTAS]]</f>
        <v>#VALUE!</v>
      </c>
      <c r="S4170" s="88">
        <f>-IF(Tabla14[[#This Row],[DIAS HABILES O MORA]]&lt;0,(Tabla14[[#This Row],[VALOR PRESTAMO]]*Tabla14[[#This Row],[% INTERES ]]/30*U4170))</f>
        <v>0</v>
      </c>
      <c r="T4170" s="53" t="e">
        <f>Tabla14[[#This Row],[DEUDA CAPITAL]]+Tabla14[[#This Row],[INTERES  CUOTA]]</f>
        <v>#NUM!</v>
      </c>
      <c r="U4170" s="61" t="str">
        <f t="shared" si="659"/>
        <v/>
      </c>
    </row>
    <row r="4171" spans="9:21" ht="24.75" customHeight="1" x14ac:dyDescent="0.35">
      <c r="I4171" s="42">
        <f t="shared" si="650"/>
        <v>0</v>
      </c>
      <c r="J4171" s="65" t="e">
        <f t="shared" si="651"/>
        <v>#NUM!</v>
      </c>
      <c r="K4171" s="83" t="e">
        <f t="shared" si="652"/>
        <v>#NUM!</v>
      </c>
      <c r="L4171" s="83">
        <f t="shared" si="653"/>
        <v>0</v>
      </c>
      <c r="M4171" s="110" t="str">
        <f t="shared" si="654"/>
        <v/>
      </c>
      <c r="N4171" s="51" t="str">
        <f t="shared" si="655"/>
        <v/>
      </c>
      <c r="O4171" s="52" t="str">
        <f t="shared" si="656"/>
        <v/>
      </c>
      <c r="P4171" s="88">
        <f t="shared" si="657"/>
        <v>0</v>
      </c>
      <c r="Q4171" s="88">
        <f t="shared" si="658"/>
        <v>0</v>
      </c>
      <c r="R4171" s="88" t="e">
        <f>-IF(Tabla14[[#This Row],[DIAS HABILES O MORA]]&lt;0,(Tabla14[[#This Row],[VALOR PRESTAMO]]*Tabla14[[#This Row],[% INTERES ]]/30*U4171))+Tabla14[[#This Row],[VALOR CUOTAS]]</f>
        <v>#VALUE!</v>
      </c>
      <c r="S4171" s="88">
        <f>-IF(Tabla14[[#This Row],[DIAS HABILES O MORA]]&lt;0,(Tabla14[[#This Row],[VALOR PRESTAMO]]*Tabla14[[#This Row],[% INTERES ]]/30*U4171))</f>
        <v>0</v>
      </c>
      <c r="T4171" s="53" t="e">
        <f>Tabla14[[#This Row],[DEUDA CAPITAL]]+Tabla14[[#This Row],[INTERES  CUOTA]]</f>
        <v>#NUM!</v>
      </c>
      <c r="U4171" s="61" t="str">
        <f t="shared" si="659"/>
        <v/>
      </c>
    </row>
    <row r="4172" spans="9:21" ht="24.75" customHeight="1" x14ac:dyDescent="0.35">
      <c r="I4172" s="42">
        <f t="shared" si="650"/>
        <v>0</v>
      </c>
      <c r="J4172" s="65" t="e">
        <f t="shared" si="651"/>
        <v>#NUM!</v>
      </c>
      <c r="K4172" s="83" t="e">
        <f t="shared" si="652"/>
        <v>#NUM!</v>
      </c>
      <c r="L4172" s="83">
        <f t="shared" si="653"/>
        <v>0</v>
      </c>
      <c r="M4172" s="110" t="str">
        <f t="shared" si="654"/>
        <v/>
      </c>
      <c r="N4172" s="51" t="str">
        <f t="shared" si="655"/>
        <v/>
      </c>
      <c r="O4172" s="52" t="str">
        <f t="shared" si="656"/>
        <v/>
      </c>
      <c r="P4172" s="88">
        <f t="shared" si="657"/>
        <v>0</v>
      </c>
      <c r="Q4172" s="88">
        <f t="shared" si="658"/>
        <v>0</v>
      </c>
      <c r="R4172" s="88" t="e">
        <f>-IF(Tabla14[[#This Row],[DIAS HABILES O MORA]]&lt;0,(Tabla14[[#This Row],[VALOR PRESTAMO]]*Tabla14[[#This Row],[% INTERES ]]/30*U4172))+Tabla14[[#This Row],[VALOR CUOTAS]]</f>
        <v>#VALUE!</v>
      </c>
      <c r="S4172" s="88">
        <f>-IF(Tabla14[[#This Row],[DIAS HABILES O MORA]]&lt;0,(Tabla14[[#This Row],[VALOR PRESTAMO]]*Tabla14[[#This Row],[% INTERES ]]/30*U4172))</f>
        <v>0</v>
      </c>
      <c r="T4172" s="53" t="e">
        <f>Tabla14[[#This Row],[DEUDA CAPITAL]]+Tabla14[[#This Row],[INTERES  CUOTA]]</f>
        <v>#NUM!</v>
      </c>
      <c r="U4172" s="61" t="str">
        <f t="shared" si="659"/>
        <v/>
      </c>
    </row>
    <row r="4173" spans="9:21" ht="24.75" customHeight="1" x14ac:dyDescent="0.35">
      <c r="I4173" s="42">
        <f t="shared" si="650"/>
        <v>0</v>
      </c>
      <c r="J4173" s="65" t="e">
        <f t="shared" si="651"/>
        <v>#NUM!</v>
      </c>
      <c r="K4173" s="83" t="e">
        <f t="shared" si="652"/>
        <v>#NUM!</v>
      </c>
      <c r="L4173" s="83">
        <f t="shared" si="653"/>
        <v>0</v>
      </c>
      <c r="M4173" s="110" t="str">
        <f t="shared" si="654"/>
        <v/>
      </c>
      <c r="N4173" s="51" t="str">
        <f t="shared" si="655"/>
        <v/>
      </c>
      <c r="O4173" s="52" t="str">
        <f t="shared" si="656"/>
        <v/>
      </c>
      <c r="P4173" s="88">
        <f t="shared" si="657"/>
        <v>0</v>
      </c>
      <c r="Q4173" s="88">
        <f t="shared" si="658"/>
        <v>0</v>
      </c>
      <c r="R4173" s="88" t="e">
        <f>-IF(Tabla14[[#This Row],[DIAS HABILES O MORA]]&lt;0,(Tabla14[[#This Row],[VALOR PRESTAMO]]*Tabla14[[#This Row],[% INTERES ]]/30*U4173))+Tabla14[[#This Row],[VALOR CUOTAS]]</f>
        <v>#VALUE!</v>
      </c>
      <c r="S4173" s="88">
        <f>-IF(Tabla14[[#This Row],[DIAS HABILES O MORA]]&lt;0,(Tabla14[[#This Row],[VALOR PRESTAMO]]*Tabla14[[#This Row],[% INTERES ]]/30*U4173))</f>
        <v>0</v>
      </c>
      <c r="T4173" s="53" t="e">
        <f>Tabla14[[#This Row],[DEUDA CAPITAL]]+Tabla14[[#This Row],[INTERES  CUOTA]]</f>
        <v>#NUM!</v>
      </c>
      <c r="U4173" s="61" t="str">
        <f t="shared" si="659"/>
        <v/>
      </c>
    </row>
    <row r="4174" spans="9:21" ht="24.75" customHeight="1" x14ac:dyDescent="0.35">
      <c r="I4174" s="42">
        <f t="shared" si="650"/>
        <v>0</v>
      </c>
      <c r="J4174" s="65" t="e">
        <f t="shared" si="651"/>
        <v>#NUM!</v>
      </c>
      <c r="K4174" s="83" t="e">
        <f t="shared" si="652"/>
        <v>#NUM!</v>
      </c>
      <c r="L4174" s="83">
        <f t="shared" si="653"/>
        <v>0</v>
      </c>
      <c r="M4174" s="110" t="str">
        <f t="shared" si="654"/>
        <v/>
      </c>
      <c r="N4174" s="51" t="str">
        <f t="shared" si="655"/>
        <v/>
      </c>
      <c r="O4174" s="52" t="str">
        <f t="shared" si="656"/>
        <v/>
      </c>
      <c r="P4174" s="88">
        <f t="shared" si="657"/>
        <v>0</v>
      </c>
      <c r="Q4174" s="88">
        <f t="shared" si="658"/>
        <v>0</v>
      </c>
      <c r="R4174" s="88" t="e">
        <f>-IF(Tabla14[[#This Row],[DIAS HABILES O MORA]]&lt;0,(Tabla14[[#This Row],[VALOR PRESTAMO]]*Tabla14[[#This Row],[% INTERES ]]/30*U4174))+Tabla14[[#This Row],[VALOR CUOTAS]]</f>
        <v>#VALUE!</v>
      </c>
      <c r="S4174" s="88">
        <f>-IF(Tabla14[[#This Row],[DIAS HABILES O MORA]]&lt;0,(Tabla14[[#This Row],[VALOR PRESTAMO]]*Tabla14[[#This Row],[% INTERES ]]/30*U4174))</f>
        <v>0</v>
      </c>
      <c r="T4174" s="53" t="e">
        <f>Tabla14[[#This Row],[DEUDA CAPITAL]]+Tabla14[[#This Row],[INTERES  CUOTA]]</f>
        <v>#NUM!</v>
      </c>
      <c r="U4174" s="61" t="str">
        <f t="shared" si="659"/>
        <v/>
      </c>
    </row>
    <row r="4175" spans="9:21" ht="24.75" customHeight="1" x14ac:dyDescent="0.35">
      <c r="I4175" s="42">
        <f t="shared" si="650"/>
        <v>0</v>
      </c>
      <c r="J4175" s="65" t="e">
        <f t="shared" si="651"/>
        <v>#NUM!</v>
      </c>
      <c r="K4175" s="83" t="e">
        <f t="shared" si="652"/>
        <v>#NUM!</v>
      </c>
      <c r="L4175" s="83">
        <f t="shared" si="653"/>
        <v>0</v>
      </c>
      <c r="M4175" s="110" t="str">
        <f t="shared" si="654"/>
        <v/>
      </c>
      <c r="N4175" s="51" t="str">
        <f t="shared" si="655"/>
        <v/>
      </c>
      <c r="O4175" s="52" t="str">
        <f t="shared" si="656"/>
        <v/>
      </c>
      <c r="P4175" s="88">
        <f t="shared" si="657"/>
        <v>0</v>
      </c>
      <c r="Q4175" s="88">
        <f t="shared" si="658"/>
        <v>0</v>
      </c>
      <c r="R4175" s="88" t="e">
        <f>-IF(Tabla14[[#This Row],[DIAS HABILES O MORA]]&lt;0,(Tabla14[[#This Row],[VALOR PRESTAMO]]*Tabla14[[#This Row],[% INTERES ]]/30*U4175))+Tabla14[[#This Row],[VALOR CUOTAS]]</f>
        <v>#VALUE!</v>
      </c>
      <c r="S4175" s="88">
        <f>-IF(Tabla14[[#This Row],[DIAS HABILES O MORA]]&lt;0,(Tabla14[[#This Row],[VALOR PRESTAMO]]*Tabla14[[#This Row],[% INTERES ]]/30*U4175))</f>
        <v>0</v>
      </c>
      <c r="T4175" s="53" t="e">
        <f>Tabla14[[#This Row],[DEUDA CAPITAL]]+Tabla14[[#This Row],[INTERES  CUOTA]]</f>
        <v>#NUM!</v>
      </c>
      <c r="U4175" s="61" t="str">
        <f t="shared" si="659"/>
        <v/>
      </c>
    </row>
    <row r="4176" spans="9:21" ht="24.75" customHeight="1" x14ac:dyDescent="0.35">
      <c r="I4176" s="42">
        <f t="shared" ref="I4176:I4239" si="660">IF(C4176&lt;0,"",IF(Q4176=0,0,IF(G4176=0,H4176+1,IF(H4176&lt;G4176,H4176+1,IF(G4176=H4176,0)))))</f>
        <v>0</v>
      </c>
      <c r="J4176" s="65" t="e">
        <f t="shared" ref="J4176:J4239" si="661">IF(F4176="SOLO INTERES",Q4176*D4176,-IPMT(D4176,I4176,G4176,C4176))</f>
        <v>#NUM!</v>
      </c>
      <c r="K4176" s="83" t="e">
        <f t="shared" ref="K4176:K4239" si="662">IF(F4176="SOLO INTERES",0,-PPMT(D4176,I4176,G4176,C4176))</f>
        <v>#NUM!</v>
      </c>
      <c r="L4176" s="83">
        <f t="shared" ref="L4176:L4239" si="663">IF(F4176="SOLO INTERES",SUM(Y4176:AAE4176),IFERROR(-CUMIPMT(D4176,G4176,C4176,1,H4176,0),0)+SUM(Y4176:WY4176))</f>
        <v>0</v>
      </c>
      <c r="M4176" s="110" t="str">
        <f t="shared" ref="M4176:M4239" si="664">IFERROR(IF(F4176="SOLO INTERES",Q4176*D4176,-PMT(D4176,G4176,C4176,0)),"")</f>
        <v/>
      </c>
      <c r="N4176" s="51" t="str">
        <f t="shared" ref="N4176:N4239" si="665">IF(Q4176=0,"",IF(E4176="MENSUAL",EDATE(B4176,I4176),IF(E4176="QUINCENAL",B4176+(I4176*15),IF(E4176="SEMANAL",B4176+(I4176*7)))))</f>
        <v/>
      </c>
      <c r="O4176" s="52" t="str">
        <f t="shared" ref="O4176:O4239" si="666">IF(C4176=0,"",IF(Q4176&lt;1,"PAGADO",IF(N4176=$A$3,"COBRAR HOY",IF(N4176&lt;$A$3,"EN MORA",IF(N4176&gt;$A$3,"AL DIA")))))</f>
        <v/>
      </c>
      <c r="P4176" s="88">
        <f t="shared" ref="P4176:P4239" si="667">IFERROR(-CUMPRINC(D4176,G4176,C4176,1,H4176,0),0)+W4176</f>
        <v>0</v>
      </c>
      <c r="Q4176" s="88">
        <f t="shared" ref="Q4176:Q4239" si="668">IFERROR(C4176-P4176,"")</f>
        <v>0</v>
      </c>
      <c r="R4176" s="88" t="e">
        <f>-IF(Tabla14[[#This Row],[DIAS HABILES O MORA]]&lt;0,(Tabla14[[#This Row],[VALOR PRESTAMO]]*Tabla14[[#This Row],[% INTERES ]]/30*U4176))+Tabla14[[#This Row],[VALOR CUOTAS]]</f>
        <v>#VALUE!</v>
      </c>
      <c r="S4176" s="88">
        <f>-IF(Tabla14[[#This Row],[DIAS HABILES O MORA]]&lt;0,(Tabla14[[#This Row],[VALOR PRESTAMO]]*Tabla14[[#This Row],[% INTERES ]]/30*U4176))</f>
        <v>0</v>
      </c>
      <c r="T4176" s="53" t="e">
        <f>Tabla14[[#This Row],[DEUDA CAPITAL]]+Tabla14[[#This Row],[INTERES  CUOTA]]</f>
        <v>#NUM!</v>
      </c>
      <c r="U4176" s="61" t="str">
        <f t="shared" ref="U4176:U4239" si="669">IF(O4176="PAGADO","",IFERROR(-IF(C4176=0,"",$A$3-N4176),""))</f>
        <v/>
      </c>
    </row>
    <row r="4177" spans="9:21" ht="24.75" customHeight="1" x14ac:dyDescent="0.35">
      <c r="I4177" s="42">
        <f t="shared" si="660"/>
        <v>0</v>
      </c>
      <c r="J4177" s="65" t="e">
        <f t="shared" si="661"/>
        <v>#NUM!</v>
      </c>
      <c r="K4177" s="83" t="e">
        <f t="shared" si="662"/>
        <v>#NUM!</v>
      </c>
      <c r="L4177" s="83">
        <f t="shared" si="663"/>
        <v>0</v>
      </c>
      <c r="M4177" s="110" t="str">
        <f t="shared" si="664"/>
        <v/>
      </c>
      <c r="N4177" s="51" t="str">
        <f t="shared" si="665"/>
        <v/>
      </c>
      <c r="O4177" s="52" t="str">
        <f t="shared" si="666"/>
        <v/>
      </c>
      <c r="P4177" s="88">
        <f t="shared" si="667"/>
        <v>0</v>
      </c>
      <c r="Q4177" s="88">
        <f t="shared" si="668"/>
        <v>0</v>
      </c>
      <c r="R4177" s="88" t="e">
        <f>-IF(Tabla14[[#This Row],[DIAS HABILES O MORA]]&lt;0,(Tabla14[[#This Row],[VALOR PRESTAMO]]*Tabla14[[#This Row],[% INTERES ]]/30*U4177))+Tabla14[[#This Row],[VALOR CUOTAS]]</f>
        <v>#VALUE!</v>
      </c>
      <c r="S4177" s="88">
        <f>-IF(Tabla14[[#This Row],[DIAS HABILES O MORA]]&lt;0,(Tabla14[[#This Row],[VALOR PRESTAMO]]*Tabla14[[#This Row],[% INTERES ]]/30*U4177))</f>
        <v>0</v>
      </c>
      <c r="T4177" s="53" t="e">
        <f>Tabla14[[#This Row],[DEUDA CAPITAL]]+Tabla14[[#This Row],[INTERES  CUOTA]]</f>
        <v>#NUM!</v>
      </c>
      <c r="U4177" s="61" t="str">
        <f t="shared" si="669"/>
        <v/>
      </c>
    </row>
    <row r="4178" spans="9:21" ht="24.75" customHeight="1" x14ac:dyDescent="0.35">
      <c r="I4178" s="42">
        <f t="shared" si="660"/>
        <v>0</v>
      </c>
      <c r="J4178" s="65" t="e">
        <f t="shared" si="661"/>
        <v>#NUM!</v>
      </c>
      <c r="K4178" s="83" t="e">
        <f t="shared" si="662"/>
        <v>#NUM!</v>
      </c>
      <c r="L4178" s="83">
        <f t="shared" si="663"/>
        <v>0</v>
      </c>
      <c r="M4178" s="110" t="str">
        <f t="shared" si="664"/>
        <v/>
      </c>
      <c r="N4178" s="51" t="str">
        <f t="shared" si="665"/>
        <v/>
      </c>
      <c r="O4178" s="52" t="str">
        <f t="shared" si="666"/>
        <v/>
      </c>
      <c r="P4178" s="88">
        <f t="shared" si="667"/>
        <v>0</v>
      </c>
      <c r="Q4178" s="88">
        <f t="shared" si="668"/>
        <v>0</v>
      </c>
      <c r="R4178" s="88" t="e">
        <f>-IF(Tabla14[[#This Row],[DIAS HABILES O MORA]]&lt;0,(Tabla14[[#This Row],[VALOR PRESTAMO]]*Tabla14[[#This Row],[% INTERES ]]/30*U4178))+Tabla14[[#This Row],[VALOR CUOTAS]]</f>
        <v>#VALUE!</v>
      </c>
      <c r="S4178" s="88">
        <f>-IF(Tabla14[[#This Row],[DIAS HABILES O MORA]]&lt;0,(Tabla14[[#This Row],[VALOR PRESTAMO]]*Tabla14[[#This Row],[% INTERES ]]/30*U4178))</f>
        <v>0</v>
      </c>
      <c r="T4178" s="53" t="e">
        <f>Tabla14[[#This Row],[DEUDA CAPITAL]]+Tabla14[[#This Row],[INTERES  CUOTA]]</f>
        <v>#NUM!</v>
      </c>
      <c r="U4178" s="61" t="str">
        <f t="shared" si="669"/>
        <v/>
      </c>
    </row>
    <row r="4179" spans="9:21" ht="24.75" customHeight="1" x14ac:dyDescent="0.35">
      <c r="I4179" s="42">
        <f t="shared" si="660"/>
        <v>0</v>
      </c>
      <c r="J4179" s="65" t="e">
        <f t="shared" si="661"/>
        <v>#NUM!</v>
      </c>
      <c r="K4179" s="83" t="e">
        <f t="shared" si="662"/>
        <v>#NUM!</v>
      </c>
      <c r="L4179" s="83">
        <f t="shared" si="663"/>
        <v>0</v>
      </c>
      <c r="M4179" s="110" t="str">
        <f t="shared" si="664"/>
        <v/>
      </c>
      <c r="N4179" s="51" t="str">
        <f t="shared" si="665"/>
        <v/>
      </c>
      <c r="O4179" s="52" t="str">
        <f t="shared" si="666"/>
        <v/>
      </c>
      <c r="P4179" s="88">
        <f t="shared" si="667"/>
        <v>0</v>
      </c>
      <c r="Q4179" s="88">
        <f t="shared" si="668"/>
        <v>0</v>
      </c>
      <c r="R4179" s="88" t="e">
        <f>-IF(Tabla14[[#This Row],[DIAS HABILES O MORA]]&lt;0,(Tabla14[[#This Row],[VALOR PRESTAMO]]*Tabla14[[#This Row],[% INTERES ]]/30*U4179))+Tabla14[[#This Row],[VALOR CUOTAS]]</f>
        <v>#VALUE!</v>
      </c>
      <c r="S4179" s="88">
        <f>-IF(Tabla14[[#This Row],[DIAS HABILES O MORA]]&lt;0,(Tabla14[[#This Row],[VALOR PRESTAMO]]*Tabla14[[#This Row],[% INTERES ]]/30*U4179))</f>
        <v>0</v>
      </c>
      <c r="T4179" s="53" t="e">
        <f>Tabla14[[#This Row],[DEUDA CAPITAL]]+Tabla14[[#This Row],[INTERES  CUOTA]]</f>
        <v>#NUM!</v>
      </c>
      <c r="U4179" s="61" t="str">
        <f t="shared" si="669"/>
        <v/>
      </c>
    </row>
    <row r="4180" spans="9:21" ht="24.75" customHeight="1" x14ac:dyDescent="0.35">
      <c r="I4180" s="42">
        <f t="shared" si="660"/>
        <v>0</v>
      </c>
      <c r="J4180" s="65" t="e">
        <f t="shared" si="661"/>
        <v>#NUM!</v>
      </c>
      <c r="K4180" s="83" t="e">
        <f t="shared" si="662"/>
        <v>#NUM!</v>
      </c>
      <c r="L4180" s="83">
        <f t="shared" si="663"/>
        <v>0</v>
      </c>
      <c r="M4180" s="110" t="str">
        <f t="shared" si="664"/>
        <v/>
      </c>
      <c r="N4180" s="51" t="str">
        <f t="shared" si="665"/>
        <v/>
      </c>
      <c r="O4180" s="52" t="str">
        <f t="shared" si="666"/>
        <v/>
      </c>
      <c r="P4180" s="88">
        <f t="shared" si="667"/>
        <v>0</v>
      </c>
      <c r="Q4180" s="88">
        <f t="shared" si="668"/>
        <v>0</v>
      </c>
      <c r="R4180" s="88" t="e">
        <f>-IF(Tabla14[[#This Row],[DIAS HABILES O MORA]]&lt;0,(Tabla14[[#This Row],[VALOR PRESTAMO]]*Tabla14[[#This Row],[% INTERES ]]/30*U4180))+Tabla14[[#This Row],[VALOR CUOTAS]]</f>
        <v>#VALUE!</v>
      </c>
      <c r="S4180" s="88">
        <f>-IF(Tabla14[[#This Row],[DIAS HABILES O MORA]]&lt;0,(Tabla14[[#This Row],[VALOR PRESTAMO]]*Tabla14[[#This Row],[% INTERES ]]/30*U4180))</f>
        <v>0</v>
      </c>
      <c r="T4180" s="53" t="e">
        <f>Tabla14[[#This Row],[DEUDA CAPITAL]]+Tabla14[[#This Row],[INTERES  CUOTA]]</f>
        <v>#NUM!</v>
      </c>
      <c r="U4180" s="61" t="str">
        <f t="shared" si="669"/>
        <v/>
      </c>
    </row>
    <row r="4181" spans="9:21" ht="24.75" customHeight="1" x14ac:dyDescent="0.35">
      <c r="I4181" s="42">
        <f t="shared" si="660"/>
        <v>0</v>
      </c>
      <c r="J4181" s="65" t="e">
        <f t="shared" si="661"/>
        <v>#NUM!</v>
      </c>
      <c r="K4181" s="83" t="e">
        <f t="shared" si="662"/>
        <v>#NUM!</v>
      </c>
      <c r="L4181" s="83">
        <f t="shared" si="663"/>
        <v>0</v>
      </c>
      <c r="M4181" s="110" t="str">
        <f t="shared" si="664"/>
        <v/>
      </c>
      <c r="N4181" s="51" t="str">
        <f t="shared" si="665"/>
        <v/>
      </c>
      <c r="O4181" s="52" t="str">
        <f t="shared" si="666"/>
        <v/>
      </c>
      <c r="P4181" s="88">
        <f t="shared" si="667"/>
        <v>0</v>
      </c>
      <c r="Q4181" s="88">
        <f t="shared" si="668"/>
        <v>0</v>
      </c>
      <c r="R4181" s="88" t="e">
        <f>-IF(Tabla14[[#This Row],[DIAS HABILES O MORA]]&lt;0,(Tabla14[[#This Row],[VALOR PRESTAMO]]*Tabla14[[#This Row],[% INTERES ]]/30*U4181))+Tabla14[[#This Row],[VALOR CUOTAS]]</f>
        <v>#VALUE!</v>
      </c>
      <c r="S4181" s="88">
        <f>-IF(Tabla14[[#This Row],[DIAS HABILES O MORA]]&lt;0,(Tabla14[[#This Row],[VALOR PRESTAMO]]*Tabla14[[#This Row],[% INTERES ]]/30*U4181))</f>
        <v>0</v>
      </c>
      <c r="T4181" s="53" t="e">
        <f>Tabla14[[#This Row],[DEUDA CAPITAL]]+Tabla14[[#This Row],[INTERES  CUOTA]]</f>
        <v>#NUM!</v>
      </c>
      <c r="U4181" s="61" t="str">
        <f t="shared" si="669"/>
        <v/>
      </c>
    </row>
    <row r="4182" spans="9:21" ht="24.75" customHeight="1" x14ac:dyDescent="0.35">
      <c r="I4182" s="42">
        <f t="shared" si="660"/>
        <v>0</v>
      </c>
      <c r="J4182" s="65" t="e">
        <f t="shared" si="661"/>
        <v>#NUM!</v>
      </c>
      <c r="K4182" s="83" t="e">
        <f t="shared" si="662"/>
        <v>#NUM!</v>
      </c>
      <c r="L4182" s="83">
        <f t="shared" si="663"/>
        <v>0</v>
      </c>
      <c r="M4182" s="110" t="str">
        <f t="shared" si="664"/>
        <v/>
      </c>
      <c r="N4182" s="51" t="str">
        <f t="shared" si="665"/>
        <v/>
      </c>
      <c r="O4182" s="52" t="str">
        <f t="shared" si="666"/>
        <v/>
      </c>
      <c r="P4182" s="88">
        <f t="shared" si="667"/>
        <v>0</v>
      </c>
      <c r="Q4182" s="88">
        <f t="shared" si="668"/>
        <v>0</v>
      </c>
      <c r="R4182" s="88" t="e">
        <f>-IF(Tabla14[[#This Row],[DIAS HABILES O MORA]]&lt;0,(Tabla14[[#This Row],[VALOR PRESTAMO]]*Tabla14[[#This Row],[% INTERES ]]/30*U4182))+Tabla14[[#This Row],[VALOR CUOTAS]]</f>
        <v>#VALUE!</v>
      </c>
      <c r="S4182" s="88">
        <f>-IF(Tabla14[[#This Row],[DIAS HABILES O MORA]]&lt;0,(Tabla14[[#This Row],[VALOR PRESTAMO]]*Tabla14[[#This Row],[% INTERES ]]/30*U4182))</f>
        <v>0</v>
      </c>
      <c r="T4182" s="53" t="e">
        <f>Tabla14[[#This Row],[DEUDA CAPITAL]]+Tabla14[[#This Row],[INTERES  CUOTA]]</f>
        <v>#NUM!</v>
      </c>
      <c r="U4182" s="61" t="str">
        <f t="shared" si="669"/>
        <v/>
      </c>
    </row>
    <row r="4183" spans="9:21" ht="24.75" customHeight="1" x14ac:dyDescent="0.35">
      <c r="I4183" s="42">
        <f t="shared" si="660"/>
        <v>0</v>
      </c>
      <c r="J4183" s="65" t="e">
        <f t="shared" si="661"/>
        <v>#NUM!</v>
      </c>
      <c r="K4183" s="83" t="e">
        <f t="shared" si="662"/>
        <v>#NUM!</v>
      </c>
      <c r="L4183" s="83">
        <f t="shared" si="663"/>
        <v>0</v>
      </c>
      <c r="M4183" s="110" t="str">
        <f t="shared" si="664"/>
        <v/>
      </c>
      <c r="N4183" s="51" t="str">
        <f t="shared" si="665"/>
        <v/>
      </c>
      <c r="O4183" s="52" t="str">
        <f t="shared" si="666"/>
        <v/>
      </c>
      <c r="P4183" s="88">
        <f t="shared" si="667"/>
        <v>0</v>
      </c>
      <c r="Q4183" s="88">
        <f t="shared" si="668"/>
        <v>0</v>
      </c>
      <c r="R4183" s="88" t="e">
        <f>-IF(Tabla14[[#This Row],[DIAS HABILES O MORA]]&lt;0,(Tabla14[[#This Row],[VALOR PRESTAMO]]*Tabla14[[#This Row],[% INTERES ]]/30*U4183))+Tabla14[[#This Row],[VALOR CUOTAS]]</f>
        <v>#VALUE!</v>
      </c>
      <c r="S4183" s="88">
        <f>-IF(Tabla14[[#This Row],[DIAS HABILES O MORA]]&lt;0,(Tabla14[[#This Row],[VALOR PRESTAMO]]*Tabla14[[#This Row],[% INTERES ]]/30*U4183))</f>
        <v>0</v>
      </c>
      <c r="T4183" s="53" t="e">
        <f>Tabla14[[#This Row],[DEUDA CAPITAL]]+Tabla14[[#This Row],[INTERES  CUOTA]]</f>
        <v>#NUM!</v>
      </c>
      <c r="U4183" s="61" t="str">
        <f t="shared" si="669"/>
        <v/>
      </c>
    </row>
    <row r="4184" spans="9:21" ht="24.75" customHeight="1" x14ac:dyDescent="0.35">
      <c r="I4184" s="42">
        <f t="shared" si="660"/>
        <v>0</v>
      </c>
      <c r="J4184" s="65" t="e">
        <f t="shared" si="661"/>
        <v>#NUM!</v>
      </c>
      <c r="K4184" s="83" t="e">
        <f t="shared" si="662"/>
        <v>#NUM!</v>
      </c>
      <c r="L4184" s="83">
        <f t="shared" si="663"/>
        <v>0</v>
      </c>
      <c r="M4184" s="110" t="str">
        <f t="shared" si="664"/>
        <v/>
      </c>
      <c r="N4184" s="51" t="str">
        <f t="shared" si="665"/>
        <v/>
      </c>
      <c r="O4184" s="52" t="str">
        <f t="shared" si="666"/>
        <v/>
      </c>
      <c r="P4184" s="88">
        <f t="shared" si="667"/>
        <v>0</v>
      </c>
      <c r="Q4184" s="88">
        <f t="shared" si="668"/>
        <v>0</v>
      </c>
      <c r="R4184" s="88" t="e">
        <f>-IF(Tabla14[[#This Row],[DIAS HABILES O MORA]]&lt;0,(Tabla14[[#This Row],[VALOR PRESTAMO]]*Tabla14[[#This Row],[% INTERES ]]/30*U4184))+Tabla14[[#This Row],[VALOR CUOTAS]]</f>
        <v>#VALUE!</v>
      </c>
      <c r="S4184" s="88">
        <f>-IF(Tabla14[[#This Row],[DIAS HABILES O MORA]]&lt;0,(Tabla14[[#This Row],[VALOR PRESTAMO]]*Tabla14[[#This Row],[% INTERES ]]/30*U4184))</f>
        <v>0</v>
      </c>
      <c r="T4184" s="53" t="e">
        <f>Tabla14[[#This Row],[DEUDA CAPITAL]]+Tabla14[[#This Row],[INTERES  CUOTA]]</f>
        <v>#NUM!</v>
      </c>
      <c r="U4184" s="61" t="str">
        <f t="shared" si="669"/>
        <v/>
      </c>
    </row>
    <row r="4185" spans="9:21" ht="24.75" customHeight="1" x14ac:dyDescent="0.35">
      <c r="I4185" s="42">
        <f t="shared" si="660"/>
        <v>0</v>
      </c>
      <c r="J4185" s="65" t="e">
        <f t="shared" si="661"/>
        <v>#NUM!</v>
      </c>
      <c r="K4185" s="83" t="e">
        <f t="shared" si="662"/>
        <v>#NUM!</v>
      </c>
      <c r="L4185" s="83">
        <f t="shared" si="663"/>
        <v>0</v>
      </c>
      <c r="M4185" s="110" t="str">
        <f t="shared" si="664"/>
        <v/>
      </c>
      <c r="N4185" s="51" t="str">
        <f t="shared" si="665"/>
        <v/>
      </c>
      <c r="O4185" s="52" t="str">
        <f t="shared" si="666"/>
        <v/>
      </c>
      <c r="P4185" s="88">
        <f t="shared" si="667"/>
        <v>0</v>
      </c>
      <c r="Q4185" s="88">
        <f t="shared" si="668"/>
        <v>0</v>
      </c>
      <c r="R4185" s="88" t="e">
        <f>-IF(Tabla14[[#This Row],[DIAS HABILES O MORA]]&lt;0,(Tabla14[[#This Row],[VALOR PRESTAMO]]*Tabla14[[#This Row],[% INTERES ]]/30*U4185))+Tabla14[[#This Row],[VALOR CUOTAS]]</f>
        <v>#VALUE!</v>
      </c>
      <c r="S4185" s="88">
        <f>-IF(Tabla14[[#This Row],[DIAS HABILES O MORA]]&lt;0,(Tabla14[[#This Row],[VALOR PRESTAMO]]*Tabla14[[#This Row],[% INTERES ]]/30*U4185))</f>
        <v>0</v>
      </c>
      <c r="T4185" s="53" t="e">
        <f>Tabla14[[#This Row],[DEUDA CAPITAL]]+Tabla14[[#This Row],[INTERES  CUOTA]]</f>
        <v>#NUM!</v>
      </c>
      <c r="U4185" s="61" t="str">
        <f t="shared" si="669"/>
        <v/>
      </c>
    </row>
    <row r="4186" spans="9:21" ht="24.75" customHeight="1" x14ac:dyDescent="0.35">
      <c r="I4186" s="42">
        <f t="shared" si="660"/>
        <v>0</v>
      </c>
      <c r="J4186" s="65" t="e">
        <f t="shared" si="661"/>
        <v>#NUM!</v>
      </c>
      <c r="K4186" s="83" t="e">
        <f t="shared" si="662"/>
        <v>#NUM!</v>
      </c>
      <c r="L4186" s="83">
        <f t="shared" si="663"/>
        <v>0</v>
      </c>
      <c r="M4186" s="110" t="str">
        <f t="shared" si="664"/>
        <v/>
      </c>
      <c r="N4186" s="51" t="str">
        <f t="shared" si="665"/>
        <v/>
      </c>
      <c r="O4186" s="52" t="str">
        <f t="shared" si="666"/>
        <v/>
      </c>
      <c r="P4186" s="88">
        <f t="shared" si="667"/>
        <v>0</v>
      </c>
      <c r="Q4186" s="88">
        <f t="shared" si="668"/>
        <v>0</v>
      </c>
      <c r="R4186" s="88" t="e">
        <f>-IF(Tabla14[[#This Row],[DIAS HABILES O MORA]]&lt;0,(Tabla14[[#This Row],[VALOR PRESTAMO]]*Tabla14[[#This Row],[% INTERES ]]/30*U4186))+Tabla14[[#This Row],[VALOR CUOTAS]]</f>
        <v>#VALUE!</v>
      </c>
      <c r="S4186" s="88">
        <f>-IF(Tabla14[[#This Row],[DIAS HABILES O MORA]]&lt;0,(Tabla14[[#This Row],[VALOR PRESTAMO]]*Tabla14[[#This Row],[% INTERES ]]/30*U4186))</f>
        <v>0</v>
      </c>
      <c r="T4186" s="53" t="e">
        <f>Tabla14[[#This Row],[DEUDA CAPITAL]]+Tabla14[[#This Row],[INTERES  CUOTA]]</f>
        <v>#NUM!</v>
      </c>
      <c r="U4186" s="61" t="str">
        <f t="shared" si="669"/>
        <v/>
      </c>
    </row>
    <row r="4187" spans="9:21" ht="24.75" customHeight="1" x14ac:dyDescent="0.35">
      <c r="I4187" s="42">
        <f t="shared" si="660"/>
        <v>0</v>
      </c>
      <c r="J4187" s="65" t="e">
        <f t="shared" si="661"/>
        <v>#NUM!</v>
      </c>
      <c r="K4187" s="83" t="e">
        <f t="shared" si="662"/>
        <v>#NUM!</v>
      </c>
      <c r="L4187" s="83">
        <f t="shared" si="663"/>
        <v>0</v>
      </c>
      <c r="M4187" s="110" t="str">
        <f t="shared" si="664"/>
        <v/>
      </c>
      <c r="N4187" s="51" t="str">
        <f t="shared" si="665"/>
        <v/>
      </c>
      <c r="O4187" s="52" t="str">
        <f t="shared" si="666"/>
        <v/>
      </c>
      <c r="P4187" s="88">
        <f t="shared" si="667"/>
        <v>0</v>
      </c>
      <c r="Q4187" s="88">
        <f t="shared" si="668"/>
        <v>0</v>
      </c>
      <c r="R4187" s="88" t="e">
        <f>-IF(Tabla14[[#This Row],[DIAS HABILES O MORA]]&lt;0,(Tabla14[[#This Row],[VALOR PRESTAMO]]*Tabla14[[#This Row],[% INTERES ]]/30*U4187))+Tabla14[[#This Row],[VALOR CUOTAS]]</f>
        <v>#VALUE!</v>
      </c>
      <c r="S4187" s="88">
        <f>-IF(Tabla14[[#This Row],[DIAS HABILES O MORA]]&lt;0,(Tabla14[[#This Row],[VALOR PRESTAMO]]*Tabla14[[#This Row],[% INTERES ]]/30*U4187))</f>
        <v>0</v>
      </c>
      <c r="T4187" s="53" t="e">
        <f>Tabla14[[#This Row],[DEUDA CAPITAL]]+Tabla14[[#This Row],[INTERES  CUOTA]]</f>
        <v>#NUM!</v>
      </c>
      <c r="U4187" s="61" t="str">
        <f t="shared" si="669"/>
        <v/>
      </c>
    </row>
    <row r="4188" spans="9:21" ht="24.75" customHeight="1" x14ac:dyDescent="0.35">
      <c r="I4188" s="42">
        <f t="shared" si="660"/>
        <v>0</v>
      </c>
      <c r="J4188" s="65" t="e">
        <f t="shared" si="661"/>
        <v>#NUM!</v>
      </c>
      <c r="K4188" s="83" t="e">
        <f t="shared" si="662"/>
        <v>#NUM!</v>
      </c>
      <c r="L4188" s="83">
        <f t="shared" si="663"/>
        <v>0</v>
      </c>
      <c r="M4188" s="110" t="str">
        <f t="shared" si="664"/>
        <v/>
      </c>
      <c r="N4188" s="51" t="str">
        <f t="shared" si="665"/>
        <v/>
      </c>
      <c r="O4188" s="52" t="str">
        <f t="shared" si="666"/>
        <v/>
      </c>
      <c r="P4188" s="88">
        <f t="shared" si="667"/>
        <v>0</v>
      </c>
      <c r="Q4188" s="88">
        <f t="shared" si="668"/>
        <v>0</v>
      </c>
      <c r="R4188" s="88" t="e">
        <f>-IF(Tabla14[[#This Row],[DIAS HABILES O MORA]]&lt;0,(Tabla14[[#This Row],[VALOR PRESTAMO]]*Tabla14[[#This Row],[% INTERES ]]/30*U4188))+Tabla14[[#This Row],[VALOR CUOTAS]]</f>
        <v>#VALUE!</v>
      </c>
      <c r="S4188" s="88">
        <f>-IF(Tabla14[[#This Row],[DIAS HABILES O MORA]]&lt;0,(Tabla14[[#This Row],[VALOR PRESTAMO]]*Tabla14[[#This Row],[% INTERES ]]/30*U4188))</f>
        <v>0</v>
      </c>
      <c r="T4188" s="53" t="e">
        <f>Tabla14[[#This Row],[DEUDA CAPITAL]]+Tabla14[[#This Row],[INTERES  CUOTA]]</f>
        <v>#NUM!</v>
      </c>
      <c r="U4188" s="61" t="str">
        <f t="shared" si="669"/>
        <v/>
      </c>
    </row>
    <row r="4189" spans="9:21" ht="24.75" customHeight="1" x14ac:dyDescent="0.35">
      <c r="I4189" s="42">
        <f t="shared" si="660"/>
        <v>0</v>
      </c>
      <c r="J4189" s="65" t="e">
        <f t="shared" si="661"/>
        <v>#NUM!</v>
      </c>
      <c r="K4189" s="83" t="e">
        <f t="shared" si="662"/>
        <v>#NUM!</v>
      </c>
      <c r="L4189" s="83">
        <f t="shared" si="663"/>
        <v>0</v>
      </c>
      <c r="M4189" s="110" t="str">
        <f t="shared" si="664"/>
        <v/>
      </c>
      <c r="N4189" s="51" t="str">
        <f t="shared" si="665"/>
        <v/>
      </c>
      <c r="O4189" s="52" t="str">
        <f t="shared" si="666"/>
        <v/>
      </c>
      <c r="P4189" s="88">
        <f t="shared" si="667"/>
        <v>0</v>
      </c>
      <c r="Q4189" s="88">
        <f t="shared" si="668"/>
        <v>0</v>
      </c>
      <c r="R4189" s="88" t="e">
        <f>-IF(Tabla14[[#This Row],[DIAS HABILES O MORA]]&lt;0,(Tabla14[[#This Row],[VALOR PRESTAMO]]*Tabla14[[#This Row],[% INTERES ]]/30*U4189))+Tabla14[[#This Row],[VALOR CUOTAS]]</f>
        <v>#VALUE!</v>
      </c>
      <c r="S4189" s="88">
        <f>-IF(Tabla14[[#This Row],[DIAS HABILES O MORA]]&lt;0,(Tabla14[[#This Row],[VALOR PRESTAMO]]*Tabla14[[#This Row],[% INTERES ]]/30*U4189))</f>
        <v>0</v>
      </c>
      <c r="T4189" s="53" t="e">
        <f>Tabla14[[#This Row],[DEUDA CAPITAL]]+Tabla14[[#This Row],[INTERES  CUOTA]]</f>
        <v>#NUM!</v>
      </c>
      <c r="U4189" s="61" t="str">
        <f t="shared" si="669"/>
        <v/>
      </c>
    </row>
    <row r="4190" spans="9:21" ht="24.75" customHeight="1" x14ac:dyDescent="0.35">
      <c r="I4190" s="42">
        <f t="shared" si="660"/>
        <v>0</v>
      </c>
      <c r="J4190" s="65" t="e">
        <f t="shared" si="661"/>
        <v>#NUM!</v>
      </c>
      <c r="K4190" s="83" t="e">
        <f t="shared" si="662"/>
        <v>#NUM!</v>
      </c>
      <c r="L4190" s="83">
        <f t="shared" si="663"/>
        <v>0</v>
      </c>
      <c r="M4190" s="110" t="str">
        <f t="shared" si="664"/>
        <v/>
      </c>
      <c r="N4190" s="51" t="str">
        <f t="shared" si="665"/>
        <v/>
      </c>
      <c r="O4190" s="52" t="str">
        <f t="shared" si="666"/>
        <v/>
      </c>
      <c r="P4190" s="88">
        <f t="shared" si="667"/>
        <v>0</v>
      </c>
      <c r="Q4190" s="88">
        <f t="shared" si="668"/>
        <v>0</v>
      </c>
      <c r="R4190" s="88" t="e">
        <f>-IF(Tabla14[[#This Row],[DIAS HABILES O MORA]]&lt;0,(Tabla14[[#This Row],[VALOR PRESTAMO]]*Tabla14[[#This Row],[% INTERES ]]/30*U4190))+Tabla14[[#This Row],[VALOR CUOTAS]]</f>
        <v>#VALUE!</v>
      </c>
      <c r="S4190" s="88">
        <f>-IF(Tabla14[[#This Row],[DIAS HABILES O MORA]]&lt;0,(Tabla14[[#This Row],[VALOR PRESTAMO]]*Tabla14[[#This Row],[% INTERES ]]/30*U4190))</f>
        <v>0</v>
      </c>
      <c r="T4190" s="53" t="e">
        <f>Tabla14[[#This Row],[DEUDA CAPITAL]]+Tabla14[[#This Row],[INTERES  CUOTA]]</f>
        <v>#NUM!</v>
      </c>
      <c r="U4190" s="61" t="str">
        <f t="shared" si="669"/>
        <v/>
      </c>
    </row>
    <row r="4191" spans="9:21" ht="24.75" customHeight="1" x14ac:dyDescent="0.35">
      <c r="I4191" s="42">
        <f t="shared" si="660"/>
        <v>0</v>
      </c>
      <c r="J4191" s="65" t="e">
        <f t="shared" si="661"/>
        <v>#NUM!</v>
      </c>
      <c r="K4191" s="83" t="e">
        <f t="shared" si="662"/>
        <v>#NUM!</v>
      </c>
      <c r="L4191" s="83">
        <f t="shared" si="663"/>
        <v>0</v>
      </c>
      <c r="M4191" s="110" t="str">
        <f t="shared" si="664"/>
        <v/>
      </c>
      <c r="N4191" s="51" t="str">
        <f t="shared" si="665"/>
        <v/>
      </c>
      <c r="O4191" s="52" t="str">
        <f t="shared" si="666"/>
        <v/>
      </c>
      <c r="P4191" s="88">
        <f t="shared" si="667"/>
        <v>0</v>
      </c>
      <c r="Q4191" s="88">
        <f t="shared" si="668"/>
        <v>0</v>
      </c>
      <c r="R4191" s="88" t="e">
        <f>-IF(Tabla14[[#This Row],[DIAS HABILES O MORA]]&lt;0,(Tabla14[[#This Row],[VALOR PRESTAMO]]*Tabla14[[#This Row],[% INTERES ]]/30*U4191))+Tabla14[[#This Row],[VALOR CUOTAS]]</f>
        <v>#VALUE!</v>
      </c>
      <c r="S4191" s="88">
        <f>-IF(Tabla14[[#This Row],[DIAS HABILES O MORA]]&lt;0,(Tabla14[[#This Row],[VALOR PRESTAMO]]*Tabla14[[#This Row],[% INTERES ]]/30*U4191))</f>
        <v>0</v>
      </c>
      <c r="T4191" s="53" t="e">
        <f>Tabla14[[#This Row],[DEUDA CAPITAL]]+Tabla14[[#This Row],[INTERES  CUOTA]]</f>
        <v>#NUM!</v>
      </c>
      <c r="U4191" s="61" t="str">
        <f t="shared" si="669"/>
        <v/>
      </c>
    </row>
    <row r="4192" spans="9:21" ht="24.75" customHeight="1" x14ac:dyDescent="0.35">
      <c r="I4192" s="42">
        <f t="shared" si="660"/>
        <v>0</v>
      </c>
      <c r="J4192" s="65" t="e">
        <f t="shared" si="661"/>
        <v>#NUM!</v>
      </c>
      <c r="K4192" s="83" t="e">
        <f t="shared" si="662"/>
        <v>#NUM!</v>
      </c>
      <c r="L4192" s="83">
        <f t="shared" si="663"/>
        <v>0</v>
      </c>
      <c r="M4192" s="110" t="str">
        <f t="shared" si="664"/>
        <v/>
      </c>
      <c r="N4192" s="51" t="str">
        <f t="shared" si="665"/>
        <v/>
      </c>
      <c r="O4192" s="52" t="str">
        <f t="shared" si="666"/>
        <v/>
      </c>
      <c r="P4192" s="88">
        <f t="shared" si="667"/>
        <v>0</v>
      </c>
      <c r="Q4192" s="88">
        <f t="shared" si="668"/>
        <v>0</v>
      </c>
      <c r="R4192" s="88" t="e">
        <f>-IF(Tabla14[[#This Row],[DIAS HABILES O MORA]]&lt;0,(Tabla14[[#This Row],[VALOR PRESTAMO]]*Tabla14[[#This Row],[% INTERES ]]/30*U4192))+Tabla14[[#This Row],[VALOR CUOTAS]]</f>
        <v>#VALUE!</v>
      </c>
      <c r="S4192" s="88">
        <f>-IF(Tabla14[[#This Row],[DIAS HABILES O MORA]]&lt;0,(Tabla14[[#This Row],[VALOR PRESTAMO]]*Tabla14[[#This Row],[% INTERES ]]/30*U4192))</f>
        <v>0</v>
      </c>
      <c r="T4192" s="53" t="e">
        <f>Tabla14[[#This Row],[DEUDA CAPITAL]]+Tabla14[[#This Row],[INTERES  CUOTA]]</f>
        <v>#NUM!</v>
      </c>
      <c r="U4192" s="61" t="str">
        <f t="shared" si="669"/>
        <v/>
      </c>
    </row>
    <row r="4193" spans="9:21" ht="24.75" customHeight="1" x14ac:dyDescent="0.35">
      <c r="I4193" s="42">
        <f t="shared" si="660"/>
        <v>0</v>
      </c>
      <c r="J4193" s="65" t="e">
        <f t="shared" si="661"/>
        <v>#NUM!</v>
      </c>
      <c r="K4193" s="83" t="e">
        <f t="shared" si="662"/>
        <v>#NUM!</v>
      </c>
      <c r="L4193" s="83">
        <f t="shared" si="663"/>
        <v>0</v>
      </c>
      <c r="M4193" s="110" t="str">
        <f t="shared" si="664"/>
        <v/>
      </c>
      <c r="N4193" s="51" t="str">
        <f t="shared" si="665"/>
        <v/>
      </c>
      <c r="O4193" s="52" t="str">
        <f t="shared" si="666"/>
        <v/>
      </c>
      <c r="P4193" s="88">
        <f t="shared" si="667"/>
        <v>0</v>
      </c>
      <c r="Q4193" s="88">
        <f t="shared" si="668"/>
        <v>0</v>
      </c>
      <c r="R4193" s="88" t="e">
        <f>-IF(Tabla14[[#This Row],[DIAS HABILES O MORA]]&lt;0,(Tabla14[[#This Row],[VALOR PRESTAMO]]*Tabla14[[#This Row],[% INTERES ]]/30*U4193))+Tabla14[[#This Row],[VALOR CUOTAS]]</f>
        <v>#VALUE!</v>
      </c>
      <c r="S4193" s="88">
        <f>-IF(Tabla14[[#This Row],[DIAS HABILES O MORA]]&lt;0,(Tabla14[[#This Row],[VALOR PRESTAMO]]*Tabla14[[#This Row],[% INTERES ]]/30*U4193))</f>
        <v>0</v>
      </c>
      <c r="T4193" s="53" t="e">
        <f>Tabla14[[#This Row],[DEUDA CAPITAL]]+Tabla14[[#This Row],[INTERES  CUOTA]]</f>
        <v>#NUM!</v>
      </c>
      <c r="U4193" s="61" t="str">
        <f t="shared" si="669"/>
        <v/>
      </c>
    </row>
    <row r="4194" spans="9:21" ht="24.75" customHeight="1" x14ac:dyDescent="0.35">
      <c r="I4194" s="42">
        <f t="shared" si="660"/>
        <v>0</v>
      </c>
      <c r="J4194" s="65" t="e">
        <f t="shared" si="661"/>
        <v>#NUM!</v>
      </c>
      <c r="K4194" s="83" t="e">
        <f t="shared" si="662"/>
        <v>#NUM!</v>
      </c>
      <c r="L4194" s="83">
        <f t="shared" si="663"/>
        <v>0</v>
      </c>
      <c r="M4194" s="110" t="str">
        <f t="shared" si="664"/>
        <v/>
      </c>
      <c r="N4194" s="51" t="str">
        <f t="shared" si="665"/>
        <v/>
      </c>
      <c r="O4194" s="52" t="str">
        <f t="shared" si="666"/>
        <v/>
      </c>
      <c r="P4194" s="88">
        <f t="shared" si="667"/>
        <v>0</v>
      </c>
      <c r="Q4194" s="88">
        <f t="shared" si="668"/>
        <v>0</v>
      </c>
      <c r="R4194" s="88" t="e">
        <f>-IF(Tabla14[[#This Row],[DIAS HABILES O MORA]]&lt;0,(Tabla14[[#This Row],[VALOR PRESTAMO]]*Tabla14[[#This Row],[% INTERES ]]/30*U4194))+Tabla14[[#This Row],[VALOR CUOTAS]]</f>
        <v>#VALUE!</v>
      </c>
      <c r="S4194" s="88">
        <f>-IF(Tabla14[[#This Row],[DIAS HABILES O MORA]]&lt;0,(Tabla14[[#This Row],[VALOR PRESTAMO]]*Tabla14[[#This Row],[% INTERES ]]/30*U4194))</f>
        <v>0</v>
      </c>
      <c r="T4194" s="53" t="e">
        <f>Tabla14[[#This Row],[DEUDA CAPITAL]]+Tabla14[[#This Row],[INTERES  CUOTA]]</f>
        <v>#NUM!</v>
      </c>
      <c r="U4194" s="61" t="str">
        <f t="shared" si="669"/>
        <v/>
      </c>
    </row>
    <row r="4195" spans="9:21" ht="24.75" customHeight="1" x14ac:dyDescent="0.35">
      <c r="I4195" s="42">
        <f t="shared" si="660"/>
        <v>0</v>
      </c>
      <c r="J4195" s="65" t="e">
        <f t="shared" si="661"/>
        <v>#NUM!</v>
      </c>
      <c r="K4195" s="83" t="e">
        <f t="shared" si="662"/>
        <v>#NUM!</v>
      </c>
      <c r="L4195" s="83">
        <f t="shared" si="663"/>
        <v>0</v>
      </c>
      <c r="M4195" s="110" t="str">
        <f t="shared" si="664"/>
        <v/>
      </c>
      <c r="N4195" s="51" t="str">
        <f t="shared" si="665"/>
        <v/>
      </c>
      <c r="O4195" s="52" t="str">
        <f t="shared" si="666"/>
        <v/>
      </c>
      <c r="P4195" s="88">
        <f t="shared" si="667"/>
        <v>0</v>
      </c>
      <c r="Q4195" s="88">
        <f t="shared" si="668"/>
        <v>0</v>
      </c>
      <c r="R4195" s="88" t="e">
        <f>-IF(Tabla14[[#This Row],[DIAS HABILES O MORA]]&lt;0,(Tabla14[[#This Row],[VALOR PRESTAMO]]*Tabla14[[#This Row],[% INTERES ]]/30*U4195))+Tabla14[[#This Row],[VALOR CUOTAS]]</f>
        <v>#VALUE!</v>
      </c>
      <c r="S4195" s="88">
        <f>-IF(Tabla14[[#This Row],[DIAS HABILES O MORA]]&lt;0,(Tabla14[[#This Row],[VALOR PRESTAMO]]*Tabla14[[#This Row],[% INTERES ]]/30*U4195))</f>
        <v>0</v>
      </c>
      <c r="T4195" s="53" t="e">
        <f>Tabla14[[#This Row],[DEUDA CAPITAL]]+Tabla14[[#This Row],[INTERES  CUOTA]]</f>
        <v>#NUM!</v>
      </c>
      <c r="U4195" s="61" t="str">
        <f t="shared" si="669"/>
        <v/>
      </c>
    </row>
    <row r="4196" spans="9:21" ht="24.75" customHeight="1" x14ac:dyDescent="0.35">
      <c r="I4196" s="42">
        <f t="shared" si="660"/>
        <v>0</v>
      </c>
      <c r="J4196" s="65" t="e">
        <f t="shared" si="661"/>
        <v>#NUM!</v>
      </c>
      <c r="K4196" s="83" t="e">
        <f t="shared" si="662"/>
        <v>#NUM!</v>
      </c>
      <c r="L4196" s="83">
        <f t="shared" si="663"/>
        <v>0</v>
      </c>
      <c r="M4196" s="110" t="str">
        <f t="shared" si="664"/>
        <v/>
      </c>
      <c r="N4196" s="51" t="str">
        <f t="shared" si="665"/>
        <v/>
      </c>
      <c r="O4196" s="52" t="str">
        <f t="shared" si="666"/>
        <v/>
      </c>
      <c r="P4196" s="88">
        <f t="shared" si="667"/>
        <v>0</v>
      </c>
      <c r="Q4196" s="88">
        <f t="shared" si="668"/>
        <v>0</v>
      </c>
      <c r="R4196" s="88" t="e">
        <f>-IF(Tabla14[[#This Row],[DIAS HABILES O MORA]]&lt;0,(Tabla14[[#This Row],[VALOR PRESTAMO]]*Tabla14[[#This Row],[% INTERES ]]/30*U4196))+Tabla14[[#This Row],[VALOR CUOTAS]]</f>
        <v>#VALUE!</v>
      </c>
      <c r="S4196" s="88">
        <f>-IF(Tabla14[[#This Row],[DIAS HABILES O MORA]]&lt;0,(Tabla14[[#This Row],[VALOR PRESTAMO]]*Tabla14[[#This Row],[% INTERES ]]/30*U4196))</f>
        <v>0</v>
      </c>
      <c r="T4196" s="53" t="e">
        <f>Tabla14[[#This Row],[DEUDA CAPITAL]]+Tabla14[[#This Row],[INTERES  CUOTA]]</f>
        <v>#NUM!</v>
      </c>
      <c r="U4196" s="61" t="str">
        <f t="shared" si="669"/>
        <v/>
      </c>
    </row>
    <row r="4197" spans="9:21" ht="24.75" customHeight="1" x14ac:dyDescent="0.35">
      <c r="I4197" s="42">
        <f t="shared" si="660"/>
        <v>0</v>
      </c>
      <c r="J4197" s="65" t="e">
        <f t="shared" si="661"/>
        <v>#NUM!</v>
      </c>
      <c r="K4197" s="83" t="e">
        <f t="shared" si="662"/>
        <v>#NUM!</v>
      </c>
      <c r="L4197" s="83">
        <f t="shared" si="663"/>
        <v>0</v>
      </c>
      <c r="M4197" s="110" t="str">
        <f t="shared" si="664"/>
        <v/>
      </c>
      <c r="N4197" s="51" t="str">
        <f t="shared" si="665"/>
        <v/>
      </c>
      <c r="O4197" s="52" t="str">
        <f t="shared" si="666"/>
        <v/>
      </c>
      <c r="P4197" s="88">
        <f t="shared" si="667"/>
        <v>0</v>
      </c>
      <c r="Q4197" s="88">
        <f t="shared" si="668"/>
        <v>0</v>
      </c>
      <c r="R4197" s="88" t="e">
        <f>-IF(Tabla14[[#This Row],[DIAS HABILES O MORA]]&lt;0,(Tabla14[[#This Row],[VALOR PRESTAMO]]*Tabla14[[#This Row],[% INTERES ]]/30*U4197))+Tabla14[[#This Row],[VALOR CUOTAS]]</f>
        <v>#VALUE!</v>
      </c>
      <c r="S4197" s="88">
        <f>-IF(Tabla14[[#This Row],[DIAS HABILES O MORA]]&lt;0,(Tabla14[[#This Row],[VALOR PRESTAMO]]*Tabla14[[#This Row],[% INTERES ]]/30*U4197))</f>
        <v>0</v>
      </c>
      <c r="T4197" s="53" t="e">
        <f>Tabla14[[#This Row],[DEUDA CAPITAL]]+Tabla14[[#This Row],[INTERES  CUOTA]]</f>
        <v>#NUM!</v>
      </c>
      <c r="U4197" s="61" t="str">
        <f t="shared" si="669"/>
        <v/>
      </c>
    </row>
    <row r="4198" spans="9:21" ht="24.75" customHeight="1" x14ac:dyDescent="0.35">
      <c r="I4198" s="42">
        <f t="shared" si="660"/>
        <v>0</v>
      </c>
      <c r="J4198" s="65" t="e">
        <f t="shared" si="661"/>
        <v>#NUM!</v>
      </c>
      <c r="K4198" s="83" t="e">
        <f t="shared" si="662"/>
        <v>#NUM!</v>
      </c>
      <c r="L4198" s="83">
        <f t="shared" si="663"/>
        <v>0</v>
      </c>
      <c r="M4198" s="110" t="str">
        <f t="shared" si="664"/>
        <v/>
      </c>
      <c r="N4198" s="51" t="str">
        <f t="shared" si="665"/>
        <v/>
      </c>
      <c r="O4198" s="52" t="str">
        <f t="shared" si="666"/>
        <v/>
      </c>
      <c r="P4198" s="88">
        <f t="shared" si="667"/>
        <v>0</v>
      </c>
      <c r="Q4198" s="88">
        <f t="shared" si="668"/>
        <v>0</v>
      </c>
      <c r="R4198" s="88" t="e">
        <f>-IF(Tabla14[[#This Row],[DIAS HABILES O MORA]]&lt;0,(Tabla14[[#This Row],[VALOR PRESTAMO]]*Tabla14[[#This Row],[% INTERES ]]/30*U4198))+Tabla14[[#This Row],[VALOR CUOTAS]]</f>
        <v>#VALUE!</v>
      </c>
      <c r="S4198" s="88">
        <f>-IF(Tabla14[[#This Row],[DIAS HABILES O MORA]]&lt;0,(Tabla14[[#This Row],[VALOR PRESTAMO]]*Tabla14[[#This Row],[% INTERES ]]/30*U4198))</f>
        <v>0</v>
      </c>
      <c r="T4198" s="53" t="e">
        <f>Tabla14[[#This Row],[DEUDA CAPITAL]]+Tabla14[[#This Row],[INTERES  CUOTA]]</f>
        <v>#NUM!</v>
      </c>
      <c r="U4198" s="61" t="str">
        <f t="shared" si="669"/>
        <v/>
      </c>
    </row>
    <row r="4199" spans="9:21" ht="24.75" customHeight="1" x14ac:dyDescent="0.35">
      <c r="I4199" s="42">
        <f t="shared" si="660"/>
        <v>0</v>
      </c>
      <c r="J4199" s="65" t="e">
        <f t="shared" si="661"/>
        <v>#NUM!</v>
      </c>
      <c r="K4199" s="83" t="e">
        <f t="shared" si="662"/>
        <v>#NUM!</v>
      </c>
      <c r="L4199" s="83">
        <f t="shared" si="663"/>
        <v>0</v>
      </c>
      <c r="M4199" s="110" t="str">
        <f t="shared" si="664"/>
        <v/>
      </c>
      <c r="N4199" s="51" t="str">
        <f t="shared" si="665"/>
        <v/>
      </c>
      <c r="O4199" s="52" t="str">
        <f t="shared" si="666"/>
        <v/>
      </c>
      <c r="P4199" s="88">
        <f t="shared" si="667"/>
        <v>0</v>
      </c>
      <c r="Q4199" s="88">
        <f t="shared" si="668"/>
        <v>0</v>
      </c>
      <c r="R4199" s="88" t="e">
        <f>-IF(Tabla14[[#This Row],[DIAS HABILES O MORA]]&lt;0,(Tabla14[[#This Row],[VALOR PRESTAMO]]*Tabla14[[#This Row],[% INTERES ]]/30*U4199))+Tabla14[[#This Row],[VALOR CUOTAS]]</f>
        <v>#VALUE!</v>
      </c>
      <c r="S4199" s="88">
        <f>-IF(Tabla14[[#This Row],[DIAS HABILES O MORA]]&lt;0,(Tabla14[[#This Row],[VALOR PRESTAMO]]*Tabla14[[#This Row],[% INTERES ]]/30*U4199))</f>
        <v>0</v>
      </c>
      <c r="T4199" s="53" t="e">
        <f>Tabla14[[#This Row],[DEUDA CAPITAL]]+Tabla14[[#This Row],[INTERES  CUOTA]]</f>
        <v>#NUM!</v>
      </c>
      <c r="U4199" s="61" t="str">
        <f t="shared" si="669"/>
        <v/>
      </c>
    </row>
    <row r="4200" spans="9:21" ht="24.75" customHeight="1" x14ac:dyDescent="0.35">
      <c r="I4200" s="42">
        <f t="shared" si="660"/>
        <v>0</v>
      </c>
      <c r="J4200" s="65" t="e">
        <f t="shared" si="661"/>
        <v>#NUM!</v>
      </c>
      <c r="K4200" s="83" t="e">
        <f t="shared" si="662"/>
        <v>#NUM!</v>
      </c>
      <c r="L4200" s="83">
        <f t="shared" si="663"/>
        <v>0</v>
      </c>
      <c r="M4200" s="110" t="str">
        <f t="shared" si="664"/>
        <v/>
      </c>
      <c r="N4200" s="51" t="str">
        <f t="shared" si="665"/>
        <v/>
      </c>
      <c r="O4200" s="52" t="str">
        <f t="shared" si="666"/>
        <v/>
      </c>
      <c r="P4200" s="88">
        <f t="shared" si="667"/>
        <v>0</v>
      </c>
      <c r="Q4200" s="88">
        <f t="shared" si="668"/>
        <v>0</v>
      </c>
      <c r="R4200" s="88" t="e">
        <f>-IF(Tabla14[[#This Row],[DIAS HABILES O MORA]]&lt;0,(Tabla14[[#This Row],[VALOR PRESTAMO]]*Tabla14[[#This Row],[% INTERES ]]/30*U4200))+Tabla14[[#This Row],[VALOR CUOTAS]]</f>
        <v>#VALUE!</v>
      </c>
      <c r="S4200" s="88">
        <f>-IF(Tabla14[[#This Row],[DIAS HABILES O MORA]]&lt;0,(Tabla14[[#This Row],[VALOR PRESTAMO]]*Tabla14[[#This Row],[% INTERES ]]/30*U4200))</f>
        <v>0</v>
      </c>
      <c r="T4200" s="53" t="e">
        <f>Tabla14[[#This Row],[DEUDA CAPITAL]]+Tabla14[[#This Row],[INTERES  CUOTA]]</f>
        <v>#NUM!</v>
      </c>
      <c r="U4200" s="61" t="str">
        <f t="shared" si="669"/>
        <v/>
      </c>
    </row>
    <row r="4201" spans="9:21" ht="24.75" customHeight="1" x14ac:dyDescent="0.35">
      <c r="I4201" s="42">
        <f t="shared" si="660"/>
        <v>0</v>
      </c>
      <c r="J4201" s="65" t="e">
        <f t="shared" si="661"/>
        <v>#NUM!</v>
      </c>
      <c r="K4201" s="83" t="e">
        <f t="shared" si="662"/>
        <v>#NUM!</v>
      </c>
      <c r="L4201" s="83">
        <f t="shared" si="663"/>
        <v>0</v>
      </c>
      <c r="M4201" s="110" t="str">
        <f t="shared" si="664"/>
        <v/>
      </c>
      <c r="N4201" s="51" t="str">
        <f t="shared" si="665"/>
        <v/>
      </c>
      <c r="O4201" s="52" t="str">
        <f t="shared" si="666"/>
        <v/>
      </c>
      <c r="P4201" s="88">
        <f t="shared" si="667"/>
        <v>0</v>
      </c>
      <c r="Q4201" s="88">
        <f t="shared" si="668"/>
        <v>0</v>
      </c>
      <c r="R4201" s="88" t="e">
        <f>-IF(Tabla14[[#This Row],[DIAS HABILES O MORA]]&lt;0,(Tabla14[[#This Row],[VALOR PRESTAMO]]*Tabla14[[#This Row],[% INTERES ]]/30*U4201))+Tabla14[[#This Row],[VALOR CUOTAS]]</f>
        <v>#VALUE!</v>
      </c>
      <c r="S4201" s="88">
        <f>-IF(Tabla14[[#This Row],[DIAS HABILES O MORA]]&lt;0,(Tabla14[[#This Row],[VALOR PRESTAMO]]*Tabla14[[#This Row],[% INTERES ]]/30*U4201))</f>
        <v>0</v>
      </c>
      <c r="T4201" s="53" t="e">
        <f>Tabla14[[#This Row],[DEUDA CAPITAL]]+Tabla14[[#This Row],[INTERES  CUOTA]]</f>
        <v>#NUM!</v>
      </c>
      <c r="U4201" s="61" t="str">
        <f t="shared" si="669"/>
        <v/>
      </c>
    </row>
    <row r="4202" spans="9:21" ht="24.75" customHeight="1" x14ac:dyDescent="0.35">
      <c r="I4202" s="42">
        <f t="shared" si="660"/>
        <v>0</v>
      </c>
      <c r="J4202" s="65" t="e">
        <f t="shared" si="661"/>
        <v>#NUM!</v>
      </c>
      <c r="K4202" s="83" t="e">
        <f t="shared" si="662"/>
        <v>#NUM!</v>
      </c>
      <c r="L4202" s="83">
        <f t="shared" si="663"/>
        <v>0</v>
      </c>
      <c r="M4202" s="110" t="str">
        <f t="shared" si="664"/>
        <v/>
      </c>
      <c r="N4202" s="51" t="str">
        <f t="shared" si="665"/>
        <v/>
      </c>
      <c r="O4202" s="52" t="str">
        <f t="shared" si="666"/>
        <v/>
      </c>
      <c r="P4202" s="88">
        <f t="shared" si="667"/>
        <v>0</v>
      </c>
      <c r="Q4202" s="88">
        <f t="shared" si="668"/>
        <v>0</v>
      </c>
      <c r="R4202" s="88" t="e">
        <f>-IF(Tabla14[[#This Row],[DIAS HABILES O MORA]]&lt;0,(Tabla14[[#This Row],[VALOR PRESTAMO]]*Tabla14[[#This Row],[% INTERES ]]/30*U4202))+Tabla14[[#This Row],[VALOR CUOTAS]]</f>
        <v>#VALUE!</v>
      </c>
      <c r="S4202" s="88">
        <f>-IF(Tabla14[[#This Row],[DIAS HABILES O MORA]]&lt;0,(Tabla14[[#This Row],[VALOR PRESTAMO]]*Tabla14[[#This Row],[% INTERES ]]/30*U4202))</f>
        <v>0</v>
      </c>
      <c r="T4202" s="53" t="e">
        <f>Tabla14[[#This Row],[DEUDA CAPITAL]]+Tabla14[[#This Row],[INTERES  CUOTA]]</f>
        <v>#NUM!</v>
      </c>
      <c r="U4202" s="61" t="str">
        <f t="shared" si="669"/>
        <v/>
      </c>
    </row>
    <row r="4203" spans="9:21" ht="24.75" customHeight="1" x14ac:dyDescent="0.35">
      <c r="I4203" s="42">
        <f t="shared" si="660"/>
        <v>0</v>
      </c>
      <c r="J4203" s="65" t="e">
        <f t="shared" si="661"/>
        <v>#NUM!</v>
      </c>
      <c r="K4203" s="83" t="e">
        <f t="shared" si="662"/>
        <v>#NUM!</v>
      </c>
      <c r="L4203" s="83">
        <f t="shared" si="663"/>
        <v>0</v>
      </c>
      <c r="M4203" s="110" t="str">
        <f t="shared" si="664"/>
        <v/>
      </c>
      <c r="N4203" s="51" t="str">
        <f t="shared" si="665"/>
        <v/>
      </c>
      <c r="O4203" s="52" t="str">
        <f t="shared" si="666"/>
        <v/>
      </c>
      <c r="P4203" s="88">
        <f t="shared" si="667"/>
        <v>0</v>
      </c>
      <c r="Q4203" s="88">
        <f t="shared" si="668"/>
        <v>0</v>
      </c>
      <c r="R4203" s="88" t="e">
        <f>-IF(Tabla14[[#This Row],[DIAS HABILES O MORA]]&lt;0,(Tabla14[[#This Row],[VALOR PRESTAMO]]*Tabla14[[#This Row],[% INTERES ]]/30*U4203))+Tabla14[[#This Row],[VALOR CUOTAS]]</f>
        <v>#VALUE!</v>
      </c>
      <c r="S4203" s="88">
        <f>-IF(Tabla14[[#This Row],[DIAS HABILES O MORA]]&lt;0,(Tabla14[[#This Row],[VALOR PRESTAMO]]*Tabla14[[#This Row],[% INTERES ]]/30*U4203))</f>
        <v>0</v>
      </c>
      <c r="T4203" s="53" t="e">
        <f>Tabla14[[#This Row],[DEUDA CAPITAL]]+Tabla14[[#This Row],[INTERES  CUOTA]]</f>
        <v>#NUM!</v>
      </c>
      <c r="U4203" s="61" t="str">
        <f t="shared" si="669"/>
        <v/>
      </c>
    </row>
    <row r="4204" spans="9:21" ht="24.75" customHeight="1" x14ac:dyDescent="0.35">
      <c r="I4204" s="42">
        <f t="shared" si="660"/>
        <v>0</v>
      </c>
      <c r="J4204" s="65" t="e">
        <f t="shared" si="661"/>
        <v>#NUM!</v>
      </c>
      <c r="K4204" s="83" t="e">
        <f t="shared" si="662"/>
        <v>#NUM!</v>
      </c>
      <c r="L4204" s="83">
        <f t="shared" si="663"/>
        <v>0</v>
      </c>
      <c r="M4204" s="110" t="str">
        <f t="shared" si="664"/>
        <v/>
      </c>
      <c r="N4204" s="51" t="str">
        <f t="shared" si="665"/>
        <v/>
      </c>
      <c r="O4204" s="52" t="str">
        <f t="shared" si="666"/>
        <v/>
      </c>
      <c r="P4204" s="88">
        <f t="shared" si="667"/>
        <v>0</v>
      </c>
      <c r="Q4204" s="88">
        <f t="shared" si="668"/>
        <v>0</v>
      </c>
      <c r="R4204" s="88" t="e">
        <f>-IF(Tabla14[[#This Row],[DIAS HABILES O MORA]]&lt;0,(Tabla14[[#This Row],[VALOR PRESTAMO]]*Tabla14[[#This Row],[% INTERES ]]/30*U4204))+Tabla14[[#This Row],[VALOR CUOTAS]]</f>
        <v>#VALUE!</v>
      </c>
      <c r="S4204" s="88">
        <f>-IF(Tabla14[[#This Row],[DIAS HABILES O MORA]]&lt;0,(Tabla14[[#This Row],[VALOR PRESTAMO]]*Tabla14[[#This Row],[% INTERES ]]/30*U4204))</f>
        <v>0</v>
      </c>
      <c r="T4204" s="53" t="e">
        <f>Tabla14[[#This Row],[DEUDA CAPITAL]]+Tabla14[[#This Row],[INTERES  CUOTA]]</f>
        <v>#NUM!</v>
      </c>
      <c r="U4204" s="61" t="str">
        <f t="shared" si="669"/>
        <v/>
      </c>
    </row>
    <row r="4205" spans="9:21" ht="24.75" customHeight="1" x14ac:dyDescent="0.35">
      <c r="I4205" s="42">
        <f t="shared" si="660"/>
        <v>0</v>
      </c>
      <c r="J4205" s="65" t="e">
        <f t="shared" si="661"/>
        <v>#NUM!</v>
      </c>
      <c r="K4205" s="83" t="e">
        <f t="shared" si="662"/>
        <v>#NUM!</v>
      </c>
      <c r="L4205" s="83">
        <f t="shared" si="663"/>
        <v>0</v>
      </c>
      <c r="M4205" s="110" t="str">
        <f t="shared" si="664"/>
        <v/>
      </c>
      <c r="N4205" s="51" t="str">
        <f t="shared" si="665"/>
        <v/>
      </c>
      <c r="O4205" s="52" t="str">
        <f t="shared" si="666"/>
        <v/>
      </c>
      <c r="P4205" s="88">
        <f t="shared" si="667"/>
        <v>0</v>
      </c>
      <c r="Q4205" s="88">
        <f t="shared" si="668"/>
        <v>0</v>
      </c>
      <c r="R4205" s="88" t="e">
        <f>-IF(Tabla14[[#This Row],[DIAS HABILES O MORA]]&lt;0,(Tabla14[[#This Row],[VALOR PRESTAMO]]*Tabla14[[#This Row],[% INTERES ]]/30*U4205))+Tabla14[[#This Row],[VALOR CUOTAS]]</f>
        <v>#VALUE!</v>
      </c>
      <c r="S4205" s="88">
        <f>-IF(Tabla14[[#This Row],[DIAS HABILES O MORA]]&lt;0,(Tabla14[[#This Row],[VALOR PRESTAMO]]*Tabla14[[#This Row],[% INTERES ]]/30*U4205))</f>
        <v>0</v>
      </c>
      <c r="T4205" s="53" t="e">
        <f>Tabla14[[#This Row],[DEUDA CAPITAL]]+Tabla14[[#This Row],[INTERES  CUOTA]]</f>
        <v>#NUM!</v>
      </c>
      <c r="U4205" s="61" t="str">
        <f t="shared" si="669"/>
        <v/>
      </c>
    </row>
    <row r="4206" spans="9:21" ht="24.75" customHeight="1" x14ac:dyDescent="0.35">
      <c r="I4206" s="42">
        <f t="shared" si="660"/>
        <v>0</v>
      </c>
      <c r="J4206" s="65" t="e">
        <f t="shared" si="661"/>
        <v>#NUM!</v>
      </c>
      <c r="K4206" s="83" t="e">
        <f t="shared" si="662"/>
        <v>#NUM!</v>
      </c>
      <c r="L4206" s="83">
        <f t="shared" si="663"/>
        <v>0</v>
      </c>
      <c r="M4206" s="110" t="str">
        <f t="shared" si="664"/>
        <v/>
      </c>
      <c r="N4206" s="51" t="str">
        <f t="shared" si="665"/>
        <v/>
      </c>
      <c r="O4206" s="52" t="str">
        <f t="shared" si="666"/>
        <v/>
      </c>
      <c r="P4206" s="88">
        <f t="shared" si="667"/>
        <v>0</v>
      </c>
      <c r="Q4206" s="88">
        <f t="shared" si="668"/>
        <v>0</v>
      </c>
      <c r="R4206" s="88" t="e">
        <f>-IF(Tabla14[[#This Row],[DIAS HABILES O MORA]]&lt;0,(Tabla14[[#This Row],[VALOR PRESTAMO]]*Tabla14[[#This Row],[% INTERES ]]/30*U4206))+Tabla14[[#This Row],[VALOR CUOTAS]]</f>
        <v>#VALUE!</v>
      </c>
      <c r="S4206" s="88">
        <f>-IF(Tabla14[[#This Row],[DIAS HABILES O MORA]]&lt;0,(Tabla14[[#This Row],[VALOR PRESTAMO]]*Tabla14[[#This Row],[% INTERES ]]/30*U4206))</f>
        <v>0</v>
      </c>
      <c r="T4206" s="53" t="e">
        <f>Tabla14[[#This Row],[DEUDA CAPITAL]]+Tabla14[[#This Row],[INTERES  CUOTA]]</f>
        <v>#NUM!</v>
      </c>
      <c r="U4206" s="61" t="str">
        <f t="shared" si="669"/>
        <v/>
      </c>
    </row>
    <row r="4207" spans="9:21" ht="24.75" customHeight="1" x14ac:dyDescent="0.35">
      <c r="I4207" s="42">
        <f t="shared" si="660"/>
        <v>0</v>
      </c>
      <c r="J4207" s="65" t="e">
        <f t="shared" si="661"/>
        <v>#NUM!</v>
      </c>
      <c r="K4207" s="83" t="e">
        <f t="shared" si="662"/>
        <v>#NUM!</v>
      </c>
      <c r="L4207" s="83">
        <f t="shared" si="663"/>
        <v>0</v>
      </c>
      <c r="M4207" s="110" t="str">
        <f t="shared" si="664"/>
        <v/>
      </c>
      <c r="N4207" s="51" t="str">
        <f t="shared" si="665"/>
        <v/>
      </c>
      <c r="O4207" s="52" t="str">
        <f t="shared" si="666"/>
        <v/>
      </c>
      <c r="P4207" s="88">
        <f t="shared" si="667"/>
        <v>0</v>
      </c>
      <c r="Q4207" s="88">
        <f t="shared" si="668"/>
        <v>0</v>
      </c>
      <c r="R4207" s="88" t="e">
        <f>-IF(Tabla14[[#This Row],[DIAS HABILES O MORA]]&lt;0,(Tabla14[[#This Row],[VALOR PRESTAMO]]*Tabla14[[#This Row],[% INTERES ]]/30*U4207))+Tabla14[[#This Row],[VALOR CUOTAS]]</f>
        <v>#VALUE!</v>
      </c>
      <c r="S4207" s="88">
        <f>-IF(Tabla14[[#This Row],[DIAS HABILES O MORA]]&lt;0,(Tabla14[[#This Row],[VALOR PRESTAMO]]*Tabla14[[#This Row],[% INTERES ]]/30*U4207))</f>
        <v>0</v>
      </c>
      <c r="T4207" s="53" t="e">
        <f>Tabla14[[#This Row],[DEUDA CAPITAL]]+Tabla14[[#This Row],[INTERES  CUOTA]]</f>
        <v>#NUM!</v>
      </c>
      <c r="U4207" s="61" t="str">
        <f t="shared" si="669"/>
        <v/>
      </c>
    </row>
    <row r="4208" spans="9:21" ht="24.75" customHeight="1" x14ac:dyDescent="0.35">
      <c r="I4208" s="42">
        <f t="shared" si="660"/>
        <v>0</v>
      </c>
      <c r="J4208" s="65" t="e">
        <f t="shared" si="661"/>
        <v>#NUM!</v>
      </c>
      <c r="K4208" s="83" t="e">
        <f t="shared" si="662"/>
        <v>#NUM!</v>
      </c>
      <c r="L4208" s="83">
        <f t="shared" si="663"/>
        <v>0</v>
      </c>
      <c r="M4208" s="110" t="str">
        <f t="shared" si="664"/>
        <v/>
      </c>
      <c r="N4208" s="51" t="str">
        <f t="shared" si="665"/>
        <v/>
      </c>
      <c r="O4208" s="52" t="str">
        <f t="shared" si="666"/>
        <v/>
      </c>
      <c r="P4208" s="88">
        <f t="shared" si="667"/>
        <v>0</v>
      </c>
      <c r="Q4208" s="88">
        <f t="shared" si="668"/>
        <v>0</v>
      </c>
      <c r="R4208" s="88" t="e">
        <f>-IF(Tabla14[[#This Row],[DIAS HABILES O MORA]]&lt;0,(Tabla14[[#This Row],[VALOR PRESTAMO]]*Tabla14[[#This Row],[% INTERES ]]/30*U4208))+Tabla14[[#This Row],[VALOR CUOTAS]]</f>
        <v>#VALUE!</v>
      </c>
      <c r="S4208" s="88">
        <f>-IF(Tabla14[[#This Row],[DIAS HABILES O MORA]]&lt;0,(Tabla14[[#This Row],[VALOR PRESTAMO]]*Tabla14[[#This Row],[% INTERES ]]/30*U4208))</f>
        <v>0</v>
      </c>
      <c r="T4208" s="53" t="e">
        <f>Tabla14[[#This Row],[DEUDA CAPITAL]]+Tabla14[[#This Row],[INTERES  CUOTA]]</f>
        <v>#NUM!</v>
      </c>
      <c r="U4208" s="61" t="str">
        <f t="shared" si="669"/>
        <v/>
      </c>
    </row>
    <row r="4209" spans="9:21" ht="24.75" customHeight="1" x14ac:dyDescent="0.35">
      <c r="I4209" s="42">
        <f t="shared" si="660"/>
        <v>0</v>
      </c>
      <c r="J4209" s="65" t="e">
        <f t="shared" si="661"/>
        <v>#NUM!</v>
      </c>
      <c r="K4209" s="83" t="e">
        <f t="shared" si="662"/>
        <v>#NUM!</v>
      </c>
      <c r="L4209" s="83">
        <f t="shared" si="663"/>
        <v>0</v>
      </c>
      <c r="M4209" s="110" t="str">
        <f t="shared" si="664"/>
        <v/>
      </c>
      <c r="N4209" s="51" t="str">
        <f t="shared" si="665"/>
        <v/>
      </c>
      <c r="O4209" s="52" t="str">
        <f t="shared" si="666"/>
        <v/>
      </c>
      <c r="P4209" s="88">
        <f t="shared" si="667"/>
        <v>0</v>
      </c>
      <c r="Q4209" s="88">
        <f t="shared" si="668"/>
        <v>0</v>
      </c>
      <c r="R4209" s="88" t="e">
        <f>-IF(Tabla14[[#This Row],[DIAS HABILES O MORA]]&lt;0,(Tabla14[[#This Row],[VALOR PRESTAMO]]*Tabla14[[#This Row],[% INTERES ]]/30*U4209))+Tabla14[[#This Row],[VALOR CUOTAS]]</f>
        <v>#VALUE!</v>
      </c>
      <c r="S4209" s="88">
        <f>-IF(Tabla14[[#This Row],[DIAS HABILES O MORA]]&lt;0,(Tabla14[[#This Row],[VALOR PRESTAMO]]*Tabla14[[#This Row],[% INTERES ]]/30*U4209))</f>
        <v>0</v>
      </c>
      <c r="T4209" s="53" t="e">
        <f>Tabla14[[#This Row],[DEUDA CAPITAL]]+Tabla14[[#This Row],[INTERES  CUOTA]]</f>
        <v>#NUM!</v>
      </c>
      <c r="U4209" s="61" t="str">
        <f t="shared" si="669"/>
        <v/>
      </c>
    </row>
    <row r="4210" spans="9:21" ht="24.75" customHeight="1" x14ac:dyDescent="0.35">
      <c r="I4210" s="42">
        <f t="shared" si="660"/>
        <v>0</v>
      </c>
      <c r="J4210" s="65" t="e">
        <f t="shared" si="661"/>
        <v>#NUM!</v>
      </c>
      <c r="K4210" s="83" t="e">
        <f t="shared" si="662"/>
        <v>#NUM!</v>
      </c>
      <c r="L4210" s="83">
        <f t="shared" si="663"/>
        <v>0</v>
      </c>
      <c r="M4210" s="110" t="str">
        <f t="shared" si="664"/>
        <v/>
      </c>
      <c r="N4210" s="51" t="str">
        <f t="shared" si="665"/>
        <v/>
      </c>
      <c r="O4210" s="52" t="str">
        <f t="shared" si="666"/>
        <v/>
      </c>
      <c r="P4210" s="88">
        <f t="shared" si="667"/>
        <v>0</v>
      </c>
      <c r="Q4210" s="88">
        <f t="shared" si="668"/>
        <v>0</v>
      </c>
      <c r="R4210" s="88" t="e">
        <f>-IF(Tabla14[[#This Row],[DIAS HABILES O MORA]]&lt;0,(Tabla14[[#This Row],[VALOR PRESTAMO]]*Tabla14[[#This Row],[% INTERES ]]/30*U4210))+Tabla14[[#This Row],[VALOR CUOTAS]]</f>
        <v>#VALUE!</v>
      </c>
      <c r="S4210" s="88">
        <f>-IF(Tabla14[[#This Row],[DIAS HABILES O MORA]]&lt;0,(Tabla14[[#This Row],[VALOR PRESTAMO]]*Tabla14[[#This Row],[% INTERES ]]/30*U4210))</f>
        <v>0</v>
      </c>
      <c r="T4210" s="53" t="e">
        <f>Tabla14[[#This Row],[DEUDA CAPITAL]]+Tabla14[[#This Row],[INTERES  CUOTA]]</f>
        <v>#NUM!</v>
      </c>
      <c r="U4210" s="61" t="str">
        <f t="shared" si="669"/>
        <v/>
      </c>
    </row>
    <row r="4211" spans="9:21" ht="24.75" customHeight="1" x14ac:dyDescent="0.35">
      <c r="I4211" s="42">
        <f t="shared" si="660"/>
        <v>0</v>
      </c>
      <c r="J4211" s="65" t="e">
        <f t="shared" si="661"/>
        <v>#NUM!</v>
      </c>
      <c r="K4211" s="83" t="e">
        <f t="shared" si="662"/>
        <v>#NUM!</v>
      </c>
      <c r="L4211" s="83">
        <f t="shared" si="663"/>
        <v>0</v>
      </c>
      <c r="M4211" s="110" t="str">
        <f t="shared" si="664"/>
        <v/>
      </c>
      <c r="N4211" s="51" t="str">
        <f t="shared" si="665"/>
        <v/>
      </c>
      <c r="O4211" s="52" t="str">
        <f t="shared" si="666"/>
        <v/>
      </c>
      <c r="P4211" s="88">
        <f t="shared" si="667"/>
        <v>0</v>
      </c>
      <c r="Q4211" s="88">
        <f t="shared" si="668"/>
        <v>0</v>
      </c>
      <c r="R4211" s="88" t="e">
        <f>-IF(Tabla14[[#This Row],[DIAS HABILES O MORA]]&lt;0,(Tabla14[[#This Row],[VALOR PRESTAMO]]*Tabla14[[#This Row],[% INTERES ]]/30*U4211))+Tabla14[[#This Row],[VALOR CUOTAS]]</f>
        <v>#VALUE!</v>
      </c>
      <c r="S4211" s="88">
        <f>-IF(Tabla14[[#This Row],[DIAS HABILES O MORA]]&lt;0,(Tabla14[[#This Row],[VALOR PRESTAMO]]*Tabla14[[#This Row],[% INTERES ]]/30*U4211))</f>
        <v>0</v>
      </c>
      <c r="T4211" s="53" t="e">
        <f>Tabla14[[#This Row],[DEUDA CAPITAL]]+Tabla14[[#This Row],[INTERES  CUOTA]]</f>
        <v>#NUM!</v>
      </c>
      <c r="U4211" s="61" t="str">
        <f t="shared" si="669"/>
        <v/>
      </c>
    </row>
    <row r="4212" spans="9:21" ht="24.75" customHeight="1" x14ac:dyDescent="0.35">
      <c r="I4212" s="42">
        <f t="shared" si="660"/>
        <v>0</v>
      </c>
      <c r="J4212" s="65" t="e">
        <f t="shared" si="661"/>
        <v>#NUM!</v>
      </c>
      <c r="K4212" s="83" t="e">
        <f t="shared" si="662"/>
        <v>#NUM!</v>
      </c>
      <c r="L4212" s="83">
        <f t="shared" si="663"/>
        <v>0</v>
      </c>
      <c r="M4212" s="110" t="str">
        <f t="shared" si="664"/>
        <v/>
      </c>
      <c r="N4212" s="51" t="str">
        <f t="shared" si="665"/>
        <v/>
      </c>
      <c r="O4212" s="52" t="str">
        <f t="shared" si="666"/>
        <v/>
      </c>
      <c r="P4212" s="88">
        <f t="shared" si="667"/>
        <v>0</v>
      </c>
      <c r="Q4212" s="88">
        <f t="shared" si="668"/>
        <v>0</v>
      </c>
      <c r="R4212" s="88" t="e">
        <f>-IF(Tabla14[[#This Row],[DIAS HABILES O MORA]]&lt;0,(Tabla14[[#This Row],[VALOR PRESTAMO]]*Tabla14[[#This Row],[% INTERES ]]/30*U4212))+Tabla14[[#This Row],[VALOR CUOTAS]]</f>
        <v>#VALUE!</v>
      </c>
      <c r="S4212" s="88">
        <f>-IF(Tabla14[[#This Row],[DIAS HABILES O MORA]]&lt;0,(Tabla14[[#This Row],[VALOR PRESTAMO]]*Tabla14[[#This Row],[% INTERES ]]/30*U4212))</f>
        <v>0</v>
      </c>
      <c r="T4212" s="53" t="e">
        <f>Tabla14[[#This Row],[DEUDA CAPITAL]]+Tabla14[[#This Row],[INTERES  CUOTA]]</f>
        <v>#NUM!</v>
      </c>
      <c r="U4212" s="61" t="str">
        <f t="shared" si="669"/>
        <v/>
      </c>
    </row>
    <row r="4213" spans="9:21" ht="24.75" customHeight="1" x14ac:dyDescent="0.35">
      <c r="I4213" s="42">
        <f t="shared" si="660"/>
        <v>0</v>
      </c>
      <c r="J4213" s="65" t="e">
        <f t="shared" si="661"/>
        <v>#NUM!</v>
      </c>
      <c r="K4213" s="83" t="e">
        <f t="shared" si="662"/>
        <v>#NUM!</v>
      </c>
      <c r="L4213" s="83">
        <f t="shared" si="663"/>
        <v>0</v>
      </c>
      <c r="M4213" s="110" t="str">
        <f t="shared" si="664"/>
        <v/>
      </c>
      <c r="N4213" s="51" t="str">
        <f t="shared" si="665"/>
        <v/>
      </c>
      <c r="O4213" s="52" t="str">
        <f t="shared" si="666"/>
        <v/>
      </c>
      <c r="P4213" s="88">
        <f t="shared" si="667"/>
        <v>0</v>
      </c>
      <c r="Q4213" s="88">
        <f t="shared" si="668"/>
        <v>0</v>
      </c>
      <c r="R4213" s="88" t="e">
        <f>-IF(Tabla14[[#This Row],[DIAS HABILES O MORA]]&lt;0,(Tabla14[[#This Row],[VALOR PRESTAMO]]*Tabla14[[#This Row],[% INTERES ]]/30*U4213))+Tabla14[[#This Row],[VALOR CUOTAS]]</f>
        <v>#VALUE!</v>
      </c>
      <c r="S4213" s="88">
        <f>-IF(Tabla14[[#This Row],[DIAS HABILES O MORA]]&lt;0,(Tabla14[[#This Row],[VALOR PRESTAMO]]*Tabla14[[#This Row],[% INTERES ]]/30*U4213))</f>
        <v>0</v>
      </c>
      <c r="T4213" s="53" t="e">
        <f>Tabla14[[#This Row],[DEUDA CAPITAL]]+Tabla14[[#This Row],[INTERES  CUOTA]]</f>
        <v>#NUM!</v>
      </c>
      <c r="U4213" s="61" t="str">
        <f t="shared" si="669"/>
        <v/>
      </c>
    </row>
    <row r="4214" spans="9:21" ht="24.75" customHeight="1" x14ac:dyDescent="0.35">
      <c r="I4214" s="42">
        <f t="shared" si="660"/>
        <v>0</v>
      </c>
      <c r="J4214" s="65" t="e">
        <f t="shared" si="661"/>
        <v>#NUM!</v>
      </c>
      <c r="K4214" s="83" t="e">
        <f t="shared" si="662"/>
        <v>#NUM!</v>
      </c>
      <c r="L4214" s="83">
        <f t="shared" si="663"/>
        <v>0</v>
      </c>
      <c r="M4214" s="110" t="str">
        <f t="shared" si="664"/>
        <v/>
      </c>
      <c r="N4214" s="51" t="str">
        <f t="shared" si="665"/>
        <v/>
      </c>
      <c r="O4214" s="52" t="str">
        <f t="shared" si="666"/>
        <v/>
      </c>
      <c r="P4214" s="88">
        <f t="shared" si="667"/>
        <v>0</v>
      </c>
      <c r="Q4214" s="88">
        <f t="shared" si="668"/>
        <v>0</v>
      </c>
      <c r="R4214" s="88" t="e">
        <f>-IF(Tabla14[[#This Row],[DIAS HABILES O MORA]]&lt;0,(Tabla14[[#This Row],[VALOR PRESTAMO]]*Tabla14[[#This Row],[% INTERES ]]/30*U4214))+Tabla14[[#This Row],[VALOR CUOTAS]]</f>
        <v>#VALUE!</v>
      </c>
      <c r="S4214" s="88">
        <f>-IF(Tabla14[[#This Row],[DIAS HABILES O MORA]]&lt;0,(Tabla14[[#This Row],[VALOR PRESTAMO]]*Tabla14[[#This Row],[% INTERES ]]/30*U4214))</f>
        <v>0</v>
      </c>
      <c r="T4214" s="53" t="e">
        <f>Tabla14[[#This Row],[DEUDA CAPITAL]]+Tabla14[[#This Row],[INTERES  CUOTA]]</f>
        <v>#NUM!</v>
      </c>
      <c r="U4214" s="61" t="str">
        <f t="shared" si="669"/>
        <v/>
      </c>
    </row>
    <row r="4215" spans="9:21" ht="24.75" customHeight="1" x14ac:dyDescent="0.35">
      <c r="I4215" s="42">
        <f t="shared" si="660"/>
        <v>0</v>
      </c>
      <c r="J4215" s="65" t="e">
        <f t="shared" si="661"/>
        <v>#NUM!</v>
      </c>
      <c r="K4215" s="83" t="e">
        <f t="shared" si="662"/>
        <v>#NUM!</v>
      </c>
      <c r="L4215" s="83">
        <f t="shared" si="663"/>
        <v>0</v>
      </c>
      <c r="M4215" s="110" t="str">
        <f t="shared" si="664"/>
        <v/>
      </c>
      <c r="N4215" s="51" t="str">
        <f t="shared" si="665"/>
        <v/>
      </c>
      <c r="O4215" s="52" t="str">
        <f t="shared" si="666"/>
        <v/>
      </c>
      <c r="P4215" s="88">
        <f t="shared" si="667"/>
        <v>0</v>
      </c>
      <c r="Q4215" s="88">
        <f t="shared" si="668"/>
        <v>0</v>
      </c>
      <c r="R4215" s="88" t="e">
        <f>-IF(Tabla14[[#This Row],[DIAS HABILES O MORA]]&lt;0,(Tabla14[[#This Row],[VALOR PRESTAMO]]*Tabla14[[#This Row],[% INTERES ]]/30*U4215))+Tabla14[[#This Row],[VALOR CUOTAS]]</f>
        <v>#VALUE!</v>
      </c>
      <c r="S4215" s="88">
        <f>-IF(Tabla14[[#This Row],[DIAS HABILES O MORA]]&lt;0,(Tabla14[[#This Row],[VALOR PRESTAMO]]*Tabla14[[#This Row],[% INTERES ]]/30*U4215))</f>
        <v>0</v>
      </c>
      <c r="T4215" s="53" t="e">
        <f>Tabla14[[#This Row],[DEUDA CAPITAL]]+Tabla14[[#This Row],[INTERES  CUOTA]]</f>
        <v>#NUM!</v>
      </c>
      <c r="U4215" s="61" t="str">
        <f t="shared" si="669"/>
        <v/>
      </c>
    </row>
    <row r="4216" spans="9:21" ht="24.75" customHeight="1" x14ac:dyDescent="0.35">
      <c r="I4216" s="42">
        <f t="shared" si="660"/>
        <v>0</v>
      </c>
      <c r="J4216" s="65" t="e">
        <f t="shared" si="661"/>
        <v>#NUM!</v>
      </c>
      <c r="K4216" s="83" t="e">
        <f t="shared" si="662"/>
        <v>#NUM!</v>
      </c>
      <c r="L4216" s="83">
        <f t="shared" si="663"/>
        <v>0</v>
      </c>
      <c r="M4216" s="110" t="str">
        <f t="shared" si="664"/>
        <v/>
      </c>
      <c r="N4216" s="51" t="str">
        <f t="shared" si="665"/>
        <v/>
      </c>
      <c r="O4216" s="52" t="str">
        <f t="shared" si="666"/>
        <v/>
      </c>
      <c r="P4216" s="88">
        <f t="shared" si="667"/>
        <v>0</v>
      </c>
      <c r="Q4216" s="88">
        <f t="shared" si="668"/>
        <v>0</v>
      </c>
      <c r="R4216" s="88" t="e">
        <f>-IF(Tabla14[[#This Row],[DIAS HABILES O MORA]]&lt;0,(Tabla14[[#This Row],[VALOR PRESTAMO]]*Tabla14[[#This Row],[% INTERES ]]/30*U4216))+Tabla14[[#This Row],[VALOR CUOTAS]]</f>
        <v>#VALUE!</v>
      </c>
      <c r="S4216" s="88">
        <f>-IF(Tabla14[[#This Row],[DIAS HABILES O MORA]]&lt;0,(Tabla14[[#This Row],[VALOR PRESTAMO]]*Tabla14[[#This Row],[% INTERES ]]/30*U4216))</f>
        <v>0</v>
      </c>
      <c r="T4216" s="53" t="e">
        <f>Tabla14[[#This Row],[DEUDA CAPITAL]]+Tabla14[[#This Row],[INTERES  CUOTA]]</f>
        <v>#NUM!</v>
      </c>
      <c r="U4216" s="61" t="str">
        <f t="shared" si="669"/>
        <v/>
      </c>
    </row>
    <row r="4217" spans="9:21" ht="24.75" customHeight="1" x14ac:dyDescent="0.35">
      <c r="I4217" s="42">
        <f t="shared" si="660"/>
        <v>0</v>
      </c>
      <c r="J4217" s="65" t="e">
        <f t="shared" si="661"/>
        <v>#NUM!</v>
      </c>
      <c r="K4217" s="83" t="e">
        <f t="shared" si="662"/>
        <v>#NUM!</v>
      </c>
      <c r="L4217" s="83">
        <f t="shared" si="663"/>
        <v>0</v>
      </c>
      <c r="M4217" s="110" t="str">
        <f t="shared" si="664"/>
        <v/>
      </c>
      <c r="N4217" s="51" t="str">
        <f t="shared" si="665"/>
        <v/>
      </c>
      <c r="O4217" s="52" t="str">
        <f t="shared" si="666"/>
        <v/>
      </c>
      <c r="P4217" s="88">
        <f t="shared" si="667"/>
        <v>0</v>
      </c>
      <c r="Q4217" s="88">
        <f t="shared" si="668"/>
        <v>0</v>
      </c>
      <c r="R4217" s="88" t="e">
        <f>-IF(Tabla14[[#This Row],[DIAS HABILES O MORA]]&lt;0,(Tabla14[[#This Row],[VALOR PRESTAMO]]*Tabla14[[#This Row],[% INTERES ]]/30*U4217))+Tabla14[[#This Row],[VALOR CUOTAS]]</f>
        <v>#VALUE!</v>
      </c>
      <c r="S4217" s="88">
        <f>-IF(Tabla14[[#This Row],[DIAS HABILES O MORA]]&lt;0,(Tabla14[[#This Row],[VALOR PRESTAMO]]*Tabla14[[#This Row],[% INTERES ]]/30*U4217))</f>
        <v>0</v>
      </c>
      <c r="T4217" s="53" t="e">
        <f>Tabla14[[#This Row],[DEUDA CAPITAL]]+Tabla14[[#This Row],[INTERES  CUOTA]]</f>
        <v>#NUM!</v>
      </c>
      <c r="U4217" s="61" t="str">
        <f t="shared" si="669"/>
        <v/>
      </c>
    </row>
    <row r="4218" spans="9:21" ht="24.75" customHeight="1" x14ac:dyDescent="0.35">
      <c r="I4218" s="42">
        <f t="shared" si="660"/>
        <v>0</v>
      </c>
      <c r="J4218" s="65" t="e">
        <f t="shared" si="661"/>
        <v>#NUM!</v>
      </c>
      <c r="K4218" s="83" t="e">
        <f t="shared" si="662"/>
        <v>#NUM!</v>
      </c>
      <c r="L4218" s="83">
        <f t="shared" si="663"/>
        <v>0</v>
      </c>
      <c r="M4218" s="110" t="str">
        <f t="shared" si="664"/>
        <v/>
      </c>
      <c r="N4218" s="51" t="str">
        <f t="shared" si="665"/>
        <v/>
      </c>
      <c r="O4218" s="52" t="str">
        <f t="shared" si="666"/>
        <v/>
      </c>
      <c r="P4218" s="88">
        <f t="shared" si="667"/>
        <v>0</v>
      </c>
      <c r="Q4218" s="88">
        <f t="shared" si="668"/>
        <v>0</v>
      </c>
      <c r="R4218" s="88" t="e">
        <f>-IF(Tabla14[[#This Row],[DIAS HABILES O MORA]]&lt;0,(Tabla14[[#This Row],[VALOR PRESTAMO]]*Tabla14[[#This Row],[% INTERES ]]/30*U4218))+Tabla14[[#This Row],[VALOR CUOTAS]]</f>
        <v>#VALUE!</v>
      </c>
      <c r="S4218" s="88">
        <f>-IF(Tabla14[[#This Row],[DIAS HABILES O MORA]]&lt;0,(Tabla14[[#This Row],[VALOR PRESTAMO]]*Tabla14[[#This Row],[% INTERES ]]/30*U4218))</f>
        <v>0</v>
      </c>
      <c r="T4218" s="53" t="e">
        <f>Tabla14[[#This Row],[DEUDA CAPITAL]]+Tabla14[[#This Row],[INTERES  CUOTA]]</f>
        <v>#NUM!</v>
      </c>
      <c r="U4218" s="61" t="str">
        <f t="shared" si="669"/>
        <v/>
      </c>
    </row>
    <row r="4219" spans="9:21" ht="24.75" customHeight="1" x14ac:dyDescent="0.35">
      <c r="I4219" s="42">
        <f t="shared" si="660"/>
        <v>0</v>
      </c>
      <c r="J4219" s="65" t="e">
        <f t="shared" si="661"/>
        <v>#NUM!</v>
      </c>
      <c r="K4219" s="83" t="e">
        <f t="shared" si="662"/>
        <v>#NUM!</v>
      </c>
      <c r="L4219" s="83">
        <f t="shared" si="663"/>
        <v>0</v>
      </c>
      <c r="M4219" s="110" t="str">
        <f t="shared" si="664"/>
        <v/>
      </c>
      <c r="N4219" s="51" t="str">
        <f t="shared" si="665"/>
        <v/>
      </c>
      <c r="O4219" s="52" t="str">
        <f t="shared" si="666"/>
        <v/>
      </c>
      <c r="P4219" s="88">
        <f t="shared" si="667"/>
        <v>0</v>
      </c>
      <c r="Q4219" s="88">
        <f t="shared" si="668"/>
        <v>0</v>
      </c>
      <c r="R4219" s="88" t="e">
        <f>-IF(Tabla14[[#This Row],[DIAS HABILES O MORA]]&lt;0,(Tabla14[[#This Row],[VALOR PRESTAMO]]*Tabla14[[#This Row],[% INTERES ]]/30*U4219))+Tabla14[[#This Row],[VALOR CUOTAS]]</f>
        <v>#VALUE!</v>
      </c>
      <c r="S4219" s="88">
        <f>-IF(Tabla14[[#This Row],[DIAS HABILES O MORA]]&lt;0,(Tabla14[[#This Row],[VALOR PRESTAMO]]*Tabla14[[#This Row],[% INTERES ]]/30*U4219))</f>
        <v>0</v>
      </c>
      <c r="T4219" s="53" t="e">
        <f>Tabla14[[#This Row],[DEUDA CAPITAL]]+Tabla14[[#This Row],[INTERES  CUOTA]]</f>
        <v>#NUM!</v>
      </c>
      <c r="U4219" s="61" t="str">
        <f t="shared" si="669"/>
        <v/>
      </c>
    </row>
    <row r="4220" spans="9:21" ht="24.75" customHeight="1" x14ac:dyDescent="0.35">
      <c r="I4220" s="42">
        <f t="shared" si="660"/>
        <v>0</v>
      </c>
      <c r="J4220" s="65" t="e">
        <f t="shared" si="661"/>
        <v>#NUM!</v>
      </c>
      <c r="K4220" s="83" t="e">
        <f t="shared" si="662"/>
        <v>#NUM!</v>
      </c>
      <c r="L4220" s="83">
        <f t="shared" si="663"/>
        <v>0</v>
      </c>
      <c r="M4220" s="110" t="str">
        <f t="shared" si="664"/>
        <v/>
      </c>
      <c r="N4220" s="51" t="str">
        <f t="shared" si="665"/>
        <v/>
      </c>
      <c r="O4220" s="52" t="str">
        <f t="shared" si="666"/>
        <v/>
      </c>
      <c r="P4220" s="88">
        <f t="shared" si="667"/>
        <v>0</v>
      </c>
      <c r="Q4220" s="88">
        <f t="shared" si="668"/>
        <v>0</v>
      </c>
      <c r="R4220" s="88" t="e">
        <f>-IF(Tabla14[[#This Row],[DIAS HABILES O MORA]]&lt;0,(Tabla14[[#This Row],[VALOR PRESTAMO]]*Tabla14[[#This Row],[% INTERES ]]/30*U4220))+Tabla14[[#This Row],[VALOR CUOTAS]]</f>
        <v>#VALUE!</v>
      </c>
      <c r="S4220" s="88">
        <f>-IF(Tabla14[[#This Row],[DIAS HABILES O MORA]]&lt;0,(Tabla14[[#This Row],[VALOR PRESTAMO]]*Tabla14[[#This Row],[% INTERES ]]/30*U4220))</f>
        <v>0</v>
      </c>
      <c r="T4220" s="53" t="e">
        <f>Tabla14[[#This Row],[DEUDA CAPITAL]]+Tabla14[[#This Row],[INTERES  CUOTA]]</f>
        <v>#NUM!</v>
      </c>
      <c r="U4220" s="61" t="str">
        <f t="shared" si="669"/>
        <v/>
      </c>
    </row>
    <row r="4221" spans="9:21" ht="24.75" customHeight="1" x14ac:dyDescent="0.35">
      <c r="I4221" s="42">
        <f t="shared" si="660"/>
        <v>0</v>
      </c>
      <c r="J4221" s="65" t="e">
        <f t="shared" si="661"/>
        <v>#NUM!</v>
      </c>
      <c r="K4221" s="83" t="e">
        <f t="shared" si="662"/>
        <v>#NUM!</v>
      </c>
      <c r="L4221" s="83">
        <f t="shared" si="663"/>
        <v>0</v>
      </c>
      <c r="M4221" s="110" t="str">
        <f t="shared" si="664"/>
        <v/>
      </c>
      <c r="N4221" s="51" t="str">
        <f t="shared" si="665"/>
        <v/>
      </c>
      <c r="O4221" s="52" t="str">
        <f t="shared" si="666"/>
        <v/>
      </c>
      <c r="P4221" s="88">
        <f t="shared" si="667"/>
        <v>0</v>
      </c>
      <c r="Q4221" s="88">
        <f t="shared" si="668"/>
        <v>0</v>
      </c>
      <c r="R4221" s="88" t="e">
        <f>-IF(Tabla14[[#This Row],[DIAS HABILES O MORA]]&lt;0,(Tabla14[[#This Row],[VALOR PRESTAMO]]*Tabla14[[#This Row],[% INTERES ]]/30*U4221))+Tabla14[[#This Row],[VALOR CUOTAS]]</f>
        <v>#VALUE!</v>
      </c>
      <c r="S4221" s="88">
        <f>-IF(Tabla14[[#This Row],[DIAS HABILES O MORA]]&lt;0,(Tabla14[[#This Row],[VALOR PRESTAMO]]*Tabla14[[#This Row],[% INTERES ]]/30*U4221))</f>
        <v>0</v>
      </c>
      <c r="T4221" s="53" t="e">
        <f>Tabla14[[#This Row],[DEUDA CAPITAL]]+Tabla14[[#This Row],[INTERES  CUOTA]]</f>
        <v>#NUM!</v>
      </c>
      <c r="U4221" s="61" t="str">
        <f t="shared" si="669"/>
        <v/>
      </c>
    </row>
    <row r="4222" spans="9:21" ht="24.75" customHeight="1" x14ac:dyDescent="0.35">
      <c r="I4222" s="42">
        <f t="shared" si="660"/>
        <v>0</v>
      </c>
      <c r="J4222" s="65" t="e">
        <f t="shared" si="661"/>
        <v>#NUM!</v>
      </c>
      <c r="K4222" s="83" t="e">
        <f t="shared" si="662"/>
        <v>#NUM!</v>
      </c>
      <c r="L4222" s="83">
        <f t="shared" si="663"/>
        <v>0</v>
      </c>
      <c r="M4222" s="110" t="str">
        <f t="shared" si="664"/>
        <v/>
      </c>
      <c r="N4222" s="51" t="str">
        <f t="shared" si="665"/>
        <v/>
      </c>
      <c r="O4222" s="52" t="str">
        <f t="shared" si="666"/>
        <v/>
      </c>
      <c r="P4222" s="88">
        <f t="shared" si="667"/>
        <v>0</v>
      </c>
      <c r="Q4222" s="88">
        <f t="shared" si="668"/>
        <v>0</v>
      </c>
      <c r="R4222" s="88" t="e">
        <f>-IF(Tabla14[[#This Row],[DIAS HABILES O MORA]]&lt;0,(Tabla14[[#This Row],[VALOR PRESTAMO]]*Tabla14[[#This Row],[% INTERES ]]/30*U4222))+Tabla14[[#This Row],[VALOR CUOTAS]]</f>
        <v>#VALUE!</v>
      </c>
      <c r="S4222" s="88">
        <f>-IF(Tabla14[[#This Row],[DIAS HABILES O MORA]]&lt;0,(Tabla14[[#This Row],[VALOR PRESTAMO]]*Tabla14[[#This Row],[% INTERES ]]/30*U4222))</f>
        <v>0</v>
      </c>
      <c r="T4222" s="53" t="e">
        <f>Tabla14[[#This Row],[DEUDA CAPITAL]]+Tabla14[[#This Row],[INTERES  CUOTA]]</f>
        <v>#NUM!</v>
      </c>
      <c r="U4222" s="61" t="str">
        <f t="shared" si="669"/>
        <v/>
      </c>
    </row>
    <row r="4223" spans="9:21" ht="24.75" customHeight="1" x14ac:dyDescent="0.35">
      <c r="I4223" s="42">
        <f t="shared" si="660"/>
        <v>0</v>
      </c>
      <c r="J4223" s="65" t="e">
        <f t="shared" si="661"/>
        <v>#NUM!</v>
      </c>
      <c r="K4223" s="83" t="e">
        <f t="shared" si="662"/>
        <v>#NUM!</v>
      </c>
      <c r="L4223" s="83">
        <f t="shared" si="663"/>
        <v>0</v>
      </c>
      <c r="M4223" s="110" t="str">
        <f t="shared" si="664"/>
        <v/>
      </c>
      <c r="N4223" s="51" t="str">
        <f t="shared" si="665"/>
        <v/>
      </c>
      <c r="O4223" s="52" t="str">
        <f t="shared" si="666"/>
        <v/>
      </c>
      <c r="P4223" s="88">
        <f t="shared" si="667"/>
        <v>0</v>
      </c>
      <c r="Q4223" s="88">
        <f t="shared" si="668"/>
        <v>0</v>
      </c>
      <c r="R4223" s="88" t="e">
        <f>-IF(Tabla14[[#This Row],[DIAS HABILES O MORA]]&lt;0,(Tabla14[[#This Row],[VALOR PRESTAMO]]*Tabla14[[#This Row],[% INTERES ]]/30*U4223))+Tabla14[[#This Row],[VALOR CUOTAS]]</f>
        <v>#VALUE!</v>
      </c>
      <c r="S4223" s="88">
        <f>-IF(Tabla14[[#This Row],[DIAS HABILES O MORA]]&lt;0,(Tabla14[[#This Row],[VALOR PRESTAMO]]*Tabla14[[#This Row],[% INTERES ]]/30*U4223))</f>
        <v>0</v>
      </c>
      <c r="T4223" s="53" t="e">
        <f>Tabla14[[#This Row],[DEUDA CAPITAL]]+Tabla14[[#This Row],[INTERES  CUOTA]]</f>
        <v>#NUM!</v>
      </c>
      <c r="U4223" s="61" t="str">
        <f t="shared" si="669"/>
        <v/>
      </c>
    </row>
    <row r="4224" spans="9:21" ht="24.75" customHeight="1" x14ac:dyDescent="0.35">
      <c r="I4224" s="42">
        <f t="shared" si="660"/>
        <v>0</v>
      </c>
      <c r="J4224" s="65" t="e">
        <f t="shared" si="661"/>
        <v>#NUM!</v>
      </c>
      <c r="K4224" s="83" t="e">
        <f t="shared" si="662"/>
        <v>#NUM!</v>
      </c>
      <c r="L4224" s="83">
        <f t="shared" si="663"/>
        <v>0</v>
      </c>
      <c r="M4224" s="110" t="str">
        <f t="shared" si="664"/>
        <v/>
      </c>
      <c r="N4224" s="51" t="str">
        <f t="shared" si="665"/>
        <v/>
      </c>
      <c r="O4224" s="52" t="str">
        <f t="shared" si="666"/>
        <v/>
      </c>
      <c r="P4224" s="88">
        <f t="shared" si="667"/>
        <v>0</v>
      </c>
      <c r="Q4224" s="88">
        <f t="shared" si="668"/>
        <v>0</v>
      </c>
      <c r="R4224" s="88" t="e">
        <f>-IF(Tabla14[[#This Row],[DIAS HABILES O MORA]]&lt;0,(Tabla14[[#This Row],[VALOR PRESTAMO]]*Tabla14[[#This Row],[% INTERES ]]/30*U4224))+Tabla14[[#This Row],[VALOR CUOTAS]]</f>
        <v>#VALUE!</v>
      </c>
      <c r="S4224" s="88">
        <f>-IF(Tabla14[[#This Row],[DIAS HABILES O MORA]]&lt;0,(Tabla14[[#This Row],[VALOR PRESTAMO]]*Tabla14[[#This Row],[% INTERES ]]/30*U4224))</f>
        <v>0</v>
      </c>
      <c r="T4224" s="53" t="e">
        <f>Tabla14[[#This Row],[DEUDA CAPITAL]]+Tabla14[[#This Row],[INTERES  CUOTA]]</f>
        <v>#NUM!</v>
      </c>
      <c r="U4224" s="61" t="str">
        <f t="shared" si="669"/>
        <v/>
      </c>
    </row>
    <row r="4225" spans="9:21" ht="24.75" customHeight="1" x14ac:dyDescent="0.35">
      <c r="I4225" s="42">
        <f t="shared" si="660"/>
        <v>0</v>
      </c>
      <c r="J4225" s="65" t="e">
        <f t="shared" si="661"/>
        <v>#NUM!</v>
      </c>
      <c r="K4225" s="83" t="e">
        <f t="shared" si="662"/>
        <v>#NUM!</v>
      </c>
      <c r="L4225" s="83">
        <f t="shared" si="663"/>
        <v>0</v>
      </c>
      <c r="M4225" s="110" t="str">
        <f t="shared" si="664"/>
        <v/>
      </c>
      <c r="N4225" s="51" t="str">
        <f t="shared" si="665"/>
        <v/>
      </c>
      <c r="O4225" s="52" t="str">
        <f t="shared" si="666"/>
        <v/>
      </c>
      <c r="P4225" s="88">
        <f t="shared" si="667"/>
        <v>0</v>
      </c>
      <c r="Q4225" s="88">
        <f t="shared" si="668"/>
        <v>0</v>
      </c>
      <c r="R4225" s="88" t="e">
        <f>-IF(Tabla14[[#This Row],[DIAS HABILES O MORA]]&lt;0,(Tabla14[[#This Row],[VALOR PRESTAMO]]*Tabla14[[#This Row],[% INTERES ]]/30*U4225))+Tabla14[[#This Row],[VALOR CUOTAS]]</f>
        <v>#VALUE!</v>
      </c>
      <c r="S4225" s="88">
        <f>-IF(Tabla14[[#This Row],[DIAS HABILES O MORA]]&lt;0,(Tabla14[[#This Row],[VALOR PRESTAMO]]*Tabla14[[#This Row],[% INTERES ]]/30*U4225))</f>
        <v>0</v>
      </c>
      <c r="T4225" s="53" t="e">
        <f>Tabla14[[#This Row],[DEUDA CAPITAL]]+Tabla14[[#This Row],[INTERES  CUOTA]]</f>
        <v>#NUM!</v>
      </c>
      <c r="U4225" s="61" t="str">
        <f t="shared" si="669"/>
        <v/>
      </c>
    </row>
    <row r="4226" spans="9:21" ht="24.75" customHeight="1" x14ac:dyDescent="0.35">
      <c r="I4226" s="42">
        <f t="shared" si="660"/>
        <v>0</v>
      </c>
      <c r="J4226" s="65" t="e">
        <f t="shared" si="661"/>
        <v>#NUM!</v>
      </c>
      <c r="K4226" s="83" t="e">
        <f t="shared" si="662"/>
        <v>#NUM!</v>
      </c>
      <c r="L4226" s="83">
        <f t="shared" si="663"/>
        <v>0</v>
      </c>
      <c r="M4226" s="110" t="str">
        <f t="shared" si="664"/>
        <v/>
      </c>
      <c r="N4226" s="51" t="str">
        <f t="shared" si="665"/>
        <v/>
      </c>
      <c r="O4226" s="52" t="str">
        <f t="shared" si="666"/>
        <v/>
      </c>
      <c r="P4226" s="88">
        <f t="shared" si="667"/>
        <v>0</v>
      </c>
      <c r="Q4226" s="88">
        <f t="shared" si="668"/>
        <v>0</v>
      </c>
      <c r="R4226" s="88" t="e">
        <f>-IF(Tabla14[[#This Row],[DIAS HABILES O MORA]]&lt;0,(Tabla14[[#This Row],[VALOR PRESTAMO]]*Tabla14[[#This Row],[% INTERES ]]/30*U4226))+Tabla14[[#This Row],[VALOR CUOTAS]]</f>
        <v>#VALUE!</v>
      </c>
      <c r="S4226" s="88">
        <f>-IF(Tabla14[[#This Row],[DIAS HABILES O MORA]]&lt;0,(Tabla14[[#This Row],[VALOR PRESTAMO]]*Tabla14[[#This Row],[% INTERES ]]/30*U4226))</f>
        <v>0</v>
      </c>
      <c r="T4226" s="53" t="e">
        <f>Tabla14[[#This Row],[DEUDA CAPITAL]]+Tabla14[[#This Row],[INTERES  CUOTA]]</f>
        <v>#NUM!</v>
      </c>
      <c r="U4226" s="61" t="str">
        <f t="shared" si="669"/>
        <v/>
      </c>
    </row>
    <row r="4227" spans="9:21" ht="24.75" customHeight="1" x14ac:dyDescent="0.35">
      <c r="I4227" s="42">
        <f t="shared" si="660"/>
        <v>0</v>
      </c>
      <c r="J4227" s="65" t="e">
        <f t="shared" si="661"/>
        <v>#NUM!</v>
      </c>
      <c r="K4227" s="83" t="e">
        <f t="shared" si="662"/>
        <v>#NUM!</v>
      </c>
      <c r="L4227" s="83">
        <f t="shared" si="663"/>
        <v>0</v>
      </c>
      <c r="M4227" s="110" t="str">
        <f t="shared" si="664"/>
        <v/>
      </c>
      <c r="N4227" s="51" t="str">
        <f t="shared" si="665"/>
        <v/>
      </c>
      <c r="O4227" s="52" t="str">
        <f t="shared" si="666"/>
        <v/>
      </c>
      <c r="P4227" s="88">
        <f t="shared" si="667"/>
        <v>0</v>
      </c>
      <c r="Q4227" s="88">
        <f t="shared" si="668"/>
        <v>0</v>
      </c>
      <c r="R4227" s="88" t="e">
        <f>-IF(Tabla14[[#This Row],[DIAS HABILES O MORA]]&lt;0,(Tabla14[[#This Row],[VALOR PRESTAMO]]*Tabla14[[#This Row],[% INTERES ]]/30*U4227))+Tabla14[[#This Row],[VALOR CUOTAS]]</f>
        <v>#VALUE!</v>
      </c>
      <c r="S4227" s="88">
        <f>-IF(Tabla14[[#This Row],[DIAS HABILES O MORA]]&lt;0,(Tabla14[[#This Row],[VALOR PRESTAMO]]*Tabla14[[#This Row],[% INTERES ]]/30*U4227))</f>
        <v>0</v>
      </c>
      <c r="T4227" s="53" t="e">
        <f>Tabla14[[#This Row],[DEUDA CAPITAL]]+Tabla14[[#This Row],[INTERES  CUOTA]]</f>
        <v>#NUM!</v>
      </c>
      <c r="U4227" s="61" t="str">
        <f t="shared" si="669"/>
        <v/>
      </c>
    </row>
    <row r="4228" spans="9:21" ht="24.75" customHeight="1" x14ac:dyDescent="0.35">
      <c r="I4228" s="42">
        <f t="shared" si="660"/>
        <v>0</v>
      </c>
      <c r="J4228" s="65" t="e">
        <f t="shared" si="661"/>
        <v>#NUM!</v>
      </c>
      <c r="K4228" s="83" t="e">
        <f t="shared" si="662"/>
        <v>#NUM!</v>
      </c>
      <c r="L4228" s="83">
        <f t="shared" si="663"/>
        <v>0</v>
      </c>
      <c r="M4228" s="110" t="str">
        <f t="shared" si="664"/>
        <v/>
      </c>
      <c r="N4228" s="51" t="str">
        <f t="shared" si="665"/>
        <v/>
      </c>
      <c r="O4228" s="52" t="str">
        <f t="shared" si="666"/>
        <v/>
      </c>
      <c r="P4228" s="88">
        <f t="shared" si="667"/>
        <v>0</v>
      </c>
      <c r="Q4228" s="88">
        <f t="shared" si="668"/>
        <v>0</v>
      </c>
      <c r="R4228" s="88" t="e">
        <f>-IF(Tabla14[[#This Row],[DIAS HABILES O MORA]]&lt;0,(Tabla14[[#This Row],[VALOR PRESTAMO]]*Tabla14[[#This Row],[% INTERES ]]/30*U4228))+Tabla14[[#This Row],[VALOR CUOTAS]]</f>
        <v>#VALUE!</v>
      </c>
      <c r="S4228" s="88">
        <f>-IF(Tabla14[[#This Row],[DIAS HABILES O MORA]]&lt;0,(Tabla14[[#This Row],[VALOR PRESTAMO]]*Tabla14[[#This Row],[% INTERES ]]/30*U4228))</f>
        <v>0</v>
      </c>
      <c r="T4228" s="53" t="e">
        <f>Tabla14[[#This Row],[DEUDA CAPITAL]]+Tabla14[[#This Row],[INTERES  CUOTA]]</f>
        <v>#NUM!</v>
      </c>
      <c r="U4228" s="61" t="str">
        <f t="shared" si="669"/>
        <v/>
      </c>
    </row>
    <row r="4229" spans="9:21" ht="24.75" customHeight="1" x14ac:dyDescent="0.35">
      <c r="I4229" s="42">
        <f t="shared" si="660"/>
        <v>0</v>
      </c>
      <c r="J4229" s="65" t="e">
        <f t="shared" si="661"/>
        <v>#NUM!</v>
      </c>
      <c r="K4229" s="83" t="e">
        <f t="shared" si="662"/>
        <v>#NUM!</v>
      </c>
      <c r="L4229" s="83">
        <f t="shared" si="663"/>
        <v>0</v>
      </c>
      <c r="M4229" s="110" t="str">
        <f t="shared" si="664"/>
        <v/>
      </c>
      <c r="N4229" s="51" t="str">
        <f t="shared" si="665"/>
        <v/>
      </c>
      <c r="O4229" s="52" t="str">
        <f t="shared" si="666"/>
        <v/>
      </c>
      <c r="P4229" s="88">
        <f t="shared" si="667"/>
        <v>0</v>
      </c>
      <c r="Q4229" s="88">
        <f t="shared" si="668"/>
        <v>0</v>
      </c>
      <c r="R4229" s="88" t="e">
        <f>-IF(Tabla14[[#This Row],[DIAS HABILES O MORA]]&lt;0,(Tabla14[[#This Row],[VALOR PRESTAMO]]*Tabla14[[#This Row],[% INTERES ]]/30*U4229))+Tabla14[[#This Row],[VALOR CUOTAS]]</f>
        <v>#VALUE!</v>
      </c>
      <c r="S4229" s="88">
        <f>-IF(Tabla14[[#This Row],[DIAS HABILES O MORA]]&lt;0,(Tabla14[[#This Row],[VALOR PRESTAMO]]*Tabla14[[#This Row],[% INTERES ]]/30*U4229))</f>
        <v>0</v>
      </c>
      <c r="T4229" s="53" t="e">
        <f>Tabla14[[#This Row],[DEUDA CAPITAL]]+Tabla14[[#This Row],[INTERES  CUOTA]]</f>
        <v>#NUM!</v>
      </c>
      <c r="U4229" s="61" t="str">
        <f t="shared" si="669"/>
        <v/>
      </c>
    </row>
    <row r="4230" spans="9:21" ht="24.75" customHeight="1" x14ac:dyDescent="0.35">
      <c r="I4230" s="42">
        <f t="shared" si="660"/>
        <v>0</v>
      </c>
      <c r="J4230" s="65" t="e">
        <f t="shared" si="661"/>
        <v>#NUM!</v>
      </c>
      <c r="K4230" s="83" t="e">
        <f t="shared" si="662"/>
        <v>#NUM!</v>
      </c>
      <c r="L4230" s="83">
        <f t="shared" si="663"/>
        <v>0</v>
      </c>
      <c r="M4230" s="110" t="str">
        <f t="shared" si="664"/>
        <v/>
      </c>
      <c r="N4230" s="51" t="str">
        <f t="shared" si="665"/>
        <v/>
      </c>
      <c r="O4230" s="52" t="str">
        <f t="shared" si="666"/>
        <v/>
      </c>
      <c r="P4230" s="88">
        <f t="shared" si="667"/>
        <v>0</v>
      </c>
      <c r="Q4230" s="88">
        <f t="shared" si="668"/>
        <v>0</v>
      </c>
      <c r="R4230" s="88" t="e">
        <f>-IF(Tabla14[[#This Row],[DIAS HABILES O MORA]]&lt;0,(Tabla14[[#This Row],[VALOR PRESTAMO]]*Tabla14[[#This Row],[% INTERES ]]/30*U4230))+Tabla14[[#This Row],[VALOR CUOTAS]]</f>
        <v>#VALUE!</v>
      </c>
      <c r="S4230" s="88">
        <f>-IF(Tabla14[[#This Row],[DIAS HABILES O MORA]]&lt;0,(Tabla14[[#This Row],[VALOR PRESTAMO]]*Tabla14[[#This Row],[% INTERES ]]/30*U4230))</f>
        <v>0</v>
      </c>
      <c r="T4230" s="53" t="e">
        <f>Tabla14[[#This Row],[DEUDA CAPITAL]]+Tabla14[[#This Row],[INTERES  CUOTA]]</f>
        <v>#NUM!</v>
      </c>
      <c r="U4230" s="61" t="str">
        <f t="shared" si="669"/>
        <v/>
      </c>
    </row>
    <row r="4231" spans="9:21" ht="24.75" customHeight="1" x14ac:dyDescent="0.35">
      <c r="I4231" s="42">
        <f t="shared" si="660"/>
        <v>0</v>
      </c>
      <c r="J4231" s="65" t="e">
        <f t="shared" si="661"/>
        <v>#NUM!</v>
      </c>
      <c r="K4231" s="83" t="e">
        <f t="shared" si="662"/>
        <v>#NUM!</v>
      </c>
      <c r="L4231" s="83">
        <f t="shared" si="663"/>
        <v>0</v>
      </c>
      <c r="M4231" s="110" t="str">
        <f t="shared" si="664"/>
        <v/>
      </c>
      <c r="N4231" s="51" t="str">
        <f t="shared" si="665"/>
        <v/>
      </c>
      <c r="O4231" s="52" t="str">
        <f t="shared" si="666"/>
        <v/>
      </c>
      <c r="P4231" s="88">
        <f t="shared" si="667"/>
        <v>0</v>
      </c>
      <c r="Q4231" s="88">
        <f t="shared" si="668"/>
        <v>0</v>
      </c>
      <c r="R4231" s="88" t="e">
        <f>-IF(Tabla14[[#This Row],[DIAS HABILES O MORA]]&lt;0,(Tabla14[[#This Row],[VALOR PRESTAMO]]*Tabla14[[#This Row],[% INTERES ]]/30*U4231))+Tabla14[[#This Row],[VALOR CUOTAS]]</f>
        <v>#VALUE!</v>
      </c>
      <c r="S4231" s="88">
        <f>-IF(Tabla14[[#This Row],[DIAS HABILES O MORA]]&lt;0,(Tabla14[[#This Row],[VALOR PRESTAMO]]*Tabla14[[#This Row],[% INTERES ]]/30*U4231))</f>
        <v>0</v>
      </c>
      <c r="T4231" s="53" t="e">
        <f>Tabla14[[#This Row],[DEUDA CAPITAL]]+Tabla14[[#This Row],[INTERES  CUOTA]]</f>
        <v>#NUM!</v>
      </c>
      <c r="U4231" s="61" t="str">
        <f t="shared" si="669"/>
        <v/>
      </c>
    </row>
    <row r="4232" spans="9:21" ht="24.75" customHeight="1" x14ac:dyDescent="0.35">
      <c r="I4232" s="42">
        <f t="shared" si="660"/>
        <v>0</v>
      </c>
      <c r="J4232" s="65" t="e">
        <f t="shared" si="661"/>
        <v>#NUM!</v>
      </c>
      <c r="K4232" s="83" t="e">
        <f t="shared" si="662"/>
        <v>#NUM!</v>
      </c>
      <c r="L4232" s="83">
        <f t="shared" si="663"/>
        <v>0</v>
      </c>
      <c r="M4232" s="110" t="str">
        <f t="shared" si="664"/>
        <v/>
      </c>
      <c r="N4232" s="51" t="str">
        <f t="shared" si="665"/>
        <v/>
      </c>
      <c r="O4232" s="52" t="str">
        <f t="shared" si="666"/>
        <v/>
      </c>
      <c r="P4232" s="88">
        <f t="shared" si="667"/>
        <v>0</v>
      </c>
      <c r="Q4232" s="88">
        <f t="shared" si="668"/>
        <v>0</v>
      </c>
      <c r="R4232" s="88" t="e">
        <f>-IF(Tabla14[[#This Row],[DIAS HABILES O MORA]]&lt;0,(Tabla14[[#This Row],[VALOR PRESTAMO]]*Tabla14[[#This Row],[% INTERES ]]/30*U4232))+Tabla14[[#This Row],[VALOR CUOTAS]]</f>
        <v>#VALUE!</v>
      </c>
      <c r="S4232" s="88">
        <f>-IF(Tabla14[[#This Row],[DIAS HABILES O MORA]]&lt;0,(Tabla14[[#This Row],[VALOR PRESTAMO]]*Tabla14[[#This Row],[% INTERES ]]/30*U4232))</f>
        <v>0</v>
      </c>
      <c r="T4232" s="53" t="e">
        <f>Tabla14[[#This Row],[DEUDA CAPITAL]]+Tabla14[[#This Row],[INTERES  CUOTA]]</f>
        <v>#NUM!</v>
      </c>
      <c r="U4232" s="61" t="str">
        <f t="shared" si="669"/>
        <v/>
      </c>
    </row>
    <row r="4233" spans="9:21" ht="24.75" customHeight="1" x14ac:dyDescent="0.35">
      <c r="I4233" s="42">
        <f t="shared" si="660"/>
        <v>0</v>
      </c>
      <c r="J4233" s="65" t="e">
        <f t="shared" si="661"/>
        <v>#NUM!</v>
      </c>
      <c r="K4233" s="83" t="e">
        <f t="shared" si="662"/>
        <v>#NUM!</v>
      </c>
      <c r="L4233" s="83">
        <f t="shared" si="663"/>
        <v>0</v>
      </c>
      <c r="M4233" s="110" t="str">
        <f t="shared" si="664"/>
        <v/>
      </c>
      <c r="N4233" s="51" t="str">
        <f t="shared" si="665"/>
        <v/>
      </c>
      <c r="O4233" s="52" t="str">
        <f t="shared" si="666"/>
        <v/>
      </c>
      <c r="P4233" s="88">
        <f t="shared" si="667"/>
        <v>0</v>
      </c>
      <c r="Q4233" s="88">
        <f t="shared" si="668"/>
        <v>0</v>
      </c>
      <c r="R4233" s="88" t="e">
        <f>-IF(Tabla14[[#This Row],[DIAS HABILES O MORA]]&lt;0,(Tabla14[[#This Row],[VALOR PRESTAMO]]*Tabla14[[#This Row],[% INTERES ]]/30*U4233))+Tabla14[[#This Row],[VALOR CUOTAS]]</f>
        <v>#VALUE!</v>
      </c>
      <c r="S4233" s="88">
        <f>-IF(Tabla14[[#This Row],[DIAS HABILES O MORA]]&lt;0,(Tabla14[[#This Row],[VALOR PRESTAMO]]*Tabla14[[#This Row],[% INTERES ]]/30*U4233))</f>
        <v>0</v>
      </c>
      <c r="T4233" s="53" t="e">
        <f>Tabla14[[#This Row],[DEUDA CAPITAL]]+Tabla14[[#This Row],[INTERES  CUOTA]]</f>
        <v>#NUM!</v>
      </c>
      <c r="U4233" s="61" t="str">
        <f t="shared" si="669"/>
        <v/>
      </c>
    </row>
    <row r="4234" spans="9:21" ht="24.75" customHeight="1" x14ac:dyDescent="0.35">
      <c r="I4234" s="42">
        <f t="shared" si="660"/>
        <v>0</v>
      </c>
      <c r="J4234" s="65" t="e">
        <f t="shared" si="661"/>
        <v>#NUM!</v>
      </c>
      <c r="K4234" s="83" t="e">
        <f t="shared" si="662"/>
        <v>#NUM!</v>
      </c>
      <c r="L4234" s="83">
        <f t="shared" si="663"/>
        <v>0</v>
      </c>
      <c r="M4234" s="110" t="str">
        <f t="shared" si="664"/>
        <v/>
      </c>
      <c r="N4234" s="51" t="str">
        <f t="shared" si="665"/>
        <v/>
      </c>
      <c r="O4234" s="52" t="str">
        <f t="shared" si="666"/>
        <v/>
      </c>
      <c r="P4234" s="88">
        <f t="shared" si="667"/>
        <v>0</v>
      </c>
      <c r="Q4234" s="88">
        <f t="shared" si="668"/>
        <v>0</v>
      </c>
      <c r="R4234" s="88" t="e">
        <f>-IF(Tabla14[[#This Row],[DIAS HABILES O MORA]]&lt;0,(Tabla14[[#This Row],[VALOR PRESTAMO]]*Tabla14[[#This Row],[% INTERES ]]/30*U4234))+Tabla14[[#This Row],[VALOR CUOTAS]]</f>
        <v>#VALUE!</v>
      </c>
      <c r="S4234" s="88">
        <f>-IF(Tabla14[[#This Row],[DIAS HABILES O MORA]]&lt;0,(Tabla14[[#This Row],[VALOR PRESTAMO]]*Tabla14[[#This Row],[% INTERES ]]/30*U4234))</f>
        <v>0</v>
      </c>
      <c r="T4234" s="53" t="e">
        <f>Tabla14[[#This Row],[DEUDA CAPITAL]]+Tabla14[[#This Row],[INTERES  CUOTA]]</f>
        <v>#NUM!</v>
      </c>
      <c r="U4234" s="61" t="str">
        <f t="shared" si="669"/>
        <v/>
      </c>
    </row>
    <row r="4235" spans="9:21" ht="24.75" customHeight="1" x14ac:dyDescent="0.35">
      <c r="I4235" s="42">
        <f t="shared" si="660"/>
        <v>0</v>
      </c>
      <c r="J4235" s="65" t="e">
        <f t="shared" si="661"/>
        <v>#NUM!</v>
      </c>
      <c r="K4235" s="83" t="e">
        <f t="shared" si="662"/>
        <v>#NUM!</v>
      </c>
      <c r="L4235" s="83">
        <f t="shared" si="663"/>
        <v>0</v>
      </c>
      <c r="M4235" s="110" t="str">
        <f t="shared" si="664"/>
        <v/>
      </c>
      <c r="N4235" s="51" t="str">
        <f t="shared" si="665"/>
        <v/>
      </c>
      <c r="O4235" s="52" t="str">
        <f t="shared" si="666"/>
        <v/>
      </c>
      <c r="P4235" s="88">
        <f t="shared" si="667"/>
        <v>0</v>
      </c>
      <c r="Q4235" s="88">
        <f t="shared" si="668"/>
        <v>0</v>
      </c>
      <c r="R4235" s="88" t="e">
        <f>-IF(Tabla14[[#This Row],[DIAS HABILES O MORA]]&lt;0,(Tabla14[[#This Row],[VALOR PRESTAMO]]*Tabla14[[#This Row],[% INTERES ]]/30*U4235))+Tabla14[[#This Row],[VALOR CUOTAS]]</f>
        <v>#VALUE!</v>
      </c>
      <c r="S4235" s="88">
        <f>-IF(Tabla14[[#This Row],[DIAS HABILES O MORA]]&lt;0,(Tabla14[[#This Row],[VALOR PRESTAMO]]*Tabla14[[#This Row],[% INTERES ]]/30*U4235))</f>
        <v>0</v>
      </c>
      <c r="T4235" s="53" t="e">
        <f>Tabla14[[#This Row],[DEUDA CAPITAL]]+Tabla14[[#This Row],[INTERES  CUOTA]]</f>
        <v>#NUM!</v>
      </c>
      <c r="U4235" s="61" t="str">
        <f t="shared" si="669"/>
        <v/>
      </c>
    </row>
    <row r="4236" spans="9:21" ht="24.75" customHeight="1" x14ac:dyDescent="0.35">
      <c r="I4236" s="42">
        <f t="shared" si="660"/>
        <v>0</v>
      </c>
      <c r="J4236" s="65" t="e">
        <f t="shared" si="661"/>
        <v>#NUM!</v>
      </c>
      <c r="K4236" s="83" t="e">
        <f t="shared" si="662"/>
        <v>#NUM!</v>
      </c>
      <c r="L4236" s="83">
        <f t="shared" si="663"/>
        <v>0</v>
      </c>
      <c r="M4236" s="110" t="str">
        <f t="shared" si="664"/>
        <v/>
      </c>
      <c r="N4236" s="51" t="str">
        <f t="shared" si="665"/>
        <v/>
      </c>
      <c r="O4236" s="52" t="str">
        <f t="shared" si="666"/>
        <v/>
      </c>
      <c r="P4236" s="88">
        <f t="shared" si="667"/>
        <v>0</v>
      </c>
      <c r="Q4236" s="88">
        <f t="shared" si="668"/>
        <v>0</v>
      </c>
      <c r="R4236" s="88" t="e">
        <f>-IF(Tabla14[[#This Row],[DIAS HABILES O MORA]]&lt;0,(Tabla14[[#This Row],[VALOR PRESTAMO]]*Tabla14[[#This Row],[% INTERES ]]/30*U4236))+Tabla14[[#This Row],[VALOR CUOTAS]]</f>
        <v>#VALUE!</v>
      </c>
      <c r="S4236" s="88">
        <f>-IF(Tabla14[[#This Row],[DIAS HABILES O MORA]]&lt;0,(Tabla14[[#This Row],[VALOR PRESTAMO]]*Tabla14[[#This Row],[% INTERES ]]/30*U4236))</f>
        <v>0</v>
      </c>
      <c r="T4236" s="53" t="e">
        <f>Tabla14[[#This Row],[DEUDA CAPITAL]]+Tabla14[[#This Row],[INTERES  CUOTA]]</f>
        <v>#NUM!</v>
      </c>
      <c r="U4236" s="61" t="str">
        <f t="shared" si="669"/>
        <v/>
      </c>
    </row>
    <row r="4237" spans="9:21" ht="24.75" customHeight="1" x14ac:dyDescent="0.35">
      <c r="I4237" s="42">
        <f t="shared" si="660"/>
        <v>0</v>
      </c>
      <c r="J4237" s="65" t="e">
        <f t="shared" si="661"/>
        <v>#NUM!</v>
      </c>
      <c r="K4237" s="83" t="e">
        <f t="shared" si="662"/>
        <v>#NUM!</v>
      </c>
      <c r="L4237" s="83">
        <f t="shared" si="663"/>
        <v>0</v>
      </c>
      <c r="M4237" s="110" t="str">
        <f t="shared" si="664"/>
        <v/>
      </c>
      <c r="N4237" s="51" t="str">
        <f t="shared" si="665"/>
        <v/>
      </c>
      <c r="O4237" s="52" t="str">
        <f t="shared" si="666"/>
        <v/>
      </c>
      <c r="P4237" s="88">
        <f t="shared" si="667"/>
        <v>0</v>
      </c>
      <c r="Q4237" s="88">
        <f t="shared" si="668"/>
        <v>0</v>
      </c>
      <c r="R4237" s="88" t="e">
        <f>-IF(Tabla14[[#This Row],[DIAS HABILES O MORA]]&lt;0,(Tabla14[[#This Row],[VALOR PRESTAMO]]*Tabla14[[#This Row],[% INTERES ]]/30*U4237))+Tabla14[[#This Row],[VALOR CUOTAS]]</f>
        <v>#VALUE!</v>
      </c>
      <c r="S4237" s="88">
        <f>-IF(Tabla14[[#This Row],[DIAS HABILES O MORA]]&lt;0,(Tabla14[[#This Row],[VALOR PRESTAMO]]*Tabla14[[#This Row],[% INTERES ]]/30*U4237))</f>
        <v>0</v>
      </c>
      <c r="T4237" s="53" t="e">
        <f>Tabla14[[#This Row],[DEUDA CAPITAL]]+Tabla14[[#This Row],[INTERES  CUOTA]]</f>
        <v>#NUM!</v>
      </c>
      <c r="U4237" s="61" t="str">
        <f t="shared" si="669"/>
        <v/>
      </c>
    </row>
    <row r="4238" spans="9:21" ht="24.75" customHeight="1" x14ac:dyDescent="0.35">
      <c r="I4238" s="42">
        <f t="shared" si="660"/>
        <v>0</v>
      </c>
      <c r="J4238" s="65" t="e">
        <f t="shared" si="661"/>
        <v>#NUM!</v>
      </c>
      <c r="K4238" s="83" t="e">
        <f t="shared" si="662"/>
        <v>#NUM!</v>
      </c>
      <c r="L4238" s="83">
        <f t="shared" si="663"/>
        <v>0</v>
      </c>
      <c r="M4238" s="110" t="str">
        <f t="shared" si="664"/>
        <v/>
      </c>
      <c r="N4238" s="51" t="str">
        <f t="shared" si="665"/>
        <v/>
      </c>
      <c r="O4238" s="52" t="str">
        <f t="shared" si="666"/>
        <v/>
      </c>
      <c r="P4238" s="88">
        <f t="shared" si="667"/>
        <v>0</v>
      </c>
      <c r="Q4238" s="88">
        <f t="shared" si="668"/>
        <v>0</v>
      </c>
      <c r="R4238" s="88" t="e">
        <f>-IF(Tabla14[[#This Row],[DIAS HABILES O MORA]]&lt;0,(Tabla14[[#This Row],[VALOR PRESTAMO]]*Tabla14[[#This Row],[% INTERES ]]/30*U4238))+Tabla14[[#This Row],[VALOR CUOTAS]]</f>
        <v>#VALUE!</v>
      </c>
      <c r="S4238" s="88">
        <f>-IF(Tabla14[[#This Row],[DIAS HABILES O MORA]]&lt;0,(Tabla14[[#This Row],[VALOR PRESTAMO]]*Tabla14[[#This Row],[% INTERES ]]/30*U4238))</f>
        <v>0</v>
      </c>
      <c r="T4238" s="53" t="e">
        <f>Tabla14[[#This Row],[DEUDA CAPITAL]]+Tabla14[[#This Row],[INTERES  CUOTA]]</f>
        <v>#NUM!</v>
      </c>
      <c r="U4238" s="61" t="str">
        <f t="shared" si="669"/>
        <v/>
      </c>
    </row>
    <row r="4239" spans="9:21" ht="24.75" customHeight="1" x14ac:dyDescent="0.35">
      <c r="I4239" s="42">
        <f t="shared" si="660"/>
        <v>0</v>
      </c>
      <c r="J4239" s="65" t="e">
        <f t="shared" si="661"/>
        <v>#NUM!</v>
      </c>
      <c r="K4239" s="83" t="e">
        <f t="shared" si="662"/>
        <v>#NUM!</v>
      </c>
      <c r="L4239" s="83">
        <f t="shared" si="663"/>
        <v>0</v>
      </c>
      <c r="M4239" s="110" t="str">
        <f t="shared" si="664"/>
        <v/>
      </c>
      <c r="N4239" s="51" t="str">
        <f t="shared" si="665"/>
        <v/>
      </c>
      <c r="O4239" s="52" t="str">
        <f t="shared" si="666"/>
        <v/>
      </c>
      <c r="P4239" s="88">
        <f t="shared" si="667"/>
        <v>0</v>
      </c>
      <c r="Q4239" s="88">
        <f t="shared" si="668"/>
        <v>0</v>
      </c>
      <c r="R4239" s="88" t="e">
        <f>-IF(Tabla14[[#This Row],[DIAS HABILES O MORA]]&lt;0,(Tabla14[[#This Row],[VALOR PRESTAMO]]*Tabla14[[#This Row],[% INTERES ]]/30*U4239))+Tabla14[[#This Row],[VALOR CUOTAS]]</f>
        <v>#VALUE!</v>
      </c>
      <c r="S4239" s="88">
        <f>-IF(Tabla14[[#This Row],[DIAS HABILES O MORA]]&lt;0,(Tabla14[[#This Row],[VALOR PRESTAMO]]*Tabla14[[#This Row],[% INTERES ]]/30*U4239))</f>
        <v>0</v>
      </c>
      <c r="T4239" s="53" t="e">
        <f>Tabla14[[#This Row],[DEUDA CAPITAL]]+Tabla14[[#This Row],[INTERES  CUOTA]]</f>
        <v>#NUM!</v>
      </c>
      <c r="U4239" s="61" t="str">
        <f t="shared" si="669"/>
        <v/>
      </c>
    </row>
    <row r="4240" spans="9:21" ht="24.75" customHeight="1" x14ac:dyDescent="0.35">
      <c r="I4240" s="42">
        <f t="shared" ref="I4240:I4303" si="670">IF(C4240&lt;0,"",IF(Q4240=0,0,IF(G4240=0,H4240+1,IF(H4240&lt;G4240,H4240+1,IF(G4240=H4240,0)))))</f>
        <v>0</v>
      </c>
      <c r="J4240" s="65" t="e">
        <f t="shared" ref="J4240:J4303" si="671">IF(F4240="SOLO INTERES",Q4240*D4240,-IPMT(D4240,I4240,G4240,C4240))</f>
        <v>#NUM!</v>
      </c>
      <c r="K4240" s="83" t="e">
        <f t="shared" ref="K4240:K4303" si="672">IF(F4240="SOLO INTERES",0,-PPMT(D4240,I4240,G4240,C4240))</f>
        <v>#NUM!</v>
      </c>
      <c r="L4240" s="83">
        <f t="shared" ref="L4240:L4303" si="673">IF(F4240="SOLO INTERES",SUM(Y4240:AAE4240),IFERROR(-CUMIPMT(D4240,G4240,C4240,1,H4240,0),0)+SUM(Y4240:WY4240))</f>
        <v>0</v>
      </c>
      <c r="M4240" s="110" t="str">
        <f t="shared" ref="M4240:M4303" si="674">IFERROR(IF(F4240="SOLO INTERES",Q4240*D4240,-PMT(D4240,G4240,C4240,0)),"")</f>
        <v/>
      </c>
      <c r="N4240" s="51" t="str">
        <f t="shared" ref="N4240:N4303" si="675">IF(Q4240=0,"",IF(E4240="MENSUAL",EDATE(B4240,I4240),IF(E4240="QUINCENAL",B4240+(I4240*15),IF(E4240="SEMANAL",B4240+(I4240*7)))))</f>
        <v/>
      </c>
      <c r="O4240" s="52" t="str">
        <f t="shared" ref="O4240:O4303" si="676">IF(C4240=0,"",IF(Q4240&lt;1,"PAGADO",IF(N4240=$A$3,"COBRAR HOY",IF(N4240&lt;$A$3,"EN MORA",IF(N4240&gt;$A$3,"AL DIA")))))</f>
        <v/>
      </c>
      <c r="P4240" s="88">
        <f t="shared" ref="P4240:P4303" si="677">IFERROR(-CUMPRINC(D4240,G4240,C4240,1,H4240,0),0)+W4240</f>
        <v>0</v>
      </c>
      <c r="Q4240" s="88">
        <f t="shared" ref="Q4240:Q4303" si="678">IFERROR(C4240-P4240,"")</f>
        <v>0</v>
      </c>
      <c r="R4240" s="88" t="e">
        <f>-IF(Tabla14[[#This Row],[DIAS HABILES O MORA]]&lt;0,(Tabla14[[#This Row],[VALOR PRESTAMO]]*Tabla14[[#This Row],[% INTERES ]]/30*U4240))+Tabla14[[#This Row],[VALOR CUOTAS]]</f>
        <v>#VALUE!</v>
      </c>
      <c r="S4240" s="88">
        <f>-IF(Tabla14[[#This Row],[DIAS HABILES O MORA]]&lt;0,(Tabla14[[#This Row],[VALOR PRESTAMO]]*Tabla14[[#This Row],[% INTERES ]]/30*U4240))</f>
        <v>0</v>
      </c>
      <c r="T4240" s="53" t="e">
        <f>Tabla14[[#This Row],[DEUDA CAPITAL]]+Tabla14[[#This Row],[INTERES  CUOTA]]</f>
        <v>#NUM!</v>
      </c>
      <c r="U4240" s="61" t="str">
        <f t="shared" ref="U4240:U4303" si="679">IF(O4240="PAGADO","",IFERROR(-IF(C4240=0,"",$A$3-N4240),""))</f>
        <v/>
      </c>
    </row>
    <row r="4241" spans="9:21" ht="24.75" customHeight="1" x14ac:dyDescent="0.35">
      <c r="I4241" s="42">
        <f t="shared" si="670"/>
        <v>0</v>
      </c>
      <c r="J4241" s="65" t="e">
        <f t="shared" si="671"/>
        <v>#NUM!</v>
      </c>
      <c r="K4241" s="83" t="e">
        <f t="shared" si="672"/>
        <v>#NUM!</v>
      </c>
      <c r="L4241" s="83">
        <f t="shared" si="673"/>
        <v>0</v>
      </c>
      <c r="M4241" s="110" t="str">
        <f t="shared" si="674"/>
        <v/>
      </c>
      <c r="N4241" s="51" t="str">
        <f t="shared" si="675"/>
        <v/>
      </c>
      <c r="O4241" s="52" t="str">
        <f t="shared" si="676"/>
        <v/>
      </c>
      <c r="P4241" s="88">
        <f t="shared" si="677"/>
        <v>0</v>
      </c>
      <c r="Q4241" s="88">
        <f t="shared" si="678"/>
        <v>0</v>
      </c>
      <c r="R4241" s="88" t="e">
        <f>-IF(Tabla14[[#This Row],[DIAS HABILES O MORA]]&lt;0,(Tabla14[[#This Row],[VALOR PRESTAMO]]*Tabla14[[#This Row],[% INTERES ]]/30*U4241))+Tabla14[[#This Row],[VALOR CUOTAS]]</f>
        <v>#VALUE!</v>
      </c>
      <c r="S4241" s="88">
        <f>-IF(Tabla14[[#This Row],[DIAS HABILES O MORA]]&lt;0,(Tabla14[[#This Row],[VALOR PRESTAMO]]*Tabla14[[#This Row],[% INTERES ]]/30*U4241))</f>
        <v>0</v>
      </c>
      <c r="T4241" s="53" t="e">
        <f>Tabla14[[#This Row],[DEUDA CAPITAL]]+Tabla14[[#This Row],[INTERES  CUOTA]]</f>
        <v>#NUM!</v>
      </c>
      <c r="U4241" s="61" t="str">
        <f t="shared" si="679"/>
        <v/>
      </c>
    </row>
    <row r="4242" spans="9:21" ht="24.75" customHeight="1" x14ac:dyDescent="0.35">
      <c r="I4242" s="42">
        <f t="shared" si="670"/>
        <v>0</v>
      </c>
      <c r="J4242" s="65" t="e">
        <f t="shared" si="671"/>
        <v>#NUM!</v>
      </c>
      <c r="K4242" s="83" t="e">
        <f t="shared" si="672"/>
        <v>#NUM!</v>
      </c>
      <c r="L4242" s="83">
        <f t="shared" si="673"/>
        <v>0</v>
      </c>
      <c r="M4242" s="110" t="str">
        <f t="shared" si="674"/>
        <v/>
      </c>
      <c r="N4242" s="51" t="str">
        <f t="shared" si="675"/>
        <v/>
      </c>
      <c r="O4242" s="52" t="str">
        <f t="shared" si="676"/>
        <v/>
      </c>
      <c r="P4242" s="88">
        <f t="shared" si="677"/>
        <v>0</v>
      </c>
      <c r="Q4242" s="88">
        <f t="shared" si="678"/>
        <v>0</v>
      </c>
      <c r="R4242" s="88" t="e">
        <f>-IF(Tabla14[[#This Row],[DIAS HABILES O MORA]]&lt;0,(Tabla14[[#This Row],[VALOR PRESTAMO]]*Tabla14[[#This Row],[% INTERES ]]/30*U4242))+Tabla14[[#This Row],[VALOR CUOTAS]]</f>
        <v>#VALUE!</v>
      </c>
      <c r="S4242" s="88">
        <f>-IF(Tabla14[[#This Row],[DIAS HABILES O MORA]]&lt;0,(Tabla14[[#This Row],[VALOR PRESTAMO]]*Tabla14[[#This Row],[% INTERES ]]/30*U4242))</f>
        <v>0</v>
      </c>
      <c r="T4242" s="53" t="e">
        <f>Tabla14[[#This Row],[DEUDA CAPITAL]]+Tabla14[[#This Row],[INTERES  CUOTA]]</f>
        <v>#NUM!</v>
      </c>
      <c r="U4242" s="61" t="str">
        <f t="shared" si="679"/>
        <v/>
      </c>
    </row>
    <row r="4243" spans="9:21" ht="24.75" customHeight="1" x14ac:dyDescent="0.35">
      <c r="I4243" s="42">
        <f t="shared" si="670"/>
        <v>0</v>
      </c>
      <c r="J4243" s="65" t="e">
        <f t="shared" si="671"/>
        <v>#NUM!</v>
      </c>
      <c r="K4243" s="83" t="e">
        <f t="shared" si="672"/>
        <v>#NUM!</v>
      </c>
      <c r="L4243" s="83">
        <f t="shared" si="673"/>
        <v>0</v>
      </c>
      <c r="M4243" s="110" t="str">
        <f t="shared" si="674"/>
        <v/>
      </c>
      <c r="N4243" s="51" t="str">
        <f t="shared" si="675"/>
        <v/>
      </c>
      <c r="O4243" s="52" t="str">
        <f t="shared" si="676"/>
        <v/>
      </c>
      <c r="P4243" s="88">
        <f t="shared" si="677"/>
        <v>0</v>
      </c>
      <c r="Q4243" s="88">
        <f t="shared" si="678"/>
        <v>0</v>
      </c>
      <c r="R4243" s="88" t="e">
        <f>-IF(Tabla14[[#This Row],[DIAS HABILES O MORA]]&lt;0,(Tabla14[[#This Row],[VALOR PRESTAMO]]*Tabla14[[#This Row],[% INTERES ]]/30*U4243))+Tabla14[[#This Row],[VALOR CUOTAS]]</f>
        <v>#VALUE!</v>
      </c>
      <c r="S4243" s="88">
        <f>-IF(Tabla14[[#This Row],[DIAS HABILES O MORA]]&lt;0,(Tabla14[[#This Row],[VALOR PRESTAMO]]*Tabla14[[#This Row],[% INTERES ]]/30*U4243))</f>
        <v>0</v>
      </c>
      <c r="T4243" s="53" t="e">
        <f>Tabla14[[#This Row],[DEUDA CAPITAL]]+Tabla14[[#This Row],[INTERES  CUOTA]]</f>
        <v>#NUM!</v>
      </c>
      <c r="U4243" s="61" t="str">
        <f t="shared" si="679"/>
        <v/>
      </c>
    </row>
    <row r="4244" spans="9:21" ht="24.75" customHeight="1" x14ac:dyDescent="0.35">
      <c r="I4244" s="42">
        <f t="shared" si="670"/>
        <v>0</v>
      </c>
      <c r="J4244" s="65" t="e">
        <f t="shared" si="671"/>
        <v>#NUM!</v>
      </c>
      <c r="K4244" s="83" t="e">
        <f t="shared" si="672"/>
        <v>#NUM!</v>
      </c>
      <c r="L4244" s="83">
        <f t="shared" si="673"/>
        <v>0</v>
      </c>
      <c r="M4244" s="110" t="str">
        <f t="shared" si="674"/>
        <v/>
      </c>
      <c r="N4244" s="51" t="str">
        <f t="shared" si="675"/>
        <v/>
      </c>
      <c r="O4244" s="52" t="str">
        <f t="shared" si="676"/>
        <v/>
      </c>
      <c r="P4244" s="88">
        <f t="shared" si="677"/>
        <v>0</v>
      </c>
      <c r="Q4244" s="88">
        <f t="shared" si="678"/>
        <v>0</v>
      </c>
      <c r="R4244" s="88" t="e">
        <f>-IF(Tabla14[[#This Row],[DIAS HABILES O MORA]]&lt;0,(Tabla14[[#This Row],[VALOR PRESTAMO]]*Tabla14[[#This Row],[% INTERES ]]/30*U4244))+Tabla14[[#This Row],[VALOR CUOTAS]]</f>
        <v>#VALUE!</v>
      </c>
      <c r="S4244" s="88">
        <f>-IF(Tabla14[[#This Row],[DIAS HABILES O MORA]]&lt;0,(Tabla14[[#This Row],[VALOR PRESTAMO]]*Tabla14[[#This Row],[% INTERES ]]/30*U4244))</f>
        <v>0</v>
      </c>
      <c r="T4244" s="53" t="e">
        <f>Tabla14[[#This Row],[DEUDA CAPITAL]]+Tabla14[[#This Row],[INTERES  CUOTA]]</f>
        <v>#NUM!</v>
      </c>
      <c r="U4244" s="61" t="str">
        <f t="shared" si="679"/>
        <v/>
      </c>
    </row>
    <row r="4245" spans="9:21" ht="24.75" customHeight="1" x14ac:dyDescent="0.35">
      <c r="I4245" s="42">
        <f t="shared" si="670"/>
        <v>0</v>
      </c>
      <c r="J4245" s="65" t="e">
        <f t="shared" si="671"/>
        <v>#NUM!</v>
      </c>
      <c r="K4245" s="83" t="e">
        <f t="shared" si="672"/>
        <v>#NUM!</v>
      </c>
      <c r="L4245" s="83">
        <f t="shared" si="673"/>
        <v>0</v>
      </c>
      <c r="M4245" s="110" t="str">
        <f t="shared" si="674"/>
        <v/>
      </c>
      <c r="N4245" s="51" t="str">
        <f t="shared" si="675"/>
        <v/>
      </c>
      <c r="O4245" s="52" t="str">
        <f t="shared" si="676"/>
        <v/>
      </c>
      <c r="P4245" s="88">
        <f t="shared" si="677"/>
        <v>0</v>
      </c>
      <c r="Q4245" s="88">
        <f t="shared" si="678"/>
        <v>0</v>
      </c>
      <c r="R4245" s="88" t="e">
        <f>-IF(Tabla14[[#This Row],[DIAS HABILES O MORA]]&lt;0,(Tabla14[[#This Row],[VALOR PRESTAMO]]*Tabla14[[#This Row],[% INTERES ]]/30*U4245))+Tabla14[[#This Row],[VALOR CUOTAS]]</f>
        <v>#VALUE!</v>
      </c>
      <c r="S4245" s="88">
        <f>-IF(Tabla14[[#This Row],[DIAS HABILES O MORA]]&lt;0,(Tabla14[[#This Row],[VALOR PRESTAMO]]*Tabla14[[#This Row],[% INTERES ]]/30*U4245))</f>
        <v>0</v>
      </c>
      <c r="T4245" s="53" t="e">
        <f>Tabla14[[#This Row],[DEUDA CAPITAL]]+Tabla14[[#This Row],[INTERES  CUOTA]]</f>
        <v>#NUM!</v>
      </c>
      <c r="U4245" s="61" t="str">
        <f t="shared" si="679"/>
        <v/>
      </c>
    </row>
    <row r="4246" spans="9:21" ht="24.75" customHeight="1" x14ac:dyDescent="0.35">
      <c r="I4246" s="42">
        <f t="shared" si="670"/>
        <v>0</v>
      </c>
      <c r="J4246" s="65" t="e">
        <f t="shared" si="671"/>
        <v>#NUM!</v>
      </c>
      <c r="K4246" s="83" t="e">
        <f t="shared" si="672"/>
        <v>#NUM!</v>
      </c>
      <c r="L4246" s="83">
        <f t="shared" si="673"/>
        <v>0</v>
      </c>
      <c r="M4246" s="110" t="str">
        <f t="shared" si="674"/>
        <v/>
      </c>
      <c r="N4246" s="51" t="str">
        <f t="shared" si="675"/>
        <v/>
      </c>
      <c r="O4246" s="52" t="str">
        <f t="shared" si="676"/>
        <v/>
      </c>
      <c r="P4246" s="88">
        <f t="shared" si="677"/>
        <v>0</v>
      </c>
      <c r="Q4246" s="88">
        <f t="shared" si="678"/>
        <v>0</v>
      </c>
      <c r="R4246" s="88" t="e">
        <f>-IF(Tabla14[[#This Row],[DIAS HABILES O MORA]]&lt;0,(Tabla14[[#This Row],[VALOR PRESTAMO]]*Tabla14[[#This Row],[% INTERES ]]/30*U4246))+Tabla14[[#This Row],[VALOR CUOTAS]]</f>
        <v>#VALUE!</v>
      </c>
      <c r="S4246" s="88">
        <f>-IF(Tabla14[[#This Row],[DIAS HABILES O MORA]]&lt;0,(Tabla14[[#This Row],[VALOR PRESTAMO]]*Tabla14[[#This Row],[% INTERES ]]/30*U4246))</f>
        <v>0</v>
      </c>
      <c r="T4246" s="53" t="e">
        <f>Tabla14[[#This Row],[DEUDA CAPITAL]]+Tabla14[[#This Row],[INTERES  CUOTA]]</f>
        <v>#NUM!</v>
      </c>
      <c r="U4246" s="61" t="str">
        <f t="shared" si="679"/>
        <v/>
      </c>
    </row>
    <row r="4247" spans="9:21" ht="24.75" customHeight="1" x14ac:dyDescent="0.35">
      <c r="I4247" s="42">
        <f t="shared" si="670"/>
        <v>0</v>
      </c>
      <c r="J4247" s="65" t="e">
        <f t="shared" si="671"/>
        <v>#NUM!</v>
      </c>
      <c r="K4247" s="83" t="e">
        <f t="shared" si="672"/>
        <v>#NUM!</v>
      </c>
      <c r="L4247" s="83">
        <f t="shared" si="673"/>
        <v>0</v>
      </c>
      <c r="M4247" s="110" t="str">
        <f t="shared" si="674"/>
        <v/>
      </c>
      <c r="N4247" s="51" t="str">
        <f t="shared" si="675"/>
        <v/>
      </c>
      <c r="O4247" s="52" t="str">
        <f t="shared" si="676"/>
        <v/>
      </c>
      <c r="P4247" s="88">
        <f t="shared" si="677"/>
        <v>0</v>
      </c>
      <c r="Q4247" s="88">
        <f t="shared" si="678"/>
        <v>0</v>
      </c>
      <c r="R4247" s="88" t="e">
        <f>-IF(Tabla14[[#This Row],[DIAS HABILES O MORA]]&lt;0,(Tabla14[[#This Row],[VALOR PRESTAMO]]*Tabla14[[#This Row],[% INTERES ]]/30*U4247))+Tabla14[[#This Row],[VALOR CUOTAS]]</f>
        <v>#VALUE!</v>
      </c>
      <c r="S4247" s="88">
        <f>-IF(Tabla14[[#This Row],[DIAS HABILES O MORA]]&lt;0,(Tabla14[[#This Row],[VALOR PRESTAMO]]*Tabla14[[#This Row],[% INTERES ]]/30*U4247))</f>
        <v>0</v>
      </c>
      <c r="T4247" s="53" t="e">
        <f>Tabla14[[#This Row],[DEUDA CAPITAL]]+Tabla14[[#This Row],[INTERES  CUOTA]]</f>
        <v>#NUM!</v>
      </c>
      <c r="U4247" s="61" t="str">
        <f t="shared" si="679"/>
        <v/>
      </c>
    </row>
    <row r="4248" spans="9:21" ht="24.75" customHeight="1" x14ac:dyDescent="0.35">
      <c r="I4248" s="42">
        <f t="shared" si="670"/>
        <v>0</v>
      </c>
      <c r="J4248" s="65" t="e">
        <f t="shared" si="671"/>
        <v>#NUM!</v>
      </c>
      <c r="K4248" s="83" t="e">
        <f t="shared" si="672"/>
        <v>#NUM!</v>
      </c>
      <c r="L4248" s="83">
        <f t="shared" si="673"/>
        <v>0</v>
      </c>
      <c r="M4248" s="110" t="str">
        <f t="shared" si="674"/>
        <v/>
      </c>
      <c r="N4248" s="51" t="str">
        <f t="shared" si="675"/>
        <v/>
      </c>
      <c r="O4248" s="52" t="str">
        <f t="shared" si="676"/>
        <v/>
      </c>
      <c r="P4248" s="88">
        <f t="shared" si="677"/>
        <v>0</v>
      </c>
      <c r="Q4248" s="88">
        <f t="shared" si="678"/>
        <v>0</v>
      </c>
      <c r="R4248" s="88" t="e">
        <f>-IF(Tabla14[[#This Row],[DIAS HABILES O MORA]]&lt;0,(Tabla14[[#This Row],[VALOR PRESTAMO]]*Tabla14[[#This Row],[% INTERES ]]/30*U4248))+Tabla14[[#This Row],[VALOR CUOTAS]]</f>
        <v>#VALUE!</v>
      </c>
      <c r="S4248" s="88">
        <f>-IF(Tabla14[[#This Row],[DIAS HABILES O MORA]]&lt;0,(Tabla14[[#This Row],[VALOR PRESTAMO]]*Tabla14[[#This Row],[% INTERES ]]/30*U4248))</f>
        <v>0</v>
      </c>
      <c r="T4248" s="53" t="e">
        <f>Tabla14[[#This Row],[DEUDA CAPITAL]]+Tabla14[[#This Row],[INTERES  CUOTA]]</f>
        <v>#NUM!</v>
      </c>
      <c r="U4248" s="61" t="str">
        <f t="shared" si="679"/>
        <v/>
      </c>
    </row>
    <row r="4249" spans="9:21" ht="24.75" customHeight="1" x14ac:dyDescent="0.35">
      <c r="I4249" s="42">
        <f t="shared" si="670"/>
        <v>0</v>
      </c>
      <c r="J4249" s="65" t="e">
        <f t="shared" si="671"/>
        <v>#NUM!</v>
      </c>
      <c r="K4249" s="83" t="e">
        <f t="shared" si="672"/>
        <v>#NUM!</v>
      </c>
      <c r="L4249" s="83">
        <f t="shared" si="673"/>
        <v>0</v>
      </c>
      <c r="M4249" s="110" t="str">
        <f t="shared" si="674"/>
        <v/>
      </c>
      <c r="N4249" s="51" t="str">
        <f t="shared" si="675"/>
        <v/>
      </c>
      <c r="O4249" s="52" t="str">
        <f t="shared" si="676"/>
        <v/>
      </c>
      <c r="P4249" s="88">
        <f t="shared" si="677"/>
        <v>0</v>
      </c>
      <c r="Q4249" s="88">
        <f t="shared" si="678"/>
        <v>0</v>
      </c>
      <c r="R4249" s="88" t="e">
        <f>-IF(Tabla14[[#This Row],[DIAS HABILES O MORA]]&lt;0,(Tabla14[[#This Row],[VALOR PRESTAMO]]*Tabla14[[#This Row],[% INTERES ]]/30*U4249))+Tabla14[[#This Row],[VALOR CUOTAS]]</f>
        <v>#VALUE!</v>
      </c>
      <c r="S4249" s="88">
        <f>-IF(Tabla14[[#This Row],[DIAS HABILES O MORA]]&lt;0,(Tabla14[[#This Row],[VALOR PRESTAMO]]*Tabla14[[#This Row],[% INTERES ]]/30*U4249))</f>
        <v>0</v>
      </c>
      <c r="T4249" s="53" t="e">
        <f>Tabla14[[#This Row],[DEUDA CAPITAL]]+Tabla14[[#This Row],[INTERES  CUOTA]]</f>
        <v>#NUM!</v>
      </c>
      <c r="U4249" s="61" t="str">
        <f t="shared" si="679"/>
        <v/>
      </c>
    </row>
    <row r="4250" spans="9:21" ht="24.75" customHeight="1" x14ac:dyDescent="0.35">
      <c r="I4250" s="42">
        <f t="shared" si="670"/>
        <v>0</v>
      </c>
      <c r="J4250" s="65" t="e">
        <f t="shared" si="671"/>
        <v>#NUM!</v>
      </c>
      <c r="K4250" s="83" t="e">
        <f t="shared" si="672"/>
        <v>#NUM!</v>
      </c>
      <c r="L4250" s="83">
        <f t="shared" si="673"/>
        <v>0</v>
      </c>
      <c r="M4250" s="110" t="str">
        <f t="shared" si="674"/>
        <v/>
      </c>
      <c r="N4250" s="51" t="str">
        <f t="shared" si="675"/>
        <v/>
      </c>
      <c r="O4250" s="52" t="str">
        <f t="shared" si="676"/>
        <v/>
      </c>
      <c r="P4250" s="88">
        <f t="shared" si="677"/>
        <v>0</v>
      </c>
      <c r="Q4250" s="88">
        <f t="shared" si="678"/>
        <v>0</v>
      </c>
      <c r="R4250" s="88" t="e">
        <f>-IF(Tabla14[[#This Row],[DIAS HABILES O MORA]]&lt;0,(Tabla14[[#This Row],[VALOR PRESTAMO]]*Tabla14[[#This Row],[% INTERES ]]/30*U4250))+Tabla14[[#This Row],[VALOR CUOTAS]]</f>
        <v>#VALUE!</v>
      </c>
      <c r="S4250" s="88">
        <f>-IF(Tabla14[[#This Row],[DIAS HABILES O MORA]]&lt;0,(Tabla14[[#This Row],[VALOR PRESTAMO]]*Tabla14[[#This Row],[% INTERES ]]/30*U4250))</f>
        <v>0</v>
      </c>
      <c r="T4250" s="53" t="e">
        <f>Tabla14[[#This Row],[DEUDA CAPITAL]]+Tabla14[[#This Row],[INTERES  CUOTA]]</f>
        <v>#NUM!</v>
      </c>
      <c r="U4250" s="61" t="str">
        <f t="shared" si="679"/>
        <v/>
      </c>
    </row>
    <row r="4251" spans="9:21" ht="24.75" customHeight="1" x14ac:dyDescent="0.35">
      <c r="I4251" s="42">
        <f t="shared" si="670"/>
        <v>0</v>
      </c>
      <c r="J4251" s="65" t="e">
        <f t="shared" si="671"/>
        <v>#NUM!</v>
      </c>
      <c r="K4251" s="83" t="e">
        <f t="shared" si="672"/>
        <v>#NUM!</v>
      </c>
      <c r="L4251" s="83">
        <f t="shared" si="673"/>
        <v>0</v>
      </c>
      <c r="M4251" s="110" t="str">
        <f t="shared" si="674"/>
        <v/>
      </c>
      <c r="N4251" s="51" t="str">
        <f t="shared" si="675"/>
        <v/>
      </c>
      <c r="O4251" s="52" t="str">
        <f t="shared" si="676"/>
        <v/>
      </c>
      <c r="P4251" s="88">
        <f t="shared" si="677"/>
        <v>0</v>
      </c>
      <c r="Q4251" s="88">
        <f t="shared" si="678"/>
        <v>0</v>
      </c>
      <c r="R4251" s="88" t="e">
        <f>-IF(Tabla14[[#This Row],[DIAS HABILES O MORA]]&lt;0,(Tabla14[[#This Row],[VALOR PRESTAMO]]*Tabla14[[#This Row],[% INTERES ]]/30*U4251))+Tabla14[[#This Row],[VALOR CUOTAS]]</f>
        <v>#VALUE!</v>
      </c>
      <c r="S4251" s="88">
        <f>-IF(Tabla14[[#This Row],[DIAS HABILES O MORA]]&lt;0,(Tabla14[[#This Row],[VALOR PRESTAMO]]*Tabla14[[#This Row],[% INTERES ]]/30*U4251))</f>
        <v>0</v>
      </c>
      <c r="T4251" s="53" t="e">
        <f>Tabla14[[#This Row],[DEUDA CAPITAL]]+Tabla14[[#This Row],[INTERES  CUOTA]]</f>
        <v>#NUM!</v>
      </c>
      <c r="U4251" s="61" t="str">
        <f t="shared" si="679"/>
        <v/>
      </c>
    </row>
    <row r="4252" spans="9:21" ht="24.75" customHeight="1" x14ac:dyDescent="0.35">
      <c r="I4252" s="42">
        <f t="shared" si="670"/>
        <v>0</v>
      </c>
      <c r="J4252" s="65" t="e">
        <f t="shared" si="671"/>
        <v>#NUM!</v>
      </c>
      <c r="K4252" s="83" t="e">
        <f t="shared" si="672"/>
        <v>#NUM!</v>
      </c>
      <c r="L4252" s="83">
        <f t="shared" si="673"/>
        <v>0</v>
      </c>
      <c r="M4252" s="110" t="str">
        <f t="shared" si="674"/>
        <v/>
      </c>
      <c r="N4252" s="51" t="str">
        <f t="shared" si="675"/>
        <v/>
      </c>
      <c r="O4252" s="52" t="str">
        <f t="shared" si="676"/>
        <v/>
      </c>
      <c r="P4252" s="88">
        <f t="shared" si="677"/>
        <v>0</v>
      </c>
      <c r="Q4252" s="88">
        <f t="shared" si="678"/>
        <v>0</v>
      </c>
      <c r="R4252" s="88" t="e">
        <f>-IF(Tabla14[[#This Row],[DIAS HABILES O MORA]]&lt;0,(Tabla14[[#This Row],[VALOR PRESTAMO]]*Tabla14[[#This Row],[% INTERES ]]/30*U4252))+Tabla14[[#This Row],[VALOR CUOTAS]]</f>
        <v>#VALUE!</v>
      </c>
      <c r="S4252" s="88">
        <f>-IF(Tabla14[[#This Row],[DIAS HABILES O MORA]]&lt;0,(Tabla14[[#This Row],[VALOR PRESTAMO]]*Tabla14[[#This Row],[% INTERES ]]/30*U4252))</f>
        <v>0</v>
      </c>
      <c r="T4252" s="53" t="e">
        <f>Tabla14[[#This Row],[DEUDA CAPITAL]]+Tabla14[[#This Row],[INTERES  CUOTA]]</f>
        <v>#NUM!</v>
      </c>
      <c r="U4252" s="61" t="str">
        <f t="shared" si="679"/>
        <v/>
      </c>
    </row>
    <row r="4253" spans="9:21" ht="24.75" customHeight="1" x14ac:dyDescent="0.35">
      <c r="I4253" s="42">
        <f t="shared" si="670"/>
        <v>0</v>
      </c>
      <c r="J4253" s="65" t="e">
        <f t="shared" si="671"/>
        <v>#NUM!</v>
      </c>
      <c r="K4253" s="83" t="e">
        <f t="shared" si="672"/>
        <v>#NUM!</v>
      </c>
      <c r="L4253" s="83">
        <f t="shared" si="673"/>
        <v>0</v>
      </c>
      <c r="M4253" s="110" t="str">
        <f t="shared" si="674"/>
        <v/>
      </c>
      <c r="N4253" s="51" t="str">
        <f t="shared" si="675"/>
        <v/>
      </c>
      <c r="O4253" s="52" t="str">
        <f t="shared" si="676"/>
        <v/>
      </c>
      <c r="P4253" s="88">
        <f t="shared" si="677"/>
        <v>0</v>
      </c>
      <c r="Q4253" s="88">
        <f t="shared" si="678"/>
        <v>0</v>
      </c>
      <c r="R4253" s="88" t="e">
        <f>-IF(Tabla14[[#This Row],[DIAS HABILES O MORA]]&lt;0,(Tabla14[[#This Row],[VALOR PRESTAMO]]*Tabla14[[#This Row],[% INTERES ]]/30*U4253))+Tabla14[[#This Row],[VALOR CUOTAS]]</f>
        <v>#VALUE!</v>
      </c>
      <c r="S4253" s="88">
        <f>-IF(Tabla14[[#This Row],[DIAS HABILES O MORA]]&lt;0,(Tabla14[[#This Row],[VALOR PRESTAMO]]*Tabla14[[#This Row],[% INTERES ]]/30*U4253))</f>
        <v>0</v>
      </c>
      <c r="T4253" s="53" t="e">
        <f>Tabla14[[#This Row],[DEUDA CAPITAL]]+Tabla14[[#This Row],[INTERES  CUOTA]]</f>
        <v>#NUM!</v>
      </c>
      <c r="U4253" s="61" t="str">
        <f t="shared" si="679"/>
        <v/>
      </c>
    </row>
    <row r="4254" spans="9:21" ht="24.75" customHeight="1" x14ac:dyDescent="0.35">
      <c r="I4254" s="42">
        <f t="shared" si="670"/>
        <v>0</v>
      </c>
      <c r="J4254" s="65" t="e">
        <f t="shared" si="671"/>
        <v>#NUM!</v>
      </c>
      <c r="K4254" s="83" t="e">
        <f t="shared" si="672"/>
        <v>#NUM!</v>
      </c>
      <c r="L4254" s="83">
        <f t="shared" si="673"/>
        <v>0</v>
      </c>
      <c r="M4254" s="110" t="str">
        <f t="shared" si="674"/>
        <v/>
      </c>
      <c r="N4254" s="51" t="str">
        <f t="shared" si="675"/>
        <v/>
      </c>
      <c r="O4254" s="52" t="str">
        <f t="shared" si="676"/>
        <v/>
      </c>
      <c r="P4254" s="88">
        <f t="shared" si="677"/>
        <v>0</v>
      </c>
      <c r="Q4254" s="88">
        <f t="shared" si="678"/>
        <v>0</v>
      </c>
      <c r="R4254" s="88" t="e">
        <f>-IF(Tabla14[[#This Row],[DIAS HABILES O MORA]]&lt;0,(Tabla14[[#This Row],[VALOR PRESTAMO]]*Tabla14[[#This Row],[% INTERES ]]/30*U4254))+Tabla14[[#This Row],[VALOR CUOTAS]]</f>
        <v>#VALUE!</v>
      </c>
      <c r="S4254" s="88">
        <f>-IF(Tabla14[[#This Row],[DIAS HABILES O MORA]]&lt;0,(Tabla14[[#This Row],[VALOR PRESTAMO]]*Tabla14[[#This Row],[% INTERES ]]/30*U4254))</f>
        <v>0</v>
      </c>
      <c r="T4254" s="53" t="e">
        <f>Tabla14[[#This Row],[DEUDA CAPITAL]]+Tabla14[[#This Row],[INTERES  CUOTA]]</f>
        <v>#NUM!</v>
      </c>
      <c r="U4254" s="61" t="str">
        <f t="shared" si="679"/>
        <v/>
      </c>
    </row>
    <row r="4255" spans="9:21" ht="24.75" customHeight="1" x14ac:dyDescent="0.35">
      <c r="I4255" s="42">
        <f t="shared" si="670"/>
        <v>0</v>
      </c>
      <c r="J4255" s="65" t="e">
        <f t="shared" si="671"/>
        <v>#NUM!</v>
      </c>
      <c r="K4255" s="83" t="e">
        <f t="shared" si="672"/>
        <v>#NUM!</v>
      </c>
      <c r="L4255" s="83">
        <f t="shared" si="673"/>
        <v>0</v>
      </c>
      <c r="M4255" s="110" t="str">
        <f t="shared" si="674"/>
        <v/>
      </c>
      <c r="N4255" s="51" t="str">
        <f t="shared" si="675"/>
        <v/>
      </c>
      <c r="O4255" s="52" t="str">
        <f t="shared" si="676"/>
        <v/>
      </c>
      <c r="P4255" s="88">
        <f t="shared" si="677"/>
        <v>0</v>
      </c>
      <c r="Q4255" s="88">
        <f t="shared" si="678"/>
        <v>0</v>
      </c>
      <c r="R4255" s="88" t="e">
        <f>-IF(Tabla14[[#This Row],[DIAS HABILES O MORA]]&lt;0,(Tabla14[[#This Row],[VALOR PRESTAMO]]*Tabla14[[#This Row],[% INTERES ]]/30*U4255))+Tabla14[[#This Row],[VALOR CUOTAS]]</f>
        <v>#VALUE!</v>
      </c>
      <c r="S4255" s="88">
        <f>-IF(Tabla14[[#This Row],[DIAS HABILES O MORA]]&lt;0,(Tabla14[[#This Row],[VALOR PRESTAMO]]*Tabla14[[#This Row],[% INTERES ]]/30*U4255))</f>
        <v>0</v>
      </c>
      <c r="T4255" s="53" t="e">
        <f>Tabla14[[#This Row],[DEUDA CAPITAL]]+Tabla14[[#This Row],[INTERES  CUOTA]]</f>
        <v>#NUM!</v>
      </c>
      <c r="U4255" s="61" t="str">
        <f t="shared" si="679"/>
        <v/>
      </c>
    </row>
    <row r="4256" spans="9:21" ht="24.75" customHeight="1" x14ac:dyDescent="0.35">
      <c r="I4256" s="42">
        <f t="shared" si="670"/>
        <v>0</v>
      </c>
      <c r="J4256" s="65" t="e">
        <f t="shared" si="671"/>
        <v>#NUM!</v>
      </c>
      <c r="K4256" s="83" t="e">
        <f t="shared" si="672"/>
        <v>#NUM!</v>
      </c>
      <c r="L4256" s="83">
        <f t="shared" si="673"/>
        <v>0</v>
      </c>
      <c r="M4256" s="110" t="str">
        <f t="shared" si="674"/>
        <v/>
      </c>
      <c r="N4256" s="51" t="str">
        <f t="shared" si="675"/>
        <v/>
      </c>
      <c r="O4256" s="52" t="str">
        <f t="shared" si="676"/>
        <v/>
      </c>
      <c r="P4256" s="88">
        <f t="shared" si="677"/>
        <v>0</v>
      </c>
      <c r="Q4256" s="88">
        <f t="shared" si="678"/>
        <v>0</v>
      </c>
      <c r="R4256" s="88" t="e">
        <f>-IF(Tabla14[[#This Row],[DIAS HABILES O MORA]]&lt;0,(Tabla14[[#This Row],[VALOR PRESTAMO]]*Tabla14[[#This Row],[% INTERES ]]/30*U4256))+Tabla14[[#This Row],[VALOR CUOTAS]]</f>
        <v>#VALUE!</v>
      </c>
      <c r="S4256" s="88">
        <f>-IF(Tabla14[[#This Row],[DIAS HABILES O MORA]]&lt;0,(Tabla14[[#This Row],[VALOR PRESTAMO]]*Tabla14[[#This Row],[% INTERES ]]/30*U4256))</f>
        <v>0</v>
      </c>
      <c r="T4256" s="53" t="e">
        <f>Tabla14[[#This Row],[DEUDA CAPITAL]]+Tabla14[[#This Row],[INTERES  CUOTA]]</f>
        <v>#NUM!</v>
      </c>
      <c r="U4256" s="61" t="str">
        <f t="shared" si="679"/>
        <v/>
      </c>
    </row>
    <row r="4257" spans="9:21" ht="24.75" customHeight="1" x14ac:dyDescent="0.35">
      <c r="I4257" s="42">
        <f t="shared" si="670"/>
        <v>0</v>
      </c>
      <c r="J4257" s="65" t="e">
        <f t="shared" si="671"/>
        <v>#NUM!</v>
      </c>
      <c r="K4257" s="83" t="e">
        <f t="shared" si="672"/>
        <v>#NUM!</v>
      </c>
      <c r="L4257" s="83">
        <f t="shared" si="673"/>
        <v>0</v>
      </c>
      <c r="M4257" s="110" t="str">
        <f t="shared" si="674"/>
        <v/>
      </c>
      <c r="N4257" s="51" t="str">
        <f t="shared" si="675"/>
        <v/>
      </c>
      <c r="O4257" s="52" t="str">
        <f t="shared" si="676"/>
        <v/>
      </c>
      <c r="P4257" s="88">
        <f t="shared" si="677"/>
        <v>0</v>
      </c>
      <c r="Q4257" s="88">
        <f t="shared" si="678"/>
        <v>0</v>
      </c>
      <c r="R4257" s="88" t="e">
        <f>-IF(Tabla14[[#This Row],[DIAS HABILES O MORA]]&lt;0,(Tabla14[[#This Row],[VALOR PRESTAMO]]*Tabla14[[#This Row],[% INTERES ]]/30*U4257))+Tabla14[[#This Row],[VALOR CUOTAS]]</f>
        <v>#VALUE!</v>
      </c>
      <c r="S4257" s="88">
        <f>-IF(Tabla14[[#This Row],[DIAS HABILES O MORA]]&lt;0,(Tabla14[[#This Row],[VALOR PRESTAMO]]*Tabla14[[#This Row],[% INTERES ]]/30*U4257))</f>
        <v>0</v>
      </c>
      <c r="T4257" s="53" t="e">
        <f>Tabla14[[#This Row],[DEUDA CAPITAL]]+Tabla14[[#This Row],[INTERES  CUOTA]]</f>
        <v>#NUM!</v>
      </c>
      <c r="U4257" s="61" t="str">
        <f t="shared" si="679"/>
        <v/>
      </c>
    </row>
    <row r="4258" spans="9:21" ht="24.75" customHeight="1" x14ac:dyDescent="0.35">
      <c r="I4258" s="42">
        <f t="shared" si="670"/>
        <v>0</v>
      </c>
      <c r="J4258" s="65" t="e">
        <f t="shared" si="671"/>
        <v>#NUM!</v>
      </c>
      <c r="K4258" s="83" t="e">
        <f t="shared" si="672"/>
        <v>#NUM!</v>
      </c>
      <c r="L4258" s="83">
        <f t="shared" si="673"/>
        <v>0</v>
      </c>
      <c r="M4258" s="110" t="str">
        <f t="shared" si="674"/>
        <v/>
      </c>
      <c r="N4258" s="51" t="str">
        <f t="shared" si="675"/>
        <v/>
      </c>
      <c r="O4258" s="52" t="str">
        <f t="shared" si="676"/>
        <v/>
      </c>
      <c r="P4258" s="88">
        <f t="shared" si="677"/>
        <v>0</v>
      </c>
      <c r="Q4258" s="88">
        <f t="shared" si="678"/>
        <v>0</v>
      </c>
      <c r="R4258" s="88" t="e">
        <f>-IF(Tabla14[[#This Row],[DIAS HABILES O MORA]]&lt;0,(Tabla14[[#This Row],[VALOR PRESTAMO]]*Tabla14[[#This Row],[% INTERES ]]/30*U4258))+Tabla14[[#This Row],[VALOR CUOTAS]]</f>
        <v>#VALUE!</v>
      </c>
      <c r="S4258" s="88">
        <f>-IF(Tabla14[[#This Row],[DIAS HABILES O MORA]]&lt;0,(Tabla14[[#This Row],[VALOR PRESTAMO]]*Tabla14[[#This Row],[% INTERES ]]/30*U4258))</f>
        <v>0</v>
      </c>
      <c r="T4258" s="53" t="e">
        <f>Tabla14[[#This Row],[DEUDA CAPITAL]]+Tabla14[[#This Row],[INTERES  CUOTA]]</f>
        <v>#NUM!</v>
      </c>
      <c r="U4258" s="61" t="str">
        <f t="shared" si="679"/>
        <v/>
      </c>
    </row>
    <row r="4259" spans="9:21" ht="24.75" customHeight="1" x14ac:dyDescent="0.35">
      <c r="I4259" s="42">
        <f t="shared" si="670"/>
        <v>0</v>
      </c>
      <c r="J4259" s="65" t="e">
        <f t="shared" si="671"/>
        <v>#NUM!</v>
      </c>
      <c r="K4259" s="83" t="e">
        <f t="shared" si="672"/>
        <v>#NUM!</v>
      </c>
      <c r="L4259" s="83">
        <f t="shared" si="673"/>
        <v>0</v>
      </c>
      <c r="M4259" s="110" t="str">
        <f t="shared" si="674"/>
        <v/>
      </c>
      <c r="N4259" s="51" t="str">
        <f t="shared" si="675"/>
        <v/>
      </c>
      <c r="O4259" s="52" t="str">
        <f t="shared" si="676"/>
        <v/>
      </c>
      <c r="P4259" s="88">
        <f t="shared" si="677"/>
        <v>0</v>
      </c>
      <c r="Q4259" s="88">
        <f t="shared" si="678"/>
        <v>0</v>
      </c>
      <c r="R4259" s="88" t="e">
        <f>-IF(Tabla14[[#This Row],[DIAS HABILES O MORA]]&lt;0,(Tabla14[[#This Row],[VALOR PRESTAMO]]*Tabla14[[#This Row],[% INTERES ]]/30*U4259))+Tabla14[[#This Row],[VALOR CUOTAS]]</f>
        <v>#VALUE!</v>
      </c>
      <c r="S4259" s="88">
        <f>-IF(Tabla14[[#This Row],[DIAS HABILES O MORA]]&lt;0,(Tabla14[[#This Row],[VALOR PRESTAMO]]*Tabla14[[#This Row],[% INTERES ]]/30*U4259))</f>
        <v>0</v>
      </c>
      <c r="T4259" s="53" t="e">
        <f>Tabla14[[#This Row],[DEUDA CAPITAL]]+Tabla14[[#This Row],[INTERES  CUOTA]]</f>
        <v>#NUM!</v>
      </c>
      <c r="U4259" s="61" t="str">
        <f t="shared" si="679"/>
        <v/>
      </c>
    </row>
    <row r="4260" spans="9:21" ht="24.75" customHeight="1" x14ac:dyDescent="0.35">
      <c r="I4260" s="42">
        <f t="shared" si="670"/>
        <v>0</v>
      </c>
      <c r="J4260" s="65" t="e">
        <f t="shared" si="671"/>
        <v>#NUM!</v>
      </c>
      <c r="K4260" s="83" t="e">
        <f t="shared" si="672"/>
        <v>#NUM!</v>
      </c>
      <c r="L4260" s="83">
        <f t="shared" si="673"/>
        <v>0</v>
      </c>
      <c r="M4260" s="110" t="str">
        <f t="shared" si="674"/>
        <v/>
      </c>
      <c r="N4260" s="51" t="str">
        <f t="shared" si="675"/>
        <v/>
      </c>
      <c r="O4260" s="52" t="str">
        <f t="shared" si="676"/>
        <v/>
      </c>
      <c r="P4260" s="88">
        <f t="shared" si="677"/>
        <v>0</v>
      </c>
      <c r="Q4260" s="88">
        <f t="shared" si="678"/>
        <v>0</v>
      </c>
      <c r="R4260" s="88" t="e">
        <f>-IF(Tabla14[[#This Row],[DIAS HABILES O MORA]]&lt;0,(Tabla14[[#This Row],[VALOR PRESTAMO]]*Tabla14[[#This Row],[% INTERES ]]/30*U4260))+Tabla14[[#This Row],[VALOR CUOTAS]]</f>
        <v>#VALUE!</v>
      </c>
      <c r="S4260" s="88">
        <f>-IF(Tabla14[[#This Row],[DIAS HABILES O MORA]]&lt;0,(Tabla14[[#This Row],[VALOR PRESTAMO]]*Tabla14[[#This Row],[% INTERES ]]/30*U4260))</f>
        <v>0</v>
      </c>
      <c r="T4260" s="53" t="e">
        <f>Tabla14[[#This Row],[DEUDA CAPITAL]]+Tabla14[[#This Row],[INTERES  CUOTA]]</f>
        <v>#NUM!</v>
      </c>
      <c r="U4260" s="61" t="str">
        <f t="shared" si="679"/>
        <v/>
      </c>
    </row>
    <row r="4261" spans="9:21" ht="24.75" customHeight="1" x14ac:dyDescent="0.35">
      <c r="I4261" s="42">
        <f t="shared" si="670"/>
        <v>0</v>
      </c>
      <c r="J4261" s="65" t="e">
        <f t="shared" si="671"/>
        <v>#NUM!</v>
      </c>
      <c r="K4261" s="83" t="e">
        <f t="shared" si="672"/>
        <v>#NUM!</v>
      </c>
      <c r="L4261" s="83">
        <f t="shared" si="673"/>
        <v>0</v>
      </c>
      <c r="M4261" s="110" t="str">
        <f t="shared" si="674"/>
        <v/>
      </c>
      <c r="N4261" s="51" t="str">
        <f t="shared" si="675"/>
        <v/>
      </c>
      <c r="O4261" s="52" t="str">
        <f t="shared" si="676"/>
        <v/>
      </c>
      <c r="P4261" s="88">
        <f t="shared" si="677"/>
        <v>0</v>
      </c>
      <c r="Q4261" s="88">
        <f t="shared" si="678"/>
        <v>0</v>
      </c>
      <c r="R4261" s="88" t="e">
        <f>-IF(Tabla14[[#This Row],[DIAS HABILES O MORA]]&lt;0,(Tabla14[[#This Row],[VALOR PRESTAMO]]*Tabla14[[#This Row],[% INTERES ]]/30*U4261))+Tabla14[[#This Row],[VALOR CUOTAS]]</f>
        <v>#VALUE!</v>
      </c>
      <c r="S4261" s="88">
        <f>-IF(Tabla14[[#This Row],[DIAS HABILES O MORA]]&lt;0,(Tabla14[[#This Row],[VALOR PRESTAMO]]*Tabla14[[#This Row],[% INTERES ]]/30*U4261))</f>
        <v>0</v>
      </c>
      <c r="T4261" s="53" t="e">
        <f>Tabla14[[#This Row],[DEUDA CAPITAL]]+Tabla14[[#This Row],[INTERES  CUOTA]]</f>
        <v>#NUM!</v>
      </c>
      <c r="U4261" s="61" t="str">
        <f t="shared" si="679"/>
        <v/>
      </c>
    </row>
    <row r="4262" spans="9:21" ht="24.75" customHeight="1" x14ac:dyDescent="0.35">
      <c r="I4262" s="42">
        <f t="shared" si="670"/>
        <v>0</v>
      </c>
      <c r="J4262" s="65" t="e">
        <f t="shared" si="671"/>
        <v>#NUM!</v>
      </c>
      <c r="K4262" s="83" t="e">
        <f t="shared" si="672"/>
        <v>#NUM!</v>
      </c>
      <c r="L4262" s="83">
        <f t="shared" si="673"/>
        <v>0</v>
      </c>
      <c r="M4262" s="110" t="str">
        <f t="shared" si="674"/>
        <v/>
      </c>
      <c r="N4262" s="51" t="str">
        <f t="shared" si="675"/>
        <v/>
      </c>
      <c r="O4262" s="52" t="str">
        <f t="shared" si="676"/>
        <v/>
      </c>
      <c r="P4262" s="88">
        <f t="shared" si="677"/>
        <v>0</v>
      </c>
      <c r="Q4262" s="88">
        <f t="shared" si="678"/>
        <v>0</v>
      </c>
      <c r="R4262" s="88" t="e">
        <f>-IF(Tabla14[[#This Row],[DIAS HABILES O MORA]]&lt;0,(Tabla14[[#This Row],[VALOR PRESTAMO]]*Tabla14[[#This Row],[% INTERES ]]/30*U4262))+Tabla14[[#This Row],[VALOR CUOTAS]]</f>
        <v>#VALUE!</v>
      </c>
      <c r="S4262" s="88">
        <f>-IF(Tabla14[[#This Row],[DIAS HABILES O MORA]]&lt;0,(Tabla14[[#This Row],[VALOR PRESTAMO]]*Tabla14[[#This Row],[% INTERES ]]/30*U4262))</f>
        <v>0</v>
      </c>
      <c r="T4262" s="53" t="e">
        <f>Tabla14[[#This Row],[DEUDA CAPITAL]]+Tabla14[[#This Row],[INTERES  CUOTA]]</f>
        <v>#NUM!</v>
      </c>
      <c r="U4262" s="61" t="str">
        <f t="shared" si="679"/>
        <v/>
      </c>
    </row>
    <row r="4263" spans="9:21" ht="24.75" customHeight="1" x14ac:dyDescent="0.35">
      <c r="I4263" s="42">
        <f t="shared" si="670"/>
        <v>0</v>
      </c>
      <c r="J4263" s="65" t="e">
        <f t="shared" si="671"/>
        <v>#NUM!</v>
      </c>
      <c r="K4263" s="83" t="e">
        <f t="shared" si="672"/>
        <v>#NUM!</v>
      </c>
      <c r="L4263" s="83">
        <f t="shared" si="673"/>
        <v>0</v>
      </c>
      <c r="M4263" s="110" t="str">
        <f t="shared" si="674"/>
        <v/>
      </c>
      <c r="N4263" s="51" t="str">
        <f t="shared" si="675"/>
        <v/>
      </c>
      <c r="O4263" s="52" t="str">
        <f t="shared" si="676"/>
        <v/>
      </c>
      <c r="P4263" s="88">
        <f t="shared" si="677"/>
        <v>0</v>
      </c>
      <c r="Q4263" s="88">
        <f t="shared" si="678"/>
        <v>0</v>
      </c>
      <c r="R4263" s="88" t="e">
        <f>-IF(Tabla14[[#This Row],[DIAS HABILES O MORA]]&lt;0,(Tabla14[[#This Row],[VALOR PRESTAMO]]*Tabla14[[#This Row],[% INTERES ]]/30*U4263))+Tabla14[[#This Row],[VALOR CUOTAS]]</f>
        <v>#VALUE!</v>
      </c>
      <c r="S4263" s="88">
        <f>-IF(Tabla14[[#This Row],[DIAS HABILES O MORA]]&lt;0,(Tabla14[[#This Row],[VALOR PRESTAMO]]*Tabla14[[#This Row],[% INTERES ]]/30*U4263))</f>
        <v>0</v>
      </c>
      <c r="T4263" s="53" t="e">
        <f>Tabla14[[#This Row],[DEUDA CAPITAL]]+Tabla14[[#This Row],[INTERES  CUOTA]]</f>
        <v>#NUM!</v>
      </c>
      <c r="U4263" s="61" t="str">
        <f t="shared" si="679"/>
        <v/>
      </c>
    </row>
    <row r="4264" spans="9:21" ht="24.75" customHeight="1" x14ac:dyDescent="0.35">
      <c r="I4264" s="42">
        <f t="shared" si="670"/>
        <v>0</v>
      </c>
      <c r="J4264" s="65" t="e">
        <f t="shared" si="671"/>
        <v>#NUM!</v>
      </c>
      <c r="K4264" s="83" t="e">
        <f t="shared" si="672"/>
        <v>#NUM!</v>
      </c>
      <c r="L4264" s="83">
        <f t="shared" si="673"/>
        <v>0</v>
      </c>
      <c r="M4264" s="110" t="str">
        <f t="shared" si="674"/>
        <v/>
      </c>
      <c r="N4264" s="51" t="str">
        <f t="shared" si="675"/>
        <v/>
      </c>
      <c r="O4264" s="52" t="str">
        <f t="shared" si="676"/>
        <v/>
      </c>
      <c r="P4264" s="88">
        <f t="shared" si="677"/>
        <v>0</v>
      </c>
      <c r="Q4264" s="88">
        <f t="shared" si="678"/>
        <v>0</v>
      </c>
      <c r="R4264" s="88" t="e">
        <f>-IF(Tabla14[[#This Row],[DIAS HABILES O MORA]]&lt;0,(Tabla14[[#This Row],[VALOR PRESTAMO]]*Tabla14[[#This Row],[% INTERES ]]/30*U4264))+Tabla14[[#This Row],[VALOR CUOTAS]]</f>
        <v>#VALUE!</v>
      </c>
      <c r="S4264" s="88">
        <f>-IF(Tabla14[[#This Row],[DIAS HABILES O MORA]]&lt;0,(Tabla14[[#This Row],[VALOR PRESTAMO]]*Tabla14[[#This Row],[% INTERES ]]/30*U4264))</f>
        <v>0</v>
      </c>
      <c r="T4264" s="53" t="e">
        <f>Tabla14[[#This Row],[DEUDA CAPITAL]]+Tabla14[[#This Row],[INTERES  CUOTA]]</f>
        <v>#NUM!</v>
      </c>
      <c r="U4264" s="61" t="str">
        <f t="shared" si="679"/>
        <v/>
      </c>
    </row>
    <row r="4265" spans="9:21" ht="24.75" customHeight="1" x14ac:dyDescent="0.35">
      <c r="I4265" s="42">
        <f t="shared" si="670"/>
        <v>0</v>
      </c>
      <c r="J4265" s="65" t="e">
        <f t="shared" si="671"/>
        <v>#NUM!</v>
      </c>
      <c r="K4265" s="83" t="e">
        <f t="shared" si="672"/>
        <v>#NUM!</v>
      </c>
      <c r="L4265" s="83">
        <f t="shared" si="673"/>
        <v>0</v>
      </c>
      <c r="M4265" s="110" t="str">
        <f t="shared" si="674"/>
        <v/>
      </c>
      <c r="N4265" s="51" t="str">
        <f t="shared" si="675"/>
        <v/>
      </c>
      <c r="O4265" s="52" t="str">
        <f t="shared" si="676"/>
        <v/>
      </c>
      <c r="P4265" s="88">
        <f t="shared" si="677"/>
        <v>0</v>
      </c>
      <c r="Q4265" s="88">
        <f t="shared" si="678"/>
        <v>0</v>
      </c>
      <c r="R4265" s="88" t="e">
        <f>-IF(Tabla14[[#This Row],[DIAS HABILES O MORA]]&lt;0,(Tabla14[[#This Row],[VALOR PRESTAMO]]*Tabla14[[#This Row],[% INTERES ]]/30*U4265))+Tabla14[[#This Row],[VALOR CUOTAS]]</f>
        <v>#VALUE!</v>
      </c>
      <c r="S4265" s="88">
        <f>-IF(Tabla14[[#This Row],[DIAS HABILES O MORA]]&lt;0,(Tabla14[[#This Row],[VALOR PRESTAMO]]*Tabla14[[#This Row],[% INTERES ]]/30*U4265))</f>
        <v>0</v>
      </c>
      <c r="T4265" s="53" t="e">
        <f>Tabla14[[#This Row],[DEUDA CAPITAL]]+Tabla14[[#This Row],[INTERES  CUOTA]]</f>
        <v>#NUM!</v>
      </c>
      <c r="U4265" s="61" t="str">
        <f t="shared" si="679"/>
        <v/>
      </c>
    </row>
    <row r="4266" spans="9:21" ht="24.75" customHeight="1" x14ac:dyDescent="0.35">
      <c r="I4266" s="42">
        <f t="shared" si="670"/>
        <v>0</v>
      </c>
      <c r="J4266" s="65" t="e">
        <f t="shared" si="671"/>
        <v>#NUM!</v>
      </c>
      <c r="K4266" s="83" t="e">
        <f t="shared" si="672"/>
        <v>#NUM!</v>
      </c>
      <c r="L4266" s="83">
        <f t="shared" si="673"/>
        <v>0</v>
      </c>
      <c r="M4266" s="110" t="str">
        <f t="shared" si="674"/>
        <v/>
      </c>
      <c r="N4266" s="51" t="str">
        <f t="shared" si="675"/>
        <v/>
      </c>
      <c r="O4266" s="52" t="str">
        <f t="shared" si="676"/>
        <v/>
      </c>
      <c r="P4266" s="88">
        <f t="shared" si="677"/>
        <v>0</v>
      </c>
      <c r="Q4266" s="88">
        <f t="shared" si="678"/>
        <v>0</v>
      </c>
      <c r="R4266" s="88" t="e">
        <f>-IF(Tabla14[[#This Row],[DIAS HABILES O MORA]]&lt;0,(Tabla14[[#This Row],[VALOR PRESTAMO]]*Tabla14[[#This Row],[% INTERES ]]/30*U4266))+Tabla14[[#This Row],[VALOR CUOTAS]]</f>
        <v>#VALUE!</v>
      </c>
      <c r="S4266" s="88">
        <f>-IF(Tabla14[[#This Row],[DIAS HABILES O MORA]]&lt;0,(Tabla14[[#This Row],[VALOR PRESTAMO]]*Tabla14[[#This Row],[% INTERES ]]/30*U4266))</f>
        <v>0</v>
      </c>
      <c r="T4266" s="53" t="e">
        <f>Tabla14[[#This Row],[DEUDA CAPITAL]]+Tabla14[[#This Row],[INTERES  CUOTA]]</f>
        <v>#NUM!</v>
      </c>
      <c r="U4266" s="61" t="str">
        <f t="shared" si="679"/>
        <v/>
      </c>
    </row>
    <row r="4267" spans="9:21" ht="24.75" customHeight="1" x14ac:dyDescent="0.35">
      <c r="I4267" s="42">
        <f t="shared" si="670"/>
        <v>0</v>
      </c>
      <c r="J4267" s="65" t="e">
        <f t="shared" si="671"/>
        <v>#NUM!</v>
      </c>
      <c r="K4267" s="83" t="e">
        <f t="shared" si="672"/>
        <v>#NUM!</v>
      </c>
      <c r="L4267" s="83">
        <f t="shared" si="673"/>
        <v>0</v>
      </c>
      <c r="M4267" s="110" t="str">
        <f t="shared" si="674"/>
        <v/>
      </c>
      <c r="N4267" s="51" t="str">
        <f t="shared" si="675"/>
        <v/>
      </c>
      <c r="O4267" s="52" t="str">
        <f t="shared" si="676"/>
        <v/>
      </c>
      <c r="P4267" s="88">
        <f t="shared" si="677"/>
        <v>0</v>
      </c>
      <c r="Q4267" s="88">
        <f t="shared" si="678"/>
        <v>0</v>
      </c>
      <c r="R4267" s="88" t="e">
        <f>-IF(Tabla14[[#This Row],[DIAS HABILES O MORA]]&lt;0,(Tabla14[[#This Row],[VALOR PRESTAMO]]*Tabla14[[#This Row],[% INTERES ]]/30*U4267))+Tabla14[[#This Row],[VALOR CUOTAS]]</f>
        <v>#VALUE!</v>
      </c>
      <c r="S4267" s="88">
        <f>-IF(Tabla14[[#This Row],[DIAS HABILES O MORA]]&lt;0,(Tabla14[[#This Row],[VALOR PRESTAMO]]*Tabla14[[#This Row],[% INTERES ]]/30*U4267))</f>
        <v>0</v>
      </c>
      <c r="T4267" s="53" t="e">
        <f>Tabla14[[#This Row],[DEUDA CAPITAL]]+Tabla14[[#This Row],[INTERES  CUOTA]]</f>
        <v>#NUM!</v>
      </c>
      <c r="U4267" s="61" t="str">
        <f t="shared" si="679"/>
        <v/>
      </c>
    </row>
    <row r="4268" spans="9:21" ht="24.75" customHeight="1" x14ac:dyDescent="0.35">
      <c r="I4268" s="42">
        <f t="shared" si="670"/>
        <v>0</v>
      </c>
      <c r="J4268" s="65" t="e">
        <f t="shared" si="671"/>
        <v>#NUM!</v>
      </c>
      <c r="K4268" s="83" t="e">
        <f t="shared" si="672"/>
        <v>#NUM!</v>
      </c>
      <c r="L4268" s="83">
        <f t="shared" si="673"/>
        <v>0</v>
      </c>
      <c r="M4268" s="110" t="str">
        <f t="shared" si="674"/>
        <v/>
      </c>
      <c r="N4268" s="51" t="str">
        <f t="shared" si="675"/>
        <v/>
      </c>
      <c r="O4268" s="52" t="str">
        <f t="shared" si="676"/>
        <v/>
      </c>
      <c r="P4268" s="88">
        <f t="shared" si="677"/>
        <v>0</v>
      </c>
      <c r="Q4268" s="88">
        <f t="shared" si="678"/>
        <v>0</v>
      </c>
      <c r="R4268" s="88" t="e">
        <f>-IF(Tabla14[[#This Row],[DIAS HABILES O MORA]]&lt;0,(Tabla14[[#This Row],[VALOR PRESTAMO]]*Tabla14[[#This Row],[% INTERES ]]/30*U4268))+Tabla14[[#This Row],[VALOR CUOTAS]]</f>
        <v>#VALUE!</v>
      </c>
      <c r="S4268" s="88">
        <f>-IF(Tabla14[[#This Row],[DIAS HABILES O MORA]]&lt;0,(Tabla14[[#This Row],[VALOR PRESTAMO]]*Tabla14[[#This Row],[% INTERES ]]/30*U4268))</f>
        <v>0</v>
      </c>
      <c r="T4268" s="53" t="e">
        <f>Tabla14[[#This Row],[DEUDA CAPITAL]]+Tabla14[[#This Row],[INTERES  CUOTA]]</f>
        <v>#NUM!</v>
      </c>
      <c r="U4268" s="61" t="str">
        <f t="shared" si="679"/>
        <v/>
      </c>
    </row>
    <row r="4269" spans="9:21" ht="24.75" customHeight="1" x14ac:dyDescent="0.35">
      <c r="I4269" s="42">
        <f t="shared" si="670"/>
        <v>0</v>
      </c>
      <c r="J4269" s="65" t="e">
        <f t="shared" si="671"/>
        <v>#NUM!</v>
      </c>
      <c r="K4269" s="83" t="e">
        <f t="shared" si="672"/>
        <v>#NUM!</v>
      </c>
      <c r="L4269" s="83">
        <f t="shared" si="673"/>
        <v>0</v>
      </c>
      <c r="M4269" s="110" t="str">
        <f t="shared" si="674"/>
        <v/>
      </c>
      <c r="N4269" s="51" t="str">
        <f t="shared" si="675"/>
        <v/>
      </c>
      <c r="O4269" s="52" t="str">
        <f t="shared" si="676"/>
        <v/>
      </c>
      <c r="P4269" s="88">
        <f t="shared" si="677"/>
        <v>0</v>
      </c>
      <c r="Q4269" s="88">
        <f t="shared" si="678"/>
        <v>0</v>
      </c>
      <c r="R4269" s="88" t="e">
        <f>-IF(Tabla14[[#This Row],[DIAS HABILES O MORA]]&lt;0,(Tabla14[[#This Row],[VALOR PRESTAMO]]*Tabla14[[#This Row],[% INTERES ]]/30*U4269))+Tabla14[[#This Row],[VALOR CUOTAS]]</f>
        <v>#VALUE!</v>
      </c>
      <c r="S4269" s="88">
        <f>-IF(Tabla14[[#This Row],[DIAS HABILES O MORA]]&lt;0,(Tabla14[[#This Row],[VALOR PRESTAMO]]*Tabla14[[#This Row],[% INTERES ]]/30*U4269))</f>
        <v>0</v>
      </c>
      <c r="T4269" s="53" t="e">
        <f>Tabla14[[#This Row],[DEUDA CAPITAL]]+Tabla14[[#This Row],[INTERES  CUOTA]]</f>
        <v>#NUM!</v>
      </c>
      <c r="U4269" s="61" t="str">
        <f t="shared" si="679"/>
        <v/>
      </c>
    </row>
    <row r="4270" spans="9:21" ht="24.75" customHeight="1" x14ac:dyDescent="0.35">
      <c r="I4270" s="42">
        <f t="shared" si="670"/>
        <v>0</v>
      </c>
      <c r="J4270" s="65" t="e">
        <f t="shared" si="671"/>
        <v>#NUM!</v>
      </c>
      <c r="K4270" s="83" t="e">
        <f t="shared" si="672"/>
        <v>#NUM!</v>
      </c>
      <c r="L4270" s="83">
        <f t="shared" si="673"/>
        <v>0</v>
      </c>
      <c r="M4270" s="110" t="str">
        <f t="shared" si="674"/>
        <v/>
      </c>
      <c r="N4270" s="51" t="str">
        <f t="shared" si="675"/>
        <v/>
      </c>
      <c r="O4270" s="52" t="str">
        <f t="shared" si="676"/>
        <v/>
      </c>
      <c r="P4270" s="88">
        <f t="shared" si="677"/>
        <v>0</v>
      </c>
      <c r="Q4270" s="88">
        <f t="shared" si="678"/>
        <v>0</v>
      </c>
      <c r="R4270" s="88" t="e">
        <f>-IF(Tabla14[[#This Row],[DIAS HABILES O MORA]]&lt;0,(Tabla14[[#This Row],[VALOR PRESTAMO]]*Tabla14[[#This Row],[% INTERES ]]/30*U4270))+Tabla14[[#This Row],[VALOR CUOTAS]]</f>
        <v>#VALUE!</v>
      </c>
      <c r="S4270" s="88">
        <f>-IF(Tabla14[[#This Row],[DIAS HABILES O MORA]]&lt;0,(Tabla14[[#This Row],[VALOR PRESTAMO]]*Tabla14[[#This Row],[% INTERES ]]/30*U4270))</f>
        <v>0</v>
      </c>
      <c r="T4270" s="53" t="e">
        <f>Tabla14[[#This Row],[DEUDA CAPITAL]]+Tabla14[[#This Row],[INTERES  CUOTA]]</f>
        <v>#NUM!</v>
      </c>
      <c r="U4270" s="61" t="str">
        <f t="shared" si="679"/>
        <v/>
      </c>
    </row>
    <row r="4271" spans="9:21" ht="24.75" customHeight="1" x14ac:dyDescent="0.35">
      <c r="I4271" s="42">
        <f t="shared" si="670"/>
        <v>0</v>
      </c>
      <c r="J4271" s="65" t="e">
        <f t="shared" si="671"/>
        <v>#NUM!</v>
      </c>
      <c r="K4271" s="83" t="e">
        <f t="shared" si="672"/>
        <v>#NUM!</v>
      </c>
      <c r="L4271" s="83">
        <f t="shared" si="673"/>
        <v>0</v>
      </c>
      <c r="M4271" s="110" t="str">
        <f t="shared" si="674"/>
        <v/>
      </c>
      <c r="N4271" s="51" t="str">
        <f t="shared" si="675"/>
        <v/>
      </c>
      <c r="O4271" s="52" t="str">
        <f t="shared" si="676"/>
        <v/>
      </c>
      <c r="P4271" s="88">
        <f t="shared" si="677"/>
        <v>0</v>
      </c>
      <c r="Q4271" s="88">
        <f t="shared" si="678"/>
        <v>0</v>
      </c>
      <c r="R4271" s="88" t="e">
        <f>-IF(Tabla14[[#This Row],[DIAS HABILES O MORA]]&lt;0,(Tabla14[[#This Row],[VALOR PRESTAMO]]*Tabla14[[#This Row],[% INTERES ]]/30*U4271))+Tabla14[[#This Row],[VALOR CUOTAS]]</f>
        <v>#VALUE!</v>
      </c>
      <c r="S4271" s="88">
        <f>-IF(Tabla14[[#This Row],[DIAS HABILES O MORA]]&lt;0,(Tabla14[[#This Row],[VALOR PRESTAMO]]*Tabla14[[#This Row],[% INTERES ]]/30*U4271))</f>
        <v>0</v>
      </c>
      <c r="T4271" s="53" t="e">
        <f>Tabla14[[#This Row],[DEUDA CAPITAL]]+Tabla14[[#This Row],[INTERES  CUOTA]]</f>
        <v>#NUM!</v>
      </c>
      <c r="U4271" s="61" t="str">
        <f t="shared" si="679"/>
        <v/>
      </c>
    </row>
    <row r="4272" spans="9:21" ht="24.75" customHeight="1" x14ac:dyDescent="0.35">
      <c r="I4272" s="42">
        <f t="shared" si="670"/>
        <v>0</v>
      </c>
      <c r="J4272" s="65" t="e">
        <f t="shared" si="671"/>
        <v>#NUM!</v>
      </c>
      <c r="K4272" s="83" t="e">
        <f t="shared" si="672"/>
        <v>#NUM!</v>
      </c>
      <c r="L4272" s="83">
        <f t="shared" si="673"/>
        <v>0</v>
      </c>
      <c r="M4272" s="110" t="str">
        <f t="shared" si="674"/>
        <v/>
      </c>
      <c r="N4272" s="51" t="str">
        <f t="shared" si="675"/>
        <v/>
      </c>
      <c r="O4272" s="52" t="str">
        <f t="shared" si="676"/>
        <v/>
      </c>
      <c r="P4272" s="88">
        <f t="shared" si="677"/>
        <v>0</v>
      </c>
      <c r="Q4272" s="88">
        <f t="shared" si="678"/>
        <v>0</v>
      </c>
      <c r="R4272" s="88" t="e">
        <f>-IF(Tabla14[[#This Row],[DIAS HABILES O MORA]]&lt;0,(Tabla14[[#This Row],[VALOR PRESTAMO]]*Tabla14[[#This Row],[% INTERES ]]/30*U4272))+Tabla14[[#This Row],[VALOR CUOTAS]]</f>
        <v>#VALUE!</v>
      </c>
      <c r="S4272" s="88">
        <f>-IF(Tabla14[[#This Row],[DIAS HABILES O MORA]]&lt;0,(Tabla14[[#This Row],[VALOR PRESTAMO]]*Tabla14[[#This Row],[% INTERES ]]/30*U4272))</f>
        <v>0</v>
      </c>
      <c r="T4272" s="53" t="e">
        <f>Tabla14[[#This Row],[DEUDA CAPITAL]]+Tabla14[[#This Row],[INTERES  CUOTA]]</f>
        <v>#NUM!</v>
      </c>
      <c r="U4272" s="61" t="str">
        <f t="shared" si="679"/>
        <v/>
      </c>
    </row>
    <row r="4273" spans="9:21" ht="24.75" customHeight="1" x14ac:dyDescent="0.35">
      <c r="I4273" s="42">
        <f t="shared" si="670"/>
        <v>0</v>
      </c>
      <c r="J4273" s="65" t="e">
        <f t="shared" si="671"/>
        <v>#NUM!</v>
      </c>
      <c r="K4273" s="83" t="e">
        <f t="shared" si="672"/>
        <v>#NUM!</v>
      </c>
      <c r="L4273" s="83">
        <f t="shared" si="673"/>
        <v>0</v>
      </c>
      <c r="M4273" s="110" t="str">
        <f t="shared" si="674"/>
        <v/>
      </c>
      <c r="N4273" s="51" t="str">
        <f t="shared" si="675"/>
        <v/>
      </c>
      <c r="O4273" s="52" t="str">
        <f t="shared" si="676"/>
        <v/>
      </c>
      <c r="P4273" s="88">
        <f t="shared" si="677"/>
        <v>0</v>
      </c>
      <c r="Q4273" s="88">
        <f t="shared" si="678"/>
        <v>0</v>
      </c>
      <c r="R4273" s="88" t="e">
        <f>-IF(Tabla14[[#This Row],[DIAS HABILES O MORA]]&lt;0,(Tabla14[[#This Row],[VALOR PRESTAMO]]*Tabla14[[#This Row],[% INTERES ]]/30*U4273))+Tabla14[[#This Row],[VALOR CUOTAS]]</f>
        <v>#VALUE!</v>
      </c>
      <c r="S4273" s="88">
        <f>-IF(Tabla14[[#This Row],[DIAS HABILES O MORA]]&lt;0,(Tabla14[[#This Row],[VALOR PRESTAMO]]*Tabla14[[#This Row],[% INTERES ]]/30*U4273))</f>
        <v>0</v>
      </c>
      <c r="T4273" s="53" t="e">
        <f>Tabla14[[#This Row],[DEUDA CAPITAL]]+Tabla14[[#This Row],[INTERES  CUOTA]]</f>
        <v>#NUM!</v>
      </c>
      <c r="U4273" s="61" t="str">
        <f t="shared" si="679"/>
        <v/>
      </c>
    </row>
    <row r="4274" spans="9:21" ht="24.75" customHeight="1" x14ac:dyDescent="0.35">
      <c r="I4274" s="42">
        <f t="shared" si="670"/>
        <v>0</v>
      </c>
      <c r="J4274" s="65" t="e">
        <f t="shared" si="671"/>
        <v>#NUM!</v>
      </c>
      <c r="K4274" s="83" t="e">
        <f t="shared" si="672"/>
        <v>#NUM!</v>
      </c>
      <c r="L4274" s="83">
        <f t="shared" si="673"/>
        <v>0</v>
      </c>
      <c r="M4274" s="110" t="str">
        <f t="shared" si="674"/>
        <v/>
      </c>
      <c r="N4274" s="51" t="str">
        <f t="shared" si="675"/>
        <v/>
      </c>
      <c r="O4274" s="52" t="str">
        <f t="shared" si="676"/>
        <v/>
      </c>
      <c r="P4274" s="88">
        <f t="shared" si="677"/>
        <v>0</v>
      </c>
      <c r="Q4274" s="88">
        <f t="shared" si="678"/>
        <v>0</v>
      </c>
      <c r="R4274" s="88" t="e">
        <f>-IF(Tabla14[[#This Row],[DIAS HABILES O MORA]]&lt;0,(Tabla14[[#This Row],[VALOR PRESTAMO]]*Tabla14[[#This Row],[% INTERES ]]/30*U4274))+Tabla14[[#This Row],[VALOR CUOTAS]]</f>
        <v>#VALUE!</v>
      </c>
      <c r="S4274" s="88">
        <f>-IF(Tabla14[[#This Row],[DIAS HABILES O MORA]]&lt;0,(Tabla14[[#This Row],[VALOR PRESTAMO]]*Tabla14[[#This Row],[% INTERES ]]/30*U4274))</f>
        <v>0</v>
      </c>
      <c r="T4274" s="53" t="e">
        <f>Tabla14[[#This Row],[DEUDA CAPITAL]]+Tabla14[[#This Row],[INTERES  CUOTA]]</f>
        <v>#NUM!</v>
      </c>
      <c r="U4274" s="61" t="str">
        <f t="shared" si="679"/>
        <v/>
      </c>
    </row>
    <row r="4275" spans="9:21" ht="24.75" customHeight="1" x14ac:dyDescent="0.35">
      <c r="I4275" s="42">
        <f t="shared" si="670"/>
        <v>0</v>
      </c>
      <c r="J4275" s="65" t="e">
        <f t="shared" si="671"/>
        <v>#NUM!</v>
      </c>
      <c r="K4275" s="83" t="e">
        <f t="shared" si="672"/>
        <v>#NUM!</v>
      </c>
      <c r="L4275" s="83">
        <f t="shared" si="673"/>
        <v>0</v>
      </c>
      <c r="M4275" s="110" t="str">
        <f t="shared" si="674"/>
        <v/>
      </c>
      <c r="N4275" s="51" t="str">
        <f t="shared" si="675"/>
        <v/>
      </c>
      <c r="O4275" s="52" t="str">
        <f t="shared" si="676"/>
        <v/>
      </c>
      <c r="P4275" s="88">
        <f t="shared" si="677"/>
        <v>0</v>
      </c>
      <c r="Q4275" s="88">
        <f t="shared" si="678"/>
        <v>0</v>
      </c>
      <c r="R4275" s="88" t="e">
        <f>-IF(Tabla14[[#This Row],[DIAS HABILES O MORA]]&lt;0,(Tabla14[[#This Row],[VALOR PRESTAMO]]*Tabla14[[#This Row],[% INTERES ]]/30*U4275))+Tabla14[[#This Row],[VALOR CUOTAS]]</f>
        <v>#VALUE!</v>
      </c>
      <c r="S4275" s="88">
        <f>-IF(Tabla14[[#This Row],[DIAS HABILES O MORA]]&lt;0,(Tabla14[[#This Row],[VALOR PRESTAMO]]*Tabla14[[#This Row],[% INTERES ]]/30*U4275))</f>
        <v>0</v>
      </c>
      <c r="T4275" s="53" t="e">
        <f>Tabla14[[#This Row],[DEUDA CAPITAL]]+Tabla14[[#This Row],[INTERES  CUOTA]]</f>
        <v>#NUM!</v>
      </c>
      <c r="U4275" s="61" t="str">
        <f t="shared" si="679"/>
        <v/>
      </c>
    </row>
    <row r="4276" spans="9:21" ht="24.75" customHeight="1" x14ac:dyDescent="0.35">
      <c r="I4276" s="42">
        <f t="shared" si="670"/>
        <v>0</v>
      </c>
      <c r="J4276" s="65" t="e">
        <f t="shared" si="671"/>
        <v>#NUM!</v>
      </c>
      <c r="K4276" s="83" t="e">
        <f t="shared" si="672"/>
        <v>#NUM!</v>
      </c>
      <c r="L4276" s="83">
        <f t="shared" si="673"/>
        <v>0</v>
      </c>
      <c r="M4276" s="110" t="str">
        <f t="shared" si="674"/>
        <v/>
      </c>
      <c r="N4276" s="51" t="str">
        <f t="shared" si="675"/>
        <v/>
      </c>
      <c r="O4276" s="52" t="str">
        <f t="shared" si="676"/>
        <v/>
      </c>
      <c r="P4276" s="88">
        <f t="shared" si="677"/>
        <v>0</v>
      </c>
      <c r="Q4276" s="88">
        <f t="shared" si="678"/>
        <v>0</v>
      </c>
      <c r="R4276" s="88" t="e">
        <f>-IF(Tabla14[[#This Row],[DIAS HABILES O MORA]]&lt;0,(Tabla14[[#This Row],[VALOR PRESTAMO]]*Tabla14[[#This Row],[% INTERES ]]/30*U4276))+Tabla14[[#This Row],[VALOR CUOTAS]]</f>
        <v>#VALUE!</v>
      </c>
      <c r="S4276" s="88">
        <f>-IF(Tabla14[[#This Row],[DIAS HABILES O MORA]]&lt;0,(Tabla14[[#This Row],[VALOR PRESTAMO]]*Tabla14[[#This Row],[% INTERES ]]/30*U4276))</f>
        <v>0</v>
      </c>
      <c r="T4276" s="53" t="e">
        <f>Tabla14[[#This Row],[DEUDA CAPITAL]]+Tabla14[[#This Row],[INTERES  CUOTA]]</f>
        <v>#NUM!</v>
      </c>
      <c r="U4276" s="61" t="str">
        <f t="shared" si="679"/>
        <v/>
      </c>
    </row>
    <row r="4277" spans="9:21" ht="24.75" customHeight="1" x14ac:dyDescent="0.35">
      <c r="I4277" s="42">
        <f t="shared" si="670"/>
        <v>0</v>
      </c>
      <c r="J4277" s="65" t="e">
        <f t="shared" si="671"/>
        <v>#NUM!</v>
      </c>
      <c r="K4277" s="83" t="e">
        <f t="shared" si="672"/>
        <v>#NUM!</v>
      </c>
      <c r="L4277" s="83">
        <f t="shared" si="673"/>
        <v>0</v>
      </c>
      <c r="M4277" s="110" t="str">
        <f t="shared" si="674"/>
        <v/>
      </c>
      <c r="N4277" s="51" t="str">
        <f t="shared" si="675"/>
        <v/>
      </c>
      <c r="O4277" s="52" t="str">
        <f t="shared" si="676"/>
        <v/>
      </c>
      <c r="P4277" s="88">
        <f t="shared" si="677"/>
        <v>0</v>
      </c>
      <c r="Q4277" s="88">
        <f t="shared" si="678"/>
        <v>0</v>
      </c>
      <c r="R4277" s="88" t="e">
        <f>-IF(Tabla14[[#This Row],[DIAS HABILES O MORA]]&lt;0,(Tabla14[[#This Row],[VALOR PRESTAMO]]*Tabla14[[#This Row],[% INTERES ]]/30*U4277))+Tabla14[[#This Row],[VALOR CUOTAS]]</f>
        <v>#VALUE!</v>
      </c>
      <c r="S4277" s="88">
        <f>-IF(Tabla14[[#This Row],[DIAS HABILES O MORA]]&lt;0,(Tabla14[[#This Row],[VALOR PRESTAMO]]*Tabla14[[#This Row],[% INTERES ]]/30*U4277))</f>
        <v>0</v>
      </c>
      <c r="T4277" s="53" t="e">
        <f>Tabla14[[#This Row],[DEUDA CAPITAL]]+Tabla14[[#This Row],[INTERES  CUOTA]]</f>
        <v>#NUM!</v>
      </c>
      <c r="U4277" s="61" t="str">
        <f t="shared" si="679"/>
        <v/>
      </c>
    </row>
    <row r="4278" spans="9:21" ht="24.75" customHeight="1" x14ac:dyDescent="0.35">
      <c r="I4278" s="42">
        <f t="shared" si="670"/>
        <v>0</v>
      </c>
      <c r="J4278" s="65" t="e">
        <f t="shared" si="671"/>
        <v>#NUM!</v>
      </c>
      <c r="K4278" s="83" t="e">
        <f t="shared" si="672"/>
        <v>#NUM!</v>
      </c>
      <c r="L4278" s="83">
        <f t="shared" si="673"/>
        <v>0</v>
      </c>
      <c r="M4278" s="110" t="str">
        <f t="shared" si="674"/>
        <v/>
      </c>
      <c r="N4278" s="51" t="str">
        <f t="shared" si="675"/>
        <v/>
      </c>
      <c r="O4278" s="52" t="str">
        <f t="shared" si="676"/>
        <v/>
      </c>
      <c r="P4278" s="88">
        <f t="shared" si="677"/>
        <v>0</v>
      </c>
      <c r="Q4278" s="88">
        <f t="shared" si="678"/>
        <v>0</v>
      </c>
      <c r="R4278" s="88" t="e">
        <f>-IF(Tabla14[[#This Row],[DIAS HABILES O MORA]]&lt;0,(Tabla14[[#This Row],[VALOR PRESTAMO]]*Tabla14[[#This Row],[% INTERES ]]/30*U4278))+Tabla14[[#This Row],[VALOR CUOTAS]]</f>
        <v>#VALUE!</v>
      </c>
      <c r="S4278" s="88">
        <f>-IF(Tabla14[[#This Row],[DIAS HABILES O MORA]]&lt;0,(Tabla14[[#This Row],[VALOR PRESTAMO]]*Tabla14[[#This Row],[% INTERES ]]/30*U4278))</f>
        <v>0</v>
      </c>
      <c r="T4278" s="53" t="e">
        <f>Tabla14[[#This Row],[DEUDA CAPITAL]]+Tabla14[[#This Row],[INTERES  CUOTA]]</f>
        <v>#NUM!</v>
      </c>
      <c r="U4278" s="61" t="str">
        <f t="shared" si="679"/>
        <v/>
      </c>
    </row>
    <row r="4279" spans="9:21" ht="24.75" customHeight="1" x14ac:dyDescent="0.35">
      <c r="I4279" s="42">
        <f t="shared" si="670"/>
        <v>0</v>
      </c>
      <c r="J4279" s="65" t="e">
        <f t="shared" si="671"/>
        <v>#NUM!</v>
      </c>
      <c r="K4279" s="83" t="e">
        <f t="shared" si="672"/>
        <v>#NUM!</v>
      </c>
      <c r="L4279" s="83">
        <f t="shared" si="673"/>
        <v>0</v>
      </c>
      <c r="M4279" s="110" t="str">
        <f t="shared" si="674"/>
        <v/>
      </c>
      <c r="N4279" s="51" t="str">
        <f t="shared" si="675"/>
        <v/>
      </c>
      <c r="O4279" s="52" t="str">
        <f t="shared" si="676"/>
        <v/>
      </c>
      <c r="P4279" s="88">
        <f t="shared" si="677"/>
        <v>0</v>
      </c>
      <c r="Q4279" s="88">
        <f t="shared" si="678"/>
        <v>0</v>
      </c>
      <c r="R4279" s="88" t="e">
        <f>-IF(Tabla14[[#This Row],[DIAS HABILES O MORA]]&lt;0,(Tabla14[[#This Row],[VALOR PRESTAMO]]*Tabla14[[#This Row],[% INTERES ]]/30*U4279))+Tabla14[[#This Row],[VALOR CUOTAS]]</f>
        <v>#VALUE!</v>
      </c>
      <c r="S4279" s="88">
        <f>-IF(Tabla14[[#This Row],[DIAS HABILES O MORA]]&lt;0,(Tabla14[[#This Row],[VALOR PRESTAMO]]*Tabla14[[#This Row],[% INTERES ]]/30*U4279))</f>
        <v>0</v>
      </c>
      <c r="T4279" s="53" t="e">
        <f>Tabla14[[#This Row],[DEUDA CAPITAL]]+Tabla14[[#This Row],[INTERES  CUOTA]]</f>
        <v>#NUM!</v>
      </c>
      <c r="U4279" s="61" t="str">
        <f t="shared" si="679"/>
        <v/>
      </c>
    </row>
    <row r="4280" spans="9:21" ht="24.75" customHeight="1" x14ac:dyDescent="0.35">
      <c r="I4280" s="42">
        <f t="shared" si="670"/>
        <v>0</v>
      </c>
      <c r="J4280" s="65" t="e">
        <f t="shared" si="671"/>
        <v>#NUM!</v>
      </c>
      <c r="K4280" s="83" t="e">
        <f t="shared" si="672"/>
        <v>#NUM!</v>
      </c>
      <c r="L4280" s="83">
        <f t="shared" si="673"/>
        <v>0</v>
      </c>
      <c r="M4280" s="110" t="str">
        <f t="shared" si="674"/>
        <v/>
      </c>
      <c r="N4280" s="51" t="str">
        <f t="shared" si="675"/>
        <v/>
      </c>
      <c r="O4280" s="52" t="str">
        <f t="shared" si="676"/>
        <v/>
      </c>
      <c r="P4280" s="88">
        <f t="shared" si="677"/>
        <v>0</v>
      </c>
      <c r="Q4280" s="88">
        <f t="shared" si="678"/>
        <v>0</v>
      </c>
      <c r="R4280" s="88" t="e">
        <f>-IF(Tabla14[[#This Row],[DIAS HABILES O MORA]]&lt;0,(Tabla14[[#This Row],[VALOR PRESTAMO]]*Tabla14[[#This Row],[% INTERES ]]/30*U4280))+Tabla14[[#This Row],[VALOR CUOTAS]]</f>
        <v>#VALUE!</v>
      </c>
      <c r="S4280" s="88">
        <f>-IF(Tabla14[[#This Row],[DIAS HABILES O MORA]]&lt;0,(Tabla14[[#This Row],[VALOR PRESTAMO]]*Tabla14[[#This Row],[% INTERES ]]/30*U4280))</f>
        <v>0</v>
      </c>
      <c r="T4280" s="53" t="e">
        <f>Tabla14[[#This Row],[DEUDA CAPITAL]]+Tabla14[[#This Row],[INTERES  CUOTA]]</f>
        <v>#NUM!</v>
      </c>
      <c r="U4280" s="61" t="str">
        <f t="shared" si="679"/>
        <v/>
      </c>
    </row>
    <row r="4281" spans="9:21" ht="24.75" customHeight="1" x14ac:dyDescent="0.35">
      <c r="I4281" s="42">
        <f t="shared" si="670"/>
        <v>0</v>
      </c>
      <c r="J4281" s="65" t="e">
        <f t="shared" si="671"/>
        <v>#NUM!</v>
      </c>
      <c r="K4281" s="83" t="e">
        <f t="shared" si="672"/>
        <v>#NUM!</v>
      </c>
      <c r="L4281" s="83">
        <f t="shared" si="673"/>
        <v>0</v>
      </c>
      <c r="M4281" s="110" t="str">
        <f t="shared" si="674"/>
        <v/>
      </c>
      <c r="N4281" s="51" t="str">
        <f t="shared" si="675"/>
        <v/>
      </c>
      <c r="O4281" s="52" t="str">
        <f t="shared" si="676"/>
        <v/>
      </c>
      <c r="P4281" s="88">
        <f t="shared" si="677"/>
        <v>0</v>
      </c>
      <c r="Q4281" s="88">
        <f t="shared" si="678"/>
        <v>0</v>
      </c>
      <c r="R4281" s="88" t="e">
        <f>-IF(Tabla14[[#This Row],[DIAS HABILES O MORA]]&lt;0,(Tabla14[[#This Row],[VALOR PRESTAMO]]*Tabla14[[#This Row],[% INTERES ]]/30*U4281))+Tabla14[[#This Row],[VALOR CUOTAS]]</f>
        <v>#VALUE!</v>
      </c>
      <c r="S4281" s="88">
        <f>-IF(Tabla14[[#This Row],[DIAS HABILES O MORA]]&lt;0,(Tabla14[[#This Row],[VALOR PRESTAMO]]*Tabla14[[#This Row],[% INTERES ]]/30*U4281))</f>
        <v>0</v>
      </c>
      <c r="T4281" s="53" t="e">
        <f>Tabla14[[#This Row],[DEUDA CAPITAL]]+Tabla14[[#This Row],[INTERES  CUOTA]]</f>
        <v>#NUM!</v>
      </c>
      <c r="U4281" s="61" t="str">
        <f t="shared" si="679"/>
        <v/>
      </c>
    </row>
    <row r="4282" spans="9:21" ht="24.75" customHeight="1" x14ac:dyDescent="0.35">
      <c r="I4282" s="42">
        <f t="shared" si="670"/>
        <v>0</v>
      </c>
      <c r="J4282" s="65" t="e">
        <f t="shared" si="671"/>
        <v>#NUM!</v>
      </c>
      <c r="K4282" s="83" t="e">
        <f t="shared" si="672"/>
        <v>#NUM!</v>
      </c>
      <c r="L4282" s="83">
        <f t="shared" si="673"/>
        <v>0</v>
      </c>
      <c r="M4282" s="110" t="str">
        <f t="shared" si="674"/>
        <v/>
      </c>
      <c r="N4282" s="51" t="str">
        <f t="shared" si="675"/>
        <v/>
      </c>
      <c r="O4282" s="52" t="str">
        <f t="shared" si="676"/>
        <v/>
      </c>
      <c r="P4282" s="88">
        <f t="shared" si="677"/>
        <v>0</v>
      </c>
      <c r="Q4282" s="88">
        <f t="shared" si="678"/>
        <v>0</v>
      </c>
      <c r="R4282" s="88" t="e">
        <f>-IF(Tabla14[[#This Row],[DIAS HABILES O MORA]]&lt;0,(Tabla14[[#This Row],[VALOR PRESTAMO]]*Tabla14[[#This Row],[% INTERES ]]/30*U4282))+Tabla14[[#This Row],[VALOR CUOTAS]]</f>
        <v>#VALUE!</v>
      </c>
      <c r="S4282" s="88">
        <f>-IF(Tabla14[[#This Row],[DIAS HABILES O MORA]]&lt;0,(Tabla14[[#This Row],[VALOR PRESTAMO]]*Tabla14[[#This Row],[% INTERES ]]/30*U4282))</f>
        <v>0</v>
      </c>
      <c r="T4282" s="53" t="e">
        <f>Tabla14[[#This Row],[DEUDA CAPITAL]]+Tabla14[[#This Row],[INTERES  CUOTA]]</f>
        <v>#NUM!</v>
      </c>
      <c r="U4282" s="61" t="str">
        <f t="shared" si="679"/>
        <v/>
      </c>
    </row>
    <row r="4283" spans="9:21" ht="24.75" customHeight="1" x14ac:dyDescent="0.35">
      <c r="I4283" s="42">
        <f t="shared" si="670"/>
        <v>0</v>
      </c>
      <c r="J4283" s="65" t="e">
        <f t="shared" si="671"/>
        <v>#NUM!</v>
      </c>
      <c r="K4283" s="83" t="e">
        <f t="shared" si="672"/>
        <v>#NUM!</v>
      </c>
      <c r="L4283" s="83">
        <f t="shared" si="673"/>
        <v>0</v>
      </c>
      <c r="M4283" s="110" t="str">
        <f t="shared" si="674"/>
        <v/>
      </c>
      <c r="N4283" s="51" t="str">
        <f t="shared" si="675"/>
        <v/>
      </c>
      <c r="O4283" s="52" t="str">
        <f t="shared" si="676"/>
        <v/>
      </c>
      <c r="P4283" s="88">
        <f t="shared" si="677"/>
        <v>0</v>
      </c>
      <c r="Q4283" s="88">
        <f t="shared" si="678"/>
        <v>0</v>
      </c>
      <c r="R4283" s="88" t="e">
        <f>-IF(Tabla14[[#This Row],[DIAS HABILES O MORA]]&lt;0,(Tabla14[[#This Row],[VALOR PRESTAMO]]*Tabla14[[#This Row],[% INTERES ]]/30*U4283))+Tabla14[[#This Row],[VALOR CUOTAS]]</f>
        <v>#VALUE!</v>
      </c>
      <c r="S4283" s="88">
        <f>-IF(Tabla14[[#This Row],[DIAS HABILES O MORA]]&lt;0,(Tabla14[[#This Row],[VALOR PRESTAMO]]*Tabla14[[#This Row],[% INTERES ]]/30*U4283))</f>
        <v>0</v>
      </c>
      <c r="T4283" s="53" t="e">
        <f>Tabla14[[#This Row],[DEUDA CAPITAL]]+Tabla14[[#This Row],[INTERES  CUOTA]]</f>
        <v>#NUM!</v>
      </c>
      <c r="U4283" s="61" t="str">
        <f t="shared" si="679"/>
        <v/>
      </c>
    </row>
    <row r="4284" spans="9:21" ht="24.75" customHeight="1" x14ac:dyDescent="0.35">
      <c r="I4284" s="42">
        <f t="shared" si="670"/>
        <v>0</v>
      </c>
      <c r="J4284" s="65" t="e">
        <f t="shared" si="671"/>
        <v>#NUM!</v>
      </c>
      <c r="K4284" s="83" t="e">
        <f t="shared" si="672"/>
        <v>#NUM!</v>
      </c>
      <c r="L4284" s="83">
        <f t="shared" si="673"/>
        <v>0</v>
      </c>
      <c r="M4284" s="110" t="str">
        <f t="shared" si="674"/>
        <v/>
      </c>
      <c r="N4284" s="51" t="str">
        <f t="shared" si="675"/>
        <v/>
      </c>
      <c r="O4284" s="52" t="str">
        <f t="shared" si="676"/>
        <v/>
      </c>
      <c r="P4284" s="88">
        <f t="shared" si="677"/>
        <v>0</v>
      </c>
      <c r="Q4284" s="88">
        <f t="shared" si="678"/>
        <v>0</v>
      </c>
      <c r="R4284" s="88" t="e">
        <f>-IF(Tabla14[[#This Row],[DIAS HABILES O MORA]]&lt;0,(Tabla14[[#This Row],[VALOR PRESTAMO]]*Tabla14[[#This Row],[% INTERES ]]/30*U4284))+Tabla14[[#This Row],[VALOR CUOTAS]]</f>
        <v>#VALUE!</v>
      </c>
      <c r="S4284" s="88">
        <f>-IF(Tabla14[[#This Row],[DIAS HABILES O MORA]]&lt;0,(Tabla14[[#This Row],[VALOR PRESTAMO]]*Tabla14[[#This Row],[% INTERES ]]/30*U4284))</f>
        <v>0</v>
      </c>
      <c r="T4284" s="53" t="e">
        <f>Tabla14[[#This Row],[DEUDA CAPITAL]]+Tabla14[[#This Row],[INTERES  CUOTA]]</f>
        <v>#NUM!</v>
      </c>
      <c r="U4284" s="61" t="str">
        <f t="shared" si="679"/>
        <v/>
      </c>
    </row>
    <row r="4285" spans="9:21" ht="24.75" customHeight="1" x14ac:dyDescent="0.35">
      <c r="I4285" s="42">
        <f t="shared" si="670"/>
        <v>0</v>
      </c>
      <c r="J4285" s="65" t="e">
        <f t="shared" si="671"/>
        <v>#NUM!</v>
      </c>
      <c r="K4285" s="83" t="e">
        <f t="shared" si="672"/>
        <v>#NUM!</v>
      </c>
      <c r="L4285" s="83">
        <f t="shared" si="673"/>
        <v>0</v>
      </c>
      <c r="M4285" s="110" t="str">
        <f t="shared" si="674"/>
        <v/>
      </c>
      <c r="N4285" s="51" t="str">
        <f t="shared" si="675"/>
        <v/>
      </c>
      <c r="O4285" s="52" t="str">
        <f t="shared" si="676"/>
        <v/>
      </c>
      <c r="P4285" s="88">
        <f t="shared" si="677"/>
        <v>0</v>
      </c>
      <c r="Q4285" s="88">
        <f t="shared" si="678"/>
        <v>0</v>
      </c>
      <c r="R4285" s="88" t="e">
        <f>-IF(Tabla14[[#This Row],[DIAS HABILES O MORA]]&lt;0,(Tabla14[[#This Row],[VALOR PRESTAMO]]*Tabla14[[#This Row],[% INTERES ]]/30*U4285))+Tabla14[[#This Row],[VALOR CUOTAS]]</f>
        <v>#VALUE!</v>
      </c>
      <c r="S4285" s="88">
        <f>-IF(Tabla14[[#This Row],[DIAS HABILES O MORA]]&lt;0,(Tabla14[[#This Row],[VALOR PRESTAMO]]*Tabla14[[#This Row],[% INTERES ]]/30*U4285))</f>
        <v>0</v>
      </c>
      <c r="T4285" s="53" t="e">
        <f>Tabla14[[#This Row],[DEUDA CAPITAL]]+Tabla14[[#This Row],[INTERES  CUOTA]]</f>
        <v>#NUM!</v>
      </c>
      <c r="U4285" s="61" t="str">
        <f t="shared" si="679"/>
        <v/>
      </c>
    </row>
    <row r="4286" spans="9:21" ht="24.75" customHeight="1" x14ac:dyDescent="0.35">
      <c r="I4286" s="42">
        <f t="shared" si="670"/>
        <v>0</v>
      </c>
      <c r="J4286" s="65" t="e">
        <f t="shared" si="671"/>
        <v>#NUM!</v>
      </c>
      <c r="K4286" s="83" t="e">
        <f t="shared" si="672"/>
        <v>#NUM!</v>
      </c>
      <c r="L4286" s="83">
        <f t="shared" si="673"/>
        <v>0</v>
      </c>
      <c r="M4286" s="110" t="str">
        <f t="shared" si="674"/>
        <v/>
      </c>
      <c r="N4286" s="51" t="str">
        <f t="shared" si="675"/>
        <v/>
      </c>
      <c r="O4286" s="52" t="str">
        <f t="shared" si="676"/>
        <v/>
      </c>
      <c r="P4286" s="88">
        <f t="shared" si="677"/>
        <v>0</v>
      </c>
      <c r="Q4286" s="88">
        <f t="shared" si="678"/>
        <v>0</v>
      </c>
      <c r="R4286" s="88" t="e">
        <f>-IF(Tabla14[[#This Row],[DIAS HABILES O MORA]]&lt;0,(Tabla14[[#This Row],[VALOR PRESTAMO]]*Tabla14[[#This Row],[% INTERES ]]/30*U4286))+Tabla14[[#This Row],[VALOR CUOTAS]]</f>
        <v>#VALUE!</v>
      </c>
      <c r="S4286" s="88">
        <f>-IF(Tabla14[[#This Row],[DIAS HABILES O MORA]]&lt;0,(Tabla14[[#This Row],[VALOR PRESTAMO]]*Tabla14[[#This Row],[% INTERES ]]/30*U4286))</f>
        <v>0</v>
      </c>
      <c r="T4286" s="53" t="e">
        <f>Tabla14[[#This Row],[DEUDA CAPITAL]]+Tabla14[[#This Row],[INTERES  CUOTA]]</f>
        <v>#NUM!</v>
      </c>
      <c r="U4286" s="61" t="str">
        <f t="shared" si="679"/>
        <v/>
      </c>
    </row>
    <row r="4287" spans="9:21" ht="24.75" customHeight="1" x14ac:dyDescent="0.35">
      <c r="I4287" s="42">
        <f t="shared" si="670"/>
        <v>0</v>
      </c>
      <c r="J4287" s="65" t="e">
        <f t="shared" si="671"/>
        <v>#NUM!</v>
      </c>
      <c r="K4287" s="83" t="e">
        <f t="shared" si="672"/>
        <v>#NUM!</v>
      </c>
      <c r="L4287" s="83">
        <f t="shared" si="673"/>
        <v>0</v>
      </c>
      <c r="M4287" s="110" t="str">
        <f t="shared" si="674"/>
        <v/>
      </c>
      <c r="N4287" s="51" t="str">
        <f t="shared" si="675"/>
        <v/>
      </c>
      <c r="O4287" s="52" t="str">
        <f t="shared" si="676"/>
        <v/>
      </c>
      <c r="P4287" s="88">
        <f t="shared" si="677"/>
        <v>0</v>
      </c>
      <c r="Q4287" s="88">
        <f t="shared" si="678"/>
        <v>0</v>
      </c>
      <c r="R4287" s="88" t="e">
        <f>-IF(Tabla14[[#This Row],[DIAS HABILES O MORA]]&lt;0,(Tabla14[[#This Row],[VALOR PRESTAMO]]*Tabla14[[#This Row],[% INTERES ]]/30*U4287))+Tabla14[[#This Row],[VALOR CUOTAS]]</f>
        <v>#VALUE!</v>
      </c>
      <c r="S4287" s="88">
        <f>-IF(Tabla14[[#This Row],[DIAS HABILES O MORA]]&lt;0,(Tabla14[[#This Row],[VALOR PRESTAMO]]*Tabla14[[#This Row],[% INTERES ]]/30*U4287))</f>
        <v>0</v>
      </c>
      <c r="T4287" s="53" t="e">
        <f>Tabla14[[#This Row],[DEUDA CAPITAL]]+Tabla14[[#This Row],[INTERES  CUOTA]]</f>
        <v>#NUM!</v>
      </c>
      <c r="U4287" s="61" t="str">
        <f t="shared" si="679"/>
        <v/>
      </c>
    </row>
    <row r="4288" spans="9:21" ht="24.75" customHeight="1" x14ac:dyDescent="0.35">
      <c r="I4288" s="42">
        <f t="shared" si="670"/>
        <v>0</v>
      </c>
      <c r="J4288" s="65" t="e">
        <f t="shared" si="671"/>
        <v>#NUM!</v>
      </c>
      <c r="K4288" s="83" t="e">
        <f t="shared" si="672"/>
        <v>#NUM!</v>
      </c>
      <c r="L4288" s="83">
        <f t="shared" si="673"/>
        <v>0</v>
      </c>
      <c r="M4288" s="110" t="str">
        <f t="shared" si="674"/>
        <v/>
      </c>
      <c r="N4288" s="51" t="str">
        <f t="shared" si="675"/>
        <v/>
      </c>
      <c r="O4288" s="52" t="str">
        <f t="shared" si="676"/>
        <v/>
      </c>
      <c r="P4288" s="88">
        <f t="shared" si="677"/>
        <v>0</v>
      </c>
      <c r="Q4288" s="88">
        <f t="shared" si="678"/>
        <v>0</v>
      </c>
      <c r="R4288" s="88" t="e">
        <f>-IF(Tabla14[[#This Row],[DIAS HABILES O MORA]]&lt;0,(Tabla14[[#This Row],[VALOR PRESTAMO]]*Tabla14[[#This Row],[% INTERES ]]/30*U4288))+Tabla14[[#This Row],[VALOR CUOTAS]]</f>
        <v>#VALUE!</v>
      </c>
      <c r="S4288" s="88">
        <f>-IF(Tabla14[[#This Row],[DIAS HABILES O MORA]]&lt;0,(Tabla14[[#This Row],[VALOR PRESTAMO]]*Tabla14[[#This Row],[% INTERES ]]/30*U4288))</f>
        <v>0</v>
      </c>
      <c r="T4288" s="53" t="e">
        <f>Tabla14[[#This Row],[DEUDA CAPITAL]]+Tabla14[[#This Row],[INTERES  CUOTA]]</f>
        <v>#NUM!</v>
      </c>
      <c r="U4288" s="61" t="str">
        <f t="shared" si="679"/>
        <v/>
      </c>
    </row>
    <row r="4289" spans="9:21" ht="24.75" customHeight="1" x14ac:dyDescent="0.35">
      <c r="I4289" s="42">
        <f t="shared" si="670"/>
        <v>0</v>
      </c>
      <c r="J4289" s="65" t="e">
        <f t="shared" si="671"/>
        <v>#NUM!</v>
      </c>
      <c r="K4289" s="83" t="e">
        <f t="shared" si="672"/>
        <v>#NUM!</v>
      </c>
      <c r="L4289" s="83">
        <f t="shared" si="673"/>
        <v>0</v>
      </c>
      <c r="M4289" s="110" t="str">
        <f t="shared" si="674"/>
        <v/>
      </c>
      <c r="N4289" s="51" t="str">
        <f t="shared" si="675"/>
        <v/>
      </c>
      <c r="O4289" s="52" t="str">
        <f t="shared" si="676"/>
        <v/>
      </c>
      <c r="P4289" s="88">
        <f t="shared" si="677"/>
        <v>0</v>
      </c>
      <c r="Q4289" s="88">
        <f t="shared" si="678"/>
        <v>0</v>
      </c>
      <c r="R4289" s="88" t="e">
        <f>-IF(Tabla14[[#This Row],[DIAS HABILES O MORA]]&lt;0,(Tabla14[[#This Row],[VALOR PRESTAMO]]*Tabla14[[#This Row],[% INTERES ]]/30*U4289))+Tabla14[[#This Row],[VALOR CUOTAS]]</f>
        <v>#VALUE!</v>
      </c>
      <c r="S4289" s="88">
        <f>-IF(Tabla14[[#This Row],[DIAS HABILES O MORA]]&lt;0,(Tabla14[[#This Row],[VALOR PRESTAMO]]*Tabla14[[#This Row],[% INTERES ]]/30*U4289))</f>
        <v>0</v>
      </c>
      <c r="T4289" s="53" t="e">
        <f>Tabla14[[#This Row],[DEUDA CAPITAL]]+Tabla14[[#This Row],[INTERES  CUOTA]]</f>
        <v>#NUM!</v>
      </c>
      <c r="U4289" s="61" t="str">
        <f t="shared" si="679"/>
        <v/>
      </c>
    </row>
    <row r="4290" spans="9:21" ht="24.75" customHeight="1" x14ac:dyDescent="0.35">
      <c r="I4290" s="42">
        <f t="shared" si="670"/>
        <v>0</v>
      </c>
      <c r="J4290" s="65" t="e">
        <f t="shared" si="671"/>
        <v>#NUM!</v>
      </c>
      <c r="K4290" s="83" t="e">
        <f t="shared" si="672"/>
        <v>#NUM!</v>
      </c>
      <c r="L4290" s="83">
        <f t="shared" si="673"/>
        <v>0</v>
      </c>
      <c r="M4290" s="110" t="str">
        <f t="shared" si="674"/>
        <v/>
      </c>
      <c r="N4290" s="51" t="str">
        <f t="shared" si="675"/>
        <v/>
      </c>
      <c r="O4290" s="52" t="str">
        <f t="shared" si="676"/>
        <v/>
      </c>
      <c r="P4290" s="88">
        <f t="shared" si="677"/>
        <v>0</v>
      </c>
      <c r="Q4290" s="88">
        <f t="shared" si="678"/>
        <v>0</v>
      </c>
      <c r="R4290" s="88" t="e">
        <f>-IF(Tabla14[[#This Row],[DIAS HABILES O MORA]]&lt;0,(Tabla14[[#This Row],[VALOR PRESTAMO]]*Tabla14[[#This Row],[% INTERES ]]/30*U4290))+Tabla14[[#This Row],[VALOR CUOTAS]]</f>
        <v>#VALUE!</v>
      </c>
      <c r="S4290" s="88">
        <f>-IF(Tabla14[[#This Row],[DIAS HABILES O MORA]]&lt;0,(Tabla14[[#This Row],[VALOR PRESTAMO]]*Tabla14[[#This Row],[% INTERES ]]/30*U4290))</f>
        <v>0</v>
      </c>
      <c r="T4290" s="53" t="e">
        <f>Tabla14[[#This Row],[DEUDA CAPITAL]]+Tabla14[[#This Row],[INTERES  CUOTA]]</f>
        <v>#NUM!</v>
      </c>
      <c r="U4290" s="61" t="str">
        <f t="shared" si="679"/>
        <v/>
      </c>
    </row>
    <row r="4291" spans="9:21" ht="24.75" customHeight="1" x14ac:dyDescent="0.35">
      <c r="I4291" s="42">
        <f t="shared" si="670"/>
        <v>0</v>
      </c>
      <c r="J4291" s="65" t="e">
        <f t="shared" si="671"/>
        <v>#NUM!</v>
      </c>
      <c r="K4291" s="83" t="e">
        <f t="shared" si="672"/>
        <v>#NUM!</v>
      </c>
      <c r="L4291" s="83">
        <f t="shared" si="673"/>
        <v>0</v>
      </c>
      <c r="M4291" s="110" t="str">
        <f t="shared" si="674"/>
        <v/>
      </c>
      <c r="N4291" s="51" t="str">
        <f t="shared" si="675"/>
        <v/>
      </c>
      <c r="O4291" s="52" t="str">
        <f t="shared" si="676"/>
        <v/>
      </c>
      <c r="P4291" s="88">
        <f t="shared" si="677"/>
        <v>0</v>
      </c>
      <c r="Q4291" s="88">
        <f t="shared" si="678"/>
        <v>0</v>
      </c>
      <c r="R4291" s="88" t="e">
        <f>-IF(Tabla14[[#This Row],[DIAS HABILES O MORA]]&lt;0,(Tabla14[[#This Row],[VALOR PRESTAMO]]*Tabla14[[#This Row],[% INTERES ]]/30*U4291))+Tabla14[[#This Row],[VALOR CUOTAS]]</f>
        <v>#VALUE!</v>
      </c>
      <c r="S4291" s="88">
        <f>-IF(Tabla14[[#This Row],[DIAS HABILES O MORA]]&lt;0,(Tabla14[[#This Row],[VALOR PRESTAMO]]*Tabla14[[#This Row],[% INTERES ]]/30*U4291))</f>
        <v>0</v>
      </c>
      <c r="T4291" s="53" t="e">
        <f>Tabla14[[#This Row],[DEUDA CAPITAL]]+Tabla14[[#This Row],[INTERES  CUOTA]]</f>
        <v>#NUM!</v>
      </c>
      <c r="U4291" s="61" t="str">
        <f t="shared" si="679"/>
        <v/>
      </c>
    </row>
    <row r="4292" spans="9:21" ht="24.75" customHeight="1" x14ac:dyDescent="0.35">
      <c r="I4292" s="42">
        <f t="shared" si="670"/>
        <v>0</v>
      </c>
      <c r="J4292" s="65" t="e">
        <f t="shared" si="671"/>
        <v>#NUM!</v>
      </c>
      <c r="K4292" s="83" t="e">
        <f t="shared" si="672"/>
        <v>#NUM!</v>
      </c>
      <c r="L4292" s="83">
        <f t="shared" si="673"/>
        <v>0</v>
      </c>
      <c r="M4292" s="110" t="str">
        <f t="shared" si="674"/>
        <v/>
      </c>
      <c r="N4292" s="51" t="str">
        <f t="shared" si="675"/>
        <v/>
      </c>
      <c r="O4292" s="52" t="str">
        <f t="shared" si="676"/>
        <v/>
      </c>
      <c r="P4292" s="88">
        <f t="shared" si="677"/>
        <v>0</v>
      </c>
      <c r="Q4292" s="88">
        <f t="shared" si="678"/>
        <v>0</v>
      </c>
      <c r="R4292" s="88" t="e">
        <f>-IF(Tabla14[[#This Row],[DIAS HABILES O MORA]]&lt;0,(Tabla14[[#This Row],[VALOR PRESTAMO]]*Tabla14[[#This Row],[% INTERES ]]/30*U4292))+Tabla14[[#This Row],[VALOR CUOTAS]]</f>
        <v>#VALUE!</v>
      </c>
      <c r="S4292" s="88">
        <f>-IF(Tabla14[[#This Row],[DIAS HABILES O MORA]]&lt;0,(Tabla14[[#This Row],[VALOR PRESTAMO]]*Tabla14[[#This Row],[% INTERES ]]/30*U4292))</f>
        <v>0</v>
      </c>
      <c r="T4292" s="53" t="e">
        <f>Tabla14[[#This Row],[DEUDA CAPITAL]]+Tabla14[[#This Row],[INTERES  CUOTA]]</f>
        <v>#NUM!</v>
      </c>
      <c r="U4292" s="61" t="str">
        <f t="shared" si="679"/>
        <v/>
      </c>
    </row>
    <row r="4293" spans="9:21" ht="24.75" customHeight="1" x14ac:dyDescent="0.35">
      <c r="I4293" s="42">
        <f t="shared" si="670"/>
        <v>0</v>
      </c>
      <c r="J4293" s="65" t="e">
        <f t="shared" si="671"/>
        <v>#NUM!</v>
      </c>
      <c r="K4293" s="83" t="e">
        <f t="shared" si="672"/>
        <v>#NUM!</v>
      </c>
      <c r="L4293" s="83">
        <f t="shared" si="673"/>
        <v>0</v>
      </c>
      <c r="M4293" s="110" t="str">
        <f t="shared" si="674"/>
        <v/>
      </c>
      <c r="N4293" s="51" t="str">
        <f t="shared" si="675"/>
        <v/>
      </c>
      <c r="O4293" s="52" t="str">
        <f t="shared" si="676"/>
        <v/>
      </c>
      <c r="P4293" s="88">
        <f t="shared" si="677"/>
        <v>0</v>
      </c>
      <c r="Q4293" s="88">
        <f t="shared" si="678"/>
        <v>0</v>
      </c>
      <c r="R4293" s="88" t="e">
        <f>-IF(Tabla14[[#This Row],[DIAS HABILES O MORA]]&lt;0,(Tabla14[[#This Row],[VALOR PRESTAMO]]*Tabla14[[#This Row],[% INTERES ]]/30*U4293))+Tabla14[[#This Row],[VALOR CUOTAS]]</f>
        <v>#VALUE!</v>
      </c>
      <c r="S4293" s="88">
        <f>-IF(Tabla14[[#This Row],[DIAS HABILES O MORA]]&lt;0,(Tabla14[[#This Row],[VALOR PRESTAMO]]*Tabla14[[#This Row],[% INTERES ]]/30*U4293))</f>
        <v>0</v>
      </c>
      <c r="T4293" s="53" t="e">
        <f>Tabla14[[#This Row],[DEUDA CAPITAL]]+Tabla14[[#This Row],[INTERES  CUOTA]]</f>
        <v>#NUM!</v>
      </c>
      <c r="U4293" s="61" t="str">
        <f t="shared" si="679"/>
        <v/>
      </c>
    </row>
    <row r="4294" spans="9:21" ht="24.75" customHeight="1" x14ac:dyDescent="0.35">
      <c r="I4294" s="42">
        <f t="shared" si="670"/>
        <v>0</v>
      </c>
      <c r="J4294" s="65" t="e">
        <f t="shared" si="671"/>
        <v>#NUM!</v>
      </c>
      <c r="K4294" s="83" t="e">
        <f t="shared" si="672"/>
        <v>#NUM!</v>
      </c>
      <c r="L4294" s="83">
        <f t="shared" si="673"/>
        <v>0</v>
      </c>
      <c r="M4294" s="110" t="str">
        <f t="shared" si="674"/>
        <v/>
      </c>
      <c r="N4294" s="51" t="str">
        <f t="shared" si="675"/>
        <v/>
      </c>
      <c r="O4294" s="52" t="str">
        <f t="shared" si="676"/>
        <v/>
      </c>
      <c r="P4294" s="88">
        <f t="shared" si="677"/>
        <v>0</v>
      </c>
      <c r="Q4294" s="88">
        <f t="shared" si="678"/>
        <v>0</v>
      </c>
      <c r="R4294" s="88" t="e">
        <f>-IF(Tabla14[[#This Row],[DIAS HABILES O MORA]]&lt;0,(Tabla14[[#This Row],[VALOR PRESTAMO]]*Tabla14[[#This Row],[% INTERES ]]/30*U4294))+Tabla14[[#This Row],[VALOR CUOTAS]]</f>
        <v>#VALUE!</v>
      </c>
      <c r="S4294" s="88">
        <f>-IF(Tabla14[[#This Row],[DIAS HABILES O MORA]]&lt;0,(Tabla14[[#This Row],[VALOR PRESTAMO]]*Tabla14[[#This Row],[% INTERES ]]/30*U4294))</f>
        <v>0</v>
      </c>
      <c r="T4294" s="53" t="e">
        <f>Tabla14[[#This Row],[DEUDA CAPITAL]]+Tabla14[[#This Row],[INTERES  CUOTA]]</f>
        <v>#NUM!</v>
      </c>
      <c r="U4294" s="61" t="str">
        <f t="shared" si="679"/>
        <v/>
      </c>
    </row>
    <row r="4295" spans="9:21" ht="24.75" customHeight="1" x14ac:dyDescent="0.35">
      <c r="I4295" s="42">
        <f t="shared" si="670"/>
        <v>0</v>
      </c>
      <c r="J4295" s="65" t="e">
        <f t="shared" si="671"/>
        <v>#NUM!</v>
      </c>
      <c r="K4295" s="83" t="e">
        <f t="shared" si="672"/>
        <v>#NUM!</v>
      </c>
      <c r="L4295" s="83">
        <f t="shared" si="673"/>
        <v>0</v>
      </c>
      <c r="M4295" s="110" t="str">
        <f t="shared" si="674"/>
        <v/>
      </c>
      <c r="N4295" s="51" t="str">
        <f t="shared" si="675"/>
        <v/>
      </c>
      <c r="O4295" s="52" t="str">
        <f t="shared" si="676"/>
        <v/>
      </c>
      <c r="P4295" s="88">
        <f t="shared" si="677"/>
        <v>0</v>
      </c>
      <c r="Q4295" s="88">
        <f t="shared" si="678"/>
        <v>0</v>
      </c>
      <c r="R4295" s="88" t="e">
        <f>-IF(Tabla14[[#This Row],[DIAS HABILES O MORA]]&lt;0,(Tabla14[[#This Row],[VALOR PRESTAMO]]*Tabla14[[#This Row],[% INTERES ]]/30*U4295))+Tabla14[[#This Row],[VALOR CUOTAS]]</f>
        <v>#VALUE!</v>
      </c>
      <c r="S4295" s="88">
        <f>-IF(Tabla14[[#This Row],[DIAS HABILES O MORA]]&lt;0,(Tabla14[[#This Row],[VALOR PRESTAMO]]*Tabla14[[#This Row],[% INTERES ]]/30*U4295))</f>
        <v>0</v>
      </c>
      <c r="T4295" s="53" t="e">
        <f>Tabla14[[#This Row],[DEUDA CAPITAL]]+Tabla14[[#This Row],[INTERES  CUOTA]]</f>
        <v>#NUM!</v>
      </c>
      <c r="U4295" s="61" t="str">
        <f t="shared" si="679"/>
        <v/>
      </c>
    </row>
    <row r="4296" spans="9:21" ht="24.75" customHeight="1" x14ac:dyDescent="0.35">
      <c r="I4296" s="42">
        <f t="shared" si="670"/>
        <v>0</v>
      </c>
      <c r="J4296" s="65" t="e">
        <f t="shared" si="671"/>
        <v>#NUM!</v>
      </c>
      <c r="K4296" s="83" t="e">
        <f t="shared" si="672"/>
        <v>#NUM!</v>
      </c>
      <c r="L4296" s="83">
        <f t="shared" si="673"/>
        <v>0</v>
      </c>
      <c r="M4296" s="110" t="str">
        <f t="shared" si="674"/>
        <v/>
      </c>
      <c r="N4296" s="51" t="str">
        <f t="shared" si="675"/>
        <v/>
      </c>
      <c r="O4296" s="52" t="str">
        <f t="shared" si="676"/>
        <v/>
      </c>
      <c r="P4296" s="88">
        <f t="shared" si="677"/>
        <v>0</v>
      </c>
      <c r="Q4296" s="88">
        <f t="shared" si="678"/>
        <v>0</v>
      </c>
      <c r="R4296" s="88" t="e">
        <f>-IF(Tabla14[[#This Row],[DIAS HABILES O MORA]]&lt;0,(Tabla14[[#This Row],[VALOR PRESTAMO]]*Tabla14[[#This Row],[% INTERES ]]/30*U4296))+Tabla14[[#This Row],[VALOR CUOTAS]]</f>
        <v>#VALUE!</v>
      </c>
      <c r="S4296" s="88">
        <f>-IF(Tabla14[[#This Row],[DIAS HABILES O MORA]]&lt;0,(Tabla14[[#This Row],[VALOR PRESTAMO]]*Tabla14[[#This Row],[% INTERES ]]/30*U4296))</f>
        <v>0</v>
      </c>
      <c r="T4296" s="53" t="e">
        <f>Tabla14[[#This Row],[DEUDA CAPITAL]]+Tabla14[[#This Row],[INTERES  CUOTA]]</f>
        <v>#NUM!</v>
      </c>
      <c r="U4296" s="61" t="str">
        <f t="shared" si="679"/>
        <v/>
      </c>
    </row>
    <row r="4297" spans="9:21" ht="24.75" customHeight="1" x14ac:dyDescent="0.35">
      <c r="I4297" s="42">
        <f t="shared" si="670"/>
        <v>0</v>
      </c>
      <c r="J4297" s="65" t="e">
        <f t="shared" si="671"/>
        <v>#NUM!</v>
      </c>
      <c r="K4297" s="83" t="e">
        <f t="shared" si="672"/>
        <v>#NUM!</v>
      </c>
      <c r="L4297" s="83">
        <f t="shared" si="673"/>
        <v>0</v>
      </c>
      <c r="M4297" s="110" t="str">
        <f t="shared" si="674"/>
        <v/>
      </c>
      <c r="N4297" s="51" t="str">
        <f t="shared" si="675"/>
        <v/>
      </c>
      <c r="O4297" s="52" t="str">
        <f t="shared" si="676"/>
        <v/>
      </c>
      <c r="P4297" s="88">
        <f t="shared" si="677"/>
        <v>0</v>
      </c>
      <c r="Q4297" s="88">
        <f t="shared" si="678"/>
        <v>0</v>
      </c>
      <c r="R4297" s="88" t="e">
        <f>-IF(Tabla14[[#This Row],[DIAS HABILES O MORA]]&lt;0,(Tabla14[[#This Row],[VALOR PRESTAMO]]*Tabla14[[#This Row],[% INTERES ]]/30*U4297))+Tabla14[[#This Row],[VALOR CUOTAS]]</f>
        <v>#VALUE!</v>
      </c>
      <c r="S4297" s="88">
        <f>-IF(Tabla14[[#This Row],[DIAS HABILES O MORA]]&lt;0,(Tabla14[[#This Row],[VALOR PRESTAMO]]*Tabla14[[#This Row],[% INTERES ]]/30*U4297))</f>
        <v>0</v>
      </c>
      <c r="T4297" s="53" t="e">
        <f>Tabla14[[#This Row],[DEUDA CAPITAL]]+Tabla14[[#This Row],[INTERES  CUOTA]]</f>
        <v>#NUM!</v>
      </c>
      <c r="U4297" s="61" t="str">
        <f t="shared" si="679"/>
        <v/>
      </c>
    </row>
    <row r="4298" spans="9:21" ht="24.75" customHeight="1" x14ac:dyDescent="0.35">
      <c r="I4298" s="42">
        <f t="shared" si="670"/>
        <v>0</v>
      </c>
      <c r="J4298" s="65" t="e">
        <f t="shared" si="671"/>
        <v>#NUM!</v>
      </c>
      <c r="K4298" s="83" t="e">
        <f t="shared" si="672"/>
        <v>#NUM!</v>
      </c>
      <c r="L4298" s="83">
        <f t="shared" si="673"/>
        <v>0</v>
      </c>
      <c r="M4298" s="110" t="str">
        <f t="shared" si="674"/>
        <v/>
      </c>
      <c r="N4298" s="51" t="str">
        <f t="shared" si="675"/>
        <v/>
      </c>
      <c r="O4298" s="52" t="str">
        <f t="shared" si="676"/>
        <v/>
      </c>
      <c r="P4298" s="88">
        <f t="shared" si="677"/>
        <v>0</v>
      </c>
      <c r="Q4298" s="88">
        <f t="shared" si="678"/>
        <v>0</v>
      </c>
      <c r="R4298" s="88" t="e">
        <f>-IF(Tabla14[[#This Row],[DIAS HABILES O MORA]]&lt;0,(Tabla14[[#This Row],[VALOR PRESTAMO]]*Tabla14[[#This Row],[% INTERES ]]/30*U4298))+Tabla14[[#This Row],[VALOR CUOTAS]]</f>
        <v>#VALUE!</v>
      </c>
      <c r="S4298" s="88">
        <f>-IF(Tabla14[[#This Row],[DIAS HABILES O MORA]]&lt;0,(Tabla14[[#This Row],[VALOR PRESTAMO]]*Tabla14[[#This Row],[% INTERES ]]/30*U4298))</f>
        <v>0</v>
      </c>
      <c r="T4298" s="53" t="e">
        <f>Tabla14[[#This Row],[DEUDA CAPITAL]]+Tabla14[[#This Row],[INTERES  CUOTA]]</f>
        <v>#NUM!</v>
      </c>
      <c r="U4298" s="61" t="str">
        <f t="shared" si="679"/>
        <v/>
      </c>
    </row>
    <row r="4299" spans="9:21" ht="24.75" customHeight="1" x14ac:dyDescent="0.35">
      <c r="I4299" s="42">
        <f t="shared" si="670"/>
        <v>0</v>
      </c>
      <c r="J4299" s="65" t="e">
        <f t="shared" si="671"/>
        <v>#NUM!</v>
      </c>
      <c r="K4299" s="83" t="e">
        <f t="shared" si="672"/>
        <v>#NUM!</v>
      </c>
      <c r="L4299" s="83">
        <f t="shared" si="673"/>
        <v>0</v>
      </c>
      <c r="M4299" s="110" t="str">
        <f t="shared" si="674"/>
        <v/>
      </c>
      <c r="N4299" s="51" t="str">
        <f t="shared" si="675"/>
        <v/>
      </c>
      <c r="O4299" s="52" t="str">
        <f t="shared" si="676"/>
        <v/>
      </c>
      <c r="P4299" s="88">
        <f t="shared" si="677"/>
        <v>0</v>
      </c>
      <c r="Q4299" s="88">
        <f t="shared" si="678"/>
        <v>0</v>
      </c>
      <c r="R4299" s="88" t="e">
        <f>-IF(Tabla14[[#This Row],[DIAS HABILES O MORA]]&lt;0,(Tabla14[[#This Row],[VALOR PRESTAMO]]*Tabla14[[#This Row],[% INTERES ]]/30*U4299))+Tabla14[[#This Row],[VALOR CUOTAS]]</f>
        <v>#VALUE!</v>
      </c>
      <c r="S4299" s="88">
        <f>-IF(Tabla14[[#This Row],[DIAS HABILES O MORA]]&lt;0,(Tabla14[[#This Row],[VALOR PRESTAMO]]*Tabla14[[#This Row],[% INTERES ]]/30*U4299))</f>
        <v>0</v>
      </c>
      <c r="T4299" s="53" t="e">
        <f>Tabla14[[#This Row],[DEUDA CAPITAL]]+Tabla14[[#This Row],[INTERES  CUOTA]]</f>
        <v>#NUM!</v>
      </c>
      <c r="U4299" s="61" t="str">
        <f t="shared" si="679"/>
        <v/>
      </c>
    </row>
    <row r="4300" spans="9:21" ht="24.75" customHeight="1" x14ac:dyDescent="0.35">
      <c r="I4300" s="42">
        <f t="shared" si="670"/>
        <v>0</v>
      </c>
      <c r="J4300" s="65" t="e">
        <f t="shared" si="671"/>
        <v>#NUM!</v>
      </c>
      <c r="K4300" s="83" t="e">
        <f t="shared" si="672"/>
        <v>#NUM!</v>
      </c>
      <c r="L4300" s="83">
        <f t="shared" si="673"/>
        <v>0</v>
      </c>
      <c r="M4300" s="110" t="str">
        <f t="shared" si="674"/>
        <v/>
      </c>
      <c r="N4300" s="51" t="str">
        <f t="shared" si="675"/>
        <v/>
      </c>
      <c r="O4300" s="52" t="str">
        <f t="shared" si="676"/>
        <v/>
      </c>
      <c r="P4300" s="88">
        <f t="shared" si="677"/>
        <v>0</v>
      </c>
      <c r="Q4300" s="88">
        <f t="shared" si="678"/>
        <v>0</v>
      </c>
      <c r="R4300" s="88" t="e">
        <f>-IF(Tabla14[[#This Row],[DIAS HABILES O MORA]]&lt;0,(Tabla14[[#This Row],[VALOR PRESTAMO]]*Tabla14[[#This Row],[% INTERES ]]/30*U4300))+Tabla14[[#This Row],[VALOR CUOTAS]]</f>
        <v>#VALUE!</v>
      </c>
      <c r="S4300" s="88">
        <f>-IF(Tabla14[[#This Row],[DIAS HABILES O MORA]]&lt;0,(Tabla14[[#This Row],[VALOR PRESTAMO]]*Tabla14[[#This Row],[% INTERES ]]/30*U4300))</f>
        <v>0</v>
      </c>
      <c r="T4300" s="53" t="e">
        <f>Tabla14[[#This Row],[DEUDA CAPITAL]]+Tabla14[[#This Row],[INTERES  CUOTA]]</f>
        <v>#NUM!</v>
      </c>
      <c r="U4300" s="61" t="str">
        <f t="shared" si="679"/>
        <v/>
      </c>
    </row>
    <row r="4301" spans="9:21" ht="24.75" customHeight="1" x14ac:dyDescent="0.35">
      <c r="I4301" s="42">
        <f t="shared" si="670"/>
        <v>0</v>
      </c>
      <c r="J4301" s="65" t="e">
        <f t="shared" si="671"/>
        <v>#NUM!</v>
      </c>
      <c r="K4301" s="83" t="e">
        <f t="shared" si="672"/>
        <v>#NUM!</v>
      </c>
      <c r="L4301" s="83">
        <f t="shared" si="673"/>
        <v>0</v>
      </c>
      <c r="M4301" s="110" t="str">
        <f t="shared" si="674"/>
        <v/>
      </c>
      <c r="N4301" s="51" t="str">
        <f t="shared" si="675"/>
        <v/>
      </c>
      <c r="O4301" s="52" t="str">
        <f t="shared" si="676"/>
        <v/>
      </c>
      <c r="P4301" s="88">
        <f t="shared" si="677"/>
        <v>0</v>
      </c>
      <c r="Q4301" s="88">
        <f t="shared" si="678"/>
        <v>0</v>
      </c>
      <c r="R4301" s="88" t="e">
        <f>-IF(Tabla14[[#This Row],[DIAS HABILES O MORA]]&lt;0,(Tabla14[[#This Row],[VALOR PRESTAMO]]*Tabla14[[#This Row],[% INTERES ]]/30*U4301))+Tabla14[[#This Row],[VALOR CUOTAS]]</f>
        <v>#VALUE!</v>
      </c>
      <c r="S4301" s="88">
        <f>-IF(Tabla14[[#This Row],[DIAS HABILES O MORA]]&lt;0,(Tabla14[[#This Row],[VALOR PRESTAMO]]*Tabla14[[#This Row],[% INTERES ]]/30*U4301))</f>
        <v>0</v>
      </c>
      <c r="T4301" s="53" t="e">
        <f>Tabla14[[#This Row],[DEUDA CAPITAL]]+Tabla14[[#This Row],[INTERES  CUOTA]]</f>
        <v>#NUM!</v>
      </c>
      <c r="U4301" s="61" t="str">
        <f t="shared" si="679"/>
        <v/>
      </c>
    </row>
    <row r="4302" spans="9:21" ht="24.75" customHeight="1" x14ac:dyDescent="0.35">
      <c r="I4302" s="42">
        <f t="shared" si="670"/>
        <v>0</v>
      </c>
      <c r="J4302" s="65" t="e">
        <f t="shared" si="671"/>
        <v>#NUM!</v>
      </c>
      <c r="K4302" s="83" t="e">
        <f t="shared" si="672"/>
        <v>#NUM!</v>
      </c>
      <c r="L4302" s="83">
        <f t="shared" si="673"/>
        <v>0</v>
      </c>
      <c r="M4302" s="110" t="str">
        <f t="shared" si="674"/>
        <v/>
      </c>
      <c r="N4302" s="51" t="str">
        <f t="shared" si="675"/>
        <v/>
      </c>
      <c r="O4302" s="52" t="str">
        <f t="shared" si="676"/>
        <v/>
      </c>
      <c r="P4302" s="88">
        <f t="shared" si="677"/>
        <v>0</v>
      </c>
      <c r="Q4302" s="88">
        <f t="shared" si="678"/>
        <v>0</v>
      </c>
      <c r="R4302" s="88" t="e">
        <f>-IF(Tabla14[[#This Row],[DIAS HABILES O MORA]]&lt;0,(Tabla14[[#This Row],[VALOR PRESTAMO]]*Tabla14[[#This Row],[% INTERES ]]/30*U4302))+Tabla14[[#This Row],[VALOR CUOTAS]]</f>
        <v>#VALUE!</v>
      </c>
      <c r="S4302" s="88">
        <f>-IF(Tabla14[[#This Row],[DIAS HABILES O MORA]]&lt;0,(Tabla14[[#This Row],[VALOR PRESTAMO]]*Tabla14[[#This Row],[% INTERES ]]/30*U4302))</f>
        <v>0</v>
      </c>
      <c r="T4302" s="53" t="e">
        <f>Tabla14[[#This Row],[DEUDA CAPITAL]]+Tabla14[[#This Row],[INTERES  CUOTA]]</f>
        <v>#NUM!</v>
      </c>
      <c r="U4302" s="61" t="str">
        <f t="shared" si="679"/>
        <v/>
      </c>
    </row>
    <row r="4303" spans="9:21" ht="24.75" customHeight="1" x14ac:dyDescent="0.35">
      <c r="I4303" s="42">
        <f t="shared" si="670"/>
        <v>0</v>
      </c>
      <c r="J4303" s="65" t="e">
        <f t="shared" si="671"/>
        <v>#NUM!</v>
      </c>
      <c r="K4303" s="83" t="e">
        <f t="shared" si="672"/>
        <v>#NUM!</v>
      </c>
      <c r="L4303" s="83">
        <f t="shared" si="673"/>
        <v>0</v>
      </c>
      <c r="M4303" s="110" t="str">
        <f t="shared" si="674"/>
        <v/>
      </c>
      <c r="N4303" s="51" t="str">
        <f t="shared" si="675"/>
        <v/>
      </c>
      <c r="O4303" s="52" t="str">
        <f t="shared" si="676"/>
        <v/>
      </c>
      <c r="P4303" s="88">
        <f t="shared" si="677"/>
        <v>0</v>
      </c>
      <c r="Q4303" s="88">
        <f t="shared" si="678"/>
        <v>0</v>
      </c>
      <c r="R4303" s="88" t="e">
        <f>-IF(Tabla14[[#This Row],[DIAS HABILES O MORA]]&lt;0,(Tabla14[[#This Row],[VALOR PRESTAMO]]*Tabla14[[#This Row],[% INTERES ]]/30*U4303))+Tabla14[[#This Row],[VALOR CUOTAS]]</f>
        <v>#VALUE!</v>
      </c>
      <c r="S4303" s="88">
        <f>-IF(Tabla14[[#This Row],[DIAS HABILES O MORA]]&lt;0,(Tabla14[[#This Row],[VALOR PRESTAMO]]*Tabla14[[#This Row],[% INTERES ]]/30*U4303))</f>
        <v>0</v>
      </c>
      <c r="T4303" s="53" t="e">
        <f>Tabla14[[#This Row],[DEUDA CAPITAL]]+Tabla14[[#This Row],[INTERES  CUOTA]]</f>
        <v>#NUM!</v>
      </c>
      <c r="U4303" s="61" t="str">
        <f t="shared" si="679"/>
        <v/>
      </c>
    </row>
    <row r="4304" spans="9:21" ht="24.75" customHeight="1" x14ac:dyDescent="0.35">
      <c r="I4304" s="42">
        <f t="shared" ref="I4304:I4367" si="680">IF(C4304&lt;0,"",IF(Q4304=0,0,IF(G4304=0,H4304+1,IF(H4304&lt;G4304,H4304+1,IF(G4304=H4304,0)))))</f>
        <v>0</v>
      </c>
      <c r="J4304" s="65" t="e">
        <f t="shared" ref="J4304:J4367" si="681">IF(F4304="SOLO INTERES",Q4304*D4304,-IPMT(D4304,I4304,G4304,C4304))</f>
        <v>#NUM!</v>
      </c>
      <c r="K4304" s="83" t="e">
        <f t="shared" ref="K4304:K4367" si="682">IF(F4304="SOLO INTERES",0,-PPMT(D4304,I4304,G4304,C4304))</f>
        <v>#NUM!</v>
      </c>
      <c r="L4304" s="83">
        <f t="shared" ref="L4304:L4367" si="683">IF(F4304="SOLO INTERES",SUM(Y4304:AAE4304),IFERROR(-CUMIPMT(D4304,G4304,C4304,1,H4304,0),0)+SUM(Y4304:WY4304))</f>
        <v>0</v>
      </c>
      <c r="M4304" s="110" t="str">
        <f t="shared" ref="M4304:M4367" si="684">IFERROR(IF(F4304="SOLO INTERES",Q4304*D4304,-PMT(D4304,G4304,C4304,0)),"")</f>
        <v/>
      </c>
      <c r="N4304" s="51" t="str">
        <f t="shared" ref="N4304:N4367" si="685">IF(Q4304=0,"",IF(E4304="MENSUAL",EDATE(B4304,I4304),IF(E4304="QUINCENAL",B4304+(I4304*15),IF(E4304="SEMANAL",B4304+(I4304*7)))))</f>
        <v/>
      </c>
      <c r="O4304" s="52" t="str">
        <f t="shared" ref="O4304:O4367" si="686">IF(C4304=0,"",IF(Q4304&lt;1,"PAGADO",IF(N4304=$A$3,"COBRAR HOY",IF(N4304&lt;$A$3,"EN MORA",IF(N4304&gt;$A$3,"AL DIA")))))</f>
        <v/>
      </c>
      <c r="P4304" s="88">
        <f t="shared" ref="P4304:P4367" si="687">IFERROR(-CUMPRINC(D4304,G4304,C4304,1,H4304,0),0)+W4304</f>
        <v>0</v>
      </c>
      <c r="Q4304" s="88">
        <f t="shared" ref="Q4304:Q4367" si="688">IFERROR(C4304-P4304,"")</f>
        <v>0</v>
      </c>
      <c r="R4304" s="88" t="e">
        <f>-IF(Tabla14[[#This Row],[DIAS HABILES O MORA]]&lt;0,(Tabla14[[#This Row],[VALOR PRESTAMO]]*Tabla14[[#This Row],[% INTERES ]]/30*U4304))+Tabla14[[#This Row],[VALOR CUOTAS]]</f>
        <v>#VALUE!</v>
      </c>
      <c r="S4304" s="88">
        <f>-IF(Tabla14[[#This Row],[DIAS HABILES O MORA]]&lt;0,(Tabla14[[#This Row],[VALOR PRESTAMO]]*Tabla14[[#This Row],[% INTERES ]]/30*U4304))</f>
        <v>0</v>
      </c>
      <c r="T4304" s="53" t="e">
        <f>Tabla14[[#This Row],[DEUDA CAPITAL]]+Tabla14[[#This Row],[INTERES  CUOTA]]</f>
        <v>#NUM!</v>
      </c>
      <c r="U4304" s="61" t="str">
        <f t="shared" ref="U4304:U4367" si="689">IF(O4304="PAGADO","",IFERROR(-IF(C4304=0,"",$A$3-N4304),""))</f>
        <v/>
      </c>
    </row>
    <row r="4305" spans="9:21" ht="24.75" customHeight="1" x14ac:dyDescent="0.35">
      <c r="I4305" s="42">
        <f t="shared" si="680"/>
        <v>0</v>
      </c>
      <c r="J4305" s="65" t="e">
        <f t="shared" si="681"/>
        <v>#NUM!</v>
      </c>
      <c r="K4305" s="83" t="e">
        <f t="shared" si="682"/>
        <v>#NUM!</v>
      </c>
      <c r="L4305" s="83">
        <f t="shared" si="683"/>
        <v>0</v>
      </c>
      <c r="M4305" s="110" t="str">
        <f t="shared" si="684"/>
        <v/>
      </c>
      <c r="N4305" s="51" t="str">
        <f t="shared" si="685"/>
        <v/>
      </c>
      <c r="O4305" s="52" t="str">
        <f t="shared" si="686"/>
        <v/>
      </c>
      <c r="P4305" s="88">
        <f t="shared" si="687"/>
        <v>0</v>
      </c>
      <c r="Q4305" s="88">
        <f t="shared" si="688"/>
        <v>0</v>
      </c>
      <c r="R4305" s="88" t="e">
        <f>-IF(Tabla14[[#This Row],[DIAS HABILES O MORA]]&lt;0,(Tabla14[[#This Row],[VALOR PRESTAMO]]*Tabla14[[#This Row],[% INTERES ]]/30*U4305))+Tabla14[[#This Row],[VALOR CUOTAS]]</f>
        <v>#VALUE!</v>
      </c>
      <c r="S4305" s="88">
        <f>-IF(Tabla14[[#This Row],[DIAS HABILES O MORA]]&lt;0,(Tabla14[[#This Row],[VALOR PRESTAMO]]*Tabla14[[#This Row],[% INTERES ]]/30*U4305))</f>
        <v>0</v>
      </c>
      <c r="T4305" s="53" t="e">
        <f>Tabla14[[#This Row],[DEUDA CAPITAL]]+Tabla14[[#This Row],[INTERES  CUOTA]]</f>
        <v>#NUM!</v>
      </c>
      <c r="U4305" s="61" t="str">
        <f t="shared" si="689"/>
        <v/>
      </c>
    </row>
    <row r="4306" spans="9:21" ht="24.75" customHeight="1" x14ac:dyDescent="0.35">
      <c r="I4306" s="42">
        <f t="shared" si="680"/>
        <v>0</v>
      </c>
      <c r="J4306" s="65" t="e">
        <f t="shared" si="681"/>
        <v>#NUM!</v>
      </c>
      <c r="K4306" s="83" t="e">
        <f t="shared" si="682"/>
        <v>#NUM!</v>
      </c>
      <c r="L4306" s="83">
        <f t="shared" si="683"/>
        <v>0</v>
      </c>
      <c r="M4306" s="110" t="str">
        <f t="shared" si="684"/>
        <v/>
      </c>
      <c r="N4306" s="51" t="str">
        <f t="shared" si="685"/>
        <v/>
      </c>
      <c r="O4306" s="52" t="str">
        <f t="shared" si="686"/>
        <v/>
      </c>
      <c r="P4306" s="88">
        <f t="shared" si="687"/>
        <v>0</v>
      </c>
      <c r="Q4306" s="88">
        <f t="shared" si="688"/>
        <v>0</v>
      </c>
      <c r="R4306" s="88" t="e">
        <f>-IF(Tabla14[[#This Row],[DIAS HABILES O MORA]]&lt;0,(Tabla14[[#This Row],[VALOR PRESTAMO]]*Tabla14[[#This Row],[% INTERES ]]/30*U4306))+Tabla14[[#This Row],[VALOR CUOTAS]]</f>
        <v>#VALUE!</v>
      </c>
      <c r="S4306" s="88">
        <f>-IF(Tabla14[[#This Row],[DIAS HABILES O MORA]]&lt;0,(Tabla14[[#This Row],[VALOR PRESTAMO]]*Tabla14[[#This Row],[% INTERES ]]/30*U4306))</f>
        <v>0</v>
      </c>
      <c r="T4306" s="53" t="e">
        <f>Tabla14[[#This Row],[DEUDA CAPITAL]]+Tabla14[[#This Row],[INTERES  CUOTA]]</f>
        <v>#NUM!</v>
      </c>
      <c r="U4306" s="61" t="str">
        <f t="shared" si="689"/>
        <v/>
      </c>
    </row>
    <row r="4307" spans="9:21" ht="24.75" customHeight="1" x14ac:dyDescent="0.35">
      <c r="I4307" s="42">
        <f t="shared" si="680"/>
        <v>0</v>
      </c>
      <c r="J4307" s="65" t="e">
        <f t="shared" si="681"/>
        <v>#NUM!</v>
      </c>
      <c r="K4307" s="83" t="e">
        <f t="shared" si="682"/>
        <v>#NUM!</v>
      </c>
      <c r="L4307" s="83">
        <f t="shared" si="683"/>
        <v>0</v>
      </c>
      <c r="M4307" s="110" t="str">
        <f t="shared" si="684"/>
        <v/>
      </c>
      <c r="N4307" s="51" t="str">
        <f t="shared" si="685"/>
        <v/>
      </c>
      <c r="O4307" s="52" t="str">
        <f t="shared" si="686"/>
        <v/>
      </c>
      <c r="P4307" s="88">
        <f t="shared" si="687"/>
        <v>0</v>
      </c>
      <c r="Q4307" s="88">
        <f t="shared" si="688"/>
        <v>0</v>
      </c>
      <c r="R4307" s="88" t="e">
        <f>-IF(Tabla14[[#This Row],[DIAS HABILES O MORA]]&lt;0,(Tabla14[[#This Row],[VALOR PRESTAMO]]*Tabla14[[#This Row],[% INTERES ]]/30*U4307))+Tabla14[[#This Row],[VALOR CUOTAS]]</f>
        <v>#VALUE!</v>
      </c>
      <c r="S4307" s="88">
        <f>-IF(Tabla14[[#This Row],[DIAS HABILES O MORA]]&lt;0,(Tabla14[[#This Row],[VALOR PRESTAMO]]*Tabla14[[#This Row],[% INTERES ]]/30*U4307))</f>
        <v>0</v>
      </c>
      <c r="T4307" s="53" t="e">
        <f>Tabla14[[#This Row],[DEUDA CAPITAL]]+Tabla14[[#This Row],[INTERES  CUOTA]]</f>
        <v>#NUM!</v>
      </c>
      <c r="U4307" s="61" t="str">
        <f t="shared" si="689"/>
        <v/>
      </c>
    </row>
    <row r="4308" spans="9:21" ht="24.75" customHeight="1" x14ac:dyDescent="0.35">
      <c r="I4308" s="42">
        <f t="shared" si="680"/>
        <v>0</v>
      </c>
      <c r="J4308" s="65" t="e">
        <f t="shared" si="681"/>
        <v>#NUM!</v>
      </c>
      <c r="K4308" s="83" t="e">
        <f t="shared" si="682"/>
        <v>#NUM!</v>
      </c>
      <c r="L4308" s="83">
        <f t="shared" si="683"/>
        <v>0</v>
      </c>
      <c r="M4308" s="110" t="str">
        <f t="shared" si="684"/>
        <v/>
      </c>
      <c r="N4308" s="51" t="str">
        <f t="shared" si="685"/>
        <v/>
      </c>
      <c r="O4308" s="52" t="str">
        <f t="shared" si="686"/>
        <v/>
      </c>
      <c r="P4308" s="88">
        <f t="shared" si="687"/>
        <v>0</v>
      </c>
      <c r="Q4308" s="88">
        <f t="shared" si="688"/>
        <v>0</v>
      </c>
      <c r="R4308" s="88" t="e">
        <f>-IF(Tabla14[[#This Row],[DIAS HABILES O MORA]]&lt;0,(Tabla14[[#This Row],[VALOR PRESTAMO]]*Tabla14[[#This Row],[% INTERES ]]/30*U4308))+Tabla14[[#This Row],[VALOR CUOTAS]]</f>
        <v>#VALUE!</v>
      </c>
      <c r="S4308" s="88">
        <f>-IF(Tabla14[[#This Row],[DIAS HABILES O MORA]]&lt;0,(Tabla14[[#This Row],[VALOR PRESTAMO]]*Tabla14[[#This Row],[% INTERES ]]/30*U4308))</f>
        <v>0</v>
      </c>
      <c r="T4308" s="53" t="e">
        <f>Tabla14[[#This Row],[DEUDA CAPITAL]]+Tabla14[[#This Row],[INTERES  CUOTA]]</f>
        <v>#NUM!</v>
      </c>
      <c r="U4308" s="61" t="str">
        <f t="shared" si="689"/>
        <v/>
      </c>
    </row>
    <row r="4309" spans="9:21" ht="24.75" customHeight="1" x14ac:dyDescent="0.35">
      <c r="I4309" s="42">
        <f t="shared" si="680"/>
        <v>0</v>
      </c>
      <c r="J4309" s="65" t="e">
        <f t="shared" si="681"/>
        <v>#NUM!</v>
      </c>
      <c r="K4309" s="83" t="e">
        <f t="shared" si="682"/>
        <v>#NUM!</v>
      </c>
      <c r="L4309" s="83">
        <f t="shared" si="683"/>
        <v>0</v>
      </c>
      <c r="M4309" s="110" t="str">
        <f t="shared" si="684"/>
        <v/>
      </c>
      <c r="N4309" s="51" t="str">
        <f t="shared" si="685"/>
        <v/>
      </c>
      <c r="O4309" s="52" t="str">
        <f t="shared" si="686"/>
        <v/>
      </c>
      <c r="P4309" s="88">
        <f t="shared" si="687"/>
        <v>0</v>
      </c>
      <c r="Q4309" s="88">
        <f t="shared" si="688"/>
        <v>0</v>
      </c>
      <c r="R4309" s="88" t="e">
        <f>-IF(Tabla14[[#This Row],[DIAS HABILES O MORA]]&lt;0,(Tabla14[[#This Row],[VALOR PRESTAMO]]*Tabla14[[#This Row],[% INTERES ]]/30*U4309))+Tabla14[[#This Row],[VALOR CUOTAS]]</f>
        <v>#VALUE!</v>
      </c>
      <c r="S4309" s="88">
        <f>-IF(Tabla14[[#This Row],[DIAS HABILES O MORA]]&lt;0,(Tabla14[[#This Row],[VALOR PRESTAMO]]*Tabla14[[#This Row],[% INTERES ]]/30*U4309))</f>
        <v>0</v>
      </c>
      <c r="T4309" s="53" t="e">
        <f>Tabla14[[#This Row],[DEUDA CAPITAL]]+Tabla14[[#This Row],[INTERES  CUOTA]]</f>
        <v>#NUM!</v>
      </c>
      <c r="U4309" s="61" t="str">
        <f t="shared" si="689"/>
        <v/>
      </c>
    </row>
    <row r="4310" spans="9:21" ht="24.75" customHeight="1" x14ac:dyDescent="0.35">
      <c r="I4310" s="42">
        <f t="shared" si="680"/>
        <v>0</v>
      </c>
      <c r="J4310" s="65" t="e">
        <f t="shared" si="681"/>
        <v>#NUM!</v>
      </c>
      <c r="K4310" s="83" t="e">
        <f t="shared" si="682"/>
        <v>#NUM!</v>
      </c>
      <c r="L4310" s="83">
        <f t="shared" si="683"/>
        <v>0</v>
      </c>
      <c r="M4310" s="110" t="str">
        <f t="shared" si="684"/>
        <v/>
      </c>
      <c r="N4310" s="51" t="str">
        <f t="shared" si="685"/>
        <v/>
      </c>
      <c r="O4310" s="52" t="str">
        <f t="shared" si="686"/>
        <v/>
      </c>
      <c r="P4310" s="88">
        <f t="shared" si="687"/>
        <v>0</v>
      </c>
      <c r="Q4310" s="88">
        <f t="shared" si="688"/>
        <v>0</v>
      </c>
      <c r="R4310" s="88" t="e">
        <f>-IF(Tabla14[[#This Row],[DIAS HABILES O MORA]]&lt;0,(Tabla14[[#This Row],[VALOR PRESTAMO]]*Tabla14[[#This Row],[% INTERES ]]/30*U4310))+Tabla14[[#This Row],[VALOR CUOTAS]]</f>
        <v>#VALUE!</v>
      </c>
      <c r="S4310" s="88">
        <f>-IF(Tabla14[[#This Row],[DIAS HABILES O MORA]]&lt;0,(Tabla14[[#This Row],[VALOR PRESTAMO]]*Tabla14[[#This Row],[% INTERES ]]/30*U4310))</f>
        <v>0</v>
      </c>
      <c r="T4310" s="53" t="e">
        <f>Tabla14[[#This Row],[DEUDA CAPITAL]]+Tabla14[[#This Row],[INTERES  CUOTA]]</f>
        <v>#NUM!</v>
      </c>
      <c r="U4310" s="61" t="str">
        <f t="shared" si="689"/>
        <v/>
      </c>
    </row>
    <row r="4311" spans="9:21" ht="24.75" customHeight="1" x14ac:dyDescent="0.35">
      <c r="I4311" s="42">
        <f t="shared" si="680"/>
        <v>0</v>
      </c>
      <c r="J4311" s="65" t="e">
        <f t="shared" si="681"/>
        <v>#NUM!</v>
      </c>
      <c r="K4311" s="83" t="e">
        <f t="shared" si="682"/>
        <v>#NUM!</v>
      </c>
      <c r="L4311" s="83">
        <f t="shared" si="683"/>
        <v>0</v>
      </c>
      <c r="M4311" s="110" t="str">
        <f t="shared" si="684"/>
        <v/>
      </c>
      <c r="N4311" s="51" t="str">
        <f t="shared" si="685"/>
        <v/>
      </c>
      <c r="O4311" s="52" t="str">
        <f t="shared" si="686"/>
        <v/>
      </c>
      <c r="P4311" s="88">
        <f t="shared" si="687"/>
        <v>0</v>
      </c>
      <c r="Q4311" s="88">
        <f t="shared" si="688"/>
        <v>0</v>
      </c>
      <c r="R4311" s="88" t="e">
        <f>-IF(Tabla14[[#This Row],[DIAS HABILES O MORA]]&lt;0,(Tabla14[[#This Row],[VALOR PRESTAMO]]*Tabla14[[#This Row],[% INTERES ]]/30*U4311))+Tabla14[[#This Row],[VALOR CUOTAS]]</f>
        <v>#VALUE!</v>
      </c>
      <c r="S4311" s="88">
        <f>-IF(Tabla14[[#This Row],[DIAS HABILES O MORA]]&lt;0,(Tabla14[[#This Row],[VALOR PRESTAMO]]*Tabla14[[#This Row],[% INTERES ]]/30*U4311))</f>
        <v>0</v>
      </c>
      <c r="T4311" s="53" t="e">
        <f>Tabla14[[#This Row],[DEUDA CAPITAL]]+Tabla14[[#This Row],[INTERES  CUOTA]]</f>
        <v>#NUM!</v>
      </c>
      <c r="U4311" s="61" t="str">
        <f t="shared" si="689"/>
        <v/>
      </c>
    </row>
    <row r="4312" spans="9:21" ht="24.75" customHeight="1" x14ac:dyDescent="0.35">
      <c r="I4312" s="42">
        <f t="shared" si="680"/>
        <v>0</v>
      </c>
      <c r="J4312" s="65" t="e">
        <f t="shared" si="681"/>
        <v>#NUM!</v>
      </c>
      <c r="K4312" s="83" t="e">
        <f t="shared" si="682"/>
        <v>#NUM!</v>
      </c>
      <c r="L4312" s="83">
        <f t="shared" si="683"/>
        <v>0</v>
      </c>
      <c r="M4312" s="110" t="str">
        <f t="shared" si="684"/>
        <v/>
      </c>
      <c r="N4312" s="51" t="str">
        <f t="shared" si="685"/>
        <v/>
      </c>
      <c r="O4312" s="52" t="str">
        <f t="shared" si="686"/>
        <v/>
      </c>
      <c r="P4312" s="88">
        <f t="shared" si="687"/>
        <v>0</v>
      </c>
      <c r="Q4312" s="88">
        <f t="shared" si="688"/>
        <v>0</v>
      </c>
      <c r="R4312" s="88" t="e">
        <f>-IF(Tabla14[[#This Row],[DIAS HABILES O MORA]]&lt;0,(Tabla14[[#This Row],[VALOR PRESTAMO]]*Tabla14[[#This Row],[% INTERES ]]/30*U4312))+Tabla14[[#This Row],[VALOR CUOTAS]]</f>
        <v>#VALUE!</v>
      </c>
      <c r="S4312" s="88">
        <f>-IF(Tabla14[[#This Row],[DIAS HABILES O MORA]]&lt;0,(Tabla14[[#This Row],[VALOR PRESTAMO]]*Tabla14[[#This Row],[% INTERES ]]/30*U4312))</f>
        <v>0</v>
      </c>
      <c r="T4312" s="53" t="e">
        <f>Tabla14[[#This Row],[DEUDA CAPITAL]]+Tabla14[[#This Row],[INTERES  CUOTA]]</f>
        <v>#NUM!</v>
      </c>
      <c r="U4312" s="61" t="str">
        <f t="shared" si="689"/>
        <v/>
      </c>
    </row>
    <row r="4313" spans="9:21" ht="24.75" customHeight="1" x14ac:dyDescent="0.35">
      <c r="I4313" s="42">
        <f t="shared" si="680"/>
        <v>0</v>
      </c>
      <c r="J4313" s="65" t="e">
        <f t="shared" si="681"/>
        <v>#NUM!</v>
      </c>
      <c r="K4313" s="83" t="e">
        <f t="shared" si="682"/>
        <v>#NUM!</v>
      </c>
      <c r="L4313" s="83">
        <f t="shared" si="683"/>
        <v>0</v>
      </c>
      <c r="M4313" s="110" t="str">
        <f t="shared" si="684"/>
        <v/>
      </c>
      <c r="N4313" s="51" t="str">
        <f t="shared" si="685"/>
        <v/>
      </c>
      <c r="O4313" s="52" t="str">
        <f t="shared" si="686"/>
        <v/>
      </c>
      <c r="P4313" s="88">
        <f t="shared" si="687"/>
        <v>0</v>
      </c>
      <c r="Q4313" s="88">
        <f t="shared" si="688"/>
        <v>0</v>
      </c>
      <c r="R4313" s="88" t="e">
        <f>-IF(Tabla14[[#This Row],[DIAS HABILES O MORA]]&lt;0,(Tabla14[[#This Row],[VALOR PRESTAMO]]*Tabla14[[#This Row],[% INTERES ]]/30*U4313))+Tabla14[[#This Row],[VALOR CUOTAS]]</f>
        <v>#VALUE!</v>
      </c>
      <c r="S4313" s="88">
        <f>-IF(Tabla14[[#This Row],[DIAS HABILES O MORA]]&lt;0,(Tabla14[[#This Row],[VALOR PRESTAMO]]*Tabla14[[#This Row],[% INTERES ]]/30*U4313))</f>
        <v>0</v>
      </c>
      <c r="T4313" s="53" t="e">
        <f>Tabla14[[#This Row],[DEUDA CAPITAL]]+Tabla14[[#This Row],[INTERES  CUOTA]]</f>
        <v>#NUM!</v>
      </c>
      <c r="U4313" s="61" t="str">
        <f t="shared" si="689"/>
        <v/>
      </c>
    </row>
    <row r="4314" spans="9:21" ht="24.75" customHeight="1" x14ac:dyDescent="0.35">
      <c r="I4314" s="42">
        <f t="shared" si="680"/>
        <v>0</v>
      </c>
      <c r="J4314" s="65" t="e">
        <f t="shared" si="681"/>
        <v>#NUM!</v>
      </c>
      <c r="K4314" s="83" t="e">
        <f t="shared" si="682"/>
        <v>#NUM!</v>
      </c>
      <c r="L4314" s="83">
        <f t="shared" si="683"/>
        <v>0</v>
      </c>
      <c r="M4314" s="110" t="str">
        <f t="shared" si="684"/>
        <v/>
      </c>
      <c r="N4314" s="51" t="str">
        <f t="shared" si="685"/>
        <v/>
      </c>
      <c r="O4314" s="52" t="str">
        <f t="shared" si="686"/>
        <v/>
      </c>
      <c r="P4314" s="88">
        <f t="shared" si="687"/>
        <v>0</v>
      </c>
      <c r="Q4314" s="88">
        <f t="shared" si="688"/>
        <v>0</v>
      </c>
      <c r="R4314" s="88" t="e">
        <f>-IF(Tabla14[[#This Row],[DIAS HABILES O MORA]]&lt;0,(Tabla14[[#This Row],[VALOR PRESTAMO]]*Tabla14[[#This Row],[% INTERES ]]/30*U4314))+Tabla14[[#This Row],[VALOR CUOTAS]]</f>
        <v>#VALUE!</v>
      </c>
      <c r="S4314" s="88">
        <f>-IF(Tabla14[[#This Row],[DIAS HABILES O MORA]]&lt;0,(Tabla14[[#This Row],[VALOR PRESTAMO]]*Tabla14[[#This Row],[% INTERES ]]/30*U4314))</f>
        <v>0</v>
      </c>
      <c r="T4314" s="53" t="e">
        <f>Tabla14[[#This Row],[DEUDA CAPITAL]]+Tabla14[[#This Row],[INTERES  CUOTA]]</f>
        <v>#NUM!</v>
      </c>
      <c r="U4314" s="61" t="str">
        <f t="shared" si="689"/>
        <v/>
      </c>
    </row>
    <row r="4315" spans="9:21" ht="24.75" customHeight="1" x14ac:dyDescent="0.35">
      <c r="I4315" s="42">
        <f t="shared" si="680"/>
        <v>0</v>
      </c>
      <c r="J4315" s="65" t="e">
        <f t="shared" si="681"/>
        <v>#NUM!</v>
      </c>
      <c r="K4315" s="83" t="e">
        <f t="shared" si="682"/>
        <v>#NUM!</v>
      </c>
      <c r="L4315" s="83">
        <f t="shared" si="683"/>
        <v>0</v>
      </c>
      <c r="M4315" s="110" t="str">
        <f t="shared" si="684"/>
        <v/>
      </c>
      <c r="N4315" s="51" t="str">
        <f t="shared" si="685"/>
        <v/>
      </c>
      <c r="O4315" s="52" t="str">
        <f t="shared" si="686"/>
        <v/>
      </c>
      <c r="P4315" s="88">
        <f t="shared" si="687"/>
        <v>0</v>
      </c>
      <c r="Q4315" s="88">
        <f t="shared" si="688"/>
        <v>0</v>
      </c>
      <c r="R4315" s="88" t="e">
        <f>-IF(Tabla14[[#This Row],[DIAS HABILES O MORA]]&lt;0,(Tabla14[[#This Row],[VALOR PRESTAMO]]*Tabla14[[#This Row],[% INTERES ]]/30*U4315))+Tabla14[[#This Row],[VALOR CUOTAS]]</f>
        <v>#VALUE!</v>
      </c>
      <c r="S4315" s="88">
        <f>-IF(Tabla14[[#This Row],[DIAS HABILES O MORA]]&lt;0,(Tabla14[[#This Row],[VALOR PRESTAMO]]*Tabla14[[#This Row],[% INTERES ]]/30*U4315))</f>
        <v>0</v>
      </c>
      <c r="T4315" s="53" t="e">
        <f>Tabla14[[#This Row],[DEUDA CAPITAL]]+Tabla14[[#This Row],[INTERES  CUOTA]]</f>
        <v>#NUM!</v>
      </c>
      <c r="U4315" s="61" t="str">
        <f t="shared" si="689"/>
        <v/>
      </c>
    </row>
    <row r="4316" spans="9:21" ht="24.75" customHeight="1" x14ac:dyDescent="0.35">
      <c r="I4316" s="42">
        <f t="shared" si="680"/>
        <v>0</v>
      </c>
      <c r="J4316" s="65" t="e">
        <f t="shared" si="681"/>
        <v>#NUM!</v>
      </c>
      <c r="K4316" s="83" t="e">
        <f t="shared" si="682"/>
        <v>#NUM!</v>
      </c>
      <c r="L4316" s="83">
        <f t="shared" si="683"/>
        <v>0</v>
      </c>
      <c r="M4316" s="110" t="str">
        <f t="shared" si="684"/>
        <v/>
      </c>
      <c r="N4316" s="51" t="str">
        <f t="shared" si="685"/>
        <v/>
      </c>
      <c r="O4316" s="52" t="str">
        <f t="shared" si="686"/>
        <v/>
      </c>
      <c r="P4316" s="88">
        <f t="shared" si="687"/>
        <v>0</v>
      </c>
      <c r="Q4316" s="88">
        <f t="shared" si="688"/>
        <v>0</v>
      </c>
      <c r="R4316" s="88" t="e">
        <f>-IF(Tabla14[[#This Row],[DIAS HABILES O MORA]]&lt;0,(Tabla14[[#This Row],[VALOR PRESTAMO]]*Tabla14[[#This Row],[% INTERES ]]/30*U4316))+Tabla14[[#This Row],[VALOR CUOTAS]]</f>
        <v>#VALUE!</v>
      </c>
      <c r="S4316" s="88">
        <f>-IF(Tabla14[[#This Row],[DIAS HABILES O MORA]]&lt;0,(Tabla14[[#This Row],[VALOR PRESTAMO]]*Tabla14[[#This Row],[% INTERES ]]/30*U4316))</f>
        <v>0</v>
      </c>
      <c r="T4316" s="53" t="e">
        <f>Tabla14[[#This Row],[DEUDA CAPITAL]]+Tabla14[[#This Row],[INTERES  CUOTA]]</f>
        <v>#NUM!</v>
      </c>
      <c r="U4316" s="61" t="str">
        <f t="shared" si="689"/>
        <v/>
      </c>
    </row>
    <row r="4317" spans="9:21" ht="24.75" customHeight="1" x14ac:dyDescent="0.35">
      <c r="I4317" s="42">
        <f t="shared" si="680"/>
        <v>0</v>
      </c>
      <c r="J4317" s="65" t="e">
        <f t="shared" si="681"/>
        <v>#NUM!</v>
      </c>
      <c r="K4317" s="83" t="e">
        <f t="shared" si="682"/>
        <v>#NUM!</v>
      </c>
      <c r="L4317" s="83">
        <f t="shared" si="683"/>
        <v>0</v>
      </c>
      <c r="M4317" s="110" t="str">
        <f t="shared" si="684"/>
        <v/>
      </c>
      <c r="N4317" s="51" t="str">
        <f t="shared" si="685"/>
        <v/>
      </c>
      <c r="O4317" s="52" t="str">
        <f t="shared" si="686"/>
        <v/>
      </c>
      <c r="P4317" s="88">
        <f t="shared" si="687"/>
        <v>0</v>
      </c>
      <c r="Q4317" s="88">
        <f t="shared" si="688"/>
        <v>0</v>
      </c>
      <c r="R4317" s="88" t="e">
        <f>-IF(Tabla14[[#This Row],[DIAS HABILES O MORA]]&lt;0,(Tabla14[[#This Row],[VALOR PRESTAMO]]*Tabla14[[#This Row],[% INTERES ]]/30*U4317))+Tabla14[[#This Row],[VALOR CUOTAS]]</f>
        <v>#VALUE!</v>
      </c>
      <c r="S4317" s="88">
        <f>-IF(Tabla14[[#This Row],[DIAS HABILES O MORA]]&lt;0,(Tabla14[[#This Row],[VALOR PRESTAMO]]*Tabla14[[#This Row],[% INTERES ]]/30*U4317))</f>
        <v>0</v>
      </c>
      <c r="T4317" s="53" t="e">
        <f>Tabla14[[#This Row],[DEUDA CAPITAL]]+Tabla14[[#This Row],[INTERES  CUOTA]]</f>
        <v>#NUM!</v>
      </c>
      <c r="U4317" s="61" t="str">
        <f t="shared" si="689"/>
        <v/>
      </c>
    </row>
    <row r="4318" spans="9:21" ht="24.75" customHeight="1" x14ac:dyDescent="0.35">
      <c r="I4318" s="42">
        <f t="shared" si="680"/>
        <v>0</v>
      </c>
      <c r="J4318" s="65" t="e">
        <f t="shared" si="681"/>
        <v>#NUM!</v>
      </c>
      <c r="K4318" s="83" t="e">
        <f t="shared" si="682"/>
        <v>#NUM!</v>
      </c>
      <c r="L4318" s="83">
        <f t="shared" si="683"/>
        <v>0</v>
      </c>
      <c r="M4318" s="110" t="str">
        <f t="shared" si="684"/>
        <v/>
      </c>
      <c r="N4318" s="51" t="str">
        <f t="shared" si="685"/>
        <v/>
      </c>
      <c r="O4318" s="52" t="str">
        <f t="shared" si="686"/>
        <v/>
      </c>
      <c r="P4318" s="88">
        <f t="shared" si="687"/>
        <v>0</v>
      </c>
      <c r="Q4318" s="88">
        <f t="shared" si="688"/>
        <v>0</v>
      </c>
      <c r="R4318" s="88" t="e">
        <f>-IF(Tabla14[[#This Row],[DIAS HABILES O MORA]]&lt;0,(Tabla14[[#This Row],[VALOR PRESTAMO]]*Tabla14[[#This Row],[% INTERES ]]/30*U4318))+Tabla14[[#This Row],[VALOR CUOTAS]]</f>
        <v>#VALUE!</v>
      </c>
      <c r="S4318" s="88">
        <f>-IF(Tabla14[[#This Row],[DIAS HABILES O MORA]]&lt;0,(Tabla14[[#This Row],[VALOR PRESTAMO]]*Tabla14[[#This Row],[% INTERES ]]/30*U4318))</f>
        <v>0</v>
      </c>
      <c r="T4318" s="53" t="e">
        <f>Tabla14[[#This Row],[DEUDA CAPITAL]]+Tabla14[[#This Row],[INTERES  CUOTA]]</f>
        <v>#NUM!</v>
      </c>
      <c r="U4318" s="61" t="str">
        <f t="shared" si="689"/>
        <v/>
      </c>
    </row>
    <row r="4319" spans="9:21" ht="24.75" customHeight="1" x14ac:dyDescent="0.35">
      <c r="I4319" s="42">
        <f t="shared" si="680"/>
        <v>0</v>
      </c>
      <c r="J4319" s="65" t="e">
        <f t="shared" si="681"/>
        <v>#NUM!</v>
      </c>
      <c r="K4319" s="83" t="e">
        <f t="shared" si="682"/>
        <v>#NUM!</v>
      </c>
      <c r="L4319" s="83">
        <f t="shared" si="683"/>
        <v>0</v>
      </c>
      <c r="M4319" s="110" t="str">
        <f t="shared" si="684"/>
        <v/>
      </c>
      <c r="N4319" s="51" t="str">
        <f t="shared" si="685"/>
        <v/>
      </c>
      <c r="O4319" s="52" t="str">
        <f t="shared" si="686"/>
        <v/>
      </c>
      <c r="P4319" s="88">
        <f t="shared" si="687"/>
        <v>0</v>
      </c>
      <c r="Q4319" s="88">
        <f t="shared" si="688"/>
        <v>0</v>
      </c>
      <c r="R4319" s="88" t="e">
        <f>-IF(Tabla14[[#This Row],[DIAS HABILES O MORA]]&lt;0,(Tabla14[[#This Row],[VALOR PRESTAMO]]*Tabla14[[#This Row],[% INTERES ]]/30*U4319))+Tabla14[[#This Row],[VALOR CUOTAS]]</f>
        <v>#VALUE!</v>
      </c>
      <c r="S4319" s="88">
        <f>-IF(Tabla14[[#This Row],[DIAS HABILES O MORA]]&lt;0,(Tabla14[[#This Row],[VALOR PRESTAMO]]*Tabla14[[#This Row],[% INTERES ]]/30*U4319))</f>
        <v>0</v>
      </c>
      <c r="T4319" s="53" t="e">
        <f>Tabla14[[#This Row],[DEUDA CAPITAL]]+Tabla14[[#This Row],[INTERES  CUOTA]]</f>
        <v>#NUM!</v>
      </c>
      <c r="U4319" s="61" t="str">
        <f t="shared" si="689"/>
        <v/>
      </c>
    </row>
    <row r="4320" spans="9:21" ht="24.75" customHeight="1" x14ac:dyDescent="0.35">
      <c r="I4320" s="42">
        <f t="shared" si="680"/>
        <v>0</v>
      </c>
      <c r="J4320" s="65" t="e">
        <f t="shared" si="681"/>
        <v>#NUM!</v>
      </c>
      <c r="K4320" s="83" t="e">
        <f t="shared" si="682"/>
        <v>#NUM!</v>
      </c>
      <c r="L4320" s="83">
        <f t="shared" si="683"/>
        <v>0</v>
      </c>
      <c r="M4320" s="110" t="str">
        <f t="shared" si="684"/>
        <v/>
      </c>
      <c r="N4320" s="51" t="str">
        <f t="shared" si="685"/>
        <v/>
      </c>
      <c r="O4320" s="52" t="str">
        <f t="shared" si="686"/>
        <v/>
      </c>
      <c r="P4320" s="88">
        <f t="shared" si="687"/>
        <v>0</v>
      </c>
      <c r="Q4320" s="88">
        <f t="shared" si="688"/>
        <v>0</v>
      </c>
      <c r="R4320" s="88" t="e">
        <f>-IF(Tabla14[[#This Row],[DIAS HABILES O MORA]]&lt;0,(Tabla14[[#This Row],[VALOR PRESTAMO]]*Tabla14[[#This Row],[% INTERES ]]/30*U4320))+Tabla14[[#This Row],[VALOR CUOTAS]]</f>
        <v>#VALUE!</v>
      </c>
      <c r="S4320" s="88">
        <f>-IF(Tabla14[[#This Row],[DIAS HABILES O MORA]]&lt;0,(Tabla14[[#This Row],[VALOR PRESTAMO]]*Tabla14[[#This Row],[% INTERES ]]/30*U4320))</f>
        <v>0</v>
      </c>
      <c r="T4320" s="53" t="e">
        <f>Tabla14[[#This Row],[DEUDA CAPITAL]]+Tabla14[[#This Row],[INTERES  CUOTA]]</f>
        <v>#NUM!</v>
      </c>
      <c r="U4320" s="61" t="str">
        <f t="shared" si="689"/>
        <v/>
      </c>
    </row>
    <row r="4321" spans="9:21" ht="24.75" customHeight="1" x14ac:dyDescent="0.35">
      <c r="I4321" s="42">
        <f t="shared" si="680"/>
        <v>0</v>
      </c>
      <c r="J4321" s="65" t="e">
        <f t="shared" si="681"/>
        <v>#NUM!</v>
      </c>
      <c r="K4321" s="83" t="e">
        <f t="shared" si="682"/>
        <v>#NUM!</v>
      </c>
      <c r="L4321" s="83">
        <f t="shared" si="683"/>
        <v>0</v>
      </c>
      <c r="M4321" s="110" t="str">
        <f t="shared" si="684"/>
        <v/>
      </c>
      <c r="N4321" s="51" t="str">
        <f t="shared" si="685"/>
        <v/>
      </c>
      <c r="O4321" s="52" t="str">
        <f t="shared" si="686"/>
        <v/>
      </c>
      <c r="P4321" s="88">
        <f t="shared" si="687"/>
        <v>0</v>
      </c>
      <c r="Q4321" s="88">
        <f t="shared" si="688"/>
        <v>0</v>
      </c>
      <c r="R4321" s="88" t="e">
        <f>-IF(Tabla14[[#This Row],[DIAS HABILES O MORA]]&lt;0,(Tabla14[[#This Row],[VALOR PRESTAMO]]*Tabla14[[#This Row],[% INTERES ]]/30*U4321))+Tabla14[[#This Row],[VALOR CUOTAS]]</f>
        <v>#VALUE!</v>
      </c>
      <c r="S4321" s="88">
        <f>-IF(Tabla14[[#This Row],[DIAS HABILES O MORA]]&lt;0,(Tabla14[[#This Row],[VALOR PRESTAMO]]*Tabla14[[#This Row],[% INTERES ]]/30*U4321))</f>
        <v>0</v>
      </c>
      <c r="T4321" s="53" t="e">
        <f>Tabla14[[#This Row],[DEUDA CAPITAL]]+Tabla14[[#This Row],[INTERES  CUOTA]]</f>
        <v>#NUM!</v>
      </c>
      <c r="U4321" s="61" t="str">
        <f t="shared" si="689"/>
        <v/>
      </c>
    </row>
    <row r="4322" spans="9:21" ht="24.75" customHeight="1" x14ac:dyDescent="0.35">
      <c r="I4322" s="42">
        <f t="shared" si="680"/>
        <v>0</v>
      </c>
      <c r="J4322" s="65" t="e">
        <f t="shared" si="681"/>
        <v>#NUM!</v>
      </c>
      <c r="K4322" s="83" t="e">
        <f t="shared" si="682"/>
        <v>#NUM!</v>
      </c>
      <c r="L4322" s="83">
        <f t="shared" si="683"/>
        <v>0</v>
      </c>
      <c r="M4322" s="110" t="str">
        <f t="shared" si="684"/>
        <v/>
      </c>
      <c r="N4322" s="51" t="str">
        <f t="shared" si="685"/>
        <v/>
      </c>
      <c r="O4322" s="52" t="str">
        <f t="shared" si="686"/>
        <v/>
      </c>
      <c r="P4322" s="88">
        <f t="shared" si="687"/>
        <v>0</v>
      </c>
      <c r="Q4322" s="88">
        <f t="shared" si="688"/>
        <v>0</v>
      </c>
      <c r="R4322" s="88" t="e">
        <f>-IF(Tabla14[[#This Row],[DIAS HABILES O MORA]]&lt;0,(Tabla14[[#This Row],[VALOR PRESTAMO]]*Tabla14[[#This Row],[% INTERES ]]/30*U4322))+Tabla14[[#This Row],[VALOR CUOTAS]]</f>
        <v>#VALUE!</v>
      </c>
      <c r="S4322" s="88">
        <f>-IF(Tabla14[[#This Row],[DIAS HABILES O MORA]]&lt;0,(Tabla14[[#This Row],[VALOR PRESTAMO]]*Tabla14[[#This Row],[% INTERES ]]/30*U4322))</f>
        <v>0</v>
      </c>
      <c r="T4322" s="53" t="e">
        <f>Tabla14[[#This Row],[DEUDA CAPITAL]]+Tabla14[[#This Row],[INTERES  CUOTA]]</f>
        <v>#NUM!</v>
      </c>
      <c r="U4322" s="61" t="str">
        <f t="shared" si="689"/>
        <v/>
      </c>
    </row>
    <row r="4323" spans="9:21" ht="24.75" customHeight="1" x14ac:dyDescent="0.35">
      <c r="I4323" s="42">
        <f t="shared" si="680"/>
        <v>0</v>
      </c>
      <c r="J4323" s="65" t="e">
        <f t="shared" si="681"/>
        <v>#NUM!</v>
      </c>
      <c r="K4323" s="83" t="e">
        <f t="shared" si="682"/>
        <v>#NUM!</v>
      </c>
      <c r="L4323" s="83">
        <f t="shared" si="683"/>
        <v>0</v>
      </c>
      <c r="M4323" s="110" t="str">
        <f t="shared" si="684"/>
        <v/>
      </c>
      <c r="N4323" s="51" t="str">
        <f t="shared" si="685"/>
        <v/>
      </c>
      <c r="O4323" s="52" t="str">
        <f t="shared" si="686"/>
        <v/>
      </c>
      <c r="P4323" s="88">
        <f t="shared" si="687"/>
        <v>0</v>
      </c>
      <c r="Q4323" s="88">
        <f t="shared" si="688"/>
        <v>0</v>
      </c>
      <c r="R4323" s="88" t="e">
        <f>-IF(Tabla14[[#This Row],[DIAS HABILES O MORA]]&lt;0,(Tabla14[[#This Row],[VALOR PRESTAMO]]*Tabla14[[#This Row],[% INTERES ]]/30*U4323))+Tabla14[[#This Row],[VALOR CUOTAS]]</f>
        <v>#VALUE!</v>
      </c>
      <c r="S4323" s="88">
        <f>-IF(Tabla14[[#This Row],[DIAS HABILES O MORA]]&lt;0,(Tabla14[[#This Row],[VALOR PRESTAMO]]*Tabla14[[#This Row],[% INTERES ]]/30*U4323))</f>
        <v>0</v>
      </c>
      <c r="T4323" s="53" t="e">
        <f>Tabla14[[#This Row],[DEUDA CAPITAL]]+Tabla14[[#This Row],[INTERES  CUOTA]]</f>
        <v>#NUM!</v>
      </c>
      <c r="U4323" s="61" t="str">
        <f t="shared" si="689"/>
        <v/>
      </c>
    </row>
    <row r="4324" spans="9:21" ht="24.75" customHeight="1" x14ac:dyDescent="0.35">
      <c r="I4324" s="42">
        <f t="shared" si="680"/>
        <v>0</v>
      </c>
      <c r="J4324" s="65" t="e">
        <f t="shared" si="681"/>
        <v>#NUM!</v>
      </c>
      <c r="K4324" s="83" t="e">
        <f t="shared" si="682"/>
        <v>#NUM!</v>
      </c>
      <c r="L4324" s="83">
        <f t="shared" si="683"/>
        <v>0</v>
      </c>
      <c r="M4324" s="110" t="str">
        <f t="shared" si="684"/>
        <v/>
      </c>
      <c r="N4324" s="51" t="str">
        <f t="shared" si="685"/>
        <v/>
      </c>
      <c r="O4324" s="52" t="str">
        <f t="shared" si="686"/>
        <v/>
      </c>
      <c r="P4324" s="88">
        <f t="shared" si="687"/>
        <v>0</v>
      </c>
      <c r="Q4324" s="88">
        <f t="shared" si="688"/>
        <v>0</v>
      </c>
      <c r="R4324" s="88" t="e">
        <f>-IF(Tabla14[[#This Row],[DIAS HABILES O MORA]]&lt;0,(Tabla14[[#This Row],[VALOR PRESTAMO]]*Tabla14[[#This Row],[% INTERES ]]/30*U4324))+Tabla14[[#This Row],[VALOR CUOTAS]]</f>
        <v>#VALUE!</v>
      </c>
      <c r="S4324" s="88">
        <f>-IF(Tabla14[[#This Row],[DIAS HABILES O MORA]]&lt;0,(Tabla14[[#This Row],[VALOR PRESTAMO]]*Tabla14[[#This Row],[% INTERES ]]/30*U4324))</f>
        <v>0</v>
      </c>
      <c r="T4324" s="53" t="e">
        <f>Tabla14[[#This Row],[DEUDA CAPITAL]]+Tabla14[[#This Row],[INTERES  CUOTA]]</f>
        <v>#NUM!</v>
      </c>
      <c r="U4324" s="61" t="str">
        <f t="shared" si="689"/>
        <v/>
      </c>
    </row>
    <row r="4325" spans="9:21" ht="24.75" customHeight="1" x14ac:dyDescent="0.35">
      <c r="I4325" s="42">
        <f t="shared" si="680"/>
        <v>0</v>
      </c>
      <c r="J4325" s="65" t="e">
        <f t="shared" si="681"/>
        <v>#NUM!</v>
      </c>
      <c r="K4325" s="83" t="e">
        <f t="shared" si="682"/>
        <v>#NUM!</v>
      </c>
      <c r="L4325" s="83">
        <f t="shared" si="683"/>
        <v>0</v>
      </c>
      <c r="M4325" s="110" t="str">
        <f t="shared" si="684"/>
        <v/>
      </c>
      <c r="N4325" s="51" t="str">
        <f t="shared" si="685"/>
        <v/>
      </c>
      <c r="O4325" s="52" t="str">
        <f t="shared" si="686"/>
        <v/>
      </c>
      <c r="P4325" s="88">
        <f t="shared" si="687"/>
        <v>0</v>
      </c>
      <c r="Q4325" s="88">
        <f t="shared" si="688"/>
        <v>0</v>
      </c>
      <c r="R4325" s="88" t="e">
        <f>-IF(Tabla14[[#This Row],[DIAS HABILES O MORA]]&lt;0,(Tabla14[[#This Row],[VALOR PRESTAMO]]*Tabla14[[#This Row],[% INTERES ]]/30*U4325))+Tabla14[[#This Row],[VALOR CUOTAS]]</f>
        <v>#VALUE!</v>
      </c>
      <c r="S4325" s="88">
        <f>-IF(Tabla14[[#This Row],[DIAS HABILES O MORA]]&lt;0,(Tabla14[[#This Row],[VALOR PRESTAMO]]*Tabla14[[#This Row],[% INTERES ]]/30*U4325))</f>
        <v>0</v>
      </c>
      <c r="T4325" s="53" t="e">
        <f>Tabla14[[#This Row],[DEUDA CAPITAL]]+Tabla14[[#This Row],[INTERES  CUOTA]]</f>
        <v>#NUM!</v>
      </c>
      <c r="U4325" s="61" t="str">
        <f t="shared" si="689"/>
        <v/>
      </c>
    </row>
    <row r="4326" spans="9:21" ht="24.75" customHeight="1" x14ac:dyDescent="0.35">
      <c r="I4326" s="42">
        <f t="shared" si="680"/>
        <v>0</v>
      </c>
      <c r="J4326" s="65" t="e">
        <f t="shared" si="681"/>
        <v>#NUM!</v>
      </c>
      <c r="K4326" s="83" t="e">
        <f t="shared" si="682"/>
        <v>#NUM!</v>
      </c>
      <c r="L4326" s="83">
        <f t="shared" si="683"/>
        <v>0</v>
      </c>
      <c r="M4326" s="110" t="str">
        <f t="shared" si="684"/>
        <v/>
      </c>
      <c r="N4326" s="51" t="str">
        <f t="shared" si="685"/>
        <v/>
      </c>
      <c r="O4326" s="52" t="str">
        <f t="shared" si="686"/>
        <v/>
      </c>
      <c r="P4326" s="88">
        <f t="shared" si="687"/>
        <v>0</v>
      </c>
      <c r="Q4326" s="88">
        <f t="shared" si="688"/>
        <v>0</v>
      </c>
      <c r="R4326" s="88" t="e">
        <f>-IF(Tabla14[[#This Row],[DIAS HABILES O MORA]]&lt;0,(Tabla14[[#This Row],[VALOR PRESTAMO]]*Tabla14[[#This Row],[% INTERES ]]/30*U4326))+Tabla14[[#This Row],[VALOR CUOTAS]]</f>
        <v>#VALUE!</v>
      </c>
      <c r="S4326" s="88">
        <f>-IF(Tabla14[[#This Row],[DIAS HABILES O MORA]]&lt;0,(Tabla14[[#This Row],[VALOR PRESTAMO]]*Tabla14[[#This Row],[% INTERES ]]/30*U4326))</f>
        <v>0</v>
      </c>
      <c r="T4326" s="53" t="e">
        <f>Tabla14[[#This Row],[DEUDA CAPITAL]]+Tabla14[[#This Row],[INTERES  CUOTA]]</f>
        <v>#NUM!</v>
      </c>
      <c r="U4326" s="61" t="str">
        <f t="shared" si="689"/>
        <v/>
      </c>
    </row>
    <row r="4327" spans="9:21" ht="24.75" customHeight="1" x14ac:dyDescent="0.35">
      <c r="I4327" s="42">
        <f t="shared" si="680"/>
        <v>0</v>
      </c>
      <c r="J4327" s="65" t="e">
        <f t="shared" si="681"/>
        <v>#NUM!</v>
      </c>
      <c r="K4327" s="83" t="e">
        <f t="shared" si="682"/>
        <v>#NUM!</v>
      </c>
      <c r="L4327" s="83">
        <f t="shared" si="683"/>
        <v>0</v>
      </c>
      <c r="M4327" s="110" t="str">
        <f t="shared" si="684"/>
        <v/>
      </c>
      <c r="N4327" s="51" t="str">
        <f t="shared" si="685"/>
        <v/>
      </c>
      <c r="O4327" s="52" t="str">
        <f t="shared" si="686"/>
        <v/>
      </c>
      <c r="P4327" s="88">
        <f t="shared" si="687"/>
        <v>0</v>
      </c>
      <c r="Q4327" s="88">
        <f t="shared" si="688"/>
        <v>0</v>
      </c>
      <c r="R4327" s="88" t="e">
        <f>-IF(Tabla14[[#This Row],[DIAS HABILES O MORA]]&lt;0,(Tabla14[[#This Row],[VALOR PRESTAMO]]*Tabla14[[#This Row],[% INTERES ]]/30*U4327))+Tabla14[[#This Row],[VALOR CUOTAS]]</f>
        <v>#VALUE!</v>
      </c>
      <c r="S4327" s="88">
        <f>-IF(Tabla14[[#This Row],[DIAS HABILES O MORA]]&lt;0,(Tabla14[[#This Row],[VALOR PRESTAMO]]*Tabla14[[#This Row],[% INTERES ]]/30*U4327))</f>
        <v>0</v>
      </c>
      <c r="T4327" s="53" t="e">
        <f>Tabla14[[#This Row],[DEUDA CAPITAL]]+Tabla14[[#This Row],[INTERES  CUOTA]]</f>
        <v>#NUM!</v>
      </c>
      <c r="U4327" s="61" t="str">
        <f t="shared" si="689"/>
        <v/>
      </c>
    </row>
    <row r="4328" spans="9:21" ht="24.75" customHeight="1" x14ac:dyDescent="0.35">
      <c r="I4328" s="42">
        <f t="shared" si="680"/>
        <v>0</v>
      </c>
      <c r="J4328" s="65" t="e">
        <f t="shared" si="681"/>
        <v>#NUM!</v>
      </c>
      <c r="K4328" s="83" t="e">
        <f t="shared" si="682"/>
        <v>#NUM!</v>
      </c>
      <c r="L4328" s="83">
        <f t="shared" si="683"/>
        <v>0</v>
      </c>
      <c r="M4328" s="110" t="str">
        <f t="shared" si="684"/>
        <v/>
      </c>
      <c r="N4328" s="51" t="str">
        <f t="shared" si="685"/>
        <v/>
      </c>
      <c r="O4328" s="52" t="str">
        <f t="shared" si="686"/>
        <v/>
      </c>
      <c r="P4328" s="88">
        <f t="shared" si="687"/>
        <v>0</v>
      </c>
      <c r="Q4328" s="88">
        <f t="shared" si="688"/>
        <v>0</v>
      </c>
      <c r="R4328" s="88" t="e">
        <f>-IF(Tabla14[[#This Row],[DIAS HABILES O MORA]]&lt;0,(Tabla14[[#This Row],[VALOR PRESTAMO]]*Tabla14[[#This Row],[% INTERES ]]/30*U4328))+Tabla14[[#This Row],[VALOR CUOTAS]]</f>
        <v>#VALUE!</v>
      </c>
      <c r="S4328" s="88">
        <f>-IF(Tabla14[[#This Row],[DIAS HABILES O MORA]]&lt;0,(Tabla14[[#This Row],[VALOR PRESTAMO]]*Tabla14[[#This Row],[% INTERES ]]/30*U4328))</f>
        <v>0</v>
      </c>
      <c r="T4328" s="53" t="e">
        <f>Tabla14[[#This Row],[DEUDA CAPITAL]]+Tabla14[[#This Row],[INTERES  CUOTA]]</f>
        <v>#NUM!</v>
      </c>
      <c r="U4328" s="61" t="str">
        <f t="shared" si="689"/>
        <v/>
      </c>
    </row>
    <row r="4329" spans="9:21" ht="24.75" customHeight="1" x14ac:dyDescent="0.35">
      <c r="I4329" s="42">
        <f t="shared" si="680"/>
        <v>0</v>
      </c>
      <c r="J4329" s="65" t="e">
        <f t="shared" si="681"/>
        <v>#NUM!</v>
      </c>
      <c r="K4329" s="83" t="e">
        <f t="shared" si="682"/>
        <v>#NUM!</v>
      </c>
      <c r="L4329" s="83">
        <f t="shared" si="683"/>
        <v>0</v>
      </c>
      <c r="M4329" s="110" t="str">
        <f t="shared" si="684"/>
        <v/>
      </c>
      <c r="N4329" s="51" t="str">
        <f t="shared" si="685"/>
        <v/>
      </c>
      <c r="O4329" s="52" t="str">
        <f t="shared" si="686"/>
        <v/>
      </c>
      <c r="P4329" s="88">
        <f t="shared" si="687"/>
        <v>0</v>
      </c>
      <c r="Q4329" s="88">
        <f t="shared" si="688"/>
        <v>0</v>
      </c>
      <c r="R4329" s="88" t="e">
        <f>-IF(Tabla14[[#This Row],[DIAS HABILES O MORA]]&lt;0,(Tabla14[[#This Row],[VALOR PRESTAMO]]*Tabla14[[#This Row],[% INTERES ]]/30*U4329))+Tabla14[[#This Row],[VALOR CUOTAS]]</f>
        <v>#VALUE!</v>
      </c>
      <c r="S4329" s="88">
        <f>-IF(Tabla14[[#This Row],[DIAS HABILES O MORA]]&lt;0,(Tabla14[[#This Row],[VALOR PRESTAMO]]*Tabla14[[#This Row],[% INTERES ]]/30*U4329))</f>
        <v>0</v>
      </c>
      <c r="T4329" s="53" t="e">
        <f>Tabla14[[#This Row],[DEUDA CAPITAL]]+Tabla14[[#This Row],[INTERES  CUOTA]]</f>
        <v>#NUM!</v>
      </c>
      <c r="U4329" s="61" t="str">
        <f t="shared" si="689"/>
        <v/>
      </c>
    </row>
    <row r="4330" spans="9:21" ht="24.75" customHeight="1" x14ac:dyDescent="0.35">
      <c r="I4330" s="42">
        <f t="shared" si="680"/>
        <v>0</v>
      </c>
      <c r="J4330" s="65" t="e">
        <f t="shared" si="681"/>
        <v>#NUM!</v>
      </c>
      <c r="K4330" s="83" t="e">
        <f t="shared" si="682"/>
        <v>#NUM!</v>
      </c>
      <c r="L4330" s="83">
        <f t="shared" si="683"/>
        <v>0</v>
      </c>
      <c r="M4330" s="110" t="str">
        <f t="shared" si="684"/>
        <v/>
      </c>
      <c r="N4330" s="51" t="str">
        <f t="shared" si="685"/>
        <v/>
      </c>
      <c r="O4330" s="52" t="str">
        <f t="shared" si="686"/>
        <v/>
      </c>
      <c r="P4330" s="88">
        <f t="shared" si="687"/>
        <v>0</v>
      </c>
      <c r="Q4330" s="88">
        <f t="shared" si="688"/>
        <v>0</v>
      </c>
      <c r="R4330" s="88" t="e">
        <f>-IF(Tabla14[[#This Row],[DIAS HABILES O MORA]]&lt;0,(Tabla14[[#This Row],[VALOR PRESTAMO]]*Tabla14[[#This Row],[% INTERES ]]/30*U4330))+Tabla14[[#This Row],[VALOR CUOTAS]]</f>
        <v>#VALUE!</v>
      </c>
      <c r="S4330" s="88">
        <f>-IF(Tabla14[[#This Row],[DIAS HABILES O MORA]]&lt;0,(Tabla14[[#This Row],[VALOR PRESTAMO]]*Tabla14[[#This Row],[% INTERES ]]/30*U4330))</f>
        <v>0</v>
      </c>
      <c r="T4330" s="53" t="e">
        <f>Tabla14[[#This Row],[DEUDA CAPITAL]]+Tabla14[[#This Row],[INTERES  CUOTA]]</f>
        <v>#NUM!</v>
      </c>
      <c r="U4330" s="61" t="str">
        <f t="shared" si="689"/>
        <v/>
      </c>
    </row>
    <row r="4331" spans="9:21" ht="24.75" customHeight="1" x14ac:dyDescent="0.35">
      <c r="I4331" s="42">
        <f t="shared" si="680"/>
        <v>0</v>
      </c>
      <c r="J4331" s="65" t="e">
        <f t="shared" si="681"/>
        <v>#NUM!</v>
      </c>
      <c r="K4331" s="83" t="e">
        <f t="shared" si="682"/>
        <v>#NUM!</v>
      </c>
      <c r="L4331" s="83">
        <f t="shared" si="683"/>
        <v>0</v>
      </c>
      <c r="M4331" s="110" t="str">
        <f t="shared" si="684"/>
        <v/>
      </c>
      <c r="N4331" s="51" t="str">
        <f t="shared" si="685"/>
        <v/>
      </c>
      <c r="O4331" s="52" t="str">
        <f t="shared" si="686"/>
        <v/>
      </c>
      <c r="P4331" s="88">
        <f t="shared" si="687"/>
        <v>0</v>
      </c>
      <c r="Q4331" s="88">
        <f t="shared" si="688"/>
        <v>0</v>
      </c>
      <c r="R4331" s="88" t="e">
        <f>-IF(Tabla14[[#This Row],[DIAS HABILES O MORA]]&lt;0,(Tabla14[[#This Row],[VALOR PRESTAMO]]*Tabla14[[#This Row],[% INTERES ]]/30*U4331))+Tabla14[[#This Row],[VALOR CUOTAS]]</f>
        <v>#VALUE!</v>
      </c>
      <c r="S4331" s="88">
        <f>-IF(Tabla14[[#This Row],[DIAS HABILES O MORA]]&lt;0,(Tabla14[[#This Row],[VALOR PRESTAMO]]*Tabla14[[#This Row],[% INTERES ]]/30*U4331))</f>
        <v>0</v>
      </c>
      <c r="T4331" s="53" t="e">
        <f>Tabla14[[#This Row],[DEUDA CAPITAL]]+Tabla14[[#This Row],[INTERES  CUOTA]]</f>
        <v>#NUM!</v>
      </c>
      <c r="U4331" s="61" t="str">
        <f t="shared" si="689"/>
        <v/>
      </c>
    </row>
    <row r="4332" spans="9:21" ht="24.75" customHeight="1" x14ac:dyDescent="0.35">
      <c r="I4332" s="42">
        <f t="shared" si="680"/>
        <v>0</v>
      </c>
      <c r="J4332" s="65" t="e">
        <f t="shared" si="681"/>
        <v>#NUM!</v>
      </c>
      <c r="K4332" s="83" t="e">
        <f t="shared" si="682"/>
        <v>#NUM!</v>
      </c>
      <c r="L4332" s="83">
        <f t="shared" si="683"/>
        <v>0</v>
      </c>
      <c r="M4332" s="110" t="str">
        <f t="shared" si="684"/>
        <v/>
      </c>
      <c r="N4332" s="51" t="str">
        <f t="shared" si="685"/>
        <v/>
      </c>
      <c r="O4332" s="52" t="str">
        <f t="shared" si="686"/>
        <v/>
      </c>
      <c r="P4332" s="88">
        <f t="shared" si="687"/>
        <v>0</v>
      </c>
      <c r="Q4332" s="88">
        <f t="shared" si="688"/>
        <v>0</v>
      </c>
      <c r="R4332" s="88" t="e">
        <f>-IF(Tabla14[[#This Row],[DIAS HABILES O MORA]]&lt;0,(Tabla14[[#This Row],[VALOR PRESTAMO]]*Tabla14[[#This Row],[% INTERES ]]/30*U4332))+Tabla14[[#This Row],[VALOR CUOTAS]]</f>
        <v>#VALUE!</v>
      </c>
      <c r="S4332" s="88">
        <f>-IF(Tabla14[[#This Row],[DIAS HABILES O MORA]]&lt;0,(Tabla14[[#This Row],[VALOR PRESTAMO]]*Tabla14[[#This Row],[% INTERES ]]/30*U4332))</f>
        <v>0</v>
      </c>
      <c r="T4332" s="53" t="e">
        <f>Tabla14[[#This Row],[DEUDA CAPITAL]]+Tabla14[[#This Row],[INTERES  CUOTA]]</f>
        <v>#NUM!</v>
      </c>
      <c r="U4332" s="61" t="str">
        <f t="shared" si="689"/>
        <v/>
      </c>
    </row>
    <row r="4333" spans="9:21" ht="24.75" customHeight="1" x14ac:dyDescent="0.35">
      <c r="I4333" s="42">
        <f t="shared" si="680"/>
        <v>0</v>
      </c>
      <c r="J4333" s="65" t="e">
        <f t="shared" si="681"/>
        <v>#NUM!</v>
      </c>
      <c r="K4333" s="83" t="e">
        <f t="shared" si="682"/>
        <v>#NUM!</v>
      </c>
      <c r="L4333" s="83">
        <f t="shared" si="683"/>
        <v>0</v>
      </c>
      <c r="M4333" s="110" t="str">
        <f t="shared" si="684"/>
        <v/>
      </c>
      <c r="N4333" s="51" t="str">
        <f t="shared" si="685"/>
        <v/>
      </c>
      <c r="O4333" s="52" t="str">
        <f t="shared" si="686"/>
        <v/>
      </c>
      <c r="P4333" s="88">
        <f t="shared" si="687"/>
        <v>0</v>
      </c>
      <c r="Q4333" s="88">
        <f t="shared" si="688"/>
        <v>0</v>
      </c>
      <c r="R4333" s="88" t="e">
        <f>-IF(Tabla14[[#This Row],[DIAS HABILES O MORA]]&lt;0,(Tabla14[[#This Row],[VALOR PRESTAMO]]*Tabla14[[#This Row],[% INTERES ]]/30*U4333))+Tabla14[[#This Row],[VALOR CUOTAS]]</f>
        <v>#VALUE!</v>
      </c>
      <c r="S4333" s="88">
        <f>-IF(Tabla14[[#This Row],[DIAS HABILES O MORA]]&lt;0,(Tabla14[[#This Row],[VALOR PRESTAMO]]*Tabla14[[#This Row],[% INTERES ]]/30*U4333))</f>
        <v>0</v>
      </c>
      <c r="T4333" s="53" t="e">
        <f>Tabla14[[#This Row],[DEUDA CAPITAL]]+Tabla14[[#This Row],[INTERES  CUOTA]]</f>
        <v>#NUM!</v>
      </c>
      <c r="U4333" s="61" t="str">
        <f t="shared" si="689"/>
        <v/>
      </c>
    </row>
    <row r="4334" spans="9:21" ht="24.75" customHeight="1" x14ac:dyDescent="0.35">
      <c r="I4334" s="42">
        <f t="shared" si="680"/>
        <v>0</v>
      </c>
      <c r="J4334" s="65" t="e">
        <f t="shared" si="681"/>
        <v>#NUM!</v>
      </c>
      <c r="K4334" s="83" t="e">
        <f t="shared" si="682"/>
        <v>#NUM!</v>
      </c>
      <c r="L4334" s="83">
        <f t="shared" si="683"/>
        <v>0</v>
      </c>
      <c r="M4334" s="110" t="str">
        <f t="shared" si="684"/>
        <v/>
      </c>
      <c r="N4334" s="51" t="str">
        <f t="shared" si="685"/>
        <v/>
      </c>
      <c r="O4334" s="52" t="str">
        <f t="shared" si="686"/>
        <v/>
      </c>
      <c r="P4334" s="88">
        <f t="shared" si="687"/>
        <v>0</v>
      </c>
      <c r="Q4334" s="88">
        <f t="shared" si="688"/>
        <v>0</v>
      </c>
      <c r="R4334" s="88" t="e">
        <f>-IF(Tabla14[[#This Row],[DIAS HABILES O MORA]]&lt;0,(Tabla14[[#This Row],[VALOR PRESTAMO]]*Tabla14[[#This Row],[% INTERES ]]/30*U4334))+Tabla14[[#This Row],[VALOR CUOTAS]]</f>
        <v>#VALUE!</v>
      </c>
      <c r="S4334" s="88">
        <f>-IF(Tabla14[[#This Row],[DIAS HABILES O MORA]]&lt;0,(Tabla14[[#This Row],[VALOR PRESTAMO]]*Tabla14[[#This Row],[% INTERES ]]/30*U4334))</f>
        <v>0</v>
      </c>
      <c r="T4334" s="53" t="e">
        <f>Tabla14[[#This Row],[DEUDA CAPITAL]]+Tabla14[[#This Row],[INTERES  CUOTA]]</f>
        <v>#NUM!</v>
      </c>
      <c r="U4334" s="61" t="str">
        <f t="shared" si="689"/>
        <v/>
      </c>
    </row>
    <row r="4335" spans="9:21" ht="24.75" customHeight="1" x14ac:dyDescent="0.35">
      <c r="I4335" s="42">
        <f t="shared" si="680"/>
        <v>0</v>
      </c>
      <c r="J4335" s="65" t="e">
        <f t="shared" si="681"/>
        <v>#NUM!</v>
      </c>
      <c r="K4335" s="83" t="e">
        <f t="shared" si="682"/>
        <v>#NUM!</v>
      </c>
      <c r="L4335" s="83">
        <f t="shared" si="683"/>
        <v>0</v>
      </c>
      <c r="M4335" s="110" t="str">
        <f t="shared" si="684"/>
        <v/>
      </c>
      <c r="N4335" s="51" t="str">
        <f t="shared" si="685"/>
        <v/>
      </c>
      <c r="O4335" s="52" t="str">
        <f t="shared" si="686"/>
        <v/>
      </c>
      <c r="P4335" s="88">
        <f t="shared" si="687"/>
        <v>0</v>
      </c>
      <c r="Q4335" s="88">
        <f t="shared" si="688"/>
        <v>0</v>
      </c>
      <c r="R4335" s="88" t="e">
        <f>-IF(Tabla14[[#This Row],[DIAS HABILES O MORA]]&lt;0,(Tabla14[[#This Row],[VALOR PRESTAMO]]*Tabla14[[#This Row],[% INTERES ]]/30*U4335))+Tabla14[[#This Row],[VALOR CUOTAS]]</f>
        <v>#VALUE!</v>
      </c>
      <c r="S4335" s="88">
        <f>-IF(Tabla14[[#This Row],[DIAS HABILES O MORA]]&lt;0,(Tabla14[[#This Row],[VALOR PRESTAMO]]*Tabla14[[#This Row],[% INTERES ]]/30*U4335))</f>
        <v>0</v>
      </c>
      <c r="T4335" s="53" t="e">
        <f>Tabla14[[#This Row],[DEUDA CAPITAL]]+Tabla14[[#This Row],[INTERES  CUOTA]]</f>
        <v>#NUM!</v>
      </c>
      <c r="U4335" s="61" t="str">
        <f t="shared" si="689"/>
        <v/>
      </c>
    </row>
    <row r="4336" spans="9:21" ht="24.75" customHeight="1" x14ac:dyDescent="0.35">
      <c r="I4336" s="42">
        <f t="shared" si="680"/>
        <v>0</v>
      </c>
      <c r="J4336" s="65" t="e">
        <f t="shared" si="681"/>
        <v>#NUM!</v>
      </c>
      <c r="K4336" s="83" t="e">
        <f t="shared" si="682"/>
        <v>#NUM!</v>
      </c>
      <c r="L4336" s="83">
        <f t="shared" si="683"/>
        <v>0</v>
      </c>
      <c r="M4336" s="110" t="str">
        <f t="shared" si="684"/>
        <v/>
      </c>
      <c r="N4336" s="51" t="str">
        <f t="shared" si="685"/>
        <v/>
      </c>
      <c r="O4336" s="52" t="str">
        <f t="shared" si="686"/>
        <v/>
      </c>
      <c r="P4336" s="88">
        <f t="shared" si="687"/>
        <v>0</v>
      </c>
      <c r="Q4336" s="88">
        <f t="shared" si="688"/>
        <v>0</v>
      </c>
      <c r="R4336" s="88" t="e">
        <f>-IF(Tabla14[[#This Row],[DIAS HABILES O MORA]]&lt;0,(Tabla14[[#This Row],[VALOR PRESTAMO]]*Tabla14[[#This Row],[% INTERES ]]/30*U4336))+Tabla14[[#This Row],[VALOR CUOTAS]]</f>
        <v>#VALUE!</v>
      </c>
      <c r="S4336" s="88">
        <f>-IF(Tabla14[[#This Row],[DIAS HABILES O MORA]]&lt;0,(Tabla14[[#This Row],[VALOR PRESTAMO]]*Tabla14[[#This Row],[% INTERES ]]/30*U4336))</f>
        <v>0</v>
      </c>
      <c r="T4336" s="53" t="e">
        <f>Tabla14[[#This Row],[DEUDA CAPITAL]]+Tabla14[[#This Row],[INTERES  CUOTA]]</f>
        <v>#NUM!</v>
      </c>
      <c r="U4336" s="61" t="str">
        <f t="shared" si="689"/>
        <v/>
      </c>
    </row>
    <row r="4337" spans="9:21" ht="24.75" customHeight="1" x14ac:dyDescent="0.35">
      <c r="I4337" s="42">
        <f t="shared" si="680"/>
        <v>0</v>
      </c>
      <c r="J4337" s="65" t="e">
        <f t="shared" si="681"/>
        <v>#NUM!</v>
      </c>
      <c r="K4337" s="83" t="e">
        <f t="shared" si="682"/>
        <v>#NUM!</v>
      </c>
      <c r="L4337" s="83">
        <f t="shared" si="683"/>
        <v>0</v>
      </c>
      <c r="M4337" s="110" t="str">
        <f t="shared" si="684"/>
        <v/>
      </c>
      <c r="N4337" s="51" t="str">
        <f t="shared" si="685"/>
        <v/>
      </c>
      <c r="O4337" s="52" t="str">
        <f t="shared" si="686"/>
        <v/>
      </c>
      <c r="P4337" s="88">
        <f t="shared" si="687"/>
        <v>0</v>
      </c>
      <c r="Q4337" s="88">
        <f t="shared" si="688"/>
        <v>0</v>
      </c>
      <c r="R4337" s="88" t="e">
        <f>-IF(Tabla14[[#This Row],[DIAS HABILES O MORA]]&lt;0,(Tabla14[[#This Row],[VALOR PRESTAMO]]*Tabla14[[#This Row],[% INTERES ]]/30*U4337))+Tabla14[[#This Row],[VALOR CUOTAS]]</f>
        <v>#VALUE!</v>
      </c>
      <c r="S4337" s="88">
        <f>-IF(Tabla14[[#This Row],[DIAS HABILES O MORA]]&lt;0,(Tabla14[[#This Row],[VALOR PRESTAMO]]*Tabla14[[#This Row],[% INTERES ]]/30*U4337))</f>
        <v>0</v>
      </c>
      <c r="T4337" s="53" t="e">
        <f>Tabla14[[#This Row],[DEUDA CAPITAL]]+Tabla14[[#This Row],[INTERES  CUOTA]]</f>
        <v>#NUM!</v>
      </c>
      <c r="U4337" s="61" t="str">
        <f t="shared" si="689"/>
        <v/>
      </c>
    </row>
    <row r="4338" spans="9:21" ht="24.75" customHeight="1" x14ac:dyDescent="0.35">
      <c r="I4338" s="42">
        <f t="shared" si="680"/>
        <v>0</v>
      </c>
      <c r="J4338" s="65" t="e">
        <f t="shared" si="681"/>
        <v>#NUM!</v>
      </c>
      <c r="K4338" s="83" t="e">
        <f t="shared" si="682"/>
        <v>#NUM!</v>
      </c>
      <c r="L4338" s="83">
        <f t="shared" si="683"/>
        <v>0</v>
      </c>
      <c r="M4338" s="110" t="str">
        <f t="shared" si="684"/>
        <v/>
      </c>
      <c r="N4338" s="51" t="str">
        <f t="shared" si="685"/>
        <v/>
      </c>
      <c r="O4338" s="52" t="str">
        <f t="shared" si="686"/>
        <v/>
      </c>
      <c r="P4338" s="88">
        <f t="shared" si="687"/>
        <v>0</v>
      </c>
      <c r="Q4338" s="88">
        <f t="shared" si="688"/>
        <v>0</v>
      </c>
      <c r="R4338" s="88" t="e">
        <f>-IF(Tabla14[[#This Row],[DIAS HABILES O MORA]]&lt;0,(Tabla14[[#This Row],[VALOR PRESTAMO]]*Tabla14[[#This Row],[% INTERES ]]/30*U4338))+Tabla14[[#This Row],[VALOR CUOTAS]]</f>
        <v>#VALUE!</v>
      </c>
      <c r="S4338" s="88">
        <f>-IF(Tabla14[[#This Row],[DIAS HABILES O MORA]]&lt;0,(Tabla14[[#This Row],[VALOR PRESTAMO]]*Tabla14[[#This Row],[% INTERES ]]/30*U4338))</f>
        <v>0</v>
      </c>
      <c r="T4338" s="53" t="e">
        <f>Tabla14[[#This Row],[DEUDA CAPITAL]]+Tabla14[[#This Row],[INTERES  CUOTA]]</f>
        <v>#NUM!</v>
      </c>
      <c r="U4338" s="61" t="str">
        <f t="shared" si="689"/>
        <v/>
      </c>
    </row>
    <row r="4339" spans="9:21" ht="24.75" customHeight="1" x14ac:dyDescent="0.35">
      <c r="I4339" s="42">
        <f t="shared" si="680"/>
        <v>0</v>
      </c>
      <c r="J4339" s="65" t="e">
        <f t="shared" si="681"/>
        <v>#NUM!</v>
      </c>
      <c r="K4339" s="83" t="e">
        <f t="shared" si="682"/>
        <v>#NUM!</v>
      </c>
      <c r="L4339" s="83">
        <f t="shared" si="683"/>
        <v>0</v>
      </c>
      <c r="M4339" s="110" t="str">
        <f t="shared" si="684"/>
        <v/>
      </c>
      <c r="N4339" s="51" t="str">
        <f t="shared" si="685"/>
        <v/>
      </c>
      <c r="O4339" s="52" t="str">
        <f t="shared" si="686"/>
        <v/>
      </c>
      <c r="P4339" s="88">
        <f t="shared" si="687"/>
        <v>0</v>
      </c>
      <c r="Q4339" s="88">
        <f t="shared" si="688"/>
        <v>0</v>
      </c>
      <c r="R4339" s="88" t="e">
        <f>-IF(Tabla14[[#This Row],[DIAS HABILES O MORA]]&lt;0,(Tabla14[[#This Row],[VALOR PRESTAMO]]*Tabla14[[#This Row],[% INTERES ]]/30*U4339))+Tabla14[[#This Row],[VALOR CUOTAS]]</f>
        <v>#VALUE!</v>
      </c>
      <c r="S4339" s="88">
        <f>-IF(Tabla14[[#This Row],[DIAS HABILES O MORA]]&lt;0,(Tabla14[[#This Row],[VALOR PRESTAMO]]*Tabla14[[#This Row],[% INTERES ]]/30*U4339))</f>
        <v>0</v>
      </c>
      <c r="T4339" s="53" t="e">
        <f>Tabla14[[#This Row],[DEUDA CAPITAL]]+Tabla14[[#This Row],[INTERES  CUOTA]]</f>
        <v>#NUM!</v>
      </c>
      <c r="U4339" s="61" t="str">
        <f t="shared" si="689"/>
        <v/>
      </c>
    </row>
    <row r="4340" spans="9:21" ht="24.75" customHeight="1" x14ac:dyDescent="0.35">
      <c r="I4340" s="42">
        <f t="shared" si="680"/>
        <v>0</v>
      </c>
      <c r="J4340" s="65" t="e">
        <f t="shared" si="681"/>
        <v>#NUM!</v>
      </c>
      <c r="K4340" s="83" t="e">
        <f t="shared" si="682"/>
        <v>#NUM!</v>
      </c>
      <c r="L4340" s="83">
        <f t="shared" si="683"/>
        <v>0</v>
      </c>
      <c r="M4340" s="110" t="str">
        <f t="shared" si="684"/>
        <v/>
      </c>
      <c r="N4340" s="51" t="str">
        <f t="shared" si="685"/>
        <v/>
      </c>
      <c r="O4340" s="52" t="str">
        <f t="shared" si="686"/>
        <v/>
      </c>
      <c r="P4340" s="88">
        <f t="shared" si="687"/>
        <v>0</v>
      </c>
      <c r="Q4340" s="88">
        <f t="shared" si="688"/>
        <v>0</v>
      </c>
      <c r="R4340" s="88" t="e">
        <f>-IF(Tabla14[[#This Row],[DIAS HABILES O MORA]]&lt;0,(Tabla14[[#This Row],[VALOR PRESTAMO]]*Tabla14[[#This Row],[% INTERES ]]/30*U4340))+Tabla14[[#This Row],[VALOR CUOTAS]]</f>
        <v>#VALUE!</v>
      </c>
      <c r="S4340" s="88">
        <f>-IF(Tabla14[[#This Row],[DIAS HABILES O MORA]]&lt;0,(Tabla14[[#This Row],[VALOR PRESTAMO]]*Tabla14[[#This Row],[% INTERES ]]/30*U4340))</f>
        <v>0</v>
      </c>
      <c r="T4340" s="53" t="e">
        <f>Tabla14[[#This Row],[DEUDA CAPITAL]]+Tabla14[[#This Row],[INTERES  CUOTA]]</f>
        <v>#NUM!</v>
      </c>
      <c r="U4340" s="61" t="str">
        <f t="shared" si="689"/>
        <v/>
      </c>
    </row>
    <row r="4341" spans="9:21" ht="24.75" customHeight="1" x14ac:dyDescent="0.35">
      <c r="I4341" s="42">
        <f t="shared" si="680"/>
        <v>0</v>
      </c>
      <c r="J4341" s="65" t="e">
        <f t="shared" si="681"/>
        <v>#NUM!</v>
      </c>
      <c r="K4341" s="83" t="e">
        <f t="shared" si="682"/>
        <v>#NUM!</v>
      </c>
      <c r="L4341" s="83">
        <f t="shared" si="683"/>
        <v>0</v>
      </c>
      <c r="M4341" s="110" t="str">
        <f t="shared" si="684"/>
        <v/>
      </c>
      <c r="N4341" s="51" t="str">
        <f t="shared" si="685"/>
        <v/>
      </c>
      <c r="O4341" s="52" t="str">
        <f t="shared" si="686"/>
        <v/>
      </c>
      <c r="P4341" s="88">
        <f t="shared" si="687"/>
        <v>0</v>
      </c>
      <c r="Q4341" s="88">
        <f t="shared" si="688"/>
        <v>0</v>
      </c>
      <c r="R4341" s="88" t="e">
        <f>-IF(Tabla14[[#This Row],[DIAS HABILES O MORA]]&lt;0,(Tabla14[[#This Row],[VALOR PRESTAMO]]*Tabla14[[#This Row],[% INTERES ]]/30*U4341))+Tabla14[[#This Row],[VALOR CUOTAS]]</f>
        <v>#VALUE!</v>
      </c>
      <c r="S4341" s="88">
        <f>-IF(Tabla14[[#This Row],[DIAS HABILES O MORA]]&lt;0,(Tabla14[[#This Row],[VALOR PRESTAMO]]*Tabla14[[#This Row],[% INTERES ]]/30*U4341))</f>
        <v>0</v>
      </c>
      <c r="T4341" s="53" t="e">
        <f>Tabla14[[#This Row],[DEUDA CAPITAL]]+Tabla14[[#This Row],[INTERES  CUOTA]]</f>
        <v>#NUM!</v>
      </c>
      <c r="U4341" s="61" t="str">
        <f t="shared" si="689"/>
        <v/>
      </c>
    </row>
    <row r="4342" spans="9:21" ht="24.75" customHeight="1" x14ac:dyDescent="0.35">
      <c r="I4342" s="42">
        <f t="shared" si="680"/>
        <v>0</v>
      </c>
      <c r="J4342" s="65" t="e">
        <f t="shared" si="681"/>
        <v>#NUM!</v>
      </c>
      <c r="K4342" s="83" t="e">
        <f t="shared" si="682"/>
        <v>#NUM!</v>
      </c>
      <c r="L4342" s="83">
        <f t="shared" si="683"/>
        <v>0</v>
      </c>
      <c r="M4342" s="110" t="str">
        <f t="shared" si="684"/>
        <v/>
      </c>
      <c r="N4342" s="51" t="str">
        <f t="shared" si="685"/>
        <v/>
      </c>
      <c r="O4342" s="52" t="str">
        <f t="shared" si="686"/>
        <v/>
      </c>
      <c r="P4342" s="88">
        <f t="shared" si="687"/>
        <v>0</v>
      </c>
      <c r="Q4342" s="88">
        <f t="shared" si="688"/>
        <v>0</v>
      </c>
      <c r="R4342" s="88" t="e">
        <f>-IF(Tabla14[[#This Row],[DIAS HABILES O MORA]]&lt;0,(Tabla14[[#This Row],[VALOR PRESTAMO]]*Tabla14[[#This Row],[% INTERES ]]/30*U4342))+Tabla14[[#This Row],[VALOR CUOTAS]]</f>
        <v>#VALUE!</v>
      </c>
      <c r="S4342" s="88">
        <f>-IF(Tabla14[[#This Row],[DIAS HABILES O MORA]]&lt;0,(Tabla14[[#This Row],[VALOR PRESTAMO]]*Tabla14[[#This Row],[% INTERES ]]/30*U4342))</f>
        <v>0</v>
      </c>
      <c r="T4342" s="53" t="e">
        <f>Tabla14[[#This Row],[DEUDA CAPITAL]]+Tabla14[[#This Row],[INTERES  CUOTA]]</f>
        <v>#NUM!</v>
      </c>
      <c r="U4342" s="61" t="str">
        <f t="shared" si="689"/>
        <v/>
      </c>
    </row>
    <row r="4343" spans="9:21" ht="24.75" customHeight="1" x14ac:dyDescent="0.35">
      <c r="I4343" s="42">
        <f t="shared" si="680"/>
        <v>0</v>
      </c>
      <c r="J4343" s="65" t="e">
        <f t="shared" si="681"/>
        <v>#NUM!</v>
      </c>
      <c r="K4343" s="83" t="e">
        <f t="shared" si="682"/>
        <v>#NUM!</v>
      </c>
      <c r="L4343" s="83">
        <f t="shared" si="683"/>
        <v>0</v>
      </c>
      <c r="M4343" s="110" t="str">
        <f t="shared" si="684"/>
        <v/>
      </c>
      <c r="N4343" s="51" t="str">
        <f t="shared" si="685"/>
        <v/>
      </c>
      <c r="O4343" s="52" t="str">
        <f t="shared" si="686"/>
        <v/>
      </c>
      <c r="P4343" s="88">
        <f t="shared" si="687"/>
        <v>0</v>
      </c>
      <c r="Q4343" s="88">
        <f t="shared" si="688"/>
        <v>0</v>
      </c>
      <c r="R4343" s="88" t="e">
        <f>-IF(Tabla14[[#This Row],[DIAS HABILES O MORA]]&lt;0,(Tabla14[[#This Row],[VALOR PRESTAMO]]*Tabla14[[#This Row],[% INTERES ]]/30*U4343))+Tabla14[[#This Row],[VALOR CUOTAS]]</f>
        <v>#VALUE!</v>
      </c>
      <c r="S4343" s="88">
        <f>-IF(Tabla14[[#This Row],[DIAS HABILES O MORA]]&lt;0,(Tabla14[[#This Row],[VALOR PRESTAMO]]*Tabla14[[#This Row],[% INTERES ]]/30*U4343))</f>
        <v>0</v>
      </c>
      <c r="T4343" s="53" t="e">
        <f>Tabla14[[#This Row],[DEUDA CAPITAL]]+Tabla14[[#This Row],[INTERES  CUOTA]]</f>
        <v>#NUM!</v>
      </c>
      <c r="U4343" s="61" t="str">
        <f t="shared" si="689"/>
        <v/>
      </c>
    </row>
    <row r="4344" spans="9:21" ht="24.75" customHeight="1" x14ac:dyDescent="0.35">
      <c r="I4344" s="42">
        <f t="shared" si="680"/>
        <v>0</v>
      </c>
      <c r="J4344" s="65" t="e">
        <f t="shared" si="681"/>
        <v>#NUM!</v>
      </c>
      <c r="K4344" s="83" t="e">
        <f t="shared" si="682"/>
        <v>#NUM!</v>
      </c>
      <c r="L4344" s="83">
        <f t="shared" si="683"/>
        <v>0</v>
      </c>
      <c r="M4344" s="110" t="str">
        <f t="shared" si="684"/>
        <v/>
      </c>
      <c r="N4344" s="51" t="str">
        <f t="shared" si="685"/>
        <v/>
      </c>
      <c r="O4344" s="52" t="str">
        <f t="shared" si="686"/>
        <v/>
      </c>
      <c r="P4344" s="88">
        <f t="shared" si="687"/>
        <v>0</v>
      </c>
      <c r="Q4344" s="88">
        <f t="shared" si="688"/>
        <v>0</v>
      </c>
      <c r="R4344" s="88" t="e">
        <f>-IF(Tabla14[[#This Row],[DIAS HABILES O MORA]]&lt;0,(Tabla14[[#This Row],[VALOR PRESTAMO]]*Tabla14[[#This Row],[% INTERES ]]/30*U4344))+Tabla14[[#This Row],[VALOR CUOTAS]]</f>
        <v>#VALUE!</v>
      </c>
      <c r="S4344" s="88">
        <f>-IF(Tabla14[[#This Row],[DIAS HABILES O MORA]]&lt;0,(Tabla14[[#This Row],[VALOR PRESTAMO]]*Tabla14[[#This Row],[% INTERES ]]/30*U4344))</f>
        <v>0</v>
      </c>
      <c r="T4344" s="53" t="e">
        <f>Tabla14[[#This Row],[DEUDA CAPITAL]]+Tabla14[[#This Row],[INTERES  CUOTA]]</f>
        <v>#NUM!</v>
      </c>
      <c r="U4344" s="61" t="str">
        <f t="shared" si="689"/>
        <v/>
      </c>
    </row>
    <row r="4345" spans="9:21" ht="24.75" customHeight="1" x14ac:dyDescent="0.35">
      <c r="I4345" s="42">
        <f t="shared" si="680"/>
        <v>0</v>
      </c>
      <c r="J4345" s="65" t="e">
        <f t="shared" si="681"/>
        <v>#NUM!</v>
      </c>
      <c r="K4345" s="83" t="e">
        <f t="shared" si="682"/>
        <v>#NUM!</v>
      </c>
      <c r="L4345" s="83">
        <f t="shared" si="683"/>
        <v>0</v>
      </c>
      <c r="M4345" s="110" t="str">
        <f t="shared" si="684"/>
        <v/>
      </c>
      <c r="N4345" s="51" t="str">
        <f t="shared" si="685"/>
        <v/>
      </c>
      <c r="O4345" s="52" t="str">
        <f t="shared" si="686"/>
        <v/>
      </c>
      <c r="P4345" s="88">
        <f t="shared" si="687"/>
        <v>0</v>
      </c>
      <c r="Q4345" s="88">
        <f t="shared" si="688"/>
        <v>0</v>
      </c>
      <c r="R4345" s="88" t="e">
        <f>-IF(Tabla14[[#This Row],[DIAS HABILES O MORA]]&lt;0,(Tabla14[[#This Row],[VALOR PRESTAMO]]*Tabla14[[#This Row],[% INTERES ]]/30*U4345))+Tabla14[[#This Row],[VALOR CUOTAS]]</f>
        <v>#VALUE!</v>
      </c>
      <c r="S4345" s="88">
        <f>-IF(Tabla14[[#This Row],[DIAS HABILES O MORA]]&lt;0,(Tabla14[[#This Row],[VALOR PRESTAMO]]*Tabla14[[#This Row],[% INTERES ]]/30*U4345))</f>
        <v>0</v>
      </c>
      <c r="T4345" s="53" t="e">
        <f>Tabla14[[#This Row],[DEUDA CAPITAL]]+Tabla14[[#This Row],[INTERES  CUOTA]]</f>
        <v>#NUM!</v>
      </c>
      <c r="U4345" s="61" t="str">
        <f t="shared" si="689"/>
        <v/>
      </c>
    </row>
    <row r="4346" spans="9:21" ht="24.75" customHeight="1" x14ac:dyDescent="0.35">
      <c r="I4346" s="42">
        <f t="shared" si="680"/>
        <v>0</v>
      </c>
      <c r="J4346" s="65" t="e">
        <f t="shared" si="681"/>
        <v>#NUM!</v>
      </c>
      <c r="K4346" s="83" t="e">
        <f t="shared" si="682"/>
        <v>#NUM!</v>
      </c>
      <c r="L4346" s="83">
        <f t="shared" si="683"/>
        <v>0</v>
      </c>
      <c r="M4346" s="110" t="str">
        <f t="shared" si="684"/>
        <v/>
      </c>
      <c r="N4346" s="51" t="str">
        <f t="shared" si="685"/>
        <v/>
      </c>
      <c r="O4346" s="52" t="str">
        <f t="shared" si="686"/>
        <v/>
      </c>
      <c r="P4346" s="88">
        <f t="shared" si="687"/>
        <v>0</v>
      </c>
      <c r="Q4346" s="88">
        <f t="shared" si="688"/>
        <v>0</v>
      </c>
      <c r="R4346" s="88" t="e">
        <f>-IF(Tabla14[[#This Row],[DIAS HABILES O MORA]]&lt;0,(Tabla14[[#This Row],[VALOR PRESTAMO]]*Tabla14[[#This Row],[% INTERES ]]/30*U4346))+Tabla14[[#This Row],[VALOR CUOTAS]]</f>
        <v>#VALUE!</v>
      </c>
      <c r="S4346" s="88">
        <f>-IF(Tabla14[[#This Row],[DIAS HABILES O MORA]]&lt;0,(Tabla14[[#This Row],[VALOR PRESTAMO]]*Tabla14[[#This Row],[% INTERES ]]/30*U4346))</f>
        <v>0</v>
      </c>
      <c r="T4346" s="53" t="e">
        <f>Tabla14[[#This Row],[DEUDA CAPITAL]]+Tabla14[[#This Row],[INTERES  CUOTA]]</f>
        <v>#NUM!</v>
      </c>
      <c r="U4346" s="61" t="str">
        <f t="shared" si="689"/>
        <v/>
      </c>
    </row>
    <row r="4347" spans="9:21" ht="24.75" customHeight="1" x14ac:dyDescent="0.35">
      <c r="I4347" s="42">
        <f t="shared" si="680"/>
        <v>0</v>
      </c>
      <c r="J4347" s="65" t="e">
        <f t="shared" si="681"/>
        <v>#NUM!</v>
      </c>
      <c r="K4347" s="83" t="e">
        <f t="shared" si="682"/>
        <v>#NUM!</v>
      </c>
      <c r="L4347" s="83">
        <f t="shared" si="683"/>
        <v>0</v>
      </c>
      <c r="M4347" s="110" t="str">
        <f t="shared" si="684"/>
        <v/>
      </c>
      <c r="N4347" s="51" t="str">
        <f t="shared" si="685"/>
        <v/>
      </c>
      <c r="O4347" s="52" t="str">
        <f t="shared" si="686"/>
        <v/>
      </c>
      <c r="P4347" s="88">
        <f t="shared" si="687"/>
        <v>0</v>
      </c>
      <c r="Q4347" s="88">
        <f t="shared" si="688"/>
        <v>0</v>
      </c>
      <c r="R4347" s="88" t="e">
        <f>-IF(Tabla14[[#This Row],[DIAS HABILES O MORA]]&lt;0,(Tabla14[[#This Row],[VALOR PRESTAMO]]*Tabla14[[#This Row],[% INTERES ]]/30*U4347))+Tabla14[[#This Row],[VALOR CUOTAS]]</f>
        <v>#VALUE!</v>
      </c>
      <c r="S4347" s="88">
        <f>-IF(Tabla14[[#This Row],[DIAS HABILES O MORA]]&lt;0,(Tabla14[[#This Row],[VALOR PRESTAMO]]*Tabla14[[#This Row],[% INTERES ]]/30*U4347))</f>
        <v>0</v>
      </c>
      <c r="T4347" s="53" t="e">
        <f>Tabla14[[#This Row],[DEUDA CAPITAL]]+Tabla14[[#This Row],[INTERES  CUOTA]]</f>
        <v>#NUM!</v>
      </c>
      <c r="U4347" s="61" t="str">
        <f t="shared" si="689"/>
        <v/>
      </c>
    </row>
    <row r="4348" spans="9:21" ht="24.75" customHeight="1" x14ac:dyDescent="0.35">
      <c r="I4348" s="42">
        <f t="shared" si="680"/>
        <v>0</v>
      </c>
      <c r="J4348" s="65" t="e">
        <f t="shared" si="681"/>
        <v>#NUM!</v>
      </c>
      <c r="K4348" s="83" t="e">
        <f t="shared" si="682"/>
        <v>#NUM!</v>
      </c>
      <c r="L4348" s="83">
        <f t="shared" si="683"/>
        <v>0</v>
      </c>
      <c r="M4348" s="110" t="str">
        <f t="shared" si="684"/>
        <v/>
      </c>
      <c r="N4348" s="51" t="str">
        <f t="shared" si="685"/>
        <v/>
      </c>
      <c r="O4348" s="52" t="str">
        <f t="shared" si="686"/>
        <v/>
      </c>
      <c r="P4348" s="88">
        <f t="shared" si="687"/>
        <v>0</v>
      </c>
      <c r="Q4348" s="88">
        <f t="shared" si="688"/>
        <v>0</v>
      </c>
      <c r="R4348" s="88" t="e">
        <f>-IF(Tabla14[[#This Row],[DIAS HABILES O MORA]]&lt;0,(Tabla14[[#This Row],[VALOR PRESTAMO]]*Tabla14[[#This Row],[% INTERES ]]/30*U4348))+Tabla14[[#This Row],[VALOR CUOTAS]]</f>
        <v>#VALUE!</v>
      </c>
      <c r="S4348" s="88">
        <f>-IF(Tabla14[[#This Row],[DIAS HABILES O MORA]]&lt;0,(Tabla14[[#This Row],[VALOR PRESTAMO]]*Tabla14[[#This Row],[% INTERES ]]/30*U4348))</f>
        <v>0</v>
      </c>
      <c r="T4348" s="53" t="e">
        <f>Tabla14[[#This Row],[DEUDA CAPITAL]]+Tabla14[[#This Row],[INTERES  CUOTA]]</f>
        <v>#NUM!</v>
      </c>
      <c r="U4348" s="61" t="str">
        <f t="shared" si="689"/>
        <v/>
      </c>
    </row>
    <row r="4349" spans="9:21" ht="24.75" customHeight="1" x14ac:dyDescent="0.35">
      <c r="I4349" s="42">
        <f t="shared" si="680"/>
        <v>0</v>
      </c>
      <c r="J4349" s="65" t="e">
        <f t="shared" si="681"/>
        <v>#NUM!</v>
      </c>
      <c r="K4349" s="83" t="e">
        <f t="shared" si="682"/>
        <v>#NUM!</v>
      </c>
      <c r="L4349" s="83">
        <f t="shared" si="683"/>
        <v>0</v>
      </c>
      <c r="M4349" s="110" t="str">
        <f t="shared" si="684"/>
        <v/>
      </c>
      <c r="N4349" s="51" t="str">
        <f t="shared" si="685"/>
        <v/>
      </c>
      <c r="O4349" s="52" t="str">
        <f t="shared" si="686"/>
        <v/>
      </c>
      <c r="P4349" s="88">
        <f t="shared" si="687"/>
        <v>0</v>
      </c>
      <c r="Q4349" s="88">
        <f t="shared" si="688"/>
        <v>0</v>
      </c>
      <c r="R4349" s="88" t="e">
        <f>-IF(Tabla14[[#This Row],[DIAS HABILES O MORA]]&lt;0,(Tabla14[[#This Row],[VALOR PRESTAMO]]*Tabla14[[#This Row],[% INTERES ]]/30*U4349))+Tabla14[[#This Row],[VALOR CUOTAS]]</f>
        <v>#VALUE!</v>
      </c>
      <c r="S4349" s="88">
        <f>-IF(Tabla14[[#This Row],[DIAS HABILES O MORA]]&lt;0,(Tabla14[[#This Row],[VALOR PRESTAMO]]*Tabla14[[#This Row],[% INTERES ]]/30*U4349))</f>
        <v>0</v>
      </c>
      <c r="T4349" s="53" t="e">
        <f>Tabla14[[#This Row],[DEUDA CAPITAL]]+Tabla14[[#This Row],[INTERES  CUOTA]]</f>
        <v>#NUM!</v>
      </c>
      <c r="U4349" s="61" t="str">
        <f t="shared" si="689"/>
        <v/>
      </c>
    </row>
    <row r="4350" spans="9:21" ht="24.75" customHeight="1" x14ac:dyDescent="0.35">
      <c r="I4350" s="42">
        <f t="shared" si="680"/>
        <v>0</v>
      </c>
      <c r="J4350" s="65" t="e">
        <f t="shared" si="681"/>
        <v>#NUM!</v>
      </c>
      <c r="K4350" s="83" t="e">
        <f t="shared" si="682"/>
        <v>#NUM!</v>
      </c>
      <c r="L4350" s="83">
        <f t="shared" si="683"/>
        <v>0</v>
      </c>
      <c r="M4350" s="110" t="str">
        <f t="shared" si="684"/>
        <v/>
      </c>
      <c r="N4350" s="51" t="str">
        <f t="shared" si="685"/>
        <v/>
      </c>
      <c r="O4350" s="52" t="str">
        <f t="shared" si="686"/>
        <v/>
      </c>
      <c r="P4350" s="88">
        <f t="shared" si="687"/>
        <v>0</v>
      </c>
      <c r="Q4350" s="88">
        <f t="shared" si="688"/>
        <v>0</v>
      </c>
      <c r="R4350" s="88" t="e">
        <f>-IF(Tabla14[[#This Row],[DIAS HABILES O MORA]]&lt;0,(Tabla14[[#This Row],[VALOR PRESTAMO]]*Tabla14[[#This Row],[% INTERES ]]/30*U4350))+Tabla14[[#This Row],[VALOR CUOTAS]]</f>
        <v>#VALUE!</v>
      </c>
      <c r="S4350" s="88">
        <f>-IF(Tabla14[[#This Row],[DIAS HABILES O MORA]]&lt;0,(Tabla14[[#This Row],[VALOR PRESTAMO]]*Tabla14[[#This Row],[% INTERES ]]/30*U4350))</f>
        <v>0</v>
      </c>
      <c r="T4350" s="53" t="e">
        <f>Tabla14[[#This Row],[DEUDA CAPITAL]]+Tabla14[[#This Row],[INTERES  CUOTA]]</f>
        <v>#NUM!</v>
      </c>
      <c r="U4350" s="61" t="str">
        <f t="shared" si="689"/>
        <v/>
      </c>
    </row>
    <row r="4351" spans="9:21" ht="24.75" customHeight="1" x14ac:dyDescent="0.35">
      <c r="I4351" s="42">
        <f t="shared" si="680"/>
        <v>0</v>
      </c>
      <c r="J4351" s="65" t="e">
        <f t="shared" si="681"/>
        <v>#NUM!</v>
      </c>
      <c r="K4351" s="83" t="e">
        <f t="shared" si="682"/>
        <v>#NUM!</v>
      </c>
      <c r="L4351" s="83">
        <f t="shared" si="683"/>
        <v>0</v>
      </c>
      <c r="M4351" s="110" t="str">
        <f t="shared" si="684"/>
        <v/>
      </c>
      <c r="N4351" s="51" t="str">
        <f t="shared" si="685"/>
        <v/>
      </c>
      <c r="O4351" s="52" t="str">
        <f t="shared" si="686"/>
        <v/>
      </c>
      <c r="P4351" s="88">
        <f t="shared" si="687"/>
        <v>0</v>
      </c>
      <c r="Q4351" s="88">
        <f t="shared" si="688"/>
        <v>0</v>
      </c>
      <c r="R4351" s="88" t="e">
        <f>-IF(Tabla14[[#This Row],[DIAS HABILES O MORA]]&lt;0,(Tabla14[[#This Row],[VALOR PRESTAMO]]*Tabla14[[#This Row],[% INTERES ]]/30*U4351))+Tabla14[[#This Row],[VALOR CUOTAS]]</f>
        <v>#VALUE!</v>
      </c>
      <c r="S4351" s="88">
        <f>-IF(Tabla14[[#This Row],[DIAS HABILES O MORA]]&lt;0,(Tabla14[[#This Row],[VALOR PRESTAMO]]*Tabla14[[#This Row],[% INTERES ]]/30*U4351))</f>
        <v>0</v>
      </c>
      <c r="T4351" s="53" t="e">
        <f>Tabla14[[#This Row],[DEUDA CAPITAL]]+Tabla14[[#This Row],[INTERES  CUOTA]]</f>
        <v>#NUM!</v>
      </c>
      <c r="U4351" s="61" t="str">
        <f t="shared" si="689"/>
        <v/>
      </c>
    </row>
    <row r="4352" spans="9:21" ht="24.75" customHeight="1" x14ac:dyDescent="0.35">
      <c r="I4352" s="42">
        <f t="shared" si="680"/>
        <v>0</v>
      </c>
      <c r="J4352" s="65" t="e">
        <f t="shared" si="681"/>
        <v>#NUM!</v>
      </c>
      <c r="K4352" s="83" t="e">
        <f t="shared" si="682"/>
        <v>#NUM!</v>
      </c>
      <c r="L4352" s="83">
        <f t="shared" si="683"/>
        <v>0</v>
      </c>
      <c r="M4352" s="110" t="str">
        <f t="shared" si="684"/>
        <v/>
      </c>
      <c r="N4352" s="51" t="str">
        <f t="shared" si="685"/>
        <v/>
      </c>
      <c r="O4352" s="52" t="str">
        <f t="shared" si="686"/>
        <v/>
      </c>
      <c r="P4352" s="88">
        <f t="shared" si="687"/>
        <v>0</v>
      </c>
      <c r="Q4352" s="88">
        <f t="shared" si="688"/>
        <v>0</v>
      </c>
      <c r="R4352" s="88" t="e">
        <f>-IF(Tabla14[[#This Row],[DIAS HABILES O MORA]]&lt;0,(Tabla14[[#This Row],[VALOR PRESTAMO]]*Tabla14[[#This Row],[% INTERES ]]/30*U4352))+Tabla14[[#This Row],[VALOR CUOTAS]]</f>
        <v>#VALUE!</v>
      </c>
      <c r="S4352" s="88">
        <f>-IF(Tabla14[[#This Row],[DIAS HABILES O MORA]]&lt;0,(Tabla14[[#This Row],[VALOR PRESTAMO]]*Tabla14[[#This Row],[% INTERES ]]/30*U4352))</f>
        <v>0</v>
      </c>
      <c r="T4352" s="53" t="e">
        <f>Tabla14[[#This Row],[DEUDA CAPITAL]]+Tabla14[[#This Row],[INTERES  CUOTA]]</f>
        <v>#NUM!</v>
      </c>
      <c r="U4352" s="61" t="str">
        <f t="shared" si="689"/>
        <v/>
      </c>
    </row>
    <row r="4353" spans="9:21" ht="24.75" customHeight="1" x14ac:dyDescent="0.35">
      <c r="I4353" s="42">
        <f t="shared" si="680"/>
        <v>0</v>
      </c>
      <c r="J4353" s="65" t="e">
        <f t="shared" si="681"/>
        <v>#NUM!</v>
      </c>
      <c r="K4353" s="83" t="e">
        <f t="shared" si="682"/>
        <v>#NUM!</v>
      </c>
      <c r="L4353" s="83">
        <f t="shared" si="683"/>
        <v>0</v>
      </c>
      <c r="M4353" s="110" t="str">
        <f t="shared" si="684"/>
        <v/>
      </c>
      <c r="N4353" s="51" t="str">
        <f t="shared" si="685"/>
        <v/>
      </c>
      <c r="O4353" s="52" t="str">
        <f t="shared" si="686"/>
        <v/>
      </c>
      <c r="P4353" s="88">
        <f t="shared" si="687"/>
        <v>0</v>
      </c>
      <c r="Q4353" s="88">
        <f t="shared" si="688"/>
        <v>0</v>
      </c>
      <c r="R4353" s="88" t="e">
        <f>-IF(Tabla14[[#This Row],[DIAS HABILES O MORA]]&lt;0,(Tabla14[[#This Row],[VALOR PRESTAMO]]*Tabla14[[#This Row],[% INTERES ]]/30*U4353))+Tabla14[[#This Row],[VALOR CUOTAS]]</f>
        <v>#VALUE!</v>
      </c>
      <c r="S4353" s="88">
        <f>-IF(Tabla14[[#This Row],[DIAS HABILES O MORA]]&lt;0,(Tabla14[[#This Row],[VALOR PRESTAMO]]*Tabla14[[#This Row],[% INTERES ]]/30*U4353))</f>
        <v>0</v>
      </c>
      <c r="T4353" s="53" t="e">
        <f>Tabla14[[#This Row],[DEUDA CAPITAL]]+Tabla14[[#This Row],[INTERES  CUOTA]]</f>
        <v>#NUM!</v>
      </c>
      <c r="U4353" s="61" t="str">
        <f t="shared" si="689"/>
        <v/>
      </c>
    </row>
    <row r="4354" spans="9:21" ht="24.75" customHeight="1" x14ac:dyDescent="0.35">
      <c r="I4354" s="42">
        <f t="shared" si="680"/>
        <v>0</v>
      </c>
      <c r="J4354" s="65" t="e">
        <f t="shared" si="681"/>
        <v>#NUM!</v>
      </c>
      <c r="K4354" s="83" t="e">
        <f t="shared" si="682"/>
        <v>#NUM!</v>
      </c>
      <c r="L4354" s="83">
        <f t="shared" si="683"/>
        <v>0</v>
      </c>
      <c r="M4354" s="110" t="str">
        <f t="shared" si="684"/>
        <v/>
      </c>
      <c r="N4354" s="51" t="str">
        <f t="shared" si="685"/>
        <v/>
      </c>
      <c r="O4354" s="52" t="str">
        <f t="shared" si="686"/>
        <v/>
      </c>
      <c r="P4354" s="88">
        <f t="shared" si="687"/>
        <v>0</v>
      </c>
      <c r="Q4354" s="88">
        <f t="shared" si="688"/>
        <v>0</v>
      </c>
      <c r="R4354" s="88" t="e">
        <f>-IF(Tabla14[[#This Row],[DIAS HABILES O MORA]]&lt;0,(Tabla14[[#This Row],[VALOR PRESTAMO]]*Tabla14[[#This Row],[% INTERES ]]/30*U4354))+Tabla14[[#This Row],[VALOR CUOTAS]]</f>
        <v>#VALUE!</v>
      </c>
      <c r="S4354" s="88">
        <f>-IF(Tabla14[[#This Row],[DIAS HABILES O MORA]]&lt;0,(Tabla14[[#This Row],[VALOR PRESTAMO]]*Tabla14[[#This Row],[% INTERES ]]/30*U4354))</f>
        <v>0</v>
      </c>
      <c r="T4354" s="53" t="e">
        <f>Tabla14[[#This Row],[DEUDA CAPITAL]]+Tabla14[[#This Row],[INTERES  CUOTA]]</f>
        <v>#NUM!</v>
      </c>
      <c r="U4354" s="61" t="str">
        <f t="shared" si="689"/>
        <v/>
      </c>
    </row>
    <row r="4355" spans="9:21" ht="24.75" customHeight="1" x14ac:dyDescent="0.35">
      <c r="I4355" s="42">
        <f t="shared" si="680"/>
        <v>0</v>
      </c>
      <c r="J4355" s="65" t="e">
        <f t="shared" si="681"/>
        <v>#NUM!</v>
      </c>
      <c r="K4355" s="83" t="e">
        <f t="shared" si="682"/>
        <v>#NUM!</v>
      </c>
      <c r="L4355" s="83">
        <f t="shared" si="683"/>
        <v>0</v>
      </c>
      <c r="M4355" s="110" t="str">
        <f t="shared" si="684"/>
        <v/>
      </c>
      <c r="N4355" s="51" t="str">
        <f t="shared" si="685"/>
        <v/>
      </c>
      <c r="O4355" s="52" t="str">
        <f t="shared" si="686"/>
        <v/>
      </c>
      <c r="P4355" s="88">
        <f t="shared" si="687"/>
        <v>0</v>
      </c>
      <c r="Q4355" s="88">
        <f t="shared" si="688"/>
        <v>0</v>
      </c>
      <c r="R4355" s="88" t="e">
        <f>-IF(Tabla14[[#This Row],[DIAS HABILES O MORA]]&lt;0,(Tabla14[[#This Row],[VALOR PRESTAMO]]*Tabla14[[#This Row],[% INTERES ]]/30*U4355))+Tabla14[[#This Row],[VALOR CUOTAS]]</f>
        <v>#VALUE!</v>
      </c>
      <c r="S4355" s="88">
        <f>-IF(Tabla14[[#This Row],[DIAS HABILES O MORA]]&lt;0,(Tabla14[[#This Row],[VALOR PRESTAMO]]*Tabla14[[#This Row],[% INTERES ]]/30*U4355))</f>
        <v>0</v>
      </c>
      <c r="T4355" s="53" t="e">
        <f>Tabla14[[#This Row],[DEUDA CAPITAL]]+Tabla14[[#This Row],[INTERES  CUOTA]]</f>
        <v>#NUM!</v>
      </c>
      <c r="U4355" s="61" t="str">
        <f t="shared" si="689"/>
        <v/>
      </c>
    </row>
    <row r="4356" spans="9:21" ht="24.75" customHeight="1" x14ac:dyDescent="0.35">
      <c r="I4356" s="42">
        <f t="shared" si="680"/>
        <v>0</v>
      </c>
      <c r="J4356" s="65" t="e">
        <f t="shared" si="681"/>
        <v>#NUM!</v>
      </c>
      <c r="K4356" s="83" t="e">
        <f t="shared" si="682"/>
        <v>#NUM!</v>
      </c>
      <c r="L4356" s="83">
        <f t="shared" si="683"/>
        <v>0</v>
      </c>
      <c r="M4356" s="110" t="str">
        <f t="shared" si="684"/>
        <v/>
      </c>
      <c r="N4356" s="51" t="str">
        <f t="shared" si="685"/>
        <v/>
      </c>
      <c r="O4356" s="52" t="str">
        <f t="shared" si="686"/>
        <v/>
      </c>
      <c r="P4356" s="88">
        <f t="shared" si="687"/>
        <v>0</v>
      </c>
      <c r="Q4356" s="88">
        <f t="shared" si="688"/>
        <v>0</v>
      </c>
      <c r="R4356" s="88" t="e">
        <f>-IF(Tabla14[[#This Row],[DIAS HABILES O MORA]]&lt;0,(Tabla14[[#This Row],[VALOR PRESTAMO]]*Tabla14[[#This Row],[% INTERES ]]/30*U4356))+Tabla14[[#This Row],[VALOR CUOTAS]]</f>
        <v>#VALUE!</v>
      </c>
      <c r="S4356" s="88">
        <f>-IF(Tabla14[[#This Row],[DIAS HABILES O MORA]]&lt;0,(Tabla14[[#This Row],[VALOR PRESTAMO]]*Tabla14[[#This Row],[% INTERES ]]/30*U4356))</f>
        <v>0</v>
      </c>
      <c r="T4356" s="53" t="e">
        <f>Tabla14[[#This Row],[DEUDA CAPITAL]]+Tabla14[[#This Row],[INTERES  CUOTA]]</f>
        <v>#NUM!</v>
      </c>
      <c r="U4356" s="61" t="str">
        <f t="shared" si="689"/>
        <v/>
      </c>
    </row>
    <row r="4357" spans="9:21" ht="24.75" customHeight="1" x14ac:dyDescent="0.35">
      <c r="I4357" s="42">
        <f t="shared" si="680"/>
        <v>0</v>
      </c>
      <c r="J4357" s="65" t="e">
        <f t="shared" si="681"/>
        <v>#NUM!</v>
      </c>
      <c r="K4357" s="83" t="e">
        <f t="shared" si="682"/>
        <v>#NUM!</v>
      </c>
      <c r="L4357" s="83">
        <f t="shared" si="683"/>
        <v>0</v>
      </c>
      <c r="M4357" s="110" t="str">
        <f t="shared" si="684"/>
        <v/>
      </c>
      <c r="N4357" s="51" t="str">
        <f t="shared" si="685"/>
        <v/>
      </c>
      <c r="O4357" s="52" t="str">
        <f t="shared" si="686"/>
        <v/>
      </c>
      <c r="P4357" s="88">
        <f t="shared" si="687"/>
        <v>0</v>
      </c>
      <c r="Q4357" s="88">
        <f t="shared" si="688"/>
        <v>0</v>
      </c>
      <c r="R4357" s="88" t="e">
        <f>-IF(Tabla14[[#This Row],[DIAS HABILES O MORA]]&lt;0,(Tabla14[[#This Row],[VALOR PRESTAMO]]*Tabla14[[#This Row],[% INTERES ]]/30*U4357))+Tabla14[[#This Row],[VALOR CUOTAS]]</f>
        <v>#VALUE!</v>
      </c>
      <c r="S4357" s="88">
        <f>-IF(Tabla14[[#This Row],[DIAS HABILES O MORA]]&lt;0,(Tabla14[[#This Row],[VALOR PRESTAMO]]*Tabla14[[#This Row],[% INTERES ]]/30*U4357))</f>
        <v>0</v>
      </c>
      <c r="T4357" s="53" t="e">
        <f>Tabla14[[#This Row],[DEUDA CAPITAL]]+Tabla14[[#This Row],[INTERES  CUOTA]]</f>
        <v>#NUM!</v>
      </c>
      <c r="U4357" s="61" t="str">
        <f t="shared" si="689"/>
        <v/>
      </c>
    </row>
    <row r="4358" spans="9:21" ht="24.75" customHeight="1" x14ac:dyDescent="0.35">
      <c r="I4358" s="42">
        <f t="shared" si="680"/>
        <v>0</v>
      </c>
      <c r="J4358" s="65" t="e">
        <f t="shared" si="681"/>
        <v>#NUM!</v>
      </c>
      <c r="K4358" s="83" t="e">
        <f t="shared" si="682"/>
        <v>#NUM!</v>
      </c>
      <c r="L4358" s="83">
        <f t="shared" si="683"/>
        <v>0</v>
      </c>
      <c r="M4358" s="110" t="str">
        <f t="shared" si="684"/>
        <v/>
      </c>
      <c r="N4358" s="51" t="str">
        <f t="shared" si="685"/>
        <v/>
      </c>
      <c r="O4358" s="52" t="str">
        <f t="shared" si="686"/>
        <v/>
      </c>
      <c r="P4358" s="88">
        <f t="shared" si="687"/>
        <v>0</v>
      </c>
      <c r="Q4358" s="88">
        <f t="shared" si="688"/>
        <v>0</v>
      </c>
      <c r="R4358" s="88" t="e">
        <f>-IF(Tabla14[[#This Row],[DIAS HABILES O MORA]]&lt;0,(Tabla14[[#This Row],[VALOR PRESTAMO]]*Tabla14[[#This Row],[% INTERES ]]/30*U4358))+Tabla14[[#This Row],[VALOR CUOTAS]]</f>
        <v>#VALUE!</v>
      </c>
      <c r="S4358" s="88">
        <f>-IF(Tabla14[[#This Row],[DIAS HABILES O MORA]]&lt;0,(Tabla14[[#This Row],[VALOR PRESTAMO]]*Tabla14[[#This Row],[% INTERES ]]/30*U4358))</f>
        <v>0</v>
      </c>
      <c r="T4358" s="53" t="e">
        <f>Tabla14[[#This Row],[DEUDA CAPITAL]]+Tabla14[[#This Row],[INTERES  CUOTA]]</f>
        <v>#NUM!</v>
      </c>
      <c r="U4358" s="61" t="str">
        <f t="shared" si="689"/>
        <v/>
      </c>
    </row>
    <row r="4359" spans="9:21" ht="24.75" customHeight="1" x14ac:dyDescent="0.35">
      <c r="I4359" s="42">
        <f t="shared" si="680"/>
        <v>0</v>
      </c>
      <c r="J4359" s="65" t="e">
        <f t="shared" si="681"/>
        <v>#NUM!</v>
      </c>
      <c r="K4359" s="83" t="e">
        <f t="shared" si="682"/>
        <v>#NUM!</v>
      </c>
      <c r="L4359" s="83">
        <f t="shared" si="683"/>
        <v>0</v>
      </c>
      <c r="M4359" s="110" t="str">
        <f t="shared" si="684"/>
        <v/>
      </c>
      <c r="N4359" s="51" t="str">
        <f t="shared" si="685"/>
        <v/>
      </c>
      <c r="O4359" s="52" t="str">
        <f t="shared" si="686"/>
        <v/>
      </c>
      <c r="P4359" s="88">
        <f t="shared" si="687"/>
        <v>0</v>
      </c>
      <c r="Q4359" s="88">
        <f t="shared" si="688"/>
        <v>0</v>
      </c>
      <c r="R4359" s="88" t="e">
        <f>-IF(Tabla14[[#This Row],[DIAS HABILES O MORA]]&lt;0,(Tabla14[[#This Row],[VALOR PRESTAMO]]*Tabla14[[#This Row],[% INTERES ]]/30*U4359))+Tabla14[[#This Row],[VALOR CUOTAS]]</f>
        <v>#VALUE!</v>
      </c>
      <c r="S4359" s="88">
        <f>-IF(Tabla14[[#This Row],[DIAS HABILES O MORA]]&lt;0,(Tabla14[[#This Row],[VALOR PRESTAMO]]*Tabla14[[#This Row],[% INTERES ]]/30*U4359))</f>
        <v>0</v>
      </c>
      <c r="T4359" s="53" t="e">
        <f>Tabla14[[#This Row],[DEUDA CAPITAL]]+Tabla14[[#This Row],[INTERES  CUOTA]]</f>
        <v>#NUM!</v>
      </c>
      <c r="U4359" s="61" t="str">
        <f t="shared" si="689"/>
        <v/>
      </c>
    </row>
    <row r="4360" spans="9:21" ht="24.75" customHeight="1" x14ac:dyDescent="0.35">
      <c r="I4360" s="42">
        <f t="shared" si="680"/>
        <v>0</v>
      </c>
      <c r="J4360" s="65" t="e">
        <f t="shared" si="681"/>
        <v>#NUM!</v>
      </c>
      <c r="K4360" s="83" t="e">
        <f t="shared" si="682"/>
        <v>#NUM!</v>
      </c>
      <c r="L4360" s="83">
        <f t="shared" si="683"/>
        <v>0</v>
      </c>
      <c r="M4360" s="110" t="str">
        <f t="shared" si="684"/>
        <v/>
      </c>
      <c r="N4360" s="51" t="str">
        <f t="shared" si="685"/>
        <v/>
      </c>
      <c r="O4360" s="52" t="str">
        <f t="shared" si="686"/>
        <v/>
      </c>
      <c r="P4360" s="88">
        <f t="shared" si="687"/>
        <v>0</v>
      </c>
      <c r="Q4360" s="88">
        <f t="shared" si="688"/>
        <v>0</v>
      </c>
      <c r="R4360" s="88" t="e">
        <f>-IF(Tabla14[[#This Row],[DIAS HABILES O MORA]]&lt;0,(Tabla14[[#This Row],[VALOR PRESTAMO]]*Tabla14[[#This Row],[% INTERES ]]/30*U4360))+Tabla14[[#This Row],[VALOR CUOTAS]]</f>
        <v>#VALUE!</v>
      </c>
      <c r="S4360" s="88">
        <f>-IF(Tabla14[[#This Row],[DIAS HABILES O MORA]]&lt;0,(Tabla14[[#This Row],[VALOR PRESTAMO]]*Tabla14[[#This Row],[% INTERES ]]/30*U4360))</f>
        <v>0</v>
      </c>
      <c r="T4360" s="53" t="e">
        <f>Tabla14[[#This Row],[DEUDA CAPITAL]]+Tabla14[[#This Row],[INTERES  CUOTA]]</f>
        <v>#NUM!</v>
      </c>
      <c r="U4360" s="61" t="str">
        <f t="shared" si="689"/>
        <v/>
      </c>
    </row>
    <row r="4361" spans="9:21" ht="24.75" customHeight="1" x14ac:dyDescent="0.35">
      <c r="I4361" s="42">
        <f t="shared" si="680"/>
        <v>0</v>
      </c>
      <c r="J4361" s="65" t="e">
        <f t="shared" si="681"/>
        <v>#NUM!</v>
      </c>
      <c r="K4361" s="83" t="e">
        <f t="shared" si="682"/>
        <v>#NUM!</v>
      </c>
      <c r="L4361" s="83">
        <f t="shared" si="683"/>
        <v>0</v>
      </c>
      <c r="M4361" s="110" t="str">
        <f t="shared" si="684"/>
        <v/>
      </c>
      <c r="N4361" s="51" t="str">
        <f t="shared" si="685"/>
        <v/>
      </c>
      <c r="O4361" s="52" t="str">
        <f t="shared" si="686"/>
        <v/>
      </c>
      <c r="P4361" s="88">
        <f t="shared" si="687"/>
        <v>0</v>
      </c>
      <c r="Q4361" s="88">
        <f t="shared" si="688"/>
        <v>0</v>
      </c>
      <c r="R4361" s="88" t="e">
        <f>-IF(Tabla14[[#This Row],[DIAS HABILES O MORA]]&lt;0,(Tabla14[[#This Row],[VALOR PRESTAMO]]*Tabla14[[#This Row],[% INTERES ]]/30*U4361))+Tabla14[[#This Row],[VALOR CUOTAS]]</f>
        <v>#VALUE!</v>
      </c>
      <c r="S4361" s="88">
        <f>-IF(Tabla14[[#This Row],[DIAS HABILES O MORA]]&lt;0,(Tabla14[[#This Row],[VALOR PRESTAMO]]*Tabla14[[#This Row],[% INTERES ]]/30*U4361))</f>
        <v>0</v>
      </c>
      <c r="T4361" s="53" t="e">
        <f>Tabla14[[#This Row],[DEUDA CAPITAL]]+Tabla14[[#This Row],[INTERES  CUOTA]]</f>
        <v>#NUM!</v>
      </c>
      <c r="U4361" s="61" t="str">
        <f t="shared" si="689"/>
        <v/>
      </c>
    </row>
    <row r="4362" spans="9:21" ht="24.75" customHeight="1" x14ac:dyDescent="0.35">
      <c r="I4362" s="42">
        <f t="shared" si="680"/>
        <v>0</v>
      </c>
      <c r="J4362" s="65" t="e">
        <f t="shared" si="681"/>
        <v>#NUM!</v>
      </c>
      <c r="K4362" s="83" t="e">
        <f t="shared" si="682"/>
        <v>#NUM!</v>
      </c>
      <c r="L4362" s="83">
        <f t="shared" si="683"/>
        <v>0</v>
      </c>
      <c r="M4362" s="110" t="str">
        <f t="shared" si="684"/>
        <v/>
      </c>
      <c r="N4362" s="51" t="str">
        <f t="shared" si="685"/>
        <v/>
      </c>
      <c r="O4362" s="52" t="str">
        <f t="shared" si="686"/>
        <v/>
      </c>
      <c r="P4362" s="88">
        <f t="shared" si="687"/>
        <v>0</v>
      </c>
      <c r="Q4362" s="88">
        <f t="shared" si="688"/>
        <v>0</v>
      </c>
      <c r="R4362" s="88" t="e">
        <f>-IF(Tabla14[[#This Row],[DIAS HABILES O MORA]]&lt;0,(Tabla14[[#This Row],[VALOR PRESTAMO]]*Tabla14[[#This Row],[% INTERES ]]/30*U4362))+Tabla14[[#This Row],[VALOR CUOTAS]]</f>
        <v>#VALUE!</v>
      </c>
      <c r="S4362" s="88">
        <f>-IF(Tabla14[[#This Row],[DIAS HABILES O MORA]]&lt;0,(Tabla14[[#This Row],[VALOR PRESTAMO]]*Tabla14[[#This Row],[% INTERES ]]/30*U4362))</f>
        <v>0</v>
      </c>
      <c r="T4362" s="53" t="e">
        <f>Tabla14[[#This Row],[DEUDA CAPITAL]]+Tabla14[[#This Row],[INTERES  CUOTA]]</f>
        <v>#NUM!</v>
      </c>
      <c r="U4362" s="61" t="str">
        <f t="shared" si="689"/>
        <v/>
      </c>
    </row>
    <row r="4363" spans="9:21" ht="24.75" customHeight="1" x14ac:dyDescent="0.35">
      <c r="I4363" s="42">
        <f t="shared" si="680"/>
        <v>0</v>
      </c>
      <c r="J4363" s="65" t="e">
        <f t="shared" si="681"/>
        <v>#NUM!</v>
      </c>
      <c r="K4363" s="83" t="e">
        <f t="shared" si="682"/>
        <v>#NUM!</v>
      </c>
      <c r="L4363" s="83">
        <f t="shared" si="683"/>
        <v>0</v>
      </c>
      <c r="M4363" s="110" t="str">
        <f t="shared" si="684"/>
        <v/>
      </c>
      <c r="N4363" s="51" t="str">
        <f t="shared" si="685"/>
        <v/>
      </c>
      <c r="O4363" s="52" t="str">
        <f t="shared" si="686"/>
        <v/>
      </c>
      <c r="P4363" s="88">
        <f t="shared" si="687"/>
        <v>0</v>
      </c>
      <c r="Q4363" s="88">
        <f t="shared" si="688"/>
        <v>0</v>
      </c>
      <c r="R4363" s="88" t="e">
        <f>-IF(Tabla14[[#This Row],[DIAS HABILES O MORA]]&lt;0,(Tabla14[[#This Row],[VALOR PRESTAMO]]*Tabla14[[#This Row],[% INTERES ]]/30*U4363))+Tabla14[[#This Row],[VALOR CUOTAS]]</f>
        <v>#VALUE!</v>
      </c>
      <c r="S4363" s="88">
        <f>-IF(Tabla14[[#This Row],[DIAS HABILES O MORA]]&lt;0,(Tabla14[[#This Row],[VALOR PRESTAMO]]*Tabla14[[#This Row],[% INTERES ]]/30*U4363))</f>
        <v>0</v>
      </c>
      <c r="T4363" s="53" t="e">
        <f>Tabla14[[#This Row],[DEUDA CAPITAL]]+Tabla14[[#This Row],[INTERES  CUOTA]]</f>
        <v>#NUM!</v>
      </c>
      <c r="U4363" s="61" t="str">
        <f t="shared" si="689"/>
        <v/>
      </c>
    </row>
    <row r="4364" spans="9:21" ht="24.75" customHeight="1" x14ac:dyDescent="0.35">
      <c r="I4364" s="42">
        <f t="shared" si="680"/>
        <v>0</v>
      </c>
      <c r="J4364" s="65" t="e">
        <f t="shared" si="681"/>
        <v>#NUM!</v>
      </c>
      <c r="K4364" s="83" t="e">
        <f t="shared" si="682"/>
        <v>#NUM!</v>
      </c>
      <c r="L4364" s="83">
        <f t="shared" si="683"/>
        <v>0</v>
      </c>
      <c r="M4364" s="110" t="str">
        <f t="shared" si="684"/>
        <v/>
      </c>
      <c r="N4364" s="51" t="str">
        <f t="shared" si="685"/>
        <v/>
      </c>
      <c r="O4364" s="52" t="str">
        <f t="shared" si="686"/>
        <v/>
      </c>
      <c r="P4364" s="88">
        <f t="shared" si="687"/>
        <v>0</v>
      </c>
      <c r="Q4364" s="88">
        <f t="shared" si="688"/>
        <v>0</v>
      </c>
      <c r="R4364" s="88" t="e">
        <f>-IF(Tabla14[[#This Row],[DIAS HABILES O MORA]]&lt;0,(Tabla14[[#This Row],[VALOR PRESTAMO]]*Tabla14[[#This Row],[% INTERES ]]/30*U4364))+Tabla14[[#This Row],[VALOR CUOTAS]]</f>
        <v>#VALUE!</v>
      </c>
      <c r="S4364" s="88">
        <f>-IF(Tabla14[[#This Row],[DIAS HABILES O MORA]]&lt;0,(Tabla14[[#This Row],[VALOR PRESTAMO]]*Tabla14[[#This Row],[% INTERES ]]/30*U4364))</f>
        <v>0</v>
      </c>
      <c r="T4364" s="53" t="e">
        <f>Tabla14[[#This Row],[DEUDA CAPITAL]]+Tabla14[[#This Row],[INTERES  CUOTA]]</f>
        <v>#NUM!</v>
      </c>
      <c r="U4364" s="61" t="str">
        <f t="shared" si="689"/>
        <v/>
      </c>
    </row>
    <row r="4365" spans="9:21" ht="24.75" customHeight="1" x14ac:dyDescent="0.35">
      <c r="I4365" s="42">
        <f t="shared" si="680"/>
        <v>0</v>
      </c>
      <c r="J4365" s="65" t="e">
        <f t="shared" si="681"/>
        <v>#NUM!</v>
      </c>
      <c r="K4365" s="83" t="e">
        <f t="shared" si="682"/>
        <v>#NUM!</v>
      </c>
      <c r="L4365" s="83">
        <f t="shared" si="683"/>
        <v>0</v>
      </c>
      <c r="M4365" s="110" t="str">
        <f t="shared" si="684"/>
        <v/>
      </c>
      <c r="N4365" s="51" t="str">
        <f t="shared" si="685"/>
        <v/>
      </c>
      <c r="O4365" s="52" t="str">
        <f t="shared" si="686"/>
        <v/>
      </c>
      <c r="P4365" s="88">
        <f t="shared" si="687"/>
        <v>0</v>
      </c>
      <c r="Q4365" s="88">
        <f t="shared" si="688"/>
        <v>0</v>
      </c>
      <c r="R4365" s="88" t="e">
        <f>-IF(Tabla14[[#This Row],[DIAS HABILES O MORA]]&lt;0,(Tabla14[[#This Row],[VALOR PRESTAMO]]*Tabla14[[#This Row],[% INTERES ]]/30*U4365))+Tabla14[[#This Row],[VALOR CUOTAS]]</f>
        <v>#VALUE!</v>
      </c>
      <c r="S4365" s="88">
        <f>-IF(Tabla14[[#This Row],[DIAS HABILES O MORA]]&lt;0,(Tabla14[[#This Row],[VALOR PRESTAMO]]*Tabla14[[#This Row],[% INTERES ]]/30*U4365))</f>
        <v>0</v>
      </c>
      <c r="T4365" s="53" t="e">
        <f>Tabla14[[#This Row],[DEUDA CAPITAL]]+Tabla14[[#This Row],[INTERES  CUOTA]]</f>
        <v>#NUM!</v>
      </c>
      <c r="U4365" s="61" t="str">
        <f t="shared" si="689"/>
        <v/>
      </c>
    </row>
    <row r="4366" spans="9:21" ht="24.75" customHeight="1" x14ac:dyDescent="0.35">
      <c r="I4366" s="42">
        <f t="shared" si="680"/>
        <v>0</v>
      </c>
      <c r="J4366" s="65" t="e">
        <f t="shared" si="681"/>
        <v>#NUM!</v>
      </c>
      <c r="K4366" s="83" t="e">
        <f t="shared" si="682"/>
        <v>#NUM!</v>
      </c>
      <c r="L4366" s="83">
        <f t="shared" si="683"/>
        <v>0</v>
      </c>
      <c r="M4366" s="110" t="str">
        <f t="shared" si="684"/>
        <v/>
      </c>
      <c r="N4366" s="51" t="str">
        <f t="shared" si="685"/>
        <v/>
      </c>
      <c r="O4366" s="52" t="str">
        <f t="shared" si="686"/>
        <v/>
      </c>
      <c r="P4366" s="88">
        <f t="shared" si="687"/>
        <v>0</v>
      </c>
      <c r="Q4366" s="88">
        <f t="shared" si="688"/>
        <v>0</v>
      </c>
      <c r="R4366" s="88" t="e">
        <f>-IF(Tabla14[[#This Row],[DIAS HABILES O MORA]]&lt;0,(Tabla14[[#This Row],[VALOR PRESTAMO]]*Tabla14[[#This Row],[% INTERES ]]/30*U4366))+Tabla14[[#This Row],[VALOR CUOTAS]]</f>
        <v>#VALUE!</v>
      </c>
      <c r="S4366" s="88">
        <f>-IF(Tabla14[[#This Row],[DIAS HABILES O MORA]]&lt;0,(Tabla14[[#This Row],[VALOR PRESTAMO]]*Tabla14[[#This Row],[% INTERES ]]/30*U4366))</f>
        <v>0</v>
      </c>
      <c r="T4366" s="53" t="e">
        <f>Tabla14[[#This Row],[DEUDA CAPITAL]]+Tabla14[[#This Row],[INTERES  CUOTA]]</f>
        <v>#NUM!</v>
      </c>
      <c r="U4366" s="61" t="str">
        <f t="shared" si="689"/>
        <v/>
      </c>
    </row>
    <row r="4367" spans="9:21" ht="24.75" customHeight="1" x14ac:dyDescent="0.35">
      <c r="I4367" s="42">
        <f t="shared" si="680"/>
        <v>0</v>
      </c>
      <c r="J4367" s="65" t="e">
        <f t="shared" si="681"/>
        <v>#NUM!</v>
      </c>
      <c r="K4367" s="83" t="e">
        <f t="shared" si="682"/>
        <v>#NUM!</v>
      </c>
      <c r="L4367" s="83">
        <f t="shared" si="683"/>
        <v>0</v>
      </c>
      <c r="M4367" s="110" t="str">
        <f t="shared" si="684"/>
        <v/>
      </c>
      <c r="N4367" s="51" t="str">
        <f t="shared" si="685"/>
        <v/>
      </c>
      <c r="O4367" s="52" t="str">
        <f t="shared" si="686"/>
        <v/>
      </c>
      <c r="P4367" s="88">
        <f t="shared" si="687"/>
        <v>0</v>
      </c>
      <c r="Q4367" s="88">
        <f t="shared" si="688"/>
        <v>0</v>
      </c>
      <c r="R4367" s="88" t="e">
        <f>-IF(Tabla14[[#This Row],[DIAS HABILES O MORA]]&lt;0,(Tabla14[[#This Row],[VALOR PRESTAMO]]*Tabla14[[#This Row],[% INTERES ]]/30*U4367))+Tabla14[[#This Row],[VALOR CUOTAS]]</f>
        <v>#VALUE!</v>
      </c>
      <c r="S4367" s="88">
        <f>-IF(Tabla14[[#This Row],[DIAS HABILES O MORA]]&lt;0,(Tabla14[[#This Row],[VALOR PRESTAMO]]*Tabla14[[#This Row],[% INTERES ]]/30*U4367))</f>
        <v>0</v>
      </c>
      <c r="T4367" s="53" t="e">
        <f>Tabla14[[#This Row],[DEUDA CAPITAL]]+Tabla14[[#This Row],[INTERES  CUOTA]]</f>
        <v>#NUM!</v>
      </c>
      <c r="U4367" s="61" t="str">
        <f t="shared" si="689"/>
        <v/>
      </c>
    </row>
    <row r="4368" spans="9:21" ht="24.75" customHeight="1" x14ac:dyDescent="0.35">
      <c r="I4368" s="42">
        <f t="shared" ref="I4368:I4431" si="690">IF(C4368&lt;0,"",IF(Q4368=0,0,IF(G4368=0,H4368+1,IF(H4368&lt;G4368,H4368+1,IF(G4368=H4368,0)))))</f>
        <v>0</v>
      </c>
      <c r="J4368" s="65" t="e">
        <f t="shared" ref="J4368:J4431" si="691">IF(F4368="SOLO INTERES",Q4368*D4368,-IPMT(D4368,I4368,G4368,C4368))</f>
        <v>#NUM!</v>
      </c>
      <c r="K4368" s="83" t="e">
        <f t="shared" ref="K4368:K4431" si="692">IF(F4368="SOLO INTERES",0,-PPMT(D4368,I4368,G4368,C4368))</f>
        <v>#NUM!</v>
      </c>
      <c r="L4368" s="83">
        <f t="shared" ref="L4368:L4431" si="693">IF(F4368="SOLO INTERES",SUM(Y4368:AAE4368),IFERROR(-CUMIPMT(D4368,G4368,C4368,1,H4368,0),0)+SUM(Y4368:WY4368))</f>
        <v>0</v>
      </c>
      <c r="M4368" s="110" t="str">
        <f t="shared" ref="M4368:M4431" si="694">IFERROR(IF(F4368="SOLO INTERES",Q4368*D4368,-PMT(D4368,G4368,C4368,0)),"")</f>
        <v/>
      </c>
      <c r="N4368" s="51" t="str">
        <f t="shared" ref="N4368:N4431" si="695">IF(Q4368=0,"",IF(E4368="MENSUAL",EDATE(B4368,I4368),IF(E4368="QUINCENAL",B4368+(I4368*15),IF(E4368="SEMANAL",B4368+(I4368*7)))))</f>
        <v/>
      </c>
      <c r="O4368" s="52" t="str">
        <f t="shared" ref="O4368:O4431" si="696">IF(C4368=0,"",IF(Q4368&lt;1,"PAGADO",IF(N4368=$A$3,"COBRAR HOY",IF(N4368&lt;$A$3,"EN MORA",IF(N4368&gt;$A$3,"AL DIA")))))</f>
        <v/>
      </c>
      <c r="P4368" s="88">
        <f t="shared" ref="P4368:P4431" si="697">IFERROR(-CUMPRINC(D4368,G4368,C4368,1,H4368,0),0)+W4368</f>
        <v>0</v>
      </c>
      <c r="Q4368" s="88">
        <f t="shared" ref="Q4368:Q4431" si="698">IFERROR(C4368-P4368,"")</f>
        <v>0</v>
      </c>
      <c r="R4368" s="88" t="e">
        <f>-IF(Tabla14[[#This Row],[DIAS HABILES O MORA]]&lt;0,(Tabla14[[#This Row],[VALOR PRESTAMO]]*Tabla14[[#This Row],[% INTERES ]]/30*U4368))+Tabla14[[#This Row],[VALOR CUOTAS]]</f>
        <v>#VALUE!</v>
      </c>
      <c r="S4368" s="88">
        <f>-IF(Tabla14[[#This Row],[DIAS HABILES O MORA]]&lt;0,(Tabla14[[#This Row],[VALOR PRESTAMO]]*Tabla14[[#This Row],[% INTERES ]]/30*U4368))</f>
        <v>0</v>
      </c>
      <c r="T4368" s="53" t="e">
        <f>Tabla14[[#This Row],[DEUDA CAPITAL]]+Tabla14[[#This Row],[INTERES  CUOTA]]</f>
        <v>#NUM!</v>
      </c>
      <c r="U4368" s="61" t="str">
        <f t="shared" ref="U4368:U4431" si="699">IF(O4368="PAGADO","",IFERROR(-IF(C4368=0,"",$A$3-N4368),""))</f>
        <v/>
      </c>
    </row>
    <row r="4369" spans="9:21" ht="24.75" customHeight="1" x14ac:dyDescent="0.35">
      <c r="I4369" s="42">
        <f t="shared" si="690"/>
        <v>0</v>
      </c>
      <c r="J4369" s="65" t="e">
        <f t="shared" si="691"/>
        <v>#NUM!</v>
      </c>
      <c r="K4369" s="83" t="e">
        <f t="shared" si="692"/>
        <v>#NUM!</v>
      </c>
      <c r="L4369" s="83">
        <f t="shared" si="693"/>
        <v>0</v>
      </c>
      <c r="M4369" s="110" t="str">
        <f t="shared" si="694"/>
        <v/>
      </c>
      <c r="N4369" s="51" t="str">
        <f t="shared" si="695"/>
        <v/>
      </c>
      <c r="O4369" s="52" t="str">
        <f t="shared" si="696"/>
        <v/>
      </c>
      <c r="P4369" s="88">
        <f t="shared" si="697"/>
        <v>0</v>
      </c>
      <c r="Q4369" s="88">
        <f t="shared" si="698"/>
        <v>0</v>
      </c>
      <c r="R4369" s="88" t="e">
        <f>-IF(Tabla14[[#This Row],[DIAS HABILES O MORA]]&lt;0,(Tabla14[[#This Row],[VALOR PRESTAMO]]*Tabla14[[#This Row],[% INTERES ]]/30*U4369))+Tabla14[[#This Row],[VALOR CUOTAS]]</f>
        <v>#VALUE!</v>
      </c>
      <c r="S4369" s="88">
        <f>-IF(Tabla14[[#This Row],[DIAS HABILES O MORA]]&lt;0,(Tabla14[[#This Row],[VALOR PRESTAMO]]*Tabla14[[#This Row],[% INTERES ]]/30*U4369))</f>
        <v>0</v>
      </c>
      <c r="T4369" s="53" t="e">
        <f>Tabla14[[#This Row],[DEUDA CAPITAL]]+Tabla14[[#This Row],[INTERES  CUOTA]]</f>
        <v>#NUM!</v>
      </c>
      <c r="U4369" s="61" t="str">
        <f t="shared" si="699"/>
        <v/>
      </c>
    </row>
    <row r="4370" spans="9:21" ht="24.75" customHeight="1" x14ac:dyDescent="0.35">
      <c r="I4370" s="42">
        <f t="shared" si="690"/>
        <v>0</v>
      </c>
      <c r="J4370" s="65" t="e">
        <f t="shared" si="691"/>
        <v>#NUM!</v>
      </c>
      <c r="K4370" s="83" t="e">
        <f t="shared" si="692"/>
        <v>#NUM!</v>
      </c>
      <c r="L4370" s="83">
        <f t="shared" si="693"/>
        <v>0</v>
      </c>
      <c r="M4370" s="110" t="str">
        <f t="shared" si="694"/>
        <v/>
      </c>
      <c r="N4370" s="51" t="str">
        <f t="shared" si="695"/>
        <v/>
      </c>
      <c r="O4370" s="52" t="str">
        <f t="shared" si="696"/>
        <v/>
      </c>
      <c r="P4370" s="88">
        <f t="shared" si="697"/>
        <v>0</v>
      </c>
      <c r="Q4370" s="88">
        <f t="shared" si="698"/>
        <v>0</v>
      </c>
      <c r="R4370" s="88" t="e">
        <f>-IF(Tabla14[[#This Row],[DIAS HABILES O MORA]]&lt;0,(Tabla14[[#This Row],[VALOR PRESTAMO]]*Tabla14[[#This Row],[% INTERES ]]/30*U4370))+Tabla14[[#This Row],[VALOR CUOTAS]]</f>
        <v>#VALUE!</v>
      </c>
      <c r="S4370" s="88">
        <f>-IF(Tabla14[[#This Row],[DIAS HABILES O MORA]]&lt;0,(Tabla14[[#This Row],[VALOR PRESTAMO]]*Tabla14[[#This Row],[% INTERES ]]/30*U4370))</f>
        <v>0</v>
      </c>
      <c r="T4370" s="53" t="e">
        <f>Tabla14[[#This Row],[DEUDA CAPITAL]]+Tabla14[[#This Row],[INTERES  CUOTA]]</f>
        <v>#NUM!</v>
      </c>
      <c r="U4370" s="61" t="str">
        <f t="shared" si="699"/>
        <v/>
      </c>
    </row>
    <row r="4371" spans="9:21" ht="24.75" customHeight="1" x14ac:dyDescent="0.35">
      <c r="I4371" s="42">
        <f t="shared" si="690"/>
        <v>0</v>
      </c>
      <c r="J4371" s="65" t="e">
        <f t="shared" si="691"/>
        <v>#NUM!</v>
      </c>
      <c r="K4371" s="83" t="e">
        <f t="shared" si="692"/>
        <v>#NUM!</v>
      </c>
      <c r="L4371" s="83">
        <f t="shared" si="693"/>
        <v>0</v>
      </c>
      <c r="M4371" s="110" t="str">
        <f t="shared" si="694"/>
        <v/>
      </c>
      <c r="N4371" s="51" t="str">
        <f t="shared" si="695"/>
        <v/>
      </c>
      <c r="O4371" s="52" t="str">
        <f t="shared" si="696"/>
        <v/>
      </c>
      <c r="P4371" s="88">
        <f t="shared" si="697"/>
        <v>0</v>
      </c>
      <c r="Q4371" s="88">
        <f t="shared" si="698"/>
        <v>0</v>
      </c>
      <c r="R4371" s="88" t="e">
        <f>-IF(Tabla14[[#This Row],[DIAS HABILES O MORA]]&lt;0,(Tabla14[[#This Row],[VALOR PRESTAMO]]*Tabla14[[#This Row],[% INTERES ]]/30*U4371))+Tabla14[[#This Row],[VALOR CUOTAS]]</f>
        <v>#VALUE!</v>
      </c>
      <c r="S4371" s="88">
        <f>-IF(Tabla14[[#This Row],[DIAS HABILES O MORA]]&lt;0,(Tabla14[[#This Row],[VALOR PRESTAMO]]*Tabla14[[#This Row],[% INTERES ]]/30*U4371))</f>
        <v>0</v>
      </c>
      <c r="T4371" s="53" t="e">
        <f>Tabla14[[#This Row],[DEUDA CAPITAL]]+Tabla14[[#This Row],[INTERES  CUOTA]]</f>
        <v>#NUM!</v>
      </c>
      <c r="U4371" s="61" t="str">
        <f t="shared" si="699"/>
        <v/>
      </c>
    </row>
    <row r="4372" spans="9:21" ht="24.75" customHeight="1" x14ac:dyDescent="0.35">
      <c r="I4372" s="42">
        <f t="shared" si="690"/>
        <v>0</v>
      </c>
      <c r="J4372" s="65" t="e">
        <f t="shared" si="691"/>
        <v>#NUM!</v>
      </c>
      <c r="K4372" s="83" t="e">
        <f t="shared" si="692"/>
        <v>#NUM!</v>
      </c>
      <c r="L4372" s="83">
        <f t="shared" si="693"/>
        <v>0</v>
      </c>
      <c r="M4372" s="110" t="str">
        <f t="shared" si="694"/>
        <v/>
      </c>
      <c r="N4372" s="51" t="str">
        <f t="shared" si="695"/>
        <v/>
      </c>
      <c r="O4372" s="52" t="str">
        <f t="shared" si="696"/>
        <v/>
      </c>
      <c r="P4372" s="88">
        <f t="shared" si="697"/>
        <v>0</v>
      </c>
      <c r="Q4372" s="88">
        <f t="shared" si="698"/>
        <v>0</v>
      </c>
      <c r="R4372" s="88" t="e">
        <f>-IF(Tabla14[[#This Row],[DIAS HABILES O MORA]]&lt;0,(Tabla14[[#This Row],[VALOR PRESTAMO]]*Tabla14[[#This Row],[% INTERES ]]/30*U4372))+Tabla14[[#This Row],[VALOR CUOTAS]]</f>
        <v>#VALUE!</v>
      </c>
      <c r="S4372" s="88">
        <f>-IF(Tabla14[[#This Row],[DIAS HABILES O MORA]]&lt;0,(Tabla14[[#This Row],[VALOR PRESTAMO]]*Tabla14[[#This Row],[% INTERES ]]/30*U4372))</f>
        <v>0</v>
      </c>
      <c r="T4372" s="53" t="e">
        <f>Tabla14[[#This Row],[DEUDA CAPITAL]]+Tabla14[[#This Row],[INTERES  CUOTA]]</f>
        <v>#NUM!</v>
      </c>
      <c r="U4372" s="61" t="str">
        <f t="shared" si="699"/>
        <v/>
      </c>
    </row>
    <row r="4373" spans="9:21" ht="24.75" customHeight="1" x14ac:dyDescent="0.35">
      <c r="I4373" s="42">
        <f t="shared" si="690"/>
        <v>0</v>
      </c>
      <c r="J4373" s="65" t="e">
        <f t="shared" si="691"/>
        <v>#NUM!</v>
      </c>
      <c r="K4373" s="83" t="e">
        <f t="shared" si="692"/>
        <v>#NUM!</v>
      </c>
      <c r="L4373" s="83">
        <f t="shared" si="693"/>
        <v>0</v>
      </c>
      <c r="M4373" s="110" t="str">
        <f t="shared" si="694"/>
        <v/>
      </c>
      <c r="N4373" s="51" t="str">
        <f t="shared" si="695"/>
        <v/>
      </c>
      <c r="O4373" s="52" t="str">
        <f t="shared" si="696"/>
        <v/>
      </c>
      <c r="P4373" s="88">
        <f t="shared" si="697"/>
        <v>0</v>
      </c>
      <c r="Q4373" s="88">
        <f t="shared" si="698"/>
        <v>0</v>
      </c>
      <c r="R4373" s="88" t="e">
        <f>-IF(Tabla14[[#This Row],[DIAS HABILES O MORA]]&lt;0,(Tabla14[[#This Row],[VALOR PRESTAMO]]*Tabla14[[#This Row],[% INTERES ]]/30*U4373))+Tabla14[[#This Row],[VALOR CUOTAS]]</f>
        <v>#VALUE!</v>
      </c>
      <c r="S4373" s="88">
        <f>-IF(Tabla14[[#This Row],[DIAS HABILES O MORA]]&lt;0,(Tabla14[[#This Row],[VALOR PRESTAMO]]*Tabla14[[#This Row],[% INTERES ]]/30*U4373))</f>
        <v>0</v>
      </c>
      <c r="T4373" s="53" t="e">
        <f>Tabla14[[#This Row],[DEUDA CAPITAL]]+Tabla14[[#This Row],[INTERES  CUOTA]]</f>
        <v>#NUM!</v>
      </c>
      <c r="U4373" s="61" t="str">
        <f t="shared" si="699"/>
        <v/>
      </c>
    </row>
    <row r="4374" spans="9:21" ht="24.75" customHeight="1" x14ac:dyDescent="0.35">
      <c r="I4374" s="42">
        <f t="shared" si="690"/>
        <v>0</v>
      </c>
      <c r="J4374" s="65" t="e">
        <f t="shared" si="691"/>
        <v>#NUM!</v>
      </c>
      <c r="K4374" s="83" t="e">
        <f t="shared" si="692"/>
        <v>#NUM!</v>
      </c>
      <c r="L4374" s="83">
        <f t="shared" si="693"/>
        <v>0</v>
      </c>
      <c r="M4374" s="110" t="str">
        <f t="shared" si="694"/>
        <v/>
      </c>
      <c r="N4374" s="51" t="str">
        <f t="shared" si="695"/>
        <v/>
      </c>
      <c r="O4374" s="52" t="str">
        <f t="shared" si="696"/>
        <v/>
      </c>
      <c r="P4374" s="88">
        <f t="shared" si="697"/>
        <v>0</v>
      </c>
      <c r="Q4374" s="88">
        <f t="shared" si="698"/>
        <v>0</v>
      </c>
      <c r="R4374" s="88" t="e">
        <f>-IF(Tabla14[[#This Row],[DIAS HABILES O MORA]]&lt;0,(Tabla14[[#This Row],[VALOR PRESTAMO]]*Tabla14[[#This Row],[% INTERES ]]/30*U4374))+Tabla14[[#This Row],[VALOR CUOTAS]]</f>
        <v>#VALUE!</v>
      </c>
      <c r="S4374" s="88">
        <f>-IF(Tabla14[[#This Row],[DIAS HABILES O MORA]]&lt;0,(Tabla14[[#This Row],[VALOR PRESTAMO]]*Tabla14[[#This Row],[% INTERES ]]/30*U4374))</f>
        <v>0</v>
      </c>
      <c r="T4374" s="53" t="e">
        <f>Tabla14[[#This Row],[DEUDA CAPITAL]]+Tabla14[[#This Row],[INTERES  CUOTA]]</f>
        <v>#NUM!</v>
      </c>
      <c r="U4374" s="61" t="str">
        <f t="shared" si="699"/>
        <v/>
      </c>
    </row>
    <row r="4375" spans="9:21" ht="24.75" customHeight="1" x14ac:dyDescent="0.35">
      <c r="I4375" s="42">
        <f t="shared" si="690"/>
        <v>0</v>
      </c>
      <c r="J4375" s="65" t="e">
        <f t="shared" si="691"/>
        <v>#NUM!</v>
      </c>
      <c r="K4375" s="83" t="e">
        <f t="shared" si="692"/>
        <v>#NUM!</v>
      </c>
      <c r="L4375" s="83">
        <f t="shared" si="693"/>
        <v>0</v>
      </c>
      <c r="M4375" s="110" t="str">
        <f t="shared" si="694"/>
        <v/>
      </c>
      <c r="N4375" s="51" t="str">
        <f t="shared" si="695"/>
        <v/>
      </c>
      <c r="O4375" s="52" t="str">
        <f t="shared" si="696"/>
        <v/>
      </c>
      <c r="P4375" s="88">
        <f t="shared" si="697"/>
        <v>0</v>
      </c>
      <c r="Q4375" s="88">
        <f t="shared" si="698"/>
        <v>0</v>
      </c>
      <c r="R4375" s="88" t="e">
        <f>-IF(Tabla14[[#This Row],[DIAS HABILES O MORA]]&lt;0,(Tabla14[[#This Row],[VALOR PRESTAMO]]*Tabla14[[#This Row],[% INTERES ]]/30*U4375))+Tabla14[[#This Row],[VALOR CUOTAS]]</f>
        <v>#VALUE!</v>
      </c>
      <c r="S4375" s="88">
        <f>-IF(Tabla14[[#This Row],[DIAS HABILES O MORA]]&lt;0,(Tabla14[[#This Row],[VALOR PRESTAMO]]*Tabla14[[#This Row],[% INTERES ]]/30*U4375))</f>
        <v>0</v>
      </c>
      <c r="T4375" s="53" t="e">
        <f>Tabla14[[#This Row],[DEUDA CAPITAL]]+Tabla14[[#This Row],[INTERES  CUOTA]]</f>
        <v>#NUM!</v>
      </c>
      <c r="U4375" s="61" t="str">
        <f t="shared" si="699"/>
        <v/>
      </c>
    </row>
    <row r="4376" spans="9:21" ht="24.75" customHeight="1" x14ac:dyDescent="0.35">
      <c r="I4376" s="42">
        <f t="shared" si="690"/>
        <v>0</v>
      </c>
      <c r="J4376" s="65" t="e">
        <f t="shared" si="691"/>
        <v>#NUM!</v>
      </c>
      <c r="K4376" s="83" t="e">
        <f t="shared" si="692"/>
        <v>#NUM!</v>
      </c>
      <c r="L4376" s="83">
        <f t="shared" si="693"/>
        <v>0</v>
      </c>
      <c r="M4376" s="110" t="str">
        <f t="shared" si="694"/>
        <v/>
      </c>
      <c r="N4376" s="51" t="str">
        <f t="shared" si="695"/>
        <v/>
      </c>
      <c r="O4376" s="52" t="str">
        <f t="shared" si="696"/>
        <v/>
      </c>
      <c r="P4376" s="88">
        <f t="shared" si="697"/>
        <v>0</v>
      </c>
      <c r="Q4376" s="88">
        <f t="shared" si="698"/>
        <v>0</v>
      </c>
      <c r="R4376" s="88" t="e">
        <f>-IF(Tabla14[[#This Row],[DIAS HABILES O MORA]]&lt;0,(Tabla14[[#This Row],[VALOR PRESTAMO]]*Tabla14[[#This Row],[% INTERES ]]/30*U4376))+Tabla14[[#This Row],[VALOR CUOTAS]]</f>
        <v>#VALUE!</v>
      </c>
      <c r="S4376" s="88">
        <f>-IF(Tabla14[[#This Row],[DIAS HABILES O MORA]]&lt;0,(Tabla14[[#This Row],[VALOR PRESTAMO]]*Tabla14[[#This Row],[% INTERES ]]/30*U4376))</f>
        <v>0</v>
      </c>
      <c r="T4376" s="53" t="e">
        <f>Tabla14[[#This Row],[DEUDA CAPITAL]]+Tabla14[[#This Row],[INTERES  CUOTA]]</f>
        <v>#NUM!</v>
      </c>
      <c r="U4376" s="61" t="str">
        <f t="shared" si="699"/>
        <v/>
      </c>
    </row>
    <row r="4377" spans="9:21" ht="24.75" customHeight="1" x14ac:dyDescent="0.35">
      <c r="I4377" s="42">
        <f t="shared" si="690"/>
        <v>0</v>
      </c>
      <c r="J4377" s="65" t="e">
        <f t="shared" si="691"/>
        <v>#NUM!</v>
      </c>
      <c r="K4377" s="83" t="e">
        <f t="shared" si="692"/>
        <v>#NUM!</v>
      </c>
      <c r="L4377" s="83">
        <f t="shared" si="693"/>
        <v>0</v>
      </c>
      <c r="M4377" s="110" t="str">
        <f t="shared" si="694"/>
        <v/>
      </c>
      <c r="N4377" s="51" t="str">
        <f t="shared" si="695"/>
        <v/>
      </c>
      <c r="O4377" s="52" t="str">
        <f t="shared" si="696"/>
        <v/>
      </c>
      <c r="P4377" s="88">
        <f t="shared" si="697"/>
        <v>0</v>
      </c>
      <c r="Q4377" s="88">
        <f t="shared" si="698"/>
        <v>0</v>
      </c>
      <c r="R4377" s="88" t="e">
        <f>-IF(Tabla14[[#This Row],[DIAS HABILES O MORA]]&lt;0,(Tabla14[[#This Row],[VALOR PRESTAMO]]*Tabla14[[#This Row],[% INTERES ]]/30*U4377))+Tabla14[[#This Row],[VALOR CUOTAS]]</f>
        <v>#VALUE!</v>
      </c>
      <c r="S4377" s="88">
        <f>-IF(Tabla14[[#This Row],[DIAS HABILES O MORA]]&lt;0,(Tabla14[[#This Row],[VALOR PRESTAMO]]*Tabla14[[#This Row],[% INTERES ]]/30*U4377))</f>
        <v>0</v>
      </c>
      <c r="T4377" s="53" t="e">
        <f>Tabla14[[#This Row],[DEUDA CAPITAL]]+Tabla14[[#This Row],[INTERES  CUOTA]]</f>
        <v>#NUM!</v>
      </c>
      <c r="U4377" s="61" t="str">
        <f t="shared" si="699"/>
        <v/>
      </c>
    </row>
    <row r="4378" spans="9:21" ht="24.75" customHeight="1" x14ac:dyDescent="0.35">
      <c r="I4378" s="42">
        <f t="shared" si="690"/>
        <v>0</v>
      </c>
      <c r="J4378" s="65" t="e">
        <f t="shared" si="691"/>
        <v>#NUM!</v>
      </c>
      <c r="K4378" s="83" t="e">
        <f t="shared" si="692"/>
        <v>#NUM!</v>
      </c>
      <c r="L4378" s="83">
        <f t="shared" si="693"/>
        <v>0</v>
      </c>
      <c r="M4378" s="110" t="str">
        <f t="shared" si="694"/>
        <v/>
      </c>
      <c r="N4378" s="51" t="str">
        <f t="shared" si="695"/>
        <v/>
      </c>
      <c r="O4378" s="52" t="str">
        <f t="shared" si="696"/>
        <v/>
      </c>
      <c r="P4378" s="88">
        <f t="shared" si="697"/>
        <v>0</v>
      </c>
      <c r="Q4378" s="88">
        <f t="shared" si="698"/>
        <v>0</v>
      </c>
      <c r="R4378" s="88" t="e">
        <f>-IF(Tabla14[[#This Row],[DIAS HABILES O MORA]]&lt;0,(Tabla14[[#This Row],[VALOR PRESTAMO]]*Tabla14[[#This Row],[% INTERES ]]/30*U4378))+Tabla14[[#This Row],[VALOR CUOTAS]]</f>
        <v>#VALUE!</v>
      </c>
      <c r="S4378" s="88">
        <f>-IF(Tabla14[[#This Row],[DIAS HABILES O MORA]]&lt;0,(Tabla14[[#This Row],[VALOR PRESTAMO]]*Tabla14[[#This Row],[% INTERES ]]/30*U4378))</f>
        <v>0</v>
      </c>
      <c r="T4378" s="53" t="e">
        <f>Tabla14[[#This Row],[DEUDA CAPITAL]]+Tabla14[[#This Row],[INTERES  CUOTA]]</f>
        <v>#NUM!</v>
      </c>
      <c r="U4378" s="61" t="str">
        <f t="shared" si="699"/>
        <v/>
      </c>
    </row>
    <row r="4379" spans="9:21" ht="24.75" customHeight="1" x14ac:dyDescent="0.35">
      <c r="I4379" s="42">
        <f t="shared" si="690"/>
        <v>0</v>
      </c>
      <c r="J4379" s="65" t="e">
        <f t="shared" si="691"/>
        <v>#NUM!</v>
      </c>
      <c r="K4379" s="83" t="e">
        <f t="shared" si="692"/>
        <v>#NUM!</v>
      </c>
      <c r="L4379" s="83">
        <f t="shared" si="693"/>
        <v>0</v>
      </c>
      <c r="M4379" s="110" t="str">
        <f t="shared" si="694"/>
        <v/>
      </c>
      <c r="N4379" s="51" t="str">
        <f t="shared" si="695"/>
        <v/>
      </c>
      <c r="O4379" s="52" t="str">
        <f t="shared" si="696"/>
        <v/>
      </c>
      <c r="P4379" s="88">
        <f t="shared" si="697"/>
        <v>0</v>
      </c>
      <c r="Q4379" s="88">
        <f t="shared" si="698"/>
        <v>0</v>
      </c>
      <c r="R4379" s="88" t="e">
        <f>-IF(Tabla14[[#This Row],[DIAS HABILES O MORA]]&lt;0,(Tabla14[[#This Row],[VALOR PRESTAMO]]*Tabla14[[#This Row],[% INTERES ]]/30*U4379))+Tabla14[[#This Row],[VALOR CUOTAS]]</f>
        <v>#VALUE!</v>
      </c>
      <c r="S4379" s="88">
        <f>-IF(Tabla14[[#This Row],[DIAS HABILES O MORA]]&lt;0,(Tabla14[[#This Row],[VALOR PRESTAMO]]*Tabla14[[#This Row],[% INTERES ]]/30*U4379))</f>
        <v>0</v>
      </c>
      <c r="T4379" s="53" t="e">
        <f>Tabla14[[#This Row],[DEUDA CAPITAL]]+Tabla14[[#This Row],[INTERES  CUOTA]]</f>
        <v>#NUM!</v>
      </c>
      <c r="U4379" s="61" t="str">
        <f t="shared" si="699"/>
        <v/>
      </c>
    </row>
    <row r="4380" spans="9:21" ht="24.75" customHeight="1" x14ac:dyDescent="0.35">
      <c r="I4380" s="42">
        <f t="shared" si="690"/>
        <v>0</v>
      </c>
      <c r="J4380" s="65" t="e">
        <f t="shared" si="691"/>
        <v>#NUM!</v>
      </c>
      <c r="K4380" s="83" t="e">
        <f t="shared" si="692"/>
        <v>#NUM!</v>
      </c>
      <c r="L4380" s="83">
        <f t="shared" si="693"/>
        <v>0</v>
      </c>
      <c r="M4380" s="110" t="str">
        <f t="shared" si="694"/>
        <v/>
      </c>
      <c r="N4380" s="51" t="str">
        <f t="shared" si="695"/>
        <v/>
      </c>
      <c r="O4380" s="52" t="str">
        <f t="shared" si="696"/>
        <v/>
      </c>
      <c r="P4380" s="88">
        <f t="shared" si="697"/>
        <v>0</v>
      </c>
      <c r="Q4380" s="88">
        <f t="shared" si="698"/>
        <v>0</v>
      </c>
      <c r="R4380" s="88" t="e">
        <f>-IF(Tabla14[[#This Row],[DIAS HABILES O MORA]]&lt;0,(Tabla14[[#This Row],[VALOR PRESTAMO]]*Tabla14[[#This Row],[% INTERES ]]/30*U4380))+Tabla14[[#This Row],[VALOR CUOTAS]]</f>
        <v>#VALUE!</v>
      </c>
      <c r="S4380" s="88">
        <f>-IF(Tabla14[[#This Row],[DIAS HABILES O MORA]]&lt;0,(Tabla14[[#This Row],[VALOR PRESTAMO]]*Tabla14[[#This Row],[% INTERES ]]/30*U4380))</f>
        <v>0</v>
      </c>
      <c r="T4380" s="53" t="e">
        <f>Tabla14[[#This Row],[DEUDA CAPITAL]]+Tabla14[[#This Row],[INTERES  CUOTA]]</f>
        <v>#NUM!</v>
      </c>
      <c r="U4380" s="61" t="str">
        <f t="shared" si="699"/>
        <v/>
      </c>
    </row>
    <row r="4381" spans="9:21" ht="24.75" customHeight="1" x14ac:dyDescent="0.35">
      <c r="I4381" s="42">
        <f t="shared" si="690"/>
        <v>0</v>
      </c>
      <c r="J4381" s="65" t="e">
        <f t="shared" si="691"/>
        <v>#NUM!</v>
      </c>
      <c r="K4381" s="83" t="e">
        <f t="shared" si="692"/>
        <v>#NUM!</v>
      </c>
      <c r="L4381" s="83">
        <f t="shared" si="693"/>
        <v>0</v>
      </c>
      <c r="M4381" s="110" t="str">
        <f t="shared" si="694"/>
        <v/>
      </c>
      <c r="N4381" s="51" t="str">
        <f t="shared" si="695"/>
        <v/>
      </c>
      <c r="O4381" s="52" t="str">
        <f t="shared" si="696"/>
        <v/>
      </c>
      <c r="P4381" s="88">
        <f t="shared" si="697"/>
        <v>0</v>
      </c>
      <c r="Q4381" s="88">
        <f t="shared" si="698"/>
        <v>0</v>
      </c>
      <c r="R4381" s="88" t="e">
        <f>-IF(Tabla14[[#This Row],[DIAS HABILES O MORA]]&lt;0,(Tabla14[[#This Row],[VALOR PRESTAMO]]*Tabla14[[#This Row],[% INTERES ]]/30*U4381))+Tabla14[[#This Row],[VALOR CUOTAS]]</f>
        <v>#VALUE!</v>
      </c>
      <c r="S4381" s="88">
        <f>-IF(Tabla14[[#This Row],[DIAS HABILES O MORA]]&lt;0,(Tabla14[[#This Row],[VALOR PRESTAMO]]*Tabla14[[#This Row],[% INTERES ]]/30*U4381))</f>
        <v>0</v>
      </c>
      <c r="T4381" s="53" t="e">
        <f>Tabla14[[#This Row],[DEUDA CAPITAL]]+Tabla14[[#This Row],[INTERES  CUOTA]]</f>
        <v>#NUM!</v>
      </c>
      <c r="U4381" s="61" t="str">
        <f t="shared" si="699"/>
        <v/>
      </c>
    </row>
    <row r="4382" spans="9:21" ht="24.75" customHeight="1" x14ac:dyDescent="0.35">
      <c r="I4382" s="42">
        <f t="shared" si="690"/>
        <v>0</v>
      </c>
      <c r="J4382" s="65" t="e">
        <f t="shared" si="691"/>
        <v>#NUM!</v>
      </c>
      <c r="K4382" s="83" t="e">
        <f t="shared" si="692"/>
        <v>#NUM!</v>
      </c>
      <c r="L4382" s="83">
        <f t="shared" si="693"/>
        <v>0</v>
      </c>
      <c r="M4382" s="110" t="str">
        <f t="shared" si="694"/>
        <v/>
      </c>
      <c r="N4382" s="51" t="str">
        <f t="shared" si="695"/>
        <v/>
      </c>
      <c r="O4382" s="52" t="str">
        <f t="shared" si="696"/>
        <v/>
      </c>
      <c r="P4382" s="88">
        <f t="shared" si="697"/>
        <v>0</v>
      </c>
      <c r="Q4382" s="88">
        <f t="shared" si="698"/>
        <v>0</v>
      </c>
      <c r="R4382" s="88" t="e">
        <f>-IF(Tabla14[[#This Row],[DIAS HABILES O MORA]]&lt;0,(Tabla14[[#This Row],[VALOR PRESTAMO]]*Tabla14[[#This Row],[% INTERES ]]/30*U4382))+Tabla14[[#This Row],[VALOR CUOTAS]]</f>
        <v>#VALUE!</v>
      </c>
      <c r="S4382" s="88">
        <f>-IF(Tabla14[[#This Row],[DIAS HABILES O MORA]]&lt;0,(Tabla14[[#This Row],[VALOR PRESTAMO]]*Tabla14[[#This Row],[% INTERES ]]/30*U4382))</f>
        <v>0</v>
      </c>
      <c r="T4382" s="53" t="e">
        <f>Tabla14[[#This Row],[DEUDA CAPITAL]]+Tabla14[[#This Row],[INTERES  CUOTA]]</f>
        <v>#NUM!</v>
      </c>
      <c r="U4382" s="61" t="str">
        <f t="shared" si="699"/>
        <v/>
      </c>
    </row>
    <row r="4383" spans="9:21" ht="24.75" customHeight="1" x14ac:dyDescent="0.35">
      <c r="I4383" s="42">
        <f t="shared" si="690"/>
        <v>0</v>
      </c>
      <c r="J4383" s="65" t="e">
        <f t="shared" si="691"/>
        <v>#NUM!</v>
      </c>
      <c r="K4383" s="83" t="e">
        <f t="shared" si="692"/>
        <v>#NUM!</v>
      </c>
      <c r="L4383" s="83">
        <f t="shared" si="693"/>
        <v>0</v>
      </c>
      <c r="M4383" s="110" t="str">
        <f t="shared" si="694"/>
        <v/>
      </c>
      <c r="N4383" s="51" t="str">
        <f t="shared" si="695"/>
        <v/>
      </c>
      <c r="O4383" s="52" t="str">
        <f t="shared" si="696"/>
        <v/>
      </c>
      <c r="P4383" s="88">
        <f t="shared" si="697"/>
        <v>0</v>
      </c>
      <c r="Q4383" s="88">
        <f t="shared" si="698"/>
        <v>0</v>
      </c>
      <c r="R4383" s="88" t="e">
        <f>-IF(Tabla14[[#This Row],[DIAS HABILES O MORA]]&lt;0,(Tabla14[[#This Row],[VALOR PRESTAMO]]*Tabla14[[#This Row],[% INTERES ]]/30*U4383))+Tabla14[[#This Row],[VALOR CUOTAS]]</f>
        <v>#VALUE!</v>
      </c>
      <c r="S4383" s="88">
        <f>-IF(Tabla14[[#This Row],[DIAS HABILES O MORA]]&lt;0,(Tabla14[[#This Row],[VALOR PRESTAMO]]*Tabla14[[#This Row],[% INTERES ]]/30*U4383))</f>
        <v>0</v>
      </c>
      <c r="T4383" s="53" t="e">
        <f>Tabla14[[#This Row],[DEUDA CAPITAL]]+Tabla14[[#This Row],[INTERES  CUOTA]]</f>
        <v>#NUM!</v>
      </c>
      <c r="U4383" s="61" t="str">
        <f t="shared" si="699"/>
        <v/>
      </c>
    </row>
    <row r="4384" spans="9:21" ht="24.75" customHeight="1" x14ac:dyDescent="0.35">
      <c r="I4384" s="42">
        <f t="shared" si="690"/>
        <v>0</v>
      </c>
      <c r="J4384" s="65" t="e">
        <f t="shared" si="691"/>
        <v>#NUM!</v>
      </c>
      <c r="K4384" s="83" t="e">
        <f t="shared" si="692"/>
        <v>#NUM!</v>
      </c>
      <c r="L4384" s="83">
        <f t="shared" si="693"/>
        <v>0</v>
      </c>
      <c r="M4384" s="110" t="str">
        <f t="shared" si="694"/>
        <v/>
      </c>
      <c r="N4384" s="51" t="str">
        <f t="shared" si="695"/>
        <v/>
      </c>
      <c r="O4384" s="52" t="str">
        <f t="shared" si="696"/>
        <v/>
      </c>
      <c r="P4384" s="88">
        <f t="shared" si="697"/>
        <v>0</v>
      </c>
      <c r="Q4384" s="88">
        <f t="shared" si="698"/>
        <v>0</v>
      </c>
      <c r="R4384" s="88" t="e">
        <f>-IF(Tabla14[[#This Row],[DIAS HABILES O MORA]]&lt;0,(Tabla14[[#This Row],[VALOR PRESTAMO]]*Tabla14[[#This Row],[% INTERES ]]/30*U4384))+Tabla14[[#This Row],[VALOR CUOTAS]]</f>
        <v>#VALUE!</v>
      </c>
      <c r="S4384" s="88">
        <f>-IF(Tabla14[[#This Row],[DIAS HABILES O MORA]]&lt;0,(Tabla14[[#This Row],[VALOR PRESTAMO]]*Tabla14[[#This Row],[% INTERES ]]/30*U4384))</f>
        <v>0</v>
      </c>
      <c r="T4384" s="53" t="e">
        <f>Tabla14[[#This Row],[DEUDA CAPITAL]]+Tabla14[[#This Row],[INTERES  CUOTA]]</f>
        <v>#NUM!</v>
      </c>
      <c r="U4384" s="61" t="str">
        <f t="shared" si="699"/>
        <v/>
      </c>
    </row>
    <row r="4385" spans="9:21" ht="24.75" customHeight="1" x14ac:dyDescent="0.35">
      <c r="I4385" s="42">
        <f t="shared" si="690"/>
        <v>0</v>
      </c>
      <c r="J4385" s="65" t="e">
        <f t="shared" si="691"/>
        <v>#NUM!</v>
      </c>
      <c r="K4385" s="83" t="e">
        <f t="shared" si="692"/>
        <v>#NUM!</v>
      </c>
      <c r="L4385" s="83">
        <f t="shared" si="693"/>
        <v>0</v>
      </c>
      <c r="M4385" s="110" t="str">
        <f t="shared" si="694"/>
        <v/>
      </c>
      <c r="N4385" s="51" t="str">
        <f t="shared" si="695"/>
        <v/>
      </c>
      <c r="O4385" s="52" t="str">
        <f t="shared" si="696"/>
        <v/>
      </c>
      <c r="P4385" s="88">
        <f t="shared" si="697"/>
        <v>0</v>
      </c>
      <c r="Q4385" s="88">
        <f t="shared" si="698"/>
        <v>0</v>
      </c>
      <c r="R4385" s="88" t="e">
        <f>-IF(Tabla14[[#This Row],[DIAS HABILES O MORA]]&lt;0,(Tabla14[[#This Row],[VALOR PRESTAMO]]*Tabla14[[#This Row],[% INTERES ]]/30*U4385))+Tabla14[[#This Row],[VALOR CUOTAS]]</f>
        <v>#VALUE!</v>
      </c>
      <c r="S4385" s="88">
        <f>-IF(Tabla14[[#This Row],[DIAS HABILES O MORA]]&lt;0,(Tabla14[[#This Row],[VALOR PRESTAMO]]*Tabla14[[#This Row],[% INTERES ]]/30*U4385))</f>
        <v>0</v>
      </c>
      <c r="T4385" s="53" t="e">
        <f>Tabla14[[#This Row],[DEUDA CAPITAL]]+Tabla14[[#This Row],[INTERES  CUOTA]]</f>
        <v>#NUM!</v>
      </c>
      <c r="U4385" s="61" t="str">
        <f t="shared" si="699"/>
        <v/>
      </c>
    </row>
    <row r="4386" spans="9:21" ht="24.75" customHeight="1" x14ac:dyDescent="0.35">
      <c r="I4386" s="42">
        <f t="shared" si="690"/>
        <v>0</v>
      </c>
      <c r="J4386" s="65" t="e">
        <f t="shared" si="691"/>
        <v>#NUM!</v>
      </c>
      <c r="K4386" s="83" t="e">
        <f t="shared" si="692"/>
        <v>#NUM!</v>
      </c>
      <c r="L4386" s="83">
        <f t="shared" si="693"/>
        <v>0</v>
      </c>
      <c r="M4386" s="110" t="str">
        <f t="shared" si="694"/>
        <v/>
      </c>
      <c r="N4386" s="51" t="str">
        <f t="shared" si="695"/>
        <v/>
      </c>
      <c r="O4386" s="52" t="str">
        <f t="shared" si="696"/>
        <v/>
      </c>
      <c r="P4386" s="88">
        <f t="shared" si="697"/>
        <v>0</v>
      </c>
      <c r="Q4386" s="88">
        <f t="shared" si="698"/>
        <v>0</v>
      </c>
      <c r="R4386" s="88" t="e">
        <f>-IF(Tabla14[[#This Row],[DIAS HABILES O MORA]]&lt;0,(Tabla14[[#This Row],[VALOR PRESTAMO]]*Tabla14[[#This Row],[% INTERES ]]/30*U4386))+Tabla14[[#This Row],[VALOR CUOTAS]]</f>
        <v>#VALUE!</v>
      </c>
      <c r="S4386" s="88">
        <f>-IF(Tabla14[[#This Row],[DIAS HABILES O MORA]]&lt;0,(Tabla14[[#This Row],[VALOR PRESTAMO]]*Tabla14[[#This Row],[% INTERES ]]/30*U4386))</f>
        <v>0</v>
      </c>
      <c r="T4386" s="53" t="e">
        <f>Tabla14[[#This Row],[DEUDA CAPITAL]]+Tabla14[[#This Row],[INTERES  CUOTA]]</f>
        <v>#NUM!</v>
      </c>
      <c r="U4386" s="61" t="str">
        <f t="shared" si="699"/>
        <v/>
      </c>
    </row>
    <row r="4387" spans="9:21" ht="24.75" customHeight="1" x14ac:dyDescent="0.35">
      <c r="I4387" s="42">
        <f t="shared" si="690"/>
        <v>0</v>
      </c>
      <c r="J4387" s="65" t="e">
        <f t="shared" si="691"/>
        <v>#NUM!</v>
      </c>
      <c r="K4387" s="83" t="e">
        <f t="shared" si="692"/>
        <v>#NUM!</v>
      </c>
      <c r="L4387" s="83">
        <f t="shared" si="693"/>
        <v>0</v>
      </c>
      <c r="M4387" s="110" t="str">
        <f t="shared" si="694"/>
        <v/>
      </c>
      <c r="N4387" s="51" t="str">
        <f t="shared" si="695"/>
        <v/>
      </c>
      <c r="O4387" s="52" t="str">
        <f t="shared" si="696"/>
        <v/>
      </c>
      <c r="P4387" s="88">
        <f t="shared" si="697"/>
        <v>0</v>
      </c>
      <c r="Q4387" s="88">
        <f t="shared" si="698"/>
        <v>0</v>
      </c>
      <c r="R4387" s="88" t="e">
        <f>-IF(Tabla14[[#This Row],[DIAS HABILES O MORA]]&lt;0,(Tabla14[[#This Row],[VALOR PRESTAMO]]*Tabla14[[#This Row],[% INTERES ]]/30*U4387))+Tabla14[[#This Row],[VALOR CUOTAS]]</f>
        <v>#VALUE!</v>
      </c>
      <c r="S4387" s="88">
        <f>-IF(Tabla14[[#This Row],[DIAS HABILES O MORA]]&lt;0,(Tabla14[[#This Row],[VALOR PRESTAMO]]*Tabla14[[#This Row],[% INTERES ]]/30*U4387))</f>
        <v>0</v>
      </c>
      <c r="T4387" s="53" t="e">
        <f>Tabla14[[#This Row],[DEUDA CAPITAL]]+Tabla14[[#This Row],[INTERES  CUOTA]]</f>
        <v>#NUM!</v>
      </c>
      <c r="U4387" s="61" t="str">
        <f t="shared" si="699"/>
        <v/>
      </c>
    </row>
    <row r="4388" spans="9:21" ht="24.75" customHeight="1" x14ac:dyDescent="0.35">
      <c r="I4388" s="42">
        <f t="shared" si="690"/>
        <v>0</v>
      </c>
      <c r="J4388" s="65" t="e">
        <f t="shared" si="691"/>
        <v>#NUM!</v>
      </c>
      <c r="K4388" s="83" t="e">
        <f t="shared" si="692"/>
        <v>#NUM!</v>
      </c>
      <c r="L4388" s="83">
        <f t="shared" si="693"/>
        <v>0</v>
      </c>
      <c r="M4388" s="110" t="str">
        <f t="shared" si="694"/>
        <v/>
      </c>
      <c r="N4388" s="51" t="str">
        <f t="shared" si="695"/>
        <v/>
      </c>
      <c r="O4388" s="52" t="str">
        <f t="shared" si="696"/>
        <v/>
      </c>
      <c r="P4388" s="88">
        <f t="shared" si="697"/>
        <v>0</v>
      </c>
      <c r="Q4388" s="88">
        <f t="shared" si="698"/>
        <v>0</v>
      </c>
      <c r="R4388" s="88" t="e">
        <f>-IF(Tabla14[[#This Row],[DIAS HABILES O MORA]]&lt;0,(Tabla14[[#This Row],[VALOR PRESTAMO]]*Tabla14[[#This Row],[% INTERES ]]/30*U4388))+Tabla14[[#This Row],[VALOR CUOTAS]]</f>
        <v>#VALUE!</v>
      </c>
      <c r="S4388" s="88">
        <f>-IF(Tabla14[[#This Row],[DIAS HABILES O MORA]]&lt;0,(Tabla14[[#This Row],[VALOR PRESTAMO]]*Tabla14[[#This Row],[% INTERES ]]/30*U4388))</f>
        <v>0</v>
      </c>
      <c r="T4388" s="53" t="e">
        <f>Tabla14[[#This Row],[DEUDA CAPITAL]]+Tabla14[[#This Row],[INTERES  CUOTA]]</f>
        <v>#NUM!</v>
      </c>
      <c r="U4388" s="61" t="str">
        <f t="shared" si="699"/>
        <v/>
      </c>
    </row>
    <row r="4389" spans="9:21" ht="24.75" customHeight="1" x14ac:dyDescent="0.35">
      <c r="I4389" s="42">
        <f t="shared" si="690"/>
        <v>0</v>
      </c>
      <c r="J4389" s="65" t="e">
        <f t="shared" si="691"/>
        <v>#NUM!</v>
      </c>
      <c r="K4389" s="83" t="e">
        <f t="shared" si="692"/>
        <v>#NUM!</v>
      </c>
      <c r="L4389" s="83">
        <f t="shared" si="693"/>
        <v>0</v>
      </c>
      <c r="M4389" s="110" t="str">
        <f t="shared" si="694"/>
        <v/>
      </c>
      <c r="N4389" s="51" t="str">
        <f t="shared" si="695"/>
        <v/>
      </c>
      <c r="O4389" s="52" t="str">
        <f t="shared" si="696"/>
        <v/>
      </c>
      <c r="P4389" s="88">
        <f t="shared" si="697"/>
        <v>0</v>
      </c>
      <c r="Q4389" s="88">
        <f t="shared" si="698"/>
        <v>0</v>
      </c>
      <c r="R4389" s="88" t="e">
        <f>-IF(Tabla14[[#This Row],[DIAS HABILES O MORA]]&lt;0,(Tabla14[[#This Row],[VALOR PRESTAMO]]*Tabla14[[#This Row],[% INTERES ]]/30*U4389))+Tabla14[[#This Row],[VALOR CUOTAS]]</f>
        <v>#VALUE!</v>
      </c>
      <c r="S4389" s="88">
        <f>-IF(Tabla14[[#This Row],[DIAS HABILES O MORA]]&lt;0,(Tabla14[[#This Row],[VALOR PRESTAMO]]*Tabla14[[#This Row],[% INTERES ]]/30*U4389))</f>
        <v>0</v>
      </c>
      <c r="T4389" s="53" t="e">
        <f>Tabla14[[#This Row],[DEUDA CAPITAL]]+Tabla14[[#This Row],[INTERES  CUOTA]]</f>
        <v>#NUM!</v>
      </c>
      <c r="U4389" s="61" t="str">
        <f t="shared" si="699"/>
        <v/>
      </c>
    </row>
    <row r="4390" spans="9:21" ht="24.75" customHeight="1" x14ac:dyDescent="0.35">
      <c r="I4390" s="42">
        <f t="shared" si="690"/>
        <v>0</v>
      </c>
      <c r="J4390" s="65" t="e">
        <f t="shared" si="691"/>
        <v>#NUM!</v>
      </c>
      <c r="K4390" s="83" t="e">
        <f t="shared" si="692"/>
        <v>#NUM!</v>
      </c>
      <c r="L4390" s="83">
        <f t="shared" si="693"/>
        <v>0</v>
      </c>
      <c r="M4390" s="110" t="str">
        <f t="shared" si="694"/>
        <v/>
      </c>
      <c r="N4390" s="51" t="str">
        <f t="shared" si="695"/>
        <v/>
      </c>
      <c r="O4390" s="52" t="str">
        <f t="shared" si="696"/>
        <v/>
      </c>
      <c r="P4390" s="88">
        <f t="shared" si="697"/>
        <v>0</v>
      </c>
      <c r="Q4390" s="88">
        <f t="shared" si="698"/>
        <v>0</v>
      </c>
      <c r="R4390" s="88" t="e">
        <f>-IF(Tabla14[[#This Row],[DIAS HABILES O MORA]]&lt;0,(Tabla14[[#This Row],[VALOR PRESTAMO]]*Tabla14[[#This Row],[% INTERES ]]/30*U4390))+Tabla14[[#This Row],[VALOR CUOTAS]]</f>
        <v>#VALUE!</v>
      </c>
      <c r="S4390" s="88">
        <f>-IF(Tabla14[[#This Row],[DIAS HABILES O MORA]]&lt;0,(Tabla14[[#This Row],[VALOR PRESTAMO]]*Tabla14[[#This Row],[% INTERES ]]/30*U4390))</f>
        <v>0</v>
      </c>
      <c r="T4390" s="53" t="e">
        <f>Tabla14[[#This Row],[DEUDA CAPITAL]]+Tabla14[[#This Row],[INTERES  CUOTA]]</f>
        <v>#NUM!</v>
      </c>
      <c r="U4390" s="61" t="str">
        <f t="shared" si="699"/>
        <v/>
      </c>
    </row>
    <row r="4391" spans="9:21" ht="24.75" customHeight="1" x14ac:dyDescent="0.35">
      <c r="I4391" s="42">
        <f t="shared" si="690"/>
        <v>0</v>
      </c>
      <c r="J4391" s="65" t="e">
        <f t="shared" si="691"/>
        <v>#NUM!</v>
      </c>
      <c r="K4391" s="83" t="e">
        <f t="shared" si="692"/>
        <v>#NUM!</v>
      </c>
      <c r="L4391" s="83">
        <f t="shared" si="693"/>
        <v>0</v>
      </c>
      <c r="M4391" s="110" t="str">
        <f t="shared" si="694"/>
        <v/>
      </c>
      <c r="N4391" s="51" t="str">
        <f t="shared" si="695"/>
        <v/>
      </c>
      <c r="O4391" s="52" t="str">
        <f t="shared" si="696"/>
        <v/>
      </c>
      <c r="P4391" s="88">
        <f t="shared" si="697"/>
        <v>0</v>
      </c>
      <c r="Q4391" s="88">
        <f t="shared" si="698"/>
        <v>0</v>
      </c>
      <c r="R4391" s="88" t="e">
        <f>-IF(Tabla14[[#This Row],[DIAS HABILES O MORA]]&lt;0,(Tabla14[[#This Row],[VALOR PRESTAMO]]*Tabla14[[#This Row],[% INTERES ]]/30*U4391))+Tabla14[[#This Row],[VALOR CUOTAS]]</f>
        <v>#VALUE!</v>
      </c>
      <c r="S4391" s="88">
        <f>-IF(Tabla14[[#This Row],[DIAS HABILES O MORA]]&lt;0,(Tabla14[[#This Row],[VALOR PRESTAMO]]*Tabla14[[#This Row],[% INTERES ]]/30*U4391))</f>
        <v>0</v>
      </c>
      <c r="T4391" s="53" t="e">
        <f>Tabla14[[#This Row],[DEUDA CAPITAL]]+Tabla14[[#This Row],[INTERES  CUOTA]]</f>
        <v>#NUM!</v>
      </c>
      <c r="U4391" s="61" t="str">
        <f t="shared" si="699"/>
        <v/>
      </c>
    </row>
    <row r="4392" spans="9:21" ht="24.75" customHeight="1" x14ac:dyDescent="0.35">
      <c r="I4392" s="42">
        <f t="shared" si="690"/>
        <v>0</v>
      </c>
      <c r="J4392" s="65" t="e">
        <f t="shared" si="691"/>
        <v>#NUM!</v>
      </c>
      <c r="K4392" s="83" t="e">
        <f t="shared" si="692"/>
        <v>#NUM!</v>
      </c>
      <c r="L4392" s="83">
        <f t="shared" si="693"/>
        <v>0</v>
      </c>
      <c r="M4392" s="110" t="str">
        <f t="shared" si="694"/>
        <v/>
      </c>
      <c r="N4392" s="51" t="str">
        <f t="shared" si="695"/>
        <v/>
      </c>
      <c r="O4392" s="52" t="str">
        <f t="shared" si="696"/>
        <v/>
      </c>
      <c r="P4392" s="88">
        <f t="shared" si="697"/>
        <v>0</v>
      </c>
      <c r="Q4392" s="88">
        <f t="shared" si="698"/>
        <v>0</v>
      </c>
      <c r="R4392" s="88" t="e">
        <f>-IF(Tabla14[[#This Row],[DIAS HABILES O MORA]]&lt;0,(Tabla14[[#This Row],[VALOR PRESTAMO]]*Tabla14[[#This Row],[% INTERES ]]/30*U4392))+Tabla14[[#This Row],[VALOR CUOTAS]]</f>
        <v>#VALUE!</v>
      </c>
      <c r="S4392" s="88">
        <f>-IF(Tabla14[[#This Row],[DIAS HABILES O MORA]]&lt;0,(Tabla14[[#This Row],[VALOR PRESTAMO]]*Tabla14[[#This Row],[% INTERES ]]/30*U4392))</f>
        <v>0</v>
      </c>
      <c r="T4392" s="53" t="e">
        <f>Tabla14[[#This Row],[DEUDA CAPITAL]]+Tabla14[[#This Row],[INTERES  CUOTA]]</f>
        <v>#NUM!</v>
      </c>
      <c r="U4392" s="61" t="str">
        <f t="shared" si="699"/>
        <v/>
      </c>
    </row>
    <row r="4393" spans="9:21" ht="24.75" customHeight="1" x14ac:dyDescent="0.35">
      <c r="I4393" s="42">
        <f t="shared" si="690"/>
        <v>0</v>
      </c>
      <c r="J4393" s="65" t="e">
        <f t="shared" si="691"/>
        <v>#NUM!</v>
      </c>
      <c r="K4393" s="83" t="e">
        <f t="shared" si="692"/>
        <v>#NUM!</v>
      </c>
      <c r="L4393" s="83">
        <f t="shared" si="693"/>
        <v>0</v>
      </c>
      <c r="M4393" s="110" t="str">
        <f t="shared" si="694"/>
        <v/>
      </c>
      <c r="N4393" s="51" t="str">
        <f t="shared" si="695"/>
        <v/>
      </c>
      <c r="O4393" s="52" t="str">
        <f t="shared" si="696"/>
        <v/>
      </c>
      <c r="P4393" s="88">
        <f t="shared" si="697"/>
        <v>0</v>
      </c>
      <c r="Q4393" s="88">
        <f t="shared" si="698"/>
        <v>0</v>
      </c>
      <c r="R4393" s="88" t="e">
        <f>-IF(Tabla14[[#This Row],[DIAS HABILES O MORA]]&lt;0,(Tabla14[[#This Row],[VALOR PRESTAMO]]*Tabla14[[#This Row],[% INTERES ]]/30*U4393))+Tabla14[[#This Row],[VALOR CUOTAS]]</f>
        <v>#VALUE!</v>
      </c>
      <c r="S4393" s="88">
        <f>-IF(Tabla14[[#This Row],[DIAS HABILES O MORA]]&lt;0,(Tabla14[[#This Row],[VALOR PRESTAMO]]*Tabla14[[#This Row],[% INTERES ]]/30*U4393))</f>
        <v>0</v>
      </c>
      <c r="T4393" s="53" t="e">
        <f>Tabla14[[#This Row],[DEUDA CAPITAL]]+Tabla14[[#This Row],[INTERES  CUOTA]]</f>
        <v>#NUM!</v>
      </c>
      <c r="U4393" s="61" t="str">
        <f t="shared" si="699"/>
        <v/>
      </c>
    </row>
    <row r="4394" spans="9:21" ht="24.75" customHeight="1" x14ac:dyDescent="0.35">
      <c r="I4394" s="42">
        <f t="shared" si="690"/>
        <v>0</v>
      </c>
      <c r="J4394" s="65" t="e">
        <f t="shared" si="691"/>
        <v>#NUM!</v>
      </c>
      <c r="K4394" s="83" t="e">
        <f t="shared" si="692"/>
        <v>#NUM!</v>
      </c>
      <c r="L4394" s="83">
        <f t="shared" si="693"/>
        <v>0</v>
      </c>
      <c r="M4394" s="110" t="str">
        <f t="shared" si="694"/>
        <v/>
      </c>
      <c r="N4394" s="51" t="str">
        <f t="shared" si="695"/>
        <v/>
      </c>
      <c r="O4394" s="52" t="str">
        <f t="shared" si="696"/>
        <v/>
      </c>
      <c r="P4394" s="88">
        <f t="shared" si="697"/>
        <v>0</v>
      </c>
      <c r="Q4394" s="88">
        <f t="shared" si="698"/>
        <v>0</v>
      </c>
      <c r="R4394" s="88" t="e">
        <f>-IF(Tabla14[[#This Row],[DIAS HABILES O MORA]]&lt;0,(Tabla14[[#This Row],[VALOR PRESTAMO]]*Tabla14[[#This Row],[% INTERES ]]/30*U4394))+Tabla14[[#This Row],[VALOR CUOTAS]]</f>
        <v>#VALUE!</v>
      </c>
      <c r="S4394" s="88">
        <f>-IF(Tabla14[[#This Row],[DIAS HABILES O MORA]]&lt;0,(Tabla14[[#This Row],[VALOR PRESTAMO]]*Tabla14[[#This Row],[% INTERES ]]/30*U4394))</f>
        <v>0</v>
      </c>
      <c r="T4394" s="53" t="e">
        <f>Tabla14[[#This Row],[DEUDA CAPITAL]]+Tabla14[[#This Row],[INTERES  CUOTA]]</f>
        <v>#NUM!</v>
      </c>
      <c r="U4394" s="61" t="str">
        <f t="shared" si="699"/>
        <v/>
      </c>
    </row>
    <row r="4395" spans="9:21" ht="24.75" customHeight="1" x14ac:dyDescent="0.35">
      <c r="I4395" s="42">
        <f t="shared" si="690"/>
        <v>0</v>
      </c>
      <c r="J4395" s="65" t="e">
        <f t="shared" si="691"/>
        <v>#NUM!</v>
      </c>
      <c r="K4395" s="83" t="e">
        <f t="shared" si="692"/>
        <v>#NUM!</v>
      </c>
      <c r="L4395" s="83">
        <f t="shared" si="693"/>
        <v>0</v>
      </c>
      <c r="M4395" s="110" t="str">
        <f t="shared" si="694"/>
        <v/>
      </c>
      <c r="N4395" s="51" t="str">
        <f t="shared" si="695"/>
        <v/>
      </c>
      <c r="O4395" s="52" t="str">
        <f t="shared" si="696"/>
        <v/>
      </c>
      <c r="P4395" s="88">
        <f t="shared" si="697"/>
        <v>0</v>
      </c>
      <c r="Q4395" s="88">
        <f t="shared" si="698"/>
        <v>0</v>
      </c>
      <c r="R4395" s="88" t="e">
        <f>-IF(Tabla14[[#This Row],[DIAS HABILES O MORA]]&lt;0,(Tabla14[[#This Row],[VALOR PRESTAMO]]*Tabla14[[#This Row],[% INTERES ]]/30*U4395))+Tabla14[[#This Row],[VALOR CUOTAS]]</f>
        <v>#VALUE!</v>
      </c>
      <c r="S4395" s="88">
        <f>-IF(Tabla14[[#This Row],[DIAS HABILES O MORA]]&lt;0,(Tabla14[[#This Row],[VALOR PRESTAMO]]*Tabla14[[#This Row],[% INTERES ]]/30*U4395))</f>
        <v>0</v>
      </c>
      <c r="T4395" s="53" t="e">
        <f>Tabla14[[#This Row],[DEUDA CAPITAL]]+Tabla14[[#This Row],[INTERES  CUOTA]]</f>
        <v>#NUM!</v>
      </c>
      <c r="U4395" s="61" t="str">
        <f t="shared" si="699"/>
        <v/>
      </c>
    </row>
    <row r="4396" spans="9:21" ht="24.75" customHeight="1" x14ac:dyDescent="0.35">
      <c r="I4396" s="42">
        <f t="shared" si="690"/>
        <v>0</v>
      </c>
      <c r="J4396" s="65" t="e">
        <f t="shared" si="691"/>
        <v>#NUM!</v>
      </c>
      <c r="K4396" s="83" t="e">
        <f t="shared" si="692"/>
        <v>#NUM!</v>
      </c>
      <c r="L4396" s="83">
        <f t="shared" si="693"/>
        <v>0</v>
      </c>
      <c r="M4396" s="110" t="str">
        <f t="shared" si="694"/>
        <v/>
      </c>
      <c r="N4396" s="51" t="str">
        <f t="shared" si="695"/>
        <v/>
      </c>
      <c r="O4396" s="52" t="str">
        <f t="shared" si="696"/>
        <v/>
      </c>
      <c r="P4396" s="88">
        <f t="shared" si="697"/>
        <v>0</v>
      </c>
      <c r="Q4396" s="88">
        <f t="shared" si="698"/>
        <v>0</v>
      </c>
      <c r="R4396" s="88" t="e">
        <f>-IF(Tabla14[[#This Row],[DIAS HABILES O MORA]]&lt;0,(Tabla14[[#This Row],[VALOR PRESTAMO]]*Tabla14[[#This Row],[% INTERES ]]/30*U4396))+Tabla14[[#This Row],[VALOR CUOTAS]]</f>
        <v>#VALUE!</v>
      </c>
      <c r="S4396" s="88">
        <f>-IF(Tabla14[[#This Row],[DIAS HABILES O MORA]]&lt;0,(Tabla14[[#This Row],[VALOR PRESTAMO]]*Tabla14[[#This Row],[% INTERES ]]/30*U4396))</f>
        <v>0</v>
      </c>
      <c r="T4396" s="53" t="e">
        <f>Tabla14[[#This Row],[DEUDA CAPITAL]]+Tabla14[[#This Row],[INTERES  CUOTA]]</f>
        <v>#NUM!</v>
      </c>
      <c r="U4396" s="61" t="str">
        <f t="shared" si="699"/>
        <v/>
      </c>
    </row>
    <row r="4397" spans="9:21" ht="24.75" customHeight="1" x14ac:dyDescent="0.35">
      <c r="I4397" s="42">
        <f t="shared" si="690"/>
        <v>0</v>
      </c>
      <c r="J4397" s="65" t="e">
        <f t="shared" si="691"/>
        <v>#NUM!</v>
      </c>
      <c r="K4397" s="83" t="e">
        <f t="shared" si="692"/>
        <v>#NUM!</v>
      </c>
      <c r="L4397" s="83">
        <f t="shared" si="693"/>
        <v>0</v>
      </c>
      <c r="M4397" s="110" t="str">
        <f t="shared" si="694"/>
        <v/>
      </c>
      <c r="N4397" s="51" t="str">
        <f t="shared" si="695"/>
        <v/>
      </c>
      <c r="O4397" s="52" t="str">
        <f t="shared" si="696"/>
        <v/>
      </c>
      <c r="P4397" s="88">
        <f t="shared" si="697"/>
        <v>0</v>
      </c>
      <c r="Q4397" s="88">
        <f t="shared" si="698"/>
        <v>0</v>
      </c>
      <c r="R4397" s="88" t="e">
        <f>-IF(Tabla14[[#This Row],[DIAS HABILES O MORA]]&lt;0,(Tabla14[[#This Row],[VALOR PRESTAMO]]*Tabla14[[#This Row],[% INTERES ]]/30*U4397))+Tabla14[[#This Row],[VALOR CUOTAS]]</f>
        <v>#VALUE!</v>
      </c>
      <c r="S4397" s="88">
        <f>-IF(Tabla14[[#This Row],[DIAS HABILES O MORA]]&lt;0,(Tabla14[[#This Row],[VALOR PRESTAMO]]*Tabla14[[#This Row],[% INTERES ]]/30*U4397))</f>
        <v>0</v>
      </c>
      <c r="T4397" s="53" t="e">
        <f>Tabla14[[#This Row],[DEUDA CAPITAL]]+Tabla14[[#This Row],[INTERES  CUOTA]]</f>
        <v>#NUM!</v>
      </c>
      <c r="U4397" s="61" t="str">
        <f t="shared" si="699"/>
        <v/>
      </c>
    </row>
    <row r="4398" spans="9:21" ht="24.75" customHeight="1" x14ac:dyDescent="0.35">
      <c r="I4398" s="42">
        <f t="shared" si="690"/>
        <v>0</v>
      </c>
      <c r="J4398" s="65" t="e">
        <f t="shared" si="691"/>
        <v>#NUM!</v>
      </c>
      <c r="K4398" s="83" t="e">
        <f t="shared" si="692"/>
        <v>#NUM!</v>
      </c>
      <c r="L4398" s="83">
        <f t="shared" si="693"/>
        <v>0</v>
      </c>
      <c r="M4398" s="110" t="str">
        <f t="shared" si="694"/>
        <v/>
      </c>
      <c r="N4398" s="51" t="str">
        <f t="shared" si="695"/>
        <v/>
      </c>
      <c r="O4398" s="52" t="str">
        <f t="shared" si="696"/>
        <v/>
      </c>
      <c r="P4398" s="88">
        <f t="shared" si="697"/>
        <v>0</v>
      </c>
      <c r="Q4398" s="88">
        <f t="shared" si="698"/>
        <v>0</v>
      </c>
      <c r="R4398" s="88" t="e">
        <f>-IF(Tabla14[[#This Row],[DIAS HABILES O MORA]]&lt;0,(Tabla14[[#This Row],[VALOR PRESTAMO]]*Tabla14[[#This Row],[% INTERES ]]/30*U4398))+Tabla14[[#This Row],[VALOR CUOTAS]]</f>
        <v>#VALUE!</v>
      </c>
      <c r="S4398" s="88">
        <f>-IF(Tabla14[[#This Row],[DIAS HABILES O MORA]]&lt;0,(Tabla14[[#This Row],[VALOR PRESTAMO]]*Tabla14[[#This Row],[% INTERES ]]/30*U4398))</f>
        <v>0</v>
      </c>
      <c r="T4398" s="53" t="e">
        <f>Tabla14[[#This Row],[DEUDA CAPITAL]]+Tabla14[[#This Row],[INTERES  CUOTA]]</f>
        <v>#NUM!</v>
      </c>
      <c r="U4398" s="61" t="str">
        <f t="shared" si="699"/>
        <v/>
      </c>
    </row>
    <row r="4399" spans="9:21" ht="24.75" customHeight="1" x14ac:dyDescent="0.35">
      <c r="I4399" s="42">
        <f t="shared" si="690"/>
        <v>0</v>
      </c>
      <c r="J4399" s="65" t="e">
        <f t="shared" si="691"/>
        <v>#NUM!</v>
      </c>
      <c r="K4399" s="83" t="e">
        <f t="shared" si="692"/>
        <v>#NUM!</v>
      </c>
      <c r="L4399" s="83">
        <f t="shared" si="693"/>
        <v>0</v>
      </c>
      <c r="M4399" s="110" t="str">
        <f t="shared" si="694"/>
        <v/>
      </c>
      <c r="N4399" s="51" t="str">
        <f t="shared" si="695"/>
        <v/>
      </c>
      <c r="O4399" s="52" t="str">
        <f t="shared" si="696"/>
        <v/>
      </c>
      <c r="P4399" s="88">
        <f t="shared" si="697"/>
        <v>0</v>
      </c>
      <c r="Q4399" s="88">
        <f t="shared" si="698"/>
        <v>0</v>
      </c>
      <c r="R4399" s="88" t="e">
        <f>-IF(Tabla14[[#This Row],[DIAS HABILES O MORA]]&lt;0,(Tabla14[[#This Row],[VALOR PRESTAMO]]*Tabla14[[#This Row],[% INTERES ]]/30*U4399))+Tabla14[[#This Row],[VALOR CUOTAS]]</f>
        <v>#VALUE!</v>
      </c>
      <c r="S4399" s="88">
        <f>-IF(Tabla14[[#This Row],[DIAS HABILES O MORA]]&lt;0,(Tabla14[[#This Row],[VALOR PRESTAMO]]*Tabla14[[#This Row],[% INTERES ]]/30*U4399))</f>
        <v>0</v>
      </c>
      <c r="T4399" s="53" t="e">
        <f>Tabla14[[#This Row],[DEUDA CAPITAL]]+Tabla14[[#This Row],[INTERES  CUOTA]]</f>
        <v>#NUM!</v>
      </c>
      <c r="U4399" s="61" t="str">
        <f t="shared" si="699"/>
        <v/>
      </c>
    </row>
    <row r="4400" spans="9:21" ht="24.75" customHeight="1" x14ac:dyDescent="0.35">
      <c r="I4400" s="42">
        <f t="shared" si="690"/>
        <v>0</v>
      </c>
      <c r="J4400" s="65" t="e">
        <f t="shared" si="691"/>
        <v>#NUM!</v>
      </c>
      <c r="K4400" s="83" t="e">
        <f t="shared" si="692"/>
        <v>#NUM!</v>
      </c>
      <c r="L4400" s="83">
        <f t="shared" si="693"/>
        <v>0</v>
      </c>
      <c r="M4400" s="110" t="str">
        <f t="shared" si="694"/>
        <v/>
      </c>
      <c r="N4400" s="51" t="str">
        <f t="shared" si="695"/>
        <v/>
      </c>
      <c r="O4400" s="52" t="str">
        <f t="shared" si="696"/>
        <v/>
      </c>
      <c r="P4400" s="88">
        <f t="shared" si="697"/>
        <v>0</v>
      </c>
      <c r="Q4400" s="88">
        <f t="shared" si="698"/>
        <v>0</v>
      </c>
      <c r="R4400" s="88" t="e">
        <f>-IF(Tabla14[[#This Row],[DIAS HABILES O MORA]]&lt;0,(Tabla14[[#This Row],[VALOR PRESTAMO]]*Tabla14[[#This Row],[% INTERES ]]/30*U4400))+Tabla14[[#This Row],[VALOR CUOTAS]]</f>
        <v>#VALUE!</v>
      </c>
      <c r="S4400" s="88">
        <f>-IF(Tabla14[[#This Row],[DIAS HABILES O MORA]]&lt;0,(Tabla14[[#This Row],[VALOR PRESTAMO]]*Tabla14[[#This Row],[% INTERES ]]/30*U4400))</f>
        <v>0</v>
      </c>
      <c r="T4400" s="53" t="e">
        <f>Tabla14[[#This Row],[DEUDA CAPITAL]]+Tabla14[[#This Row],[INTERES  CUOTA]]</f>
        <v>#NUM!</v>
      </c>
      <c r="U4400" s="61" t="str">
        <f t="shared" si="699"/>
        <v/>
      </c>
    </row>
    <row r="4401" spans="9:21" ht="24.75" customHeight="1" x14ac:dyDescent="0.35">
      <c r="I4401" s="42">
        <f t="shared" si="690"/>
        <v>0</v>
      </c>
      <c r="J4401" s="65" t="e">
        <f t="shared" si="691"/>
        <v>#NUM!</v>
      </c>
      <c r="K4401" s="83" t="e">
        <f t="shared" si="692"/>
        <v>#NUM!</v>
      </c>
      <c r="L4401" s="83">
        <f t="shared" si="693"/>
        <v>0</v>
      </c>
      <c r="M4401" s="110" t="str">
        <f t="shared" si="694"/>
        <v/>
      </c>
      <c r="N4401" s="51" t="str">
        <f t="shared" si="695"/>
        <v/>
      </c>
      <c r="O4401" s="52" t="str">
        <f t="shared" si="696"/>
        <v/>
      </c>
      <c r="P4401" s="88">
        <f t="shared" si="697"/>
        <v>0</v>
      </c>
      <c r="Q4401" s="88">
        <f t="shared" si="698"/>
        <v>0</v>
      </c>
      <c r="R4401" s="88" t="e">
        <f>-IF(Tabla14[[#This Row],[DIAS HABILES O MORA]]&lt;0,(Tabla14[[#This Row],[VALOR PRESTAMO]]*Tabla14[[#This Row],[% INTERES ]]/30*U4401))+Tabla14[[#This Row],[VALOR CUOTAS]]</f>
        <v>#VALUE!</v>
      </c>
      <c r="S4401" s="88">
        <f>-IF(Tabla14[[#This Row],[DIAS HABILES O MORA]]&lt;0,(Tabla14[[#This Row],[VALOR PRESTAMO]]*Tabla14[[#This Row],[% INTERES ]]/30*U4401))</f>
        <v>0</v>
      </c>
      <c r="T4401" s="53" t="e">
        <f>Tabla14[[#This Row],[DEUDA CAPITAL]]+Tabla14[[#This Row],[INTERES  CUOTA]]</f>
        <v>#NUM!</v>
      </c>
      <c r="U4401" s="61" t="str">
        <f t="shared" si="699"/>
        <v/>
      </c>
    </row>
    <row r="4402" spans="9:21" ht="24.75" customHeight="1" x14ac:dyDescent="0.35">
      <c r="I4402" s="42">
        <f t="shared" si="690"/>
        <v>0</v>
      </c>
      <c r="J4402" s="65" t="e">
        <f t="shared" si="691"/>
        <v>#NUM!</v>
      </c>
      <c r="K4402" s="83" t="e">
        <f t="shared" si="692"/>
        <v>#NUM!</v>
      </c>
      <c r="L4402" s="83">
        <f t="shared" si="693"/>
        <v>0</v>
      </c>
      <c r="M4402" s="110" t="str">
        <f t="shared" si="694"/>
        <v/>
      </c>
      <c r="N4402" s="51" t="str">
        <f t="shared" si="695"/>
        <v/>
      </c>
      <c r="O4402" s="52" t="str">
        <f t="shared" si="696"/>
        <v/>
      </c>
      <c r="P4402" s="88">
        <f t="shared" si="697"/>
        <v>0</v>
      </c>
      <c r="Q4402" s="88">
        <f t="shared" si="698"/>
        <v>0</v>
      </c>
      <c r="R4402" s="88" t="e">
        <f>-IF(Tabla14[[#This Row],[DIAS HABILES O MORA]]&lt;0,(Tabla14[[#This Row],[VALOR PRESTAMO]]*Tabla14[[#This Row],[% INTERES ]]/30*U4402))+Tabla14[[#This Row],[VALOR CUOTAS]]</f>
        <v>#VALUE!</v>
      </c>
      <c r="S4402" s="88">
        <f>-IF(Tabla14[[#This Row],[DIAS HABILES O MORA]]&lt;0,(Tabla14[[#This Row],[VALOR PRESTAMO]]*Tabla14[[#This Row],[% INTERES ]]/30*U4402))</f>
        <v>0</v>
      </c>
      <c r="T4402" s="53" t="e">
        <f>Tabla14[[#This Row],[DEUDA CAPITAL]]+Tabla14[[#This Row],[INTERES  CUOTA]]</f>
        <v>#NUM!</v>
      </c>
      <c r="U4402" s="61" t="str">
        <f t="shared" si="699"/>
        <v/>
      </c>
    </row>
    <row r="4403" spans="9:21" ht="24.75" customHeight="1" x14ac:dyDescent="0.35">
      <c r="I4403" s="42">
        <f t="shared" si="690"/>
        <v>0</v>
      </c>
      <c r="J4403" s="65" t="e">
        <f t="shared" si="691"/>
        <v>#NUM!</v>
      </c>
      <c r="K4403" s="83" t="e">
        <f t="shared" si="692"/>
        <v>#NUM!</v>
      </c>
      <c r="L4403" s="83">
        <f t="shared" si="693"/>
        <v>0</v>
      </c>
      <c r="M4403" s="110" t="str">
        <f t="shared" si="694"/>
        <v/>
      </c>
      <c r="N4403" s="51" t="str">
        <f t="shared" si="695"/>
        <v/>
      </c>
      <c r="O4403" s="52" t="str">
        <f t="shared" si="696"/>
        <v/>
      </c>
      <c r="P4403" s="88">
        <f t="shared" si="697"/>
        <v>0</v>
      </c>
      <c r="Q4403" s="88">
        <f t="shared" si="698"/>
        <v>0</v>
      </c>
      <c r="R4403" s="88" t="e">
        <f>-IF(Tabla14[[#This Row],[DIAS HABILES O MORA]]&lt;0,(Tabla14[[#This Row],[VALOR PRESTAMO]]*Tabla14[[#This Row],[% INTERES ]]/30*U4403))+Tabla14[[#This Row],[VALOR CUOTAS]]</f>
        <v>#VALUE!</v>
      </c>
      <c r="S4403" s="88">
        <f>-IF(Tabla14[[#This Row],[DIAS HABILES O MORA]]&lt;0,(Tabla14[[#This Row],[VALOR PRESTAMO]]*Tabla14[[#This Row],[% INTERES ]]/30*U4403))</f>
        <v>0</v>
      </c>
      <c r="T4403" s="53" t="e">
        <f>Tabla14[[#This Row],[DEUDA CAPITAL]]+Tabla14[[#This Row],[INTERES  CUOTA]]</f>
        <v>#NUM!</v>
      </c>
      <c r="U4403" s="61" t="str">
        <f t="shared" si="699"/>
        <v/>
      </c>
    </row>
    <row r="4404" spans="9:21" ht="24.75" customHeight="1" x14ac:dyDescent="0.35">
      <c r="I4404" s="42">
        <f t="shared" si="690"/>
        <v>0</v>
      </c>
      <c r="J4404" s="65" t="e">
        <f t="shared" si="691"/>
        <v>#NUM!</v>
      </c>
      <c r="K4404" s="83" t="e">
        <f t="shared" si="692"/>
        <v>#NUM!</v>
      </c>
      <c r="L4404" s="83">
        <f t="shared" si="693"/>
        <v>0</v>
      </c>
      <c r="M4404" s="110" t="str">
        <f t="shared" si="694"/>
        <v/>
      </c>
      <c r="N4404" s="51" t="str">
        <f t="shared" si="695"/>
        <v/>
      </c>
      <c r="O4404" s="52" t="str">
        <f t="shared" si="696"/>
        <v/>
      </c>
      <c r="P4404" s="88">
        <f t="shared" si="697"/>
        <v>0</v>
      </c>
      <c r="Q4404" s="88">
        <f t="shared" si="698"/>
        <v>0</v>
      </c>
      <c r="R4404" s="88" t="e">
        <f>-IF(Tabla14[[#This Row],[DIAS HABILES O MORA]]&lt;0,(Tabla14[[#This Row],[VALOR PRESTAMO]]*Tabla14[[#This Row],[% INTERES ]]/30*U4404))+Tabla14[[#This Row],[VALOR CUOTAS]]</f>
        <v>#VALUE!</v>
      </c>
      <c r="S4404" s="88">
        <f>-IF(Tabla14[[#This Row],[DIAS HABILES O MORA]]&lt;0,(Tabla14[[#This Row],[VALOR PRESTAMO]]*Tabla14[[#This Row],[% INTERES ]]/30*U4404))</f>
        <v>0</v>
      </c>
      <c r="T4404" s="53" t="e">
        <f>Tabla14[[#This Row],[DEUDA CAPITAL]]+Tabla14[[#This Row],[INTERES  CUOTA]]</f>
        <v>#NUM!</v>
      </c>
      <c r="U4404" s="61" t="str">
        <f t="shared" si="699"/>
        <v/>
      </c>
    </row>
    <row r="4405" spans="9:21" ht="24.75" customHeight="1" x14ac:dyDescent="0.35">
      <c r="I4405" s="42">
        <f t="shared" si="690"/>
        <v>0</v>
      </c>
      <c r="J4405" s="65" t="e">
        <f t="shared" si="691"/>
        <v>#NUM!</v>
      </c>
      <c r="K4405" s="83" t="e">
        <f t="shared" si="692"/>
        <v>#NUM!</v>
      </c>
      <c r="L4405" s="83">
        <f t="shared" si="693"/>
        <v>0</v>
      </c>
      <c r="M4405" s="110" t="str">
        <f t="shared" si="694"/>
        <v/>
      </c>
      <c r="N4405" s="51" t="str">
        <f t="shared" si="695"/>
        <v/>
      </c>
      <c r="O4405" s="52" t="str">
        <f t="shared" si="696"/>
        <v/>
      </c>
      <c r="P4405" s="88">
        <f t="shared" si="697"/>
        <v>0</v>
      </c>
      <c r="Q4405" s="88">
        <f t="shared" si="698"/>
        <v>0</v>
      </c>
      <c r="R4405" s="88" t="e">
        <f>-IF(Tabla14[[#This Row],[DIAS HABILES O MORA]]&lt;0,(Tabla14[[#This Row],[VALOR PRESTAMO]]*Tabla14[[#This Row],[% INTERES ]]/30*U4405))+Tabla14[[#This Row],[VALOR CUOTAS]]</f>
        <v>#VALUE!</v>
      </c>
      <c r="S4405" s="88">
        <f>-IF(Tabla14[[#This Row],[DIAS HABILES O MORA]]&lt;0,(Tabla14[[#This Row],[VALOR PRESTAMO]]*Tabla14[[#This Row],[% INTERES ]]/30*U4405))</f>
        <v>0</v>
      </c>
      <c r="T4405" s="53" t="e">
        <f>Tabla14[[#This Row],[DEUDA CAPITAL]]+Tabla14[[#This Row],[INTERES  CUOTA]]</f>
        <v>#NUM!</v>
      </c>
      <c r="U4405" s="61" t="str">
        <f t="shared" si="699"/>
        <v/>
      </c>
    </row>
    <row r="4406" spans="9:21" ht="24.75" customHeight="1" x14ac:dyDescent="0.35">
      <c r="I4406" s="42">
        <f t="shared" si="690"/>
        <v>0</v>
      </c>
      <c r="J4406" s="65" t="e">
        <f t="shared" si="691"/>
        <v>#NUM!</v>
      </c>
      <c r="K4406" s="83" t="e">
        <f t="shared" si="692"/>
        <v>#NUM!</v>
      </c>
      <c r="L4406" s="83">
        <f t="shared" si="693"/>
        <v>0</v>
      </c>
      <c r="M4406" s="110" t="str">
        <f t="shared" si="694"/>
        <v/>
      </c>
      <c r="N4406" s="51" t="str">
        <f t="shared" si="695"/>
        <v/>
      </c>
      <c r="O4406" s="52" t="str">
        <f t="shared" si="696"/>
        <v/>
      </c>
      <c r="P4406" s="88">
        <f t="shared" si="697"/>
        <v>0</v>
      </c>
      <c r="Q4406" s="88">
        <f t="shared" si="698"/>
        <v>0</v>
      </c>
      <c r="R4406" s="88" t="e">
        <f>-IF(Tabla14[[#This Row],[DIAS HABILES O MORA]]&lt;0,(Tabla14[[#This Row],[VALOR PRESTAMO]]*Tabla14[[#This Row],[% INTERES ]]/30*U4406))+Tabla14[[#This Row],[VALOR CUOTAS]]</f>
        <v>#VALUE!</v>
      </c>
      <c r="S4406" s="88">
        <f>-IF(Tabla14[[#This Row],[DIAS HABILES O MORA]]&lt;0,(Tabla14[[#This Row],[VALOR PRESTAMO]]*Tabla14[[#This Row],[% INTERES ]]/30*U4406))</f>
        <v>0</v>
      </c>
      <c r="T4406" s="53" t="e">
        <f>Tabla14[[#This Row],[DEUDA CAPITAL]]+Tabla14[[#This Row],[INTERES  CUOTA]]</f>
        <v>#NUM!</v>
      </c>
      <c r="U4406" s="61" t="str">
        <f t="shared" si="699"/>
        <v/>
      </c>
    </row>
    <row r="4407" spans="9:21" ht="24.75" customHeight="1" x14ac:dyDescent="0.35">
      <c r="I4407" s="42">
        <f t="shared" si="690"/>
        <v>0</v>
      </c>
      <c r="J4407" s="65" t="e">
        <f t="shared" si="691"/>
        <v>#NUM!</v>
      </c>
      <c r="K4407" s="83" t="e">
        <f t="shared" si="692"/>
        <v>#NUM!</v>
      </c>
      <c r="L4407" s="83">
        <f t="shared" si="693"/>
        <v>0</v>
      </c>
      <c r="M4407" s="110" t="str">
        <f t="shared" si="694"/>
        <v/>
      </c>
      <c r="N4407" s="51" t="str">
        <f t="shared" si="695"/>
        <v/>
      </c>
      <c r="O4407" s="52" t="str">
        <f t="shared" si="696"/>
        <v/>
      </c>
      <c r="P4407" s="88">
        <f t="shared" si="697"/>
        <v>0</v>
      </c>
      <c r="Q4407" s="88">
        <f t="shared" si="698"/>
        <v>0</v>
      </c>
      <c r="R4407" s="88" t="e">
        <f>-IF(Tabla14[[#This Row],[DIAS HABILES O MORA]]&lt;0,(Tabla14[[#This Row],[VALOR PRESTAMO]]*Tabla14[[#This Row],[% INTERES ]]/30*U4407))+Tabla14[[#This Row],[VALOR CUOTAS]]</f>
        <v>#VALUE!</v>
      </c>
      <c r="S4407" s="88">
        <f>-IF(Tabla14[[#This Row],[DIAS HABILES O MORA]]&lt;0,(Tabla14[[#This Row],[VALOR PRESTAMO]]*Tabla14[[#This Row],[% INTERES ]]/30*U4407))</f>
        <v>0</v>
      </c>
      <c r="T4407" s="53" t="e">
        <f>Tabla14[[#This Row],[DEUDA CAPITAL]]+Tabla14[[#This Row],[INTERES  CUOTA]]</f>
        <v>#NUM!</v>
      </c>
      <c r="U4407" s="61" t="str">
        <f t="shared" si="699"/>
        <v/>
      </c>
    </row>
    <row r="4408" spans="9:21" ht="24.75" customHeight="1" x14ac:dyDescent="0.35">
      <c r="I4408" s="42">
        <f t="shared" si="690"/>
        <v>0</v>
      </c>
      <c r="J4408" s="65" t="e">
        <f t="shared" si="691"/>
        <v>#NUM!</v>
      </c>
      <c r="K4408" s="83" t="e">
        <f t="shared" si="692"/>
        <v>#NUM!</v>
      </c>
      <c r="L4408" s="83">
        <f t="shared" si="693"/>
        <v>0</v>
      </c>
      <c r="M4408" s="110" t="str">
        <f t="shared" si="694"/>
        <v/>
      </c>
      <c r="N4408" s="51" t="str">
        <f t="shared" si="695"/>
        <v/>
      </c>
      <c r="O4408" s="52" t="str">
        <f t="shared" si="696"/>
        <v/>
      </c>
      <c r="P4408" s="88">
        <f t="shared" si="697"/>
        <v>0</v>
      </c>
      <c r="Q4408" s="88">
        <f t="shared" si="698"/>
        <v>0</v>
      </c>
      <c r="R4408" s="88" t="e">
        <f>-IF(Tabla14[[#This Row],[DIAS HABILES O MORA]]&lt;0,(Tabla14[[#This Row],[VALOR PRESTAMO]]*Tabla14[[#This Row],[% INTERES ]]/30*U4408))+Tabla14[[#This Row],[VALOR CUOTAS]]</f>
        <v>#VALUE!</v>
      </c>
      <c r="S4408" s="88">
        <f>-IF(Tabla14[[#This Row],[DIAS HABILES O MORA]]&lt;0,(Tabla14[[#This Row],[VALOR PRESTAMO]]*Tabla14[[#This Row],[% INTERES ]]/30*U4408))</f>
        <v>0</v>
      </c>
      <c r="T4408" s="53" t="e">
        <f>Tabla14[[#This Row],[DEUDA CAPITAL]]+Tabla14[[#This Row],[INTERES  CUOTA]]</f>
        <v>#NUM!</v>
      </c>
      <c r="U4408" s="61" t="str">
        <f t="shared" si="699"/>
        <v/>
      </c>
    </row>
    <row r="4409" spans="9:21" ht="24.75" customHeight="1" x14ac:dyDescent="0.35">
      <c r="I4409" s="42">
        <f t="shared" si="690"/>
        <v>0</v>
      </c>
      <c r="J4409" s="65" t="e">
        <f t="shared" si="691"/>
        <v>#NUM!</v>
      </c>
      <c r="K4409" s="83" t="e">
        <f t="shared" si="692"/>
        <v>#NUM!</v>
      </c>
      <c r="L4409" s="83">
        <f t="shared" si="693"/>
        <v>0</v>
      </c>
      <c r="M4409" s="110" t="str">
        <f t="shared" si="694"/>
        <v/>
      </c>
      <c r="N4409" s="51" t="str">
        <f t="shared" si="695"/>
        <v/>
      </c>
      <c r="O4409" s="52" t="str">
        <f t="shared" si="696"/>
        <v/>
      </c>
      <c r="P4409" s="88">
        <f t="shared" si="697"/>
        <v>0</v>
      </c>
      <c r="Q4409" s="88">
        <f t="shared" si="698"/>
        <v>0</v>
      </c>
      <c r="R4409" s="88" t="e">
        <f>-IF(Tabla14[[#This Row],[DIAS HABILES O MORA]]&lt;0,(Tabla14[[#This Row],[VALOR PRESTAMO]]*Tabla14[[#This Row],[% INTERES ]]/30*U4409))+Tabla14[[#This Row],[VALOR CUOTAS]]</f>
        <v>#VALUE!</v>
      </c>
      <c r="S4409" s="88">
        <f>-IF(Tabla14[[#This Row],[DIAS HABILES O MORA]]&lt;0,(Tabla14[[#This Row],[VALOR PRESTAMO]]*Tabla14[[#This Row],[% INTERES ]]/30*U4409))</f>
        <v>0</v>
      </c>
      <c r="T4409" s="53" t="e">
        <f>Tabla14[[#This Row],[DEUDA CAPITAL]]+Tabla14[[#This Row],[INTERES  CUOTA]]</f>
        <v>#NUM!</v>
      </c>
      <c r="U4409" s="61" t="str">
        <f t="shared" si="699"/>
        <v/>
      </c>
    </row>
    <row r="4410" spans="9:21" ht="24.75" customHeight="1" x14ac:dyDescent="0.35">
      <c r="I4410" s="42">
        <f t="shared" si="690"/>
        <v>0</v>
      </c>
      <c r="J4410" s="65" t="e">
        <f t="shared" si="691"/>
        <v>#NUM!</v>
      </c>
      <c r="K4410" s="83" t="e">
        <f t="shared" si="692"/>
        <v>#NUM!</v>
      </c>
      <c r="L4410" s="83">
        <f t="shared" si="693"/>
        <v>0</v>
      </c>
      <c r="M4410" s="110" t="str">
        <f t="shared" si="694"/>
        <v/>
      </c>
      <c r="N4410" s="51" t="str">
        <f t="shared" si="695"/>
        <v/>
      </c>
      <c r="O4410" s="52" t="str">
        <f t="shared" si="696"/>
        <v/>
      </c>
      <c r="P4410" s="88">
        <f t="shared" si="697"/>
        <v>0</v>
      </c>
      <c r="Q4410" s="88">
        <f t="shared" si="698"/>
        <v>0</v>
      </c>
      <c r="R4410" s="88" t="e">
        <f>-IF(Tabla14[[#This Row],[DIAS HABILES O MORA]]&lt;0,(Tabla14[[#This Row],[VALOR PRESTAMO]]*Tabla14[[#This Row],[% INTERES ]]/30*U4410))+Tabla14[[#This Row],[VALOR CUOTAS]]</f>
        <v>#VALUE!</v>
      </c>
      <c r="S4410" s="88">
        <f>-IF(Tabla14[[#This Row],[DIAS HABILES O MORA]]&lt;0,(Tabla14[[#This Row],[VALOR PRESTAMO]]*Tabla14[[#This Row],[% INTERES ]]/30*U4410))</f>
        <v>0</v>
      </c>
      <c r="T4410" s="53" t="e">
        <f>Tabla14[[#This Row],[DEUDA CAPITAL]]+Tabla14[[#This Row],[INTERES  CUOTA]]</f>
        <v>#NUM!</v>
      </c>
      <c r="U4410" s="61" t="str">
        <f t="shared" si="699"/>
        <v/>
      </c>
    </row>
    <row r="4411" spans="9:21" ht="24.75" customHeight="1" x14ac:dyDescent="0.35">
      <c r="I4411" s="42">
        <f t="shared" si="690"/>
        <v>0</v>
      </c>
      <c r="J4411" s="65" t="e">
        <f t="shared" si="691"/>
        <v>#NUM!</v>
      </c>
      <c r="K4411" s="83" t="e">
        <f t="shared" si="692"/>
        <v>#NUM!</v>
      </c>
      <c r="L4411" s="83">
        <f t="shared" si="693"/>
        <v>0</v>
      </c>
      <c r="M4411" s="110" t="str">
        <f t="shared" si="694"/>
        <v/>
      </c>
      <c r="N4411" s="51" t="str">
        <f t="shared" si="695"/>
        <v/>
      </c>
      <c r="O4411" s="52" t="str">
        <f t="shared" si="696"/>
        <v/>
      </c>
      <c r="P4411" s="88">
        <f t="shared" si="697"/>
        <v>0</v>
      </c>
      <c r="Q4411" s="88">
        <f t="shared" si="698"/>
        <v>0</v>
      </c>
      <c r="R4411" s="88" t="e">
        <f>-IF(Tabla14[[#This Row],[DIAS HABILES O MORA]]&lt;0,(Tabla14[[#This Row],[VALOR PRESTAMO]]*Tabla14[[#This Row],[% INTERES ]]/30*U4411))+Tabla14[[#This Row],[VALOR CUOTAS]]</f>
        <v>#VALUE!</v>
      </c>
      <c r="S4411" s="88">
        <f>-IF(Tabla14[[#This Row],[DIAS HABILES O MORA]]&lt;0,(Tabla14[[#This Row],[VALOR PRESTAMO]]*Tabla14[[#This Row],[% INTERES ]]/30*U4411))</f>
        <v>0</v>
      </c>
      <c r="T4411" s="53" t="e">
        <f>Tabla14[[#This Row],[DEUDA CAPITAL]]+Tabla14[[#This Row],[INTERES  CUOTA]]</f>
        <v>#NUM!</v>
      </c>
      <c r="U4411" s="61" t="str">
        <f t="shared" si="699"/>
        <v/>
      </c>
    </row>
    <row r="4412" spans="9:21" ht="24.75" customHeight="1" x14ac:dyDescent="0.35">
      <c r="I4412" s="42">
        <f t="shared" si="690"/>
        <v>0</v>
      </c>
      <c r="J4412" s="65" t="e">
        <f t="shared" si="691"/>
        <v>#NUM!</v>
      </c>
      <c r="K4412" s="83" t="e">
        <f t="shared" si="692"/>
        <v>#NUM!</v>
      </c>
      <c r="L4412" s="83">
        <f t="shared" si="693"/>
        <v>0</v>
      </c>
      <c r="M4412" s="110" t="str">
        <f t="shared" si="694"/>
        <v/>
      </c>
      <c r="N4412" s="51" t="str">
        <f t="shared" si="695"/>
        <v/>
      </c>
      <c r="O4412" s="52" t="str">
        <f t="shared" si="696"/>
        <v/>
      </c>
      <c r="P4412" s="88">
        <f t="shared" si="697"/>
        <v>0</v>
      </c>
      <c r="Q4412" s="88">
        <f t="shared" si="698"/>
        <v>0</v>
      </c>
      <c r="R4412" s="88" t="e">
        <f>-IF(Tabla14[[#This Row],[DIAS HABILES O MORA]]&lt;0,(Tabla14[[#This Row],[VALOR PRESTAMO]]*Tabla14[[#This Row],[% INTERES ]]/30*U4412))+Tabla14[[#This Row],[VALOR CUOTAS]]</f>
        <v>#VALUE!</v>
      </c>
      <c r="S4412" s="88">
        <f>-IF(Tabla14[[#This Row],[DIAS HABILES O MORA]]&lt;0,(Tabla14[[#This Row],[VALOR PRESTAMO]]*Tabla14[[#This Row],[% INTERES ]]/30*U4412))</f>
        <v>0</v>
      </c>
      <c r="T4412" s="53" t="e">
        <f>Tabla14[[#This Row],[DEUDA CAPITAL]]+Tabla14[[#This Row],[INTERES  CUOTA]]</f>
        <v>#NUM!</v>
      </c>
      <c r="U4412" s="61" t="str">
        <f t="shared" si="699"/>
        <v/>
      </c>
    </row>
    <row r="4413" spans="9:21" ht="24.75" customHeight="1" x14ac:dyDescent="0.35">
      <c r="I4413" s="42">
        <f t="shared" si="690"/>
        <v>0</v>
      </c>
      <c r="J4413" s="65" t="e">
        <f t="shared" si="691"/>
        <v>#NUM!</v>
      </c>
      <c r="K4413" s="83" t="e">
        <f t="shared" si="692"/>
        <v>#NUM!</v>
      </c>
      <c r="L4413" s="83">
        <f t="shared" si="693"/>
        <v>0</v>
      </c>
      <c r="M4413" s="110" t="str">
        <f t="shared" si="694"/>
        <v/>
      </c>
      <c r="N4413" s="51" t="str">
        <f t="shared" si="695"/>
        <v/>
      </c>
      <c r="O4413" s="52" t="str">
        <f t="shared" si="696"/>
        <v/>
      </c>
      <c r="P4413" s="88">
        <f t="shared" si="697"/>
        <v>0</v>
      </c>
      <c r="Q4413" s="88">
        <f t="shared" si="698"/>
        <v>0</v>
      </c>
      <c r="R4413" s="88" t="e">
        <f>-IF(Tabla14[[#This Row],[DIAS HABILES O MORA]]&lt;0,(Tabla14[[#This Row],[VALOR PRESTAMO]]*Tabla14[[#This Row],[% INTERES ]]/30*U4413))+Tabla14[[#This Row],[VALOR CUOTAS]]</f>
        <v>#VALUE!</v>
      </c>
      <c r="S4413" s="88">
        <f>-IF(Tabla14[[#This Row],[DIAS HABILES O MORA]]&lt;0,(Tabla14[[#This Row],[VALOR PRESTAMO]]*Tabla14[[#This Row],[% INTERES ]]/30*U4413))</f>
        <v>0</v>
      </c>
      <c r="T4413" s="53" t="e">
        <f>Tabla14[[#This Row],[DEUDA CAPITAL]]+Tabla14[[#This Row],[INTERES  CUOTA]]</f>
        <v>#NUM!</v>
      </c>
      <c r="U4413" s="61" t="str">
        <f t="shared" si="699"/>
        <v/>
      </c>
    </row>
    <row r="4414" spans="9:21" ht="24.75" customHeight="1" x14ac:dyDescent="0.35">
      <c r="I4414" s="42">
        <f t="shared" si="690"/>
        <v>0</v>
      </c>
      <c r="J4414" s="65" t="e">
        <f t="shared" si="691"/>
        <v>#NUM!</v>
      </c>
      <c r="K4414" s="83" t="e">
        <f t="shared" si="692"/>
        <v>#NUM!</v>
      </c>
      <c r="L4414" s="83">
        <f t="shared" si="693"/>
        <v>0</v>
      </c>
      <c r="M4414" s="110" t="str">
        <f t="shared" si="694"/>
        <v/>
      </c>
      <c r="N4414" s="51" t="str">
        <f t="shared" si="695"/>
        <v/>
      </c>
      <c r="O4414" s="52" t="str">
        <f t="shared" si="696"/>
        <v/>
      </c>
      <c r="P4414" s="88">
        <f t="shared" si="697"/>
        <v>0</v>
      </c>
      <c r="Q4414" s="88">
        <f t="shared" si="698"/>
        <v>0</v>
      </c>
      <c r="R4414" s="88" t="e">
        <f>-IF(Tabla14[[#This Row],[DIAS HABILES O MORA]]&lt;0,(Tabla14[[#This Row],[VALOR PRESTAMO]]*Tabla14[[#This Row],[% INTERES ]]/30*U4414))+Tabla14[[#This Row],[VALOR CUOTAS]]</f>
        <v>#VALUE!</v>
      </c>
      <c r="S4414" s="88">
        <f>-IF(Tabla14[[#This Row],[DIAS HABILES O MORA]]&lt;0,(Tabla14[[#This Row],[VALOR PRESTAMO]]*Tabla14[[#This Row],[% INTERES ]]/30*U4414))</f>
        <v>0</v>
      </c>
      <c r="T4414" s="53" t="e">
        <f>Tabla14[[#This Row],[DEUDA CAPITAL]]+Tabla14[[#This Row],[INTERES  CUOTA]]</f>
        <v>#NUM!</v>
      </c>
      <c r="U4414" s="61" t="str">
        <f t="shared" si="699"/>
        <v/>
      </c>
    </row>
    <row r="4415" spans="9:21" ht="24.75" customHeight="1" x14ac:dyDescent="0.35">
      <c r="I4415" s="42">
        <f t="shared" si="690"/>
        <v>0</v>
      </c>
      <c r="J4415" s="65" t="e">
        <f t="shared" si="691"/>
        <v>#NUM!</v>
      </c>
      <c r="K4415" s="83" t="e">
        <f t="shared" si="692"/>
        <v>#NUM!</v>
      </c>
      <c r="L4415" s="83">
        <f t="shared" si="693"/>
        <v>0</v>
      </c>
      <c r="M4415" s="110" t="str">
        <f t="shared" si="694"/>
        <v/>
      </c>
      <c r="N4415" s="51" t="str">
        <f t="shared" si="695"/>
        <v/>
      </c>
      <c r="O4415" s="52" t="str">
        <f t="shared" si="696"/>
        <v/>
      </c>
      <c r="P4415" s="88">
        <f t="shared" si="697"/>
        <v>0</v>
      </c>
      <c r="Q4415" s="88">
        <f t="shared" si="698"/>
        <v>0</v>
      </c>
      <c r="R4415" s="88" t="e">
        <f>-IF(Tabla14[[#This Row],[DIAS HABILES O MORA]]&lt;0,(Tabla14[[#This Row],[VALOR PRESTAMO]]*Tabla14[[#This Row],[% INTERES ]]/30*U4415))+Tabla14[[#This Row],[VALOR CUOTAS]]</f>
        <v>#VALUE!</v>
      </c>
      <c r="S4415" s="88">
        <f>-IF(Tabla14[[#This Row],[DIAS HABILES O MORA]]&lt;0,(Tabla14[[#This Row],[VALOR PRESTAMO]]*Tabla14[[#This Row],[% INTERES ]]/30*U4415))</f>
        <v>0</v>
      </c>
      <c r="T4415" s="53" t="e">
        <f>Tabla14[[#This Row],[DEUDA CAPITAL]]+Tabla14[[#This Row],[INTERES  CUOTA]]</f>
        <v>#NUM!</v>
      </c>
      <c r="U4415" s="61" t="str">
        <f t="shared" si="699"/>
        <v/>
      </c>
    </row>
    <row r="4416" spans="9:21" ht="24.75" customHeight="1" x14ac:dyDescent="0.35">
      <c r="I4416" s="42">
        <f t="shared" si="690"/>
        <v>0</v>
      </c>
      <c r="J4416" s="65" t="e">
        <f t="shared" si="691"/>
        <v>#NUM!</v>
      </c>
      <c r="K4416" s="83" t="e">
        <f t="shared" si="692"/>
        <v>#NUM!</v>
      </c>
      <c r="L4416" s="83">
        <f t="shared" si="693"/>
        <v>0</v>
      </c>
      <c r="M4416" s="110" t="str">
        <f t="shared" si="694"/>
        <v/>
      </c>
      <c r="N4416" s="51" t="str">
        <f t="shared" si="695"/>
        <v/>
      </c>
      <c r="O4416" s="52" t="str">
        <f t="shared" si="696"/>
        <v/>
      </c>
      <c r="P4416" s="88">
        <f t="shared" si="697"/>
        <v>0</v>
      </c>
      <c r="Q4416" s="88">
        <f t="shared" si="698"/>
        <v>0</v>
      </c>
      <c r="R4416" s="88" t="e">
        <f>-IF(Tabla14[[#This Row],[DIAS HABILES O MORA]]&lt;0,(Tabla14[[#This Row],[VALOR PRESTAMO]]*Tabla14[[#This Row],[% INTERES ]]/30*U4416))+Tabla14[[#This Row],[VALOR CUOTAS]]</f>
        <v>#VALUE!</v>
      </c>
      <c r="S4416" s="88">
        <f>-IF(Tabla14[[#This Row],[DIAS HABILES O MORA]]&lt;0,(Tabla14[[#This Row],[VALOR PRESTAMO]]*Tabla14[[#This Row],[% INTERES ]]/30*U4416))</f>
        <v>0</v>
      </c>
      <c r="T4416" s="53" t="e">
        <f>Tabla14[[#This Row],[DEUDA CAPITAL]]+Tabla14[[#This Row],[INTERES  CUOTA]]</f>
        <v>#NUM!</v>
      </c>
      <c r="U4416" s="61" t="str">
        <f t="shared" si="699"/>
        <v/>
      </c>
    </row>
    <row r="4417" spans="9:21" ht="24.75" customHeight="1" x14ac:dyDescent="0.35">
      <c r="I4417" s="42">
        <f t="shared" si="690"/>
        <v>0</v>
      </c>
      <c r="J4417" s="65" t="e">
        <f t="shared" si="691"/>
        <v>#NUM!</v>
      </c>
      <c r="K4417" s="83" t="e">
        <f t="shared" si="692"/>
        <v>#NUM!</v>
      </c>
      <c r="L4417" s="83">
        <f t="shared" si="693"/>
        <v>0</v>
      </c>
      <c r="M4417" s="110" t="str">
        <f t="shared" si="694"/>
        <v/>
      </c>
      <c r="N4417" s="51" t="str">
        <f t="shared" si="695"/>
        <v/>
      </c>
      <c r="O4417" s="52" t="str">
        <f t="shared" si="696"/>
        <v/>
      </c>
      <c r="P4417" s="88">
        <f t="shared" si="697"/>
        <v>0</v>
      </c>
      <c r="Q4417" s="88">
        <f t="shared" si="698"/>
        <v>0</v>
      </c>
      <c r="R4417" s="88" t="e">
        <f>-IF(Tabla14[[#This Row],[DIAS HABILES O MORA]]&lt;0,(Tabla14[[#This Row],[VALOR PRESTAMO]]*Tabla14[[#This Row],[% INTERES ]]/30*U4417))+Tabla14[[#This Row],[VALOR CUOTAS]]</f>
        <v>#VALUE!</v>
      </c>
      <c r="S4417" s="88">
        <f>-IF(Tabla14[[#This Row],[DIAS HABILES O MORA]]&lt;0,(Tabla14[[#This Row],[VALOR PRESTAMO]]*Tabla14[[#This Row],[% INTERES ]]/30*U4417))</f>
        <v>0</v>
      </c>
      <c r="T4417" s="53" t="e">
        <f>Tabla14[[#This Row],[DEUDA CAPITAL]]+Tabla14[[#This Row],[INTERES  CUOTA]]</f>
        <v>#NUM!</v>
      </c>
      <c r="U4417" s="61" t="str">
        <f t="shared" si="699"/>
        <v/>
      </c>
    </row>
    <row r="4418" spans="9:21" ht="24.75" customHeight="1" x14ac:dyDescent="0.35">
      <c r="I4418" s="42">
        <f t="shared" si="690"/>
        <v>0</v>
      </c>
      <c r="J4418" s="65" t="e">
        <f t="shared" si="691"/>
        <v>#NUM!</v>
      </c>
      <c r="K4418" s="83" t="e">
        <f t="shared" si="692"/>
        <v>#NUM!</v>
      </c>
      <c r="L4418" s="83">
        <f t="shared" si="693"/>
        <v>0</v>
      </c>
      <c r="M4418" s="110" t="str">
        <f t="shared" si="694"/>
        <v/>
      </c>
      <c r="N4418" s="51" t="str">
        <f t="shared" si="695"/>
        <v/>
      </c>
      <c r="O4418" s="52" t="str">
        <f t="shared" si="696"/>
        <v/>
      </c>
      <c r="P4418" s="88">
        <f t="shared" si="697"/>
        <v>0</v>
      </c>
      <c r="Q4418" s="88">
        <f t="shared" si="698"/>
        <v>0</v>
      </c>
      <c r="R4418" s="88" t="e">
        <f>-IF(Tabla14[[#This Row],[DIAS HABILES O MORA]]&lt;0,(Tabla14[[#This Row],[VALOR PRESTAMO]]*Tabla14[[#This Row],[% INTERES ]]/30*U4418))+Tabla14[[#This Row],[VALOR CUOTAS]]</f>
        <v>#VALUE!</v>
      </c>
      <c r="S4418" s="88">
        <f>-IF(Tabla14[[#This Row],[DIAS HABILES O MORA]]&lt;0,(Tabla14[[#This Row],[VALOR PRESTAMO]]*Tabla14[[#This Row],[% INTERES ]]/30*U4418))</f>
        <v>0</v>
      </c>
      <c r="T4418" s="53" t="e">
        <f>Tabla14[[#This Row],[DEUDA CAPITAL]]+Tabla14[[#This Row],[INTERES  CUOTA]]</f>
        <v>#NUM!</v>
      </c>
      <c r="U4418" s="61" t="str">
        <f t="shared" si="699"/>
        <v/>
      </c>
    </row>
    <row r="4419" spans="9:21" ht="24.75" customHeight="1" x14ac:dyDescent="0.35">
      <c r="I4419" s="42">
        <f t="shared" si="690"/>
        <v>0</v>
      </c>
      <c r="J4419" s="65" t="e">
        <f t="shared" si="691"/>
        <v>#NUM!</v>
      </c>
      <c r="K4419" s="83" t="e">
        <f t="shared" si="692"/>
        <v>#NUM!</v>
      </c>
      <c r="L4419" s="83">
        <f t="shared" si="693"/>
        <v>0</v>
      </c>
      <c r="M4419" s="110" t="str">
        <f t="shared" si="694"/>
        <v/>
      </c>
      <c r="N4419" s="51" t="str">
        <f t="shared" si="695"/>
        <v/>
      </c>
      <c r="O4419" s="52" t="str">
        <f t="shared" si="696"/>
        <v/>
      </c>
      <c r="P4419" s="88">
        <f t="shared" si="697"/>
        <v>0</v>
      </c>
      <c r="Q4419" s="88">
        <f t="shared" si="698"/>
        <v>0</v>
      </c>
      <c r="R4419" s="88" t="e">
        <f>-IF(Tabla14[[#This Row],[DIAS HABILES O MORA]]&lt;0,(Tabla14[[#This Row],[VALOR PRESTAMO]]*Tabla14[[#This Row],[% INTERES ]]/30*U4419))+Tabla14[[#This Row],[VALOR CUOTAS]]</f>
        <v>#VALUE!</v>
      </c>
      <c r="S4419" s="88">
        <f>-IF(Tabla14[[#This Row],[DIAS HABILES O MORA]]&lt;0,(Tabla14[[#This Row],[VALOR PRESTAMO]]*Tabla14[[#This Row],[% INTERES ]]/30*U4419))</f>
        <v>0</v>
      </c>
      <c r="T4419" s="53" t="e">
        <f>Tabla14[[#This Row],[DEUDA CAPITAL]]+Tabla14[[#This Row],[INTERES  CUOTA]]</f>
        <v>#NUM!</v>
      </c>
      <c r="U4419" s="61" t="str">
        <f t="shared" si="699"/>
        <v/>
      </c>
    </row>
    <row r="4420" spans="9:21" ht="24.75" customHeight="1" x14ac:dyDescent="0.35">
      <c r="I4420" s="42">
        <f t="shared" si="690"/>
        <v>0</v>
      </c>
      <c r="J4420" s="65" t="e">
        <f t="shared" si="691"/>
        <v>#NUM!</v>
      </c>
      <c r="K4420" s="83" t="e">
        <f t="shared" si="692"/>
        <v>#NUM!</v>
      </c>
      <c r="L4420" s="83">
        <f t="shared" si="693"/>
        <v>0</v>
      </c>
      <c r="M4420" s="110" t="str">
        <f t="shared" si="694"/>
        <v/>
      </c>
      <c r="N4420" s="51" t="str">
        <f t="shared" si="695"/>
        <v/>
      </c>
      <c r="O4420" s="52" t="str">
        <f t="shared" si="696"/>
        <v/>
      </c>
      <c r="P4420" s="88">
        <f t="shared" si="697"/>
        <v>0</v>
      </c>
      <c r="Q4420" s="88">
        <f t="shared" si="698"/>
        <v>0</v>
      </c>
      <c r="R4420" s="88" t="e">
        <f>-IF(Tabla14[[#This Row],[DIAS HABILES O MORA]]&lt;0,(Tabla14[[#This Row],[VALOR PRESTAMO]]*Tabla14[[#This Row],[% INTERES ]]/30*U4420))+Tabla14[[#This Row],[VALOR CUOTAS]]</f>
        <v>#VALUE!</v>
      </c>
      <c r="S4420" s="88">
        <f>-IF(Tabla14[[#This Row],[DIAS HABILES O MORA]]&lt;0,(Tabla14[[#This Row],[VALOR PRESTAMO]]*Tabla14[[#This Row],[% INTERES ]]/30*U4420))</f>
        <v>0</v>
      </c>
      <c r="T4420" s="53" t="e">
        <f>Tabla14[[#This Row],[DEUDA CAPITAL]]+Tabla14[[#This Row],[INTERES  CUOTA]]</f>
        <v>#NUM!</v>
      </c>
      <c r="U4420" s="61" t="str">
        <f t="shared" si="699"/>
        <v/>
      </c>
    </row>
    <row r="4421" spans="9:21" ht="24.75" customHeight="1" x14ac:dyDescent="0.35">
      <c r="I4421" s="42">
        <f t="shared" si="690"/>
        <v>0</v>
      </c>
      <c r="J4421" s="65" t="e">
        <f t="shared" si="691"/>
        <v>#NUM!</v>
      </c>
      <c r="K4421" s="83" t="e">
        <f t="shared" si="692"/>
        <v>#NUM!</v>
      </c>
      <c r="L4421" s="83">
        <f t="shared" si="693"/>
        <v>0</v>
      </c>
      <c r="M4421" s="110" t="str">
        <f t="shared" si="694"/>
        <v/>
      </c>
      <c r="N4421" s="51" t="str">
        <f t="shared" si="695"/>
        <v/>
      </c>
      <c r="O4421" s="52" t="str">
        <f t="shared" si="696"/>
        <v/>
      </c>
      <c r="P4421" s="88">
        <f t="shared" si="697"/>
        <v>0</v>
      </c>
      <c r="Q4421" s="88">
        <f t="shared" si="698"/>
        <v>0</v>
      </c>
      <c r="R4421" s="88" t="e">
        <f>-IF(Tabla14[[#This Row],[DIAS HABILES O MORA]]&lt;0,(Tabla14[[#This Row],[VALOR PRESTAMO]]*Tabla14[[#This Row],[% INTERES ]]/30*U4421))+Tabla14[[#This Row],[VALOR CUOTAS]]</f>
        <v>#VALUE!</v>
      </c>
      <c r="S4421" s="88">
        <f>-IF(Tabla14[[#This Row],[DIAS HABILES O MORA]]&lt;0,(Tabla14[[#This Row],[VALOR PRESTAMO]]*Tabla14[[#This Row],[% INTERES ]]/30*U4421))</f>
        <v>0</v>
      </c>
      <c r="T4421" s="53" t="e">
        <f>Tabla14[[#This Row],[DEUDA CAPITAL]]+Tabla14[[#This Row],[INTERES  CUOTA]]</f>
        <v>#NUM!</v>
      </c>
      <c r="U4421" s="61" t="str">
        <f t="shared" si="699"/>
        <v/>
      </c>
    </row>
    <row r="4422" spans="9:21" ht="24.75" customHeight="1" x14ac:dyDescent="0.35">
      <c r="I4422" s="42">
        <f t="shared" si="690"/>
        <v>0</v>
      </c>
      <c r="J4422" s="65" t="e">
        <f t="shared" si="691"/>
        <v>#NUM!</v>
      </c>
      <c r="K4422" s="83" t="e">
        <f t="shared" si="692"/>
        <v>#NUM!</v>
      </c>
      <c r="L4422" s="83">
        <f t="shared" si="693"/>
        <v>0</v>
      </c>
      <c r="M4422" s="110" t="str">
        <f t="shared" si="694"/>
        <v/>
      </c>
      <c r="N4422" s="51" t="str">
        <f t="shared" si="695"/>
        <v/>
      </c>
      <c r="O4422" s="52" t="str">
        <f t="shared" si="696"/>
        <v/>
      </c>
      <c r="P4422" s="88">
        <f t="shared" si="697"/>
        <v>0</v>
      </c>
      <c r="Q4422" s="88">
        <f t="shared" si="698"/>
        <v>0</v>
      </c>
      <c r="R4422" s="88" t="e">
        <f>-IF(Tabla14[[#This Row],[DIAS HABILES O MORA]]&lt;0,(Tabla14[[#This Row],[VALOR PRESTAMO]]*Tabla14[[#This Row],[% INTERES ]]/30*U4422))+Tabla14[[#This Row],[VALOR CUOTAS]]</f>
        <v>#VALUE!</v>
      </c>
      <c r="S4422" s="88">
        <f>-IF(Tabla14[[#This Row],[DIAS HABILES O MORA]]&lt;0,(Tabla14[[#This Row],[VALOR PRESTAMO]]*Tabla14[[#This Row],[% INTERES ]]/30*U4422))</f>
        <v>0</v>
      </c>
      <c r="T4422" s="53" t="e">
        <f>Tabla14[[#This Row],[DEUDA CAPITAL]]+Tabla14[[#This Row],[INTERES  CUOTA]]</f>
        <v>#NUM!</v>
      </c>
      <c r="U4422" s="61" t="str">
        <f t="shared" si="699"/>
        <v/>
      </c>
    </row>
    <row r="4423" spans="9:21" ht="24.75" customHeight="1" x14ac:dyDescent="0.35">
      <c r="I4423" s="42">
        <f t="shared" si="690"/>
        <v>0</v>
      </c>
      <c r="J4423" s="65" t="e">
        <f t="shared" si="691"/>
        <v>#NUM!</v>
      </c>
      <c r="K4423" s="83" t="e">
        <f t="shared" si="692"/>
        <v>#NUM!</v>
      </c>
      <c r="L4423" s="83">
        <f t="shared" si="693"/>
        <v>0</v>
      </c>
      <c r="M4423" s="110" t="str">
        <f t="shared" si="694"/>
        <v/>
      </c>
      <c r="N4423" s="51" t="str">
        <f t="shared" si="695"/>
        <v/>
      </c>
      <c r="O4423" s="52" t="str">
        <f t="shared" si="696"/>
        <v/>
      </c>
      <c r="P4423" s="88">
        <f t="shared" si="697"/>
        <v>0</v>
      </c>
      <c r="Q4423" s="88">
        <f t="shared" si="698"/>
        <v>0</v>
      </c>
      <c r="R4423" s="88" t="e">
        <f>-IF(Tabla14[[#This Row],[DIAS HABILES O MORA]]&lt;0,(Tabla14[[#This Row],[VALOR PRESTAMO]]*Tabla14[[#This Row],[% INTERES ]]/30*U4423))+Tabla14[[#This Row],[VALOR CUOTAS]]</f>
        <v>#VALUE!</v>
      </c>
      <c r="S4423" s="88">
        <f>-IF(Tabla14[[#This Row],[DIAS HABILES O MORA]]&lt;0,(Tabla14[[#This Row],[VALOR PRESTAMO]]*Tabla14[[#This Row],[% INTERES ]]/30*U4423))</f>
        <v>0</v>
      </c>
      <c r="T4423" s="53" t="e">
        <f>Tabla14[[#This Row],[DEUDA CAPITAL]]+Tabla14[[#This Row],[INTERES  CUOTA]]</f>
        <v>#NUM!</v>
      </c>
      <c r="U4423" s="61" t="str">
        <f t="shared" si="699"/>
        <v/>
      </c>
    </row>
    <row r="4424" spans="9:21" ht="24.75" customHeight="1" x14ac:dyDescent="0.35">
      <c r="I4424" s="42">
        <f t="shared" si="690"/>
        <v>0</v>
      </c>
      <c r="J4424" s="65" t="e">
        <f t="shared" si="691"/>
        <v>#NUM!</v>
      </c>
      <c r="K4424" s="83" t="e">
        <f t="shared" si="692"/>
        <v>#NUM!</v>
      </c>
      <c r="L4424" s="83">
        <f t="shared" si="693"/>
        <v>0</v>
      </c>
      <c r="M4424" s="110" t="str">
        <f t="shared" si="694"/>
        <v/>
      </c>
      <c r="N4424" s="51" t="str">
        <f t="shared" si="695"/>
        <v/>
      </c>
      <c r="O4424" s="52" t="str">
        <f t="shared" si="696"/>
        <v/>
      </c>
      <c r="P4424" s="88">
        <f t="shared" si="697"/>
        <v>0</v>
      </c>
      <c r="Q4424" s="88">
        <f t="shared" si="698"/>
        <v>0</v>
      </c>
      <c r="R4424" s="88" t="e">
        <f>-IF(Tabla14[[#This Row],[DIAS HABILES O MORA]]&lt;0,(Tabla14[[#This Row],[VALOR PRESTAMO]]*Tabla14[[#This Row],[% INTERES ]]/30*U4424))+Tabla14[[#This Row],[VALOR CUOTAS]]</f>
        <v>#VALUE!</v>
      </c>
      <c r="S4424" s="88">
        <f>-IF(Tabla14[[#This Row],[DIAS HABILES O MORA]]&lt;0,(Tabla14[[#This Row],[VALOR PRESTAMO]]*Tabla14[[#This Row],[% INTERES ]]/30*U4424))</f>
        <v>0</v>
      </c>
      <c r="T4424" s="53" t="e">
        <f>Tabla14[[#This Row],[DEUDA CAPITAL]]+Tabla14[[#This Row],[INTERES  CUOTA]]</f>
        <v>#NUM!</v>
      </c>
      <c r="U4424" s="61" t="str">
        <f t="shared" si="699"/>
        <v/>
      </c>
    </row>
    <row r="4425" spans="9:21" ht="24.75" customHeight="1" x14ac:dyDescent="0.35">
      <c r="I4425" s="42">
        <f t="shared" si="690"/>
        <v>0</v>
      </c>
      <c r="J4425" s="65" t="e">
        <f t="shared" si="691"/>
        <v>#NUM!</v>
      </c>
      <c r="K4425" s="83" t="e">
        <f t="shared" si="692"/>
        <v>#NUM!</v>
      </c>
      <c r="L4425" s="83">
        <f t="shared" si="693"/>
        <v>0</v>
      </c>
      <c r="M4425" s="110" t="str">
        <f t="shared" si="694"/>
        <v/>
      </c>
      <c r="N4425" s="51" t="str">
        <f t="shared" si="695"/>
        <v/>
      </c>
      <c r="O4425" s="52" t="str">
        <f t="shared" si="696"/>
        <v/>
      </c>
      <c r="P4425" s="88">
        <f t="shared" si="697"/>
        <v>0</v>
      </c>
      <c r="Q4425" s="88">
        <f t="shared" si="698"/>
        <v>0</v>
      </c>
      <c r="R4425" s="88" t="e">
        <f>-IF(Tabla14[[#This Row],[DIAS HABILES O MORA]]&lt;0,(Tabla14[[#This Row],[VALOR PRESTAMO]]*Tabla14[[#This Row],[% INTERES ]]/30*U4425))+Tabla14[[#This Row],[VALOR CUOTAS]]</f>
        <v>#VALUE!</v>
      </c>
      <c r="S4425" s="88">
        <f>-IF(Tabla14[[#This Row],[DIAS HABILES O MORA]]&lt;0,(Tabla14[[#This Row],[VALOR PRESTAMO]]*Tabla14[[#This Row],[% INTERES ]]/30*U4425))</f>
        <v>0</v>
      </c>
      <c r="T4425" s="53" t="e">
        <f>Tabla14[[#This Row],[DEUDA CAPITAL]]+Tabla14[[#This Row],[INTERES  CUOTA]]</f>
        <v>#NUM!</v>
      </c>
      <c r="U4425" s="61" t="str">
        <f t="shared" si="699"/>
        <v/>
      </c>
    </row>
    <row r="4426" spans="9:21" ht="24.75" customHeight="1" x14ac:dyDescent="0.35">
      <c r="I4426" s="42">
        <f t="shared" si="690"/>
        <v>0</v>
      </c>
      <c r="J4426" s="65" t="e">
        <f t="shared" si="691"/>
        <v>#NUM!</v>
      </c>
      <c r="K4426" s="83" t="e">
        <f t="shared" si="692"/>
        <v>#NUM!</v>
      </c>
      <c r="L4426" s="83">
        <f t="shared" si="693"/>
        <v>0</v>
      </c>
      <c r="M4426" s="110" t="str">
        <f t="shared" si="694"/>
        <v/>
      </c>
      <c r="N4426" s="51" t="str">
        <f t="shared" si="695"/>
        <v/>
      </c>
      <c r="O4426" s="52" t="str">
        <f t="shared" si="696"/>
        <v/>
      </c>
      <c r="P4426" s="88">
        <f t="shared" si="697"/>
        <v>0</v>
      </c>
      <c r="Q4426" s="88">
        <f t="shared" si="698"/>
        <v>0</v>
      </c>
      <c r="R4426" s="88" t="e">
        <f>-IF(Tabla14[[#This Row],[DIAS HABILES O MORA]]&lt;0,(Tabla14[[#This Row],[VALOR PRESTAMO]]*Tabla14[[#This Row],[% INTERES ]]/30*U4426))+Tabla14[[#This Row],[VALOR CUOTAS]]</f>
        <v>#VALUE!</v>
      </c>
      <c r="S4426" s="88">
        <f>-IF(Tabla14[[#This Row],[DIAS HABILES O MORA]]&lt;0,(Tabla14[[#This Row],[VALOR PRESTAMO]]*Tabla14[[#This Row],[% INTERES ]]/30*U4426))</f>
        <v>0</v>
      </c>
      <c r="T4426" s="53" t="e">
        <f>Tabla14[[#This Row],[DEUDA CAPITAL]]+Tabla14[[#This Row],[INTERES  CUOTA]]</f>
        <v>#NUM!</v>
      </c>
      <c r="U4426" s="61" t="str">
        <f t="shared" si="699"/>
        <v/>
      </c>
    </row>
    <row r="4427" spans="9:21" ht="24.75" customHeight="1" x14ac:dyDescent="0.35">
      <c r="I4427" s="42">
        <f t="shared" si="690"/>
        <v>0</v>
      </c>
      <c r="J4427" s="65" t="e">
        <f t="shared" si="691"/>
        <v>#NUM!</v>
      </c>
      <c r="K4427" s="83" t="e">
        <f t="shared" si="692"/>
        <v>#NUM!</v>
      </c>
      <c r="L4427" s="83">
        <f t="shared" si="693"/>
        <v>0</v>
      </c>
      <c r="M4427" s="110" t="str">
        <f t="shared" si="694"/>
        <v/>
      </c>
      <c r="N4427" s="51" t="str">
        <f t="shared" si="695"/>
        <v/>
      </c>
      <c r="O4427" s="52" t="str">
        <f t="shared" si="696"/>
        <v/>
      </c>
      <c r="P4427" s="88">
        <f t="shared" si="697"/>
        <v>0</v>
      </c>
      <c r="Q4427" s="88">
        <f t="shared" si="698"/>
        <v>0</v>
      </c>
      <c r="R4427" s="88" t="e">
        <f>-IF(Tabla14[[#This Row],[DIAS HABILES O MORA]]&lt;0,(Tabla14[[#This Row],[VALOR PRESTAMO]]*Tabla14[[#This Row],[% INTERES ]]/30*U4427))+Tabla14[[#This Row],[VALOR CUOTAS]]</f>
        <v>#VALUE!</v>
      </c>
      <c r="S4427" s="88">
        <f>-IF(Tabla14[[#This Row],[DIAS HABILES O MORA]]&lt;0,(Tabla14[[#This Row],[VALOR PRESTAMO]]*Tabla14[[#This Row],[% INTERES ]]/30*U4427))</f>
        <v>0</v>
      </c>
      <c r="T4427" s="53" t="e">
        <f>Tabla14[[#This Row],[DEUDA CAPITAL]]+Tabla14[[#This Row],[INTERES  CUOTA]]</f>
        <v>#NUM!</v>
      </c>
      <c r="U4427" s="61" t="str">
        <f t="shared" si="699"/>
        <v/>
      </c>
    </row>
    <row r="4428" spans="9:21" ht="24.75" customHeight="1" x14ac:dyDescent="0.35">
      <c r="I4428" s="42">
        <f t="shared" si="690"/>
        <v>0</v>
      </c>
      <c r="J4428" s="65" t="e">
        <f t="shared" si="691"/>
        <v>#NUM!</v>
      </c>
      <c r="K4428" s="83" t="e">
        <f t="shared" si="692"/>
        <v>#NUM!</v>
      </c>
      <c r="L4428" s="83">
        <f t="shared" si="693"/>
        <v>0</v>
      </c>
      <c r="M4428" s="110" t="str">
        <f t="shared" si="694"/>
        <v/>
      </c>
      <c r="N4428" s="51" t="str">
        <f t="shared" si="695"/>
        <v/>
      </c>
      <c r="O4428" s="52" t="str">
        <f t="shared" si="696"/>
        <v/>
      </c>
      <c r="P4428" s="88">
        <f t="shared" si="697"/>
        <v>0</v>
      </c>
      <c r="Q4428" s="88">
        <f t="shared" si="698"/>
        <v>0</v>
      </c>
      <c r="R4428" s="88" t="e">
        <f>-IF(Tabla14[[#This Row],[DIAS HABILES O MORA]]&lt;0,(Tabla14[[#This Row],[VALOR PRESTAMO]]*Tabla14[[#This Row],[% INTERES ]]/30*U4428))+Tabla14[[#This Row],[VALOR CUOTAS]]</f>
        <v>#VALUE!</v>
      </c>
      <c r="S4428" s="88">
        <f>-IF(Tabla14[[#This Row],[DIAS HABILES O MORA]]&lt;0,(Tabla14[[#This Row],[VALOR PRESTAMO]]*Tabla14[[#This Row],[% INTERES ]]/30*U4428))</f>
        <v>0</v>
      </c>
      <c r="T4428" s="53" t="e">
        <f>Tabla14[[#This Row],[DEUDA CAPITAL]]+Tabla14[[#This Row],[INTERES  CUOTA]]</f>
        <v>#NUM!</v>
      </c>
      <c r="U4428" s="61" t="str">
        <f t="shared" si="699"/>
        <v/>
      </c>
    </row>
    <row r="4429" spans="9:21" ht="24.75" customHeight="1" x14ac:dyDescent="0.35">
      <c r="I4429" s="42">
        <f t="shared" si="690"/>
        <v>0</v>
      </c>
      <c r="J4429" s="65" t="e">
        <f t="shared" si="691"/>
        <v>#NUM!</v>
      </c>
      <c r="K4429" s="83" t="e">
        <f t="shared" si="692"/>
        <v>#NUM!</v>
      </c>
      <c r="L4429" s="83">
        <f t="shared" si="693"/>
        <v>0</v>
      </c>
      <c r="M4429" s="110" t="str">
        <f t="shared" si="694"/>
        <v/>
      </c>
      <c r="N4429" s="51" t="str">
        <f t="shared" si="695"/>
        <v/>
      </c>
      <c r="O4429" s="52" t="str">
        <f t="shared" si="696"/>
        <v/>
      </c>
      <c r="P4429" s="88">
        <f t="shared" si="697"/>
        <v>0</v>
      </c>
      <c r="Q4429" s="88">
        <f t="shared" si="698"/>
        <v>0</v>
      </c>
      <c r="R4429" s="88" t="e">
        <f>-IF(Tabla14[[#This Row],[DIAS HABILES O MORA]]&lt;0,(Tabla14[[#This Row],[VALOR PRESTAMO]]*Tabla14[[#This Row],[% INTERES ]]/30*U4429))+Tabla14[[#This Row],[VALOR CUOTAS]]</f>
        <v>#VALUE!</v>
      </c>
      <c r="S4429" s="88">
        <f>-IF(Tabla14[[#This Row],[DIAS HABILES O MORA]]&lt;0,(Tabla14[[#This Row],[VALOR PRESTAMO]]*Tabla14[[#This Row],[% INTERES ]]/30*U4429))</f>
        <v>0</v>
      </c>
      <c r="T4429" s="53" t="e">
        <f>Tabla14[[#This Row],[DEUDA CAPITAL]]+Tabla14[[#This Row],[INTERES  CUOTA]]</f>
        <v>#NUM!</v>
      </c>
      <c r="U4429" s="61" t="str">
        <f t="shared" si="699"/>
        <v/>
      </c>
    </row>
    <row r="4430" spans="9:21" ht="24.75" customHeight="1" x14ac:dyDescent="0.35">
      <c r="I4430" s="42">
        <f t="shared" si="690"/>
        <v>0</v>
      </c>
      <c r="J4430" s="65" t="e">
        <f t="shared" si="691"/>
        <v>#NUM!</v>
      </c>
      <c r="K4430" s="83" t="e">
        <f t="shared" si="692"/>
        <v>#NUM!</v>
      </c>
      <c r="L4430" s="83">
        <f t="shared" si="693"/>
        <v>0</v>
      </c>
      <c r="M4430" s="110" t="str">
        <f t="shared" si="694"/>
        <v/>
      </c>
      <c r="N4430" s="51" t="str">
        <f t="shared" si="695"/>
        <v/>
      </c>
      <c r="O4430" s="52" t="str">
        <f t="shared" si="696"/>
        <v/>
      </c>
      <c r="P4430" s="88">
        <f t="shared" si="697"/>
        <v>0</v>
      </c>
      <c r="Q4430" s="88">
        <f t="shared" si="698"/>
        <v>0</v>
      </c>
      <c r="R4430" s="88" t="e">
        <f>-IF(Tabla14[[#This Row],[DIAS HABILES O MORA]]&lt;0,(Tabla14[[#This Row],[VALOR PRESTAMO]]*Tabla14[[#This Row],[% INTERES ]]/30*U4430))+Tabla14[[#This Row],[VALOR CUOTAS]]</f>
        <v>#VALUE!</v>
      </c>
      <c r="S4430" s="88">
        <f>-IF(Tabla14[[#This Row],[DIAS HABILES O MORA]]&lt;0,(Tabla14[[#This Row],[VALOR PRESTAMO]]*Tabla14[[#This Row],[% INTERES ]]/30*U4430))</f>
        <v>0</v>
      </c>
      <c r="T4430" s="53" t="e">
        <f>Tabla14[[#This Row],[DEUDA CAPITAL]]+Tabla14[[#This Row],[INTERES  CUOTA]]</f>
        <v>#NUM!</v>
      </c>
      <c r="U4430" s="61" t="str">
        <f t="shared" si="699"/>
        <v/>
      </c>
    </row>
    <row r="4431" spans="9:21" ht="24.75" customHeight="1" x14ac:dyDescent="0.35">
      <c r="I4431" s="42">
        <f t="shared" si="690"/>
        <v>0</v>
      </c>
      <c r="J4431" s="65" t="e">
        <f t="shared" si="691"/>
        <v>#NUM!</v>
      </c>
      <c r="K4431" s="83" t="e">
        <f t="shared" si="692"/>
        <v>#NUM!</v>
      </c>
      <c r="L4431" s="83">
        <f t="shared" si="693"/>
        <v>0</v>
      </c>
      <c r="M4431" s="110" t="str">
        <f t="shared" si="694"/>
        <v/>
      </c>
      <c r="N4431" s="51" t="str">
        <f t="shared" si="695"/>
        <v/>
      </c>
      <c r="O4431" s="52" t="str">
        <f t="shared" si="696"/>
        <v/>
      </c>
      <c r="P4431" s="88">
        <f t="shared" si="697"/>
        <v>0</v>
      </c>
      <c r="Q4431" s="88">
        <f t="shared" si="698"/>
        <v>0</v>
      </c>
      <c r="R4431" s="88" t="e">
        <f>-IF(Tabla14[[#This Row],[DIAS HABILES O MORA]]&lt;0,(Tabla14[[#This Row],[VALOR PRESTAMO]]*Tabla14[[#This Row],[% INTERES ]]/30*U4431))+Tabla14[[#This Row],[VALOR CUOTAS]]</f>
        <v>#VALUE!</v>
      </c>
      <c r="S4431" s="88">
        <f>-IF(Tabla14[[#This Row],[DIAS HABILES O MORA]]&lt;0,(Tabla14[[#This Row],[VALOR PRESTAMO]]*Tabla14[[#This Row],[% INTERES ]]/30*U4431))</f>
        <v>0</v>
      </c>
      <c r="T4431" s="53" t="e">
        <f>Tabla14[[#This Row],[DEUDA CAPITAL]]+Tabla14[[#This Row],[INTERES  CUOTA]]</f>
        <v>#NUM!</v>
      </c>
      <c r="U4431" s="61" t="str">
        <f t="shared" si="699"/>
        <v/>
      </c>
    </row>
    <row r="4432" spans="9:21" ht="24.75" customHeight="1" x14ac:dyDescent="0.35">
      <c r="I4432" s="42">
        <f t="shared" ref="I4432:I4495" si="700">IF(C4432&lt;0,"",IF(Q4432=0,0,IF(G4432=0,H4432+1,IF(H4432&lt;G4432,H4432+1,IF(G4432=H4432,0)))))</f>
        <v>0</v>
      </c>
      <c r="J4432" s="65" t="e">
        <f t="shared" ref="J4432:J4495" si="701">IF(F4432="SOLO INTERES",Q4432*D4432,-IPMT(D4432,I4432,G4432,C4432))</f>
        <v>#NUM!</v>
      </c>
      <c r="K4432" s="83" t="e">
        <f t="shared" ref="K4432:K4495" si="702">IF(F4432="SOLO INTERES",0,-PPMT(D4432,I4432,G4432,C4432))</f>
        <v>#NUM!</v>
      </c>
      <c r="L4432" s="83">
        <f t="shared" ref="L4432:L4495" si="703">IF(F4432="SOLO INTERES",SUM(Y4432:AAE4432),IFERROR(-CUMIPMT(D4432,G4432,C4432,1,H4432,0),0)+SUM(Y4432:WY4432))</f>
        <v>0</v>
      </c>
      <c r="M4432" s="110" t="str">
        <f t="shared" ref="M4432:M4495" si="704">IFERROR(IF(F4432="SOLO INTERES",Q4432*D4432,-PMT(D4432,G4432,C4432,0)),"")</f>
        <v/>
      </c>
      <c r="N4432" s="51" t="str">
        <f t="shared" ref="N4432:N4495" si="705">IF(Q4432=0,"",IF(E4432="MENSUAL",EDATE(B4432,I4432),IF(E4432="QUINCENAL",B4432+(I4432*15),IF(E4432="SEMANAL",B4432+(I4432*7)))))</f>
        <v/>
      </c>
      <c r="O4432" s="52" t="str">
        <f t="shared" ref="O4432:O4495" si="706">IF(C4432=0,"",IF(Q4432&lt;1,"PAGADO",IF(N4432=$A$3,"COBRAR HOY",IF(N4432&lt;$A$3,"EN MORA",IF(N4432&gt;$A$3,"AL DIA")))))</f>
        <v/>
      </c>
      <c r="P4432" s="88">
        <f t="shared" ref="P4432:P4495" si="707">IFERROR(-CUMPRINC(D4432,G4432,C4432,1,H4432,0),0)+W4432</f>
        <v>0</v>
      </c>
      <c r="Q4432" s="88">
        <f t="shared" ref="Q4432:Q4495" si="708">IFERROR(C4432-P4432,"")</f>
        <v>0</v>
      </c>
      <c r="R4432" s="88" t="e">
        <f>-IF(Tabla14[[#This Row],[DIAS HABILES O MORA]]&lt;0,(Tabla14[[#This Row],[VALOR PRESTAMO]]*Tabla14[[#This Row],[% INTERES ]]/30*U4432))+Tabla14[[#This Row],[VALOR CUOTAS]]</f>
        <v>#VALUE!</v>
      </c>
      <c r="S4432" s="88">
        <f>-IF(Tabla14[[#This Row],[DIAS HABILES O MORA]]&lt;0,(Tabla14[[#This Row],[VALOR PRESTAMO]]*Tabla14[[#This Row],[% INTERES ]]/30*U4432))</f>
        <v>0</v>
      </c>
      <c r="T4432" s="53" t="e">
        <f>Tabla14[[#This Row],[DEUDA CAPITAL]]+Tabla14[[#This Row],[INTERES  CUOTA]]</f>
        <v>#NUM!</v>
      </c>
      <c r="U4432" s="61" t="str">
        <f t="shared" ref="U4432:U4495" si="709">IF(O4432="PAGADO","",IFERROR(-IF(C4432=0,"",$A$3-N4432),""))</f>
        <v/>
      </c>
    </row>
    <row r="4433" spans="9:21" ht="24.75" customHeight="1" x14ac:dyDescent="0.35">
      <c r="I4433" s="42">
        <f t="shared" si="700"/>
        <v>0</v>
      </c>
      <c r="J4433" s="65" t="e">
        <f t="shared" si="701"/>
        <v>#NUM!</v>
      </c>
      <c r="K4433" s="83" t="e">
        <f t="shared" si="702"/>
        <v>#NUM!</v>
      </c>
      <c r="L4433" s="83">
        <f t="shared" si="703"/>
        <v>0</v>
      </c>
      <c r="M4433" s="110" t="str">
        <f t="shared" si="704"/>
        <v/>
      </c>
      <c r="N4433" s="51" t="str">
        <f t="shared" si="705"/>
        <v/>
      </c>
      <c r="O4433" s="52" t="str">
        <f t="shared" si="706"/>
        <v/>
      </c>
      <c r="P4433" s="88">
        <f t="shared" si="707"/>
        <v>0</v>
      </c>
      <c r="Q4433" s="88">
        <f t="shared" si="708"/>
        <v>0</v>
      </c>
      <c r="R4433" s="88" t="e">
        <f>-IF(Tabla14[[#This Row],[DIAS HABILES O MORA]]&lt;0,(Tabla14[[#This Row],[VALOR PRESTAMO]]*Tabla14[[#This Row],[% INTERES ]]/30*U4433))+Tabla14[[#This Row],[VALOR CUOTAS]]</f>
        <v>#VALUE!</v>
      </c>
      <c r="S4433" s="88">
        <f>-IF(Tabla14[[#This Row],[DIAS HABILES O MORA]]&lt;0,(Tabla14[[#This Row],[VALOR PRESTAMO]]*Tabla14[[#This Row],[% INTERES ]]/30*U4433))</f>
        <v>0</v>
      </c>
      <c r="T4433" s="53" t="e">
        <f>Tabla14[[#This Row],[DEUDA CAPITAL]]+Tabla14[[#This Row],[INTERES  CUOTA]]</f>
        <v>#NUM!</v>
      </c>
      <c r="U4433" s="61" t="str">
        <f t="shared" si="709"/>
        <v/>
      </c>
    </row>
    <row r="4434" spans="9:21" ht="24.75" customHeight="1" x14ac:dyDescent="0.35">
      <c r="I4434" s="42">
        <f t="shared" si="700"/>
        <v>0</v>
      </c>
      <c r="J4434" s="65" t="e">
        <f t="shared" si="701"/>
        <v>#NUM!</v>
      </c>
      <c r="K4434" s="83" t="e">
        <f t="shared" si="702"/>
        <v>#NUM!</v>
      </c>
      <c r="L4434" s="83">
        <f t="shared" si="703"/>
        <v>0</v>
      </c>
      <c r="M4434" s="110" t="str">
        <f t="shared" si="704"/>
        <v/>
      </c>
      <c r="N4434" s="51" t="str">
        <f t="shared" si="705"/>
        <v/>
      </c>
      <c r="O4434" s="52" t="str">
        <f t="shared" si="706"/>
        <v/>
      </c>
      <c r="P4434" s="88">
        <f t="shared" si="707"/>
        <v>0</v>
      </c>
      <c r="Q4434" s="88">
        <f t="shared" si="708"/>
        <v>0</v>
      </c>
      <c r="R4434" s="88" t="e">
        <f>-IF(Tabla14[[#This Row],[DIAS HABILES O MORA]]&lt;0,(Tabla14[[#This Row],[VALOR PRESTAMO]]*Tabla14[[#This Row],[% INTERES ]]/30*U4434))+Tabla14[[#This Row],[VALOR CUOTAS]]</f>
        <v>#VALUE!</v>
      </c>
      <c r="S4434" s="88">
        <f>-IF(Tabla14[[#This Row],[DIAS HABILES O MORA]]&lt;0,(Tabla14[[#This Row],[VALOR PRESTAMO]]*Tabla14[[#This Row],[% INTERES ]]/30*U4434))</f>
        <v>0</v>
      </c>
      <c r="T4434" s="53" t="e">
        <f>Tabla14[[#This Row],[DEUDA CAPITAL]]+Tabla14[[#This Row],[INTERES  CUOTA]]</f>
        <v>#NUM!</v>
      </c>
      <c r="U4434" s="61" t="str">
        <f t="shared" si="709"/>
        <v/>
      </c>
    </row>
    <row r="4435" spans="9:21" ht="24.75" customHeight="1" x14ac:dyDescent="0.35">
      <c r="I4435" s="42">
        <f t="shared" si="700"/>
        <v>0</v>
      </c>
      <c r="J4435" s="65" t="e">
        <f t="shared" si="701"/>
        <v>#NUM!</v>
      </c>
      <c r="K4435" s="83" t="e">
        <f t="shared" si="702"/>
        <v>#NUM!</v>
      </c>
      <c r="L4435" s="83">
        <f t="shared" si="703"/>
        <v>0</v>
      </c>
      <c r="M4435" s="110" t="str">
        <f t="shared" si="704"/>
        <v/>
      </c>
      <c r="N4435" s="51" t="str">
        <f t="shared" si="705"/>
        <v/>
      </c>
      <c r="O4435" s="52" t="str">
        <f t="shared" si="706"/>
        <v/>
      </c>
      <c r="P4435" s="88">
        <f t="shared" si="707"/>
        <v>0</v>
      </c>
      <c r="Q4435" s="88">
        <f t="shared" si="708"/>
        <v>0</v>
      </c>
      <c r="R4435" s="88" t="e">
        <f>-IF(Tabla14[[#This Row],[DIAS HABILES O MORA]]&lt;0,(Tabla14[[#This Row],[VALOR PRESTAMO]]*Tabla14[[#This Row],[% INTERES ]]/30*U4435))+Tabla14[[#This Row],[VALOR CUOTAS]]</f>
        <v>#VALUE!</v>
      </c>
      <c r="S4435" s="88">
        <f>-IF(Tabla14[[#This Row],[DIAS HABILES O MORA]]&lt;0,(Tabla14[[#This Row],[VALOR PRESTAMO]]*Tabla14[[#This Row],[% INTERES ]]/30*U4435))</f>
        <v>0</v>
      </c>
      <c r="T4435" s="53" t="e">
        <f>Tabla14[[#This Row],[DEUDA CAPITAL]]+Tabla14[[#This Row],[INTERES  CUOTA]]</f>
        <v>#NUM!</v>
      </c>
      <c r="U4435" s="61" t="str">
        <f t="shared" si="709"/>
        <v/>
      </c>
    </row>
    <row r="4436" spans="9:21" ht="24.75" customHeight="1" x14ac:dyDescent="0.35">
      <c r="I4436" s="42">
        <f t="shared" si="700"/>
        <v>0</v>
      </c>
      <c r="J4436" s="65" t="e">
        <f t="shared" si="701"/>
        <v>#NUM!</v>
      </c>
      <c r="K4436" s="83" t="e">
        <f t="shared" si="702"/>
        <v>#NUM!</v>
      </c>
      <c r="L4436" s="83">
        <f t="shared" si="703"/>
        <v>0</v>
      </c>
      <c r="M4436" s="110" t="str">
        <f t="shared" si="704"/>
        <v/>
      </c>
      <c r="N4436" s="51" t="str">
        <f t="shared" si="705"/>
        <v/>
      </c>
      <c r="O4436" s="52" t="str">
        <f t="shared" si="706"/>
        <v/>
      </c>
      <c r="P4436" s="88">
        <f t="shared" si="707"/>
        <v>0</v>
      </c>
      <c r="Q4436" s="88">
        <f t="shared" si="708"/>
        <v>0</v>
      </c>
      <c r="R4436" s="88" t="e">
        <f>-IF(Tabla14[[#This Row],[DIAS HABILES O MORA]]&lt;0,(Tabla14[[#This Row],[VALOR PRESTAMO]]*Tabla14[[#This Row],[% INTERES ]]/30*U4436))+Tabla14[[#This Row],[VALOR CUOTAS]]</f>
        <v>#VALUE!</v>
      </c>
      <c r="S4436" s="88">
        <f>-IF(Tabla14[[#This Row],[DIAS HABILES O MORA]]&lt;0,(Tabla14[[#This Row],[VALOR PRESTAMO]]*Tabla14[[#This Row],[% INTERES ]]/30*U4436))</f>
        <v>0</v>
      </c>
      <c r="T4436" s="53" t="e">
        <f>Tabla14[[#This Row],[DEUDA CAPITAL]]+Tabla14[[#This Row],[INTERES  CUOTA]]</f>
        <v>#NUM!</v>
      </c>
      <c r="U4436" s="61" t="str">
        <f t="shared" si="709"/>
        <v/>
      </c>
    </row>
    <row r="4437" spans="9:21" ht="24.75" customHeight="1" x14ac:dyDescent="0.35">
      <c r="I4437" s="42">
        <f t="shared" si="700"/>
        <v>0</v>
      </c>
      <c r="J4437" s="65" t="e">
        <f t="shared" si="701"/>
        <v>#NUM!</v>
      </c>
      <c r="K4437" s="83" t="e">
        <f t="shared" si="702"/>
        <v>#NUM!</v>
      </c>
      <c r="L4437" s="83">
        <f t="shared" si="703"/>
        <v>0</v>
      </c>
      <c r="M4437" s="110" t="str">
        <f t="shared" si="704"/>
        <v/>
      </c>
      <c r="N4437" s="51" t="str">
        <f t="shared" si="705"/>
        <v/>
      </c>
      <c r="O4437" s="52" t="str">
        <f t="shared" si="706"/>
        <v/>
      </c>
      <c r="P4437" s="88">
        <f t="shared" si="707"/>
        <v>0</v>
      </c>
      <c r="Q4437" s="88">
        <f t="shared" si="708"/>
        <v>0</v>
      </c>
      <c r="R4437" s="88" t="e">
        <f>-IF(Tabla14[[#This Row],[DIAS HABILES O MORA]]&lt;0,(Tabla14[[#This Row],[VALOR PRESTAMO]]*Tabla14[[#This Row],[% INTERES ]]/30*U4437))+Tabla14[[#This Row],[VALOR CUOTAS]]</f>
        <v>#VALUE!</v>
      </c>
      <c r="S4437" s="88">
        <f>-IF(Tabla14[[#This Row],[DIAS HABILES O MORA]]&lt;0,(Tabla14[[#This Row],[VALOR PRESTAMO]]*Tabla14[[#This Row],[% INTERES ]]/30*U4437))</f>
        <v>0</v>
      </c>
      <c r="T4437" s="53" t="e">
        <f>Tabla14[[#This Row],[DEUDA CAPITAL]]+Tabla14[[#This Row],[INTERES  CUOTA]]</f>
        <v>#NUM!</v>
      </c>
      <c r="U4437" s="61" t="str">
        <f t="shared" si="709"/>
        <v/>
      </c>
    </row>
    <row r="4438" spans="9:21" ht="24.75" customHeight="1" x14ac:dyDescent="0.35">
      <c r="I4438" s="42">
        <f t="shared" si="700"/>
        <v>0</v>
      </c>
      <c r="J4438" s="65" t="e">
        <f t="shared" si="701"/>
        <v>#NUM!</v>
      </c>
      <c r="K4438" s="83" t="e">
        <f t="shared" si="702"/>
        <v>#NUM!</v>
      </c>
      <c r="L4438" s="83">
        <f t="shared" si="703"/>
        <v>0</v>
      </c>
      <c r="M4438" s="110" t="str">
        <f t="shared" si="704"/>
        <v/>
      </c>
      <c r="N4438" s="51" t="str">
        <f t="shared" si="705"/>
        <v/>
      </c>
      <c r="O4438" s="52" t="str">
        <f t="shared" si="706"/>
        <v/>
      </c>
      <c r="P4438" s="88">
        <f t="shared" si="707"/>
        <v>0</v>
      </c>
      <c r="Q4438" s="88">
        <f t="shared" si="708"/>
        <v>0</v>
      </c>
      <c r="R4438" s="88" t="e">
        <f>-IF(Tabla14[[#This Row],[DIAS HABILES O MORA]]&lt;0,(Tabla14[[#This Row],[VALOR PRESTAMO]]*Tabla14[[#This Row],[% INTERES ]]/30*U4438))+Tabla14[[#This Row],[VALOR CUOTAS]]</f>
        <v>#VALUE!</v>
      </c>
      <c r="S4438" s="88">
        <f>-IF(Tabla14[[#This Row],[DIAS HABILES O MORA]]&lt;0,(Tabla14[[#This Row],[VALOR PRESTAMO]]*Tabla14[[#This Row],[% INTERES ]]/30*U4438))</f>
        <v>0</v>
      </c>
      <c r="T4438" s="53" t="e">
        <f>Tabla14[[#This Row],[DEUDA CAPITAL]]+Tabla14[[#This Row],[INTERES  CUOTA]]</f>
        <v>#NUM!</v>
      </c>
      <c r="U4438" s="61" t="str">
        <f t="shared" si="709"/>
        <v/>
      </c>
    </row>
    <row r="4439" spans="9:21" ht="24.75" customHeight="1" x14ac:dyDescent="0.35">
      <c r="I4439" s="42">
        <f t="shared" si="700"/>
        <v>0</v>
      </c>
      <c r="J4439" s="65" t="e">
        <f t="shared" si="701"/>
        <v>#NUM!</v>
      </c>
      <c r="K4439" s="83" t="e">
        <f t="shared" si="702"/>
        <v>#NUM!</v>
      </c>
      <c r="L4439" s="83">
        <f t="shared" si="703"/>
        <v>0</v>
      </c>
      <c r="M4439" s="110" t="str">
        <f t="shared" si="704"/>
        <v/>
      </c>
      <c r="N4439" s="51" t="str">
        <f t="shared" si="705"/>
        <v/>
      </c>
      <c r="O4439" s="52" t="str">
        <f t="shared" si="706"/>
        <v/>
      </c>
      <c r="P4439" s="88">
        <f t="shared" si="707"/>
        <v>0</v>
      </c>
      <c r="Q4439" s="88">
        <f t="shared" si="708"/>
        <v>0</v>
      </c>
      <c r="R4439" s="88" t="e">
        <f>-IF(Tabla14[[#This Row],[DIAS HABILES O MORA]]&lt;0,(Tabla14[[#This Row],[VALOR PRESTAMO]]*Tabla14[[#This Row],[% INTERES ]]/30*U4439))+Tabla14[[#This Row],[VALOR CUOTAS]]</f>
        <v>#VALUE!</v>
      </c>
      <c r="S4439" s="88">
        <f>-IF(Tabla14[[#This Row],[DIAS HABILES O MORA]]&lt;0,(Tabla14[[#This Row],[VALOR PRESTAMO]]*Tabla14[[#This Row],[% INTERES ]]/30*U4439))</f>
        <v>0</v>
      </c>
      <c r="T4439" s="53" t="e">
        <f>Tabla14[[#This Row],[DEUDA CAPITAL]]+Tabla14[[#This Row],[INTERES  CUOTA]]</f>
        <v>#NUM!</v>
      </c>
      <c r="U4439" s="61" t="str">
        <f t="shared" si="709"/>
        <v/>
      </c>
    </row>
    <row r="4440" spans="9:21" ht="24.75" customHeight="1" x14ac:dyDescent="0.35">
      <c r="I4440" s="42">
        <f t="shared" si="700"/>
        <v>0</v>
      </c>
      <c r="J4440" s="65" t="e">
        <f t="shared" si="701"/>
        <v>#NUM!</v>
      </c>
      <c r="K4440" s="83" t="e">
        <f t="shared" si="702"/>
        <v>#NUM!</v>
      </c>
      <c r="L4440" s="83">
        <f t="shared" si="703"/>
        <v>0</v>
      </c>
      <c r="M4440" s="110" t="str">
        <f t="shared" si="704"/>
        <v/>
      </c>
      <c r="N4440" s="51" t="str">
        <f t="shared" si="705"/>
        <v/>
      </c>
      <c r="O4440" s="52" t="str">
        <f t="shared" si="706"/>
        <v/>
      </c>
      <c r="P4440" s="88">
        <f t="shared" si="707"/>
        <v>0</v>
      </c>
      <c r="Q4440" s="88">
        <f t="shared" si="708"/>
        <v>0</v>
      </c>
      <c r="R4440" s="88" t="e">
        <f>-IF(Tabla14[[#This Row],[DIAS HABILES O MORA]]&lt;0,(Tabla14[[#This Row],[VALOR PRESTAMO]]*Tabla14[[#This Row],[% INTERES ]]/30*U4440))+Tabla14[[#This Row],[VALOR CUOTAS]]</f>
        <v>#VALUE!</v>
      </c>
      <c r="S4440" s="88">
        <f>-IF(Tabla14[[#This Row],[DIAS HABILES O MORA]]&lt;0,(Tabla14[[#This Row],[VALOR PRESTAMO]]*Tabla14[[#This Row],[% INTERES ]]/30*U4440))</f>
        <v>0</v>
      </c>
      <c r="T4440" s="53" t="e">
        <f>Tabla14[[#This Row],[DEUDA CAPITAL]]+Tabla14[[#This Row],[INTERES  CUOTA]]</f>
        <v>#NUM!</v>
      </c>
      <c r="U4440" s="61" t="str">
        <f t="shared" si="709"/>
        <v/>
      </c>
    </row>
    <row r="4441" spans="9:21" ht="24.75" customHeight="1" x14ac:dyDescent="0.35">
      <c r="I4441" s="42">
        <f t="shared" si="700"/>
        <v>0</v>
      </c>
      <c r="J4441" s="65" t="e">
        <f t="shared" si="701"/>
        <v>#NUM!</v>
      </c>
      <c r="K4441" s="83" t="e">
        <f t="shared" si="702"/>
        <v>#NUM!</v>
      </c>
      <c r="L4441" s="83">
        <f t="shared" si="703"/>
        <v>0</v>
      </c>
      <c r="M4441" s="110" t="str">
        <f t="shared" si="704"/>
        <v/>
      </c>
      <c r="N4441" s="51" t="str">
        <f t="shared" si="705"/>
        <v/>
      </c>
      <c r="O4441" s="52" t="str">
        <f t="shared" si="706"/>
        <v/>
      </c>
      <c r="P4441" s="88">
        <f t="shared" si="707"/>
        <v>0</v>
      </c>
      <c r="Q4441" s="88">
        <f t="shared" si="708"/>
        <v>0</v>
      </c>
      <c r="R4441" s="88" t="e">
        <f>-IF(Tabla14[[#This Row],[DIAS HABILES O MORA]]&lt;0,(Tabla14[[#This Row],[VALOR PRESTAMO]]*Tabla14[[#This Row],[% INTERES ]]/30*U4441))+Tabla14[[#This Row],[VALOR CUOTAS]]</f>
        <v>#VALUE!</v>
      </c>
      <c r="S4441" s="88">
        <f>-IF(Tabla14[[#This Row],[DIAS HABILES O MORA]]&lt;0,(Tabla14[[#This Row],[VALOR PRESTAMO]]*Tabla14[[#This Row],[% INTERES ]]/30*U4441))</f>
        <v>0</v>
      </c>
      <c r="T4441" s="53" t="e">
        <f>Tabla14[[#This Row],[DEUDA CAPITAL]]+Tabla14[[#This Row],[INTERES  CUOTA]]</f>
        <v>#NUM!</v>
      </c>
      <c r="U4441" s="61" t="str">
        <f t="shared" si="709"/>
        <v/>
      </c>
    </row>
    <row r="4442" spans="9:21" ht="24.75" customHeight="1" x14ac:dyDescent="0.35">
      <c r="I4442" s="42">
        <f t="shared" si="700"/>
        <v>0</v>
      </c>
      <c r="J4442" s="65" t="e">
        <f t="shared" si="701"/>
        <v>#NUM!</v>
      </c>
      <c r="K4442" s="83" t="e">
        <f t="shared" si="702"/>
        <v>#NUM!</v>
      </c>
      <c r="L4442" s="83">
        <f t="shared" si="703"/>
        <v>0</v>
      </c>
      <c r="M4442" s="110" t="str">
        <f t="shared" si="704"/>
        <v/>
      </c>
      <c r="N4442" s="51" t="str">
        <f t="shared" si="705"/>
        <v/>
      </c>
      <c r="O4442" s="52" t="str">
        <f t="shared" si="706"/>
        <v/>
      </c>
      <c r="P4442" s="88">
        <f t="shared" si="707"/>
        <v>0</v>
      </c>
      <c r="Q4442" s="88">
        <f t="shared" si="708"/>
        <v>0</v>
      </c>
      <c r="R4442" s="88" t="e">
        <f>-IF(Tabla14[[#This Row],[DIAS HABILES O MORA]]&lt;0,(Tabla14[[#This Row],[VALOR PRESTAMO]]*Tabla14[[#This Row],[% INTERES ]]/30*U4442))+Tabla14[[#This Row],[VALOR CUOTAS]]</f>
        <v>#VALUE!</v>
      </c>
      <c r="S4442" s="88">
        <f>-IF(Tabla14[[#This Row],[DIAS HABILES O MORA]]&lt;0,(Tabla14[[#This Row],[VALOR PRESTAMO]]*Tabla14[[#This Row],[% INTERES ]]/30*U4442))</f>
        <v>0</v>
      </c>
      <c r="T4442" s="53" t="e">
        <f>Tabla14[[#This Row],[DEUDA CAPITAL]]+Tabla14[[#This Row],[INTERES  CUOTA]]</f>
        <v>#NUM!</v>
      </c>
      <c r="U4442" s="61" t="str">
        <f t="shared" si="709"/>
        <v/>
      </c>
    </row>
    <row r="4443" spans="9:21" ht="24.75" customHeight="1" x14ac:dyDescent="0.35">
      <c r="I4443" s="42">
        <f t="shared" si="700"/>
        <v>0</v>
      </c>
      <c r="J4443" s="65" t="e">
        <f t="shared" si="701"/>
        <v>#NUM!</v>
      </c>
      <c r="K4443" s="83" t="e">
        <f t="shared" si="702"/>
        <v>#NUM!</v>
      </c>
      <c r="L4443" s="83">
        <f t="shared" si="703"/>
        <v>0</v>
      </c>
      <c r="M4443" s="110" t="str">
        <f t="shared" si="704"/>
        <v/>
      </c>
      <c r="N4443" s="51" t="str">
        <f t="shared" si="705"/>
        <v/>
      </c>
      <c r="O4443" s="52" t="str">
        <f t="shared" si="706"/>
        <v/>
      </c>
      <c r="P4443" s="88">
        <f t="shared" si="707"/>
        <v>0</v>
      </c>
      <c r="Q4443" s="88">
        <f t="shared" si="708"/>
        <v>0</v>
      </c>
      <c r="R4443" s="88" t="e">
        <f>-IF(Tabla14[[#This Row],[DIAS HABILES O MORA]]&lt;0,(Tabla14[[#This Row],[VALOR PRESTAMO]]*Tabla14[[#This Row],[% INTERES ]]/30*U4443))+Tabla14[[#This Row],[VALOR CUOTAS]]</f>
        <v>#VALUE!</v>
      </c>
      <c r="S4443" s="88">
        <f>-IF(Tabla14[[#This Row],[DIAS HABILES O MORA]]&lt;0,(Tabla14[[#This Row],[VALOR PRESTAMO]]*Tabla14[[#This Row],[% INTERES ]]/30*U4443))</f>
        <v>0</v>
      </c>
      <c r="T4443" s="53" t="e">
        <f>Tabla14[[#This Row],[DEUDA CAPITAL]]+Tabla14[[#This Row],[INTERES  CUOTA]]</f>
        <v>#NUM!</v>
      </c>
      <c r="U4443" s="61" t="str">
        <f t="shared" si="709"/>
        <v/>
      </c>
    </row>
    <row r="4444" spans="9:21" ht="24.75" customHeight="1" x14ac:dyDescent="0.35">
      <c r="I4444" s="42">
        <f t="shared" si="700"/>
        <v>0</v>
      </c>
      <c r="J4444" s="65" t="e">
        <f t="shared" si="701"/>
        <v>#NUM!</v>
      </c>
      <c r="K4444" s="83" t="e">
        <f t="shared" si="702"/>
        <v>#NUM!</v>
      </c>
      <c r="L4444" s="83">
        <f t="shared" si="703"/>
        <v>0</v>
      </c>
      <c r="M4444" s="110" t="str">
        <f t="shared" si="704"/>
        <v/>
      </c>
      <c r="N4444" s="51" t="str">
        <f t="shared" si="705"/>
        <v/>
      </c>
      <c r="O4444" s="52" t="str">
        <f t="shared" si="706"/>
        <v/>
      </c>
      <c r="P4444" s="88">
        <f t="shared" si="707"/>
        <v>0</v>
      </c>
      <c r="Q4444" s="88">
        <f t="shared" si="708"/>
        <v>0</v>
      </c>
      <c r="R4444" s="88" t="e">
        <f>-IF(Tabla14[[#This Row],[DIAS HABILES O MORA]]&lt;0,(Tabla14[[#This Row],[VALOR PRESTAMO]]*Tabla14[[#This Row],[% INTERES ]]/30*U4444))+Tabla14[[#This Row],[VALOR CUOTAS]]</f>
        <v>#VALUE!</v>
      </c>
      <c r="S4444" s="88">
        <f>-IF(Tabla14[[#This Row],[DIAS HABILES O MORA]]&lt;0,(Tabla14[[#This Row],[VALOR PRESTAMO]]*Tabla14[[#This Row],[% INTERES ]]/30*U4444))</f>
        <v>0</v>
      </c>
      <c r="T4444" s="53" t="e">
        <f>Tabla14[[#This Row],[DEUDA CAPITAL]]+Tabla14[[#This Row],[INTERES  CUOTA]]</f>
        <v>#NUM!</v>
      </c>
      <c r="U4444" s="61" t="str">
        <f t="shared" si="709"/>
        <v/>
      </c>
    </row>
    <row r="4445" spans="9:21" ht="24.75" customHeight="1" x14ac:dyDescent="0.35">
      <c r="I4445" s="42">
        <f t="shared" si="700"/>
        <v>0</v>
      </c>
      <c r="J4445" s="65" t="e">
        <f t="shared" si="701"/>
        <v>#NUM!</v>
      </c>
      <c r="K4445" s="83" t="e">
        <f t="shared" si="702"/>
        <v>#NUM!</v>
      </c>
      <c r="L4445" s="83">
        <f t="shared" si="703"/>
        <v>0</v>
      </c>
      <c r="M4445" s="110" t="str">
        <f t="shared" si="704"/>
        <v/>
      </c>
      <c r="N4445" s="51" t="str">
        <f t="shared" si="705"/>
        <v/>
      </c>
      <c r="O4445" s="52" t="str">
        <f t="shared" si="706"/>
        <v/>
      </c>
      <c r="P4445" s="88">
        <f t="shared" si="707"/>
        <v>0</v>
      </c>
      <c r="Q4445" s="88">
        <f t="shared" si="708"/>
        <v>0</v>
      </c>
      <c r="R4445" s="88" t="e">
        <f>-IF(Tabla14[[#This Row],[DIAS HABILES O MORA]]&lt;0,(Tabla14[[#This Row],[VALOR PRESTAMO]]*Tabla14[[#This Row],[% INTERES ]]/30*U4445))+Tabla14[[#This Row],[VALOR CUOTAS]]</f>
        <v>#VALUE!</v>
      </c>
      <c r="S4445" s="88">
        <f>-IF(Tabla14[[#This Row],[DIAS HABILES O MORA]]&lt;0,(Tabla14[[#This Row],[VALOR PRESTAMO]]*Tabla14[[#This Row],[% INTERES ]]/30*U4445))</f>
        <v>0</v>
      </c>
      <c r="T4445" s="53" t="e">
        <f>Tabla14[[#This Row],[DEUDA CAPITAL]]+Tabla14[[#This Row],[INTERES  CUOTA]]</f>
        <v>#NUM!</v>
      </c>
      <c r="U4445" s="61" t="str">
        <f t="shared" si="709"/>
        <v/>
      </c>
    </row>
    <row r="4446" spans="9:21" ht="24.75" customHeight="1" x14ac:dyDescent="0.35">
      <c r="I4446" s="42">
        <f t="shared" si="700"/>
        <v>0</v>
      </c>
      <c r="J4446" s="65" t="e">
        <f t="shared" si="701"/>
        <v>#NUM!</v>
      </c>
      <c r="K4446" s="83" t="e">
        <f t="shared" si="702"/>
        <v>#NUM!</v>
      </c>
      <c r="L4446" s="83">
        <f t="shared" si="703"/>
        <v>0</v>
      </c>
      <c r="M4446" s="110" t="str">
        <f t="shared" si="704"/>
        <v/>
      </c>
      <c r="N4446" s="51" t="str">
        <f t="shared" si="705"/>
        <v/>
      </c>
      <c r="O4446" s="52" t="str">
        <f t="shared" si="706"/>
        <v/>
      </c>
      <c r="P4446" s="88">
        <f t="shared" si="707"/>
        <v>0</v>
      </c>
      <c r="Q4446" s="88">
        <f t="shared" si="708"/>
        <v>0</v>
      </c>
      <c r="R4446" s="88" t="e">
        <f>-IF(Tabla14[[#This Row],[DIAS HABILES O MORA]]&lt;0,(Tabla14[[#This Row],[VALOR PRESTAMO]]*Tabla14[[#This Row],[% INTERES ]]/30*U4446))+Tabla14[[#This Row],[VALOR CUOTAS]]</f>
        <v>#VALUE!</v>
      </c>
      <c r="S4446" s="88">
        <f>-IF(Tabla14[[#This Row],[DIAS HABILES O MORA]]&lt;0,(Tabla14[[#This Row],[VALOR PRESTAMO]]*Tabla14[[#This Row],[% INTERES ]]/30*U4446))</f>
        <v>0</v>
      </c>
      <c r="T4446" s="53" t="e">
        <f>Tabla14[[#This Row],[DEUDA CAPITAL]]+Tabla14[[#This Row],[INTERES  CUOTA]]</f>
        <v>#NUM!</v>
      </c>
      <c r="U4446" s="61" t="str">
        <f t="shared" si="709"/>
        <v/>
      </c>
    </row>
    <row r="4447" spans="9:21" ht="24.75" customHeight="1" x14ac:dyDescent="0.35">
      <c r="I4447" s="42">
        <f t="shared" si="700"/>
        <v>0</v>
      </c>
      <c r="J4447" s="65" t="e">
        <f t="shared" si="701"/>
        <v>#NUM!</v>
      </c>
      <c r="K4447" s="83" t="e">
        <f t="shared" si="702"/>
        <v>#NUM!</v>
      </c>
      <c r="L4447" s="83">
        <f t="shared" si="703"/>
        <v>0</v>
      </c>
      <c r="M4447" s="110" t="str">
        <f t="shared" si="704"/>
        <v/>
      </c>
      <c r="N4447" s="51" t="str">
        <f t="shared" si="705"/>
        <v/>
      </c>
      <c r="O4447" s="52" t="str">
        <f t="shared" si="706"/>
        <v/>
      </c>
      <c r="P4447" s="88">
        <f t="shared" si="707"/>
        <v>0</v>
      </c>
      <c r="Q4447" s="88">
        <f t="shared" si="708"/>
        <v>0</v>
      </c>
      <c r="R4447" s="88" t="e">
        <f>-IF(Tabla14[[#This Row],[DIAS HABILES O MORA]]&lt;0,(Tabla14[[#This Row],[VALOR PRESTAMO]]*Tabla14[[#This Row],[% INTERES ]]/30*U4447))+Tabla14[[#This Row],[VALOR CUOTAS]]</f>
        <v>#VALUE!</v>
      </c>
      <c r="S4447" s="88">
        <f>-IF(Tabla14[[#This Row],[DIAS HABILES O MORA]]&lt;0,(Tabla14[[#This Row],[VALOR PRESTAMO]]*Tabla14[[#This Row],[% INTERES ]]/30*U4447))</f>
        <v>0</v>
      </c>
      <c r="T4447" s="53" t="e">
        <f>Tabla14[[#This Row],[DEUDA CAPITAL]]+Tabla14[[#This Row],[INTERES  CUOTA]]</f>
        <v>#NUM!</v>
      </c>
      <c r="U4447" s="61" t="str">
        <f t="shared" si="709"/>
        <v/>
      </c>
    </row>
    <row r="4448" spans="9:21" ht="24.75" customHeight="1" x14ac:dyDescent="0.35">
      <c r="I4448" s="42">
        <f t="shared" si="700"/>
        <v>0</v>
      </c>
      <c r="J4448" s="65" t="e">
        <f t="shared" si="701"/>
        <v>#NUM!</v>
      </c>
      <c r="K4448" s="83" t="e">
        <f t="shared" si="702"/>
        <v>#NUM!</v>
      </c>
      <c r="L4448" s="83">
        <f t="shared" si="703"/>
        <v>0</v>
      </c>
      <c r="M4448" s="110" t="str">
        <f t="shared" si="704"/>
        <v/>
      </c>
      <c r="N4448" s="51" t="str">
        <f t="shared" si="705"/>
        <v/>
      </c>
      <c r="O4448" s="52" t="str">
        <f t="shared" si="706"/>
        <v/>
      </c>
      <c r="P4448" s="88">
        <f t="shared" si="707"/>
        <v>0</v>
      </c>
      <c r="Q4448" s="88">
        <f t="shared" si="708"/>
        <v>0</v>
      </c>
      <c r="R4448" s="88" t="e">
        <f>-IF(Tabla14[[#This Row],[DIAS HABILES O MORA]]&lt;0,(Tabla14[[#This Row],[VALOR PRESTAMO]]*Tabla14[[#This Row],[% INTERES ]]/30*U4448))+Tabla14[[#This Row],[VALOR CUOTAS]]</f>
        <v>#VALUE!</v>
      </c>
      <c r="S4448" s="88">
        <f>-IF(Tabla14[[#This Row],[DIAS HABILES O MORA]]&lt;0,(Tabla14[[#This Row],[VALOR PRESTAMO]]*Tabla14[[#This Row],[% INTERES ]]/30*U4448))</f>
        <v>0</v>
      </c>
      <c r="T4448" s="53" t="e">
        <f>Tabla14[[#This Row],[DEUDA CAPITAL]]+Tabla14[[#This Row],[INTERES  CUOTA]]</f>
        <v>#NUM!</v>
      </c>
      <c r="U4448" s="61" t="str">
        <f t="shared" si="709"/>
        <v/>
      </c>
    </row>
    <row r="4449" spans="9:21" ht="24.75" customHeight="1" x14ac:dyDescent="0.35">
      <c r="I4449" s="42">
        <f t="shared" si="700"/>
        <v>0</v>
      </c>
      <c r="J4449" s="65" t="e">
        <f t="shared" si="701"/>
        <v>#NUM!</v>
      </c>
      <c r="K4449" s="83" t="e">
        <f t="shared" si="702"/>
        <v>#NUM!</v>
      </c>
      <c r="L4449" s="83">
        <f t="shared" si="703"/>
        <v>0</v>
      </c>
      <c r="M4449" s="110" t="str">
        <f t="shared" si="704"/>
        <v/>
      </c>
      <c r="N4449" s="51" t="str">
        <f t="shared" si="705"/>
        <v/>
      </c>
      <c r="O4449" s="52" t="str">
        <f t="shared" si="706"/>
        <v/>
      </c>
      <c r="P4449" s="88">
        <f t="shared" si="707"/>
        <v>0</v>
      </c>
      <c r="Q4449" s="88">
        <f t="shared" si="708"/>
        <v>0</v>
      </c>
      <c r="R4449" s="88" t="e">
        <f>-IF(Tabla14[[#This Row],[DIAS HABILES O MORA]]&lt;0,(Tabla14[[#This Row],[VALOR PRESTAMO]]*Tabla14[[#This Row],[% INTERES ]]/30*U4449))+Tabla14[[#This Row],[VALOR CUOTAS]]</f>
        <v>#VALUE!</v>
      </c>
      <c r="S4449" s="88">
        <f>-IF(Tabla14[[#This Row],[DIAS HABILES O MORA]]&lt;0,(Tabla14[[#This Row],[VALOR PRESTAMO]]*Tabla14[[#This Row],[% INTERES ]]/30*U4449))</f>
        <v>0</v>
      </c>
      <c r="T4449" s="53" t="e">
        <f>Tabla14[[#This Row],[DEUDA CAPITAL]]+Tabla14[[#This Row],[INTERES  CUOTA]]</f>
        <v>#NUM!</v>
      </c>
      <c r="U4449" s="61" t="str">
        <f t="shared" si="709"/>
        <v/>
      </c>
    </row>
    <row r="4450" spans="9:21" ht="24.75" customHeight="1" x14ac:dyDescent="0.35">
      <c r="I4450" s="42">
        <f t="shared" si="700"/>
        <v>0</v>
      </c>
      <c r="J4450" s="65" t="e">
        <f t="shared" si="701"/>
        <v>#NUM!</v>
      </c>
      <c r="K4450" s="83" t="e">
        <f t="shared" si="702"/>
        <v>#NUM!</v>
      </c>
      <c r="L4450" s="83">
        <f t="shared" si="703"/>
        <v>0</v>
      </c>
      <c r="M4450" s="110" t="str">
        <f t="shared" si="704"/>
        <v/>
      </c>
      <c r="N4450" s="51" t="str">
        <f t="shared" si="705"/>
        <v/>
      </c>
      <c r="O4450" s="52" t="str">
        <f t="shared" si="706"/>
        <v/>
      </c>
      <c r="P4450" s="88">
        <f t="shared" si="707"/>
        <v>0</v>
      </c>
      <c r="Q4450" s="88">
        <f t="shared" si="708"/>
        <v>0</v>
      </c>
      <c r="R4450" s="88" t="e">
        <f>-IF(Tabla14[[#This Row],[DIAS HABILES O MORA]]&lt;0,(Tabla14[[#This Row],[VALOR PRESTAMO]]*Tabla14[[#This Row],[% INTERES ]]/30*U4450))+Tabla14[[#This Row],[VALOR CUOTAS]]</f>
        <v>#VALUE!</v>
      </c>
      <c r="S4450" s="88">
        <f>-IF(Tabla14[[#This Row],[DIAS HABILES O MORA]]&lt;0,(Tabla14[[#This Row],[VALOR PRESTAMO]]*Tabla14[[#This Row],[% INTERES ]]/30*U4450))</f>
        <v>0</v>
      </c>
      <c r="T4450" s="53" t="e">
        <f>Tabla14[[#This Row],[DEUDA CAPITAL]]+Tabla14[[#This Row],[INTERES  CUOTA]]</f>
        <v>#NUM!</v>
      </c>
      <c r="U4450" s="61" t="str">
        <f t="shared" si="709"/>
        <v/>
      </c>
    </row>
    <row r="4451" spans="9:21" ht="24.75" customHeight="1" x14ac:dyDescent="0.35">
      <c r="I4451" s="42">
        <f t="shared" si="700"/>
        <v>0</v>
      </c>
      <c r="J4451" s="65" t="e">
        <f t="shared" si="701"/>
        <v>#NUM!</v>
      </c>
      <c r="K4451" s="83" t="e">
        <f t="shared" si="702"/>
        <v>#NUM!</v>
      </c>
      <c r="L4451" s="83">
        <f t="shared" si="703"/>
        <v>0</v>
      </c>
      <c r="M4451" s="110" t="str">
        <f t="shared" si="704"/>
        <v/>
      </c>
      <c r="N4451" s="51" t="str">
        <f t="shared" si="705"/>
        <v/>
      </c>
      <c r="O4451" s="52" t="str">
        <f t="shared" si="706"/>
        <v/>
      </c>
      <c r="P4451" s="88">
        <f t="shared" si="707"/>
        <v>0</v>
      </c>
      <c r="Q4451" s="88">
        <f t="shared" si="708"/>
        <v>0</v>
      </c>
      <c r="R4451" s="88" t="e">
        <f>-IF(Tabla14[[#This Row],[DIAS HABILES O MORA]]&lt;0,(Tabla14[[#This Row],[VALOR PRESTAMO]]*Tabla14[[#This Row],[% INTERES ]]/30*U4451))+Tabla14[[#This Row],[VALOR CUOTAS]]</f>
        <v>#VALUE!</v>
      </c>
      <c r="S4451" s="88">
        <f>-IF(Tabla14[[#This Row],[DIAS HABILES O MORA]]&lt;0,(Tabla14[[#This Row],[VALOR PRESTAMO]]*Tabla14[[#This Row],[% INTERES ]]/30*U4451))</f>
        <v>0</v>
      </c>
      <c r="T4451" s="53" t="e">
        <f>Tabla14[[#This Row],[DEUDA CAPITAL]]+Tabla14[[#This Row],[INTERES  CUOTA]]</f>
        <v>#NUM!</v>
      </c>
      <c r="U4451" s="61" t="str">
        <f t="shared" si="709"/>
        <v/>
      </c>
    </row>
    <row r="4452" spans="9:21" ht="24.75" customHeight="1" x14ac:dyDescent="0.35">
      <c r="I4452" s="42">
        <f t="shared" si="700"/>
        <v>0</v>
      </c>
      <c r="J4452" s="65" t="e">
        <f t="shared" si="701"/>
        <v>#NUM!</v>
      </c>
      <c r="K4452" s="83" t="e">
        <f t="shared" si="702"/>
        <v>#NUM!</v>
      </c>
      <c r="L4452" s="83">
        <f t="shared" si="703"/>
        <v>0</v>
      </c>
      <c r="M4452" s="110" t="str">
        <f t="shared" si="704"/>
        <v/>
      </c>
      <c r="N4452" s="51" t="str">
        <f t="shared" si="705"/>
        <v/>
      </c>
      <c r="O4452" s="52" t="str">
        <f t="shared" si="706"/>
        <v/>
      </c>
      <c r="P4452" s="88">
        <f t="shared" si="707"/>
        <v>0</v>
      </c>
      <c r="Q4452" s="88">
        <f t="shared" si="708"/>
        <v>0</v>
      </c>
      <c r="R4452" s="88" t="e">
        <f>-IF(Tabla14[[#This Row],[DIAS HABILES O MORA]]&lt;0,(Tabla14[[#This Row],[VALOR PRESTAMO]]*Tabla14[[#This Row],[% INTERES ]]/30*U4452))+Tabla14[[#This Row],[VALOR CUOTAS]]</f>
        <v>#VALUE!</v>
      </c>
      <c r="S4452" s="88">
        <f>-IF(Tabla14[[#This Row],[DIAS HABILES O MORA]]&lt;0,(Tabla14[[#This Row],[VALOR PRESTAMO]]*Tabla14[[#This Row],[% INTERES ]]/30*U4452))</f>
        <v>0</v>
      </c>
      <c r="T4452" s="53" t="e">
        <f>Tabla14[[#This Row],[DEUDA CAPITAL]]+Tabla14[[#This Row],[INTERES  CUOTA]]</f>
        <v>#NUM!</v>
      </c>
      <c r="U4452" s="61" t="str">
        <f t="shared" si="709"/>
        <v/>
      </c>
    </row>
    <row r="4453" spans="9:21" ht="24.75" customHeight="1" x14ac:dyDescent="0.35">
      <c r="I4453" s="42">
        <f t="shared" si="700"/>
        <v>0</v>
      </c>
      <c r="J4453" s="65" t="e">
        <f t="shared" si="701"/>
        <v>#NUM!</v>
      </c>
      <c r="K4453" s="83" t="e">
        <f t="shared" si="702"/>
        <v>#NUM!</v>
      </c>
      <c r="L4453" s="83">
        <f t="shared" si="703"/>
        <v>0</v>
      </c>
      <c r="M4453" s="110" t="str">
        <f t="shared" si="704"/>
        <v/>
      </c>
      <c r="N4453" s="51" t="str">
        <f t="shared" si="705"/>
        <v/>
      </c>
      <c r="O4453" s="52" t="str">
        <f t="shared" si="706"/>
        <v/>
      </c>
      <c r="P4453" s="88">
        <f t="shared" si="707"/>
        <v>0</v>
      </c>
      <c r="Q4453" s="88">
        <f t="shared" si="708"/>
        <v>0</v>
      </c>
      <c r="R4453" s="88" t="e">
        <f>-IF(Tabla14[[#This Row],[DIAS HABILES O MORA]]&lt;0,(Tabla14[[#This Row],[VALOR PRESTAMO]]*Tabla14[[#This Row],[% INTERES ]]/30*U4453))+Tabla14[[#This Row],[VALOR CUOTAS]]</f>
        <v>#VALUE!</v>
      </c>
      <c r="S4453" s="88">
        <f>-IF(Tabla14[[#This Row],[DIAS HABILES O MORA]]&lt;0,(Tabla14[[#This Row],[VALOR PRESTAMO]]*Tabla14[[#This Row],[% INTERES ]]/30*U4453))</f>
        <v>0</v>
      </c>
      <c r="T4453" s="53" t="e">
        <f>Tabla14[[#This Row],[DEUDA CAPITAL]]+Tabla14[[#This Row],[INTERES  CUOTA]]</f>
        <v>#NUM!</v>
      </c>
      <c r="U4453" s="61" t="str">
        <f t="shared" si="709"/>
        <v/>
      </c>
    </row>
    <row r="4454" spans="9:21" ht="24.75" customHeight="1" x14ac:dyDescent="0.35">
      <c r="I4454" s="42">
        <f t="shared" si="700"/>
        <v>0</v>
      </c>
      <c r="J4454" s="65" t="e">
        <f t="shared" si="701"/>
        <v>#NUM!</v>
      </c>
      <c r="K4454" s="83" t="e">
        <f t="shared" si="702"/>
        <v>#NUM!</v>
      </c>
      <c r="L4454" s="83">
        <f t="shared" si="703"/>
        <v>0</v>
      </c>
      <c r="M4454" s="110" t="str">
        <f t="shared" si="704"/>
        <v/>
      </c>
      <c r="N4454" s="51" t="str">
        <f t="shared" si="705"/>
        <v/>
      </c>
      <c r="O4454" s="52" t="str">
        <f t="shared" si="706"/>
        <v/>
      </c>
      <c r="P4454" s="88">
        <f t="shared" si="707"/>
        <v>0</v>
      </c>
      <c r="Q4454" s="88">
        <f t="shared" si="708"/>
        <v>0</v>
      </c>
      <c r="R4454" s="88" t="e">
        <f>-IF(Tabla14[[#This Row],[DIAS HABILES O MORA]]&lt;0,(Tabla14[[#This Row],[VALOR PRESTAMO]]*Tabla14[[#This Row],[% INTERES ]]/30*U4454))+Tabla14[[#This Row],[VALOR CUOTAS]]</f>
        <v>#VALUE!</v>
      </c>
      <c r="S4454" s="88">
        <f>-IF(Tabla14[[#This Row],[DIAS HABILES O MORA]]&lt;0,(Tabla14[[#This Row],[VALOR PRESTAMO]]*Tabla14[[#This Row],[% INTERES ]]/30*U4454))</f>
        <v>0</v>
      </c>
      <c r="T4454" s="53" t="e">
        <f>Tabla14[[#This Row],[DEUDA CAPITAL]]+Tabla14[[#This Row],[INTERES  CUOTA]]</f>
        <v>#NUM!</v>
      </c>
      <c r="U4454" s="61" t="str">
        <f t="shared" si="709"/>
        <v/>
      </c>
    </row>
    <row r="4455" spans="9:21" ht="24.75" customHeight="1" x14ac:dyDescent="0.35">
      <c r="I4455" s="42">
        <f t="shared" si="700"/>
        <v>0</v>
      </c>
      <c r="J4455" s="65" t="e">
        <f t="shared" si="701"/>
        <v>#NUM!</v>
      </c>
      <c r="K4455" s="83" t="e">
        <f t="shared" si="702"/>
        <v>#NUM!</v>
      </c>
      <c r="L4455" s="83">
        <f t="shared" si="703"/>
        <v>0</v>
      </c>
      <c r="M4455" s="110" t="str">
        <f t="shared" si="704"/>
        <v/>
      </c>
      <c r="N4455" s="51" t="str">
        <f t="shared" si="705"/>
        <v/>
      </c>
      <c r="O4455" s="52" t="str">
        <f t="shared" si="706"/>
        <v/>
      </c>
      <c r="P4455" s="88">
        <f t="shared" si="707"/>
        <v>0</v>
      </c>
      <c r="Q4455" s="88">
        <f t="shared" si="708"/>
        <v>0</v>
      </c>
      <c r="R4455" s="88" t="e">
        <f>-IF(Tabla14[[#This Row],[DIAS HABILES O MORA]]&lt;0,(Tabla14[[#This Row],[VALOR PRESTAMO]]*Tabla14[[#This Row],[% INTERES ]]/30*U4455))+Tabla14[[#This Row],[VALOR CUOTAS]]</f>
        <v>#VALUE!</v>
      </c>
      <c r="S4455" s="88">
        <f>-IF(Tabla14[[#This Row],[DIAS HABILES O MORA]]&lt;0,(Tabla14[[#This Row],[VALOR PRESTAMO]]*Tabla14[[#This Row],[% INTERES ]]/30*U4455))</f>
        <v>0</v>
      </c>
      <c r="T4455" s="53" t="e">
        <f>Tabla14[[#This Row],[DEUDA CAPITAL]]+Tabla14[[#This Row],[INTERES  CUOTA]]</f>
        <v>#NUM!</v>
      </c>
      <c r="U4455" s="61" t="str">
        <f t="shared" si="709"/>
        <v/>
      </c>
    </row>
    <row r="4456" spans="9:21" ht="24.75" customHeight="1" x14ac:dyDescent="0.35">
      <c r="I4456" s="42">
        <f t="shared" si="700"/>
        <v>0</v>
      </c>
      <c r="J4456" s="65" t="e">
        <f t="shared" si="701"/>
        <v>#NUM!</v>
      </c>
      <c r="K4456" s="83" t="e">
        <f t="shared" si="702"/>
        <v>#NUM!</v>
      </c>
      <c r="L4456" s="83">
        <f t="shared" si="703"/>
        <v>0</v>
      </c>
      <c r="M4456" s="110" t="str">
        <f t="shared" si="704"/>
        <v/>
      </c>
      <c r="N4456" s="51" t="str">
        <f t="shared" si="705"/>
        <v/>
      </c>
      <c r="O4456" s="52" t="str">
        <f t="shared" si="706"/>
        <v/>
      </c>
      <c r="P4456" s="88">
        <f t="shared" si="707"/>
        <v>0</v>
      </c>
      <c r="Q4456" s="88">
        <f t="shared" si="708"/>
        <v>0</v>
      </c>
      <c r="R4456" s="88" t="e">
        <f>-IF(Tabla14[[#This Row],[DIAS HABILES O MORA]]&lt;0,(Tabla14[[#This Row],[VALOR PRESTAMO]]*Tabla14[[#This Row],[% INTERES ]]/30*U4456))+Tabla14[[#This Row],[VALOR CUOTAS]]</f>
        <v>#VALUE!</v>
      </c>
      <c r="S4456" s="88">
        <f>-IF(Tabla14[[#This Row],[DIAS HABILES O MORA]]&lt;0,(Tabla14[[#This Row],[VALOR PRESTAMO]]*Tabla14[[#This Row],[% INTERES ]]/30*U4456))</f>
        <v>0</v>
      </c>
      <c r="T4456" s="53" t="e">
        <f>Tabla14[[#This Row],[DEUDA CAPITAL]]+Tabla14[[#This Row],[INTERES  CUOTA]]</f>
        <v>#NUM!</v>
      </c>
      <c r="U4456" s="61" t="str">
        <f t="shared" si="709"/>
        <v/>
      </c>
    </row>
    <row r="4457" spans="9:21" ht="24.75" customHeight="1" x14ac:dyDescent="0.35">
      <c r="I4457" s="42">
        <f t="shared" si="700"/>
        <v>0</v>
      </c>
      <c r="J4457" s="65" t="e">
        <f t="shared" si="701"/>
        <v>#NUM!</v>
      </c>
      <c r="K4457" s="83" t="e">
        <f t="shared" si="702"/>
        <v>#NUM!</v>
      </c>
      <c r="L4457" s="83">
        <f t="shared" si="703"/>
        <v>0</v>
      </c>
      <c r="M4457" s="110" t="str">
        <f t="shared" si="704"/>
        <v/>
      </c>
      <c r="N4457" s="51" t="str">
        <f t="shared" si="705"/>
        <v/>
      </c>
      <c r="O4457" s="52" t="str">
        <f t="shared" si="706"/>
        <v/>
      </c>
      <c r="P4457" s="88">
        <f t="shared" si="707"/>
        <v>0</v>
      </c>
      <c r="Q4457" s="88">
        <f t="shared" si="708"/>
        <v>0</v>
      </c>
      <c r="R4457" s="88" t="e">
        <f>-IF(Tabla14[[#This Row],[DIAS HABILES O MORA]]&lt;0,(Tabla14[[#This Row],[VALOR PRESTAMO]]*Tabla14[[#This Row],[% INTERES ]]/30*U4457))+Tabla14[[#This Row],[VALOR CUOTAS]]</f>
        <v>#VALUE!</v>
      </c>
      <c r="S4457" s="88">
        <f>-IF(Tabla14[[#This Row],[DIAS HABILES O MORA]]&lt;0,(Tabla14[[#This Row],[VALOR PRESTAMO]]*Tabla14[[#This Row],[% INTERES ]]/30*U4457))</f>
        <v>0</v>
      </c>
      <c r="T4457" s="53" t="e">
        <f>Tabla14[[#This Row],[DEUDA CAPITAL]]+Tabla14[[#This Row],[INTERES  CUOTA]]</f>
        <v>#NUM!</v>
      </c>
      <c r="U4457" s="61" t="str">
        <f t="shared" si="709"/>
        <v/>
      </c>
    </row>
    <row r="4458" spans="9:21" ht="24.75" customHeight="1" x14ac:dyDescent="0.35">
      <c r="I4458" s="42">
        <f t="shared" si="700"/>
        <v>0</v>
      </c>
      <c r="J4458" s="65" t="e">
        <f t="shared" si="701"/>
        <v>#NUM!</v>
      </c>
      <c r="K4458" s="83" t="e">
        <f t="shared" si="702"/>
        <v>#NUM!</v>
      </c>
      <c r="L4458" s="83">
        <f t="shared" si="703"/>
        <v>0</v>
      </c>
      <c r="M4458" s="110" t="str">
        <f t="shared" si="704"/>
        <v/>
      </c>
      <c r="N4458" s="51" t="str">
        <f t="shared" si="705"/>
        <v/>
      </c>
      <c r="O4458" s="52" t="str">
        <f t="shared" si="706"/>
        <v/>
      </c>
      <c r="P4458" s="88">
        <f t="shared" si="707"/>
        <v>0</v>
      </c>
      <c r="Q4458" s="88">
        <f t="shared" si="708"/>
        <v>0</v>
      </c>
      <c r="R4458" s="88" t="e">
        <f>-IF(Tabla14[[#This Row],[DIAS HABILES O MORA]]&lt;0,(Tabla14[[#This Row],[VALOR PRESTAMO]]*Tabla14[[#This Row],[% INTERES ]]/30*U4458))+Tabla14[[#This Row],[VALOR CUOTAS]]</f>
        <v>#VALUE!</v>
      </c>
      <c r="S4458" s="88">
        <f>-IF(Tabla14[[#This Row],[DIAS HABILES O MORA]]&lt;0,(Tabla14[[#This Row],[VALOR PRESTAMO]]*Tabla14[[#This Row],[% INTERES ]]/30*U4458))</f>
        <v>0</v>
      </c>
      <c r="T4458" s="53" t="e">
        <f>Tabla14[[#This Row],[DEUDA CAPITAL]]+Tabla14[[#This Row],[INTERES  CUOTA]]</f>
        <v>#NUM!</v>
      </c>
      <c r="U4458" s="61" t="str">
        <f t="shared" si="709"/>
        <v/>
      </c>
    </row>
    <row r="4459" spans="9:21" ht="24.75" customHeight="1" x14ac:dyDescent="0.35">
      <c r="I4459" s="42">
        <f t="shared" si="700"/>
        <v>0</v>
      </c>
      <c r="J4459" s="65" t="e">
        <f t="shared" si="701"/>
        <v>#NUM!</v>
      </c>
      <c r="K4459" s="83" t="e">
        <f t="shared" si="702"/>
        <v>#NUM!</v>
      </c>
      <c r="L4459" s="83">
        <f t="shared" si="703"/>
        <v>0</v>
      </c>
      <c r="M4459" s="110" t="str">
        <f t="shared" si="704"/>
        <v/>
      </c>
      <c r="N4459" s="51" t="str">
        <f t="shared" si="705"/>
        <v/>
      </c>
      <c r="O4459" s="52" t="str">
        <f t="shared" si="706"/>
        <v/>
      </c>
      <c r="P4459" s="88">
        <f t="shared" si="707"/>
        <v>0</v>
      </c>
      <c r="Q4459" s="88">
        <f t="shared" si="708"/>
        <v>0</v>
      </c>
      <c r="R4459" s="88" t="e">
        <f>-IF(Tabla14[[#This Row],[DIAS HABILES O MORA]]&lt;0,(Tabla14[[#This Row],[VALOR PRESTAMO]]*Tabla14[[#This Row],[% INTERES ]]/30*U4459))+Tabla14[[#This Row],[VALOR CUOTAS]]</f>
        <v>#VALUE!</v>
      </c>
      <c r="S4459" s="88">
        <f>-IF(Tabla14[[#This Row],[DIAS HABILES O MORA]]&lt;0,(Tabla14[[#This Row],[VALOR PRESTAMO]]*Tabla14[[#This Row],[% INTERES ]]/30*U4459))</f>
        <v>0</v>
      </c>
      <c r="T4459" s="53" t="e">
        <f>Tabla14[[#This Row],[DEUDA CAPITAL]]+Tabla14[[#This Row],[INTERES  CUOTA]]</f>
        <v>#NUM!</v>
      </c>
      <c r="U4459" s="61" t="str">
        <f t="shared" si="709"/>
        <v/>
      </c>
    </row>
    <row r="4460" spans="9:21" ht="24.75" customHeight="1" x14ac:dyDescent="0.35">
      <c r="I4460" s="42">
        <f t="shared" si="700"/>
        <v>0</v>
      </c>
      <c r="J4460" s="65" t="e">
        <f t="shared" si="701"/>
        <v>#NUM!</v>
      </c>
      <c r="K4460" s="83" t="e">
        <f t="shared" si="702"/>
        <v>#NUM!</v>
      </c>
      <c r="L4460" s="83">
        <f t="shared" si="703"/>
        <v>0</v>
      </c>
      <c r="M4460" s="110" t="str">
        <f t="shared" si="704"/>
        <v/>
      </c>
      <c r="N4460" s="51" t="str">
        <f t="shared" si="705"/>
        <v/>
      </c>
      <c r="O4460" s="52" t="str">
        <f t="shared" si="706"/>
        <v/>
      </c>
      <c r="P4460" s="88">
        <f t="shared" si="707"/>
        <v>0</v>
      </c>
      <c r="Q4460" s="88">
        <f t="shared" si="708"/>
        <v>0</v>
      </c>
      <c r="R4460" s="88" t="e">
        <f>-IF(Tabla14[[#This Row],[DIAS HABILES O MORA]]&lt;0,(Tabla14[[#This Row],[VALOR PRESTAMO]]*Tabla14[[#This Row],[% INTERES ]]/30*U4460))+Tabla14[[#This Row],[VALOR CUOTAS]]</f>
        <v>#VALUE!</v>
      </c>
      <c r="S4460" s="88">
        <f>-IF(Tabla14[[#This Row],[DIAS HABILES O MORA]]&lt;0,(Tabla14[[#This Row],[VALOR PRESTAMO]]*Tabla14[[#This Row],[% INTERES ]]/30*U4460))</f>
        <v>0</v>
      </c>
      <c r="T4460" s="53" t="e">
        <f>Tabla14[[#This Row],[DEUDA CAPITAL]]+Tabla14[[#This Row],[INTERES  CUOTA]]</f>
        <v>#NUM!</v>
      </c>
      <c r="U4460" s="61" t="str">
        <f t="shared" si="709"/>
        <v/>
      </c>
    </row>
    <row r="4461" spans="9:21" ht="24.75" customHeight="1" x14ac:dyDescent="0.35">
      <c r="I4461" s="42">
        <f t="shared" si="700"/>
        <v>0</v>
      </c>
      <c r="J4461" s="65" t="e">
        <f t="shared" si="701"/>
        <v>#NUM!</v>
      </c>
      <c r="K4461" s="83" t="e">
        <f t="shared" si="702"/>
        <v>#NUM!</v>
      </c>
      <c r="L4461" s="83">
        <f t="shared" si="703"/>
        <v>0</v>
      </c>
      <c r="M4461" s="110" t="str">
        <f t="shared" si="704"/>
        <v/>
      </c>
      <c r="N4461" s="51" t="str">
        <f t="shared" si="705"/>
        <v/>
      </c>
      <c r="O4461" s="52" t="str">
        <f t="shared" si="706"/>
        <v/>
      </c>
      <c r="P4461" s="88">
        <f t="shared" si="707"/>
        <v>0</v>
      </c>
      <c r="Q4461" s="88">
        <f t="shared" si="708"/>
        <v>0</v>
      </c>
      <c r="R4461" s="88" t="e">
        <f>-IF(Tabla14[[#This Row],[DIAS HABILES O MORA]]&lt;0,(Tabla14[[#This Row],[VALOR PRESTAMO]]*Tabla14[[#This Row],[% INTERES ]]/30*U4461))+Tabla14[[#This Row],[VALOR CUOTAS]]</f>
        <v>#VALUE!</v>
      </c>
      <c r="S4461" s="88">
        <f>-IF(Tabla14[[#This Row],[DIAS HABILES O MORA]]&lt;0,(Tabla14[[#This Row],[VALOR PRESTAMO]]*Tabla14[[#This Row],[% INTERES ]]/30*U4461))</f>
        <v>0</v>
      </c>
      <c r="T4461" s="53" t="e">
        <f>Tabla14[[#This Row],[DEUDA CAPITAL]]+Tabla14[[#This Row],[INTERES  CUOTA]]</f>
        <v>#NUM!</v>
      </c>
      <c r="U4461" s="61" t="str">
        <f t="shared" si="709"/>
        <v/>
      </c>
    </row>
    <row r="4462" spans="9:21" ht="24.75" customHeight="1" x14ac:dyDescent="0.35">
      <c r="I4462" s="42">
        <f t="shared" si="700"/>
        <v>0</v>
      </c>
      <c r="J4462" s="65" t="e">
        <f t="shared" si="701"/>
        <v>#NUM!</v>
      </c>
      <c r="K4462" s="83" t="e">
        <f t="shared" si="702"/>
        <v>#NUM!</v>
      </c>
      <c r="L4462" s="83">
        <f t="shared" si="703"/>
        <v>0</v>
      </c>
      <c r="M4462" s="110" t="str">
        <f t="shared" si="704"/>
        <v/>
      </c>
      <c r="N4462" s="51" t="str">
        <f t="shared" si="705"/>
        <v/>
      </c>
      <c r="O4462" s="52" t="str">
        <f t="shared" si="706"/>
        <v/>
      </c>
      <c r="P4462" s="88">
        <f t="shared" si="707"/>
        <v>0</v>
      </c>
      <c r="Q4462" s="88">
        <f t="shared" si="708"/>
        <v>0</v>
      </c>
      <c r="R4462" s="88" t="e">
        <f>-IF(Tabla14[[#This Row],[DIAS HABILES O MORA]]&lt;0,(Tabla14[[#This Row],[VALOR PRESTAMO]]*Tabla14[[#This Row],[% INTERES ]]/30*U4462))+Tabla14[[#This Row],[VALOR CUOTAS]]</f>
        <v>#VALUE!</v>
      </c>
      <c r="S4462" s="88">
        <f>-IF(Tabla14[[#This Row],[DIAS HABILES O MORA]]&lt;0,(Tabla14[[#This Row],[VALOR PRESTAMO]]*Tabla14[[#This Row],[% INTERES ]]/30*U4462))</f>
        <v>0</v>
      </c>
      <c r="T4462" s="53" t="e">
        <f>Tabla14[[#This Row],[DEUDA CAPITAL]]+Tabla14[[#This Row],[INTERES  CUOTA]]</f>
        <v>#NUM!</v>
      </c>
      <c r="U4462" s="61" t="str">
        <f t="shared" si="709"/>
        <v/>
      </c>
    </row>
    <row r="4463" spans="9:21" ht="24.75" customHeight="1" x14ac:dyDescent="0.35">
      <c r="I4463" s="42">
        <f t="shared" si="700"/>
        <v>0</v>
      </c>
      <c r="J4463" s="65" t="e">
        <f t="shared" si="701"/>
        <v>#NUM!</v>
      </c>
      <c r="K4463" s="83" t="e">
        <f t="shared" si="702"/>
        <v>#NUM!</v>
      </c>
      <c r="L4463" s="83">
        <f t="shared" si="703"/>
        <v>0</v>
      </c>
      <c r="M4463" s="110" t="str">
        <f t="shared" si="704"/>
        <v/>
      </c>
      <c r="N4463" s="51" t="str">
        <f t="shared" si="705"/>
        <v/>
      </c>
      <c r="O4463" s="52" t="str">
        <f t="shared" si="706"/>
        <v/>
      </c>
      <c r="P4463" s="88">
        <f t="shared" si="707"/>
        <v>0</v>
      </c>
      <c r="Q4463" s="88">
        <f t="shared" si="708"/>
        <v>0</v>
      </c>
      <c r="R4463" s="88" t="e">
        <f>-IF(Tabla14[[#This Row],[DIAS HABILES O MORA]]&lt;0,(Tabla14[[#This Row],[VALOR PRESTAMO]]*Tabla14[[#This Row],[% INTERES ]]/30*U4463))+Tabla14[[#This Row],[VALOR CUOTAS]]</f>
        <v>#VALUE!</v>
      </c>
      <c r="S4463" s="88">
        <f>-IF(Tabla14[[#This Row],[DIAS HABILES O MORA]]&lt;0,(Tabla14[[#This Row],[VALOR PRESTAMO]]*Tabla14[[#This Row],[% INTERES ]]/30*U4463))</f>
        <v>0</v>
      </c>
      <c r="T4463" s="53" t="e">
        <f>Tabla14[[#This Row],[DEUDA CAPITAL]]+Tabla14[[#This Row],[INTERES  CUOTA]]</f>
        <v>#NUM!</v>
      </c>
      <c r="U4463" s="61" t="str">
        <f t="shared" si="709"/>
        <v/>
      </c>
    </row>
    <row r="4464" spans="9:21" ht="24.75" customHeight="1" x14ac:dyDescent="0.35">
      <c r="I4464" s="42">
        <f t="shared" si="700"/>
        <v>0</v>
      </c>
      <c r="J4464" s="65" t="e">
        <f t="shared" si="701"/>
        <v>#NUM!</v>
      </c>
      <c r="K4464" s="83" t="e">
        <f t="shared" si="702"/>
        <v>#NUM!</v>
      </c>
      <c r="L4464" s="83">
        <f t="shared" si="703"/>
        <v>0</v>
      </c>
      <c r="M4464" s="110" t="str">
        <f t="shared" si="704"/>
        <v/>
      </c>
      <c r="N4464" s="51" t="str">
        <f t="shared" si="705"/>
        <v/>
      </c>
      <c r="O4464" s="52" t="str">
        <f t="shared" si="706"/>
        <v/>
      </c>
      <c r="P4464" s="88">
        <f t="shared" si="707"/>
        <v>0</v>
      </c>
      <c r="Q4464" s="88">
        <f t="shared" si="708"/>
        <v>0</v>
      </c>
      <c r="R4464" s="88" t="e">
        <f>-IF(Tabla14[[#This Row],[DIAS HABILES O MORA]]&lt;0,(Tabla14[[#This Row],[VALOR PRESTAMO]]*Tabla14[[#This Row],[% INTERES ]]/30*U4464))+Tabla14[[#This Row],[VALOR CUOTAS]]</f>
        <v>#VALUE!</v>
      </c>
      <c r="S4464" s="88">
        <f>-IF(Tabla14[[#This Row],[DIAS HABILES O MORA]]&lt;0,(Tabla14[[#This Row],[VALOR PRESTAMO]]*Tabla14[[#This Row],[% INTERES ]]/30*U4464))</f>
        <v>0</v>
      </c>
      <c r="T4464" s="53" t="e">
        <f>Tabla14[[#This Row],[DEUDA CAPITAL]]+Tabla14[[#This Row],[INTERES  CUOTA]]</f>
        <v>#NUM!</v>
      </c>
      <c r="U4464" s="61" t="str">
        <f t="shared" si="709"/>
        <v/>
      </c>
    </row>
    <row r="4465" spans="9:21" ht="24.75" customHeight="1" x14ac:dyDescent="0.35">
      <c r="I4465" s="42">
        <f t="shared" si="700"/>
        <v>0</v>
      </c>
      <c r="J4465" s="65" t="e">
        <f t="shared" si="701"/>
        <v>#NUM!</v>
      </c>
      <c r="K4465" s="83" t="e">
        <f t="shared" si="702"/>
        <v>#NUM!</v>
      </c>
      <c r="L4465" s="83">
        <f t="shared" si="703"/>
        <v>0</v>
      </c>
      <c r="M4465" s="110" t="str">
        <f t="shared" si="704"/>
        <v/>
      </c>
      <c r="N4465" s="51" t="str">
        <f t="shared" si="705"/>
        <v/>
      </c>
      <c r="O4465" s="52" t="str">
        <f t="shared" si="706"/>
        <v/>
      </c>
      <c r="P4465" s="88">
        <f t="shared" si="707"/>
        <v>0</v>
      </c>
      <c r="Q4465" s="88">
        <f t="shared" si="708"/>
        <v>0</v>
      </c>
      <c r="R4465" s="88" t="e">
        <f>-IF(Tabla14[[#This Row],[DIAS HABILES O MORA]]&lt;0,(Tabla14[[#This Row],[VALOR PRESTAMO]]*Tabla14[[#This Row],[% INTERES ]]/30*U4465))+Tabla14[[#This Row],[VALOR CUOTAS]]</f>
        <v>#VALUE!</v>
      </c>
      <c r="S4465" s="88">
        <f>-IF(Tabla14[[#This Row],[DIAS HABILES O MORA]]&lt;0,(Tabla14[[#This Row],[VALOR PRESTAMO]]*Tabla14[[#This Row],[% INTERES ]]/30*U4465))</f>
        <v>0</v>
      </c>
      <c r="T4465" s="53" t="e">
        <f>Tabla14[[#This Row],[DEUDA CAPITAL]]+Tabla14[[#This Row],[INTERES  CUOTA]]</f>
        <v>#NUM!</v>
      </c>
      <c r="U4465" s="61" t="str">
        <f t="shared" si="709"/>
        <v/>
      </c>
    </row>
    <row r="4466" spans="9:21" ht="24.75" customHeight="1" x14ac:dyDescent="0.35">
      <c r="I4466" s="42">
        <f t="shared" si="700"/>
        <v>0</v>
      </c>
      <c r="J4466" s="65" t="e">
        <f t="shared" si="701"/>
        <v>#NUM!</v>
      </c>
      <c r="K4466" s="83" t="e">
        <f t="shared" si="702"/>
        <v>#NUM!</v>
      </c>
      <c r="L4466" s="83">
        <f t="shared" si="703"/>
        <v>0</v>
      </c>
      <c r="M4466" s="110" t="str">
        <f t="shared" si="704"/>
        <v/>
      </c>
      <c r="N4466" s="51" t="str">
        <f t="shared" si="705"/>
        <v/>
      </c>
      <c r="O4466" s="52" t="str">
        <f t="shared" si="706"/>
        <v/>
      </c>
      <c r="P4466" s="88">
        <f t="shared" si="707"/>
        <v>0</v>
      </c>
      <c r="Q4466" s="88">
        <f t="shared" si="708"/>
        <v>0</v>
      </c>
      <c r="R4466" s="88" t="e">
        <f>-IF(Tabla14[[#This Row],[DIAS HABILES O MORA]]&lt;0,(Tabla14[[#This Row],[VALOR PRESTAMO]]*Tabla14[[#This Row],[% INTERES ]]/30*U4466))+Tabla14[[#This Row],[VALOR CUOTAS]]</f>
        <v>#VALUE!</v>
      </c>
      <c r="S4466" s="88">
        <f>-IF(Tabla14[[#This Row],[DIAS HABILES O MORA]]&lt;0,(Tabla14[[#This Row],[VALOR PRESTAMO]]*Tabla14[[#This Row],[% INTERES ]]/30*U4466))</f>
        <v>0</v>
      </c>
      <c r="T4466" s="53" t="e">
        <f>Tabla14[[#This Row],[DEUDA CAPITAL]]+Tabla14[[#This Row],[INTERES  CUOTA]]</f>
        <v>#NUM!</v>
      </c>
      <c r="U4466" s="61" t="str">
        <f t="shared" si="709"/>
        <v/>
      </c>
    </row>
    <row r="4467" spans="9:21" ht="24.75" customHeight="1" x14ac:dyDescent="0.35">
      <c r="I4467" s="42">
        <f t="shared" si="700"/>
        <v>0</v>
      </c>
      <c r="J4467" s="65" t="e">
        <f t="shared" si="701"/>
        <v>#NUM!</v>
      </c>
      <c r="K4467" s="83" t="e">
        <f t="shared" si="702"/>
        <v>#NUM!</v>
      </c>
      <c r="L4467" s="83">
        <f t="shared" si="703"/>
        <v>0</v>
      </c>
      <c r="M4467" s="110" t="str">
        <f t="shared" si="704"/>
        <v/>
      </c>
      <c r="N4467" s="51" t="str">
        <f t="shared" si="705"/>
        <v/>
      </c>
      <c r="O4467" s="52" t="str">
        <f t="shared" si="706"/>
        <v/>
      </c>
      <c r="P4467" s="88">
        <f t="shared" si="707"/>
        <v>0</v>
      </c>
      <c r="Q4467" s="88">
        <f t="shared" si="708"/>
        <v>0</v>
      </c>
      <c r="R4467" s="88" t="e">
        <f>-IF(Tabla14[[#This Row],[DIAS HABILES O MORA]]&lt;0,(Tabla14[[#This Row],[VALOR PRESTAMO]]*Tabla14[[#This Row],[% INTERES ]]/30*U4467))+Tabla14[[#This Row],[VALOR CUOTAS]]</f>
        <v>#VALUE!</v>
      </c>
      <c r="S4467" s="88">
        <f>-IF(Tabla14[[#This Row],[DIAS HABILES O MORA]]&lt;0,(Tabla14[[#This Row],[VALOR PRESTAMO]]*Tabla14[[#This Row],[% INTERES ]]/30*U4467))</f>
        <v>0</v>
      </c>
      <c r="T4467" s="53" t="e">
        <f>Tabla14[[#This Row],[DEUDA CAPITAL]]+Tabla14[[#This Row],[INTERES  CUOTA]]</f>
        <v>#NUM!</v>
      </c>
      <c r="U4467" s="61" t="str">
        <f t="shared" si="709"/>
        <v/>
      </c>
    </row>
    <row r="4468" spans="9:21" ht="24.75" customHeight="1" x14ac:dyDescent="0.35">
      <c r="I4468" s="42">
        <f t="shared" si="700"/>
        <v>0</v>
      </c>
      <c r="J4468" s="65" t="e">
        <f t="shared" si="701"/>
        <v>#NUM!</v>
      </c>
      <c r="K4468" s="83" t="e">
        <f t="shared" si="702"/>
        <v>#NUM!</v>
      </c>
      <c r="L4468" s="83">
        <f t="shared" si="703"/>
        <v>0</v>
      </c>
      <c r="M4468" s="110" t="str">
        <f t="shared" si="704"/>
        <v/>
      </c>
      <c r="N4468" s="51" t="str">
        <f t="shared" si="705"/>
        <v/>
      </c>
      <c r="O4468" s="52" t="str">
        <f t="shared" si="706"/>
        <v/>
      </c>
      <c r="P4468" s="88">
        <f t="shared" si="707"/>
        <v>0</v>
      </c>
      <c r="Q4468" s="88">
        <f t="shared" si="708"/>
        <v>0</v>
      </c>
      <c r="R4468" s="88" t="e">
        <f>-IF(Tabla14[[#This Row],[DIAS HABILES O MORA]]&lt;0,(Tabla14[[#This Row],[VALOR PRESTAMO]]*Tabla14[[#This Row],[% INTERES ]]/30*U4468))+Tabla14[[#This Row],[VALOR CUOTAS]]</f>
        <v>#VALUE!</v>
      </c>
      <c r="S4468" s="88">
        <f>-IF(Tabla14[[#This Row],[DIAS HABILES O MORA]]&lt;0,(Tabla14[[#This Row],[VALOR PRESTAMO]]*Tabla14[[#This Row],[% INTERES ]]/30*U4468))</f>
        <v>0</v>
      </c>
      <c r="T4468" s="53" t="e">
        <f>Tabla14[[#This Row],[DEUDA CAPITAL]]+Tabla14[[#This Row],[INTERES  CUOTA]]</f>
        <v>#NUM!</v>
      </c>
      <c r="U4468" s="61" t="str">
        <f t="shared" si="709"/>
        <v/>
      </c>
    </row>
    <row r="4469" spans="9:21" ht="24.75" customHeight="1" x14ac:dyDescent="0.35">
      <c r="I4469" s="42">
        <f t="shared" si="700"/>
        <v>0</v>
      </c>
      <c r="J4469" s="65" t="e">
        <f t="shared" si="701"/>
        <v>#NUM!</v>
      </c>
      <c r="K4469" s="83" t="e">
        <f t="shared" si="702"/>
        <v>#NUM!</v>
      </c>
      <c r="L4469" s="83">
        <f t="shared" si="703"/>
        <v>0</v>
      </c>
      <c r="M4469" s="110" t="str">
        <f t="shared" si="704"/>
        <v/>
      </c>
      <c r="N4469" s="51" t="str">
        <f t="shared" si="705"/>
        <v/>
      </c>
      <c r="O4469" s="52" t="str">
        <f t="shared" si="706"/>
        <v/>
      </c>
      <c r="P4469" s="88">
        <f t="shared" si="707"/>
        <v>0</v>
      </c>
      <c r="Q4469" s="88">
        <f t="shared" si="708"/>
        <v>0</v>
      </c>
      <c r="R4469" s="88" t="e">
        <f>-IF(Tabla14[[#This Row],[DIAS HABILES O MORA]]&lt;0,(Tabla14[[#This Row],[VALOR PRESTAMO]]*Tabla14[[#This Row],[% INTERES ]]/30*U4469))+Tabla14[[#This Row],[VALOR CUOTAS]]</f>
        <v>#VALUE!</v>
      </c>
      <c r="S4469" s="88">
        <f>-IF(Tabla14[[#This Row],[DIAS HABILES O MORA]]&lt;0,(Tabla14[[#This Row],[VALOR PRESTAMO]]*Tabla14[[#This Row],[% INTERES ]]/30*U4469))</f>
        <v>0</v>
      </c>
      <c r="T4469" s="53" t="e">
        <f>Tabla14[[#This Row],[DEUDA CAPITAL]]+Tabla14[[#This Row],[INTERES  CUOTA]]</f>
        <v>#NUM!</v>
      </c>
      <c r="U4469" s="61" t="str">
        <f t="shared" si="709"/>
        <v/>
      </c>
    </row>
    <row r="4470" spans="9:21" ht="24.75" customHeight="1" x14ac:dyDescent="0.35">
      <c r="I4470" s="42">
        <f t="shared" si="700"/>
        <v>0</v>
      </c>
      <c r="J4470" s="65" t="e">
        <f t="shared" si="701"/>
        <v>#NUM!</v>
      </c>
      <c r="K4470" s="83" t="e">
        <f t="shared" si="702"/>
        <v>#NUM!</v>
      </c>
      <c r="L4470" s="83">
        <f t="shared" si="703"/>
        <v>0</v>
      </c>
      <c r="M4470" s="110" t="str">
        <f t="shared" si="704"/>
        <v/>
      </c>
      <c r="N4470" s="51" t="str">
        <f t="shared" si="705"/>
        <v/>
      </c>
      <c r="O4470" s="52" t="str">
        <f t="shared" si="706"/>
        <v/>
      </c>
      <c r="P4470" s="88">
        <f t="shared" si="707"/>
        <v>0</v>
      </c>
      <c r="Q4470" s="88">
        <f t="shared" si="708"/>
        <v>0</v>
      </c>
      <c r="R4470" s="88" t="e">
        <f>-IF(Tabla14[[#This Row],[DIAS HABILES O MORA]]&lt;0,(Tabla14[[#This Row],[VALOR PRESTAMO]]*Tabla14[[#This Row],[% INTERES ]]/30*U4470))+Tabla14[[#This Row],[VALOR CUOTAS]]</f>
        <v>#VALUE!</v>
      </c>
      <c r="S4470" s="88">
        <f>-IF(Tabla14[[#This Row],[DIAS HABILES O MORA]]&lt;0,(Tabla14[[#This Row],[VALOR PRESTAMO]]*Tabla14[[#This Row],[% INTERES ]]/30*U4470))</f>
        <v>0</v>
      </c>
      <c r="T4470" s="53" t="e">
        <f>Tabla14[[#This Row],[DEUDA CAPITAL]]+Tabla14[[#This Row],[INTERES  CUOTA]]</f>
        <v>#NUM!</v>
      </c>
      <c r="U4470" s="61" t="str">
        <f t="shared" si="709"/>
        <v/>
      </c>
    </row>
    <row r="4471" spans="9:21" ht="24.75" customHeight="1" x14ac:dyDescent="0.35">
      <c r="I4471" s="42">
        <f t="shared" si="700"/>
        <v>0</v>
      </c>
      <c r="J4471" s="65" t="e">
        <f t="shared" si="701"/>
        <v>#NUM!</v>
      </c>
      <c r="K4471" s="83" t="e">
        <f t="shared" si="702"/>
        <v>#NUM!</v>
      </c>
      <c r="L4471" s="83">
        <f t="shared" si="703"/>
        <v>0</v>
      </c>
      <c r="M4471" s="110" t="str">
        <f t="shared" si="704"/>
        <v/>
      </c>
      <c r="N4471" s="51" t="str">
        <f t="shared" si="705"/>
        <v/>
      </c>
      <c r="O4471" s="52" t="str">
        <f t="shared" si="706"/>
        <v/>
      </c>
      <c r="P4471" s="88">
        <f t="shared" si="707"/>
        <v>0</v>
      </c>
      <c r="Q4471" s="88">
        <f t="shared" si="708"/>
        <v>0</v>
      </c>
      <c r="R4471" s="88" t="e">
        <f>-IF(Tabla14[[#This Row],[DIAS HABILES O MORA]]&lt;0,(Tabla14[[#This Row],[VALOR PRESTAMO]]*Tabla14[[#This Row],[% INTERES ]]/30*U4471))+Tabla14[[#This Row],[VALOR CUOTAS]]</f>
        <v>#VALUE!</v>
      </c>
      <c r="S4471" s="88">
        <f>-IF(Tabla14[[#This Row],[DIAS HABILES O MORA]]&lt;0,(Tabla14[[#This Row],[VALOR PRESTAMO]]*Tabla14[[#This Row],[% INTERES ]]/30*U4471))</f>
        <v>0</v>
      </c>
      <c r="T4471" s="53" t="e">
        <f>Tabla14[[#This Row],[DEUDA CAPITAL]]+Tabla14[[#This Row],[INTERES  CUOTA]]</f>
        <v>#NUM!</v>
      </c>
      <c r="U4471" s="61" t="str">
        <f t="shared" si="709"/>
        <v/>
      </c>
    </row>
    <row r="4472" spans="9:21" ht="24.75" customHeight="1" x14ac:dyDescent="0.35">
      <c r="I4472" s="42">
        <f t="shared" si="700"/>
        <v>0</v>
      </c>
      <c r="J4472" s="65" t="e">
        <f t="shared" si="701"/>
        <v>#NUM!</v>
      </c>
      <c r="K4472" s="83" t="e">
        <f t="shared" si="702"/>
        <v>#NUM!</v>
      </c>
      <c r="L4472" s="83">
        <f t="shared" si="703"/>
        <v>0</v>
      </c>
      <c r="M4472" s="110" t="str">
        <f t="shared" si="704"/>
        <v/>
      </c>
      <c r="N4472" s="51" t="str">
        <f t="shared" si="705"/>
        <v/>
      </c>
      <c r="O4472" s="52" t="str">
        <f t="shared" si="706"/>
        <v/>
      </c>
      <c r="P4472" s="88">
        <f t="shared" si="707"/>
        <v>0</v>
      </c>
      <c r="Q4472" s="88">
        <f t="shared" si="708"/>
        <v>0</v>
      </c>
      <c r="R4472" s="88" t="e">
        <f>-IF(Tabla14[[#This Row],[DIAS HABILES O MORA]]&lt;0,(Tabla14[[#This Row],[VALOR PRESTAMO]]*Tabla14[[#This Row],[% INTERES ]]/30*U4472))+Tabla14[[#This Row],[VALOR CUOTAS]]</f>
        <v>#VALUE!</v>
      </c>
      <c r="S4472" s="88">
        <f>-IF(Tabla14[[#This Row],[DIAS HABILES O MORA]]&lt;0,(Tabla14[[#This Row],[VALOR PRESTAMO]]*Tabla14[[#This Row],[% INTERES ]]/30*U4472))</f>
        <v>0</v>
      </c>
      <c r="T4472" s="53" t="e">
        <f>Tabla14[[#This Row],[DEUDA CAPITAL]]+Tabla14[[#This Row],[INTERES  CUOTA]]</f>
        <v>#NUM!</v>
      </c>
      <c r="U4472" s="61" t="str">
        <f t="shared" si="709"/>
        <v/>
      </c>
    </row>
    <row r="4473" spans="9:21" ht="24.75" customHeight="1" x14ac:dyDescent="0.35">
      <c r="I4473" s="42">
        <f t="shared" si="700"/>
        <v>0</v>
      </c>
      <c r="J4473" s="65" t="e">
        <f t="shared" si="701"/>
        <v>#NUM!</v>
      </c>
      <c r="K4473" s="83" t="e">
        <f t="shared" si="702"/>
        <v>#NUM!</v>
      </c>
      <c r="L4473" s="83">
        <f t="shared" si="703"/>
        <v>0</v>
      </c>
      <c r="M4473" s="110" t="str">
        <f t="shared" si="704"/>
        <v/>
      </c>
      <c r="N4473" s="51" t="str">
        <f t="shared" si="705"/>
        <v/>
      </c>
      <c r="O4473" s="52" t="str">
        <f t="shared" si="706"/>
        <v/>
      </c>
      <c r="P4473" s="88">
        <f t="shared" si="707"/>
        <v>0</v>
      </c>
      <c r="Q4473" s="88">
        <f t="shared" si="708"/>
        <v>0</v>
      </c>
      <c r="R4473" s="88" t="e">
        <f>-IF(Tabla14[[#This Row],[DIAS HABILES O MORA]]&lt;0,(Tabla14[[#This Row],[VALOR PRESTAMO]]*Tabla14[[#This Row],[% INTERES ]]/30*U4473))+Tabla14[[#This Row],[VALOR CUOTAS]]</f>
        <v>#VALUE!</v>
      </c>
      <c r="S4473" s="88">
        <f>-IF(Tabla14[[#This Row],[DIAS HABILES O MORA]]&lt;0,(Tabla14[[#This Row],[VALOR PRESTAMO]]*Tabla14[[#This Row],[% INTERES ]]/30*U4473))</f>
        <v>0</v>
      </c>
      <c r="T4473" s="53" t="e">
        <f>Tabla14[[#This Row],[DEUDA CAPITAL]]+Tabla14[[#This Row],[INTERES  CUOTA]]</f>
        <v>#NUM!</v>
      </c>
      <c r="U4473" s="61" t="str">
        <f t="shared" si="709"/>
        <v/>
      </c>
    </row>
    <row r="4474" spans="9:21" ht="24.75" customHeight="1" x14ac:dyDescent="0.35">
      <c r="I4474" s="42">
        <f t="shared" si="700"/>
        <v>0</v>
      </c>
      <c r="J4474" s="65" t="e">
        <f t="shared" si="701"/>
        <v>#NUM!</v>
      </c>
      <c r="K4474" s="83" t="e">
        <f t="shared" si="702"/>
        <v>#NUM!</v>
      </c>
      <c r="L4474" s="83">
        <f t="shared" si="703"/>
        <v>0</v>
      </c>
      <c r="M4474" s="110" t="str">
        <f t="shared" si="704"/>
        <v/>
      </c>
      <c r="N4474" s="51" t="str">
        <f t="shared" si="705"/>
        <v/>
      </c>
      <c r="O4474" s="52" t="str">
        <f t="shared" si="706"/>
        <v/>
      </c>
      <c r="P4474" s="88">
        <f t="shared" si="707"/>
        <v>0</v>
      </c>
      <c r="Q4474" s="88">
        <f t="shared" si="708"/>
        <v>0</v>
      </c>
      <c r="R4474" s="88" t="e">
        <f>-IF(Tabla14[[#This Row],[DIAS HABILES O MORA]]&lt;0,(Tabla14[[#This Row],[VALOR PRESTAMO]]*Tabla14[[#This Row],[% INTERES ]]/30*U4474))+Tabla14[[#This Row],[VALOR CUOTAS]]</f>
        <v>#VALUE!</v>
      </c>
      <c r="S4474" s="88">
        <f>-IF(Tabla14[[#This Row],[DIAS HABILES O MORA]]&lt;0,(Tabla14[[#This Row],[VALOR PRESTAMO]]*Tabla14[[#This Row],[% INTERES ]]/30*U4474))</f>
        <v>0</v>
      </c>
      <c r="T4474" s="53" t="e">
        <f>Tabla14[[#This Row],[DEUDA CAPITAL]]+Tabla14[[#This Row],[INTERES  CUOTA]]</f>
        <v>#NUM!</v>
      </c>
      <c r="U4474" s="61" t="str">
        <f t="shared" si="709"/>
        <v/>
      </c>
    </row>
    <row r="4475" spans="9:21" ht="24.75" customHeight="1" x14ac:dyDescent="0.35">
      <c r="I4475" s="42">
        <f t="shared" si="700"/>
        <v>0</v>
      </c>
      <c r="J4475" s="65" t="e">
        <f t="shared" si="701"/>
        <v>#NUM!</v>
      </c>
      <c r="K4475" s="83" t="e">
        <f t="shared" si="702"/>
        <v>#NUM!</v>
      </c>
      <c r="L4475" s="83">
        <f t="shared" si="703"/>
        <v>0</v>
      </c>
      <c r="M4475" s="110" t="str">
        <f t="shared" si="704"/>
        <v/>
      </c>
      <c r="N4475" s="51" t="str">
        <f t="shared" si="705"/>
        <v/>
      </c>
      <c r="O4475" s="52" t="str">
        <f t="shared" si="706"/>
        <v/>
      </c>
      <c r="P4475" s="88">
        <f t="shared" si="707"/>
        <v>0</v>
      </c>
      <c r="Q4475" s="88">
        <f t="shared" si="708"/>
        <v>0</v>
      </c>
      <c r="R4475" s="88" t="e">
        <f>-IF(Tabla14[[#This Row],[DIAS HABILES O MORA]]&lt;0,(Tabla14[[#This Row],[VALOR PRESTAMO]]*Tabla14[[#This Row],[% INTERES ]]/30*U4475))+Tabla14[[#This Row],[VALOR CUOTAS]]</f>
        <v>#VALUE!</v>
      </c>
      <c r="S4475" s="88">
        <f>-IF(Tabla14[[#This Row],[DIAS HABILES O MORA]]&lt;0,(Tabla14[[#This Row],[VALOR PRESTAMO]]*Tabla14[[#This Row],[% INTERES ]]/30*U4475))</f>
        <v>0</v>
      </c>
      <c r="T4475" s="53" t="e">
        <f>Tabla14[[#This Row],[DEUDA CAPITAL]]+Tabla14[[#This Row],[INTERES  CUOTA]]</f>
        <v>#NUM!</v>
      </c>
      <c r="U4475" s="61" t="str">
        <f t="shared" si="709"/>
        <v/>
      </c>
    </row>
    <row r="4476" spans="9:21" ht="24.75" customHeight="1" x14ac:dyDescent="0.35">
      <c r="I4476" s="42">
        <f t="shared" si="700"/>
        <v>0</v>
      </c>
      <c r="J4476" s="65" t="e">
        <f t="shared" si="701"/>
        <v>#NUM!</v>
      </c>
      <c r="K4476" s="83" t="e">
        <f t="shared" si="702"/>
        <v>#NUM!</v>
      </c>
      <c r="L4476" s="83">
        <f t="shared" si="703"/>
        <v>0</v>
      </c>
      <c r="M4476" s="110" t="str">
        <f t="shared" si="704"/>
        <v/>
      </c>
      <c r="N4476" s="51" t="str">
        <f t="shared" si="705"/>
        <v/>
      </c>
      <c r="O4476" s="52" t="str">
        <f t="shared" si="706"/>
        <v/>
      </c>
      <c r="P4476" s="88">
        <f t="shared" si="707"/>
        <v>0</v>
      </c>
      <c r="Q4476" s="88">
        <f t="shared" si="708"/>
        <v>0</v>
      </c>
      <c r="R4476" s="88" t="e">
        <f>-IF(Tabla14[[#This Row],[DIAS HABILES O MORA]]&lt;0,(Tabla14[[#This Row],[VALOR PRESTAMO]]*Tabla14[[#This Row],[% INTERES ]]/30*U4476))+Tabla14[[#This Row],[VALOR CUOTAS]]</f>
        <v>#VALUE!</v>
      </c>
      <c r="S4476" s="88">
        <f>-IF(Tabla14[[#This Row],[DIAS HABILES O MORA]]&lt;0,(Tabla14[[#This Row],[VALOR PRESTAMO]]*Tabla14[[#This Row],[% INTERES ]]/30*U4476))</f>
        <v>0</v>
      </c>
      <c r="T4476" s="53" t="e">
        <f>Tabla14[[#This Row],[DEUDA CAPITAL]]+Tabla14[[#This Row],[INTERES  CUOTA]]</f>
        <v>#NUM!</v>
      </c>
      <c r="U4476" s="61" t="str">
        <f t="shared" si="709"/>
        <v/>
      </c>
    </row>
    <row r="4477" spans="9:21" ht="24.75" customHeight="1" x14ac:dyDescent="0.35">
      <c r="I4477" s="42">
        <f t="shared" si="700"/>
        <v>0</v>
      </c>
      <c r="J4477" s="65" t="e">
        <f t="shared" si="701"/>
        <v>#NUM!</v>
      </c>
      <c r="K4477" s="83" t="e">
        <f t="shared" si="702"/>
        <v>#NUM!</v>
      </c>
      <c r="L4477" s="83">
        <f t="shared" si="703"/>
        <v>0</v>
      </c>
      <c r="M4477" s="110" t="str">
        <f t="shared" si="704"/>
        <v/>
      </c>
      <c r="N4477" s="51" t="str">
        <f t="shared" si="705"/>
        <v/>
      </c>
      <c r="O4477" s="52" t="str">
        <f t="shared" si="706"/>
        <v/>
      </c>
      <c r="P4477" s="88">
        <f t="shared" si="707"/>
        <v>0</v>
      </c>
      <c r="Q4477" s="88">
        <f t="shared" si="708"/>
        <v>0</v>
      </c>
      <c r="R4477" s="88" t="e">
        <f>-IF(Tabla14[[#This Row],[DIAS HABILES O MORA]]&lt;0,(Tabla14[[#This Row],[VALOR PRESTAMO]]*Tabla14[[#This Row],[% INTERES ]]/30*U4477))+Tabla14[[#This Row],[VALOR CUOTAS]]</f>
        <v>#VALUE!</v>
      </c>
      <c r="S4477" s="88">
        <f>-IF(Tabla14[[#This Row],[DIAS HABILES O MORA]]&lt;0,(Tabla14[[#This Row],[VALOR PRESTAMO]]*Tabla14[[#This Row],[% INTERES ]]/30*U4477))</f>
        <v>0</v>
      </c>
      <c r="T4477" s="53" t="e">
        <f>Tabla14[[#This Row],[DEUDA CAPITAL]]+Tabla14[[#This Row],[INTERES  CUOTA]]</f>
        <v>#NUM!</v>
      </c>
      <c r="U4477" s="61" t="str">
        <f t="shared" si="709"/>
        <v/>
      </c>
    </row>
    <row r="4478" spans="9:21" ht="24.75" customHeight="1" x14ac:dyDescent="0.35">
      <c r="I4478" s="42">
        <f t="shared" si="700"/>
        <v>0</v>
      </c>
      <c r="J4478" s="65" t="e">
        <f t="shared" si="701"/>
        <v>#NUM!</v>
      </c>
      <c r="K4478" s="83" t="e">
        <f t="shared" si="702"/>
        <v>#NUM!</v>
      </c>
      <c r="L4478" s="83">
        <f t="shared" si="703"/>
        <v>0</v>
      </c>
      <c r="M4478" s="110" t="str">
        <f t="shared" si="704"/>
        <v/>
      </c>
      <c r="N4478" s="51" t="str">
        <f t="shared" si="705"/>
        <v/>
      </c>
      <c r="O4478" s="52" t="str">
        <f t="shared" si="706"/>
        <v/>
      </c>
      <c r="P4478" s="88">
        <f t="shared" si="707"/>
        <v>0</v>
      </c>
      <c r="Q4478" s="88">
        <f t="shared" si="708"/>
        <v>0</v>
      </c>
      <c r="R4478" s="88" t="e">
        <f>-IF(Tabla14[[#This Row],[DIAS HABILES O MORA]]&lt;0,(Tabla14[[#This Row],[VALOR PRESTAMO]]*Tabla14[[#This Row],[% INTERES ]]/30*U4478))+Tabla14[[#This Row],[VALOR CUOTAS]]</f>
        <v>#VALUE!</v>
      </c>
      <c r="S4478" s="88">
        <f>-IF(Tabla14[[#This Row],[DIAS HABILES O MORA]]&lt;0,(Tabla14[[#This Row],[VALOR PRESTAMO]]*Tabla14[[#This Row],[% INTERES ]]/30*U4478))</f>
        <v>0</v>
      </c>
      <c r="T4478" s="53" t="e">
        <f>Tabla14[[#This Row],[DEUDA CAPITAL]]+Tabla14[[#This Row],[INTERES  CUOTA]]</f>
        <v>#NUM!</v>
      </c>
      <c r="U4478" s="61" t="str">
        <f t="shared" si="709"/>
        <v/>
      </c>
    </row>
    <row r="4479" spans="9:21" ht="24.75" customHeight="1" x14ac:dyDescent="0.35">
      <c r="I4479" s="42">
        <f t="shared" si="700"/>
        <v>0</v>
      </c>
      <c r="J4479" s="65" t="e">
        <f t="shared" si="701"/>
        <v>#NUM!</v>
      </c>
      <c r="K4479" s="83" t="e">
        <f t="shared" si="702"/>
        <v>#NUM!</v>
      </c>
      <c r="L4479" s="83">
        <f t="shared" si="703"/>
        <v>0</v>
      </c>
      <c r="M4479" s="110" t="str">
        <f t="shared" si="704"/>
        <v/>
      </c>
      <c r="N4479" s="51" t="str">
        <f t="shared" si="705"/>
        <v/>
      </c>
      <c r="O4479" s="52" t="str">
        <f t="shared" si="706"/>
        <v/>
      </c>
      <c r="P4479" s="88">
        <f t="shared" si="707"/>
        <v>0</v>
      </c>
      <c r="Q4479" s="88">
        <f t="shared" si="708"/>
        <v>0</v>
      </c>
      <c r="R4479" s="88" t="e">
        <f>-IF(Tabla14[[#This Row],[DIAS HABILES O MORA]]&lt;0,(Tabla14[[#This Row],[VALOR PRESTAMO]]*Tabla14[[#This Row],[% INTERES ]]/30*U4479))+Tabla14[[#This Row],[VALOR CUOTAS]]</f>
        <v>#VALUE!</v>
      </c>
      <c r="S4479" s="88">
        <f>-IF(Tabla14[[#This Row],[DIAS HABILES O MORA]]&lt;0,(Tabla14[[#This Row],[VALOR PRESTAMO]]*Tabla14[[#This Row],[% INTERES ]]/30*U4479))</f>
        <v>0</v>
      </c>
      <c r="T4479" s="53" t="e">
        <f>Tabla14[[#This Row],[DEUDA CAPITAL]]+Tabla14[[#This Row],[INTERES  CUOTA]]</f>
        <v>#NUM!</v>
      </c>
      <c r="U4479" s="61" t="str">
        <f t="shared" si="709"/>
        <v/>
      </c>
    </row>
    <row r="4480" spans="9:21" ht="24.75" customHeight="1" x14ac:dyDescent="0.35">
      <c r="I4480" s="42">
        <f t="shared" si="700"/>
        <v>0</v>
      </c>
      <c r="J4480" s="65" t="e">
        <f t="shared" si="701"/>
        <v>#NUM!</v>
      </c>
      <c r="K4480" s="83" t="e">
        <f t="shared" si="702"/>
        <v>#NUM!</v>
      </c>
      <c r="L4480" s="83">
        <f t="shared" si="703"/>
        <v>0</v>
      </c>
      <c r="M4480" s="110" t="str">
        <f t="shared" si="704"/>
        <v/>
      </c>
      <c r="N4480" s="51" t="str">
        <f t="shared" si="705"/>
        <v/>
      </c>
      <c r="O4480" s="52" t="str">
        <f t="shared" si="706"/>
        <v/>
      </c>
      <c r="P4480" s="88">
        <f t="shared" si="707"/>
        <v>0</v>
      </c>
      <c r="Q4480" s="88">
        <f t="shared" si="708"/>
        <v>0</v>
      </c>
      <c r="R4480" s="88" t="e">
        <f>-IF(Tabla14[[#This Row],[DIAS HABILES O MORA]]&lt;0,(Tabla14[[#This Row],[VALOR PRESTAMO]]*Tabla14[[#This Row],[% INTERES ]]/30*U4480))+Tabla14[[#This Row],[VALOR CUOTAS]]</f>
        <v>#VALUE!</v>
      </c>
      <c r="S4480" s="88">
        <f>-IF(Tabla14[[#This Row],[DIAS HABILES O MORA]]&lt;0,(Tabla14[[#This Row],[VALOR PRESTAMO]]*Tabla14[[#This Row],[% INTERES ]]/30*U4480))</f>
        <v>0</v>
      </c>
      <c r="T4480" s="53" t="e">
        <f>Tabla14[[#This Row],[DEUDA CAPITAL]]+Tabla14[[#This Row],[INTERES  CUOTA]]</f>
        <v>#NUM!</v>
      </c>
      <c r="U4480" s="61" t="str">
        <f t="shared" si="709"/>
        <v/>
      </c>
    </row>
    <row r="4481" spans="9:21" ht="24.75" customHeight="1" x14ac:dyDescent="0.35">
      <c r="I4481" s="42">
        <f t="shared" si="700"/>
        <v>0</v>
      </c>
      <c r="J4481" s="65" t="e">
        <f t="shared" si="701"/>
        <v>#NUM!</v>
      </c>
      <c r="K4481" s="83" t="e">
        <f t="shared" si="702"/>
        <v>#NUM!</v>
      </c>
      <c r="L4481" s="83">
        <f t="shared" si="703"/>
        <v>0</v>
      </c>
      <c r="M4481" s="110" t="str">
        <f t="shared" si="704"/>
        <v/>
      </c>
      <c r="N4481" s="51" t="str">
        <f t="shared" si="705"/>
        <v/>
      </c>
      <c r="O4481" s="52" t="str">
        <f t="shared" si="706"/>
        <v/>
      </c>
      <c r="P4481" s="88">
        <f t="shared" si="707"/>
        <v>0</v>
      </c>
      <c r="Q4481" s="88">
        <f t="shared" si="708"/>
        <v>0</v>
      </c>
      <c r="R4481" s="88" t="e">
        <f>-IF(Tabla14[[#This Row],[DIAS HABILES O MORA]]&lt;0,(Tabla14[[#This Row],[VALOR PRESTAMO]]*Tabla14[[#This Row],[% INTERES ]]/30*U4481))+Tabla14[[#This Row],[VALOR CUOTAS]]</f>
        <v>#VALUE!</v>
      </c>
      <c r="S4481" s="88">
        <f>-IF(Tabla14[[#This Row],[DIAS HABILES O MORA]]&lt;0,(Tabla14[[#This Row],[VALOR PRESTAMO]]*Tabla14[[#This Row],[% INTERES ]]/30*U4481))</f>
        <v>0</v>
      </c>
      <c r="T4481" s="53" t="e">
        <f>Tabla14[[#This Row],[DEUDA CAPITAL]]+Tabla14[[#This Row],[INTERES  CUOTA]]</f>
        <v>#NUM!</v>
      </c>
      <c r="U4481" s="61" t="str">
        <f t="shared" si="709"/>
        <v/>
      </c>
    </row>
    <row r="4482" spans="9:21" ht="24.75" customHeight="1" x14ac:dyDescent="0.35">
      <c r="I4482" s="42">
        <f t="shared" si="700"/>
        <v>0</v>
      </c>
      <c r="J4482" s="65" t="e">
        <f t="shared" si="701"/>
        <v>#NUM!</v>
      </c>
      <c r="K4482" s="83" t="e">
        <f t="shared" si="702"/>
        <v>#NUM!</v>
      </c>
      <c r="L4482" s="83">
        <f t="shared" si="703"/>
        <v>0</v>
      </c>
      <c r="M4482" s="110" t="str">
        <f t="shared" si="704"/>
        <v/>
      </c>
      <c r="N4482" s="51" t="str">
        <f t="shared" si="705"/>
        <v/>
      </c>
      <c r="O4482" s="52" t="str">
        <f t="shared" si="706"/>
        <v/>
      </c>
      <c r="P4482" s="88">
        <f t="shared" si="707"/>
        <v>0</v>
      </c>
      <c r="Q4482" s="88">
        <f t="shared" si="708"/>
        <v>0</v>
      </c>
      <c r="R4482" s="88" t="e">
        <f>-IF(Tabla14[[#This Row],[DIAS HABILES O MORA]]&lt;0,(Tabla14[[#This Row],[VALOR PRESTAMO]]*Tabla14[[#This Row],[% INTERES ]]/30*U4482))+Tabla14[[#This Row],[VALOR CUOTAS]]</f>
        <v>#VALUE!</v>
      </c>
      <c r="S4482" s="88">
        <f>-IF(Tabla14[[#This Row],[DIAS HABILES O MORA]]&lt;0,(Tabla14[[#This Row],[VALOR PRESTAMO]]*Tabla14[[#This Row],[% INTERES ]]/30*U4482))</f>
        <v>0</v>
      </c>
      <c r="T4482" s="53" t="e">
        <f>Tabla14[[#This Row],[DEUDA CAPITAL]]+Tabla14[[#This Row],[INTERES  CUOTA]]</f>
        <v>#NUM!</v>
      </c>
      <c r="U4482" s="61" t="str">
        <f t="shared" si="709"/>
        <v/>
      </c>
    </row>
    <row r="4483" spans="9:21" ht="24.75" customHeight="1" x14ac:dyDescent="0.35">
      <c r="I4483" s="42">
        <f t="shared" si="700"/>
        <v>0</v>
      </c>
      <c r="J4483" s="65" t="e">
        <f t="shared" si="701"/>
        <v>#NUM!</v>
      </c>
      <c r="K4483" s="83" t="e">
        <f t="shared" si="702"/>
        <v>#NUM!</v>
      </c>
      <c r="L4483" s="83">
        <f t="shared" si="703"/>
        <v>0</v>
      </c>
      <c r="M4483" s="110" t="str">
        <f t="shared" si="704"/>
        <v/>
      </c>
      <c r="N4483" s="51" t="str">
        <f t="shared" si="705"/>
        <v/>
      </c>
      <c r="O4483" s="52" t="str">
        <f t="shared" si="706"/>
        <v/>
      </c>
      <c r="P4483" s="88">
        <f t="shared" si="707"/>
        <v>0</v>
      </c>
      <c r="Q4483" s="88">
        <f t="shared" si="708"/>
        <v>0</v>
      </c>
      <c r="R4483" s="88" t="e">
        <f>-IF(Tabla14[[#This Row],[DIAS HABILES O MORA]]&lt;0,(Tabla14[[#This Row],[VALOR PRESTAMO]]*Tabla14[[#This Row],[% INTERES ]]/30*U4483))+Tabla14[[#This Row],[VALOR CUOTAS]]</f>
        <v>#VALUE!</v>
      </c>
      <c r="S4483" s="88">
        <f>-IF(Tabla14[[#This Row],[DIAS HABILES O MORA]]&lt;0,(Tabla14[[#This Row],[VALOR PRESTAMO]]*Tabla14[[#This Row],[% INTERES ]]/30*U4483))</f>
        <v>0</v>
      </c>
      <c r="T4483" s="53" t="e">
        <f>Tabla14[[#This Row],[DEUDA CAPITAL]]+Tabla14[[#This Row],[INTERES  CUOTA]]</f>
        <v>#NUM!</v>
      </c>
      <c r="U4483" s="61" t="str">
        <f t="shared" si="709"/>
        <v/>
      </c>
    </row>
    <row r="4484" spans="9:21" ht="24.75" customHeight="1" x14ac:dyDescent="0.35">
      <c r="I4484" s="42">
        <f t="shared" si="700"/>
        <v>0</v>
      </c>
      <c r="J4484" s="65" t="e">
        <f t="shared" si="701"/>
        <v>#NUM!</v>
      </c>
      <c r="K4484" s="83" t="e">
        <f t="shared" si="702"/>
        <v>#NUM!</v>
      </c>
      <c r="L4484" s="83">
        <f t="shared" si="703"/>
        <v>0</v>
      </c>
      <c r="M4484" s="110" t="str">
        <f t="shared" si="704"/>
        <v/>
      </c>
      <c r="N4484" s="51" t="str">
        <f t="shared" si="705"/>
        <v/>
      </c>
      <c r="O4484" s="52" t="str">
        <f t="shared" si="706"/>
        <v/>
      </c>
      <c r="P4484" s="88">
        <f t="shared" si="707"/>
        <v>0</v>
      </c>
      <c r="Q4484" s="88">
        <f t="shared" si="708"/>
        <v>0</v>
      </c>
      <c r="R4484" s="88" t="e">
        <f>-IF(Tabla14[[#This Row],[DIAS HABILES O MORA]]&lt;0,(Tabla14[[#This Row],[VALOR PRESTAMO]]*Tabla14[[#This Row],[% INTERES ]]/30*U4484))+Tabla14[[#This Row],[VALOR CUOTAS]]</f>
        <v>#VALUE!</v>
      </c>
      <c r="S4484" s="88">
        <f>-IF(Tabla14[[#This Row],[DIAS HABILES O MORA]]&lt;0,(Tabla14[[#This Row],[VALOR PRESTAMO]]*Tabla14[[#This Row],[% INTERES ]]/30*U4484))</f>
        <v>0</v>
      </c>
      <c r="T4484" s="53" t="e">
        <f>Tabla14[[#This Row],[DEUDA CAPITAL]]+Tabla14[[#This Row],[INTERES  CUOTA]]</f>
        <v>#NUM!</v>
      </c>
      <c r="U4484" s="61" t="str">
        <f t="shared" si="709"/>
        <v/>
      </c>
    </row>
    <row r="4485" spans="9:21" ht="24.75" customHeight="1" x14ac:dyDescent="0.35">
      <c r="I4485" s="42">
        <f t="shared" si="700"/>
        <v>0</v>
      </c>
      <c r="J4485" s="65" t="e">
        <f t="shared" si="701"/>
        <v>#NUM!</v>
      </c>
      <c r="K4485" s="83" t="e">
        <f t="shared" si="702"/>
        <v>#NUM!</v>
      </c>
      <c r="L4485" s="83">
        <f t="shared" si="703"/>
        <v>0</v>
      </c>
      <c r="M4485" s="110" t="str">
        <f t="shared" si="704"/>
        <v/>
      </c>
      <c r="N4485" s="51" t="str">
        <f t="shared" si="705"/>
        <v/>
      </c>
      <c r="O4485" s="52" t="str">
        <f t="shared" si="706"/>
        <v/>
      </c>
      <c r="P4485" s="88">
        <f t="shared" si="707"/>
        <v>0</v>
      </c>
      <c r="Q4485" s="88">
        <f t="shared" si="708"/>
        <v>0</v>
      </c>
      <c r="R4485" s="88" t="e">
        <f>-IF(Tabla14[[#This Row],[DIAS HABILES O MORA]]&lt;0,(Tabla14[[#This Row],[VALOR PRESTAMO]]*Tabla14[[#This Row],[% INTERES ]]/30*U4485))+Tabla14[[#This Row],[VALOR CUOTAS]]</f>
        <v>#VALUE!</v>
      </c>
      <c r="S4485" s="88">
        <f>-IF(Tabla14[[#This Row],[DIAS HABILES O MORA]]&lt;0,(Tabla14[[#This Row],[VALOR PRESTAMO]]*Tabla14[[#This Row],[% INTERES ]]/30*U4485))</f>
        <v>0</v>
      </c>
      <c r="T4485" s="53" t="e">
        <f>Tabla14[[#This Row],[DEUDA CAPITAL]]+Tabla14[[#This Row],[INTERES  CUOTA]]</f>
        <v>#NUM!</v>
      </c>
      <c r="U4485" s="61" t="str">
        <f t="shared" si="709"/>
        <v/>
      </c>
    </row>
    <row r="4486" spans="9:21" ht="24.75" customHeight="1" x14ac:dyDescent="0.35">
      <c r="I4486" s="42">
        <f t="shared" si="700"/>
        <v>0</v>
      </c>
      <c r="J4486" s="65" t="e">
        <f t="shared" si="701"/>
        <v>#NUM!</v>
      </c>
      <c r="K4486" s="83" t="e">
        <f t="shared" si="702"/>
        <v>#NUM!</v>
      </c>
      <c r="L4486" s="83">
        <f t="shared" si="703"/>
        <v>0</v>
      </c>
      <c r="M4486" s="110" t="str">
        <f t="shared" si="704"/>
        <v/>
      </c>
      <c r="N4486" s="51" t="str">
        <f t="shared" si="705"/>
        <v/>
      </c>
      <c r="O4486" s="52" t="str">
        <f t="shared" si="706"/>
        <v/>
      </c>
      <c r="P4486" s="88">
        <f t="shared" si="707"/>
        <v>0</v>
      </c>
      <c r="Q4486" s="88">
        <f t="shared" si="708"/>
        <v>0</v>
      </c>
      <c r="R4486" s="88" t="e">
        <f>-IF(Tabla14[[#This Row],[DIAS HABILES O MORA]]&lt;0,(Tabla14[[#This Row],[VALOR PRESTAMO]]*Tabla14[[#This Row],[% INTERES ]]/30*U4486))+Tabla14[[#This Row],[VALOR CUOTAS]]</f>
        <v>#VALUE!</v>
      </c>
      <c r="S4486" s="88">
        <f>-IF(Tabla14[[#This Row],[DIAS HABILES O MORA]]&lt;0,(Tabla14[[#This Row],[VALOR PRESTAMO]]*Tabla14[[#This Row],[% INTERES ]]/30*U4486))</f>
        <v>0</v>
      </c>
      <c r="T4486" s="53" t="e">
        <f>Tabla14[[#This Row],[DEUDA CAPITAL]]+Tabla14[[#This Row],[INTERES  CUOTA]]</f>
        <v>#NUM!</v>
      </c>
      <c r="U4486" s="61" t="str">
        <f t="shared" si="709"/>
        <v/>
      </c>
    </row>
    <row r="4487" spans="9:21" ht="24.75" customHeight="1" x14ac:dyDescent="0.35">
      <c r="I4487" s="42">
        <f t="shared" si="700"/>
        <v>0</v>
      </c>
      <c r="J4487" s="65" t="e">
        <f t="shared" si="701"/>
        <v>#NUM!</v>
      </c>
      <c r="K4487" s="83" t="e">
        <f t="shared" si="702"/>
        <v>#NUM!</v>
      </c>
      <c r="L4487" s="83">
        <f t="shared" si="703"/>
        <v>0</v>
      </c>
      <c r="M4487" s="110" t="str">
        <f t="shared" si="704"/>
        <v/>
      </c>
      <c r="N4487" s="51" t="str">
        <f t="shared" si="705"/>
        <v/>
      </c>
      <c r="O4487" s="52" t="str">
        <f t="shared" si="706"/>
        <v/>
      </c>
      <c r="P4487" s="88">
        <f t="shared" si="707"/>
        <v>0</v>
      </c>
      <c r="Q4487" s="88">
        <f t="shared" si="708"/>
        <v>0</v>
      </c>
      <c r="R4487" s="88" t="e">
        <f>-IF(Tabla14[[#This Row],[DIAS HABILES O MORA]]&lt;0,(Tabla14[[#This Row],[VALOR PRESTAMO]]*Tabla14[[#This Row],[% INTERES ]]/30*U4487))+Tabla14[[#This Row],[VALOR CUOTAS]]</f>
        <v>#VALUE!</v>
      </c>
      <c r="S4487" s="88">
        <f>-IF(Tabla14[[#This Row],[DIAS HABILES O MORA]]&lt;0,(Tabla14[[#This Row],[VALOR PRESTAMO]]*Tabla14[[#This Row],[% INTERES ]]/30*U4487))</f>
        <v>0</v>
      </c>
      <c r="T4487" s="53" t="e">
        <f>Tabla14[[#This Row],[DEUDA CAPITAL]]+Tabla14[[#This Row],[INTERES  CUOTA]]</f>
        <v>#NUM!</v>
      </c>
      <c r="U4487" s="61" t="str">
        <f t="shared" si="709"/>
        <v/>
      </c>
    </row>
    <row r="4488" spans="9:21" ht="24.75" customHeight="1" x14ac:dyDescent="0.35">
      <c r="I4488" s="42">
        <f t="shared" si="700"/>
        <v>0</v>
      </c>
      <c r="J4488" s="65" t="e">
        <f t="shared" si="701"/>
        <v>#NUM!</v>
      </c>
      <c r="K4488" s="83" t="e">
        <f t="shared" si="702"/>
        <v>#NUM!</v>
      </c>
      <c r="L4488" s="83">
        <f t="shared" si="703"/>
        <v>0</v>
      </c>
      <c r="M4488" s="110" t="str">
        <f t="shared" si="704"/>
        <v/>
      </c>
      <c r="N4488" s="51" t="str">
        <f t="shared" si="705"/>
        <v/>
      </c>
      <c r="O4488" s="52" t="str">
        <f t="shared" si="706"/>
        <v/>
      </c>
      <c r="P4488" s="88">
        <f t="shared" si="707"/>
        <v>0</v>
      </c>
      <c r="Q4488" s="88">
        <f t="shared" si="708"/>
        <v>0</v>
      </c>
      <c r="R4488" s="88" t="e">
        <f>-IF(Tabla14[[#This Row],[DIAS HABILES O MORA]]&lt;0,(Tabla14[[#This Row],[VALOR PRESTAMO]]*Tabla14[[#This Row],[% INTERES ]]/30*U4488))+Tabla14[[#This Row],[VALOR CUOTAS]]</f>
        <v>#VALUE!</v>
      </c>
      <c r="S4488" s="88">
        <f>-IF(Tabla14[[#This Row],[DIAS HABILES O MORA]]&lt;0,(Tabla14[[#This Row],[VALOR PRESTAMO]]*Tabla14[[#This Row],[% INTERES ]]/30*U4488))</f>
        <v>0</v>
      </c>
      <c r="T4488" s="53" t="e">
        <f>Tabla14[[#This Row],[DEUDA CAPITAL]]+Tabla14[[#This Row],[INTERES  CUOTA]]</f>
        <v>#NUM!</v>
      </c>
      <c r="U4488" s="61" t="str">
        <f t="shared" si="709"/>
        <v/>
      </c>
    </row>
    <row r="4489" spans="9:21" ht="24.75" customHeight="1" x14ac:dyDescent="0.35">
      <c r="I4489" s="42">
        <f t="shared" si="700"/>
        <v>0</v>
      </c>
      <c r="J4489" s="65" t="e">
        <f t="shared" si="701"/>
        <v>#NUM!</v>
      </c>
      <c r="K4489" s="83" t="e">
        <f t="shared" si="702"/>
        <v>#NUM!</v>
      </c>
      <c r="L4489" s="83">
        <f t="shared" si="703"/>
        <v>0</v>
      </c>
      <c r="M4489" s="110" t="str">
        <f t="shared" si="704"/>
        <v/>
      </c>
      <c r="N4489" s="51" t="str">
        <f t="shared" si="705"/>
        <v/>
      </c>
      <c r="O4489" s="52" t="str">
        <f t="shared" si="706"/>
        <v/>
      </c>
      <c r="P4489" s="88">
        <f t="shared" si="707"/>
        <v>0</v>
      </c>
      <c r="Q4489" s="88">
        <f t="shared" si="708"/>
        <v>0</v>
      </c>
      <c r="R4489" s="88" t="e">
        <f>-IF(Tabla14[[#This Row],[DIAS HABILES O MORA]]&lt;0,(Tabla14[[#This Row],[VALOR PRESTAMO]]*Tabla14[[#This Row],[% INTERES ]]/30*U4489))+Tabla14[[#This Row],[VALOR CUOTAS]]</f>
        <v>#VALUE!</v>
      </c>
      <c r="S4489" s="88">
        <f>-IF(Tabla14[[#This Row],[DIAS HABILES O MORA]]&lt;0,(Tabla14[[#This Row],[VALOR PRESTAMO]]*Tabla14[[#This Row],[% INTERES ]]/30*U4489))</f>
        <v>0</v>
      </c>
      <c r="T4489" s="53" t="e">
        <f>Tabla14[[#This Row],[DEUDA CAPITAL]]+Tabla14[[#This Row],[INTERES  CUOTA]]</f>
        <v>#NUM!</v>
      </c>
      <c r="U4489" s="61" t="str">
        <f t="shared" si="709"/>
        <v/>
      </c>
    </row>
    <row r="4490" spans="9:21" ht="24.75" customHeight="1" x14ac:dyDescent="0.35">
      <c r="I4490" s="42">
        <f t="shared" si="700"/>
        <v>0</v>
      </c>
      <c r="J4490" s="65" t="e">
        <f t="shared" si="701"/>
        <v>#NUM!</v>
      </c>
      <c r="K4490" s="83" t="e">
        <f t="shared" si="702"/>
        <v>#NUM!</v>
      </c>
      <c r="L4490" s="83">
        <f t="shared" si="703"/>
        <v>0</v>
      </c>
      <c r="M4490" s="110" t="str">
        <f t="shared" si="704"/>
        <v/>
      </c>
      <c r="N4490" s="51" t="str">
        <f t="shared" si="705"/>
        <v/>
      </c>
      <c r="O4490" s="52" t="str">
        <f t="shared" si="706"/>
        <v/>
      </c>
      <c r="P4490" s="88">
        <f t="shared" si="707"/>
        <v>0</v>
      </c>
      <c r="Q4490" s="88">
        <f t="shared" si="708"/>
        <v>0</v>
      </c>
      <c r="R4490" s="88" t="e">
        <f>-IF(Tabla14[[#This Row],[DIAS HABILES O MORA]]&lt;0,(Tabla14[[#This Row],[VALOR PRESTAMO]]*Tabla14[[#This Row],[% INTERES ]]/30*U4490))+Tabla14[[#This Row],[VALOR CUOTAS]]</f>
        <v>#VALUE!</v>
      </c>
      <c r="S4490" s="88">
        <f>-IF(Tabla14[[#This Row],[DIAS HABILES O MORA]]&lt;0,(Tabla14[[#This Row],[VALOR PRESTAMO]]*Tabla14[[#This Row],[% INTERES ]]/30*U4490))</f>
        <v>0</v>
      </c>
      <c r="T4490" s="53" t="e">
        <f>Tabla14[[#This Row],[DEUDA CAPITAL]]+Tabla14[[#This Row],[INTERES  CUOTA]]</f>
        <v>#NUM!</v>
      </c>
      <c r="U4490" s="61" t="str">
        <f t="shared" si="709"/>
        <v/>
      </c>
    </row>
    <row r="4491" spans="9:21" ht="24.75" customHeight="1" x14ac:dyDescent="0.35">
      <c r="I4491" s="42">
        <f t="shared" si="700"/>
        <v>0</v>
      </c>
      <c r="J4491" s="65" t="e">
        <f t="shared" si="701"/>
        <v>#NUM!</v>
      </c>
      <c r="K4491" s="83" t="e">
        <f t="shared" si="702"/>
        <v>#NUM!</v>
      </c>
      <c r="L4491" s="83">
        <f t="shared" si="703"/>
        <v>0</v>
      </c>
      <c r="M4491" s="110" t="str">
        <f t="shared" si="704"/>
        <v/>
      </c>
      <c r="N4491" s="51" t="str">
        <f t="shared" si="705"/>
        <v/>
      </c>
      <c r="O4491" s="52" t="str">
        <f t="shared" si="706"/>
        <v/>
      </c>
      <c r="P4491" s="88">
        <f t="shared" si="707"/>
        <v>0</v>
      </c>
      <c r="Q4491" s="88">
        <f t="shared" si="708"/>
        <v>0</v>
      </c>
      <c r="R4491" s="88" t="e">
        <f>-IF(Tabla14[[#This Row],[DIAS HABILES O MORA]]&lt;0,(Tabla14[[#This Row],[VALOR PRESTAMO]]*Tabla14[[#This Row],[% INTERES ]]/30*U4491))+Tabla14[[#This Row],[VALOR CUOTAS]]</f>
        <v>#VALUE!</v>
      </c>
      <c r="S4491" s="88">
        <f>-IF(Tabla14[[#This Row],[DIAS HABILES O MORA]]&lt;0,(Tabla14[[#This Row],[VALOR PRESTAMO]]*Tabla14[[#This Row],[% INTERES ]]/30*U4491))</f>
        <v>0</v>
      </c>
      <c r="T4491" s="53" t="e">
        <f>Tabla14[[#This Row],[DEUDA CAPITAL]]+Tabla14[[#This Row],[INTERES  CUOTA]]</f>
        <v>#NUM!</v>
      </c>
      <c r="U4491" s="61" t="str">
        <f t="shared" si="709"/>
        <v/>
      </c>
    </row>
    <row r="4492" spans="9:21" ht="24.75" customHeight="1" x14ac:dyDescent="0.35">
      <c r="I4492" s="42">
        <f t="shared" si="700"/>
        <v>0</v>
      </c>
      <c r="J4492" s="65" t="e">
        <f t="shared" si="701"/>
        <v>#NUM!</v>
      </c>
      <c r="K4492" s="83" t="e">
        <f t="shared" si="702"/>
        <v>#NUM!</v>
      </c>
      <c r="L4492" s="83">
        <f t="shared" si="703"/>
        <v>0</v>
      </c>
      <c r="M4492" s="110" t="str">
        <f t="shared" si="704"/>
        <v/>
      </c>
      <c r="N4492" s="51" t="str">
        <f t="shared" si="705"/>
        <v/>
      </c>
      <c r="O4492" s="52" t="str">
        <f t="shared" si="706"/>
        <v/>
      </c>
      <c r="P4492" s="88">
        <f t="shared" si="707"/>
        <v>0</v>
      </c>
      <c r="Q4492" s="88">
        <f t="shared" si="708"/>
        <v>0</v>
      </c>
      <c r="R4492" s="88" t="e">
        <f>-IF(Tabla14[[#This Row],[DIAS HABILES O MORA]]&lt;0,(Tabla14[[#This Row],[VALOR PRESTAMO]]*Tabla14[[#This Row],[% INTERES ]]/30*U4492))+Tabla14[[#This Row],[VALOR CUOTAS]]</f>
        <v>#VALUE!</v>
      </c>
      <c r="S4492" s="88">
        <f>-IF(Tabla14[[#This Row],[DIAS HABILES O MORA]]&lt;0,(Tabla14[[#This Row],[VALOR PRESTAMO]]*Tabla14[[#This Row],[% INTERES ]]/30*U4492))</f>
        <v>0</v>
      </c>
      <c r="T4492" s="53" t="e">
        <f>Tabla14[[#This Row],[DEUDA CAPITAL]]+Tabla14[[#This Row],[INTERES  CUOTA]]</f>
        <v>#NUM!</v>
      </c>
      <c r="U4492" s="61" t="str">
        <f t="shared" si="709"/>
        <v/>
      </c>
    </row>
    <row r="4493" spans="9:21" ht="24.75" customHeight="1" x14ac:dyDescent="0.35">
      <c r="I4493" s="42">
        <f t="shared" si="700"/>
        <v>0</v>
      </c>
      <c r="J4493" s="65" t="e">
        <f t="shared" si="701"/>
        <v>#NUM!</v>
      </c>
      <c r="K4493" s="83" t="e">
        <f t="shared" si="702"/>
        <v>#NUM!</v>
      </c>
      <c r="L4493" s="83">
        <f t="shared" si="703"/>
        <v>0</v>
      </c>
      <c r="M4493" s="110" t="str">
        <f t="shared" si="704"/>
        <v/>
      </c>
      <c r="N4493" s="51" t="str">
        <f t="shared" si="705"/>
        <v/>
      </c>
      <c r="O4493" s="52" t="str">
        <f t="shared" si="706"/>
        <v/>
      </c>
      <c r="P4493" s="88">
        <f t="shared" si="707"/>
        <v>0</v>
      </c>
      <c r="Q4493" s="88">
        <f t="shared" si="708"/>
        <v>0</v>
      </c>
      <c r="R4493" s="88" t="e">
        <f>-IF(Tabla14[[#This Row],[DIAS HABILES O MORA]]&lt;0,(Tabla14[[#This Row],[VALOR PRESTAMO]]*Tabla14[[#This Row],[% INTERES ]]/30*U4493))+Tabla14[[#This Row],[VALOR CUOTAS]]</f>
        <v>#VALUE!</v>
      </c>
      <c r="S4493" s="88">
        <f>-IF(Tabla14[[#This Row],[DIAS HABILES O MORA]]&lt;0,(Tabla14[[#This Row],[VALOR PRESTAMO]]*Tabla14[[#This Row],[% INTERES ]]/30*U4493))</f>
        <v>0</v>
      </c>
      <c r="T4493" s="53" t="e">
        <f>Tabla14[[#This Row],[DEUDA CAPITAL]]+Tabla14[[#This Row],[INTERES  CUOTA]]</f>
        <v>#NUM!</v>
      </c>
      <c r="U4493" s="61" t="str">
        <f t="shared" si="709"/>
        <v/>
      </c>
    </row>
    <row r="4494" spans="9:21" ht="24.75" customHeight="1" x14ac:dyDescent="0.35">
      <c r="I4494" s="42">
        <f t="shared" si="700"/>
        <v>0</v>
      </c>
      <c r="J4494" s="65" t="e">
        <f t="shared" si="701"/>
        <v>#NUM!</v>
      </c>
      <c r="K4494" s="83" t="e">
        <f t="shared" si="702"/>
        <v>#NUM!</v>
      </c>
      <c r="L4494" s="83">
        <f t="shared" si="703"/>
        <v>0</v>
      </c>
      <c r="M4494" s="110" t="str">
        <f t="shared" si="704"/>
        <v/>
      </c>
      <c r="N4494" s="51" t="str">
        <f t="shared" si="705"/>
        <v/>
      </c>
      <c r="O4494" s="52" t="str">
        <f t="shared" si="706"/>
        <v/>
      </c>
      <c r="P4494" s="88">
        <f t="shared" si="707"/>
        <v>0</v>
      </c>
      <c r="Q4494" s="88">
        <f t="shared" si="708"/>
        <v>0</v>
      </c>
      <c r="R4494" s="88" t="e">
        <f>-IF(Tabla14[[#This Row],[DIAS HABILES O MORA]]&lt;0,(Tabla14[[#This Row],[VALOR PRESTAMO]]*Tabla14[[#This Row],[% INTERES ]]/30*U4494))+Tabla14[[#This Row],[VALOR CUOTAS]]</f>
        <v>#VALUE!</v>
      </c>
      <c r="S4494" s="88">
        <f>-IF(Tabla14[[#This Row],[DIAS HABILES O MORA]]&lt;0,(Tabla14[[#This Row],[VALOR PRESTAMO]]*Tabla14[[#This Row],[% INTERES ]]/30*U4494))</f>
        <v>0</v>
      </c>
      <c r="T4494" s="53" t="e">
        <f>Tabla14[[#This Row],[DEUDA CAPITAL]]+Tabla14[[#This Row],[INTERES  CUOTA]]</f>
        <v>#NUM!</v>
      </c>
      <c r="U4494" s="61" t="str">
        <f t="shared" si="709"/>
        <v/>
      </c>
    </row>
    <row r="4495" spans="9:21" ht="24.75" customHeight="1" x14ac:dyDescent="0.35">
      <c r="I4495" s="42">
        <f t="shared" si="700"/>
        <v>0</v>
      </c>
      <c r="J4495" s="65" t="e">
        <f t="shared" si="701"/>
        <v>#NUM!</v>
      </c>
      <c r="K4495" s="83" t="e">
        <f t="shared" si="702"/>
        <v>#NUM!</v>
      </c>
      <c r="L4495" s="83">
        <f t="shared" si="703"/>
        <v>0</v>
      </c>
      <c r="M4495" s="110" t="str">
        <f t="shared" si="704"/>
        <v/>
      </c>
      <c r="N4495" s="51" t="str">
        <f t="shared" si="705"/>
        <v/>
      </c>
      <c r="O4495" s="52" t="str">
        <f t="shared" si="706"/>
        <v/>
      </c>
      <c r="P4495" s="88">
        <f t="shared" si="707"/>
        <v>0</v>
      </c>
      <c r="Q4495" s="88">
        <f t="shared" si="708"/>
        <v>0</v>
      </c>
      <c r="R4495" s="88" t="e">
        <f>-IF(Tabla14[[#This Row],[DIAS HABILES O MORA]]&lt;0,(Tabla14[[#This Row],[VALOR PRESTAMO]]*Tabla14[[#This Row],[% INTERES ]]/30*U4495))+Tabla14[[#This Row],[VALOR CUOTAS]]</f>
        <v>#VALUE!</v>
      </c>
      <c r="S4495" s="88">
        <f>-IF(Tabla14[[#This Row],[DIAS HABILES O MORA]]&lt;0,(Tabla14[[#This Row],[VALOR PRESTAMO]]*Tabla14[[#This Row],[% INTERES ]]/30*U4495))</f>
        <v>0</v>
      </c>
      <c r="T4495" s="53" t="e">
        <f>Tabla14[[#This Row],[DEUDA CAPITAL]]+Tabla14[[#This Row],[INTERES  CUOTA]]</f>
        <v>#NUM!</v>
      </c>
      <c r="U4495" s="61" t="str">
        <f t="shared" si="709"/>
        <v/>
      </c>
    </row>
    <row r="4496" spans="9:21" ht="24.75" customHeight="1" x14ac:dyDescent="0.35">
      <c r="I4496" s="42">
        <f t="shared" ref="I4496:I4559" si="710">IF(C4496&lt;0,"",IF(Q4496=0,0,IF(G4496=0,H4496+1,IF(H4496&lt;G4496,H4496+1,IF(G4496=H4496,0)))))</f>
        <v>0</v>
      </c>
      <c r="J4496" s="65" t="e">
        <f t="shared" ref="J4496:J4559" si="711">IF(F4496="SOLO INTERES",Q4496*D4496,-IPMT(D4496,I4496,G4496,C4496))</f>
        <v>#NUM!</v>
      </c>
      <c r="K4496" s="83" t="e">
        <f t="shared" ref="K4496:K4559" si="712">IF(F4496="SOLO INTERES",0,-PPMT(D4496,I4496,G4496,C4496))</f>
        <v>#NUM!</v>
      </c>
      <c r="L4496" s="83">
        <f t="shared" ref="L4496:L4559" si="713">IF(F4496="SOLO INTERES",SUM(Y4496:AAE4496),IFERROR(-CUMIPMT(D4496,G4496,C4496,1,H4496,0),0)+SUM(Y4496:WY4496))</f>
        <v>0</v>
      </c>
      <c r="M4496" s="110" t="str">
        <f t="shared" ref="M4496:M4559" si="714">IFERROR(IF(F4496="SOLO INTERES",Q4496*D4496,-PMT(D4496,G4496,C4496,0)),"")</f>
        <v/>
      </c>
      <c r="N4496" s="51" t="str">
        <f t="shared" ref="N4496:N4559" si="715">IF(Q4496=0,"",IF(E4496="MENSUAL",EDATE(B4496,I4496),IF(E4496="QUINCENAL",B4496+(I4496*15),IF(E4496="SEMANAL",B4496+(I4496*7)))))</f>
        <v/>
      </c>
      <c r="O4496" s="52" t="str">
        <f t="shared" ref="O4496:O4559" si="716">IF(C4496=0,"",IF(Q4496&lt;1,"PAGADO",IF(N4496=$A$3,"COBRAR HOY",IF(N4496&lt;$A$3,"EN MORA",IF(N4496&gt;$A$3,"AL DIA")))))</f>
        <v/>
      </c>
      <c r="P4496" s="88">
        <f t="shared" ref="P4496:P4559" si="717">IFERROR(-CUMPRINC(D4496,G4496,C4496,1,H4496,0),0)+W4496</f>
        <v>0</v>
      </c>
      <c r="Q4496" s="88">
        <f t="shared" ref="Q4496:Q4559" si="718">IFERROR(C4496-P4496,"")</f>
        <v>0</v>
      </c>
      <c r="R4496" s="88" t="e">
        <f>-IF(Tabla14[[#This Row],[DIAS HABILES O MORA]]&lt;0,(Tabla14[[#This Row],[VALOR PRESTAMO]]*Tabla14[[#This Row],[% INTERES ]]/30*U4496))+Tabla14[[#This Row],[VALOR CUOTAS]]</f>
        <v>#VALUE!</v>
      </c>
      <c r="S4496" s="88">
        <f>-IF(Tabla14[[#This Row],[DIAS HABILES O MORA]]&lt;0,(Tabla14[[#This Row],[VALOR PRESTAMO]]*Tabla14[[#This Row],[% INTERES ]]/30*U4496))</f>
        <v>0</v>
      </c>
      <c r="T4496" s="53" t="e">
        <f>Tabla14[[#This Row],[DEUDA CAPITAL]]+Tabla14[[#This Row],[INTERES  CUOTA]]</f>
        <v>#NUM!</v>
      </c>
      <c r="U4496" s="61" t="str">
        <f t="shared" ref="U4496:U4559" si="719">IF(O4496="PAGADO","",IFERROR(-IF(C4496=0,"",$A$3-N4496),""))</f>
        <v/>
      </c>
    </row>
    <row r="4497" spans="9:21" ht="24.75" customHeight="1" x14ac:dyDescent="0.35">
      <c r="I4497" s="42">
        <f t="shared" si="710"/>
        <v>0</v>
      </c>
      <c r="J4497" s="65" t="e">
        <f t="shared" si="711"/>
        <v>#NUM!</v>
      </c>
      <c r="K4497" s="83" t="e">
        <f t="shared" si="712"/>
        <v>#NUM!</v>
      </c>
      <c r="L4497" s="83">
        <f t="shared" si="713"/>
        <v>0</v>
      </c>
      <c r="M4497" s="110" t="str">
        <f t="shared" si="714"/>
        <v/>
      </c>
      <c r="N4497" s="51" t="str">
        <f t="shared" si="715"/>
        <v/>
      </c>
      <c r="O4497" s="52" t="str">
        <f t="shared" si="716"/>
        <v/>
      </c>
      <c r="P4497" s="88">
        <f t="shared" si="717"/>
        <v>0</v>
      </c>
      <c r="Q4497" s="88">
        <f t="shared" si="718"/>
        <v>0</v>
      </c>
      <c r="R4497" s="88" t="e">
        <f>-IF(Tabla14[[#This Row],[DIAS HABILES O MORA]]&lt;0,(Tabla14[[#This Row],[VALOR PRESTAMO]]*Tabla14[[#This Row],[% INTERES ]]/30*U4497))+Tabla14[[#This Row],[VALOR CUOTAS]]</f>
        <v>#VALUE!</v>
      </c>
      <c r="S4497" s="88">
        <f>-IF(Tabla14[[#This Row],[DIAS HABILES O MORA]]&lt;0,(Tabla14[[#This Row],[VALOR PRESTAMO]]*Tabla14[[#This Row],[% INTERES ]]/30*U4497))</f>
        <v>0</v>
      </c>
      <c r="T4497" s="53" t="e">
        <f>Tabla14[[#This Row],[DEUDA CAPITAL]]+Tabla14[[#This Row],[INTERES  CUOTA]]</f>
        <v>#NUM!</v>
      </c>
      <c r="U4497" s="61" t="str">
        <f t="shared" si="719"/>
        <v/>
      </c>
    </row>
    <row r="4498" spans="9:21" ht="24.75" customHeight="1" x14ac:dyDescent="0.35">
      <c r="I4498" s="42">
        <f t="shared" si="710"/>
        <v>0</v>
      </c>
      <c r="J4498" s="65" t="e">
        <f t="shared" si="711"/>
        <v>#NUM!</v>
      </c>
      <c r="K4498" s="83" t="e">
        <f t="shared" si="712"/>
        <v>#NUM!</v>
      </c>
      <c r="L4498" s="83">
        <f t="shared" si="713"/>
        <v>0</v>
      </c>
      <c r="M4498" s="110" t="str">
        <f t="shared" si="714"/>
        <v/>
      </c>
      <c r="N4498" s="51" t="str">
        <f t="shared" si="715"/>
        <v/>
      </c>
      <c r="O4498" s="52" t="str">
        <f t="shared" si="716"/>
        <v/>
      </c>
      <c r="P4498" s="88">
        <f t="shared" si="717"/>
        <v>0</v>
      </c>
      <c r="Q4498" s="88">
        <f t="shared" si="718"/>
        <v>0</v>
      </c>
      <c r="R4498" s="88" t="e">
        <f>-IF(Tabla14[[#This Row],[DIAS HABILES O MORA]]&lt;0,(Tabla14[[#This Row],[VALOR PRESTAMO]]*Tabla14[[#This Row],[% INTERES ]]/30*U4498))+Tabla14[[#This Row],[VALOR CUOTAS]]</f>
        <v>#VALUE!</v>
      </c>
      <c r="S4498" s="88">
        <f>-IF(Tabla14[[#This Row],[DIAS HABILES O MORA]]&lt;0,(Tabla14[[#This Row],[VALOR PRESTAMO]]*Tabla14[[#This Row],[% INTERES ]]/30*U4498))</f>
        <v>0</v>
      </c>
      <c r="T4498" s="53" t="e">
        <f>Tabla14[[#This Row],[DEUDA CAPITAL]]+Tabla14[[#This Row],[INTERES  CUOTA]]</f>
        <v>#NUM!</v>
      </c>
      <c r="U4498" s="61" t="str">
        <f t="shared" si="719"/>
        <v/>
      </c>
    </row>
    <row r="4499" spans="9:21" ht="24.75" customHeight="1" x14ac:dyDescent="0.35">
      <c r="I4499" s="42">
        <f t="shared" si="710"/>
        <v>0</v>
      </c>
      <c r="J4499" s="65" t="e">
        <f t="shared" si="711"/>
        <v>#NUM!</v>
      </c>
      <c r="K4499" s="83" t="e">
        <f t="shared" si="712"/>
        <v>#NUM!</v>
      </c>
      <c r="L4499" s="83">
        <f t="shared" si="713"/>
        <v>0</v>
      </c>
      <c r="M4499" s="110" t="str">
        <f t="shared" si="714"/>
        <v/>
      </c>
      <c r="N4499" s="51" t="str">
        <f t="shared" si="715"/>
        <v/>
      </c>
      <c r="O4499" s="52" t="str">
        <f t="shared" si="716"/>
        <v/>
      </c>
      <c r="P4499" s="88">
        <f t="shared" si="717"/>
        <v>0</v>
      </c>
      <c r="Q4499" s="88">
        <f t="shared" si="718"/>
        <v>0</v>
      </c>
      <c r="R4499" s="88" t="e">
        <f>-IF(Tabla14[[#This Row],[DIAS HABILES O MORA]]&lt;0,(Tabla14[[#This Row],[VALOR PRESTAMO]]*Tabla14[[#This Row],[% INTERES ]]/30*U4499))+Tabla14[[#This Row],[VALOR CUOTAS]]</f>
        <v>#VALUE!</v>
      </c>
      <c r="S4499" s="88">
        <f>-IF(Tabla14[[#This Row],[DIAS HABILES O MORA]]&lt;0,(Tabla14[[#This Row],[VALOR PRESTAMO]]*Tabla14[[#This Row],[% INTERES ]]/30*U4499))</f>
        <v>0</v>
      </c>
      <c r="T4499" s="53" t="e">
        <f>Tabla14[[#This Row],[DEUDA CAPITAL]]+Tabla14[[#This Row],[INTERES  CUOTA]]</f>
        <v>#NUM!</v>
      </c>
      <c r="U4499" s="61" t="str">
        <f t="shared" si="719"/>
        <v/>
      </c>
    </row>
    <row r="4500" spans="9:21" ht="24.75" customHeight="1" x14ac:dyDescent="0.35">
      <c r="I4500" s="42">
        <f t="shared" si="710"/>
        <v>0</v>
      </c>
      <c r="J4500" s="65" t="e">
        <f t="shared" si="711"/>
        <v>#NUM!</v>
      </c>
      <c r="K4500" s="83" t="e">
        <f t="shared" si="712"/>
        <v>#NUM!</v>
      </c>
      <c r="L4500" s="83">
        <f t="shared" si="713"/>
        <v>0</v>
      </c>
      <c r="M4500" s="110" t="str">
        <f t="shared" si="714"/>
        <v/>
      </c>
      <c r="N4500" s="51" t="str">
        <f t="shared" si="715"/>
        <v/>
      </c>
      <c r="O4500" s="52" t="str">
        <f t="shared" si="716"/>
        <v/>
      </c>
      <c r="P4500" s="88">
        <f t="shared" si="717"/>
        <v>0</v>
      </c>
      <c r="Q4500" s="88">
        <f t="shared" si="718"/>
        <v>0</v>
      </c>
      <c r="R4500" s="88" t="e">
        <f>-IF(Tabla14[[#This Row],[DIAS HABILES O MORA]]&lt;0,(Tabla14[[#This Row],[VALOR PRESTAMO]]*Tabla14[[#This Row],[% INTERES ]]/30*U4500))+Tabla14[[#This Row],[VALOR CUOTAS]]</f>
        <v>#VALUE!</v>
      </c>
      <c r="S4500" s="88">
        <f>-IF(Tabla14[[#This Row],[DIAS HABILES O MORA]]&lt;0,(Tabla14[[#This Row],[VALOR PRESTAMO]]*Tabla14[[#This Row],[% INTERES ]]/30*U4500))</f>
        <v>0</v>
      </c>
      <c r="T4500" s="53" t="e">
        <f>Tabla14[[#This Row],[DEUDA CAPITAL]]+Tabla14[[#This Row],[INTERES  CUOTA]]</f>
        <v>#NUM!</v>
      </c>
      <c r="U4500" s="61" t="str">
        <f t="shared" si="719"/>
        <v/>
      </c>
    </row>
    <row r="4501" spans="9:21" ht="24.75" customHeight="1" x14ac:dyDescent="0.35">
      <c r="I4501" s="42">
        <f t="shared" si="710"/>
        <v>0</v>
      </c>
      <c r="J4501" s="65" t="e">
        <f t="shared" si="711"/>
        <v>#NUM!</v>
      </c>
      <c r="K4501" s="83" t="e">
        <f t="shared" si="712"/>
        <v>#NUM!</v>
      </c>
      <c r="L4501" s="83">
        <f t="shared" si="713"/>
        <v>0</v>
      </c>
      <c r="M4501" s="110" t="str">
        <f t="shared" si="714"/>
        <v/>
      </c>
      <c r="N4501" s="51" t="str">
        <f t="shared" si="715"/>
        <v/>
      </c>
      <c r="O4501" s="52" t="str">
        <f t="shared" si="716"/>
        <v/>
      </c>
      <c r="P4501" s="88">
        <f t="shared" si="717"/>
        <v>0</v>
      </c>
      <c r="Q4501" s="88">
        <f t="shared" si="718"/>
        <v>0</v>
      </c>
      <c r="R4501" s="88" t="e">
        <f>-IF(Tabla14[[#This Row],[DIAS HABILES O MORA]]&lt;0,(Tabla14[[#This Row],[VALOR PRESTAMO]]*Tabla14[[#This Row],[% INTERES ]]/30*U4501))+Tabla14[[#This Row],[VALOR CUOTAS]]</f>
        <v>#VALUE!</v>
      </c>
      <c r="S4501" s="88">
        <f>-IF(Tabla14[[#This Row],[DIAS HABILES O MORA]]&lt;0,(Tabla14[[#This Row],[VALOR PRESTAMO]]*Tabla14[[#This Row],[% INTERES ]]/30*U4501))</f>
        <v>0</v>
      </c>
      <c r="T4501" s="53" t="e">
        <f>Tabla14[[#This Row],[DEUDA CAPITAL]]+Tabla14[[#This Row],[INTERES  CUOTA]]</f>
        <v>#NUM!</v>
      </c>
      <c r="U4501" s="61" t="str">
        <f t="shared" si="719"/>
        <v/>
      </c>
    </row>
    <row r="4502" spans="9:21" ht="24.75" customHeight="1" x14ac:dyDescent="0.35">
      <c r="I4502" s="42">
        <f t="shared" si="710"/>
        <v>0</v>
      </c>
      <c r="J4502" s="65" t="e">
        <f t="shared" si="711"/>
        <v>#NUM!</v>
      </c>
      <c r="K4502" s="83" t="e">
        <f t="shared" si="712"/>
        <v>#NUM!</v>
      </c>
      <c r="L4502" s="83">
        <f t="shared" si="713"/>
        <v>0</v>
      </c>
      <c r="M4502" s="110" t="str">
        <f t="shared" si="714"/>
        <v/>
      </c>
      <c r="N4502" s="51" t="str">
        <f t="shared" si="715"/>
        <v/>
      </c>
      <c r="O4502" s="52" t="str">
        <f t="shared" si="716"/>
        <v/>
      </c>
      <c r="P4502" s="88">
        <f t="shared" si="717"/>
        <v>0</v>
      </c>
      <c r="Q4502" s="88">
        <f t="shared" si="718"/>
        <v>0</v>
      </c>
      <c r="R4502" s="88" t="e">
        <f>-IF(Tabla14[[#This Row],[DIAS HABILES O MORA]]&lt;0,(Tabla14[[#This Row],[VALOR PRESTAMO]]*Tabla14[[#This Row],[% INTERES ]]/30*U4502))+Tabla14[[#This Row],[VALOR CUOTAS]]</f>
        <v>#VALUE!</v>
      </c>
      <c r="S4502" s="88">
        <f>-IF(Tabla14[[#This Row],[DIAS HABILES O MORA]]&lt;0,(Tabla14[[#This Row],[VALOR PRESTAMO]]*Tabla14[[#This Row],[% INTERES ]]/30*U4502))</f>
        <v>0</v>
      </c>
      <c r="T4502" s="53" t="e">
        <f>Tabla14[[#This Row],[DEUDA CAPITAL]]+Tabla14[[#This Row],[INTERES  CUOTA]]</f>
        <v>#NUM!</v>
      </c>
      <c r="U4502" s="61" t="str">
        <f t="shared" si="719"/>
        <v/>
      </c>
    </row>
    <row r="4503" spans="9:21" ht="24.75" customHeight="1" x14ac:dyDescent="0.35">
      <c r="I4503" s="42">
        <f t="shared" si="710"/>
        <v>0</v>
      </c>
      <c r="J4503" s="65" t="e">
        <f t="shared" si="711"/>
        <v>#NUM!</v>
      </c>
      <c r="K4503" s="83" t="e">
        <f t="shared" si="712"/>
        <v>#NUM!</v>
      </c>
      <c r="L4503" s="83">
        <f t="shared" si="713"/>
        <v>0</v>
      </c>
      <c r="M4503" s="110" t="str">
        <f t="shared" si="714"/>
        <v/>
      </c>
      <c r="N4503" s="51" t="str">
        <f t="shared" si="715"/>
        <v/>
      </c>
      <c r="O4503" s="52" t="str">
        <f t="shared" si="716"/>
        <v/>
      </c>
      <c r="P4503" s="88">
        <f t="shared" si="717"/>
        <v>0</v>
      </c>
      <c r="Q4503" s="88">
        <f t="shared" si="718"/>
        <v>0</v>
      </c>
      <c r="R4503" s="88" t="e">
        <f>-IF(Tabla14[[#This Row],[DIAS HABILES O MORA]]&lt;0,(Tabla14[[#This Row],[VALOR PRESTAMO]]*Tabla14[[#This Row],[% INTERES ]]/30*U4503))+Tabla14[[#This Row],[VALOR CUOTAS]]</f>
        <v>#VALUE!</v>
      </c>
      <c r="S4503" s="88">
        <f>-IF(Tabla14[[#This Row],[DIAS HABILES O MORA]]&lt;0,(Tabla14[[#This Row],[VALOR PRESTAMO]]*Tabla14[[#This Row],[% INTERES ]]/30*U4503))</f>
        <v>0</v>
      </c>
      <c r="T4503" s="53" t="e">
        <f>Tabla14[[#This Row],[DEUDA CAPITAL]]+Tabla14[[#This Row],[INTERES  CUOTA]]</f>
        <v>#NUM!</v>
      </c>
      <c r="U4503" s="61" t="str">
        <f t="shared" si="719"/>
        <v/>
      </c>
    </row>
    <row r="4504" spans="9:21" ht="24.75" customHeight="1" x14ac:dyDescent="0.35">
      <c r="I4504" s="42">
        <f t="shared" si="710"/>
        <v>0</v>
      </c>
      <c r="J4504" s="65" t="e">
        <f t="shared" si="711"/>
        <v>#NUM!</v>
      </c>
      <c r="K4504" s="83" t="e">
        <f t="shared" si="712"/>
        <v>#NUM!</v>
      </c>
      <c r="L4504" s="83">
        <f t="shared" si="713"/>
        <v>0</v>
      </c>
      <c r="M4504" s="110" t="str">
        <f t="shared" si="714"/>
        <v/>
      </c>
      <c r="N4504" s="51" t="str">
        <f t="shared" si="715"/>
        <v/>
      </c>
      <c r="O4504" s="52" t="str">
        <f t="shared" si="716"/>
        <v/>
      </c>
      <c r="P4504" s="88">
        <f t="shared" si="717"/>
        <v>0</v>
      </c>
      <c r="Q4504" s="88">
        <f t="shared" si="718"/>
        <v>0</v>
      </c>
      <c r="R4504" s="88" t="e">
        <f>-IF(Tabla14[[#This Row],[DIAS HABILES O MORA]]&lt;0,(Tabla14[[#This Row],[VALOR PRESTAMO]]*Tabla14[[#This Row],[% INTERES ]]/30*U4504))+Tabla14[[#This Row],[VALOR CUOTAS]]</f>
        <v>#VALUE!</v>
      </c>
      <c r="S4504" s="88">
        <f>-IF(Tabla14[[#This Row],[DIAS HABILES O MORA]]&lt;0,(Tabla14[[#This Row],[VALOR PRESTAMO]]*Tabla14[[#This Row],[% INTERES ]]/30*U4504))</f>
        <v>0</v>
      </c>
      <c r="T4504" s="53" t="e">
        <f>Tabla14[[#This Row],[DEUDA CAPITAL]]+Tabla14[[#This Row],[INTERES  CUOTA]]</f>
        <v>#NUM!</v>
      </c>
      <c r="U4504" s="61" t="str">
        <f t="shared" si="719"/>
        <v/>
      </c>
    </row>
    <row r="4505" spans="9:21" ht="24.75" customHeight="1" x14ac:dyDescent="0.35">
      <c r="I4505" s="42">
        <f t="shared" si="710"/>
        <v>0</v>
      </c>
      <c r="J4505" s="65" t="e">
        <f t="shared" si="711"/>
        <v>#NUM!</v>
      </c>
      <c r="K4505" s="83" t="e">
        <f t="shared" si="712"/>
        <v>#NUM!</v>
      </c>
      <c r="L4505" s="83">
        <f t="shared" si="713"/>
        <v>0</v>
      </c>
      <c r="M4505" s="110" t="str">
        <f t="shared" si="714"/>
        <v/>
      </c>
      <c r="N4505" s="51" t="str">
        <f t="shared" si="715"/>
        <v/>
      </c>
      <c r="O4505" s="52" t="str">
        <f t="shared" si="716"/>
        <v/>
      </c>
      <c r="P4505" s="88">
        <f t="shared" si="717"/>
        <v>0</v>
      </c>
      <c r="Q4505" s="88">
        <f t="shared" si="718"/>
        <v>0</v>
      </c>
      <c r="R4505" s="88" t="e">
        <f>-IF(Tabla14[[#This Row],[DIAS HABILES O MORA]]&lt;0,(Tabla14[[#This Row],[VALOR PRESTAMO]]*Tabla14[[#This Row],[% INTERES ]]/30*U4505))+Tabla14[[#This Row],[VALOR CUOTAS]]</f>
        <v>#VALUE!</v>
      </c>
      <c r="S4505" s="88">
        <f>-IF(Tabla14[[#This Row],[DIAS HABILES O MORA]]&lt;0,(Tabla14[[#This Row],[VALOR PRESTAMO]]*Tabla14[[#This Row],[% INTERES ]]/30*U4505))</f>
        <v>0</v>
      </c>
      <c r="T4505" s="53" t="e">
        <f>Tabla14[[#This Row],[DEUDA CAPITAL]]+Tabla14[[#This Row],[INTERES  CUOTA]]</f>
        <v>#NUM!</v>
      </c>
      <c r="U4505" s="61" t="str">
        <f t="shared" si="719"/>
        <v/>
      </c>
    </row>
    <row r="4506" spans="9:21" ht="24.75" customHeight="1" x14ac:dyDescent="0.35">
      <c r="I4506" s="42">
        <f t="shared" si="710"/>
        <v>0</v>
      </c>
      <c r="J4506" s="65" t="e">
        <f t="shared" si="711"/>
        <v>#NUM!</v>
      </c>
      <c r="K4506" s="83" t="e">
        <f t="shared" si="712"/>
        <v>#NUM!</v>
      </c>
      <c r="L4506" s="83">
        <f t="shared" si="713"/>
        <v>0</v>
      </c>
      <c r="M4506" s="110" t="str">
        <f t="shared" si="714"/>
        <v/>
      </c>
      <c r="N4506" s="51" t="str">
        <f t="shared" si="715"/>
        <v/>
      </c>
      <c r="O4506" s="52" t="str">
        <f t="shared" si="716"/>
        <v/>
      </c>
      <c r="P4506" s="88">
        <f t="shared" si="717"/>
        <v>0</v>
      </c>
      <c r="Q4506" s="88">
        <f t="shared" si="718"/>
        <v>0</v>
      </c>
      <c r="R4506" s="88" t="e">
        <f>-IF(Tabla14[[#This Row],[DIAS HABILES O MORA]]&lt;0,(Tabla14[[#This Row],[VALOR PRESTAMO]]*Tabla14[[#This Row],[% INTERES ]]/30*U4506))+Tabla14[[#This Row],[VALOR CUOTAS]]</f>
        <v>#VALUE!</v>
      </c>
      <c r="S4506" s="88">
        <f>-IF(Tabla14[[#This Row],[DIAS HABILES O MORA]]&lt;0,(Tabla14[[#This Row],[VALOR PRESTAMO]]*Tabla14[[#This Row],[% INTERES ]]/30*U4506))</f>
        <v>0</v>
      </c>
      <c r="T4506" s="53" t="e">
        <f>Tabla14[[#This Row],[DEUDA CAPITAL]]+Tabla14[[#This Row],[INTERES  CUOTA]]</f>
        <v>#NUM!</v>
      </c>
      <c r="U4506" s="61" t="str">
        <f t="shared" si="719"/>
        <v/>
      </c>
    </row>
    <row r="4507" spans="9:21" ht="24.75" customHeight="1" x14ac:dyDescent="0.35">
      <c r="I4507" s="42">
        <f t="shared" si="710"/>
        <v>0</v>
      </c>
      <c r="J4507" s="65" t="e">
        <f t="shared" si="711"/>
        <v>#NUM!</v>
      </c>
      <c r="K4507" s="83" t="e">
        <f t="shared" si="712"/>
        <v>#NUM!</v>
      </c>
      <c r="L4507" s="83">
        <f t="shared" si="713"/>
        <v>0</v>
      </c>
      <c r="M4507" s="110" t="str">
        <f t="shared" si="714"/>
        <v/>
      </c>
      <c r="N4507" s="51" t="str">
        <f t="shared" si="715"/>
        <v/>
      </c>
      <c r="O4507" s="52" t="str">
        <f t="shared" si="716"/>
        <v/>
      </c>
      <c r="P4507" s="88">
        <f t="shared" si="717"/>
        <v>0</v>
      </c>
      <c r="Q4507" s="88">
        <f t="shared" si="718"/>
        <v>0</v>
      </c>
      <c r="R4507" s="88" t="e">
        <f>-IF(Tabla14[[#This Row],[DIAS HABILES O MORA]]&lt;0,(Tabla14[[#This Row],[VALOR PRESTAMO]]*Tabla14[[#This Row],[% INTERES ]]/30*U4507))+Tabla14[[#This Row],[VALOR CUOTAS]]</f>
        <v>#VALUE!</v>
      </c>
      <c r="S4507" s="88">
        <f>-IF(Tabla14[[#This Row],[DIAS HABILES O MORA]]&lt;0,(Tabla14[[#This Row],[VALOR PRESTAMO]]*Tabla14[[#This Row],[% INTERES ]]/30*U4507))</f>
        <v>0</v>
      </c>
      <c r="T4507" s="53" t="e">
        <f>Tabla14[[#This Row],[DEUDA CAPITAL]]+Tabla14[[#This Row],[INTERES  CUOTA]]</f>
        <v>#NUM!</v>
      </c>
      <c r="U4507" s="61" t="str">
        <f t="shared" si="719"/>
        <v/>
      </c>
    </row>
    <row r="4508" spans="9:21" ht="24.75" customHeight="1" x14ac:dyDescent="0.35">
      <c r="I4508" s="42">
        <f t="shared" si="710"/>
        <v>0</v>
      </c>
      <c r="J4508" s="65" t="e">
        <f t="shared" si="711"/>
        <v>#NUM!</v>
      </c>
      <c r="K4508" s="83" t="e">
        <f t="shared" si="712"/>
        <v>#NUM!</v>
      </c>
      <c r="L4508" s="83">
        <f t="shared" si="713"/>
        <v>0</v>
      </c>
      <c r="M4508" s="110" t="str">
        <f t="shared" si="714"/>
        <v/>
      </c>
      <c r="N4508" s="51" t="str">
        <f t="shared" si="715"/>
        <v/>
      </c>
      <c r="O4508" s="52" t="str">
        <f t="shared" si="716"/>
        <v/>
      </c>
      <c r="P4508" s="88">
        <f t="shared" si="717"/>
        <v>0</v>
      </c>
      <c r="Q4508" s="88">
        <f t="shared" si="718"/>
        <v>0</v>
      </c>
      <c r="R4508" s="88" t="e">
        <f>-IF(Tabla14[[#This Row],[DIAS HABILES O MORA]]&lt;0,(Tabla14[[#This Row],[VALOR PRESTAMO]]*Tabla14[[#This Row],[% INTERES ]]/30*U4508))+Tabla14[[#This Row],[VALOR CUOTAS]]</f>
        <v>#VALUE!</v>
      </c>
      <c r="S4508" s="88">
        <f>-IF(Tabla14[[#This Row],[DIAS HABILES O MORA]]&lt;0,(Tabla14[[#This Row],[VALOR PRESTAMO]]*Tabla14[[#This Row],[% INTERES ]]/30*U4508))</f>
        <v>0</v>
      </c>
      <c r="T4508" s="53" t="e">
        <f>Tabla14[[#This Row],[DEUDA CAPITAL]]+Tabla14[[#This Row],[INTERES  CUOTA]]</f>
        <v>#NUM!</v>
      </c>
      <c r="U4508" s="61" t="str">
        <f t="shared" si="719"/>
        <v/>
      </c>
    </row>
    <row r="4509" spans="9:21" ht="24.75" customHeight="1" x14ac:dyDescent="0.35">
      <c r="I4509" s="42">
        <f t="shared" si="710"/>
        <v>0</v>
      </c>
      <c r="J4509" s="65" t="e">
        <f t="shared" si="711"/>
        <v>#NUM!</v>
      </c>
      <c r="K4509" s="83" t="e">
        <f t="shared" si="712"/>
        <v>#NUM!</v>
      </c>
      <c r="L4509" s="83">
        <f t="shared" si="713"/>
        <v>0</v>
      </c>
      <c r="M4509" s="110" t="str">
        <f t="shared" si="714"/>
        <v/>
      </c>
      <c r="N4509" s="51" t="str">
        <f t="shared" si="715"/>
        <v/>
      </c>
      <c r="O4509" s="52" t="str">
        <f t="shared" si="716"/>
        <v/>
      </c>
      <c r="P4509" s="88">
        <f t="shared" si="717"/>
        <v>0</v>
      </c>
      <c r="Q4509" s="88">
        <f t="shared" si="718"/>
        <v>0</v>
      </c>
      <c r="R4509" s="88" t="e">
        <f>-IF(Tabla14[[#This Row],[DIAS HABILES O MORA]]&lt;0,(Tabla14[[#This Row],[VALOR PRESTAMO]]*Tabla14[[#This Row],[% INTERES ]]/30*U4509))+Tabla14[[#This Row],[VALOR CUOTAS]]</f>
        <v>#VALUE!</v>
      </c>
      <c r="S4509" s="88">
        <f>-IF(Tabla14[[#This Row],[DIAS HABILES O MORA]]&lt;0,(Tabla14[[#This Row],[VALOR PRESTAMO]]*Tabla14[[#This Row],[% INTERES ]]/30*U4509))</f>
        <v>0</v>
      </c>
      <c r="T4509" s="53" t="e">
        <f>Tabla14[[#This Row],[DEUDA CAPITAL]]+Tabla14[[#This Row],[INTERES  CUOTA]]</f>
        <v>#NUM!</v>
      </c>
      <c r="U4509" s="61" t="str">
        <f t="shared" si="719"/>
        <v/>
      </c>
    </row>
    <row r="4510" spans="9:21" ht="24.75" customHeight="1" x14ac:dyDescent="0.35">
      <c r="I4510" s="42">
        <f t="shared" si="710"/>
        <v>0</v>
      </c>
      <c r="J4510" s="65" t="e">
        <f t="shared" si="711"/>
        <v>#NUM!</v>
      </c>
      <c r="K4510" s="83" t="e">
        <f t="shared" si="712"/>
        <v>#NUM!</v>
      </c>
      <c r="L4510" s="83">
        <f t="shared" si="713"/>
        <v>0</v>
      </c>
      <c r="M4510" s="110" t="str">
        <f t="shared" si="714"/>
        <v/>
      </c>
      <c r="N4510" s="51" t="str">
        <f t="shared" si="715"/>
        <v/>
      </c>
      <c r="O4510" s="52" t="str">
        <f t="shared" si="716"/>
        <v/>
      </c>
      <c r="P4510" s="88">
        <f t="shared" si="717"/>
        <v>0</v>
      </c>
      <c r="Q4510" s="88">
        <f t="shared" si="718"/>
        <v>0</v>
      </c>
      <c r="R4510" s="88" t="e">
        <f>-IF(Tabla14[[#This Row],[DIAS HABILES O MORA]]&lt;0,(Tabla14[[#This Row],[VALOR PRESTAMO]]*Tabla14[[#This Row],[% INTERES ]]/30*U4510))+Tabla14[[#This Row],[VALOR CUOTAS]]</f>
        <v>#VALUE!</v>
      </c>
      <c r="S4510" s="88">
        <f>-IF(Tabla14[[#This Row],[DIAS HABILES O MORA]]&lt;0,(Tabla14[[#This Row],[VALOR PRESTAMO]]*Tabla14[[#This Row],[% INTERES ]]/30*U4510))</f>
        <v>0</v>
      </c>
      <c r="T4510" s="53" t="e">
        <f>Tabla14[[#This Row],[DEUDA CAPITAL]]+Tabla14[[#This Row],[INTERES  CUOTA]]</f>
        <v>#NUM!</v>
      </c>
      <c r="U4510" s="61" t="str">
        <f t="shared" si="719"/>
        <v/>
      </c>
    </row>
    <row r="4511" spans="9:21" ht="24.75" customHeight="1" x14ac:dyDescent="0.35">
      <c r="I4511" s="42">
        <f t="shared" si="710"/>
        <v>0</v>
      </c>
      <c r="J4511" s="65" t="e">
        <f t="shared" si="711"/>
        <v>#NUM!</v>
      </c>
      <c r="K4511" s="83" t="e">
        <f t="shared" si="712"/>
        <v>#NUM!</v>
      </c>
      <c r="L4511" s="83">
        <f t="shared" si="713"/>
        <v>0</v>
      </c>
      <c r="M4511" s="110" t="str">
        <f t="shared" si="714"/>
        <v/>
      </c>
      <c r="N4511" s="51" t="str">
        <f t="shared" si="715"/>
        <v/>
      </c>
      <c r="O4511" s="52" t="str">
        <f t="shared" si="716"/>
        <v/>
      </c>
      <c r="P4511" s="88">
        <f t="shared" si="717"/>
        <v>0</v>
      </c>
      <c r="Q4511" s="88">
        <f t="shared" si="718"/>
        <v>0</v>
      </c>
      <c r="R4511" s="88" t="e">
        <f>-IF(Tabla14[[#This Row],[DIAS HABILES O MORA]]&lt;0,(Tabla14[[#This Row],[VALOR PRESTAMO]]*Tabla14[[#This Row],[% INTERES ]]/30*U4511))+Tabla14[[#This Row],[VALOR CUOTAS]]</f>
        <v>#VALUE!</v>
      </c>
      <c r="S4511" s="88">
        <f>-IF(Tabla14[[#This Row],[DIAS HABILES O MORA]]&lt;0,(Tabla14[[#This Row],[VALOR PRESTAMO]]*Tabla14[[#This Row],[% INTERES ]]/30*U4511))</f>
        <v>0</v>
      </c>
      <c r="T4511" s="53" t="e">
        <f>Tabla14[[#This Row],[DEUDA CAPITAL]]+Tabla14[[#This Row],[INTERES  CUOTA]]</f>
        <v>#NUM!</v>
      </c>
      <c r="U4511" s="61" t="str">
        <f t="shared" si="719"/>
        <v/>
      </c>
    </row>
    <row r="4512" spans="9:21" ht="24.75" customHeight="1" x14ac:dyDescent="0.35">
      <c r="I4512" s="42">
        <f t="shared" si="710"/>
        <v>0</v>
      </c>
      <c r="J4512" s="65" t="e">
        <f t="shared" si="711"/>
        <v>#NUM!</v>
      </c>
      <c r="K4512" s="83" t="e">
        <f t="shared" si="712"/>
        <v>#NUM!</v>
      </c>
      <c r="L4512" s="83">
        <f t="shared" si="713"/>
        <v>0</v>
      </c>
      <c r="M4512" s="110" t="str">
        <f t="shared" si="714"/>
        <v/>
      </c>
      <c r="N4512" s="51" t="str">
        <f t="shared" si="715"/>
        <v/>
      </c>
      <c r="O4512" s="52" t="str">
        <f t="shared" si="716"/>
        <v/>
      </c>
      <c r="P4512" s="88">
        <f t="shared" si="717"/>
        <v>0</v>
      </c>
      <c r="Q4512" s="88">
        <f t="shared" si="718"/>
        <v>0</v>
      </c>
      <c r="R4512" s="88" t="e">
        <f>-IF(Tabla14[[#This Row],[DIAS HABILES O MORA]]&lt;0,(Tabla14[[#This Row],[VALOR PRESTAMO]]*Tabla14[[#This Row],[% INTERES ]]/30*U4512))+Tabla14[[#This Row],[VALOR CUOTAS]]</f>
        <v>#VALUE!</v>
      </c>
      <c r="S4512" s="88">
        <f>-IF(Tabla14[[#This Row],[DIAS HABILES O MORA]]&lt;0,(Tabla14[[#This Row],[VALOR PRESTAMO]]*Tabla14[[#This Row],[% INTERES ]]/30*U4512))</f>
        <v>0</v>
      </c>
      <c r="T4512" s="53" t="e">
        <f>Tabla14[[#This Row],[DEUDA CAPITAL]]+Tabla14[[#This Row],[INTERES  CUOTA]]</f>
        <v>#NUM!</v>
      </c>
      <c r="U4512" s="61" t="str">
        <f t="shared" si="719"/>
        <v/>
      </c>
    </row>
    <row r="4513" spans="9:21" ht="24.75" customHeight="1" x14ac:dyDescent="0.35">
      <c r="I4513" s="42">
        <f t="shared" si="710"/>
        <v>0</v>
      </c>
      <c r="J4513" s="65" t="e">
        <f t="shared" si="711"/>
        <v>#NUM!</v>
      </c>
      <c r="K4513" s="83" t="e">
        <f t="shared" si="712"/>
        <v>#NUM!</v>
      </c>
      <c r="L4513" s="83">
        <f t="shared" si="713"/>
        <v>0</v>
      </c>
      <c r="M4513" s="110" t="str">
        <f t="shared" si="714"/>
        <v/>
      </c>
      <c r="N4513" s="51" t="str">
        <f t="shared" si="715"/>
        <v/>
      </c>
      <c r="O4513" s="52" t="str">
        <f t="shared" si="716"/>
        <v/>
      </c>
      <c r="P4513" s="88">
        <f t="shared" si="717"/>
        <v>0</v>
      </c>
      <c r="Q4513" s="88">
        <f t="shared" si="718"/>
        <v>0</v>
      </c>
      <c r="R4513" s="88" t="e">
        <f>-IF(Tabla14[[#This Row],[DIAS HABILES O MORA]]&lt;0,(Tabla14[[#This Row],[VALOR PRESTAMO]]*Tabla14[[#This Row],[% INTERES ]]/30*U4513))+Tabla14[[#This Row],[VALOR CUOTAS]]</f>
        <v>#VALUE!</v>
      </c>
      <c r="S4513" s="88">
        <f>-IF(Tabla14[[#This Row],[DIAS HABILES O MORA]]&lt;0,(Tabla14[[#This Row],[VALOR PRESTAMO]]*Tabla14[[#This Row],[% INTERES ]]/30*U4513))</f>
        <v>0</v>
      </c>
      <c r="T4513" s="53" t="e">
        <f>Tabla14[[#This Row],[DEUDA CAPITAL]]+Tabla14[[#This Row],[INTERES  CUOTA]]</f>
        <v>#NUM!</v>
      </c>
      <c r="U4513" s="61" t="str">
        <f t="shared" si="719"/>
        <v/>
      </c>
    </row>
    <row r="4514" spans="9:21" ht="24.75" customHeight="1" x14ac:dyDescent="0.35">
      <c r="I4514" s="42">
        <f t="shared" si="710"/>
        <v>0</v>
      </c>
      <c r="J4514" s="65" t="e">
        <f t="shared" si="711"/>
        <v>#NUM!</v>
      </c>
      <c r="K4514" s="83" t="e">
        <f t="shared" si="712"/>
        <v>#NUM!</v>
      </c>
      <c r="L4514" s="83">
        <f t="shared" si="713"/>
        <v>0</v>
      </c>
      <c r="M4514" s="110" t="str">
        <f t="shared" si="714"/>
        <v/>
      </c>
      <c r="N4514" s="51" t="str">
        <f t="shared" si="715"/>
        <v/>
      </c>
      <c r="O4514" s="52" t="str">
        <f t="shared" si="716"/>
        <v/>
      </c>
      <c r="P4514" s="88">
        <f t="shared" si="717"/>
        <v>0</v>
      </c>
      <c r="Q4514" s="88">
        <f t="shared" si="718"/>
        <v>0</v>
      </c>
      <c r="R4514" s="88" t="e">
        <f>-IF(Tabla14[[#This Row],[DIAS HABILES O MORA]]&lt;0,(Tabla14[[#This Row],[VALOR PRESTAMO]]*Tabla14[[#This Row],[% INTERES ]]/30*U4514))+Tabla14[[#This Row],[VALOR CUOTAS]]</f>
        <v>#VALUE!</v>
      </c>
      <c r="S4514" s="88">
        <f>-IF(Tabla14[[#This Row],[DIAS HABILES O MORA]]&lt;0,(Tabla14[[#This Row],[VALOR PRESTAMO]]*Tabla14[[#This Row],[% INTERES ]]/30*U4514))</f>
        <v>0</v>
      </c>
      <c r="T4514" s="53" t="e">
        <f>Tabla14[[#This Row],[DEUDA CAPITAL]]+Tabla14[[#This Row],[INTERES  CUOTA]]</f>
        <v>#NUM!</v>
      </c>
      <c r="U4514" s="61" t="str">
        <f t="shared" si="719"/>
        <v/>
      </c>
    </row>
    <row r="4515" spans="9:21" ht="24.75" customHeight="1" x14ac:dyDescent="0.35">
      <c r="I4515" s="42">
        <f t="shared" si="710"/>
        <v>0</v>
      </c>
      <c r="J4515" s="65" t="e">
        <f t="shared" si="711"/>
        <v>#NUM!</v>
      </c>
      <c r="K4515" s="83" t="e">
        <f t="shared" si="712"/>
        <v>#NUM!</v>
      </c>
      <c r="L4515" s="83">
        <f t="shared" si="713"/>
        <v>0</v>
      </c>
      <c r="M4515" s="110" t="str">
        <f t="shared" si="714"/>
        <v/>
      </c>
      <c r="N4515" s="51" t="str">
        <f t="shared" si="715"/>
        <v/>
      </c>
      <c r="O4515" s="52" t="str">
        <f t="shared" si="716"/>
        <v/>
      </c>
      <c r="P4515" s="88">
        <f t="shared" si="717"/>
        <v>0</v>
      </c>
      <c r="Q4515" s="88">
        <f t="shared" si="718"/>
        <v>0</v>
      </c>
      <c r="R4515" s="88" t="e">
        <f>-IF(Tabla14[[#This Row],[DIAS HABILES O MORA]]&lt;0,(Tabla14[[#This Row],[VALOR PRESTAMO]]*Tabla14[[#This Row],[% INTERES ]]/30*U4515))+Tabla14[[#This Row],[VALOR CUOTAS]]</f>
        <v>#VALUE!</v>
      </c>
      <c r="S4515" s="88">
        <f>-IF(Tabla14[[#This Row],[DIAS HABILES O MORA]]&lt;0,(Tabla14[[#This Row],[VALOR PRESTAMO]]*Tabla14[[#This Row],[% INTERES ]]/30*U4515))</f>
        <v>0</v>
      </c>
      <c r="T4515" s="53" t="e">
        <f>Tabla14[[#This Row],[DEUDA CAPITAL]]+Tabla14[[#This Row],[INTERES  CUOTA]]</f>
        <v>#NUM!</v>
      </c>
      <c r="U4515" s="61" t="str">
        <f t="shared" si="719"/>
        <v/>
      </c>
    </row>
    <row r="4516" spans="9:21" ht="24.75" customHeight="1" x14ac:dyDescent="0.35">
      <c r="I4516" s="42">
        <f t="shared" si="710"/>
        <v>0</v>
      </c>
      <c r="J4516" s="65" t="e">
        <f t="shared" si="711"/>
        <v>#NUM!</v>
      </c>
      <c r="K4516" s="83" t="e">
        <f t="shared" si="712"/>
        <v>#NUM!</v>
      </c>
      <c r="L4516" s="83">
        <f t="shared" si="713"/>
        <v>0</v>
      </c>
      <c r="M4516" s="110" t="str">
        <f t="shared" si="714"/>
        <v/>
      </c>
      <c r="N4516" s="51" t="str">
        <f t="shared" si="715"/>
        <v/>
      </c>
      <c r="O4516" s="52" t="str">
        <f t="shared" si="716"/>
        <v/>
      </c>
      <c r="P4516" s="88">
        <f t="shared" si="717"/>
        <v>0</v>
      </c>
      <c r="Q4516" s="88">
        <f t="shared" si="718"/>
        <v>0</v>
      </c>
      <c r="R4516" s="88" t="e">
        <f>-IF(Tabla14[[#This Row],[DIAS HABILES O MORA]]&lt;0,(Tabla14[[#This Row],[VALOR PRESTAMO]]*Tabla14[[#This Row],[% INTERES ]]/30*U4516))+Tabla14[[#This Row],[VALOR CUOTAS]]</f>
        <v>#VALUE!</v>
      </c>
      <c r="S4516" s="88">
        <f>-IF(Tabla14[[#This Row],[DIAS HABILES O MORA]]&lt;0,(Tabla14[[#This Row],[VALOR PRESTAMO]]*Tabla14[[#This Row],[% INTERES ]]/30*U4516))</f>
        <v>0</v>
      </c>
      <c r="T4516" s="53" t="e">
        <f>Tabla14[[#This Row],[DEUDA CAPITAL]]+Tabla14[[#This Row],[INTERES  CUOTA]]</f>
        <v>#NUM!</v>
      </c>
      <c r="U4516" s="61" t="str">
        <f t="shared" si="719"/>
        <v/>
      </c>
    </row>
    <row r="4517" spans="9:21" ht="24.75" customHeight="1" x14ac:dyDescent="0.35">
      <c r="I4517" s="42">
        <f t="shared" si="710"/>
        <v>0</v>
      </c>
      <c r="J4517" s="65" t="e">
        <f t="shared" si="711"/>
        <v>#NUM!</v>
      </c>
      <c r="K4517" s="83" t="e">
        <f t="shared" si="712"/>
        <v>#NUM!</v>
      </c>
      <c r="L4517" s="83">
        <f t="shared" si="713"/>
        <v>0</v>
      </c>
      <c r="M4517" s="110" t="str">
        <f t="shared" si="714"/>
        <v/>
      </c>
      <c r="N4517" s="51" t="str">
        <f t="shared" si="715"/>
        <v/>
      </c>
      <c r="O4517" s="52" t="str">
        <f t="shared" si="716"/>
        <v/>
      </c>
      <c r="P4517" s="88">
        <f t="shared" si="717"/>
        <v>0</v>
      </c>
      <c r="Q4517" s="88">
        <f t="shared" si="718"/>
        <v>0</v>
      </c>
      <c r="R4517" s="88" t="e">
        <f>-IF(Tabla14[[#This Row],[DIAS HABILES O MORA]]&lt;0,(Tabla14[[#This Row],[VALOR PRESTAMO]]*Tabla14[[#This Row],[% INTERES ]]/30*U4517))+Tabla14[[#This Row],[VALOR CUOTAS]]</f>
        <v>#VALUE!</v>
      </c>
      <c r="S4517" s="88">
        <f>-IF(Tabla14[[#This Row],[DIAS HABILES O MORA]]&lt;0,(Tabla14[[#This Row],[VALOR PRESTAMO]]*Tabla14[[#This Row],[% INTERES ]]/30*U4517))</f>
        <v>0</v>
      </c>
      <c r="T4517" s="53" t="e">
        <f>Tabla14[[#This Row],[DEUDA CAPITAL]]+Tabla14[[#This Row],[INTERES  CUOTA]]</f>
        <v>#NUM!</v>
      </c>
      <c r="U4517" s="61" t="str">
        <f t="shared" si="719"/>
        <v/>
      </c>
    </row>
    <row r="4518" spans="9:21" ht="24.75" customHeight="1" x14ac:dyDescent="0.35">
      <c r="I4518" s="42">
        <f t="shared" si="710"/>
        <v>0</v>
      </c>
      <c r="J4518" s="65" t="e">
        <f t="shared" si="711"/>
        <v>#NUM!</v>
      </c>
      <c r="K4518" s="83" t="e">
        <f t="shared" si="712"/>
        <v>#NUM!</v>
      </c>
      <c r="L4518" s="83">
        <f t="shared" si="713"/>
        <v>0</v>
      </c>
      <c r="M4518" s="110" t="str">
        <f t="shared" si="714"/>
        <v/>
      </c>
      <c r="N4518" s="51" t="str">
        <f t="shared" si="715"/>
        <v/>
      </c>
      <c r="O4518" s="52" t="str">
        <f t="shared" si="716"/>
        <v/>
      </c>
      <c r="P4518" s="88">
        <f t="shared" si="717"/>
        <v>0</v>
      </c>
      <c r="Q4518" s="88">
        <f t="shared" si="718"/>
        <v>0</v>
      </c>
      <c r="R4518" s="88" t="e">
        <f>-IF(Tabla14[[#This Row],[DIAS HABILES O MORA]]&lt;0,(Tabla14[[#This Row],[VALOR PRESTAMO]]*Tabla14[[#This Row],[% INTERES ]]/30*U4518))+Tabla14[[#This Row],[VALOR CUOTAS]]</f>
        <v>#VALUE!</v>
      </c>
      <c r="S4518" s="88">
        <f>-IF(Tabla14[[#This Row],[DIAS HABILES O MORA]]&lt;0,(Tabla14[[#This Row],[VALOR PRESTAMO]]*Tabla14[[#This Row],[% INTERES ]]/30*U4518))</f>
        <v>0</v>
      </c>
      <c r="T4518" s="53" t="e">
        <f>Tabla14[[#This Row],[DEUDA CAPITAL]]+Tabla14[[#This Row],[INTERES  CUOTA]]</f>
        <v>#NUM!</v>
      </c>
      <c r="U4518" s="61" t="str">
        <f t="shared" si="719"/>
        <v/>
      </c>
    </row>
    <row r="4519" spans="9:21" ht="24.75" customHeight="1" x14ac:dyDescent="0.35">
      <c r="I4519" s="42">
        <f t="shared" si="710"/>
        <v>0</v>
      </c>
      <c r="J4519" s="65" t="e">
        <f t="shared" si="711"/>
        <v>#NUM!</v>
      </c>
      <c r="K4519" s="83" t="e">
        <f t="shared" si="712"/>
        <v>#NUM!</v>
      </c>
      <c r="L4519" s="83">
        <f t="shared" si="713"/>
        <v>0</v>
      </c>
      <c r="M4519" s="110" t="str">
        <f t="shared" si="714"/>
        <v/>
      </c>
      <c r="N4519" s="51" t="str">
        <f t="shared" si="715"/>
        <v/>
      </c>
      <c r="O4519" s="52" t="str">
        <f t="shared" si="716"/>
        <v/>
      </c>
      <c r="P4519" s="88">
        <f t="shared" si="717"/>
        <v>0</v>
      </c>
      <c r="Q4519" s="88">
        <f t="shared" si="718"/>
        <v>0</v>
      </c>
      <c r="R4519" s="88" t="e">
        <f>-IF(Tabla14[[#This Row],[DIAS HABILES O MORA]]&lt;0,(Tabla14[[#This Row],[VALOR PRESTAMO]]*Tabla14[[#This Row],[% INTERES ]]/30*U4519))+Tabla14[[#This Row],[VALOR CUOTAS]]</f>
        <v>#VALUE!</v>
      </c>
      <c r="S4519" s="88">
        <f>-IF(Tabla14[[#This Row],[DIAS HABILES O MORA]]&lt;0,(Tabla14[[#This Row],[VALOR PRESTAMO]]*Tabla14[[#This Row],[% INTERES ]]/30*U4519))</f>
        <v>0</v>
      </c>
      <c r="T4519" s="53" t="e">
        <f>Tabla14[[#This Row],[DEUDA CAPITAL]]+Tabla14[[#This Row],[INTERES  CUOTA]]</f>
        <v>#NUM!</v>
      </c>
      <c r="U4519" s="61" t="str">
        <f t="shared" si="719"/>
        <v/>
      </c>
    </row>
    <row r="4520" spans="9:21" ht="24.75" customHeight="1" x14ac:dyDescent="0.35">
      <c r="I4520" s="42">
        <f t="shared" si="710"/>
        <v>0</v>
      </c>
      <c r="J4520" s="65" t="e">
        <f t="shared" si="711"/>
        <v>#NUM!</v>
      </c>
      <c r="K4520" s="83" t="e">
        <f t="shared" si="712"/>
        <v>#NUM!</v>
      </c>
      <c r="L4520" s="83">
        <f t="shared" si="713"/>
        <v>0</v>
      </c>
      <c r="M4520" s="110" t="str">
        <f t="shared" si="714"/>
        <v/>
      </c>
      <c r="N4520" s="51" t="str">
        <f t="shared" si="715"/>
        <v/>
      </c>
      <c r="O4520" s="52" t="str">
        <f t="shared" si="716"/>
        <v/>
      </c>
      <c r="P4520" s="88">
        <f t="shared" si="717"/>
        <v>0</v>
      </c>
      <c r="Q4520" s="88">
        <f t="shared" si="718"/>
        <v>0</v>
      </c>
      <c r="R4520" s="88" t="e">
        <f>-IF(Tabla14[[#This Row],[DIAS HABILES O MORA]]&lt;0,(Tabla14[[#This Row],[VALOR PRESTAMO]]*Tabla14[[#This Row],[% INTERES ]]/30*U4520))+Tabla14[[#This Row],[VALOR CUOTAS]]</f>
        <v>#VALUE!</v>
      </c>
      <c r="S4520" s="88">
        <f>-IF(Tabla14[[#This Row],[DIAS HABILES O MORA]]&lt;0,(Tabla14[[#This Row],[VALOR PRESTAMO]]*Tabla14[[#This Row],[% INTERES ]]/30*U4520))</f>
        <v>0</v>
      </c>
      <c r="T4520" s="53" t="e">
        <f>Tabla14[[#This Row],[DEUDA CAPITAL]]+Tabla14[[#This Row],[INTERES  CUOTA]]</f>
        <v>#NUM!</v>
      </c>
      <c r="U4520" s="61" t="str">
        <f t="shared" si="719"/>
        <v/>
      </c>
    </row>
    <row r="4521" spans="9:21" ht="24.75" customHeight="1" x14ac:dyDescent="0.35">
      <c r="I4521" s="42">
        <f t="shared" si="710"/>
        <v>0</v>
      </c>
      <c r="J4521" s="65" t="e">
        <f t="shared" si="711"/>
        <v>#NUM!</v>
      </c>
      <c r="K4521" s="83" t="e">
        <f t="shared" si="712"/>
        <v>#NUM!</v>
      </c>
      <c r="L4521" s="83">
        <f t="shared" si="713"/>
        <v>0</v>
      </c>
      <c r="M4521" s="110" t="str">
        <f t="shared" si="714"/>
        <v/>
      </c>
      <c r="N4521" s="51" t="str">
        <f t="shared" si="715"/>
        <v/>
      </c>
      <c r="O4521" s="52" t="str">
        <f t="shared" si="716"/>
        <v/>
      </c>
      <c r="P4521" s="88">
        <f t="shared" si="717"/>
        <v>0</v>
      </c>
      <c r="Q4521" s="88">
        <f t="shared" si="718"/>
        <v>0</v>
      </c>
      <c r="R4521" s="88" t="e">
        <f>-IF(Tabla14[[#This Row],[DIAS HABILES O MORA]]&lt;0,(Tabla14[[#This Row],[VALOR PRESTAMO]]*Tabla14[[#This Row],[% INTERES ]]/30*U4521))+Tabla14[[#This Row],[VALOR CUOTAS]]</f>
        <v>#VALUE!</v>
      </c>
      <c r="S4521" s="88">
        <f>-IF(Tabla14[[#This Row],[DIAS HABILES O MORA]]&lt;0,(Tabla14[[#This Row],[VALOR PRESTAMO]]*Tabla14[[#This Row],[% INTERES ]]/30*U4521))</f>
        <v>0</v>
      </c>
      <c r="T4521" s="53" t="e">
        <f>Tabla14[[#This Row],[DEUDA CAPITAL]]+Tabla14[[#This Row],[INTERES  CUOTA]]</f>
        <v>#NUM!</v>
      </c>
      <c r="U4521" s="61" t="str">
        <f t="shared" si="719"/>
        <v/>
      </c>
    </row>
    <row r="4522" spans="9:21" ht="24.75" customHeight="1" x14ac:dyDescent="0.35">
      <c r="I4522" s="42">
        <f t="shared" si="710"/>
        <v>0</v>
      </c>
      <c r="J4522" s="65" t="e">
        <f t="shared" si="711"/>
        <v>#NUM!</v>
      </c>
      <c r="K4522" s="83" t="e">
        <f t="shared" si="712"/>
        <v>#NUM!</v>
      </c>
      <c r="L4522" s="83">
        <f t="shared" si="713"/>
        <v>0</v>
      </c>
      <c r="M4522" s="110" t="str">
        <f t="shared" si="714"/>
        <v/>
      </c>
      <c r="N4522" s="51" t="str">
        <f t="shared" si="715"/>
        <v/>
      </c>
      <c r="O4522" s="52" t="str">
        <f t="shared" si="716"/>
        <v/>
      </c>
      <c r="P4522" s="88">
        <f t="shared" si="717"/>
        <v>0</v>
      </c>
      <c r="Q4522" s="88">
        <f t="shared" si="718"/>
        <v>0</v>
      </c>
      <c r="R4522" s="88" t="e">
        <f>-IF(Tabla14[[#This Row],[DIAS HABILES O MORA]]&lt;0,(Tabla14[[#This Row],[VALOR PRESTAMO]]*Tabla14[[#This Row],[% INTERES ]]/30*U4522))+Tabla14[[#This Row],[VALOR CUOTAS]]</f>
        <v>#VALUE!</v>
      </c>
      <c r="S4522" s="88">
        <f>-IF(Tabla14[[#This Row],[DIAS HABILES O MORA]]&lt;0,(Tabla14[[#This Row],[VALOR PRESTAMO]]*Tabla14[[#This Row],[% INTERES ]]/30*U4522))</f>
        <v>0</v>
      </c>
      <c r="T4522" s="53" t="e">
        <f>Tabla14[[#This Row],[DEUDA CAPITAL]]+Tabla14[[#This Row],[INTERES  CUOTA]]</f>
        <v>#NUM!</v>
      </c>
      <c r="U4522" s="61" t="str">
        <f t="shared" si="719"/>
        <v/>
      </c>
    </row>
    <row r="4523" spans="9:21" ht="24.75" customHeight="1" x14ac:dyDescent="0.35">
      <c r="I4523" s="42">
        <f t="shared" si="710"/>
        <v>0</v>
      </c>
      <c r="J4523" s="65" t="e">
        <f t="shared" si="711"/>
        <v>#NUM!</v>
      </c>
      <c r="K4523" s="83" t="e">
        <f t="shared" si="712"/>
        <v>#NUM!</v>
      </c>
      <c r="L4523" s="83">
        <f t="shared" si="713"/>
        <v>0</v>
      </c>
      <c r="M4523" s="110" t="str">
        <f t="shared" si="714"/>
        <v/>
      </c>
      <c r="N4523" s="51" t="str">
        <f t="shared" si="715"/>
        <v/>
      </c>
      <c r="O4523" s="52" t="str">
        <f t="shared" si="716"/>
        <v/>
      </c>
      <c r="P4523" s="88">
        <f t="shared" si="717"/>
        <v>0</v>
      </c>
      <c r="Q4523" s="88">
        <f t="shared" si="718"/>
        <v>0</v>
      </c>
      <c r="R4523" s="88" t="e">
        <f>-IF(Tabla14[[#This Row],[DIAS HABILES O MORA]]&lt;0,(Tabla14[[#This Row],[VALOR PRESTAMO]]*Tabla14[[#This Row],[% INTERES ]]/30*U4523))+Tabla14[[#This Row],[VALOR CUOTAS]]</f>
        <v>#VALUE!</v>
      </c>
      <c r="S4523" s="88">
        <f>-IF(Tabla14[[#This Row],[DIAS HABILES O MORA]]&lt;0,(Tabla14[[#This Row],[VALOR PRESTAMO]]*Tabla14[[#This Row],[% INTERES ]]/30*U4523))</f>
        <v>0</v>
      </c>
      <c r="T4523" s="53" t="e">
        <f>Tabla14[[#This Row],[DEUDA CAPITAL]]+Tabla14[[#This Row],[INTERES  CUOTA]]</f>
        <v>#NUM!</v>
      </c>
      <c r="U4523" s="61" t="str">
        <f t="shared" si="719"/>
        <v/>
      </c>
    </row>
    <row r="4524" spans="9:21" ht="24.75" customHeight="1" x14ac:dyDescent="0.35">
      <c r="I4524" s="42">
        <f t="shared" si="710"/>
        <v>0</v>
      </c>
      <c r="J4524" s="65" t="e">
        <f t="shared" si="711"/>
        <v>#NUM!</v>
      </c>
      <c r="K4524" s="83" t="e">
        <f t="shared" si="712"/>
        <v>#NUM!</v>
      </c>
      <c r="L4524" s="83">
        <f t="shared" si="713"/>
        <v>0</v>
      </c>
      <c r="M4524" s="110" t="str">
        <f t="shared" si="714"/>
        <v/>
      </c>
      <c r="N4524" s="51" t="str">
        <f t="shared" si="715"/>
        <v/>
      </c>
      <c r="O4524" s="52" t="str">
        <f t="shared" si="716"/>
        <v/>
      </c>
      <c r="P4524" s="88">
        <f t="shared" si="717"/>
        <v>0</v>
      </c>
      <c r="Q4524" s="88">
        <f t="shared" si="718"/>
        <v>0</v>
      </c>
      <c r="R4524" s="88" t="e">
        <f>-IF(Tabla14[[#This Row],[DIAS HABILES O MORA]]&lt;0,(Tabla14[[#This Row],[VALOR PRESTAMO]]*Tabla14[[#This Row],[% INTERES ]]/30*U4524))+Tabla14[[#This Row],[VALOR CUOTAS]]</f>
        <v>#VALUE!</v>
      </c>
      <c r="S4524" s="88">
        <f>-IF(Tabla14[[#This Row],[DIAS HABILES O MORA]]&lt;0,(Tabla14[[#This Row],[VALOR PRESTAMO]]*Tabla14[[#This Row],[% INTERES ]]/30*U4524))</f>
        <v>0</v>
      </c>
      <c r="T4524" s="53" t="e">
        <f>Tabla14[[#This Row],[DEUDA CAPITAL]]+Tabla14[[#This Row],[INTERES  CUOTA]]</f>
        <v>#NUM!</v>
      </c>
      <c r="U4524" s="61" t="str">
        <f t="shared" si="719"/>
        <v/>
      </c>
    </row>
    <row r="4525" spans="9:21" ht="24.75" customHeight="1" x14ac:dyDescent="0.35">
      <c r="I4525" s="42">
        <f t="shared" si="710"/>
        <v>0</v>
      </c>
      <c r="J4525" s="65" t="e">
        <f t="shared" si="711"/>
        <v>#NUM!</v>
      </c>
      <c r="K4525" s="83" t="e">
        <f t="shared" si="712"/>
        <v>#NUM!</v>
      </c>
      <c r="L4525" s="83">
        <f t="shared" si="713"/>
        <v>0</v>
      </c>
      <c r="M4525" s="110" t="str">
        <f t="shared" si="714"/>
        <v/>
      </c>
      <c r="N4525" s="51" t="str">
        <f t="shared" si="715"/>
        <v/>
      </c>
      <c r="O4525" s="52" t="str">
        <f t="shared" si="716"/>
        <v/>
      </c>
      <c r="P4525" s="88">
        <f t="shared" si="717"/>
        <v>0</v>
      </c>
      <c r="Q4525" s="88">
        <f t="shared" si="718"/>
        <v>0</v>
      </c>
      <c r="R4525" s="88" t="e">
        <f>-IF(Tabla14[[#This Row],[DIAS HABILES O MORA]]&lt;0,(Tabla14[[#This Row],[VALOR PRESTAMO]]*Tabla14[[#This Row],[% INTERES ]]/30*U4525))+Tabla14[[#This Row],[VALOR CUOTAS]]</f>
        <v>#VALUE!</v>
      </c>
      <c r="S4525" s="88">
        <f>-IF(Tabla14[[#This Row],[DIAS HABILES O MORA]]&lt;0,(Tabla14[[#This Row],[VALOR PRESTAMO]]*Tabla14[[#This Row],[% INTERES ]]/30*U4525))</f>
        <v>0</v>
      </c>
      <c r="T4525" s="53" t="e">
        <f>Tabla14[[#This Row],[DEUDA CAPITAL]]+Tabla14[[#This Row],[INTERES  CUOTA]]</f>
        <v>#NUM!</v>
      </c>
      <c r="U4525" s="61" t="str">
        <f t="shared" si="719"/>
        <v/>
      </c>
    </row>
    <row r="4526" spans="9:21" ht="24.75" customHeight="1" x14ac:dyDescent="0.35">
      <c r="I4526" s="42">
        <f t="shared" si="710"/>
        <v>0</v>
      </c>
      <c r="J4526" s="65" t="e">
        <f t="shared" si="711"/>
        <v>#NUM!</v>
      </c>
      <c r="K4526" s="83" t="e">
        <f t="shared" si="712"/>
        <v>#NUM!</v>
      </c>
      <c r="L4526" s="83">
        <f t="shared" si="713"/>
        <v>0</v>
      </c>
      <c r="M4526" s="110" t="str">
        <f t="shared" si="714"/>
        <v/>
      </c>
      <c r="N4526" s="51" t="str">
        <f t="shared" si="715"/>
        <v/>
      </c>
      <c r="O4526" s="52" t="str">
        <f t="shared" si="716"/>
        <v/>
      </c>
      <c r="P4526" s="88">
        <f t="shared" si="717"/>
        <v>0</v>
      </c>
      <c r="Q4526" s="88">
        <f t="shared" si="718"/>
        <v>0</v>
      </c>
      <c r="R4526" s="88" t="e">
        <f>-IF(Tabla14[[#This Row],[DIAS HABILES O MORA]]&lt;0,(Tabla14[[#This Row],[VALOR PRESTAMO]]*Tabla14[[#This Row],[% INTERES ]]/30*U4526))+Tabla14[[#This Row],[VALOR CUOTAS]]</f>
        <v>#VALUE!</v>
      </c>
      <c r="S4526" s="88">
        <f>-IF(Tabla14[[#This Row],[DIAS HABILES O MORA]]&lt;0,(Tabla14[[#This Row],[VALOR PRESTAMO]]*Tabla14[[#This Row],[% INTERES ]]/30*U4526))</f>
        <v>0</v>
      </c>
      <c r="T4526" s="53" t="e">
        <f>Tabla14[[#This Row],[DEUDA CAPITAL]]+Tabla14[[#This Row],[INTERES  CUOTA]]</f>
        <v>#NUM!</v>
      </c>
      <c r="U4526" s="61" t="str">
        <f t="shared" si="719"/>
        <v/>
      </c>
    </row>
    <row r="4527" spans="9:21" ht="24.75" customHeight="1" x14ac:dyDescent="0.35">
      <c r="I4527" s="42">
        <f t="shared" si="710"/>
        <v>0</v>
      </c>
      <c r="J4527" s="65" t="e">
        <f t="shared" si="711"/>
        <v>#NUM!</v>
      </c>
      <c r="K4527" s="83" t="e">
        <f t="shared" si="712"/>
        <v>#NUM!</v>
      </c>
      <c r="L4527" s="83">
        <f t="shared" si="713"/>
        <v>0</v>
      </c>
      <c r="M4527" s="110" t="str">
        <f t="shared" si="714"/>
        <v/>
      </c>
      <c r="N4527" s="51" t="str">
        <f t="shared" si="715"/>
        <v/>
      </c>
      <c r="O4527" s="52" t="str">
        <f t="shared" si="716"/>
        <v/>
      </c>
      <c r="P4527" s="88">
        <f t="shared" si="717"/>
        <v>0</v>
      </c>
      <c r="Q4527" s="88">
        <f t="shared" si="718"/>
        <v>0</v>
      </c>
      <c r="R4527" s="88" t="e">
        <f>-IF(Tabla14[[#This Row],[DIAS HABILES O MORA]]&lt;0,(Tabla14[[#This Row],[VALOR PRESTAMO]]*Tabla14[[#This Row],[% INTERES ]]/30*U4527))+Tabla14[[#This Row],[VALOR CUOTAS]]</f>
        <v>#VALUE!</v>
      </c>
      <c r="S4527" s="88">
        <f>-IF(Tabla14[[#This Row],[DIAS HABILES O MORA]]&lt;0,(Tabla14[[#This Row],[VALOR PRESTAMO]]*Tabla14[[#This Row],[% INTERES ]]/30*U4527))</f>
        <v>0</v>
      </c>
      <c r="T4527" s="53" t="e">
        <f>Tabla14[[#This Row],[DEUDA CAPITAL]]+Tabla14[[#This Row],[INTERES  CUOTA]]</f>
        <v>#NUM!</v>
      </c>
      <c r="U4527" s="61" t="str">
        <f t="shared" si="719"/>
        <v/>
      </c>
    </row>
    <row r="4528" spans="9:21" ht="24.75" customHeight="1" x14ac:dyDescent="0.35">
      <c r="I4528" s="42">
        <f t="shared" si="710"/>
        <v>0</v>
      </c>
      <c r="J4528" s="65" t="e">
        <f t="shared" si="711"/>
        <v>#NUM!</v>
      </c>
      <c r="K4528" s="83" t="e">
        <f t="shared" si="712"/>
        <v>#NUM!</v>
      </c>
      <c r="L4528" s="83">
        <f t="shared" si="713"/>
        <v>0</v>
      </c>
      <c r="M4528" s="110" t="str">
        <f t="shared" si="714"/>
        <v/>
      </c>
      <c r="N4528" s="51" t="str">
        <f t="shared" si="715"/>
        <v/>
      </c>
      <c r="O4528" s="52" t="str">
        <f t="shared" si="716"/>
        <v/>
      </c>
      <c r="P4528" s="88">
        <f t="shared" si="717"/>
        <v>0</v>
      </c>
      <c r="Q4528" s="88">
        <f t="shared" si="718"/>
        <v>0</v>
      </c>
      <c r="R4528" s="88" t="e">
        <f>-IF(Tabla14[[#This Row],[DIAS HABILES O MORA]]&lt;0,(Tabla14[[#This Row],[VALOR PRESTAMO]]*Tabla14[[#This Row],[% INTERES ]]/30*U4528))+Tabla14[[#This Row],[VALOR CUOTAS]]</f>
        <v>#VALUE!</v>
      </c>
      <c r="S4528" s="88">
        <f>-IF(Tabla14[[#This Row],[DIAS HABILES O MORA]]&lt;0,(Tabla14[[#This Row],[VALOR PRESTAMO]]*Tabla14[[#This Row],[% INTERES ]]/30*U4528))</f>
        <v>0</v>
      </c>
      <c r="T4528" s="53" t="e">
        <f>Tabla14[[#This Row],[DEUDA CAPITAL]]+Tabla14[[#This Row],[INTERES  CUOTA]]</f>
        <v>#NUM!</v>
      </c>
      <c r="U4528" s="61" t="str">
        <f t="shared" si="719"/>
        <v/>
      </c>
    </row>
    <row r="4529" spans="9:21" ht="24.75" customHeight="1" x14ac:dyDescent="0.35">
      <c r="I4529" s="42">
        <f t="shared" si="710"/>
        <v>0</v>
      </c>
      <c r="J4529" s="65" t="e">
        <f t="shared" si="711"/>
        <v>#NUM!</v>
      </c>
      <c r="K4529" s="83" t="e">
        <f t="shared" si="712"/>
        <v>#NUM!</v>
      </c>
      <c r="L4529" s="83">
        <f t="shared" si="713"/>
        <v>0</v>
      </c>
      <c r="M4529" s="110" t="str">
        <f t="shared" si="714"/>
        <v/>
      </c>
      <c r="N4529" s="51" t="str">
        <f t="shared" si="715"/>
        <v/>
      </c>
      <c r="O4529" s="52" t="str">
        <f t="shared" si="716"/>
        <v/>
      </c>
      <c r="P4529" s="88">
        <f t="shared" si="717"/>
        <v>0</v>
      </c>
      <c r="Q4529" s="88">
        <f t="shared" si="718"/>
        <v>0</v>
      </c>
      <c r="R4529" s="88" t="e">
        <f>-IF(Tabla14[[#This Row],[DIAS HABILES O MORA]]&lt;0,(Tabla14[[#This Row],[VALOR PRESTAMO]]*Tabla14[[#This Row],[% INTERES ]]/30*U4529))+Tabla14[[#This Row],[VALOR CUOTAS]]</f>
        <v>#VALUE!</v>
      </c>
      <c r="S4529" s="88">
        <f>-IF(Tabla14[[#This Row],[DIAS HABILES O MORA]]&lt;0,(Tabla14[[#This Row],[VALOR PRESTAMO]]*Tabla14[[#This Row],[% INTERES ]]/30*U4529))</f>
        <v>0</v>
      </c>
      <c r="T4529" s="53" t="e">
        <f>Tabla14[[#This Row],[DEUDA CAPITAL]]+Tabla14[[#This Row],[INTERES  CUOTA]]</f>
        <v>#NUM!</v>
      </c>
      <c r="U4529" s="61" t="str">
        <f t="shared" si="719"/>
        <v/>
      </c>
    </row>
    <row r="4530" spans="9:21" ht="24.75" customHeight="1" x14ac:dyDescent="0.35">
      <c r="I4530" s="42">
        <f t="shared" si="710"/>
        <v>0</v>
      </c>
      <c r="J4530" s="65" t="e">
        <f t="shared" si="711"/>
        <v>#NUM!</v>
      </c>
      <c r="K4530" s="83" t="e">
        <f t="shared" si="712"/>
        <v>#NUM!</v>
      </c>
      <c r="L4530" s="83">
        <f t="shared" si="713"/>
        <v>0</v>
      </c>
      <c r="M4530" s="110" t="str">
        <f t="shared" si="714"/>
        <v/>
      </c>
      <c r="N4530" s="51" t="str">
        <f t="shared" si="715"/>
        <v/>
      </c>
      <c r="O4530" s="52" t="str">
        <f t="shared" si="716"/>
        <v/>
      </c>
      <c r="P4530" s="88">
        <f t="shared" si="717"/>
        <v>0</v>
      </c>
      <c r="Q4530" s="88">
        <f t="shared" si="718"/>
        <v>0</v>
      </c>
      <c r="R4530" s="88" t="e">
        <f>-IF(Tabla14[[#This Row],[DIAS HABILES O MORA]]&lt;0,(Tabla14[[#This Row],[VALOR PRESTAMO]]*Tabla14[[#This Row],[% INTERES ]]/30*U4530))+Tabla14[[#This Row],[VALOR CUOTAS]]</f>
        <v>#VALUE!</v>
      </c>
      <c r="S4530" s="88">
        <f>-IF(Tabla14[[#This Row],[DIAS HABILES O MORA]]&lt;0,(Tabla14[[#This Row],[VALOR PRESTAMO]]*Tabla14[[#This Row],[% INTERES ]]/30*U4530))</f>
        <v>0</v>
      </c>
      <c r="T4530" s="53" t="e">
        <f>Tabla14[[#This Row],[DEUDA CAPITAL]]+Tabla14[[#This Row],[INTERES  CUOTA]]</f>
        <v>#NUM!</v>
      </c>
      <c r="U4530" s="61" t="str">
        <f t="shared" si="719"/>
        <v/>
      </c>
    </row>
    <row r="4531" spans="9:21" ht="24.75" customHeight="1" x14ac:dyDescent="0.35">
      <c r="I4531" s="42">
        <f t="shared" si="710"/>
        <v>0</v>
      </c>
      <c r="J4531" s="65" t="e">
        <f t="shared" si="711"/>
        <v>#NUM!</v>
      </c>
      <c r="K4531" s="83" t="e">
        <f t="shared" si="712"/>
        <v>#NUM!</v>
      </c>
      <c r="L4531" s="83">
        <f t="shared" si="713"/>
        <v>0</v>
      </c>
      <c r="M4531" s="110" t="str">
        <f t="shared" si="714"/>
        <v/>
      </c>
      <c r="N4531" s="51" t="str">
        <f t="shared" si="715"/>
        <v/>
      </c>
      <c r="O4531" s="52" t="str">
        <f t="shared" si="716"/>
        <v/>
      </c>
      <c r="P4531" s="88">
        <f t="shared" si="717"/>
        <v>0</v>
      </c>
      <c r="Q4531" s="88">
        <f t="shared" si="718"/>
        <v>0</v>
      </c>
      <c r="R4531" s="88" t="e">
        <f>-IF(Tabla14[[#This Row],[DIAS HABILES O MORA]]&lt;0,(Tabla14[[#This Row],[VALOR PRESTAMO]]*Tabla14[[#This Row],[% INTERES ]]/30*U4531))+Tabla14[[#This Row],[VALOR CUOTAS]]</f>
        <v>#VALUE!</v>
      </c>
      <c r="S4531" s="88">
        <f>-IF(Tabla14[[#This Row],[DIAS HABILES O MORA]]&lt;0,(Tabla14[[#This Row],[VALOR PRESTAMO]]*Tabla14[[#This Row],[% INTERES ]]/30*U4531))</f>
        <v>0</v>
      </c>
      <c r="T4531" s="53" t="e">
        <f>Tabla14[[#This Row],[DEUDA CAPITAL]]+Tabla14[[#This Row],[INTERES  CUOTA]]</f>
        <v>#NUM!</v>
      </c>
      <c r="U4531" s="61" t="str">
        <f t="shared" si="719"/>
        <v/>
      </c>
    </row>
    <row r="4532" spans="9:21" ht="24.75" customHeight="1" x14ac:dyDescent="0.35">
      <c r="I4532" s="42">
        <f t="shared" si="710"/>
        <v>0</v>
      </c>
      <c r="J4532" s="65" t="e">
        <f t="shared" si="711"/>
        <v>#NUM!</v>
      </c>
      <c r="K4532" s="83" t="e">
        <f t="shared" si="712"/>
        <v>#NUM!</v>
      </c>
      <c r="L4532" s="83">
        <f t="shared" si="713"/>
        <v>0</v>
      </c>
      <c r="M4532" s="110" t="str">
        <f t="shared" si="714"/>
        <v/>
      </c>
      <c r="N4532" s="51" t="str">
        <f t="shared" si="715"/>
        <v/>
      </c>
      <c r="O4532" s="52" t="str">
        <f t="shared" si="716"/>
        <v/>
      </c>
      <c r="P4532" s="88">
        <f t="shared" si="717"/>
        <v>0</v>
      </c>
      <c r="Q4532" s="88">
        <f t="shared" si="718"/>
        <v>0</v>
      </c>
      <c r="R4532" s="88" t="e">
        <f>-IF(Tabla14[[#This Row],[DIAS HABILES O MORA]]&lt;0,(Tabla14[[#This Row],[VALOR PRESTAMO]]*Tabla14[[#This Row],[% INTERES ]]/30*U4532))+Tabla14[[#This Row],[VALOR CUOTAS]]</f>
        <v>#VALUE!</v>
      </c>
      <c r="S4532" s="88">
        <f>-IF(Tabla14[[#This Row],[DIAS HABILES O MORA]]&lt;0,(Tabla14[[#This Row],[VALOR PRESTAMO]]*Tabla14[[#This Row],[% INTERES ]]/30*U4532))</f>
        <v>0</v>
      </c>
      <c r="T4532" s="53" t="e">
        <f>Tabla14[[#This Row],[DEUDA CAPITAL]]+Tabla14[[#This Row],[INTERES  CUOTA]]</f>
        <v>#NUM!</v>
      </c>
      <c r="U4532" s="61" t="str">
        <f t="shared" si="719"/>
        <v/>
      </c>
    </row>
    <row r="4533" spans="9:21" ht="24.75" customHeight="1" x14ac:dyDescent="0.35">
      <c r="I4533" s="42">
        <f t="shared" si="710"/>
        <v>0</v>
      </c>
      <c r="J4533" s="65" t="e">
        <f t="shared" si="711"/>
        <v>#NUM!</v>
      </c>
      <c r="K4533" s="83" t="e">
        <f t="shared" si="712"/>
        <v>#NUM!</v>
      </c>
      <c r="L4533" s="83">
        <f t="shared" si="713"/>
        <v>0</v>
      </c>
      <c r="M4533" s="110" t="str">
        <f t="shared" si="714"/>
        <v/>
      </c>
      <c r="N4533" s="51" t="str">
        <f t="shared" si="715"/>
        <v/>
      </c>
      <c r="O4533" s="52" t="str">
        <f t="shared" si="716"/>
        <v/>
      </c>
      <c r="P4533" s="88">
        <f t="shared" si="717"/>
        <v>0</v>
      </c>
      <c r="Q4533" s="88">
        <f t="shared" si="718"/>
        <v>0</v>
      </c>
      <c r="R4533" s="88" t="e">
        <f>-IF(Tabla14[[#This Row],[DIAS HABILES O MORA]]&lt;0,(Tabla14[[#This Row],[VALOR PRESTAMO]]*Tabla14[[#This Row],[% INTERES ]]/30*U4533))+Tabla14[[#This Row],[VALOR CUOTAS]]</f>
        <v>#VALUE!</v>
      </c>
      <c r="S4533" s="88">
        <f>-IF(Tabla14[[#This Row],[DIAS HABILES O MORA]]&lt;0,(Tabla14[[#This Row],[VALOR PRESTAMO]]*Tabla14[[#This Row],[% INTERES ]]/30*U4533))</f>
        <v>0</v>
      </c>
      <c r="T4533" s="53" t="e">
        <f>Tabla14[[#This Row],[DEUDA CAPITAL]]+Tabla14[[#This Row],[INTERES  CUOTA]]</f>
        <v>#NUM!</v>
      </c>
      <c r="U4533" s="61" t="str">
        <f t="shared" si="719"/>
        <v/>
      </c>
    </row>
    <row r="4534" spans="9:21" ht="24.75" customHeight="1" x14ac:dyDescent="0.35">
      <c r="I4534" s="42">
        <f t="shared" si="710"/>
        <v>0</v>
      </c>
      <c r="J4534" s="65" t="e">
        <f t="shared" si="711"/>
        <v>#NUM!</v>
      </c>
      <c r="K4534" s="83" t="e">
        <f t="shared" si="712"/>
        <v>#NUM!</v>
      </c>
      <c r="L4534" s="83">
        <f t="shared" si="713"/>
        <v>0</v>
      </c>
      <c r="M4534" s="110" t="str">
        <f t="shared" si="714"/>
        <v/>
      </c>
      <c r="N4534" s="51" t="str">
        <f t="shared" si="715"/>
        <v/>
      </c>
      <c r="O4534" s="52" t="str">
        <f t="shared" si="716"/>
        <v/>
      </c>
      <c r="P4534" s="88">
        <f t="shared" si="717"/>
        <v>0</v>
      </c>
      <c r="Q4534" s="88">
        <f t="shared" si="718"/>
        <v>0</v>
      </c>
      <c r="R4534" s="88" t="e">
        <f>-IF(Tabla14[[#This Row],[DIAS HABILES O MORA]]&lt;0,(Tabla14[[#This Row],[VALOR PRESTAMO]]*Tabla14[[#This Row],[% INTERES ]]/30*U4534))+Tabla14[[#This Row],[VALOR CUOTAS]]</f>
        <v>#VALUE!</v>
      </c>
      <c r="S4534" s="88">
        <f>-IF(Tabla14[[#This Row],[DIAS HABILES O MORA]]&lt;0,(Tabla14[[#This Row],[VALOR PRESTAMO]]*Tabla14[[#This Row],[% INTERES ]]/30*U4534))</f>
        <v>0</v>
      </c>
      <c r="T4534" s="53" t="e">
        <f>Tabla14[[#This Row],[DEUDA CAPITAL]]+Tabla14[[#This Row],[INTERES  CUOTA]]</f>
        <v>#NUM!</v>
      </c>
      <c r="U4534" s="61" t="str">
        <f t="shared" si="719"/>
        <v/>
      </c>
    </row>
    <row r="4535" spans="9:21" ht="24.75" customHeight="1" x14ac:dyDescent="0.35">
      <c r="I4535" s="42">
        <f t="shared" si="710"/>
        <v>0</v>
      </c>
      <c r="J4535" s="65" t="e">
        <f t="shared" si="711"/>
        <v>#NUM!</v>
      </c>
      <c r="K4535" s="83" t="e">
        <f t="shared" si="712"/>
        <v>#NUM!</v>
      </c>
      <c r="L4535" s="83">
        <f t="shared" si="713"/>
        <v>0</v>
      </c>
      <c r="M4535" s="110" t="str">
        <f t="shared" si="714"/>
        <v/>
      </c>
      <c r="N4535" s="51" t="str">
        <f t="shared" si="715"/>
        <v/>
      </c>
      <c r="O4535" s="52" t="str">
        <f t="shared" si="716"/>
        <v/>
      </c>
      <c r="P4535" s="88">
        <f t="shared" si="717"/>
        <v>0</v>
      </c>
      <c r="Q4535" s="88">
        <f t="shared" si="718"/>
        <v>0</v>
      </c>
      <c r="R4535" s="88" t="e">
        <f>-IF(Tabla14[[#This Row],[DIAS HABILES O MORA]]&lt;0,(Tabla14[[#This Row],[VALOR PRESTAMO]]*Tabla14[[#This Row],[% INTERES ]]/30*U4535))+Tabla14[[#This Row],[VALOR CUOTAS]]</f>
        <v>#VALUE!</v>
      </c>
      <c r="S4535" s="88">
        <f>-IF(Tabla14[[#This Row],[DIAS HABILES O MORA]]&lt;0,(Tabla14[[#This Row],[VALOR PRESTAMO]]*Tabla14[[#This Row],[% INTERES ]]/30*U4535))</f>
        <v>0</v>
      </c>
      <c r="T4535" s="53" t="e">
        <f>Tabla14[[#This Row],[DEUDA CAPITAL]]+Tabla14[[#This Row],[INTERES  CUOTA]]</f>
        <v>#NUM!</v>
      </c>
      <c r="U4535" s="61" t="str">
        <f t="shared" si="719"/>
        <v/>
      </c>
    </row>
    <row r="4536" spans="9:21" ht="24.75" customHeight="1" x14ac:dyDescent="0.35">
      <c r="I4536" s="42">
        <f t="shared" si="710"/>
        <v>0</v>
      </c>
      <c r="J4536" s="65" t="e">
        <f t="shared" si="711"/>
        <v>#NUM!</v>
      </c>
      <c r="K4536" s="83" t="e">
        <f t="shared" si="712"/>
        <v>#NUM!</v>
      </c>
      <c r="L4536" s="83">
        <f t="shared" si="713"/>
        <v>0</v>
      </c>
      <c r="M4536" s="110" t="str">
        <f t="shared" si="714"/>
        <v/>
      </c>
      <c r="N4536" s="51" t="str">
        <f t="shared" si="715"/>
        <v/>
      </c>
      <c r="O4536" s="52" t="str">
        <f t="shared" si="716"/>
        <v/>
      </c>
      <c r="P4536" s="88">
        <f t="shared" si="717"/>
        <v>0</v>
      </c>
      <c r="Q4536" s="88">
        <f t="shared" si="718"/>
        <v>0</v>
      </c>
      <c r="R4536" s="88" t="e">
        <f>-IF(Tabla14[[#This Row],[DIAS HABILES O MORA]]&lt;0,(Tabla14[[#This Row],[VALOR PRESTAMO]]*Tabla14[[#This Row],[% INTERES ]]/30*U4536))+Tabla14[[#This Row],[VALOR CUOTAS]]</f>
        <v>#VALUE!</v>
      </c>
      <c r="S4536" s="88">
        <f>-IF(Tabla14[[#This Row],[DIAS HABILES O MORA]]&lt;0,(Tabla14[[#This Row],[VALOR PRESTAMO]]*Tabla14[[#This Row],[% INTERES ]]/30*U4536))</f>
        <v>0</v>
      </c>
      <c r="T4536" s="53" t="e">
        <f>Tabla14[[#This Row],[DEUDA CAPITAL]]+Tabla14[[#This Row],[INTERES  CUOTA]]</f>
        <v>#NUM!</v>
      </c>
      <c r="U4536" s="61" t="str">
        <f t="shared" si="719"/>
        <v/>
      </c>
    </row>
    <row r="4537" spans="9:21" ht="24.75" customHeight="1" x14ac:dyDescent="0.35">
      <c r="I4537" s="42">
        <f t="shared" si="710"/>
        <v>0</v>
      </c>
      <c r="J4537" s="65" t="e">
        <f t="shared" si="711"/>
        <v>#NUM!</v>
      </c>
      <c r="K4537" s="83" t="e">
        <f t="shared" si="712"/>
        <v>#NUM!</v>
      </c>
      <c r="L4537" s="83">
        <f t="shared" si="713"/>
        <v>0</v>
      </c>
      <c r="M4537" s="110" t="str">
        <f t="shared" si="714"/>
        <v/>
      </c>
      <c r="N4537" s="51" t="str">
        <f t="shared" si="715"/>
        <v/>
      </c>
      <c r="O4537" s="52" t="str">
        <f t="shared" si="716"/>
        <v/>
      </c>
      <c r="P4537" s="88">
        <f t="shared" si="717"/>
        <v>0</v>
      </c>
      <c r="Q4537" s="88">
        <f t="shared" si="718"/>
        <v>0</v>
      </c>
      <c r="R4537" s="88" t="e">
        <f>-IF(Tabla14[[#This Row],[DIAS HABILES O MORA]]&lt;0,(Tabla14[[#This Row],[VALOR PRESTAMO]]*Tabla14[[#This Row],[% INTERES ]]/30*U4537))+Tabla14[[#This Row],[VALOR CUOTAS]]</f>
        <v>#VALUE!</v>
      </c>
      <c r="S4537" s="88">
        <f>-IF(Tabla14[[#This Row],[DIAS HABILES O MORA]]&lt;0,(Tabla14[[#This Row],[VALOR PRESTAMO]]*Tabla14[[#This Row],[% INTERES ]]/30*U4537))</f>
        <v>0</v>
      </c>
      <c r="T4537" s="53" t="e">
        <f>Tabla14[[#This Row],[DEUDA CAPITAL]]+Tabla14[[#This Row],[INTERES  CUOTA]]</f>
        <v>#NUM!</v>
      </c>
      <c r="U4537" s="61" t="str">
        <f t="shared" si="719"/>
        <v/>
      </c>
    </row>
    <row r="4538" spans="9:21" ht="24.75" customHeight="1" x14ac:dyDescent="0.35">
      <c r="I4538" s="42">
        <f t="shared" si="710"/>
        <v>0</v>
      </c>
      <c r="J4538" s="65" t="e">
        <f t="shared" si="711"/>
        <v>#NUM!</v>
      </c>
      <c r="K4538" s="83" t="e">
        <f t="shared" si="712"/>
        <v>#NUM!</v>
      </c>
      <c r="L4538" s="83">
        <f t="shared" si="713"/>
        <v>0</v>
      </c>
      <c r="M4538" s="110" t="str">
        <f t="shared" si="714"/>
        <v/>
      </c>
      <c r="N4538" s="51" t="str">
        <f t="shared" si="715"/>
        <v/>
      </c>
      <c r="O4538" s="52" t="str">
        <f t="shared" si="716"/>
        <v/>
      </c>
      <c r="P4538" s="88">
        <f t="shared" si="717"/>
        <v>0</v>
      </c>
      <c r="Q4538" s="88">
        <f t="shared" si="718"/>
        <v>0</v>
      </c>
      <c r="R4538" s="88" t="e">
        <f>-IF(Tabla14[[#This Row],[DIAS HABILES O MORA]]&lt;0,(Tabla14[[#This Row],[VALOR PRESTAMO]]*Tabla14[[#This Row],[% INTERES ]]/30*U4538))+Tabla14[[#This Row],[VALOR CUOTAS]]</f>
        <v>#VALUE!</v>
      </c>
      <c r="S4538" s="88">
        <f>-IF(Tabla14[[#This Row],[DIAS HABILES O MORA]]&lt;0,(Tabla14[[#This Row],[VALOR PRESTAMO]]*Tabla14[[#This Row],[% INTERES ]]/30*U4538))</f>
        <v>0</v>
      </c>
      <c r="T4538" s="53" t="e">
        <f>Tabla14[[#This Row],[DEUDA CAPITAL]]+Tabla14[[#This Row],[INTERES  CUOTA]]</f>
        <v>#NUM!</v>
      </c>
      <c r="U4538" s="61" t="str">
        <f t="shared" si="719"/>
        <v/>
      </c>
    </row>
    <row r="4539" spans="9:21" ht="24.75" customHeight="1" x14ac:dyDescent="0.35">
      <c r="I4539" s="42">
        <f t="shared" si="710"/>
        <v>0</v>
      </c>
      <c r="J4539" s="65" t="e">
        <f t="shared" si="711"/>
        <v>#NUM!</v>
      </c>
      <c r="K4539" s="83" t="e">
        <f t="shared" si="712"/>
        <v>#NUM!</v>
      </c>
      <c r="L4539" s="83">
        <f t="shared" si="713"/>
        <v>0</v>
      </c>
      <c r="M4539" s="110" t="str">
        <f t="shared" si="714"/>
        <v/>
      </c>
      <c r="N4539" s="51" t="str">
        <f t="shared" si="715"/>
        <v/>
      </c>
      <c r="O4539" s="52" t="str">
        <f t="shared" si="716"/>
        <v/>
      </c>
      <c r="P4539" s="88">
        <f t="shared" si="717"/>
        <v>0</v>
      </c>
      <c r="Q4539" s="88">
        <f t="shared" si="718"/>
        <v>0</v>
      </c>
      <c r="R4539" s="88" t="e">
        <f>-IF(Tabla14[[#This Row],[DIAS HABILES O MORA]]&lt;0,(Tabla14[[#This Row],[VALOR PRESTAMO]]*Tabla14[[#This Row],[% INTERES ]]/30*U4539))+Tabla14[[#This Row],[VALOR CUOTAS]]</f>
        <v>#VALUE!</v>
      </c>
      <c r="S4539" s="88">
        <f>-IF(Tabla14[[#This Row],[DIAS HABILES O MORA]]&lt;0,(Tabla14[[#This Row],[VALOR PRESTAMO]]*Tabla14[[#This Row],[% INTERES ]]/30*U4539))</f>
        <v>0</v>
      </c>
      <c r="T4539" s="53" t="e">
        <f>Tabla14[[#This Row],[DEUDA CAPITAL]]+Tabla14[[#This Row],[INTERES  CUOTA]]</f>
        <v>#NUM!</v>
      </c>
      <c r="U4539" s="61" t="str">
        <f t="shared" si="719"/>
        <v/>
      </c>
    </row>
    <row r="4540" spans="9:21" ht="24.75" customHeight="1" x14ac:dyDescent="0.35">
      <c r="I4540" s="42">
        <f t="shared" si="710"/>
        <v>0</v>
      </c>
      <c r="J4540" s="65" t="e">
        <f t="shared" si="711"/>
        <v>#NUM!</v>
      </c>
      <c r="K4540" s="83" t="e">
        <f t="shared" si="712"/>
        <v>#NUM!</v>
      </c>
      <c r="L4540" s="83">
        <f t="shared" si="713"/>
        <v>0</v>
      </c>
      <c r="M4540" s="110" t="str">
        <f t="shared" si="714"/>
        <v/>
      </c>
      <c r="N4540" s="51" t="str">
        <f t="shared" si="715"/>
        <v/>
      </c>
      <c r="O4540" s="52" t="str">
        <f t="shared" si="716"/>
        <v/>
      </c>
      <c r="P4540" s="88">
        <f t="shared" si="717"/>
        <v>0</v>
      </c>
      <c r="Q4540" s="88">
        <f t="shared" si="718"/>
        <v>0</v>
      </c>
      <c r="R4540" s="88" t="e">
        <f>-IF(Tabla14[[#This Row],[DIAS HABILES O MORA]]&lt;0,(Tabla14[[#This Row],[VALOR PRESTAMO]]*Tabla14[[#This Row],[% INTERES ]]/30*U4540))+Tabla14[[#This Row],[VALOR CUOTAS]]</f>
        <v>#VALUE!</v>
      </c>
      <c r="S4540" s="88">
        <f>-IF(Tabla14[[#This Row],[DIAS HABILES O MORA]]&lt;0,(Tabla14[[#This Row],[VALOR PRESTAMO]]*Tabla14[[#This Row],[% INTERES ]]/30*U4540))</f>
        <v>0</v>
      </c>
      <c r="T4540" s="53" t="e">
        <f>Tabla14[[#This Row],[DEUDA CAPITAL]]+Tabla14[[#This Row],[INTERES  CUOTA]]</f>
        <v>#NUM!</v>
      </c>
      <c r="U4540" s="61" t="str">
        <f t="shared" si="719"/>
        <v/>
      </c>
    </row>
    <row r="4541" spans="9:21" ht="24.75" customHeight="1" x14ac:dyDescent="0.35">
      <c r="I4541" s="42">
        <f t="shared" si="710"/>
        <v>0</v>
      </c>
      <c r="J4541" s="65" t="e">
        <f t="shared" si="711"/>
        <v>#NUM!</v>
      </c>
      <c r="K4541" s="83" t="e">
        <f t="shared" si="712"/>
        <v>#NUM!</v>
      </c>
      <c r="L4541" s="83">
        <f t="shared" si="713"/>
        <v>0</v>
      </c>
      <c r="M4541" s="110" t="str">
        <f t="shared" si="714"/>
        <v/>
      </c>
      <c r="N4541" s="51" t="str">
        <f t="shared" si="715"/>
        <v/>
      </c>
      <c r="O4541" s="52" t="str">
        <f t="shared" si="716"/>
        <v/>
      </c>
      <c r="P4541" s="88">
        <f t="shared" si="717"/>
        <v>0</v>
      </c>
      <c r="Q4541" s="88">
        <f t="shared" si="718"/>
        <v>0</v>
      </c>
      <c r="R4541" s="88" t="e">
        <f>-IF(Tabla14[[#This Row],[DIAS HABILES O MORA]]&lt;0,(Tabla14[[#This Row],[VALOR PRESTAMO]]*Tabla14[[#This Row],[% INTERES ]]/30*U4541))+Tabla14[[#This Row],[VALOR CUOTAS]]</f>
        <v>#VALUE!</v>
      </c>
      <c r="S4541" s="88">
        <f>-IF(Tabla14[[#This Row],[DIAS HABILES O MORA]]&lt;0,(Tabla14[[#This Row],[VALOR PRESTAMO]]*Tabla14[[#This Row],[% INTERES ]]/30*U4541))</f>
        <v>0</v>
      </c>
      <c r="T4541" s="53" t="e">
        <f>Tabla14[[#This Row],[DEUDA CAPITAL]]+Tabla14[[#This Row],[INTERES  CUOTA]]</f>
        <v>#NUM!</v>
      </c>
      <c r="U4541" s="61" t="str">
        <f t="shared" si="719"/>
        <v/>
      </c>
    </row>
    <row r="4542" spans="9:21" ht="24.75" customHeight="1" x14ac:dyDescent="0.35">
      <c r="I4542" s="42">
        <f t="shared" si="710"/>
        <v>0</v>
      </c>
      <c r="J4542" s="65" t="e">
        <f t="shared" si="711"/>
        <v>#NUM!</v>
      </c>
      <c r="K4542" s="83" t="e">
        <f t="shared" si="712"/>
        <v>#NUM!</v>
      </c>
      <c r="L4542" s="83">
        <f t="shared" si="713"/>
        <v>0</v>
      </c>
      <c r="M4542" s="110" t="str">
        <f t="shared" si="714"/>
        <v/>
      </c>
      <c r="N4542" s="51" t="str">
        <f t="shared" si="715"/>
        <v/>
      </c>
      <c r="O4542" s="52" t="str">
        <f t="shared" si="716"/>
        <v/>
      </c>
      <c r="P4542" s="88">
        <f t="shared" si="717"/>
        <v>0</v>
      </c>
      <c r="Q4542" s="88">
        <f t="shared" si="718"/>
        <v>0</v>
      </c>
      <c r="R4542" s="88" t="e">
        <f>-IF(Tabla14[[#This Row],[DIAS HABILES O MORA]]&lt;0,(Tabla14[[#This Row],[VALOR PRESTAMO]]*Tabla14[[#This Row],[% INTERES ]]/30*U4542))+Tabla14[[#This Row],[VALOR CUOTAS]]</f>
        <v>#VALUE!</v>
      </c>
      <c r="S4542" s="88">
        <f>-IF(Tabla14[[#This Row],[DIAS HABILES O MORA]]&lt;0,(Tabla14[[#This Row],[VALOR PRESTAMO]]*Tabla14[[#This Row],[% INTERES ]]/30*U4542))</f>
        <v>0</v>
      </c>
      <c r="T4542" s="53" t="e">
        <f>Tabla14[[#This Row],[DEUDA CAPITAL]]+Tabla14[[#This Row],[INTERES  CUOTA]]</f>
        <v>#NUM!</v>
      </c>
      <c r="U4542" s="61" t="str">
        <f t="shared" si="719"/>
        <v/>
      </c>
    </row>
    <row r="4543" spans="9:21" ht="24.75" customHeight="1" x14ac:dyDescent="0.35">
      <c r="I4543" s="42">
        <f t="shared" si="710"/>
        <v>0</v>
      </c>
      <c r="J4543" s="65" t="e">
        <f t="shared" si="711"/>
        <v>#NUM!</v>
      </c>
      <c r="K4543" s="83" t="e">
        <f t="shared" si="712"/>
        <v>#NUM!</v>
      </c>
      <c r="L4543" s="83">
        <f t="shared" si="713"/>
        <v>0</v>
      </c>
      <c r="M4543" s="110" t="str">
        <f t="shared" si="714"/>
        <v/>
      </c>
      <c r="N4543" s="51" t="str">
        <f t="shared" si="715"/>
        <v/>
      </c>
      <c r="O4543" s="52" t="str">
        <f t="shared" si="716"/>
        <v/>
      </c>
      <c r="P4543" s="88">
        <f t="shared" si="717"/>
        <v>0</v>
      </c>
      <c r="Q4543" s="88">
        <f t="shared" si="718"/>
        <v>0</v>
      </c>
      <c r="R4543" s="88" t="e">
        <f>-IF(Tabla14[[#This Row],[DIAS HABILES O MORA]]&lt;0,(Tabla14[[#This Row],[VALOR PRESTAMO]]*Tabla14[[#This Row],[% INTERES ]]/30*U4543))+Tabla14[[#This Row],[VALOR CUOTAS]]</f>
        <v>#VALUE!</v>
      </c>
      <c r="S4543" s="88">
        <f>-IF(Tabla14[[#This Row],[DIAS HABILES O MORA]]&lt;0,(Tabla14[[#This Row],[VALOR PRESTAMO]]*Tabla14[[#This Row],[% INTERES ]]/30*U4543))</f>
        <v>0</v>
      </c>
      <c r="T4543" s="53" t="e">
        <f>Tabla14[[#This Row],[DEUDA CAPITAL]]+Tabla14[[#This Row],[INTERES  CUOTA]]</f>
        <v>#NUM!</v>
      </c>
      <c r="U4543" s="61" t="str">
        <f t="shared" si="719"/>
        <v/>
      </c>
    </row>
    <row r="4544" spans="9:21" ht="24.75" customHeight="1" x14ac:dyDescent="0.35">
      <c r="I4544" s="42">
        <f t="shared" si="710"/>
        <v>0</v>
      </c>
      <c r="J4544" s="65" t="e">
        <f t="shared" si="711"/>
        <v>#NUM!</v>
      </c>
      <c r="K4544" s="83" t="e">
        <f t="shared" si="712"/>
        <v>#NUM!</v>
      </c>
      <c r="L4544" s="83">
        <f t="shared" si="713"/>
        <v>0</v>
      </c>
      <c r="M4544" s="110" t="str">
        <f t="shared" si="714"/>
        <v/>
      </c>
      <c r="N4544" s="51" t="str">
        <f t="shared" si="715"/>
        <v/>
      </c>
      <c r="O4544" s="52" t="str">
        <f t="shared" si="716"/>
        <v/>
      </c>
      <c r="P4544" s="88">
        <f t="shared" si="717"/>
        <v>0</v>
      </c>
      <c r="Q4544" s="88">
        <f t="shared" si="718"/>
        <v>0</v>
      </c>
      <c r="R4544" s="88" t="e">
        <f>-IF(Tabla14[[#This Row],[DIAS HABILES O MORA]]&lt;0,(Tabla14[[#This Row],[VALOR PRESTAMO]]*Tabla14[[#This Row],[% INTERES ]]/30*U4544))+Tabla14[[#This Row],[VALOR CUOTAS]]</f>
        <v>#VALUE!</v>
      </c>
      <c r="S4544" s="88">
        <f>-IF(Tabla14[[#This Row],[DIAS HABILES O MORA]]&lt;0,(Tabla14[[#This Row],[VALOR PRESTAMO]]*Tabla14[[#This Row],[% INTERES ]]/30*U4544))</f>
        <v>0</v>
      </c>
      <c r="T4544" s="53" t="e">
        <f>Tabla14[[#This Row],[DEUDA CAPITAL]]+Tabla14[[#This Row],[INTERES  CUOTA]]</f>
        <v>#NUM!</v>
      </c>
      <c r="U4544" s="61" t="str">
        <f t="shared" si="719"/>
        <v/>
      </c>
    </row>
    <row r="4545" spans="9:21" ht="24.75" customHeight="1" x14ac:dyDescent="0.35">
      <c r="I4545" s="42">
        <f t="shared" si="710"/>
        <v>0</v>
      </c>
      <c r="J4545" s="65" t="e">
        <f t="shared" si="711"/>
        <v>#NUM!</v>
      </c>
      <c r="K4545" s="83" t="e">
        <f t="shared" si="712"/>
        <v>#NUM!</v>
      </c>
      <c r="L4545" s="83">
        <f t="shared" si="713"/>
        <v>0</v>
      </c>
      <c r="M4545" s="110" t="str">
        <f t="shared" si="714"/>
        <v/>
      </c>
      <c r="N4545" s="51" t="str">
        <f t="shared" si="715"/>
        <v/>
      </c>
      <c r="O4545" s="52" t="str">
        <f t="shared" si="716"/>
        <v/>
      </c>
      <c r="P4545" s="88">
        <f t="shared" si="717"/>
        <v>0</v>
      </c>
      <c r="Q4545" s="88">
        <f t="shared" si="718"/>
        <v>0</v>
      </c>
      <c r="R4545" s="88" t="e">
        <f>-IF(Tabla14[[#This Row],[DIAS HABILES O MORA]]&lt;0,(Tabla14[[#This Row],[VALOR PRESTAMO]]*Tabla14[[#This Row],[% INTERES ]]/30*U4545))+Tabla14[[#This Row],[VALOR CUOTAS]]</f>
        <v>#VALUE!</v>
      </c>
      <c r="S4545" s="88">
        <f>-IF(Tabla14[[#This Row],[DIAS HABILES O MORA]]&lt;0,(Tabla14[[#This Row],[VALOR PRESTAMO]]*Tabla14[[#This Row],[% INTERES ]]/30*U4545))</f>
        <v>0</v>
      </c>
      <c r="T4545" s="53" t="e">
        <f>Tabla14[[#This Row],[DEUDA CAPITAL]]+Tabla14[[#This Row],[INTERES  CUOTA]]</f>
        <v>#NUM!</v>
      </c>
      <c r="U4545" s="61" t="str">
        <f t="shared" si="719"/>
        <v/>
      </c>
    </row>
    <row r="4546" spans="9:21" ht="24.75" customHeight="1" x14ac:dyDescent="0.35">
      <c r="I4546" s="42">
        <f t="shared" si="710"/>
        <v>0</v>
      </c>
      <c r="J4546" s="65" t="e">
        <f t="shared" si="711"/>
        <v>#NUM!</v>
      </c>
      <c r="K4546" s="83" t="e">
        <f t="shared" si="712"/>
        <v>#NUM!</v>
      </c>
      <c r="L4546" s="83">
        <f t="shared" si="713"/>
        <v>0</v>
      </c>
      <c r="M4546" s="110" t="str">
        <f t="shared" si="714"/>
        <v/>
      </c>
      <c r="N4546" s="51" t="str">
        <f t="shared" si="715"/>
        <v/>
      </c>
      <c r="O4546" s="52" t="str">
        <f t="shared" si="716"/>
        <v/>
      </c>
      <c r="P4546" s="88">
        <f t="shared" si="717"/>
        <v>0</v>
      </c>
      <c r="Q4546" s="88">
        <f t="shared" si="718"/>
        <v>0</v>
      </c>
      <c r="R4546" s="88" t="e">
        <f>-IF(Tabla14[[#This Row],[DIAS HABILES O MORA]]&lt;0,(Tabla14[[#This Row],[VALOR PRESTAMO]]*Tabla14[[#This Row],[% INTERES ]]/30*U4546))+Tabla14[[#This Row],[VALOR CUOTAS]]</f>
        <v>#VALUE!</v>
      </c>
      <c r="S4546" s="88">
        <f>-IF(Tabla14[[#This Row],[DIAS HABILES O MORA]]&lt;0,(Tabla14[[#This Row],[VALOR PRESTAMO]]*Tabla14[[#This Row],[% INTERES ]]/30*U4546))</f>
        <v>0</v>
      </c>
      <c r="T4546" s="53" t="e">
        <f>Tabla14[[#This Row],[DEUDA CAPITAL]]+Tabla14[[#This Row],[INTERES  CUOTA]]</f>
        <v>#NUM!</v>
      </c>
      <c r="U4546" s="61" t="str">
        <f t="shared" si="719"/>
        <v/>
      </c>
    </row>
    <row r="4547" spans="9:21" ht="24.75" customHeight="1" x14ac:dyDescent="0.35">
      <c r="I4547" s="42">
        <f t="shared" si="710"/>
        <v>0</v>
      </c>
      <c r="J4547" s="65" t="e">
        <f t="shared" si="711"/>
        <v>#NUM!</v>
      </c>
      <c r="K4547" s="83" t="e">
        <f t="shared" si="712"/>
        <v>#NUM!</v>
      </c>
      <c r="L4547" s="83">
        <f t="shared" si="713"/>
        <v>0</v>
      </c>
      <c r="M4547" s="110" t="str">
        <f t="shared" si="714"/>
        <v/>
      </c>
      <c r="N4547" s="51" t="str">
        <f t="shared" si="715"/>
        <v/>
      </c>
      <c r="O4547" s="52" t="str">
        <f t="shared" si="716"/>
        <v/>
      </c>
      <c r="P4547" s="88">
        <f t="shared" si="717"/>
        <v>0</v>
      </c>
      <c r="Q4547" s="88">
        <f t="shared" si="718"/>
        <v>0</v>
      </c>
      <c r="R4547" s="88" t="e">
        <f>-IF(Tabla14[[#This Row],[DIAS HABILES O MORA]]&lt;0,(Tabla14[[#This Row],[VALOR PRESTAMO]]*Tabla14[[#This Row],[% INTERES ]]/30*U4547))+Tabla14[[#This Row],[VALOR CUOTAS]]</f>
        <v>#VALUE!</v>
      </c>
      <c r="S4547" s="88">
        <f>-IF(Tabla14[[#This Row],[DIAS HABILES O MORA]]&lt;0,(Tabla14[[#This Row],[VALOR PRESTAMO]]*Tabla14[[#This Row],[% INTERES ]]/30*U4547))</f>
        <v>0</v>
      </c>
      <c r="T4547" s="53" t="e">
        <f>Tabla14[[#This Row],[DEUDA CAPITAL]]+Tabla14[[#This Row],[INTERES  CUOTA]]</f>
        <v>#NUM!</v>
      </c>
      <c r="U4547" s="61" t="str">
        <f t="shared" si="719"/>
        <v/>
      </c>
    </row>
    <row r="4548" spans="9:21" ht="24.75" customHeight="1" x14ac:dyDescent="0.35">
      <c r="I4548" s="42">
        <f t="shared" si="710"/>
        <v>0</v>
      </c>
      <c r="J4548" s="65" t="e">
        <f t="shared" si="711"/>
        <v>#NUM!</v>
      </c>
      <c r="K4548" s="83" t="e">
        <f t="shared" si="712"/>
        <v>#NUM!</v>
      </c>
      <c r="L4548" s="83">
        <f t="shared" si="713"/>
        <v>0</v>
      </c>
      <c r="M4548" s="110" t="str">
        <f t="shared" si="714"/>
        <v/>
      </c>
      <c r="N4548" s="51" t="str">
        <f t="shared" si="715"/>
        <v/>
      </c>
      <c r="O4548" s="52" t="str">
        <f t="shared" si="716"/>
        <v/>
      </c>
      <c r="P4548" s="88">
        <f t="shared" si="717"/>
        <v>0</v>
      </c>
      <c r="Q4548" s="88">
        <f t="shared" si="718"/>
        <v>0</v>
      </c>
      <c r="R4548" s="88" t="e">
        <f>-IF(Tabla14[[#This Row],[DIAS HABILES O MORA]]&lt;0,(Tabla14[[#This Row],[VALOR PRESTAMO]]*Tabla14[[#This Row],[% INTERES ]]/30*U4548))+Tabla14[[#This Row],[VALOR CUOTAS]]</f>
        <v>#VALUE!</v>
      </c>
      <c r="S4548" s="88">
        <f>-IF(Tabla14[[#This Row],[DIAS HABILES O MORA]]&lt;0,(Tabla14[[#This Row],[VALOR PRESTAMO]]*Tabla14[[#This Row],[% INTERES ]]/30*U4548))</f>
        <v>0</v>
      </c>
      <c r="T4548" s="53" t="e">
        <f>Tabla14[[#This Row],[DEUDA CAPITAL]]+Tabla14[[#This Row],[INTERES  CUOTA]]</f>
        <v>#NUM!</v>
      </c>
      <c r="U4548" s="61" t="str">
        <f t="shared" si="719"/>
        <v/>
      </c>
    </row>
    <row r="4549" spans="9:21" ht="24.75" customHeight="1" x14ac:dyDescent="0.35">
      <c r="I4549" s="42">
        <f t="shared" si="710"/>
        <v>0</v>
      </c>
      <c r="J4549" s="65" t="e">
        <f t="shared" si="711"/>
        <v>#NUM!</v>
      </c>
      <c r="K4549" s="83" t="e">
        <f t="shared" si="712"/>
        <v>#NUM!</v>
      </c>
      <c r="L4549" s="83">
        <f t="shared" si="713"/>
        <v>0</v>
      </c>
      <c r="M4549" s="110" t="str">
        <f t="shared" si="714"/>
        <v/>
      </c>
      <c r="N4549" s="51" t="str">
        <f t="shared" si="715"/>
        <v/>
      </c>
      <c r="O4549" s="52" t="str">
        <f t="shared" si="716"/>
        <v/>
      </c>
      <c r="P4549" s="88">
        <f t="shared" si="717"/>
        <v>0</v>
      </c>
      <c r="Q4549" s="88">
        <f t="shared" si="718"/>
        <v>0</v>
      </c>
      <c r="R4549" s="88" t="e">
        <f>-IF(Tabla14[[#This Row],[DIAS HABILES O MORA]]&lt;0,(Tabla14[[#This Row],[VALOR PRESTAMO]]*Tabla14[[#This Row],[% INTERES ]]/30*U4549))+Tabla14[[#This Row],[VALOR CUOTAS]]</f>
        <v>#VALUE!</v>
      </c>
      <c r="S4549" s="88">
        <f>-IF(Tabla14[[#This Row],[DIAS HABILES O MORA]]&lt;0,(Tabla14[[#This Row],[VALOR PRESTAMO]]*Tabla14[[#This Row],[% INTERES ]]/30*U4549))</f>
        <v>0</v>
      </c>
      <c r="T4549" s="53" t="e">
        <f>Tabla14[[#This Row],[DEUDA CAPITAL]]+Tabla14[[#This Row],[INTERES  CUOTA]]</f>
        <v>#NUM!</v>
      </c>
      <c r="U4549" s="61" t="str">
        <f t="shared" si="719"/>
        <v/>
      </c>
    </row>
    <row r="4550" spans="9:21" ht="24.75" customHeight="1" x14ac:dyDescent="0.35">
      <c r="I4550" s="42">
        <f t="shared" si="710"/>
        <v>0</v>
      </c>
      <c r="J4550" s="65" t="e">
        <f t="shared" si="711"/>
        <v>#NUM!</v>
      </c>
      <c r="K4550" s="83" t="e">
        <f t="shared" si="712"/>
        <v>#NUM!</v>
      </c>
      <c r="L4550" s="83">
        <f t="shared" si="713"/>
        <v>0</v>
      </c>
      <c r="M4550" s="110" t="str">
        <f t="shared" si="714"/>
        <v/>
      </c>
      <c r="N4550" s="51" t="str">
        <f t="shared" si="715"/>
        <v/>
      </c>
      <c r="O4550" s="52" t="str">
        <f t="shared" si="716"/>
        <v/>
      </c>
      <c r="P4550" s="88">
        <f t="shared" si="717"/>
        <v>0</v>
      </c>
      <c r="Q4550" s="88">
        <f t="shared" si="718"/>
        <v>0</v>
      </c>
      <c r="R4550" s="88" t="e">
        <f>-IF(Tabla14[[#This Row],[DIAS HABILES O MORA]]&lt;0,(Tabla14[[#This Row],[VALOR PRESTAMO]]*Tabla14[[#This Row],[% INTERES ]]/30*U4550))+Tabla14[[#This Row],[VALOR CUOTAS]]</f>
        <v>#VALUE!</v>
      </c>
      <c r="S4550" s="88">
        <f>-IF(Tabla14[[#This Row],[DIAS HABILES O MORA]]&lt;0,(Tabla14[[#This Row],[VALOR PRESTAMO]]*Tabla14[[#This Row],[% INTERES ]]/30*U4550))</f>
        <v>0</v>
      </c>
      <c r="T4550" s="53" t="e">
        <f>Tabla14[[#This Row],[DEUDA CAPITAL]]+Tabla14[[#This Row],[INTERES  CUOTA]]</f>
        <v>#NUM!</v>
      </c>
      <c r="U4550" s="61" t="str">
        <f t="shared" si="719"/>
        <v/>
      </c>
    </row>
    <row r="4551" spans="9:21" ht="24.75" customHeight="1" x14ac:dyDescent="0.35">
      <c r="I4551" s="42">
        <f t="shared" si="710"/>
        <v>0</v>
      </c>
      <c r="J4551" s="65" t="e">
        <f t="shared" si="711"/>
        <v>#NUM!</v>
      </c>
      <c r="K4551" s="83" t="e">
        <f t="shared" si="712"/>
        <v>#NUM!</v>
      </c>
      <c r="L4551" s="83">
        <f t="shared" si="713"/>
        <v>0</v>
      </c>
      <c r="M4551" s="110" t="str">
        <f t="shared" si="714"/>
        <v/>
      </c>
      <c r="N4551" s="51" t="str">
        <f t="shared" si="715"/>
        <v/>
      </c>
      <c r="O4551" s="52" t="str">
        <f t="shared" si="716"/>
        <v/>
      </c>
      <c r="P4551" s="88">
        <f t="shared" si="717"/>
        <v>0</v>
      </c>
      <c r="Q4551" s="88">
        <f t="shared" si="718"/>
        <v>0</v>
      </c>
      <c r="R4551" s="88" t="e">
        <f>-IF(Tabla14[[#This Row],[DIAS HABILES O MORA]]&lt;0,(Tabla14[[#This Row],[VALOR PRESTAMO]]*Tabla14[[#This Row],[% INTERES ]]/30*U4551))+Tabla14[[#This Row],[VALOR CUOTAS]]</f>
        <v>#VALUE!</v>
      </c>
      <c r="S4551" s="88">
        <f>-IF(Tabla14[[#This Row],[DIAS HABILES O MORA]]&lt;0,(Tabla14[[#This Row],[VALOR PRESTAMO]]*Tabla14[[#This Row],[% INTERES ]]/30*U4551))</f>
        <v>0</v>
      </c>
      <c r="T4551" s="53" t="e">
        <f>Tabla14[[#This Row],[DEUDA CAPITAL]]+Tabla14[[#This Row],[INTERES  CUOTA]]</f>
        <v>#NUM!</v>
      </c>
      <c r="U4551" s="61" t="str">
        <f t="shared" si="719"/>
        <v/>
      </c>
    </row>
    <row r="4552" spans="9:21" ht="24.75" customHeight="1" x14ac:dyDescent="0.35">
      <c r="I4552" s="42">
        <f t="shared" si="710"/>
        <v>0</v>
      </c>
      <c r="J4552" s="65" t="e">
        <f t="shared" si="711"/>
        <v>#NUM!</v>
      </c>
      <c r="K4552" s="83" t="e">
        <f t="shared" si="712"/>
        <v>#NUM!</v>
      </c>
      <c r="L4552" s="83">
        <f t="shared" si="713"/>
        <v>0</v>
      </c>
      <c r="M4552" s="110" t="str">
        <f t="shared" si="714"/>
        <v/>
      </c>
      <c r="N4552" s="51" t="str">
        <f t="shared" si="715"/>
        <v/>
      </c>
      <c r="O4552" s="52" t="str">
        <f t="shared" si="716"/>
        <v/>
      </c>
      <c r="P4552" s="88">
        <f t="shared" si="717"/>
        <v>0</v>
      </c>
      <c r="Q4552" s="88">
        <f t="shared" si="718"/>
        <v>0</v>
      </c>
      <c r="R4552" s="88" t="e">
        <f>-IF(Tabla14[[#This Row],[DIAS HABILES O MORA]]&lt;0,(Tabla14[[#This Row],[VALOR PRESTAMO]]*Tabla14[[#This Row],[% INTERES ]]/30*U4552))+Tabla14[[#This Row],[VALOR CUOTAS]]</f>
        <v>#VALUE!</v>
      </c>
      <c r="S4552" s="88">
        <f>-IF(Tabla14[[#This Row],[DIAS HABILES O MORA]]&lt;0,(Tabla14[[#This Row],[VALOR PRESTAMO]]*Tabla14[[#This Row],[% INTERES ]]/30*U4552))</f>
        <v>0</v>
      </c>
      <c r="T4552" s="53" t="e">
        <f>Tabla14[[#This Row],[DEUDA CAPITAL]]+Tabla14[[#This Row],[INTERES  CUOTA]]</f>
        <v>#NUM!</v>
      </c>
      <c r="U4552" s="61" t="str">
        <f t="shared" si="719"/>
        <v/>
      </c>
    </row>
    <row r="4553" spans="9:21" ht="24.75" customHeight="1" x14ac:dyDescent="0.35">
      <c r="I4553" s="42">
        <f t="shared" si="710"/>
        <v>0</v>
      </c>
      <c r="J4553" s="65" t="e">
        <f t="shared" si="711"/>
        <v>#NUM!</v>
      </c>
      <c r="K4553" s="83" t="e">
        <f t="shared" si="712"/>
        <v>#NUM!</v>
      </c>
      <c r="L4553" s="83">
        <f t="shared" si="713"/>
        <v>0</v>
      </c>
      <c r="M4553" s="110" t="str">
        <f t="shared" si="714"/>
        <v/>
      </c>
      <c r="N4553" s="51" t="str">
        <f t="shared" si="715"/>
        <v/>
      </c>
      <c r="O4553" s="52" t="str">
        <f t="shared" si="716"/>
        <v/>
      </c>
      <c r="P4553" s="88">
        <f t="shared" si="717"/>
        <v>0</v>
      </c>
      <c r="Q4553" s="88">
        <f t="shared" si="718"/>
        <v>0</v>
      </c>
      <c r="R4553" s="88" t="e">
        <f>-IF(Tabla14[[#This Row],[DIAS HABILES O MORA]]&lt;0,(Tabla14[[#This Row],[VALOR PRESTAMO]]*Tabla14[[#This Row],[% INTERES ]]/30*U4553))+Tabla14[[#This Row],[VALOR CUOTAS]]</f>
        <v>#VALUE!</v>
      </c>
      <c r="S4553" s="88">
        <f>-IF(Tabla14[[#This Row],[DIAS HABILES O MORA]]&lt;0,(Tabla14[[#This Row],[VALOR PRESTAMO]]*Tabla14[[#This Row],[% INTERES ]]/30*U4553))</f>
        <v>0</v>
      </c>
      <c r="T4553" s="53" t="e">
        <f>Tabla14[[#This Row],[DEUDA CAPITAL]]+Tabla14[[#This Row],[INTERES  CUOTA]]</f>
        <v>#NUM!</v>
      </c>
      <c r="U4553" s="61" t="str">
        <f t="shared" si="719"/>
        <v/>
      </c>
    </row>
    <row r="4554" spans="9:21" ht="24.75" customHeight="1" x14ac:dyDescent="0.35">
      <c r="I4554" s="42">
        <f t="shared" si="710"/>
        <v>0</v>
      </c>
      <c r="J4554" s="65" t="e">
        <f t="shared" si="711"/>
        <v>#NUM!</v>
      </c>
      <c r="K4554" s="83" t="e">
        <f t="shared" si="712"/>
        <v>#NUM!</v>
      </c>
      <c r="L4554" s="83">
        <f t="shared" si="713"/>
        <v>0</v>
      </c>
      <c r="M4554" s="110" t="str">
        <f t="shared" si="714"/>
        <v/>
      </c>
      <c r="N4554" s="51" t="str">
        <f t="shared" si="715"/>
        <v/>
      </c>
      <c r="O4554" s="52" t="str">
        <f t="shared" si="716"/>
        <v/>
      </c>
      <c r="P4554" s="88">
        <f t="shared" si="717"/>
        <v>0</v>
      </c>
      <c r="Q4554" s="88">
        <f t="shared" si="718"/>
        <v>0</v>
      </c>
      <c r="R4554" s="88" t="e">
        <f>-IF(Tabla14[[#This Row],[DIAS HABILES O MORA]]&lt;0,(Tabla14[[#This Row],[VALOR PRESTAMO]]*Tabla14[[#This Row],[% INTERES ]]/30*U4554))+Tabla14[[#This Row],[VALOR CUOTAS]]</f>
        <v>#VALUE!</v>
      </c>
      <c r="S4554" s="88">
        <f>-IF(Tabla14[[#This Row],[DIAS HABILES O MORA]]&lt;0,(Tabla14[[#This Row],[VALOR PRESTAMO]]*Tabla14[[#This Row],[% INTERES ]]/30*U4554))</f>
        <v>0</v>
      </c>
      <c r="T4554" s="53" t="e">
        <f>Tabla14[[#This Row],[DEUDA CAPITAL]]+Tabla14[[#This Row],[INTERES  CUOTA]]</f>
        <v>#NUM!</v>
      </c>
      <c r="U4554" s="61" t="str">
        <f t="shared" si="719"/>
        <v/>
      </c>
    </row>
    <row r="4555" spans="9:21" ht="24.75" customHeight="1" x14ac:dyDescent="0.35">
      <c r="I4555" s="42">
        <f t="shared" si="710"/>
        <v>0</v>
      </c>
      <c r="J4555" s="65" t="e">
        <f t="shared" si="711"/>
        <v>#NUM!</v>
      </c>
      <c r="K4555" s="83" t="e">
        <f t="shared" si="712"/>
        <v>#NUM!</v>
      </c>
      <c r="L4555" s="83">
        <f t="shared" si="713"/>
        <v>0</v>
      </c>
      <c r="M4555" s="110" t="str">
        <f t="shared" si="714"/>
        <v/>
      </c>
      <c r="N4555" s="51" t="str">
        <f t="shared" si="715"/>
        <v/>
      </c>
      <c r="O4555" s="52" t="str">
        <f t="shared" si="716"/>
        <v/>
      </c>
      <c r="P4555" s="88">
        <f t="shared" si="717"/>
        <v>0</v>
      </c>
      <c r="Q4555" s="88">
        <f t="shared" si="718"/>
        <v>0</v>
      </c>
      <c r="R4555" s="88" t="e">
        <f>-IF(Tabla14[[#This Row],[DIAS HABILES O MORA]]&lt;0,(Tabla14[[#This Row],[VALOR PRESTAMO]]*Tabla14[[#This Row],[% INTERES ]]/30*U4555))+Tabla14[[#This Row],[VALOR CUOTAS]]</f>
        <v>#VALUE!</v>
      </c>
      <c r="S4555" s="88">
        <f>-IF(Tabla14[[#This Row],[DIAS HABILES O MORA]]&lt;0,(Tabla14[[#This Row],[VALOR PRESTAMO]]*Tabla14[[#This Row],[% INTERES ]]/30*U4555))</f>
        <v>0</v>
      </c>
      <c r="T4555" s="53" t="e">
        <f>Tabla14[[#This Row],[DEUDA CAPITAL]]+Tabla14[[#This Row],[INTERES  CUOTA]]</f>
        <v>#NUM!</v>
      </c>
      <c r="U4555" s="61" t="str">
        <f t="shared" si="719"/>
        <v/>
      </c>
    </row>
    <row r="4556" spans="9:21" ht="24.75" customHeight="1" x14ac:dyDescent="0.35">
      <c r="I4556" s="42">
        <f t="shared" si="710"/>
        <v>0</v>
      </c>
      <c r="J4556" s="65" t="e">
        <f t="shared" si="711"/>
        <v>#NUM!</v>
      </c>
      <c r="K4556" s="83" t="e">
        <f t="shared" si="712"/>
        <v>#NUM!</v>
      </c>
      <c r="L4556" s="83">
        <f t="shared" si="713"/>
        <v>0</v>
      </c>
      <c r="M4556" s="110" t="str">
        <f t="shared" si="714"/>
        <v/>
      </c>
      <c r="N4556" s="51" t="str">
        <f t="shared" si="715"/>
        <v/>
      </c>
      <c r="O4556" s="52" t="str">
        <f t="shared" si="716"/>
        <v/>
      </c>
      <c r="P4556" s="88">
        <f t="shared" si="717"/>
        <v>0</v>
      </c>
      <c r="Q4556" s="88">
        <f t="shared" si="718"/>
        <v>0</v>
      </c>
      <c r="R4556" s="88" t="e">
        <f>-IF(Tabla14[[#This Row],[DIAS HABILES O MORA]]&lt;0,(Tabla14[[#This Row],[VALOR PRESTAMO]]*Tabla14[[#This Row],[% INTERES ]]/30*U4556))+Tabla14[[#This Row],[VALOR CUOTAS]]</f>
        <v>#VALUE!</v>
      </c>
      <c r="S4556" s="88">
        <f>-IF(Tabla14[[#This Row],[DIAS HABILES O MORA]]&lt;0,(Tabla14[[#This Row],[VALOR PRESTAMO]]*Tabla14[[#This Row],[% INTERES ]]/30*U4556))</f>
        <v>0</v>
      </c>
      <c r="T4556" s="53" t="e">
        <f>Tabla14[[#This Row],[DEUDA CAPITAL]]+Tabla14[[#This Row],[INTERES  CUOTA]]</f>
        <v>#NUM!</v>
      </c>
      <c r="U4556" s="61" t="str">
        <f t="shared" si="719"/>
        <v/>
      </c>
    </row>
    <row r="4557" spans="9:21" ht="24.75" customHeight="1" x14ac:dyDescent="0.35">
      <c r="I4557" s="42">
        <f t="shared" si="710"/>
        <v>0</v>
      </c>
      <c r="J4557" s="65" t="e">
        <f t="shared" si="711"/>
        <v>#NUM!</v>
      </c>
      <c r="K4557" s="83" t="e">
        <f t="shared" si="712"/>
        <v>#NUM!</v>
      </c>
      <c r="L4557" s="83">
        <f t="shared" si="713"/>
        <v>0</v>
      </c>
      <c r="M4557" s="110" t="str">
        <f t="shared" si="714"/>
        <v/>
      </c>
      <c r="N4557" s="51" t="str">
        <f t="shared" si="715"/>
        <v/>
      </c>
      <c r="O4557" s="52" t="str">
        <f t="shared" si="716"/>
        <v/>
      </c>
      <c r="P4557" s="88">
        <f t="shared" si="717"/>
        <v>0</v>
      </c>
      <c r="Q4557" s="88">
        <f t="shared" si="718"/>
        <v>0</v>
      </c>
      <c r="R4557" s="88" t="e">
        <f>-IF(Tabla14[[#This Row],[DIAS HABILES O MORA]]&lt;0,(Tabla14[[#This Row],[VALOR PRESTAMO]]*Tabla14[[#This Row],[% INTERES ]]/30*U4557))+Tabla14[[#This Row],[VALOR CUOTAS]]</f>
        <v>#VALUE!</v>
      </c>
      <c r="S4557" s="88">
        <f>-IF(Tabla14[[#This Row],[DIAS HABILES O MORA]]&lt;0,(Tabla14[[#This Row],[VALOR PRESTAMO]]*Tabla14[[#This Row],[% INTERES ]]/30*U4557))</f>
        <v>0</v>
      </c>
      <c r="T4557" s="53" t="e">
        <f>Tabla14[[#This Row],[DEUDA CAPITAL]]+Tabla14[[#This Row],[INTERES  CUOTA]]</f>
        <v>#NUM!</v>
      </c>
      <c r="U4557" s="61" t="str">
        <f t="shared" si="719"/>
        <v/>
      </c>
    </row>
    <row r="4558" spans="9:21" ht="24.75" customHeight="1" x14ac:dyDescent="0.35">
      <c r="I4558" s="42">
        <f t="shared" si="710"/>
        <v>0</v>
      </c>
      <c r="J4558" s="65" t="e">
        <f t="shared" si="711"/>
        <v>#NUM!</v>
      </c>
      <c r="K4558" s="83" t="e">
        <f t="shared" si="712"/>
        <v>#NUM!</v>
      </c>
      <c r="L4558" s="83">
        <f t="shared" si="713"/>
        <v>0</v>
      </c>
      <c r="M4558" s="110" t="str">
        <f t="shared" si="714"/>
        <v/>
      </c>
      <c r="N4558" s="51" t="str">
        <f t="shared" si="715"/>
        <v/>
      </c>
      <c r="O4558" s="52" t="str">
        <f t="shared" si="716"/>
        <v/>
      </c>
      <c r="P4558" s="88">
        <f t="shared" si="717"/>
        <v>0</v>
      </c>
      <c r="Q4558" s="88">
        <f t="shared" si="718"/>
        <v>0</v>
      </c>
      <c r="R4558" s="88" t="e">
        <f>-IF(Tabla14[[#This Row],[DIAS HABILES O MORA]]&lt;0,(Tabla14[[#This Row],[VALOR PRESTAMO]]*Tabla14[[#This Row],[% INTERES ]]/30*U4558))+Tabla14[[#This Row],[VALOR CUOTAS]]</f>
        <v>#VALUE!</v>
      </c>
      <c r="S4558" s="88">
        <f>-IF(Tabla14[[#This Row],[DIAS HABILES O MORA]]&lt;0,(Tabla14[[#This Row],[VALOR PRESTAMO]]*Tabla14[[#This Row],[% INTERES ]]/30*U4558))</f>
        <v>0</v>
      </c>
      <c r="T4558" s="53" t="e">
        <f>Tabla14[[#This Row],[DEUDA CAPITAL]]+Tabla14[[#This Row],[INTERES  CUOTA]]</f>
        <v>#NUM!</v>
      </c>
      <c r="U4558" s="61" t="str">
        <f t="shared" si="719"/>
        <v/>
      </c>
    </row>
    <row r="4559" spans="9:21" ht="24.75" customHeight="1" x14ac:dyDescent="0.35">
      <c r="I4559" s="42">
        <f t="shared" si="710"/>
        <v>0</v>
      </c>
      <c r="J4559" s="65" t="e">
        <f t="shared" si="711"/>
        <v>#NUM!</v>
      </c>
      <c r="K4559" s="83" t="e">
        <f t="shared" si="712"/>
        <v>#NUM!</v>
      </c>
      <c r="L4559" s="83">
        <f t="shared" si="713"/>
        <v>0</v>
      </c>
      <c r="M4559" s="110" t="str">
        <f t="shared" si="714"/>
        <v/>
      </c>
      <c r="N4559" s="51" t="str">
        <f t="shared" si="715"/>
        <v/>
      </c>
      <c r="O4559" s="52" t="str">
        <f t="shared" si="716"/>
        <v/>
      </c>
      <c r="P4559" s="88">
        <f t="shared" si="717"/>
        <v>0</v>
      </c>
      <c r="Q4559" s="88">
        <f t="shared" si="718"/>
        <v>0</v>
      </c>
      <c r="R4559" s="88" t="e">
        <f>-IF(Tabla14[[#This Row],[DIAS HABILES O MORA]]&lt;0,(Tabla14[[#This Row],[VALOR PRESTAMO]]*Tabla14[[#This Row],[% INTERES ]]/30*U4559))+Tabla14[[#This Row],[VALOR CUOTAS]]</f>
        <v>#VALUE!</v>
      </c>
      <c r="S4559" s="88">
        <f>-IF(Tabla14[[#This Row],[DIAS HABILES O MORA]]&lt;0,(Tabla14[[#This Row],[VALOR PRESTAMO]]*Tabla14[[#This Row],[% INTERES ]]/30*U4559))</f>
        <v>0</v>
      </c>
      <c r="T4559" s="53" t="e">
        <f>Tabla14[[#This Row],[DEUDA CAPITAL]]+Tabla14[[#This Row],[INTERES  CUOTA]]</f>
        <v>#NUM!</v>
      </c>
      <c r="U4559" s="61" t="str">
        <f t="shared" si="719"/>
        <v/>
      </c>
    </row>
    <row r="4560" spans="9:21" ht="24.75" customHeight="1" x14ac:dyDescent="0.35">
      <c r="I4560" s="42">
        <f t="shared" ref="I4560:I4623" si="720">IF(C4560&lt;0,"",IF(Q4560=0,0,IF(G4560=0,H4560+1,IF(H4560&lt;G4560,H4560+1,IF(G4560=H4560,0)))))</f>
        <v>0</v>
      </c>
      <c r="J4560" s="65" t="e">
        <f t="shared" ref="J4560:J4623" si="721">IF(F4560="SOLO INTERES",Q4560*D4560,-IPMT(D4560,I4560,G4560,C4560))</f>
        <v>#NUM!</v>
      </c>
      <c r="K4560" s="83" t="e">
        <f t="shared" ref="K4560:K4623" si="722">IF(F4560="SOLO INTERES",0,-PPMT(D4560,I4560,G4560,C4560))</f>
        <v>#NUM!</v>
      </c>
      <c r="L4560" s="83">
        <f t="shared" ref="L4560:L4623" si="723">IF(F4560="SOLO INTERES",SUM(Y4560:AAE4560),IFERROR(-CUMIPMT(D4560,G4560,C4560,1,H4560,0),0)+SUM(Y4560:WY4560))</f>
        <v>0</v>
      </c>
      <c r="M4560" s="110" t="str">
        <f t="shared" ref="M4560:M4623" si="724">IFERROR(IF(F4560="SOLO INTERES",Q4560*D4560,-PMT(D4560,G4560,C4560,0)),"")</f>
        <v/>
      </c>
      <c r="N4560" s="51" t="str">
        <f t="shared" ref="N4560:N4623" si="725">IF(Q4560=0,"",IF(E4560="MENSUAL",EDATE(B4560,I4560),IF(E4560="QUINCENAL",B4560+(I4560*15),IF(E4560="SEMANAL",B4560+(I4560*7)))))</f>
        <v/>
      </c>
      <c r="O4560" s="52" t="str">
        <f t="shared" ref="O4560:O4623" si="726">IF(C4560=0,"",IF(Q4560&lt;1,"PAGADO",IF(N4560=$A$3,"COBRAR HOY",IF(N4560&lt;$A$3,"EN MORA",IF(N4560&gt;$A$3,"AL DIA")))))</f>
        <v/>
      </c>
      <c r="P4560" s="88">
        <f t="shared" ref="P4560:P4623" si="727">IFERROR(-CUMPRINC(D4560,G4560,C4560,1,H4560,0),0)+W4560</f>
        <v>0</v>
      </c>
      <c r="Q4560" s="88">
        <f t="shared" ref="Q4560:Q4623" si="728">IFERROR(C4560-P4560,"")</f>
        <v>0</v>
      </c>
      <c r="R4560" s="88" t="e">
        <f>-IF(Tabla14[[#This Row],[DIAS HABILES O MORA]]&lt;0,(Tabla14[[#This Row],[VALOR PRESTAMO]]*Tabla14[[#This Row],[% INTERES ]]/30*U4560))+Tabla14[[#This Row],[VALOR CUOTAS]]</f>
        <v>#VALUE!</v>
      </c>
      <c r="S4560" s="88">
        <f>-IF(Tabla14[[#This Row],[DIAS HABILES O MORA]]&lt;0,(Tabla14[[#This Row],[VALOR PRESTAMO]]*Tabla14[[#This Row],[% INTERES ]]/30*U4560))</f>
        <v>0</v>
      </c>
      <c r="T4560" s="53" t="e">
        <f>Tabla14[[#This Row],[DEUDA CAPITAL]]+Tabla14[[#This Row],[INTERES  CUOTA]]</f>
        <v>#NUM!</v>
      </c>
      <c r="U4560" s="61" t="str">
        <f t="shared" ref="U4560:U4623" si="729">IF(O4560="PAGADO","",IFERROR(-IF(C4560=0,"",$A$3-N4560),""))</f>
        <v/>
      </c>
    </row>
    <row r="4561" spans="9:21" ht="24.75" customHeight="1" x14ac:dyDescent="0.35">
      <c r="I4561" s="42">
        <f t="shared" si="720"/>
        <v>0</v>
      </c>
      <c r="J4561" s="65" t="e">
        <f t="shared" si="721"/>
        <v>#NUM!</v>
      </c>
      <c r="K4561" s="83" t="e">
        <f t="shared" si="722"/>
        <v>#NUM!</v>
      </c>
      <c r="L4561" s="83">
        <f t="shared" si="723"/>
        <v>0</v>
      </c>
      <c r="M4561" s="110" t="str">
        <f t="shared" si="724"/>
        <v/>
      </c>
      <c r="N4561" s="51" t="str">
        <f t="shared" si="725"/>
        <v/>
      </c>
      <c r="O4561" s="52" t="str">
        <f t="shared" si="726"/>
        <v/>
      </c>
      <c r="P4561" s="88">
        <f t="shared" si="727"/>
        <v>0</v>
      </c>
      <c r="Q4561" s="88">
        <f t="shared" si="728"/>
        <v>0</v>
      </c>
      <c r="R4561" s="88" t="e">
        <f>-IF(Tabla14[[#This Row],[DIAS HABILES O MORA]]&lt;0,(Tabla14[[#This Row],[VALOR PRESTAMO]]*Tabla14[[#This Row],[% INTERES ]]/30*U4561))+Tabla14[[#This Row],[VALOR CUOTAS]]</f>
        <v>#VALUE!</v>
      </c>
      <c r="S4561" s="88">
        <f>-IF(Tabla14[[#This Row],[DIAS HABILES O MORA]]&lt;0,(Tabla14[[#This Row],[VALOR PRESTAMO]]*Tabla14[[#This Row],[% INTERES ]]/30*U4561))</f>
        <v>0</v>
      </c>
      <c r="T4561" s="53" t="e">
        <f>Tabla14[[#This Row],[DEUDA CAPITAL]]+Tabla14[[#This Row],[INTERES  CUOTA]]</f>
        <v>#NUM!</v>
      </c>
      <c r="U4561" s="61" t="str">
        <f t="shared" si="729"/>
        <v/>
      </c>
    </row>
    <row r="4562" spans="9:21" ht="24.75" customHeight="1" x14ac:dyDescent="0.35">
      <c r="I4562" s="42">
        <f t="shared" si="720"/>
        <v>0</v>
      </c>
      <c r="J4562" s="65" t="e">
        <f t="shared" si="721"/>
        <v>#NUM!</v>
      </c>
      <c r="K4562" s="83" t="e">
        <f t="shared" si="722"/>
        <v>#NUM!</v>
      </c>
      <c r="L4562" s="83">
        <f t="shared" si="723"/>
        <v>0</v>
      </c>
      <c r="M4562" s="110" t="str">
        <f t="shared" si="724"/>
        <v/>
      </c>
      <c r="N4562" s="51" t="str">
        <f t="shared" si="725"/>
        <v/>
      </c>
      <c r="O4562" s="52" t="str">
        <f t="shared" si="726"/>
        <v/>
      </c>
      <c r="P4562" s="88">
        <f t="shared" si="727"/>
        <v>0</v>
      </c>
      <c r="Q4562" s="88">
        <f t="shared" si="728"/>
        <v>0</v>
      </c>
      <c r="R4562" s="88" t="e">
        <f>-IF(Tabla14[[#This Row],[DIAS HABILES O MORA]]&lt;0,(Tabla14[[#This Row],[VALOR PRESTAMO]]*Tabla14[[#This Row],[% INTERES ]]/30*U4562))+Tabla14[[#This Row],[VALOR CUOTAS]]</f>
        <v>#VALUE!</v>
      </c>
      <c r="S4562" s="88">
        <f>-IF(Tabla14[[#This Row],[DIAS HABILES O MORA]]&lt;0,(Tabla14[[#This Row],[VALOR PRESTAMO]]*Tabla14[[#This Row],[% INTERES ]]/30*U4562))</f>
        <v>0</v>
      </c>
      <c r="T4562" s="53" t="e">
        <f>Tabla14[[#This Row],[DEUDA CAPITAL]]+Tabla14[[#This Row],[INTERES  CUOTA]]</f>
        <v>#NUM!</v>
      </c>
      <c r="U4562" s="61" t="str">
        <f t="shared" si="729"/>
        <v/>
      </c>
    </row>
    <row r="4563" spans="9:21" ht="24.75" customHeight="1" x14ac:dyDescent="0.35">
      <c r="I4563" s="42">
        <f t="shared" si="720"/>
        <v>0</v>
      </c>
      <c r="J4563" s="65" t="e">
        <f t="shared" si="721"/>
        <v>#NUM!</v>
      </c>
      <c r="K4563" s="83" t="e">
        <f t="shared" si="722"/>
        <v>#NUM!</v>
      </c>
      <c r="L4563" s="83">
        <f t="shared" si="723"/>
        <v>0</v>
      </c>
      <c r="M4563" s="110" t="str">
        <f t="shared" si="724"/>
        <v/>
      </c>
      <c r="N4563" s="51" t="str">
        <f t="shared" si="725"/>
        <v/>
      </c>
      <c r="O4563" s="52" t="str">
        <f t="shared" si="726"/>
        <v/>
      </c>
      <c r="P4563" s="88">
        <f t="shared" si="727"/>
        <v>0</v>
      </c>
      <c r="Q4563" s="88">
        <f t="shared" si="728"/>
        <v>0</v>
      </c>
      <c r="R4563" s="88" t="e">
        <f>-IF(Tabla14[[#This Row],[DIAS HABILES O MORA]]&lt;0,(Tabla14[[#This Row],[VALOR PRESTAMO]]*Tabla14[[#This Row],[% INTERES ]]/30*U4563))+Tabla14[[#This Row],[VALOR CUOTAS]]</f>
        <v>#VALUE!</v>
      </c>
      <c r="S4563" s="88">
        <f>-IF(Tabla14[[#This Row],[DIAS HABILES O MORA]]&lt;0,(Tabla14[[#This Row],[VALOR PRESTAMO]]*Tabla14[[#This Row],[% INTERES ]]/30*U4563))</f>
        <v>0</v>
      </c>
      <c r="T4563" s="53" t="e">
        <f>Tabla14[[#This Row],[DEUDA CAPITAL]]+Tabla14[[#This Row],[INTERES  CUOTA]]</f>
        <v>#NUM!</v>
      </c>
      <c r="U4563" s="61" t="str">
        <f t="shared" si="729"/>
        <v/>
      </c>
    </row>
    <row r="4564" spans="9:21" ht="24.75" customHeight="1" x14ac:dyDescent="0.35">
      <c r="I4564" s="42">
        <f t="shared" si="720"/>
        <v>0</v>
      </c>
      <c r="J4564" s="65" t="e">
        <f t="shared" si="721"/>
        <v>#NUM!</v>
      </c>
      <c r="K4564" s="83" t="e">
        <f t="shared" si="722"/>
        <v>#NUM!</v>
      </c>
      <c r="L4564" s="83">
        <f t="shared" si="723"/>
        <v>0</v>
      </c>
      <c r="M4564" s="110" t="str">
        <f t="shared" si="724"/>
        <v/>
      </c>
      <c r="N4564" s="51" t="str">
        <f t="shared" si="725"/>
        <v/>
      </c>
      <c r="O4564" s="52" t="str">
        <f t="shared" si="726"/>
        <v/>
      </c>
      <c r="P4564" s="88">
        <f t="shared" si="727"/>
        <v>0</v>
      </c>
      <c r="Q4564" s="88">
        <f t="shared" si="728"/>
        <v>0</v>
      </c>
      <c r="R4564" s="88" t="e">
        <f>-IF(Tabla14[[#This Row],[DIAS HABILES O MORA]]&lt;0,(Tabla14[[#This Row],[VALOR PRESTAMO]]*Tabla14[[#This Row],[% INTERES ]]/30*U4564))+Tabla14[[#This Row],[VALOR CUOTAS]]</f>
        <v>#VALUE!</v>
      </c>
      <c r="S4564" s="88">
        <f>-IF(Tabla14[[#This Row],[DIAS HABILES O MORA]]&lt;0,(Tabla14[[#This Row],[VALOR PRESTAMO]]*Tabla14[[#This Row],[% INTERES ]]/30*U4564))</f>
        <v>0</v>
      </c>
      <c r="T4564" s="53" t="e">
        <f>Tabla14[[#This Row],[DEUDA CAPITAL]]+Tabla14[[#This Row],[INTERES  CUOTA]]</f>
        <v>#NUM!</v>
      </c>
      <c r="U4564" s="61" t="str">
        <f t="shared" si="729"/>
        <v/>
      </c>
    </row>
    <row r="4565" spans="9:21" ht="24.75" customHeight="1" x14ac:dyDescent="0.35">
      <c r="I4565" s="42">
        <f t="shared" si="720"/>
        <v>0</v>
      </c>
      <c r="J4565" s="65" t="e">
        <f t="shared" si="721"/>
        <v>#NUM!</v>
      </c>
      <c r="K4565" s="83" t="e">
        <f t="shared" si="722"/>
        <v>#NUM!</v>
      </c>
      <c r="L4565" s="83">
        <f t="shared" si="723"/>
        <v>0</v>
      </c>
      <c r="M4565" s="110" t="str">
        <f t="shared" si="724"/>
        <v/>
      </c>
      <c r="N4565" s="51" t="str">
        <f t="shared" si="725"/>
        <v/>
      </c>
      <c r="O4565" s="52" t="str">
        <f t="shared" si="726"/>
        <v/>
      </c>
      <c r="P4565" s="88">
        <f t="shared" si="727"/>
        <v>0</v>
      </c>
      <c r="Q4565" s="88">
        <f t="shared" si="728"/>
        <v>0</v>
      </c>
      <c r="R4565" s="88" t="e">
        <f>-IF(Tabla14[[#This Row],[DIAS HABILES O MORA]]&lt;0,(Tabla14[[#This Row],[VALOR PRESTAMO]]*Tabla14[[#This Row],[% INTERES ]]/30*U4565))+Tabla14[[#This Row],[VALOR CUOTAS]]</f>
        <v>#VALUE!</v>
      </c>
      <c r="S4565" s="88">
        <f>-IF(Tabla14[[#This Row],[DIAS HABILES O MORA]]&lt;0,(Tabla14[[#This Row],[VALOR PRESTAMO]]*Tabla14[[#This Row],[% INTERES ]]/30*U4565))</f>
        <v>0</v>
      </c>
      <c r="T4565" s="53" t="e">
        <f>Tabla14[[#This Row],[DEUDA CAPITAL]]+Tabla14[[#This Row],[INTERES  CUOTA]]</f>
        <v>#NUM!</v>
      </c>
      <c r="U4565" s="61" t="str">
        <f t="shared" si="729"/>
        <v/>
      </c>
    </row>
    <row r="4566" spans="9:21" ht="24.75" customHeight="1" x14ac:dyDescent="0.35">
      <c r="I4566" s="42">
        <f t="shared" si="720"/>
        <v>0</v>
      </c>
      <c r="J4566" s="65" t="e">
        <f t="shared" si="721"/>
        <v>#NUM!</v>
      </c>
      <c r="K4566" s="83" t="e">
        <f t="shared" si="722"/>
        <v>#NUM!</v>
      </c>
      <c r="L4566" s="83">
        <f t="shared" si="723"/>
        <v>0</v>
      </c>
      <c r="M4566" s="110" t="str">
        <f t="shared" si="724"/>
        <v/>
      </c>
      <c r="N4566" s="51" t="str">
        <f t="shared" si="725"/>
        <v/>
      </c>
      <c r="O4566" s="52" t="str">
        <f t="shared" si="726"/>
        <v/>
      </c>
      <c r="P4566" s="88">
        <f t="shared" si="727"/>
        <v>0</v>
      </c>
      <c r="Q4566" s="88">
        <f t="shared" si="728"/>
        <v>0</v>
      </c>
      <c r="R4566" s="88" t="e">
        <f>-IF(Tabla14[[#This Row],[DIAS HABILES O MORA]]&lt;0,(Tabla14[[#This Row],[VALOR PRESTAMO]]*Tabla14[[#This Row],[% INTERES ]]/30*U4566))+Tabla14[[#This Row],[VALOR CUOTAS]]</f>
        <v>#VALUE!</v>
      </c>
      <c r="S4566" s="88">
        <f>-IF(Tabla14[[#This Row],[DIAS HABILES O MORA]]&lt;0,(Tabla14[[#This Row],[VALOR PRESTAMO]]*Tabla14[[#This Row],[% INTERES ]]/30*U4566))</f>
        <v>0</v>
      </c>
      <c r="T4566" s="53" t="e">
        <f>Tabla14[[#This Row],[DEUDA CAPITAL]]+Tabla14[[#This Row],[INTERES  CUOTA]]</f>
        <v>#NUM!</v>
      </c>
      <c r="U4566" s="61" t="str">
        <f t="shared" si="729"/>
        <v/>
      </c>
    </row>
    <row r="4567" spans="9:21" ht="24.75" customHeight="1" x14ac:dyDescent="0.35">
      <c r="I4567" s="42">
        <f t="shared" si="720"/>
        <v>0</v>
      </c>
      <c r="J4567" s="65" t="e">
        <f t="shared" si="721"/>
        <v>#NUM!</v>
      </c>
      <c r="K4567" s="83" t="e">
        <f t="shared" si="722"/>
        <v>#NUM!</v>
      </c>
      <c r="L4567" s="83">
        <f t="shared" si="723"/>
        <v>0</v>
      </c>
      <c r="M4567" s="110" t="str">
        <f t="shared" si="724"/>
        <v/>
      </c>
      <c r="N4567" s="51" t="str">
        <f t="shared" si="725"/>
        <v/>
      </c>
      <c r="O4567" s="52" t="str">
        <f t="shared" si="726"/>
        <v/>
      </c>
      <c r="P4567" s="88">
        <f t="shared" si="727"/>
        <v>0</v>
      </c>
      <c r="Q4567" s="88">
        <f t="shared" si="728"/>
        <v>0</v>
      </c>
      <c r="R4567" s="88" t="e">
        <f>-IF(Tabla14[[#This Row],[DIAS HABILES O MORA]]&lt;0,(Tabla14[[#This Row],[VALOR PRESTAMO]]*Tabla14[[#This Row],[% INTERES ]]/30*U4567))+Tabla14[[#This Row],[VALOR CUOTAS]]</f>
        <v>#VALUE!</v>
      </c>
      <c r="S4567" s="88">
        <f>-IF(Tabla14[[#This Row],[DIAS HABILES O MORA]]&lt;0,(Tabla14[[#This Row],[VALOR PRESTAMO]]*Tabla14[[#This Row],[% INTERES ]]/30*U4567))</f>
        <v>0</v>
      </c>
      <c r="T4567" s="53" t="e">
        <f>Tabla14[[#This Row],[DEUDA CAPITAL]]+Tabla14[[#This Row],[INTERES  CUOTA]]</f>
        <v>#NUM!</v>
      </c>
      <c r="U4567" s="61" t="str">
        <f t="shared" si="729"/>
        <v/>
      </c>
    </row>
    <row r="4568" spans="9:21" ht="24.75" customHeight="1" x14ac:dyDescent="0.35">
      <c r="I4568" s="42">
        <f t="shared" si="720"/>
        <v>0</v>
      </c>
      <c r="J4568" s="65" t="e">
        <f t="shared" si="721"/>
        <v>#NUM!</v>
      </c>
      <c r="K4568" s="83" t="e">
        <f t="shared" si="722"/>
        <v>#NUM!</v>
      </c>
      <c r="L4568" s="83">
        <f t="shared" si="723"/>
        <v>0</v>
      </c>
      <c r="M4568" s="110" t="str">
        <f t="shared" si="724"/>
        <v/>
      </c>
      <c r="N4568" s="51" t="str">
        <f t="shared" si="725"/>
        <v/>
      </c>
      <c r="O4568" s="52" t="str">
        <f t="shared" si="726"/>
        <v/>
      </c>
      <c r="P4568" s="88">
        <f t="shared" si="727"/>
        <v>0</v>
      </c>
      <c r="Q4568" s="88">
        <f t="shared" si="728"/>
        <v>0</v>
      </c>
      <c r="R4568" s="88" t="e">
        <f>-IF(Tabla14[[#This Row],[DIAS HABILES O MORA]]&lt;0,(Tabla14[[#This Row],[VALOR PRESTAMO]]*Tabla14[[#This Row],[% INTERES ]]/30*U4568))+Tabla14[[#This Row],[VALOR CUOTAS]]</f>
        <v>#VALUE!</v>
      </c>
      <c r="S4568" s="88">
        <f>-IF(Tabla14[[#This Row],[DIAS HABILES O MORA]]&lt;0,(Tabla14[[#This Row],[VALOR PRESTAMO]]*Tabla14[[#This Row],[% INTERES ]]/30*U4568))</f>
        <v>0</v>
      </c>
      <c r="T4568" s="53" t="e">
        <f>Tabla14[[#This Row],[DEUDA CAPITAL]]+Tabla14[[#This Row],[INTERES  CUOTA]]</f>
        <v>#NUM!</v>
      </c>
      <c r="U4568" s="61" t="str">
        <f t="shared" si="729"/>
        <v/>
      </c>
    </row>
    <row r="4569" spans="9:21" ht="24.75" customHeight="1" x14ac:dyDescent="0.35">
      <c r="I4569" s="42">
        <f t="shared" si="720"/>
        <v>0</v>
      </c>
      <c r="J4569" s="65" t="e">
        <f t="shared" si="721"/>
        <v>#NUM!</v>
      </c>
      <c r="K4569" s="83" t="e">
        <f t="shared" si="722"/>
        <v>#NUM!</v>
      </c>
      <c r="L4569" s="83">
        <f t="shared" si="723"/>
        <v>0</v>
      </c>
      <c r="M4569" s="110" t="str">
        <f t="shared" si="724"/>
        <v/>
      </c>
      <c r="N4569" s="51" t="str">
        <f t="shared" si="725"/>
        <v/>
      </c>
      <c r="O4569" s="52" t="str">
        <f t="shared" si="726"/>
        <v/>
      </c>
      <c r="P4569" s="88">
        <f t="shared" si="727"/>
        <v>0</v>
      </c>
      <c r="Q4569" s="88">
        <f t="shared" si="728"/>
        <v>0</v>
      </c>
      <c r="R4569" s="88" t="e">
        <f>-IF(Tabla14[[#This Row],[DIAS HABILES O MORA]]&lt;0,(Tabla14[[#This Row],[VALOR PRESTAMO]]*Tabla14[[#This Row],[% INTERES ]]/30*U4569))+Tabla14[[#This Row],[VALOR CUOTAS]]</f>
        <v>#VALUE!</v>
      </c>
      <c r="S4569" s="88">
        <f>-IF(Tabla14[[#This Row],[DIAS HABILES O MORA]]&lt;0,(Tabla14[[#This Row],[VALOR PRESTAMO]]*Tabla14[[#This Row],[% INTERES ]]/30*U4569))</f>
        <v>0</v>
      </c>
      <c r="T4569" s="53" t="e">
        <f>Tabla14[[#This Row],[DEUDA CAPITAL]]+Tabla14[[#This Row],[INTERES  CUOTA]]</f>
        <v>#NUM!</v>
      </c>
      <c r="U4569" s="61" t="str">
        <f t="shared" si="729"/>
        <v/>
      </c>
    </row>
    <row r="4570" spans="9:21" ht="24.75" customHeight="1" x14ac:dyDescent="0.35">
      <c r="I4570" s="42">
        <f t="shared" si="720"/>
        <v>0</v>
      </c>
      <c r="J4570" s="65" t="e">
        <f t="shared" si="721"/>
        <v>#NUM!</v>
      </c>
      <c r="K4570" s="83" t="e">
        <f t="shared" si="722"/>
        <v>#NUM!</v>
      </c>
      <c r="L4570" s="83">
        <f t="shared" si="723"/>
        <v>0</v>
      </c>
      <c r="M4570" s="110" t="str">
        <f t="shared" si="724"/>
        <v/>
      </c>
      <c r="N4570" s="51" t="str">
        <f t="shared" si="725"/>
        <v/>
      </c>
      <c r="O4570" s="52" t="str">
        <f t="shared" si="726"/>
        <v/>
      </c>
      <c r="P4570" s="88">
        <f t="shared" si="727"/>
        <v>0</v>
      </c>
      <c r="Q4570" s="88">
        <f t="shared" si="728"/>
        <v>0</v>
      </c>
      <c r="R4570" s="88" t="e">
        <f>-IF(Tabla14[[#This Row],[DIAS HABILES O MORA]]&lt;0,(Tabla14[[#This Row],[VALOR PRESTAMO]]*Tabla14[[#This Row],[% INTERES ]]/30*U4570))+Tabla14[[#This Row],[VALOR CUOTAS]]</f>
        <v>#VALUE!</v>
      </c>
      <c r="S4570" s="88">
        <f>-IF(Tabla14[[#This Row],[DIAS HABILES O MORA]]&lt;0,(Tabla14[[#This Row],[VALOR PRESTAMO]]*Tabla14[[#This Row],[% INTERES ]]/30*U4570))</f>
        <v>0</v>
      </c>
      <c r="T4570" s="53" t="e">
        <f>Tabla14[[#This Row],[DEUDA CAPITAL]]+Tabla14[[#This Row],[INTERES  CUOTA]]</f>
        <v>#NUM!</v>
      </c>
      <c r="U4570" s="61" t="str">
        <f t="shared" si="729"/>
        <v/>
      </c>
    </row>
    <row r="4571" spans="9:21" ht="24.75" customHeight="1" x14ac:dyDescent="0.35">
      <c r="I4571" s="42">
        <f t="shared" si="720"/>
        <v>0</v>
      </c>
      <c r="J4571" s="65" t="e">
        <f t="shared" si="721"/>
        <v>#NUM!</v>
      </c>
      <c r="K4571" s="83" t="e">
        <f t="shared" si="722"/>
        <v>#NUM!</v>
      </c>
      <c r="L4571" s="83">
        <f t="shared" si="723"/>
        <v>0</v>
      </c>
      <c r="M4571" s="110" t="str">
        <f t="shared" si="724"/>
        <v/>
      </c>
      <c r="N4571" s="51" t="str">
        <f t="shared" si="725"/>
        <v/>
      </c>
      <c r="O4571" s="52" t="str">
        <f t="shared" si="726"/>
        <v/>
      </c>
      <c r="P4571" s="88">
        <f t="shared" si="727"/>
        <v>0</v>
      </c>
      <c r="Q4571" s="88">
        <f t="shared" si="728"/>
        <v>0</v>
      </c>
      <c r="R4571" s="88" t="e">
        <f>-IF(Tabla14[[#This Row],[DIAS HABILES O MORA]]&lt;0,(Tabla14[[#This Row],[VALOR PRESTAMO]]*Tabla14[[#This Row],[% INTERES ]]/30*U4571))+Tabla14[[#This Row],[VALOR CUOTAS]]</f>
        <v>#VALUE!</v>
      </c>
      <c r="S4571" s="88">
        <f>-IF(Tabla14[[#This Row],[DIAS HABILES O MORA]]&lt;0,(Tabla14[[#This Row],[VALOR PRESTAMO]]*Tabla14[[#This Row],[% INTERES ]]/30*U4571))</f>
        <v>0</v>
      </c>
      <c r="T4571" s="53" t="e">
        <f>Tabla14[[#This Row],[DEUDA CAPITAL]]+Tabla14[[#This Row],[INTERES  CUOTA]]</f>
        <v>#NUM!</v>
      </c>
      <c r="U4571" s="61" t="str">
        <f t="shared" si="729"/>
        <v/>
      </c>
    </row>
    <row r="4572" spans="9:21" ht="24.75" customHeight="1" x14ac:dyDescent="0.35">
      <c r="I4572" s="42">
        <f t="shared" si="720"/>
        <v>0</v>
      </c>
      <c r="J4572" s="65" t="e">
        <f t="shared" si="721"/>
        <v>#NUM!</v>
      </c>
      <c r="K4572" s="83" t="e">
        <f t="shared" si="722"/>
        <v>#NUM!</v>
      </c>
      <c r="L4572" s="83">
        <f t="shared" si="723"/>
        <v>0</v>
      </c>
      <c r="M4572" s="110" t="str">
        <f t="shared" si="724"/>
        <v/>
      </c>
      <c r="N4572" s="51" t="str">
        <f t="shared" si="725"/>
        <v/>
      </c>
      <c r="O4572" s="52" t="str">
        <f t="shared" si="726"/>
        <v/>
      </c>
      <c r="P4572" s="88">
        <f t="shared" si="727"/>
        <v>0</v>
      </c>
      <c r="Q4572" s="88">
        <f t="shared" si="728"/>
        <v>0</v>
      </c>
      <c r="R4572" s="88" t="e">
        <f>-IF(Tabla14[[#This Row],[DIAS HABILES O MORA]]&lt;0,(Tabla14[[#This Row],[VALOR PRESTAMO]]*Tabla14[[#This Row],[% INTERES ]]/30*U4572))+Tabla14[[#This Row],[VALOR CUOTAS]]</f>
        <v>#VALUE!</v>
      </c>
      <c r="S4572" s="88">
        <f>-IF(Tabla14[[#This Row],[DIAS HABILES O MORA]]&lt;0,(Tabla14[[#This Row],[VALOR PRESTAMO]]*Tabla14[[#This Row],[% INTERES ]]/30*U4572))</f>
        <v>0</v>
      </c>
      <c r="T4572" s="53" t="e">
        <f>Tabla14[[#This Row],[DEUDA CAPITAL]]+Tabla14[[#This Row],[INTERES  CUOTA]]</f>
        <v>#NUM!</v>
      </c>
      <c r="U4572" s="61" t="str">
        <f t="shared" si="729"/>
        <v/>
      </c>
    </row>
    <row r="4573" spans="9:21" ht="24.75" customHeight="1" x14ac:dyDescent="0.35">
      <c r="I4573" s="42">
        <f t="shared" si="720"/>
        <v>0</v>
      </c>
      <c r="J4573" s="65" t="e">
        <f t="shared" si="721"/>
        <v>#NUM!</v>
      </c>
      <c r="K4573" s="83" t="e">
        <f t="shared" si="722"/>
        <v>#NUM!</v>
      </c>
      <c r="L4573" s="83">
        <f t="shared" si="723"/>
        <v>0</v>
      </c>
      <c r="M4573" s="110" t="str">
        <f t="shared" si="724"/>
        <v/>
      </c>
      <c r="N4573" s="51" t="str">
        <f t="shared" si="725"/>
        <v/>
      </c>
      <c r="O4573" s="52" t="str">
        <f t="shared" si="726"/>
        <v/>
      </c>
      <c r="P4573" s="88">
        <f t="shared" si="727"/>
        <v>0</v>
      </c>
      <c r="Q4573" s="88">
        <f t="shared" si="728"/>
        <v>0</v>
      </c>
      <c r="R4573" s="88" t="e">
        <f>-IF(Tabla14[[#This Row],[DIAS HABILES O MORA]]&lt;0,(Tabla14[[#This Row],[VALOR PRESTAMO]]*Tabla14[[#This Row],[% INTERES ]]/30*U4573))+Tabla14[[#This Row],[VALOR CUOTAS]]</f>
        <v>#VALUE!</v>
      </c>
      <c r="S4573" s="88">
        <f>-IF(Tabla14[[#This Row],[DIAS HABILES O MORA]]&lt;0,(Tabla14[[#This Row],[VALOR PRESTAMO]]*Tabla14[[#This Row],[% INTERES ]]/30*U4573))</f>
        <v>0</v>
      </c>
      <c r="T4573" s="53" t="e">
        <f>Tabla14[[#This Row],[DEUDA CAPITAL]]+Tabla14[[#This Row],[INTERES  CUOTA]]</f>
        <v>#NUM!</v>
      </c>
      <c r="U4573" s="61" t="str">
        <f t="shared" si="729"/>
        <v/>
      </c>
    </row>
    <row r="4574" spans="9:21" ht="24.75" customHeight="1" x14ac:dyDescent="0.35">
      <c r="I4574" s="42">
        <f t="shared" si="720"/>
        <v>0</v>
      </c>
      <c r="J4574" s="65" t="e">
        <f t="shared" si="721"/>
        <v>#NUM!</v>
      </c>
      <c r="K4574" s="83" t="e">
        <f t="shared" si="722"/>
        <v>#NUM!</v>
      </c>
      <c r="L4574" s="83">
        <f t="shared" si="723"/>
        <v>0</v>
      </c>
      <c r="M4574" s="110" t="str">
        <f t="shared" si="724"/>
        <v/>
      </c>
      <c r="N4574" s="51" t="str">
        <f t="shared" si="725"/>
        <v/>
      </c>
      <c r="O4574" s="52" t="str">
        <f t="shared" si="726"/>
        <v/>
      </c>
      <c r="P4574" s="88">
        <f t="shared" si="727"/>
        <v>0</v>
      </c>
      <c r="Q4574" s="88">
        <f t="shared" si="728"/>
        <v>0</v>
      </c>
      <c r="R4574" s="88" t="e">
        <f>-IF(Tabla14[[#This Row],[DIAS HABILES O MORA]]&lt;0,(Tabla14[[#This Row],[VALOR PRESTAMO]]*Tabla14[[#This Row],[% INTERES ]]/30*U4574))+Tabla14[[#This Row],[VALOR CUOTAS]]</f>
        <v>#VALUE!</v>
      </c>
      <c r="S4574" s="88">
        <f>-IF(Tabla14[[#This Row],[DIAS HABILES O MORA]]&lt;0,(Tabla14[[#This Row],[VALOR PRESTAMO]]*Tabla14[[#This Row],[% INTERES ]]/30*U4574))</f>
        <v>0</v>
      </c>
      <c r="T4574" s="53" t="e">
        <f>Tabla14[[#This Row],[DEUDA CAPITAL]]+Tabla14[[#This Row],[INTERES  CUOTA]]</f>
        <v>#NUM!</v>
      </c>
      <c r="U4574" s="61" t="str">
        <f t="shared" si="729"/>
        <v/>
      </c>
    </row>
    <row r="4575" spans="9:21" ht="24.75" customHeight="1" x14ac:dyDescent="0.35">
      <c r="I4575" s="42">
        <f t="shared" si="720"/>
        <v>0</v>
      </c>
      <c r="J4575" s="65" t="e">
        <f t="shared" si="721"/>
        <v>#NUM!</v>
      </c>
      <c r="K4575" s="83" t="e">
        <f t="shared" si="722"/>
        <v>#NUM!</v>
      </c>
      <c r="L4575" s="83">
        <f t="shared" si="723"/>
        <v>0</v>
      </c>
      <c r="M4575" s="110" t="str">
        <f t="shared" si="724"/>
        <v/>
      </c>
      <c r="N4575" s="51" t="str">
        <f t="shared" si="725"/>
        <v/>
      </c>
      <c r="O4575" s="52" t="str">
        <f t="shared" si="726"/>
        <v/>
      </c>
      <c r="P4575" s="88">
        <f t="shared" si="727"/>
        <v>0</v>
      </c>
      <c r="Q4575" s="88">
        <f t="shared" si="728"/>
        <v>0</v>
      </c>
      <c r="R4575" s="88" t="e">
        <f>-IF(Tabla14[[#This Row],[DIAS HABILES O MORA]]&lt;0,(Tabla14[[#This Row],[VALOR PRESTAMO]]*Tabla14[[#This Row],[% INTERES ]]/30*U4575))+Tabla14[[#This Row],[VALOR CUOTAS]]</f>
        <v>#VALUE!</v>
      </c>
      <c r="S4575" s="88">
        <f>-IF(Tabla14[[#This Row],[DIAS HABILES O MORA]]&lt;0,(Tabla14[[#This Row],[VALOR PRESTAMO]]*Tabla14[[#This Row],[% INTERES ]]/30*U4575))</f>
        <v>0</v>
      </c>
      <c r="T4575" s="53" t="e">
        <f>Tabla14[[#This Row],[DEUDA CAPITAL]]+Tabla14[[#This Row],[INTERES  CUOTA]]</f>
        <v>#NUM!</v>
      </c>
      <c r="U4575" s="61" t="str">
        <f t="shared" si="729"/>
        <v/>
      </c>
    </row>
    <row r="4576" spans="9:21" ht="24.75" customHeight="1" x14ac:dyDescent="0.35">
      <c r="I4576" s="42">
        <f t="shared" si="720"/>
        <v>0</v>
      </c>
      <c r="J4576" s="65" t="e">
        <f t="shared" si="721"/>
        <v>#NUM!</v>
      </c>
      <c r="K4576" s="83" t="e">
        <f t="shared" si="722"/>
        <v>#NUM!</v>
      </c>
      <c r="L4576" s="83">
        <f t="shared" si="723"/>
        <v>0</v>
      </c>
      <c r="M4576" s="110" t="str">
        <f t="shared" si="724"/>
        <v/>
      </c>
      <c r="N4576" s="51" t="str">
        <f t="shared" si="725"/>
        <v/>
      </c>
      <c r="O4576" s="52" t="str">
        <f t="shared" si="726"/>
        <v/>
      </c>
      <c r="P4576" s="88">
        <f t="shared" si="727"/>
        <v>0</v>
      </c>
      <c r="Q4576" s="88">
        <f t="shared" si="728"/>
        <v>0</v>
      </c>
      <c r="R4576" s="88" t="e">
        <f>-IF(Tabla14[[#This Row],[DIAS HABILES O MORA]]&lt;0,(Tabla14[[#This Row],[VALOR PRESTAMO]]*Tabla14[[#This Row],[% INTERES ]]/30*U4576))+Tabla14[[#This Row],[VALOR CUOTAS]]</f>
        <v>#VALUE!</v>
      </c>
      <c r="S4576" s="88">
        <f>-IF(Tabla14[[#This Row],[DIAS HABILES O MORA]]&lt;0,(Tabla14[[#This Row],[VALOR PRESTAMO]]*Tabla14[[#This Row],[% INTERES ]]/30*U4576))</f>
        <v>0</v>
      </c>
      <c r="T4576" s="53" t="e">
        <f>Tabla14[[#This Row],[DEUDA CAPITAL]]+Tabla14[[#This Row],[INTERES  CUOTA]]</f>
        <v>#NUM!</v>
      </c>
      <c r="U4576" s="61" t="str">
        <f t="shared" si="729"/>
        <v/>
      </c>
    </row>
    <row r="4577" spans="9:21" ht="24.75" customHeight="1" x14ac:dyDescent="0.35">
      <c r="I4577" s="42">
        <f t="shared" si="720"/>
        <v>0</v>
      </c>
      <c r="J4577" s="65" t="e">
        <f t="shared" si="721"/>
        <v>#NUM!</v>
      </c>
      <c r="K4577" s="83" t="e">
        <f t="shared" si="722"/>
        <v>#NUM!</v>
      </c>
      <c r="L4577" s="83">
        <f t="shared" si="723"/>
        <v>0</v>
      </c>
      <c r="M4577" s="110" t="str">
        <f t="shared" si="724"/>
        <v/>
      </c>
      <c r="N4577" s="51" t="str">
        <f t="shared" si="725"/>
        <v/>
      </c>
      <c r="O4577" s="52" t="str">
        <f t="shared" si="726"/>
        <v/>
      </c>
      <c r="P4577" s="88">
        <f t="shared" si="727"/>
        <v>0</v>
      </c>
      <c r="Q4577" s="88">
        <f t="shared" si="728"/>
        <v>0</v>
      </c>
      <c r="R4577" s="88" t="e">
        <f>-IF(Tabla14[[#This Row],[DIAS HABILES O MORA]]&lt;0,(Tabla14[[#This Row],[VALOR PRESTAMO]]*Tabla14[[#This Row],[% INTERES ]]/30*U4577))+Tabla14[[#This Row],[VALOR CUOTAS]]</f>
        <v>#VALUE!</v>
      </c>
      <c r="S4577" s="88">
        <f>-IF(Tabla14[[#This Row],[DIAS HABILES O MORA]]&lt;0,(Tabla14[[#This Row],[VALOR PRESTAMO]]*Tabla14[[#This Row],[% INTERES ]]/30*U4577))</f>
        <v>0</v>
      </c>
      <c r="T4577" s="53" t="e">
        <f>Tabla14[[#This Row],[DEUDA CAPITAL]]+Tabla14[[#This Row],[INTERES  CUOTA]]</f>
        <v>#NUM!</v>
      </c>
      <c r="U4577" s="61" t="str">
        <f t="shared" si="729"/>
        <v/>
      </c>
    </row>
    <row r="4578" spans="9:21" ht="24.75" customHeight="1" x14ac:dyDescent="0.35">
      <c r="I4578" s="42">
        <f t="shared" si="720"/>
        <v>0</v>
      </c>
      <c r="J4578" s="65" t="e">
        <f t="shared" si="721"/>
        <v>#NUM!</v>
      </c>
      <c r="K4578" s="83" t="e">
        <f t="shared" si="722"/>
        <v>#NUM!</v>
      </c>
      <c r="L4578" s="83">
        <f t="shared" si="723"/>
        <v>0</v>
      </c>
      <c r="M4578" s="110" t="str">
        <f t="shared" si="724"/>
        <v/>
      </c>
      <c r="N4578" s="51" t="str">
        <f t="shared" si="725"/>
        <v/>
      </c>
      <c r="O4578" s="52" t="str">
        <f t="shared" si="726"/>
        <v/>
      </c>
      <c r="P4578" s="88">
        <f t="shared" si="727"/>
        <v>0</v>
      </c>
      <c r="Q4578" s="88">
        <f t="shared" si="728"/>
        <v>0</v>
      </c>
      <c r="R4578" s="88" t="e">
        <f>-IF(Tabla14[[#This Row],[DIAS HABILES O MORA]]&lt;0,(Tabla14[[#This Row],[VALOR PRESTAMO]]*Tabla14[[#This Row],[% INTERES ]]/30*U4578))+Tabla14[[#This Row],[VALOR CUOTAS]]</f>
        <v>#VALUE!</v>
      </c>
      <c r="S4578" s="88">
        <f>-IF(Tabla14[[#This Row],[DIAS HABILES O MORA]]&lt;0,(Tabla14[[#This Row],[VALOR PRESTAMO]]*Tabla14[[#This Row],[% INTERES ]]/30*U4578))</f>
        <v>0</v>
      </c>
      <c r="T4578" s="53" t="e">
        <f>Tabla14[[#This Row],[DEUDA CAPITAL]]+Tabla14[[#This Row],[INTERES  CUOTA]]</f>
        <v>#NUM!</v>
      </c>
      <c r="U4578" s="61" t="str">
        <f t="shared" si="729"/>
        <v/>
      </c>
    </row>
    <row r="4579" spans="9:21" ht="24.75" customHeight="1" x14ac:dyDescent="0.35">
      <c r="I4579" s="42">
        <f t="shared" si="720"/>
        <v>0</v>
      </c>
      <c r="J4579" s="65" t="e">
        <f t="shared" si="721"/>
        <v>#NUM!</v>
      </c>
      <c r="K4579" s="83" t="e">
        <f t="shared" si="722"/>
        <v>#NUM!</v>
      </c>
      <c r="L4579" s="83">
        <f t="shared" si="723"/>
        <v>0</v>
      </c>
      <c r="M4579" s="110" t="str">
        <f t="shared" si="724"/>
        <v/>
      </c>
      <c r="N4579" s="51" t="str">
        <f t="shared" si="725"/>
        <v/>
      </c>
      <c r="O4579" s="52" t="str">
        <f t="shared" si="726"/>
        <v/>
      </c>
      <c r="P4579" s="88">
        <f t="shared" si="727"/>
        <v>0</v>
      </c>
      <c r="Q4579" s="88">
        <f t="shared" si="728"/>
        <v>0</v>
      </c>
      <c r="R4579" s="88" t="e">
        <f>-IF(Tabla14[[#This Row],[DIAS HABILES O MORA]]&lt;0,(Tabla14[[#This Row],[VALOR PRESTAMO]]*Tabla14[[#This Row],[% INTERES ]]/30*U4579))+Tabla14[[#This Row],[VALOR CUOTAS]]</f>
        <v>#VALUE!</v>
      </c>
      <c r="S4579" s="88">
        <f>-IF(Tabla14[[#This Row],[DIAS HABILES O MORA]]&lt;0,(Tabla14[[#This Row],[VALOR PRESTAMO]]*Tabla14[[#This Row],[% INTERES ]]/30*U4579))</f>
        <v>0</v>
      </c>
      <c r="T4579" s="53" t="e">
        <f>Tabla14[[#This Row],[DEUDA CAPITAL]]+Tabla14[[#This Row],[INTERES  CUOTA]]</f>
        <v>#NUM!</v>
      </c>
      <c r="U4579" s="61" t="str">
        <f t="shared" si="729"/>
        <v/>
      </c>
    </row>
    <row r="4580" spans="9:21" ht="24.75" customHeight="1" x14ac:dyDescent="0.35">
      <c r="I4580" s="42">
        <f t="shared" si="720"/>
        <v>0</v>
      </c>
      <c r="J4580" s="65" t="e">
        <f t="shared" si="721"/>
        <v>#NUM!</v>
      </c>
      <c r="K4580" s="83" t="e">
        <f t="shared" si="722"/>
        <v>#NUM!</v>
      </c>
      <c r="L4580" s="83">
        <f t="shared" si="723"/>
        <v>0</v>
      </c>
      <c r="M4580" s="110" t="str">
        <f t="shared" si="724"/>
        <v/>
      </c>
      <c r="N4580" s="51" t="str">
        <f t="shared" si="725"/>
        <v/>
      </c>
      <c r="O4580" s="52" t="str">
        <f t="shared" si="726"/>
        <v/>
      </c>
      <c r="P4580" s="88">
        <f t="shared" si="727"/>
        <v>0</v>
      </c>
      <c r="Q4580" s="88">
        <f t="shared" si="728"/>
        <v>0</v>
      </c>
      <c r="R4580" s="88" t="e">
        <f>-IF(Tabla14[[#This Row],[DIAS HABILES O MORA]]&lt;0,(Tabla14[[#This Row],[VALOR PRESTAMO]]*Tabla14[[#This Row],[% INTERES ]]/30*U4580))+Tabla14[[#This Row],[VALOR CUOTAS]]</f>
        <v>#VALUE!</v>
      </c>
      <c r="S4580" s="88">
        <f>-IF(Tabla14[[#This Row],[DIAS HABILES O MORA]]&lt;0,(Tabla14[[#This Row],[VALOR PRESTAMO]]*Tabla14[[#This Row],[% INTERES ]]/30*U4580))</f>
        <v>0</v>
      </c>
      <c r="T4580" s="53" t="e">
        <f>Tabla14[[#This Row],[DEUDA CAPITAL]]+Tabla14[[#This Row],[INTERES  CUOTA]]</f>
        <v>#NUM!</v>
      </c>
      <c r="U4580" s="61" t="str">
        <f t="shared" si="729"/>
        <v/>
      </c>
    </row>
    <row r="4581" spans="9:21" ht="24.75" customHeight="1" x14ac:dyDescent="0.35">
      <c r="I4581" s="42">
        <f t="shared" si="720"/>
        <v>0</v>
      </c>
      <c r="J4581" s="65" t="e">
        <f t="shared" si="721"/>
        <v>#NUM!</v>
      </c>
      <c r="K4581" s="83" t="e">
        <f t="shared" si="722"/>
        <v>#NUM!</v>
      </c>
      <c r="L4581" s="83">
        <f t="shared" si="723"/>
        <v>0</v>
      </c>
      <c r="M4581" s="110" t="str">
        <f t="shared" si="724"/>
        <v/>
      </c>
      <c r="N4581" s="51" t="str">
        <f t="shared" si="725"/>
        <v/>
      </c>
      <c r="O4581" s="52" t="str">
        <f t="shared" si="726"/>
        <v/>
      </c>
      <c r="P4581" s="88">
        <f t="shared" si="727"/>
        <v>0</v>
      </c>
      <c r="Q4581" s="88">
        <f t="shared" si="728"/>
        <v>0</v>
      </c>
      <c r="R4581" s="88" t="e">
        <f>-IF(Tabla14[[#This Row],[DIAS HABILES O MORA]]&lt;0,(Tabla14[[#This Row],[VALOR PRESTAMO]]*Tabla14[[#This Row],[% INTERES ]]/30*U4581))+Tabla14[[#This Row],[VALOR CUOTAS]]</f>
        <v>#VALUE!</v>
      </c>
      <c r="S4581" s="88">
        <f>-IF(Tabla14[[#This Row],[DIAS HABILES O MORA]]&lt;0,(Tabla14[[#This Row],[VALOR PRESTAMO]]*Tabla14[[#This Row],[% INTERES ]]/30*U4581))</f>
        <v>0</v>
      </c>
      <c r="T4581" s="53" t="e">
        <f>Tabla14[[#This Row],[DEUDA CAPITAL]]+Tabla14[[#This Row],[INTERES  CUOTA]]</f>
        <v>#NUM!</v>
      </c>
      <c r="U4581" s="61" t="str">
        <f t="shared" si="729"/>
        <v/>
      </c>
    </row>
    <row r="4582" spans="9:21" ht="24.75" customHeight="1" x14ac:dyDescent="0.35">
      <c r="I4582" s="42">
        <f t="shared" si="720"/>
        <v>0</v>
      </c>
      <c r="J4582" s="65" t="e">
        <f t="shared" si="721"/>
        <v>#NUM!</v>
      </c>
      <c r="K4582" s="83" t="e">
        <f t="shared" si="722"/>
        <v>#NUM!</v>
      </c>
      <c r="L4582" s="83">
        <f t="shared" si="723"/>
        <v>0</v>
      </c>
      <c r="M4582" s="110" t="str">
        <f t="shared" si="724"/>
        <v/>
      </c>
      <c r="N4582" s="51" t="str">
        <f t="shared" si="725"/>
        <v/>
      </c>
      <c r="O4582" s="52" t="str">
        <f t="shared" si="726"/>
        <v/>
      </c>
      <c r="P4582" s="88">
        <f t="shared" si="727"/>
        <v>0</v>
      </c>
      <c r="Q4582" s="88">
        <f t="shared" si="728"/>
        <v>0</v>
      </c>
      <c r="R4582" s="88" t="e">
        <f>-IF(Tabla14[[#This Row],[DIAS HABILES O MORA]]&lt;0,(Tabla14[[#This Row],[VALOR PRESTAMO]]*Tabla14[[#This Row],[% INTERES ]]/30*U4582))+Tabla14[[#This Row],[VALOR CUOTAS]]</f>
        <v>#VALUE!</v>
      </c>
      <c r="S4582" s="88">
        <f>-IF(Tabla14[[#This Row],[DIAS HABILES O MORA]]&lt;0,(Tabla14[[#This Row],[VALOR PRESTAMO]]*Tabla14[[#This Row],[% INTERES ]]/30*U4582))</f>
        <v>0</v>
      </c>
      <c r="T4582" s="53" t="e">
        <f>Tabla14[[#This Row],[DEUDA CAPITAL]]+Tabla14[[#This Row],[INTERES  CUOTA]]</f>
        <v>#NUM!</v>
      </c>
      <c r="U4582" s="61" t="str">
        <f t="shared" si="729"/>
        <v/>
      </c>
    </row>
    <row r="4583" spans="9:21" ht="24.75" customHeight="1" x14ac:dyDescent="0.35">
      <c r="I4583" s="42">
        <f t="shared" si="720"/>
        <v>0</v>
      </c>
      <c r="J4583" s="65" t="e">
        <f t="shared" si="721"/>
        <v>#NUM!</v>
      </c>
      <c r="K4583" s="83" t="e">
        <f t="shared" si="722"/>
        <v>#NUM!</v>
      </c>
      <c r="L4583" s="83">
        <f t="shared" si="723"/>
        <v>0</v>
      </c>
      <c r="M4583" s="110" t="str">
        <f t="shared" si="724"/>
        <v/>
      </c>
      <c r="N4583" s="51" t="str">
        <f t="shared" si="725"/>
        <v/>
      </c>
      <c r="O4583" s="52" t="str">
        <f t="shared" si="726"/>
        <v/>
      </c>
      <c r="P4583" s="88">
        <f t="shared" si="727"/>
        <v>0</v>
      </c>
      <c r="Q4583" s="88">
        <f t="shared" si="728"/>
        <v>0</v>
      </c>
      <c r="R4583" s="88" t="e">
        <f>-IF(Tabla14[[#This Row],[DIAS HABILES O MORA]]&lt;0,(Tabla14[[#This Row],[VALOR PRESTAMO]]*Tabla14[[#This Row],[% INTERES ]]/30*U4583))+Tabla14[[#This Row],[VALOR CUOTAS]]</f>
        <v>#VALUE!</v>
      </c>
      <c r="S4583" s="88">
        <f>-IF(Tabla14[[#This Row],[DIAS HABILES O MORA]]&lt;0,(Tabla14[[#This Row],[VALOR PRESTAMO]]*Tabla14[[#This Row],[% INTERES ]]/30*U4583))</f>
        <v>0</v>
      </c>
      <c r="T4583" s="53" t="e">
        <f>Tabla14[[#This Row],[DEUDA CAPITAL]]+Tabla14[[#This Row],[INTERES  CUOTA]]</f>
        <v>#NUM!</v>
      </c>
      <c r="U4583" s="61" t="str">
        <f t="shared" si="729"/>
        <v/>
      </c>
    </row>
    <row r="4584" spans="9:21" ht="24.75" customHeight="1" x14ac:dyDescent="0.35">
      <c r="I4584" s="42">
        <f t="shared" si="720"/>
        <v>0</v>
      </c>
      <c r="J4584" s="65" t="e">
        <f t="shared" si="721"/>
        <v>#NUM!</v>
      </c>
      <c r="K4584" s="83" t="e">
        <f t="shared" si="722"/>
        <v>#NUM!</v>
      </c>
      <c r="L4584" s="83">
        <f t="shared" si="723"/>
        <v>0</v>
      </c>
      <c r="M4584" s="110" t="str">
        <f t="shared" si="724"/>
        <v/>
      </c>
      <c r="N4584" s="51" t="str">
        <f t="shared" si="725"/>
        <v/>
      </c>
      <c r="O4584" s="52" t="str">
        <f t="shared" si="726"/>
        <v/>
      </c>
      <c r="P4584" s="88">
        <f t="shared" si="727"/>
        <v>0</v>
      </c>
      <c r="Q4584" s="88">
        <f t="shared" si="728"/>
        <v>0</v>
      </c>
      <c r="R4584" s="88" t="e">
        <f>-IF(Tabla14[[#This Row],[DIAS HABILES O MORA]]&lt;0,(Tabla14[[#This Row],[VALOR PRESTAMO]]*Tabla14[[#This Row],[% INTERES ]]/30*U4584))+Tabla14[[#This Row],[VALOR CUOTAS]]</f>
        <v>#VALUE!</v>
      </c>
      <c r="S4584" s="88">
        <f>-IF(Tabla14[[#This Row],[DIAS HABILES O MORA]]&lt;0,(Tabla14[[#This Row],[VALOR PRESTAMO]]*Tabla14[[#This Row],[% INTERES ]]/30*U4584))</f>
        <v>0</v>
      </c>
      <c r="T4584" s="53" t="e">
        <f>Tabla14[[#This Row],[DEUDA CAPITAL]]+Tabla14[[#This Row],[INTERES  CUOTA]]</f>
        <v>#NUM!</v>
      </c>
      <c r="U4584" s="61" t="str">
        <f t="shared" si="729"/>
        <v/>
      </c>
    </row>
    <row r="4585" spans="9:21" ht="24.75" customHeight="1" x14ac:dyDescent="0.35">
      <c r="I4585" s="42">
        <f t="shared" si="720"/>
        <v>0</v>
      </c>
      <c r="J4585" s="65" t="e">
        <f t="shared" si="721"/>
        <v>#NUM!</v>
      </c>
      <c r="K4585" s="83" t="e">
        <f t="shared" si="722"/>
        <v>#NUM!</v>
      </c>
      <c r="L4585" s="83">
        <f t="shared" si="723"/>
        <v>0</v>
      </c>
      <c r="M4585" s="110" t="str">
        <f t="shared" si="724"/>
        <v/>
      </c>
      <c r="N4585" s="51" t="str">
        <f t="shared" si="725"/>
        <v/>
      </c>
      <c r="O4585" s="52" t="str">
        <f t="shared" si="726"/>
        <v/>
      </c>
      <c r="P4585" s="88">
        <f t="shared" si="727"/>
        <v>0</v>
      </c>
      <c r="Q4585" s="88">
        <f t="shared" si="728"/>
        <v>0</v>
      </c>
      <c r="R4585" s="88" t="e">
        <f>-IF(Tabla14[[#This Row],[DIAS HABILES O MORA]]&lt;0,(Tabla14[[#This Row],[VALOR PRESTAMO]]*Tabla14[[#This Row],[% INTERES ]]/30*U4585))+Tabla14[[#This Row],[VALOR CUOTAS]]</f>
        <v>#VALUE!</v>
      </c>
      <c r="S4585" s="88">
        <f>-IF(Tabla14[[#This Row],[DIAS HABILES O MORA]]&lt;0,(Tabla14[[#This Row],[VALOR PRESTAMO]]*Tabla14[[#This Row],[% INTERES ]]/30*U4585))</f>
        <v>0</v>
      </c>
      <c r="T4585" s="53" t="e">
        <f>Tabla14[[#This Row],[DEUDA CAPITAL]]+Tabla14[[#This Row],[INTERES  CUOTA]]</f>
        <v>#NUM!</v>
      </c>
      <c r="U4585" s="61" t="str">
        <f t="shared" si="729"/>
        <v/>
      </c>
    </row>
    <row r="4586" spans="9:21" ht="24.75" customHeight="1" x14ac:dyDescent="0.35">
      <c r="I4586" s="42">
        <f t="shared" si="720"/>
        <v>0</v>
      </c>
      <c r="J4586" s="65" t="e">
        <f t="shared" si="721"/>
        <v>#NUM!</v>
      </c>
      <c r="K4586" s="83" t="e">
        <f t="shared" si="722"/>
        <v>#NUM!</v>
      </c>
      <c r="L4586" s="83">
        <f t="shared" si="723"/>
        <v>0</v>
      </c>
      <c r="M4586" s="110" t="str">
        <f t="shared" si="724"/>
        <v/>
      </c>
      <c r="N4586" s="51" t="str">
        <f t="shared" si="725"/>
        <v/>
      </c>
      <c r="O4586" s="52" t="str">
        <f t="shared" si="726"/>
        <v/>
      </c>
      <c r="P4586" s="88">
        <f t="shared" si="727"/>
        <v>0</v>
      </c>
      <c r="Q4586" s="88">
        <f t="shared" si="728"/>
        <v>0</v>
      </c>
      <c r="R4586" s="88" t="e">
        <f>-IF(Tabla14[[#This Row],[DIAS HABILES O MORA]]&lt;0,(Tabla14[[#This Row],[VALOR PRESTAMO]]*Tabla14[[#This Row],[% INTERES ]]/30*U4586))+Tabla14[[#This Row],[VALOR CUOTAS]]</f>
        <v>#VALUE!</v>
      </c>
      <c r="S4586" s="88">
        <f>-IF(Tabla14[[#This Row],[DIAS HABILES O MORA]]&lt;0,(Tabla14[[#This Row],[VALOR PRESTAMO]]*Tabla14[[#This Row],[% INTERES ]]/30*U4586))</f>
        <v>0</v>
      </c>
      <c r="T4586" s="53" t="e">
        <f>Tabla14[[#This Row],[DEUDA CAPITAL]]+Tabla14[[#This Row],[INTERES  CUOTA]]</f>
        <v>#NUM!</v>
      </c>
      <c r="U4586" s="61" t="str">
        <f t="shared" si="729"/>
        <v/>
      </c>
    </row>
    <row r="4587" spans="9:21" ht="24.75" customHeight="1" x14ac:dyDescent="0.35">
      <c r="I4587" s="42">
        <f t="shared" si="720"/>
        <v>0</v>
      </c>
      <c r="J4587" s="65" t="e">
        <f t="shared" si="721"/>
        <v>#NUM!</v>
      </c>
      <c r="K4587" s="83" t="e">
        <f t="shared" si="722"/>
        <v>#NUM!</v>
      </c>
      <c r="L4587" s="83">
        <f t="shared" si="723"/>
        <v>0</v>
      </c>
      <c r="M4587" s="110" t="str">
        <f t="shared" si="724"/>
        <v/>
      </c>
      <c r="N4587" s="51" t="str">
        <f t="shared" si="725"/>
        <v/>
      </c>
      <c r="O4587" s="52" t="str">
        <f t="shared" si="726"/>
        <v/>
      </c>
      <c r="P4587" s="88">
        <f t="shared" si="727"/>
        <v>0</v>
      </c>
      <c r="Q4587" s="88">
        <f t="shared" si="728"/>
        <v>0</v>
      </c>
      <c r="R4587" s="88" t="e">
        <f>-IF(Tabla14[[#This Row],[DIAS HABILES O MORA]]&lt;0,(Tabla14[[#This Row],[VALOR PRESTAMO]]*Tabla14[[#This Row],[% INTERES ]]/30*U4587))+Tabla14[[#This Row],[VALOR CUOTAS]]</f>
        <v>#VALUE!</v>
      </c>
      <c r="S4587" s="88">
        <f>-IF(Tabla14[[#This Row],[DIAS HABILES O MORA]]&lt;0,(Tabla14[[#This Row],[VALOR PRESTAMO]]*Tabla14[[#This Row],[% INTERES ]]/30*U4587))</f>
        <v>0</v>
      </c>
      <c r="T4587" s="53" t="e">
        <f>Tabla14[[#This Row],[DEUDA CAPITAL]]+Tabla14[[#This Row],[INTERES  CUOTA]]</f>
        <v>#NUM!</v>
      </c>
      <c r="U4587" s="61" t="str">
        <f t="shared" si="729"/>
        <v/>
      </c>
    </row>
    <row r="4588" spans="9:21" ht="24.75" customHeight="1" x14ac:dyDescent="0.35">
      <c r="I4588" s="42">
        <f t="shared" si="720"/>
        <v>0</v>
      </c>
      <c r="J4588" s="65" t="e">
        <f t="shared" si="721"/>
        <v>#NUM!</v>
      </c>
      <c r="K4588" s="83" t="e">
        <f t="shared" si="722"/>
        <v>#NUM!</v>
      </c>
      <c r="L4588" s="83">
        <f t="shared" si="723"/>
        <v>0</v>
      </c>
      <c r="M4588" s="110" t="str">
        <f t="shared" si="724"/>
        <v/>
      </c>
      <c r="N4588" s="51" t="str">
        <f t="shared" si="725"/>
        <v/>
      </c>
      <c r="O4588" s="52" t="str">
        <f t="shared" si="726"/>
        <v/>
      </c>
      <c r="P4588" s="88">
        <f t="shared" si="727"/>
        <v>0</v>
      </c>
      <c r="Q4588" s="88">
        <f t="shared" si="728"/>
        <v>0</v>
      </c>
      <c r="R4588" s="88" t="e">
        <f>-IF(Tabla14[[#This Row],[DIAS HABILES O MORA]]&lt;0,(Tabla14[[#This Row],[VALOR PRESTAMO]]*Tabla14[[#This Row],[% INTERES ]]/30*U4588))+Tabla14[[#This Row],[VALOR CUOTAS]]</f>
        <v>#VALUE!</v>
      </c>
      <c r="S4588" s="88">
        <f>-IF(Tabla14[[#This Row],[DIAS HABILES O MORA]]&lt;0,(Tabla14[[#This Row],[VALOR PRESTAMO]]*Tabla14[[#This Row],[% INTERES ]]/30*U4588))</f>
        <v>0</v>
      </c>
      <c r="T4588" s="53" t="e">
        <f>Tabla14[[#This Row],[DEUDA CAPITAL]]+Tabla14[[#This Row],[INTERES  CUOTA]]</f>
        <v>#NUM!</v>
      </c>
      <c r="U4588" s="61" t="str">
        <f t="shared" si="729"/>
        <v/>
      </c>
    </row>
    <row r="4589" spans="9:21" ht="24.75" customHeight="1" x14ac:dyDescent="0.35">
      <c r="I4589" s="42">
        <f t="shared" si="720"/>
        <v>0</v>
      </c>
      <c r="J4589" s="65" t="e">
        <f t="shared" si="721"/>
        <v>#NUM!</v>
      </c>
      <c r="K4589" s="83" t="e">
        <f t="shared" si="722"/>
        <v>#NUM!</v>
      </c>
      <c r="L4589" s="83">
        <f t="shared" si="723"/>
        <v>0</v>
      </c>
      <c r="M4589" s="110" t="str">
        <f t="shared" si="724"/>
        <v/>
      </c>
      <c r="N4589" s="51" t="str">
        <f t="shared" si="725"/>
        <v/>
      </c>
      <c r="O4589" s="52" t="str">
        <f t="shared" si="726"/>
        <v/>
      </c>
      <c r="P4589" s="88">
        <f t="shared" si="727"/>
        <v>0</v>
      </c>
      <c r="Q4589" s="88">
        <f t="shared" si="728"/>
        <v>0</v>
      </c>
      <c r="R4589" s="88" t="e">
        <f>-IF(Tabla14[[#This Row],[DIAS HABILES O MORA]]&lt;0,(Tabla14[[#This Row],[VALOR PRESTAMO]]*Tabla14[[#This Row],[% INTERES ]]/30*U4589))+Tabla14[[#This Row],[VALOR CUOTAS]]</f>
        <v>#VALUE!</v>
      </c>
      <c r="S4589" s="88">
        <f>-IF(Tabla14[[#This Row],[DIAS HABILES O MORA]]&lt;0,(Tabla14[[#This Row],[VALOR PRESTAMO]]*Tabla14[[#This Row],[% INTERES ]]/30*U4589))</f>
        <v>0</v>
      </c>
      <c r="T4589" s="53" t="e">
        <f>Tabla14[[#This Row],[DEUDA CAPITAL]]+Tabla14[[#This Row],[INTERES  CUOTA]]</f>
        <v>#NUM!</v>
      </c>
      <c r="U4589" s="61" t="str">
        <f t="shared" si="729"/>
        <v/>
      </c>
    </row>
    <row r="4590" spans="9:21" ht="24.75" customHeight="1" x14ac:dyDescent="0.35">
      <c r="I4590" s="42">
        <f t="shared" si="720"/>
        <v>0</v>
      </c>
      <c r="J4590" s="65" t="e">
        <f t="shared" si="721"/>
        <v>#NUM!</v>
      </c>
      <c r="K4590" s="83" t="e">
        <f t="shared" si="722"/>
        <v>#NUM!</v>
      </c>
      <c r="L4590" s="83">
        <f t="shared" si="723"/>
        <v>0</v>
      </c>
      <c r="M4590" s="110" t="str">
        <f t="shared" si="724"/>
        <v/>
      </c>
      <c r="N4590" s="51" t="str">
        <f t="shared" si="725"/>
        <v/>
      </c>
      <c r="O4590" s="52" t="str">
        <f t="shared" si="726"/>
        <v/>
      </c>
      <c r="P4590" s="88">
        <f t="shared" si="727"/>
        <v>0</v>
      </c>
      <c r="Q4590" s="88">
        <f t="shared" si="728"/>
        <v>0</v>
      </c>
      <c r="R4590" s="88" t="e">
        <f>-IF(Tabla14[[#This Row],[DIAS HABILES O MORA]]&lt;0,(Tabla14[[#This Row],[VALOR PRESTAMO]]*Tabla14[[#This Row],[% INTERES ]]/30*U4590))+Tabla14[[#This Row],[VALOR CUOTAS]]</f>
        <v>#VALUE!</v>
      </c>
      <c r="S4590" s="88">
        <f>-IF(Tabla14[[#This Row],[DIAS HABILES O MORA]]&lt;0,(Tabla14[[#This Row],[VALOR PRESTAMO]]*Tabla14[[#This Row],[% INTERES ]]/30*U4590))</f>
        <v>0</v>
      </c>
      <c r="T4590" s="53" t="e">
        <f>Tabla14[[#This Row],[DEUDA CAPITAL]]+Tabla14[[#This Row],[INTERES  CUOTA]]</f>
        <v>#NUM!</v>
      </c>
      <c r="U4590" s="61" t="str">
        <f t="shared" si="729"/>
        <v/>
      </c>
    </row>
    <row r="4591" spans="9:21" ht="24.75" customHeight="1" x14ac:dyDescent="0.35">
      <c r="I4591" s="42">
        <f t="shared" si="720"/>
        <v>0</v>
      </c>
      <c r="J4591" s="65" t="e">
        <f t="shared" si="721"/>
        <v>#NUM!</v>
      </c>
      <c r="K4591" s="83" t="e">
        <f t="shared" si="722"/>
        <v>#NUM!</v>
      </c>
      <c r="L4591" s="83">
        <f t="shared" si="723"/>
        <v>0</v>
      </c>
      <c r="M4591" s="110" t="str">
        <f t="shared" si="724"/>
        <v/>
      </c>
      <c r="N4591" s="51" t="str">
        <f t="shared" si="725"/>
        <v/>
      </c>
      <c r="O4591" s="52" t="str">
        <f t="shared" si="726"/>
        <v/>
      </c>
      <c r="P4591" s="88">
        <f t="shared" si="727"/>
        <v>0</v>
      </c>
      <c r="Q4591" s="88">
        <f t="shared" si="728"/>
        <v>0</v>
      </c>
      <c r="R4591" s="88" t="e">
        <f>-IF(Tabla14[[#This Row],[DIAS HABILES O MORA]]&lt;0,(Tabla14[[#This Row],[VALOR PRESTAMO]]*Tabla14[[#This Row],[% INTERES ]]/30*U4591))+Tabla14[[#This Row],[VALOR CUOTAS]]</f>
        <v>#VALUE!</v>
      </c>
      <c r="S4591" s="88">
        <f>-IF(Tabla14[[#This Row],[DIAS HABILES O MORA]]&lt;0,(Tabla14[[#This Row],[VALOR PRESTAMO]]*Tabla14[[#This Row],[% INTERES ]]/30*U4591))</f>
        <v>0</v>
      </c>
      <c r="T4591" s="53" t="e">
        <f>Tabla14[[#This Row],[DEUDA CAPITAL]]+Tabla14[[#This Row],[INTERES  CUOTA]]</f>
        <v>#NUM!</v>
      </c>
      <c r="U4591" s="61" t="str">
        <f t="shared" si="729"/>
        <v/>
      </c>
    </row>
    <row r="4592" spans="9:21" ht="24.75" customHeight="1" x14ac:dyDescent="0.35">
      <c r="I4592" s="42">
        <f t="shared" si="720"/>
        <v>0</v>
      </c>
      <c r="J4592" s="65" t="e">
        <f t="shared" si="721"/>
        <v>#NUM!</v>
      </c>
      <c r="K4592" s="83" t="e">
        <f t="shared" si="722"/>
        <v>#NUM!</v>
      </c>
      <c r="L4592" s="83">
        <f t="shared" si="723"/>
        <v>0</v>
      </c>
      <c r="M4592" s="110" t="str">
        <f t="shared" si="724"/>
        <v/>
      </c>
      <c r="N4592" s="51" t="str">
        <f t="shared" si="725"/>
        <v/>
      </c>
      <c r="O4592" s="52" t="str">
        <f t="shared" si="726"/>
        <v/>
      </c>
      <c r="P4592" s="88">
        <f t="shared" si="727"/>
        <v>0</v>
      </c>
      <c r="Q4592" s="88">
        <f t="shared" si="728"/>
        <v>0</v>
      </c>
      <c r="R4592" s="88" t="e">
        <f>-IF(Tabla14[[#This Row],[DIAS HABILES O MORA]]&lt;0,(Tabla14[[#This Row],[VALOR PRESTAMO]]*Tabla14[[#This Row],[% INTERES ]]/30*U4592))+Tabla14[[#This Row],[VALOR CUOTAS]]</f>
        <v>#VALUE!</v>
      </c>
      <c r="S4592" s="88">
        <f>-IF(Tabla14[[#This Row],[DIAS HABILES O MORA]]&lt;0,(Tabla14[[#This Row],[VALOR PRESTAMO]]*Tabla14[[#This Row],[% INTERES ]]/30*U4592))</f>
        <v>0</v>
      </c>
      <c r="T4592" s="53" t="e">
        <f>Tabla14[[#This Row],[DEUDA CAPITAL]]+Tabla14[[#This Row],[INTERES  CUOTA]]</f>
        <v>#NUM!</v>
      </c>
      <c r="U4592" s="61" t="str">
        <f t="shared" si="729"/>
        <v/>
      </c>
    </row>
    <row r="4593" spans="9:21" ht="24.75" customHeight="1" x14ac:dyDescent="0.35">
      <c r="I4593" s="42">
        <f t="shared" si="720"/>
        <v>0</v>
      </c>
      <c r="J4593" s="65" t="e">
        <f t="shared" si="721"/>
        <v>#NUM!</v>
      </c>
      <c r="K4593" s="83" t="e">
        <f t="shared" si="722"/>
        <v>#NUM!</v>
      </c>
      <c r="L4593" s="83">
        <f t="shared" si="723"/>
        <v>0</v>
      </c>
      <c r="M4593" s="110" t="str">
        <f t="shared" si="724"/>
        <v/>
      </c>
      <c r="N4593" s="51" t="str">
        <f t="shared" si="725"/>
        <v/>
      </c>
      <c r="O4593" s="52" t="str">
        <f t="shared" si="726"/>
        <v/>
      </c>
      <c r="P4593" s="88">
        <f t="shared" si="727"/>
        <v>0</v>
      </c>
      <c r="Q4593" s="88">
        <f t="shared" si="728"/>
        <v>0</v>
      </c>
      <c r="R4593" s="88" t="e">
        <f>-IF(Tabla14[[#This Row],[DIAS HABILES O MORA]]&lt;0,(Tabla14[[#This Row],[VALOR PRESTAMO]]*Tabla14[[#This Row],[% INTERES ]]/30*U4593))+Tabla14[[#This Row],[VALOR CUOTAS]]</f>
        <v>#VALUE!</v>
      </c>
      <c r="S4593" s="88">
        <f>-IF(Tabla14[[#This Row],[DIAS HABILES O MORA]]&lt;0,(Tabla14[[#This Row],[VALOR PRESTAMO]]*Tabla14[[#This Row],[% INTERES ]]/30*U4593))</f>
        <v>0</v>
      </c>
      <c r="T4593" s="53" t="e">
        <f>Tabla14[[#This Row],[DEUDA CAPITAL]]+Tabla14[[#This Row],[INTERES  CUOTA]]</f>
        <v>#NUM!</v>
      </c>
      <c r="U4593" s="61" t="str">
        <f t="shared" si="729"/>
        <v/>
      </c>
    </row>
    <row r="4594" spans="9:21" ht="24.75" customHeight="1" x14ac:dyDescent="0.35">
      <c r="I4594" s="42">
        <f t="shared" si="720"/>
        <v>0</v>
      </c>
      <c r="J4594" s="65" t="e">
        <f t="shared" si="721"/>
        <v>#NUM!</v>
      </c>
      <c r="K4594" s="83" t="e">
        <f t="shared" si="722"/>
        <v>#NUM!</v>
      </c>
      <c r="L4594" s="83">
        <f t="shared" si="723"/>
        <v>0</v>
      </c>
      <c r="M4594" s="110" t="str">
        <f t="shared" si="724"/>
        <v/>
      </c>
      <c r="N4594" s="51" t="str">
        <f t="shared" si="725"/>
        <v/>
      </c>
      <c r="O4594" s="52" t="str">
        <f t="shared" si="726"/>
        <v/>
      </c>
      <c r="P4594" s="88">
        <f t="shared" si="727"/>
        <v>0</v>
      </c>
      <c r="Q4594" s="88">
        <f t="shared" si="728"/>
        <v>0</v>
      </c>
      <c r="R4594" s="88" t="e">
        <f>-IF(Tabla14[[#This Row],[DIAS HABILES O MORA]]&lt;0,(Tabla14[[#This Row],[VALOR PRESTAMO]]*Tabla14[[#This Row],[% INTERES ]]/30*U4594))+Tabla14[[#This Row],[VALOR CUOTAS]]</f>
        <v>#VALUE!</v>
      </c>
      <c r="S4594" s="88">
        <f>-IF(Tabla14[[#This Row],[DIAS HABILES O MORA]]&lt;0,(Tabla14[[#This Row],[VALOR PRESTAMO]]*Tabla14[[#This Row],[% INTERES ]]/30*U4594))</f>
        <v>0</v>
      </c>
      <c r="T4594" s="53" t="e">
        <f>Tabla14[[#This Row],[DEUDA CAPITAL]]+Tabla14[[#This Row],[INTERES  CUOTA]]</f>
        <v>#NUM!</v>
      </c>
      <c r="U4594" s="61" t="str">
        <f t="shared" si="729"/>
        <v/>
      </c>
    </row>
    <row r="4595" spans="9:21" ht="24.75" customHeight="1" x14ac:dyDescent="0.35">
      <c r="I4595" s="42">
        <f t="shared" si="720"/>
        <v>0</v>
      </c>
      <c r="J4595" s="65" t="e">
        <f t="shared" si="721"/>
        <v>#NUM!</v>
      </c>
      <c r="K4595" s="83" t="e">
        <f t="shared" si="722"/>
        <v>#NUM!</v>
      </c>
      <c r="L4595" s="83">
        <f t="shared" si="723"/>
        <v>0</v>
      </c>
      <c r="M4595" s="110" t="str">
        <f t="shared" si="724"/>
        <v/>
      </c>
      <c r="N4595" s="51" t="str">
        <f t="shared" si="725"/>
        <v/>
      </c>
      <c r="O4595" s="52" t="str">
        <f t="shared" si="726"/>
        <v/>
      </c>
      <c r="P4595" s="88">
        <f t="shared" si="727"/>
        <v>0</v>
      </c>
      <c r="Q4595" s="88">
        <f t="shared" si="728"/>
        <v>0</v>
      </c>
      <c r="R4595" s="88" t="e">
        <f>-IF(Tabla14[[#This Row],[DIAS HABILES O MORA]]&lt;0,(Tabla14[[#This Row],[VALOR PRESTAMO]]*Tabla14[[#This Row],[% INTERES ]]/30*U4595))+Tabla14[[#This Row],[VALOR CUOTAS]]</f>
        <v>#VALUE!</v>
      </c>
      <c r="S4595" s="88">
        <f>-IF(Tabla14[[#This Row],[DIAS HABILES O MORA]]&lt;0,(Tabla14[[#This Row],[VALOR PRESTAMO]]*Tabla14[[#This Row],[% INTERES ]]/30*U4595))</f>
        <v>0</v>
      </c>
      <c r="T4595" s="53" t="e">
        <f>Tabla14[[#This Row],[DEUDA CAPITAL]]+Tabla14[[#This Row],[INTERES  CUOTA]]</f>
        <v>#NUM!</v>
      </c>
      <c r="U4595" s="61" t="str">
        <f t="shared" si="729"/>
        <v/>
      </c>
    </row>
    <row r="4596" spans="9:21" ht="24.75" customHeight="1" x14ac:dyDescent="0.35">
      <c r="I4596" s="42">
        <f t="shared" si="720"/>
        <v>0</v>
      </c>
      <c r="J4596" s="65" t="e">
        <f t="shared" si="721"/>
        <v>#NUM!</v>
      </c>
      <c r="K4596" s="83" t="e">
        <f t="shared" si="722"/>
        <v>#NUM!</v>
      </c>
      <c r="L4596" s="83">
        <f t="shared" si="723"/>
        <v>0</v>
      </c>
      <c r="M4596" s="110" t="str">
        <f t="shared" si="724"/>
        <v/>
      </c>
      <c r="N4596" s="51" t="str">
        <f t="shared" si="725"/>
        <v/>
      </c>
      <c r="O4596" s="52" t="str">
        <f t="shared" si="726"/>
        <v/>
      </c>
      <c r="P4596" s="88">
        <f t="shared" si="727"/>
        <v>0</v>
      </c>
      <c r="Q4596" s="88">
        <f t="shared" si="728"/>
        <v>0</v>
      </c>
      <c r="R4596" s="88" t="e">
        <f>-IF(Tabla14[[#This Row],[DIAS HABILES O MORA]]&lt;0,(Tabla14[[#This Row],[VALOR PRESTAMO]]*Tabla14[[#This Row],[% INTERES ]]/30*U4596))+Tabla14[[#This Row],[VALOR CUOTAS]]</f>
        <v>#VALUE!</v>
      </c>
      <c r="S4596" s="88">
        <f>-IF(Tabla14[[#This Row],[DIAS HABILES O MORA]]&lt;0,(Tabla14[[#This Row],[VALOR PRESTAMO]]*Tabla14[[#This Row],[% INTERES ]]/30*U4596))</f>
        <v>0</v>
      </c>
      <c r="T4596" s="53" t="e">
        <f>Tabla14[[#This Row],[DEUDA CAPITAL]]+Tabla14[[#This Row],[INTERES  CUOTA]]</f>
        <v>#NUM!</v>
      </c>
      <c r="U4596" s="61" t="str">
        <f t="shared" si="729"/>
        <v/>
      </c>
    </row>
    <row r="4597" spans="9:21" ht="24.75" customHeight="1" x14ac:dyDescent="0.35">
      <c r="I4597" s="42">
        <f t="shared" si="720"/>
        <v>0</v>
      </c>
      <c r="J4597" s="65" t="e">
        <f t="shared" si="721"/>
        <v>#NUM!</v>
      </c>
      <c r="K4597" s="83" t="e">
        <f t="shared" si="722"/>
        <v>#NUM!</v>
      </c>
      <c r="L4597" s="83">
        <f t="shared" si="723"/>
        <v>0</v>
      </c>
      <c r="M4597" s="110" t="str">
        <f t="shared" si="724"/>
        <v/>
      </c>
      <c r="N4597" s="51" t="str">
        <f t="shared" si="725"/>
        <v/>
      </c>
      <c r="O4597" s="52" t="str">
        <f t="shared" si="726"/>
        <v/>
      </c>
      <c r="P4597" s="88">
        <f t="shared" si="727"/>
        <v>0</v>
      </c>
      <c r="Q4597" s="88">
        <f t="shared" si="728"/>
        <v>0</v>
      </c>
      <c r="R4597" s="88" t="e">
        <f>-IF(Tabla14[[#This Row],[DIAS HABILES O MORA]]&lt;0,(Tabla14[[#This Row],[VALOR PRESTAMO]]*Tabla14[[#This Row],[% INTERES ]]/30*U4597))+Tabla14[[#This Row],[VALOR CUOTAS]]</f>
        <v>#VALUE!</v>
      </c>
      <c r="S4597" s="88">
        <f>-IF(Tabla14[[#This Row],[DIAS HABILES O MORA]]&lt;0,(Tabla14[[#This Row],[VALOR PRESTAMO]]*Tabla14[[#This Row],[% INTERES ]]/30*U4597))</f>
        <v>0</v>
      </c>
      <c r="T4597" s="53" t="e">
        <f>Tabla14[[#This Row],[DEUDA CAPITAL]]+Tabla14[[#This Row],[INTERES  CUOTA]]</f>
        <v>#NUM!</v>
      </c>
      <c r="U4597" s="61" t="str">
        <f t="shared" si="729"/>
        <v/>
      </c>
    </row>
    <row r="4598" spans="9:21" ht="24.75" customHeight="1" x14ac:dyDescent="0.35">
      <c r="I4598" s="42">
        <f t="shared" si="720"/>
        <v>0</v>
      </c>
      <c r="J4598" s="65" t="e">
        <f t="shared" si="721"/>
        <v>#NUM!</v>
      </c>
      <c r="K4598" s="83" t="e">
        <f t="shared" si="722"/>
        <v>#NUM!</v>
      </c>
      <c r="L4598" s="83">
        <f t="shared" si="723"/>
        <v>0</v>
      </c>
      <c r="M4598" s="110" t="str">
        <f t="shared" si="724"/>
        <v/>
      </c>
      <c r="N4598" s="51" t="str">
        <f t="shared" si="725"/>
        <v/>
      </c>
      <c r="O4598" s="52" t="str">
        <f t="shared" si="726"/>
        <v/>
      </c>
      <c r="P4598" s="88">
        <f t="shared" si="727"/>
        <v>0</v>
      </c>
      <c r="Q4598" s="88">
        <f t="shared" si="728"/>
        <v>0</v>
      </c>
      <c r="R4598" s="88" t="e">
        <f>-IF(Tabla14[[#This Row],[DIAS HABILES O MORA]]&lt;0,(Tabla14[[#This Row],[VALOR PRESTAMO]]*Tabla14[[#This Row],[% INTERES ]]/30*U4598))+Tabla14[[#This Row],[VALOR CUOTAS]]</f>
        <v>#VALUE!</v>
      </c>
      <c r="S4598" s="88">
        <f>-IF(Tabla14[[#This Row],[DIAS HABILES O MORA]]&lt;0,(Tabla14[[#This Row],[VALOR PRESTAMO]]*Tabla14[[#This Row],[% INTERES ]]/30*U4598))</f>
        <v>0</v>
      </c>
      <c r="T4598" s="53" t="e">
        <f>Tabla14[[#This Row],[DEUDA CAPITAL]]+Tabla14[[#This Row],[INTERES  CUOTA]]</f>
        <v>#NUM!</v>
      </c>
      <c r="U4598" s="61" t="str">
        <f t="shared" si="729"/>
        <v/>
      </c>
    </row>
    <row r="4599" spans="9:21" ht="24.75" customHeight="1" x14ac:dyDescent="0.35">
      <c r="I4599" s="42">
        <f t="shared" si="720"/>
        <v>0</v>
      </c>
      <c r="J4599" s="65" t="e">
        <f t="shared" si="721"/>
        <v>#NUM!</v>
      </c>
      <c r="K4599" s="83" t="e">
        <f t="shared" si="722"/>
        <v>#NUM!</v>
      </c>
      <c r="L4599" s="83">
        <f t="shared" si="723"/>
        <v>0</v>
      </c>
      <c r="M4599" s="110" t="str">
        <f t="shared" si="724"/>
        <v/>
      </c>
      <c r="N4599" s="51" t="str">
        <f t="shared" si="725"/>
        <v/>
      </c>
      <c r="O4599" s="52" t="str">
        <f t="shared" si="726"/>
        <v/>
      </c>
      <c r="P4599" s="88">
        <f t="shared" si="727"/>
        <v>0</v>
      </c>
      <c r="Q4599" s="88">
        <f t="shared" si="728"/>
        <v>0</v>
      </c>
      <c r="R4599" s="88" t="e">
        <f>-IF(Tabla14[[#This Row],[DIAS HABILES O MORA]]&lt;0,(Tabla14[[#This Row],[VALOR PRESTAMO]]*Tabla14[[#This Row],[% INTERES ]]/30*U4599))+Tabla14[[#This Row],[VALOR CUOTAS]]</f>
        <v>#VALUE!</v>
      </c>
      <c r="S4599" s="88">
        <f>-IF(Tabla14[[#This Row],[DIAS HABILES O MORA]]&lt;0,(Tabla14[[#This Row],[VALOR PRESTAMO]]*Tabla14[[#This Row],[% INTERES ]]/30*U4599))</f>
        <v>0</v>
      </c>
      <c r="T4599" s="53" t="e">
        <f>Tabla14[[#This Row],[DEUDA CAPITAL]]+Tabla14[[#This Row],[INTERES  CUOTA]]</f>
        <v>#NUM!</v>
      </c>
      <c r="U4599" s="61" t="str">
        <f t="shared" si="729"/>
        <v/>
      </c>
    </row>
    <row r="4600" spans="9:21" ht="24.75" customHeight="1" x14ac:dyDescent="0.35">
      <c r="I4600" s="42">
        <f t="shared" si="720"/>
        <v>0</v>
      </c>
      <c r="J4600" s="65" t="e">
        <f t="shared" si="721"/>
        <v>#NUM!</v>
      </c>
      <c r="K4600" s="83" t="e">
        <f t="shared" si="722"/>
        <v>#NUM!</v>
      </c>
      <c r="L4600" s="83">
        <f t="shared" si="723"/>
        <v>0</v>
      </c>
      <c r="M4600" s="110" t="str">
        <f t="shared" si="724"/>
        <v/>
      </c>
      <c r="N4600" s="51" t="str">
        <f t="shared" si="725"/>
        <v/>
      </c>
      <c r="O4600" s="52" t="str">
        <f t="shared" si="726"/>
        <v/>
      </c>
      <c r="P4600" s="88">
        <f t="shared" si="727"/>
        <v>0</v>
      </c>
      <c r="Q4600" s="88">
        <f t="shared" si="728"/>
        <v>0</v>
      </c>
      <c r="R4600" s="88" t="e">
        <f>-IF(Tabla14[[#This Row],[DIAS HABILES O MORA]]&lt;0,(Tabla14[[#This Row],[VALOR PRESTAMO]]*Tabla14[[#This Row],[% INTERES ]]/30*U4600))+Tabla14[[#This Row],[VALOR CUOTAS]]</f>
        <v>#VALUE!</v>
      </c>
      <c r="S4600" s="88">
        <f>-IF(Tabla14[[#This Row],[DIAS HABILES O MORA]]&lt;0,(Tabla14[[#This Row],[VALOR PRESTAMO]]*Tabla14[[#This Row],[% INTERES ]]/30*U4600))</f>
        <v>0</v>
      </c>
      <c r="T4600" s="53" t="e">
        <f>Tabla14[[#This Row],[DEUDA CAPITAL]]+Tabla14[[#This Row],[INTERES  CUOTA]]</f>
        <v>#NUM!</v>
      </c>
      <c r="U4600" s="61" t="str">
        <f t="shared" si="729"/>
        <v/>
      </c>
    </row>
    <row r="4601" spans="9:21" ht="24.75" customHeight="1" x14ac:dyDescent="0.35">
      <c r="I4601" s="42">
        <f t="shared" si="720"/>
        <v>0</v>
      </c>
      <c r="J4601" s="65" t="e">
        <f t="shared" si="721"/>
        <v>#NUM!</v>
      </c>
      <c r="K4601" s="83" t="e">
        <f t="shared" si="722"/>
        <v>#NUM!</v>
      </c>
      <c r="L4601" s="83">
        <f t="shared" si="723"/>
        <v>0</v>
      </c>
      <c r="M4601" s="110" t="str">
        <f t="shared" si="724"/>
        <v/>
      </c>
      <c r="N4601" s="51" t="str">
        <f t="shared" si="725"/>
        <v/>
      </c>
      <c r="O4601" s="52" t="str">
        <f t="shared" si="726"/>
        <v/>
      </c>
      <c r="P4601" s="88">
        <f t="shared" si="727"/>
        <v>0</v>
      </c>
      <c r="Q4601" s="88">
        <f t="shared" si="728"/>
        <v>0</v>
      </c>
      <c r="R4601" s="88" t="e">
        <f>-IF(Tabla14[[#This Row],[DIAS HABILES O MORA]]&lt;0,(Tabla14[[#This Row],[VALOR PRESTAMO]]*Tabla14[[#This Row],[% INTERES ]]/30*U4601))+Tabla14[[#This Row],[VALOR CUOTAS]]</f>
        <v>#VALUE!</v>
      </c>
      <c r="S4601" s="88">
        <f>-IF(Tabla14[[#This Row],[DIAS HABILES O MORA]]&lt;0,(Tabla14[[#This Row],[VALOR PRESTAMO]]*Tabla14[[#This Row],[% INTERES ]]/30*U4601))</f>
        <v>0</v>
      </c>
      <c r="T4601" s="53" t="e">
        <f>Tabla14[[#This Row],[DEUDA CAPITAL]]+Tabla14[[#This Row],[INTERES  CUOTA]]</f>
        <v>#NUM!</v>
      </c>
      <c r="U4601" s="61" t="str">
        <f t="shared" si="729"/>
        <v/>
      </c>
    </row>
    <row r="4602" spans="9:21" ht="24.75" customHeight="1" x14ac:dyDescent="0.35">
      <c r="I4602" s="42">
        <f t="shared" si="720"/>
        <v>0</v>
      </c>
      <c r="J4602" s="65" t="e">
        <f t="shared" si="721"/>
        <v>#NUM!</v>
      </c>
      <c r="K4602" s="83" t="e">
        <f t="shared" si="722"/>
        <v>#NUM!</v>
      </c>
      <c r="L4602" s="83">
        <f t="shared" si="723"/>
        <v>0</v>
      </c>
      <c r="M4602" s="110" t="str">
        <f t="shared" si="724"/>
        <v/>
      </c>
      <c r="N4602" s="51" t="str">
        <f t="shared" si="725"/>
        <v/>
      </c>
      <c r="O4602" s="52" t="str">
        <f t="shared" si="726"/>
        <v/>
      </c>
      <c r="P4602" s="88">
        <f t="shared" si="727"/>
        <v>0</v>
      </c>
      <c r="Q4602" s="88">
        <f t="shared" si="728"/>
        <v>0</v>
      </c>
      <c r="R4602" s="88" t="e">
        <f>-IF(Tabla14[[#This Row],[DIAS HABILES O MORA]]&lt;0,(Tabla14[[#This Row],[VALOR PRESTAMO]]*Tabla14[[#This Row],[% INTERES ]]/30*U4602))+Tabla14[[#This Row],[VALOR CUOTAS]]</f>
        <v>#VALUE!</v>
      </c>
      <c r="S4602" s="88">
        <f>-IF(Tabla14[[#This Row],[DIAS HABILES O MORA]]&lt;0,(Tabla14[[#This Row],[VALOR PRESTAMO]]*Tabla14[[#This Row],[% INTERES ]]/30*U4602))</f>
        <v>0</v>
      </c>
      <c r="T4602" s="53" t="e">
        <f>Tabla14[[#This Row],[DEUDA CAPITAL]]+Tabla14[[#This Row],[INTERES  CUOTA]]</f>
        <v>#NUM!</v>
      </c>
      <c r="U4602" s="61" t="str">
        <f t="shared" si="729"/>
        <v/>
      </c>
    </row>
    <row r="4603" spans="9:21" ht="24.75" customHeight="1" x14ac:dyDescent="0.35">
      <c r="I4603" s="42">
        <f t="shared" si="720"/>
        <v>0</v>
      </c>
      <c r="J4603" s="65" t="e">
        <f t="shared" si="721"/>
        <v>#NUM!</v>
      </c>
      <c r="K4603" s="83" t="e">
        <f t="shared" si="722"/>
        <v>#NUM!</v>
      </c>
      <c r="L4603" s="83">
        <f t="shared" si="723"/>
        <v>0</v>
      </c>
      <c r="M4603" s="110" t="str">
        <f t="shared" si="724"/>
        <v/>
      </c>
      <c r="N4603" s="51" t="str">
        <f t="shared" si="725"/>
        <v/>
      </c>
      <c r="O4603" s="52" t="str">
        <f t="shared" si="726"/>
        <v/>
      </c>
      <c r="P4603" s="88">
        <f t="shared" si="727"/>
        <v>0</v>
      </c>
      <c r="Q4603" s="88">
        <f t="shared" si="728"/>
        <v>0</v>
      </c>
      <c r="R4603" s="88" t="e">
        <f>-IF(Tabla14[[#This Row],[DIAS HABILES O MORA]]&lt;0,(Tabla14[[#This Row],[VALOR PRESTAMO]]*Tabla14[[#This Row],[% INTERES ]]/30*U4603))+Tabla14[[#This Row],[VALOR CUOTAS]]</f>
        <v>#VALUE!</v>
      </c>
      <c r="S4603" s="88">
        <f>-IF(Tabla14[[#This Row],[DIAS HABILES O MORA]]&lt;0,(Tabla14[[#This Row],[VALOR PRESTAMO]]*Tabla14[[#This Row],[% INTERES ]]/30*U4603))</f>
        <v>0</v>
      </c>
      <c r="T4603" s="53" t="e">
        <f>Tabla14[[#This Row],[DEUDA CAPITAL]]+Tabla14[[#This Row],[INTERES  CUOTA]]</f>
        <v>#NUM!</v>
      </c>
      <c r="U4603" s="61" t="str">
        <f t="shared" si="729"/>
        <v/>
      </c>
    </row>
    <row r="4604" spans="9:21" ht="24.75" customHeight="1" x14ac:dyDescent="0.35">
      <c r="I4604" s="42">
        <f t="shared" si="720"/>
        <v>0</v>
      </c>
      <c r="J4604" s="65" t="e">
        <f t="shared" si="721"/>
        <v>#NUM!</v>
      </c>
      <c r="K4604" s="83" t="e">
        <f t="shared" si="722"/>
        <v>#NUM!</v>
      </c>
      <c r="L4604" s="83">
        <f t="shared" si="723"/>
        <v>0</v>
      </c>
      <c r="M4604" s="110" t="str">
        <f t="shared" si="724"/>
        <v/>
      </c>
      <c r="N4604" s="51" t="str">
        <f t="shared" si="725"/>
        <v/>
      </c>
      <c r="O4604" s="52" t="str">
        <f t="shared" si="726"/>
        <v/>
      </c>
      <c r="P4604" s="88">
        <f t="shared" si="727"/>
        <v>0</v>
      </c>
      <c r="Q4604" s="88">
        <f t="shared" si="728"/>
        <v>0</v>
      </c>
      <c r="R4604" s="88" t="e">
        <f>-IF(Tabla14[[#This Row],[DIAS HABILES O MORA]]&lt;0,(Tabla14[[#This Row],[VALOR PRESTAMO]]*Tabla14[[#This Row],[% INTERES ]]/30*U4604))+Tabla14[[#This Row],[VALOR CUOTAS]]</f>
        <v>#VALUE!</v>
      </c>
      <c r="S4604" s="88">
        <f>-IF(Tabla14[[#This Row],[DIAS HABILES O MORA]]&lt;0,(Tabla14[[#This Row],[VALOR PRESTAMO]]*Tabla14[[#This Row],[% INTERES ]]/30*U4604))</f>
        <v>0</v>
      </c>
      <c r="T4604" s="53" t="e">
        <f>Tabla14[[#This Row],[DEUDA CAPITAL]]+Tabla14[[#This Row],[INTERES  CUOTA]]</f>
        <v>#NUM!</v>
      </c>
      <c r="U4604" s="61" t="str">
        <f t="shared" si="729"/>
        <v/>
      </c>
    </row>
    <row r="4605" spans="9:21" ht="24.75" customHeight="1" x14ac:dyDescent="0.35">
      <c r="I4605" s="42">
        <f t="shared" si="720"/>
        <v>0</v>
      </c>
      <c r="J4605" s="65" t="e">
        <f t="shared" si="721"/>
        <v>#NUM!</v>
      </c>
      <c r="K4605" s="83" t="e">
        <f t="shared" si="722"/>
        <v>#NUM!</v>
      </c>
      <c r="L4605" s="83">
        <f t="shared" si="723"/>
        <v>0</v>
      </c>
      <c r="M4605" s="110" t="str">
        <f t="shared" si="724"/>
        <v/>
      </c>
      <c r="N4605" s="51" t="str">
        <f t="shared" si="725"/>
        <v/>
      </c>
      <c r="O4605" s="52" t="str">
        <f t="shared" si="726"/>
        <v/>
      </c>
      <c r="P4605" s="88">
        <f t="shared" si="727"/>
        <v>0</v>
      </c>
      <c r="Q4605" s="88">
        <f t="shared" si="728"/>
        <v>0</v>
      </c>
      <c r="R4605" s="88" t="e">
        <f>-IF(Tabla14[[#This Row],[DIAS HABILES O MORA]]&lt;0,(Tabla14[[#This Row],[VALOR PRESTAMO]]*Tabla14[[#This Row],[% INTERES ]]/30*U4605))+Tabla14[[#This Row],[VALOR CUOTAS]]</f>
        <v>#VALUE!</v>
      </c>
      <c r="S4605" s="88">
        <f>-IF(Tabla14[[#This Row],[DIAS HABILES O MORA]]&lt;0,(Tabla14[[#This Row],[VALOR PRESTAMO]]*Tabla14[[#This Row],[% INTERES ]]/30*U4605))</f>
        <v>0</v>
      </c>
      <c r="T4605" s="53" t="e">
        <f>Tabla14[[#This Row],[DEUDA CAPITAL]]+Tabla14[[#This Row],[INTERES  CUOTA]]</f>
        <v>#NUM!</v>
      </c>
      <c r="U4605" s="61" t="str">
        <f t="shared" si="729"/>
        <v/>
      </c>
    </row>
    <row r="4606" spans="9:21" ht="24.75" customHeight="1" x14ac:dyDescent="0.35">
      <c r="I4606" s="42">
        <f t="shared" si="720"/>
        <v>0</v>
      </c>
      <c r="J4606" s="65" t="e">
        <f t="shared" si="721"/>
        <v>#NUM!</v>
      </c>
      <c r="K4606" s="83" t="e">
        <f t="shared" si="722"/>
        <v>#NUM!</v>
      </c>
      <c r="L4606" s="83">
        <f t="shared" si="723"/>
        <v>0</v>
      </c>
      <c r="M4606" s="110" t="str">
        <f t="shared" si="724"/>
        <v/>
      </c>
      <c r="N4606" s="51" t="str">
        <f t="shared" si="725"/>
        <v/>
      </c>
      <c r="O4606" s="52" t="str">
        <f t="shared" si="726"/>
        <v/>
      </c>
      <c r="P4606" s="88">
        <f t="shared" si="727"/>
        <v>0</v>
      </c>
      <c r="Q4606" s="88">
        <f t="shared" si="728"/>
        <v>0</v>
      </c>
      <c r="R4606" s="88" t="e">
        <f>-IF(Tabla14[[#This Row],[DIAS HABILES O MORA]]&lt;0,(Tabla14[[#This Row],[VALOR PRESTAMO]]*Tabla14[[#This Row],[% INTERES ]]/30*U4606))+Tabla14[[#This Row],[VALOR CUOTAS]]</f>
        <v>#VALUE!</v>
      </c>
      <c r="S4606" s="88">
        <f>-IF(Tabla14[[#This Row],[DIAS HABILES O MORA]]&lt;0,(Tabla14[[#This Row],[VALOR PRESTAMO]]*Tabla14[[#This Row],[% INTERES ]]/30*U4606))</f>
        <v>0</v>
      </c>
      <c r="T4606" s="53" t="e">
        <f>Tabla14[[#This Row],[DEUDA CAPITAL]]+Tabla14[[#This Row],[INTERES  CUOTA]]</f>
        <v>#NUM!</v>
      </c>
      <c r="U4606" s="61" t="str">
        <f t="shared" si="729"/>
        <v/>
      </c>
    </row>
    <row r="4607" spans="9:21" ht="24.75" customHeight="1" x14ac:dyDescent="0.35">
      <c r="I4607" s="42">
        <f t="shared" si="720"/>
        <v>0</v>
      </c>
      <c r="J4607" s="65" t="e">
        <f t="shared" si="721"/>
        <v>#NUM!</v>
      </c>
      <c r="K4607" s="83" t="e">
        <f t="shared" si="722"/>
        <v>#NUM!</v>
      </c>
      <c r="L4607" s="83">
        <f t="shared" si="723"/>
        <v>0</v>
      </c>
      <c r="M4607" s="110" t="str">
        <f t="shared" si="724"/>
        <v/>
      </c>
      <c r="N4607" s="51" t="str">
        <f t="shared" si="725"/>
        <v/>
      </c>
      <c r="O4607" s="52" t="str">
        <f t="shared" si="726"/>
        <v/>
      </c>
      <c r="P4607" s="88">
        <f t="shared" si="727"/>
        <v>0</v>
      </c>
      <c r="Q4607" s="88">
        <f t="shared" si="728"/>
        <v>0</v>
      </c>
      <c r="R4607" s="88" t="e">
        <f>-IF(Tabla14[[#This Row],[DIAS HABILES O MORA]]&lt;0,(Tabla14[[#This Row],[VALOR PRESTAMO]]*Tabla14[[#This Row],[% INTERES ]]/30*U4607))+Tabla14[[#This Row],[VALOR CUOTAS]]</f>
        <v>#VALUE!</v>
      </c>
      <c r="S4607" s="88">
        <f>-IF(Tabla14[[#This Row],[DIAS HABILES O MORA]]&lt;0,(Tabla14[[#This Row],[VALOR PRESTAMO]]*Tabla14[[#This Row],[% INTERES ]]/30*U4607))</f>
        <v>0</v>
      </c>
      <c r="T4607" s="53" t="e">
        <f>Tabla14[[#This Row],[DEUDA CAPITAL]]+Tabla14[[#This Row],[INTERES  CUOTA]]</f>
        <v>#NUM!</v>
      </c>
      <c r="U4607" s="61" t="str">
        <f t="shared" si="729"/>
        <v/>
      </c>
    </row>
    <row r="4608" spans="9:21" ht="24.75" customHeight="1" x14ac:dyDescent="0.35">
      <c r="I4608" s="42">
        <f t="shared" si="720"/>
        <v>0</v>
      </c>
      <c r="J4608" s="65" t="e">
        <f t="shared" si="721"/>
        <v>#NUM!</v>
      </c>
      <c r="K4608" s="83" t="e">
        <f t="shared" si="722"/>
        <v>#NUM!</v>
      </c>
      <c r="L4608" s="83">
        <f t="shared" si="723"/>
        <v>0</v>
      </c>
      <c r="M4608" s="110" t="str">
        <f t="shared" si="724"/>
        <v/>
      </c>
      <c r="N4608" s="51" t="str">
        <f t="shared" si="725"/>
        <v/>
      </c>
      <c r="O4608" s="52" t="str">
        <f t="shared" si="726"/>
        <v/>
      </c>
      <c r="P4608" s="88">
        <f t="shared" si="727"/>
        <v>0</v>
      </c>
      <c r="Q4608" s="88">
        <f t="shared" si="728"/>
        <v>0</v>
      </c>
      <c r="R4608" s="88" t="e">
        <f>-IF(Tabla14[[#This Row],[DIAS HABILES O MORA]]&lt;0,(Tabla14[[#This Row],[VALOR PRESTAMO]]*Tabla14[[#This Row],[% INTERES ]]/30*U4608))+Tabla14[[#This Row],[VALOR CUOTAS]]</f>
        <v>#VALUE!</v>
      </c>
      <c r="S4608" s="88">
        <f>-IF(Tabla14[[#This Row],[DIAS HABILES O MORA]]&lt;0,(Tabla14[[#This Row],[VALOR PRESTAMO]]*Tabla14[[#This Row],[% INTERES ]]/30*U4608))</f>
        <v>0</v>
      </c>
      <c r="T4608" s="53" t="e">
        <f>Tabla14[[#This Row],[DEUDA CAPITAL]]+Tabla14[[#This Row],[INTERES  CUOTA]]</f>
        <v>#NUM!</v>
      </c>
      <c r="U4608" s="61" t="str">
        <f t="shared" si="729"/>
        <v/>
      </c>
    </row>
    <row r="4609" spans="9:21" ht="24.75" customHeight="1" x14ac:dyDescent="0.35">
      <c r="I4609" s="42">
        <f t="shared" si="720"/>
        <v>0</v>
      </c>
      <c r="J4609" s="65" t="e">
        <f t="shared" si="721"/>
        <v>#NUM!</v>
      </c>
      <c r="K4609" s="83" t="e">
        <f t="shared" si="722"/>
        <v>#NUM!</v>
      </c>
      <c r="L4609" s="83">
        <f t="shared" si="723"/>
        <v>0</v>
      </c>
      <c r="M4609" s="110" t="str">
        <f t="shared" si="724"/>
        <v/>
      </c>
      <c r="N4609" s="51" t="str">
        <f t="shared" si="725"/>
        <v/>
      </c>
      <c r="O4609" s="52" t="str">
        <f t="shared" si="726"/>
        <v/>
      </c>
      <c r="P4609" s="88">
        <f t="shared" si="727"/>
        <v>0</v>
      </c>
      <c r="Q4609" s="88">
        <f t="shared" si="728"/>
        <v>0</v>
      </c>
      <c r="R4609" s="88" t="e">
        <f>-IF(Tabla14[[#This Row],[DIAS HABILES O MORA]]&lt;0,(Tabla14[[#This Row],[VALOR PRESTAMO]]*Tabla14[[#This Row],[% INTERES ]]/30*U4609))+Tabla14[[#This Row],[VALOR CUOTAS]]</f>
        <v>#VALUE!</v>
      </c>
      <c r="S4609" s="88">
        <f>-IF(Tabla14[[#This Row],[DIAS HABILES O MORA]]&lt;0,(Tabla14[[#This Row],[VALOR PRESTAMO]]*Tabla14[[#This Row],[% INTERES ]]/30*U4609))</f>
        <v>0</v>
      </c>
      <c r="T4609" s="53" t="e">
        <f>Tabla14[[#This Row],[DEUDA CAPITAL]]+Tabla14[[#This Row],[INTERES  CUOTA]]</f>
        <v>#NUM!</v>
      </c>
      <c r="U4609" s="61" t="str">
        <f t="shared" si="729"/>
        <v/>
      </c>
    </row>
    <row r="4610" spans="9:21" ht="24.75" customHeight="1" x14ac:dyDescent="0.35">
      <c r="I4610" s="42">
        <f t="shared" si="720"/>
        <v>0</v>
      </c>
      <c r="J4610" s="65" t="e">
        <f t="shared" si="721"/>
        <v>#NUM!</v>
      </c>
      <c r="K4610" s="83" t="e">
        <f t="shared" si="722"/>
        <v>#NUM!</v>
      </c>
      <c r="L4610" s="83">
        <f t="shared" si="723"/>
        <v>0</v>
      </c>
      <c r="M4610" s="110" t="str">
        <f t="shared" si="724"/>
        <v/>
      </c>
      <c r="N4610" s="51" t="str">
        <f t="shared" si="725"/>
        <v/>
      </c>
      <c r="O4610" s="52" t="str">
        <f t="shared" si="726"/>
        <v/>
      </c>
      <c r="P4610" s="88">
        <f t="shared" si="727"/>
        <v>0</v>
      </c>
      <c r="Q4610" s="88">
        <f t="shared" si="728"/>
        <v>0</v>
      </c>
      <c r="R4610" s="88" t="e">
        <f>-IF(Tabla14[[#This Row],[DIAS HABILES O MORA]]&lt;0,(Tabla14[[#This Row],[VALOR PRESTAMO]]*Tabla14[[#This Row],[% INTERES ]]/30*U4610))+Tabla14[[#This Row],[VALOR CUOTAS]]</f>
        <v>#VALUE!</v>
      </c>
      <c r="S4610" s="88">
        <f>-IF(Tabla14[[#This Row],[DIAS HABILES O MORA]]&lt;0,(Tabla14[[#This Row],[VALOR PRESTAMO]]*Tabla14[[#This Row],[% INTERES ]]/30*U4610))</f>
        <v>0</v>
      </c>
      <c r="T4610" s="53" t="e">
        <f>Tabla14[[#This Row],[DEUDA CAPITAL]]+Tabla14[[#This Row],[INTERES  CUOTA]]</f>
        <v>#NUM!</v>
      </c>
      <c r="U4610" s="61" t="str">
        <f t="shared" si="729"/>
        <v/>
      </c>
    </row>
    <row r="4611" spans="9:21" ht="24.75" customHeight="1" x14ac:dyDescent="0.35">
      <c r="I4611" s="42">
        <f t="shared" si="720"/>
        <v>0</v>
      </c>
      <c r="J4611" s="65" t="e">
        <f t="shared" si="721"/>
        <v>#NUM!</v>
      </c>
      <c r="K4611" s="83" t="e">
        <f t="shared" si="722"/>
        <v>#NUM!</v>
      </c>
      <c r="L4611" s="83">
        <f t="shared" si="723"/>
        <v>0</v>
      </c>
      <c r="M4611" s="110" t="str">
        <f t="shared" si="724"/>
        <v/>
      </c>
      <c r="N4611" s="51" t="str">
        <f t="shared" si="725"/>
        <v/>
      </c>
      <c r="O4611" s="52" t="str">
        <f t="shared" si="726"/>
        <v/>
      </c>
      <c r="P4611" s="88">
        <f t="shared" si="727"/>
        <v>0</v>
      </c>
      <c r="Q4611" s="88">
        <f t="shared" si="728"/>
        <v>0</v>
      </c>
      <c r="R4611" s="88" t="e">
        <f>-IF(Tabla14[[#This Row],[DIAS HABILES O MORA]]&lt;0,(Tabla14[[#This Row],[VALOR PRESTAMO]]*Tabla14[[#This Row],[% INTERES ]]/30*U4611))+Tabla14[[#This Row],[VALOR CUOTAS]]</f>
        <v>#VALUE!</v>
      </c>
      <c r="S4611" s="88">
        <f>-IF(Tabla14[[#This Row],[DIAS HABILES O MORA]]&lt;0,(Tabla14[[#This Row],[VALOR PRESTAMO]]*Tabla14[[#This Row],[% INTERES ]]/30*U4611))</f>
        <v>0</v>
      </c>
      <c r="T4611" s="53" t="e">
        <f>Tabla14[[#This Row],[DEUDA CAPITAL]]+Tabla14[[#This Row],[INTERES  CUOTA]]</f>
        <v>#NUM!</v>
      </c>
      <c r="U4611" s="61" t="str">
        <f t="shared" si="729"/>
        <v/>
      </c>
    </row>
    <row r="4612" spans="9:21" ht="24.75" customHeight="1" x14ac:dyDescent="0.35">
      <c r="I4612" s="42">
        <f t="shared" si="720"/>
        <v>0</v>
      </c>
      <c r="J4612" s="65" t="e">
        <f t="shared" si="721"/>
        <v>#NUM!</v>
      </c>
      <c r="K4612" s="83" t="e">
        <f t="shared" si="722"/>
        <v>#NUM!</v>
      </c>
      <c r="L4612" s="83">
        <f t="shared" si="723"/>
        <v>0</v>
      </c>
      <c r="M4612" s="110" t="str">
        <f t="shared" si="724"/>
        <v/>
      </c>
      <c r="N4612" s="51" t="str">
        <f t="shared" si="725"/>
        <v/>
      </c>
      <c r="O4612" s="52" t="str">
        <f t="shared" si="726"/>
        <v/>
      </c>
      <c r="P4612" s="88">
        <f t="shared" si="727"/>
        <v>0</v>
      </c>
      <c r="Q4612" s="88">
        <f t="shared" si="728"/>
        <v>0</v>
      </c>
      <c r="R4612" s="88" t="e">
        <f>-IF(Tabla14[[#This Row],[DIAS HABILES O MORA]]&lt;0,(Tabla14[[#This Row],[VALOR PRESTAMO]]*Tabla14[[#This Row],[% INTERES ]]/30*U4612))+Tabla14[[#This Row],[VALOR CUOTAS]]</f>
        <v>#VALUE!</v>
      </c>
      <c r="S4612" s="88">
        <f>-IF(Tabla14[[#This Row],[DIAS HABILES O MORA]]&lt;0,(Tabla14[[#This Row],[VALOR PRESTAMO]]*Tabla14[[#This Row],[% INTERES ]]/30*U4612))</f>
        <v>0</v>
      </c>
      <c r="T4612" s="53" t="e">
        <f>Tabla14[[#This Row],[DEUDA CAPITAL]]+Tabla14[[#This Row],[INTERES  CUOTA]]</f>
        <v>#NUM!</v>
      </c>
      <c r="U4612" s="61" t="str">
        <f t="shared" si="729"/>
        <v/>
      </c>
    </row>
    <row r="4613" spans="9:21" ht="24.75" customHeight="1" x14ac:dyDescent="0.35">
      <c r="I4613" s="42">
        <f t="shared" si="720"/>
        <v>0</v>
      </c>
      <c r="J4613" s="65" t="e">
        <f t="shared" si="721"/>
        <v>#NUM!</v>
      </c>
      <c r="K4613" s="83" t="e">
        <f t="shared" si="722"/>
        <v>#NUM!</v>
      </c>
      <c r="L4613" s="83">
        <f t="shared" si="723"/>
        <v>0</v>
      </c>
      <c r="M4613" s="110" t="str">
        <f t="shared" si="724"/>
        <v/>
      </c>
      <c r="N4613" s="51" t="str">
        <f t="shared" si="725"/>
        <v/>
      </c>
      <c r="O4613" s="52" t="str">
        <f t="shared" si="726"/>
        <v/>
      </c>
      <c r="P4613" s="88">
        <f t="shared" si="727"/>
        <v>0</v>
      </c>
      <c r="Q4613" s="88">
        <f t="shared" si="728"/>
        <v>0</v>
      </c>
      <c r="R4613" s="88" t="e">
        <f>-IF(Tabla14[[#This Row],[DIAS HABILES O MORA]]&lt;0,(Tabla14[[#This Row],[VALOR PRESTAMO]]*Tabla14[[#This Row],[% INTERES ]]/30*U4613))+Tabla14[[#This Row],[VALOR CUOTAS]]</f>
        <v>#VALUE!</v>
      </c>
      <c r="S4613" s="88">
        <f>-IF(Tabla14[[#This Row],[DIAS HABILES O MORA]]&lt;0,(Tabla14[[#This Row],[VALOR PRESTAMO]]*Tabla14[[#This Row],[% INTERES ]]/30*U4613))</f>
        <v>0</v>
      </c>
      <c r="T4613" s="53" t="e">
        <f>Tabla14[[#This Row],[DEUDA CAPITAL]]+Tabla14[[#This Row],[INTERES  CUOTA]]</f>
        <v>#NUM!</v>
      </c>
      <c r="U4613" s="61" t="str">
        <f t="shared" si="729"/>
        <v/>
      </c>
    </row>
    <row r="4614" spans="9:21" ht="24.75" customHeight="1" x14ac:dyDescent="0.35">
      <c r="I4614" s="42">
        <f t="shared" si="720"/>
        <v>0</v>
      </c>
      <c r="J4614" s="65" t="e">
        <f t="shared" si="721"/>
        <v>#NUM!</v>
      </c>
      <c r="K4614" s="83" t="e">
        <f t="shared" si="722"/>
        <v>#NUM!</v>
      </c>
      <c r="L4614" s="83">
        <f t="shared" si="723"/>
        <v>0</v>
      </c>
      <c r="M4614" s="110" t="str">
        <f t="shared" si="724"/>
        <v/>
      </c>
      <c r="N4614" s="51" t="str">
        <f t="shared" si="725"/>
        <v/>
      </c>
      <c r="O4614" s="52" t="str">
        <f t="shared" si="726"/>
        <v/>
      </c>
      <c r="P4614" s="88">
        <f t="shared" si="727"/>
        <v>0</v>
      </c>
      <c r="Q4614" s="88">
        <f t="shared" si="728"/>
        <v>0</v>
      </c>
      <c r="R4614" s="88" t="e">
        <f>-IF(Tabla14[[#This Row],[DIAS HABILES O MORA]]&lt;0,(Tabla14[[#This Row],[VALOR PRESTAMO]]*Tabla14[[#This Row],[% INTERES ]]/30*U4614))+Tabla14[[#This Row],[VALOR CUOTAS]]</f>
        <v>#VALUE!</v>
      </c>
      <c r="S4614" s="88">
        <f>-IF(Tabla14[[#This Row],[DIAS HABILES O MORA]]&lt;0,(Tabla14[[#This Row],[VALOR PRESTAMO]]*Tabla14[[#This Row],[% INTERES ]]/30*U4614))</f>
        <v>0</v>
      </c>
      <c r="T4614" s="53" t="e">
        <f>Tabla14[[#This Row],[DEUDA CAPITAL]]+Tabla14[[#This Row],[INTERES  CUOTA]]</f>
        <v>#NUM!</v>
      </c>
      <c r="U4614" s="61" t="str">
        <f t="shared" si="729"/>
        <v/>
      </c>
    </row>
    <row r="4615" spans="9:21" ht="24.75" customHeight="1" x14ac:dyDescent="0.35">
      <c r="I4615" s="42">
        <f t="shared" si="720"/>
        <v>0</v>
      </c>
      <c r="J4615" s="65" t="e">
        <f t="shared" si="721"/>
        <v>#NUM!</v>
      </c>
      <c r="K4615" s="83" t="e">
        <f t="shared" si="722"/>
        <v>#NUM!</v>
      </c>
      <c r="L4615" s="83">
        <f t="shared" si="723"/>
        <v>0</v>
      </c>
      <c r="M4615" s="110" t="str">
        <f t="shared" si="724"/>
        <v/>
      </c>
      <c r="N4615" s="51" t="str">
        <f t="shared" si="725"/>
        <v/>
      </c>
      <c r="O4615" s="52" t="str">
        <f t="shared" si="726"/>
        <v/>
      </c>
      <c r="P4615" s="88">
        <f t="shared" si="727"/>
        <v>0</v>
      </c>
      <c r="Q4615" s="88">
        <f t="shared" si="728"/>
        <v>0</v>
      </c>
      <c r="R4615" s="88" t="e">
        <f>-IF(Tabla14[[#This Row],[DIAS HABILES O MORA]]&lt;0,(Tabla14[[#This Row],[VALOR PRESTAMO]]*Tabla14[[#This Row],[% INTERES ]]/30*U4615))+Tabla14[[#This Row],[VALOR CUOTAS]]</f>
        <v>#VALUE!</v>
      </c>
      <c r="S4615" s="88">
        <f>-IF(Tabla14[[#This Row],[DIAS HABILES O MORA]]&lt;0,(Tabla14[[#This Row],[VALOR PRESTAMO]]*Tabla14[[#This Row],[% INTERES ]]/30*U4615))</f>
        <v>0</v>
      </c>
      <c r="T4615" s="53" t="e">
        <f>Tabla14[[#This Row],[DEUDA CAPITAL]]+Tabla14[[#This Row],[INTERES  CUOTA]]</f>
        <v>#NUM!</v>
      </c>
      <c r="U4615" s="61" t="str">
        <f t="shared" si="729"/>
        <v/>
      </c>
    </row>
    <row r="4616" spans="9:21" ht="24.75" customHeight="1" x14ac:dyDescent="0.35">
      <c r="I4616" s="42">
        <f t="shared" si="720"/>
        <v>0</v>
      </c>
      <c r="J4616" s="65" t="e">
        <f t="shared" si="721"/>
        <v>#NUM!</v>
      </c>
      <c r="K4616" s="83" t="e">
        <f t="shared" si="722"/>
        <v>#NUM!</v>
      </c>
      <c r="L4616" s="83">
        <f t="shared" si="723"/>
        <v>0</v>
      </c>
      <c r="M4616" s="110" t="str">
        <f t="shared" si="724"/>
        <v/>
      </c>
      <c r="N4616" s="51" t="str">
        <f t="shared" si="725"/>
        <v/>
      </c>
      <c r="O4616" s="52" t="str">
        <f t="shared" si="726"/>
        <v/>
      </c>
      <c r="P4616" s="88">
        <f t="shared" si="727"/>
        <v>0</v>
      </c>
      <c r="Q4616" s="88">
        <f t="shared" si="728"/>
        <v>0</v>
      </c>
      <c r="R4616" s="88" t="e">
        <f>-IF(Tabla14[[#This Row],[DIAS HABILES O MORA]]&lt;0,(Tabla14[[#This Row],[VALOR PRESTAMO]]*Tabla14[[#This Row],[% INTERES ]]/30*U4616))+Tabla14[[#This Row],[VALOR CUOTAS]]</f>
        <v>#VALUE!</v>
      </c>
      <c r="S4616" s="88">
        <f>-IF(Tabla14[[#This Row],[DIAS HABILES O MORA]]&lt;0,(Tabla14[[#This Row],[VALOR PRESTAMO]]*Tabla14[[#This Row],[% INTERES ]]/30*U4616))</f>
        <v>0</v>
      </c>
      <c r="T4616" s="53" t="e">
        <f>Tabla14[[#This Row],[DEUDA CAPITAL]]+Tabla14[[#This Row],[INTERES  CUOTA]]</f>
        <v>#NUM!</v>
      </c>
      <c r="U4616" s="61" t="str">
        <f t="shared" si="729"/>
        <v/>
      </c>
    </row>
    <row r="4617" spans="9:21" ht="24.75" customHeight="1" x14ac:dyDescent="0.35">
      <c r="I4617" s="42">
        <f t="shared" si="720"/>
        <v>0</v>
      </c>
      <c r="J4617" s="65" t="e">
        <f t="shared" si="721"/>
        <v>#NUM!</v>
      </c>
      <c r="K4617" s="83" t="e">
        <f t="shared" si="722"/>
        <v>#NUM!</v>
      </c>
      <c r="L4617" s="83">
        <f t="shared" si="723"/>
        <v>0</v>
      </c>
      <c r="M4617" s="110" t="str">
        <f t="shared" si="724"/>
        <v/>
      </c>
      <c r="N4617" s="51" t="str">
        <f t="shared" si="725"/>
        <v/>
      </c>
      <c r="O4617" s="52" t="str">
        <f t="shared" si="726"/>
        <v/>
      </c>
      <c r="P4617" s="88">
        <f t="shared" si="727"/>
        <v>0</v>
      </c>
      <c r="Q4617" s="88">
        <f t="shared" si="728"/>
        <v>0</v>
      </c>
      <c r="R4617" s="88" t="e">
        <f>-IF(Tabla14[[#This Row],[DIAS HABILES O MORA]]&lt;0,(Tabla14[[#This Row],[VALOR PRESTAMO]]*Tabla14[[#This Row],[% INTERES ]]/30*U4617))+Tabla14[[#This Row],[VALOR CUOTAS]]</f>
        <v>#VALUE!</v>
      </c>
      <c r="S4617" s="88">
        <f>-IF(Tabla14[[#This Row],[DIAS HABILES O MORA]]&lt;0,(Tabla14[[#This Row],[VALOR PRESTAMO]]*Tabla14[[#This Row],[% INTERES ]]/30*U4617))</f>
        <v>0</v>
      </c>
      <c r="T4617" s="53" t="e">
        <f>Tabla14[[#This Row],[DEUDA CAPITAL]]+Tabla14[[#This Row],[INTERES  CUOTA]]</f>
        <v>#NUM!</v>
      </c>
      <c r="U4617" s="61" t="str">
        <f t="shared" si="729"/>
        <v/>
      </c>
    </row>
    <row r="4618" spans="9:21" ht="24.75" customHeight="1" x14ac:dyDescent="0.35">
      <c r="I4618" s="42">
        <f t="shared" si="720"/>
        <v>0</v>
      </c>
      <c r="J4618" s="65" t="e">
        <f t="shared" si="721"/>
        <v>#NUM!</v>
      </c>
      <c r="K4618" s="83" t="e">
        <f t="shared" si="722"/>
        <v>#NUM!</v>
      </c>
      <c r="L4618" s="83">
        <f t="shared" si="723"/>
        <v>0</v>
      </c>
      <c r="M4618" s="110" t="str">
        <f t="shared" si="724"/>
        <v/>
      </c>
      <c r="N4618" s="51" t="str">
        <f t="shared" si="725"/>
        <v/>
      </c>
      <c r="O4618" s="52" t="str">
        <f t="shared" si="726"/>
        <v/>
      </c>
      <c r="P4618" s="88">
        <f t="shared" si="727"/>
        <v>0</v>
      </c>
      <c r="Q4618" s="88">
        <f t="shared" si="728"/>
        <v>0</v>
      </c>
      <c r="R4618" s="88" t="e">
        <f>-IF(Tabla14[[#This Row],[DIAS HABILES O MORA]]&lt;0,(Tabla14[[#This Row],[VALOR PRESTAMO]]*Tabla14[[#This Row],[% INTERES ]]/30*U4618))+Tabla14[[#This Row],[VALOR CUOTAS]]</f>
        <v>#VALUE!</v>
      </c>
      <c r="S4618" s="88">
        <f>-IF(Tabla14[[#This Row],[DIAS HABILES O MORA]]&lt;0,(Tabla14[[#This Row],[VALOR PRESTAMO]]*Tabla14[[#This Row],[% INTERES ]]/30*U4618))</f>
        <v>0</v>
      </c>
      <c r="T4618" s="53" t="e">
        <f>Tabla14[[#This Row],[DEUDA CAPITAL]]+Tabla14[[#This Row],[INTERES  CUOTA]]</f>
        <v>#NUM!</v>
      </c>
      <c r="U4618" s="61" t="str">
        <f t="shared" si="729"/>
        <v/>
      </c>
    </row>
    <row r="4619" spans="9:21" ht="24.75" customHeight="1" x14ac:dyDescent="0.35">
      <c r="I4619" s="42">
        <f t="shared" si="720"/>
        <v>0</v>
      </c>
      <c r="J4619" s="65" t="e">
        <f t="shared" si="721"/>
        <v>#NUM!</v>
      </c>
      <c r="K4619" s="83" t="e">
        <f t="shared" si="722"/>
        <v>#NUM!</v>
      </c>
      <c r="L4619" s="83">
        <f t="shared" si="723"/>
        <v>0</v>
      </c>
      <c r="M4619" s="110" t="str">
        <f t="shared" si="724"/>
        <v/>
      </c>
      <c r="N4619" s="51" t="str">
        <f t="shared" si="725"/>
        <v/>
      </c>
      <c r="O4619" s="52" t="str">
        <f t="shared" si="726"/>
        <v/>
      </c>
      <c r="P4619" s="88">
        <f t="shared" si="727"/>
        <v>0</v>
      </c>
      <c r="Q4619" s="88">
        <f t="shared" si="728"/>
        <v>0</v>
      </c>
      <c r="R4619" s="88" t="e">
        <f>-IF(Tabla14[[#This Row],[DIAS HABILES O MORA]]&lt;0,(Tabla14[[#This Row],[VALOR PRESTAMO]]*Tabla14[[#This Row],[% INTERES ]]/30*U4619))+Tabla14[[#This Row],[VALOR CUOTAS]]</f>
        <v>#VALUE!</v>
      </c>
      <c r="S4619" s="88">
        <f>-IF(Tabla14[[#This Row],[DIAS HABILES O MORA]]&lt;0,(Tabla14[[#This Row],[VALOR PRESTAMO]]*Tabla14[[#This Row],[% INTERES ]]/30*U4619))</f>
        <v>0</v>
      </c>
      <c r="T4619" s="53" t="e">
        <f>Tabla14[[#This Row],[DEUDA CAPITAL]]+Tabla14[[#This Row],[INTERES  CUOTA]]</f>
        <v>#NUM!</v>
      </c>
      <c r="U4619" s="61" t="str">
        <f t="shared" si="729"/>
        <v/>
      </c>
    </row>
    <row r="4620" spans="9:21" ht="24.75" customHeight="1" x14ac:dyDescent="0.35">
      <c r="I4620" s="42">
        <f t="shared" si="720"/>
        <v>0</v>
      </c>
      <c r="J4620" s="65" t="e">
        <f t="shared" si="721"/>
        <v>#NUM!</v>
      </c>
      <c r="K4620" s="83" t="e">
        <f t="shared" si="722"/>
        <v>#NUM!</v>
      </c>
      <c r="L4620" s="83">
        <f t="shared" si="723"/>
        <v>0</v>
      </c>
      <c r="M4620" s="110" t="str">
        <f t="shared" si="724"/>
        <v/>
      </c>
      <c r="N4620" s="51" t="str">
        <f t="shared" si="725"/>
        <v/>
      </c>
      <c r="O4620" s="52" t="str">
        <f t="shared" si="726"/>
        <v/>
      </c>
      <c r="P4620" s="88">
        <f t="shared" si="727"/>
        <v>0</v>
      </c>
      <c r="Q4620" s="88">
        <f t="shared" si="728"/>
        <v>0</v>
      </c>
      <c r="R4620" s="88" t="e">
        <f>-IF(Tabla14[[#This Row],[DIAS HABILES O MORA]]&lt;0,(Tabla14[[#This Row],[VALOR PRESTAMO]]*Tabla14[[#This Row],[% INTERES ]]/30*U4620))+Tabla14[[#This Row],[VALOR CUOTAS]]</f>
        <v>#VALUE!</v>
      </c>
      <c r="S4620" s="88">
        <f>-IF(Tabla14[[#This Row],[DIAS HABILES O MORA]]&lt;0,(Tabla14[[#This Row],[VALOR PRESTAMO]]*Tabla14[[#This Row],[% INTERES ]]/30*U4620))</f>
        <v>0</v>
      </c>
      <c r="T4620" s="53" t="e">
        <f>Tabla14[[#This Row],[DEUDA CAPITAL]]+Tabla14[[#This Row],[INTERES  CUOTA]]</f>
        <v>#NUM!</v>
      </c>
      <c r="U4620" s="61" t="str">
        <f t="shared" si="729"/>
        <v/>
      </c>
    </row>
    <row r="4621" spans="9:21" ht="24.75" customHeight="1" x14ac:dyDescent="0.35">
      <c r="I4621" s="42">
        <f t="shared" si="720"/>
        <v>0</v>
      </c>
      <c r="J4621" s="65" t="e">
        <f t="shared" si="721"/>
        <v>#NUM!</v>
      </c>
      <c r="K4621" s="83" t="e">
        <f t="shared" si="722"/>
        <v>#NUM!</v>
      </c>
      <c r="L4621" s="83">
        <f t="shared" si="723"/>
        <v>0</v>
      </c>
      <c r="M4621" s="110" t="str">
        <f t="shared" si="724"/>
        <v/>
      </c>
      <c r="N4621" s="51" t="str">
        <f t="shared" si="725"/>
        <v/>
      </c>
      <c r="O4621" s="52" t="str">
        <f t="shared" si="726"/>
        <v/>
      </c>
      <c r="P4621" s="88">
        <f t="shared" si="727"/>
        <v>0</v>
      </c>
      <c r="Q4621" s="88">
        <f t="shared" si="728"/>
        <v>0</v>
      </c>
      <c r="R4621" s="88" t="e">
        <f>-IF(Tabla14[[#This Row],[DIAS HABILES O MORA]]&lt;0,(Tabla14[[#This Row],[VALOR PRESTAMO]]*Tabla14[[#This Row],[% INTERES ]]/30*U4621))+Tabla14[[#This Row],[VALOR CUOTAS]]</f>
        <v>#VALUE!</v>
      </c>
      <c r="S4621" s="88">
        <f>-IF(Tabla14[[#This Row],[DIAS HABILES O MORA]]&lt;0,(Tabla14[[#This Row],[VALOR PRESTAMO]]*Tabla14[[#This Row],[% INTERES ]]/30*U4621))</f>
        <v>0</v>
      </c>
      <c r="T4621" s="53" t="e">
        <f>Tabla14[[#This Row],[DEUDA CAPITAL]]+Tabla14[[#This Row],[INTERES  CUOTA]]</f>
        <v>#NUM!</v>
      </c>
      <c r="U4621" s="61" t="str">
        <f t="shared" si="729"/>
        <v/>
      </c>
    </row>
    <row r="4622" spans="9:21" ht="24.75" customHeight="1" x14ac:dyDescent="0.35">
      <c r="I4622" s="42">
        <f t="shared" si="720"/>
        <v>0</v>
      </c>
      <c r="J4622" s="65" t="e">
        <f t="shared" si="721"/>
        <v>#NUM!</v>
      </c>
      <c r="K4622" s="83" t="e">
        <f t="shared" si="722"/>
        <v>#NUM!</v>
      </c>
      <c r="L4622" s="83">
        <f t="shared" si="723"/>
        <v>0</v>
      </c>
      <c r="M4622" s="110" t="str">
        <f t="shared" si="724"/>
        <v/>
      </c>
      <c r="N4622" s="51" t="str">
        <f t="shared" si="725"/>
        <v/>
      </c>
      <c r="O4622" s="52" t="str">
        <f t="shared" si="726"/>
        <v/>
      </c>
      <c r="P4622" s="88">
        <f t="shared" si="727"/>
        <v>0</v>
      </c>
      <c r="Q4622" s="88">
        <f t="shared" si="728"/>
        <v>0</v>
      </c>
      <c r="R4622" s="88" t="e">
        <f>-IF(Tabla14[[#This Row],[DIAS HABILES O MORA]]&lt;0,(Tabla14[[#This Row],[VALOR PRESTAMO]]*Tabla14[[#This Row],[% INTERES ]]/30*U4622))+Tabla14[[#This Row],[VALOR CUOTAS]]</f>
        <v>#VALUE!</v>
      </c>
      <c r="S4622" s="88">
        <f>-IF(Tabla14[[#This Row],[DIAS HABILES O MORA]]&lt;0,(Tabla14[[#This Row],[VALOR PRESTAMO]]*Tabla14[[#This Row],[% INTERES ]]/30*U4622))</f>
        <v>0</v>
      </c>
      <c r="T4622" s="53" t="e">
        <f>Tabla14[[#This Row],[DEUDA CAPITAL]]+Tabla14[[#This Row],[INTERES  CUOTA]]</f>
        <v>#NUM!</v>
      </c>
      <c r="U4622" s="61" t="str">
        <f t="shared" si="729"/>
        <v/>
      </c>
    </row>
    <row r="4623" spans="9:21" ht="24.75" customHeight="1" x14ac:dyDescent="0.35">
      <c r="I4623" s="42">
        <f t="shared" si="720"/>
        <v>0</v>
      </c>
      <c r="J4623" s="65" t="e">
        <f t="shared" si="721"/>
        <v>#NUM!</v>
      </c>
      <c r="K4623" s="83" t="e">
        <f t="shared" si="722"/>
        <v>#NUM!</v>
      </c>
      <c r="L4623" s="83">
        <f t="shared" si="723"/>
        <v>0</v>
      </c>
      <c r="M4623" s="110" t="str">
        <f t="shared" si="724"/>
        <v/>
      </c>
      <c r="N4623" s="51" t="str">
        <f t="shared" si="725"/>
        <v/>
      </c>
      <c r="O4623" s="52" t="str">
        <f t="shared" si="726"/>
        <v/>
      </c>
      <c r="P4623" s="88">
        <f t="shared" si="727"/>
        <v>0</v>
      </c>
      <c r="Q4623" s="88">
        <f t="shared" si="728"/>
        <v>0</v>
      </c>
      <c r="R4623" s="88" t="e">
        <f>-IF(Tabla14[[#This Row],[DIAS HABILES O MORA]]&lt;0,(Tabla14[[#This Row],[VALOR PRESTAMO]]*Tabla14[[#This Row],[% INTERES ]]/30*U4623))+Tabla14[[#This Row],[VALOR CUOTAS]]</f>
        <v>#VALUE!</v>
      </c>
      <c r="S4623" s="88">
        <f>-IF(Tabla14[[#This Row],[DIAS HABILES O MORA]]&lt;0,(Tabla14[[#This Row],[VALOR PRESTAMO]]*Tabla14[[#This Row],[% INTERES ]]/30*U4623))</f>
        <v>0</v>
      </c>
      <c r="T4623" s="53" t="e">
        <f>Tabla14[[#This Row],[DEUDA CAPITAL]]+Tabla14[[#This Row],[INTERES  CUOTA]]</f>
        <v>#NUM!</v>
      </c>
      <c r="U4623" s="61" t="str">
        <f t="shared" si="729"/>
        <v/>
      </c>
    </row>
    <row r="4624" spans="9:21" ht="24.75" customHeight="1" x14ac:dyDescent="0.35">
      <c r="I4624" s="42">
        <f t="shared" ref="I4624:I4687" si="730">IF(C4624&lt;0,"",IF(Q4624=0,0,IF(G4624=0,H4624+1,IF(H4624&lt;G4624,H4624+1,IF(G4624=H4624,0)))))</f>
        <v>0</v>
      </c>
      <c r="J4624" s="65" t="e">
        <f t="shared" ref="J4624:J4687" si="731">IF(F4624="SOLO INTERES",Q4624*D4624,-IPMT(D4624,I4624,G4624,C4624))</f>
        <v>#NUM!</v>
      </c>
      <c r="K4624" s="83" t="e">
        <f t="shared" ref="K4624:K4687" si="732">IF(F4624="SOLO INTERES",0,-PPMT(D4624,I4624,G4624,C4624))</f>
        <v>#NUM!</v>
      </c>
      <c r="L4624" s="83">
        <f t="shared" ref="L4624:L4687" si="733">IF(F4624="SOLO INTERES",SUM(Y4624:AAE4624),IFERROR(-CUMIPMT(D4624,G4624,C4624,1,H4624,0),0)+SUM(Y4624:WY4624))</f>
        <v>0</v>
      </c>
      <c r="M4624" s="110" t="str">
        <f t="shared" ref="M4624:M4687" si="734">IFERROR(IF(F4624="SOLO INTERES",Q4624*D4624,-PMT(D4624,G4624,C4624,0)),"")</f>
        <v/>
      </c>
      <c r="N4624" s="51" t="str">
        <f t="shared" ref="N4624:N4687" si="735">IF(Q4624=0,"",IF(E4624="MENSUAL",EDATE(B4624,I4624),IF(E4624="QUINCENAL",B4624+(I4624*15),IF(E4624="SEMANAL",B4624+(I4624*7)))))</f>
        <v/>
      </c>
      <c r="O4624" s="52" t="str">
        <f t="shared" ref="O4624:O4687" si="736">IF(C4624=0,"",IF(Q4624&lt;1,"PAGADO",IF(N4624=$A$3,"COBRAR HOY",IF(N4624&lt;$A$3,"EN MORA",IF(N4624&gt;$A$3,"AL DIA")))))</f>
        <v/>
      </c>
      <c r="P4624" s="88">
        <f t="shared" ref="P4624:P4687" si="737">IFERROR(-CUMPRINC(D4624,G4624,C4624,1,H4624,0),0)+W4624</f>
        <v>0</v>
      </c>
      <c r="Q4624" s="88">
        <f t="shared" ref="Q4624:Q4687" si="738">IFERROR(C4624-P4624,"")</f>
        <v>0</v>
      </c>
      <c r="R4624" s="88" t="e">
        <f>-IF(Tabla14[[#This Row],[DIAS HABILES O MORA]]&lt;0,(Tabla14[[#This Row],[VALOR PRESTAMO]]*Tabla14[[#This Row],[% INTERES ]]/30*U4624))+Tabla14[[#This Row],[VALOR CUOTAS]]</f>
        <v>#VALUE!</v>
      </c>
      <c r="S4624" s="88">
        <f>-IF(Tabla14[[#This Row],[DIAS HABILES O MORA]]&lt;0,(Tabla14[[#This Row],[VALOR PRESTAMO]]*Tabla14[[#This Row],[% INTERES ]]/30*U4624))</f>
        <v>0</v>
      </c>
      <c r="T4624" s="53" t="e">
        <f>Tabla14[[#This Row],[DEUDA CAPITAL]]+Tabla14[[#This Row],[INTERES  CUOTA]]</f>
        <v>#NUM!</v>
      </c>
      <c r="U4624" s="61" t="str">
        <f t="shared" ref="U4624:U4687" si="739">IF(O4624="PAGADO","",IFERROR(-IF(C4624=0,"",$A$3-N4624),""))</f>
        <v/>
      </c>
    </row>
    <row r="4625" spans="9:21" ht="24.75" customHeight="1" x14ac:dyDescent="0.35">
      <c r="I4625" s="42">
        <f t="shared" si="730"/>
        <v>0</v>
      </c>
      <c r="J4625" s="65" t="e">
        <f t="shared" si="731"/>
        <v>#NUM!</v>
      </c>
      <c r="K4625" s="83" t="e">
        <f t="shared" si="732"/>
        <v>#NUM!</v>
      </c>
      <c r="L4625" s="83">
        <f t="shared" si="733"/>
        <v>0</v>
      </c>
      <c r="M4625" s="110" t="str">
        <f t="shared" si="734"/>
        <v/>
      </c>
      <c r="N4625" s="51" t="str">
        <f t="shared" si="735"/>
        <v/>
      </c>
      <c r="O4625" s="52" t="str">
        <f t="shared" si="736"/>
        <v/>
      </c>
      <c r="P4625" s="88">
        <f t="shared" si="737"/>
        <v>0</v>
      </c>
      <c r="Q4625" s="88">
        <f t="shared" si="738"/>
        <v>0</v>
      </c>
      <c r="R4625" s="88" t="e">
        <f>-IF(Tabla14[[#This Row],[DIAS HABILES O MORA]]&lt;0,(Tabla14[[#This Row],[VALOR PRESTAMO]]*Tabla14[[#This Row],[% INTERES ]]/30*U4625))+Tabla14[[#This Row],[VALOR CUOTAS]]</f>
        <v>#VALUE!</v>
      </c>
      <c r="S4625" s="88">
        <f>-IF(Tabla14[[#This Row],[DIAS HABILES O MORA]]&lt;0,(Tabla14[[#This Row],[VALOR PRESTAMO]]*Tabla14[[#This Row],[% INTERES ]]/30*U4625))</f>
        <v>0</v>
      </c>
      <c r="T4625" s="53" t="e">
        <f>Tabla14[[#This Row],[DEUDA CAPITAL]]+Tabla14[[#This Row],[INTERES  CUOTA]]</f>
        <v>#NUM!</v>
      </c>
      <c r="U4625" s="61" t="str">
        <f t="shared" si="739"/>
        <v/>
      </c>
    </row>
    <row r="4626" spans="9:21" ht="24.75" customHeight="1" x14ac:dyDescent="0.35">
      <c r="I4626" s="42">
        <f t="shared" si="730"/>
        <v>0</v>
      </c>
      <c r="J4626" s="65" t="e">
        <f t="shared" si="731"/>
        <v>#NUM!</v>
      </c>
      <c r="K4626" s="83" t="e">
        <f t="shared" si="732"/>
        <v>#NUM!</v>
      </c>
      <c r="L4626" s="83">
        <f t="shared" si="733"/>
        <v>0</v>
      </c>
      <c r="M4626" s="110" t="str">
        <f t="shared" si="734"/>
        <v/>
      </c>
      <c r="N4626" s="51" t="str">
        <f t="shared" si="735"/>
        <v/>
      </c>
      <c r="O4626" s="52" t="str">
        <f t="shared" si="736"/>
        <v/>
      </c>
      <c r="P4626" s="88">
        <f t="shared" si="737"/>
        <v>0</v>
      </c>
      <c r="Q4626" s="88">
        <f t="shared" si="738"/>
        <v>0</v>
      </c>
      <c r="R4626" s="88" t="e">
        <f>-IF(Tabla14[[#This Row],[DIAS HABILES O MORA]]&lt;0,(Tabla14[[#This Row],[VALOR PRESTAMO]]*Tabla14[[#This Row],[% INTERES ]]/30*U4626))+Tabla14[[#This Row],[VALOR CUOTAS]]</f>
        <v>#VALUE!</v>
      </c>
      <c r="S4626" s="88">
        <f>-IF(Tabla14[[#This Row],[DIAS HABILES O MORA]]&lt;0,(Tabla14[[#This Row],[VALOR PRESTAMO]]*Tabla14[[#This Row],[% INTERES ]]/30*U4626))</f>
        <v>0</v>
      </c>
      <c r="T4626" s="53" t="e">
        <f>Tabla14[[#This Row],[DEUDA CAPITAL]]+Tabla14[[#This Row],[INTERES  CUOTA]]</f>
        <v>#NUM!</v>
      </c>
      <c r="U4626" s="61" t="str">
        <f t="shared" si="739"/>
        <v/>
      </c>
    </row>
    <row r="4627" spans="9:21" ht="24.75" customHeight="1" x14ac:dyDescent="0.35">
      <c r="I4627" s="42">
        <f t="shared" si="730"/>
        <v>0</v>
      </c>
      <c r="J4627" s="65" t="e">
        <f t="shared" si="731"/>
        <v>#NUM!</v>
      </c>
      <c r="K4627" s="83" t="e">
        <f t="shared" si="732"/>
        <v>#NUM!</v>
      </c>
      <c r="L4627" s="83">
        <f t="shared" si="733"/>
        <v>0</v>
      </c>
      <c r="M4627" s="110" t="str">
        <f t="shared" si="734"/>
        <v/>
      </c>
      <c r="N4627" s="51" t="str">
        <f t="shared" si="735"/>
        <v/>
      </c>
      <c r="O4627" s="52" t="str">
        <f t="shared" si="736"/>
        <v/>
      </c>
      <c r="P4627" s="88">
        <f t="shared" si="737"/>
        <v>0</v>
      </c>
      <c r="Q4627" s="88">
        <f t="shared" si="738"/>
        <v>0</v>
      </c>
      <c r="R4627" s="88" t="e">
        <f>-IF(Tabla14[[#This Row],[DIAS HABILES O MORA]]&lt;0,(Tabla14[[#This Row],[VALOR PRESTAMO]]*Tabla14[[#This Row],[% INTERES ]]/30*U4627))+Tabla14[[#This Row],[VALOR CUOTAS]]</f>
        <v>#VALUE!</v>
      </c>
      <c r="S4627" s="88">
        <f>-IF(Tabla14[[#This Row],[DIAS HABILES O MORA]]&lt;0,(Tabla14[[#This Row],[VALOR PRESTAMO]]*Tabla14[[#This Row],[% INTERES ]]/30*U4627))</f>
        <v>0</v>
      </c>
      <c r="T4627" s="53" t="e">
        <f>Tabla14[[#This Row],[DEUDA CAPITAL]]+Tabla14[[#This Row],[INTERES  CUOTA]]</f>
        <v>#NUM!</v>
      </c>
      <c r="U4627" s="61" t="str">
        <f t="shared" si="739"/>
        <v/>
      </c>
    </row>
    <row r="4628" spans="9:21" ht="24.75" customHeight="1" x14ac:dyDescent="0.35">
      <c r="I4628" s="42">
        <f t="shared" si="730"/>
        <v>0</v>
      </c>
      <c r="J4628" s="65" t="e">
        <f t="shared" si="731"/>
        <v>#NUM!</v>
      </c>
      <c r="K4628" s="83" t="e">
        <f t="shared" si="732"/>
        <v>#NUM!</v>
      </c>
      <c r="L4628" s="83">
        <f t="shared" si="733"/>
        <v>0</v>
      </c>
      <c r="M4628" s="110" t="str">
        <f t="shared" si="734"/>
        <v/>
      </c>
      <c r="N4628" s="51" t="str">
        <f t="shared" si="735"/>
        <v/>
      </c>
      <c r="O4628" s="52" t="str">
        <f t="shared" si="736"/>
        <v/>
      </c>
      <c r="P4628" s="88">
        <f t="shared" si="737"/>
        <v>0</v>
      </c>
      <c r="Q4628" s="88">
        <f t="shared" si="738"/>
        <v>0</v>
      </c>
      <c r="R4628" s="88" t="e">
        <f>-IF(Tabla14[[#This Row],[DIAS HABILES O MORA]]&lt;0,(Tabla14[[#This Row],[VALOR PRESTAMO]]*Tabla14[[#This Row],[% INTERES ]]/30*U4628))+Tabla14[[#This Row],[VALOR CUOTAS]]</f>
        <v>#VALUE!</v>
      </c>
      <c r="S4628" s="88">
        <f>-IF(Tabla14[[#This Row],[DIAS HABILES O MORA]]&lt;0,(Tabla14[[#This Row],[VALOR PRESTAMO]]*Tabla14[[#This Row],[% INTERES ]]/30*U4628))</f>
        <v>0</v>
      </c>
      <c r="T4628" s="53" t="e">
        <f>Tabla14[[#This Row],[DEUDA CAPITAL]]+Tabla14[[#This Row],[INTERES  CUOTA]]</f>
        <v>#NUM!</v>
      </c>
      <c r="U4628" s="61" t="str">
        <f t="shared" si="739"/>
        <v/>
      </c>
    </row>
    <row r="4629" spans="9:21" ht="24.75" customHeight="1" x14ac:dyDescent="0.35">
      <c r="I4629" s="42">
        <f t="shared" si="730"/>
        <v>0</v>
      </c>
      <c r="J4629" s="65" t="e">
        <f t="shared" si="731"/>
        <v>#NUM!</v>
      </c>
      <c r="K4629" s="83" t="e">
        <f t="shared" si="732"/>
        <v>#NUM!</v>
      </c>
      <c r="L4629" s="83">
        <f t="shared" si="733"/>
        <v>0</v>
      </c>
      <c r="M4629" s="110" t="str">
        <f t="shared" si="734"/>
        <v/>
      </c>
      <c r="N4629" s="51" t="str">
        <f t="shared" si="735"/>
        <v/>
      </c>
      <c r="O4629" s="52" t="str">
        <f t="shared" si="736"/>
        <v/>
      </c>
      <c r="P4629" s="88">
        <f t="shared" si="737"/>
        <v>0</v>
      </c>
      <c r="Q4629" s="88">
        <f t="shared" si="738"/>
        <v>0</v>
      </c>
      <c r="R4629" s="88" t="e">
        <f>-IF(Tabla14[[#This Row],[DIAS HABILES O MORA]]&lt;0,(Tabla14[[#This Row],[VALOR PRESTAMO]]*Tabla14[[#This Row],[% INTERES ]]/30*U4629))+Tabla14[[#This Row],[VALOR CUOTAS]]</f>
        <v>#VALUE!</v>
      </c>
      <c r="S4629" s="88">
        <f>-IF(Tabla14[[#This Row],[DIAS HABILES O MORA]]&lt;0,(Tabla14[[#This Row],[VALOR PRESTAMO]]*Tabla14[[#This Row],[% INTERES ]]/30*U4629))</f>
        <v>0</v>
      </c>
      <c r="T4629" s="53" t="e">
        <f>Tabla14[[#This Row],[DEUDA CAPITAL]]+Tabla14[[#This Row],[INTERES  CUOTA]]</f>
        <v>#NUM!</v>
      </c>
      <c r="U4629" s="61" t="str">
        <f t="shared" si="739"/>
        <v/>
      </c>
    </row>
    <row r="4630" spans="9:21" ht="24.75" customHeight="1" x14ac:dyDescent="0.35">
      <c r="I4630" s="42">
        <f t="shared" si="730"/>
        <v>0</v>
      </c>
      <c r="J4630" s="65" t="e">
        <f t="shared" si="731"/>
        <v>#NUM!</v>
      </c>
      <c r="K4630" s="83" t="e">
        <f t="shared" si="732"/>
        <v>#NUM!</v>
      </c>
      <c r="L4630" s="83">
        <f t="shared" si="733"/>
        <v>0</v>
      </c>
      <c r="M4630" s="110" t="str">
        <f t="shared" si="734"/>
        <v/>
      </c>
      <c r="N4630" s="51" t="str">
        <f t="shared" si="735"/>
        <v/>
      </c>
      <c r="O4630" s="52" t="str">
        <f t="shared" si="736"/>
        <v/>
      </c>
      <c r="P4630" s="88">
        <f t="shared" si="737"/>
        <v>0</v>
      </c>
      <c r="Q4630" s="88">
        <f t="shared" si="738"/>
        <v>0</v>
      </c>
      <c r="R4630" s="88" t="e">
        <f>-IF(Tabla14[[#This Row],[DIAS HABILES O MORA]]&lt;0,(Tabla14[[#This Row],[VALOR PRESTAMO]]*Tabla14[[#This Row],[% INTERES ]]/30*U4630))+Tabla14[[#This Row],[VALOR CUOTAS]]</f>
        <v>#VALUE!</v>
      </c>
      <c r="S4630" s="88">
        <f>-IF(Tabla14[[#This Row],[DIAS HABILES O MORA]]&lt;0,(Tabla14[[#This Row],[VALOR PRESTAMO]]*Tabla14[[#This Row],[% INTERES ]]/30*U4630))</f>
        <v>0</v>
      </c>
      <c r="T4630" s="53" t="e">
        <f>Tabla14[[#This Row],[DEUDA CAPITAL]]+Tabla14[[#This Row],[INTERES  CUOTA]]</f>
        <v>#NUM!</v>
      </c>
      <c r="U4630" s="61" t="str">
        <f t="shared" si="739"/>
        <v/>
      </c>
    </row>
    <row r="4631" spans="9:21" ht="24.75" customHeight="1" x14ac:dyDescent="0.35">
      <c r="I4631" s="42">
        <f t="shared" si="730"/>
        <v>0</v>
      </c>
      <c r="J4631" s="65" t="e">
        <f t="shared" si="731"/>
        <v>#NUM!</v>
      </c>
      <c r="K4631" s="83" t="e">
        <f t="shared" si="732"/>
        <v>#NUM!</v>
      </c>
      <c r="L4631" s="83">
        <f t="shared" si="733"/>
        <v>0</v>
      </c>
      <c r="M4631" s="110" t="str">
        <f t="shared" si="734"/>
        <v/>
      </c>
      <c r="N4631" s="51" t="str">
        <f t="shared" si="735"/>
        <v/>
      </c>
      <c r="O4631" s="52" t="str">
        <f t="shared" si="736"/>
        <v/>
      </c>
      <c r="P4631" s="88">
        <f t="shared" si="737"/>
        <v>0</v>
      </c>
      <c r="Q4631" s="88">
        <f t="shared" si="738"/>
        <v>0</v>
      </c>
      <c r="R4631" s="88" t="e">
        <f>-IF(Tabla14[[#This Row],[DIAS HABILES O MORA]]&lt;0,(Tabla14[[#This Row],[VALOR PRESTAMO]]*Tabla14[[#This Row],[% INTERES ]]/30*U4631))+Tabla14[[#This Row],[VALOR CUOTAS]]</f>
        <v>#VALUE!</v>
      </c>
      <c r="S4631" s="88">
        <f>-IF(Tabla14[[#This Row],[DIAS HABILES O MORA]]&lt;0,(Tabla14[[#This Row],[VALOR PRESTAMO]]*Tabla14[[#This Row],[% INTERES ]]/30*U4631))</f>
        <v>0</v>
      </c>
      <c r="T4631" s="53" t="e">
        <f>Tabla14[[#This Row],[DEUDA CAPITAL]]+Tabla14[[#This Row],[INTERES  CUOTA]]</f>
        <v>#NUM!</v>
      </c>
      <c r="U4631" s="61" t="str">
        <f t="shared" si="739"/>
        <v/>
      </c>
    </row>
    <row r="4632" spans="9:21" ht="24.75" customHeight="1" x14ac:dyDescent="0.35">
      <c r="I4632" s="42">
        <f t="shared" si="730"/>
        <v>0</v>
      </c>
      <c r="J4632" s="65" t="e">
        <f t="shared" si="731"/>
        <v>#NUM!</v>
      </c>
      <c r="K4632" s="83" t="e">
        <f t="shared" si="732"/>
        <v>#NUM!</v>
      </c>
      <c r="L4632" s="83">
        <f t="shared" si="733"/>
        <v>0</v>
      </c>
      <c r="M4632" s="110" t="str">
        <f t="shared" si="734"/>
        <v/>
      </c>
      <c r="N4632" s="51" t="str">
        <f t="shared" si="735"/>
        <v/>
      </c>
      <c r="O4632" s="52" t="str">
        <f t="shared" si="736"/>
        <v/>
      </c>
      <c r="P4632" s="88">
        <f t="shared" si="737"/>
        <v>0</v>
      </c>
      <c r="Q4632" s="88">
        <f t="shared" si="738"/>
        <v>0</v>
      </c>
      <c r="R4632" s="88" t="e">
        <f>-IF(Tabla14[[#This Row],[DIAS HABILES O MORA]]&lt;0,(Tabla14[[#This Row],[VALOR PRESTAMO]]*Tabla14[[#This Row],[% INTERES ]]/30*U4632))+Tabla14[[#This Row],[VALOR CUOTAS]]</f>
        <v>#VALUE!</v>
      </c>
      <c r="S4632" s="88">
        <f>-IF(Tabla14[[#This Row],[DIAS HABILES O MORA]]&lt;0,(Tabla14[[#This Row],[VALOR PRESTAMO]]*Tabla14[[#This Row],[% INTERES ]]/30*U4632))</f>
        <v>0</v>
      </c>
      <c r="T4632" s="53" t="e">
        <f>Tabla14[[#This Row],[DEUDA CAPITAL]]+Tabla14[[#This Row],[INTERES  CUOTA]]</f>
        <v>#NUM!</v>
      </c>
      <c r="U4632" s="61" t="str">
        <f t="shared" si="739"/>
        <v/>
      </c>
    </row>
    <row r="4633" spans="9:21" ht="24.75" customHeight="1" x14ac:dyDescent="0.35">
      <c r="I4633" s="42">
        <f t="shared" si="730"/>
        <v>0</v>
      </c>
      <c r="J4633" s="65" t="e">
        <f t="shared" si="731"/>
        <v>#NUM!</v>
      </c>
      <c r="K4633" s="83" t="e">
        <f t="shared" si="732"/>
        <v>#NUM!</v>
      </c>
      <c r="L4633" s="83">
        <f t="shared" si="733"/>
        <v>0</v>
      </c>
      <c r="M4633" s="110" t="str">
        <f t="shared" si="734"/>
        <v/>
      </c>
      <c r="N4633" s="51" t="str">
        <f t="shared" si="735"/>
        <v/>
      </c>
      <c r="O4633" s="52" t="str">
        <f t="shared" si="736"/>
        <v/>
      </c>
      <c r="P4633" s="88">
        <f t="shared" si="737"/>
        <v>0</v>
      </c>
      <c r="Q4633" s="88">
        <f t="shared" si="738"/>
        <v>0</v>
      </c>
      <c r="R4633" s="88" t="e">
        <f>-IF(Tabla14[[#This Row],[DIAS HABILES O MORA]]&lt;0,(Tabla14[[#This Row],[VALOR PRESTAMO]]*Tabla14[[#This Row],[% INTERES ]]/30*U4633))+Tabla14[[#This Row],[VALOR CUOTAS]]</f>
        <v>#VALUE!</v>
      </c>
      <c r="S4633" s="88">
        <f>-IF(Tabla14[[#This Row],[DIAS HABILES O MORA]]&lt;0,(Tabla14[[#This Row],[VALOR PRESTAMO]]*Tabla14[[#This Row],[% INTERES ]]/30*U4633))</f>
        <v>0</v>
      </c>
      <c r="T4633" s="53" t="e">
        <f>Tabla14[[#This Row],[DEUDA CAPITAL]]+Tabla14[[#This Row],[INTERES  CUOTA]]</f>
        <v>#NUM!</v>
      </c>
      <c r="U4633" s="61" t="str">
        <f t="shared" si="739"/>
        <v/>
      </c>
    </row>
    <row r="4634" spans="9:21" ht="24.75" customHeight="1" x14ac:dyDescent="0.35">
      <c r="I4634" s="42">
        <f t="shared" si="730"/>
        <v>0</v>
      </c>
      <c r="J4634" s="65" t="e">
        <f t="shared" si="731"/>
        <v>#NUM!</v>
      </c>
      <c r="K4634" s="83" t="e">
        <f t="shared" si="732"/>
        <v>#NUM!</v>
      </c>
      <c r="L4634" s="83">
        <f t="shared" si="733"/>
        <v>0</v>
      </c>
      <c r="M4634" s="110" t="str">
        <f t="shared" si="734"/>
        <v/>
      </c>
      <c r="N4634" s="51" t="str">
        <f t="shared" si="735"/>
        <v/>
      </c>
      <c r="O4634" s="52" t="str">
        <f t="shared" si="736"/>
        <v/>
      </c>
      <c r="P4634" s="88">
        <f t="shared" si="737"/>
        <v>0</v>
      </c>
      <c r="Q4634" s="88">
        <f t="shared" si="738"/>
        <v>0</v>
      </c>
      <c r="R4634" s="88" t="e">
        <f>-IF(Tabla14[[#This Row],[DIAS HABILES O MORA]]&lt;0,(Tabla14[[#This Row],[VALOR PRESTAMO]]*Tabla14[[#This Row],[% INTERES ]]/30*U4634))+Tabla14[[#This Row],[VALOR CUOTAS]]</f>
        <v>#VALUE!</v>
      </c>
      <c r="S4634" s="88">
        <f>-IF(Tabla14[[#This Row],[DIAS HABILES O MORA]]&lt;0,(Tabla14[[#This Row],[VALOR PRESTAMO]]*Tabla14[[#This Row],[% INTERES ]]/30*U4634))</f>
        <v>0</v>
      </c>
      <c r="T4634" s="53" t="e">
        <f>Tabla14[[#This Row],[DEUDA CAPITAL]]+Tabla14[[#This Row],[INTERES  CUOTA]]</f>
        <v>#NUM!</v>
      </c>
      <c r="U4634" s="61" t="str">
        <f t="shared" si="739"/>
        <v/>
      </c>
    </row>
    <row r="4635" spans="9:21" ht="24.75" customHeight="1" x14ac:dyDescent="0.35">
      <c r="I4635" s="42">
        <f t="shared" si="730"/>
        <v>0</v>
      </c>
      <c r="J4635" s="65" t="e">
        <f t="shared" si="731"/>
        <v>#NUM!</v>
      </c>
      <c r="K4635" s="83" t="e">
        <f t="shared" si="732"/>
        <v>#NUM!</v>
      </c>
      <c r="L4635" s="83">
        <f t="shared" si="733"/>
        <v>0</v>
      </c>
      <c r="M4635" s="110" t="str">
        <f t="shared" si="734"/>
        <v/>
      </c>
      <c r="N4635" s="51" t="str">
        <f t="shared" si="735"/>
        <v/>
      </c>
      <c r="O4635" s="52" t="str">
        <f t="shared" si="736"/>
        <v/>
      </c>
      <c r="P4635" s="88">
        <f t="shared" si="737"/>
        <v>0</v>
      </c>
      <c r="Q4635" s="88">
        <f t="shared" si="738"/>
        <v>0</v>
      </c>
      <c r="R4635" s="88" t="e">
        <f>-IF(Tabla14[[#This Row],[DIAS HABILES O MORA]]&lt;0,(Tabla14[[#This Row],[VALOR PRESTAMO]]*Tabla14[[#This Row],[% INTERES ]]/30*U4635))+Tabla14[[#This Row],[VALOR CUOTAS]]</f>
        <v>#VALUE!</v>
      </c>
      <c r="S4635" s="88">
        <f>-IF(Tabla14[[#This Row],[DIAS HABILES O MORA]]&lt;0,(Tabla14[[#This Row],[VALOR PRESTAMO]]*Tabla14[[#This Row],[% INTERES ]]/30*U4635))</f>
        <v>0</v>
      </c>
      <c r="T4635" s="53" t="e">
        <f>Tabla14[[#This Row],[DEUDA CAPITAL]]+Tabla14[[#This Row],[INTERES  CUOTA]]</f>
        <v>#NUM!</v>
      </c>
      <c r="U4635" s="61" t="str">
        <f t="shared" si="739"/>
        <v/>
      </c>
    </row>
    <row r="4636" spans="9:21" ht="24.75" customHeight="1" x14ac:dyDescent="0.35">
      <c r="I4636" s="42">
        <f t="shared" si="730"/>
        <v>0</v>
      </c>
      <c r="J4636" s="65" t="e">
        <f t="shared" si="731"/>
        <v>#NUM!</v>
      </c>
      <c r="K4636" s="83" t="e">
        <f t="shared" si="732"/>
        <v>#NUM!</v>
      </c>
      <c r="L4636" s="83">
        <f t="shared" si="733"/>
        <v>0</v>
      </c>
      <c r="M4636" s="110" t="str">
        <f t="shared" si="734"/>
        <v/>
      </c>
      <c r="N4636" s="51" t="str">
        <f t="shared" si="735"/>
        <v/>
      </c>
      <c r="O4636" s="52" t="str">
        <f t="shared" si="736"/>
        <v/>
      </c>
      <c r="P4636" s="88">
        <f t="shared" si="737"/>
        <v>0</v>
      </c>
      <c r="Q4636" s="88">
        <f t="shared" si="738"/>
        <v>0</v>
      </c>
      <c r="R4636" s="88" t="e">
        <f>-IF(Tabla14[[#This Row],[DIAS HABILES O MORA]]&lt;0,(Tabla14[[#This Row],[VALOR PRESTAMO]]*Tabla14[[#This Row],[% INTERES ]]/30*U4636))+Tabla14[[#This Row],[VALOR CUOTAS]]</f>
        <v>#VALUE!</v>
      </c>
      <c r="S4636" s="88">
        <f>-IF(Tabla14[[#This Row],[DIAS HABILES O MORA]]&lt;0,(Tabla14[[#This Row],[VALOR PRESTAMO]]*Tabla14[[#This Row],[% INTERES ]]/30*U4636))</f>
        <v>0</v>
      </c>
      <c r="T4636" s="53" t="e">
        <f>Tabla14[[#This Row],[DEUDA CAPITAL]]+Tabla14[[#This Row],[INTERES  CUOTA]]</f>
        <v>#NUM!</v>
      </c>
      <c r="U4636" s="61" t="str">
        <f t="shared" si="739"/>
        <v/>
      </c>
    </row>
    <row r="4637" spans="9:21" ht="24.75" customHeight="1" x14ac:dyDescent="0.35">
      <c r="I4637" s="42">
        <f t="shared" si="730"/>
        <v>0</v>
      </c>
      <c r="J4637" s="65" t="e">
        <f t="shared" si="731"/>
        <v>#NUM!</v>
      </c>
      <c r="K4637" s="83" t="e">
        <f t="shared" si="732"/>
        <v>#NUM!</v>
      </c>
      <c r="L4637" s="83">
        <f t="shared" si="733"/>
        <v>0</v>
      </c>
      <c r="M4637" s="110" t="str">
        <f t="shared" si="734"/>
        <v/>
      </c>
      <c r="N4637" s="51" t="str">
        <f t="shared" si="735"/>
        <v/>
      </c>
      <c r="O4637" s="52" t="str">
        <f t="shared" si="736"/>
        <v/>
      </c>
      <c r="P4637" s="88">
        <f t="shared" si="737"/>
        <v>0</v>
      </c>
      <c r="Q4637" s="88">
        <f t="shared" si="738"/>
        <v>0</v>
      </c>
      <c r="R4637" s="88" t="e">
        <f>-IF(Tabla14[[#This Row],[DIAS HABILES O MORA]]&lt;0,(Tabla14[[#This Row],[VALOR PRESTAMO]]*Tabla14[[#This Row],[% INTERES ]]/30*U4637))+Tabla14[[#This Row],[VALOR CUOTAS]]</f>
        <v>#VALUE!</v>
      </c>
      <c r="S4637" s="88">
        <f>-IF(Tabla14[[#This Row],[DIAS HABILES O MORA]]&lt;0,(Tabla14[[#This Row],[VALOR PRESTAMO]]*Tabla14[[#This Row],[% INTERES ]]/30*U4637))</f>
        <v>0</v>
      </c>
      <c r="T4637" s="53" t="e">
        <f>Tabla14[[#This Row],[DEUDA CAPITAL]]+Tabla14[[#This Row],[INTERES  CUOTA]]</f>
        <v>#NUM!</v>
      </c>
      <c r="U4637" s="61" t="str">
        <f t="shared" si="739"/>
        <v/>
      </c>
    </row>
    <row r="4638" spans="9:21" ht="24.75" customHeight="1" x14ac:dyDescent="0.35">
      <c r="I4638" s="42">
        <f t="shared" si="730"/>
        <v>0</v>
      </c>
      <c r="J4638" s="65" t="e">
        <f t="shared" si="731"/>
        <v>#NUM!</v>
      </c>
      <c r="K4638" s="83" t="e">
        <f t="shared" si="732"/>
        <v>#NUM!</v>
      </c>
      <c r="L4638" s="83">
        <f t="shared" si="733"/>
        <v>0</v>
      </c>
      <c r="M4638" s="110" t="str">
        <f t="shared" si="734"/>
        <v/>
      </c>
      <c r="N4638" s="51" t="str">
        <f t="shared" si="735"/>
        <v/>
      </c>
      <c r="O4638" s="52" t="str">
        <f t="shared" si="736"/>
        <v/>
      </c>
      <c r="P4638" s="88">
        <f t="shared" si="737"/>
        <v>0</v>
      </c>
      <c r="Q4638" s="88">
        <f t="shared" si="738"/>
        <v>0</v>
      </c>
      <c r="R4638" s="88" t="e">
        <f>-IF(Tabla14[[#This Row],[DIAS HABILES O MORA]]&lt;0,(Tabla14[[#This Row],[VALOR PRESTAMO]]*Tabla14[[#This Row],[% INTERES ]]/30*U4638))+Tabla14[[#This Row],[VALOR CUOTAS]]</f>
        <v>#VALUE!</v>
      </c>
      <c r="S4638" s="88">
        <f>-IF(Tabla14[[#This Row],[DIAS HABILES O MORA]]&lt;0,(Tabla14[[#This Row],[VALOR PRESTAMO]]*Tabla14[[#This Row],[% INTERES ]]/30*U4638))</f>
        <v>0</v>
      </c>
      <c r="T4638" s="53" t="e">
        <f>Tabla14[[#This Row],[DEUDA CAPITAL]]+Tabla14[[#This Row],[INTERES  CUOTA]]</f>
        <v>#NUM!</v>
      </c>
      <c r="U4638" s="61" t="str">
        <f t="shared" si="739"/>
        <v/>
      </c>
    </row>
    <row r="4639" spans="9:21" ht="24.75" customHeight="1" x14ac:dyDescent="0.35">
      <c r="I4639" s="42">
        <f t="shared" si="730"/>
        <v>0</v>
      </c>
      <c r="J4639" s="65" t="e">
        <f t="shared" si="731"/>
        <v>#NUM!</v>
      </c>
      <c r="K4639" s="83" t="e">
        <f t="shared" si="732"/>
        <v>#NUM!</v>
      </c>
      <c r="L4639" s="83">
        <f t="shared" si="733"/>
        <v>0</v>
      </c>
      <c r="M4639" s="110" t="str">
        <f t="shared" si="734"/>
        <v/>
      </c>
      <c r="N4639" s="51" t="str">
        <f t="shared" si="735"/>
        <v/>
      </c>
      <c r="O4639" s="52" t="str">
        <f t="shared" si="736"/>
        <v/>
      </c>
      <c r="P4639" s="88">
        <f t="shared" si="737"/>
        <v>0</v>
      </c>
      <c r="Q4639" s="88">
        <f t="shared" si="738"/>
        <v>0</v>
      </c>
      <c r="R4639" s="88" t="e">
        <f>-IF(Tabla14[[#This Row],[DIAS HABILES O MORA]]&lt;0,(Tabla14[[#This Row],[VALOR PRESTAMO]]*Tabla14[[#This Row],[% INTERES ]]/30*U4639))+Tabla14[[#This Row],[VALOR CUOTAS]]</f>
        <v>#VALUE!</v>
      </c>
      <c r="S4639" s="88">
        <f>-IF(Tabla14[[#This Row],[DIAS HABILES O MORA]]&lt;0,(Tabla14[[#This Row],[VALOR PRESTAMO]]*Tabla14[[#This Row],[% INTERES ]]/30*U4639))</f>
        <v>0</v>
      </c>
      <c r="T4639" s="53" t="e">
        <f>Tabla14[[#This Row],[DEUDA CAPITAL]]+Tabla14[[#This Row],[INTERES  CUOTA]]</f>
        <v>#NUM!</v>
      </c>
      <c r="U4639" s="61" t="str">
        <f t="shared" si="739"/>
        <v/>
      </c>
    </row>
    <row r="4640" spans="9:21" ht="24.75" customHeight="1" x14ac:dyDescent="0.35">
      <c r="I4640" s="42">
        <f t="shared" si="730"/>
        <v>0</v>
      </c>
      <c r="J4640" s="65" t="e">
        <f t="shared" si="731"/>
        <v>#NUM!</v>
      </c>
      <c r="K4640" s="83" t="e">
        <f t="shared" si="732"/>
        <v>#NUM!</v>
      </c>
      <c r="L4640" s="83">
        <f t="shared" si="733"/>
        <v>0</v>
      </c>
      <c r="M4640" s="110" t="str">
        <f t="shared" si="734"/>
        <v/>
      </c>
      <c r="N4640" s="51" t="str">
        <f t="shared" si="735"/>
        <v/>
      </c>
      <c r="O4640" s="52" t="str">
        <f t="shared" si="736"/>
        <v/>
      </c>
      <c r="P4640" s="88">
        <f t="shared" si="737"/>
        <v>0</v>
      </c>
      <c r="Q4640" s="88">
        <f t="shared" si="738"/>
        <v>0</v>
      </c>
      <c r="R4640" s="88" t="e">
        <f>-IF(Tabla14[[#This Row],[DIAS HABILES O MORA]]&lt;0,(Tabla14[[#This Row],[VALOR PRESTAMO]]*Tabla14[[#This Row],[% INTERES ]]/30*U4640))+Tabla14[[#This Row],[VALOR CUOTAS]]</f>
        <v>#VALUE!</v>
      </c>
      <c r="S4640" s="88">
        <f>-IF(Tabla14[[#This Row],[DIAS HABILES O MORA]]&lt;0,(Tabla14[[#This Row],[VALOR PRESTAMO]]*Tabla14[[#This Row],[% INTERES ]]/30*U4640))</f>
        <v>0</v>
      </c>
      <c r="T4640" s="53" t="e">
        <f>Tabla14[[#This Row],[DEUDA CAPITAL]]+Tabla14[[#This Row],[INTERES  CUOTA]]</f>
        <v>#NUM!</v>
      </c>
      <c r="U4640" s="61" t="str">
        <f t="shared" si="739"/>
        <v/>
      </c>
    </row>
    <row r="4641" spans="9:21" ht="24.75" customHeight="1" x14ac:dyDescent="0.35">
      <c r="I4641" s="42">
        <f t="shared" si="730"/>
        <v>0</v>
      </c>
      <c r="J4641" s="65" t="e">
        <f t="shared" si="731"/>
        <v>#NUM!</v>
      </c>
      <c r="K4641" s="83" t="e">
        <f t="shared" si="732"/>
        <v>#NUM!</v>
      </c>
      <c r="L4641" s="83">
        <f t="shared" si="733"/>
        <v>0</v>
      </c>
      <c r="M4641" s="110" t="str">
        <f t="shared" si="734"/>
        <v/>
      </c>
      <c r="N4641" s="51" t="str">
        <f t="shared" si="735"/>
        <v/>
      </c>
      <c r="O4641" s="52" t="str">
        <f t="shared" si="736"/>
        <v/>
      </c>
      <c r="P4641" s="88">
        <f t="shared" si="737"/>
        <v>0</v>
      </c>
      <c r="Q4641" s="88">
        <f t="shared" si="738"/>
        <v>0</v>
      </c>
      <c r="R4641" s="88" t="e">
        <f>-IF(Tabla14[[#This Row],[DIAS HABILES O MORA]]&lt;0,(Tabla14[[#This Row],[VALOR PRESTAMO]]*Tabla14[[#This Row],[% INTERES ]]/30*U4641))+Tabla14[[#This Row],[VALOR CUOTAS]]</f>
        <v>#VALUE!</v>
      </c>
      <c r="S4641" s="88">
        <f>-IF(Tabla14[[#This Row],[DIAS HABILES O MORA]]&lt;0,(Tabla14[[#This Row],[VALOR PRESTAMO]]*Tabla14[[#This Row],[% INTERES ]]/30*U4641))</f>
        <v>0</v>
      </c>
      <c r="T4641" s="53" t="e">
        <f>Tabla14[[#This Row],[DEUDA CAPITAL]]+Tabla14[[#This Row],[INTERES  CUOTA]]</f>
        <v>#NUM!</v>
      </c>
      <c r="U4641" s="61" t="str">
        <f t="shared" si="739"/>
        <v/>
      </c>
    </row>
    <row r="4642" spans="9:21" ht="24.75" customHeight="1" x14ac:dyDescent="0.35">
      <c r="I4642" s="42">
        <f t="shared" si="730"/>
        <v>0</v>
      </c>
      <c r="J4642" s="65" t="e">
        <f t="shared" si="731"/>
        <v>#NUM!</v>
      </c>
      <c r="K4642" s="83" t="e">
        <f t="shared" si="732"/>
        <v>#NUM!</v>
      </c>
      <c r="L4642" s="83">
        <f t="shared" si="733"/>
        <v>0</v>
      </c>
      <c r="M4642" s="110" t="str">
        <f t="shared" si="734"/>
        <v/>
      </c>
      <c r="N4642" s="51" t="str">
        <f t="shared" si="735"/>
        <v/>
      </c>
      <c r="O4642" s="52" t="str">
        <f t="shared" si="736"/>
        <v/>
      </c>
      <c r="P4642" s="88">
        <f t="shared" si="737"/>
        <v>0</v>
      </c>
      <c r="Q4642" s="88">
        <f t="shared" si="738"/>
        <v>0</v>
      </c>
      <c r="R4642" s="88" t="e">
        <f>-IF(Tabla14[[#This Row],[DIAS HABILES O MORA]]&lt;0,(Tabla14[[#This Row],[VALOR PRESTAMO]]*Tabla14[[#This Row],[% INTERES ]]/30*U4642))+Tabla14[[#This Row],[VALOR CUOTAS]]</f>
        <v>#VALUE!</v>
      </c>
      <c r="S4642" s="88">
        <f>-IF(Tabla14[[#This Row],[DIAS HABILES O MORA]]&lt;0,(Tabla14[[#This Row],[VALOR PRESTAMO]]*Tabla14[[#This Row],[% INTERES ]]/30*U4642))</f>
        <v>0</v>
      </c>
      <c r="T4642" s="53" t="e">
        <f>Tabla14[[#This Row],[DEUDA CAPITAL]]+Tabla14[[#This Row],[INTERES  CUOTA]]</f>
        <v>#NUM!</v>
      </c>
      <c r="U4642" s="61" t="str">
        <f t="shared" si="739"/>
        <v/>
      </c>
    </row>
    <row r="4643" spans="9:21" ht="24.75" customHeight="1" x14ac:dyDescent="0.35">
      <c r="I4643" s="42">
        <f t="shared" si="730"/>
        <v>0</v>
      </c>
      <c r="J4643" s="65" t="e">
        <f t="shared" si="731"/>
        <v>#NUM!</v>
      </c>
      <c r="K4643" s="83" t="e">
        <f t="shared" si="732"/>
        <v>#NUM!</v>
      </c>
      <c r="L4643" s="83">
        <f t="shared" si="733"/>
        <v>0</v>
      </c>
      <c r="M4643" s="110" t="str">
        <f t="shared" si="734"/>
        <v/>
      </c>
      <c r="N4643" s="51" t="str">
        <f t="shared" si="735"/>
        <v/>
      </c>
      <c r="O4643" s="52" t="str">
        <f t="shared" si="736"/>
        <v/>
      </c>
      <c r="P4643" s="88">
        <f t="shared" si="737"/>
        <v>0</v>
      </c>
      <c r="Q4643" s="88">
        <f t="shared" si="738"/>
        <v>0</v>
      </c>
      <c r="R4643" s="88" t="e">
        <f>-IF(Tabla14[[#This Row],[DIAS HABILES O MORA]]&lt;0,(Tabla14[[#This Row],[VALOR PRESTAMO]]*Tabla14[[#This Row],[% INTERES ]]/30*U4643))+Tabla14[[#This Row],[VALOR CUOTAS]]</f>
        <v>#VALUE!</v>
      </c>
      <c r="S4643" s="88">
        <f>-IF(Tabla14[[#This Row],[DIAS HABILES O MORA]]&lt;0,(Tabla14[[#This Row],[VALOR PRESTAMO]]*Tabla14[[#This Row],[% INTERES ]]/30*U4643))</f>
        <v>0</v>
      </c>
      <c r="T4643" s="53" t="e">
        <f>Tabla14[[#This Row],[DEUDA CAPITAL]]+Tabla14[[#This Row],[INTERES  CUOTA]]</f>
        <v>#NUM!</v>
      </c>
      <c r="U4643" s="61" t="str">
        <f t="shared" si="739"/>
        <v/>
      </c>
    </row>
    <row r="4644" spans="9:21" ht="24.75" customHeight="1" x14ac:dyDescent="0.35">
      <c r="I4644" s="42">
        <f t="shared" si="730"/>
        <v>0</v>
      </c>
      <c r="J4644" s="65" t="e">
        <f t="shared" si="731"/>
        <v>#NUM!</v>
      </c>
      <c r="K4644" s="83" t="e">
        <f t="shared" si="732"/>
        <v>#NUM!</v>
      </c>
      <c r="L4644" s="83">
        <f t="shared" si="733"/>
        <v>0</v>
      </c>
      <c r="M4644" s="110" t="str">
        <f t="shared" si="734"/>
        <v/>
      </c>
      <c r="N4644" s="51" t="str">
        <f t="shared" si="735"/>
        <v/>
      </c>
      <c r="O4644" s="52" t="str">
        <f t="shared" si="736"/>
        <v/>
      </c>
      <c r="P4644" s="88">
        <f t="shared" si="737"/>
        <v>0</v>
      </c>
      <c r="Q4644" s="88">
        <f t="shared" si="738"/>
        <v>0</v>
      </c>
      <c r="R4644" s="88" t="e">
        <f>-IF(Tabla14[[#This Row],[DIAS HABILES O MORA]]&lt;0,(Tabla14[[#This Row],[VALOR PRESTAMO]]*Tabla14[[#This Row],[% INTERES ]]/30*U4644))+Tabla14[[#This Row],[VALOR CUOTAS]]</f>
        <v>#VALUE!</v>
      </c>
      <c r="S4644" s="88">
        <f>-IF(Tabla14[[#This Row],[DIAS HABILES O MORA]]&lt;0,(Tabla14[[#This Row],[VALOR PRESTAMO]]*Tabla14[[#This Row],[% INTERES ]]/30*U4644))</f>
        <v>0</v>
      </c>
      <c r="T4644" s="53" t="e">
        <f>Tabla14[[#This Row],[DEUDA CAPITAL]]+Tabla14[[#This Row],[INTERES  CUOTA]]</f>
        <v>#NUM!</v>
      </c>
      <c r="U4644" s="61" t="str">
        <f t="shared" si="739"/>
        <v/>
      </c>
    </row>
    <row r="4645" spans="9:21" ht="24.75" customHeight="1" x14ac:dyDescent="0.35">
      <c r="I4645" s="42">
        <f t="shared" si="730"/>
        <v>0</v>
      </c>
      <c r="J4645" s="65" t="e">
        <f t="shared" si="731"/>
        <v>#NUM!</v>
      </c>
      <c r="K4645" s="83" t="e">
        <f t="shared" si="732"/>
        <v>#NUM!</v>
      </c>
      <c r="L4645" s="83">
        <f t="shared" si="733"/>
        <v>0</v>
      </c>
      <c r="M4645" s="110" t="str">
        <f t="shared" si="734"/>
        <v/>
      </c>
      <c r="N4645" s="51" t="str">
        <f t="shared" si="735"/>
        <v/>
      </c>
      <c r="O4645" s="52" t="str">
        <f t="shared" si="736"/>
        <v/>
      </c>
      <c r="P4645" s="88">
        <f t="shared" si="737"/>
        <v>0</v>
      </c>
      <c r="Q4645" s="88">
        <f t="shared" si="738"/>
        <v>0</v>
      </c>
      <c r="R4645" s="88" t="e">
        <f>-IF(Tabla14[[#This Row],[DIAS HABILES O MORA]]&lt;0,(Tabla14[[#This Row],[VALOR PRESTAMO]]*Tabla14[[#This Row],[% INTERES ]]/30*U4645))+Tabla14[[#This Row],[VALOR CUOTAS]]</f>
        <v>#VALUE!</v>
      </c>
      <c r="S4645" s="88">
        <f>-IF(Tabla14[[#This Row],[DIAS HABILES O MORA]]&lt;0,(Tabla14[[#This Row],[VALOR PRESTAMO]]*Tabla14[[#This Row],[% INTERES ]]/30*U4645))</f>
        <v>0</v>
      </c>
      <c r="T4645" s="53" t="e">
        <f>Tabla14[[#This Row],[DEUDA CAPITAL]]+Tabla14[[#This Row],[INTERES  CUOTA]]</f>
        <v>#NUM!</v>
      </c>
      <c r="U4645" s="61" t="str">
        <f t="shared" si="739"/>
        <v/>
      </c>
    </row>
    <row r="4646" spans="9:21" ht="24.75" customHeight="1" x14ac:dyDescent="0.35">
      <c r="I4646" s="42">
        <f t="shared" si="730"/>
        <v>0</v>
      </c>
      <c r="J4646" s="65" t="e">
        <f t="shared" si="731"/>
        <v>#NUM!</v>
      </c>
      <c r="K4646" s="83" t="e">
        <f t="shared" si="732"/>
        <v>#NUM!</v>
      </c>
      <c r="L4646" s="83">
        <f t="shared" si="733"/>
        <v>0</v>
      </c>
      <c r="M4646" s="110" t="str">
        <f t="shared" si="734"/>
        <v/>
      </c>
      <c r="N4646" s="51" t="str">
        <f t="shared" si="735"/>
        <v/>
      </c>
      <c r="O4646" s="52" t="str">
        <f t="shared" si="736"/>
        <v/>
      </c>
      <c r="P4646" s="88">
        <f t="shared" si="737"/>
        <v>0</v>
      </c>
      <c r="Q4646" s="88">
        <f t="shared" si="738"/>
        <v>0</v>
      </c>
      <c r="R4646" s="88" t="e">
        <f>-IF(Tabla14[[#This Row],[DIAS HABILES O MORA]]&lt;0,(Tabla14[[#This Row],[VALOR PRESTAMO]]*Tabla14[[#This Row],[% INTERES ]]/30*U4646))+Tabla14[[#This Row],[VALOR CUOTAS]]</f>
        <v>#VALUE!</v>
      </c>
      <c r="S4646" s="88">
        <f>-IF(Tabla14[[#This Row],[DIAS HABILES O MORA]]&lt;0,(Tabla14[[#This Row],[VALOR PRESTAMO]]*Tabla14[[#This Row],[% INTERES ]]/30*U4646))</f>
        <v>0</v>
      </c>
      <c r="T4646" s="53" t="e">
        <f>Tabla14[[#This Row],[DEUDA CAPITAL]]+Tabla14[[#This Row],[INTERES  CUOTA]]</f>
        <v>#NUM!</v>
      </c>
      <c r="U4646" s="61" t="str">
        <f t="shared" si="739"/>
        <v/>
      </c>
    </row>
    <row r="4647" spans="9:21" ht="24.75" customHeight="1" x14ac:dyDescent="0.35">
      <c r="I4647" s="42">
        <f t="shared" si="730"/>
        <v>0</v>
      </c>
      <c r="J4647" s="65" t="e">
        <f t="shared" si="731"/>
        <v>#NUM!</v>
      </c>
      <c r="K4647" s="83" t="e">
        <f t="shared" si="732"/>
        <v>#NUM!</v>
      </c>
      <c r="L4647" s="83">
        <f t="shared" si="733"/>
        <v>0</v>
      </c>
      <c r="M4647" s="110" t="str">
        <f t="shared" si="734"/>
        <v/>
      </c>
      <c r="N4647" s="51" t="str">
        <f t="shared" si="735"/>
        <v/>
      </c>
      <c r="O4647" s="52" t="str">
        <f t="shared" si="736"/>
        <v/>
      </c>
      <c r="P4647" s="88">
        <f t="shared" si="737"/>
        <v>0</v>
      </c>
      <c r="Q4647" s="88">
        <f t="shared" si="738"/>
        <v>0</v>
      </c>
      <c r="R4647" s="88" t="e">
        <f>-IF(Tabla14[[#This Row],[DIAS HABILES O MORA]]&lt;0,(Tabla14[[#This Row],[VALOR PRESTAMO]]*Tabla14[[#This Row],[% INTERES ]]/30*U4647))+Tabla14[[#This Row],[VALOR CUOTAS]]</f>
        <v>#VALUE!</v>
      </c>
      <c r="S4647" s="88">
        <f>-IF(Tabla14[[#This Row],[DIAS HABILES O MORA]]&lt;0,(Tabla14[[#This Row],[VALOR PRESTAMO]]*Tabla14[[#This Row],[% INTERES ]]/30*U4647))</f>
        <v>0</v>
      </c>
      <c r="T4647" s="53" t="e">
        <f>Tabla14[[#This Row],[DEUDA CAPITAL]]+Tabla14[[#This Row],[INTERES  CUOTA]]</f>
        <v>#NUM!</v>
      </c>
      <c r="U4647" s="61" t="str">
        <f t="shared" si="739"/>
        <v/>
      </c>
    </row>
    <row r="4648" spans="9:21" ht="24.75" customHeight="1" x14ac:dyDescent="0.35">
      <c r="I4648" s="42">
        <f t="shared" si="730"/>
        <v>0</v>
      </c>
      <c r="J4648" s="65" t="e">
        <f t="shared" si="731"/>
        <v>#NUM!</v>
      </c>
      <c r="K4648" s="83" t="e">
        <f t="shared" si="732"/>
        <v>#NUM!</v>
      </c>
      <c r="L4648" s="83">
        <f t="shared" si="733"/>
        <v>0</v>
      </c>
      <c r="M4648" s="110" t="str">
        <f t="shared" si="734"/>
        <v/>
      </c>
      <c r="N4648" s="51" t="str">
        <f t="shared" si="735"/>
        <v/>
      </c>
      <c r="O4648" s="52" t="str">
        <f t="shared" si="736"/>
        <v/>
      </c>
      <c r="P4648" s="88">
        <f t="shared" si="737"/>
        <v>0</v>
      </c>
      <c r="Q4648" s="88">
        <f t="shared" si="738"/>
        <v>0</v>
      </c>
      <c r="R4648" s="88" t="e">
        <f>-IF(Tabla14[[#This Row],[DIAS HABILES O MORA]]&lt;0,(Tabla14[[#This Row],[VALOR PRESTAMO]]*Tabla14[[#This Row],[% INTERES ]]/30*U4648))+Tabla14[[#This Row],[VALOR CUOTAS]]</f>
        <v>#VALUE!</v>
      </c>
      <c r="S4648" s="88">
        <f>-IF(Tabla14[[#This Row],[DIAS HABILES O MORA]]&lt;0,(Tabla14[[#This Row],[VALOR PRESTAMO]]*Tabla14[[#This Row],[% INTERES ]]/30*U4648))</f>
        <v>0</v>
      </c>
      <c r="T4648" s="53" t="e">
        <f>Tabla14[[#This Row],[DEUDA CAPITAL]]+Tabla14[[#This Row],[INTERES  CUOTA]]</f>
        <v>#NUM!</v>
      </c>
      <c r="U4648" s="61" t="str">
        <f t="shared" si="739"/>
        <v/>
      </c>
    </row>
    <row r="4649" spans="9:21" ht="24.75" customHeight="1" x14ac:dyDescent="0.35">
      <c r="I4649" s="42">
        <f t="shared" si="730"/>
        <v>0</v>
      </c>
      <c r="J4649" s="65" t="e">
        <f t="shared" si="731"/>
        <v>#NUM!</v>
      </c>
      <c r="K4649" s="83" t="e">
        <f t="shared" si="732"/>
        <v>#NUM!</v>
      </c>
      <c r="L4649" s="83">
        <f t="shared" si="733"/>
        <v>0</v>
      </c>
      <c r="M4649" s="110" t="str">
        <f t="shared" si="734"/>
        <v/>
      </c>
      <c r="N4649" s="51" t="str">
        <f t="shared" si="735"/>
        <v/>
      </c>
      <c r="O4649" s="52" t="str">
        <f t="shared" si="736"/>
        <v/>
      </c>
      <c r="P4649" s="88">
        <f t="shared" si="737"/>
        <v>0</v>
      </c>
      <c r="Q4649" s="88">
        <f t="shared" si="738"/>
        <v>0</v>
      </c>
      <c r="R4649" s="88" t="e">
        <f>-IF(Tabla14[[#This Row],[DIAS HABILES O MORA]]&lt;0,(Tabla14[[#This Row],[VALOR PRESTAMO]]*Tabla14[[#This Row],[% INTERES ]]/30*U4649))+Tabla14[[#This Row],[VALOR CUOTAS]]</f>
        <v>#VALUE!</v>
      </c>
      <c r="S4649" s="88">
        <f>-IF(Tabla14[[#This Row],[DIAS HABILES O MORA]]&lt;0,(Tabla14[[#This Row],[VALOR PRESTAMO]]*Tabla14[[#This Row],[% INTERES ]]/30*U4649))</f>
        <v>0</v>
      </c>
      <c r="T4649" s="53" t="e">
        <f>Tabla14[[#This Row],[DEUDA CAPITAL]]+Tabla14[[#This Row],[INTERES  CUOTA]]</f>
        <v>#NUM!</v>
      </c>
      <c r="U4649" s="61" t="str">
        <f t="shared" si="739"/>
        <v/>
      </c>
    </row>
    <row r="4650" spans="9:21" ht="24.75" customHeight="1" x14ac:dyDescent="0.35">
      <c r="I4650" s="42">
        <f t="shared" si="730"/>
        <v>0</v>
      </c>
      <c r="J4650" s="65" t="e">
        <f t="shared" si="731"/>
        <v>#NUM!</v>
      </c>
      <c r="K4650" s="83" t="e">
        <f t="shared" si="732"/>
        <v>#NUM!</v>
      </c>
      <c r="L4650" s="83">
        <f t="shared" si="733"/>
        <v>0</v>
      </c>
      <c r="M4650" s="110" t="str">
        <f t="shared" si="734"/>
        <v/>
      </c>
      <c r="N4650" s="51" t="str">
        <f t="shared" si="735"/>
        <v/>
      </c>
      <c r="O4650" s="52" t="str">
        <f t="shared" si="736"/>
        <v/>
      </c>
      <c r="P4650" s="88">
        <f t="shared" si="737"/>
        <v>0</v>
      </c>
      <c r="Q4650" s="88">
        <f t="shared" si="738"/>
        <v>0</v>
      </c>
      <c r="R4650" s="88" t="e">
        <f>-IF(Tabla14[[#This Row],[DIAS HABILES O MORA]]&lt;0,(Tabla14[[#This Row],[VALOR PRESTAMO]]*Tabla14[[#This Row],[% INTERES ]]/30*U4650))+Tabla14[[#This Row],[VALOR CUOTAS]]</f>
        <v>#VALUE!</v>
      </c>
      <c r="S4650" s="88">
        <f>-IF(Tabla14[[#This Row],[DIAS HABILES O MORA]]&lt;0,(Tabla14[[#This Row],[VALOR PRESTAMO]]*Tabla14[[#This Row],[% INTERES ]]/30*U4650))</f>
        <v>0</v>
      </c>
      <c r="T4650" s="53" t="e">
        <f>Tabla14[[#This Row],[DEUDA CAPITAL]]+Tabla14[[#This Row],[INTERES  CUOTA]]</f>
        <v>#NUM!</v>
      </c>
      <c r="U4650" s="61" t="str">
        <f t="shared" si="739"/>
        <v/>
      </c>
    </row>
    <row r="4651" spans="9:21" ht="24.75" customHeight="1" x14ac:dyDescent="0.35">
      <c r="I4651" s="42">
        <f t="shared" si="730"/>
        <v>0</v>
      </c>
      <c r="J4651" s="65" t="e">
        <f t="shared" si="731"/>
        <v>#NUM!</v>
      </c>
      <c r="K4651" s="83" t="e">
        <f t="shared" si="732"/>
        <v>#NUM!</v>
      </c>
      <c r="L4651" s="83">
        <f t="shared" si="733"/>
        <v>0</v>
      </c>
      <c r="M4651" s="110" t="str">
        <f t="shared" si="734"/>
        <v/>
      </c>
      <c r="N4651" s="51" t="str">
        <f t="shared" si="735"/>
        <v/>
      </c>
      <c r="O4651" s="52" t="str">
        <f t="shared" si="736"/>
        <v/>
      </c>
      <c r="P4651" s="88">
        <f t="shared" si="737"/>
        <v>0</v>
      </c>
      <c r="Q4651" s="88">
        <f t="shared" si="738"/>
        <v>0</v>
      </c>
      <c r="R4651" s="88" t="e">
        <f>-IF(Tabla14[[#This Row],[DIAS HABILES O MORA]]&lt;0,(Tabla14[[#This Row],[VALOR PRESTAMO]]*Tabla14[[#This Row],[% INTERES ]]/30*U4651))+Tabla14[[#This Row],[VALOR CUOTAS]]</f>
        <v>#VALUE!</v>
      </c>
      <c r="S4651" s="88">
        <f>-IF(Tabla14[[#This Row],[DIAS HABILES O MORA]]&lt;0,(Tabla14[[#This Row],[VALOR PRESTAMO]]*Tabla14[[#This Row],[% INTERES ]]/30*U4651))</f>
        <v>0</v>
      </c>
      <c r="T4651" s="53" t="e">
        <f>Tabla14[[#This Row],[DEUDA CAPITAL]]+Tabla14[[#This Row],[INTERES  CUOTA]]</f>
        <v>#NUM!</v>
      </c>
      <c r="U4651" s="61" t="str">
        <f t="shared" si="739"/>
        <v/>
      </c>
    </row>
    <row r="4652" spans="9:21" ht="24.75" customHeight="1" x14ac:dyDescent="0.35">
      <c r="I4652" s="42">
        <f t="shared" si="730"/>
        <v>0</v>
      </c>
      <c r="J4652" s="65" t="e">
        <f t="shared" si="731"/>
        <v>#NUM!</v>
      </c>
      <c r="K4652" s="83" t="e">
        <f t="shared" si="732"/>
        <v>#NUM!</v>
      </c>
      <c r="L4652" s="83">
        <f t="shared" si="733"/>
        <v>0</v>
      </c>
      <c r="M4652" s="110" t="str">
        <f t="shared" si="734"/>
        <v/>
      </c>
      <c r="N4652" s="51" t="str">
        <f t="shared" si="735"/>
        <v/>
      </c>
      <c r="O4652" s="52" t="str">
        <f t="shared" si="736"/>
        <v/>
      </c>
      <c r="P4652" s="88">
        <f t="shared" si="737"/>
        <v>0</v>
      </c>
      <c r="Q4652" s="88">
        <f t="shared" si="738"/>
        <v>0</v>
      </c>
      <c r="R4652" s="88" t="e">
        <f>-IF(Tabla14[[#This Row],[DIAS HABILES O MORA]]&lt;0,(Tabla14[[#This Row],[VALOR PRESTAMO]]*Tabla14[[#This Row],[% INTERES ]]/30*U4652))+Tabla14[[#This Row],[VALOR CUOTAS]]</f>
        <v>#VALUE!</v>
      </c>
      <c r="S4652" s="88">
        <f>-IF(Tabla14[[#This Row],[DIAS HABILES O MORA]]&lt;0,(Tabla14[[#This Row],[VALOR PRESTAMO]]*Tabla14[[#This Row],[% INTERES ]]/30*U4652))</f>
        <v>0</v>
      </c>
      <c r="T4652" s="53" t="e">
        <f>Tabla14[[#This Row],[DEUDA CAPITAL]]+Tabla14[[#This Row],[INTERES  CUOTA]]</f>
        <v>#NUM!</v>
      </c>
      <c r="U4652" s="61" t="str">
        <f t="shared" si="739"/>
        <v/>
      </c>
    </row>
    <row r="4653" spans="9:21" ht="24.75" customHeight="1" x14ac:dyDescent="0.35">
      <c r="I4653" s="42">
        <f t="shared" si="730"/>
        <v>0</v>
      </c>
      <c r="J4653" s="65" t="e">
        <f t="shared" si="731"/>
        <v>#NUM!</v>
      </c>
      <c r="K4653" s="83" t="e">
        <f t="shared" si="732"/>
        <v>#NUM!</v>
      </c>
      <c r="L4653" s="83">
        <f t="shared" si="733"/>
        <v>0</v>
      </c>
      <c r="M4653" s="110" t="str">
        <f t="shared" si="734"/>
        <v/>
      </c>
      <c r="N4653" s="51" t="str">
        <f t="shared" si="735"/>
        <v/>
      </c>
      <c r="O4653" s="52" t="str">
        <f t="shared" si="736"/>
        <v/>
      </c>
      <c r="P4653" s="88">
        <f t="shared" si="737"/>
        <v>0</v>
      </c>
      <c r="Q4653" s="88">
        <f t="shared" si="738"/>
        <v>0</v>
      </c>
      <c r="R4653" s="88" t="e">
        <f>-IF(Tabla14[[#This Row],[DIAS HABILES O MORA]]&lt;0,(Tabla14[[#This Row],[VALOR PRESTAMO]]*Tabla14[[#This Row],[% INTERES ]]/30*U4653))+Tabla14[[#This Row],[VALOR CUOTAS]]</f>
        <v>#VALUE!</v>
      </c>
      <c r="S4653" s="88">
        <f>-IF(Tabla14[[#This Row],[DIAS HABILES O MORA]]&lt;0,(Tabla14[[#This Row],[VALOR PRESTAMO]]*Tabla14[[#This Row],[% INTERES ]]/30*U4653))</f>
        <v>0</v>
      </c>
      <c r="T4653" s="53" t="e">
        <f>Tabla14[[#This Row],[DEUDA CAPITAL]]+Tabla14[[#This Row],[INTERES  CUOTA]]</f>
        <v>#NUM!</v>
      </c>
      <c r="U4653" s="61" t="str">
        <f t="shared" si="739"/>
        <v/>
      </c>
    </row>
    <row r="4654" spans="9:21" ht="24.75" customHeight="1" x14ac:dyDescent="0.35">
      <c r="I4654" s="42">
        <f t="shared" si="730"/>
        <v>0</v>
      </c>
      <c r="J4654" s="65" t="e">
        <f t="shared" si="731"/>
        <v>#NUM!</v>
      </c>
      <c r="K4654" s="83" t="e">
        <f t="shared" si="732"/>
        <v>#NUM!</v>
      </c>
      <c r="L4654" s="83">
        <f t="shared" si="733"/>
        <v>0</v>
      </c>
      <c r="M4654" s="110" t="str">
        <f t="shared" si="734"/>
        <v/>
      </c>
      <c r="N4654" s="51" t="str">
        <f t="shared" si="735"/>
        <v/>
      </c>
      <c r="O4654" s="52" t="str">
        <f t="shared" si="736"/>
        <v/>
      </c>
      <c r="P4654" s="88">
        <f t="shared" si="737"/>
        <v>0</v>
      </c>
      <c r="Q4654" s="88">
        <f t="shared" si="738"/>
        <v>0</v>
      </c>
      <c r="R4654" s="88" t="e">
        <f>-IF(Tabla14[[#This Row],[DIAS HABILES O MORA]]&lt;0,(Tabla14[[#This Row],[VALOR PRESTAMO]]*Tabla14[[#This Row],[% INTERES ]]/30*U4654))+Tabla14[[#This Row],[VALOR CUOTAS]]</f>
        <v>#VALUE!</v>
      </c>
      <c r="S4654" s="88">
        <f>-IF(Tabla14[[#This Row],[DIAS HABILES O MORA]]&lt;0,(Tabla14[[#This Row],[VALOR PRESTAMO]]*Tabla14[[#This Row],[% INTERES ]]/30*U4654))</f>
        <v>0</v>
      </c>
      <c r="T4654" s="53" t="e">
        <f>Tabla14[[#This Row],[DEUDA CAPITAL]]+Tabla14[[#This Row],[INTERES  CUOTA]]</f>
        <v>#NUM!</v>
      </c>
      <c r="U4654" s="61" t="str">
        <f t="shared" si="739"/>
        <v/>
      </c>
    </row>
    <row r="4655" spans="9:21" ht="24.75" customHeight="1" x14ac:dyDescent="0.35">
      <c r="I4655" s="42">
        <f t="shared" si="730"/>
        <v>0</v>
      </c>
      <c r="J4655" s="65" t="e">
        <f t="shared" si="731"/>
        <v>#NUM!</v>
      </c>
      <c r="K4655" s="83" t="e">
        <f t="shared" si="732"/>
        <v>#NUM!</v>
      </c>
      <c r="L4655" s="83">
        <f t="shared" si="733"/>
        <v>0</v>
      </c>
      <c r="M4655" s="110" t="str">
        <f t="shared" si="734"/>
        <v/>
      </c>
      <c r="N4655" s="51" t="str">
        <f t="shared" si="735"/>
        <v/>
      </c>
      <c r="O4655" s="52" t="str">
        <f t="shared" si="736"/>
        <v/>
      </c>
      <c r="P4655" s="88">
        <f t="shared" si="737"/>
        <v>0</v>
      </c>
      <c r="Q4655" s="88">
        <f t="shared" si="738"/>
        <v>0</v>
      </c>
      <c r="R4655" s="88" t="e">
        <f>-IF(Tabla14[[#This Row],[DIAS HABILES O MORA]]&lt;0,(Tabla14[[#This Row],[VALOR PRESTAMO]]*Tabla14[[#This Row],[% INTERES ]]/30*U4655))+Tabla14[[#This Row],[VALOR CUOTAS]]</f>
        <v>#VALUE!</v>
      </c>
      <c r="S4655" s="88">
        <f>-IF(Tabla14[[#This Row],[DIAS HABILES O MORA]]&lt;0,(Tabla14[[#This Row],[VALOR PRESTAMO]]*Tabla14[[#This Row],[% INTERES ]]/30*U4655))</f>
        <v>0</v>
      </c>
      <c r="T4655" s="53" t="e">
        <f>Tabla14[[#This Row],[DEUDA CAPITAL]]+Tabla14[[#This Row],[INTERES  CUOTA]]</f>
        <v>#NUM!</v>
      </c>
      <c r="U4655" s="61" t="str">
        <f t="shared" si="739"/>
        <v/>
      </c>
    </row>
    <row r="4656" spans="9:21" ht="24.75" customHeight="1" x14ac:dyDescent="0.35">
      <c r="I4656" s="42">
        <f t="shared" si="730"/>
        <v>0</v>
      </c>
      <c r="J4656" s="65" t="e">
        <f t="shared" si="731"/>
        <v>#NUM!</v>
      </c>
      <c r="K4656" s="83" t="e">
        <f t="shared" si="732"/>
        <v>#NUM!</v>
      </c>
      <c r="L4656" s="83">
        <f t="shared" si="733"/>
        <v>0</v>
      </c>
      <c r="M4656" s="110" t="str">
        <f t="shared" si="734"/>
        <v/>
      </c>
      <c r="N4656" s="51" t="str">
        <f t="shared" si="735"/>
        <v/>
      </c>
      <c r="O4656" s="52" t="str">
        <f t="shared" si="736"/>
        <v/>
      </c>
      <c r="P4656" s="88">
        <f t="shared" si="737"/>
        <v>0</v>
      </c>
      <c r="Q4656" s="88">
        <f t="shared" si="738"/>
        <v>0</v>
      </c>
      <c r="R4656" s="88" t="e">
        <f>-IF(Tabla14[[#This Row],[DIAS HABILES O MORA]]&lt;0,(Tabla14[[#This Row],[VALOR PRESTAMO]]*Tabla14[[#This Row],[% INTERES ]]/30*U4656))+Tabla14[[#This Row],[VALOR CUOTAS]]</f>
        <v>#VALUE!</v>
      </c>
      <c r="S4656" s="88">
        <f>-IF(Tabla14[[#This Row],[DIAS HABILES O MORA]]&lt;0,(Tabla14[[#This Row],[VALOR PRESTAMO]]*Tabla14[[#This Row],[% INTERES ]]/30*U4656))</f>
        <v>0</v>
      </c>
      <c r="T4656" s="53" t="e">
        <f>Tabla14[[#This Row],[DEUDA CAPITAL]]+Tabla14[[#This Row],[INTERES  CUOTA]]</f>
        <v>#NUM!</v>
      </c>
      <c r="U4656" s="61" t="str">
        <f t="shared" si="739"/>
        <v/>
      </c>
    </row>
    <row r="4657" spans="9:21" ht="24.75" customHeight="1" x14ac:dyDescent="0.35">
      <c r="I4657" s="42">
        <f t="shared" si="730"/>
        <v>0</v>
      </c>
      <c r="J4657" s="65" t="e">
        <f t="shared" si="731"/>
        <v>#NUM!</v>
      </c>
      <c r="K4657" s="83" t="e">
        <f t="shared" si="732"/>
        <v>#NUM!</v>
      </c>
      <c r="L4657" s="83">
        <f t="shared" si="733"/>
        <v>0</v>
      </c>
      <c r="M4657" s="110" t="str">
        <f t="shared" si="734"/>
        <v/>
      </c>
      <c r="N4657" s="51" t="str">
        <f t="shared" si="735"/>
        <v/>
      </c>
      <c r="O4657" s="52" t="str">
        <f t="shared" si="736"/>
        <v/>
      </c>
      <c r="P4657" s="88">
        <f t="shared" si="737"/>
        <v>0</v>
      </c>
      <c r="Q4657" s="88">
        <f t="shared" si="738"/>
        <v>0</v>
      </c>
      <c r="R4657" s="88" t="e">
        <f>-IF(Tabla14[[#This Row],[DIAS HABILES O MORA]]&lt;0,(Tabla14[[#This Row],[VALOR PRESTAMO]]*Tabla14[[#This Row],[% INTERES ]]/30*U4657))+Tabla14[[#This Row],[VALOR CUOTAS]]</f>
        <v>#VALUE!</v>
      </c>
      <c r="S4657" s="88">
        <f>-IF(Tabla14[[#This Row],[DIAS HABILES O MORA]]&lt;0,(Tabla14[[#This Row],[VALOR PRESTAMO]]*Tabla14[[#This Row],[% INTERES ]]/30*U4657))</f>
        <v>0</v>
      </c>
      <c r="T4657" s="53" t="e">
        <f>Tabla14[[#This Row],[DEUDA CAPITAL]]+Tabla14[[#This Row],[INTERES  CUOTA]]</f>
        <v>#NUM!</v>
      </c>
      <c r="U4657" s="61" t="str">
        <f t="shared" si="739"/>
        <v/>
      </c>
    </row>
    <row r="4658" spans="9:21" ht="24.75" customHeight="1" x14ac:dyDescent="0.35">
      <c r="I4658" s="42">
        <f t="shared" si="730"/>
        <v>0</v>
      </c>
      <c r="J4658" s="65" t="e">
        <f t="shared" si="731"/>
        <v>#NUM!</v>
      </c>
      <c r="K4658" s="83" t="e">
        <f t="shared" si="732"/>
        <v>#NUM!</v>
      </c>
      <c r="L4658" s="83">
        <f t="shared" si="733"/>
        <v>0</v>
      </c>
      <c r="M4658" s="110" t="str">
        <f t="shared" si="734"/>
        <v/>
      </c>
      <c r="N4658" s="51" t="str">
        <f t="shared" si="735"/>
        <v/>
      </c>
      <c r="O4658" s="52" t="str">
        <f t="shared" si="736"/>
        <v/>
      </c>
      <c r="P4658" s="88">
        <f t="shared" si="737"/>
        <v>0</v>
      </c>
      <c r="Q4658" s="88">
        <f t="shared" si="738"/>
        <v>0</v>
      </c>
      <c r="R4658" s="88" t="e">
        <f>-IF(Tabla14[[#This Row],[DIAS HABILES O MORA]]&lt;0,(Tabla14[[#This Row],[VALOR PRESTAMO]]*Tabla14[[#This Row],[% INTERES ]]/30*U4658))+Tabla14[[#This Row],[VALOR CUOTAS]]</f>
        <v>#VALUE!</v>
      </c>
      <c r="S4658" s="88">
        <f>-IF(Tabla14[[#This Row],[DIAS HABILES O MORA]]&lt;0,(Tabla14[[#This Row],[VALOR PRESTAMO]]*Tabla14[[#This Row],[% INTERES ]]/30*U4658))</f>
        <v>0</v>
      </c>
      <c r="T4658" s="53" t="e">
        <f>Tabla14[[#This Row],[DEUDA CAPITAL]]+Tabla14[[#This Row],[INTERES  CUOTA]]</f>
        <v>#NUM!</v>
      </c>
      <c r="U4658" s="61" t="str">
        <f t="shared" si="739"/>
        <v/>
      </c>
    </row>
    <row r="4659" spans="9:21" ht="24.75" customHeight="1" x14ac:dyDescent="0.35">
      <c r="I4659" s="42">
        <f t="shared" si="730"/>
        <v>0</v>
      </c>
      <c r="J4659" s="65" t="e">
        <f t="shared" si="731"/>
        <v>#NUM!</v>
      </c>
      <c r="K4659" s="83" t="e">
        <f t="shared" si="732"/>
        <v>#NUM!</v>
      </c>
      <c r="L4659" s="83">
        <f t="shared" si="733"/>
        <v>0</v>
      </c>
      <c r="M4659" s="110" t="str">
        <f t="shared" si="734"/>
        <v/>
      </c>
      <c r="N4659" s="51" t="str">
        <f t="shared" si="735"/>
        <v/>
      </c>
      <c r="O4659" s="52" t="str">
        <f t="shared" si="736"/>
        <v/>
      </c>
      <c r="P4659" s="88">
        <f t="shared" si="737"/>
        <v>0</v>
      </c>
      <c r="Q4659" s="88">
        <f t="shared" si="738"/>
        <v>0</v>
      </c>
      <c r="R4659" s="88" t="e">
        <f>-IF(Tabla14[[#This Row],[DIAS HABILES O MORA]]&lt;0,(Tabla14[[#This Row],[VALOR PRESTAMO]]*Tabla14[[#This Row],[% INTERES ]]/30*U4659))+Tabla14[[#This Row],[VALOR CUOTAS]]</f>
        <v>#VALUE!</v>
      </c>
      <c r="S4659" s="88">
        <f>-IF(Tabla14[[#This Row],[DIAS HABILES O MORA]]&lt;0,(Tabla14[[#This Row],[VALOR PRESTAMO]]*Tabla14[[#This Row],[% INTERES ]]/30*U4659))</f>
        <v>0</v>
      </c>
      <c r="T4659" s="53" t="e">
        <f>Tabla14[[#This Row],[DEUDA CAPITAL]]+Tabla14[[#This Row],[INTERES  CUOTA]]</f>
        <v>#NUM!</v>
      </c>
      <c r="U4659" s="61" t="str">
        <f t="shared" si="739"/>
        <v/>
      </c>
    </row>
    <row r="4660" spans="9:21" ht="24.75" customHeight="1" x14ac:dyDescent="0.35">
      <c r="I4660" s="42">
        <f t="shared" si="730"/>
        <v>0</v>
      </c>
      <c r="J4660" s="65" t="e">
        <f t="shared" si="731"/>
        <v>#NUM!</v>
      </c>
      <c r="K4660" s="83" t="e">
        <f t="shared" si="732"/>
        <v>#NUM!</v>
      </c>
      <c r="L4660" s="83">
        <f t="shared" si="733"/>
        <v>0</v>
      </c>
      <c r="M4660" s="110" t="str">
        <f t="shared" si="734"/>
        <v/>
      </c>
      <c r="N4660" s="51" t="str">
        <f t="shared" si="735"/>
        <v/>
      </c>
      <c r="O4660" s="52" t="str">
        <f t="shared" si="736"/>
        <v/>
      </c>
      <c r="P4660" s="88">
        <f t="shared" si="737"/>
        <v>0</v>
      </c>
      <c r="Q4660" s="88">
        <f t="shared" si="738"/>
        <v>0</v>
      </c>
      <c r="R4660" s="88" t="e">
        <f>-IF(Tabla14[[#This Row],[DIAS HABILES O MORA]]&lt;0,(Tabla14[[#This Row],[VALOR PRESTAMO]]*Tabla14[[#This Row],[% INTERES ]]/30*U4660))+Tabla14[[#This Row],[VALOR CUOTAS]]</f>
        <v>#VALUE!</v>
      </c>
      <c r="S4660" s="88">
        <f>-IF(Tabla14[[#This Row],[DIAS HABILES O MORA]]&lt;0,(Tabla14[[#This Row],[VALOR PRESTAMO]]*Tabla14[[#This Row],[% INTERES ]]/30*U4660))</f>
        <v>0</v>
      </c>
      <c r="T4660" s="53" t="e">
        <f>Tabla14[[#This Row],[DEUDA CAPITAL]]+Tabla14[[#This Row],[INTERES  CUOTA]]</f>
        <v>#NUM!</v>
      </c>
      <c r="U4660" s="61" t="str">
        <f t="shared" si="739"/>
        <v/>
      </c>
    </row>
    <row r="4661" spans="9:21" ht="24.75" customHeight="1" x14ac:dyDescent="0.35">
      <c r="I4661" s="42">
        <f t="shared" si="730"/>
        <v>0</v>
      </c>
      <c r="J4661" s="65" t="e">
        <f t="shared" si="731"/>
        <v>#NUM!</v>
      </c>
      <c r="K4661" s="83" t="e">
        <f t="shared" si="732"/>
        <v>#NUM!</v>
      </c>
      <c r="L4661" s="83">
        <f t="shared" si="733"/>
        <v>0</v>
      </c>
      <c r="M4661" s="110" t="str">
        <f t="shared" si="734"/>
        <v/>
      </c>
      <c r="N4661" s="51" t="str">
        <f t="shared" si="735"/>
        <v/>
      </c>
      <c r="O4661" s="52" t="str">
        <f t="shared" si="736"/>
        <v/>
      </c>
      <c r="P4661" s="88">
        <f t="shared" si="737"/>
        <v>0</v>
      </c>
      <c r="Q4661" s="88">
        <f t="shared" si="738"/>
        <v>0</v>
      </c>
      <c r="R4661" s="88" t="e">
        <f>-IF(Tabla14[[#This Row],[DIAS HABILES O MORA]]&lt;0,(Tabla14[[#This Row],[VALOR PRESTAMO]]*Tabla14[[#This Row],[% INTERES ]]/30*U4661))+Tabla14[[#This Row],[VALOR CUOTAS]]</f>
        <v>#VALUE!</v>
      </c>
      <c r="S4661" s="88">
        <f>-IF(Tabla14[[#This Row],[DIAS HABILES O MORA]]&lt;0,(Tabla14[[#This Row],[VALOR PRESTAMO]]*Tabla14[[#This Row],[% INTERES ]]/30*U4661))</f>
        <v>0</v>
      </c>
      <c r="T4661" s="53" t="e">
        <f>Tabla14[[#This Row],[DEUDA CAPITAL]]+Tabla14[[#This Row],[INTERES  CUOTA]]</f>
        <v>#NUM!</v>
      </c>
      <c r="U4661" s="61" t="str">
        <f t="shared" si="739"/>
        <v/>
      </c>
    </row>
    <row r="4662" spans="9:21" ht="24.75" customHeight="1" x14ac:dyDescent="0.35">
      <c r="I4662" s="42">
        <f t="shared" si="730"/>
        <v>0</v>
      </c>
      <c r="J4662" s="65" t="e">
        <f t="shared" si="731"/>
        <v>#NUM!</v>
      </c>
      <c r="K4662" s="83" t="e">
        <f t="shared" si="732"/>
        <v>#NUM!</v>
      </c>
      <c r="L4662" s="83">
        <f t="shared" si="733"/>
        <v>0</v>
      </c>
      <c r="M4662" s="110" t="str">
        <f t="shared" si="734"/>
        <v/>
      </c>
      <c r="N4662" s="51" t="str">
        <f t="shared" si="735"/>
        <v/>
      </c>
      <c r="O4662" s="52" t="str">
        <f t="shared" si="736"/>
        <v/>
      </c>
      <c r="P4662" s="88">
        <f t="shared" si="737"/>
        <v>0</v>
      </c>
      <c r="Q4662" s="88">
        <f t="shared" si="738"/>
        <v>0</v>
      </c>
      <c r="R4662" s="88" t="e">
        <f>-IF(Tabla14[[#This Row],[DIAS HABILES O MORA]]&lt;0,(Tabla14[[#This Row],[VALOR PRESTAMO]]*Tabla14[[#This Row],[% INTERES ]]/30*U4662))+Tabla14[[#This Row],[VALOR CUOTAS]]</f>
        <v>#VALUE!</v>
      </c>
      <c r="S4662" s="88">
        <f>-IF(Tabla14[[#This Row],[DIAS HABILES O MORA]]&lt;0,(Tabla14[[#This Row],[VALOR PRESTAMO]]*Tabla14[[#This Row],[% INTERES ]]/30*U4662))</f>
        <v>0</v>
      </c>
      <c r="T4662" s="53" t="e">
        <f>Tabla14[[#This Row],[DEUDA CAPITAL]]+Tabla14[[#This Row],[INTERES  CUOTA]]</f>
        <v>#NUM!</v>
      </c>
      <c r="U4662" s="61" t="str">
        <f t="shared" si="739"/>
        <v/>
      </c>
    </row>
    <row r="4663" spans="9:21" ht="24.75" customHeight="1" x14ac:dyDescent="0.35">
      <c r="I4663" s="42">
        <f t="shared" si="730"/>
        <v>0</v>
      </c>
      <c r="J4663" s="65" t="e">
        <f t="shared" si="731"/>
        <v>#NUM!</v>
      </c>
      <c r="K4663" s="83" t="e">
        <f t="shared" si="732"/>
        <v>#NUM!</v>
      </c>
      <c r="L4663" s="83">
        <f t="shared" si="733"/>
        <v>0</v>
      </c>
      <c r="M4663" s="110" t="str">
        <f t="shared" si="734"/>
        <v/>
      </c>
      <c r="N4663" s="51" t="str">
        <f t="shared" si="735"/>
        <v/>
      </c>
      <c r="O4663" s="52" t="str">
        <f t="shared" si="736"/>
        <v/>
      </c>
      <c r="P4663" s="88">
        <f t="shared" si="737"/>
        <v>0</v>
      </c>
      <c r="Q4663" s="88">
        <f t="shared" si="738"/>
        <v>0</v>
      </c>
      <c r="R4663" s="88" t="e">
        <f>-IF(Tabla14[[#This Row],[DIAS HABILES O MORA]]&lt;0,(Tabla14[[#This Row],[VALOR PRESTAMO]]*Tabla14[[#This Row],[% INTERES ]]/30*U4663))+Tabla14[[#This Row],[VALOR CUOTAS]]</f>
        <v>#VALUE!</v>
      </c>
      <c r="S4663" s="88">
        <f>-IF(Tabla14[[#This Row],[DIAS HABILES O MORA]]&lt;0,(Tabla14[[#This Row],[VALOR PRESTAMO]]*Tabla14[[#This Row],[% INTERES ]]/30*U4663))</f>
        <v>0</v>
      </c>
      <c r="T4663" s="53" t="e">
        <f>Tabla14[[#This Row],[DEUDA CAPITAL]]+Tabla14[[#This Row],[INTERES  CUOTA]]</f>
        <v>#NUM!</v>
      </c>
      <c r="U4663" s="61" t="str">
        <f t="shared" si="739"/>
        <v/>
      </c>
    </row>
    <row r="4664" spans="9:21" ht="24.75" customHeight="1" x14ac:dyDescent="0.35">
      <c r="I4664" s="42">
        <f t="shared" si="730"/>
        <v>0</v>
      </c>
      <c r="J4664" s="65" t="e">
        <f t="shared" si="731"/>
        <v>#NUM!</v>
      </c>
      <c r="K4664" s="83" t="e">
        <f t="shared" si="732"/>
        <v>#NUM!</v>
      </c>
      <c r="L4664" s="83">
        <f t="shared" si="733"/>
        <v>0</v>
      </c>
      <c r="M4664" s="110" t="str">
        <f t="shared" si="734"/>
        <v/>
      </c>
      <c r="N4664" s="51" t="str">
        <f t="shared" si="735"/>
        <v/>
      </c>
      <c r="O4664" s="52" t="str">
        <f t="shared" si="736"/>
        <v/>
      </c>
      <c r="P4664" s="88">
        <f t="shared" si="737"/>
        <v>0</v>
      </c>
      <c r="Q4664" s="88">
        <f t="shared" si="738"/>
        <v>0</v>
      </c>
      <c r="R4664" s="88" t="e">
        <f>-IF(Tabla14[[#This Row],[DIAS HABILES O MORA]]&lt;0,(Tabla14[[#This Row],[VALOR PRESTAMO]]*Tabla14[[#This Row],[% INTERES ]]/30*U4664))+Tabla14[[#This Row],[VALOR CUOTAS]]</f>
        <v>#VALUE!</v>
      </c>
      <c r="S4664" s="88">
        <f>-IF(Tabla14[[#This Row],[DIAS HABILES O MORA]]&lt;0,(Tabla14[[#This Row],[VALOR PRESTAMO]]*Tabla14[[#This Row],[% INTERES ]]/30*U4664))</f>
        <v>0</v>
      </c>
      <c r="T4664" s="53" t="e">
        <f>Tabla14[[#This Row],[DEUDA CAPITAL]]+Tabla14[[#This Row],[INTERES  CUOTA]]</f>
        <v>#NUM!</v>
      </c>
      <c r="U4664" s="61" t="str">
        <f t="shared" si="739"/>
        <v/>
      </c>
    </row>
    <row r="4665" spans="9:21" ht="24.75" customHeight="1" x14ac:dyDescent="0.35">
      <c r="I4665" s="42">
        <f t="shared" si="730"/>
        <v>0</v>
      </c>
      <c r="J4665" s="65" t="e">
        <f t="shared" si="731"/>
        <v>#NUM!</v>
      </c>
      <c r="K4665" s="83" t="e">
        <f t="shared" si="732"/>
        <v>#NUM!</v>
      </c>
      <c r="L4665" s="83">
        <f t="shared" si="733"/>
        <v>0</v>
      </c>
      <c r="M4665" s="110" t="str">
        <f t="shared" si="734"/>
        <v/>
      </c>
      <c r="N4665" s="51" t="str">
        <f t="shared" si="735"/>
        <v/>
      </c>
      <c r="O4665" s="52" t="str">
        <f t="shared" si="736"/>
        <v/>
      </c>
      <c r="P4665" s="88">
        <f t="shared" si="737"/>
        <v>0</v>
      </c>
      <c r="Q4665" s="88">
        <f t="shared" si="738"/>
        <v>0</v>
      </c>
      <c r="R4665" s="88" t="e">
        <f>-IF(Tabla14[[#This Row],[DIAS HABILES O MORA]]&lt;0,(Tabla14[[#This Row],[VALOR PRESTAMO]]*Tabla14[[#This Row],[% INTERES ]]/30*U4665))+Tabla14[[#This Row],[VALOR CUOTAS]]</f>
        <v>#VALUE!</v>
      </c>
      <c r="S4665" s="88">
        <f>-IF(Tabla14[[#This Row],[DIAS HABILES O MORA]]&lt;0,(Tabla14[[#This Row],[VALOR PRESTAMO]]*Tabla14[[#This Row],[% INTERES ]]/30*U4665))</f>
        <v>0</v>
      </c>
      <c r="T4665" s="53" t="e">
        <f>Tabla14[[#This Row],[DEUDA CAPITAL]]+Tabla14[[#This Row],[INTERES  CUOTA]]</f>
        <v>#NUM!</v>
      </c>
      <c r="U4665" s="61" t="str">
        <f t="shared" si="739"/>
        <v/>
      </c>
    </row>
    <row r="4666" spans="9:21" ht="24.75" customHeight="1" x14ac:dyDescent="0.35">
      <c r="I4666" s="42">
        <f t="shared" si="730"/>
        <v>0</v>
      </c>
      <c r="J4666" s="65" t="e">
        <f t="shared" si="731"/>
        <v>#NUM!</v>
      </c>
      <c r="K4666" s="83" t="e">
        <f t="shared" si="732"/>
        <v>#NUM!</v>
      </c>
      <c r="L4666" s="83">
        <f t="shared" si="733"/>
        <v>0</v>
      </c>
      <c r="M4666" s="110" t="str">
        <f t="shared" si="734"/>
        <v/>
      </c>
      <c r="N4666" s="51" t="str">
        <f t="shared" si="735"/>
        <v/>
      </c>
      <c r="O4666" s="52" t="str">
        <f t="shared" si="736"/>
        <v/>
      </c>
      <c r="P4666" s="88">
        <f t="shared" si="737"/>
        <v>0</v>
      </c>
      <c r="Q4666" s="88">
        <f t="shared" si="738"/>
        <v>0</v>
      </c>
      <c r="R4666" s="88" t="e">
        <f>-IF(Tabla14[[#This Row],[DIAS HABILES O MORA]]&lt;0,(Tabla14[[#This Row],[VALOR PRESTAMO]]*Tabla14[[#This Row],[% INTERES ]]/30*U4666))+Tabla14[[#This Row],[VALOR CUOTAS]]</f>
        <v>#VALUE!</v>
      </c>
      <c r="S4666" s="88">
        <f>-IF(Tabla14[[#This Row],[DIAS HABILES O MORA]]&lt;0,(Tabla14[[#This Row],[VALOR PRESTAMO]]*Tabla14[[#This Row],[% INTERES ]]/30*U4666))</f>
        <v>0</v>
      </c>
      <c r="T4666" s="53" t="e">
        <f>Tabla14[[#This Row],[DEUDA CAPITAL]]+Tabla14[[#This Row],[INTERES  CUOTA]]</f>
        <v>#NUM!</v>
      </c>
      <c r="U4666" s="61" t="str">
        <f t="shared" si="739"/>
        <v/>
      </c>
    </row>
    <row r="4667" spans="9:21" ht="24.75" customHeight="1" x14ac:dyDescent="0.35">
      <c r="I4667" s="42">
        <f t="shared" si="730"/>
        <v>0</v>
      </c>
      <c r="J4667" s="65" t="e">
        <f t="shared" si="731"/>
        <v>#NUM!</v>
      </c>
      <c r="K4667" s="83" t="e">
        <f t="shared" si="732"/>
        <v>#NUM!</v>
      </c>
      <c r="L4667" s="83">
        <f t="shared" si="733"/>
        <v>0</v>
      </c>
      <c r="M4667" s="110" t="str">
        <f t="shared" si="734"/>
        <v/>
      </c>
      <c r="N4667" s="51" t="str">
        <f t="shared" si="735"/>
        <v/>
      </c>
      <c r="O4667" s="52" t="str">
        <f t="shared" si="736"/>
        <v/>
      </c>
      <c r="P4667" s="88">
        <f t="shared" si="737"/>
        <v>0</v>
      </c>
      <c r="Q4667" s="88">
        <f t="shared" si="738"/>
        <v>0</v>
      </c>
      <c r="R4667" s="88" t="e">
        <f>-IF(Tabla14[[#This Row],[DIAS HABILES O MORA]]&lt;0,(Tabla14[[#This Row],[VALOR PRESTAMO]]*Tabla14[[#This Row],[% INTERES ]]/30*U4667))+Tabla14[[#This Row],[VALOR CUOTAS]]</f>
        <v>#VALUE!</v>
      </c>
      <c r="S4667" s="88">
        <f>-IF(Tabla14[[#This Row],[DIAS HABILES O MORA]]&lt;0,(Tabla14[[#This Row],[VALOR PRESTAMO]]*Tabla14[[#This Row],[% INTERES ]]/30*U4667))</f>
        <v>0</v>
      </c>
      <c r="T4667" s="53" t="e">
        <f>Tabla14[[#This Row],[DEUDA CAPITAL]]+Tabla14[[#This Row],[INTERES  CUOTA]]</f>
        <v>#NUM!</v>
      </c>
      <c r="U4667" s="61" t="str">
        <f t="shared" si="739"/>
        <v/>
      </c>
    </row>
    <row r="4668" spans="9:21" ht="24.75" customHeight="1" x14ac:dyDescent="0.35">
      <c r="I4668" s="42">
        <f t="shared" si="730"/>
        <v>0</v>
      </c>
      <c r="J4668" s="65" t="e">
        <f t="shared" si="731"/>
        <v>#NUM!</v>
      </c>
      <c r="K4668" s="83" t="e">
        <f t="shared" si="732"/>
        <v>#NUM!</v>
      </c>
      <c r="L4668" s="83">
        <f t="shared" si="733"/>
        <v>0</v>
      </c>
      <c r="M4668" s="110" t="str">
        <f t="shared" si="734"/>
        <v/>
      </c>
      <c r="N4668" s="51" t="str">
        <f t="shared" si="735"/>
        <v/>
      </c>
      <c r="O4668" s="52" t="str">
        <f t="shared" si="736"/>
        <v/>
      </c>
      <c r="P4668" s="88">
        <f t="shared" si="737"/>
        <v>0</v>
      </c>
      <c r="Q4668" s="88">
        <f t="shared" si="738"/>
        <v>0</v>
      </c>
      <c r="R4668" s="88" t="e">
        <f>-IF(Tabla14[[#This Row],[DIAS HABILES O MORA]]&lt;0,(Tabla14[[#This Row],[VALOR PRESTAMO]]*Tabla14[[#This Row],[% INTERES ]]/30*U4668))+Tabla14[[#This Row],[VALOR CUOTAS]]</f>
        <v>#VALUE!</v>
      </c>
      <c r="S4668" s="88">
        <f>-IF(Tabla14[[#This Row],[DIAS HABILES O MORA]]&lt;0,(Tabla14[[#This Row],[VALOR PRESTAMO]]*Tabla14[[#This Row],[% INTERES ]]/30*U4668))</f>
        <v>0</v>
      </c>
      <c r="T4668" s="53" t="e">
        <f>Tabla14[[#This Row],[DEUDA CAPITAL]]+Tabla14[[#This Row],[INTERES  CUOTA]]</f>
        <v>#NUM!</v>
      </c>
      <c r="U4668" s="61" t="str">
        <f t="shared" si="739"/>
        <v/>
      </c>
    </row>
    <row r="4669" spans="9:21" ht="24.75" customHeight="1" x14ac:dyDescent="0.35">
      <c r="I4669" s="42">
        <f t="shared" si="730"/>
        <v>0</v>
      </c>
      <c r="J4669" s="65" t="e">
        <f t="shared" si="731"/>
        <v>#NUM!</v>
      </c>
      <c r="K4669" s="83" t="e">
        <f t="shared" si="732"/>
        <v>#NUM!</v>
      </c>
      <c r="L4669" s="83">
        <f t="shared" si="733"/>
        <v>0</v>
      </c>
      <c r="M4669" s="110" t="str">
        <f t="shared" si="734"/>
        <v/>
      </c>
      <c r="N4669" s="51" t="str">
        <f t="shared" si="735"/>
        <v/>
      </c>
      <c r="O4669" s="52" t="str">
        <f t="shared" si="736"/>
        <v/>
      </c>
      <c r="P4669" s="88">
        <f t="shared" si="737"/>
        <v>0</v>
      </c>
      <c r="Q4669" s="88">
        <f t="shared" si="738"/>
        <v>0</v>
      </c>
      <c r="R4669" s="88" t="e">
        <f>-IF(Tabla14[[#This Row],[DIAS HABILES O MORA]]&lt;0,(Tabla14[[#This Row],[VALOR PRESTAMO]]*Tabla14[[#This Row],[% INTERES ]]/30*U4669))+Tabla14[[#This Row],[VALOR CUOTAS]]</f>
        <v>#VALUE!</v>
      </c>
      <c r="S4669" s="88">
        <f>-IF(Tabla14[[#This Row],[DIAS HABILES O MORA]]&lt;0,(Tabla14[[#This Row],[VALOR PRESTAMO]]*Tabla14[[#This Row],[% INTERES ]]/30*U4669))</f>
        <v>0</v>
      </c>
      <c r="T4669" s="53" t="e">
        <f>Tabla14[[#This Row],[DEUDA CAPITAL]]+Tabla14[[#This Row],[INTERES  CUOTA]]</f>
        <v>#NUM!</v>
      </c>
      <c r="U4669" s="61" t="str">
        <f t="shared" si="739"/>
        <v/>
      </c>
    </row>
    <row r="4670" spans="9:21" ht="24.75" customHeight="1" x14ac:dyDescent="0.35">
      <c r="I4670" s="42">
        <f t="shared" si="730"/>
        <v>0</v>
      </c>
      <c r="J4670" s="65" t="e">
        <f t="shared" si="731"/>
        <v>#NUM!</v>
      </c>
      <c r="K4670" s="83" t="e">
        <f t="shared" si="732"/>
        <v>#NUM!</v>
      </c>
      <c r="L4670" s="83">
        <f t="shared" si="733"/>
        <v>0</v>
      </c>
      <c r="M4670" s="110" t="str">
        <f t="shared" si="734"/>
        <v/>
      </c>
      <c r="N4670" s="51" t="str">
        <f t="shared" si="735"/>
        <v/>
      </c>
      <c r="O4670" s="52" t="str">
        <f t="shared" si="736"/>
        <v/>
      </c>
      <c r="P4670" s="88">
        <f t="shared" si="737"/>
        <v>0</v>
      </c>
      <c r="Q4670" s="88">
        <f t="shared" si="738"/>
        <v>0</v>
      </c>
      <c r="R4670" s="88" t="e">
        <f>-IF(Tabla14[[#This Row],[DIAS HABILES O MORA]]&lt;0,(Tabla14[[#This Row],[VALOR PRESTAMO]]*Tabla14[[#This Row],[% INTERES ]]/30*U4670))+Tabla14[[#This Row],[VALOR CUOTAS]]</f>
        <v>#VALUE!</v>
      </c>
      <c r="S4670" s="88">
        <f>-IF(Tabla14[[#This Row],[DIAS HABILES O MORA]]&lt;0,(Tabla14[[#This Row],[VALOR PRESTAMO]]*Tabla14[[#This Row],[% INTERES ]]/30*U4670))</f>
        <v>0</v>
      </c>
      <c r="T4670" s="53" t="e">
        <f>Tabla14[[#This Row],[DEUDA CAPITAL]]+Tabla14[[#This Row],[INTERES  CUOTA]]</f>
        <v>#NUM!</v>
      </c>
      <c r="U4670" s="61" t="str">
        <f t="shared" si="739"/>
        <v/>
      </c>
    </row>
    <row r="4671" spans="9:21" ht="24.75" customHeight="1" x14ac:dyDescent="0.35">
      <c r="I4671" s="42">
        <f t="shared" si="730"/>
        <v>0</v>
      </c>
      <c r="J4671" s="65" t="e">
        <f t="shared" si="731"/>
        <v>#NUM!</v>
      </c>
      <c r="K4671" s="83" t="e">
        <f t="shared" si="732"/>
        <v>#NUM!</v>
      </c>
      <c r="L4671" s="83">
        <f t="shared" si="733"/>
        <v>0</v>
      </c>
      <c r="M4671" s="110" t="str">
        <f t="shared" si="734"/>
        <v/>
      </c>
      <c r="N4671" s="51" t="str">
        <f t="shared" si="735"/>
        <v/>
      </c>
      <c r="O4671" s="52" t="str">
        <f t="shared" si="736"/>
        <v/>
      </c>
      <c r="P4671" s="88">
        <f t="shared" si="737"/>
        <v>0</v>
      </c>
      <c r="Q4671" s="88">
        <f t="shared" si="738"/>
        <v>0</v>
      </c>
      <c r="R4671" s="88" t="e">
        <f>-IF(Tabla14[[#This Row],[DIAS HABILES O MORA]]&lt;0,(Tabla14[[#This Row],[VALOR PRESTAMO]]*Tabla14[[#This Row],[% INTERES ]]/30*U4671))+Tabla14[[#This Row],[VALOR CUOTAS]]</f>
        <v>#VALUE!</v>
      </c>
      <c r="S4671" s="88">
        <f>-IF(Tabla14[[#This Row],[DIAS HABILES O MORA]]&lt;0,(Tabla14[[#This Row],[VALOR PRESTAMO]]*Tabla14[[#This Row],[% INTERES ]]/30*U4671))</f>
        <v>0</v>
      </c>
      <c r="T4671" s="53" t="e">
        <f>Tabla14[[#This Row],[DEUDA CAPITAL]]+Tabla14[[#This Row],[INTERES  CUOTA]]</f>
        <v>#NUM!</v>
      </c>
      <c r="U4671" s="61" t="str">
        <f t="shared" si="739"/>
        <v/>
      </c>
    </row>
    <row r="4672" spans="9:21" ht="24.75" customHeight="1" x14ac:dyDescent="0.35">
      <c r="I4672" s="42">
        <f t="shared" si="730"/>
        <v>0</v>
      </c>
      <c r="J4672" s="65" t="e">
        <f t="shared" si="731"/>
        <v>#NUM!</v>
      </c>
      <c r="K4672" s="83" t="e">
        <f t="shared" si="732"/>
        <v>#NUM!</v>
      </c>
      <c r="L4672" s="83">
        <f t="shared" si="733"/>
        <v>0</v>
      </c>
      <c r="M4672" s="110" t="str">
        <f t="shared" si="734"/>
        <v/>
      </c>
      <c r="N4672" s="51" t="str">
        <f t="shared" si="735"/>
        <v/>
      </c>
      <c r="O4672" s="52" t="str">
        <f t="shared" si="736"/>
        <v/>
      </c>
      <c r="P4672" s="88">
        <f t="shared" si="737"/>
        <v>0</v>
      </c>
      <c r="Q4672" s="88">
        <f t="shared" si="738"/>
        <v>0</v>
      </c>
      <c r="R4672" s="88" t="e">
        <f>-IF(Tabla14[[#This Row],[DIAS HABILES O MORA]]&lt;0,(Tabla14[[#This Row],[VALOR PRESTAMO]]*Tabla14[[#This Row],[% INTERES ]]/30*U4672))+Tabla14[[#This Row],[VALOR CUOTAS]]</f>
        <v>#VALUE!</v>
      </c>
      <c r="S4672" s="88">
        <f>-IF(Tabla14[[#This Row],[DIAS HABILES O MORA]]&lt;0,(Tabla14[[#This Row],[VALOR PRESTAMO]]*Tabla14[[#This Row],[% INTERES ]]/30*U4672))</f>
        <v>0</v>
      </c>
      <c r="T4672" s="53" t="e">
        <f>Tabla14[[#This Row],[DEUDA CAPITAL]]+Tabla14[[#This Row],[INTERES  CUOTA]]</f>
        <v>#NUM!</v>
      </c>
      <c r="U4672" s="61" t="str">
        <f t="shared" si="739"/>
        <v/>
      </c>
    </row>
    <row r="4673" spans="9:21" ht="24.75" customHeight="1" x14ac:dyDescent="0.35">
      <c r="I4673" s="42">
        <f t="shared" si="730"/>
        <v>0</v>
      </c>
      <c r="J4673" s="65" t="e">
        <f t="shared" si="731"/>
        <v>#NUM!</v>
      </c>
      <c r="K4673" s="83" t="e">
        <f t="shared" si="732"/>
        <v>#NUM!</v>
      </c>
      <c r="L4673" s="83">
        <f t="shared" si="733"/>
        <v>0</v>
      </c>
      <c r="M4673" s="110" t="str">
        <f t="shared" si="734"/>
        <v/>
      </c>
      <c r="N4673" s="51" t="str">
        <f t="shared" si="735"/>
        <v/>
      </c>
      <c r="O4673" s="52" t="str">
        <f t="shared" si="736"/>
        <v/>
      </c>
      <c r="P4673" s="88">
        <f t="shared" si="737"/>
        <v>0</v>
      </c>
      <c r="Q4673" s="88">
        <f t="shared" si="738"/>
        <v>0</v>
      </c>
      <c r="R4673" s="88" t="e">
        <f>-IF(Tabla14[[#This Row],[DIAS HABILES O MORA]]&lt;0,(Tabla14[[#This Row],[VALOR PRESTAMO]]*Tabla14[[#This Row],[% INTERES ]]/30*U4673))+Tabla14[[#This Row],[VALOR CUOTAS]]</f>
        <v>#VALUE!</v>
      </c>
      <c r="S4673" s="88">
        <f>-IF(Tabla14[[#This Row],[DIAS HABILES O MORA]]&lt;0,(Tabla14[[#This Row],[VALOR PRESTAMO]]*Tabla14[[#This Row],[% INTERES ]]/30*U4673))</f>
        <v>0</v>
      </c>
      <c r="T4673" s="53" t="e">
        <f>Tabla14[[#This Row],[DEUDA CAPITAL]]+Tabla14[[#This Row],[INTERES  CUOTA]]</f>
        <v>#NUM!</v>
      </c>
      <c r="U4673" s="61" t="str">
        <f t="shared" si="739"/>
        <v/>
      </c>
    </row>
    <row r="4674" spans="9:21" ht="24.75" customHeight="1" x14ac:dyDescent="0.35">
      <c r="I4674" s="42">
        <f t="shared" si="730"/>
        <v>0</v>
      </c>
      <c r="J4674" s="65" t="e">
        <f t="shared" si="731"/>
        <v>#NUM!</v>
      </c>
      <c r="K4674" s="83" t="e">
        <f t="shared" si="732"/>
        <v>#NUM!</v>
      </c>
      <c r="L4674" s="83">
        <f t="shared" si="733"/>
        <v>0</v>
      </c>
      <c r="M4674" s="110" t="str">
        <f t="shared" si="734"/>
        <v/>
      </c>
      <c r="N4674" s="51" t="str">
        <f t="shared" si="735"/>
        <v/>
      </c>
      <c r="O4674" s="52" t="str">
        <f t="shared" si="736"/>
        <v/>
      </c>
      <c r="P4674" s="88">
        <f t="shared" si="737"/>
        <v>0</v>
      </c>
      <c r="Q4674" s="88">
        <f t="shared" si="738"/>
        <v>0</v>
      </c>
      <c r="R4674" s="88" t="e">
        <f>-IF(Tabla14[[#This Row],[DIAS HABILES O MORA]]&lt;0,(Tabla14[[#This Row],[VALOR PRESTAMO]]*Tabla14[[#This Row],[% INTERES ]]/30*U4674))+Tabla14[[#This Row],[VALOR CUOTAS]]</f>
        <v>#VALUE!</v>
      </c>
      <c r="S4674" s="88">
        <f>-IF(Tabla14[[#This Row],[DIAS HABILES O MORA]]&lt;0,(Tabla14[[#This Row],[VALOR PRESTAMO]]*Tabla14[[#This Row],[% INTERES ]]/30*U4674))</f>
        <v>0</v>
      </c>
      <c r="T4674" s="53" t="e">
        <f>Tabla14[[#This Row],[DEUDA CAPITAL]]+Tabla14[[#This Row],[INTERES  CUOTA]]</f>
        <v>#NUM!</v>
      </c>
      <c r="U4674" s="61" t="str">
        <f t="shared" si="739"/>
        <v/>
      </c>
    </row>
    <row r="4675" spans="9:21" ht="24.75" customHeight="1" x14ac:dyDescent="0.35">
      <c r="I4675" s="42">
        <f t="shared" si="730"/>
        <v>0</v>
      </c>
      <c r="J4675" s="65" t="e">
        <f t="shared" si="731"/>
        <v>#NUM!</v>
      </c>
      <c r="K4675" s="83" t="e">
        <f t="shared" si="732"/>
        <v>#NUM!</v>
      </c>
      <c r="L4675" s="83">
        <f t="shared" si="733"/>
        <v>0</v>
      </c>
      <c r="M4675" s="110" t="str">
        <f t="shared" si="734"/>
        <v/>
      </c>
      <c r="N4675" s="51" t="str">
        <f t="shared" si="735"/>
        <v/>
      </c>
      <c r="O4675" s="52" t="str">
        <f t="shared" si="736"/>
        <v/>
      </c>
      <c r="P4675" s="88">
        <f t="shared" si="737"/>
        <v>0</v>
      </c>
      <c r="Q4675" s="88">
        <f t="shared" si="738"/>
        <v>0</v>
      </c>
      <c r="R4675" s="88" t="e">
        <f>-IF(Tabla14[[#This Row],[DIAS HABILES O MORA]]&lt;0,(Tabla14[[#This Row],[VALOR PRESTAMO]]*Tabla14[[#This Row],[% INTERES ]]/30*U4675))+Tabla14[[#This Row],[VALOR CUOTAS]]</f>
        <v>#VALUE!</v>
      </c>
      <c r="S4675" s="88">
        <f>-IF(Tabla14[[#This Row],[DIAS HABILES O MORA]]&lt;0,(Tabla14[[#This Row],[VALOR PRESTAMO]]*Tabla14[[#This Row],[% INTERES ]]/30*U4675))</f>
        <v>0</v>
      </c>
      <c r="T4675" s="53" t="e">
        <f>Tabla14[[#This Row],[DEUDA CAPITAL]]+Tabla14[[#This Row],[INTERES  CUOTA]]</f>
        <v>#NUM!</v>
      </c>
      <c r="U4675" s="61" t="str">
        <f t="shared" si="739"/>
        <v/>
      </c>
    </row>
    <row r="4676" spans="9:21" ht="24.75" customHeight="1" x14ac:dyDescent="0.35">
      <c r="I4676" s="42">
        <f t="shared" si="730"/>
        <v>0</v>
      </c>
      <c r="J4676" s="65" t="e">
        <f t="shared" si="731"/>
        <v>#NUM!</v>
      </c>
      <c r="K4676" s="83" t="e">
        <f t="shared" si="732"/>
        <v>#NUM!</v>
      </c>
      <c r="L4676" s="83">
        <f t="shared" si="733"/>
        <v>0</v>
      </c>
      <c r="M4676" s="110" t="str">
        <f t="shared" si="734"/>
        <v/>
      </c>
      <c r="N4676" s="51" t="str">
        <f t="shared" si="735"/>
        <v/>
      </c>
      <c r="O4676" s="52" t="str">
        <f t="shared" si="736"/>
        <v/>
      </c>
      <c r="P4676" s="88">
        <f t="shared" si="737"/>
        <v>0</v>
      </c>
      <c r="Q4676" s="88">
        <f t="shared" si="738"/>
        <v>0</v>
      </c>
      <c r="R4676" s="88" t="e">
        <f>-IF(Tabla14[[#This Row],[DIAS HABILES O MORA]]&lt;0,(Tabla14[[#This Row],[VALOR PRESTAMO]]*Tabla14[[#This Row],[% INTERES ]]/30*U4676))+Tabla14[[#This Row],[VALOR CUOTAS]]</f>
        <v>#VALUE!</v>
      </c>
      <c r="S4676" s="88">
        <f>-IF(Tabla14[[#This Row],[DIAS HABILES O MORA]]&lt;0,(Tabla14[[#This Row],[VALOR PRESTAMO]]*Tabla14[[#This Row],[% INTERES ]]/30*U4676))</f>
        <v>0</v>
      </c>
      <c r="T4676" s="53" t="e">
        <f>Tabla14[[#This Row],[DEUDA CAPITAL]]+Tabla14[[#This Row],[INTERES  CUOTA]]</f>
        <v>#NUM!</v>
      </c>
      <c r="U4676" s="61" t="str">
        <f t="shared" si="739"/>
        <v/>
      </c>
    </row>
    <row r="4677" spans="9:21" ht="24.75" customHeight="1" x14ac:dyDescent="0.35">
      <c r="I4677" s="42">
        <f t="shared" si="730"/>
        <v>0</v>
      </c>
      <c r="J4677" s="65" t="e">
        <f t="shared" si="731"/>
        <v>#NUM!</v>
      </c>
      <c r="K4677" s="83" t="e">
        <f t="shared" si="732"/>
        <v>#NUM!</v>
      </c>
      <c r="L4677" s="83">
        <f t="shared" si="733"/>
        <v>0</v>
      </c>
      <c r="M4677" s="110" t="str">
        <f t="shared" si="734"/>
        <v/>
      </c>
      <c r="N4677" s="51" t="str">
        <f t="shared" si="735"/>
        <v/>
      </c>
      <c r="O4677" s="52" t="str">
        <f t="shared" si="736"/>
        <v/>
      </c>
      <c r="P4677" s="88">
        <f t="shared" si="737"/>
        <v>0</v>
      </c>
      <c r="Q4677" s="88">
        <f t="shared" si="738"/>
        <v>0</v>
      </c>
      <c r="R4677" s="88" t="e">
        <f>-IF(Tabla14[[#This Row],[DIAS HABILES O MORA]]&lt;0,(Tabla14[[#This Row],[VALOR PRESTAMO]]*Tabla14[[#This Row],[% INTERES ]]/30*U4677))+Tabla14[[#This Row],[VALOR CUOTAS]]</f>
        <v>#VALUE!</v>
      </c>
      <c r="S4677" s="88">
        <f>-IF(Tabla14[[#This Row],[DIAS HABILES O MORA]]&lt;0,(Tabla14[[#This Row],[VALOR PRESTAMO]]*Tabla14[[#This Row],[% INTERES ]]/30*U4677))</f>
        <v>0</v>
      </c>
      <c r="T4677" s="53" t="e">
        <f>Tabla14[[#This Row],[DEUDA CAPITAL]]+Tabla14[[#This Row],[INTERES  CUOTA]]</f>
        <v>#NUM!</v>
      </c>
      <c r="U4677" s="61" t="str">
        <f t="shared" si="739"/>
        <v/>
      </c>
    </row>
    <row r="4678" spans="9:21" ht="24.75" customHeight="1" x14ac:dyDescent="0.35">
      <c r="I4678" s="42">
        <f t="shared" si="730"/>
        <v>0</v>
      </c>
      <c r="J4678" s="65" t="e">
        <f t="shared" si="731"/>
        <v>#NUM!</v>
      </c>
      <c r="K4678" s="83" t="e">
        <f t="shared" si="732"/>
        <v>#NUM!</v>
      </c>
      <c r="L4678" s="83">
        <f t="shared" si="733"/>
        <v>0</v>
      </c>
      <c r="M4678" s="110" t="str">
        <f t="shared" si="734"/>
        <v/>
      </c>
      <c r="N4678" s="51" t="str">
        <f t="shared" si="735"/>
        <v/>
      </c>
      <c r="O4678" s="52" t="str">
        <f t="shared" si="736"/>
        <v/>
      </c>
      <c r="P4678" s="88">
        <f t="shared" si="737"/>
        <v>0</v>
      </c>
      <c r="Q4678" s="88">
        <f t="shared" si="738"/>
        <v>0</v>
      </c>
      <c r="R4678" s="88" t="e">
        <f>-IF(Tabla14[[#This Row],[DIAS HABILES O MORA]]&lt;0,(Tabla14[[#This Row],[VALOR PRESTAMO]]*Tabla14[[#This Row],[% INTERES ]]/30*U4678))+Tabla14[[#This Row],[VALOR CUOTAS]]</f>
        <v>#VALUE!</v>
      </c>
      <c r="S4678" s="88">
        <f>-IF(Tabla14[[#This Row],[DIAS HABILES O MORA]]&lt;0,(Tabla14[[#This Row],[VALOR PRESTAMO]]*Tabla14[[#This Row],[% INTERES ]]/30*U4678))</f>
        <v>0</v>
      </c>
      <c r="T4678" s="53" t="e">
        <f>Tabla14[[#This Row],[DEUDA CAPITAL]]+Tabla14[[#This Row],[INTERES  CUOTA]]</f>
        <v>#NUM!</v>
      </c>
      <c r="U4678" s="61" t="str">
        <f t="shared" si="739"/>
        <v/>
      </c>
    </row>
    <row r="4679" spans="9:21" ht="24.75" customHeight="1" x14ac:dyDescent="0.35">
      <c r="I4679" s="42">
        <f t="shared" si="730"/>
        <v>0</v>
      </c>
      <c r="J4679" s="65" t="e">
        <f t="shared" si="731"/>
        <v>#NUM!</v>
      </c>
      <c r="K4679" s="83" t="e">
        <f t="shared" si="732"/>
        <v>#NUM!</v>
      </c>
      <c r="L4679" s="83">
        <f t="shared" si="733"/>
        <v>0</v>
      </c>
      <c r="M4679" s="110" t="str">
        <f t="shared" si="734"/>
        <v/>
      </c>
      <c r="N4679" s="51" t="str">
        <f t="shared" si="735"/>
        <v/>
      </c>
      <c r="O4679" s="52" t="str">
        <f t="shared" si="736"/>
        <v/>
      </c>
      <c r="P4679" s="88">
        <f t="shared" si="737"/>
        <v>0</v>
      </c>
      <c r="Q4679" s="88">
        <f t="shared" si="738"/>
        <v>0</v>
      </c>
      <c r="R4679" s="88" t="e">
        <f>-IF(Tabla14[[#This Row],[DIAS HABILES O MORA]]&lt;0,(Tabla14[[#This Row],[VALOR PRESTAMO]]*Tabla14[[#This Row],[% INTERES ]]/30*U4679))+Tabla14[[#This Row],[VALOR CUOTAS]]</f>
        <v>#VALUE!</v>
      </c>
      <c r="S4679" s="88">
        <f>-IF(Tabla14[[#This Row],[DIAS HABILES O MORA]]&lt;0,(Tabla14[[#This Row],[VALOR PRESTAMO]]*Tabla14[[#This Row],[% INTERES ]]/30*U4679))</f>
        <v>0</v>
      </c>
      <c r="T4679" s="53" t="e">
        <f>Tabla14[[#This Row],[DEUDA CAPITAL]]+Tabla14[[#This Row],[INTERES  CUOTA]]</f>
        <v>#NUM!</v>
      </c>
      <c r="U4679" s="61" t="str">
        <f t="shared" si="739"/>
        <v/>
      </c>
    </row>
    <row r="4680" spans="9:21" ht="24.75" customHeight="1" x14ac:dyDescent="0.35">
      <c r="I4680" s="42">
        <f t="shared" si="730"/>
        <v>0</v>
      </c>
      <c r="J4680" s="65" t="e">
        <f t="shared" si="731"/>
        <v>#NUM!</v>
      </c>
      <c r="K4680" s="83" t="e">
        <f t="shared" si="732"/>
        <v>#NUM!</v>
      </c>
      <c r="L4680" s="83">
        <f t="shared" si="733"/>
        <v>0</v>
      </c>
      <c r="M4680" s="110" t="str">
        <f t="shared" si="734"/>
        <v/>
      </c>
      <c r="N4680" s="51" t="str">
        <f t="shared" si="735"/>
        <v/>
      </c>
      <c r="O4680" s="52" t="str">
        <f t="shared" si="736"/>
        <v/>
      </c>
      <c r="P4680" s="88">
        <f t="shared" si="737"/>
        <v>0</v>
      </c>
      <c r="Q4680" s="88">
        <f t="shared" si="738"/>
        <v>0</v>
      </c>
      <c r="R4680" s="88" t="e">
        <f>-IF(Tabla14[[#This Row],[DIAS HABILES O MORA]]&lt;0,(Tabla14[[#This Row],[VALOR PRESTAMO]]*Tabla14[[#This Row],[% INTERES ]]/30*U4680))+Tabla14[[#This Row],[VALOR CUOTAS]]</f>
        <v>#VALUE!</v>
      </c>
      <c r="S4680" s="88">
        <f>-IF(Tabla14[[#This Row],[DIAS HABILES O MORA]]&lt;0,(Tabla14[[#This Row],[VALOR PRESTAMO]]*Tabla14[[#This Row],[% INTERES ]]/30*U4680))</f>
        <v>0</v>
      </c>
      <c r="T4680" s="53" t="e">
        <f>Tabla14[[#This Row],[DEUDA CAPITAL]]+Tabla14[[#This Row],[INTERES  CUOTA]]</f>
        <v>#NUM!</v>
      </c>
      <c r="U4680" s="61" t="str">
        <f t="shared" si="739"/>
        <v/>
      </c>
    </row>
    <row r="4681" spans="9:21" ht="24.75" customHeight="1" x14ac:dyDescent="0.35">
      <c r="I4681" s="42">
        <f t="shared" si="730"/>
        <v>0</v>
      </c>
      <c r="J4681" s="65" t="e">
        <f t="shared" si="731"/>
        <v>#NUM!</v>
      </c>
      <c r="K4681" s="83" t="e">
        <f t="shared" si="732"/>
        <v>#NUM!</v>
      </c>
      <c r="L4681" s="83">
        <f t="shared" si="733"/>
        <v>0</v>
      </c>
      <c r="M4681" s="110" t="str">
        <f t="shared" si="734"/>
        <v/>
      </c>
      <c r="N4681" s="51" t="str">
        <f t="shared" si="735"/>
        <v/>
      </c>
      <c r="O4681" s="52" t="str">
        <f t="shared" si="736"/>
        <v/>
      </c>
      <c r="P4681" s="88">
        <f t="shared" si="737"/>
        <v>0</v>
      </c>
      <c r="Q4681" s="88">
        <f t="shared" si="738"/>
        <v>0</v>
      </c>
      <c r="R4681" s="88" t="e">
        <f>-IF(Tabla14[[#This Row],[DIAS HABILES O MORA]]&lt;0,(Tabla14[[#This Row],[VALOR PRESTAMO]]*Tabla14[[#This Row],[% INTERES ]]/30*U4681))+Tabla14[[#This Row],[VALOR CUOTAS]]</f>
        <v>#VALUE!</v>
      </c>
      <c r="S4681" s="88">
        <f>-IF(Tabla14[[#This Row],[DIAS HABILES O MORA]]&lt;0,(Tabla14[[#This Row],[VALOR PRESTAMO]]*Tabla14[[#This Row],[% INTERES ]]/30*U4681))</f>
        <v>0</v>
      </c>
      <c r="T4681" s="53" t="e">
        <f>Tabla14[[#This Row],[DEUDA CAPITAL]]+Tabla14[[#This Row],[INTERES  CUOTA]]</f>
        <v>#NUM!</v>
      </c>
      <c r="U4681" s="61" t="str">
        <f t="shared" si="739"/>
        <v/>
      </c>
    </row>
    <row r="4682" spans="9:21" ht="24.75" customHeight="1" x14ac:dyDescent="0.35">
      <c r="I4682" s="42">
        <f t="shared" si="730"/>
        <v>0</v>
      </c>
      <c r="J4682" s="65" t="e">
        <f t="shared" si="731"/>
        <v>#NUM!</v>
      </c>
      <c r="K4682" s="83" t="e">
        <f t="shared" si="732"/>
        <v>#NUM!</v>
      </c>
      <c r="L4682" s="83">
        <f t="shared" si="733"/>
        <v>0</v>
      </c>
      <c r="M4682" s="110" t="str">
        <f t="shared" si="734"/>
        <v/>
      </c>
      <c r="N4682" s="51" t="str">
        <f t="shared" si="735"/>
        <v/>
      </c>
      <c r="O4682" s="52" t="str">
        <f t="shared" si="736"/>
        <v/>
      </c>
      <c r="P4682" s="88">
        <f t="shared" si="737"/>
        <v>0</v>
      </c>
      <c r="Q4682" s="88">
        <f t="shared" si="738"/>
        <v>0</v>
      </c>
      <c r="R4682" s="88" t="e">
        <f>-IF(Tabla14[[#This Row],[DIAS HABILES O MORA]]&lt;0,(Tabla14[[#This Row],[VALOR PRESTAMO]]*Tabla14[[#This Row],[% INTERES ]]/30*U4682))+Tabla14[[#This Row],[VALOR CUOTAS]]</f>
        <v>#VALUE!</v>
      </c>
      <c r="S4682" s="88">
        <f>-IF(Tabla14[[#This Row],[DIAS HABILES O MORA]]&lt;0,(Tabla14[[#This Row],[VALOR PRESTAMO]]*Tabla14[[#This Row],[% INTERES ]]/30*U4682))</f>
        <v>0</v>
      </c>
      <c r="T4682" s="53" t="e">
        <f>Tabla14[[#This Row],[DEUDA CAPITAL]]+Tabla14[[#This Row],[INTERES  CUOTA]]</f>
        <v>#NUM!</v>
      </c>
      <c r="U4682" s="61" t="str">
        <f t="shared" si="739"/>
        <v/>
      </c>
    </row>
    <row r="4683" spans="9:21" ht="24.75" customHeight="1" x14ac:dyDescent="0.35">
      <c r="I4683" s="42">
        <f t="shared" si="730"/>
        <v>0</v>
      </c>
      <c r="J4683" s="65" t="e">
        <f t="shared" si="731"/>
        <v>#NUM!</v>
      </c>
      <c r="K4683" s="83" t="e">
        <f t="shared" si="732"/>
        <v>#NUM!</v>
      </c>
      <c r="L4683" s="83">
        <f t="shared" si="733"/>
        <v>0</v>
      </c>
      <c r="M4683" s="110" t="str">
        <f t="shared" si="734"/>
        <v/>
      </c>
      <c r="N4683" s="51" t="str">
        <f t="shared" si="735"/>
        <v/>
      </c>
      <c r="O4683" s="52" t="str">
        <f t="shared" si="736"/>
        <v/>
      </c>
      <c r="P4683" s="88">
        <f t="shared" si="737"/>
        <v>0</v>
      </c>
      <c r="Q4683" s="88">
        <f t="shared" si="738"/>
        <v>0</v>
      </c>
      <c r="R4683" s="88" t="e">
        <f>-IF(Tabla14[[#This Row],[DIAS HABILES O MORA]]&lt;0,(Tabla14[[#This Row],[VALOR PRESTAMO]]*Tabla14[[#This Row],[% INTERES ]]/30*U4683))+Tabla14[[#This Row],[VALOR CUOTAS]]</f>
        <v>#VALUE!</v>
      </c>
      <c r="S4683" s="88">
        <f>-IF(Tabla14[[#This Row],[DIAS HABILES O MORA]]&lt;0,(Tabla14[[#This Row],[VALOR PRESTAMO]]*Tabla14[[#This Row],[% INTERES ]]/30*U4683))</f>
        <v>0</v>
      </c>
      <c r="T4683" s="53" t="e">
        <f>Tabla14[[#This Row],[DEUDA CAPITAL]]+Tabla14[[#This Row],[INTERES  CUOTA]]</f>
        <v>#NUM!</v>
      </c>
      <c r="U4683" s="61" t="str">
        <f t="shared" si="739"/>
        <v/>
      </c>
    </row>
    <row r="4684" spans="9:21" ht="24.75" customHeight="1" x14ac:dyDescent="0.35">
      <c r="I4684" s="42">
        <f t="shared" si="730"/>
        <v>0</v>
      </c>
      <c r="J4684" s="65" t="e">
        <f t="shared" si="731"/>
        <v>#NUM!</v>
      </c>
      <c r="K4684" s="83" t="e">
        <f t="shared" si="732"/>
        <v>#NUM!</v>
      </c>
      <c r="L4684" s="83">
        <f t="shared" si="733"/>
        <v>0</v>
      </c>
      <c r="M4684" s="110" t="str">
        <f t="shared" si="734"/>
        <v/>
      </c>
      <c r="N4684" s="51" t="str">
        <f t="shared" si="735"/>
        <v/>
      </c>
      <c r="O4684" s="52" t="str">
        <f t="shared" si="736"/>
        <v/>
      </c>
      <c r="P4684" s="88">
        <f t="shared" si="737"/>
        <v>0</v>
      </c>
      <c r="Q4684" s="88">
        <f t="shared" si="738"/>
        <v>0</v>
      </c>
      <c r="R4684" s="88" t="e">
        <f>-IF(Tabla14[[#This Row],[DIAS HABILES O MORA]]&lt;0,(Tabla14[[#This Row],[VALOR PRESTAMO]]*Tabla14[[#This Row],[% INTERES ]]/30*U4684))+Tabla14[[#This Row],[VALOR CUOTAS]]</f>
        <v>#VALUE!</v>
      </c>
      <c r="S4684" s="88">
        <f>-IF(Tabla14[[#This Row],[DIAS HABILES O MORA]]&lt;0,(Tabla14[[#This Row],[VALOR PRESTAMO]]*Tabla14[[#This Row],[% INTERES ]]/30*U4684))</f>
        <v>0</v>
      </c>
      <c r="T4684" s="53" t="e">
        <f>Tabla14[[#This Row],[DEUDA CAPITAL]]+Tabla14[[#This Row],[INTERES  CUOTA]]</f>
        <v>#NUM!</v>
      </c>
      <c r="U4684" s="61" t="str">
        <f t="shared" si="739"/>
        <v/>
      </c>
    </row>
    <row r="4685" spans="9:21" ht="24.75" customHeight="1" x14ac:dyDescent="0.35">
      <c r="I4685" s="42">
        <f t="shared" si="730"/>
        <v>0</v>
      </c>
      <c r="J4685" s="65" t="e">
        <f t="shared" si="731"/>
        <v>#NUM!</v>
      </c>
      <c r="K4685" s="83" t="e">
        <f t="shared" si="732"/>
        <v>#NUM!</v>
      </c>
      <c r="L4685" s="83">
        <f t="shared" si="733"/>
        <v>0</v>
      </c>
      <c r="M4685" s="110" t="str">
        <f t="shared" si="734"/>
        <v/>
      </c>
      <c r="N4685" s="51" t="str">
        <f t="shared" si="735"/>
        <v/>
      </c>
      <c r="O4685" s="52" t="str">
        <f t="shared" si="736"/>
        <v/>
      </c>
      <c r="P4685" s="88">
        <f t="shared" si="737"/>
        <v>0</v>
      </c>
      <c r="Q4685" s="88">
        <f t="shared" si="738"/>
        <v>0</v>
      </c>
      <c r="R4685" s="88" t="e">
        <f>-IF(Tabla14[[#This Row],[DIAS HABILES O MORA]]&lt;0,(Tabla14[[#This Row],[VALOR PRESTAMO]]*Tabla14[[#This Row],[% INTERES ]]/30*U4685))+Tabla14[[#This Row],[VALOR CUOTAS]]</f>
        <v>#VALUE!</v>
      </c>
      <c r="S4685" s="88">
        <f>-IF(Tabla14[[#This Row],[DIAS HABILES O MORA]]&lt;0,(Tabla14[[#This Row],[VALOR PRESTAMO]]*Tabla14[[#This Row],[% INTERES ]]/30*U4685))</f>
        <v>0</v>
      </c>
      <c r="T4685" s="53" t="e">
        <f>Tabla14[[#This Row],[DEUDA CAPITAL]]+Tabla14[[#This Row],[INTERES  CUOTA]]</f>
        <v>#NUM!</v>
      </c>
      <c r="U4685" s="61" t="str">
        <f t="shared" si="739"/>
        <v/>
      </c>
    </row>
    <row r="4686" spans="9:21" ht="24.75" customHeight="1" x14ac:dyDescent="0.35">
      <c r="I4686" s="42">
        <f t="shared" si="730"/>
        <v>0</v>
      </c>
      <c r="J4686" s="65" t="e">
        <f t="shared" si="731"/>
        <v>#NUM!</v>
      </c>
      <c r="K4686" s="83" t="e">
        <f t="shared" si="732"/>
        <v>#NUM!</v>
      </c>
      <c r="L4686" s="83">
        <f t="shared" si="733"/>
        <v>0</v>
      </c>
      <c r="M4686" s="110" t="str">
        <f t="shared" si="734"/>
        <v/>
      </c>
      <c r="N4686" s="51" t="str">
        <f t="shared" si="735"/>
        <v/>
      </c>
      <c r="O4686" s="52" t="str">
        <f t="shared" si="736"/>
        <v/>
      </c>
      <c r="P4686" s="88">
        <f t="shared" si="737"/>
        <v>0</v>
      </c>
      <c r="Q4686" s="88">
        <f t="shared" si="738"/>
        <v>0</v>
      </c>
      <c r="R4686" s="88" t="e">
        <f>-IF(Tabla14[[#This Row],[DIAS HABILES O MORA]]&lt;0,(Tabla14[[#This Row],[VALOR PRESTAMO]]*Tabla14[[#This Row],[% INTERES ]]/30*U4686))+Tabla14[[#This Row],[VALOR CUOTAS]]</f>
        <v>#VALUE!</v>
      </c>
      <c r="S4686" s="88">
        <f>-IF(Tabla14[[#This Row],[DIAS HABILES O MORA]]&lt;0,(Tabla14[[#This Row],[VALOR PRESTAMO]]*Tabla14[[#This Row],[% INTERES ]]/30*U4686))</f>
        <v>0</v>
      </c>
      <c r="T4686" s="53" t="e">
        <f>Tabla14[[#This Row],[DEUDA CAPITAL]]+Tabla14[[#This Row],[INTERES  CUOTA]]</f>
        <v>#NUM!</v>
      </c>
      <c r="U4686" s="61" t="str">
        <f t="shared" si="739"/>
        <v/>
      </c>
    </row>
    <row r="4687" spans="9:21" ht="24.75" customHeight="1" x14ac:dyDescent="0.35">
      <c r="I4687" s="42">
        <f t="shared" si="730"/>
        <v>0</v>
      </c>
      <c r="J4687" s="65" t="e">
        <f t="shared" si="731"/>
        <v>#NUM!</v>
      </c>
      <c r="K4687" s="83" t="e">
        <f t="shared" si="732"/>
        <v>#NUM!</v>
      </c>
      <c r="L4687" s="83">
        <f t="shared" si="733"/>
        <v>0</v>
      </c>
      <c r="M4687" s="110" t="str">
        <f t="shared" si="734"/>
        <v/>
      </c>
      <c r="N4687" s="51" t="str">
        <f t="shared" si="735"/>
        <v/>
      </c>
      <c r="O4687" s="52" t="str">
        <f t="shared" si="736"/>
        <v/>
      </c>
      <c r="P4687" s="88">
        <f t="shared" si="737"/>
        <v>0</v>
      </c>
      <c r="Q4687" s="88">
        <f t="shared" si="738"/>
        <v>0</v>
      </c>
      <c r="R4687" s="88" t="e">
        <f>-IF(Tabla14[[#This Row],[DIAS HABILES O MORA]]&lt;0,(Tabla14[[#This Row],[VALOR PRESTAMO]]*Tabla14[[#This Row],[% INTERES ]]/30*U4687))+Tabla14[[#This Row],[VALOR CUOTAS]]</f>
        <v>#VALUE!</v>
      </c>
      <c r="S4687" s="88">
        <f>-IF(Tabla14[[#This Row],[DIAS HABILES O MORA]]&lt;0,(Tabla14[[#This Row],[VALOR PRESTAMO]]*Tabla14[[#This Row],[% INTERES ]]/30*U4687))</f>
        <v>0</v>
      </c>
      <c r="T4687" s="53" t="e">
        <f>Tabla14[[#This Row],[DEUDA CAPITAL]]+Tabla14[[#This Row],[INTERES  CUOTA]]</f>
        <v>#NUM!</v>
      </c>
      <c r="U4687" s="61" t="str">
        <f t="shared" si="739"/>
        <v/>
      </c>
    </row>
    <row r="4688" spans="9:21" ht="24.75" customHeight="1" x14ac:dyDescent="0.35">
      <c r="I4688" s="42">
        <f t="shared" ref="I4688:I4751" si="740">IF(C4688&lt;0,"",IF(Q4688=0,0,IF(G4688=0,H4688+1,IF(H4688&lt;G4688,H4688+1,IF(G4688=H4688,0)))))</f>
        <v>0</v>
      </c>
      <c r="J4688" s="65" t="e">
        <f t="shared" ref="J4688:J4751" si="741">IF(F4688="SOLO INTERES",Q4688*D4688,-IPMT(D4688,I4688,G4688,C4688))</f>
        <v>#NUM!</v>
      </c>
      <c r="K4688" s="83" t="e">
        <f t="shared" ref="K4688:K4751" si="742">IF(F4688="SOLO INTERES",0,-PPMT(D4688,I4688,G4688,C4688))</f>
        <v>#NUM!</v>
      </c>
      <c r="L4688" s="83">
        <f t="shared" ref="L4688:L4751" si="743">IF(F4688="SOLO INTERES",SUM(Y4688:AAE4688),IFERROR(-CUMIPMT(D4688,G4688,C4688,1,H4688,0),0)+SUM(Y4688:WY4688))</f>
        <v>0</v>
      </c>
      <c r="M4688" s="110" t="str">
        <f t="shared" ref="M4688:M4751" si="744">IFERROR(IF(F4688="SOLO INTERES",Q4688*D4688,-PMT(D4688,G4688,C4688,0)),"")</f>
        <v/>
      </c>
      <c r="N4688" s="51" t="str">
        <f t="shared" ref="N4688:N4751" si="745">IF(Q4688=0,"",IF(E4688="MENSUAL",EDATE(B4688,I4688),IF(E4688="QUINCENAL",B4688+(I4688*15),IF(E4688="SEMANAL",B4688+(I4688*7)))))</f>
        <v/>
      </c>
      <c r="O4688" s="52" t="str">
        <f t="shared" ref="O4688:O4751" si="746">IF(C4688=0,"",IF(Q4688&lt;1,"PAGADO",IF(N4688=$A$3,"COBRAR HOY",IF(N4688&lt;$A$3,"EN MORA",IF(N4688&gt;$A$3,"AL DIA")))))</f>
        <v/>
      </c>
      <c r="P4688" s="88">
        <f t="shared" ref="P4688:P4751" si="747">IFERROR(-CUMPRINC(D4688,G4688,C4688,1,H4688,0),0)+W4688</f>
        <v>0</v>
      </c>
      <c r="Q4688" s="88">
        <f t="shared" ref="Q4688:Q4751" si="748">IFERROR(C4688-P4688,"")</f>
        <v>0</v>
      </c>
      <c r="R4688" s="88" t="e">
        <f>-IF(Tabla14[[#This Row],[DIAS HABILES O MORA]]&lt;0,(Tabla14[[#This Row],[VALOR PRESTAMO]]*Tabla14[[#This Row],[% INTERES ]]/30*U4688))+Tabla14[[#This Row],[VALOR CUOTAS]]</f>
        <v>#VALUE!</v>
      </c>
      <c r="S4688" s="88">
        <f>-IF(Tabla14[[#This Row],[DIAS HABILES O MORA]]&lt;0,(Tabla14[[#This Row],[VALOR PRESTAMO]]*Tabla14[[#This Row],[% INTERES ]]/30*U4688))</f>
        <v>0</v>
      </c>
      <c r="T4688" s="53" t="e">
        <f>Tabla14[[#This Row],[DEUDA CAPITAL]]+Tabla14[[#This Row],[INTERES  CUOTA]]</f>
        <v>#NUM!</v>
      </c>
      <c r="U4688" s="61" t="str">
        <f t="shared" ref="U4688:U4751" si="749">IF(O4688="PAGADO","",IFERROR(-IF(C4688=0,"",$A$3-N4688),""))</f>
        <v/>
      </c>
    </row>
    <row r="4689" spans="9:21" ht="24.75" customHeight="1" x14ac:dyDescent="0.35">
      <c r="I4689" s="42">
        <f t="shared" si="740"/>
        <v>0</v>
      </c>
      <c r="J4689" s="65" t="e">
        <f t="shared" si="741"/>
        <v>#NUM!</v>
      </c>
      <c r="K4689" s="83" t="e">
        <f t="shared" si="742"/>
        <v>#NUM!</v>
      </c>
      <c r="L4689" s="83">
        <f t="shared" si="743"/>
        <v>0</v>
      </c>
      <c r="M4689" s="110" t="str">
        <f t="shared" si="744"/>
        <v/>
      </c>
      <c r="N4689" s="51" t="str">
        <f t="shared" si="745"/>
        <v/>
      </c>
      <c r="O4689" s="52" t="str">
        <f t="shared" si="746"/>
        <v/>
      </c>
      <c r="P4689" s="88">
        <f t="shared" si="747"/>
        <v>0</v>
      </c>
      <c r="Q4689" s="88">
        <f t="shared" si="748"/>
        <v>0</v>
      </c>
      <c r="R4689" s="88" t="e">
        <f>-IF(Tabla14[[#This Row],[DIAS HABILES O MORA]]&lt;0,(Tabla14[[#This Row],[VALOR PRESTAMO]]*Tabla14[[#This Row],[% INTERES ]]/30*U4689))+Tabla14[[#This Row],[VALOR CUOTAS]]</f>
        <v>#VALUE!</v>
      </c>
      <c r="S4689" s="88">
        <f>-IF(Tabla14[[#This Row],[DIAS HABILES O MORA]]&lt;0,(Tabla14[[#This Row],[VALOR PRESTAMO]]*Tabla14[[#This Row],[% INTERES ]]/30*U4689))</f>
        <v>0</v>
      </c>
      <c r="T4689" s="53" t="e">
        <f>Tabla14[[#This Row],[DEUDA CAPITAL]]+Tabla14[[#This Row],[INTERES  CUOTA]]</f>
        <v>#NUM!</v>
      </c>
      <c r="U4689" s="61" t="str">
        <f t="shared" si="749"/>
        <v/>
      </c>
    </row>
    <row r="4690" spans="9:21" ht="24.75" customHeight="1" x14ac:dyDescent="0.35">
      <c r="I4690" s="42">
        <f t="shared" si="740"/>
        <v>0</v>
      </c>
      <c r="J4690" s="65" t="e">
        <f t="shared" si="741"/>
        <v>#NUM!</v>
      </c>
      <c r="K4690" s="83" t="e">
        <f t="shared" si="742"/>
        <v>#NUM!</v>
      </c>
      <c r="L4690" s="83">
        <f t="shared" si="743"/>
        <v>0</v>
      </c>
      <c r="M4690" s="110" t="str">
        <f t="shared" si="744"/>
        <v/>
      </c>
      <c r="N4690" s="51" t="str">
        <f t="shared" si="745"/>
        <v/>
      </c>
      <c r="O4690" s="52" t="str">
        <f t="shared" si="746"/>
        <v/>
      </c>
      <c r="P4690" s="88">
        <f t="shared" si="747"/>
        <v>0</v>
      </c>
      <c r="Q4690" s="88">
        <f t="shared" si="748"/>
        <v>0</v>
      </c>
      <c r="R4690" s="88" t="e">
        <f>-IF(Tabla14[[#This Row],[DIAS HABILES O MORA]]&lt;0,(Tabla14[[#This Row],[VALOR PRESTAMO]]*Tabla14[[#This Row],[% INTERES ]]/30*U4690))+Tabla14[[#This Row],[VALOR CUOTAS]]</f>
        <v>#VALUE!</v>
      </c>
      <c r="S4690" s="88">
        <f>-IF(Tabla14[[#This Row],[DIAS HABILES O MORA]]&lt;0,(Tabla14[[#This Row],[VALOR PRESTAMO]]*Tabla14[[#This Row],[% INTERES ]]/30*U4690))</f>
        <v>0</v>
      </c>
      <c r="T4690" s="53" t="e">
        <f>Tabla14[[#This Row],[DEUDA CAPITAL]]+Tabla14[[#This Row],[INTERES  CUOTA]]</f>
        <v>#NUM!</v>
      </c>
      <c r="U4690" s="61" t="str">
        <f t="shared" si="749"/>
        <v/>
      </c>
    </row>
    <row r="4691" spans="9:21" ht="24.75" customHeight="1" x14ac:dyDescent="0.35">
      <c r="I4691" s="42">
        <f t="shared" si="740"/>
        <v>0</v>
      </c>
      <c r="J4691" s="65" t="e">
        <f t="shared" si="741"/>
        <v>#NUM!</v>
      </c>
      <c r="K4691" s="83" t="e">
        <f t="shared" si="742"/>
        <v>#NUM!</v>
      </c>
      <c r="L4691" s="83">
        <f t="shared" si="743"/>
        <v>0</v>
      </c>
      <c r="M4691" s="110" t="str">
        <f t="shared" si="744"/>
        <v/>
      </c>
      <c r="N4691" s="51" t="str">
        <f t="shared" si="745"/>
        <v/>
      </c>
      <c r="O4691" s="52" t="str">
        <f t="shared" si="746"/>
        <v/>
      </c>
      <c r="P4691" s="88">
        <f t="shared" si="747"/>
        <v>0</v>
      </c>
      <c r="Q4691" s="88">
        <f t="shared" si="748"/>
        <v>0</v>
      </c>
      <c r="R4691" s="88" t="e">
        <f>-IF(Tabla14[[#This Row],[DIAS HABILES O MORA]]&lt;0,(Tabla14[[#This Row],[VALOR PRESTAMO]]*Tabla14[[#This Row],[% INTERES ]]/30*U4691))+Tabla14[[#This Row],[VALOR CUOTAS]]</f>
        <v>#VALUE!</v>
      </c>
      <c r="S4691" s="88">
        <f>-IF(Tabla14[[#This Row],[DIAS HABILES O MORA]]&lt;0,(Tabla14[[#This Row],[VALOR PRESTAMO]]*Tabla14[[#This Row],[% INTERES ]]/30*U4691))</f>
        <v>0</v>
      </c>
      <c r="T4691" s="53" t="e">
        <f>Tabla14[[#This Row],[DEUDA CAPITAL]]+Tabla14[[#This Row],[INTERES  CUOTA]]</f>
        <v>#NUM!</v>
      </c>
      <c r="U4691" s="61" t="str">
        <f t="shared" si="749"/>
        <v/>
      </c>
    </row>
    <row r="4692" spans="9:21" ht="24.75" customHeight="1" x14ac:dyDescent="0.35">
      <c r="I4692" s="42">
        <f t="shared" si="740"/>
        <v>0</v>
      </c>
      <c r="J4692" s="65" t="e">
        <f t="shared" si="741"/>
        <v>#NUM!</v>
      </c>
      <c r="K4692" s="83" t="e">
        <f t="shared" si="742"/>
        <v>#NUM!</v>
      </c>
      <c r="L4692" s="83">
        <f t="shared" si="743"/>
        <v>0</v>
      </c>
      <c r="M4692" s="110" t="str">
        <f t="shared" si="744"/>
        <v/>
      </c>
      <c r="N4692" s="51" t="str">
        <f t="shared" si="745"/>
        <v/>
      </c>
      <c r="O4692" s="52" t="str">
        <f t="shared" si="746"/>
        <v/>
      </c>
      <c r="P4692" s="88">
        <f t="shared" si="747"/>
        <v>0</v>
      </c>
      <c r="Q4692" s="88">
        <f t="shared" si="748"/>
        <v>0</v>
      </c>
      <c r="R4692" s="88" t="e">
        <f>-IF(Tabla14[[#This Row],[DIAS HABILES O MORA]]&lt;0,(Tabla14[[#This Row],[VALOR PRESTAMO]]*Tabla14[[#This Row],[% INTERES ]]/30*U4692))+Tabla14[[#This Row],[VALOR CUOTAS]]</f>
        <v>#VALUE!</v>
      </c>
      <c r="S4692" s="88">
        <f>-IF(Tabla14[[#This Row],[DIAS HABILES O MORA]]&lt;0,(Tabla14[[#This Row],[VALOR PRESTAMO]]*Tabla14[[#This Row],[% INTERES ]]/30*U4692))</f>
        <v>0</v>
      </c>
      <c r="T4692" s="53" t="e">
        <f>Tabla14[[#This Row],[DEUDA CAPITAL]]+Tabla14[[#This Row],[INTERES  CUOTA]]</f>
        <v>#NUM!</v>
      </c>
      <c r="U4692" s="61" t="str">
        <f t="shared" si="749"/>
        <v/>
      </c>
    </row>
    <row r="4693" spans="9:21" ht="24.75" customHeight="1" x14ac:dyDescent="0.35">
      <c r="I4693" s="42">
        <f t="shared" si="740"/>
        <v>0</v>
      </c>
      <c r="J4693" s="65" t="e">
        <f t="shared" si="741"/>
        <v>#NUM!</v>
      </c>
      <c r="K4693" s="83" t="e">
        <f t="shared" si="742"/>
        <v>#NUM!</v>
      </c>
      <c r="L4693" s="83">
        <f t="shared" si="743"/>
        <v>0</v>
      </c>
      <c r="M4693" s="110" t="str">
        <f t="shared" si="744"/>
        <v/>
      </c>
      <c r="N4693" s="51" t="str">
        <f t="shared" si="745"/>
        <v/>
      </c>
      <c r="O4693" s="52" t="str">
        <f t="shared" si="746"/>
        <v/>
      </c>
      <c r="P4693" s="88">
        <f t="shared" si="747"/>
        <v>0</v>
      </c>
      <c r="Q4693" s="88">
        <f t="shared" si="748"/>
        <v>0</v>
      </c>
      <c r="R4693" s="88" t="e">
        <f>-IF(Tabla14[[#This Row],[DIAS HABILES O MORA]]&lt;0,(Tabla14[[#This Row],[VALOR PRESTAMO]]*Tabla14[[#This Row],[% INTERES ]]/30*U4693))+Tabla14[[#This Row],[VALOR CUOTAS]]</f>
        <v>#VALUE!</v>
      </c>
      <c r="S4693" s="88">
        <f>-IF(Tabla14[[#This Row],[DIAS HABILES O MORA]]&lt;0,(Tabla14[[#This Row],[VALOR PRESTAMO]]*Tabla14[[#This Row],[% INTERES ]]/30*U4693))</f>
        <v>0</v>
      </c>
      <c r="T4693" s="53" t="e">
        <f>Tabla14[[#This Row],[DEUDA CAPITAL]]+Tabla14[[#This Row],[INTERES  CUOTA]]</f>
        <v>#NUM!</v>
      </c>
      <c r="U4693" s="61" t="str">
        <f t="shared" si="749"/>
        <v/>
      </c>
    </row>
    <row r="4694" spans="9:21" ht="24.75" customHeight="1" x14ac:dyDescent="0.35">
      <c r="I4694" s="42">
        <f t="shared" si="740"/>
        <v>0</v>
      </c>
      <c r="J4694" s="65" t="e">
        <f t="shared" si="741"/>
        <v>#NUM!</v>
      </c>
      <c r="K4694" s="83" t="e">
        <f t="shared" si="742"/>
        <v>#NUM!</v>
      </c>
      <c r="L4694" s="83">
        <f t="shared" si="743"/>
        <v>0</v>
      </c>
      <c r="M4694" s="110" t="str">
        <f t="shared" si="744"/>
        <v/>
      </c>
      <c r="N4694" s="51" t="str">
        <f t="shared" si="745"/>
        <v/>
      </c>
      <c r="O4694" s="52" t="str">
        <f t="shared" si="746"/>
        <v/>
      </c>
      <c r="P4694" s="88">
        <f t="shared" si="747"/>
        <v>0</v>
      </c>
      <c r="Q4694" s="88">
        <f t="shared" si="748"/>
        <v>0</v>
      </c>
      <c r="R4694" s="88" t="e">
        <f>-IF(Tabla14[[#This Row],[DIAS HABILES O MORA]]&lt;0,(Tabla14[[#This Row],[VALOR PRESTAMO]]*Tabla14[[#This Row],[% INTERES ]]/30*U4694))+Tabla14[[#This Row],[VALOR CUOTAS]]</f>
        <v>#VALUE!</v>
      </c>
      <c r="S4694" s="88">
        <f>-IF(Tabla14[[#This Row],[DIAS HABILES O MORA]]&lt;0,(Tabla14[[#This Row],[VALOR PRESTAMO]]*Tabla14[[#This Row],[% INTERES ]]/30*U4694))</f>
        <v>0</v>
      </c>
      <c r="T4694" s="53" t="e">
        <f>Tabla14[[#This Row],[DEUDA CAPITAL]]+Tabla14[[#This Row],[INTERES  CUOTA]]</f>
        <v>#NUM!</v>
      </c>
      <c r="U4694" s="61" t="str">
        <f t="shared" si="749"/>
        <v/>
      </c>
    </row>
    <row r="4695" spans="9:21" ht="24.75" customHeight="1" x14ac:dyDescent="0.35">
      <c r="I4695" s="42">
        <f t="shared" si="740"/>
        <v>0</v>
      </c>
      <c r="J4695" s="65" t="e">
        <f t="shared" si="741"/>
        <v>#NUM!</v>
      </c>
      <c r="K4695" s="83" t="e">
        <f t="shared" si="742"/>
        <v>#NUM!</v>
      </c>
      <c r="L4695" s="83">
        <f t="shared" si="743"/>
        <v>0</v>
      </c>
      <c r="M4695" s="110" t="str">
        <f t="shared" si="744"/>
        <v/>
      </c>
      <c r="N4695" s="51" t="str">
        <f t="shared" si="745"/>
        <v/>
      </c>
      <c r="O4695" s="52" t="str">
        <f t="shared" si="746"/>
        <v/>
      </c>
      <c r="P4695" s="88">
        <f t="shared" si="747"/>
        <v>0</v>
      </c>
      <c r="Q4695" s="88">
        <f t="shared" si="748"/>
        <v>0</v>
      </c>
      <c r="R4695" s="88" t="e">
        <f>-IF(Tabla14[[#This Row],[DIAS HABILES O MORA]]&lt;0,(Tabla14[[#This Row],[VALOR PRESTAMO]]*Tabla14[[#This Row],[% INTERES ]]/30*U4695))+Tabla14[[#This Row],[VALOR CUOTAS]]</f>
        <v>#VALUE!</v>
      </c>
      <c r="S4695" s="88">
        <f>-IF(Tabla14[[#This Row],[DIAS HABILES O MORA]]&lt;0,(Tabla14[[#This Row],[VALOR PRESTAMO]]*Tabla14[[#This Row],[% INTERES ]]/30*U4695))</f>
        <v>0</v>
      </c>
      <c r="T4695" s="53" t="e">
        <f>Tabla14[[#This Row],[DEUDA CAPITAL]]+Tabla14[[#This Row],[INTERES  CUOTA]]</f>
        <v>#NUM!</v>
      </c>
      <c r="U4695" s="61" t="str">
        <f t="shared" si="749"/>
        <v/>
      </c>
    </row>
    <row r="4696" spans="9:21" ht="24.75" customHeight="1" x14ac:dyDescent="0.35">
      <c r="I4696" s="42">
        <f t="shared" si="740"/>
        <v>0</v>
      </c>
      <c r="J4696" s="65" t="e">
        <f t="shared" si="741"/>
        <v>#NUM!</v>
      </c>
      <c r="K4696" s="83" t="e">
        <f t="shared" si="742"/>
        <v>#NUM!</v>
      </c>
      <c r="L4696" s="83">
        <f t="shared" si="743"/>
        <v>0</v>
      </c>
      <c r="M4696" s="110" t="str">
        <f t="shared" si="744"/>
        <v/>
      </c>
      <c r="N4696" s="51" t="str">
        <f t="shared" si="745"/>
        <v/>
      </c>
      <c r="O4696" s="52" t="str">
        <f t="shared" si="746"/>
        <v/>
      </c>
      <c r="P4696" s="88">
        <f t="shared" si="747"/>
        <v>0</v>
      </c>
      <c r="Q4696" s="88">
        <f t="shared" si="748"/>
        <v>0</v>
      </c>
      <c r="R4696" s="88" t="e">
        <f>-IF(Tabla14[[#This Row],[DIAS HABILES O MORA]]&lt;0,(Tabla14[[#This Row],[VALOR PRESTAMO]]*Tabla14[[#This Row],[% INTERES ]]/30*U4696))+Tabla14[[#This Row],[VALOR CUOTAS]]</f>
        <v>#VALUE!</v>
      </c>
      <c r="S4696" s="88">
        <f>-IF(Tabla14[[#This Row],[DIAS HABILES O MORA]]&lt;0,(Tabla14[[#This Row],[VALOR PRESTAMO]]*Tabla14[[#This Row],[% INTERES ]]/30*U4696))</f>
        <v>0</v>
      </c>
      <c r="T4696" s="53" t="e">
        <f>Tabla14[[#This Row],[DEUDA CAPITAL]]+Tabla14[[#This Row],[INTERES  CUOTA]]</f>
        <v>#NUM!</v>
      </c>
      <c r="U4696" s="61" t="str">
        <f t="shared" si="749"/>
        <v/>
      </c>
    </row>
    <row r="4697" spans="9:21" ht="24.75" customHeight="1" x14ac:dyDescent="0.35">
      <c r="I4697" s="42">
        <f t="shared" si="740"/>
        <v>0</v>
      </c>
      <c r="J4697" s="65" t="e">
        <f t="shared" si="741"/>
        <v>#NUM!</v>
      </c>
      <c r="K4697" s="83" t="e">
        <f t="shared" si="742"/>
        <v>#NUM!</v>
      </c>
      <c r="L4697" s="83">
        <f t="shared" si="743"/>
        <v>0</v>
      </c>
      <c r="M4697" s="110" t="str">
        <f t="shared" si="744"/>
        <v/>
      </c>
      <c r="N4697" s="51" t="str">
        <f t="shared" si="745"/>
        <v/>
      </c>
      <c r="O4697" s="52" t="str">
        <f t="shared" si="746"/>
        <v/>
      </c>
      <c r="P4697" s="88">
        <f t="shared" si="747"/>
        <v>0</v>
      </c>
      <c r="Q4697" s="88">
        <f t="shared" si="748"/>
        <v>0</v>
      </c>
      <c r="R4697" s="88" t="e">
        <f>-IF(Tabla14[[#This Row],[DIAS HABILES O MORA]]&lt;0,(Tabla14[[#This Row],[VALOR PRESTAMO]]*Tabla14[[#This Row],[% INTERES ]]/30*U4697))+Tabla14[[#This Row],[VALOR CUOTAS]]</f>
        <v>#VALUE!</v>
      </c>
      <c r="S4697" s="88">
        <f>-IF(Tabla14[[#This Row],[DIAS HABILES O MORA]]&lt;0,(Tabla14[[#This Row],[VALOR PRESTAMO]]*Tabla14[[#This Row],[% INTERES ]]/30*U4697))</f>
        <v>0</v>
      </c>
      <c r="T4697" s="53" t="e">
        <f>Tabla14[[#This Row],[DEUDA CAPITAL]]+Tabla14[[#This Row],[INTERES  CUOTA]]</f>
        <v>#NUM!</v>
      </c>
      <c r="U4697" s="61" t="str">
        <f t="shared" si="749"/>
        <v/>
      </c>
    </row>
    <row r="4698" spans="9:21" ht="24.75" customHeight="1" x14ac:dyDescent="0.35">
      <c r="I4698" s="42">
        <f t="shared" si="740"/>
        <v>0</v>
      </c>
      <c r="J4698" s="65" t="e">
        <f t="shared" si="741"/>
        <v>#NUM!</v>
      </c>
      <c r="K4698" s="83" t="e">
        <f t="shared" si="742"/>
        <v>#NUM!</v>
      </c>
      <c r="L4698" s="83">
        <f t="shared" si="743"/>
        <v>0</v>
      </c>
      <c r="M4698" s="110" t="str">
        <f t="shared" si="744"/>
        <v/>
      </c>
      <c r="N4698" s="51" t="str">
        <f t="shared" si="745"/>
        <v/>
      </c>
      <c r="O4698" s="52" t="str">
        <f t="shared" si="746"/>
        <v/>
      </c>
      <c r="P4698" s="88">
        <f t="shared" si="747"/>
        <v>0</v>
      </c>
      <c r="Q4698" s="88">
        <f t="shared" si="748"/>
        <v>0</v>
      </c>
      <c r="R4698" s="88" t="e">
        <f>-IF(Tabla14[[#This Row],[DIAS HABILES O MORA]]&lt;0,(Tabla14[[#This Row],[VALOR PRESTAMO]]*Tabla14[[#This Row],[% INTERES ]]/30*U4698))+Tabla14[[#This Row],[VALOR CUOTAS]]</f>
        <v>#VALUE!</v>
      </c>
      <c r="S4698" s="88">
        <f>-IF(Tabla14[[#This Row],[DIAS HABILES O MORA]]&lt;0,(Tabla14[[#This Row],[VALOR PRESTAMO]]*Tabla14[[#This Row],[% INTERES ]]/30*U4698))</f>
        <v>0</v>
      </c>
      <c r="T4698" s="53" t="e">
        <f>Tabla14[[#This Row],[DEUDA CAPITAL]]+Tabla14[[#This Row],[INTERES  CUOTA]]</f>
        <v>#NUM!</v>
      </c>
      <c r="U4698" s="61" t="str">
        <f t="shared" si="749"/>
        <v/>
      </c>
    </row>
    <row r="4699" spans="9:21" ht="24.75" customHeight="1" x14ac:dyDescent="0.35">
      <c r="I4699" s="42">
        <f t="shared" si="740"/>
        <v>0</v>
      </c>
      <c r="J4699" s="65" t="e">
        <f t="shared" si="741"/>
        <v>#NUM!</v>
      </c>
      <c r="K4699" s="83" t="e">
        <f t="shared" si="742"/>
        <v>#NUM!</v>
      </c>
      <c r="L4699" s="83">
        <f t="shared" si="743"/>
        <v>0</v>
      </c>
      <c r="M4699" s="110" t="str">
        <f t="shared" si="744"/>
        <v/>
      </c>
      <c r="N4699" s="51" t="str">
        <f t="shared" si="745"/>
        <v/>
      </c>
      <c r="O4699" s="52" t="str">
        <f t="shared" si="746"/>
        <v/>
      </c>
      <c r="P4699" s="88">
        <f t="shared" si="747"/>
        <v>0</v>
      </c>
      <c r="Q4699" s="88">
        <f t="shared" si="748"/>
        <v>0</v>
      </c>
      <c r="R4699" s="88" t="e">
        <f>-IF(Tabla14[[#This Row],[DIAS HABILES O MORA]]&lt;0,(Tabla14[[#This Row],[VALOR PRESTAMO]]*Tabla14[[#This Row],[% INTERES ]]/30*U4699))+Tabla14[[#This Row],[VALOR CUOTAS]]</f>
        <v>#VALUE!</v>
      </c>
      <c r="S4699" s="88">
        <f>-IF(Tabla14[[#This Row],[DIAS HABILES O MORA]]&lt;0,(Tabla14[[#This Row],[VALOR PRESTAMO]]*Tabla14[[#This Row],[% INTERES ]]/30*U4699))</f>
        <v>0</v>
      </c>
      <c r="T4699" s="53" t="e">
        <f>Tabla14[[#This Row],[DEUDA CAPITAL]]+Tabla14[[#This Row],[INTERES  CUOTA]]</f>
        <v>#NUM!</v>
      </c>
      <c r="U4699" s="61" t="str">
        <f t="shared" si="749"/>
        <v/>
      </c>
    </row>
    <row r="4700" spans="9:21" ht="24.75" customHeight="1" x14ac:dyDescent="0.35">
      <c r="I4700" s="42">
        <f t="shared" si="740"/>
        <v>0</v>
      </c>
      <c r="J4700" s="65" t="e">
        <f t="shared" si="741"/>
        <v>#NUM!</v>
      </c>
      <c r="K4700" s="83" t="e">
        <f t="shared" si="742"/>
        <v>#NUM!</v>
      </c>
      <c r="L4700" s="83">
        <f t="shared" si="743"/>
        <v>0</v>
      </c>
      <c r="M4700" s="110" t="str">
        <f t="shared" si="744"/>
        <v/>
      </c>
      <c r="N4700" s="51" t="str">
        <f t="shared" si="745"/>
        <v/>
      </c>
      <c r="O4700" s="52" t="str">
        <f t="shared" si="746"/>
        <v/>
      </c>
      <c r="P4700" s="88">
        <f t="shared" si="747"/>
        <v>0</v>
      </c>
      <c r="Q4700" s="88">
        <f t="shared" si="748"/>
        <v>0</v>
      </c>
      <c r="R4700" s="88" t="e">
        <f>-IF(Tabla14[[#This Row],[DIAS HABILES O MORA]]&lt;0,(Tabla14[[#This Row],[VALOR PRESTAMO]]*Tabla14[[#This Row],[% INTERES ]]/30*U4700))+Tabla14[[#This Row],[VALOR CUOTAS]]</f>
        <v>#VALUE!</v>
      </c>
      <c r="S4700" s="88">
        <f>-IF(Tabla14[[#This Row],[DIAS HABILES O MORA]]&lt;0,(Tabla14[[#This Row],[VALOR PRESTAMO]]*Tabla14[[#This Row],[% INTERES ]]/30*U4700))</f>
        <v>0</v>
      </c>
      <c r="T4700" s="53" t="e">
        <f>Tabla14[[#This Row],[DEUDA CAPITAL]]+Tabla14[[#This Row],[INTERES  CUOTA]]</f>
        <v>#NUM!</v>
      </c>
      <c r="U4700" s="61" t="str">
        <f t="shared" si="749"/>
        <v/>
      </c>
    </row>
    <row r="4701" spans="9:21" ht="24.75" customHeight="1" x14ac:dyDescent="0.35">
      <c r="I4701" s="42">
        <f t="shared" si="740"/>
        <v>0</v>
      </c>
      <c r="J4701" s="65" t="e">
        <f t="shared" si="741"/>
        <v>#NUM!</v>
      </c>
      <c r="K4701" s="83" t="e">
        <f t="shared" si="742"/>
        <v>#NUM!</v>
      </c>
      <c r="L4701" s="83">
        <f t="shared" si="743"/>
        <v>0</v>
      </c>
      <c r="M4701" s="110" t="str">
        <f t="shared" si="744"/>
        <v/>
      </c>
      <c r="N4701" s="51" t="str">
        <f t="shared" si="745"/>
        <v/>
      </c>
      <c r="O4701" s="52" t="str">
        <f t="shared" si="746"/>
        <v/>
      </c>
      <c r="P4701" s="88">
        <f t="shared" si="747"/>
        <v>0</v>
      </c>
      <c r="Q4701" s="88">
        <f t="shared" si="748"/>
        <v>0</v>
      </c>
      <c r="R4701" s="88" t="e">
        <f>-IF(Tabla14[[#This Row],[DIAS HABILES O MORA]]&lt;0,(Tabla14[[#This Row],[VALOR PRESTAMO]]*Tabla14[[#This Row],[% INTERES ]]/30*U4701))+Tabla14[[#This Row],[VALOR CUOTAS]]</f>
        <v>#VALUE!</v>
      </c>
      <c r="S4701" s="88">
        <f>-IF(Tabla14[[#This Row],[DIAS HABILES O MORA]]&lt;0,(Tabla14[[#This Row],[VALOR PRESTAMO]]*Tabla14[[#This Row],[% INTERES ]]/30*U4701))</f>
        <v>0</v>
      </c>
      <c r="T4701" s="53" t="e">
        <f>Tabla14[[#This Row],[DEUDA CAPITAL]]+Tabla14[[#This Row],[INTERES  CUOTA]]</f>
        <v>#NUM!</v>
      </c>
      <c r="U4701" s="61" t="str">
        <f t="shared" si="749"/>
        <v/>
      </c>
    </row>
    <row r="4702" spans="9:21" ht="24.75" customHeight="1" x14ac:dyDescent="0.35">
      <c r="I4702" s="42">
        <f t="shared" si="740"/>
        <v>0</v>
      </c>
      <c r="J4702" s="65" t="e">
        <f t="shared" si="741"/>
        <v>#NUM!</v>
      </c>
      <c r="K4702" s="83" t="e">
        <f t="shared" si="742"/>
        <v>#NUM!</v>
      </c>
      <c r="L4702" s="83">
        <f t="shared" si="743"/>
        <v>0</v>
      </c>
      <c r="M4702" s="110" t="str">
        <f t="shared" si="744"/>
        <v/>
      </c>
      <c r="N4702" s="51" t="str">
        <f t="shared" si="745"/>
        <v/>
      </c>
      <c r="O4702" s="52" t="str">
        <f t="shared" si="746"/>
        <v/>
      </c>
      <c r="P4702" s="88">
        <f t="shared" si="747"/>
        <v>0</v>
      </c>
      <c r="Q4702" s="88">
        <f t="shared" si="748"/>
        <v>0</v>
      </c>
      <c r="R4702" s="88" t="e">
        <f>-IF(Tabla14[[#This Row],[DIAS HABILES O MORA]]&lt;0,(Tabla14[[#This Row],[VALOR PRESTAMO]]*Tabla14[[#This Row],[% INTERES ]]/30*U4702))+Tabla14[[#This Row],[VALOR CUOTAS]]</f>
        <v>#VALUE!</v>
      </c>
      <c r="S4702" s="88">
        <f>-IF(Tabla14[[#This Row],[DIAS HABILES O MORA]]&lt;0,(Tabla14[[#This Row],[VALOR PRESTAMO]]*Tabla14[[#This Row],[% INTERES ]]/30*U4702))</f>
        <v>0</v>
      </c>
      <c r="T4702" s="53" t="e">
        <f>Tabla14[[#This Row],[DEUDA CAPITAL]]+Tabla14[[#This Row],[INTERES  CUOTA]]</f>
        <v>#NUM!</v>
      </c>
      <c r="U4702" s="61" t="str">
        <f t="shared" si="749"/>
        <v/>
      </c>
    </row>
    <row r="4703" spans="9:21" ht="24.75" customHeight="1" x14ac:dyDescent="0.35">
      <c r="I4703" s="42">
        <f t="shared" si="740"/>
        <v>0</v>
      </c>
      <c r="J4703" s="65" t="e">
        <f t="shared" si="741"/>
        <v>#NUM!</v>
      </c>
      <c r="K4703" s="83" t="e">
        <f t="shared" si="742"/>
        <v>#NUM!</v>
      </c>
      <c r="L4703" s="83">
        <f t="shared" si="743"/>
        <v>0</v>
      </c>
      <c r="M4703" s="110" t="str">
        <f t="shared" si="744"/>
        <v/>
      </c>
      <c r="N4703" s="51" t="str">
        <f t="shared" si="745"/>
        <v/>
      </c>
      <c r="O4703" s="52" t="str">
        <f t="shared" si="746"/>
        <v/>
      </c>
      <c r="P4703" s="88">
        <f t="shared" si="747"/>
        <v>0</v>
      </c>
      <c r="Q4703" s="88">
        <f t="shared" si="748"/>
        <v>0</v>
      </c>
      <c r="R4703" s="88" t="e">
        <f>-IF(Tabla14[[#This Row],[DIAS HABILES O MORA]]&lt;0,(Tabla14[[#This Row],[VALOR PRESTAMO]]*Tabla14[[#This Row],[% INTERES ]]/30*U4703))+Tabla14[[#This Row],[VALOR CUOTAS]]</f>
        <v>#VALUE!</v>
      </c>
      <c r="S4703" s="88">
        <f>-IF(Tabla14[[#This Row],[DIAS HABILES O MORA]]&lt;0,(Tabla14[[#This Row],[VALOR PRESTAMO]]*Tabla14[[#This Row],[% INTERES ]]/30*U4703))</f>
        <v>0</v>
      </c>
      <c r="T4703" s="53" t="e">
        <f>Tabla14[[#This Row],[DEUDA CAPITAL]]+Tabla14[[#This Row],[INTERES  CUOTA]]</f>
        <v>#NUM!</v>
      </c>
      <c r="U4703" s="61" t="str">
        <f t="shared" si="749"/>
        <v/>
      </c>
    </row>
    <row r="4704" spans="9:21" ht="24.75" customHeight="1" x14ac:dyDescent="0.35">
      <c r="I4704" s="42">
        <f t="shared" si="740"/>
        <v>0</v>
      </c>
      <c r="J4704" s="65" t="e">
        <f t="shared" si="741"/>
        <v>#NUM!</v>
      </c>
      <c r="K4704" s="83" t="e">
        <f t="shared" si="742"/>
        <v>#NUM!</v>
      </c>
      <c r="L4704" s="83">
        <f t="shared" si="743"/>
        <v>0</v>
      </c>
      <c r="M4704" s="110" t="str">
        <f t="shared" si="744"/>
        <v/>
      </c>
      <c r="N4704" s="51" t="str">
        <f t="shared" si="745"/>
        <v/>
      </c>
      <c r="O4704" s="52" t="str">
        <f t="shared" si="746"/>
        <v/>
      </c>
      <c r="P4704" s="88">
        <f t="shared" si="747"/>
        <v>0</v>
      </c>
      <c r="Q4704" s="88">
        <f t="shared" si="748"/>
        <v>0</v>
      </c>
      <c r="R4704" s="88" t="e">
        <f>-IF(Tabla14[[#This Row],[DIAS HABILES O MORA]]&lt;0,(Tabla14[[#This Row],[VALOR PRESTAMO]]*Tabla14[[#This Row],[% INTERES ]]/30*U4704))+Tabla14[[#This Row],[VALOR CUOTAS]]</f>
        <v>#VALUE!</v>
      </c>
      <c r="S4704" s="88">
        <f>-IF(Tabla14[[#This Row],[DIAS HABILES O MORA]]&lt;0,(Tabla14[[#This Row],[VALOR PRESTAMO]]*Tabla14[[#This Row],[% INTERES ]]/30*U4704))</f>
        <v>0</v>
      </c>
      <c r="T4704" s="53" t="e">
        <f>Tabla14[[#This Row],[DEUDA CAPITAL]]+Tabla14[[#This Row],[INTERES  CUOTA]]</f>
        <v>#NUM!</v>
      </c>
      <c r="U4704" s="61" t="str">
        <f t="shared" si="749"/>
        <v/>
      </c>
    </row>
    <row r="4705" spans="9:21" ht="24.75" customHeight="1" x14ac:dyDescent="0.35">
      <c r="I4705" s="42">
        <f t="shared" si="740"/>
        <v>0</v>
      </c>
      <c r="J4705" s="65" t="e">
        <f t="shared" si="741"/>
        <v>#NUM!</v>
      </c>
      <c r="K4705" s="83" t="e">
        <f t="shared" si="742"/>
        <v>#NUM!</v>
      </c>
      <c r="L4705" s="83">
        <f t="shared" si="743"/>
        <v>0</v>
      </c>
      <c r="M4705" s="110" t="str">
        <f t="shared" si="744"/>
        <v/>
      </c>
      <c r="N4705" s="51" t="str">
        <f t="shared" si="745"/>
        <v/>
      </c>
      <c r="O4705" s="52" t="str">
        <f t="shared" si="746"/>
        <v/>
      </c>
      <c r="P4705" s="88">
        <f t="shared" si="747"/>
        <v>0</v>
      </c>
      <c r="Q4705" s="88">
        <f t="shared" si="748"/>
        <v>0</v>
      </c>
      <c r="R4705" s="88" t="e">
        <f>-IF(Tabla14[[#This Row],[DIAS HABILES O MORA]]&lt;0,(Tabla14[[#This Row],[VALOR PRESTAMO]]*Tabla14[[#This Row],[% INTERES ]]/30*U4705))+Tabla14[[#This Row],[VALOR CUOTAS]]</f>
        <v>#VALUE!</v>
      </c>
      <c r="S4705" s="88">
        <f>-IF(Tabla14[[#This Row],[DIAS HABILES O MORA]]&lt;0,(Tabla14[[#This Row],[VALOR PRESTAMO]]*Tabla14[[#This Row],[% INTERES ]]/30*U4705))</f>
        <v>0</v>
      </c>
      <c r="T4705" s="53" t="e">
        <f>Tabla14[[#This Row],[DEUDA CAPITAL]]+Tabla14[[#This Row],[INTERES  CUOTA]]</f>
        <v>#NUM!</v>
      </c>
      <c r="U4705" s="61" t="str">
        <f t="shared" si="749"/>
        <v/>
      </c>
    </row>
    <row r="4706" spans="9:21" ht="24.75" customHeight="1" x14ac:dyDescent="0.35">
      <c r="I4706" s="42">
        <f t="shared" si="740"/>
        <v>0</v>
      </c>
      <c r="J4706" s="65" t="e">
        <f t="shared" si="741"/>
        <v>#NUM!</v>
      </c>
      <c r="K4706" s="83" t="e">
        <f t="shared" si="742"/>
        <v>#NUM!</v>
      </c>
      <c r="L4706" s="83">
        <f t="shared" si="743"/>
        <v>0</v>
      </c>
      <c r="M4706" s="110" t="str">
        <f t="shared" si="744"/>
        <v/>
      </c>
      <c r="N4706" s="51" t="str">
        <f t="shared" si="745"/>
        <v/>
      </c>
      <c r="O4706" s="52" t="str">
        <f t="shared" si="746"/>
        <v/>
      </c>
      <c r="P4706" s="88">
        <f t="shared" si="747"/>
        <v>0</v>
      </c>
      <c r="Q4706" s="88">
        <f t="shared" si="748"/>
        <v>0</v>
      </c>
      <c r="R4706" s="88" t="e">
        <f>-IF(Tabla14[[#This Row],[DIAS HABILES O MORA]]&lt;0,(Tabla14[[#This Row],[VALOR PRESTAMO]]*Tabla14[[#This Row],[% INTERES ]]/30*U4706))+Tabla14[[#This Row],[VALOR CUOTAS]]</f>
        <v>#VALUE!</v>
      </c>
      <c r="S4706" s="88">
        <f>-IF(Tabla14[[#This Row],[DIAS HABILES O MORA]]&lt;0,(Tabla14[[#This Row],[VALOR PRESTAMO]]*Tabla14[[#This Row],[% INTERES ]]/30*U4706))</f>
        <v>0</v>
      </c>
      <c r="T4706" s="53" t="e">
        <f>Tabla14[[#This Row],[DEUDA CAPITAL]]+Tabla14[[#This Row],[INTERES  CUOTA]]</f>
        <v>#NUM!</v>
      </c>
      <c r="U4706" s="61" t="str">
        <f t="shared" si="749"/>
        <v/>
      </c>
    </row>
    <row r="4707" spans="9:21" ht="24.75" customHeight="1" x14ac:dyDescent="0.35">
      <c r="I4707" s="42">
        <f t="shared" si="740"/>
        <v>0</v>
      </c>
      <c r="J4707" s="65" t="e">
        <f t="shared" si="741"/>
        <v>#NUM!</v>
      </c>
      <c r="K4707" s="83" t="e">
        <f t="shared" si="742"/>
        <v>#NUM!</v>
      </c>
      <c r="L4707" s="83">
        <f t="shared" si="743"/>
        <v>0</v>
      </c>
      <c r="M4707" s="110" t="str">
        <f t="shared" si="744"/>
        <v/>
      </c>
      <c r="N4707" s="51" t="str">
        <f t="shared" si="745"/>
        <v/>
      </c>
      <c r="O4707" s="52" t="str">
        <f t="shared" si="746"/>
        <v/>
      </c>
      <c r="P4707" s="88">
        <f t="shared" si="747"/>
        <v>0</v>
      </c>
      <c r="Q4707" s="88">
        <f t="shared" si="748"/>
        <v>0</v>
      </c>
      <c r="R4707" s="88" t="e">
        <f>-IF(Tabla14[[#This Row],[DIAS HABILES O MORA]]&lt;0,(Tabla14[[#This Row],[VALOR PRESTAMO]]*Tabla14[[#This Row],[% INTERES ]]/30*U4707))+Tabla14[[#This Row],[VALOR CUOTAS]]</f>
        <v>#VALUE!</v>
      </c>
      <c r="S4707" s="88">
        <f>-IF(Tabla14[[#This Row],[DIAS HABILES O MORA]]&lt;0,(Tabla14[[#This Row],[VALOR PRESTAMO]]*Tabla14[[#This Row],[% INTERES ]]/30*U4707))</f>
        <v>0</v>
      </c>
      <c r="T4707" s="53" t="e">
        <f>Tabla14[[#This Row],[DEUDA CAPITAL]]+Tabla14[[#This Row],[INTERES  CUOTA]]</f>
        <v>#NUM!</v>
      </c>
      <c r="U4707" s="61" t="str">
        <f t="shared" si="749"/>
        <v/>
      </c>
    </row>
    <row r="4708" spans="9:21" ht="24.75" customHeight="1" x14ac:dyDescent="0.35">
      <c r="I4708" s="42">
        <f t="shared" si="740"/>
        <v>0</v>
      </c>
      <c r="J4708" s="65" t="e">
        <f t="shared" si="741"/>
        <v>#NUM!</v>
      </c>
      <c r="K4708" s="83" t="e">
        <f t="shared" si="742"/>
        <v>#NUM!</v>
      </c>
      <c r="L4708" s="83">
        <f t="shared" si="743"/>
        <v>0</v>
      </c>
      <c r="M4708" s="110" t="str">
        <f t="shared" si="744"/>
        <v/>
      </c>
      <c r="N4708" s="51" t="str">
        <f t="shared" si="745"/>
        <v/>
      </c>
      <c r="O4708" s="52" t="str">
        <f t="shared" si="746"/>
        <v/>
      </c>
      <c r="P4708" s="88">
        <f t="shared" si="747"/>
        <v>0</v>
      </c>
      <c r="Q4708" s="88">
        <f t="shared" si="748"/>
        <v>0</v>
      </c>
      <c r="R4708" s="88" t="e">
        <f>-IF(Tabla14[[#This Row],[DIAS HABILES O MORA]]&lt;0,(Tabla14[[#This Row],[VALOR PRESTAMO]]*Tabla14[[#This Row],[% INTERES ]]/30*U4708))+Tabla14[[#This Row],[VALOR CUOTAS]]</f>
        <v>#VALUE!</v>
      </c>
      <c r="S4708" s="88">
        <f>-IF(Tabla14[[#This Row],[DIAS HABILES O MORA]]&lt;0,(Tabla14[[#This Row],[VALOR PRESTAMO]]*Tabla14[[#This Row],[% INTERES ]]/30*U4708))</f>
        <v>0</v>
      </c>
      <c r="T4708" s="53" t="e">
        <f>Tabla14[[#This Row],[DEUDA CAPITAL]]+Tabla14[[#This Row],[INTERES  CUOTA]]</f>
        <v>#NUM!</v>
      </c>
      <c r="U4708" s="61" t="str">
        <f t="shared" si="749"/>
        <v/>
      </c>
    </row>
    <row r="4709" spans="9:21" ht="24.75" customHeight="1" x14ac:dyDescent="0.35">
      <c r="I4709" s="42">
        <f t="shared" si="740"/>
        <v>0</v>
      </c>
      <c r="J4709" s="65" t="e">
        <f t="shared" si="741"/>
        <v>#NUM!</v>
      </c>
      <c r="K4709" s="83" t="e">
        <f t="shared" si="742"/>
        <v>#NUM!</v>
      </c>
      <c r="L4709" s="83">
        <f t="shared" si="743"/>
        <v>0</v>
      </c>
      <c r="M4709" s="110" t="str">
        <f t="shared" si="744"/>
        <v/>
      </c>
      <c r="N4709" s="51" t="str">
        <f t="shared" si="745"/>
        <v/>
      </c>
      <c r="O4709" s="52" t="str">
        <f t="shared" si="746"/>
        <v/>
      </c>
      <c r="P4709" s="88">
        <f t="shared" si="747"/>
        <v>0</v>
      </c>
      <c r="Q4709" s="88">
        <f t="shared" si="748"/>
        <v>0</v>
      </c>
      <c r="R4709" s="88" t="e">
        <f>-IF(Tabla14[[#This Row],[DIAS HABILES O MORA]]&lt;0,(Tabla14[[#This Row],[VALOR PRESTAMO]]*Tabla14[[#This Row],[% INTERES ]]/30*U4709))+Tabla14[[#This Row],[VALOR CUOTAS]]</f>
        <v>#VALUE!</v>
      </c>
      <c r="S4709" s="88">
        <f>-IF(Tabla14[[#This Row],[DIAS HABILES O MORA]]&lt;0,(Tabla14[[#This Row],[VALOR PRESTAMO]]*Tabla14[[#This Row],[% INTERES ]]/30*U4709))</f>
        <v>0</v>
      </c>
      <c r="T4709" s="53" t="e">
        <f>Tabla14[[#This Row],[DEUDA CAPITAL]]+Tabla14[[#This Row],[INTERES  CUOTA]]</f>
        <v>#NUM!</v>
      </c>
      <c r="U4709" s="61" t="str">
        <f t="shared" si="749"/>
        <v/>
      </c>
    </row>
    <row r="4710" spans="9:21" ht="24.75" customHeight="1" x14ac:dyDescent="0.35">
      <c r="I4710" s="42">
        <f t="shared" si="740"/>
        <v>0</v>
      </c>
      <c r="J4710" s="65" t="e">
        <f t="shared" si="741"/>
        <v>#NUM!</v>
      </c>
      <c r="K4710" s="83" t="e">
        <f t="shared" si="742"/>
        <v>#NUM!</v>
      </c>
      <c r="L4710" s="83">
        <f t="shared" si="743"/>
        <v>0</v>
      </c>
      <c r="M4710" s="110" t="str">
        <f t="shared" si="744"/>
        <v/>
      </c>
      <c r="N4710" s="51" t="str">
        <f t="shared" si="745"/>
        <v/>
      </c>
      <c r="O4710" s="52" t="str">
        <f t="shared" si="746"/>
        <v/>
      </c>
      <c r="P4710" s="88">
        <f t="shared" si="747"/>
        <v>0</v>
      </c>
      <c r="Q4710" s="88">
        <f t="shared" si="748"/>
        <v>0</v>
      </c>
      <c r="R4710" s="88" t="e">
        <f>-IF(Tabla14[[#This Row],[DIAS HABILES O MORA]]&lt;0,(Tabla14[[#This Row],[VALOR PRESTAMO]]*Tabla14[[#This Row],[% INTERES ]]/30*U4710))+Tabla14[[#This Row],[VALOR CUOTAS]]</f>
        <v>#VALUE!</v>
      </c>
      <c r="S4710" s="88">
        <f>-IF(Tabla14[[#This Row],[DIAS HABILES O MORA]]&lt;0,(Tabla14[[#This Row],[VALOR PRESTAMO]]*Tabla14[[#This Row],[% INTERES ]]/30*U4710))</f>
        <v>0</v>
      </c>
      <c r="T4710" s="53" t="e">
        <f>Tabla14[[#This Row],[DEUDA CAPITAL]]+Tabla14[[#This Row],[INTERES  CUOTA]]</f>
        <v>#NUM!</v>
      </c>
      <c r="U4710" s="61" t="str">
        <f t="shared" si="749"/>
        <v/>
      </c>
    </row>
    <row r="4711" spans="9:21" ht="24.75" customHeight="1" x14ac:dyDescent="0.35">
      <c r="I4711" s="42">
        <f t="shared" si="740"/>
        <v>0</v>
      </c>
      <c r="J4711" s="65" t="e">
        <f t="shared" si="741"/>
        <v>#NUM!</v>
      </c>
      <c r="K4711" s="83" t="e">
        <f t="shared" si="742"/>
        <v>#NUM!</v>
      </c>
      <c r="L4711" s="83">
        <f t="shared" si="743"/>
        <v>0</v>
      </c>
      <c r="M4711" s="110" t="str">
        <f t="shared" si="744"/>
        <v/>
      </c>
      <c r="N4711" s="51" t="str">
        <f t="shared" si="745"/>
        <v/>
      </c>
      <c r="O4711" s="52" t="str">
        <f t="shared" si="746"/>
        <v/>
      </c>
      <c r="P4711" s="88">
        <f t="shared" si="747"/>
        <v>0</v>
      </c>
      <c r="Q4711" s="88">
        <f t="shared" si="748"/>
        <v>0</v>
      </c>
      <c r="R4711" s="88" t="e">
        <f>-IF(Tabla14[[#This Row],[DIAS HABILES O MORA]]&lt;0,(Tabla14[[#This Row],[VALOR PRESTAMO]]*Tabla14[[#This Row],[% INTERES ]]/30*U4711))+Tabla14[[#This Row],[VALOR CUOTAS]]</f>
        <v>#VALUE!</v>
      </c>
      <c r="S4711" s="88">
        <f>-IF(Tabla14[[#This Row],[DIAS HABILES O MORA]]&lt;0,(Tabla14[[#This Row],[VALOR PRESTAMO]]*Tabla14[[#This Row],[% INTERES ]]/30*U4711))</f>
        <v>0</v>
      </c>
      <c r="T4711" s="53" t="e">
        <f>Tabla14[[#This Row],[DEUDA CAPITAL]]+Tabla14[[#This Row],[INTERES  CUOTA]]</f>
        <v>#NUM!</v>
      </c>
      <c r="U4711" s="61" t="str">
        <f t="shared" si="749"/>
        <v/>
      </c>
    </row>
    <row r="4712" spans="9:21" ht="24.75" customHeight="1" x14ac:dyDescent="0.35">
      <c r="I4712" s="42">
        <f t="shared" si="740"/>
        <v>0</v>
      </c>
      <c r="J4712" s="65" t="e">
        <f t="shared" si="741"/>
        <v>#NUM!</v>
      </c>
      <c r="K4712" s="83" t="e">
        <f t="shared" si="742"/>
        <v>#NUM!</v>
      </c>
      <c r="L4712" s="83">
        <f t="shared" si="743"/>
        <v>0</v>
      </c>
      <c r="M4712" s="110" t="str">
        <f t="shared" si="744"/>
        <v/>
      </c>
      <c r="N4712" s="51" t="str">
        <f t="shared" si="745"/>
        <v/>
      </c>
      <c r="O4712" s="52" t="str">
        <f t="shared" si="746"/>
        <v/>
      </c>
      <c r="P4712" s="88">
        <f t="shared" si="747"/>
        <v>0</v>
      </c>
      <c r="Q4712" s="88">
        <f t="shared" si="748"/>
        <v>0</v>
      </c>
      <c r="R4712" s="88" t="e">
        <f>-IF(Tabla14[[#This Row],[DIAS HABILES O MORA]]&lt;0,(Tabla14[[#This Row],[VALOR PRESTAMO]]*Tabla14[[#This Row],[% INTERES ]]/30*U4712))+Tabla14[[#This Row],[VALOR CUOTAS]]</f>
        <v>#VALUE!</v>
      </c>
      <c r="S4712" s="88">
        <f>-IF(Tabla14[[#This Row],[DIAS HABILES O MORA]]&lt;0,(Tabla14[[#This Row],[VALOR PRESTAMO]]*Tabla14[[#This Row],[% INTERES ]]/30*U4712))</f>
        <v>0</v>
      </c>
      <c r="T4712" s="53" t="e">
        <f>Tabla14[[#This Row],[DEUDA CAPITAL]]+Tabla14[[#This Row],[INTERES  CUOTA]]</f>
        <v>#NUM!</v>
      </c>
      <c r="U4712" s="61" t="str">
        <f t="shared" si="749"/>
        <v/>
      </c>
    </row>
    <row r="4713" spans="9:21" ht="24.75" customHeight="1" x14ac:dyDescent="0.35">
      <c r="I4713" s="42">
        <f t="shared" si="740"/>
        <v>0</v>
      </c>
      <c r="J4713" s="65" t="e">
        <f t="shared" si="741"/>
        <v>#NUM!</v>
      </c>
      <c r="K4713" s="83" t="e">
        <f t="shared" si="742"/>
        <v>#NUM!</v>
      </c>
      <c r="L4713" s="83">
        <f t="shared" si="743"/>
        <v>0</v>
      </c>
      <c r="M4713" s="110" t="str">
        <f t="shared" si="744"/>
        <v/>
      </c>
      <c r="N4713" s="51" t="str">
        <f t="shared" si="745"/>
        <v/>
      </c>
      <c r="O4713" s="52" t="str">
        <f t="shared" si="746"/>
        <v/>
      </c>
      <c r="P4713" s="88">
        <f t="shared" si="747"/>
        <v>0</v>
      </c>
      <c r="Q4713" s="88">
        <f t="shared" si="748"/>
        <v>0</v>
      </c>
      <c r="R4713" s="88" t="e">
        <f>-IF(Tabla14[[#This Row],[DIAS HABILES O MORA]]&lt;0,(Tabla14[[#This Row],[VALOR PRESTAMO]]*Tabla14[[#This Row],[% INTERES ]]/30*U4713))+Tabla14[[#This Row],[VALOR CUOTAS]]</f>
        <v>#VALUE!</v>
      </c>
      <c r="S4713" s="88">
        <f>-IF(Tabla14[[#This Row],[DIAS HABILES O MORA]]&lt;0,(Tabla14[[#This Row],[VALOR PRESTAMO]]*Tabla14[[#This Row],[% INTERES ]]/30*U4713))</f>
        <v>0</v>
      </c>
      <c r="T4713" s="53" t="e">
        <f>Tabla14[[#This Row],[DEUDA CAPITAL]]+Tabla14[[#This Row],[INTERES  CUOTA]]</f>
        <v>#NUM!</v>
      </c>
      <c r="U4713" s="61" t="str">
        <f t="shared" si="749"/>
        <v/>
      </c>
    </row>
    <row r="4714" spans="9:21" ht="24.75" customHeight="1" x14ac:dyDescent="0.35">
      <c r="I4714" s="42">
        <f t="shared" si="740"/>
        <v>0</v>
      </c>
      <c r="J4714" s="65" t="e">
        <f t="shared" si="741"/>
        <v>#NUM!</v>
      </c>
      <c r="K4714" s="83" t="e">
        <f t="shared" si="742"/>
        <v>#NUM!</v>
      </c>
      <c r="L4714" s="83">
        <f t="shared" si="743"/>
        <v>0</v>
      </c>
      <c r="M4714" s="110" t="str">
        <f t="shared" si="744"/>
        <v/>
      </c>
      <c r="N4714" s="51" t="str">
        <f t="shared" si="745"/>
        <v/>
      </c>
      <c r="O4714" s="52" t="str">
        <f t="shared" si="746"/>
        <v/>
      </c>
      <c r="P4714" s="88">
        <f t="shared" si="747"/>
        <v>0</v>
      </c>
      <c r="Q4714" s="88">
        <f t="shared" si="748"/>
        <v>0</v>
      </c>
      <c r="R4714" s="88" t="e">
        <f>-IF(Tabla14[[#This Row],[DIAS HABILES O MORA]]&lt;0,(Tabla14[[#This Row],[VALOR PRESTAMO]]*Tabla14[[#This Row],[% INTERES ]]/30*U4714))+Tabla14[[#This Row],[VALOR CUOTAS]]</f>
        <v>#VALUE!</v>
      </c>
      <c r="S4714" s="88">
        <f>-IF(Tabla14[[#This Row],[DIAS HABILES O MORA]]&lt;0,(Tabla14[[#This Row],[VALOR PRESTAMO]]*Tabla14[[#This Row],[% INTERES ]]/30*U4714))</f>
        <v>0</v>
      </c>
      <c r="T4714" s="53" t="e">
        <f>Tabla14[[#This Row],[DEUDA CAPITAL]]+Tabla14[[#This Row],[INTERES  CUOTA]]</f>
        <v>#NUM!</v>
      </c>
      <c r="U4714" s="61" t="str">
        <f t="shared" si="749"/>
        <v/>
      </c>
    </row>
    <row r="4715" spans="9:21" ht="24.75" customHeight="1" x14ac:dyDescent="0.35">
      <c r="I4715" s="42">
        <f t="shared" si="740"/>
        <v>0</v>
      </c>
      <c r="J4715" s="65" t="e">
        <f t="shared" si="741"/>
        <v>#NUM!</v>
      </c>
      <c r="K4715" s="83" t="e">
        <f t="shared" si="742"/>
        <v>#NUM!</v>
      </c>
      <c r="L4715" s="83">
        <f t="shared" si="743"/>
        <v>0</v>
      </c>
      <c r="M4715" s="110" t="str">
        <f t="shared" si="744"/>
        <v/>
      </c>
      <c r="N4715" s="51" t="str">
        <f t="shared" si="745"/>
        <v/>
      </c>
      <c r="O4715" s="52" t="str">
        <f t="shared" si="746"/>
        <v/>
      </c>
      <c r="P4715" s="88">
        <f t="shared" si="747"/>
        <v>0</v>
      </c>
      <c r="Q4715" s="88">
        <f t="shared" si="748"/>
        <v>0</v>
      </c>
      <c r="R4715" s="88" t="e">
        <f>-IF(Tabla14[[#This Row],[DIAS HABILES O MORA]]&lt;0,(Tabla14[[#This Row],[VALOR PRESTAMO]]*Tabla14[[#This Row],[% INTERES ]]/30*U4715))+Tabla14[[#This Row],[VALOR CUOTAS]]</f>
        <v>#VALUE!</v>
      </c>
      <c r="S4715" s="88">
        <f>-IF(Tabla14[[#This Row],[DIAS HABILES O MORA]]&lt;0,(Tabla14[[#This Row],[VALOR PRESTAMO]]*Tabla14[[#This Row],[% INTERES ]]/30*U4715))</f>
        <v>0</v>
      </c>
      <c r="T4715" s="53" t="e">
        <f>Tabla14[[#This Row],[DEUDA CAPITAL]]+Tabla14[[#This Row],[INTERES  CUOTA]]</f>
        <v>#NUM!</v>
      </c>
      <c r="U4715" s="61" t="str">
        <f t="shared" si="749"/>
        <v/>
      </c>
    </row>
    <row r="4716" spans="9:21" ht="24.75" customHeight="1" x14ac:dyDescent="0.35">
      <c r="I4716" s="42">
        <f t="shared" si="740"/>
        <v>0</v>
      </c>
      <c r="J4716" s="65" t="e">
        <f t="shared" si="741"/>
        <v>#NUM!</v>
      </c>
      <c r="K4716" s="83" t="e">
        <f t="shared" si="742"/>
        <v>#NUM!</v>
      </c>
      <c r="L4716" s="83">
        <f t="shared" si="743"/>
        <v>0</v>
      </c>
      <c r="M4716" s="110" t="str">
        <f t="shared" si="744"/>
        <v/>
      </c>
      <c r="N4716" s="51" t="str">
        <f t="shared" si="745"/>
        <v/>
      </c>
      <c r="O4716" s="52" t="str">
        <f t="shared" si="746"/>
        <v/>
      </c>
      <c r="P4716" s="88">
        <f t="shared" si="747"/>
        <v>0</v>
      </c>
      <c r="Q4716" s="88">
        <f t="shared" si="748"/>
        <v>0</v>
      </c>
      <c r="R4716" s="88" t="e">
        <f>-IF(Tabla14[[#This Row],[DIAS HABILES O MORA]]&lt;0,(Tabla14[[#This Row],[VALOR PRESTAMO]]*Tabla14[[#This Row],[% INTERES ]]/30*U4716))+Tabla14[[#This Row],[VALOR CUOTAS]]</f>
        <v>#VALUE!</v>
      </c>
      <c r="S4716" s="88">
        <f>-IF(Tabla14[[#This Row],[DIAS HABILES O MORA]]&lt;0,(Tabla14[[#This Row],[VALOR PRESTAMO]]*Tabla14[[#This Row],[% INTERES ]]/30*U4716))</f>
        <v>0</v>
      </c>
      <c r="T4716" s="53" t="e">
        <f>Tabla14[[#This Row],[DEUDA CAPITAL]]+Tabla14[[#This Row],[INTERES  CUOTA]]</f>
        <v>#NUM!</v>
      </c>
      <c r="U4716" s="61" t="str">
        <f t="shared" si="749"/>
        <v/>
      </c>
    </row>
    <row r="4717" spans="9:21" ht="24.75" customHeight="1" x14ac:dyDescent="0.35">
      <c r="I4717" s="42">
        <f t="shared" si="740"/>
        <v>0</v>
      </c>
      <c r="J4717" s="65" t="e">
        <f t="shared" si="741"/>
        <v>#NUM!</v>
      </c>
      <c r="K4717" s="83" t="e">
        <f t="shared" si="742"/>
        <v>#NUM!</v>
      </c>
      <c r="L4717" s="83">
        <f t="shared" si="743"/>
        <v>0</v>
      </c>
      <c r="M4717" s="110" t="str">
        <f t="shared" si="744"/>
        <v/>
      </c>
      <c r="N4717" s="51" t="str">
        <f t="shared" si="745"/>
        <v/>
      </c>
      <c r="O4717" s="52" t="str">
        <f t="shared" si="746"/>
        <v/>
      </c>
      <c r="P4717" s="88">
        <f t="shared" si="747"/>
        <v>0</v>
      </c>
      <c r="Q4717" s="88">
        <f t="shared" si="748"/>
        <v>0</v>
      </c>
      <c r="R4717" s="88" t="e">
        <f>-IF(Tabla14[[#This Row],[DIAS HABILES O MORA]]&lt;0,(Tabla14[[#This Row],[VALOR PRESTAMO]]*Tabla14[[#This Row],[% INTERES ]]/30*U4717))+Tabla14[[#This Row],[VALOR CUOTAS]]</f>
        <v>#VALUE!</v>
      </c>
      <c r="S4717" s="88">
        <f>-IF(Tabla14[[#This Row],[DIAS HABILES O MORA]]&lt;0,(Tabla14[[#This Row],[VALOR PRESTAMO]]*Tabla14[[#This Row],[% INTERES ]]/30*U4717))</f>
        <v>0</v>
      </c>
      <c r="T4717" s="53" t="e">
        <f>Tabla14[[#This Row],[DEUDA CAPITAL]]+Tabla14[[#This Row],[INTERES  CUOTA]]</f>
        <v>#NUM!</v>
      </c>
      <c r="U4717" s="61" t="str">
        <f t="shared" si="749"/>
        <v/>
      </c>
    </row>
    <row r="4718" spans="9:21" ht="24.75" customHeight="1" x14ac:dyDescent="0.35">
      <c r="I4718" s="42">
        <f t="shared" si="740"/>
        <v>0</v>
      </c>
      <c r="J4718" s="65" t="e">
        <f t="shared" si="741"/>
        <v>#NUM!</v>
      </c>
      <c r="K4718" s="83" t="e">
        <f t="shared" si="742"/>
        <v>#NUM!</v>
      </c>
      <c r="L4718" s="83">
        <f t="shared" si="743"/>
        <v>0</v>
      </c>
      <c r="M4718" s="110" t="str">
        <f t="shared" si="744"/>
        <v/>
      </c>
      <c r="N4718" s="51" t="str">
        <f t="shared" si="745"/>
        <v/>
      </c>
      <c r="O4718" s="52" t="str">
        <f t="shared" si="746"/>
        <v/>
      </c>
      <c r="P4718" s="88">
        <f t="shared" si="747"/>
        <v>0</v>
      </c>
      <c r="Q4718" s="88">
        <f t="shared" si="748"/>
        <v>0</v>
      </c>
      <c r="R4718" s="88" t="e">
        <f>-IF(Tabla14[[#This Row],[DIAS HABILES O MORA]]&lt;0,(Tabla14[[#This Row],[VALOR PRESTAMO]]*Tabla14[[#This Row],[% INTERES ]]/30*U4718))+Tabla14[[#This Row],[VALOR CUOTAS]]</f>
        <v>#VALUE!</v>
      </c>
      <c r="S4718" s="88">
        <f>-IF(Tabla14[[#This Row],[DIAS HABILES O MORA]]&lt;0,(Tabla14[[#This Row],[VALOR PRESTAMO]]*Tabla14[[#This Row],[% INTERES ]]/30*U4718))</f>
        <v>0</v>
      </c>
      <c r="T4718" s="53" t="e">
        <f>Tabla14[[#This Row],[DEUDA CAPITAL]]+Tabla14[[#This Row],[INTERES  CUOTA]]</f>
        <v>#NUM!</v>
      </c>
      <c r="U4718" s="61" t="str">
        <f t="shared" si="749"/>
        <v/>
      </c>
    </row>
    <row r="4719" spans="9:21" ht="24.75" customHeight="1" x14ac:dyDescent="0.35">
      <c r="I4719" s="42">
        <f t="shared" si="740"/>
        <v>0</v>
      </c>
      <c r="J4719" s="65" t="e">
        <f t="shared" si="741"/>
        <v>#NUM!</v>
      </c>
      <c r="K4719" s="83" t="e">
        <f t="shared" si="742"/>
        <v>#NUM!</v>
      </c>
      <c r="L4719" s="83">
        <f t="shared" si="743"/>
        <v>0</v>
      </c>
      <c r="M4719" s="110" t="str">
        <f t="shared" si="744"/>
        <v/>
      </c>
      <c r="N4719" s="51" t="str">
        <f t="shared" si="745"/>
        <v/>
      </c>
      <c r="O4719" s="52" t="str">
        <f t="shared" si="746"/>
        <v/>
      </c>
      <c r="P4719" s="88">
        <f t="shared" si="747"/>
        <v>0</v>
      </c>
      <c r="Q4719" s="88">
        <f t="shared" si="748"/>
        <v>0</v>
      </c>
      <c r="R4719" s="88" t="e">
        <f>-IF(Tabla14[[#This Row],[DIAS HABILES O MORA]]&lt;0,(Tabla14[[#This Row],[VALOR PRESTAMO]]*Tabla14[[#This Row],[% INTERES ]]/30*U4719))+Tabla14[[#This Row],[VALOR CUOTAS]]</f>
        <v>#VALUE!</v>
      </c>
      <c r="S4719" s="88">
        <f>-IF(Tabla14[[#This Row],[DIAS HABILES O MORA]]&lt;0,(Tabla14[[#This Row],[VALOR PRESTAMO]]*Tabla14[[#This Row],[% INTERES ]]/30*U4719))</f>
        <v>0</v>
      </c>
      <c r="T4719" s="53" t="e">
        <f>Tabla14[[#This Row],[DEUDA CAPITAL]]+Tabla14[[#This Row],[INTERES  CUOTA]]</f>
        <v>#NUM!</v>
      </c>
      <c r="U4719" s="61" t="str">
        <f t="shared" si="749"/>
        <v/>
      </c>
    </row>
    <row r="4720" spans="9:21" ht="24.75" customHeight="1" x14ac:dyDescent="0.35">
      <c r="I4720" s="42">
        <f t="shared" si="740"/>
        <v>0</v>
      </c>
      <c r="J4720" s="65" t="e">
        <f t="shared" si="741"/>
        <v>#NUM!</v>
      </c>
      <c r="K4720" s="83" t="e">
        <f t="shared" si="742"/>
        <v>#NUM!</v>
      </c>
      <c r="L4720" s="83">
        <f t="shared" si="743"/>
        <v>0</v>
      </c>
      <c r="M4720" s="110" t="str">
        <f t="shared" si="744"/>
        <v/>
      </c>
      <c r="N4720" s="51" t="str">
        <f t="shared" si="745"/>
        <v/>
      </c>
      <c r="O4720" s="52" t="str">
        <f t="shared" si="746"/>
        <v/>
      </c>
      <c r="P4720" s="88">
        <f t="shared" si="747"/>
        <v>0</v>
      </c>
      <c r="Q4720" s="88">
        <f t="shared" si="748"/>
        <v>0</v>
      </c>
      <c r="R4720" s="88" t="e">
        <f>-IF(Tabla14[[#This Row],[DIAS HABILES O MORA]]&lt;0,(Tabla14[[#This Row],[VALOR PRESTAMO]]*Tabla14[[#This Row],[% INTERES ]]/30*U4720))+Tabla14[[#This Row],[VALOR CUOTAS]]</f>
        <v>#VALUE!</v>
      </c>
      <c r="S4720" s="88">
        <f>-IF(Tabla14[[#This Row],[DIAS HABILES O MORA]]&lt;0,(Tabla14[[#This Row],[VALOR PRESTAMO]]*Tabla14[[#This Row],[% INTERES ]]/30*U4720))</f>
        <v>0</v>
      </c>
      <c r="T4720" s="53" t="e">
        <f>Tabla14[[#This Row],[DEUDA CAPITAL]]+Tabla14[[#This Row],[INTERES  CUOTA]]</f>
        <v>#NUM!</v>
      </c>
      <c r="U4720" s="61" t="str">
        <f t="shared" si="749"/>
        <v/>
      </c>
    </row>
    <row r="4721" spans="9:21" ht="24.75" customHeight="1" x14ac:dyDescent="0.35">
      <c r="I4721" s="42">
        <f t="shared" si="740"/>
        <v>0</v>
      </c>
      <c r="J4721" s="65" t="e">
        <f t="shared" si="741"/>
        <v>#NUM!</v>
      </c>
      <c r="K4721" s="83" t="e">
        <f t="shared" si="742"/>
        <v>#NUM!</v>
      </c>
      <c r="L4721" s="83">
        <f t="shared" si="743"/>
        <v>0</v>
      </c>
      <c r="M4721" s="110" t="str">
        <f t="shared" si="744"/>
        <v/>
      </c>
      <c r="N4721" s="51" t="str">
        <f t="shared" si="745"/>
        <v/>
      </c>
      <c r="O4721" s="52" t="str">
        <f t="shared" si="746"/>
        <v/>
      </c>
      <c r="P4721" s="88">
        <f t="shared" si="747"/>
        <v>0</v>
      </c>
      <c r="Q4721" s="88">
        <f t="shared" si="748"/>
        <v>0</v>
      </c>
      <c r="R4721" s="88" t="e">
        <f>-IF(Tabla14[[#This Row],[DIAS HABILES O MORA]]&lt;0,(Tabla14[[#This Row],[VALOR PRESTAMO]]*Tabla14[[#This Row],[% INTERES ]]/30*U4721))+Tabla14[[#This Row],[VALOR CUOTAS]]</f>
        <v>#VALUE!</v>
      </c>
      <c r="S4721" s="88">
        <f>-IF(Tabla14[[#This Row],[DIAS HABILES O MORA]]&lt;0,(Tabla14[[#This Row],[VALOR PRESTAMO]]*Tabla14[[#This Row],[% INTERES ]]/30*U4721))</f>
        <v>0</v>
      </c>
      <c r="T4721" s="53" t="e">
        <f>Tabla14[[#This Row],[DEUDA CAPITAL]]+Tabla14[[#This Row],[INTERES  CUOTA]]</f>
        <v>#NUM!</v>
      </c>
      <c r="U4721" s="61" t="str">
        <f t="shared" si="749"/>
        <v/>
      </c>
    </row>
    <row r="4722" spans="9:21" ht="24.75" customHeight="1" x14ac:dyDescent="0.35">
      <c r="I4722" s="42">
        <f t="shared" si="740"/>
        <v>0</v>
      </c>
      <c r="J4722" s="65" t="e">
        <f t="shared" si="741"/>
        <v>#NUM!</v>
      </c>
      <c r="K4722" s="83" t="e">
        <f t="shared" si="742"/>
        <v>#NUM!</v>
      </c>
      <c r="L4722" s="83">
        <f t="shared" si="743"/>
        <v>0</v>
      </c>
      <c r="M4722" s="110" t="str">
        <f t="shared" si="744"/>
        <v/>
      </c>
      <c r="N4722" s="51" t="str">
        <f t="shared" si="745"/>
        <v/>
      </c>
      <c r="O4722" s="52" t="str">
        <f t="shared" si="746"/>
        <v/>
      </c>
      <c r="P4722" s="88">
        <f t="shared" si="747"/>
        <v>0</v>
      </c>
      <c r="Q4722" s="88">
        <f t="shared" si="748"/>
        <v>0</v>
      </c>
      <c r="R4722" s="88" t="e">
        <f>-IF(Tabla14[[#This Row],[DIAS HABILES O MORA]]&lt;0,(Tabla14[[#This Row],[VALOR PRESTAMO]]*Tabla14[[#This Row],[% INTERES ]]/30*U4722))+Tabla14[[#This Row],[VALOR CUOTAS]]</f>
        <v>#VALUE!</v>
      </c>
      <c r="S4722" s="88">
        <f>-IF(Tabla14[[#This Row],[DIAS HABILES O MORA]]&lt;0,(Tabla14[[#This Row],[VALOR PRESTAMO]]*Tabla14[[#This Row],[% INTERES ]]/30*U4722))</f>
        <v>0</v>
      </c>
      <c r="T4722" s="53" t="e">
        <f>Tabla14[[#This Row],[DEUDA CAPITAL]]+Tabla14[[#This Row],[INTERES  CUOTA]]</f>
        <v>#NUM!</v>
      </c>
      <c r="U4722" s="61" t="str">
        <f t="shared" si="749"/>
        <v/>
      </c>
    </row>
    <row r="4723" spans="9:21" ht="24.75" customHeight="1" x14ac:dyDescent="0.35">
      <c r="I4723" s="42">
        <f t="shared" si="740"/>
        <v>0</v>
      </c>
      <c r="J4723" s="65" t="e">
        <f t="shared" si="741"/>
        <v>#NUM!</v>
      </c>
      <c r="K4723" s="83" t="e">
        <f t="shared" si="742"/>
        <v>#NUM!</v>
      </c>
      <c r="L4723" s="83">
        <f t="shared" si="743"/>
        <v>0</v>
      </c>
      <c r="M4723" s="110" t="str">
        <f t="shared" si="744"/>
        <v/>
      </c>
      <c r="N4723" s="51" t="str">
        <f t="shared" si="745"/>
        <v/>
      </c>
      <c r="O4723" s="52" t="str">
        <f t="shared" si="746"/>
        <v/>
      </c>
      <c r="P4723" s="88">
        <f t="shared" si="747"/>
        <v>0</v>
      </c>
      <c r="Q4723" s="88">
        <f t="shared" si="748"/>
        <v>0</v>
      </c>
      <c r="R4723" s="88" t="e">
        <f>-IF(Tabla14[[#This Row],[DIAS HABILES O MORA]]&lt;0,(Tabla14[[#This Row],[VALOR PRESTAMO]]*Tabla14[[#This Row],[% INTERES ]]/30*U4723))+Tabla14[[#This Row],[VALOR CUOTAS]]</f>
        <v>#VALUE!</v>
      </c>
      <c r="S4723" s="88">
        <f>-IF(Tabla14[[#This Row],[DIAS HABILES O MORA]]&lt;0,(Tabla14[[#This Row],[VALOR PRESTAMO]]*Tabla14[[#This Row],[% INTERES ]]/30*U4723))</f>
        <v>0</v>
      </c>
      <c r="T4723" s="53" t="e">
        <f>Tabla14[[#This Row],[DEUDA CAPITAL]]+Tabla14[[#This Row],[INTERES  CUOTA]]</f>
        <v>#NUM!</v>
      </c>
      <c r="U4723" s="61" t="str">
        <f t="shared" si="749"/>
        <v/>
      </c>
    </row>
    <row r="4724" spans="9:21" ht="24.75" customHeight="1" x14ac:dyDescent="0.35">
      <c r="I4724" s="42">
        <f t="shared" si="740"/>
        <v>0</v>
      </c>
      <c r="J4724" s="65" t="e">
        <f t="shared" si="741"/>
        <v>#NUM!</v>
      </c>
      <c r="K4724" s="83" t="e">
        <f t="shared" si="742"/>
        <v>#NUM!</v>
      </c>
      <c r="L4724" s="83">
        <f t="shared" si="743"/>
        <v>0</v>
      </c>
      <c r="M4724" s="110" t="str">
        <f t="shared" si="744"/>
        <v/>
      </c>
      <c r="N4724" s="51" t="str">
        <f t="shared" si="745"/>
        <v/>
      </c>
      <c r="O4724" s="52" t="str">
        <f t="shared" si="746"/>
        <v/>
      </c>
      <c r="P4724" s="88">
        <f t="shared" si="747"/>
        <v>0</v>
      </c>
      <c r="Q4724" s="88">
        <f t="shared" si="748"/>
        <v>0</v>
      </c>
      <c r="R4724" s="88" t="e">
        <f>-IF(Tabla14[[#This Row],[DIAS HABILES O MORA]]&lt;0,(Tabla14[[#This Row],[VALOR PRESTAMO]]*Tabla14[[#This Row],[% INTERES ]]/30*U4724))+Tabla14[[#This Row],[VALOR CUOTAS]]</f>
        <v>#VALUE!</v>
      </c>
      <c r="S4724" s="88">
        <f>-IF(Tabla14[[#This Row],[DIAS HABILES O MORA]]&lt;0,(Tabla14[[#This Row],[VALOR PRESTAMO]]*Tabla14[[#This Row],[% INTERES ]]/30*U4724))</f>
        <v>0</v>
      </c>
      <c r="T4724" s="53" t="e">
        <f>Tabla14[[#This Row],[DEUDA CAPITAL]]+Tabla14[[#This Row],[INTERES  CUOTA]]</f>
        <v>#NUM!</v>
      </c>
      <c r="U4724" s="61" t="str">
        <f t="shared" si="749"/>
        <v/>
      </c>
    </row>
    <row r="4725" spans="9:21" ht="24.75" customHeight="1" x14ac:dyDescent="0.35">
      <c r="I4725" s="42">
        <f t="shared" si="740"/>
        <v>0</v>
      </c>
      <c r="J4725" s="65" t="e">
        <f t="shared" si="741"/>
        <v>#NUM!</v>
      </c>
      <c r="K4725" s="83" t="e">
        <f t="shared" si="742"/>
        <v>#NUM!</v>
      </c>
      <c r="L4725" s="83">
        <f t="shared" si="743"/>
        <v>0</v>
      </c>
      <c r="M4725" s="110" t="str">
        <f t="shared" si="744"/>
        <v/>
      </c>
      <c r="N4725" s="51" t="str">
        <f t="shared" si="745"/>
        <v/>
      </c>
      <c r="O4725" s="52" t="str">
        <f t="shared" si="746"/>
        <v/>
      </c>
      <c r="P4725" s="88">
        <f t="shared" si="747"/>
        <v>0</v>
      </c>
      <c r="Q4725" s="88">
        <f t="shared" si="748"/>
        <v>0</v>
      </c>
      <c r="R4725" s="88" t="e">
        <f>-IF(Tabla14[[#This Row],[DIAS HABILES O MORA]]&lt;0,(Tabla14[[#This Row],[VALOR PRESTAMO]]*Tabla14[[#This Row],[% INTERES ]]/30*U4725))+Tabla14[[#This Row],[VALOR CUOTAS]]</f>
        <v>#VALUE!</v>
      </c>
      <c r="S4725" s="88">
        <f>-IF(Tabla14[[#This Row],[DIAS HABILES O MORA]]&lt;0,(Tabla14[[#This Row],[VALOR PRESTAMO]]*Tabla14[[#This Row],[% INTERES ]]/30*U4725))</f>
        <v>0</v>
      </c>
      <c r="T4725" s="53" t="e">
        <f>Tabla14[[#This Row],[DEUDA CAPITAL]]+Tabla14[[#This Row],[INTERES  CUOTA]]</f>
        <v>#NUM!</v>
      </c>
      <c r="U4725" s="61" t="str">
        <f t="shared" si="749"/>
        <v/>
      </c>
    </row>
    <row r="4726" spans="9:21" ht="24.75" customHeight="1" x14ac:dyDescent="0.35">
      <c r="I4726" s="42">
        <f t="shared" si="740"/>
        <v>0</v>
      </c>
      <c r="J4726" s="65" t="e">
        <f t="shared" si="741"/>
        <v>#NUM!</v>
      </c>
      <c r="K4726" s="83" t="e">
        <f t="shared" si="742"/>
        <v>#NUM!</v>
      </c>
      <c r="L4726" s="83">
        <f t="shared" si="743"/>
        <v>0</v>
      </c>
      <c r="M4726" s="110" t="str">
        <f t="shared" si="744"/>
        <v/>
      </c>
      <c r="N4726" s="51" t="str">
        <f t="shared" si="745"/>
        <v/>
      </c>
      <c r="O4726" s="52" t="str">
        <f t="shared" si="746"/>
        <v/>
      </c>
      <c r="P4726" s="88">
        <f t="shared" si="747"/>
        <v>0</v>
      </c>
      <c r="Q4726" s="88">
        <f t="shared" si="748"/>
        <v>0</v>
      </c>
      <c r="R4726" s="88" t="e">
        <f>-IF(Tabla14[[#This Row],[DIAS HABILES O MORA]]&lt;0,(Tabla14[[#This Row],[VALOR PRESTAMO]]*Tabla14[[#This Row],[% INTERES ]]/30*U4726))+Tabla14[[#This Row],[VALOR CUOTAS]]</f>
        <v>#VALUE!</v>
      </c>
      <c r="S4726" s="88">
        <f>-IF(Tabla14[[#This Row],[DIAS HABILES O MORA]]&lt;0,(Tabla14[[#This Row],[VALOR PRESTAMO]]*Tabla14[[#This Row],[% INTERES ]]/30*U4726))</f>
        <v>0</v>
      </c>
      <c r="T4726" s="53" t="e">
        <f>Tabla14[[#This Row],[DEUDA CAPITAL]]+Tabla14[[#This Row],[INTERES  CUOTA]]</f>
        <v>#NUM!</v>
      </c>
      <c r="U4726" s="61" t="str">
        <f t="shared" si="749"/>
        <v/>
      </c>
    </row>
    <row r="4727" spans="9:21" ht="24.75" customHeight="1" x14ac:dyDescent="0.35">
      <c r="I4727" s="42">
        <f t="shared" si="740"/>
        <v>0</v>
      </c>
      <c r="J4727" s="65" t="e">
        <f t="shared" si="741"/>
        <v>#NUM!</v>
      </c>
      <c r="K4727" s="83" t="e">
        <f t="shared" si="742"/>
        <v>#NUM!</v>
      </c>
      <c r="L4727" s="83">
        <f t="shared" si="743"/>
        <v>0</v>
      </c>
      <c r="M4727" s="110" t="str">
        <f t="shared" si="744"/>
        <v/>
      </c>
      <c r="N4727" s="51" t="str">
        <f t="shared" si="745"/>
        <v/>
      </c>
      <c r="O4727" s="52" t="str">
        <f t="shared" si="746"/>
        <v/>
      </c>
      <c r="P4727" s="88">
        <f t="shared" si="747"/>
        <v>0</v>
      </c>
      <c r="Q4727" s="88">
        <f t="shared" si="748"/>
        <v>0</v>
      </c>
      <c r="R4727" s="88" t="e">
        <f>-IF(Tabla14[[#This Row],[DIAS HABILES O MORA]]&lt;0,(Tabla14[[#This Row],[VALOR PRESTAMO]]*Tabla14[[#This Row],[% INTERES ]]/30*U4727))+Tabla14[[#This Row],[VALOR CUOTAS]]</f>
        <v>#VALUE!</v>
      </c>
      <c r="S4727" s="88">
        <f>-IF(Tabla14[[#This Row],[DIAS HABILES O MORA]]&lt;0,(Tabla14[[#This Row],[VALOR PRESTAMO]]*Tabla14[[#This Row],[% INTERES ]]/30*U4727))</f>
        <v>0</v>
      </c>
      <c r="T4727" s="53" t="e">
        <f>Tabla14[[#This Row],[DEUDA CAPITAL]]+Tabla14[[#This Row],[INTERES  CUOTA]]</f>
        <v>#NUM!</v>
      </c>
      <c r="U4727" s="61" t="str">
        <f t="shared" si="749"/>
        <v/>
      </c>
    </row>
    <row r="4728" spans="9:21" ht="24.75" customHeight="1" x14ac:dyDescent="0.35">
      <c r="I4728" s="42">
        <f t="shared" si="740"/>
        <v>0</v>
      </c>
      <c r="J4728" s="65" t="e">
        <f t="shared" si="741"/>
        <v>#NUM!</v>
      </c>
      <c r="K4728" s="83" t="e">
        <f t="shared" si="742"/>
        <v>#NUM!</v>
      </c>
      <c r="L4728" s="83">
        <f t="shared" si="743"/>
        <v>0</v>
      </c>
      <c r="M4728" s="110" t="str">
        <f t="shared" si="744"/>
        <v/>
      </c>
      <c r="N4728" s="51" t="str">
        <f t="shared" si="745"/>
        <v/>
      </c>
      <c r="O4728" s="52" t="str">
        <f t="shared" si="746"/>
        <v/>
      </c>
      <c r="P4728" s="88">
        <f t="shared" si="747"/>
        <v>0</v>
      </c>
      <c r="Q4728" s="88">
        <f t="shared" si="748"/>
        <v>0</v>
      </c>
      <c r="R4728" s="88" t="e">
        <f>-IF(Tabla14[[#This Row],[DIAS HABILES O MORA]]&lt;0,(Tabla14[[#This Row],[VALOR PRESTAMO]]*Tabla14[[#This Row],[% INTERES ]]/30*U4728))+Tabla14[[#This Row],[VALOR CUOTAS]]</f>
        <v>#VALUE!</v>
      </c>
      <c r="S4728" s="88">
        <f>-IF(Tabla14[[#This Row],[DIAS HABILES O MORA]]&lt;0,(Tabla14[[#This Row],[VALOR PRESTAMO]]*Tabla14[[#This Row],[% INTERES ]]/30*U4728))</f>
        <v>0</v>
      </c>
      <c r="T4728" s="53" t="e">
        <f>Tabla14[[#This Row],[DEUDA CAPITAL]]+Tabla14[[#This Row],[INTERES  CUOTA]]</f>
        <v>#NUM!</v>
      </c>
      <c r="U4728" s="61" t="str">
        <f t="shared" si="749"/>
        <v/>
      </c>
    </row>
    <row r="4729" spans="9:21" ht="24.75" customHeight="1" x14ac:dyDescent="0.35">
      <c r="I4729" s="42">
        <f t="shared" si="740"/>
        <v>0</v>
      </c>
      <c r="J4729" s="65" t="e">
        <f t="shared" si="741"/>
        <v>#NUM!</v>
      </c>
      <c r="K4729" s="83" t="e">
        <f t="shared" si="742"/>
        <v>#NUM!</v>
      </c>
      <c r="L4729" s="83">
        <f t="shared" si="743"/>
        <v>0</v>
      </c>
      <c r="M4729" s="110" t="str">
        <f t="shared" si="744"/>
        <v/>
      </c>
      <c r="N4729" s="51" t="str">
        <f t="shared" si="745"/>
        <v/>
      </c>
      <c r="O4729" s="52" t="str">
        <f t="shared" si="746"/>
        <v/>
      </c>
      <c r="P4729" s="88">
        <f t="shared" si="747"/>
        <v>0</v>
      </c>
      <c r="Q4729" s="88">
        <f t="shared" si="748"/>
        <v>0</v>
      </c>
      <c r="R4729" s="88" t="e">
        <f>-IF(Tabla14[[#This Row],[DIAS HABILES O MORA]]&lt;0,(Tabla14[[#This Row],[VALOR PRESTAMO]]*Tabla14[[#This Row],[% INTERES ]]/30*U4729))+Tabla14[[#This Row],[VALOR CUOTAS]]</f>
        <v>#VALUE!</v>
      </c>
      <c r="S4729" s="88">
        <f>-IF(Tabla14[[#This Row],[DIAS HABILES O MORA]]&lt;0,(Tabla14[[#This Row],[VALOR PRESTAMO]]*Tabla14[[#This Row],[% INTERES ]]/30*U4729))</f>
        <v>0</v>
      </c>
      <c r="T4729" s="53" t="e">
        <f>Tabla14[[#This Row],[DEUDA CAPITAL]]+Tabla14[[#This Row],[INTERES  CUOTA]]</f>
        <v>#NUM!</v>
      </c>
      <c r="U4729" s="61" t="str">
        <f t="shared" si="749"/>
        <v/>
      </c>
    </row>
    <row r="4730" spans="9:21" ht="24.75" customHeight="1" x14ac:dyDescent="0.35">
      <c r="I4730" s="42">
        <f t="shared" si="740"/>
        <v>0</v>
      </c>
      <c r="J4730" s="65" t="e">
        <f t="shared" si="741"/>
        <v>#NUM!</v>
      </c>
      <c r="K4730" s="83" t="e">
        <f t="shared" si="742"/>
        <v>#NUM!</v>
      </c>
      <c r="L4730" s="83">
        <f t="shared" si="743"/>
        <v>0</v>
      </c>
      <c r="M4730" s="110" t="str">
        <f t="shared" si="744"/>
        <v/>
      </c>
      <c r="N4730" s="51" t="str">
        <f t="shared" si="745"/>
        <v/>
      </c>
      <c r="O4730" s="52" t="str">
        <f t="shared" si="746"/>
        <v/>
      </c>
      <c r="P4730" s="88">
        <f t="shared" si="747"/>
        <v>0</v>
      </c>
      <c r="Q4730" s="88">
        <f t="shared" si="748"/>
        <v>0</v>
      </c>
      <c r="R4730" s="88" t="e">
        <f>-IF(Tabla14[[#This Row],[DIAS HABILES O MORA]]&lt;0,(Tabla14[[#This Row],[VALOR PRESTAMO]]*Tabla14[[#This Row],[% INTERES ]]/30*U4730))+Tabla14[[#This Row],[VALOR CUOTAS]]</f>
        <v>#VALUE!</v>
      </c>
      <c r="S4730" s="88">
        <f>-IF(Tabla14[[#This Row],[DIAS HABILES O MORA]]&lt;0,(Tabla14[[#This Row],[VALOR PRESTAMO]]*Tabla14[[#This Row],[% INTERES ]]/30*U4730))</f>
        <v>0</v>
      </c>
      <c r="T4730" s="53" t="e">
        <f>Tabla14[[#This Row],[DEUDA CAPITAL]]+Tabla14[[#This Row],[INTERES  CUOTA]]</f>
        <v>#NUM!</v>
      </c>
      <c r="U4730" s="61" t="str">
        <f t="shared" si="749"/>
        <v/>
      </c>
    </row>
    <row r="4731" spans="9:21" ht="24.75" customHeight="1" x14ac:dyDescent="0.35">
      <c r="I4731" s="42">
        <f t="shared" si="740"/>
        <v>0</v>
      </c>
      <c r="J4731" s="65" t="e">
        <f t="shared" si="741"/>
        <v>#NUM!</v>
      </c>
      <c r="K4731" s="83" t="e">
        <f t="shared" si="742"/>
        <v>#NUM!</v>
      </c>
      <c r="L4731" s="83">
        <f t="shared" si="743"/>
        <v>0</v>
      </c>
      <c r="M4731" s="110" t="str">
        <f t="shared" si="744"/>
        <v/>
      </c>
      <c r="N4731" s="51" t="str">
        <f t="shared" si="745"/>
        <v/>
      </c>
      <c r="O4731" s="52" t="str">
        <f t="shared" si="746"/>
        <v/>
      </c>
      <c r="P4731" s="88">
        <f t="shared" si="747"/>
        <v>0</v>
      </c>
      <c r="Q4731" s="88">
        <f t="shared" si="748"/>
        <v>0</v>
      </c>
      <c r="R4731" s="88" t="e">
        <f>-IF(Tabla14[[#This Row],[DIAS HABILES O MORA]]&lt;0,(Tabla14[[#This Row],[VALOR PRESTAMO]]*Tabla14[[#This Row],[% INTERES ]]/30*U4731))+Tabla14[[#This Row],[VALOR CUOTAS]]</f>
        <v>#VALUE!</v>
      </c>
      <c r="S4731" s="88">
        <f>-IF(Tabla14[[#This Row],[DIAS HABILES O MORA]]&lt;0,(Tabla14[[#This Row],[VALOR PRESTAMO]]*Tabla14[[#This Row],[% INTERES ]]/30*U4731))</f>
        <v>0</v>
      </c>
      <c r="T4731" s="53" t="e">
        <f>Tabla14[[#This Row],[DEUDA CAPITAL]]+Tabla14[[#This Row],[INTERES  CUOTA]]</f>
        <v>#NUM!</v>
      </c>
      <c r="U4731" s="61" t="str">
        <f t="shared" si="749"/>
        <v/>
      </c>
    </row>
    <row r="4732" spans="9:21" ht="24.75" customHeight="1" x14ac:dyDescent="0.35">
      <c r="I4732" s="42">
        <f t="shared" si="740"/>
        <v>0</v>
      </c>
      <c r="J4732" s="65" t="e">
        <f t="shared" si="741"/>
        <v>#NUM!</v>
      </c>
      <c r="K4732" s="83" t="e">
        <f t="shared" si="742"/>
        <v>#NUM!</v>
      </c>
      <c r="L4732" s="83">
        <f t="shared" si="743"/>
        <v>0</v>
      </c>
      <c r="M4732" s="110" t="str">
        <f t="shared" si="744"/>
        <v/>
      </c>
      <c r="N4732" s="51" t="str">
        <f t="shared" si="745"/>
        <v/>
      </c>
      <c r="O4732" s="52" t="str">
        <f t="shared" si="746"/>
        <v/>
      </c>
      <c r="P4732" s="88">
        <f t="shared" si="747"/>
        <v>0</v>
      </c>
      <c r="Q4732" s="88">
        <f t="shared" si="748"/>
        <v>0</v>
      </c>
      <c r="R4732" s="88" t="e">
        <f>-IF(Tabla14[[#This Row],[DIAS HABILES O MORA]]&lt;0,(Tabla14[[#This Row],[VALOR PRESTAMO]]*Tabla14[[#This Row],[% INTERES ]]/30*U4732))+Tabla14[[#This Row],[VALOR CUOTAS]]</f>
        <v>#VALUE!</v>
      </c>
      <c r="S4732" s="88">
        <f>-IF(Tabla14[[#This Row],[DIAS HABILES O MORA]]&lt;0,(Tabla14[[#This Row],[VALOR PRESTAMO]]*Tabla14[[#This Row],[% INTERES ]]/30*U4732))</f>
        <v>0</v>
      </c>
      <c r="T4732" s="53" t="e">
        <f>Tabla14[[#This Row],[DEUDA CAPITAL]]+Tabla14[[#This Row],[INTERES  CUOTA]]</f>
        <v>#NUM!</v>
      </c>
      <c r="U4732" s="61" t="str">
        <f t="shared" si="749"/>
        <v/>
      </c>
    </row>
    <row r="4733" spans="9:21" ht="24.75" customHeight="1" x14ac:dyDescent="0.35">
      <c r="I4733" s="42">
        <f t="shared" si="740"/>
        <v>0</v>
      </c>
      <c r="J4733" s="65" t="e">
        <f t="shared" si="741"/>
        <v>#NUM!</v>
      </c>
      <c r="K4733" s="83" t="e">
        <f t="shared" si="742"/>
        <v>#NUM!</v>
      </c>
      <c r="L4733" s="83">
        <f t="shared" si="743"/>
        <v>0</v>
      </c>
      <c r="M4733" s="110" t="str">
        <f t="shared" si="744"/>
        <v/>
      </c>
      <c r="N4733" s="51" t="str">
        <f t="shared" si="745"/>
        <v/>
      </c>
      <c r="O4733" s="52" t="str">
        <f t="shared" si="746"/>
        <v/>
      </c>
      <c r="P4733" s="88">
        <f t="shared" si="747"/>
        <v>0</v>
      </c>
      <c r="Q4733" s="88">
        <f t="shared" si="748"/>
        <v>0</v>
      </c>
      <c r="R4733" s="88" t="e">
        <f>-IF(Tabla14[[#This Row],[DIAS HABILES O MORA]]&lt;0,(Tabla14[[#This Row],[VALOR PRESTAMO]]*Tabla14[[#This Row],[% INTERES ]]/30*U4733))+Tabla14[[#This Row],[VALOR CUOTAS]]</f>
        <v>#VALUE!</v>
      </c>
      <c r="S4733" s="88">
        <f>-IF(Tabla14[[#This Row],[DIAS HABILES O MORA]]&lt;0,(Tabla14[[#This Row],[VALOR PRESTAMO]]*Tabla14[[#This Row],[% INTERES ]]/30*U4733))</f>
        <v>0</v>
      </c>
      <c r="T4733" s="53" t="e">
        <f>Tabla14[[#This Row],[DEUDA CAPITAL]]+Tabla14[[#This Row],[INTERES  CUOTA]]</f>
        <v>#NUM!</v>
      </c>
      <c r="U4733" s="61" t="str">
        <f t="shared" si="749"/>
        <v/>
      </c>
    </row>
    <row r="4734" spans="9:21" ht="24.75" customHeight="1" x14ac:dyDescent="0.35">
      <c r="I4734" s="42">
        <f t="shared" si="740"/>
        <v>0</v>
      </c>
      <c r="J4734" s="65" t="e">
        <f t="shared" si="741"/>
        <v>#NUM!</v>
      </c>
      <c r="K4734" s="83" t="e">
        <f t="shared" si="742"/>
        <v>#NUM!</v>
      </c>
      <c r="L4734" s="83">
        <f t="shared" si="743"/>
        <v>0</v>
      </c>
      <c r="M4734" s="110" t="str">
        <f t="shared" si="744"/>
        <v/>
      </c>
      <c r="N4734" s="51" t="str">
        <f t="shared" si="745"/>
        <v/>
      </c>
      <c r="O4734" s="52" t="str">
        <f t="shared" si="746"/>
        <v/>
      </c>
      <c r="P4734" s="88">
        <f t="shared" si="747"/>
        <v>0</v>
      </c>
      <c r="Q4734" s="88">
        <f t="shared" si="748"/>
        <v>0</v>
      </c>
      <c r="R4734" s="88" t="e">
        <f>-IF(Tabla14[[#This Row],[DIAS HABILES O MORA]]&lt;0,(Tabla14[[#This Row],[VALOR PRESTAMO]]*Tabla14[[#This Row],[% INTERES ]]/30*U4734))+Tabla14[[#This Row],[VALOR CUOTAS]]</f>
        <v>#VALUE!</v>
      </c>
      <c r="S4734" s="88">
        <f>-IF(Tabla14[[#This Row],[DIAS HABILES O MORA]]&lt;0,(Tabla14[[#This Row],[VALOR PRESTAMO]]*Tabla14[[#This Row],[% INTERES ]]/30*U4734))</f>
        <v>0</v>
      </c>
      <c r="T4734" s="53" t="e">
        <f>Tabla14[[#This Row],[DEUDA CAPITAL]]+Tabla14[[#This Row],[INTERES  CUOTA]]</f>
        <v>#NUM!</v>
      </c>
      <c r="U4734" s="61" t="str">
        <f t="shared" si="749"/>
        <v/>
      </c>
    </row>
    <row r="4735" spans="9:21" ht="24.75" customHeight="1" x14ac:dyDescent="0.35">
      <c r="I4735" s="42">
        <f t="shared" si="740"/>
        <v>0</v>
      </c>
      <c r="J4735" s="65" t="e">
        <f t="shared" si="741"/>
        <v>#NUM!</v>
      </c>
      <c r="K4735" s="83" t="e">
        <f t="shared" si="742"/>
        <v>#NUM!</v>
      </c>
      <c r="L4735" s="83">
        <f t="shared" si="743"/>
        <v>0</v>
      </c>
      <c r="M4735" s="110" t="str">
        <f t="shared" si="744"/>
        <v/>
      </c>
      <c r="N4735" s="51" t="str">
        <f t="shared" si="745"/>
        <v/>
      </c>
      <c r="O4735" s="52" t="str">
        <f t="shared" si="746"/>
        <v/>
      </c>
      <c r="P4735" s="88">
        <f t="shared" si="747"/>
        <v>0</v>
      </c>
      <c r="Q4735" s="88">
        <f t="shared" si="748"/>
        <v>0</v>
      </c>
      <c r="R4735" s="88" t="e">
        <f>-IF(Tabla14[[#This Row],[DIAS HABILES O MORA]]&lt;0,(Tabla14[[#This Row],[VALOR PRESTAMO]]*Tabla14[[#This Row],[% INTERES ]]/30*U4735))+Tabla14[[#This Row],[VALOR CUOTAS]]</f>
        <v>#VALUE!</v>
      </c>
      <c r="S4735" s="88">
        <f>-IF(Tabla14[[#This Row],[DIAS HABILES O MORA]]&lt;0,(Tabla14[[#This Row],[VALOR PRESTAMO]]*Tabla14[[#This Row],[% INTERES ]]/30*U4735))</f>
        <v>0</v>
      </c>
      <c r="T4735" s="53" t="e">
        <f>Tabla14[[#This Row],[DEUDA CAPITAL]]+Tabla14[[#This Row],[INTERES  CUOTA]]</f>
        <v>#NUM!</v>
      </c>
      <c r="U4735" s="61" t="str">
        <f t="shared" si="749"/>
        <v/>
      </c>
    </row>
    <row r="4736" spans="9:21" ht="24.75" customHeight="1" x14ac:dyDescent="0.35">
      <c r="I4736" s="42">
        <f t="shared" si="740"/>
        <v>0</v>
      </c>
      <c r="J4736" s="65" t="e">
        <f t="shared" si="741"/>
        <v>#NUM!</v>
      </c>
      <c r="K4736" s="83" t="e">
        <f t="shared" si="742"/>
        <v>#NUM!</v>
      </c>
      <c r="L4736" s="83">
        <f t="shared" si="743"/>
        <v>0</v>
      </c>
      <c r="M4736" s="110" t="str">
        <f t="shared" si="744"/>
        <v/>
      </c>
      <c r="N4736" s="51" t="str">
        <f t="shared" si="745"/>
        <v/>
      </c>
      <c r="O4736" s="52" t="str">
        <f t="shared" si="746"/>
        <v/>
      </c>
      <c r="P4736" s="88">
        <f t="shared" si="747"/>
        <v>0</v>
      </c>
      <c r="Q4736" s="88">
        <f t="shared" si="748"/>
        <v>0</v>
      </c>
      <c r="R4736" s="88" t="e">
        <f>-IF(Tabla14[[#This Row],[DIAS HABILES O MORA]]&lt;0,(Tabla14[[#This Row],[VALOR PRESTAMO]]*Tabla14[[#This Row],[% INTERES ]]/30*U4736))+Tabla14[[#This Row],[VALOR CUOTAS]]</f>
        <v>#VALUE!</v>
      </c>
      <c r="S4736" s="88">
        <f>-IF(Tabla14[[#This Row],[DIAS HABILES O MORA]]&lt;0,(Tabla14[[#This Row],[VALOR PRESTAMO]]*Tabla14[[#This Row],[% INTERES ]]/30*U4736))</f>
        <v>0</v>
      </c>
      <c r="T4736" s="53" t="e">
        <f>Tabla14[[#This Row],[DEUDA CAPITAL]]+Tabla14[[#This Row],[INTERES  CUOTA]]</f>
        <v>#NUM!</v>
      </c>
      <c r="U4736" s="61" t="str">
        <f t="shared" si="749"/>
        <v/>
      </c>
    </row>
    <row r="4737" spans="9:21" ht="24.75" customHeight="1" x14ac:dyDescent="0.35">
      <c r="I4737" s="42">
        <f t="shared" si="740"/>
        <v>0</v>
      </c>
      <c r="J4737" s="65" t="e">
        <f t="shared" si="741"/>
        <v>#NUM!</v>
      </c>
      <c r="K4737" s="83" t="e">
        <f t="shared" si="742"/>
        <v>#NUM!</v>
      </c>
      <c r="L4737" s="83">
        <f t="shared" si="743"/>
        <v>0</v>
      </c>
      <c r="M4737" s="110" t="str">
        <f t="shared" si="744"/>
        <v/>
      </c>
      <c r="N4737" s="51" t="str">
        <f t="shared" si="745"/>
        <v/>
      </c>
      <c r="O4737" s="52" t="str">
        <f t="shared" si="746"/>
        <v/>
      </c>
      <c r="P4737" s="88">
        <f t="shared" si="747"/>
        <v>0</v>
      </c>
      <c r="Q4737" s="88">
        <f t="shared" si="748"/>
        <v>0</v>
      </c>
      <c r="R4737" s="88" t="e">
        <f>-IF(Tabla14[[#This Row],[DIAS HABILES O MORA]]&lt;0,(Tabla14[[#This Row],[VALOR PRESTAMO]]*Tabla14[[#This Row],[% INTERES ]]/30*U4737))+Tabla14[[#This Row],[VALOR CUOTAS]]</f>
        <v>#VALUE!</v>
      </c>
      <c r="S4737" s="88">
        <f>-IF(Tabla14[[#This Row],[DIAS HABILES O MORA]]&lt;0,(Tabla14[[#This Row],[VALOR PRESTAMO]]*Tabla14[[#This Row],[% INTERES ]]/30*U4737))</f>
        <v>0</v>
      </c>
      <c r="T4737" s="53" t="e">
        <f>Tabla14[[#This Row],[DEUDA CAPITAL]]+Tabla14[[#This Row],[INTERES  CUOTA]]</f>
        <v>#NUM!</v>
      </c>
      <c r="U4737" s="61" t="str">
        <f t="shared" si="749"/>
        <v/>
      </c>
    </row>
    <row r="4738" spans="9:21" ht="24.75" customHeight="1" x14ac:dyDescent="0.35">
      <c r="I4738" s="42">
        <f t="shared" si="740"/>
        <v>0</v>
      </c>
      <c r="J4738" s="65" t="e">
        <f t="shared" si="741"/>
        <v>#NUM!</v>
      </c>
      <c r="K4738" s="83" t="e">
        <f t="shared" si="742"/>
        <v>#NUM!</v>
      </c>
      <c r="L4738" s="83">
        <f t="shared" si="743"/>
        <v>0</v>
      </c>
      <c r="M4738" s="110" t="str">
        <f t="shared" si="744"/>
        <v/>
      </c>
      <c r="N4738" s="51" t="str">
        <f t="shared" si="745"/>
        <v/>
      </c>
      <c r="O4738" s="52" t="str">
        <f t="shared" si="746"/>
        <v/>
      </c>
      <c r="P4738" s="88">
        <f t="shared" si="747"/>
        <v>0</v>
      </c>
      <c r="Q4738" s="88">
        <f t="shared" si="748"/>
        <v>0</v>
      </c>
      <c r="R4738" s="88" t="e">
        <f>-IF(Tabla14[[#This Row],[DIAS HABILES O MORA]]&lt;0,(Tabla14[[#This Row],[VALOR PRESTAMO]]*Tabla14[[#This Row],[% INTERES ]]/30*U4738))+Tabla14[[#This Row],[VALOR CUOTAS]]</f>
        <v>#VALUE!</v>
      </c>
      <c r="S4738" s="88">
        <f>-IF(Tabla14[[#This Row],[DIAS HABILES O MORA]]&lt;0,(Tabla14[[#This Row],[VALOR PRESTAMO]]*Tabla14[[#This Row],[% INTERES ]]/30*U4738))</f>
        <v>0</v>
      </c>
      <c r="T4738" s="53" t="e">
        <f>Tabla14[[#This Row],[DEUDA CAPITAL]]+Tabla14[[#This Row],[INTERES  CUOTA]]</f>
        <v>#NUM!</v>
      </c>
      <c r="U4738" s="61" t="str">
        <f t="shared" si="749"/>
        <v/>
      </c>
    </row>
    <row r="4739" spans="9:21" ht="24.75" customHeight="1" x14ac:dyDescent="0.35">
      <c r="I4739" s="42">
        <f t="shared" si="740"/>
        <v>0</v>
      </c>
      <c r="J4739" s="65" t="e">
        <f t="shared" si="741"/>
        <v>#NUM!</v>
      </c>
      <c r="K4739" s="83" t="e">
        <f t="shared" si="742"/>
        <v>#NUM!</v>
      </c>
      <c r="L4739" s="83">
        <f t="shared" si="743"/>
        <v>0</v>
      </c>
      <c r="M4739" s="110" t="str">
        <f t="shared" si="744"/>
        <v/>
      </c>
      <c r="N4739" s="51" t="str">
        <f t="shared" si="745"/>
        <v/>
      </c>
      <c r="O4739" s="52" t="str">
        <f t="shared" si="746"/>
        <v/>
      </c>
      <c r="P4739" s="88">
        <f t="shared" si="747"/>
        <v>0</v>
      </c>
      <c r="Q4739" s="88">
        <f t="shared" si="748"/>
        <v>0</v>
      </c>
      <c r="R4739" s="88" t="e">
        <f>-IF(Tabla14[[#This Row],[DIAS HABILES O MORA]]&lt;0,(Tabla14[[#This Row],[VALOR PRESTAMO]]*Tabla14[[#This Row],[% INTERES ]]/30*U4739))+Tabla14[[#This Row],[VALOR CUOTAS]]</f>
        <v>#VALUE!</v>
      </c>
      <c r="S4739" s="88">
        <f>-IF(Tabla14[[#This Row],[DIAS HABILES O MORA]]&lt;0,(Tabla14[[#This Row],[VALOR PRESTAMO]]*Tabla14[[#This Row],[% INTERES ]]/30*U4739))</f>
        <v>0</v>
      </c>
      <c r="T4739" s="53" t="e">
        <f>Tabla14[[#This Row],[DEUDA CAPITAL]]+Tabla14[[#This Row],[INTERES  CUOTA]]</f>
        <v>#NUM!</v>
      </c>
      <c r="U4739" s="61" t="str">
        <f t="shared" si="749"/>
        <v/>
      </c>
    </row>
    <row r="4740" spans="9:21" ht="24.75" customHeight="1" x14ac:dyDescent="0.35">
      <c r="I4740" s="42">
        <f t="shared" si="740"/>
        <v>0</v>
      </c>
      <c r="J4740" s="65" t="e">
        <f t="shared" si="741"/>
        <v>#NUM!</v>
      </c>
      <c r="K4740" s="83" t="e">
        <f t="shared" si="742"/>
        <v>#NUM!</v>
      </c>
      <c r="L4740" s="83">
        <f t="shared" si="743"/>
        <v>0</v>
      </c>
      <c r="M4740" s="110" t="str">
        <f t="shared" si="744"/>
        <v/>
      </c>
      <c r="N4740" s="51" t="str">
        <f t="shared" si="745"/>
        <v/>
      </c>
      <c r="O4740" s="52" t="str">
        <f t="shared" si="746"/>
        <v/>
      </c>
      <c r="P4740" s="88">
        <f t="shared" si="747"/>
        <v>0</v>
      </c>
      <c r="Q4740" s="88">
        <f t="shared" si="748"/>
        <v>0</v>
      </c>
      <c r="R4740" s="88" t="e">
        <f>-IF(Tabla14[[#This Row],[DIAS HABILES O MORA]]&lt;0,(Tabla14[[#This Row],[VALOR PRESTAMO]]*Tabla14[[#This Row],[% INTERES ]]/30*U4740))+Tabla14[[#This Row],[VALOR CUOTAS]]</f>
        <v>#VALUE!</v>
      </c>
      <c r="S4740" s="88">
        <f>-IF(Tabla14[[#This Row],[DIAS HABILES O MORA]]&lt;0,(Tabla14[[#This Row],[VALOR PRESTAMO]]*Tabla14[[#This Row],[% INTERES ]]/30*U4740))</f>
        <v>0</v>
      </c>
      <c r="T4740" s="53" t="e">
        <f>Tabla14[[#This Row],[DEUDA CAPITAL]]+Tabla14[[#This Row],[INTERES  CUOTA]]</f>
        <v>#NUM!</v>
      </c>
      <c r="U4740" s="61" t="str">
        <f t="shared" si="749"/>
        <v/>
      </c>
    </row>
    <row r="4741" spans="9:21" ht="24.75" customHeight="1" x14ac:dyDescent="0.35">
      <c r="I4741" s="42">
        <f t="shared" si="740"/>
        <v>0</v>
      </c>
      <c r="J4741" s="65" t="e">
        <f t="shared" si="741"/>
        <v>#NUM!</v>
      </c>
      <c r="K4741" s="83" t="e">
        <f t="shared" si="742"/>
        <v>#NUM!</v>
      </c>
      <c r="L4741" s="83">
        <f t="shared" si="743"/>
        <v>0</v>
      </c>
      <c r="M4741" s="110" t="str">
        <f t="shared" si="744"/>
        <v/>
      </c>
      <c r="N4741" s="51" t="str">
        <f t="shared" si="745"/>
        <v/>
      </c>
      <c r="O4741" s="52" t="str">
        <f t="shared" si="746"/>
        <v/>
      </c>
      <c r="P4741" s="88">
        <f t="shared" si="747"/>
        <v>0</v>
      </c>
      <c r="Q4741" s="88">
        <f t="shared" si="748"/>
        <v>0</v>
      </c>
      <c r="R4741" s="88" t="e">
        <f>-IF(Tabla14[[#This Row],[DIAS HABILES O MORA]]&lt;0,(Tabla14[[#This Row],[VALOR PRESTAMO]]*Tabla14[[#This Row],[% INTERES ]]/30*U4741))+Tabla14[[#This Row],[VALOR CUOTAS]]</f>
        <v>#VALUE!</v>
      </c>
      <c r="S4741" s="88">
        <f>-IF(Tabla14[[#This Row],[DIAS HABILES O MORA]]&lt;0,(Tabla14[[#This Row],[VALOR PRESTAMO]]*Tabla14[[#This Row],[% INTERES ]]/30*U4741))</f>
        <v>0</v>
      </c>
      <c r="T4741" s="53" t="e">
        <f>Tabla14[[#This Row],[DEUDA CAPITAL]]+Tabla14[[#This Row],[INTERES  CUOTA]]</f>
        <v>#NUM!</v>
      </c>
      <c r="U4741" s="61" t="str">
        <f t="shared" si="749"/>
        <v/>
      </c>
    </row>
    <row r="4742" spans="9:21" ht="24.75" customHeight="1" x14ac:dyDescent="0.35">
      <c r="I4742" s="42">
        <f t="shared" si="740"/>
        <v>0</v>
      </c>
      <c r="J4742" s="65" t="e">
        <f t="shared" si="741"/>
        <v>#NUM!</v>
      </c>
      <c r="K4742" s="83" t="e">
        <f t="shared" si="742"/>
        <v>#NUM!</v>
      </c>
      <c r="L4742" s="83">
        <f t="shared" si="743"/>
        <v>0</v>
      </c>
      <c r="M4742" s="110" t="str">
        <f t="shared" si="744"/>
        <v/>
      </c>
      <c r="N4742" s="51" t="str">
        <f t="shared" si="745"/>
        <v/>
      </c>
      <c r="O4742" s="52" t="str">
        <f t="shared" si="746"/>
        <v/>
      </c>
      <c r="P4742" s="88">
        <f t="shared" si="747"/>
        <v>0</v>
      </c>
      <c r="Q4742" s="88">
        <f t="shared" si="748"/>
        <v>0</v>
      </c>
      <c r="R4742" s="88" t="e">
        <f>-IF(Tabla14[[#This Row],[DIAS HABILES O MORA]]&lt;0,(Tabla14[[#This Row],[VALOR PRESTAMO]]*Tabla14[[#This Row],[% INTERES ]]/30*U4742))+Tabla14[[#This Row],[VALOR CUOTAS]]</f>
        <v>#VALUE!</v>
      </c>
      <c r="S4742" s="88">
        <f>-IF(Tabla14[[#This Row],[DIAS HABILES O MORA]]&lt;0,(Tabla14[[#This Row],[VALOR PRESTAMO]]*Tabla14[[#This Row],[% INTERES ]]/30*U4742))</f>
        <v>0</v>
      </c>
      <c r="T4742" s="53" t="e">
        <f>Tabla14[[#This Row],[DEUDA CAPITAL]]+Tabla14[[#This Row],[INTERES  CUOTA]]</f>
        <v>#NUM!</v>
      </c>
      <c r="U4742" s="61" t="str">
        <f t="shared" si="749"/>
        <v/>
      </c>
    </row>
    <row r="4743" spans="9:21" ht="24.75" customHeight="1" x14ac:dyDescent="0.35">
      <c r="I4743" s="42">
        <f t="shared" si="740"/>
        <v>0</v>
      </c>
      <c r="J4743" s="65" t="e">
        <f t="shared" si="741"/>
        <v>#NUM!</v>
      </c>
      <c r="K4743" s="83" t="e">
        <f t="shared" si="742"/>
        <v>#NUM!</v>
      </c>
      <c r="L4743" s="83">
        <f t="shared" si="743"/>
        <v>0</v>
      </c>
      <c r="M4743" s="110" t="str">
        <f t="shared" si="744"/>
        <v/>
      </c>
      <c r="N4743" s="51" t="str">
        <f t="shared" si="745"/>
        <v/>
      </c>
      <c r="O4743" s="52" t="str">
        <f t="shared" si="746"/>
        <v/>
      </c>
      <c r="P4743" s="88">
        <f t="shared" si="747"/>
        <v>0</v>
      </c>
      <c r="Q4743" s="88">
        <f t="shared" si="748"/>
        <v>0</v>
      </c>
      <c r="R4743" s="88" t="e">
        <f>-IF(Tabla14[[#This Row],[DIAS HABILES O MORA]]&lt;0,(Tabla14[[#This Row],[VALOR PRESTAMO]]*Tabla14[[#This Row],[% INTERES ]]/30*U4743))+Tabla14[[#This Row],[VALOR CUOTAS]]</f>
        <v>#VALUE!</v>
      </c>
      <c r="S4743" s="88">
        <f>-IF(Tabla14[[#This Row],[DIAS HABILES O MORA]]&lt;0,(Tabla14[[#This Row],[VALOR PRESTAMO]]*Tabla14[[#This Row],[% INTERES ]]/30*U4743))</f>
        <v>0</v>
      </c>
      <c r="T4743" s="53" t="e">
        <f>Tabla14[[#This Row],[DEUDA CAPITAL]]+Tabla14[[#This Row],[INTERES  CUOTA]]</f>
        <v>#NUM!</v>
      </c>
      <c r="U4743" s="61" t="str">
        <f t="shared" si="749"/>
        <v/>
      </c>
    </row>
    <row r="4744" spans="9:21" ht="24.75" customHeight="1" x14ac:dyDescent="0.35">
      <c r="I4744" s="42">
        <f t="shared" si="740"/>
        <v>0</v>
      </c>
      <c r="J4744" s="65" t="e">
        <f t="shared" si="741"/>
        <v>#NUM!</v>
      </c>
      <c r="K4744" s="83" t="e">
        <f t="shared" si="742"/>
        <v>#NUM!</v>
      </c>
      <c r="L4744" s="83">
        <f t="shared" si="743"/>
        <v>0</v>
      </c>
      <c r="M4744" s="110" t="str">
        <f t="shared" si="744"/>
        <v/>
      </c>
      <c r="N4744" s="51" t="str">
        <f t="shared" si="745"/>
        <v/>
      </c>
      <c r="O4744" s="52" t="str">
        <f t="shared" si="746"/>
        <v/>
      </c>
      <c r="P4744" s="88">
        <f t="shared" si="747"/>
        <v>0</v>
      </c>
      <c r="Q4744" s="88">
        <f t="shared" si="748"/>
        <v>0</v>
      </c>
      <c r="R4744" s="88" t="e">
        <f>-IF(Tabla14[[#This Row],[DIAS HABILES O MORA]]&lt;0,(Tabla14[[#This Row],[VALOR PRESTAMO]]*Tabla14[[#This Row],[% INTERES ]]/30*U4744))+Tabla14[[#This Row],[VALOR CUOTAS]]</f>
        <v>#VALUE!</v>
      </c>
      <c r="S4744" s="88">
        <f>-IF(Tabla14[[#This Row],[DIAS HABILES O MORA]]&lt;0,(Tabla14[[#This Row],[VALOR PRESTAMO]]*Tabla14[[#This Row],[% INTERES ]]/30*U4744))</f>
        <v>0</v>
      </c>
      <c r="T4744" s="53" t="e">
        <f>Tabla14[[#This Row],[DEUDA CAPITAL]]+Tabla14[[#This Row],[INTERES  CUOTA]]</f>
        <v>#NUM!</v>
      </c>
      <c r="U4744" s="61" t="str">
        <f t="shared" si="749"/>
        <v/>
      </c>
    </row>
    <row r="4745" spans="9:21" ht="24.75" customHeight="1" x14ac:dyDescent="0.35">
      <c r="I4745" s="42">
        <f t="shared" si="740"/>
        <v>0</v>
      </c>
      <c r="J4745" s="65" t="e">
        <f t="shared" si="741"/>
        <v>#NUM!</v>
      </c>
      <c r="K4745" s="83" t="e">
        <f t="shared" si="742"/>
        <v>#NUM!</v>
      </c>
      <c r="L4745" s="83">
        <f t="shared" si="743"/>
        <v>0</v>
      </c>
      <c r="M4745" s="110" t="str">
        <f t="shared" si="744"/>
        <v/>
      </c>
      <c r="N4745" s="51" t="str">
        <f t="shared" si="745"/>
        <v/>
      </c>
      <c r="O4745" s="52" t="str">
        <f t="shared" si="746"/>
        <v/>
      </c>
      <c r="P4745" s="88">
        <f t="shared" si="747"/>
        <v>0</v>
      </c>
      <c r="Q4745" s="88">
        <f t="shared" si="748"/>
        <v>0</v>
      </c>
      <c r="R4745" s="88" t="e">
        <f>-IF(Tabla14[[#This Row],[DIAS HABILES O MORA]]&lt;0,(Tabla14[[#This Row],[VALOR PRESTAMO]]*Tabla14[[#This Row],[% INTERES ]]/30*U4745))+Tabla14[[#This Row],[VALOR CUOTAS]]</f>
        <v>#VALUE!</v>
      </c>
      <c r="S4745" s="88">
        <f>-IF(Tabla14[[#This Row],[DIAS HABILES O MORA]]&lt;0,(Tabla14[[#This Row],[VALOR PRESTAMO]]*Tabla14[[#This Row],[% INTERES ]]/30*U4745))</f>
        <v>0</v>
      </c>
      <c r="T4745" s="53" t="e">
        <f>Tabla14[[#This Row],[DEUDA CAPITAL]]+Tabla14[[#This Row],[INTERES  CUOTA]]</f>
        <v>#NUM!</v>
      </c>
      <c r="U4745" s="61" t="str">
        <f t="shared" si="749"/>
        <v/>
      </c>
    </row>
    <row r="4746" spans="9:21" ht="24.75" customHeight="1" x14ac:dyDescent="0.35">
      <c r="I4746" s="42">
        <f t="shared" si="740"/>
        <v>0</v>
      </c>
      <c r="J4746" s="65" t="e">
        <f t="shared" si="741"/>
        <v>#NUM!</v>
      </c>
      <c r="K4746" s="83" t="e">
        <f t="shared" si="742"/>
        <v>#NUM!</v>
      </c>
      <c r="L4746" s="83">
        <f t="shared" si="743"/>
        <v>0</v>
      </c>
      <c r="M4746" s="110" t="str">
        <f t="shared" si="744"/>
        <v/>
      </c>
      <c r="N4746" s="51" t="str">
        <f t="shared" si="745"/>
        <v/>
      </c>
      <c r="O4746" s="52" t="str">
        <f t="shared" si="746"/>
        <v/>
      </c>
      <c r="P4746" s="88">
        <f t="shared" si="747"/>
        <v>0</v>
      </c>
      <c r="Q4746" s="88">
        <f t="shared" si="748"/>
        <v>0</v>
      </c>
      <c r="R4746" s="88" t="e">
        <f>-IF(Tabla14[[#This Row],[DIAS HABILES O MORA]]&lt;0,(Tabla14[[#This Row],[VALOR PRESTAMO]]*Tabla14[[#This Row],[% INTERES ]]/30*U4746))+Tabla14[[#This Row],[VALOR CUOTAS]]</f>
        <v>#VALUE!</v>
      </c>
      <c r="S4746" s="88">
        <f>-IF(Tabla14[[#This Row],[DIAS HABILES O MORA]]&lt;0,(Tabla14[[#This Row],[VALOR PRESTAMO]]*Tabla14[[#This Row],[% INTERES ]]/30*U4746))</f>
        <v>0</v>
      </c>
      <c r="T4746" s="53" t="e">
        <f>Tabla14[[#This Row],[DEUDA CAPITAL]]+Tabla14[[#This Row],[INTERES  CUOTA]]</f>
        <v>#NUM!</v>
      </c>
      <c r="U4746" s="61" t="str">
        <f t="shared" si="749"/>
        <v/>
      </c>
    </row>
    <row r="4747" spans="9:21" ht="24.75" customHeight="1" x14ac:dyDescent="0.35">
      <c r="I4747" s="42">
        <f t="shared" si="740"/>
        <v>0</v>
      </c>
      <c r="J4747" s="65" t="e">
        <f t="shared" si="741"/>
        <v>#NUM!</v>
      </c>
      <c r="K4747" s="83" t="e">
        <f t="shared" si="742"/>
        <v>#NUM!</v>
      </c>
      <c r="L4747" s="83">
        <f t="shared" si="743"/>
        <v>0</v>
      </c>
      <c r="M4747" s="110" t="str">
        <f t="shared" si="744"/>
        <v/>
      </c>
      <c r="N4747" s="51" t="str">
        <f t="shared" si="745"/>
        <v/>
      </c>
      <c r="O4747" s="52" t="str">
        <f t="shared" si="746"/>
        <v/>
      </c>
      <c r="P4747" s="88">
        <f t="shared" si="747"/>
        <v>0</v>
      </c>
      <c r="Q4747" s="88">
        <f t="shared" si="748"/>
        <v>0</v>
      </c>
      <c r="R4747" s="88" t="e">
        <f>-IF(Tabla14[[#This Row],[DIAS HABILES O MORA]]&lt;0,(Tabla14[[#This Row],[VALOR PRESTAMO]]*Tabla14[[#This Row],[% INTERES ]]/30*U4747))+Tabla14[[#This Row],[VALOR CUOTAS]]</f>
        <v>#VALUE!</v>
      </c>
      <c r="S4747" s="88">
        <f>-IF(Tabla14[[#This Row],[DIAS HABILES O MORA]]&lt;0,(Tabla14[[#This Row],[VALOR PRESTAMO]]*Tabla14[[#This Row],[% INTERES ]]/30*U4747))</f>
        <v>0</v>
      </c>
      <c r="T4747" s="53" t="e">
        <f>Tabla14[[#This Row],[DEUDA CAPITAL]]+Tabla14[[#This Row],[INTERES  CUOTA]]</f>
        <v>#NUM!</v>
      </c>
      <c r="U4747" s="61" t="str">
        <f t="shared" si="749"/>
        <v/>
      </c>
    </row>
    <row r="4748" spans="9:21" ht="24.75" customHeight="1" x14ac:dyDescent="0.35">
      <c r="I4748" s="42">
        <f t="shared" si="740"/>
        <v>0</v>
      </c>
      <c r="J4748" s="65" t="e">
        <f t="shared" si="741"/>
        <v>#NUM!</v>
      </c>
      <c r="K4748" s="83" t="e">
        <f t="shared" si="742"/>
        <v>#NUM!</v>
      </c>
      <c r="L4748" s="83">
        <f t="shared" si="743"/>
        <v>0</v>
      </c>
      <c r="M4748" s="110" t="str">
        <f t="shared" si="744"/>
        <v/>
      </c>
      <c r="N4748" s="51" t="str">
        <f t="shared" si="745"/>
        <v/>
      </c>
      <c r="O4748" s="52" t="str">
        <f t="shared" si="746"/>
        <v/>
      </c>
      <c r="P4748" s="88">
        <f t="shared" si="747"/>
        <v>0</v>
      </c>
      <c r="Q4748" s="88">
        <f t="shared" si="748"/>
        <v>0</v>
      </c>
      <c r="R4748" s="88" t="e">
        <f>-IF(Tabla14[[#This Row],[DIAS HABILES O MORA]]&lt;0,(Tabla14[[#This Row],[VALOR PRESTAMO]]*Tabla14[[#This Row],[% INTERES ]]/30*U4748))+Tabla14[[#This Row],[VALOR CUOTAS]]</f>
        <v>#VALUE!</v>
      </c>
      <c r="S4748" s="88">
        <f>-IF(Tabla14[[#This Row],[DIAS HABILES O MORA]]&lt;0,(Tabla14[[#This Row],[VALOR PRESTAMO]]*Tabla14[[#This Row],[% INTERES ]]/30*U4748))</f>
        <v>0</v>
      </c>
      <c r="T4748" s="53" t="e">
        <f>Tabla14[[#This Row],[DEUDA CAPITAL]]+Tabla14[[#This Row],[INTERES  CUOTA]]</f>
        <v>#NUM!</v>
      </c>
      <c r="U4748" s="61" t="str">
        <f t="shared" si="749"/>
        <v/>
      </c>
    </row>
    <row r="4749" spans="9:21" ht="24.75" customHeight="1" x14ac:dyDescent="0.35">
      <c r="I4749" s="42">
        <f t="shared" si="740"/>
        <v>0</v>
      </c>
      <c r="J4749" s="65" t="e">
        <f t="shared" si="741"/>
        <v>#NUM!</v>
      </c>
      <c r="K4749" s="83" t="e">
        <f t="shared" si="742"/>
        <v>#NUM!</v>
      </c>
      <c r="L4749" s="83">
        <f t="shared" si="743"/>
        <v>0</v>
      </c>
      <c r="M4749" s="110" t="str">
        <f t="shared" si="744"/>
        <v/>
      </c>
      <c r="N4749" s="51" t="str">
        <f t="shared" si="745"/>
        <v/>
      </c>
      <c r="O4749" s="52" t="str">
        <f t="shared" si="746"/>
        <v/>
      </c>
      <c r="P4749" s="88">
        <f t="shared" si="747"/>
        <v>0</v>
      </c>
      <c r="Q4749" s="88">
        <f t="shared" si="748"/>
        <v>0</v>
      </c>
      <c r="R4749" s="88" t="e">
        <f>-IF(Tabla14[[#This Row],[DIAS HABILES O MORA]]&lt;0,(Tabla14[[#This Row],[VALOR PRESTAMO]]*Tabla14[[#This Row],[% INTERES ]]/30*U4749))+Tabla14[[#This Row],[VALOR CUOTAS]]</f>
        <v>#VALUE!</v>
      </c>
      <c r="S4749" s="88">
        <f>-IF(Tabla14[[#This Row],[DIAS HABILES O MORA]]&lt;0,(Tabla14[[#This Row],[VALOR PRESTAMO]]*Tabla14[[#This Row],[% INTERES ]]/30*U4749))</f>
        <v>0</v>
      </c>
      <c r="T4749" s="53" t="e">
        <f>Tabla14[[#This Row],[DEUDA CAPITAL]]+Tabla14[[#This Row],[INTERES  CUOTA]]</f>
        <v>#NUM!</v>
      </c>
      <c r="U4749" s="61" t="str">
        <f t="shared" si="749"/>
        <v/>
      </c>
    </row>
    <row r="4750" spans="9:21" ht="24.75" customHeight="1" x14ac:dyDescent="0.35">
      <c r="I4750" s="42">
        <f t="shared" si="740"/>
        <v>0</v>
      </c>
      <c r="J4750" s="65" t="e">
        <f t="shared" si="741"/>
        <v>#NUM!</v>
      </c>
      <c r="K4750" s="83" t="e">
        <f t="shared" si="742"/>
        <v>#NUM!</v>
      </c>
      <c r="L4750" s="83">
        <f t="shared" si="743"/>
        <v>0</v>
      </c>
      <c r="M4750" s="110" t="str">
        <f t="shared" si="744"/>
        <v/>
      </c>
      <c r="N4750" s="51" t="str">
        <f t="shared" si="745"/>
        <v/>
      </c>
      <c r="O4750" s="52" t="str">
        <f t="shared" si="746"/>
        <v/>
      </c>
      <c r="P4750" s="88">
        <f t="shared" si="747"/>
        <v>0</v>
      </c>
      <c r="Q4750" s="88">
        <f t="shared" si="748"/>
        <v>0</v>
      </c>
      <c r="R4750" s="88" t="e">
        <f>-IF(Tabla14[[#This Row],[DIAS HABILES O MORA]]&lt;0,(Tabla14[[#This Row],[VALOR PRESTAMO]]*Tabla14[[#This Row],[% INTERES ]]/30*U4750))+Tabla14[[#This Row],[VALOR CUOTAS]]</f>
        <v>#VALUE!</v>
      </c>
      <c r="S4750" s="88">
        <f>-IF(Tabla14[[#This Row],[DIAS HABILES O MORA]]&lt;0,(Tabla14[[#This Row],[VALOR PRESTAMO]]*Tabla14[[#This Row],[% INTERES ]]/30*U4750))</f>
        <v>0</v>
      </c>
      <c r="T4750" s="53" t="e">
        <f>Tabla14[[#This Row],[DEUDA CAPITAL]]+Tabla14[[#This Row],[INTERES  CUOTA]]</f>
        <v>#NUM!</v>
      </c>
      <c r="U4750" s="61" t="str">
        <f t="shared" si="749"/>
        <v/>
      </c>
    </row>
    <row r="4751" spans="9:21" ht="24.75" customHeight="1" x14ac:dyDescent="0.35">
      <c r="I4751" s="42">
        <f t="shared" si="740"/>
        <v>0</v>
      </c>
      <c r="J4751" s="65" t="e">
        <f t="shared" si="741"/>
        <v>#NUM!</v>
      </c>
      <c r="K4751" s="83" t="e">
        <f t="shared" si="742"/>
        <v>#NUM!</v>
      </c>
      <c r="L4751" s="83">
        <f t="shared" si="743"/>
        <v>0</v>
      </c>
      <c r="M4751" s="110" t="str">
        <f t="shared" si="744"/>
        <v/>
      </c>
      <c r="N4751" s="51" t="str">
        <f t="shared" si="745"/>
        <v/>
      </c>
      <c r="O4751" s="52" t="str">
        <f t="shared" si="746"/>
        <v/>
      </c>
      <c r="P4751" s="88">
        <f t="shared" si="747"/>
        <v>0</v>
      </c>
      <c r="Q4751" s="88">
        <f t="shared" si="748"/>
        <v>0</v>
      </c>
      <c r="R4751" s="88" t="e">
        <f>-IF(Tabla14[[#This Row],[DIAS HABILES O MORA]]&lt;0,(Tabla14[[#This Row],[VALOR PRESTAMO]]*Tabla14[[#This Row],[% INTERES ]]/30*U4751))+Tabla14[[#This Row],[VALOR CUOTAS]]</f>
        <v>#VALUE!</v>
      </c>
      <c r="S4751" s="88">
        <f>-IF(Tabla14[[#This Row],[DIAS HABILES O MORA]]&lt;0,(Tabla14[[#This Row],[VALOR PRESTAMO]]*Tabla14[[#This Row],[% INTERES ]]/30*U4751))</f>
        <v>0</v>
      </c>
      <c r="T4751" s="53" t="e">
        <f>Tabla14[[#This Row],[DEUDA CAPITAL]]+Tabla14[[#This Row],[INTERES  CUOTA]]</f>
        <v>#NUM!</v>
      </c>
      <c r="U4751" s="61" t="str">
        <f t="shared" si="749"/>
        <v/>
      </c>
    </row>
    <row r="4752" spans="9:21" ht="24.75" customHeight="1" x14ac:dyDescent="0.35">
      <c r="I4752" s="42">
        <f t="shared" ref="I4752:I4815" si="750">IF(C4752&lt;0,"",IF(Q4752=0,0,IF(G4752=0,H4752+1,IF(H4752&lt;G4752,H4752+1,IF(G4752=H4752,0)))))</f>
        <v>0</v>
      </c>
      <c r="J4752" s="65" t="e">
        <f t="shared" ref="J4752:J4815" si="751">IF(F4752="SOLO INTERES",Q4752*D4752,-IPMT(D4752,I4752,G4752,C4752))</f>
        <v>#NUM!</v>
      </c>
      <c r="K4752" s="83" t="e">
        <f t="shared" ref="K4752:K4815" si="752">IF(F4752="SOLO INTERES",0,-PPMT(D4752,I4752,G4752,C4752))</f>
        <v>#NUM!</v>
      </c>
      <c r="L4752" s="83">
        <f t="shared" ref="L4752:L4815" si="753">IF(F4752="SOLO INTERES",SUM(Y4752:AAE4752),IFERROR(-CUMIPMT(D4752,G4752,C4752,1,H4752,0),0)+SUM(Y4752:WY4752))</f>
        <v>0</v>
      </c>
      <c r="M4752" s="110" t="str">
        <f t="shared" ref="M4752:M4815" si="754">IFERROR(IF(F4752="SOLO INTERES",Q4752*D4752,-PMT(D4752,G4752,C4752,0)),"")</f>
        <v/>
      </c>
      <c r="N4752" s="51" t="str">
        <f t="shared" ref="N4752:N4815" si="755">IF(Q4752=0,"",IF(E4752="MENSUAL",EDATE(B4752,I4752),IF(E4752="QUINCENAL",B4752+(I4752*15),IF(E4752="SEMANAL",B4752+(I4752*7)))))</f>
        <v/>
      </c>
      <c r="O4752" s="52" t="str">
        <f t="shared" ref="O4752:O4815" si="756">IF(C4752=0,"",IF(Q4752&lt;1,"PAGADO",IF(N4752=$A$3,"COBRAR HOY",IF(N4752&lt;$A$3,"EN MORA",IF(N4752&gt;$A$3,"AL DIA")))))</f>
        <v/>
      </c>
      <c r="P4752" s="88">
        <f t="shared" ref="P4752:P4815" si="757">IFERROR(-CUMPRINC(D4752,G4752,C4752,1,H4752,0),0)+W4752</f>
        <v>0</v>
      </c>
      <c r="Q4752" s="88">
        <f t="shared" ref="Q4752:Q4815" si="758">IFERROR(C4752-P4752,"")</f>
        <v>0</v>
      </c>
      <c r="R4752" s="88" t="e">
        <f>-IF(Tabla14[[#This Row],[DIAS HABILES O MORA]]&lt;0,(Tabla14[[#This Row],[VALOR PRESTAMO]]*Tabla14[[#This Row],[% INTERES ]]/30*U4752))+Tabla14[[#This Row],[VALOR CUOTAS]]</f>
        <v>#VALUE!</v>
      </c>
      <c r="S4752" s="88">
        <f>-IF(Tabla14[[#This Row],[DIAS HABILES O MORA]]&lt;0,(Tabla14[[#This Row],[VALOR PRESTAMO]]*Tabla14[[#This Row],[% INTERES ]]/30*U4752))</f>
        <v>0</v>
      </c>
      <c r="T4752" s="53" t="e">
        <f>Tabla14[[#This Row],[DEUDA CAPITAL]]+Tabla14[[#This Row],[INTERES  CUOTA]]</f>
        <v>#NUM!</v>
      </c>
      <c r="U4752" s="61" t="str">
        <f t="shared" ref="U4752:U4815" si="759">IF(O4752="PAGADO","",IFERROR(-IF(C4752=0,"",$A$3-N4752),""))</f>
        <v/>
      </c>
    </row>
    <row r="4753" spans="9:21" ht="24.75" customHeight="1" x14ac:dyDescent="0.35">
      <c r="I4753" s="42">
        <f t="shared" si="750"/>
        <v>0</v>
      </c>
      <c r="J4753" s="65" t="e">
        <f t="shared" si="751"/>
        <v>#NUM!</v>
      </c>
      <c r="K4753" s="83" t="e">
        <f t="shared" si="752"/>
        <v>#NUM!</v>
      </c>
      <c r="L4753" s="83">
        <f t="shared" si="753"/>
        <v>0</v>
      </c>
      <c r="M4753" s="110" t="str">
        <f t="shared" si="754"/>
        <v/>
      </c>
      <c r="N4753" s="51" t="str">
        <f t="shared" si="755"/>
        <v/>
      </c>
      <c r="O4753" s="52" t="str">
        <f t="shared" si="756"/>
        <v/>
      </c>
      <c r="P4753" s="88">
        <f t="shared" si="757"/>
        <v>0</v>
      </c>
      <c r="Q4753" s="88">
        <f t="shared" si="758"/>
        <v>0</v>
      </c>
      <c r="R4753" s="88" t="e">
        <f>-IF(Tabla14[[#This Row],[DIAS HABILES O MORA]]&lt;0,(Tabla14[[#This Row],[VALOR PRESTAMO]]*Tabla14[[#This Row],[% INTERES ]]/30*U4753))+Tabla14[[#This Row],[VALOR CUOTAS]]</f>
        <v>#VALUE!</v>
      </c>
      <c r="S4753" s="88">
        <f>-IF(Tabla14[[#This Row],[DIAS HABILES O MORA]]&lt;0,(Tabla14[[#This Row],[VALOR PRESTAMO]]*Tabla14[[#This Row],[% INTERES ]]/30*U4753))</f>
        <v>0</v>
      </c>
      <c r="T4753" s="53" t="e">
        <f>Tabla14[[#This Row],[DEUDA CAPITAL]]+Tabla14[[#This Row],[INTERES  CUOTA]]</f>
        <v>#NUM!</v>
      </c>
      <c r="U4753" s="61" t="str">
        <f t="shared" si="759"/>
        <v/>
      </c>
    </row>
    <row r="4754" spans="9:21" ht="24.75" customHeight="1" x14ac:dyDescent="0.35">
      <c r="I4754" s="42">
        <f t="shared" si="750"/>
        <v>0</v>
      </c>
      <c r="J4754" s="65" t="e">
        <f t="shared" si="751"/>
        <v>#NUM!</v>
      </c>
      <c r="K4754" s="83" t="e">
        <f t="shared" si="752"/>
        <v>#NUM!</v>
      </c>
      <c r="L4754" s="83">
        <f t="shared" si="753"/>
        <v>0</v>
      </c>
      <c r="M4754" s="110" t="str">
        <f t="shared" si="754"/>
        <v/>
      </c>
      <c r="N4754" s="51" t="str">
        <f t="shared" si="755"/>
        <v/>
      </c>
      <c r="O4754" s="52" t="str">
        <f t="shared" si="756"/>
        <v/>
      </c>
      <c r="P4754" s="88">
        <f t="shared" si="757"/>
        <v>0</v>
      </c>
      <c r="Q4754" s="88">
        <f t="shared" si="758"/>
        <v>0</v>
      </c>
      <c r="R4754" s="88" t="e">
        <f>-IF(Tabla14[[#This Row],[DIAS HABILES O MORA]]&lt;0,(Tabla14[[#This Row],[VALOR PRESTAMO]]*Tabla14[[#This Row],[% INTERES ]]/30*U4754))+Tabla14[[#This Row],[VALOR CUOTAS]]</f>
        <v>#VALUE!</v>
      </c>
      <c r="S4754" s="88">
        <f>-IF(Tabla14[[#This Row],[DIAS HABILES O MORA]]&lt;0,(Tabla14[[#This Row],[VALOR PRESTAMO]]*Tabla14[[#This Row],[% INTERES ]]/30*U4754))</f>
        <v>0</v>
      </c>
      <c r="T4754" s="53" t="e">
        <f>Tabla14[[#This Row],[DEUDA CAPITAL]]+Tabla14[[#This Row],[INTERES  CUOTA]]</f>
        <v>#NUM!</v>
      </c>
      <c r="U4754" s="61" t="str">
        <f t="shared" si="759"/>
        <v/>
      </c>
    </row>
    <row r="4755" spans="9:21" ht="24.75" customHeight="1" x14ac:dyDescent="0.35">
      <c r="I4755" s="42">
        <f t="shared" si="750"/>
        <v>0</v>
      </c>
      <c r="J4755" s="65" t="e">
        <f t="shared" si="751"/>
        <v>#NUM!</v>
      </c>
      <c r="K4755" s="83" t="e">
        <f t="shared" si="752"/>
        <v>#NUM!</v>
      </c>
      <c r="L4755" s="83">
        <f t="shared" si="753"/>
        <v>0</v>
      </c>
      <c r="M4755" s="110" t="str">
        <f t="shared" si="754"/>
        <v/>
      </c>
      <c r="N4755" s="51" t="str">
        <f t="shared" si="755"/>
        <v/>
      </c>
      <c r="O4755" s="52" t="str">
        <f t="shared" si="756"/>
        <v/>
      </c>
      <c r="P4755" s="88">
        <f t="shared" si="757"/>
        <v>0</v>
      </c>
      <c r="Q4755" s="88">
        <f t="shared" si="758"/>
        <v>0</v>
      </c>
      <c r="R4755" s="88" t="e">
        <f>-IF(Tabla14[[#This Row],[DIAS HABILES O MORA]]&lt;0,(Tabla14[[#This Row],[VALOR PRESTAMO]]*Tabla14[[#This Row],[% INTERES ]]/30*U4755))+Tabla14[[#This Row],[VALOR CUOTAS]]</f>
        <v>#VALUE!</v>
      </c>
      <c r="S4755" s="88">
        <f>-IF(Tabla14[[#This Row],[DIAS HABILES O MORA]]&lt;0,(Tabla14[[#This Row],[VALOR PRESTAMO]]*Tabla14[[#This Row],[% INTERES ]]/30*U4755))</f>
        <v>0</v>
      </c>
      <c r="T4755" s="53" t="e">
        <f>Tabla14[[#This Row],[DEUDA CAPITAL]]+Tabla14[[#This Row],[INTERES  CUOTA]]</f>
        <v>#NUM!</v>
      </c>
      <c r="U4755" s="61" t="str">
        <f t="shared" si="759"/>
        <v/>
      </c>
    </row>
    <row r="4756" spans="9:21" ht="24.75" customHeight="1" x14ac:dyDescent="0.35">
      <c r="I4756" s="42">
        <f t="shared" si="750"/>
        <v>0</v>
      </c>
      <c r="J4756" s="65" t="e">
        <f t="shared" si="751"/>
        <v>#NUM!</v>
      </c>
      <c r="K4756" s="83" t="e">
        <f t="shared" si="752"/>
        <v>#NUM!</v>
      </c>
      <c r="L4756" s="83">
        <f t="shared" si="753"/>
        <v>0</v>
      </c>
      <c r="M4756" s="110" t="str">
        <f t="shared" si="754"/>
        <v/>
      </c>
      <c r="N4756" s="51" t="str">
        <f t="shared" si="755"/>
        <v/>
      </c>
      <c r="O4756" s="52" t="str">
        <f t="shared" si="756"/>
        <v/>
      </c>
      <c r="P4756" s="88">
        <f t="shared" si="757"/>
        <v>0</v>
      </c>
      <c r="Q4756" s="88">
        <f t="shared" si="758"/>
        <v>0</v>
      </c>
      <c r="R4756" s="88" t="e">
        <f>-IF(Tabla14[[#This Row],[DIAS HABILES O MORA]]&lt;0,(Tabla14[[#This Row],[VALOR PRESTAMO]]*Tabla14[[#This Row],[% INTERES ]]/30*U4756))+Tabla14[[#This Row],[VALOR CUOTAS]]</f>
        <v>#VALUE!</v>
      </c>
      <c r="S4756" s="88">
        <f>-IF(Tabla14[[#This Row],[DIAS HABILES O MORA]]&lt;0,(Tabla14[[#This Row],[VALOR PRESTAMO]]*Tabla14[[#This Row],[% INTERES ]]/30*U4756))</f>
        <v>0</v>
      </c>
      <c r="T4756" s="53" t="e">
        <f>Tabla14[[#This Row],[DEUDA CAPITAL]]+Tabla14[[#This Row],[INTERES  CUOTA]]</f>
        <v>#NUM!</v>
      </c>
      <c r="U4756" s="61" t="str">
        <f t="shared" si="759"/>
        <v/>
      </c>
    </row>
    <row r="4757" spans="9:21" ht="24.75" customHeight="1" x14ac:dyDescent="0.35">
      <c r="I4757" s="42">
        <f t="shared" si="750"/>
        <v>0</v>
      </c>
      <c r="J4757" s="65" t="e">
        <f t="shared" si="751"/>
        <v>#NUM!</v>
      </c>
      <c r="K4757" s="83" t="e">
        <f t="shared" si="752"/>
        <v>#NUM!</v>
      </c>
      <c r="L4757" s="83">
        <f t="shared" si="753"/>
        <v>0</v>
      </c>
      <c r="M4757" s="110" t="str">
        <f t="shared" si="754"/>
        <v/>
      </c>
      <c r="N4757" s="51" t="str">
        <f t="shared" si="755"/>
        <v/>
      </c>
      <c r="O4757" s="52" t="str">
        <f t="shared" si="756"/>
        <v/>
      </c>
      <c r="P4757" s="88">
        <f t="shared" si="757"/>
        <v>0</v>
      </c>
      <c r="Q4757" s="88">
        <f t="shared" si="758"/>
        <v>0</v>
      </c>
      <c r="R4757" s="88" t="e">
        <f>-IF(Tabla14[[#This Row],[DIAS HABILES O MORA]]&lt;0,(Tabla14[[#This Row],[VALOR PRESTAMO]]*Tabla14[[#This Row],[% INTERES ]]/30*U4757))+Tabla14[[#This Row],[VALOR CUOTAS]]</f>
        <v>#VALUE!</v>
      </c>
      <c r="S4757" s="88">
        <f>-IF(Tabla14[[#This Row],[DIAS HABILES O MORA]]&lt;0,(Tabla14[[#This Row],[VALOR PRESTAMO]]*Tabla14[[#This Row],[% INTERES ]]/30*U4757))</f>
        <v>0</v>
      </c>
      <c r="T4757" s="53" t="e">
        <f>Tabla14[[#This Row],[DEUDA CAPITAL]]+Tabla14[[#This Row],[INTERES  CUOTA]]</f>
        <v>#NUM!</v>
      </c>
      <c r="U4757" s="61" t="str">
        <f t="shared" si="759"/>
        <v/>
      </c>
    </row>
    <row r="4758" spans="9:21" ht="24.75" customHeight="1" x14ac:dyDescent="0.35">
      <c r="I4758" s="42">
        <f t="shared" si="750"/>
        <v>0</v>
      </c>
      <c r="J4758" s="65" t="e">
        <f t="shared" si="751"/>
        <v>#NUM!</v>
      </c>
      <c r="K4758" s="83" t="e">
        <f t="shared" si="752"/>
        <v>#NUM!</v>
      </c>
      <c r="L4758" s="83">
        <f t="shared" si="753"/>
        <v>0</v>
      </c>
      <c r="M4758" s="110" t="str">
        <f t="shared" si="754"/>
        <v/>
      </c>
      <c r="N4758" s="51" t="str">
        <f t="shared" si="755"/>
        <v/>
      </c>
      <c r="O4758" s="52" t="str">
        <f t="shared" si="756"/>
        <v/>
      </c>
      <c r="P4758" s="88">
        <f t="shared" si="757"/>
        <v>0</v>
      </c>
      <c r="Q4758" s="88">
        <f t="shared" si="758"/>
        <v>0</v>
      </c>
      <c r="R4758" s="88" t="e">
        <f>-IF(Tabla14[[#This Row],[DIAS HABILES O MORA]]&lt;0,(Tabla14[[#This Row],[VALOR PRESTAMO]]*Tabla14[[#This Row],[% INTERES ]]/30*U4758))+Tabla14[[#This Row],[VALOR CUOTAS]]</f>
        <v>#VALUE!</v>
      </c>
      <c r="S4758" s="88">
        <f>-IF(Tabla14[[#This Row],[DIAS HABILES O MORA]]&lt;0,(Tabla14[[#This Row],[VALOR PRESTAMO]]*Tabla14[[#This Row],[% INTERES ]]/30*U4758))</f>
        <v>0</v>
      </c>
      <c r="T4758" s="53" t="e">
        <f>Tabla14[[#This Row],[DEUDA CAPITAL]]+Tabla14[[#This Row],[INTERES  CUOTA]]</f>
        <v>#NUM!</v>
      </c>
      <c r="U4758" s="61" t="str">
        <f t="shared" si="759"/>
        <v/>
      </c>
    </row>
    <row r="4759" spans="9:21" ht="24.75" customHeight="1" x14ac:dyDescent="0.35">
      <c r="I4759" s="42">
        <f t="shared" si="750"/>
        <v>0</v>
      </c>
      <c r="J4759" s="65" t="e">
        <f t="shared" si="751"/>
        <v>#NUM!</v>
      </c>
      <c r="K4759" s="83" t="e">
        <f t="shared" si="752"/>
        <v>#NUM!</v>
      </c>
      <c r="L4759" s="83">
        <f t="shared" si="753"/>
        <v>0</v>
      </c>
      <c r="M4759" s="110" t="str">
        <f t="shared" si="754"/>
        <v/>
      </c>
      <c r="N4759" s="51" t="str">
        <f t="shared" si="755"/>
        <v/>
      </c>
      <c r="O4759" s="52" t="str">
        <f t="shared" si="756"/>
        <v/>
      </c>
      <c r="P4759" s="88">
        <f t="shared" si="757"/>
        <v>0</v>
      </c>
      <c r="Q4759" s="88">
        <f t="shared" si="758"/>
        <v>0</v>
      </c>
      <c r="R4759" s="88" t="e">
        <f>-IF(Tabla14[[#This Row],[DIAS HABILES O MORA]]&lt;0,(Tabla14[[#This Row],[VALOR PRESTAMO]]*Tabla14[[#This Row],[% INTERES ]]/30*U4759))+Tabla14[[#This Row],[VALOR CUOTAS]]</f>
        <v>#VALUE!</v>
      </c>
      <c r="S4759" s="88">
        <f>-IF(Tabla14[[#This Row],[DIAS HABILES O MORA]]&lt;0,(Tabla14[[#This Row],[VALOR PRESTAMO]]*Tabla14[[#This Row],[% INTERES ]]/30*U4759))</f>
        <v>0</v>
      </c>
      <c r="T4759" s="53" t="e">
        <f>Tabla14[[#This Row],[DEUDA CAPITAL]]+Tabla14[[#This Row],[INTERES  CUOTA]]</f>
        <v>#NUM!</v>
      </c>
      <c r="U4759" s="61" t="str">
        <f t="shared" si="759"/>
        <v/>
      </c>
    </row>
    <row r="4760" spans="9:21" ht="24.75" customHeight="1" x14ac:dyDescent="0.35">
      <c r="I4760" s="42">
        <f t="shared" si="750"/>
        <v>0</v>
      </c>
      <c r="J4760" s="65" t="e">
        <f t="shared" si="751"/>
        <v>#NUM!</v>
      </c>
      <c r="K4760" s="83" t="e">
        <f t="shared" si="752"/>
        <v>#NUM!</v>
      </c>
      <c r="L4760" s="83">
        <f t="shared" si="753"/>
        <v>0</v>
      </c>
      <c r="M4760" s="110" t="str">
        <f t="shared" si="754"/>
        <v/>
      </c>
      <c r="N4760" s="51" t="str">
        <f t="shared" si="755"/>
        <v/>
      </c>
      <c r="O4760" s="52" t="str">
        <f t="shared" si="756"/>
        <v/>
      </c>
      <c r="P4760" s="88">
        <f t="shared" si="757"/>
        <v>0</v>
      </c>
      <c r="Q4760" s="88">
        <f t="shared" si="758"/>
        <v>0</v>
      </c>
      <c r="R4760" s="88" t="e">
        <f>-IF(Tabla14[[#This Row],[DIAS HABILES O MORA]]&lt;0,(Tabla14[[#This Row],[VALOR PRESTAMO]]*Tabla14[[#This Row],[% INTERES ]]/30*U4760))+Tabla14[[#This Row],[VALOR CUOTAS]]</f>
        <v>#VALUE!</v>
      </c>
      <c r="S4760" s="88">
        <f>-IF(Tabla14[[#This Row],[DIAS HABILES O MORA]]&lt;0,(Tabla14[[#This Row],[VALOR PRESTAMO]]*Tabla14[[#This Row],[% INTERES ]]/30*U4760))</f>
        <v>0</v>
      </c>
      <c r="T4760" s="53" t="e">
        <f>Tabla14[[#This Row],[DEUDA CAPITAL]]+Tabla14[[#This Row],[INTERES  CUOTA]]</f>
        <v>#NUM!</v>
      </c>
      <c r="U4760" s="61" t="str">
        <f t="shared" si="759"/>
        <v/>
      </c>
    </row>
    <row r="4761" spans="9:21" ht="24.75" customHeight="1" x14ac:dyDescent="0.35">
      <c r="I4761" s="42">
        <f t="shared" si="750"/>
        <v>0</v>
      </c>
      <c r="J4761" s="65" t="e">
        <f t="shared" si="751"/>
        <v>#NUM!</v>
      </c>
      <c r="K4761" s="83" t="e">
        <f t="shared" si="752"/>
        <v>#NUM!</v>
      </c>
      <c r="L4761" s="83">
        <f t="shared" si="753"/>
        <v>0</v>
      </c>
      <c r="M4761" s="110" t="str">
        <f t="shared" si="754"/>
        <v/>
      </c>
      <c r="N4761" s="51" t="str">
        <f t="shared" si="755"/>
        <v/>
      </c>
      <c r="O4761" s="52" t="str">
        <f t="shared" si="756"/>
        <v/>
      </c>
      <c r="P4761" s="88">
        <f t="shared" si="757"/>
        <v>0</v>
      </c>
      <c r="Q4761" s="88">
        <f t="shared" si="758"/>
        <v>0</v>
      </c>
      <c r="R4761" s="88" t="e">
        <f>-IF(Tabla14[[#This Row],[DIAS HABILES O MORA]]&lt;0,(Tabla14[[#This Row],[VALOR PRESTAMO]]*Tabla14[[#This Row],[% INTERES ]]/30*U4761))+Tabla14[[#This Row],[VALOR CUOTAS]]</f>
        <v>#VALUE!</v>
      </c>
      <c r="S4761" s="88">
        <f>-IF(Tabla14[[#This Row],[DIAS HABILES O MORA]]&lt;0,(Tabla14[[#This Row],[VALOR PRESTAMO]]*Tabla14[[#This Row],[% INTERES ]]/30*U4761))</f>
        <v>0</v>
      </c>
      <c r="T4761" s="53" t="e">
        <f>Tabla14[[#This Row],[DEUDA CAPITAL]]+Tabla14[[#This Row],[INTERES  CUOTA]]</f>
        <v>#NUM!</v>
      </c>
      <c r="U4761" s="61" t="str">
        <f t="shared" si="759"/>
        <v/>
      </c>
    </row>
    <row r="4762" spans="9:21" ht="24.75" customHeight="1" x14ac:dyDescent="0.35">
      <c r="I4762" s="42">
        <f t="shared" si="750"/>
        <v>0</v>
      </c>
      <c r="J4762" s="65" t="e">
        <f t="shared" si="751"/>
        <v>#NUM!</v>
      </c>
      <c r="K4762" s="83" t="e">
        <f t="shared" si="752"/>
        <v>#NUM!</v>
      </c>
      <c r="L4762" s="83">
        <f t="shared" si="753"/>
        <v>0</v>
      </c>
      <c r="M4762" s="110" t="str">
        <f t="shared" si="754"/>
        <v/>
      </c>
      <c r="N4762" s="51" t="str">
        <f t="shared" si="755"/>
        <v/>
      </c>
      <c r="O4762" s="52" t="str">
        <f t="shared" si="756"/>
        <v/>
      </c>
      <c r="P4762" s="88">
        <f t="shared" si="757"/>
        <v>0</v>
      </c>
      <c r="Q4762" s="88">
        <f t="shared" si="758"/>
        <v>0</v>
      </c>
      <c r="R4762" s="88" t="e">
        <f>-IF(Tabla14[[#This Row],[DIAS HABILES O MORA]]&lt;0,(Tabla14[[#This Row],[VALOR PRESTAMO]]*Tabla14[[#This Row],[% INTERES ]]/30*U4762))+Tabla14[[#This Row],[VALOR CUOTAS]]</f>
        <v>#VALUE!</v>
      </c>
      <c r="S4762" s="88">
        <f>-IF(Tabla14[[#This Row],[DIAS HABILES O MORA]]&lt;0,(Tabla14[[#This Row],[VALOR PRESTAMO]]*Tabla14[[#This Row],[% INTERES ]]/30*U4762))</f>
        <v>0</v>
      </c>
      <c r="T4762" s="53" t="e">
        <f>Tabla14[[#This Row],[DEUDA CAPITAL]]+Tabla14[[#This Row],[INTERES  CUOTA]]</f>
        <v>#NUM!</v>
      </c>
      <c r="U4762" s="61" t="str">
        <f t="shared" si="759"/>
        <v/>
      </c>
    </row>
    <row r="4763" spans="9:21" ht="24.75" customHeight="1" x14ac:dyDescent="0.35">
      <c r="I4763" s="42">
        <f t="shared" si="750"/>
        <v>0</v>
      </c>
      <c r="J4763" s="65" t="e">
        <f t="shared" si="751"/>
        <v>#NUM!</v>
      </c>
      <c r="K4763" s="83" t="e">
        <f t="shared" si="752"/>
        <v>#NUM!</v>
      </c>
      <c r="L4763" s="83">
        <f t="shared" si="753"/>
        <v>0</v>
      </c>
      <c r="M4763" s="110" t="str">
        <f t="shared" si="754"/>
        <v/>
      </c>
      <c r="N4763" s="51" t="str">
        <f t="shared" si="755"/>
        <v/>
      </c>
      <c r="O4763" s="52" t="str">
        <f t="shared" si="756"/>
        <v/>
      </c>
      <c r="P4763" s="88">
        <f t="shared" si="757"/>
        <v>0</v>
      </c>
      <c r="Q4763" s="88">
        <f t="shared" si="758"/>
        <v>0</v>
      </c>
      <c r="R4763" s="88" t="e">
        <f>-IF(Tabla14[[#This Row],[DIAS HABILES O MORA]]&lt;0,(Tabla14[[#This Row],[VALOR PRESTAMO]]*Tabla14[[#This Row],[% INTERES ]]/30*U4763))+Tabla14[[#This Row],[VALOR CUOTAS]]</f>
        <v>#VALUE!</v>
      </c>
      <c r="S4763" s="88">
        <f>-IF(Tabla14[[#This Row],[DIAS HABILES O MORA]]&lt;0,(Tabla14[[#This Row],[VALOR PRESTAMO]]*Tabla14[[#This Row],[% INTERES ]]/30*U4763))</f>
        <v>0</v>
      </c>
      <c r="T4763" s="53" t="e">
        <f>Tabla14[[#This Row],[DEUDA CAPITAL]]+Tabla14[[#This Row],[INTERES  CUOTA]]</f>
        <v>#NUM!</v>
      </c>
      <c r="U4763" s="61" t="str">
        <f t="shared" si="759"/>
        <v/>
      </c>
    </row>
    <row r="4764" spans="9:21" ht="24.75" customHeight="1" x14ac:dyDescent="0.35">
      <c r="I4764" s="42">
        <f t="shared" si="750"/>
        <v>0</v>
      </c>
      <c r="J4764" s="65" t="e">
        <f t="shared" si="751"/>
        <v>#NUM!</v>
      </c>
      <c r="K4764" s="83" t="e">
        <f t="shared" si="752"/>
        <v>#NUM!</v>
      </c>
      <c r="L4764" s="83">
        <f t="shared" si="753"/>
        <v>0</v>
      </c>
      <c r="M4764" s="110" t="str">
        <f t="shared" si="754"/>
        <v/>
      </c>
      <c r="N4764" s="51" t="str">
        <f t="shared" si="755"/>
        <v/>
      </c>
      <c r="O4764" s="52" t="str">
        <f t="shared" si="756"/>
        <v/>
      </c>
      <c r="P4764" s="88">
        <f t="shared" si="757"/>
        <v>0</v>
      </c>
      <c r="Q4764" s="88">
        <f t="shared" si="758"/>
        <v>0</v>
      </c>
      <c r="R4764" s="88" t="e">
        <f>-IF(Tabla14[[#This Row],[DIAS HABILES O MORA]]&lt;0,(Tabla14[[#This Row],[VALOR PRESTAMO]]*Tabla14[[#This Row],[% INTERES ]]/30*U4764))+Tabla14[[#This Row],[VALOR CUOTAS]]</f>
        <v>#VALUE!</v>
      </c>
      <c r="S4764" s="88">
        <f>-IF(Tabla14[[#This Row],[DIAS HABILES O MORA]]&lt;0,(Tabla14[[#This Row],[VALOR PRESTAMO]]*Tabla14[[#This Row],[% INTERES ]]/30*U4764))</f>
        <v>0</v>
      </c>
      <c r="T4764" s="53" t="e">
        <f>Tabla14[[#This Row],[DEUDA CAPITAL]]+Tabla14[[#This Row],[INTERES  CUOTA]]</f>
        <v>#NUM!</v>
      </c>
      <c r="U4764" s="61" t="str">
        <f t="shared" si="759"/>
        <v/>
      </c>
    </row>
    <row r="4765" spans="9:21" ht="24.75" customHeight="1" x14ac:dyDescent="0.35">
      <c r="I4765" s="42">
        <f t="shared" si="750"/>
        <v>0</v>
      </c>
      <c r="J4765" s="65" t="e">
        <f t="shared" si="751"/>
        <v>#NUM!</v>
      </c>
      <c r="K4765" s="83" t="e">
        <f t="shared" si="752"/>
        <v>#NUM!</v>
      </c>
      <c r="L4765" s="83">
        <f t="shared" si="753"/>
        <v>0</v>
      </c>
      <c r="M4765" s="110" t="str">
        <f t="shared" si="754"/>
        <v/>
      </c>
      <c r="N4765" s="51" t="str">
        <f t="shared" si="755"/>
        <v/>
      </c>
      <c r="O4765" s="52" t="str">
        <f t="shared" si="756"/>
        <v/>
      </c>
      <c r="P4765" s="88">
        <f t="shared" si="757"/>
        <v>0</v>
      </c>
      <c r="Q4765" s="88">
        <f t="shared" si="758"/>
        <v>0</v>
      </c>
      <c r="R4765" s="88" t="e">
        <f>-IF(Tabla14[[#This Row],[DIAS HABILES O MORA]]&lt;0,(Tabla14[[#This Row],[VALOR PRESTAMO]]*Tabla14[[#This Row],[% INTERES ]]/30*U4765))+Tabla14[[#This Row],[VALOR CUOTAS]]</f>
        <v>#VALUE!</v>
      </c>
      <c r="S4765" s="88">
        <f>-IF(Tabla14[[#This Row],[DIAS HABILES O MORA]]&lt;0,(Tabla14[[#This Row],[VALOR PRESTAMO]]*Tabla14[[#This Row],[% INTERES ]]/30*U4765))</f>
        <v>0</v>
      </c>
      <c r="T4765" s="53" t="e">
        <f>Tabla14[[#This Row],[DEUDA CAPITAL]]+Tabla14[[#This Row],[INTERES  CUOTA]]</f>
        <v>#NUM!</v>
      </c>
      <c r="U4765" s="61" t="str">
        <f t="shared" si="759"/>
        <v/>
      </c>
    </row>
    <row r="4766" spans="9:21" ht="24.75" customHeight="1" x14ac:dyDescent="0.35">
      <c r="I4766" s="42">
        <f t="shared" si="750"/>
        <v>0</v>
      </c>
      <c r="J4766" s="65" t="e">
        <f t="shared" si="751"/>
        <v>#NUM!</v>
      </c>
      <c r="K4766" s="83" t="e">
        <f t="shared" si="752"/>
        <v>#NUM!</v>
      </c>
      <c r="L4766" s="83">
        <f t="shared" si="753"/>
        <v>0</v>
      </c>
      <c r="M4766" s="110" t="str">
        <f t="shared" si="754"/>
        <v/>
      </c>
      <c r="N4766" s="51" t="str">
        <f t="shared" si="755"/>
        <v/>
      </c>
      <c r="O4766" s="52" t="str">
        <f t="shared" si="756"/>
        <v/>
      </c>
      <c r="P4766" s="88">
        <f t="shared" si="757"/>
        <v>0</v>
      </c>
      <c r="Q4766" s="88">
        <f t="shared" si="758"/>
        <v>0</v>
      </c>
      <c r="R4766" s="88" t="e">
        <f>-IF(Tabla14[[#This Row],[DIAS HABILES O MORA]]&lt;0,(Tabla14[[#This Row],[VALOR PRESTAMO]]*Tabla14[[#This Row],[% INTERES ]]/30*U4766))+Tabla14[[#This Row],[VALOR CUOTAS]]</f>
        <v>#VALUE!</v>
      </c>
      <c r="S4766" s="88">
        <f>-IF(Tabla14[[#This Row],[DIAS HABILES O MORA]]&lt;0,(Tabla14[[#This Row],[VALOR PRESTAMO]]*Tabla14[[#This Row],[% INTERES ]]/30*U4766))</f>
        <v>0</v>
      </c>
      <c r="T4766" s="53" t="e">
        <f>Tabla14[[#This Row],[DEUDA CAPITAL]]+Tabla14[[#This Row],[INTERES  CUOTA]]</f>
        <v>#NUM!</v>
      </c>
      <c r="U4766" s="61" t="str">
        <f t="shared" si="759"/>
        <v/>
      </c>
    </row>
    <row r="4767" spans="9:21" ht="24.75" customHeight="1" x14ac:dyDescent="0.35">
      <c r="I4767" s="42">
        <f t="shared" si="750"/>
        <v>0</v>
      </c>
      <c r="J4767" s="65" t="e">
        <f t="shared" si="751"/>
        <v>#NUM!</v>
      </c>
      <c r="K4767" s="83" t="e">
        <f t="shared" si="752"/>
        <v>#NUM!</v>
      </c>
      <c r="L4767" s="83">
        <f t="shared" si="753"/>
        <v>0</v>
      </c>
      <c r="M4767" s="110" t="str">
        <f t="shared" si="754"/>
        <v/>
      </c>
      <c r="N4767" s="51" t="str">
        <f t="shared" si="755"/>
        <v/>
      </c>
      <c r="O4767" s="52" t="str">
        <f t="shared" si="756"/>
        <v/>
      </c>
      <c r="P4767" s="88">
        <f t="shared" si="757"/>
        <v>0</v>
      </c>
      <c r="Q4767" s="88">
        <f t="shared" si="758"/>
        <v>0</v>
      </c>
      <c r="R4767" s="88" t="e">
        <f>-IF(Tabla14[[#This Row],[DIAS HABILES O MORA]]&lt;0,(Tabla14[[#This Row],[VALOR PRESTAMO]]*Tabla14[[#This Row],[% INTERES ]]/30*U4767))+Tabla14[[#This Row],[VALOR CUOTAS]]</f>
        <v>#VALUE!</v>
      </c>
      <c r="S4767" s="88">
        <f>-IF(Tabla14[[#This Row],[DIAS HABILES O MORA]]&lt;0,(Tabla14[[#This Row],[VALOR PRESTAMO]]*Tabla14[[#This Row],[% INTERES ]]/30*U4767))</f>
        <v>0</v>
      </c>
      <c r="T4767" s="53" t="e">
        <f>Tabla14[[#This Row],[DEUDA CAPITAL]]+Tabla14[[#This Row],[INTERES  CUOTA]]</f>
        <v>#NUM!</v>
      </c>
      <c r="U4767" s="61" t="str">
        <f t="shared" si="759"/>
        <v/>
      </c>
    </row>
    <row r="4768" spans="9:21" ht="24.75" customHeight="1" x14ac:dyDescent="0.35">
      <c r="I4768" s="42">
        <f t="shared" si="750"/>
        <v>0</v>
      </c>
      <c r="J4768" s="65" t="e">
        <f t="shared" si="751"/>
        <v>#NUM!</v>
      </c>
      <c r="K4768" s="83" t="e">
        <f t="shared" si="752"/>
        <v>#NUM!</v>
      </c>
      <c r="L4768" s="83">
        <f t="shared" si="753"/>
        <v>0</v>
      </c>
      <c r="M4768" s="110" t="str">
        <f t="shared" si="754"/>
        <v/>
      </c>
      <c r="N4768" s="51" t="str">
        <f t="shared" si="755"/>
        <v/>
      </c>
      <c r="O4768" s="52" t="str">
        <f t="shared" si="756"/>
        <v/>
      </c>
      <c r="P4768" s="88">
        <f t="shared" si="757"/>
        <v>0</v>
      </c>
      <c r="Q4768" s="88">
        <f t="shared" si="758"/>
        <v>0</v>
      </c>
      <c r="R4768" s="88" t="e">
        <f>-IF(Tabla14[[#This Row],[DIAS HABILES O MORA]]&lt;0,(Tabla14[[#This Row],[VALOR PRESTAMO]]*Tabla14[[#This Row],[% INTERES ]]/30*U4768))+Tabla14[[#This Row],[VALOR CUOTAS]]</f>
        <v>#VALUE!</v>
      </c>
      <c r="S4768" s="88">
        <f>-IF(Tabla14[[#This Row],[DIAS HABILES O MORA]]&lt;0,(Tabla14[[#This Row],[VALOR PRESTAMO]]*Tabla14[[#This Row],[% INTERES ]]/30*U4768))</f>
        <v>0</v>
      </c>
      <c r="T4768" s="53" t="e">
        <f>Tabla14[[#This Row],[DEUDA CAPITAL]]+Tabla14[[#This Row],[INTERES  CUOTA]]</f>
        <v>#NUM!</v>
      </c>
      <c r="U4768" s="61" t="str">
        <f t="shared" si="759"/>
        <v/>
      </c>
    </row>
    <row r="4769" spans="9:21" ht="24.75" customHeight="1" x14ac:dyDescent="0.35">
      <c r="I4769" s="42">
        <f t="shared" si="750"/>
        <v>0</v>
      </c>
      <c r="J4769" s="65" t="e">
        <f t="shared" si="751"/>
        <v>#NUM!</v>
      </c>
      <c r="K4769" s="83" t="e">
        <f t="shared" si="752"/>
        <v>#NUM!</v>
      </c>
      <c r="L4769" s="83">
        <f t="shared" si="753"/>
        <v>0</v>
      </c>
      <c r="M4769" s="110" t="str">
        <f t="shared" si="754"/>
        <v/>
      </c>
      <c r="N4769" s="51" t="str">
        <f t="shared" si="755"/>
        <v/>
      </c>
      <c r="O4769" s="52" t="str">
        <f t="shared" si="756"/>
        <v/>
      </c>
      <c r="P4769" s="88">
        <f t="shared" si="757"/>
        <v>0</v>
      </c>
      <c r="Q4769" s="88">
        <f t="shared" si="758"/>
        <v>0</v>
      </c>
      <c r="R4769" s="88" t="e">
        <f>-IF(Tabla14[[#This Row],[DIAS HABILES O MORA]]&lt;0,(Tabla14[[#This Row],[VALOR PRESTAMO]]*Tabla14[[#This Row],[% INTERES ]]/30*U4769))+Tabla14[[#This Row],[VALOR CUOTAS]]</f>
        <v>#VALUE!</v>
      </c>
      <c r="S4769" s="88">
        <f>-IF(Tabla14[[#This Row],[DIAS HABILES O MORA]]&lt;0,(Tabla14[[#This Row],[VALOR PRESTAMO]]*Tabla14[[#This Row],[% INTERES ]]/30*U4769))</f>
        <v>0</v>
      </c>
      <c r="T4769" s="53" t="e">
        <f>Tabla14[[#This Row],[DEUDA CAPITAL]]+Tabla14[[#This Row],[INTERES  CUOTA]]</f>
        <v>#NUM!</v>
      </c>
      <c r="U4769" s="61" t="str">
        <f t="shared" si="759"/>
        <v/>
      </c>
    </row>
    <row r="4770" spans="9:21" ht="24.75" customHeight="1" x14ac:dyDescent="0.35">
      <c r="I4770" s="42">
        <f t="shared" si="750"/>
        <v>0</v>
      </c>
      <c r="J4770" s="65" t="e">
        <f t="shared" si="751"/>
        <v>#NUM!</v>
      </c>
      <c r="K4770" s="83" t="e">
        <f t="shared" si="752"/>
        <v>#NUM!</v>
      </c>
      <c r="L4770" s="83">
        <f t="shared" si="753"/>
        <v>0</v>
      </c>
      <c r="M4770" s="110" t="str">
        <f t="shared" si="754"/>
        <v/>
      </c>
      <c r="N4770" s="51" t="str">
        <f t="shared" si="755"/>
        <v/>
      </c>
      <c r="O4770" s="52" t="str">
        <f t="shared" si="756"/>
        <v/>
      </c>
      <c r="P4770" s="88">
        <f t="shared" si="757"/>
        <v>0</v>
      </c>
      <c r="Q4770" s="88">
        <f t="shared" si="758"/>
        <v>0</v>
      </c>
      <c r="R4770" s="88" t="e">
        <f>-IF(Tabla14[[#This Row],[DIAS HABILES O MORA]]&lt;0,(Tabla14[[#This Row],[VALOR PRESTAMO]]*Tabla14[[#This Row],[% INTERES ]]/30*U4770))+Tabla14[[#This Row],[VALOR CUOTAS]]</f>
        <v>#VALUE!</v>
      </c>
      <c r="S4770" s="88">
        <f>-IF(Tabla14[[#This Row],[DIAS HABILES O MORA]]&lt;0,(Tabla14[[#This Row],[VALOR PRESTAMO]]*Tabla14[[#This Row],[% INTERES ]]/30*U4770))</f>
        <v>0</v>
      </c>
      <c r="T4770" s="53" t="e">
        <f>Tabla14[[#This Row],[DEUDA CAPITAL]]+Tabla14[[#This Row],[INTERES  CUOTA]]</f>
        <v>#NUM!</v>
      </c>
      <c r="U4770" s="61" t="str">
        <f t="shared" si="759"/>
        <v/>
      </c>
    </row>
    <row r="4771" spans="9:21" ht="24.75" customHeight="1" x14ac:dyDescent="0.35">
      <c r="I4771" s="42">
        <f t="shared" si="750"/>
        <v>0</v>
      </c>
      <c r="J4771" s="65" t="e">
        <f t="shared" si="751"/>
        <v>#NUM!</v>
      </c>
      <c r="K4771" s="83" t="e">
        <f t="shared" si="752"/>
        <v>#NUM!</v>
      </c>
      <c r="L4771" s="83">
        <f t="shared" si="753"/>
        <v>0</v>
      </c>
      <c r="M4771" s="110" t="str">
        <f t="shared" si="754"/>
        <v/>
      </c>
      <c r="N4771" s="51" t="str">
        <f t="shared" si="755"/>
        <v/>
      </c>
      <c r="O4771" s="52" t="str">
        <f t="shared" si="756"/>
        <v/>
      </c>
      <c r="P4771" s="88">
        <f t="shared" si="757"/>
        <v>0</v>
      </c>
      <c r="Q4771" s="88">
        <f t="shared" si="758"/>
        <v>0</v>
      </c>
      <c r="R4771" s="88" t="e">
        <f>-IF(Tabla14[[#This Row],[DIAS HABILES O MORA]]&lt;0,(Tabla14[[#This Row],[VALOR PRESTAMO]]*Tabla14[[#This Row],[% INTERES ]]/30*U4771))+Tabla14[[#This Row],[VALOR CUOTAS]]</f>
        <v>#VALUE!</v>
      </c>
      <c r="S4771" s="88">
        <f>-IF(Tabla14[[#This Row],[DIAS HABILES O MORA]]&lt;0,(Tabla14[[#This Row],[VALOR PRESTAMO]]*Tabla14[[#This Row],[% INTERES ]]/30*U4771))</f>
        <v>0</v>
      </c>
      <c r="T4771" s="53" t="e">
        <f>Tabla14[[#This Row],[DEUDA CAPITAL]]+Tabla14[[#This Row],[INTERES  CUOTA]]</f>
        <v>#NUM!</v>
      </c>
      <c r="U4771" s="61" t="str">
        <f t="shared" si="759"/>
        <v/>
      </c>
    </row>
    <row r="4772" spans="9:21" ht="24.75" customHeight="1" x14ac:dyDescent="0.35">
      <c r="I4772" s="42">
        <f t="shared" si="750"/>
        <v>0</v>
      </c>
      <c r="J4772" s="65" t="e">
        <f t="shared" si="751"/>
        <v>#NUM!</v>
      </c>
      <c r="K4772" s="83" t="e">
        <f t="shared" si="752"/>
        <v>#NUM!</v>
      </c>
      <c r="L4772" s="83">
        <f t="shared" si="753"/>
        <v>0</v>
      </c>
      <c r="M4772" s="110" t="str">
        <f t="shared" si="754"/>
        <v/>
      </c>
      <c r="N4772" s="51" t="str">
        <f t="shared" si="755"/>
        <v/>
      </c>
      <c r="O4772" s="52" t="str">
        <f t="shared" si="756"/>
        <v/>
      </c>
      <c r="P4772" s="88">
        <f t="shared" si="757"/>
        <v>0</v>
      </c>
      <c r="Q4772" s="88">
        <f t="shared" si="758"/>
        <v>0</v>
      </c>
      <c r="R4772" s="88" t="e">
        <f>-IF(Tabla14[[#This Row],[DIAS HABILES O MORA]]&lt;0,(Tabla14[[#This Row],[VALOR PRESTAMO]]*Tabla14[[#This Row],[% INTERES ]]/30*U4772))+Tabla14[[#This Row],[VALOR CUOTAS]]</f>
        <v>#VALUE!</v>
      </c>
      <c r="S4772" s="88">
        <f>-IF(Tabla14[[#This Row],[DIAS HABILES O MORA]]&lt;0,(Tabla14[[#This Row],[VALOR PRESTAMO]]*Tabla14[[#This Row],[% INTERES ]]/30*U4772))</f>
        <v>0</v>
      </c>
      <c r="T4772" s="53" t="e">
        <f>Tabla14[[#This Row],[DEUDA CAPITAL]]+Tabla14[[#This Row],[INTERES  CUOTA]]</f>
        <v>#NUM!</v>
      </c>
      <c r="U4772" s="61" t="str">
        <f t="shared" si="759"/>
        <v/>
      </c>
    </row>
    <row r="4773" spans="9:21" ht="24.75" customHeight="1" x14ac:dyDescent="0.35">
      <c r="I4773" s="42">
        <f t="shared" si="750"/>
        <v>0</v>
      </c>
      <c r="J4773" s="65" t="e">
        <f t="shared" si="751"/>
        <v>#NUM!</v>
      </c>
      <c r="K4773" s="83" t="e">
        <f t="shared" si="752"/>
        <v>#NUM!</v>
      </c>
      <c r="L4773" s="83">
        <f t="shared" si="753"/>
        <v>0</v>
      </c>
      <c r="M4773" s="110" t="str">
        <f t="shared" si="754"/>
        <v/>
      </c>
      <c r="N4773" s="51" t="str">
        <f t="shared" si="755"/>
        <v/>
      </c>
      <c r="O4773" s="52" t="str">
        <f t="shared" si="756"/>
        <v/>
      </c>
      <c r="P4773" s="88">
        <f t="shared" si="757"/>
        <v>0</v>
      </c>
      <c r="Q4773" s="88">
        <f t="shared" si="758"/>
        <v>0</v>
      </c>
      <c r="R4773" s="88" t="e">
        <f>-IF(Tabla14[[#This Row],[DIAS HABILES O MORA]]&lt;0,(Tabla14[[#This Row],[VALOR PRESTAMO]]*Tabla14[[#This Row],[% INTERES ]]/30*U4773))+Tabla14[[#This Row],[VALOR CUOTAS]]</f>
        <v>#VALUE!</v>
      </c>
      <c r="S4773" s="88">
        <f>-IF(Tabla14[[#This Row],[DIAS HABILES O MORA]]&lt;0,(Tabla14[[#This Row],[VALOR PRESTAMO]]*Tabla14[[#This Row],[% INTERES ]]/30*U4773))</f>
        <v>0</v>
      </c>
      <c r="T4773" s="53" t="e">
        <f>Tabla14[[#This Row],[DEUDA CAPITAL]]+Tabla14[[#This Row],[INTERES  CUOTA]]</f>
        <v>#NUM!</v>
      </c>
      <c r="U4773" s="61" t="str">
        <f t="shared" si="759"/>
        <v/>
      </c>
    </row>
    <row r="4774" spans="9:21" ht="24.75" customHeight="1" x14ac:dyDescent="0.35">
      <c r="I4774" s="42">
        <f t="shared" si="750"/>
        <v>0</v>
      </c>
      <c r="J4774" s="65" t="e">
        <f t="shared" si="751"/>
        <v>#NUM!</v>
      </c>
      <c r="K4774" s="83" t="e">
        <f t="shared" si="752"/>
        <v>#NUM!</v>
      </c>
      <c r="L4774" s="83">
        <f t="shared" si="753"/>
        <v>0</v>
      </c>
      <c r="M4774" s="110" t="str">
        <f t="shared" si="754"/>
        <v/>
      </c>
      <c r="N4774" s="51" t="str">
        <f t="shared" si="755"/>
        <v/>
      </c>
      <c r="O4774" s="52" t="str">
        <f t="shared" si="756"/>
        <v/>
      </c>
      <c r="P4774" s="88">
        <f t="shared" si="757"/>
        <v>0</v>
      </c>
      <c r="Q4774" s="88">
        <f t="shared" si="758"/>
        <v>0</v>
      </c>
      <c r="R4774" s="88" t="e">
        <f>-IF(Tabla14[[#This Row],[DIAS HABILES O MORA]]&lt;0,(Tabla14[[#This Row],[VALOR PRESTAMO]]*Tabla14[[#This Row],[% INTERES ]]/30*U4774))+Tabla14[[#This Row],[VALOR CUOTAS]]</f>
        <v>#VALUE!</v>
      </c>
      <c r="S4774" s="88">
        <f>-IF(Tabla14[[#This Row],[DIAS HABILES O MORA]]&lt;0,(Tabla14[[#This Row],[VALOR PRESTAMO]]*Tabla14[[#This Row],[% INTERES ]]/30*U4774))</f>
        <v>0</v>
      </c>
      <c r="T4774" s="53" t="e">
        <f>Tabla14[[#This Row],[DEUDA CAPITAL]]+Tabla14[[#This Row],[INTERES  CUOTA]]</f>
        <v>#NUM!</v>
      </c>
      <c r="U4774" s="61" t="str">
        <f t="shared" si="759"/>
        <v/>
      </c>
    </row>
    <row r="4775" spans="9:21" ht="24.75" customHeight="1" x14ac:dyDescent="0.35">
      <c r="I4775" s="42">
        <f t="shared" si="750"/>
        <v>0</v>
      </c>
      <c r="J4775" s="65" t="e">
        <f t="shared" si="751"/>
        <v>#NUM!</v>
      </c>
      <c r="K4775" s="83" t="e">
        <f t="shared" si="752"/>
        <v>#NUM!</v>
      </c>
      <c r="L4775" s="83">
        <f t="shared" si="753"/>
        <v>0</v>
      </c>
      <c r="M4775" s="110" t="str">
        <f t="shared" si="754"/>
        <v/>
      </c>
      <c r="N4775" s="51" t="str">
        <f t="shared" si="755"/>
        <v/>
      </c>
      <c r="O4775" s="52" t="str">
        <f t="shared" si="756"/>
        <v/>
      </c>
      <c r="P4775" s="88">
        <f t="shared" si="757"/>
        <v>0</v>
      </c>
      <c r="Q4775" s="88">
        <f t="shared" si="758"/>
        <v>0</v>
      </c>
      <c r="R4775" s="88" t="e">
        <f>-IF(Tabla14[[#This Row],[DIAS HABILES O MORA]]&lt;0,(Tabla14[[#This Row],[VALOR PRESTAMO]]*Tabla14[[#This Row],[% INTERES ]]/30*U4775))+Tabla14[[#This Row],[VALOR CUOTAS]]</f>
        <v>#VALUE!</v>
      </c>
      <c r="S4775" s="88">
        <f>-IF(Tabla14[[#This Row],[DIAS HABILES O MORA]]&lt;0,(Tabla14[[#This Row],[VALOR PRESTAMO]]*Tabla14[[#This Row],[% INTERES ]]/30*U4775))</f>
        <v>0</v>
      </c>
      <c r="T4775" s="53" t="e">
        <f>Tabla14[[#This Row],[DEUDA CAPITAL]]+Tabla14[[#This Row],[INTERES  CUOTA]]</f>
        <v>#NUM!</v>
      </c>
      <c r="U4775" s="61" t="str">
        <f t="shared" si="759"/>
        <v/>
      </c>
    </row>
    <row r="4776" spans="9:21" ht="24.75" customHeight="1" x14ac:dyDescent="0.35">
      <c r="I4776" s="42">
        <f t="shared" si="750"/>
        <v>0</v>
      </c>
      <c r="J4776" s="65" t="e">
        <f t="shared" si="751"/>
        <v>#NUM!</v>
      </c>
      <c r="K4776" s="83" t="e">
        <f t="shared" si="752"/>
        <v>#NUM!</v>
      </c>
      <c r="L4776" s="83">
        <f t="shared" si="753"/>
        <v>0</v>
      </c>
      <c r="M4776" s="110" t="str">
        <f t="shared" si="754"/>
        <v/>
      </c>
      <c r="N4776" s="51" t="str">
        <f t="shared" si="755"/>
        <v/>
      </c>
      <c r="O4776" s="52" t="str">
        <f t="shared" si="756"/>
        <v/>
      </c>
      <c r="P4776" s="88">
        <f t="shared" si="757"/>
        <v>0</v>
      </c>
      <c r="Q4776" s="88">
        <f t="shared" si="758"/>
        <v>0</v>
      </c>
      <c r="R4776" s="88" t="e">
        <f>-IF(Tabla14[[#This Row],[DIAS HABILES O MORA]]&lt;0,(Tabla14[[#This Row],[VALOR PRESTAMO]]*Tabla14[[#This Row],[% INTERES ]]/30*U4776))+Tabla14[[#This Row],[VALOR CUOTAS]]</f>
        <v>#VALUE!</v>
      </c>
      <c r="S4776" s="88">
        <f>-IF(Tabla14[[#This Row],[DIAS HABILES O MORA]]&lt;0,(Tabla14[[#This Row],[VALOR PRESTAMO]]*Tabla14[[#This Row],[% INTERES ]]/30*U4776))</f>
        <v>0</v>
      </c>
      <c r="T4776" s="53" t="e">
        <f>Tabla14[[#This Row],[DEUDA CAPITAL]]+Tabla14[[#This Row],[INTERES  CUOTA]]</f>
        <v>#NUM!</v>
      </c>
      <c r="U4776" s="61" t="str">
        <f t="shared" si="759"/>
        <v/>
      </c>
    </row>
    <row r="4777" spans="9:21" ht="24.75" customHeight="1" x14ac:dyDescent="0.35">
      <c r="I4777" s="42">
        <f t="shared" si="750"/>
        <v>0</v>
      </c>
      <c r="J4777" s="65" t="e">
        <f t="shared" si="751"/>
        <v>#NUM!</v>
      </c>
      <c r="K4777" s="83" t="e">
        <f t="shared" si="752"/>
        <v>#NUM!</v>
      </c>
      <c r="L4777" s="83">
        <f t="shared" si="753"/>
        <v>0</v>
      </c>
      <c r="M4777" s="110" t="str">
        <f t="shared" si="754"/>
        <v/>
      </c>
      <c r="N4777" s="51" t="str">
        <f t="shared" si="755"/>
        <v/>
      </c>
      <c r="O4777" s="52" t="str">
        <f t="shared" si="756"/>
        <v/>
      </c>
      <c r="P4777" s="88">
        <f t="shared" si="757"/>
        <v>0</v>
      </c>
      <c r="Q4777" s="88">
        <f t="shared" si="758"/>
        <v>0</v>
      </c>
      <c r="R4777" s="88" t="e">
        <f>-IF(Tabla14[[#This Row],[DIAS HABILES O MORA]]&lt;0,(Tabla14[[#This Row],[VALOR PRESTAMO]]*Tabla14[[#This Row],[% INTERES ]]/30*U4777))+Tabla14[[#This Row],[VALOR CUOTAS]]</f>
        <v>#VALUE!</v>
      </c>
      <c r="S4777" s="88">
        <f>-IF(Tabla14[[#This Row],[DIAS HABILES O MORA]]&lt;0,(Tabla14[[#This Row],[VALOR PRESTAMO]]*Tabla14[[#This Row],[% INTERES ]]/30*U4777))</f>
        <v>0</v>
      </c>
      <c r="T4777" s="53" t="e">
        <f>Tabla14[[#This Row],[DEUDA CAPITAL]]+Tabla14[[#This Row],[INTERES  CUOTA]]</f>
        <v>#NUM!</v>
      </c>
      <c r="U4777" s="61" t="str">
        <f t="shared" si="759"/>
        <v/>
      </c>
    </row>
    <row r="4778" spans="9:21" ht="24.75" customHeight="1" x14ac:dyDescent="0.35">
      <c r="I4778" s="42">
        <f t="shared" si="750"/>
        <v>0</v>
      </c>
      <c r="J4778" s="65" t="e">
        <f t="shared" si="751"/>
        <v>#NUM!</v>
      </c>
      <c r="K4778" s="83" t="e">
        <f t="shared" si="752"/>
        <v>#NUM!</v>
      </c>
      <c r="L4778" s="83">
        <f t="shared" si="753"/>
        <v>0</v>
      </c>
      <c r="M4778" s="110" t="str">
        <f t="shared" si="754"/>
        <v/>
      </c>
      <c r="N4778" s="51" t="str">
        <f t="shared" si="755"/>
        <v/>
      </c>
      <c r="O4778" s="52" t="str">
        <f t="shared" si="756"/>
        <v/>
      </c>
      <c r="P4778" s="88">
        <f t="shared" si="757"/>
        <v>0</v>
      </c>
      <c r="Q4778" s="88">
        <f t="shared" si="758"/>
        <v>0</v>
      </c>
      <c r="R4778" s="88" t="e">
        <f>-IF(Tabla14[[#This Row],[DIAS HABILES O MORA]]&lt;0,(Tabla14[[#This Row],[VALOR PRESTAMO]]*Tabla14[[#This Row],[% INTERES ]]/30*U4778))+Tabla14[[#This Row],[VALOR CUOTAS]]</f>
        <v>#VALUE!</v>
      </c>
      <c r="S4778" s="88">
        <f>-IF(Tabla14[[#This Row],[DIAS HABILES O MORA]]&lt;0,(Tabla14[[#This Row],[VALOR PRESTAMO]]*Tabla14[[#This Row],[% INTERES ]]/30*U4778))</f>
        <v>0</v>
      </c>
      <c r="T4778" s="53" t="e">
        <f>Tabla14[[#This Row],[DEUDA CAPITAL]]+Tabla14[[#This Row],[INTERES  CUOTA]]</f>
        <v>#NUM!</v>
      </c>
      <c r="U4778" s="61" t="str">
        <f t="shared" si="759"/>
        <v/>
      </c>
    </row>
    <row r="4779" spans="9:21" ht="24.75" customHeight="1" x14ac:dyDescent="0.35">
      <c r="I4779" s="42">
        <f t="shared" si="750"/>
        <v>0</v>
      </c>
      <c r="J4779" s="65" t="e">
        <f t="shared" si="751"/>
        <v>#NUM!</v>
      </c>
      <c r="K4779" s="83" t="e">
        <f t="shared" si="752"/>
        <v>#NUM!</v>
      </c>
      <c r="L4779" s="83">
        <f t="shared" si="753"/>
        <v>0</v>
      </c>
      <c r="M4779" s="110" t="str">
        <f t="shared" si="754"/>
        <v/>
      </c>
      <c r="N4779" s="51" t="str">
        <f t="shared" si="755"/>
        <v/>
      </c>
      <c r="O4779" s="52" t="str">
        <f t="shared" si="756"/>
        <v/>
      </c>
      <c r="P4779" s="88">
        <f t="shared" si="757"/>
        <v>0</v>
      </c>
      <c r="Q4779" s="88">
        <f t="shared" si="758"/>
        <v>0</v>
      </c>
      <c r="R4779" s="88" t="e">
        <f>-IF(Tabla14[[#This Row],[DIAS HABILES O MORA]]&lt;0,(Tabla14[[#This Row],[VALOR PRESTAMO]]*Tabla14[[#This Row],[% INTERES ]]/30*U4779))+Tabla14[[#This Row],[VALOR CUOTAS]]</f>
        <v>#VALUE!</v>
      </c>
      <c r="S4779" s="88">
        <f>-IF(Tabla14[[#This Row],[DIAS HABILES O MORA]]&lt;0,(Tabla14[[#This Row],[VALOR PRESTAMO]]*Tabla14[[#This Row],[% INTERES ]]/30*U4779))</f>
        <v>0</v>
      </c>
      <c r="T4779" s="53" t="e">
        <f>Tabla14[[#This Row],[DEUDA CAPITAL]]+Tabla14[[#This Row],[INTERES  CUOTA]]</f>
        <v>#NUM!</v>
      </c>
      <c r="U4779" s="61" t="str">
        <f t="shared" si="759"/>
        <v/>
      </c>
    </row>
    <row r="4780" spans="9:21" ht="24.75" customHeight="1" x14ac:dyDescent="0.35">
      <c r="I4780" s="42">
        <f t="shared" si="750"/>
        <v>0</v>
      </c>
      <c r="J4780" s="65" t="e">
        <f t="shared" si="751"/>
        <v>#NUM!</v>
      </c>
      <c r="K4780" s="83" t="e">
        <f t="shared" si="752"/>
        <v>#NUM!</v>
      </c>
      <c r="L4780" s="83">
        <f t="shared" si="753"/>
        <v>0</v>
      </c>
      <c r="M4780" s="110" t="str">
        <f t="shared" si="754"/>
        <v/>
      </c>
      <c r="N4780" s="51" t="str">
        <f t="shared" si="755"/>
        <v/>
      </c>
      <c r="O4780" s="52" t="str">
        <f t="shared" si="756"/>
        <v/>
      </c>
      <c r="P4780" s="88">
        <f t="shared" si="757"/>
        <v>0</v>
      </c>
      <c r="Q4780" s="88">
        <f t="shared" si="758"/>
        <v>0</v>
      </c>
      <c r="R4780" s="88" t="e">
        <f>-IF(Tabla14[[#This Row],[DIAS HABILES O MORA]]&lt;0,(Tabla14[[#This Row],[VALOR PRESTAMO]]*Tabla14[[#This Row],[% INTERES ]]/30*U4780))+Tabla14[[#This Row],[VALOR CUOTAS]]</f>
        <v>#VALUE!</v>
      </c>
      <c r="S4780" s="88">
        <f>-IF(Tabla14[[#This Row],[DIAS HABILES O MORA]]&lt;0,(Tabla14[[#This Row],[VALOR PRESTAMO]]*Tabla14[[#This Row],[% INTERES ]]/30*U4780))</f>
        <v>0</v>
      </c>
      <c r="T4780" s="53" t="e">
        <f>Tabla14[[#This Row],[DEUDA CAPITAL]]+Tabla14[[#This Row],[INTERES  CUOTA]]</f>
        <v>#NUM!</v>
      </c>
      <c r="U4780" s="61" t="str">
        <f t="shared" si="759"/>
        <v/>
      </c>
    </row>
    <row r="4781" spans="9:21" ht="24.75" customHeight="1" x14ac:dyDescent="0.35">
      <c r="I4781" s="42">
        <f t="shared" si="750"/>
        <v>0</v>
      </c>
      <c r="J4781" s="65" t="e">
        <f t="shared" si="751"/>
        <v>#NUM!</v>
      </c>
      <c r="K4781" s="83" t="e">
        <f t="shared" si="752"/>
        <v>#NUM!</v>
      </c>
      <c r="L4781" s="83">
        <f t="shared" si="753"/>
        <v>0</v>
      </c>
      <c r="M4781" s="110" t="str">
        <f t="shared" si="754"/>
        <v/>
      </c>
      <c r="N4781" s="51" t="str">
        <f t="shared" si="755"/>
        <v/>
      </c>
      <c r="O4781" s="52" t="str">
        <f t="shared" si="756"/>
        <v/>
      </c>
      <c r="P4781" s="88">
        <f t="shared" si="757"/>
        <v>0</v>
      </c>
      <c r="Q4781" s="88">
        <f t="shared" si="758"/>
        <v>0</v>
      </c>
      <c r="R4781" s="88" t="e">
        <f>-IF(Tabla14[[#This Row],[DIAS HABILES O MORA]]&lt;0,(Tabla14[[#This Row],[VALOR PRESTAMO]]*Tabla14[[#This Row],[% INTERES ]]/30*U4781))+Tabla14[[#This Row],[VALOR CUOTAS]]</f>
        <v>#VALUE!</v>
      </c>
      <c r="S4781" s="88">
        <f>-IF(Tabla14[[#This Row],[DIAS HABILES O MORA]]&lt;0,(Tabla14[[#This Row],[VALOR PRESTAMO]]*Tabla14[[#This Row],[% INTERES ]]/30*U4781))</f>
        <v>0</v>
      </c>
      <c r="T4781" s="53" t="e">
        <f>Tabla14[[#This Row],[DEUDA CAPITAL]]+Tabla14[[#This Row],[INTERES  CUOTA]]</f>
        <v>#NUM!</v>
      </c>
      <c r="U4781" s="61" t="str">
        <f t="shared" si="759"/>
        <v/>
      </c>
    </row>
    <row r="4782" spans="9:21" ht="24.75" customHeight="1" x14ac:dyDescent="0.35">
      <c r="I4782" s="42">
        <f t="shared" si="750"/>
        <v>0</v>
      </c>
      <c r="J4782" s="65" t="e">
        <f t="shared" si="751"/>
        <v>#NUM!</v>
      </c>
      <c r="K4782" s="83" t="e">
        <f t="shared" si="752"/>
        <v>#NUM!</v>
      </c>
      <c r="L4782" s="83">
        <f t="shared" si="753"/>
        <v>0</v>
      </c>
      <c r="M4782" s="110" t="str">
        <f t="shared" si="754"/>
        <v/>
      </c>
      <c r="N4782" s="51" t="str">
        <f t="shared" si="755"/>
        <v/>
      </c>
      <c r="O4782" s="52" t="str">
        <f t="shared" si="756"/>
        <v/>
      </c>
      <c r="P4782" s="88">
        <f t="shared" si="757"/>
        <v>0</v>
      </c>
      <c r="Q4782" s="88">
        <f t="shared" si="758"/>
        <v>0</v>
      </c>
      <c r="R4782" s="88" t="e">
        <f>-IF(Tabla14[[#This Row],[DIAS HABILES O MORA]]&lt;0,(Tabla14[[#This Row],[VALOR PRESTAMO]]*Tabla14[[#This Row],[% INTERES ]]/30*U4782))+Tabla14[[#This Row],[VALOR CUOTAS]]</f>
        <v>#VALUE!</v>
      </c>
      <c r="S4782" s="88">
        <f>-IF(Tabla14[[#This Row],[DIAS HABILES O MORA]]&lt;0,(Tabla14[[#This Row],[VALOR PRESTAMO]]*Tabla14[[#This Row],[% INTERES ]]/30*U4782))</f>
        <v>0</v>
      </c>
      <c r="T4782" s="53" t="e">
        <f>Tabla14[[#This Row],[DEUDA CAPITAL]]+Tabla14[[#This Row],[INTERES  CUOTA]]</f>
        <v>#NUM!</v>
      </c>
      <c r="U4782" s="61" t="str">
        <f t="shared" si="759"/>
        <v/>
      </c>
    </row>
    <row r="4783" spans="9:21" ht="24.75" customHeight="1" x14ac:dyDescent="0.35">
      <c r="I4783" s="42">
        <f t="shared" si="750"/>
        <v>0</v>
      </c>
      <c r="J4783" s="65" t="e">
        <f t="shared" si="751"/>
        <v>#NUM!</v>
      </c>
      <c r="K4783" s="83" t="e">
        <f t="shared" si="752"/>
        <v>#NUM!</v>
      </c>
      <c r="L4783" s="83">
        <f t="shared" si="753"/>
        <v>0</v>
      </c>
      <c r="M4783" s="110" t="str">
        <f t="shared" si="754"/>
        <v/>
      </c>
      <c r="N4783" s="51" t="str">
        <f t="shared" si="755"/>
        <v/>
      </c>
      <c r="O4783" s="52" t="str">
        <f t="shared" si="756"/>
        <v/>
      </c>
      <c r="P4783" s="88">
        <f t="shared" si="757"/>
        <v>0</v>
      </c>
      <c r="Q4783" s="88">
        <f t="shared" si="758"/>
        <v>0</v>
      </c>
      <c r="R4783" s="88" t="e">
        <f>-IF(Tabla14[[#This Row],[DIAS HABILES O MORA]]&lt;0,(Tabla14[[#This Row],[VALOR PRESTAMO]]*Tabla14[[#This Row],[% INTERES ]]/30*U4783))+Tabla14[[#This Row],[VALOR CUOTAS]]</f>
        <v>#VALUE!</v>
      </c>
      <c r="S4783" s="88">
        <f>-IF(Tabla14[[#This Row],[DIAS HABILES O MORA]]&lt;0,(Tabla14[[#This Row],[VALOR PRESTAMO]]*Tabla14[[#This Row],[% INTERES ]]/30*U4783))</f>
        <v>0</v>
      </c>
      <c r="T4783" s="53" t="e">
        <f>Tabla14[[#This Row],[DEUDA CAPITAL]]+Tabla14[[#This Row],[INTERES  CUOTA]]</f>
        <v>#NUM!</v>
      </c>
      <c r="U4783" s="61" t="str">
        <f t="shared" si="759"/>
        <v/>
      </c>
    </row>
    <row r="4784" spans="9:21" ht="24.75" customHeight="1" x14ac:dyDescent="0.35">
      <c r="I4784" s="42">
        <f t="shared" si="750"/>
        <v>0</v>
      </c>
      <c r="J4784" s="65" t="e">
        <f t="shared" si="751"/>
        <v>#NUM!</v>
      </c>
      <c r="K4784" s="83" t="e">
        <f t="shared" si="752"/>
        <v>#NUM!</v>
      </c>
      <c r="L4784" s="83">
        <f t="shared" si="753"/>
        <v>0</v>
      </c>
      <c r="M4784" s="110" t="str">
        <f t="shared" si="754"/>
        <v/>
      </c>
      <c r="N4784" s="51" t="str">
        <f t="shared" si="755"/>
        <v/>
      </c>
      <c r="O4784" s="52" t="str">
        <f t="shared" si="756"/>
        <v/>
      </c>
      <c r="P4784" s="88">
        <f t="shared" si="757"/>
        <v>0</v>
      </c>
      <c r="Q4784" s="88">
        <f t="shared" si="758"/>
        <v>0</v>
      </c>
      <c r="R4784" s="88" t="e">
        <f>-IF(Tabla14[[#This Row],[DIAS HABILES O MORA]]&lt;0,(Tabla14[[#This Row],[VALOR PRESTAMO]]*Tabla14[[#This Row],[% INTERES ]]/30*U4784))+Tabla14[[#This Row],[VALOR CUOTAS]]</f>
        <v>#VALUE!</v>
      </c>
      <c r="S4784" s="88">
        <f>-IF(Tabla14[[#This Row],[DIAS HABILES O MORA]]&lt;0,(Tabla14[[#This Row],[VALOR PRESTAMO]]*Tabla14[[#This Row],[% INTERES ]]/30*U4784))</f>
        <v>0</v>
      </c>
      <c r="T4784" s="53" t="e">
        <f>Tabla14[[#This Row],[DEUDA CAPITAL]]+Tabla14[[#This Row],[INTERES  CUOTA]]</f>
        <v>#NUM!</v>
      </c>
      <c r="U4784" s="61" t="str">
        <f t="shared" si="759"/>
        <v/>
      </c>
    </row>
    <row r="4785" spans="9:21" ht="24.75" customHeight="1" x14ac:dyDescent="0.35">
      <c r="I4785" s="42">
        <f t="shared" si="750"/>
        <v>0</v>
      </c>
      <c r="J4785" s="65" t="e">
        <f t="shared" si="751"/>
        <v>#NUM!</v>
      </c>
      <c r="K4785" s="83" t="e">
        <f t="shared" si="752"/>
        <v>#NUM!</v>
      </c>
      <c r="L4785" s="83">
        <f t="shared" si="753"/>
        <v>0</v>
      </c>
      <c r="M4785" s="110" t="str">
        <f t="shared" si="754"/>
        <v/>
      </c>
      <c r="N4785" s="51" t="str">
        <f t="shared" si="755"/>
        <v/>
      </c>
      <c r="O4785" s="52" t="str">
        <f t="shared" si="756"/>
        <v/>
      </c>
      <c r="P4785" s="88">
        <f t="shared" si="757"/>
        <v>0</v>
      </c>
      <c r="Q4785" s="88">
        <f t="shared" si="758"/>
        <v>0</v>
      </c>
      <c r="R4785" s="88" t="e">
        <f>-IF(Tabla14[[#This Row],[DIAS HABILES O MORA]]&lt;0,(Tabla14[[#This Row],[VALOR PRESTAMO]]*Tabla14[[#This Row],[% INTERES ]]/30*U4785))+Tabla14[[#This Row],[VALOR CUOTAS]]</f>
        <v>#VALUE!</v>
      </c>
      <c r="S4785" s="88">
        <f>-IF(Tabla14[[#This Row],[DIAS HABILES O MORA]]&lt;0,(Tabla14[[#This Row],[VALOR PRESTAMO]]*Tabla14[[#This Row],[% INTERES ]]/30*U4785))</f>
        <v>0</v>
      </c>
      <c r="T4785" s="53" t="e">
        <f>Tabla14[[#This Row],[DEUDA CAPITAL]]+Tabla14[[#This Row],[INTERES  CUOTA]]</f>
        <v>#NUM!</v>
      </c>
      <c r="U4785" s="61" t="str">
        <f t="shared" si="759"/>
        <v/>
      </c>
    </row>
    <row r="4786" spans="9:21" ht="24.75" customHeight="1" x14ac:dyDescent="0.35">
      <c r="I4786" s="42">
        <f t="shared" si="750"/>
        <v>0</v>
      </c>
      <c r="J4786" s="65" t="e">
        <f t="shared" si="751"/>
        <v>#NUM!</v>
      </c>
      <c r="K4786" s="83" t="e">
        <f t="shared" si="752"/>
        <v>#NUM!</v>
      </c>
      <c r="L4786" s="83">
        <f t="shared" si="753"/>
        <v>0</v>
      </c>
      <c r="M4786" s="110" t="str">
        <f t="shared" si="754"/>
        <v/>
      </c>
      <c r="N4786" s="51" t="str">
        <f t="shared" si="755"/>
        <v/>
      </c>
      <c r="O4786" s="52" t="str">
        <f t="shared" si="756"/>
        <v/>
      </c>
      <c r="P4786" s="88">
        <f t="shared" si="757"/>
        <v>0</v>
      </c>
      <c r="Q4786" s="88">
        <f t="shared" si="758"/>
        <v>0</v>
      </c>
      <c r="R4786" s="88" t="e">
        <f>-IF(Tabla14[[#This Row],[DIAS HABILES O MORA]]&lt;0,(Tabla14[[#This Row],[VALOR PRESTAMO]]*Tabla14[[#This Row],[% INTERES ]]/30*U4786))+Tabla14[[#This Row],[VALOR CUOTAS]]</f>
        <v>#VALUE!</v>
      </c>
      <c r="S4786" s="88">
        <f>-IF(Tabla14[[#This Row],[DIAS HABILES O MORA]]&lt;0,(Tabla14[[#This Row],[VALOR PRESTAMO]]*Tabla14[[#This Row],[% INTERES ]]/30*U4786))</f>
        <v>0</v>
      </c>
      <c r="T4786" s="53" t="e">
        <f>Tabla14[[#This Row],[DEUDA CAPITAL]]+Tabla14[[#This Row],[INTERES  CUOTA]]</f>
        <v>#NUM!</v>
      </c>
      <c r="U4786" s="61" t="str">
        <f t="shared" si="759"/>
        <v/>
      </c>
    </row>
    <row r="4787" spans="9:21" ht="24.75" customHeight="1" x14ac:dyDescent="0.35">
      <c r="I4787" s="42">
        <f t="shared" si="750"/>
        <v>0</v>
      </c>
      <c r="J4787" s="65" t="e">
        <f t="shared" si="751"/>
        <v>#NUM!</v>
      </c>
      <c r="K4787" s="83" t="e">
        <f t="shared" si="752"/>
        <v>#NUM!</v>
      </c>
      <c r="L4787" s="83">
        <f t="shared" si="753"/>
        <v>0</v>
      </c>
      <c r="M4787" s="110" t="str">
        <f t="shared" si="754"/>
        <v/>
      </c>
      <c r="N4787" s="51" t="str">
        <f t="shared" si="755"/>
        <v/>
      </c>
      <c r="O4787" s="52" t="str">
        <f t="shared" si="756"/>
        <v/>
      </c>
      <c r="P4787" s="88">
        <f t="shared" si="757"/>
        <v>0</v>
      </c>
      <c r="Q4787" s="88">
        <f t="shared" si="758"/>
        <v>0</v>
      </c>
      <c r="R4787" s="88" t="e">
        <f>-IF(Tabla14[[#This Row],[DIAS HABILES O MORA]]&lt;0,(Tabla14[[#This Row],[VALOR PRESTAMO]]*Tabla14[[#This Row],[% INTERES ]]/30*U4787))+Tabla14[[#This Row],[VALOR CUOTAS]]</f>
        <v>#VALUE!</v>
      </c>
      <c r="S4787" s="88">
        <f>-IF(Tabla14[[#This Row],[DIAS HABILES O MORA]]&lt;0,(Tabla14[[#This Row],[VALOR PRESTAMO]]*Tabla14[[#This Row],[% INTERES ]]/30*U4787))</f>
        <v>0</v>
      </c>
      <c r="T4787" s="53" t="e">
        <f>Tabla14[[#This Row],[DEUDA CAPITAL]]+Tabla14[[#This Row],[INTERES  CUOTA]]</f>
        <v>#NUM!</v>
      </c>
      <c r="U4787" s="61" t="str">
        <f t="shared" si="759"/>
        <v/>
      </c>
    </row>
    <row r="4788" spans="9:21" ht="24.75" customHeight="1" x14ac:dyDescent="0.35">
      <c r="I4788" s="42">
        <f t="shared" si="750"/>
        <v>0</v>
      </c>
      <c r="J4788" s="65" t="e">
        <f t="shared" si="751"/>
        <v>#NUM!</v>
      </c>
      <c r="K4788" s="83" t="e">
        <f t="shared" si="752"/>
        <v>#NUM!</v>
      </c>
      <c r="L4788" s="83">
        <f t="shared" si="753"/>
        <v>0</v>
      </c>
      <c r="M4788" s="110" t="str">
        <f t="shared" si="754"/>
        <v/>
      </c>
      <c r="N4788" s="51" t="str">
        <f t="shared" si="755"/>
        <v/>
      </c>
      <c r="O4788" s="52" t="str">
        <f t="shared" si="756"/>
        <v/>
      </c>
      <c r="P4788" s="88">
        <f t="shared" si="757"/>
        <v>0</v>
      </c>
      <c r="Q4788" s="88">
        <f t="shared" si="758"/>
        <v>0</v>
      </c>
      <c r="R4788" s="88" t="e">
        <f>-IF(Tabla14[[#This Row],[DIAS HABILES O MORA]]&lt;0,(Tabla14[[#This Row],[VALOR PRESTAMO]]*Tabla14[[#This Row],[% INTERES ]]/30*U4788))+Tabla14[[#This Row],[VALOR CUOTAS]]</f>
        <v>#VALUE!</v>
      </c>
      <c r="S4788" s="88">
        <f>-IF(Tabla14[[#This Row],[DIAS HABILES O MORA]]&lt;0,(Tabla14[[#This Row],[VALOR PRESTAMO]]*Tabla14[[#This Row],[% INTERES ]]/30*U4788))</f>
        <v>0</v>
      </c>
      <c r="T4788" s="53" t="e">
        <f>Tabla14[[#This Row],[DEUDA CAPITAL]]+Tabla14[[#This Row],[INTERES  CUOTA]]</f>
        <v>#NUM!</v>
      </c>
      <c r="U4788" s="61" t="str">
        <f t="shared" si="759"/>
        <v/>
      </c>
    </row>
    <row r="4789" spans="9:21" ht="24.75" customHeight="1" x14ac:dyDescent="0.35">
      <c r="I4789" s="42">
        <f t="shared" si="750"/>
        <v>0</v>
      </c>
      <c r="J4789" s="65" t="e">
        <f t="shared" si="751"/>
        <v>#NUM!</v>
      </c>
      <c r="K4789" s="83" t="e">
        <f t="shared" si="752"/>
        <v>#NUM!</v>
      </c>
      <c r="L4789" s="83">
        <f t="shared" si="753"/>
        <v>0</v>
      </c>
      <c r="M4789" s="110" t="str">
        <f t="shared" si="754"/>
        <v/>
      </c>
      <c r="N4789" s="51" t="str">
        <f t="shared" si="755"/>
        <v/>
      </c>
      <c r="O4789" s="52" t="str">
        <f t="shared" si="756"/>
        <v/>
      </c>
      <c r="P4789" s="88">
        <f t="shared" si="757"/>
        <v>0</v>
      </c>
      <c r="Q4789" s="88">
        <f t="shared" si="758"/>
        <v>0</v>
      </c>
      <c r="R4789" s="88" t="e">
        <f>-IF(Tabla14[[#This Row],[DIAS HABILES O MORA]]&lt;0,(Tabla14[[#This Row],[VALOR PRESTAMO]]*Tabla14[[#This Row],[% INTERES ]]/30*U4789))+Tabla14[[#This Row],[VALOR CUOTAS]]</f>
        <v>#VALUE!</v>
      </c>
      <c r="S4789" s="88">
        <f>-IF(Tabla14[[#This Row],[DIAS HABILES O MORA]]&lt;0,(Tabla14[[#This Row],[VALOR PRESTAMO]]*Tabla14[[#This Row],[% INTERES ]]/30*U4789))</f>
        <v>0</v>
      </c>
      <c r="T4789" s="53" t="e">
        <f>Tabla14[[#This Row],[DEUDA CAPITAL]]+Tabla14[[#This Row],[INTERES  CUOTA]]</f>
        <v>#NUM!</v>
      </c>
      <c r="U4789" s="61" t="str">
        <f t="shared" si="759"/>
        <v/>
      </c>
    </row>
    <row r="4790" spans="9:21" ht="24.75" customHeight="1" x14ac:dyDescent="0.35">
      <c r="I4790" s="42">
        <f t="shared" si="750"/>
        <v>0</v>
      </c>
      <c r="J4790" s="65" t="e">
        <f t="shared" si="751"/>
        <v>#NUM!</v>
      </c>
      <c r="K4790" s="83" t="e">
        <f t="shared" si="752"/>
        <v>#NUM!</v>
      </c>
      <c r="L4790" s="83">
        <f t="shared" si="753"/>
        <v>0</v>
      </c>
      <c r="M4790" s="110" t="str">
        <f t="shared" si="754"/>
        <v/>
      </c>
      <c r="N4790" s="51" t="str">
        <f t="shared" si="755"/>
        <v/>
      </c>
      <c r="O4790" s="52" t="str">
        <f t="shared" si="756"/>
        <v/>
      </c>
      <c r="P4790" s="88">
        <f t="shared" si="757"/>
        <v>0</v>
      </c>
      <c r="Q4790" s="88">
        <f t="shared" si="758"/>
        <v>0</v>
      </c>
      <c r="R4790" s="88" t="e">
        <f>-IF(Tabla14[[#This Row],[DIAS HABILES O MORA]]&lt;0,(Tabla14[[#This Row],[VALOR PRESTAMO]]*Tabla14[[#This Row],[% INTERES ]]/30*U4790))+Tabla14[[#This Row],[VALOR CUOTAS]]</f>
        <v>#VALUE!</v>
      </c>
      <c r="S4790" s="88">
        <f>-IF(Tabla14[[#This Row],[DIAS HABILES O MORA]]&lt;0,(Tabla14[[#This Row],[VALOR PRESTAMO]]*Tabla14[[#This Row],[% INTERES ]]/30*U4790))</f>
        <v>0</v>
      </c>
      <c r="T4790" s="53" t="e">
        <f>Tabla14[[#This Row],[DEUDA CAPITAL]]+Tabla14[[#This Row],[INTERES  CUOTA]]</f>
        <v>#NUM!</v>
      </c>
      <c r="U4790" s="61" t="str">
        <f t="shared" si="759"/>
        <v/>
      </c>
    </row>
    <row r="4791" spans="9:21" ht="24.75" customHeight="1" x14ac:dyDescent="0.35">
      <c r="I4791" s="42">
        <f t="shared" si="750"/>
        <v>0</v>
      </c>
      <c r="J4791" s="65" t="e">
        <f t="shared" si="751"/>
        <v>#NUM!</v>
      </c>
      <c r="K4791" s="83" t="e">
        <f t="shared" si="752"/>
        <v>#NUM!</v>
      </c>
      <c r="L4791" s="83">
        <f t="shared" si="753"/>
        <v>0</v>
      </c>
      <c r="M4791" s="110" t="str">
        <f t="shared" si="754"/>
        <v/>
      </c>
      <c r="N4791" s="51" t="str">
        <f t="shared" si="755"/>
        <v/>
      </c>
      <c r="O4791" s="52" t="str">
        <f t="shared" si="756"/>
        <v/>
      </c>
      <c r="P4791" s="88">
        <f t="shared" si="757"/>
        <v>0</v>
      </c>
      <c r="Q4791" s="88">
        <f t="shared" si="758"/>
        <v>0</v>
      </c>
      <c r="R4791" s="88" t="e">
        <f>-IF(Tabla14[[#This Row],[DIAS HABILES O MORA]]&lt;0,(Tabla14[[#This Row],[VALOR PRESTAMO]]*Tabla14[[#This Row],[% INTERES ]]/30*U4791))+Tabla14[[#This Row],[VALOR CUOTAS]]</f>
        <v>#VALUE!</v>
      </c>
      <c r="S4791" s="88">
        <f>-IF(Tabla14[[#This Row],[DIAS HABILES O MORA]]&lt;0,(Tabla14[[#This Row],[VALOR PRESTAMO]]*Tabla14[[#This Row],[% INTERES ]]/30*U4791))</f>
        <v>0</v>
      </c>
      <c r="T4791" s="53" t="e">
        <f>Tabla14[[#This Row],[DEUDA CAPITAL]]+Tabla14[[#This Row],[INTERES  CUOTA]]</f>
        <v>#NUM!</v>
      </c>
      <c r="U4791" s="61" t="str">
        <f t="shared" si="759"/>
        <v/>
      </c>
    </row>
    <row r="4792" spans="9:21" ht="24.75" customHeight="1" x14ac:dyDescent="0.35">
      <c r="I4792" s="42">
        <f t="shared" si="750"/>
        <v>0</v>
      </c>
      <c r="J4792" s="65" t="e">
        <f t="shared" si="751"/>
        <v>#NUM!</v>
      </c>
      <c r="K4792" s="83" t="e">
        <f t="shared" si="752"/>
        <v>#NUM!</v>
      </c>
      <c r="L4792" s="83">
        <f t="shared" si="753"/>
        <v>0</v>
      </c>
      <c r="M4792" s="110" t="str">
        <f t="shared" si="754"/>
        <v/>
      </c>
      <c r="N4792" s="51" t="str">
        <f t="shared" si="755"/>
        <v/>
      </c>
      <c r="O4792" s="52" t="str">
        <f t="shared" si="756"/>
        <v/>
      </c>
      <c r="P4792" s="88">
        <f t="shared" si="757"/>
        <v>0</v>
      </c>
      <c r="Q4792" s="88">
        <f t="shared" si="758"/>
        <v>0</v>
      </c>
      <c r="R4792" s="88" t="e">
        <f>-IF(Tabla14[[#This Row],[DIAS HABILES O MORA]]&lt;0,(Tabla14[[#This Row],[VALOR PRESTAMO]]*Tabla14[[#This Row],[% INTERES ]]/30*U4792))+Tabla14[[#This Row],[VALOR CUOTAS]]</f>
        <v>#VALUE!</v>
      </c>
      <c r="S4792" s="88">
        <f>-IF(Tabla14[[#This Row],[DIAS HABILES O MORA]]&lt;0,(Tabla14[[#This Row],[VALOR PRESTAMO]]*Tabla14[[#This Row],[% INTERES ]]/30*U4792))</f>
        <v>0</v>
      </c>
      <c r="T4792" s="53" t="e">
        <f>Tabla14[[#This Row],[DEUDA CAPITAL]]+Tabla14[[#This Row],[INTERES  CUOTA]]</f>
        <v>#NUM!</v>
      </c>
      <c r="U4792" s="61" t="str">
        <f t="shared" si="759"/>
        <v/>
      </c>
    </row>
    <row r="4793" spans="9:21" ht="24.75" customHeight="1" x14ac:dyDescent="0.35">
      <c r="I4793" s="42">
        <f t="shared" si="750"/>
        <v>0</v>
      </c>
      <c r="J4793" s="65" t="e">
        <f t="shared" si="751"/>
        <v>#NUM!</v>
      </c>
      <c r="K4793" s="83" t="e">
        <f t="shared" si="752"/>
        <v>#NUM!</v>
      </c>
      <c r="L4793" s="83">
        <f t="shared" si="753"/>
        <v>0</v>
      </c>
      <c r="M4793" s="110" t="str">
        <f t="shared" si="754"/>
        <v/>
      </c>
      <c r="N4793" s="51" t="str">
        <f t="shared" si="755"/>
        <v/>
      </c>
      <c r="O4793" s="52" t="str">
        <f t="shared" si="756"/>
        <v/>
      </c>
      <c r="P4793" s="88">
        <f t="shared" si="757"/>
        <v>0</v>
      </c>
      <c r="Q4793" s="88">
        <f t="shared" si="758"/>
        <v>0</v>
      </c>
      <c r="R4793" s="88" t="e">
        <f>-IF(Tabla14[[#This Row],[DIAS HABILES O MORA]]&lt;0,(Tabla14[[#This Row],[VALOR PRESTAMO]]*Tabla14[[#This Row],[% INTERES ]]/30*U4793))+Tabla14[[#This Row],[VALOR CUOTAS]]</f>
        <v>#VALUE!</v>
      </c>
      <c r="S4793" s="88">
        <f>-IF(Tabla14[[#This Row],[DIAS HABILES O MORA]]&lt;0,(Tabla14[[#This Row],[VALOR PRESTAMO]]*Tabla14[[#This Row],[% INTERES ]]/30*U4793))</f>
        <v>0</v>
      </c>
      <c r="T4793" s="53" t="e">
        <f>Tabla14[[#This Row],[DEUDA CAPITAL]]+Tabla14[[#This Row],[INTERES  CUOTA]]</f>
        <v>#NUM!</v>
      </c>
      <c r="U4793" s="61" t="str">
        <f t="shared" si="759"/>
        <v/>
      </c>
    </row>
    <row r="4794" spans="9:21" ht="24.75" customHeight="1" x14ac:dyDescent="0.35">
      <c r="I4794" s="42">
        <f t="shared" si="750"/>
        <v>0</v>
      </c>
      <c r="J4794" s="65" t="e">
        <f t="shared" si="751"/>
        <v>#NUM!</v>
      </c>
      <c r="K4794" s="83" t="e">
        <f t="shared" si="752"/>
        <v>#NUM!</v>
      </c>
      <c r="L4794" s="83">
        <f t="shared" si="753"/>
        <v>0</v>
      </c>
      <c r="M4794" s="110" t="str">
        <f t="shared" si="754"/>
        <v/>
      </c>
      <c r="N4794" s="51" t="str">
        <f t="shared" si="755"/>
        <v/>
      </c>
      <c r="O4794" s="52" t="str">
        <f t="shared" si="756"/>
        <v/>
      </c>
      <c r="P4794" s="88">
        <f t="shared" si="757"/>
        <v>0</v>
      </c>
      <c r="Q4794" s="88">
        <f t="shared" si="758"/>
        <v>0</v>
      </c>
      <c r="R4794" s="88" t="e">
        <f>-IF(Tabla14[[#This Row],[DIAS HABILES O MORA]]&lt;0,(Tabla14[[#This Row],[VALOR PRESTAMO]]*Tabla14[[#This Row],[% INTERES ]]/30*U4794))+Tabla14[[#This Row],[VALOR CUOTAS]]</f>
        <v>#VALUE!</v>
      </c>
      <c r="S4794" s="88">
        <f>-IF(Tabla14[[#This Row],[DIAS HABILES O MORA]]&lt;0,(Tabla14[[#This Row],[VALOR PRESTAMO]]*Tabla14[[#This Row],[% INTERES ]]/30*U4794))</f>
        <v>0</v>
      </c>
      <c r="T4794" s="53" t="e">
        <f>Tabla14[[#This Row],[DEUDA CAPITAL]]+Tabla14[[#This Row],[INTERES  CUOTA]]</f>
        <v>#NUM!</v>
      </c>
      <c r="U4794" s="61" t="str">
        <f t="shared" si="759"/>
        <v/>
      </c>
    </row>
    <row r="4795" spans="9:21" ht="24.75" customHeight="1" x14ac:dyDescent="0.35">
      <c r="I4795" s="42">
        <f t="shared" si="750"/>
        <v>0</v>
      </c>
      <c r="J4795" s="65" t="e">
        <f t="shared" si="751"/>
        <v>#NUM!</v>
      </c>
      <c r="K4795" s="83" t="e">
        <f t="shared" si="752"/>
        <v>#NUM!</v>
      </c>
      <c r="L4795" s="83">
        <f t="shared" si="753"/>
        <v>0</v>
      </c>
      <c r="M4795" s="110" t="str">
        <f t="shared" si="754"/>
        <v/>
      </c>
      <c r="N4795" s="51" t="str">
        <f t="shared" si="755"/>
        <v/>
      </c>
      <c r="O4795" s="52" t="str">
        <f t="shared" si="756"/>
        <v/>
      </c>
      <c r="P4795" s="88">
        <f t="shared" si="757"/>
        <v>0</v>
      </c>
      <c r="Q4795" s="88">
        <f t="shared" si="758"/>
        <v>0</v>
      </c>
      <c r="R4795" s="88" t="e">
        <f>-IF(Tabla14[[#This Row],[DIAS HABILES O MORA]]&lt;0,(Tabla14[[#This Row],[VALOR PRESTAMO]]*Tabla14[[#This Row],[% INTERES ]]/30*U4795))+Tabla14[[#This Row],[VALOR CUOTAS]]</f>
        <v>#VALUE!</v>
      </c>
      <c r="S4795" s="88">
        <f>-IF(Tabla14[[#This Row],[DIAS HABILES O MORA]]&lt;0,(Tabla14[[#This Row],[VALOR PRESTAMO]]*Tabla14[[#This Row],[% INTERES ]]/30*U4795))</f>
        <v>0</v>
      </c>
      <c r="T4795" s="53" t="e">
        <f>Tabla14[[#This Row],[DEUDA CAPITAL]]+Tabla14[[#This Row],[INTERES  CUOTA]]</f>
        <v>#NUM!</v>
      </c>
      <c r="U4795" s="61" t="str">
        <f t="shared" si="759"/>
        <v/>
      </c>
    </row>
    <row r="4796" spans="9:21" ht="24.75" customHeight="1" x14ac:dyDescent="0.35">
      <c r="I4796" s="42">
        <f t="shared" si="750"/>
        <v>0</v>
      </c>
      <c r="J4796" s="65" t="e">
        <f t="shared" si="751"/>
        <v>#NUM!</v>
      </c>
      <c r="K4796" s="83" t="e">
        <f t="shared" si="752"/>
        <v>#NUM!</v>
      </c>
      <c r="L4796" s="83">
        <f t="shared" si="753"/>
        <v>0</v>
      </c>
      <c r="M4796" s="110" t="str">
        <f t="shared" si="754"/>
        <v/>
      </c>
      <c r="N4796" s="51" t="str">
        <f t="shared" si="755"/>
        <v/>
      </c>
      <c r="O4796" s="52" t="str">
        <f t="shared" si="756"/>
        <v/>
      </c>
      <c r="P4796" s="88">
        <f t="shared" si="757"/>
        <v>0</v>
      </c>
      <c r="Q4796" s="88">
        <f t="shared" si="758"/>
        <v>0</v>
      </c>
      <c r="R4796" s="88" t="e">
        <f>-IF(Tabla14[[#This Row],[DIAS HABILES O MORA]]&lt;0,(Tabla14[[#This Row],[VALOR PRESTAMO]]*Tabla14[[#This Row],[% INTERES ]]/30*U4796))+Tabla14[[#This Row],[VALOR CUOTAS]]</f>
        <v>#VALUE!</v>
      </c>
      <c r="S4796" s="88">
        <f>-IF(Tabla14[[#This Row],[DIAS HABILES O MORA]]&lt;0,(Tabla14[[#This Row],[VALOR PRESTAMO]]*Tabla14[[#This Row],[% INTERES ]]/30*U4796))</f>
        <v>0</v>
      </c>
      <c r="T4796" s="53" t="e">
        <f>Tabla14[[#This Row],[DEUDA CAPITAL]]+Tabla14[[#This Row],[INTERES  CUOTA]]</f>
        <v>#NUM!</v>
      </c>
      <c r="U4796" s="61" t="str">
        <f t="shared" si="759"/>
        <v/>
      </c>
    </row>
    <row r="4797" spans="9:21" ht="24.75" customHeight="1" x14ac:dyDescent="0.35">
      <c r="I4797" s="42">
        <f t="shared" si="750"/>
        <v>0</v>
      </c>
      <c r="J4797" s="65" t="e">
        <f t="shared" si="751"/>
        <v>#NUM!</v>
      </c>
      <c r="K4797" s="83" t="e">
        <f t="shared" si="752"/>
        <v>#NUM!</v>
      </c>
      <c r="L4797" s="83">
        <f t="shared" si="753"/>
        <v>0</v>
      </c>
      <c r="M4797" s="110" t="str">
        <f t="shared" si="754"/>
        <v/>
      </c>
      <c r="N4797" s="51" t="str">
        <f t="shared" si="755"/>
        <v/>
      </c>
      <c r="O4797" s="52" t="str">
        <f t="shared" si="756"/>
        <v/>
      </c>
      <c r="P4797" s="88">
        <f t="shared" si="757"/>
        <v>0</v>
      </c>
      <c r="Q4797" s="88">
        <f t="shared" si="758"/>
        <v>0</v>
      </c>
      <c r="R4797" s="88" t="e">
        <f>-IF(Tabla14[[#This Row],[DIAS HABILES O MORA]]&lt;0,(Tabla14[[#This Row],[VALOR PRESTAMO]]*Tabla14[[#This Row],[% INTERES ]]/30*U4797))+Tabla14[[#This Row],[VALOR CUOTAS]]</f>
        <v>#VALUE!</v>
      </c>
      <c r="S4797" s="88">
        <f>-IF(Tabla14[[#This Row],[DIAS HABILES O MORA]]&lt;0,(Tabla14[[#This Row],[VALOR PRESTAMO]]*Tabla14[[#This Row],[% INTERES ]]/30*U4797))</f>
        <v>0</v>
      </c>
      <c r="T4797" s="53" t="e">
        <f>Tabla14[[#This Row],[DEUDA CAPITAL]]+Tabla14[[#This Row],[INTERES  CUOTA]]</f>
        <v>#NUM!</v>
      </c>
      <c r="U4797" s="61" t="str">
        <f t="shared" si="759"/>
        <v/>
      </c>
    </row>
    <row r="4798" spans="9:21" ht="24.75" customHeight="1" x14ac:dyDescent="0.35">
      <c r="I4798" s="42">
        <f t="shared" si="750"/>
        <v>0</v>
      </c>
      <c r="J4798" s="65" t="e">
        <f t="shared" si="751"/>
        <v>#NUM!</v>
      </c>
      <c r="K4798" s="83" t="e">
        <f t="shared" si="752"/>
        <v>#NUM!</v>
      </c>
      <c r="L4798" s="83">
        <f t="shared" si="753"/>
        <v>0</v>
      </c>
      <c r="M4798" s="110" t="str">
        <f t="shared" si="754"/>
        <v/>
      </c>
      <c r="N4798" s="51" t="str">
        <f t="shared" si="755"/>
        <v/>
      </c>
      <c r="O4798" s="52" t="str">
        <f t="shared" si="756"/>
        <v/>
      </c>
      <c r="P4798" s="88">
        <f t="shared" si="757"/>
        <v>0</v>
      </c>
      <c r="Q4798" s="88">
        <f t="shared" si="758"/>
        <v>0</v>
      </c>
      <c r="R4798" s="88" t="e">
        <f>-IF(Tabla14[[#This Row],[DIAS HABILES O MORA]]&lt;0,(Tabla14[[#This Row],[VALOR PRESTAMO]]*Tabla14[[#This Row],[% INTERES ]]/30*U4798))+Tabla14[[#This Row],[VALOR CUOTAS]]</f>
        <v>#VALUE!</v>
      </c>
      <c r="S4798" s="88">
        <f>-IF(Tabla14[[#This Row],[DIAS HABILES O MORA]]&lt;0,(Tabla14[[#This Row],[VALOR PRESTAMO]]*Tabla14[[#This Row],[% INTERES ]]/30*U4798))</f>
        <v>0</v>
      </c>
      <c r="T4798" s="53" t="e">
        <f>Tabla14[[#This Row],[DEUDA CAPITAL]]+Tabla14[[#This Row],[INTERES  CUOTA]]</f>
        <v>#NUM!</v>
      </c>
      <c r="U4798" s="61" t="str">
        <f t="shared" si="759"/>
        <v/>
      </c>
    </row>
    <row r="4799" spans="9:21" ht="24.75" customHeight="1" x14ac:dyDescent="0.35">
      <c r="I4799" s="42">
        <f t="shared" si="750"/>
        <v>0</v>
      </c>
      <c r="J4799" s="65" t="e">
        <f t="shared" si="751"/>
        <v>#NUM!</v>
      </c>
      <c r="K4799" s="83" t="e">
        <f t="shared" si="752"/>
        <v>#NUM!</v>
      </c>
      <c r="L4799" s="83">
        <f t="shared" si="753"/>
        <v>0</v>
      </c>
      <c r="M4799" s="110" t="str">
        <f t="shared" si="754"/>
        <v/>
      </c>
      <c r="N4799" s="51" t="str">
        <f t="shared" si="755"/>
        <v/>
      </c>
      <c r="O4799" s="52" t="str">
        <f t="shared" si="756"/>
        <v/>
      </c>
      <c r="P4799" s="88">
        <f t="shared" si="757"/>
        <v>0</v>
      </c>
      <c r="Q4799" s="88">
        <f t="shared" si="758"/>
        <v>0</v>
      </c>
      <c r="R4799" s="88" t="e">
        <f>-IF(Tabla14[[#This Row],[DIAS HABILES O MORA]]&lt;0,(Tabla14[[#This Row],[VALOR PRESTAMO]]*Tabla14[[#This Row],[% INTERES ]]/30*U4799))+Tabla14[[#This Row],[VALOR CUOTAS]]</f>
        <v>#VALUE!</v>
      </c>
      <c r="S4799" s="88">
        <f>-IF(Tabla14[[#This Row],[DIAS HABILES O MORA]]&lt;0,(Tabla14[[#This Row],[VALOR PRESTAMO]]*Tabla14[[#This Row],[% INTERES ]]/30*U4799))</f>
        <v>0</v>
      </c>
      <c r="T4799" s="53" t="e">
        <f>Tabla14[[#This Row],[DEUDA CAPITAL]]+Tabla14[[#This Row],[INTERES  CUOTA]]</f>
        <v>#NUM!</v>
      </c>
      <c r="U4799" s="61" t="str">
        <f t="shared" si="759"/>
        <v/>
      </c>
    </row>
    <row r="4800" spans="9:21" ht="24.75" customHeight="1" x14ac:dyDescent="0.35">
      <c r="I4800" s="42">
        <f t="shared" si="750"/>
        <v>0</v>
      </c>
      <c r="J4800" s="65" t="e">
        <f t="shared" si="751"/>
        <v>#NUM!</v>
      </c>
      <c r="K4800" s="83" t="e">
        <f t="shared" si="752"/>
        <v>#NUM!</v>
      </c>
      <c r="L4800" s="83">
        <f t="shared" si="753"/>
        <v>0</v>
      </c>
      <c r="M4800" s="110" t="str">
        <f t="shared" si="754"/>
        <v/>
      </c>
      <c r="N4800" s="51" t="str">
        <f t="shared" si="755"/>
        <v/>
      </c>
      <c r="O4800" s="52" t="str">
        <f t="shared" si="756"/>
        <v/>
      </c>
      <c r="P4800" s="88">
        <f t="shared" si="757"/>
        <v>0</v>
      </c>
      <c r="Q4800" s="88">
        <f t="shared" si="758"/>
        <v>0</v>
      </c>
      <c r="R4800" s="88" t="e">
        <f>-IF(Tabla14[[#This Row],[DIAS HABILES O MORA]]&lt;0,(Tabla14[[#This Row],[VALOR PRESTAMO]]*Tabla14[[#This Row],[% INTERES ]]/30*U4800))+Tabla14[[#This Row],[VALOR CUOTAS]]</f>
        <v>#VALUE!</v>
      </c>
      <c r="S4800" s="88">
        <f>-IF(Tabla14[[#This Row],[DIAS HABILES O MORA]]&lt;0,(Tabla14[[#This Row],[VALOR PRESTAMO]]*Tabla14[[#This Row],[% INTERES ]]/30*U4800))</f>
        <v>0</v>
      </c>
      <c r="T4800" s="53" t="e">
        <f>Tabla14[[#This Row],[DEUDA CAPITAL]]+Tabla14[[#This Row],[INTERES  CUOTA]]</f>
        <v>#NUM!</v>
      </c>
      <c r="U4800" s="61" t="str">
        <f t="shared" si="759"/>
        <v/>
      </c>
    </row>
    <row r="4801" spans="9:21" ht="24.75" customHeight="1" x14ac:dyDescent="0.35">
      <c r="I4801" s="42">
        <f t="shared" si="750"/>
        <v>0</v>
      </c>
      <c r="J4801" s="65" t="e">
        <f t="shared" si="751"/>
        <v>#NUM!</v>
      </c>
      <c r="K4801" s="83" t="e">
        <f t="shared" si="752"/>
        <v>#NUM!</v>
      </c>
      <c r="L4801" s="83">
        <f t="shared" si="753"/>
        <v>0</v>
      </c>
      <c r="M4801" s="110" t="str">
        <f t="shared" si="754"/>
        <v/>
      </c>
      <c r="N4801" s="51" t="str">
        <f t="shared" si="755"/>
        <v/>
      </c>
      <c r="O4801" s="52" t="str">
        <f t="shared" si="756"/>
        <v/>
      </c>
      <c r="P4801" s="88">
        <f t="shared" si="757"/>
        <v>0</v>
      </c>
      <c r="Q4801" s="88">
        <f t="shared" si="758"/>
        <v>0</v>
      </c>
      <c r="R4801" s="88" t="e">
        <f>-IF(Tabla14[[#This Row],[DIAS HABILES O MORA]]&lt;0,(Tabla14[[#This Row],[VALOR PRESTAMO]]*Tabla14[[#This Row],[% INTERES ]]/30*U4801))+Tabla14[[#This Row],[VALOR CUOTAS]]</f>
        <v>#VALUE!</v>
      </c>
      <c r="S4801" s="88">
        <f>-IF(Tabla14[[#This Row],[DIAS HABILES O MORA]]&lt;0,(Tabla14[[#This Row],[VALOR PRESTAMO]]*Tabla14[[#This Row],[% INTERES ]]/30*U4801))</f>
        <v>0</v>
      </c>
      <c r="T4801" s="53" t="e">
        <f>Tabla14[[#This Row],[DEUDA CAPITAL]]+Tabla14[[#This Row],[INTERES  CUOTA]]</f>
        <v>#NUM!</v>
      </c>
      <c r="U4801" s="61" t="str">
        <f t="shared" si="759"/>
        <v/>
      </c>
    </row>
    <row r="4802" spans="9:21" ht="24.75" customHeight="1" x14ac:dyDescent="0.35">
      <c r="I4802" s="42">
        <f t="shared" si="750"/>
        <v>0</v>
      </c>
      <c r="J4802" s="65" t="e">
        <f t="shared" si="751"/>
        <v>#NUM!</v>
      </c>
      <c r="K4802" s="83" t="e">
        <f t="shared" si="752"/>
        <v>#NUM!</v>
      </c>
      <c r="L4802" s="83">
        <f t="shared" si="753"/>
        <v>0</v>
      </c>
      <c r="M4802" s="110" t="str">
        <f t="shared" si="754"/>
        <v/>
      </c>
      <c r="N4802" s="51" t="str">
        <f t="shared" si="755"/>
        <v/>
      </c>
      <c r="O4802" s="52" t="str">
        <f t="shared" si="756"/>
        <v/>
      </c>
      <c r="P4802" s="88">
        <f t="shared" si="757"/>
        <v>0</v>
      </c>
      <c r="Q4802" s="88">
        <f t="shared" si="758"/>
        <v>0</v>
      </c>
      <c r="R4802" s="88" t="e">
        <f>-IF(Tabla14[[#This Row],[DIAS HABILES O MORA]]&lt;0,(Tabla14[[#This Row],[VALOR PRESTAMO]]*Tabla14[[#This Row],[% INTERES ]]/30*U4802))+Tabla14[[#This Row],[VALOR CUOTAS]]</f>
        <v>#VALUE!</v>
      </c>
      <c r="S4802" s="88">
        <f>-IF(Tabla14[[#This Row],[DIAS HABILES O MORA]]&lt;0,(Tabla14[[#This Row],[VALOR PRESTAMO]]*Tabla14[[#This Row],[% INTERES ]]/30*U4802))</f>
        <v>0</v>
      </c>
      <c r="T4802" s="53" t="e">
        <f>Tabla14[[#This Row],[DEUDA CAPITAL]]+Tabla14[[#This Row],[INTERES  CUOTA]]</f>
        <v>#NUM!</v>
      </c>
      <c r="U4802" s="61" t="str">
        <f t="shared" si="759"/>
        <v/>
      </c>
    </row>
    <row r="4803" spans="9:21" ht="24.75" customHeight="1" x14ac:dyDescent="0.35">
      <c r="I4803" s="42">
        <f t="shared" si="750"/>
        <v>0</v>
      </c>
      <c r="J4803" s="65" t="e">
        <f t="shared" si="751"/>
        <v>#NUM!</v>
      </c>
      <c r="K4803" s="83" t="e">
        <f t="shared" si="752"/>
        <v>#NUM!</v>
      </c>
      <c r="L4803" s="83">
        <f t="shared" si="753"/>
        <v>0</v>
      </c>
      <c r="M4803" s="110" t="str">
        <f t="shared" si="754"/>
        <v/>
      </c>
      <c r="N4803" s="51" t="str">
        <f t="shared" si="755"/>
        <v/>
      </c>
      <c r="O4803" s="52" t="str">
        <f t="shared" si="756"/>
        <v/>
      </c>
      <c r="P4803" s="88">
        <f t="shared" si="757"/>
        <v>0</v>
      </c>
      <c r="Q4803" s="88">
        <f t="shared" si="758"/>
        <v>0</v>
      </c>
      <c r="R4803" s="88" t="e">
        <f>-IF(Tabla14[[#This Row],[DIAS HABILES O MORA]]&lt;0,(Tabla14[[#This Row],[VALOR PRESTAMO]]*Tabla14[[#This Row],[% INTERES ]]/30*U4803))+Tabla14[[#This Row],[VALOR CUOTAS]]</f>
        <v>#VALUE!</v>
      </c>
      <c r="S4803" s="88">
        <f>-IF(Tabla14[[#This Row],[DIAS HABILES O MORA]]&lt;0,(Tabla14[[#This Row],[VALOR PRESTAMO]]*Tabla14[[#This Row],[% INTERES ]]/30*U4803))</f>
        <v>0</v>
      </c>
      <c r="T4803" s="53" t="e">
        <f>Tabla14[[#This Row],[DEUDA CAPITAL]]+Tabla14[[#This Row],[INTERES  CUOTA]]</f>
        <v>#NUM!</v>
      </c>
      <c r="U4803" s="61" t="str">
        <f t="shared" si="759"/>
        <v/>
      </c>
    </row>
    <row r="4804" spans="9:21" ht="24.75" customHeight="1" x14ac:dyDescent="0.35">
      <c r="I4804" s="42">
        <f t="shared" si="750"/>
        <v>0</v>
      </c>
      <c r="J4804" s="65" t="e">
        <f t="shared" si="751"/>
        <v>#NUM!</v>
      </c>
      <c r="K4804" s="83" t="e">
        <f t="shared" si="752"/>
        <v>#NUM!</v>
      </c>
      <c r="L4804" s="83">
        <f t="shared" si="753"/>
        <v>0</v>
      </c>
      <c r="M4804" s="110" t="str">
        <f t="shared" si="754"/>
        <v/>
      </c>
      <c r="N4804" s="51" t="str">
        <f t="shared" si="755"/>
        <v/>
      </c>
      <c r="O4804" s="52" t="str">
        <f t="shared" si="756"/>
        <v/>
      </c>
      <c r="P4804" s="88">
        <f t="shared" si="757"/>
        <v>0</v>
      </c>
      <c r="Q4804" s="88">
        <f t="shared" si="758"/>
        <v>0</v>
      </c>
      <c r="R4804" s="88" t="e">
        <f>-IF(Tabla14[[#This Row],[DIAS HABILES O MORA]]&lt;0,(Tabla14[[#This Row],[VALOR PRESTAMO]]*Tabla14[[#This Row],[% INTERES ]]/30*U4804))+Tabla14[[#This Row],[VALOR CUOTAS]]</f>
        <v>#VALUE!</v>
      </c>
      <c r="S4804" s="88">
        <f>-IF(Tabla14[[#This Row],[DIAS HABILES O MORA]]&lt;0,(Tabla14[[#This Row],[VALOR PRESTAMO]]*Tabla14[[#This Row],[% INTERES ]]/30*U4804))</f>
        <v>0</v>
      </c>
      <c r="T4804" s="53" t="e">
        <f>Tabla14[[#This Row],[DEUDA CAPITAL]]+Tabla14[[#This Row],[INTERES  CUOTA]]</f>
        <v>#NUM!</v>
      </c>
      <c r="U4804" s="61" t="str">
        <f t="shared" si="759"/>
        <v/>
      </c>
    </row>
    <row r="4805" spans="9:21" ht="24.75" customHeight="1" x14ac:dyDescent="0.35">
      <c r="I4805" s="42">
        <f t="shared" si="750"/>
        <v>0</v>
      </c>
      <c r="J4805" s="65" t="e">
        <f t="shared" si="751"/>
        <v>#NUM!</v>
      </c>
      <c r="K4805" s="83" t="e">
        <f t="shared" si="752"/>
        <v>#NUM!</v>
      </c>
      <c r="L4805" s="83">
        <f t="shared" si="753"/>
        <v>0</v>
      </c>
      <c r="M4805" s="110" t="str">
        <f t="shared" si="754"/>
        <v/>
      </c>
      <c r="N4805" s="51" t="str">
        <f t="shared" si="755"/>
        <v/>
      </c>
      <c r="O4805" s="52" t="str">
        <f t="shared" si="756"/>
        <v/>
      </c>
      <c r="P4805" s="88">
        <f t="shared" si="757"/>
        <v>0</v>
      </c>
      <c r="Q4805" s="88">
        <f t="shared" si="758"/>
        <v>0</v>
      </c>
      <c r="R4805" s="88" t="e">
        <f>-IF(Tabla14[[#This Row],[DIAS HABILES O MORA]]&lt;0,(Tabla14[[#This Row],[VALOR PRESTAMO]]*Tabla14[[#This Row],[% INTERES ]]/30*U4805))+Tabla14[[#This Row],[VALOR CUOTAS]]</f>
        <v>#VALUE!</v>
      </c>
      <c r="S4805" s="88">
        <f>-IF(Tabla14[[#This Row],[DIAS HABILES O MORA]]&lt;0,(Tabla14[[#This Row],[VALOR PRESTAMO]]*Tabla14[[#This Row],[% INTERES ]]/30*U4805))</f>
        <v>0</v>
      </c>
      <c r="T4805" s="53" t="e">
        <f>Tabla14[[#This Row],[DEUDA CAPITAL]]+Tabla14[[#This Row],[INTERES  CUOTA]]</f>
        <v>#NUM!</v>
      </c>
      <c r="U4805" s="61" t="str">
        <f t="shared" si="759"/>
        <v/>
      </c>
    </row>
    <row r="4806" spans="9:21" ht="24.75" customHeight="1" x14ac:dyDescent="0.35">
      <c r="I4806" s="42">
        <f t="shared" si="750"/>
        <v>0</v>
      </c>
      <c r="J4806" s="65" t="e">
        <f t="shared" si="751"/>
        <v>#NUM!</v>
      </c>
      <c r="K4806" s="83" t="e">
        <f t="shared" si="752"/>
        <v>#NUM!</v>
      </c>
      <c r="L4806" s="83">
        <f t="shared" si="753"/>
        <v>0</v>
      </c>
      <c r="M4806" s="110" t="str">
        <f t="shared" si="754"/>
        <v/>
      </c>
      <c r="N4806" s="51" t="str">
        <f t="shared" si="755"/>
        <v/>
      </c>
      <c r="O4806" s="52" t="str">
        <f t="shared" si="756"/>
        <v/>
      </c>
      <c r="P4806" s="88">
        <f t="shared" si="757"/>
        <v>0</v>
      </c>
      <c r="Q4806" s="88">
        <f t="shared" si="758"/>
        <v>0</v>
      </c>
      <c r="R4806" s="88" t="e">
        <f>-IF(Tabla14[[#This Row],[DIAS HABILES O MORA]]&lt;0,(Tabla14[[#This Row],[VALOR PRESTAMO]]*Tabla14[[#This Row],[% INTERES ]]/30*U4806))+Tabla14[[#This Row],[VALOR CUOTAS]]</f>
        <v>#VALUE!</v>
      </c>
      <c r="S4806" s="88">
        <f>-IF(Tabla14[[#This Row],[DIAS HABILES O MORA]]&lt;0,(Tabla14[[#This Row],[VALOR PRESTAMO]]*Tabla14[[#This Row],[% INTERES ]]/30*U4806))</f>
        <v>0</v>
      </c>
      <c r="T4806" s="53" t="e">
        <f>Tabla14[[#This Row],[DEUDA CAPITAL]]+Tabla14[[#This Row],[INTERES  CUOTA]]</f>
        <v>#NUM!</v>
      </c>
      <c r="U4806" s="61" t="str">
        <f t="shared" si="759"/>
        <v/>
      </c>
    </row>
    <row r="4807" spans="9:21" ht="24.75" customHeight="1" x14ac:dyDescent="0.35">
      <c r="I4807" s="42">
        <f t="shared" si="750"/>
        <v>0</v>
      </c>
      <c r="J4807" s="65" t="e">
        <f t="shared" si="751"/>
        <v>#NUM!</v>
      </c>
      <c r="K4807" s="83" t="e">
        <f t="shared" si="752"/>
        <v>#NUM!</v>
      </c>
      <c r="L4807" s="83">
        <f t="shared" si="753"/>
        <v>0</v>
      </c>
      <c r="M4807" s="110" t="str">
        <f t="shared" si="754"/>
        <v/>
      </c>
      <c r="N4807" s="51" t="str">
        <f t="shared" si="755"/>
        <v/>
      </c>
      <c r="O4807" s="52" t="str">
        <f t="shared" si="756"/>
        <v/>
      </c>
      <c r="P4807" s="88">
        <f t="shared" si="757"/>
        <v>0</v>
      </c>
      <c r="Q4807" s="88">
        <f t="shared" si="758"/>
        <v>0</v>
      </c>
      <c r="R4807" s="88" t="e">
        <f>-IF(Tabla14[[#This Row],[DIAS HABILES O MORA]]&lt;0,(Tabla14[[#This Row],[VALOR PRESTAMO]]*Tabla14[[#This Row],[% INTERES ]]/30*U4807))+Tabla14[[#This Row],[VALOR CUOTAS]]</f>
        <v>#VALUE!</v>
      </c>
      <c r="S4807" s="88">
        <f>-IF(Tabla14[[#This Row],[DIAS HABILES O MORA]]&lt;0,(Tabla14[[#This Row],[VALOR PRESTAMO]]*Tabla14[[#This Row],[% INTERES ]]/30*U4807))</f>
        <v>0</v>
      </c>
      <c r="T4807" s="53" t="e">
        <f>Tabla14[[#This Row],[DEUDA CAPITAL]]+Tabla14[[#This Row],[INTERES  CUOTA]]</f>
        <v>#NUM!</v>
      </c>
      <c r="U4807" s="61" t="str">
        <f t="shared" si="759"/>
        <v/>
      </c>
    </row>
    <row r="4808" spans="9:21" ht="24.75" customHeight="1" x14ac:dyDescent="0.35">
      <c r="I4808" s="42">
        <f t="shared" si="750"/>
        <v>0</v>
      </c>
      <c r="J4808" s="65" t="e">
        <f t="shared" si="751"/>
        <v>#NUM!</v>
      </c>
      <c r="K4808" s="83" t="e">
        <f t="shared" si="752"/>
        <v>#NUM!</v>
      </c>
      <c r="L4808" s="83">
        <f t="shared" si="753"/>
        <v>0</v>
      </c>
      <c r="M4808" s="110" t="str">
        <f t="shared" si="754"/>
        <v/>
      </c>
      <c r="N4808" s="51" t="str">
        <f t="shared" si="755"/>
        <v/>
      </c>
      <c r="O4808" s="52" t="str">
        <f t="shared" si="756"/>
        <v/>
      </c>
      <c r="P4808" s="88">
        <f t="shared" si="757"/>
        <v>0</v>
      </c>
      <c r="Q4808" s="88">
        <f t="shared" si="758"/>
        <v>0</v>
      </c>
      <c r="R4808" s="88" t="e">
        <f>-IF(Tabla14[[#This Row],[DIAS HABILES O MORA]]&lt;0,(Tabla14[[#This Row],[VALOR PRESTAMO]]*Tabla14[[#This Row],[% INTERES ]]/30*U4808))+Tabla14[[#This Row],[VALOR CUOTAS]]</f>
        <v>#VALUE!</v>
      </c>
      <c r="S4808" s="88">
        <f>-IF(Tabla14[[#This Row],[DIAS HABILES O MORA]]&lt;0,(Tabla14[[#This Row],[VALOR PRESTAMO]]*Tabla14[[#This Row],[% INTERES ]]/30*U4808))</f>
        <v>0</v>
      </c>
      <c r="T4808" s="53" t="e">
        <f>Tabla14[[#This Row],[DEUDA CAPITAL]]+Tabla14[[#This Row],[INTERES  CUOTA]]</f>
        <v>#NUM!</v>
      </c>
      <c r="U4808" s="61" t="str">
        <f t="shared" si="759"/>
        <v/>
      </c>
    </row>
    <row r="4809" spans="9:21" ht="24.75" customHeight="1" x14ac:dyDescent="0.35">
      <c r="I4809" s="42">
        <f t="shared" si="750"/>
        <v>0</v>
      </c>
      <c r="J4809" s="65" t="e">
        <f t="shared" si="751"/>
        <v>#NUM!</v>
      </c>
      <c r="K4809" s="83" t="e">
        <f t="shared" si="752"/>
        <v>#NUM!</v>
      </c>
      <c r="L4809" s="83">
        <f t="shared" si="753"/>
        <v>0</v>
      </c>
      <c r="M4809" s="110" t="str">
        <f t="shared" si="754"/>
        <v/>
      </c>
      <c r="N4809" s="51" t="str">
        <f t="shared" si="755"/>
        <v/>
      </c>
      <c r="O4809" s="52" t="str">
        <f t="shared" si="756"/>
        <v/>
      </c>
      <c r="P4809" s="88">
        <f t="shared" si="757"/>
        <v>0</v>
      </c>
      <c r="Q4809" s="88">
        <f t="shared" si="758"/>
        <v>0</v>
      </c>
      <c r="R4809" s="88" t="e">
        <f>-IF(Tabla14[[#This Row],[DIAS HABILES O MORA]]&lt;0,(Tabla14[[#This Row],[VALOR PRESTAMO]]*Tabla14[[#This Row],[% INTERES ]]/30*U4809))+Tabla14[[#This Row],[VALOR CUOTAS]]</f>
        <v>#VALUE!</v>
      </c>
      <c r="S4809" s="88">
        <f>-IF(Tabla14[[#This Row],[DIAS HABILES O MORA]]&lt;0,(Tabla14[[#This Row],[VALOR PRESTAMO]]*Tabla14[[#This Row],[% INTERES ]]/30*U4809))</f>
        <v>0</v>
      </c>
      <c r="T4809" s="53" t="e">
        <f>Tabla14[[#This Row],[DEUDA CAPITAL]]+Tabla14[[#This Row],[INTERES  CUOTA]]</f>
        <v>#NUM!</v>
      </c>
      <c r="U4809" s="61" t="str">
        <f t="shared" si="759"/>
        <v/>
      </c>
    </row>
    <row r="4810" spans="9:21" ht="24.75" customHeight="1" x14ac:dyDescent="0.35">
      <c r="I4810" s="42">
        <f t="shared" si="750"/>
        <v>0</v>
      </c>
      <c r="J4810" s="65" t="e">
        <f t="shared" si="751"/>
        <v>#NUM!</v>
      </c>
      <c r="K4810" s="83" t="e">
        <f t="shared" si="752"/>
        <v>#NUM!</v>
      </c>
      <c r="L4810" s="83">
        <f t="shared" si="753"/>
        <v>0</v>
      </c>
      <c r="M4810" s="110" t="str">
        <f t="shared" si="754"/>
        <v/>
      </c>
      <c r="N4810" s="51" t="str">
        <f t="shared" si="755"/>
        <v/>
      </c>
      <c r="O4810" s="52" t="str">
        <f t="shared" si="756"/>
        <v/>
      </c>
      <c r="P4810" s="88">
        <f t="shared" si="757"/>
        <v>0</v>
      </c>
      <c r="Q4810" s="88">
        <f t="shared" si="758"/>
        <v>0</v>
      </c>
      <c r="R4810" s="88" t="e">
        <f>-IF(Tabla14[[#This Row],[DIAS HABILES O MORA]]&lt;0,(Tabla14[[#This Row],[VALOR PRESTAMO]]*Tabla14[[#This Row],[% INTERES ]]/30*U4810))+Tabla14[[#This Row],[VALOR CUOTAS]]</f>
        <v>#VALUE!</v>
      </c>
      <c r="S4810" s="88">
        <f>-IF(Tabla14[[#This Row],[DIAS HABILES O MORA]]&lt;0,(Tabla14[[#This Row],[VALOR PRESTAMO]]*Tabla14[[#This Row],[% INTERES ]]/30*U4810))</f>
        <v>0</v>
      </c>
      <c r="T4810" s="53" t="e">
        <f>Tabla14[[#This Row],[DEUDA CAPITAL]]+Tabla14[[#This Row],[INTERES  CUOTA]]</f>
        <v>#NUM!</v>
      </c>
      <c r="U4810" s="61" t="str">
        <f t="shared" si="759"/>
        <v/>
      </c>
    </row>
    <row r="4811" spans="9:21" ht="24.75" customHeight="1" x14ac:dyDescent="0.35">
      <c r="I4811" s="42">
        <f t="shared" si="750"/>
        <v>0</v>
      </c>
      <c r="J4811" s="65" t="e">
        <f t="shared" si="751"/>
        <v>#NUM!</v>
      </c>
      <c r="K4811" s="83" t="e">
        <f t="shared" si="752"/>
        <v>#NUM!</v>
      </c>
      <c r="L4811" s="83">
        <f t="shared" si="753"/>
        <v>0</v>
      </c>
      <c r="M4811" s="110" t="str">
        <f t="shared" si="754"/>
        <v/>
      </c>
      <c r="N4811" s="51" t="str">
        <f t="shared" si="755"/>
        <v/>
      </c>
      <c r="O4811" s="52" t="str">
        <f t="shared" si="756"/>
        <v/>
      </c>
      <c r="P4811" s="88">
        <f t="shared" si="757"/>
        <v>0</v>
      </c>
      <c r="Q4811" s="88">
        <f t="shared" si="758"/>
        <v>0</v>
      </c>
      <c r="R4811" s="88" t="e">
        <f>-IF(Tabla14[[#This Row],[DIAS HABILES O MORA]]&lt;0,(Tabla14[[#This Row],[VALOR PRESTAMO]]*Tabla14[[#This Row],[% INTERES ]]/30*U4811))+Tabla14[[#This Row],[VALOR CUOTAS]]</f>
        <v>#VALUE!</v>
      </c>
      <c r="S4811" s="88">
        <f>-IF(Tabla14[[#This Row],[DIAS HABILES O MORA]]&lt;0,(Tabla14[[#This Row],[VALOR PRESTAMO]]*Tabla14[[#This Row],[% INTERES ]]/30*U4811))</f>
        <v>0</v>
      </c>
      <c r="T4811" s="53" t="e">
        <f>Tabla14[[#This Row],[DEUDA CAPITAL]]+Tabla14[[#This Row],[INTERES  CUOTA]]</f>
        <v>#NUM!</v>
      </c>
      <c r="U4811" s="61" t="str">
        <f t="shared" si="759"/>
        <v/>
      </c>
    </row>
    <row r="4812" spans="9:21" ht="24.75" customHeight="1" x14ac:dyDescent="0.35">
      <c r="I4812" s="42">
        <f t="shared" si="750"/>
        <v>0</v>
      </c>
      <c r="J4812" s="65" t="e">
        <f t="shared" si="751"/>
        <v>#NUM!</v>
      </c>
      <c r="K4812" s="83" t="e">
        <f t="shared" si="752"/>
        <v>#NUM!</v>
      </c>
      <c r="L4812" s="83">
        <f t="shared" si="753"/>
        <v>0</v>
      </c>
      <c r="M4812" s="110" t="str">
        <f t="shared" si="754"/>
        <v/>
      </c>
      <c r="N4812" s="51" t="str">
        <f t="shared" si="755"/>
        <v/>
      </c>
      <c r="O4812" s="52" t="str">
        <f t="shared" si="756"/>
        <v/>
      </c>
      <c r="P4812" s="88">
        <f t="shared" si="757"/>
        <v>0</v>
      </c>
      <c r="Q4812" s="88">
        <f t="shared" si="758"/>
        <v>0</v>
      </c>
      <c r="R4812" s="88" t="e">
        <f>-IF(Tabla14[[#This Row],[DIAS HABILES O MORA]]&lt;0,(Tabla14[[#This Row],[VALOR PRESTAMO]]*Tabla14[[#This Row],[% INTERES ]]/30*U4812))+Tabla14[[#This Row],[VALOR CUOTAS]]</f>
        <v>#VALUE!</v>
      </c>
      <c r="S4812" s="88">
        <f>-IF(Tabla14[[#This Row],[DIAS HABILES O MORA]]&lt;0,(Tabla14[[#This Row],[VALOR PRESTAMO]]*Tabla14[[#This Row],[% INTERES ]]/30*U4812))</f>
        <v>0</v>
      </c>
      <c r="T4812" s="53" t="e">
        <f>Tabla14[[#This Row],[DEUDA CAPITAL]]+Tabla14[[#This Row],[INTERES  CUOTA]]</f>
        <v>#NUM!</v>
      </c>
      <c r="U4812" s="61" t="str">
        <f t="shared" si="759"/>
        <v/>
      </c>
    </row>
    <row r="4813" spans="9:21" ht="24.75" customHeight="1" x14ac:dyDescent="0.35">
      <c r="I4813" s="42">
        <f t="shared" si="750"/>
        <v>0</v>
      </c>
      <c r="J4813" s="65" t="e">
        <f t="shared" si="751"/>
        <v>#NUM!</v>
      </c>
      <c r="K4813" s="83" t="e">
        <f t="shared" si="752"/>
        <v>#NUM!</v>
      </c>
      <c r="L4813" s="83">
        <f t="shared" si="753"/>
        <v>0</v>
      </c>
      <c r="M4813" s="110" t="str">
        <f t="shared" si="754"/>
        <v/>
      </c>
      <c r="N4813" s="51" t="str">
        <f t="shared" si="755"/>
        <v/>
      </c>
      <c r="O4813" s="52" t="str">
        <f t="shared" si="756"/>
        <v/>
      </c>
      <c r="P4813" s="88">
        <f t="shared" si="757"/>
        <v>0</v>
      </c>
      <c r="Q4813" s="88">
        <f t="shared" si="758"/>
        <v>0</v>
      </c>
      <c r="R4813" s="88" t="e">
        <f>-IF(Tabla14[[#This Row],[DIAS HABILES O MORA]]&lt;0,(Tabla14[[#This Row],[VALOR PRESTAMO]]*Tabla14[[#This Row],[% INTERES ]]/30*U4813))+Tabla14[[#This Row],[VALOR CUOTAS]]</f>
        <v>#VALUE!</v>
      </c>
      <c r="S4813" s="88">
        <f>-IF(Tabla14[[#This Row],[DIAS HABILES O MORA]]&lt;0,(Tabla14[[#This Row],[VALOR PRESTAMO]]*Tabla14[[#This Row],[% INTERES ]]/30*U4813))</f>
        <v>0</v>
      </c>
      <c r="T4813" s="53" t="e">
        <f>Tabla14[[#This Row],[DEUDA CAPITAL]]+Tabla14[[#This Row],[INTERES  CUOTA]]</f>
        <v>#NUM!</v>
      </c>
      <c r="U4813" s="61" t="str">
        <f t="shared" si="759"/>
        <v/>
      </c>
    </row>
    <row r="4814" spans="9:21" ht="24.75" customHeight="1" x14ac:dyDescent="0.35">
      <c r="I4814" s="42">
        <f t="shared" si="750"/>
        <v>0</v>
      </c>
      <c r="J4814" s="65" t="e">
        <f t="shared" si="751"/>
        <v>#NUM!</v>
      </c>
      <c r="K4814" s="83" t="e">
        <f t="shared" si="752"/>
        <v>#NUM!</v>
      </c>
      <c r="L4814" s="83">
        <f t="shared" si="753"/>
        <v>0</v>
      </c>
      <c r="M4814" s="110" t="str">
        <f t="shared" si="754"/>
        <v/>
      </c>
      <c r="N4814" s="51" t="str">
        <f t="shared" si="755"/>
        <v/>
      </c>
      <c r="O4814" s="52" t="str">
        <f t="shared" si="756"/>
        <v/>
      </c>
      <c r="P4814" s="88">
        <f t="shared" si="757"/>
        <v>0</v>
      </c>
      <c r="Q4814" s="88">
        <f t="shared" si="758"/>
        <v>0</v>
      </c>
      <c r="R4814" s="88" t="e">
        <f>-IF(Tabla14[[#This Row],[DIAS HABILES O MORA]]&lt;0,(Tabla14[[#This Row],[VALOR PRESTAMO]]*Tabla14[[#This Row],[% INTERES ]]/30*U4814))+Tabla14[[#This Row],[VALOR CUOTAS]]</f>
        <v>#VALUE!</v>
      </c>
      <c r="S4814" s="88">
        <f>-IF(Tabla14[[#This Row],[DIAS HABILES O MORA]]&lt;0,(Tabla14[[#This Row],[VALOR PRESTAMO]]*Tabla14[[#This Row],[% INTERES ]]/30*U4814))</f>
        <v>0</v>
      </c>
      <c r="T4814" s="53" t="e">
        <f>Tabla14[[#This Row],[DEUDA CAPITAL]]+Tabla14[[#This Row],[INTERES  CUOTA]]</f>
        <v>#NUM!</v>
      </c>
      <c r="U4814" s="61" t="str">
        <f t="shared" si="759"/>
        <v/>
      </c>
    </row>
    <row r="4815" spans="9:21" ht="24.75" customHeight="1" x14ac:dyDescent="0.35">
      <c r="I4815" s="42">
        <f t="shared" si="750"/>
        <v>0</v>
      </c>
      <c r="J4815" s="65" t="e">
        <f t="shared" si="751"/>
        <v>#NUM!</v>
      </c>
      <c r="K4815" s="83" t="e">
        <f t="shared" si="752"/>
        <v>#NUM!</v>
      </c>
      <c r="L4815" s="83">
        <f t="shared" si="753"/>
        <v>0</v>
      </c>
      <c r="M4815" s="110" t="str">
        <f t="shared" si="754"/>
        <v/>
      </c>
      <c r="N4815" s="51" t="str">
        <f t="shared" si="755"/>
        <v/>
      </c>
      <c r="O4815" s="52" t="str">
        <f t="shared" si="756"/>
        <v/>
      </c>
      <c r="P4815" s="88">
        <f t="shared" si="757"/>
        <v>0</v>
      </c>
      <c r="Q4815" s="88">
        <f t="shared" si="758"/>
        <v>0</v>
      </c>
      <c r="R4815" s="88" t="e">
        <f>-IF(Tabla14[[#This Row],[DIAS HABILES O MORA]]&lt;0,(Tabla14[[#This Row],[VALOR PRESTAMO]]*Tabla14[[#This Row],[% INTERES ]]/30*U4815))+Tabla14[[#This Row],[VALOR CUOTAS]]</f>
        <v>#VALUE!</v>
      </c>
      <c r="S4815" s="88">
        <f>-IF(Tabla14[[#This Row],[DIAS HABILES O MORA]]&lt;0,(Tabla14[[#This Row],[VALOR PRESTAMO]]*Tabla14[[#This Row],[% INTERES ]]/30*U4815))</f>
        <v>0</v>
      </c>
      <c r="T4815" s="53" t="e">
        <f>Tabla14[[#This Row],[DEUDA CAPITAL]]+Tabla14[[#This Row],[INTERES  CUOTA]]</f>
        <v>#NUM!</v>
      </c>
      <c r="U4815" s="61" t="str">
        <f t="shared" si="759"/>
        <v/>
      </c>
    </row>
    <row r="4816" spans="9:21" ht="24.75" customHeight="1" x14ac:dyDescent="0.35">
      <c r="I4816" s="42">
        <f t="shared" ref="I4816:I4879" si="760">IF(C4816&lt;0,"",IF(Q4816=0,0,IF(G4816=0,H4816+1,IF(H4816&lt;G4816,H4816+1,IF(G4816=H4816,0)))))</f>
        <v>0</v>
      </c>
      <c r="J4816" s="65" t="e">
        <f t="shared" ref="J4816:J4879" si="761">IF(F4816="SOLO INTERES",Q4816*D4816,-IPMT(D4816,I4816,G4816,C4816))</f>
        <v>#NUM!</v>
      </c>
      <c r="K4816" s="83" t="e">
        <f t="shared" ref="K4816:K4879" si="762">IF(F4816="SOLO INTERES",0,-PPMT(D4816,I4816,G4816,C4816))</f>
        <v>#NUM!</v>
      </c>
      <c r="L4816" s="83">
        <f t="shared" ref="L4816:L4879" si="763">IF(F4816="SOLO INTERES",SUM(Y4816:AAE4816),IFERROR(-CUMIPMT(D4816,G4816,C4816,1,H4816,0),0)+SUM(Y4816:WY4816))</f>
        <v>0</v>
      </c>
      <c r="M4816" s="110" t="str">
        <f t="shared" ref="M4816:M4879" si="764">IFERROR(IF(F4816="SOLO INTERES",Q4816*D4816,-PMT(D4816,G4816,C4816,0)),"")</f>
        <v/>
      </c>
      <c r="N4816" s="51" t="str">
        <f t="shared" ref="N4816:N4879" si="765">IF(Q4816=0,"",IF(E4816="MENSUAL",EDATE(B4816,I4816),IF(E4816="QUINCENAL",B4816+(I4816*15),IF(E4816="SEMANAL",B4816+(I4816*7)))))</f>
        <v/>
      </c>
      <c r="O4816" s="52" t="str">
        <f t="shared" ref="O4816:O4879" si="766">IF(C4816=0,"",IF(Q4816&lt;1,"PAGADO",IF(N4816=$A$3,"COBRAR HOY",IF(N4816&lt;$A$3,"EN MORA",IF(N4816&gt;$A$3,"AL DIA")))))</f>
        <v/>
      </c>
      <c r="P4816" s="88">
        <f t="shared" ref="P4816:P4879" si="767">IFERROR(-CUMPRINC(D4816,G4816,C4816,1,H4816,0),0)+W4816</f>
        <v>0</v>
      </c>
      <c r="Q4816" s="88">
        <f t="shared" ref="Q4816:Q4879" si="768">IFERROR(C4816-P4816,"")</f>
        <v>0</v>
      </c>
      <c r="R4816" s="88" t="e">
        <f>-IF(Tabla14[[#This Row],[DIAS HABILES O MORA]]&lt;0,(Tabla14[[#This Row],[VALOR PRESTAMO]]*Tabla14[[#This Row],[% INTERES ]]/30*U4816))+Tabla14[[#This Row],[VALOR CUOTAS]]</f>
        <v>#VALUE!</v>
      </c>
      <c r="S4816" s="88">
        <f>-IF(Tabla14[[#This Row],[DIAS HABILES O MORA]]&lt;0,(Tabla14[[#This Row],[VALOR PRESTAMO]]*Tabla14[[#This Row],[% INTERES ]]/30*U4816))</f>
        <v>0</v>
      </c>
      <c r="T4816" s="53" t="e">
        <f>Tabla14[[#This Row],[DEUDA CAPITAL]]+Tabla14[[#This Row],[INTERES  CUOTA]]</f>
        <v>#NUM!</v>
      </c>
      <c r="U4816" s="61" t="str">
        <f t="shared" ref="U4816:U4879" si="769">IF(O4816="PAGADO","",IFERROR(-IF(C4816=0,"",$A$3-N4816),""))</f>
        <v/>
      </c>
    </row>
    <row r="4817" spans="9:21" ht="24.75" customHeight="1" x14ac:dyDescent="0.35">
      <c r="I4817" s="42">
        <f t="shared" si="760"/>
        <v>0</v>
      </c>
      <c r="J4817" s="65" t="e">
        <f t="shared" si="761"/>
        <v>#NUM!</v>
      </c>
      <c r="K4817" s="83" t="e">
        <f t="shared" si="762"/>
        <v>#NUM!</v>
      </c>
      <c r="L4817" s="83">
        <f t="shared" si="763"/>
        <v>0</v>
      </c>
      <c r="M4817" s="110" t="str">
        <f t="shared" si="764"/>
        <v/>
      </c>
      <c r="N4817" s="51" t="str">
        <f t="shared" si="765"/>
        <v/>
      </c>
      <c r="O4817" s="52" t="str">
        <f t="shared" si="766"/>
        <v/>
      </c>
      <c r="P4817" s="88">
        <f t="shared" si="767"/>
        <v>0</v>
      </c>
      <c r="Q4817" s="88">
        <f t="shared" si="768"/>
        <v>0</v>
      </c>
      <c r="R4817" s="88" t="e">
        <f>-IF(Tabla14[[#This Row],[DIAS HABILES O MORA]]&lt;0,(Tabla14[[#This Row],[VALOR PRESTAMO]]*Tabla14[[#This Row],[% INTERES ]]/30*U4817))+Tabla14[[#This Row],[VALOR CUOTAS]]</f>
        <v>#VALUE!</v>
      </c>
      <c r="S4817" s="88">
        <f>-IF(Tabla14[[#This Row],[DIAS HABILES O MORA]]&lt;0,(Tabla14[[#This Row],[VALOR PRESTAMO]]*Tabla14[[#This Row],[% INTERES ]]/30*U4817))</f>
        <v>0</v>
      </c>
      <c r="T4817" s="53" t="e">
        <f>Tabla14[[#This Row],[DEUDA CAPITAL]]+Tabla14[[#This Row],[INTERES  CUOTA]]</f>
        <v>#NUM!</v>
      </c>
      <c r="U4817" s="61" t="str">
        <f t="shared" si="769"/>
        <v/>
      </c>
    </row>
    <row r="4818" spans="9:21" ht="24.75" customHeight="1" x14ac:dyDescent="0.35">
      <c r="I4818" s="42">
        <f t="shared" si="760"/>
        <v>0</v>
      </c>
      <c r="J4818" s="65" t="e">
        <f t="shared" si="761"/>
        <v>#NUM!</v>
      </c>
      <c r="K4818" s="83" t="e">
        <f t="shared" si="762"/>
        <v>#NUM!</v>
      </c>
      <c r="L4818" s="83">
        <f t="shared" si="763"/>
        <v>0</v>
      </c>
      <c r="M4818" s="110" t="str">
        <f t="shared" si="764"/>
        <v/>
      </c>
      <c r="N4818" s="51" t="str">
        <f t="shared" si="765"/>
        <v/>
      </c>
      <c r="O4818" s="52" t="str">
        <f t="shared" si="766"/>
        <v/>
      </c>
      <c r="P4818" s="88">
        <f t="shared" si="767"/>
        <v>0</v>
      </c>
      <c r="Q4818" s="88">
        <f t="shared" si="768"/>
        <v>0</v>
      </c>
      <c r="R4818" s="88" t="e">
        <f>-IF(Tabla14[[#This Row],[DIAS HABILES O MORA]]&lt;0,(Tabla14[[#This Row],[VALOR PRESTAMO]]*Tabla14[[#This Row],[% INTERES ]]/30*U4818))+Tabla14[[#This Row],[VALOR CUOTAS]]</f>
        <v>#VALUE!</v>
      </c>
      <c r="S4818" s="88">
        <f>-IF(Tabla14[[#This Row],[DIAS HABILES O MORA]]&lt;0,(Tabla14[[#This Row],[VALOR PRESTAMO]]*Tabla14[[#This Row],[% INTERES ]]/30*U4818))</f>
        <v>0</v>
      </c>
      <c r="T4818" s="53" t="e">
        <f>Tabla14[[#This Row],[DEUDA CAPITAL]]+Tabla14[[#This Row],[INTERES  CUOTA]]</f>
        <v>#NUM!</v>
      </c>
      <c r="U4818" s="61" t="str">
        <f t="shared" si="769"/>
        <v/>
      </c>
    </row>
    <row r="4819" spans="9:21" ht="24.75" customHeight="1" x14ac:dyDescent="0.35">
      <c r="I4819" s="42">
        <f t="shared" si="760"/>
        <v>0</v>
      </c>
      <c r="J4819" s="65" t="e">
        <f t="shared" si="761"/>
        <v>#NUM!</v>
      </c>
      <c r="K4819" s="83" t="e">
        <f t="shared" si="762"/>
        <v>#NUM!</v>
      </c>
      <c r="L4819" s="83">
        <f t="shared" si="763"/>
        <v>0</v>
      </c>
      <c r="M4819" s="110" t="str">
        <f t="shared" si="764"/>
        <v/>
      </c>
      <c r="N4819" s="51" t="str">
        <f t="shared" si="765"/>
        <v/>
      </c>
      <c r="O4819" s="52" t="str">
        <f t="shared" si="766"/>
        <v/>
      </c>
      <c r="P4819" s="88">
        <f t="shared" si="767"/>
        <v>0</v>
      </c>
      <c r="Q4819" s="88">
        <f t="shared" si="768"/>
        <v>0</v>
      </c>
      <c r="R4819" s="88" t="e">
        <f>-IF(Tabla14[[#This Row],[DIAS HABILES O MORA]]&lt;0,(Tabla14[[#This Row],[VALOR PRESTAMO]]*Tabla14[[#This Row],[% INTERES ]]/30*U4819))+Tabla14[[#This Row],[VALOR CUOTAS]]</f>
        <v>#VALUE!</v>
      </c>
      <c r="S4819" s="88">
        <f>-IF(Tabla14[[#This Row],[DIAS HABILES O MORA]]&lt;0,(Tabla14[[#This Row],[VALOR PRESTAMO]]*Tabla14[[#This Row],[% INTERES ]]/30*U4819))</f>
        <v>0</v>
      </c>
      <c r="T4819" s="53" t="e">
        <f>Tabla14[[#This Row],[DEUDA CAPITAL]]+Tabla14[[#This Row],[INTERES  CUOTA]]</f>
        <v>#NUM!</v>
      </c>
      <c r="U4819" s="61" t="str">
        <f t="shared" si="769"/>
        <v/>
      </c>
    </row>
    <row r="4820" spans="9:21" ht="24.75" customHeight="1" x14ac:dyDescent="0.35">
      <c r="I4820" s="42">
        <f t="shared" si="760"/>
        <v>0</v>
      </c>
      <c r="J4820" s="65" t="e">
        <f t="shared" si="761"/>
        <v>#NUM!</v>
      </c>
      <c r="K4820" s="83" t="e">
        <f t="shared" si="762"/>
        <v>#NUM!</v>
      </c>
      <c r="L4820" s="83">
        <f t="shared" si="763"/>
        <v>0</v>
      </c>
      <c r="M4820" s="110" t="str">
        <f t="shared" si="764"/>
        <v/>
      </c>
      <c r="N4820" s="51" t="str">
        <f t="shared" si="765"/>
        <v/>
      </c>
      <c r="O4820" s="52" t="str">
        <f t="shared" si="766"/>
        <v/>
      </c>
      <c r="P4820" s="88">
        <f t="shared" si="767"/>
        <v>0</v>
      </c>
      <c r="Q4820" s="88">
        <f t="shared" si="768"/>
        <v>0</v>
      </c>
      <c r="R4820" s="88" t="e">
        <f>-IF(Tabla14[[#This Row],[DIAS HABILES O MORA]]&lt;0,(Tabla14[[#This Row],[VALOR PRESTAMO]]*Tabla14[[#This Row],[% INTERES ]]/30*U4820))+Tabla14[[#This Row],[VALOR CUOTAS]]</f>
        <v>#VALUE!</v>
      </c>
      <c r="S4820" s="88">
        <f>-IF(Tabla14[[#This Row],[DIAS HABILES O MORA]]&lt;0,(Tabla14[[#This Row],[VALOR PRESTAMO]]*Tabla14[[#This Row],[% INTERES ]]/30*U4820))</f>
        <v>0</v>
      </c>
      <c r="T4820" s="53" t="e">
        <f>Tabla14[[#This Row],[DEUDA CAPITAL]]+Tabla14[[#This Row],[INTERES  CUOTA]]</f>
        <v>#NUM!</v>
      </c>
      <c r="U4820" s="61" t="str">
        <f t="shared" si="769"/>
        <v/>
      </c>
    </row>
    <row r="4821" spans="9:21" ht="24.75" customHeight="1" x14ac:dyDescent="0.35">
      <c r="I4821" s="42">
        <f t="shared" si="760"/>
        <v>0</v>
      </c>
      <c r="J4821" s="65" t="e">
        <f t="shared" si="761"/>
        <v>#NUM!</v>
      </c>
      <c r="K4821" s="83" t="e">
        <f t="shared" si="762"/>
        <v>#NUM!</v>
      </c>
      <c r="L4821" s="83">
        <f t="shared" si="763"/>
        <v>0</v>
      </c>
      <c r="M4821" s="110" t="str">
        <f t="shared" si="764"/>
        <v/>
      </c>
      <c r="N4821" s="51" t="str">
        <f t="shared" si="765"/>
        <v/>
      </c>
      <c r="O4821" s="52" t="str">
        <f t="shared" si="766"/>
        <v/>
      </c>
      <c r="P4821" s="88">
        <f t="shared" si="767"/>
        <v>0</v>
      </c>
      <c r="Q4821" s="88">
        <f t="shared" si="768"/>
        <v>0</v>
      </c>
      <c r="R4821" s="88" t="e">
        <f>-IF(Tabla14[[#This Row],[DIAS HABILES O MORA]]&lt;0,(Tabla14[[#This Row],[VALOR PRESTAMO]]*Tabla14[[#This Row],[% INTERES ]]/30*U4821))+Tabla14[[#This Row],[VALOR CUOTAS]]</f>
        <v>#VALUE!</v>
      </c>
      <c r="S4821" s="88">
        <f>-IF(Tabla14[[#This Row],[DIAS HABILES O MORA]]&lt;0,(Tabla14[[#This Row],[VALOR PRESTAMO]]*Tabla14[[#This Row],[% INTERES ]]/30*U4821))</f>
        <v>0</v>
      </c>
      <c r="T4821" s="53" t="e">
        <f>Tabla14[[#This Row],[DEUDA CAPITAL]]+Tabla14[[#This Row],[INTERES  CUOTA]]</f>
        <v>#NUM!</v>
      </c>
      <c r="U4821" s="61" t="str">
        <f t="shared" si="769"/>
        <v/>
      </c>
    </row>
    <row r="4822" spans="9:21" ht="24.75" customHeight="1" x14ac:dyDescent="0.35">
      <c r="I4822" s="42">
        <f t="shared" si="760"/>
        <v>0</v>
      </c>
      <c r="J4822" s="65" t="e">
        <f t="shared" si="761"/>
        <v>#NUM!</v>
      </c>
      <c r="K4822" s="83" t="e">
        <f t="shared" si="762"/>
        <v>#NUM!</v>
      </c>
      <c r="L4822" s="83">
        <f t="shared" si="763"/>
        <v>0</v>
      </c>
      <c r="M4822" s="110" t="str">
        <f t="shared" si="764"/>
        <v/>
      </c>
      <c r="N4822" s="51" t="str">
        <f t="shared" si="765"/>
        <v/>
      </c>
      <c r="O4822" s="52" t="str">
        <f t="shared" si="766"/>
        <v/>
      </c>
      <c r="P4822" s="88">
        <f t="shared" si="767"/>
        <v>0</v>
      </c>
      <c r="Q4822" s="88">
        <f t="shared" si="768"/>
        <v>0</v>
      </c>
      <c r="R4822" s="88" t="e">
        <f>-IF(Tabla14[[#This Row],[DIAS HABILES O MORA]]&lt;0,(Tabla14[[#This Row],[VALOR PRESTAMO]]*Tabla14[[#This Row],[% INTERES ]]/30*U4822))+Tabla14[[#This Row],[VALOR CUOTAS]]</f>
        <v>#VALUE!</v>
      </c>
      <c r="S4822" s="88">
        <f>-IF(Tabla14[[#This Row],[DIAS HABILES O MORA]]&lt;0,(Tabla14[[#This Row],[VALOR PRESTAMO]]*Tabla14[[#This Row],[% INTERES ]]/30*U4822))</f>
        <v>0</v>
      </c>
      <c r="T4822" s="53" t="e">
        <f>Tabla14[[#This Row],[DEUDA CAPITAL]]+Tabla14[[#This Row],[INTERES  CUOTA]]</f>
        <v>#NUM!</v>
      </c>
      <c r="U4822" s="61" t="str">
        <f t="shared" si="769"/>
        <v/>
      </c>
    </row>
    <row r="4823" spans="9:21" ht="24.75" customHeight="1" x14ac:dyDescent="0.35">
      <c r="I4823" s="42">
        <f t="shared" si="760"/>
        <v>0</v>
      </c>
      <c r="J4823" s="65" t="e">
        <f t="shared" si="761"/>
        <v>#NUM!</v>
      </c>
      <c r="K4823" s="83" t="e">
        <f t="shared" si="762"/>
        <v>#NUM!</v>
      </c>
      <c r="L4823" s="83">
        <f t="shared" si="763"/>
        <v>0</v>
      </c>
      <c r="M4823" s="110" t="str">
        <f t="shared" si="764"/>
        <v/>
      </c>
      <c r="N4823" s="51" t="str">
        <f t="shared" si="765"/>
        <v/>
      </c>
      <c r="O4823" s="52" t="str">
        <f t="shared" si="766"/>
        <v/>
      </c>
      <c r="P4823" s="88">
        <f t="shared" si="767"/>
        <v>0</v>
      </c>
      <c r="Q4823" s="88">
        <f t="shared" si="768"/>
        <v>0</v>
      </c>
      <c r="R4823" s="88" t="e">
        <f>-IF(Tabla14[[#This Row],[DIAS HABILES O MORA]]&lt;0,(Tabla14[[#This Row],[VALOR PRESTAMO]]*Tabla14[[#This Row],[% INTERES ]]/30*U4823))+Tabla14[[#This Row],[VALOR CUOTAS]]</f>
        <v>#VALUE!</v>
      </c>
      <c r="S4823" s="88">
        <f>-IF(Tabla14[[#This Row],[DIAS HABILES O MORA]]&lt;0,(Tabla14[[#This Row],[VALOR PRESTAMO]]*Tabla14[[#This Row],[% INTERES ]]/30*U4823))</f>
        <v>0</v>
      </c>
      <c r="T4823" s="53" t="e">
        <f>Tabla14[[#This Row],[DEUDA CAPITAL]]+Tabla14[[#This Row],[INTERES  CUOTA]]</f>
        <v>#NUM!</v>
      </c>
      <c r="U4823" s="61" t="str">
        <f t="shared" si="769"/>
        <v/>
      </c>
    </row>
    <row r="4824" spans="9:21" ht="24.75" customHeight="1" x14ac:dyDescent="0.35">
      <c r="I4824" s="42">
        <f t="shared" si="760"/>
        <v>0</v>
      </c>
      <c r="J4824" s="65" t="e">
        <f t="shared" si="761"/>
        <v>#NUM!</v>
      </c>
      <c r="K4824" s="83" t="e">
        <f t="shared" si="762"/>
        <v>#NUM!</v>
      </c>
      <c r="L4824" s="83">
        <f t="shared" si="763"/>
        <v>0</v>
      </c>
      <c r="M4824" s="110" t="str">
        <f t="shared" si="764"/>
        <v/>
      </c>
      <c r="N4824" s="51" t="str">
        <f t="shared" si="765"/>
        <v/>
      </c>
      <c r="O4824" s="52" t="str">
        <f t="shared" si="766"/>
        <v/>
      </c>
      <c r="P4824" s="88">
        <f t="shared" si="767"/>
        <v>0</v>
      </c>
      <c r="Q4824" s="88">
        <f t="shared" si="768"/>
        <v>0</v>
      </c>
      <c r="R4824" s="88" t="e">
        <f>-IF(Tabla14[[#This Row],[DIAS HABILES O MORA]]&lt;0,(Tabla14[[#This Row],[VALOR PRESTAMO]]*Tabla14[[#This Row],[% INTERES ]]/30*U4824))+Tabla14[[#This Row],[VALOR CUOTAS]]</f>
        <v>#VALUE!</v>
      </c>
      <c r="S4824" s="88">
        <f>-IF(Tabla14[[#This Row],[DIAS HABILES O MORA]]&lt;0,(Tabla14[[#This Row],[VALOR PRESTAMO]]*Tabla14[[#This Row],[% INTERES ]]/30*U4824))</f>
        <v>0</v>
      </c>
      <c r="T4824" s="53" t="e">
        <f>Tabla14[[#This Row],[DEUDA CAPITAL]]+Tabla14[[#This Row],[INTERES  CUOTA]]</f>
        <v>#NUM!</v>
      </c>
      <c r="U4824" s="61" t="str">
        <f t="shared" si="769"/>
        <v/>
      </c>
    </row>
    <row r="4825" spans="9:21" ht="24.75" customHeight="1" x14ac:dyDescent="0.35">
      <c r="I4825" s="42">
        <f t="shared" si="760"/>
        <v>0</v>
      </c>
      <c r="J4825" s="65" t="e">
        <f t="shared" si="761"/>
        <v>#NUM!</v>
      </c>
      <c r="K4825" s="83" t="e">
        <f t="shared" si="762"/>
        <v>#NUM!</v>
      </c>
      <c r="L4825" s="83">
        <f t="shared" si="763"/>
        <v>0</v>
      </c>
      <c r="M4825" s="110" t="str">
        <f t="shared" si="764"/>
        <v/>
      </c>
      <c r="N4825" s="51" t="str">
        <f t="shared" si="765"/>
        <v/>
      </c>
      <c r="O4825" s="52" t="str">
        <f t="shared" si="766"/>
        <v/>
      </c>
      <c r="P4825" s="88">
        <f t="shared" si="767"/>
        <v>0</v>
      </c>
      <c r="Q4825" s="88">
        <f t="shared" si="768"/>
        <v>0</v>
      </c>
      <c r="R4825" s="88" t="e">
        <f>-IF(Tabla14[[#This Row],[DIAS HABILES O MORA]]&lt;0,(Tabla14[[#This Row],[VALOR PRESTAMO]]*Tabla14[[#This Row],[% INTERES ]]/30*U4825))+Tabla14[[#This Row],[VALOR CUOTAS]]</f>
        <v>#VALUE!</v>
      </c>
      <c r="S4825" s="88">
        <f>-IF(Tabla14[[#This Row],[DIAS HABILES O MORA]]&lt;0,(Tabla14[[#This Row],[VALOR PRESTAMO]]*Tabla14[[#This Row],[% INTERES ]]/30*U4825))</f>
        <v>0</v>
      </c>
      <c r="T4825" s="53" t="e">
        <f>Tabla14[[#This Row],[DEUDA CAPITAL]]+Tabla14[[#This Row],[INTERES  CUOTA]]</f>
        <v>#NUM!</v>
      </c>
      <c r="U4825" s="61" t="str">
        <f t="shared" si="769"/>
        <v/>
      </c>
    </row>
    <row r="4826" spans="9:21" ht="24.75" customHeight="1" x14ac:dyDescent="0.35">
      <c r="I4826" s="42">
        <f t="shared" si="760"/>
        <v>0</v>
      </c>
      <c r="J4826" s="65" t="e">
        <f t="shared" si="761"/>
        <v>#NUM!</v>
      </c>
      <c r="K4826" s="83" t="e">
        <f t="shared" si="762"/>
        <v>#NUM!</v>
      </c>
      <c r="L4826" s="83">
        <f t="shared" si="763"/>
        <v>0</v>
      </c>
      <c r="M4826" s="110" t="str">
        <f t="shared" si="764"/>
        <v/>
      </c>
      <c r="N4826" s="51" t="str">
        <f t="shared" si="765"/>
        <v/>
      </c>
      <c r="O4826" s="52" t="str">
        <f t="shared" si="766"/>
        <v/>
      </c>
      <c r="P4826" s="88">
        <f t="shared" si="767"/>
        <v>0</v>
      </c>
      <c r="Q4826" s="88">
        <f t="shared" si="768"/>
        <v>0</v>
      </c>
      <c r="R4826" s="88" t="e">
        <f>-IF(Tabla14[[#This Row],[DIAS HABILES O MORA]]&lt;0,(Tabla14[[#This Row],[VALOR PRESTAMO]]*Tabla14[[#This Row],[% INTERES ]]/30*U4826))+Tabla14[[#This Row],[VALOR CUOTAS]]</f>
        <v>#VALUE!</v>
      </c>
      <c r="S4826" s="88">
        <f>-IF(Tabla14[[#This Row],[DIAS HABILES O MORA]]&lt;0,(Tabla14[[#This Row],[VALOR PRESTAMO]]*Tabla14[[#This Row],[% INTERES ]]/30*U4826))</f>
        <v>0</v>
      </c>
      <c r="T4826" s="53" t="e">
        <f>Tabla14[[#This Row],[DEUDA CAPITAL]]+Tabla14[[#This Row],[INTERES  CUOTA]]</f>
        <v>#NUM!</v>
      </c>
      <c r="U4826" s="61" t="str">
        <f t="shared" si="769"/>
        <v/>
      </c>
    </row>
    <row r="4827" spans="9:21" ht="24.75" customHeight="1" x14ac:dyDescent="0.35">
      <c r="I4827" s="42">
        <f t="shared" si="760"/>
        <v>0</v>
      </c>
      <c r="J4827" s="65" t="e">
        <f t="shared" si="761"/>
        <v>#NUM!</v>
      </c>
      <c r="K4827" s="83" t="e">
        <f t="shared" si="762"/>
        <v>#NUM!</v>
      </c>
      <c r="L4827" s="83">
        <f t="shared" si="763"/>
        <v>0</v>
      </c>
      <c r="M4827" s="110" t="str">
        <f t="shared" si="764"/>
        <v/>
      </c>
      <c r="N4827" s="51" t="str">
        <f t="shared" si="765"/>
        <v/>
      </c>
      <c r="O4827" s="52" t="str">
        <f t="shared" si="766"/>
        <v/>
      </c>
      <c r="P4827" s="88">
        <f t="shared" si="767"/>
        <v>0</v>
      </c>
      <c r="Q4827" s="88">
        <f t="shared" si="768"/>
        <v>0</v>
      </c>
      <c r="R4827" s="88" t="e">
        <f>-IF(Tabla14[[#This Row],[DIAS HABILES O MORA]]&lt;0,(Tabla14[[#This Row],[VALOR PRESTAMO]]*Tabla14[[#This Row],[% INTERES ]]/30*U4827))+Tabla14[[#This Row],[VALOR CUOTAS]]</f>
        <v>#VALUE!</v>
      </c>
      <c r="S4827" s="88">
        <f>-IF(Tabla14[[#This Row],[DIAS HABILES O MORA]]&lt;0,(Tabla14[[#This Row],[VALOR PRESTAMO]]*Tabla14[[#This Row],[% INTERES ]]/30*U4827))</f>
        <v>0</v>
      </c>
      <c r="T4827" s="53" t="e">
        <f>Tabla14[[#This Row],[DEUDA CAPITAL]]+Tabla14[[#This Row],[INTERES  CUOTA]]</f>
        <v>#NUM!</v>
      </c>
      <c r="U4827" s="61" t="str">
        <f t="shared" si="769"/>
        <v/>
      </c>
    </row>
    <row r="4828" spans="9:21" ht="24.75" customHeight="1" x14ac:dyDescent="0.35">
      <c r="I4828" s="42">
        <f t="shared" si="760"/>
        <v>0</v>
      </c>
      <c r="J4828" s="65" t="e">
        <f t="shared" si="761"/>
        <v>#NUM!</v>
      </c>
      <c r="K4828" s="83" t="e">
        <f t="shared" si="762"/>
        <v>#NUM!</v>
      </c>
      <c r="L4828" s="83">
        <f t="shared" si="763"/>
        <v>0</v>
      </c>
      <c r="M4828" s="110" t="str">
        <f t="shared" si="764"/>
        <v/>
      </c>
      <c r="N4828" s="51" t="str">
        <f t="shared" si="765"/>
        <v/>
      </c>
      <c r="O4828" s="52" t="str">
        <f t="shared" si="766"/>
        <v/>
      </c>
      <c r="P4828" s="88">
        <f t="shared" si="767"/>
        <v>0</v>
      </c>
      <c r="Q4828" s="88">
        <f t="shared" si="768"/>
        <v>0</v>
      </c>
      <c r="R4828" s="88" t="e">
        <f>-IF(Tabla14[[#This Row],[DIAS HABILES O MORA]]&lt;0,(Tabla14[[#This Row],[VALOR PRESTAMO]]*Tabla14[[#This Row],[% INTERES ]]/30*U4828))+Tabla14[[#This Row],[VALOR CUOTAS]]</f>
        <v>#VALUE!</v>
      </c>
      <c r="S4828" s="88">
        <f>-IF(Tabla14[[#This Row],[DIAS HABILES O MORA]]&lt;0,(Tabla14[[#This Row],[VALOR PRESTAMO]]*Tabla14[[#This Row],[% INTERES ]]/30*U4828))</f>
        <v>0</v>
      </c>
      <c r="T4828" s="53" t="e">
        <f>Tabla14[[#This Row],[DEUDA CAPITAL]]+Tabla14[[#This Row],[INTERES  CUOTA]]</f>
        <v>#NUM!</v>
      </c>
      <c r="U4828" s="61" t="str">
        <f t="shared" si="769"/>
        <v/>
      </c>
    </row>
    <row r="4829" spans="9:21" ht="24.75" customHeight="1" x14ac:dyDescent="0.35">
      <c r="I4829" s="42">
        <f t="shared" si="760"/>
        <v>0</v>
      </c>
      <c r="J4829" s="65" t="e">
        <f t="shared" si="761"/>
        <v>#NUM!</v>
      </c>
      <c r="K4829" s="83" t="e">
        <f t="shared" si="762"/>
        <v>#NUM!</v>
      </c>
      <c r="L4829" s="83">
        <f t="shared" si="763"/>
        <v>0</v>
      </c>
      <c r="M4829" s="110" t="str">
        <f t="shared" si="764"/>
        <v/>
      </c>
      <c r="N4829" s="51" t="str">
        <f t="shared" si="765"/>
        <v/>
      </c>
      <c r="O4829" s="52" t="str">
        <f t="shared" si="766"/>
        <v/>
      </c>
      <c r="P4829" s="88">
        <f t="shared" si="767"/>
        <v>0</v>
      </c>
      <c r="Q4829" s="88">
        <f t="shared" si="768"/>
        <v>0</v>
      </c>
      <c r="R4829" s="88" t="e">
        <f>-IF(Tabla14[[#This Row],[DIAS HABILES O MORA]]&lt;0,(Tabla14[[#This Row],[VALOR PRESTAMO]]*Tabla14[[#This Row],[% INTERES ]]/30*U4829))+Tabla14[[#This Row],[VALOR CUOTAS]]</f>
        <v>#VALUE!</v>
      </c>
      <c r="S4829" s="88">
        <f>-IF(Tabla14[[#This Row],[DIAS HABILES O MORA]]&lt;0,(Tabla14[[#This Row],[VALOR PRESTAMO]]*Tabla14[[#This Row],[% INTERES ]]/30*U4829))</f>
        <v>0</v>
      </c>
      <c r="T4829" s="53" t="e">
        <f>Tabla14[[#This Row],[DEUDA CAPITAL]]+Tabla14[[#This Row],[INTERES  CUOTA]]</f>
        <v>#NUM!</v>
      </c>
      <c r="U4829" s="61" t="str">
        <f t="shared" si="769"/>
        <v/>
      </c>
    </row>
    <row r="4830" spans="9:21" ht="24.75" customHeight="1" x14ac:dyDescent="0.35">
      <c r="I4830" s="42">
        <f t="shared" si="760"/>
        <v>0</v>
      </c>
      <c r="J4830" s="65" t="e">
        <f t="shared" si="761"/>
        <v>#NUM!</v>
      </c>
      <c r="K4830" s="83" t="e">
        <f t="shared" si="762"/>
        <v>#NUM!</v>
      </c>
      <c r="L4830" s="83">
        <f t="shared" si="763"/>
        <v>0</v>
      </c>
      <c r="M4830" s="110" t="str">
        <f t="shared" si="764"/>
        <v/>
      </c>
      <c r="N4830" s="51" t="str">
        <f t="shared" si="765"/>
        <v/>
      </c>
      <c r="O4830" s="52" t="str">
        <f t="shared" si="766"/>
        <v/>
      </c>
      <c r="P4830" s="88">
        <f t="shared" si="767"/>
        <v>0</v>
      </c>
      <c r="Q4830" s="88">
        <f t="shared" si="768"/>
        <v>0</v>
      </c>
      <c r="R4830" s="88" t="e">
        <f>-IF(Tabla14[[#This Row],[DIAS HABILES O MORA]]&lt;0,(Tabla14[[#This Row],[VALOR PRESTAMO]]*Tabla14[[#This Row],[% INTERES ]]/30*U4830))+Tabla14[[#This Row],[VALOR CUOTAS]]</f>
        <v>#VALUE!</v>
      </c>
      <c r="S4830" s="88">
        <f>-IF(Tabla14[[#This Row],[DIAS HABILES O MORA]]&lt;0,(Tabla14[[#This Row],[VALOR PRESTAMO]]*Tabla14[[#This Row],[% INTERES ]]/30*U4830))</f>
        <v>0</v>
      </c>
      <c r="T4830" s="53" t="e">
        <f>Tabla14[[#This Row],[DEUDA CAPITAL]]+Tabla14[[#This Row],[INTERES  CUOTA]]</f>
        <v>#NUM!</v>
      </c>
      <c r="U4830" s="61" t="str">
        <f t="shared" si="769"/>
        <v/>
      </c>
    </row>
    <row r="4831" spans="9:21" ht="24.75" customHeight="1" x14ac:dyDescent="0.35">
      <c r="I4831" s="42">
        <f t="shared" si="760"/>
        <v>0</v>
      </c>
      <c r="J4831" s="65" t="e">
        <f t="shared" si="761"/>
        <v>#NUM!</v>
      </c>
      <c r="K4831" s="83" t="e">
        <f t="shared" si="762"/>
        <v>#NUM!</v>
      </c>
      <c r="L4831" s="83">
        <f t="shared" si="763"/>
        <v>0</v>
      </c>
      <c r="M4831" s="110" t="str">
        <f t="shared" si="764"/>
        <v/>
      </c>
      <c r="N4831" s="51" t="str">
        <f t="shared" si="765"/>
        <v/>
      </c>
      <c r="O4831" s="52" t="str">
        <f t="shared" si="766"/>
        <v/>
      </c>
      <c r="P4831" s="88">
        <f t="shared" si="767"/>
        <v>0</v>
      </c>
      <c r="Q4831" s="88">
        <f t="shared" si="768"/>
        <v>0</v>
      </c>
      <c r="R4831" s="88" t="e">
        <f>-IF(Tabla14[[#This Row],[DIAS HABILES O MORA]]&lt;0,(Tabla14[[#This Row],[VALOR PRESTAMO]]*Tabla14[[#This Row],[% INTERES ]]/30*U4831))+Tabla14[[#This Row],[VALOR CUOTAS]]</f>
        <v>#VALUE!</v>
      </c>
      <c r="S4831" s="88">
        <f>-IF(Tabla14[[#This Row],[DIAS HABILES O MORA]]&lt;0,(Tabla14[[#This Row],[VALOR PRESTAMO]]*Tabla14[[#This Row],[% INTERES ]]/30*U4831))</f>
        <v>0</v>
      </c>
      <c r="T4831" s="53" t="e">
        <f>Tabla14[[#This Row],[DEUDA CAPITAL]]+Tabla14[[#This Row],[INTERES  CUOTA]]</f>
        <v>#NUM!</v>
      </c>
      <c r="U4831" s="61" t="str">
        <f t="shared" si="769"/>
        <v/>
      </c>
    </row>
    <row r="4832" spans="9:21" ht="24.75" customHeight="1" x14ac:dyDescent="0.35">
      <c r="I4832" s="42">
        <f t="shared" si="760"/>
        <v>0</v>
      </c>
      <c r="J4832" s="65" t="e">
        <f t="shared" si="761"/>
        <v>#NUM!</v>
      </c>
      <c r="K4832" s="83" t="e">
        <f t="shared" si="762"/>
        <v>#NUM!</v>
      </c>
      <c r="L4832" s="83">
        <f t="shared" si="763"/>
        <v>0</v>
      </c>
      <c r="M4832" s="110" t="str">
        <f t="shared" si="764"/>
        <v/>
      </c>
      <c r="N4832" s="51" t="str">
        <f t="shared" si="765"/>
        <v/>
      </c>
      <c r="O4832" s="52" t="str">
        <f t="shared" si="766"/>
        <v/>
      </c>
      <c r="P4832" s="88">
        <f t="shared" si="767"/>
        <v>0</v>
      </c>
      <c r="Q4832" s="88">
        <f t="shared" si="768"/>
        <v>0</v>
      </c>
      <c r="R4832" s="88" t="e">
        <f>-IF(Tabla14[[#This Row],[DIAS HABILES O MORA]]&lt;0,(Tabla14[[#This Row],[VALOR PRESTAMO]]*Tabla14[[#This Row],[% INTERES ]]/30*U4832))+Tabla14[[#This Row],[VALOR CUOTAS]]</f>
        <v>#VALUE!</v>
      </c>
      <c r="S4832" s="88">
        <f>-IF(Tabla14[[#This Row],[DIAS HABILES O MORA]]&lt;0,(Tabla14[[#This Row],[VALOR PRESTAMO]]*Tabla14[[#This Row],[% INTERES ]]/30*U4832))</f>
        <v>0</v>
      </c>
      <c r="T4832" s="53" t="e">
        <f>Tabla14[[#This Row],[DEUDA CAPITAL]]+Tabla14[[#This Row],[INTERES  CUOTA]]</f>
        <v>#NUM!</v>
      </c>
      <c r="U4832" s="61" t="str">
        <f t="shared" si="769"/>
        <v/>
      </c>
    </row>
    <row r="4833" spans="9:21" ht="24.75" customHeight="1" x14ac:dyDescent="0.35">
      <c r="I4833" s="42">
        <f t="shared" si="760"/>
        <v>0</v>
      </c>
      <c r="J4833" s="65" t="e">
        <f t="shared" si="761"/>
        <v>#NUM!</v>
      </c>
      <c r="K4833" s="83" t="e">
        <f t="shared" si="762"/>
        <v>#NUM!</v>
      </c>
      <c r="L4833" s="83">
        <f t="shared" si="763"/>
        <v>0</v>
      </c>
      <c r="M4833" s="110" t="str">
        <f t="shared" si="764"/>
        <v/>
      </c>
      <c r="N4833" s="51" t="str">
        <f t="shared" si="765"/>
        <v/>
      </c>
      <c r="O4833" s="52" t="str">
        <f t="shared" si="766"/>
        <v/>
      </c>
      <c r="P4833" s="88">
        <f t="shared" si="767"/>
        <v>0</v>
      </c>
      <c r="Q4833" s="88">
        <f t="shared" si="768"/>
        <v>0</v>
      </c>
      <c r="R4833" s="88" t="e">
        <f>-IF(Tabla14[[#This Row],[DIAS HABILES O MORA]]&lt;0,(Tabla14[[#This Row],[VALOR PRESTAMO]]*Tabla14[[#This Row],[% INTERES ]]/30*U4833))+Tabla14[[#This Row],[VALOR CUOTAS]]</f>
        <v>#VALUE!</v>
      </c>
      <c r="S4833" s="88">
        <f>-IF(Tabla14[[#This Row],[DIAS HABILES O MORA]]&lt;0,(Tabla14[[#This Row],[VALOR PRESTAMO]]*Tabla14[[#This Row],[% INTERES ]]/30*U4833))</f>
        <v>0</v>
      </c>
      <c r="T4833" s="53" t="e">
        <f>Tabla14[[#This Row],[DEUDA CAPITAL]]+Tabla14[[#This Row],[INTERES  CUOTA]]</f>
        <v>#NUM!</v>
      </c>
      <c r="U4833" s="61" t="str">
        <f t="shared" si="769"/>
        <v/>
      </c>
    </row>
    <row r="4834" spans="9:21" ht="24.75" customHeight="1" x14ac:dyDescent="0.35">
      <c r="I4834" s="42">
        <f t="shared" si="760"/>
        <v>0</v>
      </c>
      <c r="J4834" s="65" t="e">
        <f t="shared" si="761"/>
        <v>#NUM!</v>
      </c>
      <c r="K4834" s="83" t="e">
        <f t="shared" si="762"/>
        <v>#NUM!</v>
      </c>
      <c r="L4834" s="83">
        <f t="shared" si="763"/>
        <v>0</v>
      </c>
      <c r="M4834" s="110" t="str">
        <f t="shared" si="764"/>
        <v/>
      </c>
      <c r="N4834" s="51" t="str">
        <f t="shared" si="765"/>
        <v/>
      </c>
      <c r="O4834" s="52" t="str">
        <f t="shared" si="766"/>
        <v/>
      </c>
      <c r="P4834" s="88">
        <f t="shared" si="767"/>
        <v>0</v>
      </c>
      <c r="Q4834" s="88">
        <f t="shared" si="768"/>
        <v>0</v>
      </c>
      <c r="R4834" s="88" t="e">
        <f>-IF(Tabla14[[#This Row],[DIAS HABILES O MORA]]&lt;0,(Tabla14[[#This Row],[VALOR PRESTAMO]]*Tabla14[[#This Row],[% INTERES ]]/30*U4834))+Tabla14[[#This Row],[VALOR CUOTAS]]</f>
        <v>#VALUE!</v>
      </c>
      <c r="S4834" s="88">
        <f>-IF(Tabla14[[#This Row],[DIAS HABILES O MORA]]&lt;0,(Tabla14[[#This Row],[VALOR PRESTAMO]]*Tabla14[[#This Row],[% INTERES ]]/30*U4834))</f>
        <v>0</v>
      </c>
      <c r="T4834" s="53" t="e">
        <f>Tabla14[[#This Row],[DEUDA CAPITAL]]+Tabla14[[#This Row],[INTERES  CUOTA]]</f>
        <v>#NUM!</v>
      </c>
      <c r="U4834" s="61" t="str">
        <f t="shared" si="769"/>
        <v/>
      </c>
    </row>
    <row r="4835" spans="9:21" ht="24.75" customHeight="1" x14ac:dyDescent="0.35">
      <c r="I4835" s="42">
        <f t="shared" si="760"/>
        <v>0</v>
      </c>
      <c r="J4835" s="65" t="e">
        <f t="shared" si="761"/>
        <v>#NUM!</v>
      </c>
      <c r="K4835" s="83" t="e">
        <f t="shared" si="762"/>
        <v>#NUM!</v>
      </c>
      <c r="L4835" s="83">
        <f t="shared" si="763"/>
        <v>0</v>
      </c>
      <c r="M4835" s="110" t="str">
        <f t="shared" si="764"/>
        <v/>
      </c>
      <c r="N4835" s="51" t="str">
        <f t="shared" si="765"/>
        <v/>
      </c>
      <c r="O4835" s="52" t="str">
        <f t="shared" si="766"/>
        <v/>
      </c>
      <c r="P4835" s="88">
        <f t="shared" si="767"/>
        <v>0</v>
      </c>
      <c r="Q4835" s="88">
        <f t="shared" si="768"/>
        <v>0</v>
      </c>
      <c r="R4835" s="88" t="e">
        <f>-IF(Tabla14[[#This Row],[DIAS HABILES O MORA]]&lt;0,(Tabla14[[#This Row],[VALOR PRESTAMO]]*Tabla14[[#This Row],[% INTERES ]]/30*U4835))+Tabla14[[#This Row],[VALOR CUOTAS]]</f>
        <v>#VALUE!</v>
      </c>
      <c r="S4835" s="88">
        <f>-IF(Tabla14[[#This Row],[DIAS HABILES O MORA]]&lt;0,(Tabla14[[#This Row],[VALOR PRESTAMO]]*Tabla14[[#This Row],[% INTERES ]]/30*U4835))</f>
        <v>0</v>
      </c>
      <c r="T4835" s="53" t="e">
        <f>Tabla14[[#This Row],[DEUDA CAPITAL]]+Tabla14[[#This Row],[INTERES  CUOTA]]</f>
        <v>#NUM!</v>
      </c>
      <c r="U4835" s="61" t="str">
        <f t="shared" si="769"/>
        <v/>
      </c>
    </row>
    <row r="4836" spans="9:21" ht="24.75" customHeight="1" x14ac:dyDescent="0.35">
      <c r="I4836" s="42">
        <f t="shared" si="760"/>
        <v>0</v>
      </c>
      <c r="J4836" s="65" t="e">
        <f t="shared" si="761"/>
        <v>#NUM!</v>
      </c>
      <c r="K4836" s="83" t="e">
        <f t="shared" si="762"/>
        <v>#NUM!</v>
      </c>
      <c r="L4836" s="83">
        <f t="shared" si="763"/>
        <v>0</v>
      </c>
      <c r="M4836" s="110" t="str">
        <f t="shared" si="764"/>
        <v/>
      </c>
      <c r="N4836" s="51" t="str">
        <f t="shared" si="765"/>
        <v/>
      </c>
      <c r="O4836" s="52" t="str">
        <f t="shared" si="766"/>
        <v/>
      </c>
      <c r="P4836" s="88">
        <f t="shared" si="767"/>
        <v>0</v>
      </c>
      <c r="Q4836" s="88">
        <f t="shared" si="768"/>
        <v>0</v>
      </c>
      <c r="R4836" s="88" t="e">
        <f>-IF(Tabla14[[#This Row],[DIAS HABILES O MORA]]&lt;0,(Tabla14[[#This Row],[VALOR PRESTAMO]]*Tabla14[[#This Row],[% INTERES ]]/30*U4836))+Tabla14[[#This Row],[VALOR CUOTAS]]</f>
        <v>#VALUE!</v>
      </c>
      <c r="S4836" s="88">
        <f>-IF(Tabla14[[#This Row],[DIAS HABILES O MORA]]&lt;0,(Tabla14[[#This Row],[VALOR PRESTAMO]]*Tabla14[[#This Row],[% INTERES ]]/30*U4836))</f>
        <v>0</v>
      </c>
      <c r="T4836" s="53" t="e">
        <f>Tabla14[[#This Row],[DEUDA CAPITAL]]+Tabla14[[#This Row],[INTERES  CUOTA]]</f>
        <v>#NUM!</v>
      </c>
      <c r="U4836" s="61" t="str">
        <f t="shared" si="769"/>
        <v/>
      </c>
    </row>
    <row r="4837" spans="9:21" ht="24.75" customHeight="1" x14ac:dyDescent="0.35">
      <c r="I4837" s="42">
        <f t="shared" si="760"/>
        <v>0</v>
      </c>
      <c r="J4837" s="65" t="e">
        <f t="shared" si="761"/>
        <v>#NUM!</v>
      </c>
      <c r="K4837" s="83" t="e">
        <f t="shared" si="762"/>
        <v>#NUM!</v>
      </c>
      <c r="L4837" s="83">
        <f t="shared" si="763"/>
        <v>0</v>
      </c>
      <c r="M4837" s="110" t="str">
        <f t="shared" si="764"/>
        <v/>
      </c>
      <c r="N4837" s="51" t="str">
        <f t="shared" si="765"/>
        <v/>
      </c>
      <c r="O4837" s="52" t="str">
        <f t="shared" si="766"/>
        <v/>
      </c>
      <c r="P4837" s="88">
        <f t="shared" si="767"/>
        <v>0</v>
      </c>
      <c r="Q4837" s="88">
        <f t="shared" si="768"/>
        <v>0</v>
      </c>
      <c r="R4837" s="88" t="e">
        <f>-IF(Tabla14[[#This Row],[DIAS HABILES O MORA]]&lt;0,(Tabla14[[#This Row],[VALOR PRESTAMO]]*Tabla14[[#This Row],[% INTERES ]]/30*U4837))+Tabla14[[#This Row],[VALOR CUOTAS]]</f>
        <v>#VALUE!</v>
      </c>
      <c r="S4837" s="88">
        <f>-IF(Tabla14[[#This Row],[DIAS HABILES O MORA]]&lt;0,(Tabla14[[#This Row],[VALOR PRESTAMO]]*Tabla14[[#This Row],[% INTERES ]]/30*U4837))</f>
        <v>0</v>
      </c>
      <c r="T4837" s="53" t="e">
        <f>Tabla14[[#This Row],[DEUDA CAPITAL]]+Tabla14[[#This Row],[INTERES  CUOTA]]</f>
        <v>#NUM!</v>
      </c>
      <c r="U4837" s="61" t="str">
        <f t="shared" si="769"/>
        <v/>
      </c>
    </row>
    <row r="4838" spans="9:21" ht="24.75" customHeight="1" x14ac:dyDescent="0.35">
      <c r="I4838" s="42">
        <f t="shared" si="760"/>
        <v>0</v>
      </c>
      <c r="J4838" s="65" t="e">
        <f t="shared" si="761"/>
        <v>#NUM!</v>
      </c>
      <c r="K4838" s="83" t="e">
        <f t="shared" si="762"/>
        <v>#NUM!</v>
      </c>
      <c r="L4838" s="83">
        <f t="shared" si="763"/>
        <v>0</v>
      </c>
      <c r="M4838" s="110" t="str">
        <f t="shared" si="764"/>
        <v/>
      </c>
      <c r="N4838" s="51" t="str">
        <f t="shared" si="765"/>
        <v/>
      </c>
      <c r="O4838" s="52" t="str">
        <f t="shared" si="766"/>
        <v/>
      </c>
      <c r="P4838" s="88">
        <f t="shared" si="767"/>
        <v>0</v>
      </c>
      <c r="Q4838" s="88">
        <f t="shared" si="768"/>
        <v>0</v>
      </c>
      <c r="R4838" s="88" t="e">
        <f>-IF(Tabla14[[#This Row],[DIAS HABILES O MORA]]&lt;0,(Tabla14[[#This Row],[VALOR PRESTAMO]]*Tabla14[[#This Row],[% INTERES ]]/30*U4838))+Tabla14[[#This Row],[VALOR CUOTAS]]</f>
        <v>#VALUE!</v>
      </c>
      <c r="S4838" s="88">
        <f>-IF(Tabla14[[#This Row],[DIAS HABILES O MORA]]&lt;0,(Tabla14[[#This Row],[VALOR PRESTAMO]]*Tabla14[[#This Row],[% INTERES ]]/30*U4838))</f>
        <v>0</v>
      </c>
      <c r="T4838" s="53" t="e">
        <f>Tabla14[[#This Row],[DEUDA CAPITAL]]+Tabla14[[#This Row],[INTERES  CUOTA]]</f>
        <v>#NUM!</v>
      </c>
      <c r="U4838" s="61" t="str">
        <f t="shared" si="769"/>
        <v/>
      </c>
    </row>
    <row r="4839" spans="9:21" ht="24.75" customHeight="1" x14ac:dyDescent="0.35">
      <c r="I4839" s="42">
        <f t="shared" si="760"/>
        <v>0</v>
      </c>
      <c r="J4839" s="65" t="e">
        <f t="shared" si="761"/>
        <v>#NUM!</v>
      </c>
      <c r="K4839" s="83" t="e">
        <f t="shared" si="762"/>
        <v>#NUM!</v>
      </c>
      <c r="L4839" s="83">
        <f t="shared" si="763"/>
        <v>0</v>
      </c>
      <c r="M4839" s="110" t="str">
        <f t="shared" si="764"/>
        <v/>
      </c>
      <c r="N4839" s="51" t="str">
        <f t="shared" si="765"/>
        <v/>
      </c>
      <c r="O4839" s="52" t="str">
        <f t="shared" si="766"/>
        <v/>
      </c>
      <c r="P4839" s="88">
        <f t="shared" si="767"/>
        <v>0</v>
      </c>
      <c r="Q4839" s="88">
        <f t="shared" si="768"/>
        <v>0</v>
      </c>
      <c r="R4839" s="88" t="e">
        <f>-IF(Tabla14[[#This Row],[DIAS HABILES O MORA]]&lt;0,(Tabla14[[#This Row],[VALOR PRESTAMO]]*Tabla14[[#This Row],[% INTERES ]]/30*U4839))+Tabla14[[#This Row],[VALOR CUOTAS]]</f>
        <v>#VALUE!</v>
      </c>
      <c r="S4839" s="88">
        <f>-IF(Tabla14[[#This Row],[DIAS HABILES O MORA]]&lt;0,(Tabla14[[#This Row],[VALOR PRESTAMO]]*Tabla14[[#This Row],[% INTERES ]]/30*U4839))</f>
        <v>0</v>
      </c>
      <c r="T4839" s="53" t="e">
        <f>Tabla14[[#This Row],[DEUDA CAPITAL]]+Tabla14[[#This Row],[INTERES  CUOTA]]</f>
        <v>#NUM!</v>
      </c>
      <c r="U4839" s="61" t="str">
        <f t="shared" si="769"/>
        <v/>
      </c>
    </row>
    <row r="4840" spans="9:21" ht="24.75" customHeight="1" x14ac:dyDescent="0.35">
      <c r="I4840" s="42">
        <f t="shared" si="760"/>
        <v>0</v>
      </c>
      <c r="J4840" s="65" t="e">
        <f t="shared" si="761"/>
        <v>#NUM!</v>
      </c>
      <c r="K4840" s="83" t="e">
        <f t="shared" si="762"/>
        <v>#NUM!</v>
      </c>
      <c r="L4840" s="83">
        <f t="shared" si="763"/>
        <v>0</v>
      </c>
      <c r="M4840" s="110" t="str">
        <f t="shared" si="764"/>
        <v/>
      </c>
      <c r="N4840" s="51" t="str">
        <f t="shared" si="765"/>
        <v/>
      </c>
      <c r="O4840" s="52" t="str">
        <f t="shared" si="766"/>
        <v/>
      </c>
      <c r="P4840" s="88">
        <f t="shared" si="767"/>
        <v>0</v>
      </c>
      <c r="Q4840" s="88">
        <f t="shared" si="768"/>
        <v>0</v>
      </c>
      <c r="R4840" s="88" t="e">
        <f>-IF(Tabla14[[#This Row],[DIAS HABILES O MORA]]&lt;0,(Tabla14[[#This Row],[VALOR PRESTAMO]]*Tabla14[[#This Row],[% INTERES ]]/30*U4840))+Tabla14[[#This Row],[VALOR CUOTAS]]</f>
        <v>#VALUE!</v>
      </c>
      <c r="S4840" s="88">
        <f>-IF(Tabla14[[#This Row],[DIAS HABILES O MORA]]&lt;0,(Tabla14[[#This Row],[VALOR PRESTAMO]]*Tabla14[[#This Row],[% INTERES ]]/30*U4840))</f>
        <v>0</v>
      </c>
      <c r="T4840" s="53" t="e">
        <f>Tabla14[[#This Row],[DEUDA CAPITAL]]+Tabla14[[#This Row],[INTERES  CUOTA]]</f>
        <v>#NUM!</v>
      </c>
      <c r="U4840" s="61" t="str">
        <f t="shared" si="769"/>
        <v/>
      </c>
    </row>
    <row r="4841" spans="9:21" ht="24.75" customHeight="1" x14ac:dyDescent="0.35">
      <c r="I4841" s="42">
        <f t="shared" si="760"/>
        <v>0</v>
      </c>
      <c r="J4841" s="65" t="e">
        <f t="shared" si="761"/>
        <v>#NUM!</v>
      </c>
      <c r="K4841" s="83" t="e">
        <f t="shared" si="762"/>
        <v>#NUM!</v>
      </c>
      <c r="L4841" s="83">
        <f t="shared" si="763"/>
        <v>0</v>
      </c>
      <c r="M4841" s="110" t="str">
        <f t="shared" si="764"/>
        <v/>
      </c>
      <c r="N4841" s="51" t="str">
        <f t="shared" si="765"/>
        <v/>
      </c>
      <c r="O4841" s="52" t="str">
        <f t="shared" si="766"/>
        <v/>
      </c>
      <c r="P4841" s="88">
        <f t="shared" si="767"/>
        <v>0</v>
      </c>
      <c r="Q4841" s="88">
        <f t="shared" si="768"/>
        <v>0</v>
      </c>
      <c r="R4841" s="88" t="e">
        <f>-IF(Tabla14[[#This Row],[DIAS HABILES O MORA]]&lt;0,(Tabla14[[#This Row],[VALOR PRESTAMO]]*Tabla14[[#This Row],[% INTERES ]]/30*U4841))+Tabla14[[#This Row],[VALOR CUOTAS]]</f>
        <v>#VALUE!</v>
      </c>
      <c r="S4841" s="88">
        <f>-IF(Tabla14[[#This Row],[DIAS HABILES O MORA]]&lt;0,(Tabla14[[#This Row],[VALOR PRESTAMO]]*Tabla14[[#This Row],[% INTERES ]]/30*U4841))</f>
        <v>0</v>
      </c>
      <c r="T4841" s="53" t="e">
        <f>Tabla14[[#This Row],[DEUDA CAPITAL]]+Tabla14[[#This Row],[INTERES  CUOTA]]</f>
        <v>#NUM!</v>
      </c>
      <c r="U4841" s="61" t="str">
        <f t="shared" si="769"/>
        <v/>
      </c>
    </row>
    <row r="4842" spans="9:21" ht="24.75" customHeight="1" x14ac:dyDescent="0.35">
      <c r="I4842" s="42">
        <f t="shared" si="760"/>
        <v>0</v>
      </c>
      <c r="J4842" s="65" t="e">
        <f t="shared" si="761"/>
        <v>#NUM!</v>
      </c>
      <c r="K4842" s="83" t="e">
        <f t="shared" si="762"/>
        <v>#NUM!</v>
      </c>
      <c r="L4842" s="83">
        <f t="shared" si="763"/>
        <v>0</v>
      </c>
      <c r="M4842" s="110" t="str">
        <f t="shared" si="764"/>
        <v/>
      </c>
      <c r="N4842" s="51" t="str">
        <f t="shared" si="765"/>
        <v/>
      </c>
      <c r="O4842" s="52" t="str">
        <f t="shared" si="766"/>
        <v/>
      </c>
      <c r="P4842" s="88">
        <f t="shared" si="767"/>
        <v>0</v>
      </c>
      <c r="Q4842" s="88">
        <f t="shared" si="768"/>
        <v>0</v>
      </c>
      <c r="R4842" s="88" t="e">
        <f>-IF(Tabla14[[#This Row],[DIAS HABILES O MORA]]&lt;0,(Tabla14[[#This Row],[VALOR PRESTAMO]]*Tabla14[[#This Row],[% INTERES ]]/30*U4842))+Tabla14[[#This Row],[VALOR CUOTAS]]</f>
        <v>#VALUE!</v>
      </c>
      <c r="S4842" s="88">
        <f>-IF(Tabla14[[#This Row],[DIAS HABILES O MORA]]&lt;0,(Tabla14[[#This Row],[VALOR PRESTAMO]]*Tabla14[[#This Row],[% INTERES ]]/30*U4842))</f>
        <v>0</v>
      </c>
      <c r="T4842" s="53" t="e">
        <f>Tabla14[[#This Row],[DEUDA CAPITAL]]+Tabla14[[#This Row],[INTERES  CUOTA]]</f>
        <v>#NUM!</v>
      </c>
      <c r="U4842" s="61" t="str">
        <f t="shared" si="769"/>
        <v/>
      </c>
    </row>
    <row r="4843" spans="9:21" ht="24.75" customHeight="1" x14ac:dyDescent="0.35">
      <c r="I4843" s="42">
        <f t="shared" si="760"/>
        <v>0</v>
      </c>
      <c r="J4843" s="65" t="e">
        <f t="shared" si="761"/>
        <v>#NUM!</v>
      </c>
      <c r="K4843" s="83" t="e">
        <f t="shared" si="762"/>
        <v>#NUM!</v>
      </c>
      <c r="L4843" s="83">
        <f t="shared" si="763"/>
        <v>0</v>
      </c>
      <c r="M4843" s="110" t="str">
        <f t="shared" si="764"/>
        <v/>
      </c>
      <c r="N4843" s="51" t="str">
        <f t="shared" si="765"/>
        <v/>
      </c>
      <c r="O4843" s="52" t="str">
        <f t="shared" si="766"/>
        <v/>
      </c>
      <c r="P4843" s="88">
        <f t="shared" si="767"/>
        <v>0</v>
      </c>
      <c r="Q4843" s="88">
        <f t="shared" si="768"/>
        <v>0</v>
      </c>
      <c r="R4843" s="88" t="e">
        <f>-IF(Tabla14[[#This Row],[DIAS HABILES O MORA]]&lt;0,(Tabla14[[#This Row],[VALOR PRESTAMO]]*Tabla14[[#This Row],[% INTERES ]]/30*U4843))+Tabla14[[#This Row],[VALOR CUOTAS]]</f>
        <v>#VALUE!</v>
      </c>
      <c r="S4843" s="88">
        <f>-IF(Tabla14[[#This Row],[DIAS HABILES O MORA]]&lt;0,(Tabla14[[#This Row],[VALOR PRESTAMO]]*Tabla14[[#This Row],[% INTERES ]]/30*U4843))</f>
        <v>0</v>
      </c>
      <c r="T4843" s="53" t="e">
        <f>Tabla14[[#This Row],[DEUDA CAPITAL]]+Tabla14[[#This Row],[INTERES  CUOTA]]</f>
        <v>#NUM!</v>
      </c>
      <c r="U4843" s="61" t="str">
        <f t="shared" si="769"/>
        <v/>
      </c>
    </row>
    <row r="4844" spans="9:21" ht="24.75" customHeight="1" x14ac:dyDescent="0.35">
      <c r="I4844" s="42">
        <f t="shared" si="760"/>
        <v>0</v>
      </c>
      <c r="J4844" s="65" t="e">
        <f t="shared" si="761"/>
        <v>#NUM!</v>
      </c>
      <c r="K4844" s="83" t="e">
        <f t="shared" si="762"/>
        <v>#NUM!</v>
      </c>
      <c r="L4844" s="83">
        <f t="shared" si="763"/>
        <v>0</v>
      </c>
      <c r="M4844" s="110" t="str">
        <f t="shared" si="764"/>
        <v/>
      </c>
      <c r="N4844" s="51" t="str">
        <f t="shared" si="765"/>
        <v/>
      </c>
      <c r="O4844" s="52" t="str">
        <f t="shared" si="766"/>
        <v/>
      </c>
      <c r="P4844" s="88">
        <f t="shared" si="767"/>
        <v>0</v>
      </c>
      <c r="Q4844" s="88">
        <f t="shared" si="768"/>
        <v>0</v>
      </c>
      <c r="R4844" s="88" t="e">
        <f>-IF(Tabla14[[#This Row],[DIAS HABILES O MORA]]&lt;0,(Tabla14[[#This Row],[VALOR PRESTAMO]]*Tabla14[[#This Row],[% INTERES ]]/30*U4844))+Tabla14[[#This Row],[VALOR CUOTAS]]</f>
        <v>#VALUE!</v>
      </c>
      <c r="S4844" s="88">
        <f>-IF(Tabla14[[#This Row],[DIAS HABILES O MORA]]&lt;0,(Tabla14[[#This Row],[VALOR PRESTAMO]]*Tabla14[[#This Row],[% INTERES ]]/30*U4844))</f>
        <v>0</v>
      </c>
      <c r="T4844" s="53" t="e">
        <f>Tabla14[[#This Row],[DEUDA CAPITAL]]+Tabla14[[#This Row],[INTERES  CUOTA]]</f>
        <v>#NUM!</v>
      </c>
      <c r="U4844" s="61" t="str">
        <f t="shared" si="769"/>
        <v/>
      </c>
    </row>
    <row r="4845" spans="9:21" ht="24.75" customHeight="1" x14ac:dyDescent="0.35">
      <c r="I4845" s="42">
        <f t="shared" si="760"/>
        <v>0</v>
      </c>
      <c r="J4845" s="65" t="e">
        <f t="shared" si="761"/>
        <v>#NUM!</v>
      </c>
      <c r="K4845" s="83" t="e">
        <f t="shared" si="762"/>
        <v>#NUM!</v>
      </c>
      <c r="L4845" s="83">
        <f t="shared" si="763"/>
        <v>0</v>
      </c>
      <c r="M4845" s="110" t="str">
        <f t="shared" si="764"/>
        <v/>
      </c>
      <c r="N4845" s="51" t="str">
        <f t="shared" si="765"/>
        <v/>
      </c>
      <c r="O4845" s="52" t="str">
        <f t="shared" si="766"/>
        <v/>
      </c>
      <c r="P4845" s="88">
        <f t="shared" si="767"/>
        <v>0</v>
      </c>
      <c r="Q4845" s="88">
        <f t="shared" si="768"/>
        <v>0</v>
      </c>
      <c r="R4845" s="88" t="e">
        <f>-IF(Tabla14[[#This Row],[DIAS HABILES O MORA]]&lt;0,(Tabla14[[#This Row],[VALOR PRESTAMO]]*Tabla14[[#This Row],[% INTERES ]]/30*U4845))+Tabla14[[#This Row],[VALOR CUOTAS]]</f>
        <v>#VALUE!</v>
      </c>
      <c r="S4845" s="88">
        <f>-IF(Tabla14[[#This Row],[DIAS HABILES O MORA]]&lt;0,(Tabla14[[#This Row],[VALOR PRESTAMO]]*Tabla14[[#This Row],[% INTERES ]]/30*U4845))</f>
        <v>0</v>
      </c>
      <c r="T4845" s="53" t="e">
        <f>Tabla14[[#This Row],[DEUDA CAPITAL]]+Tabla14[[#This Row],[INTERES  CUOTA]]</f>
        <v>#NUM!</v>
      </c>
      <c r="U4845" s="61" t="str">
        <f t="shared" si="769"/>
        <v/>
      </c>
    </row>
    <row r="4846" spans="9:21" ht="24.75" customHeight="1" x14ac:dyDescent="0.35">
      <c r="I4846" s="42">
        <f t="shared" si="760"/>
        <v>0</v>
      </c>
      <c r="J4846" s="65" t="e">
        <f t="shared" si="761"/>
        <v>#NUM!</v>
      </c>
      <c r="K4846" s="83" t="e">
        <f t="shared" si="762"/>
        <v>#NUM!</v>
      </c>
      <c r="L4846" s="83">
        <f t="shared" si="763"/>
        <v>0</v>
      </c>
      <c r="M4846" s="110" t="str">
        <f t="shared" si="764"/>
        <v/>
      </c>
      <c r="N4846" s="51" t="str">
        <f t="shared" si="765"/>
        <v/>
      </c>
      <c r="O4846" s="52" t="str">
        <f t="shared" si="766"/>
        <v/>
      </c>
      <c r="P4846" s="88">
        <f t="shared" si="767"/>
        <v>0</v>
      </c>
      <c r="Q4846" s="88">
        <f t="shared" si="768"/>
        <v>0</v>
      </c>
      <c r="R4846" s="88" t="e">
        <f>-IF(Tabla14[[#This Row],[DIAS HABILES O MORA]]&lt;0,(Tabla14[[#This Row],[VALOR PRESTAMO]]*Tabla14[[#This Row],[% INTERES ]]/30*U4846))+Tabla14[[#This Row],[VALOR CUOTAS]]</f>
        <v>#VALUE!</v>
      </c>
      <c r="S4846" s="88">
        <f>-IF(Tabla14[[#This Row],[DIAS HABILES O MORA]]&lt;0,(Tabla14[[#This Row],[VALOR PRESTAMO]]*Tabla14[[#This Row],[% INTERES ]]/30*U4846))</f>
        <v>0</v>
      </c>
      <c r="T4846" s="53" t="e">
        <f>Tabla14[[#This Row],[DEUDA CAPITAL]]+Tabla14[[#This Row],[INTERES  CUOTA]]</f>
        <v>#NUM!</v>
      </c>
      <c r="U4846" s="61" t="str">
        <f t="shared" si="769"/>
        <v/>
      </c>
    </row>
    <row r="4847" spans="9:21" ht="24.75" customHeight="1" x14ac:dyDescent="0.35">
      <c r="I4847" s="42">
        <f t="shared" si="760"/>
        <v>0</v>
      </c>
      <c r="J4847" s="65" t="e">
        <f t="shared" si="761"/>
        <v>#NUM!</v>
      </c>
      <c r="K4847" s="83" t="e">
        <f t="shared" si="762"/>
        <v>#NUM!</v>
      </c>
      <c r="L4847" s="83">
        <f t="shared" si="763"/>
        <v>0</v>
      </c>
      <c r="M4847" s="110" t="str">
        <f t="shared" si="764"/>
        <v/>
      </c>
      <c r="N4847" s="51" t="str">
        <f t="shared" si="765"/>
        <v/>
      </c>
      <c r="O4847" s="52" t="str">
        <f t="shared" si="766"/>
        <v/>
      </c>
      <c r="P4847" s="88">
        <f t="shared" si="767"/>
        <v>0</v>
      </c>
      <c r="Q4847" s="88">
        <f t="shared" si="768"/>
        <v>0</v>
      </c>
      <c r="R4847" s="88" t="e">
        <f>-IF(Tabla14[[#This Row],[DIAS HABILES O MORA]]&lt;0,(Tabla14[[#This Row],[VALOR PRESTAMO]]*Tabla14[[#This Row],[% INTERES ]]/30*U4847))+Tabla14[[#This Row],[VALOR CUOTAS]]</f>
        <v>#VALUE!</v>
      </c>
      <c r="S4847" s="88">
        <f>-IF(Tabla14[[#This Row],[DIAS HABILES O MORA]]&lt;0,(Tabla14[[#This Row],[VALOR PRESTAMO]]*Tabla14[[#This Row],[% INTERES ]]/30*U4847))</f>
        <v>0</v>
      </c>
      <c r="T4847" s="53" t="e">
        <f>Tabla14[[#This Row],[DEUDA CAPITAL]]+Tabla14[[#This Row],[INTERES  CUOTA]]</f>
        <v>#NUM!</v>
      </c>
      <c r="U4847" s="61" t="str">
        <f t="shared" si="769"/>
        <v/>
      </c>
    </row>
    <row r="4848" spans="9:21" ht="24.75" customHeight="1" x14ac:dyDescent="0.35">
      <c r="I4848" s="42">
        <f t="shared" si="760"/>
        <v>0</v>
      </c>
      <c r="J4848" s="65" t="e">
        <f t="shared" si="761"/>
        <v>#NUM!</v>
      </c>
      <c r="K4848" s="83" t="e">
        <f t="shared" si="762"/>
        <v>#NUM!</v>
      </c>
      <c r="L4848" s="83">
        <f t="shared" si="763"/>
        <v>0</v>
      </c>
      <c r="M4848" s="110" t="str">
        <f t="shared" si="764"/>
        <v/>
      </c>
      <c r="N4848" s="51" t="str">
        <f t="shared" si="765"/>
        <v/>
      </c>
      <c r="O4848" s="52" t="str">
        <f t="shared" si="766"/>
        <v/>
      </c>
      <c r="P4848" s="88">
        <f t="shared" si="767"/>
        <v>0</v>
      </c>
      <c r="Q4848" s="88">
        <f t="shared" si="768"/>
        <v>0</v>
      </c>
      <c r="R4848" s="88" t="e">
        <f>-IF(Tabla14[[#This Row],[DIAS HABILES O MORA]]&lt;0,(Tabla14[[#This Row],[VALOR PRESTAMO]]*Tabla14[[#This Row],[% INTERES ]]/30*U4848))+Tabla14[[#This Row],[VALOR CUOTAS]]</f>
        <v>#VALUE!</v>
      </c>
      <c r="S4848" s="88">
        <f>-IF(Tabla14[[#This Row],[DIAS HABILES O MORA]]&lt;0,(Tabla14[[#This Row],[VALOR PRESTAMO]]*Tabla14[[#This Row],[% INTERES ]]/30*U4848))</f>
        <v>0</v>
      </c>
      <c r="T4848" s="53" t="e">
        <f>Tabla14[[#This Row],[DEUDA CAPITAL]]+Tabla14[[#This Row],[INTERES  CUOTA]]</f>
        <v>#NUM!</v>
      </c>
      <c r="U4848" s="61" t="str">
        <f t="shared" si="769"/>
        <v/>
      </c>
    </row>
    <row r="4849" spans="9:21" ht="24.75" customHeight="1" x14ac:dyDescent="0.35">
      <c r="I4849" s="42">
        <f t="shared" si="760"/>
        <v>0</v>
      </c>
      <c r="J4849" s="65" t="e">
        <f t="shared" si="761"/>
        <v>#NUM!</v>
      </c>
      <c r="K4849" s="83" t="e">
        <f t="shared" si="762"/>
        <v>#NUM!</v>
      </c>
      <c r="L4849" s="83">
        <f t="shared" si="763"/>
        <v>0</v>
      </c>
      <c r="M4849" s="110" t="str">
        <f t="shared" si="764"/>
        <v/>
      </c>
      <c r="N4849" s="51" t="str">
        <f t="shared" si="765"/>
        <v/>
      </c>
      <c r="O4849" s="52" t="str">
        <f t="shared" si="766"/>
        <v/>
      </c>
      <c r="P4849" s="88">
        <f t="shared" si="767"/>
        <v>0</v>
      </c>
      <c r="Q4849" s="88">
        <f t="shared" si="768"/>
        <v>0</v>
      </c>
      <c r="R4849" s="88" t="e">
        <f>-IF(Tabla14[[#This Row],[DIAS HABILES O MORA]]&lt;0,(Tabla14[[#This Row],[VALOR PRESTAMO]]*Tabla14[[#This Row],[% INTERES ]]/30*U4849))+Tabla14[[#This Row],[VALOR CUOTAS]]</f>
        <v>#VALUE!</v>
      </c>
      <c r="S4849" s="88">
        <f>-IF(Tabla14[[#This Row],[DIAS HABILES O MORA]]&lt;0,(Tabla14[[#This Row],[VALOR PRESTAMO]]*Tabla14[[#This Row],[% INTERES ]]/30*U4849))</f>
        <v>0</v>
      </c>
      <c r="T4849" s="53" t="e">
        <f>Tabla14[[#This Row],[DEUDA CAPITAL]]+Tabla14[[#This Row],[INTERES  CUOTA]]</f>
        <v>#NUM!</v>
      </c>
      <c r="U4849" s="61" t="str">
        <f t="shared" si="769"/>
        <v/>
      </c>
    </row>
    <row r="4850" spans="9:21" ht="24.75" customHeight="1" x14ac:dyDescent="0.35">
      <c r="I4850" s="42">
        <f t="shared" si="760"/>
        <v>0</v>
      </c>
      <c r="J4850" s="65" t="e">
        <f t="shared" si="761"/>
        <v>#NUM!</v>
      </c>
      <c r="K4850" s="83" t="e">
        <f t="shared" si="762"/>
        <v>#NUM!</v>
      </c>
      <c r="L4850" s="83">
        <f t="shared" si="763"/>
        <v>0</v>
      </c>
      <c r="M4850" s="110" t="str">
        <f t="shared" si="764"/>
        <v/>
      </c>
      <c r="N4850" s="51" t="str">
        <f t="shared" si="765"/>
        <v/>
      </c>
      <c r="O4850" s="52" t="str">
        <f t="shared" si="766"/>
        <v/>
      </c>
      <c r="P4850" s="88">
        <f t="shared" si="767"/>
        <v>0</v>
      </c>
      <c r="Q4850" s="88">
        <f t="shared" si="768"/>
        <v>0</v>
      </c>
      <c r="R4850" s="88" t="e">
        <f>-IF(Tabla14[[#This Row],[DIAS HABILES O MORA]]&lt;0,(Tabla14[[#This Row],[VALOR PRESTAMO]]*Tabla14[[#This Row],[% INTERES ]]/30*U4850))+Tabla14[[#This Row],[VALOR CUOTAS]]</f>
        <v>#VALUE!</v>
      </c>
      <c r="S4850" s="88">
        <f>-IF(Tabla14[[#This Row],[DIAS HABILES O MORA]]&lt;0,(Tabla14[[#This Row],[VALOR PRESTAMO]]*Tabla14[[#This Row],[% INTERES ]]/30*U4850))</f>
        <v>0</v>
      </c>
      <c r="T4850" s="53" t="e">
        <f>Tabla14[[#This Row],[DEUDA CAPITAL]]+Tabla14[[#This Row],[INTERES  CUOTA]]</f>
        <v>#NUM!</v>
      </c>
      <c r="U4850" s="61" t="str">
        <f t="shared" si="769"/>
        <v/>
      </c>
    </row>
    <row r="4851" spans="9:21" ht="24.75" customHeight="1" x14ac:dyDescent="0.35">
      <c r="I4851" s="42">
        <f t="shared" si="760"/>
        <v>0</v>
      </c>
      <c r="J4851" s="65" t="e">
        <f t="shared" si="761"/>
        <v>#NUM!</v>
      </c>
      <c r="K4851" s="83" t="e">
        <f t="shared" si="762"/>
        <v>#NUM!</v>
      </c>
      <c r="L4851" s="83">
        <f t="shared" si="763"/>
        <v>0</v>
      </c>
      <c r="M4851" s="110" t="str">
        <f t="shared" si="764"/>
        <v/>
      </c>
      <c r="N4851" s="51" t="str">
        <f t="shared" si="765"/>
        <v/>
      </c>
      <c r="O4851" s="52" t="str">
        <f t="shared" si="766"/>
        <v/>
      </c>
      <c r="P4851" s="88">
        <f t="shared" si="767"/>
        <v>0</v>
      </c>
      <c r="Q4851" s="88">
        <f t="shared" si="768"/>
        <v>0</v>
      </c>
      <c r="R4851" s="88" t="e">
        <f>-IF(Tabla14[[#This Row],[DIAS HABILES O MORA]]&lt;0,(Tabla14[[#This Row],[VALOR PRESTAMO]]*Tabla14[[#This Row],[% INTERES ]]/30*U4851))+Tabla14[[#This Row],[VALOR CUOTAS]]</f>
        <v>#VALUE!</v>
      </c>
      <c r="S4851" s="88">
        <f>-IF(Tabla14[[#This Row],[DIAS HABILES O MORA]]&lt;0,(Tabla14[[#This Row],[VALOR PRESTAMO]]*Tabla14[[#This Row],[% INTERES ]]/30*U4851))</f>
        <v>0</v>
      </c>
      <c r="T4851" s="53" t="e">
        <f>Tabla14[[#This Row],[DEUDA CAPITAL]]+Tabla14[[#This Row],[INTERES  CUOTA]]</f>
        <v>#NUM!</v>
      </c>
      <c r="U4851" s="61" t="str">
        <f t="shared" si="769"/>
        <v/>
      </c>
    </row>
    <row r="4852" spans="9:21" ht="24.75" customHeight="1" x14ac:dyDescent="0.35">
      <c r="I4852" s="42">
        <f t="shared" si="760"/>
        <v>0</v>
      </c>
      <c r="J4852" s="65" t="e">
        <f t="shared" si="761"/>
        <v>#NUM!</v>
      </c>
      <c r="K4852" s="83" t="e">
        <f t="shared" si="762"/>
        <v>#NUM!</v>
      </c>
      <c r="L4852" s="83">
        <f t="shared" si="763"/>
        <v>0</v>
      </c>
      <c r="M4852" s="110" t="str">
        <f t="shared" si="764"/>
        <v/>
      </c>
      <c r="N4852" s="51" t="str">
        <f t="shared" si="765"/>
        <v/>
      </c>
      <c r="O4852" s="52" t="str">
        <f t="shared" si="766"/>
        <v/>
      </c>
      <c r="P4852" s="88">
        <f t="shared" si="767"/>
        <v>0</v>
      </c>
      <c r="Q4852" s="88">
        <f t="shared" si="768"/>
        <v>0</v>
      </c>
      <c r="R4852" s="88" t="e">
        <f>-IF(Tabla14[[#This Row],[DIAS HABILES O MORA]]&lt;0,(Tabla14[[#This Row],[VALOR PRESTAMO]]*Tabla14[[#This Row],[% INTERES ]]/30*U4852))+Tabla14[[#This Row],[VALOR CUOTAS]]</f>
        <v>#VALUE!</v>
      </c>
      <c r="S4852" s="88">
        <f>-IF(Tabla14[[#This Row],[DIAS HABILES O MORA]]&lt;0,(Tabla14[[#This Row],[VALOR PRESTAMO]]*Tabla14[[#This Row],[% INTERES ]]/30*U4852))</f>
        <v>0</v>
      </c>
      <c r="T4852" s="53" t="e">
        <f>Tabla14[[#This Row],[DEUDA CAPITAL]]+Tabla14[[#This Row],[INTERES  CUOTA]]</f>
        <v>#NUM!</v>
      </c>
      <c r="U4852" s="61" t="str">
        <f t="shared" si="769"/>
        <v/>
      </c>
    </row>
    <row r="4853" spans="9:21" ht="24.75" customHeight="1" x14ac:dyDescent="0.35">
      <c r="I4853" s="42">
        <f t="shared" si="760"/>
        <v>0</v>
      </c>
      <c r="J4853" s="65" t="e">
        <f t="shared" si="761"/>
        <v>#NUM!</v>
      </c>
      <c r="K4853" s="83" t="e">
        <f t="shared" si="762"/>
        <v>#NUM!</v>
      </c>
      <c r="L4853" s="83">
        <f t="shared" si="763"/>
        <v>0</v>
      </c>
      <c r="M4853" s="110" t="str">
        <f t="shared" si="764"/>
        <v/>
      </c>
      <c r="N4853" s="51" t="str">
        <f t="shared" si="765"/>
        <v/>
      </c>
      <c r="O4853" s="52" t="str">
        <f t="shared" si="766"/>
        <v/>
      </c>
      <c r="P4853" s="88">
        <f t="shared" si="767"/>
        <v>0</v>
      </c>
      <c r="Q4853" s="88">
        <f t="shared" si="768"/>
        <v>0</v>
      </c>
      <c r="R4853" s="88" t="e">
        <f>-IF(Tabla14[[#This Row],[DIAS HABILES O MORA]]&lt;0,(Tabla14[[#This Row],[VALOR PRESTAMO]]*Tabla14[[#This Row],[% INTERES ]]/30*U4853))+Tabla14[[#This Row],[VALOR CUOTAS]]</f>
        <v>#VALUE!</v>
      </c>
      <c r="S4853" s="88">
        <f>-IF(Tabla14[[#This Row],[DIAS HABILES O MORA]]&lt;0,(Tabla14[[#This Row],[VALOR PRESTAMO]]*Tabla14[[#This Row],[% INTERES ]]/30*U4853))</f>
        <v>0</v>
      </c>
      <c r="T4853" s="53" t="e">
        <f>Tabla14[[#This Row],[DEUDA CAPITAL]]+Tabla14[[#This Row],[INTERES  CUOTA]]</f>
        <v>#NUM!</v>
      </c>
      <c r="U4853" s="61" t="str">
        <f t="shared" si="769"/>
        <v/>
      </c>
    </row>
    <row r="4854" spans="9:21" ht="24.75" customHeight="1" x14ac:dyDescent="0.35">
      <c r="I4854" s="42">
        <f t="shared" si="760"/>
        <v>0</v>
      </c>
      <c r="J4854" s="65" t="e">
        <f t="shared" si="761"/>
        <v>#NUM!</v>
      </c>
      <c r="K4854" s="83" t="e">
        <f t="shared" si="762"/>
        <v>#NUM!</v>
      </c>
      <c r="L4854" s="83">
        <f t="shared" si="763"/>
        <v>0</v>
      </c>
      <c r="M4854" s="110" t="str">
        <f t="shared" si="764"/>
        <v/>
      </c>
      <c r="N4854" s="51" t="str">
        <f t="shared" si="765"/>
        <v/>
      </c>
      <c r="O4854" s="52" t="str">
        <f t="shared" si="766"/>
        <v/>
      </c>
      <c r="P4854" s="88">
        <f t="shared" si="767"/>
        <v>0</v>
      </c>
      <c r="Q4854" s="88">
        <f t="shared" si="768"/>
        <v>0</v>
      </c>
      <c r="R4854" s="88" t="e">
        <f>-IF(Tabla14[[#This Row],[DIAS HABILES O MORA]]&lt;0,(Tabla14[[#This Row],[VALOR PRESTAMO]]*Tabla14[[#This Row],[% INTERES ]]/30*U4854))+Tabla14[[#This Row],[VALOR CUOTAS]]</f>
        <v>#VALUE!</v>
      </c>
      <c r="S4854" s="88">
        <f>-IF(Tabla14[[#This Row],[DIAS HABILES O MORA]]&lt;0,(Tabla14[[#This Row],[VALOR PRESTAMO]]*Tabla14[[#This Row],[% INTERES ]]/30*U4854))</f>
        <v>0</v>
      </c>
      <c r="T4854" s="53" t="e">
        <f>Tabla14[[#This Row],[DEUDA CAPITAL]]+Tabla14[[#This Row],[INTERES  CUOTA]]</f>
        <v>#NUM!</v>
      </c>
      <c r="U4854" s="61" t="str">
        <f t="shared" si="769"/>
        <v/>
      </c>
    </row>
    <row r="4855" spans="9:21" ht="24.75" customHeight="1" x14ac:dyDescent="0.35">
      <c r="I4855" s="42">
        <f t="shared" si="760"/>
        <v>0</v>
      </c>
      <c r="J4855" s="65" t="e">
        <f t="shared" si="761"/>
        <v>#NUM!</v>
      </c>
      <c r="K4855" s="83" t="e">
        <f t="shared" si="762"/>
        <v>#NUM!</v>
      </c>
      <c r="L4855" s="83">
        <f t="shared" si="763"/>
        <v>0</v>
      </c>
      <c r="M4855" s="110" t="str">
        <f t="shared" si="764"/>
        <v/>
      </c>
      <c r="N4855" s="51" t="str">
        <f t="shared" si="765"/>
        <v/>
      </c>
      <c r="O4855" s="52" t="str">
        <f t="shared" si="766"/>
        <v/>
      </c>
      <c r="P4855" s="88">
        <f t="shared" si="767"/>
        <v>0</v>
      </c>
      <c r="Q4855" s="88">
        <f t="shared" si="768"/>
        <v>0</v>
      </c>
      <c r="R4855" s="88" t="e">
        <f>-IF(Tabla14[[#This Row],[DIAS HABILES O MORA]]&lt;0,(Tabla14[[#This Row],[VALOR PRESTAMO]]*Tabla14[[#This Row],[% INTERES ]]/30*U4855))+Tabla14[[#This Row],[VALOR CUOTAS]]</f>
        <v>#VALUE!</v>
      </c>
      <c r="S4855" s="88">
        <f>-IF(Tabla14[[#This Row],[DIAS HABILES O MORA]]&lt;0,(Tabla14[[#This Row],[VALOR PRESTAMO]]*Tabla14[[#This Row],[% INTERES ]]/30*U4855))</f>
        <v>0</v>
      </c>
      <c r="T4855" s="53" t="e">
        <f>Tabla14[[#This Row],[DEUDA CAPITAL]]+Tabla14[[#This Row],[INTERES  CUOTA]]</f>
        <v>#NUM!</v>
      </c>
      <c r="U4855" s="61" t="str">
        <f t="shared" si="769"/>
        <v/>
      </c>
    </row>
    <row r="4856" spans="9:21" ht="24.75" customHeight="1" x14ac:dyDescent="0.35">
      <c r="I4856" s="42">
        <f t="shared" si="760"/>
        <v>0</v>
      </c>
      <c r="J4856" s="65" t="e">
        <f t="shared" si="761"/>
        <v>#NUM!</v>
      </c>
      <c r="K4856" s="83" t="e">
        <f t="shared" si="762"/>
        <v>#NUM!</v>
      </c>
      <c r="L4856" s="83">
        <f t="shared" si="763"/>
        <v>0</v>
      </c>
      <c r="M4856" s="110" t="str">
        <f t="shared" si="764"/>
        <v/>
      </c>
      <c r="N4856" s="51" t="str">
        <f t="shared" si="765"/>
        <v/>
      </c>
      <c r="O4856" s="52" t="str">
        <f t="shared" si="766"/>
        <v/>
      </c>
      <c r="P4856" s="88">
        <f t="shared" si="767"/>
        <v>0</v>
      </c>
      <c r="Q4856" s="88">
        <f t="shared" si="768"/>
        <v>0</v>
      </c>
      <c r="R4856" s="88" t="e">
        <f>-IF(Tabla14[[#This Row],[DIAS HABILES O MORA]]&lt;0,(Tabla14[[#This Row],[VALOR PRESTAMO]]*Tabla14[[#This Row],[% INTERES ]]/30*U4856))+Tabla14[[#This Row],[VALOR CUOTAS]]</f>
        <v>#VALUE!</v>
      </c>
      <c r="S4856" s="88">
        <f>-IF(Tabla14[[#This Row],[DIAS HABILES O MORA]]&lt;0,(Tabla14[[#This Row],[VALOR PRESTAMO]]*Tabla14[[#This Row],[% INTERES ]]/30*U4856))</f>
        <v>0</v>
      </c>
      <c r="T4856" s="53" t="e">
        <f>Tabla14[[#This Row],[DEUDA CAPITAL]]+Tabla14[[#This Row],[INTERES  CUOTA]]</f>
        <v>#NUM!</v>
      </c>
      <c r="U4856" s="61" t="str">
        <f t="shared" si="769"/>
        <v/>
      </c>
    </row>
    <row r="4857" spans="9:21" ht="24.75" customHeight="1" x14ac:dyDescent="0.35">
      <c r="I4857" s="42">
        <f t="shared" si="760"/>
        <v>0</v>
      </c>
      <c r="J4857" s="65" t="e">
        <f t="shared" si="761"/>
        <v>#NUM!</v>
      </c>
      <c r="K4857" s="83" t="e">
        <f t="shared" si="762"/>
        <v>#NUM!</v>
      </c>
      <c r="L4857" s="83">
        <f t="shared" si="763"/>
        <v>0</v>
      </c>
      <c r="M4857" s="110" t="str">
        <f t="shared" si="764"/>
        <v/>
      </c>
      <c r="N4857" s="51" t="str">
        <f t="shared" si="765"/>
        <v/>
      </c>
      <c r="O4857" s="52" t="str">
        <f t="shared" si="766"/>
        <v/>
      </c>
      <c r="P4857" s="88">
        <f t="shared" si="767"/>
        <v>0</v>
      </c>
      <c r="Q4857" s="88">
        <f t="shared" si="768"/>
        <v>0</v>
      </c>
      <c r="R4857" s="88" t="e">
        <f>-IF(Tabla14[[#This Row],[DIAS HABILES O MORA]]&lt;0,(Tabla14[[#This Row],[VALOR PRESTAMO]]*Tabla14[[#This Row],[% INTERES ]]/30*U4857))+Tabla14[[#This Row],[VALOR CUOTAS]]</f>
        <v>#VALUE!</v>
      </c>
      <c r="S4857" s="88">
        <f>-IF(Tabla14[[#This Row],[DIAS HABILES O MORA]]&lt;0,(Tabla14[[#This Row],[VALOR PRESTAMO]]*Tabla14[[#This Row],[% INTERES ]]/30*U4857))</f>
        <v>0</v>
      </c>
      <c r="T4857" s="53" t="e">
        <f>Tabla14[[#This Row],[DEUDA CAPITAL]]+Tabla14[[#This Row],[INTERES  CUOTA]]</f>
        <v>#NUM!</v>
      </c>
      <c r="U4857" s="61" t="str">
        <f t="shared" si="769"/>
        <v/>
      </c>
    </row>
    <row r="4858" spans="9:21" ht="24.75" customHeight="1" x14ac:dyDescent="0.35">
      <c r="I4858" s="42">
        <f t="shared" si="760"/>
        <v>0</v>
      </c>
      <c r="J4858" s="65" t="e">
        <f t="shared" si="761"/>
        <v>#NUM!</v>
      </c>
      <c r="K4858" s="83" t="e">
        <f t="shared" si="762"/>
        <v>#NUM!</v>
      </c>
      <c r="L4858" s="83">
        <f t="shared" si="763"/>
        <v>0</v>
      </c>
      <c r="M4858" s="110" t="str">
        <f t="shared" si="764"/>
        <v/>
      </c>
      <c r="N4858" s="51" t="str">
        <f t="shared" si="765"/>
        <v/>
      </c>
      <c r="O4858" s="52" t="str">
        <f t="shared" si="766"/>
        <v/>
      </c>
      <c r="P4858" s="88">
        <f t="shared" si="767"/>
        <v>0</v>
      </c>
      <c r="Q4858" s="88">
        <f t="shared" si="768"/>
        <v>0</v>
      </c>
      <c r="R4858" s="88" t="e">
        <f>-IF(Tabla14[[#This Row],[DIAS HABILES O MORA]]&lt;0,(Tabla14[[#This Row],[VALOR PRESTAMO]]*Tabla14[[#This Row],[% INTERES ]]/30*U4858))+Tabla14[[#This Row],[VALOR CUOTAS]]</f>
        <v>#VALUE!</v>
      </c>
      <c r="S4858" s="88">
        <f>-IF(Tabla14[[#This Row],[DIAS HABILES O MORA]]&lt;0,(Tabla14[[#This Row],[VALOR PRESTAMO]]*Tabla14[[#This Row],[% INTERES ]]/30*U4858))</f>
        <v>0</v>
      </c>
      <c r="T4858" s="53" t="e">
        <f>Tabla14[[#This Row],[DEUDA CAPITAL]]+Tabla14[[#This Row],[INTERES  CUOTA]]</f>
        <v>#NUM!</v>
      </c>
      <c r="U4858" s="61" t="str">
        <f t="shared" si="769"/>
        <v/>
      </c>
    </row>
    <row r="4859" spans="9:21" ht="24.75" customHeight="1" x14ac:dyDescent="0.35">
      <c r="I4859" s="42">
        <f t="shared" si="760"/>
        <v>0</v>
      </c>
      <c r="J4859" s="65" t="e">
        <f t="shared" si="761"/>
        <v>#NUM!</v>
      </c>
      <c r="K4859" s="83" t="e">
        <f t="shared" si="762"/>
        <v>#NUM!</v>
      </c>
      <c r="L4859" s="83">
        <f t="shared" si="763"/>
        <v>0</v>
      </c>
      <c r="M4859" s="110" t="str">
        <f t="shared" si="764"/>
        <v/>
      </c>
      <c r="N4859" s="51" t="str">
        <f t="shared" si="765"/>
        <v/>
      </c>
      <c r="O4859" s="52" t="str">
        <f t="shared" si="766"/>
        <v/>
      </c>
      <c r="P4859" s="88">
        <f t="shared" si="767"/>
        <v>0</v>
      </c>
      <c r="Q4859" s="88">
        <f t="shared" si="768"/>
        <v>0</v>
      </c>
      <c r="R4859" s="88" t="e">
        <f>-IF(Tabla14[[#This Row],[DIAS HABILES O MORA]]&lt;0,(Tabla14[[#This Row],[VALOR PRESTAMO]]*Tabla14[[#This Row],[% INTERES ]]/30*U4859))+Tabla14[[#This Row],[VALOR CUOTAS]]</f>
        <v>#VALUE!</v>
      </c>
      <c r="S4859" s="88">
        <f>-IF(Tabla14[[#This Row],[DIAS HABILES O MORA]]&lt;0,(Tabla14[[#This Row],[VALOR PRESTAMO]]*Tabla14[[#This Row],[% INTERES ]]/30*U4859))</f>
        <v>0</v>
      </c>
      <c r="T4859" s="53" t="e">
        <f>Tabla14[[#This Row],[DEUDA CAPITAL]]+Tabla14[[#This Row],[INTERES  CUOTA]]</f>
        <v>#NUM!</v>
      </c>
      <c r="U4859" s="61" t="str">
        <f t="shared" si="769"/>
        <v/>
      </c>
    </row>
    <row r="4860" spans="9:21" ht="24.75" customHeight="1" x14ac:dyDescent="0.35">
      <c r="I4860" s="42">
        <f t="shared" si="760"/>
        <v>0</v>
      </c>
      <c r="J4860" s="65" t="e">
        <f t="shared" si="761"/>
        <v>#NUM!</v>
      </c>
      <c r="K4860" s="83" t="e">
        <f t="shared" si="762"/>
        <v>#NUM!</v>
      </c>
      <c r="L4860" s="83">
        <f t="shared" si="763"/>
        <v>0</v>
      </c>
      <c r="M4860" s="110" t="str">
        <f t="shared" si="764"/>
        <v/>
      </c>
      <c r="N4860" s="51" t="str">
        <f t="shared" si="765"/>
        <v/>
      </c>
      <c r="O4860" s="52" t="str">
        <f t="shared" si="766"/>
        <v/>
      </c>
      <c r="P4860" s="88">
        <f t="shared" si="767"/>
        <v>0</v>
      </c>
      <c r="Q4860" s="88">
        <f t="shared" si="768"/>
        <v>0</v>
      </c>
      <c r="R4860" s="88" t="e">
        <f>-IF(Tabla14[[#This Row],[DIAS HABILES O MORA]]&lt;0,(Tabla14[[#This Row],[VALOR PRESTAMO]]*Tabla14[[#This Row],[% INTERES ]]/30*U4860))+Tabla14[[#This Row],[VALOR CUOTAS]]</f>
        <v>#VALUE!</v>
      </c>
      <c r="S4860" s="88">
        <f>-IF(Tabla14[[#This Row],[DIAS HABILES O MORA]]&lt;0,(Tabla14[[#This Row],[VALOR PRESTAMO]]*Tabla14[[#This Row],[% INTERES ]]/30*U4860))</f>
        <v>0</v>
      </c>
      <c r="T4860" s="53" t="e">
        <f>Tabla14[[#This Row],[DEUDA CAPITAL]]+Tabla14[[#This Row],[INTERES  CUOTA]]</f>
        <v>#NUM!</v>
      </c>
      <c r="U4860" s="61" t="str">
        <f t="shared" si="769"/>
        <v/>
      </c>
    </row>
    <row r="4861" spans="9:21" ht="24.75" customHeight="1" x14ac:dyDescent="0.35">
      <c r="I4861" s="42">
        <f t="shared" si="760"/>
        <v>0</v>
      </c>
      <c r="J4861" s="65" t="e">
        <f t="shared" si="761"/>
        <v>#NUM!</v>
      </c>
      <c r="K4861" s="83" t="e">
        <f t="shared" si="762"/>
        <v>#NUM!</v>
      </c>
      <c r="L4861" s="83">
        <f t="shared" si="763"/>
        <v>0</v>
      </c>
      <c r="M4861" s="110" t="str">
        <f t="shared" si="764"/>
        <v/>
      </c>
      <c r="N4861" s="51" t="str">
        <f t="shared" si="765"/>
        <v/>
      </c>
      <c r="O4861" s="52" t="str">
        <f t="shared" si="766"/>
        <v/>
      </c>
      <c r="P4861" s="88">
        <f t="shared" si="767"/>
        <v>0</v>
      </c>
      <c r="Q4861" s="88">
        <f t="shared" si="768"/>
        <v>0</v>
      </c>
      <c r="R4861" s="88" t="e">
        <f>-IF(Tabla14[[#This Row],[DIAS HABILES O MORA]]&lt;0,(Tabla14[[#This Row],[VALOR PRESTAMO]]*Tabla14[[#This Row],[% INTERES ]]/30*U4861))+Tabla14[[#This Row],[VALOR CUOTAS]]</f>
        <v>#VALUE!</v>
      </c>
      <c r="S4861" s="88">
        <f>-IF(Tabla14[[#This Row],[DIAS HABILES O MORA]]&lt;0,(Tabla14[[#This Row],[VALOR PRESTAMO]]*Tabla14[[#This Row],[% INTERES ]]/30*U4861))</f>
        <v>0</v>
      </c>
      <c r="T4861" s="53" t="e">
        <f>Tabla14[[#This Row],[DEUDA CAPITAL]]+Tabla14[[#This Row],[INTERES  CUOTA]]</f>
        <v>#NUM!</v>
      </c>
      <c r="U4861" s="61" t="str">
        <f t="shared" si="769"/>
        <v/>
      </c>
    </row>
    <row r="4862" spans="9:21" ht="24.75" customHeight="1" x14ac:dyDescent="0.35">
      <c r="I4862" s="42">
        <f t="shared" si="760"/>
        <v>0</v>
      </c>
      <c r="J4862" s="65" t="e">
        <f t="shared" si="761"/>
        <v>#NUM!</v>
      </c>
      <c r="K4862" s="83" t="e">
        <f t="shared" si="762"/>
        <v>#NUM!</v>
      </c>
      <c r="L4862" s="83">
        <f t="shared" si="763"/>
        <v>0</v>
      </c>
      <c r="M4862" s="110" t="str">
        <f t="shared" si="764"/>
        <v/>
      </c>
      <c r="N4862" s="51" t="str">
        <f t="shared" si="765"/>
        <v/>
      </c>
      <c r="O4862" s="52" t="str">
        <f t="shared" si="766"/>
        <v/>
      </c>
      <c r="P4862" s="88">
        <f t="shared" si="767"/>
        <v>0</v>
      </c>
      <c r="Q4862" s="88">
        <f t="shared" si="768"/>
        <v>0</v>
      </c>
      <c r="R4862" s="88" t="e">
        <f>-IF(Tabla14[[#This Row],[DIAS HABILES O MORA]]&lt;0,(Tabla14[[#This Row],[VALOR PRESTAMO]]*Tabla14[[#This Row],[% INTERES ]]/30*U4862))+Tabla14[[#This Row],[VALOR CUOTAS]]</f>
        <v>#VALUE!</v>
      </c>
      <c r="S4862" s="88">
        <f>-IF(Tabla14[[#This Row],[DIAS HABILES O MORA]]&lt;0,(Tabla14[[#This Row],[VALOR PRESTAMO]]*Tabla14[[#This Row],[% INTERES ]]/30*U4862))</f>
        <v>0</v>
      </c>
      <c r="T4862" s="53" t="e">
        <f>Tabla14[[#This Row],[DEUDA CAPITAL]]+Tabla14[[#This Row],[INTERES  CUOTA]]</f>
        <v>#NUM!</v>
      </c>
      <c r="U4862" s="61" t="str">
        <f t="shared" si="769"/>
        <v/>
      </c>
    </row>
    <row r="4863" spans="9:21" ht="24.75" customHeight="1" x14ac:dyDescent="0.35">
      <c r="I4863" s="42">
        <f t="shared" si="760"/>
        <v>0</v>
      </c>
      <c r="J4863" s="65" t="e">
        <f t="shared" si="761"/>
        <v>#NUM!</v>
      </c>
      <c r="K4863" s="83" t="e">
        <f t="shared" si="762"/>
        <v>#NUM!</v>
      </c>
      <c r="L4863" s="83">
        <f t="shared" si="763"/>
        <v>0</v>
      </c>
      <c r="M4863" s="110" t="str">
        <f t="shared" si="764"/>
        <v/>
      </c>
      <c r="N4863" s="51" t="str">
        <f t="shared" si="765"/>
        <v/>
      </c>
      <c r="O4863" s="52" t="str">
        <f t="shared" si="766"/>
        <v/>
      </c>
      <c r="P4863" s="88">
        <f t="shared" si="767"/>
        <v>0</v>
      </c>
      <c r="Q4863" s="88">
        <f t="shared" si="768"/>
        <v>0</v>
      </c>
      <c r="R4863" s="88" t="e">
        <f>-IF(Tabla14[[#This Row],[DIAS HABILES O MORA]]&lt;0,(Tabla14[[#This Row],[VALOR PRESTAMO]]*Tabla14[[#This Row],[% INTERES ]]/30*U4863))+Tabla14[[#This Row],[VALOR CUOTAS]]</f>
        <v>#VALUE!</v>
      </c>
      <c r="S4863" s="88">
        <f>-IF(Tabla14[[#This Row],[DIAS HABILES O MORA]]&lt;0,(Tabla14[[#This Row],[VALOR PRESTAMO]]*Tabla14[[#This Row],[% INTERES ]]/30*U4863))</f>
        <v>0</v>
      </c>
      <c r="T4863" s="53" t="e">
        <f>Tabla14[[#This Row],[DEUDA CAPITAL]]+Tabla14[[#This Row],[INTERES  CUOTA]]</f>
        <v>#NUM!</v>
      </c>
      <c r="U4863" s="61" t="str">
        <f t="shared" si="769"/>
        <v/>
      </c>
    </row>
    <row r="4864" spans="9:21" ht="24.75" customHeight="1" x14ac:dyDescent="0.35">
      <c r="I4864" s="42">
        <f t="shared" si="760"/>
        <v>0</v>
      </c>
      <c r="J4864" s="65" t="e">
        <f t="shared" si="761"/>
        <v>#NUM!</v>
      </c>
      <c r="K4864" s="83" t="e">
        <f t="shared" si="762"/>
        <v>#NUM!</v>
      </c>
      <c r="L4864" s="83">
        <f t="shared" si="763"/>
        <v>0</v>
      </c>
      <c r="M4864" s="110" t="str">
        <f t="shared" si="764"/>
        <v/>
      </c>
      <c r="N4864" s="51" t="str">
        <f t="shared" si="765"/>
        <v/>
      </c>
      <c r="O4864" s="52" t="str">
        <f t="shared" si="766"/>
        <v/>
      </c>
      <c r="P4864" s="88">
        <f t="shared" si="767"/>
        <v>0</v>
      </c>
      <c r="Q4864" s="88">
        <f t="shared" si="768"/>
        <v>0</v>
      </c>
      <c r="R4864" s="88" t="e">
        <f>-IF(Tabla14[[#This Row],[DIAS HABILES O MORA]]&lt;0,(Tabla14[[#This Row],[VALOR PRESTAMO]]*Tabla14[[#This Row],[% INTERES ]]/30*U4864))+Tabla14[[#This Row],[VALOR CUOTAS]]</f>
        <v>#VALUE!</v>
      </c>
      <c r="S4864" s="88">
        <f>-IF(Tabla14[[#This Row],[DIAS HABILES O MORA]]&lt;0,(Tabla14[[#This Row],[VALOR PRESTAMO]]*Tabla14[[#This Row],[% INTERES ]]/30*U4864))</f>
        <v>0</v>
      </c>
      <c r="T4864" s="53" t="e">
        <f>Tabla14[[#This Row],[DEUDA CAPITAL]]+Tabla14[[#This Row],[INTERES  CUOTA]]</f>
        <v>#NUM!</v>
      </c>
      <c r="U4864" s="61" t="str">
        <f t="shared" si="769"/>
        <v/>
      </c>
    </row>
    <row r="4865" spans="9:21" ht="24.75" customHeight="1" x14ac:dyDescent="0.35">
      <c r="I4865" s="42">
        <f t="shared" si="760"/>
        <v>0</v>
      </c>
      <c r="J4865" s="65" t="e">
        <f t="shared" si="761"/>
        <v>#NUM!</v>
      </c>
      <c r="K4865" s="83" t="e">
        <f t="shared" si="762"/>
        <v>#NUM!</v>
      </c>
      <c r="L4865" s="83">
        <f t="shared" si="763"/>
        <v>0</v>
      </c>
      <c r="M4865" s="110" t="str">
        <f t="shared" si="764"/>
        <v/>
      </c>
      <c r="N4865" s="51" t="str">
        <f t="shared" si="765"/>
        <v/>
      </c>
      <c r="O4865" s="52" t="str">
        <f t="shared" si="766"/>
        <v/>
      </c>
      <c r="P4865" s="88">
        <f t="shared" si="767"/>
        <v>0</v>
      </c>
      <c r="Q4865" s="88">
        <f t="shared" si="768"/>
        <v>0</v>
      </c>
      <c r="R4865" s="88" t="e">
        <f>-IF(Tabla14[[#This Row],[DIAS HABILES O MORA]]&lt;0,(Tabla14[[#This Row],[VALOR PRESTAMO]]*Tabla14[[#This Row],[% INTERES ]]/30*U4865))+Tabla14[[#This Row],[VALOR CUOTAS]]</f>
        <v>#VALUE!</v>
      </c>
      <c r="S4865" s="88">
        <f>-IF(Tabla14[[#This Row],[DIAS HABILES O MORA]]&lt;0,(Tabla14[[#This Row],[VALOR PRESTAMO]]*Tabla14[[#This Row],[% INTERES ]]/30*U4865))</f>
        <v>0</v>
      </c>
      <c r="T4865" s="53" t="e">
        <f>Tabla14[[#This Row],[DEUDA CAPITAL]]+Tabla14[[#This Row],[INTERES  CUOTA]]</f>
        <v>#NUM!</v>
      </c>
      <c r="U4865" s="61" t="str">
        <f t="shared" si="769"/>
        <v/>
      </c>
    </row>
    <row r="4866" spans="9:21" ht="24.75" customHeight="1" x14ac:dyDescent="0.35">
      <c r="I4866" s="42">
        <f t="shared" si="760"/>
        <v>0</v>
      </c>
      <c r="J4866" s="65" t="e">
        <f t="shared" si="761"/>
        <v>#NUM!</v>
      </c>
      <c r="K4866" s="83" t="e">
        <f t="shared" si="762"/>
        <v>#NUM!</v>
      </c>
      <c r="L4866" s="83">
        <f t="shared" si="763"/>
        <v>0</v>
      </c>
      <c r="M4866" s="110" t="str">
        <f t="shared" si="764"/>
        <v/>
      </c>
      <c r="N4866" s="51" t="str">
        <f t="shared" si="765"/>
        <v/>
      </c>
      <c r="O4866" s="52" t="str">
        <f t="shared" si="766"/>
        <v/>
      </c>
      <c r="P4866" s="88">
        <f t="shared" si="767"/>
        <v>0</v>
      </c>
      <c r="Q4866" s="88">
        <f t="shared" si="768"/>
        <v>0</v>
      </c>
      <c r="R4866" s="88" t="e">
        <f>-IF(Tabla14[[#This Row],[DIAS HABILES O MORA]]&lt;0,(Tabla14[[#This Row],[VALOR PRESTAMO]]*Tabla14[[#This Row],[% INTERES ]]/30*U4866))+Tabla14[[#This Row],[VALOR CUOTAS]]</f>
        <v>#VALUE!</v>
      </c>
      <c r="S4866" s="88">
        <f>-IF(Tabla14[[#This Row],[DIAS HABILES O MORA]]&lt;0,(Tabla14[[#This Row],[VALOR PRESTAMO]]*Tabla14[[#This Row],[% INTERES ]]/30*U4866))</f>
        <v>0</v>
      </c>
      <c r="T4866" s="53" t="e">
        <f>Tabla14[[#This Row],[DEUDA CAPITAL]]+Tabla14[[#This Row],[INTERES  CUOTA]]</f>
        <v>#NUM!</v>
      </c>
      <c r="U4866" s="61" t="str">
        <f t="shared" si="769"/>
        <v/>
      </c>
    </row>
    <row r="4867" spans="9:21" ht="24.75" customHeight="1" x14ac:dyDescent="0.35">
      <c r="I4867" s="42">
        <f t="shared" si="760"/>
        <v>0</v>
      </c>
      <c r="J4867" s="65" t="e">
        <f t="shared" si="761"/>
        <v>#NUM!</v>
      </c>
      <c r="K4867" s="83" t="e">
        <f t="shared" si="762"/>
        <v>#NUM!</v>
      </c>
      <c r="L4867" s="83">
        <f t="shared" si="763"/>
        <v>0</v>
      </c>
      <c r="M4867" s="110" t="str">
        <f t="shared" si="764"/>
        <v/>
      </c>
      <c r="N4867" s="51" t="str">
        <f t="shared" si="765"/>
        <v/>
      </c>
      <c r="O4867" s="52" t="str">
        <f t="shared" si="766"/>
        <v/>
      </c>
      <c r="P4867" s="88">
        <f t="shared" si="767"/>
        <v>0</v>
      </c>
      <c r="Q4867" s="88">
        <f t="shared" si="768"/>
        <v>0</v>
      </c>
      <c r="R4867" s="88" t="e">
        <f>-IF(Tabla14[[#This Row],[DIAS HABILES O MORA]]&lt;0,(Tabla14[[#This Row],[VALOR PRESTAMO]]*Tabla14[[#This Row],[% INTERES ]]/30*U4867))+Tabla14[[#This Row],[VALOR CUOTAS]]</f>
        <v>#VALUE!</v>
      </c>
      <c r="S4867" s="88">
        <f>-IF(Tabla14[[#This Row],[DIAS HABILES O MORA]]&lt;0,(Tabla14[[#This Row],[VALOR PRESTAMO]]*Tabla14[[#This Row],[% INTERES ]]/30*U4867))</f>
        <v>0</v>
      </c>
      <c r="T4867" s="53" t="e">
        <f>Tabla14[[#This Row],[DEUDA CAPITAL]]+Tabla14[[#This Row],[INTERES  CUOTA]]</f>
        <v>#NUM!</v>
      </c>
      <c r="U4867" s="61" t="str">
        <f t="shared" si="769"/>
        <v/>
      </c>
    </row>
    <row r="4868" spans="9:21" ht="24.75" customHeight="1" x14ac:dyDescent="0.35">
      <c r="I4868" s="42">
        <f t="shared" si="760"/>
        <v>0</v>
      </c>
      <c r="J4868" s="65" t="e">
        <f t="shared" si="761"/>
        <v>#NUM!</v>
      </c>
      <c r="K4868" s="83" t="e">
        <f t="shared" si="762"/>
        <v>#NUM!</v>
      </c>
      <c r="L4868" s="83">
        <f t="shared" si="763"/>
        <v>0</v>
      </c>
      <c r="M4868" s="110" t="str">
        <f t="shared" si="764"/>
        <v/>
      </c>
      <c r="N4868" s="51" t="str">
        <f t="shared" si="765"/>
        <v/>
      </c>
      <c r="O4868" s="52" t="str">
        <f t="shared" si="766"/>
        <v/>
      </c>
      <c r="P4868" s="88">
        <f t="shared" si="767"/>
        <v>0</v>
      </c>
      <c r="Q4868" s="88">
        <f t="shared" si="768"/>
        <v>0</v>
      </c>
      <c r="R4868" s="88" t="e">
        <f>-IF(Tabla14[[#This Row],[DIAS HABILES O MORA]]&lt;0,(Tabla14[[#This Row],[VALOR PRESTAMO]]*Tabla14[[#This Row],[% INTERES ]]/30*U4868))+Tabla14[[#This Row],[VALOR CUOTAS]]</f>
        <v>#VALUE!</v>
      </c>
      <c r="S4868" s="88">
        <f>-IF(Tabla14[[#This Row],[DIAS HABILES O MORA]]&lt;0,(Tabla14[[#This Row],[VALOR PRESTAMO]]*Tabla14[[#This Row],[% INTERES ]]/30*U4868))</f>
        <v>0</v>
      </c>
      <c r="T4868" s="53" t="e">
        <f>Tabla14[[#This Row],[DEUDA CAPITAL]]+Tabla14[[#This Row],[INTERES  CUOTA]]</f>
        <v>#NUM!</v>
      </c>
      <c r="U4868" s="61" t="str">
        <f t="shared" si="769"/>
        <v/>
      </c>
    </row>
    <row r="4869" spans="9:21" ht="24.75" customHeight="1" x14ac:dyDescent="0.35">
      <c r="I4869" s="42">
        <f t="shared" si="760"/>
        <v>0</v>
      </c>
      <c r="J4869" s="65" t="e">
        <f t="shared" si="761"/>
        <v>#NUM!</v>
      </c>
      <c r="K4869" s="83" t="e">
        <f t="shared" si="762"/>
        <v>#NUM!</v>
      </c>
      <c r="L4869" s="83">
        <f t="shared" si="763"/>
        <v>0</v>
      </c>
      <c r="M4869" s="110" t="str">
        <f t="shared" si="764"/>
        <v/>
      </c>
      <c r="N4869" s="51" t="str">
        <f t="shared" si="765"/>
        <v/>
      </c>
      <c r="O4869" s="52" t="str">
        <f t="shared" si="766"/>
        <v/>
      </c>
      <c r="P4869" s="88">
        <f t="shared" si="767"/>
        <v>0</v>
      </c>
      <c r="Q4869" s="88">
        <f t="shared" si="768"/>
        <v>0</v>
      </c>
      <c r="R4869" s="88" t="e">
        <f>-IF(Tabla14[[#This Row],[DIAS HABILES O MORA]]&lt;0,(Tabla14[[#This Row],[VALOR PRESTAMO]]*Tabla14[[#This Row],[% INTERES ]]/30*U4869))+Tabla14[[#This Row],[VALOR CUOTAS]]</f>
        <v>#VALUE!</v>
      </c>
      <c r="S4869" s="88">
        <f>-IF(Tabla14[[#This Row],[DIAS HABILES O MORA]]&lt;0,(Tabla14[[#This Row],[VALOR PRESTAMO]]*Tabla14[[#This Row],[% INTERES ]]/30*U4869))</f>
        <v>0</v>
      </c>
      <c r="T4869" s="53" t="e">
        <f>Tabla14[[#This Row],[DEUDA CAPITAL]]+Tabla14[[#This Row],[INTERES  CUOTA]]</f>
        <v>#NUM!</v>
      </c>
      <c r="U4869" s="61" t="str">
        <f t="shared" si="769"/>
        <v/>
      </c>
    </row>
    <row r="4870" spans="9:21" ht="24.75" customHeight="1" x14ac:dyDescent="0.35">
      <c r="I4870" s="42">
        <f t="shared" si="760"/>
        <v>0</v>
      </c>
      <c r="J4870" s="65" t="e">
        <f t="shared" si="761"/>
        <v>#NUM!</v>
      </c>
      <c r="K4870" s="83" t="e">
        <f t="shared" si="762"/>
        <v>#NUM!</v>
      </c>
      <c r="L4870" s="83">
        <f t="shared" si="763"/>
        <v>0</v>
      </c>
      <c r="M4870" s="110" t="str">
        <f t="shared" si="764"/>
        <v/>
      </c>
      <c r="N4870" s="51" t="str">
        <f t="shared" si="765"/>
        <v/>
      </c>
      <c r="O4870" s="52" t="str">
        <f t="shared" si="766"/>
        <v/>
      </c>
      <c r="P4870" s="88">
        <f t="shared" si="767"/>
        <v>0</v>
      </c>
      <c r="Q4870" s="88">
        <f t="shared" si="768"/>
        <v>0</v>
      </c>
      <c r="R4870" s="88" t="e">
        <f>-IF(Tabla14[[#This Row],[DIAS HABILES O MORA]]&lt;0,(Tabla14[[#This Row],[VALOR PRESTAMO]]*Tabla14[[#This Row],[% INTERES ]]/30*U4870))+Tabla14[[#This Row],[VALOR CUOTAS]]</f>
        <v>#VALUE!</v>
      </c>
      <c r="S4870" s="88">
        <f>-IF(Tabla14[[#This Row],[DIAS HABILES O MORA]]&lt;0,(Tabla14[[#This Row],[VALOR PRESTAMO]]*Tabla14[[#This Row],[% INTERES ]]/30*U4870))</f>
        <v>0</v>
      </c>
      <c r="T4870" s="53" t="e">
        <f>Tabla14[[#This Row],[DEUDA CAPITAL]]+Tabla14[[#This Row],[INTERES  CUOTA]]</f>
        <v>#NUM!</v>
      </c>
      <c r="U4870" s="61" t="str">
        <f t="shared" si="769"/>
        <v/>
      </c>
    </row>
    <row r="4871" spans="9:21" ht="24.75" customHeight="1" x14ac:dyDescent="0.35">
      <c r="I4871" s="42">
        <f t="shared" si="760"/>
        <v>0</v>
      </c>
      <c r="J4871" s="65" t="e">
        <f t="shared" si="761"/>
        <v>#NUM!</v>
      </c>
      <c r="K4871" s="83" t="e">
        <f t="shared" si="762"/>
        <v>#NUM!</v>
      </c>
      <c r="L4871" s="83">
        <f t="shared" si="763"/>
        <v>0</v>
      </c>
      <c r="M4871" s="110" t="str">
        <f t="shared" si="764"/>
        <v/>
      </c>
      <c r="N4871" s="51" t="str">
        <f t="shared" si="765"/>
        <v/>
      </c>
      <c r="O4871" s="52" t="str">
        <f t="shared" si="766"/>
        <v/>
      </c>
      <c r="P4871" s="88">
        <f t="shared" si="767"/>
        <v>0</v>
      </c>
      <c r="Q4871" s="88">
        <f t="shared" si="768"/>
        <v>0</v>
      </c>
      <c r="R4871" s="88" t="e">
        <f>-IF(Tabla14[[#This Row],[DIAS HABILES O MORA]]&lt;0,(Tabla14[[#This Row],[VALOR PRESTAMO]]*Tabla14[[#This Row],[% INTERES ]]/30*U4871))+Tabla14[[#This Row],[VALOR CUOTAS]]</f>
        <v>#VALUE!</v>
      </c>
      <c r="S4871" s="88">
        <f>-IF(Tabla14[[#This Row],[DIAS HABILES O MORA]]&lt;0,(Tabla14[[#This Row],[VALOR PRESTAMO]]*Tabla14[[#This Row],[% INTERES ]]/30*U4871))</f>
        <v>0</v>
      </c>
      <c r="T4871" s="53" t="e">
        <f>Tabla14[[#This Row],[DEUDA CAPITAL]]+Tabla14[[#This Row],[INTERES  CUOTA]]</f>
        <v>#NUM!</v>
      </c>
      <c r="U4871" s="61" t="str">
        <f t="shared" si="769"/>
        <v/>
      </c>
    </row>
    <row r="4872" spans="9:21" ht="24.75" customHeight="1" x14ac:dyDescent="0.35">
      <c r="I4872" s="42">
        <f t="shared" si="760"/>
        <v>0</v>
      </c>
      <c r="J4872" s="65" t="e">
        <f t="shared" si="761"/>
        <v>#NUM!</v>
      </c>
      <c r="K4872" s="83" t="e">
        <f t="shared" si="762"/>
        <v>#NUM!</v>
      </c>
      <c r="L4872" s="83">
        <f t="shared" si="763"/>
        <v>0</v>
      </c>
      <c r="M4872" s="110" t="str">
        <f t="shared" si="764"/>
        <v/>
      </c>
      <c r="N4872" s="51" t="str">
        <f t="shared" si="765"/>
        <v/>
      </c>
      <c r="O4872" s="52" t="str">
        <f t="shared" si="766"/>
        <v/>
      </c>
      <c r="P4872" s="88">
        <f t="shared" si="767"/>
        <v>0</v>
      </c>
      <c r="Q4872" s="88">
        <f t="shared" si="768"/>
        <v>0</v>
      </c>
      <c r="R4872" s="88" t="e">
        <f>-IF(Tabla14[[#This Row],[DIAS HABILES O MORA]]&lt;0,(Tabla14[[#This Row],[VALOR PRESTAMO]]*Tabla14[[#This Row],[% INTERES ]]/30*U4872))+Tabla14[[#This Row],[VALOR CUOTAS]]</f>
        <v>#VALUE!</v>
      </c>
      <c r="S4872" s="88">
        <f>-IF(Tabla14[[#This Row],[DIAS HABILES O MORA]]&lt;0,(Tabla14[[#This Row],[VALOR PRESTAMO]]*Tabla14[[#This Row],[% INTERES ]]/30*U4872))</f>
        <v>0</v>
      </c>
      <c r="T4872" s="53" t="e">
        <f>Tabla14[[#This Row],[DEUDA CAPITAL]]+Tabla14[[#This Row],[INTERES  CUOTA]]</f>
        <v>#NUM!</v>
      </c>
      <c r="U4872" s="61" t="str">
        <f t="shared" si="769"/>
        <v/>
      </c>
    </row>
    <row r="4873" spans="9:21" ht="24.75" customHeight="1" x14ac:dyDescent="0.35">
      <c r="I4873" s="42">
        <f t="shared" si="760"/>
        <v>0</v>
      </c>
      <c r="J4873" s="65" t="e">
        <f t="shared" si="761"/>
        <v>#NUM!</v>
      </c>
      <c r="K4873" s="83" t="e">
        <f t="shared" si="762"/>
        <v>#NUM!</v>
      </c>
      <c r="L4873" s="83">
        <f t="shared" si="763"/>
        <v>0</v>
      </c>
      <c r="M4873" s="110" t="str">
        <f t="shared" si="764"/>
        <v/>
      </c>
      <c r="N4873" s="51" t="str">
        <f t="shared" si="765"/>
        <v/>
      </c>
      <c r="O4873" s="52" t="str">
        <f t="shared" si="766"/>
        <v/>
      </c>
      <c r="P4873" s="88">
        <f t="shared" si="767"/>
        <v>0</v>
      </c>
      <c r="Q4873" s="88">
        <f t="shared" si="768"/>
        <v>0</v>
      </c>
      <c r="R4873" s="88" t="e">
        <f>-IF(Tabla14[[#This Row],[DIAS HABILES O MORA]]&lt;0,(Tabla14[[#This Row],[VALOR PRESTAMO]]*Tabla14[[#This Row],[% INTERES ]]/30*U4873))+Tabla14[[#This Row],[VALOR CUOTAS]]</f>
        <v>#VALUE!</v>
      </c>
      <c r="S4873" s="88">
        <f>-IF(Tabla14[[#This Row],[DIAS HABILES O MORA]]&lt;0,(Tabla14[[#This Row],[VALOR PRESTAMO]]*Tabla14[[#This Row],[% INTERES ]]/30*U4873))</f>
        <v>0</v>
      </c>
      <c r="T4873" s="53" t="e">
        <f>Tabla14[[#This Row],[DEUDA CAPITAL]]+Tabla14[[#This Row],[INTERES  CUOTA]]</f>
        <v>#NUM!</v>
      </c>
      <c r="U4873" s="61" t="str">
        <f t="shared" si="769"/>
        <v/>
      </c>
    </row>
    <row r="4874" spans="9:21" ht="24.75" customHeight="1" x14ac:dyDescent="0.35">
      <c r="I4874" s="42">
        <f t="shared" si="760"/>
        <v>0</v>
      </c>
      <c r="J4874" s="65" t="e">
        <f t="shared" si="761"/>
        <v>#NUM!</v>
      </c>
      <c r="K4874" s="83" t="e">
        <f t="shared" si="762"/>
        <v>#NUM!</v>
      </c>
      <c r="L4874" s="83">
        <f t="shared" si="763"/>
        <v>0</v>
      </c>
      <c r="M4874" s="110" t="str">
        <f t="shared" si="764"/>
        <v/>
      </c>
      <c r="N4874" s="51" t="str">
        <f t="shared" si="765"/>
        <v/>
      </c>
      <c r="O4874" s="52" t="str">
        <f t="shared" si="766"/>
        <v/>
      </c>
      <c r="P4874" s="88">
        <f t="shared" si="767"/>
        <v>0</v>
      </c>
      <c r="Q4874" s="88">
        <f t="shared" si="768"/>
        <v>0</v>
      </c>
      <c r="R4874" s="88" t="e">
        <f>-IF(Tabla14[[#This Row],[DIAS HABILES O MORA]]&lt;0,(Tabla14[[#This Row],[VALOR PRESTAMO]]*Tabla14[[#This Row],[% INTERES ]]/30*U4874))+Tabla14[[#This Row],[VALOR CUOTAS]]</f>
        <v>#VALUE!</v>
      </c>
      <c r="S4874" s="88">
        <f>-IF(Tabla14[[#This Row],[DIAS HABILES O MORA]]&lt;0,(Tabla14[[#This Row],[VALOR PRESTAMO]]*Tabla14[[#This Row],[% INTERES ]]/30*U4874))</f>
        <v>0</v>
      </c>
      <c r="T4874" s="53" t="e">
        <f>Tabla14[[#This Row],[DEUDA CAPITAL]]+Tabla14[[#This Row],[INTERES  CUOTA]]</f>
        <v>#NUM!</v>
      </c>
      <c r="U4874" s="61" t="str">
        <f t="shared" si="769"/>
        <v/>
      </c>
    </row>
    <row r="4875" spans="9:21" ht="24.75" customHeight="1" x14ac:dyDescent="0.35">
      <c r="I4875" s="42">
        <f t="shared" si="760"/>
        <v>0</v>
      </c>
      <c r="J4875" s="65" t="e">
        <f t="shared" si="761"/>
        <v>#NUM!</v>
      </c>
      <c r="K4875" s="83" t="e">
        <f t="shared" si="762"/>
        <v>#NUM!</v>
      </c>
      <c r="L4875" s="83">
        <f t="shared" si="763"/>
        <v>0</v>
      </c>
      <c r="M4875" s="110" t="str">
        <f t="shared" si="764"/>
        <v/>
      </c>
      <c r="N4875" s="51" t="str">
        <f t="shared" si="765"/>
        <v/>
      </c>
      <c r="O4875" s="52" t="str">
        <f t="shared" si="766"/>
        <v/>
      </c>
      <c r="P4875" s="88">
        <f t="shared" si="767"/>
        <v>0</v>
      </c>
      <c r="Q4875" s="88">
        <f t="shared" si="768"/>
        <v>0</v>
      </c>
      <c r="R4875" s="88" t="e">
        <f>-IF(Tabla14[[#This Row],[DIAS HABILES O MORA]]&lt;0,(Tabla14[[#This Row],[VALOR PRESTAMO]]*Tabla14[[#This Row],[% INTERES ]]/30*U4875))+Tabla14[[#This Row],[VALOR CUOTAS]]</f>
        <v>#VALUE!</v>
      </c>
      <c r="S4875" s="88">
        <f>-IF(Tabla14[[#This Row],[DIAS HABILES O MORA]]&lt;0,(Tabla14[[#This Row],[VALOR PRESTAMO]]*Tabla14[[#This Row],[% INTERES ]]/30*U4875))</f>
        <v>0</v>
      </c>
      <c r="T4875" s="53" t="e">
        <f>Tabla14[[#This Row],[DEUDA CAPITAL]]+Tabla14[[#This Row],[INTERES  CUOTA]]</f>
        <v>#NUM!</v>
      </c>
      <c r="U4875" s="61" t="str">
        <f t="shared" si="769"/>
        <v/>
      </c>
    </row>
    <row r="4876" spans="9:21" ht="24.75" customHeight="1" x14ac:dyDescent="0.35">
      <c r="I4876" s="42">
        <f t="shared" si="760"/>
        <v>0</v>
      </c>
      <c r="J4876" s="65" t="e">
        <f t="shared" si="761"/>
        <v>#NUM!</v>
      </c>
      <c r="K4876" s="83" t="e">
        <f t="shared" si="762"/>
        <v>#NUM!</v>
      </c>
      <c r="L4876" s="83">
        <f t="shared" si="763"/>
        <v>0</v>
      </c>
      <c r="M4876" s="110" t="str">
        <f t="shared" si="764"/>
        <v/>
      </c>
      <c r="N4876" s="51" t="str">
        <f t="shared" si="765"/>
        <v/>
      </c>
      <c r="O4876" s="52" t="str">
        <f t="shared" si="766"/>
        <v/>
      </c>
      <c r="P4876" s="88">
        <f t="shared" si="767"/>
        <v>0</v>
      </c>
      <c r="Q4876" s="88">
        <f t="shared" si="768"/>
        <v>0</v>
      </c>
      <c r="R4876" s="88" t="e">
        <f>-IF(Tabla14[[#This Row],[DIAS HABILES O MORA]]&lt;0,(Tabla14[[#This Row],[VALOR PRESTAMO]]*Tabla14[[#This Row],[% INTERES ]]/30*U4876))+Tabla14[[#This Row],[VALOR CUOTAS]]</f>
        <v>#VALUE!</v>
      </c>
      <c r="S4876" s="88">
        <f>-IF(Tabla14[[#This Row],[DIAS HABILES O MORA]]&lt;0,(Tabla14[[#This Row],[VALOR PRESTAMO]]*Tabla14[[#This Row],[% INTERES ]]/30*U4876))</f>
        <v>0</v>
      </c>
      <c r="T4876" s="53" t="e">
        <f>Tabla14[[#This Row],[DEUDA CAPITAL]]+Tabla14[[#This Row],[INTERES  CUOTA]]</f>
        <v>#NUM!</v>
      </c>
      <c r="U4876" s="61" t="str">
        <f t="shared" si="769"/>
        <v/>
      </c>
    </row>
    <row r="4877" spans="9:21" ht="24.75" customHeight="1" x14ac:dyDescent="0.35">
      <c r="I4877" s="42">
        <f t="shared" si="760"/>
        <v>0</v>
      </c>
      <c r="J4877" s="65" t="e">
        <f t="shared" si="761"/>
        <v>#NUM!</v>
      </c>
      <c r="K4877" s="83" t="e">
        <f t="shared" si="762"/>
        <v>#NUM!</v>
      </c>
      <c r="L4877" s="83">
        <f t="shared" si="763"/>
        <v>0</v>
      </c>
      <c r="M4877" s="110" t="str">
        <f t="shared" si="764"/>
        <v/>
      </c>
      <c r="N4877" s="51" t="str">
        <f t="shared" si="765"/>
        <v/>
      </c>
      <c r="O4877" s="52" t="str">
        <f t="shared" si="766"/>
        <v/>
      </c>
      <c r="P4877" s="88">
        <f t="shared" si="767"/>
        <v>0</v>
      </c>
      <c r="Q4877" s="88">
        <f t="shared" si="768"/>
        <v>0</v>
      </c>
      <c r="R4877" s="88" t="e">
        <f>-IF(Tabla14[[#This Row],[DIAS HABILES O MORA]]&lt;0,(Tabla14[[#This Row],[VALOR PRESTAMO]]*Tabla14[[#This Row],[% INTERES ]]/30*U4877))+Tabla14[[#This Row],[VALOR CUOTAS]]</f>
        <v>#VALUE!</v>
      </c>
      <c r="S4877" s="88">
        <f>-IF(Tabla14[[#This Row],[DIAS HABILES O MORA]]&lt;0,(Tabla14[[#This Row],[VALOR PRESTAMO]]*Tabla14[[#This Row],[% INTERES ]]/30*U4877))</f>
        <v>0</v>
      </c>
      <c r="T4877" s="53" t="e">
        <f>Tabla14[[#This Row],[DEUDA CAPITAL]]+Tabla14[[#This Row],[INTERES  CUOTA]]</f>
        <v>#NUM!</v>
      </c>
      <c r="U4877" s="61" t="str">
        <f t="shared" si="769"/>
        <v/>
      </c>
    </row>
    <row r="4878" spans="9:21" ht="24.75" customHeight="1" x14ac:dyDescent="0.35">
      <c r="I4878" s="42">
        <f t="shared" si="760"/>
        <v>0</v>
      </c>
      <c r="J4878" s="65" t="e">
        <f t="shared" si="761"/>
        <v>#NUM!</v>
      </c>
      <c r="K4878" s="83" t="e">
        <f t="shared" si="762"/>
        <v>#NUM!</v>
      </c>
      <c r="L4878" s="83">
        <f t="shared" si="763"/>
        <v>0</v>
      </c>
      <c r="M4878" s="110" t="str">
        <f t="shared" si="764"/>
        <v/>
      </c>
      <c r="N4878" s="51" t="str">
        <f t="shared" si="765"/>
        <v/>
      </c>
      <c r="O4878" s="52" t="str">
        <f t="shared" si="766"/>
        <v/>
      </c>
      <c r="P4878" s="88">
        <f t="shared" si="767"/>
        <v>0</v>
      </c>
      <c r="Q4878" s="88">
        <f t="shared" si="768"/>
        <v>0</v>
      </c>
      <c r="R4878" s="88" t="e">
        <f>-IF(Tabla14[[#This Row],[DIAS HABILES O MORA]]&lt;0,(Tabla14[[#This Row],[VALOR PRESTAMO]]*Tabla14[[#This Row],[% INTERES ]]/30*U4878))+Tabla14[[#This Row],[VALOR CUOTAS]]</f>
        <v>#VALUE!</v>
      </c>
      <c r="S4878" s="88">
        <f>-IF(Tabla14[[#This Row],[DIAS HABILES O MORA]]&lt;0,(Tabla14[[#This Row],[VALOR PRESTAMO]]*Tabla14[[#This Row],[% INTERES ]]/30*U4878))</f>
        <v>0</v>
      </c>
      <c r="T4878" s="53" t="e">
        <f>Tabla14[[#This Row],[DEUDA CAPITAL]]+Tabla14[[#This Row],[INTERES  CUOTA]]</f>
        <v>#NUM!</v>
      </c>
      <c r="U4878" s="61" t="str">
        <f t="shared" si="769"/>
        <v/>
      </c>
    </row>
    <row r="4879" spans="9:21" ht="24.75" customHeight="1" x14ac:dyDescent="0.35">
      <c r="I4879" s="42">
        <f t="shared" si="760"/>
        <v>0</v>
      </c>
      <c r="J4879" s="65" t="e">
        <f t="shared" si="761"/>
        <v>#NUM!</v>
      </c>
      <c r="K4879" s="83" t="e">
        <f t="shared" si="762"/>
        <v>#NUM!</v>
      </c>
      <c r="L4879" s="83">
        <f t="shared" si="763"/>
        <v>0</v>
      </c>
      <c r="M4879" s="110" t="str">
        <f t="shared" si="764"/>
        <v/>
      </c>
      <c r="N4879" s="51" t="str">
        <f t="shared" si="765"/>
        <v/>
      </c>
      <c r="O4879" s="52" t="str">
        <f t="shared" si="766"/>
        <v/>
      </c>
      <c r="P4879" s="88">
        <f t="shared" si="767"/>
        <v>0</v>
      </c>
      <c r="Q4879" s="88">
        <f t="shared" si="768"/>
        <v>0</v>
      </c>
      <c r="R4879" s="88" t="e">
        <f>-IF(Tabla14[[#This Row],[DIAS HABILES O MORA]]&lt;0,(Tabla14[[#This Row],[VALOR PRESTAMO]]*Tabla14[[#This Row],[% INTERES ]]/30*U4879))+Tabla14[[#This Row],[VALOR CUOTAS]]</f>
        <v>#VALUE!</v>
      </c>
      <c r="S4879" s="88">
        <f>-IF(Tabla14[[#This Row],[DIAS HABILES O MORA]]&lt;0,(Tabla14[[#This Row],[VALOR PRESTAMO]]*Tabla14[[#This Row],[% INTERES ]]/30*U4879))</f>
        <v>0</v>
      </c>
      <c r="T4879" s="53" t="e">
        <f>Tabla14[[#This Row],[DEUDA CAPITAL]]+Tabla14[[#This Row],[INTERES  CUOTA]]</f>
        <v>#NUM!</v>
      </c>
      <c r="U4879" s="61" t="str">
        <f t="shared" si="769"/>
        <v/>
      </c>
    </row>
    <row r="4880" spans="9:21" ht="24.75" customHeight="1" x14ac:dyDescent="0.35">
      <c r="I4880" s="42">
        <f t="shared" ref="I4880:I4943" si="770">IF(C4880&lt;0,"",IF(Q4880=0,0,IF(G4880=0,H4880+1,IF(H4880&lt;G4880,H4880+1,IF(G4880=H4880,0)))))</f>
        <v>0</v>
      </c>
      <c r="J4880" s="65" t="e">
        <f t="shared" ref="J4880:J4943" si="771">IF(F4880="SOLO INTERES",Q4880*D4880,-IPMT(D4880,I4880,G4880,C4880))</f>
        <v>#NUM!</v>
      </c>
      <c r="K4880" s="83" t="e">
        <f t="shared" ref="K4880:K4943" si="772">IF(F4880="SOLO INTERES",0,-PPMT(D4880,I4880,G4880,C4880))</f>
        <v>#NUM!</v>
      </c>
      <c r="L4880" s="83">
        <f t="shared" ref="L4880:L4943" si="773">IF(F4880="SOLO INTERES",SUM(Y4880:AAE4880),IFERROR(-CUMIPMT(D4880,G4880,C4880,1,H4880,0),0)+SUM(Y4880:WY4880))</f>
        <v>0</v>
      </c>
      <c r="M4880" s="110" t="str">
        <f t="shared" ref="M4880:M4943" si="774">IFERROR(IF(F4880="SOLO INTERES",Q4880*D4880,-PMT(D4880,G4880,C4880,0)),"")</f>
        <v/>
      </c>
      <c r="N4880" s="51" t="str">
        <f t="shared" ref="N4880:N4943" si="775">IF(Q4880=0,"",IF(E4880="MENSUAL",EDATE(B4880,I4880),IF(E4880="QUINCENAL",B4880+(I4880*15),IF(E4880="SEMANAL",B4880+(I4880*7)))))</f>
        <v/>
      </c>
      <c r="O4880" s="52" t="str">
        <f t="shared" ref="O4880:O4943" si="776">IF(C4880=0,"",IF(Q4880&lt;1,"PAGADO",IF(N4880=$A$3,"COBRAR HOY",IF(N4880&lt;$A$3,"EN MORA",IF(N4880&gt;$A$3,"AL DIA")))))</f>
        <v/>
      </c>
      <c r="P4880" s="88">
        <f t="shared" ref="P4880:P4943" si="777">IFERROR(-CUMPRINC(D4880,G4880,C4880,1,H4880,0),0)+W4880</f>
        <v>0</v>
      </c>
      <c r="Q4880" s="88">
        <f t="shared" ref="Q4880:Q4943" si="778">IFERROR(C4880-P4880,"")</f>
        <v>0</v>
      </c>
      <c r="R4880" s="88" t="e">
        <f>-IF(Tabla14[[#This Row],[DIAS HABILES O MORA]]&lt;0,(Tabla14[[#This Row],[VALOR PRESTAMO]]*Tabla14[[#This Row],[% INTERES ]]/30*U4880))+Tabla14[[#This Row],[VALOR CUOTAS]]</f>
        <v>#VALUE!</v>
      </c>
      <c r="S4880" s="88">
        <f>-IF(Tabla14[[#This Row],[DIAS HABILES O MORA]]&lt;0,(Tabla14[[#This Row],[VALOR PRESTAMO]]*Tabla14[[#This Row],[% INTERES ]]/30*U4880))</f>
        <v>0</v>
      </c>
      <c r="T4880" s="53" t="e">
        <f>Tabla14[[#This Row],[DEUDA CAPITAL]]+Tabla14[[#This Row],[INTERES  CUOTA]]</f>
        <v>#NUM!</v>
      </c>
      <c r="U4880" s="61" t="str">
        <f t="shared" ref="U4880:U4943" si="779">IF(O4880="PAGADO","",IFERROR(-IF(C4880=0,"",$A$3-N4880),""))</f>
        <v/>
      </c>
    </row>
    <row r="4881" spans="9:21" ht="24.75" customHeight="1" x14ac:dyDescent="0.35">
      <c r="I4881" s="42">
        <f t="shared" si="770"/>
        <v>0</v>
      </c>
      <c r="J4881" s="65" t="e">
        <f t="shared" si="771"/>
        <v>#NUM!</v>
      </c>
      <c r="K4881" s="83" t="e">
        <f t="shared" si="772"/>
        <v>#NUM!</v>
      </c>
      <c r="L4881" s="83">
        <f t="shared" si="773"/>
        <v>0</v>
      </c>
      <c r="M4881" s="110" t="str">
        <f t="shared" si="774"/>
        <v/>
      </c>
      <c r="N4881" s="51" t="str">
        <f t="shared" si="775"/>
        <v/>
      </c>
      <c r="O4881" s="52" t="str">
        <f t="shared" si="776"/>
        <v/>
      </c>
      <c r="P4881" s="88">
        <f t="shared" si="777"/>
        <v>0</v>
      </c>
      <c r="Q4881" s="88">
        <f t="shared" si="778"/>
        <v>0</v>
      </c>
      <c r="R4881" s="88" t="e">
        <f>-IF(Tabla14[[#This Row],[DIAS HABILES O MORA]]&lt;0,(Tabla14[[#This Row],[VALOR PRESTAMO]]*Tabla14[[#This Row],[% INTERES ]]/30*U4881))+Tabla14[[#This Row],[VALOR CUOTAS]]</f>
        <v>#VALUE!</v>
      </c>
      <c r="S4881" s="88">
        <f>-IF(Tabla14[[#This Row],[DIAS HABILES O MORA]]&lt;0,(Tabla14[[#This Row],[VALOR PRESTAMO]]*Tabla14[[#This Row],[% INTERES ]]/30*U4881))</f>
        <v>0</v>
      </c>
      <c r="T4881" s="53" t="e">
        <f>Tabla14[[#This Row],[DEUDA CAPITAL]]+Tabla14[[#This Row],[INTERES  CUOTA]]</f>
        <v>#NUM!</v>
      </c>
      <c r="U4881" s="61" t="str">
        <f t="shared" si="779"/>
        <v/>
      </c>
    </row>
    <row r="4882" spans="9:21" ht="24.75" customHeight="1" x14ac:dyDescent="0.35">
      <c r="I4882" s="42">
        <f t="shared" si="770"/>
        <v>0</v>
      </c>
      <c r="J4882" s="65" t="e">
        <f t="shared" si="771"/>
        <v>#NUM!</v>
      </c>
      <c r="K4882" s="83" t="e">
        <f t="shared" si="772"/>
        <v>#NUM!</v>
      </c>
      <c r="L4882" s="83">
        <f t="shared" si="773"/>
        <v>0</v>
      </c>
      <c r="M4882" s="110" t="str">
        <f t="shared" si="774"/>
        <v/>
      </c>
      <c r="N4882" s="51" t="str">
        <f t="shared" si="775"/>
        <v/>
      </c>
      <c r="O4882" s="52" t="str">
        <f t="shared" si="776"/>
        <v/>
      </c>
      <c r="P4882" s="88">
        <f t="shared" si="777"/>
        <v>0</v>
      </c>
      <c r="Q4882" s="88">
        <f t="shared" si="778"/>
        <v>0</v>
      </c>
      <c r="R4882" s="88" t="e">
        <f>-IF(Tabla14[[#This Row],[DIAS HABILES O MORA]]&lt;0,(Tabla14[[#This Row],[VALOR PRESTAMO]]*Tabla14[[#This Row],[% INTERES ]]/30*U4882))+Tabla14[[#This Row],[VALOR CUOTAS]]</f>
        <v>#VALUE!</v>
      </c>
      <c r="S4882" s="88">
        <f>-IF(Tabla14[[#This Row],[DIAS HABILES O MORA]]&lt;0,(Tabla14[[#This Row],[VALOR PRESTAMO]]*Tabla14[[#This Row],[% INTERES ]]/30*U4882))</f>
        <v>0</v>
      </c>
      <c r="T4882" s="53" t="e">
        <f>Tabla14[[#This Row],[DEUDA CAPITAL]]+Tabla14[[#This Row],[INTERES  CUOTA]]</f>
        <v>#NUM!</v>
      </c>
      <c r="U4882" s="61" t="str">
        <f t="shared" si="779"/>
        <v/>
      </c>
    </row>
    <row r="4883" spans="9:21" ht="24.75" customHeight="1" x14ac:dyDescent="0.35">
      <c r="I4883" s="42">
        <f t="shared" si="770"/>
        <v>0</v>
      </c>
      <c r="J4883" s="65" t="e">
        <f t="shared" si="771"/>
        <v>#NUM!</v>
      </c>
      <c r="K4883" s="83" t="e">
        <f t="shared" si="772"/>
        <v>#NUM!</v>
      </c>
      <c r="L4883" s="83">
        <f t="shared" si="773"/>
        <v>0</v>
      </c>
      <c r="M4883" s="110" t="str">
        <f t="shared" si="774"/>
        <v/>
      </c>
      <c r="N4883" s="51" t="str">
        <f t="shared" si="775"/>
        <v/>
      </c>
      <c r="O4883" s="52" t="str">
        <f t="shared" si="776"/>
        <v/>
      </c>
      <c r="P4883" s="88">
        <f t="shared" si="777"/>
        <v>0</v>
      </c>
      <c r="Q4883" s="88">
        <f t="shared" si="778"/>
        <v>0</v>
      </c>
      <c r="R4883" s="88" t="e">
        <f>-IF(Tabla14[[#This Row],[DIAS HABILES O MORA]]&lt;0,(Tabla14[[#This Row],[VALOR PRESTAMO]]*Tabla14[[#This Row],[% INTERES ]]/30*U4883))+Tabla14[[#This Row],[VALOR CUOTAS]]</f>
        <v>#VALUE!</v>
      </c>
      <c r="S4883" s="88">
        <f>-IF(Tabla14[[#This Row],[DIAS HABILES O MORA]]&lt;0,(Tabla14[[#This Row],[VALOR PRESTAMO]]*Tabla14[[#This Row],[% INTERES ]]/30*U4883))</f>
        <v>0</v>
      </c>
      <c r="T4883" s="53" t="e">
        <f>Tabla14[[#This Row],[DEUDA CAPITAL]]+Tabla14[[#This Row],[INTERES  CUOTA]]</f>
        <v>#NUM!</v>
      </c>
      <c r="U4883" s="61" t="str">
        <f t="shared" si="779"/>
        <v/>
      </c>
    </row>
    <row r="4884" spans="9:21" ht="24.75" customHeight="1" x14ac:dyDescent="0.35">
      <c r="I4884" s="42">
        <f t="shared" si="770"/>
        <v>0</v>
      </c>
      <c r="J4884" s="65" t="e">
        <f t="shared" si="771"/>
        <v>#NUM!</v>
      </c>
      <c r="K4884" s="83" t="e">
        <f t="shared" si="772"/>
        <v>#NUM!</v>
      </c>
      <c r="L4884" s="83">
        <f t="shared" si="773"/>
        <v>0</v>
      </c>
      <c r="M4884" s="110" t="str">
        <f t="shared" si="774"/>
        <v/>
      </c>
      <c r="N4884" s="51" t="str">
        <f t="shared" si="775"/>
        <v/>
      </c>
      <c r="O4884" s="52" t="str">
        <f t="shared" si="776"/>
        <v/>
      </c>
      <c r="P4884" s="88">
        <f t="shared" si="777"/>
        <v>0</v>
      </c>
      <c r="Q4884" s="88">
        <f t="shared" si="778"/>
        <v>0</v>
      </c>
      <c r="R4884" s="88" t="e">
        <f>-IF(Tabla14[[#This Row],[DIAS HABILES O MORA]]&lt;0,(Tabla14[[#This Row],[VALOR PRESTAMO]]*Tabla14[[#This Row],[% INTERES ]]/30*U4884))+Tabla14[[#This Row],[VALOR CUOTAS]]</f>
        <v>#VALUE!</v>
      </c>
      <c r="S4884" s="88">
        <f>-IF(Tabla14[[#This Row],[DIAS HABILES O MORA]]&lt;0,(Tabla14[[#This Row],[VALOR PRESTAMO]]*Tabla14[[#This Row],[% INTERES ]]/30*U4884))</f>
        <v>0</v>
      </c>
      <c r="T4884" s="53" t="e">
        <f>Tabla14[[#This Row],[DEUDA CAPITAL]]+Tabla14[[#This Row],[INTERES  CUOTA]]</f>
        <v>#NUM!</v>
      </c>
      <c r="U4884" s="61" t="str">
        <f t="shared" si="779"/>
        <v/>
      </c>
    </row>
    <row r="4885" spans="9:21" ht="24.75" customHeight="1" x14ac:dyDescent="0.35">
      <c r="I4885" s="42">
        <f t="shared" si="770"/>
        <v>0</v>
      </c>
      <c r="J4885" s="65" t="e">
        <f t="shared" si="771"/>
        <v>#NUM!</v>
      </c>
      <c r="K4885" s="83" t="e">
        <f t="shared" si="772"/>
        <v>#NUM!</v>
      </c>
      <c r="L4885" s="83">
        <f t="shared" si="773"/>
        <v>0</v>
      </c>
      <c r="M4885" s="110" t="str">
        <f t="shared" si="774"/>
        <v/>
      </c>
      <c r="N4885" s="51" t="str">
        <f t="shared" si="775"/>
        <v/>
      </c>
      <c r="O4885" s="52" t="str">
        <f t="shared" si="776"/>
        <v/>
      </c>
      <c r="P4885" s="88">
        <f t="shared" si="777"/>
        <v>0</v>
      </c>
      <c r="Q4885" s="88">
        <f t="shared" si="778"/>
        <v>0</v>
      </c>
      <c r="R4885" s="88" t="e">
        <f>-IF(Tabla14[[#This Row],[DIAS HABILES O MORA]]&lt;0,(Tabla14[[#This Row],[VALOR PRESTAMO]]*Tabla14[[#This Row],[% INTERES ]]/30*U4885))+Tabla14[[#This Row],[VALOR CUOTAS]]</f>
        <v>#VALUE!</v>
      </c>
      <c r="S4885" s="88">
        <f>-IF(Tabla14[[#This Row],[DIAS HABILES O MORA]]&lt;0,(Tabla14[[#This Row],[VALOR PRESTAMO]]*Tabla14[[#This Row],[% INTERES ]]/30*U4885))</f>
        <v>0</v>
      </c>
      <c r="T4885" s="53" t="e">
        <f>Tabla14[[#This Row],[DEUDA CAPITAL]]+Tabla14[[#This Row],[INTERES  CUOTA]]</f>
        <v>#NUM!</v>
      </c>
      <c r="U4885" s="61" t="str">
        <f t="shared" si="779"/>
        <v/>
      </c>
    </row>
    <row r="4886" spans="9:21" ht="24.75" customHeight="1" x14ac:dyDescent="0.35">
      <c r="I4886" s="42">
        <f t="shared" si="770"/>
        <v>0</v>
      </c>
      <c r="J4886" s="65" t="e">
        <f t="shared" si="771"/>
        <v>#NUM!</v>
      </c>
      <c r="K4886" s="83" t="e">
        <f t="shared" si="772"/>
        <v>#NUM!</v>
      </c>
      <c r="L4886" s="83">
        <f t="shared" si="773"/>
        <v>0</v>
      </c>
      <c r="M4886" s="110" t="str">
        <f t="shared" si="774"/>
        <v/>
      </c>
      <c r="N4886" s="51" t="str">
        <f t="shared" si="775"/>
        <v/>
      </c>
      <c r="O4886" s="52" t="str">
        <f t="shared" si="776"/>
        <v/>
      </c>
      <c r="P4886" s="88">
        <f t="shared" si="777"/>
        <v>0</v>
      </c>
      <c r="Q4886" s="88">
        <f t="shared" si="778"/>
        <v>0</v>
      </c>
      <c r="R4886" s="88" t="e">
        <f>-IF(Tabla14[[#This Row],[DIAS HABILES O MORA]]&lt;0,(Tabla14[[#This Row],[VALOR PRESTAMO]]*Tabla14[[#This Row],[% INTERES ]]/30*U4886))+Tabla14[[#This Row],[VALOR CUOTAS]]</f>
        <v>#VALUE!</v>
      </c>
      <c r="S4886" s="88">
        <f>-IF(Tabla14[[#This Row],[DIAS HABILES O MORA]]&lt;0,(Tabla14[[#This Row],[VALOR PRESTAMO]]*Tabla14[[#This Row],[% INTERES ]]/30*U4886))</f>
        <v>0</v>
      </c>
      <c r="T4886" s="53" t="e">
        <f>Tabla14[[#This Row],[DEUDA CAPITAL]]+Tabla14[[#This Row],[INTERES  CUOTA]]</f>
        <v>#NUM!</v>
      </c>
      <c r="U4886" s="61" t="str">
        <f t="shared" si="779"/>
        <v/>
      </c>
    </row>
    <row r="4887" spans="9:21" ht="24.75" customHeight="1" x14ac:dyDescent="0.35">
      <c r="I4887" s="42">
        <f t="shared" si="770"/>
        <v>0</v>
      </c>
      <c r="J4887" s="65" t="e">
        <f t="shared" si="771"/>
        <v>#NUM!</v>
      </c>
      <c r="K4887" s="83" t="e">
        <f t="shared" si="772"/>
        <v>#NUM!</v>
      </c>
      <c r="L4887" s="83">
        <f t="shared" si="773"/>
        <v>0</v>
      </c>
      <c r="M4887" s="110" t="str">
        <f t="shared" si="774"/>
        <v/>
      </c>
      <c r="N4887" s="51" t="str">
        <f t="shared" si="775"/>
        <v/>
      </c>
      <c r="O4887" s="52" t="str">
        <f t="shared" si="776"/>
        <v/>
      </c>
      <c r="P4887" s="88">
        <f t="shared" si="777"/>
        <v>0</v>
      </c>
      <c r="Q4887" s="88">
        <f t="shared" si="778"/>
        <v>0</v>
      </c>
      <c r="R4887" s="88" t="e">
        <f>-IF(Tabla14[[#This Row],[DIAS HABILES O MORA]]&lt;0,(Tabla14[[#This Row],[VALOR PRESTAMO]]*Tabla14[[#This Row],[% INTERES ]]/30*U4887))+Tabla14[[#This Row],[VALOR CUOTAS]]</f>
        <v>#VALUE!</v>
      </c>
      <c r="S4887" s="88">
        <f>-IF(Tabla14[[#This Row],[DIAS HABILES O MORA]]&lt;0,(Tabla14[[#This Row],[VALOR PRESTAMO]]*Tabla14[[#This Row],[% INTERES ]]/30*U4887))</f>
        <v>0</v>
      </c>
      <c r="T4887" s="53" t="e">
        <f>Tabla14[[#This Row],[DEUDA CAPITAL]]+Tabla14[[#This Row],[INTERES  CUOTA]]</f>
        <v>#NUM!</v>
      </c>
      <c r="U4887" s="61" t="str">
        <f t="shared" si="779"/>
        <v/>
      </c>
    </row>
    <row r="4888" spans="9:21" ht="24.75" customHeight="1" x14ac:dyDescent="0.35">
      <c r="I4888" s="42">
        <f t="shared" si="770"/>
        <v>0</v>
      </c>
      <c r="J4888" s="65" t="e">
        <f t="shared" si="771"/>
        <v>#NUM!</v>
      </c>
      <c r="K4888" s="83" t="e">
        <f t="shared" si="772"/>
        <v>#NUM!</v>
      </c>
      <c r="L4888" s="83">
        <f t="shared" si="773"/>
        <v>0</v>
      </c>
      <c r="M4888" s="110" t="str">
        <f t="shared" si="774"/>
        <v/>
      </c>
      <c r="N4888" s="51" t="str">
        <f t="shared" si="775"/>
        <v/>
      </c>
      <c r="O4888" s="52" t="str">
        <f t="shared" si="776"/>
        <v/>
      </c>
      <c r="P4888" s="88">
        <f t="shared" si="777"/>
        <v>0</v>
      </c>
      <c r="Q4888" s="88">
        <f t="shared" si="778"/>
        <v>0</v>
      </c>
      <c r="R4888" s="88" t="e">
        <f>-IF(Tabla14[[#This Row],[DIAS HABILES O MORA]]&lt;0,(Tabla14[[#This Row],[VALOR PRESTAMO]]*Tabla14[[#This Row],[% INTERES ]]/30*U4888))+Tabla14[[#This Row],[VALOR CUOTAS]]</f>
        <v>#VALUE!</v>
      </c>
      <c r="S4888" s="88">
        <f>-IF(Tabla14[[#This Row],[DIAS HABILES O MORA]]&lt;0,(Tabla14[[#This Row],[VALOR PRESTAMO]]*Tabla14[[#This Row],[% INTERES ]]/30*U4888))</f>
        <v>0</v>
      </c>
      <c r="T4888" s="53" t="e">
        <f>Tabla14[[#This Row],[DEUDA CAPITAL]]+Tabla14[[#This Row],[INTERES  CUOTA]]</f>
        <v>#NUM!</v>
      </c>
      <c r="U4888" s="61" t="str">
        <f t="shared" si="779"/>
        <v/>
      </c>
    </row>
    <row r="4889" spans="9:21" ht="24.75" customHeight="1" x14ac:dyDescent="0.35">
      <c r="I4889" s="42">
        <f t="shared" si="770"/>
        <v>0</v>
      </c>
      <c r="J4889" s="65" t="e">
        <f t="shared" si="771"/>
        <v>#NUM!</v>
      </c>
      <c r="K4889" s="83" t="e">
        <f t="shared" si="772"/>
        <v>#NUM!</v>
      </c>
      <c r="L4889" s="83">
        <f t="shared" si="773"/>
        <v>0</v>
      </c>
      <c r="M4889" s="110" t="str">
        <f t="shared" si="774"/>
        <v/>
      </c>
      <c r="N4889" s="51" t="str">
        <f t="shared" si="775"/>
        <v/>
      </c>
      <c r="O4889" s="52" t="str">
        <f t="shared" si="776"/>
        <v/>
      </c>
      <c r="P4889" s="88">
        <f t="shared" si="777"/>
        <v>0</v>
      </c>
      <c r="Q4889" s="88">
        <f t="shared" si="778"/>
        <v>0</v>
      </c>
      <c r="R4889" s="88" t="e">
        <f>-IF(Tabla14[[#This Row],[DIAS HABILES O MORA]]&lt;0,(Tabla14[[#This Row],[VALOR PRESTAMO]]*Tabla14[[#This Row],[% INTERES ]]/30*U4889))+Tabla14[[#This Row],[VALOR CUOTAS]]</f>
        <v>#VALUE!</v>
      </c>
      <c r="S4889" s="88">
        <f>-IF(Tabla14[[#This Row],[DIAS HABILES O MORA]]&lt;0,(Tabla14[[#This Row],[VALOR PRESTAMO]]*Tabla14[[#This Row],[% INTERES ]]/30*U4889))</f>
        <v>0</v>
      </c>
      <c r="T4889" s="53" t="e">
        <f>Tabla14[[#This Row],[DEUDA CAPITAL]]+Tabla14[[#This Row],[INTERES  CUOTA]]</f>
        <v>#NUM!</v>
      </c>
      <c r="U4889" s="61" t="str">
        <f t="shared" si="779"/>
        <v/>
      </c>
    </row>
    <row r="4890" spans="9:21" ht="24.75" customHeight="1" x14ac:dyDescent="0.35">
      <c r="I4890" s="42">
        <f t="shared" si="770"/>
        <v>0</v>
      </c>
      <c r="J4890" s="65" t="e">
        <f t="shared" si="771"/>
        <v>#NUM!</v>
      </c>
      <c r="K4890" s="83" t="e">
        <f t="shared" si="772"/>
        <v>#NUM!</v>
      </c>
      <c r="L4890" s="83">
        <f t="shared" si="773"/>
        <v>0</v>
      </c>
      <c r="M4890" s="110" t="str">
        <f t="shared" si="774"/>
        <v/>
      </c>
      <c r="N4890" s="51" t="str">
        <f t="shared" si="775"/>
        <v/>
      </c>
      <c r="O4890" s="52" t="str">
        <f t="shared" si="776"/>
        <v/>
      </c>
      <c r="P4890" s="88">
        <f t="shared" si="777"/>
        <v>0</v>
      </c>
      <c r="Q4890" s="88">
        <f t="shared" si="778"/>
        <v>0</v>
      </c>
      <c r="R4890" s="88" t="e">
        <f>-IF(Tabla14[[#This Row],[DIAS HABILES O MORA]]&lt;0,(Tabla14[[#This Row],[VALOR PRESTAMO]]*Tabla14[[#This Row],[% INTERES ]]/30*U4890))+Tabla14[[#This Row],[VALOR CUOTAS]]</f>
        <v>#VALUE!</v>
      </c>
      <c r="S4890" s="88">
        <f>-IF(Tabla14[[#This Row],[DIAS HABILES O MORA]]&lt;0,(Tabla14[[#This Row],[VALOR PRESTAMO]]*Tabla14[[#This Row],[% INTERES ]]/30*U4890))</f>
        <v>0</v>
      </c>
      <c r="T4890" s="53" t="e">
        <f>Tabla14[[#This Row],[DEUDA CAPITAL]]+Tabla14[[#This Row],[INTERES  CUOTA]]</f>
        <v>#NUM!</v>
      </c>
      <c r="U4890" s="61" t="str">
        <f t="shared" si="779"/>
        <v/>
      </c>
    </row>
    <row r="4891" spans="9:21" ht="24.75" customHeight="1" x14ac:dyDescent="0.35">
      <c r="I4891" s="42">
        <f t="shared" si="770"/>
        <v>0</v>
      </c>
      <c r="J4891" s="65" t="e">
        <f t="shared" si="771"/>
        <v>#NUM!</v>
      </c>
      <c r="K4891" s="83" t="e">
        <f t="shared" si="772"/>
        <v>#NUM!</v>
      </c>
      <c r="L4891" s="83">
        <f t="shared" si="773"/>
        <v>0</v>
      </c>
      <c r="M4891" s="110" t="str">
        <f t="shared" si="774"/>
        <v/>
      </c>
      <c r="N4891" s="51" t="str">
        <f t="shared" si="775"/>
        <v/>
      </c>
      <c r="O4891" s="52" t="str">
        <f t="shared" si="776"/>
        <v/>
      </c>
      <c r="P4891" s="88">
        <f t="shared" si="777"/>
        <v>0</v>
      </c>
      <c r="Q4891" s="88">
        <f t="shared" si="778"/>
        <v>0</v>
      </c>
      <c r="R4891" s="88" t="e">
        <f>-IF(Tabla14[[#This Row],[DIAS HABILES O MORA]]&lt;0,(Tabla14[[#This Row],[VALOR PRESTAMO]]*Tabla14[[#This Row],[% INTERES ]]/30*U4891))+Tabla14[[#This Row],[VALOR CUOTAS]]</f>
        <v>#VALUE!</v>
      </c>
      <c r="S4891" s="88">
        <f>-IF(Tabla14[[#This Row],[DIAS HABILES O MORA]]&lt;0,(Tabla14[[#This Row],[VALOR PRESTAMO]]*Tabla14[[#This Row],[% INTERES ]]/30*U4891))</f>
        <v>0</v>
      </c>
      <c r="T4891" s="53" t="e">
        <f>Tabla14[[#This Row],[DEUDA CAPITAL]]+Tabla14[[#This Row],[INTERES  CUOTA]]</f>
        <v>#NUM!</v>
      </c>
      <c r="U4891" s="61" t="str">
        <f t="shared" si="779"/>
        <v/>
      </c>
    </row>
    <row r="4892" spans="9:21" ht="24.75" customHeight="1" x14ac:dyDescent="0.35">
      <c r="I4892" s="42">
        <f t="shared" si="770"/>
        <v>0</v>
      </c>
      <c r="J4892" s="65" t="e">
        <f t="shared" si="771"/>
        <v>#NUM!</v>
      </c>
      <c r="K4892" s="83" t="e">
        <f t="shared" si="772"/>
        <v>#NUM!</v>
      </c>
      <c r="L4892" s="83">
        <f t="shared" si="773"/>
        <v>0</v>
      </c>
      <c r="M4892" s="110" t="str">
        <f t="shared" si="774"/>
        <v/>
      </c>
      <c r="N4892" s="51" t="str">
        <f t="shared" si="775"/>
        <v/>
      </c>
      <c r="O4892" s="52" t="str">
        <f t="shared" si="776"/>
        <v/>
      </c>
      <c r="P4892" s="88">
        <f t="shared" si="777"/>
        <v>0</v>
      </c>
      <c r="Q4892" s="88">
        <f t="shared" si="778"/>
        <v>0</v>
      </c>
      <c r="R4892" s="88" t="e">
        <f>-IF(Tabla14[[#This Row],[DIAS HABILES O MORA]]&lt;0,(Tabla14[[#This Row],[VALOR PRESTAMO]]*Tabla14[[#This Row],[% INTERES ]]/30*U4892))+Tabla14[[#This Row],[VALOR CUOTAS]]</f>
        <v>#VALUE!</v>
      </c>
      <c r="S4892" s="88">
        <f>-IF(Tabla14[[#This Row],[DIAS HABILES O MORA]]&lt;0,(Tabla14[[#This Row],[VALOR PRESTAMO]]*Tabla14[[#This Row],[% INTERES ]]/30*U4892))</f>
        <v>0</v>
      </c>
      <c r="T4892" s="53" t="e">
        <f>Tabla14[[#This Row],[DEUDA CAPITAL]]+Tabla14[[#This Row],[INTERES  CUOTA]]</f>
        <v>#NUM!</v>
      </c>
      <c r="U4892" s="61" t="str">
        <f t="shared" si="779"/>
        <v/>
      </c>
    </row>
    <row r="4893" spans="9:21" ht="24.75" customHeight="1" x14ac:dyDescent="0.35">
      <c r="I4893" s="42">
        <f t="shared" si="770"/>
        <v>0</v>
      </c>
      <c r="J4893" s="65" t="e">
        <f t="shared" si="771"/>
        <v>#NUM!</v>
      </c>
      <c r="K4893" s="83" t="e">
        <f t="shared" si="772"/>
        <v>#NUM!</v>
      </c>
      <c r="L4893" s="83">
        <f t="shared" si="773"/>
        <v>0</v>
      </c>
      <c r="M4893" s="110" t="str">
        <f t="shared" si="774"/>
        <v/>
      </c>
      <c r="N4893" s="51" t="str">
        <f t="shared" si="775"/>
        <v/>
      </c>
      <c r="O4893" s="52" t="str">
        <f t="shared" si="776"/>
        <v/>
      </c>
      <c r="P4893" s="88">
        <f t="shared" si="777"/>
        <v>0</v>
      </c>
      <c r="Q4893" s="88">
        <f t="shared" si="778"/>
        <v>0</v>
      </c>
      <c r="R4893" s="88" t="e">
        <f>-IF(Tabla14[[#This Row],[DIAS HABILES O MORA]]&lt;0,(Tabla14[[#This Row],[VALOR PRESTAMO]]*Tabla14[[#This Row],[% INTERES ]]/30*U4893))+Tabla14[[#This Row],[VALOR CUOTAS]]</f>
        <v>#VALUE!</v>
      </c>
      <c r="S4893" s="88">
        <f>-IF(Tabla14[[#This Row],[DIAS HABILES O MORA]]&lt;0,(Tabla14[[#This Row],[VALOR PRESTAMO]]*Tabla14[[#This Row],[% INTERES ]]/30*U4893))</f>
        <v>0</v>
      </c>
      <c r="T4893" s="53" t="e">
        <f>Tabla14[[#This Row],[DEUDA CAPITAL]]+Tabla14[[#This Row],[INTERES  CUOTA]]</f>
        <v>#NUM!</v>
      </c>
      <c r="U4893" s="61" t="str">
        <f t="shared" si="779"/>
        <v/>
      </c>
    </row>
    <row r="4894" spans="9:21" ht="24.75" customHeight="1" x14ac:dyDescent="0.35">
      <c r="I4894" s="42">
        <f t="shared" si="770"/>
        <v>0</v>
      </c>
      <c r="J4894" s="65" t="e">
        <f t="shared" si="771"/>
        <v>#NUM!</v>
      </c>
      <c r="K4894" s="83" t="e">
        <f t="shared" si="772"/>
        <v>#NUM!</v>
      </c>
      <c r="L4894" s="83">
        <f t="shared" si="773"/>
        <v>0</v>
      </c>
      <c r="M4894" s="110" t="str">
        <f t="shared" si="774"/>
        <v/>
      </c>
      <c r="N4894" s="51" t="str">
        <f t="shared" si="775"/>
        <v/>
      </c>
      <c r="O4894" s="52" t="str">
        <f t="shared" si="776"/>
        <v/>
      </c>
      <c r="P4894" s="88">
        <f t="shared" si="777"/>
        <v>0</v>
      </c>
      <c r="Q4894" s="88">
        <f t="shared" si="778"/>
        <v>0</v>
      </c>
      <c r="R4894" s="88" t="e">
        <f>-IF(Tabla14[[#This Row],[DIAS HABILES O MORA]]&lt;0,(Tabla14[[#This Row],[VALOR PRESTAMO]]*Tabla14[[#This Row],[% INTERES ]]/30*U4894))+Tabla14[[#This Row],[VALOR CUOTAS]]</f>
        <v>#VALUE!</v>
      </c>
      <c r="S4894" s="88">
        <f>-IF(Tabla14[[#This Row],[DIAS HABILES O MORA]]&lt;0,(Tabla14[[#This Row],[VALOR PRESTAMO]]*Tabla14[[#This Row],[% INTERES ]]/30*U4894))</f>
        <v>0</v>
      </c>
      <c r="T4894" s="53" t="e">
        <f>Tabla14[[#This Row],[DEUDA CAPITAL]]+Tabla14[[#This Row],[INTERES  CUOTA]]</f>
        <v>#NUM!</v>
      </c>
      <c r="U4894" s="61" t="str">
        <f t="shared" si="779"/>
        <v/>
      </c>
    </row>
    <row r="4895" spans="9:21" ht="24.75" customHeight="1" x14ac:dyDescent="0.35">
      <c r="I4895" s="42">
        <f t="shared" si="770"/>
        <v>0</v>
      </c>
      <c r="J4895" s="65" t="e">
        <f t="shared" si="771"/>
        <v>#NUM!</v>
      </c>
      <c r="K4895" s="83" t="e">
        <f t="shared" si="772"/>
        <v>#NUM!</v>
      </c>
      <c r="L4895" s="83">
        <f t="shared" si="773"/>
        <v>0</v>
      </c>
      <c r="M4895" s="110" t="str">
        <f t="shared" si="774"/>
        <v/>
      </c>
      <c r="N4895" s="51" t="str">
        <f t="shared" si="775"/>
        <v/>
      </c>
      <c r="O4895" s="52" t="str">
        <f t="shared" si="776"/>
        <v/>
      </c>
      <c r="P4895" s="88">
        <f t="shared" si="777"/>
        <v>0</v>
      </c>
      <c r="Q4895" s="88">
        <f t="shared" si="778"/>
        <v>0</v>
      </c>
      <c r="R4895" s="88" t="e">
        <f>-IF(Tabla14[[#This Row],[DIAS HABILES O MORA]]&lt;0,(Tabla14[[#This Row],[VALOR PRESTAMO]]*Tabla14[[#This Row],[% INTERES ]]/30*U4895))+Tabla14[[#This Row],[VALOR CUOTAS]]</f>
        <v>#VALUE!</v>
      </c>
      <c r="S4895" s="88">
        <f>-IF(Tabla14[[#This Row],[DIAS HABILES O MORA]]&lt;0,(Tabla14[[#This Row],[VALOR PRESTAMO]]*Tabla14[[#This Row],[% INTERES ]]/30*U4895))</f>
        <v>0</v>
      </c>
      <c r="T4895" s="53" t="e">
        <f>Tabla14[[#This Row],[DEUDA CAPITAL]]+Tabla14[[#This Row],[INTERES  CUOTA]]</f>
        <v>#NUM!</v>
      </c>
      <c r="U4895" s="61" t="str">
        <f t="shared" si="779"/>
        <v/>
      </c>
    </row>
    <row r="4896" spans="9:21" ht="24.75" customHeight="1" x14ac:dyDescent="0.35">
      <c r="I4896" s="42">
        <f t="shared" si="770"/>
        <v>0</v>
      </c>
      <c r="J4896" s="65" t="e">
        <f t="shared" si="771"/>
        <v>#NUM!</v>
      </c>
      <c r="K4896" s="83" t="e">
        <f t="shared" si="772"/>
        <v>#NUM!</v>
      </c>
      <c r="L4896" s="83">
        <f t="shared" si="773"/>
        <v>0</v>
      </c>
      <c r="M4896" s="110" t="str">
        <f t="shared" si="774"/>
        <v/>
      </c>
      <c r="N4896" s="51" t="str">
        <f t="shared" si="775"/>
        <v/>
      </c>
      <c r="O4896" s="52" t="str">
        <f t="shared" si="776"/>
        <v/>
      </c>
      <c r="P4896" s="88">
        <f t="shared" si="777"/>
        <v>0</v>
      </c>
      <c r="Q4896" s="88">
        <f t="shared" si="778"/>
        <v>0</v>
      </c>
      <c r="R4896" s="88" t="e">
        <f>-IF(Tabla14[[#This Row],[DIAS HABILES O MORA]]&lt;0,(Tabla14[[#This Row],[VALOR PRESTAMO]]*Tabla14[[#This Row],[% INTERES ]]/30*U4896))+Tabla14[[#This Row],[VALOR CUOTAS]]</f>
        <v>#VALUE!</v>
      </c>
      <c r="S4896" s="88">
        <f>-IF(Tabla14[[#This Row],[DIAS HABILES O MORA]]&lt;0,(Tabla14[[#This Row],[VALOR PRESTAMO]]*Tabla14[[#This Row],[% INTERES ]]/30*U4896))</f>
        <v>0</v>
      </c>
      <c r="T4896" s="53" t="e">
        <f>Tabla14[[#This Row],[DEUDA CAPITAL]]+Tabla14[[#This Row],[INTERES  CUOTA]]</f>
        <v>#NUM!</v>
      </c>
      <c r="U4896" s="61" t="str">
        <f t="shared" si="779"/>
        <v/>
      </c>
    </row>
    <row r="4897" spans="9:21" ht="24.75" customHeight="1" x14ac:dyDescent="0.35">
      <c r="I4897" s="42">
        <f t="shared" si="770"/>
        <v>0</v>
      </c>
      <c r="J4897" s="65" t="e">
        <f t="shared" si="771"/>
        <v>#NUM!</v>
      </c>
      <c r="K4897" s="83" t="e">
        <f t="shared" si="772"/>
        <v>#NUM!</v>
      </c>
      <c r="L4897" s="83">
        <f t="shared" si="773"/>
        <v>0</v>
      </c>
      <c r="M4897" s="110" t="str">
        <f t="shared" si="774"/>
        <v/>
      </c>
      <c r="N4897" s="51" t="str">
        <f t="shared" si="775"/>
        <v/>
      </c>
      <c r="O4897" s="52" t="str">
        <f t="shared" si="776"/>
        <v/>
      </c>
      <c r="P4897" s="88">
        <f t="shared" si="777"/>
        <v>0</v>
      </c>
      <c r="Q4897" s="88">
        <f t="shared" si="778"/>
        <v>0</v>
      </c>
      <c r="R4897" s="88" t="e">
        <f>-IF(Tabla14[[#This Row],[DIAS HABILES O MORA]]&lt;0,(Tabla14[[#This Row],[VALOR PRESTAMO]]*Tabla14[[#This Row],[% INTERES ]]/30*U4897))+Tabla14[[#This Row],[VALOR CUOTAS]]</f>
        <v>#VALUE!</v>
      </c>
      <c r="S4897" s="88">
        <f>-IF(Tabla14[[#This Row],[DIAS HABILES O MORA]]&lt;0,(Tabla14[[#This Row],[VALOR PRESTAMO]]*Tabla14[[#This Row],[% INTERES ]]/30*U4897))</f>
        <v>0</v>
      </c>
      <c r="T4897" s="53" t="e">
        <f>Tabla14[[#This Row],[DEUDA CAPITAL]]+Tabla14[[#This Row],[INTERES  CUOTA]]</f>
        <v>#NUM!</v>
      </c>
      <c r="U4897" s="61" t="str">
        <f t="shared" si="779"/>
        <v/>
      </c>
    </row>
    <row r="4898" spans="9:21" ht="24.75" customHeight="1" x14ac:dyDescent="0.35">
      <c r="I4898" s="42">
        <f t="shared" si="770"/>
        <v>0</v>
      </c>
      <c r="J4898" s="65" t="e">
        <f t="shared" si="771"/>
        <v>#NUM!</v>
      </c>
      <c r="K4898" s="83" t="e">
        <f t="shared" si="772"/>
        <v>#NUM!</v>
      </c>
      <c r="L4898" s="83">
        <f t="shared" si="773"/>
        <v>0</v>
      </c>
      <c r="M4898" s="110" t="str">
        <f t="shared" si="774"/>
        <v/>
      </c>
      <c r="N4898" s="51" t="str">
        <f t="shared" si="775"/>
        <v/>
      </c>
      <c r="O4898" s="52" t="str">
        <f t="shared" si="776"/>
        <v/>
      </c>
      <c r="P4898" s="88">
        <f t="shared" si="777"/>
        <v>0</v>
      </c>
      <c r="Q4898" s="88">
        <f t="shared" si="778"/>
        <v>0</v>
      </c>
      <c r="R4898" s="88" t="e">
        <f>-IF(Tabla14[[#This Row],[DIAS HABILES O MORA]]&lt;0,(Tabla14[[#This Row],[VALOR PRESTAMO]]*Tabla14[[#This Row],[% INTERES ]]/30*U4898))+Tabla14[[#This Row],[VALOR CUOTAS]]</f>
        <v>#VALUE!</v>
      </c>
      <c r="S4898" s="88">
        <f>-IF(Tabla14[[#This Row],[DIAS HABILES O MORA]]&lt;0,(Tabla14[[#This Row],[VALOR PRESTAMO]]*Tabla14[[#This Row],[% INTERES ]]/30*U4898))</f>
        <v>0</v>
      </c>
      <c r="T4898" s="53" t="e">
        <f>Tabla14[[#This Row],[DEUDA CAPITAL]]+Tabla14[[#This Row],[INTERES  CUOTA]]</f>
        <v>#NUM!</v>
      </c>
      <c r="U4898" s="61" t="str">
        <f t="shared" si="779"/>
        <v/>
      </c>
    </row>
    <row r="4899" spans="9:21" ht="24.75" customHeight="1" x14ac:dyDescent="0.35">
      <c r="I4899" s="42">
        <f t="shared" si="770"/>
        <v>0</v>
      </c>
      <c r="J4899" s="65" t="e">
        <f t="shared" si="771"/>
        <v>#NUM!</v>
      </c>
      <c r="K4899" s="83" t="e">
        <f t="shared" si="772"/>
        <v>#NUM!</v>
      </c>
      <c r="L4899" s="83">
        <f t="shared" si="773"/>
        <v>0</v>
      </c>
      <c r="M4899" s="110" t="str">
        <f t="shared" si="774"/>
        <v/>
      </c>
      <c r="N4899" s="51" t="str">
        <f t="shared" si="775"/>
        <v/>
      </c>
      <c r="O4899" s="52" t="str">
        <f t="shared" si="776"/>
        <v/>
      </c>
      <c r="P4899" s="88">
        <f t="shared" si="777"/>
        <v>0</v>
      </c>
      <c r="Q4899" s="88">
        <f t="shared" si="778"/>
        <v>0</v>
      </c>
      <c r="R4899" s="88" t="e">
        <f>-IF(Tabla14[[#This Row],[DIAS HABILES O MORA]]&lt;0,(Tabla14[[#This Row],[VALOR PRESTAMO]]*Tabla14[[#This Row],[% INTERES ]]/30*U4899))+Tabla14[[#This Row],[VALOR CUOTAS]]</f>
        <v>#VALUE!</v>
      </c>
      <c r="S4899" s="88">
        <f>-IF(Tabla14[[#This Row],[DIAS HABILES O MORA]]&lt;0,(Tabla14[[#This Row],[VALOR PRESTAMO]]*Tabla14[[#This Row],[% INTERES ]]/30*U4899))</f>
        <v>0</v>
      </c>
      <c r="T4899" s="53" t="e">
        <f>Tabla14[[#This Row],[DEUDA CAPITAL]]+Tabla14[[#This Row],[INTERES  CUOTA]]</f>
        <v>#NUM!</v>
      </c>
      <c r="U4899" s="61" t="str">
        <f t="shared" si="779"/>
        <v/>
      </c>
    </row>
    <row r="4900" spans="9:21" ht="24.75" customHeight="1" x14ac:dyDescent="0.35">
      <c r="I4900" s="42">
        <f t="shared" si="770"/>
        <v>0</v>
      </c>
      <c r="J4900" s="65" t="e">
        <f t="shared" si="771"/>
        <v>#NUM!</v>
      </c>
      <c r="K4900" s="83" t="e">
        <f t="shared" si="772"/>
        <v>#NUM!</v>
      </c>
      <c r="L4900" s="83">
        <f t="shared" si="773"/>
        <v>0</v>
      </c>
      <c r="M4900" s="110" t="str">
        <f t="shared" si="774"/>
        <v/>
      </c>
      <c r="N4900" s="51" t="str">
        <f t="shared" si="775"/>
        <v/>
      </c>
      <c r="O4900" s="52" t="str">
        <f t="shared" si="776"/>
        <v/>
      </c>
      <c r="P4900" s="88">
        <f t="shared" si="777"/>
        <v>0</v>
      </c>
      <c r="Q4900" s="88">
        <f t="shared" si="778"/>
        <v>0</v>
      </c>
      <c r="R4900" s="88" t="e">
        <f>-IF(Tabla14[[#This Row],[DIAS HABILES O MORA]]&lt;0,(Tabla14[[#This Row],[VALOR PRESTAMO]]*Tabla14[[#This Row],[% INTERES ]]/30*U4900))+Tabla14[[#This Row],[VALOR CUOTAS]]</f>
        <v>#VALUE!</v>
      </c>
      <c r="S4900" s="88">
        <f>-IF(Tabla14[[#This Row],[DIAS HABILES O MORA]]&lt;0,(Tabla14[[#This Row],[VALOR PRESTAMO]]*Tabla14[[#This Row],[% INTERES ]]/30*U4900))</f>
        <v>0</v>
      </c>
      <c r="T4900" s="53" t="e">
        <f>Tabla14[[#This Row],[DEUDA CAPITAL]]+Tabla14[[#This Row],[INTERES  CUOTA]]</f>
        <v>#NUM!</v>
      </c>
      <c r="U4900" s="61" t="str">
        <f t="shared" si="779"/>
        <v/>
      </c>
    </row>
    <row r="4901" spans="9:21" ht="24.75" customHeight="1" x14ac:dyDescent="0.35">
      <c r="I4901" s="42">
        <f t="shared" si="770"/>
        <v>0</v>
      </c>
      <c r="J4901" s="65" t="e">
        <f t="shared" si="771"/>
        <v>#NUM!</v>
      </c>
      <c r="K4901" s="83" t="e">
        <f t="shared" si="772"/>
        <v>#NUM!</v>
      </c>
      <c r="L4901" s="83">
        <f t="shared" si="773"/>
        <v>0</v>
      </c>
      <c r="M4901" s="110" t="str">
        <f t="shared" si="774"/>
        <v/>
      </c>
      <c r="N4901" s="51" t="str">
        <f t="shared" si="775"/>
        <v/>
      </c>
      <c r="O4901" s="52" t="str">
        <f t="shared" si="776"/>
        <v/>
      </c>
      <c r="P4901" s="88">
        <f t="shared" si="777"/>
        <v>0</v>
      </c>
      <c r="Q4901" s="88">
        <f t="shared" si="778"/>
        <v>0</v>
      </c>
      <c r="R4901" s="88" t="e">
        <f>-IF(Tabla14[[#This Row],[DIAS HABILES O MORA]]&lt;0,(Tabla14[[#This Row],[VALOR PRESTAMO]]*Tabla14[[#This Row],[% INTERES ]]/30*U4901))+Tabla14[[#This Row],[VALOR CUOTAS]]</f>
        <v>#VALUE!</v>
      </c>
      <c r="S4901" s="88">
        <f>-IF(Tabla14[[#This Row],[DIAS HABILES O MORA]]&lt;0,(Tabla14[[#This Row],[VALOR PRESTAMO]]*Tabla14[[#This Row],[% INTERES ]]/30*U4901))</f>
        <v>0</v>
      </c>
      <c r="T4901" s="53" t="e">
        <f>Tabla14[[#This Row],[DEUDA CAPITAL]]+Tabla14[[#This Row],[INTERES  CUOTA]]</f>
        <v>#NUM!</v>
      </c>
      <c r="U4901" s="61" t="str">
        <f t="shared" si="779"/>
        <v/>
      </c>
    </row>
    <row r="4902" spans="9:21" ht="24.75" customHeight="1" x14ac:dyDescent="0.35">
      <c r="I4902" s="42">
        <f t="shared" si="770"/>
        <v>0</v>
      </c>
      <c r="J4902" s="65" t="e">
        <f t="shared" si="771"/>
        <v>#NUM!</v>
      </c>
      <c r="K4902" s="83" t="e">
        <f t="shared" si="772"/>
        <v>#NUM!</v>
      </c>
      <c r="L4902" s="83">
        <f t="shared" si="773"/>
        <v>0</v>
      </c>
      <c r="M4902" s="110" t="str">
        <f t="shared" si="774"/>
        <v/>
      </c>
      <c r="N4902" s="51" t="str">
        <f t="shared" si="775"/>
        <v/>
      </c>
      <c r="O4902" s="52" t="str">
        <f t="shared" si="776"/>
        <v/>
      </c>
      <c r="P4902" s="88">
        <f t="shared" si="777"/>
        <v>0</v>
      </c>
      <c r="Q4902" s="88">
        <f t="shared" si="778"/>
        <v>0</v>
      </c>
      <c r="R4902" s="88" t="e">
        <f>-IF(Tabla14[[#This Row],[DIAS HABILES O MORA]]&lt;0,(Tabla14[[#This Row],[VALOR PRESTAMO]]*Tabla14[[#This Row],[% INTERES ]]/30*U4902))+Tabla14[[#This Row],[VALOR CUOTAS]]</f>
        <v>#VALUE!</v>
      </c>
      <c r="S4902" s="88">
        <f>-IF(Tabla14[[#This Row],[DIAS HABILES O MORA]]&lt;0,(Tabla14[[#This Row],[VALOR PRESTAMO]]*Tabla14[[#This Row],[% INTERES ]]/30*U4902))</f>
        <v>0</v>
      </c>
      <c r="T4902" s="53" t="e">
        <f>Tabla14[[#This Row],[DEUDA CAPITAL]]+Tabla14[[#This Row],[INTERES  CUOTA]]</f>
        <v>#NUM!</v>
      </c>
      <c r="U4902" s="61" t="str">
        <f t="shared" si="779"/>
        <v/>
      </c>
    </row>
    <row r="4903" spans="9:21" ht="24.75" customHeight="1" x14ac:dyDescent="0.35">
      <c r="I4903" s="42">
        <f t="shared" si="770"/>
        <v>0</v>
      </c>
      <c r="J4903" s="65" t="e">
        <f t="shared" si="771"/>
        <v>#NUM!</v>
      </c>
      <c r="K4903" s="83" t="e">
        <f t="shared" si="772"/>
        <v>#NUM!</v>
      </c>
      <c r="L4903" s="83">
        <f t="shared" si="773"/>
        <v>0</v>
      </c>
      <c r="M4903" s="110" t="str">
        <f t="shared" si="774"/>
        <v/>
      </c>
      <c r="N4903" s="51" t="str">
        <f t="shared" si="775"/>
        <v/>
      </c>
      <c r="O4903" s="52" t="str">
        <f t="shared" si="776"/>
        <v/>
      </c>
      <c r="P4903" s="88">
        <f t="shared" si="777"/>
        <v>0</v>
      </c>
      <c r="Q4903" s="88">
        <f t="shared" si="778"/>
        <v>0</v>
      </c>
      <c r="R4903" s="88" t="e">
        <f>-IF(Tabla14[[#This Row],[DIAS HABILES O MORA]]&lt;0,(Tabla14[[#This Row],[VALOR PRESTAMO]]*Tabla14[[#This Row],[% INTERES ]]/30*U4903))+Tabla14[[#This Row],[VALOR CUOTAS]]</f>
        <v>#VALUE!</v>
      </c>
      <c r="S4903" s="88">
        <f>-IF(Tabla14[[#This Row],[DIAS HABILES O MORA]]&lt;0,(Tabla14[[#This Row],[VALOR PRESTAMO]]*Tabla14[[#This Row],[% INTERES ]]/30*U4903))</f>
        <v>0</v>
      </c>
      <c r="T4903" s="53" t="e">
        <f>Tabla14[[#This Row],[DEUDA CAPITAL]]+Tabla14[[#This Row],[INTERES  CUOTA]]</f>
        <v>#NUM!</v>
      </c>
      <c r="U4903" s="61" t="str">
        <f t="shared" si="779"/>
        <v/>
      </c>
    </row>
    <row r="4904" spans="9:21" ht="24.75" customHeight="1" x14ac:dyDescent="0.35">
      <c r="I4904" s="42">
        <f t="shared" si="770"/>
        <v>0</v>
      </c>
      <c r="J4904" s="65" t="e">
        <f t="shared" si="771"/>
        <v>#NUM!</v>
      </c>
      <c r="K4904" s="83" t="e">
        <f t="shared" si="772"/>
        <v>#NUM!</v>
      </c>
      <c r="L4904" s="83">
        <f t="shared" si="773"/>
        <v>0</v>
      </c>
      <c r="M4904" s="110" t="str">
        <f t="shared" si="774"/>
        <v/>
      </c>
      <c r="N4904" s="51" t="str">
        <f t="shared" si="775"/>
        <v/>
      </c>
      <c r="O4904" s="52" t="str">
        <f t="shared" si="776"/>
        <v/>
      </c>
      <c r="P4904" s="88">
        <f t="shared" si="777"/>
        <v>0</v>
      </c>
      <c r="Q4904" s="88">
        <f t="shared" si="778"/>
        <v>0</v>
      </c>
      <c r="R4904" s="88" t="e">
        <f>-IF(Tabla14[[#This Row],[DIAS HABILES O MORA]]&lt;0,(Tabla14[[#This Row],[VALOR PRESTAMO]]*Tabla14[[#This Row],[% INTERES ]]/30*U4904))+Tabla14[[#This Row],[VALOR CUOTAS]]</f>
        <v>#VALUE!</v>
      </c>
      <c r="S4904" s="88">
        <f>-IF(Tabla14[[#This Row],[DIAS HABILES O MORA]]&lt;0,(Tabla14[[#This Row],[VALOR PRESTAMO]]*Tabla14[[#This Row],[% INTERES ]]/30*U4904))</f>
        <v>0</v>
      </c>
      <c r="T4904" s="53" t="e">
        <f>Tabla14[[#This Row],[DEUDA CAPITAL]]+Tabla14[[#This Row],[INTERES  CUOTA]]</f>
        <v>#NUM!</v>
      </c>
      <c r="U4904" s="61" t="str">
        <f t="shared" si="779"/>
        <v/>
      </c>
    </row>
    <row r="4905" spans="9:21" ht="24.75" customHeight="1" x14ac:dyDescent="0.35">
      <c r="I4905" s="42">
        <f t="shared" si="770"/>
        <v>0</v>
      </c>
      <c r="J4905" s="65" t="e">
        <f t="shared" si="771"/>
        <v>#NUM!</v>
      </c>
      <c r="K4905" s="83" t="e">
        <f t="shared" si="772"/>
        <v>#NUM!</v>
      </c>
      <c r="L4905" s="83">
        <f t="shared" si="773"/>
        <v>0</v>
      </c>
      <c r="M4905" s="110" t="str">
        <f t="shared" si="774"/>
        <v/>
      </c>
      <c r="N4905" s="51" t="str">
        <f t="shared" si="775"/>
        <v/>
      </c>
      <c r="O4905" s="52" t="str">
        <f t="shared" si="776"/>
        <v/>
      </c>
      <c r="P4905" s="88">
        <f t="shared" si="777"/>
        <v>0</v>
      </c>
      <c r="Q4905" s="88">
        <f t="shared" si="778"/>
        <v>0</v>
      </c>
      <c r="R4905" s="88" t="e">
        <f>-IF(Tabla14[[#This Row],[DIAS HABILES O MORA]]&lt;0,(Tabla14[[#This Row],[VALOR PRESTAMO]]*Tabla14[[#This Row],[% INTERES ]]/30*U4905))+Tabla14[[#This Row],[VALOR CUOTAS]]</f>
        <v>#VALUE!</v>
      </c>
      <c r="S4905" s="88">
        <f>-IF(Tabla14[[#This Row],[DIAS HABILES O MORA]]&lt;0,(Tabla14[[#This Row],[VALOR PRESTAMO]]*Tabla14[[#This Row],[% INTERES ]]/30*U4905))</f>
        <v>0</v>
      </c>
      <c r="T4905" s="53" t="e">
        <f>Tabla14[[#This Row],[DEUDA CAPITAL]]+Tabla14[[#This Row],[INTERES  CUOTA]]</f>
        <v>#NUM!</v>
      </c>
      <c r="U4905" s="61" t="str">
        <f t="shared" si="779"/>
        <v/>
      </c>
    </row>
    <row r="4906" spans="9:21" ht="24.75" customHeight="1" x14ac:dyDescent="0.35">
      <c r="I4906" s="42">
        <f t="shared" si="770"/>
        <v>0</v>
      </c>
      <c r="J4906" s="65" t="e">
        <f t="shared" si="771"/>
        <v>#NUM!</v>
      </c>
      <c r="K4906" s="83" t="e">
        <f t="shared" si="772"/>
        <v>#NUM!</v>
      </c>
      <c r="L4906" s="83">
        <f t="shared" si="773"/>
        <v>0</v>
      </c>
      <c r="M4906" s="110" t="str">
        <f t="shared" si="774"/>
        <v/>
      </c>
      <c r="N4906" s="51" t="str">
        <f t="shared" si="775"/>
        <v/>
      </c>
      <c r="O4906" s="52" t="str">
        <f t="shared" si="776"/>
        <v/>
      </c>
      <c r="P4906" s="88">
        <f t="shared" si="777"/>
        <v>0</v>
      </c>
      <c r="Q4906" s="88">
        <f t="shared" si="778"/>
        <v>0</v>
      </c>
      <c r="R4906" s="88" t="e">
        <f>-IF(Tabla14[[#This Row],[DIAS HABILES O MORA]]&lt;0,(Tabla14[[#This Row],[VALOR PRESTAMO]]*Tabla14[[#This Row],[% INTERES ]]/30*U4906))+Tabla14[[#This Row],[VALOR CUOTAS]]</f>
        <v>#VALUE!</v>
      </c>
      <c r="S4906" s="88">
        <f>-IF(Tabla14[[#This Row],[DIAS HABILES O MORA]]&lt;0,(Tabla14[[#This Row],[VALOR PRESTAMO]]*Tabla14[[#This Row],[% INTERES ]]/30*U4906))</f>
        <v>0</v>
      </c>
      <c r="T4906" s="53" t="e">
        <f>Tabla14[[#This Row],[DEUDA CAPITAL]]+Tabla14[[#This Row],[INTERES  CUOTA]]</f>
        <v>#NUM!</v>
      </c>
      <c r="U4906" s="61" t="str">
        <f t="shared" si="779"/>
        <v/>
      </c>
    </row>
    <row r="4907" spans="9:21" ht="24.75" customHeight="1" x14ac:dyDescent="0.35">
      <c r="I4907" s="42">
        <f t="shared" si="770"/>
        <v>0</v>
      </c>
      <c r="J4907" s="65" t="e">
        <f t="shared" si="771"/>
        <v>#NUM!</v>
      </c>
      <c r="K4907" s="83" t="e">
        <f t="shared" si="772"/>
        <v>#NUM!</v>
      </c>
      <c r="L4907" s="83">
        <f t="shared" si="773"/>
        <v>0</v>
      </c>
      <c r="M4907" s="110" t="str">
        <f t="shared" si="774"/>
        <v/>
      </c>
      <c r="N4907" s="51" t="str">
        <f t="shared" si="775"/>
        <v/>
      </c>
      <c r="O4907" s="52" t="str">
        <f t="shared" si="776"/>
        <v/>
      </c>
      <c r="P4907" s="88">
        <f t="shared" si="777"/>
        <v>0</v>
      </c>
      <c r="Q4907" s="88">
        <f t="shared" si="778"/>
        <v>0</v>
      </c>
      <c r="R4907" s="88" t="e">
        <f>-IF(Tabla14[[#This Row],[DIAS HABILES O MORA]]&lt;0,(Tabla14[[#This Row],[VALOR PRESTAMO]]*Tabla14[[#This Row],[% INTERES ]]/30*U4907))+Tabla14[[#This Row],[VALOR CUOTAS]]</f>
        <v>#VALUE!</v>
      </c>
      <c r="S4907" s="88">
        <f>-IF(Tabla14[[#This Row],[DIAS HABILES O MORA]]&lt;0,(Tabla14[[#This Row],[VALOR PRESTAMO]]*Tabla14[[#This Row],[% INTERES ]]/30*U4907))</f>
        <v>0</v>
      </c>
      <c r="T4907" s="53" t="e">
        <f>Tabla14[[#This Row],[DEUDA CAPITAL]]+Tabla14[[#This Row],[INTERES  CUOTA]]</f>
        <v>#NUM!</v>
      </c>
      <c r="U4907" s="61" t="str">
        <f t="shared" si="779"/>
        <v/>
      </c>
    </row>
    <row r="4908" spans="9:21" ht="24.75" customHeight="1" x14ac:dyDescent="0.35">
      <c r="I4908" s="42">
        <f t="shared" si="770"/>
        <v>0</v>
      </c>
      <c r="J4908" s="65" t="e">
        <f t="shared" si="771"/>
        <v>#NUM!</v>
      </c>
      <c r="K4908" s="83" t="e">
        <f t="shared" si="772"/>
        <v>#NUM!</v>
      </c>
      <c r="L4908" s="83">
        <f t="shared" si="773"/>
        <v>0</v>
      </c>
      <c r="M4908" s="110" t="str">
        <f t="shared" si="774"/>
        <v/>
      </c>
      <c r="N4908" s="51" t="str">
        <f t="shared" si="775"/>
        <v/>
      </c>
      <c r="O4908" s="52" t="str">
        <f t="shared" si="776"/>
        <v/>
      </c>
      <c r="P4908" s="88">
        <f t="shared" si="777"/>
        <v>0</v>
      </c>
      <c r="Q4908" s="88">
        <f t="shared" si="778"/>
        <v>0</v>
      </c>
      <c r="R4908" s="88" t="e">
        <f>-IF(Tabla14[[#This Row],[DIAS HABILES O MORA]]&lt;0,(Tabla14[[#This Row],[VALOR PRESTAMO]]*Tabla14[[#This Row],[% INTERES ]]/30*U4908))+Tabla14[[#This Row],[VALOR CUOTAS]]</f>
        <v>#VALUE!</v>
      </c>
      <c r="S4908" s="88">
        <f>-IF(Tabla14[[#This Row],[DIAS HABILES O MORA]]&lt;0,(Tabla14[[#This Row],[VALOR PRESTAMO]]*Tabla14[[#This Row],[% INTERES ]]/30*U4908))</f>
        <v>0</v>
      </c>
      <c r="T4908" s="53" t="e">
        <f>Tabla14[[#This Row],[DEUDA CAPITAL]]+Tabla14[[#This Row],[INTERES  CUOTA]]</f>
        <v>#NUM!</v>
      </c>
      <c r="U4908" s="61" t="str">
        <f t="shared" si="779"/>
        <v/>
      </c>
    </row>
    <row r="4909" spans="9:21" ht="24.75" customHeight="1" x14ac:dyDescent="0.35">
      <c r="I4909" s="42">
        <f t="shared" si="770"/>
        <v>0</v>
      </c>
      <c r="J4909" s="65" t="e">
        <f t="shared" si="771"/>
        <v>#NUM!</v>
      </c>
      <c r="K4909" s="83" t="e">
        <f t="shared" si="772"/>
        <v>#NUM!</v>
      </c>
      <c r="L4909" s="83">
        <f t="shared" si="773"/>
        <v>0</v>
      </c>
      <c r="M4909" s="110" t="str">
        <f t="shared" si="774"/>
        <v/>
      </c>
      <c r="N4909" s="51" t="str">
        <f t="shared" si="775"/>
        <v/>
      </c>
      <c r="O4909" s="52" t="str">
        <f t="shared" si="776"/>
        <v/>
      </c>
      <c r="P4909" s="88">
        <f t="shared" si="777"/>
        <v>0</v>
      </c>
      <c r="Q4909" s="88">
        <f t="shared" si="778"/>
        <v>0</v>
      </c>
      <c r="R4909" s="88" t="e">
        <f>-IF(Tabla14[[#This Row],[DIAS HABILES O MORA]]&lt;0,(Tabla14[[#This Row],[VALOR PRESTAMO]]*Tabla14[[#This Row],[% INTERES ]]/30*U4909))+Tabla14[[#This Row],[VALOR CUOTAS]]</f>
        <v>#VALUE!</v>
      </c>
      <c r="S4909" s="88">
        <f>-IF(Tabla14[[#This Row],[DIAS HABILES O MORA]]&lt;0,(Tabla14[[#This Row],[VALOR PRESTAMO]]*Tabla14[[#This Row],[% INTERES ]]/30*U4909))</f>
        <v>0</v>
      </c>
      <c r="T4909" s="53" t="e">
        <f>Tabla14[[#This Row],[DEUDA CAPITAL]]+Tabla14[[#This Row],[INTERES  CUOTA]]</f>
        <v>#NUM!</v>
      </c>
      <c r="U4909" s="61" t="str">
        <f t="shared" si="779"/>
        <v/>
      </c>
    </row>
    <row r="4910" spans="9:21" ht="24.75" customHeight="1" x14ac:dyDescent="0.35">
      <c r="I4910" s="42">
        <f t="shared" si="770"/>
        <v>0</v>
      </c>
      <c r="J4910" s="65" t="e">
        <f t="shared" si="771"/>
        <v>#NUM!</v>
      </c>
      <c r="K4910" s="83" t="e">
        <f t="shared" si="772"/>
        <v>#NUM!</v>
      </c>
      <c r="L4910" s="83">
        <f t="shared" si="773"/>
        <v>0</v>
      </c>
      <c r="M4910" s="110" t="str">
        <f t="shared" si="774"/>
        <v/>
      </c>
      <c r="N4910" s="51" t="str">
        <f t="shared" si="775"/>
        <v/>
      </c>
      <c r="O4910" s="52" t="str">
        <f t="shared" si="776"/>
        <v/>
      </c>
      <c r="P4910" s="88">
        <f t="shared" si="777"/>
        <v>0</v>
      </c>
      <c r="Q4910" s="88">
        <f t="shared" si="778"/>
        <v>0</v>
      </c>
      <c r="R4910" s="88" t="e">
        <f>-IF(Tabla14[[#This Row],[DIAS HABILES O MORA]]&lt;0,(Tabla14[[#This Row],[VALOR PRESTAMO]]*Tabla14[[#This Row],[% INTERES ]]/30*U4910))+Tabla14[[#This Row],[VALOR CUOTAS]]</f>
        <v>#VALUE!</v>
      </c>
      <c r="S4910" s="88">
        <f>-IF(Tabla14[[#This Row],[DIAS HABILES O MORA]]&lt;0,(Tabla14[[#This Row],[VALOR PRESTAMO]]*Tabla14[[#This Row],[% INTERES ]]/30*U4910))</f>
        <v>0</v>
      </c>
      <c r="T4910" s="53" t="e">
        <f>Tabla14[[#This Row],[DEUDA CAPITAL]]+Tabla14[[#This Row],[INTERES  CUOTA]]</f>
        <v>#NUM!</v>
      </c>
      <c r="U4910" s="61" t="str">
        <f t="shared" si="779"/>
        <v/>
      </c>
    </row>
    <row r="4911" spans="9:21" ht="24.75" customHeight="1" x14ac:dyDescent="0.35">
      <c r="I4911" s="42">
        <f t="shared" si="770"/>
        <v>0</v>
      </c>
      <c r="J4911" s="65" t="e">
        <f t="shared" si="771"/>
        <v>#NUM!</v>
      </c>
      <c r="K4911" s="83" t="e">
        <f t="shared" si="772"/>
        <v>#NUM!</v>
      </c>
      <c r="L4911" s="83">
        <f t="shared" si="773"/>
        <v>0</v>
      </c>
      <c r="M4911" s="110" t="str">
        <f t="shared" si="774"/>
        <v/>
      </c>
      <c r="N4911" s="51" t="str">
        <f t="shared" si="775"/>
        <v/>
      </c>
      <c r="O4911" s="52" t="str">
        <f t="shared" si="776"/>
        <v/>
      </c>
      <c r="P4911" s="88">
        <f t="shared" si="777"/>
        <v>0</v>
      </c>
      <c r="Q4911" s="88">
        <f t="shared" si="778"/>
        <v>0</v>
      </c>
      <c r="R4911" s="88" t="e">
        <f>-IF(Tabla14[[#This Row],[DIAS HABILES O MORA]]&lt;0,(Tabla14[[#This Row],[VALOR PRESTAMO]]*Tabla14[[#This Row],[% INTERES ]]/30*U4911))+Tabla14[[#This Row],[VALOR CUOTAS]]</f>
        <v>#VALUE!</v>
      </c>
      <c r="S4911" s="88">
        <f>-IF(Tabla14[[#This Row],[DIAS HABILES O MORA]]&lt;0,(Tabla14[[#This Row],[VALOR PRESTAMO]]*Tabla14[[#This Row],[% INTERES ]]/30*U4911))</f>
        <v>0</v>
      </c>
      <c r="T4911" s="53" t="e">
        <f>Tabla14[[#This Row],[DEUDA CAPITAL]]+Tabla14[[#This Row],[INTERES  CUOTA]]</f>
        <v>#NUM!</v>
      </c>
      <c r="U4911" s="61" t="str">
        <f t="shared" si="779"/>
        <v/>
      </c>
    </row>
    <row r="4912" spans="9:21" ht="24.75" customHeight="1" x14ac:dyDescent="0.35">
      <c r="I4912" s="42">
        <f t="shared" si="770"/>
        <v>0</v>
      </c>
      <c r="J4912" s="65" t="e">
        <f t="shared" si="771"/>
        <v>#NUM!</v>
      </c>
      <c r="K4912" s="83" t="e">
        <f t="shared" si="772"/>
        <v>#NUM!</v>
      </c>
      <c r="L4912" s="83">
        <f t="shared" si="773"/>
        <v>0</v>
      </c>
      <c r="M4912" s="110" t="str">
        <f t="shared" si="774"/>
        <v/>
      </c>
      <c r="N4912" s="51" t="str">
        <f t="shared" si="775"/>
        <v/>
      </c>
      <c r="O4912" s="52" t="str">
        <f t="shared" si="776"/>
        <v/>
      </c>
      <c r="P4912" s="88">
        <f t="shared" si="777"/>
        <v>0</v>
      </c>
      <c r="Q4912" s="88">
        <f t="shared" si="778"/>
        <v>0</v>
      </c>
      <c r="R4912" s="88" t="e">
        <f>-IF(Tabla14[[#This Row],[DIAS HABILES O MORA]]&lt;0,(Tabla14[[#This Row],[VALOR PRESTAMO]]*Tabla14[[#This Row],[% INTERES ]]/30*U4912))+Tabla14[[#This Row],[VALOR CUOTAS]]</f>
        <v>#VALUE!</v>
      </c>
      <c r="S4912" s="88">
        <f>-IF(Tabla14[[#This Row],[DIAS HABILES O MORA]]&lt;0,(Tabla14[[#This Row],[VALOR PRESTAMO]]*Tabla14[[#This Row],[% INTERES ]]/30*U4912))</f>
        <v>0</v>
      </c>
      <c r="T4912" s="53" t="e">
        <f>Tabla14[[#This Row],[DEUDA CAPITAL]]+Tabla14[[#This Row],[INTERES  CUOTA]]</f>
        <v>#NUM!</v>
      </c>
      <c r="U4912" s="61" t="str">
        <f t="shared" si="779"/>
        <v/>
      </c>
    </row>
    <row r="4913" spans="9:21" ht="24.75" customHeight="1" x14ac:dyDescent="0.35">
      <c r="I4913" s="42">
        <f t="shared" si="770"/>
        <v>0</v>
      </c>
      <c r="J4913" s="65" t="e">
        <f t="shared" si="771"/>
        <v>#NUM!</v>
      </c>
      <c r="K4913" s="83" t="e">
        <f t="shared" si="772"/>
        <v>#NUM!</v>
      </c>
      <c r="L4913" s="83">
        <f t="shared" si="773"/>
        <v>0</v>
      </c>
      <c r="M4913" s="110" t="str">
        <f t="shared" si="774"/>
        <v/>
      </c>
      <c r="N4913" s="51" t="str">
        <f t="shared" si="775"/>
        <v/>
      </c>
      <c r="O4913" s="52" t="str">
        <f t="shared" si="776"/>
        <v/>
      </c>
      <c r="P4913" s="88">
        <f t="shared" si="777"/>
        <v>0</v>
      </c>
      <c r="Q4913" s="88">
        <f t="shared" si="778"/>
        <v>0</v>
      </c>
      <c r="R4913" s="88" t="e">
        <f>-IF(Tabla14[[#This Row],[DIAS HABILES O MORA]]&lt;0,(Tabla14[[#This Row],[VALOR PRESTAMO]]*Tabla14[[#This Row],[% INTERES ]]/30*U4913))+Tabla14[[#This Row],[VALOR CUOTAS]]</f>
        <v>#VALUE!</v>
      </c>
      <c r="S4913" s="88">
        <f>-IF(Tabla14[[#This Row],[DIAS HABILES O MORA]]&lt;0,(Tabla14[[#This Row],[VALOR PRESTAMO]]*Tabla14[[#This Row],[% INTERES ]]/30*U4913))</f>
        <v>0</v>
      </c>
      <c r="T4913" s="53" t="e">
        <f>Tabla14[[#This Row],[DEUDA CAPITAL]]+Tabla14[[#This Row],[INTERES  CUOTA]]</f>
        <v>#NUM!</v>
      </c>
      <c r="U4913" s="61" t="str">
        <f t="shared" si="779"/>
        <v/>
      </c>
    </row>
    <row r="4914" spans="9:21" ht="24.75" customHeight="1" x14ac:dyDescent="0.35">
      <c r="I4914" s="42">
        <f t="shared" si="770"/>
        <v>0</v>
      </c>
      <c r="J4914" s="65" t="e">
        <f t="shared" si="771"/>
        <v>#NUM!</v>
      </c>
      <c r="K4914" s="83" t="e">
        <f t="shared" si="772"/>
        <v>#NUM!</v>
      </c>
      <c r="L4914" s="83">
        <f t="shared" si="773"/>
        <v>0</v>
      </c>
      <c r="M4914" s="110" t="str">
        <f t="shared" si="774"/>
        <v/>
      </c>
      <c r="N4914" s="51" t="str">
        <f t="shared" si="775"/>
        <v/>
      </c>
      <c r="O4914" s="52" t="str">
        <f t="shared" si="776"/>
        <v/>
      </c>
      <c r="P4914" s="88">
        <f t="shared" si="777"/>
        <v>0</v>
      </c>
      <c r="Q4914" s="88">
        <f t="shared" si="778"/>
        <v>0</v>
      </c>
      <c r="R4914" s="88" t="e">
        <f>-IF(Tabla14[[#This Row],[DIAS HABILES O MORA]]&lt;0,(Tabla14[[#This Row],[VALOR PRESTAMO]]*Tabla14[[#This Row],[% INTERES ]]/30*U4914))+Tabla14[[#This Row],[VALOR CUOTAS]]</f>
        <v>#VALUE!</v>
      </c>
      <c r="S4914" s="88">
        <f>-IF(Tabla14[[#This Row],[DIAS HABILES O MORA]]&lt;0,(Tabla14[[#This Row],[VALOR PRESTAMO]]*Tabla14[[#This Row],[% INTERES ]]/30*U4914))</f>
        <v>0</v>
      </c>
      <c r="T4914" s="53" t="e">
        <f>Tabla14[[#This Row],[DEUDA CAPITAL]]+Tabla14[[#This Row],[INTERES  CUOTA]]</f>
        <v>#NUM!</v>
      </c>
      <c r="U4914" s="61" t="str">
        <f t="shared" si="779"/>
        <v/>
      </c>
    </row>
    <row r="4915" spans="9:21" ht="24.75" customHeight="1" x14ac:dyDescent="0.35">
      <c r="I4915" s="42">
        <f t="shared" si="770"/>
        <v>0</v>
      </c>
      <c r="J4915" s="65" t="e">
        <f t="shared" si="771"/>
        <v>#NUM!</v>
      </c>
      <c r="K4915" s="83" t="e">
        <f t="shared" si="772"/>
        <v>#NUM!</v>
      </c>
      <c r="L4915" s="83">
        <f t="shared" si="773"/>
        <v>0</v>
      </c>
      <c r="M4915" s="110" t="str">
        <f t="shared" si="774"/>
        <v/>
      </c>
      <c r="N4915" s="51" t="str">
        <f t="shared" si="775"/>
        <v/>
      </c>
      <c r="O4915" s="52" t="str">
        <f t="shared" si="776"/>
        <v/>
      </c>
      <c r="P4915" s="88">
        <f t="shared" si="777"/>
        <v>0</v>
      </c>
      <c r="Q4915" s="88">
        <f t="shared" si="778"/>
        <v>0</v>
      </c>
      <c r="R4915" s="88" t="e">
        <f>-IF(Tabla14[[#This Row],[DIAS HABILES O MORA]]&lt;0,(Tabla14[[#This Row],[VALOR PRESTAMO]]*Tabla14[[#This Row],[% INTERES ]]/30*U4915))+Tabla14[[#This Row],[VALOR CUOTAS]]</f>
        <v>#VALUE!</v>
      </c>
      <c r="S4915" s="88">
        <f>-IF(Tabla14[[#This Row],[DIAS HABILES O MORA]]&lt;0,(Tabla14[[#This Row],[VALOR PRESTAMO]]*Tabla14[[#This Row],[% INTERES ]]/30*U4915))</f>
        <v>0</v>
      </c>
      <c r="T4915" s="53" t="e">
        <f>Tabla14[[#This Row],[DEUDA CAPITAL]]+Tabla14[[#This Row],[INTERES  CUOTA]]</f>
        <v>#NUM!</v>
      </c>
      <c r="U4915" s="61" t="str">
        <f t="shared" si="779"/>
        <v/>
      </c>
    </row>
    <row r="4916" spans="9:21" ht="24.75" customHeight="1" x14ac:dyDescent="0.35">
      <c r="I4916" s="42">
        <f t="shared" si="770"/>
        <v>0</v>
      </c>
      <c r="J4916" s="65" t="e">
        <f t="shared" si="771"/>
        <v>#NUM!</v>
      </c>
      <c r="K4916" s="83" t="e">
        <f t="shared" si="772"/>
        <v>#NUM!</v>
      </c>
      <c r="L4916" s="83">
        <f t="shared" si="773"/>
        <v>0</v>
      </c>
      <c r="M4916" s="110" t="str">
        <f t="shared" si="774"/>
        <v/>
      </c>
      <c r="N4916" s="51" t="str">
        <f t="shared" si="775"/>
        <v/>
      </c>
      <c r="O4916" s="52" t="str">
        <f t="shared" si="776"/>
        <v/>
      </c>
      <c r="P4916" s="88">
        <f t="shared" si="777"/>
        <v>0</v>
      </c>
      <c r="Q4916" s="88">
        <f t="shared" si="778"/>
        <v>0</v>
      </c>
      <c r="R4916" s="88" t="e">
        <f>-IF(Tabla14[[#This Row],[DIAS HABILES O MORA]]&lt;0,(Tabla14[[#This Row],[VALOR PRESTAMO]]*Tabla14[[#This Row],[% INTERES ]]/30*U4916))+Tabla14[[#This Row],[VALOR CUOTAS]]</f>
        <v>#VALUE!</v>
      </c>
      <c r="S4916" s="88">
        <f>-IF(Tabla14[[#This Row],[DIAS HABILES O MORA]]&lt;0,(Tabla14[[#This Row],[VALOR PRESTAMO]]*Tabla14[[#This Row],[% INTERES ]]/30*U4916))</f>
        <v>0</v>
      </c>
      <c r="T4916" s="53" t="e">
        <f>Tabla14[[#This Row],[DEUDA CAPITAL]]+Tabla14[[#This Row],[INTERES  CUOTA]]</f>
        <v>#NUM!</v>
      </c>
      <c r="U4916" s="61" t="str">
        <f t="shared" si="779"/>
        <v/>
      </c>
    </row>
    <row r="4917" spans="9:21" ht="24.75" customHeight="1" x14ac:dyDescent="0.35">
      <c r="I4917" s="42">
        <f t="shared" si="770"/>
        <v>0</v>
      </c>
      <c r="J4917" s="65" t="e">
        <f t="shared" si="771"/>
        <v>#NUM!</v>
      </c>
      <c r="K4917" s="83" t="e">
        <f t="shared" si="772"/>
        <v>#NUM!</v>
      </c>
      <c r="L4917" s="83">
        <f t="shared" si="773"/>
        <v>0</v>
      </c>
      <c r="M4917" s="110" t="str">
        <f t="shared" si="774"/>
        <v/>
      </c>
      <c r="N4917" s="51" t="str">
        <f t="shared" si="775"/>
        <v/>
      </c>
      <c r="O4917" s="52" t="str">
        <f t="shared" si="776"/>
        <v/>
      </c>
      <c r="P4917" s="88">
        <f t="shared" si="777"/>
        <v>0</v>
      </c>
      <c r="Q4917" s="88">
        <f t="shared" si="778"/>
        <v>0</v>
      </c>
      <c r="R4917" s="88" t="e">
        <f>-IF(Tabla14[[#This Row],[DIAS HABILES O MORA]]&lt;0,(Tabla14[[#This Row],[VALOR PRESTAMO]]*Tabla14[[#This Row],[% INTERES ]]/30*U4917))+Tabla14[[#This Row],[VALOR CUOTAS]]</f>
        <v>#VALUE!</v>
      </c>
      <c r="S4917" s="88">
        <f>-IF(Tabla14[[#This Row],[DIAS HABILES O MORA]]&lt;0,(Tabla14[[#This Row],[VALOR PRESTAMO]]*Tabla14[[#This Row],[% INTERES ]]/30*U4917))</f>
        <v>0</v>
      </c>
      <c r="T4917" s="53" t="e">
        <f>Tabla14[[#This Row],[DEUDA CAPITAL]]+Tabla14[[#This Row],[INTERES  CUOTA]]</f>
        <v>#NUM!</v>
      </c>
      <c r="U4917" s="61" t="str">
        <f t="shared" si="779"/>
        <v/>
      </c>
    </row>
    <row r="4918" spans="9:21" ht="24.75" customHeight="1" x14ac:dyDescent="0.35">
      <c r="I4918" s="42">
        <f t="shared" si="770"/>
        <v>0</v>
      </c>
      <c r="J4918" s="65" t="e">
        <f t="shared" si="771"/>
        <v>#NUM!</v>
      </c>
      <c r="K4918" s="83" t="e">
        <f t="shared" si="772"/>
        <v>#NUM!</v>
      </c>
      <c r="L4918" s="83">
        <f t="shared" si="773"/>
        <v>0</v>
      </c>
      <c r="M4918" s="110" t="str">
        <f t="shared" si="774"/>
        <v/>
      </c>
      <c r="N4918" s="51" t="str">
        <f t="shared" si="775"/>
        <v/>
      </c>
      <c r="O4918" s="52" t="str">
        <f t="shared" si="776"/>
        <v/>
      </c>
      <c r="P4918" s="88">
        <f t="shared" si="777"/>
        <v>0</v>
      </c>
      <c r="Q4918" s="88">
        <f t="shared" si="778"/>
        <v>0</v>
      </c>
      <c r="R4918" s="88" t="e">
        <f>-IF(Tabla14[[#This Row],[DIAS HABILES O MORA]]&lt;0,(Tabla14[[#This Row],[VALOR PRESTAMO]]*Tabla14[[#This Row],[% INTERES ]]/30*U4918))+Tabla14[[#This Row],[VALOR CUOTAS]]</f>
        <v>#VALUE!</v>
      </c>
      <c r="S4918" s="88">
        <f>-IF(Tabla14[[#This Row],[DIAS HABILES O MORA]]&lt;0,(Tabla14[[#This Row],[VALOR PRESTAMO]]*Tabla14[[#This Row],[% INTERES ]]/30*U4918))</f>
        <v>0</v>
      </c>
      <c r="T4918" s="53" t="e">
        <f>Tabla14[[#This Row],[DEUDA CAPITAL]]+Tabla14[[#This Row],[INTERES  CUOTA]]</f>
        <v>#NUM!</v>
      </c>
      <c r="U4918" s="61" t="str">
        <f t="shared" si="779"/>
        <v/>
      </c>
    </row>
    <row r="4919" spans="9:21" ht="24.75" customHeight="1" x14ac:dyDescent="0.35">
      <c r="I4919" s="42">
        <f t="shared" si="770"/>
        <v>0</v>
      </c>
      <c r="J4919" s="65" t="e">
        <f t="shared" si="771"/>
        <v>#NUM!</v>
      </c>
      <c r="K4919" s="83" t="e">
        <f t="shared" si="772"/>
        <v>#NUM!</v>
      </c>
      <c r="L4919" s="83">
        <f t="shared" si="773"/>
        <v>0</v>
      </c>
      <c r="M4919" s="110" t="str">
        <f t="shared" si="774"/>
        <v/>
      </c>
      <c r="N4919" s="51" t="str">
        <f t="shared" si="775"/>
        <v/>
      </c>
      <c r="O4919" s="52" t="str">
        <f t="shared" si="776"/>
        <v/>
      </c>
      <c r="P4919" s="88">
        <f t="shared" si="777"/>
        <v>0</v>
      </c>
      <c r="Q4919" s="88">
        <f t="shared" si="778"/>
        <v>0</v>
      </c>
      <c r="R4919" s="88" t="e">
        <f>-IF(Tabla14[[#This Row],[DIAS HABILES O MORA]]&lt;0,(Tabla14[[#This Row],[VALOR PRESTAMO]]*Tabla14[[#This Row],[% INTERES ]]/30*U4919))+Tabla14[[#This Row],[VALOR CUOTAS]]</f>
        <v>#VALUE!</v>
      </c>
      <c r="S4919" s="88">
        <f>-IF(Tabla14[[#This Row],[DIAS HABILES O MORA]]&lt;0,(Tabla14[[#This Row],[VALOR PRESTAMO]]*Tabla14[[#This Row],[% INTERES ]]/30*U4919))</f>
        <v>0</v>
      </c>
      <c r="T4919" s="53" t="e">
        <f>Tabla14[[#This Row],[DEUDA CAPITAL]]+Tabla14[[#This Row],[INTERES  CUOTA]]</f>
        <v>#NUM!</v>
      </c>
      <c r="U4919" s="61" t="str">
        <f t="shared" si="779"/>
        <v/>
      </c>
    </row>
    <row r="4920" spans="9:21" ht="24.75" customHeight="1" x14ac:dyDescent="0.35">
      <c r="I4920" s="42">
        <f t="shared" si="770"/>
        <v>0</v>
      </c>
      <c r="J4920" s="65" t="e">
        <f t="shared" si="771"/>
        <v>#NUM!</v>
      </c>
      <c r="K4920" s="83" t="e">
        <f t="shared" si="772"/>
        <v>#NUM!</v>
      </c>
      <c r="L4920" s="83">
        <f t="shared" si="773"/>
        <v>0</v>
      </c>
      <c r="M4920" s="110" t="str">
        <f t="shared" si="774"/>
        <v/>
      </c>
      <c r="N4920" s="51" t="str">
        <f t="shared" si="775"/>
        <v/>
      </c>
      <c r="O4920" s="52" t="str">
        <f t="shared" si="776"/>
        <v/>
      </c>
      <c r="P4920" s="88">
        <f t="shared" si="777"/>
        <v>0</v>
      </c>
      <c r="Q4920" s="88">
        <f t="shared" si="778"/>
        <v>0</v>
      </c>
      <c r="R4920" s="88" t="e">
        <f>-IF(Tabla14[[#This Row],[DIAS HABILES O MORA]]&lt;0,(Tabla14[[#This Row],[VALOR PRESTAMO]]*Tabla14[[#This Row],[% INTERES ]]/30*U4920))+Tabla14[[#This Row],[VALOR CUOTAS]]</f>
        <v>#VALUE!</v>
      </c>
      <c r="S4920" s="88">
        <f>-IF(Tabla14[[#This Row],[DIAS HABILES O MORA]]&lt;0,(Tabla14[[#This Row],[VALOR PRESTAMO]]*Tabla14[[#This Row],[% INTERES ]]/30*U4920))</f>
        <v>0</v>
      </c>
      <c r="T4920" s="53" t="e">
        <f>Tabla14[[#This Row],[DEUDA CAPITAL]]+Tabla14[[#This Row],[INTERES  CUOTA]]</f>
        <v>#NUM!</v>
      </c>
      <c r="U4920" s="61" t="str">
        <f t="shared" si="779"/>
        <v/>
      </c>
    </row>
    <row r="4921" spans="9:21" ht="24.75" customHeight="1" x14ac:dyDescent="0.35">
      <c r="I4921" s="42">
        <f t="shared" si="770"/>
        <v>0</v>
      </c>
      <c r="J4921" s="65" t="e">
        <f t="shared" si="771"/>
        <v>#NUM!</v>
      </c>
      <c r="K4921" s="83" t="e">
        <f t="shared" si="772"/>
        <v>#NUM!</v>
      </c>
      <c r="L4921" s="83">
        <f t="shared" si="773"/>
        <v>0</v>
      </c>
      <c r="M4921" s="110" t="str">
        <f t="shared" si="774"/>
        <v/>
      </c>
      <c r="N4921" s="51" t="str">
        <f t="shared" si="775"/>
        <v/>
      </c>
      <c r="O4921" s="52" t="str">
        <f t="shared" si="776"/>
        <v/>
      </c>
      <c r="P4921" s="88">
        <f t="shared" si="777"/>
        <v>0</v>
      </c>
      <c r="Q4921" s="88">
        <f t="shared" si="778"/>
        <v>0</v>
      </c>
      <c r="R4921" s="88" t="e">
        <f>-IF(Tabla14[[#This Row],[DIAS HABILES O MORA]]&lt;0,(Tabla14[[#This Row],[VALOR PRESTAMO]]*Tabla14[[#This Row],[% INTERES ]]/30*U4921))+Tabla14[[#This Row],[VALOR CUOTAS]]</f>
        <v>#VALUE!</v>
      </c>
      <c r="S4921" s="88">
        <f>-IF(Tabla14[[#This Row],[DIAS HABILES O MORA]]&lt;0,(Tabla14[[#This Row],[VALOR PRESTAMO]]*Tabla14[[#This Row],[% INTERES ]]/30*U4921))</f>
        <v>0</v>
      </c>
      <c r="T4921" s="53" t="e">
        <f>Tabla14[[#This Row],[DEUDA CAPITAL]]+Tabla14[[#This Row],[INTERES  CUOTA]]</f>
        <v>#NUM!</v>
      </c>
      <c r="U4921" s="61" t="str">
        <f t="shared" si="779"/>
        <v/>
      </c>
    </row>
    <row r="4922" spans="9:21" ht="24.75" customHeight="1" x14ac:dyDescent="0.35">
      <c r="I4922" s="42">
        <f t="shared" si="770"/>
        <v>0</v>
      </c>
      <c r="J4922" s="65" t="e">
        <f t="shared" si="771"/>
        <v>#NUM!</v>
      </c>
      <c r="K4922" s="83" t="e">
        <f t="shared" si="772"/>
        <v>#NUM!</v>
      </c>
      <c r="L4922" s="83">
        <f t="shared" si="773"/>
        <v>0</v>
      </c>
      <c r="M4922" s="110" t="str">
        <f t="shared" si="774"/>
        <v/>
      </c>
      <c r="N4922" s="51" t="str">
        <f t="shared" si="775"/>
        <v/>
      </c>
      <c r="O4922" s="52" t="str">
        <f t="shared" si="776"/>
        <v/>
      </c>
      <c r="P4922" s="88">
        <f t="shared" si="777"/>
        <v>0</v>
      </c>
      <c r="Q4922" s="88">
        <f t="shared" si="778"/>
        <v>0</v>
      </c>
      <c r="R4922" s="88" t="e">
        <f>-IF(Tabla14[[#This Row],[DIAS HABILES O MORA]]&lt;0,(Tabla14[[#This Row],[VALOR PRESTAMO]]*Tabla14[[#This Row],[% INTERES ]]/30*U4922))+Tabla14[[#This Row],[VALOR CUOTAS]]</f>
        <v>#VALUE!</v>
      </c>
      <c r="S4922" s="88">
        <f>-IF(Tabla14[[#This Row],[DIAS HABILES O MORA]]&lt;0,(Tabla14[[#This Row],[VALOR PRESTAMO]]*Tabla14[[#This Row],[% INTERES ]]/30*U4922))</f>
        <v>0</v>
      </c>
      <c r="T4922" s="53" t="e">
        <f>Tabla14[[#This Row],[DEUDA CAPITAL]]+Tabla14[[#This Row],[INTERES  CUOTA]]</f>
        <v>#NUM!</v>
      </c>
      <c r="U4922" s="61" t="str">
        <f t="shared" si="779"/>
        <v/>
      </c>
    </row>
    <row r="4923" spans="9:21" ht="24.75" customHeight="1" x14ac:dyDescent="0.35">
      <c r="I4923" s="42">
        <f t="shared" si="770"/>
        <v>0</v>
      </c>
      <c r="J4923" s="65" t="e">
        <f t="shared" si="771"/>
        <v>#NUM!</v>
      </c>
      <c r="K4923" s="83" t="e">
        <f t="shared" si="772"/>
        <v>#NUM!</v>
      </c>
      <c r="L4923" s="83">
        <f t="shared" si="773"/>
        <v>0</v>
      </c>
      <c r="M4923" s="110" t="str">
        <f t="shared" si="774"/>
        <v/>
      </c>
      <c r="N4923" s="51" t="str">
        <f t="shared" si="775"/>
        <v/>
      </c>
      <c r="O4923" s="52" t="str">
        <f t="shared" si="776"/>
        <v/>
      </c>
      <c r="P4923" s="88">
        <f t="shared" si="777"/>
        <v>0</v>
      </c>
      <c r="Q4923" s="88">
        <f t="shared" si="778"/>
        <v>0</v>
      </c>
      <c r="R4923" s="88" t="e">
        <f>-IF(Tabla14[[#This Row],[DIAS HABILES O MORA]]&lt;0,(Tabla14[[#This Row],[VALOR PRESTAMO]]*Tabla14[[#This Row],[% INTERES ]]/30*U4923))+Tabla14[[#This Row],[VALOR CUOTAS]]</f>
        <v>#VALUE!</v>
      </c>
      <c r="S4923" s="88">
        <f>-IF(Tabla14[[#This Row],[DIAS HABILES O MORA]]&lt;0,(Tabla14[[#This Row],[VALOR PRESTAMO]]*Tabla14[[#This Row],[% INTERES ]]/30*U4923))</f>
        <v>0</v>
      </c>
      <c r="T4923" s="53" t="e">
        <f>Tabla14[[#This Row],[DEUDA CAPITAL]]+Tabla14[[#This Row],[INTERES  CUOTA]]</f>
        <v>#NUM!</v>
      </c>
      <c r="U4923" s="61" t="str">
        <f t="shared" si="779"/>
        <v/>
      </c>
    </row>
    <row r="4924" spans="9:21" ht="24.75" customHeight="1" x14ac:dyDescent="0.35">
      <c r="I4924" s="42">
        <f t="shared" si="770"/>
        <v>0</v>
      </c>
      <c r="J4924" s="65" t="e">
        <f t="shared" si="771"/>
        <v>#NUM!</v>
      </c>
      <c r="K4924" s="83" t="e">
        <f t="shared" si="772"/>
        <v>#NUM!</v>
      </c>
      <c r="L4924" s="83">
        <f t="shared" si="773"/>
        <v>0</v>
      </c>
      <c r="M4924" s="110" t="str">
        <f t="shared" si="774"/>
        <v/>
      </c>
      <c r="N4924" s="51" t="str">
        <f t="shared" si="775"/>
        <v/>
      </c>
      <c r="O4924" s="52" t="str">
        <f t="shared" si="776"/>
        <v/>
      </c>
      <c r="P4924" s="88">
        <f t="shared" si="777"/>
        <v>0</v>
      </c>
      <c r="Q4924" s="88">
        <f t="shared" si="778"/>
        <v>0</v>
      </c>
      <c r="R4924" s="88" t="e">
        <f>-IF(Tabla14[[#This Row],[DIAS HABILES O MORA]]&lt;0,(Tabla14[[#This Row],[VALOR PRESTAMO]]*Tabla14[[#This Row],[% INTERES ]]/30*U4924))+Tabla14[[#This Row],[VALOR CUOTAS]]</f>
        <v>#VALUE!</v>
      </c>
      <c r="S4924" s="88">
        <f>-IF(Tabla14[[#This Row],[DIAS HABILES O MORA]]&lt;0,(Tabla14[[#This Row],[VALOR PRESTAMO]]*Tabla14[[#This Row],[% INTERES ]]/30*U4924))</f>
        <v>0</v>
      </c>
      <c r="T4924" s="53" t="e">
        <f>Tabla14[[#This Row],[DEUDA CAPITAL]]+Tabla14[[#This Row],[INTERES  CUOTA]]</f>
        <v>#NUM!</v>
      </c>
      <c r="U4924" s="61" t="str">
        <f t="shared" si="779"/>
        <v/>
      </c>
    </row>
    <row r="4925" spans="9:21" ht="24.75" customHeight="1" x14ac:dyDescent="0.35">
      <c r="I4925" s="42">
        <f t="shared" si="770"/>
        <v>0</v>
      </c>
      <c r="J4925" s="65" t="e">
        <f t="shared" si="771"/>
        <v>#NUM!</v>
      </c>
      <c r="K4925" s="83" t="e">
        <f t="shared" si="772"/>
        <v>#NUM!</v>
      </c>
      <c r="L4925" s="83">
        <f t="shared" si="773"/>
        <v>0</v>
      </c>
      <c r="M4925" s="110" t="str">
        <f t="shared" si="774"/>
        <v/>
      </c>
      <c r="N4925" s="51" t="str">
        <f t="shared" si="775"/>
        <v/>
      </c>
      <c r="O4925" s="52" t="str">
        <f t="shared" si="776"/>
        <v/>
      </c>
      <c r="P4925" s="88">
        <f t="shared" si="777"/>
        <v>0</v>
      </c>
      <c r="Q4925" s="88">
        <f t="shared" si="778"/>
        <v>0</v>
      </c>
      <c r="R4925" s="88" t="e">
        <f>-IF(Tabla14[[#This Row],[DIAS HABILES O MORA]]&lt;0,(Tabla14[[#This Row],[VALOR PRESTAMO]]*Tabla14[[#This Row],[% INTERES ]]/30*U4925))+Tabla14[[#This Row],[VALOR CUOTAS]]</f>
        <v>#VALUE!</v>
      </c>
      <c r="S4925" s="88">
        <f>-IF(Tabla14[[#This Row],[DIAS HABILES O MORA]]&lt;0,(Tabla14[[#This Row],[VALOR PRESTAMO]]*Tabla14[[#This Row],[% INTERES ]]/30*U4925))</f>
        <v>0</v>
      </c>
      <c r="T4925" s="53" t="e">
        <f>Tabla14[[#This Row],[DEUDA CAPITAL]]+Tabla14[[#This Row],[INTERES  CUOTA]]</f>
        <v>#NUM!</v>
      </c>
      <c r="U4925" s="61" t="str">
        <f t="shared" si="779"/>
        <v/>
      </c>
    </row>
    <row r="4926" spans="9:21" ht="24.75" customHeight="1" x14ac:dyDescent="0.35">
      <c r="I4926" s="42">
        <f t="shared" si="770"/>
        <v>0</v>
      </c>
      <c r="J4926" s="65" t="e">
        <f t="shared" si="771"/>
        <v>#NUM!</v>
      </c>
      <c r="K4926" s="83" t="e">
        <f t="shared" si="772"/>
        <v>#NUM!</v>
      </c>
      <c r="L4926" s="83">
        <f t="shared" si="773"/>
        <v>0</v>
      </c>
      <c r="M4926" s="110" t="str">
        <f t="shared" si="774"/>
        <v/>
      </c>
      <c r="N4926" s="51" t="str">
        <f t="shared" si="775"/>
        <v/>
      </c>
      <c r="O4926" s="52" t="str">
        <f t="shared" si="776"/>
        <v/>
      </c>
      <c r="P4926" s="88">
        <f t="shared" si="777"/>
        <v>0</v>
      </c>
      <c r="Q4926" s="88">
        <f t="shared" si="778"/>
        <v>0</v>
      </c>
      <c r="R4926" s="88" t="e">
        <f>-IF(Tabla14[[#This Row],[DIAS HABILES O MORA]]&lt;0,(Tabla14[[#This Row],[VALOR PRESTAMO]]*Tabla14[[#This Row],[% INTERES ]]/30*U4926))+Tabla14[[#This Row],[VALOR CUOTAS]]</f>
        <v>#VALUE!</v>
      </c>
      <c r="S4926" s="88">
        <f>-IF(Tabla14[[#This Row],[DIAS HABILES O MORA]]&lt;0,(Tabla14[[#This Row],[VALOR PRESTAMO]]*Tabla14[[#This Row],[% INTERES ]]/30*U4926))</f>
        <v>0</v>
      </c>
      <c r="T4926" s="53" t="e">
        <f>Tabla14[[#This Row],[DEUDA CAPITAL]]+Tabla14[[#This Row],[INTERES  CUOTA]]</f>
        <v>#NUM!</v>
      </c>
      <c r="U4926" s="61" t="str">
        <f t="shared" si="779"/>
        <v/>
      </c>
    </row>
    <row r="4927" spans="9:21" ht="24.75" customHeight="1" x14ac:dyDescent="0.35">
      <c r="I4927" s="42">
        <f t="shared" si="770"/>
        <v>0</v>
      </c>
      <c r="J4927" s="65" t="e">
        <f t="shared" si="771"/>
        <v>#NUM!</v>
      </c>
      <c r="K4927" s="83" t="e">
        <f t="shared" si="772"/>
        <v>#NUM!</v>
      </c>
      <c r="L4927" s="83">
        <f t="shared" si="773"/>
        <v>0</v>
      </c>
      <c r="M4927" s="110" t="str">
        <f t="shared" si="774"/>
        <v/>
      </c>
      <c r="N4927" s="51" t="str">
        <f t="shared" si="775"/>
        <v/>
      </c>
      <c r="O4927" s="52" t="str">
        <f t="shared" si="776"/>
        <v/>
      </c>
      <c r="P4927" s="88">
        <f t="shared" si="777"/>
        <v>0</v>
      </c>
      <c r="Q4927" s="88">
        <f t="shared" si="778"/>
        <v>0</v>
      </c>
      <c r="R4927" s="88" t="e">
        <f>-IF(Tabla14[[#This Row],[DIAS HABILES O MORA]]&lt;0,(Tabla14[[#This Row],[VALOR PRESTAMO]]*Tabla14[[#This Row],[% INTERES ]]/30*U4927))+Tabla14[[#This Row],[VALOR CUOTAS]]</f>
        <v>#VALUE!</v>
      </c>
      <c r="S4927" s="88">
        <f>-IF(Tabla14[[#This Row],[DIAS HABILES O MORA]]&lt;0,(Tabla14[[#This Row],[VALOR PRESTAMO]]*Tabla14[[#This Row],[% INTERES ]]/30*U4927))</f>
        <v>0</v>
      </c>
      <c r="T4927" s="53" t="e">
        <f>Tabla14[[#This Row],[DEUDA CAPITAL]]+Tabla14[[#This Row],[INTERES  CUOTA]]</f>
        <v>#NUM!</v>
      </c>
      <c r="U4927" s="61" t="str">
        <f t="shared" si="779"/>
        <v/>
      </c>
    </row>
    <row r="4928" spans="9:21" ht="24.75" customHeight="1" x14ac:dyDescent="0.35">
      <c r="I4928" s="42">
        <f t="shared" si="770"/>
        <v>0</v>
      </c>
      <c r="J4928" s="65" t="e">
        <f t="shared" si="771"/>
        <v>#NUM!</v>
      </c>
      <c r="K4928" s="83" t="e">
        <f t="shared" si="772"/>
        <v>#NUM!</v>
      </c>
      <c r="L4928" s="83">
        <f t="shared" si="773"/>
        <v>0</v>
      </c>
      <c r="M4928" s="110" t="str">
        <f t="shared" si="774"/>
        <v/>
      </c>
      <c r="N4928" s="51" t="str">
        <f t="shared" si="775"/>
        <v/>
      </c>
      <c r="O4928" s="52" t="str">
        <f t="shared" si="776"/>
        <v/>
      </c>
      <c r="P4928" s="88">
        <f t="shared" si="777"/>
        <v>0</v>
      </c>
      <c r="Q4928" s="88">
        <f t="shared" si="778"/>
        <v>0</v>
      </c>
      <c r="R4928" s="88" t="e">
        <f>-IF(Tabla14[[#This Row],[DIAS HABILES O MORA]]&lt;0,(Tabla14[[#This Row],[VALOR PRESTAMO]]*Tabla14[[#This Row],[% INTERES ]]/30*U4928))+Tabla14[[#This Row],[VALOR CUOTAS]]</f>
        <v>#VALUE!</v>
      </c>
      <c r="S4928" s="88">
        <f>-IF(Tabla14[[#This Row],[DIAS HABILES O MORA]]&lt;0,(Tabla14[[#This Row],[VALOR PRESTAMO]]*Tabla14[[#This Row],[% INTERES ]]/30*U4928))</f>
        <v>0</v>
      </c>
      <c r="T4928" s="53" t="e">
        <f>Tabla14[[#This Row],[DEUDA CAPITAL]]+Tabla14[[#This Row],[INTERES  CUOTA]]</f>
        <v>#NUM!</v>
      </c>
      <c r="U4928" s="61" t="str">
        <f t="shared" si="779"/>
        <v/>
      </c>
    </row>
    <row r="4929" spans="9:21" ht="24.75" customHeight="1" x14ac:dyDescent="0.35">
      <c r="I4929" s="42">
        <f t="shared" si="770"/>
        <v>0</v>
      </c>
      <c r="J4929" s="65" t="e">
        <f t="shared" si="771"/>
        <v>#NUM!</v>
      </c>
      <c r="K4929" s="83" t="e">
        <f t="shared" si="772"/>
        <v>#NUM!</v>
      </c>
      <c r="L4929" s="83">
        <f t="shared" si="773"/>
        <v>0</v>
      </c>
      <c r="M4929" s="110" t="str">
        <f t="shared" si="774"/>
        <v/>
      </c>
      <c r="N4929" s="51" t="str">
        <f t="shared" si="775"/>
        <v/>
      </c>
      <c r="O4929" s="52" t="str">
        <f t="shared" si="776"/>
        <v/>
      </c>
      <c r="P4929" s="88">
        <f t="shared" si="777"/>
        <v>0</v>
      </c>
      <c r="Q4929" s="88">
        <f t="shared" si="778"/>
        <v>0</v>
      </c>
      <c r="R4929" s="88" t="e">
        <f>-IF(Tabla14[[#This Row],[DIAS HABILES O MORA]]&lt;0,(Tabla14[[#This Row],[VALOR PRESTAMO]]*Tabla14[[#This Row],[% INTERES ]]/30*U4929))+Tabla14[[#This Row],[VALOR CUOTAS]]</f>
        <v>#VALUE!</v>
      </c>
      <c r="S4929" s="88">
        <f>-IF(Tabla14[[#This Row],[DIAS HABILES O MORA]]&lt;0,(Tabla14[[#This Row],[VALOR PRESTAMO]]*Tabla14[[#This Row],[% INTERES ]]/30*U4929))</f>
        <v>0</v>
      </c>
      <c r="T4929" s="53" t="e">
        <f>Tabla14[[#This Row],[DEUDA CAPITAL]]+Tabla14[[#This Row],[INTERES  CUOTA]]</f>
        <v>#NUM!</v>
      </c>
      <c r="U4929" s="61" t="str">
        <f t="shared" si="779"/>
        <v/>
      </c>
    </row>
    <row r="4930" spans="9:21" ht="24.75" customHeight="1" x14ac:dyDescent="0.35">
      <c r="I4930" s="42">
        <f t="shared" si="770"/>
        <v>0</v>
      </c>
      <c r="J4930" s="65" t="e">
        <f t="shared" si="771"/>
        <v>#NUM!</v>
      </c>
      <c r="K4930" s="83" t="e">
        <f t="shared" si="772"/>
        <v>#NUM!</v>
      </c>
      <c r="L4930" s="83">
        <f t="shared" si="773"/>
        <v>0</v>
      </c>
      <c r="M4930" s="110" t="str">
        <f t="shared" si="774"/>
        <v/>
      </c>
      <c r="N4930" s="51" t="str">
        <f t="shared" si="775"/>
        <v/>
      </c>
      <c r="O4930" s="52" t="str">
        <f t="shared" si="776"/>
        <v/>
      </c>
      <c r="P4930" s="88">
        <f t="shared" si="777"/>
        <v>0</v>
      </c>
      <c r="Q4930" s="88">
        <f t="shared" si="778"/>
        <v>0</v>
      </c>
      <c r="R4930" s="88" t="e">
        <f>-IF(Tabla14[[#This Row],[DIAS HABILES O MORA]]&lt;0,(Tabla14[[#This Row],[VALOR PRESTAMO]]*Tabla14[[#This Row],[% INTERES ]]/30*U4930))+Tabla14[[#This Row],[VALOR CUOTAS]]</f>
        <v>#VALUE!</v>
      </c>
      <c r="S4930" s="88">
        <f>-IF(Tabla14[[#This Row],[DIAS HABILES O MORA]]&lt;0,(Tabla14[[#This Row],[VALOR PRESTAMO]]*Tabla14[[#This Row],[% INTERES ]]/30*U4930))</f>
        <v>0</v>
      </c>
      <c r="T4930" s="53" t="e">
        <f>Tabla14[[#This Row],[DEUDA CAPITAL]]+Tabla14[[#This Row],[INTERES  CUOTA]]</f>
        <v>#NUM!</v>
      </c>
      <c r="U4930" s="61" t="str">
        <f t="shared" si="779"/>
        <v/>
      </c>
    </row>
    <row r="4931" spans="9:21" ht="24.75" customHeight="1" x14ac:dyDescent="0.35">
      <c r="I4931" s="42">
        <f t="shared" si="770"/>
        <v>0</v>
      </c>
      <c r="J4931" s="65" t="e">
        <f t="shared" si="771"/>
        <v>#NUM!</v>
      </c>
      <c r="K4931" s="83" t="e">
        <f t="shared" si="772"/>
        <v>#NUM!</v>
      </c>
      <c r="L4931" s="83">
        <f t="shared" si="773"/>
        <v>0</v>
      </c>
      <c r="M4931" s="110" t="str">
        <f t="shared" si="774"/>
        <v/>
      </c>
      <c r="N4931" s="51" t="str">
        <f t="shared" si="775"/>
        <v/>
      </c>
      <c r="O4931" s="52" t="str">
        <f t="shared" si="776"/>
        <v/>
      </c>
      <c r="P4931" s="88">
        <f t="shared" si="777"/>
        <v>0</v>
      </c>
      <c r="Q4931" s="88">
        <f t="shared" si="778"/>
        <v>0</v>
      </c>
      <c r="R4931" s="88" t="e">
        <f>-IF(Tabla14[[#This Row],[DIAS HABILES O MORA]]&lt;0,(Tabla14[[#This Row],[VALOR PRESTAMO]]*Tabla14[[#This Row],[% INTERES ]]/30*U4931))+Tabla14[[#This Row],[VALOR CUOTAS]]</f>
        <v>#VALUE!</v>
      </c>
      <c r="S4931" s="88">
        <f>-IF(Tabla14[[#This Row],[DIAS HABILES O MORA]]&lt;0,(Tabla14[[#This Row],[VALOR PRESTAMO]]*Tabla14[[#This Row],[% INTERES ]]/30*U4931))</f>
        <v>0</v>
      </c>
      <c r="T4931" s="53" t="e">
        <f>Tabla14[[#This Row],[DEUDA CAPITAL]]+Tabla14[[#This Row],[INTERES  CUOTA]]</f>
        <v>#NUM!</v>
      </c>
      <c r="U4931" s="61" t="str">
        <f t="shared" si="779"/>
        <v/>
      </c>
    </row>
    <row r="4932" spans="9:21" ht="24.75" customHeight="1" x14ac:dyDescent="0.35">
      <c r="I4932" s="42">
        <f t="shared" si="770"/>
        <v>0</v>
      </c>
      <c r="J4932" s="65" t="e">
        <f t="shared" si="771"/>
        <v>#NUM!</v>
      </c>
      <c r="K4932" s="83" t="e">
        <f t="shared" si="772"/>
        <v>#NUM!</v>
      </c>
      <c r="L4932" s="83">
        <f t="shared" si="773"/>
        <v>0</v>
      </c>
      <c r="M4932" s="110" t="str">
        <f t="shared" si="774"/>
        <v/>
      </c>
      <c r="N4932" s="51" t="str">
        <f t="shared" si="775"/>
        <v/>
      </c>
      <c r="O4932" s="52" t="str">
        <f t="shared" si="776"/>
        <v/>
      </c>
      <c r="P4932" s="88">
        <f t="shared" si="777"/>
        <v>0</v>
      </c>
      <c r="Q4932" s="88">
        <f t="shared" si="778"/>
        <v>0</v>
      </c>
      <c r="R4932" s="88" t="e">
        <f>-IF(Tabla14[[#This Row],[DIAS HABILES O MORA]]&lt;0,(Tabla14[[#This Row],[VALOR PRESTAMO]]*Tabla14[[#This Row],[% INTERES ]]/30*U4932))+Tabla14[[#This Row],[VALOR CUOTAS]]</f>
        <v>#VALUE!</v>
      </c>
      <c r="S4932" s="88">
        <f>-IF(Tabla14[[#This Row],[DIAS HABILES O MORA]]&lt;0,(Tabla14[[#This Row],[VALOR PRESTAMO]]*Tabla14[[#This Row],[% INTERES ]]/30*U4932))</f>
        <v>0</v>
      </c>
      <c r="T4932" s="53" t="e">
        <f>Tabla14[[#This Row],[DEUDA CAPITAL]]+Tabla14[[#This Row],[INTERES  CUOTA]]</f>
        <v>#NUM!</v>
      </c>
      <c r="U4932" s="61" t="str">
        <f t="shared" si="779"/>
        <v/>
      </c>
    </row>
    <row r="4933" spans="9:21" ht="24.75" customHeight="1" x14ac:dyDescent="0.35">
      <c r="I4933" s="42">
        <f t="shared" si="770"/>
        <v>0</v>
      </c>
      <c r="J4933" s="65" t="e">
        <f t="shared" si="771"/>
        <v>#NUM!</v>
      </c>
      <c r="K4933" s="83" t="e">
        <f t="shared" si="772"/>
        <v>#NUM!</v>
      </c>
      <c r="L4933" s="83">
        <f t="shared" si="773"/>
        <v>0</v>
      </c>
      <c r="M4933" s="110" t="str">
        <f t="shared" si="774"/>
        <v/>
      </c>
      <c r="N4933" s="51" t="str">
        <f t="shared" si="775"/>
        <v/>
      </c>
      <c r="O4933" s="52" t="str">
        <f t="shared" si="776"/>
        <v/>
      </c>
      <c r="P4933" s="88">
        <f t="shared" si="777"/>
        <v>0</v>
      </c>
      <c r="Q4933" s="88">
        <f t="shared" si="778"/>
        <v>0</v>
      </c>
      <c r="R4933" s="88" t="e">
        <f>-IF(Tabla14[[#This Row],[DIAS HABILES O MORA]]&lt;0,(Tabla14[[#This Row],[VALOR PRESTAMO]]*Tabla14[[#This Row],[% INTERES ]]/30*U4933))+Tabla14[[#This Row],[VALOR CUOTAS]]</f>
        <v>#VALUE!</v>
      </c>
      <c r="S4933" s="88">
        <f>-IF(Tabla14[[#This Row],[DIAS HABILES O MORA]]&lt;0,(Tabla14[[#This Row],[VALOR PRESTAMO]]*Tabla14[[#This Row],[% INTERES ]]/30*U4933))</f>
        <v>0</v>
      </c>
      <c r="T4933" s="53" t="e">
        <f>Tabla14[[#This Row],[DEUDA CAPITAL]]+Tabla14[[#This Row],[INTERES  CUOTA]]</f>
        <v>#NUM!</v>
      </c>
      <c r="U4933" s="61" t="str">
        <f t="shared" si="779"/>
        <v/>
      </c>
    </row>
    <row r="4934" spans="9:21" ht="24.75" customHeight="1" x14ac:dyDescent="0.35">
      <c r="I4934" s="42">
        <f t="shared" si="770"/>
        <v>0</v>
      </c>
      <c r="J4934" s="65" t="e">
        <f t="shared" si="771"/>
        <v>#NUM!</v>
      </c>
      <c r="K4934" s="83" t="e">
        <f t="shared" si="772"/>
        <v>#NUM!</v>
      </c>
      <c r="L4934" s="83">
        <f t="shared" si="773"/>
        <v>0</v>
      </c>
      <c r="M4934" s="110" t="str">
        <f t="shared" si="774"/>
        <v/>
      </c>
      <c r="N4934" s="51" t="str">
        <f t="shared" si="775"/>
        <v/>
      </c>
      <c r="O4934" s="52" t="str">
        <f t="shared" si="776"/>
        <v/>
      </c>
      <c r="P4934" s="88">
        <f t="shared" si="777"/>
        <v>0</v>
      </c>
      <c r="Q4934" s="88">
        <f t="shared" si="778"/>
        <v>0</v>
      </c>
      <c r="R4934" s="88" t="e">
        <f>-IF(Tabla14[[#This Row],[DIAS HABILES O MORA]]&lt;0,(Tabla14[[#This Row],[VALOR PRESTAMO]]*Tabla14[[#This Row],[% INTERES ]]/30*U4934))+Tabla14[[#This Row],[VALOR CUOTAS]]</f>
        <v>#VALUE!</v>
      </c>
      <c r="S4934" s="88">
        <f>-IF(Tabla14[[#This Row],[DIAS HABILES O MORA]]&lt;0,(Tabla14[[#This Row],[VALOR PRESTAMO]]*Tabla14[[#This Row],[% INTERES ]]/30*U4934))</f>
        <v>0</v>
      </c>
      <c r="T4934" s="53" t="e">
        <f>Tabla14[[#This Row],[DEUDA CAPITAL]]+Tabla14[[#This Row],[INTERES  CUOTA]]</f>
        <v>#NUM!</v>
      </c>
      <c r="U4934" s="61" t="str">
        <f t="shared" si="779"/>
        <v/>
      </c>
    </row>
    <row r="4935" spans="9:21" ht="24.75" customHeight="1" x14ac:dyDescent="0.35">
      <c r="I4935" s="42">
        <f t="shared" si="770"/>
        <v>0</v>
      </c>
      <c r="J4935" s="65" t="e">
        <f t="shared" si="771"/>
        <v>#NUM!</v>
      </c>
      <c r="K4935" s="83" t="e">
        <f t="shared" si="772"/>
        <v>#NUM!</v>
      </c>
      <c r="L4935" s="83">
        <f t="shared" si="773"/>
        <v>0</v>
      </c>
      <c r="M4935" s="110" t="str">
        <f t="shared" si="774"/>
        <v/>
      </c>
      <c r="N4935" s="51" t="str">
        <f t="shared" si="775"/>
        <v/>
      </c>
      <c r="O4935" s="52" t="str">
        <f t="shared" si="776"/>
        <v/>
      </c>
      <c r="P4935" s="88">
        <f t="shared" si="777"/>
        <v>0</v>
      </c>
      <c r="Q4935" s="88">
        <f t="shared" si="778"/>
        <v>0</v>
      </c>
      <c r="R4935" s="88" t="e">
        <f>-IF(Tabla14[[#This Row],[DIAS HABILES O MORA]]&lt;0,(Tabla14[[#This Row],[VALOR PRESTAMO]]*Tabla14[[#This Row],[% INTERES ]]/30*U4935))+Tabla14[[#This Row],[VALOR CUOTAS]]</f>
        <v>#VALUE!</v>
      </c>
      <c r="S4935" s="88">
        <f>-IF(Tabla14[[#This Row],[DIAS HABILES O MORA]]&lt;0,(Tabla14[[#This Row],[VALOR PRESTAMO]]*Tabla14[[#This Row],[% INTERES ]]/30*U4935))</f>
        <v>0</v>
      </c>
      <c r="T4935" s="53" t="e">
        <f>Tabla14[[#This Row],[DEUDA CAPITAL]]+Tabla14[[#This Row],[INTERES  CUOTA]]</f>
        <v>#NUM!</v>
      </c>
      <c r="U4935" s="61" t="str">
        <f t="shared" si="779"/>
        <v/>
      </c>
    </row>
    <row r="4936" spans="9:21" ht="24.75" customHeight="1" x14ac:dyDescent="0.35">
      <c r="I4936" s="42">
        <f t="shared" si="770"/>
        <v>0</v>
      </c>
      <c r="J4936" s="65" t="e">
        <f t="shared" si="771"/>
        <v>#NUM!</v>
      </c>
      <c r="K4936" s="83" t="e">
        <f t="shared" si="772"/>
        <v>#NUM!</v>
      </c>
      <c r="L4936" s="83">
        <f t="shared" si="773"/>
        <v>0</v>
      </c>
      <c r="M4936" s="110" t="str">
        <f t="shared" si="774"/>
        <v/>
      </c>
      <c r="N4936" s="51" t="str">
        <f t="shared" si="775"/>
        <v/>
      </c>
      <c r="O4936" s="52" t="str">
        <f t="shared" si="776"/>
        <v/>
      </c>
      <c r="P4936" s="88">
        <f t="shared" si="777"/>
        <v>0</v>
      </c>
      <c r="Q4936" s="88">
        <f t="shared" si="778"/>
        <v>0</v>
      </c>
      <c r="R4936" s="88" t="e">
        <f>-IF(Tabla14[[#This Row],[DIAS HABILES O MORA]]&lt;0,(Tabla14[[#This Row],[VALOR PRESTAMO]]*Tabla14[[#This Row],[% INTERES ]]/30*U4936))+Tabla14[[#This Row],[VALOR CUOTAS]]</f>
        <v>#VALUE!</v>
      </c>
      <c r="S4936" s="88">
        <f>-IF(Tabla14[[#This Row],[DIAS HABILES O MORA]]&lt;0,(Tabla14[[#This Row],[VALOR PRESTAMO]]*Tabla14[[#This Row],[% INTERES ]]/30*U4936))</f>
        <v>0</v>
      </c>
      <c r="T4936" s="53" t="e">
        <f>Tabla14[[#This Row],[DEUDA CAPITAL]]+Tabla14[[#This Row],[INTERES  CUOTA]]</f>
        <v>#NUM!</v>
      </c>
      <c r="U4936" s="61" t="str">
        <f t="shared" si="779"/>
        <v/>
      </c>
    </row>
    <row r="4937" spans="9:21" ht="24.75" customHeight="1" x14ac:dyDescent="0.35">
      <c r="I4937" s="42">
        <f t="shared" si="770"/>
        <v>0</v>
      </c>
      <c r="J4937" s="65" t="e">
        <f t="shared" si="771"/>
        <v>#NUM!</v>
      </c>
      <c r="K4937" s="83" t="e">
        <f t="shared" si="772"/>
        <v>#NUM!</v>
      </c>
      <c r="L4937" s="83">
        <f t="shared" si="773"/>
        <v>0</v>
      </c>
      <c r="M4937" s="110" t="str">
        <f t="shared" si="774"/>
        <v/>
      </c>
      <c r="N4937" s="51" t="str">
        <f t="shared" si="775"/>
        <v/>
      </c>
      <c r="O4937" s="52" t="str">
        <f t="shared" si="776"/>
        <v/>
      </c>
      <c r="P4937" s="88">
        <f t="shared" si="777"/>
        <v>0</v>
      </c>
      <c r="Q4937" s="88">
        <f t="shared" si="778"/>
        <v>0</v>
      </c>
      <c r="R4937" s="88" t="e">
        <f>-IF(Tabla14[[#This Row],[DIAS HABILES O MORA]]&lt;0,(Tabla14[[#This Row],[VALOR PRESTAMO]]*Tabla14[[#This Row],[% INTERES ]]/30*U4937))+Tabla14[[#This Row],[VALOR CUOTAS]]</f>
        <v>#VALUE!</v>
      </c>
      <c r="S4937" s="88">
        <f>-IF(Tabla14[[#This Row],[DIAS HABILES O MORA]]&lt;0,(Tabla14[[#This Row],[VALOR PRESTAMO]]*Tabla14[[#This Row],[% INTERES ]]/30*U4937))</f>
        <v>0</v>
      </c>
      <c r="T4937" s="53" t="e">
        <f>Tabla14[[#This Row],[DEUDA CAPITAL]]+Tabla14[[#This Row],[INTERES  CUOTA]]</f>
        <v>#NUM!</v>
      </c>
      <c r="U4937" s="61" t="str">
        <f t="shared" si="779"/>
        <v/>
      </c>
    </row>
    <row r="4938" spans="9:21" ht="24.75" customHeight="1" x14ac:dyDescent="0.35">
      <c r="I4938" s="42">
        <f t="shared" si="770"/>
        <v>0</v>
      </c>
      <c r="J4938" s="65" t="e">
        <f t="shared" si="771"/>
        <v>#NUM!</v>
      </c>
      <c r="K4938" s="83" t="e">
        <f t="shared" si="772"/>
        <v>#NUM!</v>
      </c>
      <c r="L4938" s="83">
        <f t="shared" si="773"/>
        <v>0</v>
      </c>
      <c r="M4938" s="110" t="str">
        <f t="shared" si="774"/>
        <v/>
      </c>
      <c r="N4938" s="51" t="str">
        <f t="shared" si="775"/>
        <v/>
      </c>
      <c r="O4938" s="52" t="str">
        <f t="shared" si="776"/>
        <v/>
      </c>
      <c r="P4938" s="88">
        <f t="shared" si="777"/>
        <v>0</v>
      </c>
      <c r="Q4938" s="88">
        <f t="shared" si="778"/>
        <v>0</v>
      </c>
      <c r="R4938" s="88" t="e">
        <f>-IF(Tabla14[[#This Row],[DIAS HABILES O MORA]]&lt;0,(Tabla14[[#This Row],[VALOR PRESTAMO]]*Tabla14[[#This Row],[% INTERES ]]/30*U4938))+Tabla14[[#This Row],[VALOR CUOTAS]]</f>
        <v>#VALUE!</v>
      </c>
      <c r="S4938" s="88">
        <f>-IF(Tabla14[[#This Row],[DIAS HABILES O MORA]]&lt;0,(Tabla14[[#This Row],[VALOR PRESTAMO]]*Tabla14[[#This Row],[% INTERES ]]/30*U4938))</f>
        <v>0</v>
      </c>
      <c r="T4938" s="53" t="e">
        <f>Tabla14[[#This Row],[DEUDA CAPITAL]]+Tabla14[[#This Row],[INTERES  CUOTA]]</f>
        <v>#NUM!</v>
      </c>
      <c r="U4938" s="61" t="str">
        <f t="shared" si="779"/>
        <v/>
      </c>
    </row>
    <row r="4939" spans="9:21" ht="24.75" customHeight="1" x14ac:dyDescent="0.35">
      <c r="I4939" s="42">
        <f t="shared" si="770"/>
        <v>0</v>
      </c>
      <c r="J4939" s="65" t="e">
        <f t="shared" si="771"/>
        <v>#NUM!</v>
      </c>
      <c r="K4939" s="83" t="e">
        <f t="shared" si="772"/>
        <v>#NUM!</v>
      </c>
      <c r="L4939" s="83">
        <f t="shared" si="773"/>
        <v>0</v>
      </c>
      <c r="M4939" s="110" t="str">
        <f t="shared" si="774"/>
        <v/>
      </c>
      <c r="N4939" s="51" t="str">
        <f t="shared" si="775"/>
        <v/>
      </c>
      <c r="O4939" s="52" t="str">
        <f t="shared" si="776"/>
        <v/>
      </c>
      <c r="P4939" s="88">
        <f t="shared" si="777"/>
        <v>0</v>
      </c>
      <c r="Q4939" s="88">
        <f t="shared" si="778"/>
        <v>0</v>
      </c>
      <c r="R4939" s="88" t="e">
        <f>-IF(Tabla14[[#This Row],[DIAS HABILES O MORA]]&lt;0,(Tabla14[[#This Row],[VALOR PRESTAMO]]*Tabla14[[#This Row],[% INTERES ]]/30*U4939))+Tabla14[[#This Row],[VALOR CUOTAS]]</f>
        <v>#VALUE!</v>
      </c>
      <c r="S4939" s="88">
        <f>-IF(Tabla14[[#This Row],[DIAS HABILES O MORA]]&lt;0,(Tabla14[[#This Row],[VALOR PRESTAMO]]*Tabla14[[#This Row],[% INTERES ]]/30*U4939))</f>
        <v>0</v>
      </c>
      <c r="T4939" s="53" t="e">
        <f>Tabla14[[#This Row],[DEUDA CAPITAL]]+Tabla14[[#This Row],[INTERES  CUOTA]]</f>
        <v>#NUM!</v>
      </c>
      <c r="U4939" s="61" t="str">
        <f t="shared" si="779"/>
        <v/>
      </c>
    </row>
    <row r="4940" spans="9:21" ht="24.75" customHeight="1" x14ac:dyDescent="0.35">
      <c r="I4940" s="42">
        <f t="shared" si="770"/>
        <v>0</v>
      </c>
      <c r="J4940" s="65" t="e">
        <f t="shared" si="771"/>
        <v>#NUM!</v>
      </c>
      <c r="K4940" s="83" t="e">
        <f t="shared" si="772"/>
        <v>#NUM!</v>
      </c>
      <c r="L4940" s="83">
        <f t="shared" si="773"/>
        <v>0</v>
      </c>
      <c r="M4940" s="110" t="str">
        <f t="shared" si="774"/>
        <v/>
      </c>
      <c r="N4940" s="51" t="str">
        <f t="shared" si="775"/>
        <v/>
      </c>
      <c r="O4940" s="52" t="str">
        <f t="shared" si="776"/>
        <v/>
      </c>
      <c r="P4940" s="88">
        <f t="shared" si="777"/>
        <v>0</v>
      </c>
      <c r="Q4940" s="88">
        <f t="shared" si="778"/>
        <v>0</v>
      </c>
      <c r="R4940" s="88" t="e">
        <f>-IF(Tabla14[[#This Row],[DIAS HABILES O MORA]]&lt;0,(Tabla14[[#This Row],[VALOR PRESTAMO]]*Tabla14[[#This Row],[% INTERES ]]/30*U4940))+Tabla14[[#This Row],[VALOR CUOTAS]]</f>
        <v>#VALUE!</v>
      </c>
      <c r="S4940" s="88">
        <f>-IF(Tabla14[[#This Row],[DIAS HABILES O MORA]]&lt;0,(Tabla14[[#This Row],[VALOR PRESTAMO]]*Tabla14[[#This Row],[% INTERES ]]/30*U4940))</f>
        <v>0</v>
      </c>
      <c r="T4940" s="53" t="e">
        <f>Tabla14[[#This Row],[DEUDA CAPITAL]]+Tabla14[[#This Row],[INTERES  CUOTA]]</f>
        <v>#NUM!</v>
      </c>
      <c r="U4940" s="61" t="str">
        <f t="shared" si="779"/>
        <v/>
      </c>
    </row>
    <row r="4941" spans="9:21" ht="24.75" customHeight="1" x14ac:dyDescent="0.35">
      <c r="I4941" s="42">
        <f t="shared" si="770"/>
        <v>0</v>
      </c>
      <c r="J4941" s="65" t="e">
        <f t="shared" si="771"/>
        <v>#NUM!</v>
      </c>
      <c r="K4941" s="83" t="e">
        <f t="shared" si="772"/>
        <v>#NUM!</v>
      </c>
      <c r="L4941" s="83">
        <f t="shared" si="773"/>
        <v>0</v>
      </c>
      <c r="M4941" s="110" t="str">
        <f t="shared" si="774"/>
        <v/>
      </c>
      <c r="N4941" s="51" t="str">
        <f t="shared" si="775"/>
        <v/>
      </c>
      <c r="O4941" s="52" t="str">
        <f t="shared" si="776"/>
        <v/>
      </c>
      <c r="P4941" s="88">
        <f t="shared" si="777"/>
        <v>0</v>
      </c>
      <c r="Q4941" s="88">
        <f t="shared" si="778"/>
        <v>0</v>
      </c>
      <c r="R4941" s="88" t="e">
        <f>-IF(Tabla14[[#This Row],[DIAS HABILES O MORA]]&lt;0,(Tabla14[[#This Row],[VALOR PRESTAMO]]*Tabla14[[#This Row],[% INTERES ]]/30*U4941))+Tabla14[[#This Row],[VALOR CUOTAS]]</f>
        <v>#VALUE!</v>
      </c>
      <c r="S4941" s="88">
        <f>-IF(Tabla14[[#This Row],[DIAS HABILES O MORA]]&lt;0,(Tabla14[[#This Row],[VALOR PRESTAMO]]*Tabla14[[#This Row],[% INTERES ]]/30*U4941))</f>
        <v>0</v>
      </c>
      <c r="T4941" s="53" t="e">
        <f>Tabla14[[#This Row],[DEUDA CAPITAL]]+Tabla14[[#This Row],[INTERES  CUOTA]]</f>
        <v>#NUM!</v>
      </c>
      <c r="U4941" s="61" t="str">
        <f t="shared" si="779"/>
        <v/>
      </c>
    </row>
    <row r="4942" spans="9:21" ht="24.75" customHeight="1" x14ac:dyDescent="0.35">
      <c r="I4942" s="42">
        <f t="shared" si="770"/>
        <v>0</v>
      </c>
      <c r="J4942" s="65" t="e">
        <f t="shared" si="771"/>
        <v>#NUM!</v>
      </c>
      <c r="K4942" s="83" t="e">
        <f t="shared" si="772"/>
        <v>#NUM!</v>
      </c>
      <c r="L4942" s="83">
        <f t="shared" si="773"/>
        <v>0</v>
      </c>
      <c r="M4942" s="110" t="str">
        <f t="shared" si="774"/>
        <v/>
      </c>
      <c r="N4942" s="51" t="str">
        <f t="shared" si="775"/>
        <v/>
      </c>
      <c r="O4942" s="52" t="str">
        <f t="shared" si="776"/>
        <v/>
      </c>
      <c r="P4942" s="88">
        <f t="shared" si="777"/>
        <v>0</v>
      </c>
      <c r="Q4942" s="88">
        <f t="shared" si="778"/>
        <v>0</v>
      </c>
      <c r="R4942" s="88" t="e">
        <f>-IF(Tabla14[[#This Row],[DIAS HABILES O MORA]]&lt;0,(Tabla14[[#This Row],[VALOR PRESTAMO]]*Tabla14[[#This Row],[% INTERES ]]/30*U4942))+Tabla14[[#This Row],[VALOR CUOTAS]]</f>
        <v>#VALUE!</v>
      </c>
      <c r="S4942" s="88">
        <f>-IF(Tabla14[[#This Row],[DIAS HABILES O MORA]]&lt;0,(Tabla14[[#This Row],[VALOR PRESTAMO]]*Tabla14[[#This Row],[% INTERES ]]/30*U4942))</f>
        <v>0</v>
      </c>
      <c r="T4942" s="53" t="e">
        <f>Tabla14[[#This Row],[DEUDA CAPITAL]]+Tabla14[[#This Row],[INTERES  CUOTA]]</f>
        <v>#NUM!</v>
      </c>
      <c r="U4942" s="61" t="str">
        <f t="shared" si="779"/>
        <v/>
      </c>
    </row>
    <row r="4943" spans="9:21" ht="24.75" customHeight="1" x14ac:dyDescent="0.35">
      <c r="I4943" s="42">
        <f t="shared" si="770"/>
        <v>0</v>
      </c>
      <c r="J4943" s="65" t="e">
        <f t="shared" si="771"/>
        <v>#NUM!</v>
      </c>
      <c r="K4943" s="83" t="e">
        <f t="shared" si="772"/>
        <v>#NUM!</v>
      </c>
      <c r="L4943" s="83">
        <f t="shared" si="773"/>
        <v>0</v>
      </c>
      <c r="M4943" s="110" t="str">
        <f t="shared" si="774"/>
        <v/>
      </c>
      <c r="N4943" s="51" t="str">
        <f t="shared" si="775"/>
        <v/>
      </c>
      <c r="O4943" s="52" t="str">
        <f t="shared" si="776"/>
        <v/>
      </c>
      <c r="P4943" s="88">
        <f t="shared" si="777"/>
        <v>0</v>
      </c>
      <c r="Q4943" s="88">
        <f t="shared" si="778"/>
        <v>0</v>
      </c>
      <c r="R4943" s="88" t="e">
        <f>-IF(Tabla14[[#This Row],[DIAS HABILES O MORA]]&lt;0,(Tabla14[[#This Row],[VALOR PRESTAMO]]*Tabla14[[#This Row],[% INTERES ]]/30*U4943))+Tabla14[[#This Row],[VALOR CUOTAS]]</f>
        <v>#VALUE!</v>
      </c>
      <c r="S4943" s="88">
        <f>-IF(Tabla14[[#This Row],[DIAS HABILES O MORA]]&lt;0,(Tabla14[[#This Row],[VALOR PRESTAMO]]*Tabla14[[#This Row],[% INTERES ]]/30*U4943))</f>
        <v>0</v>
      </c>
      <c r="T4943" s="53" t="e">
        <f>Tabla14[[#This Row],[DEUDA CAPITAL]]+Tabla14[[#This Row],[INTERES  CUOTA]]</f>
        <v>#NUM!</v>
      </c>
      <c r="U4943" s="61" t="str">
        <f t="shared" si="779"/>
        <v/>
      </c>
    </row>
    <row r="4944" spans="9:21" ht="24.75" customHeight="1" x14ac:dyDescent="0.35">
      <c r="I4944" s="42">
        <f t="shared" ref="I4944:I5007" si="780">IF(C4944&lt;0,"",IF(Q4944=0,0,IF(G4944=0,H4944+1,IF(H4944&lt;G4944,H4944+1,IF(G4944=H4944,0)))))</f>
        <v>0</v>
      </c>
      <c r="J4944" s="65" t="e">
        <f t="shared" ref="J4944:J5007" si="781">IF(F4944="SOLO INTERES",Q4944*D4944,-IPMT(D4944,I4944,G4944,C4944))</f>
        <v>#NUM!</v>
      </c>
      <c r="K4944" s="83" t="e">
        <f t="shared" ref="K4944:K5007" si="782">IF(F4944="SOLO INTERES",0,-PPMT(D4944,I4944,G4944,C4944))</f>
        <v>#NUM!</v>
      </c>
      <c r="L4944" s="83">
        <f t="shared" ref="L4944:L5007" si="783">IF(F4944="SOLO INTERES",SUM(Y4944:AAE4944),IFERROR(-CUMIPMT(D4944,G4944,C4944,1,H4944,0),0)+SUM(Y4944:WY4944))</f>
        <v>0</v>
      </c>
      <c r="M4944" s="110" t="str">
        <f t="shared" ref="M4944:M5007" si="784">IFERROR(IF(F4944="SOLO INTERES",Q4944*D4944,-PMT(D4944,G4944,C4944,0)),"")</f>
        <v/>
      </c>
      <c r="N4944" s="51" t="str">
        <f t="shared" ref="N4944:N5007" si="785">IF(Q4944=0,"",IF(E4944="MENSUAL",EDATE(B4944,I4944),IF(E4944="QUINCENAL",B4944+(I4944*15),IF(E4944="SEMANAL",B4944+(I4944*7)))))</f>
        <v/>
      </c>
      <c r="O4944" s="52" t="str">
        <f t="shared" ref="O4944:O5007" si="786">IF(C4944=0,"",IF(Q4944&lt;1,"PAGADO",IF(N4944=$A$3,"COBRAR HOY",IF(N4944&lt;$A$3,"EN MORA",IF(N4944&gt;$A$3,"AL DIA")))))</f>
        <v/>
      </c>
      <c r="P4944" s="88">
        <f t="shared" ref="P4944:P5007" si="787">IFERROR(-CUMPRINC(D4944,G4944,C4944,1,H4944,0),0)+W4944</f>
        <v>0</v>
      </c>
      <c r="Q4944" s="88">
        <f t="shared" ref="Q4944:Q5007" si="788">IFERROR(C4944-P4944,"")</f>
        <v>0</v>
      </c>
      <c r="R4944" s="88" t="e">
        <f>-IF(Tabla14[[#This Row],[DIAS HABILES O MORA]]&lt;0,(Tabla14[[#This Row],[VALOR PRESTAMO]]*Tabla14[[#This Row],[% INTERES ]]/30*U4944))+Tabla14[[#This Row],[VALOR CUOTAS]]</f>
        <v>#VALUE!</v>
      </c>
      <c r="S4944" s="88">
        <f>-IF(Tabla14[[#This Row],[DIAS HABILES O MORA]]&lt;0,(Tabla14[[#This Row],[VALOR PRESTAMO]]*Tabla14[[#This Row],[% INTERES ]]/30*U4944))</f>
        <v>0</v>
      </c>
      <c r="T4944" s="53" t="e">
        <f>Tabla14[[#This Row],[DEUDA CAPITAL]]+Tabla14[[#This Row],[INTERES  CUOTA]]</f>
        <v>#NUM!</v>
      </c>
      <c r="U4944" s="61" t="str">
        <f t="shared" ref="U4944:U5007" si="789">IF(O4944="PAGADO","",IFERROR(-IF(C4944=0,"",$A$3-N4944),""))</f>
        <v/>
      </c>
    </row>
    <row r="4945" spans="9:21" ht="24.75" customHeight="1" x14ac:dyDescent="0.35">
      <c r="I4945" s="42">
        <f t="shared" si="780"/>
        <v>0</v>
      </c>
      <c r="J4945" s="65" t="e">
        <f t="shared" si="781"/>
        <v>#NUM!</v>
      </c>
      <c r="K4945" s="83" t="e">
        <f t="shared" si="782"/>
        <v>#NUM!</v>
      </c>
      <c r="L4945" s="83">
        <f t="shared" si="783"/>
        <v>0</v>
      </c>
      <c r="M4945" s="110" t="str">
        <f t="shared" si="784"/>
        <v/>
      </c>
      <c r="N4945" s="51" t="str">
        <f t="shared" si="785"/>
        <v/>
      </c>
      <c r="O4945" s="52" t="str">
        <f t="shared" si="786"/>
        <v/>
      </c>
      <c r="P4945" s="88">
        <f t="shared" si="787"/>
        <v>0</v>
      </c>
      <c r="Q4945" s="88">
        <f t="shared" si="788"/>
        <v>0</v>
      </c>
      <c r="R4945" s="88" t="e">
        <f>-IF(Tabla14[[#This Row],[DIAS HABILES O MORA]]&lt;0,(Tabla14[[#This Row],[VALOR PRESTAMO]]*Tabla14[[#This Row],[% INTERES ]]/30*U4945))+Tabla14[[#This Row],[VALOR CUOTAS]]</f>
        <v>#VALUE!</v>
      </c>
      <c r="S4945" s="88">
        <f>-IF(Tabla14[[#This Row],[DIAS HABILES O MORA]]&lt;0,(Tabla14[[#This Row],[VALOR PRESTAMO]]*Tabla14[[#This Row],[% INTERES ]]/30*U4945))</f>
        <v>0</v>
      </c>
      <c r="T4945" s="53" t="e">
        <f>Tabla14[[#This Row],[DEUDA CAPITAL]]+Tabla14[[#This Row],[INTERES  CUOTA]]</f>
        <v>#NUM!</v>
      </c>
      <c r="U4945" s="61" t="str">
        <f t="shared" si="789"/>
        <v/>
      </c>
    </row>
    <row r="4946" spans="9:21" ht="24.75" customHeight="1" x14ac:dyDescent="0.35">
      <c r="I4946" s="42">
        <f t="shared" si="780"/>
        <v>0</v>
      </c>
      <c r="J4946" s="65" t="e">
        <f t="shared" si="781"/>
        <v>#NUM!</v>
      </c>
      <c r="K4946" s="83" t="e">
        <f t="shared" si="782"/>
        <v>#NUM!</v>
      </c>
      <c r="L4946" s="83">
        <f t="shared" si="783"/>
        <v>0</v>
      </c>
      <c r="M4946" s="110" t="str">
        <f t="shared" si="784"/>
        <v/>
      </c>
      <c r="N4946" s="51" t="str">
        <f t="shared" si="785"/>
        <v/>
      </c>
      <c r="O4946" s="52" t="str">
        <f t="shared" si="786"/>
        <v/>
      </c>
      <c r="P4946" s="88">
        <f t="shared" si="787"/>
        <v>0</v>
      </c>
      <c r="Q4946" s="88">
        <f t="shared" si="788"/>
        <v>0</v>
      </c>
      <c r="R4946" s="88" t="e">
        <f>-IF(Tabla14[[#This Row],[DIAS HABILES O MORA]]&lt;0,(Tabla14[[#This Row],[VALOR PRESTAMO]]*Tabla14[[#This Row],[% INTERES ]]/30*U4946))+Tabla14[[#This Row],[VALOR CUOTAS]]</f>
        <v>#VALUE!</v>
      </c>
      <c r="S4946" s="88">
        <f>-IF(Tabla14[[#This Row],[DIAS HABILES O MORA]]&lt;0,(Tabla14[[#This Row],[VALOR PRESTAMO]]*Tabla14[[#This Row],[% INTERES ]]/30*U4946))</f>
        <v>0</v>
      </c>
      <c r="T4946" s="53" t="e">
        <f>Tabla14[[#This Row],[DEUDA CAPITAL]]+Tabla14[[#This Row],[INTERES  CUOTA]]</f>
        <v>#NUM!</v>
      </c>
      <c r="U4946" s="61" t="str">
        <f t="shared" si="789"/>
        <v/>
      </c>
    </row>
    <row r="4947" spans="9:21" ht="24.75" customHeight="1" x14ac:dyDescent="0.35">
      <c r="I4947" s="42">
        <f t="shared" si="780"/>
        <v>0</v>
      </c>
      <c r="J4947" s="65" t="e">
        <f t="shared" si="781"/>
        <v>#NUM!</v>
      </c>
      <c r="K4947" s="83" t="e">
        <f t="shared" si="782"/>
        <v>#NUM!</v>
      </c>
      <c r="L4947" s="83">
        <f t="shared" si="783"/>
        <v>0</v>
      </c>
      <c r="M4947" s="110" t="str">
        <f t="shared" si="784"/>
        <v/>
      </c>
      <c r="N4947" s="51" t="str">
        <f t="shared" si="785"/>
        <v/>
      </c>
      <c r="O4947" s="52" t="str">
        <f t="shared" si="786"/>
        <v/>
      </c>
      <c r="P4947" s="88">
        <f t="shared" si="787"/>
        <v>0</v>
      </c>
      <c r="Q4947" s="88">
        <f t="shared" si="788"/>
        <v>0</v>
      </c>
      <c r="R4947" s="88" t="e">
        <f>-IF(Tabla14[[#This Row],[DIAS HABILES O MORA]]&lt;0,(Tabla14[[#This Row],[VALOR PRESTAMO]]*Tabla14[[#This Row],[% INTERES ]]/30*U4947))+Tabla14[[#This Row],[VALOR CUOTAS]]</f>
        <v>#VALUE!</v>
      </c>
      <c r="S4947" s="88">
        <f>-IF(Tabla14[[#This Row],[DIAS HABILES O MORA]]&lt;0,(Tabla14[[#This Row],[VALOR PRESTAMO]]*Tabla14[[#This Row],[% INTERES ]]/30*U4947))</f>
        <v>0</v>
      </c>
      <c r="T4947" s="53" t="e">
        <f>Tabla14[[#This Row],[DEUDA CAPITAL]]+Tabla14[[#This Row],[INTERES  CUOTA]]</f>
        <v>#NUM!</v>
      </c>
      <c r="U4947" s="61" t="str">
        <f t="shared" si="789"/>
        <v/>
      </c>
    </row>
    <row r="4948" spans="9:21" ht="24.75" customHeight="1" x14ac:dyDescent="0.35">
      <c r="I4948" s="42">
        <f t="shared" si="780"/>
        <v>0</v>
      </c>
      <c r="J4948" s="65" t="e">
        <f t="shared" si="781"/>
        <v>#NUM!</v>
      </c>
      <c r="K4948" s="83" t="e">
        <f t="shared" si="782"/>
        <v>#NUM!</v>
      </c>
      <c r="L4948" s="83">
        <f t="shared" si="783"/>
        <v>0</v>
      </c>
      <c r="M4948" s="110" t="str">
        <f t="shared" si="784"/>
        <v/>
      </c>
      <c r="N4948" s="51" t="str">
        <f t="shared" si="785"/>
        <v/>
      </c>
      <c r="O4948" s="52" t="str">
        <f t="shared" si="786"/>
        <v/>
      </c>
      <c r="P4948" s="88">
        <f t="shared" si="787"/>
        <v>0</v>
      </c>
      <c r="Q4948" s="88">
        <f t="shared" si="788"/>
        <v>0</v>
      </c>
      <c r="R4948" s="88" t="e">
        <f>-IF(Tabla14[[#This Row],[DIAS HABILES O MORA]]&lt;0,(Tabla14[[#This Row],[VALOR PRESTAMO]]*Tabla14[[#This Row],[% INTERES ]]/30*U4948))+Tabla14[[#This Row],[VALOR CUOTAS]]</f>
        <v>#VALUE!</v>
      </c>
      <c r="S4948" s="88">
        <f>-IF(Tabla14[[#This Row],[DIAS HABILES O MORA]]&lt;0,(Tabla14[[#This Row],[VALOR PRESTAMO]]*Tabla14[[#This Row],[% INTERES ]]/30*U4948))</f>
        <v>0</v>
      </c>
      <c r="T4948" s="53" t="e">
        <f>Tabla14[[#This Row],[DEUDA CAPITAL]]+Tabla14[[#This Row],[INTERES  CUOTA]]</f>
        <v>#NUM!</v>
      </c>
      <c r="U4948" s="61" t="str">
        <f t="shared" si="789"/>
        <v/>
      </c>
    </row>
    <row r="4949" spans="9:21" ht="24.75" customHeight="1" x14ac:dyDescent="0.35">
      <c r="I4949" s="42">
        <f t="shared" si="780"/>
        <v>0</v>
      </c>
      <c r="J4949" s="65" t="e">
        <f t="shared" si="781"/>
        <v>#NUM!</v>
      </c>
      <c r="K4949" s="83" t="e">
        <f t="shared" si="782"/>
        <v>#NUM!</v>
      </c>
      <c r="L4949" s="83">
        <f t="shared" si="783"/>
        <v>0</v>
      </c>
      <c r="M4949" s="110" t="str">
        <f t="shared" si="784"/>
        <v/>
      </c>
      <c r="N4949" s="51" t="str">
        <f t="shared" si="785"/>
        <v/>
      </c>
      <c r="O4949" s="52" t="str">
        <f t="shared" si="786"/>
        <v/>
      </c>
      <c r="P4949" s="88">
        <f t="shared" si="787"/>
        <v>0</v>
      </c>
      <c r="Q4949" s="88">
        <f t="shared" si="788"/>
        <v>0</v>
      </c>
      <c r="R4949" s="88" t="e">
        <f>-IF(Tabla14[[#This Row],[DIAS HABILES O MORA]]&lt;0,(Tabla14[[#This Row],[VALOR PRESTAMO]]*Tabla14[[#This Row],[% INTERES ]]/30*U4949))+Tabla14[[#This Row],[VALOR CUOTAS]]</f>
        <v>#VALUE!</v>
      </c>
      <c r="S4949" s="88">
        <f>-IF(Tabla14[[#This Row],[DIAS HABILES O MORA]]&lt;0,(Tabla14[[#This Row],[VALOR PRESTAMO]]*Tabla14[[#This Row],[% INTERES ]]/30*U4949))</f>
        <v>0</v>
      </c>
      <c r="T4949" s="53" t="e">
        <f>Tabla14[[#This Row],[DEUDA CAPITAL]]+Tabla14[[#This Row],[INTERES  CUOTA]]</f>
        <v>#NUM!</v>
      </c>
      <c r="U4949" s="61" t="str">
        <f t="shared" si="789"/>
        <v/>
      </c>
    </row>
    <row r="4950" spans="9:21" ht="24.75" customHeight="1" x14ac:dyDescent="0.35">
      <c r="I4950" s="42">
        <f t="shared" si="780"/>
        <v>0</v>
      </c>
      <c r="J4950" s="65" t="e">
        <f t="shared" si="781"/>
        <v>#NUM!</v>
      </c>
      <c r="K4950" s="83" t="e">
        <f t="shared" si="782"/>
        <v>#NUM!</v>
      </c>
      <c r="L4950" s="83">
        <f t="shared" si="783"/>
        <v>0</v>
      </c>
      <c r="M4950" s="110" t="str">
        <f t="shared" si="784"/>
        <v/>
      </c>
      <c r="N4950" s="51" t="str">
        <f t="shared" si="785"/>
        <v/>
      </c>
      <c r="O4950" s="52" t="str">
        <f t="shared" si="786"/>
        <v/>
      </c>
      <c r="P4950" s="88">
        <f t="shared" si="787"/>
        <v>0</v>
      </c>
      <c r="Q4950" s="88">
        <f t="shared" si="788"/>
        <v>0</v>
      </c>
      <c r="R4950" s="88" t="e">
        <f>-IF(Tabla14[[#This Row],[DIAS HABILES O MORA]]&lt;0,(Tabla14[[#This Row],[VALOR PRESTAMO]]*Tabla14[[#This Row],[% INTERES ]]/30*U4950))+Tabla14[[#This Row],[VALOR CUOTAS]]</f>
        <v>#VALUE!</v>
      </c>
      <c r="S4950" s="88">
        <f>-IF(Tabla14[[#This Row],[DIAS HABILES O MORA]]&lt;0,(Tabla14[[#This Row],[VALOR PRESTAMO]]*Tabla14[[#This Row],[% INTERES ]]/30*U4950))</f>
        <v>0</v>
      </c>
      <c r="T4950" s="53" t="e">
        <f>Tabla14[[#This Row],[DEUDA CAPITAL]]+Tabla14[[#This Row],[INTERES  CUOTA]]</f>
        <v>#NUM!</v>
      </c>
      <c r="U4950" s="61" t="str">
        <f t="shared" si="789"/>
        <v/>
      </c>
    </row>
    <row r="4951" spans="9:21" ht="24.75" customHeight="1" x14ac:dyDescent="0.35">
      <c r="I4951" s="42">
        <f t="shared" si="780"/>
        <v>0</v>
      </c>
      <c r="J4951" s="65" t="e">
        <f t="shared" si="781"/>
        <v>#NUM!</v>
      </c>
      <c r="K4951" s="83" t="e">
        <f t="shared" si="782"/>
        <v>#NUM!</v>
      </c>
      <c r="L4951" s="83">
        <f t="shared" si="783"/>
        <v>0</v>
      </c>
      <c r="M4951" s="110" t="str">
        <f t="shared" si="784"/>
        <v/>
      </c>
      <c r="N4951" s="51" t="str">
        <f t="shared" si="785"/>
        <v/>
      </c>
      <c r="O4951" s="52" t="str">
        <f t="shared" si="786"/>
        <v/>
      </c>
      <c r="P4951" s="88">
        <f t="shared" si="787"/>
        <v>0</v>
      </c>
      <c r="Q4951" s="88">
        <f t="shared" si="788"/>
        <v>0</v>
      </c>
      <c r="R4951" s="88" t="e">
        <f>-IF(Tabla14[[#This Row],[DIAS HABILES O MORA]]&lt;0,(Tabla14[[#This Row],[VALOR PRESTAMO]]*Tabla14[[#This Row],[% INTERES ]]/30*U4951))+Tabla14[[#This Row],[VALOR CUOTAS]]</f>
        <v>#VALUE!</v>
      </c>
      <c r="S4951" s="88">
        <f>-IF(Tabla14[[#This Row],[DIAS HABILES O MORA]]&lt;0,(Tabla14[[#This Row],[VALOR PRESTAMO]]*Tabla14[[#This Row],[% INTERES ]]/30*U4951))</f>
        <v>0</v>
      </c>
      <c r="T4951" s="53" t="e">
        <f>Tabla14[[#This Row],[DEUDA CAPITAL]]+Tabla14[[#This Row],[INTERES  CUOTA]]</f>
        <v>#NUM!</v>
      </c>
      <c r="U4951" s="61" t="str">
        <f t="shared" si="789"/>
        <v/>
      </c>
    </row>
    <row r="4952" spans="9:21" ht="24.75" customHeight="1" x14ac:dyDescent="0.35">
      <c r="I4952" s="42">
        <f t="shared" si="780"/>
        <v>0</v>
      </c>
      <c r="J4952" s="65" t="e">
        <f t="shared" si="781"/>
        <v>#NUM!</v>
      </c>
      <c r="K4952" s="83" t="e">
        <f t="shared" si="782"/>
        <v>#NUM!</v>
      </c>
      <c r="L4952" s="83">
        <f t="shared" si="783"/>
        <v>0</v>
      </c>
      <c r="M4952" s="110" t="str">
        <f t="shared" si="784"/>
        <v/>
      </c>
      <c r="N4952" s="51" t="str">
        <f t="shared" si="785"/>
        <v/>
      </c>
      <c r="O4952" s="52" t="str">
        <f t="shared" si="786"/>
        <v/>
      </c>
      <c r="P4952" s="88">
        <f t="shared" si="787"/>
        <v>0</v>
      </c>
      <c r="Q4952" s="88">
        <f t="shared" si="788"/>
        <v>0</v>
      </c>
      <c r="R4952" s="88" t="e">
        <f>-IF(Tabla14[[#This Row],[DIAS HABILES O MORA]]&lt;0,(Tabla14[[#This Row],[VALOR PRESTAMO]]*Tabla14[[#This Row],[% INTERES ]]/30*U4952))+Tabla14[[#This Row],[VALOR CUOTAS]]</f>
        <v>#VALUE!</v>
      </c>
      <c r="S4952" s="88">
        <f>-IF(Tabla14[[#This Row],[DIAS HABILES O MORA]]&lt;0,(Tabla14[[#This Row],[VALOR PRESTAMO]]*Tabla14[[#This Row],[% INTERES ]]/30*U4952))</f>
        <v>0</v>
      </c>
      <c r="T4952" s="53" t="e">
        <f>Tabla14[[#This Row],[DEUDA CAPITAL]]+Tabla14[[#This Row],[INTERES  CUOTA]]</f>
        <v>#NUM!</v>
      </c>
      <c r="U4952" s="61" t="str">
        <f t="shared" si="789"/>
        <v/>
      </c>
    </row>
    <row r="4953" spans="9:21" ht="24.75" customHeight="1" x14ac:dyDescent="0.35">
      <c r="I4953" s="42">
        <f t="shared" si="780"/>
        <v>0</v>
      </c>
      <c r="J4953" s="65" t="e">
        <f t="shared" si="781"/>
        <v>#NUM!</v>
      </c>
      <c r="K4953" s="83" t="e">
        <f t="shared" si="782"/>
        <v>#NUM!</v>
      </c>
      <c r="L4953" s="83">
        <f t="shared" si="783"/>
        <v>0</v>
      </c>
      <c r="M4953" s="110" t="str">
        <f t="shared" si="784"/>
        <v/>
      </c>
      <c r="N4953" s="51" t="str">
        <f t="shared" si="785"/>
        <v/>
      </c>
      <c r="O4953" s="52" t="str">
        <f t="shared" si="786"/>
        <v/>
      </c>
      <c r="P4953" s="88">
        <f t="shared" si="787"/>
        <v>0</v>
      </c>
      <c r="Q4953" s="88">
        <f t="shared" si="788"/>
        <v>0</v>
      </c>
      <c r="R4953" s="88" t="e">
        <f>-IF(Tabla14[[#This Row],[DIAS HABILES O MORA]]&lt;0,(Tabla14[[#This Row],[VALOR PRESTAMO]]*Tabla14[[#This Row],[% INTERES ]]/30*U4953))+Tabla14[[#This Row],[VALOR CUOTAS]]</f>
        <v>#VALUE!</v>
      </c>
      <c r="S4953" s="88">
        <f>-IF(Tabla14[[#This Row],[DIAS HABILES O MORA]]&lt;0,(Tabla14[[#This Row],[VALOR PRESTAMO]]*Tabla14[[#This Row],[% INTERES ]]/30*U4953))</f>
        <v>0</v>
      </c>
      <c r="T4953" s="53" t="e">
        <f>Tabla14[[#This Row],[DEUDA CAPITAL]]+Tabla14[[#This Row],[INTERES  CUOTA]]</f>
        <v>#NUM!</v>
      </c>
      <c r="U4953" s="61" t="str">
        <f t="shared" si="789"/>
        <v/>
      </c>
    </row>
    <row r="4954" spans="9:21" ht="24.75" customHeight="1" x14ac:dyDescent="0.35">
      <c r="I4954" s="42">
        <f t="shared" si="780"/>
        <v>0</v>
      </c>
      <c r="J4954" s="65" t="e">
        <f t="shared" si="781"/>
        <v>#NUM!</v>
      </c>
      <c r="K4954" s="83" t="e">
        <f t="shared" si="782"/>
        <v>#NUM!</v>
      </c>
      <c r="L4954" s="83">
        <f t="shared" si="783"/>
        <v>0</v>
      </c>
      <c r="M4954" s="110" t="str">
        <f t="shared" si="784"/>
        <v/>
      </c>
      <c r="N4954" s="51" t="str">
        <f t="shared" si="785"/>
        <v/>
      </c>
      <c r="O4954" s="52" t="str">
        <f t="shared" si="786"/>
        <v/>
      </c>
      <c r="P4954" s="88">
        <f t="shared" si="787"/>
        <v>0</v>
      </c>
      <c r="Q4954" s="88">
        <f t="shared" si="788"/>
        <v>0</v>
      </c>
      <c r="R4954" s="88" t="e">
        <f>-IF(Tabla14[[#This Row],[DIAS HABILES O MORA]]&lt;0,(Tabla14[[#This Row],[VALOR PRESTAMO]]*Tabla14[[#This Row],[% INTERES ]]/30*U4954))+Tabla14[[#This Row],[VALOR CUOTAS]]</f>
        <v>#VALUE!</v>
      </c>
      <c r="S4954" s="88">
        <f>-IF(Tabla14[[#This Row],[DIAS HABILES O MORA]]&lt;0,(Tabla14[[#This Row],[VALOR PRESTAMO]]*Tabla14[[#This Row],[% INTERES ]]/30*U4954))</f>
        <v>0</v>
      </c>
      <c r="T4954" s="53" t="e">
        <f>Tabla14[[#This Row],[DEUDA CAPITAL]]+Tabla14[[#This Row],[INTERES  CUOTA]]</f>
        <v>#NUM!</v>
      </c>
      <c r="U4954" s="61" t="str">
        <f t="shared" si="789"/>
        <v/>
      </c>
    </row>
    <row r="4955" spans="9:21" ht="24.75" customHeight="1" x14ac:dyDescent="0.35">
      <c r="I4955" s="42">
        <f t="shared" si="780"/>
        <v>0</v>
      </c>
      <c r="J4955" s="65" t="e">
        <f t="shared" si="781"/>
        <v>#NUM!</v>
      </c>
      <c r="K4955" s="83" t="e">
        <f t="shared" si="782"/>
        <v>#NUM!</v>
      </c>
      <c r="L4955" s="83">
        <f t="shared" si="783"/>
        <v>0</v>
      </c>
      <c r="M4955" s="110" t="str">
        <f t="shared" si="784"/>
        <v/>
      </c>
      <c r="N4955" s="51" t="str">
        <f t="shared" si="785"/>
        <v/>
      </c>
      <c r="O4955" s="52" t="str">
        <f t="shared" si="786"/>
        <v/>
      </c>
      <c r="P4955" s="88">
        <f t="shared" si="787"/>
        <v>0</v>
      </c>
      <c r="Q4955" s="88">
        <f t="shared" si="788"/>
        <v>0</v>
      </c>
      <c r="R4955" s="88" t="e">
        <f>-IF(Tabla14[[#This Row],[DIAS HABILES O MORA]]&lt;0,(Tabla14[[#This Row],[VALOR PRESTAMO]]*Tabla14[[#This Row],[% INTERES ]]/30*U4955))+Tabla14[[#This Row],[VALOR CUOTAS]]</f>
        <v>#VALUE!</v>
      </c>
      <c r="S4955" s="88">
        <f>-IF(Tabla14[[#This Row],[DIAS HABILES O MORA]]&lt;0,(Tabla14[[#This Row],[VALOR PRESTAMO]]*Tabla14[[#This Row],[% INTERES ]]/30*U4955))</f>
        <v>0</v>
      </c>
      <c r="T4955" s="53" t="e">
        <f>Tabla14[[#This Row],[DEUDA CAPITAL]]+Tabla14[[#This Row],[INTERES  CUOTA]]</f>
        <v>#NUM!</v>
      </c>
      <c r="U4955" s="61" t="str">
        <f t="shared" si="789"/>
        <v/>
      </c>
    </row>
    <row r="4956" spans="9:21" ht="24.75" customHeight="1" x14ac:dyDescent="0.35">
      <c r="I4956" s="42">
        <f t="shared" si="780"/>
        <v>0</v>
      </c>
      <c r="J4956" s="65" t="e">
        <f t="shared" si="781"/>
        <v>#NUM!</v>
      </c>
      <c r="K4956" s="83" t="e">
        <f t="shared" si="782"/>
        <v>#NUM!</v>
      </c>
      <c r="L4956" s="83">
        <f t="shared" si="783"/>
        <v>0</v>
      </c>
      <c r="M4956" s="110" t="str">
        <f t="shared" si="784"/>
        <v/>
      </c>
      <c r="N4956" s="51" t="str">
        <f t="shared" si="785"/>
        <v/>
      </c>
      <c r="O4956" s="52" t="str">
        <f t="shared" si="786"/>
        <v/>
      </c>
      <c r="P4956" s="88">
        <f t="shared" si="787"/>
        <v>0</v>
      </c>
      <c r="Q4956" s="88">
        <f t="shared" si="788"/>
        <v>0</v>
      </c>
      <c r="R4956" s="88" t="e">
        <f>-IF(Tabla14[[#This Row],[DIAS HABILES O MORA]]&lt;0,(Tabla14[[#This Row],[VALOR PRESTAMO]]*Tabla14[[#This Row],[% INTERES ]]/30*U4956))+Tabla14[[#This Row],[VALOR CUOTAS]]</f>
        <v>#VALUE!</v>
      </c>
      <c r="S4956" s="88">
        <f>-IF(Tabla14[[#This Row],[DIAS HABILES O MORA]]&lt;0,(Tabla14[[#This Row],[VALOR PRESTAMO]]*Tabla14[[#This Row],[% INTERES ]]/30*U4956))</f>
        <v>0</v>
      </c>
      <c r="T4956" s="53" t="e">
        <f>Tabla14[[#This Row],[DEUDA CAPITAL]]+Tabla14[[#This Row],[INTERES  CUOTA]]</f>
        <v>#NUM!</v>
      </c>
      <c r="U4956" s="61" t="str">
        <f t="shared" si="789"/>
        <v/>
      </c>
    </row>
    <row r="4957" spans="9:21" ht="24.75" customHeight="1" x14ac:dyDescent="0.35">
      <c r="I4957" s="42">
        <f t="shared" si="780"/>
        <v>0</v>
      </c>
      <c r="J4957" s="65" t="e">
        <f t="shared" si="781"/>
        <v>#NUM!</v>
      </c>
      <c r="K4957" s="83" t="e">
        <f t="shared" si="782"/>
        <v>#NUM!</v>
      </c>
      <c r="L4957" s="83">
        <f t="shared" si="783"/>
        <v>0</v>
      </c>
      <c r="M4957" s="110" t="str">
        <f t="shared" si="784"/>
        <v/>
      </c>
      <c r="N4957" s="51" t="str">
        <f t="shared" si="785"/>
        <v/>
      </c>
      <c r="O4957" s="52" t="str">
        <f t="shared" si="786"/>
        <v/>
      </c>
      <c r="P4957" s="88">
        <f t="shared" si="787"/>
        <v>0</v>
      </c>
      <c r="Q4957" s="88">
        <f t="shared" si="788"/>
        <v>0</v>
      </c>
      <c r="R4957" s="88" t="e">
        <f>-IF(Tabla14[[#This Row],[DIAS HABILES O MORA]]&lt;0,(Tabla14[[#This Row],[VALOR PRESTAMO]]*Tabla14[[#This Row],[% INTERES ]]/30*U4957))+Tabla14[[#This Row],[VALOR CUOTAS]]</f>
        <v>#VALUE!</v>
      </c>
      <c r="S4957" s="88">
        <f>-IF(Tabla14[[#This Row],[DIAS HABILES O MORA]]&lt;0,(Tabla14[[#This Row],[VALOR PRESTAMO]]*Tabla14[[#This Row],[% INTERES ]]/30*U4957))</f>
        <v>0</v>
      </c>
      <c r="T4957" s="53" t="e">
        <f>Tabla14[[#This Row],[DEUDA CAPITAL]]+Tabla14[[#This Row],[INTERES  CUOTA]]</f>
        <v>#NUM!</v>
      </c>
      <c r="U4957" s="61" t="str">
        <f t="shared" si="789"/>
        <v/>
      </c>
    </row>
    <row r="4958" spans="9:21" ht="24.75" customHeight="1" x14ac:dyDescent="0.35">
      <c r="I4958" s="42">
        <f t="shared" si="780"/>
        <v>0</v>
      </c>
      <c r="J4958" s="65" t="e">
        <f t="shared" si="781"/>
        <v>#NUM!</v>
      </c>
      <c r="K4958" s="83" t="e">
        <f t="shared" si="782"/>
        <v>#NUM!</v>
      </c>
      <c r="L4958" s="83">
        <f t="shared" si="783"/>
        <v>0</v>
      </c>
      <c r="M4958" s="110" t="str">
        <f t="shared" si="784"/>
        <v/>
      </c>
      <c r="N4958" s="51" t="str">
        <f t="shared" si="785"/>
        <v/>
      </c>
      <c r="O4958" s="52" t="str">
        <f t="shared" si="786"/>
        <v/>
      </c>
      <c r="P4958" s="88">
        <f t="shared" si="787"/>
        <v>0</v>
      </c>
      <c r="Q4958" s="88">
        <f t="shared" si="788"/>
        <v>0</v>
      </c>
      <c r="R4958" s="88" t="e">
        <f>-IF(Tabla14[[#This Row],[DIAS HABILES O MORA]]&lt;0,(Tabla14[[#This Row],[VALOR PRESTAMO]]*Tabla14[[#This Row],[% INTERES ]]/30*U4958))+Tabla14[[#This Row],[VALOR CUOTAS]]</f>
        <v>#VALUE!</v>
      </c>
      <c r="S4958" s="88">
        <f>-IF(Tabla14[[#This Row],[DIAS HABILES O MORA]]&lt;0,(Tabla14[[#This Row],[VALOR PRESTAMO]]*Tabla14[[#This Row],[% INTERES ]]/30*U4958))</f>
        <v>0</v>
      </c>
      <c r="T4958" s="53" t="e">
        <f>Tabla14[[#This Row],[DEUDA CAPITAL]]+Tabla14[[#This Row],[INTERES  CUOTA]]</f>
        <v>#NUM!</v>
      </c>
      <c r="U4958" s="61" t="str">
        <f t="shared" si="789"/>
        <v/>
      </c>
    </row>
    <row r="4959" spans="9:21" ht="24.75" customHeight="1" x14ac:dyDescent="0.35">
      <c r="I4959" s="42">
        <f t="shared" si="780"/>
        <v>0</v>
      </c>
      <c r="J4959" s="65" t="e">
        <f t="shared" si="781"/>
        <v>#NUM!</v>
      </c>
      <c r="K4959" s="83" t="e">
        <f t="shared" si="782"/>
        <v>#NUM!</v>
      </c>
      <c r="L4959" s="83">
        <f t="shared" si="783"/>
        <v>0</v>
      </c>
      <c r="M4959" s="110" t="str">
        <f t="shared" si="784"/>
        <v/>
      </c>
      <c r="N4959" s="51" t="str">
        <f t="shared" si="785"/>
        <v/>
      </c>
      <c r="O4959" s="52" t="str">
        <f t="shared" si="786"/>
        <v/>
      </c>
      <c r="P4959" s="88">
        <f t="shared" si="787"/>
        <v>0</v>
      </c>
      <c r="Q4959" s="88">
        <f t="shared" si="788"/>
        <v>0</v>
      </c>
      <c r="R4959" s="88" t="e">
        <f>-IF(Tabla14[[#This Row],[DIAS HABILES O MORA]]&lt;0,(Tabla14[[#This Row],[VALOR PRESTAMO]]*Tabla14[[#This Row],[% INTERES ]]/30*U4959))+Tabla14[[#This Row],[VALOR CUOTAS]]</f>
        <v>#VALUE!</v>
      </c>
      <c r="S4959" s="88">
        <f>-IF(Tabla14[[#This Row],[DIAS HABILES O MORA]]&lt;0,(Tabla14[[#This Row],[VALOR PRESTAMO]]*Tabla14[[#This Row],[% INTERES ]]/30*U4959))</f>
        <v>0</v>
      </c>
      <c r="T4959" s="53" t="e">
        <f>Tabla14[[#This Row],[DEUDA CAPITAL]]+Tabla14[[#This Row],[INTERES  CUOTA]]</f>
        <v>#NUM!</v>
      </c>
      <c r="U4959" s="61" t="str">
        <f t="shared" si="789"/>
        <v/>
      </c>
    </row>
    <row r="4960" spans="9:21" ht="24.75" customHeight="1" x14ac:dyDescent="0.35">
      <c r="I4960" s="42">
        <f t="shared" si="780"/>
        <v>0</v>
      </c>
      <c r="J4960" s="65" t="e">
        <f t="shared" si="781"/>
        <v>#NUM!</v>
      </c>
      <c r="K4960" s="83" t="e">
        <f t="shared" si="782"/>
        <v>#NUM!</v>
      </c>
      <c r="L4960" s="83">
        <f t="shared" si="783"/>
        <v>0</v>
      </c>
      <c r="M4960" s="110" t="str">
        <f t="shared" si="784"/>
        <v/>
      </c>
      <c r="N4960" s="51" t="str">
        <f t="shared" si="785"/>
        <v/>
      </c>
      <c r="O4960" s="52" t="str">
        <f t="shared" si="786"/>
        <v/>
      </c>
      <c r="P4960" s="88">
        <f t="shared" si="787"/>
        <v>0</v>
      </c>
      <c r="Q4960" s="88">
        <f t="shared" si="788"/>
        <v>0</v>
      </c>
      <c r="R4960" s="88" t="e">
        <f>-IF(Tabla14[[#This Row],[DIAS HABILES O MORA]]&lt;0,(Tabla14[[#This Row],[VALOR PRESTAMO]]*Tabla14[[#This Row],[% INTERES ]]/30*U4960))+Tabla14[[#This Row],[VALOR CUOTAS]]</f>
        <v>#VALUE!</v>
      </c>
      <c r="S4960" s="88">
        <f>-IF(Tabla14[[#This Row],[DIAS HABILES O MORA]]&lt;0,(Tabla14[[#This Row],[VALOR PRESTAMO]]*Tabla14[[#This Row],[% INTERES ]]/30*U4960))</f>
        <v>0</v>
      </c>
      <c r="T4960" s="53" t="e">
        <f>Tabla14[[#This Row],[DEUDA CAPITAL]]+Tabla14[[#This Row],[INTERES  CUOTA]]</f>
        <v>#NUM!</v>
      </c>
      <c r="U4960" s="61" t="str">
        <f t="shared" si="789"/>
        <v/>
      </c>
    </row>
    <row r="4961" spans="9:21" ht="24.75" customHeight="1" x14ac:dyDescent="0.35">
      <c r="I4961" s="42">
        <f t="shared" si="780"/>
        <v>0</v>
      </c>
      <c r="J4961" s="65" t="e">
        <f t="shared" si="781"/>
        <v>#NUM!</v>
      </c>
      <c r="K4961" s="83" t="e">
        <f t="shared" si="782"/>
        <v>#NUM!</v>
      </c>
      <c r="L4961" s="83">
        <f t="shared" si="783"/>
        <v>0</v>
      </c>
      <c r="M4961" s="110" t="str">
        <f t="shared" si="784"/>
        <v/>
      </c>
      <c r="N4961" s="51" t="str">
        <f t="shared" si="785"/>
        <v/>
      </c>
      <c r="O4961" s="52" t="str">
        <f t="shared" si="786"/>
        <v/>
      </c>
      <c r="P4961" s="88">
        <f t="shared" si="787"/>
        <v>0</v>
      </c>
      <c r="Q4961" s="88">
        <f t="shared" si="788"/>
        <v>0</v>
      </c>
      <c r="R4961" s="88" t="e">
        <f>-IF(Tabla14[[#This Row],[DIAS HABILES O MORA]]&lt;0,(Tabla14[[#This Row],[VALOR PRESTAMO]]*Tabla14[[#This Row],[% INTERES ]]/30*U4961))+Tabla14[[#This Row],[VALOR CUOTAS]]</f>
        <v>#VALUE!</v>
      </c>
      <c r="S4961" s="88">
        <f>-IF(Tabla14[[#This Row],[DIAS HABILES O MORA]]&lt;0,(Tabla14[[#This Row],[VALOR PRESTAMO]]*Tabla14[[#This Row],[% INTERES ]]/30*U4961))</f>
        <v>0</v>
      </c>
      <c r="T4961" s="53" t="e">
        <f>Tabla14[[#This Row],[DEUDA CAPITAL]]+Tabla14[[#This Row],[INTERES  CUOTA]]</f>
        <v>#NUM!</v>
      </c>
      <c r="U4961" s="61" t="str">
        <f t="shared" si="789"/>
        <v/>
      </c>
    </row>
    <row r="4962" spans="9:21" ht="24.75" customHeight="1" x14ac:dyDescent="0.35">
      <c r="I4962" s="42">
        <f t="shared" si="780"/>
        <v>0</v>
      </c>
      <c r="J4962" s="65" t="e">
        <f t="shared" si="781"/>
        <v>#NUM!</v>
      </c>
      <c r="K4962" s="83" t="e">
        <f t="shared" si="782"/>
        <v>#NUM!</v>
      </c>
      <c r="L4962" s="83">
        <f t="shared" si="783"/>
        <v>0</v>
      </c>
      <c r="M4962" s="110" t="str">
        <f t="shared" si="784"/>
        <v/>
      </c>
      <c r="N4962" s="51" t="str">
        <f t="shared" si="785"/>
        <v/>
      </c>
      <c r="O4962" s="52" t="str">
        <f t="shared" si="786"/>
        <v/>
      </c>
      <c r="P4962" s="88">
        <f t="shared" si="787"/>
        <v>0</v>
      </c>
      <c r="Q4962" s="88">
        <f t="shared" si="788"/>
        <v>0</v>
      </c>
      <c r="R4962" s="88" t="e">
        <f>-IF(Tabla14[[#This Row],[DIAS HABILES O MORA]]&lt;0,(Tabla14[[#This Row],[VALOR PRESTAMO]]*Tabla14[[#This Row],[% INTERES ]]/30*U4962))+Tabla14[[#This Row],[VALOR CUOTAS]]</f>
        <v>#VALUE!</v>
      </c>
      <c r="S4962" s="88">
        <f>-IF(Tabla14[[#This Row],[DIAS HABILES O MORA]]&lt;0,(Tabla14[[#This Row],[VALOR PRESTAMO]]*Tabla14[[#This Row],[% INTERES ]]/30*U4962))</f>
        <v>0</v>
      </c>
      <c r="T4962" s="53" t="e">
        <f>Tabla14[[#This Row],[DEUDA CAPITAL]]+Tabla14[[#This Row],[INTERES  CUOTA]]</f>
        <v>#NUM!</v>
      </c>
      <c r="U4962" s="61" t="str">
        <f t="shared" si="789"/>
        <v/>
      </c>
    </row>
    <row r="4963" spans="9:21" ht="24.75" customHeight="1" x14ac:dyDescent="0.35">
      <c r="I4963" s="42">
        <f t="shared" si="780"/>
        <v>0</v>
      </c>
      <c r="J4963" s="65" t="e">
        <f t="shared" si="781"/>
        <v>#NUM!</v>
      </c>
      <c r="K4963" s="83" t="e">
        <f t="shared" si="782"/>
        <v>#NUM!</v>
      </c>
      <c r="L4963" s="83">
        <f t="shared" si="783"/>
        <v>0</v>
      </c>
      <c r="M4963" s="110" t="str">
        <f t="shared" si="784"/>
        <v/>
      </c>
      <c r="N4963" s="51" t="str">
        <f t="shared" si="785"/>
        <v/>
      </c>
      <c r="O4963" s="52" t="str">
        <f t="shared" si="786"/>
        <v/>
      </c>
      <c r="P4963" s="88">
        <f t="shared" si="787"/>
        <v>0</v>
      </c>
      <c r="Q4963" s="88">
        <f t="shared" si="788"/>
        <v>0</v>
      </c>
      <c r="R4963" s="88" t="e">
        <f>-IF(Tabla14[[#This Row],[DIAS HABILES O MORA]]&lt;0,(Tabla14[[#This Row],[VALOR PRESTAMO]]*Tabla14[[#This Row],[% INTERES ]]/30*U4963))+Tabla14[[#This Row],[VALOR CUOTAS]]</f>
        <v>#VALUE!</v>
      </c>
      <c r="S4963" s="88">
        <f>-IF(Tabla14[[#This Row],[DIAS HABILES O MORA]]&lt;0,(Tabla14[[#This Row],[VALOR PRESTAMO]]*Tabla14[[#This Row],[% INTERES ]]/30*U4963))</f>
        <v>0</v>
      </c>
      <c r="T4963" s="53" t="e">
        <f>Tabla14[[#This Row],[DEUDA CAPITAL]]+Tabla14[[#This Row],[INTERES  CUOTA]]</f>
        <v>#NUM!</v>
      </c>
      <c r="U4963" s="61" t="str">
        <f t="shared" si="789"/>
        <v/>
      </c>
    </row>
    <row r="4964" spans="9:21" ht="24.75" customHeight="1" x14ac:dyDescent="0.35">
      <c r="I4964" s="42">
        <f t="shared" si="780"/>
        <v>0</v>
      </c>
      <c r="J4964" s="65" t="e">
        <f t="shared" si="781"/>
        <v>#NUM!</v>
      </c>
      <c r="K4964" s="83" t="e">
        <f t="shared" si="782"/>
        <v>#NUM!</v>
      </c>
      <c r="L4964" s="83">
        <f t="shared" si="783"/>
        <v>0</v>
      </c>
      <c r="M4964" s="110" t="str">
        <f t="shared" si="784"/>
        <v/>
      </c>
      <c r="N4964" s="51" t="str">
        <f t="shared" si="785"/>
        <v/>
      </c>
      <c r="O4964" s="52" t="str">
        <f t="shared" si="786"/>
        <v/>
      </c>
      <c r="P4964" s="88">
        <f t="shared" si="787"/>
        <v>0</v>
      </c>
      <c r="Q4964" s="88">
        <f t="shared" si="788"/>
        <v>0</v>
      </c>
      <c r="R4964" s="88" t="e">
        <f>-IF(Tabla14[[#This Row],[DIAS HABILES O MORA]]&lt;0,(Tabla14[[#This Row],[VALOR PRESTAMO]]*Tabla14[[#This Row],[% INTERES ]]/30*U4964))+Tabla14[[#This Row],[VALOR CUOTAS]]</f>
        <v>#VALUE!</v>
      </c>
      <c r="S4964" s="88">
        <f>-IF(Tabla14[[#This Row],[DIAS HABILES O MORA]]&lt;0,(Tabla14[[#This Row],[VALOR PRESTAMO]]*Tabla14[[#This Row],[% INTERES ]]/30*U4964))</f>
        <v>0</v>
      </c>
      <c r="T4964" s="53" t="e">
        <f>Tabla14[[#This Row],[DEUDA CAPITAL]]+Tabla14[[#This Row],[INTERES  CUOTA]]</f>
        <v>#NUM!</v>
      </c>
      <c r="U4964" s="61" t="str">
        <f t="shared" si="789"/>
        <v/>
      </c>
    </row>
    <row r="4965" spans="9:21" ht="24.75" customHeight="1" x14ac:dyDescent="0.35">
      <c r="I4965" s="42">
        <f t="shared" si="780"/>
        <v>0</v>
      </c>
      <c r="J4965" s="65" t="e">
        <f t="shared" si="781"/>
        <v>#NUM!</v>
      </c>
      <c r="K4965" s="83" t="e">
        <f t="shared" si="782"/>
        <v>#NUM!</v>
      </c>
      <c r="L4965" s="83">
        <f t="shared" si="783"/>
        <v>0</v>
      </c>
      <c r="M4965" s="110" t="str">
        <f t="shared" si="784"/>
        <v/>
      </c>
      <c r="N4965" s="51" t="str">
        <f t="shared" si="785"/>
        <v/>
      </c>
      <c r="O4965" s="52" t="str">
        <f t="shared" si="786"/>
        <v/>
      </c>
      <c r="P4965" s="88">
        <f t="shared" si="787"/>
        <v>0</v>
      </c>
      <c r="Q4965" s="88">
        <f t="shared" si="788"/>
        <v>0</v>
      </c>
      <c r="R4965" s="88" t="e">
        <f>-IF(Tabla14[[#This Row],[DIAS HABILES O MORA]]&lt;0,(Tabla14[[#This Row],[VALOR PRESTAMO]]*Tabla14[[#This Row],[% INTERES ]]/30*U4965))+Tabla14[[#This Row],[VALOR CUOTAS]]</f>
        <v>#VALUE!</v>
      </c>
      <c r="S4965" s="88">
        <f>-IF(Tabla14[[#This Row],[DIAS HABILES O MORA]]&lt;0,(Tabla14[[#This Row],[VALOR PRESTAMO]]*Tabla14[[#This Row],[% INTERES ]]/30*U4965))</f>
        <v>0</v>
      </c>
      <c r="T4965" s="53" t="e">
        <f>Tabla14[[#This Row],[DEUDA CAPITAL]]+Tabla14[[#This Row],[INTERES  CUOTA]]</f>
        <v>#NUM!</v>
      </c>
      <c r="U4965" s="61" t="str">
        <f t="shared" si="789"/>
        <v/>
      </c>
    </row>
    <row r="4966" spans="9:21" ht="24.75" customHeight="1" x14ac:dyDescent="0.35">
      <c r="I4966" s="42">
        <f t="shared" si="780"/>
        <v>0</v>
      </c>
      <c r="J4966" s="65" t="e">
        <f t="shared" si="781"/>
        <v>#NUM!</v>
      </c>
      <c r="K4966" s="83" t="e">
        <f t="shared" si="782"/>
        <v>#NUM!</v>
      </c>
      <c r="L4966" s="83">
        <f t="shared" si="783"/>
        <v>0</v>
      </c>
      <c r="M4966" s="110" t="str">
        <f t="shared" si="784"/>
        <v/>
      </c>
      <c r="N4966" s="51" t="str">
        <f t="shared" si="785"/>
        <v/>
      </c>
      <c r="O4966" s="52" t="str">
        <f t="shared" si="786"/>
        <v/>
      </c>
      <c r="P4966" s="88">
        <f t="shared" si="787"/>
        <v>0</v>
      </c>
      <c r="Q4966" s="88">
        <f t="shared" si="788"/>
        <v>0</v>
      </c>
      <c r="R4966" s="88" t="e">
        <f>-IF(Tabla14[[#This Row],[DIAS HABILES O MORA]]&lt;0,(Tabla14[[#This Row],[VALOR PRESTAMO]]*Tabla14[[#This Row],[% INTERES ]]/30*U4966))+Tabla14[[#This Row],[VALOR CUOTAS]]</f>
        <v>#VALUE!</v>
      </c>
      <c r="S4966" s="88">
        <f>-IF(Tabla14[[#This Row],[DIAS HABILES O MORA]]&lt;0,(Tabla14[[#This Row],[VALOR PRESTAMO]]*Tabla14[[#This Row],[% INTERES ]]/30*U4966))</f>
        <v>0</v>
      </c>
      <c r="T4966" s="53" t="e">
        <f>Tabla14[[#This Row],[DEUDA CAPITAL]]+Tabla14[[#This Row],[INTERES  CUOTA]]</f>
        <v>#NUM!</v>
      </c>
      <c r="U4966" s="61" t="str">
        <f t="shared" si="789"/>
        <v/>
      </c>
    </row>
    <row r="4967" spans="9:21" ht="24.75" customHeight="1" x14ac:dyDescent="0.35">
      <c r="I4967" s="42">
        <f t="shared" si="780"/>
        <v>0</v>
      </c>
      <c r="J4967" s="65" t="e">
        <f t="shared" si="781"/>
        <v>#NUM!</v>
      </c>
      <c r="K4967" s="83" t="e">
        <f t="shared" si="782"/>
        <v>#NUM!</v>
      </c>
      <c r="L4967" s="83">
        <f t="shared" si="783"/>
        <v>0</v>
      </c>
      <c r="M4967" s="110" t="str">
        <f t="shared" si="784"/>
        <v/>
      </c>
      <c r="N4967" s="51" t="str">
        <f t="shared" si="785"/>
        <v/>
      </c>
      <c r="O4967" s="52" t="str">
        <f t="shared" si="786"/>
        <v/>
      </c>
      <c r="P4967" s="88">
        <f t="shared" si="787"/>
        <v>0</v>
      </c>
      <c r="Q4967" s="88">
        <f t="shared" si="788"/>
        <v>0</v>
      </c>
      <c r="R4967" s="88" t="e">
        <f>-IF(Tabla14[[#This Row],[DIAS HABILES O MORA]]&lt;0,(Tabla14[[#This Row],[VALOR PRESTAMO]]*Tabla14[[#This Row],[% INTERES ]]/30*U4967))+Tabla14[[#This Row],[VALOR CUOTAS]]</f>
        <v>#VALUE!</v>
      </c>
      <c r="S4967" s="88">
        <f>-IF(Tabla14[[#This Row],[DIAS HABILES O MORA]]&lt;0,(Tabla14[[#This Row],[VALOR PRESTAMO]]*Tabla14[[#This Row],[% INTERES ]]/30*U4967))</f>
        <v>0</v>
      </c>
      <c r="T4967" s="53" t="e">
        <f>Tabla14[[#This Row],[DEUDA CAPITAL]]+Tabla14[[#This Row],[INTERES  CUOTA]]</f>
        <v>#NUM!</v>
      </c>
      <c r="U4967" s="61" t="str">
        <f t="shared" si="789"/>
        <v/>
      </c>
    </row>
    <row r="4968" spans="9:21" ht="24.75" customHeight="1" x14ac:dyDescent="0.35">
      <c r="I4968" s="42">
        <f t="shared" si="780"/>
        <v>0</v>
      </c>
      <c r="J4968" s="65" t="e">
        <f t="shared" si="781"/>
        <v>#NUM!</v>
      </c>
      <c r="K4968" s="83" t="e">
        <f t="shared" si="782"/>
        <v>#NUM!</v>
      </c>
      <c r="L4968" s="83">
        <f t="shared" si="783"/>
        <v>0</v>
      </c>
      <c r="M4968" s="110" t="str">
        <f t="shared" si="784"/>
        <v/>
      </c>
      <c r="N4968" s="51" t="str">
        <f t="shared" si="785"/>
        <v/>
      </c>
      <c r="O4968" s="52" t="str">
        <f t="shared" si="786"/>
        <v/>
      </c>
      <c r="P4968" s="88">
        <f t="shared" si="787"/>
        <v>0</v>
      </c>
      <c r="Q4968" s="88">
        <f t="shared" si="788"/>
        <v>0</v>
      </c>
      <c r="R4968" s="88" t="e">
        <f>-IF(Tabla14[[#This Row],[DIAS HABILES O MORA]]&lt;0,(Tabla14[[#This Row],[VALOR PRESTAMO]]*Tabla14[[#This Row],[% INTERES ]]/30*U4968))+Tabla14[[#This Row],[VALOR CUOTAS]]</f>
        <v>#VALUE!</v>
      </c>
      <c r="S4968" s="88">
        <f>-IF(Tabla14[[#This Row],[DIAS HABILES O MORA]]&lt;0,(Tabla14[[#This Row],[VALOR PRESTAMO]]*Tabla14[[#This Row],[% INTERES ]]/30*U4968))</f>
        <v>0</v>
      </c>
      <c r="T4968" s="53" t="e">
        <f>Tabla14[[#This Row],[DEUDA CAPITAL]]+Tabla14[[#This Row],[INTERES  CUOTA]]</f>
        <v>#NUM!</v>
      </c>
      <c r="U4968" s="61" t="str">
        <f t="shared" si="789"/>
        <v/>
      </c>
    </row>
    <row r="4969" spans="9:21" ht="24.75" customHeight="1" x14ac:dyDescent="0.35">
      <c r="I4969" s="42">
        <f t="shared" si="780"/>
        <v>0</v>
      </c>
      <c r="J4969" s="65" t="e">
        <f t="shared" si="781"/>
        <v>#NUM!</v>
      </c>
      <c r="K4969" s="83" t="e">
        <f t="shared" si="782"/>
        <v>#NUM!</v>
      </c>
      <c r="L4969" s="83">
        <f t="shared" si="783"/>
        <v>0</v>
      </c>
      <c r="M4969" s="110" t="str">
        <f t="shared" si="784"/>
        <v/>
      </c>
      <c r="N4969" s="51" t="str">
        <f t="shared" si="785"/>
        <v/>
      </c>
      <c r="O4969" s="52" t="str">
        <f t="shared" si="786"/>
        <v/>
      </c>
      <c r="P4969" s="88">
        <f t="shared" si="787"/>
        <v>0</v>
      </c>
      <c r="Q4969" s="88">
        <f t="shared" si="788"/>
        <v>0</v>
      </c>
      <c r="R4969" s="88" t="e">
        <f>-IF(Tabla14[[#This Row],[DIAS HABILES O MORA]]&lt;0,(Tabla14[[#This Row],[VALOR PRESTAMO]]*Tabla14[[#This Row],[% INTERES ]]/30*U4969))+Tabla14[[#This Row],[VALOR CUOTAS]]</f>
        <v>#VALUE!</v>
      </c>
      <c r="S4969" s="88">
        <f>-IF(Tabla14[[#This Row],[DIAS HABILES O MORA]]&lt;0,(Tabla14[[#This Row],[VALOR PRESTAMO]]*Tabla14[[#This Row],[% INTERES ]]/30*U4969))</f>
        <v>0</v>
      </c>
      <c r="T4969" s="53" t="e">
        <f>Tabla14[[#This Row],[DEUDA CAPITAL]]+Tabla14[[#This Row],[INTERES  CUOTA]]</f>
        <v>#NUM!</v>
      </c>
      <c r="U4969" s="61" t="str">
        <f t="shared" si="789"/>
        <v/>
      </c>
    </row>
    <row r="4970" spans="9:21" ht="24.75" customHeight="1" x14ac:dyDescent="0.35">
      <c r="I4970" s="42">
        <f t="shared" si="780"/>
        <v>0</v>
      </c>
      <c r="J4970" s="65" t="e">
        <f t="shared" si="781"/>
        <v>#NUM!</v>
      </c>
      <c r="K4970" s="83" t="e">
        <f t="shared" si="782"/>
        <v>#NUM!</v>
      </c>
      <c r="L4970" s="83">
        <f t="shared" si="783"/>
        <v>0</v>
      </c>
      <c r="M4970" s="110" t="str">
        <f t="shared" si="784"/>
        <v/>
      </c>
      <c r="N4970" s="51" t="str">
        <f t="shared" si="785"/>
        <v/>
      </c>
      <c r="O4970" s="52" t="str">
        <f t="shared" si="786"/>
        <v/>
      </c>
      <c r="P4970" s="88">
        <f t="shared" si="787"/>
        <v>0</v>
      </c>
      <c r="Q4970" s="88">
        <f t="shared" si="788"/>
        <v>0</v>
      </c>
      <c r="R4970" s="88" t="e">
        <f>-IF(Tabla14[[#This Row],[DIAS HABILES O MORA]]&lt;0,(Tabla14[[#This Row],[VALOR PRESTAMO]]*Tabla14[[#This Row],[% INTERES ]]/30*U4970))+Tabla14[[#This Row],[VALOR CUOTAS]]</f>
        <v>#VALUE!</v>
      </c>
      <c r="S4970" s="88">
        <f>-IF(Tabla14[[#This Row],[DIAS HABILES O MORA]]&lt;0,(Tabla14[[#This Row],[VALOR PRESTAMO]]*Tabla14[[#This Row],[% INTERES ]]/30*U4970))</f>
        <v>0</v>
      </c>
      <c r="T4970" s="53" t="e">
        <f>Tabla14[[#This Row],[DEUDA CAPITAL]]+Tabla14[[#This Row],[INTERES  CUOTA]]</f>
        <v>#NUM!</v>
      </c>
      <c r="U4970" s="61" t="str">
        <f t="shared" si="789"/>
        <v/>
      </c>
    </row>
    <row r="4971" spans="9:21" ht="24.75" customHeight="1" x14ac:dyDescent="0.35">
      <c r="I4971" s="42">
        <f t="shared" si="780"/>
        <v>0</v>
      </c>
      <c r="J4971" s="65" t="e">
        <f t="shared" si="781"/>
        <v>#NUM!</v>
      </c>
      <c r="K4971" s="83" t="e">
        <f t="shared" si="782"/>
        <v>#NUM!</v>
      </c>
      <c r="L4971" s="83">
        <f t="shared" si="783"/>
        <v>0</v>
      </c>
      <c r="M4971" s="110" t="str">
        <f t="shared" si="784"/>
        <v/>
      </c>
      <c r="N4971" s="51" t="str">
        <f t="shared" si="785"/>
        <v/>
      </c>
      <c r="O4971" s="52" t="str">
        <f t="shared" si="786"/>
        <v/>
      </c>
      <c r="P4971" s="88">
        <f t="shared" si="787"/>
        <v>0</v>
      </c>
      <c r="Q4971" s="88">
        <f t="shared" si="788"/>
        <v>0</v>
      </c>
      <c r="R4971" s="88" t="e">
        <f>-IF(Tabla14[[#This Row],[DIAS HABILES O MORA]]&lt;0,(Tabla14[[#This Row],[VALOR PRESTAMO]]*Tabla14[[#This Row],[% INTERES ]]/30*U4971))+Tabla14[[#This Row],[VALOR CUOTAS]]</f>
        <v>#VALUE!</v>
      </c>
      <c r="S4971" s="88">
        <f>-IF(Tabla14[[#This Row],[DIAS HABILES O MORA]]&lt;0,(Tabla14[[#This Row],[VALOR PRESTAMO]]*Tabla14[[#This Row],[% INTERES ]]/30*U4971))</f>
        <v>0</v>
      </c>
      <c r="T4971" s="53" t="e">
        <f>Tabla14[[#This Row],[DEUDA CAPITAL]]+Tabla14[[#This Row],[INTERES  CUOTA]]</f>
        <v>#NUM!</v>
      </c>
      <c r="U4971" s="61" t="str">
        <f t="shared" si="789"/>
        <v/>
      </c>
    </row>
    <row r="4972" spans="9:21" ht="24.75" customHeight="1" x14ac:dyDescent="0.35">
      <c r="I4972" s="42">
        <f t="shared" si="780"/>
        <v>0</v>
      </c>
      <c r="J4972" s="65" t="e">
        <f t="shared" si="781"/>
        <v>#NUM!</v>
      </c>
      <c r="K4972" s="83" t="e">
        <f t="shared" si="782"/>
        <v>#NUM!</v>
      </c>
      <c r="L4972" s="83">
        <f t="shared" si="783"/>
        <v>0</v>
      </c>
      <c r="M4972" s="110" t="str">
        <f t="shared" si="784"/>
        <v/>
      </c>
      <c r="N4972" s="51" t="str">
        <f t="shared" si="785"/>
        <v/>
      </c>
      <c r="O4972" s="52" t="str">
        <f t="shared" si="786"/>
        <v/>
      </c>
      <c r="P4972" s="88">
        <f t="shared" si="787"/>
        <v>0</v>
      </c>
      <c r="Q4972" s="88">
        <f t="shared" si="788"/>
        <v>0</v>
      </c>
      <c r="R4972" s="88" t="e">
        <f>-IF(Tabla14[[#This Row],[DIAS HABILES O MORA]]&lt;0,(Tabla14[[#This Row],[VALOR PRESTAMO]]*Tabla14[[#This Row],[% INTERES ]]/30*U4972))+Tabla14[[#This Row],[VALOR CUOTAS]]</f>
        <v>#VALUE!</v>
      </c>
      <c r="S4972" s="88">
        <f>-IF(Tabla14[[#This Row],[DIAS HABILES O MORA]]&lt;0,(Tabla14[[#This Row],[VALOR PRESTAMO]]*Tabla14[[#This Row],[% INTERES ]]/30*U4972))</f>
        <v>0</v>
      </c>
      <c r="T4972" s="53" t="e">
        <f>Tabla14[[#This Row],[DEUDA CAPITAL]]+Tabla14[[#This Row],[INTERES  CUOTA]]</f>
        <v>#NUM!</v>
      </c>
      <c r="U4972" s="61" t="str">
        <f t="shared" si="789"/>
        <v/>
      </c>
    </row>
    <row r="4973" spans="9:21" ht="24.75" customHeight="1" x14ac:dyDescent="0.35">
      <c r="I4973" s="42">
        <f t="shared" si="780"/>
        <v>0</v>
      </c>
      <c r="J4973" s="65" t="e">
        <f t="shared" si="781"/>
        <v>#NUM!</v>
      </c>
      <c r="K4973" s="83" t="e">
        <f t="shared" si="782"/>
        <v>#NUM!</v>
      </c>
      <c r="L4973" s="83">
        <f t="shared" si="783"/>
        <v>0</v>
      </c>
      <c r="M4973" s="110" t="str">
        <f t="shared" si="784"/>
        <v/>
      </c>
      <c r="N4973" s="51" t="str">
        <f t="shared" si="785"/>
        <v/>
      </c>
      <c r="O4973" s="52" t="str">
        <f t="shared" si="786"/>
        <v/>
      </c>
      <c r="P4973" s="88">
        <f t="shared" si="787"/>
        <v>0</v>
      </c>
      <c r="Q4973" s="88">
        <f t="shared" si="788"/>
        <v>0</v>
      </c>
      <c r="R4973" s="88" t="e">
        <f>-IF(Tabla14[[#This Row],[DIAS HABILES O MORA]]&lt;0,(Tabla14[[#This Row],[VALOR PRESTAMO]]*Tabla14[[#This Row],[% INTERES ]]/30*U4973))+Tabla14[[#This Row],[VALOR CUOTAS]]</f>
        <v>#VALUE!</v>
      </c>
      <c r="S4973" s="88">
        <f>-IF(Tabla14[[#This Row],[DIAS HABILES O MORA]]&lt;0,(Tabla14[[#This Row],[VALOR PRESTAMO]]*Tabla14[[#This Row],[% INTERES ]]/30*U4973))</f>
        <v>0</v>
      </c>
      <c r="T4973" s="53" t="e">
        <f>Tabla14[[#This Row],[DEUDA CAPITAL]]+Tabla14[[#This Row],[INTERES  CUOTA]]</f>
        <v>#NUM!</v>
      </c>
      <c r="U4973" s="61" t="str">
        <f t="shared" si="789"/>
        <v/>
      </c>
    </row>
    <row r="4974" spans="9:21" ht="24.75" customHeight="1" x14ac:dyDescent="0.35">
      <c r="I4974" s="42">
        <f t="shared" si="780"/>
        <v>0</v>
      </c>
      <c r="J4974" s="65" t="e">
        <f t="shared" si="781"/>
        <v>#NUM!</v>
      </c>
      <c r="K4974" s="83" t="e">
        <f t="shared" si="782"/>
        <v>#NUM!</v>
      </c>
      <c r="L4974" s="83">
        <f t="shared" si="783"/>
        <v>0</v>
      </c>
      <c r="M4974" s="110" t="str">
        <f t="shared" si="784"/>
        <v/>
      </c>
      <c r="N4974" s="51" t="str">
        <f t="shared" si="785"/>
        <v/>
      </c>
      <c r="O4974" s="52" t="str">
        <f t="shared" si="786"/>
        <v/>
      </c>
      <c r="P4974" s="88">
        <f t="shared" si="787"/>
        <v>0</v>
      </c>
      <c r="Q4974" s="88">
        <f t="shared" si="788"/>
        <v>0</v>
      </c>
      <c r="R4974" s="88" t="e">
        <f>-IF(Tabla14[[#This Row],[DIAS HABILES O MORA]]&lt;0,(Tabla14[[#This Row],[VALOR PRESTAMO]]*Tabla14[[#This Row],[% INTERES ]]/30*U4974))+Tabla14[[#This Row],[VALOR CUOTAS]]</f>
        <v>#VALUE!</v>
      </c>
      <c r="S4974" s="88">
        <f>-IF(Tabla14[[#This Row],[DIAS HABILES O MORA]]&lt;0,(Tabla14[[#This Row],[VALOR PRESTAMO]]*Tabla14[[#This Row],[% INTERES ]]/30*U4974))</f>
        <v>0</v>
      </c>
      <c r="T4974" s="53" t="e">
        <f>Tabla14[[#This Row],[DEUDA CAPITAL]]+Tabla14[[#This Row],[INTERES  CUOTA]]</f>
        <v>#NUM!</v>
      </c>
      <c r="U4974" s="61" t="str">
        <f t="shared" si="789"/>
        <v/>
      </c>
    </row>
    <row r="4975" spans="9:21" ht="24.75" customHeight="1" x14ac:dyDescent="0.35">
      <c r="I4975" s="42">
        <f t="shared" si="780"/>
        <v>0</v>
      </c>
      <c r="J4975" s="65" t="e">
        <f t="shared" si="781"/>
        <v>#NUM!</v>
      </c>
      <c r="K4975" s="83" t="e">
        <f t="shared" si="782"/>
        <v>#NUM!</v>
      </c>
      <c r="L4975" s="83">
        <f t="shared" si="783"/>
        <v>0</v>
      </c>
      <c r="M4975" s="110" t="str">
        <f t="shared" si="784"/>
        <v/>
      </c>
      <c r="N4975" s="51" t="str">
        <f t="shared" si="785"/>
        <v/>
      </c>
      <c r="O4975" s="52" t="str">
        <f t="shared" si="786"/>
        <v/>
      </c>
      <c r="P4975" s="88">
        <f t="shared" si="787"/>
        <v>0</v>
      </c>
      <c r="Q4975" s="88">
        <f t="shared" si="788"/>
        <v>0</v>
      </c>
      <c r="R4975" s="88" t="e">
        <f>-IF(Tabla14[[#This Row],[DIAS HABILES O MORA]]&lt;0,(Tabla14[[#This Row],[VALOR PRESTAMO]]*Tabla14[[#This Row],[% INTERES ]]/30*U4975))+Tabla14[[#This Row],[VALOR CUOTAS]]</f>
        <v>#VALUE!</v>
      </c>
      <c r="S4975" s="88">
        <f>-IF(Tabla14[[#This Row],[DIAS HABILES O MORA]]&lt;0,(Tabla14[[#This Row],[VALOR PRESTAMO]]*Tabla14[[#This Row],[% INTERES ]]/30*U4975))</f>
        <v>0</v>
      </c>
      <c r="T4975" s="53" t="e">
        <f>Tabla14[[#This Row],[DEUDA CAPITAL]]+Tabla14[[#This Row],[INTERES  CUOTA]]</f>
        <v>#NUM!</v>
      </c>
      <c r="U4975" s="61" t="str">
        <f t="shared" si="789"/>
        <v/>
      </c>
    </row>
    <row r="4976" spans="9:21" ht="24.75" customHeight="1" x14ac:dyDescent="0.35">
      <c r="I4976" s="42">
        <f t="shared" si="780"/>
        <v>0</v>
      </c>
      <c r="J4976" s="65" t="e">
        <f t="shared" si="781"/>
        <v>#NUM!</v>
      </c>
      <c r="K4976" s="83" t="e">
        <f t="shared" si="782"/>
        <v>#NUM!</v>
      </c>
      <c r="L4976" s="83">
        <f t="shared" si="783"/>
        <v>0</v>
      </c>
      <c r="M4976" s="110" t="str">
        <f t="shared" si="784"/>
        <v/>
      </c>
      <c r="N4976" s="51" t="str">
        <f t="shared" si="785"/>
        <v/>
      </c>
      <c r="O4976" s="52" t="str">
        <f t="shared" si="786"/>
        <v/>
      </c>
      <c r="P4976" s="88">
        <f t="shared" si="787"/>
        <v>0</v>
      </c>
      <c r="Q4976" s="88">
        <f t="shared" si="788"/>
        <v>0</v>
      </c>
      <c r="R4976" s="88" t="e">
        <f>-IF(Tabla14[[#This Row],[DIAS HABILES O MORA]]&lt;0,(Tabla14[[#This Row],[VALOR PRESTAMO]]*Tabla14[[#This Row],[% INTERES ]]/30*U4976))+Tabla14[[#This Row],[VALOR CUOTAS]]</f>
        <v>#VALUE!</v>
      </c>
      <c r="S4976" s="88">
        <f>-IF(Tabla14[[#This Row],[DIAS HABILES O MORA]]&lt;0,(Tabla14[[#This Row],[VALOR PRESTAMO]]*Tabla14[[#This Row],[% INTERES ]]/30*U4976))</f>
        <v>0</v>
      </c>
      <c r="T4976" s="53" t="e">
        <f>Tabla14[[#This Row],[DEUDA CAPITAL]]+Tabla14[[#This Row],[INTERES  CUOTA]]</f>
        <v>#NUM!</v>
      </c>
      <c r="U4976" s="61" t="str">
        <f t="shared" si="789"/>
        <v/>
      </c>
    </row>
    <row r="4977" spans="9:21" ht="24.75" customHeight="1" x14ac:dyDescent="0.35">
      <c r="I4977" s="42">
        <f t="shared" si="780"/>
        <v>0</v>
      </c>
      <c r="J4977" s="65" t="e">
        <f t="shared" si="781"/>
        <v>#NUM!</v>
      </c>
      <c r="K4977" s="83" t="e">
        <f t="shared" si="782"/>
        <v>#NUM!</v>
      </c>
      <c r="L4977" s="83">
        <f t="shared" si="783"/>
        <v>0</v>
      </c>
      <c r="M4977" s="110" t="str">
        <f t="shared" si="784"/>
        <v/>
      </c>
      <c r="N4977" s="51" t="str">
        <f t="shared" si="785"/>
        <v/>
      </c>
      <c r="O4977" s="52" t="str">
        <f t="shared" si="786"/>
        <v/>
      </c>
      <c r="P4977" s="88">
        <f t="shared" si="787"/>
        <v>0</v>
      </c>
      <c r="Q4977" s="88">
        <f t="shared" si="788"/>
        <v>0</v>
      </c>
      <c r="R4977" s="88" t="e">
        <f>-IF(Tabla14[[#This Row],[DIAS HABILES O MORA]]&lt;0,(Tabla14[[#This Row],[VALOR PRESTAMO]]*Tabla14[[#This Row],[% INTERES ]]/30*U4977))+Tabla14[[#This Row],[VALOR CUOTAS]]</f>
        <v>#VALUE!</v>
      </c>
      <c r="S4977" s="88">
        <f>-IF(Tabla14[[#This Row],[DIAS HABILES O MORA]]&lt;0,(Tabla14[[#This Row],[VALOR PRESTAMO]]*Tabla14[[#This Row],[% INTERES ]]/30*U4977))</f>
        <v>0</v>
      </c>
      <c r="T4977" s="53" t="e">
        <f>Tabla14[[#This Row],[DEUDA CAPITAL]]+Tabla14[[#This Row],[INTERES  CUOTA]]</f>
        <v>#NUM!</v>
      </c>
      <c r="U4977" s="61" t="str">
        <f t="shared" si="789"/>
        <v/>
      </c>
    </row>
    <row r="4978" spans="9:21" ht="24.75" customHeight="1" x14ac:dyDescent="0.35">
      <c r="I4978" s="42">
        <f t="shared" si="780"/>
        <v>0</v>
      </c>
      <c r="J4978" s="65" t="e">
        <f t="shared" si="781"/>
        <v>#NUM!</v>
      </c>
      <c r="K4978" s="83" t="e">
        <f t="shared" si="782"/>
        <v>#NUM!</v>
      </c>
      <c r="L4978" s="83">
        <f t="shared" si="783"/>
        <v>0</v>
      </c>
      <c r="M4978" s="110" t="str">
        <f t="shared" si="784"/>
        <v/>
      </c>
      <c r="N4978" s="51" t="str">
        <f t="shared" si="785"/>
        <v/>
      </c>
      <c r="O4978" s="52" t="str">
        <f t="shared" si="786"/>
        <v/>
      </c>
      <c r="P4978" s="88">
        <f t="shared" si="787"/>
        <v>0</v>
      </c>
      <c r="Q4978" s="88">
        <f t="shared" si="788"/>
        <v>0</v>
      </c>
      <c r="R4978" s="88" t="e">
        <f>-IF(Tabla14[[#This Row],[DIAS HABILES O MORA]]&lt;0,(Tabla14[[#This Row],[VALOR PRESTAMO]]*Tabla14[[#This Row],[% INTERES ]]/30*U4978))+Tabla14[[#This Row],[VALOR CUOTAS]]</f>
        <v>#VALUE!</v>
      </c>
      <c r="S4978" s="88">
        <f>-IF(Tabla14[[#This Row],[DIAS HABILES O MORA]]&lt;0,(Tabla14[[#This Row],[VALOR PRESTAMO]]*Tabla14[[#This Row],[% INTERES ]]/30*U4978))</f>
        <v>0</v>
      </c>
      <c r="T4978" s="53" t="e">
        <f>Tabla14[[#This Row],[DEUDA CAPITAL]]+Tabla14[[#This Row],[INTERES  CUOTA]]</f>
        <v>#NUM!</v>
      </c>
      <c r="U4978" s="61" t="str">
        <f t="shared" si="789"/>
        <v/>
      </c>
    </row>
    <row r="4979" spans="9:21" ht="24.75" customHeight="1" x14ac:dyDescent="0.35">
      <c r="I4979" s="42">
        <f t="shared" si="780"/>
        <v>0</v>
      </c>
      <c r="J4979" s="65" t="e">
        <f t="shared" si="781"/>
        <v>#NUM!</v>
      </c>
      <c r="K4979" s="83" t="e">
        <f t="shared" si="782"/>
        <v>#NUM!</v>
      </c>
      <c r="L4979" s="83">
        <f t="shared" si="783"/>
        <v>0</v>
      </c>
      <c r="M4979" s="110" t="str">
        <f t="shared" si="784"/>
        <v/>
      </c>
      <c r="N4979" s="51" t="str">
        <f t="shared" si="785"/>
        <v/>
      </c>
      <c r="O4979" s="52" t="str">
        <f t="shared" si="786"/>
        <v/>
      </c>
      <c r="P4979" s="88">
        <f t="shared" si="787"/>
        <v>0</v>
      </c>
      <c r="Q4979" s="88">
        <f t="shared" si="788"/>
        <v>0</v>
      </c>
      <c r="R4979" s="88" t="e">
        <f>-IF(Tabla14[[#This Row],[DIAS HABILES O MORA]]&lt;0,(Tabla14[[#This Row],[VALOR PRESTAMO]]*Tabla14[[#This Row],[% INTERES ]]/30*U4979))+Tabla14[[#This Row],[VALOR CUOTAS]]</f>
        <v>#VALUE!</v>
      </c>
      <c r="S4979" s="88">
        <f>-IF(Tabla14[[#This Row],[DIAS HABILES O MORA]]&lt;0,(Tabla14[[#This Row],[VALOR PRESTAMO]]*Tabla14[[#This Row],[% INTERES ]]/30*U4979))</f>
        <v>0</v>
      </c>
      <c r="T4979" s="53" t="e">
        <f>Tabla14[[#This Row],[DEUDA CAPITAL]]+Tabla14[[#This Row],[INTERES  CUOTA]]</f>
        <v>#NUM!</v>
      </c>
      <c r="U4979" s="61" t="str">
        <f t="shared" si="789"/>
        <v/>
      </c>
    </row>
    <row r="4980" spans="9:21" ht="24.75" customHeight="1" x14ac:dyDescent="0.35">
      <c r="I4980" s="42">
        <f t="shared" si="780"/>
        <v>0</v>
      </c>
      <c r="J4980" s="65" t="e">
        <f t="shared" si="781"/>
        <v>#NUM!</v>
      </c>
      <c r="K4980" s="83" t="e">
        <f t="shared" si="782"/>
        <v>#NUM!</v>
      </c>
      <c r="L4980" s="83">
        <f t="shared" si="783"/>
        <v>0</v>
      </c>
      <c r="M4980" s="110" t="str">
        <f t="shared" si="784"/>
        <v/>
      </c>
      <c r="N4980" s="51" t="str">
        <f t="shared" si="785"/>
        <v/>
      </c>
      <c r="O4980" s="52" t="str">
        <f t="shared" si="786"/>
        <v/>
      </c>
      <c r="P4980" s="88">
        <f t="shared" si="787"/>
        <v>0</v>
      </c>
      <c r="Q4980" s="88">
        <f t="shared" si="788"/>
        <v>0</v>
      </c>
      <c r="R4980" s="88" t="e">
        <f>-IF(Tabla14[[#This Row],[DIAS HABILES O MORA]]&lt;0,(Tabla14[[#This Row],[VALOR PRESTAMO]]*Tabla14[[#This Row],[% INTERES ]]/30*U4980))+Tabla14[[#This Row],[VALOR CUOTAS]]</f>
        <v>#VALUE!</v>
      </c>
      <c r="S4980" s="88">
        <f>-IF(Tabla14[[#This Row],[DIAS HABILES O MORA]]&lt;0,(Tabla14[[#This Row],[VALOR PRESTAMO]]*Tabla14[[#This Row],[% INTERES ]]/30*U4980))</f>
        <v>0</v>
      </c>
      <c r="T4980" s="53" t="e">
        <f>Tabla14[[#This Row],[DEUDA CAPITAL]]+Tabla14[[#This Row],[INTERES  CUOTA]]</f>
        <v>#NUM!</v>
      </c>
      <c r="U4980" s="61" t="str">
        <f t="shared" si="789"/>
        <v/>
      </c>
    </row>
    <row r="4981" spans="9:21" ht="24.75" customHeight="1" x14ac:dyDescent="0.35">
      <c r="I4981" s="42">
        <f t="shared" si="780"/>
        <v>0</v>
      </c>
      <c r="J4981" s="65" t="e">
        <f t="shared" si="781"/>
        <v>#NUM!</v>
      </c>
      <c r="K4981" s="83" t="e">
        <f t="shared" si="782"/>
        <v>#NUM!</v>
      </c>
      <c r="L4981" s="83">
        <f t="shared" si="783"/>
        <v>0</v>
      </c>
      <c r="M4981" s="110" t="str">
        <f t="shared" si="784"/>
        <v/>
      </c>
      <c r="N4981" s="51" t="str">
        <f t="shared" si="785"/>
        <v/>
      </c>
      <c r="O4981" s="52" t="str">
        <f t="shared" si="786"/>
        <v/>
      </c>
      <c r="P4981" s="88">
        <f t="shared" si="787"/>
        <v>0</v>
      </c>
      <c r="Q4981" s="88">
        <f t="shared" si="788"/>
        <v>0</v>
      </c>
      <c r="R4981" s="88" t="e">
        <f>-IF(Tabla14[[#This Row],[DIAS HABILES O MORA]]&lt;0,(Tabla14[[#This Row],[VALOR PRESTAMO]]*Tabla14[[#This Row],[% INTERES ]]/30*U4981))+Tabla14[[#This Row],[VALOR CUOTAS]]</f>
        <v>#VALUE!</v>
      </c>
      <c r="S4981" s="88">
        <f>-IF(Tabla14[[#This Row],[DIAS HABILES O MORA]]&lt;0,(Tabla14[[#This Row],[VALOR PRESTAMO]]*Tabla14[[#This Row],[% INTERES ]]/30*U4981))</f>
        <v>0</v>
      </c>
      <c r="T4981" s="53" t="e">
        <f>Tabla14[[#This Row],[DEUDA CAPITAL]]+Tabla14[[#This Row],[INTERES  CUOTA]]</f>
        <v>#NUM!</v>
      </c>
      <c r="U4981" s="61" t="str">
        <f t="shared" si="789"/>
        <v/>
      </c>
    </row>
    <row r="4982" spans="9:21" ht="24.75" customHeight="1" x14ac:dyDescent="0.35">
      <c r="I4982" s="42">
        <f t="shared" si="780"/>
        <v>0</v>
      </c>
      <c r="J4982" s="65" t="e">
        <f t="shared" si="781"/>
        <v>#NUM!</v>
      </c>
      <c r="K4982" s="83" t="e">
        <f t="shared" si="782"/>
        <v>#NUM!</v>
      </c>
      <c r="L4982" s="83">
        <f t="shared" si="783"/>
        <v>0</v>
      </c>
      <c r="M4982" s="110" t="str">
        <f t="shared" si="784"/>
        <v/>
      </c>
      <c r="N4982" s="51" t="str">
        <f t="shared" si="785"/>
        <v/>
      </c>
      <c r="O4982" s="52" t="str">
        <f t="shared" si="786"/>
        <v/>
      </c>
      <c r="P4982" s="88">
        <f t="shared" si="787"/>
        <v>0</v>
      </c>
      <c r="Q4982" s="88">
        <f t="shared" si="788"/>
        <v>0</v>
      </c>
      <c r="R4982" s="88" t="e">
        <f>-IF(Tabla14[[#This Row],[DIAS HABILES O MORA]]&lt;0,(Tabla14[[#This Row],[VALOR PRESTAMO]]*Tabla14[[#This Row],[% INTERES ]]/30*U4982))+Tabla14[[#This Row],[VALOR CUOTAS]]</f>
        <v>#VALUE!</v>
      </c>
      <c r="S4982" s="88">
        <f>-IF(Tabla14[[#This Row],[DIAS HABILES O MORA]]&lt;0,(Tabla14[[#This Row],[VALOR PRESTAMO]]*Tabla14[[#This Row],[% INTERES ]]/30*U4982))</f>
        <v>0</v>
      </c>
      <c r="T4982" s="53" t="e">
        <f>Tabla14[[#This Row],[DEUDA CAPITAL]]+Tabla14[[#This Row],[INTERES  CUOTA]]</f>
        <v>#NUM!</v>
      </c>
      <c r="U4982" s="61" t="str">
        <f t="shared" si="789"/>
        <v/>
      </c>
    </row>
    <row r="4983" spans="9:21" ht="24.75" customHeight="1" x14ac:dyDescent="0.35">
      <c r="I4983" s="42">
        <f t="shared" si="780"/>
        <v>0</v>
      </c>
      <c r="J4983" s="65" t="e">
        <f t="shared" si="781"/>
        <v>#NUM!</v>
      </c>
      <c r="K4983" s="83" t="e">
        <f t="shared" si="782"/>
        <v>#NUM!</v>
      </c>
      <c r="L4983" s="83">
        <f t="shared" si="783"/>
        <v>0</v>
      </c>
      <c r="M4983" s="110" t="str">
        <f t="shared" si="784"/>
        <v/>
      </c>
      <c r="N4983" s="51" t="str">
        <f t="shared" si="785"/>
        <v/>
      </c>
      <c r="O4983" s="52" t="str">
        <f t="shared" si="786"/>
        <v/>
      </c>
      <c r="P4983" s="88">
        <f t="shared" si="787"/>
        <v>0</v>
      </c>
      <c r="Q4983" s="88">
        <f t="shared" si="788"/>
        <v>0</v>
      </c>
      <c r="R4983" s="88" t="e">
        <f>-IF(Tabla14[[#This Row],[DIAS HABILES O MORA]]&lt;0,(Tabla14[[#This Row],[VALOR PRESTAMO]]*Tabla14[[#This Row],[% INTERES ]]/30*U4983))+Tabla14[[#This Row],[VALOR CUOTAS]]</f>
        <v>#VALUE!</v>
      </c>
      <c r="S4983" s="88">
        <f>-IF(Tabla14[[#This Row],[DIAS HABILES O MORA]]&lt;0,(Tabla14[[#This Row],[VALOR PRESTAMO]]*Tabla14[[#This Row],[% INTERES ]]/30*U4983))</f>
        <v>0</v>
      </c>
      <c r="T4983" s="53" t="e">
        <f>Tabla14[[#This Row],[DEUDA CAPITAL]]+Tabla14[[#This Row],[INTERES  CUOTA]]</f>
        <v>#NUM!</v>
      </c>
      <c r="U4983" s="61" t="str">
        <f t="shared" si="789"/>
        <v/>
      </c>
    </row>
    <row r="4984" spans="9:21" ht="24.75" customHeight="1" x14ac:dyDescent="0.35">
      <c r="I4984" s="42">
        <f t="shared" si="780"/>
        <v>0</v>
      </c>
      <c r="J4984" s="65" t="e">
        <f t="shared" si="781"/>
        <v>#NUM!</v>
      </c>
      <c r="K4984" s="83" t="e">
        <f t="shared" si="782"/>
        <v>#NUM!</v>
      </c>
      <c r="L4984" s="83">
        <f t="shared" si="783"/>
        <v>0</v>
      </c>
      <c r="M4984" s="110" t="str">
        <f t="shared" si="784"/>
        <v/>
      </c>
      <c r="N4984" s="51" t="str">
        <f t="shared" si="785"/>
        <v/>
      </c>
      <c r="O4984" s="52" t="str">
        <f t="shared" si="786"/>
        <v/>
      </c>
      <c r="P4984" s="88">
        <f t="shared" si="787"/>
        <v>0</v>
      </c>
      <c r="Q4984" s="88">
        <f t="shared" si="788"/>
        <v>0</v>
      </c>
      <c r="R4984" s="88" t="e">
        <f>-IF(Tabla14[[#This Row],[DIAS HABILES O MORA]]&lt;0,(Tabla14[[#This Row],[VALOR PRESTAMO]]*Tabla14[[#This Row],[% INTERES ]]/30*U4984))+Tabla14[[#This Row],[VALOR CUOTAS]]</f>
        <v>#VALUE!</v>
      </c>
      <c r="S4984" s="88">
        <f>-IF(Tabla14[[#This Row],[DIAS HABILES O MORA]]&lt;0,(Tabla14[[#This Row],[VALOR PRESTAMO]]*Tabla14[[#This Row],[% INTERES ]]/30*U4984))</f>
        <v>0</v>
      </c>
      <c r="T4984" s="53" t="e">
        <f>Tabla14[[#This Row],[DEUDA CAPITAL]]+Tabla14[[#This Row],[INTERES  CUOTA]]</f>
        <v>#NUM!</v>
      </c>
      <c r="U4984" s="61" t="str">
        <f t="shared" si="789"/>
        <v/>
      </c>
    </row>
    <row r="4985" spans="9:21" ht="24.75" customHeight="1" x14ac:dyDescent="0.35">
      <c r="I4985" s="42">
        <f t="shared" si="780"/>
        <v>0</v>
      </c>
      <c r="J4985" s="65" t="e">
        <f t="shared" si="781"/>
        <v>#NUM!</v>
      </c>
      <c r="K4985" s="83" t="e">
        <f t="shared" si="782"/>
        <v>#NUM!</v>
      </c>
      <c r="L4985" s="83">
        <f t="shared" si="783"/>
        <v>0</v>
      </c>
      <c r="M4985" s="110" t="str">
        <f t="shared" si="784"/>
        <v/>
      </c>
      <c r="N4985" s="51" t="str">
        <f t="shared" si="785"/>
        <v/>
      </c>
      <c r="O4985" s="52" t="str">
        <f t="shared" si="786"/>
        <v/>
      </c>
      <c r="P4985" s="88">
        <f t="shared" si="787"/>
        <v>0</v>
      </c>
      <c r="Q4985" s="88">
        <f t="shared" si="788"/>
        <v>0</v>
      </c>
      <c r="R4985" s="88" t="e">
        <f>-IF(Tabla14[[#This Row],[DIAS HABILES O MORA]]&lt;0,(Tabla14[[#This Row],[VALOR PRESTAMO]]*Tabla14[[#This Row],[% INTERES ]]/30*U4985))+Tabla14[[#This Row],[VALOR CUOTAS]]</f>
        <v>#VALUE!</v>
      </c>
      <c r="S4985" s="88">
        <f>-IF(Tabla14[[#This Row],[DIAS HABILES O MORA]]&lt;0,(Tabla14[[#This Row],[VALOR PRESTAMO]]*Tabla14[[#This Row],[% INTERES ]]/30*U4985))</f>
        <v>0</v>
      </c>
      <c r="T4985" s="53" t="e">
        <f>Tabla14[[#This Row],[DEUDA CAPITAL]]+Tabla14[[#This Row],[INTERES  CUOTA]]</f>
        <v>#NUM!</v>
      </c>
      <c r="U4985" s="61" t="str">
        <f t="shared" si="789"/>
        <v/>
      </c>
    </row>
    <row r="4986" spans="9:21" ht="24.75" customHeight="1" x14ac:dyDescent="0.35">
      <c r="I4986" s="42">
        <f t="shared" si="780"/>
        <v>0</v>
      </c>
      <c r="J4986" s="65" t="e">
        <f t="shared" si="781"/>
        <v>#NUM!</v>
      </c>
      <c r="K4986" s="83" t="e">
        <f t="shared" si="782"/>
        <v>#NUM!</v>
      </c>
      <c r="L4986" s="83">
        <f t="shared" si="783"/>
        <v>0</v>
      </c>
      <c r="M4986" s="110" t="str">
        <f t="shared" si="784"/>
        <v/>
      </c>
      <c r="N4986" s="51" t="str">
        <f t="shared" si="785"/>
        <v/>
      </c>
      <c r="O4986" s="52" t="str">
        <f t="shared" si="786"/>
        <v/>
      </c>
      <c r="P4986" s="88">
        <f t="shared" si="787"/>
        <v>0</v>
      </c>
      <c r="Q4986" s="88">
        <f t="shared" si="788"/>
        <v>0</v>
      </c>
      <c r="R4986" s="88" t="e">
        <f>-IF(Tabla14[[#This Row],[DIAS HABILES O MORA]]&lt;0,(Tabla14[[#This Row],[VALOR PRESTAMO]]*Tabla14[[#This Row],[% INTERES ]]/30*U4986))+Tabla14[[#This Row],[VALOR CUOTAS]]</f>
        <v>#VALUE!</v>
      </c>
      <c r="S4986" s="88">
        <f>-IF(Tabla14[[#This Row],[DIAS HABILES O MORA]]&lt;0,(Tabla14[[#This Row],[VALOR PRESTAMO]]*Tabla14[[#This Row],[% INTERES ]]/30*U4986))</f>
        <v>0</v>
      </c>
      <c r="T4986" s="53" t="e">
        <f>Tabla14[[#This Row],[DEUDA CAPITAL]]+Tabla14[[#This Row],[INTERES  CUOTA]]</f>
        <v>#NUM!</v>
      </c>
      <c r="U4986" s="61" t="str">
        <f t="shared" si="789"/>
        <v/>
      </c>
    </row>
    <row r="4987" spans="9:21" ht="24.75" customHeight="1" x14ac:dyDescent="0.35">
      <c r="I4987" s="42">
        <f t="shared" si="780"/>
        <v>0</v>
      </c>
      <c r="J4987" s="65" t="e">
        <f t="shared" si="781"/>
        <v>#NUM!</v>
      </c>
      <c r="K4987" s="83" t="e">
        <f t="shared" si="782"/>
        <v>#NUM!</v>
      </c>
      <c r="L4987" s="83">
        <f t="shared" si="783"/>
        <v>0</v>
      </c>
      <c r="M4987" s="110" t="str">
        <f t="shared" si="784"/>
        <v/>
      </c>
      <c r="N4987" s="51" t="str">
        <f t="shared" si="785"/>
        <v/>
      </c>
      <c r="O4987" s="52" t="str">
        <f t="shared" si="786"/>
        <v/>
      </c>
      <c r="P4987" s="88">
        <f t="shared" si="787"/>
        <v>0</v>
      </c>
      <c r="Q4987" s="88">
        <f t="shared" si="788"/>
        <v>0</v>
      </c>
      <c r="R4987" s="88" t="e">
        <f>-IF(Tabla14[[#This Row],[DIAS HABILES O MORA]]&lt;0,(Tabla14[[#This Row],[VALOR PRESTAMO]]*Tabla14[[#This Row],[% INTERES ]]/30*U4987))+Tabla14[[#This Row],[VALOR CUOTAS]]</f>
        <v>#VALUE!</v>
      </c>
      <c r="S4987" s="88">
        <f>-IF(Tabla14[[#This Row],[DIAS HABILES O MORA]]&lt;0,(Tabla14[[#This Row],[VALOR PRESTAMO]]*Tabla14[[#This Row],[% INTERES ]]/30*U4987))</f>
        <v>0</v>
      </c>
      <c r="T4987" s="53" t="e">
        <f>Tabla14[[#This Row],[DEUDA CAPITAL]]+Tabla14[[#This Row],[INTERES  CUOTA]]</f>
        <v>#NUM!</v>
      </c>
      <c r="U4987" s="61" t="str">
        <f t="shared" si="789"/>
        <v/>
      </c>
    </row>
    <row r="4988" spans="9:21" ht="24.75" customHeight="1" x14ac:dyDescent="0.35">
      <c r="I4988" s="42">
        <f t="shared" si="780"/>
        <v>0</v>
      </c>
      <c r="J4988" s="65" t="e">
        <f t="shared" si="781"/>
        <v>#NUM!</v>
      </c>
      <c r="K4988" s="83" t="e">
        <f t="shared" si="782"/>
        <v>#NUM!</v>
      </c>
      <c r="L4988" s="83">
        <f t="shared" si="783"/>
        <v>0</v>
      </c>
      <c r="M4988" s="110" t="str">
        <f t="shared" si="784"/>
        <v/>
      </c>
      <c r="N4988" s="51" t="str">
        <f t="shared" si="785"/>
        <v/>
      </c>
      <c r="O4988" s="52" t="str">
        <f t="shared" si="786"/>
        <v/>
      </c>
      <c r="P4988" s="88">
        <f t="shared" si="787"/>
        <v>0</v>
      </c>
      <c r="Q4988" s="88">
        <f t="shared" si="788"/>
        <v>0</v>
      </c>
      <c r="R4988" s="88" t="e">
        <f>-IF(Tabla14[[#This Row],[DIAS HABILES O MORA]]&lt;0,(Tabla14[[#This Row],[VALOR PRESTAMO]]*Tabla14[[#This Row],[% INTERES ]]/30*U4988))+Tabla14[[#This Row],[VALOR CUOTAS]]</f>
        <v>#VALUE!</v>
      </c>
      <c r="S4988" s="88">
        <f>-IF(Tabla14[[#This Row],[DIAS HABILES O MORA]]&lt;0,(Tabla14[[#This Row],[VALOR PRESTAMO]]*Tabla14[[#This Row],[% INTERES ]]/30*U4988))</f>
        <v>0</v>
      </c>
      <c r="T4988" s="53" t="e">
        <f>Tabla14[[#This Row],[DEUDA CAPITAL]]+Tabla14[[#This Row],[INTERES  CUOTA]]</f>
        <v>#NUM!</v>
      </c>
      <c r="U4988" s="61" t="str">
        <f t="shared" si="789"/>
        <v/>
      </c>
    </row>
    <row r="4989" spans="9:21" ht="24.75" customHeight="1" x14ac:dyDescent="0.35">
      <c r="I4989" s="42">
        <f t="shared" si="780"/>
        <v>0</v>
      </c>
      <c r="J4989" s="65" t="e">
        <f t="shared" si="781"/>
        <v>#NUM!</v>
      </c>
      <c r="K4989" s="83" t="e">
        <f t="shared" si="782"/>
        <v>#NUM!</v>
      </c>
      <c r="L4989" s="83">
        <f t="shared" si="783"/>
        <v>0</v>
      </c>
      <c r="M4989" s="110" t="str">
        <f t="shared" si="784"/>
        <v/>
      </c>
      <c r="N4989" s="51" t="str">
        <f t="shared" si="785"/>
        <v/>
      </c>
      <c r="O4989" s="52" t="str">
        <f t="shared" si="786"/>
        <v/>
      </c>
      <c r="P4989" s="88">
        <f t="shared" si="787"/>
        <v>0</v>
      </c>
      <c r="Q4989" s="88">
        <f t="shared" si="788"/>
        <v>0</v>
      </c>
      <c r="R4989" s="88" t="e">
        <f>-IF(Tabla14[[#This Row],[DIAS HABILES O MORA]]&lt;0,(Tabla14[[#This Row],[VALOR PRESTAMO]]*Tabla14[[#This Row],[% INTERES ]]/30*U4989))+Tabla14[[#This Row],[VALOR CUOTAS]]</f>
        <v>#VALUE!</v>
      </c>
      <c r="S4989" s="88">
        <f>-IF(Tabla14[[#This Row],[DIAS HABILES O MORA]]&lt;0,(Tabla14[[#This Row],[VALOR PRESTAMO]]*Tabla14[[#This Row],[% INTERES ]]/30*U4989))</f>
        <v>0</v>
      </c>
      <c r="T4989" s="53" t="e">
        <f>Tabla14[[#This Row],[DEUDA CAPITAL]]+Tabla14[[#This Row],[INTERES  CUOTA]]</f>
        <v>#NUM!</v>
      </c>
      <c r="U4989" s="61" t="str">
        <f t="shared" si="789"/>
        <v/>
      </c>
    </row>
    <row r="4990" spans="9:21" ht="24.75" customHeight="1" x14ac:dyDescent="0.35">
      <c r="I4990" s="42">
        <f t="shared" si="780"/>
        <v>0</v>
      </c>
      <c r="J4990" s="65" t="e">
        <f t="shared" si="781"/>
        <v>#NUM!</v>
      </c>
      <c r="K4990" s="83" t="e">
        <f t="shared" si="782"/>
        <v>#NUM!</v>
      </c>
      <c r="L4990" s="83">
        <f t="shared" si="783"/>
        <v>0</v>
      </c>
      <c r="M4990" s="110" t="str">
        <f t="shared" si="784"/>
        <v/>
      </c>
      <c r="N4990" s="51" t="str">
        <f t="shared" si="785"/>
        <v/>
      </c>
      <c r="O4990" s="52" t="str">
        <f t="shared" si="786"/>
        <v/>
      </c>
      <c r="P4990" s="88">
        <f t="shared" si="787"/>
        <v>0</v>
      </c>
      <c r="Q4990" s="88">
        <f t="shared" si="788"/>
        <v>0</v>
      </c>
      <c r="R4990" s="88" t="e">
        <f>-IF(Tabla14[[#This Row],[DIAS HABILES O MORA]]&lt;0,(Tabla14[[#This Row],[VALOR PRESTAMO]]*Tabla14[[#This Row],[% INTERES ]]/30*U4990))+Tabla14[[#This Row],[VALOR CUOTAS]]</f>
        <v>#VALUE!</v>
      </c>
      <c r="S4990" s="88">
        <f>-IF(Tabla14[[#This Row],[DIAS HABILES O MORA]]&lt;0,(Tabla14[[#This Row],[VALOR PRESTAMO]]*Tabla14[[#This Row],[% INTERES ]]/30*U4990))</f>
        <v>0</v>
      </c>
      <c r="T4990" s="53" t="e">
        <f>Tabla14[[#This Row],[DEUDA CAPITAL]]+Tabla14[[#This Row],[INTERES  CUOTA]]</f>
        <v>#NUM!</v>
      </c>
      <c r="U4990" s="61" t="str">
        <f t="shared" si="789"/>
        <v/>
      </c>
    </row>
    <row r="4991" spans="9:21" ht="24.75" customHeight="1" x14ac:dyDescent="0.35">
      <c r="I4991" s="42">
        <f t="shared" si="780"/>
        <v>0</v>
      </c>
      <c r="J4991" s="65" t="e">
        <f t="shared" si="781"/>
        <v>#NUM!</v>
      </c>
      <c r="K4991" s="83" t="e">
        <f t="shared" si="782"/>
        <v>#NUM!</v>
      </c>
      <c r="L4991" s="83">
        <f t="shared" si="783"/>
        <v>0</v>
      </c>
      <c r="M4991" s="110" t="str">
        <f t="shared" si="784"/>
        <v/>
      </c>
      <c r="N4991" s="51" t="str">
        <f t="shared" si="785"/>
        <v/>
      </c>
      <c r="O4991" s="52" t="str">
        <f t="shared" si="786"/>
        <v/>
      </c>
      <c r="P4991" s="88">
        <f t="shared" si="787"/>
        <v>0</v>
      </c>
      <c r="Q4991" s="88">
        <f t="shared" si="788"/>
        <v>0</v>
      </c>
      <c r="R4991" s="88" t="e">
        <f>-IF(Tabla14[[#This Row],[DIAS HABILES O MORA]]&lt;0,(Tabla14[[#This Row],[VALOR PRESTAMO]]*Tabla14[[#This Row],[% INTERES ]]/30*U4991))+Tabla14[[#This Row],[VALOR CUOTAS]]</f>
        <v>#VALUE!</v>
      </c>
      <c r="S4991" s="88">
        <f>-IF(Tabla14[[#This Row],[DIAS HABILES O MORA]]&lt;0,(Tabla14[[#This Row],[VALOR PRESTAMO]]*Tabla14[[#This Row],[% INTERES ]]/30*U4991))</f>
        <v>0</v>
      </c>
      <c r="T4991" s="53" t="e">
        <f>Tabla14[[#This Row],[DEUDA CAPITAL]]+Tabla14[[#This Row],[INTERES  CUOTA]]</f>
        <v>#NUM!</v>
      </c>
      <c r="U4991" s="61" t="str">
        <f t="shared" si="789"/>
        <v/>
      </c>
    </row>
    <row r="4992" spans="9:21" ht="24.75" customHeight="1" x14ac:dyDescent="0.35">
      <c r="I4992" s="42">
        <f t="shared" si="780"/>
        <v>0</v>
      </c>
      <c r="J4992" s="65" t="e">
        <f t="shared" si="781"/>
        <v>#NUM!</v>
      </c>
      <c r="K4992" s="83" t="e">
        <f t="shared" si="782"/>
        <v>#NUM!</v>
      </c>
      <c r="L4992" s="83">
        <f t="shared" si="783"/>
        <v>0</v>
      </c>
      <c r="M4992" s="110" t="str">
        <f t="shared" si="784"/>
        <v/>
      </c>
      <c r="N4992" s="51" t="str">
        <f t="shared" si="785"/>
        <v/>
      </c>
      <c r="O4992" s="52" t="str">
        <f t="shared" si="786"/>
        <v/>
      </c>
      <c r="P4992" s="88">
        <f t="shared" si="787"/>
        <v>0</v>
      </c>
      <c r="Q4992" s="88">
        <f t="shared" si="788"/>
        <v>0</v>
      </c>
      <c r="R4992" s="88" t="e">
        <f>-IF(Tabla14[[#This Row],[DIAS HABILES O MORA]]&lt;0,(Tabla14[[#This Row],[VALOR PRESTAMO]]*Tabla14[[#This Row],[% INTERES ]]/30*U4992))+Tabla14[[#This Row],[VALOR CUOTAS]]</f>
        <v>#VALUE!</v>
      </c>
      <c r="S4992" s="88">
        <f>-IF(Tabla14[[#This Row],[DIAS HABILES O MORA]]&lt;0,(Tabla14[[#This Row],[VALOR PRESTAMO]]*Tabla14[[#This Row],[% INTERES ]]/30*U4992))</f>
        <v>0</v>
      </c>
      <c r="T4992" s="53" t="e">
        <f>Tabla14[[#This Row],[DEUDA CAPITAL]]+Tabla14[[#This Row],[INTERES  CUOTA]]</f>
        <v>#NUM!</v>
      </c>
      <c r="U4992" s="61" t="str">
        <f t="shared" si="789"/>
        <v/>
      </c>
    </row>
    <row r="4993" spans="9:21" ht="24.75" customHeight="1" x14ac:dyDescent="0.35">
      <c r="I4993" s="42">
        <f t="shared" si="780"/>
        <v>0</v>
      </c>
      <c r="J4993" s="65" t="e">
        <f t="shared" si="781"/>
        <v>#NUM!</v>
      </c>
      <c r="K4993" s="83" t="e">
        <f t="shared" si="782"/>
        <v>#NUM!</v>
      </c>
      <c r="L4993" s="83">
        <f t="shared" si="783"/>
        <v>0</v>
      </c>
      <c r="M4993" s="110" t="str">
        <f t="shared" si="784"/>
        <v/>
      </c>
      <c r="N4993" s="51" t="str">
        <f t="shared" si="785"/>
        <v/>
      </c>
      <c r="O4993" s="52" t="str">
        <f t="shared" si="786"/>
        <v/>
      </c>
      <c r="P4993" s="88">
        <f t="shared" si="787"/>
        <v>0</v>
      </c>
      <c r="Q4993" s="88">
        <f t="shared" si="788"/>
        <v>0</v>
      </c>
      <c r="R4993" s="88" t="e">
        <f>-IF(Tabla14[[#This Row],[DIAS HABILES O MORA]]&lt;0,(Tabla14[[#This Row],[VALOR PRESTAMO]]*Tabla14[[#This Row],[% INTERES ]]/30*U4993))+Tabla14[[#This Row],[VALOR CUOTAS]]</f>
        <v>#VALUE!</v>
      </c>
      <c r="S4993" s="88">
        <f>-IF(Tabla14[[#This Row],[DIAS HABILES O MORA]]&lt;0,(Tabla14[[#This Row],[VALOR PRESTAMO]]*Tabla14[[#This Row],[% INTERES ]]/30*U4993))</f>
        <v>0</v>
      </c>
      <c r="T4993" s="53" t="e">
        <f>Tabla14[[#This Row],[DEUDA CAPITAL]]+Tabla14[[#This Row],[INTERES  CUOTA]]</f>
        <v>#NUM!</v>
      </c>
      <c r="U4993" s="61" t="str">
        <f t="shared" si="789"/>
        <v/>
      </c>
    </row>
    <row r="4994" spans="9:21" ht="24.75" customHeight="1" x14ac:dyDescent="0.35">
      <c r="I4994" s="42">
        <f t="shared" si="780"/>
        <v>0</v>
      </c>
      <c r="J4994" s="65" t="e">
        <f t="shared" si="781"/>
        <v>#NUM!</v>
      </c>
      <c r="K4994" s="83" t="e">
        <f t="shared" si="782"/>
        <v>#NUM!</v>
      </c>
      <c r="L4994" s="83">
        <f t="shared" si="783"/>
        <v>0</v>
      </c>
      <c r="M4994" s="110" t="str">
        <f t="shared" si="784"/>
        <v/>
      </c>
      <c r="N4994" s="51" t="str">
        <f t="shared" si="785"/>
        <v/>
      </c>
      <c r="O4994" s="52" t="str">
        <f t="shared" si="786"/>
        <v/>
      </c>
      <c r="P4994" s="88">
        <f t="shared" si="787"/>
        <v>0</v>
      </c>
      <c r="Q4994" s="88">
        <f t="shared" si="788"/>
        <v>0</v>
      </c>
      <c r="R4994" s="88" t="e">
        <f>-IF(Tabla14[[#This Row],[DIAS HABILES O MORA]]&lt;0,(Tabla14[[#This Row],[VALOR PRESTAMO]]*Tabla14[[#This Row],[% INTERES ]]/30*U4994))+Tabla14[[#This Row],[VALOR CUOTAS]]</f>
        <v>#VALUE!</v>
      </c>
      <c r="S4994" s="88">
        <f>-IF(Tabla14[[#This Row],[DIAS HABILES O MORA]]&lt;0,(Tabla14[[#This Row],[VALOR PRESTAMO]]*Tabla14[[#This Row],[% INTERES ]]/30*U4994))</f>
        <v>0</v>
      </c>
      <c r="T4994" s="53" t="e">
        <f>Tabla14[[#This Row],[DEUDA CAPITAL]]+Tabla14[[#This Row],[INTERES  CUOTA]]</f>
        <v>#NUM!</v>
      </c>
      <c r="U4994" s="61" t="str">
        <f t="shared" si="789"/>
        <v/>
      </c>
    </row>
    <row r="4995" spans="9:21" ht="24.75" customHeight="1" x14ac:dyDescent="0.35">
      <c r="I4995" s="42">
        <f t="shared" si="780"/>
        <v>0</v>
      </c>
      <c r="J4995" s="65" t="e">
        <f t="shared" si="781"/>
        <v>#NUM!</v>
      </c>
      <c r="K4995" s="83" t="e">
        <f t="shared" si="782"/>
        <v>#NUM!</v>
      </c>
      <c r="L4995" s="83">
        <f t="shared" si="783"/>
        <v>0</v>
      </c>
      <c r="M4995" s="110" t="str">
        <f t="shared" si="784"/>
        <v/>
      </c>
      <c r="N4995" s="51" t="str">
        <f t="shared" si="785"/>
        <v/>
      </c>
      <c r="O4995" s="52" t="str">
        <f t="shared" si="786"/>
        <v/>
      </c>
      <c r="P4995" s="88">
        <f t="shared" si="787"/>
        <v>0</v>
      </c>
      <c r="Q4995" s="88">
        <f t="shared" si="788"/>
        <v>0</v>
      </c>
      <c r="R4995" s="88" t="e">
        <f>-IF(Tabla14[[#This Row],[DIAS HABILES O MORA]]&lt;0,(Tabla14[[#This Row],[VALOR PRESTAMO]]*Tabla14[[#This Row],[% INTERES ]]/30*U4995))+Tabla14[[#This Row],[VALOR CUOTAS]]</f>
        <v>#VALUE!</v>
      </c>
      <c r="S4995" s="88">
        <f>-IF(Tabla14[[#This Row],[DIAS HABILES O MORA]]&lt;0,(Tabla14[[#This Row],[VALOR PRESTAMO]]*Tabla14[[#This Row],[% INTERES ]]/30*U4995))</f>
        <v>0</v>
      </c>
      <c r="T4995" s="53" t="e">
        <f>Tabla14[[#This Row],[DEUDA CAPITAL]]+Tabla14[[#This Row],[INTERES  CUOTA]]</f>
        <v>#NUM!</v>
      </c>
      <c r="U4995" s="61" t="str">
        <f t="shared" si="789"/>
        <v/>
      </c>
    </row>
    <row r="4996" spans="9:21" ht="24.75" customHeight="1" x14ac:dyDescent="0.35">
      <c r="I4996" s="42">
        <f t="shared" si="780"/>
        <v>0</v>
      </c>
      <c r="J4996" s="65" t="e">
        <f t="shared" si="781"/>
        <v>#NUM!</v>
      </c>
      <c r="K4996" s="83" t="e">
        <f t="shared" si="782"/>
        <v>#NUM!</v>
      </c>
      <c r="L4996" s="83">
        <f t="shared" si="783"/>
        <v>0</v>
      </c>
      <c r="M4996" s="110" t="str">
        <f t="shared" si="784"/>
        <v/>
      </c>
      <c r="N4996" s="51" t="str">
        <f t="shared" si="785"/>
        <v/>
      </c>
      <c r="O4996" s="52" t="str">
        <f t="shared" si="786"/>
        <v/>
      </c>
      <c r="P4996" s="88">
        <f t="shared" si="787"/>
        <v>0</v>
      </c>
      <c r="Q4996" s="88">
        <f t="shared" si="788"/>
        <v>0</v>
      </c>
      <c r="R4996" s="88" t="e">
        <f>-IF(Tabla14[[#This Row],[DIAS HABILES O MORA]]&lt;0,(Tabla14[[#This Row],[VALOR PRESTAMO]]*Tabla14[[#This Row],[% INTERES ]]/30*U4996))+Tabla14[[#This Row],[VALOR CUOTAS]]</f>
        <v>#VALUE!</v>
      </c>
      <c r="S4996" s="88">
        <f>-IF(Tabla14[[#This Row],[DIAS HABILES O MORA]]&lt;0,(Tabla14[[#This Row],[VALOR PRESTAMO]]*Tabla14[[#This Row],[% INTERES ]]/30*U4996))</f>
        <v>0</v>
      </c>
      <c r="T4996" s="53" t="e">
        <f>Tabla14[[#This Row],[DEUDA CAPITAL]]+Tabla14[[#This Row],[INTERES  CUOTA]]</f>
        <v>#NUM!</v>
      </c>
      <c r="U4996" s="61" t="str">
        <f t="shared" si="789"/>
        <v/>
      </c>
    </row>
    <row r="4997" spans="9:21" ht="24.75" customHeight="1" x14ac:dyDescent="0.35">
      <c r="I4997" s="42">
        <f t="shared" si="780"/>
        <v>0</v>
      </c>
      <c r="J4997" s="65" t="e">
        <f t="shared" si="781"/>
        <v>#NUM!</v>
      </c>
      <c r="K4997" s="83" t="e">
        <f t="shared" si="782"/>
        <v>#NUM!</v>
      </c>
      <c r="L4997" s="83">
        <f t="shared" si="783"/>
        <v>0</v>
      </c>
      <c r="M4997" s="110" t="str">
        <f t="shared" si="784"/>
        <v/>
      </c>
      <c r="N4997" s="51" t="str">
        <f t="shared" si="785"/>
        <v/>
      </c>
      <c r="O4997" s="52" t="str">
        <f t="shared" si="786"/>
        <v/>
      </c>
      <c r="P4997" s="88">
        <f t="shared" si="787"/>
        <v>0</v>
      </c>
      <c r="Q4997" s="88">
        <f t="shared" si="788"/>
        <v>0</v>
      </c>
      <c r="R4997" s="88" t="e">
        <f>-IF(Tabla14[[#This Row],[DIAS HABILES O MORA]]&lt;0,(Tabla14[[#This Row],[VALOR PRESTAMO]]*Tabla14[[#This Row],[% INTERES ]]/30*U4997))+Tabla14[[#This Row],[VALOR CUOTAS]]</f>
        <v>#VALUE!</v>
      </c>
      <c r="S4997" s="88">
        <f>-IF(Tabla14[[#This Row],[DIAS HABILES O MORA]]&lt;0,(Tabla14[[#This Row],[VALOR PRESTAMO]]*Tabla14[[#This Row],[% INTERES ]]/30*U4997))</f>
        <v>0</v>
      </c>
      <c r="T4997" s="53" t="e">
        <f>Tabla14[[#This Row],[DEUDA CAPITAL]]+Tabla14[[#This Row],[INTERES  CUOTA]]</f>
        <v>#NUM!</v>
      </c>
      <c r="U4997" s="61" t="str">
        <f t="shared" si="789"/>
        <v/>
      </c>
    </row>
    <row r="4998" spans="9:21" ht="24.75" customHeight="1" x14ac:dyDescent="0.35">
      <c r="I4998" s="42">
        <f t="shared" si="780"/>
        <v>0</v>
      </c>
      <c r="J4998" s="65" t="e">
        <f t="shared" si="781"/>
        <v>#NUM!</v>
      </c>
      <c r="K4998" s="83" t="e">
        <f t="shared" si="782"/>
        <v>#NUM!</v>
      </c>
      <c r="L4998" s="83">
        <f t="shared" si="783"/>
        <v>0</v>
      </c>
      <c r="M4998" s="110" t="str">
        <f t="shared" si="784"/>
        <v/>
      </c>
      <c r="N4998" s="51" t="str">
        <f t="shared" si="785"/>
        <v/>
      </c>
      <c r="O4998" s="52" t="str">
        <f t="shared" si="786"/>
        <v/>
      </c>
      <c r="P4998" s="88">
        <f t="shared" si="787"/>
        <v>0</v>
      </c>
      <c r="Q4998" s="88">
        <f t="shared" si="788"/>
        <v>0</v>
      </c>
      <c r="R4998" s="88" t="e">
        <f>-IF(Tabla14[[#This Row],[DIAS HABILES O MORA]]&lt;0,(Tabla14[[#This Row],[VALOR PRESTAMO]]*Tabla14[[#This Row],[% INTERES ]]/30*U4998))+Tabla14[[#This Row],[VALOR CUOTAS]]</f>
        <v>#VALUE!</v>
      </c>
      <c r="S4998" s="88">
        <f>-IF(Tabla14[[#This Row],[DIAS HABILES O MORA]]&lt;0,(Tabla14[[#This Row],[VALOR PRESTAMO]]*Tabla14[[#This Row],[% INTERES ]]/30*U4998))</f>
        <v>0</v>
      </c>
      <c r="T4998" s="53" t="e">
        <f>Tabla14[[#This Row],[DEUDA CAPITAL]]+Tabla14[[#This Row],[INTERES  CUOTA]]</f>
        <v>#NUM!</v>
      </c>
      <c r="U4998" s="61" t="str">
        <f t="shared" si="789"/>
        <v/>
      </c>
    </row>
    <row r="4999" spans="9:21" ht="24.75" customHeight="1" x14ac:dyDescent="0.35">
      <c r="I4999" s="42">
        <f t="shared" si="780"/>
        <v>0</v>
      </c>
      <c r="J4999" s="65" t="e">
        <f t="shared" si="781"/>
        <v>#NUM!</v>
      </c>
      <c r="K4999" s="83" t="e">
        <f t="shared" si="782"/>
        <v>#NUM!</v>
      </c>
      <c r="L4999" s="83">
        <f t="shared" si="783"/>
        <v>0</v>
      </c>
      <c r="M4999" s="110" t="str">
        <f t="shared" si="784"/>
        <v/>
      </c>
      <c r="N4999" s="51" t="str">
        <f t="shared" si="785"/>
        <v/>
      </c>
      <c r="O4999" s="52" t="str">
        <f t="shared" si="786"/>
        <v/>
      </c>
      <c r="P4999" s="88">
        <f t="shared" si="787"/>
        <v>0</v>
      </c>
      <c r="Q4999" s="88">
        <f t="shared" si="788"/>
        <v>0</v>
      </c>
      <c r="R4999" s="88" t="e">
        <f>-IF(Tabla14[[#This Row],[DIAS HABILES O MORA]]&lt;0,(Tabla14[[#This Row],[VALOR PRESTAMO]]*Tabla14[[#This Row],[% INTERES ]]/30*U4999))+Tabla14[[#This Row],[VALOR CUOTAS]]</f>
        <v>#VALUE!</v>
      </c>
      <c r="S4999" s="88">
        <f>-IF(Tabla14[[#This Row],[DIAS HABILES O MORA]]&lt;0,(Tabla14[[#This Row],[VALOR PRESTAMO]]*Tabla14[[#This Row],[% INTERES ]]/30*U4999))</f>
        <v>0</v>
      </c>
      <c r="T4999" s="53" t="e">
        <f>Tabla14[[#This Row],[DEUDA CAPITAL]]+Tabla14[[#This Row],[INTERES  CUOTA]]</f>
        <v>#NUM!</v>
      </c>
      <c r="U4999" s="61" t="str">
        <f t="shared" si="789"/>
        <v/>
      </c>
    </row>
    <row r="5000" spans="9:21" ht="24.75" customHeight="1" x14ac:dyDescent="0.35">
      <c r="I5000" s="42">
        <f t="shared" si="780"/>
        <v>0</v>
      </c>
      <c r="J5000" s="65" t="e">
        <f t="shared" si="781"/>
        <v>#NUM!</v>
      </c>
      <c r="K5000" s="83" t="e">
        <f t="shared" si="782"/>
        <v>#NUM!</v>
      </c>
      <c r="L5000" s="83">
        <f t="shared" si="783"/>
        <v>0</v>
      </c>
      <c r="M5000" s="110" t="str">
        <f t="shared" si="784"/>
        <v/>
      </c>
      <c r="N5000" s="51" t="str">
        <f t="shared" si="785"/>
        <v/>
      </c>
      <c r="O5000" s="52" t="str">
        <f t="shared" si="786"/>
        <v/>
      </c>
      <c r="P5000" s="88">
        <f t="shared" si="787"/>
        <v>0</v>
      </c>
      <c r="Q5000" s="88">
        <f t="shared" si="788"/>
        <v>0</v>
      </c>
      <c r="R5000" s="88" t="e">
        <f>-IF(Tabla14[[#This Row],[DIAS HABILES O MORA]]&lt;0,(Tabla14[[#This Row],[VALOR PRESTAMO]]*Tabla14[[#This Row],[% INTERES ]]/30*U5000))+Tabla14[[#This Row],[VALOR CUOTAS]]</f>
        <v>#VALUE!</v>
      </c>
      <c r="S5000" s="88">
        <f>-IF(Tabla14[[#This Row],[DIAS HABILES O MORA]]&lt;0,(Tabla14[[#This Row],[VALOR PRESTAMO]]*Tabla14[[#This Row],[% INTERES ]]/30*U5000))</f>
        <v>0</v>
      </c>
      <c r="T5000" s="53" t="e">
        <f>Tabla14[[#This Row],[DEUDA CAPITAL]]+Tabla14[[#This Row],[INTERES  CUOTA]]</f>
        <v>#NUM!</v>
      </c>
      <c r="U5000" s="61" t="str">
        <f t="shared" si="789"/>
        <v/>
      </c>
    </row>
    <row r="5001" spans="9:21" ht="24.75" customHeight="1" x14ac:dyDescent="0.35">
      <c r="I5001" s="42">
        <f t="shared" si="780"/>
        <v>0</v>
      </c>
      <c r="J5001" s="65" t="e">
        <f t="shared" si="781"/>
        <v>#NUM!</v>
      </c>
      <c r="K5001" s="83" t="e">
        <f t="shared" si="782"/>
        <v>#NUM!</v>
      </c>
      <c r="L5001" s="83">
        <f t="shared" si="783"/>
        <v>0</v>
      </c>
      <c r="M5001" s="110" t="str">
        <f t="shared" si="784"/>
        <v/>
      </c>
      <c r="N5001" s="51" t="str">
        <f t="shared" si="785"/>
        <v/>
      </c>
      <c r="O5001" s="52" t="str">
        <f t="shared" si="786"/>
        <v/>
      </c>
      <c r="P5001" s="88">
        <f t="shared" si="787"/>
        <v>0</v>
      </c>
      <c r="Q5001" s="88">
        <f t="shared" si="788"/>
        <v>0</v>
      </c>
      <c r="R5001" s="88" t="e">
        <f>-IF(Tabla14[[#This Row],[DIAS HABILES O MORA]]&lt;0,(Tabla14[[#This Row],[VALOR PRESTAMO]]*Tabla14[[#This Row],[% INTERES ]]/30*U5001))+Tabla14[[#This Row],[VALOR CUOTAS]]</f>
        <v>#VALUE!</v>
      </c>
      <c r="S5001" s="88">
        <f>-IF(Tabla14[[#This Row],[DIAS HABILES O MORA]]&lt;0,(Tabla14[[#This Row],[VALOR PRESTAMO]]*Tabla14[[#This Row],[% INTERES ]]/30*U5001))</f>
        <v>0</v>
      </c>
      <c r="T5001" s="53" t="e">
        <f>Tabla14[[#This Row],[DEUDA CAPITAL]]+Tabla14[[#This Row],[INTERES  CUOTA]]</f>
        <v>#NUM!</v>
      </c>
      <c r="U5001" s="61" t="str">
        <f t="shared" si="789"/>
        <v/>
      </c>
    </row>
    <row r="5002" spans="9:21" ht="24.75" customHeight="1" x14ac:dyDescent="0.35">
      <c r="I5002" s="42">
        <f t="shared" si="780"/>
        <v>0</v>
      </c>
      <c r="J5002" s="65" t="e">
        <f t="shared" si="781"/>
        <v>#NUM!</v>
      </c>
      <c r="K5002" s="83" t="e">
        <f t="shared" si="782"/>
        <v>#NUM!</v>
      </c>
      <c r="L5002" s="83">
        <f t="shared" si="783"/>
        <v>0</v>
      </c>
      <c r="M5002" s="110" t="str">
        <f t="shared" si="784"/>
        <v/>
      </c>
      <c r="N5002" s="51" t="str">
        <f t="shared" si="785"/>
        <v/>
      </c>
      <c r="O5002" s="52" t="str">
        <f t="shared" si="786"/>
        <v/>
      </c>
      <c r="P5002" s="88">
        <f t="shared" si="787"/>
        <v>0</v>
      </c>
      <c r="Q5002" s="88">
        <f t="shared" si="788"/>
        <v>0</v>
      </c>
      <c r="R5002" s="88" t="e">
        <f>-IF(Tabla14[[#This Row],[DIAS HABILES O MORA]]&lt;0,(Tabla14[[#This Row],[VALOR PRESTAMO]]*Tabla14[[#This Row],[% INTERES ]]/30*U5002))+Tabla14[[#This Row],[VALOR CUOTAS]]</f>
        <v>#VALUE!</v>
      </c>
      <c r="S5002" s="88">
        <f>-IF(Tabla14[[#This Row],[DIAS HABILES O MORA]]&lt;0,(Tabla14[[#This Row],[VALOR PRESTAMO]]*Tabla14[[#This Row],[% INTERES ]]/30*U5002))</f>
        <v>0</v>
      </c>
      <c r="T5002" s="53" t="e">
        <f>Tabla14[[#This Row],[DEUDA CAPITAL]]+Tabla14[[#This Row],[INTERES  CUOTA]]</f>
        <v>#NUM!</v>
      </c>
      <c r="U5002" s="61" t="str">
        <f t="shared" si="789"/>
        <v/>
      </c>
    </row>
    <row r="5003" spans="9:21" ht="24.75" customHeight="1" x14ac:dyDescent="0.35">
      <c r="I5003" s="42">
        <f t="shared" si="780"/>
        <v>0</v>
      </c>
      <c r="J5003" s="65" t="e">
        <f t="shared" si="781"/>
        <v>#NUM!</v>
      </c>
      <c r="K5003" s="83" t="e">
        <f t="shared" si="782"/>
        <v>#NUM!</v>
      </c>
      <c r="L5003" s="83">
        <f t="shared" si="783"/>
        <v>0</v>
      </c>
      <c r="M5003" s="110" t="str">
        <f t="shared" si="784"/>
        <v/>
      </c>
      <c r="N5003" s="51" t="str">
        <f t="shared" si="785"/>
        <v/>
      </c>
      <c r="O5003" s="52" t="str">
        <f t="shared" si="786"/>
        <v/>
      </c>
      <c r="P5003" s="88">
        <f t="shared" si="787"/>
        <v>0</v>
      </c>
      <c r="Q5003" s="88">
        <f t="shared" si="788"/>
        <v>0</v>
      </c>
      <c r="R5003" s="88" t="e">
        <f>-IF(Tabla14[[#This Row],[DIAS HABILES O MORA]]&lt;0,(Tabla14[[#This Row],[VALOR PRESTAMO]]*Tabla14[[#This Row],[% INTERES ]]/30*U5003))+Tabla14[[#This Row],[VALOR CUOTAS]]</f>
        <v>#VALUE!</v>
      </c>
      <c r="S5003" s="88">
        <f>-IF(Tabla14[[#This Row],[DIAS HABILES O MORA]]&lt;0,(Tabla14[[#This Row],[VALOR PRESTAMO]]*Tabla14[[#This Row],[% INTERES ]]/30*U5003))</f>
        <v>0</v>
      </c>
      <c r="T5003" s="53" t="e">
        <f>Tabla14[[#This Row],[DEUDA CAPITAL]]+Tabla14[[#This Row],[INTERES  CUOTA]]</f>
        <v>#NUM!</v>
      </c>
      <c r="U5003" s="61" t="str">
        <f t="shared" si="789"/>
        <v/>
      </c>
    </row>
    <row r="5004" spans="9:21" ht="24.75" customHeight="1" x14ac:dyDescent="0.35">
      <c r="I5004" s="42">
        <f t="shared" si="780"/>
        <v>0</v>
      </c>
      <c r="J5004" s="65" t="e">
        <f t="shared" si="781"/>
        <v>#NUM!</v>
      </c>
      <c r="K5004" s="83" t="e">
        <f t="shared" si="782"/>
        <v>#NUM!</v>
      </c>
      <c r="L5004" s="83">
        <f t="shared" si="783"/>
        <v>0</v>
      </c>
      <c r="M5004" s="110" t="str">
        <f t="shared" si="784"/>
        <v/>
      </c>
      <c r="N5004" s="51" t="str">
        <f t="shared" si="785"/>
        <v/>
      </c>
      <c r="O5004" s="52" t="str">
        <f t="shared" si="786"/>
        <v/>
      </c>
      <c r="P5004" s="88">
        <f t="shared" si="787"/>
        <v>0</v>
      </c>
      <c r="Q5004" s="88">
        <f t="shared" si="788"/>
        <v>0</v>
      </c>
      <c r="R5004" s="88" t="e">
        <f>-IF(Tabla14[[#This Row],[DIAS HABILES O MORA]]&lt;0,(Tabla14[[#This Row],[VALOR PRESTAMO]]*Tabla14[[#This Row],[% INTERES ]]/30*U5004))+Tabla14[[#This Row],[VALOR CUOTAS]]</f>
        <v>#VALUE!</v>
      </c>
      <c r="S5004" s="88">
        <f>-IF(Tabla14[[#This Row],[DIAS HABILES O MORA]]&lt;0,(Tabla14[[#This Row],[VALOR PRESTAMO]]*Tabla14[[#This Row],[% INTERES ]]/30*U5004))</f>
        <v>0</v>
      </c>
      <c r="T5004" s="53" t="e">
        <f>Tabla14[[#This Row],[DEUDA CAPITAL]]+Tabla14[[#This Row],[INTERES  CUOTA]]</f>
        <v>#NUM!</v>
      </c>
      <c r="U5004" s="61" t="str">
        <f t="shared" si="789"/>
        <v/>
      </c>
    </row>
    <row r="5005" spans="9:21" ht="24.75" customHeight="1" x14ac:dyDescent="0.35">
      <c r="I5005" s="42">
        <f t="shared" si="780"/>
        <v>0</v>
      </c>
      <c r="J5005" s="65" t="e">
        <f t="shared" si="781"/>
        <v>#NUM!</v>
      </c>
      <c r="K5005" s="83" t="e">
        <f t="shared" si="782"/>
        <v>#NUM!</v>
      </c>
      <c r="L5005" s="83">
        <f t="shared" si="783"/>
        <v>0</v>
      </c>
      <c r="M5005" s="110" t="str">
        <f t="shared" si="784"/>
        <v/>
      </c>
      <c r="N5005" s="51" t="str">
        <f t="shared" si="785"/>
        <v/>
      </c>
      <c r="O5005" s="52" t="str">
        <f t="shared" si="786"/>
        <v/>
      </c>
      <c r="P5005" s="88">
        <f t="shared" si="787"/>
        <v>0</v>
      </c>
      <c r="Q5005" s="88">
        <f t="shared" si="788"/>
        <v>0</v>
      </c>
      <c r="R5005" s="88" t="e">
        <f>-IF(Tabla14[[#This Row],[DIAS HABILES O MORA]]&lt;0,(Tabla14[[#This Row],[VALOR PRESTAMO]]*Tabla14[[#This Row],[% INTERES ]]/30*U5005))+Tabla14[[#This Row],[VALOR CUOTAS]]</f>
        <v>#VALUE!</v>
      </c>
      <c r="S5005" s="88">
        <f>-IF(Tabla14[[#This Row],[DIAS HABILES O MORA]]&lt;0,(Tabla14[[#This Row],[VALOR PRESTAMO]]*Tabla14[[#This Row],[% INTERES ]]/30*U5005))</f>
        <v>0</v>
      </c>
      <c r="T5005" s="53" t="e">
        <f>Tabla14[[#This Row],[DEUDA CAPITAL]]+Tabla14[[#This Row],[INTERES  CUOTA]]</f>
        <v>#NUM!</v>
      </c>
      <c r="U5005" s="61" t="str">
        <f t="shared" si="789"/>
        <v/>
      </c>
    </row>
    <row r="5006" spans="9:21" ht="24.75" customHeight="1" x14ac:dyDescent="0.35">
      <c r="I5006" s="42">
        <f t="shared" si="780"/>
        <v>0</v>
      </c>
      <c r="J5006" s="65" t="e">
        <f t="shared" si="781"/>
        <v>#NUM!</v>
      </c>
      <c r="K5006" s="83" t="e">
        <f t="shared" si="782"/>
        <v>#NUM!</v>
      </c>
      <c r="L5006" s="83">
        <f t="shared" si="783"/>
        <v>0</v>
      </c>
      <c r="M5006" s="110" t="str">
        <f t="shared" si="784"/>
        <v/>
      </c>
      <c r="N5006" s="51" t="str">
        <f t="shared" si="785"/>
        <v/>
      </c>
      <c r="O5006" s="52" t="str">
        <f t="shared" si="786"/>
        <v/>
      </c>
      <c r="P5006" s="88">
        <f t="shared" si="787"/>
        <v>0</v>
      </c>
      <c r="Q5006" s="88">
        <f t="shared" si="788"/>
        <v>0</v>
      </c>
      <c r="R5006" s="88" t="e">
        <f>-IF(Tabla14[[#This Row],[DIAS HABILES O MORA]]&lt;0,(Tabla14[[#This Row],[VALOR PRESTAMO]]*Tabla14[[#This Row],[% INTERES ]]/30*U5006))+Tabla14[[#This Row],[VALOR CUOTAS]]</f>
        <v>#VALUE!</v>
      </c>
      <c r="S5006" s="88">
        <f>-IF(Tabla14[[#This Row],[DIAS HABILES O MORA]]&lt;0,(Tabla14[[#This Row],[VALOR PRESTAMO]]*Tabla14[[#This Row],[% INTERES ]]/30*U5006))</f>
        <v>0</v>
      </c>
      <c r="T5006" s="53" t="e">
        <f>Tabla14[[#This Row],[DEUDA CAPITAL]]+Tabla14[[#This Row],[INTERES  CUOTA]]</f>
        <v>#NUM!</v>
      </c>
      <c r="U5006" s="61" t="str">
        <f t="shared" si="789"/>
        <v/>
      </c>
    </row>
    <row r="5007" spans="9:21" ht="24.75" customHeight="1" x14ac:dyDescent="0.35">
      <c r="I5007" s="42">
        <f t="shared" si="780"/>
        <v>0</v>
      </c>
      <c r="J5007" s="65" t="e">
        <f t="shared" si="781"/>
        <v>#NUM!</v>
      </c>
      <c r="K5007" s="83" t="e">
        <f t="shared" si="782"/>
        <v>#NUM!</v>
      </c>
      <c r="L5007" s="83">
        <f t="shared" si="783"/>
        <v>0</v>
      </c>
      <c r="M5007" s="110" t="str">
        <f t="shared" si="784"/>
        <v/>
      </c>
      <c r="N5007" s="51" t="str">
        <f t="shared" si="785"/>
        <v/>
      </c>
      <c r="O5007" s="52" t="str">
        <f t="shared" si="786"/>
        <v/>
      </c>
      <c r="P5007" s="88">
        <f t="shared" si="787"/>
        <v>0</v>
      </c>
      <c r="Q5007" s="88">
        <f t="shared" si="788"/>
        <v>0</v>
      </c>
      <c r="R5007" s="88" t="e">
        <f>-IF(Tabla14[[#This Row],[DIAS HABILES O MORA]]&lt;0,(Tabla14[[#This Row],[VALOR PRESTAMO]]*Tabla14[[#This Row],[% INTERES ]]/30*U5007))+Tabla14[[#This Row],[VALOR CUOTAS]]</f>
        <v>#VALUE!</v>
      </c>
      <c r="S5007" s="88">
        <f>-IF(Tabla14[[#This Row],[DIAS HABILES O MORA]]&lt;0,(Tabla14[[#This Row],[VALOR PRESTAMO]]*Tabla14[[#This Row],[% INTERES ]]/30*U5007))</f>
        <v>0</v>
      </c>
      <c r="T5007" s="53" t="e">
        <f>Tabla14[[#This Row],[DEUDA CAPITAL]]+Tabla14[[#This Row],[INTERES  CUOTA]]</f>
        <v>#NUM!</v>
      </c>
      <c r="U5007" s="61" t="str">
        <f t="shared" si="789"/>
        <v/>
      </c>
    </row>
    <row r="5008" spans="9:21" ht="24.75" customHeight="1" x14ac:dyDescent="0.35">
      <c r="I5008" s="42">
        <f t="shared" ref="I5008:I5071" si="790">IF(C5008&lt;0,"",IF(Q5008=0,0,IF(G5008=0,H5008+1,IF(H5008&lt;G5008,H5008+1,IF(G5008=H5008,0)))))</f>
        <v>0</v>
      </c>
      <c r="J5008" s="65" t="e">
        <f t="shared" ref="J5008:J5071" si="791">IF(F5008="SOLO INTERES",Q5008*D5008,-IPMT(D5008,I5008,G5008,C5008))</f>
        <v>#NUM!</v>
      </c>
      <c r="K5008" s="83" t="e">
        <f t="shared" ref="K5008:K5071" si="792">IF(F5008="SOLO INTERES",0,-PPMT(D5008,I5008,G5008,C5008))</f>
        <v>#NUM!</v>
      </c>
      <c r="L5008" s="83">
        <f t="shared" ref="L5008:L5071" si="793">IF(F5008="SOLO INTERES",SUM(Y5008:AAE5008),IFERROR(-CUMIPMT(D5008,G5008,C5008,1,H5008,0),0)+SUM(Y5008:WY5008))</f>
        <v>0</v>
      </c>
      <c r="M5008" s="110" t="str">
        <f t="shared" ref="M5008:M5071" si="794">IFERROR(IF(F5008="SOLO INTERES",Q5008*D5008,-PMT(D5008,G5008,C5008,0)),"")</f>
        <v/>
      </c>
      <c r="N5008" s="51" t="str">
        <f t="shared" ref="N5008:N5071" si="795">IF(Q5008=0,"",IF(E5008="MENSUAL",EDATE(B5008,I5008),IF(E5008="QUINCENAL",B5008+(I5008*15),IF(E5008="SEMANAL",B5008+(I5008*7)))))</f>
        <v/>
      </c>
      <c r="O5008" s="52" t="str">
        <f t="shared" ref="O5008:O5071" si="796">IF(C5008=0,"",IF(Q5008&lt;1,"PAGADO",IF(N5008=$A$3,"COBRAR HOY",IF(N5008&lt;$A$3,"EN MORA",IF(N5008&gt;$A$3,"AL DIA")))))</f>
        <v/>
      </c>
      <c r="P5008" s="88">
        <f t="shared" ref="P5008:P5071" si="797">IFERROR(-CUMPRINC(D5008,G5008,C5008,1,H5008,0),0)+W5008</f>
        <v>0</v>
      </c>
      <c r="Q5008" s="88">
        <f t="shared" ref="Q5008:Q5071" si="798">IFERROR(C5008-P5008,"")</f>
        <v>0</v>
      </c>
      <c r="R5008" s="88" t="e">
        <f>-IF(Tabla14[[#This Row],[DIAS HABILES O MORA]]&lt;0,(Tabla14[[#This Row],[VALOR PRESTAMO]]*Tabla14[[#This Row],[% INTERES ]]/30*U5008))+Tabla14[[#This Row],[VALOR CUOTAS]]</f>
        <v>#VALUE!</v>
      </c>
      <c r="S5008" s="88">
        <f>-IF(Tabla14[[#This Row],[DIAS HABILES O MORA]]&lt;0,(Tabla14[[#This Row],[VALOR PRESTAMO]]*Tabla14[[#This Row],[% INTERES ]]/30*U5008))</f>
        <v>0</v>
      </c>
      <c r="T5008" s="53" t="e">
        <f>Tabla14[[#This Row],[DEUDA CAPITAL]]+Tabla14[[#This Row],[INTERES  CUOTA]]</f>
        <v>#NUM!</v>
      </c>
      <c r="U5008" s="61" t="str">
        <f t="shared" ref="U5008:U5071" si="799">IF(O5008="PAGADO","",IFERROR(-IF(C5008=0,"",$A$3-N5008),""))</f>
        <v/>
      </c>
    </row>
    <row r="5009" spans="9:21" ht="24.75" customHeight="1" x14ac:dyDescent="0.35">
      <c r="I5009" s="42">
        <f t="shared" si="790"/>
        <v>0</v>
      </c>
      <c r="J5009" s="65" t="e">
        <f t="shared" si="791"/>
        <v>#NUM!</v>
      </c>
      <c r="K5009" s="83" t="e">
        <f t="shared" si="792"/>
        <v>#NUM!</v>
      </c>
      <c r="L5009" s="83">
        <f t="shared" si="793"/>
        <v>0</v>
      </c>
      <c r="M5009" s="110" t="str">
        <f t="shared" si="794"/>
        <v/>
      </c>
      <c r="N5009" s="51" t="str">
        <f t="shared" si="795"/>
        <v/>
      </c>
      <c r="O5009" s="52" t="str">
        <f t="shared" si="796"/>
        <v/>
      </c>
      <c r="P5009" s="88">
        <f t="shared" si="797"/>
        <v>0</v>
      </c>
      <c r="Q5009" s="88">
        <f t="shared" si="798"/>
        <v>0</v>
      </c>
      <c r="R5009" s="88" t="e">
        <f>-IF(Tabla14[[#This Row],[DIAS HABILES O MORA]]&lt;0,(Tabla14[[#This Row],[VALOR PRESTAMO]]*Tabla14[[#This Row],[% INTERES ]]/30*U5009))+Tabla14[[#This Row],[VALOR CUOTAS]]</f>
        <v>#VALUE!</v>
      </c>
      <c r="S5009" s="88">
        <f>-IF(Tabla14[[#This Row],[DIAS HABILES O MORA]]&lt;0,(Tabla14[[#This Row],[VALOR PRESTAMO]]*Tabla14[[#This Row],[% INTERES ]]/30*U5009))</f>
        <v>0</v>
      </c>
      <c r="T5009" s="53" t="e">
        <f>Tabla14[[#This Row],[DEUDA CAPITAL]]+Tabla14[[#This Row],[INTERES  CUOTA]]</f>
        <v>#NUM!</v>
      </c>
      <c r="U5009" s="61" t="str">
        <f t="shared" si="799"/>
        <v/>
      </c>
    </row>
    <row r="5010" spans="9:21" ht="24.75" customHeight="1" x14ac:dyDescent="0.35">
      <c r="I5010" s="42">
        <f t="shared" si="790"/>
        <v>0</v>
      </c>
      <c r="J5010" s="65" t="e">
        <f t="shared" si="791"/>
        <v>#NUM!</v>
      </c>
      <c r="K5010" s="83" t="e">
        <f t="shared" si="792"/>
        <v>#NUM!</v>
      </c>
      <c r="L5010" s="83">
        <f t="shared" si="793"/>
        <v>0</v>
      </c>
      <c r="M5010" s="110" t="str">
        <f t="shared" si="794"/>
        <v/>
      </c>
      <c r="N5010" s="51" t="str">
        <f t="shared" si="795"/>
        <v/>
      </c>
      <c r="O5010" s="52" t="str">
        <f t="shared" si="796"/>
        <v/>
      </c>
      <c r="P5010" s="88">
        <f t="shared" si="797"/>
        <v>0</v>
      </c>
      <c r="Q5010" s="88">
        <f t="shared" si="798"/>
        <v>0</v>
      </c>
      <c r="R5010" s="88" t="e">
        <f>-IF(Tabla14[[#This Row],[DIAS HABILES O MORA]]&lt;0,(Tabla14[[#This Row],[VALOR PRESTAMO]]*Tabla14[[#This Row],[% INTERES ]]/30*U5010))+Tabla14[[#This Row],[VALOR CUOTAS]]</f>
        <v>#VALUE!</v>
      </c>
      <c r="S5010" s="88">
        <f>-IF(Tabla14[[#This Row],[DIAS HABILES O MORA]]&lt;0,(Tabla14[[#This Row],[VALOR PRESTAMO]]*Tabla14[[#This Row],[% INTERES ]]/30*U5010))</f>
        <v>0</v>
      </c>
      <c r="T5010" s="53" t="e">
        <f>Tabla14[[#This Row],[DEUDA CAPITAL]]+Tabla14[[#This Row],[INTERES  CUOTA]]</f>
        <v>#NUM!</v>
      </c>
      <c r="U5010" s="61" t="str">
        <f t="shared" si="799"/>
        <v/>
      </c>
    </row>
    <row r="5011" spans="9:21" ht="24.75" customHeight="1" x14ac:dyDescent="0.35">
      <c r="I5011" s="42">
        <f t="shared" si="790"/>
        <v>0</v>
      </c>
      <c r="J5011" s="65" t="e">
        <f t="shared" si="791"/>
        <v>#NUM!</v>
      </c>
      <c r="K5011" s="83" t="e">
        <f t="shared" si="792"/>
        <v>#NUM!</v>
      </c>
      <c r="L5011" s="83">
        <f t="shared" si="793"/>
        <v>0</v>
      </c>
      <c r="M5011" s="110" t="str">
        <f t="shared" si="794"/>
        <v/>
      </c>
      <c r="N5011" s="51" t="str">
        <f t="shared" si="795"/>
        <v/>
      </c>
      <c r="O5011" s="52" t="str">
        <f t="shared" si="796"/>
        <v/>
      </c>
      <c r="P5011" s="88">
        <f t="shared" si="797"/>
        <v>0</v>
      </c>
      <c r="Q5011" s="88">
        <f t="shared" si="798"/>
        <v>0</v>
      </c>
      <c r="R5011" s="88" t="e">
        <f>-IF(Tabla14[[#This Row],[DIAS HABILES O MORA]]&lt;0,(Tabla14[[#This Row],[VALOR PRESTAMO]]*Tabla14[[#This Row],[% INTERES ]]/30*U5011))+Tabla14[[#This Row],[VALOR CUOTAS]]</f>
        <v>#VALUE!</v>
      </c>
      <c r="S5011" s="88">
        <f>-IF(Tabla14[[#This Row],[DIAS HABILES O MORA]]&lt;0,(Tabla14[[#This Row],[VALOR PRESTAMO]]*Tabla14[[#This Row],[% INTERES ]]/30*U5011))</f>
        <v>0</v>
      </c>
      <c r="T5011" s="53" t="e">
        <f>Tabla14[[#This Row],[DEUDA CAPITAL]]+Tabla14[[#This Row],[INTERES  CUOTA]]</f>
        <v>#NUM!</v>
      </c>
      <c r="U5011" s="61" t="str">
        <f t="shared" si="799"/>
        <v/>
      </c>
    </row>
    <row r="5012" spans="9:21" ht="24.75" customHeight="1" x14ac:dyDescent="0.35">
      <c r="I5012" s="42">
        <f t="shared" si="790"/>
        <v>0</v>
      </c>
      <c r="J5012" s="65" t="e">
        <f t="shared" si="791"/>
        <v>#NUM!</v>
      </c>
      <c r="K5012" s="83" t="e">
        <f t="shared" si="792"/>
        <v>#NUM!</v>
      </c>
      <c r="L5012" s="83">
        <f t="shared" si="793"/>
        <v>0</v>
      </c>
      <c r="M5012" s="110" t="str">
        <f t="shared" si="794"/>
        <v/>
      </c>
      <c r="N5012" s="51" t="str">
        <f t="shared" si="795"/>
        <v/>
      </c>
      <c r="O5012" s="52" t="str">
        <f t="shared" si="796"/>
        <v/>
      </c>
      <c r="P5012" s="88">
        <f t="shared" si="797"/>
        <v>0</v>
      </c>
      <c r="Q5012" s="88">
        <f t="shared" si="798"/>
        <v>0</v>
      </c>
      <c r="R5012" s="88" t="e">
        <f>-IF(Tabla14[[#This Row],[DIAS HABILES O MORA]]&lt;0,(Tabla14[[#This Row],[VALOR PRESTAMO]]*Tabla14[[#This Row],[% INTERES ]]/30*U5012))+Tabla14[[#This Row],[VALOR CUOTAS]]</f>
        <v>#VALUE!</v>
      </c>
      <c r="S5012" s="88">
        <f>-IF(Tabla14[[#This Row],[DIAS HABILES O MORA]]&lt;0,(Tabla14[[#This Row],[VALOR PRESTAMO]]*Tabla14[[#This Row],[% INTERES ]]/30*U5012))</f>
        <v>0</v>
      </c>
      <c r="T5012" s="53" t="e">
        <f>Tabla14[[#This Row],[DEUDA CAPITAL]]+Tabla14[[#This Row],[INTERES  CUOTA]]</f>
        <v>#NUM!</v>
      </c>
      <c r="U5012" s="61" t="str">
        <f t="shared" si="799"/>
        <v/>
      </c>
    </row>
    <row r="5013" spans="9:21" ht="24.75" customHeight="1" x14ac:dyDescent="0.35">
      <c r="I5013" s="42">
        <f t="shared" si="790"/>
        <v>0</v>
      </c>
      <c r="J5013" s="65" t="e">
        <f t="shared" si="791"/>
        <v>#NUM!</v>
      </c>
      <c r="K5013" s="83" t="e">
        <f t="shared" si="792"/>
        <v>#NUM!</v>
      </c>
      <c r="L5013" s="83">
        <f t="shared" si="793"/>
        <v>0</v>
      </c>
      <c r="M5013" s="110" t="str">
        <f t="shared" si="794"/>
        <v/>
      </c>
      <c r="N5013" s="51" t="str">
        <f t="shared" si="795"/>
        <v/>
      </c>
      <c r="O5013" s="52" t="str">
        <f t="shared" si="796"/>
        <v/>
      </c>
      <c r="P5013" s="88">
        <f t="shared" si="797"/>
        <v>0</v>
      </c>
      <c r="Q5013" s="88">
        <f t="shared" si="798"/>
        <v>0</v>
      </c>
      <c r="R5013" s="88" t="e">
        <f>-IF(Tabla14[[#This Row],[DIAS HABILES O MORA]]&lt;0,(Tabla14[[#This Row],[VALOR PRESTAMO]]*Tabla14[[#This Row],[% INTERES ]]/30*U5013))+Tabla14[[#This Row],[VALOR CUOTAS]]</f>
        <v>#VALUE!</v>
      </c>
      <c r="S5013" s="88">
        <f>-IF(Tabla14[[#This Row],[DIAS HABILES O MORA]]&lt;0,(Tabla14[[#This Row],[VALOR PRESTAMO]]*Tabla14[[#This Row],[% INTERES ]]/30*U5013))</f>
        <v>0</v>
      </c>
      <c r="T5013" s="53" t="e">
        <f>Tabla14[[#This Row],[DEUDA CAPITAL]]+Tabla14[[#This Row],[INTERES  CUOTA]]</f>
        <v>#NUM!</v>
      </c>
      <c r="U5013" s="61" t="str">
        <f t="shared" si="799"/>
        <v/>
      </c>
    </row>
    <row r="5014" spans="9:21" ht="24.75" customHeight="1" x14ac:dyDescent="0.35">
      <c r="I5014" s="42">
        <f t="shared" si="790"/>
        <v>0</v>
      </c>
      <c r="J5014" s="65" t="e">
        <f t="shared" si="791"/>
        <v>#NUM!</v>
      </c>
      <c r="K5014" s="83" t="e">
        <f t="shared" si="792"/>
        <v>#NUM!</v>
      </c>
      <c r="L5014" s="83">
        <f t="shared" si="793"/>
        <v>0</v>
      </c>
      <c r="M5014" s="110" t="str">
        <f t="shared" si="794"/>
        <v/>
      </c>
      <c r="N5014" s="51" t="str">
        <f t="shared" si="795"/>
        <v/>
      </c>
      <c r="O5014" s="52" t="str">
        <f t="shared" si="796"/>
        <v/>
      </c>
      <c r="P5014" s="88">
        <f t="shared" si="797"/>
        <v>0</v>
      </c>
      <c r="Q5014" s="88">
        <f t="shared" si="798"/>
        <v>0</v>
      </c>
      <c r="R5014" s="88" t="e">
        <f>-IF(Tabla14[[#This Row],[DIAS HABILES O MORA]]&lt;0,(Tabla14[[#This Row],[VALOR PRESTAMO]]*Tabla14[[#This Row],[% INTERES ]]/30*U5014))+Tabla14[[#This Row],[VALOR CUOTAS]]</f>
        <v>#VALUE!</v>
      </c>
      <c r="S5014" s="88">
        <f>-IF(Tabla14[[#This Row],[DIAS HABILES O MORA]]&lt;0,(Tabla14[[#This Row],[VALOR PRESTAMO]]*Tabla14[[#This Row],[% INTERES ]]/30*U5014))</f>
        <v>0</v>
      </c>
      <c r="T5014" s="53" t="e">
        <f>Tabla14[[#This Row],[DEUDA CAPITAL]]+Tabla14[[#This Row],[INTERES  CUOTA]]</f>
        <v>#NUM!</v>
      </c>
      <c r="U5014" s="61" t="str">
        <f t="shared" si="799"/>
        <v/>
      </c>
    </row>
    <row r="5015" spans="9:21" ht="24.75" customHeight="1" x14ac:dyDescent="0.35">
      <c r="I5015" s="42">
        <f t="shared" si="790"/>
        <v>0</v>
      </c>
      <c r="J5015" s="65" t="e">
        <f t="shared" si="791"/>
        <v>#NUM!</v>
      </c>
      <c r="K5015" s="83" t="e">
        <f t="shared" si="792"/>
        <v>#NUM!</v>
      </c>
      <c r="L5015" s="83">
        <f t="shared" si="793"/>
        <v>0</v>
      </c>
      <c r="M5015" s="110" t="str">
        <f t="shared" si="794"/>
        <v/>
      </c>
      <c r="N5015" s="51" t="str">
        <f t="shared" si="795"/>
        <v/>
      </c>
      <c r="O5015" s="52" t="str">
        <f t="shared" si="796"/>
        <v/>
      </c>
      <c r="P5015" s="88">
        <f t="shared" si="797"/>
        <v>0</v>
      </c>
      <c r="Q5015" s="88">
        <f t="shared" si="798"/>
        <v>0</v>
      </c>
      <c r="R5015" s="88" t="e">
        <f>-IF(Tabla14[[#This Row],[DIAS HABILES O MORA]]&lt;0,(Tabla14[[#This Row],[VALOR PRESTAMO]]*Tabla14[[#This Row],[% INTERES ]]/30*U5015))+Tabla14[[#This Row],[VALOR CUOTAS]]</f>
        <v>#VALUE!</v>
      </c>
      <c r="S5015" s="88">
        <f>-IF(Tabla14[[#This Row],[DIAS HABILES O MORA]]&lt;0,(Tabla14[[#This Row],[VALOR PRESTAMO]]*Tabla14[[#This Row],[% INTERES ]]/30*U5015))</f>
        <v>0</v>
      </c>
      <c r="T5015" s="53" t="e">
        <f>Tabla14[[#This Row],[DEUDA CAPITAL]]+Tabla14[[#This Row],[INTERES  CUOTA]]</f>
        <v>#NUM!</v>
      </c>
      <c r="U5015" s="61" t="str">
        <f t="shared" si="799"/>
        <v/>
      </c>
    </row>
    <row r="5016" spans="9:21" ht="24.75" customHeight="1" x14ac:dyDescent="0.35">
      <c r="I5016" s="42">
        <f t="shared" si="790"/>
        <v>0</v>
      </c>
      <c r="J5016" s="65" t="e">
        <f t="shared" si="791"/>
        <v>#NUM!</v>
      </c>
      <c r="K5016" s="83" t="e">
        <f t="shared" si="792"/>
        <v>#NUM!</v>
      </c>
      <c r="L5016" s="83">
        <f t="shared" si="793"/>
        <v>0</v>
      </c>
      <c r="M5016" s="110" t="str">
        <f t="shared" si="794"/>
        <v/>
      </c>
      <c r="N5016" s="51" t="str">
        <f t="shared" si="795"/>
        <v/>
      </c>
      <c r="O5016" s="52" t="str">
        <f t="shared" si="796"/>
        <v/>
      </c>
      <c r="P5016" s="88">
        <f t="shared" si="797"/>
        <v>0</v>
      </c>
      <c r="Q5016" s="88">
        <f t="shared" si="798"/>
        <v>0</v>
      </c>
      <c r="R5016" s="88" t="e">
        <f>-IF(Tabla14[[#This Row],[DIAS HABILES O MORA]]&lt;0,(Tabla14[[#This Row],[VALOR PRESTAMO]]*Tabla14[[#This Row],[% INTERES ]]/30*U5016))+Tabla14[[#This Row],[VALOR CUOTAS]]</f>
        <v>#VALUE!</v>
      </c>
      <c r="S5016" s="88">
        <f>-IF(Tabla14[[#This Row],[DIAS HABILES O MORA]]&lt;0,(Tabla14[[#This Row],[VALOR PRESTAMO]]*Tabla14[[#This Row],[% INTERES ]]/30*U5016))</f>
        <v>0</v>
      </c>
      <c r="T5016" s="53" t="e">
        <f>Tabla14[[#This Row],[DEUDA CAPITAL]]+Tabla14[[#This Row],[INTERES  CUOTA]]</f>
        <v>#NUM!</v>
      </c>
      <c r="U5016" s="61" t="str">
        <f t="shared" si="799"/>
        <v/>
      </c>
    </row>
    <row r="5017" spans="9:21" ht="24.75" customHeight="1" x14ac:dyDescent="0.35">
      <c r="I5017" s="42">
        <f t="shared" si="790"/>
        <v>0</v>
      </c>
      <c r="J5017" s="65" t="e">
        <f t="shared" si="791"/>
        <v>#NUM!</v>
      </c>
      <c r="K5017" s="83" t="e">
        <f t="shared" si="792"/>
        <v>#NUM!</v>
      </c>
      <c r="L5017" s="83">
        <f t="shared" si="793"/>
        <v>0</v>
      </c>
      <c r="M5017" s="110" t="str">
        <f t="shared" si="794"/>
        <v/>
      </c>
      <c r="N5017" s="51" t="str">
        <f t="shared" si="795"/>
        <v/>
      </c>
      <c r="O5017" s="52" t="str">
        <f t="shared" si="796"/>
        <v/>
      </c>
      <c r="P5017" s="88">
        <f t="shared" si="797"/>
        <v>0</v>
      </c>
      <c r="Q5017" s="88">
        <f t="shared" si="798"/>
        <v>0</v>
      </c>
      <c r="R5017" s="88" t="e">
        <f>-IF(Tabla14[[#This Row],[DIAS HABILES O MORA]]&lt;0,(Tabla14[[#This Row],[VALOR PRESTAMO]]*Tabla14[[#This Row],[% INTERES ]]/30*U5017))+Tabla14[[#This Row],[VALOR CUOTAS]]</f>
        <v>#VALUE!</v>
      </c>
      <c r="S5017" s="88">
        <f>-IF(Tabla14[[#This Row],[DIAS HABILES O MORA]]&lt;0,(Tabla14[[#This Row],[VALOR PRESTAMO]]*Tabla14[[#This Row],[% INTERES ]]/30*U5017))</f>
        <v>0</v>
      </c>
      <c r="T5017" s="53" t="e">
        <f>Tabla14[[#This Row],[DEUDA CAPITAL]]+Tabla14[[#This Row],[INTERES  CUOTA]]</f>
        <v>#NUM!</v>
      </c>
      <c r="U5017" s="61" t="str">
        <f t="shared" si="799"/>
        <v/>
      </c>
    </row>
    <row r="5018" spans="9:21" ht="24.75" customHeight="1" x14ac:dyDescent="0.35">
      <c r="I5018" s="42">
        <f t="shared" si="790"/>
        <v>0</v>
      </c>
      <c r="J5018" s="65" t="e">
        <f t="shared" si="791"/>
        <v>#NUM!</v>
      </c>
      <c r="K5018" s="83" t="e">
        <f t="shared" si="792"/>
        <v>#NUM!</v>
      </c>
      <c r="L5018" s="83">
        <f t="shared" si="793"/>
        <v>0</v>
      </c>
      <c r="M5018" s="110" t="str">
        <f t="shared" si="794"/>
        <v/>
      </c>
      <c r="N5018" s="51" t="str">
        <f t="shared" si="795"/>
        <v/>
      </c>
      <c r="O5018" s="52" t="str">
        <f t="shared" si="796"/>
        <v/>
      </c>
      <c r="P5018" s="88">
        <f t="shared" si="797"/>
        <v>0</v>
      </c>
      <c r="Q5018" s="88">
        <f t="shared" si="798"/>
        <v>0</v>
      </c>
      <c r="R5018" s="88" t="e">
        <f>-IF(Tabla14[[#This Row],[DIAS HABILES O MORA]]&lt;0,(Tabla14[[#This Row],[VALOR PRESTAMO]]*Tabla14[[#This Row],[% INTERES ]]/30*U5018))+Tabla14[[#This Row],[VALOR CUOTAS]]</f>
        <v>#VALUE!</v>
      </c>
      <c r="S5018" s="88">
        <f>-IF(Tabla14[[#This Row],[DIAS HABILES O MORA]]&lt;0,(Tabla14[[#This Row],[VALOR PRESTAMO]]*Tabla14[[#This Row],[% INTERES ]]/30*U5018))</f>
        <v>0</v>
      </c>
      <c r="T5018" s="53" t="e">
        <f>Tabla14[[#This Row],[DEUDA CAPITAL]]+Tabla14[[#This Row],[INTERES  CUOTA]]</f>
        <v>#NUM!</v>
      </c>
      <c r="U5018" s="61" t="str">
        <f t="shared" si="799"/>
        <v/>
      </c>
    </row>
    <row r="5019" spans="9:21" ht="24.75" customHeight="1" x14ac:dyDescent="0.35">
      <c r="I5019" s="42">
        <f t="shared" si="790"/>
        <v>0</v>
      </c>
      <c r="J5019" s="65" t="e">
        <f t="shared" si="791"/>
        <v>#NUM!</v>
      </c>
      <c r="K5019" s="83" t="e">
        <f t="shared" si="792"/>
        <v>#NUM!</v>
      </c>
      <c r="L5019" s="83">
        <f t="shared" si="793"/>
        <v>0</v>
      </c>
      <c r="M5019" s="110" t="str">
        <f t="shared" si="794"/>
        <v/>
      </c>
      <c r="N5019" s="51" t="str">
        <f t="shared" si="795"/>
        <v/>
      </c>
      <c r="O5019" s="52" t="str">
        <f t="shared" si="796"/>
        <v/>
      </c>
      <c r="P5019" s="88">
        <f t="shared" si="797"/>
        <v>0</v>
      </c>
      <c r="Q5019" s="88">
        <f t="shared" si="798"/>
        <v>0</v>
      </c>
      <c r="R5019" s="88" t="e">
        <f>-IF(Tabla14[[#This Row],[DIAS HABILES O MORA]]&lt;0,(Tabla14[[#This Row],[VALOR PRESTAMO]]*Tabla14[[#This Row],[% INTERES ]]/30*U5019))+Tabla14[[#This Row],[VALOR CUOTAS]]</f>
        <v>#VALUE!</v>
      </c>
      <c r="S5019" s="88">
        <f>-IF(Tabla14[[#This Row],[DIAS HABILES O MORA]]&lt;0,(Tabla14[[#This Row],[VALOR PRESTAMO]]*Tabla14[[#This Row],[% INTERES ]]/30*U5019))</f>
        <v>0</v>
      </c>
      <c r="T5019" s="53" t="e">
        <f>Tabla14[[#This Row],[DEUDA CAPITAL]]+Tabla14[[#This Row],[INTERES  CUOTA]]</f>
        <v>#NUM!</v>
      </c>
      <c r="U5019" s="61" t="str">
        <f t="shared" si="799"/>
        <v/>
      </c>
    </row>
    <row r="5020" spans="9:21" ht="24.75" customHeight="1" x14ac:dyDescent="0.35">
      <c r="I5020" s="42">
        <f t="shared" si="790"/>
        <v>0</v>
      </c>
      <c r="J5020" s="65" t="e">
        <f t="shared" si="791"/>
        <v>#NUM!</v>
      </c>
      <c r="K5020" s="83" t="e">
        <f t="shared" si="792"/>
        <v>#NUM!</v>
      </c>
      <c r="L5020" s="83">
        <f t="shared" si="793"/>
        <v>0</v>
      </c>
      <c r="M5020" s="110" t="str">
        <f t="shared" si="794"/>
        <v/>
      </c>
      <c r="N5020" s="51" t="str">
        <f t="shared" si="795"/>
        <v/>
      </c>
      <c r="O5020" s="52" t="str">
        <f t="shared" si="796"/>
        <v/>
      </c>
      <c r="P5020" s="88">
        <f t="shared" si="797"/>
        <v>0</v>
      </c>
      <c r="Q5020" s="88">
        <f t="shared" si="798"/>
        <v>0</v>
      </c>
      <c r="R5020" s="88" t="e">
        <f>-IF(Tabla14[[#This Row],[DIAS HABILES O MORA]]&lt;0,(Tabla14[[#This Row],[VALOR PRESTAMO]]*Tabla14[[#This Row],[% INTERES ]]/30*U5020))+Tabla14[[#This Row],[VALOR CUOTAS]]</f>
        <v>#VALUE!</v>
      </c>
      <c r="S5020" s="88">
        <f>-IF(Tabla14[[#This Row],[DIAS HABILES O MORA]]&lt;0,(Tabla14[[#This Row],[VALOR PRESTAMO]]*Tabla14[[#This Row],[% INTERES ]]/30*U5020))</f>
        <v>0</v>
      </c>
      <c r="T5020" s="53" t="e">
        <f>Tabla14[[#This Row],[DEUDA CAPITAL]]+Tabla14[[#This Row],[INTERES  CUOTA]]</f>
        <v>#NUM!</v>
      </c>
      <c r="U5020" s="61" t="str">
        <f t="shared" si="799"/>
        <v/>
      </c>
    </row>
    <row r="5021" spans="9:21" ht="24.75" customHeight="1" x14ac:dyDescent="0.35">
      <c r="I5021" s="42">
        <f t="shared" si="790"/>
        <v>0</v>
      </c>
      <c r="J5021" s="65" t="e">
        <f t="shared" si="791"/>
        <v>#NUM!</v>
      </c>
      <c r="K5021" s="83" t="e">
        <f t="shared" si="792"/>
        <v>#NUM!</v>
      </c>
      <c r="L5021" s="83">
        <f t="shared" si="793"/>
        <v>0</v>
      </c>
      <c r="M5021" s="110" t="str">
        <f t="shared" si="794"/>
        <v/>
      </c>
      <c r="N5021" s="51" t="str">
        <f t="shared" si="795"/>
        <v/>
      </c>
      <c r="O5021" s="52" t="str">
        <f t="shared" si="796"/>
        <v/>
      </c>
      <c r="P5021" s="88">
        <f t="shared" si="797"/>
        <v>0</v>
      </c>
      <c r="Q5021" s="88">
        <f t="shared" si="798"/>
        <v>0</v>
      </c>
      <c r="R5021" s="88" t="e">
        <f>-IF(Tabla14[[#This Row],[DIAS HABILES O MORA]]&lt;0,(Tabla14[[#This Row],[VALOR PRESTAMO]]*Tabla14[[#This Row],[% INTERES ]]/30*U5021))+Tabla14[[#This Row],[VALOR CUOTAS]]</f>
        <v>#VALUE!</v>
      </c>
      <c r="S5021" s="88">
        <f>-IF(Tabla14[[#This Row],[DIAS HABILES O MORA]]&lt;0,(Tabla14[[#This Row],[VALOR PRESTAMO]]*Tabla14[[#This Row],[% INTERES ]]/30*U5021))</f>
        <v>0</v>
      </c>
      <c r="T5021" s="53" t="e">
        <f>Tabla14[[#This Row],[DEUDA CAPITAL]]+Tabla14[[#This Row],[INTERES  CUOTA]]</f>
        <v>#NUM!</v>
      </c>
      <c r="U5021" s="61" t="str">
        <f t="shared" si="799"/>
        <v/>
      </c>
    </row>
    <row r="5022" spans="9:21" ht="24.75" customHeight="1" x14ac:dyDescent="0.35">
      <c r="I5022" s="42">
        <f t="shared" si="790"/>
        <v>0</v>
      </c>
      <c r="J5022" s="65" t="e">
        <f t="shared" si="791"/>
        <v>#NUM!</v>
      </c>
      <c r="K5022" s="83" t="e">
        <f t="shared" si="792"/>
        <v>#NUM!</v>
      </c>
      <c r="L5022" s="83">
        <f t="shared" si="793"/>
        <v>0</v>
      </c>
      <c r="M5022" s="110" t="str">
        <f t="shared" si="794"/>
        <v/>
      </c>
      <c r="N5022" s="51" t="str">
        <f t="shared" si="795"/>
        <v/>
      </c>
      <c r="O5022" s="52" t="str">
        <f t="shared" si="796"/>
        <v/>
      </c>
      <c r="P5022" s="88">
        <f t="shared" si="797"/>
        <v>0</v>
      </c>
      <c r="Q5022" s="88">
        <f t="shared" si="798"/>
        <v>0</v>
      </c>
      <c r="R5022" s="88" t="e">
        <f>-IF(Tabla14[[#This Row],[DIAS HABILES O MORA]]&lt;0,(Tabla14[[#This Row],[VALOR PRESTAMO]]*Tabla14[[#This Row],[% INTERES ]]/30*U5022))+Tabla14[[#This Row],[VALOR CUOTAS]]</f>
        <v>#VALUE!</v>
      </c>
      <c r="S5022" s="88">
        <f>-IF(Tabla14[[#This Row],[DIAS HABILES O MORA]]&lt;0,(Tabla14[[#This Row],[VALOR PRESTAMO]]*Tabla14[[#This Row],[% INTERES ]]/30*U5022))</f>
        <v>0</v>
      </c>
      <c r="T5022" s="53" t="e">
        <f>Tabla14[[#This Row],[DEUDA CAPITAL]]+Tabla14[[#This Row],[INTERES  CUOTA]]</f>
        <v>#NUM!</v>
      </c>
      <c r="U5022" s="61" t="str">
        <f t="shared" si="799"/>
        <v/>
      </c>
    </row>
    <row r="5023" spans="9:21" ht="24.75" customHeight="1" x14ac:dyDescent="0.35">
      <c r="I5023" s="42">
        <f t="shared" si="790"/>
        <v>0</v>
      </c>
      <c r="J5023" s="65" t="e">
        <f t="shared" si="791"/>
        <v>#NUM!</v>
      </c>
      <c r="K5023" s="83" t="e">
        <f t="shared" si="792"/>
        <v>#NUM!</v>
      </c>
      <c r="L5023" s="83">
        <f t="shared" si="793"/>
        <v>0</v>
      </c>
      <c r="M5023" s="110" t="str">
        <f t="shared" si="794"/>
        <v/>
      </c>
      <c r="N5023" s="51" t="str">
        <f t="shared" si="795"/>
        <v/>
      </c>
      <c r="O5023" s="52" t="str">
        <f t="shared" si="796"/>
        <v/>
      </c>
      <c r="P5023" s="88">
        <f t="shared" si="797"/>
        <v>0</v>
      </c>
      <c r="Q5023" s="88">
        <f t="shared" si="798"/>
        <v>0</v>
      </c>
      <c r="R5023" s="88" t="e">
        <f>-IF(Tabla14[[#This Row],[DIAS HABILES O MORA]]&lt;0,(Tabla14[[#This Row],[VALOR PRESTAMO]]*Tabla14[[#This Row],[% INTERES ]]/30*U5023))+Tabla14[[#This Row],[VALOR CUOTAS]]</f>
        <v>#VALUE!</v>
      </c>
      <c r="S5023" s="88">
        <f>-IF(Tabla14[[#This Row],[DIAS HABILES O MORA]]&lt;0,(Tabla14[[#This Row],[VALOR PRESTAMO]]*Tabla14[[#This Row],[% INTERES ]]/30*U5023))</f>
        <v>0</v>
      </c>
      <c r="T5023" s="53" t="e">
        <f>Tabla14[[#This Row],[DEUDA CAPITAL]]+Tabla14[[#This Row],[INTERES  CUOTA]]</f>
        <v>#NUM!</v>
      </c>
      <c r="U5023" s="61" t="str">
        <f t="shared" si="799"/>
        <v/>
      </c>
    </row>
    <row r="5024" spans="9:21" ht="24.75" customHeight="1" x14ac:dyDescent="0.35">
      <c r="I5024" s="42">
        <f t="shared" si="790"/>
        <v>0</v>
      </c>
      <c r="J5024" s="65" t="e">
        <f t="shared" si="791"/>
        <v>#NUM!</v>
      </c>
      <c r="K5024" s="83" t="e">
        <f t="shared" si="792"/>
        <v>#NUM!</v>
      </c>
      <c r="L5024" s="83">
        <f t="shared" si="793"/>
        <v>0</v>
      </c>
      <c r="M5024" s="110" t="str">
        <f t="shared" si="794"/>
        <v/>
      </c>
      <c r="N5024" s="51" t="str">
        <f t="shared" si="795"/>
        <v/>
      </c>
      <c r="O5024" s="52" t="str">
        <f t="shared" si="796"/>
        <v/>
      </c>
      <c r="P5024" s="88">
        <f t="shared" si="797"/>
        <v>0</v>
      </c>
      <c r="Q5024" s="88">
        <f t="shared" si="798"/>
        <v>0</v>
      </c>
      <c r="R5024" s="88" t="e">
        <f>-IF(Tabla14[[#This Row],[DIAS HABILES O MORA]]&lt;0,(Tabla14[[#This Row],[VALOR PRESTAMO]]*Tabla14[[#This Row],[% INTERES ]]/30*U5024))+Tabla14[[#This Row],[VALOR CUOTAS]]</f>
        <v>#VALUE!</v>
      </c>
      <c r="S5024" s="88">
        <f>-IF(Tabla14[[#This Row],[DIAS HABILES O MORA]]&lt;0,(Tabla14[[#This Row],[VALOR PRESTAMO]]*Tabla14[[#This Row],[% INTERES ]]/30*U5024))</f>
        <v>0</v>
      </c>
      <c r="T5024" s="53" t="e">
        <f>Tabla14[[#This Row],[DEUDA CAPITAL]]+Tabla14[[#This Row],[INTERES  CUOTA]]</f>
        <v>#NUM!</v>
      </c>
      <c r="U5024" s="61" t="str">
        <f t="shared" si="799"/>
        <v/>
      </c>
    </row>
    <row r="5025" spans="9:21" ht="24.75" customHeight="1" x14ac:dyDescent="0.35">
      <c r="I5025" s="42">
        <f t="shared" si="790"/>
        <v>0</v>
      </c>
      <c r="J5025" s="65" t="e">
        <f t="shared" si="791"/>
        <v>#NUM!</v>
      </c>
      <c r="K5025" s="83" t="e">
        <f t="shared" si="792"/>
        <v>#NUM!</v>
      </c>
      <c r="L5025" s="83">
        <f t="shared" si="793"/>
        <v>0</v>
      </c>
      <c r="M5025" s="110" t="str">
        <f t="shared" si="794"/>
        <v/>
      </c>
      <c r="N5025" s="51" t="str">
        <f t="shared" si="795"/>
        <v/>
      </c>
      <c r="O5025" s="52" t="str">
        <f t="shared" si="796"/>
        <v/>
      </c>
      <c r="P5025" s="88">
        <f t="shared" si="797"/>
        <v>0</v>
      </c>
      <c r="Q5025" s="88">
        <f t="shared" si="798"/>
        <v>0</v>
      </c>
      <c r="R5025" s="88" t="e">
        <f>-IF(Tabla14[[#This Row],[DIAS HABILES O MORA]]&lt;0,(Tabla14[[#This Row],[VALOR PRESTAMO]]*Tabla14[[#This Row],[% INTERES ]]/30*U5025))+Tabla14[[#This Row],[VALOR CUOTAS]]</f>
        <v>#VALUE!</v>
      </c>
      <c r="S5025" s="88">
        <f>-IF(Tabla14[[#This Row],[DIAS HABILES O MORA]]&lt;0,(Tabla14[[#This Row],[VALOR PRESTAMO]]*Tabla14[[#This Row],[% INTERES ]]/30*U5025))</f>
        <v>0</v>
      </c>
      <c r="T5025" s="53" t="e">
        <f>Tabla14[[#This Row],[DEUDA CAPITAL]]+Tabla14[[#This Row],[INTERES  CUOTA]]</f>
        <v>#NUM!</v>
      </c>
      <c r="U5025" s="61" t="str">
        <f t="shared" si="799"/>
        <v/>
      </c>
    </row>
    <row r="5026" spans="9:21" ht="24.75" customHeight="1" x14ac:dyDescent="0.35">
      <c r="I5026" s="42">
        <f t="shared" si="790"/>
        <v>0</v>
      </c>
      <c r="J5026" s="65" t="e">
        <f t="shared" si="791"/>
        <v>#NUM!</v>
      </c>
      <c r="K5026" s="83" t="e">
        <f t="shared" si="792"/>
        <v>#NUM!</v>
      </c>
      <c r="L5026" s="83">
        <f t="shared" si="793"/>
        <v>0</v>
      </c>
      <c r="M5026" s="110" t="str">
        <f t="shared" si="794"/>
        <v/>
      </c>
      <c r="N5026" s="51" t="str">
        <f t="shared" si="795"/>
        <v/>
      </c>
      <c r="O5026" s="52" t="str">
        <f t="shared" si="796"/>
        <v/>
      </c>
      <c r="P5026" s="88">
        <f t="shared" si="797"/>
        <v>0</v>
      </c>
      <c r="Q5026" s="88">
        <f t="shared" si="798"/>
        <v>0</v>
      </c>
      <c r="R5026" s="88" t="e">
        <f>-IF(Tabla14[[#This Row],[DIAS HABILES O MORA]]&lt;0,(Tabla14[[#This Row],[VALOR PRESTAMO]]*Tabla14[[#This Row],[% INTERES ]]/30*U5026))+Tabla14[[#This Row],[VALOR CUOTAS]]</f>
        <v>#VALUE!</v>
      </c>
      <c r="S5026" s="88">
        <f>-IF(Tabla14[[#This Row],[DIAS HABILES O MORA]]&lt;0,(Tabla14[[#This Row],[VALOR PRESTAMO]]*Tabla14[[#This Row],[% INTERES ]]/30*U5026))</f>
        <v>0</v>
      </c>
      <c r="T5026" s="53" t="e">
        <f>Tabla14[[#This Row],[DEUDA CAPITAL]]+Tabla14[[#This Row],[INTERES  CUOTA]]</f>
        <v>#NUM!</v>
      </c>
      <c r="U5026" s="61" t="str">
        <f t="shared" si="799"/>
        <v/>
      </c>
    </row>
    <row r="5027" spans="9:21" ht="24.75" customHeight="1" x14ac:dyDescent="0.35">
      <c r="I5027" s="42">
        <f t="shared" si="790"/>
        <v>0</v>
      </c>
      <c r="J5027" s="65" t="e">
        <f t="shared" si="791"/>
        <v>#NUM!</v>
      </c>
      <c r="K5027" s="83" t="e">
        <f t="shared" si="792"/>
        <v>#NUM!</v>
      </c>
      <c r="L5027" s="83">
        <f t="shared" si="793"/>
        <v>0</v>
      </c>
      <c r="M5027" s="110" t="str">
        <f t="shared" si="794"/>
        <v/>
      </c>
      <c r="N5027" s="51" t="str">
        <f t="shared" si="795"/>
        <v/>
      </c>
      <c r="O5027" s="52" t="str">
        <f t="shared" si="796"/>
        <v/>
      </c>
      <c r="P5027" s="88">
        <f t="shared" si="797"/>
        <v>0</v>
      </c>
      <c r="Q5027" s="88">
        <f t="shared" si="798"/>
        <v>0</v>
      </c>
      <c r="R5027" s="88" t="e">
        <f>-IF(Tabla14[[#This Row],[DIAS HABILES O MORA]]&lt;0,(Tabla14[[#This Row],[VALOR PRESTAMO]]*Tabla14[[#This Row],[% INTERES ]]/30*U5027))+Tabla14[[#This Row],[VALOR CUOTAS]]</f>
        <v>#VALUE!</v>
      </c>
      <c r="S5027" s="88">
        <f>-IF(Tabla14[[#This Row],[DIAS HABILES O MORA]]&lt;0,(Tabla14[[#This Row],[VALOR PRESTAMO]]*Tabla14[[#This Row],[% INTERES ]]/30*U5027))</f>
        <v>0</v>
      </c>
      <c r="T5027" s="53" t="e">
        <f>Tabla14[[#This Row],[DEUDA CAPITAL]]+Tabla14[[#This Row],[INTERES  CUOTA]]</f>
        <v>#NUM!</v>
      </c>
      <c r="U5027" s="61" t="str">
        <f t="shared" si="799"/>
        <v/>
      </c>
    </row>
    <row r="5028" spans="9:21" ht="24.75" customHeight="1" x14ac:dyDescent="0.35">
      <c r="I5028" s="42">
        <f t="shared" si="790"/>
        <v>0</v>
      </c>
      <c r="J5028" s="65" t="e">
        <f t="shared" si="791"/>
        <v>#NUM!</v>
      </c>
      <c r="K5028" s="83" t="e">
        <f t="shared" si="792"/>
        <v>#NUM!</v>
      </c>
      <c r="L5028" s="83">
        <f t="shared" si="793"/>
        <v>0</v>
      </c>
      <c r="M5028" s="110" t="str">
        <f t="shared" si="794"/>
        <v/>
      </c>
      <c r="N5028" s="51" t="str">
        <f t="shared" si="795"/>
        <v/>
      </c>
      <c r="O5028" s="52" t="str">
        <f t="shared" si="796"/>
        <v/>
      </c>
      <c r="P5028" s="88">
        <f t="shared" si="797"/>
        <v>0</v>
      </c>
      <c r="Q5028" s="88">
        <f t="shared" si="798"/>
        <v>0</v>
      </c>
      <c r="R5028" s="88" t="e">
        <f>-IF(Tabla14[[#This Row],[DIAS HABILES O MORA]]&lt;0,(Tabla14[[#This Row],[VALOR PRESTAMO]]*Tabla14[[#This Row],[% INTERES ]]/30*U5028))+Tabla14[[#This Row],[VALOR CUOTAS]]</f>
        <v>#VALUE!</v>
      </c>
      <c r="S5028" s="88">
        <f>-IF(Tabla14[[#This Row],[DIAS HABILES O MORA]]&lt;0,(Tabla14[[#This Row],[VALOR PRESTAMO]]*Tabla14[[#This Row],[% INTERES ]]/30*U5028))</f>
        <v>0</v>
      </c>
      <c r="T5028" s="53" t="e">
        <f>Tabla14[[#This Row],[DEUDA CAPITAL]]+Tabla14[[#This Row],[INTERES  CUOTA]]</f>
        <v>#NUM!</v>
      </c>
      <c r="U5028" s="61" t="str">
        <f t="shared" si="799"/>
        <v/>
      </c>
    </row>
    <row r="5029" spans="9:21" ht="24.75" customHeight="1" x14ac:dyDescent="0.35">
      <c r="I5029" s="42">
        <f t="shared" si="790"/>
        <v>0</v>
      </c>
      <c r="J5029" s="65" t="e">
        <f t="shared" si="791"/>
        <v>#NUM!</v>
      </c>
      <c r="K5029" s="83" t="e">
        <f t="shared" si="792"/>
        <v>#NUM!</v>
      </c>
      <c r="L5029" s="83">
        <f t="shared" si="793"/>
        <v>0</v>
      </c>
      <c r="M5029" s="110" t="str">
        <f t="shared" si="794"/>
        <v/>
      </c>
      <c r="N5029" s="51" t="str">
        <f t="shared" si="795"/>
        <v/>
      </c>
      <c r="O5029" s="52" t="str">
        <f t="shared" si="796"/>
        <v/>
      </c>
      <c r="P5029" s="88">
        <f t="shared" si="797"/>
        <v>0</v>
      </c>
      <c r="Q5029" s="88">
        <f t="shared" si="798"/>
        <v>0</v>
      </c>
      <c r="R5029" s="88" t="e">
        <f>-IF(Tabla14[[#This Row],[DIAS HABILES O MORA]]&lt;0,(Tabla14[[#This Row],[VALOR PRESTAMO]]*Tabla14[[#This Row],[% INTERES ]]/30*U5029))+Tabla14[[#This Row],[VALOR CUOTAS]]</f>
        <v>#VALUE!</v>
      </c>
      <c r="S5029" s="88">
        <f>-IF(Tabla14[[#This Row],[DIAS HABILES O MORA]]&lt;0,(Tabla14[[#This Row],[VALOR PRESTAMO]]*Tabla14[[#This Row],[% INTERES ]]/30*U5029))</f>
        <v>0</v>
      </c>
      <c r="T5029" s="53" t="e">
        <f>Tabla14[[#This Row],[DEUDA CAPITAL]]+Tabla14[[#This Row],[INTERES  CUOTA]]</f>
        <v>#NUM!</v>
      </c>
      <c r="U5029" s="61" t="str">
        <f t="shared" si="799"/>
        <v/>
      </c>
    </row>
    <row r="5030" spans="9:21" ht="24.75" customHeight="1" x14ac:dyDescent="0.35">
      <c r="I5030" s="42">
        <f t="shared" si="790"/>
        <v>0</v>
      </c>
      <c r="J5030" s="65" t="e">
        <f t="shared" si="791"/>
        <v>#NUM!</v>
      </c>
      <c r="K5030" s="83" t="e">
        <f t="shared" si="792"/>
        <v>#NUM!</v>
      </c>
      <c r="L5030" s="83">
        <f t="shared" si="793"/>
        <v>0</v>
      </c>
      <c r="M5030" s="110" t="str">
        <f t="shared" si="794"/>
        <v/>
      </c>
      <c r="N5030" s="51" t="str">
        <f t="shared" si="795"/>
        <v/>
      </c>
      <c r="O5030" s="52" t="str">
        <f t="shared" si="796"/>
        <v/>
      </c>
      <c r="P5030" s="88">
        <f t="shared" si="797"/>
        <v>0</v>
      </c>
      <c r="Q5030" s="88">
        <f t="shared" si="798"/>
        <v>0</v>
      </c>
      <c r="R5030" s="88" t="e">
        <f>-IF(Tabla14[[#This Row],[DIAS HABILES O MORA]]&lt;0,(Tabla14[[#This Row],[VALOR PRESTAMO]]*Tabla14[[#This Row],[% INTERES ]]/30*U5030))+Tabla14[[#This Row],[VALOR CUOTAS]]</f>
        <v>#VALUE!</v>
      </c>
      <c r="S5030" s="88">
        <f>-IF(Tabla14[[#This Row],[DIAS HABILES O MORA]]&lt;0,(Tabla14[[#This Row],[VALOR PRESTAMO]]*Tabla14[[#This Row],[% INTERES ]]/30*U5030))</f>
        <v>0</v>
      </c>
      <c r="T5030" s="53" t="e">
        <f>Tabla14[[#This Row],[DEUDA CAPITAL]]+Tabla14[[#This Row],[INTERES  CUOTA]]</f>
        <v>#NUM!</v>
      </c>
      <c r="U5030" s="61" t="str">
        <f t="shared" si="799"/>
        <v/>
      </c>
    </row>
    <row r="5031" spans="9:21" ht="24.75" customHeight="1" x14ac:dyDescent="0.35">
      <c r="I5031" s="42">
        <f t="shared" si="790"/>
        <v>0</v>
      </c>
      <c r="J5031" s="65" t="e">
        <f t="shared" si="791"/>
        <v>#NUM!</v>
      </c>
      <c r="K5031" s="83" t="e">
        <f t="shared" si="792"/>
        <v>#NUM!</v>
      </c>
      <c r="L5031" s="83">
        <f t="shared" si="793"/>
        <v>0</v>
      </c>
      <c r="M5031" s="110" t="str">
        <f t="shared" si="794"/>
        <v/>
      </c>
      <c r="N5031" s="51" t="str">
        <f t="shared" si="795"/>
        <v/>
      </c>
      <c r="O5031" s="52" t="str">
        <f t="shared" si="796"/>
        <v/>
      </c>
      <c r="P5031" s="88">
        <f t="shared" si="797"/>
        <v>0</v>
      </c>
      <c r="Q5031" s="88">
        <f t="shared" si="798"/>
        <v>0</v>
      </c>
      <c r="R5031" s="88" t="e">
        <f>-IF(Tabla14[[#This Row],[DIAS HABILES O MORA]]&lt;0,(Tabla14[[#This Row],[VALOR PRESTAMO]]*Tabla14[[#This Row],[% INTERES ]]/30*U5031))+Tabla14[[#This Row],[VALOR CUOTAS]]</f>
        <v>#VALUE!</v>
      </c>
      <c r="S5031" s="88">
        <f>-IF(Tabla14[[#This Row],[DIAS HABILES O MORA]]&lt;0,(Tabla14[[#This Row],[VALOR PRESTAMO]]*Tabla14[[#This Row],[% INTERES ]]/30*U5031))</f>
        <v>0</v>
      </c>
      <c r="T5031" s="53" t="e">
        <f>Tabla14[[#This Row],[DEUDA CAPITAL]]+Tabla14[[#This Row],[INTERES  CUOTA]]</f>
        <v>#NUM!</v>
      </c>
      <c r="U5031" s="61" t="str">
        <f t="shared" si="799"/>
        <v/>
      </c>
    </row>
    <row r="5032" spans="9:21" ht="24.75" customHeight="1" x14ac:dyDescent="0.35">
      <c r="I5032" s="42">
        <f t="shared" si="790"/>
        <v>0</v>
      </c>
      <c r="J5032" s="65" t="e">
        <f t="shared" si="791"/>
        <v>#NUM!</v>
      </c>
      <c r="K5032" s="83" t="e">
        <f t="shared" si="792"/>
        <v>#NUM!</v>
      </c>
      <c r="L5032" s="83">
        <f t="shared" si="793"/>
        <v>0</v>
      </c>
      <c r="M5032" s="110" t="str">
        <f t="shared" si="794"/>
        <v/>
      </c>
      <c r="N5032" s="51" t="str">
        <f t="shared" si="795"/>
        <v/>
      </c>
      <c r="O5032" s="52" t="str">
        <f t="shared" si="796"/>
        <v/>
      </c>
      <c r="P5032" s="88">
        <f t="shared" si="797"/>
        <v>0</v>
      </c>
      <c r="Q5032" s="88">
        <f t="shared" si="798"/>
        <v>0</v>
      </c>
      <c r="R5032" s="88" t="e">
        <f>-IF(Tabla14[[#This Row],[DIAS HABILES O MORA]]&lt;0,(Tabla14[[#This Row],[VALOR PRESTAMO]]*Tabla14[[#This Row],[% INTERES ]]/30*U5032))+Tabla14[[#This Row],[VALOR CUOTAS]]</f>
        <v>#VALUE!</v>
      </c>
      <c r="S5032" s="88">
        <f>-IF(Tabla14[[#This Row],[DIAS HABILES O MORA]]&lt;0,(Tabla14[[#This Row],[VALOR PRESTAMO]]*Tabla14[[#This Row],[% INTERES ]]/30*U5032))</f>
        <v>0</v>
      </c>
      <c r="T5032" s="53" t="e">
        <f>Tabla14[[#This Row],[DEUDA CAPITAL]]+Tabla14[[#This Row],[INTERES  CUOTA]]</f>
        <v>#NUM!</v>
      </c>
      <c r="U5032" s="61" t="str">
        <f t="shared" si="799"/>
        <v/>
      </c>
    </row>
    <row r="5033" spans="9:21" ht="24.75" customHeight="1" x14ac:dyDescent="0.35">
      <c r="I5033" s="42">
        <f t="shared" si="790"/>
        <v>0</v>
      </c>
      <c r="J5033" s="65" t="e">
        <f t="shared" si="791"/>
        <v>#NUM!</v>
      </c>
      <c r="K5033" s="83" t="e">
        <f t="shared" si="792"/>
        <v>#NUM!</v>
      </c>
      <c r="L5033" s="83">
        <f t="shared" si="793"/>
        <v>0</v>
      </c>
      <c r="M5033" s="110" t="str">
        <f t="shared" si="794"/>
        <v/>
      </c>
      <c r="N5033" s="51" t="str">
        <f t="shared" si="795"/>
        <v/>
      </c>
      <c r="O5033" s="52" t="str">
        <f t="shared" si="796"/>
        <v/>
      </c>
      <c r="P5033" s="88">
        <f t="shared" si="797"/>
        <v>0</v>
      </c>
      <c r="Q5033" s="88">
        <f t="shared" si="798"/>
        <v>0</v>
      </c>
      <c r="R5033" s="88" t="e">
        <f>-IF(Tabla14[[#This Row],[DIAS HABILES O MORA]]&lt;0,(Tabla14[[#This Row],[VALOR PRESTAMO]]*Tabla14[[#This Row],[% INTERES ]]/30*U5033))+Tabla14[[#This Row],[VALOR CUOTAS]]</f>
        <v>#VALUE!</v>
      </c>
      <c r="S5033" s="88">
        <f>-IF(Tabla14[[#This Row],[DIAS HABILES O MORA]]&lt;0,(Tabla14[[#This Row],[VALOR PRESTAMO]]*Tabla14[[#This Row],[% INTERES ]]/30*U5033))</f>
        <v>0</v>
      </c>
      <c r="T5033" s="53" t="e">
        <f>Tabla14[[#This Row],[DEUDA CAPITAL]]+Tabla14[[#This Row],[INTERES  CUOTA]]</f>
        <v>#NUM!</v>
      </c>
      <c r="U5033" s="61" t="str">
        <f t="shared" si="799"/>
        <v/>
      </c>
    </row>
    <row r="5034" spans="9:21" ht="24.75" customHeight="1" x14ac:dyDescent="0.35">
      <c r="I5034" s="42">
        <f t="shared" si="790"/>
        <v>0</v>
      </c>
      <c r="J5034" s="65" t="e">
        <f t="shared" si="791"/>
        <v>#NUM!</v>
      </c>
      <c r="K5034" s="83" t="e">
        <f t="shared" si="792"/>
        <v>#NUM!</v>
      </c>
      <c r="L5034" s="83">
        <f t="shared" si="793"/>
        <v>0</v>
      </c>
      <c r="M5034" s="110" t="str">
        <f t="shared" si="794"/>
        <v/>
      </c>
      <c r="N5034" s="51" t="str">
        <f t="shared" si="795"/>
        <v/>
      </c>
      <c r="O5034" s="52" t="str">
        <f t="shared" si="796"/>
        <v/>
      </c>
      <c r="P5034" s="88">
        <f t="shared" si="797"/>
        <v>0</v>
      </c>
      <c r="Q5034" s="88">
        <f t="shared" si="798"/>
        <v>0</v>
      </c>
      <c r="R5034" s="88" t="e">
        <f>-IF(Tabla14[[#This Row],[DIAS HABILES O MORA]]&lt;0,(Tabla14[[#This Row],[VALOR PRESTAMO]]*Tabla14[[#This Row],[% INTERES ]]/30*U5034))+Tabla14[[#This Row],[VALOR CUOTAS]]</f>
        <v>#VALUE!</v>
      </c>
      <c r="S5034" s="88">
        <f>-IF(Tabla14[[#This Row],[DIAS HABILES O MORA]]&lt;0,(Tabla14[[#This Row],[VALOR PRESTAMO]]*Tabla14[[#This Row],[% INTERES ]]/30*U5034))</f>
        <v>0</v>
      </c>
      <c r="T5034" s="53" t="e">
        <f>Tabla14[[#This Row],[DEUDA CAPITAL]]+Tabla14[[#This Row],[INTERES  CUOTA]]</f>
        <v>#NUM!</v>
      </c>
      <c r="U5034" s="61" t="str">
        <f t="shared" si="799"/>
        <v/>
      </c>
    </row>
    <row r="5035" spans="9:21" ht="24.75" customHeight="1" x14ac:dyDescent="0.35">
      <c r="I5035" s="42">
        <f t="shared" si="790"/>
        <v>0</v>
      </c>
      <c r="J5035" s="65" t="e">
        <f t="shared" si="791"/>
        <v>#NUM!</v>
      </c>
      <c r="K5035" s="83" t="e">
        <f t="shared" si="792"/>
        <v>#NUM!</v>
      </c>
      <c r="L5035" s="83">
        <f t="shared" si="793"/>
        <v>0</v>
      </c>
      <c r="M5035" s="110" t="str">
        <f t="shared" si="794"/>
        <v/>
      </c>
      <c r="N5035" s="51" t="str">
        <f t="shared" si="795"/>
        <v/>
      </c>
      <c r="O5035" s="52" t="str">
        <f t="shared" si="796"/>
        <v/>
      </c>
      <c r="P5035" s="88">
        <f t="shared" si="797"/>
        <v>0</v>
      </c>
      <c r="Q5035" s="88">
        <f t="shared" si="798"/>
        <v>0</v>
      </c>
      <c r="R5035" s="88" t="e">
        <f>-IF(Tabla14[[#This Row],[DIAS HABILES O MORA]]&lt;0,(Tabla14[[#This Row],[VALOR PRESTAMO]]*Tabla14[[#This Row],[% INTERES ]]/30*U5035))+Tabla14[[#This Row],[VALOR CUOTAS]]</f>
        <v>#VALUE!</v>
      </c>
      <c r="S5035" s="88">
        <f>-IF(Tabla14[[#This Row],[DIAS HABILES O MORA]]&lt;0,(Tabla14[[#This Row],[VALOR PRESTAMO]]*Tabla14[[#This Row],[% INTERES ]]/30*U5035))</f>
        <v>0</v>
      </c>
      <c r="T5035" s="53" t="e">
        <f>Tabla14[[#This Row],[DEUDA CAPITAL]]+Tabla14[[#This Row],[INTERES  CUOTA]]</f>
        <v>#NUM!</v>
      </c>
      <c r="U5035" s="61" t="str">
        <f t="shared" si="799"/>
        <v/>
      </c>
    </row>
    <row r="5036" spans="9:21" ht="24.75" customHeight="1" x14ac:dyDescent="0.35">
      <c r="I5036" s="42">
        <f t="shared" si="790"/>
        <v>0</v>
      </c>
      <c r="J5036" s="65" t="e">
        <f t="shared" si="791"/>
        <v>#NUM!</v>
      </c>
      <c r="K5036" s="83" t="e">
        <f t="shared" si="792"/>
        <v>#NUM!</v>
      </c>
      <c r="L5036" s="83">
        <f t="shared" si="793"/>
        <v>0</v>
      </c>
      <c r="M5036" s="110" t="str">
        <f t="shared" si="794"/>
        <v/>
      </c>
      <c r="N5036" s="51" t="str">
        <f t="shared" si="795"/>
        <v/>
      </c>
      <c r="O5036" s="52" t="str">
        <f t="shared" si="796"/>
        <v/>
      </c>
      <c r="P5036" s="88">
        <f t="shared" si="797"/>
        <v>0</v>
      </c>
      <c r="Q5036" s="88">
        <f t="shared" si="798"/>
        <v>0</v>
      </c>
      <c r="R5036" s="88" t="e">
        <f>-IF(Tabla14[[#This Row],[DIAS HABILES O MORA]]&lt;0,(Tabla14[[#This Row],[VALOR PRESTAMO]]*Tabla14[[#This Row],[% INTERES ]]/30*U5036))+Tabla14[[#This Row],[VALOR CUOTAS]]</f>
        <v>#VALUE!</v>
      </c>
      <c r="S5036" s="88">
        <f>-IF(Tabla14[[#This Row],[DIAS HABILES O MORA]]&lt;0,(Tabla14[[#This Row],[VALOR PRESTAMO]]*Tabla14[[#This Row],[% INTERES ]]/30*U5036))</f>
        <v>0</v>
      </c>
      <c r="T5036" s="53" t="e">
        <f>Tabla14[[#This Row],[DEUDA CAPITAL]]+Tabla14[[#This Row],[INTERES  CUOTA]]</f>
        <v>#NUM!</v>
      </c>
      <c r="U5036" s="61" t="str">
        <f t="shared" si="799"/>
        <v/>
      </c>
    </row>
    <row r="5037" spans="9:21" ht="24.75" customHeight="1" x14ac:dyDescent="0.35">
      <c r="I5037" s="42">
        <f t="shared" si="790"/>
        <v>0</v>
      </c>
      <c r="J5037" s="65" t="e">
        <f t="shared" si="791"/>
        <v>#NUM!</v>
      </c>
      <c r="K5037" s="83" t="e">
        <f t="shared" si="792"/>
        <v>#NUM!</v>
      </c>
      <c r="L5037" s="83">
        <f t="shared" si="793"/>
        <v>0</v>
      </c>
      <c r="M5037" s="110" t="str">
        <f t="shared" si="794"/>
        <v/>
      </c>
      <c r="N5037" s="51" t="str">
        <f t="shared" si="795"/>
        <v/>
      </c>
      <c r="O5037" s="52" t="str">
        <f t="shared" si="796"/>
        <v/>
      </c>
      <c r="P5037" s="88">
        <f t="shared" si="797"/>
        <v>0</v>
      </c>
      <c r="Q5037" s="88">
        <f t="shared" si="798"/>
        <v>0</v>
      </c>
      <c r="R5037" s="88" t="e">
        <f>-IF(Tabla14[[#This Row],[DIAS HABILES O MORA]]&lt;0,(Tabla14[[#This Row],[VALOR PRESTAMO]]*Tabla14[[#This Row],[% INTERES ]]/30*U5037))+Tabla14[[#This Row],[VALOR CUOTAS]]</f>
        <v>#VALUE!</v>
      </c>
      <c r="S5037" s="88">
        <f>-IF(Tabla14[[#This Row],[DIAS HABILES O MORA]]&lt;0,(Tabla14[[#This Row],[VALOR PRESTAMO]]*Tabla14[[#This Row],[% INTERES ]]/30*U5037))</f>
        <v>0</v>
      </c>
      <c r="T5037" s="53" t="e">
        <f>Tabla14[[#This Row],[DEUDA CAPITAL]]+Tabla14[[#This Row],[INTERES  CUOTA]]</f>
        <v>#NUM!</v>
      </c>
      <c r="U5037" s="61" t="str">
        <f t="shared" si="799"/>
        <v/>
      </c>
    </row>
    <row r="5038" spans="9:21" ht="24.75" customHeight="1" x14ac:dyDescent="0.35">
      <c r="I5038" s="42">
        <f t="shared" si="790"/>
        <v>0</v>
      </c>
      <c r="J5038" s="65" t="e">
        <f t="shared" si="791"/>
        <v>#NUM!</v>
      </c>
      <c r="K5038" s="83" t="e">
        <f t="shared" si="792"/>
        <v>#NUM!</v>
      </c>
      <c r="L5038" s="83">
        <f t="shared" si="793"/>
        <v>0</v>
      </c>
      <c r="M5038" s="110" t="str">
        <f t="shared" si="794"/>
        <v/>
      </c>
      <c r="N5038" s="51" t="str">
        <f t="shared" si="795"/>
        <v/>
      </c>
      <c r="O5038" s="52" t="str">
        <f t="shared" si="796"/>
        <v/>
      </c>
      <c r="P5038" s="88">
        <f t="shared" si="797"/>
        <v>0</v>
      </c>
      <c r="Q5038" s="88">
        <f t="shared" si="798"/>
        <v>0</v>
      </c>
      <c r="R5038" s="88" t="e">
        <f>-IF(Tabla14[[#This Row],[DIAS HABILES O MORA]]&lt;0,(Tabla14[[#This Row],[VALOR PRESTAMO]]*Tabla14[[#This Row],[% INTERES ]]/30*U5038))+Tabla14[[#This Row],[VALOR CUOTAS]]</f>
        <v>#VALUE!</v>
      </c>
      <c r="S5038" s="88">
        <f>-IF(Tabla14[[#This Row],[DIAS HABILES O MORA]]&lt;0,(Tabla14[[#This Row],[VALOR PRESTAMO]]*Tabla14[[#This Row],[% INTERES ]]/30*U5038))</f>
        <v>0</v>
      </c>
      <c r="T5038" s="53" t="e">
        <f>Tabla14[[#This Row],[DEUDA CAPITAL]]+Tabla14[[#This Row],[INTERES  CUOTA]]</f>
        <v>#NUM!</v>
      </c>
      <c r="U5038" s="61" t="str">
        <f t="shared" si="799"/>
        <v/>
      </c>
    </row>
    <row r="5039" spans="9:21" ht="24.75" customHeight="1" x14ac:dyDescent="0.35">
      <c r="I5039" s="42">
        <f t="shared" si="790"/>
        <v>0</v>
      </c>
      <c r="J5039" s="65" t="e">
        <f t="shared" si="791"/>
        <v>#NUM!</v>
      </c>
      <c r="K5039" s="83" t="e">
        <f t="shared" si="792"/>
        <v>#NUM!</v>
      </c>
      <c r="L5039" s="83">
        <f t="shared" si="793"/>
        <v>0</v>
      </c>
      <c r="M5039" s="110" t="str">
        <f t="shared" si="794"/>
        <v/>
      </c>
      <c r="N5039" s="51" t="str">
        <f t="shared" si="795"/>
        <v/>
      </c>
      <c r="O5039" s="52" t="str">
        <f t="shared" si="796"/>
        <v/>
      </c>
      <c r="P5039" s="88">
        <f t="shared" si="797"/>
        <v>0</v>
      </c>
      <c r="Q5039" s="88">
        <f t="shared" si="798"/>
        <v>0</v>
      </c>
      <c r="R5039" s="88" t="e">
        <f>-IF(Tabla14[[#This Row],[DIAS HABILES O MORA]]&lt;0,(Tabla14[[#This Row],[VALOR PRESTAMO]]*Tabla14[[#This Row],[% INTERES ]]/30*U5039))+Tabla14[[#This Row],[VALOR CUOTAS]]</f>
        <v>#VALUE!</v>
      </c>
      <c r="S5039" s="88">
        <f>-IF(Tabla14[[#This Row],[DIAS HABILES O MORA]]&lt;0,(Tabla14[[#This Row],[VALOR PRESTAMO]]*Tabla14[[#This Row],[% INTERES ]]/30*U5039))</f>
        <v>0</v>
      </c>
      <c r="T5039" s="53" t="e">
        <f>Tabla14[[#This Row],[DEUDA CAPITAL]]+Tabla14[[#This Row],[INTERES  CUOTA]]</f>
        <v>#NUM!</v>
      </c>
      <c r="U5039" s="61" t="str">
        <f t="shared" si="799"/>
        <v/>
      </c>
    </row>
    <row r="5040" spans="9:21" ht="24.75" customHeight="1" x14ac:dyDescent="0.35">
      <c r="I5040" s="42">
        <f t="shared" si="790"/>
        <v>0</v>
      </c>
      <c r="J5040" s="65" t="e">
        <f t="shared" si="791"/>
        <v>#NUM!</v>
      </c>
      <c r="K5040" s="83" t="e">
        <f t="shared" si="792"/>
        <v>#NUM!</v>
      </c>
      <c r="L5040" s="83">
        <f t="shared" si="793"/>
        <v>0</v>
      </c>
      <c r="M5040" s="110" t="str">
        <f t="shared" si="794"/>
        <v/>
      </c>
      <c r="N5040" s="51" t="str">
        <f t="shared" si="795"/>
        <v/>
      </c>
      <c r="O5040" s="52" t="str">
        <f t="shared" si="796"/>
        <v/>
      </c>
      <c r="P5040" s="88">
        <f t="shared" si="797"/>
        <v>0</v>
      </c>
      <c r="Q5040" s="88">
        <f t="shared" si="798"/>
        <v>0</v>
      </c>
      <c r="R5040" s="88" t="e">
        <f>-IF(Tabla14[[#This Row],[DIAS HABILES O MORA]]&lt;0,(Tabla14[[#This Row],[VALOR PRESTAMO]]*Tabla14[[#This Row],[% INTERES ]]/30*U5040))+Tabla14[[#This Row],[VALOR CUOTAS]]</f>
        <v>#VALUE!</v>
      </c>
      <c r="S5040" s="88">
        <f>-IF(Tabla14[[#This Row],[DIAS HABILES O MORA]]&lt;0,(Tabla14[[#This Row],[VALOR PRESTAMO]]*Tabla14[[#This Row],[% INTERES ]]/30*U5040))</f>
        <v>0</v>
      </c>
      <c r="T5040" s="53" t="e">
        <f>Tabla14[[#This Row],[DEUDA CAPITAL]]+Tabla14[[#This Row],[INTERES  CUOTA]]</f>
        <v>#NUM!</v>
      </c>
      <c r="U5040" s="61" t="str">
        <f t="shared" si="799"/>
        <v/>
      </c>
    </row>
    <row r="5041" spans="9:21" ht="24.75" customHeight="1" x14ac:dyDescent="0.35">
      <c r="I5041" s="42">
        <f t="shared" si="790"/>
        <v>0</v>
      </c>
      <c r="J5041" s="65" t="e">
        <f t="shared" si="791"/>
        <v>#NUM!</v>
      </c>
      <c r="K5041" s="83" t="e">
        <f t="shared" si="792"/>
        <v>#NUM!</v>
      </c>
      <c r="L5041" s="83">
        <f t="shared" si="793"/>
        <v>0</v>
      </c>
      <c r="M5041" s="110" t="str">
        <f t="shared" si="794"/>
        <v/>
      </c>
      <c r="N5041" s="51" t="str">
        <f t="shared" si="795"/>
        <v/>
      </c>
      <c r="O5041" s="52" t="str">
        <f t="shared" si="796"/>
        <v/>
      </c>
      <c r="P5041" s="88">
        <f t="shared" si="797"/>
        <v>0</v>
      </c>
      <c r="Q5041" s="88">
        <f t="shared" si="798"/>
        <v>0</v>
      </c>
      <c r="R5041" s="88" t="e">
        <f>-IF(Tabla14[[#This Row],[DIAS HABILES O MORA]]&lt;0,(Tabla14[[#This Row],[VALOR PRESTAMO]]*Tabla14[[#This Row],[% INTERES ]]/30*U5041))+Tabla14[[#This Row],[VALOR CUOTAS]]</f>
        <v>#VALUE!</v>
      </c>
      <c r="S5041" s="88">
        <f>-IF(Tabla14[[#This Row],[DIAS HABILES O MORA]]&lt;0,(Tabla14[[#This Row],[VALOR PRESTAMO]]*Tabla14[[#This Row],[% INTERES ]]/30*U5041))</f>
        <v>0</v>
      </c>
      <c r="T5041" s="53" t="e">
        <f>Tabla14[[#This Row],[DEUDA CAPITAL]]+Tabla14[[#This Row],[INTERES  CUOTA]]</f>
        <v>#NUM!</v>
      </c>
      <c r="U5041" s="61" t="str">
        <f t="shared" si="799"/>
        <v/>
      </c>
    </row>
    <row r="5042" spans="9:21" ht="24.75" customHeight="1" x14ac:dyDescent="0.35">
      <c r="I5042" s="42">
        <f t="shared" si="790"/>
        <v>0</v>
      </c>
      <c r="J5042" s="65" t="e">
        <f t="shared" si="791"/>
        <v>#NUM!</v>
      </c>
      <c r="K5042" s="83" t="e">
        <f t="shared" si="792"/>
        <v>#NUM!</v>
      </c>
      <c r="L5042" s="83">
        <f t="shared" si="793"/>
        <v>0</v>
      </c>
      <c r="M5042" s="110" t="str">
        <f t="shared" si="794"/>
        <v/>
      </c>
      <c r="N5042" s="51" t="str">
        <f t="shared" si="795"/>
        <v/>
      </c>
      <c r="O5042" s="52" t="str">
        <f t="shared" si="796"/>
        <v/>
      </c>
      <c r="P5042" s="88">
        <f t="shared" si="797"/>
        <v>0</v>
      </c>
      <c r="Q5042" s="88">
        <f t="shared" si="798"/>
        <v>0</v>
      </c>
      <c r="R5042" s="88" t="e">
        <f>-IF(Tabla14[[#This Row],[DIAS HABILES O MORA]]&lt;0,(Tabla14[[#This Row],[VALOR PRESTAMO]]*Tabla14[[#This Row],[% INTERES ]]/30*U5042))+Tabla14[[#This Row],[VALOR CUOTAS]]</f>
        <v>#VALUE!</v>
      </c>
      <c r="S5042" s="88">
        <f>-IF(Tabla14[[#This Row],[DIAS HABILES O MORA]]&lt;0,(Tabla14[[#This Row],[VALOR PRESTAMO]]*Tabla14[[#This Row],[% INTERES ]]/30*U5042))</f>
        <v>0</v>
      </c>
      <c r="T5042" s="53" t="e">
        <f>Tabla14[[#This Row],[DEUDA CAPITAL]]+Tabla14[[#This Row],[INTERES  CUOTA]]</f>
        <v>#NUM!</v>
      </c>
      <c r="U5042" s="61" t="str">
        <f t="shared" si="799"/>
        <v/>
      </c>
    </row>
    <row r="5043" spans="9:21" ht="24.75" customHeight="1" x14ac:dyDescent="0.35">
      <c r="I5043" s="42">
        <f t="shared" si="790"/>
        <v>0</v>
      </c>
      <c r="J5043" s="65" t="e">
        <f t="shared" si="791"/>
        <v>#NUM!</v>
      </c>
      <c r="K5043" s="83" t="e">
        <f t="shared" si="792"/>
        <v>#NUM!</v>
      </c>
      <c r="L5043" s="83">
        <f t="shared" si="793"/>
        <v>0</v>
      </c>
      <c r="M5043" s="110" t="str">
        <f t="shared" si="794"/>
        <v/>
      </c>
      <c r="N5043" s="51" t="str">
        <f t="shared" si="795"/>
        <v/>
      </c>
      <c r="O5043" s="52" t="str">
        <f t="shared" si="796"/>
        <v/>
      </c>
      <c r="P5043" s="88">
        <f t="shared" si="797"/>
        <v>0</v>
      </c>
      <c r="Q5043" s="88">
        <f t="shared" si="798"/>
        <v>0</v>
      </c>
      <c r="R5043" s="88" t="e">
        <f>-IF(Tabla14[[#This Row],[DIAS HABILES O MORA]]&lt;0,(Tabla14[[#This Row],[VALOR PRESTAMO]]*Tabla14[[#This Row],[% INTERES ]]/30*U5043))+Tabla14[[#This Row],[VALOR CUOTAS]]</f>
        <v>#VALUE!</v>
      </c>
      <c r="S5043" s="88">
        <f>-IF(Tabla14[[#This Row],[DIAS HABILES O MORA]]&lt;0,(Tabla14[[#This Row],[VALOR PRESTAMO]]*Tabla14[[#This Row],[% INTERES ]]/30*U5043))</f>
        <v>0</v>
      </c>
      <c r="T5043" s="53" t="e">
        <f>Tabla14[[#This Row],[DEUDA CAPITAL]]+Tabla14[[#This Row],[INTERES  CUOTA]]</f>
        <v>#NUM!</v>
      </c>
      <c r="U5043" s="61" t="str">
        <f t="shared" si="799"/>
        <v/>
      </c>
    </row>
    <row r="5044" spans="9:21" ht="24.75" customHeight="1" x14ac:dyDescent="0.35">
      <c r="I5044" s="42">
        <f t="shared" si="790"/>
        <v>0</v>
      </c>
      <c r="J5044" s="65" t="e">
        <f t="shared" si="791"/>
        <v>#NUM!</v>
      </c>
      <c r="K5044" s="83" t="e">
        <f t="shared" si="792"/>
        <v>#NUM!</v>
      </c>
      <c r="L5044" s="83">
        <f t="shared" si="793"/>
        <v>0</v>
      </c>
      <c r="M5044" s="110" t="str">
        <f t="shared" si="794"/>
        <v/>
      </c>
      <c r="N5044" s="51" t="str">
        <f t="shared" si="795"/>
        <v/>
      </c>
      <c r="O5044" s="52" t="str">
        <f t="shared" si="796"/>
        <v/>
      </c>
      <c r="P5044" s="88">
        <f t="shared" si="797"/>
        <v>0</v>
      </c>
      <c r="Q5044" s="88">
        <f t="shared" si="798"/>
        <v>0</v>
      </c>
      <c r="R5044" s="88" t="e">
        <f>-IF(Tabla14[[#This Row],[DIAS HABILES O MORA]]&lt;0,(Tabla14[[#This Row],[VALOR PRESTAMO]]*Tabla14[[#This Row],[% INTERES ]]/30*U5044))+Tabla14[[#This Row],[VALOR CUOTAS]]</f>
        <v>#VALUE!</v>
      </c>
      <c r="S5044" s="88">
        <f>-IF(Tabla14[[#This Row],[DIAS HABILES O MORA]]&lt;0,(Tabla14[[#This Row],[VALOR PRESTAMO]]*Tabla14[[#This Row],[% INTERES ]]/30*U5044))</f>
        <v>0</v>
      </c>
      <c r="T5044" s="53" t="e">
        <f>Tabla14[[#This Row],[DEUDA CAPITAL]]+Tabla14[[#This Row],[INTERES  CUOTA]]</f>
        <v>#NUM!</v>
      </c>
      <c r="U5044" s="61" t="str">
        <f t="shared" si="799"/>
        <v/>
      </c>
    </row>
    <row r="5045" spans="9:21" ht="24.75" customHeight="1" x14ac:dyDescent="0.35">
      <c r="I5045" s="42">
        <f t="shared" si="790"/>
        <v>0</v>
      </c>
      <c r="J5045" s="65" t="e">
        <f t="shared" si="791"/>
        <v>#NUM!</v>
      </c>
      <c r="K5045" s="83" t="e">
        <f t="shared" si="792"/>
        <v>#NUM!</v>
      </c>
      <c r="L5045" s="83">
        <f t="shared" si="793"/>
        <v>0</v>
      </c>
      <c r="M5045" s="110" t="str">
        <f t="shared" si="794"/>
        <v/>
      </c>
      <c r="N5045" s="51" t="str">
        <f t="shared" si="795"/>
        <v/>
      </c>
      <c r="O5045" s="52" t="str">
        <f t="shared" si="796"/>
        <v/>
      </c>
      <c r="P5045" s="88">
        <f t="shared" si="797"/>
        <v>0</v>
      </c>
      <c r="Q5045" s="88">
        <f t="shared" si="798"/>
        <v>0</v>
      </c>
      <c r="R5045" s="88" t="e">
        <f>-IF(Tabla14[[#This Row],[DIAS HABILES O MORA]]&lt;0,(Tabla14[[#This Row],[VALOR PRESTAMO]]*Tabla14[[#This Row],[% INTERES ]]/30*U5045))+Tabla14[[#This Row],[VALOR CUOTAS]]</f>
        <v>#VALUE!</v>
      </c>
      <c r="S5045" s="88">
        <f>-IF(Tabla14[[#This Row],[DIAS HABILES O MORA]]&lt;0,(Tabla14[[#This Row],[VALOR PRESTAMO]]*Tabla14[[#This Row],[% INTERES ]]/30*U5045))</f>
        <v>0</v>
      </c>
      <c r="T5045" s="53" t="e">
        <f>Tabla14[[#This Row],[DEUDA CAPITAL]]+Tabla14[[#This Row],[INTERES  CUOTA]]</f>
        <v>#NUM!</v>
      </c>
      <c r="U5045" s="61" t="str">
        <f t="shared" si="799"/>
        <v/>
      </c>
    </row>
    <row r="5046" spans="9:21" ht="24.75" customHeight="1" x14ac:dyDescent="0.35">
      <c r="I5046" s="42">
        <f t="shared" si="790"/>
        <v>0</v>
      </c>
      <c r="J5046" s="65" t="e">
        <f t="shared" si="791"/>
        <v>#NUM!</v>
      </c>
      <c r="K5046" s="83" t="e">
        <f t="shared" si="792"/>
        <v>#NUM!</v>
      </c>
      <c r="L5046" s="83">
        <f t="shared" si="793"/>
        <v>0</v>
      </c>
      <c r="M5046" s="110" t="str">
        <f t="shared" si="794"/>
        <v/>
      </c>
      <c r="N5046" s="51" t="str">
        <f t="shared" si="795"/>
        <v/>
      </c>
      <c r="O5046" s="52" t="str">
        <f t="shared" si="796"/>
        <v/>
      </c>
      <c r="P5046" s="88">
        <f t="shared" si="797"/>
        <v>0</v>
      </c>
      <c r="Q5046" s="88">
        <f t="shared" si="798"/>
        <v>0</v>
      </c>
      <c r="R5046" s="88" t="e">
        <f>-IF(Tabla14[[#This Row],[DIAS HABILES O MORA]]&lt;0,(Tabla14[[#This Row],[VALOR PRESTAMO]]*Tabla14[[#This Row],[% INTERES ]]/30*U5046))+Tabla14[[#This Row],[VALOR CUOTAS]]</f>
        <v>#VALUE!</v>
      </c>
      <c r="S5046" s="88">
        <f>-IF(Tabla14[[#This Row],[DIAS HABILES O MORA]]&lt;0,(Tabla14[[#This Row],[VALOR PRESTAMO]]*Tabla14[[#This Row],[% INTERES ]]/30*U5046))</f>
        <v>0</v>
      </c>
      <c r="T5046" s="53" t="e">
        <f>Tabla14[[#This Row],[DEUDA CAPITAL]]+Tabla14[[#This Row],[INTERES  CUOTA]]</f>
        <v>#NUM!</v>
      </c>
      <c r="U5046" s="61" t="str">
        <f t="shared" si="799"/>
        <v/>
      </c>
    </row>
    <row r="5047" spans="9:21" ht="24.75" customHeight="1" x14ac:dyDescent="0.35">
      <c r="I5047" s="42">
        <f t="shared" si="790"/>
        <v>0</v>
      </c>
      <c r="J5047" s="65" t="e">
        <f t="shared" si="791"/>
        <v>#NUM!</v>
      </c>
      <c r="K5047" s="83" t="e">
        <f t="shared" si="792"/>
        <v>#NUM!</v>
      </c>
      <c r="L5047" s="83">
        <f t="shared" si="793"/>
        <v>0</v>
      </c>
      <c r="M5047" s="110" t="str">
        <f t="shared" si="794"/>
        <v/>
      </c>
      <c r="N5047" s="51" t="str">
        <f t="shared" si="795"/>
        <v/>
      </c>
      <c r="O5047" s="52" t="str">
        <f t="shared" si="796"/>
        <v/>
      </c>
      <c r="P5047" s="88">
        <f t="shared" si="797"/>
        <v>0</v>
      </c>
      <c r="Q5047" s="88">
        <f t="shared" si="798"/>
        <v>0</v>
      </c>
      <c r="R5047" s="88" t="e">
        <f>-IF(Tabla14[[#This Row],[DIAS HABILES O MORA]]&lt;0,(Tabla14[[#This Row],[VALOR PRESTAMO]]*Tabla14[[#This Row],[% INTERES ]]/30*U5047))+Tabla14[[#This Row],[VALOR CUOTAS]]</f>
        <v>#VALUE!</v>
      </c>
      <c r="S5047" s="88">
        <f>-IF(Tabla14[[#This Row],[DIAS HABILES O MORA]]&lt;0,(Tabla14[[#This Row],[VALOR PRESTAMO]]*Tabla14[[#This Row],[% INTERES ]]/30*U5047))</f>
        <v>0</v>
      </c>
      <c r="T5047" s="53" t="e">
        <f>Tabla14[[#This Row],[DEUDA CAPITAL]]+Tabla14[[#This Row],[INTERES  CUOTA]]</f>
        <v>#NUM!</v>
      </c>
      <c r="U5047" s="61" t="str">
        <f t="shared" si="799"/>
        <v/>
      </c>
    </row>
    <row r="5048" spans="9:21" ht="24.75" customHeight="1" x14ac:dyDescent="0.35">
      <c r="I5048" s="42">
        <f t="shared" si="790"/>
        <v>0</v>
      </c>
      <c r="J5048" s="65" t="e">
        <f t="shared" si="791"/>
        <v>#NUM!</v>
      </c>
      <c r="K5048" s="83" t="e">
        <f t="shared" si="792"/>
        <v>#NUM!</v>
      </c>
      <c r="L5048" s="83">
        <f t="shared" si="793"/>
        <v>0</v>
      </c>
      <c r="M5048" s="110" t="str">
        <f t="shared" si="794"/>
        <v/>
      </c>
      <c r="N5048" s="51" t="str">
        <f t="shared" si="795"/>
        <v/>
      </c>
      <c r="O5048" s="52" t="str">
        <f t="shared" si="796"/>
        <v/>
      </c>
      <c r="P5048" s="88">
        <f t="shared" si="797"/>
        <v>0</v>
      </c>
      <c r="Q5048" s="88">
        <f t="shared" si="798"/>
        <v>0</v>
      </c>
      <c r="R5048" s="88" t="e">
        <f>-IF(Tabla14[[#This Row],[DIAS HABILES O MORA]]&lt;0,(Tabla14[[#This Row],[VALOR PRESTAMO]]*Tabla14[[#This Row],[% INTERES ]]/30*U5048))+Tabla14[[#This Row],[VALOR CUOTAS]]</f>
        <v>#VALUE!</v>
      </c>
      <c r="S5048" s="88">
        <f>-IF(Tabla14[[#This Row],[DIAS HABILES O MORA]]&lt;0,(Tabla14[[#This Row],[VALOR PRESTAMO]]*Tabla14[[#This Row],[% INTERES ]]/30*U5048))</f>
        <v>0</v>
      </c>
      <c r="T5048" s="53" t="e">
        <f>Tabla14[[#This Row],[DEUDA CAPITAL]]+Tabla14[[#This Row],[INTERES  CUOTA]]</f>
        <v>#NUM!</v>
      </c>
      <c r="U5048" s="61" t="str">
        <f t="shared" si="799"/>
        <v/>
      </c>
    </row>
    <row r="5049" spans="9:21" ht="24.75" customHeight="1" x14ac:dyDescent="0.35">
      <c r="I5049" s="42">
        <f t="shared" si="790"/>
        <v>0</v>
      </c>
      <c r="J5049" s="65" t="e">
        <f t="shared" si="791"/>
        <v>#NUM!</v>
      </c>
      <c r="K5049" s="83" t="e">
        <f t="shared" si="792"/>
        <v>#NUM!</v>
      </c>
      <c r="L5049" s="83">
        <f t="shared" si="793"/>
        <v>0</v>
      </c>
      <c r="M5049" s="110" t="str">
        <f t="shared" si="794"/>
        <v/>
      </c>
      <c r="N5049" s="51" t="str">
        <f t="shared" si="795"/>
        <v/>
      </c>
      <c r="O5049" s="52" t="str">
        <f t="shared" si="796"/>
        <v/>
      </c>
      <c r="P5049" s="88">
        <f t="shared" si="797"/>
        <v>0</v>
      </c>
      <c r="Q5049" s="88">
        <f t="shared" si="798"/>
        <v>0</v>
      </c>
      <c r="R5049" s="88" t="e">
        <f>-IF(Tabla14[[#This Row],[DIAS HABILES O MORA]]&lt;0,(Tabla14[[#This Row],[VALOR PRESTAMO]]*Tabla14[[#This Row],[% INTERES ]]/30*U5049))+Tabla14[[#This Row],[VALOR CUOTAS]]</f>
        <v>#VALUE!</v>
      </c>
      <c r="S5049" s="88">
        <f>-IF(Tabla14[[#This Row],[DIAS HABILES O MORA]]&lt;0,(Tabla14[[#This Row],[VALOR PRESTAMO]]*Tabla14[[#This Row],[% INTERES ]]/30*U5049))</f>
        <v>0</v>
      </c>
      <c r="T5049" s="53" t="e">
        <f>Tabla14[[#This Row],[DEUDA CAPITAL]]+Tabla14[[#This Row],[INTERES  CUOTA]]</f>
        <v>#NUM!</v>
      </c>
      <c r="U5049" s="61" t="str">
        <f t="shared" si="799"/>
        <v/>
      </c>
    </row>
    <row r="5050" spans="9:21" ht="24.75" customHeight="1" x14ac:dyDescent="0.35">
      <c r="I5050" s="42">
        <f t="shared" si="790"/>
        <v>0</v>
      </c>
      <c r="J5050" s="65" t="e">
        <f t="shared" si="791"/>
        <v>#NUM!</v>
      </c>
      <c r="K5050" s="83" t="e">
        <f t="shared" si="792"/>
        <v>#NUM!</v>
      </c>
      <c r="L5050" s="83">
        <f t="shared" si="793"/>
        <v>0</v>
      </c>
      <c r="M5050" s="110" t="str">
        <f t="shared" si="794"/>
        <v/>
      </c>
      <c r="N5050" s="51" t="str">
        <f t="shared" si="795"/>
        <v/>
      </c>
      <c r="O5050" s="52" t="str">
        <f t="shared" si="796"/>
        <v/>
      </c>
      <c r="P5050" s="88">
        <f t="shared" si="797"/>
        <v>0</v>
      </c>
      <c r="Q5050" s="88">
        <f t="shared" si="798"/>
        <v>0</v>
      </c>
      <c r="R5050" s="88" t="e">
        <f>-IF(Tabla14[[#This Row],[DIAS HABILES O MORA]]&lt;0,(Tabla14[[#This Row],[VALOR PRESTAMO]]*Tabla14[[#This Row],[% INTERES ]]/30*U5050))+Tabla14[[#This Row],[VALOR CUOTAS]]</f>
        <v>#VALUE!</v>
      </c>
      <c r="S5050" s="88">
        <f>-IF(Tabla14[[#This Row],[DIAS HABILES O MORA]]&lt;0,(Tabla14[[#This Row],[VALOR PRESTAMO]]*Tabla14[[#This Row],[% INTERES ]]/30*U5050))</f>
        <v>0</v>
      </c>
      <c r="T5050" s="53" t="e">
        <f>Tabla14[[#This Row],[DEUDA CAPITAL]]+Tabla14[[#This Row],[INTERES  CUOTA]]</f>
        <v>#NUM!</v>
      </c>
      <c r="U5050" s="61" t="str">
        <f t="shared" si="799"/>
        <v/>
      </c>
    </row>
    <row r="5051" spans="9:21" ht="24.75" customHeight="1" x14ac:dyDescent="0.35">
      <c r="I5051" s="42">
        <f t="shared" si="790"/>
        <v>0</v>
      </c>
      <c r="J5051" s="65" t="e">
        <f t="shared" si="791"/>
        <v>#NUM!</v>
      </c>
      <c r="K5051" s="83" t="e">
        <f t="shared" si="792"/>
        <v>#NUM!</v>
      </c>
      <c r="L5051" s="83">
        <f t="shared" si="793"/>
        <v>0</v>
      </c>
      <c r="M5051" s="110" t="str">
        <f t="shared" si="794"/>
        <v/>
      </c>
      <c r="N5051" s="51" t="str">
        <f t="shared" si="795"/>
        <v/>
      </c>
      <c r="O5051" s="52" t="str">
        <f t="shared" si="796"/>
        <v/>
      </c>
      <c r="P5051" s="88">
        <f t="shared" si="797"/>
        <v>0</v>
      </c>
      <c r="Q5051" s="88">
        <f t="shared" si="798"/>
        <v>0</v>
      </c>
      <c r="R5051" s="88" t="e">
        <f>-IF(Tabla14[[#This Row],[DIAS HABILES O MORA]]&lt;0,(Tabla14[[#This Row],[VALOR PRESTAMO]]*Tabla14[[#This Row],[% INTERES ]]/30*U5051))+Tabla14[[#This Row],[VALOR CUOTAS]]</f>
        <v>#VALUE!</v>
      </c>
      <c r="S5051" s="88">
        <f>-IF(Tabla14[[#This Row],[DIAS HABILES O MORA]]&lt;0,(Tabla14[[#This Row],[VALOR PRESTAMO]]*Tabla14[[#This Row],[% INTERES ]]/30*U5051))</f>
        <v>0</v>
      </c>
      <c r="T5051" s="53" t="e">
        <f>Tabla14[[#This Row],[DEUDA CAPITAL]]+Tabla14[[#This Row],[INTERES  CUOTA]]</f>
        <v>#NUM!</v>
      </c>
      <c r="U5051" s="61" t="str">
        <f t="shared" si="799"/>
        <v/>
      </c>
    </row>
    <row r="5052" spans="9:21" ht="24.75" customHeight="1" x14ac:dyDescent="0.35">
      <c r="I5052" s="42">
        <f t="shared" si="790"/>
        <v>0</v>
      </c>
      <c r="J5052" s="65" t="e">
        <f t="shared" si="791"/>
        <v>#NUM!</v>
      </c>
      <c r="K5052" s="83" t="e">
        <f t="shared" si="792"/>
        <v>#NUM!</v>
      </c>
      <c r="L5052" s="83">
        <f t="shared" si="793"/>
        <v>0</v>
      </c>
      <c r="M5052" s="110" t="str">
        <f t="shared" si="794"/>
        <v/>
      </c>
      <c r="N5052" s="51" t="str">
        <f t="shared" si="795"/>
        <v/>
      </c>
      <c r="O5052" s="52" t="str">
        <f t="shared" si="796"/>
        <v/>
      </c>
      <c r="P5052" s="88">
        <f t="shared" si="797"/>
        <v>0</v>
      </c>
      <c r="Q5052" s="88">
        <f t="shared" si="798"/>
        <v>0</v>
      </c>
      <c r="R5052" s="88" t="e">
        <f>-IF(Tabla14[[#This Row],[DIAS HABILES O MORA]]&lt;0,(Tabla14[[#This Row],[VALOR PRESTAMO]]*Tabla14[[#This Row],[% INTERES ]]/30*U5052))+Tabla14[[#This Row],[VALOR CUOTAS]]</f>
        <v>#VALUE!</v>
      </c>
      <c r="S5052" s="88">
        <f>-IF(Tabla14[[#This Row],[DIAS HABILES O MORA]]&lt;0,(Tabla14[[#This Row],[VALOR PRESTAMO]]*Tabla14[[#This Row],[% INTERES ]]/30*U5052))</f>
        <v>0</v>
      </c>
      <c r="T5052" s="53" t="e">
        <f>Tabla14[[#This Row],[DEUDA CAPITAL]]+Tabla14[[#This Row],[INTERES  CUOTA]]</f>
        <v>#NUM!</v>
      </c>
      <c r="U5052" s="61" t="str">
        <f t="shared" si="799"/>
        <v/>
      </c>
    </row>
    <row r="5053" spans="9:21" ht="24.75" customHeight="1" x14ac:dyDescent="0.35">
      <c r="I5053" s="42">
        <f t="shared" si="790"/>
        <v>0</v>
      </c>
      <c r="J5053" s="65" t="e">
        <f t="shared" si="791"/>
        <v>#NUM!</v>
      </c>
      <c r="K5053" s="83" t="e">
        <f t="shared" si="792"/>
        <v>#NUM!</v>
      </c>
      <c r="L5053" s="83">
        <f t="shared" si="793"/>
        <v>0</v>
      </c>
      <c r="M5053" s="110" t="str">
        <f t="shared" si="794"/>
        <v/>
      </c>
      <c r="N5053" s="51" t="str">
        <f t="shared" si="795"/>
        <v/>
      </c>
      <c r="O5053" s="52" t="str">
        <f t="shared" si="796"/>
        <v/>
      </c>
      <c r="P5053" s="88">
        <f t="shared" si="797"/>
        <v>0</v>
      </c>
      <c r="Q5053" s="88">
        <f t="shared" si="798"/>
        <v>0</v>
      </c>
      <c r="R5053" s="88" t="e">
        <f>-IF(Tabla14[[#This Row],[DIAS HABILES O MORA]]&lt;0,(Tabla14[[#This Row],[VALOR PRESTAMO]]*Tabla14[[#This Row],[% INTERES ]]/30*U5053))+Tabla14[[#This Row],[VALOR CUOTAS]]</f>
        <v>#VALUE!</v>
      </c>
      <c r="S5053" s="88">
        <f>-IF(Tabla14[[#This Row],[DIAS HABILES O MORA]]&lt;0,(Tabla14[[#This Row],[VALOR PRESTAMO]]*Tabla14[[#This Row],[% INTERES ]]/30*U5053))</f>
        <v>0</v>
      </c>
      <c r="T5053" s="53" t="e">
        <f>Tabla14[[#This Row],[DEUDA CAPITAL]]+Tabla14[[#This Row],[INTERES  CUOTA]]</f>
        <v>#NUM!</v>
      </c>
      <c r="U5053" s="61" t="str">
        <f t="shared" si="799"/>
        <v/>
      </c>
    </row>
    <row r="5054" spans="9:21" ht="24.75" customHeight="1" x14ac:dyDescent="0.35">
      <c r="I5054" s="42">
        <f t="shared" si="790"/>
        <v>0</v>
      </c>
      <c r="J5054" s="65" t="e">
        <f t="shared" si="791"/>
        <v>#NUM!</v>
      </c>
      <c r="K5054" s="83" t="e">
        <f t="shared" si="792"/>
        <v>#NUM!</v>
      </c>
      <c r="L5054" s="83">
        <f t="shared" si="793"/>
        <v>0</v>
      </c>
      <c r="M5054" s="110" t="str">
        <f t="shared" si="794"/>
        <v/>
      </c>
      <c r="N5054" s="51" t="str">
        <f t="shared" si="795"/>
        <v/>
      </c>
      <c r="O5054" s="52" t="str">
        <f t="shared" si="796"/>
        <v/>
      </c>
      <c r="P5054" s="88">
        <f t="shared" si="797"/>
        <v>0</v>
      </c>
      <c r="Q5054" s="88">
        <f t="shared" si="798"/>
        <v>0</v>
      </c>
      <c r="R5054" s="88" t="e">
        <f>-IF(Tabla14[[#This Row],[DIAS HABILES O MORA]]&lt;0,(Tabla14[[#This Row],[VALOR PRESTAMO]]*Tabla14[[#This Row],[% INTERES ]]/30*U5054))+Tabla14[[#This Row],[VALOR CUOTAS]]</f>
        <v>#VALUE!</v>
      </c>
      <c r="S5054" s="88">
        <f>-IF(Tabla14[[#This Row],[DIAS HABILES O MORA]]&lt;0,(Tabla14[[#This Row],[VALOR PRESTAMO]]*Tabla14[[#This Row],[% INTERES ]]/30*U5054))</f>
        <v>0</v>
      </c>
      <c r="T5054" s="53" t="e">
        <f>Tabla14[[#This Row],[DEUDA CAPITAL]]+Tabla14[[#This Row],[INTERES  CUOTA]]</f>
        <v>#NUM!</v>
      </c>
      <c r="U5054" s="61" t="str">
        <f t="shared" si="799"/>
        <v/>
      </c>
    </row>
    <row r="5055" spans="9:21" ht="24.75" customHeight="1" x14ac:dyDescent="0.35">
      <c r="I5055" s="42">
        <f t="shared" si="790"/>
        <v>0</v>
      </c>
      <c r="J5055" s="65" t="e">
        <f t="shared" si="791"/>
        <v>#NUM!</v>
      </c>
      <c r="K5055" s="83" t="e">
        <f t="shared" si="792"/>
        <v>#NUM!</v>
      </c>
      <c r="L5055" s="83">
        <f t="shared" si="793"/>
        <v>0</v>
      </c>
      <c r="M5055" s="110" t="str">
        <f t="shared" si="794"/>
        <v/>
      </c>
      <c r="N5055" s="51" t="str">
        <f t="shared" si="795"/>
        <v/>
      </c>
      <c r="O5055" s="52" t="str">
        <f t="shared" si="796"/>
        <v/>
      </c>
      <c r="P5055" s="88">
        <f t="shared" si="797"/>
        <v>0</v>
      </c>
      <c r="Q5055" s="88">
        <f t="shared" si="798"/>
        <v>0</v>
      </c>
      <c r="R5055" s="88" t="e">
        <f>-IF(Tabla14[[#This Row],[DIAS HABILES O MORA]]&lt;0,(Tabla14[[#This Row],[VALOR PRESTAMO]]*Tabla14[[#This Row],[% INTERES ]]/30*U5055))+Tabla14[[#This Row],[VALOR CUOTAS]]</f>
        <v>#VALUE!</v>
      </c>
      <c r="S5055" s="88">
        <f>-IF(Tabla14[[#This Row],[DIAS HABILES O MORA]]&lt;0,(Tabla14[[#This Row],[VALOR PRESTAMO]]*Tabla14[[#This Row],[% INTERES ]]/30*U5055))</f>
        <v>0</v>
      </c>
      <c r="T5055" s="53" t="e">
        <f>Tabla14[[#This Row],[DEUDA CAPITAL]]+Tabla14[[#This Row],[INTERES  CUOTA]]</f>
        <v>#NUM!</v>
      </c>
      <c r="U5055" s="61" t="str">
        <f t="shared" si="799"/>
        <v/>
      </c>
    </row>
    <row r="5056" spans="9:21" ht="24.75" customHeight="1" x14ac:dyDescent="0.35">
      <c r="I5056" s="42">
        <f t="shared" si="790"/>
        <v>0</v>
      </c>
      <c r="J5056" s="65" t="e">
        <f t="shared" si="791"/>
        <v>#NUM!</v>
      </c>
      <c r="K5056" s="83" t="e">
        <f t="shared" si="792"/>
        <v>#NUM!</v>
      </c>
      <c r="L5056" s="83">
        <f t="shared" si="793"/>
        <v>0</v>
      </c>
      <c r="M5056" s="110" t="str">
        <f t="shared" si="794"/>
        <v/>
      </c>
      <c r="N5056" s="51" t="str">
        <f t="shared" si="795"/>
        <v/>
      </c>
      <c r="O5056" s="52" t="str">
        <f t="shared" si="796"/>
        <v/>
      </c>
      <c r="P5056" s="88">
        <f t="shared" si="797"/>
        <v>0</v>
      </c>
      <c r="Q5056" s="88">
        <f t="shared" si="798"/>
        <v>0</v>
      </c>
      <c r="R5056" s="88" t="e">
        <f>-IF(Tabla14[[#This Row],[DIAS HABILES O MORA]]&lt;0,(Tabla14[[#This Row],[VALOR PRESTAMO]]*Tabla14[[#This Row],[% INTERES ]]/30*U5056))+Tabla14[[#This Row],[VALOR CUOTAS]]</f>
        <v>#VALUE!</v>
      </c>
      <c r="S5056" s="88">
        <f>-IF(Tabla14[[#This Row],[DIAS HABILES O MORA]]&lt;0,(Tabla14[[#This Row],[VALOR PRESTAMO]]*Tabla14[[#This Row],[% INTERES ]]/30*U5056))</f>
        <v>0</v>
      </c>
      <c r="T5056" s="53" t="e">
        <f>Tabla14[[#This Row],[DEUDA CAPITAL]]+Tabla14[[#This Row],[INTERES  CUOTA]]</f>
        <v>#NUM!</v>
      </c>
      <c r="U5056" s="61" t="str">
        <f t="shared" si="799"/>
        <v/>
      </c>
    </row>
    <row r="5057" spans="9:21" ht="24.75" customHeight="1" x14ac:dyDescent="0.35">
      <c r="I5057" s="42">
        <f t="shared" si="790"/>
        <v>0</v>
      </c>
      <c r="J5057" s="65" t="e">
        <f t="shared" si="791"/>
        <v>#NUM!</v>
      </c>
      <c r="K5057" s="83" t="e">
        <f t="shared" si="792"/>
        <v>#NUM!</v>
      </c>
      <c r="L5057" s="83">
        <f t="shared" si="793"/>
        <v>0</v>
      </c>
      <c r="M5057" s="110" t="str">
        <f t="shared" si="794"/>
        <v/>
      </c>
      <c r="N5057" s="51" t="str">
        <f t="shared" si="795"/>
        <v/>
      </c>
      <c r="O5057" s="52" t="str">
        <f t="shared" si="796"/>
        <v/>
      </c>
      <c r="P5057" s="88">
        <f t="shared" si="797"/>
        <v>0</v>
      </c>
      <c r="Q5057" s="88">
        <f t="shared" si="798"/>
        <v>0</v>
      </c>
      <c r="R5057" s="88" t="e">
        <f>-IF(Tabla14[[#This Row],[DIAS HABILES O MORA]]&lt;0,(Tabla14[[#This Row],[VALOR PRESTAMO]]*Tabla14[[#This Row],[% INTERES ]]/30*U5057))+Tabla14[[#This Row],[VALOR CUOTAS]]</f>
        <v>#VALUE!</v>
      </c>
      <c r="S5057" s="88">
        <f>-IF(Tabla14[[#This Row],[DIAS HABILES O MORA]]&lt;0,(Tabla14[[#This Row],[VALOR PRESTAMO]]*Tabla14[[#This Row],[% INTERES ]]/30*U5057))</f>
        <v>0</v>
      </c>
      <c r="T5057" s="53" t="e">
        <f>Tabla14[[#This Row],[DEUDA CAPITAL]]+Tabla14[[#This Row],[INTERES  CUOTA]]</f>
        <v>#NUM!</v>
      </c>
      <c r="U5057" s="61" t="str">
        <f t="shared" si="799"/>
        <v/>
      </c>
    </row>
    <row r="5058" spans="9:21" ht="24.75" customHeight="1" x14ac:dyDescent="0.35">
      <c r="I5058" s="42">
        <f t="shared" si="790"/>
        <v>0</v>
      </c>
      <c r="J5058" s="65" t="e">
        <f t="shared" si="791"/>
        <v>#NUM!</v>
      </c>
      <c r="K5058" s="83" t="e">
        <f t="shared" si="792"/>
        <v>#NUM!</v>
      </c>
      <c r="L5058" s="83">
        <f t="shared" si="793"/>
        <v>0</v>
      </c>
      <c r="M5058" s="110" t="str">
        <f t="shared" si="794"/>
        <v/>
      </c>
      <c r="N5058" s="51" t="str">
        <f t="shared" si="795"/>
        <v/>
      </c>
      <c r="O5058" s="52" t="str">
        <f t="shared" si="796"/>
        <v/>
      </c>
      <c r="P5058" s="88">
        <f t="shared" si="797"/>
        <v>0</v>
      </c>
      <c r="Q5058" s="88">
        <f t="shared" si="798"/>
        <v>0</v>
      </c>
      <c r="R5058" s="88" t="e">
        <f>-IF(Tabla14[[#This Row],[DIAS HABILES O MORA]]&lt;0,(Tabla14[[#This Row],[VALOR PRESTAMO]]*Tabla14[[#This Row],[% INTERES ]]/30*U5058))+Tabla14[[#This Row],[VALOR CUOTAS]]</f>
        <v>#VALUE!</v>
      </c>
      <c r="S5058" s="88">
        <f>-IF(Tabla14[[#This Row],[DIAS HABILES O MORA]]&lt;0,(Tabla14[[#This Row],[VALOR PRESTAMO]]*Tabla14[[#This Row],[% INTERES ]]/30*U5058))</f>
        <v>0</v>
      </c>
      <c r="T5058" s="53" t="e">
        <f>Tabla14[[#This Row],[DEUDA CAPITAL]]+Tabla14[[#This Row],[INTERES  CUOTA]]</f>
        <v>#NUM!</v>
      </c>
      <c r="U5058" s="61" t="str">
        <f t="shared" si="799"/>
        <v/>
      </c>
    </row>
    <row r="5059" spans="9:21" ht="24.75" customHeight="1" x14ac:dyDescent="0.35">
      <c r="I5059" s="42">
        <f t="shared" si="790"/>
        <v>0</v>
      </c>
      <c r="J5059" s="65" t="e">
        <f t="shared" si="791"/>
        <v>#NUM!</v>
      </c>
      <c r="K5059" s="83" t="e">
        <f t="shared" si="792"/>
        <v>#NUM!</v>
      </c>
      <c r="L5059" s="83">
        <f t="shared" si="793"/>
        <v>0</v>
      </c>
      <c r="M5059" s="110" t="str">
        <f t="shared" si="794"/>
        <v/>
      </c>
      <c r="N5059" s="51" t="str">
        <f t="shared" si="795"/>
        <v/>
      </c>
      <c r="O5059" s="52" t="str">
        <f t="shared" si="796"/>
        <v/>
      </c>
      <c r="P5059" s="88">
        <f t="shared" si="797"/>
        <v>0</v>
      </c>
      <c r="Q5059" s="88">
        <f t="shared" si="798"/>
        <v>0</v>
      </c>
      <c r="R5059" s="88" t="e">
        <f>-IF(Tabla14[[#This Row],[DIAS HABILES O MORA]]&lt;0,(Tabla14[[#This Row],[VALOR PRESTAMO]]*Tabla14[[#This Row],[% INTERES ]]/30*U5059))+Tabla14[[#This Row],[VALOR CUOTAS]]</f>
        <v>#VALUE!</v>
      </c>
      <c r="S5059" s="88">
        <f>-IF(Tabla14[[#This Row],[DIAS HABILES O MORA]]&lt;0,(Tabla14[[#This Row],[VALOR PRESTAMO]]*Tabla14[[#This Row],[% INTERES ]]/30*U5059))</f>
        <v>0</v>
      </c>
      <c r="T5059" s="53" t="e">
        <f>Tabla14[[#This Row],[DEUDA CAPITAL]]+Tabla14[[#This Row],[INTERES  CUOTA]]</f>
        <v>#NUM!</v>
      </c>
      <c r="U5059" s="61" t="str">
        <f t="shared" si="799"/>
        <v/>
      </c>
    </row>
    <row r="5060" spans="9:21" ht="24.75" customHeight="1" x14ac:dyDescent="0.35">
      <c r="I5060" s="42">
        <f t="shared" si="790"/>
        <v>0</v>
      </c>
      <c r="J5060" s="65" t="e">
        <f t="shared" si="791"/>
        <v>#NUM!</v>
      </c>
      <c r="K5060" s="83" t="e">
        <f t="shared" si="792"/>
        <v>#NUM!</v>
      </c>
      <c r="L5060" s="83">
        <f t="shared" si="793"/>
        <v>0</v>
      </c>
      <c r="M5060" s="110" t="str">
        <f t="shared" si="794"/>
        <v/>
      </c>
      <c r="N5060" s="51" t="str">
        <f t="shared" si="795"/>
        <v/>
      </c>
      <c r="O5060" s="52" t="str">
        <f t="shared" si="796"/>
        <v/>
      </c>
      <c r="P5060" s="88">
        <f t="shared" si="797"/>
        <v>0</v>
      </c>
      <c r="Q5060" s="88">
        <f t="shared" si="798"/>
        <v>0</v>
      </c>
      <c r="R5060" s="88" t="e">
        <f>-IF(Tabla14[[#This Row],[DIAS HABILES O MORA]]&lt;0,(Tabla14[[#This Row],[VALOR PRESTAMO]]*Tabla14[[#This Row],[% INTERES ]]/30*U5060))+Tabla14[[#This Row],[VALOR CUOTAS]]</f>
        <v>#VALUE!</v>
      </c>
      <c r="S5060" s="88">
        <f>-IF(Tabla14[[#This Row],[DIAS HABILES O MORA]]&lt;0,(Tabla14[[#This Row],[VALOR PRESTAMO]]*Tabla14[[#This Row],[% INTERES ]]/30*U5060))</f>
        <v>0</v>
      </c>
      <c r="T5060" s="53" t="e">
        <f>Tabla14[[#This Row],[DEUDA CAPITAL]]+Tabla14[[#This Row],[INTERES  CUOTA]]</f>
        <v>#NUM!</v>
      </c>
      <c r="U5060" s="61" t="str">
        <f t="shared" si="799"/>
        <v/>
      </c>
    </row>
    <row r="5061" spans="9:21" ht="24.75" customHeight="1" x14ac:dyDescent="0.35">
      <c r="I5061" s="42">
        <f t="shared" si="790"/>
        <v>0</v>
      </c>
      <c r="J5061" s="65" t="e">
        <f t="shared" si="791"/>
        <v>#NUM!</v>
      </c>
      <c r="K5061" s="83" t="e">
        <f t="shared" si="792"/>
        <v>#NUM!</v>
      </c>
      <c r="L5061" s="83">
        <f t="shared" si="793"/>
        <v>0</v>
      </c>
      <c r="M5061" s="110" t="str">
        <f t="shared" si="794"/>
        <v/>
      </c>
      <c r="N5061" s="51" t="str">
        <f t="shared" si="795"/>
        <v/>
      </c>
      <c r="O5061" s="52" t="str">
        <f t="shared" si="796"/>
        <v/>
      </c>
      <c r="P5061" s="88">
        <f t="shared" si="797"/>
        <v>0</v>
      </c>
      <c r="Q5061" s="88">
        <f t="shared" si="798"/>
        <v>0</v>
      </c>
      <c r="R5061" s="88" t="e">
        <f>-IF(Tabla14[[#This Row],[DIAS HABILES O MORA]]&lt;0,(Tabla14[[#This Row],[VALOR PRESTAMO]]*Tabla14[[#This Row],[% INTERES ]]/30*U5061))+Tabla14[[#This Row],[VALOR CUOTAS]]</f>
        <v>#VALUE!</v>
      </c>
      <c r="S5061" s="88">
        <f>-IF(Tabla14[[#This Row],[DIAS HABILES O MORA]]&lt;0,(Tabla14[[#This Row],[VALOR PRESTAMO]]*Tabla14[[#This Row],[% INTERES ]]/30*U5061))</f>
        <v>0</v>
      </c>
      <c r="T5061" s="53" t="e">
        <f>Tabla14[[#This Row],[DEUDA CAPITAL]]+Tabla14[[#This Row],[INTERES  CUOTA]]</f>
        <v>#NUM!</v>
      </c>
      <c r="U5061" s="61" t="str">
        <f t="shared" si="799"/>
        <v/>
      </c>
    </row>
    <row r="5062" spans="9:21" ht="24.75" customHeight="1" x14ac:dyDescent="0.35">
      <c r="I5062" s="42">
        <f t="shared" si="790"/>
        <v>0</v>
      </c>
      <c r="J5062" s="65" t="e">
        <f t="shared" si="791"/>
        <v>#NUM!</v>
      </c>
      <c r="K5062" s="83" t="e">
        <f t="shared" si="792"/>
        <v>#NUM!</v>
      </c>
      <c r="L5062" s="83">
        <f t="shared" si="793"/>
        <v>0</v>
      </c>
      <c r="M5062" s="110" t="str">
        <f t="shared" si="794"/>
        <v/>
      </c>
      <c r="N5062" s="51" t="str">
        <f t="shared" si="795"/>
        <v/>
      </c>
      <c r="O5062" s="52" t="str">
        <f t="shared" si="796"/>
        <v/>
      </c>
      <c r="P5062" s="88">
        <f t="shared" si="797"/>
        <v>0</v>
      </c>
      <c r="Q5062" s="88">
        <f t="shared" si="798"/>
        <v>0</v>
      </c>
      <c r="R5062" s="88" t="e">
        <f>-IF(Tabla14[[#This Row],[DIAS HABILES O MORA]]&lt;0,(Tabla14[[#This Row],[VALOR PRESTAMO]]*Tabla14[[#This Row],[% INTERES ]]/30*U5062))+Tabla14[[#This Row],[VALOR CUOTAS]]</f>
        <v>#VALUE!</v>
      </c>
      <c r="S5062" s="88">
        <f>-IF(Tabla14[[#This Row],[DIAS HABILES O MORA]]&lt;0,(Tabla14[[#This Row],[VALOR PRESTAMO]]*Tabla14[[#This Row],[% INTERES ]]/30*U5062))</f>
        <v>0</v>
      </c>
      <c r="T5062" s="53" t="e">
        <f>Tabla14[[#This Row],[DEUDA CAPITAL]]+Tabla14[[#This Row],[INTERES  CUOTA]]</f>
        <v>#NUM!</v>
      </c>
      <c r="U5062" s="61" t="str">
        <f t="shared" si="799"/>
        <v/>
      </c>
    </row>
    <row r="5063" spans="9:21" ht="24.75" customHeight="1" x14ac:dyDescent="0.35">
      <c r="I5063" s="42">
        <f t="shared" si="790"/>
        <v>0</v>
      </c>
      <c r="J5063" s="65" t="e">
        <f t="shared" si="791"/>
        <v>#NUM!</v>
      </c>
      <c r="K5063" s="83" t="e">
        <f t="shared" si="792"/>
        <v>#NUM!</v>
      </c>
      <c r="L5063" s="83">
        <f t="shared" si="793"/>
        <v>0</v>
      </c>
      <c r="M5063" s="110" t="str">
        <f t="shared" si="794"/>
        <v/>
      </c>
      <c r="N5063" s="51" t="str">
        <f t="shared" si="795"/>
        <v/>
      </c>
      <c r="O5063" s="52" t="str">
        <f t="shared" si="796"/>
        <v/>
      </c>
      <c r="P5063" s="88">
        <f t="shared" si="797"/>
        <v>0</v>
      </c>
      <c r="Q5063" s="88">
        <f t="shared" si="798"/>
        <v>0</v>
      </c>
      <c r="R5063" s="88" t="e">
        <f>-IF(Tabla14[[#This Row],[DIAS HABILES O MORA]]&lt;0,(Tabla14[[#This Row],[VALOR PRESTAMO]]*Tabla14[[#This Row],[% INTERES ]]/30*U5063))+Tabla14[[#This Row],[VALOR CUOTAS]]</f>
        <v>#VALUE!</v>
      </c>
      <c r="S5063" s="88">
        <f>-IF(Tabla14[[#This Row],[DIAS HABILES O MORA]]&lt;0,(Tabla14[[#This Row],[VALOR PRESTAMO]]*Tabla14[[#This Row],[% INTERES ]]/30*U5063))</f>
        <v>0</v>
      </c>
      <c r="T5063" s="53" t="e">
        <f>Tabla14[[#This Row],[DEUDA CAPITAL]]+Tabla14[[#This Row],[INTERES  CUOTA]]</f>
        <v>#NUM!</v>
      </c>
      <c r="U5063" s="61" t="str">
        <f t="shared" si="799"/>
        <v/>
      </c>
    </row>
    <row r="5064" spans="9:21" ht="24.75" customHeight="1" x14ac:dyDescent="0.35">
      <c r="I5064" s="42">
        <f t="shared" si="790"/>
        <v>0</v>
      </c>
      <c r="J5064" s="65" t="e">
        <f t="shared" si="791"/>
        <v>#NUM!</v>
      </c>
      <c r="K5064" s="83" t="e">
        <f t="shared" si="792"/>
        <v>#NUM!</v>
      </c>
      <c r="L5064" s="83">
        <f t="shared" si="793"/>
        <v>0</v>
      </c>
      <c r="M5064" s="110" t="str">
        <f t="shared" si="794"/>
        <v/>
      </c>
      <c r="N5064" s="51" t="str">
        <f t="shared" si="795"/>
        <v/>
      </c>
      <c r="O5064" s="52" t="str">
        <f t="shared" si="796"/>
        <v/>
      </c>
      <c r="P5064" s="88">
        <f t="shared" si="797"/>
        <v>0</v>
      </c>
      <c r="Q5064" s="88">
        <f t="shared" si="798"/>
        <v>0</v>
      </c>
      <c r="R5064" s="88" t="e">
        <f>-IF(Tabla14[[#This Row],[DIAS HABILES O MORA]]&lt;0,(Tabla14[[#This Row],[VALOR PRESTAMO]]*Tabla14[[#This Row],[% INTERES ]]/30*U5064))+Tabla14[[#This Row],[VALOR CUOTAS]]</f>
        <v>#VALUE!</v>
      </c>
      <c r="S5064" s="88">
        <f>-IF(Tabla14[[#This Row],[DIAS HABILES O MORA]]&lt;0,(Tabla14[[#This Row],[VALOR PRESTAMO]]*Tabla14[[#This Row],[% INTERES ]]/30*U5064))</f>
        <v>0</v>
      </c>
      <c r="T5064" s="53" t="e">
        <f>Tabla14[[#This Row],[DEUDA CAPITAL]]+Tabla14[[#This Row],[INTERES  CUOTA]]</f>
        <v>#NUM!</v>
      </c>
      <c r="U5064" s="61" t="str">
        <f t="shared" si="799"/>
        <v/>
      </c>
    </row>
    <row r="5065" spans="9:21" ht="24.75" customHeight="1" x14ac:dyDescent="0.35">
      <c r="I5065" s="42">
        <f t="shared" si="790"/>
        <v>0</v>
      </c>
      <c r="J5065" s="65" t="e">
        <f t="shared" si="791"/>
        <v>#NUM!</v>
      </c>
      <c r="K5065" s="83" t="e">
        <f t="shared" si="792"/>
        <v>#NUM!</v>
      </c>
      <c r="L5065" s="83">
        <f t="shared" si="793"/>
        <v>0</v>
      </c>
      <c r="M5065" s="110" t="str">
        <f t="shared" si="794"/>
        <v/>
      </c>
      <c r="N5065" s="51" t="str">
        <f t="shared" si="795"/>
        <v/>
      </c>
      <c r="O5065" s="52" t="str">
        <f t="shared" si="796"/>
        <v/>
      </c>
      <c r="P5065" s="88">
        <f t="shared" si="797"/>
        <v>0</v>
      </c>
      <c r="Q5065" s="88">
        <f t="shared" si="798"/>
        <v>0</v>
      </c>
      <c r="R5065" s="88" t="e">
        <f>-IF(Tabla14[[#This Row],[DIAS HABILES O MORA]]&lt;0,(Tabla14[[#This Row],[VALOR PRESTAMO]]*Tabla14[[#This Row],[% INTERES ]]/30*U5065))+Tabla14[[#This Row],[VALOR CUOTAS]]</f>
        <v>#VALUE!</v>
      </c>
      <c r="S5065" s="88">
        <f>-IF(Tabla14[[#This Row],[DIAS HABILES O MORA]]&lt;0,(Tabla14[[#This Row],[VALOR PRESTAMO]]*Tabla14[[#This Row],[% INTERES ]]/30*U5065))</f>
        <v>0</v>
      </c>
      <c r="T5065" s="53" t="e">
        <f>Tabla14[[#This Row],[DEUDA CAPITAL]]+Tabla14[[#This Row],[INTERES  CUOTA]]</f>
        <v>#NUM!</v>
      </c>
      <c r="U5065" s="61" t="str">
        <f t="shared" si="799"/>
        <v/>
      </c>
    </row>
    <row r="5066" spans="9:21" ht="24.75" customHeight="1" x14ac:dyDescent="0.35">
      <c r="I5066" s="42">
        <f t="shared" si="790"/>
        <v>0</v>
      </c>
      <c r="J5066" s="65" t="e">
        <f t="shared" si="791"/>
        <v>#NUM!</v>
      </c>
      <c r="K5066" s="83" t="e">
        <f t="shared" si="792"/>
        <v>#NUM!</v>
      </c>
      <c r="L5066" s="83">
        <f t="shared" si="793"/>
        <v>0</v>
      </c>
      <c r="M5066" s="110" t="str">
        <f t="shared" si="794"/>
        <v/>
      </c>
      <c r="N5066" s="51" t="str">
        <f t="shared" si="795"/>
        <v/>
      </c>
      <c r="O5066" s="52" t="str">
        <f t="shared" si="796"/>
        <v/>
      </c>
      <c r="P5066" s="88">
        <f t="shared" si="797"/>
        <v>0</v>
      </c>
      <c r="Q5066" s="88">
        <f t="shared" si="798"/>
        <v>0</v>
      </c>
      <c r="R5066" s="88" t="e">
        <f>-IF(Tabla14[[#This Row],[DIAS HABILES O MORA]]&lt;0,(Tabla14[[#This Row],[VALOR PRESTAMO]]*Tabla14[[#This Row],[% INTERES ]]/30*U5066))+Tabla14[[#This Row],[VALOR CUOTAS]]</f>
        <v>#VALUE!</v>
      </c>
      <c r="S5066" s="88">
        <f>-IF(Tabla14[[#This Row],[DIAS HABILES O MORA]]&lt;0,(Tabla14[[#This Row],[VALOR PRESTAMO]]*Tabla14[[#This Row],[% INTERES ]]/30*U5066))</f>
        <v>0</v>
      </c>
      <c r="T5066" s="53" t="e">
        <f>Tabla14[[#This Row],[DEUDA CAPITAL]]+Tabla14[[#This Row],[INTERES  CUOTA]]</f>
        <v>#NUM!</v>
      </c>
      <c r="U5066" s="61" t="str">
        <f t="shared" si="799"/>
        <v/>
      </c>
    </row>
    <row r="5067" spans="9:21" ht="24.75" customHeight="1" x14ac:dyDescent="0.35">
      <c r="I5067" s="42">
        <f t="shared" si="790"/>
        <v>0</v>
      </c>
      <c r="J5067" s="65" t="e">
        <f t="shared" si="791"/>
        <v>#NUM!</v>
      </c>
      <c r="K5067" s="83" t="e">
        <f t="shared" si="792"/>
        <v>#NUM!</v>
      </c>
      <c r="L5067" s="83">
        <f t="shared" si="793"/>
        <v>0</v>
      </c>
      <c r="M5067" s="110" t="str">
        <f t="shared" si="794"/>
        <v/>
      </c>
      <c r="N5067" s="51" t="str">
        <f t="shared" si="795"/>
        <v/>
      </c>
      <c r="O5067" s="52" t="str">
        <f t="shared" si="796"/>
        <v/>
      </c>
      <c r="P5067" s="88">
        <f t="shared" si="797"/>
        <v>0</v>
      </c>
      <c r="Q5067" s="88">
        <f t="shared" si="798"/>
        <v>0</v>
      </c>
      <c r="R5067" s="88" t="e">
        <f>-IF(Tabla14[[#This Row],[DIAS HABILES O MORA]]&lt;0,(Tabla14[[#This Row],[VALOR PRESTAMO]]*Tabla14[[#This Row],[% INTERES ]]/30*U5067))+Tabla14[[#This Row],[VALOR CUOTAS]]</f>
        <v>#VALUE!</v>
      </c>
      <c r="S5067" s="88">
        <f>-IF(Tabla14[[#This Row],[DIAS HABILES O MORA]]&lt;0,(Tabla14[[#This Row],[VALOR PRESTAMO]]*Tabla14[[#This Row],[% INTERES ]]/30*U5067))</f>
        <v>0</v>
      </c>
      <c r="T5067" s="53" t="e">
        <f>Tabla14[[#This Row],[DEUDA CAPITAL]]+Tabla14[[#This Row],[INTERES  CUOTA]]</f>
        <v>#NUM!</v>
      </c>
      <c r="U5067" s="61" t="str">
        <f t="shared" si="799"/>
        <v/>
      </c>
    </row>
    <row r="5068" spans="9:21" ht="24.75" customHeight="1" x14ac:dyDescent="0.35">
      <c r="I5068" s="42">
        <f t="shared" si="790"/>
        <v>0</v>
      </c>
      <c r="J5068" s="65" t="e">
        <f t="shared" si="791"/>
        <v>#NUM!</v>
      </c>
      <c r="K5068" s="83" t="e">
        <f t="shared" si="792"/>
        <v>#NUM!</v>
      </c>
      <c r="L5068" s="83">
        <f t="shared" si="793"/>
        <v>0</v>
      </c>
      <c r="M5068" s="110" t="str">
        <f t="shared" si="794"/>
        <v/>
      </c>
      <c r="N5068" s="51" t="str">
        <f t="shared" si="795"/>
        <v/>
      </c>
      <c r="O5068" s="52" t="str">
        <f t="shared" si="796"/>
        <v/>
      </c>
      <c r="P5068" s="88">
        <f t="shared" si="797"/>
        <v>0</v>
      </c>
      <c r="Q5068" s="88">
        <f t="shared" si="798"/>
        <v>0</v>
      </c>
      <c r="R5068" s="88" t="e">
        <f>-IF(Tabla14[[#This Row],[DIAS HABILES O MORA]]&lt;0,(Tabla14[[#This Row],[VALOR PRESTAMO]]*Tabla14[[#This Row],[% INTERES ]]/30*U5068))+Tabla14[[#This Row],[VALOR CUOTAS]]</f>
        <v>#VALUE!</v>
      </c>
      <c r="S5068" s="88">
        <f>-IF(Tabla14[[#This Row],[DIAS HABILES O MORA]]&lt;0,(Tabla14[[#This Row],[VALOR PRESTAMO]]*Tabla14[[#This Row],[% INTERES ]]/30*U5068))</f>
        <v>0</v>
      </c>
      <c r="T5068" s="53" t="e">
        <f>Tabla14[[#This Row],[DEUDA CAPITAL]]+Tabla14[[#This Row],[INTERES  CUOTA]]</f>
        <v>#NUM!</v>
      </c>
      <c r="U5068" s="61" t="str">
        <f t="shared" si="799"/>
        <v/>
      </c>
    </row>
    <row r="5069" spans="9:21" ht="24.75" customHeight="1" x14ac:dyDescent="0.35">
      <c r="I5069" s="42">
        <f t="shared" si="790"/>
        <v>0</v>
      </c>
      <c r="J5069" s="65" t="e">
        <f t="shared" si="791"/>
        <v>#NUM!</v>
      </c>
      <c r="K5069" s="83" t="e">
        <f t="shared" si="792"/>
        <v>#NUM!</v>
      </c>
      <c r="L5069" s="83">
        <f t="shared" si="793"/>
        <v>0</v>
      </c>
      <c r="M5069" s="110" t="str">
        <f t="shared" si="794"/>
        <v/>
      </c>
      <c r="N5069" s="51" t="str">
        <f t="shared" si="795"/>
        <v/>
      </c>
      <c r="O5069" s="52" t="str">
        <f t="shared" si="796"/>
        <v/>
      </c>
      <c r="P5069" s="88">
        <f t="shared" si="797"/>
        <v>0</v>
      </c>
      <c r="Q5069" s="88">
        <f t="shared" si="798"/>
        <v>0</v>
      </c>
      <c r="R5069" s="88" t="e">
        <f>-IF(Tabla14[[#This Row],[DIAS HABILES O MORA]]&lt;0,(Tabla14[[#This Row],[VALOR PRESTAMO]]*Tabla14[[#This Row],[% INTERES ]]/30*U5069))+Tabla14[[#This Row],[VALOR CUOTAS]]</f>
        <v>#VALUE!</v>
      </c>
      <c r="S5069" s="88">
        <f>-IF(Tabla14[[#This Row],[DIAS HABILES O MORA]]&lt;0,(Tabla14[[#This Row],[VALOR PRESTAMO]]*Tabla14[[#This Row],[% INTERES ]]/30*U5069))</f>
        <v>0</v>
      </c>
      <c r="T5069" s="53" t="e">
        <f>Tabla14[[#This Row],[DEUDA CAPITAL]]+Tabla14[[#This Row],[INTERES  CUOTA]]</f>
        <v>#NUM!</v>
      </c>
      <c r="U5069" s="61" t="str">
        <f t="shared" si="799"/>
        <v/>
      </c>
    </row>
    <row r="5070" spans="9:21" ht="24.75" customHeight="1" x14ac:dyDescent="0.35">
      <c r="I5070" s="42">
        <f t="shared" si="790"/>
        <v>0</v>
      </c>
      <c r="J5070" s="65" t="e">
        <f t="shared" si="791"/>
        <v>#NUM!</v>
      </c>
      <c r="K5070" s="83" t="e">
        <f t="shared" si="792"/>
        <v>#NUM!</v>
      </c>
      <c r="L5070" s="83">
        <f t="shared" si="793"/>
        <v>0</v>
      </c>
      <c r="M5070" s="110" t="str">
        <f t="shared" si="794"/>
        <v/>
      </c>
      <c r="N5070" s="51" t="str">
        <f t="shared" si="795"/>
        <v/>
      </c>
      <c r="O5070" s="52" t="str">
        <f t="shared" si="796"/>
        <v/>
      </c>
      <c r="P5070" s="88">
        <f t="shared" si="797"/>
        <v>0</v>
      </c>
      <c r="Q5070" s="88">
        <f t="shared" si="798"/>
        <v>0</v>
      </c>
      <c r="R5070" s="88" t="e">
        <f>-IF(Tabla14[[#This Row],[DIAS HABILES O MORA]]&lt;0,(Tabla14[[#This Row],[VALOR PRESTAMO]]*Tabla14[[#This Row],[% INTERES ]]/30*U5070))+Tabla14[[#This Row],[VALOR CUOTAS]]</f>
        <v>#VALUE!</v>
      </c>
      <c r="S5070" s="88">
        <f>-IF(Tabla14[[#This Row],[DIAS HABILES O MORA]]&lt;0,(Tabla14[[#This Row],[VALOR PRESTAMO]]*Tabla14[[#This Row],[% INTERES ]]/30*U5070))</f>
        <v>0</v>
      </c>
      <c r="T5070" s="53" t="e">
        <f>Tabla14[[#This Row],[DEUDA CAPITAL]]+Tabla14[[#This Row],[INTERES  CUOTA]]</f>
        <v>#NUM!</v>
      </c>
      <c r="U5070" s="61" t="str">
        <f t="shared" si="799"/>
        <v/>
      </c>
    </row>
    <row r="5071" spans="9:21" ht="24.75" customHeight="1" x14ac:dyDescent="0.35">
      <c r="I5071" s="42">
        <f t="shared" si="790"/>
        <v>0</v>
      </c>
      <c r="J5071" s="65" t="e">
        <f t="shared" si="791"/>
        <v>#NUM!</v>
      </c>
      <c r="K5071" s="83" t="e">
        <f t="shared" si="792"/>
        <v>#NUM!</v>
      </c>
      <c r="L5071" s="83">
        <f t="shared" si="793"/>
        <v>0</v>
      </c>
      <c r="M5071" s="110" t="str">
        <f t="shared" si="794"/>
        <v/>
      </c>
      <c r="N5071" s="51" t="str">
        <f t="shared" si="795"/>
        <v/>
      </c>
      <c r="O5071" s="52" t="str">
        <f t="shared" si="796"/>
        <v/>
      </c>
      <c r="P5071" s="88">
        <f t="shared" si="797"/>
        <v>0</v>
      </c>
      <c r="Q5071" s="88">
        <f t="shared" si="798"/>
        <v>0</v>
      </c>
      <c r="R5071" s="88" t="e">
        <f>-IF(Tabla14[[#This Row],[DIAS HABILES O MORA]]&lt;0,(Tabla14[[#This Row],[VALOR PRESTAMO]]*Tabla14[[#This Row],[% INTERES ]]/30*U5071))+Tabla14[[#This Row],[VALOR CUOTAS]]</f>
        <v>#VALUE!</v>
      </c>
      <c r="S5071" s="88">
        <f>-IF(Tabla14[[#This Row],[DIAS HABILES O MORA]]&lt;0,(Tabla14[[#This Row],[VALOR PRESTAMO]]*Tabla14[[#This Row],[% INTERES ]]/30*U5071))</f>
        <v>0</v>
      </c>
      <c r="T5071" s="53" t="e">
        <f>Tabla14[[#This Row],[DEUDA CAPITAL]]+Tabla14[[#This Row],[INTERES  CUOTA]]</f>
        <v>#NUM!</v>
      </c>
      <c r="U5071" s="61" t="str">
        <f t="shared" si="799"/>
        <v/>
      </c>
    </row>
    <row r="5072" spans="9:21" ht="24.75" customHeight="1" x14ac:dyDescent="0.35">
      <c r="I5072" s="42">
        <f t="shared" ref="I5072:I5135" si="800">IF(C5072&lt;0,"",IF(Q5072=0,0,IF(G5072=0,H5072+1,IF(H5072&lt;G5072,H5072+1,IF(G5072=H5072,0)))))</f>
        <v>0</v>
      </c>
      <c r="J5072" s="65" t="e">
        <f t="shared" ref="J5072:J5135" si="801">IF(F5072="SOLO INTERES",Q5072*D5072,-IPMT(D5072,I5072,G5072,C5072))</f>
        <v>#NUM!</v>
      </c>
      <c r="K5072" s="83" t="e">
        <f t="shared" ref="K5072:K5135" si="802">IF(F5072="SOLO INTERES",0,-PPMT(D5072,I5072,G5072,C5072))</f>
        <v>#NUM!</v>
      </c>
      <c r="L5072" s="83">
        <f t="shared" ref="L5072:L5135" si="803">IF(F5072="SOLO INTERES",SUM(Y5072:AAE5072),IFERROR(-CUMIPMT(D5072,G5072,C5072,1,H5072,0),0)+SUM(Y5072:WY5072))</f>
        <v>0</v>
      </c>
      <c r="M5072" s="110" t="str">
        <f t="shared" ref="M5072:M5135" si="804">IFERROR(IF(F5072="SOLO INTERES",Q5072*D5072,-PMT(D5072,G5072,C5072,0)),"")</f>
        <v/>
      </c>
      <c r="N5072" s="51" t="str">
        <f t="shared" ref="N5072:N5135" si="805">IF(Q5072=0,"",IF(E5072="MENSUAL",EDATE(B5072,I5072),IF(E5072="QUINCENAL",B5072+(I5072*15),IF(E5072="SEMANAL",B5072+(I5072*7)))))</f>
        <v/>
      </c>
      <c r="O5072" s="52" t="str">
        <f t="shared" ref="O5072:O5135" si="806">IF(C5072=0,"",IF(Q5072&lt;1,"PAGADO",IF(N5072=$A$3,"COBRAR HOY",IF(N5072&lt;$A$3,"EN MORA",IF(N5072&gt;$A$3,"AL DIA")))))</f>
        <v/>
      </c>
      <c r="P5072" s="88">
        <f t="shared" ref="P5072:P5135" si="807">IFERROR(-CUMPRINC(D5072,G5072,C5072,1,H5072,0),0)+W5072</f>
        <v>0</v>
      </c>
      <c r="Q5072" s="88">
        <f t="shared" ref="Q5072:Q5135" si="808">IFERROR(C5072-P5072,"")</f>
        <v>0</v>
      </c>
      <c r="R5072" s="88" t="e">
        <f>-IF(Tabla14[[#This Row],[DIAS HABILES O MORA]]&lt;0,(Tabla14[[#This Row],[VALOR PRESTAMO]]*Tabla14[[#This Row],[% INTERES ]]/30*U5072))+Tabla14[[#This Row],[VALOR CUOTAS]]</f>
        <v>#VALUE!</v>
      </c>
      <c r="S5072" s="88">
        <f>-IF(Tabla14[[#This Row],[DIAS HABILES O MORA]]&lt;0,(Tabla14[[#This Row],[VALOR PRESTAMO]]*Tabla14[[#This Row],[% INTERES ]]/30*U5072))</f>
        <v>0</v>
      </c>
      <c r="T5072" s="53" t="e">
        <f>Tabla14[[#This Row],[DEUDA CAPITAL]]+Tabla14[[#This Row],[INTERES  CUOTA]]</f>
        <v>#NUM!</v>
      </c>
      <c r="U5072" s="61" t="str">
        <f t="shared" ref="U5072:U5135" si="809">IF(O5072="PAGADO","",IFERROR(-IF(C5072=0,"",$A$3-N5072),""))</f>
        <v/>
      </c>
    </row>
    <row r="5073" spans="9:21" ht="24.75" customHeight="1" x14ac:dyDescent="0.35">
      <c r="I5073" s="42">
        <f t="shared" si="800"/>
        <v>0</v>
      </c>
      <c r="J5073" s="65" t="e">
        <f t="shared" si="801"/>
        <v>#NUM!</v>
      </c>
      <c r="K5073" s="83" t="e">
        <f t="shared" si="802"/>
        <v>#NUM!</v>
      </c>
      <c r="L5073" s="83">
        <f t="shared" si="803"/>
        <v>0</v>
      </c>
      <c r="M5073" s="110" t="str">
        <f t="shared" si="804"/>
        <v/>
      </c>
      <c r="N5073" s="51" t="str">
        <f t="shared" si="805"/>
        <v/>
      </c>
      <c r="O5073" s="52" t="str">
        <f t="shared" si="806"/>
        <v/>
      </c>
      <c r="P5073" s="88">
        <f t="shared" si="807"/>
        <v>0</v>
      </c>
      <c r="Q5073" s="88">
        <f t="shared" si="808"/>
        <v>0</v>
      </c>
      <c r="R5073" s="88" t="e">
        <f>-IF(Tabla14[[#This Row],[DIAS HABILES O MORA]]&lt;0,(Tabla14[[#This Row],[VALOR PRESTAMO]]*Tabla14[[#This Row],[% INTERES ]]/30*U5073))+Tabla14[[#This Row],[VALOR CUOTAS]]</f>
        <v>#VALUE!</v>
      </c>
      <c r="S5073" s="88">
        <f>-IF(Tabla14[[#This Row],[DIAS HABILES O MORA]]&lt;0,(Tabla14[[#This Row],[VALOR PRESTAMO]]*Tabla14[[#This Row],[% INTERES ]]/30*U5073))</f>
        <v>0</v>
      </c>
      <c r="T5073" s="53" t="e">
        <f>Tabla14[[#This Row],[DEUDA CAPITAL]]+Tabla14[[#This Row],[INTERES  CUOTA]]</f>
        <v>#NUM!</v>
      </c>
      <c r="U5073" s="61" t="str">
        <f t="shared" si="809"/>
        <v/>
      </c>
    </row>
    <row r="5074" spans="9:21" ht="24.75" customHeight="1" x14ac:dyDescent="0.35">
      <c r="I5074" s="42">
        <f t="shared" si="800"/>
        <v>0</v>
      </c>
      <c r="J5074" s="65" t="e">
        <f t="shared" si="801"/>
        <v>#NUM!</v>
      </c>
      <c r="K5074" s="83" t="e">
        <f t="shared" si="802"/>
        <v>#NUM!</v>
      </c>
      <c r="L5074" s="83">
        <f t="shared" si="803"/>
        <v>0</v>
      </c>
      <c r="M5074" s="110" t="str">
        <f t="shared" si="804"/>
        <v/>
      </c>
      <c r="N5074" s="51" t="str">
        <f t="shared" si="805"/>
        <v/>
      </c>
      <c r="O5074" s="52" t="str">
        <f t="shared" si="806"/>
        <v/>
      </c>
      <c r="P5074" s="88">
        <f t="shared" si="807"/>
        <v>0</v>
      </c>
      <c r="Q5074" s="88">
        <f t="shared" si="808"/>
        <v>0</v>
      </c>
      <c r="R5074" s="88" t="e">
        <f>-IF(Tabla14[[#This Row],[DIAS HABILES O MORA]]&lt;0,(Tabla14[[#This Row],[VALOR PRESTAMO]]*Tabla14[[#This Row],[% INTERES ]]/30*U5074))+Tabla14[[#This Row],[VALOR CUOTAS]]</f>
        <v>#VALUE!</v>
      </c>
      <c r="S5074" s="88">
        <f>-IF(Tabla14[[#This Row],[DIAS HABILES O MORA]]&lt;0,(Tabla14[[#This Row],[VALOR PRESTAMO]]*Tabla14[[#This Row],[% INTERES ]]/30*U5074))</f>
        <v>0</v>
      </c>
      <c r="T5074" s="53" t="e">
        <f>Tabla14[[#This Row],[DEUDA CAPITAL]]+Tabla14[[#This Row],[INTERES  CUOTA]]</f>
        <v>#NUM!</v>
      </c>
      <c r="U5074" s="61" t="str">
        <f t="shared" si="809"/>
        <v/>
      </c>
    </row>
    <row r="5075" spans="9:21" ht="24.75" customHeight="1" x14ac:dyDescent="0.35">
      <c r="I5075" s="42">
        <f t="shared" si="800"/>
        <v>0</v>
      </c>
      <c r="J5075" s="65" t="e">
        <f t="shared" si="801"/>
        <v>#NUM!</v>
      </c>
      <c r="K5075" s="83" t="e">
        <f t="shared" si="802"/>
        <v>#NUM!</v>
      </c>
      <c r="L5075" s="83">
        <f t="shared" si="803"/>
        <v>0</v>
      </c>
      <c r="M5075" s="110" t="str">
        <f t="shared" si="804"/>
        <v/>
      </c>
      <c r="N5075" s="51" t="str">
        <f t="shared" si="805"/>
        <v/>
      </c>
      <c r="O5075" s="52" t="str">
        <f t="shared" si="806"/>
        <v/>
      </c>
      <c r="P5075" s="88">
        <f t="shared" si="807"/>
        <v>0</v>
      </c>
      <c r="Q5075" s="88">
        <f t="shared" si="808"/>
        <v>0</v>
      </c>
      <c r="R5075" s="88" t="e">
        <f>-IF(Tabla14[[#This Row],[DIAS HABILES O MORA]]&lt;0,(Tabla14[[#This Row],[VALOR PRESTAMO]]*Tabla14[[#This Row],[% INTERES ]]/30*U5075))+Tabla14[[#This Row],[VALOR CUOTAS]]</f>
        <v>#VALUE!</v>
      </c>
      <c r="S5075" s="88">
        <f>-IF(Tabla14[[#This Row],[DIAS HABILES O MORA]]&lt;0,(Tabla14[[#This Row],[VALOR PRESTAMO]]*Tabla14[[#This Row],[% INTERES ]]/30*U5075))</f>
        <v>0</v>
      </c>
      <c r="T5075" s="53" t="e">
        <f>Tabla14[[#This Row],[DEUDA CAPITAL]]+Tabla14[[#This Row],[INTERES  CUOTA]]</f>
        <v>#NUM!</v>
      </c>
      <c r="U5075" s="61" t="str">
        <f t="shared" si="809"/>
        <v/>
      </c>
    </row>
    <row r="5076" spans="9:21" ht="24.75" customHeight="1" x14ac:dyDescent="0.35">
      <c r="I5076" s="42">
        <f t="shared" si="800"/>
        <v>0</v>
      </c>
      <c r="J5076" s="65" t="e">
        <f t="shared" si="801"/>
        <v>#NUM!</v>
      </c>
      <c r="K5076" s="83" t="e">
        <f t="shared" si="802"/>
        <v>#NUM!</v>
      </c>
      <c r="L5076" s="83">
        <f t="shared" si="803"/>
        <v>0</v>
      </c>
      <c r="M5076" s="110" t="str">
        <f t="shared" si="804"/>
        <v/>
      </c>
      <c r="N5076" s="51" t="str">
        <f t="shared" si="805"/>
        <v/>
      </c>
      <c r="O5076" s="52" t="str">
        <f t="shared" si="806"/>
        <v/>
      </c>
      <c r="P5076" s="88">
        <f t="shared" si="807"/>
        <v>0</v>
      </c>
      <c r="Q5076" s="88">
        <f t="shared" si="808"/>
        <v>0</v>
      </c>
      <c r="R5076" s="88" t="e">
        <f>-IF(Tabla14[[#This Row],[DIAS HABILES O MORA]]&lt;0,(Tabla14[[#This Row],[VALOR PRESTAMO]]*Tabla14[[#This Row],[% INTERES ]]/30*U5076))+Tabla14[[#This Row],[VALOR CUOTAS]]</f>
        <v>#VALUE!</v>
      </c>
      <c r="S5076" s="88">
        <f>-IF(Tabla14[[#This Row],[DIAS HABILES O MORA]]&lt;0,(Tabla14[[#This Row],[VALOR PRESTAMO]]*Tabla14[[#This Row],[% INTERES ]]/30*U5076))</f>
        <v>0</v>
      </c>
      <c r="T5076" s="53" t="e">
        <f>Tabla14[[#This Row],[DEUDA CAPITAL]]+Tabla14[[#This Row],[INTERES  CUOTA]]</f>
        <v>#NUM!</v>
      </c>
      <c r="U5076" s="61" t="str">
        <f t="shared" si="809"/>
        <v/>
      </c>
    </row>
    <row r="5077" spans="9:21" ht="24.75" customHeight="1" x14ac:dyDescent="0.35">
      <c r="I5077" s="42">
        <f t="shared" si="800"/>
        <v>0</v>
      </c>
      <c r="J5077" s="65" t="e">
        <f t="shared" si="801"/>
        <v>#NUM!</v>
      </c>
      <c r="K5077" s="83" t="e">
        <f t="shared" si="802"/>
        <v>#NUM!</v>
      </c>
      <c r="L5077" s="83">
        <f t="shared" si="803"/>
        <v>0</v>
      </c>
      <c r="M5077" s="110" t="str">
        <f t="shared" si="804"/>
        <v/>
      </c>
      <c r="N5077" s="51" t="str">
        <f t="shared" si="805"/>
        <v/>
      </c>
      <c r="O5077" s="52" t="str">
        <f t="shared" si="806"/>
        <v/>
      </c>
      <c r="P5077" s="88">
        <f t="shared" si="807"/>
        <v>0</v>
      </c>
      <c r="Q5077" s="88">
        <f t="shared" si="808"/>
        <v>0</v>
      </c>
      <c r="R5077" s="88" t="e">
        <f>-IF(Tabla14[[#This Row],[DIAS HABILES O MORA]]&lt;0,(Tabla14[[#This Row],[VALOR PRESTAMO]]*Tabla14[[#This Row],[% INTERES ]]/30*U5077))+Tabla14[[#This Row],[VALOR CUOTAS]]</f>
        <v>#VALUE!</v>
      </c>
      <c r="S5077" s="88">
        <f>-IF(Tabla14[[#This Row],[DIAS HABILES O MORA]]&lt;0,(Tabla14[[#This Row],[VALOR PRESTAMO]]*Tabla14[[#This Row],[% INTERES ]]/30*U5077))</f>
        <v>0</v>
      </c>
      <c r="T5077" s="53" t="e">
        <f>Tabla14[[#This Row],[DEUDA CAPITAL]]+Tabla14[[#This Row],[INTERES  CUOTA]]</f>
        <v>#NUM!</v>
      </c>
      <c r="U5077" s="61" t="str">
        <f t="shared" si="809"/>
        <v/>
      </c>
    </row>
    <row r="5078" spans="9:21" ht="24.75" customHeight="1" x14ac:dyDescent="0.35">
      <c r="I5078" s="42">
        <f t="shared" si="800"/>
        <v>0</v>
      </c>
      <c r="J5078" s="65" t="e">
        <f t="shared" si="801"/>
        <v>#NUM!</v>
      </c>
      <c r="K5078" s="83" t="e">
        <f t="shared" si="802"/>
        <v>#NUM!</v>
      </c>
      <c r="L5078" s="83">
        <f t="shared" si="803"/>
        <v>0</v>
      </c>
      <c r="M5078" s="110" t="str">
        <f t="shared" si="804"/>
        <v/>
      </c>
      <c r="N5078" s="51" t="str">
        <f t="shared" si="805"/>
        <v/>
      </c>
      <c r="O5078" s="52" t="str">
        <f t="shared" si="806"/>
        <v/>
      </c>
      <c r="P5078" s="88">
        <f t="shared" si="807"/>
        <v>0</v>
      </c>
      <c r="Q5078" s="88">
        <f t="shared" si="808"/>
        <v>0</v>
      </c>
      <c r="R5078" s="88" t="e">
        <f>-IF(Tabla14[[#This Row],[DIAS HABILES O MORA]]&lt;0,(Tabla14[[#This Row],[VALOR PRESTAMO]]*Tabla14[[#This Row],[% INTERES ]]/30*U5078))+Tabla14[[#This Row],[VALOR CUOTAS]]</f>
        <v>#VALUE!</v>
      </c>
      <c r="S5078" s="88">
        <f>-IF(Tabla14[[#This Row],[DIAS HABILES O MORA]]&lt;0,(Tabla14[[#This Row],[VALOR PRESTAMO]]*Tabla14[[#This Row],[% INTERES ]]/30*U5078))</f>
        <v>0</v>
      </c>
      <c r="T5078" s="53" t="e">
        <f>Tabla14[[#This Row],[DEUDA CAPITAL]]+Tabla14[[#This Row],[INTERES  CUOTA]]</f>
        <v>#NUM!</v>
      </c>
      <c r="U5078" s="61" t="str">
        <f t="shared" si="809"/>
        <v/>
      </c>
    </row>
    <row r="5079" spans="9:21" ht="24.75" customHeight="1" x14ac:dyDescent="0.35">
      <c r="I5079" s="42">
        <f t="shared" si="800"/>
        <v>0</v>
      </c>
      <c r="J5079" s="65" t="e">
        <f t="shared" si="801"/>
        <v>#NUM!</v>
      </c>
      <c r="K5079" s="83" t="e">
        <f t="shared" si="802"/>
        <v>#NUM!</v>
      </c>
      <c r="L5079" s="83">
        <f t="shared" si="803"/>
        <v>0</v>
      </c>
      <c r="M5079" s="110" t="str">
        <f t="shared" si="804"/>
        <v/>
      </c>
      <c r="N5079" s="51" t="str">
        <f t="shared" si="805"/>
        <v/>
      </c>
      <c r="O5079" s="52" t="str">
        <f t="shared" si="806"/>
        <v/>
      </c>
      <c r="P5079" s="88">
        <f t="shared" si="807"/>
        <v>0</v>
      </c>
      <c r="Q5079" s="88">
        <f t="shared" si="808"/>
        <v>0</v>
      </c>
      <c r="R5079" s="88" t="e">
        <f>-IF(Tabla14[[#This Row],[DIAS HABILES O MORA]]&lt;0,(Tabla14[[#This Row],[VALOR PRESTAMO]]*Tabla14[[#This Row],[% INTERES ]]/30*U5079))+Tabla14[[#This Row],[VALOR CUOTAS]]</f>
        <v>#VALUE!</v>
      </c>
      <c r="S5079" s="88">
        <f>-IF(Tabla14[[#This Row],[DIAS HABILES O MORA]]&lt;0,(Tabla14[[#This Row],[VALOR PRESTAMO]]*Tabla14[[#This Row],[% INTERES ]]/30*U5079))</f>
        <v>0</v>
      </c>
      <c r="T5079" s="53" t="e">
        <f>Tabla14[[#This Row],[DEUDA CAPITAL]]+Tabla14[[#This Row],[INTERES  CUOTA]]</f>
        <v>#NUM!</v>
      </c>
      <c r="U5079" s="61" t="str">
        <f t="shared" si="809"/>
        <v/>
      </c>
    </row>
    <row r="5080" spans="9:21" ht="24.75" customHeight="1" x14ac:dyDescent="0.35">
      <c r="I5080" s="42">
        <f t="shared" si="800"/>
        <v>0</v>
      </c>
      <c r="J5080" s="65" t="e">
        <f t="shared" si="801"/>
        <v>#NUM!</v>
      </c>
      <c r="K5080" s="83" t="e">
        <f t="shared" si="802"/>
        <v>#NUM!</v>
      </c>
      <c r="L5080" s="83">
        <f t="shared" si="803"/>
        <v>0</v>
      </c>
      <c r="M5080" s="110" t="str">
        <f t="shared" si="804"/>
        <v/>
      </c>
      <c r="N5080" s="51" t="str">
        <f t="shared" si="805"/>
        <v/>
      </c>
      <c r="O5080" s="52" t="str">
        <f t="shared" si="806"/>
        <v/>
      </c>
      <c r="P5080" s="88">
        <f t="shared" si="807"/>
        <v>0</v>
      </c>
      <c r="Q5080" s="88">
        <f t="shared" si="808"/>
        <v>0</v>
      </c>
      <c r="R5080" s="88" t="e">
        <f>-IF(Tabla14[[#This Row],[DIAS HABILES O MORA]]&lt;0,(Tabla14[[#This Row],[VALOR PRESTAMO]]*Tabla14[[#This Row],[% INTERES ]]/30*U5080))+Tabla14[[#This Row],[VALOR CUOTAS]]</f>
        <v>#VALUE!</v>
      </c>
      <c r="S5080" s="88">
        <f>-IF(Tabla14[[#This Row],[DIAS HABILES O MORA]]&lt;0,(Tabla14[[#This Row],[VALOR PRESTAMO]]*Tabla14[[#This Row],[% INTERES ]]/30*U5080))</f>
        <v>0</v>
      </c>
      <c r="T5080" s="53" t="e">
        <f>Tabla14[[#This Row],[DEUDA CAPITAL]]+Tabla14[[#This Row],[INTERES  CUOTA]]</f>
        <v>#NUM!</v>
      </c>
      <c r="U5080" s="61" t="str">
        <f t="shared" si="809"/>
        <v/>
      </c>
    </row>
    <row r="5081" spans="9:21" ht="24.75" customHeight="1" x14ac:dyDescent="0.35">
      <c r="I5081" s="42">
        <f t="shared" si="800"/>
        <v>0</v>
      </c>
      <c r="J5081" s="65" t="e">
        <f t="shared" si="801"/>
        <v>#NUM!</v>
      </c>
      <c r="K5081" s="83" t="e">
        <f t="shared" si="802"/>
        <v>#NUM!</v>
      </c>
      <c r="L5081" s="83">
        <f t="shared" si="803"/>
        <v>0</v>
      </c>
      <c r="M5081" s="110" t="str">
        <f t="shared" si="804"/>
        <v/>
      </c>
      <c r="N5081" s="51" t="str">
        <f t="shared" si="805"/>
        <v/>
      </c>
      <c r="O5081" s="52" t="str">
        <f t="shared" si="806"/>
        <v/>
      </c>
      <c r="P5081" s="88">
        <f t="shared" si="807"/>
        <v>0</v>
      </c>
      <c r="Q5081" s="88">
        <f t="shared" si="808"/>
        <v>0</v>
      </c>
      <c r="R5081" s="88" t="e">
        <f>-IF(Tabla14[[#This Row],[DIAS HABILES O MORA]]&lt;0,(Tabla14[[#This Row],[VALOR PRESTAMO]]*Tabla14[[#This Row],[% INTERES ]]/30*U5081))+Tabla14[[#This Row],[VALOR CUOTAS]]</f>
        <v>#VALUE!</v>
      </c>
      <c r="S5081" s="88">
        <f>-IF(Tabla14[[#This Row],[DIAS HABILES O MORA]]&lt;0,(Tabla14[[#This Row],[VALOR PRESTAMO]]*Tabla14[[#This Row],[% INTERES ]]/30*U5081))</f>
        <v>0</v>
      </c>
      <c r="T5081" s="53" t="e">
        <f>Tabla14[[#This Row],[DEUDA CAPITAL]]+Tabla14[[#This Row],[INTERES  CUOTA]]</f>
        <v>#NUM!</v>
      </c>
      <c r="U5081" s="61" t="str">
        <f t="shared" si="809"/>
        <v/>
      </c>
    </row>
    <row r="5082" spans="9:21" ht="24.75" customHeight="1" x14ac:dyDescent="0.35">
      <c r="I5082" s="42">
        <f t="shared" si="800"/>
        <v>0</v>
      </c>
      <c r="J5082" s="65" t="e">
        <f t="shared" si="801"/>
        <v>#NUM!</v>
      </c>
      <c r="K5082" s="83" t="e">
        <f t="shared" si="802"/>
        <v>#NUM!</v>
      </c>
      <c r="L5082" s="83">
        <f t="shared" si="803"/>
        <v>0</v>
      </c>
      <c r="M5082" s="110" t="str">
        <f t="shared" si="804"/>
        <v/>
      </c>
      <c r="N5082" s="51" t="str">
        <f t="shared" si="805"/>
        <v/>
      </c>
      <c r="O5082" s="52" t="str">
        <f t="shared" si="806"/>
        <v/>
      </c>
      <c r="P5082" s="88">
        <f t="shared" si="807"/>
        <v>0</v>
      </c>
      <c r="Q5082" s="88">
        <f t="shared" si="808"/>
        <v>0</v>
      </c>
      <c r="R5082" s="88" t="e">
        <f>-IF(Tabla14[[#This Row],[DIAS HABILES O MORA]]&lt;0,(Tabla14[[#This Row],[VALOR PRESTAMO]]*Tabla14[[#This Row],[% INTERES ]]/30*U5082))+Tabla14[[#This Row],[VALOR CUOTAS]]</f>
        <v>#VALUE!</v>
      </c>
      <c r="S5082" s="88">
        <f>-IF(Tabla14[[#This Row],[DIAS HABILES O MORA]]&lt;0,(Tabla14[[#This Row],[VALOR PRESTAMO]]*Tabla14[[#This Row],[% INTERES ]]/30*U5082))</f>
        <v>0</v>
      </c>
      <c r="T5082" s="53" t="e">
        <f>Tabla14[[#This Row],[DEUDA CAPITAL]]+Tabla14[[#This Row],[INTERES  CUOTA]]</f>
        <v>#NUM!</v>
      </c>
      <c r="U5082" s="61" t="str">
        <f t="shared" si="809"/>
        <v/>
      </c>
    </row>
    <row r="5083" spans="9:21" ht="24.75" customHeight="1" x14ac:dyDescent="0.35">
      <c r="I5083" s="42">
        <f t="shared" si="800"/>
        <v>0</v>
      </c>
      <c r="J5083" s="65" t="e">
        <f t="shared" si="801"/>
        <v>#NUM!</v>
      </c>
      <c r="K5083" s="83" t="e">
        <f t="shared" si="802"/>
        <v>#NUM!</v>
      </c>
      <c r="L5083" s="83">
        <f t="shared" si="803"/>
        <v>0</v>
      </c>
      <c r="M5083" s="110" t="str">
        <f t="shared" si="804"/>
        <v/>
      </c>
      <c r="N5083" s="51" t="str">
        <f t="shared" si="805"/>
        <v/>
      </c>
      <c r="O5083" s="52" t="str">
        <f t="shared" si="806"/>
        <v/>
      </c>
      <c r="P5083" s="88">
        <f t="shared" si="807"/>
        <v>0</v>
      </c>
      <c r="Q5083" s="88">
        <f t="shared" si="808"/>
        <v>0</v>
      </c>
      <c r="R5083" s="88" t="e">
        <f>-IF(Tabla14[[#This Row],[DIAS HABILES O MORA]]&lt;0,(Tabla14[[#This Row],[VALOR PRESTAMO]]*Tabla14[[#This Row],[% INTERES ]]/30*U5083))+Tabla14[[#This Row],[VALOR CUOTAS]]</f>
        <v>#VALUE!</v>
      </c>
      <c r="S5083" s="88">
        <f>-IF(Tabla14[[#This Row],[DIAS HABILES O MORA]]&lt;0,(Tabla14[[#This Row],[VALOR PRESTAMO]]*Tabla14[[#This Row],[% INTERES ]]/30*U5083))</f>
        <v>0</v>
      </c>
      <c r="T5083" s="53" t="e">
        <f>Tabla14[[#This Row],[DEUDA CAPITAL]]+Tabla14[[#This Row],[INTERES  CUOTA]]</f>
        <v>#NUM!</v>
      </c>
      <c r="U5083" s="61" t="str">
        <f t="shared" si="809"/>
        <v/>
      </c>
    </row>
    <row r="5084" spans="9:21" ht="24.75" customHeight="1" x14ac:dyDescent="0.35">
      <c r="I5084" s="42">
        <f t="shared" si="800"/>
        <v>0</v>
      </c>
      <c r="J5084" s="65" t="e">
        <f t="shared" si="801"/>
        <v>#NUM!</v>
      </c>
      <c r="K5084" s="83" t="e">
        <f t="shared" si="802"/>
        <v>#NUM!</v>
      </c>
      <c r="L5084" s="83">
        <f t="shared" si="803"/>
        <v>0</v>
      </c>
      <c r="M5084" s="110" t="str">
        <f t="shared" si="804"/>
        <v/>
      </c>
      <c r="N5084" s="51" t="str">
        <f t="shared" si="805"/>
        <v/>
      </c>
      <c r="O5084" s="52" t="str">
        <f t="shared" si="806"/>
        <v/>
      </c>
      <c r="P5084" s="88">
        <f t="shared" si="807"/>
        <v>0</v>
      </c>
      <c r="Q5084" s="88">
        <f t="shared" si="808"/>
        <v>0</v>
      </c>
      <c r="R5084" s="88" t="e">
        <f>-IF(Tabla14[[#This Row],[DIAS HABILES O MORA]]&lt;0,(Tabla14[[#This Row],[VALOR PRESTAMO]]*Tabla14[[#This Row],[% INTERES ]]/30*U5084))+Tabla14[[#This Row],[VALOR CUOTAS]]</f>
        <v>#VALUE!</v>
      </c>
      <c r="S5084" s="88">
        <f>-IF(Tabla14[[#This Row],[DIAS HABILES O MORA]]&lt;0,(Tabla14[[#This Row],[VALOR PRESTAMO]]*Tabla14[[#This Row],[% INTERES ]]/30*U5084))</f>
        <v>0</v>
      </c>
      <c r="T5084" s="53" t="e">
        <f>Tabla14[[#This Row],[DEUDA CAPITAL]]+Tabla14[[#This Row],[INTERES  CUOTA]]</f>
        <v>#NUM!</v>
      </c>
      <c r="U5084" s="61" t="str">
        <f t="shared" si="809"/>
        <v/>
      </c>
    </row>
    <row r="5085" spans="9:21" ht="24.75" customHeight="1" x14ac:dyDescent="0.35">
      <c r="I5085" s="42">
        <f t="shared" si="800"/>
        <v>0</v>
      </c>
      <c r="J5085" s="65" t="e">
        <f t="shared" si="801"/>
        <v>#NUM!</v>
      </c>
      <c r="K5085" s="83" t="e">
        <f t="shared" si="802"/>
        <v>#NUM!</v>
      </c>
      <c r="L5085" s="83">
        <f t="shared" si="803"/>
        <v>0</v>
      </c>
      <c r="M5085" s="110" t="str">
        <f t="shared" si="804"/>
        <v/>
      </c>
      <c r="N5085" s="51" t="str">
        <f t="shared" si="805"/>
        <v/>
      </c>
      <c r="O5085" s="52" t="str">
        <f t="shared" si="806"/>
        <v/>
      </c>
      <c r="P5085" s="88">
        <f t="shared" si="807"/>
        <v>0</v>
      </c>
      <c r="Q5085" s="88">
        <f t="shared" si="808"/>
        <v>0</v>
      </c>
      <c r="R5085" s="88" t="e">
        <f>-IF(Tabla14[[#This Row],[DIAS HABILES O MORA]]&lt;0,(Tabla14[[#This Row],[VALOR PRESTAMO]]*Tabla14[[#This Row],[% INTERES ]]/30*U5085))+Tabla14[[#This Row],[VALOR CUOTAS]]</f>
        <v>#VALUE!</v>
      </c>
      <c r="S5085" s="88">
        <f>-IF(Tabla14[[#This Row],[DIAS HABILES O MORA]]&lt;0,(Tabla14[[#This Row],[VALOR PRESTAMO]]*Tabla14[[#This Row],[% INTERES ]]/30*U5085))</f>
        <v>0</v>
      </c>
      <c r="T5085" s="53" t="e">
        <f>Tabla14[[#This Row],[DEUDA CAPITAL]]+Tabla14[[#This Row],[INTERES  CUOTA]]</f>
        <v>#NUM!</v>
      </c>
      <c r="U5085" s="61" t="str">
        <f t="shared" si="809"/>
        <v/>
      </c>
    </row>
    <row r="5086" spans="9:21" ht="24.75" customHeight="1" x14ac:dyDescent="0.35">
      <c r="I5086" s="42">
        <f t="shared" si="800"/>
        <v>0</v>
      </c>
      <c r="J5086" s="65" t="e">
        <f t="shared" si="801"/>
        <v>#NUM!</v>
      </c>
      <c r="K5086" s="83" t="e">
        <f t="shared" si="802"/>
        <v>#NUM!</v>
      </c>
      <c r="L5086" s="83">
        <f t="shared" si="803"/>
        <v>0</v>
      </c>
      <c r="M5086" s="110" t="str">
        <f t="shared" si="804"/>
        <v/>
      </c>
      <c r="N5086" s="51" t="str">
        <f t="shared" si="805"/>
        <v/>
      </c>
      <c r="O5086" s="52" t="str">
        <f t="shared" si="806"/>
        <v/>
      </c>
      <c r="P5086" s="88">
        <f t="shared" si="807"/>
        <v>0</v>
      </c>
      <c r="Q5086" s="88">
        <f t="shared" si="808"/>
        <v>0</v>
      </c>
      <c r="R5086" s="88" t="e">
        <f>-IF(Tabla14[[#This Row],[DIAS HABILES O MORA]]&lt;0,(Tabla14[[#This Row],[VALOR PRESTAMO]]*Tabla14[[#This Row],[% INTERES ]]/30*U5086))+Tabla14[[#This Row],[VALOR CUOTAS]]</f>
        <v>#VALUE!</v>
      </c>
      <c r="S5086" s="88">
        <f>-IF(Tabla14[[#This Row],[DIAS HABILES O MORA]]&lt;0,(Tabla14[[#This Row],[VALOR PRESTAMO]]*Tabla14[[#This Row],[% INTERES ]]/30*U5086))</f>
        <v>0</v>
      </c>
      <c r="T5086" s="53" t="e">
        <f>Tabla14[[#This Row],[DEUDA CAPITAL]]+Tabla14[[#This Row],[INTERES  CUOTA]]</f>
        <v>#NUM!</v>
      </c>
      <c r="U5086" s="61" t="str">
        <f t="shared" si="809"/>
        <v/>
      </c>
    </row>
    <row r="5087" spans="9:21" ht="24.75" customHeight="1" x14ac:dyDescent="0.35">
      <c r="I5087" s="42">
        <f t="shared" si="800"/>
        <v>0</v>
      </c>
      <c r="J5087" s="65" t="e">
        <f t="shared" si="801"/>
        <v>#NUM!</v>
      </c>
      <c r="K5087" s="83" t="e">
        <f t="shared" si="802"/>
        <v>#NUM!</v>
      </c>
      <c r="L5087" s="83">
        <f t="shared" si="803"/>
        <v>0</v>
      </c>
      <c r="M5087" s="110" t="str">
        <f t="shared" si="804"/>
        <v/>
      </c>
      <c r="N5087" s="51" t="str">
        <f t="shared" si="805"/>
        <v/>
      </c>
      <c r="O5087" s="52" t="str">
        <f t="shared" si="806"/>
        <v/>
      </c>
      <c r="P5087" s="88">
        <f t="shared" si="807"/>
        <v>0</v>
      </c>
      <c r="Q5087" s="88">
        <f t="shared" si="808"/>
        <v>0</v>
      </c>
      <c r="R5087" s="88" t="e">
        <f>-IF(Tabla14[[#This Row],[DIAS HABILES O MORA]]&lt;0,(Tabla14[[#This Row],[VALOR PRESTAMO]]*Tabla14[[#This Row],[% INTERES ]]/30*U5087))+Tabla14[[#This Row],[VALOR CUOTAS]]</f>
        <v>#VALUE!</v>
      </c>
      <c r="S5087" s="88">
        <f>-IF(Tabla14[[#This Row],[DIAS HABILES O MORA]]&lt;0,(Tabla14[[#This Row],[VALOR PRESTAMO]]*Tabla14[[#This Row],[% INTERES ]]/30*U5087))</f>
        <v>0</v>
      </c>
      <c r="T5087" s="53" t="e">
        <f>Tabla14[[#This Row],[DEUDA CAPITAL]]+Tabla14[[#This Row],[INTERES  CUOTA]]</f>
        <v>#NUM!</v>
      </c>
      <c r="U5087" s="61" t="str">
        <f t="shared" si="809"/>
        <v/>
      </c>
    </row>
    <row r="5088" spans="9:21" ht="24.75" customHeight="1" x14ac:dyDescent="0.35">
      <c r="I5088" s="42">
        <f t="shared" si="800"/>
        <v>0</v>
      </c>
      <c r="J5088" s="65" t="e">
        <f t="shared" si="801"/>
        <v>#NUM!</v>
      </c>
      <c r="K5088" s="83" t="e">
        <f t="shared" si="802"/>
        <v>#NUM!</v>
      </c>
      <c r="L5088" s="83">
        <f t="shared" si="803"/>
        <v>0</v>
      </c>
      <c r="M5088" s="110" t="str">
        <f t="shared" si="804"/>
        <v/>
      </c>
      <c r="N5088" s="51" t="str">
        <f t="shared" si="805"/>
        <v/>
      </c>
      <c r="O5088" s="52" t="str">
        <f t="shared" si="806"/>
        <v/>
      </c>
      <c r="P5088" s="88">
        <f t="shared" si="807"/>
        <v>0</v>
      </c>
      <c r="Q5088" s="88">
        <f t="shared" si="808"/>
        <v>0</v>
      </c>
      <c r="R5088" s="88" t="e">
        <f>-IF(Tabla14[[#This Row],[DIAS HABILES O MORA]]&lt;0,(Tabla14[[#This Row],[VALOR PRESTAMO]]*Tabla14[[#This Row],[% INTERES ]]/30*U5088))+Tabla14[[#This Row],[VALOR CUOTAS]]</f>
        <v>#VALUE!</v>
      </c>
      <c r="S5088" s="88">
        <f>-IF(Tabla14[[#This Row],[DIAS HABILES O MORA]]&lt;0,(Tabla14[[#This Row],[VALOR PRESTAMO]]*Tabla14[[#This Row],[% INTERES ]]/30*U5088))</f>
        <v>0</v>
      </c>
      <c r="T5088" s="53" t="e">
        <f>Tabla14[[#This Row],[DEUDA CAPITAL]]+Tabla14[[#This Row],[INTERES  CUOTA]]</f>
        <v>#NUM!</v>
      </c>
      <c r="U5088" s="61" t="str">
        <f t="shared" si="809"/>
        <v/>
      </c>
    </row>
    <row r="5089" spans="9:21" ht="24.75" customHeight="1" x14ac:dyDescent="0.35">
      <c r="I5089" s="42">
        <f t="shared" si="800"/>
        <v>0</v>
      </c>
      <c r="J5089" s="65" t="e">
        <f t="shared" si="801"/>
        <v>#NUM!</v>
      </c>
      <c r="K5089" s="83" t="e">
        <f t="shared" si="802"/>
        <v>#NUM!</v>
      </c>
      <c r="L5089" s="83">
        <f t="shared" si="803"/>
        <v>0</v>
      </c>
      <c r="M5089" s="110" t="str">
        <f t="shared" si="804"/>
        <v/>
      </c>
      <c r="N5089" s="51" t="str">
        <f t="shared" si="805"/>
        <v/>
      </c>
      <c r="O5089" s="52" t="str">
        <f t="shared" si="806"/>
        <v/>
      </c>
      <c r="P5089" s="88">
        <f t="shared" si="807"/>
        <v>0</v>
      </c>
      <c r="Q5089" s="88">
        <f t="shared" si="808"/>
        <v>0</v>
      </c>
      <c r="R5089" s="88" t="e">
        <f>-IF(Tabla14[[#This Row],[DIAS HABILES O MORA]]&lt;0,(Tabla14[[#This Row],[VALOR PRESTAMO]]*Tabla14[[#This Row],[% INTERES ]]/30*U5089))+Tabla14[[#This Row],[VALOR CUOTAS]]</f>
        <v>#VALUE!</v>
      </c>
      <c r="S5089" s="88">
        <f>-IF(Tabla14[[#This Row],[DIAS HABILES O MORA]]&lt;0,(Tabla14[[#This Row],[VALOR PRESTAMO]]*Tabla14[[#This Row],[% INTERES ]]/30*U5089))</f>
        <v>0</v>
      </c>
      <c r="T5089" s="53" t="e">
        <f>Tabla14[[#This Row],[DEUDA CAPITAL]]+Tabla14[[#This Row],[INTERES  CUOTA]]</f>
        <v>#NUM!</v>
      </c>
      <c r="U5089" s="61" t="str">
        <f t="shared" si="809"/>
        <v/>
      </c>
    </row>
    <row r="5090" spans="9:21" ht="24.75" customHeight="1" x14ac:dyDescent="0.35">
      <c r="I5090" s="42">
        <f t="shared" si="800"/>
        <v>0</v>
      </c>
      <c r="J5090" s="65" t="e">
        <f t="shared" si="801"/>
        <v>#NUM!</v>
      </c>
      <c r="K5090" s="83" t="e">
        <f t="shared" si="802"/>
        <v>#NUM!</v>
      </c>
      <c r="L5090" s="83">
        <f t="shared" si="803"/>
        <v>0</v>
      </c>
      <c r="M5090" s="110" t="str">
        <f t="shared" si="804"/>
        <v/>
      </c>
      <c r="N5090" s="51" t="str">
        <f t="shared" si="805"/>
        <v/>
      </c>
      <c r="O5090" s="52" t="str">
        <f t="shared" si="806"/>
        <v/>
      </c>
      <c r="P5090" s="88">
        <f t="shared" si="807"/>
        <v>0</v>
      </c>
      <c r="Q5090" s="88">
        <f t="shared" si="808"/>
        <v>0</v>
      </c>
      <c r="R5090" s="88" t="e">
        <f>-IF(Tabla14[[#This Row],[DIAS HABILES O MORA]]&lt;0,(Tabla14[[#This Row],[VALOR PRESTAMO]]*Tabla14[[#This Row],[% INTERES ]]/30*U5090))+Tabla14[[#This Row],[VALOR CUOTAS]]</f>
        <v>#VALUE!</v>
      </c>
      <c r="S5090" s="88">
        <f>-IF(Tabla14[[#This Row],[DIAS HABILES O MORA]]&lt;0,(Tabla14[[#This Row],[VALOR PRESTAMO]]*Tabla14[[#This Row],[% INTERES ]]/30*U5090))</f>
        <v>0</v>
      </c>
      <c r="T5090" s="53" t="e">
        <f>Tabla14[[#This Row],[DEUDA CAPITAL]]+Tabla14[[#This Row],[INTERES  CUOTA]]</f>
        <v>#NUM!</v>
      </c>
      <c r="U5090" s="61" t="str">
        <f t="shared" si="809"/>
        <v/>
      </c>
    </row>
    <row r="5091" spans="9:21" ht="24.75" customHeight="1" x14ac:dyDescent="0.35">
      <c r="I5091" s="42">
        <f t="shared" si="800"/>
        <v>0</v>
      </c>
      <c r="J5091" s="65" t="e">
        <f t="shared" si="801"/>
        <v>#NUM!</v>
      </c>
      <c r="K5091" s="83" t="e">
        <f t="shared" si="802"/>
        <v>#NUM!</v>
      </c>
      <c r="L5091" s="83">
        <f t="shared" si="803"/>
        <v>0</v>
      </c>
      <c r="M5091" s="110" t="str">
        <f t="shared" si="804"/>
        <v/>
      </c>
      <c r="N5091" s="51" t="str">
        <f t="shared" si="805"/>
        <v/>
      </c>
      <c r="O5091" s="52" t="str">
        <f t="shared" si="806"/>
        <v/>
      </c>
      <c r="P5091" s="88">
        <f t="shared" si="807"/>
        <v>0</v>
      </c>
      <c r="Q5091" s="88">
        <f t="shared" si="808"/>
        <v>0</v>
      </c>
      <c r="R5091" s="88" t="e">
        <f>-IF(Tabla14[[#This Row],[DIAS HABILES O MORA]]&lt;0,(Tabla14[[#This Row],[VALOR PRESTAMO]]*Tabla14[[#This Row],[% INTERES ]]/30*U5091))+Tabla14[[#This Row],[VALOR CUOTAS]]</f>
        <v>#VALUE!</v>
      </c>
      <c r="S5091" s="88">
        <f>-IF(Tabla14[[#This Row],[DIAS HABILES O MORA]]&lt;0,(Tabla14[[#This Row],[VALOR PRESTAMO]]*Tabla14[[#This Row],[% INTERES ]]/30*U5091))</f>
        <v>0</v>
      </c>
      <c r="T5091" s="53" t="e">
        <f>Tabla14[[#This Row],[DEUDA CAPITAL]]+Tabla14[[#This Row],[INTERES  CUOTA]]</f>
        <v>#NUM!</v>
      </c>
      <c r="U5091" s="61" t="str">
        <f t="shared" si="809"/>
        <v/>
      </c>
    </row>
    <row r="5092" spans="9:21" ht="24.75" customHeight="1" x14ac:dyDescent="0.35">
      <c r="I5092" s="42">
        <f t="shared" si="800"/>
        <v>0</v>
      </c>
      <c r="J5092" s="65" t="e">
        <f t="shared" si="801"/>
        <v>#NUM!</v>
      </c>
      <c r="K5092" s="83" t="e">
        <f t="shared" si="802"/>
        <v>#NUM!</v>
      </c>
      <c r="L5092" s="83">
        <f t="shared" si="803"/>
        <v>0</v>
      </c>
      <c r="M5092" s="110" t="str">
        <f t="shared" si="804"/>
        <v/>
      </c>
      <c r="N5092" s="51" t="str">
        <f t="shared" si="805"/>
        <v/>
      </c>
      <c r="O5092" s="52" t="str">
        <f t="shared" si="806"/>
        <v/>
      </c>
      <c r="P5092" s="88">
        <f t="shared" si="807"/>
        <v>0</v>
      </c>
      <c r="Q5092" s="88">
        <f t="shared" si="808"/>
        <v>0</v>
      </c>
      <c r="R5092" s="88" t="e">
        <f>-IF(Tabla14[[#This Row],[DIAS HABILES O MORA]]&lt;0,(Tabla14[[#This Row],[VALOR PRESTAMO]]*Tabla14[[#This Row],[% INTERES ]]/30*U5092))+Tabla14[[#This Row],[VALOR CUOTAS]]</f>
        <v>#VALUE!</v>
      </c>
      <c r="S5092" s="88">
        <f>-IF(Tabla14[[#This Row],[DIAS HABILES O MORA]]&lt;0,(Tabla14[[#This Row],[VALOR PRESTAMO]]*Tabla14[[#This Row],[% INTERES ]]/30*U5092))</f>
        <v>0</v>
      </c>
      <c r="T5092" s="53" t="e">
        <f>Tabla14[[#This Row],[DEUDA CAPITAL]]+Tabla14[[#This Row],[INTERES  CUOTA]]</f>
        <v>#NUM!</v>
      </c>
      <c r="U5092" s="61" t="str">
        <f t="shared" si="809"/>
        <v/>
      </c>
    </row>
    <row r="5093" spans="9:21" ht="24.75" customHeight="1" x14ac:dyDescent="0.35">
      <c r="I5093" s="42">
        <f t="shared" si="800"/>
        <v>0</v>
      </c>
      <c r="J5093" s="65" t="e">
        <f t="shared" si="801"/>
        <v>#NUM!</v>
      </c>
      <c r="K5093" s="83" t="e">
        <f t="shared" si="802"/>
        <v>#NUM!</v>
      </c>
      <c r="L5093" s="83">
        <f t="shared" si="803"/>
        <v>0</v>
      </c>
      <c r="M5093" s="110" t="str">
        <f t="shared" si="804"/>
        <v/>
      </c>
      <c r="N5093" s="51" t="str">
        <f t="shared" si="805"/>
        <v/>
      </c>
      <c r="O5093" s="52" t="str">
        <f t="shared" si="806"/>
        <v/>
      </c>
      <c r="P5093" s="88">
        <f t="shared" si="807"/>
        <v>0</v>
      </c>
      <c r="Q5093" s="88">
        <f t="shared" si="808"/>
        <v>0</v>
      </c>
      <c r="R5093" s="88" t="e">
        <f>-IF(Tabla14[[#This Row],[DIAS HABILES O MORA]]&lt;0,(Tabla14[[#This Row],[VALOR PRESTAMO]]*Tabla14[[#This Row],[% INTERES ]]/30*U5093))+Tabla14[[#This Row],[VALOR CUOTAS]]</f>
        <v>#VALUE!</v>
      </c>
      <c r="S5093" s="88">
        <f>-IF(Tabla14[[#This Row],[DIAS HABILES O MORA]]&lt;0,(Tabla14[[#This Row],[VALOR PRESTAMO]]*Tabla14[[#This Row],[% INTERES ]]/30*U5093))</f>
        <v>0</v>
      </c>
      <c r="T5093" s="53" t="e">
        <f>Tabla14[[#This Row],[DEUDA CAPITAL]]+Tabla14[[#This Row],[INTERES  CUOTA]]</f>
        <v>#NUM!</v>
      </c>
      <c r="U5093" s="61" t="str">
        <f t="shared" si="809"/>
        <v/>
      </c>
    </row>
    <row r="5094" spans="9:21" ht="24.75" customHeight="1" x14ac:dyDescent="0.35">
      <c r="I5094" s="42">
        <f t="shared" si="800"/>
        <v>0</v>
      </c>
      <c r="J5094" s="65" t="e">
        <f t="shared" si="801"/>
        <v>#NUM!</v>
      </c>
      <c r="K5094" s="83" t="e">
        <f t="shared" si="802"/>
        <v>#NUM!</v>
      </c>
      <c r="L5094" s="83">
        <f t="shared" si="803"/>
        <v>0</v>
      </c>
      <c r="M5094" s="110" t="str">
        <f t="shared" si="804"/>
        <v/>
      </c>
      <c r="N5094" s="51" t="str">
        <f t="shared" si="805"/>
        <v/>
      </c>
      <c r="O5094" s="52" t="str">
        <f t="shared" si="806"/>
        <v/>
      </c>
      <c r="P5094" s="88">
        <f t="shared" si="807"/>
        <v>0</v>
      </c>
      <c r="Q5094" s="88">
        <f t="shared" si="808"/>
        <v>0</v>
      </c>
      <c r="R5094" s="88" t="e">
        <f>-IF(Tabla14[[#This Row],[DIAS HABILES O MORA]]&lt;0,(Tabla14[[#This Row],[VALOR PRESTAMO]]*Tabla14[[#This Row],[% INTERES ]]/30*U5094))+Tabla14[[#This Row],[VALOR CUOTAS]]</f>
        <v>#VALUE!</v>
      </c>
      <c r="S5094" s="88">
        <f>-IF(Tabla14[[#This Row],[DIAS HABILES O MORA]]&lt;0,(Tabla14[[#This Row],[VALOR PRESTAMO]]*Tabla14[[#This Row],[% INTERES ]]/30*U5094))</f>
        <v>0</v>
      </c>
      <c r="T5094" s="53" t="e">
        <f>Tabla14[[#This Row],[DEUDA CAPITAL]]+Tabla14[[#This Row],[INTERES  CUOTA]]</f>
        <v>#NUM!</v>
      </c>
      <c r="U5094" s="61" t="str">
        <f t="shared" si="809"/>
        <v/>
      </c>
    </row>
    <row r="5095" spans="9:21" ht="24.75" customHeight="1" x14ac:dyDescent="0.35">
      <c r="I5095" s="42">
        <f t="shared" si="800"/>
        <v>0</v>
      </c>
      <c r="J5095" s="65" t="e">
        <f t="shared" si="801"/>
        <v>#NUM!</v>
      </c>
      <c r="K5095" s="83" t="e">
        <f t="shared" si="802"/>
        <v>#NUM!</v>
      </c>
      <c r="L5095" s="83">
        <f t="shared" si="803"/>
        <v>0</v>
      </c>
      <c r="M5095" s="110" t="str">
        <f t="shared" si="804"/>
        <v/>
      </c>
      <c r="N5095" s="51" t="str">
        <f t="shared" si="805"/>
        <v/>
      </c>
      <c r="O5095" s="52" t="str">
        <f t="shared" si="806"/>
        <v/>
      </c>
      <c r="P5095" s="88">
        <f t="shared" si="807"/>
        <v>0</v>
      </c>
      <c r="Q5095" s="88">
        <f t="shared" si="808"/>
        <v>0</v>
      </c>
      <c r="R5095" s="88" t="e">
        <f>-IF(Tabla14[[#This Row],[DIAS HABILES O MORA]]&lt;0,(Tabla14[[#This Row],[VALOR PRESTAMO]]*Tabla14[[#This Row],[% INTERES ]]/30*U5095))+Tabla14[[#This Row],[VALOR CUOTAS]]</f>
        <v>#VALUE!</v>
      </c>
      <c r="S5095" s="88">
        <f>-IF(Tabla14[[#This Row],[DIAS HABILES O MORA]]&lt;0,(Tabla14[[#This Row],[VALOR PRESTAMO]]*Tabla14[[#This Row],[% INTERES ]]/30*U5095))</f>
        <v>0</v>
      </c>
      <c r="T5095" s="53" t="e">
        <f>Tabla14[[#This Row],[DEUDA CAPITAL]]+Tabla14[[#This Row],[INTERES  CUOTA]]</f>
        <v>#NUM!</v>
      </c>
      <c r="U5095" s="61" t="str">
        <f t="shared" si="809"/>
        <v/>
      </c>
    </row>
    <row r="5096" spans="9:21" ht="24.75" customHeight="1" x14ac:dyDescent="0.35">
      <c r="I5096" s="42">
        <f t="shared" si="800"/>
        <v>0</v>
      </c>
      <c r="J5096" s="65" t="e">
        <f t="shared" si="801"/>
        <v>#NUM!</v>
      </c>
      <c r="K5096" s="83" t="e">
        <f t="shared" si="802"/>
        <v>#NUM!</v>
      </c>
      <c r="L5096" s="83">
        <f t="shared" si="803"/>
        <v>0</v>
      </c>
      <c r="M5096" s="110" t="str">
        <f t="shared" si="804"/>
        <v/>
      </c>
      <c r="N5096" s="51" t="str">
        <f t="shared" si="805"/>
        <v/>
      </c>
      <c r="O5096" s="52" t="str">
        <f t="shared" si="806"/>
        <v/>
      </c>
      <c r="P5096" s="88">
        <f t="shared" si="807"/>
        <v>0</v>
      </c>
      <c r="Q5096" s="88">
        <f t="shared" si="808"/>
        <v>0</v>
      </c>
      <c r="R5096" s="88" t="e">
        <f>-IF(Tabla14[[#This Row],[DIAS HABILES O MORA]]&lt;0,(Tabla14[[#This Row],[VALOR PRESTAMO]]*Tabla14[[#This Row],[% INTERES ]]/30*U5096))+Tabla14[[#This Row],[VALOR CUOTAS]]</f>
        <v>#VALUE!</v>
      </c>
      <c r="S5096" s="88">
        <f>-IF(Tabla14[[#This Row],[DIAS HABILES O MORA]]&lt;0,(Tabla14[[#This Row],[VALOR PRESTAMO]]*Tabla14[[#This Row],[% INTERES ]]/30*U5096))</f>
        <v>0</v>
      </c>
      <c r="T5096" s="53" t="e">
        <f>Tabla14[[#This Row],[DEUDA CAPITAL]]+Tabla14[[#This Row],[INTERES  CUOTA]]</f>
        <v>#NUM!</v>
      </c>
      <c r="U5096" s="61" t="str">
        <f t="shared" si="809"/>
        <v/>
      </c>
    </row>
    <row r="5097" spans="9:21" ht="24.75" customHeight="1" x14ac:dyDescent="0.35">
      <c r="I5097" s="42">
        <f t="shared" si="800"/>
        <v>0</v>
      </c>
      <c r="J5097" s="65" t="e">
        <f t="shared" si="801"/>
        <v>#NUM!</v>
      </c>
      <c r="K5097" s="83" t="e">
        <f t="shared" si="802"/>
        <v>#NUM!</v>
      </c>
      <c r="L5097" s="83">
        <f t="shared" si="803"/>
        <v>0</v>
      </c>
      <c r="M5097" s="110" t="str">
        <f t="shared" si="804"/>
        <v/>
      </c>
      <c r="N5097" s="51" t="str">
        <f t="shared" si="805"/>
        <v/>
      </c>
      <c r="O5097" s="52" t="str">
        <f t="shared" si="806"/>
        <v/>
      </c>
      <c r="P5097" s="88">
        <f t="shared" si="807"/>
        <v>0</v>
      </c>
      <c r="Q5097" s="88">
        <f t="shared" si="808"/>
        <v>0</v>
      </c>
      <c r="R5097" s="88" t="e">
        <f>-IF(Tabla14[[#This Row],[DIAS HABILES O MORA]]&lt;0,(Tabla14[[#This Row],[VALOR PRESTAMO]]*Tabla14[[#This Row],[% INTERES ]]/30*U5097))+Tabla14[[#This Row],[VALOR CUOTAS]]</f>
        <v>#VALUE!</v>
      </c>
      <c r="S5097" s="88">
        <f>-IF(Tabla14[[#This Row],[DIAS HABILES O MORA]]&lt;0,(Tabla14[[#This Row],[VALOR PRESTAMO]]*Tabla14[[#This Row],[% INTERES ]]/30*U5097))</f>
        <v>0</v>
      </c>
      <c r="T5097" s="53" t="e">
        <f>Tabla14[[#This Row],[DEUDA CAPITAL]]+Tabla14[[#This Row],[INTERES  CUOTA]]</f>
        <v>#NUM!</v>
      </c>
      <c r="U5097" s="61" t="str">
        <f t="shared" si="809"/>
        <v/>
      </c>
    </row>
    <row r="5098" spans="9:21" ht="24.75" customHeight="1" x14ac:dyDescent="0.35">
      <c r="I5098" s="42">
        <f t="shared" si="800"/>
        <v>0</v>
      </c>
      <c r="J5098" s="65" t="e">
        <f t="shared" si="801"/>
        <v>#NUM!</v>
      </c>
      <c r="K5098" s="83" t="e">
        <f t="shared" si="802"/>
        <v>#NUM!</v>
      </c>
      <c r="L5098" s="83">
        <f t="shared" si="803"/>
        <v>0</v>
      </c>
      <c r="M5098" s="110" t="str">
        <f t="shared" si="804"/>
        <v/>
      </c>
      <c r="N5098" s="51" t="str">
        <f t="shared" si="805"/>
        <v/>
      </c>
      <c r="O5098" s="52" t="str">
        <f t="shared" si="806"/>
        <v/>
      </c>
      <c r="P5098" s="88">
        <f t="shared" si="807"/>
        <v>0</v>
      </c>
      <c r="Q5098" s="88">
        <f t="shared" si="808"/>
        <v>0</v>
      </c>
      <c r="R5098" s="88" t="e">
        <f>-IF(Tabla14[[#This Row],[DIAS HABILES O MORA]]&lt;0,(Tabla14[[#This Row],[VALOR PRESTAMO]]*Tabla14[[#This Row],[% INTERES ]]/30*U5098))+Tabla14[[#This Row],[VALOR CUOTAS]]</f>
        <v>#VALUE!</v>
      </c>
      <c r="S5098" s="88">
        <f>-IF(Tabla14[[#This Row],[DIAS HABILES O MORA]]&lt;0,(Tabla14[[#This Row],[VALOR PRESTAMO]]*Tabla14[[#This Row],[% INTERES ]]/30*U5098))</f>
        <v>0</v>
      </c>
      <c r="T5098" s="53" t="e">
        <f>Tabla14[[#This Row],[DEUDA CAPITAL]]+Tabla14[[#This Row],[INTERES  CUOTA]]</f>
        <v>#NUM!</v>
      </c>
      <c r="U5098" s="61" t="str">
        <f t="shared" si="809"/>
        <v/>
      </c>
    </row>
    <row r="5099" spans="9:21" ht="24.75" customHeight="1" x14ac:dyDescent="0.35">
      <c r="I5099" s="42">
        <f t="shared" si="800"/>
        <v>0</v>
      </c>
      <c r="J5099" s="65" t="e">
        <f t="shared" si="801"/>
        <v>#NUM!</v>
      </c>
      <c r="K5099" s="83" t="e">
        <f t="shared" si="802"/>
        <v>#NUM!</v>
      </c>
      <c r="L5099" s="83">
        <f t="shared" si="803"/>
        <v>0</v>
      </c>
      <c r="M5099" s="110" t="str">
        <f t="shared" si="804"/>
        <v/>
      </c>
      <c r="N5099" s="51" t="str">
        <f t="shared" si="805"/>
        <v/>
      </c>
      <c r="O5099" s="52" t="str">
        <f t="shared" si="806"/>
        <v/>
      </c>
      <c r="P5099" s="88">
        <f t="shared" si="807"/>
        <v>0</v>
      </c>
      <c r="Q5099" s="88">
        <f t="shared" si="808"/>
        <v>0</v>
      </c>
      <c r="R5099" s="88" t="e">
        <f>-IF(Tabla14[[#This Row],[DIAS HABILES O MORA]]&lt;0,(Tabla14[[#This Row],[VALOR PRESTAMO]]*Tabla14[[#This Row],[% INTERES ]]/30*U5099))+Tabla14[[#This Row],[VALOR CUOTAS]]</f>
        <v>#VALUE!</v>
      </c>
      <c r="S5099" s="88">
        <f>-IF(Tabla14[[#This Row],[DIAS HABILES O MORA]]&lt;0,(Tabla14[[#This Row],[VALOR PRESTAMO]]*Tabla14[[#This Row],[% INTERES ]]/30*U5099))</f>
        <v>0</v>
      </c>
      <c r="T5099" s="53" t="e">
        <f>Tabla14[[#This Row],[DEUDA CAPITAL]]+Tabla14[[#This Row],[INTERES  CUOTA]]</f>
        <v>#NUM!</v>
      </c>
      <c r="U5099" s="61" t="str">
        <f t="shared" si="809"/>
        <v/>
      </c>
    </row>
    <row r="5100" spans="9:21" ht="24.75" customHeight="1" x14ac:dyDescent="0.35">
      <c r="I5100" s="42">
        <f t="shared" si="800"/>
        <v>0</v>
      </c>
      <c r="J5100" s="65" t="e">
        <f t="shared" si="801"/>
        <v>#NUM!</v>
      </c>
      <c r="K5100" s="83" t="e">
        <f t="shared" si="802"/>
        <v>#NUM!</v>
      </c>
      <c r="L5100" s="83">
        <f t="shared" si="803"/>
        <v>0</v>
      </c>
      <c r="M5100" s="110" t="str">
        <f t="shared" si="804"/>
        <v/>
      </c>
      <c r="N5100" s="51" t="str">
        <f t="shared" si="805"/>
        <v/>
      </c>
      <c r="O5100" s="52" t="str">
        <f t="shared" si="806"/>
        <v/>
      </c>
      <c r="P5100" s="88">
        <f t="shared" si="807"/>
        <v>0</v>
      </c>
      <c r="Q5100" s="88">
        <f t="shared" si="808"/>
        <v>0</v>
      </c>
      <c r="R5100" s="88" t="e">
        <f>-IF(Tabla14[[#This Row],[DIAS HABILES O MORA]]&lt;0,(Tabla14[[#This Row],[VALOR PRESTAMO]]*Tabla14[[#This Row],[% INTERES ]]/30*U5100))+Tabla14[[#This Row],[VALOR CUOTAS]]</f>
        <v>#VALUE!</v>
      </c>
      <c r="S5100" s="88">
        <f>-IF(Tabla14[[#This Row],[DIAS HABILES O MORA]]&lt;0,(Tabla14[[#This Row],[VALOR PRESTAMO]]*Tabla14[[#This Row],[% INTERES ]]/30*U5100))</f>
        <v>0</v>
      </c>
      <c r="T5100" s="53" t="e">
        <f>Tabla14[[#This Row],[DEUDA CAPITAL]]+Tabla14[[#This Row],[INTERES  CUOTA]]</f>
        <v>#NUM!</v>
      </c>
      <c r="U5100" s="61" t="str">
        <f t="shared" si="809"/>
        <v/>
      </c>
    </row>
    <row r="5101" spans="9:21" ht="24.75" customHeight="1" x14ac:dyDescent="0.35">
      <c r="I5101" s="42">
        <f t="shared" si="800"/>
        <v>0</v>
      </c>
      <c r="J5101" s="65" t="e">
        <f t="shared" si="801"/>
        <v>#NUM!</v>
      </c>
      <c r="K5101" s="83" t="e">
        <f t="shared" si="802"/>
        <v>#NUM!</v>
      </c>
      <c r="L5101" s="83">
        <f t="shared" si="803"/>
        <v>0</v>
      </c>
      <c r="M5101" s="110" t="str">
        <f t="shared" si="804"/>
        <v/>
      </c>
      <c r="N5101" s="51" t="str">
        <f t="shared" si="805"/>
        <v/>
      </c>
      <c r="O5101" s="52" t="str">
        <f t="shared" si="806"/>
        <v/>
      </c>
      <c r="P5101" s="88">
        <f t="shared" si="807"/>
        <v>0</v>
      </c>
      <c r="Q5101" s="88">
        <f t="shared" si="808"/>
        <v>0</v>
      </c>
      <c r="R5101" s="88" t="e">
        <f>-IF(Tabla14[[#This Row],[DIAS HABILES O MORA]]&lt;0,(Tabla14[[#This Row],[VALOR PRESTAMO]]*Tabla14[[#This Row],[% INTERES ]]/30*U5101))+Tabla14[[#This Row],[VALOR CUOTAS]]</f>
        <v>#VALUE!</v>
      </c>
      <c r="S5101" s="88">
        <f>-IF(Tabla14[[#This Row],[DIAS HABILES O MORA]]&lt;0,(Tabla14[[#This Row],[VALOR PRESTAMO]]*Tabla14[[#This Row],[% INTERES ]]/30*U5101))</f>
        <v>0</v>
      </c>
      <c r="T5101" s="53" t="e">
        <f>Tabla14[[#This Row],[DEUDA CAPITAL]]+Tabla14[[#This Row],[INTERES  CUOTA]]</f>
        <v>#NUM!</v>
      </c>
      <c r="U5101" s="61" t="str">
        <f t="shared" si="809"/>
        <v/>
      </c>
    </row>
    <row r="5102" spans="9:21" ht="24.75" customHeight="1" x14ac:dyDescent="0.35">
      <c r="I5102" s="42">
        <f t="shared" si="800"/>
        <v>0</v>
      </c>
      <c r="J5102" s="65" t="e">
        <f t="shared" si="801"/>
        <v>#NUM!</v>
      </c>
      <c r="K5102" s="83" t="e">
        <f t="shared" si="802"/>
        <v>#NUM!</v>
      </c>
      <c r="L5102" s="83">
        <f t="shared" si="803"/>
        <v>0</v>
      </c>
      <c r="M5102" s="110" t="str">
        <f t="shared" si="804"/>
        <v/>
      </c>
      <c r="N5102" s="51" t="str">
        <f t="shared" si="805"/>
        <v/>
      </c>
      <c r="O5102" s="52" t="str">
        <f t="shared" si="806"/>
        <v/>
      </c>
      <c r="P5102" s="88">
        <f t="shared" si="807"/>
        <v>0</v>
      </c>
      <c r="Q5102" s="88">
        <f t="shared" si="808"/>
        <v>0</v>
      </c>
      <c r="R5102" s="88" t="e">
        <f>-IF(Tabla14[[#This Row],[DIAS HABILES O MORA]]&lt;0,(Tabla14[[#This Row],[VALOR PRESTAMO]]*Tabla14[[#This Row],[% INTERES ]]/30*U5102))+Tabla14[[#This Row],[VALOR CUOTAS]]</f>
        <v>#VALUE!</v>
      </c>
      <c r="S5102" s="88">
        <f>-IF(Tabla14[[#This Row],[DIAS HABILES O MORA]]&lt;0,(Tabla14[[#This Row],[VALOR PRESTAMO]]*Tabla14[[#This Row],[% INTERES ]]/30*U5102))</f>
        <v>0</v>
      </c>
      <c r="T5102" s="53" t="e">
        <f>Tabla14[[#This Row],[DEUDA CAPITAL]]+Tabla14[[#This Row],[INTERES  CUOTA]]</f>
        <v>#NUM!</v>
      </c>
      <c r="U5102" s="61" t="str">
        <f t="shared" si="809"/>
        <v/>
      </c>
    </row>
    <row r="5103" spans="9:21" ht="24.75" customHeight="1" x14ac:dyDescent="0.35">
      <c r="I5103" s="42">
        <f t="shared" si="800"/>
        <v>0</v>
      </c>
      <c r="J5103" s="65" t="e">
        <f t="shared" si="801"/>
        <v>#NUM!</v>
      </c>
      <c r="K5103" s="83" t="e">
        <f t="shared" si="802"/>
        <v>#NUM!</v>
      </c>
      <c r="L5103" s="83">
        <f t="shared" si="803"/>
        <v>0</v>
      </c>
      <c r="M5103" s="110" t="str">
        <f t="shared" si="804"/>
        <v/>
      </c>
      <c r="N5103" s="51" t="str">
        <f t="shared" si="805"/>
        <v/>
      </c>
      <c r="O5103" s="52" t="str">
        <f t="shared" si="806"/>
        <v/>
      </c>
      <c r="P5103" s="88">
        <f t="shared" si="807"/>
        <v>0</v>
      </c>
      <c r="Q5103" s="88">
        <f t="shared" si="808"/>
        <v>0</v>
      </c>
      <c r="R5103" s="88" t="e">
        <f>-IF(Tabla14[[#This Row],[DIAS HABILES O MORA]]&lt;0,(Tabla14[[#This Row],[VALOR PRESTAMO]]*Tabla14[[#This Row],[% INTERES ]]/30*U5103))+Tabla14[[#This Row],[VALOR CUOTAS]]</f>
        <v>#VALUE!</v>
      </c>
      <c r="S5103" s="88">
        <f>-IF(Tabla14[[#This Row],[DIAS HABILES O MORA]]&lt;0,(Tabla14[[#This Row],[VALOR PRESTAMO]]*Tabla14[[#This Row],[% INTERES ]]/30*U5103))</f>
        <v>0</v>
      </c>
      <c r="T5103" s="53" t="e">
        <f>Tabla14[[#This Row],[DEUDA CAPITAL]]+Tabla14[[#This Row],[INTERES  CUOTA]]</f>
        <v>#NUM!</v>
      </c>
      <c r="U5103" s="61" t="str">
        <f t="shared" si="809"/>
        <v/>
      </c>
    </row>
    <row r="5104" spans="9:21" ht="24.75" customHeight="1" x14ac:dyDescent="0.35">
      <c r="I5104" s="42">
        <f t="shared" si="800"/>
        <v>0</v>
      </c>
      <c r="J5104" s="65" t="e">
        <f t="shared" si="801"/>
        <v>#NUM!</v>
      </c>
      <c r="K5104" s="83" t="e">
        <f t="shared" si="802"/>
        <v>#NUM!</v>
      </c>
      <c r="L5104" s="83">
        <f t="shared" si="803"/>
        <v>0</v>
      </c>
      <c r="M5104" s="110" t="str">
        <f t="shared" si="804"/>
        <v/>
      </c>
      <c r="N5104" s="51" t="str">
        <f t="shared" si="805"/>
        <v/>
      </c>
      <c r="O5104" s="52" t="str">
        <f t="shared" si="806"/>
        <v/>
      </c>
      <c r="P5104" s="88">
        <f t="shared" si="807"/>
        <v>0</v>
      </c>
      <c r="Q5104" s="88">
        <f t="shared" si="808"/>
        <v>0</v>
      </c>
      <c r="R5104" s="88" t="e">
        <f>-IF(Tabla14[[#This Row],[DIAS HABILES O MORA]]&lt;0,(Tabla14[[#This Row],[VALOR PRESTAMO]]*Tabla14[[#This Row],[% INTERES ]]/30*U5104))+Tabla14[[#This Row],[VALOR CUOTAS]]</f>
        <v>#VALUE!</v>
      </c>
      <c r="S5104" s="88">
        <f>-IF(Tabla14[[#This Row],[DIAS HABILES O MORA]]&lt;0,(Tabla14[[#This Row],[VALOR PRESTAMO]]*Tabla14[[#This Row],[% INTERES ]]/30*U5104))</f>
        <v>0</v>
      </c>
      <c r="T5104" s="53" t="e">
        <f>Tabla14[[#This Row],[DEUDA CAPITAL]]+Tabla14[[#This Row],[INTERES  CUOTA]]</f>
        <v>#NUM!</v>
      </c>
      <c r="U5104" s="61" t="str">
        <f t="shared" si="809"/>
        <v/>
      </c>
    </row>
    <row r="5105" spans="9:21" ht="24.75" customHeight="1" x14ac:dyDescent="0.35">
      <c r="I5105" s="42">
        <f t="shared" si="800"/>
        <v>0</v>
      </c>
      <c r="J5105" s="65" t="e">
        <f t="shared" si="801"/>
        <v>#NUM!</v>
      </c>
      <c r="K5105" s="83" t="e">
        <f t="shared" si="802"/>
        <v>#NUM!</v>
      </c>
      <c r="L5105" s="83">
        <f t="shared" si="803"/>
        <v>0</v>
      </c>
      <c r="M5105" s="110" t="str">
        <f t="shared" si="804"/>
        <v/>
      </c>
      <c r="N5105" s="51" t="str">
        <f t="shared" si="805"/>
        <v/>
      </c>
      <c r="O5105" s="52" t="str">
        <f t="shared" si="806"/>
        <v/>
      </c>
      <c r="P5105" s="88">
        <f t="shared" si="807"/>
        <v>0</v>
      </c>
      <c r="Q5105" s="88">
        <f t="shared" si="808"/>
        <v>0</v>
      </c>
      <c r="R5105" s="88" t="e">
        <f>-IF(Tabla14[[#This Row],[DIAS HABILES O MORA]]&lt;0,(Tabla14[[#This Row],[VALOR PRESTAMO]]*Tabla14[[#This Row],[% INTERES ]]/30*U5105))+Tabla14[[#This Row],[VALOR CUOTAS]]</f>
        <v>#VALUE!</v>
      </c>
      <c r="S5105" s="88">
        <f>-IF(Tabla14[[#This Row],[DIAS HABILES O MORA]]&lt;0,(Tabla14[[#This Row],[VALOR PRESTAMO]]*Tabla14[[#This Row],[% INTERES ]]/30*U5105))</f>
        <v>0</v>
      </c>
      <c r="T5105" s="53" t="e">
        <f>Tabla14[[#This Row],[DEUDA CAPITAL]]+Tabla14[[#This Row],[INTERES  CUOTA]]</f>
        <v>#NUM!</v>
      </c>
      <c r="U5105" s="61" t="str">
        <f t="shared" si="809"/>
        <v/>
      </c>
    </row>
    <row r="5106" spans="9:21" ht="24.75" customHeight="1" x14ac:dyDescent="0.35">
      <c r="I5106" s="42">
        <f t="shared" si="800"/>
        <v>0</v>
      </c>
      <c r="J5106" s="65" t="e">
        <f t="shared" si="801"/>
        <v>#NUM!</v>
      </c>
      <c r="K5106" s="83" t="e">
        <f t="shared" si="802"/>
        <v>#NUM!</v>
      </c>
      <c r="L5106" s="83">
        <f t="shared" si="803"/>
        <v>0</v>
      </c>
      <c r="M5106" s="110" t="str">
        <f t="shared" si="804"/>
        <v/>
      </c>
      <c r="N5106" s="51" t="str">
        <f t="shared" si="805"/>
        <v/>
      </c>
      <c r="O5106" s="52" t="str">
        <f t="shared" si="806"/>
        <v/>
      </c>
      <c r="P5106" s="88">
        <f t="shared" si="807"/>
        <v>0</v>
      </c>
      <c r="Q5106" s="88">
        <f t="shared" si="808"/>
        <v>0</v>
      </c>
      <c r="R5106" s="88" t="e">
        <f>-IF(Tabla14[[#This Row],[DIAS HABILES O MORA]]&lt;0,(Tabla14[[#This Row],[VALOR PRESTAMO]]*Tabla14[[#This Row],[% INTERES ]]/30*U5106))+Tabla14[[#This Row],[VALOR CUOTAS]]</f>
        <v>#VALUE!</v>
      </c>
      <c r="S5106" s="88">
        <f>-IF(Tabla14[[#This Row],[DIAS HABILES O MORA]]&lt;0,(Tabla14[[#This Row],[VALOR PRESTAMO]]*Tabla14[[#This Row],[% INTERES ]]/30*U5106))</f>
        <v>0</v>
      </c>
      <c r="T5106" s="53" t="e">
        <f>Tabla14[[#This Row],[DEUDA CAPITAL]]+Tabla14[[#This Row],[INTERES  CUOTA]]</f>
        <v>#NUM!</v>
      </c>
      <c r="U5106" s="61" t="str">
        <f t="shared" si="809"/>
        <v/>
      </c>
    </row>
    <row r="5107" spans="9:21" ht="24.75" customHeight="1" x14ac:dyDescent="0.35">
      <c r="I5107" s="42">
        <f t="shared" si="800"/>
        <v>0</v>
      </c>
      <c r="J5107" s="65" t="e">
        <f t="shared" si="801"/>
        <v>#NUM!</v>
      </c>
      <c r="K5107" s="83" t="e">
        <f t="shared" si="802"/>
        <v>#NUM!</v>
      </c>
      <c r="L5107" s="83">
        <f t="shared" si="803"/>
        <v>0</v>
      </c>
      <c r="M5107" s="110" t="str">
        <f t="shared" si="804"/>
        <v/>
      </c>
      <c r="N5107" s="51" t="str">
        <f t="shared" si="805"/>
        <v/>
      </c>
      <c r="O5107" s="52" t="str">
        <f t="shared" si="806"/>
        <v/>
      </c>
      <c r="P5107" s="88">
        <f t="shared" si="807"/>
        <v>0</v>
      </c>
      <c r="Q5107" s="88">
        <f t="shared" si="808"/>
        <v>0</v>
      </c>
      <c r="R5107" s="88" t="e">
        <f>-IF(Tabla14[[#This Row],[DIAS HABILES O MORA]]&lt;0,(Tabla14[[#This Row],[VALOR PRESTAMO]]*Tabla14[[#This Row],[% INTERES ]]/30*U5107))+Tabla14[[#This Row],[VALOR CUOTAS]]</f>
        <v>#VALUE!</v>
      </c>
      <c r="S5107" s="88">
        <f>-IF(Tabla14[[#This Row],[DIAS HABILES O MORA]]&lt;0,(Tabla14[[#This Row],[VALOR PRESTAMO]]*Tabla14[[#This Row],[% INTERES ]]/30*U5107))</f>
        <v>0</v>
      </c>
      <c r="T5107" s="53" t="e">
        <f>Tabla14[[#This Row],[DEUDA CAPITAL]]+Tabla14[[#This Row],[INTERES  CUOTA]]</f>
        <v>#NUM!</v>
      </c>
      <c r="U5107" s="61" t="str">
        <f t="shared" si="809"/>
        <v/>
      </c>
    </row>
    <row r="5108" spans="9:21" ht="24.75" customHeight="1" x14ac:dyDescent="0.35">
      <c r="I5108" s="42">
        <f t="shared" si="800"/>
        <v>0</v>
      </c>
      <c r="J5108" s="65" t="e">
        <f t="shared" si="801"/>
        <v>#NUM!</v>
      </c>
      <c r="K5108" s="83" t="e">
        <f t="shared" si="802"/>
        <v>#NUM!</v>
      </c>
      <c r="L5108" s="83">
        <f t="shared" si="803"/>
        <v>0</v>
      </c>
      <c r="M5108" s="110" t="str">
        <f t="shared" si="804"/>
        <v/>
      </c>
      <c r="N5108" s="51" t="str">
        <f t="shared" si="805"/>
        <v/>
      </c>
      <c r="O5108" s="52" t="str">
        <f t="shared" si="806"/>
        <v/>
      </c>
      <c r="P5108" s="88">
        <f t="shared" si="807"/>
        <v>0</v>
      </c>
      <c r="Q5108" s="88">
        <f t="shared" si="808"/>
        <v>0</v>
      </c>
      <c r="R5108" s="88" t="e">
        <f>-IF(Tabla14[[#This Row],[DIAS HABILES O MORA]]&lt;0,(Tabla14[[#This Row],[VALOR PRESTAMO]]*Tabla14[[#This Row],[% INTERES ]]/30*U5108))+Tabla14[[#This Row],[VALOR CUOTAS]]</f>
        <v>#VALUE!</v>
      </c>
      <c r="S5108" s="88">
        <f>-IF(Tabla14[[#This Row],[DIAS HABILES O MORA]]&lt;0,(Tabla14[[#This Row],[VALOR PRESTAMO]]*Tabla14[[#This Row],[% INTERES ]]/30*U5108))</f>
        <v>0</v>
      </c>
      <c r="T5108" s="53" t="e">
        <f>Tabla14[[#This Row],[DEUDA CAPITAL]]+Tabla14[[#This Row],[INTERES  CUOTA]]</f>
        <v>#NUM!</v>
      </c>
      <c r="U5108" s="61" t="str">
        <f t="shared" si="809"/>
        <v/>
      </c>
    </row>
    <row r="5109" spans="9:21" ht="24.75" customHeight="1" x14ac:dyDescent="0.35">
      <c r="I5109" s="42">
        <f t="shared" si="800"/>
        <v>0</v>
      </c>
      <c r="J5109" s="65" t="e">
        <f t="shared" si="801"/>
        <v>#NUM!</v>
      </c>
      <c r="K5109" s="83" t="e">
        <f t="shared" si="802"/>
        <v>#NUM!</v>
      </c>
      <c r="L5109" s="83">
        <f t="shared" si="803"/>
        <v>0</v>
      </c>
      <c r="M5109" s="110" t="str">
        <f t="shared" si="804"/>
        <v/>
      </c>
      <c r="N5109" s="51" t="str">
        <f t="shared" si="805"/>
        <v/>
      </c>
      <c r="O5109" s="52" t="str">
        <f t="shared" si="806"/>
        <v/>
      </c>
      <c r="P5109" s="88">
        <f t="shared" si="807"/>
        <v>0</v>
      </c>
      <c r="Q5109" s="88">
        <f t="shared" si="808"/>
        <v>0</v>
      </c>
      <c r="R5109" s="88" t="e">
        <f>-IF(Tabla14[[#This Row],[DIAS HABILES O MORA]]&lt;0,(Tabla14[[#This Row],[VALOR PRESTAMO]]*Tabla14[[#This Row],[% INTERES ]]/30*U5109))+Tabla14[[#This Row],[VALOR CUOTAS]]</f>
        <v>#VALUE!</v>
      </c>
      <c r="S5109" s="88">
        <f>-IF(Tabla14[[#This Row],[DIAS HABILES O MORA]]&lt;0,(Tabla14[[#This Row],[VALOR PRESTAMO]]*Tabla14[[#This Row],[% INTERES ]]/30*U5109))</f>
        <v>0</v>
      </c>
      <c r="T5109" s="53" t="e">
        <f>Tabla14[[#This Row],[DEUDA CAPITAL]]+Tabla14[[#This Row],[INTERES  CUOTA]]</f>
        <v>#NUM!</v>
      </c>
      <c r="U5109" s="61" t="str">
        <f t="shared" si="809"/>
        <v/>
      </c>
    </row>
    <row r="5110" spans="9:21" ht="24.75" customHeight="1" x14ac:dyDescent="0.35">
      <c r="I5110" s="42">
        <f t="shared" si="800"/>
        <v>0</v>
      </c>
      <c r="J5110" s="65" t="e">
        <f t="shared" si="801"/>
        <v>#NUM!</v>
      </c>
      <c r="K5110" s="83" t="e">
        <f t="shared" si="802"/>
        <v>#NUM!</v>
      </c>
      <c r="L5110" s="83">
        <f t="shared" si="803"/>
        <v>0</v>
      </c>
      <c r="M5110" s="110" t="str">
        <f t="shared" si="804"/>
        <v/>
      </c>
      <c r="N5110" s="51" t="str">
        <f t="shared" si="805"/>
        <v/>
      </c>
      <c r="O5110" s="52" t="str">
        <f t="shared" si="806"/>
        <v/>
      </c>
      <c r="P5110" s="88">
        <f t="shared" si="807"/>
        <v>0</v>
      </c>
      <c r="Q5110" s="88">
        <f t="shared" si="808"/>
        <v>0</v>
      </c>
      <c r="R5110" s="88" t="e">
        <f>-IF(Tabla14[[#This Row],[DIAS HABILES O MORA]]&lt;0,(Tabla14[[#This Row],[VALOR PRESTAMO]]*Tabla14[[#This Row],[% INTERES ]]/30*U5110))+Tabla14[[#This Row],[VALOR CUOTAS]]</f>
        <v>#VALUE!</v>
      </c>
      <c r="S5110" s="88">
        <f>-IF(Tabla14[[#This Row],[DIAS HABILES O MORA]]&lt;0,(Tabla14[[#This Row],[VALOR PRESTAMO]]*Tabla14[[#This Row],[% INTERES ]]/30*U5110))</f>
        <v>0</v>
      </c>
      <c r="T5110" s="53" t="e">
        <f>Tabla14[[#This Row],[DEUDA CAPITAL]]+Tabla14[[#This Row],[INTERES  CUOTA]]</f>
        <v>#NUM!</v>
      </c>
      <c r="U5110" s="61" t="str">
        <f t="shared" si="809"/>
        <v/>
      </c>
    </row>
    <row r="5111" spans="9:21" ht="24.75" customHeight="1" x14ac:dyDescent="0.35">
      <c r="I5111" s="42">
        <f t="shared" si="800"/>
        <v>0</v>
      </c>
      <c r="J5111" s="65" t="e">
        <f t="shared" si="801"/>
        <v>#NUM!</v>
      </c>
      <c r="K5111" s="83" t="e">
        <f t="shared" si="802"/>
        <v>#NUM!</v>
      </c>
      <c r="L5111" s="83">
        <f t="shared" si="803"/>
        <v>0</v>
      </c>
      <c r="M5111" s="110" t="str">
        <f t="shared" si="804"/>
        <v/>
      </c>
      <c r="N5111" s="51" t="str">
        <f t="shared" si="805"/>
        <v/>
      </c>
      <c r="O5111" s="52" t="str">
        <f t="shared" si="806"/>
        <v/>
      </c>
      <c r="P5111" s="88">
        <f t="shared" si="807"/>
        <v>0</v>
      </c>
      <c r="Q5111" s="88">
        <f t="shared" si="808"/>
        <v>0</v>
      </c>
      <c r="R5111" s="88" t="e">
        <f>-IF(Tabla14[[#This Row],[DIAS HABILES O MORA]]&lt;0,(Tabla14[[#This Row],[VALOR PRESTAMO]]*Tabla14[[#This Row],[% INTERES ]]/30*U5111))+Tabla14[[#This Row],[VALOR CUOTAS]]</f>
        <v>#VALUE!</v>
      </c>
      <c r="S5111" s="88">
        <f>-IF(Tabla14[[#This Row],[DIAS HABILES O MORA]]&lt;0,(Tabla14[[#This Row],[VALOR PRESTAMO]]*Tabla14[[#This Row],[% INTERES ]]/30*U5111))</f>
        <v>0</v>
      </c>
      <c r="T5111" s="53" t="e">
        <f>Tabla14[[#This Row],[DEUDA CAPITAL]]+Tabla14[[#This Row],[INTERES  CUOTA]]</f>
        <v>#NUM!</v>
      </c>
      <c r="U5111" s="61" t="str">
        <f t="shared" si="809"/>
        <v/>
      </c>
    </row>
    <row r="5112" spans="9:21" ht="24.75" customHeight="1" x14ac:dyDescent="0.35">
      <c r="I5112" s="42">
        <f t="shared" si="800"/>
        <v>0</v>
      </c>
      <c r="J5112" s="65" t="e">
        <f t="shared" si="801"/>
        <v>#NUM!</v>
      </c>
      <c r="K5112" s="83" t="e">
        <f t="shared" si="802"/>
        <v>#NUM!</v>
      </c>
      <c r="L5112" s="83">
        <f t="shared" si="803"/>
        <v>0</v>
      </c>
      <c r="M5112" s="110" t="str">
        <f t="shared" si="804"/>
        <v/>
      </c>
      <c r="N5112" s="51" t="str">
        <f t="shared" si="805"/>
        <v/>
      </c>
      <c r="O5112" s="52" t="str">
        <f t="shared" si="806"/>
        <v/>
      </c>
      <c r="P5112" s="88">
        <f t="shared" si="807"/>
        <v>0</v>
      </c>
      <c r="Q5112" s="88">
        <f t="shared" si="808"/>
        <v>0</v>
      </c>
      <c r="R5112" s="88" t="e">
        <f>-IF(Tabla14[[#This Row],[DIAS HABILES O MORA]]&lt;0,(Tabla14[[#This Row],[VALOR PRESTAMO]]*Tabla14[[#This Row],[% INTERES ]]/30*U5112))+Tabla14[[#This Row],[VALOR CUOTAS]]</f>
        <v>#VALUE!</v>
      </c>
      <c r="S5112" s="88">
        <f>-IF(Tabla14[[#This Row],[DIAS HABILES O MORA]]&lt;0,(Tabla14[[#This Row],[VALOR PRESTAMO]]*Tabla14[[#This Row],[% INTERES ]]/30*U5112))</f>
        <v>0</v>
      </c>
      <c r="T5112" s="53" t="e">
        <f>Tabla14[[#This Row],[DEUDA CAPITAL]]+Tabla14[[#This Row],[INTERES  CUOTA]]</f>
        <v>#NUM!</v>
      </c>
      <c r="U5112" s="61" t="str">
        <f t="shared" si="809"/>
        <v/>
      </c>
    </row>
    <row r="5113" spans="9:21" ht="24.75" customHeight="1" x14ac:dyDescent="0.35">
      <c r="I5113" s="42">
        <f t="shared" si="800"/>
        <v>0</v>
      </c>
      <c r="J5113" s="65" t="e">
        <f t="shared" si="801"/>
        <v>#NUM!</v>
      </c>
      <c r="K5113" s="83" t="e">
        <f t="shared" si="802"/>
        <v>#NUM!</v>
      </c>
      <c r="L5113" s="83">
        <f t="shared" si="803"/>
        <v>0</v>
      </c>
      <c r="M5113" s="110" t="str">
        <f t="shared" si="804"/>
        <v/>
      </c>
      <c r="N5113" s="51" t="str">
        <f t="shared" si="805"/>
        <v/>
      </c>
      <c r="O5113" s="52" t="str">
        <f t="shared" si="806"/>
        <v/>
      </c>
      <c r="P5113" s="88">
        <f t="shared" si="807"/>
        <v>0</v>
      </c>
      <c r="Q5113" s="88">
        <f t="shared" si="808"/>
        <v>0</v>
      </c>
      <c r="R5113" s="88" t="e">
        <f>-IF(Tabla14[[#This Row],[DIAS HABILES O MORA]]&lt;0,(Tabla14[[#This Row],[VALOR PRESTAMO]]*Tabla14[[#This Row],[% INTERES ]]/30*U5113))+Tabla14[[#This Row],[VALOR CUOTAS]]</f>
        <v>#VALUE!</v>
      </c>
      <c r="S5113" s="88">
        <f>-IF(Tabla14[[#This Row],[DIAS HABILES O MORA]]&lt;0,(Tabla14[[#This Row],[VALOR PRESTAMO]]*Tabla14[[#This Row],[% INTERES ]]/30*U5113))</f>
        <v>0</v>
      </c>
      <c r="T5113" s="53" t="e">
        <f>Tabla14[[#This Row],[DEUDA CAPITAL]]+Tabla14[[#This Row],[INTERES  CUOTA]]</f>
        <v>#NUM!</v>
      </c>
      <c r="U5113" s="61" t="str">
        <f t="shared" si="809"/>
        <v/>
      </c>
    </row>
    <row r="5114" spans="9:21" ht="24.75" customHeight="1" x14ac:dyDescent="0.35">
      <c r="I5114" s="42">
        <f t="shared" si="800"/>
        <v>0</v>
      </c>
      <c r="J5114" s="65" t="e">
        <f t="shared" si="801"/>
        <v>#NUM!</v>
      </c>
      <c r="K5114" s="83" t="e">
        <f t="shared" si="802"/>
        <v>#NUM!</v>
      </c>
      <c r="L5114" s="83">
        <f t="shared" si="803"/>
        <v>0</v>
      </c>
      <c r="M5114" s="110" t="str">
        <f t="shared" si="804"/>
        <v/>
      </c>
      <c r="N5114" s="51" t="str">
        <f t="shared" si="805"/>
        <v/>
      </c>
      <c r="O5114" s="52" t="str">
        <f t="shared" si="806"/>
        <v/>
      </c>
      <c r="P5114" s="88">
        <f t="shared" si="807"/>
        <v>0</v>
      </c>
      <c r="Q5114" s="88">
        <f t="shared" si="808"/>
        <v>0</v>
      </c>
      <c r="R5114" s="88" t="e">
        <f>-IF(Tabla14[[#This Row],[DIAS HABILES O MORA]]&lt;0,(Tabla14[[#This Row],[VALOR PRESTAMO]]*Tabla14[[#This Row],[% INTERES ]]/30*U5114))+Tabla14[[#This Row],[VALOR CUOTAS]]</f>
        <v>#VALUE!</v>
      </c>
      <c r="S5114" s="88">
        <f>-IF(Tabla14[[#This Row],[DIAS HABILES O MORA]]&lt;0,(Tabla14[[#This Row],[VALOR PRESTAMO]]*Tabla14[[#This Row],[% INTERES ]]/30*U5114))</f>
        <v>0</v>
      </c>
      <c r="T5114" s="53" t="e">
        <f>Tabla14[[#This Row],[DEUDA CAPITAL]]+Tabla14[[#This Row],[INTERES  CUOTA]]</f>
        <v>#NUM!</v>
      </c>
      <c r="U5114" s="61" t="str">
        <f t="shared" si="809"/>
        <v/>
      </c>
    </row>
    <row r="5115" spans="9:21" ht="24.75" customHeight="1" x14ac:dyDescent="0.35">
      <c r="I5115" s="42">
        <f t="shared" si="800"/>
        <v>0</v>
      </c>
      <c r="J5115" s="65" t="e">
        <f t="shared" si="801"/>
        <v>#NUM!</v>
      </c>
      <c r="K5115" s="83" t="e">
        <f t="shared" si="802"/>
        <v>#NUM!</v>
      </c>
      <c r="L5115" s="83">
        <f t="shared" si="803"/>
        <v>0</v>
      </c>
      <c r="M5115" s="110" t="str">
        <f t="shared" si="804"/>
        <v/>
      </c>
      <c r="N5115" s="51" t="str">
        <f t="shared" si="805"/>
        <v/>
      </c>
      <c r="O5115" s="52" t="str">
        <f t="shared" si="806"/>
        <v/>
      </c>
      <c r="P5115" s="88">
        <f t="shared" si="807"/>
        <v>0</v>
      </c>
      <c r="Q5115" s="88">
        <f t="shared" si="808"/>
        <v>0</v>
      </c>
      <c r="R5115" s="88" t="e">
        <f>-IF(Tabla14[[#This Row],[DIAS HABILES O MORA]]&lt;0,(Tabla14[[#This Row],[VALOR PRESTAMO]]*Tabla14[[#This Row],[% INTERES ]]/30*U5115))+Tabla14[[#This Row],[VALOR CUOTAS]]</f>
        <v>#VALUE!</v>
      </c>
      <c r="S5115" s="88">
        <f>-IF(Tabla14[[#This Row],[DIAS HABILES O MORA]]&lt;0,(Tabla14[[#This Row],[VALOR PRESTAMO]]*Tabla14[[#This Row],[% INTERES ]]/30*U5115))</f>
        <v>0</v>
      </c>
      <c r="T5115" s="53" t="e">
        <f>Tabla14[[#This Row],[DEUDA CAPITAL]]+Tabla14[[#This Row],[INTERES  CUOTA]]</f>
        <v>#NUM!</v>
      </c>
      <c r="U5115" s="61" t="str">
        <f t="shared" si="809"/>
        <v/>
      </c>
    </row>
    <row r="5116" spans="9:21" ht="24.75" customHeight="1" x14ac:dyDescent="0.35">
      <c r="I5116" s="42">
        <f t="shared" si="800"/>
        <v>0</v>
      </c>
      <c r="J5116" s="65" t="e">
        <f t="shared" si="801"/>
        <v>#NUM!</v>
      </c>
      <c r="K5116" s="83" t="e">
        <f t="shared" si="802"/>
        <v>#NUM!</v>
      </c>
      <c r="L5116" s="83">
        <f t="shared" si="803"/>
        <v>0</v>
      </c>
      <c r="M5116" s="110" t="str">
        <f t="shared" si="804"/>
        <v/>
      </c>
      <c r="N5116" s="51" t="str">
        <f t="shared" si="805"/>
        <v/>
      </c>
      <c r="O5116" s="52" t="str">
        <f t="shared" si="806"/>
        <v/>
      </c>
      <c r="P5116" s="88">
        <f t="shared" si="807"/>
        <v>0</v>
      </c>
      <c r="Q5116" s="88">
        <f t="shared" si="808"/>
        <v>0</v>
      </c>
      <c r="R5116" s="88" t="e">
        <f>-IF(Tabla14[[#This Row],[DIAS HABILES O MORA]]&lt;0,(Tabla14[[#This Row],[VALOR PRESTAMO]]*Tabla14[[#This Row],[% INTERES ]]/30*U5116))+Tabla14[[#This Row],[VALOR CUOTAS]]</f>
        <v>#VALUE!</v>
      </c>
      <c r="S5116" s="88">
        <f>-IF(Tabla14[[#This Row],[DIAS HABILES O MORA]]&lt;0,(Tabla14[[#This Row],[VALOR PRESTAMO]]*Tabla14[[#This Row],[% INTERES ]]/30*U5116))</f>
        <v>0</v>
      </c>
      <c r="T5116" s="53" t="e">
        <f>Tabla14[[#This Row],[DEUDA CAPITAL]]+Tabla14[[#This Row],[INTERES  CUOTA]]</f>
        <v>#NUM!</v>
      </c>
      <c r="U5116" s="61" t="str">
        <f t="shared" si="809"/>
        <v/>
      </c>
    </row>
    <row r="5117" spans="9:21" ht="24.75" customHeight="1" x14ac:dyDescent="0.35">
      <c r="I5117" s="42">
        <f t="shared" si="800"/>
        <v>0</v>
      </c>
      <c r="J5117" s="65" t="e">
        <f t="shared" si="801"/>
        <v>#NUM!</v>
      </c>
      <c r="K5117" s="83" t="e">
        <f t="shared" si="802"/>
        <v>#NUM!</v>
      </c>
      <c r="L5117" s="83">
        <f t="shared" si="803"/>
        <v>0</v>
      </c>
      <c r="M5117" s="110" t="str">
        <f t="shared" si="804"/>
        <v/>
      </c>
      <c r="N5117" s="51" t="str">
        <f t="shared" si="805"/>
        <v/>
      </c>
      <c r="O5117" s="52" t="str">
        <f t="shared" si="806"/>
        <v/>
      </c>
      <c r="P5117" s="88">
        <f t="shared" si="807"/>
        <v>0</v>
      </c>
      <c r="Q5117" s="88">
        <f t="shared" si="808"/>
        <v>0</v>
      </c>
      <c r="R5117" s="88" t="e">
        <f>-IF(Tabla14[[#This Row],[DIAS HABILES O MORA]]&lt;0,(Tabla14[[#This Row],[VALOR PRESTAMO]]*Tabla14[[#This Row],[% INTERES ]]/30*U5117))+Tabla14[[#This Row],[VALOR CUOTAS]]</f>
        <v>#VALUE!</v>
      </c>
      <c r="S5117" s="88">
        <f>-IF(Tabla14[[#This Row],[DIAS HABILES O MORA]]&lt;0,(Tabla14[[#This Row],[VALOR PRESTAMO]]*Tabla14[[#This Row],[% INTERES ]]/30*U5117))</f>
        <v>0</v>
      </c>
      <c r="T5117" s="53" t="e">
        <f>Tabla14[[#This Row],[DEUDA CAPITAL]]+Tabla14[[#This Row],[INTERES  CUOTA]]</f>
        <v>#NUM!</v>
      </c>
      <c r="U5117" s="61" t="str">
        <f t="shared" si="809"/>
        <v/>
      </c>
    </row>
    <row r="5118" spans="9:21" ht="24.75" customHeight="1" x14ac:dyDescent="0.35">
      <c r="I5118" s="42">
        <f t="shared" si="800"/>
        <v>0</v>
      </c>
      <c r="J5118" s="65" t="e">
        <f t="shared" si="801"/>
        <v>#NUM!</v>
      </c>
      <c r="K5118" s="83" t="e">
        <f t="shared" si="802"/>
        <v>#NUM!</v>
      </c>
      <c r="L5118" s="83">
        <f t="shared" si="803"/>
        <v>0</v>
      </c>
      <c r="M5118" s="110" t="str">
        <f t="shared" si="804"/>
        <v/>
      </c>
      <c r="N5118" s="51" t="str">
        <f t="shared" si="805"/>
        <v/>
      </c>
      <c r="O5118" s="52" t="str">
        <f t="shared" si="806"/>
        <v/>
      </c>
      <c r="P5118" s="88">
        <f t="shared" si="807"/>
        <v>0</v>
      </c>
      <c r="Q5118" s="88">
        <f t="shared" si="808"/>
        <v>0</v>
      </c>
      <c r="R5118" s="88" t="e">
        <f>-IF(Tabla14[[#This Row],[DIAS HABILES O MORA]]&lt;0,(Tabla14[[#This Row],[VALOR PRESTAMO]]*Tabla14[[#This Row],[% INTERES ]]/30*U5118))+Tabla14[[#This Row],[VALOR CUOTAS]]</f>
        <v>#VALUE!</v>
      </c>
      <c r="S5118" s="88">
        <f>-IF(Tabla14[[#This Row],[DIAS HABILES O MORA]]&lt;0,(Tabla14[[#This Row],[VALOR PRESTAMO]]*Tabla14[[#This Row],[% INTERES ]]/30*U5118))</f>
        <v>0</v>
      </c>
      <c r="T5118" s="53" t="e">
        <f>Tabla14[[#This Row],[DEUDA CAPITAL]]+Tabla14[[#This Row],[INTERES  CUOTA]]</f>
        <v>#NUM!</v>
      </c>
      <c r="U5118" s="61" t="str">
        <f t="shared" si="809"/>
        <v/>
      </c>
    </row>
    <row r="5119" spans="9:21" ht="24.75" customHeight="1" x14ac:dyDescent="0.35">
      <c r="I5119" s="42">
        <f t="shared" si="800"/>
        <v>0</v>
      </c>
      <c r="J5119" s="65" t="e">
        <f t="shared" si="801"/>
        <v>#NUM!</v>
      </c>
      <c r="K5119" s="83" t="e">
        <f t="shared" si="802"/>
        <v>#NUM!</v>
      </c>
      <c r="L5119" s="83">
        <f t="shared" si="803"/>
        <v>0</v>
      </c>
      <c r="M5119" s="110" t="str">
        <f t="shared" si="804"/>
        <v/>
      </c>
      <c r="N5119" s="51" t="str">
        <f t="shared" si="805"/>
        <v/>
      </c>
      <c r="O5119" s="52" t="str">
        <f t="shared" si="806"/>
        <v/>
      </c>
      <c r="P5119" s="88">
        <f t="shared" si="807"/>
        <v>0</v>
      </c>
      <c r="Q5119" s="88">
        <f t="shared" si="808"/>
        <v>0</v>
      </c>
      <c r="R5119" s="88" t="e">
        <f>-IF(Tabla14[[#This Row],[DIAS HABILES O MORA]]&lt;0,(Tabla14[[#This Row],[VALOR PRESTAMO]]*Tabla14[[#This Row],[% INTERES ]]/30*U5119))+Tabla14[[#This Row],[VALOR CUOTAS]]</f>
        <v>#VALUE!</v>
      </c>
      <c r="S5119" s="88">
        <f>-IF(Tabla14[[#This Row],[DIAS HABILES O MORA]]&lt;0,(Tabla14[[#This Row],[VALOR PRESTAMO]]*Tabla14[[#This Row],[% INTERES ]]/30*U5119))</f>
        <v>0</v>
      </c>
      <c r="T5119" s="53" t="e">
        <f>Tabla14[[#This Row],[DEUDA CAPITAL]]+Tabla14[[#This Row],[INTERES  CUOTA]]</f>
        <v>#NUM!</v>
      </c>
      <c r="U5119" s="61" t="str">
        <f t="shared" si="809"/>
        <v/>
      </c>
    </row>
    <row r="5120" spans="9:21" ht="24.75" customHeight="1" x14ac:dyDescent="0.35">
      <c r="I5120" s="42">
        <f t="shared" si="800"/>
        <v>0</v>
      </c>
      <c r="J5120" s="65" t="e">
        <f t="shared" si="801"/>
        <v>#NUM!</v>
      </c>
      <c r="K5120" s="83" t="e">
        <f t="shared" si="802"/>
        <v>#NUM!</v>
      </c>
      <c r="L5120" s="83">
        <f t="shared" si="803"/>
        <v>0</v>
      </c>
      <c r="M5120" s="110" t="str">
        <f t="shared" si="804"/>
        <v/>
      </c>
      <c r="N5120" s="51" t="str">
        <f t="shared" si="805"/>
        <v/>
      </c>
      <c r="O5120" s="52" t="str">
        <f t="shared" si="806"/>
        <v/>
      </c>
      <c r="P5120" s="88">
        <f t="shared" si="807"/>
        <v>0</v>
      </c>
      <c r="Q5120" s="88">
        <f t="shared" si="808"/>
        <v>0</v>
      </c>
      <c r="R5120" s="88" t="e">
        <f>-IF(Tabla14[[#This Row],[DIAS HABILES O MORA]]&lt;0,(Tabla14[[#This Row],[VALOR PRESTAMO]]*Tabla14[[#This Row],[% INTERES ]]/30*U5120))+Tabla14[[#This Row],[VALOR CUOTAS]]</f>
        <v>#VALUE!</v>
      </c>
      <c r="S5120" s="88">
        <f>-IF(Tabla14[[#This Row],[DIAS HABILES O MORA]]&lt;0,(Tabla14[[#This Row],[VALOR PRESTAMO]]*Tabla14[[#This Row],[% INTERES ]]/30*U5120))</f>
        <v>0</v>
      </c>
      <c r="T5120" s="53" t="e">
        <f>Tabla14[[#This Row],[DEUDA CAPITAL]]+Tabla14[[#This Row],[INTERES  CUOTA]]</f>
        <v>#NUM!</v>
      </c>
      <c r="U5120" s="61" t="str">
        <f t="shared" si="809"/>
        <v/>
      </c>
    </row>
    <row r="5121" spans="9:21" ht="24.75" customHeight="1" x14ac:dyDescent="0.35">
      <c r="I5121" s="42">
        <f t="shared" si="800"/>
        <v>0</v>
      </c>
      <c r="J5121" s="65" t="e">
        <f t="shared" si="801"/>
        <v>#NUM!</v>
      </c>
      <c r="K5121" s="83" t="e">
        <f t="shared" si="802"/>
        <v>#NUM!</v>
      </c>
      <c r="L5121" s="83">
        <f t="shared" si="803"/>
        <v>0</v>
      </c>
      <c r="M5121" s="110" t="str">
        <f t="shared" si="804"/>
        <v/>
      </c>
      <c r="N5121" s="51" t="str">
        <f t="shared" si="805"/>
        <v/>
      </c>
      <c r="O5121" s="52" t="str">
        <f t="shared" si="806"/>
        <v/>
      </c>
      <c r="P5121" s="88">
        <f t="shared" si="807"/>
        <v>0</v>
      </c>
      <c r="Q5121" s="88">
        <f t="shared" si="808"/>
        <v>0</v>
      </c>
      <c r="R5121" s="88" t="e">
        <f>-IF(Tabla14[[#This Row],[DIAS HABILES O MORA]]&lt;0,(Tabla14[[#This Row],[VALOR PRESTAMO]]*Tabla14[[#This Row],[% INTERES ]]/30*U5121))+Tabla14[[#This Row],[VALOR CUOTAS]]</f>
        <v>#VALUE!</v>
      </c>
      <c r="S5121" s="88">
        <f>-IF(Tabla14[[#This Row],[DIAS HABILES O MORA]]&lt;0,(Tabla14[[#This Row],[VALOR PRESTAMO]]*Tabla14[[#This Row],[% INTERES ]]/30*U5121))</f>
        <v>0</v>
      </c>
      <c r="T5121" s="53" t="e">
        <f>Tabla14[[#This Row],[DEUDA CAPITAL]]+Tabla14[[#This Row],[INTERES  CUOTA]]</f>
        <v>#NUM!</v>
      </c>
      <c r="U5121" s="61" t="str">
        <f t="shared" si="809"/>
        <v/>
      </c>
    </row>
    <row r="5122" spans="9:21" ht="24.75" customHeight="1" x14ac:dyDescent="0.35">
      <c r="I5122" s="42">
        <f t="shared" si="800"/>
        <v>0</v>
      </c>
      <c r="J5122" s="65" t="e">
        <f t="shared" si="801"/>
        <v>#NUM!</v>
      </c>
      <c r="K5122" s="83" t="e">
        <f t="shared" si="802"/>
        <v>#NUM!</v>
      </c>
      <c r="L5122" s="83">
        <f t="shared" si="803"/>
        <v>0</v>
      </c>
      <c r="M5122" s="110" t="str">
        <f t="shared" si="804"/>
        <v/>
      </c>
      <c r="N5122" s="51" t="str">
        <f t="shared" si="805"/>
        <v/>
      </c>
      <c r="O5122" s="52" t="str">
        <f t="shared" si="806"/>
        <v/>
      </c>
      <c r="P5122" s="88">
        <f t="shared" si="807"/>
        <v>0</v>
      </c>
      <c r="Q5122" s="88">
        <f t="shared" si="808"/>
        <v>0</v>
      </c>
      <c r="R5122" s="88" t="e">
        <f>-IF(Tabla14[[#This Row],[DIAS HABILES O MORA]]&lt;0,(Tabla14[[#This Row],[VALOR PRESTAMO]]*Tabla14[[#This Row],[% INTERES ]]/30*U5122))+Tabla14[[#This Row],[VALOR CUOTAS]]</f>
        <v>#VALUE!</v>
      </c>
      <c r="S5122" s="88">
        <f>-IF(Tabla14[[#This Row],[DIAS HABILES O MORA]]&lt;0,(Tabla14[[#This Row],[VALOR PRESTAMO]]*Tabla14[[#This Row],[% INTERES ]]/30*U5122))</f>
        <v>0</v>
      </c>
      <c r="T5122" s="53" t="e">
        <f>Tabla14[[#This Row],[DEUDA CAPITAL]]+Tabla14[[#This Row],[INTERES  CUOTA]]</f>
        <v>#NUM!</v>
      </c>
      <c r="U5122" s="61" t="str">
        <f t="shared" si="809"/>
        <v/>
      </c>
    </row>
    <row r="5123" spans="9:21" ht="24.75" customHeight="1" x14ac:dyDescent="0.35">
      <c r="I5123" s="42">
        <f t="shared" si="800"/>
        <v>0</v>
      </c>
      <c r="J5123" s="65" t="e">
        <f t="shared" si="801"/>
        <v>#NUM!</v>
      </c>
      <c r="K5123" s="83" t="e">
        <f t="shared" si="802"/>
        <v>#NUM!</v>
      </c>
      <c r="L5123" s="83">
        <f t="shared" si="803"/>
        <v>0</v>
      </c>
      <c r="M5123" s="110" t="str">
        <f t="shared" si="804"/>
        <v/>
      </c>
      <c r="N5123" s="51" t="str">
        <f t="shared" si="805"/>
        <v/>
      </c>
      <c r="O5123" s="52" t="str">
        <f t="shared" si="806"/>
        <v/>
      </c>
      <c r="P5123" s="88">
        <f t="shared" si="807"/>
        <v>0</v>
      </c>
      <c r="Q5123" s="88">
        <f t="shared" si="808"/>
        <v>0</v>
      </c>
      <c r="R5123" s="88" t="e">
        <f>-IF(Tabla14[[#This Row],[DIAS HABILES O MORA]]&lt;0,(Tabla14[[#This Row],[VALOR PRESTAMO]]*Tabla14[[#This Row],[% INTERES ]]/30*U5123))+Tabla14[[#This Row],[VALOR CUOTAS]]</f>
        <v>#VALUE!</v>
      </c>
      <c r="S5123" s="88">
        <f>-IF(Tabla14[[#This Row],[DIAS HABILES O MORA]]&lt;0,(Tabla14[[#This Row],[VALOR PRESTAMO]]*Tabla14[[#This Row],[% INTERES ]]/30*U5123))</f>
        <v>0</v>
      </c>
      <c r="T5123" s="53" t="e">
        <f>Tabla14[[#This Row],[DEUDA CAPITAL]]+Tabla14[[#This Row],[INTERES  CUOTA]]</f>
        <v>#NUM!</v>
      </c>
      <c r="U5123" s="61" t="str">
        <f t="shared" si="809"/>
        <v/>
      </c>
    </row>
    <row r="5124" spans="9:21" ht="24.75" customHeight="1" x14ac:dyDescent="0.35">
      <c r="I5124" s="42">
        <f t="shared" si="800"/>
        <v>0</v>
      </c>
      <c r="J5124" s="65" t="e">
        <f t="shared" si="801"/>
        <v>#NUM!</v>
      </c>
      <c r="K5124" s="83" t="e">
        <f t="shared" si="802"/>
        <v>#NUM!</v>
      </c>
      <c r="L5124" s="83">
        <f t="shared" si="803"/>
        <v>0</v>
      </c>
      <c r="M5124" s="110" t="str">
        <f t="shared" si="804"/>
        <v/>
      </c>
      <c r="N5124" s="51" t="str">
        <f t="shared" si="805"/>
        <v/>
      </c>
      <c r="O5124" s="52" t="str">
        <f t="shared" si="806"/>
        <v/>
      </c>
      <c r="P5124" s="88">
        <f t="shared" si="807"/>
        <v>0</v>
      </c>
      <c r="Q5124" s="88">
        <f t="shared" si="808"/>
        <v>0</v>
      </c>
      <c r="R5124" s="88" t="e">
        <f>-IF(Tabla14[[#This Row],[DIAS HABILES O MORA]]&lt;0,(Tabla14[[#This Row],[VALOR PRESTAMO]]*Tabla14[[#This Row],[% INTERES ]]/30*U5124))+Tabla14[[#This Row],[VALOR CUOTAS]]</f>
        <v>#VALUE!</v>
      </c>
      <c r="S5124" s="88">
        <f>-IF(Tabla14[[#This Row],[DIAS HABILES O MORA]]&lt;0,(Tabla14[[#This Row],[VALOR PRESTAMO]]*Tabla14[[#This Row],[% INTERES ]]/30*U5124))</f>
        <v>0</v>
      </c>
      <c r="T5124" s="53" t="e">
        <f>Tabla14[[#This Row],[DEUDA CAPITAL]]+Tabla14[[#This Row],[INTERES  CUOTA]]</f>
        <v>#NUM!</v>
      </c>
      <c r="U5124" s="61" t="str">
        <f t="shared" si="809"/>
        <v/>
      </c>
    </row>
    <row r="5125" spans="9:21" ht="24.75" customHeight="1" x14ac:dyDescent="0.35">
      <c r="I5125" s="42">
        <f t="shared" si="800"/>
        <v>0</v>
      </c>
      <c r="J5125" s="65" t="e">
        <f t="shared" si="801"/>
        <v>#NUM!</v>
      </c>
      <c r="K5125" s="83" t="e">
        <f t="shared" si="802"/>
        <v>#NUM!</v>
      </c>
      <c r="L5125" s="83">
        <f t="shared" si="803"/>
        <v>0</v>
      </c>
      <c r="M5125" s="110" t="str">
        <f t="shared" si="804"/>
        <v/>
      </c>
      <c r="N5125" s="51" t="str">
        <f t="shared" si="805"/>
        <v/>
      </c>
      <c r="O5125" s="52" t="str">
        <f t="shared" si="806"/>
        <v/>
      </c>
      <c r="P5125" s="88">
        <f t="shared" si="807"/>
        <v>0</v>
      </c>
      <c r="Q5125" s="88">
        <f t="shared" si="808"/>
        <v>0</v>
      </c>
      <c r="R5125" s="88" t="e">
        <f>-IF(Tabla14[[#This Row],[DIAS HABILES O MORA]]&lt;0,(Tabla14[[#This Row],[VALOR PRESTAMO]]*Tabla14[[#This Row],[% INTERES ]]/30*U5125))+Tabla14[[#This Row],[VALOR CUOTAS]]</f>
        <v>#VALUE!</v>
      </c>
      <c r="S5125" s="88">
        <f>-IF(Tabla14[[#This Row],[DIAS HABILES O MORA]]&lt;0,(Tabla14[[#This Row],[VALOR PRESTAMO]]*Tabla14[[#This Row],[% INTERES ]]/30*U5125))</f>
        <v>0</v>
      </c>
      <c r="T5125" s="53" t="e">
        <f>Tabla14[[#This Row],[DEUDA CAPITAL]]+Tabla14[[#This Row],[INTERES  CUOTA]]</f>
        <v>#NUM!</v>
      </c>
      <c r="U5125" s="61" t="str">
        <f t="shared" si="809"/>
        <v/>
      </c>
    </row>
    <row r="5126" spans="9:21" ht="24.75" customHeight="1" x14ac:dyDescent="0.35">
      <c r="I5126" s="42">
        <f t="shared" si="800"/>
        <v>0</v>
      </c>
      <c r="J5126" s="65" t="e">
        <f t="shared" si="801"/>
        <v>#NUM!</v>
      </c>
      <c r="K5126" s="83" t="e">
        <f t="shared" si="802"/>
        <v>#NUM!</v>
      </c>
      <c r="L5126" s="83">
        <f t="shared" si="803"/>
        <v>0</v>
      </c>
      <c r="M5126" s="110" t="str">
        <f t="shared" si="804"/>
        <v/>
      </c>
      <c r="N5126" s="51" t="str">
        <f t="shared" si="805"/>
        <v/>
      </c>
      <c r="O5126" s="52" t="str">
        <f t="shared" si="806"/>
        <v/>
      </c>
      <c r="P5126" s="88">
        <f t="shared" si="807"/>
        <v>0</v>
      </c>
      <c r="Q5126" s="88">
        <f t="shared" si="808"/>
        <v>0</v>
      </c>
      <c r="R5126" s="88" t="e">
        <f>-IF(Tabla14[[#This Row],[DIAS HABILES O MORA]]&lt;0,(Tabla14[[#This Row],[VALOR PRESTAMO]]*Tabla14[[#This Row],[% INTERES ]]/30*U5126))+Tabla14[[#This Row],[VALOR CUOTAS]]</f>
        <v>#VALUE!</v>
      </c>
      <c r="S5126" s="88">
        <f>-IF(Tabla14[[#This Row],[DIAS HABILES O MORA]]&lt;0,(Tabla14[[#This Row],[VALOR PRESTAMO]]*Tabla14[[#This Row],[% INTERES ]]/30*U5126))</f>
        <v>0</v>
      </c>
      <c r="T5126" s="53" t="e">
        <f>Tabla14[[#This Row],[DEUDA CAPITAL]]+Tabla14[[#This Row],[INTERES  CUOTA]]</f>
        <v>#NUM!</v>
      </c>
      <c r="U5126" s="61" t="str">
        <f t="shared" si="809"/>
        <v/>
      </c>
    </row>
    <row r="5127" spans="9:21" ht="24.75" customHeight="1" x14ac:dyDescent="0.35">
      <c r="I5127" s="42">
        <f t="shared" si="800"/>
        <v>0</v>
      </c>
      <c r="J5127" s="65" t="e">
        <f t="shared" si="801"/>
        <v>#NUM!</v>
      </c>
      <c r="K5127" s="83" t="e">
        <f t="shared" si="802"/>
        <v>#NUM!</v>
      </c>
      <c r="L5127" s="83">
        <f t="shared" si="803"/>
        <v>0</v>
      </c>
      <c r="M5127" s="110" t="str">
        <f t="shared" si="804"/>
        <v/>
      </c>
      <c r="N5127" s="51" t="str">
        <f t="shared" si="805"/>
        <v/>
      </c>
      <c r="O5127" s="52" t="str">
        <f t="shared" si="806"/>
        <v/>
      </c>
      <c r="P5127" s="88">
        <f t="shared" si="807"/>
        <v>0</v>
      </c>
      <c r="Q5127" s="88">
        <f t="shared" si="808"/>
        <v>0</v>
      </c>
      <c r="R5127" s="88" t="e">
        <f>-IF(Tabla14[[#This Row],[DIAS HABILES O MORA]]&lt;0,(Tabla14[[#This Row],[VALOR PRESTAMO]]*Tabla14[[#This Row],[% INTERES ]]/30*U5127))+Tabla14[[#This Row],[VALOR CUOTAS]]</f>
        <v>#VALUE!</v>
      </c>
      <c r="S5127" s="88">
        <f>-IF(Tabla14[[#This Row],[DIAS HABILES O MORA]]&lt;0,(Tabla14[[#This Row],[VALOR PRESTAMO]]*Tabla14[[#This Row],[% INTERES ]]/30*U5127))</f>
        <v>0</v>
      </c>
      <c r="T5127" s="53" t="e">
        <f>Tabla14[[#This Row],[DEUDA CAPITAL]]+Tabla14[[#This Row],[INTERES  CUOTA]]</f>
        <v>#NUM!</v>
      </c>
      <c r="U5127" s="61" t="str">
        <f t="shared" si="809"/>
        <v/>
      </c>
    </row>
    <row r="5128" spans="9:21" ht="24.75" customHeight="1" x14ac:dyDescent="0.35">
      <c r="I5128" s="42">
        <f t="shared" si="800"/>
        <v>0</v>
      </c>
      <c r="J5128" s="65" t="e">
        <f t="shared" si="801"/>
        <v>#NUM!</v>
      </c>
      <c r="K5128" s="83" t="e">
        <f t="shared" si="802"/>
        <v>#NUM!</v>
      </c>
      <c r="L5128" s="83">
        <f t="shared" si="803"/>
        <v>0</v>
      </c>
      <c r="M5128" s="110" t="str">
        <f t="shared" si="804"/>
        <v/>
      </c>
      <c r="N5128" s="51" t="str">
        <f t="shared" si="805"/>
        <v/>
      </c>
      <c r="O5128" s="52" t="str">
        <f t="shared" si="806"/>
        <v/>
      </c>
      <c r="P5128" s="88">
        <f t="shared" si="807"/>
        <v>0</v>
      </c>
      <c r="Q5128" s="88">
        <f t="shared" si="808"/>
        <v>0</v>
      </c>
      <c r="R5128" s="88" t="e">
        <f>-IF(Tabla14[[#This Row],[DIAS HABILES O MORA]]&lt;0,(Tabla14[[#This Row],[VALOR PRESTAMO]]*Tabla14[[#This Row],[% INTERES ]]/30*U5128))+Tabla14[[#This Row],[VALOR CUOTAS]]</f>
        <v>#VALUE!</v>
      </c>
      <c r="S5128" s="88">
        <f>-IF(Tabla14[[#This Row],[DIAS HABILES O MORA]]&lt;0,(Tabla14[[#This Row],[VALOR PRESTAMO]]*Tabla14[[#This Row],[% INTERES ]]/30*U5128))</f>
        <v>0</v>
      </c>
      <c r="T5128" s="53" t="e">
        <f>Tabla14[[#This Row],[DEUDA CAPITAL]]+Tabla14[[#This Row],[INTERES  CUOTA]]</f>
        <v>#NUM!</v>
      </c>
      <c r="U5128" s="61" t="str">
        <f t="shared" si="809"/>
        <v/>
      </c>
    </row>
    <row r="5129" spans="9:21" ht="24.75" customHeight="1" x14ac:dyDescent="0.35">
      <c r="I5129" s="42">
        <f t="shared" si="800"/>
        <v>0</v>
      </c>
      <c r="J5129" s="65" t="e">
        <f t="shared" si="801"/>
        <v>#NUM!</v>
      </c>
      <c r="K5129" s="83" t="e">
        <f t="shared" si="802"/>
        <v>#NUM!</v>
      </c>
      <c r="L5129" s="83">
        <f t="shared" si="803"/>
        <v>0</v>
      </c>
      <c r="M5129" s="110" t="str">
        <f t="shared" si="804"/>
        <v/>
      </c>
      <c r="N5129" s="51" t="str">
        <f t="shared" si="805"/>
        <v/>
      </c>
      <c r="O5129" s="52" t="str">
        <f t="shared" si="806"/>
        <v/>
      </c>
      <c r="P5129" s="88">
        <f t="shared" si="807"/>
        <v>0</v>
      </c>
      <c r="Q5129" s="88">
        <f t="shared" si="808"/>
        <v>0</v>
      </c>
      <c r="R5129" s="88" t="e">
        <f>-IF(Tabla14[[#This Row],[DIAS HABILES O MORA]]&lt;0,(Tabla14[[#This Row],[VALOR PRESTAMO]]*Tabla14[[#This Row],[% INTERES ]]/30*U5129))+Tabla14[[#This Row],[VALOR CUOTAS]]</f>
        <v>#VALUE!</v>
      </c>
      <c r="S5129" s="88">
        <f>-IF(Tabla14[[#This Row],[DIAS HABILES O MORA]]&lt;0,(Tabla14[[#This Row],[VALOR PRESTAMO]]*Tabla14[[#This Row],[% INTERES ]]/30*U5129))</f>
        <v>0</v>
      </c>
      <c r="T5129" s="53" t="e">
        <f>Tabla14[[#This Row],[DEUDA CAPITAL]]+Tabla14[[#This Row],[INTERES  CUOTA]]</f>
        <v>#NUM!</v>
      </c>
      <c r="U5129" s="61" t="str">
        <f t="shared" si="809"/>
        <v/>
      </c>
    </row>
    <row r="5130" spans="9:21" ht="24.75" customHeight="1" x14ac:dyDescent="0.35">
      <c r="I5130" s="42">
        <f t="shared" si="800"/>
        <v>0</v>
      </c>
      <c r="J5130" s="65" t="e">
        <f t="shared" si="801"/>
        <v>#NUM!</v>
      </c>
      <c r="K5130" s="83" t="e">
        <f t="shared" si="802"/>
        <v>#NUM!</v>
      </c>
      <c r="L5130" s="83">
        <f t="shared" si="803"/>
        <v>0</v>
      </c>
      <c r="M5130" s="110" t="str">
        <f t="shared" si="804"/>
        <v/>
      </c>
      <c r="N5130" s="51" t="str">
        <f t="shared" si="805"/>
        <v/>
      </c>
      <c r="O5130" s="52" t="str">
        <f t="shared" si="806"/>
        <v/>
      </c>
      <c r="P5130" s="88">
        <f t="shared" si="807"/>
        <v>0</v>
      </c>
      <c r="Q5130" s="88">
        <f t="shared" si="808"/>
        <v>0</v>
      </c>
      <c r="R5130" s="88" t="e">
        <f>-IF(Tabla14[[#This Row],[DIAS HABILES O MORA]]&lt;0,(Tabla14[[#This Row],[VALOR PRESTAMO]]*Tabla14[[#This Row],[% INTERES ]]/30*U5130))+Tabla14[[#This Row],[VALOR CUOTAS]]</f>
        <v>#VALUE!</v>
      </c>
      <c r="S5130" s="88">
        <f>-IF(Tabla14[[#This Row],[DIAS HABILES O MORA]]&lt;0,(Tabla14[[#This Row],[VALOR PRESTAMO]]*Tabla14[[#This Row],[% INTERES ]]/30*U5130))</f>
        <v>0</v>
      </c>
      <c r="T5130" s="53" t="e">
        <f>Tabla14[[#This Row],[DEUDA CAPITAL]]+Tabla14[[#This Row],[INTERES  CUOTA]]</f>
        <v>#NUM!</v>
      </c>
      <c r="U5130" s="61" t="str">
        <f t="shared" si="809"/>
        <v/>
      </c>
    </row>
    <row r="5131" spans="9:21" ht="24.75" customHeight="1" x14ac:dyDescent="0.35">
      <c r="I5131" s="42">
        <f t="shared" si="800"/>
        <v>0</v>
      </c>
      <c r="J5131" s="65" t="e">
        <f t="shared" si="801"/>
        <v>#NUM!</v>
      </c>
      <c r="K5131" s="83" t="e">
        <f t="shared" si="802"/>
        <v>#NUM!</v>
      </c>
      <c r="L5131" s="83">
        <f t="shared" si="803"/>
        <v>0</v>
      </c>
      <c r="M5131" s="110" t="str">
        <f t="shared" si="804"/>
        <v/>
      </c>
      <c r="N5131" s="51" t="str">
        <f t="shared" si="805"/>
        <v/>
      </c>
      <c r="O5131" s="52" t="str">
        <f t="shared" si="806"/>
        <v/>
      </c>
      <c r="P5131" s="88">
        <f t="shared" si="807"/>
        <v>0</v>
      </c>
      <c r="Q5131" s="88">
        <f t="shared" si="808"/>
        <v>0</v>
      </c>
      <c r="R5131" s="88" t="e">
        <f>-IF(Tabla14[[#This Row],[DIAS HABILES O MORA]]&lt;0,(Tabla14[[#This Row],[VALOR PRESTAMO]]*Tabla14[[#This Row],[% INTERES ]]/30*U5131))+Tabla14[[#This Row],[VALOR CUOTAS]]</f>
        <v>#VALUE!</v>
      </c>
      <c r="S5131" s="88">
        <f>-IF(Tabla14[[#This Row],[DIAS HABILES O MORA]]&lt;0,(Tabla14[[#This Row],[VALOR PRESTAMO]]*Tabla14[[#This Row],[% INTERES ]]/30*U5131))</f>
        <v>0</v>
      </c>
      <c r="T5131" s="53" t="e">
        <f>Tabla14[[#This Row],[DEUDA CAPITAL]]+Tabla14[[#This Row],[INTERES  CUOTA]]</f>
        <v>#NUM!</v>
      </c>
      <c r="U5131" s="61" t="str">
        <f t="shared" si="809"/>
        <v/>
      </c>
    </row>
    <row r="5132" spans="9:21" ht="24.75" customHeight="1" x14ac:dyDescent="0.35">
      <c r="I5132" s="42">
        <f t="shared" si="800"/>
        <v>0</v>
      </c>
      <c r="J5132" s="65" t="e">
        <f t="shared" si="801"/>
        <v>#NUM!</v>
      </c>
      <c r="K5132" s="83" t="e">
        <f t="shared" si="802"/>
        <v>#NUM!</v>
      </c>
      <c r="L5132" s="83">
        <f t="shared" si="803"/>
        <v>0</v>
      </c>
      <c r="M5132" s="110" t="str">
        <f t="shared" si="804"/>
        <v/>
      </c>
      <c r="N5132" s="51" t="str">
        <f t="shared" si="805"/>
        <v/>
      </c>
      <c r="O5132" s="52" t="str">
        <f t="shared" si="806"/>
        <v/>
      </c>
      <c r="P5132" s="88">
        <f t="shared" si="807"/>
        <v>0</v>
      </c>
      <c r="Q5132" s="88">
        <f t="shared" si="808"/>
        <v>0</v>
      </c>
      <c r="R5132" s="88" t="e">
        <f>-IF(Tabla14[[#This Row],[DIAS HABILES O MORA]]&lt;0,(Tabla14[[#This Row],[VALOR PRESTAMO]]*Tabla14[[#This Row],[% INTERES ]]/30*U5132))+Tabla14[[#This Row],[VALOR CUOTAS]]</f>
        <v>#VALUE!</v>
      </c>
      <c r="S5132" s="88">
        <f>-IF(Tabla14[[#This Row],[DIAS HABILES O MORA]]&lt;0,(Tabla14[[#This Row],[VALOR PRESTAMO]]*Tabla14[[#This Row],[% INTERES ]]/30*U5132))</f>
        <v>0</v>
      </c>
      <c r="T5132" s="53" t="e">
        <f>Tabla14[[#This Row],[DEUDA CAPITAL]]+Tabla14[[#This Row],[INTERES  CUOTA]]</f>
        <v>#NUM!</v>
      </c>
      <c r="U5132" s="61" t="str">
        <f t="shared" si="809"/>
        <v/>
      </c>
    </row>
    <row r="5133" spans="9:21" ht="24.75" customHeight="1" x14ac:dyDescent="0.35">
      <c r="I5133" s="42">
        <f t="shared" si="800"/>
        <v>0</v>
      </c>
      <c r="J5133" s="65" t="e">
        <f t="shared" si="801"/>
        <v>#NUM!</v>
      </c>
      <c r="K5133" s="83" t="e">
        <f t="shared" si="802"/>
        <v>#NUM!</v>
      </c>
      <c r="L5133" s="83">
        <f t="shared" si="803"/>
        <v>0</v>
      </c>
      <c r="M5133" s="110" t="str">
        <f t="shared" si="804"/>
        <v/>
      </c>
      <c r="N5133" s="51" t="str">
        <f t="shared" si="805"/>
        <v/>
      </c>
      <c r="O5133" s="52" t="str">
        <f t="shared" si="806"/>
        <v/>
      </c>
      <c r="P5133" s="88">
        <f t="shared" si="807"/>
        <v>0</v>
      </c>
      <c r="Q5133" s="88">
        <f t="shared" si="808"/>
        <v>0</v>
      </c>
      <c r="R5133" s="88" t="e">
        <f>-IF(Tabla14[[#This Row],[DIAS HABILES O MORA]]&lt;0,(Tabla14[[#This Row],[VALOR PRESTAMO]]*Tabla14[[#This Row],[% INTERES ]]/30*U5133))+Tabla14[[#This Row],[VALOR CUOTAS]]</f>
        <v>#VALUE!</v>
      </c>
      <c r="S5133" s="88">
        <f>-IF(Tabla14[[#This Row],[DIAS HABILES O MORA]]&lt;0,(Tabla14[[#This Row],[VALOR PRESTAMO]]*Tabla14[[#This Row],[% INTERES ]]/30*U5133))</f>
        <v>0</v>
      </c>
      <c r="T5133" s="53" t="e">
        <f>Tabla14[[#This Row],[DEUDA CAPITAL]]+Tabla14[[#This Row],[INTERES  CUOTA]]</f>
        <v>#NUM!</v>
      </c>
      <c r="U5133" s="61" t="str">
        <f t="shared" si="809"/>
        <v/>
      </c>
    </row>
    <row r="5134" spans="9:21" ht="24.75" customHeight="1" x14ac:dyDescent="0.35">
      <c r="I5134" s="42">
        <f t="shared" si="800"/>
        <v>0</v>
      </c>
      <c r="J5134" s="65" t="e">
        <f t="shared" si="801"/>
        <v>#NUM!</v>
      </c>
      <c r="K5134" s="83" t="e">
        <f t="shared" si="802"/>
        <v>#NUM!</v>
      </c>
      <c r="L5134" s="83">
        <f t="shared" si="803"/>
        <v>0</v>
      </c>
      <c r="M5134" s="110" t="str">
        <f t="shared" si="804"/>
        <v/>
      </c>
      <c r="N5134" s="51" t="str">
        <f t="shared" si="805"/>
        <v/>
      </c>
      <c r="O5134" s="52" t="str">
        <f t="shared" si="806"/>
        <v/>
      </c>
      <c r="P5134" s="88">
        <f t="shared" si="807"/>
        <v>0</v>
      </c>
      <c r="Q5134" s="88">
        <f t="shared" si="808"/>
        <v>0</v>
      </c>
      <c r="R5134" s="88" t="e">
        <f>-IF(Tabla14[[#This Row],[DIAS HABILES O MORA]]&lt;0,(Tabla14[[#This Row],[VALOR PRESTAMO]]*Tabla14[[#This Row],[% INTERES ]]/30*U5134))+Tabla14[[#This Row],[VALOR CUOTAS]]</f>
        <v>#VALUE!</v>
      </c>
      <c r="S5134" s="88">
        <f>-IF(Tabla14[[#This Row],[DIAS HABILES O MORA]]&lt;0,(Tabla14[[#This Row],[VALOR PRESTAMO]]*Tabla14[[#This Row],[% INTERES ]]/30*U5134))</f>
        <v>0</v>
      </c>
      <c r="T5134" s="53" t="e">
        <f>Tabla14[[#This Row],[DEUDA CAPITAL]]+Tabla14[[#This Row],[INTERES  CUOTA]]</f>
        <v>#NUM!</v>
      </c>
      <c r="U5134" s="61" t="str">
        <f t="shared" si="809"/>
        <v/>
      </c>
    </row>
    <row r="5135" spans="9:21" ht="24.75" customHeight="1" x14ac:dyDescent="0.35">
      <c r="I5135" s="42">
        <f t="shared" si="800"/>
        <v>0</v>
      </c>
      <c r="J5135" s="65" t="e">
        <f t="shared" si="801"/>
        <v>#NUM!</v>
      </c>
      <c r="K5135" s="83" t="e">
        <f t="shared" si="802"/>
        <v>#NUM!</v>
      </c>
      <c r="L5135" s="83">
        <f t="shared" si="803"/>
        <v>0</v>
      </c>
      <c r="M5135" s="110" t="str">
        <f t="shared" si="804"/>
        <v/>
      </c>
      <c r="N5135" s="51" t="str">
        <f t="shared" si="805"/>
        <v/>
      </c>
      <c r="O5135" s="52" t="str">
        <f t="shared" si="806"/>
        <v/>
      </c>
      <c r="P5135" s="88">
        <f t="shared" si="807"/>
        <v>0</v>
      </c>
      <c r="Q5135" s="88">
        <f t="shared" si="808"/>
        <v>0</v>
      </c>
      <c r="R5135" s="88" t="e">
        <f>-IF(Tabla14[[#This Row],[DIAS HABILES O MORA]]&lt;0,(Tabla14[[#This Row],[VALOR PRESTAMO]]*Tabla14[[#This Row],[% INTERES ]]/30*U5135))+Tabla14[[#This Row],[VALOR CUOTAS]]</f>
        <v>#VALUE!</v>
      </c>
      <c r="S5135" s="88">
        <f>-IF(Tabla14[[#This Row],[DIAS HABILES O MORA]]&lt;0,(Tabla14[[#This Row],[VALOR PRESTAMO]]*Tabla14[[#This Row],[% INTERES ]]/30*U5135))</f>
        <v>0</v>
      </c>
      <c r="T5135" s="53" t="e">
        <f>Tabla14[[#This Row],[DEUDA CAPITAL]]+Tabla14[[#This Row],[INTERES  CUOTA]]</f>
        <v>#NUM!</v>
      </c>
      <c r="U5135" s="61" t="str">
        <f t="shared" si="809"/>
        <v/>
      </c>
    </row>
    <row r="5136" spans="9:21" ht="24.75" customHeight="1" x14ac:dyDescent="0.35">
      <c r="I5136" s="42">
        <f t="shared" ref="I5136:I5199" si="810">IF(C5136&lt;0,"",IF(Q5136=0,0,IF(G5136=0,H5136+1,IF(H5136&lt;G5136,H5136+1,IF(G5136=H5136,0)))))</f>
        <v>0</v>
      </c>
      <c r="J5136" s="65" t="e">
        <f t="shared" ref="J5136:J5199" si="811">IF(F5136="SOLO INTERES",Q5136*D5136,-IPMT(D5136,I5136,G5136,C5136))</f>
        <v>#NUM!</v>
      </c>
      <c r="K5136" s="83" t="e">
        <f t="shared" ref="K5136:K5199" si="812">IF(F5136="SOLO INTERES",0,-PPMT(D5136,I5136,G5136,C5136))</f>
        <v>#NUM!</v>
      </c>
      <c r="L5136" s="83">
        <f t="shared" ref="L5136:L5199" si="813">IF(F5136="SOLO INTERES",SUM(Y5136:AAE5136),IFERROR(-CUMIPMT(D5136,G5136,C5136,1,H5136,0),0)+SUM(Y5136:WY5136))</f>
        <v>0</v>
      </c>
      <c r="M5136" s="110" t="str">
        <f t="shared" ref="M5136:M5199" si="814">IFERROR(IF(F5136="SOLO INTERES",Q5136*D5136,-PMT(D5136,G5136,C5136,0)),"")</f>
        <v/>
      </c>
      <c r="N5136" s="51" t="str">
        <f t="shared" ref="N5136:N5199" si="815">IF(Q5136=0,"",IF(E5136="MENSUAL",EDATE(B5136,I5136),IF(E5136="QUINCENAL",B5136+(I5136*15),IF(E5136="SEMANAL",B5136+(I5136*7)))))</f>
        <v/>
      </c>
      <c r="O5136" s="52" t="str">
        <f t="shared" ref="O5136:O5199" si="816">IF(C5136=0,"",IF(Q5136&lt;1,"PAGADO",IF(N5136=$A$3,"COBRAR HOY",IF(N5136&lt;$A$3,"EN MORA",IF(N5136&gt;$A$3,"AL DIA")))))</f>
        <v/>
      </c>
      <c r="P5136" s="88">
        <f t="shared" ref="P5136:P5199" si="817">IFERROR(-CUMPRINC(D5136,G5136,C5136,1,H5136,0),0)+W5136</f>
        <v>0</v>
      </c>
      <c r="Q5136" s="88">
        <f t="shared" ref="Q5136:Q5199" si="818">IFERROR(C5136-P5136,"")</f>
        <v>0</v>
      </c>
      <c r="R5136" s="88" t="e">
        <f>-IF(Tabla14[[#This Row],[DIAS HABILES O MORA]]&lt;0,(Tabla14[[#This Row],[VALOR PRESTAMO]]*Tabla14[[#This Row],[% INTERES ]]/30*U5136))+Tabla14[[#This Row],[VALOR CUOTAS]]</f>
        <v>#VALUE!</v>
      </c>
      <c r="S5136" s="88">
        <f>-IF(Tabla14[[#This Row],[DIAS HABILES O MORA]]&lt;0,(Tabla14[[#This Row],[VALOR PRESTAMO]]*Tabla14[[#This Row],[% INTERES ]]/30*U5136))</f>
        <v>0</v>
      </c>
      <c r="T5136" s="53" t="e">
        <f>Tabla14[[#This Row],[DEUDA CAPITAL]]+Tabla14[[#This Row],[INTERES  CUOTA]]</f>
        <v>#NUM!</v>
      </c>
      <c r="U5136" s="61" t="str">
        <f t="shared" ref="U5136:U5199" si="819">IF(O5136="PAGADO","",IFERROR(-IF(C5136=0,"",$A$3-N5136),""))</f>
        <v/>
      </c>
    </row>
    <row r="5137" spans="9:21" ht="24.75" customHeight="1" x14ac:dyDescent="0.35">
      <c r="I5137" s="42">
        <f t="shared" si="810"/>
        <v>0</v>
      </c>
      <c r="J5137" s="65" t="e">
        <f t="shared" si="811"/>
        <v>#NUM!</v>
      </c>
      <c r="K5137" s="83" t="e">
        <f t="shared" si="812"/>
        <v>#NUM!</v>
      </c>
      <c r="L5137" s="83">
        <f t="shared" si="813"/>
        <v>0</v>
      </c>
      <c r="M5137" s="110" t="str">
        <f t="shared" si="814"/>
        <v/>
      </c>
      <c r="N5137" s="51" t="str">
        <f t="shared" si="815"/>
        <v/>
      </c>
      <c r="O5137" s="52" t="str">
        <f t="shared" si="816"/>
        <v/>
      </c>
      <c r="P5137" s="88">
        <f t="shared" si="817"/>
        <v>0</v>
      </c>
      <c r="Q5137" s="88">
        <f t="shared" si="818"/>
        <v>0</v>
      </c>
      <c r="R5137" s="88" t="e">
        <f>-IF(Tabla14[[#This Row],[DIAS HABILES O MORA]]&lt;0,(Tabla14[[#This Row],[VALOR PRESTAMO]]*Tabla14[[#This Row],[% INTERES ]]/30*U5137))+Tabla14[[#This Row],[VALOR CUOTAS]]</f>
        <v>#VALUE!</v>
      </c>
      <c r="S5137" s="88">
        <f>-IF(Tabla14[[#This Row],[DIAS HABILES O MORA]]&lt;0,(Tabla14[[#This Row],[VALOR PRESTAMO]]*Tabla14[[#This Row],[% INTERES ]]/30*U5137))</f>
        <v>0</v>
      </c>
      <c r="T5137" s="53" t="e">
        <f>Tabla14[[#This Row],[DEUDA CAPITAL]]+Tabla14[[#This Row],[INTERES  CUOTA]]</f>
        <v>#NUM!</v>
      </c>
      <c r="U5137" s="61" t="str">
        <f t="shared" si="819"/>
        <v/>
      </c>
    </row>
    <row r="5138" spans="9:21" ht="24.75" customHeight="1" x14ac:dyDescent="0.35">
      <c r="I5138" s="42">
        <f t="shared" si="810"/>
        <v>0</v>
      </c>
      <c r="J5138" s="65" t="e">
        <f t="shared" si="811"/>
        <v>#NUM!</v>
      </c>
      <c r="K5138" s="83" t="e">
        <f t="shared" si="812"/>
        <v>#NUM!</v>
      </c>
      <c r="L5138" s="83">
        <f t="shared" si="813"/>
        <v>0</v>
      </c>
      <c r="M5138" s="110" t="str">
        <f t="shared" si="814"/>
        <v/>
      </c>
      <c r="N5138" s="51" t="str">
        <f t="shared" si="815"/>
        <v/>
      </c>
      <c r="O5138" s="52" t="str">
        <f t="shared" si="816"/>
        <v/>
      </c>
      <c r="P5138" s="88">
        <f t="shared" si="817"/>
        <v>0</v>
      </c>
      <c r="Q5138" s="88">
        <f t="shared" si="818"/>
        <v>0</v>
      </c>
      <c r="R5138" s="88" t="e">
        <f>-IF(Tabla14[[#This Row],[DIAS HABILES O MORA]]&lt;0,(Tabla14[[#This Row],[VALOR PRESTAMO]]*Tabla14[[#This Row],[% INTERES ]]/30*U5138))+Tabla14[[#This Row],[VALOR CUOTAS]]</f>
        <v>#VALUE!</v>
      </c>
      <c r="S5138" s="88">
        <f>-IF(Tabla14[[#This Row],[DIAS HABILES O MORA]]&lt;0,(Tabla14[[#This Row],[VALOR PRESTAMO]]*Tabla14[[#This Row],[% INTERES ]]/30*U5138))</f>
        <v>0</v>
      </c>
      <c r="T5138" s="53" t="e">
        <f>Tabla14[[#This Row],[DEUDA CAPITAL]]+Tabla14[[#This Row],[INTERES  CUOTA]]</f>
        <v>#NUM!</v>
      </c>
      <c r="U5138" s="61" t="str">
        <f t="shared" si="819"/>
        <v/>
      </c>
    </row>
    <row r="5139" spans="9:21" ht="24.75" customHeight="1" x14ac:dyDescent="0.35">
      <c r="I5139" s="42">
        <f t="shared" si="810"/>
        <v>0</v>
      </c>
      <c r="J5139" s="65" t="e">
        <f t="shared" si="811"/>
        <v>#NUM!</v>
      </c>
      <c r="K5139" s="83" t="e">
        <f t="shared" si="812"/>
        <v>#NUM!</v>
      </c>
      <c r="L5139" s="83">
        <f t="shared" si="813"/>
        <v>0</v>
      </c>
      <c r="M5139" s="110" t="str">
        <f t="shared" si="814"/>
        <v/>
      </c>
      <c r="N5139" s="51" t="str">
        <f t="shared" si="815"/>
        <v/>
      </c>
      <c r="O5139" s="52" t="str">
        <f t="shared" si="816"/>
        <v/>
      </c>
      <c r="P5139" s="88">
        <f t="shared" si="817"/>
        <v>0</v>
      </c>
      <c r="Q5139" s="88">
        <f t="shared" si="818"/>
        <v>0</v>
      </c>
      <c r="R5139" s="88" t="e">
        <f>-IF(Tabla14[[#This Row],[DIAS HABILES O MORA]]&lt;0,(Tabla14[[#This Row],[VALOR PRESTAMO]]*Tabla14[[#This Row],[% INTERES ]]/30*U5139))+Tabla14[[#This Row],[VALOR CUOTAS]]</f>
        <v>#VALUE!</v>
      </c>
      <c r="S5139" s="88">
        <f>-IF(Tabla14[[#This Row],[DIAS HABILES O MORA]]&lt;0,(Tabla14[[#This Row],[VALOR PRESTAMO]]*Tabla14[[#This Row],[% INTERES ]]/30*U5139))</f>
        <v>0</v>
      </c>
      <c r="T5139" s="53" t="e">
        <f>Tabla14[[#This Row],[DEUDA CAPITAL]]+Tabla14[[#This Row],[INTERES  CUOTA]]</f>
        <v>#NUM!</v>
      </c>
      <c r="U5139" s="61" t="str">
        <f t="shared" si="819"/>
        <v/>
      </c>
    </row>
    <row r="5140" spans="9:21" ht="24.75" customHeight="1" x14ac:dyDescent="0.35">
      <c r="I5140" s="42">
        <f t="shared" si="810"/>
        <v>0</v>
      </c>
      <c r="J5140" s="65" t="e">
        <f t="shared" si="811"/>
        <v>#NUM!</v>
      </c>
      <c r="K5140" s="83" t="e">
        <f t="shared" si="812"/>
        <v>#NUM!</v>
      </c>
      <c r="L5140" s="83">
        <f t="shared" si="813"/>
        <v>0</v>
      </c>
      <c r="M5140" s="110" t="str">
        <f t="shared" si="814"/>
        <v/>
      </c>
      <c r="N5140" s="51" t="str">
        <f t="shared" si="815"/>
        <v/>
      </c>
      <c r="O5140" s="52" t="str">
        <f t="shared" si="816"/>
        <v/>
      </c>
      <c r="P5140" s="88">
        <f t="shared" si="817"/>
        <v>0</v>
      </c>
      <c r="Q5140" s="88">
        <f t="shared" si="818"/>
        <v>0</v>
      </c>
      <c r="R5140" s="88" t="e">
        <f>-IF(Tabla14[[#This Row],[DIAS HABILES O MORA]]&lt;0,(Tabla14[[#This Row],[VALOR PRESTAMO]]*Tabla14[[#This Row],[% INTERES ]]/30*U5140))+Tabla14[[#This Row],[VALOR CUOTAS]]</f>
        <v>#VALUE!</v>
      </c>
      <c r="S5140" s="88">
        <f>-IF(Tabla14[[#This Row],[DIAS HABILES O MORA]]&lt;0,(Tabla14[[#This Row],[VALOR PRESTAMO]]*Tabla14[[#This Row],[% INTERES ]]/30*U5140))</f>
        <v>0</v>
      </c>
      <c r="T5140" s="53" t="e">
        <f>Tabla14[[#This Row],[DEUDA CAPITAL]]+Tabla14[[#This Row],[INTERES  CUOTA]]</f>
        <v>#NUM!</v>
      </c>
      <c r="U5140" s="61" t="str">
        <f t="shared" si="819"/>
        <v/>
      </c>
    </row>
    <row r="5141" spans="9:21" ht="24.75" customHeight="1" x14ac:dyDescent="0.35">
      <c r="I5141" s="42">
        <f t="shared" si="810"/>
        <v>0</v>
      </c>
      <c r="J5141" s="65" t="e">
        <f t="shared" si="811"/>
        <v>#NUM!</v>
      </c>
      <c r="K5141" s="83" t="e">
        <f t="shared" si="812"/>
        <v>#NUM!</v>
      </c>
      <c r="L5141" s="83">
        <f t="shared" si="813"/>
        <v>0</v>
      </c>
      <c r="M5141" s="110" t="str">
        <f t="shared" si="814"/>
        <v/>
      </c>
      <c r="N5141" s="51" t="str">
        <f t="shared" si="815"/>
        <v/>
      </c>
      <c r="O5141" s="52" t="str">
        <f t="shared" si="816"/>
        <v/>
      </c>
      <c r="P5141" s="88">
        <f t="shared" si="817"/>
        <v>0</v>
      </c>
      <c r="Q5141" s="88">
        <f t="shared" si="818"/>
        <v>0</v>
      </c>
      <c r="R5141" s="88" t="e">
        <f>-IF(Tabla14[[#This Row],[DIAS HABILES O MORA]]&lt;0,(Tabla14[[#This Row],[VALOR PRESTAMO]]*Tabla14[[#This Row],[% INTERES ]]/30*U5141))+Tabla14[[#This Row],[VALOR CUOTAS]]</f>
        <v>#VALUE!</v>
      </c>
      <c r="S5141" s="88">
        <f>-IF(Tabla14[[#This Row],[DIAS HABILES O MORA]]&lt;0,(Tabla14[[#This Row],[VALOR PRESTAMO]]*Tabla14[[#This Row],[% INTERES ]]/30*U5141))</f>
        <v>0</v>
      </c>
      <c r="T5141" s="53" t="e">
        <f>Tabla14[[#This Row],[DEUDA CAPITAL]]+Tabla14[[#This Row],[INTERES  CUOTA]]</f>
        <v>#NUM!</v>
      </c>
      <c r="U5141" s="61" t="str">
        <f t="shared" si="819"/>
        <v/>
      </c>
    </row>
    <row r="5142" spans="9:21" ht="24.75" customHeight="1" x14ac:dyDescent="0.35">
      <c r="I5142" s="42">
        <f t="shared" si="810"/>
        <v>0</v>
      </c>
      <c r="J5142" s="65" t="e">
        <f t="shared" si="811"/>
        <v>#NUM!</v>
      </c>
      <c r="K5142" s="83" t="e">
        <f t="shared" si="812"/>
        <v>#NUM!</v>
      </c>
      <c r="L5142" s="83">
        <f t="shared" si="813"/>
        <v>0</v>
      </c>
      <c r="M5142" s="110" t="str">
        <f t="shared" si="814"/>
        <v/>
      </c>
      <c r="N5142" s="51" t="str">
        <f t="shared" si="815"/>
        <v/>
      </c>
      <c r="O5142" s="52" t="str">
        <f t="shared" si="816"/>
        <v/>
      </c>
      <c r="P5142" s="88">
        <f t="shared" si="817"/>
        <v>0</v>
      </c>
      <c r="Q5142" s="88">
        <f t="shared" si="818"/>
        <v>0</v>
      </c>
      <c r="R5142" s="88" t="e">
        <f>-IF(Tabla14[[#This Row],[DIAS HABILES O MORA]]&lt;0,(Tabla14[[#This Row],[VALOR PRESTAMO]]*Tabla14[[#This Row],[% INTERES ]]/30*U5142))+Tabla14[[#This Row],[VALOR CUOTAS]]</f>
        <v>#VALUE!</v>
      </c>
      <c r="S5142" s="88">
        <f>-IF(Tabla14[[#This Row],[DIAS HABILES O MORA]]&lt;0,(Tabla14[[#This Row],[VALOR PRESTAMO]]*Tabla14[[#This Row],[% INTERES ]]/30*U5142))</f>
        <v>0</v>
      </c>
      <c r="T5142" s="53" t="e">
        <f>Tabla14[[#This Row],[DEUDA CAPITAL]]+Tabla14[[#This Row],[INTERES  CUOTA]]</f>
        <v>#NUM!</v>
      </c>
      <c r="U5142" s="61" t="str">
        <f t="shared" si="819"/>
        <v/>
      </c>
    </row>
    <row r="5143" spans="9:21" ht="24.75" customHeight="1" x14ac:dyDescent="0.35">
      <c r="I5143" s="42">
        <f t="shared" si="810"/>
        <v>0</v>
      </c>
      <c r="J5143" s="65" t="e">
        <f t="shared" si="811"/>
        <v>#NUM!</v>
      </c>
      <c r="K5143" s="83" t="e">
        <f t="shared" si="812"/>
        <v>#NUM!</v>
      </c>
      <c r="L5143" s="83">
        <f t="shared" si="813"/>
        <v>0</v>
      </c>
      <c r="M5143" s="110" t="str">
        <f t="shared" si="814"/>
        <v/>
      </c>
      <c r="N5143" s="51" t="str">
        <f t="shared" si="815"/>
        <v/>
      </c>
      <c r="O5143" s="52" t="str">
        <f t="shared" si="816"/>
        <v/>
      </c>
      <c r="P5143" s="88">
        <f t="shared" si="817"/>
        <v>0</v>
      </c>
      <c r="Q5143" s="88">
        <f t="shared" si="818"/>
        <v>0</v>
      </c>
      <c r="R5143" s="88" t="e">
        <f>-IF(Tabla14[[#This Row],[DIAS HABILES O MORA]]&lt;0,(Tabla14[[#This Row],[VALOR PRESTAMO]]*Tabla14[[#This Row],[% INTERES ]]/30*U5143))+Tabla14[[#This Row],[VALOR CUOTAS]]</f>
        <v>#VALUE!</v>
      </c>
      <c r="S5143" s="88">
        <f>-IF(Tabla14[[#This Row],[DIAS HABILES O MORA]]&lt;0,(Tabla14[[#This Row],[VALOR PRESTAMO]]*Tabla14[[#This Row],[% INTERES ]]/30*U5143))</f>
        <v>0</v>
      </c>
      <c r="T5143" s="53" t="e">
        <f>Tabla14[[#This Row],[DEUDA CAPITAL]]+Tabla14[[#This Row],[INTERES  CUOTA]]</f>
        <v>#NUM!</v>
      </c>
      <c r="U5143" s="61" t="str">
        <f t="shared" si="819"/>
        <v/>
      </c>
    </row>
    <row r="5144" spans="9:21" ht="24.75" customHeight="1" x14ac:dyDescent="0.35">
      <c r="I5144" s="42">
        <f t="shared" si="810"/>
        <v>0</v>
      </c>
      <c r="J5144" s="65" t="e">
        <f t="shared" si="811"/>
        <v>#NUM!</v>
      </c>
      <c r="K5144" s="83" t="e">
        <f t="shared" si="812"/>
        <v>#NUM!</v>
      </c>
      <c r="L5144" s="83">
        <f t="shared" si="813"/>
        <v>0</v>
      </c>
      <c r="M5144" s="110" t="str">
        <f t="shared" si="814"/>
        <v/>
      </c>
      <c r="N5144" s="51" t="str">
        <f t="shared" si="815"/>
        <v/>
      </c>
      <c r="O5144" s="52" t="str">
        <f t="shared" si="816"/>
        <v/>
      </c>
      <c r="P5144" s="88">
        <f t="shared" si="817"/>
        <v>0</v>
      </c>
      <c r="Q5144" s="88">
        <f t="shared" si="818"/>
        <v>0</v>
      </c>
      <c r="R5144" s="88" t="e">
        <f>-IF(Tabla14[[#This Row],[DIAS HABILES O MORA]]&lt;0,(Tabla14[[#This Row],[VALOR PRESTAMO]]*Tabla14[[#This Row],[% INTERES ]]/30*U5144))+Tabla14[[#This Row],[VALOR CUOTAS]]</f>
        <v>#VALUE!</v>
      </c>
      <c r="S5144" s="88">
        <f>-IF(Tabla14[[#This Row],[DIAS HABILES O MORA]]&lt;0,(Tabla14[[#This Row],[VALOR PRESTAMO]]*Tabla14[[#This Row],[% INTERES ]]/30*U5144))</f>
        <v>0</v>
      </c>
      <c r="T5144" s="53" t="e">
        <f>Tabla14[[#This Row],[DEUDA CAPITAL]]+Tabla14[[#This Row],[INTERES  CUOTA]]</f>
        <v>#NUM!</v>
      </c>
      <c r="U5144" s="61" t="str">
        <f t="shared" si="819"/>
        <v/>
      </c>
    </row>
    <row r="5145" spans="9:21" ht="24.75" customHeight="1" x14ac:dyDescent="0.35">
      <c r="I5145" s="42">
        <f t="shared" si="810"/>
        <v>0</v>
      </c>
      <c r="J5145" s="65" t="e">
        <f t="shared" si="811"/>
        <v>#NUM!</v>
      </c>
      <c r="K5145" s="83" t="e">
        <f t="shared" si="812"/>
        <v>#NUM!</v>
      </c>
      <c r="L5145" s="83">
        <f t="shared" si="813"/>
        <v>0</v>
      </c>
      <c r="M5145" s="110" t="str">
        <f t="shared" si="814"/>
        <v/>
      </c>
      <c r="N5145" s="51" t="str">
        <f t="shared" si="815"/>
        <v/>
      </c>
      <c r="O5145" s="52" t="str">
        <f t="shared" si="816"/>
        <v/>
      </c>
      <c r="P5145" s="88">
        <f t="shared" si="817"/>
        <v>0</v>
      </c>
      <c r="Q5145" s="88">
        <f t="shared" si="818"/>
        <v>0</v>
      </c>
      <c r="R5145" s="88" t="e">
        <f>-IF(Tabla14[[#This Row],[DIAS HABILES O MORA]]&lt;0,(Tabla14[[#This Row],[VALOR PRESTAMO]]*Tabla14[[#This Row],[% INTERES ]]/30*U5145))+Tabla14[[#This Row],[VALOR CUOTAS]]</f>
        <v>#VALUE!</v>
      </c>
      <c r="S5145" s="88">
        <f>-IF(Tabla14[[#This Row],[DIAS HABILES O MORA]]&lt;0,(Tabla14[[#This Row],[VALOR PRESTAMO]]*Tabla14[[#This Row],[% INTERES ]]/30*U5145))</f>
        <v>0</v>
      </c>
      <c r="T5145" s="53" t="e">
        <f>Tabla14[[#This Row],[DEUDA CAPITAL]]+Tabla14[[#This Row],[INTERES  CUOTA]]</f>
        <v>#NUM!</v>
      </c>
      <c r="U5145" s="61" t="str">
        <f t="shared" si="819"/>
        <v/>
      </c>
    </row>
    <row r="5146" spans="9:21" ht="24.75" customHeight="1" x14ac:dyDescent="0.35">
      <c r="I5146" s="42">
        <f t="shared" si="810"/>
        <v>0</v>
      </c>
      <c r="J5146" s="65" t="e">
        <f t="shared" si="811"/>
        <v>#NUM!</v>
      </c>
      <c r="K5146" s="83" t="e">
        <f t="shared" si="812"/>
        <v>#NUM!</v>
      </c>
      <c r="L5146" s="83">
        <f t="shared" si="813"/>
        <v>0</v>
      </c>
      <c r="M5146" s="110" t="str">
        <f t="shared" si="814"/>
        <v/>
      </c>
      <c r="N5146" s="51" t="str">
        <f t="shared" si="815"/>
        <v/>
      </c>
      <c r="O5146" s="52" t="str">
        <f t="shared" si="816"/>
        <v/>
      </c>
      <c r="P5146" s="88">
        <f t="shared" si="817"/>
        <v>0</v>
      </c>
      <c r="Q5146" s="88">
        <f t="shared" si="818"/>
        <v>0</v>
      </c>
      <c r="R5146" s="88" t="e">
        <f>-IF(Tabla14[[#This Row],[DIAS HABILES O MORA]]&lt;0,(Tabla14[[#This Row],[VALOR PRESTAMO]]*Tabla14[[#This Row],[% INTERES ]]/30*U5146))+Tabla14[[#This Row],[VALOR CUOTAS]]</f>
        <v>#VALUE!</v>
      </c>
      <c r="S5146" s="88">
        <f>-IF(Tabla14[[#This Row],[DIAS HABILES O MORA]]&lt;0,(Tabla14[[#This Row],[VALOR PRESTAMO]]*Tabla14[[#This Row],[% INTERES ]]/30*U5146))</f>
        <v>0</v>
      </c>
      <c r="T5146" s="53" t="e">
        <f>Tabla14[[#This Row],[DEUDA CAPITAL]]+Tabla14[[#This Row],[INTERES  CUOTA]]</f>
        <v>#NUM!</v>
      </c>
      <c r="U5146" s="61" t="str">
        <f t="shared" si="819"/>
        <v/>
      </c>
    </row>
    <row r="5147" spans="9:21" ht="24.75" customHeight="1" x14ac:dyDescent="0.35">
      <c r="I5147" s="42">
        <f t="shared" si="810"/>
        <v>0</v>
      </c>
      <c r="J5147" s="65" t="e">
        <f t="shared" si="811"/>
        <v>#NUM!</v>
      </c>
      <c r="K5147" s="83" t="e">
        <f t="shared" si="812"/>
        <v>#NUM!</v>
      </c>
      <c r="L5147" s="83">
        <f t="shared" si="813"/>
        <v>0</v>
      </c>
      <c r="M5147" s="110" t="str">
        <f t="shared" si="814"/>
        <v/>
      </c>
      <c r="N5147" s="51" t="str">
        <f t="shared" si="815"/>
        <v/>
      </c>
      <c r="O5147" s="52" t="str">
        <f t="shared" si="816"/>
        <v/>
      </c>
      <c r="P5147" s="88">
        <f t="shared" si="817"/>
        <v>0</v>
      </c>
      <c r="Q5147" s="88">
        <f t="shared" si="818"/>
        <v>0</v>
      </c>
      <c r="R5147" s="88" t="e">
        <f>-IF(Tabla14[[#This Row],[DIAS HABILES O MORA]]&lt;0,(Tabla14[[#This Row],[VALOR PRESTAMO]]*Tabla14[[#This Row],[% INTERES ]]/30*U5147))+Tabla14[[#This Row],[VALOR CUOTAS]]</f>
        <v>#VALUE!</v>
      </c>
      <c r="S5147" s="88">
        <f>-IF(Tabla14[[#This Row],[DIAS HABILES O MORA]]&lt;0,(Tabla14[[#This Row],[VALOR PRESTAMO]]*Tabla14[[#This Row],[% INTERES ]]/30*U5147))</f>
        <v>0</v>
      </c>
      <c r="T5147" s="53" t="e">
        <f>Tabla14[[#This Row],[DEUDA CAPITAL]]+Tabla14[[#This Row],[INTERES  CUOTA]]</f>
        <v>#NUM!</v>
      </c>
      <c r="U5147" s="61" t="str">
        <f t="shared" si="819"/>
        <v/>
      </c>
    </row>
    <row r="5148" spans="9:21" ht="24.75" customHeight="1" x14ac:dyDescent="0.35">
      <c r="I5148" s="42">
        <f t="shared" si="810"/>
        <v>0</v>
      </c>
      <c r="J5148" s="65" t="e">
        <f t="shared" si="811"/>
        <v>#NUM!</v>
      </c>
      <c r="K5148" s="83" t="e">
        <f t="shared" si="812"/>
        <v>#NUM!</v>
      </c>
      <c r="L5148" s="83">
        <f t="shared" si="813"/>
        <v>0</v>
      </c>
      <c r="M5148" s="110" t="str">
        <f t="shared" si="814"/>
        <v/>
      </c>
      <c r="N5148" s="51" t="str">
        <f t="shared" si="815"/>
        <v/>
      </c>
      <c r="O5148" s="52" t="str">
        <f t="shared" si="816"/>
        <v/>
      </c>
      <c r="P5148" s="88">
        <f t="shared" si="817"/>
        <v>0</v>
      </c>
      <c r="Q5148" s="88">
        <f t="shared" si="818"/>
        <v>0</v>
      </c>
      <c r="R5148" s="88" t="e">
        <f>-IF(Tabla14[[#This Row],[DIAS HABILES O MORA]]&lt;0,(Tabla14[[#This Row],[VALOR PRESTAMO]]*Tabla14[[#This Row],[% INTERES ]]/30*U5148))+Tabla14[[#This Row],[VALOR CUOTAS]]</f>
        <v>#VALUE!</v>
      </c>
      <c r="S5148" s="88">
        <f>-IF(Tabla14[[#This Row],[DIAS HABILES O MORA]]&lt;0,(Tabla14[[#This Row],[VALOR PRESTAMO]]*Tabla14[[#This Row],[% INTERES ]]/30*U5148))</f>
        <v>0</v>
      </c>
      <c r="T5148" s="53" t="e">
        <f>Tabla14[[#This Row],[DEUDA CAPITAL]]+Tabla14[[#This Row],[INTERES  CUOTA]]</f>
        <v>#NUM!</v>
      </c>
      <c r="U5148" s="61" t="str">
        <f t="shared" si="819"/>
        <v/>
      </c>
    </row>
    <row r="5149" spans="9:21" ht="24.75" customHeight="1" x14ac:dyDescent="0.35">
      <c r="I5149" s="42">
        <f t="shared" si="810"/>
        <v>0</v>
      </c>
      <c r="J5149" s="65" t="e">
        <f t="shared" si="811"/>
        <v>#NUM!</v>
      </c>
      <c r="K5149" s="83" t="e">
        <f t="shared" si="812"/>
        <v>#NUM!</v>
      </c>
      <c r="L5149" s="83">
        <f t="shared" si="813"/>
        <v>0</v>
      </c>
      <c r="M5149" s="110" t="str">
        <f t="shared" si="814"/>
        <v/>
      </c>
      <c r="N5149" s="51" t="str">
        <f t="shared" si="815"/>
        <v/>
      </c>
      <c r="O5149" s="52" t="str">
        <f t="shared" si="816"/>
        <v/>
      </c>
      <c r="P5149" s="88">
        <f t="shared" si="817"/>
        <v>0</v>
      </c>
      <c r="Q5149" s="88">
        <f t="shared" si="818"/>
        <v>0</v>
      </c>
      <c r="R5149" s="88" t="e">
        <f>-IF(Tabla14[[#This Row],[DIAS HABILES O MORA]]&lt;0,(Tabla14[[#This Row],[VALOR PRESTAMO]]*Tabla14[[#This Row],[% INTERES ]]/30*U5149))+Tabla14[[#This Row],[VALOR CUOTAS]]</f>
        <v>#VALUE!</v>
      </c>
      <c r="S5149" s="88">
        <f>-IF(Tabla14[[#This Row],[DIAS HABILES O MORA]]&lt;0,(Tabla14[[#This Row],[VALOR PRESTAMO]]*Tabla14[[#This Row],[% INTERES ]]/30*U5149))</f>
        <v>0</v>
      </c>
      <c r="T5149" s="53" t="e">
        <f>Tabla14[[#This Row],[DEUDA CAPITAL]]+Tabla14[[#This Row],[INTERES  CUOTA]]</f>
        <v>#NUM!</v>
      </c>
      <c r="U5149" s="61" t="str">
        <f t="shared" si="819"/>
        <v/>
      </c>
    </row>
    <row r="5150" spans="9:21" ht="24.75" customHeight="1" x14ac:dyDescent="0.35">
      <c r="I5150" s="42">
        <f t="shared" si="810"/>
        <v>0</v>
      </c>
      <c r="J5150" s="65" t="e">
        <f t="shared" si="811"/>
        <v>#NUM!</v>
      </c>
      <c r="K5150" s="83" t="e">
        <f t="shared" si="812"/>
        <v>#NUM!</v>
      </c>
      <c r="L5150" s="83">
        <f t="shared" si="813"/>
        <v>0</v>
      </c>
      <c r="M5150" s="110" t="str">
        <f t="shared" si="814"/>
        <v/>
      </c>
      <c r="N5150" s="51" t="str">
        <f t="shared" si="815"/>
        <v/>
      </c>
      <c r="O5150" s="52" t="str">
        <f t="shared" si="816"/>
        <v/>
      </c>
      <c r="P5150" s="88">
        <f t="shared" si="817"/>
        <v>0</v>
      </c>
      <c r="Q5150" s="88">
        <f t="shared" si="818"/>
        <v>0</v>
      </c>
      <c r="R5150" s="88" t="e">
        <f>-IF(Tabla14[[#This Row],[DIAS HABILES O MORA]]&lt;0,(Tabla14[[#This Row],[VALOR PRESTAMO]]*Tabla14[[#This Row],[% INTERES ]]/30*U5150))+Tabla14[[#This Row],[VALOR CUOTAS]]</f>
        <v>#VALUE!</v>
      </c>
      <c r="S5150" s="88">
        <f>-IF(Tabla14[[#This Row],[DIAS HABILES O MORA]]&lt;0,(Tabla14[[#This Row],[VALOR PRESTAMO]]*Tabla14[[#This Row],[% INTERES ]]/30*U5150))</f>
        <v>0</v>
      </c>
      <c r="T5150" s="53" t="e">
        <f>Tabla14[[#This Row],[DEUDA CAPITAL]]+Tabla14[[#This Row],[INTERES  CUOTA]]</f>
        <v>#NUM!</v>
      </c>
      <c r="U5150" s="61" t="str">
        <f t="shared" si="819"/>
        <v/>
      </c>
    </row>
    <row r="5151" spans="9:21" ht="24.75" customHeight="1" x14ac:dyDescent="0.35">
      <c r="I5151" s="42">
        <f t="shared" si="810"/>
        <v>0</v>
      </c>
      <c r="J5151" s="65" t="e">
        <f t="shared" si="811"/>
        <v>#NUM!</v>
      </c>
      <c r="K5151" s="83" t="e">
        <f t="shared" si="812"/>
        <v>#NUM!</v>
      </c>
      <c r="L5151" s="83">
        <f t="shared" si="813"/>
        <v>0</v>
      </c>
      <c r="M5151" s="110" t="str">
        <f t="shared" si="814"/>
        <v/>
      </c>
      <c r="N5151" s="51" t="str">
        <f t="shared" si="815"/>
        <v/>
      </c>
      <c r="O5151" s="52" t="str">
        <f t="shared" si="816"/>
        <v/>
      </c>
      <c r="P5151" s="88">
        <f t="shared" si="817"/>
        <v>0</v>
      </c>
      <c r="Q5151" s="88">
        <f t="shared" si="818"/>
        <v>0</v>
      </c>
      <c r="R5151" s="88" t="e">
        <f>-IF(Tabla14[[#This Row],[DIAS HABILES O MORA]]&lt;0,(Tabla14[[#This Row],[VALOR PRESTAMO]]*Tabla14[[#This Row],[% INTERES ]]/30*U5151))+Tabla14[[#This Row],[VALOR CUOTAS]]</f>
        <v>#VALUE!</v>
      </c>
      <c r="S5151" s="88">
        <f>-IF(Tabla14[[#This Row],[DIAS HABILES O MORA]]&lt;0,(Tabla14[[#This Row],[VALOR PRESTAMO]]*Tabla14[[#This Row],[% INTERES ]]/30*U5151))</f>
        <v>0</v>
      </c>
      <c r="T5151" s="53" t="e">
        <f>Tabla14[[#This Row],[DEUDA CAPITAL]]+Tabla14[[#This Row],[INTERES  CUOTA]]</f>
        <v>#NUM!</v>
      </c>
      <c r="U5151" s="61" t="str">
        <f t="shared" si="819"/>
        <v/>
      </c>
    </row>
    <row r="5152" spans="9:21" ht="24.75" customHeight="1" x14ac:dyDescent="0.35">
      <c r="I5152" s="42">
        <f t="shared" si="810"/>
        <v>0</v>
      </c>
      <c r="J5152" s="65" t="e">
        <f t="shared" si="811"/>
        <v>#NUM!</v>
      </c>
      <c r="K5152" s="83" t="e">
        <f t="shared" si="812"/>
        <v>#NUM!</v>
      </c>
      <c r="L5152" s="83">
        <f t="shared" si="813"/>
        <v>0</v>
      </c>
      <c r="M5152" s="110" t="str">
        <f t="shared" si="814"/>
        <v/>
      </c>
      <c r="N5152" s="51" t="str">
        <f t="shared" si="815"/>
        <v/>
      </c>
      <c r="O5152" s="52" t="str">
        <f t="shared" si="816"/>
        <v/>
      </c>
      <c r="P5152" s="88">
        <f t="shared" si="817"/>
        <v>0</v>
      </c>
      <c r="Q5152" s="88">
        <f t="shared" si="818"/>
        <v>0</v>
      </c>
      <c r="R5152" s="88" t="e">
        <f>-IF(Tabla14[[#This Row],[DIAS HABILES O MORA]]&lt;0,(Tabla14[[#This Row],[VALOR PRESTAMO]]*Tabla14[[#This Row],[% INTERES ]]/30*U5152))+Tabla14[[#This Row],[VALOR CUOTAS]]</f>
        <v>#VALUE!</v>
      </c>
      <c r="S5152" s="88">
        <f>-IF(Tabla14[[#This Row],[DIAS HABILES O MORA]]&lt;0,(Tabla14[[#This Row],[VALOR PRESTAMO]]*Tabla14[[#This Row],[% INTERES ]]/30*U5152))</f>
        <v>0</v>
      </c>
      <c r="T5152" s="53" t="e">
        <f>Tabla14[[#This Row],[DEUDA CAPITAL]]+Tabla14[[#This Row],[INTERES  CUOTA]]</f>
        <v>#NUM!</v>
      </c>
      <c r="U5152" s="61" t="str">
        <f t="shared" si="819"/>
        <v/>
      </c>
    </row>
    <row r="5153" spans="9:21" ht="24.75" customHeight="1" x14ac:dyDescent="0.35">
      <c r="I5153" s="42">
        <f t="shared" si="810"/>
        <v>0</v>
      </c>
      <c r="J5153" s="65" t="e">
        <f t="shared" si="811"/>
        <v>#NUM!</v>
      </c>
      <c r="K5153" s="83" t="e">
        <f t="shared" si="812"/>
        <v>#NUM!</v>
      </c>
      <c r="L5153" s="83">
        <f t="shared" si="813"/>
        <v>0</v>
      </c>
      <c r="M5153" s="110" t="str">
        <f t="shared" si="814"/>
        <v/>
      </c>
      <c r="N5153" s="51" t="str">
        <f t="shared" si="815"/>
        <v/>
      </c>
      <c r="O5153" s="52" t="str">
        <f t="shared" si="816"/>
        <v/>
      </c>
      <c r="P5153" s="88">
        <f t="shared" si="817"/>
        <v>0</v>
      </c>
      <c r="Q5153" s="88">
        <f t="shared" si="818"/>
        <v>0</v>
      </c>
      <c r="R5153" s="88" t="e">
        <f>-IF(Tabla14[[#This Row],[DIAS HABILES O MORA]]&lt;0,(Tabla14[[#This Row],[VALOR PRESTAMO]]*Tabla14[[#This Row],[% INTERES ]]/30*U5153))+Tabla14[[#This Row],[VALOR CUOTAS]]</f>
        <v>#VALUE!</v>
      </c>
      <c r="S5153" s="88">
        <f>-IF(Tabla14[[#This Row],[DIAS HABILES O MORA]]&lt;0,(Tabla14[[#This Row],[VALOR PRESTAMO]]*Tabla14[[#This Row],[% INTERES ]]/30*U5153))</f>
        <v>0</v>
      </c>
      <c r="T5153" s="53" t="e">
        <f>Tabla14[[#This Row],[DEUDA CAPITAL]]+Tabla14[[#This Row],[INTERES  CUOTA]]</f>
        <v>#NUM!</v>
      </c>
      <c r="U5153" s="61" t="str">
        <f t="shared" si="819"/>
        <v/>
      </c>
    </row>
    <row r="5154" spans="9:21" ht="24.75" customHeight="1" x14ac:dyDescent="0.35">
      <c r="I5154" s="42">
        <f t="shared" si="810"/>
        <v>0</v>
      </c>
      <c r="J5154" s="65" t="e">
        <f t="shared" si="811"/>
        <v>#NUM!</v>
      </c>
      <c r="K5154" s="83" t="e">
        <f t="shared" si="812"/>
        <v>#NUM!</v>
      </c>
      <c r="L5154" s="83">
        <f t="shared" si="813"/>
        <v>0</v>
      </c>
      <c r="M5154" s="110" t="str">
        <f t="shared" si="814"/>
        <v/>
      </c>
      <c r="N5154" s="51" t="str">
        <f t="shared" si="815"/>
        <v/>
      </c>
      <c r="O5154" s="52" t="str">
        <f t="shared" si="816"/>
        <v/>
      </c>
      <c r="P5154" s="88">
        <f t="shared" si="817"/>
        <v>0</v>
      </c>
      <c r="Q5154" s="88">
        <f t="shared" si="818"/>
        <v>0</v>
      </c>
      <c r="R5154" s="88" t="e">
        <f>-IF(Tabla14[[#This Row],[DIAS HABILES O MORA]]&lt;0,(Tabla14[[#This Row],[VALOR PRESTAMO]]*Tabla14[[#This Row],[% INTERES ]]/30*U5154))+Tabla14[[#This Row],[VALOR CUOTAS]]</f>
        <v>#VALUE!</v>
      </c>
      <c r="S5154" s="88">
        <f>-IF(Tabla14[[#This Row],[DIAS HABILES O MORA]]&lt;0,(Tabla14[[#This Row],[VALOR PRESTAMO]]*Tabla14[[#This Row],[% INTERES ]]/30*U5154))</f>
        <v>0</v>
      </c>
      <c r="T5154" s="53" t="e">
        <f>Tabla14[[#This Row],[DEUDA CAPITAL]]+Tabla14[[#This Row],[INTERES  CUOTA]]</f>
        <v>#NUM!</v>
      </c>
      <c r="U5154" s="61" t="str">
        <f t="shared" si="819"/>
        <v/>
      </c>
    </row>
    <row r="5155" spans="9:21" ht="24.75" customHeight="1" x14ac:dyDescent="0.35">
      <c r="I5155" s="42">
        <f t="shared" si="810"/>
        <v>0</v>
      </c>
      <c r="J5155" s="65" t="e">
        <f t="shared" si="811"/>
        <v>#NUM!</v>
      </c>
      <c r="K5155" s="83" t="e">
        <f t="shared" si="812"/>
        <v>#NUM!</v>
      </c>
      <c r="L5155" s="83">
        <f t="shared" si="813"/>
        <v>0</v>
      </c>
      <c r="M5155" s="110" t="str">
        <f t="shared" si="814"/>
        <v/>
      </c>
      <c r="N5155" s="51" t="str">
        <f t="shared" si="815"/>
        <v/>
      </c>
      <c r="O5155" s="52" t="str">
        <f t="shared" si="816"/>
        <v/>
      </c>
      <c r="P5155" s="88">
        <f t="shared" si="817"/>
        <v>0</v>
      </c>
      <c r="Q5155" s="88">
        <f t="shared" si="818"/>
        <v>0</v>
      </c>
      <c r="R5155" s="88" t="e">
        <f>-IF(Tabla14[[#This Row],[DIAS HABILES O MORA]]&lt;0,(Tabla14[[#This Row],[VALOR PRESTAMO]]*Tabla14[[#This Row],[% INTERES ]]/30*U5155))+Tabla14[[#This Row],[VALOR CUOTAS]]</f>
        <v>#VALUE!</v>
      </c>
      <c r="S5155" s="88">
        <f>-IF(Tabla14[[#This Row],[DIAS HABILES O MORA]]&lt;0,(Tabla14[[#This Row],[VALOR PRESTAMO]]*Tabla14[[#This Row],[% INTERES ]]/30*U5155))</f>
        <v>0</v>
      </c>
      <c r="T5155" s="53" t="e">
        <f>Tabla14[[#This Row],[DEUDA CAPITAL]]+Tabla14[[#This Row],[INTERES  CUOTA]]</f>
        <v>#NUM!</v>
      </c>
      <c r="U5155" s="61" t="str">
        <f t="shared" si="819"/>
        <v/>
      </c>
    </row>
    <row r="5156" spans="9:21" ht="24.75" customHeight="1" x14ac:dyDescent="0.35">
      <c r="I5156" s="42">
        <f t="shared" si="810"/>
        <v>0</v>
      </c>
      <c r="J5156" s="65" t="e">
        <f t="shared" si="811"/>
        <v>#NUM!</v>
      </c>
      <c r="K5156" s="83" t="e">
        <f t="shared" si="812"/>
        <v>#NUM!</v>
      </c>
      <c r="L5156" s="83">
        <f t="shared" si="813"/>
        <v>0</v>
      </c>
      <c r="M5156" s="110" t="str">
        <f t="shared" si="814"/>
        <v/>
      </c>
      <c r="N5156" s="51" t="str">
        <f t="shared" si="815"/>
        <v/>
      </c>
      <c r="O5156" s="52" t="str">
        <f t="shared" si="816"/>
        <v/>
      </c>
      <c r="P5156" s="88">
        <f t="shared" si="817"/>
        <v>0</v>
      </c>
      <c r="Q5156" s="88">
        <f t="shared" si="818"/>
        <v>0</v>
      </c>
      <c r="R5156" s="88" t="e">
        <f>-IF(Tabla14[[#This Row],[DIAS HABILES O MORA]]&lt;0,(Tabla14[[#This Row],[VALOR PRESTAMO]]*Tabla14[[#This Row],[% INTERES ]]/30*U5156))+Tabla14[[#This Row],[VALOR CUOTAS]]</f>
        <v>#VALUE!</v>
      </c>
      <c r="S5156" s="88">
        <f>-IF(Tabla14[[#This Row],[DIAS HABILES O MORA]]&lt;0,(Tabla14[[#This Row],[VALOR PRESTAMO]]*Tabla14[[#This Row],[% INTERES ]]/30*U5156))</f>
        <v>0</v>
      </c>
      <c r="T5156" s="53" t="e">
        <f>Tabla14[[#This Row],[DEUDA CAPITAL]]+Tabla14[[#This Row],[INTERES  CUOTA]]</f>
        <v>#NUM!</v>
      </c>
      <c r="U5156" s="61" t="str">
        <f t="shared" si="819"/>
        <v/>
      </c>
    </row>
    <row r="5157" spans="9:21" ht="24.75" customHeight="1" x14ac:dyDescent="0.35">
      <c r="I5157" s="42">
        <f t="shared" si="810"/>
        <v>0</v>
      </c>
      <c r="J5157" s="65" t="e">
        <f t="shared" si="811"/>
        <v>#NUM!</v>
      </c>
      <c r="K5157" s="83" t="e">
        <f t="shared" si="812"/>
        <v>#NUM!</v>
      </c>
      <c r="L5157" s="83">
        <f t="shared" si="813"/>
        <v>0</v>
      </c>
      <c r="M5157" s="110" t="str">
        <f t="shared" si="814"/>
        <v/>
      </c>
      <c r="N5157" s="51" t="str">
        <f t="shared" si="815"/>
        <v/>
      </c>
      <c r="O5157" s="52" t="str">
        <f t="shared" si="816"/>
        <v/>
      </c>
      <c r="P5157" s="88">
        <f t="shared" si="817"/>
        <v>0</v>
      </c>
      <c r="Q5157" s="88">
        <f t="shared" si="818"/>
        <v>0</v>
      </c>
      <c r="R5157" s="88" t="e">
        <f>-IF(Tabla14[[#This Row],[DIAS HABILES O MORA]]&lt;0,(Tabla14[[#This Row],[VALOR PRESTAMO]]*Tabla14[[#This Row],[% INTERES ]]/30*U5157))+Tabla14[[#This Row],[VALOR CUOTAS]]</f>
        <v>#VALUE!</v>
      </c>
      <c r="S5157" s="88">
        <f>-IF(Tabla14[[#This Row],[DIAS HABILES O MORA]]&lt;0,(Tabla14[[#This Row],[VALOR PRESTAMO]]*Tabla14[[#This Row],[% INTERES ]]/30*U5157))</f>
        <v>0</v>
      </c>
      <c r="T5157" s="53" t="e">
        <f>Tabla14[[#This Row],[DEUDA CAPITAL]]+Tabla14[[#This Row],[INTERES  CUOTA]]</f>
        <v>#NUM!</v>
      </c>
      <c r="U5157" s="61" t="str">
        <f t="shared" si="819"/>
        <v/>
      </c>
    </row>
    <row r="5158" spans="9:21" ht="24.75" customHeight="1" x14ac:dyDescent="0.35">
      <c r="I5158" s="42">
        <f t="shared" si="810"/>
        <v>0</v>
      </c>
      <c r="J5158" s="65" t="e">
        <f t="shared" si="811"/>
        <v>#NUM!</v>
      </c>
      <c r="K5158" s="83" t="e">
        <f t="shared" si="812"/>
        <v>#NUM!</v>
      </c>
      <c r="L5158" s="83">
        <f t="shared" si="813"/>
        <v>0</v>
      </c>
      <c r="M5158" s="110" t="str">
        <f t="shared" si="814"/>
        <v/>
      </c>
      <c r="N5158" s="51" t="str">
        <f t="shared" si="815"/>
        <v/>
      </c>
      <c r="O5158" s="52" t="str">
        <f t="shared" si="816"/>
        <v/>
      </c>
      <c r="P5158" s="88">
        <f t="shared" si="817"/>
        <v>0</v>
      </c>
      <c r="Q5158" s="88">
        <f t="shared" si="818"/>
        <v>0</v>
      </c>
      <c r="R5158" s="88" t="e">
        <f>-IF(Tabla14[[#This Row],[DIAS HABILES O MORA]]&lt;0,(Tabla14[[#This Row],[VALOR PRESTAMO]]*Tabla14[[#This Row],[% INTERES ]]/30*U5158))+Tabla14[[#This Row],[VALOR CUOTAS]]</f>
        <v>#VALUE!</v>
      </c>
      <c r="S5158" s="88">
        <f>-IF(Tabla14[[#This Row],[DIAS HABILES O MORA]]&lt;0,(Tabla14[[#This Row],[VALOR PRESTAMO]]*Tabla14[[#This Row],[% INTERES ]]/30*U5158))</f>
        <v>0</v>
      </c>
      <c r="T5158" s="53" t="e">
        <f>Tabla14[[#This Row],[DEUDA CAPITAL]]+Tabla14[[#This Row],[INTERES  CUOTA]]</f>
        <v>#NUM!</v>
      </c>
      <c r="U5158" s="61" t="str">
        <f t="shared" si="819"/>
        <v/>
      </c>
    </row>
    <row r="5159" spans="9:21" ht="24.75" customHeight="1" x14ac:dyDescent="0.35">
      <c r="I5159" s="42">
        <f t="shared" si="810"/>
        <v>0</v>
      </c>
      <c r="J5159" s="65" t="e">
        <f t="shared" si="811"/>
        <v>#NUM!</v>
      </c>
      <c r="K5159" s="83" t="e">
        <f t="shared" si="812"/>
        <v>#NUM!</v>
      </c>
      <c r="L5159" s="83">
        <f t="shared" si="813"/>
        <v>0</v>
      </c>
      <c r="M5159" s="110" t="str">
        <f t="shared" si="814"/>
        <v/>
      </c>
      <c r="N5159" s="51" t="str">
        <f t="shared" si="815"/>
        <v/>
      </c>
      <c r="O5159" s="52" t="str">
        <f t="shared" si="816"/>
        <v/>
      </c>
      <c r="P5159" s="88">
        <f t="shared" si="817"/>
        <v>0</v>
      </c>
      <c r="Q5159" s="88">
        <f t="shared" si="818"/>
        <v>0</v>
      </c>
      <c r="R5159" s="88" t="e">
        <f>-IF(Tabla14[[#This Row],[DIAS HABILES O MORA]]&lt;0,(Tabla14[[#This Row],[VALOR PRESTAMO]]*Tabla14[[#This Row],[% INTERES ]]/30*U5159))+Tabla14[[#This Row],[VALOR CUOTAS]]</f>
        <v>#VALUE!</v>
      </c>
      <c r="S5159" s="88">
        <f>-IF(Tabla14[[#This Row],[DIAS HABILES O MORA]]&lt;0,(Tabla14[[#This Row],[VALOR PRESTAMO]]*Tabla14[[#This Row],[% INTERES ]]/30*U5159))</f>
        <v>0</v>
      </c>
      <c r="T5159" s="53" t="e">
        <f>Tabla14[[#This Row],[DEUDA CAPITAL]]+Tabla14[[#This Row],[INTERES  CUOTA]]</f>
        <v>#NUM!</v>
      </c>
      <c r="U5159" s="61" t="str">
        <f t="shared" si="819"/>
        <v/>
      </c>
    </row>
    <row r="5160" spans="9:21" ht="24.75" customHeight="1" x14ac:dyDescent="0.35">
      <c r="I5160" s="42">
        <f t="shared" si="810"/>
        <v>0</v>
      </c>
      <c r="J5160" s="65" t="e">
        <f t="shared" si="811"/>
        <v>#NUM!</v>
      </c>
      <c r="K5160" s="83" t="e">
        <f t="shared" si="812"/>
        <v>#NUM!</v>
      </c>
      <c r="L5160" s="83">
        <f t="shared" si="813"/>
        <v>0</v>
      </c>
      <c r="M5160" s="110" t="str">
        <f t="shared" si="814"/>
        <v/>
      </c>
      <c r="N5160" s="51" t="str">
        <f t="shared" si="815"/>
        <v/>
      </c>
      <c r="O5160" s="52" t="str">
        <f t="shared" si="816"/>
        <v/>
      </c>
      <c r="P5160" s="88">
        <f t="shared" si="817"/>
        <v>0</v>
      </c>
      <c r="Q5160" s="88">
        <f t="shared" si="818"/>
        <v>0</v>
      </c>
      <c r="R5160" s="88" t="e">
        <f>-IF(Tabla14[[#This Row],[DIAS HABILES O MORA]]&lt;0,(Tabla14[[#This Row],[VALOR PRESTAMO]]*Tabla14[[#This Row],[% INTERES ]]/30*U5160))+Tabla14[[#This Row],[VALOR CUOTAS]]</f>
        <v>#VALUE!</v>
      </c>
      <c r="S5160" s="88">
        <f>-IF(Tabla14[[#This Row],[DIAS HABILES O MORA]]&lt;0,(Tabla14[[#This Row],[VALOR PRESTAMO]]*Tabla14[[#This Row],[% INTERES ]]/30*U5160))</f>
        <v>0</v>
      </c>
      <c r="T5160" s="53" t="e">
        <f>Tabla14[[#This Row],[DEUDA CAPITAL]]+Tabla14[[#This Row],[INTERES  CUOTA]]</f>
        <v>#NUM!</v>
      </c>
      <c r="U5160" s="61" t="str">
        <f t="shared" si="819"/>
        <v/>
      </c>
    </row>
    <row r="5161" spans="9:21" ht="24.75" customHeight="1" x14ac:dyDescent="0.35">
      <c r="I5161" s="42">
        <f t="shared" si="810"/>
        <v>0</v>
      </c>
      <c r="J5161" s="65" t="e">
        <f t="shared" si="811"/>
        <v>#NUM!</v>
      </c>
      <c r="K5161" s="83" t="e">
        <f t="shared" si="812"/>
        <v>#NUM!</v>
      </c>
      <c r="L5161" s="83">
        <f t="shared" si="813"/>
        <v>0</v>
      </c>
      <c r="M5161" s="110" t="str">
        <f t="shared" si="814"/>
        <v/>
      </c>
      <c r="N5161" s="51" t="str">
        <f t="shared" si="815"/>
        <v/>
      </c>
      <c r="O5161" s="52" t="str">
        <f t="shared" si="816"/>
        <v/>
      </c>
      <c r="P5161" s="88">
        <f t="shared" si="817"/>
        <v>0</v>
      </c>
      <c r="Q5161" s="88">
        <f t="shared" si="818"/>
        <v>0</v>
      </c>
      <c r="R5161" s="88" t="e">
        <f>-IF(Tabla14[[#This Row],[DIAS HABILES O MORA]]&lt;0,(Tabla14[[#This Row],[VALOR PRESTAMO]]*Tabla14[[#This Row],[% INTERES ]]/30*U5161))+Tabla14[[#This Row],[VALOR CUOTAS]]</f>
        <v>#VALUE!</v>
      </c>
      <c r="S5161" s="88">
        <f>-IF(Tabla14[[#This Row],[DIAS HABILES O MORA]]&lt;0,(Tabla14[[#This Row],[VALOR PRESTAMO]]*Tabla14[[#This Row],[% INTERES ]]/30*U5161))</f>
        <v>0</v>
      </c>
      <c r="T5161" s="53" t="e">
        <f>Tabla14[[#This Row],[DEUDA CAPITAL]]+Tabla14[[#This Row],[INTERES  CUOTA]]</f>
        <v>#NUM!</v>
      </c>
      <c r="U5161" s="61" t="str">
        <f t="shared" si="819"/>
        <v/>
      </c>
    </row>
    <row r="5162" spans="9:21" ht="24.75" customHeight="1" x14ac:dyDescent="0.35">
      <c r="I5162" s="42">
        <f t="shared" si="810"/>
        <v>0</v>
      </c>
      <c r="J5162" s="65" t="e">
        <f t="shared" si="811"/>
        <v>#NUM!</v>
      </c>
      <c r="K5162" s="83" t="e">
        <f t="shared" si="812"/>
        <v>#NUM!</v>
      </c>
      <c r="L5162" s="83">
        <f t="shared" si="813"/>
        <v>0</v>
      </c>
      <c r="M5162" s="110" t="str">
        <f t="shared" si="814"/>
        <v/>
      </c>
      <c r="N5162" s="51" t="str">
        <f t="shared" si="815"/>
        <v/>
      </c>
      <c r="O5162" s="52" t="str">
        <f t="shared" si="816"/>
        <v/>
      </c>
      <c r="P5162" s="88">
        <f t="shared" si="817"/>
        <v>0</v>
      </c>
      <c r="Q5162" s="88">
        <f t="shared" si="818"/>
        <v>0</v>
      </c>
      <c r="R5162" s="88" t="e">
        <f>-IF(Tabla14[[#This Row],[DIAS HABILES O MORA]]&lt;0,(Tabla14[[#This Row],[VALOR PRESTAMO]]*Tabla14[[#This Row],[% INTERES ]]/30*U5162))+Tabla14[[#This Row],[VALOR CUOTAS]]</f>
        <v>#VALUE!</v>
      </c>
      <c r="S5162" s="88">
        <f>-IF(Tabla14[[#This Row],[DIAS HABILES O MORA]]&lt;0,(Tabla14[[#This Row],[VALOR PRESTAMO]]*Tabla14[[#This Row],[% INTERES ]]/30*U5162))</f>
        <v>0</v>
      </c>
      <c r="T5162" s="53" t="e">
        <f>Tabla14[[#This Row],[DEUDA CAPITAL]]+Tabla14[[#This Row],[INTERES  CUOTA]]</f>
        <v>#NUM!</v>
      </c>
      <c r="U5162" s="61" t="str">
        <f t="shared" si="819"/>
        <v/>
      </c>
    </row>
    <row r="5163" spans="9:21" ht="24.75" customHeight="1" x14ac:dyDescent="0.35">
      <c r="I5163" s="42">
        <f t="shared" si="810"/>
        <v>0</v>
      </c>
      <c r="J5163" s="65" t="e">
        <f t="shared" si="811"/>
        <v>#NUM!</v>
      </c>
      <c r="K5163" s="83" t="e">
        <f t="shared" si="812"/>
        <v>#NUM!</v>
      </c>
      <c r="L5163" s="83">
        <f t="shared" si="813"/>
        <v>0</v>
      </c>
      <c r="M5163" s="110" t="str">
        <f t="shared" si="814"/>
        <v/>
      </c>
      <c r="N5163" s="51" t="str">
        <f t="shared" si="815"/>
        <v/>
      </c>
      <c r="O5163" s="52" t="str">
        <f t="shared" si="816"/>
        <v/>
      </c>
      <c r="P5163" s="88">
        <f t="shared" si="817"/>
        <v>0</v>
      </c>
      <c r="Q5163" s="88">
        <f t="shared" si="818"/>
        <v>0</v>
      </c>
      <c r="R5163" s="88" t="e">
        <f>-IF(Tabla14[[#This Row],[DIAS HABILES O MORA]]&lt;0,(Tabla14[[#This Row],[VALOR PRESTAMO]]*Tabla14[[#This Row],[% INTERES ]]/30*U5163))+Tabla14[[#This Row],[VALOR CUOTAS]]</f>
        <v>#VALUE!</v>
      </c>
      <c r="S5163" s="88">
        <f>-IF(Tabla14[[#This Row],[DIAS HABILES O MORA]]&lt;0,(Tabla14[[#This Row],[VALOR PRESTAMO]]*Tabla14[[#This Row],[% INTERES ]]/30*U5163))</f>
        <v>0</v>
      </c>
      <c r="T5163" s="53" t="e">
        <f>Tabla14[[#This Row],[DEUDA CAPITAL]]+Tabla14[[#This Row],[INTERES  CUOTA]]</f>
        <v>#NUM!</v>
      </c>
      <c r="U5163" s="61" t="str">
        <f t="shared" si="819"/>
        <v/>
      </c>
    </row>
    <row r="5164" spans="9:21" ht="24.75" customHeight="1" x14ac:dyDescent="0.35">
      <c r="I5164" s="42">
        <f t="shared" si="810"/>
        <v>0</v>
      </c>
      <c r="J5164" s="65" t="e">
        <f t="shared" si="811"/>
        <v>#NUM!</v>
      </c>
      <c r="K5164" s="83" t="e">
        <f t="shared" si="812"/>
        <v>#NUM!</v>
      </c>
      <c r="L5164" s="83">
        <f t="shared" si="813"/>
        <v>0</v>
      </c>
      <c r="M5164" s="110" t="str">
        <f t="shared" si="814"/>
        <v/>
      </c>
      <c r="N5164" s="51" t="str">
        <f t="shared" si="815"/>
        <v/>
      </c>
      <c r="O5164" s="52" t="str">
        <f t="shared" si="816"/>
        <v/>
      </c>
      <c r="P5164" s="88">
        <f t="shared" si="817"/>
        <v>0</v>
      </c>
      <c r="Q5164" s="88">
        <f t="shared" si="818"/>
        <v>0</v>
      </c>
      <c r="R5164" s="88" t="e">
        <f>-IF(Tabla14[[#This Row],[DIAS HABILES O MORA]]&lt;0,(Tabla14[[#This Row],[VALOR PRESTAMO]]*Tabla14[[#This Row],[% INTERES ]]/30*U5164))+Tabla14[[#This Row],[VALOR CUOTAS]]</f>
        <v>#VALUE!</v>
      </c>
      <c r="S5164" s="88">
        <f>-IF(Tabla14[[#This Row],[DIAS HABILES O MORA]]&lt;0,(Tabla14[[#This Row],[VALOR PRESTAMO]]*Tabla14[[#This Row],[% INTERES ]]/30*U5164))</f>
        <v>0</v>
      </c>
      <c r="T5164" s="53" t="e">
        <f>Tabla14[[#This Row],[DEUDA CAPITAL]]+Tabla14[[#This Row],[INTERES  CUOTA]]</f>
        <v>#NUM!</v>
      </c>
      <c r="U5164" s="61" t="str">
        <f t="shared" si="819"/>
        <v/>
      </c>
    </row>
    <row r="5165" spans="9:21" ht="24.75" customHeight="1" x14ac:dyDescent="0.35">
      <c r="I5165" s="42">
        <f t="shared" si="810"/>
        <v>0</v>
      </c>
      <c r="J5165" s="65" t="e">
        <f t="shared" si="811"/>
        <v>#NUM!</v>
      </c>
      <c r="K5165" s="83" t="e">
        <f t="shared" si="812"/>
        <v>#NUM!</v>
      </c>
      <c r="L5165" s="83">
        <f t="shared" si="813"/>
        <v>0</v>
      </c>
      <c r="M5165" s="110" t="str">
        <f t="shared" si="814"/>
        <v/>
      </c>
      <c r="N5165" s="51" t="str">
        <f t="shared" si="815"/>
        <v/>
      </c>
      <c r="O5165" s="52" t="str">
        <f t="shared" si="816"/>
        <v/>
      </c>
      <c r="P5165" s="88">
        <f t="shared" si="817"/>
        <v>0</v>
      </c>
      <c r="Q5165" s="88">
        <f t="shared" si="818"/>
        <v>0</v>
      </c>
      <c r="R5165" s="88" t="e">
        <f>-IF(Tabla14[[#This Row],[DIAS HABILES O MORA]]&lt;0,(Tabla14[[#This Row],[VALOR PRESTAMO]]*Tabla14[[#This Row],[% INTERES ]]/30*U5165))+Tabla14[[#This Row],[VALOR CUOTAS]]</f>
        <v>#VALUE!</v>
      </c>
      <c r="S5165" s="88">
        <f>-IF(Tabla14[[#This Row],[DIAS HABILES O MORA]]&lt;0,(Tabla14[[#This Row],[VALOR PRESTAMO]]*Tabla14[[#This Row],[% INTERES ]]/30*U5165))</f>
        <v>0</v>
      </c>
      <c r="T5165" s="53" t="e">
        <f>Tabla14[[#This Row],[DEUDA CAPITAL]]+Tabla14[[#This Row],[INTERES  CUOTA]]</f>
        <v>#NUM!</v>
      </c>
      <c r="U5165" s="61" t="str">
        <f t="shared" si="819"/>
        <v/>
      </c>
    </row>
    <row r="5166" spans="9:21" ht="24.75" customHeight="1" x14ac:dyDescent="0.35">
      <c r="I5166" s="42">
        <f t="shared" si="810"/>
        <v>0</v>
      </c>
      <c r="J5166" s="65" t="e">
        <f t="shared" si="811"/>
        <v>#NUM!</v>
      </c>
      <c r="K5166" s="83" t="e">
        <f t="shared" si="812"/>
        <v>#NUM!</v>
      </c>
      <c r="L5166" s="83">
        <f t="shared" si="813"/>
        <v>0</v>
      </c>
      <c r="M5166" s="110" t="str">
        <f t="shared" si="814"/>
        <v/>
      </c>
      <c r="N5166" s="51" t="str">
        <f t="shared" si="815"/>
        <v/>
      </c>
      <c r="O5166" s="52" t="str">
        <f t="shared" si="816"/>
        <v/>
      </c>
      <c r="P5166" s="88">
        <f t="shared" si="817"/>
        <v>0</v>
      </c>
      <c r="Q5166" s="88">
        <f t="shared" si="818"/>
        <v>0</v>
      </c>
      <c r="R5166" s="88" t="e">
        <f>-IF(Tabla14[[#This Row],[DIAS HABILES O MORA]]&lt;0,(Tabla14[[#This Row],[VALOR PRESTAMO]]*Tabla14[[#This Row],[% INTERES ]]/30*U5166))+Tabla14[[#This Row],[VALOR CUOTAS]]</f>
        <v>#VALUE!</v>
      </c>
      <c r="S5166" s="88">
        <f>-IF(Tabla14[[#This Row],[DIAS HABILES O MORA]]&lt;0,(Tabla14[[#This Row],[VALOR PRESTAMO]]*Tabla14[[#This Row],[% INTERES ]]/30*U5166))</f>
        <v>0</v>
      </c>
      <c r="T5166" s="53" t="e">
        <f>Tabla14[[#This Row],[DEUDA CAPITAL]]+Tabla14[[#This Row],[INTERES  CUOTA]]</f>
        <v>#NUM!</v>
      </c>
      <c r="U5166" s="61" t="str">
        <f t="shared" si="819"/>
        <v/>
      </c>
    </row>
    <row r="5167" spans="9:21" ht="24.75" customHeight="1" x14ac:dyDescent="0.35">
      <c r="I5167" s="42">
        <f t="shared" si="810"/>
        <v>0</v>
      </c>
      <c r="J5167" s="65" t="e">
        <f t="shared" si="811"/>
        <v>#NUM!</v>
      </c>
      <c r="K5167" s="83" t="e">
        <f t="shared" si="812"/>
        <v>#NUM!</v>
      </c>
      <c r="L5167" s="83">
        <f t="shared" si="813"/>
        <v>0</v>
      </c>
      <c r="M5167" s="110" t="str">
        <f t="shared" si="814"/>
        <v/>
      </c>
      <c r="N5167" s="51" t="str">
        <f t="shared" si="815"/>
        <v/>
      </c>
      <c r="O5167" s="52" t="str">
        <f t="shared" si="816"/>
        <v/>
      </c>
      <c r="P5167" s="88">
        <f t="shared" si="817"/>
        <v>0</v>
      </c>
      <c r="Q5167" s="88">
        <f t="shared" si="818"/>
        <v>0</v>
      </c>
      <c r="R5167" s="88" t="e">
        <f>-IF(Tabla14[[#This Row],[DIAS HABILES O MORA]]&lt;0,(Tabla14[[#This Row],[VALOR PRESTAMO]]*Tabla14[[#This Row],[% INTERES ]]/30*U5167))+Tabla14[[#This Row],[VALOR CUOTAS]]</f>
        <v>#VALUE!</v>
      </c>
      <c r="S5167" s="88">
        <f>-IF(Tabla14[[#This Row],[DIAS HABILES O MORA]]&lt;0,(Tabla14[[#This Row],[VALOR PRESTAMO]]*Tabla14[[#This Row],[% INTERES ]]/30*U5167))</f>
        <v>0</v>
      </c>
      <c r="T5167" s="53" t="e">
        <f>Tabla14[[#This Row],[DEUDA CAPITAL]]+Tabla14[[#This Row],[INTERES  CUOTA]]</f>
        <v>#NUM!</v>
      </c>
      <c r="U5167" s="61" t="str">
        <f t="shared" si="819"/>
        <v/>
      </c>
    </row>
    <row r="5168" spans="9:21" ht="24.75" customHeight="1" x14ac:dyDescent="0.35">
      <c r="I5168" s="42">
        <f t="shared" si="810"/>
        <v>0</v>
      </c>
      <c r="J5168" s="65" t="e">
        <f t="shared" si="811"/>
        <v>#NUM!</v>
      </c>
      <c r="K5168" s="83" t="e">
        <f t="shared" si="812"/>
        <v>#NUM!</v>
      </c>
      <c r="L5168" s="83">
        <f t="shared" si="813"/>
        <v>0</v>
      </c>
      <c r="M5168" s="110" t="str">
        <f t="shared" si="814"/>
        <v/>
      </c>
      <c r="N5168" s="51" t="str">
        <f t="shared" si="815"/>
        <v/>
      </c>
      <c r="O5168" s="52" t="str">
        <f t="shared" si="816"/>
        <v/>
      </c>
      <c r="P5168" s="88">
        <f t="shared" si="817"/>
        <v>0</v>
      </c>
      <c r="Q5168" s="88">
        <f t="shared" si="818"/>
        <v>0</v>
      </c>
      <c r="R5168" s="88" t="e">
        <f>-IF(Tabla14[[#This Row],[DIAS HABILES O MORA]]&lt;0,(Tabla14[[#This Row],[VALOR PRESTAMO]]*Tabla14[[#This Row],[% INTERES ]]/30*U5168))+Tabla14[[#This Row],[VALOR CUOTAS]]</f>
        <v>#VALUE!</v>
      </c>
      <c r="S5168" s="88">
        <f>-IF(Tabla14[[#This Row],[DIAS HABILES O MORA]]&lt;0,(Tabla14[[#This Row],[VALOR PRESTAMO]]*Tabla14[[#This Row],[% INTERES ]]/30*U5168))</f>
        <v>0</v>
      </c>
      <c r="T5168" s="53" t="e">
        <f>Tabla14[[#This Row],[DEUDA CAPITAL]]+Tabla14[[#This Row],[INTERES  CUOTA]]</f>
        <v>#NUM!</v>
      </c>
      <c r="U5168" s="61" t="str">
        <f t="shared" si="819"/>
        <v/>
      </c>
    </row>
    <row r="5169" spans="9:21" ht="24.75" customHeight="1" x14ac:dyDescent="0.35">
      <c r="I5169" s="42">
        <f t="shared" si="810"/>
        <v>0</v>
      </c>
      <c r="J5169" s="65" t="e">
        <f t="shared" si="811"/>
        <v>#NUM!</v>
      </c>
      <c r="K5169" s="83" t="e">
        <f t="shared" si="812"/>
        <v>#NUM!</v>
      </c>
      <c r="L5169" s="83">
        <f t="shared" si="813"/>
        <v>0</v>
      </c>
      <c r="M5169" s="110" t="str">
        <f t="shared" si="814"/>
        <v/>
      </c>
      <c r="N5169" s="51" t="str">
        <f t="shared" si="815"/>
        <v/>
      </c>
      <c r="O5169" s="52" t="str">
        <f t="shared" si="816"/>
        <v/>
      </c>
      <c r="P5169" s="88">
        <f t="shared" si="817"/>
        <v>0</v>
      </c>
      <c r="Q5169" s="88">
        <f t="shared" si="818"/>
        <v>0</v>
      </c>
      <c r="R5169" s="88" t="e">
        <f>-IF(Tabla14[[#This Row],[DIAS HABILES O MORA]]&lt;0,(Tabla14[[#This Row],[VALOR PRESTAMO]]*Tabla14[[#This Row],[% INTERES ]]/30*U5169))+Tabla14[[#This Row],[VALOR CUOTAS]]</f>
        <v>#VALUE!</v>
      </c>
      <c r="S5169" s="88">
        <f>-IF(Tabla14[[#This Row],[DIAS HABILES O MORA]]&lt;0,(Tabla14[[#This Row],[VALOR PRESTAMO]]*Tabla14[[#This Row],[% INTERES ]]/30*U5169))</f>
        <v>0</v>
      </c>
      <c r="T5169" s="53" t="e">
        <f>Tabla14[[#This Row],[DEUDA CAPITAL]]+Tabla14[[#This Row],[INTERES  CUOTA]]</f>
        <v>#NUM!</v>
      </c>
      <c r="U5169" s="61" t="str">
        <f t="shared" si="819"/>
        <v/>
      </c>
    </row>
    <row r="5170" spans="9:21" ht="24.75" customHeight="1" x14ac:dyDescent="0.35">
      <c r="I5170" s="42">
        <f t="shared" si="810"/>
        <v>0</v>
      </c>
      <c r="J5170" s="65" t="e">
        <f t="shared" si="811"/>
        <v>#NUM!</v>
      </c>
      <c r="K5170" s="83" t="e">
        <f t="shared" si="812"/>
        <v>#NUM!</v>
      </c>
      <c r="L5170" s="83">
        <f t="shared" si="813"/>
        <v>0</v>
      </c>
      <c r="M5170" s="110" t="str">
        <f t="shared" si="814"/>
        <v/>
      </c>
      <c r="N5170" s="51" t="str">
        <f t="shared" si="815"/>
        <v/>
      </c>
      <c r="O5170" s="52" t="str">
        <f t="shared" si="816"/>
        <v/>
      </c>
      <c r="P5170" s="88">
        <f t="shared" si="817"/>
        <v>0</v>
      </c>
      <c r="Q5170" s="88">
        <f t="shared" si="818"/>
        <v>0</v>
      </c>
      <c r="R5170" s="88" t="e">
        <f>-IF(Tabla14[[#This Row],[DIAS HABILES O MORA]]&lt;0,(Tabla14[[#This Row],[VALOR PRESTAMO]]*Tabla14[[#This Row],[% INTERES ]]/30*U5170))+Tabla14[[#This Row],[VALOR CUOTAS]]</f>
        <v>#VALUE!</v>
      </c>
      <c r="S5170" s="88">
        <f>-IF(Tabla14[[#This Row],[DIAS HABILES O MORA]]&lt;0,(Tabla14[[#This Row],[VALOR PRESTAMO]]*Tabla14[[#This Row],[% INTERES ]]/30*U5170))</f>
        <v>0</v>
      </c>
      <c r="T5170" s="53" t="e">
        <f>Tabla14[[#This Row],[DEUDA CAPITAL]]+Tabla14[[#This Row],[INTERES  CUOTA]]</f>
        <v>#NUM!</v>
      </c>
      <c r="U5170" s="61" t="str">
        <f t="shared" si="819"/>
        <v/>
      </c>
    </row>
    <row r="5171" spans="9:21" ht="24.75" customHeight="1" x14ac:dyDescent="0.35">
      <c r="I5171" s="42">
        <f t="shared" si="810"/>
        <v>0</v>
      </c>
      <c r="J5171" s="65" t="e">
        <f t="shared" si="811"/>
        <v>#NUM!</v>
      </c>
      <c r="K5171" s="83" t="e">
        <f t="shared" si="812"/>
        <v>#NUM!</v>
      </c>
      <c r="L5171" s="83">
        <f t="shared" si="813"/>
        <v>0</v>
      </c>
      <c r="M5171" s="110" t="str">
        <f t="shared" si="814"/>
        <v/>
      </c>
      <c r="N5171" s="51" t="str">
        <f t="shared" si="815"/>
        <v/>
      </c>
      <c r="O5171" s="52" t="str">
        <f t="shared" si="816"/>
        <v/>
      </c>
      <c r="P5171" s="88">
        <f t="shared" si="817"/>
        <v>0</v>
      </c>
      <c r="Q5171" s="88">
        <f t="shared" si="818"/>
        <v>0</v>
      </c>
      <c r="R5171" s="88" t="e">
        <f>-IF(Tabla14[[#This Row],[DIAS HABILES O MORA]]&lt;0,(Tabla14[[#This Row],[VALOR PRESTAMO]]*Tabla14[[#This Row],[% INTERES ]]/30*U5171))+Tabla14[[#This Row],[VALOR CUOTAS]]</f>
        <v>#VALUE!</v>
      </c>
      <c r="S5171" s="88">
        <f>-IF(Tabla14[[#This Row],[DIAS HABILES O MORA]]&lt;0,(Tabla14[[#This Row],[VALOR PRESTAMO]]*Tabla14[[#This Row],[% INTERES ]]/30*U5171))</f>
        <v>0</v>
      </c>
      <c r="T5171" s="53" t="e">
        <f>Tabla14[[#This Row],[DEUDA CAPITAL]]+Tabla14[[#This Row],[INTERES  CUOTA]]</f>
        <v>#NUM!</v>
      </c>
      <c r="U5171" s="61" t="str">
        <f t="shared" si="819"/>
        <v/>
      </c>
    </row>
    <row r="5172" spans="9:21" ht="24.75" customHeight="1" x14ac:dyDescent="0.35">
      <c r="I5172" s="42">
        <f t="shared" si="810"/>
        <v>0</v>
      </c>
      <c r="J5172" s="65" t="e">
        <f t="shared" si="811"/>
        <v>#NUM!</v>
      </c>
      <c r="K5172" s="83" t="e">
        <f t="shared" si="812"/>
        <v>#NUM!</v>
      </c>
      <c r="L5172" s="83">
        <f t="shared" si="813"/>
        <v>0</v>
      </c>
      <c r="M5172" s="110" t="str">
        <f t="shared" si="814"/>
        <v/>
      </c>
      <c r="N5172" s="51" t="str">
        <f t="shared" si="815"/>
        <v/>
      </c>
      <c r="O5172" s="52" t="str">
        <f t="shared" si="816"/>
        <v/>
      </c>
      <c r="P5172" s="88">
        <f t="shared" si="817"/>
        <v>0</v>
      </c>
      <c r="Q5172" s="88">
        <f t="shared" si="818"/>
        <v>0</v>
      </c>
      <c r="R5172" s="88" t="e">
        <f>-IF(Tabla14[[#This Row],[DIAS HABILES O MORA]]&lt;0,(Tabla14[[#This Row],[VALOR PRESTAMO]]*Tabla14[[#This Row],[% INTERES ]]/30*U5172))+Tabla14[[#This Row],[VALOR CUOTAS]]</f>
        <v>#VALUE!</v>
      </c>
      <c r="S5172" s="88">
        <f>-IF(Tabla14[[#This Row],[DIAS HABILES O MORA]]&lt;0,(Tabla14[[#This Row],[VALOR PRESTAMO]]*Tabla14[[#This Row],[% INTERES ]]/30*U5172))</f>
        <v>0</v>
      </c>
      <c r="T5172" s="53" t="e">
        <f>Tabla14[[#This Row],[DEUDA CAPITAL]]+Tabla14[[#This Row],[INTERES  CUOTA]]</f>
        <v>#NUM!</v>
      </c>
      <c r="U5172" s="61" t="str">
        <f t="shared" si="819"/>
        <v/>
      </c>
    </row>
    <row r="5173" spans="9:21" ht="24.75" customHeight="1" x14ac:dyDescent="0.35">
      <c r="I5173" s="42">
        <f t="shared" si="810"/>
        <v>0</v>
      </c>
      <c r="J5173" s="65" t="e">
        <f t="shared" si="811"/>
        <v>#NUM!</v>
      </c>
      <c r="K5173" s="83" t="e">
        <f t="shared" si="812"/>
        <v>#NUM!</v>
      </c>
      <c r="L5173" s="83">
        <f t="shared" si="813"/>
        <v>0</v>
      </c>
      <c r="M5173" s="110" t="str">
        <f t="shared" si="814"/>
        <v/>
      </c>
      <c r="N5173" s="51" t="str">
        <f t="shared" si="815"/>
        <v/>
      </c>
      <c r="O5173" s="52" t="str">
        <f t="shared" si="816"/>
        <v/>
      </c>
      <c r="P5173" s="88">
        <f t="shared" si="817"/>
        <v>0</v>
      </c>
      <c r="Q5173" s="88">
        <f t="shared" si="818"/>
        <v>0</v>
      </c>
      <c r="R5173" s="88" t="e">
        <f>-IF(Tabla14[[#This Row],[DIAS HABILES O MORA]]&lt;0,(Tabla14[[#This Row],[VALOR PRESTAMO]]*Tabla14[[#This Row],[% INTERES ]]/30*U5173))+Tabla14[[#This Row],[VALOR CUOTAS]]</f>
        <v>#VALUE!</v>
      </c>
      <c r="S5173" s="88">
        <f>-IF(Tabla14[[#This Row],[DIAS HABILES O MORA]]&lt;0,(Tabla14[[#This Row],[VALOR PRESTAMO]]*Tabla14[[#This Row],[% INTERES ]]/30*U5173))</f>
        <v>0</v>
      </c>
      <c r="T5173" s="53" t="e">
        <f>Tabla14[[#This Row],[DEUDA CAPITAL]]+Tabla14[[#This Row],[INTERES  CUOTA]]</f>
        <v>#NUM!</v>
      </c>
      <c r="U5173" s="61" t="str">
        <f t="shared" si="819"/>
        <v/>
      </c>
    </row>
    <row r="5174" spans="9:21" ht="24.75" customHeight="1" x14ac:dyDescent="0.35">
      <c r="I5174" s="42">
        <f t="shared" si="810"/>
        <v>0</v>
      </c>
      <c r="J5174" s="65" t="e">
        <f t="shared" si="811"/>
        <v>#NUM!</v>
      </c>
      <c r="K5174" s="83" t="e">
        <f t="shared" si="812"/>
        <v>#NUM!</v>
      </c>
      <c r="L5174" s="83">
        <f t="shared" si="813"/>
        <v>0</v>
      </c>
      <c r="M5174" s="110" t="str">
        <f t="shared" si="814"/>
        <v/>
      </c>
      <c r="N5174" s="51" t="str">
        <f t="shared" si="815"/>
        <v/>
      </c>
      <c r="O5174" s="52" t="str">
        <f t="shared" si="816"/>
        <v/>
      </c>
      <c r="P5174" s="88">
        <f t="shared" si="817"/>
        <v>0</v>
      </c>
      <c r="Q5174" s="88">
        <f t="shared" si="818"/>
        <v>0</v>
      </c>
      <c r="R5174" s="88" t="e">
        <f>-IF(Tabla14[[#This Row],[DIAS HABILES O MORA]]&lt;0,(Tabla14[[#This Row],[VALOR PRESTAMO]]*Tabla14[[#This Row],[% INTERES ]]/30*U5174))+Tabla14[[#This Row],[VALOR CUOTAS]]</f>
        <v>#VALUE!</v>
      </c>
      <c r="S5174" s="88">
        <f>-IF(Tabla14[[#This Row],[DIAS HABILES O MORA]]&lt;0,(Tabla14[[#This Row],[VALOR PRESTAMO]]*Tabla14[[#This Row],[% INTERES ]]/30*U5174))</f>
        <v>0</v>
      </c>
      <c r="T5174" s="53" t="e">
        <f>Tabla14[[#This Row],[DEUDA CAPITAL]]+Tabla14[[#This Row],[INTERES  CUOTA]]</f>
        <v>#NUM!</v>
      </c>
      <c r="U5174" s="61" t="str">
        <f t="shared" si="819"/>
        <v/>
      </c>
    </row>
    <row r="5175" spans="9:21" ht="24.75" customHeight="1" x14ac:dyDescent="0.35">
      <c r="I5175" s="42">
        <f t="shared" si="810"/>
        <v>0</v>
      </c>
      <c r="J5175" s="65" t="e">
        <f t="shared" si="811"/>
        <v>#NUM!</v>
      </c>
      <c r="K5175" s="83" t="e">
        <f t="shared" si="812"/>
        <v>#NUM!</v>
      </c>
      <c r="L5175" s="83">
        <f t="shared" si="813"/>
        <v>0</v>
      </c>
      <c r="M5175" s="110" t="str">
        <f t="shared" si="814"/>
        <v/>
      </c>
      <c r="N5175" s="51" t="str">
        <f t="shared" si="815"/>
        <v/>
      </c>
      <c r="O5175" s="52" t="str">
        <f t="shared" si="816"/>
        <v/>
      </c>
      <c r="P5175" s="88">
        <f t="shared" si="817"/>
        <v>0</v>
      </c>
      <c r="Q5175" s="88">
        <f t="shared" si="818"/>
        <v>0</v>
      </c>
      <c r="R5175" s="88" t="e">
        <f>-IF(Tabla14[[#This Row],[DIAS HABILES O MORA]]&lt;0,(Tabla14[[#This Row],[VALOR PRESTAMO]]*Tabla14[[#This Row],[% INTERES ]]/30*U5175))+Tabla14[[#This Row],[VALOR CUOTAS]]</f>
        <v>#VALUE!</v>
      </c>
      <c r="S5175" s="88">
        <f>-IF(Tabla14[[#This Row],[DIAS HABILES O MORA]]&lt;0,(Tabla14[[#This Row],[VALOR PRESTAMO]]*Tabla14[[#This Row],[% INTERES ]]/30*U5175))</f>
        <v>0</v>
      </c>
      <c r="T5175" s="53" t="e">
        <f>Tabla14[[#This Row],[DEUDA CAPITAL]]+Tabla14[[#This Row],[INTERES  CUOTA]]</f>
        <v>#NUM!</v>
      </c>
      <c r="U5175" s="61" t="str">
        <f t="shared" si="819"/>
        <v/>
      </c>
    </row>
    <row r="5176" spans="9:21" ht="24.75" customHeight="1" x14ac:dyDescent="0.35">
      <c r="I5176" s="42">
        <f t="shared" si="810"/>
        <v>0</v>
      </c>
      <c r="J5176" s="65" t="e">
        <f t="shared" si="811"/>
        <v>#NUM!</v>
      </c>
      <c r="K5176" s="83" t="e">
        <f t="shared" si="812"/>
        <v>#NUM!</v>
      </c>
      <c r="L5176" s="83">
        <f t="shared" si="813"/>
        <v>0</v>
      </c>
      <c r="M5176" s="110" t="str">
        <f t="shared" si="814"/>
        <v/>
      </c>
      <c r="N5176" s="51" t="str">
        <f t="shared" si="815"/>
        <v/>
      </c>
      <c r="O5176" s="52" t="str">
        <f t="shared" si="816"/>
        <v/>
      </c>
      <c r="P5176" s="88">
        <f t="shared" si="817"/>
        <v>0</v>
      </c>
      <c r="Q5176" s="88">
        <f t="shared" si="818"/>
        <v>0</v>
      </c>
      <c r="R5176" s="88" t="e">
        <f>-IF(Tabla14[[#This Row],[DIAS HABILES O MORA]]&lt;0,(Tabla14[[#This Row],[VALOR PRESTAMO]]*Tabla14[[#This Row],[% INTERES ]]/30*U5176))+Tabla14[[#This Row],[VALOR CUOTAS]]</f>
        <v>#VALUE!</v>
      </c>
      <c r="S5176" s="88">
        <f>-IF(Tabla14[[#This Row],[DIAS HABILES O MORA]]&lt;0,(Tabla14[[#This Row],[VALOR PRESTAMO]]*Tabla14[[#This Row],[% INTERES ]]/30*U5176))</f>
        <v>0</v>
      </c>
      <c r="T5176" s="53" t="e">
        <f>Tabla14[[#This Row],[DEUDA CAPITAL]]+Tabla14[[#This Row],[INTERES  CUOTA]]</f>
        <v>#NUM!</v>
      </c>
      <c r="U5176" s="61" t="str">
        <f t="shared" si="819"/>
        <v/>
      </c>
    </row>
    <row r="5177" spans="9:21" ht="24.75" customHeight="1" x14ac:dyDescent="0.35">
      <c r="I5177" s="42">
        <f t="shared" si="810"/>
        <v>0</v>
      </c>
      <c r="J5177" s="65" t="e">
        <f t="shared" si="811"/>
        <v>#NUM!</v>
      </c>
      <c r="K5177" s="83" t="e">
        <f t="shared" si="812"/>
        <v>#NUM!</v>
      </c>
      <c r="L5177" s="83">
        <f t="shared" si="813"/>
        <v>0</v>
      </c>
      <c r="M5177" s="110" t="str">
        <f t="shared" si="814"/>
        <v/>
      </c>
      <c r="N5177" s="51" t="str">
        <f t="shared" si="815"/>
        <v/>
      </c>
      <c r="O5177" s="52" t="str">
        <f t="shared" si="816"/>
        <v/>
      </c>
      <c r="P5177" s="88">
        <f t="shared" si="817"/>
        <v>0</v>
      </c>
      <c r="Q5177" s="88">
        <f t="shared" si="818"/>
        <v>0</v>
      </c>
      <c r="R5177" s="88" t="e">
        <f>-IF(Tabla14[[#This Row],[DIAS HABILES O MORA]]&lt;0,(Tabla14[[#This Row],[VALOR PRESTAMO]]*Tabla14[[#This Row],[% INTERES ]]/30*U5177))+Tabla14[[#This Row],[VALOR CUOTAS]]</f>
        <v>#VALUE!</v>
      </c>
      <c r="S5177" s="88">
        <f>-IF(Tabla14[[#This Row],[DIAS HABILES O MORA]]&lt;0,(Tabla14[[#This Row],[VALOR PRESTAMO]]*Tabla14[[#This Row],[% INTERES ]]/30*U5177))</f>
        <v>0</v>
      </c>
      <c r="T5177" s="53" t="e">
        <f>Tabla14[[#This Row],[DEUDA CAPITAL]]+Tabla14[[#This Row],[INTERES  CUOTA]]</f>
        <v>#NUM!</v>
      </c>
      <c r="U5177" s="61" t="str">
        <f t="shared" si="819"/>
        <v/>
      </c>
    </row>
    <row r="5178" spans="9:21" ht="24.75" customHeight="1" x14ac:dyDescent="0.35">
      <c r="I5178" s="42">
        <f t="shared" si="810"/>
        <v>0</v>
      </c>
      <c r="J5178" s="65" t="e">
        <f t="shared" si="811"/>
        <v>#NUM!</v>
      </c>
      <c r="K5178" s="83" t="e">
        <f t="shared" si="812"/>
        <v>#NUM!</v>
      </c>
      <c r="L5178" s="83">
        <f t="shared" si="813"/>
        <v>0</v>
      </c>
      <c r="M5178" s="110" t="str">
        <f t="shared" si="814"/>
        <v/>
      </c>
      <c r="N5178" s="51" t="str">
        <f t="shared" si="815"/>
        <v/>
      </c>
      <c r="O5178" s="52" t="str">
        <f t="shared" si="816"/>
        <v/>
      </c>
      <c r="P5178" s="88">
        <f t="shared" si="817"/>
        <v>0</v>
      </c>
      <c r="Q5178" s="88">
        <f t="shared" si="818"/>
        <v>0</v>
      </c>
      <c r="R5178" s="88" t="e">
        <f>-IF(Tabla14[[#This Row],[DIAS HABILES O MORA]]&lt;0,(Tabla14[[#This Row],[VALOR PRESTAMO]]*Tabla14[[#This Row],[% INTERES ]]/30*U5178))+Tabla14[[#This Row],[VALOR CUOTAS]]</f>
        <v>#VALUE!</v>
      </c>
      <c r="S5178" s="88">
        <f>-IF(Tabla14[[#This Row],[DIAS HABILES O MORA]]&lt;0,(Tabla14[[#This Row],[VALOR PRESTAMO]]*Tabla14[[#This Row],[% INTERES ]]/30*U5178))</f>
        <v>0</v>
      </c>
      <c r="T5178" s="53" t="e">
        <f>Tabla14[[#This Row],[DEUDA CAPITAL]]+Tabla14[[#This Row],[INTERES  CUOTA]]</f>
        <v>#NUM!</v>
      </c>
      <c r="U5178" s="61" t="str">
        <f t="shared" si="819"/>
        <v/>
      </c>
    </row>
    <row r="5179" spans="9:21" ht="24.75" customHeight="1" x14ac:dyDescent="0.35">
      <c r="I5179" s="42">
        <f t="shared" si="810"/>
        <v>0</v>
      </c>
      <c r="J5179" s="65" t="e">
        <f t="shared" si="811"/>
        <v>#NUM!</v>
      </c>
      <c r="K5179" s="83" t="e">
        <f t="shared" si="812"/>
        <v>#NUM!</v>
      </c>
      <c r="L5179" s="83">
        <f t="shared" si="813"/>
        <v>0</v>
      </c>
      <c r="M5179" s="110" t="str">
        <f t="shared" si="814"/>
        <v/>
      </c>
      <c r="N5179" s="51" t="str">
        <f t="shared" si="815"/>
        <v/>
      </c>
      <c r="O5179" s="52" t="str">
        <f t="shared" si="816"/>
        <v/>
      </c>
      <c r="P5179" s="88">
        <f t="shared" si="817"/>
        <v>0</v>
      </c>
      <c r="Q5179" s="88">
        <f t="shared" si="818"/>
        <v>0</v>
      </c>
      <c r="R5179" s="88" t="e">
        <f>-IF(Tabla14[[#This Row],[DIAS HABILES O MORA]]&lt;0,(Tabla14[[#This Row],[VALOR PRESTAMO]]*Tabla14[[#This Row],[% INTERES ]]/30*U5179))+Tabla14[[#This Row],[VALOR CUOTAS]]</f>
        <v>#VALUE!</v>
      </c>
      <c r="S5179" s="88">
        <f>-IF(Tabla14[[#This Row],[DIAS HABILES O MORA]]&lt;0,(Tabla14[[#This Row],[VALOR PRESTAMO]]*Tabla14[[#This Row],[% INTERES ]]/30*U5179))</f>
        <v>0</v>
      </c>
      <c r="T5179" s="53" t="e">
        <f>Tabla14[[#This Row],[DEUDA CAPITAL]]+Tabla14[[#This Row],[INTERES  CUOTA]]</f>
        <v>#NUM!</v>
      </c>
      <c r="U5179" s="61" t="str">
        <f t="shared" si="819"/>
        <v/>
      </c>
    </row>
    <row r="5180" spans="9:21" ht="24.75" customHeight="1" x14ac:dyDescent="0.35">
      <c r="I5180" s="42">
        <f t="shared" si="810"/>
        <v>0</v>
      </c>
      <c r="J5180" s="65" t="e">
        <f t="shared" si="811"/>
        <v>#NUM!</v>
      </c>
      <c r="K5180" s="83" t="e">
        <f t="shared" si="812"/>
        <v>#NUM!</v>
      </c>
      <c r="L5180" s="83">
        <f t="shared" si="813"/>
        <v>0</v>
      </c>
      <c r="M5180" s="110" t="str">
        <f t="shared" si="814"/>
        <v/>
      </c>
      <c r="N5180" s="51" t="str">
        <f t="shared" si="815"/>
        <v/>
      </c>
      <c r="O5180" s="52" t="str">
        <f t="shared" si="816"/>
        <v/>
      </c>
      <c r="P5180" s="88">
        <f t="shared" si="817"/>
        <v>0</v>
      </c>
      <c r="Q5180" s="88">
        <f t="shared" si="818"/>
        <v>0</v>
      </c>
      <c r="R5180" s="88" t="e">
        <f>-IF(Tabla14[[#This Row],[DIAS HABILES O MORA]]&lt;0,(Tabla14[[#This Row],[VALOR PRESTAMO]]*Tabla14[[#This Row],[% INTERES ]]/30*U5180))+Tabla14[[#This Row],[VALOR CUOTAS]]</f>
        <v>#VALUE!</v>
      </c>
      <c r="S5180" s="88">
        <f>-IF(Tabla14[[#This Row],[DIAS HABILES O MORA]]&lt;0,(Tabla14[[#This Row],[VALOR PRESTAMO]]*Tabla14[[#This Row],[% INTERES ]]/30*U5180))</f>
        <v>0</v>
      </c>
      <c r="T5180" s="53" t="e">
        <f>Tabla14[[#This Row],[DEUDA CAPITAL]]+Tabla14[[#This Row],[INTERES  CUOTA]]</f>
        <v>#NUM!</v>
      </c>
      <c r="U5180" s="61" t="str">
        <f t="shared" si="819"/>
        <v/>
      </c>
    </row>
    <row r="5181" spans="9:21" ht="24.75" customHeight="1" x14ac:dyDescent="0.35">
      <c r="I5181" s="42">
        <f t="shared" si="810"/>
        <v>0</v>
      </c>
      <c r="J5181" s="65" t="e">
        <f t="shared" si="811"/>
        <v>#NUM!</v>
      </c>
      <c r="K5181" s="83" t="e">
        <f t="shared" si="812"/>
        <v>#NUM!</v>
      </c>
      <c r="L5181" s="83">
        <f t="shared" si="813"/>
        <v>0</v>
      </c>
      <c r="M5181" s="110" t="str">
        <f t="shared" si="814"/>
        <v/>
      </c>
      <c r="N5181" s="51" t="str">
        <f t="shared" si="815"/>
        <v/>
      </c>
      <c r="O5181" s="52" t="str">
        <f t="shared" si="816"/>
        <v/>
      </c>
      <c r="P5181" s="88">
        <f t="shared" si="817"/>
        <v>0</v>
      </c>
      <c r="Q5181" s="88">
        <f t="shared" si="818"/>
        <v>0</v>
      </c>
      <c r="R5181" s="88" t="e">
        <f>-IF(Tabla14[[#This Row],[DIAS HABILES O MORA]]&lt;0,(Tabla14[[#This Row],[VALOR PRESTAMO]]*Tabla14[[#This Row],[% INTERES ]]/30*U5181))+Tabla14[[#This Row],[VALOR CUOTAS]]</f>
        <v>#VALUE!</v>
      </c>
      <c r="S5181" s="88">
        <f>-IF(Tabla14[[#This Row],[DIAS HABILES O MORA]]&lt;0,(Tabla14[[#This Row],[VALOR PRESTAMO]]*Tabla14[[#This Row],[% INTERES ]]/30*U5181))</f>
        <v>0</v>
      </c>
      <c r="T5181" s="53" t="e">
        <f>Tabla14[[#This Row],[DEUDA CAPITAL]]+Tabla14[[#This Row],[INTERES  CUOTA]]</f>
        <v>#NUM!</v>
      </c>
      <c r="U5181" s="61" t="str">
        <f t="shared" si="819"/>
        <v/>
      </c>
    </row>
    <row r="5182" spans="9:21" ht="24.75" customHeight="1" x14ac:dyDescent="0.35">
      <c r="I5182" s="42">
        <f t="shared" si="810"/>
        <v>0</v>
      </c>
      <c r="J5182" s="65" t="e">
        <f t="shared" si="811"/>
        <v>#NUM!</v>
      </c>
      <c r="K5182" s="83" t="e">
        <f t="shared" si="812"/>
        <v>#NUM!</v>
      </c>
      <c r="L5182" s="83">
        <f t="shared" si="813"/>
        <v>0</v>
      </c>
      <c r="M5182" s="110" t="str">
        <f t="shared" si="814"/>
        <v/>
      </c>
      <c r="N5182" s="51" t="str">
        <f t="shared" si="815"/>
        <v/>
      </c>
      <c r="O5182" s="52" t="str">
        <f t="shared" si="816"/>
        <v/>
      </c>
      <c r="P5182" s="88">
        <f t="shared" si="817"/>
        <v>0</v>
      </c>
      <c r="Q5182" s="88">
        <f t="shared" si="818"/>
        <v>0</v>
      </c>
      <c r="R5182" s="88" t="e">
        <f>-IF(Tabla14[[#This Row],[DIAS HABILES O MORA]]&lt;0,(Tabla14[[#This Row],[VALOR PRESTAMO]]*Tabla14[[#This Row],[% INTERES ]]/30*U5182))+Tabla14[[#This Row],[VALOR CUOTAS]]</f>
        <v>#VALUE!</v>
      </c>
      <c r="S5182" s="88">
        <f>-IF(Tabla14[[#This Row],[DIAS HABILES O MORA]]&lt;0,(Tabla14[[#This Row],[VALOR PRESTAMO]]*Tabla14[[#This Row],[% INTERES ]]/30*U5182))</f>
        <v>0</v>
      </c>
      <c r="T5182" s="53" t="e">
        <f>Tabla14[[#This Row],[DEUDA CAPITAL]]+Tabla14[[#This Row],[INTERES  CUOTA]]</f>
        <v>#NUM!</v>
      </c>
      <c r="U5182" s="61" t="str">
        <f t="shared" si="819"/>
        <v/>
      </c>
    </row>
    <row r="5183" spans="9:21" ht="24.75" customHeight="1" x14ac:dyDescent="0.35">
      <c r="I5183" s="42">
        <f t="shared" si="810"/>
        <v>0</v>
      </c>
      <c r="J5183" s="65" t="e">
        <f t="shared" si="811"/>
        <v>#NUM!</v>
      </c>
      <c r="K5183" s="83" t="e">
        <f t="shared" si="812"/>
        <v>#NUM!</v>
      </c>
      <c r="L5183" s="83">
        <f t="shared" si="813"/>
        <v>0</v>
      </c>
      <c r="M5183" s="110" t="str">
        <f t="shared" si="814"/>
        <v/>
      </c>
      <c r="N5183" s="51" t="str">
        <f t="shared" si="815"/>
        <v/>
      </c>
      <c r="O5183" s="52" t="str">
        <f t="shared" si="816"/>
        <v/>
      </c>
      <c r="P5183" s="88">
        <f t="shared" si="817"/>
        <v>0</v>
      </c>
      <c r="Q5183" s="88">
        <f t="shared" si="818"/>
        <v>0</v>
      </c>
      <c r="R5183" s="88" t="e">
        <f>-IF(Tabla14[[#This Row],[DIAS HABILES O MORA]]&lt;0,(Tabla14[[#This Row],[VALOR PRESTAMO]]*Tabla14[[#This Row],[% INTERES ]]/30*U5183))+Tabla14[[#This Row],[VALOR CUOTAS]]</f>
        <v>#VALUE!</v>
      </c>
      <c r="S5183" s="88">
        <f>-IF(Tabla14[[#This Row],[DIAS HABILES O MORA]]&lt;0,(Tabla14[[#This Row],[VALOR PRESTAMO]]*Tabla14[[#This Row],[% INTERES ]]/30*U5183))</f>
        <v>0</v>
      </c>
      <c r="T5183" s="53" t="e">
        <f>Tabla14[[#This Row],[DEUDA CAPITAL]]+Tabla14[[#This Row],[INTERES  CUOTA]]</f>
        <v>#NUM!</v>
      </c>
      <c r="U5183" s="61" t="str">
        <f t="shared" si="819"/>
        <v/>
      </c>
    </row>
    <row r="5184" spans="9:21" ht="24.75" customHeight="1" x14ac:dyDescent="0.35">
      <c r="I5184" s="42">
        <f t="shared" si="810"/>
        <v>0</v>
      </c>
      <c r="J5184" s="65" t="e">
        <f t="shared" si="811"/>
        <v>#NUM!</v>
      </c>
      <c r="K5184" s="83" t="e">
        <f t="shared" si="812"/>
        <v>#NUM!</v>
      </c>
      <c r="L5184" s="83">
        <f t="shared" si="813"/>
        <v>0</v>
      </c>
      <c r="M5184" s="110" t="str">
        <f t="shared" si="814"/>
        <v/>
      </c>
      <c r="N5184" s="51" t="str">
        <f t="shared" si="815"/>
        <v/>
      </c>
      <c r="O5184" s="52" t="str">
        <f t="shared" si="816"/>
        <v/>
      </c>
      <c r="P5184" s="88">
        <f t="shared" si="817"/>
        <v>0</v>
      </c>
      <c r="Q5184" s="88">
        <f t="shared" si="818"/>
        <v>0</v>
      </c>
      <c r="R5184" s="88" t="e">
        <f>-IF(Tabla14[[#This Row],[DIAS HABILES O MORA]]&lt;0,(Tabla14[[#This Row],[VALOR PRESTAMO]]*Tabla14[[#This Row],[% INTERES ]]/30*U5184))+Tabla14[[#This Row],[VALOR CUOTAS]]</f>
        <v>#VALUE!</v>
      </c>
      <c r="S5184" s="88">
        <f>-IF(Tabla14[[#This Row],[DIAS HABILES O MORA]]&lt;0,(Tabla14[[#This Row],[VALOR PRESTAMO]]*Tabla14[[#This Row],[% INTERES ]]/30*U5184))</f>
        <v>0</v>
      </c>
      <c r="T5184" s="53" t="e">
        <f>Tabla14[[#This Row],[DEUDA CAPITAL]]+Tabla14[[#This Row],[INTERES  CUOTA]]</f>
        <v>#NUM!</v>
      </c>
      <c r="U5184" s="61" t="str">
        <f t="shared" si="819"/>
        <v/>
      </c>
    </row>
    <row r="5185" spans="9:21" ht="24.75" customHeight="1" x14ac:dyDescent="0.35">
      <c r="I5185" s="42">
        <f t="shared" si="810"/>
        <v>0</v>
      </c>
      <c r="J5185" s="65" t="e">
        <f t="shared" si="811"/>
        <v>#NUM!</v>
      </c>
      <c r="K5185" s="83" t="e">
        <f t="shared" si="812"/>
        <v>#NUM!</v>
      </c>
      <c r="L5185" s="83">
        <f t="shared" si="813"/>
        <v>0</v>
      </c>
      <c r="M5185" s="110" t="str">
        <f t="shared" si="814"/>
        <v/>
      </c>
      <c r="N5185" s="51" t="str">
        <f t="shared" si="815"/>
        <v/>
      </c>
      <c r="O5185" s="52" t="str">
        <f t="shared" si="816"/>
        <v/>
      </c>
      <c r="P5185" s="88">
        <f t="shared" si="817"/>
        <v>0</v>
      </c>
      <c r="Q5185" s="88">
        <f t="shared" si="818"/>
        <v>0</v>
      </c>
      <c r="R5185" s="88" t="e">
        <f>-IF(Tabla14[[#This Row],[DIAS HABILES O MORA]]&lt;0,(Tabla14[[#This Row],[VALOR PRESTAMO]]*Tabla14[[#This Row],[% INTERES ]]/30*U5185))+Tabla14[[#This Row],[VALOR CUOTAS]]</f>
        <v>#VALUE!</v>
      </c>
      <c r="S5185" s="88">
        <f>-IF(Tabla14[[#This Row],[DIAS HABILES O MORA]]&lt;0,(Tabla14[[#This Row],[VALOR PRESTAMO]]*Tabla14[[#This Row],[% INTERES ]]/30*U5185))</f>
        <v>0</v>
      </c>
      <c r="T5185" s="53" t="e">
        <f>Tabla14[[#This Row],[DEUDA CAPITAL]]+Tabla14[[#This Row],[INTERES  CUOTA]]</f>
        <v>#NUM!</v>
      </c>
      <c r="U5185" s="61" t="str">
        <f t="shared" si="819"/>
        <v/>
      </c>
    </row>
    <row r="5186" spans="9:21" ht="24.75" customHeight="1" x14ac:dyDescent="0.35">
      <c r="I5186" s="42">
        <f t="shared" si="810"/>
        <v>0</v>
      </c>
      <c r="J5186" s="65" t="e">
        <f t="shared" si="811"/>
        <v>#NUM!</v>
      </c>
      <c r="K5186" s="83" t="e">
        <f t="shared" si="812"/>
        <v>#NUM!</v>
      </c>
      <c r="L5186" s="83">
        <f t="shared" si="813"/>
        <v>0</v>
      </c>
      <c r="M5186" s="110" t="str">
        <f t="shared" si="814"/>
        <v/>
      </c>
      <c r="N5186" s="51" t="str">
        <f t="shared" si="815"/>
        <v/>
      </c>
      <c r="O5186" s="52" t="str">
        <f t="shared" si="816"/>
        <v/>
      </c>
      <c r="P5186" s="88">
        <f t="shared" si="817"/>
        <v>0</v>
      </c>
      <c r="Q5186" s="88">
        <f t="shared" si="818"/>
        <v>0</v>
      </c>
      <c r="R5186" s="88" t="e">
        <f>-IF(Tabla14[[#This Row],[DIAS HABILES O MORA]]&lt;0,(Tabla14[[#This Row],[VALOR PRESTAMO]]*Tabla14[[#This Row],[% INTERES ]]/30*U5186))+Tabla14[[#This Row],[VALOR CUOTAS]]</f>
        <v>#VALUE!</v>
      </c>
      <c r="S5186" s="88">
        <f>-IF(Tabla14[[#This Row],[DIAS HABILES O MORA]]&lt;0,(Tabla14[[#This Row],[VALOR PRESTAMO]]*Tabla14[[#This Row],[% INTERES ]]/30*U5186))</f>
        <v>0</v>
      </c>
      <c r="T5186" s="53" t="e">
        <f>Tabla14[[#This Row],[DEUDA CAPITAL]]+Tabla14[[#This Row],[INTERES  CUOTA]]</f>
        <v>#NUM!</v>
      </c>
      <c r="U5186" s="61" t="str">
        <f t="shared" si="819"/>
        <v/>
      </c>
    </row>
    <row r="5187" spans="9:21" ht="24.75" customHeight="1" x14ac:dyDescent="0.35">
      <c r="I5187" s="42">
        <f t="shared" si="810"/>
        <v>0</v>
      </c>
      <c r="J5187" s="65" t="e">
        <f t="shared" si="811"/>
        <v>#NUM!</v>
      </c>
      <c r="K5187" s="83" t="e">
        <f t="shared" si="812"/>
        <v>#NUM!</v>
      </c>
      <c r="L5187" s="83">
        <f t="shared" si="813"/>
        <v>0</v>
      </c>
      <c r="M5187" s="110" t="str">
        <f t="shared" si="814"/>
        <v/>
      </c>
      <c r="N5187" s="51" t="str">
        <f t="shared" si="815"/>
        <v/>
      </c>
      <c r="O5187" s="52" t="str">
        <f t="shared" si="816"/>
        <v/>
      </c>
      <c r="P5187" s="88">
        <f t="shared" si="817"/>
        <v>0</v>
      </c>
      <c r="Q5187" s="88">
        <f t="shared" si="818"/>
        <v>0</v>
      </c>
      <c r="R5187" s="88" t="e">
        <f>-IF(Tabla14[[#This Row],[DIAS HABILES O MORA]]&lt;0,(Tabla14[[#This Row],[VALOR PRESTAMO]]*Tabla14[[#This Row],[% INTERES ]]/30*U5187))+Tabla14[[#This Row],[VALOR CUOTAS]]</f>
        <v>#VALUE!</v>
      </c>
      <c r="S5187" s="88">
        <f>-IF(Tabla14[[#This Row],[DIAS HABILES O MORA]]&lt;0,(Tabla14[[#This Row],[VALOR PRESTAMO]]*Tabla14[[#This Row],[% INTERES ]]/30*U5187))</f>
        <v>0</v>
      </c>
      <c r="T5187" s="53" t="e">
        <f>Tabla14[[#This Row],[DEUDA CAPITAL]]+Tabla14[[#This Row],[INTERES  CUOTA]]</f>
        <v>#NUM!</v>
      </c>
      <c r="U5187" s="61" t="str">
        <f t="shared" si="819"/>
        <v/>
      </c>
    </row>
    <row r="5188" spans="9:21" ht="24.75" customHeight="1" x14ac:dyDescent="0.35">
      <c r="I5188" s="42">
        <f t="shared" si="810"/>
        <v>0</v>
      </c>
      <c r="J5188" s="65" t="e">
        <f t="shared" si="811"/>
        <v>#NUM!</v>
      </c>
      <c r="K5188" s="83" t="e">
        <f t="shared" si="812"/>
        <v>#NUM!</v>
      </c>
      <c r="L5188" s="83">
        <f t="shared" si="813"/>
        <v>0</v>
      </c>
      <c r="M5188" s="110" t="str">
        <f t="shared" si="814"/>
        <v/>
      </c>
      <c r="N5188" s="51" t="str">
        <f t="shared" si="815"/>
        <v/>
      </c>
      <c r="O5188" s="52" t="str">
        <f t="shared" si="816"/>
        <v/>
      </c>
      <c r="P5188" s="88">
        <f t="shared" si="817"/>
        <v>0</v>
      </c>
      <c r="Q5188" s="88">
        <f t="shared" si="818"/>
        <v>0</v>
      </c>
      <c r="R5188" s="88" t="e">
        <f>-IF(Tabla14[[#This Row],[DIAS HABILES O MORA]]&lt;0,(Tabla14[[#This Row],[VALOR PRESTAMO]]*Tabla14[[#This Row],[% INTERES ]]/30*U5188))+Tabla14[[#This Row],[VALOR CUOTAS]]</f>
        <v>#VALUE!</v>
      </c>
      <c r="S5188" s="88">
        <f>-IF(Tabla14[[#This Row],[DIAS HABILES O MORA]]&lt;0,(Tabla14[[#This Row],[VALOR PRESTAMO]]*Tabla14[[#This Row],[% INTERES ]]/30*U5188))</f>
        <v>0</v>
      </c>
      <c r="T5188" s="53" t="e">
        <f>Tabla14[[#This Row],[DEUDA CAPITAL]]+Tabla14[[#This Row],[INTERES  CUOTA]]</f>
        <v>#NUM!</v>
      </c>
      <c r="U5188" s="61" t="str">
        <f t="shared" si="819"/>
        <v/>
      </c>
    </row>
    <row r="5189" spans="9:21" ht="24.75" customHeight="1" x14ac:dyDescent="0.35">
      <c r="I5189" s="42">
        <f t="shared" si="810"/>
        <v>0</v>
      </c>
      <c r="J5189" s="65" t="e">
        <f t="shared" si="811"/>
        <v>#NUM!</v>
      </c>
      <c r="K5189" s="83" t="e">
        <f t="shared" si="812"/>
        <v>#NUM!</v>
      </c>
      <c r="L5189" s="83">
        <f t="shared" si="813"/>
        <v>0</v>
      </c>
      <c r="M5189" s="110" t="str">
        <f t="shared" si="814"/>
        <v/>
      </c>
      <c r="N5189" s="51" t="str">
        <f t="shared" si="815"/>
        <v/>
      </c>
      <c r="O5189" s="52" t="str">
        <f t="shared" si="816"/>
        <v/>
      </c>
      <c r="P5189" s="88">
        <f t="shared" si="817"/>
        <v>0</v>
      </c>
      <c r="Q5189" s="88">
        <f t="shared" si="818"/>
        <v>0</v>
      </c>
      <c r="R5189" s="88" t="e">
        <f>-IF(Tabla14[[#This Row],[DIAS HABILES O MORA]]&lt;0,(Tabla14[[#This Row],[VALOR PRESTAMO]]*Tabla14[[#This Row],[% INTERES ]]/30*U5189))+Tabla14[[#This Row],[VALOR CUOTAS]]</f>
        <v>#VALUE!</v>
      </c>
      <c r="S5189" s="88">
        <f>-IF(Tabla14[[#This Row],[DIAS HABILES O MORA]]&lt;0,(Tabla14[[#This Row],[VALOR PRESTAMO]]*Tabla14[[#This Row],[% INTERES ]]/30*U5189))</f>
        <v>0</v>
      </c>
      <c r="T5189" s="53" t="e">
        <f>Tabla14[[#This Row],[DEUDA CAPITAL]]+Tabla14[[#This Row],[INTERES  CUOTA]]</f>
        <v>#NUM!</v>
      </c>
      <c r="U5189" s="61" t="str">
        <f t="shared" si="819"/>
        <v/>
      </c>
    </row>
    <row r="5190" spans="9:21" ht="24.75" customHeight="1" x14ac:dyDescent="0.35">
      <c r="I5190" s="42">
        <f t="shared" si="810"/>
        <v>0</v>
      </c>
      <c r="J5190" s="65" t="e">
        <f t="shared" si="811"/>
        <v>#NUM!</v>
      </c>
      <c r="K5190" s="83" t="e">
        <f t="shared" si="812"/>
        <v>#NUM!</v>
      </c>
      <c r="L5190" s="83">
        <f t="shared" si="813"/>
        <v>0</v>
      </c>
      <c r="M5190" s="110" t="str">
        <f t="shared" si="814"/>
        <v/>
      </c>
      <c r="N5190" s="51" t="str">
        <f t="shared" si="815"/>
        <v/>
      </c>
      <c r="O5190" s="52" t="str">
        <f t="shared" si="816"/>
        <v/>
      </c>
      <c r="P5190" s="88">
        <f t="shared" si="817"/>
        <v>0</v>
      </c>
      <c r="Q5190" s="88">
        <f t="shared" si="818"/>
        <v>0</v>
      </c>
      <c r="R5190" s="88" t="e">
        <f>-IF(Tabla14[[#This Row],[DIAS HABILES O MORA]]&lt;0,(Tabla14[[#This Row],[VALOR PRESTAMO]]*Tabla14[[#This Row],[% INTERES ]]/30*U5190))+Tabla14[[#This Row],[VALOR CUOTAS]]</f>
        <v>#VALUE!</v>
      </c>
      <c r="S5190" s="88">
        <f>-IF(Tabla14[[#This Row],[DIAS HABILES O MORA]]&lt;0,(Tabla14[[#This Row],[VALOR PRESTAMO]]*Tabla14[[#This Row],[% INTERES ]]/30*U5190))</f>
        <v>0</v>
      </c>
      <c r="T5190" s="53" t="e">
        <f>Tabla14[[#This Row],[DEUDA CAPITAL]]+Tabla14[[#This Row],[INTERES  CUOTA]]</f>
        <v>#NUM!</v>
      </c>
      <c r="U5190" s="61" t="str">
        <f t="shared" si="819"/>
        <v/>
      </c>
    </row>
    <row r="5191" spans="9:21" ht="24.75" customHeight="1" x14ac:dyDescent="0.35">
      <c r="I5191" s="42">
        <f t="shared" si="810"/>
        <v>0</v>
      </c>
      <c r="J5191" s="65" t="e">
        <f t="shared" si="811"/>
        <v>#NUM!</v>
      </c>
      <c r="K5191" s="83" t="e">
        <f t="shared" si="812"/>
        <v>#NUM!</v>
      </c>
      <c r="L5191" s="83">
        <f t="shared" si="813"/>
        <v>0</v>
      </c>
      <c r="M5191" s="110" t="str">
        <f t="shared" si="814"/>
        <v/>
      </c>
      <c r="N5191" s="51" t="str">
        <f t="shared" si="815"/>
        <v/>
      </c>
      <c r="O5191" s="52" t="str">
        <f t="shared" si="816"/>
        <v/>
      </c>
      <c r="P5191" s="88">
        <f t="shared" si="817"/>
        <v>0</v>
      </c>
      <c r="Q5191" s="88">
        <f t="shared" si="818"/>
        <v>0</v>
      </c>
      <c r="R5191" s="88" t="e">
        <f>-IF(Tabla14[[#This Row],[DIAS HABILES O MORA]]&lt;0,(Tabla14[[#This Row],[VALOR PRESTAMO]]*Tabla14[[#This Row],[% INTERES ]]/30*U5191))+Tabla14[[#This Row],[VALOR CUOTAS]]</f>
        <v>#VALUE!</v>
      </c>
      <c r="S5191" s="88">
        <f>-IF(Tabla14[[#This Row],[DIAS HABILES O MORA]]&lt;0,(Tabla14[[#This Row],[VALOR PRESTAMO]]*Tabla14[[#This Row],[% INTERES ]]/30*U5191))</f>
        <v>0</v>
      </c>
      <c r="T5191" s="53" t="e">
        <f>Tabla14[[#This Row],[DEUDA CAPITAL]]+Tabla14[[#This Row],[INTERES  CUOTA]]</f>
        <v>#NUM!</v>
      </c>
      <c r="U5191" s="61" t="str">
        <f t="shared" si="819"/>
        <v/>
      </c>
    </row>
    <row r="5192" spans="9:21" ht="24.75" customHeight="1" x14ac:dyDescent="0.35">
      <c r="I5192" s="42">
        <f t="shared" si="810"/>
        <v>0</v>
      </c>
      <c r="J5192" s="65" t="e">
        <f t="shared" si="811"/>
        <v>#NUM!</v>
      </c>
      <c r="K5192" s="83" t="e">
        <f t="shared" si="812"/>
        <v>#NUM!</v>
      </c>
      <c r="L5192" s="83">
        <f t="shared" si="813"/>
        <v>0</v>
      </c>
      <c r="M5192" s="110" t="str">
        <f t="shared" si="814"/>
        <v/>
      </c>
      <c r="N5192" s="51" t="str">
        <f t="shared" si="815"/>
        <v/>
      </c>
      <c r="O5192" s="52" t="str">
        <f t="shared" si="816"/>
        <v/>
      </c>
      <c r="P5192" s="88">
        <f t="shared" si="817"/>
        <v>0</v>
      </c>
      <c r="Q5192" s="88">
        <f t="shared" si="818"/>
        <v>0</v>
      </c>
      <c r="R5192" s="88" t="e">
        <f>-IF(Tabla14[[#This Row],[DIAS HABILES O MORA]]&lt;0,(Tabla14[[#This Row],[VALOR PRESTAMO]]*Tabla14[[#This Row],[% INTERES ]]/30*U5192))+Tabla14[[#This Row],[VALOR CUOTAS]]</f>
        <v>#VALUE!</v>
      </c>
      <c r="S5192" s="88">
        <f>-IF(Tabla14[[#This Row],[DIAS HABILES O MORA]]&lt;0,(Tabla14[[#This Row],[VALOR PRESTAMO]]*Tabla14[[#This Row],[% INTERES ]]/30*U5192))</f>
        <v>0</v>
      </c>
      <c r="T5192" s="53" t="e">
        <f>Tabla14[[#This Row],[DEUDA CAPITAL]]+Tabla14[[#This Row],[INTERES  CUOTA]]</f>
        <v>#NUM!</v>
      </c>
      <c r="U5192" s="61" t="str">
        <f t="shared" si="819"/>
        <v/>
      </c>
    </row>
    <row r="5193" spans="9:21" ht="24.75" customHeight="1" x14ac:dyDescent="0.35">
      <c r="I5193" s="42">
        <f t="shared" si="810"/>
        <v>0</v>
      </c>
      <c r="J5193" s="65" t="e">
        <f t="shared" si="811"/>
        <v>#NUM!</v>
      </c>
      <c r="K5193" s="83" t="e">
        <f t="shared" si="812"/>
        <v>#NUM!</v>
      </c>
      <c r="L5193" s="83">
        <f t="shared" si="813"/>
        <v>0</v>
      </c>
      <c r="M5193" s="110" t="str">
        <f t="shared" si="814"/>
        <v/>
      </c>
      <c r="N5193" s="51" t="str">
        <f t="shared" si="815"/>
        <v/>
      </c>
      <c r="O5193" s="52" t="str">
        <f t="shared" si="816"/>
        <v/>
      </c>
      <c r="P5193" s="88">
        <f t="shared" si="817"/>
        <v>0</v>
      </c>
      <c r="Q5193" s="88">
        <f t="shared" si="818"/>
        <v>0</v>
      </c>
      <c r="R5193" s="88" t="e">
        <f>-IF(Tabla14[[#This Row],[DIAS HABILES O MORA]]&lt;0,(Tabla14[[#This Row],[VALOR PRESTAMO]]*Tabla14[[#This Row],[% INTERES ]]/30*U5193))+Tabla14[[#This Row],[VALOR CUOTAS]]</f>
        <v>#VALUE!</v>
      </c>
      <c r="S5193" s="88">
        <f>-IF(Tabla14[[#This Row],[DIAS HABILES O MORA]]&lt;0,(Tabla14[[#This Row],[VALOR PRESTAMO]]*Tabla14[[#This Row],[% INTERES ]]/30*U5193))</f>
        <v>0</v>
      </c>
      <c r="T5193" s="53" t="e">
        <f>Tabla14[[#This Row],[DEUDA CAPITAL]]+Tabla14[[#This Row],[INTERES  CUOTA]]</f>
        <v>#NUM!</v>
      </c>
      <c r="U5193" s="61" t="str">
        <f t="shared" si="819"/>
        <v/>
      </c>
    </row>
    <row r="5194" spans="9:21" ht="24.75" customHeight="1" x14ac:dyDescent="0.35">
      <c r="I5194" s="42">
        <f t="shared" si="810"/>
        <v>0</v>
      </c>
      <c r="J5194" s="65" t="e">
        <f t="shared" si="811"/>
        <v>#NUM!</v>
      </c>
      <c r="K5194" s="83" t="e">
        <f t="shared" si="812"/>
        <v>#NUM!</v>
      </c>
      <c r="L5194" s="83">
        <f t="shared" si="813"/>
        <v>0</v>
      </c>
      <c r="M5194" s="110" t="str">
        <f t="shared" si="814"/>
        <v/>
      </c>
      <c r="N5194" s="51" t="str">
        <f t="shared" si="815"/>
        <v/>
      </c>
      <c r="O5194" s="52" t="str">
        <f t="shared" si="816"/>
        <v/>
      </c>
      <c r="P5194" s="88">
        <f t="shared" si="817"/>
        <v>0</v>
      </c>
      <c r="Q5194" s="88">
        <f t="shared" si="818"/>
        <v>0</v>
      </c>
      <c r="R5194" s="88" t="e">
        <f>-IF(Tabla14[[#This Row],[DIAS HABILES O MORA]]&lt;0,(Tabla14[[#This Row],[VALOR PRESTAMO]]*Tabla14[[#This Row],[% INTERES ]]/30*U5194))+Tabla14[[#This Row],[VALOR CUOTAS]]</f>
        <v>#VALUE!</v>
      </c>
      <c r="S5194" s="88">
        <f>-IF(Tabla14[[#This Row],[DIAS HABILES O MORA]]&lt;0,(Tabla14[[#This Row],[VALOR PRESTAMO]]*Tabla14[[#This Row],[% INTERES ]]/30*U5194))</f>
        <v>0</v>
      </c>
      <c r="T5194" s="53" t="e">
        <f>Tabla14[[#This Row],[DEUDA CAPITAL]]+Tabla14[[#This Row],[INTERES  CUOTA]]</f>
        <v>#NUM!</v>
      </c>
      <c r="U5194" s="61" t="str">
        <f t="shared" si="819"/>
        <v/>
      </c>
    </row>
    <row r="5195" spans="9:21" ht="24.75" customHeight="1" x14ac:dyDescent="0.35">
      <c r="I5195" s="42">
        <f t="shared" si="810"/>
        <v>0</v>
      </c>
      <c r="J5195" s="65" t="e">
        <f t="shared" si="811"/>
        <v>#NUM!</v>
      </c>
      <c r="K5195" s="83" t="e">
        <f t="shared" si="812"/>
        <v>#NUM!</v>
      </c>
      <c r="L5195" s="83">
        <f t="shared" si="813"/>
        <v>0</v>
      </c>
      <c r="M5195" s="110" t="str">
        <f t="shared" si="814"/>
        <v/>
      </c>
      <c r="N5195" s="51" t="str">
        <f t="shared" si="815"/>
        <v/>
      </c>
      <c r="O5195" s="52" t="str">
        <f t="shared" si="816"/>
        <v/>
      </c>
      <c r="P5195" s="88">
        <f t="shared" si="817"/>
        <v>0</v>
      </c>
      <c r="Q5195" s="88">
        <f t="shared" si="818"/>
        <v>0</v>
      </c>
      <c r="R5195" s="88" t="e">
        <f>-IF(Tabla14[[#This Row],[DIAS HABILES O MORA]]&lt;0,(Tabla14[[#This Row],[VALOR PRESTAMO]]*Tabla14[[#This Row],[% INTERES ]]/30*U5195))+Tabla14[[#This Row],[VALOR CUOTAS]]</f>
        <v>#VALUE!</v>
      </c>
      <c r="S5195" s="88">
        <f>-IF(Tabla14[[#This Row],[DIAS HABILES O MORA]]&lt;0,(Tabla14[[#This Row],[VALOR PRESTAMO]]*Tabla14[[#This Row],[% INTERES ]]/30*U5195))</f>
        <v>0</v>
      </c>
      <c r="T5195" s="53" t="e">
        <f>Tabla14[[#This Row],[DEUDA CAPITAL]]+Tabla14[[#This Row],[INTERES  CUOTA]]</f>
        <v>#NUM!</v>
      </c>
      <c r="U5195" s="61" t="str">
        <f t="shared" si="819"/>
        <v/>
      </c>
    </row>
    <row r="5196" spans="9:21" ht="24.75" customHeight="1" x14ac:dyDescent="0.35">
      <c r="I5196" s="42">
        <f t="shared" si="810"/>
        <v>0</v>
      </c>
      <c r="J5196" s="65" t="e">
        <f t="shared" si="811"/>
        <v>#NUM!</v>
      </c>
      <c r="K5196" s="83" t="e">
        <f t="shared" si="812"/>
        <v>#NUM!</v>
      </c>
      <c r="L5196" s="83">
        <f t="shared" si="813"/>
        <v>0</v>
      </c>
      <c r="M5196" s="110" t="str">
        <f t="shared" si="814"/>
        <v/>
      </c>
      <c r="N5196" s="51" t="str">
        <f t="shared" si="815"/>
        <v/>
      </c>
      <c r="O5196" s="52" t="str">
        <f t="shared" si="816"/>
        <v/>
      </c>
      <c r="P5196" s="88">
        <f t="shared" si="817"/>
        <v>0</v>
      </c>
      <c r="Q5196" s="88">
        <f t="shared" si="818"/>
        <v>0</v>
      </c>
      <c r="R5196" s="88" t="e">
        <f>-IF(Tabla14[[#This Row],[DIAS HABILES O MORA]]&lt;0,(Tabla14[[#This Row],[VALOR PRESTAMO]]*Tabla14[[#This Row],[% INTERES ]]/30*U5196))+Tabla14[[#This Row],[VALOR CUOTAS]]</f>
        <v>#VALUE!</v>
      </c>
      <c r="S5196" s="88">
        <f>-IF(Tabla14[[#This Row],[DIAS HABILES O MORA]]&lt;0,(Tabla14[[#This Row],[VALOR PRESTAMO]]*Tabla14[[#This Row],[% INTERES ]]/30*U5196))</f>
        <v>0</v>
      </c>
      <c r="T5196" s="53" t="e">
        <f>Tabla14[[#This Row],[DEUDA CAPITAL]]+Tabla14[[#This Row],[INTERES  CUOTA]]</f>
        <v>#NUM!</v>
      </c>
      <c r="U5196" s="61" t="str">
        <f t="shared" si="819"/>
        <v/>
      </c>
    </row>
    <row r="5197" spans="9:21" ht="24.75" customHeight="1" x14ac:dyDescent="0.35">
      <c r="I5197" s="42">
        <f t="shared" si="810"/>
        <v>0</v>
      </c>
      <c r="J5197" s="65" t="e">
        <f t="shared" si="811"/>
        <v>#NUM!</v>
      </c>
      <c r="K5197" s="83" t="e">
        <f t="shared" si="812"/>
        <v>#NUM!</v>
      </c>
      <c r="L5197" s="83">
        <f t="shared" si="813"/>
        <v>0</v>
      </c>
      <c r="M5197" s="110" t="str">
        <f t="shared" si="814"/>
        <v/>
      </c>
      <c r="N5197" s="51" t="str">
        <f t="shared" si="815"/>
        <v/>
      </c>
      <c r="O5197" s="52" t="str">
        <f t="shared" si="816"/>
        <v/>
      </c>
      <c r="P5197" s="88">
        <f t="shared" si="817"/>
        <v>0</v>
      </c>
      <c r="Q5197" s="88">
        <f t="shared" si="818"/>
        <v>0</v>
      </c>
      <c r="R5197" s="88" t="e">
        <f>-IF(Tabla14[[#This Row],[DIAS HABILES O MORA]]&lt;0,(Tabla14[[#This Row],[VALOR PRESTAMO]]*Tabla14[[#This Row],[% INTERES ]]/30*U5197))+Tabla14[[#This Row],[VALOR CUOTAS]]</f>
        <v>#VALUE!</v>
      </c>
      <c r="S5197" s="88">
        <f>-IF(Tabla14[[#This Row],[DIAS HABILES O MORA]]&lt;0,(Tabla14[[#This Row],[VALOR PRESTAMO]]*Tabla14[[#This Row],[% INTERES ]]/30*U5197))</f>
        <v>0</v>
      </c>
      <c r="T5197" s="53" t="e">
        <f>Tabla14[[#This Row],[DEUDA CAPITAL]]+Tabla14[[#This Row],[INTERES  CUOTA]]</f>
        <v>#NUM!</v>
      </c>
      <c r="U5197" s="61" t="str">
        <f t="shared" si="819"/>
        <v/>
      </c>
    </row>
    <row r="5198" spans="9:21" ht="24.75" customHeight="1" x14ac:dyDescent="0.35">
      <c r="I5198" s="42">
        <f t="shared" si="810"/>
        <v>0</v>
      </c>
      <c r="J5198" s="65" t="e">
        <f t="shared" si="811"/>
        <v>#NUM!</v>
      </c>
      <c r="K5198" s="83" t="e">
        <f t="shared" si="812"/>
        <v>#NUM!</v>
      </c>
      <c r="L5198" s="83">
        <f t="shared" si="813"/>
        <v>0</v>
      </c>
      <c r="M5198" s="110" t="str">
        <f t="shared" si="814"/>
        <v/>
      </c>
      <c r="N5198" s="51" t="str">
        <f t="shared" si="815"/>
        <v/>
      </c>
      <c r="O5198" s="52" t="str">
        <f t="shared" si="816"/>
        <v/>
      </c>
      <c r="P5198" s="88">
        <f t="shared" si="817"/>
        <v>0</v>
      </c>
      <c r="Q5198" s="88">
        <f t="shared" si="818"/>
        <v>0</v>
      </c>
      <c r="R5198" s="88" t="e">
        <f>-IF(Tabla14[[#This Row],[DIAS HABILES O MORA]]&lt;0,(Tabla14[[#This Row],[VALOR PRESTAMO]]*Tabla14[[#This Row],[% INTERES ]]/30*U5198))+Tabla14[[#This Row],[VALOR CUOTAS]]</f>
        <v>#VALUE!</v>
      </c>
      <c r="S5198" s="88">
        <f>-IF(Tabla14[[#This Row],[DIAS HABILES O MORA]]&lt;0,(Tabla14[[#This Row],[VALOR PRESTAMO]]*Tabla14[[#This Row],[% INTERES ]]/30*U5198))</f>
        <v>0</v>
      </c>
      <c r="T5198" s="53" t="e">
        <f>Tabla14[[#This Row],[DEUDA CAPITAL]]+Tabla14[[#This Row],[INTERES  CUOTA]]</f>
        <v>#NUM!</v>
      </c>
      <c r="U5198" s="61" t="str">
        <f t="shared" si="819"/>
        <v/>
      </c>
    </row>
    <row r="5199" spans="9:21" ht="24.75" customHeight="1" x14ac:dyDescent="0.35">
      <c r="I5199" s="42">
        <f t="shared" si="810"/>
        <v>0</v>
      </c>
      <c r="J5199" s="65" t="e">
        <f t="shared" si="811"/>
        <v>#NUM!</v>
      </c>
      <c r="K5199" s="83" t="e">
        <f t="shared" si="812"/>
        <v>#NUM!</v>
      </c>
      <c r="L5199" s="83">
        <f t="shared" si="813"/>
        <v>0</v>
      </c>
      <c r="M5199" s="110" t="str">
        <f t="shared" si="814"/>
        <v/>
      </c>
      <c r="N5199" s="51" t="str">
        <f t="shared" si="815"/>
        <v/>
      </c>
      <c r="O5199" s="52" t="str">
        <f t="shared" si="816"/>
        <v/>
      </c>
      <c r="P5199" s="88">
        <f t="shared" si="817"/>
        <v>0</v>
      </c>
      <c r="Q5199" s="88">
        <f t="shared" si="818"/>
        <v>0</v>
      </c>
      <c r="R5199" s="88" t="e">
        <f>-IF(Tabla14[[#This Row],[DIAS HABILES O MORA]]&lt;0,(Tabla14[[#This Row],[VALOR PRESTAMO]]*Tabla14[[#This Row],[% INTERES ]]/30*U5199))+Tabla14[[#This Row],[VALOR CUOTAS]]</f>
        <v>#VALUE!</v>
      </c>
      <c r="S5199" s="88">
        <f>-IF(Tabla14[[#This Row],[DIAS HABILES O MORA]]&lt;0,(Tabla14[[#This Row],[VALOR PRESTAMO]]*Tabla14[[#This Row],[% INTERES ]]/30*U5199))</f>
        <v>0</v>
      </c>
      <c r="T5199" s="53" t="e">
        <f>Tabla14[[#This Row],[DEUDA CAPITAL]]+Tabla14[[#This Row],[INTERES  CUOTA]]</f>
        <v>#NUM!</v>
      </c>
      <c r="U5199" s="61" t="str">
        <f t="shared" si="819"/>
        <v/>
      </c>
    </row>
    <row r="5200" spans="9:21" ht="24.75" customHeight="1" x14ac:dyDescent="0.35">
      <c r="I5200" s="42">
        <f t="shared" ref="I5200:I5263" si="820">IF(C5200&lt;0,"",IF(Q5200=0,0,IF(G5200=0,H5200+1,IF(H5200&lt;G5200,H5200+1,IF(G5200=H5200,0)))))</f>
        <v>0</v>
      </c>
      <c r="J5200" s="65" t="e">
        <f t="shared" ref="J5200:J5263" si="821">IF(F5200="SOLO INTERES",Q5200*D5200,-IPMT(D5200,I5200,G5200,C5200))</f>
        <v>#NUM!</v>
      </c>
      <c r="K5200" s="83" t="e">
        <f t="shared" ref="K5200:K5263" si="822">IF(F5200="SOLO INTERES",0,-PPMT(D5200,I5200,G5200,C5200))</f>
        <v>#NUM!</v>
      </c>
      <c r="L5200" s="83">
        <f t="shared" ref="L5200:L5263" si="823">IF(F5200="SOLO INTERES",SUM(Y5200:AAE5200),IFERROR(-CUMIPMT(D5200,G5200,C5200,1,H5200,0),0)+SUM(Y5200:WY5200))</f>
        <v>0</v>
      </c>
      <c r="M5200" s="110" t="str">
        <f t="shared" ref="M5200:M5263" si="824">IFERROR(IF(F5200="SOLO INTERES",Q5200*D5200,-PMT(D5200,G5200,C5200,0)),"")</f>
        <v/>
      </c>
      <c r="N5200" s="51" t="str">
        <f t="shared" ref="N5200:N5263" si="825">IF(Q5200=0,"",IF(E5200="MENSUAL",EDATE(B5200,I5200),IF(E5200="QUINCENAL",B5200+(I5200*15),IF(E5200="SEMANAL",B5200+(I5200*7)))))</f>
        <v/>
      </c>
      <c r="O5200" s="52" t="str">
        <f t="shared" ref="O5200:O5263" si="826">IF(C5200=0,"",IF(Q5200&lt;1,"PAGADO",IF(N5200=$A$3,"COBRAR HOY",IF(N5200&lt;$A$3,"EN MORA",IF(N5200&gt;$A$3,"AL DIA")))))</f>
        <v/>
      </c>
      <c r="P5200" s="88">
        <f t="shared" ref="P5200:P5263" si="827">IFERROR(-CUMPRINC(D5200,G5200,C5200,1,H5200,0),0)+W5200</f>
        <v>0</v>
      </c>
      <c r="Q5200" s="88">
        <f t="shared" ref="Q5200:Q5263" si="828">IFERROR(C5200-P5200,"")</f>
        <v>0</v>
      </c>
      <c r="R5200" s="88" t="e">
        <f>-IF(Tabla14[[#This Row],[DIAS HABILES O MORA]]&lt;0,(Tabla14[[#This Row],[VALOR PRESTAMO]]*Tabla14[[#This Row],[% INTERES ]]/30*U5200))+Tabla14[[#This Row],[VALOR CUOTAS]]</f>
        <v>#VALUE!</v>
      </c>
      <c r="S5200" s="88">
        <f>-IF(Tabla14[[#This Row],[DIAS HABILES O MORA]]&lt;0,(Tabla14[[#This Row],[VALOR PRESTAMO]]*Tabla14[[#This Row],[% INTERES ]]/30*U5200))</f>
        <v>0</v>
      </c>
      <c r="T5200" s="53" t="e">
        <f>Tabla14[[#This Row],[DEUDA CAPITAL]]+Tabla14[[#This Row],[INTERES  CUOTA]]</f>
        <v>#NUM!</v>
      </c>
      <c r="U5200" s="61" t="str">
        <f t="shared" ref="U5200:U5263" si="829">IF(O5200="PAGADO","",IFERROR(-IF(C5200=0,"",$A$3-N5200),""))</f>
        <v/>
      </c>
    </row>
    <row r="5201" spans="9:21" ht="24.75" customHeight="1" x14ac:dyDescent="0.35">
      <c r="I5201" s="42">
        <f t="shared" si="820"/>
        <v>0</v>
      </c>
      <c r="J5201" s="65" t="e">
        <f t="shared" si="821"/>
        <v>#NUM!</v>
      </c>
      <c r="K5201" s="83" t="e">
        <f t="shared" si="822"/>
        <v>#NUM!</v>
      </c>
      <c r="L5201" s="83">
        <f t="shared" si="823"/>
        <v>0</v>
      </c>
      <c r="M5201" s="110" t="str">
        <f t="shared" si="824"/>
        <v/>
      </c>
      <c r="N5201" s="51" t="str">
        <f t="shared" si="825"/>
        <v/>
      </c>
      <c r="O5201" s="52" t="str">
        <f t="shared" si="826"/>
        <v/>
      </c>
      <c r="P5201" s="88">
        <f t="shared" si="827"/>
        <v>0</v>
      </c>
      <c r="Q5201" s="88">
        <f t="shared" si="828"/>
        <v>0</v>
      </c>
      <c r="R5201" s="88" t="e">
        <f>-IF(Tabla14[[#This Row],[DIAS HABILES O MORA]]&lt;0,(Tabla14[[#This Row],[VALOR PRESTAMO]]*Tabla14[[#This Row],[% INTERES ]]/30*U5201))+Tabla14[[#This Row],[VALOR CUOTAS]]</f>
        <v>#VALUE!</v>
      </c>
      <c r="S5201" s="88">
        <f>-IF(Tabla14[[#This Row],[DIAS HABILES O MORA]]&lt;0,(Tabla14[[#This Row],[VALOR PRESTAMO]]*Tabla14[[#This Row],[% INTERES ]]/30*U5201))</f>
        <v>0</v>
      </c>
      <c r="T5201" s="53" t="e">
        <f>Tabla14[[#This Row],[DEUDA CAPITAL]]+Tabla14[[#This Row],[INTERES  CUOTA]]</f>
        <v>#NUM!</v>
      </c>
      <c r="U5201" s="61" t="str">
        <f t="shared" si="829"/>
        <v/>
      </c>
    </row>
    <row r="5202" spans="9:21" ht="24.75" customHeight="1" x14ac:dyDescent="0.35">
      <c r="I5202" s="42">
        <f t="shared" si="820"/>
        <v>0</v>
      </c>
      <c r="J5202" s="65" t="e">
        <f t="shared" si="821"/>
        <v>#NUM!</v>
      </c>
      <c r="K5202" s="83" t="e">
        <f t="shared" si="822"/>
        <v>#NUM!</v>
      </c>
      <c r="L5202" s="83">
        <f t="shared" si="823"/>
        <v>0</v>
      </c>
      <c r="M5202" s="110" t="str">
        <f t="shared" si="824"/>
        <v/>
      </c>
      <c r="N5202" s="51" t="str">
        <f t="shared" si="825"/>
        <v/>
      </c>
      <c r="O5202" s="52" t="str">
        <f t="shared" si="826"/>
        <v/>
      </c>
      <c r="P5202" s="88">
        <f t="shared" si="827"/>
        <v>0</v>
      </c>
      <c r="Q5202" s="88">
        <f t="shared" si="828"/>
        <v>0</v>
      </c>
      <c r="R5202" s="88" t="e">
        <f>-IF(Tabla14[[#This Row],[DIAS HABILES O MORA]]&lt;0,(Tabla14[[#This Row],[VALOR PRESTAMO]]*Tabla14[[#This Row],[% INTERES ]]/30*U5202))+Tabla14[[#This Row],[VALOR CUOTAS]]</f>
        <v>#VALUE!</v>
      </c>
      <c r="S5202" s="88">
        <f>-IF(Tabla14[[#This Row],[DIAS HABILES O MORA]]&lt;0,(Tabla14[[#This Row],[VALOR PRESTAMO]]*Tabla14[[#This Row],[% INTERES ]]/30*U5202))</f>
        <v>0</v>
      </c>
      <c r="T5202" s="53" t="e">
        <f>Tabla14[[#This Row],[DEUDA CAPITAL]]+Tabla14[[#This Row],[INTERES  CUOTA]]</f>
        <v>#NUM!</v>
      </c>
      <c r="U5202" s="61" t="str">
        <f t="shared" si="829"/>
        <v/>
      </c>
    </row>
    <row r="5203" spans="9:21" ht="24.75" customHeight="1" x14ac:dyDescent="0.35">
      <c r="I5203" s="42">
        <f t="shared" si="820"/>
        <v>0</v>
      </c>
      <c r="J5203" s="65" t="e">
        <f t="shared" si="821"/>
        <v>#NUM!</v>
      </c>
      <c r="K5203" s="83" t="e">
        <f t="shared" si="822"/>
        <v>#NUM!</v>
      </c>
      <c r="L5203" s="83">
        <f t="shared" si="823"/>
        <v>0</v>
      </c>
      <c r="M5203" s="110" t="str">
        <f t="shared" si="824"/>
        <v/>
      </c>
      <c r="N5203" s="51" t="str">
        <f t="shared" si="825"/>
        <v/>
      </c>
      <c r="O5203" s="52" t="str">
        <f t="shared" si="826"/>
        <v/>
      </c>
      <c r="P5203" s="88">
        <f t="shared" si="827"/>
        <v>0</v>
      </c>
      <c r="Q5203" s="88">
        <f t="shared" si="828"/>
        <v>0</v>
      </c>
      <c r="R5203" s="88" t="e">
        <f>-IF(Tabla14[[#This Row],[DIAS HABILES O MORA]]&lt;0,(Tabla14[[#This Row],[VALOR PRESTAMO]]*Tabla14[[#This Row],[% INTERES ]]/30*U5203))+Tabla14[[#This Row],[VALOR CUOTAS]]</f>
        <v>#VALUE!</v>
      </c>
      <c r="S5203" s="88">
        <f>-IF(Tabla14[[#This Row],[DIAS HABILES O MORA]]&lt;0,(Tabla14[[#This Row],[VALOR PRESTAMO]]*Tabla14[[#This Row],[% INTERES ]]/30*U5203))</f>
        <v>0</v>
      </c>
      <c r="T5203" s="53" t="e">
        <f>Tabla14[[#This Row],[DEUDA CAPITAL]]+Tabla14[[#This Row],[INTERES  CUOTA]]</f>
        <v>#NUM!</v>
      </c>
      <c r="U5203" s="61" t="str">
        <f t="shared" si="829"/>
        <v/>
      </c>
    </row>
    <row r="5204" spans="9:21" ht="24.75" customHeight="1" x14ac:dyDescent="0.35">
      <c r="I5204" s="42">
        <f t="shared" si="820"/>
        <v>0</v>
      </c>
      <c r="J5204" s="65" t="e">
        <f t="shared" si="821"/>
        <v>#NUM!</v>
      </c>
      <c r="K5204" s="83" t="e">
        <f t="shared" si="822"/>
        <v>#NUM!</v>
      </c>
      <c r="L5204" s="83">
        <f t="shared" si="823"/>
        <v>0</v>
      </c>
      <c r="M5204" s="110" t="str">
        <f t="shared" si="824"/>
        <v/>
      </c>
      <c r="N5204" s="51" t="str">
        <f t="shared" si="825"/>
        <v/>
      </c>
      <c r="O5204" s="52" t="str">
        <f t="shared" si="826"/>
        <v/>
      </c>
      <c r="P5204" s="88">
        <f t="shared" si="827"/>
        <v>0</v>
      </c>
      <c r="Q5204" s="88">
        <f t="shared" si="828"/>
        <v>0</v>
      </c>
      <c r="R5204" s="88" t="e">
        <f>-IF(Tabla14[[#This Row],[DIAS HABILES O MORA]]&lt;0,(Tabla14[[#This Row],[VALOR PRESTAMO]]*Tabla14[[#This Row],[% INTERES ]]/30*U5204))+Tabla14[[#This Row],[VALOR CUOTAS]]</f>
        <v>#VALUE!</v>
      </c>
      <c r="S5204" s="88">
        <f>-IF(Tabla14[[#This Row],[DIAS HABILES O MORA]]&lt;0,(Tabla14[[#This Row],[VALOR PRESTAMO]]*Tabla14[[#This Row],[% INTERES ]]/30*U5204))</f>
        <v>0</v>
      </c>
      <c r="T5204" s="53" t="e">
        <f>Tabla14[[#This Row],[DEUDA CAPITAL]]+Tabla14[[#This Row],[INTERES  CUOTA]]</f>
        <v>#NUM!</v>
      </c>
      <c r="U5204" s="61" t="str">
        <f t="shared" si="829"/>
        <v/>
      </c>
    </row>
    <row r="5205" spans="9:21" ht="24.75" customHeight="1" x14ac:dyDescent="0.35">
      <c r="I5205" s="42">
        <f t="shared" si="820"/>
        <v>0</v>
      </c>
      <c r="J5205" s="65" t="e">
        <f t="shared" si="821"/>
        <v>#NUM!</v>
      </c>
      <c r="K5205" s="83" t="e">
        <f t="shared" si="822"/>
        <v>#NUM!</v>
      </c>
      <c r="L5205" s="83">
        <f t="shared" si="823"/>
        <v>0</v>
      </c>
      <c r="M5205" s="110" t="str">
        <f t="shared" si="824"/>
        <v/>
      </c>
      <c r="N5205" s="51" t="str">
        <f t="shared" si="825"/>
        <v/>
      </c>
      <c r="O5205" s="52" t="str">
        <f t="shared" si="826"/>
        <v/>
      </c>
      <c r="P5205" s="88">
        <f t="shared" si="827"/>
        <v>0</v>
      </c>
      <c r="Q5205" s="88">
        <f t="shared" si="828"/>
        <v>0</v>
      </c>
      <c r="R5205" s="88" t="e">
        <f>-IF(Tabla14[[#This Row],[DIAS HABILES O MORA]]&lt;0,(Tabla14[[#This Row],[VALOR PRESTAMO]]*Tabla14[[#This Row],[% INTERES ]]/30*U5205))+Tabla14[[#This Row],[VALOR CUOTAS]]</f>
        <v>#VALUE!</v>
      </c>
      <c r="S5205" s="88">
        <f>-IF(Tabla14[[#This Row],[DIAS HABILES O MORA]]&lt;0,(Tabla14[[#This Row],[VALOR PRESTAMO]]*Tabla14[[#This Row],[% INTERES ]]/30*U5205))</f>
        <v>0</v>
      </c>
      <c r="T5205" s="53" t="e">
        <f>Tabla14[[#This Row],[DEUDA CAPITAL]]+Tabla14[[#This Row],[INTERES  CUOTA]]</f>
        <v>#NUM!</v>
      </c>
      <c r="U5205" s="61" t="str">
        <f t="shared" si="829"/>
        <v/>
      </c>
    </row>
    <row r="5206" spans="9:21" ht="24.75" customHeight="1" x14ac:dyDescent="0.35">
      <c r="I5206" s="42">
        <f t="shared" si="820"/>
        <v>0</v>
      </c>
      <c r="J5206" s="65" t="e">
        <f t="shared" si="821"/>
        <v>#NUM!</v>
      </c>
      <c r="K5206" s="83" t="e">
        <f t="shared" si="822"/>
        <v>#NUM!</v>
      </c>
      <c r="L5206" s="83">
        <f t="shared" si="823"/>
        <v>0</v>
      </c>
      <c r="M5206" s="110" t="str">
        <f t="shared" si="824"/>
        <v/>
      </c>
      <c r="N5206" s="51" t="str">
        <f t="shared" si="825"/>
        <v/>
      </c>
      <c r="O5206" s="52" t="str">
        <f t="shared" si="826"/>
        <v/>
      </c>
      <c r="P5206" s="88">
        <f t="shared" si="827"/>
        <v>0</v>
      </c>
      <c r="Q5206" s="88">
        <f t="shared" si="828"/>
        <v>0</v>
      </c>
      <c r="R5206" s="88" t="e">
        <f>-IF(Tabla14[[#This Row],[DIAS HABILES O MORA]]&lt;0,(Tabla14[[#This Row],[VALOR PRESTAMO]]*Tabla14[[#This Row],[% INTERES ]]/30*U5206))+Tabla14[[#This Row],[VALOR CUOTAS]]</f>
        <v>#VALUE!</v>
      </c>
      <c r="S5206" s="88">
        <f>-IF(Tabla14[[#This Row],[DIAS HABILES O MORA]]&lt;0,(Tabla14[[#This Row],[VALOR PRESTAMO]]*Tabla14[[#This Row],[% INTERES ]]/30*U5206))</f>
        <v>0</v>
      </c>
      <c r="T5206" s="53" t="e">
        <f>Tabla14[[#This Row],[DEUDA CAPITAL]]+Tabla14[[#This Row],[INTERES  CUOTA]]</f>
        <v>#NUM!</v>
      </c>
      <c r="U5206" s="61" t="str">
        <f t="shared" si="829"/>
        <v/>
      </c>
    </row>
    <row r="5207" spans="9:21" ht="24.75" customHeight="1" x14ac:dyDescent="0.35">
      <c r="I5207" s="42">
        <f t="shared" si="820"/>
        <v>0</v>
      </c>
      <c r="J5207" s="65" t="e">
        <f t="shared" si="821"/>
        <v>#NUM!</v>
      </c>
      <c r="K5207" s="83" t="e">
        <f t="shared" si="822"/>
        <v>#NUM!</v>
      </c>
      <c r="L5207" s="83">
        <f t="shared" si="823"/>
        <v>0</v>
      </c>
      <c r="M5207" s="110" t="str">
        <f t="shared" si="824"/>
        <v/>
      </c>
      <c r="N5207" s="51" t="str">
        <f t="shared" si="825"/>
        <v/>
      </c>
      <c r="O5207" s="52" t="str">
        <f t="shared" si="826"/>
        <v/>
      </c>
      <c r="P5207" s="88">
        <f t="shared" si="827"/>
        <v>0</v>
      </c>
      <c r="Q5207" s="88">
        <f t="shared" si="828"/>
        <v>0</v>
      </c>
      <c r="R5207" s="88" t="e">
        <f>-IF(Tabla14[[#This Row],[DIAS HABILES O MORA]]&lt;0,(Tabla14[[#This Row],[VALOR PRESTAMO]]*Tabla14[[#This Row],[% INTERES ]]/30*U5207))+Tabla14[[#This Row],[VALOR CUOTAS]]</f>
        <v>#VALUE!</v>
      </c>
      <c r="S5207" s="88">
        <f>-IF(Tabla14[[#This Row],[DIAS HABILES O MORA]]&lt;0,(Tabla14[[#This Row],[VALOR PRESTAMO]]*Tabla14[[#This Row],[% INTERES ]]/30*U5207))</f>
        <v>0</v>
      </c>
      <c r="T5207" s="53" t="e">
        <f>Tabla14[[#This Row],[DEUDA CAPITAL]]+Tabla14[[#This Row],[INTERES  CUOTA]]</f>
        <v>#NUM!</v>
      </c>
      <c r="U5207" s="61" t="str">
        <f t="shared" si="829"/>
        <v/>
      </c>
    </row>
    <row r="5208" spans="9:21" ht="24.75" customHeight="1" x14ac:dyDescent="0.35">
      <c r="I5208" s="42">
        <f t="shared" si="820"/>
        <v>0</v>
      </c>
      <c r="J5208" s="65" t="e">
        <f t="shared" si="821"/>
        <v>#NUM!</v>
      </c>
      <c r="K5208" s="83" t="e">
        <f t="shared" si="822"/>
        <v>#NUM!</v>
      </c>
      <c r="L5208" s="83">
        <f t="shared" si="823"/>
        <v>0</v>
      </c>
      <c r="M5208" s="110" t="str">
        <f t="shared" si="824"/>
        <v/>
      </c>
      <c r="N5208" s="51" t="str">
        <f t="shared" si="825"/>
        <v/>
      </c>
      <c r="O5208" s="52" t="str">
        <f t="shared" si="826"/>
        <v/>
      </c>
      <c r="P5208" s="88">
        <f t="shared" si="827"/>
        <v>0</v>
      </c>
      <c r="Q5208" s="88">
        <f t="shared" si="828"/>
        <v>0</v>
      </c>
      <c r="R5208" s="88" t="e">
        <f>-IF(Tabla14[[#This Row],[DIAS HABILES O MORA]]&lt;0,(Tabla14[[#This Row],[VALOR PRESTAMO]]*Tabla14[[#This Row],[% INTERES ]]/30*U5208))+Tabla14[[#This Row],[VALOR CUOTAS]]</f>
        <v>#VALUE!</v>
      </c>
      <c r="S5208" s="88">
        <f>-IF(Tabla14[[#This Row],[DIAS HABILES O MORA]]&lt;0,(Tabla14[[#This Row],[VALOR PRESTAMO]]*Tabla14[[#This Row],[% INTERES ]]/30*U5208))</f>
        <v>0</v>
      </c>
      <c r="T5208" s="53" t="e">
        <f>Tabla14[[#This Row],[DEUDA CAPITAL]]+Tabla14[[#This Row],[INTERES  CUOTA]]</f>
        <v>#NUM!</v>
      </c>
      <c r="U5208" s="61" t="str">
        <f t="shared" si="829"/>
        <v/>
      </c>
    </row>
    <row r="5209" spans="9:21" ht="24.75" customHeight="1" x14ac:dyDescent="0.35">
      <c r="I5209" s="42">
        <f t="shared" si="820"/>
        <v>0</v>
      </c>
      <c r="J5209" s="65" t="e">
        <f t="shared" si="821"/>
        <v>#NUM!</v>
      </c>
      <c r="K5209" s="83" t="e">
        <f t="shared" si="822"/>
        <v>#NUM!</v>
      </c>
      <c r="L5209" s="83">
        <f t="shared" si="823"/>
        <v>0</v>
      </c>
      <c r="M5209" s="110" t="str">
        <f t="shared" si="824"/>
        <v/>
      </c>
      <c r="N5209" s="51" t="str">
        <f t="shared" si="825"/>
        <v/>
      </c>
      <c r="O5209" s="52" t="str">
        <f t="shared" si="826"/>
        <v/>
      </c>
      <c r="P5209" s="88">
        <f t="shared" si="827"/>
        <v>0</v>
      </c>
      <c r="Q5209" s="88">
        <f t="shared" si="828"/>
        <v>0</v>
      </c>
      <c r="R5209" s="88" t="e">
        <f>-IF(Tabla14[[#This Row],[DIAS HABILES O MORA]]&lt;0,(Tabla14[[#This Row],[VALOR PRESTAMO]]*Tabla14[[#This Row],[% INTERES ]]/30*U5209))+Tabla14[[#This Row],[VALOR CUOTAS]]</f>
        <v>#VALUE!</v>
      </c>
      <c r="S5209" s="88">
        <f>-IF(Tabla14[[#This Row],[DIAS HABILES O MORA]]&lt;0,(Tabla14[[#This Row],[VALOR PRESTAMO]]*Tabla14[[#This Row],[% INTERES ]]/30*U5209))</f>
        <v>0</v>
      </c>
      <c r="T5209" s="53" t="e">
        <f>Tabla14[[#This Row],[DEUDA CAPITAL]]+Tabla14[[#This Row],[INTERES  CUOTA]]</f>
        <v>#NUM!</v>
      </c>
      <c r="U5209" s="61" t="str">
        <f t="shared" si="829"/>
        <v/>
      </c>
    </row>
    <row r="5210" spans="9:21" ht="24.75" customHeight="1" x14ac:dyDescent="0.35">
      <c r="I5210" s="42">
        <f t="shared" si="820"/>
        <v>0</v>
      </c>
      <c r="J5210" s="65" t="e">
        <f t="shared" si="821"/>
        <v>#NUM!</v>
      </c>
      <c r="K5210" s="83" t="e">
        <f t="shared" si="822"/>
        <v>#NUM!</v>
      </c>
      <c r="L5210" s="83">
        <f t="shared" si="823"/>
        <v>0</v>
      </c>
      <c r="M5210" s="110" t="str">
        <f t="shared" si="824"/>
        <v/>
      </c>
      <c r="N5210" s="51" t="str">
        <f t="shared" si="825"/>
        <v/>
      </c>
      <c r="O5210" s="52" t="str">
        <f t="shared" si="826"/>
        <v/>
      </c>
      <c r="P5210" s="88">
        <f t="shared" si="827"/>
        <v>0</v>
      </c>
      <c r="Q5210" s="88">
        <f t="shared" si="828"/>
        <v>0</v>
      </c>
      <c r="R5210" s="88" t="e">
        <f>-IF(Tabla14[[#This Row],[DIAS HABILES O MORA]]&lt;0,(Tabla14[[#This Row],[VALOR PRESTAMO]]*Tabla14[[#This Row],[% INTERES ]]/30*U5210))+Tabla14[[#This Row],[VALOR CUOTAS]]</f>
        <v>#VALUE!</v>
      </c>
      <c r="S5210" s="88">
        <f>-IF(Tabla14[[#This Row],[DIAS HABILES O MORA]]&lt;0,(Tabla14[[#This Row],[VALOR PRESTAMO]]*Tabla14[[#This Row],[% INTERES ]]/30*U5210))</f>
        <v>0</v>
      </c>
      <c r="T5210" s="53" t="e">
        <f>Tabla14[[#This Row],[DEUDA CAPITAL]]+Tabla14[[#This Row],[INTERES  CUOTA]]</f>
        <v>#NUM!</v>
      </c>
      <c r="U5210" s="61" t="str">
        <f t="shared" si="829"/>
        <v/>
      </c>
    </row>
    <row r="5211" spans="9:21" ht="24.75" customHeight="1" x14ac:dyDescent="0.35">
      <c r="I5211" s="42">
        <f t="shared" si="820"/>
        <v>0</v>
      </c>
      <c r="J5211" s="65" t="e">
        <f t="shared" si="821"/>
        <v>#NUM!</v>
      </c>
      <c r="K5211" s="83" t="e">
        <f t="shared" si="822"/>
        <v>#NUM!</v>
      </c>
      <c r="L5211" s="83">
        <f t="shared" si="823"/>
        <v>0</v>
      </c>
      <c r="M5211" s="110" t="str">
        <f t="shared" si="824"/>
        <v/>
      </c>
      <c r="N5211" s="51" t="str">
        <f t="shared" si="825"/>
        <v/>
      </c>
      <c r="O5211" s="52" t="str">
        <f t="shared" si="826"/>
        <v/>
      </c>
      <c r="P5211" s="88">
        <f t="shared" si="827"/>
        <v>0</v>
      </c>
      <c r="Q5211" s="88">
        <f t="shared" si="828"/>
        <v>0</v>
      </c>
      <c r="R5211" s="88" t="e">
        <f>-IF(Tabla14[[#This Row],[DIAS HABILES O MORA]]&lt;0,(Tabla14[[#This Row],[VALOR PRESTAMO]]*Tabla14[[#This Row],[% INTERES ]]/30*U5211))+Tabla14[[#This Row],[VALOR CUOTAS]]</f>
        <v>#VALUE!</v>
      </c>
      <c r="S5211" s="88">
        <f>-IF(Tabla14[[#This Row],[DIAS HABILES O MORA]]&lt;0,(Tabla14[[#This Row],[VALOR PRESTAMO]]*Tabla14[[#This Row],[% INTERES ]]/30*U5211))</f>
        <v>0</v>
      </c>
      <c r="T5211" s="53" t="e">
        <f>Tabla14[[#This Row],[DEUDA CAPITAL]]+Tabla14[[#This Row],[INTERES  CUOTA]]</f>
        <v>#NUM!</v>
      </c>
      <c r="U5211" s="61" t="str">
        <f t="shared" si="829"/>
        <v/>
      </c>
    </row>
    <row r="5212" spans="9:21" ht="24.75" customHeight="1" x14ac:dyDescent="0.35">
      <c r="I5212" s="42">
        <f t="shared" si="820"/>
        <v>0</v>
      </c>
      <c r="J5212" s="65" t="e">
        <f t="shared" si="821"/>
        <v>#NUM!</v>
      </c>
      <c r="K5212" s="83" t="e">
        <f t="shared" si="822"/>
        <v>#NUM!</v>
      </c>
      <c r="L5212" s="83">
        <f t="shared" si="823"/>
        <v>0</v>
      </c>
      <c r="M5212" s="110" t="str">
        <f t="shared" si="824"/>
        <v/>
      </c>
      <c r="N5212" s="51" t="str">
        <f t="shared" si="825"/>
        <v/>
      </c>
      <c r="O5212" s="52" t="str">
        <f t="shared" si="826"/>
        <v/>
      </c>
      <c r="P5212" s="88">
        <f t="shared" si="827"/>
        <v>0</v>
      </c>
      <c r="Q5212" s="88">
        <f t="shared" si="828"/>
        <v>0</v>
      </c>
      <c r="R5212" s="88" t="e">
        <f>-IF(Tabla14[[#This Row],[DIAS HABILES O MORA]]&lt;0,(Tabla14[[#This Row],[VALOR PRESTAMO]]*Tabla14[[#This Row],[% INTERES ]]/30*U5212))+Tabla14[[#This Row],[VALOR CUOTAS]]</f>
        <v>#VALUE!</v>
      </c>
      <c r="S5212" s="88">
        <f>-IF(Tabla14[[#This Row],[DIAS HABILES O MORA]]&lt;0,(Tabla14[[#This Row],[VALOR PRESTAMO]]*Tabla14[[#This Row],[% INTERES ]]/30*U5212))</f>
        <v>0</v>
      </c>
      <c r="T5212" s="53" t="e">
        <f>Tabla14[[#This Row],[DEUDA CAPITAL]]+Tabla14[[#This Row],[INTERES  CUOTA]]</f>
        <v>#NUM!</v>
      </c>
      <c r="U5212" s="61" t="str">
        <f t="shared" si="829"/>
        <v/>
      </c>
    </row>
    <row r="5213" spans="9:21" ht="24.75" customHeight="1" x14ac:dyDescent="0.35">
      <c r="I5213" s="42">
        <f t="shared" si="820"/>
        <v>0</v>
      </c>
      <c r="J5213" s="65" t="e">
        <f t="shared" si="821"/>
        <v>#NUM!</v>
      </c>
      <c r="K5213" s="83" t="e">
        <f t="shared" si="822"/>
        <v>#NUM!</v>
      </c>
      <c r="L5213" s="83">
        <f t="shared" si="823"/>
        <v>0</v>
      </c>
      <c r="M5213" s="110" t="str">
        <f t="shared" si="824"/>
        <v/>
      </c>
      <c r="N5213" s="51" t="str">
        <f t="shared" si="825"/>
        <v/>
      </c>
      <c r="O5213" s="52" t="str">
        <f t="shared" si="826"/>
        <v/>
      </c>
      <c r="P5213" s="88">
        <f t="shared" si="827"/>
        <v>0</v>
      </c>
      <c r="Q5213" s="88">
        <f t="shared" si="828"/>
        <v>0</v>
      </c>
      <c r="R5213" s="88" t="e">
        <f>-IF(Tabla14[[#This Row],[DIAS HABILES O MORA]]&lt;0,(Tabla14[[#This Row],[VALOR PRESTAMO]]*Tabla14[[#This Row],[% INTERES ]]/30*U5213))+Tabla14[[#This Row],[VALOR CUOTAS]]</f>
        <v>#VALUE!</v>
      </c>
      <c r="S5213" s="88">
        <f>-IF(Tabla14[[#This Row],[DIAS HABILES O MORA]]&lt;0,(Tabla14[[#This Row],[VALOR PRESTAMO]]*Tabla14[[#This Row],[% INTERES ]]/30*U5213))</f>
        <v>0</v>
      </c>
      <c r="T5213" s="53" t="e">
        <f>Tabla14[[#This Row],[DEUDA CAPITAL]]+Tabla14[[#This Row],[INTERES  CUOTA]]</f>
        <v>#NUM!</v>
      </c>
      <c r="U5213" s="61" t="str">
        <f t="shared" si="829"/>
        <v/>
      </c>
    </row>
    <row r="5214" spans="9:21" ht="24.75" customHeight="1" x14ac:dyDescent="0.35">
      <c r="I5214" s="42">
        <f t="shared" si="820"/>
        <v>0</v>
      </c>
      <c r="J5214" s="65" t="e">
        <f t="shared" si="821"/>
        <v>#NUM!</v>
      </c>
      <c r="K5214" s="83" t="e">
        <f t="shared" si="822"/>
        <v>#NUM!</v>
      </c>
      <c r="L5214" s="83">
        <f t="shared" si="823"/>
        <v>0</v>
      </c>
      <c r="M5214" s="110" t="str">
        <f t="shared" si="824"/>
        <v/>
      </c>
      <c r="N5214" s="51" t="str">
        <f t="shared" si="825"/>
        <v/>
      </c>
      <c r="O5214" s="52" t="str">
        <f t="shared" si="826"/>
        <v/>
      </c>
      <c r="P5214" s="88">
        <f t="shared" si="827"/>
        <v>0</v>
      </c>
      <c r="Q5214" s="88">
        <f t="shared" si="828"/>
        <v>0</v>
      </c>
      <c r="R5214" s="88" t="e">
        <f>-IF(Tabla14[[#This Row],[DIAS HABILES O MORA]]&lt;0,(Tabla14[[#This Row],[VALOR PRESTAMO]]*Tabla14[[#This Row],[% INTERES ]]/30*U5214))+Tabla14[[#This Row],[VALOR CUOTAS]]</f>
        <v>#VALUE!</v>
      </c>
      <c r="S5214" s="88">
        <f>-IF(Tabla14[[#This Row],[DIAS HABILES O MORA]]&lt;0,(Tabla14[[#This Row],[VALOR PRESTAMO]]*Tabla14[[#This Row],[% INTERES ]]/30*U5214))</f>
        <v>0</v>
      </c>
      <c r="T5214" s="53" t="e">
        <f>Tabla14[[#This Row],[DEUDA CAPITAL]]+Tabla14[[#This Row],[INTERES  CUOTA]]</f>
        <v>#NUM!</v>
      </c>
      <c r="U5214" s="61" t="str">
        <f t="shared" si="829"/>
        <v/>
      </c>
    </row>
    <row r="5215" spans="9:21" ht="24.75" customHeight="1" x14ac:dyDescent="0.35">
      <c r="I5215" s="42">
        <f t="shared" si="820"/>
        <v>0</v>
      </c>
      <c r="J5215" s="65" t="e">
        <f t="shared" si="821"/>
        <v>#NUM!</v>
      </c>
      <c r="K5215" s="83" t="e">
        <f t="shared" si="822"/>
        <v>#NUM!</v>
      </c>
      <c r="L5215" s="83">
        <f t="shared" si="823"/>
        <v>0</v>
      </c>
      <c r="M5215" s="110" t="str">
        <f t="shared" si="824"/>
        <v/>
      </c>
      <c r="N5215" s="51" t="str">
        <f t="shared" si="825"/>
        <v/>
      </c>
      <c r="O5215" s="52" t="str">
        <f t="shared" si="826"/>
        <v/>
      </c>
      <c r="P5215" s="88">
        <f t="shared" si="827"/>
        <v>0</v>
      </c>
      <c r="Q5215" s="88">
        <f t="shared" si="828"/>
        <v>0</v>
      </c>
      <c r="R5215" s="88" t="e">
        <f>-IF(Tabla14[[#This Row],[DIAS HABILES O MORA]]&lt;0,(Tabla14[[#This Row],[VALOR PRESTAMO]]*Tabla14[[#This Row],[% INTERES ]]/30*U5215))+Tabla14[[#This Row],[VALOR CUOTAS]]</f>
        <v>#VALUE!</v>
      </c>
      <c r="S5215" s="88">
        <f>-IF(Tabla14[[#This Row],[DIAS HABILES O MORA]]&lt;0,(Tabla14[[#This Row],[VALOR PRESTAMO]]*Tabla14[[#This Row],[% INTERES ]]/30*U5215))</f>
        <v>0</v>
      </c>
      <c r="T5215" s="53" t="e">
        <f>Tabla14[[#This Row],[DEUDA CAPITAL]]+Tabla14[[#This Row],[INTERES  CUOTA]]</f>
        <v>#NUM!</v>
      </c>
      <c r="U5215" s="61" t="str">
        <f t="shared" si="829"/>
        <v/>
      </c>
    </row>
    <row r="5216" spans="9:21" ht="24.75" customHeight="1" x14ac:dyDescent="0.35">
      <c r="I5216" s="42">
        <f t="shared" si="820"/>
        <v>0</v>
      </c>
      <c r="J5216" s="65" t="e">
        <f t="shared" si="821"/>
        <v>#NUM!</v>
      </c>
      <c r="K5216" s="83" t="e">
        <f t="shared" si="822"/>
        <v>#NUM!</v>
      </c>
      <c r="L5216" s="83">
        <f t="shared" si="823"/>
        <v>0</v>
      </c>
      <c r="M5216" s="110" t="str">
        <f t="shared" si="824"/>
        <v/>
      </c>
      <c r="N5216" s="51" t="str">
        <f t="shared" si="825"/>
        <v/>
      </c>
      <c r="O5216" s="52" t="str">
        <f t="shared" si="826"/>
        <v/>
      </c>
      <c r="P5216" s="88">
        <f t="shared" si="827"/>
        <v>0</v>
      </c>
      <c r="Q5216" s="88">
        <f t="shared" si="828"/>
        <v>0</v>
      </c>
      <c r="R5216" s="88" t="e">
        <f>-IF(Tabla14[[#This Row],[DIAS HABILES O MORA]]&lt;0,(Tabla14[[#This Row],[VALOR PRESTAMO]]*Tabla14[[#This Row],[% INTERES ]]/30*U5216))+Tabla14[[#This Row],[VALOR CUOTAS]]</f>
        <v>#VALUE!</v>
      </c>
      <c r="S5216" s="88">
        <f>-IF(Tabla14[[#This Row],[DIAS HABILES O MORA]]&lt;0,(Tabla14[[#This Row],[VALOR PRESTAMO]]*Tabla14[[#This Row],[% INTERES ]]/30*U5216))</f>
        <v>0</v>
      </c>
      <c r="T5216" s="53" t="e">
        <f>Tabla14[[#This Row],[DEUDA CAPITAL]]+Tabla14[[#This Row],[INTERES  CUOTA]]</f>
        <v>#NUM!</v>
      </c>
      <c r="U5216" s="61" t="str">
        <f t="shared" si="829"/>
        <v/>
      </c>
    </row>
    <row r="5217" spans="9:21" ht="24.75" customHeight="1" x14ac:dyDescent="0.35">
      <c r="I5217" s="42">
        <f t="shared" si="820"/>
        <v>0</v>
      </c>
      <c r="J5217" s="65" t="e">
        <f t="shared" si="821"/>
        <v>#NUM!</v>
      </c>
      <c r="K5217" s="83" t="e">
        <f t="shared" si="822"/>
        <v>#NUM!</v>
      </c>
      <c r="L5217" s="83">
        <f t="shared" si="823"/>
        <v>0</v>
      </c>
      <c r="M5217" s="110" t="str">
        <f t="shared" si="824"/>
        <v/>
      </c>
      <c r="N5217" s="51" t="str">
        <f t="shared" si="825"/>
        <v/>
      </c>
      <c r="O5217" s="52" t="str">
        <f t="shared" si="826"/>
        <v/>
      </c>
      <c r="P5217" s="88">
        <f t="shared" si="827"/>
        <v>0</v>
      </c>
      <c r="Q5217" s="88">
        <f t="shared" si="828"/>
        <v>0</v>
      </c>
      <c r="R5217" s="88" t="e">
        <f>-IF(Tabla14[[#This Row],[DIAS HABILES O MORA]]&lt;0,(Tabla14[[#This Row],[VALOR PRESTAMO]]*Tabla14[[#This Row],[% INTERES ]]/30*U5217))+Tabla14[[#This Row],[VALOR CUOTAS]]</f>
        <v>#VALUE!</v>
      </c>
      <c r="S5217" s="88">
        <f>-IF(Tabla14[[#This Row],[DIAS HABILES O MORA]]&lt;0,(Tabla14[[#This Row],[VALOR PRESTAMO]]*Tabla14[[#This Row],[% INTERES ]]/30*U5217))</f>
        <v>0</v>
      </c>
      <c r="T5217" s="53" t="e">
        <f>Tabla14[[#This Row],[DEUDA CAPITAL]]+Tabla14[[#This Row],[INTERES  CUOTA]]</f>
        <v>#NUM!</v>
      </c>
      <c r="U5217" s="61" t="str">
        <f t="shared" si="829"/>
        <v/>
      </c>
    </row>
    <row r="5218" spans="9:21" ht="24.75" customHeight="1" x14ac:dyDescent="0.35">
      <c r="I5218" s="42">
        <f t="shared" si="820"/>
        <v>0</v>
      </c>
      <c r="J5218" s="65" t="e">
        <f t="shared" si="821"/>
        <v>#NUM!</v>
      </c>
      <c r="K5218" s="83" t="e">
        <f t="shared" si="822"/>
        <v>#NUM!</v>
      </c>
      <c r="L5218" s="83">
        <f t="shared" si="823"/>
        <v>0</v>
      </c>
      <c r="M5218" s="110" t="str">
        <f t="shared" si="824"/>
        <v/>
      </c>
      <c r="N5218" s="51" t="str">
        <f t="shared" si="825"/>
        <v/>
      </c>
      <c r="O5218" s="52" t="str">
        <f t="shared" si="826"/>
        <v/>
      </c>
      <c r="P5218" s="88">
        <f t="shared" si="827"/>
        <v>0</v>
      </c>
      <c r="Q5218" s="88">
        <f t="shared" si="828"/>
        <v>0</v>
      </c>
      <c r="R5218" s="88" t="e">
        <f>-IF(Tabla14[[#This Row],[DIAS HABILES O MORA]]&lt;0,(Tabla14[[#This Row],[VALOR PRESTAMO]]*Tabla14[[#This Row],[% INTERES ]]/30*U5218))+Tabla14[[#This Row],[VALOR CUOTAS]]</f>
        <v>#VALUE!</v>
      </c>
      <c r="S5218" s="88">
        <f>-IF(Tabla14[[#This Row],[DIAS HABILES O MORA]]&lt;0,(Tabla14[[#This Row],[VALOR PRESTAMO]]*Tabla14[[#This Row],[% INTERES ]]/30*U5218))</f>
        <v>0</v>
      </c>
      <c r="T5218" s="53" t="e">
        <f>Tabla14[[#This Row],[DEUDA CAPITAL]]+Tabla14[[#This Row],[INTERES  CUOTA]]</f>
        <v>#NUM!</v>
      </c>
      <c r="U5218" s="61" t="str">
        <f t="shared" si="829"/>
        <v/>
      </c>
    </row>
    <row r="5219" spans="9:21" ht="24.75" customHeight="1" x14ac:dyDescent="0.35">
      <c r="I5219" s="42">
        <f t="shared" si="820"/>
        <v>0</v>
      </c>
      <c r="J5219" s="65" t="e">
        <f t="shared" si="821"/>
        <v>#NUM!</v>
      </c>
      <c r="K5219" s="83" t="e">
        <f t="shared" si="822"/>
        <v>#NUM!</v>
      </c>
      <c r="L5219" s="83">
        <f t="shared" si="823"/>
        <v>0</v>
      </c>
      <c r="M5219" s="110" t="str">
        <f t="shared" si="824"/>
        <v/>
      </c>
      <c r="N5219" s="51" t="str">
        <f t="shared" si="825"/>
        <v/>
      </c>
      <c r="O5219" s="52" t="str">
        <f t="shared" si="826"/>
        <v/>
      </c>
      <c r="P5219" s="88">
        <f t="shared" si="827"/>
        <v>0</v>
      </c>
      <c r="Q5219" s="88">
        <f t="shared" si="828"/>
        <v>0</v>
      </c>
      <c r="R5219" s="88" t="e">
        <f>-IF(Tabla14[[#This Row],[DIAS HABILES O MORA]]&lt;0,(Tabla14[[#This Row],[VALOR PRESTAMO]]*Tabla14[[#This Row],[% INTERES ]]/30*U5219))+Tabla14[[#This Row],[VALOR CUOTAS]]</f>
        <v>#VALUE!</v>
      </c>
      <c r="S5219" s="88">
        <f>-IF(Tabla14[[#This Row],[DIAS HABILES O MORA]]&lt;0,(Tabla14[[#This Row],[VALOR PRESTAMO]]*Tabla14[[#This Row],[% INTERES ]]/30*U5219))</f>
        <v>0</v>
      </c>
      <c r="T5219" s="53" t="e">
        <f>Tabla14[[#This Row],[DEUDA CAPITAL]]+Tabla14[[#This Row],[INTERES  CUOTA]]</f>
        <v>#NUM!</v>
      </c>
      <c r="U5219" s="61" t="str">
        <f t="shared" si="829"/>
        <v/>
      </c>
    </row>
    <row r="5220" spans="9:21" ht="24.75" customHeight="1" x14ac:dyDescent="0.35">
      <c r="I5220" s="42">
        <f t="shared" si="820"/>
        <v>0</v>
      </c>
      <c r="J5220" s="65" t="e">
        <f t="shared" si="821"/>
        <v>#NUM!</v>
      </c>
      <c r="K5220" s="83" t="e">
        <f t="shared" si="822"/>
        <v>#NUM!</v>
      </c>
      <c r="L5220" s="83">
        <f t="shared" si="823"/>
        <v>0</v>
      </c>
      <c r="M5220" s="110" t="str">
        <f t="shared" si="824"/>
        <v/>
      </c>
      <c r="N5220" s="51" t="str">
        <f t="shared" si="825"/>
        <v/>
      </c>
      <c r="O5220" s="52" t="str">
        <f t="shared" si="826"/>
        <v/>
      </c>
      <c r="P5220" s="88">
        <f t="shared" si="827"/>
        <v>0</v>
      </c>
      <c r="Q5220" s="88">
        <f t="shared" si="828"/>
        <v>0</v>
      </c>
      <c r="R5220" s="88" t="e">
        <f>-IF(Tabla14[[#This Row],[DIAS HABILES O MORA]]&lt;0,(Tabla14[[#This Row],[VALOR PRESTAMO]]*Tabla14[[#This Row],[% INTERES ]]/30*U5220))+Tabla14[[#This Row],[VALOR CUOTAS]]</f>
        <v>#VALUE!</v>
      </c>
      <c r="S5220" s="88">
        <f>-IF(Tabla14[[#This Row],[DIAS HABILES O MORA]]&lt;0,(Tabla14[[#This Row],[VALOR PRESTAMO]]*Tabla14[[#This Row],[% INTERES ]]/30*U5220))</f>
        <v>0</v>
      </c>
      <c r="T5220" s="53" t="e">
        <f>Tabla14[[#This Row],[DEUDA CAPITAL]]+Tabla14[[#This Row],[INTERES  CUOTA]]</f>
        <v>#NUM!</v>
      </c>
      <c r="U5220" s="61" t="str">
        <f t="shared" si="829"/>
        <v/>
      </c>
    </row>
    <row r="5221" spans="9:21" ht="24.75" customHeight="1" x14ac:dyDescent="0.35">
      <c r="I5221" s="42">
        <f t="shared" si="820"/>
        <v>0</v>
      </c>
      <c r="J5221" s="65" t="e">
        <f t="shared" si="821"/>
        <v>#NUM!</v>
      </c>
      <c r="K5221" s="83" t="e">
        <f t="shared" si="822"/>
        <v>#NUM!</v>
      </c>
      <c r="L5221" s="83">
        <f t="shared" si="823"/>
        <v>0</v>
      </c>
      <c r="M5221" s="110" t="str">
        <f t="shared" si="824"/>
        <v/>
      </c>
      <c r="N5221" s="51" t="str">
        <f t="shared" si="825"/>
        <v/>
      </c>
      <c r="O5221" s="52" t="str">
        <f t="shared" si="826"/>
        <v/>
      </c>
      <c r="P5221" s="88">
        <f t="shared" si="827"/>
        <v>0</v>
      </c>
      <c r="Q5221" s="88">
        <f t="shared" si="828"/>
        <v>0</v>
      </c>
      <c r="R5221" s="88" t="e">
        <f>-IF(Tabla14[[#This Row],[DIAS HABILES O MORA]]&lt;0,(Tabla14[[#This Row],[VALOR PRESTAMO]]*Tabla14[[#This Row],[% INTERES ]]/30*U5221))+Tabla14[[#This Row],[VALOR CUOTAS]]</f>
        <v>#VALUE!</v>
      </c>
      <c r="S5221" s="88">
        <f>-IF(Tabla14[[#This Row],[DIAS HABILES O MORA]]&lt;0,(Tabla14[[#This Row],[VALOR PRESTAMO]]*Tabla14[[#This Row],[% INTERES ]]/30*U5221))</f>
        <v>0</v>
      </c>
      <c r="T5221" s="53" t="e">
        <f>Tabla14[[#This Row],[DEUDA CAPITAL]]+Tabla14[[#This Row],[INTERES  CUOTA]]</f>
        <v>#NUM!</v>
      </c>
      <c r="U5221" s="61" t="str">
        <f t="shared" si="829"/>
        <v/>
      </c>
    </row>
    <row r="5222" spans="9:21" ht="24.75" customHeight="1" x14ac:dyDescent="0.35">
      <c r="I5222" s="42">
        <f t="shared" si="820"/>
        <v>0</v>
      </c>
      <c r="J5222" s="65" t="e">
        <f t="shared" si="821"/>
        <v>#NUM!</v>
      </c>
      <c r="K5222" s="83" t="e">
        <f t="shared" si="822"/>
        <v>#NUM!</v>
      </c>
      <c r="L5222" s="83">
        <f t="shared" si="823"/>
        <v>0</v>
      </c>
      <c r="M5222" s="110" t="str">
        <f t="shared" si="824"/>
        <v/>
      </c>
      <c r="N5222" s="51" t="str">
        <f t="shared" si="825"/>
        <v/>
      </c>
      <c r="O5222" s="52" t="str">
        <f t="shared" si="826"/>
        <v/>
      </c>
      <c r="P5222" s="88">
        <f t="shared" si="827"/>
        <v>0</v>
      </c>
      <c r="Q5222" s="88">
        <f t="shared" si="828"/>
        <v>0</v>
      </c>
      <c r="R5222" s="88" t="e">
        <f>-IF(Tabla14[[#This Row],[DIAS HABILES O MORA]]&lt;0,(Tabla14[[#This Row],[VALOR PRESTAMO]]*Tabla14[[#This Row],[% INTERES ]]/30*U5222))+Tabla14[[#This Row],[VALOR CUOTAS]]</f>
        <v>#VALUE!</v>
      </c>
      <c r="S5222" s="88">
        <f>-IF(Tabla14[[#This Row],[DIAS HABILES O MORA]]&lt;0,(Tabla14[[#This Row],[VALOR PRESTAMO]]*Tabla14[[#This Row],[% INTERES ]]/30*U5222))</f>
        <v>0</v>
      </c>
      <c r="T5222" s="53" t="e">
        <f>Tabla14[[#This Row],[DEUDA CAPITAL]]+Tabla14[[#This Row],[INTERES  CUOTA]]</f>
        <v>#NUM!</v>
      </c>
      <c r="U5222" s="61" t="str">
        <f t="shared" si="829"/>
        <v/>
      </c>
    </row>
    <row r="5223" spans="9:21" ht="24.75" customHeight="1" x14ac:dyDescent="0.35">
      <c r="I5223" s="42">
        <f t="shared" si="820"/>
        <v>0</v>
      </c>
      <c r="J5223" s="65" t="e">
        <f t="shared" si="821"/>
        <v>#NUM!</v>
      </c>
      <c r="K5223" s="83" t="e">
        <f t="shared" si="822"/>
        <v>#NUM!</v>
      </c>
      <c r="L5223" s="83">
        <f t="shared" si="823"/>
        <v>0</v>
      </c>
      <c r="M5223" s="110" t="str">
        <f t="shared" si="824"/>
        <v/>
      </c>
      <c r="N5223" s="51" t="str">
        <f t="shared" si="825"/>
        <v/>
      </c>
      <c r="O5223" s="52" t="str">
        <f t="shared" si="826"/>
        <v/>
      </c>
      <c r="P5223" s="88">
        <f t="shared" si="827"/>
        <v>0</v>
      </c>
      <c r="Q5223" s="88">
        <f t="shared" si="828"/>
        <v>0</v>
      </c>
      <c r="R5223" s="88" t="e">
        <f>-IF(Tabla14[[#This Row],[DIAS HABILES O MORA]]&lt;0,(Tabla14[[#This Row],[VALOR PRESTAMO]]*Tabla14[[#This Row],[% INTERES ]]/30*U5223))+Tabla14[[#This Row],[VALOR CUOTAS]]</f>
        <v>#VALUE!</v>
      </c>
      <c r="S5223" s="88">
        <f>-IF(Tabla14[[#This Row],[DIAS HABILES O MORA]]&lt;0,(Tabla14[[#This Row],[VALOR PRESTAMO]]*Tabla14[[#This Row],[% INTERES ]]/30*U5223))</f>
        <v>0</v>
      </c>
      <c r="T5223" s="53" t="e">
        <f>Tabla14[[#This Row],[DEUDA CAPITAL]]+Tabla14[[#This Row],[INTERES  CUOTA]]</f>
        <v>#NUM!</v>
      </c>
      <c r="U5223" s="61" t="str">
        <f t="shared" si="829"/>
        <v/>
      </c>
    </row>
    <row r="5224" spans="9:21" ht="24.75" customHeight="1" x14ac:dyDescent="0.35">
      <c r="I5224" s="42">
        <f t="shared" si="820"/>
        <v>0</v>
      </c>
      <c r="J5224" s="65" t="e">
        <f t="shared" si="821"/>
        <v>#NUM!</v>
      </c>
      <c r="K5224" s="83" t="e">
        <f t="shared" si="822"/>
        <v>#NUM!</v>
      </c>
      <c r="L5224" s="83">
        <f t="shared" si="823"/>
        <v>0</v>
      </c>
      <c r="M5224" s="110" t="str">
        <f t="shared" si="824"/>
        <v/>
      </c>
      <c r="N5224" s="51" t="str">
        <f t="shared" si="825"/>
        <v/>
      </c>
      <c r="O5224" s="52" t="str">
        <f t="shared" si="826"/>
        <v/>
      </c>
      <c r="P5224" s="88">
        <f t="shared" si="827"/>
        <v>0</v>
      </c>
      <c r="Q5224" s="88">
        <f t="shared" si="828"/>
        <v>0</v>
      </c>
      <c r="R5224" s="88" t="e">
        <f>-IF(Tabla14[[#This Row],[DIAS HABILES O MORA]]&lt;0,(Tabla14[[#This Row],[VALOR PRESTAMO]]*Tabla14[[#This Row],[% INTERES ]]/30*U5224))+Tabla14[[#This Row],[VALOR CUOTAS]]</f>
        <v>#VALUE!</v>
      </c>
      <c r="S5224" s="88">
        <f>-IF(Tabla14[[#This Row],[DIAS HABILES O MORA]]&lt;0,(Tabla14[[#This Row],[VALOR PRESTAMO]]*Tabla14[[#This Row],[% INTERES ]]/30*U5224))</f>
        <v>0</v>
      </c>
      <c r="T5224" s="53" t="e">
        <f>Tabla14[[#This Row],[DEUDA CAPITAL]]+Tabla14[[#This Row],[INTERES  CUOTA]]</f>
        <v>#NUM!</v>
      </c>
      <c r="U5224" s="61" t="str">
        <f t="shared" si="829"/>
        <v/>
      </c>
    </row>
    <row r="5225" spans="9:21" ht="24.75" customHeight="1" x14ac:dyDescent="0.35">
      <c r="I5225" s="42">
        <f t="shared" si="820"/>
        <v>0</v>
      </c>
      <c r="J5225" s="65" t="e">
        <f t="shared" si="821"/>
        <v>#NUM!</v>
      </c>
      <c r="K5225" s="83" t="e">
        <f t="shared" si="822"/>
        <v>#NUM!</v>
      </c>
      <c r="L5225" s="83">
        <f t="shared" si="823"/>
        <v>0</v>
      </c>
      <c r="M5225" s="110" t="str">
        <f t="shared" si="824"/>
        <v/>
      </c>
      <c r="N5225" s="51" t="str">
        <f t="shared" si="825"/>
        <v/>
      </c>
      <c r="O5225" s="52" t="str">
        <f t="shared" si="826"/>
        <v/>
      </c>
      <c r="P5225" s="88">
        <f t="shared" si="827"/>
        <v>0</v>
      </c>
      <c r="Q5225" s="88">
        <f t="shared" si="828"/>
        <v>0</v>
      </c>
      <c r="R5225" s="88" t="e">
        <f>-IF(Tabla14[[#This Row],[DIAS HABILES O MORA]]&lt;0,(Tabla14[[#This Row],[VALOR PRESTAMO]]*Tabla14[[#This Row],[% INTERES ]]/30*U5225))+Tabla14[[#This Row],[VALOR CUOTAS]]</f>
        <v>#VALUE!</v>
      </c>
      <c r="S5225" s="88">
        <f>-IF(Tabla14[[#This Row],[DIAS HABILES O MORA]]&lt;0,(Tabla14[[#This Row],[VALOR PRESTAMO]]*Tabla14[[#This Row],[% INTERES ]]/30*U5225))</f>
        <v>0</v>
      </c>
      <c r="T5225" s="53" t="e">
        <f>Tabla14[[#This Row],[DEUDA CAPITAL]]+Tabla14[[#This Row],[INTERES  CUOTA]]</f>
        <v>#NUM!</v>
      </c>
      <c r="U5225" s="61" t="str">
        <f t="shared" si="829"/>
        <v/>
      </c>
    </row>
    <row r="5226" spans="9:21" ht="24.75" customHeight="1" x14ac:dyDescent="0.35">
      <c r="I5226" s="42">
        <f t="shared" si="820"/>
        <v>0</v>
      </c>
      <c r="J5226" s="65" t="e">
        <f t="shared" si="821"/>
        <v>#NUM!</v>
      </c>
      <c r="K5226" s="83" t="e">
        <f t="shared" si="822"/>
        <v>#NUM!</v>
      </c>
      <c r="L5226" s="83">
        <f t="shared" si="823"/>
        <v>0</v>
      </c>
      <c r="M5226" s="110" t="str">
        <f t="shared" si="824"/>
        <v/>
      </c>
      <c r="N5226" s="51" t="str">
        <f t="shared" si="825"/>
        <v/>
      </c>
      <c r="O5226" s="52" t="str">
        <f t="shared" si="826"/>
        <v/>
      </c>
      <c r="P5226" s="88">
        <f t="shared" si="827"/>
        <v>0</v>
      </c>
      <c r="Q5226" s="88">
        <f t="shared" si="828"/>
        <v>0</v>
      </c>
      <c r="R5226" s="88" t="e">
        <f>-IF(Tabla14[[#This Row],[DIAS HABILES O MORA]]&lt;0,(Tabla14[[#This Row],[VALOR PRESTAMO]]*Tabla14[[#This Row],[% INTERES ]]/30*U5226))+Tabla14[[#This Row],[VALOR CUOTAS]]</f>
        <v>#VALUE!</v>
      </c>
      <c r="S5226" s="88">
        <f>-IF(Tabla14[[#This Row],[DIAS HABILES O MORA]]&lt;0,(Tabla14[[#This Row],[VALOR PRESTAMO]]*Tabla14[[#This Row],[% INTERES ]]/30*U5226))</f>
        <v>0</v>
      </c>
      <c r="T5226" s="53" t="e">
        <f>Tabla14[[#This Row],[DEUDA CAPITAL]]+Tabla14[[#This Row],[INTERES  CUOTA]]</f>
        <v>#NUM!</v>
      </c>
      <c r="U5226" s="61" t="str">
        <f t="shared" si="829"/>
        <v/>
      </c>
    </row>
    <row r="5227" spans="9:21" ht="24.75" customHeight="1" x14ac:dyDescent="0.35">
      <c r="I5227" s="42">
        <f t="shared" si="820"/>
        <v>0</v>
      </c>
      <c r="J5227" s="65" t="e">
        <f t="shared" si="821"/>
        <v>#NUM!</v>
      </c>
      <c r="K5227" s="83" t="e">
        <f t="shared" si="822"/>
        <v>#NUM!</v>
      </c>
      <c r="L5227" s="83">
        <f t="shared" si="823"/>
        <v>0</v>
      </c>
      <c r="M5227" s="110" t="str">
        <f t="shared" si="824"/>
        <v/>
      </c>
      <c r="N5227" s="51" t="str">
        <f t="shared" si="825"/>
        <v/>
      </c>
      <c r="O5227" s="52" t="str">
        <f t="shared" si="826"/>
        <v/>
      </c>
      <c r="P5227" s="88">
        <f t="shared" si="827"/>
        <v>0</v>
      </c>
      <c r="Q5227" s="88">
        <f t="shared" si="828"/>
        <v>0</v>
      </c>
      <c r="R5227" s="88" t="e">
        <f>-IF(Tabla14[[#This Row],[DIAS HABILES O MORA]]&lt;0,(Tabla14[[#This Row],[VALOR PRESTAMO]]*Tabla14[[#This Row],[% INTERES ]]/30*U5227))+Tabla14[[#This Row],[VALOR CUOTAS]]</f>
        <v>#VALUE!</v>
      </c>
      <c r="S5227" s="88">
        <f>-IF(Tabla14[[#This Row],[DIAS HABILES O MORA]]&lt;0,(Tabla14[[#This Row],[VALOR PRESTAMO]]*Tabla14[[#This Row],[% INTERES ]]/30*U5227))</f>
        <v>0</v>
      </c>
      <c r="T5227" s="53" t="e">
        <f>Tabla14[[#This Row],[DEUDA CAPITAL]]+Tabla14[[#This Row],[INTERES  CUOTA]]</f>
        <v>#NUM!</v>
      </c>
      <c r="U5227" s="61" t="str">
        <f t="shared" si="829"/>
        <v/>
      </c>
    </row>
    <row r="5228" spans="9:21" ht="24.75" customHeight="1" x14ac:dyDescent="0.35">
      <c r="I5228" s="42">
        <f t="shared" si="820"/>
        <v>0</v>
      </c>
      <c r="J5228" s="65" t="e">
        <f t="shared" si="821"/>
        <v>#NUM!</v>
      </c>
      <c r="K5228" s="83" t="e">
        <f t="shared" si="822"/>
        <v>#NUM!</v>
      </c>
      <c r="L5228" s="83">
        <f t="shared" si="823"/>
        <v>0</v>
      </c>
      <c r="M5228" s="110" t="str">
        <f t="shared" si="824"/>
        <v/>
      </c>
      <c r="N5228" s="51" t="str">
        <f t="shared" si="825"/>
        <v/>
      </c>
      <c r="O5228" s="52" t="str">
        <f t="shared" si="826"/>
        <v/>
      </c>
      <c r="P5228" s="88">
        <f t="shared" si="827"/>
        <v>0</v>
      </c>
      <c r="Q5228" s="88">
        <f t="shared" si="828"/>
        <v>0</v>
      </c>
      <c r="R5228" s="88" t="e">
        <f>-IF(Tabla14[[#This Row],[DIAS HABILES O MORA]]&lt;0,(Tabla14[[#This Row],[VALOR PRESTAMO]]*Tabla14[[#This Row],[% INTERES ]]/30*U5228))+Tabla14[[#This Row],[VALOR CUOTAS]]</f>
        <v>#VALUE!</v>
      </c>
      <c r="S5228" s="88">
        <f>-IF(Tabla14[[#This Row],[DIAS HABILES O MORA]]&lt;0,(Tabla14[[#This Row],[VALOR PRESTAMO]]*Tabla14[[#This Row],[% INTERES ]]/30*U5228))</f>
        <v>0</v>
      </c>
      <c r="T5228" s="53" t="e">
        <f>Tabla14[[#This Row],[DEUDA CAPITAL]]+Tabla14[[#This Row],[INTERES  CUOTA]]</f>
        <v>#NUM!</v>
      </c>
      <c r="U5228" s="61" t="str">
        <f t="shared" si="829"/>
        <v/>
      </c>
    </row>
    <row r="5229" spans="9:21" ht="24.75" customHeight="1" x14ac:dyDescent="0.35">
      <c r="I5229" s="42">
        <f t="shared" si="820"/>
        <v>0</v>
      </c>
      <c r="J5229" s="65" t="e">
        <f t="shared" si="821"/>
        <v>#NUM!</v>
      </c>
      <c r="K5229" s="83" t="e">
        <f t="shared" si="822"/>
        <v>#NUM!</v>
      </c>
      <c r="L5229" s="83">
        <f t="shared" si="823"/>
        <v>0</v>
      </c>
      <c r="M5229" s="110" t="str">
        <f t="shared" si="824"/>
        <v/>
      </c>
      <c r="N5229" s="51" t="str">
        <f t="shared" si="825"/>
        <v/>
      </c>
      <c r="O5229" s="52" t="str">
        <f t="shared" si="826"/>
        <v/>
      </c>
      <c r="P5229" s="88">
        <f t="shared" si="827"/>
        <v>0</v>
      </c>
      <c r="Q5229" s="88">
        <f t="shared" si="828"/>
        <v>0</v>
      </c>
      <c r="R5229" s="88" t="e">
        <f>-IF(Tabla14[[#This Row],[DIAS HABILES O MORA]]&lt;0,(Tabla14[[#This Row],[VALOR PRESTAMO]]*Tabla14[[#This Row],[% INTERES ]]/30*U5229))+Tabla14[[#This Row],[VALOR CUOTAS]]</f>
        <v>#VALUE!</v>
      </c>
      <c r="S5229" s="88">
        <f>-IF(Tabla14[[#This Row],[DIAS HABILES O MORA]]&lt;0,(Tabla14[[#This Row],[VALOR PRESTAMO]]*Tabla14[[#This Row],[% INTERES ]]/30*U5229))</f>
        <v>0</v>
      </c>
      <c r="T5229" s="53" t="e">
        <f>Tabla14[[#This Row],[DEUDA CAPITAL]]+Tabla14[[#This Row],[INTERES  CUOTA]]</f>
        <v>#NUM!</v>
      </c>
      <c r="U5229" s="61" t="str">
        <f t="shared" si="829"/>
        <v/>
      </c>
    </row>
    <row r="5230" spans="9:21" ht="24.75" customHeight="1" x14ac:dyDescent="0.35">
      <c r="I5230" s="42">
        <f t="shared" si="820"/>
        <v>0</v>
      </c>
      <c r="J5230" s="65" t="e">
        <f t="shared" si="821"/>
        <v>#NUM!</v>
      </c>
      <c r="K5230" s="83" t="e">
        <f t="shared" si="822"/>
        <v>#NUM!</v>
      </c>
      <c r="L5230" s="83">
        <f t="shared" si="823"/>
        <v>0</v>
      </c>
      <c r="M5230" s="110" t="str">
        <f t="shared" si="824"/>
        <v/>
      </c>
      <c r="N5230" s="51" t="str">
        <f t="shared" si="825"/>
        <v/>
      </c>
      <c r="O5230" s="52" t="str">
        <f t="shared" si="826"/>
        <v/>
      </c>
      <c r="P5230" s="88">
        <f t="shared" si="827"/>
        <v>0</v>
      </c>
      <c r="Q5230" s="88">
        <f t="shared" si="828"/>
        <v>0</v>
      </c>
      <c r="R5230" s="88" t="e">
        <f>-IF(Tabla14[[#This Row],[DIAS HABILES O MORA]]&lt;0,(Tabla14[[#This Row],[VALOR PRESTAMO]]*Tabla14[[#This Row],[% INTERES ]]/30*U5230))+Tabla14[[#This Row],[VALOR CUOTAS]]</f>
        <v>#VALUE!</v>
      </c>
      <c r="S5230" s="88">
        <f>-IF(Tabla14[[#This Row],[DIAS HABILES O MORA]]&lt;0,(Tabla14[[#This Row],[VALOR PRESTAMO]]*Tabla14[[#This Row],[% INTERES ]]/30*U5230))</f>
        <v>0</v>
      </c>
      <c r="T5230" s="53" t="e">
        <f>Tabla14[[#This Row],[DEUDA CAPITAL]]+Tabla14[[#This Row],[INTERES  CUOTA]]</f>
        <v>#NUM!</v>
      </c>
      <c r="U5230" s="61" t="str">
        <f t="shared" si="829"/>
        <v/>
      </c>
    </row>
    <row r="5231" spans="9:21" ht="24.75" customHeight="1" x14ac:dyDescent="0.35">
      <c r="I5231" s="42">
        <f t="shared" si="820"/>
        <v>0</v>
      </c>
      <c r="J5231" s="65" t="e">
        <f t="shared" si="821"/>
        <v>#NUM!</v>
      </c>
      <c r="K5231" s="83" t="e">
        <f t="shared" si="822"/>
        <v>#NUM!</v>
      </c>
      <c r="L5231" s="83">
        <f t="shared" si="823"/>
        <v>0</v>
      </c>
      <c r="M5231" s="110" t="str">
        <f t="shared" si="824"/>
        <v/>
      </c>
      <c r="N5231" s="51" t="str">
        <f t="shared" si="825"/>
        <v/>
      </c>
      <c r="O5231" s="52" t="str">
        <f t="shared" si="826"/>
        <v/>
      </c>
      <c r="P5231" s="88">
        <f t="shared" si="827"/>
        <v>0</v>
      </c>
      <c r="Q5231" s="88">
        <f t="shared" si="828"/>
        <v>0</v>
      </c>
      <c r="R5231" s="88" t="e">
        <f>-IF(Tabla14[[#This Row],[DIAS HABILES O MORA]]&lt;0,(Tabla14[[#This Row],[VALOR PRESTAMO]]*Tabla14[[#This Row],[% INTERES ]]/30*U5231))+Tabla14[[#This Row],[VALOR CUOTAS]]</f>
        <v>#VALUE!</v>
      </c>
      <c r="S5231" s="88">
        <f>-IF(Tabla14[[#This Row],[DIAS HABILES O MORA]]&lt;0,(Tabla14[[#This Row],[VALOR PRESTAMO]]*Tabla14[[#This Row],[% INTERES ]]/30*U5231))</f>
        <v>0</v>
      </c>
      <c r="T5231" s="53" t="e">
        <f>Tabla14[[#This Row],[DEUDA CAPITAL]]+Tabla14[[#This Row],[INTERES  CUOTA]]</f>
        <v>#NUM!</v>
      </c>
      <c r="U5231" s="61" t="str">
        <f t="shared" si="829"/>
        <v/>
      </c>
    </row>
    <row r="5232" spans="9:21" ht="24.75" customHeight="1" x14ac:dyDescent="0.35">
      <c r="I5232" s="42">
        <f t="shared" si="820"/>
        <v>0</v>
      </c>
      <c r="J5232" s="65" t="e">
        <f t="shared" si="821"/>
        <v>#NUM!</v>
      </c>
      <c r="K5232" s="83" t="e">
        <f t="shared" si="822"/>
        <v>#NUM!</v>
      </c>
      <c r="L5232" s="83">
        <f t="shared" si="823"/>
        <v>0</v>
      </c>
      <c r="M5232" s="110" t="str">
        <f t="shared" si="824"/>
        <v/>
      </c>
      <c r="N5232" s="51" t="str">
        <f t="shared" si="825"/>
        <v/>
      </c>
      <c r="O5232" s="52" t="str">
        <f t="shared" si="826"/>
        <v/>
      </c>
      <c r="P5232" s="88">
        <f t="shared" si="827"/>
        <v>0</v>
      </c>
      <c r="Q5232" s="88">
        <f t="shared" si="828"/>
        <v>0</v>
      </c>
      <c r="R5232" s="88" t="e">
        <f>-IF(Tabla14[[#This Row],[DIAS HABILES O MORA]]&lt;0,(Tabla14[[#This Row],[VALOR PRESTAMO]]*Tabla14[[#This Row],[% INTERES ]]/30*U5232))+Tabla14[[#This Row],[VALOR CUOTAS]]</f>
        <v>#VALUE!</v>
      </c>
      <c r="S5232" s="88">
        <f>-IF(Tabla14[[#This Row],[DIAS HABILES O MORA]]&lt;0,(Tabla14[[#This Row],[VALOR PRESTAMO]]*Tabla14[[#This Row],[% INTERES ]]/30*U5232))</f>
        <v>0</v>
      </c>
      <c r="T5232" s="53" t="e">
        <f>Tabla14[[#This Row],[DEUDA CAPITAL]]+Tabla14[[#This Row],[INTERES  CUOTA]]</f>
        <v>#NUM!</v>
      </c>
      <c r="U5232" s="61" t="str">
        <f t="shared" si="829"/>
        <v/>
      </c>
    </row>
    <row r="5233" spans="9:21" ht="24.75" customHeight="1" x14ac:dyDescent="0.35">
      <c r="I5233" s="42">
        <f t="shared" si="820"/>
        <v>0</v>
      </c>
      <c r="J5233" s="65" t="e">
        <f t="shared" si="821"/>
        <v>#NUM!</v>
      </c>
      <c r="K5233" s="83" t="e">
        <f t="shared" si="822"/>
        <v>#NUM!</v>
      </c>
      <c r="L5233" s="83">
        <f t="shared" si="823"/>
        <v>0</v>
      </c>
      <c r="M5233" s="110" t="str">
        <f t="shared" si="824"/>
        <v/>
      </c>
      <c r="N5233" s="51" t="str">
        <f t="shared" si="825"/>
        <v/>
      </c>
      <c r="O5233" s="52" t="str">
        <f t="shared" si="826"/>
        <v/>
      </c>
      <c r="P5233" s="88">
        <f t="shared" si="827"/>
        <v>0</v>
      </c>
      <c r="Q5233" s="88">
        <f t="shared" si="828"/>
        <v>0</v>
      </c>
      <c r="R5233" s="88" t="e">
        <f>-IF(Tabla14[[#This Row],[DIAS HABILES O MORA]]&lt;0,(Tabla14[[#This Row],[VALOR PRESTAMO]]*Tabla14[[#This Row],[% INTERES ]]/30*U5233))+Tabla14[[#This Row],[VALOR CUOTAS]]</f>
        <v>#VALUE!</v>
      </c>
      <c r="S5233" s="88">
        <f>-IF(Tabla14[[#This Row],[DIAS HABILES O MORA]]&lt;0,(Tabla14[[#This Row],[VALOR PRESTAMO]]*Tabla14[[#This Row],[% INTERES ]]/30*U5233))</f>
        <v>0</v>
      </c>
      <c r="T5233" s="53" t="e">
        <f>Tabla14[[#This Row],[DEUDA CAPITAL]]+Tabla14[[#This Row],[INTERES  CUOTA]]</f>
        <v>#NUM!</v>
      </c>
      <c r="U5233" s="61" t="str">
        <f t="shared" si="829"/>
        <v/>
      </c>
    </row>
    <row r="5234" spans="9:21" ht="24.75" customHeight="1" x14ac:dyDescent="0.35">
      <c r="I5234" s="42">
        <f t="shared" si="820"/>
        <v>0</v>
      </c>
      <c r="J5234" s="65" t="e">
        <f t="shared" si="821"/>
        <v>#NUM!</v>
      </c>
      <c r="K5234" s="83" t="e">
        <f t="shared" si="822"/>
        <v>#NUM!</v>
      </c>
      <c r="L5234" s="83">
        <f t="shared" si="823"/>
        <v>0</v>
      </c>
      <c r="M5234" s="110" t="str">
        <f t="shared" si="824"/>
        <v/>
      </c>
      <c r="N5234" s="51" t="str">
        <f t="shared" si="825"/>
        <v/>
      </c>
      <c r="O5234" s="52" t="str">
        <f t="shared" si="826"/>
        <v/>
      </c>
      <c r="P5234" s="88">
        <f t="shared" si="827"/>
        <v>0</v>
      </c>
      <c r="Q5234" s="88">
        <f t="shared" si="828"/>
        <v>0</v>
      </c>
      <c r="R5234" s="88" t="e">
        <f>-IF(Tabla14[[#This Row],[DIAS HABILES O MORA]]&lt;0,(Tabla14[[#This Row],[VALOR PRESTAMO]]*Tabla14[[#This Row],[% INTERES ]]/30*U5234))+Tabla14[[#This Row],[VALOR CUOTAS]]</f>
        <v>#VALUE!</v>
      </c>
      <c r="S5234" s="88">
        <f>-IF(Tabla14[[#This Row],[DIAS HABILES O MORA]]&lt;0,(Tabla14[[#This Row],[VALOR PRESTAMO]]*Tabla14[[#This Row],[% INTERES ]]/30*U5234))</f>
        <v>0</v>
      </c>
      <c r="T5234" s="53" t="e">
        <f>Tabla14[[#This Row],[DEUDA CAPITAL]]+Tabla14[[#This Row],[INTERES  CUOTA]]</f>
        <v>#NUM!</v>
      </c>
      <c r="U5234" s="61" t="str">
        <f t="shared" si="829"/>
        <v/>
      </c>
    </row>
    <row r="5235" spans="9:21" ht="24.75" customHeight="1" x14ac:dyDescent="0.35">
      <c r="I5235" s="42">
        <f t="shared" si="820"/>
        <v>0</v>
      </c>
      <c r="J5235" s="65" t="e">
        <f t="shared" si="821"/>
        <v>#NUM!</v>
      </c>
      <c r="K5235" s="83" t="e">
        <f t="shared" si="822"/>
        <v>#NUM!</v>
      </c>
      <c r="L5235" s="83">
        <f t="shared" si="823"/>
        <v>0</v>
      </c>
      <c r="M5235" s="110" t="str">
        <f t="shared" si="824"/>
        <v/>
      </c>
      <c r="N5235" s="51" t="str">
        <f t="shared" si="825"/>
        <v/>
      </c>
      <c r="O5235" s="52" t="str">
        <f t="shared" si="826"/>
        <v/>
      </c>
      <c r="P5235" s="88">
        <f t="shared" si="827"/>
        <v>0</v>
      </c>
      <c r="Q5235" s="88">
        <f t="shared" si="828"/>
        <v>0</v>
      </c>
      <c r="R5235" s="88" t="e">
        <f>-IF(Tabla14[[#This Row],[DIAS HABILES O MORA]]&lt;0,(Tabla14[[#This Row],[VALOR PRESTAMO]]*Tabla14[[#This Row],[% INTERES ]]/30*U5235))+Tabla14[[#This Row],[VALOR CUOTAS]]</f>
        <v>#VALUE!</v>
      </c>
      <c r="S5235" s="88">
        <f>-IF(Tabla14[[#This Row],[DIAS HABILES O MORA]]&lt;0,(Tabla14[[#This Row],[VALOR PRESTAMO]]*Tabla14[[#This Row],[% INTERES ]]/30*U5235))</f>
        <v>0</v>
      </c>
      <c r="T5235" s="53" t="e">
        <f>Tabla14[[#This Row],[DEUDA CAPITAL]]+Tabla14[[#This Row],[INTERES  CUOTA]]</f>
        <v>#NUM!</v>
      </c>
      <c r="U5235" s="61" t="str">
        <f t="shared" si="829"/>
        <v/>
      </c>
    </row>
    <row r="5236" spans="9:21" ht="24.75" customHeight="1" x14ac:dyDescent="0.35">
      <c r="I5236" s="42">
        <f t="shared" si="820"/>
        <v>0</v>
      </c>
      <c r="J5236" s="65" t="e">
        <f t="shared" si="821"/>
        <v>#NUM!</v>
      </c>
      <c r="K5236" s="83" t="e">
        <f t="shared" si="822"/>
        <v>#NUM!</v>
      </c>
      <c r="L5236" s="83">
        <f t="shared" si="823"/>
        <v>0</v>
      </c>
      <c r="M5236" s="110" t="str">
        <f t="shared" si="824"/>
        <v/>
      </c>
      <c r="N5236" s="51" t="str">
        <f t="shared" si="825"/>
        <v/>
      </c>
      <c r="O5236" s="52" t="str">
        <f t="shared" si="826"/>
        <v/>
      </c>
      <c r="P5236" s="88">
        <f t="shared" si="827"/>
        <v>0</v>
      </c>
      <c r="Q5236" s="88">
        <f t="shared" si="828"/>
        <v>0</v>
      </c>
      <c r="R5236" s="88" t="e">
        <f>-IF(Tabla14[[#This Row],[DIAS HABILES O MORA]]&lt;0,(Tabla14[[#This Row],[VALOR PRESTAMO]]*Tabla14[[#This Row],[% INTERES ]]/30*U5236))+Tabla14[[#This Row],[VALOR CUOTAS]]</f>
        <v>#VALUE!</v>
      </c>
      <c r="S5236" s="88">
        <f>-IF(Tabla14[[#This Row],[DIAS HABILES O MORA]]&lt;0,(Tabla14[[#This Row],[VALOR PRESTAMO]]*Tabla14[[#This Row],[% INTERES ]]/30*U5236))</f>
        <v>0</v>
      </c>
      <c r="T5236" s="53" t="e">
        <f>Tabla14[[#This Row],[DEUDA CAPITAL]]+Tabla14[[#This Row],[INTERES  CUOTA]]</f>
        <v>#NUM!</v>
      </c>
      <c r="U5236" s="61" t="str">
        <f t="shared" si="829"/>
        <v/>
      </c>
    </row>
    <row r="5237" spans="9:21" ht="24.75" customHeight="1" x14ac:dyDescent="0.35">
      <c r="I5237" s="42">
        <f t="shared" si="820"/>
        <v>0</v>
      </c>
      <c r="J5237" s="65" t="e">
        <f t="shared" si="821"/>
        <v>#NUM!</v>
      </c>
      <c r="K5237" s="83" t="e">
        <f t="shared" si="822"/>
        <v>#NUM!</v>
      </c>
      <c r="L5237" s="83">
        <f t="shared" si="823"/>
        <v>0</v>
      </c>
      <c r="M5237" s="110" t="str">
        <f t="shared" si="824"/>
        <v/>
      </c>
      <c r="N5237" s="51" t="str">
        <f t="shared" si="825"/>
        <v/>
      </c>
      <c r="O5237" s="52" t="str">
        <f t="shared" si="826"/>
        <v/>
      </c>
      <c r="P5237" s="88">
        <f t="shared" si="827"/>
        <v>0</v>
      </c>
      <c r="Q5237" s="88">
        <f t="shared" si="828"/>
        <v>0</v>
      </c>
      <c r="R5237" s="88" t="e">
        <f>-IF(Tabla14[[#This Row],[DIAS HABILES O MORA]]&lt;0,(Tabla14[[#This Row],[VALOR PRESTAMO]]*Tabla14[[#This Row],[% INTERES ]]/30*U5237))+Tabla14[[#This Row],[VALOR CUOTAS]]</f>
        <v>#VALUE!</v>
      </c>
      <c r="S5237" s="88">
        <f>-IF(Tabla14[[#This Row],[DIAS HABILES O MORA]]&lt;0,(Tabla14[[#This Row],[VALOR PRESTAMO]]*Tabla14[[#This Row],[% INTERES ]]/30*U5237))</f>
        <v>0</v>
      </c>
      <c r="T5237" s="53" t="e">
        <f>Tabla14[[#This Row],[DEUDA CAPITAL]]+Tabla14[[#This Row],[INTERES  CUOTA]]</f>
        <v>#NUM!</v>
      </c>
      <c r="U5237" s="61" t="str">
        <f t="shared" si="829"/>
        <v/>
      </c>
    </row>
    <row r="5238" spans="9:21" ht="24.75" customHeight="1" x14ac:dyDescent="0.35">
      <c r="I5238" s="42">
        <f t="shared" si="820"/>
        <v>0</v>
      </c>
      <c r="J5238" s="65" t="e">
        <f t="shared" si="821"/>
        <v>#NUM!</v>
      </c>
      <c r="K5238" s="83" t="e">
        <f t="shared" si="822"/>
        <v>#NUM!</v>
      </c>
      <c r="L5238" s="83">
        <f t="shared" si="823"/>
        <v>0</v>
      </c>
      <c r="M5238" s="110" t="str">
        <f t="shared" si="824"/>
        <v/>
      </c>
      <c r="N5238" s="51" t="str">
        <f t="shared" si="825"/>
        <v/>
      </c>
      <c r="O5238" s="52" t="str">
        <f t="shared" si="826"/>
        <v/>
      </c>
      <c r="P5238" s="88">
        <f t="shared" si="827"/>
        <v>0</v>
      </c>
      <c r="Q5238" s="88">
        <f t="shared" si="828"/>
        <v>0</v>
      </c>
      <c r="R5238" s="88" t="e">
        <f>-IF(Tabla14[[#This Row],[DIAS HABILES O MORA]]&lt;0,(Tabla14[[#This Row],[VALOR PRESTAMO]]*Tabla14[[#This Row],[% INTERES ]]/30*U5238))+Tabla14[[#This Row],[VALOR CUOTAS]]</f>
        <v>#VALUE!</v>
      </c>
      <c r="S5238" s="88">
        <f>-IF(Tabla14[[#This Row],[DIAS HABILES O MORA]]&lt;0,(Tabla14[[#This Row],[VALOR PRESTAMO]]*Tabla14[[#This Row],[% INTERES ]]/30*U5238))</f>
        <v>0</v>
      </c>
      <c r="T5238" s="53" t="e">
        <f>Tabla14[[#This Row],[DEUDA CAPITAL]]+Tabla14[[#This Row],[INTERES  CUOTA]]</f>
        <v>#NUM!</v>
      </c>
      <c r="U5238" s="61" t="str">
        <f t="shared" si="829"/>
        <v/>
      </c>
    </row>
    <row r="5239" spans="9:21" ht="24.75" customHeight="1" x14ac:dyDescent="0.35">
      <c r="I5239" s="42">
        <f t="shared" si="820"/>
        <v>0</v>
      </c>
      <c r="J5239" s="65" t="e">
        <f t="shared" si="821"/>
        <v>#NUM!</v>
      </c>
      <c r="K5239" s="83" t="e">
        <f t="shared" si="822"/>
        <v>#NUM!</v>
      </c>
      <c r="L5239" s="83">
        <f t="shared" si="823"/>
        <v>0</v>
      </c>
      <c r="M5239" s="110" t="str">
        <f t="shared" si="824"/>
        <v/>
      </c>
      <c r="N5239" s="51" t="str">
        <f t="shared" si="825"/>
        <v/>
      </c>
      <c r="O5239" s="52" t="str">
        <f t="shared" si="826"/>
        <v/>
      </c>
      <c r="P5239" s="88">
        <f t="shared" si="827"/>
        <v>0</v>
      </c>
      <c r="Q5239" s="88">
        <f t="shared" si="828"/>
        <v>0</v>
      </c>
      <c r="R5239" s="88" t="e">
        <f>-IF(Tabla14[[#This Row],[DIAS HABILES O MORA]]&lt;0,(Tabla14[[#This Row],[VALOR PRESTAMO]]*Tabla14[[#This Row],[% INTERES ]]/30*U5239))+Tabla14[[#This Row],[VALOR CUOTAS]]</f>
        <v>#VALUE!</v>
      </c>
      <c r="S5239" s="88">
        <f>-IF(Tabla14[[#This Row],[DIAS HABILES O MORA]]&lt;0,(Tabla14[[#This Row],[VALOR PRESTAMO]]*Tabla14[[#This Row],[% INTERES ]]/30*U5239))</f>
        <v>0</v>
      </c>
      <c r="T5239" s="53" t="e">
        <f>Tabla14[[#This Row],[DEUDA CAPITAL]]+Tabla14[[#This Row],[INTERES  CUOTA]]</f>
        <v>#NUM!</v>
      </c>
      <c r="U5239" s="61" t="str">
        <f t="shared" si="829"/>
        <v/>
      </c>
    </row>
    <row r="5240" spans="9:21" ht="24.75" customHeight="1" x14ac:dyDescent="0.35">
      <c r="I5240" s="42">
        <f t="shared" si="820"/>
        <v>0</v>
      </c>
      <c r="J5240" s="65" t="e">
        <f t="shared" si="821"/>
        <v>#NUM!</v>
      </c>
      <c r="K5240" s="83" t="e">
        <f t="shared" si="822"/>
        <v>#NUM!</v>
      </c>
      <c r="L5240" s="83">
        <f t="shared" si="823"/>
        <v>0</v>
      </c>
      <c r="M5240" s="110" t="str">
        <f t="shared" si="824"/>
        <v/>
      </c>
      <c r="N5240" s="51" t="str">
        <f t="shared" si="825"/>
        <v/>
      </c>
      <c r="O5240" s="52" t="str">
        <f t="shared" si="826"/>
        <v/>
      </c>
      <c r="P5240" s="88">
        <f t="shared" si="827"/>
        <v>0</v>
      </c>
      <c r="Q5240" s="88">
        <f t="shared" si="828"/>
        <v>0</v>
      </c>
      <c r="R5240" s="88" t="e">
        <f>-IF(Tabla14[[#This Row],[DIAS HABILES O MORA]]&lt;0,(Tabla14[[#This Row],[VALOR PRESTAMO]]*Tabla14[[#This Row],[% INTERES ]]/30*U5240))+Tabla14[[#This Row],[VALOR CUOTAS]]</f>
        <v>#VALUE!</v>
      </c>
      <c r="S5240" s="88">
        <f>-IF(Tabla14[[#This Row],[DIAS HABILES O MORA]]&lt;0,(Tabla14[[#This Row],[VALOR PRESTAMO]]*Tabla14[[#This Row],[% INTERES ]]/30*U5240))</f>
        <v>0</v>
      </c>
      <c r="T5240" s="53" t="e">
        <f>Tabla14[[#This Row],[DEUDA CAPITAL]]+Tabla14[[#This Row],[INTERES  CUOTA]]</f>
        <v>#NUM!</v>
      </c>
      <c r="U5240" s="61" t="str">
        <f t="shared" si="829"/>
        <v/>
      </c>
    </row>
    <row r="5241" spans="9:21" ht="24.75" customHeight="1" x14ac:dyDescent="0.35">
      <c r="I5241" s="42">
        <f t="shared" si="820"/>
        <v>0</v>
      </c>
      <c r="J5241" s="65" t="e">
        <f t="shared" si="821"/>
        <v>#NUM!</v>
      </c>
      <c r="K5241" s="83" t="e">
        <f t="shared" si="822"/>
        <v>#NUM!</v>
      </c>
      <c r="L5241" s="83">
        <f t="shared" si="823"/>
        <v>0</v>
      </c>
      <c r="M5241" s="110" t="str">
        <f t="shared" si="824"/>
        <v/>
      </c>
      <c r="N5241" s="51" t="str">
        <f t="shared" si="825"/>
        <v/>
      </c>
      <c r="O5241" s="52" t="str">
        <f t="shared" si="826"/>
        <v/>
      </c>
      <c r="P5241" s="88">
        <f t="shared" si="827"/>
        <v>0</v>
      </c>
      <c r="Q5241" s="88">
        <f t="shared" si="828"/>
        <v>0</v>
      </c>
      <c r="R5241" s="88" t="e">
        <f>-IF(Tabla14[[#This Row],[DIAS HABILES O MORA]]&lt;0,(Tabla14[[#This Row],[VALOR PRESTAMO]]*Tabla14[[#This Row],[% INTERES ]]/30*U5241))+Tabla14[[#This Row],[VALOR CUOTAS]]</f>
        <v>#VALUE!</v>
      </c>
      <c r="S5241" s="88">
        <f>-IF(Tabla14[[#This Row],[DIAS HABILES O MORA]]&lt;0,(Tabla14[[#This Row],[VALOR PRESTAMO]]*Tabla14[[#This Row],[% INTERES ]]/30*U5241))</f>
        <v>0</v>
      </c>
      <c r="T5241" s="53" t="e">
        <f>Tabla14[[#This Row],[DEUDA CAPITAL]]+Tabla14[[#This Row],[INTERES  CUOTA]]</f>
        <v>#NUM!</v>
      </c>
      <c r="U5241" s="61" t="str">
        <f t="shared" si="829"/>
        <v/>
      </c>
    </row>
    <row r="5242" spans="9:21" ht="24.75" customHeight="1" x14ac:dyDescent="0.35">
      <c r="I5242" s="42">
        <f t="shared" si="820"/>
        <v>0</v>
      </c>
      <c r="J5242" s="65" t="e">
        <f t="shared" si="821"/>
        <v>#NUM!</v>
      </c>
      <c r="K5242" s="83" t="e">
        <f t="shared" si="822"/>
        <v>#NUM!</v>
      </c>
      <c r="L5242" s="83">
        <f t="shared" si="823"/>
        <v>0</v>
      </c>
      <c r="M5242" s="110" t="str">
        <f t="shared" si="824"/>
        <v/>
      </c>
      <c r="N5242" s="51" t="str">
        <f t="shared" si="825"/>
        <v/>
      </c>
      <c r="O5242" s="52" t="str">
        <f t="shared" si="826"/>
        <v/>
      </c>
      <c r="P5242" s="88">
        <f t="shared" si="827"/>
        <v>0</v>
      </c>
      <c r="Q5242" s="88">
        <f t="shared" si="828"/>
        <v>0</v>
      </c>
      <c r="R5242" s="88" t="e">
        <f>-IF(Tabla14[[#This Row],[DIAS HABILES O MORA]]&lt;0,(Tabla14[[#This Row],[VALOR PRESTAMO]]*Tabla14[[#This Row],[% INTERES ]]/30*U5242))+Tabla14[[#This Row],[VALOR CUOTAS]]</f>
        <v>#VALUE!</v>
      </c>
      <c r="S5242" s="88">
        <f>-IF(Tabla14[[#This Row],[DIAS HABILES O MORA]]&lt;0,(Tabla14[[#This Row],[VALOR PRESTAMO]]*Tabla14[[#This Row],[% INTERES ]]/30*U5242))</f>
        <v>0</v>
      </c>
      <c r="T5242" s="53" t="e">
        <f>Tabla14[[#This Row],[DEUDA CAPITAL]]+Tabla14[[#This Row],[INTERES  CUOTA]]</f>
        <v>#NUM!</v>
      </c>
      <c r="U5242" s="61" t="str">
        <f t="shared" si="829"/>
        <v/>
      </c>
    </row>
    <row r="5243" spans="9:21" ht="24.75" customHeight="1" x14ac:dyDescent="0.35">
      <c r="I5243" s="42">
        <f t="shared" si="820"/>
        <v>0</v>
      </c>
      <c r="J5243" s="65" t="e">
        <f t="shared" si="821"/>
        <v>#NUM!</v>
      </c>
      <c r="K5243" s="83" t="e">
        <f t="shared" si="822"/>
        <v>#NUM!</v>
      </c>
      <c r="L5243" s="83">
        <f t="shared" si="823"/>
        <v>0</v>
      </c>
      <c r="M5243" s="110" t="str">
        <f t="shared" si="824"/>
        <v/>
      </c>
      <c r="N5243" s="51" t="str">
        <f t="shared" si="825"/>
        <v/>
      </c>
      <c r="O5243" s="52" t="str">
        <f t="shared" si="826"/>
        <v/>
      </c>
      <c r="P5243" s="88">
        <f t="shared" si="827"/>
        <v>0</v>
      </c>
      <c r="Q5243" s="88">
        <f t="shared" si="828"/>
        <v>0</v>
      </c>
      <c r="R5243" s="88" t="e">
        <f>-IF(Tabla14[[#This Row],[DIAS HABILES O MORA]]&lt;0,(Tabla14[[#This Row],[VALOR PRESTAMO]]*Tabla14[[#This Row],[% INTERES ]]/30*U5243))+Tabla14[[#This Row],[VALOR CUOTAS]]</f>
        <v>#VALUE!</v>
      </c>
      <c r="S5243" s="88">
        <f>-IF(Tabla14[[#This Row],[DIAS HABILES O MORA]]&lt;0,(Tabla14[[#This Row],[VALOR PRESTAMO]]*Tabla14[[#This Row],[% INTERES ]]/30*U5243))</f>
        <v>0</v>
      </c>
      <c r="T5243" s="53" t="e">
        <f>Tabla14[[#This Row],[DEUDA CAPITAL]]+Tabla14[[#This Row],[INTERES  CUOTA]]</f>
        <v>#NUM!</v>
      </c>
      <c r="U5243" s="61" t="str">
        <f t="shared" si="829"/>
        <v/>
      </c>
    </row>
    <row r="5244" spans="9:21" ht="24.75" customHeight="1" x14ac:dyDescent="0.35">
      <c r="I5244" s="42">
        <f t="shared" si="820"/>
        <v>0</v>
      </c>
      <c r="J5244" s="65" t="e">
        <f t="shared" si="821"/>
        <v>#NUM!</v>
      </c>
      <c r="K5244" s="83" t="e">
        <f t="shared" si="822"/>
        <v>#NUM!</v>
      </c>
      <c r="L5244" s="83">
        <f t="shared" si="823"/>
        <v>0</v>
      </c>
      <c r="M5244" s="110" t="str">
        <f t="shared" si="824"/>
        <v/>
      </c>
      <c r="N5244" s="51" t="str">
        <f t="shared" si="825"/>
        <v/>
      </c>
      <c r="O5244" s="52" t="str">
        <f t="shared" si="826"/>
        <v/>
      </c>
      <c r="P5244" s="88">
        <f t="shared" si="827"/>
        <v>0</v>
      </c>
      <c r="Q5244" s="88">
        <f t="shared" si="828"/>
        <v>0</v>
      </c>
      <c r="R5244" s="88" t="e">
        <f>-IF(Tabla14[[#This Row],[DIAS HABILES O MORA]]&lt;0,(Tabla14[[#This Row],[VALOR PRESTAMO]]*Tabla14[[#This Row],[% INTERES ]]/30*U5244))+Tabla14[[#This Row],[VALOR CUOTAS]]</f>
        <v>#VALUE!</v>
      </c>
      <c r="S5244" s="88">
        <f>-IF(Tabla14[[#This Row],[DIAS HABILES O MORA]]&lt;0,(Tabla14[[#This Row],[VALOR PRESTAMO]]*Tabla14[[#This Row],[% INTERES ]]/30*U5244))</f>
        <v>0</v>
      </c>
      <c r="T5244" s="53" t="e">
        <f>Tabla14[[#This Row],[DEUDA CAPITAL]]+Tabla14[[#This Row],[INTERES  CUOTA]]</f>
        <v>#NUM!</v>
      </c>
      <c r="U5244" s="61" t="str">
        <f t="shared" si="829"/>
        <v/>
      </c>
    </row>
    <row r="5245" spans="9:21" ht="24.75" customHeight="1" x14ac:dyDescent="0.35">
      <c r="I5245" s="42">
        <f t="shared" si="820"/>
        <v>0</v>
      </c>
      <c r="J5245" s="65" t="e">
        <f t="shared" si="821"/>
        <v>#NUM!</v>
      </c>
      <c r="K5245" s="83" t="e">
        <f t="shared" si="822"/>
        <v>#NUM!</v>
      </c>
      <c r="L5245" s="83">
        <f t="shared" si="823"/>
        <v>0</v>
      </c>
      <c r="M5245" s="110" t="str">
        <f t="shared" si="824"/>
        <v/>
      </c>
      <c r="N5245" s="51" t="str">
        <f t="shared" si="825"/>
        <v/>
      </c>
      <c r="O5245" s="52" t="str">
        <f t="shared" si="826"/>
        <v/>
      </c>
      <c r="P5245" s="88">
        <f t="shared" si="827"/>
        <v>0</v>
      </c>
      <c r="Q5245" s="88">
        <f t="shared" si="828"/>
        <v>0</v>
      </c>
      <c r="R5245" s="88" t="e">
        <f>-IF(Tabla14[[#This Row],[DIAS HABILES O MORA]]&lt;0,(Tabla14[[#This Row],[VALOR PRESTAMO]]*Tabla14[[#This Row],[% INTERES ]]/30*U5245))+Tabla14[[#This Row],[VALOR CUOTAS]]</f>
        <v>#VALUE!</v>
      </c>
      <c r="S5245" s="88">
        <f>-IF(Tabla14[[#This Row],[DIAS HABILES O MORA]]&lt;0,(Tabla14[[#This Row],[VALOR PRESTAMO]]*Tabla14[[#This Row],[% INTERES ]]/30*U5245))</f>
        <v>0</v>
      </c>
      <c r="T5245" s="53" t="e">
        <f>Tabla14[[#This Row],[DEUDA CAPITAL]]+Tabla14[[#This Row],[INTERES  CUOTA]]</f>
        <v>#NUM!</v>
      </c>
      <c r="U5245" s="61" t="str">
        <f t="shared" si="829"/>
        <v/>
      </c>
    </row>
    <row r="5246" spans="9:21" ht="24.75" customHeight="1" x14ac:dyDescent="0.35">
      <c r="I5246" s="42">
        <f t="shared" si="820"/>
        <v>0</v>
      </c>
      <c r="J5246" s="65" t="e">
        <f t="shared" si="821"/>
        <v>#NUM!</v>
      </c>
      <c r="K5246" s="83" t="e">
        <f t="shared" si="822"/>
        <v>#NUM!</v>
      </c>
      <c r="L5246" s="83">
        <f t="shared" si="823"/>
        <v>0</v>
      </c>
      <c r="M5246" s="110" t="str">
        <f t="shared" si="824"/>
        <v/>
      </c>
      <c r="N5246" s="51" t="str">
        <f t="shared" si="825"/>
        <v/>
      </c>
      <c r="O5246" s="52" t="str">
        <f t="shared" si="826"/>
        <v/>
      </c>
      <c r="P5246" s="88">
        <f t="shared" si="827"/>
        <v>0</v>
      </c>
      <c r="Q5246" s="88">
        <f t="shared" si="828"/>
        <v>0</v>
      </c>
      <c r="R5246" s="88" t="e">
        <f>-IF(Tabla14[[#This Row],[DIAS HABILES O MORA]]&lt;0,(Tabla14[[#This Row],[VALOR PRESTAMO]]*Tabla14[[#This Row],[% INTERES ]]/30*U5246))+Tabla14[[#This Row],[VALOR CUOTAS]]</f>
        <v>#VALUE!</v>
      </c>
      <c r="S5246" s="88">
        <f>-IF(Tabla14[[#This Row],[DIAS HABILES O MORA]]&lt;0,(Tabla14[[#This Row],[VALOR PRESTAMO]]*Tabla14[[#This Row],[% INTERES ]]/30*U5246))</f>
        <v>0</v>
      </c>
      <c r="T5246" s="53" t="e">
        <f>Tabla14[[#This Row],[DEUDA CAPITAL]]+Tabla14[[#This Row],[INTERES  CUOTA]]</f>
        <v>#NUM!</v>
      </c>
      <c r="U5246" s="61" t="str">
        <f t="shared" si="829"/>
        <v/>
      </c>
    </row>
    <row r="5247" spans="9:21" ht="24.75" customHeight="1" x14ac:dyDescent="0.35">
      <c r="I5247" s="42">
        <f t="shared" si="820"/>
        <v>0</v>
      </c>
      <c r="J5247" s="65" t="e">
        <f t="shared" si="821"/>
        <v>#NUM!</v>
      </c>
      <c r="K5247" s="83" t="e">
        <f t="shared" si="822"/>
        <v>#NUM!</v>
      </c>
      <c r="L5247" s="83">
        <f t="shared" si="823"/>
        <v>0</v>
      </c>
      <c r="M5247" s="110" t="str">
        <f t="shared" si="824"/>
        <v/>
      </c>
      <c r="N5247" s="51" t="str">
        <f t="shared" si="825"/>
        <v/>
      </c>
      <c r="O5247" s="52" t="str">
        <f t="shared" si="826"/>
        <v/>
      </c>
      <c r="P5247" s="88">
        <f t="shared" si="827"/>
        <v>0</v>
      </c>
      <c r="Q5247" s="88">
        <f t="shared" si="828"/>
        <v>0</v>
      </c>
      <c r="R5247" s="88" t="e">
        <f>-IF(Tabla14[[#This Row],[DIAS HABILES O MORA]]&lt;0,(Tabla14[[#This Row],[VALOR PRESTAMO]]*Tabla14[[#This Row],[% INTERES ]]/30*U5247))+Tabla14[[#This Row],[VALOR CUOTAS]]</f>
        <v>#VALUE!</v>
      </c>
      <c r="S5247" s="88">
        <f>-IF(Tabla14[[#This Row],[DIAS HABILES O MORA]]&lt;0,(Tabla14[[#This Row],[VALOR PRESTAMO]]*Tabla14[[#This Row],[% INTERES ]]/30*U5247))</f>
        <v>0</v>
      </c>
      <c r="T5247" s="53" t="e">
        <f>Tabla14[[#This Row],[DEUDA CAPITAL]]+Tabla14[[#This Row],[INTERES  CUOTA]]</f>
        <v>#NUM!</v>
      </c>
      <c r="U5247" s="61" t="str">
        <f t="shared" si="829"/>
        <v/>
      </c>
    </row>
    <row r="5248" spans="9:21" ht="24.75" customHeight="1" x14ac:dyDescent="0.35">
      <c r="I5248" s="42">
        <f t="shared" si="820"/>
        <v>0</v>
      </c>
      <c r="J5248" s="65" t="e">
        <f t="shared" si="821"/>
        <v>#NUM!</v>
      </c>
      <c r="K5248" s="83" t="e">
        <f t="shared" si="822"/>
        <v>#NUM!</v>
      </c>
      <c r="L5248" s="83">
        <f t="shared" si="823"/>
        <v>0</v>
      </c>
      <c r="M5248" s="110" t="str">
        <f t="shared" si="824"/>
        <v/>
      </c>
      <c r="N5248" s="51" t="str">
        <f t="shared" si="825"/>
        <v/>
      </c>
      <c r="O5248" s="52" t="str">
        <f t="shared" si="826"/>
        <v/>
      </c>
      <c r="P5248" s="88">
        <f t="shared" si="827"/>
        <v>0</v>
      </c>
      <c r="Q5248" s="88">
        <f t="shared" si="828"/>
        <v>0</v>
      </c>
      <c r="R5248" s="88" t="e">
        <f>-IF(Tabla14[[#This Row],[DIAS HABILES O MORA]]&lt;0,(Tabla14[[#This Row],[VALOR PRESTAMO]]*Tabla14[[#This Row],[% INTERES ]]/30*U5248))+Tabla14[[#This Row],[VALOR CUOTAS]]</f>
        <v>#VALUE!</v>
      </c>
      <c r="S5248" s="88">
        <f>-IF(Tabla14[[#This Row],[DIAS HABILES O MORA]]&lt;0,(Tabla14[[#This Row],[VALOR PRESTAMO]]*Tabla14[[#This Row],[% INTERES ]]/30*U5248))</f>
        <v>0</v>
      </c>
      <c r="T5248" s="53" t="e">
        <f>Tabla14[[#This Row],[DEUDA CAPITAL]]+Tabla14[[#This Row],[INTERES  CUOTA]]</f>
        <v>#NUM!</v>
      </c>
      <c r="U5248" s="61" t="str">
        <f t="shared" si="829"/>
        <v/>
      </c>
    </row>
    <row r="5249" spans="9:21" ht="24.75" customHeight="1" x14ac:dyDescent="0.35">
      <c r="I5249" s="42">
        <f t="shared" si="820"/>
        <v>0</v>
      </c>
      <c r="J5249" s="65" t="e">
        <f t="shared" si="821"/>
        <v>#NUM!</v>
      </c>
      <c r="K5249" s="83" t="e">
        <f t="shared" si="822"/>
        <v>#NUM!</v>
      </c>
      <c r="L5249" s="83">
        <f t="shared" si="823"/>
        <v>0</v>
      </c>
      <c r="M5249" s="110" t="str">
        <f t="shared" si="824"/>
        <v/>
      </c>
      <c r="N5249" s="51" t="str">
        <f t="shared" si="825"/>
        <v/>
      </c>
      <c r="O5249" s="52" t="str">
        <f t="shared" si="826"/>
        <v/>
      </c>
      <c r="P5249" s="88">
        <f t="shared" si="827"/>
        <v>0</v>
      </c>
      <c r="Q5249" s="88">
        <f t="shared" si="828"/>
        <v>0</v>
      </c>
      <c r="R5249" s="88" t="e">
        <f>-IF(Tabla14[[#This Row],[DIAS HABILES O MORA]]&lt;0,(Tabla14[[#This Row],[VALOR PRESTAMO]]*Tabla14[[#This Row],[% INTERES ]]/30*U5249))+Tabla14[[#This Row],[VALOR CUOTAS]]</f>
        <v>#VALUE!</v>
      </c>
      <c r="S5249" s="88">
        <f>-IF(Tabla14[[#This Row],[DIAS HABILES O MORA]]&lt;0,(Tabla14[[#This Row],[VALOR PRESTAMO]]*Tabla14[[#This Row],[% INTERES ]]/30*U5249))</f>
        <v>0</v>
      </c>
      <c r="T5249" s="53" t="e">
        <f>Tabla14[[#This Row],[DEUDA CAPITAL]]+Tabla14[[#This Row],[INTERES  CUOTA]]</f>
        <v>#NUM!</v>
      </c>
      <c r="U5249" s="61" t="str">
        <f t="shared" si="829"/>
        <v/>
      </c>
    </row>
    <row r="5250" spans="9:21" ht="24.75" customHeight="1" x14ac:dyDescent="0.35">
      <c r="I5250" s="42">
        <f t="shared" si="820"/>
        <v>0</v>
      </c>
      <c r="J5250" s="65" t="e">
        <f t="shared" si="821"/>
        <v>#NUM!</v>
      </c>
      <c r="K5250" s="83" t="e">
        <f t="shared" si="822"/>
        <v>#NUM!</v>
      </c>
      <c r="L5250" s="83">
        <f t="shared" si="823"/>
        <v>0</v>
      </c>
      <c r="M5250" s="110" t="str">
        <f t="shared" si="824"/>
        <v/>
      </c>
      <c r="N5250" s="51" t="str">
        <f t="shared" si="825"/>
        <v/>
      </c>
      <c r="O5250" s="52" t="str">
        <f t="shared" si="826"/>
        <v/>
      </c>
      <c r="P5250" s="88">
        <f t="shared" si="827"/>
        <v>0</v>
      </c>
      <c r="Q5250" s="88">
        <f t="shared" si="828"/>
        <v>0</v>
      </c>
      <c r="R5250" s="88" t="e">
        <f>-IF(Tabla14[[#This Row],[DIAS HABILES O MORA]]&lt;0,(Tabla14[[#This Row],[VALOR PRESTAMO]]*Tabla14[[#This Row],[% INTERES ]]/30*U5250))+Tabla14[[#This Row],[VALOR CUOTAS]]</f>
        <v>#VALUE!</v>
      </c>
      <c r="S5250" s="88">
        <f>-IF(Tabla14[[#This Row],[DIAS HABILES O MORA]]&lt;0,(Tabla14[[#This Row],[VALOR PRESTAMO]]*Tabla14[[#This Row],[% INTERES ]]/30*U5250))</f>
        <v>0</v>
      </c>
      <c r="T5250" s="53" t="e">
        <f>Tabla14[[#This Row],[DEUDA CAPITAL]]+Tabla14[[#This Row],[INTERES  CUOTA]]</f>
        <v>#NUM!</v>
      </c>
      <c r="U5250" s="61" t="str">
        <f t="shared" si="829"/>
        <v/>
      </c>
    </row>
    <row r="5251" spans="9:21" ht="24.75" customHeight="1" x14ac:dyDescent="0.35">
      <c r="I5251" s="42">
        <f t="shared" si="820"/>
        <v>0</v>
      </c>
      <c r="J5251" s="65" t="e">
        <f t="shared" si="821"/>
        <v>#NUM!</v>
      </c>
      <c r="K5251" s="83" t="e">
        <f t="shared" si="822"/>
        <v>#NUM!</v>
      </c>
      <c r="L5251" s="83">
        <f t="shared" si="823"/>
        <v>0</v>
      </c>
      <c r="M5251" s="110" t="str">
        <f t="shared" si="824"/>
        <v/>
      </c>
      <c r="N5251" s="51" t="str">
        <f t="shared" si="825"/>
        <v/>
      </c>
      <c r="O5251" s="52" t="str">
        <f t="shared" si="826"/>
        <v/>
      </c>
      <c r="P5251" s="88">
        <f t="shared" si="827"/>
        <v>0</v>
      </c>
      <c r="Q5251" s="88">
        <f t="shared" si="828"/>
        <v>0</v>
      </c>
      <c r="R5251" s="88" t="e">
        <f>-IF(Tabla14[[#This Row],[DIAS HABILES O MORA]]&lt;0,(Tabla14[[#This Row],[VALOR PRESTAMO]]*Tabla14[[#This Row],[% INTERES ]]/30*U5251))+Tabla14[[#This Row],[VALOR CUOTAS]]</f>
        <v>#VALUE!</v>
      </c>
      <c r="S5251" s="88">
        <f>-IF(Tabla14[[#This Row],[DIAS HABILES O MORA]]&lt;0,(Tabla14[[#This Row],[VALOR PRESTAMO]]*Tabla14[[#This Row],[% INTERES ]]/30*U5251))</f>
        <v>0</v>
      </c>
      <c r="T5251" s="53" t="e">
        <f>Tabla14[[#This Row],[DEUDA CAPITAL]]+Tabla14[[#This Row],[INTERES  CUOTA]]</f>
        <v>#NUM!</v>
      </c>
      <c r="U5251" s="61" t="str">
        <f t="shared" si="829"/>
        <v/>
      </c>
    </row>
    <row r="5252" spans="9:21" ht="24.75" customHeight="1" x14ac:dyDescent="0.35">
      <c r="I5252" s="42">
        <f t="shared" si="820"/>
        <v>0</v>
      </c>
      <c r="J5252" s="65" t="e">
        <f t="shared" si="821"/>
        <v>#NUM!</v>
      </c>
      <c r="K5252" s="83" t="e">
        <f t="shared" si="822"/>
        <v>#NUM!</v>
      </c>
      <c r="L5252" s="83">
        <f t="shared" si="823"/>
        <v>0</v>
      </c>
      <c r="M5252" s="110" t="str">
        <f t="shared" si="824"/>
        <v/>
      </c>
      <c r="N5252" s="51" t="str">
        <f t="shared" si="825"/>
        <v/>
      </c>
      <c r="O5252" s="52" t="str">
        <f t="shared" si="826"/>
        <v/>
      </c>
      <c r="P5252" s="88">
        <f t="shared" si="827"/>
        <v>0</v>
      </c>
      <c r="Q5252" s="88">
        <f t="shared" si="828"/>
        <v>0</v>
      </c>
      <c r="R5252" s="88" t="e">
        <f>-IF(Tabla14[[#This Row],[DIAS HABILES O MORA]]&lt;0,(Tabla14[[#This Row],[VALOR PRESTAMO]]*Tabla14[[#This Row],[% INTERES ]]/30*U5252))+Tabla14[[#This Row],[VALOR CUOTAS]]</f>
        <v>#VALUE!</v>
      </c>
      <c r="S5252" s="88">
        <f>-IF(Tabla14[[#This Row],[DIAS HABILES O MORA]]&lt;0,(Tabla14[[#This Row],[VALOR PRESTAMO]]*Tabla14[[#This Row],[% INTERES ]]/30*U5252))</f>
        <v>0</v>
      </c>
      <c r="T5252" s="53" t="e">
        <f>Tabla14[[#This Row],[DEUDA CAPITAL]]+Tabla14[[#This Row],[INTERES  CUOTA]]</f>
        <v>#NUM!</v>
      </c>
      <c r="U5252" s="61" t="str">
        <f t="shared" si="829"/>
        <v/>
      </c>
    </row>
    <row r="5253" spans="9:21" ht="24.75" customHeight="1" x14ac:dyDescent="0.35">
      <c r="I5253" s="42">
        <f t="shared" si="820"/>
        <v>0</v>
      </c>
      <c r="J5253" s="65" t="e">
        <f t="shared" si="821"/>
        <v>#NUM!</v>
      </c>
      <c r="K5253" s="83" t="e">
        <f t="shared" si="822"/>
        <v>#NUM!</v>
      </c>
      <c r="L5253" s="83">
        <f t="shared" si="823"/>
        <v>0</v>
      </c>
      <c r="M5253" s="110" t="str">
        <f t="shared" si="824"/>
        <v/>
      </c>
      <c r="N5253" s="51" t="str">
        <f t="shared" si="825"/>
        <v/>
      </c>
      <c r="O5253" s="52" t="str">
        <f t="shared" si="826"/>
        <v/>
      </c>
      <c r="P5253" s="88">
        <f t="shared" si="827"/>
        <v>0</v>
      </c>
      <c r="Q5253" s="88">
        <f t="shared" si="828"/>
        <v>0</v>
      </c>
      <c r="R5253" s="88" t="e">
        <f>-IF(Tabla14[[#This Row],[DIAS HABILES O MORA]]&lt;0,(Tabla14[[#This Row],[VALOR PRESTAMO]]*Tabla14[[#This Row],[% INTERES ]]/30*U5253))+Tabla14[[#This Row],[VALOR CUOTAS]]</f>
        <v>#VALUE!</v>
      </c>
      <c r="S5253" s="88">
        <f>-IF(Tabla14[[#This Row],[DIAS HABILES O MORA]]&lt;0,(Tabla14[[#This Row],[VALOR PRESTAMO]]*Tabla14[[#This Row],[% INTERES ]]/30*U5253))</f>
        <v>0</v>
      </c>
      <c r="T5253" s="53" t="e">
        <f>Tabla14[[#This Row],[DEUDA CAPITAL]]+Tabla14[[#This Row],[INTERES  CUOTA]]</f>
        <v>#NUM!</v>
      </c>
      <c r="U5253" s="61" t="str">
        <f t="shared" si="829"/>
        <v/>
      </c>
    </row>
    <row r="5254" spans="9:21" ht="24.75" customHeight="1" x14ac:dyDescent="0.35">
      <c r="I5254" s="42">
        <f t="shared" si="820"/>
        <v>0</v>
      </c>
      <c r="J5254" s="65" t="e">
        <f t="shared" si="821"/>
        <v>#NUM!</v>
      </c>
      <c r="K5254" s="83" t="e">
        <f t="shared" si="822"/>
        <v>#NUM!</v>
      </c>
      <c r="L5254" s="83">
        <f t="shared" si="823"/>
        <v>0</v>
      </c>
      <c r="M5254" s="110" t="str">
        <f t="shared" si="824"/>
        <v/>
      </c>
      <c r="N5254" s="51" t="str">
        <f t="shared" si="825"/>
        <v/>
      </c>
      <c r="O5254" s="52" t="str">
        <f t="shared" si="826"/>
        <v/>
      </c>
      <c r="P5254" s="88">
        <f t="shared" si="827"/>
        <v>0</v>
      </c>
      <c r="Q5254" s="88">
        <f t="shared" si="828"/>
        <v>0</v>
      </c>
      <c r="R5254" s="88" t="e">
        <f>-IF(Tabla14[[#This Row],[DIAS HABILES O MORA]]&lt;0,(Tabla14[[#This Row],[VALOR PRESTAMO]]*Tabla14[[#This Row],[% INTERES ]]/30*U5254))+Tabla14[[#This Row],[VALOR CUOTAS]]</f>
        <v>#VALUE!</v>
      </c>
      <c r="S5254" s="88">
        <f>-IF(Tabla14[[#This Row],[DIAS HABILES O MORA]]&lt;0,(Tabla14[[#This Row],[VALOR PRESTAMO]]*Tabla14[[#This Row],[% INTERES ]]/30*U5254))</f>
        <v>0</v>
      </c>
      <c r="T5254" s="53" t="e">
        <f>Tabla14[[#This Row],[DEUDA CAPITAL]]+Tabla14[[#This Row],[INTERES  CUOTA]]</f>
        <v>#NUM!</v>
      </c>
      <c r="U5254" s="61" t="str">
        <f t="shared" si="829"/>
        <v/>
      </c>
    </row>
    <row r="5255" spans="9:21" ht="24.75" customHeight="1" x14ac:dyDescent="0.35">
      <c r="I5255" s="42">
        <f t="shared" si="820"/>
        <v>0</v>
      </c>
      <c r="J5255" s="65" t="e">
        <f t="shared" si="821"/>
        <v>#NUM!</v>
      </c>
      <c r="K5255" s="83" t="e">
        <f t="shared" si="822"/>
        <v>#NUM!</v>
      </c>
      <c r="L5255" s="83">
        <f t="shared" si="823"/>
        <v>0</v>
      </c>
      <c r="M5255" s="110" t="str">
        <f t="shared" si="824"/>
        <v/>
      </c>
      <c r="N5255" s="51" t="str">
        <f t="shared" si="825"/>
        <v/>
      </c>
      <c r="O5255" s="52" t="str">
        <f t="shared" si="826"/>
        <v/>
      </c>
      <c r="P5255" s="88">
        <f t="shared" si="827"/>
        <v>0</v>
      </c>
      <c r="Q5255" s="88">
        <f t="shared" si="828"/>
        <v>0</v>
      </c>
      <c r="R5255" s="88" t="e">
        <f>-IF(Tabla14[[#This Row],[DIAS HABILES O MORA]]&lt;0,(Tabla14[[#This Row],[VALOR PRESTAMO]]*Tabla14[[#This Row],[% INTERES ]]/30*U5255))+Tabla14[[#This Row],[VALOR CUOTAS]]</f>
        <v>#VALUE!</v>
      </c>
      <c r="S5255" s="88">
        <f>-IF(Tabla14[[#This Row],[DIAS HABILES O MORA]]&lt;0,(Tabla14[[#This Row],[VALOR PRESTAMO]]*Tabla14[[#This Row],[% INTERES ]]/30*U5255))</f>
        <v>0</v>
      </c>
      <c r="T5255" s="53" t="e">
        <f>Tabla14[[#This Row],[DEUDA CAPITAL]]+Tabla14[[#This Row],[INTERES  CUOTA]]</f>
        <v>#NUM!</v>
      </c>
      <c r="U5255" s="61" t="str">
        <f t="shared" si="829"/>
        <v/>
      </c>
    </row>
    <row r="5256" spans="9:21" ht="24.75" customHeight="1" x14ac:dyDescent="0.35">
      <c r="I5256" s="42">
        <f t="shared" si="820"/>
        <v>0</v>
      </c>
      <c r="J5256" s="65" t="e">
        <f t="shared" si="821"/>
        <v>#NUM!</v>
      </c>
      <c r="K5256" s="83" t="e">
        <f t="shared" si="822"/>
        <v>#NUM!</v>
      </c>
      <c r="L5256" s="83">
        <f t="shared" si="823"/>
        <v>0</v>
      </c>
      <c r="M5256" s="110" t="str">
        <f t="shared" si="824"/>
        <v/>
      </c>
      <c r="N5256" s="51" t="str">
        <f t="shared" si="825"/>
        <v/>
      </c>
      <c r="O5256" s="52" t="str">
        <f t="shared" si="826"/>
        <v/>
      </c>
      <c r="P5256" s="88">
        <f t="shared" si="827"/>
        <v>0</v>
      </c>
      <c r="Q5256" s="88">
        <f t="shared" si="828"/>
        <v>0</v>
      </c>
      <c r="R5256" s="88" t="e">
        <f>-IF(Tabla14[[#This Row],[DIAS HABILES O MORA]]&lt;0,(Tabla14[[#This Row],[VALOR PRESTAMO]]*Tabla14[[#This Row],[% INTERES ]]/30*U5256))+Tabla14[[#This Row],[VALOR CUOTAS]]</f>
        <v>#VALUE!</v>
      </c>
      <c r="S5256" s="88">
        <f>-IF(Tabla14[[#This Row],[DIAS HABILES O MORA]]&lt;0,(Tabla14[[#This Row],[VALOR PRESTAMO]]*Tabla14[[#This Row],[% INTERES ]]/30*U5256))</f>
        <v>0</v>
      </c>
      <c r="T5256" s="53" t="e">
        <f>Tabla14[[#This Row],[DEUDA CAPITAL]]+Tabla14[[#This Row],[INTERES  CUOTA]]</f>
        <v>#NUM!</v>
      </c>
      <c r="U5256" s="61" t="str">
        <f t="shared" si="829"/>
        <v/>
      </c>
    </row>
    <row r="5257" spans="9:21" ht="24.75" customHeight="1" x14ac:dyDescent="0.35">
      <c r="I5257" s="42">
        <f t="shared" si="820"/>
        <v>0</v>
      </c>
      <c r="J5257" s="65" t="e">
        <f t="shared" si="821"/>
        <v>#NUM!</v>
      </c>
      <c r="K5257" s="83" t="e">
        <f t="shared" si="822"/>
        <v>#NUM!</v>
      </c>
      <c r="L5257" s="83">
        <f t="shared" si="823"/>
        <v>0</v>
      </c>
      <c r="M5257" s="110" t="str">
        <f t="shared" si="824"/>
        <v/>
      </c>
      <c r="N5257" s="51" t="str">
        <f t="shared" si="825"/>
        <v/>
      </c>
      <c r="O5257" s="52" t="str">
        <f t="shared" si="826"/>
        <v/>
      </c>
      <c r="P5257" s="88">
        <f t="shared" si="827"/>
        <v>0</v>
      </c>
      <c r="Q5257" s="88">
        <f t="shared" si="828"/>
        <v>0</v>
      </c>
      <c r="R5257" s="88" t="e">
        <f>-IF(Tabla14[[#This Row],[DIAS HABILES O MORA]]&lt;0,(Tabla14[[#This Row],[VALOR PRESTAMO]]*Tabla14[[#This Row],[% INTERES ]]/30*U5257))+Tabla14[[#This Row],[VALOR CUOTAS]]</f>
        <v>#VALUE!</v>
      </c>
      <c r="S5257" s="88">
        <f>-IF(Tabla14[[#This Row],[DIAS HABILES O MORA]]&lt;0,(Tabla14[[#This Row],[VALOR PRESTAMO]]*Tabla14[[#This Row],[% INTERES ]]/30*U5257))</f>
        <v>0</v>
      </c>
      <c r="T5257" s="53" t="e">
        <f>Tabla14[[#This Row],[DEUDA CAPITAL]]+Tabla14[[#This Row],[INTERES  CUOTA]]</f>
        <v>#NUM!</v>
      </c>
      <c r="U5257" s="61" t="str">
        <f t="shared" si="829"/>
        <v/>
      </c>
    </row>
    <row r="5258" spans="9:21" ht="24.75" customHeight="1" x14ac:dyDescent="0.35">
      <c r="I5258" s="42">
        <f t="shared" si="820"/>
        <v>0</v>
      </c>
      <c r="J5258" s="65" t="e">
        <f t="shared" si="821"/>
        <v>#NUM!</v>
      </c>
      <c r="K5258" s="83" t="e">
        <f t="shared" si="822"/>
        <v>#NUM!</v>
      </c>
      <c r="L5258" s="83">
        <f t="shared" si="823"/>
        <v>0</v>
      </c>
      <c r="M5258" s="110" t="str">
        <f t="shared" si="824"/>
        <v/>
      </c>
      <c r="N5258" s="51" t="str">
        <f t="shared" si="825"/>
        <v/>
      </c>
      <c r="O5258" s="52" t="str">
        <f t="shared" si="826"/>
        <v/>
      </c>
      <c r="P5258" s="88">
        <f t="shared" si="827"/>
        <v>0</v>
      </c>
      <c r="Q5258" s="88">
        <f t="shared" si="828"/>
        <v>0</v>
      </c>
      <c r="R5258" s="88" t="e">
        <f>-IF(Tabla14[[#This Row],[DIAS HABILES O MORA]]&lt;0,(Tabla14[[#This Row],[VALOR PRESTAMO]]*Tabla14[[#This Row],[% INTERES ]]/30*U5258))+Tabla14[[#This Row],[VALOR CUOTAS]]</f>
        <v>#VALUE!</v>
      </c>
      <c r="S5258" s="88">
        <f>-IF(Tabla14[[#This Row],[DIAS HABILES O MORA]]&lt;0,(Tabla14[[#This Row],[VALOR PRESTAMO]]*Tabla14[[#This Row],[% INTERES ]]/30*U5258))</f>
        <v>0</v>
      </c>
      <c r="T5258" s="53" t="e">
        <f>Tabla14[[#This Row],[DEUDA CAPITAL]]+Tabla14[[#This Row],[INTERES  CUOTA]]</f>
        <v>#NUM!</v>
      </c>
      <c r="U5258" s="61" t="str">
        <f t="shared" si="829"/>
        <v/>
      </c>
    </row>
    <row r="5259" spans="9:21" ht="24.75" customHeight="1" x14ac:dyDescent="0.35">
      <c r="I5259" s="42">
        <f t="shared" si="820"/>
        <v>0</v>
      </c>
      <c r="J5259" s="65" t="e">
        <f t="shared" si="821"/>
        <v>#NUM!</v>
      </c>
      <c r="K5259" s="83" t="e">
        <f t="shared" si="822"/>
        <v>#NUM!</v>
      </c>
      <c r="L5259" s="83">
        <f t="shared" si="823"/>
        <v>0</v>
      </c>
      <c r="M5259" s="110" t="str">
        <f t="shared" si="824"/>
        <v/>
      </c>
      <c r="N5259" s="51" t="str">
        <f t="shared" si="825"/>
        <v/>
      </c>
      <c r="O5259" s="52" t="str">
        <f t="shared" si="826"/>
        <v/>
      </c>
      <c r="P5259" s="88">
        <f t="shared" si="827"/>
        <v>0</v>
      </c>
      <c r="Q5259" s="88">
        <f t="shared" si="828"/>
        <v>0</v>
      </c>
      <c r="R5259" s="88" t="e">
        <f>-IF(Tabla14[[#This Row],[DIAS HABILES O MORA]]&lt;0,(Tabla14[[#This Row],[VALOR PRESTAMO]]*Tabla14[[#This Row],[% INTERES ]]/30*U5259))+Tabla14[[#This Row],[VALOR CUOTAS]]</f>
        <v>#VALUE!</v>
      </c>
      <c r="S5259" s="88">
        <f>-IF(Tabla14[[#This Row],[DIAS HABILES O MORA]]&lt;0,(Tabla14[[#This Row],[VALOR PRESTAMO]]*Tabla14[[#This Row],[% INTERES ]]/30*U5259))</f>
        <v>0</v>
      </c>
      <c r="T5259" s="53" t="e">
        <f>Tabla14[[#This Row],[DEUDA CAPITAL]]+Tabla14[[#This Row],[INTERES  CUOTA]]</f>
        <v>#NUM!</v>
      </c>
      <c r="U5259" s="61" t="str">
        <f t="shared" si="829"/>
        <v/>
      </c>
    </row>
    <row r="5260" spans="9:21" ht="24.75" customHeight="1" x14ac:dyDescent="0.35">
      <c r="I5260" s="42">
        <f t="shared" si="820"/>
        <v>0</v>
      </c>
      <c r="J5260" s="65" t="e">
        <f t="shared" si="821"/>
        <v>#NUM!</v>
      </c>
      <c r="K5260" s="83" t="e">
        <f t="shared" si="822"/>
        <v>#NUM!</v>
      </c>
      <c r="L5260" s="83">
        <f t="shared" si="823"/>
        <v>0</v>
      </c>
      <c r="M5260" s="110" t="str">
        <f t="shared" si="824"/>
        <v/>
      </c>
      <c r="N5260" s="51" t="str">
        <f t="shared" si="825"/>
        <v/>
      </c>
      <c r="O5260" s="52" t="str">
        <f t="shared" si="826"/>
        <v/>
      </c>
      <c r="P5260" s="88">
        <f t="shared" si="827"/>
        <v>0</v>
      </c>
      <c r="Q5260" s="88">
        <f t="shared" si="828"/>
        <v>0</v>
      </c>
      <c r="R5260" s="88" t="e">
        <f>-IF(Tabla14[[#This Row],[DIAS HABILES O MORA]]&lt;0,(Tabla14[[#This Row],[VALOR PRESTAMO]]*Tabla14[[#This Row],[% INTERES ]]/30*U5260))+Tabla14[[#This Row],[VALOR CUOTAS]]</f>
        <v>#VALUE!</v>
      </c>
      <c r="S5260" s="88">
        <f>-IF(Tabla14[[#This Row],[DIAS HABILES O MORA]]&lt;0,(Tabla14[[#This Row],[VALOR PRESTAMO]]*Tabla14[[#This Row],[% INTERES ]]/30*U5260))</f>
        <v>0</v>
      </c>
      <c r="T5260" s="53" t="e">
        <f>Tabla14[[#This Row],[DEUDA CAPITAL]]+Tabla14[[#This Row],[INTERES  CUOTA]]</f>
        <v>#NUM!</v>
      </c>
      <c r="U5260" s="61" t="str">
        <f t="shared" si="829"/>
        <v/>
      </c>
    </row>
    <row r="5261" spans="9:21" ht="24.75" customHeight="1" x14ac:dyDescent="0.35">
      <c r="I5261" s="42">
        <f t="shared" si="820"/>
        <v>0</v>
      </c>
      <c r="J5261" s="65" t="e">
        <f t="shared" si="821"/>
        <v>#NUM!</v>
      </c>
      <c r="K5261" s="83" t="e">
        <f t="shared" si="822"/>
        <v>#NUM!</v>
      </c>
      <c r="L5261" s="83">
        <f t="shared" si="823"/>
        <v>0</v>
      </c>
      <c r="M5261" s="110" t="str">
        <f t="shared" si="824"/>
        <v/>
      </c>
      <c r="N5261" s="51" t="str">
        <f t="shared" si="825"/>
        <v/>
      </c>
      <c r="O5261" s="52" t="str">
        <f t="shared" si="826"/>
        <v/>
      </c>
      <c r="P5261" s="88">
        <f t="shared" si="827"/>
        <v>0</v>
      </c>
      <c r="Q5261" s="88">
        <f t="shared" si="828"/>
        <v>0</v>
      </c>
      <c r="R5261" s="88" t="e">
        <f>-IF(Tabla14[[#This Row],[DIAS HABILES O MORA]]&lt;0,(Tabla14[[#This Row],[VALOR PRESTAMO]]*Tabla14[[#This Row],[% INTERES ]]/30*U5261))+Tabla14[[#This Row],[VALOR CUOTAS]]</f>
        <v>#VALUE!</v>
      </c>
      <c r="S5261" s="88">
        <f>-IF(Tabla14[[#This Row],[DIAS HABILES O MORA]]&lt;0,(Tabla14[[#This Row],[VALOR PRESTAMO]]*Tabla14[[#This Row],[% INTERES ]]/30*U5261))</f>
        <v>0</v>
      </c>
      <c r="T5261" s="53" t="e">
        <f>Tabla14[[#This Row],[DEUDA CAPITAL]]+Tabla14[[#This Row],[INTERES  CUOTA]]</f>
        <v>#NUM!</v>
      </c>
      <c r="U5261" s="61" t="str">
        <f t="shared" si="829"/>
        <v/>
      </c>
    </row>
    <row r="5262" spans="9:21" ht="24.75" customHeight="1" x14ac:dyDescent="0.35">
      <c r="I5262" s="42">
        <f t="shared" si="820"/>
        <v>0</v>
      </c>
      <c r="J5262" s="65" t="e">
        <f t="shared" si="821"/>
        <v>#NUM!</v>
      </c>
      <c r="K5262" s="83" t="e">
        <f t="shared" si="822"/>
        <v>#NUM!</v>
      </c>
      <c r="L5262" s="83">
        <f t="shared" si="823"/>
        <v>0</v>
      </c>
      <c r="M5262" s="110" t="str">
        <f t="shared" si="824"/>
        <v/>
      </c>
      <c r="N5262" s="51" t="str">
        <f t="shared" si="825"/>
        <v/>
      </c>
      <c r="O5262" s="52" t="str">
        <f t="shared" si="826"/>
        <v/>
      </c>
      <c r="P5262" s="88">
        <f t="shared" si="827"/>
        <v>0</v>
      </c>
      <c r="Q5262" s="88">
        <f t="shared" si="828"/>
        <v>0</v>
      </c>
      <c r="R5262" s="88" t="e">
        <f>-IF(Tabla14[[#This Row],[DIAS HABILES O MORA]]&lt;0,(Tabla14[[#This Row],[VALOR PRESTAMO]]*Tabla14[[#This Row],[% INTERES ]]/30*U5262))+Tabla14[[#This Row],[VALOR CUOTAS]]</f>
        <v>#VALUE!</v>
      </c>
      <c r="S5262" s="88">
        <f>-IF(Tabla14[[#This Row],[DIAS HABILES O MORA]]&lt;0,(Tabla14[[#This Row],[VALOR PRESTAMO]]*Tabla14[[#This Row],[% INTERES ]]/30*U5262))</f>
        <v>0</v>
      </c>
      <c r="T5262" s="53" t="e">
        <f>Tabla14[[#This Row],[DEUDA CAPITAL]]+Tabla14[[#This Row],[INTERES  CUOTA]]</f>
        <v>#NUM!</v>
      </c>
      <c r="U5262" s="61" t="str">
        <f t="shared" si="829"/>
        <v/>
      </c>
    </row>
    <row r="5263" spans="9:21" ht="24.75" customHeight="1" x14ac:dyDescent="0.35">
      <c r="I5263" s="42">
        <f t="shared" si="820"/>
        <v>0</v>
      </c>
      <c r="J5263" s="65" t="e">
        <f t="shared" si="821"/>
        <v>#NUM!</v>
      </c>
      <c r="K5263" s="83" t="e">
        <f t="shared" si="822"/>
        <v>#NUM!</v>
      </c>
      <c r="L5263" s="83">
        <f t="shared" si="823"/>
        <v>0</v>
      </c>
      <c r="M5263" s="110" t="str">
        <f t="shared" si="824"/>
        <v/>
      </c>
      <c r="N5263" s="51" t="str">
        <f t="shared" si="825"/>
        <v/>
      </c>
      <c r="O5263" s="52" t="str">
        <f t="shared" si="826"/>
        <v/>
      </c>
      <c r="P5263" s="88">
        <f t="shared" si="827"/>
        <v>0</v>
      </c>
      <c r="Q5263" s="88">
        <f t="shared" si="828"/>
        <v>0</v>
      </c>
      <c r="R5263" s="88" t="e">
        <f>-IF(Tabla14[[#This Row],[DIAS HABILES O MORA]]&lt;0,(Tabla14[[#This Row],[VALOR PRESTAMO]]*Tabla14[[#This Row],[% INTERES ]]/30*U5263))+Tabla14[[#This Row],[VALOR CUOTAS]]</f>
        <v>#VALUE!</v>
      </c>
      <c r="S5263" s="88">
        <f>-IF(Tabla14[[#This Row],[DIAS HABILES O MORA]]&lt;0,(Tabla14[[#This Row],[VALOR PRESTAMO]]*Tabla14[[#This Row],[% INTERES ]]/30*U5263))</f>
        <v>0</v>
      </c>
      <c r="T5263" s="53" t="e">
        <f>Tabla14[[#This Row],[DEUDA CAPITAL]]+Tabla14[[#This Row],[INTERES  CUOTA]]</f>
        <v>#NUM!</v>
      </c>
      <c r="U5263" s="61" t="str">
        <f t="shared" si="829"/>
        <v/>
      </c>
    </row>
    <row r="5264" spans="9:21" ht="24.75" customHeight="1" x14ac:dyDescent="0.35">
      <c r="I5264" s="42">
        <f t="shared" ref="I5264:I5327" si="830">IF(C5264&lt;0,"",IF(Q5264=0,0,IF(G5264=0,H5264+1,IF(H5264&lt;G5264,H5264+1,IF(G5264=H5264,0)))))</f>
        <v>0</v>
      </c>
      <c r="J5264" s="65" t="e">
        <f t="shared" ref="J5264:J5327" si="831">IF(F5264="SOLO INTERES",Q5264*D5264,-IPMT(D5264,I5264,G5264,C5264))</f>
        <v>#NUM!</v>
      </c>
      <c r="K5264" s="83" t="e">
        <f t="shared" ref="K5264:K5327" si="832">IF(F5264="SOLO INTERES",0,-PPMT(D5264,I5264,G5264,C5264))</f>
        <v>#NUM!</v>
      </c>
      <c r="L5264" s="83">
        <f t="shared" ref="L5264:L5327" si="833">IF(F5264="SOLO INTERES",SUM(Y5264:AAE5264),IFERROR(-CUMIPMT(D5264,G5264,C5264,1,H5264,0),0)+SUM(Y5264:WY5264))</f>
        <v>0</v>
      </c>
      <c r="M5264" s="110" t="str">
        <f t="shared" ref="M5264:M5327" si="834">IFERROR(IF(F5264="SOLO INTERES",Q5264*D5264,-PMT(D5264,G5264,C5264,0)),"")</f>
        <v/>
      </c>
      <c r="N5264" s="51" t="str">
        <f t="shared" ref="N5264:N5327" si="835">IF(Q5264=0,"",IF(E5264="MENSUAL",EDATE(B5264,I5264),IF(E5264="QUINCENAL",B5264+(I5264*15),IF(E5264="SEMANAL",B5264+(I5264*7)))))</f>
        <v/>
      </c>
      <c r="O5264" s="52" t="str">
        <f t="shared" ref="O5264:O5327" si="836">IF(C5264=0,"",IF(Q5264&lt;1,"PAGADO",IF(N5264=$A$3,"COBRAR HOY",IF(N5264&lt;$A$3,"EN MORA",IF(N5264&gt;$A$3,"AL DIA")))))</f>
        <v/>
      </c>
      <c r="P5264" s="88">
        <f t="shared" ref="P5264:P5327" si="837">IFERROR(-CUMPRINC(D5264,G5264,C5264,1,H5264,0),0)+W5264</f>
        <v>0</v>
      </c>
      <c r="Q5264" s="88">
        <f t="shared" ref="Q5264:Q5327" si="838">IFERROR(C5264-P5264,"")</f>
        <v>0</v>
      </c>
      <c r="R5264" s="88" t="e">
        <f>-IF(Tabla14[[#This Row],[DIAS HABILES O MORA]]&lt;0,(Tabla14[[#This Row],[VALOR PRESTAMO]]*Tabla14[[#This Row],[% INTERES ]]/30*U5264))+Tabla14[[#This Row],[VALOR CUOTAS]]</f>
        <v>#VALUE!</v>
      </c>
      <c r="S5264" s="88">
        <f>-IF(Tabla14[[#This Row],[DIAS HABILES O MORA]]&lt;0,(Tabla14[[#This Row],[VALOR PRESTAMO]]*Tabla14[[#This Row],[% INTERES ]]/30*U5264))</f>
        <v>0</v>
      </c>
      <c r="T5264" s="53" t="e">
        <f>Tabla14[[#This Row],[DEUDA CAPITAL]]+Tabla14[[#This Row],[INTERES  CUOTA]]</f>
        <v>#NUM!</v>
      </c>
      <c r="U5264" s="61" t="str">
        <f t="shared" ref="U5264:U5327" si="839">IF(O5264="PAGADO","",IFERROR(-IF(C5264=0,"",$A$3-N5264),""))</f>
        <v/>
      </c>
    </row>
    <row r="5265" spans="9:21" ht="24.75" customHeight="1" x14ac:dyDescent="0.35">
      <c r="I5265" s="42">
        <f t="shared" si="830"/>
        <v>0</v>
      </c>
      <c r="J5265" s="65" t="e">
        <f t="shared" si="831"/>
        <v>#NUM!</v>
      </c>
      <c r="K5265" s="83" t="e">
        <f t="shared" si="832"/>
        <v>#NUM!</v>
      </c>
      <c r="L5265" s="83">
        <f t="shared" si="833"/>
        <v>0</v>
      </c>
      <c r="M5265" s="110" t="str">
        <f t="shared" si="834"/>
        <v/>
      </c>
      <c r="N5265" s="51" t="str">
        <f t="shared" si="835"/>
        <v/>
      </c>
      <c r="O5265" s="52" t="str">
        <f t="shared" si="836"/>
        <v/>
      </c>
      <c r="P5265" s="88">
        <f t="shared" si="837"/>
        <v>0</v>
      </c>
      <c r="Q5265" s="88">
        <f t="shared" si="838"/>
        <v>0</v>
      </c>
      <c r="R5265" s="88" t="e">
        <f>-IF(Tabla14[[#This Row],[DIAS HABILES O MORA]]&lt;0,(Tabla14[[#This Row],[VALOR PRESTAMO]]*Tabla14[[#This Row],[% INTERES ]]/30*U5265))+Tabla14[[#This Row],[VALOR CUOTAS]]</f>
        <v>#VALUE!</v>
      </c>
      <c r="S5265" s="88">
        <f>-IF(Tabla14[[#This Row],[DIAS HABILES O MORA]]&lt;0,(Tabla14[[#This Row],[VALOR PRESTAMO]]*Tabla14[[#This Row],[% INTERES ]]/30*U5265))</f>
        <v>0</v>
      </c>
      <c r="T5265" s="53" t="e">
        <f>Tabla14[[#This Row],[DEUDA CAPITAL]]+Tabla14[[#This Row],[INTERES  CUOTA]]</f>
        <v>#NUM!</v>
      </c>
      <c r="U5265" s="61" t="str">
        <f t="shared" si="839"/>
        <v/>
      </c>
    </row>
    <row r="5266" spans="9:21" ht="24.75" customHeight="1" x14ac:dyDescent="0.35">
      <c r="I5266" s="42">
        <f t="shared" si="830"/>
        <v>0</v>
      </c>
      <c r="J5266" s="65" t="e">
        <f t="shared" si="831"/>
        <v>#NUM!</v>
      </c>
      <c r="K5266" s="83" t="e">
        <f t="shared" si="832"/>
        <v>#NUM!</v>
      </c>
      <c r="L5266" s="83">
        <f t="shared" si="833"/>
        <v>0</v>
      </c>
      <c r="M5266" s="110" t="str">
        <f t="shared" si="834"/>
        <v/>
      </c>
      <c r="N5266" s="51" t="str">
        <f t="shared" si="835"/>
        <v/>
      </c>
      <c r="O5266" s="52" t="str">
        <f t="shared" si="836"/>
        <v/>
      </c>
      <c r="P5266" s="88">
        <f t="shared" si="837"/>
        <v>0</v>
      </c>
      <c r="Q5266" s="88">
        <f t="shared" si="838"/>
        <v>0</v>
      </c>
      <c r="R5266" s="88" t="e">
        <f>-IF(Tabla14[[#This Row],[DIAS HABILES O MORA]]&lt;0,(Tabla14[[#This Row],[VALOR PRESTAMO]]*Tabla14[[#This Row],[% INTERES ]]/30*U5266))+Tabla14[[#This Row],[VALOR CUOTAS]]</f>
        <v>#VALUE!</v>
      </c>
      <c r="S5266" s="88">
        <f>-IF(Tabla14[[#This Row],[DIAS HABILES O MORA]]&lt;0,(Tabla14[[#This Row],[VALOR PRESTAMO]]*Tabla14[[#This Row],[% INTERES ]]/30*U5266))</f>
        <v>0</v>
      </c>
      <c r="T5266" s="53" t="e">
        <f>Tabla14[[#This Row],[DEUDA CAPITAL]]+Tabla14[[#This Row],[INTERES  CUOTA]]</f>
        <v>#NUM!</v>
      </c>
      <c r="U5266" s="61" t="str">
        <f t="shared" si="839"/>
        <v/>
      </c>
    </row>
    <row r="5267" spans="9:21" ht="24.75" customHeight="1" x14ac:dyDescent="0.35">
      <c r="I5267" s="42">
        <f t="shared" si="830"/>
        <v>0</v>
      </c>
      <c r="J5267" s="65" t="e">
        <f t="shared" si="831"/>
        <v>#NUM!</v>
      </c>
      <c r="K5267" s="83" t="e">
        <f t="shared" si="832"/>
        <v>#NUM!</v>
      </c>
      <c r="L5267" s="83">
        <f t="shared" si="833"/>
        <v>0</v>
      </c>
      <c r="M5267" s="110" t="str">
        <f t="shared" si="834"/>
        <v/>
      </c>
      <c r="N5267" s="51" t="str">
        <f t="shared" si="835"/>
        <v/>
      </c>
      <c r="O5267" s="52" t="str">
        <f t="shared" si="836"/>
        <v/>
      </c>
      <c r="P5267" s="88">
        <f t="shared" si="837"/>
        <v>0</v>
      </c>
      <c r="Q5267" s="88">
        <f t="shared" si="838"/>
        <v>0</v>
      </c>
      <c r="R5267" s="88" t="e">
        <f>-IF(Tabla14[[#This Row],[DIAS HABILES O MORA]]&lt;0,(Tabla14[[#This Row],[VALOR PRESTAMO]]*Tabla14[[#This Row],[% INTERES ]]/30*U5267))+Tabla14[[#This Row],[VALOR CUOTAS]]</f>
        <v>#VALUE!</v>
      </c>
      <c r="S5267" s="88">
        <f>-IF(Tabla14[[#This Row],[DIAS HABILES O MORA]]&lt;0,(Tabla14[[#This Row],[VALOR PRESTAMO]]*Tabla14[[#This Row],[% INTERES ]]/30*U5267))</f>
        <v>0</v>
      </c>
      <c r="T5267" s="53" t="e">
        <f>Tabla14[[#This Row],[DEUDA CAPITAL]]+Tabla14[[#This Row],[INTERES  CUOTA]]</f>
        <v>#NUM!</v>
      </c>
      <c r="U5267" s="61" t="str">
        <f t="shared" si="839"/>
        <v/>
      </c>
    </row>
    <row r="5268" spans="9:21" ht="24.75" customHeight="1" x14ac:dyDescent="0.35">
      <c r="I5268" s="42">
        <f t="shared" si="830"/>
        <v>0</v>
      </c>
      <c r="J5268" s="65" t="e">
        <f t="shared" si="831"/>
        <v>#NUM!</v>
      </c>
      <c r="K5268" s="83" t="e">
        <f t="shared" si="832"/>
        <v>#NUM!</v>
      </c>
      <c r="L5268" s="83">
        <f t="shared" si="833"/>
        <v>0</v>
      </c>
      <c r="M5268" s="110" t="str">
        <f t="shared" si="834"/>
        <v/>
      </c>
      <c r="N5268" s="51" t="str">
        <f t="shared" si="835"/>
        <v/>
      </c>
      <c r="O5268" s="52" t="str">
        <f t="shared" si="836"/>
        <v/>
      </c>
      <c r="P5268" s="88">
        <f t="shared" si="837"/>
        <v>0</v>
      </c>
      <c r="Q5268" s="88">
        <f t="shared" si="838"/>
        <v>0</v>
      </c>
      <c r="R5268" s="88" t="e">
        <f>-IF(Tabla14[[#This Row],[DIAS HABILES O MORA]]&lt;0,(Tabla14[[#This Row],[VALOR PRESTAMO]]*Tabla14[[#This Row],[% INTERES ]]/30*U5268))+Tabla14[[#This Row],[VALOR CUOTAS]]</f>
        <v>#VALUE!</v>
      </c>
      <c r="S5268" s="88">
        <f>-IF(Tabla14[[#This Row],[DIAS HABILES O MORA]]&lt;0,(Tabla14[[#This Row],[VALOR PRESTAMO]]*Tabla14[[#This Row],[% INTERES ]]/30*U5268))</f>
        <v>0</v>
      </c>
      <c r="T5268" s="53" t="e">
        <f>Tabla14[[#This Row],[DEUDA CAPITAL]]+Tabla14[[#This Row],[INTERES  CUOTA]]</f>
        <v>#NUM!</v>
      </c>
      <c r="U5268" s="61" t="str">
        <f t="shared" si="839"/>
        <v/>
      </c>
    </row>
    <row r="5269" spans="9:21" ht="24.75" customHeight="1" x14ac:dyDescent="0.35">
      <c r="I5269" s="42">
        <f t="shared" si="830"/>
        <v>0</v>
      </c>
      <c r="J5269" s="65" t="e">
        <f t="shared" si="831"/>
        <v>#NUM!</v>
      </c>
      <c r="K5269" s="83" t="e">
        <f t="shared" si="832"/>
        <v>#NUM!</v>
      </c>
      <c r="L5269" s="83">
        <f t="shared" si="833"/>
        <v>0</v>
      </c>
      <c r="M5269" s="110" t="str">
        <f t="shared" si="834"/>
        <v/>
      </c>
      <c r="N5269" s="51" t="str">
        <f t="shared" si="835"/>
        <v/>
      </c>
      <c r="O5269" s="52" t="str">
        <f t="shared" si="836"/>
        <v/>
      </c>
      <c r="P5269" s="88">
        <f t="shared" si="837"/>
        <v>0</v>
      </c>
      <c r="Q5269" s="88">
        <f t="shared" si="838"/>
        <v>0</v>
      </c>
      <c r="R5269" s="88" t="e">
        <f>-IF(Tabla14[[#This Row],[DIAS HABILES O MORA]]&lt;0,(Tabla14[[#This Row],[VALOR PRESTAMO]]*Tabla14[[#This Row],[% INTERES ]]/30*U5269))+Tabla14[[#This Row],[VALOR CUOTAS]]</f>
        <v>#VALUE!</v>
      </c>
      <c r="S5269" s="88">
        <f>-IF(Tabla14[[#This Row],[DIAS HABILES O MORA]]&lt;0,(Tabla14[[#This Row],[VALOR PRESTAMO]]*Tabla14[[#This Row],[% INTERES ]]/30*U5269))</f>
        <v>0</v>
      </c>
      <c r="T5269" s="53" t="e">
        <f>Tabla14[[#This Row],[DEUDA CAPITAL]]+Tabla14[[#This Row],[INTERES  CUOTA]]</f>
        <v>#NUM!</v>
      </c>
      <c r="U5269" s="61" t="str">
        <f t="shared" si="839"/>
        <v/>
      </c>
    </row>
    <row r="5270" spans="9:21" ht="24.75" customHeight="1" x14ac:dyDescent="0.35">
      <c r="I5270" s="42">
        <f t="shared" si="830"/>
        <v>0</v>
      </c>
      <c r="J5270" s="65" t="e">
        <f t="shared" si="831"/>
        <v>#NUM!</v>
      </c>
      <c r="K5270" s="83" t="e">
        <f t="shared" si="832"/>
        <v>#NUM!</v>
      </c>
      <c r="L5270" s="83">
        <f t="shared" si="833"/>
        <v>0</v>
      </c>
      <c r="M5270" s="110" t="str">
        <f t="shared" si="834"/>
        <v/>
      </c>
      <c r="N5270" s="51" t="str">
        <f t="shared" si="835"/>
        <v/>
      </c>
      <c r="O5270" s="52" t="str">
        <f t="shared" si="836"/>
        <v/>
      </c>
      <c r="P5270" s="88">
        <f t="shared" si="837"/>
        <v>0</v>
      </c>
      <c r="Q5270" s="88">
        <f t="shared" si="838"/>
        <v>0</v>
      </c>
      <c r="R5270" s="88" t="e">
        <f>-IF(Tabla14[[#This Row],[DIAS HABILES O MORA]]&lt;0,(Tabla14[[#This Row],[VALOR PRESTAMO]]*Tabla14[[#This Row],[% INTERES ]]/30*U5270))+Tabla14[[#This Row],[VALOR CUOTAS]]</f>
        <v>#VALUE!</v>
      </c>
      <c r="S5270" s="88">
        <f>-IF(Tabla14[[#This Row],[DIAS HABILES O MORA]]&lt;0,(Tabla14[[#This Row],[VALOR PRESTAMO]]*Tabla14[[#This Row],[% INTERES ]]/30*U5270))</f>
        <v>0</v>
      </c>
      <c r="T5270" s="53" t="e">
        <f>Tabla14[[#This Row],[DEUDA CAPITAL]]+Tabla14[[#This Row],[INTERES  CUOTA]]</f>
        <v>#NUM!</v>
      </c>
      <c r="U5270" s="61" t="str">
        <f t="shared" si="839"/>
        <v/>
      </c>
    </row>
    <row r="5271" spans="9:21" ht="24.75" customHeight="1" x14ac:dyDescent="0.35">
      <c r="I5271" s="42">
        <f t="shared" si="830"/>
        <v>0</v>
      </c>
      <c r="J5271" s="65" t="e">
        <f t="shared" si="831"/>
        <v>#NUM!</v>
      </c>
      <c r="K5271" s="83" t="e">
        <f t="shared" si="832"/>
        <v>#NUM!</v>
      </c>
      <c r="L5271" s="83">
        <f t="shared" si="833"/>
        <v>0</v>
      </c>
      <c r="M5271" s="110" t="str">
        <f t="shared" si="834"/>
        <v/>
      </c>
      <c r="N5271" s="51" t="str">
        <f t="shared" si="835"/>
        <v/>
      </c>
      <c r="O5271" s="52" t="str">
        <f t="shared" si="836"/>
        <v/>
      </c>
      <c r="P5271" s="88">
        <f t="shared" si="837"/>
        <v>0</v>
      </c>
      <c r="Q5271" s="88">
        <f t="shared" si="838"/>
        <v>0</v>
      </c>
      <c r="R5271" s="88" t="e">
        <f>-IF(Tabla14[[#This Row],[DIAS HABILES O MORA]]&lt;0,(Tabla14[[#This Row],[VALOR PRESTAMO]]*Tabla14[[#This Row],[% INTERES ]]/30*U5271))+Tabla14[[#This Row],[VALOR CUOTAS]]</f>
        <v>#VALUE!</v>
      </c>
      <c r="S5271" s="88">
        <f>-IF(Tabla14[[#This Row],[DIAS HABILES O MORA]]&lt;0,(Tabla14[[#This Row],[VALOR PRESTAMO]]*Tabla14[[#This Row],[% INTERES ]]/30*U5271))</f>
        <v>0</v>
      </c>
      <c r="T5271" s="53" t="e">
        <f>Tabla14[[#This Row],[DEUDA CAPITAL]]+Tabla14[[#This Row],[INTERES  CUOTA]]</f>
        <v>#NUM!</v>
      </c>
      <c r="U5271" s="61" t="str">
        <f t="shared" si="839"/>
        <v/>
      </c>
    </row>
    <row r="5272" spans="9:21" ht="24.75" customHeight="1" x14ac:dyDescent="0.35">
      <c r="I5272" s="42">
        <f t="shared" si="830"/>
        <v>0</v>
      </c>
      <c r="J5272" s="65" t="e">
        <f t="shared" si="831"/>
        <v>#NUM!</v>
      </c>
      <c r="K5272" s="83" t="e">
        <f t="shared" si="832"/>
        <v>#NUM!</v>
      </c>
      <c r="L5272" s="83">
        <f t="shared" si="833"/>
        <v>0</v>
      </c>
      <c r="M5272" s="110" t="str">
        <f t="shared" si="834"/>
        <v/>
      </c>
      <c r="N5272" s="51" t="str">
        <f t="shared" si="835"/>
        <v/>
      </c>
      <c r="O5272" s="52" t="str">
        <f t="shared" si="836"/>
        <v/>
      </c>
      <c r="P5272" s="88">
        <f t="shared" si="837"/>
        <v>0</v>
      </c>
      <c r="Q5272" s="88">
        <f t="shared" si="838"/>
        <v>0</v>
      </c>
      <c r="R5272" s="88" t="e">
        <f>-IF(Tabla14[[#This Row],[DIAS HABILES O MORA]]&lt;0,(Tabla14[[#This Row],[VALOR PRESTAMO]]*Tabla14[[#This Row],[% INTERES ]]/30*U5272))+Tabla14[[#This Row],[VALOR CUOTAS]]</f>
        <v>#VALUE!</v>
      </c>
      <c r="S5272" s="88">
        <f>-IF(Tabla14[[#This Row],[DIAS HABILES O MORA]]&lt;0,(Tabla14[[#This Row],[VALOR PRESTAMO]]*Tabla14[[#This Row],[% INTERES ]]/30*U5272))</f>
        <v>0</v>
      </c>
      <c r="T5272" s="53" t="e">
        <f>Tabla14[[#This Row],[DEUDA CAPITAL]]+Tabla14[[#This Row],[INTERES  CUOTA]]</f>
        <v>#NUM!</v>
      </c>
      <c r="U5272" s="61" t="str">
        <f t="shared" si="839"/>
        <v/>
      </c>
    </row>
    <row r="5273" spans="9:21" ht="24.75" customHeight="1" x14ac:dyDescent="0.35">
      <c r="I5273" s="42">
        <f t="shared" si="830"/>
        <v>0</v>
      </c>
      <c r="J5273" s="65" t="e">
        <f t="shared" si="831"/>
        <v>#NUM!</v>
      </c>
      <c r="K5273" s="83" t="e">
        <f t="shared" si="832"/>
        <v>#NUM!</v>
      </c>
      <c r="L5273" s="83">
        <f t="shared" si="833"/>
        <v>0</v>
      </c>
      <c r="M5273" s="110" t="str">
        <f t="shared" si="834"/>
        <v/>
      </c>
      <c r="N5273" s="51" t="str">
        <f t="shared" si="835"/>
        <v/>
      </c>
      <c r="O5273" s="52" t="str">
        <f t="shared" si="836"/>
        <v/>
      </c>
      <c r="P5273" s="88">
        <f t="shared" si="837"/>
        <v>0</v>
      </c>
      <c r="Q5273" s="88">
        <f t="shared" si="838"/>
        <v>0</v>
      </c>
      <c r="R5273" s="88" t="e">
        <f>-IF(Tabla14[[#This Row],[DIAS HABILES O MORA]]&lt;0,(Tabla14[[#This Row],[VALOR PRESTAMO]]*Tabla14[[#This Row],[% INTERES ]]/30*U5273))+Tabla14[[#This Row],[VALOR CUOTAS]]</f>
        <v>#VALUE!</v>
      </c>
      <c r="S5273" s="88">
        <f>-IF(Tabla14[[#This Row],[DIAS HABILES O MORA]]&lt;0,(Tabla14[[#This Row],[VALOR PRESTAMO]]*Tabla14[[#This Row],[% INTERES ]]/30*U5273))</f>
        <v>0</v>
      </c>
      <c r="T5273" s="53" t="e">
        <f>Tabla14[[#This Row],[DEUDA CAPITAL]]+Tabla14[[#This Row],[INTERES  CUOTA]]</f>
        <v>#NUM!</v>
      </c>
      <c r="U5273" s="61" t="str">
        <f t="shared" si="839"/>
        <v/>
      </c>
    </row>
    <row r="5274" spans="9:21" ht="24.75" customHeight="1" x14ac:dyDescent="0.35">
      <c r="I5274" s="42">
        <f t="shared" si="830"/>
        <v>0</v>
      </c>
      <c r="J5274" s="65" t="e">
        <f t="shared" si="831"/>
        <v>#NUM!</v>
      </c>
      <c r="K5274" s="83" t="e">
        <f t="shared" si="832"/>
        <v>#NUM!</v>
      </c>
      <c r="L5274" s="83">
        <f t="shared" si="833"/>
        <v>0</v>
      </c>
      <c r="M5274" s="110" t="str">
        <f t="shared" si="834"/>
        <v/>
      </c>
      <c r="N5274" s="51" t="str">
        <f t="shared" si="835"/>
        <v/>
      </c>
      <c r="O5274" s="52" t="str">
        <f t="shared" si="836"/>
        <v/>
      </c>
      <c r="P5274" s="88">
        <f t="shared" si="837"/>
        <v>0</v>
      </c>
      <c r="Q5274" s="88">
        <f t="shared" si="838"/>
        <v>0</v>
      </c>
      <c r="R5274" s="88" t="e">
        <f>-IF(Tabla14[[#This Row],[DIAS HABILES O MORA]]&lt;0,(Tabla14[[#This Row],[VALOR PRESTAMO]]*Tabla14[[#This Row],[% INTERES ]]/30*U5274))+Tabla14[[#This Row],[VALOR CUOTAS]]</f>
        <v>#VALUE!</v>
      </c>
      <c r="S5274" s="88">
        <f>-IF(Tabla14[[#This Row],[DIAS HABILES O MORA]]&lt;0,(Tabla14[[#This Row],[VALOR PRESTAMO]]*Tabla14[[#This Row],[% INTERES ]]/30*U5274))</f>
        <v>0</v>
      </c>
      <c r="T5274" s="53" t="e">
        <f>Tabla14[[#This Row],[DEUDA CAPITAL]]+Tabla14[[#This Row],[INTERES  CUOTA]]</f>
        <v>#NUM!</v>
      </c>
      <c r="U5274" s="61" t="str">
        <f t="shared" si="839"/>
        <v/>
      </c>
    </row>
    <row r="5275" spans="9:21" ht="24.75" customHeight="1" x14ac:dyDescent="0.35">
      <c r="I5275" s="42">
        <f t="shared" si="830"/>
        <v>0</v>
      </c>
      <c r="J5275" s="65" t="e">
        <f t="shared" si="831"/>
        <v>#NUM!</v>
      </c>
      <c r="K5275" s="83" t="e">
        <f t="shared" si="832"/>
        <v>#NUM!</v>
      </c>
      <c r="L5275" s="83">
        <f t="shared" si="833"/>
        <v>0</v>
      </c>
      <c r="M5275" s="110" t="str">
        <f t="shared" si="834"/>
        <v/>
      </c>
      <c r="N5275" s="51" t="str">
        <f t="shared" si="835"/>
        <v/>
      </c>
      <c r="O5275" s="52" t="str">
        <f t="shared" si="836"/>
        <v/>
      </c>
      <c r="P5275" s="88">
        <f t="shared" si="837"/>
        <v>0</v>
      </c>
      <c r="Q5275" s="88">
        <f t="shared" si="838"/>
        <v>0</v>
      </c>
      <c r="R5275" s="88" t="e">
        <f>-IF(Tabla14[[#This Row],[DIAS HABILES O MORA]]&lt;0,(Tabla14[[#This Row],[VALOR PRESTAMO]]*Tabla14[[#This Row],[% INTERES ]]/30*U5275))+Tabla14[[#This Row],[VALOR CUOTAS]]</f>
        <v>#VALUE!</v>
      </c>
      <c r="S5275" s="88">
        <f>-IF(Tabla14[[#This Row],[DIAS HABILES O MORA]]&lt;0,(Tabla14[[#This Row],[VALOR PRESTAMO]]*Tabla14[[#This Row],[% INTERES ]]/30*U5275))</f>
        <v>0</v>
      </c>
      <c r="T5275" s="53" t="e">
        <f>Tabla14[[#This Row],[DEUDA CAPITAL]]+Tabla14[[#This Row],[INTERES  CUOTA]]</f>
        <v>#NUM!</v>
      </c>
      <c r="U5275" s="61" t="str">
        <f t="shared" si="839"/>
        <v/>
      </c>
    </row>
    <row r="5276" spans="9:21" ht="24.75" customHeight="1" x14ac:dyDescent="0.35">
      <c r="I5276" s="42">
        <f t="shared" si="830"/>
        <v>0</v>
      </c>
      <c r="J5276" s="65" t="e">
        <f t="shared" si="831"/>
        <v>#NUM!</v>
      </c>
      <c r="K5276" s="83" t="e">
        <f t="shared" si="832"/>
        <v>#NUM!</v>
      </c>
      <c r="L5276" s="83">
        <f t="shared" si="833"/>
        <v>0</v>
      </c>
      <c r="M5276" s="110" t="str">
        <f t="shared" si="834"/>
        <v/>
      </c>
      <c r="N5276" s="51" t="str">
        <f t="shared" si="835"/>
        <v/>
      </c>
      <c r="O5276" s="52" t="str">
        <f t="shared" si="836"/>
        <v/>
      </c>
      <c r="P5276" s="88">
        <f t="shared" si="837"/>
        <v>0</v>
      </c>
      <c r="Q5276" s="88">
        <f t="shared" si="838"/>
        <v>0</v>
      </c>
      <c r="R5276" s="88" t="e">
        <f>-IF(Tabla14[[#This Row],[DIAS HABILES O MORA]]&lt;0,(Tabla14[[#This Row],[VALOR PRESTAMO]]*Tabla14[[#This Row],[% INTERES ]]/30*U5276))+Tabla14[[#This Row],[VALOR CUOTAS]]</f>
        <v>#VALUE!</v>
      </c>
      <c r="S5276" s="88">
        <f>-IF(Tabla14[[#This Row],[DIAS HABILES O MORA]]&lt;0,(Tabla14[[#This Row],[VALOR PRESTAMO]]*Tabla14[[#This Row],[% INTERES ]]/30*U5276))</f>
        <v>0</v>
      </c>
      <c r="T5276" s="53" t="e">
        <f>Tabla14[[#This Row],[DEUDA CAPITAL]]+Tabla14[[#This Row],[INTERES  CUOTA]]</f>
        <v>#NUM!</v>
      </c>
      <c r="U5276" s="61" t="str">
        <f t="shared" si="839"/>
        <v/>
      </c>
    </row>
    <row r="5277" spans="9:21" ht="24.75" customHeight="1" x14ac:dyDescent="0.35">
      <c r="I5277" s="42">
        <f t="shared" si="830"/>
        <v>0</v>
      </c>
      <c r="J5277" s="65" t="e">
        <f t="shared" si="831"/>
        <v>#NUM!</v>
      </c>
      <c r="K5277" s="83" t="e">
        <f t="shared" si="832"/>
        <v>#NUM!</v>
      </c>
      <c r="L5277" s="83">
        <f t="shared" si="833"/>
        <v>0</v>
      </c>
      <c r="M5277" s="110" t="str">
        <f t="shared" si="834"/>
        <v/>
      </c>
      <c r="N5277" s="51" t="str">
        <f t="shared" si="835"/>
        <v/>
      </c>
      <c r="O5277" s="52" t="str">
        <f t="shared" si="836"/>
        <v/>
      </c>
      <c r="P5277" s="88">
        <f t="shared" si="837"/>
        <v>0</v>
      </c>
      <c r="Q5277" s="88">
        <f t="shared" si="838"/>
        <v>0</v>
      </c>
      <c r="R5277" s="88" t="e">
        <f>-IF(Tabla14[[#This Row],[DIAS HABILES O MORA]]&lt;0,(Tabla14[[#This Row],[VALOR PRESTAMO]]*Tabla14[[#This Row],[% INTERES ]]/30*U5277))+Tabla14[[#This Row],[VALOR CUOTAS]]</f>
        <v>#VALUE!</v>
      </c>
      <c r="S5277" s="88">
        <f>-IF(Tabla14[[#This Row],[DIAS HABILES O MORA]]&lt;0,(Tabla14[[#This Row],[VALOR PRESTAMO]]*Tabla14[[#This Row],[% INTERES ]]/30*U5277))</f>
        <v>0</v>
      </c>
      <c r="T5277" s="53" t="e">
        <f>Tabla14[[#This Row],[DEUDA CAPITAL]]+Tabla14[[#This Row],[INTERES  CUOTA]]</f>
        <v>#NUM!</v>
      </c>
      <c r="U5277" s="61" t="str">
        <f t="shared" si="839"/>
        <v/>
      </c>
    </row>
    <row r="5278" spans="9:21" ht="24.75" customHeight="1" x14ac:dyDescent="0.35">
      <c r="I5278" s="42">
        <f t="shared" si="830"/>
        <v>0</v>
      </c>
      <c r="J5278" s="65" t="e">
        <f t="shared" si="831"/>
        <v>#NUM!</v>
      </c>
      <c r="K5278" s="83" t="e">
        <f t="shared" si="832"/>
        <v>#NUM!</v>
      </c>
      <c r="L5278" s="83">
        <f t="shared" si="833"/>
        <v>0</v>
      </c>
      <c r="M5278" s="110" t="str">
        <f t="shared" si="834"/>
        <v/>
      </c>
      <c r="N5278" s="51" t="str">
        <f t="shared" si="835"/>
        <v/>
      </c>
      <c r="O5278" s="52" t="str">
        <f t="shared" si="836"/>
        <v/>
      </c>
      <c r="P5278" s="88">
        <f t="shared" si="837"/>
        <v>0</v>
      </c>
      <c r="Q5278" s="88">
        <f t="shared" si="838"/>
        <v>0</v>
      </c>
      <c r="R5278" s="88" t="e">
        <f>-IF(Tabla14[[#This Row],[DIAS HABILES O MORA]]&lt;0,(Tabla14[[#This Row],[VALOR PRESTAMO]]*Tabla14[[#This Row],[% INTERES ]]/30*U5278))+Tabla14[[#This Row],[VALOR CUOTAS]]</f>
        <v>#VALUE!</v>
      </c>
      <c r="S5278" s="88">
        <f>-IF(Tabla14[[#This Row],[DIAS HABILES O MORA]]&lt;0,(Tabla14[[#This Row],[VALOR PRESTAMO]]*Tabla14[[#This Row],[% INTERES ]]/30*U5278))</f>
        <v>0</v>
      </c>
      <c r="T5278" s="53" t="e">
        <f>Tabla14[[#This Row],[DEUDA CAPITAL]]+Tabla14[[#This Row],[INTERES  CUOTA]]</f>
        <v>#NUM!</v>
      </c>
      <c r="U5278" s="61" t="str">
        <f t="shared" si="839"/>
        <v/>
      </c>
    </row>
    <row r="5279" spans="9:21" ht="24.75" customHeight="1" x14ac:dyDescent="0.35">
      <c r="I5279" s="42">
        <f t="shared" si="830"/>
        <v>0</v>
      </c>
      <c r="J5279" s="65" t="e">
        <f t="shared" si="831"/>
        <v>#NUM!</v>
      </c>
      <c r="K5279" s="83" t="e">
        <f t="shared" si="832"/>
        <v>#NUM!</v>
      </c>
      <c r="L5279" s="83">
        <f t="shared" si="833"/>
        <v>0</v>
      </c>
      <c r="M5279" s="110" t="str">
        <f t="shared" si="834"/>
        <v/>
      </c>
      <c r="N5279" s="51" t="str">
        <f t="shared" si="835"/>
        <v/>
      </c>
      <c r="O5279" s="52" t="str">
        <f t="shared" si="836"/>
        <v/>
      </c>
      <c r="P5279" s="88">
        <f t="shared" si="837"/>
        <v>0</v>
      </c>
      <c r="Q5279" s="88">
        <f t="shared" si="838"/>
        <v>0</v>
      </c>
      <c r="R5279" s="88" t="e">
        <f>-IF(Tabla14[[#This Row],[DIAS HABILES O MORA]]&lt;0,(Tabla14[[#This Row],[VALOR PRESTAMO]]*Tabla14[[#This Row],[% INTERES ]]/30*U5279))+Tabla14[[#This Row],[VALOR CUOTAS]]</f>
        <v>#VALUE!</v>
      </c>
      <c r="S5279" s="88">
        <f>-IF(Tabla14[[#This Row],[DIAS HABILES O MORA]]&lt;0,(Tabla14[[#This Row],[VALOR PRESTAMO]]*Tabla14[[#This Row],[% INTERES ]]/30*U5279))</f>
        <v>0</v>
      </c>
      <c r="T5279" s="53" t="e">
        <f>Tabla14[[#This Row],[DEUDA CAPITAL]]+Tabla14[[#This Row],[INTERES  CUOTA]]</f>
        <v>#NUM!</v>
      </c>
      <c r="U5279" s="61" t="str">
        <f t="shared" si="839"/>
        <v/>
      </c>
    </row>
    <row r="5280" spans="9:21" ht="24.75" customHeight="1" x14ac:dyDescent="0.35">
      <c r="I5280" s="42">
        <f t="shared" si="830"/>
        <v>0</v>
      </c>
      <c r="J5280" s="65" t="e">
        <f t="shared" si="831"/>
        <v>#NUM!</v>
      </c>
      <c r="K5280" s="83" t="e">
        <f t="shared" si="832"/>
        <v>#NUM!</v>
      </c>
      <c r="L5280" s="83">
        <f t="shared" si="833"/>
        <v>0</v>
      </c>
      <c r="M5280" s="110" t="str">
        <f t="shared" si="834"/>
        <v/>
      </c>
      <c r="N5280" s="51" t="str">
        <f t="shared" si="835"/>
        <v/>
      </c>
      <c r="O5280" s="52" t="str">
        <f t="shared" si="836"/>
        <v/>
      </c>
      <c r="P5280" s="88">
        <f t="shared" si="837"/>
        <v>0</v>
      </c>
      <c r="Q5280" s="88">
        <f t="shared" si="838"/>
        <v>0</v>
      </c>
      <c r="R5280" s="88" t="e">
        <f>-IF(Tabla14[[#This Row],[DIAS HABILES O MORA]]&lt;0,(Tabla14[[#This Row],[VALOR PRESTAMO]]*Tabla14[[#This Row],[% INTERES ]]/30*U5280))+Tabla14[[#This Row],[VALOR CUOTAS]]</f>
        <v>#VALUE!</v>
      </c>
      <c r="S5280" s="88">
        <f>-IF(Tabla14[[#This Row],[DIAS HABILES O MORA]]&lt;0,(Tabla14[[#This Row],[VALOR PRESTAMO]]*Tabla14[[#This Row],[% INTERES ]]/30*U5280))</f>
        <v>0</v>
      </c>
      <c r="T5280" s="53" t="e">
        <f>Tabla14[[#This Row],[DEUDA CAPITAL]]+Tabla14[[#This Row],[INTERES  CUOTA]]</f>
        <v>#NUM!</v>
      </c>
      <c r="U5280" s="61" t="str">
        <f t="shared" si="839"/>
        <v/>
      </c>
    </row>
    <row r="5281" spans="9:21" ht="24.75" customHeight="1" x14ac:dyDescent="0.35">
      <c r="I5281" s="42">
        <f t="shared" si="830"/>
        <v>0</v>
      </c>
      <c r="J5281" s="65" t="e">
        <f t="shared" si="831"/>
        <v>#NUM!</v>
      </c>
      <c r="K5281" s="83" t="e">
        <f t="shared" si="832"/>
        <v>#NUM!</v>
      </c>
      <c r="L5281" s="83">
        <f t="shared" si="833"/>
        <v>0</v>
      </c>
      <c r="M5281" s="110" t="str">
        <f t="shared" si="834"/>
        <v/>
      </c>
      <c r="N5281" s="51" t="str">
        <f t="shared" si="835"/>
        <v/>
      </c>
      <c r="O5281" s="52" t="str">
        <f t="shared" si="836"/>
        <v/>
      </c>
      <c r="P5281" s="88">
        <f t="shared" si="837"/>
        <v>0</v>
      </c>
      <c r="Q5281" s="88">
        <f t="shared" si="838"/>
        <v>0</v>
      </c>
      <c r="R5281" s="88" t="e">
        <f>-IF(Tabla14[[#This Row],[DIAS HABILES O MORA]]&lt;0,(Tabla14[[#This Row],[VALOR PRESTAMO]]*Tabla14[[#This Row],[% INTERES ]]/30*U5281))+Tabla14[[#This Row],[VALOR CUOTAS]]</f>
        <v>#VALUE!</v>
      </c>
      <c r="S5281" s="88">
        <f>-IF(Tabla14[[#This Row],[DIAS HABILES O MORA]]&lt;0,(Tabla14[[#This Row],[VALOR PRESTAMO]]*Tabla14[[#This Row],[% INTERES ]]/30*U5281))</f>
        <v>0</v>
      </c>
      <c r="T5281" s="53" t="e">
        <f>Tabla14[[#This Row],[DEUDA CAPITAL]]+Tabla14[[#This Row],[INTERES  CUOTA]]</f>
        <v>#NUM!</v>
      </c>
      <c r="U5281" s="61" t="str">
        <f t="shared" si="839"/>
        <v/>
      </c>
    </row>
    <row r="5282" spans="9:21" ht="24.75" customHeight="1" x14ac:dyDescent="0.35">
      <c r="I5282" s="42">
        <f t="shared" si="830"/>
        <v>0</v>
      </c>
      <c r="J5282" s="65" t="e">
        <f t="shared" si="831"/>
        <v>#NUM!</v>
      </c>
      <c r="K5282" s="83" t="e">
        <f t="shared" si="832"/>
        <v>#NUM!</v>
      </c>
      <c r="L5282" s="83">
        <f t="shared" si="833"/>
        <v>0</v>
      </c>
      <c r="M5282" s="110" t="str">
        <f t="shared" si="834"/>
        <v/>
      </c>
      <c r="N5282" s="51" t="str">
        <f t="shared" si="835"/>
        <v/>
      </c>
      <c r="O5282" s="52" t="str">
        <f t="shared" si="836"/>
        <v/>
      </c>
      <c r="P5282" s="88">
        <f t="shared" si="837"/>
        <v>0</v>
      </c>
      <c r="Q5282" s="88">
        <f t="shared" si="838"/>
        <v>0</v>
      </c>
      <c r="R5282" s="88" t="e">
        <f>-IF(Tabla14[[#This Row],[DIAS HABILES O MORA]]&lt;0,(Tabla14[[#This Row],[VALOR PRESTAMO]]*Tabla14[[#This Row],[% INTERES ]]/30*U5282))+Tabla14[[#This Row],[VALOR CUOTAS]]</f>
        <v>#VALUE!</v>
      </c>
      <c r="S5282" s="88">
        <f>-IF(Tabla14[[#This Row],[DIAS HABILES O MORA]]&lt;0,(Tabla14[[#This Row],[VALOR PRESTAMO]]*Tabla14[[#This Row],[% INTERES ]]/30*U5282))</f>
        <v>0</v>
      </c>
      <c r="T5282" s="53" t="e">
        <f>Tabla14[[#This Row],[DEUDA CAPITAL]]+Tabla14[[#This Row],[INTERES  CUOTA]]</f>
        <v>#NUM!</v>
      </c>
      <c r="U5282" s="61" t="str">
        <f t="shared" si="839"/>
        <v/>
      </c>
    </row>
    <row r="5283" spans="9:21" ht="24.75" customHeight="1" x14ac:dyDescent="0.35">
      <c r="I5283" s="42">
        <f t="shared" si="830"/>
        <v>0</v>
      </c>
      <c r="J5283" s="65" t="e">
        <f t="shared" si="831"/>
        <v>#NUM!</v>
      </c>
      <c r="K5283" s="83" t="e">
        <f t="shared" si="832"/>
        <v>#NUM!</v>
      </c>
      <c r="L5283" s="83">
        <f t="shared" si="833"/>
        <v>0</v>
      </c>
      <c r="M5283" s="110" t="str">
        <f t="shared" si="834"/>
        <v/>
      </c>
      <c r="N5283" s="51" t="str">
        <f t="shared" si="835"/>
        <v/>
      </c>
      <c r="O5283" s="52" t="str">
        <f t="shared" si="836"/>
        <v/>
      </c>
      <c r="P5283" s="88">
        <f t="shared" si="837"/>
        <v>0</v>
      </c>
      <c r="Q5283" s="88">
        <f t="shared" si="838"/>
        <v>0</v>
      </c>
      <c r="R5283" s="88" t="e">
        <f>-IF(Tabla14[[#This Row],[DIAS HABILES O MORA]]&lt;0,(Tabla14[[#This Row],[VALOR PRESTAMO]]*Tabla14[[#This Row],[% INTERES ]]/30*U5283))+Tabla14[[#This Row],[VALOR CUOTAS]]</f>
        <v>#VALUE!</v>
      </c>
      <c r="S5283" s="88">
        <f>-IF(Tabla14[[#This Row],[DIAS HABILES O MORA]]&lt;0,(Tabla14[[#This Row],[VALOR PRESTAMO]]*Tabla14[[#This Row],[% INTERES ]]/30*U5283))</f>
        <v>0</v>
      </c>
      <c r="T5283" s="53" t="e">
        <f>Tabla14[[#This Row],[DEUDA CAPITAL]]+Tabla14[[#This Row],[INTERES  CUOTA]]</f>
        <v>#NUM!</v>
      </c>
      <c r="U5283" s="61" t="str">
        <f t="shared" si="839"/>
        <v/>
      </c>
    </row>
    <row r="5284" spans="9:21" ht="24.75" customHeight="1" x14ac:dyDescent="0.35">
      <c r="I5284" s="42">
        <f t="shared" si="830"/>
        <v>0</v>
      </c>
      <c r="J5284" s="65" t="e">
        <f t="shared" si="831"/>
        <v>#NUM!</v>
      </c>
      <c r="K5284" s="83" t="e">
        <f t="shared" si="832"/>
        <v>#NUM!</v>
      </c>
      <c r="L5284" s="83">
        <f t="shared" si="833"/>
        <v>0</v>
      </c>
      <c r="M5284" s="110" t="str">
        <f t="shared" si="834"/>
        <v/>
      </c>
      <c r="N5284" s="51" t="str">
        <f t="shared" si="835"/>
        <v/>
      </c>
      <c r="O5284" s="52" t="str">
        <f t="shared" si="836"/>
        <v/>
      </c>
      <c r="P5284" s="88">
        <f t="shared" si="837"/>
        <v>0</v>
      </c>
      <c r="Q5284" s="88">
        <f t="shared" si="838"/>
        <v>0</v>
      </c>
      <c r="R5284" s="88" t="e">
        <f>-IF(Tabla14[[#This Row],[DIAS HABILES O MORA]]&lt;0,(Tabla14[[#This Row],[VALOR PRESTAMO]]*Tabla14[[#This Row],[% INTERES ]]/30*U5284))+Tabla14[[#This Row],[VALOR CUOTAS]]</f>
        <v>#VALUE!</v>
      </c>
      <c r="S5284" s="88">
        <f>-IF(Tabla14[[#This Row],[DIAS HABILES O MORA]]&lt;0,(Tabla14[[#This Row],[VALOR PRESTAMO]]*Tabla14[[#This Row],[% INTERES ]]/30*U5284))</f>
        <v>0</v>
      </c>
      <c r="T5284" s="53" t="e">
        <f>Tabla14[[#This Row],[DEUDA CAPITAL]]+Tabla14[[#This Row],[INTERES  CUOTA]]</f>
        <v>#NUM!</v>
      </c>
      <c r="U5284" s="61" t="str">
        <f t="shared" si="839"/>
        <v/>
      </c>
    </row>
    <row r="5285" spans="9:21" ht="24.75" customHeight="1" x14ac:dyDescent="0.35">
      <c r="I5285" s="42">
        <f t="shared" si="830"/>
        <v>0</v>
      </c>
      <c r="J5285" s="65" t="e">
        <f t="shared" si="831"/>
        <v>#NUM!</v>
      </c>
      <c r="K5285" s="83" t="e">
        <f t="shared" si="832"/>
        <v>#NUM!</v>
      </c>
      <c r="L5285" s="83">
        <f t="shared" si="833"/>
        <v>0</v>
      </c>
      <c r="M5285" s="110" t="str">
        <f t="shared" si="834"/>
        <v/>
      </c>
      <c r="N5285" s="51" t="str">
        <f t="shared" si="835"/>
        <v/>
      </c>
      <c r="O5285" s="52" t="str">
        <f t="shared" si="836"/>
        <v/>
      </c>
      <c r="P5285" s="88">
        <f t="shared" si="837"/>
        <v>0</v>
      </c>
      <c r="Q5285" s="88">
        <f t="shared" si="838"/>
        <v>0</v>
      </c>
      <c r="R5285" s="88" t="e">
        <f>-IF(Tabla14[[#This Row],[DIAS HABILES O MORA]]&lt;0,(Tabla14[[#This Row],[VALOR PRESTAMO]]*Tabla14[[#This Row],[% INTERES ]]/30*U5285))+Tabla14[[#This Row],[VALOR CUOTAS]]</f>
        <v>#VALUE!</v>
      </c>
      <c r="S5285" s="88">
        <f>-IF(Tabla14[[#This Row],[DIAS HABILES O MORA]]&lt;0,(Tabla14[[#This Row],[VALOR PRESTAMO]]*Tabla14[[#This Row],[% INTERES ]]/30*U5285))</f>
        <v>0</v>
      </c>
      <c r="T5285" s="53" t="e">
        <f>Tabla14[[#This Row],[DEUDA CAPITAL]]+Tabla14[[#This Row],[INTERES  CUOTA]]</f>
        <v>#NUM!</v>
      </c>
      <c r="U5285" s="61" t="str">
        <f t="shared" si="839"/>
        <v/>
      </c>
    </row>
    <row r="5286" spans="9:21" ht="24.75" customHeight="1" x14ac:dyDescent="0.35">
      <c r="I5286" s="42">
        <f t="shared" si="830"/>
        <v>0</v>
      </c>
      <c r="J5286" s="65" t="e">
        <f t="shared" si="831"/>
        <v>#NUM!</v>
      </c>
      <c r="K5286" s="83" t="e">
        <f t="shared" si="832"/>
        <v>#NUM!</v>
      </c>
      <c r="L5286" s="83">
        <f t="shared" si="833"/>
        <v>0</v>
      </c>
      <c r="M5286" s="110" t="str">
        <f t="shared" si="834"/>
        <v/>
      </c>
      <c r="N5286" s="51" t="str">
        <f t="shared" si="835"/>
        <v/>
      </c>
      <c r="O5286" s="52" t="str">
        <f t="shared" si="836"/>
        <v/>
      </c>
      <c r="P5286" s="88">
        <f t="shared" si="837"/>
        <v>0</v>
      </c>
      <c r="Q5286" s="88">
        <f t="shared" si="838"/>
        <v>0</v>
      </c>
      <c r="R5286" s="88" t="e">
        <f>-IF(Tabla14[[#This Row],[DIAS HABILES O MORA]]&lt;0,(Tabla14[[#This Row],[VALOR PRESTAMO]]*Tabla14[[#This Row],[% INTERES ]]/30*U5286))+Tabla14[[#This Row],[VALOR CUOTAS]]</f>
        <v>#VALUE!</v>
      </c>
      <c r="S5286" s="88">
        <f>-IF(Tabla14[[#This Row],[DIAS HABILES O MORA]]&lt;0,(Tabla14[[#This Row],[VALOR PRESTAMO]]*Tabla14[[#This Row],[% INTERES ]]/30*U5286))</f>
        <v>0</v>
      </c>
      <c r="T5286" s="53" t="e">
        <f>Tabla14[[#This Row],[DEUDA CAPITAL]]+Tabla14[[#This Row],[INTERES  CUOTA]]</f>
        <v>#NUM!</v>
      </c>
      <c r="U5286" s="61" t="str">
        <f t="shared" si="839"/>
        <v/>
      </c>
    </row>
    <row r="5287" spans="9:21" ht="24.75" customHeight="1" x14ac:dyDescent="0.35">
      <c r="I5287" s="42">
        <f t="shared" si="830"/>
        <v>0</v>
      </c>
      <c r="J5287" s="65" t="e">
        <f t="shared" si="831"/>
        <v>#NUM!</v>
      </c>
      <c r="K5287" s="83" t="e">
        <f t="shared" si="832"/>
        <v>#NUM!</v>
      </c>
      <c r="L5287" s="83">
        <f t="shared" si="833"/>
        <v>0</v>
      </c>
      <c r="M5287" s="110" t="str">
        <f t="shared" si="834"/>
        <v/>
      </c>
      <c r="N5287" s="51" t="str">
        <f t="shared" si="835"/>
        <v/>
      </c>
      <c r="O5287" s="52" t="str">
        <f t="shared" si="836"/>
        <v/>
      </c>
      <c r="P5287" s="88">
        <f t="shared" si="837"/>
        <v>0</v>
      </c>
      <c r="Q5287" s="88">
        <f t="shared" si="838"/>
        <v>0</v>
      </c>
      <c r="R5287" s="88" t="e">
        <f>-IF(Tabla14[[#This Row],[DIAS HABILES O MORA]]&lt;0,(Tabla14[[#This Row],[VALOR PRESTAMO]]*Tabla14[[#This Row],[% INTERES ]]/30*U5287))+Tabla14[[#This Row],[VALOR CUOTAS]]</f>
        <v>#VALUE!</v>
      </c>
      <c r="S5287" s="88">
        <f>-IF(Tabla14[[#This Row],[DIAS HABILES O MORA]]&lt;0,(Tabla14[[#This Row],[VALOR PRESTAMO]]*Tabla14[[#This Row],[% INTERES ]]/30*U5287))</f>
        <v>0</v>
      </c>
      <c r="T5287" s="53" t="e">
        <f>Tabla14[[#This Row],[DEUDA CAPITAL]]+Tabla14[[#This Row],[INTERES  CUOTA]]</f>
        <v>#NUM!</v>
      </c>
      <c r="U5287" s="61" t="str">
        <f t="shared" si="839"/>
        <v/>
      </c>
    </row>
    <row r="5288" spans="9:21" ht="24.75" customHeight="1" x14ac:dyDescent="0.35">
      <c r="I5288" s="42">
        <f t="shared" si="830"/>
        <v>0</v>
      </c>
      <c r="J5288" s="65" t="e">
        <f t="shared" si="831"/>
        <v>#NUM!</v>
      </c>
      <c r="K5288" s="83" t="e">
        <f t="shared" si="832"/>
        <v>#NUM!</v>
      </c>
      <c r="L5288" s="83">
        <f t="shared" si="833"/>
        <v>0</v>
      </c>
      <c r="M5288" s="110" t="str">
        <f t="shared" si="834"/>
        <v/>
      </c>
      <c r="N5288" s="51" t="str">
        <f t="shared" si="835"/>
        <v/>
      </c>
      <c r="O5288" s="52" t="str">
        <f t="shared" si="836"/>
        <v/>
      </c>
      <c r="P5288" s="88">
        <f t="shared" si="837"/>
        <v>0</v>
      </c>
      <c r="Q5288" s="88">
        <f t="shared" si="838"/>
        <v>0</v>
      </c>
      <c r="R5288" s="88" t="e">
        <f>-IF(Tabla14[[#This Row],[DIAS HABILES O MORA]]&lt;0,(Tabla14[[#This Row],[VALOR PRESTAMO]]*Tabla14[[#This Row],[% INTERES ]]/30*U5288))+Tabla14[[#This Row],[VALOR CUOTAS]]</f>
        <v>#VALUE!</v>
      </c>
      <c r="S5288" s="88">
        <f>-IF(Tabla14[[#This Row],[DIAS HABILES O MORA]]&lt;0,(Tabla14[[#This Row],[VALOR PRESTAMO]]*Tabla14[[#This Row],[% INTERES ]]/30*U5288))</f>
        <v>0</v>
      </c>
      <c r="T5288" s="53" t="e">
        <f>Tabla14[[#This Row],[DEUDA CAPITAL]]+Tabla14[[#This Row],[INTERES  CUOTA]]</f>
        <v>#NUM!</v>
      </c>
      <c r="U5288" s="61" t="str">
        <f t="shared" si="839"/>
        <v/>
      </c>
    </row>
    <row r="5289" spans="9:21" ht="24.75" customHeight="1" x14ac:dyDescent="0.35">
      <c r="I5289" s="42">
        <f t="shared" si="830"/>
        <v>0</v>
      </c>
      <c r="J5289" s="65" t="e">
        <f t="shared" si="831"/>
        <v>#NUM!</v>
      </c>
      <c r="K5289" s="83" t="e">
        <f t="shared" si="832"/>
        <v>#NUM!</v>
      </c>
      <c r="L5289" s="83">
        <f t="shared" si="833"/>
        <v>0</v>
      </c>
      <c r="M5289" s="110" t="str">
        <f t="shared" si="834"/>
        <v/>
      </c>
      <c r="N5289" s="51" t="str">
        <f t="shared" si="835"/>
        <v/>
      </c>
      <c r="O5289" s="52" t="str">
        <f t="shared" si="836"/>
        <v/>
      </c>
      <c r="P5289" s="88">
        <f t="shared" si="837"/>
        <v>0</v>
      </c>
      <c r="Q5289" s="88">
        <f t="shared" si="838"/>
        <v>0</v>
      </c>
      <c r="R5289" s="88" t="e">
        <f>-IF(Tabla14[[#This Row],[DIAS HABILES O MORA]]&lt;0,(Tabla14[[#This Row],[VALOR PRESTAMO]]*Tabla14[[#This Row],[% INTERES ]]/30*U5289))+Tabla14[[#This Row],[VALOR CUOTAS]]</f>
        <v>#VALUE!</v>
      </c>
      <c r="S5289" s="88">
        <f>-IF(Tabla14[[#This Row],[DIAS HABILES O MORA]]&lt;0,(Tabla14[[#This Row],[VALOR PRESTAMO]]*Tabla14[[#This Row],[% INTERES ]]/30*U5289))</f>
        <v>0</v>
      </c>
      <c r="T5289" s="53" t="e">
        <f>Tabla14[[#This Row],[DEUDA CAPITAL]]+Tabla14[[#This Row],[INTERES  CUOTA]]</f>
        <v>#NUM!</v>
      </c>
      <c r="U5289" s="61" t="str">
        <f t="shared" si="839"/>
        <v/>
      </c>
    </row>
    <row r="5290" spans="9:21" ht="24.75" customHeight="1" x14ac:dyDescent="0.35">
      <c r="I5290" s="42">
        <f t="shared" si="830"/>
        <v>0</v>
      </c>
      <c r="J5290" s="65" t="e">
        <f t="shared" si="831"/>
        <v>#NUM!</v>
      </c>
      <c r="K5290" s="83" t="e">
        <f t="shared" si="832"/>
        <v>#NUM!</v>
      </c>
      <c r="L5290" s="83">
        <f t="shared" si="833"/>
        <v>0</v>
      </c>
      <c r="M5290" s="110" t="str">
        <f t="shared" si="834"/>
        <v/>
      </c>
      <c r="N5290" s="51" t="str">
        <f t="shared" si="835"/>
        <v/>
      </c>
      <c r="O5290" s="52" t="str">
        <f t="shared" si="836"/>
        <v/>
      </c>
      <c r="P5290" s="88">
        <f t="shared" si="837"/>
        <v>0</v>
      </c>
      <c r="Q5290" s="88">
        <f t="shared" si="838"/>
        <v>0</v>
      </c>
      <c r="R5290" s="88" t="e">
        <f>-IF(Tabla14[[#This Row],[DIAS HABILES O MORA]]&lt;0,(Tabla14[[#This Row],[VALOR PRESTAMO]]*Tabla14[[#This Row],[% INTERES ]]/30*U5290))+Tabla14[[#This Row],[VALOR CUOTAS]]</f>
        <v>#VALUE!</v>
      </c>
      <c r="S5290" s="88">
        <f>-IF(Tabla14[[#This Row],[DIAS HABILES O MORA]]&lt;0,(Tabla14[[#This Row],[VALOR PRESTAMO]]*Tabla14[[#This Row],[% INTERES ]]/30*U5290))</f>
        <v>0</v>
      </c>
      <c r="T5290" s="53" t="e">
        <f>Tabla14[[#This Row],[DEUDA CAPITAL]]+Tabla14[[#This Row],[INTERES  CUOTA]]</f>
        <v>#NUM!</v>
      </c>
      <c r="U5290" s="61" t="str">
        <f t="shared" si="839"/>
        <v/>
      </c>
    </row>
    <row r="5291" spans="9:21" ht="24.75" customHeight="1" x14ac:dyDescent="0.35">
      <c r="I5291" s="42">
        <f t="shared" si="830"/>
        <v>0</v>
      </c>
      <c r="J5291" s="65" t="e">
        <f t="shared" si="831"/>
        <v>#NUM!</v>
      </c>
      <c r="K5291" s="83" t="e">
        <f t="shared" si="832"/>
        <v>#NUM!</v>
      </c>
      <c r="L5291" s="83">
        <f t="shared" si="833"/>
        <v>0</v>
      </c>
      <c r="M5291" s="110" t="str">
        <f t="shared" si="834"/>
        <v/>
      </c>
      <c r="N5291" s="51" t="str">
        <f t="shared" si="835"/>
        <v/>
      </c>
      <c r="O5291" s="52" t="str">
        <f t="shared" si="836"/>
        <v/>
      </c>
      <c r="P5291" s="88">
        <f t="shared" si="837"/>
        <v>0</v>
      </c>
      <c r="Q5291" s="88">
        <f t="shared" si="838"/>
        <v>0</v>
      </c>
      <c r="R5291" s="88" t="e">
        <f>-IF(Tabla14[[#This Row],[DIAS HABILES O MORA]]&lt;0,(Tabla14[[#This Row],[VALOR PRESTAMO]]*Tabla14[[#This Row],[% INTERES ]]/30*U5291))+Tabla14[[#This Row],[VALOR CUOTAS]]</f>
        <v>#VALUE!</v>
      </c>
      <c r="S5291" s="88">
        <f>-IF(Tabla14[[#This Row],[DIAS HABILES O MORA]]&lt;0,(Tabla14[[#This Row],[VALOR PRESTAMO]]*Tabla14[[#This Row],[% INTERES ]]/30*U5291))</f>
        <v>0</v>
      </c>
      <c r="T5291" s="53" t="e">
        <f>Tabla14[[#This Row],[DEUDA CAPITAL]]+Tabla14[[#This Row],[INTERES  CUOTA]]</f>
        <v>#NUM!</v>
      </c>
      <c r="U5291" s="61" t="str">
        <f t="shared" si="839"/>
        <v/>
      </c>
    </row>
    <row r="5292" spans="9:21" ht="24.75" customHeight="1" x14ac:dyDescent="0.35">
      <c r="I5292" s="42">
        <f t="shared" si="830"/>
        <v>0</v>
      </c>
      <c r="J5292" s="65" t="e">
        <f t="shared" si="831"/>
        <v>#NUM!</v>
      </c>
      <c r="K5292" s="83" t="e">
        <f t="shared" si="832"/>
        <v>#NUM!</v>
      </c>
      <c r="L5292" s="83">
        <f t="shared" si="833"/>
        <v>0</v>
      </c>
      <c r="M5292" s="110" t="str">
        <f t="shared" si="834"/>
        <v/>
      </c>
      <c r="N5292" s="51" t="str">
        <f t="shared" si="835"/>
        <v/>
      </c>
      <c r="O5292" s="52" t="str">
        <f t="shared" si="836"/>
        <v/>
      </c>
      <c r="P5292" s="88">
        <f t="shared" si="837"/>
        <v>0</v>
      </c>
      <c r="Q5292" s="88">
        <f t="shared" si="838"/>
        <v>0</v>
      </c>
      <c r="R5292" s="88" t="e">
        <f>-IF(Tabla14[[#This Row],[DIAS HABILES O MORA]]&lt;0,(Tabla14[[#This Row],[VALOR PRESTAMO]]*Tabla14[[#This Row],[% INTERES ]]/30*U5292))+Tabla14[[#This Row],[VALOR CUOTAS]]</f>
        <v>#VALUE!</v>
      </c>
      <c r="S5292" s="88">
        <f>-IF(Tabla14[[#This Row],[DIAS HABILES O MORA]]&lt;0,(Tabla14[[#This Row],[VALOR PRESTAMO]]*Tabla14[[#This Row],[% INTERES ]]/30*U5292))</f>
        <v>0</v>
      </c>
      <c r="T5292" s="53" t="e">
        <f>Tabla14[[#This Row],[DEUDA CAPITAL]]+Tabla14[[#This Row],[INTERES  CUOTA]]</f>
        <v>#NUM!</v>
      </c>
      <c r="U5292" s="61" t="str">
        <f t="shared" si="839"/>
        <v/>
      </c>
    </row>
    <row r="5293" spans="9:21" ht="24.75" customHeight="1" x14ac:dyDescent="0.35">
      <c r="I5293" s="42">
        <f t="shared" si="830"/>
        <v>0</v>
      </c>
      <c r="J5293" s="65" t="e">
        <f t="shared" si="831"/>
        <v>#NUM!</v>
      </c>
      <c r="K5293" s="83" t="e">
        <f t="shared" si="832"/>
        <v>#NUM!</v>
      </c>
      <c r="L5293" s="83">
        <f t="shared" si="833"/>
        <v>0</v>
      </c>
      <c r="M5293" s="110" t="str">
        <f t="shared" si="834"/>
        <v/>
      </c>
      <c r="N5293" s="51" t="str">
        <f t="shared" si="835"/>
        <v/>
      </c>
      <c r="O5293" s="52" t="str">
        <f t="shared" si="836"/>
        <v/>
      </c>
      <c r="P5293" s="88">
        <f t="shared" si="837"/>
        <v>0</v>
      </c>
      <c r="Q5293" s="88">
        <f t="shared" si="838"/>
        <v>0</v>
      </c>
      <c r="R5293" s="88" t="e">
        <f>-IF(Tabla14[[#This Row],[DIAS HABILES O MORA]]&lt;0,(Tabla14[[#This Row],[VALOR PRESTAMO]]*Tabla14[[#This Row],[% INTERES ]]/30*U5293))+Tabla14[[#This Row],[VALOR CUOTAS]]</f>
        <v>#VALUE!</v>
      </c>
      <c r="S5293" s="88">
        <f>-IF(Tabla14[[#This Row],[DIAS HABILES O MORA]]&lt;0,(Tabla14[[#This Row],[VALOR PRESTAMO]]*Tabla14[[#This Row],[% INTERES ]]/30*U5293))</f>
        <v>0</v>
      </c>
      <c r="T5293" s="53" t="e">
        <f>Tabla14[[#This Row],[DEUDA CAPITAL]]+Tabla14[[#This Row],[INTERES  CUOTA]]</f>
        <v>#NUM!</v>
      </c>
      <c r="U5293" s="61" t="str">
        <f t="shared" si="839"/>
        <v/>
      </c>
    </row>
    <row r="5294" spans="9:21" ht="24.75" customHeight="1" x14ac:dyDescent="0.35">
      <c r="I5294" s="42">
        <f t="shared" si="830"/>
        <v>0</v>
      </c>
      <c r="J5294" s="65" t="e">
        <f t="shared" si="831"/>
        <v>#NUM!</v>
      </c>
      <c r="K5294" s="83" t="e">
        <f t="shared" si="832"/>
        <v>#NUM!</v>
      </c>
      <c r="L5294" s="83">
        <f t="shared" si="833"/>
        <v>0</v>
      </c>
      <c r="M5294" s="110" t="str">
        <f t="shared" si="834"/>
        <v/>
      </c>
      <c r="N5294" s="51" t="str">
        <f t="shared" si="835"/>
        <v/>
      </c>
      <c r="O5294" s="52" t="str">
        <f t="shared" si="836"/>
        <v/>
      </c>
      <c r="P5294" s="88">
        <f t="shared" si="837"/>
        <v>0</v>
      </c>
      <c r="Q5294" s="88">
        <f t="shared" si="838"/>
        <v>0</v>
      </c>
      <c r="R5294" s="88" t="e">
        <f>-IF(Tabla14[[#This Row],[DIAS HABILES O MORA]]&lt;0,(Tabla14[[#This Row],[VALOR PRESTAMO]]*Tabla14[[#This Row],[% INTERES ]]/30*U5294))+Tabla14[[#This Row],[VALOR CUOTAS]]</f>
        <v>#VALUE!</v>
      </c>
      <c r="S5294" s="88">
        <f>-IF(Tabla14[[#This Row],[DIAS HABILES O MORA]]&lt;0,(Tabla14[[#This Row],[VALOR PRESTAMO]]*Tabla14[[#This Row],[% INTERES ]]/30*U5294))</f>
        <v>0</v>
      </c>
      <c r="T5294" s="53" t="e">
        <f>Tabla14[[#This Row],[DEUDA CAPITAL]]+Tabla14[[#This Row],[INTERES  CUOTA]]</f>
        <v>#NUM!</v>
      </c>
      <c r="U5294" s="61" t="str">
        <f t="shared" si="839"/>
        <v/>
      </c>
    </row>
    <row r="5295" spans="9:21" ht="24.75" customHeight="1" x14ac:dyDescent="0.35">
      <c r="I5295" s="42">
        <f t="shared" si="830"/>
        <v>0</v>
      </c>
      <c r="J5295" s="65" t="e">
        <f t="shared" si="831"/>
        <v>#NUM!</v>
      </c>
      <c r="K5295" s="83" t="e">
        <f t="shared" si="832"/>
        <v>#NUM!</v>
      </c>
      <c r="L5295" s="83">
        <f t="shared" si="833"/>
        <v>0</v>
      </c>
      <c r="M5295" s="110" t="str">
        <f t="shared" si="834"/>
        <v/>
      </c>
      <c r="N5295" s="51" t="str">
        <f t="shared" si="835"/>
        <v/>
      </c>
      <c r="O5295" s="52" t="str">
        <f t="shared" si="836"/>
        <v/>
      </c>
      <c r="P5295" s="88">
        <f t="shared" si="837"/>
        <v>0</v>
      </c>
      <c r="Q5295" s="88">
        <f t="shared" si="838"/>
        <v>0</v>
      </c>
      <c r="R5295" s="88" t="e">
        <f>-IF(Tabla14[[#This Row],[DIAS HABILES O MORA]]&lt;0,(Tabla14[[#This Row],[VALOR PRESTAMO]]*Tabla14[[#This Row],[% INTERES ]]/30*U5295))+Tabla14[[#This Row],[VALOR CUOTAS]]</f>
        <v>#VALUE!</v>
      </c>
      <c r="S5295" s="88">
        <f>-IF(Tabla14[[#This Row],[DIAS HABILES O MORA]]&lt;0,(Tabla14[[#This Row],[VALOR PRESTAMO]]*Tabla14[[#This Row],[% INTERES ]]/30*U5295))</f>
        <v>0</v>
      </c>
      <c r="T5295" s="53" t="e">
        <f>Tabla14[[#This Row],[DEUDA CAPITAL]]+Tabla14[[#This Row],[INTERES  CUOTA]]</f>
        <v>#NUM!</v>
      </c>
      <c r="U5295" s="61" t="str">
        <f t="shared" si="839"/>
        <v/>
      </c>
    </row>
    <row r="5296" spans="9:21" ht="24.75" customHeight="1" x14ac:dyDescent="0.35">
      <c r="I5296" s="42">
        <f t="shared" si="830"/>
        <v>0</v>
      </c>
      <c r="J5296" s="65" t="e">
        <f t="shared" si="831"/>
        <v>#NUM!</v>
      </c>
      <c r="K5296" s="83" t="e">
        <f t="shared" si="832"/>
        <v>#NUM!</v>
      </c>
      <c r="L5296" s="83">
        <f t="shared" si="833"/>
        <v>0</v>
      </c>
      <c r="M5296" s="110" t="str">
        <f t="shared" si="834"/>
        <v/>
      </c>
      <c r="N5296" s="51" t="str">
        <f t="shared" si="835"/>
        <v/>
      </c>
      <c r="O5296" s="52" t="str">
        <f t="shared" si="836"/>
        <v/>
      </c>
      <c r="P5296" s="88">
        <f t="shared" si="837"/>
        <v>0</v>
      </c>
      <c r="Q5296" s="88">
        <f t="shared" si="838"/>
        <v>0</v>
      </c>
      <c r="R5296" s="88" t="e">
        <f>-IF(Tabla14[[#This Row],[DIAS HABILES O MORA]]&lt;0,(Tabla14[[#This Row],[VALOR PRESTAMO]]*Tabla14[[#This Row],[% INTERES ]]/30*U5296))+Tabla14[[#This Row],[VALOR CUOTAS]]</f>
        <v>#VALUE!</v>
      </c>
      <c r="S5296" s="88">
        <f>-IF(Tabla14[[#This Row],[DIAS HABILES O MORA]]&lt;0,(Tabla14[[#This Row],[VALOR PRESTAMO]]*Tabla14[[#This Row],[% INTERES ]]/30*U5296))</f>
        <v>0</v>
      </c>
      <c r="T5296" s="53" t="e">
        <f>Tabla14[[#This Row],[DEUDA CAPITAL]]+Tabla14[[#This Row],[INTERES  CUOTA]]</f>
        <v>#NUM!</v>
      </c>
      <c r="U5296" s="61" t="str">
        <f t="shared" si="839"/>
        <v/>
      </c>
    </row>
    <row r="5297" spans="9:21" ht="24.75" customHeight="1" x14ac:dyDescent="0.35">
      <c r="I5297" s="42">
        <f t="shared" si="830"/>
        <v>0</v>
      </c>
      <c r="J5297" s="65" t="e">
        <f t="shared" si="831"/>
        <v>#NUM!</v>
      </c>
      <c r="K5297" s="83" t="e">
        <f t="shared" si="832"/>
        <v>#NUM!</v>
      </c>
      <c r="L5297" s="83">
        <f t="shared" si="833"/>
        <v>0</v>
      </c>
      <c r="M5297" s="110" t="str">
        <f t="shared" si="834"/>
        <v/>
      </c>
      <c r="N5297" s="51" t="str">
        <f t="shared" si="835"/>
        <v/>
      </c>
      <c r="O5297" s="52" t="str">
        <f t="shared" si="836"/>
        <v/>
      </c>
      <c r="P5297" s="88">
        <f t="shared" si="837"/>
        <v>0</v>
      </c>
      <c r="Q5297" s="88">
        <f t="shared" si="838"/>
        <v>0</v>
      </c>
      <c r="R5297" s="88" t="e">
        <f>-IF(Tabla14[[#This Row],[DIAS HABILES O MORA]]&lt;0,(Tabla14[[#This Row],[VALOR PRESTAMO]]*Tabla14[[#This Row],[% INTERES ]]/30*U5297))+Tabla14[[#This Row],[VALOR CUOTAS]]</f>
        <v>#VALUE!</v>
      </c>
      <c r="S5297" s="88">
        <f>-IF(Tabla14[[#This Row],[DIAS HABILES O MORA]]&lt;0,(Tabla14[[#This Row],[VALOR PRESTAMO]]*Tabla14[[#This Row],[% INTERES ]]/30*U5297))</f>
        <v>0</v>
      </c>
      <c r="T5297" s="53" t="e">
        <f>Tabla14[[#This Row],[DEUDA CAPITAL]]+Tabla14[[#This Row],[INTERES  CUOTA]]</f>
        <v>#NUM!</v>
      </c>
      <c r="U5297" s="61" t="str">
        <f t="shared" si="839"/>
        <v/>
      </c>
    </row>
    <row r="5298" spans="9:21" ht="24.75" customHeight="1" x14ac:dyDescent="0.35">
      <c r="I5298" s="42">
        <f t="shared" si="830"/>
        <v>0</v>
      </c>
      <c r="J5298" s="65" t="e">
        <f t="shared" si="831"/>
        <v>#NUM!</v>
      </c>
      <c r="K5298" s="83" t="e">
        <f t="shared" si="832"/>
        <v>#NUM!</v>
      </c>
      <c r="L5298" s="83">
        <f t="shared" si="833"/>
        <v>0</v>
      </c>
      <c r="M5298" s="110" t="str">
        <f t="shared" si="834"/>
        <v/>
      </c>
      <c r="N5298" s="51" t="str">
        <f t="shared" si="835"/>
        <v/>
      </c>
      <c r="O5298" s="52" t="str">
        <f t="shared" si="836"/>
        <v/>
      </c>
      <c r="P5298" s="88">
        <f t="shared" si="837"/>
        <v>0</v>
      </c>
      <c r="Q5298" s="88">
        <f t="shared" si="838"/>
        <v>0</v>
      </c>
      <c r="R5298" s="88" t="e">
        <f>-IF(Tabla14[[#This Row],[DIAS HABILES O MORA]]&lt;0,(Tabla14[[#This Row],[VALOR PRESTAMO]]*Tabla14[[#This Row],[% INTERES ]]/30*U5298))+Tabla14[[#This Row],[VALOR CUOTAS]]</f>
        <v>#VALUE!</v>
      </c>
      <c r="S5298" s="88">
        <f>-IF(Tabla14[[#This Row],[DIAS HABILES O MORA]]&lt;0,(Tabla14[[#This Row],[VALOR PRESTAMO]]*Tabla14[[#This Row],[% INTERES ]]/30*U5298))</f>
        <v>0</v>
      </c>
      <c r="T5298" s="53" t="e">
        <f>Tabla14[[#This Row],[DEUDA CAPITAL]]+Tabla14[[#This Row],[INTERES  CUOTA]]</f>
        <v>#NUM!</v>
      </c>
      <c r="U5298" s="61" t="str">
        <f t="shared" si="839"/>
        <v/>
      </c>
    </row>
    <row r="5299" spans="9:21" ht="24.75" customHeight="1" x14ac:dyDescent="0.35">
      <c r="I5299" s="42">
        <f t="shared" si="830"/>
        <v>0</v>
      </c>
      <c r="J5299" s="65" t="e">
        <f t="shared" si="831"/>
        <v>#NUM!</v>
      </c>
      <c r="K5299" s="83" t="e">
        <f t="shared" si="832"/>
        <v>#NUM!</v>
      </c>
      <c r="L5299" s="83">
        <f t="shared" si="833"/>
        <v>0</v>
      </c>
      <c r="M5299" s="110" t="str">
        <f t="shared" si="834"/>
        <v/>
      </c>
      <c r="N5299" s="51" t="str">
        <f t="shared" si="835"/>
        <v/>
      </c>
      <c r="O5299" s="52" t="str">
        <f t="shared" si="836"/>
        <v/>
      </c>
      <c r="P5299" s="88">
        <f t="shared" si="837"/>
        <v>0</v>
      </c>
      <c r="Q5299" s="88">
        <f t="shared" si="838"/>
        <v>0</v>
      </c>
      <c r="R5299" s="88" t="e">
        <f>-IF(Tabla14[[#This Row],[DIAS HABILES O MORA]]&lt;0,(Tabla14[[#This Row],[VALOR PRESTAMO]]*Tabla14[[#This Row],[% INTERES ]]/30*U5299))+Tabla14[[#This Row],[VALOR CUOTAS]]</f>
        <v>#VALUE!</v>
      </c>
      <c r="S5299" s="88">
        <f>-IF(Tabla14[[#This Row],[DIAS HABILES O MORA]]&lt;0,(Tabla14[[#This Row],[VALOR PRESTAMO]]*Tabla14[[#This Row],[% INTERES ]]/30*U5299))</f>
        <v>0</v>
      </c>
      <c r="T5299" s="53" t="e">
        <f>Tabla14[[#This Row],[DEUDA CAPITAL]]+Tabla14[[#This Row],[INTERES  CUOTA]]</f>
        <v>#NUM!</v>
      </c>
      <c r="U5299" s="61" t="str">
        <f t="shared" si="839"/>
        <v/>
      </c>
    </row>
    <row r="5300" spans="9:21" ht="24.75" customHeight="1" x14ac:dyDescent="0.35">
      <c r="I5300" s="42">
        <f t="shared" si="830"/>
        <v>0</v>
      </c>
      <c r="J5300" s="65" t="e">
        <f t="shared" si="831"/>
        <v>#NUM!</v>
      </c>
      <c r="K5300" s="83" t="e">
        <f t="shared" si="832"/>
        <v>#NUM!</v>
      </c>
      <c r="L5300" s="83">
        <f t="shared" si="833"/>
        <v>0</v>
      </c>
      <c r="M5300" s="110" t="str">
        <f t="shared" si="834"/>
        <v/>
      </c>
      <c r="N5300" s="51" t="str">
        <f t="shared" si="835"/>
        <v/>
      </c>
      <c r="O5300" s="52" t="str">
        <f t="shared" si="836"/>
        <v/>
      </c>
      <c r="P5300" s="88">
        <f t="shared" si="837"/>
        <v>0</v>
      </c>
      <c r="Q5300" s="88">
        <f t="shared" si="838"/>
        <v>0</v>
      </c>
      <c r="R5300" s="88" t="e">
        <f>-IF(Tabla14[[#This Row],[DIAS HABILES O MORA]]&lt;0,(Tabla14[[#This Row],[VALOR PRESTAMO]]*Tabla14[[#This Row],[% INTERES ]]/30*U5300))+Tabla14[[#This Row],[VALOR CUOTAS]]</f>
        <v>#VALUE!</v>
      </c>
      <c r="S5300" s="88">
        <f>-IF(Tabla14[[#This Row],[DIAS HABILES O MORA]]&lt;0,(Tabla14[[#This Row],[VALOR PRESTAMO]]*Tabla14[[#This Row],[% INTERES ]]/30*U5300))</f>
        <v>0</v>
      </c>
      <c r="T5300" s="53" t="e">
        <f>Tabla14[[#This Row],[DEUDA CAPITAL]]+Tabla14[[#This Row],[INTERES  CUOTA]]</f>
        <v>#NUM!</v>
      </c>
      <c r="U5300" s="61" t="str">
        <f t="shared" si="839"/>
        <v/>
      </c>
    </row>
    <row r="5301" spans="9:21" ht="24.75" customHeight="1" x14ac:dyDescent="0.35">
      <c r="I5301" s="42">
        <f t="shared" si="830"/>
        <v>0</v>
      </c>
      <c r="J5301" s="65" t="e">
        <f t="shared" si="831"/>
        <v>#NUM!</v>
      </c>
      <c r="K5301" s="83" t="e">
        <f t="shared" si="832"/>
        <v>#NUM!</v>
      </c>
      <c r="L5301" s="83">
        <f t="shared" si="833"/>
        <v>0</v>
      </c>
      <c r="M5301" s="110" t="str">
        <f t="shared" si="834"/>
        <v/>
      </c>
      <c r="N5301" s="51" t="str">
        <f t="shared" si="835"/>
        <v/>
      </c>
      <c r="O5301" s="52" t="str">
        <f t="shared" si="836"/>
        <v/>
      </c>
      <c r="P5301" s="88">
        <f t="shared" si="837"/>
        <v>0</v>
      </c>
      <c r="Q5301" s="88">
        <f t="shared" si="838"/>
        <v>0</v>
      </c>
      <c r="R5301" s="88" t="e">
        <f>-IF(Tabla14[[#This Row],[DIAS HABILES O MORA]]&lt;0,(Tabla14[[#This Row],[VALOR PRESTAMO]]*Tabla14[[#This Row],[% INTERES ]]/30*U5301))+Tabla14[[#This Row],[VALOR CUOTAS]]</f>
        <v>#VALUE!</v>
      </c>
      <c r="S5301" s="88">
        <f>-IF(Tabla14[[#This Row],[DIAS HABILES O MORA]]&lt;0,(Tabla14[[#This Row],[VALOR PRESTAMO]]*Tabla14[[#This Row],[% INTERES ]]/30*U5301))</f>
        <v>0</v>
      </c>
      <c r="T5301" s="53" t="e">
        <f>Tabla14[[#This Row],[DEUDA CAPITAL]]+Tabla14[[#This Row],[INTERES  CUOTA]]</f>
        <v>#NUM!</v>
      </c>
      <c r="U5301" s="61" t="str">
        <f t="shared" si="839"/>
        <v/>
      </c>
    </row>
    <row r="5302" spans="9:21" ht="24.75" customHeight="1" x14ac:dyDescent="0.35">
      <c r="I5302" s="42">
        <f t="shared" si="830"/>
        <v>0</v>
      </c>
      <c r="J5302" s="65" t="e">
        <f t="shared" si="831"/>
        <v>#NUM!</v>
      </c>
      <c r="K5302" s="83" t="e">
        <f t="shared" si="832"/>
        <v>#NUM!</v>
      </c>
      <c r="L5302" s="83">
        <f t="shared" si="833"/>
        <v>0</v>
      </c>
      <c r="M5302" s="110" t="str">
        <f t="shared" si="834"/>
        <v/>
      </c>
      <c r="N5302" s="51" t="str">
        <f t="shared" si="835"/>
        <v/>
      </c>
      <c r="O5302" s="52" t="str">
        <f t="shared" si="836"/>
        <v/>
      </c>
      <c r="P5302" s="88">
        <f t="shared" si="837"/>
        <v>0</v>
      </c>
      <c r="Q5302" s="88">
        <f t="shared" si="838"/>
        <v>0</v>
      </c>
      <c r="R5302" s="88" t="e">
        <f>-IF(Tabla14[[#This Row],[DIAS HABILES O MORA]]&lt;0,(Tabla14[[#This Row],[VALOR PRESTAMO]]*Tabla14[[#This Row],[% INTERES ]]/30*U5302))+Tabla14[[#This Row],[VALOR CUOTAS]]</f>
        <v>#VALUE!</v>
      </c>
      <c r="S5302" s="88">
        <f>-IF(Tabla14[[#This Row],[DIAS HABILES O MORA]]&lt;0,(Tabla14[[#This Row],[VALOR PRESTAMO]]*Tabla14[[#This Row],[% INTERES ]]/30*U5302))</f>
        <v>0</v>
      </c>
      <c r="T5302" s="53" t="e">
        <f>Tabla14[[#This Row],[DEUDA CAPITAL]]+Tabla14[[#This Row],[INTERES  CUOTA]]</f>
        <v>#NUM!</v>
      </c>
      <c r="U5302" s="61" t="str">
        <f t="shared" si="839"/>
        <v/>
      </c>
    </row>
    <row r="5303" spans="9:21" ht="24.75" customHeight="1" x14ac:dyDescent="0.35">
      <c r="I5303" s="42">
        <f t="shared" si="830"/>
        <v>0</v>
      </c>
      <c r="J5303" s="65" t="e">
        <f t="shared" si="831"/>
        <v>#NUM!</v>
      </c>
      <c r="K5303" s="83" t="e">
        <f t="shared" si="832"/>
        <v>#NUM!</v>
      </c>
      <c r="L5303" s="83">
        <f t="shared" si="833"/>
        <v>0</v>
      </c>
      <c r="M5303" s="110" t="str">
        <f t="shared" si="834"/>
        <v/>
      </c>
      <c r="N5303" s="51" t="str">
        <f t="shared" si="835"/>
        <v/>
      </c>
      <c r="O5303" s="52" t="str">
        <f t="shared" si="836"/>
        <v/>
      </c>
      <c r="P5303" s="88">
        <f t="shared" si="837"/>
        <v>0</v>
      </c>
      <c r="Q5303" s="88">
        <f t="shared" si="838"/>
        <v>0</v>
      </c>
      <c r="R5303" s="88" t="e">
        <f>-IF(Tabla14[[#This Row],[DIAS HABILES O MORA]]&lt;0,(Tabla14[[#This Row],[VALOR PRESTAMO]]*Tabla14[[#This Row],[% INTERES ]]/30*U5303))+Tabla14[[#This Row],[VALOR CUOTAS]]</f>
        <v>#VALUE!</v>
      </c>
      <c r="S5303" s="88">
        <f>-IF(Tabla14[[#This Row],[DIAS HABILES O MORA]]&lt;0,(Tabla14[[#This Row],[VALOR PRESTAMO]]*Tabla14[[#This Row],[% INTERES ]]/30*U5303))</f>
        <v>0</v>
      </c>
      <c r="T5303" s="53" t="e">
        <f>Tabla14[[#This Row],[DEUDA CAPITAL]]+Tabla14[[#This Row],[INTERES  CUOTA]]</f>
        <v>#NUM!</v>
      </c>
      <c r="U5303" s="61" t="str">
        <f t="shared" si="839"/>
        <v/>
      </c>
    </row>
    <row r="5304" spans="9:21" ht="24.75" customHeight="1" x14ac:dyDescent="0.35">
      <c r="I5304" s="42">
        <f t="shared" si="830"/>
        <v>0</v>
      </c>
      <c r="J5304" s="65" t="e">
        <f t="shared" si="831"/>
        <v>#NUM!</v>
      </c>
      <c r="K5304" s="83" t="e">
        <f t="shared" si="832"/>
        <v>#NUM!</v>
      </c>
      <c r="L5304" s="83">
        <f t="shared" si="833"/>
        <v>0</v>
      </c>
      <c r="M5304" s="110" t="str">
        <f t="shared" si="834"/>
        <v/>
      </c>
      <c r="N5304" s="51" t="str">
        <f t="shared" si="835"/>
        <v/>
      </c>
      <c r="O5304" s="52" t="str">
        <f t="shared" si="836"/>
        <v/>
      </c>
      <c r="P5304" s="88">
        <f t="shared" si="837"/>
        <v>0</v>
      </c>
      <c r="Q5304" s="88">
        <f t="shared" si="838"/>
        <v>0</v>
      </c>
      <c r="R5304" s="88" t="e">
        <f>-IF(Tabla14[[#This Row],[DIAS HABILES O MORA]]&lt;0,(Tabla14[[#This Row],[VALOR PRESTAMO]]*Tabla14[[#This Row],[% INTERES ]]/30*U5304))+Tabla14[[#This Row],[VALOR CUOTAS]]</f>
        <v>#VALUE!</v>
      </c>
      <c r="S5304" s="88">
        <f>-IF(Tabla14[[#This Row],[DIAS HABILES O MORA]]&lt;0,(Tabla14[[#This Row],[VALOR PRESTAMO]]*Tabla14[[#This Row],[% INTERES ]]/30*U5304))</f>
        <v>0</v>
      </c>
      <c r="T5304" s="53" t="e">
        <f>Tabla14[[#This Row],[DEUDA CAPITAL]]+Tabla14[[#This Row],[INTERES  CUOTA]]</f>
        <v>#NUM!</v>
      </c>
      <c r="U5304" s="61" t="str">
        <f t="shared" si="839"/>
        <v/>
      </c>
    </row>
    <row r="5305" spans="9:21" ht="24.75" customHeight="1" x14ac:dyDescent="0.35">
      <c r="I5305" s="42">
        <f t="shared" si="830"/>
        <v>0</v>
      </c>
      <c r="J5305" s="65" t="e">
        <f t="shared" si="831"/>
        <v>#NUM!</v>
      </c>
      <c r="K5305" s="83" t="e">
        <f t="shared" si="832"/>
        <v>#NUM!</v>
      </c>
      <c r="L5305" s="83">
        <f t="shared" si="833"/>
        <v>0</v>
      </c>
      <c r="M5305" s="110" t="str">
        <f t="shared" si="834"/>
        <v/>
      </c>
      <c r="N5305" s="51" t="str">
        <f t="shared" si="835"/>
        <v/>
      </c>
      <c r="O5305" s="52" t="str">
        <f t="shared" si="836"/>
        <v/>
      </c>
      <c r="P5305" s="88">
        <f t="shared" si="837"/>
        <v>0</v>
      </c>
      <c r="Q5305" s="88">
        <f t="shared" si="838"/>
        <v>0</v>
      </c>
      <c r="R5305" s="88" t="e">
        <f>-IF(Tabla14[[#This Row],[DIAS HABILES O MORA]]&lt;0,(Tabla14[[#This Row],[VALOR PRESTAMO]]*Tabla14[[#This Row],[% INTERES ]]/30*U5305))+Tabla14[[#This Row],[VALOR CUOTAS]]</f>
        <v>#VALUE!</v>
      </c>
      <c r="S5305" s="88">
        <f>-IF(Tabla14[[#This Row],[DIAS HABILES O MORA]]&lt;0,(Tabla14[[#This Row],[VALOR PRESTAMO]]*Tabla14[[#This Row],[% INTERES ]]/30*U5305))</f>
        <v>0</v>
      </c>
      <c r="T5305" s="53" t="e">
        <f>Tabla14[[#This Row],[DEUDA CAPITAL]]+Tabla14[[#This Row],[INTERES  CUOTA]]</f>
        <v>#NUM!</v>
      </c>
      <c r="U5305" s="61" t="str">
        <f t="shared" si="839"/>
        <v/>
      </c>
    </row>
    <row r="5306" spans="9:21" ht="24.75" customHeight="1" x14ac:dyDescent="0.35">
      <c r="I5306" s="42">
        <f t="shared" si="830"/>
        <v>0</v>
      </c>
      <c r="J5306" s="65" t="e">
        <f t="shared" si="831"/>
        <v>#NUM!</v>
      </c>
      <c r="K5306" s="83" t="e">
        <f t="shared" si="832"/>
        <v>#NUM!</v>
      </c>
      <c r="L5306" s="83">
        <f t="shared" si="833"/>
        <v>0</v>
      </c>
      <c r="M5306" s="110" t="str">
        <f t="shared" si="834"/>
        <v/>
      </c>
      <c r="N5306" s="51" t="str">
        <f t="shared" si="835"/>
        <v/>
      </c>
      <c r="O5306" s="52" t="str">
        <f t="shared" si="836"/>
        <v/>
      </c>
      <c r="P5306" s="88">
        <f t="shared" si="837"/>
        <v>0</v>
      </c>
      <c r="Q5306" s="88">
        <f t="shared" si="838"/>
        <v>0</v>
      </c>
      <c r="R5306" s="88" t="e">
        <f>-IF(Tabla14[[#This Row],[DIAS HABILES O MORA]]&lt;0,(Tabla14[[#This Row],[VALOR PRESTAMO]]*Tabla14[[#This Row],[% INTERES ]]/30*U5306))+Tabla14[[#This Row],[VALOR CUOTAS]]</f>
        <v>#VALUE!</v>
      </c>
      <c r="S5306" s="88">
        <f>-IF(Tabla14[[#This Row],[DIAS HABILES O MORA]]&lt;0,(Tabla14[[#This Row],[VALOR PRESTAMO]]*Tabla14[[#This Row],[% INTERES ]]/30*U5306))</f>
        <v>0</v>
      </c>
      <c r="T5306" s="53" t="e">
        <f>Tabla14[[#This Row],[DEUDA CAPITAL]]+Tabla14[[#This Row],[INTERES  CUOTA]]</f>
        <v>#NUM!</v>
      </c>
      <c r="U5306" s="61" t="str">
        <f t="shared" si="839"/>
        <v/>
      </c>
    </row>
    <row r="5307" spans="9:21" ht="24.75" customHeight="1" x14ac:dyDescent="0.35">
      <c r="I5307" s="42">
        <f t="shared" si="830"/>
        <v>0</v>
      </c>
      <c r="J5307" s="65" t="e">
        <f t="shared" si="831"/>
        <v>#NUM!</v>
      </c>
      <c r="K5307" s="83" t="e">
        <f t="shared" si="832"/>
        <v>#NUM!</v>
      </c>
      <c r="L5307" s="83">
        <f t="shared" si="833"/>
        <v>0</v>
      </c>
      <c r="M5307" s="110" t="str">
        <f t="shared" si="834"/>
        <v/>
      </c>
      <c r="N5307" s="51" t="str">
        <f t="shared" si="835"/>
        <v/>
      </c>
      <c r="O5307" s="52" t="str">
        <f t="shared" si="836"/>
        <v/>
      </c>
      <c r="P5307" s="88">
        <f t="shared" si="837"/>
        <v>0</v>
      </c>
      <c r="Q5307" s="88">
        <f t="shared" si="838"/>
        <v>0</v>
      </c>
      <c r="R5307" s="88" t="e">
        <f>-IF(Tabla14[[#This Row],[DIAS HABILES O MORA]]&lt;0,(Tabla14[[#This Row],[VALOR PRESTAMO]]*Tabla14[[#This Row],[% INTERES ]]/30*U5307))+Tabla14[[#This Row],[VALOR CUOTAS]]</f>
        <v>#VALUE!</v>
      </c>
      <c r="S5307" s="88">
        <f>-IF(Tabla14[[#This Row],[DIAS HABILES O MORA]]&lt;0,(Tabla14[[#This Row],[VALOR PRESTAMO]]*Tabla14[[#This Row],[% INTERES ]]/30*U5307))</f>
        <v>0</v>
      </c>
      <c r="T5307" s="53" t="e">
        <f>Tabla14[[#This Row],[DEUDA CAPITAL]]+Tabla14[[#This Row],[INTERES  CUOTA]]</f>
        <v>#NUM!</v>
      </c>
      <c r="U5307" s="61" t="str">
        <f t="shared" si="839"/>
        <v/>
      </c>
    </row>
    <row r="5308" spans="9:21" ht="24.75" customHeight="1" x14ac:dyDescent="0.35">
      <c r="I5308" s="42">
        <f t="shared" si="830"/>
        <v>0</v>
      </c>
      <c r="J5308" s="65" t="e">
        <f t="shared" si="831"/>
        <v>#NUM!</v>
      </c>
      <c r="K5308" s="83" t="e">
        <f t="shared" si="832"/>
        <v>#NUM!</v>
      </c>
      <c r="L5308" s="83">
        <f t="shared" si="833"/>
        <v>0</v>
      </c>
      <c r="M5308" s="110" t="str">
        <f t="shared" si="834"/>
        <v/>
      </c>
      <c r="N5308" s="51" t="str">
        <f t="shared" si="835"/>
        <v/>
      </c>
      <c r="O5308" s="52" t="str">
        <f t="shared" si="836"/>
        <v/>
      </c>
      <c r="P5308" s="88">
        <f t="shared" si="837"/>
        <v>0</v>
      </c>
      <c r="Q5308" s="88">
        <f t="shared" si="838"/>
        <v>0</v>
      </c>
      <c r="R5308" s="88" t="e">
        <f>-IF(Tabla14[[#This Row],[DIAS HABILES O MORA]]&lt;0,(Tabla14[[#This Row],[VALOR PRESTAMO]]*Tabla14[[#This Row],[% INTERES ]]/30*U5308))+Tabla14[[#This Row],[VALOR CUOTAS]]</f>
        <v>#VALUE!</v>
      </c>
      <c r="S5308" s="88">
        <f>-IF(Tabla14[[#This Row],[DIAS HABILES O MORA]]&lt;0,(Tabla14[[#This Row],[VALOR PRESTAMO]]*Tabla14[[#This Row],[% INTERES ]]/30*U5308))</f>
        <v>0</v>
      </c>
      <c r="T5308" s="53" t="e">
        <f>Tabla14[[#This Row],[DEUDA CAPITAL]]+Tabla14[[#This Row],[INTERES  CUOTA]]</f>
        <v>#NUM!</v>
      </c>
      <c r="U5308" s="61" t="str">
        <f t="shared" si="839"/>
        <v/>
      </c>
    </row>
    <row r="5309" spans="9:21" ht="24.75" customHeight="1" x14ac:dyDescent="0.35">
      <c r="I5309" s="42">
        <f t="shared" si="830"/>
        <v>0</v>
      </c>
      <c r="J5309" s="65" t="e">
        <f t="shared" si="831"/>
        <v>#NUM!</v>
      </c>
      <c r="K5309" s="83" t="e">
        <f t="shared" si="832"/>
        <v>#NUM!</v>
      </c>
      <c r="L5309" s="83">
        <f t="shared" si="833"/>
        <v>0</v>
      </c>
      <c r="M5309" s="110" t="str">
        <f t="shared" si="834"/>
        <v/>
      </c>
      <c r="N5309" s="51" t="str">
        <f t="shared" si="835"/>
        <v/>
      </c>
      <c r="O5309" s="52" t="str">
        <f t="shared" si="836"/>
        <v/>
      </c>
      <c r="P5309" s="88">
        <f t="shared" si="837"/>
        <v>0</v>
      </c>
      <c r="Q5309" s="88">
        <f t="shared" si="838"/>
        <v>0</v>
      </c>
      <c r="R5309" s="88" t="e">
        <f>-IF(Tabla14[[#This Row],[DIAS HABILES O MORA]]&lt;0,(Tabla14[[#This Row],[VALOR PRESTAMO]]*Tabla14[[#This Row],[% INTERES ]]/30*U5309))+Tabla14[[#This Row],[VALOR CUOTAS]]</f>
        <v>#VALUE!</v>
      </c>
      <c r="S5309" s="88">
        <f>-IF(Tabla14[[#This Row],[DIAS HABILES O MORA]]&lt;0,(Tabla14[[#This Row],[VALOR PRESTAMO]]*Tabla14[[#This Row],[% INTERES ]]/30*U5309))</f>
        <v>0</v>
      </c>
      <c r="T5309" s="53" t="e">
        <f>Tabla14[[#This Row],[DEUDA CAPITAL]]+Tabla14[[#This Row],[INTERES  CUOTA]]</f>
        <v>#NUM!</v>
      </c>
      <c r="U5309" s="61" t="str">
        <f t="shared" si="839"/>
        <v/>
      </c>
    </row>
    <row r="5310" spans="9:21" ht="24.75" customHeight="1" x14ac:dyDescent="0.35">
      <c r="I5310" s="42">
        <f t="shared" si="830"/>
        <v>0</v>
      </c>
      <c r="J5310" s="65" t="e">
        <f t="shared" si="831"/>
        <v>#NUM!</v>
      </c>
      <c r="K5310" s="83" t="e">
        <f t="shared" si="832"/>
        <v>#NUM!</v>
      </c>
      <c r="L5310" s="83">
        <f t="shared" si="833"/>
        <v>0</v>
      </c>
      <c r="M5310" s="110" t="str">
        <f t="shared" si="834"/>
        <v/>
      </c>
      <c r="N5310" s="51" t="str">
        <f t="shared" si="835"/>
        <v/>
      </c>
      <c r="O5310" s="52" t="str">
        <f t="shared" si="836"/>
        <v/>
      </c>
      <c r="P5310" s="88">
        <f t="shared" si="837"/>
        <v>0</v>
      </c>
      <c r="Q5310" s="88">
        <f t="shared" si="838"/>
        <v>0</v>
      </c>
      <c r="R5310" s="88" t="e">
        <f>-IF(Tabla14[[#This Row],[DIAS HABILES O MORA]]&lt;0,(Tabla14[[#This Row],[VALOR PRESTAMO]]*Tabla14[[#This Row],[% INTERES ]]/30*U5310))+Tabla14[[#This Row],[VALOR CUOTAS]]</f>
        <v>#VALUE!</v>
      </c>
      <c r="S5310" s="88">
        <f>-IF(Tabla14[[#This Row],[DIAS HABILES O MORA]]&lt;0,(Tabla14[[#This Row],[VALOR PRESTAMO]]*Tabla14[[#This Row],[% INTERES ]]/30*U5310))</f>
        <v>0</v>
      </c>
      <c r="T5310" s="53" t="e">
        <f>Tabla14[[#This Row],[DEUDA CAPITAL]]+Tabla14[[#This Row],[INTERES  CUOTA]]</f>
        <v>#NUM!</v>
      </c>
      <c r="U5310" s="61" t="str">
        <f t="shared" si="839"/>
        <v/>
      </c>
    </row>
    <row r="5311" spans="9:21" ht="24.75" customHeight="1" x14ac:dyDescent="0.35">
      <c r="I5311" s="42">
        <f t="shared" si="830"/>
        <v>0</v>
      </c>
      <c r="J5311" s="65" t="e">
        <f t="shared" si="831"/>
        <v>#NUM!</v>
      </c>
      <c r="K5311" s="83" t="e">
        <f t="shared" si="832"/>
        <v>#NUM!</v>
      </c>
      <c r="L5311" s="83">
        <f t="shared" si="833"/>
        <v>0</v>
      </c>
      <c r="M5311" s="110" t="str">
        <f t="shared" si="834"/>
        <v/>
      </c>
      <c r="N5311" s="51" t="str">
        <f t="shared" si="835"/>
        <v/>
      </c>
      <c r="O5311" s="52" t="str">
        <f t="shared" si="836"/>
        <v/>
      </c>
      <c r="P5311" s="88">
        <f t="shared" si="837"/>
        <v>0</v>
      </c>
      <c r="Q5311" s="88">
        <f t="shared" si="838"/>
        <v>0</v>
      </c>
      <c r="R5311" s="88" t="e">
        <f>-IF(Tabla14[[#This Row],[DIAS HABILES O MORA]]&lt;0,(Tabla14[[#This Row],[VALOR PRESTAMO]]*Tabla14[[#This Row],[% INTERES ]]/30*U5311))+Tabla14[[#This Row],[VALOR CUOTAS]]</f>
        <v>#VALUE!</v>
      </c>
      <c r="S5311" s="88">
        <f>-IF(Tabla14[[#This Row],[DIAS HABILES O MORA]]&lt;0,(Tabla14[[#This Row],[VALOR PRESTAMO]]*Tabla14[[#This Row],[% INTERES ]]/30*U5311))</f>
        <v>0</v>
      </c>
      <c r="T5311" s="53" t="e">
        <f>Tabla14[[#This Row],[DEUDA CAPITAL]]+Tabla14[[#This Row],[INTERES  CUOTA]]</f>
        <v>#NUM!</v>
      </c>
      <c r="U5311" s="61" t="str">
        <f t="shared" si="839"/>
        <v/>
      </c>
    </row>
    <row r="5312" spans="9:21" ht="24.75" customHeight="1" x14ac:dyDescent="0.35">
      <c r="I5312" s="42">
        <f t="shared" si="830"/>
        <v>0</v>
      </c>
      <c r="J5312" s="65" t="e">
        <f t="shared" si="831"/>
        <v>#NUM!</v>
      </c>
      <c r="K5312" s="83" t="e">
        <f t="shared" si="832"/>
        <v>#NUM!</v>
      </c>
      <c r="L5312" s="83">
        <f t="shared" si="833"/>
        <v>0</v>
      </c>
      <c r="M5312" s="110" t="str">
        <f t="shared" si="834"/>
        <v/>
      </c>
      <c r="N5312" s="51" t="str">
        <f t="shared" si="835"/>
        <v/>
      </c>
      <c r="O5312" s="52" t="str">
        <f t="shared" si="836"/>
        <v/>
      </c>
      <c r="P5312" s="88">
        <f t="shared" si="837"/>
        <v>0</v>
      </c>
      <c r="Q5312" s="88">
        <f t="shared" si="838"/>
        <v>0</v>
      </c>
      <c r="R5312" s="88" t="e">
        <f>-IF(Tabla14[[#This Row],[DIAS HABILES O MORA]]&lt;0,(Tabla14[[#This Row],[VALOR PRESTAMO]]*Tabla14[[#This Row],[% INTERES ]]/30*U5312))+Tabla14[[#This Row],[VALOR CUOTAS]]</f>
        <v>#VALUE!</v>
      </c>
      <c r="S5312" s="88">
        <f>-IF(Tabla14[[#This Row],[DIAS HABILES O MORA]]&lt;0,(Tabla14[[#This Row],[VALOR PRESTAMO]]*Tabla14[[#This Row],[% INTERES ]]/30*U5312))</f>
        <v>0</v>
      </c>
      <c r="T5312" s="53" t="e">
        <f>Tabla14[[#This Row],[DEUDA CAPITAL]]+Tabla14[[#This Row],[INTERES  CUOTA]]</f>
        <v>#NUM!</v>
      </c>
      <c r="U5312" s="61" t="str">
        <f t="shared" si="839"/>
        <v/>
      </c>
    </row>
    <row r="5313" spans="9:21" ht="24.75" customHeight="1" x14ac:dyDescent="0.35">
      <c r="I5313" s="42">
        <f t="shared" si="830"/>
        <v>0</v>
      </c>
      <c r="J5313" s="65" t="e">
        <f t="shared" si="831"/>
        <v>#NUM!</v>
      </c>
      <c r="K5313" s="83" t="e">
        <f t="shared" si="832"/>
        <v>#NUM!</v>
      </c>
      <c r="L5313" s="83">
        <f t="shared" si="833"/>
        <v>0</v>
      </c>
      <c r="M5313" s="110" t="str">
        <f t="shared" si="834"/>
        <v/>
      </c>
      <c r="N5313" s="51" t="str">
        <f t="shared" si="835"/>
        <v/>
      </c>
      <c r="O5313" s="52" t="str">
        <f t="shared" si="836"/>
        <v/>
      </c>
      <c r="P5313" s="88">
        <f t="shared" si="837"/>
        <v>0</v>
      </c>
      <c r="Q5313" s="88">
        <f t="shared" si="838"/>
        <v>0</v>
      </c>
      <c r="R5313" s="88" t="e">
        <f>-IF(Tabla14[[#This Row],[DIAS HABILES O MORA]]&lt;0,(Tabla14[[#This Row],[VALOR PRESTAMO]]*Tabla14[[#This Row],[% INTERES ]]/30*U5313))+Tabla14[[#This Row],[VALOR CUOTAS]]</f>
        <v>#VALUE!</v>
      </c>
      <c r="S5313" s="88">
        <f>-IF(Tabla14[[#This Row],[DIAS HABILES O MORA]]&lt;0,(Tabla14[[#This Row],[VALOR PRESTAMO]]*Tabla14[[#This Row],[% INTERES ]]/30*U5313))</f>
        <v>0</v>
      </c>
      <c r="T5313" s="53" t="e">
        <f>Tabla14[[#This Row],[DEUDA CAPITAL]]+Tabla14[[#This Row],[INTERES  CUOTA]]</f>
        <v>#NUM!</v>
      </c>
      <c r="U5313" s="61" t="str">
        <f t="shared" si="839"/>
        <v/>
      </c>
    </row>
    <row r="5314" spans="9:21" ht="24.75" customHeight="1" x14ac:dyDescent="0.35">
      <c r="I5314" s="42">
        <f t="shared" si="830"/>
        <v>0</v>
      </c>
      <c r="J5314" s="65" t="e">
        <f t="shared" si="831"/>
        <v>#NUM!</v>
      </c>
      <c r="K5314" s="83" t="e">
        <f t="shared" si="832"/>
        <v>#NUM!</v>
      </c>
      <c r="L5314" s="83">
        <f t="shared" si="833"/>
        <v>0</v>
      </c>
      <c r="M5314" s="110" t="str">
        <f t="shared" si="834"/>
        <v/>
      </c>
      <c r="N5314" s="51" t="str">
        <f t="shared" si="835"/>
        <v/>
      </c>
      <c r="O5314" s="52" t="str">
        <f t="shared" si="836"/>
        <v/>
      </c>
      <c r="P5314" s="88">
        <f t="shared" si="837"/>
        <v>0</v>
      </c>
      <c r="Q5314" s="88">
        <f t="shared" si="838"/>
        <v>0</v>
      </c>
      <c r="R5314" s="88" t="e">
        <f>-IF(Tabla14[[#This Row],[DIAS HABILES O MORA]]&lt;0,(Tabla14[[#This Row],[VALOR PRESTAMO]]*Tabla14[[#This Row],[% INTERES ]]/30*U5314))+Tabla14[[#This Row],[VALOR CUOTAS]]</f>
        <v>#VALUE!</v>
      </c>
      <c r="S5314" s="88">
        <f>-IF(Tabla14[[#This Row],[DIAS HABILES O MORA]]&lt;0,(Tabla14[[#This Row],[VALOR PRESTAMO]]*Tabla14[[#This Row],[% INTERES ]]/30*U5314))</f>
        <v>0</v>
      </c>
      <c r="T5314" s="53" t="e">
        <f>Tabla14[[#This Row],[DEUDA CAPITAL]]+Tabla14[[#This Row],[INTERES  CUOTA]]</f>
        <v>#NUM!</v>
      </c>
      <c r="U5314" s="61" t="str">
        <f t="shared" si="839"/>
        <v/>
      </c>
    </row>
    <row r="5315" spans="9:21" ht="24.75" customHeight="1" x14ac:dyDescent="0.35">
      <c r="I5315" s="42">
        <f t="shared" si="830"/>
        <v>0</v>
      </c>
      <c r="J5315" s="65" t="e">
        <f t="shared" si="831"/>
        <v>#NUM!</v>
      </c>
      <c r="K5315" s="83" t="e">
        <f t="shared" si="832"/>
        <v>#NUM!</v>
      </c>
      <c r="L5315" s="83">
        <f t="shared" si="833"/>
        <v>0</v>
      </c>
      <c r="M5315" s="110" t="str">
        <f t="shared" si="834"/>
        <v/>
      </c>
      <c r="N5315" s="51" t="str">
        <f t="shared" si="835"/>
        <v/>
      </c>
      <c r="O5315" s="52" t="str">
        <f t="shared" si="836"/>
        <v/>
      </c>
      <c r="P5315" s="88">
        <f t="shared" si="837"/>
        <v>0</v>
      </c>
      <c r="Q5315" s="88">
        <f t="shared" si="838"/>
        <v>0</v>
      </c>
      <c r="R5315" s="88" t="e">
        <f>-IF(Tabla14[[#This Row],[DIAS HABILES O MORA]]&lt;0,(Tabla14[[#This Row],[VALOR PRESTAMO]]*Tabla14[[#This Row],[% INTERES ]]/30*U5315))+Tabla14[[#This Row],[VALOR CUOTAS]]</f>
        <v>#VALUE!</v>
      </c>
      <c r="S5315" s="88">
        <f>-IF(Tabla14[[#This Row],[DIAS HABILES O MORA]]&lt;0,(Tabla14[[#This Row],[VALOR PRESTAMO]]*Tabla14[[#This Row],[% INTERES ]]/30*U5315))</f>
        <v>0</v>
      </c>
      <c r="T5315" s="53" t="e">
        <f>Tabla14[[#This Row],[DEUDA CAPITAL]]+Tabla14[[#This Row],[INTERES  CUOTA]]</f>
        <v>#NUM!</v>
      </c>
      <c r="U5315" s="61" t="str">
        <f t="shared" si="839"/>
        <v/>
      </c>
    </row>
    <row r="5316" spans="9:21" ht="24.75" customHeight="1" x14ac:dyDescent="0.35">
      <c r="I5316" s="42">
        <f t="shared" si="830"/>
        <v>0</v>
      </c>
      <c r="J5316" s="65" t="e">
        <f t="shared" si="831"/>
        <v>#NUM!</v>
      </c>
      <c r="K5316" s="83" t="e">
        <f t="shared" si="832"/>
        <v>#NUM!</v>
      </c>
      <c r="L5316" s="83">
        <f t="shared" si="833"/>
        <v>0</v>
      </c>
      <c r="M5316" s="110" t="str">
        <f t="shared" si="834"/>
        <v/>
      </c>
      <c r="N5316" s="51" t="str">
        <f t="shared" si="835"/>
        <v/>
      </c>
      <c r="O5316" s="52" t="str">
        <f t="shared" si="836"/>
        <v/>
      </c>
      <c r="P5316" s="88">
        <f t="shared" si="837"/>
        <v>0</v>
      </c>
      <c r="Q5316" s="88">
        <f t="shared" si="838"/>
        <v>0</v>
      </c>
      <c r="R5316" s="88" t="e">
        <f>-IF(Tabla14[[#This Row],[DIAS HABILES O MORA]]&lt;0,(Tabla14[[#This Row],[VALOR PRESTAMO]]*Tabla14[[#This Row],[% INTERES ]]/30*U5316))+Tabla14[[#This Row],[VALOR CUOTAS]]</f>
        <v>#VALUE!</v>
      </c>
      <c r="S5316" s="88">
        <f>-IF(Tabla14[[#This Row],[DIAS HABILES O MORA]]&lt;0,(Tabla14[[#This Row],[VALOR PRESTAMO]]*Tabla14[[#This Row],[% INTERES ]]/30*U5316))</f>
        <v>0</v>
      </c>
      <c r="T5316" s="53" t="e">
        <f>Tabla14[[#This Row],[DEUDA CAPITAL]]+Tabla14[[#This Row],[INTERES  CUOTA]]</f>
        <v>#NUM!</v>
      </c>
      <c r="U5316" s="61" t="str">
        <f t="shared" si="839"/>
        <v/>
      </c>
    </row>
    <row r="5317" spans="9:21" ht="24.75" customHeight="1" x14ac:dyDescent="0.35">
      <c r="I5317" s="42">
        <f t="shared" si="830"/>
        <v>0</v>
      </c>
      <c r="J5317" s="65" t="e">
        <f t="shared" si="831"/>
        <v>#NUM!</v>
      </c>
      <c r="K5317" s="83" t="e">
        <f t="shared" si="832"/>
        <v>#NUM!</v>
      </c>
      <c r="L5317" s="83">
        <f t="shared" si="833"/>
        <v>0</v>
      </c>
      <c r="M5317" s="110" t="str">
        <f t="shared" si="834"/>
        <v/>
      </c>
      <c r="N5317" s="51" t="str">
        <f t="shared" si="835"/>
        <v/>
      </c>
      <c r="O5317" s="52" t="str">
        <f t="shared" si="836"/>
        <v/>
      </c>
      <c r="P5317" s="88">
        <f t="shared" si="837"/>
        <v>0</v>
      </c>
      <c r="Q5317" s="88">
        <f t="shared" si="838"/>
        <v>0</v>
      </c>
      <c r="R5317" s="88" t="e">
        <f>-IF(Tabla14[[#This Row],[DIAS HABILES O MORA]]&lt;0,(Tabla14[[#This Row],[VALOR PRESTAMO]]*Tabla14[[#This Row],[% INTERES ]]/30*U5317))+Tabla14[[#This Row],[VALOR CUOTAS]]</f>
        <v>#VALUE!</v>
      </c>
      <c r="S5317" s="88">
        <f>-IF(Tabla14[[#This Row],[DIAS HABILES O MORA]]&lt;0,(Tabla14[[#This Row],[VALOR PRESTAMO]]*Tabla14[[#This Row],[% INTERES ]]/30*U5317))</f>
        <v>0</v>
      </c>
      <c r="T5317" s="53" t="e">
        <f>Tabla14[[#This Row],[DEUDA CAPITAL]]+Tabla14[[#This Row],[INTERES  CUOTA]]</f>
        <v>#NUM!</v>
      </c>
      <c r="U5317" s="61" t="str">
        <f t="shared" si="839"/>
        <v/>
      </c>
    </row>
    <row r="5318" spans="9:21" ht="24.75" customHeight="1" x14ac:dyDescent="0.35">
      <c r="I5318" s="42">
        <f t="shared" si="830"/>
        <v>0</v>
      </c>
      <c r="J5318" s="65" t="e">
        <f t="shared" si="831"/>
        <v>#NUM!</v>
      </c>
      <c r="K5318" s="83" t="e">
        <f t="shared" si="832"/>
        <v>#NUM!</v>
      </c>
      <c r="L5318" s="83">
        <f t="shared" si="833"/>
        <v>0</v>
      </c>
      <c r="M5318" s="110" t="str">
        <f t="shared" si="834"/>
        <v/>
      </c>
      <c r="N5318" s="51" t="str">
        <f t="shared" si="835"/>
        <v/>
      </c>
      <c r="O5318" s="52" t="str">
        <f t="shared" si="836"/>
        <v/>
      </c>
      <c r="P5318" s="88">
        <f t="shared" si="837"/>
        <v>0</v>
      </c>
      <c r="Q5318" s="88">
        <f t="shared" si="838"/>
        <v>0</v>
      </c>
      <c r="R5318" s="88" t="e">
        <f>-IF(Tabla14[[#This Row],[DIAS HABILES O MORA]]&lt;0,(Tabla14[[#This Row],[VALOR PRESTAMO]]*Tabla14[[#This Row],[% INTERES ]]/30*U5318))+Tabla14[[#This Row],[VALOR CUOTAS]]</f>
        <v>#VALUE!</v>
      </c>
      <c r="S5318" s="88">
        <f>-IF(Tabla14[[#This Row],[DIAS HABILES O MORA]]&lt;0,(Tabla14[[#This Row],[VALOR PRESTAMO]]*Tabla14[[#This Row],[% INTERES ]]/30*U5318))</f>
        <v>0</v>
      </c>
      <c r="T5318" s="53" t="e">
        <f>Tabla14[[#This Row],[DEUDA CAPITAL]]+Tabla14[[#This Row],[INTERES  CUOTA]]</f>
        <v>#NUM!</v>
      </c>
      <c r="U5318" s="61" t="str">
        <f t="shared" si="839"/>
        <v/>
      </c>
    </row>
    <row r="5319" spans="9:21" ht="24.75" customHeight="1" x14ac:dyDescent="0.35">
      <c r="I5319" s="42">
        <f t="shared" si="830"/>
        <v>0</v>
      </c>
      <c r="J5319" s="65" t="e">
        <f t="shared" si="831"/>
        <v>#NUM!</v>
      </c>
      <c r="K5319" s="83" t="e">
        <f t="shared" si="832"/>
        <v>#NUM!</v>
      </c>
      <c r="L5319" s="83">
        <f t="shared" si="833"/>
        <v>0</v>
      </c>
      <c r="M5319" s="110" t="str">
        <f t="shared" si="834"/>
        <v/>
      </c>
      <c r="N5319" s="51" t="str">
        <f t="shared" si="835"/>
        <v/>
      </c>
      <c r="O5319" s="52" t="str">
        <f t="shared" si="836"/>
        <v/>
      </c>
      <c r="P5319" s="88">
        <f t="shared" si="837"/>
        <v>0</v>
      </c>
      <c r="Q5319" s="88">
        <f t="shared" si="838"/>
        <v>0</v>
      </c>
      <c r="R5319" s="88" t="e">
        <f>-IF(Tabla14[[#This Row],[DIAS HABILES O MORA]]&lt;0,(Tabla14[[#This Row],[VALOR PRESTAMO]]*Tabla14[[#This Row],[% INTERES ]]/30*U5319))+Tabla14[[#This Row],[VALOR CUOTAS]]</f>
        <v>#VALUE!</v>
      </c>
      <c r="S5319" s="88">
        <f>-IF(Tabla14[[#This Row],[DIAS HABILES O MORA]]&lt;0,(Tabla14[[#This Row],[VALOR PRESTAMO]]*Tabla14[[#This Row],[% INTERES ]]/30*U5319))</f>
        <v>0</v>
      </c>
      <c r="T5319" s="53" t="e">
        <f>Tabla14[[#This Row],[DEUDA CAPITAL]]+Tabla14[[#This Row],[INTERES  CUOTA]]</f>
        <v>#NUM!</v>
      </c>
      <c r="U5319" s="61" t="str">
        <f t="shared" si="839"/>
        <v/>
      </c>
    </row>
    <row r="5320" spans="9:21" ht="24.75" customHeight="1" x14ac:dyDescent="0.35">
      <c r="I5320" s="42">
        <f t="shared" si="830"/>
        <v>0</v>
      </c>
      <c r="J5320" s="65" t="e">
        <f t="shared" si="831"/>
        <v>#NUM!</v>
      </c>
      <c r="K5320" s="83" t="e">
        <f t="shared" si="832"/>
        <v>#NUM!</v>
      </c>
      <c r="L5320" s="83">
        <f t="shared" si="833"/>
        <v>0</v>
      </c>
      <c r="M5320" s="110" t="str">
        <f t="shared" si="834"/>
        <v/>
      </c>
      <c r="N5320" s="51" t="str">
        <f t="shared" si="835"/>
        <v/>
      </c>
      <c r="O5320" s="52" t="str">
        <f t="shared" si="836"/>
        <v/>
      </c>
      <c r="P5320" s="88">
        <f t="shared" si="837"/>
        <v>0</v>
      </c>
      <c r="Q5320" s="88">
        <f t="shared" si="838"/>
        <v>0</v>
      </c>
      <c r="R5320" s="88" t="e">
        <f>-IF(Tabla14[[#This Row],[DIAS HABILES O MORA]]&lt;0,(Tabla14[[#This Row],[VALOR PRESTAMO]]*Tabla14[[#This Row],[% INTERES ]]/30*U5320))+Tabla14[[#This Row],[VALOR CUOTAS]]</f>
        <v>#VALUE!</v>
      </c>
      <c r="S5320" s="88">
        <f>-IF(Tabla14[[#This Row],[DIAS HABILES O MORA]]&lt;0,(Tabla14[[#This Row],[VALOR PRESTAMO]]*Tabla14[[#This Row],[% INTERES ]]/30*U5320))</f>
        <v>0</v>
      </c>
      <c r="T5320" s="53" t="e">
        <f>Tabla14[[#This Row],[DEUDA CAPITAL]]+Tabla14[[#This Row],[INTERES  CUOTA]]</f>
        <v>#NUM!</v>
      </c>
      <c r="U5320" s="61" t="str">
        <f t="shared" si="839"/>
        <v/>
      </c>
    </row>
    <row r="5321" spans="9:21" ht="24.75" customHeight="1" x14ac:dyDescent="0.35">
      <c r="I5321" s="42">
        <f t="shared" si="830"/>
        <v>0</v>
      </c>
      <c r="J5321" s="65" t="e">
        <f t="shared" si="831"/>
        <v>#NUM!</v>
      </c>
      <c r="K5321" s="83" t="e">
        <f t="shared" si="832"/>
        <v>#NUM!</v>
      </c>
      <c r="L5321" s="83">
        <f t="shared" si="833"/>
        <v>0</v>
      </c>
      <c r="M5321" s="110" t="str">
        <f t="shared" si="834"/>
        <v/>
      </c>
      <c r="N5321" s="51" t="str">
        <f t="shared" si="835"/>
        <v/>
      </c>
      <c r="O5321" s="52" t="str">
        <f t="shared" si="836"/>
        <v/>
      </c>
      <c r="P5321" s="88">
        <f t="shared" si="837"/>
        <v>0</v>
      </c>
      <c r="Q5321" s="88">
        <f t="shared" si="838"/>
        <v>0</v>
      </c>
      <c r="R5321" s="88" t="e">
        <f>-IF(Tabla14[[#This Row],[DIAS HABILES O MORA]]&lt;0,(Tabla14[[#This Row],[VALOR PRESTAMO]]*Tabla14[[#This Row],[% INTERES ]]/30*U5321))+Tabla14[[#This Row],[VALOR CUOTAS]]</f>
        <v>#VALUE!</v>
      </c>
      <c r="S5321" s="88">
        <f>-IF(Tabla14[[#This Row],[DIAS HABILES O MORA]]&lt;0,(Tabla14[[#This Row],[VALOR PRESTAMO]]*Tabla14[[#This Row],[% INTERES ]]/30*U5321))</f>
        <v>0</v>
      </c>
      <c r="T5321" s="53" t="e">
        <f>Tabla14[[#This Row],[DEUDA CAPITAL]]+Tabla14[[#This Row],[INTERES  CUOTA]]</f>
        <v>#NUM!</v>
      </c>
      <c r="U5321" s="61" t="str">
        <f t="shared" si="839"/>
        <v/>
      </c>
    </row>
    <row r="5322" spans="9:21" ht="24.75" customHeight="1" x14ac:dyDescent="0.35">
      <c r="I5322" s="42">
        <f t="shared" si="830"/>
        <v>0</v>
      </c>
      <c r="J5322" s="65" t="e">
        <f t="shared" si="831"/>
        <v>#NUM!</v>
      </c>
      <c r="K5322" s="83" t="e">
        <f t="shared" si="832"/>
        <v>#NUM!</v>
      </c>
      <c r="L5322" s="83">
        <f t="shared" si="833"/>
        <v>0</v>
      </c>
      <c r="M5322" s="110" t="str">
        <f t="shared" si="834"/>
        <v/>
      </c>
      <c r="N5322" s="51" t="str">
        <f t="shared" si="835"/>
        <v/>
      </c>
      <c r="O5322" s="52" t="str">
        <f t="shared" si="836"/>
        <v/>
      </c>
      <c r="P5322" s="88">
        <f t="shared" si="837"/>
        <v>0</v>
      </c>
      <c r="Q5322" s="88">
        <f t="shared" si="838"/>
        <v>0</v>
      </c>
      <c r="R5322" s="88" t="e">
        <f>-IF(Tabla14[[#This Row],[DIAS HABILES O MORA]]&lt;0,(Tabla14[[#This Row],[VALOR PRESTAMO]]*Tabla14[[#This Row],[% INTERES ]]/30*U5322))+Tabla14[[#This Row],[VALOR CUOTAS]]</f>
        <v>#VALUE!</v>
      </c>
      <c r="S5322" s="88">
        <f>-IF(Tabla14[[#This Row],[DIAS HABILES O MORA]]&lt;0,(Tabla14[[#This Row],[VALOR PRESTAMO]]*Tabla14[[#This Row],[% INTERES ]]/30*U5322))</f>
        <v>0</v>
      </c>
      <c r="T5322" s="53" t="e">
        <f>Tabla14[[#This Row],[DEUDA CAPITAL]]+Tabla14[[#This Row],[INTERES  CUOTA]]</f>
        <v>#NUM!</v>
      </c>
      <c r="U5322" s="61" t="str">
        <f t="shared" si="839"/>
        <v/>
      </c>
    </row>
    <row r="5323" spans="9:21" ht="24.75" customHeight="1" x14ac:dyDescent="0.35">
      <c r="I5323" s="42">
        <f t="shared" si="830"/>
        <v>0</v>
      </c>
      <c r="J5323" s="65" t="e">
        <f t="shared" si="831"/>
        <v>#NUM!</v>
      </c>
      <c r="K5323" s="83" t="e">
        <f t="shared" si="832"/>
        <v>#NUM!</v>
      </c>
      <c r="L5323" s="83">
        <f t="shared" si="833"/>
        <v>0</v>
      </c>
      <c r="M5323" s="110" t="str">
        <f t="shared" si="834"/>
        <v/>
      </c>
      <c r="N5323" s="51" t="str">
        <f t="shared" si="835"/>
        <v/>
      </c>
      <c r="O5323" s="52" t="str">
        <f t="shared" si="836"/>
        <v/>
      </c>
      <c r="P5323" s="88">
        <f t="shared" si="837"/>
        <v>0</v>
      </c>
      <c r="Q5323" s="88">
        <f t="shared" si="838"/>
        <v>0</v>
      </c>
      <c r="R5323" s="88" t="e">
        <f>-IF(Tabla14[[#This Row],[DIAS HABILES O MORA]]&lt;0,(Tabla14[[#This Row],[VALOR PRESTAMO]]*Tabla14[[#This Row],[% INTERES ]]/30*U5323))+Tabla14[[#This Row],[VALOR CUOTAS]]</f>
        <v>#VALUE!</v>
      </c>
      <c r="S5323" s="88">
        <f>-IF(Tabla14[[#This Row],[DIAS HABILES O MORA]]&lt;0,(Tabla14[[#This Row],[VALOR PRESTAMO]]*Tabla14[[#This Row],[% INTERES ]]/30*U5323))</f>
        <v>0</v>
      </c>
      <c r="T5323" s="53" t="e">
        <f>Tabla14[[#This Row],[DEUDA CAPITAL]]+Tabla14[[#This Row],[INTERES  CUOTA]]</f>
        <v>#NUM!</v>
      </c>
      <c r="U5323" s="61" t="str">
        <f t="shared" si="839"/>
        <v/>
      </c>
    </row>
    <row r="5324" spans="9:21" ht="24.75" customHeight="1" x14ac:dyDescent="0.35">
      <c r="I5324" s="42">
        <f t="shared" si="830"/>
        <v>0</v>
      </c>
      <c r="J5324" s="65" t="e">
        <f t="shared" si="831"/>
        <v>#NUM!</v>
      </c>
      <c r="K5324" s="83" t="e">
        <f t="shared" si="832"/>
        <v>#NUM!</v>
      </c>
      <c r="L5324" s="83">
        <f t="shared" si="833"/>
        <v>0</v>
      </c>
      <c r="M5324" s="110" t="str">
        <f t="shared" si="834"/>
        <v/>
      </c>
      <c r="N5324" s="51" t="str">
        <f t="shared" si="835"/>
        <v/>
      </c>
      <c r="O5324" s="52" t="str">
        <f t="shared" si="836"/>
        <v/>
      </c>
      <c r="P5324" s="88">
        <f t="shared" si="837"/>
        <v>0</v>
      </c>
      <c r="Q5324" s="88">
        <f t="shared" si="838"/>
        <v>0</v>
      </c>
      <c r="R5324" s="88" t="e">
        <f>-IF(Tabla14[[#This Row],[DIAS HABILES O MORA]]&lt;0,(Tabla14[[#This Row],[VALOR PRESTAMO]]*Tabla14[[#This Row],[% INTERES ]]/30*U5324))+Tabla14[[#This Row],[VALOR CUOTAS]]</f>
        <v>#VALUE!</v>
      </c>
      <c r="S5324" s="88">
        <f>-IF(Tabla14[[#This Row],[DIAS HABILES O MORA]]&lt;0,(Tabla14[[#This Row],[VALOR PRESTAMO]]*Tabla14[[#This Row],[% INTERES ]]/30*U5324))</f>
        <v>0</v>
      </c>
      <c r="T5324" s="53" t="e">
        <f>Tabla14[[#This Row],[DEUDA CAPITAL]]+Tabla14[[#This Row],[INTERES  CUOTA]]</f>
        <v>#NUM!</v>
      </c>
      <c r="U5324" s="61" t="str">
        <f t="shared" si="839"/>
        <v/>
      </c>
    </row>
    <row r="5325" spans="9:21" ht="24.75" customHeight="1" x14ac:dyDescent="0.35">
      <c r="I5325" s="42">
        <f t="shared" si="830"/>
        <v>0</v>
      </c>
      <c r="J5325" s="65" t="e">
        <f t="shared" si="831"/>
        <v>#NUM!</v>
      </c>
      <c r="K5325" s="83" t="e">
        <f t="shared" si="832"/>
        <v>#NUM!</v>
      </c>
      <c r="L5325" s="83">
        <f t="shared" si="833"/>
        <v>0</v>
      </c>
      <c r="M5325" s="110" t="str">
        <f t="shared" si="834"/>
        <v/>
      </c>
      <c r="N5325" s="51" t="str">
        <f t="shared" si="835"/>
        <v/>
      </c>
      <c r="O5325" s="52" t="str">
        <f t="shared" si="836"/>
        <v/>
      </c>
      <c r="P5325" s="88">
        <f t="shared" si="837"/>
        <v>0</v>
      </c>
      <c r="Q5325" s="88">
        <f t="shared" si="838"/>
        <v>0</v>
      </c>
      <c r="R5325" s="88" t="e">
        <f>-IF(Tabla14[[#This Row],[DIAS HABILES O MORA]]&lt;0,(Tabla14[[#This Row],[VALOR PRESTAMO]]*Tabla14[[#This Row],[% INTERES ]]/30*U5325))+Tabla14[[#This Row],[VALOR CUOTAS]]</f>
        <v>#VALUE!</v>
      </c>
      <c r="S5325" s="88">
        <f>-IF(Tabla14[[#This Row],[DIAS HABILES O MORA]]&lt;0,(Tabla14[[#This Row],[VALOR PRESTAMO]]*Tabla14[[#This Row],[% INTERES ]]/30*U5325))</f>
        <v>0</v>
      </c>
      <c r="T5325" s="53" t="e">
        <f>Tabla14[[#This Row],[DEUDA CAPITAL]]+Tabla14[[#This Row],[INTERES  CUOTA]]</f>
        <v>#NUM!</v>
      </c>
      <c r="U5325" s="61" t="str">
        <f t="shared" si="839"/>
        <v/>
      </c>
    </row>
    <row r="5326" spans="9:21" ht="24.75" customHeight="1" x14ac:dyDescent="0.35">
      <c r="I5326" s="42">
        <f t="shared" si="830"/>
        <v>0</v>
      </c>
      <c r="J5326" s="65" t="e">
        <f t="shared" si="831"/>
        <v>#NUM!</v>
      </c>
      <c r="K5326" s="83" t="e">
        <f t="shared" si="832"/>
        <v>#NUM!</v>
      </c>
      <c r="L5326" s="83">
        <f t="shared" si="833"/>
        <v>0</v>
      </c>
      <c r="M5326" s="110" t="str">
        <f t="shared" si="834"/>
        <v/>
      </c>
      <c r="N5326" s="51" t="str">
        <f t="shared" si="835"/>
        <v/>
      </c>
      <c r="O5326" s="52" t="str">
        <f t="shared" si="836"/>
        <v/>
      </c>
      <c r="P5326" s="88">
        <f t="shared" si="837"/>
        <v>0</v>
      </c>
      <c r="Q5326" s="88">
        <f t="shared" si="838"/>
        <v>0</v>
      </c>
      <c r="R5326" s="88" t="e">
        <f>-IF(Tabla14[[#This Row],[DIAS HABILES O MORA]]&lt;0,(Tabla14[[#This Row],[VALOR PRESTAMO]]*Tabla14[[#This Row],[% INTERES ]]/30*U5326))+Tabla14[[#This Row],[VALOR CUOTAS]]</f>
        <v>#VALUE!</v>
      </c>
      <c r="S5326" s="88">
        <f>-IF(Tabla14[[#This Row],[DIAS HABILES O MORA]]&lt;0,(Tabla14[[#This Row],[VALOR PRESTAMO]]*Tabla14[[#This Row],[% INTERES ]]/30*U5326))</f>
        <v>0</v>
      </c>
      <c r="T5326" s="53" t="e">
        <f>Tabla14[[#This Row],[DEUDA CAPITAL]]+Tabla14[[#This Row],[INTERES  CUOTA]]</f>
        <v>#NUM!</v>
      </c>
      <c r="U5326" s="61" t="str">
        <f t="shared" si="839"/>
        <v/>
      </c>
    </row>
    <row r="5327" spans="9:21" ht="24.75" customHeight="1" x14ac:dyDescent="0.35">
      <c r="I5327" s="42">
        <f t="shared" si="830"/>
        <v>0</v>
      </c>
      <c r="J5327" s="65" t="e">
        <f t="shared" si="831"/>
        <v>#NUM!</v>
      </c>
      <c r="K5327" s="83" t="e">
        <f t="shared" si="832"/>
        <v>#NUM!</v>
      </c>
      <c r="L5327" s="83">
        <f t="shared" si="833"/>
        <v>0</v>
      </c>
      <c r="M5327" s="110" t="str">
        <f t="shared" si="834"/>
        <v/>
      </c>
      <c r="N5327" s="51" t="str">
        <f t="shared" si="835"/>
        <v/>
      </c>
      <c r="O5327" s="52" t="str">
        <f t="shared" si="836"/>
        <v/>
      </c>
      <c r="P5327" s="88">
        <f t="shared" si="837"/>
        <v>0</v>
      </c>
      <c r="Q5327" s="88">
        <f t="shared" si="838"/>
        <v>0</v>
      </c>
      <c r="R5327" s="88" t="e">
        <f>-IF(Tabla14[[#This Row],[DIAS HABILES O MORA]]&lt;0,(Tabla14[[#This Row],[VALOR PRESTAMO]]*Tabla14[[#This Row],[% INTERES ]]/30*U5327))+Tabla14[[#This Row],[VALOR CUOTAS]]</f>
        <v>#VALUE!</v>
      </c>
      <c r="S5327" s="88">
        <f>-IF(Tabla14[[#This Row],[DIAS HABILES O MORA]]&lt;0,(Tabla14[[#This Row],[VALOR PRESTAMO]]*Tabla14[[#This Row],[% INTERES ]]/30*U5327))</f>
        <v>0</v>
      </c>
      <c r="T5327" s="53" t="e">
        <f>Tabla14[[#This Row],[DEUDA CAPITAL]]+Tabla14[[#This Row],[INTERES  CUOTA]]</f>
        <v>#NUM!</v>
      </c>
      <c r="U5327" s="61" t="str">
        <f t="shared" si="839"/>
        <v/>
      </c>
    </row>
    <row r="5328" spans="9:21" ht="24.75" customHeight="1" x14ac:dyDescent="0.35">
      <c r="I5328" s="42">
        <f t="shared" ref="I5328:I5391" si="840">IF(C5328&lt;0,"",IF(Q5328=0,0,IF(G5328=0,H5328+1,IF(H5328&lt;G5328,H5328+1,IF(G5328=H5328,0)))))</f>
        <v>0</v>
      </c>
      <c r="J5328" s="65" t="e">
        <f t="shared" ref="J5328:J5391" si="841">IF(F5328="SOLO INTERES",Q5328*D5328,-IPMT(D5328,I5328,G5328,C5328))</f>
        <v>#NUM!</v>
      </c>
      <c r="K5328" s="83" t="e">
        <f t="shared" ref="K5328:K5391" si="842">IF(F5328="SOLO INTERES",0,-PPMT(D5328,I5328,G5328,C5328))</f>
        <v>#NUM!</v>
      </c>
      <c r="L5328" s="83">
        <f t="shared" ref="L5328:L5391" si="843">IF(F5328="SOLO INTERES",SUM(Y5328:AAE5328),IFERROR(-CUMIPMT(D5328,G5328,C5328,1,H5328,0),0)+SUM(Y5328:WY5328))</f>
        <v>0</v>
      </c>
      <c r="M5328" s="110" t="str">
        <f t="shared" ref="M5328:M5391" si="844">IFERROR(IF(F5328="SOLO INTERES",Q5328*D5328,-PMT(D5328,G5328,C5328,0)),"")</f>
        <v/>
      </c>
      <c r="N5328" s="51" t="str">
        <f t="shared" ref="N5328:N5391" si="845">IF(Q5328=0,"",IF(E5328="MENSUAL",EDATE(B5328,I5328),IF(E5328="QUINCENAL",B5328+(I5328*15),IF(E5328="SEMANAL",B5328+(I5328*7)))))</f>
        <v/>
      </c>
      <c r="O5328" s="52" t="str">
        <f t="shared" ref="O5328:O5391" si="846">IF(C5328=0,"",IF(Q5328&lt;1,"PAGADO",IF(N5328=$A$3,"COBRAR HOY",IF(N5328&lt;$A$3,"EN MORA",IF(N5328&gt;$A$3,"AL DIA")))))</f>
        <v/>
      </c>
      <c r="P5328" s="88">
        <f t="shared" ref="P5328:P5391" si="847">IFERROR(-CUMPRINC(D5328,G5328,C5328,1,H5328,0),0)+W5328</f>
        <v>0</v>
      </c>
      <c r="Q5328" s="88">
        <f t="shared" ref="Q5328:Q5391" si="848">IFERROR(C5328-P5328,"")</f>
        <v>0</v>
      </c>
      <c r="R5328" s="88" t="e">
        <f>-IF(Tabla14[[#This Row],[DIAS HABILES O MORA]]&lt;0,(Tabla14[[#This Row],[VALOR PRESTAMO]]*Tabla14[[#This Row],[% INTERES ]]/30*U5328))+Tabla14[[#This Row],[VALOR CUOTAS]]</f>
        <v>#VALUE!</v>
      </c>
      <c r="S5328" s="88">
        <f>-IF(Tabla14[[#This Row],[DIAS HABILES O MORA]]&lt;0,(Tabla14[[#This Row],[VALOR PRESTAMO]]*Tabla14[[#This Row],[% INTERES ]]/30*U5328))</f>
        <v>0</v>
      </c>
      <c r="T5328" s="53" t="e">
        <f>Tabla14[[#This Row],[DEUDA CAPITAL]]+Tabla14[[#This Row],[INTERES  CUOTA]]</f>
        <v>#NUM!</v>
      </c>
      <c r="U5328" s="61" t="str">
        <f t="shared" ref="U5328:U5391" si="849">IF(O5328="PAGADO","",IFERROR(-IF(C5328=0,"",$A$3-N5328),""))</f>
        <v/>
      </c>
    </row>
    <row r="5329" spans="9:21" ht="24.75" customHeight="1" x14ac:dyDescent="0.35">
      <c r="I5329" s="42">
        <f t="shared" si="840"/>
        <v>0</v>
      </c>
      <c r="J5329" s="65" t="e">
        <f t="shared" si="841"/>
        <v>#NUM!</v>
      </c>
      <c r="K5329" s="83" t="e">
        <f t="shared" si="842"/>
        <v>#NUM!</v>
      </c>
      <c r="L5329" s="83">
        <f t="shared" si="843"/>
        <v>0</v>
      </c>
      <c r="M5329" s="110" t="str">
        <f t="shared" si="844"/>
        <v/>
      </c>
      <c r="N5329" s="51" t="str">
        <f t="shared" si="845"/>
        <v/>
      </c>
      <c r="O5329" s="52" t="str">
        <f t="shared" si="846"/>
        <v/>
      </c>
      <c r="P5329" s="88">
        <f t="shared" si="847"/>
        <v>0</v>
      </c>
      <c r="Q5329" s="88">
        <f t="shared" si="848"/>
        <v>0</v>
      </c>
      <c r="R5329" s="88" t="e">
        <f>-IF(Tabla14[[#This Row],[DIAS HABILES O MORA]]&lt;0,(Tabla14[[#This Row],[VALOR PRESTAMO]]*Tabla14[[#This Row],[% INTERES ]]/30*U5329))+Tabla14[[#This Row],[VALOR CUOTAS]]</f>
        <v>#VALUE!</v>
      </c>
      <c r="S5329" s="88">
        <f>-IF(Tabla14[[#This Row],[DIAS HABILES O MORA]]&lt;0,(Tabla14[[#This Row],[VALOR PRESTAMO]]*Tabla14[[#This Row],[% INTERES ]]/30*U5329))</f>
        <v>0</v>
      </c>
      <c r="T5329" s="53" t="e">
        <f>Tabla14[[#This Row],[DEUDA CAPITAL]]+Tabla14[[#This Row],[INTERES  CUOTA]]</f>
        <v>#NUM!</v>
      </c>
      <c r="U5329" s="61" t="str">
        <f t="shared" si="849"/>
        <v/>
      </c>
    </row>
    <row r="5330" spans="9:21" ht="24.75" customHeight="1" x14ac:dyDescent="0.35">
      <c r="I5330" s="42">
        <f t="shared" si="840"/>
        <v>0</v>
      </c>
      <c r="J5330" s="65" t="e">
        <f t="shared" si="841"/>
        <v>#NUM!</v>
      </c>
      <c r="K5330" s="83" t="e">
        <f t="shared" si="842"/>
        <v>#NUM!</v>
      </c>
      <c r="L5330" s="83">
        <f t="shared" si="843"/>
        <v>0</v>
      </c>
      <c r="M5330" s="110" t="str">
        <f t="shared" si="844"/>
        <v/>
      </c>
      <c r="N5330" s="51" t="str">
        <f t="shared" si="845"/>
        <v/>
      </c>
      <c r="O5330" s="52" t="str">
        <f t="shared" si="846"/>
        <v/>
      </c>
      <c r="P5330" s="88">
        <f t="shared" si="847"/>
        <v>0</v>
      </c>
      <c r="Q5330" s="88">
        <f t="shared" si="848"/>
        <v>0</v>
      </c>
      <c r="R5330" s="88" t="e">
        <f>-IF(Tabla14[[#This Row],[DIAS HABILES O MORA]]&lt;0,(Tabla14[[#This Row],[VALOR PRESTAMO]]*Tabla14[[#This Row],[% INTERES ]]/30*U5330))+Tabla14[[#This Row],[VALOR CUOTAS]]</f>
        <v>#VALUE!</v>
      </c>
      <c r="S5330" s="88">
        <f>-IF(Tabla14[[#This Row],[DIAS HABILES O MORA]]&lt;0,(Tabla14[[#This Row],[VALOR PRESTAMO]]*Tabla14[[#This Row],[% INTERES ]]/30*U5330))</f>
        <v>0</v>
      </c>
      <c r="T5330" s="53" t="e">
        <f>Tabla14[[#This Row],[DEUDA CAPITAL]]+Tabla14[[#This Row],[INTERES  CUOTA]]</f>
        <v>#NUM!</v>
      </c>
      <c r="U5330" s="61" t="str">
        <f t="shared" si="849"/>
        <v/>
      </c>
    </row>
    <row r="5331" spans="9:21" ht="24.75" customHeight="1" x14ac:dyDescent="0.35">
      <c r="I5331" s="42">
        <f t="shared" si="840"/>
        <v>0</v>
      </c>
      <c r="J5331" s="65" t="e">
        <f t="shared" si="841"/>
        <v>#NUM!</v>
      </c>
      <c r="K5331" s="83" t="e">
        <f t="shared" si="842"/>
        <v>#NUM!</v>
      </c>
      <c r="L5331" s="83">
        <f t="shared" si="843"/>
        <v>0</v>
      </c>
      <c r="M5331" s="110" t="str">
        <f t="shared" si="844"/>
        <v/>
      </c>
      <c r="N5331" s="51" t="str">
        <f t="shared" si="845"/>
        <v/>
      </c>
      <c r="O5331" s="52" t="str">
        <f t="shared" si="846"/>
        <v/>
      </c>
      <c r="P5331" s="88">
        <f t="shared" si="847"/>
        <v>0</v>
      </c>
      <c r="Q5331" s="88">
        <f t="shared" si="848"/>
        <v>0</v>
      </c>
      <c r="R5331" s="88" t="e">
        <f>-IF(Tabla14[[#This Row],[DIAS HABILES O MORA]]&lt;0,(Tabla14[[#This Row],[VALOR PRESTAMO]]*Tabla14[[#This Row],[% INTERES ]]/30*U5331))+Tabla14[[#This Row],[VALOR CUOTAS]]</f>
        <v>#VALUE!</v>
      </c>
      <c r="S5331" s="88">
        <f>-IF(Tabla14[[#This Row],[DIAS HABILES O MORA]]&lt;0,(Tabla14[[#This Row],[VALOR PRESTAMO]]*Tabla14[[#This Row],[% INTERES ]]/30*U5331))</f>
        <v>0</v>
      </c>
      <c r="T5331" s="53" t="e">
        <f>Tabla14[[#This Row],[DEUDA CAPITAL]]+Tabla14[[#This Row],[INTERES  CUOTA]]</f>
        <v>#NUM!</v>
      </c>
      <c r="U5331" s="61" t="str">
        <f t="shared" si="849"/>
        <v/>
      </c>
    </row>
    <row r="5332" spans="9:21" ht="24.75" customHeight="1" x14ac:dyDescent="0.35">
      <c r="I5332" s="42">
        <f t="shared" si="840"/>
        <v>0</v>
      </c>
      <c r="J5332" s="65" t="e">
        <f t="shared" si="841"/>
        <v>#NUM!</v>
      </c>
      <c r="K5332" s="83" t="e">
        <f t="shared" si="842"/>
        <v>#NUM!</v>
      </c>
      <c r="L5332" s="83">
        <f t="shared" si="843"/>
        <v>0</v>
      </c>
      <c r="M5332" s="110" t="str">
        <f t="shared" si="844"/>
        <v/>
      </c>
      <c r="N5332" s="51" t="str">
        <f t="shared" si="845"/>
        <v/>
      </c>
      <c r="O5332" s="52" t="str">
        <f t="shared" si="846"/>
        <v/>
      </c>
      <c r="P5332" s="88">
        <f t="shared" si="847"/>
        <v>0</v>
      </c>
      <c r="Q5332" s="88">
        <f t="shared" si="848"/>
        <v>0</v>
      </c>
      <c r="R5332" s="88" t="e">
        <f>-IF(Tabla14[[#This Row],[DIAS HABILES O MORA]]&lt;0,(Tabla14[[#This Row],[VALOR PRESTAMO]]*Tabla14[[#This Row],[% INTERES ]]/30*U5332))+Tabla14[[#This Row],[VALOR CUOTAS]]</f>
        <v>#VALUE!</v>
      </c>
      <c r="S5332" s="88">
        <f>-IF(Tabla14[[#This Row],[DIAS HABILES O MORA]]&lt;0,(Tabla14[[#This Row],[VALOR PRESTAMO]]*Tabla14[[#This Row],[% INTERES ]]/30*U5332))</f>
        <v>0</v>
      </c>
      <c r="T5332" s="53" t="e">
        <f>Tabla14[[#This Row],[DEUDA CAPITAL]]+Tabla14[[#This Row],[INTERES  CUOTA]]</f>
        <v>#NUM!</v>
      </c>
      <c r="U5332" s="61" t="str">
        <f t="shared" si="849"/>
        <v/>
      </c>
    </row>
    <row r="5333" spans="9:21" ht="24.75" customHeight="1" x14ac:dyDescent="0.35">
      <c r="I5333" s="42">
        <f t="shared" si="840"/>
        <v>0</v>
      </c>
      <c r="J5333" s="65" t="e">
        <f t="shared" si="841"/>
        <v>#NUM!</v>
      </c>
      <c r="K5333" s="83" t="e">
        <f t="shared" si="842"/>
        <v>#NUM!</v>
      </c>
      <c r="L5333" s="83">
        <f t="shared" si="843"/>
        <v>0</v>
      </c>
      <c r="M5333" s="110" t="str">
        <f t="shared" si="844"/>
        <v/>
      </c>
      <c r="N5333" s="51" t="str">
        <f t="shared" si="845"/>
        <v/>
      </c>
      <c r="O5333" s="52" t="str">
        <f t="shared" si="846"/>
        <v/>
      </c>
      <c r="P5333" s="88">
        <f t="shared" si="847"/>
        <v>0</v>
      </c>
      <c r="Q5333" s="88">
        <f t="shared" si="848"/>
        <v>0</v>
      </c>
      <c r="R5333" s="88" t="e">
        <f>-IF(Tabla14[[#This Row],[DIAS HABILES O MORA]]&lt;0,(Tabla14[[#This Row],[VALOR PRESTAMO]]*Tabla14[[#This Row],[% INTERES ]]/30*U5333))+Tabla14[[#This Row],[VALOR CUOTAS]]</f>
        <v>#VALUE!</v>
      </c>
      <c r="S5333" s="88">
        <f>-IF(Tabla14[[#This Row],[DIAS HABILES O MORA]]&lt;0,(Tabla14[[#This Row],[VALOR PRESTAMO]]*Tabla14[[#This Row],[% INTERES ]]/30*U5333))</f>
        <v>0</v>
      </c>
      <c r="T5333" s="53" t="e">
        <f>Tabla14[[#This Row],[DEUDA CAPITAL]]+Tabla14[[#This Row],[INTERES  CUOTA]]</f>
        <v>#NUM!</v>
      </c>
      <c r="U5333" s="61" t="str">
        <f t="shared" si="849"/>
        <v/>
      </c>
    </row>
    <row r="5334" spans="9:21" ht="24.75" customHeight="1" x14ac:dyDescent="0.35">
      <c r="I5334" s="42">
        <f t="shared" si="840"/>
        <v>0</v>
      </c>
      <c r="J5334" s="65" t="e">
        <f t="shared" si="841"/>
        <v>#NUM!</v>
      </c>
      <c r="K5334" s="83" t="e">
        <f t="shared" si="842"/>
        <v>#NUM!</v>
      </c>
      <c r="L5334" s="83">
        <f t="shared" si="843"/>
        <v>0</v>
      </c>
      <c r="M5334" s="110" t="str">
        <f t="shared" si="844"/>
        <v/>
      </c>
      <c r="N5334" s="51" t="str">
        <f t="shared" si="845"/>
        <v/>
      </c>
      <c r="O5334" s="52" t="str">
        <f t="shared" si="846"/>
        <v/>
      </c>
      <c r="P5334" s="88">
        <f t="shared" si="847"/>
        <v>0</v>
      </c>
      <c r="Q5334" s="88">
        <f t="shared" si="848"/>
        <v>0</v>
      </c>
      <c r="R5334" s="88" t="e">
        <f>-IF(Tabla14[[#This Row],[DIAS HABILES O MORA]]&lt;0,(Tabla14[[#This Row],[VALOR PRESTAMO]]*Tabla14[[#This Row],[% INTERES ]]/30*U5334))+Tabla14[[#This Row],[VALOR CUOTAS]]</f>
        <v>#VALUE!</v>
      </c>
      <c r="S5334" s="88">
        <f>-IF(Tabla14[[#This Row],[DIAS HABILES O MORA]]&lt;0,(Tabla14[[#This Row],[VALOR PRESTAMO]]*Tabla14[[#This Row],[% INTERES ]]/30*U5334))</f>
        <v>0</v>
      </c>
      <c r="T5334" s="53" t="e">
        <f>Tabla14[[#This Row],[DEUDA CAPITAL]]+Tabla14[[#This Row],[INTERES  CUOTA]]</f>
        <v>#NUM!</v>
      </c>
      <c r="U5334" s="61" t="str">
        <f t="shared" si="849"/>
        <v/>
      </c>
    </row>
    <row r="5335" spans="9:21" ht="24.75" customHeight="1" x14ac:dyDescent="0.35">
      <c r="I5335" s="42">
        <f t="shared" si="840"/>
        <v>0</v>
      </c>
      <c r="J5335" s="65" t="e">
        <f t="shared" si="841"/>
        <v>#NUM!</v>
      </c>
      <c r="K5335" s="83" t="e">
        <f t="shared" si="842"/>
        <v>#NUM!</v>
      </c>
      <c r="L5335" s="83">
        <f t="shared" si="843"/>
        <v>0</v>
      </c>
      <c r="M5335" s="110" t="str">
        <f t="shared" si="844"/>
        <v/>
      </c>
      <c r="N5335" s="51" t="str">
        <f t="shared" si="845"/>
        <v/>
      </c>
      <c r="O5335" s="52" t="str">
        <f t="shared" si="846"/>
        <v/>
      </c>
      <c r="P5335" s="88">
        <f t="shared" si="847"/>
        <v>0</v>
      </c>
      <c r="Q5335" s="88">
        <f t="shared" si="848"/>
        <v>0</v>
      </c>
      <c r="R5335" s="88" t="e">
        <f>-IF(Tabla14[[#This Row],[DIAS HABILES O MORA]]&lt;0,(Tabla14[[#This Row],[VALOR PRESTAMO]]*Tabla14[[#This Row],[% INTERES ]]/30*U5335))+Tabla14[[#This Row],[VALOR CUOTAS]]</f>
        <v>#VALUE!</v>
      </c>
      <c r="S5335" s="88">
        <f>-IF(Tabla14[[#This Row],[DIAS HABILES O MORA]]&lt;0,(Tabla14[[#This Row],[VALOR PRESTAMO]]*Tabla14[[#This Row],[% INTERES ]]/30*U5335))</f>
        <v>0</v>
      </c>
      <c r="T5335" s="53" t="e">
        <f>Tabla14[[#This Row],[DEUDA CAPITAL]]+Tabla14[[#This Row],[INTERES  CUOTA]]</f>
        <v>#NUM!</v>
      </c>
      <c r="U5335" s="61" t="str">
        <f t="shared" si="849"/>
        <v/>
      </c>
    </row>
    <row r="5336" spans="9:21" ht="24.75" customHeight="1" x14ac:dyDescent="0.35">
      <c r="I5336" s="42">
        <f t="shared" si="840"/>
        <v>0</v>
      </c>
      <c r="J5336" s="65" t="e">
        <f t="shared" si="841"/>
        <v>#NUM!</v>
      </c>
      <c r="K5336" s="83" t="e">
        <f t="shared" si="842"/>
        <v>#NUM!</v>
      </c>
      <c r="L5336" s="83">
        <f t="shared" si="843"/>
        <v>0</v>
      </c>
      <c r="M5336" s="110" t="str">
        <f t="shared" si="844"/>
        <v/>
      </c>
      <c r="N5336" s="51" t="str">
        <f t="shared" si="845"/>
        <v/>
      </c>
      <c r="O5336" s="52" t="str">
        <f t="shared" si="846"/>
        <v/>
      </c>
      <c r="P5336" s="88">
        <f t="shared" si="847"/>
        <v>0</v>
      </c>
      <c r="Q5336" s="88">
        <f t="shared" si="848"/>
        <v>0</v>
      </c>
      <c r="R5336" s="88" t="e">
        <f>-IF(Tabla14[[#This Row],[DIAS HABILES O MORA]]&lt;0,(Tabla14[[#This Row],[VALOR PRESTAMO]]*Tabla14[[#This Row],[% INTERES ]]/30*U5336))+Tabla14[[#This Row],[VALOR CUOTAS]]</f>
        <v>#VALUE!</v>
      </c>
      <c r="S5336" s="88">
        <f>-IF(Tabla14[[#This Row],[DIAS HABILES O MORA]]&lt;0,(Tabla14[[#This Row],[VALOR PRESTAMO]]*Tabla14[[#This Row],[% INTERES ]]/30*U5336))</f>
        <v>0</v>
      </c>
      <c r="T5336" s="53" t="e">
        <f>Tabla14[[#This Row],[DEUDA CAPITAL]]+Tabla14[[#This Row],[INTERES  CUOTA]]</f>
        <v>#NUM!</v>
      </c>
      <c r="U5336" s="61" t="str">
        <f t="shared" si="849"/>
        <v/>
      </c>
    </row>
    <row r="5337" spans="9:21" ht="24.75" customHeight="1" x14ac:dyDescent="0.35">
      <c r="I5337" s="42">
        <f t="shared" si="840"/>
        <v>0</v>
      </c>
      <c r="J5337" s="65" t="e">
        <f t="shared" si="841"/>
        <v>#NUM!</v>
      </c>
      <c r="K5337" s="83" t="e">
        <f t="shared" si="842"/>
        <v>#NUM!</v>
      </c>
      <c r="L5337" s="83">
        <f t="shared" si="843"/>
        <v>0</v>
      </c>
      <c r="M5337" s="110" t="str">
        <f t="shared" si="844"/>
        <v/>
      </c>
      <c r="N5337" s="51" t="str">
        <f t="shared" si="845"/>
        <v/>
      </c>
      <c r="O5337" s="52" t="str">
        <f t="shared" si="846"/>
        <v/>
      </c>
      <c r="P5337" s="88">
        <f t="shared" si="847"/>
        <v>0</v>
      </c>
      <c r="Q5337" s="88">
        <f t="shared" si="848"/>
        <v>0</v>
      </c>
      <c r="R5337" s="88" t="e">
        <f>-IF(Tabla14[[#This Row],[DIAS HABILES O MORA]]&lt;0,(Tabla14[[#This Row],[VALOR PRESTAMO]]*Tabla14[[#This Row],[% INTERES ]]/30*U5337))+Tabla14[[#This Row],[VALOR CUOTAS]]</f>
        <v>#VALUE!</v>
      </c>
      <c r="S5337" s="88">
        <f>-IF(Tabla14[[#This Row],[DIAS HABILES O MORA]]&lt;0,(Tabla14[[#This Row],[VALOR PRESTAMO]]*Tabla14[[#This Row],[% INTERES ]]/30*U5337))</f>
        <v>0</v>
      </c>
      <c r="T5337" s="53" t="e">
        <f>Tabla14[[#This Row],[DEUDA CAPITAL]]+Tabla14[[#This Row],[INTERES  CUOTA]]</f>
        <v>#NUM!</v>
      </c>
      <c r="U5337" s="61" t="str">
        <f t="shared" si="849"/>
        <v/>
      </c>
    </row>
    <row r="5338" spans="9:21" ht="24.75" customHeight="1" x14ac:dyDescent="0.35">
      <c r="I5338" s="42">
        <f t="shared" si="840"/>
        <v>0</v>
      </c>
      <c r="J5338" s="65" t="e">
        <f t="shared" si="841"/>
        <v>#NUM!</v>
      </c>
      <c r="K5338" s="83" t="e">
        <f t="shared" si="842"/>
        <v>#NUM!</v>
      </c>
      <c r="L5338" s="83">
        <f t="shared" si="843"/>
        <v>0</v>
      </c>
      <c r="M5338" s="110" t="str">
        <f t="shared" si="844"/>
        <v/>
      </c>
      <c r="N5338" s="51" t="str">
        <f t="shared" si="845"/>
        <v/>
      </c>
      <c r="O5338" s="52" t="str">
        <f t="shared" si="846"/>
        <v/>
      </c>
      <c r="P5338" s="88">
        <f t="shared" si="847"/>
        <v>0</v>
      </c>
      <c r="Q5338" s="88">
        <f t="shared" si="848"/>
        <v>0</v>
      </c>
      <c r="R5338" s="88" t="e">
        <f>-IF(Tabla14[[#This Row],[DIAS HABILES O MORA]]&lt;0,(Tabla14[[#This Row],[VALOR PRESTAMO]]*Tabla14[[#This Row],[% INTERES ]]/30*U5338))+Tabla14[[#This Row],[VALOR CUOTAS]]</f>
        <v>#VALUE!</v>
      </c>
      <c r="S5338" s="88">
        <f>-IF(Tabla14[[#This Row],[DIAS HABILES O MORA]]&lt;0,(Tabla14[[#This Row],[VALOR PRESTAMO]]*Tabla14[[#This Row],[% INTERES ]]/30*U5338))</f>
        <v>0</v>
      </c>
      <c r="T5338" s="53" t="e">
        <f>Tabla14[[#This Row],[DEUDA CAPITAL]]+Tabla14[[#This Row],[INTERES  CUOTA]]</f>
        <v>#NUM!</v>
      </c>
      <c r="U5338" s="61" t="str">
        <f t="shared" si="849"/>
        <v/>
      </c>
    </row>
    <row r="5339" spans="9:21" ht="24.75" customHeight="1" x14ac:dyDescent="0.35">
      <c r="I5339" s="42">
        <f t="shared" si="840"/>
        <v>0</v>
      </c>
      <c r="J5339" s="65" t="e">
        <f t="shared" si="841"/>
        <v>#NUM!</v>
      </c>
      <c r="K5339" s="83" t="e">
        <f t="shared" si="842"/>
        <v>#NUM!</v>
      </c>
      <c r="L5339" s="83">
        <f t="shared" si="843"/>
        <v>0</v>
      </c>
      <c r="M5339" s="110" t="str">
        <f t="shared" si="844"/>
        <v/>
      </c>
      <c r="N5339" s="51" t="str">
        <f t="shared" si="845"/>
        <v/>
      </c>
      <c r="O5339" s="52" t="str">
        <f t="shared" si="846"/>
        <v/>
      </c>
      <c r="P5339" s="88">
        <f t="shared" si="847"/>
        <v>0</v>
      </c>
      <c r="Q5339" s="88">
        <f t="shared" si="848"/>
        <v>0</v>
      </c>
      <c r="R5339" s="88" t="e">
        <f>-IF(Tabla14[[#This Row],[DIAS HABILES O MORA]]&lt;0,(Tabla14[[#This Row],[VALOR PRESTAMO]]*Tabla14[[#This Row],[% INTERES ]]/30*U5339))+Tabla14[[#This Row],[VALOR CUOTAS]]</f>
        <v>#VALUE!</v>
      </c>
      <c r="S5339" s="88">
        <f>-IF(Tabla14[[#This Row],[DIAS HABILES O MORA]]&lt;0,(Tabla14[[#This Row],[VALOR PRESTAMO]]*Tabla14[[#This Row],[% INTERES ]]/30*U5339))</f>
        <v>0</v>
      </c>
      <c r="T5339" s="53" t="e">
        <f>Tabla14[[#This Row],[DEUDA CAPITAL]]+Tabla14[[#This Row],[INTERES  CUOTA]]</f>
        <v>#NUM!</v>
      </c>
      <c r="U5339" s="61" t="str">
        <f t="shared" si="849"/>
        <v/>
      </c>
    </row>
    <row r="5340" spans="9:21" ht="24.75" customHeight="1" x14ac:dyDescent="0.35">
      <c r="I5340" s="42">
        <f t="shared" si="840"/>
        <v>0</v>
      </c>
      <c r="J5340" s="65" t="e">
        <f t="shared" si="841"/>
        <v>#NUM!</v>
      </c>
      <c r="K5340" s="83" t="e">
        <f t="shared" si="842"/>
        <v>#NUM!</v>
      </c>
      <c r="L5340" s="83">
        <f t="shared" si="843"/>
        <v>0</v>
      </c>
      <c r="M5340" s="110" t="str">
        <f t="shared" si="844"/>
        <v/>
      </c>
      <c r="N5340" s="51" t="str">
        <f t="shared" si="845"/>
        <v/>
      </c>
      <c r="O5340" s="52" t="str">
        <f t="shared" si="846"/>
        <v/>
      </c>
      <c r="P5340" s="88">
        <f t="shared" si="847"/>
        <v>0</v>
      </c>
      <c r="Q5340" s="88">
        <f t="shared" si="848"/>
        <v>0</v>
      </c>
      <c r="R5340" s="88" t="e">
        <f>-IF(Tabla14[[#This Row],[DIAS HABILES O MORA]]&lt;0,(Tabla14[[#This Row],[VALOR PRESTAMO]]*Tabla14[[#This Row],[% INTERES ]]/30*U5340))+Tabla14[[#This Row],[VALOR CUOTAS]]</f>
        <v>#VALUE!</v>
      </c>
      <c r="S5340" s="88">
        <f>-IF(Tabla14[[#This Row],[DIAS HABILES O MORA]]&lt;0,(Tabla14[[#This Row],[VALOR PRESTAMO]]*Tabla14[[#This Row],[% INTERES ]]/30*U5340))</f>
        <v>0</v>
      </c>
      <c r="T5340" s="53" t="e">
        <f>Tabla14[[#This Row],[DEUDA CAPITAL]]+Tabla14[[#This Row],[INTERES  CUOTA]]</f>
        <v>#NUM!</v>
      </c>
      <c r="U5340" s="61" t="str">
        <f t="shared" si="849"/>
        <v/>
      </c>
    </row>
    <row r="5341" spans="9:21" ht="24.75" customHeight="1" x14ac:dyDescent="0.35">
      <c r="I5341" s="42">
        <f t="shared" si="840"/>
        <v>0</v>
      </c>
      <c r="J5341" s="65" t="e">
        <f t="shared" si="841"/>
        <v>#NUM!</v>
      </c>
      <c r="K5341" s="83" t="e">
        <f t="shared" si="842"/>
        <v>#NUM!</v>
      </c>
      <c r="L5341" s="83">
        <f t="shared" si="843"/>
        <v>0</v>
      </c>
      <c r="M5341" s="110" t="str">
        <f t="shared" si="844"/>
        <v/>
      </c>
      <c r="N5341" s="51" t="str">
        <f t="shared" si="845"/>
        <v/>
      </c>
      <c r="O5341" s="52" t="str">
        <f t="shared" si="846"/>
        <v/>
      </c>
      <c r="P5341" s="88">
        <f t="shared" si="847"/>
        <v>0</v>
      </c>
      <c r="Q5341" s="88">
        <f t="shared" si="848"/>
        <v>0</v>
      </c>
      <c r="R5341" s="88" t="e">
        <f>-IF(Tabla14[[#This Row],[DIAS HABILES O MORA]]&lt;0,(Tabla14[[#This Row],[VALOR PRESTAMO]]*Tabla14[[#This Row],[% INTERES ]]/30*U5341))+Tabla14[[#This Row],[VALOR CUOTAS]]</f>
        <v>#VALUE!</v>
      </c>
      <c r="S5341" s="88">
        <f>-IF(Tabla14[[#This Row],[DIAS HABILES O MORA]]&lt;0,(Tabla14[[#This Row],[VALOR PRESTAMO]]*Tabla14[[#This Row],[% INTERES ]]/30*U5341))</f>
        <v>0</v>
      </c>
      <c r="T5341" s="53" t="e">
        <f>Tabla14[[#This Row],[DEUDA CAPITAL]]+Tabla14[[#This Row],[INTERES  CUOTA]]</f>
        <v>#NUM!</v>
      </c>
      <c r="U5341" s="61" t="str">
        <f t="shared" si="849"/>
        <v/>
      </c>
    </row>
    <row r="5342" spans="9:21" ht="24.75" customHeight="1" x14ac:dyDescent="0.35">
      <c r="I5342" s="42">
        <f t="shared" si="840"/>
        <v>0</v>
      </c>
      <c r="J5342" s="65" t="e">
        <f t="shared" si="841"/>
        <v>#NUM!</v>
      </c>
      <c r="K5342" s="83" t="e">
        <f t="shared" si="842"/>
        <v>#NUM!</v>
      </c>
      <c r="L5342" s="83">
        <f t="shared" si="843"/>
        <v>0</v>
      </c>
      <c r="M5342" s="110" t="str">
        <f t="shared" si="844"/>
        <v/>
      </c>
      <c r="N5342" s="51" t="str">
        <f t="shared" si="845"/>
        <v/>
      </c>
      <c r="O5342" s="52" t="str">
        <f t="shared" si="846"/>
        <v/>
      </c>
      <c r="P5342" s="88">
        <f t="shared" si="847"/>
        <v>0</v>
      </c>
      <c r="Q5342" s="88">
        <f t="shared" si="848"/>
        <v>0</v>
      </c>
      <c r="R5342" s="88" t="e">
        <f>-IF(Tabla14[[#This Row],[DIAS HABILES O MORA]]&lt;0,(Tabla14[[#This Row],[VALOR PRESTAMO]]*Tabla14[[#This Row],[% INTERES ]]/30*U5342))+Tabla14[[#This Row],[VALOR CUOTAS]]</f>
        <v>#VALUE!</v>
      </c>
      <c r="S5342" s="88">
        <f>-IF(Tabla14[[#This Row],[DIAS HABILES O MORA]]&lt;0,(Tabla14[[#This Row],[VALOR PRESTAMO]]*Tabla14[[#This Row],[% INTERES ]]/30*U5342))</f>
        <v>0</v>
      </c>
      <c r="T5342" s="53" t="e">
        <f>Tabla14[[#This Row],[DEUDA CAPITAL]]+Tabla14[[#This Row],[INTERES  CUOTA]]</f>
        <v>#NUM!</v>
      </c>
      <c r="U5342" s="61" t="str">
        <f t="shared" si="849"/>
        <v/>
      </c>
    </row>
    <row r="5343" spans="9:21" ht="24.75" customHeight="1" x14ac:dyDescent="0.35">
      <c r="I5343" s="42">
        <f t="shared" si="840"/>
        <v>0</v>
      </c>
      <c r="J5343" s="65" t="e">
        <f t="shared" si="841"/>
        <v>#NUM!</v>
      </c>
      <c r="K5343" s="83" t="e">
        <f t="shared" si="842"/>
        <v>#NUM!</v>
      </c>
      <c r="L5343" s="83">
        <f t="shared" si="843"/>
        <v>0</v>
      </c>
      <c r="M5343" s="110" t="str">
        <f t="shared" si="844"/>
        <v/>
      </c>
      <c r="N5343" s="51" t="str">
        <f t="shared" si="845"/>
        <v/>
      </c>
      <c r="O5343" s="52" t="str">
        <f t="shared" si="846"/>
        <v/>
      </c>
      <c r="P5343" s="88">
        <f t="shared" si="847"/>
        <v>0</v>
      </c>
      <c r="Q5343" s="88">
        <f t="shared" si="848"/>
        <v>0</v>
      </c>
      <c r="R5343" s="88" t="e">
        <f>-IF(Tabla14[[#This Row],[DIAS HABILES O MORA]]&lt;0,(Tabla14[[#This Row],[VALOR PRESTAMO]]*Tabla14[[#This Row],[% INTERES ]]/30*U5343))+Tabla14[[#This Row],[VALOR CUOTAS]]</f>
        <v>#VALUE!</v>
      </c>
      <c r="S5343" s="88">
        <f>-IF(Tabla14[[#This Row],[DIAS HABILES O MORA]]&lt;0,(Tabla14[[#This Row],[VALOR PRESTAMO]]*Tabla14[[#This Row],[% INTERES ]]/30*U5343))</f>
        <v>0</v>
      </c>
      <c r="T5343" s="53" t="e">
        <f>Tabla14[[#This Row],[DEUDA CAPITAL]]+Tabla14[[#This Row],[INTERES  CUOTA]]</f>
        <v>#NUM!</v>
      </c>
      <c r="U5343" s="61" t="str">
        <f t="shared" si="849"/>
        <v/>
      </c>
    </row>
    <row r="5344" spans="9:21" ht="24.75" customHeight="1" x14ac:dyDescent="0.35">
      <c r="I5344" s="42">
        <f t="shared" si="840"/>
        <v>0</v>
      </c>
      <c r="J5344" s="65" t="e">
        <f t="shared" si="841"/>
        <v>#NUM!</v>
      </c>
      <c r="K5344" s="83" t="e">
        <f t="shared" si="842"/>
        <v>#NUM!</v>
      </c>
      <c r="L5344" s="83">
        <f t="shared" si="843"/>
        <v>0</v>
      </c>
      <c r="M5344" s="110" t="str">
        <f t="shared" si="844"/>
        <v/>
      </c>
      <c r="N5344" s="51" t="str">
        <f t="shared" si="845"/>
        <v/>
      </c>
      <c r="O5344" s="52" t="str">
        <f t="shared" si="846"/>
        <v/>
      </c>
      <c r="P5344" s="88">
        <f t="shared" si="847"/>
        <v>0</v>
      </c>
      <c r="Q5344" s="88">
        <f t="shared" si="848"/>
        <v>0</v>
      </c>
      <c r="R5344" s="88" t="e">
        <f>-IF(Tabla14[[#This Row],[DIAS HABILES O MORA]]&lt;0,(Tabla14[[#This Row],[VALOR PRESTAMO]]*Tabla14[[#This Row],[% INTERES ]]/30*U5344))+Tabla14[[#This Row],[VALOR CUOTAS]]</f>
        <v>#VALUE!</v>
      </c>
      <c r="S5344" s="88">
        <f>-IF(Tabla14[[#This Row],[DIAS HABILES O MORA]]&lt;0,(Tabla14[[#This Row],[VALOR PRESTAMO]]*Tabla14[[#This Row],[% INTERES ]]/30*U5344))</f>
        <v>0</v>
      </c>
      <c r="T5344" s="53" t="e">
        <f>Tabla14[[#This Row],[DEUDA CAPITAL]]+Tabla14[[#This Row],[INTERES  CUOTA]]</f>
        <v>#NUM!</v>
      </c>
      <c r="U5344" s="61" t="str">
        <f t="shared" si="849"/>
        <v/>
      </c>
    </row>
    <row r="5345" spans="9:21" ht="24.75" customHeight="1" x14ac:dyDescent="0.35">
      <c r="I5345" s="42">
        <f t="shared" si="840"/>
        <v>0</v>
      </c>
      <c r="J5345" s="65" t="e">
        <f t="shared" si="841"/>
        <v>#NUM!</v>
      </c>
      <c r="K5345" s="83" t="e">
        <f t="shared" si="842"/>
        <v>#NUM!</v>
      </c>
      <c r="L5345" s="83">
        <f t="shared" si="843"/>
        <v>0</v>
      </c>
      <c r="M5345" s="110" t="str">
        <f t="shared" si="844"/>
        <v/>
      </c>
      <c r="N5345" s="51" t="str">
        <f t="shared" si="845"/>
        <v/>
      </c>
      <c r="O5345" s="52" t="str">
        <f t="shared" si="846"/>
        <v/>
      </c>
      <c r="P5345" s="88">
        <f t="shared" si="847"/>
        <v>0</v>
      </c>
      <c r="Q5345" s="88">
        <f t="shared" si="848"/>
        <v>0</v>
      </c>
      <c r="R5345" s="88" t="e">
        <f>-IF(Tabla14[[#This Row],[DIAS HABILES O MORA]]&lt;0,(Tabla14[[#This Row],[VALOR PRESTAMO]]*Tabla14[[#This Row],[% INTERES ]]/30*U5345))+Tabla14[[#This Row],[VALOR CUOTAS]]</f>
        <v>#VALUE!</v>
      </c>
      <c r="S5345" s="88">
        <f>-IF(Tabla14[[#This Row],[DIAS HABILES O MORA]]&lt;0,(Tabla14[[#This Row],[VALOR PRESTAMO]]*Tabla14[[#This Row],[% INTERES ]]/30*U5345))</f>
        <v>0</v>
      </c>
      <c r="T5345" s="53" t="e">
        <f>Tabla14[[#This Row],[DEUDA CAPITAL]]+Tabla14[[#This Row],[INTERES  CUOTA]]</f>
        <v>#NUM!</v>
      </c>
      <c r="U5345" s="61" t="str">
        <f t="shared" si="849"/>
        <v/>
      </c>
    </row>
    <row r="5346" spans="9:21" ht="24.75" customHeight="1" x14ac:dyDescent="0.35">
      <c r="I5346" s="42">
        <f t="shared" si="840"/>
        <v>0</v>
      </c>
      <c r="J5346" s="65" t="e">
        <f t="shared" si="841"/>
        <v>#NUM!</v>
      </c>
      <c r="K5346" s="83" t="e">
        <f t="shared" si="842"/>
        <v>#NUM!</v>
      </c>
      <c r="L5346" s="83">
        <f t="shared" si="843"/>
        <v>0</v>
      </c>
      <c r="M5346" s="110" t="str">
        <f t="shared" si="844"/>
        <v/>
      </c>
      <c r="N5346" s="51" t="str">
        <f t="shared" si="845"/>
        <v/>
      </c>
      <c r="O5346" s="52" t="str">
        <f t="shared" si="846"/>
        <v/>
      </c>
      <c r="P5346" s="88">
        <f t="shared" si="847"/>
        <v>0</v>
      </c>
      <c r="Q5346" s="88">
        <f t="shared" si="848"/>
        <v>0</v>
      </c>
      <c r="R5346" s="88" t="e">
        <f>-IF(Tabla14[[#This Row],[DIAS HABILES O MORA]]&lt;0,(Tabla14[[#This Row],[VALOR PRESTAMO]]*Tabla14[[#This Row],[% INTERES ]]/30*U5346))+Tabla14[[#This Row],[VALOR CUOTAS]]</f>
        <v>#VALUE!</v>
      </c>
      <c r="S5346" s="88">
        <f>-IF(Tabla14[[#This Row],[DIAS HABILES O MORA]]&lt;0,(Tabla14[[#This Row],[VALOR PRESTAMO]]*Tabla14[[#This Row],[% INTERES ]]/30*U5346))</f>
        <v>0</v>
      </c>
      <c r="T5346" s="53" t="e">
        <f>Tabla14[[#This Row],[DEUDA CAPITAL]]+Tabla14[[#This Row],[INTERES  CUOTA]]</f>
        <v>#NUM!</v>
      </c>
      <c r="U5346" s="61" t="str">
        <f t="shared" si="849"/>
        <v/>
      </c>
    </row>
    <row r="5347" spans="9:21" ht="24.75" customHeight="1" x14ac:dyDescent="0.35">
      <c r="I5347" s="42">
        <f t="shared" si="840"/>
        <v>0</v>
      </c>
      <c r="J5347" s="65" t="e">
        <f t="shared" si="841"/>
        <v>#NUM!</v>
      </c>
      <c r="K5347" s="83" t="e">
        <f t="shared" si="842"/>
        <v>#NUM!</v>
      </c>
      <c r="L5347" s="83">
        <f t="shared" si="843"/>
        <v>0</v>
      </c>
      <c r="M5347" s="110" t="str">
        <f t="shared" si="844"/>
        <v/>
      </c>
      <c r="N5347" s="51" t="str">
        <f t="shared" si="845"/>
        <v/>
      </c>
      <c r="O5347" s="52" t="str">
        <f t="shared" si="846"/>
        <v/>
      </c>
      <c r="P5347" s="88">
        <f t="shared" si="847"/>
        <v>0</v>
      </c>
      <c r="Q5347" s="88">
        <f t="shared" si="848"/>
        <v>0</v>
      </c>
      <c r="R5347" s="88" t="e">
        <f>-IF(Tabla14[[#This Row],[DIAS HABILES O MORA]]&lt;0,(Tabla14[[#This Row],[VALOR PRESTAMO]]*Tabla14[[#This Row],[% INTERES ]]/30*U5347))+Tabla14[[#This Row],[VALOR CUOTAS]]</f>
        <v>#VALUE!</v>
      </c>
      <c r="S5347" s="88">
        <f>-IF(Tabla14[[#This Row],[DIAS HABILES O MORA]]&lt;0,(Tabla14[[#This Row],[VALOR PRESTAMO]]*Tabla14[[#This Row],[% INTERES ]]/30*U5347))</f>
        <v>0</v>
      </c>
      <c r="T5347" s="53" t="e">
        <f>Tabla14[[#This Row],[DEUDA CAPITAL]]+Tabla14[[#This Row],[INTERES  CUOTA]]</f>
        <v>#NUM!</v>
      </c>
      <c r="U5347" s="61" t="str">
        <f t="shared" si="849"/>
        <v/>
      </c>
    </row>
    <row r="5348" spans="9:21" ht="24.75" customHeight="1" x14ac:dyDescent="0.35">
      <c r="I5348" s="42">
        <f t="shared" si="840"/>
        <v>0</v>
      </c>
      <c r="J5348" s="65" t="e">
        <f t="shared" si="841"/>
        <v>#NUM!</v>
      </c>
      <c r="K5348" s="83" t="e">
        <f t="shared" si="842"/>
        <v>#NUM!</v>
      </c>
      <c r="L5348" s="83">
        <f t="shared" si="843"/>
        <v>0</v>
      </c>
      <c r="M5348" s="110" t="str">
        <f t="shared" si="844"/>
        <v/>
      </c>
      <c r="N5348" s="51" t="str">
        <f t="shared" si="845"/>
        <v/>
      </c>
      <c r="O5348" s="52" t="str">
        <f t="shared" si="846"/>
        <v/>
      </c>
      <c r="P5348" s="88">
        <f t="shared" si="847"/>
        <v>0</v>
      </c>
      <c r="Q5348" s="88">
        <f t="shared" si="848"/>
        <v>0</v>
      </c>
      <c r="R5348" s="88" t="e">
        <f>-IF(Tabla14[[#This Row],[DIAS HABILES O MORA]]&lt;0,(Tabla14[[#This Row],[VALOR PRESTAMO]]*Tabla14[[#This Row],[% INTERES ]]/30*U5348))+Tabla14[[#This Row],[VALOR CUOTAS]]</f>
        <v>#VALUE!</v>
      </c>
      <c r="S5348" s="88">
        <f>-IF(Tabla14[[#This Row],[DIAS HABILES O MORA]]&lt;0,(Tabla14[[#This Row],[VALOR PRESTAMO]]*Tabla14[[#This Row],[% INTERES ]]/30*U5348))</f>
        <v>0</v>
      </c>
      <c r="T5348" s="53" t="e">
        <f>Tabla14[[#This Row],[DEUDA CAPITAL]]+Tabla14[[#This Row],[INTERES  CUOTA]]</f>
        <v>#NUM!</v>
      </c>
      <c r="U5348" s="61" t="str">
        <f t="shared" si="849"/>
        <v/>
      </c>
    </row>
    <row r="5349" spans="9:21" ht="24.75" customHeight="1" x14ac:dyDescent="0.35">
      <c r="I5349" s="42">
        <f t="shared" si="840"/>
        <v>0</v>
      </c>
      <c r="J5349" s="65" t="e">
        <f t="shared" si="841"/>
        <v>#NUM!</v>
      </c>
      <c r="K5349" s="83" t="e">
        <f t="shared" si="842"/>
        <v>#NUM!</v>
      </c>
      <c r="L5349" s="83">
        <f t="shared" si="843"/>
        <v>0</v>
      </c>
      <c r="M5349" s="110" t="str">
        <f t="shared" si="844"/>
        <v/>
      </c>
      <c r="N5349" s="51" t="str">
        <f t="shared" si="845"/>
        <v/>
      </c>
      <c r="O5349" s="52" t="str">
        <f t="shared" si="846"/>
        <v/>
      </c>
      <c r="P5349" s="88">
        <f t="shared" si="847"/>
        <v>0</v>
      </c>
      <c r="Q5349" s="88">
        <f t="shared" si="848"/>
        <v>0</v>
      </c>
      <c r="R5349" s="88" t="e">
        <f>-IF(Tabla14[[#This Row],[DIAS HABILES O MORA]]&lt;0,(Tabla14[[#This Row],[VALOR PRESTAMO]]*Tabla14[[#This Row],[% INTERES ]]/30*U5349))+Tabla14[[#This Row],[VALOR CUOTAS]]</f>
        <v>#VALUE!</v>
      </c>
      <c r="S5349" s="88">
        <f>-IF(Tabla14[[#This Row],[DIAS HABILES O MORA]]&lt;0,(Tabla14[[#This Row],[VALOR PRESTAMO]]*Tabla14[[#This Row],[% INTERES ]]/30*U5349))</f>
        <v>0</v>
      </c>
      <c r="T5349" s="53" t="e">
        <f>Tabla14[[#This Row],[DEUDA CAPITAL]]+Tabla14[[#This Row],[INTERES  CUOTA]]</f>
        <v>#NUM!</v>
      </c>
      <c r="U5349" s="61" t="str">
        <f t="shared" si="849"/>
        <v/>
      </c>
    </row>
    <row r="5350" spans="9:21" ht="24.75" customHeight="1" x14ac:dyDescent="0.35">
      <c r="I5350" s="42">
        <f t="shared" si="840"/>
        <v>0</v>
      </c>
      <c r="J5350" s="65" t="e">
        <f t="shared" si="841"/>
        <v>#NUM!</v>
      </c>
      <c r="K5350" s="83" t="e">
        <f t="shared" si="842"/>
        <v>#NUM!</v>
      </c>
      <c r="L5350" s="83">
        <f t="shared" si="843"/>
        <v>0</v>
      </c>
      <c r="M5350" s="110" t="str">
        <f t="shared" si="844"/>
        <v/>
      </c>
      <c r="N5350" s="51" t="str">
        <f t="shared" si="845"/>
        <v/>
      </c>
      <c r="O5350" s="52" t="str">
        <f t="shared" si="846"/>
        <v/>
      </c>
      <c r="P5350" s="88">
        <f t="shared" si="847"/>
        <v>0</v>
      </c>
      <c r="Q5350" s="88">
        <f t="shared" si="848"/>
        <v>0</v>
      </c>
      <c r="R5350" s="88" t="e">
        <f>-IF(Tabla14[[#This Row],[DIAS HABILES O MORA]]&lt;0,(Tabla14[[#This Row],[VALOR PRESTAMO]]*Tabla14[[#This Row],[% INTERES ]]/30*U5350))+Tabla14[[#This Row],[VALOR CUOTAS]]</f>
        <v>#VALUE!</v>
      </c>
      <c r="S5350" s="88">
        <f>-IF(Tabla14[[#This Row],[DIAS HABILES O MORA]]&lt;0,(Tabla14[[#This Row],[VALOR PRESTAMO]]*Tabla14[[#This Row],[% INTERES ]]/30*U5350))</f>
        <v>0</v>
      </c>
      <c r="T5350" s="53" t="e">
        <f>Tabla14[[#This Row],[DEUDA CAPITAL]]+Tabla14[[#This Row],[INTERES  CUOTA]]</f>
        <v>#NUM!</v>
      </c>
      <c r="U5350" s="61" t="str">
        <f t="shared" si="849"/>
        <v/>
      </c>
    </row>
    <row r="5351" spans="9:21" ht="24.75" customHeight="1" x14ac:dyDescent="0.35">
      <c r="I5351" s="42">
        <f t="shared" si="840"/>
        <v>0</v>
      </c>
      <c r="J5351" s="65" t="e">
        <f t="shared" si="841"/>
        <v>#NUM!</v>
      </c>
      <c r="K5351" s="83" t="e">
        <f t="shared" si="842"/>
        <v>#NUM!</v>
      </c>
      <c r="L5351" s="83">
        <f t="shared" si="843"/>
        <v>0</v>
      </c>
      <c r="M5351" s="110" t="str">
        <f t="shared" si="844"/>
        <v/>
      </c>
      <c r="N5351" s="51" t="str">
        <f t="shared" si="845"/>
        <v/>
      </c>
      <c r="O5351" s="52" t="str">
        <f t="shared" si="846"/>
        <v/>
      </c>
      <c r="P5351" s="88">
        <f t="shared" si="847"/>
        <v>0</v>
      </c>
      <c r="Q5351" s="88">
        <f t="shared" si="848"/>
        <v>0</v>
      </c>
      <c r="R5351" s="88" t="e">
        <f>-IF(Tabla14[[#This Row],[DIAS HABILES O MORA]]&lt;0,(Tabla14[[#This Row],[VALOR PRESTAMO]]*Tabla14[[#This Row],[% INTERES ]]/30*U5351))+Tabla14[[#This Row],[VALOR CUOTAS]]</f>
        <v>#VALUE!</v>
      </c>
      <c r="S5351" s="88">
        <f>-IF(Tabla14[[#This Row],[DIAS HABILES O MORA]]&lt;0,(Tabla14[[#This Row],[VALOR PRESTAMO]]*Tabla14[[#This Row],[% INTERES ]]/30*U5351))</f>
        <v>0</v>
      </c>
      <c r="T5351" s="53" t="e">
        <f>Tabla14[[#This Row],[DEUDA CAPITAL]]+Tabla14[[#This Row],[INTERES  CUOTA]]</f>
        <v>#NUM!</v>
      </c>
      <c r="U5351" s="61" t="str">
        <f t="shared" si="849"/>
        <v/>
      </c>
    </row>
    <row r="5352" spans="9:21" ht="24.75" customHeight="1" x14ac:dyDescent="0.35">
      <c r="I5352" s="42">
        <f t="shared" si="840"/>
        <v>0</v>
      </c>
      <c r="J5352" s="65" t="e">
        <f t="shared" si="841"/>
        <v>#NUM!</v>
      </c>
      <c r="K5352" s="83" t="e">
        <f t="shared" si="842"/>
        <v>#NUM!</v>
      </c>
      <c r="L5352" s="83">
        <f t="shared" si="843"/>
        <v>0</v>
      </c>
      <c r="M5352" s="110" t="str">
        <f t="shared" si="844"/>
        <v/>
      </c>
      <c r="N5352" s="51" t="str">
        <f t="shared" si="845"/>
        <v/>
      </c>
      <c r="O5352" s="52" t="str">
        <f t="shared" si="846"/>
        <v/>
      </c>
      <c r="P5352" s="88">
        <f t="shared" si="847"/>
        <v>0</v>
      </c>
      <c r="Q5352" s="88">
        <f t="shared" si="848"/>
        <v>0</v>
      </c>
      <c r="R5352" s="88" t="e">
        <f>-IF(Tabla14[[#This Row],[DIAS HABILES O MORA]]&lt;0,(Tabla14[[#This Row],[VALOR PRESTAMO]]*Tabla14[[#This Row],[% INTERES ]]/30*U5352))+Tabla14[[#This Row],[VALOR CUOTAS]]</f>
        <v>#VALUE!</v>
      </c>
      <c r="S5352" s="88">
        <f>-IF(Tabla14[[#This Row],[DIAS HABILES O MORA]]&lt;0,(Tabla14[[#This Row],[VALOR PRESTAMO]]*Tabla14[[#This Row],[% INTERES ]]/30*U5352))</f>
        <v>0</v>
      </c>
      <c r="T5352" s="53" t="e">
        <f>Tabla14[[#This Row],[DEUDA CAPITAL]]+Tabla14[[#This Row],[INTERES  CUOTA]]</f>
        <v>#NUM!</v>
      </c>
      <c r="U5352" s="61" t="str">
        <f t="shared" si="849"/>
        <v/>
      </c>
    </row>
    <row r="5353" spans="9:21" ht="24.75" customHeight="1" x14ac:dyDescent="0.35">
      <c r="I5353" s="42">
        <f t="shared" si="840"/>
        <v>0</v>
      </c>
      <c r="J5353" s="65" t="e">
        <f t="shared" si="841"/>
        <v>#NUM!</v>
      </c>
      <c r="K5353" s="83" t="e">
        <f t="shared" si="842"/>
        <v>#NUM!</v>
      </c>
      <c r="L5353" s="83">
        <f t="shared" si="843"/>
        <v>0</v>
      </c>
      <c r="M5353" s="110" t="str">
        <f t="shared" si="844"/>
        <v/>
      </c>
      <c r="N5353" s="51" t="str">
        <f t="shared" si="845"/>
        <v/>
      </c>
      <c r="O5353" s="52" t="str">
        <f t="shared" si="846"/>
        <v/>
      </c>
      <c r="P5353" s="88">
        <f t="shared" si="847"/>
        <v>0</v>
      </c>
      <c r="Q5353" s="88">
        <f t="shared" si="848"/>
        <v>0</v>
      </c>
      <c r="R5353" s="88" t="e">
        <f>-IF(Tabla14[[#This Row],[DIAS HABILES O MORA]]&lt;0,(Tabla14[[#This Row],[VALOR PRESTAMO]]*Tabla14[[#This Row],[% INTERES ]]/30*U5353))+Tabla14[[#This Row],[VALOR CUOTAS]]</f>
        <v>#VALUE!</v>
      </c>
      <c r="S5353" s="88">
        <f>-IF(Tabla14[[#This Row],[DIAS HABILES O MORA]]&lt;0,(Tabla14[[#This Row],[VALOR PRESTAMO]]*Tabla14[[#This Row],[% INTERES ]]/30*U5353))</f>
        <v>0</v>
      </c>
      <c r="T5353" s="53" t="e">
        <f>Tabla14[[#This Row],[DEUDA CAPITAL]]+Tabla14[[#This Row],[INTERES  CUOTA]]</f>
        <v>#NUM!</v>
      </c>
      <c r="U5353" s="61" t="str">
        <f t="shared" si="849"/>
        <v/>
      </c>
    </row>
    <row r="5354" spans="9:21" ht="24.75" customHeight="1" x14ac:dyDescent="0.35">
      <c r="I5354" s="42">
        <f t="shared" si="840"/>
        <v>0</v>
      </c>
      <c r="J5354" s="65" t="e">
        <f t="shared" si="841"/>
        <v>#NUM!</v>
      </c>
      <c r="K5354" s="83" t="e">
        <f t="shared" si="842"/>
        <v>#NUM!</v>
      </c>
      <c r="L5354" s="83">
        <f t="shared" si="843"/>
        <v>0</v>
      </c>
      <c r="M5354" s="110" t="str">
        <f t="shared" si="844"/>
        <v/>
      </c>
      <c r="N5354" s="51" t="str">
        <f t="shared" si="845"/>
        <v/>
      </c>
      <c r="O5354" s="52" t="str">
        <f t="shared" si="846"/>
        <v/>
      </c>
      <c r="P5354" s="88">
        <f t="shared" si="847"/>
        <v>0</v>
      </c>
      <c r="Q5354" s="88">
        <f t="shared" si="848"/>
        <v>0</v>
      </c>
      <c r="R5354" s="88" t="e">
        <f>-IF(Tabla14[[#This Row],[DIAS HABILES O MORA]]&lt;0,(Tabla14[[#This Row],[VALOR PRESTAMO]]*Tabla14[[#This Row],[% INTERES ]]/30*U5354))+Tabla14[[#This Row],[VALOR CUOTAS]]</f>
        <v>#VALUE!</v>
      </c>
      <c r="S5354" s="88">
        <f>-IF(Tabla14[[#This Row],[DIAS HABILES O MORA]]&lt;0,(Tabla14[[#This Row],[VALOR PRESTAMO]]*Tabla14[[#This Row],[% INTERES ]]/30*U5354))</f>
        <v>0</v>
      </c>
      <c r="T5354" s="53" t="e">
        <f>Tabla14[[#This Row],[DEUDA CAPITAL]]+Tabla14[[#This Row],[INTERES  CUOTA]]</f>
        <v>#NUM!</v>
      </c>
      <c r="U5354" s="61" t="str">
        <f t="shared" si="849"/>
        <v/>
      </c>
    </row>
    <row r="5355" spans="9:21" ht="24.75" customHeight="1" x14ac:dyDescent="0.35">
      <c r="I5355" s="42">
        <f t="shared" si="840"/>
        <v>0</v>
      </c>
      <c r="J5355" s="65" t="e">
        <f t="shared" si="841"/>
        <v>#NUM!</v>
      </c>
      <c r="K5355" s="83" t="e">
        <f t="shared" si="842"/>
        <v>#NUM!</v>
      </c>
      <c r="L5355" s="83">
        <f t="shared" si="843"/>
        <v>0</v>
      </c>
      <c r="M5355" s="110" t="str">
        <f t="shared" si="844"/>
        <v/>
      </c>
      <c r="N5355" s="51" t="str">
        <f t="shared" si="845"/>
        <v/>
      </c>
      <c r="O5355" s="52" t="str">
        <f t="shared" si="846"/>
        <v/>
      </c>
      <c r="P5355" s="88">
        <f t="shared" si="847"/>
        <v>0</v>
      </c>
      <c r="Q5355" s="88">
        <f t="shared" si="848"/>
        <v>0</v>
      </c>
      <c r="R5355" s="88" t="e">
        <f>-IF(Tabla14[[#This Row],[DIAS HABILES O MORA]]&lt;0,(Tabla14[[#This Row],[VALOR PRESTAMO]]*Tabla14[[#This Row],[% INTERES ]]/30*U5355))+Tabla14[[#This Row],[VALOR CUOTAS]]</f>
        <v>#VALUE!</v>
      </c>
      <c r="S5355" s="88">
        <f>-IF(Tabla14[[#This Row],[DIAS HABILES O MORA]]&lt;0,(Tabla14[[#This Row],[VALOR PRESTAMO]]*Tabla14[[#This Row],[% INTERES ]]/30*U5355))</f>
        <v>0</v>
      </c>
      <c r="T5355" s="53" t="e">
        <f>Tabla14[[#This Row],[DEUDA CAPITAL]]+Tabla14[[#This Row],[INTERES  CUOTA]]</f>
        <v>#NUM!</v>
      </c>
      <c r="U5355" s="61" t="str">
        <f t="shared" si="849"/>
        <v/>
      </c>
    </row>
    <row r="5356" spans="9:21" ht="24.75" customHeight="1" x14ac:dyDescent="0.35">
      <c r="I5356" s="42">
        <f t="shared" si="840"/>
        <v>0</v>
      </c>
      <c r="J5356" s="65" t="e">
        <f t="shared" si="841"/>
        <v>#NUM!</v>
      </c>
      <c r="K5356" s="83" t="e">
        <f t="shared" si="842"/>
        <v>#NUM!</v>
      </c>
      <c r="L5356" s="83">
        <f t="shared" si="843"/>
        <v>0</v>
      </c>
      <c r="M5356" s="110" t="str">
        <f t="shared" si="844"/>
        <v/>
      </c>
      <c r="N5356" s="51" t="str">
        <f t="shared" si="845"/>
        <v/>
      </c>
      <c r="O5356" s="52" t="str">
        <f t="shared" si="846"/>
        <v/>
      </c>
      <c r="P5356" s="88">
        <f t="shared" si="847"/>
        <v>0</v>
      </c>
      <c r="Q5356" s="88">
        <f t="shared" si="848"/>
        <v>0</v>
      </c>
      <c r="R5356" s="88" t="e">
        <f>-IF(Tabla14[[#This Row],[DIAS HABILES O MORA]]&lt;0,(Tabla14[[#This Row],[VALOR PRESTAMO]]*Tabla14[[#This Row],[% INTERES ]]/30*U5356))+Tabla14[[#This Row],[VALOR CUOTAS]]</f>
        <v>#VALUE!</v>
      </c>
      <c r="S5356" s="88">
        <f>-IF(Tabla14[[#This Row],[DIAS HABILES O MORA]]&lt;0,(Tabla14[[#This Row],[VALOR PRESTAMO]]*Tabla14[[#This Row],[% INTERES ]]/30*U5356))</f>
        <v>0</v>
      </c>
      <c r="T5356" s="53" t="e">
        <f>Tabla14[[#This Row],[DEUDA CAPITAL]]+Tabla14[[#This Row],[INTERES  CUOTA]]</f>
        <v>#NUM!</v>
      </c>
      <c r="U5356" s="61" t="str">
        <f t="shared" si="849"/>
        <v/>
      </c>
    </row>
    <row r="5357" spans="9:21" ht="24.75" customHeight="1" x14ac:dyDescent="0.35">
      <c r="I5357" s="42">
        <f t="shared" si="840"/>
        <v>0</v>
      </c>
      <c r="J5357" s="65" t="e">
        <f t="shared" si="841"/>
        <v>#NUM!</v>
      </c>
      <c r="K5357" s="83" t="e">
        <f t="shared" si="842"/>
        <v>#NUM!</v>
      </c>
      <c r="L5357" s="83">
        <f t="shared" si="843"/>
        <v>0</v>
      </c>
      <c r="M5357" s="110" t="str">
        <f t="shared" si="844"/>
        <v/>
      </c>
      <c r="N5357" s="51" t="str">
        <f t="shared" si="845"/>
        <v/>
      </c>
      <c r="O5357" s="52" t="str">
        <f t="shared" si="846"/>
        <v/>
      </c>
      <c r="P5357" s="88">
        <f t="shared" si="847"/>
        <v>0</v>
      </c>
      <c r="Q5357" s="88">
        <f t="shared" si="848"/>
        <v>0</v>
      </c>
      <c r="R5357" s="88" t="e">
        <f>-IF(Tabla14[[#This Row],[DIAS HABILES O MORA]]&lt;0,(Tabla14[[#This Row],[VALOR PRESTAMO]]*Tabla14[[#This Row],[% INTERES ]]/30*U5357))+Tabla14[[#This Row],[VALOR CUOTAS]]</f>
        <v>#VALUE!</v>
      </c>
      <c r="S5357" s="88">
        <f>-IF(Tabla14[[#This Row],[DIAS HABILES O MORA]]&lt;0,(Tabla14[[#This Row],[VALOR PRESTAMO]]*Tabla14[[#This Row],[% INTERES ]]/30*U5357))</f>
        <v>0</v>
      </c>
      <c r="T5357" s="53" t="e">
        <f>Tabla14[[#This Row],[DEUDA CAPITAL]]+Tabla14[[#This Row],[INTERES  CUOTA]]</f>
        <v>#NUM!</v>
      </c>
      <c r="U5357" s="61" t="str">
        <f t="shared" si="849"/>
        <v/>
      </c>
    </row>
    <row r="5358" spans="9:21" ht="24.75" customHeight="1" x14ac:dyDescent="0.35">
      <c r="I5358" s="42">
        <f t="shared" si="840"/>
        <v>0</v>
      </c>
      <c r="J5358" s="65" t="e">
        <f t="shared" si="841"/>
        <v>#NUM!</v>
      </c>
      <c r="K5358" s="83" t="e">
        <f t="shared" si="842"/>
        <v>#NUM!</v>
      </c>
      <c r="L5358" s="83">
        <f t="shared" si="843"/>
        <v>0</v>
      </c>
      <c r="M5358" s="110" t="str">
        <f t="shared" si="844"/>
        <v/>
      </c>
      <c r="N5358" s="51" t="str">
        <f t="shared" si="845"/>
        <v/>
      </c>
      <c r="O5358" s="52" t="str">
        <f t="shared" si="846"/>
        <v/>
      </c>
      <c r="P5358" s="88">
        <f t="shared" si="847"/>
        <v>0</v>
      </c>
      <c r="Q5358" s="88">
        <f t="shared" si="848"/>
        <v>0</v>
      </c>
      <c r="R5358" s="88" t="e">
        <f>-IF(Tabla14[[#This Row],[DIAS HABILES O MORA]]&lt;0,(Tabla14[[#This Row],[VALOR PRESTAMO]]*Tabla14[[#This Row],[% INTERES ]]/30*U5358))+Tabla14[[#This Row],[VALOR CUOTAS]]</f>
        <v>#VALUE!</v>
      </c>
      <c r="S5358" s="88">
        <f>-IF(Tabla14[[#This Row],[DIAS HABILES O MORA]]&lt;0,(Tabla14[[#This Row],[VALOR PRESTAMO]]*Tabla14[[#This Row],[% INTERES ]]/30*U5358))</f>
        <v>0</v>
      </c>
      <c r="T5358" s="53" t="e">
        <f>Tabla14[[#This Row],[DEUDA CAPITAL]]+Tabla14[[#This Row],[INTERES  CUOTA]]</f>
        <v>#NUM!</v>
      </c>
      <c r="U5358" s="61" t="str">
        <f t="shared" si="849"/>
        <v/>
      </c>
    </row>
    <row r="5359" spans="9:21" ht="24.75" customHeight="1" x14ac:dyDescent="0.35">
      <c r="I5359" s="42">
        <f t="shared" si="840"/>
        <v>0</v>
      </c>
      <c r="J5359" s="65" t="e">
        <f t="shared" si="841"/>
        <v>#NUM!</v>
      </c>
      <c r="K5359" s="83" t="e">
        <f t="shared" si="842"/>
        <v>#NUM!</v>
      </c>
      <c r="L5359" s="83">
        <f t="shared" si="843"/>
        <v>0</v>
      </c>
      <c r="M5359" s="110" t="str">
        <f t="shared" si="844"/>
        <v/>
      </c>
      <c r="N5359" s="51" t="str">
        <f t="shared" si="845"/>
        <v/>
      </c>
      <c r="O5359" s="52" t="str">
        <f t="shared" si="846"/>
        <v/>
      </c>
      <c r="P5359" s="88">
        <f t="shared" si="847"/>
        <v>0</v>
      </c>
      <c r="Q5359" s="88">
        <f t="shared" si="848"/>
        <v>0</v>
      </c>
      <c r="R5359" s="88" t="e">
        <f>-IF(Tabla14[[#This Row],[DIAS HABILES O MORA]]&lt;0,(Tabla14[[#This Row],[VALOR PRESTAMO]]*Tabla14[[#This Row],[% INTERES ]]/30*U5359))+Tabla14[[#This Row],[VALOR CUOTAS]]</f>
        <v>#VALUE!</v>
      </c>
      <c r="S5359" s="88">
        <f>-IF(Tabla14[[#This Row],[DIAS HABILES O MORA]]&lt;0,(Tabla14[[#This Row],[VALOR PRESTAMO]]*Tabla14[[#This Row],[% INTERES ]]/30*U5359))</f>
        <v>0</v>
      </c>
      <c r="T5359" s="53" t="e">
        <f>Tabla14[[#This Row],[DEUDA CAPITAL]]+Tabla14[[#This Row],[INTERES  CUOTA]]</f>
        <v>#NUM!</v>
      </c>
      <c r="U5359" s="61" t="str">
        <f t="shared" si="849"/>
        <v/>
      </c>
    </row>
    <row r="5360" spans="9:21" ht="24.75" customHeight="1" x14ac:dyDescent="0.35">
      <c r="I5360" s="42">
        <f t="shared" si="840"/>
        <v>0</v>
      </c>
      <c r="J5360" s="65" t="e">
        <f t="shared" si="841"/>
        <v>#NUM!</v>
      </c>
      <c r="K5360" s="83" t="e">
        <f t="shared" si="842"/>
        <v>#NUM!</v>
      </c>
      <c r="L5360" s="83">
        <f t="shared" si="843"/>
        <v>0</v>
      </c>
      <c r="M5360" s="110" t="str">
        <f t="shared" si="844"/>
        <v/>
      </c>
      <c r="N5360" s="51" t="str">
        <f t="shared" si="845"/>
        <v/>
      </c>
      <c r="O5360" s="52" t="str">
        <f t="shared" si="846"/>
        <v/>
      </c>
      <c r="P5360" s="88">
        <f t="shared" si="847"/>
        <v>0</v>
      </c>
      <c r="Q5360" s="88">
        <f t="shared" si="848"/>
        <v>0</v>
      </c>
      <c r="R5360" s="88" t="e">
        <f>-IF(Tabla14[[#This Row],[DIAS HABILES O MORA]]&lt;0,(Tabla14[[#This Row],[VALOR PRESTAMO]]*Tabla14[[#This Row],[% INTERES ]]/30*U5360))+Tabla14[[#This Row],[VALOR CUOTAS]]</f>
        <v>#VALUE!</v>
      </c>
      <c r="S5360" s="88">
        <f>-IF(Tabla14[[#This Row],[DIAS HABILES O MORA]]&lt;0,(Tabla14[[#This Row],[VALOR PRESTAMO]]*Tabla14[[#This Row],[% INTERES ]]/30*U5360))</f>
        <v>0</v>
      </c>
      <c r="T5360" s="53" t="e">
        <f>Tabla14[[#This Row],[DEUDA CAPITAL]]+Tabla14[[#This Row],[INTERES  CUOTA]]</f>
        <v>#NUM!</v>
      </c>
      <c r="U5360" s="61" t="str">
        <f t="shared" si="849"/>
        <v/>
      </c>
    </row>
    <row r="5361" spans="9:21" ht="24.75" customHeight="1" x14ac:dyDescent="0.35">
      <c r="I5361" s="42">
        <f t="shared" si="840"/>
        <v>0</v>
      </c>
      <c r="J5361" s="65" t="e">
        <f t="shared" si="841"/>
        <v>#NUM!</v>
      </c>
      <c r="K5361" s="83" t="e">
        <f t="shared" si="842"/>
        <v>#NUM!</v>
      </c>
      <c r="L5361" s="83">
        <f t="shared" si="843"/>
        <v>0</v>
      </c>
      <c r="M5361" s="110" t="str">
        <f t="shared" si="844"/>
        <v/>
      </c>
      <c r="N5361" s="51" t="str">
        <f t="shared" si="845"/>
        <v/>
      </c>
      <c r="O5361" s="52" t="str">
        <f t="shared" si="846"/>
        <v/>
      </c>
      <c r="P5361" s="88">
        <f t="shared" si="847"/>
        <v>0</v>
      </c>
      <c r="Q5361" s="88">
        <f t="shared" si="848"/>
        <v>0</v>
      </c>
      <c r="R5361" s="88" t="e">
        <f>-IF(Tabla14[[#This Row],[DIAS HABILES O MORA]]&lt;0,(Tabla14[[#This Row],[VALOR PRESTAMO]]*Tabla14[[#This Row],[% INTERES ]]/30*U5361))+Tabla14[[#This Row],[VALOR CUOTAS]]</f>
        <v>#VALUE!</v>
      </c>
      <c r="S5361" s="88">
        <f>-IF(Tabla14[[#This Row],[DIAS HABILES O MORA]]&lt;0,(Tabla14[[#This Row],[VALOR PRESTAMO]]*Tabla14[[#This Row],[% INTERES ]]/30*U5361))</f>
        <v>0</v>
      </c>
      <c r="T5361" s="53" t="e">
        <f>Tabla14[[#This Row],[DEUDA CAPITAL]]+Tabla14[[#This Row],[INTERES  CUOTA]]</f>
        <v>#NUM!</v>
      </c>
      <c r="U5361" s="61" t="str">
        <f t="shared" si="849"/>
        <v/>
      </c>
    </row>
    <row r="5362" spans="9:21" ht="24.75" customHeight="1" x14ac:dyDescent="0.35">
      <c r="I5362" s="42">
        <f t="shared" si="840"/>
        <v>0</v>
      </c>
      <c r="J5362" s="65" t="e">
        <f t="shared" si="841"/>
        <v>#NUM!</v>
      </c>
      <c r="K5362" s="83" t="e">
        <f t="shared" si="842"/>
        <v>#NUM!</v>
      </c>
      <c r="L5362" s="83">
        <f t="shared" si="843"/>
        <v>0</v>
      </c>
      <c r="M5362" s="110" t="str">
        <f t="shared" si="844"/>
        <v/>
      </c>
      <c r="N5362" s="51" t="str">
        <f t="shared" si="845"/>
        <v/>
      </c>
      <c r="O5362" s="52" t="str">
        <f t="shared" si="846"/>
        <v/>
      </c>
      <c r="P5362" s="88">
        <f t="shared" si="847"/>
        <v>0</v>
      </c>
      <c r="Q5362" s="88">
        <f t="shared" si="848"/>
        <v>0</v>
      </c>
      <c r="R5362" s="88" t="e">
        <f>-IF(Tabla14[[#This Row],[DIAS HABILES O MORA]]&lt;0,(Tabla14[[#This Row],[VALOR PRESTAMO]]*Tabla14[[#This Row],[% INTERES ]]/30*U5362))+Tabla14[[#This Row],[VALOR CUOTAS]]</f>
        <v>#VALUE!</v>
      </c>
      <c r="S5362" s="88">
        <f>-IF(Tabla14[[#This Row],[DIAS HABILES O MORA]]&lt;0,(Tabla14[[#This Row],[VALOR PRESTAMO]]*Tabla14[[#This Row],[% INTERES ]]/30*U5362))</f>
        <v>0</v>
      </c>
      <c r="T5362" s="53" t="e">
        <f>Tabla14[[#This Row],[DEUDA CAPITAL]]+Tabla14[[#This Row],[INTERES  CUOTA]]</f>
        <v>#NUM!</v>
      </c>
      <c r="U5362" s="61" t="str">
        <f t="shared" si="849"/>
        <v/>
      </c>
    </row>
    <row r="5363" spans="9:21" ht="24.75" customHeight="1" x14ac:dyDescent="0.35">
      <c r="I5363" s="42">
        <f t="shared" si="840"/>
        <v>0</v>
      </c>
      <c r="J5363" s="65" t="e">
        <f t="shared" si="841"/>
        <v>#NUM!</v>
      </c>
      <c r="K5363" s="83" t="e">
        <f t="shared" si="842"/>
        <v>#NUM!</v>
      </c>
      <c r="L5363" s="83">
        <f t="shared" si="843"/>
        <v>0</v>
      </c>
      <c r="M5363" s="110" t="str">
        <f t="shared" si="844"/>
        <v/>
      </c>
      <c r="N5363" s="51" t="str">
        <f t="shared" si="845"/>
        <v/>
      </c>
      <c r="O5363" s="52" t="str">
        <f t="shared" si="846"/>
        <v/>
      </c>
      <c r="P5363" s="88">
        <f t="shared" si="847"/>
        <v>0</v>
      </c>
      <c r="Q5363" s="88">
        <f t="shared" si="848"/>
        <v>0</v>
      </c>
      <c r="R5363" s="88" t="e">
        <f>-IF(Tabla14[[#This Row],[DIAS HABILES O MORA]]&lt;0,(Tabla14[[#This Row],[VALOR PRESTAMO]]*Tabla14[[#This Row],[% INTERES ]]/30*U5363))+Tabla14[[#This Row],[VALOR CUOTAS]]</f>
        <v>#VALUE!</v>
      </c>
      <c r="S5363" s="88">
        <f>-IF(Tabla14[[#This Row],[DIAS HABILES O MORA]]&lt;0,(Tabla14[[#This Row],[VALOR PRESTAMO]]*Tabla14[[#This Row],[% INTERES ]]/30*U5363))</f>
        <v>0</v>
      </c>
      <c r="T5363" s="53" t="e">
        <f>Tabla14[[#This Row],[DEUDA CAPITAL]]+Tabla14[[#This Row],[INTERES  CUOTA]]</f>
        <v>#NUM!</v>
      </c>
      <c r="U5363" s="61" t="str">
        <f t="shared" si="849"/>
        <v/>
      </c>
    </row>
    <row r="5364" spans="9:21" ht="24.75" customHeight="1" x14ac:dyDescent="0.35">
      <c r="I5364" s="42">
        <f t="shared" si="840"/>
        <v>0</v>
      </c>
      <c r="J5364" s="65" t="e">
        <f t="shared" si="841"/>
        <v>#NUM!</v>
      </c>
      <c r="K5364" s="83" t="e">
        <f t="shared" si="842"/>
        <v>#NUM!</v>
      </c>
      <c r="L5364" s="83">
        <f t="shared" si="843"/>
        <v>0</v>
      </c>
      <c r="M5364" s="110" t="str">
        <f t="shared" si="844"/>
        <v/>
      </c>
      <c r="N5364" s="51" t="str">
        <f t="shared" si="845"/>
        <v/>
      </c>
      <c r="O5364" s="52" t="str">
        <f t="shared" si="846"/>
        <v/>
      </c>
      <c r="P5364" s="88">
        <f t="shared" si="847"/>
        <v>0</v>
      </c>
      <c r="Q5364" s="88">
        <f t="shared" si="848"/>
        <v>0</v>
      </c>
      <c r="R5364" s="88" t="e">
        <f>-IF(Tabla14[[#This Row],[DIAS HABILES O MORA]]&lt;0,(Tabla14[[#This Row],[VALOR PRESTAMO]]*Tabla14[[#This Row],[% INTERES ]]/30*U5364))+Tabla14[[#This Row],[VALOR CUOTAS]]</f>
        <v>#VALUE!</v>
      </c>
      <c r="S5364" s="88">
        <f>-IF(Tabla14[[#This Row],[DIAS HABILES O MORA]]&lt;0,(Tabla14[[#This Row],[VALOR PRESTAMO]]*Tabla14[[#This Row],[% INTERES ]]/30*U5364))</f>
        <v>0</v>
      </c>
      <c r="T5364" s="53" t="e">
        <f>Tabla14[[#This Row],[DEUDA CAPITAL]]+Tabla14[[#This Row],[INTERES  CUOTA]]</f>
        <v>#NUM!</v>
      </c>
      <c r="U5364" s="61" t="str">
        <f t="shared" si="849"/>
        <v/>
      </c>
    </row>
    <row r="5365" spans="9:21" ht="24.75" customHeight="1" x14ac:dyDescent="0.35">
      <c r="I5365" s="42">
        <f t="shared" si="840"/>
        <v>0</v>
      </c>
      <c r="J5365" s="65" t="e">
        <f t="shared" si="841"/>
        <v>#NUM!</v>
      </c>
      <c r="K5365" s="83" t="e">
        <f t="shared" si="842"/>
        <v>#NUM!</v>
      </c>
      <c r="L5365" s="83">
        <f t="shared" si="843"/>
        <v>0</v>
      </c>
      <c r="M5365" s="110" t="str">
        <f t="shared" si="844"/>
        <v/>
      </c>
      <c r="N5365" s="51" t="str">
        <f t="shared" si="845"/>
        <v/>
      </c>
      <c r="O5365" s="52" t="str">
        <f t="shared" si="846"/>
        <v/>
      </c>
      <c r="P5365" s="88">
        <f t="shared" si="847"/>
        <v>0</v>
      </c>
      <c r="Q5365" s="88">
        <f t="shared" si="848"/>
        <v>0</v>
      </c>
      <c r="R5365" s="88" t="e">
        <f>-IF(Tabla14[[#This Row],[DIAS HABILES O MORA]]&lt;0,(Tabla14[[#This Row],[VALOR PRESTAMO]]*Tabla14[[#This Row],[% INTERES ]]/30*U5365))+Tabla14[[#This Row],[VALOR CUOTAS]]</f>
        <v>#VALUE!</v>
      </c>
      <c r="S5365" s="88">
        <f>-IF(Tabla14[[#This Row],[DIAS HABILES O MORA]]&lt;0,(Tabla14[[#This Row],[VALOR PRESTAMO]]*Tabla14[[#This Row],[% INTERES ]]/30*U5365))</f>
        <v>0</v>
      </c>
      <c r="T5365" s="53" t="e">
        <f>Tabla14[[#This Row],[DEUDA CAPITAL]]+Tabla14[[#This Row],[INTERES  CUOTA]]</f>
        <v>#NUM!</v>
      </c>
      <c r="U5365" s="61" t="str">
        <f t="shared" si="849"/>
        <v/>
      </c>
    </row>
    <row r="5366" spans="9:21" ht="24.75" customHeight="1" x14ac:dyDescent="0.35">
      <c r="I5366" s="42">
        <f t="shared" si="840"/>
        <v>0</v>
      </c>
      <c r="J5366" s="65" t="e">
        <f t="shared" si="841"/>
        <v>#NUM!</v>
      </c>
      <c r="K5366" s="83" t="e">
        <f t="shared" si="842"/>
        <v>#NUM!</v>
      </c>
      <c r="L5366" s="83">
        <f t="shared" si="843"/>
        <v>0</v>
      </c>
      <c r="M5366" s="110" t="str">
        <f t="shared" si="844"/>
        <v/>
      </c>
      <c r="N5366" s="51" t="str">
        <f t="shared" si="845"/>
        <v/>
      </c>
      <c r="O5366" s="52" t="str">
        <f t="shared" si="846"/>
        <v/>
      </c>
      <c r="P5366" s="88">
        <f t="shared" si="847"/>
        <v>0</v>
      </c>
      <c r="Q5366" s="88">
        <f t="shared" si="848"/>
        <v>0</v>
      </c>
      <c r="R5366" s="88" t="e">
        <f>-IF(Tabla14[[#This Row],[DIAS HABILES O MORA]]&lt;0,(Tabla14[[#This Row],[VALOR PRESTAMO]]*Tabla14[[#This Row],[% INTERES ]]/30*U5366))+Tabla14[[#This Row],[VALOR CUOTAS]]</f>
        <v>#VALUE!</v>
      </c>
      <c r="S5366" s="88">
        <f>-IF(Tabla14[[#This Row],[DIAS HABILES O MORA]]&lt;0,(Tabla14[[#This Row],[VALOR PRESTAMO]]*Tabla14[[#This Row],[% INTERES ]]/30*U5366))</f>
        <v>0</v>
      </c>
      <c r="T5366" s="53" t="e">
        <f>Tabla14[[#This Row],[DEUDA CAPITAL]]+Tabla14[[#This Row],[INTERES  CUOTA]]</f>
        <v>#NUM!</v>
      </c>
      <c r="U5366" s="61" t="str">
        <f t="shared" si="849"/>
        <v/>
      </c>
    </row>
    <row r="5367" spans="9:21" ht="24.75" customHeight="1" x14ac:dyDescent="0.35">
      <c r="I5367" s="42">
        <f t="shared" si="840"/>
        <v>0</v>
      </c>
      <c r="J5367" s="65" t="e">
        <f t="shared" si="841"/>
        <v>#NUM!</v>
      </c>
      <c r="K5367" s="83" t="e">
        <f t="shared" si="842"/>
        <v>#NUM!</v>
      </c>
      <c r="L5367" s="83">
        <f t="shared" si="843"/>
        <v>0</v>
      </c>
      <c r="M5367" s="110" t="str">
        <f t="shared" si="844"/>
        <v/>
      </c>
      <c r="N5367" s="51" t="str">
        <f t="shared" si="845"/>
        <v/>
      </c>
      <c r="O5367" s="52" t="str">
        <f t="shared" si="846"/>
        <v/>
      </c>
      <c r="P5367" s="88">
        <f t="shared" si="847"/>
        <v>0</v>
      </c>
      <c r="Q5367" s="88">
        <f t="shared" si="848"/>
        <v>0</v>
      </c>
      <c r="R5367" s="88" t="e">
        <f>-IF(Tabla14[[#This Row],[DIAS HABILES O MORA]]&lt;0,(Tabla14[[#This Row],[VALOR PRESTAMO]]*Tabla14[[#This Row],[% INTERES ]]/30*U5367))+Tabla14[[#This Row],[VALOR CUOTAS]]</f>
        <v>#VALUE!</v>
      </c>
      <c r="S5367" s="88">
        <f>-IF(Tabla14[[#This Row],[DIAS HABILES O MORA]]&lt;0,(Tabla14[[#This Row],[VALOR PRESTAMO]]*Tabla14[[#This Row],[% INTERES ]]/30*U5367))</f>
        <v>0</v>
      </c>
      <c r="T5367" s="53" t="e">
        <f>Tabla14[[#This Row],[DEUDA CAPITAL]]+Tabla14[[#This Row],[INTERES  CUOTA]]</f>
        <v>#NUM!</v>
      </c>
      <c r="U5367" s="61" t="str">
        <f t="shared" si="849"/>
        <v/>
      </c>
    </row>
    <row r="5368" spans="9:21" ht="24.75" customHeight="1" x14ac:dyDescent="0.35">
      <c r="I5368" s="42">
        <f t="shared" si="840"/>
        <v>0</v>
      </c>
      <c r="J5368" s="65" t="e">
        <f t="shared" si="841"/>
        <v>#NUM!</v>
      </c>
      <c r="K5368" s="83" t="e">
        <f t="shared" si="842"/>
        <v>#NUM!</v>
      </c>
      <c r="L5368" s="83">
        <f t="shared" si="843"/>
        <v>0</v>
      </c>
      <c r="M5368" s="110" t="str">
        <f t="shared" si="844"/>
        <v/>
      </c>
      <c r="N5368" s="51" t="str">
        <f t="shared" si="845"/>
        <v/>
      </c>
      <c r="O5368" s="52" t="str">
        <f t="shared" si="846"/>
        <v/>
      </c>
      <c r="P5368" s="88">
        <f t="shared" si="847"/>
        <v>0</v>
      </c>
      <c r="Q5368" s="88">
        <f t="shared" si="848"/>
        <v>0</v>
      </c>
      <c r="R5368" s="88" t="e">
        <f>-IF(Tabla14[[#This Row],[DIAS HABILES O MORA]]&lt;0,(Tabla14[[#This Row],[VALOR PRESTAMO]]*Tabla14[[#This Row],[% INTERES ]]/30*U5368))+Tabla14[[#This Row],[VALOR CUOTAS]]</f>
        <v>#VALUE!</v>
      </c>
      <c r="S5368" s="88">
        <f>-IF(Tabla14[[#This Row],[DIAS HABILES O MORA]]&lt;0,(Tabla14[[#This Row],[VALOR PRESTAMO]]*Tabla14[[#This Row],[% INTERES ]]/30*U5368))</f>
        <v>0</v>
      </c>
      <c r="T5368" s="53" t="e">
        <f>Tabla14[[#This Row],[DEUDA CAPITAL]]+Tabla14[[#This Row],[INTERES  CUOTA]]</f>
        <v>#NUM!</v>
      </c>
      <c r="U5368" s="61" t="str">
        <f t="shared" si="849"/>
        <v/>
      </c>
    </row>
    <row r="5369" spans="9:21" ht="24.75" customHeight="1" x14ac:dyDescent="0.35">
      <c r="I5369" s="42">
        <f t="shared" si="840"/>
        <v>0</v>
      </c>
      <c r="J5369" s="65" t="e">
        <f t="shared" si="841"/>
        <v>#NUM!</v>
      </c>
      <c r="K5369" s="83" t="e">
        <f t="shared" si="842"/>
        <v>#NUM!</v>
      </c>
      <c r="L5369" s="83">
        <f t="shared" si="843"/>
        <v>0</v>
      </c>
      <c r="M5369" s="110" t="str">
        <f t="shared" si="844"/>
        <v/>
      </c>
      <c r="N5369" s="51" t="str">
        <f t="shared" si="845"/>
        <v/>
      </c>
      <c r="O5369" s="52" t="str">
        <f t="shared" si="846"/>
        <v/>
      </c>
      <c r="P5369" s="88">
        <f t="shared" si="847"/>
        <v>0</v>
      </c>
      <c r="Q5369" s="88">
        <f t="shared" si="848"/>
        <v>0</v>
      </c>
      <c r="R5369" s="88" t="e">
        <f>-IF(Tabla14[[#This Row],[DIAS HABILES O MORA]]&lt;0,(Tabla14[[#This Row],[VALOR PRESTAMO]]*Tabla14[[#This Row],[% INTERES ]]/30*U5369))+Tabla14[[#This Row],[VALOR CUOTAS]]</f>
        <v>#VALUE!</v>
      </c>
      <c r="S5369" s="88">
        <f>-IF(Tabla14[[#This Row],[DIAS HABILES O MORA]]&lt;0,(Tabla14[[#This Row],[VALOR PRESTAMO]]*Tabla14[[#This Row],[% INTERES ]]/30*U5369))</f>
        <v>0</v>
      </c>
      <c r="T5369" s="53" t="e">
        <f>Tabla14[[#This Row],[DEUDA CAPITAL]]+Tabla14[[#This Row],[INTERES  CUOTA]]</f>
        <v>#NUM!</v>
      </c>
      <c r="U5369" s="61" t="str">
        <f t="shared" si="849"/>
        <v/>
      </c>
    </row>
    <row r="5370" spans="9:21" ht="24.75" customHeight="1" x14ac:dyDescent="0.35">
      <c r="I5370" s="42">
        <f t="shared" si="840"/>
        <v>0</v>
      </c>
      <c r="J5370" s="65" t="e">
        <f t="shared" si="841"/>
        <v>#NUM!</v>
      </c>
      <c r="K5370" s="83" t="e">
        <f t="shared" si="842"/>
        <v>#NUM!</v>
      </c>
      <c r="L5370" s="83">
        <f t="shared" si="843"/>
        <v>0</v>
      </c>
      <c r="M5370" s="110" t="str">
        <f t="shared" si="844"/>
        <v/>
      </c>
      <c r="N5370" s="51" t="str">
        <f t="shared" si="845"/>
        <v/>
      </c>
      <c r="O5370" s="52" t="str">
        <f t="shared" si="846"/>
        <v/>
      </c>
      <c r="P5370" s="88">
        <f t="shared" si="847"/>
        <v>0</v>
      </c>
      <c r="Q5370" s="88">
        <f t="shared" si="848"/>
        <v>0</v>
      </c>
      <c r="R5370" s="88" t="e">
        <f>-IF(Tabla14[[#This Row],[DIAS HABILES O MORA]]&lt;0,(Tabla14[[#This Row],[VALOR PRESTAMO]]*Tabla14[[#This Row],[% INTERES ]]/30*U5370))+Tabla14[[#This Row],[VALOR CUOTAS]]</f>
        <v>#VALUE!</v>
      </c>
      <c r="S5370" s="88">
        <f>-IF(Tabla14[[#This Row],[DIAS HABILES O MORA]]&lt;0,(Tabla14[[#This Row],[VALOR PRESTAMO]]*Tabla14[[#This Row],[% INTERES ]]/30*U5370))</f>
        <v>0</v>
      </c>
      <c r="T5370" s="53" t="e">
        <f>Tabla14[[#This Row],[DEUDA CAPITAL]]+Tabla14[[#This Row],[INTERES  CUOTA]]</f>
        <v>#NUM!</v>
      </c>
      <c r="U5370" s="61" t="str">
        <f t="shared" si="849"/>
        <v/>
      </c>
    </row>
    <row r="5371" spans="9:21" ht="24.75" customHeight="1" x14ac:dyDescent="0.35">
      <c r="I5371" s="42">
        <f t="shared" si="840"/>
        <v>0</v>
      </c>
      <c r="J5371" s="65" t="e">
        <f t="shared" si="841"/>
        <v>#NUM!</v>
      </c>
      <c r="K5371" s="83" t="e">
        <f t="shared" si="842"/>
        <v>#NUM!</v>
      </c>
      <c r="L5371" s="83">
        <f t="shared" si="843"/>
        <v>0</v>
      </c>
      <c r="M5371" s="110" t="str">
        <f t="shared" si="844"/>
        <v/>
      </c>
      <c r="N5371" s="51" t="str">
        <f t="shared" si="845"/>
        <v/>
      </c>
      <c r="O5371" s="52" t="str">
        <f t="shared" si="846"/>
        <v/>
      </c>
      <c r="P5371" s="88">
        <f t="shared" si="847"/>
        <v>0</v>
      </c>
      <c r="Q5371" s="88">
        <f t="shared" si="848"/>
        <v>0</v>
      </c>
      <c r="R5371" s="88" t="e">
        <f>-IF(Tabla14[[#This Row],[DIAS HABILES O MORA]]&lt;0,(Tabla14[[#This Row],[VALOR PRESTAMO]]*Tabla14[[#This Row],[% INTERES ]]/30*U5371))+Tabla14[[#This Row],[VALOR CUOTAS]]</f>
        <v>#VALUE!</v>
      </c>
      <c r="S5371" s="88">
        <f>-IF(Tabla14[[#This Row],[DIAS HABILES O MORA]]&lt;0,(Tabla14[[#This Row],[VALOR PRESTAMO]]*Tabla14[[#This Row],[% INTERES ]]/30*U5371))</f>
        <v>0</v>
      </c>
      <c r="T5371" s="53" t="e">
        <f>Tabla14[[#This Row],[DEUDA CAPITAL]]+Tabla14[[#This Row],[INTERES  CUOTA]]</f>
        <v>#NUM!</v>
      </c>
      <c r="U5371" s="61" t="str">
        <f t="shared" si="849"/>
        <v/>
      </c>
    </row>
    <row r="5372" spans="9:21" ht="24.75" customHeight="1" x14ac:dyDescent="0.35">
      <c r="I5372" s="42">
        <f t="shared" si="840"/>
        <v>0</v>
      </c>
      <c r="J5372" s="65" t="e">
        <f t="shared" si="841"/>
        <v>#NUM!</v>
      </c>
      <c r="K5372" s="83" t="e">
        <f t="shared" si="842"/>
        <v>#NUM!</v>
      </c>
      <c r="L5372" s="83">
        <f t="shared" si="843"/>
        <v>0</v>
      </c>
      <c r="M5372" s="110" t="str">
        <f t="shared" si="844"/>
        <v/>
      </c>
      <c r="N5372" s="51" t="str">
        <f t="shared" si="845"/>
        <v/>
      </c>
      <c r="O5372" s="52" t="str">
        <f t="shared" si="846"/>
        <v/>
      </c>
      <c r="P5372" s="88">
        <f t="shared" si="847"/>
        <v>0</v>
      </c>
      <c r="Q5372" s="88">
        <f t="shared" si="848"/>
        <v>0</v>
      </c>
      <c r="R5372" s="88" t="e">
        <f>-IF(Tabla14[[#This Row],[DIAS HABILES O MORA]]&lt;0,(Tabla14[[#This Row],[VALOR PRESTAMO]]*Tabla14[[#This Row],[% INTERES ]]/30*U5372))+Tabla14[[#This Row],[VALOR CUOTAS]]</f>
        <v>#VALUE!</v>
      </c>
      <c r="S5372" s="88">
        <f>-IF(Tabla14[[#This Row],[DIAS HABILES O MORA]]&lt;0,(Tabla14[[#This Row],[VALOR PRESTAMO]]*Tabla14[[#This Row],[% INTERES ]]/30*U5372))</f>
        <v>0</v>
      </c>
      <c r="T5372" s="53" t="e">
        <f>Tabla14[[#This Row],[DEUDA CAPITAL]]+Tabla14[[#This Row],[INTERES  CUOTA]]</f>
        <v>#NUM!</v>
      </c>
      <c r="U5372" s="61" t="str">
        <f t="shared" si="849"/>
        <v/>
      </c>
    </row>
    <row r="5373" spans="9:21" ht="24.75" customHeight="1" x14ac:dyDescent="0.35">
      <c r="I5373" s="42">
        <f t="shared" si="840"/>
        <v>0</v>
      </c>
      <c r="J5373" s="65" t="e">
        <f t="shared" si="841"/>
        <v>#NUM!</v>
      </c>
      <c r="K5373" s="83" t="e">
        <f t="shared" si="842"/>
        <v>#NUM!</v>
      </c>
      <c r="L5373" s="83">
        <f t="shared" si="843"/>
        <v>0</v>
      </c>
      <c r="M5373" s="110" t="str">
        <f t="shared" si="844"/>
        <v/>
      </c>
      <c r="N5373" s="51" t="str">
        <f t="shared" si="845"/>
        <v/>
      </c>
      <c r="O5373" s="52" t="str">
        <f t="shared" si="846"/>
        <v/>
      </c>
      <c r="P5373" s="88">
        <f t="shared" si="847"/>
        <v>0</v>
      </c>
      <c r="Q5373" s="88">
        <f t="shared" si="848"/>
        <v>0</v>
      </c>
      <c r="R5373" s="88" t="e">
        <f>-IF(Tabla14[[#This Row],[DIAS HABILES O MORA]]&lt;0,(Tabla14[[#This Row],[VALOR PRESTAMO]]*Tabla14[[#This Row],[% INTERES ]]/30*U5373))+Tabla14[[#This Row],[VALOR CUOTAS]]</f>
        <v>#VALUE!</v>
      </c>
      <c r="S5373" s="88">
        <f>-IF(Tabla14[[#This Row],[DIAS HABILES O MORA]]&lt;0,(Tabla14[[#This Row],[VALOR PRESTAMO]]*Tabla14[[#This Row],[% INTERES ]]/30*U5373))</f>
        <v>0</v>
      </c>
      <c r="T5373" s="53" t="e">
        <f>Tabla14[[#This Row],[DEUDA CAPITAL]]+Tabla14[[#This Row],[INTERES  CUOTA]]</f>
        <v>#NUM!</v>
      </c>
      <c r="U5373" s="61" t="str">
        <f t="shared" si="849"/>
        <v/>
      </c>
    </row>
    <row r="5374" spans="9:21" ht="24.75" customHeight="1" x14ac:dyDescent="0.35">
      <c r="I5374" s="42">
        <f t="shared" si="840"/>
        <v>0</v>
      </c>
      <c r="J5374" s="65" t="e">
        <f t="shared" si="841"/>
        <v>#NUM!</v>
      </c>
      <c r="K5374" s="83" t="e">
        <f t="shared" si="842"/>
        <v>#NUM!</v>
      </c>
      <c r="L5374" s="83">
        <f t="shared" si="843"/>
        <v>0</v>
      </c>
      <c r="M5374" s="110" t="str">
        <f t="shared" si="844"/>
        <v/>
      </c>
      <c r="N5374" s="51" t="str">
        <f t="shared" si="845"/>
        <v/>
      </c>
      <c r="O5374" s="52" t="str">
        <f t="shared" si="846"/>
        <v/>
      </c>
      <c r="P5374" s="88">
        <f t="shared" si="847"/>
        <v>0</v>
      </c>
      <c r="Q5374" s="88">
        <f t="shared" si="848"/>
        <v>0</v>
      </c>
      <c r="R5374" s="88" t="e">
        <f>-IF(Tabla14[[#This Row],[DIAS HABILES O MORA]]&lt;0,(Tabla14[[#This Row],[VALOR PRESTAMO]]*Tabla14[[#This Row],[% INTERES ]]/30*U5374))+Tabla14[[#This Row],[VALOR CUOTAS]]</f>
        <v>#VALUE!</v>
      </c>
      <c r="S5374" s="88">
        <f>-IF(Tabla14[[#This Row],[DIAS HABILES O MORA]]&lt;0,(Tabla14[[#This Row],[VALOR PRESTAMO]]*Tabla14[[#This Row],[% INTERES ]]/30*U5374))</f>
        <v>0</v>
      </c>
      <c r="T5374" s="53" t="e">
        <f>Tabla14[[#This Row],[DEUDA CAPITAL]]+Tabla14[[#This Row],[INTERES  CUOTA]]</f>
        <v>#NUM!</v>
      </c>
      <c r="U5374" s="61" t="str">
        <f t="shared" si="849"/>
        <v/>
      </c>
    </row>
    <row r="5375" spans="9:21" ht="24.75" customHeight="1" x14ac:dyDescent="0.35">
      <c r="I5375" s="42">
        <f t="shared" si="840"/>
        <v>0</v>
      </c>
      <c r="J5375" s="65" t="e">
        <f t="shared" si="841"/>
        <v>#NUM!</v>
      </c>
      <c r="K5375" s="83" t="e">
        <f t="shared" si="842"/>
        <v>#NUM!</v>
      </c>
      <c r="L5375" s="83">
        <f t="shared" si="843"/>
        <v>0</v>
      </c>
      <c r="M5375" s="110" t="str">
        <f t="shared" si="844"/>
        <v/>
      </c>
      <c r="N5375" s="51" t="str">
        <f t="shared" si="845"/>
        <v/>
      </c>
      <c r="O5375" s="52" t="str">
        <f t="shared" si="846"/>
        <v/>
      </c>
      <c r="P5375" s="88">
        <f t="shared" si="847"/>
        <v>0</v>
      </c>
      <c r="Q5375" s="88">
        <f t="shared" si="848"/>
        <v>0</v>
      </c>
      <c r="R5375" s="88" t="e">
        <f>-IF(Tabla14[[#This Row],[DIAS HABILES O MORA]]&lt;0,(Tabla14[[#This Row],[VALOR PRESTAMO]]*Tabla14[[#This Row],[% INTERES ]]/30*U5375))+Tabla14[[#This Row],[VALOR CUOTAS]]</f>
        <v>#VALUE!</v>
      </c>
      <c r="S5375" s="88">
        <f>-IF(Tabla14[[#This Row],[DIAS HABILES O MORA]]&lt;0,(Tabla14[[#This Row],[VALOR PRESTAMO]]*Tabla14[[#This Row],[% INTERES ]]/30*U5375))</f>
        <v>0</v>
      </c>
      <c r="T5375" s="53" t="e">
        <f>Tabla14[[#This Row],[DEUDA CAPITAL]]+Tabla14[[#This Row],[INTERES  CUOTA]]</f>
        <v>#NUM!</v>
      </c>
      <c r="U5375" s="61" t="str">
        <f t="shared" si="849"/>
        <v/>
      </c>
    </row>
    <row r="5376" spans="9:21" ht="24.75" customHeight="1" x14ac:dyDescent="0.35">
      <c r="I5376" s="42">
        <f t="shared" si="840"/>
        <v>0</v>
      </c>
      <c r="J5376" s="65" t="e">
        <f t="shared" si="841"/>
        <v>#NUM!</v>
      </c>
      <c r="K5376" s="83" t="e">
        <f t="shared" si="842"/>
        <v>#NUM!</v>
      </c>
      <c r="L5376" s="83">
        <f t="shared" si="843"/>
        <v>0</v>
      </c>
      <c r="M5376" s="110" t="str">
        <f t="shared" si="844"/>
        <v/>
      </c>
      <c r="N5376" s="51" t="str">
        <f t="shared" si="845"/>
        <v/>
      </c>
      <c r="O5376" s="52" t="str">
        <f t="shared" si="846"/>
        <v/>
      </c>
      <c r="P5376" s="88">
        <f t="shared" si="847"/>
        <v>0</v>
      </c>
      <c r="Q5376" s="88">
        <f t="shared" si="848"/>
        <v>0</v>
      </c>
      <c r="R5376" s="88" t="e">
        <f>-IF(Tabla14[[#This Row],[DIAS HABILES O MORA]]&lt;0,(Tabla14[[#This Row],[VALOR PRESTAMO]]*Tabla14[[#This Row],[% INTERES ]]/30*U5376))+Tabla14[[#This Row],[VALOR CUOTAS]]</f>
        <v>#VALUE!</v>
      </c>
      <c r="S5376" s="88">
        <f>-IF(Tabla14[[#This Row],[DIAS HABILES O MORA]]&lt;0,(Tabla14[[#This Row],[VALOR PRESTAMO]]*Tabla14[[#This Row],[% INTERES ]]/30*U5376))</f>
        <v>0</v>
      </c>
      <c r="T5376" s="53" t="e">
        <f>Tabla14[[#This Row],[DEUDA CAPITAL]]+Tabla14[[#This Row],[INTERES  CUOTA]]</f>
        <v>#NUM!</v>
      </c>
      <c r="U5376" s="61" t="str">
        <f t="shared" si="849"/>
        <v/>
      </c>
    </row>
    <row r="5377" spans="9:21" ht="24.75" customHeight="1" x14ac:dyDescent="0.35">
      <c r="I5377" s="42">
        <f t="shared" si="840"/>
        <v>0</v>
      </c>
      <c r="J5377" s="65" t="e">
        <f t="shared" si="841"/>
        <v>#NUM!</v>
      </c>
      <c r="K5377" s="83" t="e">
        <f t="shared" si="842"/>
        <v>#NUM!</v>
      </c>
      <c r="L5377" s="83">
        <f t="shared" si="843"/>
        <v>0</v>
      </c>
      <c r="M5377" s="110" t="str">
        <f t="shared" si="844"/>
        <v/>
      </c>
      <c r="N5377" s="51" t="str">
        <f t="shared" si="845"/>
        <v/>
      </c>
      <c r="O5377" s="52" t="str">
        <f t="shared" si="846"/>
        <v/>
      </c>
      <c r="P5377" s="88">
        <f t="shared" si="847"/>
        <v>0</v>
      </c>
      <c r="Q5377" s="88">
        <f t="shared" si="848"/>
        <v>0</v>
      </c>
      <c r="R5377" s="88" t="e">
        <f>-IF(Tabla14[[#This Row],[DIAS HABILES O MORA]]&lt;0,(Tabla14[[#This Row],[VALOR PRESTAMO]]*Tabla14[[#This Row],[% INTERES ]]/30*U5377))+Tabla14[[#This Row],[VALOR CUOTAS]]</f>
        <v>#VALUE!</v>
      </c>
      <c r="S5377" s="88">
        <f>-IF(Tabla14[[#This Row],[DIAS HABILES O MORA]]&lt;0,(Tabla14[[#This Row],[VALOR PRESTAMO]]*Tabla14[[#This Row],[% INTERES ]]/30*U5377))</f>
        <v>0</v>
      </c>
      <c r="T5377" s="53" t="e">
        <f>Tabla14[[#This Row],[DEUDA CAPITAL]]+Tabla14[[#This Row],[INTERES  CUOTA]]</f>
        <v>#NUM!</v>
      </c>
      <c r="U5377" s="61" t="str">
        <f t="shared" si="849"/>
        <v/>
      </c>
    </row>
    <row r="5378" spans="9:21" ht="24.75" customHeight="1" x14ac:dyDescent="0.35">
      <c r="I5378" s="42">
        <f t="shared" si="840"/>
        <v>0</v>
      </c>
      <c r="J5378" s="65" t="e">
        <f t="shared" si="841"/>
        <v>#NUM!</v>
      </c>
      <c r="K5378" s="83" t="e">
        <f t="shared" si="842"/>
        <v>#NUM!</v>
      </c>
      <c r="L5378" s="83">
        <f t="shared" si="843"/>
        <v>0</v>
      </c>
      <c r="M5378" s="110" t="str">
        <f t="shared" si="844"/>
        <v/>
      </c>
      <c r="N5378" s="51" t="str">
        <f t="shared" si="845"/>
        <v/>
      </c>
      <c r="O5378" s="52" t="str">
        <f t="shared" si="846"/>
        <v/>
      </c>
      <c r="P5378" s="88">
        <f t="shared" si="847"/>
        <v>0</v>
      </c>
      <c r="Q5378" s="88">
        <f t="shared" si="848"/>
        <v>0</v>
      </c>
      <c r="R5378" s="88" t="e">
        <f>-IF(Tabla14[[#This Row],[DIAS HABILES O MORA]]&lt;0,(Tabla14[[#This Row],[VALOR PRESTAMO]]*Tabla14[[#This Row],[% INTERES ]]/30*U5378))+Tabla14[[#This Row],[VALOR CUOTAS]]</f>
        <v>#VALUE!</v>
      </c>
      <c r="S5378" s="88">
        <f>-IF(Tabla14[[#This Row],[DIAS HABILES O MORA]]&lt;0,(Tabla14[[#This Row],[VALOR PRESTAMO]]*Tabla14[[#This Row],[% INTERES ]]/30*U5378))</f>
        <v>0</v>
      </c>
      <c r="T5378" s="53" t="e">
        <f>Tabla14[[#This Row],[DEUDA CAPITAL]]+Tabla14[[#This Row],[INTERES  CUOTA]]</f>
        <v>#NUM!</v>
      </c>
      <c r="U5378" s="61" t="str">
        <f t="shared" si="849"/>
        <v/>
      </c>
    </row>
    <row r="5379" spans="9:21" ht="24.75" customHeight="1" x14ac:dyDescent="0.35">
      <c r="I5379" s="42">
        <f t="shared" si="840"/>
        <v>0</v>
      </c>
      <c r="J5379" s="65" t="e">
        <f t="shared" si="841"/>
        <v>#NUM!</v>
      </c>
      <c r="K5379" s="83" t="e">
        <f t="shared" si="842"/>
        <v>#NUM!</v>
      </c>
      <c r="L5379" s="83">
        <f t="shared" si="843"/>
        <v>0</v>
      </c>
      <c r="M5379" s="110" t="str">
        <f t="shared" si="844"/>
        <v/>
      </c>
      <c r="N5379" s="51" t="str">
        <f t="shared" si="845"/>
        <v/>
      </c>
      <c r="O5379" s="52" t="str">
        <f t="shared" si="846"/>
        <v/>
      </c>
      <c r="P5379" s="88">
        <f t="shared" si="847"/>
        <v>0</v>
      </c>
      <c r="Q5379" s="88">
        <f t="shared" si="848"/>
        <v>0</v>
      </c>
      <c r="R5379" s="88" t="e">
        <f>-IF(Tabla14[[#This Row],[DIAS HABILES O MORA]]&lt;0,(Tabla14[[#This Row],[VALOR PRESTAMO]]*Tabla14[[#This Row],[% INTERES ]]/30*U5379))+Tabla14[[#This Row],[VALOR CUOTAS]]</f>
        <v>#VALUE!</v>
      </c>
      <c r="S5379" s="88">
        <f>-IF(Tabla14[[#This Row],[DIAS HABILES O MORA]]&lt;0,(Tabla14[[#This Row],[VALOR PRESTAMO]]*Tabla14[[#This Row],[% INTERES ]]/30*U5379))</f>
        <v>0</v>
      </c>
      <c r="T5379" s="53" t="e">
        <f>Tabla14[[#This Row],[DEUDA CAPITAL]]+Tabla14[[#This Row],[INTERES  CUOTA]]</f>
        <v>#NUM!</v>
      </c>
      <c r="U5379" s="61" t="str">
        <f t="shared" si="849"/>
        <v/>
      </c>
    </row>
    <row r="5380" spans="9:21" ht="24.75" customHeight="1" x14ac:dyDescent="0.35">
      <c r="I5380" s="42">
        <f t="shared" si="840"/>
        <v>0</v>
      </c>
      <c r="J5380" s="65" t="e">
        <f t="shared" si="841"/>
        <v>#NUM!</v>
      </c>
      <c r="K5380" s="83" t="e">
        <f t="shared" si="842"/>
        <v>#NUM!</v>
      </c>
      <c r="L5380" s="83">
        <f t="shared" si="843"/>
        <v>0</v>
      </c>
      <c r="M5380" s="110" t="str">
        <f t="shared" si="844"/>
        <v/>
      </c>
      <c r="N5380" s="51" t="str">
        <f t="shared" si="845"/>
        <v/>
      </c>
      <c r="O5380" s="52" t="str">
        <f t="shared" si="846"/>
        <v/>
      </c>
      <c r="P5380" s="88">
        <f t="shared" si="847"/>
        <v>0</v>
      </c>
      <c r="Q5380" s="88">
        <f t="shared" si="848"/>
        <v>0</v>
      </c>
      <c r="R5380" s="88" t="e">
        <f>-IF(Tabla14[[#This Row],[DIAS HABILES O MORA]]&lt;0,(Tabla14[[#This Row],[VALOR PRESTAMO]]*Tabla14[[#This Row],[% INTERES ]]/30*U5380))+Tabla14[[#This Row],[VALOR CUOTAS]]</f>
        <v>#VALUE!</v>
      </c>
      <c r="S5380" s="88">
        <f>-IF(Tabla14[[#This Row],[DIAS HABILES O MORA]]&lt;0,(Tabla14[[#This Row],[VALOR PRESTAMO]]*Tabla14[[#This Row],[% INTERES ]]/30*U5380))</f>
        <v>0</v>
      </c>
      <c r="T5380" s="53" t="e">
        <f>Tabla14[[#This Row],[DEUDA CAPITAL]]+Tabla14[[#This Row],[INTERES  CUOTA]]</f>
        <v>#NUM!</v>
      </c>
      <c r="U5380" s="61" t="str">
        <f t="shared" si="849"/>
        <v/>
      </c>
    </row>
    <row r="5381" spans="9:21" ht="24.75" customHeight="1" x14ac:dyDescent="0.35">
      <c r="I5381" s="42">
        <f t="shared" si="840"/>
        <v>0</v>
      </c>
      <c r="J5381" s="65" t="e">
        <f t="shared" si="841"/>
        <v>#NUM!</v>
      </c>
      <c r="K5381" s="83" t="e">
        <f t="shared" si="842"/>
        <v>#NUM!</v>
      </c>
      <c r="L5381" s="83">
        <f t="shared" si="843"/>
        <v>0</v>
      </c>
      <c r="M5381" s="110" t="str">
        <f t="shared" si="844"/>
        <v/>
      </c>
      <c r="N5381" s="51" t="str">
        <f t="shared" si="845"/>
        <v/>
      </c>
      <c r="O5381" s="52" t="str">
        <f t="shared" si="846"/>
        <v/>
      </c>
      <c r="P5381" s="88">
        <f t="shared" si="847"/>
        <v>0</v>
      </c>
      <c r="Q5381" s="88">
        <f t="shared" si="848"/>
        <v>0</v>
      </c>
      <c r="R5381" s="88" t="e">
        <f>-IF(Tabla14[[#This Row],[DIAS HABILES O MORA]]&lt;0,(Tabla14[[#This Row],[VALOR PRESTAMO]]*Tabla14[[#This Row],[% INTERES ]]/30*U5381))+Tabla14[[#This Row],[VALOR CUOTAS]]</f>
        <v>#VALUE!</v>
      </c>
      <c r="S5381" s="88">
        <f>-IF(Tabla14[[#This Row],[DIAS HABILES O MORA]]&lt;0,(Tabla14[[#This Row],[VALOR PRESTAMO]]*Tabla14[[#This Row],[% INTERES ]]/30*U5381))</f>
        <v>0</v>
      </c>
      <c r="T5381" s="53" t="e">
        <f>Tabla14[[#This Row],[DEUDA CAPITAL]]+Tabla14[[#This Row],[INTERES  CUOTA]]</f>
        <v>#NUM!</v>
      </c>
      <c r="U5381" s="61" t="str">
        <f t="shared" si="849"/>
        <v/>
      </c>
    </row>
    <row r="5382" spans="9:21" ht="24.75" customHeight="1" x14ac:dyDescent="0.35">
      <c r="I5382" s="42">
        <f t="shared" si="840"/>
        <v>0</v>
      </c>
      <c r="J5382" s="65" t="e">
        <f t="shared" si="841"/>
        <v>#NUM!</v>
      </c>
      <c r="K5382" s="83" t="e">
        <f t="shared" si="842"/>
        <v>#NUM!</v>
      </c>
      <c r="L5382" s="83">
        <f t="shared" si="843"/>
        <v>0</v>
      </c>
      <c r="M5382" s="110" t="str">
        <f t="shared" si="844"/>
        <v/>
      </c>
      <c r="N5382" s="51" t="str">
        <f t="shared" si="845"/>
        <v/>
      </c>
      <c r="O5382" s="52" t="str">
        <f t="shared" si="846"/>
        <v/>
      </c>
      <c r="P5382" s="88">
        <f t="shared" si="847"/>
        <v>0</v>
      </c>
      <c r="Q5382" s="88">
        <f t="shared" si="848"/>
        <v>0</v>
      </c>
      <c r="R5382" s="88" t="e">
        <f>-IF(Tabla14[[#This Row],[DIAS HABILES O MORA]]&lt;0,(Tabla14[[#This Row],[VALOR PRESTAMO]]*Tabla14[[#This Row],[% INTERES ]]/30*U5382))+Tabla14[[#This Row],[VALOR CUOTAS]]</f>
        <v>#VALUE!</v>
      </c>
      <c r="S5382" s="88">
        <f>-IF(Tabla14[[#This Row],[DIAS HABILES O MORA]]&lt;0,(Tabla14[[#This Row],[VALOR PRESTAMO]]*Tabla14[[#This Row],[% INTERES ]]/30*U5382))</f>
        <v>0</v>
      </c>
      <c r="T5382" s="53" t="e">
        <f>Tabla14[[#This Row],[DEUDA CAPITAL]]+Tabla14[[#This Row],[INTERES  CUOTA]]</f>
        <v>#NUM!</v>
      </c>
      <c r="U5382" s="61" t="str">
        <f t="shared" si="849"/>
        <v/>
      </c>
    </row>
    <row r="5383" spans="9:21" ht="24.75" customHeight="1" x14ac:dyDescent="0.35">
      <c r="I5383" s="42">
        <f t="shared" si="840"/>
        <v>0</v>
      </c>
      <c r="J5383" s="65" t="e">
        <f t="shared" si="841"/>
        <v>#NUM!</v>
      </c>
      <c r="K5383" s="83" t="e">
        <f t="shared" si="842"/>
        <v>#NUM!</v>
      </c>
      <c r="L5383" s="83">
        <f t="shared" si="843"/>
        <v>0</v>
      </c>
      <c r="M5383" s="110" t="str">
        <f t="shared" si="844"/>
        <v/>
      </c>
      <c r="N5383" s="51" t="str">
        <f t="shared" si="845"/>
        <v/>
      </c>
      <c r="O5383" s="52" t="str">
        <f t="shared" si="846"/>
        <v/>
      </c>
      <c r="P5383" s="88">
        <f t="shared" si="847"/>
        <v>0</v>
      </c>
      <c r="Q5383" s="88">
        <f t="shared" si="848"/>
        <v>0</v>
      </c>
      <c r="R5383" s="88" t="e">
        <f>-IF(Tabla14[[#This Row],[DIAS HABILES O MORA]]&lt;0,(Tabla14[[#This Row],[VALOR PRESTAMO]]*Tabla14[[#This Row],[% INTERES ]]/30*U5383))+Tabla14[[#This Row],[VALOR CUOTAS]]</f>
        <v>#VALUE!</v>
      </c>
      <c r="S5383" s="88">
        <f>-IF(Tabla14[[#This Row],[DIAS HABILES O MORA]]&lt;0,(Tabla14[[#This Row],[VALOR PRESTAMO]]*Tabla14[[#This Row],[% INTERES ]]/30*U5383))</f>
        <v>0</v>
      </c>
      <c r="T5383" s="53" t="e">
        <f>Tabla14[[#This Row],[DEUDA CAPITAL]]+Tabla14[[#This Row],[INTERES  CUOTA]]</f>
        <v>#NUM!</v>
      </c>
      <c r="U5383" s="61" t="str">
        <f t="shared" si="849"/>
        <v/>
      </c>
    </row>
    <row r="5384" spans="9:21" ht="24.75" customHeight="1" x14ac:dyDescent="0.35">
      <c r="I5384" s="42">
        <f t="shared" si="840"/>
        <v>0</v>
      </c>
      <c r="J5384" s="65" t="e">
        <f t="shared" si="841"/>
        <v>#NUM!</v>
      </c>
      <c r="K5384" s="83" t="e">
        <f t="shared" si="842"/>
        <v>#NUM!</v>
      </c>
      <c r="L5384" s="83">
        <f t="shared" si="843"/>
        <v>0</v>
      </c>
      <c r="M5384" s="110" t="str">
        <f t="shared" si="844"/>
        <v/>
      </c>
      <c r="N5384" s="51" t="str">
        <f t="shared" si="845"/>
        <v/>
      </c>
      <c r="O5384" s="52" t="str">
        <f t="shared" si="846"/>
        <v/>
      </c>
      <c r="P5384" s="88">
        <f t="shared" si="847"/>
        <v>0</v>
      </c>
      <c r="Q5384" s="88">
        <f t="shared" si="848"/>
        <v>0</v>
      </c>
      <c r="R5384" s="88" t="e">
        <f>-IF(Tabla14[[#This Row],[DIAS HABILES O MORA]]&lt;0,(Tabla14[[#This Row],[VALOR PRESTAMO]]*Tabla14[[#This Row],[% INTERES ]]/30*U5384))+Tabla14[[#This Row],[VALOR CUOTAS]]</f>
        <v>#VALUE!</v>
      </c>
      <c r="S5384" s="88">
        <f>-IF(Tabla14[[#This Row],[DIAS HABILES O MORA]]&lt;0,(Tabla14[[#This Row],[VALOR PRESTAMO]]*Tabla14[[#This Row],[% INTERES ]]/30*U5384))</f>
        <v>0</v>
      </c>
      <c r="T5384" s="53" t="e">
        <f>Tabla14[[#This Row],[DEUDA CAPITAL]]+Tabla14[[#This Row],[INTERES  CUOTA]]</f>
        <v>#NUM!</v>
      </c>
      <c r="U5384" s="61" t="str">
        <f t="shared" si="849"/>
        <v/>
      </c>
    </row>
    <row r="5385" spans="9:21" ht="24.75" customHeight="1" x14ac:dyDescent="0.35">
      <c r="I5385" s="42">
        <f t="shared" si="840"/>
        <v>0</v>
      </c>
      <c r="J5385" s="65" t="e">
        <f t="shared" si="841"/>
        <v>#NUM!</v>
      </c>
      <c r="K5385" s="83" t="e">
        <f t="shared" si="842"/>
        <v>#NUM!</v>
      </c>
      <c r="L5385" s="83">
        <f t="shared" si="843"/>
        <v>0</v>
      </c>
      <c r="M5385" s="110" t="str">
        <f t="shared" si="844"/>
        <v/>
      </c>
      <c r="N5385" s="51" t="str">
        <f t="shared" si="845"/>
        <v/>
      </c>
      <c r="O5385" s="52" t="str">
        <f t="shared" si="846"/>
        <v/>
      </c>
      <c r="P5385" s="88">
        <f t="shared" si="847"/>
        <v>0</v>
      </c>
      <c r="Q5385" s="88">
        <f t="shared" si="848"/>
        <v>0</v>
      </c>
      <c r="R5385" s="88" t="e">
        <f>-IF(Tabla14[[#This Row],[DIAS HABILES O MORA]]&lt;0,(Tabla14[[#This Row],[VALOR PRESTAMO]]*Tabla14[[#This Row],[% INTERES ]]/30*U5385))+Tabla14[[#This Row],[VALOR CUOTAS]]</f>
        <v>#VALUE!</v>
      </c>
      <c r="S5385" s="88">
        <f>-IF(Tabla14[[#This Row],[DIAS HABILES O MORA]]&lt;0,(Tabla14[[#This Row],[VALOR PRESTAMO]]*Tabla14[[#This Row],[% INTERES ]]/30*U5385))</f>
        <v>0</v>
      </c>
      <c r="T5385" s="53" t="e">
        <f>Tabla14[[#This Row],[DEUDA CAPITAL]]+Tabla14[[#This Row],[INTERES  CUOTA]]</f>
        <v>#NUM!</v>
      </c>
      <c r="U5385" s="61" t="str">
        <f t="shared" si="849"/>
        <v/>
      </c>
    </row>
    <row r="5386" spans="9:21" ht="24.75" customHeight="1" x14ac:dyDescent="0.35">
      <c r="I5386" s="42">
        <f t="shared" si="840"/>
        <v>0</v>
      </c>
      <c r="J5386" s="65" t="e">
        <f t="shared" si="841"/>
        <v>#NUM!</v>
      </c>
      <c r="K5386" s="83" t="e">
        <f t="shared" si="842"/>
        <v>#NUM!</v>
      </c>
      <c r="L5386" s="83">
        <f t="shared" si="843"/>
        <v>0</v>
      </c>
      <c r="M5386" s="110" t="str">
        <f t="shared" si="844"/>
        <v/>
      </c>
      <c r="N5386" s="51" t="str">
        <f t="shared" si="845"/>
        <v/>
      </c>
      <c r="O5386" s="52" t="str">
        <f t="shared" si="846"/>
        <v/>
      </c>
      <c r="P5386" s="88">
        <f t="shared" si="847"/>
        <v>0</v>
      </c>
      <c r="Q5386" s="88">
        <f t="shared" si="848"/>
        <v>0</v>
      </c>
      <c r="R5386" s="88" t="e">
        <f>-IF(Tabla14[[#This Row],[DIAS HABILES O MORA]]&lt;0,(Tabla14[[#This Row],[VALOR PRESTAMO]]*Tabla14[[#This Row],[% INTERES ]]/30*U5386))+Tabla14[[#This Row],[VALOR CUOTAS]]</f>
        <v>#VALUE!</v>
      </c>
      <c r="S5386" s="88">
        <f>-IF(Tabla14[[#This Row],[DIAS HABILES O MORA]]&lt;0,(Tabla14[[#This Row],[VALOR PRESTAMO]]*Tabla14[[#This Row],[% INTERES ]]/30*U5386))</f>
        <v>0</v>
      </c>
      <c r="T5386" s="53" t="e">
        <f>Tabla14[[#This Row],[DEUDA CAPITAL]]+Tabla14[[#This Row],[INTERES  CUOTA]]</f>
        <v>#NUM!</v>
      </c>
      <c r="U5386" s="61" t="str">
        <f t="shared" si="849"/>
        <v/>
      </c>
    </row>
    <row r="5387" spans="9:21" ht="24.75" customHeight="1" x14ac:dyDescent="0.35">
      <c r="I5387" s="42">
        <f t="shared" si="840"/>
        <v>0</v>
      </c>
      <c r="J5387" s="65" t="e">
        <f t="shared" si="841"/>
        <v>#NUM!</v>
      </c>
      <c r="K5387" s="83" t="e">
        <f t="shared" si="842"/>
        <v>#NUM!</v>
      </c>
      <c r="L5387" s="83">
        <f t="shared" si="843"/>
        <v>0</v>
      </c>
      <c r="M5387" s="110" t="str">
        <f t="shared" si="844"/>
        <v/>
      </c>
      <c r="N5387" s="51" t="str">
        <f t="shared" si="845"/>
        <v/>
      </c>
      <c r="O5387" s="52" t="str">
        <f t="shared" si="846"/>
        <v/>
      </c>
      <c r="P5387" s="88">
        <f t="shared" si="847"/>
        <v>0</v>
      </c>
      <c r="Q5387" s="88">
        <f t="shared" si="848"/>
        <v>0</v>
      </c>
      <c r="R5387" s="88" t="e">
        <f>-IF(Tabla14[[#This Row],[DIAS HABILES O MORA]]&lt;0,(Tabla14[[#This Row],[VALOR PRESTAMO]]*Tabla14[[#This Row],[% INTERES ]]/30*U5387))+Tabla14[[#This Row],[VALOR CUOTAS]]</f>
        <v>#VALUE!</v>
      </c>
      <c r="S5387" s="88">
        <f>-IF(Tabla14[[#This Row],[DIAS HABILES O MORA]]&lt;0,(Tabla14[[#This Row],[VALOR PRESTAMO]]*Tabla14[[#This Row],[% INTERES ]]/30*U5387))</f>
        <v>0</v>
      </c>
      <c r="T5387" s="53" t="e">
        <f>Tabla14[[#This Row],[DEUDA CAPITAL]]+Tabla14[[#This Row],[INTERES  CUOTA]]</f>
        <v>#NUM!</v>
      </c>
      <c r="U5387" s="61" t="str">
        <f t="shared" si="849"/>
        <v/>
      </c>
    </row>
    <row r="5388" spans="9:21" ht="24.75" customHeight="1" x14ac:dyDescent="0.35">
      <c r="I5388" s="42">
        <f t="shared" si="840"/>
        <v>0</v>
      </c>
      <c r="J5388" s="65" t="e">
        <f t="shared" si="841"/>
        <v>#NUM!</v>
      </c>
      <c r="K5388" s="83" t="e">
        <f t="shared" si="842"/>
        <v>#NUM!</v>
      </c>
      <c r="L5388" s="83">
        <f t="shared" si="843"/>
        <v>0</v>
      </c>
      <c r="M5388" s="110" t="str">
        <f t="shared" si="844"/>
        <v/>
      </c>
      <c r="N5388" s="51" t="str">
        <f t="shared" si="845"/>
        <v/>
      </c>
      <c r="O5388" s="52" t="str">
        <f t="shared" si="846"/>
        <v/>
      </c>
      <c r="P5388" s="88">
        <f t="shared" si="847"/>
        <v>0</v>
      </c>
      <c r="Q5388" s="88">
        <f t="shared" si="848"/>
        <v>0</v>
      </c>
      <c r="R5388" s="88" t="e">
        <f>-IF(Tabla14[[#This Row],[DIAS HABILES O MORA]]&lt;0,(Tabla14[[#This Row],[VALOR PRESTAMO]]*Tabla14[[#This Row],[% INTERES ]]/30*U5388))+Tabla14[[#This Row],[VALOR CUOTAS]]</f>
        <v>#VALUE!</v>
      </c>
      <c r="S5388" s="88">
        <f>-IF(Tabla14[[#This Row],[DIAS HABILES O MORA]]&lt;0,(Tabla14[[#This Row],[VALOR PRESTAMO]]*Tabla14[[#This Row],[% INTERES ]]/30*U5388))</f>
        <v>0</v>
      </c>
      <c r="T5388" s="53" t="e">
        <f>Tabla14[[#This Row],[DEUDA CAPITAL]]+Tabla14[[#This Row],[INTERES  CUOTA]]</f>
        <v>#NUM!</v>
      </c>
      <c r="U5388" s="61" t="str">
        <f t="shared" si="849"/>
        <v/>
      </c>
    </row>
    <row r="5389" spans="9:21" ht="24.75" customHeight="1" x14ac:dyDescent="0.35">
      <c r="I5389" s="42">
        <f t="shared" si="840"/>
        <v>0</v>
      </c>
      <c r="J5389" s="65" t="e">
        <f t="shared" si="841"/>
        <v>#NUM!</v>
      </c>
      <c r="K5389" s="83" t="e">
        <f t="shared" si="842"/>
        <v>#NUM!</v>
      </c>
      <c r="L5389" s="83">
        <f t="shared" si="843"/>
        <v>0</v>
      </c>
      <c r="M5389" s="110" t="str">
        <f t="shared" si="844"/>
        <v/>
      </c>
      <c r="N5389" s="51" t="str">
        <f t="shared" si="845"/>
        <v/>
      </c>
      <c r="O5389" s="52" t="str">
        <f t="shared" si="846"/>
        <v/>
      </c>
      <c r="P5389" s="88">
        <f t="shared" si="847"/>
        <v>0</v>
      </c>
      <c r="Q5389" s="88">
        <f t="shared" si="848"/>
        <v>0</v>
      </c>
      <c r="R5389" s="88" t="e">
        <f>-IF(Tabla14[[#This Row],[DIAS HABILES O MORA]]&lt;0,(Tabla14[[#This Row],[VALOR PRESTAMO]]*Tabla14[[#This Row],[% INTERES ]]/30*U5389))+Tabla14[[#This Row],[VALOR CUOTAS]]</f>
        <v>#VALUE!</v>
      </c>
      <c r="S5389" s="88">
        <f>-IF(Tabla14[[#This Row],[DIAS HABILES O MORA]]&lt;0,(Tabla14[[#This Row],[VALOR PRESTAMO]]*Tabla14[[#This Row],[% INTERES ]]/30*U5389))</f>
        <v>0</v>
      </c>
      <c r="T5389" s="53" t="e">
        <f>Tabla14[[#This Row],[DEUDA CAPITAL]]+Tabla14[[#This Row],[INTERES  CUOTA]]</f>
        <v>#NUM!</v>
      </c>
      <c r="U5389" s="61" t="str">
        <f t="shared" si="849"/>
        <v/>
      </c>
    </row>
    <row r="5390" spans="9:21" ht="24.75" customHeight="1" x14ac:dyDescent="0.35">
      <c r="I5390" s="42">
        <f t="shared" si="840"/>
        <v>0</v>
      </c>
      <c r="J5390" s="65" t="e">
        <f t="shared" si="841"/>
        <v>#NUM!</v>
      </c>
      <c r="K5390" s="83" t="e">
        <f t="shared" si="842"/>
        <v>#NUM!</v>
      </c>
      <c r="L5390" s="83">
        <f t="shared" si="843"/>
        <v>0</v>
      </c>
      <c r="M5390" s="110" t="str">
        <f t="shared" si="844"/>
        <v/>
      </c>
      <c r="N5390" s="51" t="str">
        <f t="shared" si="845"/>
        <v/>
      </c>
      <c r="O5390" s="52" t="str">
        <f t="shared" si="846"/>
        <v/>
      </c>
      <c r="P5390" s="88">
        <f t="shared" si="847"/>
        <v>0</v>
      </c>
      <c r="Q5390" s="88">
        <f t="shared" si="848"/>
        <v>0</v>
      </c>
      <c r="R5390" s="88" t="e">
        <f>-IF(Tabla14[[#This Row],[DIAS HABILES O MORA]]&lt;0,(Tabla14[[#This Row],[VALOR PRESTAMO]]*Tabla14[[#This Row],[% INTERES ]]/30*U5390))+Tabla14[[#This Row],[VALOR CUOTAS]]</f>
        <v>#VALUE!</v>
      </c>
      <c r="S5390" s="88">
        <f>-IF(Tabla14[[#This Row],[DIAS HABILES O MORA]]&lt;0,(Tabla14[[#This Row],[VALOR PRESTAMO]]*Tabla14[[#This Row],[% INTERES ]]/30*U5390))</f>
        <v>0</v>
      </c>
      <c r="T5390" s="53" t="e">
        <f>Tabla14[[#This Row],[DEUDA CAPITAL]]+Tabla14[[#This Row],[INTERES  CUOTA]]</f>
        <v>#NUM!</v>
      </c>
      <c r="U5390" s="61" t="str">
        <f t="shared" si="849"/>
        <v/>
      </c>
    </row>
    <row r="5391" spans="9:21" ht="24.75" customHeight="1" x14ac:dyDescent="0.35">
      <c r="I5391" s="42">
        <f t="shared" si="840"/>
        <v>0</v>
      </c>
      <c r="J5391" s="65" t="e">
        <f t="shared" si="841"/>
        <v>#NUM!</v>
      </c>
      <c r="K5391" s="83" t="e">
        <f t="shared" si="842"/>
        <v>#NUM!</v>
      </c>
      <c r="L5391" s="83">
        <f t="shared" si="843"/>
        <v>0</v>
      </c>
      <c r="M5391" s="110" t="str">
        <f t="shared" si="844"/>
        <v/>
      </c>
      <c r="N5391" s="51" t="str">
        <f t="shared" si="845"/>
        <v/>
      </c>
      <c r="O5391" s="52" t="str">
        <f t="shared" si="846"/>
        <v/>
      </c>
      <c r="P5391" s="88">
        <f t="shared" si="847"/>
        <v>0</v>
      </c>
      <c r="Q5391" s="88">
        <f t="shared" si="848"/>
        <v>0</v>
      </c>
      <c r="R5391" s="88" t="e">
        <f>-IF(Tabla14[[#This Row],[DIAS HABILES O MORA]]&lt;0,(Tabla14[[#This Row],[VALOR PRESTAMO]]*Tabla14[[#This Row],[% INTERES ]]/30*U5391))+Tabla14[[#This Row],[VALOR CUOTAS]]</f>
        <v>#VALUE!</v>
      </c>
      <c r="S5391" s="88">
        <f>-IF(Tabla14[[#This Row],[DIAS HABILES O MORA]]&lt;0,(Tabla14[[#This Row],[VALOR PRESTAMO]]*Tabla14[[#This Row],[% INTERES ]]/30*U5391))</f>
        <v>0</v>
      </c>
      <c r="T5391" s="53" t="e">
        <f>Tabla14[[#This Row],[DEUDA CAPITAL]]+Tabla14[[#This Row],[INTERES  CUOTA]]</f>
        <v>#NUM!</v>
      </c>
      <c r="U5391" s="61" t="str">
        <f t="shared" si="849"/>
        <v/>
      </c>
    </row>
    <row r="5392" spans="9:21" ht="24.75" customHeight="1" x14ac:dyDescent="0.35">
      <c r="I5392" s="42">
        <f t="shared" ref="I5392:I5455" si="850">IF(C5392&lt;0,"",IF(Q5392=0,0,IF(G5392=0,H5392+1,IF(H5392&lt;G5392,H5392+1,IF(G5392=H5392,0)))))</f>
        <v>0</v>
      </c>
      <c r="J5392" s="65" t="e">
        <f t="shared" ref="J5392:J5455" si="851">IF(F5392="SOLO INTERES",Q5392*D5392,-IPMT(D5392,I5392,G5392,C5392))</f>
        <v>#NUM!</v>
      </c>
      <c r="K5392" s="83" t="e">
        <f t="shared" ref="K5392:K5455" si="852">IF(F5392="SOLO INTERES",0,-PPMT(D5392,I5392,G5392,C5392))</f>
        <v>#NUM!</v>
      </c>
      <c r="L5392" s="83">
        <f t="shared" ref="L5392:L5455" si="853">IF(F5392="SOLO INTERES",SUM(Y5392:AAE5392),IFERROR(-CUMIPMT(D5392,G5392,C5392,1,H5392,0),0)+SUM(Y5392:WY5392))</f>
        <v>0</v>
      </c>
      <c r="M5392" s="110" t="str">
        <f t="shared" ref="M5392:M5455" si="854">IFERROR(IF(F5392="SOLO INTERES",Q5392*D5392,-PMT(D5392,G5392,C5392,0)),"")</f>
        <v/>
      </c>
      <c r="N5392" s="51" t="str">
        <f t="shared" ref="N5392:N5455" si="855">IF(Q5392=0,"",IF(E5392="MENSUAL",EDATE(B5392,I5392),IF(E5392="QUINCENAL",B5392+(I5392*15),IF(E5392="SEMANAL",B5392+(I5392*7)))))</f>
        <v/>
      </c>
      <c r="O5392" s="52" t="str">
        <f t="shared" ref="O5392:O5455" si="856">IF(C5392=0,"",IF(Q5392&lt;1,"PAGADO",IF(N5392=$A$3,"COBRAR HOY",IF(N5392&lt;$A$3,"EN MORA",IF(N5392&gt;$A$3,"AL DIA")))))</f>
        <v/>
      </c>
      <c r="P5392" s="88">
        <f t="shared" ref="P5392:P5455" si="857">IFERROR(-CUMPRINC(D5392,G5392,C5392,1,H5392,0),0)+W5392</f>
        <v>0</v>
      </c>
      <c r="Q5392" s="88">
        <f t="shared" ref="Q5392:Q5455" si="858">IFERROR(C5392-P5392,"")</f>
        <v>0</v>
      </c>
      <c r="R5392" s="88" t="e">
        <f>-IF(Tabla14[[#This Row],[DIAS HABILES O MORA]]&lt;0,(Tabla14[[#This Row],[VALOR PRESTAMO]]*Tabla14[[#This Row],[% INTERES ]]/30*U5392))+Tabla14[[#This Row],[VALOR CUOTAS]]</f>
        <v>#VALUE!</v>
      </c>
      <c r="S5392" s="88">
        <f>-IF(Tabla14[[#This Row],[DIAS HABILES O MORA]]&lt;0,(Tabla14[[#This Row],[VALOR PRESTAMO]]*Tabla14[[#This Row],[% INTERES ]]/30*U5392))</f>
        <v>0</v>
      </c>
      <c r="T5392" s="53" t="e">
        <f>Tabla14[[#This Row],[DEUDA CAPITAL]]+Tabla14[[#This Row],[INTERES  CUOTA]]</f>
        <v>#NUM!</v>
      </c>
      <c r="U5392" s="61" t="str">
        <f t="shared" ref="U5392:U5455" si="859">IF(O5392="PAGADO","",IFERROR(-IF(C5392=0,"",$A$3-N5392),""))</f>
        <v/>
      </c>
    </row>
    <row r="5393" spans="9:21" ht="24.75" customHeight="1" x14ac:dyDescent="0.35">
      <c r="I5393" s="42">
        <f t="shared" si="850"/>
        <v>0</v>
      </c>
      <c r="J5393" s="65" t="e">
        <f t="shared" si="851"/>
        <v>#NUM!</v>
      </c>
      <c r="K5393" s="83" t="e">
        <f t="shared" si="852"/>
        <v>#NUM!</v>
      </c>
      <c r="L5393" s="83">
        <f t="shared" si="853"/>
        <v>0</v>
      </c>
      <c r="M5393" s="110" t="str">
        <f t="shared" si="854"/>
        <v/>
      </c>
      <c r="N5393" s="51" t="str">
        <f t="shared" si="855"/>
        <v/>
      </c>
      <c r="O5393" s="52" t="str">
        <f t="shared" si="856"/>
        <v/>
      </c>
      <c r="P5393" s="88">
        <f t="shared" si="857"/>
        <v>0</v>
      </c>
      <c r="Q5393" s="88">
        <f t="shared" si="858"/>
        <v>0</v>
      </c>
      <c r="R5393" s="88" t="e">
        <f>-IF(Tabla14[[#This Row],[DIAS HABILES O MORA]]&lt;0,(Tabla14[[#This Row],[VALOR PRESTAMO]]*Tabla14[[#This Row],[% INTERES ]]/30*U5393))+Tabla14[[#This Row],[VALOR CUOTAS]]</f>
        <v>#VALUE!</v>
      </c>
      <c r="S5393" s="88">
        <f>-IF(Tabla14[[#This Row],[DIAS HABILES O MORA]]&lt;0,(Tabla14[[#This Row],[VALOR PRESTAMO]]*Tabla14[[#This Row],[% INTERES ]]/30*U5393))</f>
        <v>0</v>
      </c>
      <c r="T5393" s="53" t="e">
        <f>Tabla14[[#This Row],[DEUDA CAPITAL]]+Tabla14[[#This Row],[INTERES  CUOTA]]</f>
        <v>#NUM!</v>
      </c>
      <c r="U5393" s="61" t="str">
        <f t="shared" si="859"/>
        <v/>
      </c>
    </row>
    <row r="5394" spans="9:21" ht="24.75" customHeight="1" x14ac:dyDescent="0.35">
      <c r="I5394" s="42">
        <f t="shared" si="850"/>
        <v>0</v>
      </c>
      <c r="J5394" s="65" t="e">
        <f t="shared" si="851"/>
        <v>#NUM!</v>
      </c>
      <c r="K5394" s="83" t="e">
        <f t="shared" si="852"/>
        <v>#NUM!</v>
      </c>
      <c r="L5394" s="83">
        <f t="shared" si="853"/>
        <v>0</v>
      </c>
      <c r="M5394" s="110" t="str">
        <f t="shared" si="854"/>
        <v/>
      </c>
      <c r="N5394" s="51" t="str">
        <f t="shared" si="855"/>
        <v/>
      </c>
      <c r="O5394" s="52" t="str">
        <f t="shared" si="856"/>
        <v/>
      </c>
      <c r="P5394" s="88">
        <f t="shared" si="857"/>
        <v>0</v>
      </c>
      <c r="Q5394" s="88">
        <f t="shared" si="858"/>
        <v>0</v>
      </c>
      <c r="R5394" s="88" t="e">
        <f>-IF(Tabla14[[#This Row],[DIAS HABILES O MORA]]&lt;0,(Tabla14[[#This Row],[VALOR PRESTAMO]]*Tabla14[[#This Row],[% INTERES ]]/30*U5394))+Tabla14[[#This Row],[VALOR CUOTAS]]</f>
        <v>#VALUE!</v>
      </c>
      <c r="S5394" s="88">
        <f>-IF(Tabla14[[#This Row],[DIAS HABILES O MORA]]&lt;0,(Tabla14[[#This Row],[VALOR PRESTAMO]]*Tabla14[[#This Row],[% INTERES ]]/30*U5394))</f>
        <v>0</v>
      </c>
      <c r="T5394" s="53" t="e">
        <f>Tabla14[[#This Row],[DEUDA CAPITAL]]+Tabla14[[#This Row],[INTERES  CUOTA]]</f>
        <v>#NUM!</v>
      </c>
      <c r="U5394" s="61" t="str">
        <f t="shared" si="859"/>
        <v/>
      </c>
    </row>
    <row r="5395" spans="9:21" ht="24.75" customHeight="1" x14ac:dyDescent="0.35">
      <c r="I5395" s="42">
        <f t="shared" si="850"/>
        <v>0</v>
      </c>
      <c r="J5395" s="65" t="e">
        <f t="shared" si="851"/>
        <v>#NUM!</v>
      </c>
      <c r="K5395" s="83" t="e">
        <f t="shared" si="852"/>
        <v>#NUM!</v>
      </c>
      <c r="L5395" s="83">
        <f t="shared" si="853"/>
        <v>0</v>
      </c>
      <c r="M5395" s="110" t="str">
        <f t="shared" si="854"/>
        <v/>
      </c>
      <c r="N5395" s="51" t="str">
        <f t="shared" si="855"/>
        <v/>
      </c>
      <c r="O5395" s="52" t="str">
        <f t="shared" si="856"/>
        <v/>
      </c>
      <c r="P5395" s="88">
        <f t="shared" si="857"/>
        <v>0</v>
      </c>
      <c r="Q5395" s="88">
        <f t="shared" si="858"/>
        <v>0</v>
      </c>
      <c r="R5395" s="88" t="e">
        <f>-IF(Tabla14[[#This Row],[DIAS HABILES O MORA]]&lt;0,(Tabla14[[#This Row],[VALOR PRESTAMO]]*Tabla14[[#This Row],[% INTERES ]]/30*U5395))+Tabla14[[#This Row],[VALOR CUOTAS]]</f>
        <v>#VALUE!</v>
      </c>
      <c r="S5395" s="88">
        <f>-IF(Tabla14[[#This Row],[DIAS HABILES O MORA]]&lt;0,(Tabla14[[#This Row],[VALOR PRESTAMO]]*Tabla14[[#This Row],[% INTERES ]]/30*U5395))</f>
        <v>0</v>
      </c>
      <c r="T5395" s="53" t="e">
        <f>Tabla14[[#This Row],[DEUDA CAPITAL]]+Tabla14[[#This Row],[INTERES  CUOTA]]</f>
        <v>#NUM!</v>
      </c>
      <c r="U5395" s="61" t="str">
        <f t="shared" si="859"/>
        <v/>
      </c>
    </row>
    <row r="5396" spans="9:21" ht="24.75" customHeight="1" x14ac:dyDescent="0.35">
      <c r="I5396" s="42">
        <f t="shared" si="850"/>
        <v>0</v>
      </c>
      <c r="J5396" s="65" t="e">
        <f t="shared" si="851"/>
        <v>#NUM!</v>
      </c>
      <c r="K5396" s="83" t="e">
        <f t="shared" si="852"/>
        <v>#NUM!</v>
      </c>
      <c r="L5396" s="83">
        <f t="shared" si="853"/>
        <v>0</v>
      </c>
      <c r="M5396" s="110" t="str">
        <f t="shared" si="854"/>
        <v/>
      </c>
      <c r="N5396" s="51" t="str">
        <f t="shared" si="855"/>
        <v/>
      </c>
      <c r="O5396" s="52" t="str">
        <f t="shared" si="856"/>
        <v/>
      </c>
      <c r="P5396" s="88">
        <f t="shared" si="857"/>
        <v>0</v>
      </c>
      <c r="Q5396" s="88">
        <f t="shared" si="858"/>
        <v>0</v>
      </c>
      <c r="R5396" s="88" t="e">
        <f>-IF(Tabla14[[#This Row],[DIAS HABILES O MORA]]&lt;0,(Tabla14[[#This Row],[VALOR PRESTAMO]]*Tabla14[[#This Row],[% INTERES ]]/30*U5396))+Tabla14[[#This Row],[VALOR CUOTAS]]</f>
        <v>#VALUE!</v>
      </c>
      <c r="S5396" s="88">
        <f>-IF(Tabla14[[#This Row],[DIAS HABILES O MORA]]&lt;0,(Tabla14[[#This Row],[VALOR PRESTAMO]]*Tabla14[[#This Row],[% INTERES ]]/30*U5396))</f>
        <v>0</v>
      </c>
      <c r="T5396" s="53" t="e">
        <f>Tabla14[[#This Row],[DEUDA CAPITAL]]+Tabla14[[#This Row],[INTERES  CUOTA]]</f>
        <v>#NUM!</v>
      </c>
      <c r="U5396" s="61" t="str">
        <f t="shared" si="859"/>
        <v/>
      </c>
    </row>
    <row r="5397" spans="9:21" ht="24.75" customHeight="1" x14ac:dyDescent="0.35">
      <c r="I5397" s="42">
        <f t="shared" si="850"/>
        <v>0</v>
      </c>
      <c r="J5397" s="65" t="e">
        <f t="shared" si="851"/>
        <v>#NUM!</v>
      </c>
      <c r="K5397" s="83" t="e">
        <f t="shared" si="852"/>
        <v>#NUM!</v>
      </c>
      <c r="L5397" s="83">
        <f t="shared" si="853"/>
        <v>0</v>
      </c>
      <c r="M5397" s="110" t="str">
        <f t="shared" si="854"/>
        <v/>
      </c>
      <c r="N5397" s="51" t="str">
        <f t="shared" si="855"/>
        <v/>
      </c>
      <c r="O5397" s="52" t="str">
        <f t="shared" si="856"/>
        <v/>
      </c>
      <c r="P5397" s="88">
        <f t="shared" si="857"/>
        <v>0</v>
      </c>
      <c r="Q5397" s="88">
        <f t="shared" si="858"/>
        <v>0</v>
      </c>
      <c r="R5397" s="88" t="e">
        <f>-IF(Tabla14[[#This Row],[DIAS HABILES O MORA]]&lt;0,(Tabla14[[#This Row],[VALOR PRESTAMO]]*Tabla14[[#This Row],[% INTERES ]]/30*U5397))+Tabla14[[#This Row],[VALOR CUOTAS]]</f>
        <v>#VALUE!</v>
      </c>
      <c r="S5397" s="88">
        <f>-IF(Tabla14[[#This Row],[DIAS HABILES O MORA]]&lt;0,(Tabla14[[#This Row],[VALOR PRESTAMO]]*Tabla14[[#This Row],[% INTERES ]]/30*U5397))</f>
        <v>0</v>
      </c>
      <c r="T5397" s="53" t="e">
        <f>Tabla14[[#This Row],[DEUDA CAPITAL]]+Tabla14[[#This Row],[INTERES  CUOTA]]</f>
        <v>#NUM!</v>
      </c>
      <c r="U5397" s="61" t="str">
        <f t="shared" si="859"/>
        <v/>
      </c>
    </row>
    <row r="5398" spans="9:21" ht="24.75" customHeight="1" x14ac:dyDescent="0.35">
      <c r="I5398" s="42">
        <f t="shared" si="850"/>
        <v>0</v>
      </c>
      <c r="J5398" s="65" t="e">
        <f t="shared" si="851"/>
        <v>#NUM!</v>
      </c>
      <c r="K5398" s="83" t="e">
        <f t="shared" si="852"/>
        <v>#NUM!</v>
      </c>
      <c r="L5398" s="83">
        <f t="shared" si="853"/>
        <v>0</v>
      </c>
      <c r="M5398" s="110" t="str">
        <f t="shared" si="854"/>
        <v/>
      </c>
      <c r="N5398" s="51" t="str">
        <f t="shared" si="855"/>
        <v/>
      </c>
      <c r="O5398" s="52" t="str">
        <f t="shared" si="856"/>
        <v/>
      </c>
      <c r="P5398" s="88">
        <f t="shared" si="857"/>
        <v>0</v>
      </c>
      <c r="Q5398" s="88">
        <f t="shared" si="858"/>
        <v>0</v>
      </c>
      <c r="R5398" s="88" t="e">
        <f>-IF(Tabla14[[#This Row],[DIAS HABILES O MORA]]&lt;0,(Tabla14[[#This Row],[VALOR PRESTAMO]]*Tabla14[[#This Row],[% INTERES ]]/30*U5398))+Tabla14[[#This Row],[VALOR CUOTAS]]</f>
        <v>#VALUE!</v>
      </c>
      <c r="S5398" s="88">
        <f>-IF(Tabla14[[#This Row],[DIAS HABILES O MORA]]&lt;0,(Tabla14[[#This Row],[VALOR PRESTAMO]]*Tabla14[[#This Row],[% INTERES ]]/30*U5398))</f>
        <v>0</v>
      </c>
      <c r="T5398" s="53" t="e">
        <f>Tabla14[[#This Row],[DEUDA CAPITAL]]+Tabla14[[#This Row],[INTERES  CUOTA]]</f>
        <v>#NUM!</v>
      </c>
      <c r="U5398" s="61" t="str">
        <f t="shared" si="859"/>
        <v/>
      </c>
    </row>
    <row r="5399" spans="9:21" ht="24.75" customHeight="1" x14ac:dyDescent="0.35">
      <c r="I5399" s="42">
        <f t="shared" si="850"/>
        <v>0</v>
      </c>
      <c r="J5399" s="65" t="e">
        <f t="shared" si="851"/>
        <v>#NUM!</v>
      </c>
      <c r="K5399" s="83" t="e">
        <f t="shared" si="852"/>
        <v>#NUM!</v>
      </c>
      <c r="L5399" s="83">
        <f t="shared" si="853"/>
        <v>0</v>
      </c>
      <c r="M5399" s="110" t="str">
        <f t="shared" si="854"/>
        <v/>
      </c>
      <c r="N5399" s="51" t="str">
        <f t="shared" si="855"/>
        <v/>
      </c>
      <c r="O5399" s="52" t="str">
        <f t="shared" si="856"/>
        <v/>
      </c>
      <c r="P5399" s="88">
        <f t="shared" si="857"/>
        <v>0</v>
      </c>
      <c r="Q5399" s="88">
        <f t="shared" si="858"/>
        <v>0</v>
      </c>
      <c r="R5399" s="88" t="e">
        <f>-IF(Tabla14[[#This Row],[DIAS HABILES O MORA]]&lt;0,(Tabla14[[#This Row],[VALOR PRESTAMO]]*Tabla14[[#This Row],[% INTERES ]]/30*U5399))+Tabla14[[#This Row],[VALOR CUOTAS]]</f>
        <v>#VALUE!</v>
      </c>
      <c r="S5399" s="88">
        <f>-IF(Tabla14[[#This Row],[DIAS HABILES O MORA]]&lt;0,(Tabla14[[#This Row],[VALOR PRESTAMO]]*Tabla14[[#This Row],[% INTERES ]]/30*U5399))</f>
        <v>0</v>
      </c>
      <c r="T5399" s="53" t="e">
        <f>Tabla14[[#This Row],[DEUDA CAPITAL]]+Tabla14[[#This Row],[INTERES  CUOTA]]</f>
        <v>#NUM!</v>
      </c>
      <c r="U5399" s="61" t="str">
        <f t="shared" si="859"/>
        <v/>
      </c>
    </row>
    <row r="5400" spans="9:21" ht="24.75" customHeight="1" x14ac:dyDescent="0.35">
      <c r="I5400" s="42">
        <f t="shared" si="850"/>
        <v>0</v>
      </c>
      <c r="J5400" s="65" t="e">
        <f t="shared" si="851"/>
        <v>#NUM!</v>
      </c>
      <c r="K5400" s="83" t="e">
        <f t="shared" si="852"/>
        <v>#NUM!</v>
      </c>
      <c r="L5400" s="83">
        <f t="shared" si="853"/>
        <v>0</v>
      </c>
      <c r="M5400" s="110" t="str">
        <f t="shared" si="854"/>
        <v/>
      </c>
      <c r="N5400" s="51" t="str">
        <f t="shared" si="855"/>
        <v/>
      </c>
      <c r="O5400" s="52" t="str">
        <f t="shared" si="856"/>
        <v/>
      </c>
      <c r="P5400" s="88">
        <f t="shared" si="857"/>
        <v>0</v>
      </c>
      <c r="Q5400" s="88">
        <f t="shared" si="858"/>
        <v>0</v>
      </c>
      <c r="R5400" s="88" t="e">
        <f>-IF(Tabla14[[#This Row],[DIAS HABILES O MORA]]&lt;0,(Tabla14[[#This Row],[VALOR PRESTAMO]]*Tabla14[[#This Row],[% INTERES ]]/30*U5400))+Tabla14[[#This Row],[VALOR CUOTAS]]</f>
        <v>#VALUE!</v>
      </c>
      <c r="S5400" s="88">
        <f>-IF(Tabla14[[#This Row],[DIAS HABILES O MORA]]&lt;0,(Tabla14[[#This Row],[VALOR PRESTAMO]]*Tabla14[[#This Row],[% INTERES ]]/30*U5400))</f>
        <v>0</v>
      </c>
      <c r="T5400" s="53" t="e">
        <f>Tabla14[[#This Row],[DEUDA CAPITAL]]+Tabla14[[#This Row],[INTERES  CUOTA]]</f>
        <v>#NUM!</v>
      </c>
      <c r="U5400" s="61" t="str">
        <f t="shared" si="859"/>
        <v/>
      </c>
    </row>
    <row r="5401" spans="9:21" ht="24.75" customHeight="1" x14ac:dyDescent="0.35">
      <c r="I5401" s="42">
        <f t="shared" si="850"/>
        <v>0</v>
      </c>
      <c r="J5401" s="65" t="e">
        <f t="shared" si="851"/>
        <v>#NUM!</v>
      </c>
      <c r="K5401" s="83" t="e">
        <f t="shared" si="852"/>
        <v>#NUM!</v>
      </c>
      <c r="L5401" s="83">
        <f t="shared" si="853"/>
        <v>0</v>
      </c>
      <c r="M5401" s="110" t="str">
        <f t="shared" si="854"/>
        <v/>
      </c>
      <c r="N5401" s="51" t="str">
        <f t="shared" si="855"/>
        <v/>
      </c>
      <c r="O5401" s="52" t="str">
        <f t="shared" si="856"/>
        <v/>
      </c>
      <c r="P5401" s="88">
        <f t="shared" si="857"/>
        <v>0</v>
      </c>
      <c r="Q5401" s="88">
        <f t="shared" si="858"/>
        <v>0</v>
      </c>
      <c r="R5401" s="88" t="e">
        <f>-IF(Tabla14[[#This Row],[DIAS HABILES O MORA]]&lt;0,(Tabla14[[#This Row],[VALOR PRESTAMO]]*Tabla14[[#This Row],[% INTERES ]]/30*U5401))+Tabla14[[#This Row],[VALOR CUOTAS]]</f>
        <v>#VALUE!</v>
      </c>
      <c r="S5401" s="88">
        <f>-IF(Tabla14[[#This Row],[DIAS HABILES O MORA]]&lt;0,(Tabla14[[#This Row],[VALOR PRESTAMO]]*Tabla14[[#This Row],[% INTERES ]]/30*U5401))</f>
        <v>0</v>
      </c>
      <c r="T5401" s="53" t="e">
        <f>Tabla14[[#This Row],[DEUDA CAPITAL]]+Tabla14[[#This Row],[INTERES  CUOTA]]</f>
        <v>#NUM!</v>
      </c>
      <c r="U5401" s="61" t="str">
        <f t="shared" si="859"/>
        <v/>
      </c>
    </row>
    <row r="5402" spans="9:21" ht="24.75" customHeight="1" x14ac:dyDescent="0.35">
      <c r="I5402" s="42">
        <f t="shared" si="850"/>
        <v>0</v>
      </c>
      <c r="J5402" s="65" t="e">
        <f t="shared" si="851"/>
        <v>#NUM!</v>
      </c>
      <c r="K5402" s="83" t="e">
        <f t="shared" si="852"/>
        <v>#NUM!</v>
      </c>
      <c r="L5402" s="83">
        <f t="shared" si="853"/>
        <v>0</v>
      </c>
      <c r="M5402" s="110" t="str">
        <f t="shared" si="854"/>
        <v/>
      </c>
      <c r="N5402" s="51" t="str">
        <f t="shared" si="855"/>
        <v/>
      </c>
      <c r="O5402" s="52" t="str">
        <f t="shared" si="856"/>
        <v/>
      </c>
      <c r="P5402" s="88">
        <f t="shared" si="857"/>
        <v>0</v>
      </c>
      <c r="Q5402" s="88">
        <f t="shared" si="858"/>
        <v>0</v>
      </c>
      <c r="R5402" s="88" t="e">
        <f>-IF(Tabla14[[#This Row],[DIAS HABILES O MORA]]&lt;0,(Tabla14[[#This Row],[VALOR PRESTAMO]]*Tabla14[[#This Row],[% INTERES ]]/30*U5402))+Tabla14[[#This Row],[VALOR CUOTAS]]</f>
        <v>#VALUE!</v>
      </c>
      <c r="S5402" s="88">
        <f>-IF(Tabla14[[#This Row],[DIAS HABILES O MORA]]&lt;0,(Tabla14[[#This Row],[VALOR PRESTAMO]]*Tabla14[[#This Row],[% INTERES ]]/30*U5402))</f>
        <v>0</v>
      </c>
      <c r="T5402" s="53" t="e">
        <f>Tabla14[[#This Row],[DEUDA CAPITAL]]+Tabla14[[#This Row],[INTERES  CUOTA]]</f>
        <v>#NUM!</v>
      </c>
      <c r="U5402" s="61" t="str">
        <f t="shared" si="859"/>
        <v/>
      </c>
    </row>
    <row r="5403" spans="9:21" ht="24.75" customHeight="1" x14ac:dyDescent="0.35">
      <c r="I5403" s="42">
        <f t="shared" si="850"/>
        <v>0</v>
      </c>
      <c r="J5403" s="65" t="e">
        <f t="shared" si="851"/>
        <v>#NUM!</v>
      </c>
      <c r="K5403" s="83" t="e">
        <f t="shared" si="852"/>
        <v>#NUM!</v>
      </c>
      <c r="L5403" s="83">
        <f t="shared" si="853"/>
        <v>0</v>
      </c>
      <c r="M5403" s="110" t="str">
        <f t="shared" si="854"/>
        <v/>
      </c>
      <c r="N5403" s="51" t="str">
        <f t="shared" si="855"/>
        <v/>
      </c>
      <c r="O5403" s="52" t="str">
        <f t="shared" si="856"/>
        <v/>
      </c>
      <c r="P5403" s="88">
        <f t="shared" si="857"/>
        <v>0</v>
      </c>
      <c r="Q5403" s="88">
        <f t="shared" si="858"/>
        <v>0</v>
      </c>
      <c r="R5403" s="88" t="e">
        <f>-IF(Tabla14[[#This Row],[DIAS HABILES O MORA]]&lt;0,(Tabla14[[#This Row],[VALOR PRESTAMO]]*Tabla14[[#This Row],[% INTERES ]]/30*U5403))+Tabla14[[#This Row],[VALOR CUOTAS]]</f>
        <v>#VALUE!</v>
      </c>
      <c r="S5403" s="88">
        <f>-IF(Tabla14[[#This Row],[DIAS HABILES O MORA]]&lt;0,(Tabla14[[#This Row],[VALOR PRESTAMO]]*Tabla14[[#This Row],[% INTERES ]]/30*U5403))</f>
        <v>0</v>
      </c>
      <c r="T5403" s="53" t="e">
        <f>Tabla14[[#This Row],[DEUDA CAPITAL]]+Tabla14[[#This Row],[INTERES  CUOTA]]</f>
        <v>#NUM!</v>
      </c>
      <c r="U5403" s="61" t="str">
        <f t="shared" si="859"/>
        <v/>
      </c>
    </row>
    <row r="5404" spans="9:21" ht="24.75" customHeight="1" x14ac:dyDescent="0.35">
      <c r="I5404" s="42">
        <f t="shared" si="850"/>
        <v>0</v>
      </c>
      <c r="J5404" s="65" t="e">
        <f t="shared" si="851"/>
        <v>#NUM!</v>
      </c>
      <c r="K5404" s="83" t="e">
        <f t="shared" si="852"/>
        <v>#NUM!</v>
      </c>
      <c r="L5404" s="83">
        <f t="shared" si="853"/>
        <v>0</v>
      </c>
      <c r="M5404" s="110" t="str">
        <f t="shared" si="854"/>
        <v/>
      </c>
      <c r="N5404" s="51" t="str">
        <f t="shared" si="855"/>
        <v/>
      </c>
      <c r="O5404" s="52" t="str">
        <f t="shared" si="856"/>
        <v/>
      </c>
      <c r="P5404" s="88">
        <f t="shared" si="857"/>
        <v>0</v>
      </c>
      <c r="Q5404" s="88">
        <f t="shared" si="858"/>
        <v>0</v>
      </c>
      <c r="R5404" s="88" t="e">
        <f>-IF(Tabla14[[#This Row],[DIAS HABILES O MORA]]&lt;0,(Tabla14[[#This Row],[VALOR PRESTAMO]]*Tabla14[[#This Row],[% INTERES ]]/30*U5404))+Tabla14[[#This Row],[VALOR CUOTAS]]</f>
        <v>#VALUE!</v>
      </c>
      <c r="S5404" s="88">
        <f>-IF(Tabla14[[#This Row],[DIAS HABILES O MORA]]&lt;0,(Tabla14[[#This Row],[VALOR PRESTAMO]]*Tabla14[[#This Row],[% INTERES ]]/30*U5404))</f>
        <v>0</v>
      </c>
      <c r="T5404" s="53" t="e">
        <f>Tabla14[[#This Row],[DEUDA CAPITAL]]+Tabla14[[#This Row],[INTERES  CUOTA]]</f>
        <v>#NUM!</v>
      </c>
      <c r="U5404" s="61" t="str">
        <f t="shared" si="859"/>
        <v/>
      </c>
    </row>
    <row r="5405" spans="9:21" ht="24.75" customHeight="1" x14ac:dyDescent="0.35">
      <c r="I5405" s="42">
        <f t="shared" si="850"/>
        <v>0</v>
      </c>
      <c r="J5405" s="65" t="e">
        <f t="shared" si="851"/>
        <v>#NUM!</v>
      </c>
      <c r="K5405" s="83" t="e">
        <f t="shared" si="852"/>
        <v>#NUM!</v>
      </c>
      <c r="L5405" s="83">
        <f t="shared" si="853"/>
        <v>0</v>
      </c>
      <c r="M5405" s="110" t="str">
        <f t="shared" si="854"/>
        <v/>
      </c>
      <c r="N5405" s="51" t="str">
        <f t="shared" si="855"/>
        <v/>
      </c>
      <c r="O5405" s="52" t="str">
        <f t="shared" si="856"/>
        <v/>
      </c>
      <c r="P5405" s="88">
        <f t="shared" si="857"/>
        <v>0</v>
      </c>
      <c r="Q5405" s="88">
        <f t="shared" si="858"/>
        <v>0</v>
      </c>
      <c r="R5405" s="88" t="e">
        <f>-IF(Tabla14[[#This Row],[DIAS HABILES O MORA]]&lt;0,(Tabla14[[#This Row],[VALOR PRESTAMO]]*Tabla14[[#This Row],[% INTERES ]]/30*U5405))+Tabla14[[#This Row],[VALOR CUOTAS]]</f>
        <v>#VALUE!</v>
      </c>
      <c r="S5405" s="88">
        <f>-IF(Tabla14[[#This Row],[DIAS HABILES O MORA]]&lt;0,(Tabla14[[#This Row],[VALOR PRESTAMO]]*Tabla14[[#This Row],[% INTERES ]]/30*U5405))</f>
        <v>0</v>
      </c>
      <c r="T5405" s="53" t="e">
        <f>Tabla14[[#This Row],[DEUDA CAPITAL]]+Tabla14[[#This Row],[INTERES  CUOTA]]</f>
        <v>#NUM!</v>
      </c>
      <c r="U5405" s="61" t="str">
        <f t="shared" si="859"/>
        <v/>
      </c>
    </row>
    <row r="5406" spans="9:21" ht="24.75" customHeight="1" x14ac:dyDescent="0.35">
      <c r="I5406" s="42">
        <f t="shared" si="850"/>
        <v>0</v>
      </c>
      <c r="J5406" s="65" t="e">
        <f t="shared" si="851"/>
        <v>#NUM!</v>
      </c>
      <c r="K5406" s="83" t="e">
        <f t="shared" si="852"/>
        <v>#NUM!</v>
      </c>
      <c r="L5406" s="83">
        <f t="shared" si="853"/>
        <v>0</v>
      </c>
      <c r="M5406" s="110" t="str">
        <f t="shared" si="854"/>
        <v/>
      </c>
      <c r="N5406" s="51" t="str">
        <f t="shared" si="855"/>
        <v/>
      </c>
      <c r="O5406" s="52" t="str">
        <f t="shared" si="856"/>
        <v/>
      </c>
      <c r="P5406" s="88">
        <f t="shared" si="857"/>
        <v>0</v>
      </c>
      <c r="Q5406" s="88">
        <f t="shared" si="858"/>
        <v>0</v>
      </c>
      <c r="R5406" s="88" t="e">
        <f>-IF(Tabla14[[#This Row],[DIAS HABILES O MORA]]&lt;0,(Tabla14[[#This Row],[VALOR PRESTAMO]]*Tabla14[[#This Row],[% INTERES ]]/30*U5406))+Tabla14[[#This Row],[VALOR CUOTAS]]</f>
        <v>#VALUE!</v>
      </c>
      <c r="S5406" s="88">
        <f>-IF(Tabla14[[#This Row],[DIAS HABILES O MORA]]&lt;0,(Tabla14[[#This Row],[VALOR PRESTAMO]]*Tabla14[[#This Row],[% INTERES ]]/30*U5406))</f>
        <v>0</v>
      </c>
      <c r="T5406" s="53" t="e">
        <f>Tabla14[[#This Row],[DEUDA CAPITAL]]+Tabla14[[#This Row],[INTERES  CUOTA]]</f>
        <v>#NUM!</v>
      </c>
      <c r="U5406" s="61" t="str">
        <f t="shared" si="859"/>
        <v/>
      </c>
    </row>
    <row r="5407" spans="9:21" ht="24.75" customHeight="1" x14ac:dyDescent="0.35">
      <c r="I5407" s="42">
        <f t="shared" si="850"/>
        <v>0</v>
      </c>
      <c r="J5407" s="65" t="e">
        <f t="shared" si="851"/>
        <v>#NUM!</v>
      </c>
      <c r="K5407" s="83" t="e">
        <f t="shared" si="852"/>
        <v>#NUM!</v>
      </c>
      <c r="L5407" s="83">
        <f t="shared" si="853"/>
        <v>0</v>
      </c>
      <c r="M5407" s="110" t="str">
        <f t="shared" si="854"/>
        <v/>
      </c>
      <c r="N5407" s="51" t="str">
        <f t="shared" si="855"/>
        <v/>
      </c>
      <c r="O5407" s="52" t="str">
        <f t="shared" si="856"/>
        <v/>
      </c>
      <c r="P5407" s="88">
        <f t="shared" si="857"/>
        <v>0</v>
      </c>
      <c r="Q5407" s="88">
        <f t="shared" si="858"/>
        <v>0</v>
      </c>
      <c r="R5407" s="88" t="e">
        <f>-IF(Tabla14[[#This Row],[DIAS HABILES O MORA]]&lt;0,(Tabla14[[#This Row],[VALOR PRESTAMO]]*Tabla14[[#This Row],[% INTERES ]]/30*U5407))+Tabla14[[#This Row],[VALOR CUOTAS]]</f>
        <v>#VALUE!</v>
      </c>
      <c r="S5407" s="88">
        <f>-IF(Tabla14[[#This Row],[DIAS HABILES O MORA]]&lt;0,(Tabla14[[#This Row],[VALOR PRESTAMO]]*Tabla14[[#This Row],[% INTERES ]]/30*U5407))</f>
        <v>0</v>
      </c>
      <c r="T5407" s="53" t="e">
        <f>Tabla14[[#This Row],[DEUDA CAPITAL]]+Tabla14[[#This Row],[INTERES  CUOTA]]</f>
        <v>#NUM!</v>
      </c>
      <c r="U5407" s="61" t="str">
        <f t="shared" si="859"/>
        <v/>
      </c>
    </row>
    <row r="5408" spans="9:21" ht="24.75" customHeight="1" x14ac:dyDescent="0.35">
      <c r="I5408" s="42">
        <f t="shared" si="850"/>
        <v>0</v>
      </c>
      <c r="J5408" s="65" t="e">
        <f t="shared" si="851"/>
        <v>#NUM!</v>
      </c>
      <c r="K5408" s="83" t="e">
        <f t="shared" si="852"/>
        <v>#NUM!</v>
      </c>
      <c r="L5408" s="83">
        <f t="shared" si="853"/>
        <v>0</v>
      </c>
      <c r="M5408" s="110" t="str">
        <f t="shared" si="854"/>
        <v/>
      </c>
      <c r="N5408" s="51" t="str">
        <f t="shared" si="855"/>
        <v/>
      </c>
      <c r="O5408" s="52" t="str">
        <f t="shared" si="856"/>
        <v/>
      </c>
      <c r="P5408" s="88">
        <f t="shared" si="857"/>
        <v>0</v>
      </c>
      <c r="Q5408" s="88">
        <f t="shared" si="858"/>
        <v>0</v>
      </c>
      <c r="R5408" s="88" t="e">
        <f>-IF(Tabla14[[#This Row],[DIAS HABILES O MORA]]&lt;0,(Tabla14[[#This Row],[VALOR PRESTAMO]]*Tabla14[[#This Row],[% INTERES ]]/30*U5408))+Tabla14[[#This Row],[VALOR CUOTAS]]</f>
        <v>#VALUE!</v>
      </c>
      <c r="S5408" s="88">
        <f>-IF(Tabla14[[#This Row],[DIAS HABILES O MORA]]&lt;0,(Tabla14[[#This Row],[VALOR PRESTAMO]]*Tabla14[[#This Row],[% INTERES ]]/30*U5408))</f>
        <v>0</v>
      </c>
      <c r="T5408" s="53" t="e">
        <f>Tabla14[[#This Row],[DEUDA CAPITAL]]+Tabla14[[#This Row],[INTERES  CUOTA]]</f>
        <v>#NUM!</v>
      </c>
      <c r="U5408" s="61" t="str">
        <f t="shared" si="859"/>
        <v/>
      </c>
    </row>
    <row r="5409" spans="9:21" ht="24.75" customHeight="1" x14ac:dyDescent="0.35">
      <c r="I5409" s="42">
        <f t="shared" si="850"/>
        <v>0</v>
      </c>
      <c r="J5409" s="65" t="e">
        <f t="shared" si="851"/>
        <v>#NUM!</v>
      </c>
      <c r="K5409" s="83" t="e">
        <f t="shared" si="852"/>
        <v>#NUM!</v>
      </c>
      <c r="L5409" s="83">
        <f t="shared" si="853"/>
        <v>0</v>
      </c>
      <c r="M5409" s="110" t="str">
        <f t="shared" si="854"/>
        <v/>
      </c>
      <c r="N5409" s="51" t="str">
        <f t="shared" si="855"/>
        <v/>
      </c>
      <c r="O5409" s="52" t="str">
        <f t="shared" si="856"/>
        <v/>
      </c>
      <c r="P5409" s="88">
        <f t="shared" si="857"/>
        <v>0</v>
      </c>
      <c r="Q5409" s="88">
        <f t="shared" si="858"/>
        <v>0</v>
      </c>
      <c r="R5409" s="88" t="e">
        <f>-IF(Tabla14[[#This Row],[DIAS HABILES O MORA]]&lt;0,(Tabla14[[#This Row],[VALOR PRESTAMO]]*Tabla14[[#This Row],[% INTERES ]]/30*U5409))+Tabla14[[#This Row],[VALOR CUOTAS]]</f>
        <v>#VALUE!</v>
      </c>
      <c r="S5409" s="88">
        <f>-IF(Tabla14[[#This Row],[DIAS HABILES O MORA]]&lt;0,(Tabla14[[#This Row],[VALOR PRESTAMO]]*Tabla14[[#This Row],[% INTERES ]]/30*U5409))</f>
        <v>0</v>
      </c>
      <c r="T5409" s="53" t="e">
        <f>Tabla14[[#This Row],[DEUDA CAPITAL]]+Tabla14[[#This Row],[INTERES  CUOTA]]</f>
        <v>#NUM!</v>
      </c>
      <c r="U5409" s="61" t="str">
        <f t="shared" si="859"/>
        <v/>
      </c>
    </row>
    <row r="5410" spans="9:21" ht="24.75" customHeight="1" x14ac:dyDescent="0.35">
      <c r="I5410" s="42">
        <f t="shared" si="850"/>
        <v>0</v>
      </c>
      <c r="J5410" s="65" t="e">
        <f t="shared" si="851"/>
        <v>#NUM!</v>
      </c>
      <c r="K5410" s="83" t="e">
        <f t="shared" si="852"/>
        <v>#NUM!</v>
      </c>
      <c r="L5410" s="83">
        <f t="shared" si="853"/>
        <v>0</v>
      </c>
      <c r="M5410" s="110" t="str">
        <f t="shared" si="854"/>
        <v/>
      </c>
      <c r="N5410" s="51" t="str">
        <f t="shared" si="855"/>
        <v/>
      </c>
      <c r="O5410" s="52" t="str">
        <f t="shared" si="856"/>
        <v/>
      </c>
      <c r="P5410" s="88">
        <f t="shared" si="857"/>
        <v>0</v>
      </c>
      <c r="Q5410" s="88">
        <f t="shared" si="858"/>
        <v>0</v>
      </c>
      <c r="R5410" s="88" t="e">
        <f>-IF(Tabla14[[#This Row],[DIAS HABILES O MORA]]&lt;0,(Tabla14[[#This Row],[VALOR PRESTAMO]]*Tabla14[[#This Row],[% INTERES ]]/30*U5410))+Tabla14[[#This Row],[VALOR CUOTAS]]</f>
        <v>#VALUE!</v>
      </c>
      <c r="S5410" s="88">
        <f>-IF(Tabla14[[#This Row],[DIAS HABILES O MORA]]&lt;0,(Tabla14[[#This Row],[VALOR PRESTAMO]]*Tabla14[[#This Row],[% INTERES ]]/30*U5410))</f>
        <v>0</v>
      </c>
      <c r="T5410" s="53" t="e">
        <f>Tabla14[[#This Row],[DEUDA CAPITAL]]+Tabla14[[#This Row],[INTERES  CUOTA]]</f>
        <v>#NUM!</v>
      </c>
      <c r="U5410" s="61" t="str">
        <f t="shared" si="859"/>
        <v/>
      </c>
    </row>
    <row r="5411" spans="9:21" ht="24.75" customHeight="1" x14ac:dyDescent="0.35">
      <c r="I5411" s="42">
        <f t="shared" si="850"/>
        <v>0</v>
      </c>
      <c r="J5411" s="65" t="e">
        <f t="shared" si="851"/>
        <v>#NUM!</v>
      </c>
      <c r="K5411" s="83" t="e">
        <f t="shared" si="852"/>
        <v>#NUM!</v>
      </c>
      <c r="L5411" s="83">
        <f t="shared" si="853"/>
        <v>0</v>
      </c>
      <c r="M5411" s="110" t="str">
        <f t="shared" si="854"/>
        <v/>
      </c>
      <c r="N5411" s="51" t="str">
        <f t="shared" si="855"/>
        <v/>
      </c>
      <c r="O5411" s="52" t="str">
        <f t="shared" si="856"/>
        <v/>
      </c>
      <c r="P5411" s="88">
        <f t="shared" si="857"/>
        <v>0</v>
      </c>
      <c r="Q5411" s="88">
        <f t="shared" si="858"/>
        <v>0</v>
      </c>
      <c r="R5411" s="88" t="e">
        <f>-IF(Tabla14[[#This Row],[DIAS HABILES O MORA]]&lt;0,(Tabla14[[#This Row],[VALOR PRESTAMO]]*Tabla14[[#This Row],[% INTERES ]]/30*U5411))+Tabla14[[#This Row],[VALOR CUOTAS]]</f>
        <v>#VALUE!</v>
      </c>
      <c r="S5411" s="88">
        <f>-IF(Tabla14[[#This Row],[DIAS HABILES O MORA]]&lt;0,(Tabla14[[#This Row],[VALOR PRESTAMO]]*Tabla14[[#This Row],[% INTERES ]]/30*U5411))</f>
        <v>0</v>
      </c>
      <c r="T5411" s="53" t="e">
        <f>Tabla14[[#This Row],[DEUDA CAPITAL]]+Tabla14[[#This Row],[INTERES  CUOTA]]</f>
        <v>#NUM!</v>
      </c>
      <c r="U5411" s="61" t="str">
        <f t="shared" si="859"/>
        <v/>
      </c>
    </row>
    <row r="5412" spans="9:21" ht="24.75" customHeight="1" x14ac:dyDescent="0.35">
      <c r="I5412" s="42">
        <f t="shared" si="850"/>
        <v>0</v>
      </c>
      <c r="J5412" s="65" t="e">
        <f t="shared" si="851"/>
        <v>#NUM!</v>
      </c>
      <c r="K5412" s="83" t="e">
        <f t="shared" si="852"/>
        <v>#NUM!</v>
      </c>
      <c r="L5412" s="83">
        <f t="shared" si="853"/>
        <v>0</v>
      </c>
      <c r="M5412" s="110" t="str">
        <f t="shared" si="854"/>
        <v/>
      </c>
      <c r="N5412" s="51" t="str">
        <f t="shared" si="855"/>
        <v/>
      </c>
      <c r="O5412" s="52" t="str">
        <f t="shared" si="856"/>
        <v/>
      </c>
      <c r="P5412" s="88">
        <f t="shared" si="857"/>
        <v>0</v>
      </c>
      <c r="Q5412" s="88">
        <f t="shared" si="858"/>
        <v>0</v>
      </c>
      <c r="R5412" s="88" t="e">
        <f>-IF(Tabla14[[#This Row],[DIAS HABILES O MORA]]&lt;0,(Tabla14[[#This Row],[VALOR PRESTAMO]]*Tabla14[[#This Row],[% INTERES ]]/30*U5412))+Tabla14[[#This Row],[VALOR CUOTAS]]</f>
        <v>#VALUE!</v>
      </c>
      <c r="S5412" s="88">
        <f>-IF(Tabla14[[#This Row],[DIAS HABILES O MORA]]&lt;0,(Tabla14[[#This Row],[VALOR PRESTAMO]]*Tabla14[[#This Row],[% INTERES ]]/30*U5412))</f>
        <v>0</v>
      </c>
      <c r="T5412" s="53" t="e">
        <f>Tabla14[[#This Row],[DEUDA CAPITAL]]+Tabla14[[#This Row],[INTERES  CUOTA]]</f>
        <v>#NUM!</v>
      </c>
      <c r="U5412" s="61" t="str">
        <f t="shared" si="859"/>
        <v/>
      </c>
    </row>
    <row r="5413" spans="9:21" ht="24.75" customHeight="1" x14ac:dyDescent="0.35">
      <c r="I5413" s="42">
        <f t="shared" si="850"/>
        <v>0</v>
      </c>
      <c r="J5413" s="65" t="e">
        <f t="shared" si="851"/>
        <v>#NUM!</v>
      </c>
      <c r="K5413" s="83" t="e">
        <f t="shared" si="852"/>
        <v>#NUM!</v>
      </c>
      <c r="L5413" s="83">
        <f t="shared" si="853"/>
        <v>0</v>
      </c>
      <c r="M5413" s="110" t="str">
        <f t="shared" si="854"/>
        <v/>
      </c>
      <c r="N5413" s="51" t="str">
        <f t="shared" si="855"/>
        <v/>
      </c>
      <c r="O5413" s="52" t="str">
        <f t="shared" si="856"/>
        <v/>
      </c>
      <c r="P5413" s="88">
        <f t="shared" si="857"/>
        <v>0</v>
      </c>
      <c r="Q5413" s="88">
        <f t="shared" si="858"/>
        <v>0</v>
      </c>
      <c r="R5413" s="88" t="e">
        <f>-IF(Tabla14[[#This Row],[DIAS HABILES O MORA]]&lt;0,(Tabla14[[#This Row],[VALOR PRESTAMO]]*Tabla14[[#This Row],[% INTERES ]]/30*U5413))+Tabla14[[#This Row],[VALOR CUOTAS]]</f>
        <v>#VALUE!</v>
      </c>
      <c r="S5413" s="88">
        <f>-IF(Tabla14[[#This Row],[DIAS HABILES O MORA]]&lt;0,(Tabla14[[#This Row],[VALOR PRESTAMO]]*Tabla14[[#This Row],[% INTERES ]]/30*U5413))</f>
        <v>0</v>
      </c>
      <c r="T5413" s="53" t="e">
        <f>Tabla14[[#This Row],[DEUDA CAPITAL]]+Tabla14[[#This Row],[INTERES  CUOTA]]</f>
        <v>#NUM!</v>
      </c>
      <c r="U5413" s="61" t="str">
        <f t="shared" si="859"/>
        <v/>
      </c>
    </row>
    <row r="5414" spans="9:21" ht="24.75" customHeight="1" x14ac:dyDescent="0.35">
      <c r="I5414" s="42">
        <f t="shared" si="850"/>
        <v>0</v>
      </c>
      <c r="J5414" s="65" t="e">
        <f t="shared" si="851"/>
        <v>#NUM!</v>
      </c>
      <c r="K5414" s="83" t="e">
        <f t="shared" si="852"/>
        <v>#NUM!</v>
      </c>
      <c r="L5414" s="83">
        <f t="shared" si="853"/>
        <v>0</v>
      </c>
      <c r="M5414" s="110" t="str">
        <f t="shared" si="854"/>
        <v/>
      </c>
      <c r="N5414" s="51" t="str">
        <f t="shared" si="855"/>
        <v/>
      </c>
      <c r="O5414" s="52" t="str">
        <f t="shared" si="856"/>
        <v/>
      </c>
      <c r="P5414" s="88">
        <f t="shared" si="857"/>
        <v>0</v>
      </c>
      <c r="Q5414" s="88">
        <f t="shared" si="858"/>
        <v>0</v>
      </c>
      <c r="R5414" s="88" t="e">
        <f>-IF(Tabla14[[#This Row],[DIAS HABILES O MORA]]&lt;0,(Tabla14[[#This Row],[VALOR PRESTAMO]]*Tabla14[[#This Row],[% INTERES ]]/30*U5414))+Tabla14[[#This Row],[VALOR CUOTAS]]</f>
        <v>#VALUE!</v>
      </c>
      <c r="S5414" s="88">
        <f>-IF(Tabla14[[#This Row],[DIAS HABILES O MORA]]&lt;0,(Tabla14[[#This Row],[VALOR PRESTAMO]]*Tabla14[[#This Row],[% INTERES ]]/30*U5414))</f>
        <v>0</v>
      </c>
      <c r="T5414" s="53" t="e">
        <f>Tabla14[[#This Row],[DEUDA CAPITAL]]+Tabla14[[#This Row],[INTERES  CUOTA]]</f>
        <v>#NUM!</v>
      </c>
      <c r="U5414" s="61" t="str">
        <f t="shared" si="859"/>
        <v/>
      </c>
    </row>
    <row r="5415" spans="9:21" ht="24.75" customHeight="1" x14ac:dyDescent="0.35">
      <c r="I5415" s="42">
        <f t="shared" si="850"/>
        <v>0</v>
      </c>
      <c r="J5415" s="65" t="e">
        <f t="shared" si="851"/>
        <v>#NUM!</v>
      </c>
      <c r="K5415" s="83" t="e">
        <f t="shared" si="852"/>
        <v>#NUM!</v>
      </c>
      <c r="L5415" s="83">
        <f t="shared" si="853"/>
        <v>0</v>
      </c>
      <c r="M5415" s="110" t="str">
        <f t="shared" si="854"/>
        <v/>
      </c>
      <c r="N5415" s="51" t="str">
        <f t="shared" si="855"/>
        <v/>
      </c>
      <c r="O5415" s="52" t="str">
        <f t="shared" si="856"/>
        <v/>
      </c>
      <c r="P5415" s="88">
        <f t="shared" si="857"/>
        <v>0</v>
      </c>
      <c r="Q5415" s="88">
        <f t="shared" si="858"/>
        <v>0</v>
      </c>
      <c r="R5415" s="88" t="e">
        <f>-IF(Tabla14[[#This Row],[DIAS HABILES O MORA]]&lt;0,(Tabla14[[#This Row],[VALOR PRESTAMO]]*Tabla14[[#This Row],[% INTERES ]]/30*U5415))+Tabla14[[#This Row],[VALOR CUOTAS]]</f>
        <v>#VALUE!</v>
      </c>
      <c r="S5415" s="88">
        <f>-IF(Tabla14[[#This Row],[DIAS HABILES O MORA]]&lt;0,(Tabla14[[#This Row],[VALOR PRESTAMO]]*Tabla14[[#This Row],[% INTERES ]]/30*U5415))</f>
        <v>0</v>
      </c>
      <c r="T5415" s="53" t="e">
        <f>Tabla14[[#This Row],[DEUDA CAPITAL]]+Tabla14[[#This Row],[INTERES  CUOTA]]</f>
        <v>#NUM!</v>
      </c>
      <c r="U5415" s="61" t="str">
        <f t="shared" si="859"/>
        <v/>
      </c>
    </row>
    <row r="5416" spans="9:21" ht="24.75" customHeight="1" x14ac:dyDescent="0.35">
      <c r="I5416" s="42">
        <f t="shared" si="850"/>
        <v>0</v>
      </c>
      <c r="J5416" s="65" t="e">
        <f t="shared" si="851"/>
        <v>#NUM!</v>
      </c>
      <c r="K5416" s="83" t="e">
        <f t="shared" si="852"/>
        <v>#NUM!</v>
      </c>
      <c r="L5416" s="83">
        <f t="shared" si="853"/>
        <v>0</v>
      </c>
      <c r="M5416" s="110" t="str">
        <f t="shared" si="854"/>
        <v/>
      </c>
      <c r="N5416" s="51" t="str">
        <f t="shared" si="855"/>
        <v/>
      </c>
      <c r="O5416" s="52" t="str">
        <f t="shared" si="856"/>
        <v/>
      </c>
      <c r="P5416" s="88">
        <f t="shared" si="857"/>
        <v>0</v>
      </c>
      <c r="Q5416" s="88">
        <f t="shared" si="858"/>
        <v>0</v>
      </c>
      <c r="R5416" s="88" t="e">
        <f>-IF(Tabla14[[#This Row],[DIAS HABILES O MORA]]&lt;0,(Tabla14[[#This Row],[VALOR PRESTAMO]]*Tabla14[[#This Row],[% INTERES ]]/30*U5416))+Tabla14[[#This Row],[VALOR CUOTAS]]</f>
        <v>#VALUE!</v>
      </c>
      <c r="S5416" s="88">
        <f>-IF(Tabla14[[#This Row],[DIAS HABILES O MORA]]&lt;0,(Tabla14[[#This Row],[VALOR PRESTAMO]]*Tabla14[[#This Row],[% INTERES ]]/30*U5416))</f>
        <v>0</v>
      </c>
      <c r="T5416" s="53" t="e">
        <f>Tabla14[[#This Row],[DEUDA CAPITAL]]+Tabla14[[#This Row],[INTERES  CUOTA]]</f>
        <v>#NUM!</v>
      </c>
      <c r="U5416" s="61" t="str">
        <f t="shared" si="859"/>
        <v/>
      </c>
    </row>
    <row r="5417" spans="9:21" ht="24.75" customHeight="1" x14ac:dyDescent="0.35">
      <c r="I5417" s="42">
        <f t="shared" si="850"/>
        <v>0</v>
      </c>
      <c r="J5417" s="65" t="e">
        <f t="shared" si="851"/>
        <v>#NUM!</v>
      </c>
      <c r="K5417" s="83" t="e">
        <f t="shared" si="852"/>
        <v>#NUM!</v>
      </c>
      <c r="L5417" s="83">
        <f t="shared" si="853"/>
        <v>0</v>
      </c>
      <c r="M5417" s="110" t="str">
        <f t="shared" si="854"/>
        <v/>
      </c>
      <c r="N5417" s="51" t="str">
        <f t="shared" si="855"/>
        <v/>
      </c>
      <c r="O5417" s="52" t="str">
        <f t="shared" si="856"/>
        <v/>
      </c>
      <c r="P5417" s="88">
        <f t="shared" si="857"/>
        <v>0</v>
      </c>
      <c r="Q5417" s="88">
        <f t="shared" si="858"/>
        <v>0</v>
      </c>
      <c r="R5417" s="88" t="e">
        <f>-IF(Tabla14[[#This Row],[DIAS HABILES O MORA]]&lt;0,(Tabla14[[#This Row],[VALOR PRESTAMO]]*Tabla14[[#This Row],[% INTERES ]]/30*U5417))+Tabla14[[#This Row],[VALOR CUOTAS]]</f>
        <v>#VALUE!</v>
      </c>
      <c r="S5417" s="88">
        <f>-IF(Tabla14[[#This Row],[DIAS HABILES O MORA]]&lt;0,(Tabla14[[#This Row],[VALOR PRESTAMO]]*Tabla14[[#This Row],[% INTERES ]]/30*U5417))</f>
        <v>0</v>
      </c>
      <c r="T5417" s="53" t="e">
        <f>Tabla14[[#This Row],[DEUDA CAPITAL]]+Tabla14[[#This Row],[INTERES  CUOTA]]</f>
        <v>#NUM!</v>
      </c>
      <c r="U5417" s="61" t="str">
        <f t="shared" si="859"/>
        <v/>
      </c>
    </row>
    <row r="5418" spans="9:21" ht="24.75" customHeight="1" x14ac:dyDescent="0.35">
      <c r="I5418" s="42">
        <f t="shared" si="850"/>
        <v>0</v>
      </c>
      <c r="J5418" s="65" t="e">
        <f t="shared" si="851"/>
        <v>#NUM!</v>
      </c>
      <c r="K5418" s="83" t="e">
        <f t="shared" si="852"/>
        <v>#NUM!</v>
      </c>
      <c r="L5418" s="83">
        <f t="shared" si="853"/>
        <v>0</v>
      </c>
      <c r="M5418" s="110" t="str">
        <f t="shared" si="854"/>
        <v/>
      </c>
      <c r="N5418" s="51" t="str">
        <f t="shared" si="855"/>
        <v/>
      </c>
      <c r="O5418" s="52" t="str">
        <f t="shared" si="856"/>
        <v/>
      </c>
      <c r="P5418" s="88">
        <f t="shared" si="857"/>
        <v>0</v>
      </c>
      <c r="Q5418" s="88">
        <f t="shared" si="858"/>
        <v>0</v>
      </c>
      <c r="R5418" s="88" t="e">
        <f>-IF(Tabla14[[#This Row],[DIAS HABILES O MORA]]&lt;0,(Tabla14[[#This Row],[VALOR PRESTAMO]]*Tabla14[[#This Row],[% INTERES ]]/30*U5418))+Tabla14[[#This Row],[VALOR CUOTAS]]</f>
        <v>#VALUE!</v>
      </c>
      <c r="S5418" s="88">
        <f>-IF(Tabla14[[#This Row],[DIAS HABILES O MORA]]&lt;0,(Tabla14[[#This Row],[VALOR PRESTAMO]]*Tabla14[[#This Row],[% INTERES ]]/30*U5418))</f>
        <v>0</v>
      </c>
      <c r="T5418" s="53" t="e">
        <f>Tabla14[[#This Row],[DEUDA CAPITAL]]+Tabla14[[#This Row],[INTERES  CUOTA]]</f>
        <v>#NUM!</v>
      </c>
      <c r="U5418" s="61" t="str">
        <f t="shared" si="859"/>
        <v/>
      </c>
    </row>
    <row r="5419" spans="9:21" ht="24.75" customHeight="1" x14ac:dyDescent="0.35">
      <c r="I5419" s="42">
        <f t="shared" si="850"/>
        <v>0</v>
      </c>
      <c r="J5419" s="65" t="e">
        <f t="shared" si="851"/>
        <v>#NUM!</v>
      </c>
      <c r="K5419" s="83" t="e">
        <f t="shared" si="852"/>
        <v>#NUM!</v>
      </c>
      <c r="L5419" s="83">
        <f t="shared" si="853"/>
        <v>0</v>
      </c>
      <c r="M5419" s="110" t="str">
        <f t="shared" si="854"/>
        <v/>
      </c>
      <c r="N5419" s="51" t="str">
        <f t="shared" si="855"/>
        <v/>
      </c>
      <c r="O5419" s="52" t="str">
        <f t="shared" si="856"/>
        <v/>
      </c>
      <c r="P5419" s="88">
        <f t="shared" si="857"/>
        <v>0</v>
      </c>
      <c r="Q5419" s="88">
        <f t="shared" si="858"/>
        <v>0</v>
      </c>
      <c r="R5419" s="88" t="e">
        <f>-IF(Tabla14[[#This Row],[DIAS HABILES O MORA]]&lt;0,(Tabla14[[#This Row],[VALOR PRESTAMO]]*Tabla14[[#This Row],[% INTERES ]]/30*U5419))+Tabla14[[#This Row],[VALOR CUOTAS]]</f>
        <v>#VALUE!</v>
      </c>
      <c r="S5419" s="88">
        <f>-IF(Tabla14[[#This Row],[DIAS HABILES O MORA]]&lt;0,(Tabla14[[#This Row],[VALOR PRESTAMO]]*Tabla14[[#This Row],[% INTERES ]]/30*U5419))</f>
        <v>0</v>
      </c>
      <c r="T5419" s="53" t="e">
        <f>Tabla14[[#This Row],[DEUDA CAPITAL]]+Tabla14[[#This Row],[INTERES  CUOTA]]</f>
        <v>#NUM!</v>
      </c>
      <c r="U5419" s="61" t="str">
        <f t="shared" si="859"/>
        <v/>
      </c>
    </row>
    <row r="5420" spans="9:21" ht="24.75" customHeight="1" x14ac:dyDescent="0.35">
      <c r="I5420" s="42">
        <f t="shared" si="850"/>
        <v>0</v>
      </c>
      <c r="J5420" s="65" t="e">
        <f t="shared" si="851"/>
        <v>#NUM!</v>
      </c>
      <c r="K5420" s="83" t="e">
        <f t="shared" si="852"/>
        <v>#NUM!</v>
      </c>
      <c r="L5420" s="83">
        <f t="shared" si="853"/>
        <v>0</v>
      </c>
      <c r="M5420" s="110" t="str">
        <f t="shared" si="854"/>
        <v/>
      </c>
      <c r="N5420" s="51" t="str">
        <f t="shared" si="855"/>
        <v/>
      </c>
      <c r="O5420" s="52" t="str">
        <f t="shared" si="856"/>
        <v/>
      </c>
      <c r="P5420" s="88">
        <f t="shared" si="857"/>
        <v>0</v>
      </c>
      <c r="Q5420" s="88">
        <f t="shared" si="858"/>
        <v>0</v>
      </c>
      <c r="R5420" s="88" t="e">
        <f>-IF(Tabla14[[#This Row],[DIAS HABILES O MORA]]&lt;0,(Tabla14[[#This Row],[VALOR PRESTAMO]]*Tabla14[[#This Row],[% INTERES ]]/30*U5420))+Tabla14[[#This Row],[VALOR CUOTAS]]</f>
        <v>#VALUE!</v>
      </c>
      <c r="S5420" s="88">
        <f>-IF(Tabla14[[#This Row],[DIAS HABILES O MORA]]&lt;0,(Tabla14[[#This Row],[VALOR PRESTAMO]]*Tabla14[[#This Row],[% INTERES ]]/30*U5420))</f>
        <v>0</v>
      </c>
      <c r="T5420" s="53" t="e">
        <f>Tabla14[[#This Row],[DEUDA CAPITAL]]+Tabla14[[#This Row],[INTERES  CUOTA]]</f>
        <v>#NUM!</v>
      </c>
      <c r="U5420" s="61" t="str">
        <f t="shared" si="859"/>
        <v/>
      </c>
    </row>
    <row r="5421" spans="9:21" ht="24.75" customHeight="1" x14ac:dyDescent="0.35">
      <c r="I5421" s="42">
        <f t="shared" si="850"/>
        <v>0</v>
      </c>
      <c r="J5421" s="65" t="e">
        <f t="shared" si="851"/>
        <v>#NUM!</v>
      </c>
      <c r="K5421" s="83" t="e">
        <f t="shared" si="852"/>
        <v>#NUM!</v>
      </c>
      <c r="L5421" s="83">
        <f t="shared" si="853"/>
        <v>0</v>
      </c>
      <c r="M5421" s="110" t="str">
        <f t="shared" si="854"/>
        <v/>
      </c>
      <c r="N5421" s="51" t="str">
        <f t="shared" si="855"/>
        <v/>
      </c>
      <c r="O5421" s="52" t="str">
        <f t="shared" si="856"/>
        <v/>
      </c>
      <c r="P5421" s="88">
        <f t="shared" si="857"/>
        <v>0</v>
      </c>
      <c r="Q5421" s="88">
        <f t="shared" si="858"/>
        <v>0</v>
      </c>
      <c r="R5421" s="88" t="e">
        <f>-IF(Tabla14[[#This Row],[DIAS HABILES O MORA]]&lt;0,(Tabla14[[#This Row],[VALOR PRESTAMO]]*Tabla14[[#This Row],[% INTERES ]]/30*U5421))+Tabla14[[#This Row],[VALOR CUOTAS]]</f>
        <v>#VALUE!</v>
      </c>
      <c r="S5421" s="88">
        <f>-IF(Tabla14[[#This Row],[DIAS HABILES O MORA]]&lt;0,(Tabla14[[#This Row],[VALOR PRESTAMO]]*Tabla14[[#This Row],[% INTERES ]]/30*U5421))</f>
        <v>0</v>
      </c>
      <c r="T5421" s="53" t="e">
        <f>Tabla14[[#This Row],[DEUDA CAPITAL]]+Tabla14[[#This Row],[INTERES  CUOTA]]</f>
        <v>#NUM!</v>
      </c>
      <c r="U5421" s="61" t="str">
        <f t="shared" si="859"/>
        <v/>
      </c>
    </row>
    <row r="5422" spans="9:21" ht="24.75" customHeight="1" x14ac:dyDescent="0.35">
      <c r="I5422" s="42">
        <f t="shared" si="850"/>
        <v>0</v>
      </c>
      <c r="J5422" s="65" t="e">
        <f t="shared" si="851"/>
        <v>#NUM!</v>
      </c>
      <c r="K5422" s="83" t="e">
        <f t="shared" si="852"/>
        <v>#NUM!</v>
      </c>
      <c r="L5422" s="83">
        <f t="shared" si="853"/>
        <v>0</v>
      </c>
      <c r="M5422" s="110" t="str">
        <f t="shared" si="854"/>
        <v/>
      </c>
      <c r="N5422" s="51" t="str">
        <f t="shared" si="855"/>
        <v/>
      </c>
      <c r="O5422" s="52" t="str">
        <f t="shared" si="856"/>
        <v/>
      </c>
      <c r="P5422" s="88">
        <f t="shared" si="857"/>
        <v>0</v>
      </c>
      <c r="Q5422" s="88">
        <f t="shared" si="858"/>
        <v>0</v>
      </c>
      <c r="R5422" s="88" t="e">
        <f>-IF(Tabla14[[#This Row],[DIAS HABILES O MORA]]&lt;0,(Tabla14[[#This Row],[VALOR PRESTAMO]]*Tabla14[[#This Row],[% INTERES ]]/30*U5422))+Tabla14[[#This Row],[VALOR CUOTAS]]</f>
        <v>#VALUE!</v>
      </c>
      <c r="S5422" s="88">
        <f>-IF(Tabla14[[#This Row],[DIAS HABILES O MORA]]&lt;0,(Tabla14[[#This Row],[VALOR PRESTAMO]]*Tabla14[[#This Row],[% INTERES ]]/30*U5422))</f>
        <v>0</v>
      </c>
      <c r="T5422" s="53" t="e">
        <f>Tabla14[[#This Row],[DEUDA CAPITAL]]+Tabla14[[#This Row],[INTERES  CUOTA]]</f>
        <v>#NUM!</v>
      </c>
      <c r="U5422" s="61" t="str">
        <f t="shared" si="859"/>
        <v/>
      </c>
    </row>
    <row r="5423" spans="9:21" ht="24.75" customHeight="1" x14ac:dyDescent="0.35">
      <c r="I5423" s="42">
        <f t="shared" si="850"/>
        <v>0</v>
      </c>
      <c r="J5423" s="65" t="e">
        <f t="shared" si="851"/>
        <v>#NUM!</v>
      </c>
      <c r="K5423" s="83" t="e">
        <f t="shared" si="852"/>
        <v>#NUM!</v>
      </c>
      <c r="L5423" s="83">
        <f t="shared" si="853"/>
        <v>0</v>
      </c>
      <c r="M5423" s="110" t="str">
        <f t="shared" si="854"/>
        <v/>
      </c>
      <c r="N5423" s="51" t="str">
        <f t="shared" si="855"/>
        <v/>
      </c>
      <c r="O5423" s="52" t="str">
        <f t="shared" si="856"/>
        <v/>
      </c>
      <c r="P5423" s="88">
        <f t="shared" si="857"/>
        <v>0</v>
      </c>
      <c r="Q5423" s="88">
        <f t="shared" si="858"/>
        <v>0</v>
      </c>
      <c r="R5423" s="88" t="e">
        <f>-IF(Tabla14[[#This Row],[DIAS HABILES O MORA]]&lt;0,(Tabla14[[#This Row],[VALOR PRESTAMO]]*Tabla14[[#This Row],[% INTERES ]]/30*U5423))+Tabla14[[#This Row],[VALOR CUOTAS]]</f>
        <v>#VALUE!</v>
      </c>
      <c r="S5423" s="88">
        <f>-IF(Tabla14[[#This Row],[DIAS HABILES O MORA]]&lt;0,(Tabla14[[#This Row],[VALOR PRESTAMO]]*Tabla14[[#This Row],[% INTERES ]]/30*U5423))</f>
        <v>0</v>
      </c>
      <c r="T5423" s="53" t="e">
        <f>Tabla14[[#This Row],[DEUDA CAPITAL]]+Tabla14[[#This Row],[INTERES  CUOTA]]</f>
        <v>#NUM!</v>
      </c>
      <c r="U5423" s="61" t="str">
        <f t="shared" si="859"/>
        <v/>
      </c>
    </row>
    <row r="5424" spans="9:21" ht="24.75" customHeight="1" x14ac:dyDescent="0.35">
      <c r="I5424" s="42">
        <f t="shared" si="850"/>
        <v>0</v>
      </c>
      <c r="J5424" s="65" t="e">
        <f t="shared" si="851"/>
        <v>#NUM!</v>
      </c>
      <c r="K5424" s="83" t="e">
        <f t="shared" si="852"/>
        <v>#NUM!</v>
      </c>
      <c r="L5424" s="83">
        <f t="shared" si="853"/>
        <v>0</v>
      </c>
      <c r="M5424" s="110" t="str">
        <f t="shared" si="854"/>
        <v/>
      </c>
      <c r="N5424" s="51" t="str">
        <f t="shared" si="855"/>
        <v/>
      </c>
      <c r="O5424" s="52" t="str">
        <f t="shared" si="856"/>
        <v/>
      </c>
      <c r="P5424" s="88">
        <f t="shared" si="857"/>
        <v>0</v>
      </c>
      <c r="Q5424" s="88">
        <f t="shared" si="858"/>
        <v>0</v>
      </c>
      <c r="R5424" s="88" t="e">
        <f>-IF(Tabla14[[#This Row],[DIAS HABILES O MORA]]&lt;0,(Tabla14[[#This Row],[VALOR PRESTAMO]]*Tabla14[[#This Row],[% INTERES ]]/30*U5424))+Tabla14[[#This Row],[VALOR CUOTAS]]</f>
        <v>#VALUE!</v>
      </c>
      <c r="S5424" s="88">
        <f>-IF(Tabla14[[#This Row],[DIAS HABILES O MORA]]&lt;0,(Tabla14[[#This Row],[VALOR PRESTAMO]]*Tabla14[[#This Row],[% INTERES ]]/30*U5424))</f>
        <v>0</v>
      </c>
      <c r="T5424" s="53" t="e">
        <f>Tabla14[[#This Row],[DEUDA CAPITAL]]+Tabla14[[#This Row],[INTERES  CUOTA]]</f>
        <v>#NUM!</v>
      </c>
      <c r="U5424" s="61" t="str">
        <f t="shared" si="859"/>
        <v/>
      </c>
    </row>
    <row r="5425" spans="9:21" ht="24.75" customHeight="1" x14ac:dyDescent="0.35">
      <c r="I5425" s="42">
        <f t="shared" si="850"/>
        <v>0</v>
      </c>
      <c r="J5425" s="65" t="e">
        <f t="shared" si="851"/>
        <v>#NUM!</v>
      </c>
      <c r="K5425" s="83" t="e">
        <f t="shared" si="852"/>
        <v>#NUM!</v>
      </c>
      <c r="L5425" s="83">
        <f t="shared" si="853"/>
        <v>0</v>
      </c>
      <c r="M5425" s="110" t="str">
        <f t="shared" si="854"/>
        <v/>
      </c>
      <c r="N5425" s="51" t="str">
        <f t="shared" si="855"/>
        <v/>
      </c>
      <c r="O5425" s="52" t="str">
        <f t="shared" si="856"/>
        <v/>
      </c>
      <c r="P5425" s="88">
        <f t="shared" si="857"/>
        <v>0</v>
      </c>
      <c r="Q5425" s="88">
        <f t="shared" si="858"/>
        <v>0</v>
      </c>
      <c r="R5425" s="88" t="e">
        <f>-IF(Tabla14[[#This Row],[DIAS HABILES O MORA]]&lt;0,(Tabla14[[#This Row],[VALOR PRESTAMO]]*Tabla14[[#This Row],[% INTERES ]]/30*U5425))+Tabla14[[#This Row],[VALOR CUOTAS]]</f>
        <v>#VALUE!</v>
      </c>
      <c r="S5425" s="88">
        <f>-IF(Tabla14[[#This Row],[DIAS HABILES O MORA]]&lt;0,(Tabla14[[#This Row],[VALOR PRESTAMO]]*Tabla14[[#This Row],[% INTERES ]]/30*U5425))</f>
        <v>0</v>
      </c>
      <c r="T5425" s="53" t="e">
        <f>Tabla14[[#This Row],[DEUDA CAPITAL]]+Tabla14[[#This Row],[INTERES  CUOTA]]</f>
        <v>#NUM!</v>
      </c>
      <c r="U5425" s="61" t="str">
        <f t="shared" si="859"/>
        <v/>
      </c>
    </row>
    <row r="5426" spans="9:21" ht="24.75" customHeight="1" x14ac:dyDescent="0.35">
      <c r="I5426" s="42">
        <f t="shared" si="850"/>
        <v>0</v>
      </c>
      <c r="J5426" s="65" t="e">
        <f t="shared" si="851"/>
        <v>#NUM!</v>
      </c>
      <c r="K5426" s="83" t="e">
        <f t="shared" si="852"/>
        <v>#NUM!</v>
      </c>
      <c r="L5426" s="83">
        <f t="shared" si="853"/>
        <v>0</v>
      </c>
      <c r="M5426" s="110" t="str">
        <f t="shared" si="854"/>
        <v/>
      </c>
      <c r="N5426" s="51" t="str">
        <f t="shared" si="855"/>
        <v/>
      </c>
      <c r="O5426" s="52" t="str">
        <f t="shared" si="856"/>
        <v/>
      </c>
      <c r="P5426" s="88">
        <f t="shared" si="857"/>
        <v>0</v>
      </c>
      <c r="Q5426" s="88">
        <f t="shared" si="858"/>
        <v>0</v>
      </c>
      <c r="R5426" s="88" t="e">
        <f>-IF(Tabla14[[#This Row],[DIAS HABILES O MORA]]&lt;0,(Tabla14[[#This Row],[VALOR PRESTAMO]]*Tabla14[[#This Row],[% INTERES ]]/30*U5426))+Tabla14[[#This Row],[VALOR CUOTAS]]</f>
        <v>#VALUE!</v>
      </c>
      <c r="S5426" s="88">
        <f>-IF(Tabla14[[#This Row],[DIAS HABILES O MORA]]&lt;0,(Tabla14[[#This Row],[VALOR PRESTAMO]]*Tabla14[[#This Row],[% INTERES ]]/30*U5426))</f>
        <v>0</v>
      </c>
      <c r="T5426" s="53" t="e">
        <f>Tabla14[[#This Row],[DEUDA CAPITAL]]+Tabla14[[#This Row],[INTERES  CUOTA]]</f>
        <v>#NUM!</v>
      </c>
      <c r="U5426" s="61" t="str">
        <f t="shared" si="859"/>
        <v/>
      </c>
    </row>
    <row r="5427" spans="9:21" ht="24.75" customHeight="1" x14ac:dyDescent="0.35">
      <c r="I5427" s="42">
        <f t="shared" si="850"/>
        <v>0</v>
      </c>
      <c r="J5427" s="65" t="e">
        <f t="shared" si="851"/>
        <v>#NUM!</v>
      </c>
      <c r="K5427" s="83" t="e">
        <f t="shared" si="852"/>
        <v>#NUM!</v>
      </c>
      <c r="L5427" s="83">
        <f t="shared" si="853"/>
        <v>0</v>
      </c>
      <c r="M5427" s="110" t="str">
        <f t="shared" si="854"/>
        <v/>
      </c>
      <c r="N5427" s="51" t="str">
        <f t="shared" si="855"/>
        <v/>
      </c>
      <c r="O5427" s="52" t="str">
        <f t="shared" si="856"/>
        <v/>
      </c>
      <c r="P5427" s="88">
        <f t="shared" si="857"/>
        <v>0</v>
      </c>
      <c r="Q5427" s="88">
        <f t="shared" si="858"/>
        <v>0</v>
      </c>
      <c r="R5427" s="88" t="e">
        <f>-IF(Tabla14[[#This Row],[DIAS HABILES O MORA]]&lt;0,(Tabla14[[#This Row],[VALOR PRESTAMO]]*Tabla14[[#This Row],[% INTERES ]]/30*U5427))+Tabla14[[#This Row],[VALOR CUOTAS]]</f>
        <v>#VALUE!</v>
      </c>
      <c r="S5427" s="88">
        <f>-IF(Tabla14[[#This Row],[DIAS HABILES O MORA]]&lt;0,(Tabla14[[#This Row],[VALOR PRESTAMO]]*Tabla14[[#This Row],[% INTERES ]]/30*U5427))</f>
        <v>0</v>
      </c>
      <c r="T5427" s="53" t="e">
        <f>Tabla14[[#This Row],[DEUDA CAPITAL]]+Tabla14[[#This Row],[INTERES  CUOTA]]</f>
        <v>#NUM!</v>
      </c>
      <c r="U5427" s="61" t="str">
        <f t="shared" si="859"/>
        <v/>
      </c>
    </row>
    <row r="5428" spans="9:21" ht="24.75" customHeight="1" x14ac:dyDescent="0.35">
      <c r="I5428" s="42">
        <f t="shared" si="850"/>
        <v>0</v>
      </c>
      <c r="J5428" s="65" t="e">
        <f t="shared" si="851"/>
        <v>#NUM!</v>
      </c>
      <c r="K5428" s="83" t="e">
        <f t="shared" si="852"/>
        <v>#NUM!</v>
      </c>
      <c r="L5428" s="83">
        <f t="shared" si="853"/>
        <v>0</v>
      </c>
      <c r="M5428" s="110" t="str">
        <f t="shared" si="854"/>
        <v/>
      </c>
      <c r="N5428" s="51" t="str">
        <f t="shared" si="855"/>
        <v/>
      </c>
      <c r="O5428" s="52" t="str">
        <f t="shared" si="856"/>
        <v/>
      </c>
      <c r="P5428" s="88">
        <f t="shared" si="857"/>
        <v>0</v>
      </c>
      <c r="Q5428" s="88">
        <f t="shared" si="858"/>
        <v>0</v>
      </c>
      <c r="R5428" s="88" t="e">
        <f>-IF(Tabla14[[#This Row],[DIAS HABILES O MORA]]&lt;0,(Tabla14[[#This Row],[VALOR PRESTAMO]]*Tabla14[[#This Row],[% INTERES ]]/30*U5428))+Tabla14[[#This Row],[VALOR CUOTAS]]</f>
        <v>#VALUE!</v>
      </c>
      <c r="S5428" s="88">
        <f>-IF(Tabla14[[#This Row],[DIAS HABILES O MORA]]&lt;0,(Tabla14[[#This Row],[VALOR PRESTAMO]]*Tabla14[[#This Row],[% INTERES ]]/30*U5428))</f>
        <v>0</v>
      </c>
      <c r="T5428" s="53" t="e">
        <f>Tabla14[[#This Row],[DEUDA CAPITAL]]+Tabla14[[#This Row],[INTERES  CUOTA]]</f>
        <v>#NUM!</v>
      </c>
      <c r="U5428" s="61" t="str">
        <f t="shared" si="859"/>
        <v/>
      </c>
    </row>
    <row r="5429" spans="9:21" ht="24.75" customHeight="1" x14ac:dyDescent="0.35">
      <c r="I5429" s="42">
        <f t="shared" si="850"/>
        <v>0</v>
      </c>
      <c r="J5429" s="65" t="e">
        <f t="shared" si="851"/>
        <v>#NUM!</v>
      </c>
      <c r="K5429" s="83" t="e">
        <f t="shared" si="852"/>
        <v>#NUM!</v>
      </c>
      <c r="L5429" s="83">
        <f t="shared" si="853"/>
        <v>0</v>
      </c>
      <c r="M5429" s="110" t="str">
        <f t="shared" si="854"/>
        <v/>
      </c>
      <c r="N5429" s="51" t="str">
        <f t="shared" si="855"/>
        <v/>
      </c>
      <c r="O5429" s="52" t="str">
        <f t="shared" si="856"/>
        <v/>
      </c>
      <c r="P5429" s="88">
        <f t="shared" si="857"/>
        <v>0</v>
      </c>
      <c r="Q5429" s="88">
        <f t="shared" si="858"/>
        <v>0</v>
      </c>
      <c r="R5429" s="88" t="e">
        <f>-IF(Tabla14[[#This Row],[DIAS HABILES O MORA]]&lt;0,(Tabla14[[#This Row],[VALOR PRESTAMO]]*Tabla14[[#This Row],[% INTERES ]]/30*U5429))+Tabla14[[#This Row],[VALOR CUOTAS]]</f>
        <v>#VALUE!</v>
      </c>
      <c r="S5429" s="88">
        <f>-IF(Tabla14[[#This Row],[DIAS HABILES O MORA]]&lt;0,(Tabla14[[#This Row],[VALOR PRESTAMO]]*Tabla14[[#This Row],[% INTERES ]]/30*U5429))</f>
        <v>0</v>
      </c>
      <c r="T5429" s="53" t="e">
        <f>Tabla14[[#This Row],[DEUDA CAPITAL]]+Tabla14[[#This Row],[INTERES  CUOTA]]</f>
        <v>#NUM!</v>
      </c>
      <c r="U5429" s="61" t="str">
        <f t="shared" si="859"/>
        <v/>
      </c>
    </row>
    <row r="5430" spans="9:21" ht="24.75" customHeight="1" x14ac:dyDescent="0.35">
      <c r="I5430" s="42">
        <f t="shared" si="850"/>
        <v>0</v>
      </c>
      <c r="J5430" s="65" t="e">
        <f t="shared" si="851"/>
        <v>#NUM!</v>
      </c>
      <c r="K5430" s="83" t="e">
        <f t="shared" si="852"/>
        <v>#NUM!</v>
      </c>
      <c r="L5430" s="83">
        <f t="shared" si="853"/>
        <v>0</v>
      </c>
      <c r="M5430" s="110" t="str">
        <f t="shared" si="854"/>
        <v/>
      </c>
      <c r="N5430" s="51" t="str">
        <f t="shared" si="855"/>
        <v/>
      </c>
      <c r="O5430" s="52" t="str">
        <f t="shared" si="856"/>
        <v/>
      </c>
      <c r="P5430" s="88">
        <f t="shared" si="857"/>
        <v>0</v>
      </c>
      <c r="Q5430" s="88">
        <f t="shared" si="858"/>
        <v>0</v>
      </c>
      <c r="R5430" s="88" t="e">
        <f>-IF(Tabla14[[#This Row],[DIAS HABILES O MORA]]&lt;0,(Tabla14[[#This Row],[VALOR PRESTAMO]]*Tabla14[[#This Row],[% INTERES ]]/30*U5430))+Tabla14[[#This Row],[VALOR CUOTAS]]</f>
        <v>#VALUE!</v>
      </c>
      <c r="S5430" s="88">
        <f>-IF(Tabla14[[#This Row],[DIAS HABILES O MORA]]&lt;0,(Tabla14[[#This Row],[VALOR PRESTAMO]]*Tabla14[[#This Row],[% INTERES ]]/30*U5430))</f>
        <v>0</v>
      </c>
      <c r="T5430" s="53" t="e">
        <f>Tabla14[[#This Row],[DEUDA CAPITAL]]+Tabla14[[#This Row],[INTERES  CUOTA]]</f>
        <v>#NUM!</v>
      </c>
      <c r="U5430" s="61" t="str">
        <f t="shared" si="859"/>
        <v/>
      </c>
    </row>
    <row r="5431" spans="9:21" ht="24.75" customHeight="1" x14ac:dyDescent="0.35">
      <c r="I5431" s="42">
        <f t="shared" si="850"/>
        <v>0</v>
      </c>
      <c r="J5431" s="65" t="e">
        <f t="shared" si="851"/>
        <v>#NUM!</v>
      </c>
      <c r="K5431" s="83" t="e">
        <f t="shared" si="852"/>
        <v>#NUM!</v>
      </c>
      <c r="L5431" s="83">
        <f t="shared" si="853"/>
        <v>0</v>
      </c>
      <c r="M5431" s="110" t="str">
        <f t="shared" si="854"/>
        <v/>
      </c>
      <c r="N5431" s="51" t="str">
        <f t="shared" si="855"/>
        <v/>
      </c>
      <c r="O5431" s="52" t="str">
        <f t="shared" si="856"/>
        <v/>
      </c>
      <c r="P5431" s="88">
        <f t="shared" si="857"/>
        <v>0</v>
      </c>
      <c r="Q5431" s="88">
        <f t="shared" si="858"/>
        <v>0</v>
      </c>
      <c r="R5431" s="88" t="e">
        <f>-IF(Tabla14[[#This Row],[DIAS HABILES O MORA]]&lt;0,(Tabla14[[#This Row],[VALOR PRESTAMO]]*Tabla14[[#This Row],[% INTERES ]]/30*U5431))+Tabla14[[#This Row],[VALOR CUOTAS]]</f>
        <v>#VALUE!</v>
      </c>
      <c r="S5431" s="88">
        <f>-IF(Tabla14[[#This Row],[DIAS HABILES O MORA]]&lt;0,(Tabla14[[#This Row],[VALOR PRESTAMO]]*Tabla14[[#This Row],[% INTERES ]]/30*U5431))</f>
        <v>0</v>
      </c>
      <c r="T5431" s="53" t="e">
        <f>Tabla14[[#This Row],[DEUDA CAPITAL]]+Tabla14[[#This Row],[INTERES  CUOTA]]</f>
        <v>#NUM!</v>
      </c>
      <c r="U5431" s="61" t="str">
        <f t="shared" si="859"/>
        <v/>
      </c>
    </row>
    <row r="5432" spans="9:21" ht="24.75" customHeight="1" x14ac:dyDescent="0.35">
      <c r="I5432" s="42">
        <f t="shared" si="850"/>
        <v>0</v>
      </c>
      <c r="J5432" s="65" t="e">
        <f t="shared" si="851"/>
        <v>#NUM!</v>
      </c>
      <c r="K5432" s="83" t="e">
        <f t="shared" si="852"/>
        <v>#NUM!</v>
      </c>
      <c r="L5432" s="83">
        <f t="shared" si="853"/>
        <v>0</v>
      </c>
      <c r="M5432" s="110" t="str">
        <f t="shared" si="854"/>
        <v/>
      </c>
      <c r="N5432" s="51" t="str">
        <f t="shared" si="855"/>
        <v/>
      </c>
      <c r="O5432" s="52" t="str">
        <f t="shared" si="856"/>
        <v/>
      </c>
      <c r="P5432" s="88">
        <f t="shared" si="857"/>
        <v>0</v>
      </c>
      <c r="Q5432" s="88">
        <f t="shared" si="858"/>
        <v>0</v>
      </c>
      <c r="R5432" s="88" t="e">
        <f>-IF(Tabla14[[#This Row],[DIAS HABILES O MORA]]&lt;0,(Tabla14[[#This Row],[VALOR PRESTAMO]]*Tabla14[[#This Row],[% INTERES ]]/30*U5432))+Tabla14[[#This Row],[VALOR CUOTAS]]</f>
        <v>#VALUE!</v>
      </c>
      <c r="S5432" s="88">
        <f>-IF(Tabla14[[#This Row],[DIAS HABILES O MORA]]&lt;0,(Tabla14[[#This Row],[VALOR PRESTAMO]]*Tabla14[[#This Row],[% INTERES ]]/30*U5432))</f>
        <v>0</v>
      </c>
      <c r="T5432" s="53" t="e">
        <f>Tabla14[[#This Row],[DEUDA CAPITAL]]+Tabla14[[#This Row],[INTERES  CUOTA]]</f>
        <v>#NUM!</v>
      </c>
      <c r="U5432" s="61" t="str">
        <f t="shared" si="859"/>
        <v/>
      </c>
    </row>
    <row r="5433" spans="9:21" ht="24.75" customHeight="1" x14ac:dyDescent="0.35">
      <c r="I5433" s="42">
        <f t="shared" si="850"/>
        <v>0</v>
      </c>
      <c r="J5433" s="65" t="e">
        <f t="shared" si="851"/>
        <v>#NUM!</v>
      </c>
      <c r="K5433" s="83" t="e">
        <f t="shared" si="852"/>
        <v>#NUM!</v>
      </c>
      <c r="L5433" s="83">
        <f t="shared" si="853"/>
        <v>0</v>
      </c>
      <c r="M5433" s="110" t="str">
        <f t="shared" si="854"/>
        <v/>
      </c>
      <c r="N5433" s="51" t="str">
        <f t="shared" si="855"/>
        <v/>
      </c>
      <c r="O5433" s="52" t="str">
        <f t="shared" si="856"/>
        <v/>
      </c>
      <c r="P5433" s="88">
        <f t="shared" si="857"/>
        <v>0</v>
      </c>
      <c r="Q5433" s="88">
        <f t="shared" si="858"/>
        <v>0</v>
      </c>
      <c r="R5433" s="88" t="e">
        <f>-IF(Tabla14[[#This Row],[DIAS HABILES O MORA]]&lt;0,(Tabla14[[#This Row],[VALOR PRESTAMO]]*Tabla14[[#This Row],[% INTERES ]]/30*U5433))+Tabla14[[#This Row],[VALOR CUOTAS]]</f>
        <v>#VALUE!</v>
      </c>
      <c r="S5433" s="88">
        <f>-IF(Tabla14[[#This Row],[DIAS HABILES O MORA]]&lt;0,(Tabla14[[#This Row],[VALOR PRESTAMO]]*Tabla14[[#This Row],[% INTERES ]]/30*U5433))</f>
        <v>0</v>
      </c>
      <c r="T5433" s="53" t="e">
        <f>Tabla14[[#This Row],[DEUDA CAPITAL]]+Tabla14[[#This Row],[INTERES  CUOTA]]</f>
        <v>#NUM!</v>
      </c>
      <c r="U5433" s="61" t="str">
        <f t="shared" si="859"/>
        <v/>
      </c>
    </row>
    <row r="5434" spans="9:21" ht="24.75" customHeight="1" x14ac:dyDescent="0.35">
      <c r="I5434" s="42">
        <f t="shared" si="850"/>
        <v>0</v>
      </c>
      <c r="J5434" s="65" t="e">
        <f t="shared" si="851"/>
        <v>#NUM!</v>
      </c>
      <c r="K5434" s="83" t="e">
        <f t="shared" si="852"/>
        <v>#NUM!</v>
      </c>
      <c r="L5434" s="83">
        <f t="shared" si="853"/>
        <v>0</v>
      </c>
      <c r="M5434" s="110" t="str">
        <f t="shared" si="854"/>
        <v/>
      </c>
      <c r="N5434" s="51" t="str">
        <f t="shared" si="855"/>
        <v/>
      </c>
      <c r="O5434" s="52" t="str">
        <f t="shared" si="856"/>
        <v/>
      </c>
      <c r="P5434" s="88">
        <f t="shared" si="857"/>
        <v>0</v>
      </c>
      <c r="Q5434" s="88">
        <f t="shared" si="858"/>
        <v>0</v>
      </c>
      <c r="R5434" s="88" t="e">
        <f>-IF(Tabla14[[#This Row],[DIAS HABILES O MORA]]&lt;0,(Tabla14[[#This Row],[VALOR PRESTAMO]]*Tabla14[[#This Row],[% INTERES ]]/30*U5434))+Tabla14[[#This Row],[VALOR CUOTAS]]</f>
        <v>#VALUE!</v>
      </c>
      <c r="S5434" s="88">
        <f>-IF(Tabla14[[#This Row],[DIAS HABILES O MORA]]&lt;0,(Tabla14[[#This Row],[VALOR PRESTAMO]]*Tabla14[[#This Row],[% INTERES ]]/30*U5434))</f>
        <v>0</v>
      </c>
      <c r="T5434" s="53" t="e">
        <f>Tabla14[[#This Row],[DEUDA CAPITAL]]+Tabla14[[#This Row],[INTERES  CUOTA]]</f>
        <v>#NUM!</v>
      </c>
      <c r="U5434" s="61" t="str">
        <f t="shared" si="859"/>
        <v/>
      </c>
    </row>
    <row r="5435" spans="9:21" ht="24.75" customHeight="1" x14ac:dyDescent="0.35">
      <c r="I5435" s="42">
        <f t="shared" si="850"/>
        <v>0</v>
      </c>
      <c r="J5435" s="65" t="e">
        <f t="shared" si="851"/>
        <v>#NUM!</v>
      </c>
      <c r="K5435" s="83" t="e">
        <f t="shared" si="852"/>
        <v>#NUM!</v>
      </c>
      <c r="L5435" s="83">
        <f t="shared" si="853"/>
        <v>0</v>
      </c>
      <c r="M5435" s="110" t="str">
        <f t="shared" si="854"/>
        <v/>
      </c>
      <c r="N5435" s="51" t="str">
        <f t="shared" si="855"/>
        <v/>
      </c>
      <c r="O5435" s="52" t="str">
        <f t="shared" si="856"/>
        <v/>
      </c>
      <c r="P5435" s="88">
        <f t="shared" si="857"/>
        <v>0</v>
      </c>
      <c r="Q5435" s="88">
        <f t="shared" si="858"/>
        <v>0</v>
      </c>
      <c r="R5435" s="88" t="e">
        <f>-IF(Tabla14[[#This Row],[DIAS HABILES O MORA]]&lt;0,(Tabla14[[#This Row],[VALOR PRESTAMO]]*Tabla14[[#This Row],[% INTERES ]]/30*U5435))+Tabla14[[#This Row],[VALOR CUOTAS]]</f>
        <v>#VALUE!</v>
      </c>
      <c r="S5435" s="88">
        <f>-IF(Tabla14[[#This Row],[DIAS HABILES O MORA]]&lt;0,(Tabla14[[#This Row],[VALOR PRESTAMO]]*Tabla14[[#This Row],[% INTERES ]]/30*U5435))</f>
        <v>0</v>
      </c>
      <c r="T5435" s="53" t="e">
        <f>Tabla14[[#This Row],[DEUDA CAPITAL]]+Tabla14[[#This Row],[INTERES  CUOTA]]</f>
        <v>#NUM!</v>
      </c>
      <c r="U5435" s="61" t="str">
        <f t="shared" si="859"/>
        <v/>
      </c>
    </row>
    <row r="5436" spans="9:21" ht="24.75" customHeight="1" x14ac:dyDescent="0.35">
      <c r="I5436" s="42">
        <f t="shared" si="850"/>
        <v>0</v>
      </c>
      <c r="J5436" s="65" t="e">
        <f t="shared" si="851"/>
        <v>#NUM!</v>
      </c>
      <c r="K5436" s="83" t="e">
        <f t="shared" si="852"/>
        <v>#NUM!</v>
      </c>
      <c r="L5436" s="83">
        <f t="shared" si="853"/>
        <v>0</v>
      </c>
      <c r="M5436" s="110" t="str">
        <f t="shared" si="854"/>
        <v/>
      </c>
      <c r="N5436" s="51" t="str">
        <f t="shared" si="855"/>
        <v/>
      </c>
      <c r="O5436" s="52" t="str">
        <f t="shared" si="856"/>
        <v/>
      </c>
      <c r="P5436" s="88">
        <f t="shared" si="857"/>
        <v>0</v>
      </c>
      <c r="Q5436" s="88">
        <f t="shared" si="858"/>
        <v>0</v>
      </c>
      <c r="R5436" s="88" t="e">
        <f>-IF(Tabla14[[#This Row],[DIAS HABILES O MORA]]&lt;0,(Tabla14[[#This Row],[VALOR PRESTAMO]]*Tabla14[[#This Row],[% INTERES ]]/30*U5436))+Tabla14[[#This Row],[VALOR CUOTAS]]</f>
        <v>#VALUE!</v>
      </c>
      <c r="S5436" s="88">
        <f>-IF(Tabla14[[#This Row],[DIAS HABILES O MORA]]&lt;0,(Tabla14[[#This Row],[VALOR PRESTAMO]]*Tabla14[[#This Row],[% INTERES ]]/30*U5436))</f>
        <v>0</v>
      </c>
      <c r="T5436" s="53" t="e">
        <f>Tabla14[[#This Row],[DEUDA CAPITAL]]+Tabla14[[#This Row],[INTERES  CUOTA]]</f>
        <v>#NUM!</v>
      </c>
      <c r="U5436" s="61" t="str">
        <f t="shared" si="859"/>
        <v/>
      </c>
    </row>
    <row r="5437" spans="9:21" ht="24.75" customHeight="1" x14ac:dyDescent="0.35">
      <c r="I5437" s="42">
        <f t="shared" si="850"/>
        <v>0</v>
      </c>
      <c r="J5437" s="65" t="e">
        <f t="shared" si="851"/>
        <v>#NUM!</v>
      </c>
      <c r="K5437" s="83" t="e">
        <f t="shared" si="852"/>
        <v>#NUM!</v>
      </c>
      <c r="L5437" s="83">
        <f t="shared" si="853"/>
        <v>0</v>
      </c>
      <c r="M5437" s="110" t="str">
        <f t="shared" si="854"/>
        <v/>
      </c>
      <c r="N5437" s="51" t="str">
        <f t="shared" si="855"/>
        <v/>
      </c>
      <c r="O5437" s="52" t="str">
        <f t="shared" si="856"/>
        <v/>
      </c>
      <c r="P5437" s="88">
        <f t="shared" si="857"/>
        <v>0</v>
      </c>
      <c r="Q5437" s="88">
        <f t="shared" si="858"/>
        <v>0</v>
      </c>
      <c r="R5437" s="88" t="e">
        <f>-IF(Tabla14[[#This Row],[DIAS HABILES O MORA]]&lt;0,(Tabla14[[#This Row],[VALOR PRESTAMO]]*Tabla14[[#This Row],[% INTERES ]]/30*U5437))+Tabla14[[#This Row],[VALOR CUOTAS]]</f>
        <v>#VALUE!</v>
      </c>
      <c r="S5437" s="88">
        <f>-IF(Tabla14[[#This Row],[DIAS HABILES O MORA]]&lt;0,(Tabla14[[#This Row],[VALOR PRESTAMO]]*Tabla14[[#This Row],[% INTERES ]]/30*U5437))</f>
        <v>0</v>
      </c>
      <c r="T5437" s="53" t="e">
        <f>Tabla14[[#This Row],[DEUDA CAPITAL]]+Tabla14[[#This Row],[INTERES  CUOTA]]</f>
        <v>#NUM!</v>
      </c>
      <c r="U5437" s="61" t="str">
        <f t="shared" si="859"/>
        <v/>
      </c>
    </row>
    <row r="5438" spans="9:21" ht="24.75" customHeight="1" x14ac:dyDescent="0.35">
      <c r="I5438" s="42">
        <f t="shared" si="850"/>
        <v>0</v>
      </c>
      <c r="J5438" s="65" t="e">
        <f t="shared" si="851"/>
        <v>#NUM!</v>
      </c>
      <c r="K5438" s="83" t="e">
        <f t="shared" si="852"/>
        <v>#NUM!</v>
      </c>
      <c r="L5438" s="83">
        <f t="shared" si="853"/>
        <v>0</v>
      </c>
      <c r="M5438" s="110" t="str">
        <f t="shared" si="854"/>
        <v/>
      </c>
      <c r="N5438" s="51" t="str">
        <f t="shared" si="855"/>
        <v/>
      </c>
      <c r="O5438" s="52" t="str">
        <f t="shared" si="856"/>
        <v/>
      </c>
      <c r="P5438" s="88">
        <f t="shared" si="857"/>
        <v>0</v>
      </c>
      <c r="Q5438" s="88">
        <f t="shared" si="858"/>
        <v>0</v>
      </c>
      <c r="R5438" s="88" t="e">
        <f>-IF(Tabla14[[#This Row],[DIAS HABILES O MORA]]&lt;0,(Tabla14[[#This Row],[VALOR PRESTAMO]]*Tabla14[[#This Row],[% INTERES ]]/30*U5438))+Tabla14[[#This Row],[VALOR CUOTAS]]</f>
        <v>#VALUE!</v>
      </c>
      <c r="S5438" s="88">
        <f>-IF(Tabla14[[#This Row],[DIAS HABILES O MORA]]&lt;0,(Tabla14[[#This Row],[VALOR PRESTAMO]]*Tabla14[[#This Row],[% INTERES ]]/30*U5438))</f>
        <v>0</v>
      </c>
      <c r="T5438" s="53" t="e">
        <f>Tabla14[[#This Row],[DEUDA CAPITAL]]+Tabla14[[#This Row],[INTERES  CUOTA]]</f>
        <v>#NUM!</v>
      </c>
      <c r="U5438" s="61" t="str">
        <f t="shared" si="859"/>
        <v/>
      </c>
    </row>
    <row r="5439" spans="9:21" ht="24.75" customHeight="1" x14ac:dyDescent="0.35">
      <c r="I5439" s="42">
        <f t="shared" si="850"/>
        <v>0</v>
      </c>
      <c r="J5439" s="65" t="e">
        <f t="shared" si="851"/>
        <v>#NUM!</v>
      </c>
      <c r="K5439" s="83" t="e">
        <f t="shared" si="852"/>
        <v>#NUM!</v>
      </c>
      <c r="L5439" s="83">
        <f t="shared" si="853"/>
        <v>0</v>
      </c>
      <c r="M5439" s="110" t="str">
        <f t="shared" si="854"/>
        <v/>
      </c>
      <c r="N5439" s="51" t="str">
        <f t="shared" si="855"/>
        <v/>
      </c>
      <c r="O5439" s="52" t="str">
        <f t="shared" si="856"/>
        <v/>
      </c>
      <c r="P5439" s="88">
        <f t="shared" si="857"/>
        <v>0</v>
      </c>
      <c r="Q5439" s="88">
        <f t="shared" si="858"/>
        <v>0</v>
      </c>
      <c r="R5439" s="88" t="e">
        <f>-IF(Tabla14[[#This Row],[DIAS HABILES O MORA]]&lt;0,(Tabla14[[#This Row],[VALOR PRESTAMO]]*Tabla14[[#This Row],[% INTERES ]]/30*U5439))+Tabla14[[#This Row],[VALOR CUOTAS]]</f>
        <v>#VALUE!</v>
      </c>
      <c r="S5439" s="88">
        <f>-IF(Tabla14[[#This Row],[DIAS HABILES O MORA]]&lt;0,(Tabla14[[#This Row],[VALOR PRESTAMO]]*Tabla14[[#This Row],[% INTERES ]]/30*U5439))</f>
        <v>0</v>
      </c>
      <c r="T5439" s="53" t="e">
        <f>Tabla14[[#This Row],[DEUDA CAPITAL]]+Tabla14[[#This Row],[INTERES  CUOTA]]</f>
        <v>#NUM!</v>
      </c>
      <c r="U5439" s="61" t="str">
        <f t="shared" si="859"/>
        <v/>
      </c>
    </row>
    <row r="5440" spans="9:21" ht="24.75" customHeight="1" x14ac:dyDescent="0.35">
      <c r="I5440" s="42">
        <f t="shared" si="850"/>
        <v>0</v>
      </c>
      <c r="J5440" s="65" t="e">
        <f t="shared" si="851"/>
        <v>#NUM!</v>
      </c>
      <c r="K5440" s="83" t="e">
        <f t="shared" si="852"/>
        <v>#NUM!</v>
      </c>
      <c r="L5440" s="83">
        <f t="shared" si="853"/>
        <v>0</v>
      </c>
      <c r="M5440" s="110" t="str">
        <f t="shared" si="854"/>
        <v/>
      </c>
      <c r="N5440" s="51" t="str">
        <f t="shared" si="855"/>
        <v/>
      </c>
      <c r="O5440" s="52" t="str">
        <f t="shared" si="856"/>
        <v/>
      </c>
      <c r="P5440" s="88">
        <f t="shared" si="857"/>
        <v>0</v>
      </c>
      <c r="Q5440" s="88">
        <f t="shared" si="858"/>
        <v>0</v>
      </c>
      <c r="R5440" s="88" t="e">
        <f>-IF(Tabla14[[#This Row],[DIAS HABILES O MORA]]&lt;0,(Tabla14[[#This Row],[VALOR PRESTAMO]]*Tabla14[[#This Row],[% INTERES ]]/30*U5440))+Tabla14[[#This Row],[VALOR CUOTAS]]</f>
        <v>#VALUE!</v>
      </c>
      <c r="S5440" s="88">
        <f>-IF(Tabla14[[#This Row],[DIAS HABILES O MORA]]&lt;0,(Tabla14[[#This Row],[VALOR PRESTAMO]]*Tabla14[[#This Row],[% INTERES ]]/30*U5440))</f>
        <v>0</v>
      </c>
      <c r="T5440" s="53" t="e">
        <f>Tabla14[[#This Row],[DEUDA CAPITAL]]+Tabla14[[#This Row],[INTERES  CUOTA]]</f>
        <v>#NUM!</v>
      </c>
      <c r="U5440" s="61" t="str">
        <f t="shared" si="859"/>
        <v/>
      </c>
    </row>
    <row r="5441" spans="9:21" ht="24.75" customHeight="1" x14ac:dyDescent="0.35">
      <c r="I5441" s="42">
        <f t="shared" si="850"/>
        <v>0</v>
      </c>
      <c r="J5441" s="65" t="e">
        <f t="shared" si="851"/>
        <v>#NUM!</v>
      </c>
      <c r="K5441" s="83" t="e">
        <f t="shared" si="852"/>
        <v>#NUM!</v>
      </c>
      <c r="L5441" s="83">
        <f t="shared" si="853"/>
        <v>0</v>
      </c>
      <c r="M5441" s="110" t="str">
        <f t="shared" si="854"/>
        <v/>
      </c>
      <c r="N5441" s="51" t="str">
        <f t="shared" si="855"/>
        <v/>
      </c>
      <c r="O5441" s="52" t="str">
        <f t="shared" si="856"/>
        <v/>
      </c>
      <c r="P5441" s="88">
        <f t="shared" si="857"/>
        <v>0</v>
      </c>
      <c r="Q5441" s="88">
        <f t="shared" si="858"/>
        <v>0</v>
      </c>
      <c r="R5441" s="88" t="e">
        <f>-IF(Tabla14[[#This Row],[DIAS HABILES O MORA]]&lt;0,(Tabla14[[#This Row],[VALOR PRESTAMO]]*Tabla14[[#This Row],[% INTERES ]]/30*U5441))+Tabla14[[#This Row],[VALOR CUOTAS]]</f>
        <v>#VALUE!</v>
      </c>
      <c r="S5441" s="88">
        <f>-IF(Tabla14[[#This Row],[DIAS HABILES O MORA]]&lt;0,(Tabla14[[#This Row],[VALOR PRESTAMO]]*Tabla14[[#This Row],[% INTERES ]]/30*U5441))</f>
        <v>0</v>
      </c>
      <c r="T5441" s="53" t="e">
        <f>Tabla14[[#This Row],[DEUDA CAPITAL]]+Tabla14[[#This Row],[INTERES  CUOTA]]</f>
        <v>#NUM!</v>
      </c>
      <c r="U5441" s="61" t="str">
        <f t="shared" si="859"/>
        <v/>
      </c>
    </row>
    <row r="5442" spans="9:21" ht="24.75" customHeight="1" x14ac:dyDescent="0.35">
      <c r="I5442" s="42">
        <f t="shared" si="850"/>
        <v>0</v>
      </c>
      <c r="J5442" s="65" t="e">
        <f t="shared" si="851"/>
        <v>#NUM!</v>
      </c>
      <c r="K5442" s="83" t="e">
        <f t="shared" si="852"/>
        <v>#NUM!</v>
      </c>
      <c r="L5442" s="83">
        <f t="shared" si="853"/>
        <v>0</v>
      </c>
      <c r="M5442" s="110" t="str">
        <f t="shared" si="854"/>
        <v/>
      </c>
      <c r="N5442" s="51" t="str">
        <f t="shared" si="855"/>
        <v/>
      </c>
      <c r="O5442" s="52" t="str">
        <f t="shared" si="856"/>
        <v/>
      </c>
      <c r="P5442" s="88">
        <f t="shared" si="857"/>
        <v>0</v>
      </c>
      <c r="Q5442" s="88">
        <f t="shared" si="858"/>
        <v>0</v>
      </c>
      <c r="R5442" s="88" t="e">
        <f>-IF(Tabla14[[#This Row],[DIAS HABILES O MORA]]&lt;0,(Tabla14[[#This Row],[VALOR PRESTAMO]]*Tabla14[[#This Row],[% INTERES ]]/30*U5442))+Tabla14[[#This Row],[VALOR CUOTAS]]</f>
        <v>#VALUE!</v>
      </c>
      <c r="S5442" s="88">
        <f>-IF(Tabla14[[#This Row],[DIAS HABILES O MORA]]&lt;0,(Tabla14[[#This Row],[VALOR PRESTAMO]]*Tabla14[[#This Row],[% INTERES ]]/30*U5442))</f>
        <v>0</v>
      </c>
      <c r="T5442" s="53" t="e">
        <f>Tabla14[[#This Row],[DEUDA CAPITAL]]+Tabla14[[#This Row],[INTERES  CUOTA]]</f>
        <v>#NUM!</v>
      </c>
      <c r="U5442" s="61" t="str">
        <f t="shared" si="859"/>
        <v/>
      </c>
    </row>
    <row r="5443" spans="9:21" ht="24.75" customHeight="1" x14ac:dyDescent="0.35">
      <c r="I5443" s="42">
        <f t="shared" si="850"/>
        <v>0</v>
      </c>
      <c r="J5443" s="65" t="e">
        <f t="shared" si="851"/>
        <v>#NUM!</v>
      </c>
      <c r="K5443" s="83" t="e">
        <f t="shared" si="852"/>
        <v>#NUM!</v>
      </c>
      <c r="L5443" s="83">
        <f t="shared" si="853"/>
        <v>0</v>
      </c>
      <c r="M5443" s="110" t="str">
        <f t="shared" si="854"/>
        <v/>
      </c>
      <c r="N5443" s="51" t="str">
        <f t="shared" si="855"/>
        <v/>
      </c>
      <c r="O5443" s="52" t="str">
        <f t="shared" si="856"/>
        <v/>
      </c>
      <c r="P5443" s="88">
        <f t="shared" si="857"/>
        <v>0</v>
      </c>
      <c r="Q5443" s="88">
        <f t="shared" si="858"/>
        <v>0</v>
      </c>
      <c r="R5443" s="88" t="e">
        <f>-IF(Tabla14[[#This Row],[DIAS HABILES O MORA]]&lt;0,(Tabla14[[#This Row],[VALOR PRESTAMO]]*Tabla14[[#This Row],[% INTERES ]]/30*U5443))+Tabla14[[#This Row],[VALOR CUOTAS]]</f>
        <v>#VALUE!</v>
      </c>
      <c r="S5443" s="88">
        <f>-IF(Tabla14[[#This Row],[DIAS HABILES O MORA]]&lt;0,(Tabla14[[#This Row],[VALOR PRESTAMO]]*Tabla14[[#This Row],[% INTERES ]]/30*U5443))</f>
        <v>0</v>
      </c>
      <c r="T5443" s="53" t="e">
        <f>Tabla14[[#This Row],[DEUDA CAPITAL]]+Tabla14[[#This Row],[INTERES  CUOTA]]</f>
        <v>#NUM!</v>
      </c>
      <c r="U5443" s="61" t="str">
        <f t="shared" si="859"/>
        <v/>
      </c>
    </row>
    <row r="5444" spans="9:21" ht="24.75" customHeight="1" x14ac:dyDescent="0.35">
      <c r="I5444" s="42">
        <f t="shared" si="850"/>
        <v>0</v>
      </c>
      <c r="J5444" s="65" t="e">
        <f t="shared" si="851"/>
        <v>#NUM!</v>
      </c>
      <c r="K5444" s="83" t="e">
        <f t="shared" si="852"/>
        <v>#NUM!</v>
      </c>
      <c r="L5444" s="83">
        <f t="shared" si="853"/>
        <v>0</v>
      </c>
      <c r="M5444" s="110" t="str">
        <f t="shared" si="854"/>
        <v/>
      </c>
      <c r="N5444" s="51" t="str">
        <f t="shared" si="855"/>
        <v/>
      </c>
      <c r="O5444" s="52" t="str">
        <f t="shared" si="856"/>
        <v/>
      </c>
      <c r="P5444" s="88">
        <f t="shared" si="857"/>
        <v>0</v>
      </c>
      <c r="Q5444" s="88">
        <f t="shared" si="858"/>
        <v>0</v>
      </c>
      <c r="R5444" s="88" t="e">
        <f>-IF(Tabla14[[#This Row],[DIAS HABILES O MORA]]&lt;0,(Tabla14[[#This Row],[VALOR PRESTAMO]]*Tabla14[[#This Row],[% INTERES ]]/30*U5444))+Tabla14[[#This Row],[VALOR CUOTAS]]</f>
        <v>#VALUE!</v>
      </c>
      <c r="S5444" s="88">
        <f>-IF(Tabla14[[#This Row],[DIAS HABILES O MORA]]&lt;0,(Tabla14[[#This Row],[VALOR PRESTAMO]]*Tabla14[[#This Row],[% INTERES ]]/30*U5444))</f>
        <v>0</v>
      </c>
      <c r="T5444" s="53" t="e">
        <f>Tabla14[[#This Row],[DEUDA CAPITAL]]+Tabla14[[#This Row],[INTERES  CUOTA]]</f>
        <v>#NUM!</v>
      </c>
      <c r="U5444" s="61" t="str">
        <f t="shared" si="859"/>
        <v/>
      </c>
    </row>
    <row r="5445" spans="9:21" ht="24.75" customHeight="1" x14ac:dyDescent="0.35">
      <c r="I5445" s="42">
        <f t="shared" si="850"/>
        <v>0</v>
      </c>
      <c r="J5445" s="65" t="e">
        <f t="shared" si="851"/>
        <v>#NUM!</v>
      </c>
      <c r="K5445" s="83" t="e">
        <f t="shared" si="852"/>
        <v>#NUM!</v>
      </c>
      <c r="L5445" s="83">
        <f t="shared" si="853"/>
        <v>0</v>
      </c>
      <c r="M5445" s="110" t="str">
        <f t="shared" si="854"/>
        <v/>
      </c>
      <c r="N5445" s="51" t="str">
        <f t="shared" si="855"/>
        <v/>
      </c>
      <c r="O5445" s="52" t="str">
        <f t="shared" si="856"/>
        <v/>
      </c>
      <c r="P5445" s="88">
        <f t="shared" si="857"/>
        <v>0</v>
      </c>
      <c r="Q5445" s="88">
        <f t="shared" si="858"/>
        <v>0</v>
      </c>
      <c r="R5445" s="88" t="e">
        <f>-IF(Tabla14[[#This Row],[DIAS HABILES O MORA]]&lt;0,(Tabla14[[#This Row],[VALOR PRESTAMO]]*Tabla14[[#This Row],[% INTERES ]]/30*U5445))+Tabla14[[#This Row],[VALOR CUOTAS]]</f>
        <v>#VALUE!</v>
      </c>
      <c r="S5445" s="88">
        <f>-IF(Tabla14[[#This Row],[DIAS HABILES O MORA]]&lt;0,(Tabla14[[#This Row],[VALOR PRESTAMO]]*Tabla14[[#This Row],[% INTERES ]]/30*U5445))</f>
        <v>0</v>
      </c>
      <c r="T5445" s="53" t="e">
        <f>Tabla14[[#This Row],[DEUDA CAPITAL]]+Tabla14[[#This Row],[INTERES  CUOTA]]</f>
        <v>#NUM!</v>
      </c>
      <c r="U5445" s="61" t="str">
        <f t="shared" si="859"/>
        <v/>
      </c>
    </row>
    <row r="5446" spans="9:21" ht="24.75" customHeight="1" x14ac:dyDescent="0.35">
      <c r="I5446" s="42">
        <f t="shared" si="850"/>
        <v>0</v>
      </c>
      <c r="J5446" s="65" t="e">
        <f t="shared" si="851"/>
        <v>#NUM!</v>
      </c>
      <c r="K5446" s="83" t="e">
        <f t="shared" si="852"/>
        <v>#NUM!</v>
      </c>
      <c r="L5446" s="83">
        <f t="shared" si="853"/>
        <v>0</v>
      </c>
      <c r="M5446" s="110" t="str">
        <f t="shared" si="854"/>
        <v/>
      </c>
      <c r="N5446" s="51" t="str">
        <f t="shared" si="855"/>
        <v/>
      </c>
      <c r="O5446" s="52" t="str">
        <f t="shared" si="856"/>
        <v/>
      </c>
      <c r="P5446" s="88">
        <f t="shared" si="857"/>
        <v>0</v>
      </c>
      <c r="Q5446" s="88">
        <f t="shared" si="858"/>
        <v>0</v>
      </c>
      <c r="R5446" s="88" t="e">
        <f>-IF(Tabla14[[#This Row],[DIAS HABILES O MORA]]&lt;0,(Tabla14[[#This Row],[VALOR PRESTAMO]]*Tabla14[[#This Row],[% INTERES ]]/30*U5446))+Tabla14[[#This Row],[VALOR CUOTAS]]</f>
        <v>#VALUE!</v>
      </c>
      <c r="S5446" s="88">
        <f>-IF(Tabla14[[#This Row],[DIAS HABILES O MORA]]&lt;0,(Tabla14[[#This Row],[VALOR PRESTAMO]]*Tabla14[[#This Row],[% INTERES ]]/30*U5446))</f>
        <v>0</v>
      </c>
      <c r="T5446" s="53" t="e">
        <f>Tabla14[[#This Row],[DEUDA CAPITAL]]+Tabla14[[#This Row],[INTERES  CUOTA]]</f>
        <v>#NUM!</v>
      </c>
      <c r="U5446" s="61" t="str">
        <f t="shared" si="859"/>
        <v/>
      </c>
    </row>
    <row r="5447" spans="9:21" ht="24.75" customHeight="1" x14ac:dyDescent="0.35">
      <c r="I5447" s="42">
        <f t="shared" si="850"/>
        <v>0</v>
      </c>
      <c r="J5447" s="65" t="e">
        <f t="shared" si="851"/>
        <v>#NUM!</v>
      </c>
      <c r="K5447" s="83" t="e">
        <f t="shared" si="852"/>
        <v>#NUM!</v>
      </c>
      <c r="L5447" s="83">
        <f t="shared" si="853"/>
        <v>0</v>
      </c>
      <c r="M5447" s="110" t="str">
        <f t="shared" si="854"/>
        <v/>
      </c>
      <c r="N5447" s="51" t="str">
        <f t="shared" si="855"/>
        <v/>
      </c>
      <c r="O5447" s="52" t="str">
        <f t="shared" si="856"/>
        <v/>
      </c>
      <c r="P5447" s="88">
        <f t="shared" si="857"/>
        <v>0</v>
      </c>
      <c r="Q5447" s="88">
        <f t="shared" si="858"/>
        <v>0</v>
      </c>
      <c r="R5447" s="88" t="e">
        <f>-IF(Tabla14[[#This Row],[DIAS HABILES O MORA]]&lt;0,(Tabla14[[#This Row],[VALOR PRESTAMO]]*Tabla14[[#This Row],[% INTERES ]]/30*U5447))+Tabla14[[#This Row],[VALOR CUOTAS]]</f>
        <v>#VALUE!</v>
      </c>
      <c r="S5447" s="88">
        <f>-IF(Tabla14[[#This Row],[DIAS HABILES O MORA]]&lt;0,(Tabla14[[#This Row],[VALOR PRESTAMO]]*Tabla14[[#This Row],[% INTERES ]]/30*U5447))</f>
        <v>0</v>
      </c>
      <c r="T5447" s="53" t="e">
        <f>Tabla14[[#This Row],[DEUDA CAPITAL]]+Tabla14[[#This Row],[INTERES  CUOTA]]</f>
        <v>#NUM!</v>
      </c>
      <c r="U5447" s="61" t="str">
        <f t="shared" si="859"/>
        <v/>
      </c>
    </row>
    <row r="5448" spans="9:21" ht="24.75" customHeight="1" x14ac:dyDescent="0.35">
      <c r="I5448" s="42">
        <f t="shared" si="850"/>
        <v>0</v>
      </c>
      <c r="J5448" s="65" t="e">
        <f t="shared" si="851"/>
        <v>#NUM!</v>
      </c>
      <c r="K5448" s="83" t="e">
        <f t="shared" si="852"/>
        <v>#NUM!</v>
      </c>
      <c r="L5448" s="83">
        <f t="shared" si="853"/>
        <v>0</v>
      </c>
      <c r="M5448" s="110" t="str">
        <f t="shared" si="854"/>
        <v/>
      </c>
      <c r="N5448" s="51" t="str">
        <f t="shared" si="855"/>
        <v/>
      </c>
      <c r="O5448" s="52" t="str">
        <f t="shared" si="856"/>
        <v/>
      </c>
      <c r="P5448" s="88">
        <f t="shared" si="857"/>
        <v>0</v>
      </c>
      <c r="Q5448" s="88">
        <f t="shared" si="858"/>
        <v>0</v>
      </c>
      <c r="R5448" s="88" t="e">
        <f>-IF(Tabla14[[#This Row],[DIAS HABILES O MORA]]&lt;0,(Tabla14[[#This Row],[VALOR PRESTAMO]]*Tabla14[[#This Row],[% INTERES ]]/30*U5448))+Tabla14[[#This Row],[VALOR CUOTAS]]</f>
        <v>#VALUE!</v>
      </c>
      <c r="S5448" s="88">
        <f>-IF(Tabla14[[#This Row],[DIAS HABILES O MORA]]&lt;0,(Tabla14[[#This Row],[VALOR PRESTAMO]]*Tabla14[[#This Row],[% INTERES ]]/30*U5448))</f>
        <v>0</v>
      </c>
      <c r="T5448" s="53" t="e">
        <f>Tabla14[[#This Row],[DEUDA CAPITAL]]+Tabla14[[#This Row],[INTERES  CUOTA]]</f>
        <v>#NUM!</v>
      </c>
      <c r="U5448" s="61" t="str">
        <f t="shared" si="859"/>
        <v/>
      </c>
    </row>
    <row r="5449" spans="9:21" ht="24.75" customHeight="1" x14ac:dyDescent="0.35">
      <c r="I5449" s="42">
        <f t="shared" si="850"/>
        <v>0</v>
      </c>
      <c r="J5449" s="65" t="e">
        <f t="shared" si="851"/>
        <v>#NUM!</v>
      </c>
      <c r="K5449" s="83" t="e">
        <f t="shared" si="852"/>
        <v>#NUM!</v>
      </c>
      <c r="L5449" s="83">
        <f t="shared" si="853"/>
        <v>0</v>
      </c>
      <c r="M5449" s="110" t="str">
        <f t="shared" si="854"/>
        <v/>
      </c>
      <c r="N5449" s="51" t="str">
        <f t="shared" si="855"/>
        <v/>
      </c>
      <c r="O5449" s="52" t="str">
        <f t="shared" si="856"/>
        <v/>
      </c>
      <c r="P5449" s="88">
        <f t="shared" si="857"/>
        <v>0</v>
      </c>
      <c r="Q5449" s="88">
        <f t="shared" si="858"/>
        <v>0</v>
      </c>
      <c r="R5449" s="88" t="e">
        <f>-IF(Tabla14[[#This Row],[DIAS HABILES O MORA]]&lt;0,(Tabla14[[#This Row],[VALOR PRESTAMO]]*Tabla14[[#This Row],[% INTERES ]]/30*U5449))+Tabla14[[#This Row],[VALOR CUOTAS]]</f>
        <v>#VALUE!</v>
      </c>
      <c r="S5449" s="88">
        <f>-IF(Tabla14[[#This Row],[DIAS HABILES O MORA]]&lt;0,(Tabla14[[#This Row],[VALOR PRESTAMO]]*Tabla14[[#This Row],[% INTERES ]]/30*U5449))</f>
        <v>0</v>
      </c>
      <c r="T5449" s="53" t="e">
        <f>Tabla14[[#This Row],[DEUDA CAPITAL]]+Tabla14[[#This Row],[INTERES  CUOTA]]</f>
        <v>#NUM!</v>
      </c>
      <c r="U5449" s="61" t="str">
        <f t="shared" si="859"/>
        <v/>
      </c>
    </row>
    <row r="5450" spans="9:21" ht="24.75" customHeight="1" x14ac:dyDescent="0.35">
      <c r="I5450" s="42">
        <f t="shared" si="850"/>
        <v>0</v>
      </c>
      <c r="J5450" s="65" t="e">
        <f t="shared" si="851"/>
        <v>#NUM!</v>
      </c>
      <c r="K5450" s="83" t="e">
        <f t="shared" si="852"/>
        <v>#NUM!</v>
      </c>
      <c r="L5450" s="83">
        <f t="shared" si="853"/>
        <v>0</v>
      </c>
      <c r="M5450" s="110" t="str">
        <f t="shared" si="854"/>
        <v/>
      </c>
      <c r="N5450" s="51" t="str">
        <f t="shared" si="855"/>
        <v/>
      </c>
      <c r="O5450" s="52" t="str">
        <f t="shared" si="856"/>
        <v/>
      </c>
      <c r="P5450" s="88">
        <f t="shared" si="857"/>
        <v>0</v>
      </c>
      <c r="Q5450" s="88">
        <f t="shared" si="858"/>
        <v>0</v>
      </c>
      <c r="R5450" s="88" t="e">
        <f>-IF(Tabla14[[#This Row],[DIAS HABILES O MORA]]&lt;0,(Tabla14[[#This Row],[VALOR PRESTAMO]]*Tabla14[[#This Row],[% INTERES ]]/30*U5450))+Tabla14[[#This Row],[VALOR CUOTAS]]</f>
        <v>#VALUE!</v>
      </c>
      <c r="S5450" s="88">
        <f>-IF(Tabla14[[#This Row],[DIAS HABILES O MORA]]&lt;0,(Tabla14[[#This Row],[VALOR PRESTAMO]]*Tabla14[[#This Row],[% INTERES ]]/30*U5450))</f>
        <v>0</v>
      </c>
      <c r="T5450" s="53" t="e">
        <f>Tabla14[[#This Row],[DEUDA CAPITAL]]+Tabla14[[#This Row],[INTERES  CUOTA]]</f>
        <v>#NUM!</v>
      </c>
      <c r="U5450" s="61" t="str">
        <f t="shared" si="859"/>
        <v/>
      </c>
    </row>
    <row r="5451" spans="9:21" ht="24.75" customHeight="1" x14ac:dyDescent="0.35">
      <c r="I5451" s="42">
        <f t="shared" si="850"/>
        <v>0</v>
      </c>
      <c r="J5451" s="65" t="e">
        <f t="shared" si="851"/>
        <v>#NUM!</v>
      </c>
      <c r="K5451" s="83" t="e">
        <f t="shared" si="852"/>
        <v>#NUM!</v>
      </c>
      <c r="L5451" s="83">
        <f t="shared" si="853"/>
        <v>0</v>
      </c>
      <c r="M5451" s="110" t="str">
        <f t="shared" si="854"/>
        <v/>
      </c>
      <c r="N5451" s="51" t="str">
        <f t="shared" si="855"/>
        <v/>
      </c>
      <c r="O5451" s="52" t="str">
        <f t="shared" si="856"/>
        <v/>
      </c>
      <c r="P5451" s="88">
        <f t="shared" si="857"/>
        <v>0</v>
      </c>
      <c r="Q5451" s="88">
        <f t="shared" si="858"/>
        <v>0</v>
      </c>
      <c r="R5451" s="88" t="e">
        <f>-IF(Tabla14[[#This Row],[DIAS HABILES O MORA]]&lt;0,(Tabla14[[#This Row],[VALOR PRESTAMO]]*Tabla14[[#This Row],[% INTERES ]]/30*U5451))+Tabla14[[#This Row],[VALOR CUOTAS]]</f>
        <v>#VALUE!</v>
      </c>
      <c r="S5451" s="88">
        <f>-IF(Tabla14[[#This Row],[DIAS HABILES O MORA]]&lt;0,(Tabla14[[#This Row],[VALOR PRESTAMO]]*Tabla14[[#This Row],[% INTERES ]]/30*U5451))</f>
        <v>0</v>
      </c>
      <c r="T5451" s="53" t="e">
        <f>Tabla14[[#This Row],[DEUDA CAPITAL]]+Tabla14[[#This Row],[INTERES  CUOTA]]</f>
        <v>#NUM!</v>
      </c>
      <c r="U5451" s="61" t="str">
        <f t="shared" si="859"/>
        <v/>
      </c>
    </row>
    <row r="5452" spans="9:21" ht="24.75" customHeight="1" x14ac:dyDescent="0.35">
      <c r="I5452" s="42">
        <f t="shared" si="850"/>
        <v>0</v>
      </c>
      <c r="J5452" s="65" t="e">
        <f t="shared" si="851"/>
        <v>#NUM!</v>
      </c>
      <c r="K5452" s="83" t="e">
        <f t="shared" si="852"/>
        <v>#NUM!</v>
      </c>
      <c r="L5452" s="83">
        <f t="shared" si="853"/>
        <v>0</v>
      </c>
      <c r="M5452" s="110" t="str">
        <f t="shared" si="854"/>
        <v/>
      </c>
      <c r="N5452" s="51" t="str">
        <f t="shared" si="855"/>
        <v/>
      </c>
      <c r="O5452" s="52" t="str">
        <f t="shared" si="856"/>
        <v/>
      </c>
      <c r="P5452" s="88">
        <f t="shared" si="857"/>
        <v>0</v>
      </c>
      <c r="Q5452" s="88">
        <f t="shared" si="858"/>
        <v>0</v>
      </c>
      <c r="R5452" s="88" t="e">
        <f>-IF(Tabla14[[#This Row],[DIAS HABILES O MORA]]&lt;0,(Tabla14[[#This Row],[VALOR PRESTAMO]]*Tabla14[[#This Row],[% INTERES ]]/30*U5452))+Tabla14[[#This Row],[VALOR CUOTAS]]</f>
        <v>#VALUE!</v>
      </c>
      <c r="S5452" s="88">
        <f>-IF(Tabla14[[#This Row],[DIAS HABILES O MORA]]&lt;0,(Tabla14[[#This Row],[VALOR PRESTAMO]]*Tabla14[[#This Row],[% INTERES ]]/30*U5452))</f>
        <v>0</v>
      </c>
      <c r="T5452" s="53" t="e">
        <f>Tabla14[[#This Row],[DEUDA CAPITAL]]+Tabla14[[#This Row],[INTERES  CUOTA]]</f>
        <v>#NUM!</v>
      </c>
      <c r="U5452" s="61" t="str">
        <f t="shared" si="859"/>
        <v/>
      </c>
    </row>
    <row r="5453" spans="9:21" ht="24.75" customHeight="1" x14ac:dyDescent="0.35">
      <c r="I5453" s="42">
        <f t="shared" si="850"/>
        <v>0</v>
      </c>
      <c r="J5453" s="65" t="e">
        <f t="shared" si="851"/>
        <v>#NUM!</v>
      </c>
      <c r="K5453" s="83" t="e">
        <f t="shared" si="852"/>
        <v>#NUM!</v>
      </c>
      <c r="L5453" s="83">
        <f t="shared" si="853"/>
        <v>0</v>
      </c>
      <c r="M5453" s="110" t="str">
        <f t="shared" si="854"/>
        <v/>
      </c>
      <c r="N5453" s="51" t="str">
        <f t="shared" si="855"/>
        <v/>
      </c>
      <c r="O5453" s="52" t="str">
        <f t="shared" si="856"/>
        <v/>
      </c>
      <c r="P5453" s="88">
        <f t="shared" si="857"/>
        <v>0</v>
      </c>
      <c r="Q5453" s="88">
        <f t="shared" si="858"/>
        <v>0</v>
      </c>
      <c r="R5453" s="88" t="e">
        <f>-IF(Tabla14[[#This Row],[DIAS HABILES O MORA]]&lt;0,(Tabla14[[#This Row],[VALOR PRESTAMO]]*Tabla14[[#This Row],[% INTERES ]]/30*U5453))+Tabla14[[#This Row],[VALOR CUOTAS]]</f>
        <v>#VALUE!</v>
      </c>
      <c r="S5453" s="88">
        <f>-IF(Tabla14[[#This Row],[DIAS HABILES O MORA]]&lt;0,(Tabla14[[#This Row],[VALOR PRESTAMO]]*Tabla14[[#This Row],[% INTERES ]]/30*U5453))</f>
        <v>0</v>
      </c>
      <c r="T5453" s="53" t="e">
        <f>Tabla14[[#This Row],[DEUDA CAPITAL]]+Tabla14[[#This Row],[INTERES  CUOTA]]</f>
        <v>#NUM!</v>
      </c>
      <c r="U5453" s="61" t="str">
        <f t="shared" si="859"/>
        <v/>
      </c>
    </row>
    <row r="5454" spans="9:21" ht="24.75" customHeight="1" x14ac:dyDescent="0.35">
      <c r="I5454" s="42">
        <f t="shared" si="850"/>
        <v>0</v>
      </c>
      <c r="J5454" s="65" t="e">
        <f t="shared" si="851"/>
        <v>#NUM!</v>
      </c>
      <c r="K5454" s="83" t="e">
        <f t="shared" si="852"/>
        <v>#NUM!</v>
      </c>
      <c r="L5454" s="83">
        <f t="shared" si="853"/>
        <v>0</v>
      </c>
      <c r="M5454" s="110" t="str">
        <f t="shared" si="854"/>
        <v/>
      </c>
      <c r="N5454" s="51" t="str">
        <f t="shared" si="855"/>
        <v/>
      </c>
      <c r="O5454" s="52" t="str">
        <f t="shared" si="856"/>
        <v/>
      </c>
      <c r="P5454" s="88">
        <f t="shared" si="857"/>
        <v>0</v>
      </c>
      <c r="Q5454" s="88">
        <f t="shared" si="858"/>
        <v>0</v>
      </c>
      <c r="R5454" s="88" t="e">
        <f>-IF(Tabla14[[#This Row],[DIAS HABILES O MORA]]&lt;0,(Tabla14[[#This Row],[VALOR PRESTAMO]]*Tabla14[[#This Row],[% INTERES ]]/30*U5454))+Tabla14[[#This Row],[VALOR CUOTAS]]</f>
        <v>#VALUE!</v>
      </c>
      <c r="S5454" s="88">
        <f>-IF(Tabla14[[#This Row],[DIAS HABILES O MORA]]&lt;0,(Tabla14[[#This Row],[VALOR PRESTAMO]]*Tabla14[[#This Row],[% INTERES ]]/30*U5454))</f>
        <v>0</v>
      </c>
      <c r="T5454" s="53" t="e">
        <f>Tabla14[[#This Row],[DEUDA CAPITAL]]+Tabla14[[#This Row],[INTERES  CUOTA]]</f>
        <v>#NUM!</v>
      </c>
      <c r="U5454" s="61" t="str">
        <f t="shared" si="859"/>
        <v/>
      </c>
    </row>
    <row r="5455" spans="9:21" ht="24.75" customHeight="1" x14ac:dyDescent="0.35">
      <c r="I5455" s="42">
        <f t="shared" si="850"/>
        <v>0</v>
      </c>
      <c r="J5455" s="65" t="e">
        <f t="shared" si="851"/>
        <v>#NUM!</v>
      </c>
      <c r="K5455" s="83" t="e">
        <f t="shared" si="852"/>
        <v>#NUM!</v>
      </c>
      <c r="L5455" s="83">
        <f t="shared" si="853"/>
        <v>0</v>
      </c>
      <c r="M5455" s="110" t="str">
        <f t="shared" si="854"/>
        <v/>
      </c>
      <c r="N5455" s="51" t="str">
        <f t="shared" si="855"/>
        <v/>
      </c>
      <c r="O5455" s="52" t="str">
        <f t="shared" si="856"/>
        <v/>
      </c>
      <c r="P5455" s="88">
        <f t="shared" si="857"/>
        <v>0</v>
      </c>
      <c r="Q5455" s="88">
        <f t="shared" si="858"/>
        <v>0</v>
      </c>
      <c r="R5455" s="88" t="e">
        <f>-IF(Tabla14[[#This Row],[DIAS HABILES O MORA]]&lt;0,(Tabla14[[#This Row],[VALOR PRESTAMO]]*Tabla14[[#This Row],[% INTERES ]]/30*U5455))+Tabla14[[#This Row],[VALOR CUOTAS]]</f>
        <v>#VALUE!</v>
      </c>
      <c r="S5455" s="88">
        <f>-IF(Tabla14[[#This Row],[DIAS HABILES O MORA]]&lt;0,(Tabla14[[#This Row],[VALOR PRESTAMO]]*Tabla14[[#This Row],[% INTERES ]]/30*U5455))</f>
        <v>0</v>
      </c>
      <c r="T5455" s="53" t="e">
        <f>Tabla14[[#This Row],[DEUDA CAPITAL]]+Tabla14[[#This Row],[INTERES  CUOTA]]</f>
        <v>#NUM!</v>
      </c>
      <c r="U5455" s="61" t="str">
        <f t="shared" si="859"/>
        <v/>
      </c>
    </row>
    <row r="5456" spans="9:21" ht="24.75" customHeight="1" x14ac:dyDescent="0.35">
      <c r="I5456" s="42">
        <f t="shared" ref="I5456:I5519" si="860">IF(C5456&lt;0,"",IF(Q5456=0,0,IF(G5456=0,H5456+1,IF(H5456&lt;G5456,H5456+1,IF(G5456=H5456,0)))))</f>
        <v>0</v>
      </c>
      <c r="J5456" s="65" t="e">
        <f t="shared" ref="J5456:J5519" si="861">IF(F5456="SOLO INTERES",Q5456*D5456,-IPMT(D5456,I5456,G5456,C5456))</f>
        <v>#NUM!</v>
      </c>
      <c r="K5456" s="83" t="e">
        <f t="shared" ref="K5456:K5519" si="862">IF(F5456="SOLO INTERES",0,-PPMT(D5456,I5456,G5456,C5456))</f>
        <v>#NUM!</v>
      </c>
      <c r="L5456" s="83">
        <f t="shared" ref="L5456:L5519" si="863">IF(F5456="SOLO INTERES",SUM(Y5456:AAE5456),IFERROR(-CUMIPMT(D5456,G5456,C5456,1,H5456,0),0)+SUM(Y5456:WY5456))</f>
        <v>0</v>
      </c>
      <c r="M5456" s="110" t="str">
        <f t="shared" ref="M5456:M5519" si="864">IFERROR(IF(F5456="SOLO INTERES",Q5456*D5456,-PMT(D5456,G5456,C5456,0)),"")</f>
        <v/>
      </c>
      <c r="N5456" s="51" t="str">
        <f t="shared" ref="N5456:N5519" si="865">IF(Q5456=0,"",IF(E5456="MENSUAL",EDATE(B5456,I5456),IF(E5456="QUINCENAL",B5456+(I5456*15),IF(E5456="SEMANAL",B5456+(I5456*7)))))</f>
        <v/>
      </c>
      <c r="O5456" s="52" t="str">
        <f t="shared" ref="O5456:O5519" si="866">IF(C5456=0,"",IF(Q5456&lt;1,"PAGADO",IF(N5456=$A$3,"COBRAR HOY",IF(N5456&lt;$A$3,"EN MORA",IF(N5456&gt;$A$3,"AL DIA")))))</f>
        <v/>
      </c>
      <c r="P5456" s="88">
        <f t="shared" ref="P5456:P5519" si="867">IFERROR(-CUMPRINC(D5456,G5456,C5456,1,H5456,0),0)+W5456</f>
        <v>0</v>
      </c>
      <c r="Q5456" s="88">
        <f t="shared" ref="Q5456:Q5519" si="868">IFERROR(C5456-P5456,"")</f>
        <v>0</v>
      </c>
      <c r="R5456" s="88" t="e">
        <f>-IF(Tabla14[[#This Row],[DIAS HABILES O MORA]]&lt;0,(Tabla14[[#This Row],[VALOR PRESTAMO]]*Tabla14[[#This Row],[% INTERES ]]/30*U5456))+Tabla14[[#This Row],[VALOR CUOTAS]]</f>
        <v>#VALUE!</v>
      </c>
      <c r="S5456" s="88">
        <f>-IF(Tabla14[[#This Row],[DIAS HABILES O MORA]]&lt;0,(Tabla14[[#This Row],[VALOR PRESTAMO]]*Tabla14[[#This Row],[% INTERES ]]/30*U5456))</f>
        <v>0</v>
      </c>
      <c r="T5456" s="53" t="e">
        <f>Tabla14[[#This Row],[DEUDA CAPITAL]]+Tabla14[[#This Row],[INTERES  CUOTA]]</f>
        <v>#NUM!</v>
      </c>
      <c r="U5456" s="61" t="str">
        <f t="shared" ref="U5456:U5519" si="869">IF(O5456="PAGADO","",IFERROR(-IF(C5456=0,"",$A$3-N5456),""))</f>
        <v/>
      </c>
    </row>
    <row r="5457" spans="9:21" ht="24.75" customHeight="1" x14ac:dyDescent="0.35">
      <c r="I5457" s="42">
        <f t="shared" si="860"/>
        <v>0</v>
      </c>
      <c r="J5457" s="65" t="e">
        <f t="shared" si="861"/>
        <v>#NUM!</v>
      </c>
      <c r="K5457" s="83" t="e">
        <f t="shared" si="862"/>
        <v>#NUM!</v>
      </c>
      <c r="L5457" s="83">
        <f t="shared" si="863"/>
        <v>0</v>
      </c>
      <c r="M5457" s="110" t="str">
        <f t="shared" si="864"/>
        <v/>
      </c>
      <c r="N5457" s="51" t="str">
        <f t="shared" si="865"/>
        <v/>
      </c>
      <c r="O5457" s="52" t="str">
        <f t="shared" si="866"/>
        <v/>
      </c>
      <c r="P5457" s="88">
        <f t="shared" si="867"/>
        <v>0</v>
      </c>
      <c r="Q5457" s="88">
        <f t="shared" si="868"/>
        <v>0</v>
      </c>
      <c r="R5457" s="88" t="e">
        <f>-IF(Tabla14[[#This Row],[DIAS HABILES O MORA]]&lt;0,(Tabla14[[#This Row],[VALOR PRESTAMO]]*Tabla14[[#This Row],[% INTERES ]]/30*U5457))+Tabla14[[#This Row],[VALOR CUOTAS]]</f>
        <v>#VALUE!</v>
      </c>
      <c r="S5457" s="88">
        <f>-IF(Tabla14[[#This Row],[DIAS HABILES O MORA]]&lt;0,(Tabla14[[#This Row],[VALOR PRESTAMO]]*Tabla14[[#This Row],[% INTERES ]]/30*U5457))</f>
        <v>0</v>
      </c>
      <c r="T5457" s="53" t="e">
        <f>Tabla14[[#This Row],[DEUDA CAPITAL]]+Tabla14[[#This Row],[INTERES  CUOTA]]</f>
        <v>#NUM!</v>
      </c>
      <c r="U5457" s="61" t="str">
        <f t="shared" si="869"/>
        <v/>
      </c>
    </row>
    <row r="5458" spans="9:21" ht="24.75" customHeight="1" x14ac:dyDescent="0.35">
      <c r="I5458" s="42">
        <f t="shared" si="860"/>
        <v>0</v>
      </c>
      <c r="J5458" s="65" t="e">
        <f t="shared" si="861"/>
        <v>#NUM!</v>
      </c>
      <c r="K5458" s="83" t="e">
        <f t="shared" si="862"/>
        <v>#NUM!</v>
      </c>
      <c r="L5458" s="83">
        <f t="shared" si="863"/>
        <v>0</v>
      </c>
      <c r="M5458" s="110" t="str">
        <f t="shared" si="864"/>
        <v/>
      </c>
      <c r="N5458" s="51" t="str">
        <f t="shared" si="865"/>
        <v/>
      </c>
      <c r="O5458" s="52" t="str">
        <f t="shared" si="866"/>
        <v/>
      </c>
      <c r="P5458" s="88">
        <f t="shared" si="867"/>
        <v>0</v>
      </c>
      <c r="Q5458" s="88">
        <f t="shared" si="868"/>
        <v>0</v>
      </c>
      <c r="R5458" s="88" t="e">
        <f>-IF(Tabla14[[#This Row],[DIAS HABILES O MORA]]&lt;0,(Tabla14[[#This Row],[VALOR PRESTAMO]]*Tabla14[[#This Row],[% INTERES ]]/30*U5458))+Tabla14[[#This Row],[VALOR CUOTAS]]</f>
        <v>#VALUE!</v>
      </c>
      <c r="S5458" s="88">
        <f>-IF(Tabla14[[#This Row],[DIAS HABILES O MORA]]&lt;0,(Tabla14[[#This Row],[VALOR PRESTAMO]]*Tabla14[[#This Row],[% INTERES ]]/30*U5458))</f>
        <v>0</v>
      </c>
      <c r="T5458" s="53" t="e">
        <f>Tabla14[[#This Row],[DEUDA CAPITAL]]+Tabla14[[#This Row],[INTERES  CUOTA]]</f>
        <v>#NUM!</v>
      </c>
      <c r="U5458" s="61" t="str">
        <f t="shared" si="869"/>
        <v/>
      </c>
    </row>
    <row r="5459" spans="9:21" ht="24.75" customHeight="1" x14ac:dyDescent="0.35">
      <c r="I5459" s="42">
        <f t="shared" si="860"/>
        <v>0</v>
      </c>
      <c r="J5459" s="65" t="e">
        <f t="shared" si="861"/>
        <v>#NUM!</v>
      </c>
      <c r="K5459" s="83" t="e">
        <f t="shared" si="862"/>
        <v>#NUM!</v>
      </c>
      <c r="L5459" s="83">
        <f t="shared" si="863"/>
        <v>0</v>
      </c>
      <c r="M5459" s="110" t="str">
        <f t="shared" si="864"/>
        <v/>
      </c>
      <c r="N5459" s="51" t="str">
        <f t="shared" si="865"/>
        <v/>
      </c>
      <c r="O5459" s="52" t="str">
        <f t="shared" si="866"/>
        <v/>
      </c>
      <c r="P5459" s="88">
        <f t="shared" si="867"/>
        <v>0</v>
      </c>
      <c r="Q5459" s="88">
        <f t="shared" si="868"/>
        <v>0</v>
      </c>
      <c r="R5459" s="88" t="e">
        <f>-IF(Tabla14[[#This Row],[DIAS HABILES O MORA]]&lt;0,(Tabla14[[#This Row],[VALOR PRESTAMO]]*Tabla14[[#This Row],[% INTERES ]]/30*U5459))+Tabla14[[#This Row],[VALOR CUOTAS]]</f>
        <v>#VALUE!</v>
      </c>
      <c r="S5459" s="88">
        <f>-IF(Tabla14[[#This Row],[DIAS HABILES O MORA]]&lt;0,(Tabla14[[#This Row],[VALOR PRESTAMO]]*Tabla14[[#This Row],[% INTERES ]]/30*U5459))</f>
        <v>0</v>
      </c>
      <c r="T5459" s="53" t="e">
        <f>Tabla14[[#This Row],[DEUDA CAPITAL]]+Tabla14[[#This Row],[INTERES  CUOTA]]</f>
        <v>#NUM!</v>
      </c>
      <c r="U5459" s="61" t="str">
        <f t="shared" si="869"/>
        <v/>
      </c>
    </row>
    <row r="5460" spans="9:21" ht="24.75" customHeight="1" x14ac:dyDescent="0.35">
      <c r="I5460" s="42">
        <f t="shared" si="860"/>
        <v>0</v>
      </c>
      <c r="J5460" s="65" t="e">
        <f t="shared" si="861"/>
        <v>#NUM!</v>
      </c>
      <c r="K5460" s="83" t="e">
        <f t="shared" si="862"/>
        <v>#NUM!</v>
      </c>
      <c r="L5460" s="83">
        <f t="shared" si="863"/>
        <v>0</v>
      </c>
      <c r="M5460" s="110" t="str">
        <f t="shared" si="864"/>
        <v/>
      </c>
      <c r="N5460" s="51" t="str">
        <f t="shared" si="865"/>
        <v/>
      </c>
      <c r="O5460" s="52" t="str">
        <f t="shared" si="866"/>
        <v/>
      </c>
      <c r="P5460" s="88">
        <f t="shared" si="867"/>
        <v>0</v>
      </c>
      <c r="Q5460" s="88">
        <f t="shared" si="868"/>
        <v>0</v>
      </c>
      <c r="R5460" s="88" t="e">
        <f>-IF(Tabla14[[#This Row],[DIAS HABILES O MORA]]&lt;0,(Tabla14[[#This Row],[VALOR PRESTAMO]]*Tabla14[[#This Row],[% INTERES ]]/30*U5460))+Tabla14[[#This Row],[VALOR CUOTAS]]</f>
        <v>#VALUE!</v>
      </c>
      <c r="S5460" s="88">
        <f>-IF(Tabla14[[#This Row],[DIAS HABILES O MORA]]&lt;0,(Tabla14[[#This Row],[VALOR PRESTAMO]]*Tabla14[[#This Row],[% INTERES ]]/30*U5460))</f>
        <v>0</v>
      </c>
      <c r="T5460" s="53" t="e">
        <f>Tabla14[[#This Row],[DEUDA CAPITAL]]+Tabla14[[#This Row],[INTERES  CUOTA]]</f>
        <v>#NUM!</v>
      </c>
      <c r="U5460" s="61" t="str">
        <f t="shared" si="869"/>
        <v/>
      </c>
    </row>
    <row r="5461" spans="9:21" ht="24.75" customHeight="1" x14ac:dyDescent="0.35">
      <c r="I5461" s="42">
        <f t="shared" si="860"/>
        <v>0</v>
      </c>
      <c r="J5461" s="65" t="e">
        <f t="shared" si="861"/>
        <v>#NUM!</v>
      </c>
      <c r="K5461" s="83" t="e">
        <f t="shared" si="862"/>
        <v>#NUM!</v>
      </c>
      <c r="L5461" s="83">
        <f t="shared" si="863"/>
        <v>0</v>
      </c>
      <c r="M5461" s="110" t="str">
        <f t="shared" si="864"/>
        <v/>
      </c>
      <c r="N5461" s="51" t="str">
        <f t="shared" si="865"/>
        <v/>
      </c>
      <c r="O5461" s="52" t="str">
        <f t="shared" si="866"/>
        <v/>
      </c>
      <c r="P5461" s="88">
        <f t="shared" si="867"/>
        <v>0</v>
      </c>
      <c r="Q5461" s="88">
        <f t="shared" si="868"/>
        <v>0</v>
      </c>
      <c r="R5461" s="88" t="e">
        <f>-IF(Tabla14[[#This Row],[DIAS HABILES O MORA]]&lt;0,(Tabla14[[#This Row],[VALOR PRESTAMO]]*Tabla14[[#This Row],[% INTERES ]]/30*U5461))+Tabla14[[#This Row],[VALOR CUOTAS]]</f>
        <v>#VALUE!</v>
      </c>
      <c r="S5461" s="88">
        <f>-IF(Tabla14[[#This Row],[DIAS HABILES O MORA]]&lt;0,(Tabla14[[#This Row],[VALOR PRESTAMO]]*Tabla14[[#This Row],[% INTERES ]]/30*U5461))</f>
        <v>0</v>
      </c>
      <c r="T5461" s="53" t="e">
        <f>Tabla14[[#This Row],[DEUDA CAPITAL]]+Tabla14[[#This Row],[INTERES  CUOTA]]</f>
        <v>#NUM!</v>
      </c>
      <c r="U5461" s="61" t="str">
        <f t="shared" si="869"/>
        <v/>
      </c>
    </row>
    <row r="5462" spans="9:21" ht="24.75" customHeight="1" x14ac:dyDescent="0.35">
      <c r="I5462" s="42">
        <f t="shared" si="860"/>
        <v>0</v>
      </c>
      <c r="J5462" s="65" t="e">
        <f t="shared" si="861"/>
        <v>#NUM!</v>
      </c>
      <c r="K5462" s="83" t="e">
        <f t="shared" si="862"/>
        <v>#NUM!</v>
      </c>
      <c r="L5462" s="83">
        <f t="shared" si="863"/>
        <v>0</v>
      </c>
      <c r="M5462" s="110" t="str">
        <f t="shared" si="864"/>
        <v/>
      </c>
      <c r="N5462" s="51" t="str">
        <f t="shared" si="865"/>
        <v/>
      </c>
      <c r="O5462" s="52" t="str">
        <f t="shared" si="866"/>
        <v/>
      </c>
      <c r="P5462" s="88">
        <f t="shared" si="867"/>
        <v>0</v>
      </c>
      <c r="Q5462" s="88">
        <f t="shared" si="868"/>
        <v>0</v>
      </c>
      <c r="R5462" s="88" t="e">
        <f>-IF(Tabla14[[#This Row],[DIAS HABILES O MORA]]&lt;0,(Tabla14[[#This Row],[VALOR PRESTAMO]]*Tabla14[[#This Row],[% INTERES ]]/30*U5462))+Tabla14[[#This Row],[VALOR CUOTAS]]</f>
        <v>#VALUE!</v>
      </c>
      <c r="S5462" s="88">
        <f>-IF(Tabla14[[#This Row],[DIAS HABILES O MORA]]&lt;0,(Tabla14[[#This Row],[VALOR PRESTAMO]]*Tabla14[[#This Row],[% INTERES ]]/30*U5462))</f>
        <v>0</v>
      </c>
      <c r="T5462" s="53" t="e">
        <f>Tabla14[[#This Row],[DEUDA CAPITAL]]+Tabla14[[#This Row],[INTERES  CUOTA]]</f>
        <v>#NUM!</v>
      </c>
      <c r="U5462" s="61" t="str">
        <f t="shared" si="869"/>
        <v/>
      </c>
    </row>
    <row r="5463" spans="9:21" ht="24.75" customHeight="1" x14ac:dyDescent="0.35">
      <c r="I5463" s="42">
        <f t="shared" si="860"/>
        <v>0</v>
      </c>
      <c r="J5463" s="65" t="e">
        <f t="shared" si="861"/>
        <v>#NUM!</v>
      </c>
      <c r="K5463" s="83" t="e">
        <f t="shared" si="862"/>
        <v>#NUM!</v>
      </c>
      <c r="L5463" s="83">
        <f t="shared" si="863"/>
        <v>0</v>
      </c>
      <c r="M5463" s="110" t="str">
        <f t="shared" si="864"/>
        <v/>
      </c>
      <c r="N5463" s="51" t="str">
        <f t="shared" si="865"/>
        <v/>
      </c>
      <c r="O5463" s="52" t="str">
        <f t="shared" si="866"/>
        <v/>
      </c>
      <c r="P5463" s="88">
        <f t="shared" si="867"/>
        <v>0</v>
      </c>
      <c r="Q5463" s="88">
        <f t="shared" si="868"/>
        <v>0</v>
      </c>
      <c r="R5463" s="88" t="e">
        <f>-IF(Tabla14[[#This Row],[DIAS HABILES O MORA]]&lt;0,(Tabla14[[#This Row],[VALOR PRESTAMO]]*Tabla14[[#This Row],[% INTERES ]]/30*U5463))+Tabla14[[#This Row],[VALOR CUOTAS]]</f>
        <v>#VALUE!</v>
      </c>
      <c r="S5463" s="88">
        <f>-IF(Tabla14[[#This Row],[DIAS HABILES O MORA]]&lt;0,(Tabla14[[#This Row],[VALOR PRESTAMO]]*Tabla14[[#This Row],[% INTERES ]]/30*U5463))</f>
        <v>0</v>
      </c>
      <c r="T5463" s="53" t="e">
        <f>Tabla14[[#This Row],[DEUDA CAPITAL]]+Tabla14[[#This Row],[INTERES  CUOTA]]</f>
        <v>#NUM!</v>
      </c>
      <c r="U5463" s="61" t="str">
        <f t="shared" si="869"/>
        <v/>
      </c>
    </row>
    <row r="5464" spans="9:21" ht="24.75" customHeight="1" x14ac:dyDescent="0.35">
      <c r="I5464" s="42">
        <f t="shared" si="860"/>
        <v>0</v>
      </c>
      <c r="J5464" s="65" t="e">
        <f t="shared" si="861"/>
        <v>#NUM!</v>
      </c>
      <c r="K5464" s="83" t="e">
        <f t="shared" si="862"/>
        <v>#NUM!</v>
      </c>
      <c r="L5464" s="83">
        <f t="shared" si="863"/>
        <v>0</v>
      </c>
      <c r="M5464" s="110" t="str">
        <f t="shared" si="864"/>
        <v/>
      </c>
      <c r="N5464" s="51" t="str">
        <f t="shared" si="865"/>
        <v/>
      </c>
      <c r="O5464" s="52" t="str">
        <f t="shared" si="866"/>
        <v/>
      </c>
      <c r="P5464" s="88">
        <f t="shared" si="867"/>
        <v>0</v>
      </c>
      <c r="Q5464" s="88">
        <f t="shared" si="868"/>
        <v>0</v>
      </c>
      <c r="R5464" s="88" t="e">
        <f>-IF(Tabla14[[#This Row],[DIAS HABILES O MORA]]&lt;0,(Tabla14[[#This Row],[VALOR PRESTAMO]]*Tabla14[[#This Row],[% INTERES ]]/30*U5464))+Tabla14[[#This Row],[VALOR CUOTAS]]</f>
        <v>#VALUE!</v>
      </c>
      <c r="S5464" s="88">
        <f>-IF(Tabla14[[#This Row],[DIAS HABILES O MORA]]&lt;0,(Tabla14[[#This Row],[VALOR PRESTAMO]]*Tabla14[[#This Row],[% INTERES ]]/30*U5464))</f>
        <v>0</v>
      </c>
      <c r="T5464" s="53" t="e">
        <f>Tabla14[[#This Row],[DEUDA CAPITAL]]+Tabla14[[#This Row],[INTERES  CUOTA]]</f>
        <v>#NUM!</v>
      </c>
      <c r="U5464" s="61" t="str">
        <f t="shared" si="869"/>
        <v/>
      </c>
    </row>
    <row r="5465" spans="9:21" ht="24.75" customHeight="1" x14ac:dyDescent="0.35">
      <c r="I5465" s="42">
        <f t="shared" si="860"/>
        <v>0</v>
      </c>
      <c r="J5465" s="65" t="e">
        <f t="shared" si="861"/>
        <v>#NUM!</v>
      </c>
      <c r="K5465" s="83" t="e">
        <f t="shared" si="862"/>
        <v>#NUM!</v>
      </c>
      <c r="L5465" s="83">
        <f t="shared" si="863"/>
        <v>0</v>
      </c>
      <c r="M5465" s="110" t="str">
        <f t="shared" si="864"/>
        <v/>
      </c>
      <c r="N5465" s="51" t="str">
        <f t="shared" si="865"/>
        <v/>
      </c>
      <c r="O5465" s="52" t="str">
        <f t="shared" si="866"/>
        <v/>
      </c>
      <c r="P5465" s="88">
        <f t="shared" si="867"/>
        <v>0</v>
      </c>
      <c r="Q5465" s="88">
        <f t="shared" si="868"/>
        <v>0</v>
      </c>
      <c r="R5465" s="88" t="e">
        <f>-IF(Tabla14[[#This Row],[DIAS HABILES O MORA]]&lt;0,(Tabla14[[#This Row],[VALOR PRESTAMO]]*Tabla14[[#This Row],[% INTERES ]]/30*U5465))+Tabla14[[#This Row],[VALOR CUOTAS]]</f>
        <v>#VALUE!</v>
      </c>
      <c r="S5465" s="88">
        <f>-IF(Tabla14[[#This Row],[DIAS HABILES O MORA]]&lt;0,(Tabla14[[#This Row],[VALOR PRESTAMO]]*Tabla14[[#This Row],[% INTERES ]]/30*U5465))</f>
        <v>0</v>
      </c>
      <c r="T5465" s="53" t="e">
        <f>Tabla14[[#This Row],[DEUDA CAPITAL]]+Tabla14[[#This Row],[INTERES  CUOTA]]</f>
        <v>#NUM!</v>
      </c>
      <c r="U5465" s="61" t="str">
        <f t="shared" si="869"/>
        <v/>
      </c>
    </row>
    <row r="5466" spans="9:21" ht="24.75" customHeight="1" x14ac:dyDescent="0.35">
      <c r="I5466" s="42">
        <f t="shared" si="860"/>
        <v>0</v>
      </c>
      <c r="J5466" s="65" t="e">
        <f t="shared" si="861"/>
        <v>#NUM!</v>
      </c>
      <c r="K5466" s="83" t="e">
        <f t="shared" si="862"/>
        <v>#NUM!</v>
      </c>
      <c r="L5466" s="83">
        <f t="shared" si="863"/>
        <v>0</v>
      </c>
      <c r="M5466" s="110" t="str">
        <f t="shared" si="864"/>
        <v/>
      </c>
      <c r="N5466" s="51" t="str">
        <f t="shared" si="865"/>
        <v/>
      </c>
      <c r="O5466" s="52" t="str">
        <f t="shared" si="866"/>
        <v/>
      </c>
      <c r="P5466" s="88">
        <f t="shared" si="867"/>
        <v>0</v>
      </c>
      <c r="Q5466" s="88">
        <f t="shared" si="868"/>
        <v>0</v>
      </c>
      <c r="R5466" s="88" t="e">
        <f>-IF(Tabla14[[#This Row],[DIAS HABILES O MORA]]&lt;0,(Tabla14[[#This Row],[VALOR PRESTAMO]]*Tabla14[[#This Row],[% INTERES ]]/30*U5466))+Tabla14[[#This Row],[VALOR CUOTAS]]</f>
        <v>#VALUE!</v>
      </c>
      <c r="S5466" s="88">
        <f>-IF(Tabla14[[#This Row],[DIAS HABILES O MORA]]&lt;0,(Tabla14[[#This Row],[VALOR PRESTAMO]]*Tabla14[[#This Row],[% INTERES ]]/30*U5466))</f>
        <v>0</v>
      </c>
      <c r="T5466" s="53" t="e">
        <f>Tabla14[[#This Row],[DEUDA CAPITAL]]+Tabla14[[#This Row],[INTERES  CUOTA]]</f>
        <v>#NUM!</v>
      </c>
      <c r="U5466" s="61" t="str">
        <f t="shared" si="869"/>
        <v/>
      </c>
    </row>
    <row r="5467" spans="9:21" ht="24.75" customHeight="1" x14ac:dyDescent="0.35">
      <c r="I5467" s="42">
        <f t="shared" si="860"/>
        <v>0</v>
      </c>
      <c r="J5467" s="65" t="e">
        <f t="shared" si="861"/>
        <v>#NUM!</v>
      </c>
      <c r="K5467" s="83" t="e">
        <f t="shared" si="862"/>
        <v>#NUM!</v>
      </c>
      <c r="L5467" s="83">
        <f t="shared" si="863"/>
        <v>0</v>
      </c>
      <c r="M5467" s="110" t="str">
        <f t="shared" si="864"/>
        <v/>
      </c>
      <c r="N5467" s="51" t="str">
        <f t="shared" si="865"/>
        <v/>
      </c>
      <c r="O5467" s="52" t="str">
        <f t="shared" si="866"/>
        <v/>
      </c>
      <c r="P5467" s="88">
        <f t="shared" si="867"/>
        <v>0</v>
      </c>
      <c r="Q5467" s="88">
        <f t="shared" si="868"/>
        <v>0</v>
      </c>
      <c r="R5467" s="88" t="e">
        <f>-IF(Tabla14[[#This Row],[DIAS HABILES O MORA]]&lt;0,(Tabla14[[#This Row],[VALOR PRESTAMO]]*Tabla14[[#This Row],[% INTERES ]]/30*U5467))+Tabla14[[#This Row],[VALOR CUOTAS]]</f>
        <v>#VALUE!</v>
      </c>
      <c r="S5467" s="88">
        <f>-IF(Tabla14[[#This Row],[DIAS HABILES O MORA]]&lt;0,(Tabla14[[#This Row],[VALOR PRESTAMO]]*Tabla14[[#This Row],[% INTERES ]]/30*U5467))</f>
        <v>0</v>
      </c>
      <c r="T5467" s="53" t="e">
        <f>Tabla14[[#This Row],[DEUDA CAPITAL]]+Tabla14[[#This Row],[INTERES  CUOTA]]</f>
        <v>#NUM!</v>
      </c>
      <c r="U5467" s="61" t="str">
        <f t="shared" si="869"/>
        <v/>
      </c>
    </row>
    <row r="5468" spans="9:21" ht="24.75" customHeight="1" x14ac:dyDescent="0.35">
      <c r="I5468" s="42">
        <f t="shared" si="860"/>
        <v>0</v>
      </c>
      <c r="J5468" s="65" t="e">
        <f t="shared" si="861"/>
        <v>#NUM!</v>
      </c>
      <c r="K5468" s="83" t="e">
        <f t="shared" si="862"/>
        <v>#NUM!</v>
      </c>
      <c r="L5468" s="83">
        <f t="shared" si="863"/>
        <v>0</v>
      </c>
      <c r="M5468" s="110" t="str">
        <f t="shared" si="864"/>
        <v/>
      </c>
      <c r="N5468" s="51" t="str">
        <f t="shared" si="865"/>
        <v/>
      </c>
      <c r="O5468" s="52" t="str">
        <f t="shared" si="866"/>
        <v/>
      </c>
      <c r="P5468" s="88">
        <f t="shared" si="867"/>
        <v>0</v>
      </c>
      <c r="Q5468" s="88">
        <f t="shared" si="868"/>
        <v>0</v>
      </c>
      <c r="R5468" s="88" t="e">
        <f>-IF(Tabla14[[#This Row],[DIAS HABILES O MORA]]&lt;0,(Tabla14[[#This Row],[VALOR PRESTAMO]]*Tabla14[[#This Row],[% INTERES ]]/30*U5468))+Tabla14[[#This Row],[VALOR CUOTAS]]</f>
        <v>#VALUE!</v>
      </c>
      <c r="S5468" s="88">
        <f>-IF(Tabla14[[#This Row],[DIAS HABILES O MORA]]&lt;0,(Tabla14[[#This Row],[VALOR PRESTAMO]]*Tabla14[[#This Row],[% INTERES ]]/30*U5468))</f>
        <v>0</v>
      </c>
      <c r="T5468" s="53" t="e">
        <f>Tabla14[[#This Row],[DEUDA CAPITAL]]+Tabla14[[#This Row],[INTERES  CUOTA]]</f>
        <v>#NUM!</v>
      </c>
      <c r="U5468" s="61" t="str">
        <f t="shared" si="869"/>
        <v/>
      </c>
    </row>
    <row r="5469" spans="9:21" ht="24.75" customHeight="1" x14ac:dyDescent="0.35">
      <c r="I5469" s="42">
        <f t="shared" si="860"/>
        <v>0</v>
      </c>
      <c r="J5469" s="65" t="e">
        <f t="shared" si="861"/>
        <v>#NUM!</v>
      </c>
      <c r="K5469" s="83" t="e">
        <f t="shared" si="862"/>
        <v>#NUM!</v>
      </c>
      <c r="L5469" s="83">
        <f t="shared" si="863"/>
        <v>0</v>
      </c>
      <c r="M5469" s="110" t="str">
        <f t="shared" si="864"/>
        <v/>
      </c>
      <c r="N5469" s="51" t="str">
        <f t="shared" si="865"/>
        <v/>
      </c>
      <c r="O5469" s="52" t="str">
        <f t="shared" si="866"/>
        <v/>
      </c>
      <c r="P5469" s="88">
        <f t="shared" si="867"/>
        <v>0</v>
      </c>
      <c r="Q5469" s="88">
        <f t="shared" si="868"/>
        <v>0</v>
      </c>
      <c r="R5469" s="88" t="e">
        <f>-IF(Tabla14[[#This Row],[DIAS HABILES O MORA]]&lt;0,(Tabla14[[#This Row],[VALOR PRESTAMO]]*Tabla14[[#This Row],[% INTERES ]]/30*U5469))+Tabla14[[#This Row],[VALOR CUOTAS]]</f>
        <v>#VALUE!</v>
      </c>
      <c r="S5469" s="88">
        <f>-IF(Tabla14[[#This Row],[DIAS HABILES O MORA]]&lt;0,(Tabla14[[#This Row],[VALOR PRESTAMO]]*Tabla14[[#This Row],[% INTERES ]]/30*U5469))</f>
        <v>0</v>
      </c>
      <c r="T5469" s="53" t="e">
        <f>Tabla14[[#This Row],[DEUDA CAPITAL]]+Tabla14[[#This Row],[INTERES  CUOTA]]</f>
        <v>#NUM!</v>
      </c>
      <c r="U5469" s="61" t="str">
        <f t="shared" si="869"/>
        <v/>
      </c>
    </row>
    <row r="5470" spans="9:21" ht="24.75" customHeight="1" x14ac:dyDescent="0.35">
      <c r="I5470" s="42">
        <f t="shared" si="860"/>
        <v>0</v>
      </c>
      <c r="J5470" s="65" t="e">
        <f t="shared" si="861"/>
        <v>#NUM!</v>
      </c>
      <c r="K5470" s="83" t="e">
        <f t="shared" si="862"/>
        <v>#NUM!</v>
      </c>
      <c r="L5470" s="83">
        <f t="shared" si="863"/>
        <v>0</v>
      </c>
      <c r="M5470" s="110" t="str">
        <f t="shared" si="864"/>
        <v/>
      </c>
      <c r="N5470" s="51" t="str">
        <f t="shared" si="865"/>
        <v/>
      </c>
      <c r="O5470" s="52" t="str">
        <f t="shared" si="866"/>
        <v/>
      </c>
      <c r="P5470" s="88">
        <f t="shared" si="867"/>
        <v>0</v>
      </c>
      <c r="Q5470" s="88">
        <f t="shared" si="868"/>
        <v>0</v>
      </c>
      <c r="R5470" s="88" t="e">
        <f>-IF(Tabla14[[#This Row],[DIAS HABILES O MORA]]&lt;0,(Tabla14[[#This Row],[VALOR PRESTAMO]]*Tabla14[[#This Row],[% INTERES ]]/30*U5470))+Tabla14[[#This Row],[VALOR CUOTAS]]</f>
        <v>#VALUE!</v>
      </c>
      <c r="S5470" s="88">
        <f>-IF(Tabla14[[#This Row],[DIAS HABILES O MORA]]&lt;0,(Tabla14[[#This Row],[VALOR PRESTAMO]]*Tabla14[[#This Row],[% INTERES ]]/30*U5470))</f>
        <v>0</v>
      </c>
      <c r="T5470" s="53" t="e">
        <f>Tabla14[[#This Row],[DEUDA CAPITAL]]+Tabla14[[#This Row],[INTERES  CUOTA]]</f>
        <v>#NUM!</v>
      </c>
      <c r="U5470" s="61" t="str">
        <f t="shared" si="869"/>
        <v/>
      </c>
    </row>
    <row r="5471" spans="9:21" ht="24.75" customHeight="1" x14ac:dyDescent="0.35">
      <c r="I5471" s="42">
        <f t="shared" si="860"/>
        <v>0</v>
      </c>
      <c r="J5471" s="65" t="e">
        <f t="shared" si="861"/>
        <v>#NUM!</v>
      </c>
      <c r="K5471" s="83" t="e">
        <f t="shared" si="862"/>
        <v>#NUM!</v>
      </c>
      <c r="L5471" s="83">
        <f t="shared" si="863"/>
        <v>0</v>
      </c>
      <c r="M5471" s="110" t="str">
        <f t="shared" si="864"/>
        <v/>
      </c>
      <c r="N5471" s="51" t="str">
        <f t="shared" si="865"/>
        <v/>
      </c>
      <c r="O5471" s="52" t="str">
        <f t="shared" si="866"/>
        <v/>
      </c>
      <c r="P5471" s="88">
        <f t="shared" si="867"/>
        <v>0</v>
      </c>
      <c r="Q5471" s="88">
        <f t="shared" si="868"/>
        <v>0</v>
      </c>
      <c r="R5471" s="88" t="e">
        <f>-IF(Tabla14[[#This Row],[DIAS HABILES O MORA]]&lt;0,(Tabla14[[#This Row],[VALOR PRESTAMO]]*Tabla14[[#This Row],[% INTERES ]]/30*U5471))+Tabla14[[#This Row],[VALOR CUOTAS]]</f>
        <v>#VALUE!</v>
      </c>
      <c r="S5471" s="88">
        <f>-IF(Tabla14[[#This Row],[DIAS HABILES O MORA]]&lt;0,(Tabla14[[#This Row],[VALOR PRESTAMO]]*Tabla14[[#This Row],[% INTERES ]]/30*U5471))</f>
        <v>0</v>
      </c>
      <c r="T5471" s="53" t="e">
        <f>Tabla14[[#This Row],[DEUDA CAPITAL]]+Tabla14[[#This Row],[INTERES  CUOTA]]</f>
        <v>#NUM!</v>
      </c>
      <c r="U5471" s="61" t="str">
        <f t="shared" si="869"/>
        <v/>
      </c>
    </row>
    <row r="5472" spans="9:21" ht="24.75" customHeight="1" x14ac:dyDescent="0.35">
      <c r="I5472" s="42">
        <f t="shared" si="860"/>
        <v>0</v>
      </c>
      <c r="J5472" s="65" t="e">
        <f t="shared" si="861"/>
        <v>#NUM!</v>
      </c>
      <c r="K5472" s="83" t="e">
        <f t="shared" si="862"/>
        <v>#NUM!</v>
      </c>
      <c r="L5472" s="83">
        <f t="shared" si="863"/>
        <v>0</v>
      </c>
      <c r="M5472" s="110" t="str">
        <f t="shared" si="864"/>
        <v/>
      </c>
      <c r="N5472" s="51" t="str">
        <f t="shared" si="865"/>
        <v/>
      </c>
      <c r="O5472" s="52" t="str">
        <f t="shared" si="866"/>
        <v/>
      </c>
      <c r="P5472" s="88">
        <f t="shared" si="867"/>
        <v>0</v>
      </c>
      <c r="Q5472" s="88">
        <f t="shared" si="868"/>
        <v>0</v>
      </c>
      <c r="R5472" s="88" t="e">
        <f>-IF(Tabla14[[#This Row],[DIAS HABILES O MORA]]&lt;0,(Tabla14[[#This Row],[VALOR PRESTAMO]]*Tabla14[[#This Row],[% INTERES ]]/30*U5472))+Tabla14[[#This Row],[VALOR CUOTAS]]</f>
        <v>#VALUE!</v>
      </c>
      <c r="S5472" s="88">
        <f>-IF(Tabla14[[#This Row],[DIAS HABILES O MORA]]&lt;0,(Tabla14[[#This Row],[VALOR PRESTAMO]]*Tabla14[[#This Row],[% INTERES ]]/30*U5472))</f>
        <v>0</v>
      </c>
      <c r="T5472" s="53" t="e">
        <f>Tabla14[[#This Row],[DEUDA CAPITAL]]+Tabla14[[#This Row],[INTERES  CUOTA]]</f>
        <v>#NUM!</v>
      </c>
      <c r="U5472" s="61" t="str">
        <f t="shared" si="869"/>
        <v/>
      </c>
    </row>
    <row r="5473" spans="9:21" ht="24.75" customHeight="1" x14ac:dyDescent="0.35">
      <c r="I5473" s="42">
        <f t="shared" si="860"/>
        <v>0</v>
      </c>
      <c r="J5473" s="65" t="e">
        <f t="shared" si="861"/>
        <v>#NUM!</v>
      </c>
      <c r="K5473" s="83" t="e">
        <f t="shared" si="862"/>
        <v>#NUM!</v>
      </c>
      <c r="L5473" s="83">
        <f t="shared" si="863"/>
        <v>0</v>
      </c>
      <c r="M5473" s="110" t="str">
        <f t="shared" si="864"/>
        <v/>
      </c>
      <c r="N5473" s="51" t="str">
        <f t="shared" si="865"/>
        <v/>
      </c>
      <c r="O5473" s="52" t="str">
        <f t="shared" si="866"/>
        <v/>
      </c>
      <c r="P5473" s="88">
        <f t="shared" si="867"/>
        <v>0</v>
      </c>
      <c r="Q5473" s="88">
        <f t="shared" si="868"/>
        <v>0</v>
      </c>
      <c r="R5473" s="88" t="e">
        <f>-IF(Tabla14[[#This Row],[DIAS HABILES O MORA]]&lt;0,(Tabla14[[#This Row],[VALOR PRESTAMO]]*Tabla14[[#This Row],[% INTERES ]]/30*U5473))+Tabla14[[#This Row],[VALOR CUOTAS]]</f>
        <v>#VALUE!</v>
      </c>
      <c r="S5473" s="88">
        <f>-IF(Tabla14[[#This Row],[DIAS HABILES O MORA]]&lt;0,(Tabla14[[#This Row],[VALOR PRESTAMO]]*Tabla14[[#This Row],[% INTERES ]]/30*U5473))</f>
        <v>0</v>
      </c>
      <c r="T5473" s="53" t="e">
        <f>Tabla14[[#This Row],[DEUDA CAPITAL]]+Tabla14[[#This Row],[INTERES  CUOTA]]</f>
        <v>#NUM!</v>
      </c>
      <c r="U5473" s="61" t="str">
        <f t="shared" si="869"/>
        <v/>
      </c>
    </row>
    <row r="5474" spans="9:21" ht="24.75" customHeight="1" x14ac:dyDescent="0.35">
      <c r="I5474" s="42">
        <f t="shared" si="860"/>
        <v>0</v>
      </c>
      <c r="J5474" s="65" t="e">
        <f t="shared" si="861"/>
        <v>#NUM!</v>
      </c>
      <c r="K5474" s="83" t="e">
        <f t="shared" si="862"/>
        <v>#NUM!</v>
      </c>
      <c r="L5474" s="83">
        <f t="shared" si="863"/>
        <v>0</v>
      </c>
      <c r="M5474" s="110" t="str">
        <f t="shared" si="864"/>
        <v/>
      </c>
      <c r="N5474" s="51" t="str">
        <f t="shared" si="865"/>
        <v/>
      </c>
      <c r="O5474" s="52" t="str">
        <f t="shared" si="866"/>
        <v/>
      </c>
      <c r="P5474" s="88">
        <f t="shared" si="867"/>
        <v>0</v>
      </c>
      <c r="Q5474" s="88">
        <f t="shared" si="868"/>
        <v>0</v>
      </c>
      <c r="R5474" s="88" t="e">
        <f>-IF(Tabla14[[#This Row],[DIAS HABILES O MORA]]&lt;0,(Tabla14[[#This Row],[VALOR PRESTAMO]]*Tabla14[[#This Row],[% INTERES ]]/30*U5474))+Tabla14[[#This Row],[VALOR CUOTAS]]</f>
        <v>#VALUE!</v>
      </c>
      <c r="S5474" s="88">
        <f>-IF(Tabla14[[#This Row],[DIAS HABILES O MORA]]&lt;0,(Tabla14[[#This Row],[VALOR PRESTAMO]]*Tabla14[[#This Row],[% INTERES ]]/30*U5474))</f>
        <v>0</v>
      </c>
      <c r="T5474" s="53" t="e">
        <f>Tabla14[[#This Row],[DEUDA CAPITAL]]+Tabla14[[#This Row],[INTERES  CUOTA]]</f>
        <v>#NUM!</v>
      </c>
      <c r="U5474" s="61" t="str">
        <f t="shared" si="869"/>
        <v/>
      </c>
    </row>
    <row r="5475" spans="9:21" ht="24.75" customHeight="1" x14ac:dyDescent="0.35">
      <c r="I5475" s="42">
        <f t="shared" si="860"/>
        <v>0</v>
      </c>
      <c r="J5475" s="65" t="e">
        <f t="shared" si="861"/>
        <v>#NUM!</v>
      </c>
      <c r="K5475" s="83" t="e">
        <f t="shared" si="862"/>
        <v>#NUM!</v>
      </c>
      <c r="L5475" s="83">
        <f t="shared" si="863"/>
        <v>0</v>
      </c>
      <c r="M5475" s="110" t="str">
        <f t="shared" si="864"/>
        <v/>
      </c>
      <c r="N5475" s="51" t="str">
        <f t="shared" si="865"/>
        <v/>
      </c>
      <c r="O5475" s="52" t="str">
        <f t="shared" si="866"/>
        <v/>
      </c>
      <c r="P5475" s="88">
        <f t="shared" si="867"/>
        <v>0</v>
      </c>
      <c r="Q5475" s="88">
        <f t="shared" si="868"/>
        <v>0</v>
      </c>
      <c r="R5475" s="88" t="e">
        <f>-IF(Tabla14[[#This Row],[DIAS HABILES O MORA]]&lt;0,(Tabla14[[#This Row],[VALOR PRESTAMO]]*Tabla14[[#This Row],[% INTERES ]]/30*U5475))+Tabla14[[#This Row],[VALOR CUOTAS]]</f>
        <v>#VALUE!</v>
      </c>
      <c r="S5475" s="88">
        <f>-IF(Tabla14[[#This Row],[DIAS HABILES O MORA]]&lt;0,(Tabla14[[#This Row],[VALOR PRESTAMO]]*Tabla14[[#This Row],[% INTERES ]]/30*U5475))</f>
        <v>0</v>
      </c>
      <c r="T5475" s="53" t="e">
        <f>Tabla14[[#This Row],[DEUDA CAPITAL]]+Tabla14[[#This Row],[INTERES  CUOTA]]</f>
        <v>#NUM!</v>
      </c>
      <c r="U5475" s="61" t="str">
        <f t="shared" si="869"/>
        <v/>
      </c>
    </row>
    <row r="5476" spans="9:21" ht="24.75" customHeight="1" x14ac:dyDescent="0.35">
      <c r="I5476" s="42">
        <f t="shared" si="860"/>
        <v>0</v>
      </c>
      <c r="J5476" s="65" t="e">
        <f t="shared" si="861"/>
        <v>#NUM!</v>
      </c>
      <c r="K5476" s="83" t="e">
        <f t="shared" si="862"/>
        <v>#NUM!</v>
      </c>
      <c r="L5476" s="83">
        <f t="shared" si="863"/>
        <v>0</v>
      </c>
      <c r="M5476" s="110" t="str">
        <f t="shared" si="864"/>
        <v/>
      </c>
      <c r="N5476" s="51" t="str">
        <f t="shared" si="865"/>
        <v/>
      </c>
      <c r="O5476" s="52" t="str">
        <f t="shared" si="866"/>
        <v/>
      </c>
      <c r="P5476" s="88">
        <f t="shared" si="867"/>
        <v>0</v>
      </c>
      <c r="Q5476" s="88">
        <f t="shared" si="868"/>
        <v>0</v>
      </c>
      <c r="R5476" s="88" t="e">
        <f>-IF(Tabla14[[#This Row],[DIAS HABILES O MORA]]&lt;0,(Tabla14[[#This Row],[VALOR PRESTAMO]]*Tabla14[[#This Row],[% INTERES ]]/30*U5476))+Tabla14[[#This Row],[VALOR CUOTAS]]</f>
        <v>#VALUE!</v>
      </c>
      <c r="S5476" s="88">
        <f>-IF(Tabla14[[#This Row],[DIAS HABILES O MORA]]&lt;0,(Tabla14[[#This Row],[VALOR PRESTAMO]]*Tabla14[[#This Row],[% INTERES ]]/30*U5476))</f>
        <v>0</v>
      </c>
      <c r="T5476" s="53" t="e">
        <f>Tabla14[[#This Row],[DEUDA CAPITAL]]+Tabla14[[#This Row],[INTERES  CUOTA]]</f>
        <v>#NUM!</v>
      </c>
      <c r="U5476" s="61" t="str">
        <f t="shared" si="869"/>
        <v/>
      </c>
    </row>
    <row r="5477" spans="9:21" ht="24.75" customHeight="1" x14ac:dyDescent="0.35">
      <c r="I5477" s="42">
        <f t="shared" si="860"/>
        <v>0</v>
      </c>
      <c r="J5477" s="65" t="e">
        <f t="shared" si="861"/>
        <v>#NUM!</v>
      </c>
      <c r="K5477" s="83" t="e">
        <f t="shared" si="862"/>
        <v>#NUM!</v>
      </c>
      <c r="L5477" s="83">
        <f t="shared" si="863"/>
        <v>0</v>
      </c>
      <c r="M5477" s="110" t="str">
        <f t="shared" si="864"/>
        <v/>
      </c>
      <c r="N5477" s="51" t="str">
        <f t="shared" si="865"/>
        <v/>
      </c>
      <c r="O5477" s="52" t="str">
        <f t="shared" si="866"/>
        <v/>
      </c>
      <c r="P5477" s="88">
        <f t="shared" si="867"/>
        <v>0</v>
      </c>
      <c r="Q5477" s="88">
        <f t="shared" si="868"/>
        <v>0</v>
      </c>
      <c r="R5477" s="88" t="e">
        <f>-IF(Tabla14[[#This Row],[DIAS HABILES O MORA]]&lt;0,(Tabla14[[#This Row],[VALOR PRESTAMO]]*Tabla14[[#This Row],[% INTERES ]]/30*U5477))+Tabla14[[#This Row],[VALOR CUOTAS]]</f>
        <v>#VALUE!</v>
      </c>
      <c r="S5477" s="88">
        <f>-IF(Tabla14[[#This Row],[DIAS HABILES O MORA]]&lt;0,(Tabla14[[#This Row],[VALOR PRESTAMO]]*Tabla14[[#This Row],[% INTERES ]]/30*U5477))</f>
        <v>0</v>
      </c>
      <c r="T5477" s="53" t="e">
        <f>Tabla14[[#This Row],[DEUDA CAPITAL]]+Tabla14[[#This Row],[INTERES  CUOTA]]</f>
        <v>#NUM!</v>
      </c>
      <c r="U5477" s="61" t="str">
        <f t="shared" si="869"/>
        <v/>
      </c>
    </row>
    <row r="5478" spans="9:21" ht="24.75" customHeight="1" x14ac:dyDescent="0.35">
      <c r="I5478" s="42">
        <f t="shared" si="860"/>
        <v>0</v>
      </c>
      <c r="J5478" s="65" t="e">
        <f t="shared" si="861"/>
        <v>#NUM!</v>
      </c>
      <c r="K5478" s="83" t="e">
        <f t="shared" si="862"/>
        <v>#NUM!</v>
      </c>
      <c r="L5478" s="83">
        <f t="shared" si="863"/>
        <v>0</v>
      </c>
      <c r="M5478" s="110" t="str">
        <f t="shared" si="864"/>
        <v/>
      </c>
      <c r="N5478" s="51" t="str">
        <f t="shared" si="865"/>
        <v/>
      </c>
      <c r="O5478" s="52" t="str">
        <f t="shared" si="866"/>
        <v/>
      </c>
      <c r="P5478" s="88">
        <f t="shared" si="867"/>
        <v>0</v>
      </c>
      <c r="Q5478" s="88">
        <f t="shared" si="868"/>
        <v>0</v>
      </c>
      <c r="R5478" s="88" t="e">
        <f>-IF(Tabla14[[#This Row],[DIAS HABILES O MORA]]&lt;0,(Tabla14[[#This Row],[VALOR PRESTAMO]]*Tabla14[[#This Row],[% INTERES ]]/30*U5478))+Tabla14[[#This Row],[VALOR CUOTAS]]</f>
        <v>#VALUE!</v>
      </c>
      <c r="S5478" s="88">
        <f>-IF(Tabla14[[#This Row],[DIAS HABILES O MORA]]&lt;0,(Tabla14[[#This Row],[VALOR PRESTAMO]]*Tabla14[[#This Row],[% INTERES ]]/30*U5478))</f>
        <v>0</v>
      </c>
      <c r="T5478" s="53" t="e">
        <f>Tabla14[[#This Row],[DEUDA CAPITAL]]+Tabla14[[#This Row],[INTERES  CUOTA]]</f>
        <v>#NUM!</v>
      </c>
      <c r="U5478" s="61" t="str">
        <f t="shared" si="869"/>
        <v/>
      </c>
    </row>
    <row r="5479" spans="9:21" ht="24.75" customHeight="1" x14ac:dyDescent="0.35">
      <c r="I5479" s="42">
        <f t="shared" si="860"/>
        <v>0</v>
      </c>
      <c r="J5479" s="65" t="e">
        <f t="shared" si="861"/>
        <v>#NUM!</v>
      </c>
      <c r="K5479" s="83" t="e">
        <f t="shared" si="862"/>
        <v>#NUM!</v>
      </c>
      <c r="L5479" s="83">
        <f t="shared" si="863"/>
        <v>0</v>
      </c>
      <c r="M5479" s="110" t="str">
        <f t="shared" si="864"/>
        <v/>
      </c>
      <c r="N5479" s="51" t="str">
        <f t="shared" si="865"/>
        <v/>
      </c>
      <c r="O5479" s="52" t="str">
        <f t="shared" si="866"/>
        <v/>
      </c>
      <c r="P5479" s="88">
        <f t="shared" si="867"/>
        <v>0</v>
      </c>
      <c r="Q5479" s="88">
        <f t="shared" si="868"/>
        <v>0</v>
      </c>
      <c r="R5479" s="88" t="e">
        <f>-IF(Tabla14[[#This Row],[DIAS HABILES O MORA]]&lt;0,(Tabla14[[#This Row],[VALOR PRESTAMO]]*Tabla14[[#This Row],[% INTERES ]]/30*U5479))+Tabla14[[#This Row],[VALOR CUOTAS]]</f>
        <v>#VALUE!</v>
      </c>
      <c r="S5479" s="88">
        <f>-IF(Tabla14[[#This Row],[DIAS HABILES O MORA]]&lt;0,(Tabla14[[#This Row],[VALOR PRESTAMO]]*Tabla14[[#This Row],[% INTERES ]]/30*U5479))</f>
        <v>0</v>
      </c>
      <c r="T5479" s="53" t="e">
        <f>Tabla14[[#This Row],[DEUDA CAPITAL]]+Tabla14[[#This Row],[INTERES  CUOTA]]</f>
        <v>#NUM!</v>
      </c>
      <c r="U5479" s="61" t="str">
        <f t="shared" si="869"/>
        <v/>
      </c>
    </row>
    <row r="5480" spans="9:21" ht="24.75" customHeight="1" x14ac:dyDescent="0.35">
      <c r="I5480" s="42">
        <f t="shared" si="860"/>
        <v>0</v>
      </c>
      <c r="J5480" s="65" t="e">
        <f t="shared" si="861"/>
        <v>#NUM!</v>
      </c>
      <c r="K5480" s="83" t="e">
        <f t="shared" si="862"/>
        <v>#NUM!</v>
      </c>
      <c r="L5480" s="83">
        <f t="shared" si="863"/>
        <v>0</v>
      </c>
      <c r="M5480" s="110" t="str">
        <f t="shared" si="864"/>
        <v/>
      </c>
      <c r="N5480" s="51" t="str">
        <f t="shared" si="865"/>
        <v/>
      </c>
      <c r="O5480" s="52" t="str">
        <f t="shared" si="866"/>
        <v/>
      </c>
      <c r="P5480" s="88">
        <f t="shared" si="867"/>
        <v>0</v>
      </c>
      <c r="Q5480" s="88">
        <f t="shared" si="868"/>
        <v>0</v>
      </c>
      <c r="R5480" s="88" t="e">
        <f>-IF(Tabla14[[#This Row],[DIAS HABILES O MORA]]&lt;0,(Tabla14[[#This Row],[VALOR PRESTAMO]]*Tabla14[[#This Row],[% INTERES ]]/30*U5480))+Tabla14[[#This Row],[VALOR CUOTAS]]</f>
        <v>#VALUE!</v>
      </c>
      <c r="S5480" s="88">
        <f>-IF(Tabla14[[#This Row],[DIAS HABILES O MORA]]&lt;0,(Tabla14[[#This Row],[VALOR PRESTAMO]]*Tabla14[[#This Row],[% INTERES ]]/30*U5480))</f>
        <v>0</v>
      </c>
      <c r="T5480" s="53" t="e">
        <f>Tabla14[[#This Row],[DEUDA CAPITAL]]+Tabla14[[#This Row],[INTERES  CUOTA]]</f>
        <v>#NUM!</v>
      </c>
      <c r="U5480" s="61" t="str">
        <f t="shared" si="869"/>
        <v/>
      </c>
    </row>
    <row r="5481" spans="9:21" ht="24.75" customHeight="1" x14ac:dyDescent="0.35">
      <c r="I5481" s="42">
        <f t="shared" si="860"/>
        <v>0</v>
      </c>
      <c r="J5481" s="65" t="e">
        <f t="shared" si="861"/>
        <v>#NUM!</v>
      </c>
      <c r="K5481" s="83" t="e">
        <f t="shared" si="862"/>
        <v>#NUM!</v>
      </c>
      <c r="L5481" s="83">
        <f t="shared" si="863"/>
        <v>0</v>
      </c>
      <c r="M5481" s="110" t="str">
        <f t="shared" si="864"/>
        <v/>
      </c>
      <c r="N5481" s="51" t="str">
        <f t="shared" si="865"/>
        <v/>
      </c>
      <c r="O5481" s="52" t="str">
        <f t="shared" si="866"/>
        <v/>
      </c>
      <c r="P5481" s="88">
        <f t="shared" si="867"/>
        <v>0</v>
      </c>
      <c r="Q5481" s="88">
        <f t="shared" si="868"/>
        <v>0</v>
      </c>
      <c r="R5481" s="88" t="e">
        <f>-IF(Tabla14[[#This Row],[DIAS HABILES O MORA]]&lt;0,(Tabla14[[#This Row],[VALOR PRESTAMO]]*Tabla14[[#This Row],[% INTERES ]]/30*U5481))+Tabla14[[#This Row],[VALOR CUOTAS]]</f>
        <v>#VALUE!</v>
      </c>
      <c r="S5481" s="88">
        <f>-IF(Tabla14[[#This Row],[DIAS HABILES O MORA]]&lt;0,(Tabla14[[#This Row],[VALOR PRESTAMO]]*Tabla14[[#This Row],[% INTERES ]]/30*U5481))</f>
        <v>0</v>
      </c>
      <c r="T5481" s="53" t="e">
        <f>Tabla14[[#This Row],[DEUDA CAPITAL]]+Tabla14[[#This Row],[INTERES  CUOTA]]</f>
        <v>#NUM!</v>
      </c>
      <c r="U5481" s="61" t="str">
        <f t="shared" si="869"/>
        <v/>
      </c>
    </row>
    <row r="5482" spans="9:21" ht="24.75" customHeight="1" x14ac:dyDescent="0.35">
      <c r="I5482" s="42">
        <f t="shared" si="860"/>
        <v>0</v>
      </c>
      <c r="J5482" s="65" t="e">
        <f t="shared" si="861"/>
        <v>#NUM!</v>
      </c>
      <c r="K5482" s="83" t="e">
        <f t="shared" si="862"/>
        <v>#NUM!</v>
      </c>
      <c r="L5482" s="83">
        <f t="shared" si="863"/>
        <v>0</v>
      </c>
      <c r="M5482" s="110" t="str">
        <f t="shared" si="864"/>
        <v/>
      </c>
      <c r="N5482" s="51" t="str">
        <f t="shared" si="865"/>
        <v/>
      </c>
      <c r="O5482" s="52" t="str">
        <f t="shared" si="866"/>
        <v/>
      </c>
      <c r="P5482" s="88">
        <f t="shared" si="867"/>
        <v>0</v>
      </c>
      <c r="Q5482" s="88">
        <f t="shared" si="868"/>
        <v>0</v>
      </c>
      <c r="R5482" s="88" t="e">
        <f>-IF(Tabla14[[#This Row],[DIAS HABILES O MORA]]&lt;0,(Tabla14[[#This Row],[VALOR PRESTAMO]]*Tabla14[[#This Row],[% INTERES ]]/30*U5482))+Tabla14[[#This Row],[VALOR CUOTAS]]</f>
        <v>#VALUE!</v>
      </c>
      <c r="S5482" s="88">
        <f>-IF(Tabla14[[#This Row],[DIAS HABILES O MORA]]&lt;0,(Tabla14[[#This Row],[VALOR PRESTAMO]]*Tabla14[[#This Row],[% INTERES ]]/30*U5482))</f>
        <v>0</v>
      </c>
      <c r="T5482" s="53" t="e">
        <f>Tabla14[[#This Row],[DEUDA CAPITAL]]+Tabla14[[#This Row],[INTERES  CUOTA]]</f>
        <v>#NUM!</v>
      </c>
      <c r="U5482" s="61" t="str">
        <f t="shared" si="869"/>
        <v/>
      </c>
    </row>
    <row r="5483" spans="9:21" ht="24.75" customHeight="1" x14ac:dyDescent="0.35">
      <c r="I5483" s="42">
        <f t="shared" si="860"/>
        <v>0</v>
      </c>
      <c r="J5483" s="65" t="e">
        <f t="shared" si="861"/>
        <v>#NUM!</v>
      </c>
      <c r="K5483" s="83" t="e">
        <f t="shared" si="862"/>
        <v>#NUM!</v>
      </c>
      <c r="L5483" s="83">
        <f t="shared" si="863"/>
        <v>0</v>
      </c>
      <c r="M5483" s="110" t="str">
        <f t="shared" si="864"/>
        <v/>
      </c>
      <c r="N5483" s="51" t="str">
        <f t="shared" si="865"/>
        <v/>
      </c>
      <c r="O5483" s="52" t="str">
        <f t="shared" si="866"/>
        <v/>
      </c>
      <c r="P5483" s="88">
        <f t="shared" si="867"/>
        <v>0</v>
      </c>
      <c r="Q5483" s="88">
        <f t="shared" si="868"/>
        <v>0</v>
      </c>
      <c r="R5483" s="88" t="e">
        <f>-IF(Tabla14[[#This Row],[DIAS HABILES O MORA]]&lt;0,(Tabla14[[#This Row],[VALOR PRESTAMO]]*Tabla14[[#This Row],[% INTERES ]]/30*U5483))+Tabla14[[#This Row],[VALOR CUOTAS]]</f>
        <v>#VALUE!</v>
      </c>
      <c r="S5483" s="88">
        <f>-IF(Tabla14[[#This Row],[DIAS HABILES O MORA]]&lt;0,(Tabla14[[#This Row],[VALOR PRESTAMO]]*Tabla14[[#This Row],[% INTERES ]]/30*U5483))</f>
        <v>0</v>
      </c>
      <c r="T5483" s="53" t="e">
        <f>Tabla14[[#This Row],[DEUDA CAPITAL]]+Tabla14[[#This Row],[INTERES  CUOTA]]</f>
        <v>#NUM!</v>
      </c>
      <c r="U5483" s="61" t="str">
        <f t="shared" si="869"/>
        <v/>
      </c>
    </row>
    <row r="5484" spans="9:21" ht="24.75" customHeight="1" x14ac:dyDescent="0.35">
      <c r="I5484" s="42">
        <f t="shared" si="860"/>
        <v>0</v>
      </c>
      <c r="J5484" s="65" t="e">
        <f t="shared" si="861"/>
        <v>#NUM!</v>
      </c>
      <c r="K5484" s="83" t="e">
        <f t="shared" si="862"/>
        <v>#NUM!</v>
      </c>
      <c r="L5484" s="83">
        <f t="shared" si="863"/>
        <v>0</v>
      </c>
      <c r="M5484" s="110" t="str">
        <f t="shared" si="864"/>
        <v/>
      </c>
      <c r="N5484" s="51" t="str">
        <f t="shared" si="865"/>
        <v/>
      </c>
      <c r="O5484" s="52" t="str">
        <f t="shared" si="866"/>
        <v/>
      </c>
      <c r="P5484" s="88">
        <f t="shared" si="867"/>
        <v>0</v>
      </c>
      <c r="Q5484" s="88">
        <f t="shared" si="868"/>
        <v>0</v>
      </c>
      <c r="R5484" s="88" t="e">
        <f>-IF(Tabla14[[#This Row],[DIAS HABILES O MORA]]&lt;0,(Tabla14[[#This Row],[VALOR PRESTAMO]]*Tabla14[[#This Row],[% INTERES ]]/30*U5484))+Tabla14[[#This Row],[VALOR CUOTAS]]</f>
        <v>#VALUE!</v>
      </c>
      <c r="S5484" s="88">
        <f>-IF(Tabla14[[#This Row],[DIAS HABILES O MORA]]&lt;0,(Tabla14[[#This Row],[VALOR PRESTAMO]]*Tabla14[[#This Row],[% INTERES ]]/30*U5484))</f>
        <v>0</v>
      </c>
      <c r="T5484" s="53" t="e">
        <f>Tabla14[[#This Row],[DEUDA CAPITAL]]+Tabla14[[#This Row],[INTERES  CUOTA]]</f>
        <v>#NUM!</v>
      </c>
      <c r="U5484" s="61" t="str">
        <f t="shared" si="869"/>
        <v/>
      </c>
    </row>
    <row r="5485" spans="9:21" ht="24.75" customHeight="1" x14ac:dyDescent="0.35">
      <c r="I5485" s="42">
        <f t="shared" si="860"/>
        <v>0</v>
      </c>
      <c r="J5485" s="65" t="e">
        <f t="shared" si="861"/>
        <v>#NUM!</v>
      </c>
      <c r="K5485" s="83" t="e">
        <f t="shared" si="862"/>
        <v>#NUM!</v>
      </c>
      <c r="L5485" s="83">
        <f t="shared" si="863"/>
        <v>0</v>
      </c>
      <c r="M5485" s="110" t="str">
        <f t="shared" si="864"/>
        <v/>
      </c>
      <c r="N5485" s="51" t="str">
        <f t="shared" si="865"/>
        <v/>
      </c>
      <c r="O5485" s="52" t="str">
        <f t="shared" si="866"/>
        <v/>
      </c>
      <c r="P5485" s="88">
        <f t="shared" si="867"/>
        <v>0</v>
      </c>
      <c r="Q5485" s="88">
        <f t="shared" si="868"/>
        <v>0</v>
      </c>
      <c r="R5485" s="88" t="e">
        <f>-IF(Tabla14[[#This Row],[DIAS HABILES O MORA]]&lt;0,(Tabla14[[#This Row],[VALOR PRESTAMO]]*Tabla14[[#This Row],[% INTERES ]]/30*U5485))+Tabla14[[#This Row],[VALOR CUOTAS]]</f>
        <v>#VALUE!</v>
      </c>
      <c r="S5485" s="88">
        <f>-IF(Tabla14[[#This Row],[DIAS HABILES O MORA]]&lt;0,(Tabla14[[#This Row],[VALOR PRESTAMO]]*Tabla14[[#This Row],[% INTERES ]]/30*U5485))</f>
        <v>0</v>
      </c>
      <c r="T5485" s="53" t="e">
        <f>Tabla14[[#This Row],[DEUDA CAPITAL]]+Tabla14[[#This Row],[INTERES  CUOTA]]</f>
        <v>#NUM!</v>
      </c>
      <c r="U5485" s="61" t="str">
        <f t="shared" si="869"/>
        <v/>
      </c>
    </row>
    <row r="5486" spans="9:21" ht="24.75" customHeight="1" x14ac:dyDescent="0.35">
      <c r="I5486" s="42">
        <f t="shared" si="860"/>
        <v>0</v>
      </c>
      <c r="J5486" s="65" t="e">
        <f t="shared" si="861"/>
        <v>#NUM!</v>
      </c>
      <c r="K5486" s="83" t="e">
        <f t="shared" si="862"/>
        <v>#NUM!</v>
      </c>
      <c r="L5486" s="83">
        <f t="shared" si="863"/>
        <v>0</v>
      </c>
      <c r="M5486" s="110" t="str">
        <f t="shared" si="864"/>
        <v/>
      </c>
      <c r="N5486" s="51" t="str">
        <f t="shared" si="865"/>
        <v/>
      </c>
      <c r="O5486" s="52" t="str">
        <f t="shared" si="866"/>
        <v/>
      </c>
      <c r="P5486" s="88">
        <f t="shared" si="867"/>
        <v>0</v>
      </c>
      <c r="Q5486" s="88">
        <f t="shared" si="868"/>
        <v>0</v>
      </c>
      <c r="R5486" s="88" t="e">
        <f>-IF(Tabla14[[#This Row],[DIAS HABILES O MORA]]&lt;0,(Tabla14[[#This Row],[VALOR PRESTAMO]]*Tabla14[[#This Row],[% INTERES ]]/30*U5486))+Tabla14[[#This Row],[VALOR CUOTAS]]</f>
        <v>#VALUE!</v>
      </c>
      <c r="S5486" s="88">
        <f>-IF(Tabla14[[#This Row],[DIAS HABILES O MORA]]&lt;0,(Tabla14[[#This Row],[VALOR PRESTAMO]]*Tabla14[[#This Row],[% INTERES ]]/30*U5486))</f>
        <v>0</v>
      </c>
      <c r="T5486" s="53" t="e">
        <f>Tabla14[[#This Row],[DEUDA CAPITAL]]+Tabla14[[#This Row],[INTERES  CUOTA]]</f>
        <v>#NUM!</v>
      </c>
      <c r="U5486" s="61" t="str">
        <f t="shared" si="869"/>
        <v/>
      </c>
    </row>
    <row r="5487" spans="9:21" ht="24.75" customHeight="1" x14ac:dyDescent="0.35">
      <c r="I5487" s="42">
        <f t="shared" si="860"/>
        <v>0</v>
      </c>
      <c r="J5487" s="65" t="e">
        <f t="shared" si="861"/>
        <v>#NUM!</v>
      </c>
      <c r="K5487" s="83" t="e">
        <f t="shared" si="862"/>
        <v>#NUM!</v>
      </c>
      <c r="L5487" s="83">
        <f t="shared" si="863"/>
        <v>0</v>
      </c>
      <c r="M5487" s="110" t="str">
        <f t="shared" si="864"/>
        <v/>
      </c>
      <c r="N5487" s="51" t="str">
        <f t="shared" si="865"/>
        <v/>
      </c>
      <c r="O5487" s="52" t="str">
        <f t="shared" si="866"/>
        <v/>
      </c>
      <c r="P5487" s="88">
        <f t="shared" si="867"/>
        <v>0</v>
      </c>
      <c r="Q5487" s="88">
        <f t="shared" si="868"/>
        <v>0</v>
      </c>
      <c r="R5487" s="88" t="e">
        <f>-IF(Tabla14[[#This Row],[DIAS HABILES O MORA]]&lt;0,(Tabla14[[#This Row],[VALOR PRESTAMO]]*Tabla14[[#This Row],[% INTERES ]]/30*U5487))+Tabla14[[#This Row],[VALOR CUOTAS]]</f>
        <v>#VALUE!</v>
      </c>
      <c r="S5487" s="88">
        <f>-IF(Tabla14[[#This Row],[DIAS HABILES O MORA]]&lt;0,(Tabla14[[#This Row],[VALOR PRESTAMO]]*Tabla14[[#This Row],[% INTERES ]]/30*U5487))</f>
        <v>0</v>
      </c>
      <c r="T5487" s="53" t="e">
        <f>Tabla14[[#This Row],[DEUDA CAPITAL]]+Tabla14[[#This Row],[INTERES  CUOTA]]</f>
        <v>#NUM!</v>
      </c>
      <c r="U5487" s="61" t="str">
        <f t="shared" si="869"/>
        <v/>
      </c>
    </row>
    <row r="5488" spans="9:21" ht="24.75" customHeight="1" x14ac:dyDescent="0.35">
      <c r="I5488" s="42">
        <f t="shared" si="860"/>
        <v>0</v>
      </c>
      <c r="J5488" s="65" t="e">
        <f t="shared" si="861"/>
        <v>#NUM!</v>
      </c>
      <c r="K5488" s="83" t="e">
        <f t="shared" si="862"/>
        <v>#NUM!</v>
      </c>
      <c r="L5488" s="83">
        <f t="shared" si="863"/>
        <v>0</v>
      </c>
      <c r="M5488" s="110" t="str">
        <f t="shared" si="864"/>
        <v/>
      </c>
      <c r="N5488" s="51" t="str">
        <f t="shared" si="865"/>
        <v/>
      </c>
      <c r="O5488" s="52" t="str">
        <f t="shared" si="866"/>
        <v/>
      </c>
      <c r="P5488" s="88">
        <f t="shared" si="867"/>
        <v>0</v>
      </c>
      <c r="Q5488" s="88">
        <f t="shared" si="868"/>
        <v>0</v>
      </c>
      <c r="R5488" s="88" t="e">
        <f>-IF(Tabla14[[#This Row],[DIAS HABILES O MORA]]&lt;0,(Tabla14[[#This Row],[VALOR PRESTAMO]]*Tabla14[[#This Row],[% INTERES ]]/30*U5488))+Tabla14[[#This Row],[VALOR CUOTAS]]</f>
        <v>#VALUE!</v>
      </c>
      <c r="S5488" s="88">
        <f>-IF(Tabla14[[#This Row],[DIAS HABILES O MORA]]&lt;0,(Tabla14[[#This Row],[VALOR PRESTAMO]]*Tabla14[[#This Row],[% INTERES ]]/30*U5488))</f>
        <v>0</v>
      </c>
      <c r="T5488" s="53" t="e">
        <f>Tabla14[[#This Row],[DEUDA CAPITAL]]+Tabla14[[#This Row],[INTERES  CUOTA]]</f>
        <v>#NUM!</v>
      </c>
      <c r="U5488" s="61" t="str">
        <f t="shared" si="869"/>
        <v/>
      </c>
    </row>
    <row r="5489" spans="9:21" ht="24.75" customHeight="1" x14ac:dyDescent="0.35">
      <c r="I5489" s="42">
        <f t="shared" si="860"/>
        <v>0</v>
      </c>
      <c r="J5489" s="65" t="e">
        <f t="shared" si="861"/>
        <v>#NUM!</v>
      </c>
      <c r="K5489" s="83" t="e">
        <f t="shared" si="862"/>
        <v>#NUM!</v>
      </c>
      <c r="L5489" s="83">
        <f t="shared" si="863"/>
        <v>0</v>
      </c>
      <c r="M5489" s="110" t="str">
        <f t="shared" si="864"/>
        <v/>
      </c>
      <c r="N5489" s="51" t="str">
        <f t="shared" si="865"/>
        <v/>
      </c>
      <c r="O5489" s="52" t="str">
        <f t="shared" si="866"/>
        <v/>
      </c>
      <c r="P5489" s="88">
        <f t="shared" si="867"/>
        <v>0</v>
      </c>
      <c r="Q5489" s="88">
        <f t="shared" si="868"/>
        <v>0</v>
      </c>
      <c r="R5489" s="88" t="e">
        <f>-IF(Tabla14[[#This Row],[DIAS HABILES O MORA]]&lt;0,(Tabla14[[#This Row],[VALOR PRESTAMO]]*Tabla14[[#This Row],[% INTERES ]]/30*U5489))+Tabla14[[#This Row],[VALOR CUOTAS]]</f>
        <v>#VALUE!</v>
      </c>
      <c r="S5489" s="88">
        <f>-IF(Tabla14[[#This Row],[DIAS HABILES O MORA]]&lt;0,(Tabla14[[#This Row],[VALOR PRESTAMO]]*Tabla14[[#This Row],[% INTERES ]]/30*U5489))</f>
        <v>0</v>
      </c>
      <c r="T5489" s="53" t="e">
        <f>Tabla14[[#This Row],[DEUDA CAPITAL]]+Tabla14[[#This Row],[INTERES  CUOTA]]</f>
        <v>#NUM!</v>
      </c>
      <c r="U5489" s="61" t="str">
        <f t="shared" si="869"/>
        <v/>
      </c>
    </row>
    <row r="5490" spans="9:21" ht="24.75" customHeight="1" x14ac:dyDescent="0.35">
      <c r="I5490" s="42">
        <f t="shared" si="860"/>
        <v>0</v>
      </c>
      <c r="J5490" s="65" t="e">
        <f t="shared" si="861"/>
        <v>#NUM!</v>
      </c>
      <c r="K5490" s="83" t="e">
        <f t="shared" si="862"/>
        <v>#NUM!</v>
      </c>
      <c r="L5490" s="83">
        <f t="shared" si="863"/>
        <v>0</v>
      </c>
      <c r="M5490" s="110" t="str">
        <f t="shared" si="864"/>
        <v/>
      </c>
      <c r="N5490" s="51" t="str">
        <f t="shared" si="865"/>
        <v/>
      </c>
      <c r="O5490" s="52" t="str">
        <f t="shared" si="866"/>
        <v/>
      </c>
      <c r="P5490" s="88">
        <f t="shared" si="867"/>
        <v>0</v>
      </c>
      <c r="Q5490" s="88">
        <f t="shared" si="868"/>
        <v>0</v>
      </c>
      <c r="R5490" s="88" t="e">
        <f>-IF(Tabla14[[#This Row],[DIAS HABILES O MORA]]&lt;0,(Tabla14[[#This Row],[VALOR PRESTAMO]]*Tabla14[[#This Row],[% INTERES ]]/30*U5490))+Tabla14[[#This Row],[VALOR CUOTAS]]</f>
        <v>#VALUE!</v>
      </c>
      <c r="S5490" s="88">
        <f>-IF(Tabla14[[#This Row],[DIAS HABILES O MORA]]&lt;0,(Tabla14[[#This Row],[VALOR PRESTAMO]]*Tabla14[[#This Row],[% INTERES ]]/30*U5490))</f>
        <v>0</v>
      </c>
      <c r="T5490" s="53" t="e">
        <f>Tabla14[[#This Row],[DEUDA CAPITAL]]+Tabla14[[#This Row],[INTERES  CUOTA]]</f>
        <v>#NUM!</v>
      </c>
      <c r="U5490" s="61" t="str">
        <f t="shared" si="869"/>
        <v/>
      </c>
    </row>
    <row r="5491" spans="9:21" ht="24.75" customHeight="1" x14ac:dyDescent="0.35">
      <c r="I5491" s="42">
        <f t="shared" si="860"/>
        <v>0</v>
      </c>
      <c r="J5491" s="65" t="e">
        <f t="shared" si="861"/>
        <v>#NUM!</v>
      </c>
      <c r="K5491" s="83" t="e">
        <f t="shared" si="862"/>
        <v>#NUM!</v>
      </c>
      <c r="L5491" s="83">
        <f t="shared" si="863"/>
        <v>0</v>
      </c>
      <c r="M5491" s="110" t="str">
        <f t="shared" si="864"/>
        <v/>
      </c>
      <c r="N5491" s="51" t="str">
        <f t="shared" si="865"/>
        <v/>
      </c>
      <c r="O5491" s="52" t="str">
        <f t="shared" si="866"/>
        <v/>
      </c>
      <c r="P5491" s="88">
        <f t="shared" si="867"/>
        <v>0</v>
      </c>
      <c r="Q5491" s="88">
        <f t="shared" si="868"/>
        <v>0</v>
      </c>
      <c r="R5491" s="88" t="e">
        <f>-IF(Tabla14[[#This Row],[DIAS HABILES O MORA]]&lt;0,(Tabla14[[#This Row],[VALOR PRESTAMO]]*Tabla14[[#This Row],[% INTERES ]]/30*U5491))+Tabla14[[#This Row],[VALOR CUOTAS]]</f>
        <v>#VALUE!</v>
      </c>
      <c r="S5491" s="88">
        <f>-IF(Tabla14[[#This Row],[DIAS HABILES O MORA]]&lt;0,(Tabla14[[#This Row],[VALOR PRESTAMO]]*Tabla14[[#This Row],[% INTERES ]]/30*U5491))</f>
        <v>0</v>
      </c>
      <c r="T5491" s="53" t="e">
        <f>Tabla14[[#This Row],[DEUDA CAPITAL]]+Tabla14[[#This Row],[INTERES  CUOTA]]</f>
        <v>#NUM!</v>
      </c>
      <c r="U5491" s="61" t="str">
        <f t="shared" si="869"/>
        <v/>
      </c>
    </row>
    <row r="5492" spans="9:21" ht="24.75" customHeight="1" x14ac:dyDescent="0.35">
      <c r="I5492" s="42">
        <f t="shared" si="860"/>
        <v>0</v>
      </c>
      <c r="J5492" s="65" t="e">
        <f t="shared" si="861"/>
        <v>#NUM!</v>
      </c>
      <c r="K5492" s="83" t="e">
        <f t="shared" si="862"/>
        <v>#NUM!</v>
      </c>
      <c r="L5492" s="83">
        <f t="shared" si="863"/>
        <v>0</v>
      </c>
      <c r="M5492" s="110" t="str">
        <f t="shared" si="864"/>
        <v/>
      </c>
      <c r="N5492" s="51" t="str">
        <f t="shared" si="865"/>
        <v/>
      </c>
      <c r="O5492" s="52" t="str">
        <f t="shared" si="866"/>
        <v/>
      </c>
      <c r="P5492" s="88">
        <f t="shared" si="867"/>
        <v>0</v>
      </c>
      <c r="Q5492" s="88">
        <f t="shared" si="868"/>
        <v>0</v>
      </c>
      <c r="R5492" s="88" t="e">
        <f>-IF(Tabla14[[#This Row],[DIAS HABILES O MORA]]&lt;0,(Tabla14[[#This Row],[VALOR PRESTAMO]]*Tabla14[[#This Row],[% INTERES ]]/30*U5492))+Tabla14[[#This Row],[VALOR CUOTAS]]</f>
        <v>#VALUE!</v>
      </c>
      <c r="S5492" s="88">
        <f>-IF(Tabla14[[#This Row],[DIAS HABILES O MORA]]&lt;0,(Tabla14[[#This Row],[VALOR PRESTAMO]]*Tabla14[[#This Row],[% INTERES ]]/30*U5492))</f>
        <v>0</v>
      </c>
      <c r="T5492" s="53" t="e">
        <f>Tabla14[[#This Row],[DEUDA CAPITAL]]+Tabla14[[#This Row],[INTERES  CUOTA]]</f>
        <v>#NUM!</v>
      </c>
      <c r="U5492" s="61" t="str">
        <f t="shared" si="869"/>
        <v/>
      </c>
    </row>
    <row r="5493" spans="9:21" ht="24.75" customHeight="1" x14ac:dyDescent="0.35">
      <c r="I5493" s="42">
        <f t="shared" si="860"/>
        <v>0</v>
      </c>
      <c r="J5493" s="65" t="e">
        <f t="shared" si="861"/>
        <v>#NUM!</v>
      </c>
      <c r="K5493" s="83" t="e">
        <f t="shared" si="862"/>
        <v>#NUM!</v>
      </c>
      <c r="L5493" s="83">
        <f t="shared" si="863"/>
        <v>0</v>
      </c>
      <c r="M5493" s="110" t="str">
        <f t="shared" si="864"/>
        <v/>
      </c>
      <c r="N5493" s="51" t="str">
        <f t="shared" si="865"/>
        <v/>
      </c>
      <c r="O5493" s="52" t="str">
        <f t="shared" si="866"/>
        <v/>
      </c>
      <c r="P5493" s="88">
        <f t="shared" si="867"/>
        <v>0</v>
      </c>
      <c r="Q5493" s="88">
        <f t="shared" si="868"/>
        <v>0</v>
      </c>
      <c r="R5493" s="88" t="e">
        <f>-IF(Tabla14[[#This Row],[DIAS HABILES O MORA]]&lt;0,(Tabla14[[#This Row],[VALOR PRESTAMO]]*Tabla14[[#This Row],[% INTERES ]]/30*U5493))+Tabla14[[#This Row],[VALOR CUOTAS]]</f>
        <v>#VALUE!</v>
      </c>
      <c r="S5493" s="88">
        <f>-IF(Tabla14[[#This Row],[DIAS HABILES O MORA]]&lt;0,(Tabla14[[#This Row],[VALOR PRESTAMO]]*Tabla14[[#This Row],[% INTERES ]]/30*U5493))</f>
        <v>0</v>
      </c>
      <c r="T5493" s="53" t="e">
        <f>Tabla14[[#This Row],[DEUDA CAPITAL]]+Tabla14[[#This Row],[INTERES  CUOTA]]</f>
        <v>#NUM!</v>
      </c>
      <c r="U5493" s="61" t="str">
        <f t="shared" si="869"/>
        <v/>
      </c>
    </row>
    <row r="5494" spans="9:21" ht="24.75" customHeight="1" x14ac:dyDescent="0.35">
      <c r="I5494" s="42">
        <f t="shared" si="860"/>
        <v>0</v>
      </c>
      <c r="J5494" s="65" t="e">
        <f t="shared" si="861"/>
        <v>#NUM!</v>
      </c>
      <c r="K5494" s="83" t="e">
        <f t="shared" si="862"/>
        <v>#NUM!</v>
      </c>
      <c r="L5494" s="83">
        <f t="shared" si="863"/>
        <v>0</v>
      </c>
      <c r="M5494" s="110" t="str">
        <f t="shared" si="864"/>
        <v/>
      </c>
      <c r="N5494" s="51" t="str">
        <f t="shared" si="865"/>
        <v/>
      </c>
      <c r="O5494" s="52" t="str">
        <f t="shared" si="866"/>
        <v/>
      </c>
      <c r="P5494" s="88">
        <f t="shared" si="867"/>
        <v>0</v>
      </c>
      <c r="Q5494" s="88">
        <f t="shared" si="868"/>
        <v>0</v>
      </c>
      <c r="R5494" s="88" t="e">
        <f>-IF(Tabla14[[#This Row],[DIAS HABILES O MORA]]&lt;0,(Tabla14[[#This Row],[VALOR PRESTAMO]]*Tabla14[[#This Row],[% INTERES ]]/30*U5494))+Tabla14[[#This Row],[VALOR CUOTAS]]</f>
        <v>#VALUE!</v>
      </c>
      <c r="S5494" s="88">
        <f>-IF(Tabla14[[#This Row],[DIAS HABILES O MORA]]&lt;0,(Tabla14[[#This Row],[VALOR PRESTAMO]]*Tabla14[[#This Row],[% INTERES ]]/30*U5494))</f>
        <v>0</v>
      </c>
      <c r="T5494" s="53" t="e">
        <f>Tabla14[[#This Row],[DEUDA CAPITAL]]+Tabla14[[#This Row],[INTERES  CUOTA]]</f>
        <v>#NUM!</v>
      </c>
      <c r="U5494" s="61" t="str">
        <f t="shared" si="869"/>
        <v/>
      </c>
    </row>
    <row r="5495" spans="9:21" ht="24.75" customHeight="1" x14ac:dyDescent="0.35">
      <c r="I5495" s="42">
        <f t="shared" si="860"/>
        <v>0</v>
      </c>
      <c r="J5495" s="65" t="e">
        <f t="shared" si="861"/>
        <v>#NUM!</v>
      </c>
      <c r="K5495" s="83" t="e">
        <f t="shared" si="862"/>
        <v>#NUM!</v>
      </c>
      <c r="L5495" s="83">
        <f t="shared" si="863"/>
        <v>0</v>
      </c>
      <c r="M5495" s="110" t="str">
        <f t="shared" si="864"/>
        <v/>
      </c>
      <c r="N5495" s="51" t="str">
        <f t="shared" si="865"/>
        <v/>
      </c>
      <c r="O5495" s="52" t="str">
        <f t="shared" si="866"/>
        <v/>
      </c>
      <c r="P5495" s="88">
        <f t="shared" si="867"/>
        <v>0</v>
      </c>
      <c r="Q5495" s="88">
        <f t="shared" si="868"/>
        <v>0</v>
      </c>
      <c r="R5495" s="88" t="e">
        <f>-IF(Tabla14[[#This Row],[DIAS HABILES O MORA]]&lt;0,(Tabla14[[#This Row],[VALOR PRESTAMO]]*Tabla14[[#This Row],[% INTERES ]]/30*U5495))+Tabla14[[#This Row],[VALOR CUOTAS]]</f>
        <v>#VALUE!</v>
      </c>
      <c r="S5495" s="88">
        <f>-IF(Tabla14[[#This Row],[DIAS HABILES O MORA]]&lt;0,(Tabla14[[#This Row],[VALOR PRESTAMO]]*Tabla14[[#This Row],[% INTERES ]]/30*U5495))</f>
        <v>0</v>
      </c>
      <c r="T5495" s="53" t="e">
        <f>Tabla14[[#This Row],[DEUDA CAPITAL]]+Tabla14[[#This Row],[INTERES  CUOTA]]</f>
        <v>#NUM!</v>
      </c>
      <c r="U5495" s="61" t="str">
        <f t="shared" si="869"/>
        <v/>
      </c>
    </row>
    <row r="5496" spans="9:21" ht="24.75" customHeight="1" x14ac:dyDescent="0.35">
      <c r="I5496" s="42">
        <f t="shared" si="860"/>
        <v>0</v>
      </c>
      <c r="J5496" s="65" t="e">
        <f t="shared" si="861"/>
        <v>#NUM!</v>
      </c>
      <c r="K5496" s="83" t="e">
        <f t="shared" si="862"/>
        <v>#NUM!</v>
      </c>
      <c r="L5496" s="83">
        <f t="shared" si="863"/>
        <v>0</v>
      </c>
      <c r="M5496" s="110" t="str">
        <f t="shared" si="864"/>
        <v/>
      </c>
      <c r="N5496" s="51" t="str">
        <f t="shared" si="865"/>
        <v/>
      </c>
      <c r="O5496" s="52" t="str">
        <f t="shared" si="866"/>
        <v/>
      </c>
      <c r="P5496" s="88">
        <f t="shared" si="867"/>
        <v>0</v>
      </c>
      <c r="Q5496" s="88">
        <f t="shared" si="868"/>
        <v>0</v>
      </c>
      <c r="R5496" s="88" t="e">
        <f>-IF(Tabla14[[#This Row],[DIAS HABILES O MORA]]&lt;0,(Tabla14[[#This Row],[VALOR PRESTAMO]]*Tabla14[[#This Row],[% INTERES ]]/30*U5496))+Tabla14[[#This Row],[VALOR CUOTAS]]</f>
        <v>#VALUE!</v>
      </c>
      <c r="S5496" s="88">
        <f>-IF(Tabla14[[#This Row],[DIAS HABILES O MORA]]&lt;0,(Tabla14[[#This Row],[VALOR PRESTAMO]]*Tabla14[[#This Row],[% INTERES ]]/30*U5496))</f>
        <v>0</v>
      </c>
      <c r="T5496" s="53" t="e">
        <f>Tabla14[[#This Row],[DEUDA CAPITAL]]+Tabla14[[#This Row],[INTERES  CUOTA]]</f>
        <v>#NUM!</v>
      </c>
      <c r="U5496" s="61" t="str">
        <f t="shared" si="869"/>
        <v/>
      </c>
    </row>
    <row r="5497" spans="9:21" ht="24.75" customHeight="1" x14ac:dyDescent="0.35">
      <c r="I5497" s="42">
        <f t="shared" si="860"/>
        <v>0</v>
      </c>
      <c r="J5497" s="65" t="e">
        <f t="shared" si="861"/>
        <v>#NUM!</v>
      </c>
      <c r="K5497" s="83" t="e">
        <f t="shared" si="862"/>
        <v>#NUM!</v>
      </c>
      <c r="L5497" s="83">
        <f t="shared" si="863"/>
        <v>0</v>
      </c>
      <c r="M5497" s="110" t="str">
        <f t="shared" si="864"/>
        <v/>
      </c>
      <c r="N5497" s="51" t="str">
        <f t="shared" si="865"/>
        <v/>
      </c>
      <c r="O5497" s="52" t="str">
        <f t="shared" si="866"/>
        <v/>
      </c>
      <c r="P5497" s="88">
        <f t="shared" si="867"/>
        <v>0</v>
      </c>
      <c r="Q5497" s="88">
        <f t="shared" si="868"/>
        <v>0</v>
      </c>
      <c r="R5497" s="88" t="e">
        <f>-IF(Tabla14[[#This Row],[DIAS HABILES O MORA]]&lt;0,(Tabla14[[#This Row],[VALOR PRESTAMO]]*Tabla14[[#This Row],[% INTERES ]]/30*U5497))+Tabla14[[#This Row],[VALOR CUOTAS]]</f>
        <v>#VALUE!</v>
      </c>
      <c r="S5497" s="88">
        <f>-IF(Tabla14[[#This Row],[DIAS HABILES O MORA]]&lt;0,(Tabla14[[#This Row],[VALOR PRESTAMO]]*Tabla14[[#This Row],[% INTERES ]]/30*U5497))</f>
        <v>0</v>
      </c>
      <c r="T5497" s="53" t="e">
        <f>Tabla14[[#This Row],[DEUDA CAPITAL]]+Tabla14[[#This Row],[INTERES  CUOTA]]</f>
        <v>#NUM!</v>
      </c>
      <c r="U5497" s="61" t="str">
        <f t="shared" si="869"/>
        <v/>
      </c>
    </row>
    <row r="5498" spans="9:21" ht="24.75" customHeight="1" x14ac:dyDescent="0.35">
      <c r="I5498" s="42">
        <f t="shared" si="860"/>
        <v>0</v>
      </c>
      <c r="J5498" s="65" t="e">
        <f t="shared" si="861"/>
        <v>#NUM!</v>
      </c>
      <c r="K5498" s="83" t="e">
        <f t="shared" si="862"/>
        <v>#NUM!</v>
      </c>
      <c r="L5498" s="83">
        <f t="shared" si="863"/>
        <v>0</v>
      </c>
      <c r="M5498" s="110" t="str">
        <f t="shared" si="864"/>
        <v/>
      </c>
      <c r="N5498" s="51" t="str">
        <f t="shared" si="865"/>
        <v/>
      </c>
      <c r="O5498" s="52" t="str">
        <f t="shared" si="866"/>
        <v/>
      </c>
      <c r="P5498" s="88">
        <f t="shared" si="867"/>
        <v>0</v>
      </c>
      <c r="Q5498" s="88">
        <f t="shared" si="868"/>
        <v>0</v>
      </c>
      <c r="R5498" s="88" t="e">
        <f>-IF(Tabla14[[#This Row],[DIAS HABILES O MORA]]&lt;0,(Tabla14[[#This Row],[VALOR PRESTAMO]]*Tabla14[[#This Row],[% INTERES ]]/30*U5498))+Tabla14[[#This Row],[VALOR CUOTAS]]</f>
        <v>#VALUE!</v>
      </c>
      <c r="S5498" s="88">
        <f>-IF(Tabla14[[#This Row],[DIAS HABILES O MORA]]&lt;0,(Tabla14[[#This Row],[VALOR PRESTAMO]]*Tabla14[[#This Row],[% INTERES ]]/30*U5498))</f>
        <v>0</v>
      </c>
      <c r="T5498" s="53" t="e">
        <f>Tabla14[[#This Row],[DEUDA CAPITAL]]+Tabla14[[#This Row],[INTERES  CUOTA]]</f>
        <v>#NUM!</v>
      </c>
      <c r="U5498" s="61" t="str">
        <f t="shared" si="869"/>
        <v/>
      </c>
    </row>
    <row r="5499" spans="9:21" ht="24.75" customHeight="1" x14ac:dyDescent="0.35">
      <c r="I5499" s="42">
        <f t="shared" si="860"/>
        <v>0</v>
      </c>
      <c r="J5499" s="65" t="e">
        <f t="shared" si="861"/>
        <v>#NUM!</v>
      </c>
      <c r="K5499" s="83" t="e">
        <f t="shared" si="862"/>
        <v>#NUM!</v>
      </c>
      <c r="L5499" s="83">
        <f t="shared" si="863"/>
        <v>0</v>
      </c>
      <c r="M5499" s="110" t="str">
        <f t="shared" si="864"/>
        <v/>
      </c>
      <c r="N5499" s="51" t="str">
        <f t="shared" si="865"/>
        <v/>
      </c>
      <c r="O5499" s="52" t="str">
        <f t="shared" si="866"/>
        <v/>
      </c>
      <c r="P5499" s="88">
        <f t="shared" si="867"/>
        <v>0</v>
      </c>
      <c r="Q5499" s="88">
        <f t="shared" si="868"/>
        <v>0</v>
      </c>
      <c r="R5499" s="88" t="e">
        <f>-IF(Tabla14[[#This Row],[DIAS HABILES O MORA]]&lt;0,(Tabla14[[#This Row],[VALOR PRESTAMO]]*Tabla14[[#This Row],[% INTERES ]]/30*U5499))+Tabla14[[#This Row],[VALOR CUOTAS]]</f>
        <v>#VALUE!</v>
      </c>
      <c r="S5499" s="88">
        <f>-IF(Tabla14[[#This Row],[DIAS HABILES O MORA]]&lt;0,(Tabla14[[#This Row],[VALOR PRESTAMO]]*Tabla14[[#This Row],[% INTERES ]]/30*U5499))</f>
        <v>0</v>
      </c>
      <c r="T5499" s="53" t="e">
        <f>Tabla14[[#This Row],[DEUDA CAPITAL]]+Tabla14[[#This Row],[INTERES  CUOTA]]</f>
        <v>#NUM!</v>
      </c>
      <c r="U5499" s="61" t="str">
        <f t="shared" si="869"/>
        <v/>
      </c>
    </row>
    <row r="5500" spans="9:21" ht="24.75" customHeight="1" x14ac:dyDescent="0.35">
      <c r="I5500" s="42">
        <f t="shared" si="860"/>
        <v>0</v>
      </c>
      <c r="J5500" s="65" t="e">
        <f t="shared" si="861"/>
        <v>#NUM!</v>
      </c>
      <c r="K5500" s="83" t="e">
        <f t="shared" si="862"/>
        <v>#NUM!</v>
      </c>
      <c r="L5500" s="83">
        <f t="shared" si="863"/>
        <v>0</v>
      </c>
      <c r="M5500" s="110" t="str">
        <f t="shared" si="864"/>
        <v/>
      </c>
      <c r="N5500" s="51" t="str">
        <f t="shared" si="865"/>
        <v/>
      </c>
      <c r="O5500" s="52" t="str">
        <f t="shared" si="866"/>
        <v/>
      </c>
      <c r="P5500" s="88">
        <f t="shared" si="867"/>
        <v>0</v>
      </c>
      <c r="Q5500" s="88">
        <f t="shared" si="868"/>
        <v>0</v>
      </c>
      <c r="R5500" s="88" t="e">
        <f>-IF(Tabla14[[#This Row],[DIAS HABILES O MORA]]&lt;0,(Tabla14[[#This Row],[VALOR PRESTAMO]]*Tabla14[[#This Row],[% INTERES ]]/30*U5500))+Tabla14[[#This Row],[VALOR CUOTAS]]</f>
        <v>#VALUE!</v>
      </c>
      <c r="S5500" s="88">
        <f>-IF(Tabla14[[#This Row],[DIAS HABILES O MORA]]&lt;0,(Tabla14[[#This Row],[VALOR PRESTAMO]]*Tabla14[[#This Row],[% INTERES ]]/30*U5500))</f>
        <v>0</v>
      </c>
      <c r="T5500" s="53" t="e">
        <f>Tabla14[[#This Row],[DEUDA CAPITAL]]+Tabla14[[#This Row],[INTERES  CUOTA]]</f>
        <v>#NUM!</v>
      </c>
      <c r="U5500" s="61" t="str">
        <f t="shared" si="869"/>
        <v/>
      </c>
    </row>
    <row r="5501" spans="9:21" ht="24.75" customHeight="1" x14ac:dyDescent="0.35">
      <c r="I5501" s="42">
        <f t="shared" si="860"/>
        <v>0</v>
      </c>
      <c r="J5501" s="65" t="e">
        <f t="shared" si="861"/>
        <v>#NUM!</v>
      </c>
      <c r="K5501" s="83" t="e">
        <f t="shared" si="862"/>
        <v>#NUM!</v>
      </c>
      <c r="L5501" s="83">
        <f t="shared" si="863"/>
        <v>0</v>
      </c>
      <c r="M5501" s="110" t="str">
        <f t="shared" si="864"/>
        <v/>
      </c>
      <c r="N5501" s="51" t="str">
        <f t="shared" si="865"/>
        <v/>
      </c>
      <c r="O5501" s="52" t="str">
        <f t="shared" si="866"/>
        <v/>
      </c>
      <c r="P5501" s="88">
        <f t="shared" si="867"/>
        <v>0</v>
      </c>
      <c r="Q5501" s="88">
        <f t="shared" si="868"/>
        <v>0</v>
      </c>
      <c r="R5501" s="88" t="e">
        <f>-IF(Tabla14[[#This Row],[DIAS HABILES O MORA]]&lt;0,(Tabla14[[#This Row],[VALOR PRESTAMO]]*Tabla14[[#This Row],[% INTERES ]]/30*U5501))+Tabla14[[#This Row],[VALOR CUOTAS]]</f>
        <v>#VALUE!</v>
      </c>
      <c r="S5501" s="88">
        <f>-IF(Tabla14[[#This Row],[DIAS HABILES O MORA]]&lt;0,(Tabla14[[#This Row],[VALOR PRESTAMO]]*Tabla14[[#This Row],[% INTERES ]]/30*U5501))</f>
        <v>0</v>
      </c>
      <c r="T5501" s="53" t="e">
        <f>Tabla14[[#This Row],[DEUDA CAPITAL]]+Tabla14[[#This Row],[INTERES  CUOTA]]</f>
        <v>#NUM!</v>
      </c>
      <c r="U5501" s="61" t="str">
        <f t="shared" si="869"/>
        <v/>
      </c>
    </row>
    <row r="5502" spans="9:21" ht="24.75" customHeight="1" x14ac:dyDescent="0.35">
      <c r="I5502" s="42">
        <f t="shared" si="860"/>
        <v>0</v>
      </c>
      <c r="J5502" s="65" t="e">
        <f t="shared" si="861"/>
        <v>#NUM!</v>
      </c>
      <c r="K5502" s="83" t="e">
        <f t="shared" si="862"/>
        <v>#NUM!</v>
      </c>
      <c r="L5502" s="83">
        <f t="shared" si="863"/>
        <v>0</v>
      </c>
      <c r="M5502" s="110" t="str">
        <f t="shared" si="864"/>
        <v/>
      </c>
      <c r="N5502" s="51" t="str">
        <f t="shared" si="865"/>
        <v/>
      </c>
      <c r="O5502" s="52" t="str">
        <f t="shared" si="866"/>
        <v/>
      </c>
      <c r="P5502" s="88">
        <f t="shared" si="867"/>
        <v>0</v>
      </c>
      <c r="Q5502" s="88">
        <f t="shared" si="868"/>
        <v>0</v>
      </c>
      <c r="R5502" s="88" t="e">
        <f>-IF(Tabla14[[#This Row],[DIAS HABILES O MORA]]&lt;0,(Tabla14[[#This Row],[VALOR PRESTAMO]]*Tabla14[[#This Row],[% INTERES ]]/30*U5502))+Tabla14[[#This Row],[VALOR CUOTAS]]</f>
        <v>#VALUE!</v>
      </c>
      <c r="S5502" s="88">
        <f>-IF(Tabla14[[#This Row],[DIAS HABILES O MORA]]&lt;0,(Tabla14[[#This Row],[VALOR PRESTAMO]]*Tabla14[[#This Row],[% INTERES ]]/30*U5502))</f>
        <v>0</v>
      </c>
      <c r="T5502" s="53" t="e">
        <f>Tabla14[[#This Row],[DEUDA CAPITAL]]+Tabla14[[#This Row],[INTERES  CUOTA]]</f>
        <v>#NUM!</v>
      </c>
      <c r="U5502" s="61" t="str">
        <f t="shared" si="869"/>
        <v/>
      </c>
    </row>
    <row r="5503" spans="9:21" ht="24.75" customHeight="1" x14ac:dyDescent="0.35">
      <c r="I5503" s="42">
        <f t="shared" si="860"/>
        <v>0</v>
      </c>
      <c r="J5503" s="65" t="e">
        <f t="shared" si="861"/>
        <v>#NUM!</v>
      </c>
      <c r="K5503" s="83" t="e">
        <f t="shared" si="862"/>
        <v>#NUM!</v>
      </c>
      <c r="L5503" s="83">
        <f t="shared" si="863"/>
        <v>0</v>
      </c>
      <c r="M5503" s="110" t="str">
        <f t="shared" si="864"/>
        <v/>
      </c>
      <c r="N5503" s="51" t="str">
        <f t="shared" si="865"/>
        <v/>
      </c>
      <c r="O5503" s="52" t="str">
        <f t="shared" si="866"/>
        <v/>
      </c>
      <c r="P5503" s="88">
        <f t="shared" si="867"/>
        <v>0</v>
      </c>
      <c r="Q5503" s="88">
        <f t="shared" si="868"/>
        <v>0</v>
      </c>
      <c r="R5503" s="88" t="e">
        <f>-IF(Tabla14[[#This Row],[DIAS HABILES O MORA]]&lt;0,(Tabla14[[#This Row],[VALOR PRESTAMO]]*Tabla14[[#This Row],[% INTERES ]]/30*U5503))+Tabla14[[#This Row],[VALOR CUOTAS]]</f>
        <v>#VALUE!</v>
      </c>
      <c r="S5503" s="88">
        <f>-IF(Tabla14[[#This Row],[DIAS HABILES O MORA]]&lt;0,(Tabla14[[#This Row],[VALOR PRESTAMO]]*Tabla14[[#This Row],[% INTERES ]]/30*U5503))</f>
        <v>0</v>
      </c>
      <c r="T5503" s="53" t="e">
        <f>Tabla14[[#This Row],[DEUDA CAPITAL]]+Tabla14[[#This Row],[INTERES  CUOTA]]</f>
        <v>#NUM!</v>
      </c>
      <c r="U5503" s="61" t="str">
        <f t="shared" si="869"/>
        <v/>
      </c>
    </row>
    <row r="5504" spans="9:21" ht="24.75" customHeight="1" x14ac:dyDescent="0.35">
      <c r="I5504" s="42">
        <f t="shared" si="860"/>
        <v>0</v>
      </c>
      <c r="J5504" s="65" t="e">
        <f t="shared" si="861"/>
        <v>#NUM!</v>
      </c>
      <c r="K5504" s="83" t="e">
        <f t="shared" si="862"/>
        <v>#NUM!</v>
      </c>
      <c r="L5504" s="83">
        <f t="shared" si="863"/>
        <v>0</v>
      </c>
      <c r="M5504" s="110" t="str">
        <f t="shared" si="864"/>
        <v/>
      </c>
      <c r="N5504" s="51" t="str">
        <f t="shared" si="865"/>
        <v/>
      </c>
      <c r="O5504" s="52" t="str">
        <f t="shared" si="866"/>
        <v/>
      </c>
      <c r="P5504" s="88">
        <f t="shared" si="867"/>
        <v>0</v>
      </c>
      <c r="Q5504" s="88">
        <f t="shared" si="868"/>
        <v>0</v>
      </c>
      <c r="R5504" s="88" t="e">
        <f>-IF(Tabla14[[#This Row],[DIAS HABILES O MORA]]&lt;0,(Tabla14[[#This Row],[VALOR PRESTAMO]]*Tabla14[[#This Row],[% INTERES ]]/30*U5504))+Tabla14[[#This Row],[VALOR CUOTAS]]</f>
        <v>#VALUE!</v>
      </c>
      <c r="S5504" s="88">
        <f>-IF(Tabla14[[#This Row],[DIAS HABILES O MORA]]&lt;0,(Tabla14[[#This Row],[VALOR PRESTAMO]]*Tabla14[[#This Row],[% INTERES ]]/30*U5504))</f>
        <v>0</v>
      </c>
      <c r="T5504" s="53" t="e">
        <f>Tabla14[[#This Row],[DEUDA CAPITAL]]+Tabla14[[#This Row],[INTERES  CUOTA]]</f>
        <v>#NUM!</v>
      </c>
      <c r="U5504" s="61" t="str">
        <f t="shared" si="869"/>
        <v/>
      </c>
    </row>
    <row r="5505" spans="9:21" ht="24.75" customHeight="1" x14ac:dyDescent="0.35">
      <c r="I5505" s="42">
        <f t="shared" si="860"/>
        <v>0</v>
      </c>
      <c r="J5505" s="65" t="e">
        <f t="shared" si="861"/>
        <v>#NUM!</v>
      </c>
      <c r="K5505" s="83" t="e">
        <f t="shared" si="862"/>
        <v>#NUM!</v>
      </c>
      <c r="L5505" s="83">
        <f t="shared" si="863"/>
        <v>0</v>
      </c>
      <c r="M5505" s="110" t="str">
        <f t="shared" si="864"/>
        <v/>
      </c>
      <c r="N5505" s="51" t="str">
        <f t="shared" si="865"/>
        <v/>
      </c>
      <c r="O5505" s="52" t="str">
        <f t="shared" si="866"/>
        <v/>
      </c>
      <c r="P5505" s="88">
        <f t="shared" si="867"/>
        <v>0</v>
      </c>
      <c r="Q5505" s="88">
        <f t="shared" si="868"/>
        <v>0</v>
      </c>
      <c r="R5505" s="88" t="e">
        <f>-IF(Tabla14[[#This Row],[DIAS HABILES O MORA]]&lt;0,(Tabla14[[#This Row],[VALOR PRESTAMO]]*Tabla14[[#This Row],[% INTERES ]]/30*U5505))+Tabla14[[#This Row],[VALOR CUOTAS]]</f>
        <v>#VALUE!</v>
      </c>
      <c r="S5505" s="88">
        <f>-IF(Tabla14[[#This Row],[DIAS HABILES O MORA]]&lt;0,(Tabla14[[#This Row],[VALOR PRESTAMO]]*Tabla14[[#This Row],[% INTERES ]]/30*U5505))</f>
        <v>0</v>
      </c>
      <c r="T5505" s="53" t="e">
        <f>Tabla14[[#This Row],[DEUDA CAPITAL]]+Tabla14[[#This Row],[INTERES  CUOTA]]</f>
        <v>#NUM!</v>
      </c>
      <c r="U5505" s="61" t="str">
        <f t="shared" si="869"/>
        <v/>
      </c>
    </row>
    <row r="5506" spans="9:21" ht="24.75" customHeight="1" x14ac:dyDescent="0.35">
      <c r="I5506" s="42">
        <f t="shared" si="860"/>
        <v>0</v>
      </c>
      <c r="J5506" s="65" t="e">
        <f t="shared" si="861"/>
        <v>#NUM!</v>
      </c>
      <c r="K5506" s="83" t="e">
        <f t="shared" si="862"/>
        <v>#NUM!</v>
      </c>
      <c r="L5506" s="83">
        <f t="shared" si="863"/>
        <v>0</v>
      </c>
      <c r="M5506" s="110" t="str">
        <f t="shared" si="864"/>
        <v/>
      </c>
      <c r="N5506" s="51" t="str">
        <f t="shared" si="865"/>
        <v/>
      </c>
      <c r="O5506" s="52" t="str">
        <f t="shared" si="866"/>
        <v/>
      </c>
      <c r="P5506" s="88">
        <f t="shared" si="867"/>
        <v>0</v>
      </c>
      <c r="Q5506" s="88">
        <f t="shared" si="868"/>
        <v>0</v>
      </c>
      <c r="R5506" s="88" t="e">
        <f>-IF(Tabla14[[#This Row],[DIAS HABILES O MORA]]&lt;0,(Tabla14[[#This Row],[VALOR PRESTAMO]]*Tabla14[[#This Row],[% INTERES ]]/30*U5506))+Tabla14[[#This Row],[VALOR CUOTAS]]</f>
        <v>#VALUE!</v>
      </c>
      <c r="S5506" s="88">
        <f>-IF(Tabla14[[#This Row],[DIAS HABILES O MORA]]&lt;0,(Tabla14[[#This Row],[VALOR PRESTAMO]]*Tabla14[[#This Row],[% INTERES ]]/30*U5506))</f>
        <v>0</v>
      </c>
      <c r="T5506" s="53" t="e">
        <f>Tabla14[[#This Row],[DEUDA CAPITAL]]+Tabla14[[#This Row],[INTERES  CUOTA]]</f>
        <v>#NUM!</v>
      </c>
      <c r="U5506" s="61" t="str">
        <f t="shared" si="869"/>
        <v/>
      </c>
    </row>
    <row r="5507" spans="9:21" ht="24.75" customHeight="1" x14ac:dyDescent="0.35">
      <c r="I5507" s="42">
        <f t="shared" si="860"/>
        <v>0</v>
      </c>
      <c r="J5507" s="65" t="e">
        <f t="shared" si="861"/>
        <v>#NUM!</v>
      </c>
      <c r="K5507" s="83" t="e">
        <f t="shared" si="862"/>
        <v>#NUM!</v>
      </c>
      <c r="L5507" s="83">
        <f t="shared" si="863"/>
        <v>0</v>
      </c>
      <c r="M5507" s="110" t="str">
        <f t="shared" si="864"/>
        <v/>
      </c>
      <c r="N5507" s="51" t="str">
        <f t="shared" si="865"/>
        <v/>
      </c>
      <c r="O5507" s="52" t="str">
        <f t="shared" si="866"/>
        <v/>
      </c>
      <c r="P5507" s="88">
        <f t="shared" si="867"/>
        <v>0</v>
      </c>
      <c r="Q5507" s="88">
        <f t="shared" si="868"/>
        <v>0</v>
      </c>
      <c r="R5507" s="88" t="e">
        <f>-IF(Tabla14[[#This Row],[DIAS HABILES O MORA]]&lt;0,(Tabla14[[#This Row],[VALOR PRESTAMO]]*Tabla14[[#This Row],[% INTERES ]]/30*U5507))+Tabla14[[#This Row],[VALOR CUOTAS]]</f>
        <v>#VALUE!</v>
      </c>
      <c r="S5507" s="88">
        <f>-IF(Tabla14[[#This Row],[DIAS HABILES O MORA]]&lt;0,(Tabla14[[#This Row],[VALOR PRESTAMO]]*Tabla14[[#This Row],[% INTERES ]]/30*U5507))</f>
        <v>0</v>
      </c>
      <c r="T5507" s="53" t="e">
        <f>Tabla14[[#This Row],[DEUDA CAPITAL]]+Tabla14[[#This Row],[INTERES  CUOTA]]</f>
        <v>#NUM!</v>
      </c>
      <c r="U5507" s="61" t="str">
        <f t="shared" si="869"/>
        <v/>
      </c>
    </row>
    <row r="5508" spans="9:21" ht="24.75" customHeight="1" x14ac:dyDescent="0.35">
      <c r="I5508" s="42">
        <f t="shared" si="860"/>
        <v>0</v>
      </c>
      <c r="J5508" s="65" t="e">
        <f t="shared" si="861"/>
        <v>#NUM!</v>
      </c>
      <c r="K5508" s="83" t="e">
        <f t="shared" si="862"/>
        <v>#NUM!</v>
      </c>
      <c r="L5508" s="83">
        <f t="shared" si="863"/>
        <v>0</v>
      </c>
      <c r="M5508" s="110" t="str">
        <f t="shared" si="864"/>
        <v/>
      </c>
      <c r="N5508" s="51" t="str">
        <f t="shared" si="865"/>
        <v/>
      </c>
      <c r="O5508" s="52" t="str">
        <f t="shared" si="866"/>
        <v/>
      </c>
      <c r="P5508" s="88">
        <f t="shared" si="867"/>
        <v>0</v>
      </c>
      <c r="Q5508" s="88">
        <f t="shared" si="868"/>
        <v>0</v>
      </c>
      <c r="R5508" s="88" t="e">
        <f>-IF(Tabla14[[#This Row],[DIAS HABILES O MORA]]&lt;0,(Tabla14[[#This Row],[VALOR PRESTAMO]]*Tabla14[[#This Row],[% INTERES ]]/30*U5508))+Tabla14[[#This Row],[VALOR CUOTAS]]</f>
        <v>#VALUE!</v>
      </c>
      <c r="S5508" s="88">
        <f>-IF(Tabla14[[#This Row],[DIAS HABILES O MORA]]&lt;0,(Tabla14[[#This Row],[VALOR PRESTAMO]]*Tabla14[[#This Row],[% INTERES ]]/30*U5508))</f>
        <v>0</v>
      </c>
      <c r="T5508" s="53" t="e">
        <f>Tabla14[[#This Row],[DEUDA CAPITAL]]+Tabla14[[#This Row],[INTERES  CUOTA]]</f>
        <v>#NUM!</v>
      </c>
      <c r="U5508" s="61" t="str">
        <f t="shared" si="869"/>
        <v/>
      </c>
    </row>
    <row r="5509" spans="9:21" ht="24.75" customHeight="1" x14ac:dyDescent="0.35">
      <c r="I5509" s="42">
        <f t="shared" si="860"/>
        <v>0</v>
      </c>
      <c r="J5509" s="65" t="e">
        <f t="shared" si="861"/>
        <v>#NUM!</v>
      </c>
      <c r="K5509" s="83" t="e">
        <f t="shared" si="862"/>
        <v>#NUM!</v>
      </c>
      <c r="L5509" s="83">
        <f t="shared" si="863"/>
        <v>0</v>
      </c>
      <c r="M5509" s="110" t="str">
        <f t="shared" si="864"/>
        <v/>
      </c>
      <c r="N5509" s="51" t="str">
        <f t="shared" si="865"/>
        <v/>
      </c>
      <c r="O5509" s="52" t="str">
        <f t="shared" si="866"/>
        <v/>
      </c>
      <c r="P5509" s="88">
        <f t="shared" si="867"/>
        <v>0</v>
      </c>
      <c r="Q5509" s="88">
        <f t="shared" si="868"/>
        <v>0</v>
      </c>
      <c r="R5509" s="88" t="e">
        <f>-IF(Tabla14[[#This Row],[DIAS HABILES O MORA]]&lt;0,(Tabla14[[#This Row],[VALOR PRESTAMO]]*Tabla14[[#This Row],[% INTERES ]]/30*U5509))+Tabla14[[#This Row],[VALOR CUOTAS]]</f>
        <v>#VALUE!</v>
      </c>
      <c r="S5509" s="88">
        <f>-IF(Tabla14[[#This Row],[DIAS HABILES O MORA]]&lt;0,(Tabla14[[#This Row],[VALOR PRESTAMO]]*Tabla14[[#This Row],[% INTERES ]]/30*U5509))</f>
        <v>0</v>
      </c>
      <c r="T5509" s="53" t="e">
        <f>Tabla14[[#This Row],[DEUDA CAPITAL]]+Tabla14[[#This Row],[INTERES  CUOTA]]</f>
        <v>#NUM!</v>
      </c>
      <c r="U5509" s="61" t="str">
        <f t="shared" si="869"/>
        <v/>
      </c>
    </row>
    <row r="5510" spans="9:21" ht="24.75" customHeight="1" x14ac:dyDescent="0.35">
      <c r="I5510" s="42">
        <f t="shared" si="860"/>
        <v>0</v>
      </c>
      <c r="J5510" s="65" t="e">
        <f t="shared" si="861"/>
        <v>#NUM!</v>
      </c>
      <c r="K5510" s="83" t="e">
        <f t="shared" si="862"/>
        <v>#NUM!</v>
      </c>
      <c r="L5510" s="83">
        <f t="shared" si="863"/>
        <v>0</v>
      </c>
      <c r="M5510" s="110" t="str">
        <f t="shared" si="864"/>
        <v/>
      </c>
      <c r="N5510" s="51" t="str">
        <f t="shared" si="865"/>
        <v/>
      </c>
      <c r="O5510" s="52" t="str">
        <f t="shared" si="866"/>
        <v/>
      </c>
      <c r="P5510" s="88">
        <f t="shared" si="867"/>
        <v>0</v>
      </c>
      <c r="Q5510" s="88">
        <f t="shared" si="868"/>
        <v>0</v>
      </c>
      <c r="R5510" s="88" t="e">
        <f>-IF(Tabla14[[#This Row],[DIAS HABILES O MORA]]&lt;0,(Tabla14[[#This Row],[VALOR PRESTAMO]]*Tabla14[[#This Row],[% INTERES ]]/30*U5510))+Tabla14[[#This Row],[VALOR CUOTAS]]</f>
        <v>#VALUE!</v>
      </c>
      <c r="S5510" s="88">
        <f>-IF(Tabla14[[#This Row],[DIAS HABILES O MORA]]&lt;0,(Tabla14[[#This Row],[VALOR PRESTAMO]]*Tabla14[[#This Row],[% INTERES ]]/30*U5510))</f>
        <v>0</v>
      </c>
      <c r="T5510" s="53" t="e">
        <f>Tabla14[[#This Row],[DEUDA CAPITAL]]+Tabla14[[#This Row],[INTERES  CUOTA]]</f>
        <v>#NUM!</v>
      </c>
      <c r="U5510" s="61" t="str">
        <f t="shared" si="869"/>
        <v/>
      </c>
    </row>
    <row r="5511" spans="9:21" ht="24.75" customHeight="1" x14ac:dyDescent="0.35">
      <c r="I5511" s="42">
        <f t="shared" si="860"/>
        <v>0</v>
      </c>
      <c r="J5511" s="65" t="e">
        <f t="shared" si="861"/>
        <v>#NUM!</v>
      </c>
      <c r="K5511" s="83" t="e">
        <f t="shared" si="862"/>
        <v>#NUM!</v>
      </c>
      <c r="L5511" s="83">
        <f t="shared" si="863"/>
        <v>0</v>
      </c>
      <c r="M5511" s="110" t="str">
        <f t="shared" si="864"/>
        <v/>
      </c>
      <c r="N5511" s="51" t="str">
        <f t="shared" si="865"/>
        <v/>
      </c>
      <c r="O5511" s="52" t="str">
        <f t="shared" si="866"/>
        <v/>
      </c>
      <c r="P5511" s="88">
        <f t="shared" si="867"/>
        <v>0</v>
      </c>
      <c r="Q5511" s="88">
        <f t="shared" si="868"/>
        <v>0</v>
      </c>
      <c r="R5511" s="88" t="e">
        <f>-IF(Tabla14[[#This Row],[DIAS HABILES O MORA]]&lt;0,(Tabla14[[#This Row],[VALOR PRESTAMO]]*Tabla14[[#This Row],[% INTERES ]]/30*U5511))+Tabla14[[#This Row],[VALOR CUOTAS]]</f>
        <v>#VALUE!</v>
      </c>
      <c r="S5511" s="88">
        <f>-IF(Tabla14[[#This Row],[DIAS HABILES O MORA]]&lt;0,(Tabla14[[#This Row],[VALOR PRESTAMO]]*Tabla14[[#This Row],[% INTERES ]]/30*U5511))</f>
        <v>0</v>
      </c>
      <c r="T5511" s="53" t="e">
        <f>Tabla14[[#This Row],[DEUDA CAPITAL]]+Tabla14[[#This Row],[INTERES  CUOTA]]</f>
        <v>#NUM!</v>
      </c>
      <c r="U5511" s="61" t="str">
        <f t="shared" si="869"/>
        <v/>
      </c>
    </row>
    <row r="5512" spans="9:21" ht="24.75" customHeight="1" x14ac:dyDescent="0.35">
      <c r="I5512" s="42">
        <f t="shared" si="860"/>
        <v>0</v>
      </c>
      <c r="J5512" s="65" t="e">
        <f t="shared" si="861"/>
        <v>#NUM!</v>
      </c>
      <c r="K5512" s="83" t="e">
        <f t="shared" si="862"/>
        <v>#NUM!</v>
      </c>
      <c r="L5512" s="83">
        <f t="shared" si="863"/>
        <v>0</v>
      </c>
      <c r="M5512" s="110" t="str">
        <f t="shared" si="864"/>
        <v/>
      </c>
      <c r="N5512" s="51" t="str">
        <f t="shared" si="865"/>
        <v/>
      </c>
      <c r="O5512" s="52" t="str">
        <f t="shared" si="866"/>
        <v/>
      </c>
      <c r="P5512" s="88">
        <f t="shared" si="867"/>
        <v>0</v>
      </c>
      <c r="Q5512" s="88">
        <f t="shared" si="868"/>
        <v>0</v>
      </c>
      <c r="R5512" s="88" t="e">
        <f>-IF(Tabla14[[#This Row],[DIAS HABILES O MORA]]&lt;0,(Tabla14[[#This Row],[VALOR PRESTAMO]]*Tabla14[[#This Row],[% INTERES ]]/30*U5512))+Tabla14[[#This Row],[VALOR CUOTAS]]</f>
        <v>#VALUE!</v>
      </c>
      <c r="S5512" s="88">
        <f>-IF(Tabla14[[#This Row],[DIAS HABILES O MORA]]&lt;0,(Tabla14[[#This Row],[VALOR PRESTAMO]]*Tabla14[[#This Row],[% INTERES ]]/30*U5512))</f>
        <v>0</v>
      </c>
      <c r="T5512" s="53" t="e">
        <f>Tabla14[[#This Row],[DEUDA CAPITAL]]+Tabla14[[#This Row],[INTERES  CUOTA]]</f>
        <v>#NUM!</v>
      </c>
      <c r="U5512" s="61" t="str">
        <f t="shared" si="869"/>
        <v/>
      </c>
    </row>
    <row r="5513" spans="9:21" ht="24.75" customHeight="1" x14ac:dyDescent="0.35">
      <c r="I5513" s="42">
        <f t="shared" si="860"/>
        <v>0</v>
      </c>
      <c r="J5513" s="65" t="e">
        <f t="shared" si="861"/>
        <v>#NUM!</v>
      </c>
      <c r="K5513" s="83" t="e">
        <f t="shared" si="862"/>
        <v>#NUM!</v>
      </c>
      <c r="L5513" s="83">
        <f t="shared" si="863"/>
        <v>0</v>
      </c>
      <c r="M5513" s="110" t="str">
        <f t="shared" si="864"/>
        <v/>
      </c>
      <c r="N5513" s="51" t="str">
        <f t="shared" si="865"/>
        <v/>
      </c>
      <c r="O5513" s="52" t="str">
        <f t="shared" si="866"/>
        <v/>
      </c>
      <c r="P5513" s="88">
        <f t="shared" si="867"/>
        <v>0</v>
      </c>
      <c r="Q5513" s="88">
        <f t="shared" si="868"/>
        <v>0</v>
      </c>
      <c r="R5513" s="88" t="e">
        <f>-IF(Tabla14[[#This Row],[DIAS HABILES O MORA]]&lt;0,(Tabla14[[#This Row],[VALOR PRESTAMO]]*Tabla14[[#This Row],[% INTERES ]]/30*U5513))+Tabla14[[#This Row],[VALOR CUOTAS]]</f>
        <v>#VALUE!</v>
      </c>
      <c r="S5513" s="88">
        <f>-IF(Tabla14[[#This Row],[DIAS HABILES O MORA]]&lt;0,(Tabla14[[#This Row],[VALOR PRESTAMO]]*Tabla14[[#This Row],[% INTERES ]]/30*U5513))</f>
        <v>0</v>
      </c>
      <c r="T5513" s="53" t="e">
        <f>Tabla14[[#This Row],[DEUDA CAPITAL]]+Tabla14[[#This Row],[INTERES  CUOTA]]</f>
        <v>#NUM!</v>
      </c>
      <c r="U5513" s="61" t="str">
        <f t="shared" si="869"/>
        <v/>
      </c>
    </row>
    <row r="5514" spans="9:21" ht="24.75" customHeight="1" x14ac:dyDescent="0.35">
      <c r="I5514" s="42">
        <f t="shared" si="860"/>
        <v>0</v>
      </c>
      <c r="J5514" s="65" t="e">
        <f t="shared" si="861"/>
        <v>#NUM!</v>
      </c>
      <c r="K5514" s="83" t="e">
        <f t="shared" si="862"/>
        <v>#NUM!</v>
      </c>
      <c r="L5514" s="83">
        <f t="shared" si="863"/>
        <v>0</v>
      </c>
      <c r="M5514" s="110" t="str">
        <f t="shared" si="864"/>
        <v/>
      </c>
      <c r="N5514" s="51" t="str">
        <f t="shared" si="865"/>
        <v/>
      </c>
      <c r="O5514" s="52" t="str">
        <f t="shared" si="866"/>
        <v/>
      </c>
      <c r="P5514" s="88">
        <f t="shared" si="867"/>
        <v>0</v>
      </c>
      <c r="Q5514" s="88">
        <f t="shared" si="868"/>
        <v>0</v>
      </c>
      <c r="R5514" s="88" t="e">
        <f>-IF(Tabla14[[#This Row],[DIAS HABILES O MORA]]&lt;0,(Tabla14[[#This Row],[VALOR PRESTAMO]]*Tabla14[[#This Row],[% INTERES ]]/30*U5514))+Tabla14[[#This Row],[VALOR CUOTAS]]</f>
        <v>#VALUE!</v>
      </c>
      <c r="S5514" s="88">
        <f>-IF(Tabla14[[#This Row],[DIAS HABILES O MORA]]&lt;0,(Tabla14[[#This Row],[VALOR PRESTAMO]]*Tabla14[[#This Row],[% INTERES ]]/30*U5514))</f>
        <v>0</v>
      </c>
      <c r="T5514" s="53" t="e">
        <f>Tabla14[[#This Row],[DEUDA CAPITAL]]+Tabla14[[#This Row],[INTERES  CUOTA]]</f>
        <v>#NUM!</v>
      </c>
      <c r="U5514" s="61" t="str">
        <f t="shared" si="869"/>
        <v/>
      </c>
    </row>
    <row r="5515" spans="9:21" ht="24.75" customHeight="1" x14ac:dyDescent="0.35">
      <c r="I5515" s="42">
        <f t="shared" si="860"/>
        <v>0</v>
      </c>
      <c r="J5515" s="65" t="e">
        <f t="shared" si="861"/>
        <v>#NUM!</v>
      </c>
      <c r="K5515" s="83" t="e">
        <f t="shared" si="862"/>
        <v>#NUM!</v>
      </c>
      <c r="L5515" s="83">
        <f t="shared" si="863"/>
        <v>0</v>
      </c>
      <c r="M5515" s="110" t="str">
        <f t="shared" si="864"/>
        <v/>
      </c>
      <c r="N5515" s="51" t="str">
        <f t="shared" si="865"/>
        <v/>
      </c>
      <c r="O5515" s="52" t="str">
        <f t="shared" si="866"/>
        <v/>
      </c>
      <c r="P5515" s="88">
        <f t="shared" si="867"/>
        <v>0</v>
      </c>
      <c r="Q5515" s="88">
        <f t="shared" si="868"/>
        <v>0</v>
      </c>
      <c r="R5515" s="88" t="e">
        <f>-IF(Tabla14[[#This Row],[DIAS HABILES O MORA]]&lt;0,(Tabla14[[#This Row],[VALOR PRESTAMO]]*Tabla14[[#This Row],[% INTERES ]]/30*U5515))+Tabla14[[#This Row],[VALOR CUOTAS]]</f>
        <v>#VALUE!</v>
      </c>
      <c r="S5515" s="88">
        <f>-IF(Tabla14[[#This Row],[DIAS HABILES O MORA]]&lt;0,(Tabla14[[#This Row],[VALOR PRESTAMO]]*Tabla14[[#This Row],[% INTERES ]]/30*U5515))</f>
        <v>0</v>
      </c>
      <c r="T5515" s="53" t="e">
        <f>Tabla14[[#This Row],[DEUDA CAPITAL]]+Tabla14[[#This Row],[INTERES  CUOTA]]</f>
        <v>#NUM!</v>
      </c>
      <c r="U5515" s="61" t="str">
        <f t="shared" si="869"/>
        <v/>
      </c>
    </row>
    <row r="5516" spans="9:21" ht="24.75" customHeight="1" x14ac:dyDescent="0.35">
      <c r="I5516" s="42">
        <f t="shared" si="860"/>
        <v>0</v>
      </c>
      <c r="J5516" s="65" t="e">
        <f t="shared" si="861"/>
        <v>#NUM!</v>
      </c>
      <c r="K5516" s="83" t="e">
        <f t="shared" si="862"/>
        <v>#NUM!</v>
      </c>
      <c r="L5516" s="83">
        <f t="shared" si="863"/>
        <v>0</v>
      </c>
      <c r="M5516" s="110" t="str">
        <f t="shared" si="864"/>
        <v/>
      </c>
      <c r="N5516" s="51" t="str">
        <f t="shared" si="865"/>
        <v/>
      </c>
      <c r="O5516" s="52" t="str">
        <f t="shared" si="866"/>
        <v/>
      </c>
      <c r="P5516" s="88">
        <f t="shared" si="867"/>
        <v>0</v>
      </c>
      <c r="Q5516" s="88">
        <f t="shared" si="868"/>
        <v>0</v>
      </c>
      <c r="R5516" s="88" t="e">
        <f>-IF(Tabla14[[#This Row],[DIAS HABILES O MORA]]&lt;0,(Tabla14[[#This Row],[VALOR PRESTAMO]]*Tabla14[[#This Row],[% INTERES ]]/30*U5516))+Tabla14[[#This Row],[VALOR CUOTAS]]</f>
        <v>#VALUE!</v>
      </c>
      <c r="S5516" s="88">
        <f>-IF(Tabla14[[#This Row],[DIAS HABILES O MORA]]&lt;0,(Tabla14[[#This Row],[VALOR PRESTAMO]]*Tabla14[[#This Row],[% INTERES ]]/30*U5516))</f>
        <v>0</v>
      </c>
      <c r="T5516" s="53" t="e">
        <f>Tabla14[[#This Row],[DEUDA CAPITAL]]+Tabla14[[#This Row],[INTERES  CUOTA]]</f>
        <v>#NUM!</v>
      </c>
      <c r="U5516" s="61" t="str">
        <f t="shared" si="869"/>
        <v/>
      </c>
    </row>
    <row r="5517" spans="9:21" ht="24.75" customHeight="1" x14ac:dyDescent="0.35">
      <c r="I5517" s="42">
        <f t="shared" si="860"/>
        <v>0</v>
      </c>
      <c r="J5517" s="65" t="e">
        <f t="shared" si="861"/>
        <v>#NUM!</v>
      </c>
      <c r="K5517" s="83" t="e">
        <f t="shared" si="862"/>
        <v>#NUM!</v>
      </c>
      <c r="L5517" s="83">
        <f t="shared" si="863"/>
        <v>0</v>
      </c>
      <c r="M5517" s="110" t="str">
        <f t="shared" si="864"/>
        <v/>
      </c>
      <c r="N5517" s="51" t="str">
        <f t="shared" si="865"/>
        <v/>
      </c>
      <c r="O5517" s="52" t="str">
        <f t="shared" si="866"/>
        <v/>
      </c>
      <c r="P5517" s="88">
        <f t="shared" si="867"/>
        <v>0</v>
      </c>
      <c r="Q5517" s="88">
        <f t="shared" si="868"/>
        <v>0</v>
      </c>
      <c r="R5517" s="88" t="e">
        <f>-IF(Tabla14[[#This Row],[DIAS HABILES O MORA]]&lt;0,(Tabla14[[#This Row],[VALOR PRESTAMO]]*Tabla14[[#This Row],[% INTERES ]]/30*U5517))+Tabla14[[#This Row],[VALOR CUOTAS]]</f>
        <v>#VALUE!</v>
      </c>
      <c r="S5517" s="88">
        <f>-IF(Tabla14[[#This Row],[DIAS HABILES O MORA]]&lt;0,(Tabla14[[#This Row],[VALOR PRESTAMO]]*Tabla14[[#This Row],[% INTERES ]]/30*U5517))</f>
        <v>0</v>
      </c>
      <c r="T5517" s="53" t="e">
        <f>Tabla14[[#This Row],[DEUDA CAPITAL]]+Tabla14[[#This Row],[INTERES  CUOTA]]</f>
        <v>#NUM!</v>
      </c>
      <c r="U5517" s="61" t="str">
        <f t="shared" si="869"/>
        <v/>
      </c>
    </row>
    <row r="5518" spans="9:21" ht="24.75" customHeight="1" x14ac:dyDescent="0.35">
      <c r="I5518" s="42">
        <f t="shared" si="860"/>
        <v>0</v>
      </c>
      <c r="J5518" s="65" t="e">
        <f t="shared" si="861"/>
        <v>#NUM!</v>
      </c>
      <c r="K5518" s="83" t="e">
        <f t="shared" si="862"/>
        <v>#NUM!</v>
      </c>
      <c r="L5518" s="83">
        <f t="shared" si="863"/>
        <v>0</v>
      </c>
      <c r="M5518" s="110" t="str">
        <f t="shared" si="864"/>
        <v/>
      </c>
      <c r="N5518" s="51" t="str">
        <f t="shared" si="865"/>
        <v/>
      </c>
      <c r="O5518" s="52" t="str">
        <f t="shared" si="866"/>
        <v/>
      </c>
      <c r="P5518" s="88">
        <f t="shared" si="867"/>
        <v>0</v>
      </c>
      <c r="Q5518" s="88">
        <f t="shared" si="868"/>
        <v>0</v>
      </c>
      <c r="R5518" s="88" t="e">
        <f>-IF(Tabla14[[#This Row],[DIAS HABILES O MORA]]&lt;0,(Tabla14[[#This Row],[VALOR PRESTAMO]]*Tabla14[[#This Row],[% INTERES ]]/30*U5518))+Tabla14[[#This Row],[VALOR CUOTAS]]</f>
        <v>#VALUE!</v>
      </c>
      <c r="S5518" s="88">
        <f>-IF(Tabla14[[#This Row],[DIAS HABILES O MORA]]&lt;0,(Tabla14[[#This Row],[VALOR PRESTAMO]]*Tabla14[[#This Row],[% INTERES ]]/30*U5518))</f>
        <v>0</v>
      </c>
      <c r="T5518" s="53" t="e">
        <f>Tabla14[[#This Row],[DEUDA CAPITAL]]+Tabla14[[#This Row],[INTERES  CUOTA]]</f>
        <v>#NUM!</v>
      </c>
      <c r="U5518" s="61" t="str">
        <f t="shared" si="869"/>
        <v/>
      </c>
    </row>
    <row r="5519" spans="9:21" ht="24.75" customHeight="1" x14ac:dyDescent="0.35">
      <c r="I5519" s="42">
        <f t="shared" si="860"/>
        <v>0</v>
      </c>
      <c r="J5519" s="65" t="e">
        <f t="shared" si="861"/>
        <v>#NUM!</v>
      </c>
      <c r="K5519" s="83" t="e">
        <f t="shared" si="862"/>
        <v>#NUM!</v>
      </c>
      <c r="L5519" s="83">
        <f t="shared" si="863"/>
        <v>0</v>
      </c>
      <c r="M5519" s="110" t="str">
        <f t="shared" si="864"/>
        <v/>
      </c>
      <c r="N5519" s="51" t="str">
        <f t="shared" si="865"/>
        <v/>
      </c>
      <c r="O5519" s="52" t="str">
        <f t="shared" si="866"/>
        <v/>
      </c>
      <c r="P5519" s="88">
        <f t="shared" si="867"/>
        <v>0</v>
      </c>
      <c r="Q5519" s="88">
        <f t="shared" si="868"/>
        <v>0</v>
      </c>
      <c r="R5519" s="88" t="e">
        <f>-IF(Tabla14[[#This Row],[DIAS HABILES O MORA]]&lt;0,(Tabla14[[#This Row],[VALOR PRESTAMO]]*Tabla14[[#This Row],[% INTERES ]]/30*U5519))+Tabla14[[#This Row],[VALOR CUOTAS]]</f>
        <v>#VALUE!</v>
      </c>
      <c r="S5519" s="88">
        <f>-IF(Tabla14[[#This Row],[DIAS HABILES O MORA]]&lt;0,(Tabla14[[#This Row],[VALOR PRESTAMO]]*Tabla14[[#This Row],[% INTERES ]]/30*U5519))</f>
        <v>0</v>
      </c>
      <c r="T5519" s="53" t="e">
        <f>Tabla14[[#This Row],[DEUDA CAPITAL]]+Tabla14[[#This Row],[INTERES  CUOTA]]</f>
        <v>#NUM!</v>
      </c>
      <c r="U5519" s="61" t="str">
        <f t="shared" si="869"/>
        <v/>
      </c>
    </row>
    <row r="5520" spans="9:21" ht="24.75" customHeight="1" x14ac:dyDescent="0.35">
      <c r="I5520" s="42">
        <f t="shared" ref="I5520:I5583" si="870">IF(C5520&lt;0,"",IF(Q5520=0,0,IF(G5520=0,H5520+1,IF(H5520&lt;G5520,H5520+1,IF(G5520=H5520,0)))))</f>
        <v>0</v>
      </c>
      <c r="J5520" s="65" t="e">
        <f t="shared" ref="J5520:J5583" si="871">IF(F5520="SOLO INTERES",Q5520*D5520,-IPMT(D5520,I5520,G5520,C5520))</f>
        <v>#NUM!</v>
      </c>
      <c r="K5520" s="83" t="e">
        <f t="shared" ref="K5520:K5583" si="872">IF(F5520="SOLO INTERES",0,-PPMT(D5520,I5520,G5520,C5520))</f>
        <v>#NUM!</v>
      </c>
      <c r="L5520" s="83">
        <f t="shared" ref="L5520:L5583" si="873">IF(F5520="SOLO INTERES",SUM(Y5520:AAE5520),IFERROR(-CUMIPMT(D5520,G5520,C5520,1,H5520,0),0)+SUM(Y5520:WY5520))</f>
        <v>0</v>
      </c>
      <c r="M5520" s="110" t="str">
        <f t="shared" ref="M5520:M5583" si="874">IFERROR(IF(F5520="SOLO INTERES",Q5520*D5520,-PMT(D5520,G5520,C5520,0)),"")</f>
        <v/>
      </c>
      <c r="N5520" s="51" t="str">
        <f t="shared" ref="N5520:N5583" si="875">IF(Q5520=0,"",IF(E5520="MENSUAL",EDATE(B5520,I5520),IF(E5520="QUINCENAL",B5520+(I5520*15),IF(E5520="SEMANAL",B5520+(I5520*7)))))</f>
        <v/>
      </c>
      <c r="O5520" s="52" t="str">
        <f t="shared" ref="O5520:O5583" si="876">IF(C5520=0,"",IF(Q5520&lt;1,"PAGADO",IF(N5520=$A$3,"COBRAR HOY",IF(N5520&lt;$A$3,"EN MORA",IF(N5520&gt;$A$3,"AL DIA")))))</f>
        <v/>
      </c>
      <c r="P5520" s="88">
        <f t="shared" ref="P5520:P5583" si="877">IFERROR(-CUMPRINC(D5520,G5520,C5520,1,H5520,0),0)+W5520</f>
        <v>0</v>
      </c>
      <c r="Q5520" s="88">
        <f t="shared" ref="Q5520:Q5583" si="878">IFERROR(C5520-P5520,"")</f>
        <v>0</v>
      </c>
      <c r="R5520" s="88" t="e">
        <f>-IF(Tabla14[[#This Row],[DIAS HABILES O MORA]]&lt;0,(Tabla14[[#This Row],[VALOR PRESTAMO]]*Tabla14[[#This Row],[% INTERES ]]/30*U5520))+Tabla14[[#This Row],[VALOR CUOTAS]]</f>
        <v>#VALUE!</v>
      </c>
      <c r="S5520" s="88">
        <f>-IF(Tabla14[[#This Row],[DIAS HABILES O MORA]]&lt;0,(Tabla14[[#This Row],[VALOR PRESTAMO]]*Tabla14[[#This Row],[% INTERES ]]/30*U5520))</f>
        <v>0</v>
      </c>
      <c r="T5520" s="53" t="e">
        <f>Tabla14[[#This Row],[DEUDA CAPITAL]]+Tabla14[[#This Row],[INTERES  CUOTA]]</f>
        <v>#NUM!</v>
      </c>
      <c r="U5520" s="61" t="str">
        <f t="shared" ref="U5520:U5583" si="879">IF(O5520="PAGADO","",IFERROR(-IF(C5520=0,"",$A$3-N5520),""))</f>
        <v/>
      </c>
    </row>
    <row r="5521" spans="9:21" ht="24.75" customHeight="1" x14ac:dyDescent="0.35">
      <c r="I5521" s="42">
        <f t="shared" si="870"/>
        <v>0</v>
      </c>
      <c r="J5521" s="65" t="e">
        <f t="shared" si="871"/>
        <v>#NUM!</v>
      </c>
      <c r="K5521" s="83" t="e">
        <f t="shared" si="872"/>
        <v>#NUM!</v>
      </c>
      <c r="L5521" s="83">
        <f t="shared" si="873"/>
        <v>0</v>
      </c>
      <c r="M5521" s="110" t="str">
        <f t="shared" si="874"/>
        <v/>
      </c>
      <c r="N5521" s="51" t="str">
        <f t="shared" si="875"/>
        <v/>
      </c>
      <c r="O5521" s="52" t="str">
        <f t="shared" si="876"/>
        <v/>
      </c>
      <c r="P5521" s="88">
        <f t="shared" si="877"/>
        <v>0</v>
      </c>
      <c r="Q5521" s="88">
        <f t="shared" si="878"/>
        <v>0</v>
      </c>
      <c r="R5521" s="88" t="e">
        <f>-IF(Tabla14[[#This Row],[DIAS HABILES O MORA]]&lt;0,(Tabla14[[#This Row],[VALOR PRESTAMO]]*Tabla14[[#This Row],[% INTERES ]]/30*U5521))+Tabla14[[#This Row],[VALOR CUOTAS]]</f>
        <v>#VALUE!</v>
      </c>
      <c r="S5521" s="88">
        <f>-IF(Tabla14[[#This Row],[DIAS HABILES O MORA]]&lt;0,(Tabla14[[#This Row],[VALOR PRESTAMO]]*Tabla14[[#This Row],[% INTERES ]]/30*U5521))</f>
        <v>0</v>
      </c>
      <c r="T5521" s="53" t="e">
        <f>Tabla14[[#This Row],[DEUDA CAPITAL]]+Tabla14[[#This Row],[INTERES  CUOTA]]</f>
        <v>#NUM!</v>
      </c>
      <c r="U5521" s="61" t="str">
        <f t="shared" si="879"/>
        <v/>
      </c>
    </row>
    <row r="5522" spans="9:21" ht="24.75" customHeight="1" x14ac:dyDescent="0.35">
      <c r="I5522" s="42">
        <f t="shared" si="870"/>
        <v>0</v>
      </c>
      <c r="J5522" s="65" t="e">
        <f t="shared" si="871"/>
        <v>#NUM!</v>
      </c>
      <c r="K5522" s="83" t="e">
        <f t="shared" si="872"/>
        <v>#NUM!</v>
      </c>
      <c r="L5522" s="83">
        <f t="shared" si="873"/>
        <v>0</v>
      </c>
      <c r="M5522" s="110" t="str">
        <f t="shared" si="874"/>
        <v/>
      </c>
      <c r="N5522" s="51" t="str">
        <f t="shared" si="875"/>
        <v/>
      </c>
      <c r="O5522" s="52" t="str">
        <f t="shared" si="876"/>
        <v/>
      </c>
      <c r="P5522" s="88">
        <f t="shared" si="877"/>
        <v>0</v>
      </c>
      <c r="Q5522" s="88">
        <f t="shared" si="878"/>
        <v>0</v>
      </c>
      <c r="R5522" s="88" t="e">
        <f>-IF(Tabla14[[#This Row],[DIAS HABILES O MORA]]&lt;0,(Tabla14[[#This Row],[VALOR PRESTAMO]]*Tabla14[[#This Row],[% INTERES ]]/30*U5522))+Tabla14[[#This Row],[VALOR CUOTAS]]</f>
        <v>#VALUE!</v>
      </c>
      <c r="S5522" s="88">
        <f>-IF(Tabla14[[#This Row],[DIAS HABILES O MORA]]&lt;0,(Tabla14[[#This Row],[VALOR PRESTAMO]]*Tabla14[[#This Row],[% INTERES ]]/30*U5522))</f>
        <v>0</v>
      </c>
      <c r="T5522" s="53" t="e">
        <f>Tabla14[[#This Row],[DEUDA CAPITAL]]+Tabla14[[#This Row],[INTERES  CUOTA]]</f>
        <v>#NUM!</v>
      </c>
      <c r="U5522" s="61" t="str">
        <f t="shared" si="879"/>
        <v/>
      </c>
    </row>
    <row r="5523" spans="9:21" ht="24.75" customHeight="1" x14ac:dyDescent="0.35">
      <c r="I5523" s="42">
        <f t="shared" si="870"/>
        <v>0</v>
      </c>
      <c r="J5523" s="65" t="e">
        <f t="shared" si="871"/>
        <v>#NUM!</v>
      </c>
      <c r="K5523" s="83" t="e">
        <f t="shared" si="872"/>
        <v>#NUM!</v>
      </c>
      <c r="L5523" s="83">
        <f t="shared" si="873"/>
        <v>0</v>
      </c>
      <c r="M5523" s="110" t="str">
        <f t="shared" si="874"/>
        <v/>
      </c>
      <c r="N5523" s="51" t="str">
        <f t="shared" si="875"/>
        <v/>
      </c>
      <c r="O5523" s="52" t="str">
        <f t="shared" si="876"/>
        <v/>
      </c>
      <c r="P5523" s="88">
        <f t="shared" si="877"/>
        <v>0</v>
      </c>
      <c r="Q5523" s="88">
        <f t="shared" si="878"/>
        <v>0</v>
      </c>
      <c r="R5523" s="88" t="e">
        <f>-IF(Tabla14[[#This Row],[DIAS HABILES O MORA]]&lt;0,(Tabla14[[#This Row],[VALOR PRESTAMO]]*Tabla14[[#This Row],[% INTERES ]]/30*U5523))+Tabla14[[#This Row],[VALOR CUOTAS]]</f>
        <v>#VALUE!</v>
      </c>
      <c r="S5523" s="88">
        <f>-IF(Tabla14[[#This Row],[DIAS HABILES O MORA]]&lt;0,(Tabla14[[#This Row],[VALOR PRESTAMO]]*Tabla14[[#This Row],[% INTERES ]]/30*U5523))</f>
        <v>0</v>
      </c>
      <c r="T5523" s="53" t="e">
        <f>Tabla14[[#This Row],[DEUDA CAPITAL]]+Tabla14[[#This Row],[INTERES  CUOTA]]</f>
        <v>#NUM!</v>
      </c>
      <c r="U5523" s="61" t="str">
        <f t="shared" si="879"/>
        <v/>
      </c>
    </row>
    <row r="5524" spans="9:21" ht="24.75" customHeight="1" x14ac:dyDescent="0.35">
      <c r="I5524" s="42">
        <f t="shared" si="870"/>
        <v>0</v>
      </c>
      <c r="J5524" s="65" t="e">
        <f t="shared" si="871"/>
        <v>#NUM!</v>
      </c>
      <c r="K5524" s="83" t="e">
        <f t="shared" si="872"/>
        <v>#NUM!</v>
      </c>
      <c r="L5524" s="83">
        <f t="shared" si="873"/>
        <v>0</v>
      </c>
      <c r="M5524" s="110" t="str">
        <f t="shared" si="874"/>
        <v/>
      </c>
      <c r="N5524" s="51" t="str">
        <f t="shared" si="875"/>
        <v/>
      </c>
      <c r="O5524" s="52" t="str">
        <f t="shared" si="876"/>
        <v/>
      </c>
      <c r="P5524" s="88">
        <f t="shared" si="877"/>
        <v>0</v>
      </c>
      <c r="Q5524" s="88">
        <f t="shared" si="878"/>
        <v>0</v>
      </c>
      <c r="R5524" s="88" t="e">
        <f>-IF(Tabla14[[#This Row],[DIAS HABILES O MORA]]&lt;0,(Tabla14[[#This Row],[VALOR PRESTAMO]]*Tabla14[[#This Row],[% INTERES ]]/30*U5524))+Tabla14[[#This Row],[VALOR CUOTAS]]</f>
        <v>#VALUE!</v>
      </c>
      <c r="S5524" s="88">
        <f>-IF(Tabla14[[#This Row],[DIAS HABILES O MORA]]&lt;0,(Tabla14[[#This Row],[VALOR PRESTAMO]]*Tabla14[[#This Row],[% INTERES ]]/30*U5524))</f>
        <v>0</v>
      </c>
      <c r="T5524" s="53" t="e">
        <f>Tabla14[[#This Row],[DEUDA CAPITAL]]+Tabla14[[#This Row],[INTERES  CUOTA]]</f>
        <v>#NUM!</v>
      </c>
      <c r="U5524" s="61" t="str">
        <f t="shared" si="879"/>
        <v/>
      </c>
    </row>
    <row r="5525" spans="9:21" ht="24.75" customHeight="1" x14ac:dyDescent="0.35">
      <c r="I5525" s="42">
        <f t="shared" si="870"/>
        <v>0</v>
      </c>
      <c r="J5525" s="65" t="e">
        <f t="shared" si="871"/>
        <v>#NUM!</v>
      </c>
      <c r="K5525" s="83" t="e">
        <f t="shared" si="872"/>
        <v>#NUM!</v>
      </c>
      <c r="L5525" s="83">
        <f t="shared" si="873"/>
        <v>0</v>
      </c>
      <c r="M5525" s="110" t="str">
        <f t="shared" si="874"/>
        <v/>
      </c>
      <c r="N5525" s="51" t="str">
        <f t="shared" si="875"/>
        <v/>
      </c>
      <c r="O5525" s="52" t="str">
        <f t="shared" si="876"/>
        <v/>
      </c>
      <c r="P5525" s="88">
        <f t="shared" si="877"/>
        <v>0</v>
      </c>
      <c r="Q5525" s="88">
        <f t="shared" si="878"/>
        <v>0</v>
      </c>
      <c r="R5525" s="88" t="e">
        <f>-IF(Tabla14[[#This Row],[DIAS HABILES O MORA]]&lt;0,(Tabla14[[#This Row],[VALOR PRESTAMO]]*Tabla14[[#This Row],[% INTERES ]]/30*U5525))+Tabla14[[#This Row],[VALOR CUOTAS]]</f>
        <v>#VALUE!</v>
      </c>
      <c r="S5525" s="88">
        <f>-IF(Tabla14[[#This Row],[DIAS HABILES O MORA]]&lt;0,(Tabla14[[#This Row],[VALOR PRESTAMO]]*Tabla14[[#This Row],[% INTERES ]]/30*U5525))</f>
        <v>0</v>
      </c>
      <c r="T5525" s="53" t="e">
        <f>Tabla14[[#This Row],[DEUDA CAPITAL]]+Tabla14[[#This Row],[INTERES  CUOTA]]</f>
        <v>#NUM!</v>
      </c>
      <c r="U5525" s="61" t="str">
        <f t="shared" si="879"/>
        <v/>
      </c>
    </row>
    <row r="5526" spans="9:21" ht="24.75" customHeight="1" x14ac:dyDescent="0.35">
      <c r="I5526" s="42">
        <f t="shared" si="870"/>
        <v>0</v>
      </c>
      <c r="J5526" s="65" t="e">
        <f t="shared" si="871"/>
        <v>#NUM!</v>
      </c>
      <c r="K5526" s="83" t="e">
        <f t="shared" si="872"/>
        <v>#NUM!</v>
      </c>
      <c r="L5526" s="83">
        <f t="shared" si="873"/>
        <v>0</v>
      </c>
      <c r="M5526" s="110" t="str">
        <f t="shared" si="874"/>
        <v/>
      </c>
      <c r="N5526" s="51" t="str">
        <f t="shared" si="875"/>
        <v/>
      </c>
      <c r="O5526" s="52" t="str">
        <f t="shared" si="876"/>
        <v/>
      </c>
      <c r="P5526" s="88">
        <f t="shared" si="877"/>
        <v>0</v>
      </c>
      <c r="Q5526" s="88">
        <f t="shared" si="878"/>
        <v>0</v>
      </c>
      <c r="R5526" s="88" t="e">
        <f>-IF(Tabla14[[#This Row],[DIAS HABILES O MORA]]&lt;0,(Tabla14[[#This Row],[VALOR PRESTAMO]]*Tabla14[[#This Row],[% INTERES ]]/30*U5526))+Tabla14[[#This Row],[VALOR CUOTAS]]</f>
        <v>#VALUE!</v>
      </c>
      <c r="S5526" s="88">
        <f>-IF(Tabla14[[#This Row],[DIAS HABILES O MORA]]&lt;0,(Tabla14[[#This Row],[VALOR PRESTAMO]]*Tabla14[[#This Row],[% INTERES ]]/30*U5526))</f>
        <v>0</v>
      </c>
      <c r="T5526" s="53" t="e">
        <f>Tabla14[[#This Row],[DEUDA CAPITAL]]+Tabla14[[#This Row],[INTERES  CUOTA]]</f>
        <v>#NUM!</v>
      </c>
      <c r="U5526" s="61" t="str">
        <f t="shared" si="879"/>
        <v/>
      </c>
    </row>
    <row r="5527" spans="9:21" ht="24.75" customHeight="1" x14ac:dyDescent="0.35">
      <c r="I5527" s="42">
        <f t="shared" si="870"/>
        <v>0</v>
      </c>
      <c r="J5527" s="65" t="e">
        <f t="shared" si="871"/>
        <v>#NUM!</v>
      </c>
      <c r="K5527" s="83" t="e">
        <f t="shared" si="872"/>
        <v>#NUM!</v>
      </c>
      <c r="L5527" s="83">
        <f t="shared" si="873"/>
        <v>0</v>
      </c>
      <c r="M5527" s="110" t="str">
        <f t="shared" si="874"/>
        <v/>
      </c>
      <c r="N5527" s="51" t="str">
        <f t="shared" si="875"/>
        <v/>
      </c>
      <c r="O5527" s="52" t="str">
        <f t="shared" si="876"/>
        <v/>
      </c>
      <c r="P5527" s="88">
        <f t="shared" si="877"/>
        <v>0</v>
      </c>
      <c r="Q5527" s="88">
        <f t="shared" si="878"/>
        <v>0</v>
      </c>
      <c r="R5527" s="88" t="e">
        <f>-IF(Tabla14[[#This Row],[DIAS HABILES O MORA]]&lt;0,(Tabla14[[#This Row],[VALOR PRESTAMO]]*Tabla14[[#This Row],[% INTERES ]]/30*U5527))+Tabla14[[#This Row],[VALOR CUOTAS]]</f>
        <v>#VALUE!</v>
      </c>
      <c r="S5527" s="88">
        <f>-IF(Tabla14[[#This Row],[DIAS HABILES O MORA]]&lt;0,(Tabla14[[#This Row],[VALOR PRESTAMO]]*Tabla14[[#This Row],[% INTERES ]]/30*U5527))</f>
        <v>0</v>
      </c>
      <c r="T5527" s="53" t="e">
        <f>Tabla14[[#This Row],[DEUDA CAPITAL]]+Tabla14[[#This Row],[INTERES  CUOTA]]</f>
        <v>#NUM!</v>
      </c>
      <c r="U5527" s="61" t="str">
        <f t="shared" si="879"/>
        <v/>
      </c>
    </row>
    <row r="5528" spans="9:21" ht="24.75" customHeight="1" x14ac:dyDescent="0.35">
      <c r="I5528" s="42">
        <f t="shared" si="870"/>
        <v>0</v>
      </c>
      <c r="J5528" s="65" t="e">
        <f t="shared" si="871"/>
        <v>#NUM!</v>
      </c>
      <c r="K5528" s="83" t="e">
        <f t="shared" si="872"/>
        <v>#NUM!</v>
      </c>
      <c r="L5528" s="83">
        <f t="shared" si="873"/>
        <v>0</v>
      </c>
      <c r="M5528" s="110" t="str">
        <f t="shared" si="874"/>
        <v/>
      </c>
      <c r="N5528" s="51" t="str">
        <f t="shared" si="875"/>
        <v/>
      </c>
      <c r="O5528" s="52" t="str">
        <f t="shared" si="876"/>
        <v/>
      </c>
      <c r="P5528" s="88">
        <f t="shared" si="877"/>
        <v>0</v>
      </c>
      <c r="Q5528" s="88">
        <f t="shared" si="878"/>
        <v>0</v>
      </c>
      <c r="R5528" s="88" t="e">
        <f>-IF(Tabla14[[#This Row],[DIAS HABILES O MORA]]&lt;0,(Tabla14[[#This Row],[VALOR PRESTAMO]]*Tabla14[[#This Row],[% INTERES ]]/30*U5528))+Tabla14[[#This Row],[VALOR CUOTAS]]</f>
        <v>#VALUE!</v>
      </c>
      <c r="S5528" s="88">
        <f>-IF(Tabla14[[#This Row],[DIAS HABILES O MORA]]&lt;0,(Tabla14[[#This Row],[VALOR PRESTAMO]]*Tabla14[[#This Row],[% INTERES ]]/30*U5528))</f>
        <v>0</v>
      </c>
      <c r="T5528" s="53" t="e">
        <f>Tabla14[[#This Row],[DEUDA CAPITAL]]+Tabla14[[#This Row],[INTERES  CUOTA]]</f>
        <v>#NUM!</v>
      </c>
      <c r="U5528" s="61" t="str">
        <f t="shared" si="879"/>
        <v/>
      </c>
    </row>
    <row r="5529" spans="9:21" ht="24.75" customHeight="1" x14ac:dyDescent="0.35">
      <c r="I5529" s="42">
        <f t="shared" si="870"/>
        <v>0</v>
      </c>
      <c r="J5529" s="65" t="e">
        <f t="shared" si="871"/>
        <v>#NUM!</v>
      </c>
      <c r="K5529" s="83" t="e">
        <f t="shared" si="872"/>
        <v>#NUM!</v>
      </c>
      <c r="L5529" s="83">
        <f t="shared" si="873"/>
        <v>0</v>
      </c>
      <c r="M5529" s="110" t="str">
        <f t="shared" si="874"/>
        <v/>
      </c>
      <c r="N5529" s="51" t="str">
        <f t="shared" si="875"/>
        <v/>
      </c>
      <c r="O5529" s="52" t="str">
        <f t="shared" si="876"/>
        <v/>
      </c>
      <c r="P5529" s="88">
        <f t="shared" si="877"/>
        <v>0</v>
      </c>
      <c r="Q5529" s="88">
        <f t="shared" si="878"/>
        <v>0</v>
      </c>
      <c r="R5529" s="88" t="e">
        <f>-IF(Tabla14[[#This Row],[DIAS HABILES O MORA]]&lt;0,(Tabla14[[#This Row],[VALOR PRESTAMO]]*Tabla14[[#This Row],[% INTERES ]]/30*U5529))+Tabla14[[#This Row],[VALOR CUOTAS]]</f>
        <v>#VALUE!</v>
      </c>
      <c r="S5529" s="88">
        <f>-IF(Tabla14[[#This Row],[DIAS HABILES O MORA]]&lt;0,(Tabla14[[#This Row],[VALOR PRESTAMO]]*Tabla14[[#This Row],[% INTERES ]]/30*U5529))</f>
        <v>0</v>
      </c>
      <c r="T5529" s="53" t="e">
        <f>Tabla14[[#This Row],[DEUDA CAPITAL]]+Tabla14[[#This Row],[INTERES  CUOTA]]</f>
        <v>#NUM!</v>
      </c>
      <c r="U5529" s="61" t="str">
        <f t="shared" si="879"/>
        <v/>
      </c>
    </row>
    <row r="5530" spans="9:21" ht="24.75" customHeight="1" x14ac:dyDescent="0.35">
      <c r="I5530" s="42">
        <f t="shared" si="870"/>
        <v>0</v>
      </c>
      <c r="J5530" s="65" t="e">
        <f t="shared" si="871"/>
        <v>#NUM!</v>
      </c>
      <c r="K5530" s="83" t="e">
        <f t="shared" si="872"/>
        <v>#NUM!</v>
      </c>
      <c r="L5530" s="83">
        <f t="shared" si="873"/>
        <v>0</v>
      </c>
      <c r="M5530" s="110" t="str">
        <f t="shared" si="874"/>
        <v/>
      </c>
      <c r="N5530" s="51" t="str">
        <f t="shared" si="875"/>
        <v/>
      </c>
      <c r="O5530" s="52" t="str">
        <f t="shared" si="876"/>
        <v/>
      </c>
      <c r="P5530" s="88">
        <f t="shared" si="877"/>
        <v>0</v>
      </c>
      <c r="Q5530" s="88">
        <f t="shared" si="878"/>
        <v>0</v>
      </c>
      <c r="R5530" s="88" t="e">
        <f>-IF(Tabla14[[#This Row],[DIAS HABILES O MORA]]&lt;0,(Tabla14[[#This Row],[VALOR PRESTAMO]]*Tabla14[[#This Row],[% INTERES ]]/30*U5530))+Tabla14[[#This Row],[VALOR CUOTAS]]</f>
        <v>#VALUE!</v>
      </c>
      <c r="S5530" s="88">
        <f>-IF(Tabla14[[#This Row],[DIAS HABILES O MORA]]&lt;0,(Tabla14[[#This Row],[VALOR PRESTAMO]]*Tabla14[[#This Row],[% INTERES ]]/30*U5530))</f>
        <v>0</v>
      </c>
      <c r="T5530" s="53" t="e">
        <f>Tabla14[[#This Row],[DEUDA CAPITAL]]+Tabla14[[#This Row],[INTERES  CUOTA]]</f>
        <v>#NUM!</v>
      </c>
      <c r="U5530" s="61" t="str">
        <f t="shared" si="879"/>
        <v/>
      </c>
    </row>
    <row r="5531" spans="9:21" ht="24.75" customHeight="1" x14ac:dyDescent="0.35">
      <c r="I5531" s="42">
        <f t="shared" si="870"/>
        <v>0</v>
      </c>
      <c r="J5531" s="65" t="e">
        <f t="shared" si="871"/>
        <v>#NUM!</v>
      </c>
      <c r="K5531" s="83" t="e">
        <f t="shared" si="872"/>
        <v>#NUM!</v>
      </c>
      <c r="L5531" s="83">
        <f t="shared" si="873"/>
        <v>0</v>
      </c>
      <c r="M5531" s="110" t="str">
        <f t="shared" si="874"/>
        <v/>
      </c>
      <c r="N5531" s="51" t="str">
        <f t="shared" si="875"/>
        <v/>
      </c>
      <c r="O5531" s="52" t="str">
        <f t="shared" si="876"/>
        <v/>
      </c>
      <c r="P5531" s="88">
        <f t="shared" si="877"/>
        <v>0</v>
      </c>
      <c r="Q5531" s="88">
        <f t="shared" si="878"/>
        <v>0</v>
      </c>
      <c r="R5531" s="88" t="e">
        <f>-IF(Tabla14[[#This Row],[DIAS HABILES O MORA]]&lt;0,(Tabla14[[#This Row],[VALOR PRESTAMO]]*Tabla14[[#This Row],[% INTERES ]]/30*U5531))+Tabla14[[#This Row],[VALOR CUOTAS]]</f>
        <v>#VALUE!</v>
      </c>
      <c r="S5531" s="88">
        <f>-IF(Tabla14[[#This Row],[DIAS HABILES O MORA]]&lt;0,(Tabla14[[#This Row],[VALOR PRESTAMO]]*Tabla14[[#This Row],[% INTERES ]]/30*U5531))</f>
        <v>0</v>
      </c>
      <c r="T5531" s="53" t="e">
        <f>Tabla14[[#This Row],[DEUDA CAPITAL]]+Tabla14[[#This Row],[INTERES  CUOTA]]</f>
        <v>#NUM!</v>
      </c>
      <c r="U5531" s="61" t="str">
        <f t="shared" si="879"/>
        <v/>
      </c>
    </row>
    <row r="5532" spans="9:21" ht="24.75" customHeight="1" x14ac:dyDescent="0.35">
      <c r="I5532" s="42">
        <f t="shared" si="870"/>
        <v>0</v>
      </c>
      <c r="J5532" s="65" t="e">
        <f t="shared" si="871"/>
        <v>#NUM!</v>
      </c>
      <c r="K5532" s="83" t="e">
        <f t="shared" si="872"/>
        <v>#NUM!</v>
      </c>
      <c r="L5532" s="83">
        <f t="shared" si="873"/>
        <v>0</v>
      </c>
      <c r="M5532" s="110" t="str">
        <f t="shared" si="874"/>
        <v/>
      </c>
      <c r="N5532" s="51" t="str">
        <f t="shared" si="875"/>
        <v/>
      </c>
      <c r="O5532" s="52" t="str">
        <f t="shared" si="876"/>
        <v/>
      </c>
      <c r="P5532" s="88">
        <f t="shared" si="877"/>
        <v>0</v>
      </c>
      <c r="Q5532" s="88">
        <f t="shared" si="878"/>
        <v>0</v>
      </c>
      <c r="R5532" s="88" t="e">
        <f>-IF(Tabla14[[#This Row],[DIAS HABILES O MORA]]&lt;0,(Tabla14[[#This Row],[VALOR PRESTAMO]]*Tabla14[[#This Row],[% INTERES ]]/30*U5532))+Tabla14[[#This Row],[VALOR CUOTAS]]</f>
        <v>#VALUE!</v>
      </c>
      <c r="S5532" s="88">
        <f>-IF(Tabla14[[#This Row],[DIAS HABILES O MORA]]&lt;0,(Tabla14[[#This Row],[VALOR PRESTAMO]]*Tabla14[[#This Row],[% INTERES ]]/30*U5532))</f>
        <v>0</v>
      </c>
      <c r="T5532" s="53" t="e">
        <f>Tabla14[[#This Row],[DEUDA CAPITAL]]+Tabla14[[#This Row],[INTERES  CUOTA]]</f>
        <v>#NUM!</v>
      </c>
      <c r="U5532" s="61" t="str">
        <f t="shared" si="879"/>
        <v/>
      </c>
    </row>
    <row r="5533" spans="9:21" ht="24.75" customHeight="1" x14ac:dyDescent="0.35">
      <c r="I5533" s="42">
        <f t="shared" si="870"/>
        <v>0</v>
      </c>
      <c r="J5533" s="65" t="e">
        <f t="shared" si="871"/>
        <v>#NUM!</v>
      </c>
      <c r="K5533" s="83" t="e">
        <f t="shared" si="872"/>
        <v>#NUM!</v>
      </c>
      <c r="L5533" s="83">
        <f t="shared" si="873"/>
        <v>0</v>
      </c>
      <c r="M5533" s="110" t="str">
        <f t="shared" si="874"/>
        <v/>
      </c>
      <c r="N5533" s="51" t="str">
        <f t="shared" si="875"/>
        <v/>
      </c>
      <c r="O5533" s="52" t="str">
        <f t="shared" si="876"/>
        <v/>
      </c>
      <c r="P5533" s="88">
        <f t="shared" si="877"/>
        <v>0</v>
      </c>
      <c r="Q5533" s="88">
        <f t="shared" si="878"/>
        <v>0</v>
      </c>
      <c r="R5533" s="88" t="e">
        <f>-IF(Tabla14[[#This Row],[DIAS HABILES O MORA]]&lt;0,(Tabla14[[#This Row],[VALOR PRESTAMO]]*Tabla14[[#This Row],[% INTERES ]]/30*U5533))+Tabla14[[#This Row],[VALOR CUOTAS]]</f>
        <v>#VALUE!</v>
      </c>
      <c r="S5533" s="88">
        <f>-IF(Tabla14[[#This Row],[DIAS HABILES O MORA]]&lt;0,(Tabla14[[#This Row],[VALOR PRESTAMO]]*Tabla14[[#This Row],[% INTERES ]]/30*U5533))</f>
        <v>0</v>
      </c>
      <c r="T5533" s="53" t="e">
        <f>Tabla14[[#This Row],[DEUDA CAPITAL]]+Tabla14[[#This Row],[INTERES  CUOTA]]</f>
        <v>#NUM!</v>
      </c>
      <c r="U5533" s="61" t="str">
        <f t="shared" si="879"/>
        <v/>
      </c>
    </row>
    <row r="5534" spans="9:21" ht="24.75" customHeight="1" x14ac:dyDescent="0.35">
      <c r="I5534" s="42">
        <f t="shared" si="870"/>
        <v>0</v>
      </c>
      <c r="J5534" s="65" t="e">
        <f t="shared" si="871"/>
        <v>#NUM!</v>
      </c>
      <c r="K5534" s="83" t="e">
        <f t="shared" si="872"/>
        <v>#NUM!</v>
      </c>
      <c r="L5534" s="83">
        <f t="shared" si="873"/>
        <v>0</v>
      </c>
      <c r="M5534" s="110" t="str">
        <f t="shared" si="874"/>
        <v/>
      </c>
      <c r="N5534" s="51" t="str">
        <f t="shared" si="875"/>
        <v/>
      </c>
      <c r="O5534" s="52" t="str">
        <f t="shared" si="876"/>
        <v/>
      </c>
      <c r="P5534" s="88">
        <f t="shared" si="877"/>
        <v>0</v>
      </c>
      <c r="Q5534" s="88">
        <f t="shared" si="878"/>
        <v>0</v>
      </c>
      <c r="R5534" s="88" t="e">
        <f>-IF(Tabla14[[#This Row],[DIAS HABILES O MORA]]&lt;0,(Tabla14[[#This Row],[VALOR PRESTAMO]]*Tabla14[[#This Row],[% INTERES ]]/30*U5534))+Tabla14[[#This Row],[VALOR CUOTAS]]</f>
        <v>#VALUE!</v>
      </c>
      <c r="S5534" s="88">
        <f>-IF(Tabla14[[#This Row],[DIAS HABILES O MORA]]&lt;0,(Tabla14[[#This Row],[VALOR PRESTAMO]]*Tabla14[[#This Row],[% INTERES ]]/30*U5534))</f>
        <v>0</v>
      </c>
      <c r="T5534" s="53" t="e">
        <f>Tabla14[[#This Row],[DEUDA CAPITAL]]+Tabla14[[#This Row],[INTERES  CUOTA]]</f>
        <v>#NUM!</v>
      </c>
      <c r="U5534" s="61" t="str">
        <f t="shared" si="879"/>
        <v/>
      </c>
    </row>
    <row r="5535" spans="9:21" ht="24.75" customHeight="1" x14ac:dyDescent="0.35">
      <c r="I5535" s="42">
        <f t="shared" si="870"/>
        <v>0</v>
      </c>
      <c r="J5535" s="65" t="e">
        <f t="shared" si="871"/>
        <v>#NUM!</v>
      </c>
      <c r="K5535" s="83" t="e">
        <f t="shared" si="872"/>
        <v>#NUM!</v>
      </c>
      <c r="L5535" s="83">
        <f t="shared" si="873"/>
        <v>0</v>
      </c>
      <c r="M5535" s="110" t="str">
        <f t="shared" si="874"/>
        <v/>
      </c>
      <c r="N5535" s="51" t="str">
        <f t="shared" si="875"/>
        <v/>
      </c>
      <c r="O5535" s="52" t="str">
        <f t="shared" si="876"/>
        <v/>
      </c>
      <c r="P5535" s="88">
        <f t="shared" si="877"/>
        <v>0</v>
      </c>
      <c r="Q5535" s="88">
        <f t="shared" si="878"/>
        <v>0</v>
      </c>
      <c r="R5535" s="88" t="e">
        <f>-IF(Tabla14[[#This Row],[DIAS HABILES O MORA]]&lt;0,(Tabla14[[#This Row],[VALOR PRESTAMO]]*Tabla14[[#This Row],[% INTERES ]]/30*U5535))+Tabla14[[#This Row],[VALOR CUOTAS]]</f>
        <v>#VALUE!</v>
      </c>
      <c r="S5535" s="88">
        <f>-IF(Tabla14[[#This Row],[DIAS HABILES O MORA]]&lt;0,(Tabla14[[#This Row],[VALOR PRESTAMO]]*Tabla14[[#This Row],[% INTERES ]]/30*U5535))</f>
        <v>0</v>
      </c>
      <c r="T5535" s="53" t="e">
        <f>Tabla14[[#This Row],[DEUDA CAPITAL]]+Tabla14[[#This Row],[INTERES  CUOTA]]</f>
        <v>#NUM!</v>
      </c>
      <c r="U5535" s="61" t="str">
        <f t="shared" si="879"/>
        <v/>
      </c>
    </row>
    <row r="5536" spans="9:21" ht="24.75" customHeight="1" x14ac:dyDescent="0.35">
      <c r="I5536" s="42">
        <f t="shared" si="870"/>
        <v>0</v>
      </c>
      <c r="J5536" s="65" t="e">
        <f t="shared" si="871"/>
        <v>#NUM!</v>
      </c>
      <c r="K5536" s="83" t="e">
        <f t="shared" si="872"/>
        <v>#NUM!</v>
      </c>
      <c r="L5536" s="83">
        <f t="shared" si="873"/>
        <v>0</v>
      </c>
      <c r="M5536" s="110" t="str">
        <f t="shared" si="874"/>
        <v/>
      </c>
      <c r="N5536" s="51" t="str">
        <f t="shared" si="875"/>
        <v/>
      </c>
      <c r="O5536" s="52" t="str">
        <f t="shared" si="876"/>
        <v/>
      </c>
      <c r="P5536" s="88">
        <f t="shared" si="877"/>
        <v>0</v>
      </c>
      <c r="Q5536" s="88">
        <f t="shared" si="878"/>
        <v>0</v>
      </c>
      <c r="R5536" s="88" t="e">
        <f>-IF(Tabla14[[#This Row],[DIAS HABILES O MORA]]&lt;0,(Tabla14[[#This Row],[VALOR PRESTAMO]]*Tabla14[[#This Row],[% INTERES ]]/30*U5536))+Tabla14[[#This Row],[VALOR CUOTAS]]</f>
        <v>#VALUE!</v>
      </c>
      <c r="S5536" s="88">
        <f>-IF(Tabla14[[#This Row],[DIAS HABILES O MORA]]&lt;0,(Tabla14[[#This Row],[VALOR PRESTAMO]]*Tabla14[[#This Row],[% INTERES ]]/30*U5536))</f>
        <v>0</v>
      </c>
      <c r="T5536" s="53" t="e">
        <f>Tabla14[[#This Row],[DEUDA CAPITAL]]+Tabla14[[#This Row],[INTERES  CUOTA]]</f>
        <v>#NUM!</v>
      </c>
      <c r="U5536" s="61" t="str">
        <f t="shared" si="879"/>
        <v/>
      </c>
    </row>
    <row r="5537" spans="9:21" ht="24.75" customHeight="1" x14ac:dyDescent="0.35">
      <c r="I5537" s="42">
        <f t="shared" si="870"/>
        <v>0</v>
      </c>
      <c r="J5537" s="65" t="e">
        <f t="shared" si="871"/>
        <v>#NUM!</v>
      </c>
      <c r="K5537" s="83" t="e">
        <f t="shared" si="872"/>
        <v>#NUM!</v>
      </c>
      <c r="L5537" s="83">
        <f t="shared" si="873"/>
        <v>0</v>
      </c>
      <c r="M5537" s="110" t="str">
        <f t="shared" si="874"/>
        <v/>
      </c>
      <c r="N5537" s="51" t="str">
        <f t="shared" si="875"/>
        <v/>
      </c>
      <c r="O5537" s="52" t="str">
        <f t="shared" si="876"/>
        <v/>
      </c>
      <c r="P5537" s="88">
        <f t="shared" si="877"/>
        <v>0</v>
      </c>
      <c r="Q5537" s="88">
        <f t="shared" si="878"/>
        <v>0</v>
      </c>
      <c r="R5537" s="88" t="e">
        <f>-IF(Tabla14[[#This Row],[DIAS HABILES O MORA]]&lt;0,(Tabla14[[#This Row],[VALOR PRESTAMO]]*Tabla14[[#This Row],[% INTERES ]]/30*U5537))+Tabla14[[#This Row],[VALOR CUOTAS]]</f>
        <v>#VALUE!</v>
      </c>
      <c r="S5537" s="88">
        <f>-IF(Tabla14[[#This Row],[DIAS HABILES O MORA]]&lt;0,(Tabla14[[#This Row],[VALOR PRESTAMO]]*Tabla14[[#This Row],[% INTERES ]]/30*U5537))</f>
        <v>0</v>
      </c>
      <c r="T5537" s="53" t="e">
        <f>Tabla14[[#This Row],[DEUDA CAPITAL]]+Tabla14[[#This Row],[INTERES  CUOTA]]</f>
        <v>#NUM!</v>
      </c>
      <c r="U5537" s="61" t="str">
        <f t="shared" si="879"/>
        <v/>
      </c>
    </row>
    <row r="5538" spans="9:21" ht="24.75" customHeight="1" x14ac:dyDescent="0.35">
      <c r="I5538" s="42">
        <f t="shared" si="870"/>
        <v>0</v>
      </c>
      <c r="J5538" s="65" t="e">
        <f t="shared" si="871"/>
        <v>#NUM!</v>
      </c>
      <c r="K5538" s="83" t="e">
        <f t="shared" si="872"/>
        <v>#NUM!</v>
      </c>
      <c r="L5538" s="83">
        <f t="shared" si="873"/>
        <v>0</v>
      </c>
      <c r="M5538" s="110" t="str">
        <f t="shared" si="874"/>
        <v/>
      </c>
      <c r="N5538" s="51" t="str">
        <f t="shared" si="875"/>
        <v/>
      </c>
      <c r="O5538" s="52" t="str">
        <f t="shared" si="876"/>
        <v/>
      </c>
      <c r="P5538" s="88">
        <f t="shared" si="877"/>
        <v>0</v>
      </c>
      <c r="Q5538" s="88">
        <f t="shared" si="878"/>
        <v>0</v>
      </c>
      <c r="R5538" s="88" t="e">
        <f>-IF(Tabla14[[#This Row],[DIAS HABILES O MORA]]&lt;0,(Tabla14[[#This Row],[VALOR PRESTAMO]]*Tabla14[[#This Row],[% INTERES ]]/30*U5538))+Tabla14[[#This Row],[VALOR CUOTAS]]</f>
        <v>#VALUE!</v>
      </c>
      <c r="S5538" s="88">
        <f>-IF(Tabla14[[#This Row],[DIAS HABILES O MORA]]&lt;0,(Tabla14[[#This Row],[VALOR PRESTAMO]]*Tabla14[[#This Row],[% INTERES ]]/30*U5538))</f>
        <v>0</v>
      </c>
      <c r="T5538" s="53" t="e">
        <f>Tabla14[[#This Row],[DEUDA CAPITAL]]+Tabla14[[#This Row],[INTERES  CUOTA]]</f>
        <v>#NUM!</v>
      </c>
      <c r="U5538" s="61" t="str">
        <f t="shared" si="879"/>
        <v/>
      </c>
    </row>
    <row r="5539" spans="9:21" ht="24.75" customHeight="1" x14ac:dyDescent="0.35">
      <c r="I5539" s="42">
        <f t="shared" si="870"/>
        <v>0</v>
      </c>
      <c r="J5539" s="65" t="e">
        <f t="shared" si="871"/>
        <v>#NUM!</v>
      </c>
      <c r="K5539" s="83" t="e">
        <f t="shared" si="872"/>
        <v>#NUM!</v>
      </c>
      <c r="L5539" s="83">
        <f t="shared" si="873"/>
        <v>0</v>
      </c>
      <c r="M5539" s="110" t="str">
        <f t="shared" si="874"/>
        <v/>
      </c>
      <c r="N5539" s="51" t="str">
        <f t="shared" si="875"/>
        <v/>
      </c>
      <c r="O5539" s="52" t="str">
        <f t="shared" si="876"/>
        <v/>
      </c>
      <c r="P5539" s="88">
        <f t="shared" si="877"/>
        <v>0</v>
      </c>
      <c r="Q5539" s="88">
        <f t="shared" si="878"/>
        <v>0</v>
      </c>
      <c r="R5539" s="88" t="e">
        <f>-IF(Tabla14[[#This Row],[DIAS HABILES O MORA]]&lt;0,(Tabla14[[#This Row],[VALOR PRESTAMO]]*Tabla14[[#This Row],[% INTERES ]]/30*U5539))+Tabla14[[#This Row],[VALOR CUOTAS]]</f>
        <v>#VALUE!</v>
      </c>
      <c r="S5539" s="88">
        <f>-IF(Tabla14[[#This Row],[DIAS HABILES O MORA]]&lt;0,(Tabla14[[#This Row],[VALOR PRESTAMO]]*Tabla14[[#This Row],[% INTERES ]]/30*U5539))</f>
        <v>0</v>
      </c>
      <c r="T5539" s="53" t="e">
        <f>Tabla14[[#This Row],[DEUDA CAPITAL]]+Tabla14[[#This Row],[INTERES  CUOTA]]</f>
        <v>#NUM!</v>
      </c>
      <c r="U5539" s="61" t="str">
        <f t="shared" si="879"/>
        <v/>
      </c>
    </row>
    <row r="5540" spans="9:21" ht="24.75" customHeight="1" x14ac:dyDescent="0.35">
      <c r="I5540" s="42">
        <f t="shared" si="870"/>
        <v>0</v>
      </c>
      <c r="J5540" s="65" t="e">
        <f t="shared" si="871"/>
        <v>#NUM!</v>
      </c>
      <c r="K5540" s="83" t="e">
        <f t="shared" si="872"/>
        <v>#NUM!</v>
      </c>
      <c r="L5540" s="83">
        <f t="shared" si="873"/>
        <v>0</v>
      </c>
      <c r="M5540" s="110" t="str">
        <f t="shared" si="874"/>
        <v/>
      </c>
      <c r="N5540" s="51" t="str">
        <f t="shared" si="875"/>
        <v/>
      </c>
      <c r="O5540" s="52" t="str">
        <f t="shared" si="876"/>
        <v/>
      </c>
      <c r="P5540" s="88">
        <f t="shared" si="877"/>
        <v>0</v>
      </c>
      <c r="Q5540" s="88">
        <f t="shared" si="878"/>
        <v>0</v>
      </c>
      <c r="R5540" s="88" t="e">
        <f>-IF(Tabla14[[#This Row],[DIAS HABILES O MORA]]&lt;0,(Tabla14[[#This Row],[VALOR PRESTAMO]]*Tabla14[[#This Row],[% INTERES ]]/30*U5540))+Tabla14[[#This Row],[VALOR CUOTAS]]</f>
        <v>#VALUE!</v>
      </c>
      <c r="S5540" s="88">
        <f>-IF(Tabla14[[#This Row],[DIAS HABILES O MORA]]&lt;0,(Tabla14[[#This Row],[VALOR PRESTAMO]]*Tabla14[[#This Row],[% INTERES ]]/30*U5540))</f>
        <v>0</v>
      </c>
      <c r="T5540" s="53" t="e">
        <f>Tabla14[[#This Row],[DEUDA CAPITAL]]+Tabla14[[#This Row],[INTERES  CUOTA]]</f>
        <v>#NUM!</v>
      </c>
      <c r="U5540" s="61" t="str">
        <f t="shared" si="879"/>
        <v/>
      </c>
    </row>
    <row r="5541" spans="9:21" ht="24.75" customHeight="1" x14ac:dyDescent="0.35">
      <c r="I5541" s="42">
        <f t="shared" si="870"/>
        <v>0</v>
      </c>
      <c r="J5541" s="65" t="e">
        <f t="shared" si="871"/>
        <v>#NUM!</v>
      </c>
      <c r="K5541" s="83" t="e">
        <f t="shared" si="872"/>
        <v>#NUM!</v>
      </c>
      <c r="L5541" s="83">
        <f t="shared" si="873"/>
        <v>0</v>
      </c>
      <c r="M5541" s="110" t="str">
        <f t="shared" si="874"/>
        <v/>
      </c>
      <c r="N5541" s="51" t="str">
        <f t="shared" si="875"/>
        <v/>
      </c>
      <c r="O5541" s="52" t="str">
        <f t="shared" si="876"/>
        <v/>
      </c>
      <c r="P5541" s="88">
        <f t="shared" si="877"/>
        <v>0</v>
      </c>
      <c r="Q5541" s="88">
        <f t="shared" si="878"/>
        <v>0</v>
      </c>
      <c r="R5541" s="88" t="e">
        <f>-IF(Tabla14[[#This Row],[DIAS HABILES O MORA]]&lt;0,(Tabla14[[#This Row],[VALOR PRESTAMO]]*Tabla14[[#This Row],[% INTERES ]]/30*U5541))+Tabla14[[#This Row],[VALOR CUOTAS]]</f>
        <v>#VALUE!</v>
      </c>
      <c r="S5541" s="88">
        <f>-IF(Tabla14[[#This Row],[DIAS HABILES O MORA]]&lt;0,(Tabla14[[#This Row],[VALOR PRESTAMO]]*Tabla14[[#This Row],[% INTERES ]]/30*U5541))</f>
        <v>0</v>
      </c>
      <c r="T5541" s="53" t="e">
        <f>Tabla14[[#This Row],[DEUDA CAPITAL]]+Tabla14[[#This Row],[INTERES  CUOTA]]</f>
        <v>#NUM!</v>
      </c>
      <c r="U5541" s="61" t="str">
        <f t="shared" si="879"/>
        <v/>
      </c>
    </row>
    <row r="5542" spans="9:21" ht="24.75" customHeight="1" x14ac:dyDescent="0.35">
      <c r="I5542" s="42">
        <f t="shared" si="870"/>
        <v>0</v>
      </c>
      <c r="J5542" s="65" t="e">
        <f t="shared" si="871"/>
        <v>#NUM!</v>
      </c>
      <c r="K5542" s="83" t="e">
        <f t="shared" si="872"/>
        <v>#NUM!</v>
      </c>
      <c r="L5542" s="83">
        <f t="shared" si="873"/>
        <v>0</v>
      </c>
      <c r="M5542" s="110" t="str">
        <f t="shared" si="874"/>
        <v/>
      </c>
      <c r="N5542" s="51" t="str">
        <f t="shared" si="875"/>
        <v/>
      </c>
      <c r="O5542" s="52" t="str">
        <f t="shared" si="876"/>
        <v/>
      </c>
      <c r="P5542" s="88">
        <f t="shared" si="877"/>
        <v>0</v>
      </c>
      <c r="Q5542" s="88">
        <f t="shared" si="878"/>
        <v>0</v>
      </c>
      <c r="R5542" s="88" t="e">
        <f>-IF(Tabla14[[#This Row],[DIAS HABILES O MORA]]&lt;0,(Tabla14[[#This Row],[VALOR PRESTAMO]]*Tabla14[[#This Row],[% INTERES ]]/30*U5542))+Tabla14[[#This Row],[VALOR CUOTAS]]</f>
        <v>#VALUE!</v>
      </c>
      <c r="S5542" s="88">
        <f>-IF(Tabla14[[#This Row],[DIAS HABILES O MORA]]&lt;0,(Tabla14[[#This Row],[VALOR PRESTAMO]]*Tabla14[[#This Row],[% INTERES ]]/30*U5542))</f>
        <v>0</v>
      </c>
      <c r="T5542" s="53" t="e">
        <f>Tabla14[[#This Row],[DEUDA CAPITAL]]+Tabla14[[#This Row],[INTERES  CUOTA]]</f>
        <v>#NUM!</v>
      </c>
      <c r="U5542" s="61" t="str">
        <f t="shared" si="879"/>
        <v/>
      </c>
    </row>
    <row r="5543" spans="9:21" ht="24.75" customHeight="1" x14ac:dyDescent="0.35">
      <c r="I5543" s="42">
        <f t="shared" si="870"/>
        <v>0</v>
      </c>
      <c r="J5543" s="65" t="e">
        <f t="shared" si="871"/>
        <v>#NUM!</v>
      </c>
      <c r="K5543" s="83" t="e">
        <f t="shared" si="872"/>
        <v>#NUM!</v>
      </c>
      <c r="L5543" s="83">
        <f t="shared" si="873"/>
        <v>0</v>
      </c>
      <c r="M5543" s="110" t="str">
        <f t="shared" si="874"/>
        <v/>
      </c>
      <c r="N5543" s="51" t="str">
        <f t="shared" si="875"/>
        <v/>
      </c>
      <c r="O5543" s="52" t="str">
        <f t="shared" si="876"/>
        <v/>
      </c>
      <c r="P5543" s="88">
        <f t="shared" si="877"/>
        <v>0</v>
      </c>
      <c r="Q5543" s="88">
        <f t="shared" si="878"/>
        <v>0</v>
      </c>
      <c r="R5543" s="88" t="e">
        <f>-IF(Tabla14[[#This Row],[DIAS HABILES O MORA]]&lt;0,(Tabla14[[#This Row],[VALOR PRESTAMO]]*Tabla14[[#This Row],[% INTERES ]]/30*U5543))+Tabla14[[#This Row],[VALOR CUOTAS]]</f>
        <v>#VALUE!</v>
      </c>
      <c r="S5543" s="88">
        <f>-IF(Tabla14[[#This Row],[DIAS HABILES O MORA]]&lt;0,(Tabla14[[#This Row],[VALOR PRESTAMO]]*Tabla14[[#This Row],[% INTERES ]]/30*U5543))</f>
        <v>0</v>
      </c>
      <c r="T5543" s="53" t="e">
        <f>Tabla14[[#This Row],[DEUDA CAPITAL]]+Tabla14[[#This Row],[INTERES  CUOTA]]</f>
        <v>#NUM!</v>
      </c>
      <c r="U5543" s="61" t="str">
        <f t="shared" si="879"/>
        <v/>
      </c>
    </row>
    <row r="5544" spans="9:21" ht="24.75" customHeight="1" x14ac:dyDescent="0.35">
      <c r="I5544" s="42">
        <f t="shared" si="870"/>
        <v>0</v>
      </c>
      <c r="J5544" s="65" t="e">
        <f t="shared" si="871"/>
        <v>#NUM!</v>
      </c>
      <c r="K5544" s="83" t="e">
        <f t="shared" si="872"/>
        <v>#NUM!</v>
      </c>
      <c r="L5544" s="83">
        <f t="shared" si="873"/>
        <v>0</v>
      </c>
      <c r="M5544" s="110" t="str">
        <f t="shared" si="874"/>
        <v/>
      </c>
      <c r="N5544" s="51" t="str">
        <f t="shared" si="875"/>
        <v/>
      </c>
      <c r="O5544" s="52" t="str">
        <f t="shared" si="876"/>
        <v/>
      </c>
      <c r="P5544" s="88">
        <f t="shared" si="877"/>
        <v>0</v>
      </c>
      <c r="Q5544" s="88">
        <f t="shared" si="878"/>
        <v>0</v>
      </c>
      <c r="R5544" s="88" t="e">
        <f>-IF(Tabla14[[#This Row],[DIAS HABILES O MORA]]&lt;0,(Tabla14[[#This Row],[VALOR PRESTAMO]]*Tabla14[[#This Row],[% INTERES ]]/30*U5544))+Tabla14[[#This Row],[VALOR CUOTAS]]</f>
        <v>#VALUE!</v>
      </c>
      <c r="S5544" s="88">
        <f>-IF(Tabla14[[#This Row],[DIAS HABILES O MORA]]&lt;0,(Tabla14[[#This Row],[VALOR PRESTAMO]]*Tabla14[[#This Row],[% INTERES ]]/30*U5544))</f>
        <v>0</v>
      </c>
      <c r="T5544" s="53" t="e">
        <f>Tabla14[[#This Row],[DEUDA CAPITAL]]+Tabla14[[#This Row],[INTERES  CUOTA]]</f>
        <v>#NUM!</v>
      </c>
      <c r="U5544" s="61" t="str">
        <f t="shared" si="879"/>
        <v/>
      </c>
    </row>
    <row r="5545" spans="9:21" ht="24.75" customHeight="1" x14ac:dyDescent="0.35">
      <c r="I5545" s="42">
        <f t="shared" si="870"/>
        <v>0</v>
      </c>
      <c r="J5545" s="65" t="e">
        <f t="shared" si="871"/>
        <v>#NUM!</v>
      </c>
      <c r="K5545" s="83" t="e">
        <f t="shared" si="872"/>
        <v>#NUM!</v>
      </c>
      <c r="L5545" s="83">
        <f t="shared" si="873"/>
        <v>0</v>
      </c>
      <c r="M5545" s="110" t="str">
        <f t="shared" si="874"/>
        <v/>
      </c>
      <c r="N5545" s="51" t="str">
        <f t="shared" si="875"/>
        <v/>
      </c>
      <c r="O5545" s="52" t="str">
        <f t="shared" si="876"/>
        <v/>
      </c>
      <c r="P5545" s="88">
        <f t="shared" si="877"/>
        <v>0</v>
      </c>
      <c r="Q5545" s="88">
        <f t="shared" si="878"/>
        <v>0</v>
      </c>
      <c r="R5545" s="88" t="e">
        <f>-IF(Tabla14[[#This Row],[DIAS HABILES O MORA]]&lt;0,(Tabla14[[#This Row],[VALOR PRESTAMO]]*Tabla14[[#This Row],[% INTERES ]]/30*U5545))+Tabla14[[#This Row],[VALOR CUOTAS]]</f>
        <v>#VALUE!</v>
      </c>
      <c r="S5545" s="88">
        <f>-IF(Tabla14[[#This Row],[DIAS HABILES O MORA]]&lt;0,(Tabla14[[#This Row],[VALOR PRESTAMO]]*Tabla14[[#This Row],[% INTERES ]]/30*U5545))</f>
        <v>0</v>
      </c>
      <c r="T5545" s="53" t="e">
        <f>Tabla14[[#This Row],[DEUDA CAPITAL]]+Tabla14[[#This Row],[INTERES  CUOTA]]</f>
        <v>#NUM!</v>
      </c>
      <c r="U5545" s="61" t="str">
        <f t="shared" si="879"/>
        <v/>
      </c>
    </row>
    <row r="5546" spans="9:21" ht="24.75" customHeight="1" x14ac:dyDescent="0.35">
      <c r="I5546" s="42">
        <f t="shared" si="870"/>
        <v>0</v>
      </c>
      <c r="J5546" s="65" t="e">
        <f t="shared" si="871"/>
        <v>#NUM!</v>
      </c>
      <c r="K5546" s="83" t="e">
        <f t="shared" si="872"/>
        <v>#NUM!</v>
      </c>
      <c r="L5546" s="83">
        <f t="shared" si="873"/>
        <v>0</v>
      </c>
      <c r="M5546" s="110" t="str">
        <f t="shared" si="874"/>
        <v/>
      </c>
      <c r="N5546" s="51" t="str">
        <f t="shared" si="875"/>
        <v/>
      </c>
      <c r="O5546" s="52" t="str">
        <f t="shared" si="876"/>
        <v/>
      </c>
      <c r="P5546" s="88">
        <f t="shared" si="877"/>
        <v>0</v>
      </c>
      <c r="Q5546" s="88">
        <f t="shared" si="878"/>
        <v>0</v>
      </c>
      <c r="R5546" s="88" t="e">
        <f>-IF(Tabla14[[#This Row],[DIAS HABILES O MORA]]&lt;0,(Tabla14[[#This Row],[VALOR PRESTAMO]]*Tabla14[[#This Row],[% INTERES ]]/30*U5546))+Tabla14[[#This Row],[VALOR CUOTAS]]</f>
        <v>#VALUE!</v>
      </c>
      <c r="S5546" s="88">
        <f>-IF(Tabla14[[#This Row],[DIAS HABILES O MORA]]&lt;0,(Tabla14[[#This Row],[VALOR PRESTAMO]]*Tabla14[[#This Row],[% INTERES ]]/30*U5546))</f>
        <v>0</v>
      </c>
      <c r="T5546" s="53" t="e">
        <f>Tabla14[[#This Row],[DEUDA CAPITAL]]+Tabla14[[#This Row],[INTERES  CUOTA]]</f>
        <v>#NUM!</v>
      </c>
      <c r="U5546" s="61" t="str">
        <f t="shared" si="879"/>
        <v/>
      </c>
    </row>
    <row r="5547" spans="9:21" ht="24.75" customHeight="1" x14ac:dyDescent="0.35">
      <c r="I5547" s="42">
        <f t="shared" si="870"/>
        <v>0</v>
      </c>
      <c r="J5547" s="65" t="e">
        <f t="shared" si="871"/>
        <v>#NUM!</v>
      </c>
      <c r="K5547" s="83" t="e">
        <f t="shared" si="872"/>
        <v>#NUM!</v>
      </c>
      <c r="L5547" s="83">
        <f t="shared" si="873"/>
        <v>0</v>
      </c>
      <c r="M5547" s="110" t="str">
        <f t="shared" si="874"/>
        <v/>
      </c>
      <c r="N5547" s="51" t="str">
        <f t="shared" si="875"/>
        <v/>
      </c>
      <c r="O5547" s="52" t="str">
        <f t="shared" si="876"/>
        <v/>
      </c>
      <c r="P5547" s="88">
        <f t="shared" si="877"/>
        <v>0</v>
      </c>
      <c r="Q5547" s="88">
        <f t="shared" si="878"/>
        <v>0</v>
      </c>
      <c r="R5547" s="88" t="e">
        <f>-IF(Tabla14[[#This Row],[DIAS HABILES O MORA]]&lt;0,(Tabla14[[#This Row],[VALOR PRESTAMO]]*Tabla14[[#This Row],[% INTERES ]]/30*U5547))+Tabla14[[#This Row],[VALOR CUOTAS]]</f>
        <v>#VALUE!</v>
      </c>
      <c r="S5547" s="88">
        <f>-IF(Tabla14[[#This Row],[DIAS HABILES O MORA]]&lt;0,(Tabla14[[#This Row],[VALOR PRESTAMO]]*Tabla14[[#This Row],[% INTERES ]]/30*U5547))</f>
        <v>0</v>
      </c>
      <c r="T5547" s="53" t="e">
        <f>Tabla14[[#This Row],[DEUDA CAPITAL]]+Tabla14[[#This Row],[INTERES  CUOTA]]</f>
        <v>#NUM!</v>
      </c>
      <c r="U5547" s="61" t="str">
        <f t="shared" si="879"/>
        <v/>
      </c>
    </row>
    <row r="5548" spans="9:21" ht="24.75" customHeight="1" x14ac:dyDescent="0.35">
      <c r="I5548" s="42">
        <f t="shared" si="870"/>
        <v>0</v>
      </c>
      <c r="J5548" s="65" t="e">
        <f t="shared" si="871"/>
        <v>#NUM!</v>
      </c>
      <c r="K5548" s="83" t="e">
        <f t="shared" si="872"/>
        <v>#NUM!</v>
      </c>
      <c r="L5548" s="83">
        <f t="shared" si="873"/>
        <v>0</v>
      </c>
      <c r="M5548" s="110" t="str">
        <f t="shared" si="874"/>
        <v/>
      </c>
      <c r="N5548" s="51" t="str">
        <f t="shared" si="875"/>
        <v/>
      </c>
      <c r="O5548" s="52" t="str">
        <f t="shared" si="876"/>
        <v/>
      </c>
      <c r="P5548" s="88">
        <f t="shared" si="877"/>
        <v>0</v>
      </c>
      <c r="Q5548" s="88">
        <f t="shared" si="878"/>
        <v>0</v>
      </c>
      <c r="R5548" s="88" t="e">
        <f>-IF(Tabla14[[#This Row],[DIAS HABILES O MORA]]&lt;0,(Tabla14[[#This Row],[VALOR PRESTAMO]]*Tabla14[[#This Row],[% INTERES ]]/30*U5548))+Tabla14[[#This Row],[VALOR CUOTAS]]</f>
        <v>#VALUE!</v>
      </c>
      <c r="S5548" s="88">
        <f>-IF(Tabla14[[#This Row],[DIAS HABILES O MORA]]&lt;0,(Tabla14[[#This Row],[VALOR PRESTAMO]]*Tabla14[[#This Row],[% INTERES ]]/30*U5548))</f>
        <v>0</v>
      </c>
      <c r="T5548" s="53" t="e">
        <f>Tabla14[[#This Row],[DEUDA CAPITAL]]+Tabla14[[#This Row],[INTERES  CUOTA]]</f>
        <v>#NUM!</v>
      </c>
      <c r="U5548" s="61" t="str">
        <f t="shared" si="879"/>
        <v/>
      </c>
    </row>
    <row r="5549" spans="9:21" ht="24.75" customHeight="1" x14ac:dyDescent="0.35">
      <c r="I5549" s="42">
        <f t="shared" si="870"/>
        <v>0</v>
      </c>
      <c r="J5549" s="65" t="e">
        <f t="shared" si="871"/>
        <v>#NUM!</v>
      </c>
      <c r="K5549" s="83" t="e">
        <f t="shared" si="872"/>
        <v>#NUM!</v>
      </c>
      <c r="L5549" s="83">
        <f t="shared" si="873"/>
        <v>0</v>
      </c>
      <c r="M5549" s="110" t="str">
        <f t="shared" si="874"/>
        <v/>
      </c>
      <c r="N5549" s="51" t="str">
        <f t="shared" si="875"/>
        <v/>
      </c>
      <c r="O5549" s="52" t="str">
        <f t="shared" si="876"/>
        <v/>
      </c>
      <c r="P5549" s="88">
        <f t="shared" si="877"/>
        <v>0</v>
      </c>
      <c r="Q5549" s="88">
        <f t="shared" si="878"/>
        <v>0</v>
      </c>
      <c r="R5549" s="88" t="e">
        <f>-IF(Tabla14[[#This Row],[DIAS HABILES O MORA]]&lt;0,(Tabla14[[#This Row],[VALOR PRESTAMO]]*Tabla14[[#This Row],[% INTERES ]]/30*U5549))+Tabla14[[#This Row],[VALOR CUOTAS]]</f>
        <v>#VALUE!</v>
      </c>
      <c r="S5549" s="88">
        <f>-IF(Tabla14[[#This Row],[DIAS HABILES O MORA]]&lt;0,(Tabla14[[#This Row],[VALOR PRESTAMO]]*Tabla14[[#This Row],[% INTERES ]]/30*U5549))</f>
        <v>0</v>
      </c>
      <c r="T5549" s="53" t="e">
        <f>Tabla14[[#This Row],[DEUDA CAPITAL]]+Tabla14[[#This Row],[INTERES  CUOTA]]</f>
        <v>#NUM!</v>
      </c>
      <c r="U5549" s="61" t="str">
        <f t="shared" si="879"/>
        <v/>
      </c>
    </row>
    <row r="5550" spans="9:21" ht="24.75" customHeight="1" x14ac:dyDescent="0.35">
      <c r="I5550" s="42">
        <f t="shared" si="870"/>
        <v>0</v>
      </c>
      <c r="J5550" s="65" t="e">
        <f t="shared" si="871"/>
        <v>#NUM!</v>
      </c>
      <c r="K5550" s="83" t="e">
        <f t="shared" si="872"/>
        <v>#NUM!</v>
      </c>
      <c r="L5550" s="83">
        <f t="shared" si="873"/>
        <v>0</v>
      </c>
      <c r="M5550" s="110" t="str">
        <f t="shared" si="874"/>
        <v/>
      </c>
      <c r="N5550" s="51" t="str">
        <f t="shared" si="875"/>
        <v/>
      </c>
      <c r="O5550" s="52" t="str">
        <f t="shared" si="876"/>
        <v/>
      </c>
      <c r="P5550" s="88">
        <f t="shared" si="877"/>
        <v>0</v>
      </c>
      <c r="Q5550" s="88">
        <f t="shared" si="878"/>
        <v>0</v>
      </c>
      <c r="R5550" s="88" t="e">
        <f>-IF(Tabla14[[#This Row],[DIAS HABILES O MORA]]&lt;0,(Tabla14[[#This Row],[VALOR PRESTAMO]]*Tabla14[[#This Row],[% INTERES ]]/30*U5550))+Tabla14[[#This Row],[VALOR CUOTAS]]</f>
        <v>#VALUE!</v>
      </c>
      <c r="S5550" s="88">
        <f>-IF(Tabla14[[#This Row],[DIAS HABILES O MORA]]&lt;0,(Tabla14[[#This Row],[VALOR PRESTAMO]]*Tabla14[[#This Row],[% INTERES ]]/30*U5550))</f>
        <v>0</v>
      </c>
      <c r="T5550" s="53" t="e">
        <f>Tabla14[[#This Row],[DEUDA CAPITAL]]+Tabla14[[#This Row],[INTERES  CUOTA]]</f>
        <v>#NUM!</v>
      </c>
      <c r="U5550" s="61" t="str">
        <f t="shared" si="879"/>
        <v/>
      </c>
    </row>
    <row r="5551" spans="9:21" ht="24.75" customHeight="1" x14ac:dyDescent="0.35">
      <c r="I5551" s="42">
        <f t="shared" si="870"/>
        <v>0</v>
      </c>
      <c r="J5551" s="65" t="e">
        <f t="shared" si="871"/>
        <v>#NUM!</v>
      </c>
      <c r="K5551" s="83" t="e">
        <f t="shared" si="872"/>
        <v>#NUM!</v>
      </c>
      <c r="L5551" s="83">
        <f t="shared" si="873"/>
        <v>0</v>
      </c>
      <c r="M5551" s="110" t="str">
        <f t="shared" si="874"/>
        <v/>
      </c>
      <c r="N5551" s="51" t="str">
        <f t="shared" si="875"/>
        <v/>
      </c>
      <c r="O5551" s="52" t="str">
        <f t="shared" si="876"/>
        <v/>
      </c>
      <c r="P5551" s="88">
        <f t="shared" si="877"/>
        <v>0</v>
      </c>
      <c r="Q5551" s="88">
        <f t="shared" si="878"/>
        <v>0</v>
      </c>
      <c r="R5551" s="88" t="e">
        <f>-IF(Tabla14[[#This Row],[DIAS HABILES O MORA]]&lt;0,(Tabla14[[#This Row],[VALOR PRESTAMO]]*Tabla14[[#This Row],[% INTERES ]]/30*U5551))+Tabla14[[#This Row],[VALOR CUOTAS]]</f>
        <v>#VALUE!</v>
      </c>
      <c r="S5551" s="88">
        <f>-IF(Tabla14[[#This Row],[DIAS HABILES O MORA]]&lt;0,(Tabla14[[#This Row],[VALOR PRESTAMO]]*Tabla14[[#This Row],[% INTERES ]]/30*U5551))</f>
        <v>0</v>
      </c>
      <c r="T5551" s="53" t="e">
        <f>Tabla14[[#This Row],[DEUDA CAPITAL]]+Tabla14[[#This Row],[INTERES  CUOTA]]</f>
        <v>#NUM!</v>
      </c>
      <c r="U5551" s="61" t="str">
        <f t="shared" si="879"/>
        <v/>
      </c>
    </row>
    <row r="5552" spans="9:21" ht="24.75" customHeight="1" x14ac:dyDescent="0.35">
      <c r="I5552" s="42">
        <f t="shared" si="870"/>
        <v>0</v>
      </c>
      <c r="J5552" s="65" t="e">
        <f t="shared" si="871"/>
        <v>#NUM!</v>
      </c>
      <c r="K5552" s="83" t="e">
        <f t="shared" si="872"/>
        <v>#NUM!</v>
      </c>
      <c r="L5552" s="83">
        <f t="shared" si="873"/>
        <v>0</v>
      </c>
      <c r="M5552" s="110" t="str">
        <f t="shared" si="874"/>
        <v/>
      </c>
      <c r="N5552" s="51" t="str">
        <f t="shared" si="875"/>
        <v/>
      </c>
      <c r="O5552" s="52" t="str">
        <f t="shared" si="876"/>
        <v/>
      </c>
      <c r="P5552" s="88">
        <f t="shared" si="877"/>
        <v>0</v>
      </c>
      <c r="Q5552" s="88">
        <f t="shared" si="878"/>
        <v>0</v>
      </c>
      <c r="R5552" s="88" t="e">
        <f>-IF(Tabla14[[#This Row],[DIAS HABILES O MORA]]&lt;0,(Tabla14[[#This Row],[VALOR PRESTAMO]]*Tabla14[[#This Row],[% INTERES ]]/30*U5552))+Tabla14[[#This Row],[VALOR CUOTAS]]</f>
        <v>#VALUE!</v>
      </c>
      <c r="S5552" s="88">
        <f>-IF(Tabla14[[#This Row],[DIAS HABILES O MORA]]&lt;0,(Tabla14[[#This Row],[VALOR PRESTAMO]]*Tabla14[[#This Row],[% INTERES ]]/30*U5552))</f>
        <v>0</v>
      </c>
      <c r="T5552" s="53" t="e">
        <f>Tabla14[[#This Row],[DEUDA CAPITAL]]+Tabla14[[#This Row],[INTERES  CUOTA]]</f>
        <v>#NUM!</v>
      </c>
      <c r="U5552" s="61" t="str">
        <f t="shared" si="879"/>
        <v/>
      </c>
    </row>
    <row r="5553" spans="9:21" ht="24.75" customHeight="1" x14ac:dyDescent="0.35">
      <c r="I5553" s="42">
        <f t="shared" si="870"/>
        <v>0</v>
      </c>
      <c r="J5553" s="65" t="e">
        <f t="shared" si="871"/>
        <v>#NUM!</v>
      </c>
      <c r="K5553" s="83" t="e">
        <f t="shared" si="872"/>
        <v>#NUM!</v>
      </c>
      <c r="L5553" s="83">
        <f t="shared" si="873"/>
        <v>0</v>
      </c>
      <c r="M5553" s="110" t="str">
        <f t="shared" si="874"/>
        <v/>
      </c>
      <c r="N5553" s="51" t="str">
        <f t="shared" si="875"/>
        <v/>
      </c>
      <c r="O5553" s="52" t="str">
        <f t="shared" si="876"/>
        <v/>
      </c>
      <c r="P5553" s="88">
        <f t="shared" si="877"/>
        <v>0</v>
      </c>
      <c r="Q5553" s="88">
        <f t="shared" si="878"/>
        <v>0</v>
      </c>
      <c r="R5553" s="88" t="e">
        <f>-IF(Tabla14[[#This Row],[DIAS HABILES O MORA]]&lt;0,(Tabla14[[#This Row],[VALOR PRESTAMO]]*Tabla14[[#This Row],[% INTERES ]]/30*U5553))+Tabla14[[#This Row],[VALOR CUOTAS]]</f>
        <v>#VALUE!</v>
      </c>
      <c r="S5553" s="88">
        <f>-IF(Tabla14[[#This Row],[DIAS HABILES O MORA]]&lt;0,(Tabla14[[#This Row],[VALOR PRESTAMO]]*Tabla14[[#This Row],[% INTERES ]]/30*U5553))</f>
        <v>0</v>
      </c>
      <c r="T5553" s="53" t="e">
        <f>Tabla14[[#This Row],[DEUDA CAPITAL]]+Tabla14[[#This Row],[INTERES  CUOTA]]</f>
        <v>#NUM!</v>
      </c>
      <c r="U5553" s="61" t="str">
        <f t="shared" si="879"/>
        <v/>
      </c>
    </row>
    <row r="5554" spans="9:21" ht="24.75" customHeight="1" x14ac:dyDescent="0.35">
      <c r="I5554" s="42">
        <f t="shared" si="870"/>
        <v>0</v>
      </c>
      <c r="J5554" s="65" t="e">
        <f t="shared" si="871"/>
        <v>#NUM!</v>
      </c>
      <c r="K5554" s="83" t="e">
        <f t="shared" si="872"/>
        <v>#NUM!</v>
      </c>
      <c r="L5554" s="83">
        <f t="shared" si="873"/>
        <v>0</v>
      </c>
      <c r="M5554" s="110" t="str">
        <f t="shared" si="874"/>
        <v/>
      </c>
      <c r="N5554" s="51" t="str">
        <f t="shared" si="875"/>
        <v/>
      </c>
      <c r="O5554" s="52" t="str">
        <f t="shared" si="876"/>
        <v/>
      </c>
      <c r="P5554" s="88">
        <f t="shared" si="877"/>
        <v>0</v>
      </c>
      <c r="Q5554" s="88">
        <f t="shared" si="878"/>
        <v>0</v>
      </c>
      <c r="R5554" s="88" t="e">
        <f>-IF(Tabla14[[#This Row],[DIAS HABILES O MORA]]&lt;0,(Tabla14[[#This Row],[VALOR PRESTAMO]]*Tabla14[[#This Row],[% INTERES ]]/30*U5554))+Tabla14[[#This Row],[VALOR CUOTAS]]</f>
        <v>#VALUE!</v>
      </c>
      <c r="S5554" s="88">
        <f>-IF(Tabla14[[#This Row],[DIAS HABILES O MORA]]&lt;0,(Tabla14[[#This Row],[VALOR PRESTAMO]]*Tabla14[[#This Row],[% INTERES ]]/30*U5554))</f>
        <v>0</v>
      </c>
      <c r="T5554" s="53" t="e">
        <f>Tabla14[[#This Row],[DEUDA CAPITAL]]+Tabla14[[#This Row],[INTERES  CUOTA]]</f>
        <v>#NUM!</v>
      </c>
      <c r="U5554" s="61" t="str">
        <f t="shared" si="879"/>
        <v/>
      </c>
    </row>
    <row r="5555" spans="9:21" ht="24.75" customHeight="1" x14ac:dyDescent="0.35">
      <c r="I5555" s="42">
        <f t="shared" si="870"/>
        <v>0</v>
      </c>
      <c r="J5555" s="65" t="e">
        <f t="shared" si="871"/>
        <v>#NUM!</v>
      </c>
      <c r="K5555" s="83" t="e">
        <f t="shared" si="872"/>
        <v>#NUM!</v>
      </c>
      <c r="L5555" s="83">
        <f t="shared" si="873"/>
        <v>0</v>
      </c>
      <c r="M5555" s="110" t="str">
        <f t="shared" si="874"/>
        <v/>
      </c>
      <c r="N5555" s="51" t="str">
        <f t="shared" si="875"/>
        <v/>
      </c>
      <c r="O5555" s="52" t="str">
        <f t="shared" si="876"/>
        <v/>
      </c>
      <c r="P5555" s="88">
        <f t="shared" si="877"/>
        <v>0</v>
      </c>
      <c r="Q5555" s="88">
        <f t="shared" si="878"/>
        <v>0</v>
      </c>
      <c r="R5555" s="88" t="e">
        <f>-IF(Tabla14[[#This Row],[DIAS HABILES O MORA]]&lt;0,(Tabla14[[#This Row],[VALOR PRESTAMO]]*Tabla14[[#This Row],[% INTERES ]]/30*U5555))+Tabla14[[#This Row],[VALOR CUOTAS]]</f>
        <v>#VALUE!</v>
      </c>
      <c r="S5555" s="88">
        <f>-IF(Tabla14[[#This Row],[DIAS HABILES O MORA]]&lt;0,(Tabla14[[#This Row],[VALOR PRESTAMO]]*Tabla14[[#This Row],[% INTERES ]]/30*U5555))</f>
        <v>0</v>
      </c>
      <c r="T5555" s="53" t="e">
        <f>Tabla14[[#This Row],[DEUDA CAPITAL]]+Tabla14[[#This Row],[INTERES  CUOTA]]</f>
        <v>#NUM!</v>
      </c>
      <c r="U5555" s="61" t="str">
        <f t="shared" si="879"/>
        <v/>
      </c>
    </row>
    <row r="5556" spans="9:21" ht="24.75" customHeight="1" x14ac:dyDescent="0.35">
      <c r="I5556" s="42">
        <f t="shared" si="870"/>
        <v>0</v>
      </c>
      <c r="J5556" s="65" t="e">
        <f t="shared" si="871"/>
        <v>#NUM!</v>
      </c>
      <c r="K5556" s="83" t="e">
        <f t="shared" si="872"/>
        <v>#NUM!</v>
      </c>
      <c r="L5556" s="83">
        <f t="shared" si="873"/>
        <v>0</v>
      </c>
      <c r="M5556" s="110" t="str">
        <f t="shared" si="874"/>
        <v/>
      </c>
      <c r="N5556" s="51" t="str">
        <f t="shared" si="875"/>
        <v/>
      </c>
      <c r="O5556" s="52" t="str">
        <f t="shared" si="876"/>
        <v/>
      </c>
      <c r="P5556" s="88">
        <f t="shared" si="877"/>
        <v>0</v>
      </c>
      <c r="Q5556" s="88">
        <f t="shared" si="878"/>
        <v>0</v>
      </c>
      <c r="R5556" s="88" t="e">
        <f>-IF(Tabla14[[#This Row],[DIAS HABILES O MORA]]&lt;0,(Tabla14[[#This Row],[VALOR PRESTAMO]]*Tabla14[[#This Row],[% INTERES ]]/30*U5556))+Tabla14[[#This Row],[VALOR CUOTAS]]</f>
        <v>#VALUE!</v>
      </c>
      <c r="S5556" s="88">
        <f>-IF(Tabla14[[#This Row],[DIAS HABILES O MORA]]&lt;0,(Tabla14[[#This Row],[VALOR PRESTAMO]]*Tabla14[[#This Row],[% INTERES ]]/30*U5556))</f>
        <v>0</v>
      </c>
      <c r="T5556" s="53" t="e">
        <f>Tabla14[[#This Row],[DEUDA CAPITAL]]+Tabla14[[#This Row],[INTERES  CUOTA]]</f>
        <v>#NUM!</v>
      </c>
      <c r="U5556" s="61" t="str">
        <f t="shared" si="879"/>
        <v/>
      </c>
    </row>
    <row r="5557" spans="9:21" ht="24.75" customHeight="1" x14ac:dyDescent="0.35">
      <c r="I5557" s="42">
        <f t="shared" si="870"/>
        <v>0</v>
      </c>
      <c r="J5557" s="65" t="e">
        <f t="shared" si="871"/>
        <v>#NUM!</v>
      </c>
      <c r="K5557" s="83" t="e">
        <f t="shared" si="872"/>
        <v>#NUM!</v>
      </c>
      <c r="L5557" s="83">
        <f t="shared" si="873"/>
        <v>0</v>
      </c>
      <c r="M5557" s="110" t="str">
        <f t="shared" si="874"/>
        <v/>
      </c>
      <c r="N5557" s="51" t="str">
        <f t="shared" si="875"/>
        <v/>
      </c>
      <c r="O5557" s="52" t="str">
        <f t="shared" si="876"/>
        <v/>
      </c>
      <c r="P5557" s="88">
        <f t="shared" si="877"/>
        <v>0</v>
      </c>
      <c r="Q5557" s="88">
        <f t="shared" si="878"/>
        <v>0</v>
      </c>
      <c r="R5557" s="88" t="e">
        <f>-IF(Tabla14[[#This Row],[DIAS HABILES O MORA]]&lt;0,(Tabla14[[#This Row],[VALOR PRESTAMO]]*Tabla14[[#This Row],[% INTERES ]]/30*U5557))+Tabla14[[#This Row],[VALOR CUOTAS]]</f>
        <v>#VALUE!</v>
      </c>
      <c r="S5557" s="88">
        <f>-IF(Tabla14[[#This Row],[DIAS HABILES O MORA]]&lt;0,(Tabla14[[#This Row],[VALOR PRESTAMO]]*Tabla14[[#This Row],[% INTERES ]]/30*U5557))</f>
        <v>0</v>
      </c>
      <c r="T5557" s="53" t="e">
        <f>Tabla14[[#This Row],[DEUDA CAPITAL]]+Tabla14[[#This Row],[INTERES  CUOTA]]</f>
        <v>#NUM!</v>
      </c>
      <c r="U5557" s="61" t="str">
        <f t="shared" si="879"/>
        <v/>
      </c>
    </row>
    <row r="5558" spans="9:21" ht="24.75" customHeight="1" x14ac:dyDescent="0.35">
      <c r="I5558" s="42">
        <f t="shared" si="870"/>
        <v>0</v>
      </c>
      <c r="J5558" s="65" t="e">
        <f t="shared" si="871"/>
        <v>#NUM!</v>
      </c>
      <c r="K5558" s="83" t="e">
        <f t="shared" si="872"/>
        <v>#NUM!</v>
      </c>
      <c r="L5558" s="83">
        <f t="shared" si="873"/>
        <v>0</v>
      </c>
      <c r="M5558" s="110" t="str">
        <f t="shared" si="874"/>
        <v/>
      </c>
      <c r="N5558" s="51" t="str">
        <f t="shared" si="875"/>
        <v/>
      </c>
      <c r="O5558" s="52" t="str">
        <f t="shared" si="876"/>
        <v/>
      </c>
      <c r="P5558" s="88">
        <f t="shared" si="877"/>
        <v>0</v>
      </c>
      <c r="Q5558" s="88">
        <f t="shared" si="878"/>
        <v>0</v>
      </c>
      <c r="R5558" s="88" t="e">
        <f>-IF(Tabla14[[#This Row],[DIAS HABILES O MORA]]&lt;0,(Tabla14[[#This Row],[VALOR PRESTAMO]]*Tabla14[[#This Row],[% INTERES ]]/30*U5558))+Tabla14[[#This Row],[VALOR CUOTAS]]</f>
        <v>#VALUE!</v>
      </c>
      <c r="S5558" s="88">
        <f>-IF(Tabla14[[#This Row],[DIAS HABILES O MORA]]&lt;0,(Tabla14[[#This Row],[VALOR PRESTAMO]]*Tabla14[[#This Row],[% INTERES ]]/30*U5558))</f>
        <v>0</v>
      </c>
      <c r="T5558" s="53" t="e">
        <f>Tabla14[[#This Row],[DEUDA CAPITAL]]+Tabla14[[#This Row],[INTERES  CUOTA]]</f>
        <v>#NUM!</v>
      </c>
      <c r="U5558" s="61" t="str">
        <f t="shared" si="879"/>
        <v/>
      </c>
    </row>
    <row r="5559" spans="9:21" ht="24.75" customHeight="1" x14ac:dyDescent="0.35">
      <c r="I5559" s="42">
        <f t="shared" si="870"/>
        <v>0</v>
      </c>
      <c r="J5559" s="65" t="e">
        <f t="shared" si="871"/>
        <v>#NUM!</v>
      </c>
      <c r="K5559" s="83" t="e">
        <f t="shared" si="872"/>
        <v>#NUM!</v>
      </c>
      <c r="L5559" s="83">
        <f t="shared" si="873"/>
        <v>0</v>
      </c>
      <c r="M5559" s="110" t="str">
        <f t="shared" si="874"/>
        <v/>
      </c>
      <c r="N5559" s="51" t="str">
        <f t="shared" si="875"/>
        <v/>
      </c>
      <c r="O5559" s="52" t="str">
        <f t="shared" si="876"/>
        <v/>
      </c>
      <c r="P5559" s="88">
        <f t="shared" si="877"/>
        <v>0</v>
      </c>
      <c r="Q5559" s="88">
        <f t="shared" si="878"/>
        <v>0</v>
      </c>
      <c r="R5559" s="88" t="e">
        <f>-IF(Tabla14[[#This Row],[DIAS HABILES O MORA]]&lt;0,(Tabla14[[#This Row],[VALOR PRESTAMO]]*Tabla14[[#This Row],[% INTERES ]]/30*U5559))+Tabla14[[#This Row],[VALOR CUOTAS]]</f>
        <v>#VALUE!</v>
      </c>
      <c r="S5559" s="88">
        <f>-IF(Tabla14[[#This Row],[DIAS HABILES O MORA]]&lt;0,(Tabla14[[#This Row],[VALOR PRESTAMO]]*Tabla14[[#This Row],[% INTERES ]]/30*U5559))</f>
        <v>0</v>
      </c>
      <c r="T5559" s="53" t="e">
        <f>Tabla14[[#This Row],[DEUDA CAPITAL]]+Tabla14[[#This Row],[INTERES  CUOTA]]</f>
        <v>#NUM!</v>
      </c>
      <c r="U5559" s="61" t="str">
        <f t="shared" si="879"/>
        <v/>
      </c>
    </row>
    <row r="5560" spans="9:21" ht="24.75" customHeight="1" x14ac:dyDescent="0.35">
      <c r="I5560" s="42">
        <f t="shared" si="870"/>
        <v>0</v>
      </c>
      <c r="J5560" s="65" t="e">
        <f t="shared" si="871"/>
        <v>#NUM!</v>
      </c>
      <c r="K5560" s="83" t="e">
        <f t="shared" si="872"/>
        <v>#NUM!</v>
      </c>
      <c r="L5560" s="83">
        <f t="shared" si="873"/>
        <v>0</v>
      </c>
      <c r="M5560" s="110" t="str">
        <f t="shared" si="874"/>
        <v/>
      </c>
      <c r="N5560" s="51" t="str">
        <f t="shared" si="875"/>
        <v/>
      </c>
      <c r="O5560" s="52" t="str">
        <f t="shared" si="876"/>
        <v/>
      </c>
      <c r="P5560" s="88">
        <f t="shared" si="877"/>
        <v>0</v>
      </c>
      <c r="Q5560" s="88">
        <f t="shared" si="878"/>
        <v>0</v>
      </c>
      <c r="R5560" s="88" t="e">
        <f>-IF(Tabla14[[#This Row],[DIAS HABILES O MORA]]&lt;0,(Tabla14[[#This Row],[VALOR PRESTAMO]]*Tabla14[[#This Row],[% INTERES ]]/30*U5560))+Tabla14[[#This Row],[VALOR CUOTAS]]</f>
        <v>#VALUE!</v>
      </c>
      <c r="S5560" s="88">
        <f>-IF(Tabla14[[#This Row],[DIAS HABILES O MORA]]&lt;0,(Tabla14[[#This Row],[VALOR PRESTAMO]]*Tabla14[[#This Row],[% INTERES ]]/30*U5560))</f>
        <v>0</v>
      </c>
      <c r="T5560" s="53" t="e">
        <f>Tabla14[[#This Row],[DEUDA CAPITAL]]+Tabla14[[#This Row],[INTERES  CUOTA]]</f>
        <v>#NUM!</v>
      </c>
      <c r="U5560" s="61" t="str">
        <f t="shared" si="879"/>
        <v/>
      </c>
    </row>
    <row r="5561" spans="9:21" ht="24.75" customHeight="1" x14ac:dyDescent="0.35">
      <c r="I5561" s="42">
        <f t="shared" si="870"/>
        <v>0</v>
      </c>
      <c r="J5561" s="65" t="e">
        <f t="shared" si="871"/>
        <v>#NUM!</v>
      </c>
      <c r="K5561" s="83" t="e">
        <f t="shared" si="872"/>
        <v>#NUM!</v>
      </c>
      <c r="L5561" s="83">
        <f t="shared" si="873"/>
        <v>0</v>
      </c>
      <c r="M5561" s="110" t="str">
        <f t="shared" si="874"/>
        <v/>
      </c>
      <c r="N5561" s="51" t="str">
        <f t="shared" si="875"/>
        <v/>
      </c>
      <c r="O5561" s="52" t="str">
        <f t="shared" si="876"/>
        <v/>
      </c>
      <c r="P5561" s="88">
        <f t="shared" si="877"/>
        <v>0</v>
      </c>
      <c r="Q5561" s="88">
        <f t="shared" si="878"/>
        <v>0</v>
      </c>
      <c r="R5561" s="88" t="e">
        <f>-IF(Tabla14[[#This Row],[DIAS HABILES O MORA]]&lt;0,(Tabla14[[#This Row],[VALOR PRESTAMO]]*Tabla14[[#This Row],[% INTERES ]]/30*U5561))+Tabla14[[#This Row],[VALOR CUOTAS]]</f>
        <v>#VALUE!</v>
      </c>
      <c r="S5561" s="88">
        <f>-IF(Tabla14[[#This Row],[DIAS HABILES O MORA]]&lt;0,(Tabla14[[#This Row],[VALOR PRESTAMO]]*Tabla14[[#This Row],[% INTERES ]]/30*U5561))</f>
        <v>0</v>
      </c>
      <c r="T5561" s="53" t="e">
        <f>Tabla14[[#This Row],[DEUDA CAPITAL]]+Tabla14[[#This Row],[INTERES  CUOTA]]</f>
        <v>#NUM!</v>
      </c>
      <c r="U5561" s="61" t="str">
        <f t="shared" si="879"/>
        <v/>
      </c>
    </row>
    <row r="5562" spans="9:21" ht="24.75" customHeight="1" x14ac:dyDescent="0.35">
      <c r="I5562" s="42">
        <f t="shared" si="870"/>
        <v>0</v>
      </c>
      <c r="J5562" s="65" t="e">
        <f t="shared" si="871"/>
        <v>#NUM!</v>
      </c>
      <c r="K5562" s="83" t="e">
        <f t="shared" si="872"/>
        <v>#NUM!</v>
      </c>
      <c r="L5562" s="83">
        <f t="shared" si="873"/>
        <v>0</v>
      </c>
      <c r="M5562" s="110" t="str">
        <f t="shared" si="874"/>
        <v/>
      </c>
      <c r="N5562" s="51" t="str">
        <f t="shared" si="875"/>
        <v/>
      </c>
      <c r="O5562" s="52" t="str">
        <f t="shared" si="876"/>
        <v/>
      </c>
      <c r="P5562" s="88">
        <f t="shared" si="877"/>
        <v>0</v>
      </c>
      <c r="Q5562" s="88">
        <f t="shared" si="878"/>
        <v>0</v>
      </c>
      <c r="R5562" s="88" t="e">
        <f>-IF(Tabla14[[#This Row],[DIAS HABILES O MORA]]&lt;0,(Tabla14[[#This Row],[VALOR PRESTAMO]]*Tabla14[[#This Row],[% INTERES ]]/30*U5562))+Tabla14[[#This Row],[VALOR CUOTAS]]</f>
        <v>#VALUE!</v>
      </c>
      <c r="S5562" s="88">
        <f>-IF(Tabla14[[#This Row],[DIAS HABILES O MORA]]&lt;0,(Tabla14[[#This Row],[VALOR PRESTAMO]]*Tabla14[[#This Row],[% INTERES ]]/30*U5562))</f>
        <v>0</v>
      </c>
      <c r="T5562" s="53" t="e">
        <f>Tabla14[[#This Row],[DEUDA CAPITAL]]+Tabla14[[#This Row],[INTERES  CUOTA]]</f>
        <v>#NUM!</v>
      </c>
      <c r="U5562" s="61" t="str">
        <f t="shared" si="879"/>
        <v/>
      </c>
    </row>
    <row r="5563" spans="9:21" ht="24.75" customHeight="1" x14ac:dyDescent="0.35">
      <c r="I5563" s="42">
        <f t="shared" si="870"/>
        <v>0</v>
      </c>
      <c r="J5563" s="65" t="e">
        <f t="shared" si="871"/>
        <v>#NUM!</v>
      </c>
      <c r="K5563" s="83" t="e">
        <f t="shared" si="872"/>
        <v>#NUM!</v>
      </c>
      <c r="L5563" s="83">
        <f t="shared" si="873"/>
        <v>0</v>
      </c>
      <c r="M5563" s="110" t="str">
        <f t="shared" si="874"/>
        <v/>
      </c>
      <c r="N5563" s="51" t="str">
        <f t="shared" si="875"/>
        <v/>
      </c>
      <c r="O5563" s="52" t="str">
        <f t="shared" si="876"/>
        <v/>
      </c>
      <c r="P5563" s="88">
        <f t="shared" si="877"/>
        <v>0</v>
      </c>
      <c r="Q5563" s="88">
        <f t="shared" si="878"/>
        <v>0</v>
      </c>
      <c r="R5563" s="88" t="e">
        <f>-IF(Tabla14[[#This Row],[DIAS HABILES O MORA]]&lt;0,(Tabla14[[#This Row],[VALOR PRESTAMO]]*Tabla14[[#This Row],[% INTERES ]]/30*U5563))+Tabla14[[#This Row],[VALOR CUOTAS]]</f>
        <v>#VALUE!</v>
      </c>
      <c r="S5563" s="88">
        <f>-IF(Tabla14[[#This Row],[DIAS HABILES O MORA]]&lt;0,(Tabla14[[#This Row],[VALOR PRESTAMO]]*Tabla14[[#This Row],[% INTERES ]]/30*U5563))</f>
        <v>0</v>
      </c>
      <c r="T5563" s="53" t="e">
        <f>Tabla14[[#This Row],[DEUDA CAPITAL]]+Tabla14[[#This Row],[INTERES  CUOTA]]</f>
        <v>#NUM!</v>
      </c>
      <c r="U5563" s="61" t="str">
        <f t="shared" si="879"/>
        <v/>
      </c>
    </row>
    <row r="5564" spans="9:21" ht="24.75" customHeight="1" x14ac:dyDescent="0.35">
      <c r="I5564" s="42">
        <f t="shared" si="870"/>
        <v>0</v>
      </c>
      <c r="J5564" s="65" t="e">
        <f t="shared" si="871"/>
        <v>#NUM!</v>
      </c>
      <c r="K5564" s="83" t="e">
        <f t="shared" si="872"/>
        <v>#NUM!</v>
      </c>
      <c r="L5564" s="83">
        <f t="shared" si="873"/>
        <v>0</v>
      </c>
      <c r="M5564" s="110" t="str">
        <f t="shared" si="874"/>
        <v/>
      </c>
      <c r="N5564" s="51" t="str">
        <f t="shared" si="875"/>
        <v/>
      </c>
      <c r="O5564" s="52" t="str">
        <f t="shared" si="876"/>
        <v/>
      </c>
      <c r="P5564" s="88">
        <f t="shared" si="877"/>
        <v>0</v>
      </c>
      <c r="Q5564" s="88">
        <f t="shared" si="878"/>
        <v>0</v>
      </c>
      <c r="R5564" s="88" t="e">
        <f>-IF(Tabla14[[#This Row],[DIAS HABILES O MORA]]&lt;0,(Tabla14[[#This Row],[VALOR PRESTAMO]]*Tabla14[[#This Row],[% INTERES ]]/30*U5564))+Tabla14[[#This Row],[VALOR CUOTAS]]</f>
        <v>#VALUE!</v>
      </c>
      <c r="S5564" s="88">
        <f>-IF(Tabla14[[#This Row],[DIAS HABILES O MORA]]&lt;0,(Tabla14[[#This Row],[VALOR PRESTAMO]]*Tabla14[[#This Row],[% INTERES ]]/30*U5564))</f>
        <v>0</v>
      </c>
      <c r="T5564" s="53" t="e">
        <f>Tabla14[[#This Row],[DEUDA CAPITAL]]+Tabla14[[#This Row],[INTERES  CUOTA]]</f>
        <v>#NUM!</v>
      </c>
      <c r="U5564" s="61" t="str">
        <f t="shared" si="879"/>
        <v/>
      </c>
    </row>
    <row r="5565" spans="9:21" ht="24.75" customHeight="1" x14ac:dyDescent="0.35">
      <c r="I5565" s="42">
        <f t="shared" si="870"/>
        <v>0</v>
      </c>
      <c r="J5565" s="65" t="e">
        <f t="shared" si="871"/>
        <v>#NUM!</v>
      </c>
      <c r="K5565" s="83" t="e">
        <f t="shared" si="872"/>
        <v>#NUM!</v>
      </c>
      <c r="L5565" s="83">
        <f t="shared" si="873"/>
        <v>0</v>
      </c>
      <c r="M5565" s="110" t="str">
        <f t="shared" si="874"/>
        <v/>
      </c>
      <c r="N5565" s="51" t="str">
        <f t="shared" si="875"/>
        <v/>
      </c>
      <c r="O5565" s="52" t="str">
        <f t="shared" si="876"/>
        <v/>
      </c>
      <c r="P5565" s="88">
        <f t="shared" si="877"/>
        <v>0</v>
      </c>
      <c r="Q5565" s="88">
        <f t="shared" si="878"/>
        <v>0</v>
      </c>
      <c r="R5565" s="88" t="e">
        <f>-IF(Tabla14[[#This Row],[DIAS HABILES O MORA]]&lt;0,(Tabla14[[#This Row],[VALOR PRESTAMO]]*Tabla14[[#This Row],[% INTERES ]]/30*U5565))+Tabla14[[#This Row],[VALOR CUOTAS]]</f>
        <v>#VALUE!</v>
      </c>
      <c r="S5565" s="88">
        <f>-IF(Tabla14[[#This Row],[DIAS HABILES O MORA]]&lt;0,(Tabla14[[#This Row],[VALOR PRESTAMO]]*Tabla14[[#This Row],[% INTERES ]]/30*U5565))</f>
        <v>0</v>
      </c>
      <c r="T5565" s="53" t="e">
        <f>Tabla14[[#This Row],[DEUDA CAPITAL]]+Tabla14[[#This Row],[INTERES  CUOTA]]</f>
        <v>#NUM!</v>
      </c>
      <c r="U5565" s="61" t="str">
        <f t="shared" si="879"/>
        <v/>
      </c>
    </row>
    <row r="5566" spans="9:21" ht="24.75" customHeight="1" x14ac:dyDescent="0.35">
      <c r="I5566" s="42">
        <f t="shared" si="870"/>
        <v>0</v>
      </c>
      <c r="J5566" s="65" t="e">
        <f t="shared" si="871"/>
        <v>#NUM!</v>
      </c>
      <c r="K5566" s="83" t="e">
        <f t="shared" si="872"/>
        <v>#NUM!</v>
      </c>
      <c r="L5566" s="83">
        <f t="shared" si="873"/>
        <v>0</v>
      </c>
      <c r="M5566" s="110" t="str">
        <f t="shared" si="874"/>
        <v/>
      </c>
      <c r="N5566" s="51" t="str">
        <f t="shared" si="875"/>
        <v/>
      </c>
      <c r="O5566" s="52" t="str">
        <f t="shared" si="876"/>
        <v/>
      </c>
      <c r="P5566" s="88">
        <f t="shared" si="877"/>
        <v>0</v>
      </c>
      <c r="Q5566" s="88">
        <f t="shared" si="878"/>
        <v>0</v>
      </c>
      <c r="R5566" s="88" t="e">
        <f>-IF(Tabla14[[#This Row],[DIAS HABILES O MORA]]&lt;0,(Tabla14[[#This Row],[VALOR PRESTAMO]]*Tabla14[[#This Row],[% INTERES ]]/30*U5566))+Tabla14[[#This Row],[VALOR CUOTAS]]</f>
        <v>#VALUE!</v>
      </c>
      <c r="S5566" s="88">
        <f>-IF(Tabla14[[#This Row],[DIAS HABILES O MORA]]&lt;0,(Tabla14[[#This Row],[VALOR PRESTAMO]]*Tabla14[[#This Row],[% INTERES ]]/30*U5566))</f>
        <v>0</v>
      </c>
      <c r="T5566" s="53" t="e">
        <f>Tabla14[[#This Row],[DEUDA CAPITAL]]+Tabla14[[#This Row],[INTERES  CUOTA]]</f>
        <v>#NUM!</v>
      </c>
      <c r="U5566" s="61" t="str">
        <f t="shared" si="879"/>
        <v/>
      </c>
    </row>
    <row r="5567" spans="9:21" ht="24.75" customHeight="1" x14ac:dyDescent="0.35">
      <c r="I5567" s="42">
        <f t="shared" si="870"/>
        <v>0</v>
      </c>
      <c r="J5567" s="65" t="e">
        <f t="shared" si="871"/>
        <v>#NUM!</v>
      </c>
      <c r="K5567" s="83" t="e">
        <f t="shared" si="872"/>
        <v>#NUM!</v>
      </c>
      <c r="L5567" s="83">
        <f t="shared" si="873"/>
        <v>0</v>
      </c>
      <c r="M5567" s="110" t="str">
        <f t="shared" si="874"/>
        <v/>
      </c>
      <c r="N5567" s="51" t="str">
        <f t="shared" si="875"/>
        <v/>
      </c>
      <c r="O5567" s="52" t="str">
        <f t="shared" si="876"/>
        <v/>
      </c>
      <c r="P5567" s="88">
        <f t="shared" si="877"/>
        <v>0</v>
      </c>
      <c r="Q5567" s="88">
        <f t="shared" si="878"/>
        <v>0</v>
      </c>
      <c r="R5567" s="88" t="e">
        <f>-IF(Tabla14[[#This Row],[DIAS HABILES O MORA]]&lt;0,(Tabla14[[#This Row],[VALOR PRESTAMO]]*Tabla14[[#This Row],[% INTERES ]]/30*U5567))+Tabla14[[#This Row],[VALOR CUOTAS]]</f>
        <v>#VALUE!</v>
      </c>
      <c r="S5567" s="88">
        <f>-IF(Tabla14[[#This Row],[DIAS HABILES O MORA]]&lt;0,(Tabla14[[#This Row],[VALOR PRESTAMO]]*Tabla14[[#This Row],[% INTERES ]]/30*U5567))</f>
        <v>0</v>
      </c>
      <c r="T5567" s="53" t="e">
        <f>Tabla14[[#This Row],[DEUDA CAPITAL]]+Tabla14[[#This Row],[INTERES  CUOTA]]</f>
        <v>#NUM!</v>
      </c>
      <c r="U5567" s="61" t="str">
        <f t="shared" si="879"/>
        <v/>
      </c>
    </row>
    <row r="5568" spans="9:21" ht="24.75" customHeight="1" x14ac:dyDescent="0.35">
      <c r="I5568" s="42">
        <f t="shared" si="870"/>
        <v>0</v>
      </c>
      <c r="J5568" s="65" t="e">
        <f t="shared" si="871"/>
        <v>#NUM!</v>
      </c>
      <c r="K5568" s="83" t="e">
        <f t="shared" si="872"/>
        <v>#NUM!</v>
      </c>
      <c r="L5568" s="83">
        <f t="shared" si="873"/>
        <v>0</v>
      </c>
      <c r="M5568" s="110" t="str">
        <f t="shared" si="874"/>
        <v/>
      </c>
      <c r="N5568" s="51" t="str">
        <f t="shared" si="875"/>
        <v/>
      </c>
      <c r="O5568" s="52" t="str">
        <f t="shared" si="876"/>
        <v/>
      </c>
      <c r="P5568" s="88">
        <f t="shared" si="877"/>
        <v>0</v>
      </c>
      <c r="Q5568" s="88">
        <f t="shared" si="878"/>
        <v>0</v>
      </c>
      <c r="R5568" s="88" t="e">
        <f>-IF(Tabla14[[#This Row],[DIAS HABILES O MORA]]&lt;0,(Tabla14[[#This Row],[VALOR PRESTAMO]]*Tabla14[[#This Row],[% INTERES ]]/30*U5568))+Tabla14[[#This Row],[VALOR CUOTAS]]</f>
        <v>#VALUE!</v>
      </c>
      <c r="S5568" s="88">
        <f>-IF(Tabla14[[#This Row],[DIAS HABILES O MORA]]&lt;0,(Tabla14[[#This Row],[VALOR PRESTAMO]]*Tabla14[[#This Row],[% INTERES ]]/30*U5568))</f>
        <v>0</v>
      </c>
      <c r="T5568" s="53" t="e">
        <f>Tabla14[[#This Row],[DEUDA CAPITAL]]+Tabla14[[#This Row],[INTERES  CUOTA]]</f>
        <v>#NUM!</v>
      </c>
      <c r="U5568" s="61" t="str">
        <f t="shared" si="879"/>
        <v/>
      </c>
    </row>
    <row r="5569" spans="9:21" ht="24.75" customHeight="1" x14ac:dyDescent="0.35">
      <c r="I5569" s="42">
        <f t="shared" si="870"/>
        <v>0</v>
      </c>
      <c r="J5569" s="65" t="e">
        <f t="shared" si="871"/>
        <v>#NUM!</v>
      </c>
      <c r="K5569" s="83" t="e">
        <f t="shared" si="872"/>
        <v>#NUM!</v>
      </c>
      <c r="L5569" s="83">
        <f t="shared" si="873"/>
        <v>0</v>
      </c>
      <c r="M5569" s="110" t="str">
        <f t="shared" si="874"/>
        <v/>
      </c>
      <c r="N5569" s="51" t="str">
        <f t="shared" si="875"/>
        <v/>
      </c>
      <c r="O5569" s="52" t="str">
        <f t="shared" si="876"/>
        <v/>
      </c>
      <c r="P5569" s="88">
        <f t="shared" si="877"/>
        <v>0</v>
      </c>
      <c r="Q5569" s="88">
        <f t="shared" si="878"/>
        <v>0</v>
      </c>
      <c r="R5569" s="88" t="e">
        <f>-IF(Tabla14[[#This Row],[DIAS HABILES O MORA]]&lt;0,(Tabla14[[#This Row],[VALOR PRESTAMO]]*Tabla14[[#This Row],[% INTERES ]]/30*U5569))+Tabla14[[#This Row],[VALOR CUOTAS]]</f>
        <v>#VALUE!</v>
      </c>
      <c r="S5569" s="88">
        <f>-IF(Tabla14[[#This Row],[DIAS HABILES O MORA]]&lt;0,(Tabla14[[#This Row],[VALOR PRESTAMO]]*Tabla14[[#This Row],[% INTERES ]]/30*U5569))</f>
        <v>0</v>
      </c>
      <c r="T5569" s="53" t="e">
        <f>Tabla14[[#This Row],[DEUDA CAPITAL]]+Tabla14[[#This Row],[INTERES  CUOTA]]</f>
        <v>#NUM!</v>
      </c>
      <c r="U5569" s="61" t="str">
        <f t="shared" si="879"/>
        <v/>
      </c>
    </row>
    <row r="5570" spans="9:21" ht="24.75" customHeight="1" x14ac:dyDescent="0.35">
      <c r="I5570" s="42">
        <f t="shared" si="870"/>
        <v>0</v>
      </c>
      <c r="J5570" s="65" t="e">
        <f t="shared" si="871"/>
        <v>#NUM!</v>
      </c>
      <c r="K5570" s="83" t="e">
        <f t="shared" si="872"/>
        <v>#NUM!</v>
      </c>
      <c r="L5570" s="83">
        <f t="shared" si="873"/>
        <v>0</v>
      </c>
      <c r="M5570" s="110" t="str">
        <f t="shared" si="874"/>
        <v/>
      </c>
      <c r="N5570" s="51" t="str">
        <f t="shared" si="875"/>
        <v/>
      </c>
      <c r="O5570" s="52" t="str">
        <f t="shared" si="876"/>
        <v/>
      </c>
      <c r="P5570" s="88">
        <f t="shared" si="877"/>
        <v>0</v>
      </c>
      <c r="Q5570" s="88">
        <f t="shared" si="878"/>
        <v>0</v>
      </c>
      <c r="R5570" s="88" t="e">
        <f>-IF(Tabla14[[#This Row],[DIAS HABILES O MORA]]&lt;0,(Tabla14[[#This Row],[VALOR PRESTAMO]]*Tabla14[[#This Row],[% INTERES ]]/30*U5570))+Tabla14[[#This Row],[VALOR CUOTAS]]</f>
        <v>#VALUE!</v>
      </c>
      <c r="S5570" s="88">
        <f>-IF(Tabla14[[#This Row],[DIAS HABILES O MORA]]&lt;0,(Tabla14[[#This Row],[VALOR PRESTAMO]]*Tabla14[[#This Row],[% INTERES ]]/30*U5570))</f>
        <v>0</v>
      </c>
      <c r="T5570" s="53" t="e">
        <f>Tabla14[[#This Row],[DEUDA CAPITAL]]+Tabla14[[#This Row],[INTERES  CUOTA]]</f>
        <v>#NUM!</v>
      </c>
      <c r="U5570" s="61" t="str">
        <f t="shared" si="879"/>
        <v/>
      </c>
    </row>
    <row r="5571" spans="9:21" ht="24.75" customHeight="1" x14ac:dyDescent="0.35">
      <c r="I5571" s="42">
        <f t="shared" si="870"/>
        <v>0</v>
      </c>
      <c r="J5571" s="65" t="e">
        <f t="shared" si="871"/>
        <v>#NUM!</v>
      </c>
      <c r="K5571" s="83" t="e">
        <f t="shared" si="872"/>
        <v>#NUM!</v>
      </c>
      <c r="L5571" s="83">
        <f t="shared" si="873"/>
        <v>0</v>
      </c>
      <c r="M5571" s="110" t="str">
        <f t="shared" si="874"/>
        <v/>
      </c>
      <c r="N5571" s="51" t="str">
        <f t="shared" si="875"/>
        <v/>
      </c>
      <c r="O5571" s="52" t="str">
        <f t="shared" si="876"/>
        <v/>
      </c>
      <c r="P5571" s="88">
        <f t="shared" si="877"/>
        <v>0</v>
      </c>
      <c r="Q5571" s="88">
        <f t="shared" si="878"/>
        <v>0</v>
      </c>
      <c r="R5571" s="88" t="e">
        <f>-IF(Tabla14[[#This Row],[DIAS HABILES O MORA]]&lt;0,(Tabla14[[#This Row],[VALOR PRESTAMO]]*Tabla14[[#This Row],[% INTERES ]]/30*U5571))+Tabla14[[#This Row],[VALOR CUOTAS]]</f>
        <v>#VALUE!</v>
      </c>
      <c r="S5571" s="88">
        <f>-IF(Tabla14[[#This Row],[DIAS HABILES O MORA]]&lt;0,(Tabla14[[#This Row],[VALOR PRESTAMO]]*Tabla14[[#This Row],[% INTERES ]]/30*U5571))</f>
        <v>0</v>
      </c>
      <c r="T5571" s="53" t="e">
        <f>Tabla14[[#This Row],[DEUDA CAPITAL]]+Tabla14[[#This Row],[INTERES  CUOTA]]</f>
        <v>#NUM!</v>
      </c>
      <c r="U5571" s="61" t="str">
        <f t="shared" si="879"/>
        <v/>
      </c>
    </row>
    <row r="5572" spans="9:21" ht="24.75" customHeight="1" x14ac:dyDescent="0.35">
      <c r="I5572" s="42">
        <f t="shared" si="870"/>
        <v>0</v>
      </c>
      <c r="J5572" s="65" t="e">
        <f t="shared" si="871"/>
        <v>#NUM!</v>
      </c>
      <c r="K5572" s="83" t="e">
        <f t="shared" si="872"/>
        <v>#NUM!</v>
      </c>
      <c r="L5572" s="83">
        <f t="shared" si="873"/>
        <v>0</v>
      </c>
      <c r="M5572" s="110" t="str">
        <f t="shared" si="874"/>
        <v/>
      </c>
      <c r="N5572" s="51" t="str">
        <f t="shared" si="875"/>
        <v/>
      </c>
      <c r="O5572" s="52" t="str">
        <f t="shared" si="876"/>
        <v/>
      </c>
      <c r="P5572" s="88">
        <f t="shared" si="877"/>
        <v>0</v>
      </c>
      <c r="Q5572" s="88">
        <f t="shared" si="878"/>
        <v>0</v>
      </c>
      <c r="R5572" s="88" t="e">
        <f>-IF(Tabla14[[#This Row],[DIAS HABILES O MORA]]&lt;0,(Tabla14[[#This Row],[VALOR PRESTAMO]]*Tabla14[[#This Row],[% INTERES ]]/30*U5572))+Tabla14[[#This Row],[VALOR CUOTAS]]</f>
        <v>#VALUE!</v>
      </c>
      <c r="S5572" s="88">
        <f>-IF(Tabla14[[#This Row],[DIAS HABILES O MORA]]&lt;0,(Tabla14[[#This Row],[VALOR PRESTAMO]]*Tabla14[[#This Row],[% INTERES ]]/30*U5572))</f>
        <v>0</v>
      </c>
      <c r="T5572" s="53" t="e">
        <f>Tabla14[[#This Row],[DEUDA CAPITAL]]+Tabla14[[#This Row],[INTERES  CUOTA]]</f>
        <v>#NUM!</v>
      </c>
      <c r="U5572" s="61" t="str">
        <f t="shared" si="879"/>
        <v/>
      </c>
    </row>
    <row r="5573" spans="9:21" ht="24.75" customHeight="1" x14ac:dyDescent="0.35">
      <c r="I5573" s="42">
        <f t="shared" si="870"/>
        <v>0</v>
      </c>
      <c r="J5573" s="65" t="e">
        <f t="shared" si="871"/>
        <v>#NUM!</v>
      </c>
      <c r="K5573" s="83" t="e">
        <f t="shared" si="872"/>
        <v>#NUM!</v>
      </c>
      <c r="L5573" s="83">
        <f t="shared" si="873"/>
        <v>0</v>
      </c>
      <c r="M5573" s="110" t="str">
        <f t="shared" si="874"/>
        <v/>
      </c>
      <c r="N5573" s="51" t="str">
        <f t="shared" si="875"/>
        <v/>
      </c>
      <c r="O5573" s="52" t="str">
        <f t="shared" si="876"/>
        <v/>
      </c>
      <c r="P5573" s="88">
        <f t="shared" si="877"/>
        <v>0</v>
      </c>
      <c r="Q5573" s="88">
        <f t="shared" si="878"/>
        <v>0</v>
      </c>
      <c r="R5573" s="88" t="e">
        <f>-IF(Tabla14[[#This Row],[DIAS HABILES O MORA]]&lt;0,(Tabla14[[#This Row],[VALOR PRESTAMO]]*Tabla14[[#This Row],[% INTERES ]]/30*U5573))+Tabla14[[#This Row],[VALOR CUOTAS]]</f>
        <v>#VALUE!</v>
      </c>
      <c r="S5573" s="88">
        <f>-IF(Tabla14[[#This Row],[DIAS HABILES O MORA]]&lt;0,(Tabla14[[#This Row],[VALOR PRESTAMO]]*Tabla14[[#This Row],[% INTERES ]]/30*U5573))</f>
        <v>0</v>
      </c>
      <c r="T5573" s="53" t="e">
        <f>Tabla14[[#This Row],[DEUDA CAPITAL]]+Tabla14[[#This Row],[INTERES  CUOTA]]</f>
        <v>#NUM!</v>
      </c>
      <c r="U5573" s="61" t="str">
        <f t="shared" si="879"/>
        <v/>
      </c>
    </row>
    <row r="5574" spans="9:21" ht="24.75" customHeight="1" x14ac:dyDescent="0.35">
      <c r="I5574" s="42">
        <f t="shared" si="870"/>
        <v>0</v>
      </c>
      <c r="J5574" s="65" t="e">
        <f t="shared" si="871"/>
        <v>#NUM!</v>
      </c>
      <c r="K5574" s="83" t="e">
        <f t="shared" si="872"/>
        <v>#NUM!</v>
      </c>
      <c r="L5574" s="83">
        <f t="shared" si="873"/>
        <v>0</v>
      </c>
      <c r="M5574" s="110" t="str">
        <f t="shared" si="874"/>
        <v/>
      </c>
      <c r="N5574" s="51" t="str">
        <f t="shared" si="875"/>
        <v/>
      </c>
      <c r="O5574" s="52" t="str">
        <f t="shared" si="876"/>
        <v/>
      </c>
      <c r="P5574" s="88">
        <f t="shared" si="877"/>
        <v>0</v>
      </c>
      <c r="Q5574" s="88">
        <f t="shared" si="878"/>
        <v>0</v>
      </c>
      <c r="R5574" s="88" t="e">
        <f>-IF(Tabla14[[#This Row],[DIAS HABILES O MORA]]&lt;0,(Tabla14[[#This Row],[VALOR PRESTAMO]]*Tabla14[[#This Row],[% INTERES ]]/30*U5574))+Tabla14[[#This Row],[VALOR CUOTAS]]</f>
        <v>#VALUE!</v>
      </c>
      <c r="S5574" s="88">
        <f>-IF(Tabla14[[#This Row],[DIAS HABILES O MORA]]&lt;0,(Tabla14[[#This Row],[VALOR PRESTAMO]]*Tabla14[[#This Row],[% INTERES ]]/30*U5574))</f>
        <v>0</v>
      </c>
      <c r="T5574" s="53" t="e">
        <f>Tabla14[[#This Row],[DEUDA CAPITAL]]+Tabla14[[#This Row],[INTERES  CUOTA]]</f>
        <v>#NUM!</v>
      </c>
      <c r="U5574" s="61" t="str">
        <f t="shared" si="879"/>
        <v/>
      </c>
    </row>
    <row r="5575" spans="9:21" ht="24.75" customHeight="1" x14ac:dyDescent="0.35">
      <c r="I5575" s="42">
        <f t="shared" si="870"/>
        <v>0</v>
      </c>
      <c r="J5575" s="65" t="e">
        <f t="shared" si="871"/>
        <v>#NUM!</v>
      </c>
      <c r="K5575" s="83" t="e">
        <f t="shared" si="872"/>
        <v>#NUM!</v>
      </c>
      <c r="L5575" s="83">
        <f t="shared" si="873"/>
        <v>0</v>
      </c>
      <c r="M5575" s="110" t="str">
        <f t="shared" si="874"/>
        <v/>
      </c>
      <c r="N5575" s="51" t="str">
        <f t="shared" si="875"/>
        <v/>
      </c>
      <c r="O5575" s="52" t="str">
        <f t="shared" si="876"/>
        <v/>
      </c>
      <c r="P5575" s="88">
        <f t="shared" si="877"/>
        <v>0</v>
      </c>
      <c r="Q5575" s="88">
        <f t="shared" si="878"/>
        <v>0</v>
      </c>
      <c r="R5575" s="88" t="e">
        <f>-IF(Tabla14[[#This Row],[DIAS HABILES O MORA]]&lt;0,(Tabla14[[#This Row],[VALOR PRESTAMO]]*Tabla14[[#This Row],[% INTERES ]]/30*U5575))+Tabla14[[#This Row],[VALOR CUOTAS]]</f>
        <v>#VALUE!</v>
      </c>
      <c r="S5575" s="88">
        <f>-IF(Tabla14[[#This Row],[DIAS HABILES O MORA]]&lt;0,(Tabla14[[#This Row],[VALOR PRESTAMO]]*Tabla14[[#This Row],[% INTERES ]]/30*U5575))</f>
        <v>0</v>
      </c>
      <c r="T5575" s="53" t="e">
        <f>Tabla14[[#This Row],[DEUDA CAPITAL]]+Tabla14[[#This Row],[INTERES  CUOTA]]</f>
        <v>#NUM!</v>
      </c>
      <c r="U5575" s="61" t="str">
        <f t="shared" si="879"/>
        <v/>
      </c>
    </row>
    <row r="5576" spans="9:21" ht="24.75" customHeight="1" x14ac:dyDescent="0.35">
      <c r="I5576" s="42">
        <f t="shared" si="870"/>
        <v>0</v>
      </c>
      <c r="J5576" s="65" t="e">
        <f t="shared" si="871"/>
        <v>#NUM!</v>
      </c>
      <c r="K5576" s="83" t="e">
        <f t="shared" si="872"/>
        <v>#NUM!</v>
      </c>
      <c r="L5576" s="83">
        <f t="shared" si="873"/>
        <v>0</v>
      </c>
      <c r="M5576" s="110" t="str">
        <f t="shared" si="874"/>
        <v/>
      </c>
      <c r="N5576" s="51" t="str">
        <f t="shared" si="875"/>
        <v/>
      </c>
      <c r="O5576" s="52" t="str">
        <f t="shared" si="876"/>
        <v/>
      </c>
      <c r="P5576" s="88">
        <f t="shared" si="877"/>
        <v>0</v>
      </c>
      <c r="Q5576" s="88">
        <f t="shared" si="878"/>
        <v>0</v>
      </c>
      <c r="R5576" s="88" t="e">
        <f>-IF(Tabla14[[#This Row],[DIAS HABILES O MORA]]&lt;0,(Tabla14[[#This Row],[VALOR PRESTAMO]]*Tabla14[[#This Row],[% INTERES ]]/30*U5576))+Tabla14[[#This Row],[VALOR CUOTAS]]</f>
        <v>#VALUE!</v>
      </c>
      <c r="S5576" s="88">
        <f>-IF(Tabla14[[#This Row],[DIAS HABILES O MORA]]&lt;0,(Tabla14[[#This Row],[VALOR PRESTAMO]]*Tabla14[[#This Row],[% INTERES ]]/30*U5576))</f>
        <v>0</v>
      </c>
      <c r="T5576" s="53" t="e">
        <f>Tabla14[[#This Row],[DEUDA CAPITAL]]+Tabla14[[#This Row],[INTERES  CUOTA]]</f>
        <v>#NUM!</v>
      </c>
      <c r="U5576" s="61" t="str">
        <f t="shared" si="879"/>
        <v/>
      </c>
    </row>
    <row r="5577" spans="9:21" ht="24.75" customHeight="1" x14ac:dyDescent="0.35">
      <c r="I5577" s="42">
        <f t="shared" si="870"/>
        <v>0</v>
      </c>
      <c r="J5577" s="65" t="e">
        <f t="shared" si="871"/>
        <v>#NUM!</v>
      </c>
      <c r="K5577" s="83" t="e">
        <f t="shared" si="872"/>
        <v>#NUM!</v>
      </c>
      <c r="L5577" s="83">
        <f t="shared" si="873"/>
        <v>0</v>
      </c>
      <c r="M5577" s="110" t="str">
        <f t="shared" si="874"/>
        <v/>
      </c>
      <c r="N5577" s="51" t="str">
        <f t="shared" si="875"/>
        <v/>
      </c>
      <c r="O5577" s="52" t="str">
        <f t="shared" si="876"/>
        <v/>
      </c>
      <c r="P5577" s="88">
        <f t="shared" si="877"/>
        <v>0</v>
      </c>
      <c r="Q5577" s="88">
        <f t="shared" si="878"/>
        <v>0</v>
      </c>
      <c r="R5577" s="88" t="e">
        <f>-IF(Tabla14[[#This Row],[DIAS HABILES O MORA]]&lt;0,(Tabla14[[#This Row],[VALOR PRESTAMO]]*Tabla14[[#This Row],[% INTERES ]]/30*U5577))+Tabla14[[#This Row],[VALOR CUOTAS]]</f>
        <v>#VALUE!</v>
      </c>
      <c r="S5577" s="88">
        <f>-IF(Tabla14[[#This Row],[DIAS HABILES O MORA]]&lt;0,(Tabla14[[#This Row],[VALOR PRESTAMO]]*Tabla14[[#This Row],[% INTERES ]]/30*U5577))</f>
        <v>0</v>
      </c>
      <c r="T5577" s="53" t="e">
        <f>Tabla14[[#This Row],[DEUDA CAPITAL]]+Tabla14[[#This Row],[INTERES  CUOTA]]</f>
        <v>#NUM!</v>
      </c>
      <c r="U5577" s="61" t="str">
        <f t="shared" si="879"/>
        <v/>
      </c>
    </row>
    <row r="5578" spans="9:21" ht="24.75" customHeight="1" x14ac:dyDescent="0.35">
      <c r="I5578" s="42">
        <f t="shared" si="870"/>
        <v>0</v>
      </c>
      <c r="J5578" s="65" t="e">
        <f t="shared" si="871"/>
        <v>#NUM!</v>
      </c>
      <c r="K5578" s="83" t="e">
        <f t="shared" si="872"/>
        <v>#NUM!</v>
      </c>
      <c r="L5578" s="83">
        <f t="shared" si="873"/>
        <v>0</v>
      </c>
      <c r="M5578" s="110" t="str">
        <f t="shared" si="874"/>
        <v/>
      </c>
      <c r="N5578" s="51" t="str">
        <f t="shared" si="875"/>
        <v/>
      </c>
      <c r="O5578" s="52" t="str">
        <f t="shared" si="876"/>
        <v/>
      </c>
      <c r="P5578" s="88">
        <f t="shared" si="877"/>
        <v>0</v>
      </c>
      <c r="Q5578" s="88">
        <f t="shared" si="878"/>
        <v>0</v>
      </c>
      <c r="R5578" s="88" t="e">
        <f>-IF(Tabla14[[#This Row],[DIAS HABILES O MORA]]&lt;0,(Tabla14[[#This Row],[VALOR PRESTAMO]]*Tabla14[[#This Row],[% INTERES ]]/30*U5578))+Tabla14[[#This Row],[VALOR CUOTAS]]</f>
        <v>#VALUE!</v>
      </c>
      <c r="S5578" s="88">
        <f>-IF(Tabla14[[#This Row],[DIAS HABILES O MORA]]&lt;0,(Tabla14[[#This Row],[VALOR PRESTAMO]]*Tabla14[[#This Row],[% INTERES ]]/30*U5578))</f>
        <v>0</v>
      </c>
      <c r="T5578" s="53" t="e">
        <f>Tabla14[[#This Row],[DEUDA CAPITAL]]+Tabla14[[#This Row],[INTERES  CUOTA]]</f>
        <v>#NUM!</v>
      </c>
      <c r="U5578" s="61" t="str">
        <f t="shared" si="879"/>
        <v/>
      </c>
    </row>
    <row r="5579" spans="9:21" ht="24.75" customHeight="1" x14ac:dyDescent="0.35">
      <c r="I5579" s="42">
        <f t="shared" si="870"/>
        <v>0</v>
      </c>
      <c r="J5579" s="65" t="e">
        <f t="shared" si="871"/>
        <v>#NUM!</v>
      </c>
      <c r="K5579" s="83" t="e">
        <f t="shared" si="872"/>
        <v>#NUM!</v>
      </c>
      <c r="L5579" s="83">
        <f t="shared" si="873"/>
        <v>0</v>
      </c>
      <c r="M5579" s="110" t="str">
        <f t="shared" si="874"/>
        <v/>
      </c>
      <c r="N5579" s="51" t="str">
        <f t="shared" si="875"/>
        <v/>
      </c>
      <c r="O5579" s="52" t="str">
        <f t="shared" si="876"/>
        <v/>
      </c>
      <c r="P5579" s="88">
        <f t="shared" si="877"/>
        <v>0</v>
      </c>
      <c r="Q5579" s="88">
        <f t="shared" si="878"/>
        <v>0</v>
      </c>
      <c r="R5579" s="88" t="e">
        <f>-IF(Tabla14[[#This Row],[DIAS HABILES O MORA]]&lt;0,(Tabla14[[#This Row],[VALOR PRESTAMO]]*Tabla14[[#This Row],[% INTERES ]]/30*U5579))+Tabla14[[#This Row],[VALOR CUOTAS]]</f>
        <v>#VALUE!</v>
      </c>
      <c r="S5579" s="88">
        <f>-IF(Tabla14[[#This Row],[DIAS HABILES O MORA]]&lt;0,(Tabla14[[#This Row],[VALOR PRESTAMO]]*Tabla14[[#This Row],[% INTERES ]]/30*U5579))</f>
        <v>0</v>
      </c>
      <c r="T5579" s="53" t="e">
        <f>Tabla14[[#This Row],[DEUDA CAPITAL]]+Tabla14[[#This Row],[INTERES  CUOTA]]</f>
        <v>#NUM!</v>
      </c>
      <c r="U5579" s="61" t="str">
        <f t="shared" si="879"/>
        <v/>
      </c>
    </row>
    <row r="5580" spans="9:21" ht="24.75" customHeight="1" x14ac:dyDescent="0.35">
      <c r="I5580" s="42">
        <f t="shared" si="870"/>
        <v>0</v>
      </c>
      <c r="J5580" s="65" t="e">
        <f t="shared" si="871"/>
        <v>#NUM!</v>
      </c>
      <c r="K5580" s="83" t="e">
        <f t="shared" si="872"/>
        <v>#NUM!</v>
      </c>
      <c r="L5580" s="83">
        <f t="shared" si="873"/>
        <v>0</v>
      </c>
      <c r="M5580" s="110" t="str">
        <f t="shared" si="874"/>
        <v/>
      </c>
      <c r="N5580" s="51" t="str">
        <f t="shared" si="875"/>
        <v/>
      </c>
      <c r="O5580" s="52" t="str">
        <f t="shared" si="876"/>
        <v/>
      </c>
      <c r="P5580" s="88">
        <f t="shared" si="877"/>
        <v>0</v>
      </c>
      <c r="Q5580" s="88">
        <f t="shared" si="878"/>
        <v>0</v>
      </c>
      <c r="R5580" s="88" t="e">
        <f>-IF(Tabla14[[#This Row],[DIAS HABILES O MORA]]&lt;0,(Tabla14[[#This Row],[VALOR PRESTAMO]]*Tabla14[[#This Row],[% INTERES ]]/30*U5580))+Tabla14[[#This Row],[VALOR CUOTAS]]</f>
        <v>#VALUE!</v>
      </c>
      <c r="S5580" s="88">
        <f>-IF(Tabla14[[#This Row],[DIAS HABILES O MORA]]&lt;0,(Tabla14[[#This Row],[VALOR PRESTAMO]]*Tabla14[[#This Row],[% INTERES ]]/30*U5580))</f>
        <v>0</v>
      </c>
      <c r="T5580" s="53" t="e">
        <f>Tabla14[[#This Row],[DEUDA CAPITAL]]+Tabla14[[#This Row],[INTERES  CUOTA]]</f>
        <v>#NUM!</v>
      </c>
      <c r="U5580" s="61" t="str">
        <f t="shared" si="879"/>
        <v/>
      </c>
    </row>
    <row r="5581" spans="9:21" ht="24.75" customHeight="1" x14ac:dyDescent="0.35">
      <c r="I5581" s="42">
        <f t="shared" si="870"/>
        <v>0</v>
      </c>
      <c r="J5581" s="65" t="e">
        <f t="shared" si="871"/>
        <v>#NUM!</v>
      </c>
      <c r="K5581" s="83" t="e">
        <f t="shared" si="872"/>
        <v>#NUM!</v>
      </c>
      <c r="L5581" s="83">
        <f t="shared" si="873"/>
        <v>0</v>
      </c>
      <c r="M5581" s="110" t="str">
        <f t="shared" si="874"/>
        <v/>
      </c>
      <c r="N5581" s="51" t="str">
        <f t="shared" si="875"/>
        <v/>
      </c>
      <c r="O5581" s="52" t="str">
        <f t="shared" si="876"/>
        <v/>
      </c>
      <c r="P5581" s="88">
        <f t="shared" si="877"/>
        <v>0</v>
      </c>
      <c r="Q5581" s="88">
        <f t="shared" si="878"/>
        <v>0</v>
      </c>
      <c r="R5581" s="88" t="e">
        <f>-IF(Tabla14[[#This Row],[DIAS HABILES O MORA]]&lt;0,(Tabla14[[#This Row],[VALOR PRESTAMO]]*Tabla14[[#This Row],[% INTERES ]]/30*U5581))+Tabla14[[#This Row],[VALOR CUOTAS]]</f>
        <v>#VALUE!</v>
      </c>
      <c r="S5581" s="88">
        <f>-IF(Tabla14[[#This Row],[DIAS HABILES O MORA]]&lt;0,(Tabla14[[#This Row],[VALOR PRESTAMO]]*Tabla14[[#This Row],[% INTERES ]]/30*U5581))</f>
        <v>0</v>
      </c>
      <c r="T5581" s="53" t="e">
        <f>Tabla14[[#This Row],[DEUDA CAPITAL]]+Tabla14[[#This Row],[INTERES  CUOTA]]</f>
        <v>#NUM!</v>
      </c>
      <c r="U5581" s="61" t="str">
        <f t="shared" si="879"/>
        <v/>
      </c>
    </row>
    <row r="5582" spans="9:21" ht="24.75" customHeight="1" x14ac:dyDescent="0.35">
      <c r="I5582" s="42">
        <f t="shared" si="870"/>
        <v>0</v>
      </c>
      <c r="J5582" s="65" t="e">
        <f t="shared" si="871"/>
        <v>#NUM!</v>
      </c>
      <c r="K5582" s="83" t="e">
        <f t="shared" si="872"/>
        <v>#NUM!</v>
      </c>
      <c r="L5582" s="83">
        <f t="shared" si="873"/>
        <v>0</v>
      </c>
      <c r="M5582" s="110" t="str">
        <f t="shared" si="874"/>
        <v/>
      </c>
      <c r="N5582" s="51" t="str">
        <f t="shared" si="875"/>
        <v/>
      </c>
      <c r="O5582" s="52" t="str">
        <f t="shared" si="876"/>
        <v/>
      </c>
      <c r="P5582" s="88">
        <f t="shared" si="877"/>
        <v>0</v>
      </c>
      <c r="Q5582" s="88">
        <f t="shared" si="878"/>
        <v>0</v>
      </c>
      <c r="R5582" s="88" t="e">
        <f>-IF(Tabla14[[#This Row],[DIAS HABILES O MORA]]&lt;0,(Tabla14[[#This Row],[VALOR PRESTAMO]]*Tabla14[[#This Row],[% INTERES ]]/30*U5582))+Tabla14[[#This Row],[VALOR CUOTAS]]</f>
        <v>#VALUE!</v>
      </c>
      <c r="S5582" s="88">
        <f>-IF(Tabla14[[#This Row],[DIAS HABILES O MORA]]&lt;0,(Tabla14[[#This Row],[VALOR PRESTAMO]]*Tabla14[[#This Row],[% INTERES ]]/30*U5582))</f>
        <v>0</v>
      </c>
      <c r="T5582" s="53" t="e">
        <f>Tabla14[[#This Row],[DEUDA CAPITAL]]+Tabla14[[#This Row],[INTERES  CUOTA]]</f>
        <v>#NUM!</v>
      </c>
      <c r="U5582" s="61" t="str">
        <f t="shared" si="879"/>
        <v/>
      </c>
    </row>
    <row r="5583" spans="9:21" ht="24.75" customHeight="1" x14ac:dyDescent="0.35">
      <c r="I5583" s="42">
        <f t="shared" si="870"/>
        <v>0</v>
      </c>
      <c r="J5583" s="65" t="e">
        <f t="shared" si="871"/>
        <v>#NUM!</v>
      </c>
      <c r="K5583" s="83" t="e">
        <f t="shared" si="872"/>
        <v>#NUM!</v>
      </c>
      <c r="L5583" s="83">
        <f t="shared" si="873"/>
        <v>0</v>
      </c>
      <c r="M5583" s="110" t="str">
        <f t="shared" si="874"/>
        <v/>
      </c>
      <c r="N5583" s="51" t="str">
        <f t="shared" si="875"/>
        <v/>
      </c>
      <c r="O5583" s="52" t="str">
        <f t="shared" si="876"/>
        <v/>
      </c>
      <c r="P5583" s="88">
        <f t="shared" si="877"/>
        <v>0</v>
      </c>
      <c r="Q5583" s="88">
        <f t="shared" si="878"/>
        <v>0</v>
      </c>
      <c r="R5583" s="88" t="e">
        <f>-IF(Tabla14[[#This Row],[DIAS HABILES O MORA]]&lt;0,(Tabla14[[#This Row],[VALOR PRESTAMO]]*Tabla14[[#This Row],[% INTERES ]]/30*U5583))+Tabla14[[#This Row],[VALOR CUOTAS]]</f>
        <v>#VALUE!</v>
      </c>
      <c r="S5583" s="88">
        <f>-IF(Tabla14[[#This Row],[DIAS HABILES O MORA]]&lt;0,(Tabla14[[#This Row],[VALOR PRESTAMO]]*Tabla14[[#This Row],[% INTERES ]]/30*U5583))</f>
        <v>0</v>
      </c>
      <c r="T5583" s="53" t="e">
        <f>Tabla14[[#This Row],[DEUDA CAPITAL]]+Tabla14[[#This Row],[INTERES  CUOTA]]</f>
        <v>#NUM!</v>
      </c>
      <c r="U5583" s="61" t="str">
        <f t="shared" si="879"/>
        <v/>
      </c>
    </row>
    <row r="5584" spans="9:21" ht="24.75" customHeight="1" x14ac:dyDescent="0.35">
      <c r="I5584" s="42">
        <f t="shared" ref="I5584:I5647" si="880">IF(C5584&lt;0,"",IF(Q5584=0,0,IF(G5584=0,H5584+1,IF(H5584&lt;G5584,H5584+1,IF(G5584=H5584,0)))))</f>
        <v>0</v>
      </c>
      <c r="J5584" s="65" t="e">
        <f t="shared" ref="J5584:J5647" si="881">IF(F5584="SOLO INTERES",Q5584*D5584,-IPMT(D5584,I5584,G5584,C5584))</f>
        <v>#NUM!</v>
      </c>
      <c r="K5584" s="83" t="e">
        <f t="shared" ref="K5584:K5647" si="882">IF(F5584="SOLO INTERES",0,-PPMT(D5584,I5584,G5584,C5584))</f>
        <v>#NUM!</v>
      </c>
      <c r="L5584" s="83">
        <f t="shared" ref="L5584:L5647" si="883">IF(F5584="SOLO INTERES",SUM(Y5584:AAE5584),IFERROR(-CUMIPMT(D5584,G5584,C5584,1,H5584,0),0)+SUM(Y5584:WY5584))</f>
        <v>0</v>
      </c>
      <c r="M5584" s="110" t="str">
        <f t="shared" ref="M5584:M5647" si="884">IFERROR(IF(F5584="SOLO INTERES",Q5584*D5584,-PMT(D5584,G5584,C5584,0)),"")</f>
        <v/>
      </c>
      <c r="N5584" s="51" t="str">
        <f t="shared" ref="N5584:N5647" si="885">IF(Q5584=0,"",IF(E5584="MENSUAL",EDATE(B5584,I5584),IF(E5584="QUINCENAL",B5584+(I5584*15),IF(E5584="SEMANAL",B5584+(I5584*7)))))</f>
        <v/>
      </c>
      <c r="O5584" s="52" t="str">
        <f t="shared" ref="O5584:O5647" si="886">IF(C5584=0,"",IF(Q5584&lt;1,"PAGADO",IF(N5584=$A$3,"COBRAR HOY",IF(N5584&lt;$A$3,"EN MORA",IF(N5584&gt;$A$3,"AL DIA")))))</f>
        <v/>
      </c>
      <c r="P5584" s="88">
        <f t="shared" ref="P5584:P5647" si="887">IFERROR(-CUMPRINC(D5584,G5584,C5584,1,H5584,0),0)+W5584</f>
        <v>0</v>
      </c>
      <c r="Q5584" s="88">
        <f t="shared" ref="Q5584:Q5647" si="888">IFERROR(C5584-P5584,"")</f>
        <v>0</v>
      </c>
      <c r="R5584" s="88" t="e">
        <f>-IF(Tabla14[[#This Row],[DIAS HABILES O MORA]]&lt;0,(Tabla14[[#This Row],[VALOR PRESTAMO]]*Tabla14[[#This Row],[% INTERES ]]/30*U5584))+Tabla14[[#This Row],[VALOR CUOTAS]]</f>
        <v>#VALUE!</v>
      </c>
      <c r="S5584" s="88">
        <f>-IF(Tabla14[[#This Row],[DIAS HABILES O MORA]]&lt;0,(Tabla14[[#This Row],[VALOR PRESTAMO]]*Tabla14[[#This Row],[% INTERES ]]/30*U5584))</f>
        <v>0</v>
      </c>
      <c r="T5584" s="53" t="e">
        <f>Tabla14[[#This Row],[DEUDA CAPITAL]]+Tabla14[[#This Row],[INTERES  CUOTA]]</f>
        <v>#NUM!</v>
      </c>
      <c r="U5584" s="61" t="str">
        <f t="shared" ref="U5584:U5647" si="889">IF(O5584="PAGADO","",IFERROR(-IF(C5584=0,"",$A$3-N5584),""))</f>
        <v/>
      </c>
    </row>
    <row r="5585" spans="9:21" ht="24.75" customHeight="1" x14ac:dyDescent="0.35">
      <c r="I5585" s="42">
        <f t="shared" si="880"/>
        <v>0</v>
      </c>
      <c r="J5585" s="65" t="e">
        <f t="shared" si="881"/>
        <v>#NUM!</v>
      </c>
      <c r="K5585" s="83" t="e">
        <f t="shared" si="882"/>
        <v>#NUM!</v>
      </c>
      <c r="L5585" s="83">
        <f t="shared" si="883"/>
        <v>0</v>
      </c>
      <c r="M5585" s="110" t="str">
        <f t="shared" si="884"/>
        <v/>
      </c>
      <c r="N5585" s="51" t="str">
        <f t="shared" si="885"/>
        <v/>
      </c>
      <c r="O5585" s="52" t="str">
        <f t="shared" si="886"/>
        <v/>
      </c>
      <c r="P5585" s="88">
        <f t="shared" si="887"/>
        <v>0</v>
      </c>
      <c r="Q5585" s="88">
        <f t="shared" si="888"/>
        <v>0</v>
      </c>
      <c r="R5585" s="88" t="e">
        <f>-IF(Tabla14[[#This Row],[DIAS HABILES O MORA]]&lt;0,(Tabla14[[#This Row],[VALOR PRESTAMO]]*Tabla14[[#This Row],[% INTERES ]]/30*U5585))+Tabla14[[#This Row],[VALOR CUOTAS]]</f>
        <v>#VALUE!</v>
      </c>
      <c r="S5585" s="88">
        <f>-IF(Tabla14[[#This Row],[DIAS HABILES O MORA]]&lt;0,(Tabla14[[#This Row],[VALOR PRESTAMO]]*Tabla14[[#This Row],[% INTERES ]]/30*U5585))</f>
        <v>0</v>
      </c>
      <c r="T5585" s="53" t="e">
        <f>Tabla14[[#This Row],[DEUDA CAPITAL]]+Tabla14[[#This Row],[INTERES  CUOTA]]</f>
        <v>#NUM!</v>
      </c>
      <c r="U5585" s="61" t="str">
        <f t="shared" si="889"/>
        <v/>
      </c>
    </row>
    <row r="5586" spans="9:21" ht="24.75" customHeight="1" x14ac:dyDescent="0.35">
      <c r="I5586" s="42">
        <f t="shared" si="880"/>
        <v>0</v>
      </c>
      <c r="J5586" s="65" t="e">
        <f t="shared" si="881"/>
        <v>#NUM!</v>
      </c>
      <c r="K5586" s="83" t="e">
        <f t="shared" si="882"/>
        <v>#NUM!</v>
      </c>
      <c r="L5586" s="83">
        <f t="shared" si="883"/>
        <v>0</v>
      </c>
      <c r="M5586" s="110" t="str">
        <f t="shared" si="884"/>
        <v/>
      </c>
      <c r="N5586" s="51" t="str">
        <f t="shared" si="885"/>
        <v/>
      </c>
      <c r="O5586" s="52" t="str">
        <f t="shared" si="886"/>
        <v/>
      </c>
      <c r="P5586" s="88">
        <f t="shared" si="887"/>
        <v>0</v>
      </c>
      <c r="Q5586" s="88">
        <f t="shared" si="888"/>
        <v>0</v>
      </c>
      <c r="R5586" s="88" t="e">
        <f>-IF(Tabla14[[#This Row],[DIAS HABILES O MORA]]&lt;0,(Tabla14[[#This Row],[VALOR PRESTAMO]]*Tabla14[[#This Row],[% INTERES ]]/30*U5586))+Tabla14[[#This Row],[VALOR CUOTAS]]</f>
        <v>#VALUE!</v>
      </c>
      <c r="S5586" s="88">
        <f>-IF(Tabla14[[#This Row],[DIAS HABILES O MORA]]&lt;0,(Tabla14[[#This Row],[VALOR PRESTAMO]]*Tabla14[[#This Row],[% INTERES ]]/30*U5586))</f>
        <v>0</v>
      </c>
      <c r="T5586" s="53" t="e">
        <f>Tabla14[[#This Row],[DEUDA CAPITAL]]+Tabla14[[#This Row],[INTERES  CUOTA]]</f>
        <v>#NUM!</v>
      </c>
      <c r="U5586" s="61" t="str">
        <f t="shared" si="889"/>
        <v/>
      </c>
    </row>
    <row r="5587" spans="9:21" ht="24.75" customHeight="1" x14ac:dyDescent="0.35">
      <c r="I5587" s="42">
        <f t="shared" si="880"/>
        <v>0</v>
      </c>
      <c r="J5587" s="65" t="e">
        <f t="shared" si="881"/>
        <v>#NUM!</v>
      </c>
      <c r="K5587" s="83" t="e">
        <f t="shared" si="882"/>
        <v>#NUM!</v>
      </c>
      <c r="L5587" s="83">
        <f t="shared" si="883"/>
        <v>0</v>
      </c>
      <c r="M5587" s="110" t="str">
        <f t="shared" si="884"/>
        <v/>
      </c>
      <c r="N5587" s="51" t="str">
        <f t="shared" si="885"/>
        <v/>
      </c>
      <c r="O5587" s="52" t="str">
        <f t="shared" si="886"/>
        <v/>
      </c>
      <c r="P5587" s="88">
        <f t="shared" si="887"/>
        <v>0</v>
      </c>
      <c r="Q5587" s="88">
        <f t="shared" si="888"/>
        <v>0</v>
      </c>
      <c r="R5587" s="88" t="e">
        <f>-IF(Tabla14[[#This Row],[DIAS HABILES O MORA]]&lt;0,(Tabla14[[#This Row],[VALOR PRESTAMO]]*Tabla14[[#This Row],[% INTERES ]]/30*U5587))+Tabla14[[#This Row],[VALOR CUOTAS]]</f>
        <v>#VALUE!</v>
      </c>
      <c r="S5587" s="88">
        <f>-IF(Tabla14[[#This Row],[DIAS HABILES O MORA]]&lt;0,(Tabla14[[#This Row],[VALOR PRESTAMO]]*Tabla14[[#This Row],[% INTERES ]]/30*U5587))</f>
        <v>0</v>
      </c>
      <c r="T5587" s="53" t="e">
        <f>Tabla14[[#This Row],[DEUDA CAPITAL]]+Tabla14[[#This Row],[INTERES  CUOTA]]</f>
        <v>#NUM!</v>
      </c>
      <c r="U5587" s="61" t="str">
        <f t="shared" si="889"/>
        <v/>
      </c>
    </row>
    <row r="5588" spans="9:21" ht="24.75" customHeight="1" x14ac:dyDescent="0.35">
      <c r="I5588" s="42">
        <f t="shared" si="880"/>
        <v>0</v>
      </c>
      <c r="J5588" s="65" t="e">
        <f t="shared" si="881"/>
        <v>#NUM!</v>
      </c>
      <c r="K5588" s="83" t="e">
        <f t="shared" si="882"/>
        <v>#NUM!</v>
      </c>
      <c r="L5588" s="83">
        <f t="shared" si="883"/>
        <v>0</v>
      </c>
      <c r="M5588" s="110" t="str">
        <f t="shared" si="884"/>
        <v/>
      </c>
      <c r="N5588" s="51" t="str">
        <f t="shared" si="885"/>
        <v/>
      </c>
      <c r="O5588" s="52" t="str">
        <f t="shared" si="886"/>
        <v/>
      </c>
      <c r="P5588" s="88">
        <f t="shared" si="887"/>
        <v>0</v>
      </c>
      <c r="Q5588" s="88">
        <f t="shared" si="888"/>
        <v>0</v>
      </c>
      <c r="R5588" s="88" t="e">
        <f>-IF(Tabla14[[#This Row],[DIAS HABILES O MORA]]&lt;0,(Tabla14[[#This Row],[VALOR PRESTAMO]]*Tabla14[[#This Row],[% INTERES ]]/30*U5588))+Tabla14[[#This Row],[VALOR CUOTAS]]</f>
        <v>#VALUE!</v>
      </c>
      <c r="S5588" s="88">
        <f>-IF(Tabla14[[#This Row],[DIAS HABILES O MORA]]&lt;0,(Tabla14[[#This Row],[VALOR PRESTAMO]]*Tabla14[[#This Row],[% INTERES ]]/30*U5588))</f>
        <v>0</v>
      </c>
      <c r="T5588" s="53" t="e">
        <f>Tabla14[[#This Row],[DEUDA CAPITAL]]+Tabla14[[#This Row],[INTERES  CUOTA]]</f>
        <v>#NUM!</v>
      </c>
      <c r="U5588" s="61" t="str">
        <f t="shared" si="889"/>
        <v/>
      </c>
    </row>
    <row r="5589" spans="9:21" ht="24.75" customHeight="1" x14ac:dyDescent="0.35">
      <c r="I5589" s="42">
        <f t="shared" si="880"/>
        <v>0</v>
      </c>
      <c r="J5589" s="65" t="e">
        <f t="shared" si="881"/>
        <v>#NUM!</v>
      </c>
      <c r="K5589" s="83" t="e">
        <f t="shared" si="882"/>
        <v>#NUM!</v>
      </c>
      <c r="L5589" s="83">
        <f t="shared" si="883"/>
        <v>0</v>
      </c>
      <c r="M5589" s="110" t="str">
        <f t="shared" si="884"/>
        <v/>
      </c>
      <c r="N5589" s="51" t="str">
        <f t="shared" si="885"/>
        <v/>
      </c>
      <c r="O5589" s="52" t="str">
        <f t="shared" si="886"/>
        <v/>
      </c>
      <c r="P5589" s="88">
        <f t="shared" si="887"/>
        <v>0</v>
      </c>
      <c r="Q5589" s="88">
        <f t="shared" si="888"/>
        <v>0</v>
      </c>
      <c r="R5589" s="88" t="e">
        <f>-IF(Tabla14[[#This Row],[DIAS HABILES O MORA]]&lt;0,(Tabla14[[#This Row],[VALOR PRESTAMO]]*Tabla14[[#This Row],[% INTERES ]]/30*U5589))+Tabla14[[#This Row],[VALOR CUOTAS]]</f>
        <v>#VALUE!</v>
      </c>
      <c r="S5589" s="88">
        <f>-IF(Tabla14[[#This Row],[DIAS HABILES O MORA]]&lt;0,(Tabla14[[#This Row],[VALOR PRESTAMO]]*Tabla14[[#This Row],[% INTERES ]]/30*U5589))</f>
        <v>0</v>
      </c>
      <c r="T5589" s="53" t="e">
        <f>Tabla14[[#This Row],[DEUDA CAPITAL]]+Tabla14[[#This Row],[INTERES  CUOTA]]</f>
        <v>#NUM!</v>
      </c>
      <c r="U5589" s="61" t="str">
        <f t="shared" si="889"/>
        <v/>
      </c>
    </row>
    <row r="5590" spans="9:21" ht="24.75" customHeight="1" x14ac:dyDescent="0.35">
      <c r="I5590" s="42">
        <f t="shared" si="880"/>
        <v>0</v>
      </c>
      <c r="J5590" s="65" t="e">
        <f t="shared" si="881"/>
        <v>#NUM!</v>
      </c>
      <c r="K5590" s="83" t="e">
        <f t="shared" si="882"/>
        <v>#NUM!</v>
      </c>
      <c r="L5590" s="83">
        <f t="shared" si="883"/>
        <v>0</v>
      </c>
      <c r="M5590" s="110" t="str">
        <f t="shared" si="884"/>
        <v/>
      </c>
      <c r="N5590" s="51" t="str">
        <f t="shared" si="885"/>
        <v/>
      </c>
      <c r="O5590" s="52" t="str">
        <f t="shared" si="886"/>
        <v/>
      </c>
      <c r="P5590" s="88">
        <f t="shared" si="887"/>
        <v>0</v>
      </c>
      <c r="Q5590" s="88">
        <f t="shared" si="888"/>
        <v>0</v>
      </c>
      <c r="R5590" s="88" t="e">
        <f>-IF(Tabla14[[#This Row],[DIAS HABILES O MORA]]&lt;0,(Tabla14[[#This Row],[VALOR PRESTAMO]]*Tabla14[[#This Row],[% INTERES ]]/30*U5590))+Tabla14[[#This Row],[VALOR CUOTAS]]</f>
        <v>#VALUE!</v>
      </c>
      <c r="S5590" s="88">
        <f>-IF(Tabla14[[#This Row],[DIAS HABILES O MORA]]&lt;0,(Tabla14[[#This Row],[VALOR PRESTAMO]]*Tabla14[[#This Row],[% INTERES ]]/30*U5590))</f>
        <v>0</v>
      </c>
      <c r="T5590" s="53" t="e">
        <f>Tabla14[[#This Row],[DEUDA CAPITAL]]+Tabla14[[#This Row],[INTERES  CUOTA]]</f>
        <v>#NUM!</v>
      </c>
      <c r="U5590" s="61" t="str">
        <f t="shared" si="889"/>
        <v/>
      </c>
    </row>
    <row r="5591" spans="9:21" ht="24.75" customHeight="1" x14ac:dyDescent="0.35">
      <c r="I5591" s="42">
        <f t="shared" si="880"/>
        <v>0</v>
      </c>
      <c r="J5591" s="65" t="e">
        <f t="shared" si="881"/>
        <v>#NUM!</v>
      </c>
      <c r="K5591" s="83" t="e">
        <f t="shared" si="882"/>
        <v>#NUM!</v>
      </c>
      <c r="L5591" s="83">
        <f t="shared" si="883"/>
        <v>0</v>
      </c>
      <c r="M5591" s="110" t="str">
        <f t="shared" si="884"/>
        <v/>
      </c>
      <c r="N5591" s="51" t="str">
        <f t="shared" si="885"/>
        <v/>
      </c>
      <c r="O5591" s="52" t="str">
        <f t="shared" si="886"/>
        <v/>
      </c>
      <c r="P5591" s="88">
        <f t="shared" si="887"/>
        <v>0</v>
      </c>
      <c r="Q5591" s="88">
        <f t="shared" si="888"/>
        <v>0</v>
      </c>
      <c r="R5591" s="88" t="e">
        <f>-IF(Tabla14[[#This Row],[DIAS HABILES O MORA]]&lt;0,(Tabla14[[#This Row],[VALOR PRESTAMO]]*Tabla14[[#This Row],[% INTERES ]]/30*U5591))+Tabla14[[#This Row],[VALOR CUOTAS]]</f>
        <v>#VALUE!</v>
      </c>
      <c r="S5591" s="88">
        <f>-IF(Tabla14[[#This Row],[DIAS HABILES O MORA]]&lt;0,(Tabla14[[#This Row],[VALOR PRESTAMO]]*Tabla14[[#This Row],[% INTERES ]]/30*U5591))</f>
        <v>0</v>
      </c>
      <c r="T5591" s="53" t="e">
        <f>Tabla14[[#This Row],[DEUDA CAPITAL]]+Tabla14[[#This Row],[INTERES  CUOTA]]</f>
        <v>#NUM!</v>
      </c>
      <c r="U5591" s="61" t="str">
        <f t="shared" si="889"/>
        <v/>
      </c>
    </row>
    <row r="5592" spans="9:21" ht="24.75" customHeight="1" x14ac:dyDescent="0.35">
      <c r="I5592" s="42">
        <f t="shared" si="880"/>
        <v>0</v>
      </c>
      <c r="J5592" s="65" t="e">
        <f t="shared" si="881"/>
        <v>#NUM!</v>
      </c>
      <c r="K5592" s="83" t="e">
        <f t="shared" si="882"/>
        <v>#NUM!</v>
      </c>
      <c r="L5592" s="83">
        <f t="shared" si="883"/>
        <v>0</v>
      </c>
      <c r="M5592" s="110" t="str">
        <f t="shared" si="884"/>
        <v/>
      </c>
      <c r="N5592" s="51" t="str">
        <f t="shared" si="885"/>
        <v/>
      </c>
      <c r="O5592" s="52" t="str">
        <f t="shared" si="886"/>
        <v/>
      </c>
      <c r="P5592" s="88">
        <f t="shared" si="887"/>
        <v>0</v>
      </c>
      <c r="Q5592" s="88">
        <f t="shared" si="888"/>
        <v>0</v>
      </c>
      <c r="R5592" s="88" t="e">
        <f>-IF(Tabla14[[#This Row],[DIAS HABILES O MORA]]&lt;0,(Tabla14[[#This Row],[VALOR PRESTAMO]]*Tabla14[[#This Row],[% INTERES ]]/30*U5592))+Tabla14[[#This Row],[VALOR CUOTAS]]</f>
        <v>#VALUE!</v>
      </c>
      <c r="S5592" s="88">
        <f>-IF(Tabla14[[#This Row],[DIAS HABILES O MORA]]&lt;0,(Tabla14[[#This Row],[VALOR PRESTAMO]]*Tabla14[[#This Row],[% INTERES ]]/30*U5592))</f>
        <v>0</v>
      </c>
      <c r="T5592" s="53" t="e">
        <f>Tabla14[[#This Row],[DEUDA CAPITAL]]+Tabla14[[#This Row],[INTERES  CUOTA]]</f>
        <v>#NUM!</v>
      </c>
      <c r="U5592" s="61" t="str">
        <f t="shared" si="889"/>
        <v/>
      </c>
    </row>
    <row r="5593" spans="9:21" ht="24.75" customHeight="1" x14ac:dyDescent="0.35">
      <c r="I5593" s="42">
        <f t="shared" si="880"/>
        <v>0</v>
      </c>
      <c r="J5593" s="65" t="e">
        <f t="shared" si="881"/>
        <v>#NUM!</v>
      </c>
      <c r="K5593" s="83" t="e">
        <f t="shared" si="882"/>
        <v>#NUM!</v>
      </c>
      <c r="L5593" s="83">
        <f t="shared" si="883"/>
        <v>0</v>
      </c>
      <c r="M5593" s="110" t="str">
        <f t="shared" si="884"/>
        <v/>
      </c>
      <c r="N5593" s="51" t="str">
        <f t="shared" si="885"/>
        <v/>
      </c>
      <c r="O5593" s="52" t="str">
        <f t="shared" si="886"/>
        <v/>
      </c>
      <c r="P5593" s="88">
        <f t="shared" si="887"/>
        <v>0</v>
      </c>
      <c r="Q5593" s="88">
        <f t="shared" si="888"/>
        <v>0</v>
      </c>
      <c r="R5593" s="88" t="e">
        <f>-IF(Tabla14[[#This Row],[DIAS HABILES O MORA]]&lt;0,(Tabla14[[#This Row],[VALOR PRESTAMO]]*Tabla14[[#This Row],[% INTERES ]]/30*U5593))+Tabla14[[#This Row],[VALOR CUOTAS]]</f>
        <v>#VALUE!</v>
      </c>
      <c r="S5593" s="88">
        <f>-IF(Tabla14[[#This Row],[DIAS HABILES O MORA]]&lt;0,(Tabla14[[#This Row],[VALOR PRESTAMO]]*Tabla14[[#This Row],[% INTERES ]]/30*U5593))</f>
        <v>0</v>
      </c>
      <c r="T5593" s="53" t="e">
        <f>Tabla14[[#This Row],[DEUDA CAPITAL]]+Tabla14[[#This Row],[INTERES  CUOTA]]</f>
        <v>#NUM!</v>
      </c>
      <c r="U5593" s="61" t="str">
        <f t="shared" si="889"/>
        <v/>
      </c>
    </row>
    <row r="5594" spans="9:21" ht="24.75" customHeight="1" x14ac:dyDescent="0.35">
      <c r="I5594" s="42">
        <f t="shared" si="880"/>
        <v>0</v>
      </c>
      <c r="J5594" s="65" t="e">
        <f t="shared" si="881"/>
        <v>#NUM!</v>
      </c>
      <c r="K5594" s="83" t="e">
        <f t="shared" si="882"/>
        <v>#NUM!</v>
      </c>
      <c r="L5594" s="83">
        <f t="shared" si="883"/>
        <v>0</v>
      </c>
      <c r="M5594" s="110" t="str">
        <f t="shared" si="884"/>
        <v/>
      </c>
      <c r="N5594" s="51" t="str">
        <f t="shared" si="885"/>
        <v/>
      </c>
      <c r="O5594" s="52" t="str">
        <f t="shared" si="886"/>
        <v/>
      </c>
      <c r="P5594" s="88">
        <f t="shared" si="887"/>
        <v>0</v>
      </c>
      <c r="Q5594" s="88">
        <f t="shared" si="888"/>
        <v>0</v>
      </c>
      <c r="R5594" s="88" t="e">
        <f>-IF(Tabla14[[#This Row],[DIAS HABILES O MORA]]&lt;0,(Tabla14[[#This Row],[VALOR PRESTAMO]]*Tabla14[[#This Row],[% INTERES ]]/30*U5594))+Tabla14[[#This Row],[VALOR CUOTAS]]</f>
        <v>#VALUE!</v>
      </c>
      <c r="S5594" s="88">
        <f>-IF(Tabla14[[#This Row],[DIAS HABILES O MORA]]&lt;0,(Tabla14[[#This Row],[VALOR PRESTAMO]]*Tabla14[[#This Row],[% INTERES ]]/30*U5594))</f>
        <v>0</v>
      </c>
      <c r="T5594" s="53" t="e">
        <f>Tabla14[[#This Row],[DEUDA CAPITAL]]+Tabla14[[#This Row],[INTERES  CUOTA]]</f>
        <v>#NUM!</v>
      </c>
      <c r="U5594" s="61" t="str">
        <f t="shared" si="889"/>
        <v/>
      </c>
    </row>
    <row r="5595" spans="9:21" ht="24.75" customHeight="1" x14ac:dyDescent="0.35">
      <c r="I5595" s="42">
        <f t="shared" si="880"/>
        <v>0</v>
      </c>
      <c r="J5595" s="65" t="e">
        <f t="shared" si="881"/>
        <v>#NUM!</v>
      </c>
      <c r="K5595" s="83" t="e">
        <f t="shared" si="882"/>
        <v>#NUM!</v>
      </c>
      <c r="L5595" s="83">
        <f t="shared" si="883"/>
        <v>0</v>
      </c>
      <c r="M5595" s="110" t="str">
        <f t="shared" si="884"/>
        <v/>
      </c>
      <c r="N5595" s="51" t="str">
        <f t="shared" si="885"/>
        <v/>
      </c>
      <c r="O5595" s="52" t="str">
        <f t="shared" si="886"/>
        <v/>
      </c>
      <c r="P5595" s="88">
        <f t="shared" si="887"/>
        <v>0</v>
      </c>
      <c r="Q5595" s="88">
        <f t="shared" si="888"/>
        <v>0</v>
      </c>
      <c r="R5595" s="88" t="e">
        <f>-IF(Tabla14[[#This Row],[DIAS HABILES O MORA]]&lt;0,(Tabla14[[#This Row],[VALOR PRESTAMO]]*Tabla14[[#This Row],[% INTERES ]]/30*U5595))+Tabla14[[#This Row],[VALOR CUOTAS]]</f>
        <v>#VALUE!</v>
      </c>
      <c r="S5595" s="88">
        <f>-IF(Tabla14[[#This Row],[DIAS HABILES O MORA]]&lt;0,(Tabla14[[#This Row],[VALOR PRESTAMO]]*Tabla14[[#This Row],[% INTERES ]]/30*U5595))</f>
        <v>0</v>
      </c>
      <c r="T5595" s="53" t="e">
        <f>Tabla14[[#This Row],[DEUDA CAPITAL]]+Tabla14[[#This Row],[INTERES  CUOTA]]</f>
        <v>#NUM!</v>
      </c>
      <c r="U5595" s="61" t="str">
        <f t="shared" si="889"/>
        <v/>
      </c>
    </row>
    <row r="5596" spans="9:21" ht="24.75" customHeight="1" x14ac:dyDescent="0.35">
      <c r="I5596" s="42">
        <f t="shared" si="880"/>
        <v>0</v>
      </c>
      <c r="J5596" s="65" t="e">
        <f t="shared" si="881"/>
        <v>#NUM!</v>
      </c>
      <c r="K5596" s="83" t="e">
        <f t="shared" si="882"/>
        <v>#NUM!</v>
      </c>
      <c r="L5596" s="83">
        <f t="shared" si="883"/>
        <v>0</v>
      </c>
      <c r="M5596" s="110" t="str">
        <f t="shared" si="884"/>
        <v/>
      </c>
      <c r="N5596" s="51" t="str">
        <f t="shared" si="885"/>
        <v/>
      </c>
      <c r="O5596" s="52" t="str">
        <f t="shared" si="886"/>
        <v/>
      </c>
      <c r="P5596" s="88">
        <f t="shared" si="887"/>
        <v>0</v>
      </c>
      <c r="Q5596" s="88">
        <f t="shared" si="888"/>
        <v>0</v>
      </c>
      <c r="R5596" s="88" t="e">
        <f>-IF(Tabla14[[#This Row],[DIAS HABILES O MORA]]&lt;0,(Tabla14[[#This Row],[VALOR PRESTAMO]]*Tabla14[[#This Row],[% INTERES ]]/30*U5596))+Tabla14[[#This Row],[VALOR CUOTAS]]</f>
        <v>#VALUE!</v>
      </c>
      <c r="S5596" s="88">
        <f>-IF(Tabla14[[#This Row],[DIAS HABILES O MORA]]&lt;0,(Tabla14[[#This Row],[VALOR PRESTAMO]]*Tabla14[[#This Row],[% INTERES ]]/30*U5596))</f>
        <v>0</v>
      </c>
      <c r="T5596" s="53" t="e">
        <f>Tabla14[[#This Row],[DEUDA CAPITAL]]+Tabla14[[#This Row],[INTERES  CUOTA]]</f>
        <v>#NUM!</v>
      </c>
      <c r="U5596" s="61" t="str">
        <f t="shared" si="889"/>
        <v/>
      </c>
    </row>
    <row r="5597" spans="9:21" ht="24.75" customHeight="1" x14ac:dyDescent="0.35">
      <c r="I5597" s="42">
        <f t="shared" si="880"/>
        <v>0</v>
      </c>
      <c r="J5597" s="65" t="e">
        <f t="shared" si="881"/>
        <v>#NUM!</v>
      </c>
      <c r="K5597" s="83" t="e">
        <f t="shared" si="882"/>
        <v>#NUM!</v>
      </c>
      <c r="L5597" s="83">
        <f t="shared" si="883"/>
        <v>0</v>
      </c>
      <c r="M5597" s="110" t="str">
        <f t="shared" si="884"/>
        <v/>
      </c>
      <c r="N5597" s="51" t="str">
        <f t="shared" si="885"/>
        <v/>
      </c>
      <c r="O5597" s="52" t="str">
        <f t="shared" si="886"/>
        <v/>
      </c>
      <c r="P5597" s="88">
        <f t="shared" si="887"/>
        <v>0</v>
      </c>
      <c r="Q5597" s="88">
        <f t="shared" si="888"/>
        <v>0</v>
      </c>
      <c r="R5597" s="88" t="e">
        <f>-IF(Tabla14[[#This Row],[DIAS HABILES O MORA]]&lt;0,(Tabla14[[#This Row],[VALOR PRESTAMO]]*Tabla14[[#This Row],[% INTERES ]]/30*U5597))+Tabla14[[#This Row],[VALOR CUOTAS]]</f>
        <v>#VALUE!</v>
      </c>
      <c r="S5597" s="88">
        <f>-IF(Tabla14[[#This Row],[DIAS HABILES O MORA]]&lt;0,(Tabla14[[#This Row],[VALOR PRESTAMO]]*Tabla14[[#This Row],[% INTERES ]]/30*U5597))</f>
        <v>0</v>
      </c>
      <c r="T5597" s="53" t="e">
        <f>Tabla14[[#This Row],[DEUDA CAPITAL]]+Tabla14[[#This Row],[INTERES  CUOTA]]</f>
        <v>#NUM!</v>
      </c>
      <c r="U5597" s="61" t="str">
        <f t="shared" si="889"/>
        <v/>
      </c>
    </row>
    <row r="5598" spans="9:21" ht="24.75" customHeight="1" x14ac:dyDescent="0.35">
      <c r="I5598" s="42">
        <f t="shared" si="880"/>
        <v>0</v>
      </c>
      <c r="J5598" s="65" t="e">
        <f t="shared" si="881"/>
        <v>#NUM!</v>
      </c>
      <c r="K5598" s="83" t="e">
        <f t="shared" si="882"/>
        <v>#NUM!</v>
      </c>
      <c r="L5598" s="83">
        <f t="shared" si="883"/>
        <v>0</v>
      </c>
      <c r="M5598" s="110" t="str">
        <f t="shared" si="884"/>
        <v/>
      </c>
      <c r="N5598" s="51" t="str">
        <f t="shared" si="885"/>
        <v/>
      </c>
      <c r="O5598" s="52" t="str">
        <f t="shared" si="886"/>
        <v/>
      </c>
      <c r="P5598" s="88">
        <f t="shared" si="887"/>
        <v>0</v>
      </c>
      <c r="Q5598" s="88">
        <f t="shared" si="888"/>
        <v>0</v>
      </c>
      <c r="R5598" s="88" t="e">
        <f>-IF(Tabla14[[#This Row],[DIAS HABILES O MORA]]&lt;0,(Tabla14[[#This Row],[VALOR PRESTAMO]]*Tabla14[[#This Row],[% INTERES ]]/30*U5598))+Tabla14[[#This Row],[VALOR CUOTAS]]</f>
        <v>#VALUE!</v>
      </c>
      <c r="S5598" s="88">
        <f>-IF(Tabla14[[#This Row],[DIAS HABILES O MORA]]&lt;0,(Tabla14[[#This Row],[VALOR PRESTAMO]]*Tabla14[[#This Row],[% INTERES ]]/30*U5598))</f>
        <v>0</v>
      </c>
      <c r="T5598" s="53" t="e">
        <f>Tabla14[[#This Row],[DEUDA CAPITAL]]+Tabla14[[#This Row],[INTERES  CUOTA]]</f>
        <v>#NUM!</v>
      </c>
      <c r="U5598" s="61" t="str">
        <f t="shared" si="889"/>
        <v/>
      </c>
    </row>
    <row r="5599" spans="9:21" ht="24.75" customHeight="1" x14ac:dyDescent="0.35">
      <c r="I5599" s="42">
        <f t="shared" si="880"/>
        <v>0</v>
      </c>
      <c r="J5599" s="65" t="e">
        <f t="shared" si="881"/>
        <v>#NUM!</v>
      </c>
      <c r="K5599" s="83" t="e">
        <f t="shared" si="882"/>
        <v>#NUM!</v>
      </c>
      <c r="L5599" s="83">
        <f t="shared" si="883"/>
        <v>0</v>
      </c>
      <c r="M5599" s="110" t="str">
        <f t="shared" si="884"/>
        <v/>
      </c>
      <c r="N5599" s="51" t="str">
        <f t="shared" si="885"/>
        <v/>
      </c>
      <c r="O5599" s="52" t="str">
        <f t="shared" si="886"/>
        <v/>
      </c>
      <c r="P5599" s="88">
        <f t="shared" si="887"/>
        <v>0</v>
      </c>
      <c r="Q5599" s="88">
        <f t="shared" si="888"/>
        <v>0</v>
      </c>
      <c r="R5599" s="88" t="e">
        <f>-IF(Tabla14[[#This Row],[DIAS HABILES O MORA]]&lt;0,(Tabla14[[#This Row],[VALOR PRESTAMO]]*Tabla14[[#This Row],[% INTERES ]]/30*U5599))+Tabla14[[#This Row],[VALOR CUOTAS]]</f>
        <v>#VALUE!</v>
      </c>
      <c r="S5599" s="88">
        <f>-IF(Tabla14[[#This Row],[DIAS HABILES O MORA]]&lt;0,(Tabla14[[#This Row],[VALOR PRESTAMO]]*Tabla14[[#This Row],[% INTERES ]]/30*U5599))</f>
        <v>0</v>
      </c>
      <c r="T5599" s="53" t="e">
        <f>Tabla14[[#This Row],[DEUDA CAPITAL]]+Tabla14[[#This Row],[INTERES  CUOTA]]</f>
        <v>#NUM!</v>
      </c>
      <c r="U5599" s="61" t="str">
        <f t="shared" si="889"/>
        <v/>
      </c>
    </row>
    <row r="5600" spans="9:21" ht="24.75" customHeight="1" x14ac:dyDescent="0.35">
      <c r="I5600" s="42">
        <f t="shared" si="880"/>
        <v>0</v>
      </c>
      <c r="J5600" s="65" t="e">
        <f t="shared" si="881"/>
        <v>#NUM!</v>
      </c>
      <c r="K5600" s="83" t="e">
        <f t="shared" si="882"/>
        <v>#NUM!</v>
      </c>
      <c r="L5600" s="83">
        <f t="shared" si="883"/>
        <v>0</v>
      </c>
      <c r="M5600" s="110" t="str">
        <f t="shared" si="884"/>
        <v/>
      </c>
      <c r="N5600" s="51" t="str">
        <f t="shared" si="885"/>
        <v/>
      </c>
      <c r="O5600" s="52" t="str">
        <f t="shared" si="886"/>
        <v/>
      </c>
      <c r="P5600" s="88">
        <f t="shared" si="887"/>
        <v>0</v>
      </c>
      <c r="Q5600" s="88">
        <f t="shared" si="888"/>
        <v>0</v>
      </c>
      <c r="R5600" s="88" t="e">
        <f>-IF(Tabla14[[#This Row],[DIAS HABILES O MORA]]&lt;0,(Tabla14[[#This Row],[VALOR PRESTAMO]]*Tabla14[[#This Row],[% INTERES ]]/30*U5600))+Tabla14[[#This Row],[VALOR CUOTAS]]</f>
        <v>#VALUE!</v>
      </c>
      <c r="S5600" s="88">
        <f>-IF(Tabla14[[#This Row],[DIAS HABILES O MORA]]&lt;0,(Tabla14[[#This Row],[VALOR PRESTAMO]]*Tabla14[[#This Row],[% INTERES ]]/30*U5600))</f>
        <v>0</v>
      </c>
      <c r="T5600" s="53" t="e">
        <f>Tabla14[[#This Row],[DEUDA CAPITAL]]+Tabla14[[#This Row],[INTERES  CUOTA]]</f>
        <v>#NUM!</v>
      </c>
      <c r="U5600" s="61" t="str">
        <f t="shared" si="889"/>
        <v/>
      </c>
    </row>
    <row r="5601" spans="9:21" ht="24.75" customHeight="1" x14ac:dyDescent="0.35">
      <c r="I5601" s="42">
        <f t="shared" si="880"/>
        <v>0</v>
      </c>
      <c r="J5601" s="65" t="e">
        <f t="shared" si="881"/>
        <v>#NUM!</v>
      </c>
      <c r="K5601" s="83" t="e">
        <f t="shared" si="882"/>
        <v>#NUM!</v>
      </c>
      <c r="L5601" s="83">
        <f t="shared" si="883"/>
        <v>0</v>
      </c>
      <c r="M5601" s="110" t="str">
        <f t="shared" si="884"/>
        <v/>
      </c>
      <c r="N5601" s="51" t="str">
        <f t="shared" si="885"/>
        <v/>
      </c>
      <c r="O5601" s="52" t="str">
        <f t="shared" si="886"/>
        <v/>
      </c>
      <c r="P5601" s="88">
        <f t="shared" si="887"/>
        <v>0</v>
      </c>
      <c r="Q5601" s="88">
        <f t="shared" si="888"/>
        <v>0</v>
      </c>
      <c r="R5601" s="88" t="e">
        <f>-IF(Tabla14[[#This Row],[DIAS HABILES O MORA]]&lt;0,(Tabla14[[#This Row],[VALOR PRESTAMO]]*Tabla14[[#This Row],[% INTERES ]]/30*U5601))+Tabla14[[#This Row],[VALOR CUOTAS]]</f>
        <v>#VALUE!</v>
      </c>
      <c r="S5601" s="88">
        <f>-IF(Tabla14[[#This Row],[DIAS HABILES O MORA]]&lt;0,(Tabla14[[#This Row],[VALOR PRESTAMO]]*Tabla14[[#This Row],[% INTERES ]]/30*U5601))</f>
        <v>0</v>
      </c>
      <c r="T5601" s="53" t="e">
        <f>Tabla14[[#This Row],[DEUDA CAPITAL]]+Tabla14[[#This Row],[INTERES  CUOTA]]</f>
        <v>#NUM!</v>
      </c>
      <c r="U5601" s="61" t="str">
        <f t="shared" si="889"/>
        <v/>
      </c>
    </row>
    <row r="5602" spans="9:21" ht="24.75" customHeight="1" x14ac:dyDescent="0.35">
      <c r="I5602" s="42">
        <f t="shared" si="880"/>
        <v>0</v>
      </c>
      <c r="J5602" s="65" t="e">
        <f t="shared" si="881"/>
        <v>#NUM!</v>
      </c>
      <c r="K5602" s="83" t="e">
        <f t="shared" si="882"/>
        <v>#NUM!</v>
      </c>
      <c r="L5602" s="83">
        <f t="shared" si="883"/>
        <v>0</v>
      </c>
      <c r="M5602" s="110" t="str">
        <f t="shared" si="884"/>
        <v/>
      </c>
      <c r="N5602" s="51" t="str">
        <f t="shared" si="885"/>
        <v/>
      </c>
      <c r="O5602" s="52" t="str">
        <f t="shared" si="886"/>
        <v/>
      </c>
      <c r="P5602" s="88">
        <f t="shared" si="887"/>
        <v>0</v>
      </c>
      <c r="Q5602" s="88">
        <f t="shared" si="888"/>
        <v>0</v>
      </c>
      <c r="R5602" s="88" t="e">
        <f>-IF(Tabla14[[#This Row],[DIAS HABILES O MORA]]&lt;0,(Tabla14[[#This Row],[VALOR PRESTAMO]]*Tabla14[[#This Row],[% INTERES ]]/30*U5602))+Tabla14[[#This Row],[VALOR CUOTAS]]</f>
        <v>#VALUE!</v>
      </c>
      <c r="S5602" s="88">
        <f>-IF(Tabla14[[#This Row],[DIAS HABILES O MORA]]&lt;0,(Tabla14[[#This Row],[VALOR PRESTAMO]]*Tabla14[[#This Row],[% INTERES ]]/30*U5602))</f>
        <v>0</v>
      </c>
      <c r="T5602" s="53" t="e">
        <f>Tabla14[[#This Row],[DEUDA CAPITAL]]+Tabla14[[#This Row],[INTERES  CUOTA]]</f>
        <v>#NUM!</v>
      </c>
      <c r="U5602" s="61" t="str">
        <f t="shared" si="889"/>
        <v/>
      </c>
    </row>
    <row r="5603" spans="9:21" ht="24.75" customHeight="1" x14ac:dyDescent="0.35">
      <c r="I5603" s="42">
        <f t="shared" si="880"/>
        <v>0</v>
      </c>
      <c r="J5603" s="65" t="e">
        <f t="shared" si="881"/>
        <v>#NUM!</v>
      </c>
      <c r="K5603" s="83" t="e">
        <f t="shared" si="882"/>
        <v>#NUM!</v>
      </c>
      <c r="L5603" s="83">
        <f t="shared" si="883"/>
        <v>0</v>
      </c>
      <c r="M5603" s="110" t="str">
        <f t="shared" si="884"/>
        <v/>
      </c>
      <c r="N5603" s="51" t="str">
        <f t="shared" si="885"/>
        <v/>
      </c>
      <c r="O5603" s="52" t="str">
        <f t="shared" si="886"/>
        <v/>
      </c>
      <c r="P5603" s="88">
        <f t="shared" si="887"/>
        <v>0</v>
      </c>
      <c r="Q5603" s="88">
        <f t="shared" si="888"/>
        <v>0</v>
      </c>
      <c r="R5603" s="88" t="e">
        <f>-IF(Tabla14[[#This Row],[DIAS HABILES O MORA]]&lt;0,(Tabla14[[#This Row],[VALOR PRESTAMO]]*Tabla14[[#This Row],[% INTERES ]]/30*U5603))+Tabla14[[#This Row],[VALOR CUOTAS]]</f>
        <v>#VALUE!</v>
      </c>
      <c r="S5603" s="88">
        <f>-IF(Tabla14[[#This Row],[DIAS HABILES O MORA]]&lt;0,(Tabla14[[#This Row],[VALOR PRESTAMO]]*Tabla14[[#This Row],[% INTERES ]]/30*U5603))</f>
        <v>0</v>
      </c>
      <c r="T5603" s="53" t="e">
        <f>Tabla14[[#This Row],[DEUDA CAPITAL]]+Tabla14[[#This Row],[INTERES  CUOTA]]</f>
        <v>#NUM!</v>
      </c>
      <c r="U5603" s="61" t="str">
        <f t="shared" si="889"/>
        <v/>
      </c>
    </row>
    <row r="5604" spans="9:21" ht="24.75" customHeight="1" x14ac:dyDescent="0.35">
      <c r="I5604" s="42">
        <f t="shared" si="880"/>
        <v>0</v>
      </c>
      <c r="J5604" s="65" t="e">
        <f t="shared" si="881"/>
        <v>#NUM!</v>
      </c>
      <c r="K5604" s="83" t="e">
        <f t="shared" si="882"/>
        <v>#NUM!</v>
      </c>
      <c r="L5604" s="83">
        <f t="shared" si="883"/>
        <v>0</v>
      </c>
      <c r="M5604" s="110" t="str">
        <f t="shared" si="884"/>
        <v/>
      </c>
      <c r="N5604" s="51" t="str">
        <f t="shared" si="885"/>
        <v/>
      </c>
      <c r="O5604" s="52" t="str">
        <f t="shared" si="886"/>
        <v/>
      </c>
      <c r="P5604" s="88">
        <f t="shared" si="887"/>
        <v>0</v>
      </c>
      <c r="Q5604" s="88">
        <f t="shared" si="888"/>
        <v>0</v>
      </c>
      <c r="R5604" s="88" t="e">
        <f>-IF(Tabla14[[#This Row],[DIAS HABILES O MORA]]&lt;0,(Tabla14[[#This Row],[VALOR PRESTAMO]]*Tabla14[[#This Row],[% INTERES ]]/30*U5604))+Tabla14[[#This Row],[VALOR CUOTAS]]</f>
        <v>#VALUE!</v>
      </c>
      <c r="S5604" s="88">
        <f>-IF(Tabla14[[#This Row],[DIAS HABILES O MORA]]&lt;0,(Tabla14[[#This Row],[VALOR PRESTAMO]]*Tabla14[[#This Row],[% INTERES ]]/30*U5604))</f>
        <v>0</v>
      </c>
      <c r="T5604" s="53" t="e">
        <f>Tabla14[[#This Row],[DEUDA CAPITAL]]+Tabla14[[#This Row],[INTERES  CUOTA]]</f>
        <v>#NUM!</v>
      </c>
      <c r="U5604" s="61" t="str">
        <f t="shared" si="889"/>
        <v/>
      </c>
    </row>
    <row r="5605" spans="9:21" ht="24.75" customHeight="1" x14ac:dyDescent="0.35">
      <c r="I5605" s="42">
        <f t="shared" si="880"/>
        <v>0</v>
      </c>
      <c r="J5605" s="65" t="e">
        <f t="shared" si="881"/>
        <v>#NUM!</v>
      </c>
      <c r="K5605" s="83" t="e">
        <f t="shared" si="882"/>
        <v>#NUM!</v>
      </c>
      <c r="L5605" s="83">
        <f t="shared" si="883"/>
        <v>0</v>
      </c>
      <c r="M5605" s="110" t="str">
        <f t="shared" si="884"/>
        <v/>
      </c>
      <c r="N5605" s="51" t="str">
        <f t="shared" si="885"/>
        <v/>
      </c>
      <c r="O5605" s="52" t="str">
        <f t="shared" si="886"/>
        <v/>
      </c>
      <c r="P5605" s="88">
        <f t="shared" si="887"/>
        <v>0</v>
      </c>
      <c r="Q5605" s="88">
        <f t="shared" si="888"/>
        <v>0</v>
      </c>
      <c r="R5605" s="88" t="e">
        <f>-IF(Tabla14[[#This Row],[DIAS HABILES O MORA]]&lt;0,(Tabla14[[#This Row],[VALOR PRESTAMO]]*Tabla14[[#This Row],[% INTERES ]]/30*U5605))+Tabla14[[#This Row],[VALOR CUOTAS]]</f>
        <v>#VALUE!</v>
      </c>
      <c r="S5605" s="88">
        <f>-IF(Tabla14[[#This Row],[DIAS HABILES O MORA]]&lt;0,(Tabla14[[#This Row],[VALOR PRESTAMO]]*Tabla14[[#This Row],[% INTERES ]]/30*U5605))</f>
        <v>0</v>
      </c>
      <c r="T5605" s="53" t="e">
        <f>Tabla14[[#This Row],[DEUDA CAPITAL]]+Tabla14[[#This Row],[INTERES  CUOTA]]</f>
        <v>#NUM!</v>
      </c>
      <c r="U5605" s="61" t="str">
        <f t="shared" si="889"/>
        <v/>
      </c>
    </row>
    <row r="5606" spans="9:21" ht="24.75" customHeight="1" x14ac:dyDescent="0.35">
      <c r="I5606" s="42">
        <f t="shared" si="880"/>
        <v>0</v>
      </c>
      <c r="J5606" s="65" t="e">
        <f t="shared" si="881"/>
        <v>#NUM!</v>
      </c>
      <c r="K5606" s="83" t="e">
        <f t="shared" si="882"/>
        <v>#NUM!</v>
      </c>
      <c r="L5606" s="83">
        <f t="shared" si="883"/>
        <v>0</v>
      </c>
      <c r="M5606" s="110" t="str">
        <f t="shared" si="884"/>
        <v/>
      </c>
      <c r="N5606" s="51" t="str">
        <f t="shared" si="885"/>
        <v/>
      </c>
      <c r="O5606" s="52" t="str">
        <f t="shared" si="886"/>
        <v/>
      </c>
      <c r="P5606" s="88">
        <f t="shared" si="887"/>
        <v>0</v>
      </c>
      <c r="Q5606" s="88">
        <f t="shared" si="888"/>
        <v>0</v>
      </c>
      <c r="R5606" s="88" t="e">
        <f>-IF(Tabla14[[#This Row],[DIAS HABILES O MORA]]&lt;0,(Tabla14[[#This Row],[VALOR PRESTAMO]]*Tabla14[[#This Row],[% INTERES ]]/30*U5606))+Tabla14[[#This Row],[VALOR CUOTAS]]</f>
        <v>#VALUE!</v>
      </c>
      <c r="S5606" s="88">
        <f>-IF(Tabla14[[#This Row],[DIAS HABILES O MORA]]&lt;0,(Tabla14[[#This Row],[VALOR PRESTAMO]]*Tabla14[[#This Row],[% INTERES ]]/30*U5606))</f>
        <v>0</v>
      </c>
      <c r="T5606" s="53" t="e">
        <f>Tabla14[[#This Row],[DEUDA CAPITAL]]+Tabla14[[#This Row],[INTERES  CUOTA]]</f>
        <v>#NUM!</v>
      </c>
      <c r="U5606" s="61" t="str">
        <f t="shared" si="889"/>
        <v/>
      </c>
    </row>
    <row r="5607" spans="9:21" ht="24.75" customHeight="1" x14ac:dyDescent="0.35">
      <c r="I5607" s="42">
        <f t="shared" si="880"/>
        <v>0</v>
      </c>
      <c r="J5607" s="65" t="e">
        <f t="shared" si="881"/>
        <v>#NUM!</v>
      </c>
      <c r="K5607" s="83" t="e">
        <f t="shared" si="882"/>
        <v>#NUM!</v>
      </c>
      <c r="L5607" s="83">
        <f t="shared" si="883"/>
        <v>0</v>
      </c>
      <c r="M5607" s="110" t="str">
        <f t="shared" si="884"/>
        <v/>
      </c>
      <c r="N5607" s="51" t="str">
        <f t="shared" si="885"/>
        <v/>
      </c>
      <c r="O5607" s="52" t="str">
        <f t="shared" si="886"/>
        <v/>
      </c>
      <c r="P5607" s="88">
        <f t="shared" si="887"/>
        <v>0</v>
      </c>
      <c r="Q5607" s="88">
        <f t="shared" si="888"/>
        <v>0</v>
      </c>
      <c r="R5607" s="88" t="e">
        <f>-IF(Tabla14[[#This Row],[DIAS HABILES O MORA]]&lt;0,(Tabla14[[#This Row],[VALOR PRESTAMO]]*Tabla14[[#This Row],[% INTERES ]]/30*U5607))+Tabla14[[#This Row],[VALOR CUOTAS]]</f>
        <v>#VALUE!</v>
      </c>
      <c r="S5607" s="88">
        <f>-IF(Tabla14[[#This Row],[DIAS HABILES O MORA]]&lt;0,(Tabla14[[#This Row],[VALOR PRESTAMO]]*Tabla14[[#This Row],[% INTERES ]]/30*U5607))</f>
        <v>0</v>
      </c>
      <c r="T5607" s="53" t="e">
        <f>Tabla14[[#This Row],[DEUDA CAPITAL]]+Tabla14[[#This Row],[INTERES  CUOTA]]</f>
        <v>#NUM!</v>
      </c>
      <c r="U5607" s="61" t="str">
        <f t="shared" si="889"/>
        <v/>
      </c>
    </row>
    <row r="5608" spans="9:21" ht="24.75" customHeight="1" x14ac:dyDescent="0.35">
      <c r="I5608" s="42">
        <f t="shared" si="880"/>
        <v>0</v>
      </c>
      <c r="J5608" s="65" t="e">
        <f t="shared" si="881"/>
        <v>#NUM!</v>
      </c>
      <c r="K5608" s="83" t="e">
        <f t="shared" si="882"/>
        <v>#NUM!</v>
      </c>
      <c r="L5608" s="83">
        <f t="shared" si="883"/>
        <v>0</v>
      </c>
      <c r="M5608" s="110" t="str">
        <f t="shared" si="884"/>
        <v/>
      </c>
      <c r="N5608" s="51" t="str">
        <f t="shared" si="885"/>
        <v/>
      </c>
      <c r="O5608" s="52" t="str">
        <f t="shared" si="886"/>
        <v/>
      </c>
      <c r="P5608" s="88">
        <f t="shared" si="887"/>
        <v>0</v>
      </c>
      <c r="Q5608" s="88">
        <f t="shared" si="888"/>
        <v>0</v>
      </c>
      <c r="R5608" s="88" t="e">
        <f>-IF(Tabla14[[#This Row],[DIAS HABILES O MORA]]&lt;0,(Tabla14[[#This Row],[VALOR PRESTAMO]]*Tabla14[[#This Row],[% INTERES ]]/30*U5608))+Tabla14[[#This Row],[VALOR CUOTAS]]</f>
        <v>#VALUE!</v>
      </c>
      <c r="S5608" s="88">
        <f>-IF(Tabla14[[#This Row],[DIAS HABILES O MORA]]&lt;0,(Tabla14[[#This Row],[VALOR PRESTAMO]]*Tabla14[[#This Row],[% INTERES ]]/30*U5608))</f>
        <v>0</v>
      </c>
      <c r="T5608" s="53" t="e">
        <f>Tabla14[[#This Row],[DEUDA CAPITAL]]+Tabla14[[#This Row],[INTERES  CUOTA]]</f>
        <v>#NUM!</v>
      </c>
      <c r="U5608" s="61" t="str">
        <f t="shared" si="889"/>
        <v/>
      </c>
    </row>
    <row r="5609" spans="9:21" ht="24.75" customHeight="1" x14ac:dyDescent="0.35">
      <c r="I5609" s="42">
        <f t="shared" si="880"/>
        <v>0</v>
      </c>
      <c r="J5609" s="65" t="e">
        <f t="shared" si="881"/>
        <v>#NUM!</v>
      </c>
      <c r="K5609" s="83" t="e">
        <f t="shared" si="882"/>
        <v>#NUM!</v>
      </c>
      <c r="L5609" s="83">
        <f t="shared" si="883"/>
        <v>0</v>
      </c>
      <c r="M5609" s="110" t="str">
        <f t="shared" si="884"/>
        <v/>
      </c>
      <c r="N5609" s="51" t="str">
        <f t="shared" si="885"/>
        <v/>
      </c>
      <c r="O5609" s="52" t="str">
        <f t="shared" si="886"/>
        <v/>
      </c>
      <c r="P5609" s="88">
        <f t="shared" si="887"/>
        <v>0</v>
      </c>
      <c r="Q5609" s="88">
        <f t="shared" si="888"/>
        <v>0</v>
      </c>
      <c r="R5609" s="88" t="e">
        <f>-IF(Tabla14[[#This Row],[DIAS HABILES O MORA]]&lt;0,(Tabla14[[#This Row],[VALOR PRESTAMO]]*Tabla14[[#This Row],[% INTERES ]]/30*U5609))+Tabla14[[#This Row],[VALOR CUOTAS]]</f>
        <v>#VALUE!</v>
      </c>
      <c r="S5609" s="88">
        <f>-IF(Tabla14[[#This Row],[DIAS HABILES O MORA]]&lt;0,(Tabla14[[#This Row],[VALOR PRESTAMO]]*Tabla14[[#This Row],[% INTERES ]]/30*U5609))</f>
        <v>0</v>
      </c>
      <c r="T5609" s="53" t="e">
        <f>Tabla14[[#This Row],[DEUDA CAPITAL]]+Tabla14[[#This Row],[INTERES  CUOTA]]</f>
        <v>#NUM!</v>
      </c>
      <c r="U5609" s="61" t="str">
        <f t="shared" si="889"/>
        <v/>
      </c>
    </row>
    <row r="5610" spans="9:21" ht="24.75" customHeight="1" x14ac:dyDescent="0.35">
      <c r="I5610" s="42">
        <f t="shared" si="880"/>
        <v>0</v>
      </c>
      <c r="J5610" s="65" t="e">
        <f t="shared" si="881"/>
        <v>#NUM!</v>
      </c>
      <c r="K5610" s="83" t="e">
        <f t="shared" si="882"/>
        <v>#NUM!</v>
      </c>
      <c r="L5610" s="83">
        <f t="shared" si="883"/>
        <v>0</v>
      </c>
      <c r="M5610" s="110" t="str">
        <f t="shared" si="884"/>
        <v/>
      </c>
      <c r="N5610" s="51" t="str">
        <f t="shared" si="885"/>
        <v/>
      </c>
      <c r="O5610" s="52" t="str">
        <f t="shared" si="886"/>
        <v/>
      </c>
      <c r="P5610" s="88">
        <f t="shared" si="887"/>
        <v>0</v>
      </c>
      <c r="Q5610" s="88">
        <f t="shared" si="888"/>
        <v>0</v>
      </c>
      <c r="R5610" s="88" t="e">
        <f>-IF(Tabla14[[#This Row],[DIAS HABILES O MORA]]&lt;0,(Tabla14[[#This Row],[VALOR PRESTAMO]]*Tabla14[[#This Row],[% INTERES ]]/30*U5610))+Tabla14[[#This Row],[VALOR CUOTAS]]</f>
        <v>#VALUE!</v>
      </c>
      <c r="S5610" s="88">
        <f>-IF(Tabla14[[#This Row],[DIAS HABILES O MORA]]&lt;0,(Tabla14[[#This Row],[VALOR PRESTAMO]]*Tabla14[[#This Row],[% INTERES ]]/30*U5610))</f>
        <v>0</v>
      </c>
      <c r="T5610" s="53" t="e">
        <f>Tabla14[[#This Row],[DEUDA CAPITAL]]+Tabla14[[#This Row],[INTERES  CUOTA]]</f>
        <v>#NUM!</v>
      </c>
      <c r="U5610" s="61" t="str">
        <f t="shared" si="889"/>
        <v/>
      </c>
    </row>
    <row r="5611" spans="9:21" ht="24.75" customHeight="1" x14ac:dyDescent="0.35">
      <c r="I5611" s="42">
        <f t="shared" si="880"/>
        <v>0</v>
      </c>
      <c r="J5611" s="65" t="e">
        <f t="shared" si="881"/>
        <v>#NUM!</v>
      </c>
      <c r="K5611" s="83" t="e">
        <f t="shared" si="882"/>
        <v>#NUM!</v>
      </c>
      <c r="L5611" s="83">
        <f t="shared" si="883"/>
        <v>0</v>
      </c>
      <c r="M5611" s="110" t="str">
        <f t="shared" si="884"/>
        <v/>
      </c>
      <c r="N5611" s="51" t="str">
        <f t="shared" si="885"/>
        <v/>
      </c>
      <c r="O5611" s="52" t="str">
        <f t="shared" si="886"/>
        <v/>
      </c>
      <c r="P5611" s="88">
        <f t="shared" si="887"/>
        <v>0</v>
      </c>
      <c r="Q5611" s="88">
        <f t="shared" si="888"/>
        <v>0</v>
      </c>
      <c r="R5611" s="88" t="e">
        <f>-IF(Tabla14[[#This Row],[DIAS HABILES O MORA]]&lt;0,(Tabla14[[#This Row],[VALOR PRESTAMO]]*Tabla14[[#This Row],[% INTERES ]]/30*U5611))+Tabla14[[#This Row],[VALOR CUOTAS]]</f>
        <v>#VALUE!</v>
      </c>
      <c r="S5611" s="88">
        <f>-IF(Tabla14[[#This Row],[DIAS HABILES O MORA]]&lt;0,(Tabla14[[#This Row],[VALOR PRESTAMO]]*Tabla14[[#This Row],[% INTERES ]]/30*U5611))</f>
        <v>0</v>
      </c>
      <c r="T5611" s="53" t="e">
        <f>Tabla14[[#This Row],[DEUDA CAPITAL]]+Tabla14[[#This Row],[INTERES  CUOTA]]</f>
        <v>#NUM!</v>
      </c>
      <c r="U5611" s="61" t="str">
        <f t="shared" si="889"/>
        <v/>
      </c>
    </row>
    <row r="5612" spans="9:21" ht="24.75" customHeight="1" x14ac:dyDescent="0.35">
      <c r="I5612" s="42">
        <f t="shared" si="880"/>
        <v>0</v>
      </c>
      <c r="J5612" s="65" t="e">
        <f t="shared" si="881"/>
        <v>#NUM!</v>
      </c>
      <c r="K5612" s="83" t="e">
        <f t="shared" si="882"/>
        <v>#NUM!</v>
      </c>
      <c r="L5612" s="83">
        <f t="shared" si="883"/>
        <v>0</v>
      </c>
      <c r="M5612" s="110" t="str">
        <f t="shared" si="884"/>
        <v/>
      </c>
      <c r="N5612" s="51" t="str">
        <f t="shared" si="885"/>
        <v/>
      </c>
      <c r="O5612" s="52" t="str">
        <f t="shared" si="886"/>
        <v/>
      </c>
      <c r="P5612" s="88">
        <f t="shared" si="887"/>
        <v>0</v>
      </c>
      <c r="Q5612" s="88">
        <f t="shared" si="888"/>
        <v>0</v>
      </c>
      <c r="R5612" s="88" t="e">
        <f>-IF(Tabla14[[#This Row],[DIAS HABILES O MORA]]&lt;0,(Tabla14[[#This Row],[VALOR PRESTAMO]]*Tabla14[[#This Row],[% INTERES ]]/30*U5612))+Tabla14[[#This Row],[VALOR CUOTAS]]</f>
        <v>#VALUE!</v>
      </c>
      <c r="S5612" s="88">
        <f>-IF(Tabla14[[#This Row],[DIAS HABILES O MORA]]&lt;0,(Tabla14[[#This Row],[VALOR PRESTAMO]]*Tabla14[[#This Row],[% INTERES ]]/30*U5612))</f>
        <v>0</v>
      </c>
      <c r="T5612" s="53" t="e">
        <f>Tabla14[[#This Row],[DEUDA CAPITAL]]+Tabla14[[#This Row],[INTERES  CUOTA]]</f>
        <v>#NUM!</v>
      </c>
      <c r="U5612" s="61" t="str">
        <f t="shared" si="889"/>
        <v/>
      </c>
    </row>
    <row r="5613" spans="9:21" ht="24.75" customHeight="1" x14ac:dyDescent="0.35">
      <c r="I5613" s="42">
        <f t="shared" si="880"/>
        <v>0</v>
      </c>
      <c r="J5613" s="65" t="e">
        <f t="shared" si="881"/>
        <v>#NUM!</v>
      </c>
      <c r="K5613" s="83" t="e">
        <f t="shared" si="882"/>
        <v>#NUM!</v>
      </c>
      <c r="L5613" s="83">
        <f t="shared" si="883"/>
        <v>0</v>
      </c>
      <c r="M5613" s="110" t="str">
        <f t="shared" si="884"/>
        <v/>
      </c>
      <c r="N5613" s="51" t="str">
        <f t="shared" si="885"/>
        <v/>
      </c>
      <c r="O5613" s="52" t="str">
        <f t="shared" si="886"/>
        <v/>
      </c>
      <c r="P5613" s="88">
        <f t="shared" si="887"/>
        <v>0</v>
      </c>
      <c r="Q5613" s="88">
        <f t="shared" si="888"/>
        <v>0</v>
      </c>
      <c r="R5613" s="88" t="e">
        <f>-IF(Tabla14[[#This Row],[DIAS HABILES O MORA]]&lt;0,(Tabla14[[#This Row],[VALOR PRESTAMO]]*Tabla14[[#This Row],[% INTERES ]]/30*U5613))+Tabla14[[#This Row],[VALOR CUOTAS]]</f>
        <v>#VALUE!</v>
      </c>
      <c r="S5613" s="88">
        <f>-IF(Tabla14[[#This Row],[DIAS HABILES O MORA]]&lt;0,(Tabla14[[#This Row],[VALOR PRESTAMO]]*Tabla14[[#This Row],[% INTERES ]]/30*U5613))</f>
        <v>0</v>
      </c>
      <c r="T5613" s="53" t="e">
        <f>Tabla14[[#This Row],[DEUDA CAPITAL]]+Tabla14[[#This Row],[INTERES  CUOTA]]</f>
        <v>#NUM!</v>
      </c>
      <c r="U5613" s="61" t="str">
        <f t="shared" si="889"/>
        <v/>
      </c>
    </row>
    <row r="5614" spans="9:21" ht="24.75" customHeight="1" x14ac:dyDescent="0.35">
      <c r="I5614" s="42">
        <f t="shared" si="880"/>
        <v>0</v>
      </c>
      <c r="J5614" s="65" t="e">
        <f t="shared" si="881"/>
        <v>#NUM!</v>
      </c>
      <c r="K5614" s="83" t="e">
        <f t="shared" si="882"/>
        <v>#NUM!</v>
      </c>
      <c r="L5614" s="83">
        <f t="shared" si="883"/>
        <v>0</v>
      </c>
      <c r="M5614" s="110" t="str">
        <f t="shared" si="884"/>
        <v/>
      </c>
      <c r="N5614" s="51" t="str">
        <f t="shared" si="885"/>
        <v/>
      </c>
      <c r="O5614" s="52" t="str">
        <f t="shared" si="886"/>
        <v/>
      </c>
      <c r="P5614" s="88">
        <f t="shared" si="887"/>
        <v>0</v>
      </c>
      <c r="Q5614" s="88">
        <f t="shared" si="888"/>
        <v>0</v>
      </c>
      <c r="R5614" s="88" t="e">
        <f>-IF(Tabla14[[#This Row],[DIAS HABILES O MORA]]&lt;0,(Tabla14[[#This Row],[VALOR PRESTAMO]]*Tabla14[[#This Row],[% INTERES ]]/30*U5614))+Tabla14[[#This Row],[VALOR CUOTAS]]</f>
        <v>#VALUE!</v>
      </c>
      <c r="S5614" s="88">
        <f>-IF(Tabla14[[#This Row],[DIAS HABILES O MORA]]&lt;0,(Tabla14[[#This Row],[VALOR PRESTAMO]]*Tabla14[[#This Row],[% INTERES ]]/30*U5614))</f>
        <v>0</v>
      </c>
      <c r="T5614" s="53" t="e">
        <f>Tabla14[[#This Row],[DEUDA CAPITAL]]+Tabla14[[#This Row],[INTERES  CUOTA]]</f>
        <v>#NUM!</v>
      </c>
      <c r="U5614" s="61" t="str">
        <f t="shared" si="889"/>
        <v/>
      </c>
    </row>
    <row r="5615" spans="9:21" ht="24.75" customHeight="1" x14ac:dyDescent="0.35">
      <c r="I5615" s="42">
        <f t="shared" si="880"/>
        <v>0</v>
      </c>
      <c r="J5615" s="65" t="e">
        <f t="shared" si="881"/>
        <v>#NUM!</v>
      </c>
      <c r="K5615" s="83" t="e">
        <f t="shared" si="882"/>
        <v>#NUM!</v>
      </c>
      <c r="L5615" s="83">
        <f t="shared" si="883"/>
        <v>0</v>
      </c>
      <c r="M5615" s="110" t="str">
        <f t="shared" si="884"/>
        <v/>
      </c>
      <c r="N5615" s="51" t="str">
        <f t="shared" si="885"/>
        <v/>
      </c>
      <c r="O5615" s="52" t="str">
        <f t="shared" si="886"/>
        <v/>
      </c>
      <c r="P5615" s="88">
        <f t="shared" si="887"/>
        <v>0</v>
      </c>
      <c r="Q5615" s="88">
        <f t="shared" si="888"/>
        <v>0</v>
      </c>
      <c r="R5615" s="88" t="e">
        <f>-IF(Tabla14[[#This Row],[DIAS HABILES O MORA]]&lt;0,(Tabla14[[#This Row],[VALOR PRESTAMO]]*Tabla14[[#This Row],[% INTERES ]]/30*U5615))+Tabla14[[#This Row],[VALOR CUOTAS]]</f>
        <v>#VALUE!</v>
      </c>
      <c r="S5615" s="88">
        <f>-IF(Tabla14[[#This Row],[DIAS HABILES O MORA]]&lt;0,(Tabla14[[#This Row],[VALOR PRESTAMO]]*Tabla14[[#This Row],[% INTERES ]]/30*U5615))</f>
        <v>0</v>
      </c>
      <c r="T5615" s="53" t="e">
        <f>Tabla14[[#This Row],[DEUDA CAPITAL]]+Tabla14[[#This Row],[INTERES  CUOTA]]</f>
        <v>#NUM!</v>
      </c>
      <c r="U5615" s="61" t="str">
        <f t="shared" si="889"/>
        <v/>
      </c>
    </row>
    <row r="5616" spans="9:21" ht="24.75" customHeight="1" x14ac:dyDescent="0.35">
      <c r="I5616" s="42">
        <f t="shared" si="880"/>
        <v>0</v>
      </c>
      <c r="J5616" s="65" t="e">
        <f t="shared" si="881"/>
        <v>#NUM!</v>
      </c>
      <c r="K5616" s="83" t="e">
        <f t="shared" si="882"/>
        <v>#NUM!</v>
      </c>
      <c r="L5616" s="83">
        <f t="shared" si="883"/>
        <v>0</v>
      </c>
      <c r="M5616" s="110" t="str">
        <f t="shared" si="884"/>
        <v/>
      </c>
      <c r="N5616" s="51" t="str">
        <f t="shared" si="885"/>
        <v/>
      </c>
      <c r="O5616" s="52" t="str">
        <f t="shared" si="886"/>
        <v/>
      </c>
      <c r="P5616" s="88">
        <f t="shared" si="887"/>
        <v>0</v>
      </c>
      <c r="Q5616" s="88">
        <f t="shared" si="888"/>
        <v>0</v>
      </c>
      <c r="R5616" s="88" t="e">
        <f>-IF(Tabla14[[#This Row],[DIAS HABILES O MORA]]&lt;0,(Tabla14[[#This Row],[VALOR PRESTAMO]]*Tabla14[[#This Row],[% INTERES ]]/30*U5616))+Tabla14[[#This Row],[VALOR CUOTAS]]</f>
        <v>#VALUE!</v>
      </c>
      <c r="S5616" s="88">
        <f>-IF(Tabla14[[#This Row],[DIAS HABILES O MORA]]&lt;0,(Tabla14[[#This Row],[VALOR PRESTAMO]]*Tabla14[[#This Row],[% INTERES ]]/30*U5616))</f>
        <v>0</v>
      </c>
      <c r="T5616" s="53" t="e">
        <f>Tabla14[[#This Row],[DEUDA CAPITAL]]+Tabla14[[#This Row],[INTERES  CUOTA]]</f>
        <v>#NUM!</v>
      </c>
      <c r="U5616" s="61" t="str">
        <f t="shared" si="889"/>
        <v/>
      </c>
    </row>
    <row r="5617" spans="9:21" ht="24.75" customHeight="1" x14ac:dyDescent="0.35">
      <c r="I5617" s="42">
        <f t="shared" si="880"/>
        <v>0</v>
      </c>
      <c r="J5617" s="65" t="e">
        <f t="shared" si="881"/>
        <v>#NUM!</v>
      </c>
      <c r="K5617" s="83" t="e">
        <f t="shared" si="882"/>
        <v>#NUM!</v>
      </c>
      <c r="L5617" s="83">
        <f t="shared" si="883"/>
        <v>0</v>
      </c>
      <c r="M5617" s="110" t="str">
        <f t="shared" si="884"/>
        <v/>
      </c>
      <c r="N5617" s="51" t="str">
        <f t="shared" si="885"/>
        <v/>
      </c>
      <c r="O5617" s="52" t="str">
        <f t="shared" si="886"/>
        <v/>
      </c>
      <c r="P5617" s="88">
        <f t="shared" si="887"/>
        <v>0</v>
      </c>
      <c r="Q5617" s="88">
        <f t="shared" si="888"/>
        <v>0</v>
      </c>
      <c r="R5617" s="88" t="e">
        <f>-IF(Tabla14[[#This Row],[DIAS HABILES O MORA]]&lt;0,(Tabla14[[#This Row],[VALOR PRESTAMO]]*Tabla14[[#This Row],[% INTERES ]]/30*U5617))+Tabla14[[#This Row],[VALOR CUOTAS]]</f>
        <v>#VALUE!</v>
      </c>
      <c r="S5617" s="88">
        <f>-IF(Tabla14[[#This Row],[DIAS HABILES O MORA]]&lt;0,(Tabla14[[#This Row],[VALOR PRESTAMO]]*Tabla14[[#This Row],[% INTERES ]]/30*U5617))</f>
        <v>0</v>
      </c>
      <c r="T5617" s="53" t="e">
        <f>Tabla14[[#This Row],[DEUDA CAPITAL]]+Tabla14[[#This Row],[INTERES  CUOTA]]</f>
        <v>#NUM!</v>
      </c>
      <c r="U5617" s="61" t="str">
        <f t="shared" si="889"/>
        <v/>
      </c>
    </row>
    <row r="5618" spans="9:21" ht="24.75" customHeight="1" x14ac:dyDescent="0.35">
      <c r="I5618" s="42">
        <f t="shared" si="880"/>
        <v>0</v>
      </c>
      <c r="J5618" s="65" t="e">
        <f t="shared" si="881"/>
        <v>#NUM!</v>
      </c>
      <c r="K5618" s="83" t="e">
        <f t="shared" si="882"/>
        <v>#NUM!</v>
      </c>
      <c r="L5618" s="83">
        <f t="shared" si="883"/>
        <v>0</v>
      </c>
      <c r="M5618" s="110" t="str">
        <f t="shared" si="884"/>
        <v/>
      </c>
      <c r="N5618" s="51" t="str">
        <f t="shared" si="885"/>
        <v/>
      </c>
      <c r="O5618" s="52" t="str">
        <f t="shared" si="886"/>
        <v/>
      </c>
      <c r="P5618" s="88">
        <f t="shared" si="887"/>
        <v>0</v>
      </c>
      <c r="Q5618" s="88">
        <f t="shared" si="888"/>
        <v>0</v>
      </c>
      <c r="R5618" s="88" t="e">
        <f>-IF(Tabla14[[#This Row],[DIAS HABILES O MORA]]&lt;0,(Tabla14[[#This Row],[VALOR PRESTAMO]]*Tabla14[[#This Row],[% INTERES ]]/30*U5618))+Tabla14[[#This Row],[VALOR CUOTAS]]</f>
        <v>#VALUE!</v>
      </c>
      <c r="S5618" s="88">
        <f>-IF(Tabla14[[#This Row],[DIAS HABILES O MORA]]&lt;0,(Tabla14[[#This Row],[VALOR PRESTAMO]]*Tabla14[[#This Row],[% INTERES ]]/30*U5618))</f>
        <v>0</v>
      </c>
      <c r="T5618" s="53" t="e">
        <f>Tabla14[[#This Row],[DEUDA CAPITAL]]+Tabla14[[#This Row],[INTERES  CUOTA]]</f>
        <v>#NUM!</v>
      </c>
      <c r="U5618" s="61" t="str">
        <f t="shared" si="889"/>
        <v/>
      </c>
    </row>
    <row r="5619" spans="9:21" ht="24.75" customHeight="1" x14ac:dyDescent="0.35">
      <c r="I5619" s="42">
        <f t="shared" si="880"/>
        <v>0</v>
      </c>
      <c r="J5619" s="65" t="e">
        <f t="shared" si="881"/>
        <v>#NUM!</v>
      </c>
      <c r="K5619" s="83" t="e">
        <f t="shared" si="882"/>
        <v>#NUM!</v>
      </c>
      <c r="L5619" s="83">
        <f t="shared" si="883"/>
        <v>0</v>
      </c>
      <c r="M5619" s="110" t="str">
        <f t="shared" si="884"/>
        <v/>
      </c>
      <c r="N5619" s="51" t="str">
        <f t="shared" si="885"/>
        <v/>
      </c>
      <c r="O5619" s="52" t="str">
        <f t="shared" si="886"/>
        <v/>
      </c>
      <c r="P5619" s="88">
        <f t="shared" si="887"/>
        <v>0</v>
      </c>
      <c r="Q5619" s="88">
        <f t="shared" si="888"/>
        <v>0</v>
      </c>
      <c r="R5619" s="88" t="e">
        <f>-IF(Tabla14[[#This Row],[DIAS HABILES O MORA]]&lt;0,(Tabla14[[#This Row],[VALOR PRESTAMO]]*Tabla14[[#This Row],[% INTERES ]]/30*U5619))+Tabla14[[#This Row],[VALOR CUOTAS]]</f>
        <v>#VALUE!</v>
      </c>
      <c r="S5619" s="88">
        <f>-IF(Tabla14[[#This Row],[DIAS HABILES O MORA]]&lt;0,(Tabla14[[#This Row],[VALOR PRESTAMO]]*Tabla14[[#This Row],[% INTERES ]]/30*U5619))</f>
        <v>0</v>
      </c>
      <c r="T5619" s="53" t="e">
        <f>Tabla14[[#This Row],[DEUDA CAPITAL]]+Tabla14[[#This Row],[INTERES  CUOTA]]</f>
        <v>#NUM!</v>
      </c>
      <c r="U5619" s="61" t="str">
        <f t="shared" si="889"/>
        <v/>
      </c>
    </row>
    <row r="5620" spans="9:21" ht="24.75" customHeight="1" x14ac:dyDescent="0.35">
      <c r="I5620" s="42">
        <f t="shared" si="880"/>
        <v>0</v>
      </c>
      <c r="J5620" s="65" t="e">
        <f t="shared" si="881"/>
        <v>#NUM!</v>
      </c>
      <c r="K5620" s="83" t="e">
        <f t="shared" si="882"/>
        <v>#NUM!</v>
      </c>
      <c r="L5620" s="83">
        <f t="shared" si="883"/>
        <v>0</v>
      </c>
      <c r="M5620" s="110" t="str">
        <f t="shared" si="884"/>
        <v/>
      </c>
      <c r="N5620" s="51" t="str">
        <f t="shared" si="885"/>
        <v/>
      </c>
      <c r="O5620" s="52" t="str">
        <f t="shared" si="886"/>
        <v/>
      </c>
      <c r="P5620" s="88">
        <f t="shared" si="887"/>
        <v>0</v>
      </c>
      <c r="Q5620" s="88">
        <f t="shared" si="888"/>
        <v>0</v>
      </c>
      <c r="R5620" s="88" t="e">
        <f>-IF(Tabla14[[#This Row],[DIAS HABILES O MORA]]&lt;0,(Tabla14[[#This Row],[VALOR PRESTAMO]]*Tabla14[[#This Row],[% INTERES ]]/30*U5620))+Tabla14[[#This Row],[VALOR CUOTAS]]</f>
        <v>#VALUE!</v>
      </c>
      <c r="S5620" s="88">
        <f>-IF(Tabla14[[#This Row],[DIAS HABILES O MORA]]&lt;0,(Tabla14[[#This Row],[VALOR PRESTAMO]]*Tabla14[[#This Row],[% INTERES ]]/30*U5620))</f>
        <v>0</v>
      </c>
      <c r="T5620" s="53" t="e">
        <f>Tabla14[[#This Row],[DEUDA CAPITAL]]+Tabla14[[#This Row],[INTERES  CUOTA]]</f>
        <v>#NUM!</v>
      </c>
      <c r="U5620" s="61" t="str">
        <f t="shared" si="889"/>
        <v/>
      </c>
    </row>
    <row r="5621" spans="9:21" ht="24.75" customHeight="1" x14ac:dyDescent="0.35">
      <c r="I5621" s="42">
        <f t="shared" si="880"/>
        <v>0</v>
      </c>
      <c r="J5621" s="65" t="e">
        <f t="shared" si="881"/>
        <v>#NUM!</v>
      </c>
      <c r="K5621" s="83" t="e">
        <f t="shared" si="882"/>
        <v>#NUM!</v>
      </c>
      <c r="L5621" s="83">
        <f t="shared" si="883"/>
        <v>0</v>
      </c>
      <c r="M5621" s="110" t="str">
        <f t="shared" si="884"/>
        <v/>
      </c>
      <c r="N5621" s="51" t="str">
        <f t="shared" si="885"/>
        <v/>
      </c>
      <c r="O5621" s="52" t="str">
        <f t="shared" si="886"/>
        <v/>
      </c>
      <c r="P5621" s="88">
        <f t="shared" si="887"/>
        <v>0</v>
      </c>
      <c r="Q5621" s="88">
        <f t="shared" si="888"/>
        <v>0</v>
      </c>
      <c r="R5621" s="88" t="e">
        <f>-IF(Tabla14[[#This Row],[DIAS HABILES O MORA]]&lt;0,(Tabla14[[#This Row],[VALOR PRESTAMO]]*Tabla14[[#This Row],[% INTERES ]]/30*U5621))+Tabla14[[#This Row],[VALOR CUOTAS]]</f>
        <v>#VALUE!</v>
      </c>
      <c r="S5621" s="88">
        <f>-IF(Tabla14[[#This Row],[DIAS HABILES O MORA]]&lt;0,(Tabla14[[#This Row],[VALOR PRESTAMO]]*Tabla14[[#This Row],[% INTERES ]]/30*U5621))</f>
        <v>0</v>
      </c>
      <c r="T5621" s="53" t="e">
        <f>Tabla14[[#This Row],[DEUDA CAPITAL]]+Tabla14[[#This Row],[INTERES  CUOTA]]</f>
        <v>#NUM!</v>
      </c>
      <c r="U5621" s="61" t="str">
        <f t="shared" si="889"/>
        <v/>
      </c>
    </row>
    <row r="5622" spans="9:21" ht="24.75" customHeight="1" x14ac:dyDescent="0.35">
      <c r="I5622" s="42">
        <f t="shared" si="880"/>
        <v>0</v>
      </c>
      <c r="J5622" s="65" t="e">
        <f t="shared" si="881"/>
        <v>#NUM!</v>
      </c>
      <c r="K5622" s="83" t="e">
        <f t="shared" si="882"/>
        <v>#NUM!</v>
      </c>
      <c r="L5622" s="83">
        <f t="shared" si="883"/>
        <v>0</v>
      </c>
      <c r="M5622" s="110" t="str">
        <f t="shared" si="884"/>
        <v/>
      </c>
      <c r="N5622" s="51" t="str">
        <f t="shared" si="885"/>
        <v/>
      </c>
      <c r="O5622" s="52" t="str">
        <f t="shared" si="886"/>
        <v/>
      </c>
      <c r="P5622" s="88">
        <f t="shared" si="887"/>
        <v>0</v>
      </c>
      <c r="Q5622" s="88">
        <f t="shared" si="888"/>
        <v>0</v>
      </c>
      <c r="R5622" s="88" t="e">
        <f>-IF(Tabla14[[#This Row],[DIAS HABILES O MORA]]&lt;0,(Tabla14[[#This Row],[VALOR PRESTAMO]]*Tabla14[[#This Row],[% INTERES ]]/30*U5622))+Tabla14[[#This Row],[VALOR CUOTAS]]</f>
        <v>#VALUE!</v>
      </c>
      <c r="S5622" s="88">
        <f>-IF(Tabla14[[#This Row],[DIAS HABILES O MORA]]&lt;0,(Tabla14[[#This Row],[VALOR PRESTAMO]]*Tabla14[[#This Row],[% INTERES ]]/30*U5622))</f>
        <v>0</v>
      </c>
      <c r="T5622" s="53" t="e">
        <f>Tabla14[[#This Row],[DEUDA CAPITAL]]+Tabla14[[#This Row],[INTERES  CUOTA]]</f>
        <v>#NUM!</v>
      </c>
      <c r="U5622" s="61" t="str">
        <f t="shared" si="889"/>
        <v/>
      </c>
    </row>
    <row r="5623" spans="9:21" ht="24.75" customHeight="1" x14ac:dyDescent="0.35">
      <c r="I5623" s="42">
        <f t="shared" si="880"/>
        <v>0</v>
      </c>
      <c r="J5623" s="65" t="e">
        <f t="shared" si="881"/>
        <v>#NUM!</v>
      </c>
      <c r="K5623" s="83" t="e">
        <f t="shared" si="882"/>
        <v>#NUM!</v>
      </c>
      <c r="L5623" s="83">
        <f t="shared" si="883"/>
        <v>0</v>
      </c>
      <c r="M5623" s="110" t="str">
        <f t="shared" si="884"/>
        <v/>
      </c>
      <c r="N5623" s="51" t="str">
        <f t="shared" si="885"/>
        <v/>
      </c>
      <c r="O5623" s="52" t="str">
        <f t="shared" si="886"/>
        <v/>
      </c>
      <c r="P5623" s="88">
        <f t="shared" si="887"/>
        <v>0</v>
      </c>
      <c r="Q5623" s="88">
        <f t="shared" si="888"/>
        <v>0</v>
      </c>
      <c r="R5623" s="88" t="e">
        <f>-IF(Tabla14[[#This Row],[DIAS HABILES O MORA]]&lt;0,(Tabla14[[#This Row],[VALOR PRESTAMO]]*Tabla14[[#This Row],[% INTERES ]]/30*U5623))+Tabla14[[#This Row],[VALOR CUOTAS]]</f>
        <v>#VALUE!</v>
      </c>
      <c r="S5623" s="88">
        <f>-IF(Tabla14[[#This Row],[DIAS HABILES O MORA]]&lt;0,(Tabla14[[#This Row],[VALOR PRESTAMO]]*Tabla14[[#This Row],[% INTERES ]]/30*U5623))</f>
        <v>0</v>
      </c>
      <c r="T5623" s="53" t="e">
        <f>Tabla14[[#This Row],[DEUDA CAPITAL]]+Tabla14[[#This Row],[INTERES  CUOTA]]</f>
        <v>#NUM!</v>
      </c>
      <c r="U5623" s="61" t="str">
        <f t="shared" si="889"/>
        <v/>
      </c>
    </row>
    <row r="5624" spans="9:21" ht="24.75" customHeight="1" x14ac:dyDescent="0.35">
      <c r="I5624" s="42">
        <f t="shared" si="880"/>
        <v>0</v>
      </c>
      <c r="J5624" s="65" t="e">
        <f t="shared" si="881"/>
        <v>#NUM!</v>
      </c>
      <c r="K5624" s="83" t="e">
        <f t="shared" si="882"/>
        <v>#NUM!</v>
      </c>
      <c r="L5624" s="83">
        <f t="shared" si="883"/>
        <v>0</v>
      </c>
      <c r="M5624" s="110" t="str">
        <f t="shared" si="884"/>
        <v/>
      </c>
      <c r="N5624" s="51" t="str">
        <f t="shared" si="885"/>
        <v/>
      </c>
      <c r="O5624" s="52" t="str">
        <f t="shared" si="886"/>
        <v/>
      </c>
      <c r="P5624" s="88">
        <f t="shared" si="887"/>
        <v>0</v>
      </c>
      <c r="Q5624" s="88">
        <f t="shared" si="888"/>
        <v>0</v>
      </c>
      <c r="R5624" s="88" t="e">
        <f>-IF(Tabla14[[#This Row],[DIAS HABILES O MORA]]&lt;0,(Tabla14[[#This Row],[VALOR PRESTAMO]]*Tabla14[[#This Row],[% INTERES ]]/30*U5624))+Tabla14[[#This Row],[VALOR CUOTAS]]</f>
        <v>#VALUE!</v>
      </c>
      <c r="S5624" s="88">
        <f>-IF(Tabla14[[#This Row],[DIAS HABILES O MORA]]&lt;0,(Tabla14[[#This Row],[VALOR PRESTAMO]]*Tabla14[[#This Row],[% INTERES ]]/30*U5624))</f>
        <v>0</v>
      </c>
      <c r="T5624" s="53" t="e">
        <f>Tabla14[[#This Row],[DEUDA CAPITAL]]+Tabla14[[#This Row],[INTERES  CUOTA]]</f>
        <v>#NUM!</v>
      </c>
      <c r="U5624" s="61" t="str">
        <f t="shared" si="889"/>
        <v/>
      </c>
    </row>
    <row r="5625" spans="9:21" ht="24.75" customHeight="1" x14ac:dyDescent="0.35">
      <c r="I5625" s="42">
        <f t="shared" si="880"/>
        <v>0</v>
      </c>
      <c r="J5625" s="65" t="e">
        <f t="shared" si="881"/>
        <v>#NUM!</v>
      </c>
      <c r="K5625" s="83" t="e">
        <f t="shared" si="882"/>
        <v>#NUM!</v>
      </c>
      <c r="L5625" s="83">
        <f t="shared" si="883"/>
        <v>0</v>
      </c>
      <c r="M5625" s="110" t="str">
        <f t="shared" si="884"/>
        <v/>
      </c>
      <c r="N5625" s="51" t="str">
        <f t="shared" si="885"/>
        <v/>
      </c>
      <c r="O5625" s="52" t="str">
        <f t="shared" si="886"/>
        <v/>
      </c>
      <c r="P5625" s="88">
        <f t="shared" si="887"/>
        <v>0</v>
      </c>
      <c r="Q5625" s="88">
        <f t="shared" si="888"/>
        <v>0</v>
      </c>
      <c r="R5625" s="88" t="e">
        <f>-IF(Tabla14[[#This Row],[DIAS HABILES O MORA]]&lt;0,(Tabla14[[#This Row],[VALOR PRESTAMO]]*Tabla14[[#This Row],[% INTERES ]]/30*U5625))+Tabla14[[#This Row],[VALOR CUOTAS]]</f>
        <v>#VALUE!</v>
      </c>
      <c r="S5625" s="88">
        <f>-IF(Tabla14[[#This Row],[DIAS HABILES O MORA]]&lt;0,(Tabla14[[#This Row],[VALOR PRESTAMO]]*Tabla14[[#This Row],[% INTERES ]]/30*U5625))</f>
        <v>0</v>
      </c>
      <c r="T5625" s="53" t="e">
        <f>Tabla14[[#This Row],[DEUDA CAPITAL]]+Tabla14[[#This Row],[INTERES  CUOTA]]</f>
        <v>#NUM!</v>
      </c>
      <c r="U5625" s="61" t="str">
        <f t="shared" si="889"/>
        <v/>
      </c>
    </row>
    <row r="5626" spans="9:21" ht="24.75" customHeight="1" x14ac:dyDescent="0.35">
      <c r="I5626" s="42">
        <f t="shared" si="880"/>
        <v>0</v>
      </c>
      <c r="J5626" s="65" t="e">
        <f t="shared" si="881"/>
        <v>#NUM!</v>
      </c>
      <c r="K5626" s="83" t="e">
        <f t="shared" si="882"/>
        <v>#NUM!</v>
      </c>
      <c r="L5626" s="83">
        <f t="shared" si="883"/>
        <v>0</v>
      </c>
      <c r="M5626" s="110" t="str">
        <f t="shared" si="884"/>
        <v/>
      </c>
      <c r="N5626" s="51" t="str">
        <f t="shared" si="885"/>
        <v/>
      </c>
      <c r="O5626" s="52" t="str">
        <f t="shared" si="886"/>
        <v/>
      </c>
      <c r="P5626" s="88">
        <f t="shared" si="887"/>
        <v>0</v>
      </c>
      <c r="Q5626" s="88">
        <f t="shared" si="888"/>
        <v>0</v>
      </c>
      <c r="R5626" s="88" t="e">
        <f>-IF(Tabla14[[#This Row],[DIAS HABILES O MORA]]&lt;0,(Tabla14[[#This Row],[VALOR PRESTAMO]]*Tabla14[[#This Row],[% INTERES ]]/30*U5626))+Tabla14[[#This Row],[VALOR CUOTAS]]</f>
        <v>#VALUE!</v>
      </c>
      <c r="S5626" s="88">
        <f>-IF(Tabla14[[#This Row],[DIAS HABILES O MORA]]&lt;0,(Tabla14[[#This Row],[VALOR PRESTAMO]]*Tabla14[[#This Row],[% INTERES ]]/30*U5626))</f>
        <v>0</v>
      </c>
      <c r="T5626" s="53" t="e">
        <f>Tabla14[[#This Row],[DEUDA CAPITAL]]+Tabla14[[#This Row],[INTERES  CUOTA]]</f>
        <v>#NUM!</v>
      </c>
      <c r="U5626" s="61" t="str">
        <f t="shared" si="889"/>
        <v/>
      </c>
    </row>
    <row r="5627" spans="9:21" ht="24.75" customHeight="1" x14ac:dyDescent="0.35">
      <c r="I5627" s="42">
        <f t="shared" si="880"/>
        <v>0</v>
      </c>
      <c r="J5627" s="65" t="e">
        <f t="shared" si="881"/>
        <v>#NUM!</v>
      </c>
      <c r="K5627" s="83" t="e">
        <f t="shared" si="882"/>
        <v>#NUM!</v>
      </c>
      <c r="L5627" s="83">
        <f t="shared" si="883"/>
        <v>0</v>
      </c>
      <c r="M5627" s="110" t="str">
        <f t="shared" si="884"/>
        <v/>
      </c>
      <c r="N5627" s="51" t="str">
        <f t="shared" si="885"/>
        <v/>
      </c>
      <c r="O5627" s="52" t="str">
        <f t="shared" si="886"/>
        <v/>
      </c>
      <c r="P5627" s="88">
        <f t="shared" si="887"/>
        <v>0</v>
      </c>
      <c r="Q5627" s="88">
        <f t="shared" si="888"/>
        <v>0</v>
      </c>
      <c r="R5627" s="88" t="e">
        <f>-IF(Tabla14[[#This Row],[DIAS HABILES O MORA]]&lt;0,(Tabla14[[#This Row],[VALOR PRESTAMO]]*Tabla14[[#This Row],[% INTERES ]]/30*U5627))+Tabla14[[#This Row],[VALOR CUOTAS]]</f>
        <v>#VALUE!</v>
      </c>
      <c r="S5627" s="88">
        <f>-IF(Tabla14[[#This Row],[DIAS HABILES O MORA]]&lt;0,(Tabla14[[#This Row],[VALOR PRESTAMO]]*Tabla14[[#This Row],[% INTERES ]]/30*U5627))</f>
        <v>0</v>
      </c>
      <c r="T5627" s="53" t="e">
        <f>Tabla14[[#This Row],[DEUDA CAPITAL]]+Tabla14[[#This Row],[INTERES  CUOTA]]</f>
        <v>#NUM!</v>
      </c>
      <c r="U5627" s="61" t="str">
        <f t="shared" si="889"/>
        <v/>
      </c>
    </row>
    <row r="5628" spans="9:21" ht="24.75" customHeight="1" x14ac:dyDescent="0.35">
      <c r="I5628" s="42">
        <f t="shared" si="880"/>
        <v>0</v>
      </c>
      <c r="J5628" s="65" t="e">
        <f t="shared" si="881"/>
        <v>#NUM!</v>
      </c>
      <c r="K5628" s="83" t="e">
        <f t="shared" si="882"/>
        <v>#NUM!</v>
      </c>
      <c r="L5628" s="83">
        <f t="shared" si="883"/>
        <v>0</v>
      </c>
      <c r="M5628" s="110" t="str">
        <f t="shared" si="884"/>
        <v/>
      </c>
      <c r="N5628" s="51" t="str">
        <f t="shared" si="885"/>
        <v/>
      </c>
      <c r="O5628" s="52" t="str">
        <f t="shared" si="886"/>
        <v/>
      </c>
      <c r="P5628" s="88">
        <f t="shared" si="887"/>
        <v>0</v>
      </c>
      <c r="Q5628" s="88">
        <f t="shared" si="888"/>
        <v>0</v>
      </c>
      <c r="R5628" s="88" t="e">
        <f>-IF(Tabla14[[#This Row],[DIAS HABILES O MORA]]&lt;0,(Tabla14[[#This Row],[VALOR PRESTAMO]]*Tabla14[[#This Row],[% INTERES ]]/30*U5628))+Tabla14[[#This Row],[VALOR CUOTAS]]</f>
        <v>#VALUE!</v>
      </c>
      <c r="S5628" s="88">
        <f>-IF(Tabla14[[#This Row],[DIAS HABILES O MORA]]&lt;0,(Tabla14[[#This Row],[VALOR PRESTAMO]]*Tabla14[[#This Row],[% INTERES ]]/30*U5628))</f>
        <v>0</v>
      </c>
      <c r="T5628" s="53" t="e">
        <f>Tabla14[[#This Row],[DEUDA CAPITAL]]+Tabla14[[#This Row],[INTERES  CUOTA]]</f>
        <v>#NUM!</v>
      </c>
      <c r="U5628" s="61" t="str">
        <f t="shared" si="889"/>
        <v/>
      </c>
    </row>
    <row r="5629" spans="9:21" ht="24.75" customHeight="1" x14ac:dyDescent="0.35">
      <c r="I5629" s="42">
        <f t="shared" si="880"/>
        <v>0</v>
      </c>
      <c r="J5629" s="65" t="e">
        <f t="shared" si="881"/>
        <v>#NUM!</v>
      </c>
      <c r="K5629" s="83" t="e">
        <f t="shared" si="882"/>
        <v>#NUM!</v>
      </c>
      <c r="L5629" s="83">
        <f t="shared" si="883"/>
        <v>0</v>
      </c>
      <c r="M5629" s="110" t="str">
        <f t="shared" si="884"/>
        <v/>
      </c>
      <c r="N5629" s="51" t="str">
        <f t="shared" si="885"/>
        <v/>
      </c>
      <c r="O5629" s="52" t="str">
        <f t="shared" si="886"/>
        <v/>
      </c>
      <c r="P5629" s="88">
        <f t="shared" si="887"/>
        <v>0</v>
      </c>
      <c r="Q5629" s="88">
        <f t="shared" si="888"/>
        <v>0</v>
      </c>
      <c r="R5629" s="88" t="e">
        <f>-IF(Tabla14[[#This Row],[DIAS HABILES O MORA]]&lt;0,(Tabla14[[#This Row],[VALOR PRESTAMO]]*Tabla14[[#This Row],[% INTERES ]]/30*U5629))+Tabla14[[#This Row],[VALOR CUOTAS]]</f>
        <v>#VALUE!</v>
      </c>
      <c r="S5629" s="88">
        <f>-IF(Tabla14[[#This Row],[DIAS HABILES O MORA]]&lt;0,(Tabla14[[#This Row],[VALOR PRESTAMO]]*Tabla14[[#This Row],[% INTERES ]]/30*U5629))</f>
        <v>0</v>
      </c>
      <c r="T5629" s="53" t="e">
        <f>Tabla14[[#This Row],[DEUDA CAPITAL]]+Tabla14[[#This Row],[INTERES  CUOTA]]</f>
        <v>#NUM!</v>
      </c>
      <c r="U5629" s="61" t="str">
        <f t="shared" si="889"/>
        <v/>
      </c>
    </row>
    <row r="5630" spans="9:21" ht="24.75" customHeight="1" x14ac:dyDescent="0.35">
      <c r="I5630" s="42">
        <f t="shared" si="880"/>
        <v>0</v>
      </c>
      <c r="J5630" s="65" t="e">
        <f t="shared" si="881"/>
        <v>#NUM!</v>
      </c>
      <c r="K5630" s="83" t="e">
        <f t="shared" si="882"/>
        <v>#NUM!</v>
      </c>
      <c r="L5630" s="83">
        <f t="shared" si="883"/>
        <v>0</v>
      </c>
      <c r="M5630" s="110" t="str">
        <f t="shared" si="884"/>
        <v/>
      </c>
      <c r="N5630" s="51" t="str">
        <f t="shared" si="885"/>
        <v/>
      </c>
      <c r="O5630" s="52" t="str">
        <f t="shared" si="886"/>
        <v/>
      </c>
      <c r="P5630" s="88">
        <f t="shared" si="887"/>
        <v>0</v>
      </c>
      <c r="Q5630" s="88">
        <f t="shared" si="888"/>
        <v>0</v>
      </c>
      <c r="R5630" s="88" t="e">
        <f>-IF(Tabla14[[#This Row],[DIAS HABILES O MORA]]&lt;0,(Tabla14[[#This Row],[VALOR PRESTAMO]]*Tabla14[[#This Row],[% INTERES ]]/30*U5630))+Tabla14[[#This Row],[VALOR CUOTAS]]</f>
        <v>#VALUE!</v>
      </c>
      <c r="S5630" s="88">
        <f>-IF(Tabla14[[#This Row],[DIAS HABILES O MORA]]&lt;0,(Tabla14[[#This Row],[VALOR PRESTAMO]]*Tabla14[[#This Row],[% INTERES ]]/30*U5630))</f>
        <v>0</v>
      </c>
      <c r="T5630" s="53" t="e">
        <f>Tabla14[[#This Row],[DEUDA CAPITAL]]+Tabla14[[#This Row],[INTERES  CUOTA]]</f>
        <v>#NUM!</v>
      </c>
      <c r="U5630" s="61" t="str">
        <f t="shared" si="889"/>
        <v/>
      </c>
    </row>
    <row r="5631" spans="9:21" ht="24.75" customHeight="1" x14ac:dyDescent="0.35">
      <c r="I5631" s="42">
        <f t="shared" si="880"/>
        <v>0</v>
      </c>
      <c r="J5631" s="65" t="e">
        <f t="shared" si="881"/>
        <v>#NUM!</v>
      </c>
      <c r="K5631" s="83" t="e">
        <f t="shared" si="882"/>
        <v>#NUM!</v>
      </c>
      <c r="L5631" s="83">
        <f t="shared" si="883"/>
        <v>0</v>
      </c>
      <c r="M5631" s="110" t="str">
        <f t="shared" si="884"/>
        <v/>
      </c>
      <c r="N5631" s="51" t="str">
        <f t="shared" si="885"/>
        <v/>
      </c>
      <c r="O5631" s="52" t="str">
        <f t="shared" si="886"/>
        <v/>
      </c>
      <c r="P5631" s="88">
        <f t="shared" si="887"/>
        <v>0</v>
      </c>
      <c r="Q5631" s="88">
        <f t="shared" si="888"/>
        <v>0</v>
      </c>
      <c r="R5631" s="88" t="e">
        <f>-IF(Tabla14[[#This Row],[DIAS HABILES O MORA]]&lt;0,(Tabla14[[#This Row],[VALOR PRESTAMO]]*Tabla14[[#This Row],[% INTERES ]]/30*U5631))+Tabla14[[#This Row],[VALOR CUOTAS]]</f>
        <v>#VALUE!</v>
      </c>
      <c r="S5631" s="88">
        <f>-IF(Tabla14[[#This Row],[DIAS HABILES O MORA]]&lt;0,(Tabla14[[#This Row],[VALOR PRESTAMO]]*Tabla14[[#This Row],[% INTERES ]]/30*U5631))</f>
        <v>0</v>
      </c>
      <c r="T5631" s="53" t="e">
        <f>Tabla14[[#This Row],[DEUDA CAPITAL]]+Tabla14[[#This Row],[INTERES  CUOTA]]</f>
        <v>#NUM!</v>
      </c>
      <c r="U5631" s="61" t="str">
        <f t="shared" si="889"/>
        <v/>
      </c>
    </row>
    <row r="5632" spans="9:21" ht="24.75" customHeight="1" x14ac:dyDescent="0.35">
      <c r="I5632" s="42">
        <f t="shared" si="880"/>
        <v>0</v>
      </c>
      <c r="J5632" s="65" t="e">
        <f t="shared" si="881"/>
        <v>#NUM!</v>
      </c>
      <c r="K5632" s="83" t="e">
        <f t="shared" si="882"/>
        <v>#NUM!</v>
      </c>
      <c r="L5632" s="83">
        <f t="shared" si="883"/>
        <v>0</v>
      </c>
      <c r="M5632" s="110" t="str">
        <f t="shared" si="884"/>
        <v/>
      </c>
      <c r="N5632" s="51" t="str">
        <f t="shared" si="885"/>
        <v/>
      </c>
      <c r="O5632" s="52" t="str">
        <f t="shared" si="886"/>
        <v/>
      </c>
      <c r="P5632" s="88">
        <f t="shared" si="887"/>
        <v>0</v>
      </c>
      <c r="Q5632" s="88">
        <f t="shared" si="888"/>
        <v>0</v>
      </c>
      <c r="R5632" s="88" t="e">
        <f>-IF(Tabla14[[#This Row],[DIAS HABILES O MORA]]&lt;0,(Tabla14[[#This Row],[VALOR PRESTAMO]]*Tabla14[[#This Row],[% INTERES ]]/30*U5632))+Tabla14[[#This Row],[VALOR CUOTAS]]</f>
        <v>#VALUE!</v>
      </c>
      <c r="S5632" s="88">
        <f>-IF(Tabla14[[#This Row],[DIAS HABILES O MORA]]&lt;0,(Tabla14[[#This Row],[VALOR PRESTAMO]]*Tabla14[[#This Row],[% INTERES ]]/30*U5632))</f>
        <v>0</v>
      </c>
      <c r="T5632" s="53" t="e">
        <f>Tabla14[[#This Row],[DEUDA CAPITAL]]+Tabla14[[#This Row],[INTERES  CUOTA]]</f>
        <v>#NUM!</v>
      </c>
      <c r="U5632" s="61" t="str">
        <f t="shared" si="889"/>
        <v/>
      </c>
    </row>
    <row r="5633" spans="9:21" ht="24.75" customHeight="1" x14ac:dyDescent="0.35">
      <c r="I5633" s="42">
        <f t="shared" si="880"/>
        <v>0</v>
      </c>
      <c r="J5633" s="65" t="e">
        <f t="shared" si="881"/>
        <v>#NUM!</v>
      </c>
      <c r="K5633" s="83" t="e">
        <f t="shared" si="882"/>
        <v>#NUM!</v>
      </c>
      <c r="L5633" s="83">
        <f t="shared" si="883"/>
        <v>0</v>
      </c>
      <c r="M5633" s="110" t="str">
        <f t="shared" si="884"/>
        <v/>
      </c>
      <c r="N5633" s="51" t="str">
        <f t="shared" si="885"/>
        <v/>
      </c>
      <c r="O5633" s="52" t="str">
        <f t="shared" si="886"/>
        <v/>
      </c>
      <c r="P5633" s="88">
        <f t="shared" si="887"/>
        <v>0</v>
      </c>
      <c r="Q5633" s="88">
        <f t="shared" si="888"/>
        <v>0</v>
      </c>
      <c r="R5633" s="88" t="e">
        <f>-IF(Tabla14[[#This Row],[DIAS HABILES O MORA]]&lt;0,(Tabla14[[#This Row],[VALOR PRESTAMO]]*Tabla14[[#This Row],[% INTERES ]]/30*U5633))+Tabla14[[#This Row],[VALOR CUOTAS]]</f>
        <v>#VALUE!</v>
      </c>
      <c r="S5633" s="88">
        <f>-IF(Tabla14[[#This Row],[DIAS HABILES O MORA]]&lt;0,(Tabla14[[#This Row],[VALOR PRESTAMO]]*Tabla14[[#This Row],[% INTERES ]]/30*U5633))</f>
        <v>0</v>
      </c>
      <c r="T5633" s="53" t="e">
        <f>Tabla14[[#This Row],[DEUDA CAPITAL]]+Tabla14[[#This Row],[INTERES  CUOTA]]</f>
        <v>#NUM!</v>
      </c>
      <c r="U5633" s="61" t="str">
        <f t="shared" si="889"/>
        <v/>
      </c>
    </row>
    <row r="5634" spans="9:21" ht="24.75" customHeight="1" x14ac:dyDescent="0.35">
      <c r="I5634" s="42">
        <f t="shared" si="880"/>
        <v>0</v>
      </c>
      <c r="J5634" s="65" t="e">
        <f t="shared" si="881"/>
        <v>#NUM!</v>
      </c>
      <c r="K5634" s="83" t="e">
        <f t="shared" si="882"/>
        <v>#NUM!</v>
      </c>
      <c r="L5634" s="83">
        <f t="shared" si="883"/>
        <v>0</v>
      </c>
      <c r="M5634" s="110" t="str">
        <f t="shared" si="884"/>
        <v/>
      </c>
      <c r="N5634" s="51" t="str">
        <f t="shared" si="885"/>
        <v/>
      </c>
      <c r="O5634" s="52" t="str">
        <f t="shared" si="886"/>
        <v/>
      </c>
      <c r="P5634" s="88">
        <f t="shared" si="887"/>
        <v>0</v>
      </c>
      <c r="Q5634" s="88">
        <f t="shared" si="888"/>
        <v>0</v>
      </c>
      <c r="R5634" s="88" t="e">
        <f>-IF(Tabla14[[#This Row],[DIAS HABILES O MORA]]&lt;0,(Tabla14[[#This Row],[VALOR PRESTAMO]]*Tabla14[[#This Row],[% INTERES ]]/30*U5634))+Tabla14[[#This Row],[VALOR CUOTAS]]</f>
        <v>#VALUE!</v>
      </c>
      <c r="S5634" s="88">
        <f>-IF(Tabla14[[#This Row],[DIAS HABILES O MORA]]&lt;0,(Tabla14[[#This Row],[VALOR PRESTAMO]]*Tabla14[[#This Row],[% INTERES ]]/30*U5634))</f>
        <v>0</v>
      </c>
      <c r="T5634" s="53" t="e">
        <f>Tabla14[[#This Row],[DEUDA CAPITAL]]+Tabla14[[#This Row],[INTERES  CUOTA]]</f>
        <v>#NUM!</v>
      </c>
      <c r="U5634" s="61" t="str">
        <f t="shared" si="889"/>
        <v/>
      </c>
    </row>
    <row r="5635" spans="9:21" ht="24.75" customHeight="1" x14ac:dyDescent="0.35">
      <c r="I5635" s="42">
        <f t="shared" si="880"/>
        <v>0</v>
      </c>
      <c r="J5635" s="65" t="e">
        <f t="shared" si="881"/>
        <v>#NUM!</v>
      </c>
      <c r="K5635" s="83" t="e">
        <f t="shared" si="882"/>
        <v>#NUM!</v>
      </c>
      <c r="L5635" s="83">
        <f t="shared" si="883"/>
        <v>0</v>
      </c>
      <c r="M5635" s="110" t="str">
        <f t="shared" si="884"/>
        <v/>
      </c>
      <c r="N5635" s="51" t="str">
        <f t="shared" si="885"/>
        <v/>
      </c>
      <c r="O5635" s="52" t="str">
        <f t="shared" si="886"/>
        <v/>
      </c>
      <c r="P5635" s="88">
        <f t="shared" si="887"/>
        <v>0</v>
      </c>
      <c r="Q5635" s="88">
        <f t="shared" si="888"/>
        <v>0</v>
      </c>
      <c r="R5635" s="88" t="e">
        <f>-IF(Tabla14[[#This Row],[DIAS HABILES O MORA]]&lt;0,(Tabla14[[#This Row],[VALOR PRESTAMO]]*Tabla14[[#This Row],[% INTERES ]]/30*U5635))+Tabla14[[#This Row],[VALOR CUOTAS]]</f>
        <v>#VALUE!</v>
      </c>
      <c r="S5635" s="88">
        <f>-IF(Tabla14[[#This Row],[DIAS HABILES O MORA]]&lt;0,(Tabla14[[#This Row],[VALOR PRESTAMO]]*Tabla14[[#This Row],[% INTERES ]]/30*U5635))</f>
        <v>0</v>
      </c>
      <c r="T5635" s="53" t="e">
        <f>Tabla14[[#This Row],[DEUDA CAPITAL]]+Tabla14[[#This Row],[INTERES  CUOTA]]</f>
        <v>#NUM!</v>
      </c>
      <c r="U5635" s="61" t="str">
        <f t="shared" si="889"/>
        <v/>
      </c>
    </row>
    <row r="5636" spans="9:21" ht="24.75" customHeight="1" x14ac:dyDescent="0.35">
      <c r="I5636" s="42">
        <f t="shared" si="880"/>
        <v>0</v>
      </c>
      <c r="J5636" s="65" t="e">
        <f t="shared" si="881"/>
        <v>#NUM!</v>
      </c>
      <c r="K5636" s="83" t="e">
        <f t="shared" si="882"/>
        <v>#NUM!</v>
      </c>
      <c r="L5636" s="83">
        <f t="shared" si="883"/>
        <v>0</v>
      </c>
      <c r="M5636" s="110" t="str">
        <f t="shared" si="884"/>
        <v/>
      </c>
      <c r="N5636" s="51" t="str">
        <f t="shared" si="885"/>
        <v/>
      </c>
      <c r="O5636" s="52" t="str">
        <f t="shared" si="886"/>
        <v/>
      </c>
      <c r="P5636" s="88">
        <f t="shared" si="887"/>
        <v>0</v>
      </c>
      <c r="Q5636" s="88">
        <f t="shared" si="888"/>
        <v>0</v>
      </c>
      <c r="R5636" s="88" t="e">
        <f>-IF(Tabla14[[#This Row],[DIAS HABILES O MORA]]&lt;0,(Tabla14[[#This Row],[VALOR PRESTAMO]]*Tabla14[[#This Row],[% INTERES ]]/30*U5636))+Tabla14[[#This Row],[VALOR CUOTAS]]</f>
        <v>#VALUE!</v>
      </c>
      <c r="S5636" s="88">
        <f>-IF(Tabla14[[#This Row],[DIAS HABILES O MORA]]&lt;0,(Tabla14[[#This Row],[VALOR PRESTAMO]]*Tabla14[[#This Row],[% INTERES ]]/30*U5636))</f>
        <v>0</v>
      </c>
      <c r="T5636" s="53" t="e">
        <f>Tabla14[[#This Row],[DEUDA CAPITAL]]+Tabla14[[#This Row],[INTERES  CUOTA]]</f>
        <v>#NUM!</v>
      </c>
      <c r="U5636" s="61" t="str">
        <f t="shared" si="889"/>
        <v/>
      </c>
    </row>
    <row r="5637" spans="9:21" ht="24.75" customHeight="1" x14ac:dyDescent="0.35">
      <c r="I5637" s="42">
        <f t="shared" si="880"/>
        <v>0</v>
      </c>
      <c r="J5637" s="65" t="e">
        <f t="shared" si="881"/>
        <v>#NUM!</v>
      </c>
      <c r="K5637" s="83" t="e">
        <f t="shared" si="882"/>
        <v>#NUM!</v>
      </c>
      <c r="L5637" s="83">
        <f t="shared" si="883"/>
        <v>0</v>
      </c>
      <c r="M5637" s="110" t="str">
        <f t="shared" si="884"/>
        <v/>
      </c>
      <c r="N5637" s="51" t="str">
        <f t="shared" si="885"/>
        <v/>
      </c>
      <c r="O5637" s="52" t="str">
        <f t="shared" si="886"/>
        <v/>
      </c>
      <c r="P5637" s="88">
        <f t="shared" si="887"/>
        <v>0</v>
      </c>
      <c r="Q5637" s="88">
        <f t="shared" si="888"/>
        <v>0</v>
      </c>
      <c r="R5637" s="88" t="e">
        <f>-IF(Tabla14[[#This Row],[DIAS HABILES O MORA]]&lt;0,(Tabla14[[#This Row],[VALOR PRESTAMO]]*Tabla14[[#This Row],[% INTERES ]]/30*U5637))+Tabla14[[#This Row],[VALOR CUOTAS]]</f>
        <v>#VALUE!</v>
      </c>
      <c r="S5637" s="88">
        <f>-IF(Tabla14[[#This Row],[DIAS HABILES O MORA]]&lt;0,(Tabla14[[#This Row],[VALOR PRESTAMO]]*Tabla14[[#This Row],[% INTERES ]]/30*U5637))</f>
        <v>0</v>
      </c>
      <c r="T5637" s="53" t="e">
        <f>Tabla14[[#This Row],[DEUDA CAPITAL]]+Tabla14[[#This Row],[INTERES  CUOTA]]</f>
        <v>#NUM!</v>
      </c>
      <c r="U5637" s="61" t="str">
        <f t="shared" si="889"/>
        <v/>
      </c>
    </row>
    <row r="5638" spans="9:21" ht="24.75" customHeight="1" x14ac:dyDescent="0.35">
      <c r="I5638" s="42">
        <f t="shared" si="880"/>
        <v>0</v>
      </c>
      <c r="J5638" s="65" t="e">
        <f t="shared" si="881"/>
        <v>#NUM!</v>
      </c>
      <c r="K5638" s="83" t="e">
        <f t="shared" si="882"/>
        <v>#NUM!</v>
      </c>
      <c r="L5638" s="83">
        <f t="shared" si="883"/>
        <v>0</v>
      </c>
      <c r="M5638" s="110" t="str">
        <f t="shared" si="884"/>
        <v/>
      </c>
      <c r="N5638" s="51" t="str">
        <f t="shared" si="885"/>
        <v/>
      </c>
      <c r="O5638" s="52" t="str">
        <f t="shared" si="886"/>
        <v/>
      </c>
      <c r="P5638" s="88">
        <f t="shared" si="887"/>
        <v>0</v>
      </c>
      <c r="Q5638" s="88">
        <f t="shared" si="888"/>
        <v>0</v>
      </c>
      <c r="R5638" s="88" t="e">
        <f>-IF(Tabla14[[#This Row],[DIAS HABILES O MORA]]&lt;0,(Tabla14[[#This Row],[VALOR PRESTAMO]]*Tabla14[[#This Row],[% INTERES ]]/30*U5638))+Tabla14[[#This Row],[VALOR CUOTAS]]</f>
        <v>#VALUE!</v>
      </c>
      <c r="S5638" s="88">
        <f>-IF(Tabla14[[#This Row],[DIAS HABILES O MORA]]&lt;0,(Tabla14[[#This Row],[VALOR PRESTAMO]]*Tabla14[[#This Row],[% INTERES ]]/30*U5638))</f>
        <v>0</v>
      </c>
      <c r="T5638" s="53" t="e">
        <f>Tabla14[[#This Row],[DEUDA CAPITAL]]+Tabla14[[#This Row],[INTERES  CUOTA]]</f>
        <v>#NUM!</v>
      </c>
      <c r="U5638" s="61" t="str">
        <f t="shared" si="889"/>
        <v/>
      </c>
    </row>
    <row r="5639" spans="9:21" ht="24.75" customHeight="1" x14ac:dyDescent="0.35">
      <c r="I5639" s="42">
        <f t="shared" si="880"/>
        <v>0</v>
      </c>
      <c r="J5639" s="65" t="e">
        <f t="shared" si="881"/>
        <v>#NUM!</v>
      </c>
      <c r="K5639" s="83" t="e">
        <f t="shared" si="882"/>
        <v>#NUM!</v>
      </c>
      <c r="L5639" s="83">
        <f t="shared" si="883"/>
        <v>0</v>
      </c>
      <c r="M5639" s="110" t="str">
        <f t="shared" si="884"/>
        <v/>
      </c>
      <c r="N5639" s="51" t="str">
        <f t="shared" si="885"/>
        <v/>
      </c>
      <c r="O5639" s="52" t="str">
        <f t="shared" si="886"/>
        <v/>
      </c>
      <c r="P5639" s="88">
        <f t="shared" si="887"/>
        <v>0</v>
      </c>
      <c r="Q5639" s="88">
        <f t="shared" si="888"/>
        <v>0</v>
      </c>
      <c r="R5639" s="88" t="e">
        <f>-IF(Tabla14[[#This Row],[DIAS HABILES O MORA]]&lt;0,(Tabla14[[#This Row],[VALOR PRESTAMO]]*Tabla14[[#This Row],[% INTERES ]]/30*U5639))+Tabla14[[#This Row],[VALOR CUOTAS]]</f>
        <v>#VALUE!</v>
      </c>
      <c r="S5639" s="88">
        <f>-IF(Tabla14[[#This Row],[DIAS HABILES O MORA]]&lt;0,(Tabla14[[#This Row],[VALOR PRESTAMO]]*Tabla14[[#This Row],[% INTERES ]]/30*U5639))</f>
        <v>0</v>
      </c>
      <c r="T5639" s="53" t="e">
        <f>Tabla14[[#This Row],[DEUDA CAPITAL]]+Tabla14[[#This Row],[INTERES  CUOTA]]</f>
        <v>#NUM!</v>
      </c>
      <c r="U5639" s="61" t="str">
        <f t="shared" si="889"/>
        <v/>
      </c>
    </row>
    <row r="5640" spans="9:21" ht="24.75" customHeight="1" x14ac:dyDescent="0.35">
      <c r="I5640" s="42">
        <f t="shared" si="880"/>
        <v>0</v>
      </c>
      <c r="J5640" s="65" t="e">
        <f t="shared" si="881"/>
        <v>#NUM!</v>
      </c>
      <c r="K5640" s="83" t="e">
        <f t="shared" si="882"/>
        <v>#NUM!</v>
      </c>
      <c r="L5640" s="83">
        <f t="shared" si="883"/>
        <v>0</v>
      </c>
      <c r="M5640" s="110" t="str">
        <f t="shared" si="884"/>
        <v/>
      </c>
      <c r="N5640" s="51" t="str">
        <f t="shared" si="885"/>
        <v/>
      </c>
      <c r="O5640" s="52" t="str">
        <f t="shared" si="886"/>
        <v/>
      </c>
      <c r="P5640" s="88">
        <f t="shared" si="887"/>
        <v>0</v>
      </c>
      <c r="Q5640" s="88">
        <f t="shared" si="888"/>
        <v>0</v>
      </c>
      <c r="R5640" s="88" t="e">
        <f>-IF(Tabla14[[#This Row],[DIAS HABILES O MORA]]&lt;0,(Tabla14[[#This Row],[VALOR PRESTAMO]]*Tabla14[[#This Row],[% INTERES ]]/30*U5640))+Tabla14[[#This Row],[VALOR CUOTAS]]</f>
        <v>#VALUE!</v>
      </c>
      <c r="S5640" s="88">
        <f>-IF(Tabla14[[#This Row],[DIAS HABILES O MORA]]&lt;0,(Tabla14[[#This Row],[VALOR PRESTAMO]]*Tabla14[[#This Row],[% INTERES ]]/30*U5640))</f>
        <v>0</v>
      </c>
      <c r="T5640" s="53" t="e">
        <f>Tabla14[[#This Row],[DEUDA CAPITAL]]+Tabla14[[#This Row],[INTERES  CUOTA]]</f>
        <v>#NUM!</v>
      </c>
      <c r="U5640" s="61" t="str">
        <f t="shared" si="889"/>
        <v/>
      </c>
    </row>
    <row r="5641" spans="9:21" ht="24.75" customHeight="1" x14ac:dyDescent="0.35">
      <c r="I5641" s="42">
        <f t="shared" si="880"/>
        <v>0</v>
      </c>
      <c r="J5641" s="65" t="e">
        <f t="shared" si="881"/>
        <v>#NUM!</v>
      </c>
      <c r="K5641" s="83" t="e">
        <f t="shared" si="882"/>
        <v>#NUM!</v>
      </c>
      <c r="L5641" s="83">
        <f t="shared" si="883"/>
        <v>0</v>
      </c>
      <c r="M5641" s="110" t="str">
        <f t="shared" si="884"/>
        <v/>
      </c>
      <c r="N5641" s="51" t="str">
        <f t="shared" si="885"/>
        <v/>
      </c>
      <c r="O5641" s="52" t="str">
        <f t="shared" si="886"/>
        <v/>
      </c>
      <c r="P5641" s="88">
        <f t="shared" si="887"/>
        <v>0</v>
      </c>
      <c r="Q5641" s="88">
        <f t="shared" si="888"/>
        <v>0</v>
      </c>
      <c r="R5641" s="88" t="e">
        <f>-IF(Tabla14[[#This Row],[DIAS HABILES O MORA]]&lt;0,(Tabla14[[#This Row],[VALOR PRESTAMO]]*Tabla14[[#This Row],[% INTERES ]]/30*U5641))+Tabla14[[#This Row],[VALOR CUOTAS]]</f>
        <v>#VALUE!</v>
      </c>
      <c r="S5641" s="88">
        <f>-IF(Tabla14[[#This Row],[DIAS HABILES O MORA]]&lt;0,(Tabla14[[#This Row],[VALOR PRESTAMO]]*Tabla14[[#This Row],[% INTERES ]]/30*U5641))</f>
        <v>0</v>
      </c>
      <c r="T5641" s="53" t="e">
        <f>Tabla14[[#This Row],[DEUDA CAPITAL]]+Tabla14[[#This Row],[INTERES  CUOTA]]</f>
        <v>#NUM!</v>
      </c>
      <c r="U5641" s="61" t="str">
        <f t="shared" si="889"/>
        <v/>
      </c>
    </row>
    <row r="5642" spans="9:21" ht="24.75" customHeight="1" x14ac:dyDescent="0.35">
      <c r="I5642" s="42">
        <f t="shared" si="880"/>
        <v>0</v>
      </c>
      <c r="J5642" s="65" t="e">
        <f t="shared" si="881"/>
        <v>#NUM!</v>
      </c>
      <c r="K5642" s="83" t="e">
        <f t="shared" si="882"/>
        <v>#NUM!</v>
      </c>
      <c r="L5642" s="83">
        <f t="shared" si="883"/>
        <v>0</v>
      </c>
      <c r="M5642" s="110" t="str">
        <f t="shared" si="884"/>
        <v/>
      </c>
      <c r="N5642" s="51" t="str">
        <f t="shared" si="885"/>
        <v/>
      </c>
      <c r="O5642" s="52" t="str">
        <f t="shared" si="886"/>
        <v/>
      </c>
      <c r="P5642" s="88">
        <f t="shared" si="887"/>
        <v>0</v>
      </c>
      <c r="Q5642" s="88">
        <f t="shared" si="888"/>
        <v>0</v>
      </c>
      <c r="R5642" s="88" t="e">
        <f>-IF(Tabla14[[#This Row],[DIAS HABILES O MORA]]&lt;0,(Tabla14[[#This Row],[VALOR PRESTAMO]]*Tabla14[[#This Row],[% INTERES ]]/30*U5642))+Tabla14[[#This Row],[VALOR CUOTAS]]</f>
        <v>#VALUE!</v>
      </c>
      <c r="S5642" s="88">
        <f>-IF(Tabla14[[#This Row],[DIAS HABILES O MORA]]&lt;0,(Tabla14[[#This Row],[VALOR PRESTAMO]]*Tabla14[[#This Row],[% INTERES ]]/30*U5642))</f>
        <v>0</v>
      </c>
      <c r="T5642" s="53" t="e">
        <f>Tabla14[[#This Row],[DEUDA CAPITAL]]+Tabla14[[#This Row],[INTERES  CUOTA]]</f>
        <v>#NUM!</v>
      </c>
      <c r="U5642" s="61" t="str">
        <f t="shared" si="889"/>
        <v/>
      </c>
    </row>
    <row r="5643" spans="9:21" ht="24.75" customHeight="1" x14ac:dyDescent="0.35">
      <c r="I5643" s="42">
        <f t="shared" si="880"/>
        <v>0</v>
      </c>
      <c r="J5643" s="65" t="e">
        <f t="shared" si="881"/>
        <v>#NUM!</v>
      </c>
      <c r="K5643" s="83" t="e">
        <f t="shared" si="882"/>
        <v>#NUM!</v>
      </c>
      <c r="L5643" s="83">
        <f t="shared" si="883"/>
        <v>0</v>
      </c>
      <c r="M5643" s="110" t="str">
        <f t="shared" si="884"/>
        <v/>
      </c>
      <c r="N5643" s="51" t="str">
        <f t="shared" si="885"/>
        <v/>
      </c>
      <c r="O5643" s="52" t="str">
        <f t="shared" si="886"/>
        <v/>
      </c>
      <c r="P5643" s="88">
        <f t="shared" si="887"/>
        <v>0</v>
      </c>
      <c r="Q5643" s="88">
        <f t="shared" si="888"/>
        <v>0</v>
      </c>
      <c r="R5643" s="88" t="e">
        <f>-IF(Tabla14[[#This Row],[DIAS HABILES O MORA]]&lt;0,(Tabla14[[#This Row],[VALOR PRESTAMO]]*Tabla14[[#This Row],[% INTERES ]]/30*U5643))+Tabla14[[#This Row],[VALOR CUOTAS]]</f>
        <v>#VALUE!</v>
      </c>
      <c r="S5643" s="88">
        <f>-IF(Tabla14[[#This Row],[DIAS HABILES O MORA]]&lt;0,(Tabla14[[#This Row],[VALOR PRESTAMO]]*Tabla14[[#This Row],[% INTERES ]]/30*U5643))</f>
        <v>0</v>
      </c>
      <c r="T5643" s="53" t="e">
        <f>Tabla14[[#This Row],[DEUDA CAPITAL]]+Tabla14[[#This Row],[INTERES  CUOTA]]</f>
        <v>#NUM!</v>
      </c>
      <c r="U5643" s="61" t="str">
        <f t="shared" si="889"/>
        <v/>
      </c>
    </row>
    <row r="5644" spans="9:21" ht="24.75" customHeight="1" x14ac:dyDescent="0.35">
      <c r="I5644" s="42">
        <f t="shared" si="880"/>
        <v>0</v>
      </c>
      <c r="J5644" s="65" t="e">
        <f t="shared" si="881"/>
        <v>#NUM!</v>
      </c>
      <c r="K5644" s="83" t="e">
        <f t="shared" si="882"/>
        <v>#NUM!</v>
      </c>
      <c r="L5644" s="83">
        <f t="shared" si="883"/>
        <v>0</v>
      </c>
      <c r="M5644" s="110" t="str">
        <f t="shared" si="884"/>
        <v/>
      </c>
      <c r="N5644" s="51" t="str">
        <f t="shared" si="885"/>
        <v/>
      </c>
      <c r="O5644" s="52" t="str">
        <f t="shared" si="886"/>
        <v/>
      </c>
      <c r="P5644" s="88">
        <f t="shared" si="887"/>
        <v>0</v>
      </c>
      <c r="Q5644" s="88">
        <f t="shared" si="888"/>
        <v>0</v>
      </c>
      <c r="R5644" s="88" t="e">
        <f>-IF(Tabla14[[#This Row],[DIAS HABILES O MORA]]&lt;0,(Tabla14[[#This Row],[VALOR PRESTAMO]]*Tabla14[[#This Row],[% INTERES ]]/30*U5644))+Tabla14[[#This Row],[VALOR CUOTAS]]</f>
        <v>#VALUE!</v>
      </c>
      <c r="S5644" s="88">
        <f>-IF(Tabla14[[#This Row],[DIAS HABILES O MORA]]&lt;0,(Tabla14[[#This Row],[VALOR PRESTAMO]]*Tabla14[[#This Row],[% INTERES ]]/30*U5644))</f>
        <v>0</v>
      </c>
      <c r="T5644" s="53" t="e">
        <f>Tabla14[[#This Row],[DEUDA CAPITAL]]+Tabla14[[#This Row],[INTERES  CUOTA]]</f>
        <v>#NUM!</v>
      </c>
      <c r="U5644" s="61" t="str">
        <f t="shared" si="889"/>
        <v/>
      </c>
    </row>
    <row r="5645" spans="9:21" ht="24.75" customHeight="1" x14ac:dyDescent="0.35">
      <c r="I5645" s="42">
        <f t="shared" si="880"/>
        <v>0</v>
      </c>
      <c r="J5645" s="65" t="e">
        <f t="shared" si="881"/>
        <v>#NUM!</v>
      </c>
      <c r="K5645" s="83" t="e">
        <f t="shared" si="882"/>
        <v>#NUM!</v>
      </c>
      <c r="L5645" s="83">
        <f t="shared" si="883"/>
        <v>0</v>
      </c>
      <c r="M5645" s="110" t="str">
        <f t="shared" si="884"/>
        <v/>
      </c>
      <c r="N5645" s="51" t="str">
        <f t="shared" si="885"/>
        <v/>
      </c>
      <c r="O5645" s="52" t="str">
        <f t="shared" si="886"/>
        <v/>
      </c>
      <c r="P5645" s="88">
        <f t="shared" si="887"/>
        <v>0</v>
      </c>
      <c r="Q5645" s="88">
        <f t="shared" si="888"/>
        <v>0</v>
      </c>
      <c r="R5645" s="88" t="e">
        <f>-IF(Tabla14[[#This Row],[DIAS HABILES O MORA]]&lt;0,(Tabla14[[#This Row],[VALOR PRESTAMO]]*Tabla14[[#This Row],[% INTERES ]]/30*U5645))+Tabla14[[#This Row],[VALOR CUOTAS]]</f>
        <v>#VALUE!</v>
      </c>
      <c r="S5645" s="88">
        <f>-IF(Tabla14[[#This Row],[DIAS HABILES O MORA]]&lt;0,(Tabla14[[#This Row],[VALOR PRESTAMO]]*Tabla14[[#This Row],[% INTERES ]]/30*U5645))</f>
        <v>0</v>
      </c>
      <c r="T5645" s="53" t="e">
        <f>Tabla14[[#This Row],[DEUDA CAPITAL]]+Tabla14[[#This Row],[INTERES  CUOTA]]</f>
        <v>#NUM!</v>
      </c>
      <c r="U5645" s="61" t="str">
        <f t="shared" si="889"/>
        <v/>
      </c>
    </row>
    <row r="5646" spans="9:21" ht="24.75" customHeight="1" x14ac:dyDescent="0.35">
      <c r="I5646" s="42">
        <f t="shared" si="880"/>
        <v>0</v>
      </c>
      <c r="J5646" s="65" t="e">
        <f t="shared" si="881"/>
        <v>#NUM!</v>
      </c>
      <c r="K5646" s="83" t="e">
        <f t="shared" si="882"/>
        <v>#NUM!</v>
      </c>
      <c r="L5646" s="83">
        <f t="shared" si="883"/>
        <v>0</v>
      </c>
      <c r="M5646" s="110" t="str">
        <f t="shared" si="884"/>
        <v/>
      </c>
      <c r="N5646" s="51" t="str">
        <f t="shared" si="885"/>
        <v/>
      </c>
      <c r="O5646" s="52" t="str">
        <f t="shared" si="886"/>
        <v/>
      </c>
      <c r="P5646" s="88">
        <f t="shared" si="887"/>
        <v>0</v>
      </c>
      <c r="Q5646" s="88">
        <f t="shared" si="888"/>
        <v>0</v>
      </c>
      <c r="R5646" s="88" t="e">
        <f>-IF(Tabla14[[#This Row],[DIAS HABILES O MORA]]&lt;0,(Tabla14[[#This Row],[VALOR PRESTAMO]]*Tabla14[[#This Row],[% INTERES ]]/30*U5646))+Tabla14[[#This Row],[VALOR CUOTAS]]</f>
        <v>#VALUE!</v>
      </c>
      <c r="S5646" s="88">
        <f>-IF(Tabla14[[#This Row],[DIAS HABILES O MORA]]&lt;0,(Tabla14[[#This Row],[VALOR PRESTAMO]]*Tabla14[[#This Row],[% INTERES ]]/30*U5646))</f>
        <v>0</v>
      </c>
      <c r="T5646" s="53" t="e">
        <f>Tabla14[[#This Row],[DEUDA CAPITAL]]+Tabla14[[#This Row],[INTERES  CUOTA]]</f>
        <v>#NUM!</v>
      </c>
      <c r="U5646" s="61" t="str">
        <f t="shared" si="889"/>
        <v/>
      </c>
    </row>
    <row r="5647" spans="9:21" ht="24.75" customHeight="1" x14ac:dyDescent="0.35">
      <c r="I5647" s="42">
        <f t="shared" si="880"/>
        <v>0</v>
      </c>
      <c r="J5647" s="65" t="e">
        <f t="shared" si="881"/>
        <v>#NUM!</v>
      </c>
      <c r="K5647" s="83" t="e">
        <f t="shared" si="882"/>
        <v>#NUM!</v>
      </c>
      <c r="L5647" s="83">
        <f t="shared" si="883"/>
        <v>0</v>
      </c>
      <c r="M5647" s="110" t="str">
        <f t="shared" si="884"/>
        <v/>
      </c>
      <c r="N5647" s="51" t="str">
        <f t="shared" si="885"/>
        <v/>
      </c>
      <c r="O5647" s="52" t="str">
        <f t="shared" si="886"/>
        <v/>
      </c>
      <c r="P5647" s="88">
        <f t="shared" si="887"/>
        <v>0</v>
      </c>
      <c r="Q5647" s="88">
        <f t="shared" si="888"/>
        <v>0</v>
      </c>
      <c r="R5647" s="88" t="e">
        <f>-IF(Tabla14[[#This Row],[DIAS HABILES O MORA]]&lt;0,(Tabla14[[#This Row],[VALOR PRESTAMO]]*Tabla14[[#This Row],[% INTERES ]]/30*U5647))+Tabla14[[#This Row],[VALOR CUOTAS]]</f>
        <v>#VALUE!</v>
      </c>
      <c r="S5647" s="88">
        <f>-IF(Tabla14[[#This Row],[DIAS HABILES O MORA]]&lt;0,(Tabla14[[#This Row],[VALOR PRESTAMO]]*Tabla14[[#This Row],[% INTERES ]]/30*U5647))</f>
        <v>0</v>
      </c>
      <c r="T5647" s="53" t="e">
        <f>Tabla14[[#This Row],[DEUDA CAPITAL]]+Tabla14[[#This Row],[INTERES  CUOTA]]</f>
        <v>#NUM!</v>
      </c>
      <c r="U5647" s="61" t="str">
        <f t="shared" si="889"/>
        <v/>
      </c>
    </row>
    <row r="5648" spans="9:21" ht="24.75" customHeight="1" x14ac:dyDescent="0.35">
      <c r="I5648" s="42">
        <f t="shared" ref="I5648:I5711" si="890">IF(C5648&lt;0,"",IF(Q5648=0,0,IF(G5648=0,H5648+1,IF(H5648&lt;G5648,H5648+1,IF(G5648=H5648,0)))))</f>
        <v>0</v>
      </c>
      <c r="J5648" s="65" t="e">
        <f t="shared" ref="J5648:J5711" si="891">IF(F5648="SOLO INTERES",Q5648*D5648,-IPMT(D5648,I5648,G5648,C5648))</f>
        <v>#NUM!</v>
      </c>
      <c r="K5648" s="83" t="e">
        <f t="shared" ref="K5648:K5711" si="892">IF(F5648="SOLO INTERES",0,-PPMT(D5648,I5648,G5648,C5648))</f>
        <v>#NUM!</v>
      </c>
      <c r="L5648" s="83">
        <f t="shared" ref="L5648:L5711" si="893">IF(F5648="SOLO INTERES",SUM(Y5648:AAE5648),IFERROR(-CUMIPMT(D5648,G5648,C5648,1,H5648,0),0)+SUM(Y5648:WY5648))</f>
        <v>0</v>
      </c>
      <c r="M5648" s="110" t="str">
        <f t="shared" ref="M5648:M5711" si="894">IFERROR(IF(F5648="SOLO INTERES",Q5648*D5648,-PMT(D5648,G5648,C5648,0)),"")</f>
        <v/>
      </c>
      <c r="N5648" s="51" t="str">
        <f t="shared" ref="N5648:N5711" si="895">IF(Q5648=0,"",IF(E5648="MENSUAL",EDATE(B5648,I5648),IF(E5648="QUINCENAL",B5648+(I5648*15),IF(E5648="SEMANAL",B5648+(I5648*7)))))</f>
        <v/>
      </c>
      <c r="O5648" s="52" t="str">
        <f t="shared" ref="O5648:O5711" si="896">IF(C5648=0,"",IF(Q5648&lt;1,"PAGADO",IF(N5648=$A$3,"COBRAR HOY",IF(N5648&lt;$A$3,"EN MORA",IF(N5648&gt;$A$3,"AL DIA")))))</f>
        <v/>
      </c>
      <c r="P5648" s="88">
        <f t="shared" ref="P5648:P5711" si="897">IFERROR(-CUMPRINC(D5648,G5648,C5648,1,H5648,0),0)+W5648</f>
        <v>0</v>
      </c>
      <c r="Q5648" s="88">
        <f t="shared" ref="Q5648:Q5711" si="898">IFERROR(C5648-P5648,"")</f>
        <v>0</v>
      </c>
      <c r="R5648" s="88" t="e">
        <f>-IF(Tabla14[[#This Row],[DIAS HABILES O MORA]]&lt;0,(Tabla14[[#This Row],[VALOR PRESTAMO]]*Tabla14[[#This Row],[% INTERES ]]/30*U5648))+Tabla14[[#This Row],[VALOR CUOTAS]]</f>
        <v>#VALUE!</v>
      </c>
      <c r="S5648" s="88">
        <f>-IF(Tabla14[[#This Row],[DIAS HABILES O MORA]]&lt;0,(Tabla14[[#This Row],[VALOR PRESTAMO]]*Tabla14[[#This Row],[% INTERES ]]/30*U5648))</f>
        <v>0</v>
      </c>
      <c r="T5648" s="53" t="e">
        <f>Tabla14[[#This Row],[DEUDA CAPITAL]]+Tabla14[[#This Row],[INTERES  CUOTA]]</f>
        <v>#NUM!</v>
      </c>
      <c r="U5648" s="61" t="str">
        <f t="shared" ref="U5648:U5711" si="899">IF(O5648="PAGADO","",IFERROR(-IF(C5648=0,"",$A$3-N5648),""))</f>
        <v/>
      </c>
    </row>
    <row r="5649" spans="9:21" ht="24.75" customHeight="1" x14ac:dyDescent="0.35">
      <c r="I5649" s="42">
        <f t="shared" si="890"/>
        <v>0</v>
      </c>
      <c r="J5649" s="65" t="e">
        <f t="shared" si="891"/>
        <v>#NUM!</v>
      </c>
      <c r="K5649" s="83" t="e">
        <f t="shared" si="892"/>
        <v>#NUM!</v>
      </c>
      <c r="L5649" s="83">
        <f t="shared" si="893"/>
        <v>0</v>
      </c>
      <c r="M5649" s="110" t="str">
        <f t="shared" si="894"/>
        <v/>
      </c>
      <c r="N5649" s="51" t="str">
        <f t="shared" si="895"/>
        <v/>
      </c>
      <c r="O5649" s="52" t="str">
        <f t="shared" si="896"/>
        <v/>
      </c>
      <c r="P5649" s="88">
        <f t="shared" si="897"/>
        <v>0</v>
      </c>
      <c r="Q5649" s="88">
        <f t="shared" si="898"/>
        <v>0</v>
      </c>
      <c r="R5649" s="88" t="e">
        <f>-IF(Tabla14[[#This Row],[DIAS HABILES O MORA]]&lt;0,(Tabla14[[#This Row],[VALOR PRESTAMO]]*Tabla14[[#This Row],[% INTERES ]]/30*U5649))+Tabla14[[#This Row],[VALOR CUOTAS]]</f>
        <v>#VALUE!</v>
      </c>
      <c r="S5649" s="88">
        <f>-IF(Tabla14[[#This Row],[DIAS HABILES O MORA]]&lt;0,(Tabla14[[#This Row],[VALOR PRESTAMO]]*Tabla14[[#This Row],[% INTERES ]]/30*U5649))</f>
        <v>0</v>
      </c>
      <c r="T5649" s="53" t="e">
        <f>Tabla14[[#This Row],[DEUDA CAPITAL]]+Tabla14[[#This Row],[INTERES  CUOTA]]</f>
        <v>#NUM!</v>
      </c>
      <c r="U5649" s="61" t="str">
        <f t="shared" si="899"/>
        <v/>
      </c>
    </row>
    <row r="5650" spans="9:21" ht="24.75" customHeight="1" x14ac:dyDescent="0.35">
      <c r="I5650" s="42">
        <f t="shared" si="890"/>
        <v>0</v>
      </c>
      <c r="J5650" s="65" t="e">
        <f t="shared" si="891"/>
        <v>#NUM!</v>
      </c>
      <c r="K5650" s="83" t="e">
        <f t="shared" si="892"/>
        <v>#NUM!</v>
      </c>
      <c r="L5650" s="83">
        <f t="shared" si="893"/>
        <v>0</v>
      </c>
      <c r="M5650" s="110" t="str">
        <f t="shared" si="894"/>
        <v/>
      </c>
      <c r="N5650" s="51" t="str">
        <f t="shared" si="895"/>
        <v/>
      </c>
      <c r="O5650" s="52" t="str">
        <f t="shared" si="896"/>
        <v/>
      </c>
      <c r="P5650" s="88">
        <f t="shared" si="897"/>
        <v>0</v>
      </c>
      <c r="Q5650" s="88">
        <f t="shared" si="898"/>
        <v>0</v>
      </c>
      <c r="R5650" s="88" t="e">
        <f>-IF(Tabla14[[#This Row],[DIAS HABILES O MORA]]&lt;0,(Tabla14[[#This Row],[VALOR PRESTAMO]]*Tabla14[[#This Row],[% INTERES ]]/30*U5650))+Tabla14[[#This Row],[VALOR CUOTAS]]</f>
        <v>#VALUE!</v>
      </c>
      <c r="S5650" s="88">
        <f>-IF(Tabla14[[#This Row],[DIAS HABILES O MORA]]&lt;0,(Tabla14[[#This Row],[VALOR PRESTAMO]]*Tabla14[[#This Row],[% INTERES ]]/30*U5650))</f>
        <v>0</v>
      </c>
      <c r="T5650" s="53" t="e">
        <f>Tabla14[[#This Row],[DEUDA CAPITAL]]+Tabla14[[#This Row],[INTERES  CUOTA]]</f>
        <v>#NUM!</v>
      </c>
      <c r="U5650" s="61" t="str">
        <f t="shared" si="899"/>
        <v/>
      </c>
    </row>
    <row r="5651" spans="9:21" ht="24.75" customHeight="1" x14ac:dyDescent="0.35">
      <c r="I5651" s="42">
        <f t="shared" si="890"/>
        <v>0</v>
      </c>
      <c r="J5651" s="65" t="e">
        <f t="shared" si="891"/>
        <v>#NUM!</v>
      </c>
      <c r="K5651" s="83" t="e">
        <f t="shared" si="892"/>
        <v>#NUM!</v>
      </c>
      <c r="L5651" s="83">
        <f t="shared" si="893"/>
        <v>0</v>
      </c>
      <c r="M5651" s="110" t="str">
        <f t="shared" si="894"/>
        <v/>
      </c>
      <c r="N5651" s="51" t="str">
        <f t="shared" si="895"/>
        <v/>
      </c>
      <c r="O5651" s="52" t="str">
        <f t="shared" si="896"/>
        <v/>
      </c>
      <c r="P5651" s="88">
        <f t="shared" si="897"/>
        <v>0</v>
      </c>
      <c r="Q5651" s="88">
        <f t="shared" si="898"/>
        <v>0</v>
      </c>
      <c r="R5651" s="88" t="e">
        <f>-IF(Tabla14[[#This Row],[DIAS HABILES O MORA]]&lt;0,(Tabla14[[#This Row],[VALOR PRESTAMO]]*Tabla14[[#This Row],[% INTERES ]]/30*U5651))+Tabla14[[#This Row],[VALOR CUOTAS]]</f>
        <v>#VALUE!</v>
      </c>
      <c r="S5651" s="88">
        <f>-IF(Tabla14[[#This Row],[DIAS HABILES O MORA]]&lt;0,(Tabla14[[#This Row],[VALOR PRESTAMO]]*Tabla14[[#This Row],[% INTERES ]]/30*U5651))</f>
        <v>0</v>
      </c>
      <c r="T5651" s="53" t="e">
        <f>Tabla14[[#This Row],[DEUDA CAPITAL]]+Tabla14[[#This Row],[INTERES  CUOTA]]</f>
        <v>#NUM!</v>
      </c>
      <c r="U5651" s="61" t="str">
        <f t="shared" si="899"/>
        <v/>
      </c>
    </row>
    <row r="5652" spans="9:21" ht="24.75" customHeight="1" x14ac:dyDescent="0.35">
      <c r="I5652" s="42">
        <f t="shared" si="890"/>
        <v>0</v>
      </c>
      <c r="J5652" s="65" t="e">
        <f t="shared" si="891"/>
        <v>#NUM!</v>
      </c>
      <c r="K5652" s="83" t="e">
        <f t="shared" si="892"/>
        <v>#NUM!</v>
      </c>
      <c r="L5652" s="83">
        <f t="shared" si="893"/>
        <v>0</v>
      </c>
      <c r="M5652" s="110" t="str">
        <f t="shared" si="894"/>
        <v/>
      </c>
      <c r="N5652" s="51" t="str">
        <f t="shared" si="895"/>
        <v/>
      </c>
      <c r="O5652" s="52" t="str">
        <f t="shared" si="896"/>
        <v/>
      </c>
      <c r="P5652" s="88">
        <f t="shared" si="897"/>
        <v>0</v>
      </c>
      <c r="Q5652" s="88">
        <f t="shared" si="898"/>
        <v>0</v>
      </c>
      <c r="R5652" s="88" t="e">
        <f>-IF(Tabla14[[#This Row],[DIAS HABILES O MORA]]&lt;0,(Tabla14[[#This Row],[VALOR PRESTAMO]]*Tabla14[[#This Row],[% INTERES ]]/30*U5652))+Tabla14[[#This Row],[VALOR CUOTAS]]</f>
        <v>#VALUE!</v>
      </c>
      <c r="S5652" s="88">
        <f>-IF(Tabla14[[#This Row],[DIAS HABILES O MORA]]&lt;0,(Tabla14[[#This Row],[VALOR PRESTAMO]]*Tabla14[[#This Row],[% INTERES ]]/30*U5652))</f>
        <v>0</v>
      </c>
      <c r="T5652" s="53" t="e">
        <f>Tabla14[[#This Row],[DEUDA CAPITAL]]+Tabla14[[#This Row],[INTERES  CUOTA]]</f>
        <v>#NUM!</v>
      </c>
      <c r="U5652" s="61" t="str">
        <f t="shared" si="899"/>
        <v/>
      </c>
    </row>
    <row r="5653" spans="9:21" ht="24.75" customHeight="1" x14ac:dyDescent="0.35">
      <c r="I5653" s="42">
        <f t="shared" si="890"/>
        <v>0</v>
      </c>
      <c r="J5653" s="65" t="e">
        <f t="shared" si="891"/>
        <v>#NUM!</v>
      </c>
      <c r="K5653" s="83" t="e">
        <f t="shared" si="892"/>
        <v>#NUM!</v>
      </c>
      <c r="L5653" s="83">
        <f t="shared" si="893"/>
        <v>0</v>
      </c>
      <c r="M5653" s="110" t="str">
        <f t="shared" si="894"/>
        <v/>
      </c>
      <c r="N5653" s="51" t="str">
        <f t="shared" si="895"/>
        <v/>
      </c>
      <c r="O5653" s="52" t="str">
        <f t="shared" si="896"/>
        <v/>
      </c>
      <c r="P5653" s="88">
        <f t="shared" si="897"/>
        <v>0</v>
      </c>
      <c r="Q5653" s="88">
        <f t="shared" si="898"/>
        <v>0</v>
      </c>
      <c r="R5653" s="88" t="e">
        <f>-IF(Tabla14[[#This Row],[DIAS HABILES O MORA]]&lt;0,(Tabla14[[#This Row],[VALOR PRESTAMO]]*Tabla14[[#This Row],[% INTERES ]]/30*U5653))+Tabla14[[#This Row],[VALOR CUOTAS]]</f>
        <v>#VALUE!</v>
      </c>
      <c r="S5653" s="88">
        <f>-IF(Tabla14[[#This Row],[DIAS HABILES O MORA]]&lt;0,(Tabla14[[#This Row],[VALOR PRESTAMO]]*Tabla14[[#This Row],[% INTERES ]]/30*U5653))</f>
        <v>0</v>
      </c>
      <c r="T5653" s="53" t="e">
        <f>Tabla14[[#This Row],[DEUDA CAPITAL]]+Tabla14[[#This Row],[INTERES  CUOTA]]</f>
        <v>#NUM!</v>
      </c>
      <c r="U5653" s="61" t="str">
        <f t="shared" si="899"/>
        <v/>
      </c>
    </row>
    <row r="5654" spans="9:21" ht="24.75" customHeight="1" x14ac:dyDescent="0.35">
      <c r="I5654" s="42">
        <f t="shared" si="890"/>
        <v>0</v>
      </c>
      <c r="J5654" s="65" t="e">
        <f t="shared" si="891"/>
        <v>#NUM!</v>
      </c>
      <c r="K5654" s="83" t="e">
        <f t="shared" si="892"/>
        <v>#NUM!</v>
      </c>
      <c r="L5654" s="83">
        <f t="shared" si="893"/>
        <v>0</v>
      </c>
      <c r="M5654" s="110" t="str">
        <f t="shared" si="894"/>
        <v/>
      </c>
      <c r="N5654" s="51" t="str">
        <f t="shared" si="895"/>
        <v/>
      </c>
      <c r="O5654" s="52" t="str">
        <f t="shared" si="896"/>
        <v/>
      </c>
      <c r="P5654" s="88">
        <f t="shared" si="897"/>
        <v>0</v>
      </c>
      <c r="Q5654" s="88">
        <f t="shared" si="898"/>
        <v>0</v>
      </c>
      <c r="R5654" s="88" t="e">
        <f>-IF(Tabla14[[#This Row],[DIAS HABILES O MORA]]&lt;0,(Tabla14[[#This Row],[VALOR PRESTAMO]]*Tabla14[[#This Row],[% INTERES ]]/30*U5654))+Tabla14[[#This Row],[VALOR CUOTAS]]</f>
        <v>#VALUE!</v>
      </c>
      <c r="S5654" s="88">
        <f>-IF(Tabla14[[#This Row],[DIAS HABILES O MORA]]&lt;0,(Tabla14[[#This Row],[VALOR PRESTAMO]]*Tabla14[[#This Row],[% INTERES ]]/30*U5654))</f>
        <v>0</v>
      </c>
      <c r="T5654" s="53" t="e">
        <f>Tabla14[[#This Row],[DEUDA CAPITAL]]+Tabla14[[#This Row],[INTERES  CUOTA]]</f>
        <v>#NUM!</v>
      </c>
      <c r="U5654" s="61" t="str">
        <f t="shared" si="899"/>
        <v/>
      </c>
    </row>
    <row r="5655" spans="9:21" ht="24.75" customHeight="1" x14ac:dyDescent="0.35">
      <c r="I5655" s="42">
        <f t="shared" si="890"/>
        <v>0</v>
      </c>
      <c r="J5655" s="65" t="e">
        <f t="shared" si="891"/>
        <v>#NUM!</v>
      </c>
      <c r="K5655" s="83" t="e">
        <f t="shared" si="892"/>
        <v>#NUM!</v>
      </c>
      <c r="L5655" s="83">
        <f t="shared" si="893"/>
        <v>0</v>
      </c>
      <c r="M5655" s="110" t="str">
        <f t="shared" si="894"/>
        <v/>
      </c>
      <c r="N5655" s="51" t="str">
        <f t="shared" si="895"/>
        <v/>
      </c>
      <c r="O5655" s="52" t="str">
        <f t="shared" si="896"/>
        <v/>
      </c>
      <c r="P5655" s="88">
        <f t="shared" si="897"/>
        <v>0</v>
      </c>
      <c r="Q5655" s="88">
        <f t="shared" si="898"/>
        <v>0</v>
      </c>
      <c r="R5655" s="88" t="e">
        <f>-IF(Tabla14[[#This Row],[DIAS HABILES O MORA]]&lt;0,(Tabla14[[#This Row],[VALOR PRESTAMO]]*Tabla14[[#This Row],[% INTERES ]]/30*U5655))+Tabla14[[#This Row],[VALOR CUOTAS]]</f>
        <v>#VALUE!</v>
      </c>
      <c r="S5655" s="88">
        <f>-IF(Tabla14[[#This Row],[DIAS HABILES O MORA]]&lt;0,(Tabla14[[#This Row],[VALOR PRESTAMO]]*Tabla14[[#This Row],[% INTERES ]]/30*U5655))</f>
        <v>0</v>
      </c>
      <c r="T5655" s="53" t="e">
        <f>Tabla14[[#This Row],[DEUDA CAPITAL]]+Tabla14[[#This Row],[INTERES  CUOTA]]</f>
        <v>#NUM!</v>
      </c>
      <c r="U5655" s="61" t="str">
        <f t="shared" si="899"/>
        <v/>
      </c>
    </row>
    <row r="5656" spans="9:21" ht="24.75" customHeight="1" x14ac:dyDescent="0.35">
      <c r="I5656" s="42">
        <f t="shared" si="890"/>
        <v>0</v>
      </c>
      <c r="J5656" s="65" t="e">
        <f t="shared" si="891"/>
        <v>#NUM!</v>
      </c>
      <c r="K5656" s="83" t="e">
        <f t="shared" si="892"/>
        <v>#NUM!</v>
      </c>
      <c r="L5656" s="83">
        <f t="shared" si="893"/>
        <v>0</v>
      </c>
      <c r="M5656" s="110" t="str">
        <f t="shared" si="894"/>
        <v/>
      </c>
      <c r="N5656" s="51" t="str">
        <f t="shared" si="895"/>
        <v/>
      </c>
      <c r="O5656" s="52" t="str">
        <f t="shared" si="896"/>
        <v/>
      </c>
      <c r="P5656" s="88">
        <f t="shared" si="897"/>
        <v>0</v>
      </c>
      <c r="Q5656" s="88">
        <f t="shared" si="898"/>
        <v>0</v>
      </c>
      <c r="R5656" s="88" t="e">
        <f>-IF(Tabla14[[#This Row],[DIAS HABILES O MORA]]&lt;0,(Tabla14[[#This Row],[VALOR PRESTAMO]]*Tabla14[[#This Row],[% INTERES ]]/30*U5656))+Tabla14[[#This Row],[VALOR CUOTAS]]</f>
        <v>#VALUE!</v>
      </c>
      <c r="S5656" s="88">
        <f>-IF(Tabla14[[#This Row],[DIAS HABILES O MORA]]&lt;0,(Tabla14[[#This Row],[VALOR PRESTAMO]]*Tabla14[[#This Row],[% INTERES ]]/30*U5656))</f>
        <v>0</v>
      </c>
      <c r="T5656" s="53" t="e">
        <f>Tabla14[[#This Row],[DEUDA CAPITAL]]+Tabla14[[#This Row],[INTERES  CUOTA]]</f>
        <v>#NUM!</v>
      </c>
      <c r="U5656" s="61" t="str">
        <f t="shared" si="899"/>
        <v/>
      </c>
    </row>
    <row r="5657" spans="9:21" ht="24.75" customHeight="1" x14ac:dyDescent="0.35">
      <c r="I5657" s="42">
        <f t="shared" si="890"/>
        <v>0</v>
      </c>
      <c r="J5657" s="65" t="e">
        <f t="shared" si="891"/>
        <v>#NUM!</v>
      </c>
      <c r="K5657" s="83" t="e">
        <f t="shared" si="892"/>
        <v>#NUM!</v>
      </c>
      <c r="L5657" s="83">
        <f t="shared" si="893"/>
        <v>0</v>
      </c>
      <c r="M5657" s="110" t="str">
        <f t="shared" si="894"/>
        <v/>
      </c>
      <c r="N5657" s="51" t="str">
        <f t="shared" si="895"/>
        <v/>
      </c>
      <c r="O5657" s="52" t="str">
        <f t="shared" si="896"/>
        <v/>
      </c>
      <c r="P5657" s="88">
        <f t="shared" si="897"/>
        <v>0</v>
      </c>
      <c r="Q5657" s="88">
        <f t="shared" si="898"/>
        <v>0</v>
      </c>
      <c r="R5657" s="88" t="e">
        <f>-IF(Tabla14[[#This Row],[DIAS HABILES O MORA]]&lt;0,(Tabla14[[#This Row],[VALOR PRESTAMO]]*Tabla14[[#This Row],[% INTERES ]]/30*U5657))+Tabla14[[#This Row],[VALOR CUOTAS]]</f>
        <v>#VALUE!</v>
      </c>
      <c r="S5657" s="88">
        <f>-IF(Tabla14[[#This Row],[DIAS HABILES O MORA]]&lt;0,(Tabla14[[#This Row],[VALOR PRESTAMO]]*Tabla14[[#This Row],[% INTERES ]]/30*U5657))</f>
        <v>0</v>
      </c>
      <c r="T5657" s="53" t="e">
        <f>Tabla14[[#This Row],[DEUDA CAPITAL]]+Tabla14[[#This Row],[INTERES  CUOTA]]</f>
        <v>#NUM!</v>
      </c>
      <c r="U5657" s="61" t="str">
        <f t="shared" si="899"/>
        <v/>
      </c>
    </row>
    <row r="5658" spans="9:21" ht="24.75" customHeight="1" x14ac:dyDescent="0.35">
      <c r="I5658" s="42">
        <f t="shared" si="890"/>
        <v>0</v>
      </c>
      <c r="J5658" s="65" t="e">
        <f t="shared" si="891"/>
        <v>#NUM!</v>
      </c>
      <c r="K5658" s="83" t="e">
        <f t="shared" si="892"/>
        <v>#NUM!</v>
      </c>
      <c r="L5658" s="83">
        <f t="shared" si="893"/>
        <v>0</v>
      </c>
      <c r="M5658" s="110" t="str">
        <f t="shared" si="894"/>
        <v/>
      </c>
      <c r="N5658" s="51" t="str">
        <f t="shared" si="895"/>
        <v/>
      </c>
      <c r="O5658" s="52" t="str">
        <f t="shared" si="896"/>
        <v/>
      </c>
      <c r="P5658" s="88">
        <f t="shared" si="897"/>
        <v>0</v>
      </c>
      <c r="Q5658" s="88">
        <f t="shared" si="898"/>
        <v>0</v>
      </c>
      <c r="R5658" s="88" t="e">
        <f>-IF(Tabla14[[#This Row],[DIAS HABILES O MORA]]&lt;0,(Tabla14[[#This Row],[VALOR PRESTAMO]]*Tabla14[[#This Row],[% INTERES ]]/30*U5658))+Tabla14[[#This Row],[VALOR CUOTAS]]</f>
        <v>#VALUE!</v>
      </c>
      <c r="S5658" s="88">
        <f>-IF(Tabla14[[#This Row],[DIAS HABILES O MORA]]&lt;0,(Tabla14[[#This Row],[VALOR PRESTAMO]]*Tabla14[[#This Row],[% INTERES ]]/30*U5658))</f>
        <v>0</v>
      </c>
      <c r="T5658" s="53" t="e">
        <f>Tabla14[[#This Row],[DEUDA CAPITAL]]+Tabla14[[#This Row],[INTERES  CUOTA]]</f>
        <v>#NUM!</v>
      </c>
      <c r="U5658" s="61" t="str">
        <f t="shared" si="899"/>
        <v/>
      </c>
    </row>
    <row r="5659" spans="9:21" ht="24.75" customHeight="1" x14ac:dyDescent="0.35">
      <c r="I5659" s="42">
        <f t="shared" si="890"/>
        <v>0</v>
      </c>
      <c r="J5659" s="65" t="e">
        <f t="shared" si="891"/>
        <v>#NUM!</v>
      </c>
      <c r="K5659" s="83" t="e">
        <f t="shared" si="892"/>
        <v>#NUM!</v>
      </c>
      <c r="L5659" s="83">
        <f t="shared" si="893"/>
        <v>0</v>
      </c>
      <c r="M5659" s="110" t="str">
        <f t="shared" si="894"/>
        <v/>
      </c>
      <c r="N5659" s="51" t="str">
        <f t="shared" si="895"/>
        <v/>
      </c>
      <c r="O5659" s="52" t="str">
        <f t="shared" si="896"/>
        <v/>
      </c>
      <c r="P5659" s="88">
        <f t="shared" si="897"/>
        <v>0</v>
      </c>
      <c r="Q5659" s="88">
        <f t="shared" si="898"/>
        <v>0</v>
      </c>
      <c r="R5659" s="88" t="e">
        <f>-IF(Tabla14[[#This Row],[DIAS HABILES O MORA]]&lt;0,(Tabla14[[#This Row],[VALOR PRESTAMO]]*Tabla14[[#This Row],[% INTERES ]]/30*U5659))+Tabla14[[#This Row],[VALOR CUOTAS]]</f>
        <v>#VALUE!</v>
      </c>
      <c r="S5659" s="88">
        <f>-IF(Tabla14[[#This Row],[DIAS HABILES O MORA]]&lt;0,(Tabla14[[#This Row],[VALOR PRESTAMO]]*Tabla14[[#This Row],[% INTERES ]]/30*U5659))</f>
        <v>0</v>
      </c>
      <c r="T5659" s="53" t="e">
        <f>Tabla14[[#This Row],[DEUDA CAPITAL]]+Tabla14[[#This Row],[INTERES  CUOTA]]</f>
        <v>#NUM!</v>
      </c>
      <c r="U5659" s="61" t="str">
        <f t="shared" si="899"/>
        <v/>
      </c>
    </row>
    <row r="5660" spans="9:21" ht="24.75" customHeight="1" x14ac:dyDescent="0.35">
      <c r="I5660" s="42">
        <f t="shared" si="890"/>
        <v>0</v>
      </c>
      <c r="J5660" s="65" t="e">
        <f t="shared" si="891"/>
        <v>#NUM!</v>
      </c>
      <c r="K5660" s="83" t="e">
        <f t="shared" si="892"/>
        <v>#NUM!</v>
      </c>
      <c r="L5660" s="83">
        <f t="shared" si="893"/>
        <v>0</v>
      </c>
      <c r="M5660" s="110" t="str">
        <f t="shared" si="894"/>
        <v/>
      </c>
      <c r="N5660" s="51" t="str">
        <f t="shared" si="895"/>
        <v/>
      </c>
      <c r="O5660" s="52" t="str">
        <f t="shared" si="896"/>
        <v/>
      </c>
      <c r="P5660" s="88">
        <f t="shared" si="897"/>
        <v>0</v>
      </c>
      <c r="Q5660" s="88">
        <f t="shared" si="898"/>
        <v>0</v>
      </c>
      <c r="R5660" s="88" t="e">
        <f>-IF(Tabla14[[#This Row],[DIAS HABILES O MORA]]&lt;0,(Tabla14[[#This Row],[VALOR PRESTAMO]]*Tabla14[[#This Row],[% INTERES ]]/30*U5660))+Tabla14[[#This Row],[VALOR CUOTAS]]</f>
        <v>#VALUE!</v>
      </c>
      <c r="S5660" s="88">
        <f>-IF(Tabla14[[#This Row],[DIAS HABILES O MORA]]&lt;0,(Tabla14[[#This Row],[VALOR PRESTAMO]]*Tabla14[[#This Row],[% INTERES ]]/30*U5660))</f>
        <v>0</v>
      </c>
      <c r="T5660" s="53" t="e">
        <f>Tabla14[[#This Row],[DEUDA CAPITAL]]+Tabla14[[#This Row],[INTERES  CUOTA]]</f>
        <v>#NUM!</v>
      </c>
      <c r="U5660" s="61" t="str">
        <f t="shared" si="899"/>
        <v/>
      </c>
    </row>
    <row r="5661" spans="9:21" ht="24.75" customHeight="1" x14ac:dyDescent="0.35">
      <c r="I5661" s="42">
        <f t="shared" si="890"/>
        <v>0</v>
      </c>
      <c r="J5661" s="65" t="e">
        <f t="shared" si="891"/>
        <v>#NUM!</v>
      </c>
      <c r="K5661" s="83" t="e">
        <f t="shared" si="892"/>
        <v>#NUM!</v>
      </c>
      <c r="L5661" s="83">
        <f t="shared" si="893"/>
        <v>0</v>
      </c>
      <c r="M5661" s="110" t="str">
        <f t="shared" si="894"/>
        <v/>
      </c>
      <c r="N5661" s="51" t="str">
        <f t="shared" si="895"/>
        <v/>
      </c>
      <c r="O5661" s="52" t="str">
        <f t="shared" si="896"/>
        <v/>
      </c>
      <c r="P5661" s="88">
        <f t="shared" si="897"/>
        <v>0</v>
      </c>
      <c r="Q5661" s="88">
        <f t="shared" si="898"/>
        <v>0</v>
      </c>
      <c r="R5661" s="88" t="e">
        <f>-IF(Tabla14[[#This Row],[DIAS HABILES O MORA]]&lt;0,(Tabla14[[#This Row],[VALOR PRESTAMO]]*Tabla14[[#This Row],[% INTERES ]]/30*U5661))+Tabla14[[#This Row],[VALOR CUOTAS]]</f>
        <v>#VALUE!</v>
      </c>
      <c r="S5661" s="88">
        <f>-IF(Tabla14[[#This Row],[DIAS HABILES O MORA]]&lt;0,(Tabla14[[#This Row],[VALOR PRESTAMO]]*Tabla14[[#This Row],[% INTERES ]]/30*U5661))</f>
        <v>0</v>
      </c>
      <c r="T5661" s="53" t="e">
        <f>Tabla14[[#This Row],[DEUDA CAPITAL]]+Tabla14[[#This Row],[INTERES  CUOTA]]</f>
        <v>#NUM!</v>
      </c>
      <c r="U5661" s="61" t="str">
        <f t="shared" si="899"/>
        <v/>
      </c>
    </row>
    <row r="5662" spans="9:21" ht="24.75" customHeight="1" x14ac:dyDescent="0.35">
      <c r="I5662" s="42">
        <f t="shared" si="890"/>
        <v>0</v>
      </c>
      <c r="J5662" s="65" t="e">
        <f t="shared" si="891"/>
        <v>#NUM!</v>
      </c>
      <c r="K5662" s="83" t="e">
        <f t="shared" si="892"/>
        <v>#NUM!</v>
      </c>
      <c r="L5662" s="83">
        <f t="shared" si="893"/>
        <v>0</v>
      </c>
      <c r="M5662" s="110" t="str">
        <f t="shared" si="894"/>
        <v/>
      </c>
      <c r="N5662" s="51" t="str">
        <f t="shared" si="895"/>
        <v/>
      </c>
      <c r="O5662" s="52" t="str">
        <f t="shared" si="896"/>
        <v/>
      </c>
      <c r="P5662" s="88">
        <f t="shared" si="897"/>
        <v>0</v>
      </c>
      <c r="Q5662" s="88">
        <f t="shared" si="898"/>
        <v>0</v>
      </c>
      <c r="R5662" s="88" t="e">
        <f>-IF(Tabla14[[#This Row],[DIAS HABILES O MORA]]&lt;0,(Tabla14[[#This Row],[VALOR PRESTAMO]]*Tabla14[[#This Row],[% INTERES ]]/30*U5662))+Tabla14[[#This Row],[VALOR CUOTAS]]</f>
        <v>#VALUE!</v>
      </c>
      <c r="S5662" s="88">
        <f>-IF(Tabla14[[#This Row],[DIAS HABILES O MORA]]&lt;0,(Tabla14[[#This Row],[VALOR PRESTAMO]]*Tabla14[[#This Row],[% INTERES ]]/30*U5662))</f>
        <v>0</v>
      </c>
      <c r="T5662" s="53" t="e">
        <f>Tabla14[[#This Row],[DEUDA CAPITAL]]+Tabla14[[#This Row],[INTERES  CUOTA]]</f>
        <v>#NUM!</v>
      </c>
      <c r="U5662" s="61" t="str">
        <f t="shared" si="899"/>
        <v/>
      </c>
    </row>
    <row r="5663" spans="9:21" ht="24.75" customHeight="1" x14ac:dyDescent="0.35">
      <c r="I5663" s="42">
        <f t="shared" si="890"/>
        <v>0</v>
      </c>
      <c r="J5663" s="65" t="e">
        <f t="shared" si="891"/>
        <v>#NUM!</v>
      </c>
      <c r="K5663" s="83" t="e">
        <f t="shared" si="892"/>
        <v>#NUM!</v>
      </c>
      <c r="L5663" s="83">
        <f t="shared" si="893"/>
        <v>0</v>
      </c>
      <c r="M5663" s="110" t="str">
        <f t="shared" si="894"/>
        <v/>
      </c>
      <c r="N5663" s="51" t="str">
        <f t="shared" si="895"/>
        <v/>
      </c>
      <c r="O5663" s="52" t="str">
        <f t="shared" si="896"/>
        <v/>
      </c>
      <c r="P5663" s="88">
        <f t="shared" si="897"/>
        <v>0</v>
      </c>
      <c r="Q5663" s="88">
        <f t="shared" si="898"/>
        <v>0</v>
      </c>
      <c r="R5663" s="88" t="e">
        <f>-IF(Tabla14[[#This Row],[DIAS HABILES O MORA]]&lt;0,(Tabla14[[#This Row],[VALOR PRESTAMO]]*Tabla14[[#This Row],[% INTERES ]]/30*U5663))+Tabla14[[#This Row],[VALOR CUOTAS]]</f>
        <v>#VALUE!</v>
      </c>
      <c r="S5663" s="88">
        <f>-IF(Tabla14[[#This Row],[DIAS HABILES O MORA]]&lt;0,(Tabla14[[#This Row],[VALOR PRESTAMO]]*Tabla14[[#This Row],[% INTERES ]]/30*U5663))</f>
        <v>0</v>
      </c>
      <c r="T5663" s="53" t="e">
        <f>Tabla14[[#This Row],[DEUDA CAPITAL]]+Tabla14[[#This Row],[INTERES  CUOTA]]</f>
        <v>#NUM!</v>
      </c>
      <c r="U5663" s="61" t="str">
        <f t="shared" si="899"/>
        <v/>
      </c>
    </row>
    <row r="5664" spans="9:21" ht="24.75" customHeight="1" x14ac:dyDescent="0.35">
      <c r="I5664" s="42">
        <f t="shared" si="890"/>
        <v>0</v>
      </c>
      <c r="J5664" s="65" t="e">
        <f t="shared" si="891"/>
        <v>#NUM!</v>
      </c>
      <c r="K5664" s="83" t="e">
        <f t="shared" si="892"/>
        <v>#NUM!</v>
      </c>
      <c r="L5664" s="83">
        <f t="shared" si="893"/>
        <v>0</v>
      </c>
      <c r="M5664" s="110" t="str">
        <f t="shared" si="894"/>
        <v/>
      </c>
      <c r="N5664" s="51" t="str">
        <f t="shared" si="895"/>
        <v/>
      </c>
      <c r="O5664" s="52" t="str">
        <f t="shared" si="896"/>
        <v/>
      </c>
      <c r="P5664" s="88">
        <f t="shared" si="897"/>
        <v>0</v>
      </c>
      <c r="Q5664" s="88">
        <f t="shared" si="898"/>
        <v>0</v>
      </c>
      <c r="R5664" s="88" t="e">
        <f>-IF(Tabla14[[#This Row],[DIAS HABILES O MORA]]&lt;0,(Tabla14[[#This Row],[VALOR PRESTAMO]]*Tabla14[[#This Row],[% INTERES ]]/30*U5664))+Tabla14[[#This Row],[VALOR CUOTAS]]</f>
        <v>#VALUE!</v>
      </c>
      <c r="S5664" s="88">
        <f>-IF(Tabla14[[#This Row],[DIAS HABILES O MORA]]&lt;0,(Tabla14[[#This Row],[VALOR PRESTAMO]]*Tabla14[[#This Row],[% INTERES ]]/30*U5664))</f>
        <v>0</v>
      </c>
      <c r="T5664" s="53" t="e">
        <f>Tabla14[[#This Row],[DEUDA CAPITAL]]+Tabla14[[#This Row],[INTERES  CUOTA]]</f>
        <v>#NUM!</v>
      </c>
      <c r="U5664" s="61" t="str">
        <f t="shared" si="899"/>
        <v/>
      </c>
    </row>
    <row r="5665" spans="9:21" ht="24.75" customHeight="1" x14ac:dyDescent="0.35">
      <c r="I5665" s="42">
        <f t="shared" si="890"/>
        <v>0</v>
      </c>
      <c r="J5665" s="65" t="e">
        <f t="shared" si="891"/>
        <v>#NUM!</v>
      </c>
      <c r="K5665" s="83" t="e">
        <f t="shared" si="892"/>
        <v>#NUM!</v>
      </c>
      <c r="L5665" s="83">
        <f t="shared" si="893"/>
        <v>0</v>
      </c>
      <c r="M5665" s="110" t="str">
        <f t="shared" si="894"/>
        <v/>
      </c>
      <c r="N5665" s="51" t="str">
        <f t="shared" si="895"/>
        <v/>
      </c>
      <c r="O5665" s="52" t="str">
        <f t="shared" si="896"/>
        <v/>
      </c>
      <c r="P5665" s="88">
        <f t="shared" si="897"/>
        <v>0</v>
      </c>
      <c r="Q5665" s="88">
        <f t="shared" si="898"/>
        <v>0</v>
      </c>
      <c r="R5665" s="88" t="e">
        <f>-IF(Tabla14[[#This Row],[DIAS HABILES O MORA]]&lt;0,(Tabla14[[#This Row],[VALOR PRESTAMO]]*Tabla14[[#This Row],[% INTERES ]]/30*U5665))+Tabla14[[#This Row],[VALOR CUOTAS]]</f>
        <v>#VALUE!</v>
      </c>
      <c r="S5665" s="88">
        <f>-IF(Tabla14[[#This Row],[DIAS HABILES O MORA]]&lt;0,(Tabla14[[#This Row],[VALOR PRESTAMO]]*Tabla14[[#This Row],[% INTERES ]]/30*U5665))</f>
        <v>0</v>
      </c>
      <c r="T5665" s="53" t="e">
        <f>Tabla14[[#This Row],[DEUDA CAPITAL]]+Tabla14[[#This Row],[INTERES  CUOTA]]</f>
        <v>#NUM!</v>
      </c>
      <c r="U5665" s="61" t="str">
        <f t="shared" si="899"/>
        <v/>
      </c>
    </row>
    <row r="5666" spans="9:21" ht="24.75" customHeight="1" x14ac:dyDescent="0.35">
      <c r="I5666" s="42">
        <f t="shared" si="890"/>
        <v>0</v>
      </c>
      <c r="J5666" s="65" t="e">
        <f t="shared" si="891"/>
        <v>#NUM!</v>
      </c>
      <c r="K5666" s="83" t="e">
        <f t="shared" si="892"/>
        <v>#NUM!</v>
      </c>
      <c r="L5666" s="83">
        <f t="shared" si="893"/>
        <v>0</v>
      </c>
      <c r="M5666" s="110" t="str">
        <f t="shared" si="894"/>
        <v/>
      </c>
      <c r="N5666" s="51" t="str">
        <f t="shared" si="895"/>
        <v/>
      </c>
      <c r="O5666" s="52" t="str">
        <f t="shared" si="896"/>
        <v/>
      </c>
      <c r="P5666" s="88">
        <f t="shared" si="897"/>
        <v>0</v>
      </c>
      <c r="Q5666" s="88">
        <f t="shared" si="898"/>
        <v>0</v>
      </c>
      <c r="R5666" s="88" t="e">
        <f>-IF(Tabla14[[#This Row],[DIAS HABILES O MORA]]&lt;0,(Tabla14[[#This Row],[VALOR PRESTAMO]]*Tabla14[[#This Row],[% INTERES ]]/30*U5666))+Tabla14[[#This Row],[VALOR CUOTAS]]</f>
        <v>#VALUE!</v>
      </c>
      <c r="S5666" s="88">
        <f>-IF(Tabla14[[#This Row],[DIAS HABILES O MORA]]&lt;0,(Tabla14[[#This Row],[VALOR PRESTAMO]]*Tabla14[[#This Row],[% INTERES ]]/30*U5666))</f>
        <v>0</v>
      </c>
      <c r="T5666" s="53" t="e">
        <f>Tabla14[[#This Row],[DEUDA CAPITAL]]+Tabla14[[#This Row],[INTERES  CUOTA]]</f>
        <v>#NUM!</v>
      </c>
      <c r="U5666" s="61" t="str">
        <f t="shared" si="899"/>
        <v/>
      </c>
    </row>
    <row r="5667" spans="9:21" ht="24.75" customHeight="1" x14ac:dyDescent="0.35">
      <c r="I5667" s="42">
        <f t="shared" si="890"/>
        <v>0</v>
      </c>
      <c r="J5667" s="65" t="e">
        <f t="shared" si="891"/>
        <v>#NUM!</v>
      </c>
      <c r="K5667" s="83" t="e">
        <f t="shared" si="892"/>
        <v>#NUM!</v>
      </c>
      <c r="L5667" s="83">
        <f t="shared" si="893"/>
        <v>0</v>
      </c>
      <c r="M5667" s="110" t="str">
        <f t="shared" si="894"/>
        <v/>
      </c>
      <c r="N5667" s="51" t="str">
        <f t="shared" si="895"/>
        <v/>
      </c>
      <c r="O5667" s="52" t="str">
        <f t="shared" si="896"/>
        <v/>
      </c>
      <c r="P5667" s="88">
        <f t="shared" si="897"/>
        <v>0</v>
      </c>
      <c r="Q5667" s="88">
        <f t="shared" si="898"/>
        <v>0</v>
      </c>
      <c r="R5667" s="88" t="e">
        <f>-IF(Tabla14[[#This Row],[DIAS HABILES O MORA]]&lt;0,(Tabla14[[#This Row],[VALOR PRESTAMO]]*Tabla14[[#This Row],[% INTERES ]]/30*U5667))+Tabla14[[#This Row],[VALOR CUOTAS]]</f>
        <v>#VALUE!</v>
      </c>
      <c r="S5667" s="88">
        <f>-IF(Tabla14[[#This Row],[DIAS HABILES O MORA]]&lt;0,(Tabla14[[#This Row],[VALOR PRESTAMO]]*Tabla14[[#This Row],[% INTERES ]]/30*U5667))</f>
        <v>0</v>
      </c>
      <c r="T5667" s="53" t="e">
        <f>Tabla14[[#This Row],[DEUDA CAPITAL]]+Tabla14[[#This Row],[INTERES  CUOTA]]</f>
        <v>#NUM!</v>
      </c>
      <c r="U5667" s="61" t="str">
        <f t="shared" si="899"/>
        <v/>
      </c>
    </row>
    <row r="5668" spans="9:21" ht="24.75" customHeight="1" x14ac:dyDescent="0.35">
      <c r="I5668" s="42">
        <f t="shared" si="890"/>
        <v>0</v>
      </c>
      <c r="J5668" s="65" t="e">
        <f t="shared" si="891"/>
        <v>#NUM!</v>
      </c>
      <c r="K5668" s="83" t="e">
        <f t="shared" si="892"/>
        <v>#NUM!</v>
      </c>
      <c r="L5668" s="83">
        <f t="shared" si="893"/>
        <v>0</v>
      </c>
      <c r="M5668" s="110" t="str">
        <f t="shared" si="894"/>
        <v/>
      </c>
      <c r="N5668" s="51" t="str">
        <f t="shared" si="895"/>
        <v/>
      </c>
      <c r="O5668" s="52" t="str">
        <f t="shared" si="896"/>
        <v/>
      </c>
      <c r="P5668" s="88">
        <f t="shared" si="897"/>
        <v>0</v>
      </c>
      <c r="Q5668" s="88">
        <f t="shared" si="898"/>
        <v>0</v>
      </c>
      <c r="R5668" s="88" t="e">
        <f>-IF(Tabla14[[#This Row],[DIAS HABILES O MORA]]&lt;0,(Tabla14[[#This Row],[VALOR PRESTAMO]]*Tabla14[[#This Row],[% INTERES ]]/30*U5668))+Tabla14[[#This Row],[VALOR CUOTAS]]</f>
        <v>#VALUE!</v>
      </c>
      <c r="S5668" s="88">
        <f>-IF(Tabla14[[#This Row],[DIAS HABILES O MORA]]&lt;0,(Tabla14[[#This Row],[VALOR PRESTAMO]]*Tabla14[[#This Row],[% INTERES ]]/30*U5668))</f>
        <v>0</v>
      </c>
      <c r="T5668" s="53" t="e">
        <f>Tabla14[[#This Row],[DEUDA CAPITAL]]+Tabla14[[#This Row],[INTERES  CUOTA]]</f>
        <v>#NUM!</v>
      </c>
      <c r="U5668" s="61" t="str">
        <f t="shared" si="899"/>
        <v/>
      </c>
    </row>
    <row r="5669" spans="9:21" ht="24.75" customHeight="1" x14ac:dyDescent="0.35">
      <c r="I5669" s="42">
        <f t="shared" si="890"/>
        <v>0</v>
      </c>
      <c r="J5669" s="65" t="e">
        <f t="shared" si="891"/>
        <v>#NUM!</v>
      </c>
      <c r="K5669" s="83" t="e">
        <f t="shared" si="892"/>
        <v>#NUM!</v>
      </c>
      <c r="L5669" s="83">
        <f t="shared" si="893"/>
        <v>0</v>
      </c>
      <c r="M5669" s="110" t="str">
        <f t="shared" si="894"/>
        <v/>
      </c>
      <c r="N5669" s="51" t="str">
        <f t="shared" si="895"/>
        <v/>
      </c>
      <c r="O5669" s="52" t="str">
        <f t="shared" si="896"/>
        <v/>
      </c>
      <c r="P5669" s="88">
        <f t="shared" si="897"/>
        <v>0</v>
      </c>
      <c r="Q5669" s="88">
        <f t="shared" si="898"/>
        <v>0</v>
      </c>
      <c r="R5669" s="88" t="e">
        <f>-IF(Tabla14[[#This Row],[DIAS HABILES O MORA]]&lt;0,(Tabla14[[#This Row],[VALOR PRESTAMO]]*Tabla14[[#This Row],[% INTERES ]]/30*U5669))+Tabla14[[#This Row],[VALOR CUOTAS]]</f>
        <v>#VALUE!</v>
      </c>
      <c r="S5669" s="88">
        <f>-IF(Tabla14[[#This Row],[DIAS HABILES O MORA]]&lt;0,(Tabla14[[#This Row],[VALOR PRESTAMO]]*Tabla14[[#This Row],[% INTERES ]]/30*U5669))</f>
        <v>0</v>
      </c>
      <c r="T5669" s="53" t="e">
        <f>Tabla14[[#This Row],[DEUDA CAPITAL]]+Tabla14[[#This Row],[INTERES  CUOTA]]</f>
        <v>#NUM!</v>
      </c>
      <c r="U5669" s="61" t="str">
        <f t="shared" si="899"/>
        <v/>
      </c>
    </row>
    <row r="5670" spans="9:21" ht="24.75" customHeight="1" x14ac:dyDescent="0.35">
      <c r="I5670" s="42">
        <f t="shared" si="890"/>
        <v>0</v>
      </c>
      <c r="J5670" s="65" t="e">
        <f t="shared" si="891"/>
        <v>#NUM!</v>
      </c>
      <c r="K5670" s="83" t="e">
        <f t="shared" si="892"/>
        <v>#NUM!</v>
      </c>
      <c r="L5670" s="83">
        <f t="shared" si="893"/>
        <v>0</v>
      </c>
      <c r="M5670" s="110" t="str">
        <f t="shared" si="894"/>
        <v/>
      </c>
      <c r="N5670" s="51" t="str">
        <f t="shared" si="895"/>
        <v/>
      </c>
      <c r="O5670" s="52" t="str">
        <f t="shared" si="896"/>
        <v/>
      </c>
      <c r="P5670" s="88">
        <f t="shared" si="897"/>
        <v>0</v>
      </c>
      <c r="Q5670" s="88">
        <f t="shared" si="898"/>
        <v>0</v>
      </c>
      <c r="R5670" s="88" t="e">
        <f>-IF(Tabla14[[#This Row],[DIAS HABILES O MORA]]&lt;0,(Tabla14[[#This Row],[VALOR PRESTAMO]]*Tabla14[[#This Row],[% INTERES ]]/30*U5670))+Tabla14[[#This Row],[VALOR CUOTAS]]</f>
        <v>#VALUE!</v>
      </c>
      <c r="S5670" s="88">
        <f>-IF(Tabla14[[#This Row],[DIAS HABILES O MORA]]&lt;0,(Tabla14[[#This Row],[VALOR PRESTAMO]]*Tabla14[[#This Row],[% INTERES ]]/30*U5670))</f>
        <v>0</v>
      </c>
      <c r="T5670" s="53" t="e">
        <f>Tabla14[[#This Row],[DEUDA CAPITAL]]+Tabla14[[#This Row],[INTERES  CUOTA]]</f>
        <v>#NUM!</v>
      </c>
      <c r="U5670" s="61" t="str">
        <f t="shared" si="899"/>
        <v/>
      </c>
    </row>
    <row r="5671" spans="9:21" ht="24.75" customHeight="1" x14ac:dyDescent="0.35">
      <c r="I5671" s="42">
        <f t="shared" si="890"/>
        <v>0</v>
      </c>
      <c r="J5671" s="65" t="e">
        <f t="shared" si="891"/>
        <v>#NUM!</v>
      </c>
      <c r="K5671" s="83" t="e">
        <f t="shared" si="892"/>
        <v>#NUM!</v>
      </c>
      <c r="L5671" s="83">
        <f t="shared" si="893"/>
        <v>0</v>
      </c>
      <c r="M5671" s="110" t="str">
        <f t="shared" si="894"/>
        <v/>
      </c>
      <c r="N5671" s="51" t="str">
        <f t="shared" si="895"/>
        <v/>
      </c>
      <c r="O5671" s="52" t="str">
        <f t="shared" si="896"/>
        <v/>
      </c>
      <c r="P5671" s="88">
        <f t="shared" si="897"/>
        <v>0</v>
      </c>
      <c r="Q5671" s="88">
        <f t="shared" si="898"/>
        <v>0</v>
      </c>
      <c r="R5671" s="88" t="e">
        <f>-IF(Tabla14[[#This Row],[DIAS HABILES O MORA]]&lt;0,(Tabla14[[#This Row],[VALOR PRESTAMO]]*Tabla14[[#This Row],[% INTERES ]]/30*U5671))+Tabla14[[#This Row],[VALOR CUOTAS]]</f>
        <v>#VALUE!</v>
      </c>
      <c r="S5671" s="88">
        <f>-IF(Tabla14[[#This Row],[DIAS HABILES O MORA]]&lt;0,(Tabla14[[#This Row],[VALOR PRESTAMO]]*Tabla14[[#This Row],[% INTERES ]]/30*U5671))</f>
        <v>0</v>
      </c>
      <c r="T5671" s="53" t="e">
        <f>Tabla14[[#This Row],[DEUDA CAPITAL]]+Tabla14[[#This Row],[INTERES  CUOTA]]</f>
        <v>#NUM!</v>
      </c>
      <c r="U5671" s="61" t="str">
        <f t="shared" si="899"/>
        <v/>
      </c>
    </row>
    <row r="5672" spans="9:21" ht="24.75" customHeight="1" x14ac:dyDescent="0.35">
      <c r="I5672" s="42">
        <f t="shared" si="890"/>
        <v>0</v>
      </c>
      <c r="J5672" s="65" t="e">
        <f t="shared" si="891"/>
        <v>#NUM!</v>
      </c>
      <c r="K5672" s="83" t="e">
        <f t="shared" si="892"/>
        <v>#NUM!</v>
      </c>
      <c r="L5672" s="83">
        <f t="shared" si="893"/>
        <v>0</v>
      </c>
      <c r="M5672" s="110" t="str">
        <f t="shared" si="894"/>
        <v/>
      </c>
      <c r="N5672" s="51" t="str">
        <f t="shared" si="895"/>
        <v/>
      </c>
      <c r="O5672" s="52" t="str">
        <f t="shared" si="896"/>
        <v/>
      </c>
      <c r="P5672" s="88">
        <f t="shared" si="897"/>
        <v>0</v>
      </c>
      <c r="Q5672" s="88">
        <f t="shared" si="898"/>
        <v>0</v>
      </c>
      <c r="R5672" s="88" t="e">
        <f>-IF(Tabla14[[#This Row],[DIAS HABILES O MORA]]&lt;0,(Tabla14[[#This Row],[VALOR PRESTAMO]]*Tabla14[[#This Row],[% INTERES ]]/30*U5672))+Tabla14[[#This Row],[VALOR CUOTAS]]</f>
        <v>#VALUE!</v>
      </c>
      <c r="S5672" s="88">
        <f>-IF(Tabla14[[#This Row],[DIAS HABILES O MORA]]&lt;0,(Tabla14[[#This Row],[VALOR PRESTAMO]]*Tabla14[[#This Row],[% INTERES ]]/30*U5672))</f>
        <v>0</v>
      </c>
      <c r="T5672" s="53" t="e">
        <f>Tabla14[[#This Row],[DEUDA CAPITAL]]+Tabla14[[#This Row],[INTERES  CUOTA]]</f>
        <v>#NUM!</v>
      </c>
      <c r="U5672" s="61" t="str">
        <f t="shared" si="899"/>
        <v/>
      </c>
    </row>
    <row r="5673" spans="9:21" ht="24.75" customHeight="1" x14ac:dyDescent="0.35">
      <c r="I5673" s="42">
        <f t="shared" si="890"/>
        <v>0</v>
      </c>
      <c r="J5673" s="65" t="e">
        <f t="shared" si="891"/>
        <v>#NUM!</v>
      </c>
      <c r="K5673" s="83" t="e">
        <f t="shared" si="892"/>
        <v>#NUM!</v>
      </c>
      <c r="L5673" s="83">
        <f t="shared" si="893"/>
        <v>0</v>
      </c>
      <c r="M5673" s="110" t="str">
        <f t="shared" si="894"/>
        <v/>
      </c>
      <c r="N5673" s="51" t="str">
        <f t="shared" si="895"/>
        <v/>
      </c>
      <c r="O5673" s="52" t="str">
        <f t="shared" si="896"/>
        <v/>
      </c>
      <c r="P5673" s="88">
        <f t="shared" si="897"/>
        <v>0</v>
      </c>
      <c r="Q5673" s="88">
        <f t="shared" si="898"/>
        <v>0</v>
      </c>
      <c r="R5673" s="88" t="e">
        <f>-IF(Tabla14[[#This Row],[DIAS HABILES O MORA]]&lt;0,(Tabla14[[#This Row],[VALOR PRESTAMO]]*Tabla14[[#This Row],[% INTERES ]]/30*U5673))+Tabla14[[#This Row],[VALOR CUOTAS]]</f>
        <v>#VALUE!</v>
      </c>
      <c r="S5673" s="88">
        <f>-IF(Tabla14[[#This Row],[DIAS HABILES O MORA]]&lt;0,(Tabla14[[#This Row],[VALOR PRESTAMO]]*Tabla14[[#This Row],[% INTERES ]]/30*U5673))</f>
        <v>0</v>
      </c>
      <c r="T5673" s="53" t="e">
        <f>Tabla14[[#This Row],[DEUDA CAPITAL]]+Tabla14[[#This Row],[INTERES  CUOTA]]</f>
        <v>#NUM!</v>
      </c>
      <c r="U5673" s="61" t="str">
        <f t="shared" si="899"/>
        <v/>
      </c>
    </row>
    <row r="5674" spans="9:21" ht="24.75" customHeight="1" x14ac:dyDescent="0.35">
      <c r="I5674" s="42">
        <f t="shared" si="890"/>
        <v>0</v>
      </c>
      <c r="J5674" s="65" t="e">
        <f t="shared" si="891"/>
        <v>#NUM!</v>
      </c>
      <c r="K5674" s="83" t="e">
        <f t="shared" si="892"/>
        <v>#NUM!</v>
      </c>
      <c r="L5674" s="83">
        <f t="shared" si="893"/>
        <v>0</v>
      </c>
      <c r="M5674" s="110" t="str">
        <f t="shared" si="894"/>
        <v/>
      </c>
      <c r="N5674" s="51" t="str">
        <f t="shared" si="895"/>
        <v/>
      </c>
      <c r="O5674" s="52" t="str">
        <f t="shared" si="896"/>
        <v/>
      </c>
      <c r="P5674" s="88">
        <f t="shared" si="897"/>
        <v>0</v>
      </c>
      <c r="Q5674" s="88">
        <f t="shared" si="898"/>
        <v>0</v>
      </c>
      <c r="R5674" s="88" t="e">
        <f>-IF(Tabla14[[#This Row],[DIAS HABILES O MORA]]&lt;0,(Tabla14[[#This Row],[VALOR PRESTAMO]]*Tabla14[[#This Row],[% INTERES ]]/30*U5674))+Tabla14[[#This Row],[VALOR CUOTAS]]</f>
        <v>#VALUE!</v>
      </c>
      <c r="S5674" s="88">
        <f>-IF(Tabla14[[#This Row],[DIAS HABILES O MORA]]&lt;0,(Tabla14[[#This Row],[VALOR PRESTAMO]]*Tabla14[[#This Row],[% INTERES ]]/30*U5674))</f>
        <v>0</v>
      </c>
      <c r="T5674" s="53" t="e">
        <f>Tabla14[[#This Row],[DEUDA CAPITAL]]+Tabla14[[#This Row],[INTERES  CUOTA]]</f>
        <v>#NUM!</v>
      </c>
      <c r="U5674" s="61" t="str">
        <f t="shared" si="899"/>
        <v/>
      </c>
    </row>
    <row r="5675" spans="9:21" ht="24.75" customHeight="1" x14ac:dyDescent="0.35">
      <c r="I5675" s="42">
        <f t="shared" si="890"/>
        <v>0</v>
      </c>
      <c r="J5675" s="65" t="e">
        <f t="shared" si="891"/>
        <v>#NUM!</v>
      </c>
      <c r="K5675" s="83" t="e">
        <f t="shared" si="892"/>
        <v>#NUM!</v>
      </c>
      <c r="L5675" s="83">
        <f t="shared" si="893"/>
        <v>0</v>
      </c>
      <c r="M5675" s="110" t="str">
        <f t="shared" si="894"/>
        <v/>
      </c>
      <c r="N5675" s="51" t="str">
        <f t="shared" si="895"/>
        <v/>
      </c>
      <c r="O5675" s="52" t="str">
        <f t="shared" si="896"/>
        <v/>
      </c>
      <c r="P5675" s="88">
        <f t="shared" si="897"/>
        <v>0</v>
      </c>
      <c r="Q5675" s="88">
        <f t="shared" si="898"/>
        <v>0</v>
      </c>
      <c r="R5675" s="88" t="e">
        <f>-IF(Tabla14[[#This Row],[DIAS HABILES O MORA]]&lt;0,(Tabla14[[#This Row],[VALOR PRESTAMO]]*Tabla14[[#This Row],[% INTERES ]]/30*U5675))+Tabla14[[#This Row],[VALOR CUOTAS]]</f>
        <v>#VALUE!</v>
      </c>
      <c r="S5675" s="88">
        <f>-IF(Tabla14[[#This Row],[DIAS HABILES O MORA]]&lt;0,(Tabla14[[#This Row],[VALOR PRESTAMO]]*Tabla14[[#This Row],[% INTERES ]]/30*U5675))</f>
        <v>0</v>
      </c>
      <c r="T5675" s="53" t="e">
        <f>Tabla14[[#This Row],[DEUDA CAPITAL]]+Tabla14[[#This Row],[INTERES  CUOTA]]</f>
        <v>#NUM!</v>
      </c>
      <c r="U5675" s="61" t="str">
        <f t="shared" si="899"/>
        <v/>
      </c>
    </row>
    <row r="5676" spans="9:21" ht="24.75" customHeight="1" x14ac:dyDescent="0.35">
      <c r="I5676" s="42">
        <f t="shared" si="890"/>
        <v>0</v>
      </c>
      <c r="J5676" s="65" t="e">
        <f t="shared" si="891"/>
        <v>#NUM!</v>
      </c>
      <c r="K5676" s="83" t="e">
        <f t="shared" si="892"/>
        <v>#NUM!</v>
      </c>
      <c r="L5676" s="83">
        <f t="shared" si="893"/>
        <v>0</v>
      </c>
      <c r="M5676" s="110" t="str">
        <f t="shared" si="894"/>
        <v/>
      </c>
      <c r="N5676" s="51" t="str">
        <f t="shared" si="895"/>
        <v/>
      </c>
      <c r="O5676" s="52" t="str">
        <f t="shared" si="896"/>
        <v/>
      </c>
      <c r="P5676" s="88">
        <f t="shared" si="897"/>
        <v>0</v>
      </c>
      <c r="Q5676" s="88">
        <f t="shared" si="898"/>
        <v>0</v>
      </c>
      <c r="R5676" s="88" t="e">
        <f>-IF(Tabla14[[#This Row],[DIAS HABILES O MORA]]&lt;0,(Tabla14[[#This Row],[VALOR PRESTAMO]]*Tabla14[[#This Row],[% INTERES ]]/30*U5676))+Tabla14[[#This Row],[VALOR CUOTAS]]</f>
        <v>#VALUE!</v>
      </c>
      <c r="S5676" s="88">
        <f>-IF(Tabla14[[#This Row],[DIAS HABILES O MORA]]&lt;0,(Tabla14[[#This Row],[VALOR PRESTAMO]]*Tabla14[[#This Row],[% INTERES ]]/30*U5676))</f>
        <v>0</v>
      </c>
      <c r="T5676" s="53" t="e">
        <f>Tabla14[[#This Row],[DEUDA CAPITAL]]+Tabla14[[#This Row],[INTERES  CUOTA]]</f>
        <v>#NUM!</v>
      </c>
      <c r="U5676" s="61" t="str">
        <f t="shared" si="899"/>
        <v/>
      </c>
    </row>
    <row r="5677" spans="9:21" ht="24.75" customHeight="1" x14ac:dyDescent="0.35">
      <c r="I5677" s="42">
        <f t="shared" si="890"/>
        <v>0</v>
      </c>
      <c r="J5677" s="65" t="e">
        <f t="shared" si="891"/>
        <v>#NUM!</v>
      </c>
      <c r="K5677" s="83" t="e">
        <f t="shared" si="892"/>
        <v>#NUM!</v>
      </c>
      <c r="L5677" s="83">
        <f t="shared" si="893"/>
        <v>0</v>
      </c>
      <c r="M5677" s="110" t="str">
        <f t="shared" si="894"/>
        <v/>
      </c>
      <c r="N5677" s="51" t="str">
        <f t="shared" si="895"/>
        <v/>
      </c>
      <c r="O5677" s="52" t="str">
        <f t="shared" si="896"/>
        <v/>
      </c>
      <c r="P5677" s="88">
        <f t="shared" si="897"/>
        <v>0</v>
      </c>
      <c r="Q5677" s="88">
        <f t="shared" si="898"/>
        <v>0</v>
      </c>
      <c r="R5677" s="88" t="e">
        <f>-IF(Tabla14[[#This Row],[DIAS HABILES O MORA]]&lt;0,(Tabla14[[#This Row],[VALOR PRESTAMO]]*Tabla14[[#This Row],[% INTERES ]]/30*U5677))+Tabla14[[#This Row],[VALOR CUOTAS]]</f>
        <v>#VALUE!</v>
      </c>
      <c r="S5677" s="88">
        <f>-IF(Tabla14[[#This Row],[DIAS HABILES O MORA]]&lt;0,(Tabla14[[#This Row],[VALOR PRESTAMO]]*Tabla14[[#This Row],[% INTERES ]]/30*U5677))</f>
        <v>0</v>
      </c>
      <c r="T5677" s="53" t="e">
        <f>Tabla14[[#This Row],[DEUDA CAPITAL]]+Tabla14[[#This Row],[INTERES  CUOTA]]</f>
        <v>#NUM!</v>
      </c>
      <c r="U5677" s="61" t="str">
        <f t="shared" si="899"/>
        <v/>
      </c>
    </row>
    <row r="5678" spans="9:21" ht="24.75" customHeight="1" x14ac:dyDescent="0.35">
      <c r="I5678" s="42">
        <f t="shared" si="890"/>
        <v>0</v>
      </c>
      <c r="J5678" s="65" t="e">
        <f t="shared" si="891"/>
        <v>#NUM!</v>
      </c>
      <c r="K5678" s="83" t="e">
        <f t="shared" si="892"/>
        <v>#NUM!</v>
      </c>
      <c r="L5678" s="83">
        <f t="shared" si="893"/>
        <v>0</v>
      </c>
      <c r="M5678" s="110" t="str">
        <f t="shared" si="894"/>
        <v/>
      </c>
      <c r="N5678" s="51" t="str">
        <f t="shared" si="895"/>
        <v/>
      </c>
      <c r="O5678" s="52" t="str">
        <f t="shared" si="896"/>
        <v/>
      </c>
      <c r="P5678" s="88">
        <f t="shared" si="897"/>
        <v>0</v>
      </c>
      <c r="Q5678" s="88">
        <f t="shared" si="898"/>
        <v>0</v>
      </c>
      <c r="R5678" s="88" t="e">
        <f>-IF(Tabla14[[#This Row],[DIAS HABILES O MORA]]&lt;0,(Tabla14[[#This Row],[VALOR PRESTAMO]]*Tabla14[[#This Row],[% INTERES ]]/30*U5678))+Tabla14[[#This Row],[VALOR CUOTAS]]</f>
        <v>#VALUE!</v>
      </c>
      <c r="S5678" s="88">
        <f>-IF(Tabla14[[#This Row],[DIAS HABILES O MORA]]&lt;0,(Tabla14[[#This Row],[VALOR PRESTAMO]]*Tabla14[[#This Row],[% INTERES ]]/30*U5678))</f>
        <v>0</v>
      </c>
      <c r="T5678" s="53" t="e">
        <f>Tabla14[[#This Row],[DEUDA CAPITAL]]+Tabla14[[#This Row],[INTERES  CUOTA]]</f>
        <v>#NUM!</v>
      </c>
      <c r="U5678" s="61" t="str">
        <f t="shared" si="899"/>
        <v/>
      </c>
    </row>
    <row r="5679" spans="9:21" ht="24.75" customHeight="1" x14ac:dyDescent="0.35">
      <c r="I5679" s="42">
        <f t="shared" si="890"/>
        <v>0</v>
      </c>
      <c r="J5679" s="65" t="e">
        <f t="shared" si="891"/>
        <v>#NUM!</v>
      </c>
      <c r="K5679" s="83" t="e">
        <f t="shared" si="892"/>
        <v>#NUM!</v>
      </c>
      <c r="L5679" s="83">
        <f t="shared" si="893"/>
        <v>0</v>
      </c>
      <c r="M5679" s="110" t="str">
        <f t="shared" si="894"/>
        <v/>
      </c>
      <c r="N5679" s="51" t="str">
        <f t="shared" si="895"/>
        <v/>
      </c>
      <c r="O5679" s="52" t="str">
        <f t="shared" si="896"/>
        <v/>
      </c>
      <c r="P5679" s="88">
        <f t="shared" si="897"/>
        <v>0</v>
      </c>
      <c r="Q5679" s="88">
        <f t="shared" si="898"/>
        <v>0</v>
      </c>
      <c r="R5679" s="88" t="e">
        <f>-IF(Tabla14[[#This Row],[DIAS HABILES O MORA]]&lt;0,(Tabla14[[#This Row],[VALOR PRESTAMO]]*Tabla14[[#This Row],[% INTERES ]]/30*U5679))+Tabla14[[#This Row],[VALOR CUOTAS]]</f>
        <v>#VALUE!</v>
      </c>
      <c r="S5679" s="88">
        <f>-IF(Tabla14[[#This Row],[DIAS HABILES O MORA]]&lt;0,(Tabla14[[#This Row],[VALOR PRESTAMO]]*Tabla14[[#This Row],[% INTERES ]]/30*U5679))</f>
        <v>0</v>
      </c>
      <c r="T5679" s="53" t="e">
        <f>Tabla14[[#This Row],[DEUDA CAPITAL]]+Tabla14[[#This Row],[INTERES  CUOTA]]</f>
        <v>#NUM!</v>
      </c>
      <c r="U5679" s="61" t="str">
        <f t="shared" si="899"/>
        <v/>
      </c>
    </row>
    <row r="5680" spans="9:21" ht="24.75" customHeight="1" x14ac:dyDescent="0.35">
      <c r="I5680" s="42">
        <f t="shared" si="890"/>
        <v>0</v>
      </c>
      <c r="J5680" s="65" t="e">
        <f t="shared" si="891"/>
        <v>#NUM!</v>
      </c>
      <c r="K5680" s="83" t="e">
        <f t="shared" si="892"/>
        <v>#NUM!</v>
      </c>
      <c r="L5680" s="83">
        <f t="shared" si="893"/>
        <v>0</v>
      </c>
      <c r="M5680" s="110" t="str">
        <f t="shared" si="894"/>
        <v/>
      </c>
      <c r="N5680" s="51" t="str">
        <f t="shared" si="895"/>
        <v/>
      </c>
      <c r="O5680" s="52" t="str">
        <f t="shared" si="896"/>
        <v/>
      </c>
      <c r="P5680" s="88">
        <f t="shared" si="897"/>
        <v>0</v>
      </c>
      <c r="Q5680" s="88">
        <f t="shared" si="898"/>
        <v>0</v>
      </c>
      <c r="R5680" s="88" t="e">
        <f>-IF(Tabla14[[#This Row],[DIAS HABILES O MORA]]&lt;0,(Tabla14[[#This Row],[VALOR PRESTAMO]]*Tabla14[[#This Row],[% INTERES ]]/30*U5680))+Tabla14[[#This Row],[VALOR CUOTAS]]</f>
        <v>#VALUE!</v>
      </c>
      <c r="S5680" s="88">
        <f>-IF(Tabla14[[#This Row],[DIAS HABILES O MORA]]&lt;0,(Tabla14[[#This Row],[VALOR PRESTAMO]]*Tabla14[[#This Row],[% INTERES ]]/30*U5680))</f>
        <v>0</v>
      </c>
      <c r="T5680" s="53" t="e">
        <f>Tabla14[[#This Row],[DEUDA CAPITAL]]+Tabla14[[#This Row],[INTERES  CUOTA]]</f>
        <v>#NUM!</v>
      </c>
      <c r="U5680" s="61" t="str">
        <f t="shared" si="899"/>
        <v/>
      </c>
    </row>
    <row r="5681" spans="9:21" ht="24.75" customHeight="1" x14ac:dyDescent="0.35">
      <c r="I5681" s="42">
        <f t="shared" si="890"/>
        <v>0</v>
      </c>
      <c r="J5681" s="65" t="e">
        <f t="shared" si="891"/>
        <v>#NUM!</v>
      </c>
      <c r="K5681" s="83" t="e">
        <f t="shared" si="892"/>
        <v>#NUM!</v>
      </c>
      <c r="L5681" s="83">
        <f t="shared" si="893"/>
        <v>0</v>
      </c>
      <c r="M5681" s="110" t="str">
        <f t="shared" si="894"/>
        <v/>
      </c>
      <c r="N5681" s="51" t="str">
        <f t="shared" si="895"/>
        <v/>
      </c>
      <c r="O5681" s="52" t="str">
        <f t="shared" si="896"/>
        <v/>
      </c>
      <c r="P5681" s="88">
        <f t="shared" si="897"/>
        <v>0</v>
      </c>
      <c r="Q5681" s="88">
        <f t="shared" si="898"/>
        <v>0</v>
      </c>
      <c r="R5681" s="88" t="e">
        <f>-IF(Tabla14[[#This Row],[DIAS HABILES O MORA]]&lt;0,(Tabla14[[#This Row],[VALOR PRESTAMO]]*Tabla14[[#This Row],[% INTERES ]]/30*U5681))+Tabla14[[#This Row],[VALOR CUOTAS]]</f>
        <v>#VALUE!</v>
      </c>
      <c r="S5681" s="88">
        <f>-IF(Tabla14[[#This Row],[DIAS HABILES O MORA]]&lt;0,(Tabla14[[#This Row],[VALOR PRESTAMO]]*Tabla14[[#This Row],[% INTERES ]]/30*U5681))</f>
        <v>0</v>
      </c>
      <c r="T5681" s="53" t="e">
        <f>Tabla14[[#This Row],[DEUDA CAPITAL]]+Tabla14[[#This Row],[INTERES  CUOTA]]</f>
        <v>#NUM!</v>
      </c>
      <c r="U5681" s="61" t="str">
        <f t="shared" si="899"/>
        <v/>
      </c>
    </row>
    <row r="5682" spans="9:21" ht="24.75" customHeight="1" x14ac:dyDescent="0.35">
      <c r="I5682" s="42">
        <f t="shared" si="890"/>
        <v>0</v>
      </c>
      <c r="J5682" s="65" t="e">
        <f t="shared" si="891"/>
        <v>#NUM!</v>
      </c>
      <c r="K5682" s="83" t="e">
        <f t="shared" si="892"/>
        <v>#NUM!</v>
      </c>
      <c r="L5682" s="83">
        <f t="shared" si="893"/>
        <v>0</v>
      </c>
      <c r="M5682" s="110" t="str">
        <f t="shared" si="894"/>
        <v/>
      </c>
      <c r="N5682" s="51" t="str">
        <f t="shared" si="895"/>
        <v/>
      </c>
      <c r="O5682" s="52" t="str">
        <f t="shared" si="896"/>
        <v/>
      </c>
      <c r="P5682" s="88">
        <f t="shared" si="897"/>
        <v>0</v>
      </c>
      <c r="Q5682" s="88">
        <f t="shared" si="898"/>
        <v>0</v>
      </c>
      <c r="R5682" s="88" t="e">
        <f>-IF(Tabla14[[#This Row],[DIAS HABILES O MORA]]&lt;0,(Tabla14[[#This Row],[VALOR PRESTAMO]]*Tabla14[[#This Row],[% INTERES ]]/30*U5682))+Tabla14[[#This Row],[VALOR CUOTAS]]</f>
        <v>#VALUE!</v>
      </c>
      <c r="S5682" s="88">
        <f>-IF(Tabla14[[#This Row],[DIAS HABILES O MORA]]&lt;0,(Tabla14[[#This Row],[VALOR PRESTAMO]]*Tabla14[[#This Row],[% INTERES ]]/30*U5682))</f>
        <v>0</v>
      </c>
      <c r="T5682" s="53" t="e">
        <f>Tabla14[[#This Row],[DEUDA CAPITAL]]+Tabla14[[#This Row],[INTERES  CUOTA]]</f>
        <v>#NUM!</v>
      </c>
      <c r="U5682" s="61" t="str">
        <f t="shared" si="899"/>
        <v/>
      </c>
    </row>
    <row r="5683" spans="9:21" ht="24.75" customHeight="1" x14ac:dyDescent="0.35">
      <c r="I5683" s="42">
        <f t="shared" si="890"/>
        <v>0</v>
      </c>
      <c r="J5683" s="65" t="e">
        <f t="shared" si="891"/>
        <v>#NUM!</v>
      </c>
      <c r="K5683" s="83" t="e">
        <f t="shared" si="892"/>
        <v>#NUM!</v>
      </c>
      <c r="L5683" s="83">
        <f t="shared" si="893"/>
        <v>0</v>
      </c>
      <c r="M5683" s="110" t="str">
        <f t="shared" si="894"/>
        <v/>
      </c>
      <c r="N5683" s="51" t="str">
        <f t="shared" si="895"/>
        <v/>
      </c>
      <c r="O5683" s="52" t="str">
        <f t="shared" si="896"/>
        <v/>
      </c>
      <c r="P5683" s="88">
        <f t="shared" si="897"/>
        <v>0</v>
      </c>
      <c r="Q5683" s="88">
        <f t="shared" si="898"/>
        <v>0</v>
      </c>
      <c r="R5683" s="88" t="e">
        <f>-IF(Tabla14[[#This Row],[DIAS HABILES O MORA]]&lt;0,(Tabla14[[#This Row],[VALOR PRESTAMO]]*Tabla14[[#This Row],[% INTERES ]]/30*U5683))+Tabla14[[#This Row],[VALOR CUOTAS]]</f>
        <v>#VALUE!</v>
      </c>
      <c r="S5683" s="88">
        <f>-IF(Tabla14[[#This Row],[DIAS HABILES O MORA]]&lt;0,(Tabla14[[#This Row],[VALOR PRESTAMO]]*Tabla14[[#This Row],[% INTERES ]]/30*U5683))</f>
        <v>0</v>
      </c>
      <c r="T5683" s="53" t="e">
        <f>Tabla14[[#This Row],[DEUDA CAPITAL]]+Tabla14[[#This Row],[INTERES  CUOTA]]</f>
        <v>#NUM!</v>
      </c>
      <c r="U5683" s="61" t="str">
        <f t="shared" si="899"/>
        <v/>
      </c>
    </row>
    <row r="5684" spans="9:21" ht="24.75" customHeight="1" x14ac:dyDescent="0.35">
      <c r="I5684" s="42">
        <f t="shared" si="890"/>
        <v>0</v>
      </c>
      <c r="J5684" s="65" t="e">
        <f t="shared" si="891"/>
        <v>#NUM!</v>
      </c>
      <c r="K5684" s="83" t="e">
        <f t="shared" si="892"/>
        <v>#NUM!</v>
      </c>
      <c r="L5684" s="83">
        <f t="shared" si="893"/>
        <v>0</v>
      </c>
      <c r="M5684" s="110" t="str">
        <f t="shared" si="894"/>
        <v/>
      </c>
      <c r="N5684" s="51" t="str">
        <f t="shared" si="895"/>
        <v/>
      </c>
      <c r="O5684" s="52" t="str">
        <f t="shared" si="896"/>
        <v/>
      </c>
      <c r="P5684" s="88">
        <f t="shared" si="897"/>
        <v>0</v>
      </c>
      <c r="Q5684" s="88">
        <f t="shared" si="898"/>
        <v>0</v>
      </c>
      <c r="R5684" s="88" t="e">
        <f>-IF(Tabla14[[#This Row],[DIAS HABILES O MORA]]&lt;0,(Tabla14[[#This Row],[VALOR PRESTAMO]]*Tabla14[[#This Row],[% INTERES ]]/30*U5684))+Tabla14[[#This Row],[VALOR CUOTAS]]</f>
        <v>#VALUE!</v>
      </c>
      <c r="S5684" s="88">
        <f>-IF(Tabla14[[#This Row],[DIAS HABILES O MORA]]&lt;0,(Tabla14[[#This Row],[VALOR PRESTAMO]]*Tabla14[[#This Row],[% INTERES ]]/30*U5684))</f>
        <v>0</v>
      </c>
      <c r="T5684" s="53" t="e">
        <f>Tabla14[[#This Row],[DEUDA CAPITAL]]+Tabla14[[#This Row],[INTERES  CUOTA]]</f>
        <v>#NUM!</v>
      </c>
      <c r="U5684" s="61" t="str">
        <f t="shared" si="899"/>
        <v/>
      </c>
    </row>
    <row r="5685" spans="9:21" ht="24.75" customHeight="1" x14ac:dyDescent="0.35">
      <c r="I5685" s="42">
        <f t="shared" si="890"/>
        <v>0</v>
      </c>
      <c r="J5685" s="65" t="e">
        <f t="shared" si="891"/>
        <v>#NUM!</v>
      </c>
      <c r="K5685" s="83" t="e">
        <f t="shared" si="892"/>
        <v>#NUM!</v>
      </c>
      <c r="L5685" s="83">
        <f t="shared" si="893"/>
        <v>0</v>
      </c>
      <c r="M5685" s="110" t="str">
        <f t="shared" si="894"/>
        <v/>
      </c>
      <c r="N5685" s="51" t="str">
        <f t="shared" si="895"/>
        <v/>
      </c>
      <c r="O5685" s="52" t="str">
        <f t="shared" si="896"/>
        <v/>
      </c>
      <c r="P5685" s="88">
        <f t="shared" si="897"/>
        <v>0</v>
      </c>
      <c r="Q5685" s="88">
        <f t="shared" si="898"/>
        <v>0</v>
      </c>
      <c r="R5685" s="88" t="e">
        <f>-IF(Tabla14[[#This Row],[DIAS HABILES O MORA]]&lt;0,(Tabla14[[#This Row],[VALOR PRESTAMO]]*Tabla14[[#This Row],[% INTERES ]]/30*U5685))+Tabla14[[#This Row],[VALOR CUOTAS]]</f>
        <v>#VALUE!</v>
      </c>
      <c r="S5685" s="88">
        <f>-IF(Tabla14[[#This Row],[DIAS HABILES O MORA]]&lt;0,(Tabla14[[#This Row],[VALOR PRESTAMO]]*Tabla14[[#This Row],[% INTERES ]]/30*U5685))</f>
        <v>0</v>
      </c>
      <c r="T5685" s="53" t="e">
        <f>Tabla14[[#This Row],[DEUDA CAPITAL]]+Tabla14[[#This Row],[INTERES  CUOTA]]</f>
        <v>#NUM!</v>
      </c>
      <c r="U5685" s="61" t="str">
        <f t="shared" si="899"/>
        <v/>
      </c>
    </row>
    <row r="5686" spans="9:21" ht="24.75" customHeight="1" x14ac:dyDescent="0.35">
      <c r="I5686" s="42">
        <f t="shared" si="890"/>
        <v>0</v>
      </c>
      <c r="J5686" s="65" t="e">
        <f t="shared" si="891"/>
        <v>#NUM!</v>
      </c>
      <c r="K5686" s="83" t="e">
        <f t="shared" si="892"/>
        <v>#NUM!</v>
      </c>
      <c r="L5686" s="83">
        <f t="shared" si="893"/>
        <v>0</v>
      </c>
      <c r="M5686" s="110" t="str">
        <f t="shared" si="894"/>
        <v/>
      </c>
      <c r="N5686" s="51" t="str">
        <f t="shared" si="895"/>
        <v/>
      </c>
      <c r="O5686" s="52" t="str">
        <f t="shared" si="896"/>
        <v/>
      </c>
      <c r="P5686" s="88">
        <f t="shared" si="897"/>
        <v>0</v>
      </c>
      <c r="Q5686" s="88">
        <f t="shared" si="898"/>
        <v>0</v>
      </c>
      <c r="R5686" s="88" t="e">
        <f>-IF(Tabla14[[#This Row],[DIAS HABILES O MORA]]&lt;0,(Tabla14[[#This Row],[VALOR PRESTAMO]]*Tabla14[[#This Row],[% INTERES ]]/30*U5686))+Tabla14[[#This Row],[VALOR CUOTAS]]</f>
        <v>#VALUE!</v>
      </c>
      <c r="S5686" s="88">
        <f>-IF(Tabla14[[#This Row],[DIAS HABILES O MORA]]&lt;0,(Tabla14[[#This Row],[VALOR PRESTAMO]]*Tabla14[[#This Row],[% INTERES ]]/30*U5686))</f>
        <v>0</v>
      </c>
      <c r="T5686" s="53" t="e">
        <f>Tabla14[[#This Row],[DEUDA CAPITAL]]+Tabla14[[#This Row],[INTERES  CUOTA]]</f>
        <v>#NUM!</v>
      </c>
      <c r="U5686" s="61" t="str">
        <f t="shared" si="899"/>
        <v/>
      </c>
    </row>
    <row r="5687" spans="9:21" ht="24.75" customHeight="1" x14ac:dyDescent="0.35">
      <c r="I5687" s="42">
        <f t="shared" si="890"/>
        <v>0</v>
      </c>
      <c r="J5687" s="65" t="e">
        <f t="shared" si="891"/>
        <v>#NUM!</v>
      </c>
      <c r="K5687" s="83" t="e">
        <f t="shared" si="892"/>
        <v>#NUM!</v>
      </c>
      <c r="L5687" s="83">
        <f t="shared" si="893"/>
        <v>0</v>
      </c>
      <c r="M5687" s="110" t="str">
        <f t="shared" si="894"/>
        <v/>
      </c>
      <c r="N5687" s="51" t="str">
        <f t="shared" si="895"/>
        <v/>
      </c>
      <c r="O5687" s="52" t="str">
        <f t="shared" si="896"/>
        <v/>
      </c>
      <c r="P5687" s="88">
        <f t="shared" si="897"/>
        <v>0</v>
      </c>
      <c r="Q5687" s="88">
        <f t="shared" si="898"/>
        <v>0</v>
      </c>
      <c r="R5687" s="88" t="e">
        <f>-IF(Tabla14[[#This Row],[DIAS HABILES O MORA]]&lt;0,(Tabla14[[#This Row],[VALOR PRESTAMO]]*Tabla14[[#This Row],[% INTERES ]]/30*U5687))+Tabla14[[#This Row],[VALOR CUOTAS]]</f>
        <v>#VALUE!</v>
      </c>
      <c r="S5687" s="88">
        <f>-IF(Tabla14[[#This Row],[DIAS HABILES O MORA]]&lt;0,(Tabla14[[#This Row],[VALOR PRESTAMO]]*Tabla14[[#This Row],[% INTERES ]]/30*U5687))</f>
        <v>0</v>
      </c>
      <c r="T5687" s="53" t="e">
        <f>Tabla14[[#This Row],[DEUDA CAPITAL]]+Tabla14[[#This Row],[INTERES  CUOTA]]</f>
        <v>#NUM!</v>
      </c>
      <c r="U5687" s="61" t="str">
        <f t="shared" si="899"/>
        <v/>
      </c>
    </row>
    <row r="5688" spans="9:21" ht="24.75" customHeight="1" x14ac:dyDescent="0.35">
      <c r="I5688" s="42">
        <f t="shared" si="890"/>
        <v>0</v>
      </c>
      <c r="J5688" s="65" t="e">
        <f t="shared" si="891"/>
        <v>#NUM!</v>
      </c>
      <c r="K5688" s="83" t="e">
        <f t="shared" si="892"/>
        <v>#NUM!</v>
      </c>
      <c r="L5688" s="83">
        <f t="shared" si="893"/>
        <v>0</v>
      </c>
      <c r="M5688" s="110" t="str">
        <f t="shared" si="894"/>
        <v/>
      </c>
      <c r="N5688" s="51" t="str">
        <f t="shared" si="895"/>
        <v/>
      </c>
      <c r="O5688" s="52" t="str">
        <f t="shared" si="896"/>
        <v/>
      </c>
      <c r="P5688" s="88">
        <f t="shared" si="897"/>
        <v>0</v>
      </c>
      <c r="Q5688" s="88">
        <f t="shared" si="898"/>
        <v>0</v>
      </c>
      <c r="R5688" s="88" t="e">
        <f>-IF(Tabla14[[#This Row],[DIAS HABILES O MORA]]&lt;0,(Tabla14[[#This Row],[VALOR PRESTAMO]]*Tabla14[[#This Row],[% INTERES ]]/30*U5688))+Tabla14[[#This Row],[VALOR CUOTAS]]</f>
        <v>#VALUE!</v>
      </c>
      <c r="S5688" s="88">
        <f>-IF(Tabla14[[#This Row],[DIAS HABILES O MORA]]&lt;0,(Tabla14[[#This Row],[VALOR PRESTAMO]]*Tabla14[[#This Row],[% INTERES ]]/30*U5688))</f>
        <v>0</v>
      </c>
      <c r="T5688" s="53" t="e">
        <f>Tabla14[[#This Row],[DEUDA CAPITAL]]+Tabla14[[#This Row],[INTERES  CUOTA]]</f>
        <v>#NUM!</v>
      </c>
      <c r="U5688" s="61" t="str">
        <f t="shared" si="899"/>
        <v/>
      </c>
    </row>
    <row r="5689" spans="9:21" ht="24.75" customHeight="1" x14ac:dyDescent="0.35">
      <c r="I5689" s="42">
        <f t="shared" si="890"/>
        <v>0</v>
      </c>
      <c r="J5689" s="65" t="e">
        <f t="shared" si="891"/>
        <v>#NUM!</v>
      </c>
      <c r="K5689" s="83" t="e">
        <f t="shared" si="892"/>
        <v>#NUM!</v>
      </c>
      <c r="L5689" s="83">
        <f t="shared" si="893"/>
        <v>0</v>
      </c>
      <c r="M5689" s="110" t="str">
        <f t="shared" si="894"/>
        <v/>
      </c>
      <c r="N5689" s="51" t="str">
        <f t="shared" si="895"/>
        <v/>
      </c>
      <c r="O5689" s="52" t="str">
        <f t="shared" si="896"/>
        <v/>
      </c>
      <c r="P5689" s="88">
        <f t="shared" si="897"/>
        <v>0</v>
      </c>
      <c r="Q5689" s="88">
        <f t="shared" si="898"/>
        <v>0</v>
      </c>
      <c r="R5689" s="88" t="e">
        <f>-IF(Tabla14[[#This Row],[DIAS HABILES O MORA]]&lt;0,(Tabla14[[#This Row],[VALOR PRESTAMO]]*Tabla14[[#This Row],[% INTERES ]]/30*U5689))+Tabla14[[#This Row],[VALOR CUOTAS]]</f>
        <v>#VALUE!</v>
      </c>
      <c r="S5689" s="88">
        <f>-IF(Tabla14[[#This Row],[DIAS HABILES O MORA]]&lt;0,(Tabla14[[#This Row],[VALOR PRESTAMO]]*Tabla14[[#This Row],[% INTERES ]]/30*U5689))</f>
        <v>0</v>
      </c>
      <c r="T5689" s="53" t="e">
        <f>Tabla14[[#This Row],[DEUDA CAPITAL]]+Tabla14[[#This Row],[INTERES  CUOTA]]</f>
        <v>#NUM!</v>
      </c>
      <c r="U5689" s="61" t="str">
        <f t="shared" si="899"/>
        <v/>
      </c>
    </row>
    <row r="5690" spans="9:21" ht="24.75" customHeight="1" x14ac:dyDescent="0.35">
      <c r="I5690" s="42">
        <f t="shared" si="890"/>
        <v>0</v>
      </c>
      <c r="J5690" s="65" t="e">
        <f t="shared" si="891"/>
        <v>#NUM!</v>
      </c>
      <c r="K5690" s="83" t="e">
        <f t="shared" si="892"/>
        <v>#NUM!</v>
      </c>
      <c r="L5690" s="83">
        <f t="shared" si="893"/>
        <v>0</v>
      </c>
      <c r="M5690" s="110" t="str">
        <f t="shared" si="894"/>
        <v/>
      </c>
      <c r="N5690" s="51" t="str">
        <f t="shared" si="895"/>
        <v/>
      </c>
      <c r="O5690" s="52" t="str">
        <f t="shared" si="896"/>
        <v/>
      </c>
      <c r="P5690" s="88">
        <f t="shared" si="897"/>
        <v>0</v>
      </c>
      <c r="Q5690" s="88">
        <f t="shared" si="898"/>
        <v>0</v>
      </c>
      <c r="R5690" s="88" t="e">
        <f>-IF(Tabla14[[#This Row],[DIAS HABILES O MORA]]&lt;0,(Tabla14[[#This Row],[VALOR PRESTAMO]]*Tabla14[[#This Row],[% INTERES ]]/30*U5690))+Tabla14[[#This Row],[VALOR CUOTAS]]</f>
        <v>#VALUE!</v>
      </c>
      <c r="S5690" s="88">
        <f>-IF(Tabla14[[#This Row],[DIAS HABILES O MORA]]&lt;0,(Tabla14[[#This Row],[VALOR PRESTAMO]]*Tabla14[[#This Row],[% INTERES ]]/30*U5690))</f>
        <v>0</v>
      </c>
      <c r="T5690" s="53" t="e">
        <f>Tabla14[[#This Row],[DEUDA CAPITAL]]+Tabla14[[#This Row],[INTERES  CUOTA]]</f>
        <v>#NUM!</v>
      </c>
      <c r="U5690" s="61" t="str">
        <f t="shared" si="899"/>
        <v/>
      </c>
    </row>
    <row r="5691" spans="9:21" ht="24.75" customHeight="1" x14ac:dyDescent="0.35">
      <c r="I5691" s="42">
        <f t="shared" si="890"/>
        <v>0</v>
      </c>
      <c r="J5691" s="65" t="e">
        <f t="shared" si="891"/>
        <v>#NUM!</v>
      </c>
      <c r="K5691" s="83" t="e">
        <f t="shared" si="892"/>
        <v>#NUM!</v>
      </c>
      <c r="L5691" s="83">
        <f t="shared" si="893"/>
        <v>0</v>
      </c>
      <c r="M5691" s="110" t="str">
        <f t="shared" si="894"/>
        <v/>
      </c>
      <c r="N5691" s="51" t="str">
        <f t="shared" si="895"/>
        <v/>
      </c>
      <c r="O5691" s="52" t="str">
        <f t="shared" si="896"/>
        <v/>
      </c>
      <c r="P5691" s="88">
        <f t="shared" si="897"/>
        <v>0</v>
      </c>
      <c r="Q5691" s="88">
        <f t="shared" si="898"/>
        <v>0</v>
      </c>
      <c r="R5691" s="88" t="e">
        <f>-IF(Tabla14[[#This Row],[DIAS HABILES O MORA]]&lt;0,(Tabla14[[#This Row],[VALOR PRESTAMO]]*Tabla14[[#This Row],[% INTERES ]]/30*U5691))+Tabla14[[#This Row],[VALOR CUOTAS]]</f>
        <v>#VALUE!</v>
      </c>
      <c r="S5691" s="88">
        <f>-IF(Tabla14[[#This Row],[DIAS HABILES O MORA]]&lt;0,(Tabla14[[#This Row],[VALOR PRESTAMO]]*Tabla14[[#This Row],[% INTERES ]]/30*U5691))</f>
        <v>0</v>
      </c>
      <c r="T5691" s="53" t="e">
        <f>Tabla14[[#This Row],[DEUDA CAPITAL]]+Tabla14[[#This Row],[INTERES  CUOTA]]</f>
        <v>#NUM!</v>
      </c>
      <c r="U5691" s="61" t="str">
        <f t="shared" si="899"/>
        <v/>
      </c>
    </row>
    <row r="5692" spans="9:21" ht="24.75" customHeight="1" x14ac:dyDescent="0.35">
      <c r="I5692" s="42">
        <f t="shared" si="890"/>
        <v>0</v>
      </c>
      <c r="J5692" s="65" t="e">
        <f t="shared" si="891"/>
        <v>#NUM!</v>
      </c>
      <c r="K5692" s="83" t="e">
        <f t="shared" si="892"/>
        <v>#NUM!</v>
      </c>
      <c r="L5692" s="83">
        <f t="shared" si="893"/>
        <v>0</v>
      </c>
      <c r="M5692" s="110" t="str">
        <f t="shared" si="894"/>
        <v/>
      </c>
      <c r="N5692" s="51" t="str">
        <f t="shared" si="895"/>
        <v/>
      </c>
      <c r="O5692" s="52" t="str">
        <f t="shared" si="896"/>
        <v/>
      </c>
      <c r="P5692" s="88">
        <f t="shared" si="897"/>
        <v>0</v>
      </c>
      <c r="Q5692" s="88">
        <f t="shared" si="898"/>
        <v>0</v>
      </c>
      <c r="R5692" s="88" t="e">
        <f>-IF(Tabla14[[#This Row],[DIAS HABILES O MORA]]&lt;0,(Tabla14[[#This Row],[VALOR PRESTAMO]]*Tabla14[[#This Row],[% INTERES ]]/30*U5692))+Tabla14[[#This Row],[VALOR CUOTAS]]</f>
        <v>#VALUE!</v>
      </c>
      <c r="S5692" s="88">
        <f>-IF(Tabla14[[#This Row],[DIAS HABILES O MORA]]&lt;0,(Tabla14[[#This Row],[VALOR PRESTAMO]]*Tabla14[[#This Row],[% INTERES ]]/30*U5692))</f>
        <v>0</v>
      </c>
      <c r="T5692" s="53" t="e">
        <f>Tabla14[[#This Row],[DEUDA CAPITAL]]+Tabla14[[#This Row],[INTERES  CUOTA]]</f>
        <v>#NUM!</v>
      </c>
      <c r="U5692" s="61" t="str">
        <f t="shared" si="899"/>
        <v/>
      </c>
    </row>
    <row r="5693" spans="9:21" ht="24.75" customHeight="1" x14ac:dyDescent="0.35">
      <c r="I5693" s="42">
        <f t="shared" si="890"/>
        <v>0</v>
      </c>
      <c r="J5693" s="65" t="e">
        <f t="shared" si="891"/>
        <v>#NUM!</v>
      </c>
      <c r="K5693" s="83" t="e">
        <f t="shared" si="892"/>
        <v>#NUM!</v>
      </c>
      <c r="L5693" s="83">
        <f t="shared" si="893"/>
        <v>0</v>
      </c>
      <c r="M5693" s="110" t="str">
        <f t="shared" si="894"/>
        <v/>
      </c>
      <c r="N5693" s="51" t="str">
        <f t="shared" si="895"/>
        <v/>
      </c>
      <c r="O5693" s="52" t="str">
        <f t="shared" si="896"/>
        <v/>
      </c>
      <c r="P5693" s="88">
        <f t="shared" si="897"/>
        <v>0</v>
      </c>
      <c r="Q5693" s="88">
        <f t="shared" si="898"/>
        <v>0</v>
      </c>
      <c r="R5693" s="88" t="e">
        <f>-IF(Tabla14[[#This Row],[DIAS HABILES O MORA]]&lt;0,(Tabla14[[#This Row],[VALOR PRESTAMO]]*Tabla14[[#This Row],[% INTERES ]]/30*U5693))+Tabla14[[#This Row],[VALOR CUOTAS]]</f>
        <v>#VALUE!</v>
      </c>
      <c r="S5693" s="88">
        <f>-IF(Tabla14[[#This Row],[DIAS HABILES O MORA]]&lt;0,(Tabla14[[#This Row],[VALOR PRESTAMO]]*Tabla14[[#This Row],[% INTERES ]]/30*U5693))</f>
        <v>0</v>
      </c>
      <c r="T5693" s="53" t="e">
        <f>Tabla14[[#This Row],[DEUDA CAPITAL]]+Tabla14[[#This Row],[INTERES  CUOTA]]</f>
        <v>#NUM!</v>
      </c>
      <c r="U5693" s="61" t="str">
        <f t="shared" si="899"/>
        <v/>
      </c>
    </row>
    <row r="5694" spans="9:21" ht="24.75" customHeight="1" x14ac:dyDescent="0.35">
      <c r="I5694" s="42">
        <f t="shared" si="890"/>
        <v>0</v>
      </c>
      <c r="J5694" s="65" t="e">
        <f t="shared" si="891"/>
        <v>#NUM!</v>
      </c>
      <c r="K5694" s="83" t="e">
        <f t="shared" si="892"/>
        <v>#NUM!</v>
      </c>
      <c r="L5694" s="83">
        <f t="shared" si="893"/>
        <v>0</v>
      </c>
      <c r="M5694" s="110" t="str">
        <f t="shared" si="894"/>
        <v/>
      </c>
      <c r="N5694" s="51" t="str">
        <f t="shared" si="895"/>
        <v/>
      </c>
      <c r="O5694" s="52" t="str">
        <f t="shared" si="896"/>
        <v/>
      </c>
      <c r="P5694" s="88">
        <f t="shared" si="897"/>
        <v>0</v>
      </c>
      <c r="Q5694" s="88">
        <f t="shared" si="898"/>
        <v>0</v>
      </c>
      <c r="R5694" s="88" t="e">
        <f>-IF(Tabla14[[#This Row],[DIAS HABILES O MORA]]&lt;0,(Tabla14[[#This Row],[VALOR PRESTAMO]]*Tabla14[[#This Row],[% INTERES ]]/30*U5694))+Tabla14[[#This Row],[VALOR CUOTAS]]</f>
        <v>#VALUE!</v>
      </c>
      <c r="S5694" s="88">
        <f>-IF(Tabla14[[#This Row],[DIAS HABILES O MORA]]&lt;0,(Tabla14[[#This Row],[VALOR PRESTAMO]]*Tabla14[[#This Row],[% INTERES ]]/30*U5694))</f>
        <v>0</v>
      </c>
      <c r="T5694" s="53" t="e">
        <f>Tabla14[[#This Row],[DEUDA CAPITAL]]+Tabla14[[#This Row],[INTERES  CUOTA]]</f>
        <v>#NUM!</v>
      </c>
      <c r="U5694" s="61" t="str">
        <f t="shared" si="899"/>
        <v/>
      </c>
    </row>
    <row r="5695" spans="9:21" ht="24.75" customHeight="1" x14ac:dyDescent="0.35">
      <c r="I5695" s="42">
        <f t="shared" si="890"/>
        <v>0</v>
      </c>
      <c r="J5695" s="65" t="e">
        <f t="shared" si="891"/>
        <v>#NUM!</v>
      </c>
      <c r="K5695" s="83" t="e">
        <f t="shared" si="892"/>
        <v>#NUM!</v>
      </c>
      <c r="L5695" s="83">
        <f t="shared" si="893"/>
        <v>0</v>
      </c>
      <c r="M5695" s="110" t="str">
        <f t="shared" si="894"/>
        <v/>
      </c>
      <c r="N5695" s="51" t="str">
        <f t="shared" si="895"/>
        <v/>
      </c>
      <c r="O5695" s="52" t="str">
        <f t="shared" si="896"/>
        <v/>
      </c>
      <c r="P5695" s="88">
        <f t="shared" si="897"/>
        <v>0</v>
      </c>
      <c r="Q5695" s="88">
        <f t="shared" si="898"/>
        <v>0</v>
      </c>
      <c r="R5695" s="88" t="e">
        <f>-IF(Tabla14[[#This Row],[DIAS HABILES O MORA]]&lt;0,(Tabla14[[#This Row],[VALOR PRESTAMO]]*Tabla14[[#This Row],[% INTERES ]]/30*U5695))+Tabla14[[#This Row],[VALOR CUOTAS]]</f>
        <v>#VALUE!</v>
      </c>
      <c r="S5695" s="88">
        <f>-IF(Tabla14[[#This Row],[DIAS HABILES O MORA]]&lt;0,(Tabla14[[#This Row],[VALOR PRESTAMO]]*Tabla14[[#This Row],[% INTERES ]]/30*U5695))</f>
        <v>0</v>
      </c>
      <c r="T5695" s="53" t="e">
        <f>Tabla14[[#This Row],[DEUDA CAPITAL]]+Tabla14[[#This Row],[INTERES  CUOTA]]</f>
        <v>#NUM!</v>
      </c>
      <c r="U5695" s="61" t="str">
        <f t="shared" si="899"/>
        <v/>
      </c>
    </row>
    <row r="5696" spans="9:21" ht="24.75" customHeight="1" x14ac:dyDescent="0.35">
      <c r="I5696" s="42">
        <f t="shared" si="890"/>
        <v>0</v>
      </c>
      <c r="J5696" s="65" t="e">
        <f t="shared" si="891"/>
        <v>#NUM!</v>
      </c>
      <c r="K5696" s="83" t="e">
        <f t="shared" si="892"/>
        <v>#NUM!</v>
      </c>
      <c r="L5696" s="83">
        <f t="shared" si="893"/>
        <v>0</v>
      </c>
      <c r="M5696" s="110" t="str">
        <f t="shared" si="894"/>
        <v/>
      </c>
      <c r="N5696" s="51" t="str">
        <f t="shared" si="895"/>
        <v/>
      </c>
      <c r="O5696" s="52" t="str">
        <f t="shared" si="896"/>
        <v/>
      </c>
      <c r="P5696" s="88">
        <f t="shared" si="897"/>
        <v>0</v>
      </c>
      <c r="Q5696" s="88">
        <f t="shared" si="898"/>
        <v>0</v>
      </c>
      <c r="R5696" s="88" t="e">
        <f>-IF(Tabla14[[#This Row],[DIAS HABILES O MORA]]&lt;0,(Tabla14[[#This Row],[VALOR PRESTAMO]]*Tabla14[[#This Row],[% INTERES ]]/30*U5696))+Tabla14[[#This Row],[VALOR CUOTAS]]</f>
        <v>#VALUE!</v>
      </c>
      <c r="S5696" s="88">
        <f>-IF(Tabla14[[#This Row],[DIAS HABILES O MORA]]&lt;0,(Tabla14[[#This Row],[VALOR PRESTAMO]]*Tabla14[[#This Row],[% INTERES ]]/30*U5696))</f>
        <v>0</v>
      </c>
      <c r="T5696" s="53" t="e">
        <f>Tabla14[[#This Row],[DEUDA CAPITAL]]+Tabla14[[#This Row],[INTERES  CUOTA]]</f>
        <v>#NUM!</v>
      </c>
      <c r="U5696" s="61" t="str">
        <f t="shared" si="899"/>
        <v/>
      </c>
    </row>
    <row r="5697" spans="9:21" ht="24.75" customHeight="1" x14ac:dyDescent="0.35">
      <c r="I5697" s="42">
        <f t="shared" si="890"/>
        <v>0</v>
      </c>
      <c r="J5697" s="65" t="e">
        <f t="shared" si="891"/>
        <v>#NUM!</v>
      </c>
      <c r="K5697" s="83" t="e">
        <f t="shared" si="892"/>
        <v>#NUM!</v>
      </c>
      <c r="L5697" s="83">
        <f t="shared" si="893"/>
        <v>0</v>
      </c>
      <c r="M5697" s="110" t="str">
        <f t="shared" si="894"/>
        <v/>
      </c>
      <c r="N5697" s="51" t="str">
        <f t="shared" si="895"/>
        <v/>
      </c>
      <c r="O5697" s="52" t="str">
        <f t="shared" si="896"/>
        <v/>
      </c>
      <c r="P5697" s="88">
        <f t="shared" si="897"/>
        <v>0</v>
      </c>
      <c r="Q5697" s="88">
        <f t="shared" si="898"/>
        <v>0</v>
      </c>
      <c r="R5697" s="88" t="e">
        <f>-IF(Tabla14[[#This Row],[DIAS HABILES O MORA]]&lt;0,(Tabla14[[#This Row],[VALOR PRESTAMO]]*Tabla14[[#This Row],[% INTERES ]]/30*U5697))+Tabla14[[#This Row],[VALOR CUOTAS]]</f>
        <v>#VALUE!</v>
      </c>
      <c r="S5697" s="88">
        <f>-IF(Tabla14[[#This Row],[DIAS HABILES O MORA]]&lt;0,(Tabla14[[#This Row],[VALOR PRESTAMO]]*Tabla14[[#This Row],[% INTERES ]]/30*U5697))</f>
        <v>0</v>
      </c>
      <c r="T5697" s="53" t="e">
        <f>Tabla14[[#This Row],[DEUDA CAPITAL]]+Tabla14[[#This Row],[INTERES  CUOTA]]</f>
        <v>#NUM!</v>
      </c>
      <c r="U5697" s="61" t="str">
        <f t="shared" si="899"/>
        <v/>
      </c>
    </row>
    <row r="5698" spans="9:21" ht="24.75" customHeight="1" x14ac:dyDescent="0.35">
      <c r="I5698" s="42">
        <f t="shared" si="890"/>
        <v>0</v>
      </c>
      <c r="J5698" s="65" t="e">
        <f t="shared" si="891"/>
        <v>#NUM!</v>
      </c>
      <c r="K5698" s="83" t="e">
        <f t="shared" si="892"/>
        <v>#NUM!</v>
      </c>
      <c r="L5698" s="83">
        <f t="shared" si="893"/>
        <v>0</v>
      </c>
      <c r="M5698" s="110" t="str">
        <f t="shared" si="894"/>
        <v/>
      </c>
      <c r="N5698" s="51" t="str">
        <f t="shared" si="895"/>
        <v/>
      </c>
      <c r="O5698" s="52" t="str">
        <f t="shared" si="896"/>
        <v/>
      </c>
      <c r="P5698" s="88">
        <f t="shared" si="897"/>
        <v>0</v>
      </c>
      <c r="Q5698" s="88">
        <f t="shared" si="898"/>
        <v>0</v>
      </c>
      <c r="R5698" s="88" t="e">
        <f>-IF(Tabla14[[#This Row],[DIAS HABILES O MORA]]&lt;0,(Tabla14[[#This Row],[VALOR PRESTAMO]]*Tabla14[[#This Row],[% INTERES ]]/30*U5698))+Tabla14[[#This Row],[VALOR CUOTAS]]</f>
        <v>#VALUE!</v>
      </c>
      <c r="S5698" s="88">
        <f>-IF(Tabla14[[#This Row],[DIAS HABILES O MORA]]&lt;0,(Tabla14[[#This Row],[VALOR PRESTAMO]]*Tabla14[[#This Row],[% INTERES ]]/30*U5698))</f>
        <v>0</v>
      </c>
      <c r="T5698" s="53" t="e">
        <f>Tabla14[[#This Row],[DEUDA CAPITAL]]+Tabla14[[#This Row],[INTERES  CUOTA]]</f>
        <v>#NUM!</v>
      </c>
      <c r="U5698" s="61" t="str">
        <f t="shared" si="899"/>
        <v/>
      </c>
    </row>
    <row r="5699" spans="9:21" ht="24.75" customHeight="1" x14ac:dyDescent="0.35">
      <c r="I5699" s="42">
        <f t="shared" si="890"/>
        <v>0</v>
      </c>
      <c r="J5699" s="65" t="e">
        <f t="shared" si="891"/>
        <v>#NUM!</v>
      </c>
      <c r="K5699" s="83" t="e">
        <f t="shared" si="892"/>
        <v>#NUM!</v>
      </c>
      <c r="L5699" s="83">
        <f t="shared" si="893"/>
        <v>0</v>
      </c>
      <c r="M5699" s="110" t="str">
        <f t="shared" si="894"/>
        <v/>
      </c>
      <c r="N5699" s="51" t="str">
        <f t="shared" si="895"/>
        <v/>
      </c>
      <c r="O5699" s="52" t="str">
        <f t="shared" si="896"/>
        <v/>
      </c>
      <c r="P5699" s="88">
        <f t="shared" si="897"/>
        <v>0</v>
      </c>
      <c r="Q5699" s="88">
        <f t="shared" si="898"/>
        <v>0</v>
      </c>
      <c r="R5699" s="88" t="e">
        <f>-IF(Tabla14[[#This Row],[DIAS HABILES O MORA]]&lt;0,(Tabla14[[#This Row],[VALOR PRESTAMO]]*Tabla14[[#This Row],[% INTERES ]]/30*U5699))+Tabla14[[#This Row],[VALOR CUOTAS]]</f>
        <v>#VALUE!</v>
      </c>
      <c r="S5699" s="88">
        <f>-IF(Tabla14[[#This Row],[DIAS HABILES O MORA]]&lt;0,(Tabla14[[#This Row],[VALOR PRESTAMO]]*Tabla14[[#This Row],[% INTERES ]]/30*U5699))</f>
        <v>0</v>
      </c>
      <c r="T5699" s="53" t="e">
        <f>Tabla14[[#This Row],[DEUDA CAPITAL]]+Tabla14[[#This Row],[INTERES  CUOTA]]</f>
        <v>#NUM!</v>
      </c>
      <c r="U5699" s="61" t="str">
        <f t="shared" si="899"/>
        <v/>
      </c>
    </row>
    <row r="5700" spans="9:21" ht="24.75" customHeight="1" x14ac:dyDescent="0.35">
      <c r="I5700" s="42">
        <f t="shared" si="890"/>
        <v>0</v>
      </c>
      <c r="J5700" s="65" t="e">
        <f t="shared" si="891"/>
        <v>#NUM!</v>
      </c>
      <c r="K5700" s="83" t="e">
        <f t="shared" si="892"/>
        <v>#NUM!</v>
      </c>
      <c r="L5700" s="83">
        <f t="shared" si="893"/>
        <v>0</v>
      </c>
      <c r="M5700" s="110" t="str">
        <f t="shared" si="894"/>
        <v/>
      </c>
      <c r="N5700" s="51" t="str">
        <f t="shared" si="895"/>
        <v/>
      </c>
      <c r="O5700" s="52" t="str">
        <f t="shared" si="896"/>
        <v/>
      </c>
      <c r="P5700" s="88">
        <f t="shared" si="897"/>
        <v>0</v>
      </c>
      <c r="Q5700" s="88">
        <f t="shared" si="898"/>
        <v>0</v>
      </c>
      <c r="R5700" s="88" t="e">
        <f>-IF(Tabla14[[#This Row],[DIAS HABILES O MORA]]&lt;0,(Tabla14[[#This Row],[VALOR PRESTAMO]]*Tabla14[[#This Row],[% INTERES ]]/30*U5700))+Tabla14[[#This Row],[VALOR CUOTAS]]</f>
        <v>#VALUE!</v>
      </c>
      <c r="S5700" s="88">
        <f>-IF(Tabla14[[#This Row],[DIAS HABILES O MORA]]&lt;0,(Tabla14[[#This Row],[VALOR PRESTAMO]]*Tabla14[[#This Row],[% INTERES ]]/30*U5700))</f>
        <v>0</v>
      </c>
      <c r="T5700" s="53" t="e">
        <f>Tabla14[[#This Row],[DEUDA CAPITAL]]+Tabla14[[#This Row],[INTERES  CUOTA]]</f>
        <v>#NUM!</v>
      </c>
      <c r="U5700" s="61" t="str">
        <f t="shared" si="899"/>
        <v/>
      </c>
    </row>
    <row r="5701" spans="9:21" ht="24.75" customHeight="1" x14ac:dyDescent="0.35">
      <c r="I5701" s="42">
        <f t="shared" si="890"/>
        <v>0</v>
      </c>
      <c r="J5701" s="65" t="e">
        <f t="shared" si="891"/>
        <v>#NUM!</v>
      </c>
      <c r="K5701" s="83" t="e">
        <f t="shared" si="892"/>
        <v>#NUM!</v>
      </c>
      <c r="L5701" s="83">
        <f t="shared" si="893"/>
        <v>0</v>
      </c>
      <c r="M5701" s="110" t="str">
        <f t="shared" si="894"/>
        <v/>
      </c>
      <c r="N5701" s="51" t="str">
        <f t="shared" si="895"/>
        <v/>
      </c>
      <c r="O5701" s="52" t="str">
        <f t="shared" si="896"/>
        <v/>
      </c>
      <c r="P5701" s="88">
        <f t="shared" si="897"/>
        <v>0</v>
      </c>
      <c r="Q5701" s="88">
        <f t="shared" si="898"/>
        <v>0</v>
      </c>
      <c r="R5701" s="88" t="e">
        <f>-IF(Tabla14[[#This Row],[DIAS HABILES O MORA]]&lt;0,(Tabla14[[#This Row],[VALOR PRESTAMO]]*Tabla14[[#This Row],[% INTERES ]]/30*U5701))+Tabla14[[#This Row],[VALOR CUOTAS]]</f>
        <v>#VALUE!</v>
      </c>
      <c r="S5701" s="88">
        <f>-IF(Tabla14[[#This Row],[DIAS HABILES O MORA]]&lt;0,(Tabla14[[#This Row],[VALOR PRESTAMO]]*Tabla14[[#This Row],[% INTERES ]]/30*U5701))</f>
        <v>0</v>
      </c>
      <c r="T5701" s="53" t="e">
        <f>Tabla14[[#This Row],[DEUDA CAPITAL]]+Tabla14[[#This Row],[INTERES  CUOTA]]</f>
        <v>#NUM!</v>
      </c>
      <c r="U5701" s="61" t="str">
        <f t="shared" si="899"/>
        <v/>
      </c>
    </row>
    <row r="5702" spans="9:21" ht="24.75" customHeight="1" x14ac:dyDescent="0.35">
      <c r="I5702" s="42">
        <f t="shared" si="890"/>
        <v>0</v>
      </c>
      <c r="J5702" s="65" t="e">
        <f t="shared" si="891"/>
        <v>#NUM!</v>
      </c>
      <c r="K5702" s="83" t="e">
        <f t="shared" si="892"/>
        <v>#NUM!</v>
      </c>
      <c r="L5702" s="83">
        <f t="shared" si="893"/>
        <v>0</v>
      </c>
      <c r="M5702" s="110" t="str">
        <f t="shared" si="894"/>
        <v/>
      </c>
      <c r="N5702" s="51" t="str">
        <f t="shared" si="895"/>
        <v/>
      </c>
      <c r="O5702" s="52" t="str">
        <f t="shared" si="896"/>
        <v/>
      </c>
      <c r="P5702" s="88">
        <f t="shared" si="897"/>
        <v>0</v>
      </c>
      <c r="Q5702" s="88">
        <f t="shared" si="898"/>
        <v>0</v>
      </c>
      <c r="R5702" s="88" t="e">
        <f>-IF(Tabla14[[#This Row],[DIAS HABILES O MORA]]&lt;0,(Tabla14[[#This Row],[VALOR PRESTAMO]]*Tabla14[[#This Row],[% INTERES ]]/30*U5702))+Tabla14[[#This Row],[VALOR CUOTAS]]</f>
        <v>#VALUE!</v>
      </c>
      <c r="S5702" s="88">
        <f>-IF(Tabla14[[#This Row],[DIAS HABILES O MORA]]&lt;0,(Tabla14[[#This Row],[VALOR PRESTAMO]]*Tabla14[[#This Row],[% INTERES ]]/30*U5702))</f>
        <v>0</v>
      </c>
      <c r="T5702" s="53" t="e">
        <f>Tabla14[[#This Row],[DEUDA CAPITAL]]+Tabla14[[#This Row],[INTERES  CUOTA]]</f>
        <v>#NUM!</v>
      </c>
      <c r="U5702" s="61" t="str">
        <f t="shared" si="899"/>
        <v/>
      </c>
    </row>
    <row r="5703" spans="9:21" ht="24.75" customHeight="1" x14ac:dyDescent="0.35">
      <c r="I5703" s="42">
        <f t="shared" si="890"/>
        <v>0</v>
      </c>
      <c r="J5703" s="65" t="e">
        <f t="shared" si="891"/>
        <v>#NUM!</v>
      </c>
      <c r="K5703" s="83" t="e">
        <f t="shared" si="892"/>
        <v>#NUM!</v>
      </c>
      <c r="L5703" s="83">
        <f t="shared" si="893"/>
        <v>0</v>
      </c>
      <c r="M5703" s="110" t="str">
        <f t="shared" si="894"/>
        <v/>
      </c>
      <c r="N5703" s="51" t="str">
        <f t="shared" si="895"/>
        <v/>
      </c>
      <c r="O5703" s="52" t="str">
        <f t="shared" si="896"/>
        <v/>
      </c>
      <c r="P5703" s="88">
        <f t="shared" si="897"/>
        <v>0</v>
      </c>
      <c r="Q5703" s="88">
        <f t="shared" si="898"/>
        <v>0</v>
      </c>
      <c r="R5703" s="88" t="e">
        <f>-IF(Tabla14[[#This Row],[DIAS HABILES O MORA]]&lt;0,(Tabla14[[#This Row],[VALOR PRESTAMO]]*Tabla14[[#This Row],[% INTERES ]]/30*U5703))+Tabla14[[#This Row],[VALOR CUOTAS]]</f>
        <v>#VALUE!</v>
      </c>
      <c r="S5703" s="88">
        <f>-IF(Tabla14[[#This Row],[DIAS HABILES O MORA]]&lt;0,(Tabla14[[#This Row],[VALOR PRESTAMO]]*Tabla14[[#This Row],[% INTERES ]]/30*U5703))</f>
        <v>0</v>
      </c>
      <c r="T5703" s="53" t="e">
        <f>Tabla14[[#This Row],[DEUDA CAPITAL]]+Tabla14[[#This Row],[INTERES  CUOTA]]</f>
        <v>#NUM!</v>
      </c>
      <c r="U5703" s="61" t="str">
        <f t="shared" si="899"/>
        <v/>
      </c>
    </row>
    <row r="5704" spans="9:21" ht="24.75" customHeight="1" x14ac:dyDescent="0.35">
      <c r="I5704" s="42">
        <f t="shared" si="890"/>
        <v>0</v>
      </c>
      <c r="J5704" s="65" t="e">
        <f t="shared" si="891"/>
        <v>#NUM!</v>
      </c>
      <c r="K5704" s="83" t="e">
        <f t="shared" si="892"/>
        <v>#NUM!</v>
      </c>
      <c r="L5704" s="83">
        <f t="shared" si="893"/>
        <v>0</v>
      </c>
      <c r="M5704" s="110" t="str">
        <f t="shared" si="894"/>
        <v/>
      </c>
      <c r="N5704" s="51" t="str">
        <f t="shared" si="895"/>
        <v/>
      </c>
      <c r="O5704" s="52" t="str">
        <f t="shared" si="896"/>
        <v/>
      </c>
      <c r="P5704" s="88">
        <f t="shared" si="897"/>
        <v>0</v>
      </c>
      <c r="Q5704" s="88">
        <f t="shared" si="898"/>
        <v>0</v>
      </c>
      <c r="R5704" s="88" t="e">
        <f>-IF(Tabla14[[#This Row],[DIAS HABILES O MORA]]&lt;0,(Tabla14[[#This Row],[VALOR PRESTAMO]]*Tabla14[[#This Row],[% INTERES ]]/30*U5704))+Tabla14[[#This Row],[VALOR CUOTAS]]</f>
        <v>#VALUE!</v>
      </c>
      <c r="S5704" s="88">
        <f>-IF(Tabla14[[#This Row],[DIAS HABILES O MORA]]&lt;0,(Tabla14[[#This Row],[VALOR PRESTAMO]]*Tabla14[[#This Row],[% INTERES ]]/30*U5704))</f>
        <v>0</v>
      </c>
      <c r="T5704" s="53" t="e">
        <f>Tabla14[[#This Row],[DEUDA CAPITAL]]+Tabla14[[#This Row],[INTERES  CUOTA]]</f>
        <v>#NUM!</v>
      </c>
      <c r="U5704" s="61" t="str">
        <f t="shared" si="899"/>
        <v/>
      </c>
    </row>
    <row r="5705" spans="9:21" ht="24.75" customHeight="1" x14ac:dyDescent="0.35">
      <c r="I5705" s="42">
        <f t="shared" si="890"/>
        <v>0</v>
      </c>
      <c r="J5705" s="65" t="e">
        <f t="shared" si="891"/>
        <v>#NUM!</v>
      </c>
      <c r="K5705" s="83" t="e">
        <f t="shared" si="892"/>
        <v>#NUM!</v>
      </c>
      <c r="L5705" s="83">
        <f t="shared" si="893"/>
        <v>0</v>
      </c>
      <c r="M5705" s="110" t="str">
        <f t="shared" si="894"/>
        <v/>
      </c>
      <c r="N5705" s="51" t="str">
        <f t="shared" si="895"/>
        <v/>
      </c>
      <c r="O5705" s="52" t="str">
        <f t="shared" si="896"/>
        <v/>
      </c>
      <c r="P5705" s="88">
        <f t="shared" si="897"/>
        <v>0</v>
      </c>
      <c r="Q5705" s="88">
        <f t="shared" si="898"/>
        <v>0</v>
      </c>
      <c r="R5705" s="88" t="e">
        <f>-IF(Tabla14[[#This Row],[DIAS HABILES O MORA]]&lt;0,(Tabla14[[#This Row],[VALOR PRESTAMO]]*Tabla14[[#This Row],[% INTERES ]]/30*U5705))+Tabla14[[#This Row],[VALOR CUOTAS]]</f>
        <v>#VALUE!</v>
      </c>
      <c r="S5705" s="88">
        <f>-IF(Tabla14[[#This Row],[DIAS HABILES O MORA]]&lt;0,(Tabla14[[#This Row],[VALOR PRESTAMO]]*Tabla14[[#This Row],[% INTERES ]]/30*U5705))</f>
        <v>0</v>
      </c>
      <c r="T5705" s="53" t="e">
        <f>Tabla14[[#This Row],[DEUDA CAPITAL]]+Tabla14[[#This Row],[INTERES  CUOTA]]</f>
        <v>#NUM!</v>
      </c>
      <c r="U5705" s="61" t="str">
        <f t="shared" si="899"/>
        <v/>
      </c>
    </row>
    <row r="5706" spans="9:21" ht="24.75" customHeight="1" x14ac:dyDescent="0.35">
      <c r="I5706" s="42">
        <f t="shared" si="890"/>
        <v>0</v>
      </c>
      <c r="J5706" s="65" t="e">
        <f t="shared" si="891"/>
        <v>#NUM!</v>
      </c>
      <c r="K5706" s="83" t="e">
        <f t="shared" si="892"/>
        <v>#NUM!</v>
      </c>
      <c r="L5706" s="83">
        <f t="shared" si="893"/>
        <v>0</v>
      </c>
      <c r="M5706" s="110" t="str">
        <f t="shared" si="894"/>
        <v/>
      </c>
      <c r="N5706" s="51" t="str">
        <f t="shared" si="895"/>
        <v/>
      </c>
      <c r="O5706" s="52" t="str">
        <f t="shared" si="896"/>
        <v/>
      </c>
      <c r="P5706" s="88">
        <f t="shared" si="897"/>
        <v>0</v>
      </c>
      <c r="Q5706" s="88">
        <f t="shared" si="898"/>
        <v>0</v>
      </c>
      <c r="R5706" s="88" t="e">
        <f>-IF(Tabla14[[#This Row],[DIAS HABILES O MORA]]&lt;0,(Tabla14[[#This Row],[VALOR PRESTAMO]]*Tabla14[[#This Row],[% INTERES ]]/30*U5706))+Tabla14[[#This Row],[VALOR CUOTAS]]</f>
        <v>#VALUE!</v>
      </c>
      <c r="S5706" s="88">
        <f>-IF(Tabla14[[#This Row],[DIAS HABILES O MORA]]&lt;0,(Tabla14[[#This Row],[VALOR PRESTAMO]]*Tabla14[[#This Row],[% INTERES ]]/30*U5706))</f>
        <v>0</v>
      </c>
      <c r="T5706" s="53" t="e">
        <f>Tabla14[[#This Row],[DEUDA CAPITAL]]+Tabla14[[#This Row],[INTERES  CUOTA]]</f>
        <v>#NUM!</v>
      </c>
      <c r="U5706" s="61" t="str">
        <f t="shared" si="899"/>
        <v/>
      </c>
    </row>
    <row r="5707" spans="9:21" ht="24.75" customHeight="1" x14ac:dyDescent="0.35">
      <c r="I5707" s="42">
        <f t="shared" si="890"/>
        <v>0</v>
      </c>
      <c r="J5707" s="65" t="e">
        <f t="shared" si="891"/>
        <v>#NUM!</v>
      </c>
      <c r="K5707" s="83" t="e">
        <f t="shared" si="892"/>
        <v>#NUM!</v>
      </c>
      <c r="L5707" s="83">
        <f t="shared" si="893"/>
        <v>0</v>
      </c>
      <c r="M5707" s="110" t="str">
        <f t="shared" si="894"/>
        <v/>
      </c>
      <c r="N5707" s="51" t="str">
        <f t="shared" si="895"/>
        <v/>
      </c>
      <c r="O5707" s="52" t="str">
        <f t="shared" si="896"/>
        <v/>
      </c>
      <c r="P5707" s="88">
        <f t="shared" si="897"/>
        <v>0</v>
      </c>
      <c r="Q5707" s="88">
        <f t="shared" si="898"/>
        <v>0</v>
      </c>
      <c r="R5707" s="88" t="e">
        <f>-IF(Tabla14[[#This Row],[DIAS HABILES O MORA]]&lt;0,(Tabla14[[#This Row],[VALOR PRESTAMO]]*Tabla14[[#This Row],[% INTERES ]]/30*U5707))+Tabla14[[#This Row],[VALOR CUOTAS]]</f>
        <v>#VALUE!</v>
      </c>
      <c r="S5707" s="88">
        <f>-IF(Tabla14[[#This Row],[DIAS HABILES O MORA]]&lt;0,(Tabla14[[#This Row],[VALOR PRESTAMO]]*Tabla14[[#This Row],[% INTERES ]]/30*U5707))</f>
        <v>0</v>
      </c>
      <c r="T5707" s="53" t="e">
        <f>Tabla14[[#This Row],[DEUDA CAPITAL]]+Tabla14[[#This Row],[INTERES  CUOTA]]</f>
        <v>#NUM!</v>
      </c>
      <c r="U5707" s="61" t="str">
        <f t="shared" si="899"/>
        <v/>
      </c>
    </row>
    <row r="5708" spans="9:21" ht="24.75" customHeight="1" x14ac:dyDescent="0.35">
      <c r="I5708" s="42">
        <f t="shared" si="890"/>
        <v>0</v>
      </c>
      <c r="J5708" s="65" t="e">
        <f t="shared" si="891"/>
        <v>#NUM!</v>
      </c>
      <c r="K5708" s="83" t="e">
        <f t="shared" si="892"/>
        <v>#NUM!</v>
      </c>
      <c r="L5708" s="83">
        <f t="shared" si="893"/>
        <v>0</v>
      </c>
      <c r="M5708" s="110" t="str">
        <f t="shared" si="894"/>
        <v/>
      </c>
      <c r="N5708" s="51" t="str">
        <f t="shared" si="895"/>
        <v/>
      </c>
      <c r="O5708" s="52" t="str">
        <f t="shared" si="896"/>
        <v/>
      </c>
      <c r="P5708" s="88">
        <f t="shared" si="897"/>
        <v>0</v>
      </c>
      <c r="Q5708" s="88">
        <f t="shared" si="898"/>
        <v>0</v>
      </c>
      <c r="R5708" s="88" t="e">
        <f>-IF(Tabla14[[#This Row],[DIAS HABILES O MORA]]&lt;0,(Tabla14[[#This Row],[VALOR PRESTAMO]]*Tabla14[[#This Row],[% INTERES ]]/30*U5708))+Tabla14[[#This Row],[VALOR CUOTAS]]</f>
        <v>#VALUE!</v>
      </c>
      <c r="S5708" s="88">
        <f>-IF(Tabla14[[#This Row],[DIAS HABILES O MORA]]&lt;0,(Tabla14[[#This Row],[VALOR PRESTAMO]]*Tabla14[[#This Row],[% INTERES ]]/30*U5708))</f>
        <v>0</v>
      </c>
      <c r="T5708" s="53" t="e">
        <f>Tabla14[[#This Row],[DEUDA CAPITAL]]+Tabla14[[#This Row],[INTERES  CUOTA]]</f>
        <v>#NUM!</v>
      </c>
      <c r="U5708" s="61" t="str">
        <f t="shared" si="899"/>
        <v/>
      </c>
    </row>
    <row r="5709" spans="9:21" ht="24.75" customHeight="1" x14ac:dyDescent="0.35">
      <c r="I5709" s="42">
        <f t="shared" si="890"/>
        <v>0</v>
      </c>
      <c r="J5709" s="65" t="e">
        <f t="shared" si="891"/>
        <v>#NUM!</v>
      </c>
      <c r="K5709" s="83" t="e">
        <f t="shared" si="892"/>
        <v>#NUM!</v>
      </c>
      <c r="L5709" s="83">
        <f t="shared" si="893"/>
        <v>0</v>
      </c>
      <c r="M5709" s="110" t="str">
        <f t="shared" si="894"/>
        <v/>
      </c>
      <c r="N5709" s="51" t="str">
        <f t="shared" si="895"/>
        <v/>
      </c>
      <c r="O5709" s="52" t="str">
        <f t="shared" si="896"/>
        <v/>
      </c>
      <c r="P5709" s="88">
        <f t="shared" si="897"/>
        <v>0</v>
      </c>
      <c r="Q5709" s="88">
        <f t="shared" si="898"/>
        <v>0</v>
      </c>
      <c r="R5709" s="88" t="e">
        <f>-IF(Tabla14[[#This Row],[DIAS HABILES O MORA]]&lt;0,(Tabla14[[#This Row],[VALOR PRESTAMO]]*Tabla14[[#This Row],[% INTERES ]]/30*U5709))+Tabla14[[#This Row],[VALOR CUOTAS]]</f>
        <v>#VALUE!</v>
      </c>
      <c r="S5709" s="88">
        <f>-IF(Tabla14[[#This Row],[DIAS HABILES O MORA]]&lt;0,(Tabla14[[#This Row],[VALOR PRESTAMO]]*Tabla14[[#This Row],[% INTERES ]]/30*U5709))</f>
        <v>0</v>
      </c>
      <c r="T5709" s="53" t="e">
        <f>Tabla14[[#This Row],[DEUDA CAPITAL]]+Tabla14[[#This Row],[INTERES  CUOTA]]</f>
        <v>#NUM!</v>
      </c>
      <c r="U5709" s="61" t="str">
        <f t="shared" si="899"/>
        <v/>
      </c>
    </row>
    <row r="5710" spans="9:21" ht="24.75" customHeight="1" x14ac:dyDescent="0.35">
      <c r="I5710" s="42">
        <f t="shared" si="890"/>
        <v>0</v>
      </c>
      <c r="J5710" s="65" t="e">
        <f t="shared" si="891"/>
        <v>#NUM!</v>
      </c>
      <c r="K5710" s="83" t="e">
        <f t="shared" si="892"/>
        <v>#NUM!</v>
      </c>
      <c r="L5710" s="83">
        <f t="shared" si="893"/>
        <v>0</v>
      </c>
      <c r="M5710" s="110" t="str">
        <f t="shared" si="894"/>
        <v/>
      </c>
      <c r="N5710" s="51" t="str">
        <f t="shared" si="895"/>
        <v/>
      </c>
      <c r="O5710" s="52" t="str">
        <f t="shared" si="896"/>
        <v/>
      </c>
      <c r="P5710" s="88">
        <f t="shared" si="897"/>
        <v>0</v>
      </c>
      <c r="Q5710" s="88">
        <f t="shared" si="898"/>
        <v>0</v>
      </c>
      <c r="R5710" s="88" t="e">
        <f>-IF(Tabla14[[#This Row],[DIAS HABILES O MORA]]&lt;0,(Tabla14[[#This Row],[VALOR PRESTAMO]]*Tabla14[[#This Row],[% INTERES ]]/30*U5710))+Tabla14[[#This Row],[VALOR CUOTAS]]</f>
        <v>#VALUE!</v>
      </c>
      <c r="S5710" s="88">
        <f>-IF(Tabla14[[#This Row],[DIAS HABILES O MORA]]&lt;0,(Tabla14[[#This Row],[VALOR PRESTAMO]]*Tabla14[[#This Row],[% INTERES ]]/30*U5710))</f>
        <v>0</v>
      </c>
      <c r="T5710" s="53" t="e">
        <f>Tabla14[[#This Row],[DEUDA CAPITAL]]+Tabla14[[#This Row],[INTERES  CUOTA]]</f>
        <v>#NUM!</v>
      </c>
      <c r="U5710" s="61" t="str">
        <f t="shared" si="899"/>
        <v/>
      </c>
    </row>
    <row r="5711" spans="9:21" ht="24.75" customHeight="1" x14ac:dyDescent="0.35">
      <c r="I5711" s="42">
        <f t="shared" si="890"/>
        <v>0</v>
      </c>
      <c r="J5711" s="65" t="e">
        <f t="shared" si="891"/>
        <v>#NUM!</v>
      </c>
      <c r="K5711" s="83" t="e">
        <f t="shared" si="892"/>
        <v>#NUM!</v>
      </c>
      <c r="L5711" s="83">
        <f t="shared" si="893"/>
        <v>0</v>
      </c>
      <c r="M5711" s="110" t="str">
        <f t="shared" si="894"/>
        <v/>
      </c>
      <c r="N5711" s="51" t="str">
        <f t="shared" si="895"/>
        <v/>
      </c>
      <c r="O5711" s="52" t="str">
        <f t="shared" si="896"/>
        <v/>
      </c>
      <c r="P5711" s="88">
        <f t="shared" si="897"/>
        <v>0</v>
      </c>
      <c r="Q5711" s="88">
        <f t="shared" si="898"/>
        <v>0</v>
      </c>
      <c r="R5711" s="88" t="e">
        <f>-IF(Tabla14[[#This Row],[DIAS HABILES O MORA]]&lt;0,(Tabla14[[#This Row],[VALOR PRESTAMO]]*Tabla14[[#This Row],[% INTERES ]]/30*U5711))+Tabla14[[#This Row],[VALOR CUOTAS]]</f>
        <v>#VALUE!</v>
      </c>
      <c r="S5711" s="88">
        <f>-IF(Tabla14[[#This Row],[DIAS HABILES O MORA]]&lt;0,(Tabla14[[#This Row],[VALOR PRESTAMO]]*Tabla14[[#This Row],[% INTERES ]]/30*U5711))</f>
        <v>0</v>
      </c>
      <c r="T5711" s="53" t="e">
        <f>Tabla14[[#This Row],[DEUDA CAPITAL]]+Tabla14[[#This Row],[INTERES  CUOTA]]</f>
        <v>#NUM!</v>
      </c>
      <c r="U5711" s="61" t="str">
        <f t="shared" si="899"/>
        <v/>
      </c>
    </row>
    <row r="5712" spans="9:21" ht="24.75" customHeight="1" x14ac:dyDescent="0.35">
      <c r="I5712" s="42">
        <f t="shared" ref="I5712:I5775" si="900">IF(C5712&lt;0,"",IF(Q5712=0,0,IF(G5712=0,H5712+1,IF(H5712&lt;G5712,H5712+1,IF(G5712=H5712,0)))))</f>
        <v>0</v>
      </c>
      <c r="J5712" s="65" t="e">
        <f t="shared" ref="J5712:J5775" si="901">IF(F5712="SOLO INTERES",Q5712*D5712,-IPMT(D5712,I5712,G5712,C5712))</f>
        <v>#NUM!</v>
      </c>
      <c r="K5712" s="83" t="e">
        <f t="shared" ref="K5712:K5775" si="902">IF(F5712="SOLO INTERES",0,-PPMT(D5712,I5712,G5712,C5712))</f>
        <v>#NUM!</v>
      </c>
      <c r="L5712" s="83">
        <f t="shared" ref="L5712:L5775" si="903">IF(F5712="SOLO INTERES",SUM(Y5712:AAE5712),IFERROR(-CUMIPMT(D5712,G5712,C5712,1,H5712,0),0)+SUM(Y5712:WY5712))</f>
        <v>0</v>
      </c>
      <c r="M5712" s="110" t="str">
        <f t="shared" ref="M5712:M5775" si="904">IFERROR(IF(F5712="SOLO INTERES",Q5712*D5712,-PMT(D5712,G5712,C5712,0)),"")</f>
        <v/>
      </c>
      <c r="N5712" s="51" t="str">
        <f t="shared" ref="N5712:N5775" si="905">IF(Q5712=0,"",IF(E5712="MENSUAL",EDATE(B5712,I5712),IF(E5712="QUINCENAL",B5712+(I5712*15),IF(E5712="SEMANAL",B5712+(I5712*7)))))</f>
        <v/>
      </c>
      <c r="O5712" s="52" t="str">
        <f t="shared" ref="O5712:O5775" si="906">IF(C5712=0,"",IF(Q5712&lt;1,"PAGADO",IF(N5712=$A$3,"COBRAR HOY",IF(N5712&lt;$A$3,"EN MORA",IF(N5712&gt;$A$3,"AL DIA")))))</f>
        <v/>
      </c>
      <c r="P5712" s="88">
        <f t="shared" ref="P5712:P5775" si="907">IFERROR(-CUMPRINC(D5712,G5712,C5712,1,H5712,0),0)+W5712</f>
        <v>0</v>
      </c>
      <c r="Q5712" s="88">
        <f t="shared" ref="Q5712:Q5775" si="908">IFERROR(C5712-P5712,"")</f>
        <v>0</v>
      </c>
      <c r="R5712" s="88" t="e">
        <f>-IF(Tabla14[[#This Row],[DIAS HABILES O MORA]]&lt;0,(Tabla14[[#This Row],[VALOR PRESTAMO]]*Tabla14[[#This Row],[% INTERES ]]/30*U5712))+Tabla14[[#This Row],[VALOR CUOTAS]]</f>
        <v>#VALUE!</v>
      </c>
      <c r="S5712" s="88">
        <f>-IF(Tabla14[[#This Row],[DIAS HABILES O MORA]]&lt;0,(Tabla14[[#This Row],[VALOR PRESTAMO]]*Tabla14[[#This Row],[% INTERES ]]/30*U5712))</f>
        <v>0</v>
      </c>
      <c r="T5712" s="53" t="e">
        <f>Tabla14[[#This Row],[DEUDA CAPITAL]]+Tabla14[[#This Row],[INTERES  CUOTA]]</f>
        <v>#NUM!</v>
      </c>
      <c r="U5712" s="61" t="str">
        <f t="shared" ref="U5712:U5775" si="909">IF(O5712="PAGADO","",IFERROR(-IF(C5712=0,"",$A$3-N5712),""))</f>
        <v/>
      </c>
    </row>
    <row r="5713" spans="9:21" ht="24.75" customHeight="1" x14ac:dyDescent="0.35">
      <c r="I5713" s="42">
        <f t="shared" si="900"/>
        <v>0</v>
      </c>
      <c r="J5713" s="65" t="e">
        <f t="shared" si="901"/>
        <v>#NUM!</v>
      </c>
      <c r="K5713" s="83" t="e">
        <f t="shared" si="902"/>
        <v>#NUM!</v>
      </c>
      <c r="L5713" s="83">
        <f t="shared" si="903"/>
        <v>0</v>
      </c>
      <c r="M5713" s="110" t="str">
        <f t="shared" si="904"/>
        <v/>
      </c>
      <c r="N5713" s="51" t="str">
        <f t="shared" si="905"/>
        <v/>
      </c>
      <c r="O5713" s="52" t="str">
        <f t="shared" si="906"/>
        <v/>
      </c>
      <c r="P5713" s="88">
        <f t="shared" si="907"/>
        <v>0</v>
      </c>
      <c r="Q5713" s="88">
        <f t="shared" si="908"/>
        <v>0</v>
      </c>
      <c r="R5713" s="88" t="e">
        <f>-IF(Tabla14[[#This Row],[DIAS HABILES O MORA]]&lt;0,(Tabla14[[#This Row],[VALOR PRESTAMO]]*Tabla14[[#This Row],[% INTERES ]]/30*U5713))+Tabla14[[#This Row],[VALOR CUOTAS]]</f>
        <v>#VALUE!</v>
      </c>
      <c r="S5713" s="88">
        <f>-IF(Tabla14[[#This Row],[DIAS HABILES O MORA]]&lt;0,(Tabla14[[#This Row],[VALOR PRESTAMO]]*Tabla14[[#This Row],[% INTERES ]]/30*U5713))</f>
        <v>0</v>
      </c>
      <c r="T5713" s="53" t="e">
        <f>Tabla14[[#This Row],[DEUDA CAPITAL]]+Tabla14[[#This Row],[INTERES  CUOTA]]</f>
        <v>#NUM!</v>
      </c>
      <c r="U5713" s="61" t="str">
        <f t="shared" si="909"/>
        <v/>
      </c>
    </row>
    <row r="5714" spans="9:21" ht="24.75" customHeight="1" x14ac:dyDescent="0.35">
      <c r="I5714" s="42">
        <f t="shared" si="900"/>
        <v>0</v>
      </c>
      <c r="J5714" s="65" t="e">
        <f t="shared" si="901"/>
        <v>#NUM!</v>
      </c>
      <c r="K5714" s="83" t="e">
        <f t="shared" si="902"/>
        <v>#NUM!</v>
      </c>
      <c r="L5714" s="83">
        <f t="shared" si="903"/>
        <v>0</v>
      </c>
      <c r="M5714" s="110" t="str">
        <f t="shared" si="904"/>
        <v/>
      </c>
      <c r="N5714" s="51" t="str">
        <f t="shared" si="905"/>
        <v/>
      </c>
      <c r="O5714" s="52" t="str">
        <f t="shared" si="906"/>
        <v/>
      </c>
      <c r="P5714" s="88">
        <f t="shared" si="907"/>
        <v>0</v>
      </c>
      <c r="Q5714" s="88">
        <f t="shared" si="908"/>
        <v>0</v>
      </c>
      <c r="R5714" s="88" t="e">
        <f>-IF(Tabla14[[#This Row],[DIAS HABILES O MORA]]&lt;0,(Tabla14[[#This Row],[VALOR PRESTAMO]]*Tabla14[[#This Row],[% INTERES ]]/30*U5714))+Tabla14[[#This Row],[VALOR CUOTAS]]</f>
        <v>#VALUE!</v>
      </c>
      <c r="S5714" s="88">
        <f>-IF(Tabla14[[#This Row],[DIAS HABILES O MORA]]&lt;0,(Tabla14[[#This Row],[VALOR PRESTAMO]]*Tabla14[[#This Row],[% INTERES ]]/30*U5714))</f>
        <v>0</v>
      </c>
      <c r="T5714" s="53" t="e">
        <f>Tabla14[[#This Row],[DEUDA CAPITAL]]+Tabla14[[#This Row],[INTERES  CUOTA]]</f>
        <v>#NUM!</v>
      </c>
      <c r="U5714" s="61" t="str">
        <f t="shared" si="909"/>
        <v/>
      </c>
    </row>
    <row r="5715" spans="9:21" ht="24.75" customHeight="1" x14ac:dyDescent="0.35">
      <c r="I5715" s="42">
        <f t="shared" si="900"/>
        <v>0</v>
      </c>
      <c r="J5715" s="65" t="e">
        <f t="shared" si="901"/>
        <v>#NUM!</v>
      </c>
      <c r="K5715" s="83" t="e">
        <f t="shared" si="902"/>
        <v>#NUM!</v>
      </c>
      <c r="L5715" s="83">
        <f t="shared" si="903"/>
        <v>0</v>
      </c>
      <c r="M5715" s="110" t="str">
        <f t="shared" si="904"/>
        <v/>
      </c>
      <c r="N5715" s="51" t="str">
        <f t="shared" si="905"/>
        <v/>
      </c>
      <c r="O5715" s="52" t="str">
        <f t="shared" si="906"/>
        <v/>
      </c>
      <c r="P5715" s="88">
        <f t="shared" si="907"/>
        <v>0</v>
      </c>
      <c r="Q5715" s="88">
        <f t="shared" si="908"/>
        <v>0</v>
      </c>
      <c r="R5715" s="88" t="e">
        <f>-IF(Tabla14[[#This Row],[DIAS HABILES O MORA]]&lt;0,(Tabla14[[#This Row],[VALOR PRESTAMO]]*Tabla14[[#This Row],[% INTERES ]]/30*U5715))+Tabla14[[#This Row],[VALOR CUOTAS]]</f>
        <v>#VALUE!</v>
      </c>
      <c r="S5715" s="88">
        <f>-IF(Tabla14[[#This Row],[DIAS HABILES O MORA]]&lt;0,(Tabla14[[#This Row],[VALOR PRESTAMO]]*Tabla14[[#This Row],[% INTERES ]]/30*U5715))</f>
        <v>0</v>
      </c>
      <c r="T5715" s="53" t="e">
        <f>Tabla14[[#This Row],[DEUDA CAPITAL]]+Tabla14[[#This Row],[INTERES  CUOTA]]</f>
        <v>#NUM!</v>
      </c>
      <c r="U5715" s="61" t="str">
        <f t="shared" si="909"/>
        <v/>
      </c>
    </row>
    <row r="5716" spans="9:21" ht="24.75" customHeight="1" x14ac:dyDescent="0.35">
      <c r="I5716" s="42">
        <f t="shared" si="900"/>
        <v>0</v>
      </c>
      <c r="J5716" s="65" t="e">
        <f t="shared" si="901"/>
        <v>#NUM!</v>
      </c>
      <c r="K5716" s="83" t="e">
        <f t="shared" si="902"/>
        <v>#NUM!</v>
      </c>
      <c r="L5716" s="83">
        <f t="shared" si="903"/>
        <v>0</v>
      </c>
      <c r="M5716" s="110" t="str">
        <f t="shared" si="904"/>
        <v/>
      </c>
      <c r="N5716" s="51" t="str">
        <f t="shared" si="905"/>
        <v/>
      </c>
      <c r="O5716" s="52" t="str">
        <f t="shared" si="906"/>
        <v/>
      </c>
      <c r="P5716" s="88">
        <f t="shared" si="907"/>
        <v>0</v>
      </c>
      <c r="Q5716" s="88">
        <f t="shared" si="908"/>
        <v>0</v>
      </c>
      <c r="R5716" s="88" t="e">
        <f>-IF(Tabla14[[#This Row],[DIAS HABILES O MORA]]&lt;0,(Tabla14[[#This Row],[VALOR PRESTAMO]]*Tabla14[[#This Row],[% INTERES ]]/30*U5716))+Tabla14[[#This Row],[VALOR CUOTAS]]</f>
        <v>#VALUE!</v>
      </c>
      <c r="S5716" s="88">
        <f>-IF(Tabla14[[#This Row],[DIAS HABILES O MORA]]&lt;0,(Tabla14[[#This Row],[VALOR PRESTAMO]]*Tabla14[[#This Row],[% INTERES ]]/30*U5716))</f>
        <v>0</v>
      </c>
      <c r="T5716" s="53" t="e">
        <f>Tabla14[[#This Row],[DEUDA CAPITAL]]+Tabla14[[#This Row],[INTERES  CUOTA]]</f>
        <v>#NUM!</v>
      </c>
      <c r="U5716" s="61" t="str">
        <f t="shared" si="909"/>
        <v/>
      </c>
    </row>
    <row r="5717" spans="9:21" ht="24.75" customHeight="1" x14ac:dyDescent="0.35">
      <c r="I5717" s="42">
        <f t="shared" si="900"/>
        <v>0</v>
      </c>
      <c r="J5717" s="65" t="e">
        <f t="shared" si="901"/>
        <v>#NUM!</v>
      </c>
      <c r="K5717" s="83" t="e">
        <f t="shared" si="902"/>
        <v>#NUM!</v>
      </c>
      <c r="L5717" s="83">
        <f t="shared" si="903"/>
        <v>0</v>
      </c>
      <c r="M5717" s="110" t="str">
        <f t="shared" si="904"/>
        <v/>
      </c>
      <c r="N5717" s="51" t="str">
        <f t="shared" si="905"/>
        <v/>
      </c>
      <c r="O5717" s="52" t="str">
        <f t="shared" si="906"/>
        <v/>
      </c>
      <c r="P5717" s="88">
        <f t="shared" si="907"/>
        <v>0</v>
      </c>
      <c r="Q5717" s="88">
        <f t="shared" si="908"/>
        <v>0</v>
      </c>
      <c r="R5717" s="88" t="e">
        <f>-IF(Tabla14[[#This Row],[DIAS HABILES O MORA]]&lt;0,(Tabla14[[#This Row],[VALOR PRESTAMO]]*Tabla14[[#This Row],[% INTERES ]]/30*U5717))+Tabla14[[#This Row],[VALOR CUOTAS]]</f>
        <v>#VALUE!</v>
      </c>
      <c r="S5717" s="88">
        <f>-IF(Tabla14[[#This Row],[DIAS HABILES O MORA]]&lt;0,(Tabla14[[#This Row],[VALOR PRESTAMO]]*Tabla14[[#This Row],[% INTERES ]]/30*U5717))</f>
        <v>0</v>
      </c>
      <c r="T5717" s="53" t="e">
        <f>Tabla14[[#This Row],[DEUDA CAPITAL]]+Tabla14[[#This Row],[INTERES  CUOTA]]</f>
        <v>#NUM!</v>
      </c>
      <c r="U5717" s="61" t="str">
        <f t="shared" si="909"/>
        <v/>
      </c>
    </row>
    <row r="5718" spans="9:21" ht="24.75" customHeight="1" x14ac:dyDescent="0.35">
      <c r="I5718" s="42">
        <f t="shared" si="900"/>
        <v>0</v>
      </c>
      <c r="J5718" s="65" t="e">
        <f t="shared" si="901"/>
        <v>#NUM!</v>
      </c>
      <c r="K5718" s="83" t="e">
        <f t="shared" si="902"/>
        <v>#NUM!</v>
      </c>
      <c r="L5718" s="83">
        <f t="shared" si="903"/>
        <v>0</v>
      </c>
      <c r="M5718" s="110" t="str">
        <f t="shared" si="904"/>
        <v/>
      </c>
      <c r="N5718" s="51" t="str">
        <f t="shared" si="905"/>
        <v/>
      </c>
      <c r="O5718" s="52" t="str">
        <f t="shared" si="906"/>
        <v/>
      </c>
      <c r="P5718" s="88">
        <f t="shared" si="907"/>
        <v>0</v>
      </c>
      <c r="Q5718" s="88">
        <f t="shared" si="908"/>
        <v>0</v>
      </c>
      <c r="R5718" s="88" t="e">
        <f>-IF(Tabla14[[#This Row],[DIAS HABILES O MORA]]&lt;0,(Tabla14[[#This Row],[VALOR PRESTAMO]]*Tabla14[[#This Row],[% INTERES ]]/30*U5718))+Tabla14[[#This Row],[VALOR CUOTAS]]</f>
        <v>#VALUE!</v>
      </c>
      <c r="S5718" s="88">
        <f>-IF(Tabla14[[#This Row],[DIAS HABILES O MORA]]&lt;0,(Tabla14[[#This Row],[VALOR PRESTAMO]]*Tabla14[[#This Row],[% INTERES ]]/30*U5718))</f>
        <v>0</v>
      </c>
      <c r="T5718" s="53" t="e">
        <f>Tabla14[[#This Row],[DEUDA CAPITAL]]+Tabla14[[#This Row],[INTERES  CUOTA]]</f>
        <v>#NUM!</v>
      </c>
      <c r="U5718" s="61" t="str">
        <f t="shared" si="909"/>
        <v/>
      </c>
    </row>
    <row r="5719" spans="9:21" ht="24.75" customHeight="1" x14ac:dyDescent="0.35">
      <c r="I5719" s="42">
        <f t="shared" si="900"/>
        <v>0</v>
      </c>
      <c r="J5719" s="65" t="e">
        <f t="shared" si="901"/>
        <v>#NUM!</v>
      </c>
      <c r="K5719" s="83" t="e">
        <f t="shared" si="902"/>
        <v>#NUM!</v>
      </c>
      <c r="L5719" s="83">
        <f t="shared" si="903"/>
        <v>0</v>
      </c>
      <c r="M5719" s="110" t="str">
        <f t="shared" si="904"/>
        <v/>
      </c>
      <c r="N5719" s="51" t="str">
        <f t="shared" si="905"/>
        <v/>
      </c>
      <c r="O5719" s="52" t="str">
        <f t="shared" si="906"/>
        <v/>
      </c>
      <c r="P5719" s="88">
        <f t="shared" si="907"/>
        <v>0</v>
      </c>
      <c r="Q5719" s="88">
        <f t="shared" si="908"/>
        <v>0</v>
      </c>
      <c r="R5719" s="88" t="e">
        <f>-IF(Tabla14[[#This Row],[DIAS HABILES O MORA]]&lt;0,(Tabla14[[#This Row],[VALOR PRESTAMO]]*Tabla14[[#This Row],[% INTERES ]]/30*U5719))+Tabla14[[#This Row],[VALOR CUOTAS]]</f>
        <v>#VALUE!</v>
      </c>
      <c r="S5719" s="88">
        <f>-IF(Tabla14[[#This Row],[DIAS HABILES O MORA]]&lt;0,(Tabla14[[#This Row],[VALOR PRESTAMO]]*Tabla14[[#This Row],[% INTERES ]]/30*U5719))</f>
        <v>0</v>
      </c>
      <c r="T5719" s="53" t="e">
        <f>Tabla14[[#This Row],[DEUDA CAPITAL]]+Tabla14[[#This Row],[INTERES  CUOTA]]</f>
        <v>#NUM!</v>
      </c>
      <c r="U5719" s="61" t="str">
        <f t="shared" si="909"/>
        <v/>
      </c>
    </row>
    <row r="5720" spans="9:21" ht="24.75" customHeight="1" x14ac:dyDescent="0.35">
      <c r="I5720" s="42">
        <f t="shared" si="900"/>
        <v>0</v>
      </c>
      <c r="J5720" s="65" t="e">
        <f t="shared" si="901"/>
        <v>#NUM!</v>
      </c>
      <c r="K5720" s="83" t="e">
        <f t="shared" si="902"/>
        <v>#NUM!</v>
      </c>
      <c r="L5720" s="83">
        <f t="shared" si="903"/>
        <v>0</v>
      </c>
      <c r="M5720" s="110" t="str">
        <f t="shared" si="904"/>
        <v/>
      </c>
      <c r="N5720" s="51" t="str">
        <f t="shared" si="905"/>
        <v/>
      </c>
      <c r="O5720" s="52" t="str">
        <f t="shared" si="906"/>
        <v/>
      </c>
      <c r="P5720" s="88">
        <f t="shared" si="907"/>
        <v>0</v>
      </c>
      <c r="Q5720" s="88">
        <f t="shared" si="908"/>
        <v>0</v>
      </c>
      <c r="R5720" s="88" t="e">
        <f>-IF(Tabla14[[#This Row],[DIAS HABILES O MORA]]&lt;0,(Tabla14[[#This Row],[VALOR PRESTAMO]]*Tabla14[[#This Row],[% INTERES ]]/30*U5720))+Tabla14[[#This Row],[VALOR CUOTAS]]</f>
        <v>#VALUE!</v>
      </c>
      <c r="S5720" s="88">
        <f>-IF(Tabla14[[#This Row],[DIAS HABILES O MORA]]&lt;0,(Tabla14[[#This Row],[VALOR PRESTAMO]]*Tabla14[[#This Row],[% INTERES ]]/30*U5720))</f>
        <v>0</v>
      </c>
      <c r="T5720" s="53" t="e">
        <f>Tabla14[[#This Row],[DEUDA CAPITAL]]+Tabla14[[#This Row],[INTERES  CUOTA]]</f>
        <v>#NUM!</v>
      </c>
      <c r="U5720" s="61" t="str">
        <f t="shared" si="909"/>
        <v/>
      </c>
    </row>
    <row r="5721" spans="9:21" ht="24.75" customHeight="1" x14ac:dyDescent="0.35">
      <c r="I5721" s="42">
        <f t="shared" si="900"/>
        <v>0</v>
      </c>
      <c r="J5721" s="65" t="e">
        <f t="shared" si="901"/>
        <v>#NUM!</v>
      </c>
      <c r="K5721" s="83" t="e">
        <f t="shared" si="902"/>
        <v>#NUM!</v>
      </c>
      <c r="L5721" s="83">
        <f t="shared" si="903"/>
        <v>0</v>
      </c>
      <c r="M5721" s="110" t="str">
        <f t="shared" si="904"/>
        <v/>
      </c>
      <c r="N5721" s="51" t="str">
        <f t="shared" si="905"/>
        <v/>
      </c>
      <c r="O5721" s="52" t="str">
        <f t="shared" si="906"/>
        <v/>
      </c>
      <c r="P5721" s="88">
        <f t="shared" si="907"/>
        <v>0</v>
      </c>
      <c r="Q5721" s="88">
        <f t="shared" si="908"/>
        <v>0</v>
      </c>
      <c r="R5721" s="88" t="e">
        <f>-IF(Tabla14[[#This Row],[DIAS HABILES O MORA]]&lt;0,(Tabla14[[#This Row],[VALOR PRESTAMO]]*Tabla14[[#This Row],[% INTERES ]]/30*U5721))+Tabla14[[#This Row],[VALOR CUOTAS]]</f>
        <v>#VALUE!</v>
      </c>
      <c r="S5721" s="88">
        <f>-IF(Tabla14[[#This Row],[DIAS HABILES O MORA]]&lt;0,(Tabla14[[#This Row],[VALOR PRESTAMO]]*Tabla14[[#This Row],[% INTERES ]]/30*U5721))</f>
        <v>0</v>
      </c>
      <c r="T5721" s="53" t="e">
        <f>Tabla14[[#This Row],[DEUDA CAPITAL]]+Tabla14[[#This Row],[INTERES  CUOTA]]</f>
        <v>#NUM!</v>
      </c>
      <c r="U5721" s="61" t="str">
        <f t="shared" si="909"/>
        <v/>
      </c>
    </row>
    <row r="5722" spans="9:21" ht="24.75" customHeight="1" x14ac:dyDescent="0.35">
      <c r="I5722" s="42">
        <f t="shared" si="900"/>
        <v>0</v>
      </c>
      <c r="J5722" s="65" t="e">
        <f t="shared" si="901"/>
        <v>#NUM!</v>
      </c>
      <c r="K5722" s="83" t="e">
        <f t="shared" si="902"/>
        <v>#NUM!</v>
      </c>
      <c r="L5722" s="83">
        <f t="shared" si="903"/>
        <v>0</v>
      </c>
      <c r="M5722" s="110" t="str">
        <f t="shared" si="904"/>
        <v/>
      </c>
      <c r="N5722" s="51" t="str">
        <f t="shared" si="905"/>
        <v/>
      </c>
      <c r="O5722" s="52" t="str">
        <f t="shared" si="906"/>
        <v/>
      </c>
      <c r="P5722" s="88">
        <f t="shared" si="907"/>
        <v>0</v>
      </c>
      <c r="Q5722" s="88">
        <f t="shared" si="908"/>
        <v>0</v>
      </c>
      <c r="R5722" s="88" t="e">
        <f>-IF(Tabla14[[#This Row],[DIAS HABILES O MORA]]&lt;0,(Tabla14[[#This Row],[VALOR PRESTAMO]]*Tabla14[[#This Row],[% INTERES ]]/30*U5722))+Tabla14[[#This Row],[VALOR CUOTAS]]</f>
        <v>#VALUE!</v>
      </c>
      <c r="S5722" s="88">
        <f>-IF(Tabla14[[#This Row],[DIAS HABILES O MORA]]&lt;0,(Tabla14[[#This Row],[VALOR PRESTAMO]]*Tabla14[[#This Row],[% INTERES ]]/30*U5722))</f>
        <v>0</v>
      </c>
      <c r="T5722" s="53" t="e">
        <f>Tabla14[[#This Row],[DEUDA CAPITAL]]+Tabla14[[#This Row],[INTERES  CUOTA]]</f>
        <v>#NUM!</v>
      </c>
      <c r="U5722" s="61" t="str">
        <f t="shared" si="909"/>
        <v/>
      </c>
    </row>
    <row r="5723" spans="9:21" ht="24.75" customHeight="1" x14ac:dyDescent="0.35">
      <c r="I5723" s="42">
        <f t="shared" si="900"/>
        <v>0</v>
      </c>
      <c r="J5723" s="65" t="e">
        <f t="shared" si="901"/>
        <v>#NUM!</v>
      </c>
      <c r="K5723" s="83" t="e">
        <f t="shared" si="902"/>
        <v>#NUM!</v>
      </c>
      <c r="L5723" s="83">
        <f t="shared" si="903"/>
        <v>0</v>
      </c>
      <c r="M5723" s="110" t="str">
        <f t="shared" si="904"/>
        <v/>
      </c>
      <c r="N5723" s="51" t="str">
        <f t="shared" si="905"/>
        <v/>
      </c>
      <c r="O5723" s="52" t="str">
        <f t="shared" si="906"/>
        <v/>
      </c>
      <c r="P5723" s="88">
        <f t="shared" si="907"/>
        <v>0</v>
      </c>
      <c r="Q5723" s="88">
        <f t="shared" si="908"/>
        <v>0</v>
      </c>
      <c r="R5723" s="88" t="e">
        <f>-IF(Tabla14[[#This Row],[DIAS HABILES O MORA]]&lt;0,(Tabla14[[#This Row],[VALOR PRESTAMO]]*Tabla14[[#This Row],[% INTERES ]]/30*U5723))+Tabla14[[#This Row],[VALOR CUOTAS]]</f>
        <v>#VALUE!</v>
      </c>
      <c r="S5723" s="88">
        <f>-IF(Tabla14[[#This Row],[DIAS HABILES O MORA]]&lt;0,(Tabla14[[#This Row],[VALOR PRESTAMO]]*Tabla14[[#This Row],[% INTERES ]]/30*U5723))</f>
        <v>0</v>
      </c>
      <c r="T5723" s="53" t="e">
        <f>Tabla14[[#This Row],[DEUDA CAPITAL]]+Tabla14[[#This Row],[INTERES  CUOTA]]</f>
        <v>#NUM!</v>
      </c>
      <c r="U5723" s="61" t="str">
        <f t="shared" si="909"/>
        <v/>
      </c>
    </row>
    <row r="5724" spans="9:21" ht="24.75" customHeight="1" x14ac:dyDescent="0.35">
      <c r="I5724" s="42">
        <f t="shared" si="900"/>
        <v>0</v>
      </c>
      <c r="J5724" s="65" t="e">
        <f t="shared" si="901"/>
        <v>#NUM!</v>
      </c>
      <c r="K5724" s="83" t="e">
        <f t="shared" si="902"/>
        <v>#NUM!</v>
      </c>
      <c r="L5724" s="83">
        <f t="shared" si="903"/>
        <v>0</v>
      </c>
      <c r="M5724" s="110" t="str">
        <f t="shared" si="904"/>
        <v/>
      </c>
      <c r="N5724" s="51" t="str">
        <f t="shared" si="905"/>
        <v/>
      </c>
      <c r="O5724" s="52" t="str">
        <f t="shared" si="906"/>
        <v/>
      </c>
      <c r="P5724" s="88">
        <f t="shared" si="907"/>
        <v>0</v>
      </c>
      <c r="Q5724" s="88">
        <f t="shared" si="908"/>
        <v>0</v>
      </c>
      <c r="R5724" s="88" t="e">
        <f>-IF(Tabla14[[#This Row],[DIAS HABILES O MORA]]&lt;0,(Tabla14[[#This Row],[VALOR PRESTAMO]]*Tabla14[[#This Row],[% INTERES ]]/30*U5724))+Tabla14[[#This Row],[VALOR CUOTAS]]</f>
        <v>#VALUE!</v>
      </c>
      <c r="S5724" s="88">
        <f>-IF(Tabla14[[#This Row],[DIAS HABILES O MORA]]&lt;0,(Tabla14[[#This Row],[VALOR PRESTAMO]]*Tabla14[[#This Row],[% INTERES ]]/30*U5724))</f>
        <v>0</v>
      </c>
      <c r="T5724" s="53" t="e">
        <f>Tabla14[[#This Row],[DEUDA CAPITAL]]+Tabla14[[#This Row],[INTERES  CUOTA]]</f>
        <v>#NUM!</v>
      </c>
      <c r="U5724" s="61" t="str">
        <f t="shared" si="909"/>
        <v/>
      </c>
    </row>
    <row r="5725" spans="9:21" ht="24.75" customHeight="1" x14ac:dyDescent="0.35">
      <c r="I5725" s="42">
        <f t="shared" si="900"/>
        <v>0</v>
      </c>
      <c r="J5725" s="65" t="e">
        <f t="shared" si="901"/>
        <v>#NUM!</v>
      </c>
      <c r="K5725" s="83" t="e">
        <f t="shared" si="902"/>
        <v>#NUM!</v>
      </c>
      <c r="L5725" s="83">
        <f t="shared" si="903"/>
        <v>0</v>
      </c>
      <c r="M5725" s="110" t="str">
        <f t="shared" si="904"/>
        <v/>
      </c>
      <c r="N5725" s="51" t="str">
        <f t="shared" si="905"/>
        <v/>
      </c>
      <c r="O5725" s="52" t="str">
        <f t="shared" si="906"/>
        <v/>
      </c>
      <c r="P5725" s="88">
        <f t="shared" si="907"/>
        <v>0</v>
      </c>
      <c r="Q5725" s="88">
        <f t="shared" si="908"/>
        <v>0</v>
      </c>
      <c r="R5725" s="88" t="e">
        <f>-IF(Tabla14[[#This Row],[DIAS HABILES O MORA]]&lt;0,(Tabla14[[#This Row],[VALOR PRESTAMO]]*Tabla14[[#This Row],[% INTERES ]]/30*U5725))+Tabla14[[#This Row],[VALOR CUOTAS]]</f>
        <v>#VALUE!</v>
      </c>
      <c r="S5725" s="88">
        <f>-IF(Tabla14[[#This Row],[DIAS HABILES O MORA]]&lt;0,(Tabla14[[#This Row],[VALOR PRESTAMO]]*Tabla14[[#This Row],[% INTERES ]]/30*U5725))</f>
        <v>0</v>
      </c>
      <c r="T5725" s="53" t="e">
        <f>Tabla14[[#This Row],[DEUDA CAPITAL]]+Tabla14[[#This Row],[INTERES  CUOTA]]</f>
        <v>#NUM!</v>
      </c>
      <c r="U5725" s="61" t="str">
        <f t="shared" si="909"/>
        <v/>
      </c>
    </row>
    <row r="5726" spans="9:21" ht="24.75" customHeight="1" x14ac:dyDescent="0.35">
      <c r="I5726" s="42">
        <f t="shared" si="900"/>
        <v>0</v>
      </c>
      <c r="J5726" s="65" t="e">
        <f t="shared" si="901"/>
        <v>#NUM!</v>
      </c>
      <c r="K5726" s="83" t="e">
        <f t="shared" si="902"/>
        <v>#NUM!</v>
      </c>
      <c r="L5726" s="83">
        <f t="shared" si="903"/>
        <v>0</v>
      </c>
      <c r="M5726" s="110" t="str">
        <f t="shared" si="904"/>
        <v/>
      </c>
      <c r="N5726" s="51" t="str">
        <f t="shared" si="905"/>
        <v/>
      </c>
      <c r="O5726" s="52" t="str">
        <f t="shared" si="906"/>
        <v/>
      </c>
      <c r="P5726" s="88">
        <f t="shared" si="907"/>
        <v>0</v>
      </c>
      <c r="Q5726" s="88">
        <f t="shared" si="908"/>
        <v>0</v>
      </c>
      <c r="R5726" s="88" t="e">
        <f>-IF(Tabla14[[#This Row],[DIAS HABILES O MORA]]&lt;0,(Tabla14[[#This Row],[VALOR PRESTAMO]]*Tabla14[[#This Row],[% INTERES ]]/30*U5726))+Tabla14[[#This Row],[VALOR CUOTAS]]</f>
        <v>#VALUE!</v>
      </c>
      <c r="S5726" s="88">
        <f>-IF(Tabla14[[#This Row],[DIAS HABILES O MORA]]&lt;0,(Tabla14[[#This Row],[VALOR PRESTAMO]]*Tabla14[[#This Row],[% INTERES ]]/30*U5726))</f>
        <v>0</v>
      </c>
      <c r="T5726" s="53" t="e">
        <f>Tabla14[[#This Row],[DEUDA CAPITAL]]+Tabla14[[#This Row],[INTERES  CUOTA]]</f>
        <v>#NUM!</v>
      </c>
      <c r="U5726" s="61" t="str">
        <f t="shared" si="909"/>
        <v/>
      </c>
    </row>
    <row r="5727" spans="9:21" ht="24.75" customHeight="1" x14ac:dyDescent="0.35">
      <c r="I5727" s="42">
        <f t="shared" si="900"/>
        <v>0</v>
      </c>
      <c r="J5727" s="65" t="e">
        <f t="shared" si="901"/>
        <v>#NUM!</v>
      </c>
      <c r="K5727" s="83" t="e">
        <f t="shared" si="902"/>
        <v>#NUM!</v>
      </c>
      <c r="L5727" s="83">
        <f t="shared" si="903"/>
        <v>0</v>
      </c>
      <c r="M5727" s="110" t="str">
        <f t="shared" si="904"/>
        <v/>
      </c>
      <c r="N5727" s="51" t="str">
        <f t="shared" si="905"/>
        <v/>
      </c>
      <c r="O5727" s="52" t="str">
        <f t="shared" si="906"/>
        <v/>
      </c>
      <c r="P5727" s="88">
        <f t="shared" si="907"/>
        <v>0</v>
      </c>
      <c r="Q5727" s="88">
        <f t="shared" si="908"/>
        <v>0</v>
      </c>
      <c r="R5727" s="88" t="e">
        <f>-IF(Tabla14[[#This Row],[DIAS HABILES O MORA]]&lt;0,(Tabla14[[#This Row],[VALOR PRESTAMO]]*Tabla14[[#This Row],[% INTERES ]]/30*U5727))+Tabla14[[#This Row],[VALOR CUOTAS]]</f>
        <v>#VALUE!</v>
      </c>
      <c r="S5727" s="88">
        <f>-IF(Tabla14[[#This Row],[DIAS HABILES O MORA]]&lt;0,(Tabla14[[#This Row],[VALOR PRESTAMO]]*Tabla14[[#This Row],[% INTERES ]]/30*U5727))</f>
        <v>0</v>
      </c>
      <c r="T5727" s="53" t="e">
        <f>Tabla14[[#This Row],[DEUDA CAPITAL]]+Tabla14[[#This Row],[INTERES  CUOTA]]</f>
        <v>#NUM!</v>
      </c>
      <c r="U5727" s="61" t="str">
        <f t="shared" si="909"/>
        <v/>
      </c>
    </row>
    <row r="5728" spans="9:21" ht="24.75" customHeight="1" x14ac:dyDescent="0.35">
      <c r="I5728" s="42">
        <f t="shared" si="900"/>
        <v>0</v>
      </c>
      <c r="J5728" s="65" t="e">
        <f t="shared" si="901"/>
        <v>#NUM!</v>
      </c>
      <c r="K5728" s="83" t="e">
        <f t="shared" si="902"/>
        <v>#NUM!</v>
      </c>
      <c r="L5728" s="83">
        <f t="shared" si="903"/>
        <v>0</v>
      </c>
      <c r="M5728" s="110" t="str">
        <f t="shared" si="904"/>
        <v/>
      </c>
      <c r="N5728" s="51" t="str">
        <f t="shared" si="905"/>
        <v/>
      </c>
      <c r="O5728" s="52" t="str">
        <f t="shared" si="906"/>
        <v/>
      </c>
      <c r="P5728" s="88">
        <f t="shared" si="907"/>
        <v>0</v>
      </c>
      <c r="Q5728" s="88">
        <f t="shared" si="908"/>
        <v>0</v>
      </c>
      <c r="R5728" s="88" t="e">
        <f>-IF(Tabla14[[#This Row],[DIAS HABILES O MORA]]&lt;0,(Tabla14[[#This Row],[VALOR PRESTAMO]]*Tabla14[[#This Row],[% INTERES ]]/30*U5728))+Tabla14[[#This Row],[VALOR CUOTAS]]</f>
        <v>#VALUE!</v>
      </c>
      <c r="S5728" s="88">
        <f>-IF(Tabla14[[#This Row],[DIAS HABILES O MORA]]&lt;0,(Tabla14[[#This Row],[VALOR PRESTAMO]]*Tabla14[[#This Row],[% INTERES ]]/30*U5728))</f>
        <v>0</v>
      </c>
      <c r="T5728" s="53" t="e">
        <f>Tabla14[[#This Row],[DEUDA CAPITAL]]+Tabla14[[#This Row],[INTERES  CUOTA]]</f>
        <v>#NUM!</v>
      </c>
      <c r="U5728" s="61" t="str">
        <f t="shared" si="909"/>
        <v/>
      </c>
    </row>
    <row r="5729" spans="9:21" ht="24.75" customHeight="1" x14ac:dyDescent="0.35">
      <c r="I5729" s="42">
        <f t="shared" si="900"/>
        <v>0</v>
      </c>
      <c r="J5729" s="65" t="e">
        <f t="shared" si="901"/>
        <v>#NUM!</v>
      </c>
      <c r="K5729" s="83" t="e">
        <f t="shared" si="902"/>
        <v>#NUM!</v>
      </c>
      <c r="L5729" s="83">
        <f t="shared" si="903"/>
        <v>0</v>
      </c>
      <c r="M5729" s="110" t="str">
        <f t="shared" si="904"/>
        <v/>
      </c>
      <c r="N5729" s="51" t="str">
        <f t="shared" si="905"/>
        <v/>
      </c>
      <c r="O5729" s="52" t="str">
        <f t="shared" si="906"/>
        <v/>
      </c>
      <c r="P5729" s="88">
        <f t="shared" si="907"/>
        <v>0</v>
      </c>
      <c r="Q5729" s="88">
        <f t="shared" si="908"/>
        <v>0</v>
      </c>
      <c r="R5729" s="88" t="e">
        <f>-IF(Tabla14[[#This Row],[DIAS HABILES O MORA]]&lt;0,(Tabla14[[#This Row],[VALOR PRESTAMO]]*Tabla14[[#This Row],[% INTERES ]]/30*U5729))+Tabla14[[#This Row],[VALOR CUOTAS]]</f>
        <v>#VALUE!</v>
      </c>
      <c r="S5729" s="88">
        <f>-IF(Tabla14[[#This Row],[DIAS HABILES O MORA]]&lt;0,(Tabla14[[#This Row],[VALOR PRESTAMO]]*Tabla14[[#This Row],[% INTERES ]]/30*U5729))</f>
        <v>0</v>
      </c>
      <c r="T5729" s="53" t="e">
        <f>Tabla14[[#This Row],[DEUDA CAPITAL]]+Tabla14[[#This Row],[INTERES  CUOTA]]</f>
        <v>#NUM!</v>
      </c>
      <c r="U5729" s="61" t="str">
        <f t="shared" si="909"/>
        <v/>
      </c>
    </row>
    <row r="5730" spans="9:21" ht="24.75" customHeight="1" x14ac:dyDescent="0.35">
      <c r="I5730" s="42">
        <f t="shared" si="900"/>
        <v>0</v>
      </c>
      <c r="J5730" s="65" t="e">
        <f t="shared" si="901"/>
        <v>#NUM!</v>
      </c>
      <c r="K5730" s="83" t="e">
        <f t="shared" si="902"/>
        <v>#NUM!</v>
      </c>
      <c r="L5730" s="83">
        <f t="shared" si="903"/>
        <v>0</v>
      </c>
      <c r="M5730" s="110" t="str">
        <f t="shared" si="904"/>
        <v/>
      </c>
      <c r="N5730" s="51" t="str">
        <f t="shared" si="905"/>
        <v/>
      </c>
      <c r="O5730" s="52" t="str">
        <f t="shared" si="906"/>
        <v/>
      </c>
      <c r="P5730" s="88">
        <f t="shared" si="907"/>
        <v>0</v>
      </c>
      <c r="Q5730" s="88">
        <f t="shared" si="908"/>
        <v>0</v>
      </c>
      <c r="R5730" s="88" t="e">
        <f>-IF(Tabla14[[#This Row],[DIAS HABILES O MORA]]&lt;0,(Tabla14[[#This Row],[VALOR PRESTAMO]]*Tabla14[[#This Row],[% INTERES ]]/30*U5730))+Tabla14[[#This Row],[VALOR CUOTAS]]</f>
        <v>#VALUE!</v>
      </c>
      <c r="S5730" s="88">
        <f>-IF(Tabla14[[#This Row],[DIAS HABILES O MORA]]&lt;0,(Tabla14[[#This Row],[VALOR PRESTAMO]]*Tabla14[[#This Row],[% INTERES ]]/30*U5730))</f>
        <v>0</v>
      </c>
      <c r="T5730" s="53" t="e">
        <f>Tabla14[[#This Row],[DEUDA CAPITAL]]+Tabla14[[#This Row],[INTERES  CUOTA]]</f>
        <v>#NUM!</v>
      </c>
      <c r="U5730" s="61" t="str">
        <f t="shared" si="909"/>
        <v/>
      </c>
    </row>
    <row r="5731" spans="9:21" ht="24.75" customHeight="1" x14ac:dyDescent="0.35">
      <c r="I5731" s="42">
        <f t="shared" si="900"/>
        <v>0</v>
      </c>
      <c r="J5731" s="65" t="e">
        <f t="shared" si="901"/>
        <v>#NUM!</v>
      </c>
      <c r="K5731" s="83" t="e">
        <f t="shared" si="902"/>
        <v>#NUM!</v>
      </c>
      <c r="L5731" s="83">
        <f t="shared" si="903"/>
        <v>0</v>
      </c>
      <c r="M5731" s="110" t="str">
        <f t="shared" si="904"/>
        <v/>
      </c>
      <c r="N5731" s="51" t="str">
        <f t="shared" si="905"/>
        <v/>
      </c>
      <c r="O5731" s="52" t="str">
        <f t="shared" si="906"/>
        <v/>
      </c>
      <c r="P5731" s="88">
        <f t="shared" si="907"/>
        <v>0</v>
      </c>
      <c r="Q5731" s="88">
        <f t="shared" si="908"/>
        <v>0</v>
      </c>
      <c r="R5731" s="88" t="e">
        <f>-IF(Tabla14[[#This Row],[DIAS HABILES O MORA]]&lt;0,(Tabla14[[#This Row],[VALOR PRESTAMO]]*Tabla14[[#This Row],[% INTERES ]]/30*U5731))+Tabla14[[#This Row],[VALOR CUOTAS]]</f>
        <v>#VALUE!</v>
      </c>
      <c r="S5731" s="88">
        <f>-IF(Tabla14[[#This Row],[DIAS HABILES O MORA]]&lt;0,(Tabla14[[#This Row],[VALOR PRESTAMO]]*Tabla14[[#This Row],[% INTERES ]]/30*U5731))</f>
        <v>0</v>
      </c>
      <c r="T5731" s="53" t="e">
        <f>Tabla14[[#This Row],[DEUDA CAPITAL]]+Tabla14[[#This Row],[INTERES  CUOTA]]</f>
        <v>#NUM!</v>
      </c>
      <c r="U5731" s="61" t="str">
        <f t="shared" si="909"/>
        <v/>
      </c>
    </row>
    <row r="5732" spans="9:21" ht="24.75" customHeight="1" x14ac:dyDescent="0.35">
      <c r="I5732" s="42">
        <f t="shared" si="900"/>
        <v>0</v>
      </c>
      <c r="J5732" s="65" t="e">
        <f t="shared" si="901"/>
        <v>#NUM!</v>
      </c>
      <c r="K5732" s="83" t="e">
        <f t="shared" si="902"/>
        <v>#NUM!</v>
      </c>
      <c r="L5732" s="83">
        <f t="shared" si="903"/>
        <v>0</v>
      </c>
      <c r="M5732" s="110" t="str">
        <f t="shared" si="904"/>
        <v/>
      </c>
      <c r="N5732" s="51" t="str">
        <f t="shared" si="905"/>
        <v/>
      </c>
      <c r="O5732" s="52" t="str">
        <f t="shared" si="906"/>
        <v/>
      </c>
      <c r="P5732" s="88">
        <f t="shared" si="907"/>
        <v>0</v>
      </c>
      <c r="Q5732" s="88">
        <f t="shared" si="908"/>
        <v>0</v>
      </c>
      <c r="R5732" s="88" t="e">
        <f>-IF(Tabla14[[#This Row],[DIAS HABILES O MORA]]&lt;0,(Tabla14[[#This Row],[VALOR PRESTAMO]]*Tabla14[[#This Row],[% INTERES ]]/30*U5732))+Tabla14[[#This Row],[VALOR CUOTAS]]</f>
        <v>#VALUE!</v>
      </c>
      <c r="S5732" s="88">
        <f>-IF(Tabla14[[#This Row],[DIAS HABILES O MORA]]&lt;0,(Tabla14[[#This Row],[VALOR PRESTAMO]]*Tabla14[[#This Row],[% INTERES ]]/30*U5732))</f>
        <v>0</v>
      </c>
      <c r="T5732" s="53" t="e">
        <f>Tabla14[[#This Row],[DEUDA CAPITAL]]+Tabla14[[#This Row],[INTERES  CUOTA]]</f>
        <v>#NUM!</v>
      </c>
      <c r="U5732" s="61" t="str">
        <f t="shared" si="909"/>
        <v/>
      </c>
    </row>
    <row r="5733" spans="9:21" ht="24.75" customHeight="1" x14ac:dyDescent="0.35">
      <c r="I5733" s="42">
        <f t="shared" si="900"/>
        <v>0</v>
      </c>
      <c r="J5733" s="65" t="e">
        <f t="shared" si="901"/>
        <v>#NUM!</v>
      </c>
      <c r="K5733" s="83" t="e">
        <f t="shared" si="902"/>
        <v>#NUM!</v>
      </c>
      <c r="L5733" s="83">
        <f t="shared" si="903"/>
        <v>0</v>
      </c>
      <c r="M5733" s="110" t="str">
        <f t="shared" si="904"/>
        <v/>
      </c>
      <c r="N5733" s="51" t="str">
        <f t="shared" si="905"/>
        <v/>
      </c>
      <c r="O5733" s="52" t="str">
        <f t="shared" si="906"/>
        <v/>
      </c>
      <c r="P5733" s="88">
        <f t="shared" si="907"/>
        <v>0</v>
      </c>
      <c r="Q5733" s="88">
        <f t="shared" si="908"/>
        <v>0</v>
      </c>
      <c r="R5733" s="88" t="e">
        <f>-IF(Tabla14[[#This Row],[DIAS HABILES O MORA]]&lt;0,(Tabla14[[#This Row],[VALOR PRESTAMO]]*Tabla14[[#This Row],[% INTERES ]]/30*U5733))+Tabla14[[#This Row],[VALOR CUOTAS]]</f>
        <v>#VALUE!</v>
      </c>
      <c r="S5733" s="88">
        <f>-IF(Tabla14[[#This Row],[DIAS HABILES O MORA]]&lt;0,(Tabla14[[#This Row],[VALOR PRESTAMO]]*Tabla14[[#This Row],[% INTERES ]]/30*U5733))</f>
        <v>0</v>
      </c>
      <c r="T5733" s="53" t="e">
        <f>Tabla14[[#This Row],[DEUDA CAPITAL]]+Tabla14[[#This Row],[INTERES  CUOTA]]</f>
        <v>#NUM!</v>
      </c>
      <c r="U5733" s="61" t="str">
        <f t="shared" si="909"/>
        <v/>
      </c>
    </row>
    <row r="5734" spans="9:21" ht="24.75" customHeight="1" x14ac:dyDescent="0.35">
      <c r="I5734" s="42">
        <f t="shared" si="900"/>
        <v>0</v>
      </c>
      <c r="J5734" s="65" t="e">
        <f t="shared" si="901"/>
        <v>#NUM!</v>
      </c>
      <c r="K5734" s="83" t="e">
        <f t="shared" si="902"/>
        <v>#NUM!</v>
      </c>
      <c r="L5734" s="83">
        <f t="shared" si="903"/>
        <v>0</v>
      </c>
      <c r="M5734" s="110" t="str">
        <f t="shared" si="904"/>
        <v/>
      </c>
      <c r="N5734" s="51" t="str">
        <f t="shared" si="905"/>
        <v/>
      </c>
      <c r="O5734" s="52" t="str">
        <f t="shared" si="906"/>
        <v/>
      </c>
      <c r="P5734" s="88">
        <f t="shared" si="907"/>
        <v>0</v>
      </c>
      <c r="Q5734" s="88">
        <f t="shared" si="908"/>
        <v>0</v>
      </c>
      <c r="R5734" s="88" t="e">
        <f>-IF(Tabla14[[#This Row],[DIAS HABILES O MORA]]&lt;0,(Tabla14[[#This Row],[VALOR PRESTAMO]]*Tabla14[[#This Row],[% INTERES ]]/30*U5734))+Tabla14[[#This Row],[VALOR CUOTAS]]</f>
        <v>#VALUE!</v>
      </c>
      <c r="S5734" s="88">
        <f>-IF(Tabla14[[#This Row],[DIAS HABILES O MORA]]&lt;0,(Tabla14[[#This Row],[VALOR PRESTAMO]]*Tabla14[[#This Row],[% INTERES ]]/30*U5734))</f>
        <v>0</v>
      </c>
      <c r="T5734" s="53" t="e">
        <f>Tabla14[[#This Row],[DEUDA CAPITAL]]+Tabla14[[#This Row],[INTERES  CUOTA]]</f>
        <v>#NUM!</v>
      </c>
      <c r="U5734" s="61" t="str">
        <f t="shared" si="909"/>
        <v/>
      </c>
    </row>
    <row r="5735" spans="9:21" ht="24.75" customHeight="1" x14ac:dyDescent="0.35">
      <c r="I5735" s="42">
        <f t="shared" si="900"/>
        <v>0</v>
      </c>
      <c r="J5735" s="65" t="e">
        <f t="shared" si="901"/>
        <v>#NUM!</v>
      </c>
      <c r="K5735" s="83" t="e">
        <f t="shared" si="902"/>
        <v>#NUM!</v>
      </c>
      <c r="L5735" s="83">
        <f t="shared" si="903"/>
        <v>0</v>
      </c>
      <c r="M5735" s="110" t="str">
        <f t="shared" si="904"/>
        <v/>
      </c>
      <c r="N5735" s="51" t="str">
        <f t="shared" si="905"/>
        <v/>
      </c>
      <c r="O5735" s="52" t="str">
        <f t="shared" si="906"/>
        <v/>
      </c>
      <c r="P5735" s="88">
        <f t="shared" si="907"/>
        <v>0</v>
      </c>
      <c r="Q5735" s="88">
        <f t="shared" si="908"/>
        <v>0</v>
      </c>
      <c r="R5735" s="88" t="e">
        <f>-IF(Tabla14[[#This Row],[DIAS HABILES O MORA]]&lt;0,(Tabla14[[#This Row],[VALOR PRESTAMO]]*Tabla14[[#This Row],[% INTERES ]]/30*U5735))+Tabla14[[#This Row],[VALOR CUOTAS]]</f>
        <v>#VALUE!</v>
      </c>
      <c r="S5735" s="88">
        <f>-IF(Tabla14[[#This Row],[DIAS HABILES O MORA]]&lt;0,(Tabla14[[#This Row],[VALOR PRESTAMO]]*Tabla14[[#This Row],[% INTERES ]]/30*U5735))</f>
        <v>0</v>
      </c>
      <c r="T5735" s="53" t="e">
        <f>Tabla14[[#This Row],[DEUDA CAPITAL]]+Tabla14[[#This Row],[INTERES  CUOTA]]</f>
        <v>#NUM!</v>
      </c>
      <c r="U5735" s="61" t="str">
        <f t="shared" si="909"/>
        <v/>
      </c>
    </row>
    <row r="5736" spans="9:21" ht="24.75" customHeight="1" x14ac:dyDescent="0.35">
      <c r="I5736" s="42">
        <f t="shared" si="900"/>
        <v>0</v>
      </c>
      <c r="J5736" s="65" t="e">
        <f t="shared" si="901"/>
        <v>#NUM!</v>
      </c>
      <c r="K5736" s="83" t="e">
        <f t="shared" si="902"/>
        <v>#NUM!</v>
      </c>
      <c r="L5736" s="83">
        <f t="shared" si="903"/>
        <v>0</v>
      </c>
      <c r="M5736" s="110" t="str">
        <f t="shared" si="904"/>
        <v/>
      </c>
      <c r="N5736" s="51" t="str">
        <f t="shared" si="905"/>
        <v/>
      </c>
      <c r="O5736" s="52" t="str">
        <f t="shared" si="906"/>
        <v/>
      </c>
      <c r="P5736" s="88">
        <f t="shared" si="907"/>
        <v>0</v>
      </c>
      <c r="Q5736" s="88">
        <f t="shared" si="908"/>
        <v>0</v>
      </c>
      <c r="R5736" s="88" t="e">
        <f>-IF(Tabla14[[#This Row],[DIAS HABILES O MORA]]&lt;0,(Tabla14[[#This Row],[VALOR PRESTAMO]]*Tabla14[[#This Row],[% INTERES ]]/30*U5736))+Tabla14[[#This Row],[VALOR CUOTAS]]</f>
        <v>#VALUE!</v>
      </c>
      <c r="S5736" s="88">
        <f>-IF(Tabla14[[#This Row],[DIAS HABILES O MORA]]&lt;0,(Tabla14[[#This Row],[VALOR PRESTAMO]]*Tabla14[[#This Row],[% INTERES ]]/30*U5736))</f>
        <v>0</v>
      </c>
      <c r="T5736" s="53" t="e">
        <f>Tabla14[[#This Row],[DEUDA CAPITAL]]+Tabla14[[#This Row],[INTERES  CUOTA]]</f>
        <v>#NUM!</v>
      </c>
      <c r="U5736" s="61" t="str">
        <f t="shared" si="909"/>
        <v/>
      </c>
    </row>
    <row r="5737" spans="9:21" ht="24.75" customHeight="1" x14ac:dyDescent="0.35">
      <c r="I5737" s="42">
        <f t="shared" si="900"/>
        <v>0</v>
      </c>
      <c r="J5737" s="65" t="e">
        <f t="shared" si="901"/>
        <v>#NUM!</v>
      </c>
      <c r="K5737" s="83" t="e">
        <f t="shared" si="902"/>
        <v>#NUM!</v>
      </c>
      <c r="L5737" s="83">
        <f t="shared" si="903"/>
        <v>0</v>
      </c>
      <c r="M5737" s="110" t="str">
        <f t="shared" si="904"/>
        <v/>
      </c>
      <c r="N5737" s="51" t="str">
        <f t="shared" si="905"/>
        <v/>
      </c>
      <c r="O5737" s="52" t="str">
        <f t="shared" si="906"/>
        <v/>
      </c>
      <c r="P5737" s="88">
        <f t="shared" si="907"/>
        <v>0</v>
      </c>
      <c r="Q5737" s="88">
        <f t="shared" si="908"/>
        <v>0</v>
      </c>
      <c r="R5737" s="88" t="e">
        <f>-IF(Tabla14[[#This Row],[DIAS HABILES O MORA]]&lt;0,(Tabla14[[#This Row],[VALOR PRESTAMO]]*Tabla14[[#This Row],[% INTERES ]]/30*U5737))+Tabla14[[#This Row],[VALOR CUOTAS]]</f>
        <v>#VALUE!</v>
      </c>
      <c r="S5737" s="88">
        <f>-IF(Tabla14[[#This Row],[DIAS HABILES O MORA]]&lt;0,(Tabla14[[#This Row],[VALOR PRESTAMO]]*Tabla14[[#This Row],[% INTERES ]]/30*U5737))</f>
        <v>0</v>
      </c>
      <c r="T5737" s="53" t="e">
        <f>Tabla14[[#This Row],[DEUDA CAPITAL]]+Tabla14[[#This Row],[INTERES  CUOTA]]</f>
        <v>#NUM!</v>
      </c>
      <c r="U5737" s="61" t="str">
        <f t="shared" si="909"/>
        <v/>
      </c>
    </row>
    <row r="5738" spans="9:21" ht="24.75" customHeight="1" x14ac:dyDescent="0.35">
      <c r="I5738" s="42">
        <f t="shared" si="900"/>
        <v>0</v>
      </c>
      <c r="J5738" s="65" t="e">
        <f t="shared" si="901"/>
        <v>#NUM!</v>
      </c>
      <c r="K5738" s="83" t="e">
        <f t="shared" si="902"/>
        <v>#NUM!</v>
      </c>
      <c r="L5738" s="83">
        <f t="shared" si="903"/>
        <v>0</v>
      </c>
      <c r="M5738" s="110" t="str">
        <f t="shared" si="904"/>
        <v/>
      </c>
      <c r="N5738" s="51" t="str">
        <f t="shared" si="905"/>
        <v/>
      </c>
      <c r="O5738" s="52" t="str">
        <f t="shared" si="906"/>
        <v/>
      </c>
      <c r="P5738" s="88">
        <f t="shared" si="907"/>
        <v>0</v>
      </c>
      <c r="Q5738" s="88">
        <f t="shared" si="908"/>
        <v>0</v>
      </c>
      <c r="R5738" s="88" t="e">
        <f>-IF(Tabla14[[#This Row],[DIAS HABILES O MORA]]&lt;0,(Tabla14[[#This Row],[VALOR PRESTAMO]]*Tabla14[[#This Row],[% INTERES ]]/30*U5738))+Tabla14[[#This Row],[VALOR CUOTAS]]</f>
        <v>#VALUE!</v>
      </c>
      <c r="S5738" s="88">
        <f>-IF(Tabla14[[#This Row],[DIAS HABILES O MORA]]&lt;0,(Tabla14[[#This Row],[VALOR PRESTAMO]]*Tabla14[[#This Row],[% INTERES ]]/30*U5738))</f>
        <v>0</v>
      </c>
      <c r="T5738" s="53" t="e">
        <f>Tabla14[[#This Row],[DEUDA CAPITAL]]+Tabla14[[#This Row],[INTERES  CUOTA]]</f>
        <v>#NUM!</v>
      </c>
      <c r="U5738" s="61" t="str">
        <f t="shared" si="909"/>
        <v/>
      </c>
    </row>
    <row r="5739" spans="9:21" ht="24.75" customHeight="1" x14ac:dyDescent="0.35">
      <c r="I5739" s="42">
        <f t="shared" si="900"/>
        <v>0</v>
      </c>
      <c r="J5739" s="65" t="e">
        <f t="shared" si="901"/>
        <v>#NUM!</v>
      </c>
      <c r="K5739" s="83" t="e">
        <f t="shared" si="902"/>
        <v>#NUM!</v>
      </c>
      <c r="L5739" s="83">
        <f t="shared" si="903"/>
        <v>0</v>
      </c>
      <c r="M5739" s="110" t="str">
        <f t="shared" si="904"/>
        <v/>
      </c>
      <c r="N5739" s="51" t="str">
        <f t="shared" si="905"/>
        <v/>
      </c>
      <c r="O5739" s="52" t="str">
        <f t="shared" si="906"/>
        <v/>
      </c>
      <c r="P5739" s="88">
        <f t="shared" si="907"/>
        <v>0</v>
      </c>
      <c r="Q5739" s="88">
        <f t="shared" si="908"/>
        <v>0</v>
      </c>
      <c r="R5739" s="88" t="e">
        <f>-IF(Tabla14[[#This Row],[DIAS HABILES O MORA]]&lt;0,(Tabla14[[#This Row],[VALOR PRESTAMO]]*Tabla14[[#This Row],[% INTERES ]]/30*U5739))+Tabla14[[#This Row],[VALOR CUOTAS]]</f>
        <v>#VALUE!</v>
      </c>
      <c r="S5739" s="88">
        <f>-IF(Tabla14[[#This Row],[DIAS HABILES O MORA]]&lt;0,(Tabla14[[#This Row],[VALOR PRESTAMO]]*Tabla14[[#This Row],[% INTERES ]]/30*U5739))</f>
        <v>0</v>
      </c>
      <c r="T5739" s="53" t="e">
        <f>Tabla14[[#This Row],[DEUDA CAPITAL]]+Tabla14[[#This Row],[INTERES  CUOTA]]</f>
        <v>#NUM!</v>
      </c>
      <c r="U5739" s="61" t="str">
        <f t="shared" si="909"/>
        <v/>
      </c>
    </row>
    <row r="5740" spans="9:21" ht="24.75" customHeight="1" x14ac:dyDescent="0.35">
      <c r="I5740" s="42">
        <f t="shared" si="900"/>
        <v>0</v>
      </c>
      <c r="J5740" s="65" t="e">
        <f t="shared" si="901"/>
        <v>#NUM!</v>
      </c>
      <c r="K5740" s="83" t="e">
        <f t="shared" si="902"/>
        <v>#NUM!</v>
      </c>
      <c r="L5740" s="83">
        <f t="shared" si="903"/>
        <v>0</v>
      </c>
      <c r="M5740" s="110" t="str">
        <f t="shared" si="904"/>
        <v/>
      </c>
      <c r="N5740" s="51" t="str">
        <f t="shared" si="905"/>
        <v/>
      </c>
      <c r="O5740" s="52" t="str">
        <f t="shared" si="906"/>
        <v/>
      </c>
      <c r="P5740" s="88">
        <f t="shared" si="907"/>
        <v>0</v>
      </c>
      <c r="Q5740" s="88">
        <f t="shared" si="908"/>
        <v>0</v>
      </c>
      <c r="R5740" s="88" t="e">
        <f>-IF(Tabla14[[#This Row],[DIAS HABILES O MORA]]&lt;0,(Tabla14[[#This Row],[VALOR PRESTAMO]]*Tabla14[[#This Row],[% INTERES ]]/30*U5740))+Tabla14[[#This Row],[VALOR CUOTAS]]</f>
        <v>#VALUE!</v>
      </c>
      <c r="S5740" s="88">
        <f>-IF(Tabla14[[#This Row],[DIAS HABILES O MORA]]&lt;0,(Tabla14[[#This Row],[VALOR PRESTAMO]]*Tabla14[[#This Row],[% INTERES ]]/30*U5740))</f>
        <v>0</v>
      </c>
      <c r="T5740" s="53" t="e">
        <f>Tabla14[[#This Row],[DEUDA CAPITAL]]+Tabla14[[#This Row],[INTERES  CUOTA]]</f>
        <v>#NUM!</v>
      </c>
      <c r="U5740" s="61" t="str">
        <f t="shared" si="909"/>
        <v/>
      </c>
    </row>
    <row r="5741" spans="9:21" ht="24.75" customHeight="1" x14ac:dyDescent="0.35">
      <c r="I5741" s="42">
        <f t="shared" si="900"/>
        <v>0</v>
      </c>
      <c r="J5741" s="65" t="e">
        <f t="shared" si="901"/>
        <v>#NUM!</v>
      </c>
      <c r="K5741" s="83" t="e">
        <f t="shared" si="902"/>
        <v>#NUM!</v>
      </c>
      <c r="L5741" s="83">
        <f t="shared" si="903"/>
        <v>0</v>
      </c>
      <c r="M5741" s="110" t="str">
        <f t="shared" si="904"/>
        <v/>
      </c>
      <c r="N5741" s="51" t="str">
        <f t="shared" si="905"/>
        <v/>
      </c>
      <c r="O5741" s="52" t="str">
        <f t="shared" si="906"/>
        <v/>
      </c>
      <c r="P5741" s="88">
        <f t="shared" si="907"/>
        <v>0</v>
      </c>
      <c r="Q5741" s="88">
        <f t="shared" si="908"/>
        <v>0</v>
      </c>
      <c r="R5741" s="88" t="e">
        <f>-IF(Tabla14[[#This Row],[DIAS HABILES O MORA]]&lt;0,(Tabla14[[#This Row],[VALOR PRESTAMO]]*Tabla14[[#This Row],[% INTERES ]]/30*U5741))+Tabla14[[#This Row],[VALOR CUOTAS]]</f>
        <v>#VALUE!</v>
      </c>
      <c r="S5741" s="88">
        <f>-IF(Tabla14[[#This Row],[DIAS HABILES O MORA]]&lt;0,(Tabla14[[#This Row],[VALOR PRESTAMO]]*Tabla14[[#This Row],[% INTERES ]]/30*U5741))</f>
        <v>0</v>
      </c>
      <c r="T5741" s="53" t="e">
        <f>Tabla14[[#This Row],[DEUDA CAPITAL]]+Tabla14[[#This Row],[INTERES  CUOTA]]</f>
        <v>#NUM!</v>
      </c>
      <c r="U5741" s="61" t="str">
        <f t="shared" si="909"/>
        <v/>
      </c>
    </row>
    <row r="5742" spans="9:21" ht="24.75" customHeight="1" x14ac:dyDescent="0.35">
      <c r="I5742" s="42">
        <f t="shared" si="900"/>
        <v>0</v>
      </c>
      <c r="J5742" s="65" t="e">
        <f t="shared" si="901"/>
        <v>#NUM!</v>
      </c>
      <c r="K5742" s="83" t="e">
        <f t="shared" si="902"/>
        <v>#NUM!</v>
      </c>
      <c r="L5742" s="83">
        <f t="shared" si="903"/>
        <v>0</v>
      </c>
      <c r="M5742" s="110" t="str">
        <f t="shared" si="904"/>
        <v/>
      </c>
      <c r="N5742" s="51" t="str">
        <f t="shared" si="905"/>
        <v/>
      </c>
      <c r="O5742" s="52" t="str">
        <f t="shared" si="906"/>
        <v/>
      </c>
      <c r="P5742" s="88">
        <f t="shared" si="907"/>
        <v>0</v>
      </c>
      <c r="Q5742" s="88">
        <f t="shared" si="908"/>
        <v>0</v>
      </c>
      <c r="R5742" s="88" t="e">
        <f>-IF(Tabla14[[#This Row],[DIAS HABILES O MORA]]&lt;0,(Tabla14[[#This Row],[VALOR PRESTAMO]]*Tabla14[[#This Row],[% INTERES ]]/30*U5742))+Tabla14[[#This Row],[VALOR CUOTAS]]</f>
        <v>#VALUE!</v>
      </c>
      <c r="S5742" s="88">
        <f>-IF(Tabla14[[#This Row],[DIAS HABILES O MORA]]&lt;0,(Tabla14[[#This Row],[VALOR PRESTAMO]]*Tabla14[[#This Row],[% INTERES ]]/30*U5742))</f>
        <v>0</v>
      </c>
      <c r="T5742" s="53" t="e">
        <f>Tabla14[[#This Row],[DEUDA CAPITAL]]+Tabla14[[#This Row],[INTERES  CUOTA]]</f>
        <v>#NUM!</v>
      </c>
      <c r="U5742" s="61" t="str">
        <f t="shared" si="909"/>
        <v/>
      </c>
    </row>
    <row r="5743" spans="9:21" ht="24.75" customHeight="1" x14ac:dyDescent="0.35">
      <c r="I5743" s="42">
        <f t="shared" si="900"/>
        <v>0</v>
      </c>
      <c r="J5743" s="65" t="e">
        <f t="shared" si="901"/>
        <v>#NUM!</v>
      </c>
      <c r="K5743" s="83" t="e">
        <f t="shared" si="902"/>
        <v>#NUM!</v>
      </c>
      <c r="L5743" s="83">
        <f t="shared" si="903"/>
        <v>0</v>
      </c>
      <c r="M5743" s="110" t="str">
        <f t="shared" si="904"/>
        <v/>
      </c>
      <c r="N5743" s="51" t="str">
        <f t="shared" si="905"/>
        <v/>
      </c>
      <c r="O5743" s="52" t="str">
        <f t="shared" si="906"/>
        <v/>
      </c>
      <c r="P5743" s="88">
        <f t="shared" si="907"/>
        <v>0</v>
      </c>
      <c r="Q5743" s="88">
        <f t="shared" si="908"/>
        <v>0</v>
      </c>
      <c r="R5743" s="88" t="e">
        <f>-IF(Tabla14[[#This Row],[DIAS HABILES O MORA]]&lt;0,(Tabla14[[#This Row],[VALOR PRESTAMO]]*Tabla14[[#This Row],[% INTERES ]]/30*U5743))+Tabla14[[#This Row],[VALOR CUOTAS]]</f>
        <v>#VALUE!</v>
      </c>
      <c r="S5743" s="88">
        <f>-IF(Tabla14[[#This Row],[DIAS HABILES O MORA]]&lt;0,(Tabla14[[#This Row],[VALOR PRESTAMO]]*Tabla14[[#This Row],[% INTERES ]]/30*U5743))</f>
        <v>0</v>
      </c>
      <c r="T5743" s="53" t="e">
        <f>Tabla14[[#This Row],[DEUDA CAPITAL]]+Tabla14[[#This Row],[INTERES  CUOTA]]</f>
        <v>#NUM!</v>
      </c>
      <c r="U5743" s="61" t="str">
        <f t="shared" si="909"/>
        <v/>
      </c>
    </row>
    <row r="5744" spans="9:21" ht="24.75" customHeight="1" x14ac:dyDescent="0.35">
      <c r="I5744" s="42">
        <f t="shared" si="900"/>
        <v>0</v>
      </c>
      <c r="J5744" s="65" t="e">
        <f t="shared" si="901"/>
        <v>#NUM!</v>
      </c>
      <c r="K5744" s="83" t="e">
        <f t="shared" si="902"/>
        <v>#NUM!</v>
      </c>
      <c r="L5744" s="83">
        <f t="shared" si="903"/>
        <v>0</v>
      </c>
      <c r="M5744" s="110" t="str">
        <f t="shared" si="904"/>
        <v/>
      </c>
      <c r="N5744" s="51" t="str">
        <f t="shared" si="905"/>
        <v/>
      </c>
      <c r="O5744" s="52" t="str">
        <f t="shared" si="906"/>
        <v/>
      </c>
      <c r="P5744" s="88">
        <f t="shared" si="907"/>
        <v>0</v>
      </c>
      <c r="Q5744" s="88">
        <f t="shared" si="908"/>
        <v>0</v>
      </c>
      <c r="R5744" s="88" t="e">
        <f>-IF(Tabla14[[#This Row],[DIAS HABILES O MORA]]&lt;0,(Tabla14[[#This Row],[VALOR PRESTAMO]]*Tabla14[[#This Row],[% INTERES ]]/30*U5744))+Tabla14[[#This Row],[VALOR CUOTAS]]</f>
        <v>#VALUE!</v>
      </c>
      <c r="S5744" s="88">
        <f>-IF(Tabla14[[#This Row],[DIAS HABILES O MORA]]&lt;0,(Tabla14[[#This Row],[VALOR PRESTAMO]]*Tabla14[[#This Row],[% INTERES ]]/30*U5744))</f>
        <v>0</v>
      </c>
      <c r="T5744" s="53" t="e">
        <f>Tabla14[[#This Row],[DEUDA CAPITAL]]+Tabla14[[#This Row],[INTERES  CUOTA]]</f>
        <v>#NUM!</v>
      </c>
      <c r="U5744" s="61" t="str">
        <f t="shared" si="909"/>
        <v/>
      </c>
    </row>
    <row r="5745" spans="9:21" ht="24.75" customHeight="1" x14ac:dyDescent="0.35">
      <c r="I5745" s="42">
        <f t="shared" si="900"/>
        <v>0</v>
      </c>
      <c r="J5745" s="65" t="e">
        <f t="shared" si="901"/>
        <v>#NUM!</v>
      </c>
      <c r="K5745" s="83" t="e">
        <f t="shared" si="902"/>
        <v>#NUM!</v>
      </c>
      <c r="L5745" s="83">
        <f t="shared" si="903"/>
        <v>0</v>
      </c>
      <c r="M5745" s="110" t="str">
        <f t="shared" si="904"/>
        <v/>
      </c>
      <c r="N5745" s="51" t="str">
        <f t="shared" si="905"/>
        <v/>
      </c>
      <c r="O5745" s="52" t="str">
        <f t="shared" si="906"/>
        <v/>
      </c>
      <c r="P5745" s="88">
        <f t="shared" si="907"/>
        <v>0</v>
      </c>
      <c r="Q5745" s="88">
        <f t="shared" si="908"/>
        <v>0</v>
      </c>
      <c r="R5745" s="88" t="e">
        <f>-IF(Tabla14[[#This Row],[DIAS HABILES O MORA]]&lt;0,(Tabla14[[#This Row],[VALOR PRESTAMO]]*Tabla14[[#This Row],[% INTERES ]]/30*U5745))+Tabla14[[#This Row],[VALOR CUOTAS]]</f>
        <v>#VALUE!</v>
      </c>
      <c r="S5745" s="88">
        <f>-IF(Tabla14[[#This Row],[DIAS HABILES O MORA]]&lt;0,(Tabla14[[#This Row],[VALOR PRESTAMO]]*Tabla14[[#This Row],[% INTERES ]]/30*U5745))</f>
        <v>0</v>
      </c>
      <c r="T5745" s="53" t="e">
        <f>Tabla14[[#This Row],[DEUDA CAPITAL]]+Tabla14[[#This Row],[INTERES  CUOTA]]</f>
        <v>#NUM!</v>
      </c>
      <c r="U5745" s="61" t="str">
        <f t="shared" si="909"/>
        <v/>
      </c>
    </row>
    <row r="5746" spans="9:21" ht="24.75" customHeight="1" x14ac:dyDescent="0.35">
      <c r="I5746" s="42">
        <f t="shared" si="900"/>
        <v>0</v>
      </c>
      <c r="J5746" s="65" t="e">
        <f t="shared" si="901"/>
        <v>#NUM!</v>
      </c>
      <c r="K5746" s="83" t="e">
        <f t="shared" si="902"/>
        <v>#NUM!</v>
      </c>
      <c r="L5746" s="83">
        <f t="shared" si="903"/>
        <v>0</v>
      </c>
      <c r="M5746" s="110" t="str">
        <f t="shared" si="904"/>
        <v/>
      </c>
      <c r="N5746" s="51" t="str">
        <f t="shared" si="905"/>
        <v/>
      </c>
      <c r="O5746" s="52" t="str">
        <f t="shared" si="906"/>
        <v/>
      </c>
      <c r="P5746" s="88">
        <f t="shared" si="907"/>
        <v>0</v>
      </c>
      <c r="Q5746" s="88">
        <f t="shared" si="908"/>
        <v>0</v>
      </c>
      <c r="R5746" s="88" t="e">
        <f>-IF(Tabla14[[#This Row],[DIAS HABILES O MORA]]&lt;0,(Tabla14[[#This Row],[VALOR PRESTAMO]]*Tabla14[[#This Row],[% INTERES ]]/30*U5746))+Tabla14[[#This Row],[VALOR CUOTAS]]</f>
        <v>#VALUE!</v>
      </c>
      <c r="S5746" s="88">
        <f>-IF(Tabla14[[#This Row],[DIAS HABILES O MORA]]&lt;0,(Tabla14[[#This Row],[VALOR PRESTAMO]]*Tabla14[[#This Row],[% INTERES ]]/30*U5746))</f>
        <v>0</v>
      </c>
      <c r="T5746" s="53" t="e">
        <f>Tabla14[[#This Row],[DEUDA CAPITAL]]+Tabla14[[#This Row],[INTERES  CUOTA]]</f>
        <v>#NUM!</v>
      </c>
      <c r="U5746" s="61" t="str">
        <f t="shared" si="909"/>
        <v/>
      </c>
    </row>
    <row r="5747" spans="9:21" ht="24.75" customHeight="1" x14ac:dyDescent="0.35">
      <c r="I5747" s="42">
        <f t="shared" si="900"/>
        <v>0</v>
      </c>
      <c r="J5747" s="65" t="e">
        <f t="shared" si="901"/>
        <v>#NUM!</v>
      </c>
      <c r="K5747" s="83" t="e">
        <f t="shared" si="902"/>
        <v>#NUM!</v>
      </c>
      <c r="L5747" s="83">
        <f t="shared" si="903"/>
        <v>0</v>
      </c>
      <c r="M5747" s="110" t="str">
        <f t="shared" si="904"/>
        <v/>
      </c>
      <c r="N5747" s="51" t="str">
        <f t="shared" si="905"/>
        <v/>
      </c>
      <c r="O5747" s="52" t="str">
        <f t="shared" si="906"/>
        <v/>
      </c>
      <c r="P5747" s="88">
        <f t="shared" si="907"/>
        <v>0</v>
      </c>
      <c r="Q5747" s="88">
        <f t="shared" si="908"/>
        <v>0</v>
      </c>
      <c r="R5747" s="88" t="e">
        <f>-IF(Tabla14[[#This Row],[DIAS HABILES O MORA]]&lt;0,(Tabla14[[#This Row],[VALOR PRESTAMO]]*Tabla14[[#This Row],[% INTERES ]]/30*U5747))+Tabla14[[#This Row],[VALOR CUOTAS]]</f>
        <v>#VALUE!</v>
      </c>
      <c r="S5747" s="88">
        <f>-IF(Tabla14[[#This Row],[DIAS HABILES O MORA]]&lt;0,(Tabla14[[#This Row],[VALOR PRESTAMO]]*Tabla14[[#This Row],[% INTERES ]]/30*U5747))</f>
        <v>0</v>
      </c>
      <c r="T5747" s="53" t="e">
        <f>Tabla14[[#This Row],[DEUDA CAPITAL]]+Tabla14[[#This Row],[INTERES  CUOTA]]</f>
        <v>#NUM!</v>
      </c>
      <c r="U5747" s="61" t="str">
        <f t="shared" si="909"/>
        <v/>
      </c>
    </row>
    <row r="5748" spans="9:21" ht="24.75" customHeight="1" x14ac:dyDescent="0.35">
      <c r="I5748" s="42">
        <f t="shared" si="900"/>
        <v>0</v>
      </c>
      <c r="J5748" s="65" t="e">
        <f t="shared" si="901"/>
        <v>#NUM!</v>
      </c>
      <c r="K5748" s="83" t="e">
        <f t="shared" si="902"/>
        <v>#NUM!</v>
      </c>
      <c r="L5748" s="83">
        <f t="shared" si="903"/>
        <v>0</v>
      </c>
      <c r="M5748" s="110" t="str">
        <f t="shared" si="904"/>
        <v/>
      </c>
      <c r="N5748" s="51" t="str">
        <f t="shared" si="905"/>
        <v/>
      </c>
      <c r="O5748" s="52" t="str">
        <f t="shared" si="906"/>
        <v/>
      </c>
      <c r="P5748" s="88">
        <f t="shared" si="907"/>
        <v>0</v>
      </c>
      <c r="Q5748" s="88">
        <f t="shared" si="908"/>
        <v>0</v>
      </c>
      <c r="R5748" s="88" t="e">
        <f>-IF(Tabla14[[#This Row],[DIAS HABILES O MORA]]&lt;0,(Tabla14[[#This Row],[VALOR PRESTAMO]]*Tabla14[[#This Row],[% INTERES ]]/30*U5748))+Tabla14[[#This Row],[VALOR CUOTAS]]</f>
        <v>#VALUE!</v>
      </c>
      <c r="S5748" s="88">
        <f>-IF(Tabla14[[#This Row],[DIAS HABILES O MORA]]&lt;0,(Tabla14[[#This Row],[VALOR PRESTAMO]]*Tabla14[[#This Row],[% INTERES ]]/30*U5748))</f>
        <v>0</v>
      </c>
      <c r="T5748" s="53" t="e">
        <f>Tabla14[[#This Row],[DEUDA CAPITAL]]+Tabla14[[#This Row],[INTERES  CUOTA]]</f>
        <v>#NUM!</v>
      </c>
      <c r="U5748" s="61" t="str">
        <f t="shared" si="909"/>
        <v/>
      </c>
    </row>
    <row r="5749" spans="9:21" ht="24.75" customHeight="1" x14ac:dyDescent="0.35">
      <c r="I5749" s="42">
        <f t="shared" si="900"/>
        <v>0</v>
      </c>
      <c r="J5749" s="65" t="e">
        <f t="shared" si="901"/>
        <v>#NUM!</v>
      </c>
      <c r="K5749" s="83" t="e">
        <f t="shared" si="902"/>
        <v>#NUM!</v>
      </c>
      <c r="L5749" s="83">
        <f t="shared" si="903"/>
        <v>0</v>
      </c>
      <c r="M5749" s="110" t="str">
        <f t="shared" si="904"/>
        <v/>
      </c>
      <c r="N5749" s="51" t="str">
        <f t="shared" si="905"/>
        <v/>
      </c>
      <c r="O5749" s="52" t="str">
        <f t="shared" si="906"/>
        <v/>
      </c>
      <c r="P5749" s="88">
        <f t="shared" si="907"/>
        <v>0</v>
      </c>
      <c r="Q5749" s="88">
        <f t="shared" si="908"/>
        <v>0</v>
      </c>
      <c r="R5749" s="88" t="e">
        <f>-IF(Tabla14[[#This Row],[DIAS HABILES O MORA]]&lt;0,(Tabla14[[#This Row],[VALOR PRESTAMO]]*Tabla14[[#This Row],[% INTERES ]]/30*U5749))+Tabla14[[#This Row],[VALOR CUOTAS]]</f>
        <v>#VALUE!</v>
      </c>
      <c r="S5749" s="88">
        <f>-IF(Tabla14[[#This Row],[DIAS HABILES O MORA]]&lt;0,(Tabla14[[#This Row],[VALOR PRESTAMO]]*Tabla14[[#This Row],[% INTERES ]]/30*U5749))</f>
        <v>0</v>
      </c>
      <c r="T5749" s="53" t="e">
        <f>Tabla14[[#This Row],[DEUDA CAPITAL]]+Tabla14[[#This Row],[INTERES  CUOTA]]</f>
        <v>#NUM!</v>
      </c>
      <c r="U5749" s="61" t="str">
        <f t="shared" si="909"/>
        <v/>
      </c>
    </row>
    <row r="5750" spans="9:21" ht="24.75" customHeight="1" x14ac:dyDescent="0.35">
      <c r="I5750" s="42">
        <f t="shared" si="900"/>
        <v>0</v>
      </c>
      <c r="J5750" s="65" t="e">
        <f t="shared" si="901"/>
        <v>#NUM!</v>
      </c>
      <c r="K5750" s="83" t="e">
        <f t="shared" si="902"/>
        <v>#NUM!</v>
      </c>
      <c r="L5750" s="83">
        <f t="shared" si="903"/>
        <v>0</v>
      </c>
      <c r="M5750" s="110" t="str">
        <f t="shared" si="904"/>
        <v/>
      </c>
      <c r="N5750" s="51" t="str">
        <f t="shared" si="905"/>
        <v/>
      </c>
      <c r="O5750" s="52" t="str">
        <f t="shared" si="906"/>
        <v/>
      </c>
      <c r="P5750" s="88">
        <f t="shared" si="907"/>
        <v>0</v>
      </c>
      <c r="Q5750" s="88">
        <f t="shared" si="908"/>
        <v>0</v>
      </c>
      <c r="R5750" s="88" t="e">
        <f>-IF(Tabla14[[#This Row],[DIAS HABILES O MORA]]&lt;0,(Tabla14[[#This Row],[VALOR PRESTAMO]]*Tabla14[[#This Row],[% INTERES ]]/30*U5750))+Tabla14[[#This Row],[VALOR CUOTAS]]</f>
        <v>#VALUE!</v>
      </c>
      <c r="S5750" s="88">
        <f>-IF(Tabla14[[#This Row],[DIAS HABILES O MORA]]&lt;0,(Tabla14[[#This Row],[VALOR PRESTAMO]]*Tabla14[[#This Row],[% INTERES ]]/30*U5750))</f>
        <v>0</v>
      </c>
      <c r="T5750" s="53" t="e">
        <f>Tabla14[[#This Row],[DEUDA CAPITAL]]+Tabla14[[#This Row],[INTERES  CUOTA]]</f>
        <v>#NUM!</v>
      </c>
      <c r="U5750" s="61" t="str">
        <f t="shared" si="909"/>
        <v/>
      </c>
    </row>
    <row r="5751" spans="9:21" ht="24.75" customHeight="1" x14ac:dyDescent="0.35">
      <c r="I5751" s="42">
        <f t="shared" si="900"/>
        <v>0</v>
      </c>
      <c r="J5751" s="65" t="e">
        <f t="shared" si="901"/>
        <v>#NUM!</v>
      </c>
      <c r="K5751" s="83" t="e">
        <f t="shared" si="902"/>
        <v>#NUM!</v>
      </c>
      <c r="L5751" s="83">
        <f t="shared" si="903"/>
        <v>0</v>
      </c>
      <c r="M5751" s="110" t="str">
        <f t="shared" si="904"/>
        <v/>
      </c>
      <c r="N5751" s="51" t="str">
        <f t="shared" si="905"/>
        <v/>
      </c>
      <c r="O5751" s="52" t="str">
        <f t="shared" si="906"/>
        <v/>
      </c>
      <c r="P5751" s="88">
        <f t="shared" si="907"/>
        <v>0</v>
      </c>
      <c r="Q5751" s="88">
        <f t="shared" si="908"/>
        <v>0</v>
      </c>
      <c r="R5751" s="88" t="e">
        <f>-IF(Tabla14[[#This Row],[DIAS HABILES O MORA]]&lt;0,(Tabla14[[#This Row],[VALOR PRESTAMO]]*Tabla14[[#This Row],[% INTERES ]]/30*U5751))+Tabla14[[#This Row],[VALOR CUOTAS]]</f>
        <v>#VALUE!</v>
      </c>
      <c r="S5751" s="88">
        <f>-IF(Tabla14[[#This Row],[DIAS HABILES O MORA]]&lt;0,(Tabla14[[#This Row],[VALOR PRESTAMO]]*Tabla14[[#This Row],[% INTERES ]]/30*U5751))</f>
        <v>0</v>
      </c>
      <c r="T5751" s="53" t="e">
        <f>Tabla14[[#This Row],[DEUDA CAPITAL]]+Tabla14[[#This Row],[INTERES  CUOTA]]</f>
        <v>#NUM!</v>
      </c>
      <c r="U5751" s="61" t="str">
        <f t="shared" si="909"/>
        <v/>
      </c>
    </row>
    <row r="5752" spans="9:21" ht="24.75" customHeight="1" x14ac:dyDescent="0.35">
      <c r="I5752" s="42">
        <f t="shared" si="900"/>
        <v>0</v>
      </c>
      <c r="J5752" s="65" t="e">
        <f t="shared" si="901"/>
        <v>#NUM!</v>
      </c>
      <c r="K5752" s="83" t="e">
        <f t="shared" si="902"/>
        <v>#NUM!</v>
      </c>
      <c r="L5752" s="83">
        <f t="shared" si="903"/>
        <v>0</v>
      </c>
      <c r="M5752" s="110" t="str">
        <f t="shared" si="904"/>
        <v/>
      </c>
      <c r="N5752" s="51" t="str">
        <f t="shared" si="905"/>
        <v/>
      </c>
      <c r="O5752" s="52" t="str">
        <f t="shared" si="906"/>
        <v/>
      </c>
      <c r="P5752" s="88">
        <f t="shared" si="907"/>
        <v>0</v>
      </c>
      <c r="Q5752" s="88">
        <f t="shared" si="908"/>
        <v>0</v>
      </c>
      <c r="R5752" s="88" t="e">
        <f>-IF(Tabla14[[#This Row],[DIAS HABILES O MORA]]&lt;0,(Tabla14[[#This Row],[VALOR PRESTAMO]]*Tabla14[[#This Row],[% INTERES ]]/30*U5752))+Tabla14[[#This Row],[VALOR CUOTAS]]</f>
        <v>#VALUE!</v>
      </c>
      <c r="S5752" s="88">
        <f>-IF(Tabla14[[#This Row],[DIAS HABILES O MORA]]&lt;0,(Tabla14[[#This Row],[VALOR PRESTAMO]]*Tabla14[[#This Row],[% INTERES ]]/30*U5752))</f>
        <v>0</v>
      </c>
      <c r="T5752" s="53" t="e">
        <f>Tabla14[[#This Row],[DEUDA CAPITAL]]+Tabla14[[#This Row],[INTERES  CUOTA]]</f>
        <v>#NUM!</v>
      </c>
      <c r="U5752" s="61" t="str">
        <f t="shared" si="909"/>
        <v/>
      </c>
    </row>
    <row r="5753" spans="9:21" ht="24.75" customHeight="1" x14ac:dyDescent="0.35">
      <c r="I5753" s="42">
        <f t="shared" si="900"/>
        <v>0</v>
      </c>
      <c r="J5753" s="65" t="e">
        <f t="shared" si="901"/>
        <v>#NUM!</v>
      </c>
      <c r="K5753" s="83" t="e">
        <f t="shared" si="902"/>
        <v>#NUM!</v>
      </c>
      <c r="L5753" s="83">
        <f t="shared" si="903"/>
        <v>0</v>
      </c>
      <c r="M5753" s="110" t="str">
        <f t="shared" si="904"/>
        <v/>
      </c>
      <c r="N5753" s="51" t="str">
        <f t="shared" si="905"/>
        <v/>
      </c>
      <c r="O5753" s="52" t="str">
        <f t="shared" si="906"/>
        <v/>
      </c>
      <c r="P5753" s="88">
        <f t="shared" si="907"/>
        <v>0</v>
      </c>
      <c r="Q5753" s="88">
        <f t="shared" si="908"/>
        <v>0</v>
      </c>
      <c r="R5753" s="88" t="e">
        <f>-IF(Tabla14[[#This Row],[DIAS HABILES O MORA]]&lt;0,(Tabla14[[#This Row],[VALOR PRESTAMO]]*Tabla14[[#This Row],[% INTERES ]]/30*U5753))+Tabla14[[#This Row],[VALOR CUOTAS]]</f>
        <v>#VALUE!</v>
      </c>
      <c r="S5753" s="88">
        <f>-IF(Tabla14[[#This Row],[DIAS HABILES O MORA]]&lt;0,(Tabla14[[#This Row],[VALOR PRESTAMO]]*Tabla14[[#This Row],[% INTERES ]]/30*U5753))</f>
        <v>0</v>
      </c>
      <c r="T5753" s="53" t="e">
        <f>Tabla14[[#This Row],[DEUDA CAPITAL]]+Tabla14[[#This Row],[INTERES  CUOTA]]</f>
        <v>#NUM!</v>
      </c>
      <c r="U5753" s="61" t="str">
        <f t="shared" si="909"/>
        <v/>
      </c>
    </row>
    <row r="5754" spans="9:21" ht="24.75" customHeight="1" x14ac:dyDescent="0.35">
      <c r="I5754" s="42">
        <f t="shared" si="900"/>
        <v>0</v>
      </c>
      <c r="J5754" s="65" t="e">
        <f t="shared" si="901"/>
        <v>#NUM!</v>
      </c>
      <c r="K5754" s="83" t="e">
        <f t="shared" si="902"/>
        <v>#NUM!</v>
      </c>
      <c r="L5754" s="83">
        <f t="shared" si="903"/>
        <v>0</v>
      </c>
      <c r="M5754" s="110" t="str">
        <f t="shared" si="904"/>
        <v/>
      </c>
      <c r="N5754" s="51" t="str">
        <f t="shared" si="905"/>
        <v/>
      </c>
      <c r="O5754" s="52" t="str">
        <f t="shared" si="906"/>
        <v/>
      </c>
      <c r="P5754" s="88">
        <f t="shared" si="907"/>
        <v>0</v>
      </c>
      <c r="Q5754" s="88">
        <f t="shared" si="908"/>
        <v>0</v>
      </c>
      <c r="R5754" s="88" t="e">
        <f>-IF(Tabla14[[#This Row],[DIAS HABILES O MORA]]&lt;0,(Tabla14[[#This Row],[VALOR PRESTAMO]]*Tabla14[[#This Row],[% INTERES ]]/30*U5754))+Tabla14[[#This Row],[VALOR CUOTAS]]</f>
        <v>#VALUE!</v>
      </c>
      <c r="S5754" s="88">
        <f>-IF(Tabla14[[#This Row],[DIAS HABILES O MORA]]&lt;0,(Tabla14[[#This Row],[VALOR PRESTAMO]]*Tabla14[[#This Row],[% INTERES ]]/30*U5754))</f>
        <v>0</v>
      </c>
      <c r="T5754" s="53" t="e">
        <f>Tabla14[[#This Row],[DEUDA CAPITAL]]+Tabla14[[#This Row],[INTERES  CUOTA]]</f>
        <v>#NUM!</v>
      </c>
      <c r="U5754" s="61" t="str">
        <f t="shared" si="909"/>
        <v/>
      </c>
    </row>
    <row r="5755" spans="9:21" ht="24.75" customHeight="1" x14ac:dyDescent="0.35">
      <c r="I5755" s="42">
        <f t="shared" si="900"/>
        <v>0</v>
      </c>
      <c r="J5755" s="65" t="e">
        <f t="shared" si="901"/>
        <v>#NUM!</v>
      </c>
      <c r="K5755" s="83" t="e">
        <f t="shared" si="902"/>
        <v>#NUM!</v>
      </c>
      <c r="L5755" s="83">
        <f t="shared" si="903"/>
        <v>0</v>
      </c>
      <c r="M5755" s="110" t="str">
        <f t="shared" si="904"/>
        <v/>
      </c>
      <c r="N5755" s="51" t="str">
        <f t="shared" si="905"/>
        <v/>
      </c>
      <c r="O5755" s="52" t="str">
        <f t="shared" si="906"/>
        <v/>
      </c>
      <c r="P5755" s="88">
        <f t="shared" si="907"/>
        <v>0</v>
      </c>
      <c r="Q5755" s="88">
        <f t="shared" si="908"/>
        <v>0</v>
      </c>
      <c r="R5755" s="88" t="e">
        <f>-IF(Tabla14[[#This Row],[DIAS HABILES O MORA]]&lt;0,(Tabla14[[#This Row],[VALOR PRESTAMO]]*Tabla14[[#This Row],[% INTERES ]]/30*U5755))+Tabla14[[#This Row],[VALOR CUOTAS]]</f>
        <v>#VALUE!</v>
      </c>
      <c r="S5755" s="88">
        <f>-IF(Tabla14[[#This Row],[DIAS HABILES O MORA]]&lt;0,(Tabla14[[#This Row],[VALOR PRESTAMO]]*Tabla14[[#This Row],[% INTERES ]]/30*U5755))</f>
        <v>0</v>
      </c>
      <c r="T5755" s="53" t="e">
        <f>Tabla14[[#This Row],[DEUDA CAPITAL]]+Tabla14[[#This Row],[INTERES  CUOTA]]</f>
        <v>#NUM!</v>
      </c>
      <c r="U5755" s="61" t="str">
        <f t="shared" si="909"/>
        <v/>
      </c>
    </row>
    <row r="5756" spans="9:21" ht="24.75" customHeight="1" x14ac:dyDescent="0.35">
      <c r="I5756" s="42">
        <f t="shared" si="900"/>
        <v>0</v>
      </c>
      <c r="J5756" s="65" t="e">
        <f t="shared" si="901"/>
        <v>#NUM!</v>
      </c>
      <c r="K5756" s="83" t="e">
        <f t="shared" si="902"/>
        <v>#NUM!</v>
      </c>
      <c r="L5756" s="83">
        <f t="shared" si="903"/>
        <v>0</v>
      </c>
      <c r="M5756" s="110" t="str">
        <f t="shared" si="904"/>
        <v/>
      </c>
      <c r="N5756" s="51" t="str">
        <f t="shared" si="905"/>
        <v/>
      </c>
      <c r="O5756" s="52" t="str">
        <f t="shared" si="906"/>
        <v/>
      </c>
      <c r="P5756" s="88">
        <f t="shared" si="907"/>
        <v>0</v>
      </c>
      <c r="Q5756" s="88">
        <f t="shared" si="908"/>
        <v>0</v>
      </c>
      <c r="R5756" s="88" t="e">
        <f>-IF(Tabla14[[#This Row],[DIAS HABILES O MORA]]&lt;0,(Tabla14[[#This Row],[VALOR PRESTAMO]]*Tabla14[[#This Row],[% INTERES ]]/30*U5756))+Tabla14[[#This Row],[VALOR CUOTAS]]</f>
        <v>#VALUE!</v>
      </c>
      <c r="S5756" s="88">
        <f>-IF(Tabla14[[#This Row],[DIAS HABILES O MORA]]&lt;0,(Tabla14[[#This Row],[VALOR PRESTAMO]]*Tabla14[[#This Row],[% INTERES ]]/30*U5756))</f>
        <v>0</v>
      </c>
      <c r="T5756" s="53" t="e">
        <f>Tabla14[[#This Row],[DEUDA CAPITAL]]+Tabla14[[#This Row],[INTERES  CUOTA]]</f>
        <v>#NUM!</v>
      </c>
      <c r="U5756" s="61" t="str">
        <f t="shared" si="909"/>
        <v/>
      </c>
    </row>
    <row r="5757" spans="9:21" ht="24.75" customHeight="1" x14ac:dyDescent="0.35">
      <c r="I5757" s="42">
        <f t="shared" si="900"/>
        <v>0</v>
      </c>
      <c r="J5757" s="65" t="e">
        <f t="shared" si="901"/>
        <v>#NUM!</v>
      </c>
      <c r="K5757" s="83" t="e">
        <f t="shared" si="902"/>
        <v>#NUM!</v>
      </c>
      <c r="L5757" s="83">
        <f t="shared" si="903"/>
        <v>0</v>
      </c>
      <c r="M5757" s="110" t="str">
        <f t="shared" si="904"/>
        <v/>
      </c>
      <c r="N5757" s="51" t="str">
        <f t="shared" si="905"/>
        <v/>
      </c>
      <c r="O5757" s="52" t="str">
        <f t="shared" si="906"/>
        <v/>
      </c>
      <c r="P5757" s="88">
        <f t="shared" si="907"/>
        <v>0</v>
      </c>
      <c r="Q5757" s="88">
        <f t="shared" si="908"/>
        <v>0</v>
      </c>
      <c r="R5757" s="88" t="e">
        <f>-IF(Tabla14[[#This Row],[DIAS HABILES O MORA]]&lt;0,(Tabla14[[#This Row],[VALOR PRESTAMO]]*Tabla14[[#This Row],[% INTERES ]]/30*U5757))+Tabla14[[#This Row],[VALOR CUOTAS]]</f>
        <v>#VALUE!</v>
      </c>
      <c r="S5757" s="88">
        <f>-IF(Tabla14[[#This Row],[DIAS HABILES O MORA]]&lt;0,(Tabla14[[#This Row],[VALOR PRESTAMO]]*Tabla14[[#This Row],[% INTERES ]]/30*U5757))</f>
        <v>0</v>
      </c>
      <c r="T5757" s="53" t="e">
        <f>Tabla14[[#This Row],[DEUDA CAPITAL]]+Tabla14[[#This Row],[INTERES  CUOTA]]</f>
        <v>#NUM!</v>
      </c>
      <c r="U5757" s="61" t="str">
        <f t="shared" si="909"/>
        <v/>
      </c>
    </row>
    <row r="5758" spans="9:21" ht="24.75" customHeight="1" x14ac:dyDescent="0.35">
      <c r="I5758" s="42">
        <f t="shared" si="900"/>
        <v>0</v>
      </c>
      <c r="J5758" s="65" t="e">
        <f t="shared" si="901"/>
        <v>#NUM!</v>
      </c>
      <c r="K5758" s="83" t="e">
        <f t="shared" si="902"/>
        <v>#NUM!</v>
      </c>
      <c r="L5758" s="83">
        <f t="shared" si="903"/>
        <v>0</v>
      </c>
      <c r="M5758" s="110" t="str">
        <f t="shared" si="904"/>
        <v/>
      </c>
      <c r="N5758" s="51" t="str">
        <f t="shared" si="905"/>
        <v/>
      </c>
      <c r="O5758" s="52" t="str">
        <f t="shared" si="906"/>
        <v/>
      </c>
      <c r="P5758" s="88">
        <f t="shared" si="907"/>
        <v>0</v>
      </c>
      <c r="Q5758" s="88">
        <f t="shared" si="908"/>
        <v>0</v>
      </c>
      <c r="R5758" s="88" t="e">
        <f>-IF(Tabla14[[#This Row],[DIAS HABILES O MORA]]&lt;0,(Tabla14[[#This Row],[VALOR PRESTAMO]]*Tabla14[[#This Row],[% INTERES ]]/30*U5758))+Tabla14[[#This Row],[VALOR CUOTAS]]</f>
        <v>#VALUE!</v>
      </c>
      <c r="S5758" s="88">
        <f>-IF(Tabla14[[#This Row],[DIAS HABILES O MORA]]&lt;0,(Tabla14[[#This Row],[VALOR PRESTAMO]]*Tabla14[[#This Row],[% INTERES ]]/30*U5758))</f>
        <v>0</v>
      </c>
      <c r="T5758" s="53" t="e">
        <f>Tabla14[[#This Row],[DEUDA CAPITAL]]+Tabla14[[#This Row],[INTERES  CUOTA]]</f>
        <v>#NUM!</v>
      </c>
      <c r="U5758" s="61" t="str">
        <f t="shared" si="909"/>
        <v/>
      </c>
    </row>
    <row r="5759" spans="9:21" ht="24.75" customHeight="1" x14ac:dyDescent="0.35">
      <c r="I5759" s="42">
        <f t="shared" si="900"/>
        <v>0</v>
      </c>
      <c r="J5759" s="65" t="e">
        <f t="shared" si="901"/>
        <v>#NUM!</v>
      </c>
      <c r="K5759" s="83" t="e">
        <f t="shared" si="902"/>
        <v>#NUM!</v>
      </c>
      <c r="L5759" s="83">
        <f t="shared" si="903"/>
        <v>0</v>
      </c>
      <c r="M5759" s="110" t="str">
        <f t="shared" si="904"/>
        <v/>
      </c>
      <c r="N5759" s="51" t="str">
        <f t="shared" si="905"/>
        <v/>
      </c>
      <c r="O5759" s="52" t="str">
        <f t="shared" si="906"/>
        <v/>
      </c>
      <c r="P5759" s="88">
        <f t="shared" si="907"/>
        <v>0</v>
      </c>
      <c r="Q5759" s="88">
        <f t="shared" si="908"/>
        <v>0</v>
      </c>
      <c r="R5759" s="88" t="e">
        <f>-IF(Tabla14[[#This Row],[DIAS HABILES O MORA]]&lt;0,(Tabla14[[#This Row],[VALOR PRESTAMO]]*Tabla14[[#This Row],[% INTERES ]]/30*U5759))+Tabla14[[#This Row],[VALOR CUOTAS]]</f>
        <v>#VALUE!</v>
      </c>
      <c r="S5759" s="88">
        <f>-IF(Tabla14[[#This Row],[DIAS HABILES O MORA]]&lt;0,(Tabla14[[#This Row],[VALOR PRESTAMO]]*Tabla14[[#This Row],[% INTERES ]]/30*U5759))</f>
        <v>0</v>
      </c>
      <c r="T5759" s="53" t="e">
        <f>Tabla14[[#This Row],[DEUDA CAPITAL]]+Tabla14[[#This Row],[INTERES  CUOTA]]</f>
        <v>#NUM!</v>
      </c>
      <c r="U5759" s="61" t="str">
        <f t="shared" si="909"/>
        <v/>
      </c>
    </row>
    <row r="5760" spans="9:21" ht="24.75" customHeight="1" x14ac:dyDescent="0.35">
      <c r="I5760" s="42">
        <f t="shared" si="900"/>
        <v>0</v>
      </c>
      <c r="J5760" s="65" t="e">
        <f t="shared" si="901"/>
        <v>#NUM!</v>
      </c>
      <c r="K5760" s="83" t="e">
        <f t="shared" si="902"/>
        <v>#NUM!</v>
      </c>
      <c r="L5760" s="83">
        <f t="shared" si="903"/>
        <v>0</v>
      </c>
      <c r="M5760" s="110" t="str">
        <f t="shared" si="904"/>
        <v/>
      </c>
      <c r="N5760" s="51" t="str">
        <f t="shared" si="905"/>
        <v/>
      </c>
      <c r="O5760" s="52" t="str">
        <f t="shared" si="906"/>
        <v/>
      </c>
      <c r="P5760" s="88">
        <f t="shared" si="907"/>
        <v>0</v>
      </c>
      <c r="Q5760" s="88">
        <f t="shared" si="908"/>
        <v>0</v>
      </c>
      <c r="R5760" s="88" t="e">
        <f>-IF(Tabla14[[#This Row],[DIAS HABILES O MORA]]&lt;0,(Tabla14[[#This Row],[VALOR PRESTAMO]]*Tabla14[[#This Row],[% INTERES ]]/30*U5760))+Tabla14[[#This Row],[VALOR CUOTAS]]</f>
        <v>#VALUE!</v>
      </c>
      <c r="S5760" s="88">
        <f>-IF(Tabla14[[#This Row],[DIAS HABILES O MORA]]&lt;0,(Tabla14[[#This Row],[VALOR PRESTAMO]]*Tabla14[[#This Row],[% INTERES ]]/30*U5760))</f>
        <v>0</v>
      </c>
      <c r="T5760" s="53" t="e">
        <f>Tabla14[[#This Row],[DEUDA CAPITAL]]+Tabla14[[#This Row],[INTERES  CUOTA]]</f>
        <v>#NUM!</v>
      </c>
      <c r="U5760" s="61" t="str">
        <f t="shared" si="909"/>
        <v/>
      </c>
    </row>
    <row r="5761" spans="9:21" ht="24.75" customHeight="1" x14ac:dyDescent="0.35">
      <c r="I5761" s="42">
        <f t="shared" si="900"/>
        <v>0</v>
      </c>
      <c r="J5761" s="65" t="e">
        <f t="shared" si="901"/>
        <v>#NUM!</v>
      </c>
      <c r="K5761" s="83" t="e">
        <f t="shared" si="902"/>
        <v>#NUM!</v>
      </c>
      <c r="L5761" s="83">
        <f t="shared" si="903"/>
        <v>0</v>
      </c>
      <c r="M5761" s="110" t="str">
        <f t="shared" si="904"/>
        <v/>
      </c>
      <c r="N5761" s="51" t="str">
        <f t="shared" si="905"/>
        <v/>
      </c>
      <c r="O5761" s="52" t="str">
        <f t="shared" si="906"/>
        <v/>
      </c>
      <c r="P5761" s="88">
        <f t="shared" si="907"/>
        <v>0</v>
      </c>
      <c r="Q5761" s="88">
        <f t="shared" si="908"/>
        <v>0</v>
      </c>
      <c r="R5761" s="88" t="e">
        <f>-IF(Tabla14[[#This Row],[DIAS HABILES O MORA]]&lt;0,(Tabla14[[#This Row],[VALOR PRESTAMO]]*Tabla14[[#This Row],[% INTERES ]]/30*U5761))+Tabla14[[#This Row],[VALOR CUOTAS]]</f>
        <v>#VALUE!</v>
      </c>
      <c r="S5761" s="88">
        <f>-IF(Tabla14[[#This Row],[DIAS HABILES O MORA]]&lt;0,(Tabla14[[#This Row],[VALOR PRESTAMO]]*Tabla14[[#This Row],[% INTERES ]]/30*U5761))</f>
        <v>0</v>
      </c>
      <c r="T5761" s="53" t="e">
        <f>Tabla14[[#This Row],[DEUDA CAPITAL]]+Tabla14[[#This Row],[INTERES  CUOTA]]</f>
        <v>#NUM!</v>
      </c>
      <c r="U5761" s="61" t="str">
        <f t="shared" si="909"/>
        <v/>
      </c>
    </row>
    <row r="5762" spans="9:21" ht="24.75" customHeight="1" x14ac:dyDescent="0.35">
      <c r="I5762" s="42">
        <f t="shared" si="900"/>
        <v>0</v>
      </c>
      <c r="J5762" s="65" t="e">
        <f t="shared" si="901"/>
        <v>#NUM!</v>
      </c>
      <c r="K5762" s="83" t="e">
        <f t="shared" si="902"/>
        <v>#NUM!</v>
      </c>
      <c r="L5762" s="83">
        <f t="shared" si="903"/>
        <v>0</v>
      </c>
      <c r="M5762" s="110" t="str">
        <f t="shared" si="904"/>
        <v/>
      </c>
      <c r="N5762" s="51" t="str">
        <f t="shared" si="905"/>
        <v/>
      </c>
      <c r="O5762" s="52" t="str">
        <f t="shared" si="906"/>
        <v/>
      </c>
      <c r="P5762" s="88">
        <f t="shared" si="907"/>
        <v>0</v>
      </c>
      <c r="Q5762" s="88">
        <f t="shared" si="908"/>
        <v>0</v>
      </c>
      <c r="R5762" s="88" t="e">
        <f>-IF(Tabla14[[#This Row],[DIAS HABILES O MORA]]&lt;0,(Tabla14[[#This Row],[VALOR PRESTAMO]]*Tabla14[[#This Row],[% INTERES ]]/30*U5762))+Tabla14[[#This Row],[VALOR CUOTAS]]</f>
        <v>#VALUE!</v>
      </c>
      <c r="S5762" s="88">
        <f>-IF(Tabla14[[#This Row],[DIAS HABILES O MORA]]&lt;0,(Tabla14[[#This Row],[VALOR PRESTAMO]]*Tabla14[[#This Row],[% INTERES ]]/30*U5762))</f>
        <v>0</v>
      </c>
      <c r="T5762" s="53" t="e">
        <f>Tabla14[[#This Row],[DEUDA CAPITAL]]+Tabla14[[#This Row],[INTERES  CUOTA]]</f>
        <v>#NUM!</v>
      </c>
      <c r="U5762" s="61" t="str">
        <f t="shared" si="909"/>
        <v/>
      </c>
    </row>
    <row r="5763" spans="9:21" ht="24.75" customHeight="1" x14ac:dyDescent="0.35">
      <c r="I5763" s="42">
        <f t="shared" si="900"/>
        <v>0</v>
      </c>
      <c r="J5763" s="65" t="e">
        <f t="shared" si="901"/>
        <v>#NUM!</v>
      </c>
      <c r="K5763" s="83" t="e">
        <f t="shared" si="902"/>
        <v>#NUM!</v>
      </c>
      <c r="L5763" s="83">
        <f t="shared" si="903"/>
        <v>0</v>
      </c>
      <c r="M5763" s="110" t="str">
        <f t="shared" si="904"/>
        <v/>
      </c>
      <c r="N5763" s="51" t="str">
        <f t="shared" si="905"/>
        <v/>
      </c>
      <c r="O5763" s="52" t="str">
        <f t="shared" si="906"/>
        <v/>
      </c>
      <c r="P5763" s="88">
        <f t="shared" si="907"/>
        <v>0</v>
      </c>
      <c r="Q5763" s="88">
        <f t="shared" si="908"/>
        <v>0</v>
      </c>
      <c r="R5763" s="88" t="e">
        <f>-IF(Tabla14[[#This Row],[DIAS HABILES O MORA]]&lt;0,(Tabla14[[#This Row],[VALOR PRESTAMO]]*Tabla14[[#This Row],[% INTERES ]]/30*U5763))+Tabla14[[#This Row],[VALOR CUOTAS]]</f>
        <v>#VALUE!</v>
      </c>
      <c r="S5763" s="88">
        <f>-IF(Tabla14[[#This Row],[DIAS HABILES O MORA]]&lt;0,(Tabla14[[#This Row],[VALOR PRESTAMO]]*Tabla14[[#This Row],[% INTERES ]]/30*U5763))</f>
        <v>0</v>
      </c>
      <c r="T5763" s="53" t="e">
        <f>Tabla14[[#This Row],[DEUDA CAPITAL]]+Tabla14[[#This Row],[INTERES  CUOTA]]</f>
        <v>#NUM!</v>
      </c>
      <c r="U5763" s="61" t="str">
        <f t="shared" si="909"/>
        <v/>
      </c>
    </row>
    <row r="5764" spans="9:21" ht="24.75" customHeight="1" x14ac:dyDescent="0.35">
      <c r="I5764" s="42">
        <f t="shared" si="900"/>
        <v>0</v>
      </c>
      <c r="J5764" s="65" t="e">
        <f t="shared" si="901"/>
        <v>#NUM!</v>
      </c>
      <c r="K5764" s="83" t="e">
        <f t="shared" si="902"/>
        <v>#NUM!</v>
      </c>
      <c r="L5764" s="83">
        <f t="shared" si="903"/>
        <v>0</v>
      </c>
      <c r="M5764" s="110" t="str">
        <f t="shared" si="904"/>
        <v/>
      </c>
      <c r="N5764" s="51" t="str">
        <f t="shared" si="905"/>
        <v/>
      </c>
      <c r="O5764" s="52" t="str">
        <f t="shared" si="906"/>
        <v/>
      </c>
      <c r="P5764" s="88">
        <f t="shared" si="907"/>
        <v>0</v>
      </c>
      <c r="Q5764" s="88">
        <f t="shared" si="908"/>
        <v>0</v>
      </c>
      <c r="R5764" s="88" t="e">
        <f>-IF(Tabla14[[#This Row],[DIAS HABILES O MORA]]&lt;0,(Tabla14[[#This Row],[VALOR PRESTAMO]]*Tabla14[[#This Row],[% INTERES ]]/30*U5764))+Tabla14[[#This Row],[VALOR CUOTAS]]</f>
        <v>#VALUE!</v>
      </c>
      <c r="S5764" s="88">
        <f>-IF(Tabla14[[#This Row],[DIAS HABILES O MORA]]&lt;0,(Tabla14[[#This Row],[VALOR PRESTAMO]]*Tabla14[[#This Row],[% INTERES ]]/30*U5764))</f>
        <v>0</v>
      </c>
      <c r="T5764" s="53" t="e">
        <f>Tabla14[[#This Row],[DEUDA CAPITAL]]+Tabla14[[#This Row],[INTERES  CUOTA]]</f>
        <v>#NUM!</v>
      </c>
      <c r="U5764" s="61" t="str">
        <f t="shared" si="909"/>
        <v/>
      </c>
    </row>
    <row r="5765" spans="9:21" ht="24.75" customHeight="1" x14ac:dyDescent="0.35">
      <c r="I5765" s="42">
        <f t="shared" si="900"/>
        <v>0</v>
      </c>
      <c r="J5765" s="65" t="e">
        <f t="shared" si="901"/>
        <v>#NUM!</v>
      </c>
      <c r="K5765" s="83" t="e">
        <f t="shared" si="902"/>
        <v>#NUM!</v>
      </c>
      <c r="L5765" s="83">
        <f t="shared" si="903"/>
        <v>0</v>
      </c>
      <c r="M5765" s="110" t="str">
        <f t="shared" si="904"/>
        <v/>
      </c>
      <c r="N5765" s="51" t="str">
        <f t="shared" si="905"/>
        <v/>
      </c>
      <c r="O5765" s="52" t="str">
        <f t="shared" si="906"/>
        <v/>
      </c>
      <c r="P5765" s="88">
        <f t="shared" si="907"/>
        <v>0</v>
      </c>
      <c r="Q5765" s="88">
        <f t="shared" si="908"/>
        <v>0</v>
      </c>
      <c r="R5765" s="88" t="e">
        <f>-IF(Tabla14[[#This Row],[DIAS HABILES O MORA]]&lt;0,(Tabla14[[#This Row],[VALOR PRESTAMO]]*Tabla14[[#This Row],[% INTERES ]]/30*U5765))+Tabla14[[#This Row],[VALOR CUOTAS]]</f>
        <v>#VALUE!</v>
      </c>
      <c r="S5765" s="88">
        <f>-IF(Tabla14[[#This Row],[DIAS HABILES O MORA]]&lt;0,(Tabla14[[#This Row],[VALOR PRESTAMO]]*Tabla14[[#This Row],[% INTERES ]]/30*U5765))</f>
        <v>0</v>
      </c>
      <c r="T5765" s="53" t="e">
        <f>Tabla14[[#This Row],[DEUDA CAPITAL]]+Tabla14[[#This Row],[INTERES  CUOTA]]</f>
        <v>#NUM!</v>
      </c>
      <c r="U5765" s="61" t="str">
        <f t="shared" si="909"/>
        <v/>
      </c>
    </row>
    <row r="5766" spans="9:21" ht="24.75" customHeight="1" x14ac:dyDescent="0.35">
      <c r="I5766" s="42">
        <f t="shared" si="900"/>
        <v>0</v>
      </c>
      <c r="J5766" s="65" t="e">
        <f t="shared" si="901"/>
        <v>#NUM!</v>
      </c>
      <c r="K5766" s="83" t="e">
        <f t="shared" si="902"/>
        <v>#NUM!</v>
      </c>
      <c r="L5766" s="83">
        <f t="shared" si="903"/>
        <v>0</v>
      </c>
      <c r="M5766" s="110" t="str">
        <f t="shared" si="904"/>
        <v/>
      </c>
      <c r="N5766" s="51" t="str">
        <f t="shared" si="905"/>
        <v/>
      </c>
      <c r="O5766" s="52" t="str">
        <f t="shared" si="906"/>
        <v/>
      </c>
      <c r="P5766" s="88">
        <f t="shared" si="907"/>
        <v>0</v>
      </c>
      <c r="Q5766" s="88">
        <f t="shared" si="908"/>
        <v>0</v>
      </c>
      <c r="R5766" s="88" t="e">
        <f>-IF(Tabla14[[#This Row],[DIAS HABILES O MORA]]&lt;0,(Tabla14[[#This Row],[VALOR PRESTAMO]]*Tabla14[[#This Row],[% INTERES ]]/30*U5766))+Tabla14[[#This Row],[VALOR CUOTAS]]</f>
        <v>#VALUE!</v>
      </c>
      <c r="S5766" s="88">
        <f>-IF(Tabla14[[#This Row],[DIAS HABILES O MORA]]&lt;0,(Tabla14[[#This Row],[VALOR PRESTAMO]]*Tabla14[[#This Row],[% INTERES ]]/30*U5766))</f>
        <v>0</v>
      </c>
      <c r="T5766" s="53" t="e">
        <f>Tabla14[[#This Row],[DEUDA CAPITAL]]+Tabla14[[#This Row],[INTERES  CUOTA]]</f>
        <v>#NUM!</v>
      </c>
      <c r="U5766" s="61" t="str">
        <f t="shared" si="909"/>
        <v/>
      </c>
    </row>
    <row r="5767" spans="9:21" ht="24.75" customHeight="1" x14ac:dyDescent="0.35">
      <c r="I5767" s="42">
        <f t="shared" si="900"/>
        <v>0</v>
      </c>
      <c r="J5767" s="65" t="e">
        <f t="shared" si="901"/>
        <v>#NUM!</v>
      </c>
      <c r="K5767" s="83" t="e">
        <f t="shared" si="902"/>
        <v>#NUM!</v>
      </c>
      <c r="L5767" s="83">
        <f t="shared" si="903"/>
        <v>0</v>
      </c>
      <c r="M5767" s="110" t="str">
        <f t="shared" si="904"/>
        <v/>
      </c>
      <c r="N5767" s="51" t="str">
        <f t="shared" si="905"/>
        <v/>
      </c>
      <c r="O5767" s="52" t="str">
        <f t="shared" si="906"/>
        <v/>
      </c>
      <c r="P5767" s="88">
        <f t="shared" si="907"/>
        <v>0</v>
      </c>
      <c r="Q5767" s="88">
        <f t="shared" si="908"/>
        <v>0</v>
      </c>
      <c r="R5767" s="88" t="e">
        <f>-IF(Tabla14[[#This Row],[DIAS HABILES O MORA]]&lt;0,(Tabla14[[#This Row],[VALOR PRESTAMO]]*Tabla14[[#This Row],[% INTERES ]]/30*U5767))+Tabla14[[#This Row],[VALOR CUOTAS]]</f>
        <v>#VALUE!</v>
      </c>
      <c r="S5767" s="88">
        <f>-IF(Tabla14[[#This Row],[DIAS HABILES O MORA]]&lt;0,(Tabla14[[#This Row],[VALOR PRESTAMO]]*Tabla14[[#This Row],[% INTERES ]]/30*U5767))</f>
        <v>0</v>
      </c>
      <c r="T5767" s="53" t="e">
        <f>Tabla14[[#This Row],[DEUDA CAPITAL]]+Tabla14[[#This Row],[INTERES  CUOTA]]</f>
        <v>#NUM!</v>
      </c>
      <c r="U5767" s="61" t="str">
        <f t="shared" si="909"/>
        <v/>
      </c>
    </row>
    <row r="5768" spans="9:21" ht="24.75" customHeight="1" x14ac:dyDescent="0.35">
      <c r="I5768" s="42">
        <f t="shared" si="900"/>
        <v>0</v>
      </c>
      <c r="J5768" s="65" t="e">
        <f t="shared" si="901"/>
        <v>#NUM!</v>
      </c>
      <c r="K5768" s="83" t="e">
        <f t="shared" si="902"/>
        <v>#NUM!</v>
      </c>
      <c r="L5768" s="83">
        <f t="shared" si="903"/>
        <v>0</v>
      </c>
      <c r="M5768" s="110" t="str">
        <f t="shared" si="904"/>
        <v/>
      </c>
      <c r="N5768" s="51" t="str">
        <f t="shared" si="905"/>
        <v/>
      </c>
      <c r="O5768" s="52" t="str">
        <f t="shared" si="906"/>
        <v/>
      </c>
      <c r="P5768" s="88">
        <f t="shared" si="907"/>
        <v>0</v>
      </c>
      <c r="Q5768" s="88">
        <f t="shared" si="908"/>
        <v>0</v>
      </c>
      <c r="R5768" s="88" t="e">
        <f>-IF(Tabla14[[#This Row],[DIAS HABILES O MORA]]&lt;0,(Tabla14[[#This Row],[VALOR PRESTAMO]]*Tabla14[[#This Row],[% INTERES ]]/30*U5768))+Tabla14[[#This Row],[VALOR CUOTAS]]</f>
        <v>#VALUE!</v>
      </c>
      <c r="S5768" s="88">
        <f>-IF(Tabla14[[#This Row],[DIAS HABILES O MORA]]&lt;0,(Tabla14[[#This Row],[VALOR PRESTAMO]]*Tabla14[[#This Row],[% INTERES ]]/30*U5768))</f>
        <v>0</v>
      </c>
      <c r="T5768" s="53" t="e">
        <f>Tabla14[[#This Row],[DEUDA CAPITAL]]+Tabla14[[#This Row],[INTERES  CUOTA]]</f>
        <v>#NUM!</v>
      </c>
      <c r="U5768" s="61" t="str">
        <f t="shared" si="909"/>
        <v/>
      </c>
    </row>
    <row r="5769" spans="9:21" ht="24.75" customHeight="1" x14ac:dyDescent="0.35">
      <c r="I5769" s="42">
        <f t="shared" si="900"/>
        <v>0</v>
      </c>
      <c r="J5769" s="65" t="e">
        <f t="shared" si="901"/>
        <v>#NUM!</v>
      </c>
      <c r="K5769" s="83" t="e">
        <f t="shared" si="902"/>
        <v>#NUM!</v>
      </c>
      <c r="L5769" s="83">
        <f t="shared" si="903"/>
        <v>0</v>
      </c>
      <c r="M5769" s="110" t="str">
        <f t="shared" si="904"/>
        <v/>
      </c>
      <c r="N5769" s="51" t="str">
        <f t="shared" si="905"/>
        <v/>
      </c>
      <c r="O5769" s="52" t="str">
        <f t="shared" si="906"/>
        <v/>
      </c>
      <c r="P5769" s="88">
        <f t="shared" si="907"/>
        <v>0</v>
      </c>
      <c r="Q5769" s="88">
        <f t="shared" si="908"/>
        <v>0</v>
      </c>
      <c r="R5769" s="88" t="e">
        <f>-IF(Tabla14[[#This Row],[DIAS HABILES O MORA]]&lt;0,(Tabla14[[#This Row],[VALOR PRESTAMO]]*Tabla14[[#This Row],[% INTERES ]]/30*U5769))+Tabla14[[#This Row],[VALOR CUOTAS]]</f>
        <v>#VALUE!</v>
      </c>
      <c r="S5769" s="88">
        <f>-IF(Tabla14[[#This Row],[DIAS HABILES O MORA]]&lt;0,(Tabla14[[#This Row],[VALOR PRESTAMO]]*Tabla14[[#This Row],[% INTERES ]]/30*U5769))</f>
        <v>0</v>
      </c>
      <c r="T5769" s="53" t="e">
        <f>Tabla14[[#This Row],[DEUDA CAPITAL]]+Tabla14[[#This Row],[INTERES  CUOTA]]</f>
        <v>#NUM!</v>
      </c>
      <c r="U5769" s="61" t="str">
        <f t="shared" si="909"/>
        <v/>
      </c>
    </row>
    <row r="5770" spans="9:21" ht="24.75" customHeight="1" x14ac:dyDescent="0.35">
      <c r="I5770" s="42">
        <f t="shared" si="900"/>
        <v>0</v>
      </c>
      <c r="J5770" s="65" t="e">
        <f t="shared" si="901"/>
        <v>#NUM!</v>
      </c>
      <c r="K5770" s="83" t="e">
        <f t="shared" si="902"/>
        <v>#NUM!</v>
      </c>
      <c r="L5770" s="83">
        <f t="shared" si="903"/>
        <v>0</v>
      </c>
      <c r="M5770" s="110" t="str">
        <f t="shared" si="904"/>
        <v/>
      </c>
      <c r="N5770" s="51" t="str">
        <f t="shared" si="905"/>
        <v/>
      </c>
      <c r="O5770" s="52" t="str">
        <f t="shared" si="906"/>
        <v/>
      </c>
      <c r="P5770" s="88">
        <f t="shared" si="907"/>
        <v>0</v>
      </c>
      <c r="Q5770" s="88">
        <f t="shared" si="908"/>
        <v>0</v>
      </c>
      <c r="R5770" s="88" t="e">
        <f>-IF(Tabla14[[#This Row],[DIAS HABILES O MORA]]&lt;0,(Tabla14[[#This Row],[VALOR PRESTAMO]]*Tabla14[[#This Row],[% INTERES ]]/30*U5770))+Tabla14[[#This Row],[VALOR CUOTAS]]</f>
        <v>#VALUE!</v>
      </c>
      <c r="S5770" s="88">
        <f>-IF(Tabla14[[#This Row],[DIAS HABILES O MORA]]&lt;0,(Tabla14[[#This Row],[VALOR PRESTAMO]]*Tabla14[[#This Row],[% INTERES ]]/30*U5770))</f>
        <v>0</v>
      </c>
      <c r="T5770" s="53" t="e">
        <f>Tabla14[[#This Row],[DEUDA CAPITAL]]+Tabla14[[#This Row],[INTERES  CUOTA]]</f>
        <v>#NUM!</v>
      </c>
      <c r="U5770" s="61" t="str">
        <f t="shared" si="909"/>
        <v/>
      </c>
    </row>
    <row r="5771" spans="9:21" ht="24.75" customHeight="1" x14ac:dyDescent="0.35">
      <c r="I5771" s="42">
        <f t="shared" si="900"/>
        <v>0</v>
      </c>
      <c r="J5771" s="65" t="e">
        <f t="shared" si="901"/>
        <v>#NUM!</v>
      </c>
      <c r="K5771" s="83" t="e">
        <f t="shared" si="902"/>
        <v>#NUM!</v>
      </c>
      <c r="L5771" s="83">
        <f t="shared" si="903"/>
        <v>0</v>
      </c>
      <c r="M5771" s="110" t="str">
        <f t="shared" si="904"/>
        <v/>
      </c>
      <c r="N5771" s="51" t="str">
        <f t="shared" si="905"/>
        <v/>
      </c>
      <c r="O5771" s="52" t="str">
        <f t="shared" si="906"/>
        <v/>
      </c>
      <c r="P5771" s="88">
        <f t="shared" si="907"/>
        <v>0</v>
      </c>
      <c r="Q5771" s="88">
        <f t="shared" si="908"/>
        <v>0</v>
      </c>
      <c r="R5771" s="88" t="e">
        <f>-IF(Tabla14[[#This Row],[DIAS HABILES O MORA]]&lt;0,(Tabla14[[#This Row],[VALOR PRESTAMO]]*Tabla14[[#This Row],[% INTERES ]]/30*U5771))+Tabla14[[#This Row],[VALOR CUOTAS]]</f>
        <v>#VALUE!</v>
      </c>
      <c r="S5771" s="88">
        <f>-IF(Tabla14[[#This Row],[DIAS HABILES O MORA]]&lt;0,(Tabla14[[#This Row],[VALOR PRESTAMO]]*Tabla14[[#This Row],[% INTERES ]]/30*U5771))</f>
        <v>0</v>
      </c>
      <c r="T5771" s="53" t="e">
        <f>Tabla14[[#This Row],[DEUDA CAPITAL]]+Tabla14[[#This Row],[INTERES  CUOTA]]</f>
        <v>#NUM!</v>
      </c>
      <c r="U5771" s="61" t="str">
        <f t="shared" si="909"/>
        <v/>
      </c>
    </row>
    <row r="5772" spans="9:21" ht="24.75" customHeight="1" x14ac:dyDescent="0.35">
      <c r="I5772" s="42">
        <f t="shared" si="900"/>
        <v>0</v>
      </c>
      <c r="J5772" s="65" t="e">
        <f t="shared" si="901"/>
        <v>#NUM!</v>
      </c>
      <c r="K5772" s="83" t="e">
        <f t="shared" si="902"/>
        <v>#NUM!</v>
      </c>
      <c r="L5772" s="83">
        <f t="shared" si="903"/>
        <v>0</v>
      </c>
      <c r="M5772" s="110" t="str">
        <f t="shared" si="904"/>
        <v/>
      </c>
      <c r="N5772" s="51" t="str">
        <f t="shared" si="905"/>
        <v/>
      </c>
      <c r="O5772" s="52" t="str">
        <f t="shared" si="906"/>
        <v/>
      </c>
      <c r="P5772" s="88">
        <f t="shared" si="907"/>
        <v>0</v>
      </c>
      <c r="Q5772" s="88">
        <f t="shared" si="908"/>
        <v>0</v>
      </c>
      <c r="R5772" s="88" t="e">
        <f>-IF(Tabla14[[#This Row],[DIAS HABILES O MORA]]&lt;0,(Tabla14[[#This Row],[VALOR PRESTAMO]]*Tabla14[[#This Row],[% INTERES ]]/30*U5772))+Tabla14[[#This Row],[VALOR CUOTAS]]</f>
        <v>#VALUE!</v>
      </c>
      <c r="S5772" s="88">
        <f>-IF(Tabla14[[#This Row],[DIAS HABILES O MORA]]&lt;0,(Tabla14[[#This Row],[VALOR PRESTAMO]]*Tabla14[[#This Row],[% INTERES ]]/30*U5772))</f>
        <v>0</v>
      </c>
      <c r="T5772" s="53" t="e">
        <f>Tabla14[[#This Row],[DEUDA CAPITAL]]+Tabla14[[#This Row],[INTERES  CUOTA]]</f>
        <v>#NUM!</v>
      </c>
      <c r="U5772" s="61" t="str">
        <f t="shared" si="909"/>
        <v/>
      </c>
    </row>
    <row r="5773" spans="9:21" ht="24.75" customHeight="1" x14ac:dyDescent="0.35">
      <c r="I5773" s="42">
        <f t="shared" si="900"/>
        <v>0</v>
      </c>
      <c r="J5773" s="65" t="e">
        <f t="shared" si="901"/>
        <v>#NUM!</v>
      </c>
      <c r="K5773" s="83" t="e">
        <f t="shared" si="902"/>
        <v>#NUM!</v>
      </c>
      <c r="L5773" s="83">
        <f t="shared" si="903"/>
        <v>0</v>
      </c>
      <c r="M5773" s="110" t="str">
        <f t="shared" si="904"/>
        <v/>
      </c>
      <c r="N5773" s="51" t="str">
        <f t="shared" si="905"/>
        <v/>
      </c>
      <c r="O5773" s="52" t="str">
        <f t="shared" si="906"/>
        <v/>
      </c>
      <c r="P5773" s="88">
        <f t="shared" si="907"/>
        <v>0</v>
      </c>
      <c r="Q5773" s="88">
        <f t="shared" si="908"/>
        <v>0</v>
      </c>
      <c r="R5773" s="88" t="e">
        <f>-IF(Tabla14[[#This Row],[DIAS HABILES O MORA]]&lt;0,(Tabla14[[#This Row],[VALOR PRESTAMO]]*Tabla14[[#This Row],[% INTERES ]]/30*U5773))+Tabla14[[#This Row],[VALOR CUOTAS]]</f>
        <v>#VALUE!</v>
      </c>
      <c r="S5773" s="88">
        <f>-IF(Tabla14[[#This Row],[DIAS HABILES O MORA]]&lt;0,(Tabla14[[#This Row],[VALOR PRESTAMO]]*Tabla14[[#This Row],[% INTERES ]]/30*U5773))</f>
        <v>0</v>
      </c>
      <c r="T5773" s="53" t="e">
        <f>Tabla14[[#This Row],[DEUDA CAPITAL]]+Tabla14[[#This Row],[INTERES  CUOTA]]</f>
        <v>#NUM!</v>
      </c>
      <c r="U5773" s="61" t="str">
        <f t="shared" si="909"/>
        <v/>
      </c>
    </row>
    <row r="5774" spans="9:21" ht="24.75" customHeight="1" x14ac:dyDescent="0.35">
      <c r="I5774" s="42">
        <f t="shared" si="900"/>
        <v>0</v>
      </c>
      <c r="J5774" s="65" t="e">
        <f t="shared" si="901"/>
        <v>#NUM!</v>
      </c>
      <c r="K5774" s="83" t="e">
        <f t="shared" si="902"/>
        <v>#NUM!</v>
      </c>
      <c r="L5774" s="83">
        <f t="shared" si="903"/>
        <v>0</v>
      </c>
      <c r="M5774" s="110" t="str">
        <f t="shared" si="904"/>
        <v/>
      </c>
      <c r="N5774" s="51" t="str">
        <f t="shared" si="905"/>
        <v/>
      </c>
      <c r="O5774" s="52" t="str">
        <f t="shared" si="906"/>
        <v/>
      </c>
      <c r="P5774" s="88">
        <f t="shared" si="907"/>
        <v>0</v>
      </c>
      <c r="Q5774" s="88">
        <f t="shared" si="908"/>
        <v>0</v>
      </c>
      <c r="R5774" s="88" t="e">
        <f>-IF(Tabla14[[#This Row],[DIAS HABILES O MORA]]&lt;0,(Tabla14[[#This Row],[VALOR PRESTAMO]]*Tabla14[[#This Row],[% INTERES ]]/30*U5774))+Tabla14[[#This Row],[VALOR CUOTAS]]</f>
        <v>#VALUE!</v>
      </c>
      <c r="S5774" s="88">
        <f>-IF(Tabla14[[#This Row],[DIAS HABILES O MORA]]&lt;0,(Tabla14[[#This Row],[VALOR PRESTAMO]]*Tabla14[[#This Row],[% INTERES ]]/30*U5774))</f>
        <v>0</v>
      </c>
      <c r="T5774" s="53" t="e">
        <f>Tabla14[[#This Row],[DEUDA CAPITAL]]+Tabla14[[#This Row],[INTERES  CUOTA]]</f>
        <v>#NUM!</v>
      </c>
      <c r="U5774" s="61" t="str">
        <f t="shared" si="909"/>
        <v/>
      </c>
    </row>
    <row r="5775" spans="9:21" ht="24.75" customHeight="1" x14ac:dyDescent="0.35">
      <c r="I5775" s="42">
        <f t="shared" si="900"/>
        <v>0</v>
      </c>
      <c r="J5775" s="65" t="e">
        <f t="shared" si="901"/>
        <v>#NUM!</v>
      </c>
      <c r="K5775" s="83" t="e">
        <f t="shared" si="902"/>
        <v>#NUM!</v>
      </c>
      <c r="L5775" s="83">
        <f t="shared" si="903"/>
        <v>0</v>
      </c>
      <c r="M5775" s="110" t="str">
        <f t="shared" si="904"/>
        <v/>
      </c>
      <c r="N5775" s="51" t="str">
        <f t="shared" si="905"/>
        <v/>
      </c>
      <c r="O5775" s="52" t="str">
        <f t="shared" si="906"/>
        <v/>
      </c>
      <c r="P5775" s="88">
        <f t="shared" si="907"/>
        <v>0</v>
      </c>
      <c r="Q5775" s="88">
        <f t="shared" si="908"/>
        <v>0</v>
      </c>
      <c r="R5775" s="88" t="e">
        <f>-IF(Tabla14[[#This Row],[DIAS HABILES O MORA]]&lt;0,(Tabla14[[#This Row],[VALOR PRESTAMO]]*Tabla14[[#This Row],[% INTERES ]]/30*U5775))+Tabla14[[#This Row],[VALOR CUOTAS]]</f>
        <v>#VALUE!</v>
      </c>
      <c r="S5775" s="88">
        <f>-IF(Tabla14[[#This Row],[DIAS HABILES O MORA]]&lt;0,(Tabla14[[#This Row],[VALOR PRESTAMO]]*Tabla14[[#This Row],[% INTERES ]]/30*U5775))</f>
        <v>0</v>
      </c>
      <c r="T5775" s="53" t="e">
        <f>Tabla14[[#This Row],[DEUDA CAPITAL]]+Tabla14[[#This Row],[INTERES  CUOTA]]</f>
        <v>#NUM!</v>
      </c>
      <c r="U5775" s="61" t="str">
        <f t="shared" si="909"/>
        <v/>
      </c>
    </row>
    <row r="5776" spans="9:21" ht="24.75" customHeight="1" x14ac:dyDescent="0.35">
      <c r="I5776" s="42">
        <f t="shared" ref="I5776:I5839" si="910">IF(C5776&lt;0,"",IF(Q5776=0,0,IF(G5776=0,H5776+1,IF(H5776&lt;G5776,H5776+1,IF(G5776=H5776,0)))))</f>
        <v>0</v>
      </c>
      <c r="J5776" s="65" t="e">
        <f t="shared" ref="J5776:J5839" si="911">IF(F5776="SOLO INTERES",Q5776*D5776,-IPMT(D5776,I5776,G5776,C5776))</f>
        <v>#NUM!</v>
      </c>
      <c r="K5776" s="83" t="e">
        <f t="shared" ref="K5776:K5839" si="912">IF(F5776="SOLO INTERES",0,-PPMT(D5776,I5776,G5776,C5776))</f>
        <v>#NUM!</v>
      </c>
      <c r="L5776" s="83">
        <f t="shared" ref="L5776:L5839" si="913">IF(F5776="SOLO INTERES",SUM(Y5776:AAE5776),IFERROR(-CUMIPMT(D5776,G5776,C5776,1,H5776,0),0)+SUM(Y5776:WY5776))</f>
        <v>0</v>
      </c>
      <c r="M5776" s="110" t="str">
        <f t="shared" ref="M5776:M5839" si="914">IFERROR(IF(F5776="SOLO INTERES",Q5776*D5776,-PMT(D5776,G5776,C5776,0)),"")</f>
        <v/>
      </c>
      <c r="N5776" s="51" t="str">
        <f t="shared" ref="N5776:N5839" si="915">IF(Q5776=0,"",IF(E5776="MENSUAL",EDATE(B5776,I5776),IF(E5776="QUINCENAL",B5776+(I5776*15),IF(E5776="SEMANAL",B5776+(I5776*7)))))</f>
        <v/>
      </c>
      <c r="O5776" s="52" t="str">
        <f t="shared" ref="O5776:O5839" si="916">IF(C5776=0,"",IF(Q5776&lt;1,"PAGADO",IF(N5776=$A$3,"COBRAR HOY",IF(N5776&lt;$A$3,"EN MORA",IF(N5776&gt;$A$3,"AL DIA")))))</f>
        <v/>
      </c>
      <c r="P5776" s="88">
        <f t="shared" ref="P5776:P5839" si="917">IFERROR(-CUMPRINC(D5776,G5776,C5776,1,H5776,0),0)+W5776</f>
        <v>0</v>
      </c>
      <c r="Q5776" s="88">
        <f t="shared" ref="Q5776:Q5839" si="918">IFERROR(C5776-P5776,"")</f>
        <v>0</v>
      </c>
      <c r="R5776" s="88" t="e">
        <f>-IF(Tabla14[[#This Row],[DIAS HABILES O MORA]]&lt;0,(Tabla14[[#This Row],[VALOR PRESTAMO]]*Tabla14[[#This Row],[% INTERES ]]/30*U5776))+Tabla14[[#This Row],[VALOR CUOTAS]]</f>
        <v>#VALUE!</v>
      </c>
      <c r="S5776" s="88">
        <f>-IF(Tabla14[[#This Row],[DIAS HABILES O MORA]]&lt;0,(Tabla14[[#This Row],[VALOR PRESTAMO]]*Tabla14[[#This Row],[% INTERES ]]/30*U5776))</f>
        <v>0</v>
      </c>
      <c r="T5776" s="53" t="e">
        <f>Tabla14[[#This Row],[DEUDA CAPITAL]]+Tabla14[[#This Row],[INTERES  CUOTA]]</f>
        <v>#NUM!</v>
      </c>
      <c r="U5776" s="61" t="str">
        <f t="shared" ref="U5776:U5839" si="919">IF(O5776="PAGADO","",IFERROR(-IF(C5776=0,"",$A$3-N5776),""))</f>
        <v/>
      </c>
    </row>
    <row r="5777" spans="9:21" ht="24.75" customHeight="1" x14ac:dyDescent="0.35">
      <c r="I5777" s="42">
        <f t="shared" si="910"/>
        <v>0</v>
      </c>
      <c r="J5777" s="65" t="e">
        <f t="shared" si="911"/>
        <v>#NUM!</v>
      </c>
      <c r="K5777" s="83" t="e">
        <f t="shared" si="912"/>
        <v>#NUM!</v>
      </c>
      <c r="L5777" s="83">
        <f t="shared" si="913"/>
        <v>0</v>
      </c>
      <c r="M5777" s="110" t="str">
        <f t="shared" si="914"/>
        <v/>
      </c>
      <c r="N5777" s="51" t="str">
        <f t="shared" si="915"/>
        <v/>
      </c>
      <c r="O5777" s="52" t="str">
        <f t="shared" si="916"/>
        <v/>
      </c>
      <c r="P5777" s="88">
        <f t="shared" si="917"/>
        <v>0</v>
      </c>
      <c r="Q5777" s="88">
        <f t="shared" si="918"/>
        <v>0</v>
      </c>
      <c r="R5777" s="88" t="e">
        <f>-IF(Tabla14[[#This Row],[DIAS HABILES O MORA]]&lt;0,(Tabla14[[#This Row],[VALOR PRESTAMO]]*Tabla14[[#This Row],[% INTERES ]]/30*U5777))+Tabla14[[#This Row],[VALOR CUOTAS]]</f>
        <v>#VALUE!</v>
      </c>
      <c r="S5777" s="88">
        <f>-IF(Tabla14[[#This Row],[DIAS HABILES O MORA]]&lt;0,(Tabla14[[#This Row],[VALOR PRESTAMO]]*Tabla14[[#This Row],[% INTERES ]]/30*U5777))</f>
        <v>0</v>
      </c>
      <c r="T5777" s="53" t="e">
        <f>Tabla14[[#This Row],[DEUDA CAPITAL]]+Tabla14[[#This Row],[INTERES  CUOTA]]</f>
        <v>#NUM!</v>
      </c>
      <c r="U5777" s="61" t="str">
        <f t="shared" si="919"/>
        <v/>
      </c>
    </row>
    <row r="5778" spans="9:21" ht="24.75" customHeight="1" x14ac:dyDescent="0.35">
      <c r="I5778" s="42">
        <f t="shared" si="910"/>
        <v>0</v>
      </c>
      <c r="J5778" s="65" t="e">
        <f t="shared" si="911"/>
        <v>#NUM!</v>
      </c>
      <c r="K5778" s="83" t="e">
        <f t="shared" si="912"/>
        <v>#NUM!</v>
      </c>
      <c r="L5778" s="83">
        <f t="shared" si="913"/>
        <v>0</v>
      </c>
      <c r="M5778" s="110" t="str">
        <f t="shared" si="914"/>
        <v/>
      </c>
      <c r="N5778" s="51" t="str">
        <f t="shared" si="915"/>
        <v/>
      </c>
      <c r="O5778" s="52" t="str">
        <f t="shared" si="916"/>
        <v/>
      </c>
      <c r="P5778" s="88">
        <f t="shared" si="917"/>
        <v>0</v>
      </c>
      <c r="Q5778" s="88">
        <f t="shared" si="918"/>
        <v>0</v>
      </c>
      <c r="R5778" s="88" t="e">
        <f>-IF(Tabla14[[#This Row],[DIAS HABILES O MORA]]&lt;0,(Tabla14[[#This Row],[VALOR PRESTAMO]]*Tabla14[[#This Row],[% INTERES ]]/30*U5778))+Tabla14[[#This Row],[VALOR CUOTAS]]</f>
        <v>#VALUE!</v>
      </c>
      <c r="S5778" s="88">
        <f>-IF(Tabla14[[#This Row],[DIAS HABILES O MORA]]&lt;0,(Tabla14[[#This Row],[VALOR PRESTAMO]]*Tabla14[[#This Row],[% INTERES ]]/30*U5778))</f>
        <v>0</v>
      </c>
      <c r="T5778" s="53" t="e">
        <f>Tabla14[[#This Row],[DEUDA CAPITAL]]+Tabla14[[#This Row],[INTERES  CUOTA]]</f>
        <v>#NUM!</v>
      </c>
      <c r="U5778" s="61" t="str">
        <f t="shared" si="919"/>
        <v/>
      </c>
    </row>
    <row r="5779" spans="9:21" ht="24.75" customHeight="1" x14ac:dyDescent="0.35">
      <c r="I5779" s="42">
        <f t="shared" si="910"/>
        <v>0</v>
      </c>
      <c r="J5779" s="65" t="e">
        <f t="shared" si="911"/>
        <v>#NUM!</v>
      </c>
      <c r="K5779" s="83" t="e">
        <f t="shared" si="912"/>
        <v>#NUM!</v>
      </c>
      <c r="L5779" s="83">
        <f t="shared" si="913"/>
        <v>0</v>
      </c>
      <c r="M5779" s="110" t="str">
        <f t="shared" si="914"/>
        <v/>
      </c>
      <c r="N5779" s="51" t="str">
        <f t="shared" si="915"/>
        <v/>
      </c>
      <c r="O5779" s="52" t="str">
        <f t="shared" si="916"/>
        <v/>
      </c>
      <c r="P5779" s="88">
        <f t="shared" si="917"/>
        <v>0</v>
      </c>
      <c r="Q5779" s="88">
        <f t="shared" si="918"/>
        <v>0</v>
      </c>
      <c r="R5779" s="88" t="e">
        <f>-IF(Tabla14[[#This Row],[DIAS HABILES O MORA]]&lt;0,(Tabla14[[#This Row],[VALOR PRESTAMO]]*Tabla14[[#This Row],[% INTERES ]]/30*U5779))+Tabla14[[#This Row],[VALOR CUOTAS]]</f>
        <v>#VALUE!</v>
      </c>
      <c r="S5779" s="88">
        <f>-IF(Tabla14[[#This Row],[DIAS HABILES O MORA]]&lt;0,(Tabla14[[#This Row],[VALOR PRESTAMO]]*Tabla14[[#This Row],[% INTERES ]]/30*U5779))</f>
        <v>0</v>
      </c>
      <c r="T5779" s="53" t="e">
        <f>Tabla14[[#This Row],[DEUDA CAPITAL]]+Tabla14[[#This Row],[INTERES  CUOTA]]</f>
        <v>#NUM!</v>
      </c>
      <c r="U5779" s="61" t="str">
        <f t="shared" si="919"/>
        <v/>
      </c>
    </row>
    <row r="5780" spans="9:21" ht="24.75" customHeight="1" x14ac:dyDescent="0.35">
      <c r="I5780" s="42">
        <f t="shared" si="910"/>
        <v>0</v>
      </c>
      <c r="J5780" s="65" t="e">
        <f t="shared" si="911"/>
        <v>#NUM!</v>
      </c>
      <c r="K5780" s="83" t="e">
        <f t="shared" si="912"/>
        <v>#NUM!</v>
      </c>
      <c r="L5780" s="83">
        <f t="shared" si="913"/>
        <v>0</v>
      </c>
      <c r="M5780" s="110" t="str">
        <f t="shared" si="914"/>
        <v/>
      </c>
      <c r="N5780" s="51" t="str">
        <f t="shared" si="915"/>
        <v/>
      </c>
      <c r="O5780" s="52" t="str">
        <f t="shared" si="916"/>
        <v/>
      </c>
      <c r="P5780" s="88">
        <f t="shared" si="917"/>
        <v>0</v>
      </c>
      <c r="Q5780" s="88">
        <f t="shared" si="918"/>
        <v>0</v>
      </c>
      <c r="R5780" s="88" t="e">
        <f>-IF(Tabla14[[#This Row],[DIAS HABILES O MORA]]&lt;0,(Tabla14[[#This Row],[VALOR PRESTAMO]]*Tabla14[[#This Row],[% INTERES ]]/30*U5780))+Tabla14[[#This Row],[VALOR CUOTAS]]</f>
        <v>#VALUE!</v>
      </c>
      <c r="S5780" s="88">
        <f>-IF(Tabla14[[#This Row],[DIAS HABILES O MORA]]&lt;0,(Tabla14[[#This Row],[VALOR PRESTAMO]]*Tabla14[[#This Row],[% INTERES ]]/30*U5780))</f>
        <v>0</v>
      </c>
      <c r="T5780" s="53" t="e">
        <f>Tabla14[[#This Row],[DEUDA CAPITAL]]+Tabla14[[#This Row],[INTERES  CUOTA]]</f>
        <v>#NUM!</v>
      </c>
      <c r="U5780" s="61" t="str">
        <f t="shared" si="919"/>
        <v/>
      </c>
    </row>
    <row r="5781" spans="9:21" ht="24.75" customHeight="1" x14ac:dyDescent="0.35">
      <c r="I5781" s="42">
        <f t="shared" si="910"/>
        <v>0</v>
      </c>
      <c r="J5781" s="65" t="e">
        <f t="shared" si="911"/>
        <v>#NUM!</v>
      </c>
      <c r="K5781" s="83" t="e">
        <f t="shared" si="912"/>
        <v>#NUM!</v>
      </c>
      <c r="L5781" s="83">
        <f t="shared" si="913"/>
        <v>0</v>
      </c>
      <c r="M5781" s="110" t="str">
        <f t="shared" si="914"/>
        <v/>
      </c>
      <c r="N5781" s="51" t="str">
        <f t="shared" si="915"/>
        <v/>
      </c>
      <c r="O5781" s="52" t="str">
        <f t="shared" si="916"/>
        <v/>
      </c>
      <c r="P5781" s="88">
        <f t="shared" si="917"/>
        <v>0</v>
      </c>
      <c r="Q5781" s="88">
        <f t="shared" si="918"/>
        <v>0</v>
      </c>
      <c r="R5781" s="88" t="e">
        <f>-IF(Tabla14[[#This Row],[DIAS HABILES O MORA]]&lt;0,(Tabla14[[#This Row],[VALOR PRESTAMO]]*Tabla14[[#This Row],[% INTERES ]]/30*U5781))+Tabla14[[#This Row],[VALOR CUOTAS]]</f>
        <v>#VALUE!</v>
      </c>
      <c r="S5781" s="88">
        <f>-IF(Tabla14[[#This Row],[DIAS HABILES O MORA]]&lt;0,(Tabla14[[#This Row],[VALOR PRESTAMO]]*Tabla14[[#This Row],[% INTERES ]]/30*U5781))</f>
        <v>0</v>
      </c>
      <c r="T5781" s="53" t="e">
        <f>Tabla14[[#This Row],[DEUDA CAPITAL]]+Tabla14[[#This Row],[INTERES  CUOTA]]</f>
        <v>#NUM!</v>
      </c>
      <c r="U5781" s="61" t="str">
        <f t="shared" si="919"/>
        <v/>
      </c>
    </row>
    <row r="5782" spans="9:21" ht="24.75" customHeight="1" x14ac:dyDescent="0.35">
      <c r="I5782" s="42">
        <f t="shared" si="910"/>
        <v>0</v>
      </c>
      <c r="J5782" s="65" t="e">
        <f t="shared" si="911"/>
        <v>#NUM!</v>
      </c>
      <c r="K5782" s="83" t="e">
        <f t="shared" si="912"/>
        <v>#NUM!</v>
      </c>
      <c r="L5782" s="83">
        <f t="shared" si="913"/>
        <v>0</v>
      </c>
      <c r="M5782" s="110" t="str">
        <f t="shared" si="914"/>
        <v/>
      </c>
      <c r="N5782" s="51" t="str">
        <f t="shared" si="915"/>
        <v/>
      </c>
      <c r="O5782" s="52" t="str">
        <f t="shared" si="916"/>
        <v/>
      </c>
      <c r="P5782" s="88">
        <f t="shared" si="917"/>
        <v>0</v>
      </c>
      <c r="Q5782" s="88">
        <f t="shared" si="918"/>
        <v>0</v>
      </c>
      <c r="R5782" s="88" t="e">
        <f>-IF(Tabla14[[#This Row],[DIAS HABILES O MORA]]&lt;0,(Tabla14[[#This Row],[VALOR PRESTAMO]]*Tabla14[[#This Row],[% INTERES ]]/30*U5782))+Tabla14[[#This Row],[VALOR CUOTAS]]</f>
        <v>#VALUE!</v>
      </c>
      <c r="S5782" s="88">
        <f>-IF(Tabla14[[#This Row],[DIAS HABILES O MORA]]&lt;0,(Tabla14[[#This Row],[VALOR PRESTAMO]]*Tabla14[[#This Row],[% INTERES ]]/30*U5782))</f>
        <v>0</v>
      </c>
      <c r="T5782" s="53" t="e">
        <f>Tabla14[[#This Row],[DEUDA CAPITAL]]+Tabla14[[#This Row],[INTERES  CUOTA]]</f>
        <v>#NUM!</v>
      </c>
      <c r="U5782" s="61" t="str">
        <f t="shared" si="919"/>
        <v/>
      </c>
    </row>
    <row r="5783" spans="9:21" ht="24.75" customHeight="1" x14ac:dyDescent="0.35">
      <c r="I5783" s="42">
        <f t="shared" si="910"/>
        <v>0</v>
      </c>
      <c r="J5783" s="65" t="e">
        <f t="shared" si="911"/>
        <v>#NUM!</v>
      </c>
      <c r="K5783" s="83" t="e">
        <f t="shared" si="912"/>
        <v>#NUM!</v>
      </c>
      <c r="L5783" s="83">
        <f t="shared" si="913"/>
        <v>0</v>
      </c>
      <c r="M5783" s="110" t="str">
        <f t="shared" si="914"/>
        <v/>
      </c>
      <c r="N5783" s="51" t="str">
        <f t="shared" si="915"/>
        <v/>
      </c>
      <c r="O5783" s="52" t="str">
        <f t="shared" si="916"/>
        <v/>
      </c>
      <c r="P5783" s="88">
        <f t="shared" si="917"/>
        <v>0</v>
      </c>
      <c r="Q5783" s="88">
        <f t="shared" si="918"/>
        <v>0</v>
      </c>
      <c r="R5783" s="88" t="e">
        <f>-IF(Tabla14[[#This Row],[DIAS HABILES O MORA]]&lt;0,(Tabla14[[#This Row],[VALOR PRESTAMO]]*Tabla14[[#This Row],[% INTERES ]]/30*U5783))+Tabla14[[#This Row],[VALOR CUOTAS]]</f>
        <v>#VALUE!</v>
      </c>
      <c r="S5783" s="88">
        <f>-IF(Tabla14[[#This Row],[DIAS HABILES O MORA]]&lt;0,(Tabla14[[#This Row],[VALOR PRESTAMO]]*Tabla14[[#This Row],[% INTERES ]]/30*U5783))</f>
        <v>0</v>
      </c>
      <c r="T5783" s="53" t="e">
        <f>Tabla14[[#This Row],[DEUDA CAPITAL]]+Tabla14[[#This Row],[INTERES  CUOTA]]</f>
        <v>#NUM!</v>
      </c>
      <c r="U5783" s="61" t="str">
        <f t="shared" si="919"/>
        <v/>
      </c>
    </row>
    <row r="5784" spans="9:21" ht="24.75" customHeight="1" x14ac:dyDescent="0.35">
      <c r="I5784" s="42">
        <f t="shared" si="910"/>
        <v>0</v>
      </c>
      <c r="J5784" s="65" t="e">
        <f t="shared" si="911"/>
        <v>#NUM!</v>
      </c>
      <c r="K5784" s="83" t="e">
        <f t="shared" si="912"/>
        <v>#NUM!</v>
      </c>
      <c r="L5784" s="83">
        <f t="shared" si="913"/>
        <v>0</v>
      </c>
      <c r="M5784" s="110" t="str">
        <f t="shared" si="914"/>
        <v/>
      </c>
      <c r="N5784" s="51" t="str">
        <f t="shared" si="915"/>
        <v/>
      </c>
      <c r="O5784" s="52" t="str">
        <f t="shared" si="916"/>
        <v/>
      </c>
      <c r="P5784" s="88">
        <f t="shared" si="917"/>
        <v>0</v>
      </c>
      <c r="Q5784" s="88">
        <f t="shared" si="918"/>
        <v>0</v>
      </c>
      <c r="R5784" s="88" t="e">
        <f>-IF(Tabla14[[#This Row],[DIAS HABILES O MORA]]&lt;0,(Tabla14[[#This Row],[VALOR PRESTAMO]]*Tabla14[[#This Row],[% INTERES ]]/30*U5784))+Tabla14[[#This Row],[VALOR CUOTAS]]</f>
        <v>#VALUE!</v>
      </c>
      <c r="S5784" s="88">
        <f>-IF(Tabla14[[#This Row],[DIAS HABILES O MORA]]&lt;0,(Tabla14[[#This Row],[VALOR PRESTAMO]]*Tabla14[[#This Row],[% INTERES ]]/30*U5784))</f>
        <v>0</v>
      </c>
      <c r="T5784" s="53" t="e">
        <f>Tabla14[[#This Row],[DEUDA CAPITAL]]+Tabla14[[#This Row],[INTERES  CUOTA]]</f>
        <v>#NUM!</v>
      </c>
      <c r="U5784" s="61" t="str">
        <f t="shared" si="919"/>
        <v/>
      </c>
    </row>
    <row r="5785" spans="9:21" ht="24.75" customHeight="1" x14ac:dyDescent="0.35">
      <c r="I5785" s="42">
        <f t="shared" si="910"/>
        <v>0</v>
      </c>
      <c r="J5785" s="65" t="e">
        <f t="shared" si="911"/>
        <v>#NUM!</v>
      </c>
      <c r="K5785" s="83" t="e">
        <f t="shared" si="912"/>
        <v>#NUM!</v>
      </c>
      <c r="L5785" s="83">
        <f t="shared" si="913"/>
        <v>0</v>
      </c>
      <c r="M5785" s="110" t="str">
        <f t="shared" si="914"/>
        <v/>
      </c>
      <c r="N5785" s="51" t="str">
        <f t="shared" si="915"/>
        <v/>
      </c>
      <c r="O5785" s="52" t="str">
        <f t="shared" si="916"/>
        <v/>
      </c>
      <c r="P5785" s="88">
        <f t="shared" si="917"/>
        <v>0</v>
      </c>
      <c r="Q5785" s="88">
        <f t="shared" si="918"/>
        <v>0</v>
      </c>
      <c r="R5785" s="88" t="e">
        <f>-IF(Tabla14[[#This Row],[DIAS HABILES O MORA]]&lt;0,(Tabla14[[#This Row],[VALOR PRESTAMO]]*Tabla14[[#This Row],[% INTERES ]]/30*U5785))+Tabla14[[#This Row],[VALOR CUOTAS]]</f>
        <v>#VALUE!</v>
      </c>
      <c r="S5785" s="88">
        <f>-IF(Tabla14[[#This Row],[DIAS HABILES O MORA]]&lt;0,(Tabla14[[#This Row],[VALOR PRESTAMO]]*Tabla14[[#This Row],[% INTERES ]]/30*U5785))</f>
        <v>0</v>
      </c>
      <c r="T5785" s="53" t="e">
        <f>Tabla14[[#This Row],[DEUDA CAPITAL]]+Tabla14[[#This Row],[INTERES  CUOTA]]</f>
        <v>#NUM!</v>
      </c>
      <c r="U5785" s="61" t="str">
        <f t="shared" si="919"/>
        <v/>
      </c>
    </row>
    <row r="5786" spans="9:21" ht="24.75" customHeight="1" x14ac:dyDescent="0.35">
      <c r="I5786" s="42">
        <f t="shared" si="910"/>
        <v>0</v>
      </c>
      <c r="J5786" s="65" t="e">
        <f t="shared" si="911"/>
        <v>#NUM!</v>
      </c>
      <c r="K5786" s="83" t="e">
        <f t="shared" si="912"/>
        <v>#NUM!</v>
      </c>
      <c r="L5786" s="83">
        <f t="shared" si="913"/>
        <v>0</v>
      </c>
      <c r="M5786" s="110" t="str">
        <f t="shared" si="914"/>
        <v/>
      </c>
      <c r="N5786" s="51" t="str">
        <f t="shared" si="915"/>
        <v/>
      </c>
      <c r="O5786" s="52" t="str">
        <f t="shared" si="916"/>
        <v/>
      </c>
      <c r="P5786" s="88">
        <f t="shared" si="917"/>
        <v>0</v>
      </c>
      <c r="Q5786" s="88">
        <f t="shared" si="918"/>
        <v>0</v>
      </c>
      <c r="R5786" s="88" t="e">
        <f>-IF(Tabla14[[#This Row],[DIAS HABILES O MORA]]&lt;0,(Tabla14[[#This Row],[VALOR PRESTAMO]]*Tabla14[[#This Row],[% INTERES ]]/30*U5786))+Tabla14[[#This Row],[VALOR CUOTAS]]</f>
        <v>#VALUE!</v>
      </c>
      <c r="S5786" s="88">
        <f>-IF(Tabla14[[#This Row],[DIAS HABILES O MORA]]&lt;0,(Tabla14[[#This Row],[VALOR PRESTAMO]]*Tabla14[[#This Row],[% INTERES ]]/30*U5786))</f>
        <v>0</v>
      </c>
      <c r="T5786" s="53" t="e">
        <f>Tabla14[[#This Row],[DEUDA CAPITAL]]+Tabla14[[#This Row],[INTERES  CUOTA]]</f>
        <v>#NUM!</v>
      </c>
      <c r="U5786" s="61" t="str">
        <f t="shared" si="919"/>
        <v/>
      </c>
    </row>
    <row r="5787" spans="9:21" ht="24.75" customHeight="1" x14ac:dyDescent="0.35">
      <c r="I5787" s="42">
        <f t="shared" si="910"/>
        <v>0</v>
      </c>
      <c r="J5787" s="65" t="e">
        <f t="shared" si="911"/>
        <v>#NUM!</v>
      </c>
      <c r="K5787" s="83" t="e">
        <f t="shared" si="912"/>
        <v>#NUM!</v>
      </c>
      <c r="L5787" s="83">
        <f t="shared" si="913"/>
        <v>0</v>
      </c>
      <c r="M5787" s="110" t="str">
        <f t="shared" si="914"/>
        <v/>
      </c>
      <c r="N5787" s="51" t="str">
        <f t="shared" si="915"/>
        <v/>
      </c>
      <c r="O5787" s="52" t="str">
        <f t="shared" si="916"/>
        <v/>
      </c>
      <c r="P5787" s="88">
        <f t="shared" si="917"/>
        <v>0</v>
      </c>
      <c r="Q5787" s="88">
        <f t="shared" si="918"/>
        <v>0</v>
      </c>
      <c r="R5787" s="88" t="e">
        <f>-IF(Tabla14[[#This Row],[DIAS HABILES O MORA]]&lt;0,(Tabla14[[#This Row],[VALOR PRESTAMO]]*Tabla14[[#This Row],[% INTERES ]]/30*U5787))+Tabla14[[#This Row],[VALOR CUOTAS]]</f>
        <v>#VALUE!</v>
      </c>
      <c r="S5787" s="88">
        <f>-IF(Tabla14[[#This Row],[DIAS HABILES O MORA]]&lt;0,(Tabla14[[#This Row],[VALOR PRESTAMO]]*Tabla14[[#This Row],[% INTERES ]]/30*U5787))</f>
        <v>0</v>
      </c>
      <c r="T5787" s="53" t="e">
        <f>Tabla14[[#This Row],[DEUDA CAPITAL]]+Tabla14[[#This Row],[INTERES  CUOTA]]</f>
        <v>#NUM!</v>
      </c>
      <c r="U5787" s="61" t="str">
        <f t="shared" si="919"/>
        <v/>
      </c>
    </row>
    <row r="5788" spans="9:21" ht="24.75" customHeight="1" x14ac:dyDescent="0.35">
      <c r="I5788" s="42">
        <f t="shared" si="910"/>
        <v>0</v>
      </c>
      <c r="J5788" s="65" t="e">
        <f t="shared" si="911"/>
        <v>#NUM!</v>
      </c>
      <c r="K5788" s="83" t="e">
        <f t="shared" si="912"/>
        <v>#NUM!</v>
      </c>
      <c r="L5788" s="83">
        <f t="shared" si="913"/>
        <v>0</v>
      </c>
      <c r="M5788" s="110" t="str">
        <f t="shared" si="914"/>
        <v/>
      </c>
      <c r="N5788" s="51" t="str">
        <f t="shared" si="915"/>
        <v/>
      </c>
      <c r="O5788" s="52" t="str">
        <f t="shared" si="916"/>
        <v/>
      </c>
      <c r="P5788" s="88">
        <f t="shared" si="917"/>
        <v>0</v>
      </c>
      <c r="Q5788" s="88">
        <f t="shared" si="918"/>
        <v>0</v>
      </c>
      <c r="R5788" s="88" t="e">
        <f>-IF(Tabla14[[#This Row],[DIAS HABILES O MORA]]&lt;0,(Tabla14[[#This Row],[VALOR PRESTAMO]]*Tabla14[[#This Row],[% INTERES ]]/30*U5788))+Tabla14[[#This Row],[VALOR CUOTAS]]</f>
        <v>#VALUE!</v>
      </c>
      <c r="S5788" s="88">
        <f>-IF(Tabla14[[#This Row],[DIAS HABILES O MORA]]&lt;0,(Tabla14[[#This Row],[VALOR PRESTAMO]]*Tabla14[[#This Row],[% INTERES ]]/30*U5788))</f>
        <v>0</v>
      </c>
      <c r="T5788" s="53" t="e">
        <f>Tabla14[[#This Row],[DEUDA CAPITAL]]+Tabla14[[#This Row],[INTERES  CUOTA]]</f>
        <v>#NUM!</v>
      </c>
      <c r="U5788" s="61" t="str">
        <f t="shared" si="919"/>
        <v/>
      </c>
    </row>
    <row r="5789" spans="9:21" ht="24.75" customHeight="1" x14ac:dyDescent="0.35">
      <c r="I5789" s="42">
        <f t="shared" si="910"/>
        <v>0</v>
      </c>
      <c r="J5789" s="65" t="e">
        <f t="shared" si="911"/>
        <v>#NUM!</v>
      </c>
      <c r="K5789" s="83" t="e">
        <f t="shared" si="912"/>
        <v>#NUM!</v>
      </c>
      <c r="L5789" s="83">
        <f t="shared" si="913"/>
        <v>0</v>
      </c>
      <c r="M5789" s="110" t="str">
        <f t="shared" si="914"/>
        <v/>
      </c>
      <c r="N5789" s="51" t="str">
        <f t="shared" si="915"/>
        <v/>
      </c>
      <c r="O5789" s="52" t="str">
        <f t="shared" si="916"/>
        <v/>
      </c>
      <c r="P5789" s="88">
        <f t="shared" si="917"/>
        <v>0</v>
      </c>
      <c r="Q5789" s="88">
        <f t="shared" si="918"/>
        <v>0</v>
      </c>
      <c r="R5789" s="88" t="e">
        <f>-IF(Tabla14[[#This Row],[DIAS HABILES O MORA]]&lt;0,(Tabla14[[#This Row],[VALOR PRESTAMO]]*Tabla14[[#This Row],[% INTERES ]]/30*U5789))+Tabla14[[#This Row],[VALOR CUOTAS]]</f>
        <v>#VALUE!</v>
      </c>
      <c r="S5789" s="88">
        <f>-IF(Tabla14[[#This Row],[DIAS HABILES O MORA]]&lt;0,(Tabla14[[#This Row],[VALOR PRESTAMO]]*Tabla14[[#This Row],[% INTERES ]]/30*U5789))</f>
        <v>0</v>
      </c>
      <c r="T5789" s="53" t="e">
        <f>Tabla14[[#This Row],[DEUDA CAPITAL]]+Tabla14[[#This Row],[INTERES  CUOTA]]</f>
        <v>#NUM!</v>
      </c>
      <c r="U5789" s="61" t="str">
        <f t="shared" si="919"/>
        <v/>
      </c>
    </row>
    <row r="5790" spans="9:21" ht="24.75" customHeight="1" x14ac:dyDescent="0.35">
      <c r="I5790" s="42">
        <f t="shared" si="910"/>
        <v>0</v>
      </c>
      <c r="J5790" s="65" t="e">
        <f t="shared" si="911"/>
        <v>#NUM!</v>
      </c>
      <c r="K5790" s="83" t="e">
        <f t="shared" si="912"/>
        <v>#NUM!</v>
      </c>
      <c r="L5790" s="83">
        <f t="shared" si="913"/>
        <v>0</v>
      </c>
      <c r="M5790" s="110" t="str">
        <f t="shared" si="914"/>
        <v/>
      </c>
      <c r="N5790" s="51" t="str">
        <f t="shared" si="915"/>
        <v/>
      </c>
      <c r="O5790" s="52" t="str">
        <f t="shared" si="916"/>
        <v/>
      </c>
      <c r="P5790" s="88">
        <f t="shared" si="917"/>
        <v>0</v>
      </c>
      <c r="Q5790" s="88">
        <f t="shared" si="918"/>
        <v>0</v>
      </c>
      <c r="R5790" s="88" t="e">
        <f>-IF(Tabla14[[#This Row],[DIAS HABILES O MORA]]&lt;0,(Tabla14[[#This Row],[VALOR PRESTAMO]]*Tabla14[[#This Row],[% INTERES ]]/30*U5790))+Tabla14[[#This Row],[VALOR CUOTAS]]</f>
        <v>#VALUE!</v>
      </c>
      <c r="S5790" s="88">
        <f>-IF(Tabla14[[#This Row],[DIAS HABILES O MORA]]&lt;0,(Tabla14[[#This Row],[VALOR PRESTAMO]]*Tabla14[[#This Row],[% INTERES ]]/30*U5790))</f>
        <v>0</v>
      </c>
      <c r="T5790" s="53" t="e">
        <f>Tabla14[[#This Row],[DEUDA CAPITAL]]+Tabla14[[#This Row],[INTERES  CUOTA]]</f>
        <v>#NUM!</v>
      </c>
      <c r="U5790" s="61" t="str">
        <f t="shared" si="919"/>
        <v/>
      </c>
    </row>
    <row r="5791" spans="9:21" ht="24.75" customHeight="1" x14ac:dyDescent="0.35">
      <c r="I5791" s="42">
        <f t="shared" si="910"/>
        <v>0</v>
      </c>
      <c r="J5791" s="65" t="e">
        <f t="shared" si="911"/>
        <v>#NUM!</v>
      </c>
      <c r="K5791" s="83" t="e">
        <f t="shared" si="912"/>
        <v>#NUM!</v>
      </c>
      <c r="L5791" s="83">
        <f t="shared" si="913"/>
        <v>0</v>
      </c>
      <c r="M5791" s="110" t="str">
        <f t="shared" si="914"/>
        <v/>
      </c>
      <c r="N5791" s="51" t="str">
        <f t="shared" si="915"/>
        <v/>
      </c>
      <c r="O5791" s="52" t="str">
        <f t="shared" si="916"/>
        <v/>
      </c>
      <c r="P5791" s="88">
        <f t="shared" si="917"/>
        <v>0</v>
      </c>
      <c r="Q5791" s="88">
        <f t="shared" si="918"/>
        <v>0</v>
      </c>
      <c r="R5791" s="88" t="e">
        <f>-IF(Tabla14[[#This Row],[DIAS HABILES O MORA]]&lt;0,(Tabla14[[#This Row],[VALOR PRESTAMO]]*Tabla14[[#This Row],[% INTERES ]]/30*U5791))+Tabla14[[#This Row],[VALOR CUOTAS]]</f>
        <v>#VALUE!</v>
      </c>
      <c r="S5791" s="88">
        <f>-IF(Tabla14[[#This Row],[DIAS HABILES O MORA]]&lt;0,(Tabla14[[#This Row],[VALOR PRESTAMO]]*Tabla14[[#This Row],[% INTERES ]]/30*U5791))</f>
        <v>0</v>
      </c>
      <c r="T5791" s="53" t="e">
        <f>Tabla14[[#This Row],[DEUDA CAPITAL]]+Tabla14[[#This Row],[INTERES  CUOTA]]</f>
        <v>#NUM!</v>
      </c>
      <c r="U5791" s="61" t="str">
        <f t="shared" si="919"/>
        <v/>
      </c>
    </row>
    <row r="5792" spans="9:21" ht="24.75" customHeight="1" x14ac:dyDescent="0.35">
      <c r="I5792" s="42">
        <f t="shared" si="910"/>
        <v>0</v>
      </c>
      <c r="J5792" s="65" t="e">
        <f t="shared" si="911"/>
        <v>#NUM!</v>
      </c>
      <c r="K5792" s="83" t="e">
        <f t="shared" si="912"/>
        <v>#NUM!</v>
      </c>
      <c r="L5792" s="83">
        <f t="shared" si="913"/>
        <v>0</v>
      </c>
      <c r="M5792" s="110" t="str">
        <f t="shared" si="914"/>
        <v/>
      </c>
      <c r="N5792" s="51" t="str">
        <f t="shared" si="915"/>
        <v/>
      </c>
      <c r="O5792" s="52" t="str">
        <f t="shared" si="916"/>
        <v/>
      </c>
      <c r="P5792" s="88">
        <f t="shared" si="917"/>
        <v>0</v>
      </c>
      <c r="Q5792" s="88">
        <f t="shared" si="918"/>
        <v>0</v>
      </c>
      <c r="R5792" s="88" t="e">
        <f>-IF(Tabla14[[#This Row],[DIAS HABILES O MORA]]&lt;0,(Tabla14[[#This Row],[VALOR PRESTAMO]]*Tabla14[[#This Row],[% INTERES ]]/30*U5792))+Tabla14[[#This Row],[VALOR CUOTAS]]</f>
        <v>#VALUE!</v>
      </c>
      <c r="S5792" s="88">
        <f>-IF(Tabla14[[#This Row],[DIAS HABILES O MORA]]&lt;0,(Tabla14[[#This Row],[VALOR PRESTAMO]]*Tabla14[[#This Row],[% INTERES ]]/30*U5792))</f>
        <v>0</v>
      </c>
      <c r="T5792" s="53" t="e">
        <f>Tabla14[[#This Row],[DEUDA CAPITAL]]+Tabla14[[#This Row],[INTERES  CUOTA]]</f>
        <v>#NUM!</v>
      </c>
      <c r="U5792" s="61" t="str">
        <f t="shared" si="919"/>
        <v/>
      </c>
    </row>
    <row r="5793" spans="9:21" ht="24.75" customHeight="1" x14ac:dyDescent="0.35">
      <c r="I5793" s="42">
        <f t="shared" si="910"/>
        <v>0</v>
      </c>
      <c r="J5793" s="65" t="e">
        <f t="shared" si="911"/>
        <v>#NUM!</v>
      </c>
      <c r="K5793" s="83" t="e">
        <f t="shared" si="912"/>
        <v>#NUM!</v>
      </c>
      <c r="L5793" s="83">
        <f t="shared" si="913"/>
        <v>0</v>
      </c>
      <c r="M5793" s="110" t="str">
        <f t="shared" si="914"/>
        <v/>
      </c>
      <c r="N5793" s="51" t="str">
        <f t="shared" si="915"/>
        <v/>
      </c>
      <c r="O5793" s="52" t="str">
        <f t="shared" si="916"/>
        <v/>
      </c>
      <c r="P5793" s="88">
        <f t="shared" si="917"/>
        <v>0</v>
      </c>
      <c r="Q5793" s="88">
        <f t="shared" si="918"/>
        <v>0</v>
      </c>
      <c r="R5793" s="88" t="e">
        <f>-IF(Tabla14[[#This Row],[DIAS HABILES O MORA]]&lt;0,(Tabla14[[#This Row],[VALOR PRESTAMO]]*Tabla14[[#This Row],[% INTERES ]]/30*U5793))+Tabla14[[#This Row],[VALOR CUOTAS]]</f>
        <v>#VALUE!</v>
      </c>
      <c r="S5793" s="88">
        <f>-IF(Tabla14[[#This Row],[DIAS HABILES O MORA]]&lt;0,(Tabla14[[#This Row],[VALOR PRESTAMO]]*Tabla14[[#This Row],[% INTERES ]]/30*U5793))</f>
        <v>0</v>
      </c>
      <c r="T5793" s="53" t="e">
        <f>Tabla14[[#This Row],[DEUDA CAPITAL]]+Tabla14[[#This Row],[INTERES  CUOTA]]</f>
        <v>#NUM!</v>
      </c>
      <c r="U5793" s="61" t="str">
        <f t="shared" si="919"/>
        <v/>
      </c>
    </row>
    <row r="5794" spans="9:21" ht="24.75" customHeight="1" x14ac:dyDescent="0.35">
      <c r="I5794" s="42">
        <f t="shared" si="910"/>
        <v>0</v>
      </c>
      <c r="J5794" s="65" t="e">
        <f t="shared" si="911"/>
        <v>#NUM!</v>
      </c>
      <c r="K5794" s="83" t="e">
        <f t="shared" si="912"/>
        <v>#NUM!</v>
      </c>
      <c r="L5794" s="83">
        <f t="shared" si="913"/>
        <v>0</v>
      </c>
      <c r="M5794" s="110" t="str">
        <f t="shared" si="914"/>
        <v/>
      </c>
      <c r="N5794" s="51" t="str">
        <f t="shared" si="915"/>
        <v/>
      </c>
      <c r="O5794" s="52" t="str">
        <f t="shared" si="916"/>
        <v/>
      </c>
      <c r="P5794" s="88">
        <f t="shared" si="917"/>
        <v>0</v>
      </c>
      <c r="Q5794" s="88">
        <f t="shared" si="918"/>
        <v>0</v>
      </c>
      <c r="R5794" s="88" t="e">
        <f>-IF(Tabla14[[#This Row],[DIAS HABILES O MORA]]&lt;0,(Tabla14[[#This Row],[VALOR PRESTAMO]]*Tabla14[[#This Row],[% INTERES ]]/30*U5794))+Tabla14[[#This Row],[VALOR CUOTAS]]</f>
        <v>#VALUE!</v>
      </c>
      <c r="S5794" s="88">
        <f>-IF(Tabla14[[#This Row],[DIAS HABILES O MORA]]&lt;0,(Tabla14[[#This Row],[VALOR PRESTAMO]]*Tabla14[[#This Row],[% INTERES ]]/30*U5794))</f>
        <v>0</v>
      </c>
      <c r="T5794" s="53" t="e">
        <f>Tabla14[[#This Row],[DEUDA CAPITAL]]+Tabla14[[#This Row],[INTERES  CUOTA]]</f>
        <v>#NUM!</v>
      </c>
      <c r="U5794" s="61" t="str">
        <f t="shared" si="919"/>
        <v/>
      </c>
    </row>
    <row r="5795" spans="9:21" ht="24.75" customHeight="1" x14ac:dyDescent="0.35">
      <c r="I5795" s="42">
        <f t="shared" si="910"/>
        <v>0</v>
      </c>
      <c r="J5795" s="65" t="e">
        <f t="shared" si="911"/>
        <v>#NUM!</v>
      </c>
      <c r="K5795" s="83" t="e">
        <f t="shared" si="912"/>
        <v>#NUM!</v>
      </c>
      <c r="L5795" s="83">
        <f t="shared" si="913"/>
        <v>0</v>
      </c>
      <c r="M5795" s="110" t="str">
        <f t="shared" si="914"/>
        <v/>
      </c>
      <c r="N5795" s="51" t="str">
        <f t="shared" si="915"/>
        <v/>
      </c>
      <c r="O5795" s="52" t="str">
        <f t="shared" si="916"/>
        <v/>
      </c>
      <c r="P5795" s="88">
        <f t="shared" si="917"/>
        <v>0</v>
      </c>
      <c r="Q5795" s="88">
        <f t="shared" si="918"/>
        <v>0</v>
      </c>
      <c r="R5795" s="88" t="e">
        <f>-IF(Tabla14[[#This Row],[DIAS HABILES O MORA]]&lt;0,(Tabla14[[#This Row],[VALOR PRESTAMO]]*Tabla14[[#This Row],[% INTERES ]]/30*U5795))+Tabla14[[#This Row],[VALOR CUOTAS]]</f>
        <v>#VALUE!</v>
      </c>
      <c r="S5795" s="88">
        <f>-IF(Tabla14[[#This Row],[DIAS HABILES O MORA]]&lt;0,(Tabla14[[#This Row],[VALOR PRESTAMO]]*Tabla14[[#This Row],[% INTERES ]]/30*U5795))</f>
        <v>0</v>
      </c>
      <c r="T5795" s="53" t="e">
        <f>Tabla14[[#This Row],[DEUDA CAPITAL]]+Tabla14[[#This Row],[INTERES  CUOTA]]</f>
        <v>#NUM!</v>
      </c>
      <c r="U5795" s="61" t="str">
        <f t="shared" si="919"/>
        <v/>
      </c>
    </row>
    <row r="5796" spans="9:21" ht="24.75" customHeight="1" x14ac:dyDescent="0.35">
      <c r="I5796" s="42">
        <f t="shared" si="910"/>
        <v>0</v>
      </c>
      <c r="J5796" s="65" t="e">
        <f t="shared" si="911"/>
        <v>#NUM!</v>
      </c>
      <c r="K5796" s="83" t="e">
        <f t="shared" si="912"/>
        <v>#NUM!</v>
      </c>
      <c r="L5796" s="83">
        <f t="shared" si="913"/>
        <v>0</v>
      </c>
      <c r="M5796" s="110" t="str">
        <f t="shared" si="914"/>
        <v/>
      </c>
      <c r="N5796" s="51" t="str">
        <f t="shared" si="915"/>
        <v/>
      </c>
      <c r="O5796" s="52" t="str">
        <f t="shared" si="916"/>
        <v/>
      </c>
      <c r="P5796" s="88">
        <f t="shared" si="917"/>
        <v>0</v>
      </c>
      <c r="Q5796" s="88">
        <f t="shared" si="918"/>
        <v>0</v>
      </c>
      <c r="R5796" s="88" t="e">
        <f>-IF(Tabla14[[#This Row],[DIAS HABILES O MORA]]&lt;0,(Tabla14[[#This Row],[VALOR PRESTAMO]]*Tabla14[[#This Row],[% INTERES ]]/30*U5796))+Tabla14[[#This Row],[VALOR CUOTAS]]</f>
        <v>#VALUE!</v>
      </c>
      <c r="S5796" s="88">
        <f>-IF(Tabla14[[#This Row],[DIAS HABILES O MORA]]&lt;0,(Tabla14[[#This Row],[VALOR PRESTAMO]]*Tabla14[[#This Row],[% INTERES ]]/30*U5796))</f>
        <v>0</v>
      </c>
      <c r="T5796" s="53" t="e">
        <f>Tabla14[[#This Row],[DEUDA CAPITAL]]+Tabla14[[#This Row],[INTERES  CUOTA]]</f>
        <v>#NUM!</v>
      </c>
      <c r="U5796" s="61" t="str">
        <f t="shared" si="919"/>
        <v/>
      </c>
    </row>
    <row r="5797" spans="9:21" ht="24.75" customHeight="1" x14ac:dyDescent="0.35">
      <c r="I5797" s="42">
        <f t="shared" si="910"/>
        <v>0</v>
      </c>
      <c r="J5797" s="65" t="e">
        <f t="shared" si="911"/>
        <v>#NUM!</v>
      </c>
      <c r="K5797" s="83" t="e">
        <f t="shared" si="912"/>
        <v>#NUM!</v>
      </c>
      <c r="L5797" s="83">
        <f t="shared" si="913"/>
        <v>0</v>
      </c>
      <c r="M5797" s="110" t="str">
        <f t="shared" si="914"/>
        <v/>
      </c>
      <c r="N5797" s="51" t="str">
        <f t="shared" si="915"/>
        <v/>
      </c>
      <c r="O5797" s="52" t="str">
        <f t="shared" si="916"/>
        <v/>
      </c>
      <c r="P5797" s="88">
        <f t="shared" si="917"/>
        <v>0</v>
      </c>
      <c r="Q5797" s="88">
        <f t="shared" si="918"/>
        <v>0</v>
      </c>
      <c r="R5797" s="88" t="e">
        <f>-IF(Tabla14[[#This Row],[DIAS HABILES O MORA]]&lt;0,(Tabla14[[#This Row],[VALOR PRESTAMO]]*Tabla14[[#This Row],[% INTERES ]]/30*U5797))+Tabla14[[#This Row],[VALOR CUOTAS]]</f>
        <v>#VALUE!</v>
      </c>
      <c r="S5797" s="88">
        <f>-IF(Tabla14[[#This Row],[DIAS HABILES O MORA]]&lt;0,(Tabla14[[#This Row],[VALOR PRESTAMO]]*Tabla14[[#This Row],[% INTERES ]]/30*U5797))</f>
        <v>0</v>
      </c>
      <c r="T5797" s="53" t="e">
        <f>Tabla14[[#This Row],[DEUDA CAPITAL]]+Tabla14[[#This Row],[INTERES  CUOTA]]</f>
        <v>#NUM!</v>
      </c>
      <c r="U5797" s="61" t="str">
        <f t="shared" si="919"/>
        <v/>
      </c>
    </row>
    <row r="5798" spans="9:21" ht="24.75" customHeight="1" x14ac:dyDescent="0.35">
      <c r="I5798" s="42">
        <f t="shared" si="910"/>
        <v>0</v>
      </c>
      <c r="J5798" s="65" t="e">
        <f t="shared" si="911"/>
        <v>#NUM!</v>
      </c>
      <c r="K5798" s="83" t="e">
        <f t="shared" si="912"/>
        <v>#NUM!</v>
      </c>
      <c r="L5798" s="83">
        <f t="shared" si="913"/>
        <v>0</v>
      </c>
      <c r="M5798" s="110" t="str">
        <f t="shared" si="914"/>
        <v/>
      </c>
      <c r="N5798" s="51" t="str">
        <f t="shared" si="915"/>
        <v/>
      </c>
      <c r="O5798" s="52" t="str">
        <f t="shared" si="916"/>
        <v/>
      </c>
      <c r="P5798" s="88">
        <f t="shared" si="917"/>
        <v>0</v>
      </c>
      <c r="Q5798" s="88">
        <f t="shared" si="918"/>
        <v>0</v>
      </c>
      <c r="R5798" s="88" t="e">
        <f>-IF(Tabla14[[#This Row],[DIAS HABILES O MORA]]&lt;0,(Tabla14[[#This Row],[VALOR PRESTAMO]]*Tabla14[[#This Row],[% INTERES ]]/30*U5798))+Tabla14[[#This Row],[VALOR CUOTAS]]</f>
        <v>#VALUE!</v>
      </c>
      <c r="S5798" s="88">
        <f>-IF(Tabla14[[#This Row],[DIAS HABILES O MORA]]&lt;0,(Tabla14[[#This Row],[VALOR PRESTAMO]]*Tabla14[[#This Row],[% INTERES ]]/30*U5798))</f>
        <v>0</v>
      </c>
      <c r="T5798" s="53" t="e">
        <f>Tabla14[[#This Row],[DEUDA CAPITAL]]+Tabla14[[#This Row],[INTERES  CUOTA]]</f>
        <v>#NUM!</v>
      </c>
      <c r="U5798" s="61" t="str">
        <f t="shared" si="919"/>
        <v/>
      </c>
    </row>
    <row r="5799" spans="9:21" ht="24.75" customHeight="1" x14ac:dyDescent="0.35">
      <c r="I5799" s="42">
        <f t="shared" si="910"/>
        <v>0</v>
      </c>
      <c r="J5799" s="65" t="e">
        <f t="shared" si="911"/>
        <v>#NUM!</v>
      </c>
      <c r="K5799" s="83" t="e">
        <f t="shared" si="912"/>
        <v>#NUM!</v>
      </c>
      <c r="L5799" s="83">
        <f t="shared" si="913"/>
        <v>0</v>
      </c>
      <c r="M5799" s="110" t="str">
        <f t="shared" si="914"/>
        <v/>
      </c>
      <c r="N5799" s="51" t="str">
        <f t="shared" si="915"/>
        <v/>
      </c>
      <c r="O5799" s="52" t="str">
        <f t="shared" si="916"/>
        <v/>
      </c>
      <c r="P5799" s="88">
        <f t="shared" si="917"/>
        <v>0</v>
      </c>
      <c r="Q5799" s="88">
        <f t="shared" si="918"/>
        <v>0</v>
      </c>
      <c r="R5799" s="88" t="e">
        <f>-IF(Tabla14[[#This Row],[DIAS HABILES O MORA]]&lt;0,(Tabla14[[#This Row],[VALOR PRESTAMO]]*Tabla14[[#This Row],[% INTERES ]]/30*U5799))+Tabla14[[#This Row],[VALOR CUOTAS]]</f>
        <v>#VALUE!</v>
      </c>
      <c r="S5799" s="88">
        <f>-IF(Tabla14[[#This Row],[DIAS HABILES O MORA]]&lt;0,(Tabla14[[#This Row],[VALOR PRESTAMO]]*Tabla14[[#This Row],[% INTERES ]]/30*U5799))</f>
        <v>0</v>
      </c>
      <c r="T5799" s="53" t="e">
        <f>Tabla14[[#This Row],[DEUDA CAPITAL]]+Tabla14[[#This Row],[INTERES  CUOTA]]</f>
        <v>#NUM!</v>
      </c>
      <c r="U5799" s="61" t="str">
        <f t="shared" si="919"/>
        <v/>
      </c>
    </row>
    <row r="5800" spans="9:21" ht="24.75" customHeight="1" x14ac:dyDescent="0.35">
      <c r="I5800" s="42">
        <f t="shared" si="910"/>
        <v>0</v>
      </c>
      <c r="J5800" s="65" t="e">
        <f t="shared" si="911"/>
        <v>#NUM!</v>
      </c>
      <c r="K5800" s="83" t="e">
        <f t="shared" si="912"/>
        <v>#NUM!</v>
      </c>
      <c r="L5800" s="83">
        <f t="shared" si="913"/>
        <v>0</v>
      </c>
      <c r="M5800" s="110" t="str">
        <f t="shared" si="914"/>
        <v/>
      </c>
      <c r="N5800" s="51" t="str">
        <f t="shared" si="915"/>
        <v/>
      </c>
      <c r="O5800" s="52" t="str">
        <f t="shared" si="916"/>
        <v/>
      </c>
      <c r="P5800" s="88">
        <f t="shared" si="917"/>
        <v>0</v>
      </c>
      <c r="Q5800" s="88">
        <f t="shared" si="918"/>
        <v>0</v>
      </c>
      <c r="R5800" s="88" t="e">
        <f>-IF(Tabla14[[#This Row],[DIAS HABILES O MORA]]&lt;0,(Tabla14[[#This Row],[VALOR PRESTAMO]]*Tabla14[[#This Row],[% INTERES ]]/30*U5800))+Tabla14[[#This Row],[VALOR CUOTAS]]</f>
        <v>#VALUE!</v>
      </c>
      <c r="S5800" s="88">
        <f>-IF(Tabla14[[#This Row],[DIAS HABILES O MORA]]&lt;0,(Tabla14[[#This Row],[VALOR PRESTAMO]]*Tabla14[[#This Row],[% INTERES ]]/30*U5800))</f>
        <v>0</v>
      </c>
      <c r="T5800" s="53" t="e">
        <f>Tabla14[[#This Row],[DEUDA CAPITAL]]+Tabla14[[#This Row],[INTERES  CUOTA]]</f>
        <v>#NUM!</v>
      </c>
      <c r="U5800" s="61" t="str">
        <f t="shared" si="919"/>
        <v/>
      </c>
    </row>
    <row r="5801" spans="9:21" ht="24.75" customHeight="1" x14ac:dyDescent="0.35">
      <c r="I5801" s="42">
        <f t="shared" si="910"/>
        <v>0</v>
      </c>
      <c r="J5801" s="65" t="e">
        <f t="shared" si="911"/>
        <v>#NUM!</v>
      </c>
      <c r="K5801" s="83" t="e">
        <f t="shared" si="912"/>
        <v>#NUM!</v>
      </c>
      <c r="L5801" s="83">
        <f t="shared" si="913"/>
        <v>0</v>
      </c>
      <c r="M5801" s="110" t="str">
        <f t="shared" si="914"/>
        <v/>
      </c>
      <c r="N5801" s="51" t="str">
        <f t="shared" si="915"/>
        <v/>
      </c>
      <c r="O5801" s="52" t="str">
        <f t="shared" si="916"/>
        <v/>
      </c>
      <c r="P5801" s="88">
        <f t="shared" si="917"/>
        <v>0</v>
      </c>
      <c r="Q5801" s="88">
        <f t="shared" si="918"/>
        <v>0</v>
      </c>
      <c r="R5801" s="88" t="e">
        <f>-IF(Tabla14[[#This Row],[DIAS HABILES O MORA]]&lt;0,(Tabla14[[#This Row],[VALOR PRESTAMO]]*Tabla14[[#This Row],[% INTERES ]]/30*U5801))+Tabla14[[#This Row],[VALOR CUOTAS]]</f>
        <v>#VALUE!</v>
      </c>
      <c r="S5801" s="88">
        <f>-IF(Tabla14[[#This Row],[DIAS HABILES O MORA]]&lt;0,(Tabla14[[#This Row],[VALOR PRESTAMO]]*Tabla14[[#This Row],[% INTERES ]]/30*U5801))</f>
        <v>0</v>
      </c>
      <c r="T5801" s="53" t="e">
        <f>Tabla14[[#This Row],[DEUDA CAPITAL]]+Tabla14[[#This Row],[INTERES  CUOTA]]</f>
        <v>#NUM!</v>
      </c>
      <c r="U5801" s="61" t="str">
        <f t="shared" si="919"/>
        <v/>
      </c>
    </row>
    <row r="5802" spans="9:21" ht="24.75" customHeight="1" x14ac:dyDescent="0.35">
      <c r="I5802" s="42">
        <f t="shared" si="910"/>
        <v>0</v>
      </c>
      <c r="J5802" s="65" t="e">
        <f t="shared" si="911"/>
        <v>#NUM!</v>
      </c>
      <c r="K5802" s="83" t="e">
        <f t="shared" si="912"/>
        <v>#NUM!</v>
      </c>
      <c r="L5802" s="83">
        <f t="shared" si="913"/>
        <v>0</v>
      </c>
      <c r="M5802" s="110" t="str">
        <f t="shared" si="914"/>
        <v/>
      </c>
      <c r="N5802" s="51" t="str">
        <f t="shared" si="915"/>
        <v/>
      </c>
      <c r="O5802" s="52" t="str">
        <f t="shared" si="916"/>
        <v/>
      </c>
      <c r="P5802" s="88">
        <f t="shared" si="917"/>
        <v>0</v>
      </c>
      <c r="Q5802" s="88">
        <f t="shared" si="918"/>
        <v>0</v>
      </c>
      <c r="R5802" s="88" t="e">
        <f>-IF(Tabla14[[#This Row],[DIAS HABILES O MORA]]&lt;0,(Tabla14[[#This Row],[VALOR PRESTAMO]]*Tabla14[[#This Row],[% INTERES ]]/30*U5802))+Tabla14[[#This Row],[VALOR CUOTAS]]</f>
        <v>#VALUE!</v>
      </c>
      <c r="S5802" s="88">
        <f>-IF(Tabla14[[#This Row],[DIAS HABILES O MORA]]&lt;0,(Tabla14[[#This Row],[VALOR PRESTAMO]]*Tabla14[[#This Row],[% INTERES ]]/30*U5802))</f>
        <v>0</v>
      </c>
      <c r="T5802" s="53" t="e">
        <f>Tabla14[[#This Row],[DEUDA CAPITAL]]+Tabla14[[#This Row],[INTERES  CUOTA]]</f>
        <v>#NUM!</v>
      </c>
      <c r="U5802" s="61" t="str">
        <f t="shared" si="919"/>
        <v/>
      </c>
    </row>
    <row r="5803" spans="9:21" ht="24.75" customHeight="1" x14ac:dyDescent="0.35">
      <c r="I5803" s="42">
        <f t="shared" si="910"/>
        <v>0</v>
      </c>
      <c r="J5803" s="65" t="e">
        <f t="shared" si="911"/>
        <v>#NUM!</v>
      </c>
      <c r="K5803" s="83" t="e">
        <f t="shared" si="912"/>
        <v>#NUM!</v>
      </c>
      <c r="L5803" s="83">
        <f t="shared" si="913"/>
        <v>0</v>
      </c>
      <c r="M5803" s="110" t="str">
        <f t="shared" si="914"/>
        <v/>
      </c>
      <c r="N5803" s="51" t="str">
        <f t="shared" si="915"/>
        <v/>
      </c>
      <c r="O5803" s="52" t="str">
        <f t="shared" si="916"/>
        <v/>
      </c>
      <c r="P5803" s="88">
        <f t="shared" si="917"/>
        <v>0</v>
      </c>
      <c r="Q5803" s="88">
        <f t="shared" si="918"/>
        <v>0</v>
      </c>
      <c r="R5803" s="88" t="e">
        <f>-IF(Tabla14[[#This Row],[DIAS HABILES O MORA]]&lt;0,(Tabla14[[#This Row],[VALOR PRESTAMO]]*Tabla14[[#This Row],[% INTERES ]]/30*U5803))+Tabla14[[#This Row],[VALOR CUOTAS]]</f>
        <v>#VALUE!</v>
      </c>
      <c r="S5803" s="88">
        <f>-IF(Tabla14[[#This Row],[DIAS HABILES O MORA]]&lt;0,(Tabla14[[#This Row],[VALOR PRESTAMO]]*Tabla14[[#This Row],[% INTERES ]]/30*U5803))</f>
        <v>0</v>
      </c>
      <c r="T5803" s="53" t="e">
        <f>Tabla14[[#This Row],[DEUDA CAPITAL]]+Tabla14[[#This Row],[INTERES  CUOTA]]</f>
        <v>#NUM!</v>
      </c>
      <c r="U5803" s="61" t="str">
        <f t="shared" si="919"/>
        <v/>
      </c>
    </row>
    <row r="5804" spans="9:21" ht="24.75" customHeight="1" x14ac:dyDescent="0.35">
      <c r="I5804" s="42">
        <f t="shared" si="910"/>
        <v>0</v>
      </c>
      <c r="J5804" s="65" t="e">
        <f t="shared" si="911"/>
        <v>#NUM!</v>
      </c>
      <c r="K5804" s="83" t="e">
        <f t="shared" si="912"/>
        <v>#NUM!</v>
      </c>
      <c r="L5804" s="83">
        <f t="shared" si="913"/>
        <v>0</v>
      </c>
      <c r="M5804" s="110" t="str">
        <f t="shared" si="914"/>
        <v/>
      </c>
      <c r="N5804" s="51" t="str">
        <f t="shared" si="915"/>
        <v/>
      </c>
      <c r="O5804" s="52" t="str">
        <f t="shared" si="916"/>
        <v/>
      </c>
      <c r="P5804" s="88">
        <f t="shared" si="917"/>
        <v>0</v>
      </c>
      <c r="Q5804" s="88">
        <f t="shared" si="918"/>
        <v>0</v>
      </c>
      <c r="R5804" s="88" t="e">
        <f>-IF(Tabla14[[#This Row],[DIAS HABILES O MORA]]&lt;0,(Tabla14[[#This Row],[VALOR PRESTAMO]]*Tabla14[[#This Row],[% INTERES ]]/30*U5804))+Tabla14[[#This Row],[VALOR CUOTAS]]</f>
        <v>#VALUE!</v>
      </c>
      <c r="S5804" s="88">
        <f>-IF(Tabla14[[#This Row],[DIAS HABILES O MORA]]&lt;0,(Tabla14[[#This Row],[VALOR PRESTAMO]]*Tabla14[[#This Row],[% INTERES ]]/30*U5804))</f>
        <v>0</v>
      </c>
      <c r="T5804" s="53" t="e">
        <f>Tabla14[[#This Row],[DEUDA CAPITAL]]+Tabla14[[#This Row],[INTERES  CUOTA]]</f>
        <v>#NUM!</v>
      </c>
      <c r="U5804" s="61" t="str">
        <f t="shared" si="919"/>
        <v/>
      </c>
    </row>
    <row r="5805" spans="9:21" ht="24.75" customHeight="1" x14ac:dyDescent="0.35">
      <c r="I5805" s="42">
        <f t="shared" si="910"/>
        <v>0</v>
      </c>
      <c r="J5805" s="65" t="e">
        <f t="shared" si="911"/>
        <v>#NUM!</v>
      </c>
      <c r="K5805" s="83" t="e">
        <f t="shared" si="912"/>
        <v>#NUM!</v>
      </c>
      <c r="L5805" s="83">
        <f t="shared" si="913"/>
        <v>0</v>
      </c>
      <c r="M5805" s="110" t="str">
        <f t="shared" si="914"/>
        <v/>
      </c>
      <c r="N5805" s="51" t="str">
        <f t="shared" si="915"/>
        <v/>
      </c>
      <c r="O5805" s="52" t="str">
        <f t="shared" si="916"/>
        <v/>
      </c>
      <c r="P5805" s="88">
        <f t="shared" si="917"/>
        <v>0</v>
      </c>
      <c r="Q5805" s="88">
        <f t="shared" si="918"/>
        <v>0</v>
      </c>
      <c r="R5805" s="88" t="e">
        <f>-IF(Tabla14[[#This Row],[DIAS HABILES O MORA]]&lt;0,(Tabla14[[#This Row],[VALOR PRESTAMO]]*Tabla14[[#This Row],[% INTERES ]]/30*U5805))+Tabla14[[#This Row],[VALOR CUOTAS]]</f>
        <v>#VALUE!</v>
      </c>
      <c r="S5805" s="88">
        <f>-IF(Tabla14[[#This Row],[DIAS HABILES O MORA]]&lt;0,(Tabla14[[#This Row],[VALOR PRESTAMO]]*Tabla14[[#This Row],[% INTERES ]]/30*U5805))</f>
        <v>0</v>
      </c>
      <c r="T5805" s="53" t="e">
        <f>Tabla14[[#This Row],[DEUDA CAPITAL]]+Tabla14[[#This Row],[INTERES  CUOTA]]</f>
        <v>#NUM!</v>
      </c>
      <c r="U5805" s="61" t="str">
        <f t="shared" si="919"/>
        <v/>
      </c>
    </row>
    <row r="5806" spans="9:21" ht="24.75" customHeight="1" x14ac:dyDescent="0.35">
      <c r="I5806" s="42">
        <f t="shared" si="910"/>
        <v>0</v>
      </c>
      <c r="J5806" s="65" t="e">
        <f t="shared" si="911"/>
        <v>#NUM!</v>
      </c>
      <c r="K5806" s="83" t="e">
        <f t="shared" si="912"/>
        <v>#NUM!</v>
      </c>
      <c r="L5806" s="83">
        <f t="shared" si="913"/>
        <v>0</v>
      </c>
      <c r="M5806" s="110" t="str">
        <f t="shared" si="914"/>
        <v/>
      </c>
      <c r="N5806" s="51" t="str">
        <f t="shared" si="915"/>
        <v/>
      </c>
      <c r="O5806" s="52" t="str">
        <f t="shared" si="916"/>
        <v/>
      </c>
      <c r="P5806" s="88">
        <f t="shared" si="917"/>
        <v>0</v>
      </c>
      <c r="Q5806" s="88">
        <f t="shared" si="918"/>
        <v>0</v>
      </c>
      <c r="R5806" s="88" t="e">
        <f>-IF(Tabla14[[#This Row],[DIAS HABILES O MORA]]&lt;0,(Tabla14[[#This Row],[VALOR PRESTAMO]]*Tabla14[[#This Row],[% INTERES ]]/30*U5806))+Tabla14[[#This Row],[VALOR CUOTAS]]</f>
        <v>#VALUE!</v>
      </c>
      <c r="S5806" s="88">
        <f>-IF(Tabla14[[#This Row],[DIAS HABILES O MORA]]&lt;0,(Tabla14[[#This Row],[VALOR PRESTAMO]]*Tabla14[[#This Row],[% INTERES ]]/30*U5806))</f>
        <v>0</v>
      </c>
      <c r="T5806" s="53" t="e">
        <f>Tabla14[[#This Row],[DEUDA CAPITAL]]+Tabla14[[#This Row],[INTERES  CUOTA]]</f>
        <v>#NUM!</v>
      </c>
      <c r="U5806" s="61" t="str">
        <f t="shared" si="919"/>
        <v/>
      </c>
    </row>
    <row r="5807" spans="9:21" ht="24.75" customHeight="1" x14ac:dyDescent="0.35">
      <c r="I5807" s="42">
        <f t="shared" si="910"/>
        <v>0</v>
      </c>
      <c r="J5807" s="65" t="e">
        <f t="shared" si="911"/>
        <v>#NUM!</v>
      </c>
      <c r="K5807" s="83" t="e">
        <f t="shared" si="912"/>
        <v>#NUM!</v>
      </c>
      <c r="L5807" s="83">
        <f t="shared" si="913"/>
        <v>0</v>
      </c>
      <c r="M5807" s="110" t="str">
        <f t="shared" si="914"/>
        <v/>
      </c>
      <c r="N5807" s="51" t="str">
        <f t="shared" si="915"/>
        <v/>
      </c>
      <c r="O5807" s="52" t="str">
        <f t="shared" si="916"/>
        <v/>
      </c>
      <c r="P5807" s="88">
        <f t="shared" si="917"/>
        <v>0</v>
      </c>
      <c r="Q5807" s="88">
        <f t="shared" si="918"/>
        <v>0</v>
      </c>
      <c r="R5807" s="88" t="e">
        <f>-IF(Tabla14[[#This Row],[DIAS HABILES O MORA]]&lt;0,(Tabla14[[#This Row],[VALOR PRESTAMO]]*Tabla14[[#This Row],[% INTERES ]]/30*U5807))+Tabla14[[#This Row],[VALOR CUOTAS]]</f>
        <v>#VALUE!</v>
      </c>
      <c r="S5807" s="88">
        <f>-IF(Tabla14[[#This Row],[DIAS HABILES O MORA]]&lt;0,(Tabla14[[#This Row],[VALOR PRESTAMO]]*Tabla14[[#This Row],[% INTERES ]]/30*U5807))</f>
        <v>0</v>
      </c>
      <c r="T5807" s="53" t="e">
        <f>Tabla14[[#This Row],[DEUDA CAPITAL]]+Tabla14[[#This Row],[INTERES  CUOTA]]</f>
        <v>#NUM!</v>
      </c>
      <c r="U5807" s="61" t="str">
        <f t="shared" si="919"/>
        <v/>
      </c>
    </row>
    <row r="5808" spans="9:21" ht="24.75" customHeight="1" x14ac:dyDescent="0.35">
      <c r="I5808" s="42">
        <f t="shared" si="910"/>
        <v>0</v>
      </c>
      <c r="J5808" s="65" t="e">
        <f t="shared" si="911"/>
        <v>#NUM!</v>
      </c>
      <c r="K5808" s="83" t="e">
        <f t="shared" si="912"/>
        <v>#NUM!</v>
      </c>
      <c r="L5808" s="83">
        <f t="shared" si="913"/>
        <v>0</v>
      </c>
      <c r="M5808" s="110" t="str">
        <f t="shared" si="914"/>
        <v/>
      </c>
      <c r="N5808" s="51" t="str">
        <f t="shared" si="915"/>
        <v/>
      </c>
      <c r="O5808" s="52" t="str">
        <f t="shared" si="916"/>
        <v/>
      </c>
      <c r="P5808" s="88">
        <f t="shared" si="917"/>
        <v>0</v>
      </c>
      <c r="Q5808" s="88">
        <f t="shared" si="918"/>
        <v>0</v>
      </c>
      <c r="R5808" s="88" t="e">
        <f>-IF(Tabla14[[#This Row],[DIAS HABILES O MORA]]&lt;0,(Tabla14[[#This Row],[VALOR PRESTAMO]]*Tabla14[[#This Row],[% INTERES ]]/30*U5808))+Tabla14[[#This Row],[VALOR CUOTAS]]</f>
        <v>#VALUE!</v>
      </c>
      <c r="S5808" s="88">
        <f>-IF(Tabla14[[#This Row],[DIAS HABILES O MORA]]&lt;0,(Tabla14[[#This Row],[VALOR PRESTAMO]]*Tabla14[[#This Row],[% INTERES ]]/30*U5808))</f>
        <v>0</v>
      </c>
      <c r="T5808" s="53" t="e">
        <f>Tabla14[[#This Row],[DEUDA CAPITAL]]+Tabla14[[#This Row],[INTERES  CUOTA]]</f>
        <v>#NUM!</v>
      </c>
      <c r="U5808" s="61" t="str">
        <f t="shared" si="919"/>
        <v/>
      </c>
    </row>
    <row r="5809" spans="9:21" ht="24.75" customHeight="1" x14ac:dyDescent="0.35">
      <c r="I5809" s="42">
        <f t="shared" si="910"/>
        <v>0</v>
      </c>
      <c r="J5809" s="65" t="e">
        <f t="shared" si="911"/>
        <v>#NUM!</v>
      </c>
      <c r="K5809" s="83" t="e">
        <f t="shared" si="912"/>
        <v>#NUM!</v>
      </c>
      <c r="L5809" s="83">
        <f t="shared" si="913"/>
        <v>0</v>
      </c>
      <c r="M5809" s="110" t="str">
        <f t="shared" si="914"/>
        <v/>
      </c>
      <c r="N5809" s="51" t="str">
        <f t="shared" si="915"/>
        <v/>
      </c>
      <c r="O5809" s="52" t="str">
        <f t="shared" si="916"/>
        <v/>
      </c>
      <c r="P5809" s="88">
        <f t="shared" si="917"/>
        <v>0</v>
      </c>
      <c r="Q5809" s="88">
        <f t="shared" si="918"/>
        <v>0</v>
      </c>
      <c r="R5809" s="88" t="e">
        <f>-IF(Tabla14[[#This Row],[DIAS HABILES O MORA]]&lt;0,(Tabla14[[#This Row],[VALOR PRESTAMO]]*Tabla14[[#This Row],[% INTERES ]]/30*U5809))+Tabla14[[#This Row],[VALOR CUOTAS]]</f>
        <v>#VALUE!</v>
      </c>
      <c r="S5809" s="88">
        <f>-IF(Tabla14[[#This Row],[DIAS HABILES O MORA]]&lt;0,(Tabla14[[#This Row],[VALOR PRESTAMO]]*Tabla14[[#This Row],[% INTERES ]]/30*U5809))</f>
        <v>0</v>
      </c>
      <c r="T5809" s="53" t="e">
        <f>Tabla14[[#This Row],[DEUDA CAPITAL]]+Tabla14[[#This Row],[INTERES  CUOTA]]</f>
        <v>#NUM!</v>
      </c>
      <c r="U5809" s="61" t="str">
        <f t="shared" si="919"/>
        <v/>
      </c>
    </row>
    <row r="5810" spans="9:21" ht="24.75" customHeight="1" x14ac:dyDescent="0.35">
      <c r="I5810" s="42">
        <f t="shared" si="910"/>
        <v>0</v>
      </c>
      <c r="J5810" s="65" t="e">
        <f t="shared" si="911"/>
        <v>#NUM!</v>
      </c>
      <c r="K5810" s="83" t="e">
        <f t="shared" si="912"/>
        <v>#NUM!</v>
      </c>
      <c r="L5810" s="83">
        <f t="shared" si="913"/>
        <v>0</v>
      </c>
      <c r="M5810" s="110" t="str">
        <f t="shared" si="914"/>
        <v/>
      </c>
      <c r="N5810" s="51" t="str">
        <f t="shared" si="915"/>
        <v/>
      </c>
      <c r="O5810" s="52" t="str">
        <f t="shared" si="916"/>
        <v/>
      </c>
      <c r="P5810" s="88">
        <f t="shared" si="917"/>
        <v>0</v>
      </c>
      <c r="Q5810" s="88">
        <f t="shared" si="918"/>
        <v>0</v>
      </c>
      <c r="R5810" s="88" t="e">
        <f>-IF(Tabla14[[#This Row],[DIAS HABILES O MORA]]&lt;0,(Tabla14[[#This Row],[VALOR PRESTAMO]]*Tabla14[[#This Row],[% INTERES ]]/30*U5810))+Tabla14[[#This Row],[VALOR CUOTAS]]</f>
        <v>#VALUE!</v>
      </c>
      <c r="S5810" s="88">
        <f>-IF(Tabla14[[#This Row],[DIAS HABILES O MORA]]&lt;0,(Tabla14[[#This Row],[VALOR PRESTAMO]]*Tabla14[[#This Row],[% INTERES ]]/30*U5810))</f>
        <v>0</v>
      </c>
      <c r="T5810" s="53" t="e">
        <f>Tabla14[[#This Row],[DEUDA CAPITAL]]+Tabla14[[#This Row],[INTERES  CUOTA]]</f>
        <v>#NUM!</v>
      </c>
      <c r="U5810" s="61" t="str">
        <f t="shared" si="919"/>
        <v/>
      </c>
    </row>
    <row r="5811" spans="9:21" ht="24.75" customHeight="1" x14ac:dyDescent="0.35">
      <c r="I5811" s="42">
        <f t="shared" si="910"/>
        <v>0</v>
      </c>
      <c r="J5811" s="65" t="e">
        <f t="shared" si="911"/>
        <v>#NUM!</v>
      </c>
      <c r="K5811" s="83" t="e">
        <f t="shared" si="912"/>
        <v>#NUM!</v>
      </c>
      <c r="L5811" s="83">
        <f t="shared" si="913"/>
        <v>0</v>
      </c>
      <c r="M5811" s="110" t="str">
        <f t="shared" si="914"/>
        <v/>
      </c>
      <c r="N5811" s="51" t="str">
        <f t="shared" si="915"/>
        <v/>
      </c>
      <c r="O5811" s="52" t="str">
        <f t="shared" si="916"/>
        <v/>
      </c>
      <c r="P5811" s="88">
        <f t="shared" si="917"/>
        <v>0</v>
      </c>
      <c r="Q5811" s="88">
        <f t="shared" si="918"/>
        <v>0</v>
      </c>
      <c r="R5811" s="88" t="e">
        <f>-IF(Tabla14[[#This Row],[DIAS HABILES O MORA]]&lt;0,(Tabla14[[#This Row],[VALOR PRESTAMO]]*Tabla14[[#This Row],[% INTERES ]]/30*U5811))+Tabla14[[#This Row],[VALOR CUOTAS]]</f>
        <v>#VALUE!</v>
      </c>
      <c r="S5811" s="88">
        <f>-IF(Tabla14[[#This Row],[DIAS HABILES O MORA]]&lt;0,(Tabla14[[#This Row],[VALOR PRESTAMO]]*Tabla14[[#This Row],[% INTERES ]]/30*U5811))</f>
        <v>0</v>
      </c>
      <c r="T5811" s="53" t="e">
        <f>Tabla14[[#This Row],[DEUDA CAPITAL]]+Tabla14[[#This Row],[INTERES  CUOTA]]</f>
        <v>#NUM!</v>
      </c>
      <c r="U5811" s="61" t="str">
        <f t="shared" si="919"/>
        <v/>
      </c>
    </row>
    <row r="5812" spans="9:21" ht="24.75" customHeight="1" x14ac:dyDescent="0.35">
      <c r="I5812" s="42">
        <f t="shared" si="910"/>
        <v>0</v>
      </c>
      <c r="J5812" s="65" t="e">
        <f t="shared" si="911"/>
        <v>#NUM!</v>
      </c>
      <c r="K5812" s="83" t="e">
        <f t="shared" si="912"/>
        <v>#NUM!</v>
      </c>
      <c r="L5812" s="83">
        <f t="shared" si="913"/>
        <v>0</v>
      </c>
      <c r="M5812" s="110" t="str">
        <f t="shared" si="914"/>
        <v/>
      </c>
      <c r="N5812" s="51" t="str">
        <f t="shared" si="915"/>
        <v/>
      </c>
      <c r="O5812" s="52" t="str">
        <f t="shared" si="916"/>
        <v/>
      </c>
      <c r="P5812" s="88">
        <f t="shared" si="917"/>
        <v>0</v>
      </c>
      <c r="Q5812" s="88">
        <f t="shared" si="918"/>
        <v>0</v>
      </c>
      <c r="R5812" s="88" t="e">
        <f>-IF(Tabla14[[#This Row],[DIAS HABILES O MORA]]&lt;0,(Tabla14[[#This Row],[VALOR PRESTAMO]]*Tabla14[[#This Row],[% INTERES ]]/30*U5812))+Tabla14[[#This Row],[VALOR CUOTAS]]</f>
        <v>#VALUE!</v>
      </c>
      <c r="S5812" s="88">
        <f>-IF(Tabla14[[#This Row],[DIAS HABILES O MORA]]&lt;0,(Tabla14[[#This Row],[VALOR PRESTAMO]]*Tabla14[[#This Row],[% INTERES ]]/30*U5812))</f>
        <v>0</v>
      </c>
      <c r="T5812" s="53" t="e">
        <f>Tabla14[[#This Row],[DEUDA CAPITAL]]+Tabla14[[#This Row],[INTERES  CUOTA]]</f>
        <v>#NUM!</v>
      </c>
      <c r="U5812" s="61" t="str">
        <f t="shared" si="919"/>
        <v/>
      </c>
    </row>
    <row r="5813" spans="9:21" ht="24.75" customHeight="1" x14ac:dyDescent="0.35">
      <c r="I5813" s="42">
        <f t="shared" si="910"/>
        <v>0</v>
      </c>
      <c r="J5813" s="65" t="e">
        <f t="shared" si="911"/>
        <v>#NUM!</v>
      </c>
      <c r="K5813" s="83" t="e">
        <f t="shared" si="912"/>
        <v>#NUM!</v>
      </c>
      <c r="L5813" s="83">
        <f t="shared" si="913"/>
        <v>0</v>
      </c>
      <c r="M5813" s="110" t="str">
        <f t="shared" si="914"/>
        <v/>
      </c>
      <c r="N5813" s="51" t="str">
        <f t="shared" si="915"/>
        <v/>
      </c>
      <c r="O5813" s="52" t="str">
        <f t="shared" si="916"/>
        <v/>
      </c>
      <c r="P5813" s="88">
        <f t="shared" si="917"/>
        <v>0</v>
      </c>
      <c r="Q5813" s="88">
        <f t="shared" si="918"/>
        <v>0</v>
      </c>
      <c r="R5813" s="88" t="e">
        <f>-IF(Tabla14[[#This Row],[DIAS HABILES O MORA]]&lt;0,(Tabla14[[#This Row],[VALOR PRESTAMO]]*Tabla14[[#This Row],[% INTERES ]]/30*U5813))+Tabla14[[#This Row],[VALOR CUOTAS]]</f>
        <v>#VALUE!</v>
      </c>
      <c r="S5813" s="88">
        <f>-IF(Tabla14[[#This Row],[DIAS HABILES O MORA]]&lt;0,(Tabla14[[#This Row],[VALOR PRESTAMO]]*Tabla14[[#This Row],[% INTERES ]]/30*U5813))</f>
        <v>0</v>
      </c>
      <c r="T5813" s="53" t="e">
        <f>Tabla14[[#This Row],[DEUDA CAPITAL]]+Tabla14[[#This Row],[INTERES  CUOTA]]</f>
        <v>#NUM!</v>
      </c>
      <c r="U5813" s="61" t="str">
        <f t="shared" si="919"/>
        <v/>
      </c>
    </row>
    <row r="5814" spans="9:21" ht="24.75" customHeight="1" x14ac:dyDescent="0.35">
      <c r="I5814" s="42">
        <f t="shared" si="910"/>
        <v>0</v>
      </c>
      <c r="J5814" s="65" t="e">
        <f t="shared" si="911"/>
        <v>#NUM!</v>
      </c>
      <c r="K5814" s="83" t="e">
        <f t="shared" si="912"/>
        <v>#NUM!</v>
      </c>
      <c r="L5814" s="83">
        <f t="shared" si="913"/>
        <v>0</v>
      </c>
      <c r="M5814" s="110" t="str">
        <f t="shared" si="914"/>
        <v/>
      </c>
      <c r="N5814" s="51" t="str">
        <f t="shared" si="915"/>
        <v/>
      </c>
      <c r="O5814" s="52" t="str">
        <f t="shared" si="916"/>
        <v/>
      </c>
      <c r="P5814" s="88">
        <f t="shared" si="917"/>
        <v>0</v>
      </c>
      <c r="Q5814" s="88">
        <f t="shared" si="918"/>
        <v>0</v>
      </c>
      <c r="R5814" s="88" t="e">
        <f>-IF(Tabla14[[#This Row],[DIAS HABILES O MORA]]&lt;0,(Tabla14[[#This Row],[VALOR PRESTAMO]]*Tabla14[[#This Row],[% INTERES ]]/30*U5814))+Tabla14[[#This Row],[VALOR CUOTAS]]</f>
        <v>#VALUE!</v>
      </c>
      <c r="S5814" s="88">
        <f>-IF(Tabla14[[#This Row],[DIAS HABILES O MORA]]&lt;0,(Tabla14[[#This Row],[VALOR PRESTAMO]]*Tabla14[[#This Row],[% INTERES ]]/30*U5814))</f>
        <v>0</v>
      </c>
      <c r="T5814" s="53" t="e">
        <f>Tabla14[[#This Row],[DEUDA CAPITAL]]+Tabla14[[#This Row],[INTERES  CUOTA]]</f>
        <v>#NUM!</v>
      </c>
      <c r="U5814" s="61" t="str">
        <f t="shared" si="919"/>
        <v/>
      </c>
    </row>
    <row r="5815" spans="9:21" ht="24.75" customHeight="1" x14ac:dyDescent="0.35">
      <c r="I5815" s="42">
        <f t="shared" si="910"/>
        <v>0</v>
      </c>
      <c r="J5815" s="65" t="e">
        <f t="shared" si="911"/>
        <v>#NUM!</v>
      </c>
      <c r="K5815" s="83" t="e">
        <f t="shared" si="912"/>
        <v>#NUM!</v>
      </c>
      <c r="L5815" s="83">
        <f t="shared" si="913"/>
        <v>0</v>
      </c>
      <c r="M5815" s="110" t="str">
        <f t="shared" si="914"/>
        <v/>
      </c>
      <c r="N5815" s="51" t="str">
        <f t="shared" si="915"/>
        <v/>
      </c>
      <c r="O5815" s="52" t="str">
        <f t="shared" si="916"/>
        <v/>
      </c>
      <c r="P5815" s="88">
        <f t="shared" si="917"/>
        <v>0</v>
      </c>
      <c r="Q5815" s="88">
        <f t="shared" si="918"/>
        <v>0</v>
      </c>
      <c r="R5815" s="88" t="e">
        <f>-IF(Tabla14[[#This Row],[DIAS HABILES O MORA]]&lt;0,(Tabla14[[#This Row],[VALOR PRESTAMO]]*Tabla14[[#This Row],[% INTERES ]]/30*U5815))+Tabla14[[#This Row],[VALOR CUOTAS]]</f>
        <v>#VALUE!</v>
      </c>
      <c r="S5815" s="88">
        <f>-IF(Tabla14[[#This Row],[DIAS HABILES O MORA]]&lt;0,(Tabla14[[#This Row],[VALOR PRESTAMO]]*Tabla14[[#This Row],[% INTERES ]]/30*U5815))</f>
        <v>0</v>
      </c>
      <c r="T5815" s="53" t="e">
        <f>Tabla14[[#This Row],[DEUDA CAPITAL]]+Tabla14[[#This Row],[INTERES  CUOTA]]</f>
        <v>#NUM!</v>
      </c>
      <c r="U5815" s="61" t="str">
        <f t="shared" si="919"/>
        <v/>
      </c>
    </row>
    <row r="5816" spans="9:21" ht="24.75" customHeight="1" x14ac:dyDescent="0.35">
      <c r="I5816" s="42">
        <f t="shared" si="910"/>
        <v>0</v>
      </c>
      <c r="J5816" s="65" t="e">
        <f t="shared" si="911"/>
        <v>#NUM!</v>
      </c>
      <c r="K5816" s="83" t="e">
        <f t="shared" si="912"/>
        <v>#NUM!</v>
      </c>
      <c r="L5816" s="83">
        <f t="shared" si="913"/>
        <v>0</v>
      </c>
      <c r="M5816" s="110" t="str">
        <f t="shared" si="914"/>
        <v/>
      </c>
      <c r="N5816" s="51" t="str">
        <f t="shared" si="915"/>
        <v/>
      </c>
      <c r="O5816" s="52" t="str">
        <f t="shared" si="916"/>
        <v/>
      </c>
      <c r="P5816" s="88">
        <f t="shared" si="917"/>
        <v>0</v>
      </c>
      <c r="Q5816" s="88">
        <f t="shared" si="918"/>
        <v>0</v>
      </c>
      <c r="R5816" s="88" t="e">
        <f>-IF(Tabla14[[#This Row],[DIAS HABILES O MORA]]&lt;0,(Tabla14[[#This Row],[VALOR PRESTAMO]]*Tabla14[[#This Row],[% INTERES ]]/30*U5816))+Tabla14[[#This Row],[VALOR CUOTAS]]</f>
        <v>#VALUE!</v>
      </c>
      <c r="S5816" s="88">
        <f>-IF(Tabla14[[#This Row],[DIAS HABILES O MORA]]&lt;0,(Tabla14[[#This Row],[VALOR PRESTAMO]]*Tabla14[[#This Row],[% INTERES ]]/30*U5816))</f>
        <v>0</v>
      </c>
      <c r="T5816" s="53" t="e">
        <f>Tabla14[[#This Row],[DEUDA CAPITAL]]+Tabla14[[#This Row],[INTERES  CUOTA]]</f>
        <v>#NUM!</v>
      </c>
      <c r="U5816" s="61" t="str">
        <f t="shared" si="919"/>
        <v/>
      </c>
    </row>
    <row r="5817" spans="9:21" ht="24.75" customHeight="1" x14ac:dyDescent="0.35">
      <c r="I5817" s="42">
        <f t="shared" si="910"/>
        <v>0</v>
      </c>
      <c r="J5817" s="65" t="e">
        <f t="shared" si="911"/>
        <v>#NUM!</v>
      </c>
      <c r="K5817" s="83" t="e">
        <f t="shared" si="912"/>
        <v>#NUM!</v>
      </c>
      <c r="L5817" s="83">
        <f t="shared" si="913"/>
        <v>0</v>
      </c>
      <c r="M5817" s="110" t="str">
        <f t="shared" si="914"/>
        <v/>
      </c>
      <c r="N5817" s="51" t="str">
        <f t="shared" si="915"/>
        <v/>
      </c>
      <c r="O5817" s="52" t="str">
        <f t="shared" si="916"/>
        <v/>
      </c>
      <c r="P5817" s="88">
        <f t="shared" si="917"/>
        <v>0</v>
      </c>
      <c r="Q5817" s="88">
        <f t="shared" si="918"/>
        <v>0</v>
      </c>
      <c r="R5817" s="88" t="e">
        <f>-IF(Tabla14[[#This Row],[DIAS HABILES O MORA]]&lt;0,(Tabla14[[#This Row],[VALOR PRESTAMO]]*Tabla14[[#This Row],[% INTERES ]]/30*U5817))+Tabla14[[#This Row],[VALOR CUOTAS]]</f>
        <v>#VALUE!</v>
      </c>
      <c r="S5817" s="88">
        <f>-IF(Tabla14[[#This Row],[DIAS HABILES O MORA]]&lt;0,(Tabla14[[#This Row],[VALOR PRESTAMO]]*Tabla14[[#This Row],[% INTERES ]]/30*U5817))</f>
        <v>0</v>
      </c>
      <c r="T5817" s="53" t="e">
        <f>Tabla14[[#This Row],[DEUDA CAPITAL]]+Tabla14[[#This Row],[INTERES  CUOTA]]</f>
        <v>#NUM!</v>
      </c>
      <c r="U5817" s="61" t="str">
        <f t="shared" si="919"/>
        <v/>
      </c>
    </row>
    <row r="5818" spans="9:21" ht="24.75" customHeight="1" x14ac:dyDescent="0.35">
      <c r="I5818" s="42">
        <f t="shared" si="910"/>
        <v>0</v>
      </c>
      <c r="J5818" s="65" t="e">
        <f t="shared" si="911"/>
        <v>#NUM!</v>
      </c>
      <c r="K5818" s="83" t="e">
        <f t="shared" si="912"/>
        <v>#NUM!</v>
      </c>
      <c r="L5818" s="83">
        <f t="shared" si="913"/>
        <v>0</v>
      </c>
      <c r="M5818" s="110" t="str">
        <f t="shared" si="914"/>
        <v/>
      </c>
      <c r="N5818" s="51" t="str">
        <f t="shared" si="915"/>
        <v/>
      </c>
      <c r="O5818" s="52" t="str">
        <f t="shared" si="916"/>
        <v/>
      </c>
      <c r="P5818" s="88">
        <f t="shared" si="917"/>
        <v>0</v>
      </c>
      <c r="Q5818" s="88">
        <f t="shared" si="918"/>
        <v>0</v>
      </c>
      <c r="R5818" s="88" t="e">
        <f>-IF(Tabla14[[#This Row],[DIAS HABILES O MORA]]&lt;0,(Tabla14[[#This Row],[VALOR PRESTAMO]]*Tabla14[[#This Row],[% INTERES ]]/30*U5818))+Tabla14[[#This Row],[VALOR CUOTAS]]</f>
        <v>#VALUE!</v>
      </c>
      <c r="S5818" s="88">
        <f>-IF(Tabla14[[#This Row],[DIAS HABILES O MORA]]&lt;0,(Tabla14[[#This Row],[VALOR PRESTAMO]]*Tabla14[[#This Row],[% INTERES ]]/30*U5818))</f>
        <v>0</v>
      </c>
      <c r="T5818" s="53" t="e">
        <f>Tabla14[[#This Row],[DEUDA CAPITAL]]+Tabla14[[#This Row],[INTERES  CUOTA]]</f>
        <v>#NUM!</v>
      </c>
      <c r="U5818" s="61" t="str">
        <f t="shared" si="919"/>
        <v/>
      </c>
    </row>
    <row r="5819" spans="9:21" ht="24.75" customHeight="1" x14ac:dyDescent="0.35">
      <c r="I5819" s="42">
        <f t="shared" si="910"/>
        <v>0</v>
      </c>
      <c r="J5819" s="65" t="e">
        <f t="shared" si="911"/>
        <v>#NUM!</v>
      </c>
      <c r="K5819" s="83" t="e">
        <f t="shared" si="912"/>
        <v>#NUM!</v>
      </c>
      <c r="L5819" s="83">
        <f t="shared" si="913"/>
        <v>0</v>
      </c>
      <c r="M5819" s="110" t="str">
        <f t="shared" si="914"/>
        <v/>
      </c>
      <c r="N5819" s="51" t="str">
        <f t="shared" si="915"/>
        <v/>
      </c>
      <c r="O5819" s="52" t="str">
        <f t="shared" si="916"/>
        <v/>
      </c>
      <c r="P5819" s="88">
        <f t="shared" si="917"/>
        <v>0</v>
      </c>
      <c r="Q5819" s="88">
        <f t="shared" si="918"/>
        <v>0</v>
      </c>
      <c r="R5819" s="88" t="e">
        <f>-IF(Tabla14[[#This Row],[DIAS HABILES O MORA]]&lt;0,(Tabla14[[#This Row],[VALOR PRESTAMO]]*Tabla14[[#This Row],[% INTERES ]]/30*U5819))+Tabla14[[#This Row],[VALOR CUOTAS]]</f>
        <v>#VALUE!</v>
      </c>
      <c r="S5819" s="88">
        <f>-IF(Tabla14[[#This Row],[DIAS HABILES O MORA]]&lt;0,(Tabla14[[#This Row],[VALOR PRESTAMO]]*Tabla14[[#This Row],[% INTERES ]]/30*U5819))</f>
        <v>0</v>
      </c>
      <c r="T5819" s="53" t="e">
        <f>Tabla14[[#This Row],[DEUDA CAPITAL]]+Tabla14[[#This Row],[INTERES  CUOTA]]</f>
        <v>#NUM!</v>
      </c>
      <c r="U5819" s="61" t="str">
        <f t="shared" si="919"/>
        <v/>
      </c>
    </row>
    <row r="5820" spans="9:21" ht="24.75" customHeight="1" x14ac:dyDescent="0.35">
      <c r="I5820" s="42">
        <f t="shared" si="910"/>
        <v>0</v>
      </c>
      <c r="J5820" s="65" t="e">
        <f t="shared" si="911"/>
        <v>#NUM!</v>
      </c>
      <c r="K5820" s="83" t="e">
        <f t="shared" si="912"/>
        <v>#NUM!</v>
      </c>
      <c r="L5820" s="83">
        <f t="shared" si="913"/>
        <v>0</v>
      </c>
      <c r="M5820" s="110" t="str">
        <f t="shared" si="914"/>
        <v/>
      </c>
      <c r="N5820" s="51" t="str">
        <f t="shared" si="915"/>
        <v/>
      </c>
      <c r="O5820" s="52" t="str">
        <f t="shared" si="916"/>
        <v/>
      </c>
      <c r="P5820" s="88">
        <f t="shared" si="917"/>
        <v>0</v>
      </c>
      <c r="Q5820" s="88">
        <f t="shared" si="918"/>
        <v>0</v>
      </c>
      <c r="R5820" s="88" t="e">
        <f>-IF(Tabla14[[#This Row],[DIAS HABILES O MORA]]&lt;0,(Tabla14[[#This Row],[VALOR PRESTAMO]]*Tabla14[[#This Row],[% INTERES ]]/30*U5820))+Tabla14[[#This Row],[VALOR CUOTAS]]</f>
        <v>#VALUE!</v>
      </c>
      <c r="S5820" s="88">
        <f>-IF(Tabla14[[#This Row],[DIAS HABILES O MORA]]&lt;0,(Tabla14[[#This Row],[VALOR PRESTAMO]]*Tabla14[[#This Row],[% INTERES ]]/30*U5820))</f>
        <v>0</v>
      </c>
      <c r="T5820" s="53" t="e">
        <f>Tabla14[[#This Row],[DEUDA CAPITAL]]+Tabla14[[#This Row],[INTERES  CUOTA]]</f>
        <v>#NUM!</v>
      </c>
      <c r="U5820" s="61" t="str">
        <f t="shared" si="919"/>
        <v/>
      </c>
    </row>
    <row r="5821" spans="9:21" ht="24.75" customHeight="1" x14ac:dyDescent="0.35">
      <c r="I5821" s="42">
        <f t="shared" si="910"/>
        <v>0</v>
      </c>
      <c r="J5821" s="65" t="e">
        <f t="shared" si="911"/>
        <v>#NUM!</v>
      </c>
      <c r="K5821" s="83" t="e">
        <f t="shared" si="912"/>
        <v>#NUM!</v>
      </c>
      <c r="L5821" s="83">
        <f t="shared" si="913"/>
        <v>0</v>
      </c>
      <c r="M5821" s="110" t="str">
        <f t="shared" si="914"/>
        <v/>
      </c>
      <c r="N5821" s="51" t="str">
        <f t="shared" si="915"/>
        <v/>
      </c>
      <c r="O5821" s="52" t="str">
        <f t="shared" si="916"/>
        <v/>
      </c>
      <c r="P5821" s="88">
        <f t="shared" si="917"/>
        <v>0</v>
      </c>
      <c r="Q5821" s="88">
        <f t="shared" si="918"/>
        <v>0</v>
      </c>
      <c r="R5821" s="88" t="e">
        <f>-IF(Tabla14[[#This Row],[DIAS HABILES O MORA]]&lt;0,(Tabla14[[#This Row],[VALOR PRESTAMO]]*Tabla14[[#This Row],[% INTERES ]]/30*U5821))+Tabla14[[#This Row],[VALOR CUOTAS]]</f>
        <v>#VALUE!</v>
      </c>
      <c r="S5821" s="88">
        <f>-IF(Tabla14[[#This Row],[DIAS HABILES O MORA]]&lt;0,(Tabla14[[#This Row],[VALOR PRESTAMO]]*Tabla14[[#This Row],[% INTERES ]]/30*U5821))</f>
        <v>0</v>
      </c>
      <c r="T5821" s="53" t="e">
        <f>Tabla14[[#This Row],[DEUDA CAPITAL]]+Tabla14[[#This Row],[INTERES  CUOTA]]</f>
        <v>#NUM!</v>
      </c>
      <c r="U5821" s="61" t="str">
        <f t="shared" si="919"/>
        <v/>
      </c>
    </row>
    <row r="5822" spans="9:21" ht="24.75" customHeight="1" x14ac:dyDescent="0.35">
      <c r="I5822" s="42">
        <f t="shared" si="910"/>
        <v>0</v>
      </c>
      <c r="J5822" s="65" t="e">
        <f t="shared" si="911"/>
        <v>#NUM!</v>
      </c>
      <c r="K5822" s="83" t="e">
        <f t="shared" si="912"/>
        <v>#NUM!</v>
      </c>
      <c r="L5822" s="83">
        <f t="shared" si="913"/>
        <v>0</v>
      </c>
      <c r="M5822" s="110" t="str">
        <f t="shared" si="914"/>
        <v/>
      </c>
      <c r="N5822" s="51" t="str">
        <f t="shared" si="915"/>
        <v/>
      </c>
      <c r="O5822" s="52" t="str">
        <f t="shared" si="916"/>
        <v/>
      </c>
      <c r="P5822" s="88">
        <f t="shared" si="917"/>
        <v>0</v>
      </c>
      <c r="Q5822" s="88">
        <f t="shared" si="918"/>
        <v>0</v>
      </c>
      <c r="R5822" s="88" t="e">
        <f>-IF(Tabla14[[#This Row],[DIAS HABILES O MORA]]&lt;0,(Tabla14[[#This Row],[VALOR PRESTAMO]]*Tabla14[[#This Row],[% INTERES ]]/30*U5822))+Tabla14[[#This Row],[VALOR CUOTAS]]</f>
        <v>#VALUE!</v>
      </c>
      <c r="S5822" s="88">
        <f>-IF(Tabla14[[#This Row],[DIAS HABILES O MORA]]&lt;0,(Tabla14[[#This Row],[VALOR PRESTAMO]]*Tabla14[[#This Row],[% INTERES ]]/30*U5822))</f>
        <v>0</v>
      </c>
      <c r="T5822" s="53" t="e">
        <f>Tabla14[[#This Row],[DEUDA CAPITAL]]+Tabla14[[#This Row],[INTERES  CUOTA]]</f>
        <v>#NUM!</v>
      </c>
      <c r="U5822" s="61" t="str">
        <f t="shared" si="919"/>
        <v/>
      </c>
    </row>
    <row r="5823" spans="9:21" ht="24.75" customHeight="1" x14ac:dyDescent="0.35">
      <c r="I5823" s="42">
        <f t="shared" si="910"/>
        <v>0</v>
      </c>
      <c r="J5823" s="65" t="e">
        <f t="shared" si="911"/>
        <v>#NUM!</v>
      </c>
      <c r="K5823" s="83" t="e">
        <f t="shared" si="912"/>
        <v>#NUM!</v>
      </c>
      <c r="L5823" s="83">
        <f t="shared" si="913"/>
        <v>0</v>
      </c>
      <c r="M5823" s="110" t="str">
        <f t="shared" si="914"/>
        <v/>
      </c>
      <c r="N5823" s="51" t="str">
        <f t="shared" si="915"/>
        <v/>
      </c>
      <c r="O5823" s="52" t="str">
        <f t="shared" si="916"/>
        <v/>
      </c>
      <c r="P5823" s="88">
        <f t="shared" si="917"/>
        <v>0</v>
      </c>
      <c r="Q5823" s="88">
        <f t="shared" si="918"/>
        <v>0</v>
      </c>
      <c r="R5823" s="88" t="e">
        <f>-IF(Tabla14[[#This Row],[DIAS HABILES O MORA]]&lt;0,(Tabla14[[#This Row],[VALOR PRESTAMO]]*Tabla14[[#This Row],[% INTERES ]]/30*U5823))+Tabla14[[#This Row],[VALOR CUOTAS]]</f>
        <v>#VALUE!</v>
      </c>
      <c r="S5823" s="88">
        <f>-IF(Tabla14[[#This Row],[DIAS HABILES O MORA]]&lt;0,(Tabla14[[#This Row],[VALOR PRESTAMO]]*Tabla14[[#This Row],[% INTERES ]]/30*U5823))</f>
        <v>0</v>
      </c>
      <c r="T5823" s="53" t="e">
        <f>Tabla14[[#This Row],[DEUDA CAPITAL]]+Tabla14[[#This Row],[INTERES  CUOTA]]</f>
        <v>#NUM!</v>
      </c>
      <c r="U5823" s="61" t="str">
        <f t="shared" si="919"/>
        <v/>
      </c>
    </row>
    <row r="5824" spans="9:21" ht="24.75" customHeight="1" x14ac:dyDescent="0.35">
      <c r="I5824" s="42">
        <f t="shared" si="910"/>
        <v>0</v>
      </c>
      <c r="J5824" s="65" t="e">
        <f t="shared" si="911"/>
        <v>#NUM!</v>
      </c>
      <c r="K5824" s="83" t="e">
        <f t="shared" si="912"/>
        <v>#NUM!</v>
      </c>
      <c r="L5824" s="83">
        <f t="shared" si="913"/>
        <v>0</v>
      </c>
      <c r="M5824" s="110" t="str">
        <f t="shared" si="914"/>
        <v/>
      </c>
      <c r="N5824" s="51" t="str">
        <f t="shared" si="915"/>
        <v/>
      </c>
      <c r="O5824" s="52" t="str">
        <f t="shared" si="916"/>
        <v/>
      </c>
      <c r="P5824" s="88">
        <f t="shared" si="917"/>
        <v>0</v>
      </c>
      <c r="Q5824" s="88">
        <f t="shared" si="918"/>
        <v>0</v>
      </c>
      <c r="R5824" s="88" t="e">
        <f>-IF(Tabla14[[#This Row],[DIAS HABILES O MORA]]&lt;0,(Tabla14[[#This Row],[VALOR PRESTAMO]]*Tabla14[[#This Row],[% INTERES ]]/30*U5824))+Tabla14[[#This Row],[VALOR CUOTAS]]</f>
        <v>#VALUE!</v>
      </c>
      <c r="S5824" s="88">
        <f>-IF(Tabla14[[#This Row],[DIAS HABILES O MORA]]&lt;0,(Tabla14[[#This Row],[VALOR PRESTAMO]]*Tabla14[[#This Row],[% INTERES ]]/30*U5824))</f>
        <v>0</v>
      </c>
      <c r="T5824" s="53" t="e">
        <f>Tabla14[[#This Row],[DEUDA CAPITAL]]+Tabla14[[#This Row],[INTERES  CUOTA]]</f>
        <v>#NUM!</v>
      </c>
      <c r="U5824" s="61" t="str">
        <f t="shared" si="919"/>
        <v/>
      </c>
    </row>
    <row r="5825" spans="9:21" ht="24.75" customHeight="1" x14ac:dyDescent="0.35">
      <c r="I5825" s="42">
        <f t="shared" si="910"/>
        <v>0</v>
      </c>
      <c r="J5825" s="65" t="e">
        <f t="shared" si="911"/>
        <v>#NUM!</v>
      </c>
      <c r="K5825" s="83" t="e">
        <f t="shared" si="912"/>
        <v>#NUM!</v>
      </c>
      <c r="L5825" s="83">
        <f t="shared" si="913"/>
        <v>0</v>
      </c>
      <c r="M5825" s="110" t="str">
        <f t="shared" si="914"/>
        <v/>
      </c>
      <c r="N5825" s="51" t="str">
        <f t="shared" si="915"/>
        <v/>
      </c>
      <c r="O5825" s="52" t="str">
        <f t="shared" si="916"/>
        <v/>
      </c>
      <c r="P5825" s="88">
        <f t="shared" si="917"/>
        <v>0</v>
      </c>
      <c r="Q5825" s="88">
        <f t="shared" si="918"/>
        <v>0</v>
      </c>
      <c r="R5825" s="88" t="e">
        <f>-IF(Tabla14[[#This Row],[DIAS HABILES O MORA]]&lt;0,(Tabla14[[#This Row],[VALOR PRESTAMO]]*Tabla14[[#This Row],[% INTERES ]]/30*U5825))+Tabla14[[#This Row],[VALOR CUOTAS]]</f>
        <v>#VALUE!</v>
      </c>
      <c r="S5825" s="88">
        <f>-IF(Tabla14[[#This Row],[DIAS HABILES O MORA]]&lt;0,(Tabla14[[#This Row],[VALOR PRESTAMO]]*Tabla14[[#This Row],[% INTERES ]]/30*U5825))</f>
        <v>0</v>
      </c>
      <c r="T5825" s="53" t="e">
        <f>Tabla14[[#This Row],[DEUDA CAPITAL]]+Tabla14[[#This Row],[INTERES  CUOTA]]</f>
        <v>#NUM!</v>
      </c>
      <c r="U5825" s="61" t="str">
        <f t="shared" si="919"/>
        <v/>
      </c>
    </row>
    <row r="5826" spans="9:21" ht="24.75" customHeight="1" x14ac:dyDescent="0.35">
      <c r="I5826" s="42">
        <f t="shared" si="910"/>
        <v>0</v>
      </c>
      <c r="J5826" s="65" t="e">
        <f t="shared" si="911"/>
        <v>#NUM!</v>
      </c>
      <c r="K5826" s="83" t="e">
        <f t="shared" si="912"/>
        <v>#NUM!</v>
      </c>
      <c r="L5826" s="83">
        <f t="shared" si="913"/>
        <v>0</v>
      </c>
      <c r="M5826" s="110" t="str">
        <f t="shared" si="914"/>
        <v/>
      </c>
      <c r="N5826" s="51" t="str">
        <f t="shared" si="915"/>
        <v/>
      </c>
      <c r="O5826" s="52" t="str">
        <f t="shared" si="916"/>
        <v/>
      </c>
      <c r="P5826" s="88">
        <f t="shared" si="917"/>
        <v>0</v>
      </c>
      <c r="Q5826" s="88">
        <f t="shared" si="918"/>
        <v>0</v>
      </c>
      <c r="R5826" s="88" t="e">
        <f>-IF(Tabla14[[#This Row],[DIAS HABILES O MORA]]&lt;0,(Tabla14[[#This Row],[VALOR PRESTAMO]]*Tabla14[[#This Row],[% INTERES ]]/30*U5826))+Tabla14[[#This Row],[VALOR CUOTAS]]</f>
        <v>#VALUE!</v>
      </c>
      <c r="S5826" s="88">
        <f>-IF(Tabla14[[#This Row],[DIAS HABILES O MORA]]&lt;0,(Tabla14[[#This Row],[VALOR PRESTAMO]]*Tabla14[[#This Row],[% INTERES ]]/30*U5826))</f>
        <v>0</v>
      </c>
      <c r="T5826" s="53" t="e">
        <f>Tabla14[[#This Row],[DEUDA CAPITAL]]+Tabla14[[#This Row],[INTERES  CUOTA]]</f>
        <v>#NUM!</v>
      </c>
      <c r="U5826" s="61" t="str">
        <f t="shared" si="919"/>
        <v/>
      </c>
    </row>
    <row r="5827" spans="9:21" ht="24.75" customHeight="1" x14ac:dyDescent="0.35">
      <c r="I5827" s="42">
        <f t="shared" si="910"/>
        <v>0</v>
      </c>
      <c r="J5827" s="65" t="e">
        <f t="shared" si="911"/>
        <v>#NUM!</v>
      </c>
      <c r="K5827" s="83" t="e">
        <f t="shared" si="912"/>
        <v>#NUM!</v>
      </c>
      <c r="L5827" s="83">
        <f t="shared" si="913"/>
        <v>0</v>
      </c>
      <c r="M5827" s="110" t="str">
        <f t="shared" si="914"/>
        <v/>
      </c>
      <c r="N5827" s="51" t="str">
        <f t="shared" si="915"/>
        <v/>
      </c>
      <c r="O5827" s="52" t="str">
        <f t="shared" si="916"/>
        <v/>
      </c>
      <c r="P5827" s="88">
        <f t="shared" si="917"/>
        <v>0</v>
      </c>
      <c r="Q5827" s="88">
        <f t="shared" si="918"/>
        <v>0</v>
      </c>
      <c r="R5827" s="88" t="e">
        <f>-IF(Tabla14[[#This Row],[DIAS HABILES O MORA]]&lt;0,(Tabla14[[#This Row],[VALOR PRESTAMO]]*Tabla14[[#This Row],[% INTERES ]]/30*U5827))+Tabla14[[#This Row],[VALOR CUOTAS]]</f>
        <v>#VALUE!</v>
      </c>
      <c r="S5827" s="88">
        <f>-IF(Tabla14[[#This Row],[DIAS HABILES O MORA]]&lt;0,(Tabla14[[#This Row],[VALOR PRESTAMO]]*Tabla14[[#This Row],[% INTERES ]]/30*U5827))</f>
        <v>0</v>
      </c>
      <c r="T5827" s="53" t="e">
        <f>Tabla14[[#This Row],[DEUDA CAPITAL]]+Tabla14[[#This Row],[INTERES  CUOTA]]</f>
        <v>#NUM!</v>
      </c>
      <c r="U5827" s="61" t="str">
        <f t="shared" si="919"/>
        <v/>
      </c>
    </row>
    <row r="5828" spans="9:21" ht="24.75" customHeight="1" x14ac:dyDescent="0.35">
      <c r="I5828" s="42">
        <f t="shared" si="910"/>
        <v>0</v>
      </c>
      <c r="J5828" s="65" t="e">
        <f t="shared" si="911"/>
        <v>#NUM!</v>
      </c>
      <c r="K5828" s="83" t="e">
        <f t="shared" si="912"/>
        <v>#NUM!</v>
      </c>
      <c r="L5828" s="83">
        <f t="shared" si="913"/>
        <v>0</v>
      </c>
      <c r="M5828" s="110" t="str">
        <f t="shared" si="914"/>
        <v/>
      </c>
      <c r="N5828" s="51" t="str">
        <f t="shared" si="915"/>
        <v/>
      </c>
      <c r="O5828" s="52" t="str">
        <f t="shared" si="916"/>
        <v/>
      </c>
      <c r="P5828" s="88">
        <f t="shared" si="917"/>
        <v>0</v>
      </c>
      <c r="Q5828" s="88">
        <f t="shared" si="918"/>
        <v>0</v>
      </c>
      <c r="R5828" s="88" t="e">
        <f>-IF(Tabla14[[#This Row],[DIAS HABILES O MORA]]&lt;0,(Tabla14[[#This Row],[VALOR PRESTAMO]]*Tabla14[[#This Row],[% INTERES ]]/30*U5828))+Tabla14[[#This Row],[VALOR CUOTAS]]</f>
        <v>#VALUE!</v>
      </c>
      <c r="S5828" s="88">
        <f>-IF(Tabla14[[#This Row],[DIAS HABILES O MORA]]&lt;0,(Tabla14[[#This Row],[VALOR PRESTAMO]]*Tabla14[[#This Row],[% INTERES ]]/30*U5828))</f>
        <v>0</v>
      </c>
      <c r="T5828" s="53" t="e">
        <f>Tabla14[[#This Row],[DEUDA CAPITAL]]+Tabla14[[#This Row],[INTERES  CUOTA]]</f>
        <v>#NUM!</v>
      </c>
      <c r="U5828" s="61" t="str">
        <f t="shared" si="919"/>
        <v/>
      </c>
    </row>
    <row r="5829" spans="9:21" ht="24.75" customHeight="1" x14ac:dyDescent="0.35">
      <c r="I5829" s="42">
        <f t="shared" si="910"/>
        <v>0</v>
      </c>
      <c r="J5829" s="65" t="e">
        <f t="shared" si="911"/>
        <v>#NUM!</v>
      </c>
      <c r="K5829" s="83" t="e">
        <f t="shared" si="912"/>
        <v>#NUM!</v>
      </c>
      <c r="L5829" s="83">
        <f t="shared" si="913"/>
        <v>0</v>
      </c>
      <c r="M5829" s="110" t="str">
        <f t="shared" si="914"/>
        <v/>
      </c>
      <c r="N5829" s="51" t="str">
        <f t="shared" si="915"/>
        <v/>
      </c>
      <c r="O5829" s="52" t="str">
        <f t="shared" si="916"/>
        <v/>
      </c>
      <c r="P5829" s="88">
        <f t="shared" si="917"/>
        <v>0</v>
      </c>
      <c r="Q5829" s="88">
        <f t="shared" si="918"/>
        <v>0</v>
      </c>
      <c r="R5829" s="88" t="e">
        <f>-IF(Tabla14[[#This Row],[DIAS HABILES O MORA]]&lt;0,(Tabla14[[#This Row],[VALOR PRESTAMO]]*Tabla14[[#This Row],[% INTERES ]]/30*U5829))+Tabla14[[#This Row],[VALOR CUOTAS]]</f>
        <v>#VALUE!</v>
      </c>
      <c r="S5829" s="88">
        <f>-IF(Tabla14[[#This Row],[DIAS HABILES O MORA]]&lt;0,(Tabla14[[#This Row],[VALOR PRESTAMO]]*Tabla14[[#This Row],[% INTERES ]]/30*U5829))</f>
        <v>0</v>
      </c>
      <c r="T5829" s="53" t="e">
        <f>Tabla14[[#This Row],[DEUDA CAPITAL]]+Tabla14[[#This Row],[INTERES  CUOTA]]</f>
        <v>#NUM!</v>
      </c>
      <c r="U5829" s="61" t="str">
        <f t="shared" si="919"/>
        <v/>
      </c>
    </row>
    <row r="5830" spans="9:21" ht="24.75" customHeight="1" x14ac:dyDescent="0.35">
      <c r="I5830" s="42">
        <f t="shared" si="910"/>
        <v>0</v>
      </c>
      <c r="J5830" s="65" t="e">
        <f t="shared" si="911"/>
        <v>#NUM!</v>
      </c>
      <c r="K5830" s="83" t="e">
        <f t="shared" si="912"/>
        <v>#NUM!</v>
      </c>
      <c r="L5830" s="83">
        <f t="shared" si="913"/>
        <v>0</v>
      </c>
      <c r="M5830" s="110" t="str">
        <f t="shared" si="914"/>
        <v/>
      </c>
      <c r="N5830" s="51" t="str">
        <f t="shared" si="915"/>
        <v/>
      </c>
      <c r="O5830" s="52" t="str">
        <f t="shared" si="916"/>
        <v/>
      </c>
      <c r="P5830" s="88">
        <f t="shared" si="917"/>
        <v>0</v>
      </c>
      <c r="Q5830" s="88">
        <f t="shared" si="918"/>
        <v>0</v>
      </c>
      <c r="R5830" s="88" t="e">
        <f>-IF(Tabla14[[#This Row],[DIAS HABILES O MORA]]&lt;0,(Tabla14[[#This Row],[VALOR PRESTAMO]]*Tabla14[[#This Row],[% INTERES ]]/30*U5830))+Tabla14[[#This Row],[VALOR CUOTAS]]</f>
        <v>#VALUE!</v>
      </c>
      <c r="S5830" s="88">
        <f>-IF(Tabla14[[#This Row],[DIAS HABILES O MORA]]&lt;0,(Tabla14[[#This Row],[VALOR PRESTAMO]]*Tabla14[[#This Row],[% INTERES ]]/30*U5830))</f>
        <v>0</v>
      </c>
      <c r="T5830" s="53" t="e">
        <f>Tabla14[[#This Row],[DEUDA CAPITAL]]+Tabla14[[#This Row],[INTERES  CUOTA]]</f>
        <v>#NUM!</v>
      </c>
      <c r="U5830" s="61" t="str">
        <f t="shared" si="919"/>
        <v/>
      </c>
    </row>
    <row r="5831" spans="9:21" ht="24.75" customHeight="1" x14ac:dyDescent="0.35">
      <c r="I5831" s="42">
        <f t="shared" si="910"/>
        <v>0</v>
      </c>
      <c r="J5831" s="65" t="e">
        <f t="shared" si="911"/>
        <v>#NUM!</v>
      </c>
      <c r="K5831" s="83" t="e">
        <f t="shared" si="912"/>
        <v>#NUM!</v>
      </c>
      <c r="L5831" s="83">
        <f t="shared" si="913"/>
        <v>0</v>
      </c>
      <c r="M5831" s="110" t="str">
        <f t="shared" si="914"/>
        <v/>
      </c>
      <c r="N5831" s="51" t="str">
        <f t="shared" si="915"/>
        <v/>
      </c>
      <c r="O5831" s="52" t="str">
        <f t="shared" si="916"/>
        <v/>
      </c>
      <c r="P5831" s="88">
        <f t="shared" si="917"/>
        <v>0</v>
      </c>
      <c r="Q5831" s="88">
        <f t="shared" si="918"/>
        <v>0</v>
      </c>
      <c r="R5831" s="88" t="e">
        <f>-IF(Tabla14[[#This Row],[DIAS HABILES O MORA]]&lt;0,(Tabla14[[#This Row],[VALOR PRESTAMO]]*Tabla14[[#This Row],[% INTERES ]]/30*U5831))+Tabla14[[#This Row],[VALOR CUOTAS]]</f>
        <v>#VALUE!</v>
      </c>
      <c r="S5831" s="88">
        <f>-IF(Tabla14[[#This Row],[DIAS HABILES O MORA]]&lt;0,(Tabla14[[#This Row],[VALOR PRESTAMO]]*Tabla14[[#This Row],[% INTERES ]]/30*U5831))</f>
        <v>0</v>
      </c>
      <c r="T5831" s="53" t="e">
        <f>Tabla14[[#This Row],[DEUDA CAPITAL]]+Tabla14[[#This Row],[INTERES  CUOTA]]</f>
        <v>#NUM!</v>
      </c>
      <c r="U5831" s="61" t="str">
        <f t="shared" si="919"/>
        <v/>
      </c>
    </row>
    <row r="5832" spans="9:21" ht="24.75" customHeight="1" x14ac:dyDescent="0.35">
      <c r="I5832" s="42">
        <f t="shared" si="910"/>
        <v>0</v>
      </c>
      <c r="J5832" s="65" t="e">
        <f t="shared" si="911"/>
        <v>#NUM!</v>
      </c>
      <c r="K5832" s="83" t="e">
        <f t="shared" si="912"/>
        <v>#NUM!</v>
      </c>
      <c r="L5832" s="83">
        <f t="shared" si="913"/>
        <v>0</v>
      </c>
      <c r="M5832" s="110" t="str">
        <f t="shared" si="914"/>
        <v/>
      </c>
      <c r="N5832" s="51" t="str">
        <f t="shared" si="915"/>
        <v/>
      </c>
      <c r="O5832" s="52" t="str">
        <f t="shared" si="916"/>
        <v/>
      </c>
      <c r="P5832" s="88">
        <f t="shared" si="917"/>
        <v>0</v>
      </c>
      <c r="Q5832" s="88">
        <f t="shared" si="918"/>
        <v>0</v>
      </c>
      <c r="R5832" s="88" t="e">
        <f>-IF(Tabla14[[#This Row],[DIAS HABILES O MORA]]&lt;0,(Tabla14[[#This Row],[VALOR PRESTAMO]]*Tabla14[[#This Row],[% INTERES ]]/30*U5832))+Tabla14[[#This Row],[VALOR CUOTAS]]</f>
        <v>#VALUE!</v>
      </c>
      <c r="S5832" s="88">
        <f>-IF(Tabla14[[#This Row],[DIAS HABILES O MORA]]&lt;0,(Tabla14[[#This Row],[VALOR PRESTAMO]]*Tabla14[[#This Row],[% INTERES ]]/30*U5832))</f>
        <v>0</v>
      </c>
      <c r="T5832" s="53" t="e">
        <f>Tabla14[[#This Row],[DEUDA CAPITAL]]+Tabla14[[#This Row],[INTERES  CUOTA]]</f>
        <v>#NUM!</v>
      </c>
      <c r="U5832" s="61" t="str">
        <f t="shared" si="919"/>
        <v/>
      </c>
    </row>
    <row r="5833" spans="9:21" ht="24.75" customHeight="1" x14ac:dyDescent="0.35">
      <c r="I5833" s="42">
        <f t="shared" si="910"/>
        <v>0</v>
      </c>
      <c r="J5833" s="65" t="e">
        <f t="shared" si="911"/>
        <v>#NUM!</v>
      </c>
      <c r="K5833" s="83" t="e">
        <f t="shared" si="912"/>
        <v>#NUM!</v>
      </c>
      <c r="L5833" s="83">
        <f t="shared" si="913"/>
        <v>0</v>
      </c>
      <c r="M5833" s="110" t="str">
        <f t="shared" si="914"/>
        <v/>
      </c>
      <c r="N5833" s="51" t="str">
        <f t="shared" si="915"/>
        <v/>
      </c>
      <c r="O5833" s="52" t="str">
        <f t="shared" si="916"/>
        <v/>
      </c>
      <c r="P5833" s="88">
        <f t="shared" si="917"/>
        <v>0</v>
      </c>
      <c r="Q5833" s="88">
        <f t="shared" si="918"/>
        <v>0</v>
      </c>
      <c r="R5833" s="88" t="e">
        <f>-IF(Tabla14[[#This Row],[DIAS HABILES O MORA]]&lt;0,(Tabla14[[#This Row],[VALOR PRESTAMO]]*Tabla14[[#This Row],[% INTERES ]]/30*U5833))+Tabla14[[#This Row],[VALOR CUOTAS]]</f>
        <v>#VALUE!</v>
      </c>
      <c r="S5833" s="88">
        <f>-IF(Tabla14[[#This Row],[DIAS HABILES O MORA]]&lt;0,(Tabla14[[#This Row],[VALOR PRESTAMO]]*Tabla14[[#This Row],[% INTERES ]]/30*U5833))</f>
        <v>0</v>
      </c>
      <c r="T5833" s="53" t="e">
        <f>Tabla14[[#This Row],[DEUDA CAPITAL]]+Tabla14[[#This Row],[INTERES  CUOTA]]</f>
        <v>#NUM!</v>
      </c>
      <c r="U5833" s="61" t="str">
        <f t="shared" si="919"/>
        <v/>
      </c>
    </row>
    <row r="5834" spans="9:21" ht="24.75" customHeight="1" x14ac:dyDescent="0.35">
      <c r="I5834" s="42">
        <f t="shared" si="910"/>
        <v>0</v>
      </c>
      <c r="J5834" s="65" t="e">
        <f t="shared" si="911"/>
        <v>#NUM!</v>
      </c>
      <c r="K5834" s="83" t="e">
        <f t="shared" si="912"/>
        <v>#NUM!</v>
      </c>
      <c r="L5834" s="83">
        <f t="shared" si="913"/>
        <v>0</v>
      </c>
      <c r="M5834" s="110" t="str">
        <f t="shared" si="914"/>
        <v/>
      </c>
      <c r="N5834" s="51" t="str">
        <f t="shared" si="915"/>
        <v/>
      </c>
      <c r="O5834" s="52" t="str">
        <f t="shared" si="916"/>
        <v/>
      </c>
      <c r="P5834" s="88">
        <f t="shared" si="917"/>
        <v>0</v>
      </c>
      <c r="Q5834" s="88">
        <f t="shared" si="918"/>
        <v>0</v>
      </c>
      <c r="R5834" s="88" t="e">
        <f>-IF(Tabla14[[#This Row],[DIAS HABILES O MORA]]&lt;0,(Tabla14[[#This Row],[VALOR PRESTAMO]]*Tabla14[[#This Row],[% INTERES ]]/30*U5834))+Tabla14[[#This Row],[VALOR CUOTAS]]</f>
        <v>#VALUE!</v>
      </c>
      <c r="S5834" s="88">
        <f>-IF(Tabla14[[#This Row],[DIAS HABILES O MORA]]&lt;0,(Tabla14[[#This Row],[VALOR PRESTAMO]]*Tabla14[[#This Row],[% INTERES ]]/30*U5834))</f>
        <v>0</v>
      </c>
      <c r="T5834" s="53" t="e">
        <f>Tabla14[[#This Row],[DEUDA CAPITAL]]+Tabla14[[#This Row],[INTERES  CUOTA]]</f>
        <v>#NUM!</v>
      </c>
      <c r="U5834" s="61" t="str">
        <f t="shared" si="919"/>
        <v/>
      </c>
    </row>
    <row r="5835" spans="9:21" ht="24.75" customHeight="1" x14ac:dyDescent="0.35">
      <c r="I5835" s="42">
        <f t="shared" si="910"/>
        <v>0</v>
      </c>
      <c r="J5835" s="65" t="e">
        <f t="shared" si="911"/>
        <v>#NUM!</v>
      </c>
      <c r="K5835" s="83" t="e">
        <f t="shared" si="912"/>
        <v>#NUM!</v>
      </c>
      <c r="L5835" s="83">
        <f t="shared" si="913"/>
        <v>0</v>
      </c>
      <c r="M5835" s="110" t="str">
        <f t="shared" si="914"/>
        <v/>
      </c>
      <c r="N5835" s="51" t="str">
        <f t="shared" si="915"/>
        <v/>
      </c>
      <c r="O5835" s="52" t="str">
        <f t="shared" si="916"/>
        <v/>
      </c>
      <c r="P5835" s="88">
        <f t="shared" si="917"/>
        <v>0</v>
      </c>
      <c r="Q5835" s="88">
        <f t="shared" si="918"/>
        <v>0</v>
      </c>
      <c r="R5835" s="88" t="e">
        <f>-IF(Tabla14[[#This Row],[DIAS HABILES O MORA]]&lt;0,(Tabla14[[#This Row],[VALOR PRESTAMO]]*Tabla14[[#This Row],[% INTERES ]]/30*U5835))+Tabla14[[#This Row],[VALOR CUOTAS]]</f>
        <v>#VALUE!</v>
      </c>
      <c r="S5835" s="88">
        <f>-IF(Tabla14[[#This Row],[DIAS HABILES O MORA]]&lt;0,(Tabla14[[#This Row],[VALOR PRESTAMO]]*Tabla14[[#This Row],[% INTERES ]]/30*U5835))</f>
        <v>0</v>
      </c>
      <c r="T5835" s="53" t="e">
        <f>Tabla14[[#This Row],[DEUDA CAPITAL]]+Tabla14[[#This Row],[INTERES  CUOTA]]</f>
        <v>#NUM!</v>
      </c>
      <c r="U5835" s="61" t="str">
        <f t="shared" si="919"/>
        <v/>
      </c>
    </row>
    <row r="5836" spans="9:21" ht="24.75" customHeight="1" x14ac:dyDescent="0.35">
      <c r="I5836" s="42">
        <f t="shared" si="910"/>
        <v>0</v>
      </c>
      <c r="J5836" s="65" t="e">
        <f t="shared" si="911"/>
        <v>#NUM!</v>
      </c>
      <c r="K5836" s="83" t="e">
        <f t="shared" si="912"/>
        <v>#NUM!</v>
      </c>
      <c r="L5836" s="83">
        <f t="shared" si="913"/>
        <v>0</v>
      </c>
      <c r="M5836" s="110" t="str">
        <f t="shared" si="914"/>
        <v/>
      </c>
      <c r="N5836" s="51" t="str">
        <f t="shared" si="915"/>
        <v/>
      </c>
      <c r="O5836" s="52" t="str">
        <f t="shared" si="916"/>
        <v/>
      </c>
      <c r="P5836" s="88">
        <f t="shared" si="917"/>
        <v>0</v>
      </c>
      <c r="Q5836" s="88">
        <f t="shared" si="918"/>
        <v>0</v>
      </c>
      <c r="R5836" s="88" t="e">
        <f>-IF(Tabla14[[#This Row],[DIAS HABILES O MORA]]&lt;0,(Tabla14[[#This Row],[VALOR PRESTAMO]]*Tabla14[[#This Row],[% INTERES ]]/30*U5836))+Tabla14[[#This Row],[VALOR CUOTAS]]</f>
        <v>#VALUE!</v>
      </c>
      <c r="S5836" s="88">
        <f>-IF(Tabla14[[#This Row],[DIAS HABILES O MORA]]&lt;0,(Tabla14[[#This Row],[VALOR PRESTAMO]]*Tabla14[[#This Row],[% INTERES ]]/30*U5836))</f>
        <v>0</v>
      </c>
      <c r="T5836" s="53" t="e">
        <f>Tabla14[[#This Row],[DEUDA CAPITAL]]+Tabla14[[#This Row],[INTERES  CUOTA]]</f>
        <v>#NUM!</v>
      </c>
      <c r="U5836" s="61" t="str">
        <f t="shared" si="919"/>
        <v/>
      </c>
    </row>
    <row r="5837" spans="9:21" ht="24.75" customHeight="1" x14ac:dyDescent="0.35">
      <c r="I5837" s="42">
        <f t="shared" si="910"/>
        <v>0</v>
      </c>
      <c r="J5837" s="65" t="e">
        <f t="shared" si="911"/>
        <v>#NUM!</v>
      </c>
      <c r="K5837" s="83" t="e">
        <f t="shared" si="912"/>
        <v>#NUM!</v>
      </c>
      <c r="L5837" s="83">
        <f t="shared" si="913"/>
        <v>0</v>
      </c>
      <c r="M5837" s="110" t="str">
        <f t="shared" si="914"/>
        <v/>
      </c>
      <c r="N5837" s="51" t="str">
        <f t="shared" si="915"/>
        <v/>
      </c>
      <c r="O5837" s="52" t="str">
        <f t="shared" si="916"/>
        <v/>
      </c>
      <c r="P5837" s="88">
        <f t="shared" si="917"/>
        <v>0</v>
      </c>
      <c r="Q5837" s="88">
        <f t="shared" si="918"/>
        <v>0</v>
      </c>
      <c r="R5837" s="88" t="e">
        <f>-IF(Tabla14[[#This Row],[DIAS HABILES O MORA]]&lt;0,(Tabla14[[#This Row],[VALOR PRESTAMO]]*Tabla14[[#This Row],[% INTERES ]]/30*U5837))+Tabla14[[#This Row],[VALOR CUOTAS]]</f>
        <v>#VALUE!</v>
      </c>
      <c r="S5837" s="88">
        <f>-IF(Tabla14[[#This Row],[DIAS HABILES O MORA]]&lt;0,(Tabla14[[#This Row],[VALOR PRESTAMO]]*Tabla14[[#This Row],[% INTERES ]]/30*U5837))</f>
        <v>0</v>
      </c>
      <c r="T5837" s="53" t="e">
        <f>Tabla14[[#This Row],[DEUDA CAPITAL]]+Tabla14[[#This Row],[INTERES  CUOTA]]</f>
        <v>#NUM!</v>
      </c>
      <c r="U5837" s="61" t="str">
        <f t="shared" si="919"/>
        <v/>
      </c>
    </row>
    <row r="5838" spans="9:21" ht="24.75" customHeight="1" x14ac:dyDescent="0.35">
      <c r="I5838" s="42">
        <f t="shared" si="910"/>
        <v>0</v>
      </c>
      <c r="J5838" s="65" t="e">
        <f t="shared" si="911"/>
        <v>#NUM!</v>
      </c>
      <c r="K5838" s="83" t="e">
        <f t="shared" si="912"/>
        <v>#NUM!</v>
      </c>
      <c r="L5838" s="83">
        <f t="shared" si="913"/>
        <v>0</v>
      </c>
      <c r="M5838" s="110" t="str">
        <f t="shared" si="914"/>
        <v/>
      </c>
      <c r="N5838" s="51" t="str">
        <f t="shared" si="915"/>
        <v/>
      </c>
      <c r="O5838" s="52" t="str">
        <f t="shared" si="916"/>
        <v/>
      </c>
      <c r="P5838" s="88">
        <f t="shared" si="917"/>
        <v>0</v>
      </c>
      <c r="Q5838" s="88">
        <f t="shared" si="918"/>
        <v>0</v>
      </c>
      <c r="R5838" s="88" t="e">
        <f>-IF(Tabla14[[#This Row],[DIAS HABILES O MORA]]&lt;0,(Tabla14[[#This Row],[VALOR PRESTAMO]]*Tabla14[[#This Row],[% INTERES ]]/30*U5838))+Tabla14[[#This Row],[VALOR CUOTAS]]</f>
        <v>#VALUE!</v>
      </c>
      <c r="S5838" s="88">
        <f>-IF(Tabla14[[#This Row],[DIAS HABILES O MORA]]&lt;0,(Tabla14[[#This Row],[VALOR PRESTAMO]]*Tabla14[[#This Row],[% INTERES ]]/30*U5838))</f>
        <v>0</v>
      </c>
      <c r="T5838" s="53" t="e">
        <f>Tabla14[[#This Row],[DEUDA CAPITAL]]+Tabla14[[#This Row],[INTERES  CUOTA]]</f>
        <v>#NUM!</v>
      </c>
      <c r="U5838" s="61" t="str">
        <f t="shared" si="919"/>
        <v/>
      </c>
    </row>
    <row r="5839" spans="9:21" ht="24.75" customHeight="1" x14ac:dyDescent="0.35">
      <c r="I5839" s="42">
        <f t="shared" si="910"/>
        <v>0</v>
      </c>
      <c r="J5839" s="65" t="e">
        <f t="shared" si="911"/>
        <v>#NUM!</v>
      </c>
      <c r="K5839" s="83" t="e">
        <f t="shared" si="912"/>
        <v>#NUM!</v>
      </c>
      <c r="L5839" s="83">
        <f t="shared" si="913"/>
        <v>0</v>
      </c>
      <c r="M5839" s="110" t="str">
        <f t="shared" si="914"/>
        <v/>
      </c>
      <c r="N5839" s="51" t="str">
        <f t="shared" si="915"/>
        <v/>
      </c>
      <c r="O5839" s="52" t="str">
        <f t="shared" si="916"/>
        <v/>
      </c>
      <c r="P5839" s="88">
        <f t="shared" si="917"/>
        <v>0</v>
      </c>
      <c r="Q5839" s="88">
        <f t="shared" si="918"/>
        <v>0</v>
      </c>
      <c r="R5839" s="88" t="e">
        <f>-IF(Tabla14[[#This Row],[DIAS HABILES O MORA]]&lt;0,(Tabla14[[#This Row],[VALOR PRESTAMO]]*Tabla14[[#This Row],[% INTERES ]]/30*U5839))+Tabla14[[#This Row],[VALOR CUOTAS]]</f>
        <v>#VALUE!</v>
      </c>
      <c r="S5839" s="88">
        <f>-IF(Tabla14[[#This Row],[DIAS HABILES O MORA]]&lt;0,(Tabla14[[#This Row],[VALOR PRESTAMO]]*Tabla14[[#This Row],[% INTERES ]]/30*U5839))</f>
        <v>0</v>
      </c>
      <c r="T5839" s="53" t="e">
        <f>Tabla14[[#This Row],[DEUDA CAPITAL]]+Tabla14[[#This Row],[INTERES  CUOTA]]</f>
        <v>#NUM!</v>
      </c>
      <c r="U5839" s="61" t="str">
        <f t="shared" si="919"/>
        <v/>
      </c>
    </row>
    <row r="5840" spans="9:21" ht="24.75" customHeight="1" x14ac:dyDescent="0.35">
      <c r="I5840" s="42">
        <f t="shared" ref="I5840:I5903" si="920">IF(C5840&lt;0,"",IF(Q5840=0,0,IF(G5840=0,H5840+1,IF(H5840&lt;G5840,H5840+1,IF(G5840=H5840,0)))))</f>
        <v>0</v>
      </c>
      <c r="J5840" s="65" t="e">
        <f t="shared" ref="J5840:J5903" si="921">IF(F5840="SOLO INTERES",Q5840*D5840,-IPMT(D5840,I5840,G5840,C5840))</f>
        <v>#NUM!</v>
      </c>
      <c r="K5840" s="83" t="e">
        <f t="shared" ref="K5840:K5903" si="922">IF(F5840="SOLO INTERES",0,-PPMT(D5840,I5840,G5840,C5840))</f>
        <v>#NUM!</v>
      </c>
      <c r="L5840" s="83">
        <f t="shared" ref="L5840:L5903" si="923">IF(F5840="SOLO INTERES",SUM(Y5840:AAE5840),IFERROR(-CUMIPMT(D5840,G5840,C5840,1,H5840,0),0)+SUM(Y5840:WY5840))</f>
        <v>0</v>
      </c>
      <c r="M5840" s="110" t="str">
        <f t="shared" ref="M5840:M5903" si="924">IFERROR(IF(F5840="SOLO INTERES",Q5840*D5840,-PMT(D5840,G5840,C5840,0)),"")</f>
        <v/>
      </c>
      <c r="N5840" s="51" t="str">
        <f t="shared" ref="N5840:N5903" si="925">IF(Q5840=0,"",IF(E5840="MENSUAL",EDATE(B5840,I5840),IF(E5840="QUINCENAL",B5840+(I5840*15),IF(E5840="SEMANAL",B5840+(I5840*7)))))</f>
        <v/>
      </c>
      <c r="O5840" s="52" t="str">
        <f t="shared" ref="O5840:O5903" si="926">IF(C5840=0,"",IF(Q5840&lt;1,"PAGADO",IF(N5840=$A$3,"COBRAR HOY",IF(N5840&lt;$A$3,"EN MORA",IF(N5840&gt;$A$3,"AL DIA")))))</f>
        <v/>
      </c>
      <c r="P5840" s="88">
        <f t="shared" ref="P5840:P5903" si="927">IFERROR(-CUMPRINC(D5840,G5840,C5840,1,H5840,0),0)+W5840</f>
        <v>0</v>
      </c>
      <c r="Q5840" s="88">
        <f t="shared" ref="Q5840:Q5903" si="928">IFERROR(C5840-P5840,"")</f>
        <v>0</v>
      </c>
      <c r="R5840" s="88" t="e">
        <f>-IF(Tabla14[[#This Row],[DIAS HABILES O MORA]]&lt;0,(Tabla14[[#This Row],[VALOR PRESTAMO]]*Tabla14[[#This Row],[% INTERES ]]/30*U5840))+Tabla14[[#This Row],[VALOR CUOTAS]]</f>
        <v>#VALUE!</v>
      </c>
      <c r="S5840" s="88">
        <f>-IF(Tabla14[[#This Row],[DIAS HABILES O MORA]]&lt;0,(Tabla14[[#This Row],[VALOR PRESTAMO]]*Tabla14[[#This Row],[% INTERES ]]/30*U5840))</f>
        <v>0</v>
      </c>
      <c r="T5840" s="53" t="e">
        <f>Tabla14[[#This Row],[DEUDA CAPITAL]]+Tabla14[[#This Row],[INTERES  CUOTA]]</f>
        <v>#NUM!</v>
      </c>
      <c r="U5840" s="61" t="str">
        <f t="shared" ref="U5840:U5903" si="929">IF(O5840="PAGADO","",IFERROR(-IF(C5840=0,"",$A$3-N5840),""))</f>
        <v/>
      </c>
    </row>
    <row r="5841" spans="9:21" ht="24.75" customHeight="1" x14ac:dyDescent="0.35">
      <c r="I5841" s="42">
        <f t="shared" si="920"/>
        <v>0</v>
      </c>
      <c r="J5841" s="65" t="e">
        <f t="shared" si="921"/>
        <v>#NUM!</v>
      </c>
      <c r="K5841" s="83" t="e">
        <f t="shared" si="922"/>
        <v>#NUM!</v>
      </c>
      <c r="L5841" s="83">
        <f t="shared" si="923"/>
        <v>0</v>
      </c>
      <c r="M5841" s="110" t="str">
        <f t="shared" si="924"/>
        <v/>
      </c>
      <c r="N5841" s="51" t="str">
        <f t="shared" si="925"/>
        <v/>
      </c>
      <c r="O5841" s="52" t="str">
        <f t="shared" si="926"/>
        <v/>
      </c>
      <c r="P5841" s="88">
        <f t="shared" si="927"/>
        <v>0</v>
      </c>
      <c r="Q5841" s="88">
        <f t="shared" si="928"/>
        <v>0</v>
      </c>
      <c r="R5841" s="88" t="e">
        <f>-IF(Tabla14[[#This Row],[DIAS HABILES O MORA]]&lt;0,(Tabla14[[#This Row],[VALOR PRESTAMO]]*Tabla14[[#This Row],[% INTERES ]]/30*U5841))+Tabla14[[#This Row],[VALOR CUOTAS]]</f>
        <v>#VALUE!</v>
      </c>
      <c r="S5841" s="88">
        <f>-IF(Tabla14[[#This Row],[DIAS HABILES O MORA]]&lt;0,(Tabla14[[#This Row],[VALOR PRESTAMO]]*Tabla14[[#This Row],[% INTERES ]]/30*U5841))</f>
        <v>0</v>
      </c>
      <c r="T5841" s="53" t="e">
        <f>Tabla14[[#This Row],[DEUDA CAPITAL]]+Tabla14[[#This Row],[INTERES  CUOTA]]</f>
        <v>#NUM!</v>
      </c>
      <c r="U5841" s="61" t="str">
        <f t="shared" si="929"/>
        <v/>
      </c>
    </row>
    <row r="5842" spans="9:21" ht="24.75" customHeight="1" x14ac:dyDescent="0.35">
      <c r="I5842" s="42">
        <f t="shared" si="920"/>
        <v>0</v>
      </c>
      <c r="J5842" s="65" t="e">
        <f t="shared" si="921"/>
        <v>#NUM!</v>
      </c>
      <c r="K5842" s="83" t="e">
        <f t="shared" si="922"/>
        <v>#NUM!</v>
      </c>
      <c r="L5842" s="83">
        <f t="shared" si="923"/>
        <v>0</v>
      </c>
      <c r="M5842" s="110" t="str">
        <f t="shared" si="924"/>
        <v/>
      </c>
      <c r="N5842" s="51" t="str">
        <f t="shared" si="925"/>
        <v/>
      </c>
      <c r="O5842" s="52" t="str">
        <f t="shared" si="926"/>
        <v/>
      </c>
      <c r="P5842" s="88">
        <f t="shared" si="927"/>
        <v>0</v>
      </c>
      <c r="Q5842" s="88">
        <f t="shared" si="928"/>
        <v>0</v>
      </c>
      <c r="R5842" s="88" t="e">
        <f>-IF(Tabla14[[#This Row],[DIAS HABILES O MORA]]&lt;0,(Tabla14[[#This Row],[VALOR PRESTAMO]]*Tabla14[[#This Row],[% INTERES ]]/30*U5842))+Tabla14[[#This Row],[VALOR CUOTAS]]</f>
        <v>#VALUE!</v>
      </c>
      <c r="S5842" s="88">
        <f>-IF(Tabla14[[#This Row],[DIAS HABILES O MORA]]&lt;0,(Tabla14[[#This Row],[VALOR PRESTAMO]]*Tabla14[[#This Row],[% INTERES ]]/30*U5842))</f>
        <v>0</v>
      </c>
      <c r="T5842" s="53" t="e">
        <f>Tabla14[[#This Row],[DEUDA CAPITAL]]+Tabla14[[#This Row],[INTERES  CUOTA]]</f>
        <v>#NUM!</v>
      </c>
      <c r="U5842" s="61" t="str">
        <f t="shared" si="929"/>
        <v/>
      </c>
    </row>
    <row r="5843" spans="9:21" ht="24.75" customHeight="1" x14ac:dyDescent="0.35">
      <c r="I5843" s="42">
        <f t="shared" si="920"/>
        <v>0</v>
      </c>
      <c r="J5843" s="65" t="e">
        <f t="shared" si="921"/>
        <v>#NUM!</v>
      </c>
      <c r="K5843" s="83" t="e">
        <f t="shared" si="922"/>
        <v>#NUM!</v>
      </c>
      <c r="L5843" s="83">
        <f t="shared" si="923"/>
        <v>0</v>
      </c>
      <c r="M5843" s="110" t="str">
        <f t="shared" si="924"/>
        <v/>
      </c>
      <c r="N5843" s="51" t="str">
        <f t="shared" si="925"/>
        <v/>
      </c>
      <c r="O5843" s="52" t="str">
        <f t="shared" si="926"/>
        <v/>
      </c>
      <c r="P5843" s="88">
        <f t="shared" si="927"/>
        <v>0</v>
      </c>
      <c r="Q5843" s="88">
        <f t="shared" si="928"/>
        <v>0</v>
      </c>
      <c r="R5843" s="88" t="e">
        <f>-IF(Tabla14[[#This Row],[DIAS HABILES O MORA]]&lt;0,(Tabla14[[#This Row],[VALOR PRESTAMO]]*Tabla14[[#This Row],[% INTERES ]]/30*U5843))+Tabla14[[#This Row],[VALOR CUOTAS]]</f>
        <v>#VALUE!</v>
      </c>
      <c r="S5843" s="88">
        <f>-IF(Tabla14[[#This Row],[DIAS HABILES O MORA]]&lt;0,(Tabla14[[#This Row],[VALOR PRESTAMO]]*Tabla14[[#This Row],[% INTERES ]]/30*U5843))</f>
        <v>0</v>
      </c>
      <c r="T5843" s="53" t="e">
        <f>Tabla14[[#This Row],[DEUDA CAPITAL]]+Tabla14[[#This Row],[INTERES  CUOTA]]</f>
        <v>#NUM!</v>
      </c>
      <c r="U5843" s="61" t="str">
        <f t="shared" si="929"/>
        <v/>
      </c>
    </row>
    <row r="5844" spans="9:21" ht="24.75" customHeight="1" x14ac:dyDescent="0.35">
      <c r="I5844" s="42">
        <f t="shared" si="920"/>
        <v>0</v>
      </c>
      <c r="J5844" s="65" t="e">
        <f t="shared" si="921"/>
        <v>#NUM!</v>
      </c>
      <c r="K5844" s="83" t="e">
        <f t="shared" si="922"/>
        <v>#NUM!</v>
      </c>
      <c r="L5844" s="83">
        <f t="shared" si="923"/>
        <v>0</v>
      </c>
      <c r="M5844" s="110" t="str">
        <f t="shared" si="924"/>
        <v/>
      </c>
      <c r="N5844" s="51" t="str">
        <f t="shared" si="925"/>
        <v/>
      </c>
      <c r="O5844" s="52" t="str">
        <f t="shared" si="926"/>
        <v/>
      </c>
      <c r="P5844" s="88">
        <f t="shared" si="927"/>
        <v>0</v>
      </c>
      <c r="Q5844" s="88">
        <f t="shared" si="928"/>
        <v>0</v>
      </c>
      <c r="R5844" s="88" t="e">
        <f>-IF(Tabla14[[#This Row],[DIAS HABILES O MORA]]&lt;0,(Tabla14[[#This Row],[VALOR PRESTAMO]]*Tabla14[[#This Row],[% INTERES ]]/30*U5844))+Tabla14[[#This Row],[VALOR CUOTAS]]</f>
        <v>#VALUE!</v>
      </c>
      <c r="S5844" s="88">
        <f>-IF(Tabla14[[#This Row],[DIAS HABILES O MORA]]&lt;0,(Tabla14[[#This Row],[VALOR PRESTAMO]]*Tabla14[[#This Row],[% INTERES ]]/30*U5844))</f>
        <v>0</v>
      </c>
      <c r="T5844" s="53" t="e">
        <f>Tabla14[[#This Row],[DEUDA CAPITAL]]+Tabla14[[#This Row],[INTERES  CUOTA]]</f>
        <v>#NUM!</v>
      </c>
      <c r="U5844" s="61" t="str">
        <f t="shared" si="929"/>
        <v/>
      </c>
    </row>
    <row r="5845" spans="9:21" ht="24.75" customHeight="1" x14ac:dyDescent="0.35">
      <c r="I5845" s="42">
        <f t="shared" si="920"/>
        <v>0</v>
      </c>
      <c r="J5845" s="65" t="e">
        <f t="shared" si="921"/>
        <v>#NUM!</v>
      </c>
      <c r="K5845" s="83" t="e">
        <f t="shared" si="922"/>
        <v>#NUM!</v>
      </c>
      <c r="L5845" s="83">
        <f t="shared" si="923"/>
        <v>0</v>
      </c>
      <c r="M5845" s="110" t="str">
        <f t="shared" si="924"/>
        <v/>
      </c>
      <c r="N5845" s="51" t="str">
        <f t="shared" si="925"/>
        <v/>
      </c>
      <c r="O5845" s="52" t="str">
        <f t="shared" si="926"/>
        <v/>
      </c>
      <c r="P5845" s="88">
        <f t="shared" si="927"/>
        <v>0</v>
      </c>
      <c r="Q5845" s="88">
        <f t="shared" si="928"/>
        <v>0</v>
      </c>
      <c r="R5845" s="88" t="e">
        <f>-IF(Tabla14[[#This Row],[DIAS HABILES O MORA]]&lt;0,(Tabla14[[#This Row],[VALOR PRESTAMO]]*Tabla14[[#This Row],[% INTERES ]]/30*U5845))+Tabla14[[#This Row],[VALOR CUOTAS]]</f>
        <v>#VALUE!</v>
      </c>
      <c r="S5845" s="88">
        <f>-IF(Tabla14[[#This Row],[DIAS HABILES O MORA]]&lt;0,(Tabla14[[#This Row],[VALOR PRESTAMO]]*Tabla14[[#This Row],[% INTERES ]]/30*U5845))</f>
        <v>0</v>
      </c>
      <c r="T5845" s="53" t="e">
        <f>Tabla14[[#This Row],[DEUDA CAPITAL]]+Tabla14[[#This Row],[INTERES  CUOTA]]</f>
        <v>#NUM!</v>
      </c>
      <c r="U5845" s="61" t="str">
        <f t="shared" si="929"/>
        <v/>
      </c>
    </row>
    <row r="5846" spans="9:21" ht="24.75" customHeight="1" x14ac:dyDescent="0.35">
      <c r="I5846" s="42">
        <f t="shared" si="920"/>
        <v>0</v>
      </c>
      <c r="J5846" s="65" t="e">
        <f t="shared" si="921"/>
        <v>#NUM!</v>
      </c>
      <c r="K5846" s="83" t="e">
        <f t="shared" si="922"/>
        <v>#NUM!</v>
      </c>
      <c r="L5846" s="83">
        <f t="shared" si="923"/>
        <v>0</v>
      </c>
      <c r="M5846" s="110" t="str">
        <f t="shared" si="924"/>
        <v/>
      </c>
      <c r="N5846" s="51" t="str">
        <f t="shared" si="925"/>
        <v/>
      </c>
      <c r="O5846" s="52" t="str">
        <f t="shared" si="926"/>
        <v/>
      </c>
      <c r="P5846" s="88">
        <f t="shared" si="927"/>
        <v>0</v>
      </c>
      <c r="Q5846" s="88">
        <f t="shared" si="928"/>
        <v>0</v>
      </c>
      <c r="R5846" s="88" t="e">
        <f>-IF(Tabla14[[#This Row],[DIAS HABILES O MORA]]&lt;0,(Tabla14[[#This Row],[VALOR PRESTAMO]]*Tabla14[[#This Row],[% INTERES ]]/30*U5846))+Tabla14[[#This Row],[VALOR CUOTAS]]</f>
        <v>#VALUE!</v>
      </c>
      <c r="S5846" s="88">
        <f>-IF(Tabla14[[#This Row],[DIAS HABILES O MORA]]&lt;0,(Tabla14[[#This Row],[VALOR PRESTAMO]]*Tabla14[[#This Row],[% INTERES ]]/30*U5846))</f>
        <v>0</v>
      </c>
      <c r="T5846" s="53" t="e">
        <f>Tabla14[[#This Row],[DEUDA CAPITAL]]+Tabla14[[#This Row],[INTERES  CUOTA]]</f>
        <v>#NUM!</v>
      </c>
      <c r="U5846" s="61" t="str">
        <f t="shared" si="929"/>
        <v/>
      </c>
    </row>
    <row r="5847" spans="9:21" ht="24.75" customHeight="1" x14ac:dyDescent="0.35">
      <c r="I5847" s="42">
        <f t="shared" si="920"/>
        <v>0</v>
      </c>
      <c r="J5847" s="65" t="e">
        <f t="shared" si="921"/>
        <v>#NUM!</v>
      </c>
      <c r="K5847" s="83" t="e">
        <f t="shared" si="922"/>
        <v>#NUM!</v>
      </c>
      <c r="L5847" s="83">
        <f t="shared" si="923"/>
        <v>0</v>
      </c>
      <c r="M5847" s="110" t="str">
        <f t="shared" si="924"/>
        <v/>
      </c>
      <c r="N5847" s="51" t="str">
        <f t="shared" si="925"/>
        <v/>
      </c>
      <c r="O5847" s="52" t="str">
        <f t="shared" si="926"/>
        <v/>
      </c>
      <c r="P5847" s="88">
        <f t="shared" si="927"/>
        <v>0</v>
      </c>
      <c r="Q5847" s="88">
        <f t="shared" si="928"/>
        <v>0</v>
      </c>
      <c r="R5847" s="88" t="e">
        <f>-IF(Tabla14[[#This Row],[DIAS HABILES O MORA]]&lt;0,(Tabla14[[#This Row],[VALOR PRESTAMO]]*Tabla14[[#This Row],[% INTERES ]]/30*U5847))+Tabla14[[#This Row],[VALOR CUOTAS]]</f>
        <v>#VALUE!</v>
      </c>
      <c r="S5847" s="88">
        <f>-IF(Tabla14[[#This Row],[DIAS HABILES O MORA]]&lt;0,(Tabla14[[#This Row],[VALOR PRESTAMO]]*Tabla14[[#This Row],[% INTERES ]]/30*U5847))</f>
        <v>0</v>
      </c>
      <c r="T5847" s="53" t="e">
        <f>Tabla14[[#This Row],[DEUDA CAPITAL]]+Tabla14[[#This Row],[INTERES  CUOTA]]</f>
        <v>#NUM!</v>
      </c>
      <c r="U5847" s="61" t="str">
        <f t="shared" si="929"/>
        <v/>
      </c>
    </row>
    <row r="5848" spans="9:21" ht="24.75" customHeight="1" x14ac:dyDescent="0.35">
      <c r="I5848" s="42">
        <f t="shared" si="920"/>
        <v>0</v>
      </c>
      <c r="J5848" s="65" t="e">
        <f t="shared" si="921"/>
        <v>#NUM!</v>
      </c>
      <c r="K5848" s="83" t="e">
        <f t="shared" si="922"/>
        <v>#NUM!</v>
      </c>
      <c r="L5848" s="83">
        <f t="shared" si="923"/>
        <v>0</v>
      </c>
      <c r="M5848" s="110" t="str">
        <f t="shared" si="924"/>
        <v/>
      </c>
      <c r="N5848" s="51" t="str">
        <f t="shared" si="925"/>
        <v/>
      </c>
      <c r="O5848" s="52" t="str">
        <f t="shared" si="926"/>
        <v/>
      </c>
      <c r="P5848" s="88">
        <f t="shared" si="927"/>
        <v>0</v>
      </c>
      <c r="Q5848" s="88">
        <f t="shared" si="928"/>
        <v>0</v>
      </c>
      <c r="R5848" s="88" t="e">
        <f>-IF(Tabla14[[#This Row],[DIAS HABILES O MORA]]&lt;0,(Tabla14[[#This Row],[VALOR PRESTAMO]]*Tabla14[[#This Row],[% INTERES ]]/30*U5848))+Tabla14[[#This Row],[VALOR CUOTAS]]</f>
        <v>#VALUE!</v>
      </c>
      <c r="S5848" s="88">
        <f>-IF(Tabla14[[#This Row],[DIAS HABILES O MORA]]&lt;0,(Tabla14[[#This Row],[VALOR PRESTAMO]]*Tabla14[[#This Row],[% INTERES ]]/30*U5848))</f>
        <v>0</v>
      </c>
      <c r="T5848" s="53" t="e">
        <f>Tabla14[[#This Row],[DEUDA CAPITAL]]+Tabla14[[#This Row],[INTERES  CUOTA]]</f>
        <v>#NUM!</v>
      </c>
      <c r="U5848" s="61" t="str">
        <f t="shared" si="929"/>
        <v/>
      </c>
    </row>
    <row r="5849" spans="9:21" ht="24.75" customHeight="1" x14ac:dyDescent="0.35">
      <c r="I5849" s="42">
        <f t="shared" si="920"/>
        <v>0</v>
      </c>
      <c r="J5849" s="65" t="e">
        <f t="shared" si="921"/>
        <v>#NUM!</v>
      </c>
      <c r="K5849" s="83" t="e">
        <f t="shared" si="922"/>
        <v>#NUM!</v>
      </c>
      <c r="L5849" s="83">
        <f t="shared" si="923"/>
        <v>0</v>
      </c>
      <c r="M5849" s="110" t="str">
        <f t="shared" si="924"/>
        <v/>
      </c>
      <c r="N5849" s="51" t="str">
        <f t="shared" si="925"/>
        <v/>
      </c>
      <c r="O5849" s="52" t="str">
        <f t="shared" si="926"/>
        <v/>
      </c>
      <c r="P5849" s="88">
        <f t="shared" si="927"/>
        <v>0</v>
      </c>
      <c r="Q5849" s="88">
        <f t="shared" si="928"/>
        <v>0</v>
      </c>
      <c r="R5849" s="88" t="e">
        <f>-IF(Tabla14[[#This Row],[DIAS HABILES O MORA]]&lt;0,(Tabla14[[#This Row],[VALOR PRESTAMO]]*Tabla14[[#This Row],[% INTERES ]]/30*U5849))+Tabla14[[#This Row],[VALOR CUOTAS]]</f>
        <v>#VALUE!</v>
      </c>
      <c r="S5849" s="88">
        <f>-IF(Tabla14[[#This Row],[DIAS HABILES O MORA]]&lt;0,(Tabla14[[#This Row],[VALOR PRESTAMO]]*Tabla14[[#This Row],[% INTERES ]]/30*U5849))</f>
        <v>0</v>
      </c>
      <c r="T5849" s="53" t="e">
        <f>Tabla14[[#This Row],[DEUDA CAPITAL]]+Tabla14[[#This Row],[INTERES  CUOTA]]</f>
        <v>#NUM!</v>
      </c>
      <c r="U5849" s="61" t="str">
        <f t="shared" si="929"/>
        <v/>
      </c>
    </row>
    <row r="5850" spans="9:21" ht="24.75" customHeight="1" x14ac:dyDescent="0.35">
      <c r="I5850" s="42">
        <f t="shared" si="920"/>
        <v>0</v>
      </c>
      <c r="J5850" s="65" t="e">
        <f t="shared" si="921"/>
        <v>#NUM!</v>
      </c>
      <c r="K5850" s="83" t="e">
        <f t="shared" si="922"/>
        <v>#NUM!</v>
      </c>
      <c r="L5850" s="83">
        <f t="shared" si="923"/>
        <v>0</v>
      </c>
      <c r="M5850" s="110" t="str">
        <f t="shared" si="924"/>
        <v/>
      </c>
      <c r="N5850" s="51" t="str">
        <f t="shared" si="925"/>
        <v/>
      </c>
      <c r="O5850" s="52" t="str">
        <f t="shared" si="926"/>
        <v/>
      </c>
      <c r="P5850" s="88">
        <f t="shared" si="927"/>
        <v>0</v>
      </c>
      <c r="Q5850" s="88">
        <f t="shared" si="928"/>
        <v>0</v>
      </c>
      <c r="R5850" s="88" t="e">
        <f>-IF(Tabla14[[#This Row],[DIAS HABILES O MORA]]&lt;0,(Tabla14[[#This Row],[VALOR PRESTAMO]]*Tabla14[[#This Row],[% INTERES ]]/30*U5850))+Tabla14[[#This Row],[VALOR CUOTAS]]</f>
        <v>#VALUE!</v>
      </c>
      <c r="S5850" s="88">
        <f>-IF(Tabla14[[#This Row],[DIAS HABILES O MORA]]&lt;0,(Tabla14[[#This Row],[VALOR PRESTAMO]]*Tabla14[[#This Row],[% INTERES ]]/30*U5850))</f>
        <v>0</v>
      </c>
      <c r="T5850" s="53" t="e">
        <f>Tabla14[[#This Row],[DEUDA CAPITAL]]+Tabla14[[#This Row],[INTERES  CUOTA]]</f>
        <v>#NUM!</v>
      </c>
      <c r="U5850" s="61" t="str">
        <f t="shared" si="929"/>
        <v/>
      </c>
    </row>
    <row r="5851" spans="9:21" ht="24.75" customHeight="1" x14ac:dyDescent="0.35">
      <c r="I5851" s="42">
        <f t="shared" si="920"/>
        <v>0</v>
      </c>
      <c r="J5851" s="65" t="e">
        <f t="shared" si="921"/>
        <v>#NUM!</v>
      </c>
      <c r="K5851" s="83" t="e">
        <f t="shared" si="922"/>
        <v>#NUM!</v>
      </c>
      <c r="L5851" s="83">
        <f t="shared" si="923"/>
        <v>0</v>
      </c>
      <c r="M5851" s="110" t="str">
        <f t="shared" si="924"/>
        <v/>
      </c>
      <c r="N5851" s="51" t="str">
        <f t="shared" si="925"/>
        <v/>
      </c>
      <c r="O5851" s="52" t="str">
        <f t="shared" si="926"/>
        <v/>
      </c>
      <c r="P5851" s="88">
        <f t="shared" si="927"/>
        <v>0</v>
      </c>
      <c r="Q5851" s="88">
        <f t="shared" si="928"/>
        <v>0</v>
      </c>
      <c r="R5851" s="88" t="e">
        <f>-IF(Tabla14[[#This Row],[DIAS HABILES O MORA]]&lt;0,(Tabla14[[#This Row],[VALOR PRESTAMO]]*Tabla14[[#This Row],[% INTERES ]]/30*U5851))+Tabla14[[#This Row],[VALOR CUOTAS]]</f>
        <v>#VALUE!</v>
      </c>
      <c r="S5851" s="88">
        <f>-IF(Tabla14[[#This Row],[DIAS HABILES O MORA]]&lt;0,(Tabla14[[#This Row],[VALOR PRESTAMO]]*Tabla14[[#This Row],[% INTERES ]]/30*U5851))</f>
        <v>0</v>
      </c>
      <c r="T5851" s="53" t="e">
        <f>Tabla14[[#This Row],[DEUDA CAPITAL]]+Tabla14[[#This Row],[INTERES  CUOTA]]</f>
        <v>#NUM!</v>
      </c>
      <c r="U5851" s="61" t="str">
        <f t="shared" si="929"/>
        <v/>
      </c>
    </row>
    <row r="5852" spans="9:21" ht="24.75" customHeight="1" x14ac:dyDescent="0.35">
      <c r="I5852" s="42">
        <f t="shared" si="920"/>
        <v>0</v>
      </c>
      <c r="J5852" s="65" t="e">
        <f t="shared" si="921"/>
        <v>#NUM!</v>
      </c>
      <c r="K5852" s="83" t="e">
        <f t="shared" si="922"/>
        <v>#NUM!</v>
      </c>
      <c r="L5852" s="83">
        <f t="shared" si="923"/>
        <v>0</v>
      </c>
      <c r="M5852" s="110" t="str">
        <f t="shared" si="924"/>
        <v/>
      </c>
      <c r="N5852" s="51" t="str">
        <f t="shared" si="925"/>
        <v/>
      </c>
      <c r="O5852" s="52" t="str">
        <f t="shared" si="926"/>
        <v/>
      </c>
      <c r="P5852" s="88">
        <f t="shared" si="927"/>
        <v>0</v>
      </c>
      <c r="Q5852" s="88">
        <f t="shared" si="928"/>
        <v>0</v>
      </c>
      <c r="R5852" s="88" t="e">
        <f>-IF(Tabla14[[#This Row],[DIAS HABILES O MORA]]&lt;0,(Tabla14[[#This Row],[VALOR PRESTAMO]]*Tabla14[[#This Row],[% INTERES ]]/30*U5852))+Tabla14[[#This Row],[VALOR CUOTAS]]</f>
        <v>#VALUE!</v>
      </c>
      <c r="S5852" s="88">
        <f>-IF(Tabla14[[#This Row],[DIAS HABILES O MORA]]&lt;0,(Tabla14[[#This Row],[VALOR PRESTAMO]]*Tabla14[[#This Row],[% INTERES ]]/30*U5852))</f>
        <v>0</v>
      </c>
      <c r="T5852" s="53" t="e">
        <f>Tabla14[[#This Row],[DEUDA CAPITAL]]+Tabla14[[#This Row],[INTERES  CUOTA]]</f>
        <v>#NUM!</v>
      </c>
      <c r="U5852" s="61" t="str">
        <f t="shared" si="929"/>
        <v/>
      </c>
    </row>
    <row r="5853" spans="9:21" ht="24.75" customHeight="1" x14ac:dyDescent="0.35">
      <c r="I5853" s="42">
        <f t="shared" si="920"/>
        <v>0</v>
      </c>
      <c r="J5853" s="65" t="e">
        <f t="shared" si="921"/>
        <v>#NUM!</v>
      </c>
      <c r="K5853" s="83" t="e">
        <f t="shared" si="922"/>
        <v>#NUM!</v>
      </c>
      <c r="L5853" s="83">
        <f t="shared" si="923"/>
        <v>0</v>
      </c>
      <c r="M5853" s="110" t="str">
        <f t="shared" si="924"/>
        <v/>
      </c>
      <c r="N5853" s="51" t="str">
        <f t="shared" si="925"/>
        <v/>
      </c>
      <c r="O5853" s="52" t="str">
        <f t="shared" si="926"/>
        <v/>
      </c>
      <c r="P5853" s="88">
        <f t="shared" si="927"/>
        <v>0</v>
      </c>
      <c r="Q5853" s="88">
        <f t="shared" si="928"/>
        <v>0</v>
      </c>
      <c r="R5853" s="88" t="e">
        <f>-IF(Tabla14[[#This Row],[DIAS HABILES O MORA]]&lt;0,(Tabla14[[#This Row],[VALOR PRESTAMO]]*Tabla14[[#This Row],[% INTERES ]]/30*U5853))+Tabla14[[#This Row],[VALOR CUOTAS]]</f>
        <v>#VALUE!</v>
      </c>
      <c r="S5853" s="88">
        <f>-IF(Tabla14[[#This Row],[DIAS HABILES O MORA]]&lt;0,(Tabla14[[#This Row],[VALOR PRESTAMO]]*Tabla14[[#This Row],[% INTERES ]]/30*U5853))</f>
        <v>0</v>
      </c>
      <c r="T5853" s="53" t="e">
        <f>Tabla14[[#This Row],[DEUDA CAPITAL]]+Tabla14[[#This Row],[INTERES  CUOTA]]</f>
        <v>#NUM!</v>
      </c>
      <c r="U5853" s="61" t="str">
        <f t="shared" si="929"/>
        <v/>
      </c>
    </row>
    <row r="5854" spans="9:21" ht="24.75" customHeight="1" x14ac:dyDescent="0.35">
      <c r="I5854" s="42">
        <f t="shared" si="920"/>
        <v>0</v>
      </c>
      <c r="J5854" s="65" t="e">
        <f t="shared" si="921"/>
        <v>#NUM!</v>
      </c>
      <c r="K5854" s="83" t="e">
        <f t="shared" si="922"/>
        <v>#NUM!</v>
      </c>
      <c r="L5854" s="83">
        <f t="shared" si="923"/>
        <v>0</v>
      </c>
      <c r="M5854" s="110" t="str">
        <f t="shared" si="924"/>
        <v/>
      </c>
      <c r="N5854" s="51" t="str">
        <f t="shared" si="925"/>
        <v/>
      </c>
      <c r="O5854" s="52" t="str">
        <f t="shared" si="926"/>
        <v/>
      </c>
      <c r="P5854" s="88">
        <f t="shared" si="927"/>
        <v>0</v>
      </c>
      <c r="Q5854" s="88">
        <f t="shared" si="928"/>
        <v>0</v>
      </c>
      <c r="R5854" s="88" t="e">
        <f>-IF(Tabla14[[#This Row],[DIAS HABILES O MORA]]&lt;0,(Tabla14[[#This Row],[VALOR PRESTAMO]]*Tabla14[[#This Row],[% INTERES ]]/30*U5854))+Tabla14[[#This Row],[VALOR CUOTAS]]</f>
        <v>#VALUE!</v>
      </c>
      <c r="S5854" s="88">
        <f>-IF(Tabla14[[#This Row],[DIAS HABILES O MORA]]&lt;0,(Tabla14[[#This Row],[VALOR PRESTAMO]]*Tabla14[[#This Row],[% INTERES ]]/30*U5854))</f>
        <v>0</v>
      </c>
      <c r="T5854" s="53" t="e">
        <f>Tabla14[[#This Row],[DEUDA CAPITAL]]+Tabla14[[#This Row],[INTERES  CUOTA]]</f>
        <v>#NUM!</v>
      </c>
      <c r="U5854" s="61" t="str">
        <f t="shared" si="929"/>
        <v/>
      </c>
    </row>
    <row r="5855" spans="9:21" ht="24.75" customHeight="1" x14ac:dyDescent="0.35">
      <c r="I5855" s="42">
        <f t="shared" si="920"/>
        <v>0</v>
      </c>
      <c r="J5855" s="65" t="e">
        <f t="shared" si="921"/>
        <v>#NUM!</v>
      </c>
      <c r="K5855" s="83" t="e">
        <f t="shared" si="922"/>
        <v>#NUM!</v>
      </c>
      <c r="L5855" s="83">
        <f t="shared" si="923"/>
        <v>0</v>
      </c>
      <c r="M5855" s="110" t="str">
        <f t="shared" si="924"/>
        <v/>
      </c>
      <c r="N5855" s="51" t="str">
        <f t="shared" si="925"/>
        <v/>
      </c>
      <c r="O5855" s="52" t="str">
        <f t="shared" si="926"/>
        <v/>
      </c>
      <c r="P5855" s="88">
        <f t="shared" si="927"/>
        <v>0</v>
      </c>
      <c r="Q5855" s="88">
        <f t="shared" si="928"/>
        <v>0</v>
      </c>
      <c r="R5855" s="88" t="e">
        <f>-IF(Tabla14[[#This Row],[DIAS HABILES O MORA]]&lt;0,(Tabla14[[#This Row],[VALOR PRESTAMO]]*Tabla14[[#This Row],[% INTERES ]]/30*U5855))+Tabla14[[#This Row],[VALOR CUOTAS]]</f>
        <v>#VALUE!</v>
      </c>
      <c r="S5855" s="88">
        <f>-IF(Tabla14[[#This Row],[DIAS HABILES O MORA]]&lt;0,(Tabla14[[#This Row],[VALOR PRESTAMO]]*Tabla14[[#This Row],[% INTERES ]]/30*U5855))</f>
        <v>0</v>
      </c>
      <c r="T5855" s="53" t="e">
        <f>Tabla14[[#This Row],[DEUDA CAPITAL]]+Tabla14[[#This Row],[INTERES  CUOTA]]</f>
        <v>#NUM!</v>
      </c>
      <c r="U5855" s="61" t="str">
        <f t="shared" si="929"/>
        <v/>
      </c>
    </row>
    <row r="5856" spans="9:21" ht="24.75" customHeight="1" x14ac:dyDescent="0.35">
      <c r="I5856" s="42">
        <f t="shared" si="920"/>
        <v>0</v>
      </c>
      <c r="J5856" s="65" t="e">
        <f t="shared" si="921"/>
        <v>#NUM!</v>
      </c>
      <c r="K5856" s="83" t="e">
        <f t="shared" si="922"/>
        <v>#NUM!</v>
      </c>
      <c r="L5856" s="83">
        <f t="shared" si="923"/>
        <v>0</v>
      </c>
      <c r="M5856" s="110" t="str">
        <f t="shared" si="924"/>
        <v/>
      </c>
      <c r="N5856" s="51" t="str">
        <f t="shared" si="925"/>
        <v/>
      </c>
      <c r="O5856" s="52" t="str">
        <f t="shared" si="926"/>
        <v/>
      </c>
      <c r="P5856" s="88">
        <f t="shared" si="927"/>
        <v>0</v>
      </c>
      <c r="Q5856" s="88">
        <f t="shared" si="928"/>
        <v>0</v>
      </c>
      <c r="R5856" s="88" t="e">
        <f>-IF(Tabla14[[#This Row],[DIAS HABILES O MORA]]&lt;0,(Tabla14[[#This Row],[VALOR PRESTAMO]]*Tabla14[[#This Row],[% INTERES ]]/30*U5856))+Tabla14[[#This Row],[VALOR CUOTAS]]</f>
        <v>#VALUE!</v>
      </c>
      <c r="S5856" s="88">
        <f>-IF(Tabla14[[#This Row],[DIAS HABILES O MORA]]&lt;0,(Tabla14[[#This Row],[VALOR PRESTAMO]]*Tabla14[[#This Row],[% INTERES ]]/30*U5856))</f>
        <v>0</v>
      </c>
      <c r="T5856" s="53" t="e">
        <f>Tabla14[[#This Row],[DEUDA CAPITAL]]+Tabla14[[#This Row],[INTERES  CUOTA]]</f>
        <v>#NUM!</v>
      </c>
      <c r="U5856" s="61" t="str">
        <f t="shared" si="929"/>
        <v/>
      </c>
    </row>
    <row r="5857" spans="9:21" ht="24.75" customHeight="1" x14ac:dyDescent="0.35">
      <c r="I5857" s="42">
        <f t="shared" si="920"/>
        <v>0</v>
      </c>
      <c r="J5857" s="65" t="e">
        <f t="shared" si="921"/>
        <v>#NUM!</v>
      </c>
      <c r="K5857" s="83" t="e">
        <f t="shared" si="922"/>
        <v>#NUM!</v>
      </c>
      <c r="L5857" s="83">
        <f t="shared" si="923"/>
        <v>0</v>
      </c>
      <c r="M5857" s="110" t="str">
        <f t="shared" si="924"/>
        <v/>
      </c>
      <c r="N5857" s="51" t="str">
        <f t="shared" si="925"/>
        <v/>
      </c>
      <c r="O5857" s="52" t="str">
        <f t="shared" si="926"/>
        <v/>
      </c>
      <c r="P5857" s="88">
        <f t="shared" si="927"/>
        <v>0</v>
      </c>
      <c r="Q5857" s="88">
        <f t="shared" si="928"/>
        <v>0</v>
      </c>
      <c r="R5857" s="88" t="e">
        <f>-IF(Tabla14[[#This Row],[DIAS HABILES O MORA]]&lt;0,(Tabla14[[#This Row],[VALOR PRESTAMO]]*Tabla14[[#This Row],[% INTERES ]]/30*U5857))+Tabla14[[#This Row],[VALOR CUOTAS]]</f>
        <v>#VALUE!</v>
      </c>
      <c r="S5857" s="88">
        <f>-IF(Tabla14[[#This Row],[DIAS HABILES O MORA]]&lt;0,(Tabla14[[#This Row],[VALOR PRESTAMO]]*Tabla14[[#This Row],[% INTERES ]]/30*U5857))</f>
        <v>0</v>
      </c>
      <c r="T5857" s="53" t="e">
        <f>Tabla14[[#This Row],[DEUDA CAPITAL]]+Tabla14[[#This Row],[INTERES  CUOTA]]</f>
        <v>#NUM!</v>
      </c>
      <c r="U5857" s="61" t="str">
        <f t="shared" si="929"/>
        <v/>
      </c>
    </row>
    <row r="5858" spans="9:21" ht="24.75" customHeight="1" x14ac:dyDescent="0.35">
      <c r="I5858" s="42">
        <f t="shared" si="920"/>
        <v>0</v>
      </c>
      <c r="J5858" s="65" t="e">
        <f t="shared" si="921"/>
        <v>#NUM!</v>
      </c>
      <c r="K5858" s="83" t="e">
        <f t="shared" si="922"/>
        <v>#NUM!</v>
      </c>
      <c r="L5858" s="83">
        <f t="shared" si="923"/>
        <v>0</v>
      </c>
      <c r="M5858" s="110" t="str">
        <f t="shared" si="924"/>
        <v/>
      </c>
      <c r="N5858" s="51" t="str">
        <f t="shared" si="925"/>
        <v/>
      </c>
      <c r="O5858" s="52" t="str">
        <f t="shared" si="926"/>
        <v/>
      </c>
      <c r="P5858" s="88">
        <f t="shared" si="927"/>
        <v>0</v>
      </c>
      <c r="Q5858" s="88">
        <f t="shared" si="928"/>
        <v>0</v>
      </c>
      <c r="R5858" s="88" t="e">
        <f>-IF(Tabla14[[#This Row],[DIAS HABILES O MORA]]&lt;0,(Tabla14[[#This Row],[VALOR PRESTAMO]]*Tabla14[[#This Row],[% INTERES ]]/30*U5858))+Tabla14[[#This Row],[VALOR CUOTAS]]</f>
        <v>#VALUE!</v>
      </c>
      <c r="S5858" s="88">
        <f>-IF(Tabla14[[#This Row],[DIAS HABILES O MORA]]&lt;0,(Tabla14[[#This Row],[VALOR PRESTAMO]]*Tabla14[[#This Row],[% INTERES ]]/30*U5858))</f>
        <v>0</v>
      </c>
      <c r="T5858" s="53" t="e">
        <f>Tabla14[[#This Row],[DEUDA CAPITAL]]+Tabla14[[#This Row],[INTERES  CUOTA]]</f>
        <v>#NUM!</v>
      </c>
      <c r="U5858" s="61" t="str">
        <f t="shared" si="929"/>
        <v/>
      </c>
    </row>
    <row r="5859" spans="9:21" ht="24.75" customHeight="1" x14ac:dyDescent="0.35">
      <c r="I5859" s="42">
        <f t="shared" si="920"/>
        <v>0</v>
      </c>
      <c r="J5859" s="65" t="e">
        <f t="shared" si="921"/>
        <v>#NUM!</v>
      </c>
      <c r="K5859" s="83" t="e">
        <f t="shared" si="922"/>
        <v>#NUM!</v>
      </c>
      <c r="L5859" s="83">
        <f t="shared" si="923"/>
        <v>0</v>
      </c>
      <c r="M5859" s="110" t="str">
        <f t="shared" si="924"/>
        <v/>
      </c>
      <c r="N5859" s="51" t="str">
        <f t="shared" si="925"/>
        <v/>
      </c>
      <c r="O5859" s="52" t="str">
        <f t="shared" si="926"/>
        <v/>
      </c>
      <c r="P5859" s="88">
        <f t="shared" si="927"/>
        <v>0</v>
      </c>
      <c r="Q5859" s="88">
        <f t="shared" si="928"/>
        <v>0</v>
      </c>
      <c r="R5859" s="88" t="e">
        <f>-IF(Tabla14[[#This Row],[DIAS HABILES O MORA]]&lt;0,(Tabla14[[#This Row],[VALOR PRESTAMO]]*Tabla14[[#This Row],[% INTERES ]]/30*U5859))+Tabla14[[#This Row],[VALOR CUOTAS]]</f>
        <v>#VALUE!</v>
      </c>
      <c r="S5859" s="88">
        <f>-IF(Tabla14[[#This Row],[DIAS HABILES O MORA]]&lt;0,(Tabla14[[#This Row],[VALOR PRESTAMO]]*Tabla14[[#This Row],[% INTERES ]]/30*U5859))</f>
        <v>0</v>
      </c>
      <c r="T5859" s="53" t="e">
        <f>Tabla14[[#This Row],[DEUDA CAPITAL]]+Tabla14[[#This Row],[INTERES  CUOTA]]</f>
        <v>#NUM!</v>
      </c>
      <c r="U5859" s="61" t="str">
        <f t="shared" si="929"/>
        <v/>
      </c>
    </row>
    <row r="5860" spans="9:21" ht="24.75" customHeight="1" x14ac:dyDescent="0.35">
      <c r="I5860" s="42">
        <f t="shared" si="920"/>
        <v>0</v>
      </c>
      <c r="J5860" s="65" t="e">
        <f t="shared" si="921"/>
        <v>#NUM!</v>
      </c>
      <c r="K5860" s="83" t="e">
        <f t="shared" si="922"/>
        <v>#NUM!</v>
      </c>
      <c r="L5860" s="83">
        <f t="shared" si="923"/>
        <v>0</v>
      </c>
      <c r="M5860" s="110" t="str">
        <f t="shared" si="924"/>
        <v/>
      </c>
      <c r="N5860" s="51" t="str">
        <f t="shared" si="925"/>
        <v/>
      </c>
      <c r="O5860" s="52" t="str">
        <f t="shared" si="926"/>
        <v/>
      </c>
      <c r="P5860" s="88">
        <f t="shared" si="927"/>
        <v>0</v>
      </c>
      <c r="Q5860" s="88">
        <f t="shared" si="928"/>
        <v>0</v>
      </c>
      <c r="R5860" s="88" t="e">
        <f>-IF(Tabla14[[#This Row],[DIAS HABILES O MORA]]&lt;0,(Tabla14[[#This Row],[VALOR PRESTAMO]]*Tabla14[[#This Row],[% INTERES ]]/30*U5860))+Tabla14[[#This Row],[VALOR CUOTAS]]</f>
        <v>#VALUE!</v>
      </c>
      <c r="S5860" s="88">
        <f>-IF(Tabla14[[#This Row],[DIAS HABILES O MORA]]&lt;0,(Tabla14[[#This Row],[VALOR PRESTAMO]]*Tabla14[[#This Row],[% INTERES ]]/30*U5860))</f>
        <v>0</v>
      </c>
      <c r="T5860" s="53" t="e">
        <f>Tabla14[[#This Row],[DEUDA CAPITAL]]+Tabla14[[#This Row],[INTERES  CUOTA]]</f>
        <v>#NUM!</v>
      </c>
      <c r="U5860" s="61" t="str">
        <f t="shared" si="929"/>
        <v/>
      </c>
    </row>
    <row r="5861" spans="9:21" ht="24.75" customHeight="1" x14ac:dyDescent="0.35">
      <c r="I5861" s="42">
        <f t="shared" si="920"/>
        <v>0</v>
      </c>
      <c r="J5861" s="65" t="e">
        <f t="shared" si="921"/>
        <v>#NUM!</v>
      </c>
      <c r="K5861" s="83" t="e">
        <f t="shared" si="922"/>
        <v>#NUM!</v>
      </c>
      <c r="L5861" s="83">
        <f t="shared" si="923"/>
        <v>0</v>
      </c>
      <c r="M5861" s="110" t="str">
        <f t="shared" si="924"/>
        <v/>
      </c>
      <c r="N5861" s="51" t="str">
        <f t="shared" si="925"/>
        <v/>
      </c>
      <c r="O5861" s="52" t="str">
        <f t="shared" si="926"/>
        <v/>
      </c>
      <c r="P5861" s="88">
        <f t="shared" si="927"/>
        <v>0</v>
      </c>
      <c r="Q5861" s="88">
        <f t="shared" si="928"/>
        <v>0</v>
      </c>
      <c r="R5861" s="88" t="e">
        <f>-IF(Tabla14[[#This Row],[DIAS HABILES O MORA]]&lt;0,(Tabla14[[#This Row],[VALOR PRESTAMO]]*Tabla14[[#This Row],[% INTERES ]]/30*U5861))+Tabla14[[#This Row],[VALOR CUOTAS]]</f>
        <v>#VALUE!</v>
      </c>
      <c r="S5861" s="88">
        <f>-IF(Tabla14[[#This Row],[DIAS HABILES O MORA]]&lt;0,(Tabla14[[#This Row],[VALOR PRESTAMO]]*Tabla14[[#This Row],[% INTERES ]]/30*U5861))</f>
        <v>0</v>
      </c>
      <c r="T5861" s="53" t="e">
        <f>Tabla14[[#This Row],[DEUDA CAPITAL]]+Tabla14[[#This Row],[INTERES  CUOTA]]</f>
        <v>#NUM!</v>
      </c>
      <c r="U5861" s="61" t="str">
        <f t="shared" si="929"/>
        <v/>
      </c>
    </row>
    <row r="5862" spans="9:21" ht="24.75" customHeight="1" x14ac:dyDescent="0.35">
      <c r="I5862" s="42">
        <f t="shared" si="920"/>
        <v>0</v>
      </c>
      <c r="J5862" s="65" t="e">
        <f t="shared" si="921"/>
        <v>#NUM!</v>
      </c>
      <c r="K5862" s="83" t="e">
        <f t="shared" si="922"/>
        <v>#NUM!</v>
      </c>
      <c r="L5862" s="83">
        <f t="shared" si="923"/>
        <v>0</v>
      </c>
      <c r="M5862" s="110" t="str">
        <f t="shared" si="924"/>
        <v/>
      </c>
      <c r="N5862" s="51" t="str">
        <f t="shared" si="925"/>
        <v/>
      </c>
      <c r="O5862" s="52" t="str">
        <f t="shared" si="926"/>
        <v/>
      </c>
      <c r="P5862" s="88">
        <f t="shared" si="927"/>
        <v>0</v>
      </c>
      <c r="Q5862" s="88">
        <f t="shared" si="928"/>
        <v>0</v>
      </c>
      <c r="R5862" s="88" t="e">
        <f>-IF(Tabla14[[#This Row],[DIAS HABILES O MORA]]&lt;0,(Tabla14[[#This Row],[VALOR PRESTAMO]]*Tabla14[[#This Row],[% INTERES ]]/30*U5862))+Tabla14[[#This Row],[VALOR CUOTAS]]</f>
        <v>#VALUE!</v>
      </c>
      <c r="S5862" s="88">
        <f>-IF(Tabla14[[#This Row],[DIAS HABILES O MORA]]&lt;0,(Tabla14[[#This Row],[VALOR PRESTAMO]]*Tabla14[[#This Row],[% INTERES ]]/30*U5862))</f>
        <v>0</v>
      </c>
      <c r="T5862" s="53" t="e">
        <f>Tabla14[[#This Row],[DEUDA CAPITAL]]+Tabla14[[#This Row],[INTERES  CUOTA]]</f>
        <v>#NUM!</v>
      </c>
      <c r="U5862" s="61" t="str">
        <f t="shared" si="929"/>
        <v/>
      </c>
    </row>
    <row r="5863" spans="9:21" ht="24.75" customHeight="1" x14ac:dyDescent="0.35">
      <c r="I5863" s="42">
        <f t="shared" si="920"/>
        <v>0</v>
      </c>
      <c r="J5863" s="65" t="e">
        <f t="shared" si="921"/>
        <v>#NUM!</v>
      </c>
      <c r="K5863" s="83" t="e">
        <f t="shared" si="922"/>
        <v>#NUM!</v>
      </c>
      <c r="L5863" s="83">
        <f t="shared" si="923"/>
        <v>0</v>
      </c>
      <c r="M5863" s="110" t="str">
        <f t="shared" si="924"/>
        <v/>
      </c>
      <c r="N5863" s="51" t="str">
        <f t="shared" si="925"/>
        <v/>
      </c>
      <c r="O5863" s="52" t="str">
        <f t="shared" si="926"/>
        <v/>
      </c>
      <c r="P5863" s="88">
        <f t="shared" si="927"/>
        <v>0</v>
      </c>
      <c r="Q5863" s="88">
        <f t="shared" si="928"/>
        <v>0</v>
      </c>
      <c r="R5863" s="88" t="e">
        <f>-IF(Tabla14[[#This Row],[DIAS HABILES O MORA]]&lt;0,(Tabla14[[#This Row],[VALOR PRESTAMO]]*Tabla14[[#This Row],[% INTERES ]]/30*U5863))+Tabla14[[#This Row],[VALOR CUOTAS]]</f>
        <v>#VALUE!</v>
      </c>
      <c r="S5863" s="88">
        <f>-IF(Tabla14[[#This Row],[DIAS HABILES O MORA]]&lt;0,(Tabla14[[#This Row],[VALOR PRESTAMO]]*Tabla14[[#This Row],[% INTERES ]]/30*U5863))</f>
        <v>0</v>
      </c>
      <c r="T5863" s="53" t="e">
        <f>Tabla14[[#This Row],[DEUDA CAPITAL]]+Tabla14[[#This Row],[INTERES  CUOTA]]</f>
        <v>#NUM!</v>
      </c>
      <c r="U5863" s="61" t="str">
        <f t="shared" si="929"/>
        <v/>
      </c>
    </row>
    <row r="5864" spans="9:21" ht="24.75" customHeight="1" x14ac:dyDescent="0.35">
      <c r="I5864" s="42">
        <f t="shared" si="920"/>
        <v>0</v>
      </c>
      <c r="J5864" s="65" t="e">
        <f t="shared" si="921"/>
        <v>#NUM!</v>
      </c>
      <c r="K5864" s="83" t="e">
        <f t="shared" si="922"/>
        <v>#NUM!</v>
      </c>
      <c r="L5864" s="83">
        <f t="shared" si="923"/>
        <v>0</v>
      </c>
      <c r="M5864" s="110" t="str">
        <f t="shared" si="924"/>
        <v/>
      </c>
      <c r="N5864" s="51" t="str">
        <f t="shared" si="925"/>
        <v/>
      </c>
      <c r="O5864" s="52" t="str">
        <f t="shared" si="926"/>
        <v/>
      </c>
      <c r="P5864" s="88">
        <f t="shared" si="927"/>
        <v>0</v>
      </c>
      <c r="Q5864" s="88">
        <f t="shared" si="928"/>
        <v>0</v>
      </c>
      <c r="R5864" s="88" t="e">
        <f>-IF(Tabla14[[#This Row],[DIAS HABILES O MORA]]&lt;0,(Tabla14[[#This Row],[VALOR PRESTAMO]]*Tabla14[[#This Row],[% INTERES ]]/30*U5864))+Tabla14[[#This Row],[VALOR CUOTAS]]</f>
        <v>#VALUE!</v>
      </c>
      <c r="S5864" s="88">
        <f>-IF(Tabla14[[#This Row],[DIAS HABILES O MORA]]&lt;0,(Tabla14[[#This Row],[VALOR PRESTAMO]]*Tabla14[[#This Row],[% INTERES ]]/30*U5864))</f>
        <v>0</v>
      </c>
      <c r="T5864" s="53" t="e">
        <f>Tabla14[[#This Row],[DEUDA CAPITAL]]+Tabla14[[#This Row],[INTERES  CUOTA]]</f>
        <v>#NUM!</v>
      </c>
      <c r="U5864" s="61" t="str">
        <f t="shared" si="929"/>
        <v/>
      </c>
    </row>
    <row r="5865" spans="9:21" ht="24.75" customHeight="1" x14ac:dyDescent="0.35">
      <c r="I5865" s="42">
        <f t="shared" si="920"/>
        <v>0</v>
      </c>
      <c r="J5865" s="65" t="e">
        <f t="shared" si="921"/>
        <v>#NUM!</v>
      </c>
      <c r="K5865" s="83" t="e">
        <f t="shared" si="922"/>
        <v>#NUM!</v>
      </c>
      <c r="L5865" s="83">
        <f t="shared" si="923"/>
        <v>0</v>
      </c>
      <c r="M5865" s="110" t="str">
        <f t="shared" si="924"/>
        <v/>
      </c>
      <c r="N5865" s="51" t="str">
        <f t="shared" si="925"/>
        <v/>
      </c>
      <c r="O5865" s="52" t="str">
        <f t="shared" si="926"/>
        <v/>
      </c>
      <c r="P5865" s="88">
        <f t="shared" si="927"/>
        <v>0</v>
      </c>
      <c r="Q5865" s="88">
        <f t="shared" si="928"/>
        <v>0</v>
      </c>
      <c r="R5865" s="88" t="e">
        <f>-IF(Tabla14[[#This Row],[DIAS HABILES O MORA]]&lt;0,(Tabla14[[#This Row],[VALOR PRESTAMO]]*Tabla14[[#This Row],[% INTERES ]]/30*U5865))+Tabla14[[#This Row],[VALOR CUOTAS]]</f>
        <v>#VALUE!</v>
      </c>
      <c r="S5865" s="88">
        <f>-IF(Tabla14[[#This Row],[DIAS HABILES O MORA]]&lt;0,(Tabla14[[#This Row],[VALOR PRESTAMO]]*Tabla14[[#This Row],[% INTERES ]]/30*U5865))</f>
        <v>0</v>
      </c>
      <c r="T5865" s="53" t="e">
        <f>Tabla14[[#This Row],[DEUDA CAPITAL]]+Tabla14[[#This Row],[INTERES  CUOTA]]</f>
        <v>#NUM!</v>
      </c>
      <c r="U5865" s="61" t="str">
        <f t="shared" si="929"/>
        <v/>
      </c>
    </row>
    <row r="5866" spans="9:21" ht="24.75" customHeight="1" x14ac:dyDescent="0.35">
      <c r="I5866" s="42">
        <f t="shared" si="920"/>
        <v>0</v>
      </c>
      <c r="J5866" s="65" t="e">
        <f t="shared" si="921"/>
        <v>#NUM!</v>
      </c>
      <c r="K5866" s="83" t="e">
        <f t="shared" si="922"/>
        <v>#NUM!</v>
      </c>
      <c r="L5866" s="83">
        <f t="shared" si="923"/>
        <v>0</v>
      </c>
      <c r="M5866" s="110" t="str">
        <f t="shared" si="924"/>
        <v/>
      </c>
      <c r="N5866" s="51" t="str">
        <f t="shared" si="925"/>
        <v/>
      </c>
      <c r="O5866" s="52" t="str">
        <f t="shared" si="926"/>
        <v/>
      </c>
      <c r="P5866" s="88">
        <f t="shared" si="927"/>
        <v>0</v>
      </c>
      <c r="Q5866" s="88">
        <f t="shared" si="928"/>
        <v>0</v>
      </c>
      <c r="R5866" s="88" t="e">
        <f>-IF(Tabla14[[#This Row],[DIAS HABILES O MORA]]&lt;0,(Tabla14[[#This Row],[VALOR PRESTAMO]]*Tabla14[[#This Row],[% INTERES ]]/30*U5866))+Tabla14[[#This Row],[VALOR CUOTAS]]</f>
        <v>#VALUE!</v>
      </c>
      <c r="S5866" s="88">
        <f>-IF(Tabla14[[#This Row],[DIAS HABILES O MORA]]&lt;0,(Tabla14[[#This Row],[VALOR PRESTAMO]]*Tabla14[[#This Row],[% INTERES ]]/30*U5866))</f>
        <v>0</v>
      </c>
      <c r="T5866" s="53" t="e">
        <f>Tabla14[[#This Row],[DEUDA CAPITAL]]+Tabla14[[#This Row],[INTERES  CUOTA]]</f>
        <v>#NUM!</v>
      </c>
      <c r="U5866" s="61" t="str">
        <f t="shared" si="929"/>
        <v/>
      </c>
    </row>
    <row r="5867" spans="9:21" ht="24.75" customHeight="1" x14ac:dyDescent="0.35">
      <c r="I5867" s="42">
        <f t="shared" si="920"/>
        <v>0</v>
      </c>
      <c r="J5867" s="65" t="e">
        <f t="shared" si="921"/>
        <v>#NUM!</v>
      </c>
      <c r="K5867" s="83" t="e">
        <f t="shared" si="922"/>
        <v>#NUM!</v>
      </c>
      <c r="L5867" s="83">
        <f t="shared" si="923"/>
        <v>0</v>
      </c>
      <c r="M5867" s="110" t="str">
        <f t="shared" si="924"/>
        <v/>
      </c>
      <c r="N5867" s="51" t="str">
        <f t="shared" si="925"/>
        <v/>
      </c>
      <c r="O5867" s="52" t="str">
        <f t="shared" si="926"/>
        <v/>
      </c>
      <c r="P5867" s="88">
        <f t="shared" si="927"/>
        <v>0</v>
      </c>
      <c r="Q5867" s="88">
        <f t="shared" si="928"/>
        <v>0</v>
      </c>
      <c r="R5867" s="88" t="e">
        <f>-IF(Tabla14[[#This Row],[DIAS HABILES O MORA]]&lt;0,(Tabla14[[#This Row],[VALOR PRESTAMO]]*Tabla14[[#This Row],[% INTERES ]]/30*U5867))+Tabla14[[#This Row],[VALOR CUOTAS]]</f>
        <v>#VALUE!</v>
      </c>
      <c r="S5867" s="88">
        <f>-IF(Tabla14[[#This Row],[DIAS HABILES O MORA]]&lt;0,(Tabla14[[#This Row],[VALOR PRESTAMO]]*Tabla14[[#This Row],[% INTERES ]]/30*U5867))</f>
        <v>0</v>
      </c>
      <c r="T5867" s="53" t="e">
        <f>Tabla14[[#This Row],[DEUDA CAPITAL]]+Tabla14[[#This Row],[INTERES  CUOTA]]</f>
        <v>#NUM!</v>
      </c>
      <c r="U5867" s="61" t="str">
        <f t="shared" si="929"/>
        <v/>
      </c>
    </row>
    <row r="5868" spans="9:21" ht="24.75" customHeight="1" x14ac:dyDescent="0.35">
      <c r="I5868" s="42">
        <f t="shared" si="920"/>
        <v>0</v>
      </c>
      <c r="J5868" s="65" t="e">
        <f t="shared" si="921"/>
        <v>#NUM!</v>
      </c>
      <c r="K5868" s="83" t="e">
        <f t="shared" si="922"/>
        <v>#NUM!</v>
      </c>
      <c r="L5868" s="83">
        <f t="shared" si="923"/>
        <v>0</v>
      </c>
      <c r="M5868" s="110" t="str">
        <f t="shared" si="924"/>
        <v/>
      </c>
      <c r="N5868" s="51" t="str">
        <f t="shared" si="925"/>
        <v/>
      </c>
      <c r="O5868" s="52" t="str">
        <f t="shared" si="926"/>
        <v/>
      </c>
      <c r="P5868" s="88">
        <f t="shared" si="927"/>
        <v>0</v>
      </c>
      <c r="Q5868" s="88">
        <f t="shared" si="928"/>
        <v>0</v>
      </c>
      <c r="R5868" s="88" t="e">
        <f>-IF(Tabla14[[#This Row],[DIAS HABILES O MORA]]&lt;0,(Tabla14[[#This Row],[VALOR PRESTAMO]]*Tabla14[[#This Row],[% INTERES ]]/30*U5868))+Tabla14[[#This Row],[VALOR CUOTAS]]</f>
        <v>#VALUE!</v>
      </c>
      <c r="S5868" s="88">
        <f>-IF(Tabla14[[#This Row],[DIAS HABILES O MORA]]&lt;0,(Tabla14[[#This Row],[VALOR PRESTAMO]]*Tabla14[[#This Row],[% INTERES ]]/30*U5868))</f>
        <v>0</v>
      </c>
      <c r="T5868" s="53" t="e">
        <f>Tabla14[[#This Row],[DEUDA CAPITAL]]+Tabla14[[#This Row],[INTERES  CUOTA]]</f>
        <v>#NUM!</v>
      </c>
      <c r="U5868" s="61" t="str">
        <f t="shared" si="929"/>
        <v/>
      </c>
    </row>
    <row r="5869" spans="9:21" ht="24.75" customHeight="1" x14ac:dyDescent="0.35">
      <c r="I5869" s="42">
        <f t="shared" si="920"/>
        <v>0</v>
      </c>
      <c r="J5869" s="65" t="e">
        <f t="shared" si="921"/>
        <v>#NUM!</v>
      </c>
      <c r="K5869" s="83" t="e">
        <f t="shared" si="922"/>
        <v>#NUM!</v>
      </c>
      <c r="L5869" s="83">
        <f t="shared" si="923"/>
        <v>0</v>
      </c>
      <c r="M5869" s="110" t="str">
        <f t="shared" si="924"/>
        <v/>
      </c>
      <c r="N5869" s="51" t="str">
        <f t="shared" si="925"/>
        <v/>
      </c>
      <c r="O5869" s="52" t="str">
        <f t="shared" si="926"/>
        <v/>
      </c>
      <c r="P5869" s="88">
        <f t="shared" si="927"/>
        <v>0</v>
      </c>
      <c r="Q5869" s="88">
        <f t="shared" si="928"/>
        <v>0</v>
      </c>
      <c r="R5869" s="88" t="e">
        <f>-IF(Tabla14[[#This Row],[DIAS HABILES O MORA]]&lt;0,(Tabla14[[#This Row],[VALOR PRESTAMO]]*Tabla14[[#This Row],[% INTERES ]]/30*U5869))+Tabla14[[#This Row],[VALOR CUOTAS]]</f>
        <v>#VALUE!</v>
      </c>
      <c r="S5869" s="88">
        <f>-IF(Tabla14[[#This Row],[DIAS HABILES O MORA]]&lt;0,(Tabla14[[#This Row],[VALOR PRESTAMO]]*Tabla14[[#This Row],[% INTERES ]]/30*U5869))</f>
        <v>0</v>
      </c>
      <c r="T5869" s="53" t="e">
        <f>Tabla14[[#This Row],[DEUDA CAPITAL]]+Tabla14[[#This Row],[INTERES  CUOTA]]</f>
        <v>#NUM!</v>
      </c>
      <c r="U5869" s="61" t="str">
        <f t="shared" si="929"/>
        <v/>
      </c>
    </row>
    <row r="5870" spans="9:21" ht="24.75" customHeight="1" x14ac:dyDescent="0.35">
      <c r="I5870" s="42">
        <f t="shared" si="920"/>
        <v>0</v>
      </c>
      <c r="J5870" s="65" t="e">
        <f t="shared" si="921"/>
        <v>#NUM!</v>
      </c>
      <c r="K5870" s="83" t="e">
        <f t="shared" si="922"/>
        <v>#NUM!</v>
      </c>
      <c r="L5870" s="83">
        <f t="shared" si="923"/>
        <v>0</v>
      </c>
      <c r="M5870" s="110" t="str">
        <f t="shared" si="924"/>
        <v/>
      </c>
      <c r="N5870" s="51" t="str">
        <f t="shared" si="925"/>
        <v/>
      </c>
      <c r="O5870" s="52" t="str">
        <f t="shared" si="926"/>
        <v/>
      </c>
      <c r="P5870" s="88">
        <f t="shared" si="927"/>
        <v>0</v>
      </c>
      <c r="Q5870" s="88">
        <f t="shared" si="928"/>
        <v>0</v>
      </c>
      <c r="R5870" s="88" t="e">
        <f>-IF(Tabla14[[#This Row],[DIAS HABILES O MORA]]&lt;0,(Tabla14[[#This Row],[VALOR PRESTAMO]]*Tabla14[[#This Row],[% INTERES ]]/30*U5870))+Tabla14[[#This Row],[VALOR CUOTAS]]</f>
        <v>#VALUE!</v>
      </c>
      <c r="S5870" s="88">
        <f>-IF(Tabla14[[#This Row],[DIAS HABILES O MORA]]&lt;0,(Tabla14[[#This Row],[VALOR PRESTAMO]]*Tabla14[[#This Row],[% INTERES ]]/30*U5870))</f>
        <v>0</v>
      </c>
      <c r="T5870" s="53" t="e">
        <f>Tabla14[[#This Row],[DEUDA CAPITAL]]+Tabla14[[#This Row],[INTERES  CUOTA]]</f>
        <v>#NUM!</v>
      </c>
      <c r="U5870" s="61" t="str">
        <f t="shared" si="929"/>
        <v/>
      </c>
    </row>
    <row r="5871" spans="9:21" ht="24.75" customHeight="1" x14ac:dyDescent="0.35">
      <c r="I5871" s="42">
        <f t="shared" si="920"/>
        <v>0</v>
      </c>
      <c r="J5871" s="65" t="e">
        <f t="shared" si="921"/>
        <v>#NUM!</v>
      </c>
      <c r="K5871" s="83" t="e">
        <f t="shared" si="922"/>
        <v>#NUM!</v>
      </c>
      <c r="L5871" s="83">
        <f t="shared" si="923"/>
        <v>0</v>
      </c>
      <c r="M5871" s="110" t="str">
        <f t="shared" si="924"/>
        <v/>
      </c>
      <c r="N5871" s="51" t="str">
        <f t="shared" si="925"/>
        <v/>
      </c>
      <c r="O5871" s="52" t="str">
        <f t="shared" si="926"/>
        <v/>
      </c>
      <c r="P5871" s="88">
        <f t="shared" si="927"/>
        <v>0</v>
      </c>
      <c r="Q5871" s="88">
        <f t="shared" si="928"/>
        <v>0</v>
      </c>
      <c r="R5871" s="88" t="e">
        <f>-IF(Tabla14[[#This Row],[DIAS HABILES O MORA]]&lt;0,(Tabla14[[#This Row],[VALOR PRESTAMO]]*Tabla14[[#This Row],[% INTERES ]]/30*U5871))+Tabla14[[#This Row],[VALOR CUOTAS]]</f>
        <v>#VALUE!</v>
      </c>
      <c r="S5871" s="88">
        <f>-IF(Tabla14[[#This Row],[DIAS HABILES O MORA]]&lt;0,(Tabla14[[#This Row],[VALOR PRESTAMO]]*Tabla14[[#This Row],[% INTERES ]]/30*U5871))</f>
        <v>0</v>
      </c>
      <c r="T5871" s="53" t="e">
        <f>Tabla14[[#This Row],[DEUDA CAPITAL]]+Tabla14[[#This Row],[INTERES  CUOTA]]</f>
        <v>#NUM!</v>
      </c>
      <c r="U5871" s="61" t="str">
        <f t="shared" si="929"/>
        <v/>
      </c>
    </row>
    <row r="5872" spans="9:21" ht="24.75" customHeight="1" x14ac:dyDescent="0.35">
      <c r="I5872" s="42">
        <f t="shared" si="920"/>
        <v>0</v>
      </c>
      <c r="J5872" s="65" t="e">
        <f t="shared" si="921"/>
        <v>#NUM!</v>
      </c>
      <c r="K5872" s="83" t="e">
        <f t="shared" si="922"/>
        <v>#NUM!</v>
      </c>
      <c r="L5872" s="83">
        <f t="shared" si="923"/>
        <v>0</v>
      </c>
      <c r="M5872" s="110" t="str">
        <f t="shared" si="924"/>
        <v/>
      </c>
      <c r="N5872" s="51" t="str">
        <f t="shared" si="925"/>
        <v/>
      </c>
      <c r="O5872" s="52" t="str">
        <f t="shared" si="926"/>
        <v/>
      </c>
      <c r="P5872" s="88">
        <f t="shared" si="927"/>
        <v>0</v>
      </c>
      <c r="Q5872" s="88">
        <f t="shared" si="928"/>
        <v>0</v>
      </c>
      <c r="R5872" s="88" t="e">
        <f>-IF(Tabla14[[#This Row],[DIAS HABILES O MORA]]&lt;0,(Tabla14[[#This Row],[VALOR PRESTAMO]]*Tabla14[[#This Row],[% INTERES ]]/30*U5872))+Tabla14[[#This Row],[VALOR CUOTAS]]</f>
        <v>#VALUE!</v>
      </c>
      <c r="S5872" s="88">
        <f>-IF(Tabla14[[#This Row],[DIAS HABILES O MORA]]&lt;0,(Tabla14[[#This Row],[VALOR PRESTAMO]]*Tabla14[[#This Row],[% INTERES ]]/30*U5872))</f>
        <v>0</v>
      </c>
      <c r="T5872" s="53" t="e">
        <f>Tabla14[[#This Row],[DEUDA CAPITAL]]+Tabla14[[#This Row],[INTERES  CUOTA]]</f>
        <v>#NUM!</v>
      </c>
      <c r="U5872" s="61" t="str">
        <f t="shared" si="929"/>
        <v/>
      </c>
    </row>
    <row r="5873" spans="9:21" ht="24.75" customHeight="1" x14ac:dyDescent="0.35">
      <c r="I5873" s="42">
        <f t="shared" si="920"/>
        <v>0</v>
      </c>
      <c r="J5873" s="65" t="e">
        <f t="shared" si="921"/>
        <v>#NUM!</v>
      </c>
      <c r="K5873" s="83" t="e">
        <f t="shared" si="922"/>
        <v>#NUM!</v>
      </c>
      <c r="L5873" s="83">
        <f t="shared" si="923"/>
        <v>0</v>
      </c>
      <c r="M5873" s="110" t="str">
        <f t="shared" si="924"/>
        <v/>
      </c>
      <c r="N5873" s="51" t="str">
        <f t="shared" si="925"/>
        <v/>
      </c>
      <c r="O5873" s="52" t="str">
        <f t="shared" si="926"/>
        <v/>
      </c>
      <c r="P5873" s="88">
        <f t="shared" si="927"/>
        <v>0</v>
      </c>
      <c r="Q5873" s="88">
        <f t="shared" si="928"/>
        <v>0</v>
      </c>
      <c r="R5873" s="88" t="e">
        <f>-IF(Tabla14[[#This Row],[DIAS HABILES O MORA]]&lt;0,(Tabla14[[#This Row],[VALOR PRESTAMO]]*Tabla14[[#This Row],[% INTERES ]]/30*U5873))+Tabla14[[#This Row],[VALOR CUOTAS]]</f>
        <v>#VALUE!</v>
      </c>
      <c r="S5873" s="88">
        <f>-IF(Tabla14[[#This Row],[DIAS HABILES O MORA]]&lt;0,(Tabla14[[#This Row],[VALOR PRESTAMO]]*Tabla14[[#This Row],[% INTERES ]]/30*U5873))</f>
        <v>0</v>
      </c>
      <c r="T5873" s="53" t="e">
        <f>Tabla14[[#This Row],[DEUDA CAPITAL]]+Tabla14[[#This Row],[INTERES  CUOTA]]</f>
        <v>#NUM!</v>
      </c>
      <c r="U5873" s="61" t="str">
        <f t="shared" si="929"/>
        <v/>
      </c>
    </row>
    <row r="5874" spans="9:21" ht="24.75" customHeight="1" x14ac:dyDescent="0.35">
      <c r="I5874" s="42">
        <f t="shared" si="920"/>
        <v>0</v>
      </c>
      <c r="J5874" s="65" t="e">
        <f t="shared" si="921"/>
        <v>#NUM!</v>
      </c>
      <c r="K5874" s="83" t="e">
        <f t="shared" si="922"/>
        <v>#NUM!</v>
      </c>
      <c r="L5874" s="83">
        <f t="shared" si="923"/>
        <v>0</v>
      </c>
      <c r="M5874" s="110" t="str">
        <f t="shared" si="924"/>
        <v/>
      </c>
      <c r="N5874" s="51" t="str">
        <f t="shared" si="925"/>
        <v/>
      </c>
      <c r="O5874" s="52" t="str">
        <f t="shared" si="926"/>
        <v/>
      </c>
      <c r="P5874" s="88">
        <f t="shared" si="927"/>
        <v>0</v>
      </c>
      <c r="Q5874" s="88">
        <f t="shared" si="928"/>
        <v>0</v>
      </c>
      <c r="R5874" s="88" t="e">
        <f>-IF(Tabla14[[#This Row],[DIAS HABILES O MORA]]&lt;0,(Tabla14[[#This Row],[VALOR PRESTAMO]]*Tabla14[[#This Row],[% INTERES ]]/30*U5874))+Tabla14[[#This Row],[VALOR CUOTAS]]</f>
        <v>#VALUE!</v>
      </c>
      <c r="S5874" s="88">
        <f>-IF(Tabla14[[#This Row],[DIAS HABILES O MORA]]&lt;0,(Tabla14[[#This Row],[VALOR PRESTAMO]]*Tabla14[[#This Row],[% INTERES ]]/30*U5874))</f>
        <v>0</v>
      </c>
      <c r="T5874" s="53" t="e">
        <f>Tabla14[[#This Row],[DEUDA CAPITAL]]+Tabla14[[#This Row],[INTERES  CUOTA]]</f>
        <v>#NUM!</v>
      </c>
      <c r="U5874" s="61" t="str">
        <f t="shared" si="929"/>
        <v/>
      </c>
    </row>
    <row r="5875" spans="9:21" ht="24.75" customHeight="1" x14ac:dyDescent="0.35">
      <c r="I5875" s="42">
        <f t="shared" si="920"/>
        <v>0</v>
      </c>
      <c r="J5875" s="65" t="e">
        <f t="shared" si="921"/>
        <v>#NUM!</v>
      </c>
      <c r="K5875" s="83" t="e">
        <f t="shared" si="922"/>
        <v>#NUM!</v>
      </c>
      <c r="L5875" s="83">
        <f t="shared" si="923"/>
        <v>0</v>
      </c>
      <c r="M5875" s="110" t="str">
        <f t="shared" si="924"/>
        <v/>
      </c>
      <c r="N5875" s="51" t="str">
        <f t="shared" si="925"/>
        <v/>
      </c>
      <c r="O5875" s="52" t="str">
        <f t="shared" si="926"/>
        <v/>
      </c>
      <c r="P5875" s="88">
        <f t="shared" si="927"/>
        <v>0</v>
      </c>
      <c r="Q5875" s="88">
        <f t="shared" si="928"/>
        <v>0</v>
      </c>
      <c r="R5875" s="88" t="e">
        <f>-IF(Tabla14[[#This Row],[DIAS HABILES O MORA]]&lt;0,(Tabla14[[#This Row],[VALOR PRESTAMO]]*Tabla14[[#This Row],[% INTERES ]]/30*U5875))+Tabla14[[#This Row],[VALOR CUOTAS]]</f>
        <v>#VALUE!</v>
      </c>
      <c r="S5875" s="88">
        <f>-IF(Tabla14[[#This Row],[DIAS HABILES O MORA]]&lt;0,(Tabla14[[#This Row],[VALOR PRESTAMO]]*Tabla14[[#This Row],[% INTERES ]]/30*U5875))</f>
        <v>0</v>
      </c>
      <c r="T5875" s="53" t="e">
        <f>Tabla14[[#This Row],[DEUDA CAPITAL]]+Tabla14[[#This Row],[INTERES  CUOTA]]</f>
        <v>#NUM!</v>
      </c>
      <c r="U5875" s="61" t="str">
        <f t="shared" si="929"/>
        <v/>
      </c>
    </row>
    <row r="5876" spans="9:21" ht="24.75" customHeight="1" x14ac:dyDescent="0.35">
      <c r="I5876" s="42">
        <f t="shared" si="920"/>
        <v>0</v>
      </c>
      <c r="J5876" s="65" t="e">
        <f t="shared" si="921"/>
        <v>#NUM!</v>
      </c>
      <c r="K5876" s="83" t="e">
        <f t="shared" si="922"/>
        <v>#NUM!</v>
      </c>
      <c r="L5876" s="83">
        <f t="shared" si="923"/>
        <v>0</v>
      </c>
      <c r="M5876" s="110" t="str">
        <f t="shared" si="924"/>
        <v/>
      </c>
      <c r="N5876" s="51" t="str">
        <f t="shared" si="925"/>
        <v/>
      </c>
      <c r="O5876" s="52" t="str">
        <f t="shared" si="926"/>
        <v/>
      </c>
      <c r="P5876" s="88">
        <f t="shared" si="927"/>
        <v>0</v>
      </c>
      <c r="Q5876" s="88">
        <f t="shared" si="928"/>
        <v>0</v>
      </c>
      <c r="R5876" s="88" t="e">
        <f>-IF(Tabla14[[#This Row],[DIAS HABILES O MORA]]&lt;0,(Tabla14[[#This Row],[VALOR PRESTAMO]]*Tabla14[[#This Row],[% INTERES ]]/30*U5876))+Tabla14[[#This Row],[VALOR CUOTAS]]</f>
        <v>#VALUE!</v>
      </c>
      <c r="S5876" s="88">
        <f>-IF(Tabla14[[#This Row],[DIAS HABILES O MORA]]&lt;0,(Tabla14[[#This Row],[VALOR PRESTAMO]]*Tabla14[[#This Row],[% INTERES ]]/30*U5876))</f>
        <v>0</v>
      </c>
      <c r="T5876" s="53" t="e">
        <f>Tabla14[[#This Row],[DEUDA CAPITAL]]+Tabla14[[#This Row],[INTERES  CUOTA]]</f>
        <v>#NUM!</v>
      </c>
      <c r="U5876" s="61" t="str">
        <f t="shared" si="929"/>
        <v/>
      </c>
    </row>
    <row r="5877" spans="9:21" ht="24.75" customHeight="1" x14ac:dyDescent="0.35">
      <c r="I5877" s="42">
        <f t="shared" si="920"/>
        <v>0</v>
      </c>
      <c r="J5877" s="65" t="e">
        <f t="shared" si="921"/>
        <v>#NUM!</v>
      </c>
      <c r="K5877" s="83" t="e">
        <f t="shared" si="922"/>
        <v>#NUM!</v>
      </c>
      <c r="L5877" s="83">
        <f t="shared" si="923"/>
        <v>0</v>
      </c>
      <c r="M5877" s="110" t="str">
        <f t="shared" si="924"/>
        <v/>
      </c>
      <c r="N5877" s="51" t="str">
        <f t="shared" si="925"/>
        <v/>
      </c>
      <c r="O5877" s="52" t="str">
        <f t="shared" si="926"/>
        <v/>
      </c>
      <c r="P5877" s="88">
        <f t="shared" si="927"/>
        <v>0</v>
      </c>
      <c r="Q5877" s="88">
        <f t="shared" si="928"/>
        <v>0</v>
      </c>
      <c r="R5877" s="88" t="e">
        <f>-IF(Tabla14[[#This Row],[DIAS HABILES O MORA]]&lt;0,(Tabla14[[#This Row],[VALOR PRESTAMO]]*Tabla14[[#This Row],[% INTERES ]]/30*U5877))+Tabla14[[#This Row],[VALOR CUOTAS]]</f>
        <v>#VALUE!</v>
      </c>
      <c r="S5877" s="88">
        <f>-IF(Tabla14[[#This Row],[DIAS HABILES O MORA]]&lt;0,(Tabla14[[#This Row],[VALOR PRESTAMO]]*Tabla14[[#This Row],[% INTERES ]]/30*U5877))</f>
        <v>0</v>
      </c>
      <c r="T5877" s="53" t="e">
        <f>Tabla14[[#This Row],[DEUDA CAPITAL]]+Tabla14[[#This Row],[INTERES  CUOTA]]</f>
        <v>#NUM!</v>
      </c>
      <c r="U5877" s="61" t="str">
        <f t="shared" si="929"/>
        <v/>
      </c>
    </row>
    <row r="5878" spans="9:21" ht="24.75" customHeight="1" x14ac:dyDescent="0.35">
      <c r="I5878" s="42">
        <f t="shared" si="920"/>
        <v>0</v>
      </c>
      <c r="J5878" s="65" t="e">
        <f t="shared" si="921"/>
        <v>#NUM!</v>
      </c>
      <c r="K5878" s="83" t="e">
        <f t="shared" si="922"/>
        <v>#NUM!</v>
      </c>
      <c r="L5878" s="83">
        <f t="shared" si="923"/>
        <v>0</v>
      </c>
      <c r="M5878" s="110" t="str">
        <f t="shared" si="924"/>
        <v/>
      </c>
      <c r="N5878" s="51" t="str">
        <f t="shared" si="925"/>
        <v/>
      </c>
      <c r="O5878" s="52" t="str">
        <f t="shared" si="926"/>
        <v/>
      </c>
      <c r="P5878" s="88">
        <f t="shared" si="927"/>
        <v>0</v>
      </c>
      <c r="Q5878" s="88">
        <f t="shared" si="928"/>
        <v>0</v>
      </c>
      <c r="R5878" s="88" t="e">
        <f>-IF(Tabla14[[#This Row],[DIAS HABILES O MORA]]&lt;0,(Tabla14[[#This Row],[VALOR PRESTAMO]]*Tabla14[[#This Row],[% INTERES ]]/30*U5878))+Tabla14[[#This Row],[VALOR CUOTAS]]</f>
        <v>#VALUE!</v>
      </c>
      <c r="S5878" s="88">
        <f>-IF(Tabla14[[#This Row],[DIAS HABILES O MORA]]&lt;0,(Tabla14[[#This Row],[VALOR PRESTAMO]]*Tabla14[[#This Row],[% INTERES ]]/30*U5878))</f>
        <v>0</v>
      </c>
      <c r="T5878" s="53" t="e">
        <f>Tabla14[[#This Row],[DEUDA CAPITAL]]+Tabla14[[#This Row],[INTERES  CUOTA]]</f>
        <v>#NUM!</v>
      </c>
      <c r="U5878" s="61" t="str">
        <f t="shared" si="929"/>
        <v/>
      </c>
    </row>
    <row r="5879" spans="9:21" ht="24.75" customHeight="1" x14ac:dyDescent="0.35">
      <c r="I5879" s="42">
        <f t="shared" si="920"/>
        <v>0</v>
      </c>
      <c r="J5879" s="65" t="e">
        <f t="shared" si="921"/>
        <v>#NUM!</v>
      </c>
      <c r="K5879" s="83" t="e">
        <f t="shared" si="922"/>
        <v>#NUM!</v>
      </c>
      <c r="L5879" s="83">
        <f t="shared" si="923"/>
        <v>0</v>
      </c>
      <c r="M5879" s="110" t="str">
        <f t="shared" si="924"/>
        <v/>
      </c>
      <c r="N5879" s="51" t="str">
        <f t="shared" si="925"/>
        <v/>
      </c>
      <c r="O5879" s="52" t="str">
        <f t="shared" si="926"/>
        <v/>
      </c>
      <c r="P5879" s="88">
        <f t="shared" si="927"/>
        <v>0</v>
      </c>
      <c r="Q5879" s="88">
        <f t="shared" si="928"/>
        <v>0</v>
      </c>
      <c r="R5879" s="88" t="e">
        <f>-IF(Tabla14[[#This Row],[DIAS HABILES O MORA]]&lt;0,(Tabla14[[#This Row],[VALOR PRESTAMO]]*Tabla14[[#This Row],[% INTERES ]]/30*U5879))+Tabla14[[#This Row],[VALOR CUOTAS]]</f>
        <v>#VALUE!</v>
      </c>
      <c r="S5879" s="88">
        <f>-IF(Tabla14[[#This Row],[DIAS HABILES O MORA]]&lt;0,(Tabla14[[#This Row],[VALOR PRESTAMO]]*Tabla14[[#This Row],[% INTERES ]]/30*U5879))</f>
        <v>0</v>
      </c>
      <c r="T5879" s="53" t="e">
        <f>Tabla14[[#This Row],[DEUDA CAPITAL]]+Tabla14[[#This Row],[INTERES  CUOTA]]</f>
        <v>#NUM!</v>
      </c>
      <c r="U5879" s="61" t="str">
        <f t="shared" si="929"/>
        <v/>
      </c>
    </row>
    <row r="5880" spans="9:21" ht="24.75" customHeight="1" x14ac:dyDescent="0.35">
      <c r="I5880" s="42">
        <f t="shared" si="920"/>
        <v>0</v>
      </c>
      <c r="J5880" s="65" t="e">
        <f t="shared" si="921"/>
        <v>#NUM!</v>
      </c>
      <c r="K5880" s="83" t="e">
        <f t="shared" si="922"/>
        <v>#NUM!</v>
      </c>
      <c r="L5880" s="83">
        <f t="shared" si="923"/>
        <v>0</v>
      </c>
      <c r="M5880" s="110" t="str">
        <f t="shared" si="924"/>
        <v/>
      </c>
      <c r="N5880" s="51" t="str">
        <f t="shared" si="925"/>
        <v/>
      </c>
      <c r="O5880" s="52" t="str">
        <f t="shared" si="926"/>
        <v/>
      </c>
      <c r="P5880" s="88">
        <f t="shared" si="927"/>
        <v>0</v>
      </c>
      <c r="Q5880" s="88">
        <f t="shared" si="928"/>
        <v>0</v>
      </c>
      <c r="R5880" s="88" t="e">
        <f>-IF(Tabla14[[#This Row],[DIAS HABILES O MORA]]&lt;0,(Tabla14[[#This Row],[VALOR PRESTAMO]]*Tabla14[[#This Row],[% INTERES ]]/30*U5880))+Tabla14[[#This Row],[VALOR CUOTAS]]</f>
        <v>#VALUE!</v>
      </c>
      <c r="S5880" s="88">
        <f>-IF(Tabla14[[#This Row],[DIAS HABILES O MORA]]&lt;0,(Tabla14[[#This Row],[VALOR PRESTAMO]]*Tabla14[[#This Row],[% INTERES ]]/30*U5880))</f>
        <v>0</v>
      </c>
      <c r="T5880" s="53" t="e">
        <f>Tabla14[[#This Row],[DEUDA CAPITAL]]+Tabla14[[#This Row],[INTERES  CUOTA]]</f>
        <v>#NUM!</v>
      </c>
      <c r="U5880" s="61" t="str">
        <f t="shared" si="929"/>
        <v/>
      </c>
    </row>
    <row r="5881" spans="9:21" ht="24.75" customHeight="1" x14ac:dyDescent="0.35">
      <c r="I5881" s="42">
        <f t="shared" si="920"/>
        <v>0</v>
      </c>
      <c r="J5881" s="65" t="e">
        <f t="shared" si="921"/>
        <v>#NUM!</v>
      </c>
      <c r="K5881" s="83" t="e">
        <f t="shared" si="922"/>
        <v>#NUM!</v>
      </c>
      <c r="L5881" s="83">
        <f t="shared" si="923"/>
        <v>0</v>
      </c>
      <c r="M5881" s="110" t="str">
        <f t="shared" si="924"/>
        <v/>
      </c>
      <c r="N5881" s="51" t="str">
        <f t="shared" si="925"/>
        <v/>
      </c>
      <c r="O5881" s="52" t="str">
        <f t="shared" si="926"/>
        <v/>
      </c>
      <c r="P5881" s="88">
        <f t="shared" si="927"/>
        <v>0</v>
      </c>
      <c r="Q5881" s="88">
        <f t="shared" si="928"/>
        <v>0</v>
      </c>
      <c r="R5881" s="88" t="e">
        <f>-IF(Tabla14[[#This Row],[DIAS HABILES O MORA]]&lt;0,(Tabla14[[#This Row],[VALOR PRESTAMO]]*Tabla14[[#This Row],[% INTERES ]]/30*U5881))+Tabla14[[#This Row],[VALOR CUOTAS]]</f>
        <v>#VALUE!</v>
      </c>
      <c r="S5881" s="88">
        <f>-IF(Tabla14[[#This Row],[DIAS HABILES O MORA]]&lt;0,(Tabla14[[#This Row],[VALOR PRESTAMO]]*Tabla14[[#This Row],[% INTERES ]]/30*U5881))</f>
        <v>0</v>
      </c>
      <c r="T5881" s="53" t="e">
        <f>Tabla14[[#This Row],[DEUDA CAPITAL]]+Tabla14[[#This Row],[INTERES  CUOTA]]</f>
        <v>#NUM!</v>
      </c>
      <c r="U5881" s="61" t="str">
        <f t="shared" si="929"/>
        <v/>
      </c>
    </row>
    <row r="5882" spans="9:21" ht="24.75" customHeight="1" x14ac:dyDescent="0.35">
      <c r="I5882" s="42">
        <f t="shared" si="920"/>
        <v>0</v>
      </c>
      <c r="J5882" s="65" t="e">
        <f t="shared" si="921"/>
        <v>#NUM!</v>
      </c>
      <c r="K5882" s="83" t="e">
        <f t="shared" si="922"/>
        <v>#NUM!</v>
      </c>
      <c r="L5882" s="83">
        <f t="shared" si="923"/>
        <v>0</v>
      </c>
      <c r="M5882" s="110" t="str">
        <f t="shared" si="924"/>
        <v/>
      </c>
      <c r="N5882" s="51" t="str">
        <f t="shared" si="925"/>
        <v/>
      </c>
      <c r="O5882" s="52" t="str">
        <f t="shared" si="926"/>
        <v/>
      </c>
      <c r="P5882" s="88">
        <f t="shared" si="927"/>
        <v>0</v>
      </c>
      <c r="Q5882" s="88">
        <f t="shared" si="928"/>
        <v>0</v>
      </c>
      <c r="R5882" s="88" t="e">
        <f>-IF(Tabla14[[#This Row],[DIAS HABILES O MORA]]&lt;0,(Tabla14[[#This Row],[VALOR PRESTAMO]]*Tabla14[[#This Row],[% INTERES ]]/30*U5882))+Tabla14[[#This Row],[VALOR CUOTAS]]</f>
        <v>#VALUE!</v>
      </c>
      <c r="S5882" s="88">
        <f>-IF(Tabla14[[#This Row],[DIAS HABILES O MORA]]&lt;0,(Tabla14[[#This Row],[VALOR PRESTAMO]]*Tabla14[[#This Row],[% INTERES ]]/30*U5882))</f>
        <v>0</v>
      </c>
      <c r="T5882" s="53" t="e">
        <f>Tabla14[[#This Row],[DEUDA CAPITAL]]+Tabla14[[#This Row],[INTERES  CUOTA]]</f>
        <v>#NUM!</v>
      </c>
      <c r="U5882" s="61" t="str">
        <f t="shared" si="929"/>
        <v/>
      </c>
    </row>
    <row r="5883" spans="9:21" ht="24.75" customHeight="1" x14ac:dyDescent="0.35">
      <c r="I5883" s="42">
        <f t="shared" si="920"/>
        <v>0</v>
      </c>
      <c r="J5883" s="65" t="e">
        <f t="shared" si="921"/>
        <v>#NUM!</v>
      </c>
      <c r="K5883" s="83" t="e">
        <f t="shared" si="922"/>
        <v>#NUM!</v>
      </c>
      <c r="L5883" s="83">
        <f t="shared" si="923"/>
        <v>0</v>
      </c>
      <c r="M5883" s="110" t="str">
        <f t="shared" si="924"/>
        <v/>
      </c>
      <c r="N5883" s="51" t="str">
        <f t="shared" si="925"/>
        <v/>
      </c>
      <c r="O5883" s="52" t="str">
        <f t="shared" si="926"/>
        <v/>
      </c>
      <c r="P5883" s="88">
        <f t="shared" si="927"/>
        <v>0</v>
      </c>
      <c r="Q5883" s="88">
        <f t="shared" si="928"/>
        <v>0</v>
      </c>
      <c r="R5883" s="88" t="e">
        <f>-IF(Tabla14[[#This Row],[DIAS HABILES O MORA]]&lt;0,(Tabla14[[#This Row],[VALOR PRESTAMO]]*Tabla14[[#This Row],[% INTERES ]]/30*U5883))+Tabla14[[#This Row],[VALOR CUOTAS]]</f>
        <v>#VALUE!</v>
      </c>
      <c r="S5883" s="88">
        <f>-IF(Tabla14[[#This Row],[DIAS HABILES O MORA]]&lt;0,(Tabla14[[#This Row],[VALOR PRESTAMO]]*Tabla14[[#This Row],[% INTERES ]]/30*U5883))</f>
        <v>0</v>
      </c>
      <c r="T5883" s="53" t="e">
        <f>Tabla14[[#This Row],[DEUDA CAPITAL]]+Tabla14[[#This Row],[INTERES  CUOTA]]</f>
        <v>#NUM!</v>
      </c>
      <c r="U5883" s="61" t="str">
        <f t="shared" si="929"/>
        <v/>
      </c>
    </row>
    <row r="5884" spans="9:21" ht="24.75" customHeight="1" x14ac:dyDescent="0.35">
      <c r="I5884" s="42">
        <f t="shared" si="920"/>
        <v>0</v>
      </c>
      <c r="J5884" s="65" t="e">
        <f t="shared" si="921"/>
        <v>#NUM!</v>
      </c>
      <c r="K5884" s="83" t="e">
        <f t="shared" si="922"/>
        <v>#NUM!</v>
      </c>
      <c r="L5884" s="83">
        <f t="shared" si="923"/>
        <v>0</v>
      </c>
      <c r="M5884" s="110" t="str">
        <f t="shared" si="924"/>
        <v/>
      </c>
      <c r="N5884" s="51" t="str">
        <f t="shared" si="925"/>
        <v/>
      </c>
      <c r="O5884" s="52" t="str">
        <f t="shared" si="926"/>
        <v/>
      </c>
      <c r="P5884" s="88">
        <f t="shared" si="927"/>
        <v>0</v>
      </c>
      <c r="Q5884" s="88">
        <f t="shared" si="928"/>
        <v>0</v>
      </c>
      <c r="R5884" s="88" t="e">
        <f>-IF(Tabla14[[#This Row],[DIAS HABILES O MORA]]&lt;0,(Tabla14[[#This Row],[VALOR PRESTAMO]]*Tabla14[[#This Row],[% INTERES ]]/30*U5884))+Tabla14[[#This Row],[VALOR CUOTAS]]</f>
        <v>#VALUE!</v>
      </c>
      <c r="S5884" s="88">
        <f>-IF(Tabla14[[#This Row],[DIAS HABILES O MORA]]&lt;0,(Tabla14[[#This Row],[VALOR PRESTAMO]]*Tabla14[[#This Row],[% INTERES ]]/30*U5884))</f>
        <v>0</v>
      </c>
      <c r="T5884" s="53" t="e">
        <f>Tabla14[[#This Row],[DEUDA CAPITAL]]+Tabla14[[#This Row],[INTERES  CUOTA]]</f>
        <v>#NUM!</v>
      </c>
      <c r="U5884" s="61" t="str">
        <f t="shared" si="929"/>
        <v/>
      </c>
    </row>
    <row r="5885" spans="9:21" ht="24.75" customHeight="1" x14ac:dyDescent="0.35">
      <c r="I5885" s="42">
        <f t="shared" si="920"/>
        <v>0</v>
      </c>
      <c r="J5885" s="65" t="e">
        <f t="shared" si="921"/>
        <v>#NUM!</v>
      </c>
      <c r="K5885" s="83" t="e">
        <f t="shared" si="922"/>
        <v>#NUM!</v>
      </c>
      <c r="L5885" s="83">
        <f t="shared" si="923"/>
        <v>0</v>
      </c>
      <c r="M5885" s="110" t="str">
        <f t="shared" si="924"/>
        <v/>
      </c>
      <c r="N5885" s="51" t="str">
        <f t="shared" si="925"/>
        <v/>
      </c>
      <c r="O5885" s="52" t="str">
        <f t="shared" si="926"/>
        <v/>
      </c>
      <c r="P5885" s="88">
        <f t="shared" si="927"/>
        <v>0</v>
      </c>
      <c r="Q5885" s="88">
        <f t="shared" si="928"/>
        <v>0</v>
      </c>
      <c r="R5885" s="88" t="e">
        <f>-IF(Tabla14[[#This Row],[DIAS HABILES O MORA]]&lt;0,(Tabla14[[#This Row],[VALOR PRESTAMO]]*Tabla14[[#This Row],[% INTERES ]]/30*U5885))+Tabla14[[#This Row],[VALOR CUOTAS]]</f>
        <v>#VALUE!</v>
      </c>
      <c r="S5885" s="88">
        <f>-IF(Tabla14[[#This Row],[DIAS HABILES O MORA]]&lt;0,(Tabla14[[#This Row],[VALOR PRESTAMO]]*Tabla14[[#This Row],[% INTERES ]]/30*U5885))</f>
        <v>0</v>
      </c>
      <c r="T5885" s="53" t="e">
        <f>Tabla14[[#This Row],[DEUDA CAPITAL]]+Tabla14[[#This Row],[INTERES  CUOTA]]</f>
        <v>#NUM!</v>
      </c>
      <c r="U5885" s="61" t="str">
        <f t="shared" si="929"/>
        <v/>
      </c>
    </row>
    <row r="5886" spans="9:21" ht="24.75" customHeight="1" x14ac:dyDescent="0.35">
      <c r="I5886" s="42">
        <f t="shared" si="920"/>
        <v>0</v>
      </c>
      <c r="J5886" s="65" t="e">
        <f t="shared" si="921"/>
        <v>#NUM!</v>
      </c>
      <c r="K5886" s="83" t="e">
        <f t="shared" si="922"/>
        <v>#NUM!</v>
      </c>
      <c r="L5886" s="83">
        <f t="shared" si="923"/>
        <v>0</v>
      </c>
      <c r="M5886" s="110" t="str">
        <f t="shared" si="924"/>
        <v/>
      </c>
      <c r="N5886" s="51" t="str">
        <f t="shared" si="925"/>
        <v/>
      </c>
      <c r="O5886" s="52" t="str">
        <f t="shared" si="926"/>
        <v/>
      </c>
      <c r="P5886" s="88">
        <f t="shared" si="927"/>
        <v>0</v>
      </c>
      <c r="Q5886" s="88">
        <f t="shared" si="928"/>
        <v>0</v>
      </c>
      <c r="R5886" s="88" t="e">
        <f>-IF(Tabla14[[#This Row],[DIAS HABILES O MORA]]&lt;0,(Tabla14[[#This Row],[VALOR PRESTAMO]]*Tabla14[[#This Row],[% INTERES ]]/30*U5886))+Tabla14[[#This Row],[VALOR CUOTAS]]</f>
        <v>#VALUE!</v>
      </c>
      <c r="S5886" s="88">
        <f>-IF(Tabla14[[#This Row],[DIAS HABILES O MORA]]&lt;0,(Tabla14[[#This Row],[VALOR PRESTAMO]]*Tabla14[[#This Row],[% INTERES ]]/30*U5886))</f>
        <v>0</v>
      </c>
      <c r="T5886" s="53" t="e">
        <f>Tabla14[[#This Row],[DEUDA CAPITAL]]+Tabla14[[#This Row],[INTERES  CUOTA]]</f>
        <v>#NUM!</v>
      </c>
      <c r="U5886" s="61" t="str">
        <f t="shared" si="929"/>
        <v/>
      </c>
    </row>
    <row r="5887" spans="9:21" ht="24.75" customHeight="1" x14ac:dyDescent="0.35">
      <c r="I5887" s="42">
        <f t="shared" si="920"/>
        <v>0</v>
      </c>
      <c r="J5887" s="65" t="e">
        <f t="shared" si="921"/>
        <v>#NUM!</v>
      </c>
      <c r="K5887" s="83" t="e">
        <f t="shared" si="922"/>
        <v>#NUM!</v>
      </c>
      <c r="L5887" s="83">
        <f t="shared" si="923"/>
        <v>0</v>
      </c>
      <c r="M5887" s="110" t="str">
        <f t="shared" si="924"/>
        <v/>
      </c>
      <c r="N5887" s="51" t="str">
        <f t="shared" si="925"/>
        <v/>
      </c>
      <c r="O5887" s="52" t="str">
        <f t="shared" si="926"/>
        <v/>
      </c>
      <c r="P5887" s="88">
        <f t="shared" si="927"/>
        <v>0</v>
      </c>
      <c r="Q5887" s="88">
        <f t="shared" si="928"/>
        <v>0</v>
      </c>
      <c r="R5887" s="88" t="e">
        <f>-IF(Tabla14[[#This Row],[DIAS HABILES O MORA]]&lt;0,(Tabla14[[#This Row],[VALOR PRESTAMO]]*Tabla14[[#This Row],[% INTERES ]]/30*U5887))+Tabla14[[#This Row],[VALOR CUOTAS]]</f>
        <v>#VALUE!</v>
      </c>
      <c r="S5887" s="88">
        <f>-IF(Tabla14[[#This Row],[DIAS HABILES O MORA]]&lt;0,(Tabla14[[#This Row],[VALOR PRESTAMO]]*Tabla14[[#This Row],[% INTERES ]]/30*U5887))</f>
        <v>0</v>
      </c>
      <c r="T5887" s="53" t="e">
        <f>Tabla14[[#This Row],[DEUDA CAPITAL]]+Tabla14[[#This Row],[INTERES  CUOTA]]</f>
        <v>#NUM!</v>
      </c>
      <c r="U5887" s="61" t="str">
        <f t="shared" si="929"/>
        <v/>
      </c>
    </row>
    <row r="5888" spans="9:21" ht="24.75" customHeight="1" x14ac:dyDescent="0.35">
      <c r="I5888" s="42">
        <f t="shared" si="920"/>
        <v>0</v>
      </c>
      <c r="J5888" s="65" t="e">
        <f t="shared" si="921"/>
        <v>#NUM!</v>
      </c>
      <c r="K5888" s="83" t="e">
        <f t="shared" si="922"/>
        <v>#NUM!</v>
      </c>
      <c r="L5888" s="83">
        <f t="shared" si="923"/>
        <v>0</v>
      </c>
      <c r="M5888" s="110" t="str">
        <f t="shared" si="924"/>
        <v/>
      </c>
      <c r="N5888" s="51" t="str">
        <f t="shared" si="925"/>
        <v/>
      </c>
      <c r="O5888" s="52" t="str">
        <f t="shared" si="926"/>
        <v/>
      </c>
      <c r="P5888" s="88">
        <f t="shared" si="927"/>
        <v>0</v>
      </c>
      <c r="Q5888" s="88">
        <f t="shared" si="928"/>
        <v>0</v>
      </c>
      <c r="R5888" s="88" t="e">
        <f>-IF(Tabla14[[#This Row],[DIAS HABILES O MORA]]&lt;0,(Tabla14[[#This Row],[VALOR PRESTAMO]]*Tabla14[[#This Row],[% INTERES ]]/30*U5888))+Tabla14[[#This Row],[VALOR CUOTAS]]</f>
        <v>#VALUE!</v>
      </c>
      <c r="S5888" s="88">
        <f>-IF(Tabla14[[#This Row],[DIAS HABILES O MORA]]&lt;0,(Tabla14[[#This Row],[VALOR PRESTAMO]]*Tabla14[[#This Row],[% INTERES ]]/30*U5888))</f>
        <v>0</v>
      </c>
      <c r="T5888" s="53" t="e">
        <f>Tabla14[[#This Row],[DEUDA CAPITAL]]+Tabla14[[#This Row],[INTERES  CUOTA]]</f>
        <v>#NUM!</v>
      </c>
      <c r="U5888" s="61" t="str">
        <f t="shared" si="929"/>
        <v/>
      </c>
    </row>
    <row r="5889" spans="9:21" ht="24.75" customHeight="1" x14ac:dyDescent="0.35">
      <c r="I5889" s="42">
        <f t="shared" si="920"/>
        <v>0</v>
      </c>
      <c r="J5889" s="65" t="e">
        <f t="shared" si="921"/>
        <v>#NUM!</v>
      </c>
      <c r="K5889" s="83" t="e">
        <f t="shared" si="922"/>
        <v>#NUM!</v>
      </c>
      <c r="L5889" s="83">
        <f t="shared" si="923"/>
        <v>0</v>
      </c>
      <c r="M5889" s="110" t="str">
        <f t="shared" si="924"/>
        <v/>
      </c>
      <c r="N5889" s="51" t="str">
        <f t="shared" si="925"/>
        <v/>
      </c>
      <c r="O5889" s="52" t="str">
        <f t="shared" si="926"/>
        <v/>
      </c>
      <c r="P5889" s="88">
        <f t="shared" si="927"/>
        <v>0</v>
      </c>
      <c r="Q5889" s="88">
        <f t="shared" si="928"/>
        <v>0</v>
      </c>
      <c r="R5889" s="88" t="e">
        <f>-IF(Tabla14[[#This Row],[DIAS HABILES O MORA]]&lt;0,(Tabla14[[#This Row],[VALOR PRESTAMO]]*Tabla14[[#This Row],[% INTERES ]]/30*U5889))+Tabla14[[#This Row],[VALOR CUOTAS]]</f>
        <v>#VALUE!</v>
      </c>
      <c r="S5889" s="88">
        <f>-IF(Tabla14[[#This Row],[DIAS HABILES O MORA]]&lt;0,(Tabla14[[#This Row],[VALOR PRESTAMO]]*Tabla14[[#This Row],[% INTERES ]]/30*U5889))</f>
        <v>0</v>
      </c>
      <c r="T5889" s="53" t="e">
        <f>Tabla14[[#This Row],[DEUDA CAPITAL]]+Tabla14[[#This Row],[INTERES  CUOTA]]</f>
        <v>#NUM!</v>
      </c>
      <c r="U5889" s="61" t="str">
        <f t="shared" si="929"/>
        <v/>
      </c>
    </row>
    <row r="5890" spans="9:21" ht="24.75" customHeight="1" x14ac:dyDescent="0.35">
      <c r="I5890" s="42">
        <f t="shared" si="920"/>
        <v>0</v>
      </c>
      <c r="J5890" s="65" t="e">
        <f t="shared" si="921"/>
        <v>#NUM!</v>
      </c>
      <c r="K5890" s="83" t="e">
        <f t="shared" si="922"/>
        <v>#NUM!</v>
      </c>
      <c r="L5890" s="83">
        <f t="shared" si="923"/>
        <v>0</v>
      </c>
      <c r="M5890" s="110" t="str">
        <f t="shared" si="924"/>
        <v/>
      </c>
      <c r="N5890" s="51" t="str">
        <f t="shared" si="925"/>
        <v/>
      </c>
      <c r="O5890" s="52" t="str">
        <f t="shared" si="926"/>
        <v/>
      </c>
      <c r="P5890" s="88">
        <f t="shared" si="927"/>
        <v>0</v>
      </c>
      <c r="Q5890" s="88">
        <f t="shared" si="928"/>
        <v>0</v>
      </c>
      <c r="R5890" s="88" t="e">
        <f>-IF(Tabla14[[#This Row],[DIAS HABILES O MORA]]&lt;0,(Tabla14[[#This Row],[VALOR PRESTAMO]]*Tabla14[[#This Row],[% INTERES ]]/30*U5890))+Tabla14[[#This Row],[VALOR CUOTAS]]</f>
        <v>#VALUE!</v>
      </c>
      <c r="S5890" s="88">
        <f>-IF(Tabla14[[#This Row],[DIAS HABILES O MORA]]&lt;0,(Tabla14[[#This Row],[VALOR PRESTAMO]]*Tabla14[[#This Row],[% INTERES ]]/30*U5890))</f>
        <v>0</v>
      </c>
      <c r="T5890" s="53" t="e">
        <f>Tabla14[[#This Row],[DEUDA CAPITAL]]+Tabla14[[#This Row],[INTERES  CUOTA]]</f>
        <v>#NUM!</v>
      </c>
      <c r="U5890" s="61" t="str">
        <f t="shared" si="929"/>
        <v/>
      </c>
    </row>
    <row r="5891" spans="9:21" ht="24.75" customHeight="1" x14ac:dyDescent="0.35">
      <c r="I5891" s="42">
        <f t="shared" si="920"/>
        <v>0</v>
      </c>
      <c r="J5891" s="65" t="e">
        <f t="shared" si="921"/>
        <v>#NUM!</v>
      </c>
      <c r="K5891" s="83" t="e">
        <f t="shared" si="922"/>
        <v>#NUM!</v>
      </c>
      <c r="L5891" s="83">
        <f t="shared" si="923"/>
        <v>0</v>
      </c>
      <c r="M5891" s="110" t="str">
        <f t="shared" si="924"/>
        <v/>
      </c>
      <c r="N5891" s="51" t="str">
        <f t="shared" si="925"/>
        <v/>
      </c>
      <c r="O5891" s="52" t="str">
        <f t="shared" si="926"/>
        <v/>
      </c>
      <c r="P5891" s="88">
        <f t="shared" si="927"/>
        <v>0</v>
      </c>
      <c r="Q5891" s="88">
        <f t="shared" si="928"/>
        <v>0</v>
      </c>
      <c r="R5891" s="88" t="e">
        <f>-IF(Tabla14[[#This Row],[DIAS HABILES O MORA]]&lt;0,(Tabla14[[#This Row],[VALOR PRESTAMO]]*Tabla14[[#This Row],[% INTERES ]]/30*U5891))+Tabla14[[#This Row],[VALOR CUOTAS]]</f>
        <v>#VALUE!</v>
      </c>
      <c r="S5891" s="88">
        <f>-IF(Tabla14[[#This Row],[DIAS HABILES O MORA]]&lt;0,(Tabla14[[#This Row],[VALOR PRESTAMO]]*Tabla14[[#This Row],[% INTERES ]]/30*U5891))</f>
        <v>0</v>
      </c>
      <c r="T5891" s="53" t="e">
        <f>Tabla14[[#This Row],[DEUDA CAPITAL]]+Tabla14[[#This Row],[INTERES  CUOTA]]</f>
        <v>#NUM!</v>
      </c>
      <c r="U5891" s="61" t="str">
        <f t="shared" si="929"/>
        <v/>
      </c>
    </row>
    <row r="5892" spans="9:21" ht="24.75" customHeight="1" x14ac:dyDescent="0.35">
      <c r="I5892" s="42">
        <f t="shared" si="920"/>
        <v>0</v>
      </c>
      <c r="J5892" s="65" t="e">
        <f t="shared" si="921"/>
        <v>#NUM!</v>
      </c>
      <c r="K5892" s="83" t="e">
        <f t="shared" si="922"/>
        <v>#NUM!</v>
      </c>
      <c r="L5892" s="83">
        <f t="shared" si="923"/>
        <v>0</v>
      </c>
      <c r="M5892" s="110" t="str">
        <f t="shared" si="924"/>
        <v/>
      </c>
      <c r="N5892" s="51" t="str">
        <f t="shared" si="925"/>
        <v/>
      </c>
      <c r="O5892" s="52" t="str">
        <f t="shared" si="926"/>
        <v/>
      </c>
      <c r="P5892" s="88">
        <f t="shared" si="927"/>
        <v>0</v>
      </c>
      <c r="Q5892" s="88">
        <f t="shared" si="928"/>
        <v>0</v>
      </c>
      <c r="R5892" s="88" t="e">
        <f>-IF(Tabla14[[#This Row],[DIAS HABILES O MORA]]&lt;0,(Tabla14[[#This Row],[VALOR PRESTAMO]]*Tabla14[[#This Row],[% INTERES ]]/30*U5892))+Tabla14[[#This Row],[VALOR CUOTAS]]</f>
        <v>#VALUE!</v>
      </c>
      <c r="S5892" s="88">
        <f>-IF(Tabla14[[#This Row],[DIAS HABILES O MORA]]&lt;0,(Tabla14[[#This Row],[VALOR PRESTAMO]]*Tabla14[[#This Row],[% INTERES ]]/30*U5892))</f>
        <v>0</v>
      </c>
      <c r="T5892" s="53" t="e">
        <f>Tabla14[[#This Row],[DEUDA CAPITAL]]+Tabla14[[#This Row],[INTERES  CUOTA]]</f>
        <v>#NUM!</v>
      </c>
      <c r="U5892" s="61" t="str">
        <f t="shared" si="929"/>
        <v/>
      </c>
    </row>
    <row r="5893" spans="9:21" ht="24.75" customHeight="1" x14ac:dyDescent="0.35">
      <c r="I5893" s="42">
        <f t="shared" si="920"/>
        <v>0</v>
      </c>
      <c r="J5893" s="65" t="e">
        <f t="shared" si="921"/>
        <v>#NUM!</v>
      </c>
      <c r="K5893" s="83" t="e">
        <f t="shared" si="922"/>
        <v>#NUM!</v>
      </c>
      <c r="L5893" s="83">
        <f t="shared" si="923"/>
        <v>0</v>
      </c>
      <c r="M5893" s="110" t="str">
        <f t="shared" si="924"/>
        <v/>
      </c>
      <c r="N5893" s="51" t="str">
        <f t="shared" si="925"/>
        <v/>
      </c>
      <c r="O5893" s="52" t="str">
        <f t="shared" si="926"/>
        <v/>
      </c>
      <c r="P5893" s="88">
        <f t="shared" si="927"/>
        <v>0</v>
      </c>
      <c r="Q5893" s="88">
        <f t="shared" si="928"/>
        <v>0</v>
      </c>
      <c r="R5893" s="88" t="e">
        <f>-IF(Tabla14[[#This Row],[DIAS HABILES O MORA]]&lt;0,(Tabla14[[#This Row],[VALOR PRESTAMO]]*Tabla14[[#This Row],[% INTERES ]]/30*U5893))+Tabla14[[#This Row],[VALOR CUOTAS]]</f>
        <v>#VALUE!</v>
      </c>
      <c r="S5893" s="88">
        <f>-IF(Tabla14[[#This Row],[DIAS HABILES O MORA]]&lt;0,(Tabla14[[#This Row],[VALOR PRESTAMO]]*Tabla14[[#This Row],[% INTERES ]]/30*U5893))</f>
        <v>0</v>
      </c>
      <c r="T5893" s="53" t="e">
        <f>Tabla14[[#This Row],[DEUDA CAPITAL]]+Tabla14[[#This Row],[INTERES  CUOTA]]</f>
        <v>#NUM!</v>
      </c>
      <c r="U5893" s="61" t="str">
        <f t="shared" si="929"/>
        <v/>
      </c>
    </row>
    <row r="5894" spans="9:21" ht="24.75" customHeight="1" x14ac:dyDescent="0.35">
      <c r="I5894" s="42">
        <f t="shared" si="920"/>
        <v>0</v>
      </c>
      <c r="J5894" s="65" t="e">
        <f t="shared" si="921"/>
        <v>#NUM!</v>
      </c>
      <c r="K5894" s="83" t="e">
        <f t="shared" si="922"/>
        <v>#NUM!</v>
      </c>
      <c r="L5894" s="83">
        <f t="shared" si="923"/>
        <v>0</v>
      </c>
      <c r="M5894" s="110" t="str">
        <f t="shared" si="924"/>
        <v/>
      </c>
      <c r="N5894" s="51" t="str">
        <f t="shared" si="925"/>
        <v/>
      </c>
      <c r="O5894" s="52" t="str">
        <f t="shared" si="926"/>
        <v/>
      </c>
      <c r="P5894" s="88">
        <f t="shared" si="927"/>
        <v>0</v>
      </c>
      <c r="Q5894" s="88">
        <f t="shared" si="928"/>
        <v>0</v>
      </c>
      <c r="R5894" s="88" t="e">
        <f>-IF(Tabla14[[#This Row],[DIAS HABILES O MORA]]&lt;0,(Tabla14[[#This Row],[VALOR PRESTAMO]]*Tabla14[[#This Row],[% INTERES ]]/30*U5894))+Tabla14[[#This Row],[VALOR CUOTAS]]</f>
        <v>#VALUE!</v>
      </c>
      <c r="S5894" s="88">
        <f>-IF(Tabla14[[#This Row],[DIAS HABILES O MORA]]&lt;0,(Tabla14[[#This Row],[VALOR PRESTAMO]]*Tabla14[[#This Row],[% INTERES ]]/30*U5894))</f>
        <v>0</v>
      </c>
      <c r="T5894" s="53" t="e">
        <f>Tabla14[[#This Row],[DEUDA CAPITAL]]+Tabla14[[#This Row],[INTERES  CUOTA]]</f>
        <v>#NUM!</v>
      </c>
      <c r="U5894" s="61" t="str">
        <f t="shared" si="929"/>
        <v/>
      </c>
    </row>
    <row r="5895" spans="9:21" ht="24.75" customHeight="1" x14ac:dyDescent="0.35">
      <c r="I5895" s="42">
        <f t="shared" si="920"/>
        <v>0</v>
      </c>
      <c r="J5895" s="65" t="e">
        <f t="shared" si="921"/>
        <v>#NUM!</v>
      </c>
      <c r="K5895" s="83" t="e">
        <f t="shared" si="922"/>
        <v>#NUM!</v>
      </c>
      <c r="L5895" s="83">
        <f t="shared" si="923"/>
        <v>0</v>
      </c>
      <c r="M5895" s="110" t="str">
        <f t="shared" si="924"/>
        <v/>
      </c>
      <c r="N5895" s="51" t="str">
        <f t="shared" si="925"/>
        <v/>
      </c>
      <c r="O5895" s="52" t="str">
        <f t="shared" si="926"/>
        <v/>
      </c>
      <c r="P5895" s="88">
        <f t="shared" si="927"/>
        <v>0</v>
      </c>
      <c r="Q5895" s="88">
        <f t="shared" si="928"/>
        <v>0</v>
      </c>
      <c r="R5895" s="88" t="e">
        <f>-IF(Tabla14[[#This Row],[DIAS HABILES O MORA]]&lt;0,(Tabla14[[#This Row],[VALOR PRESTAMO]]*Tabla14[[#This Row],[% INTERES ]]/30*U5895))+Tabla14[[#This Row],[VALOR CUOTAS]]</f>
        <v>#VALUE!</v>
      </c>
      <c r="S5895" s="88">
        <f>-IF(Tabla14[[#This Row],[DIAS HABILES O MORA]]&lt;0,(Tabla14[[#This Row],[VALOR PRESTAMO]]*Tabla14[[#This Row],[% INTERES ]]/30*U5895))</f>
        <v>0</v>
      </c>
      <c r="T5895" s="53" t="e">
        <f>Tabla14[[#This Row],[DEUDA CAPITAL]]+Tabla14[[#This Row],[INTERES  CUOTA]]</f>
        <v>#NUM!</v>
      </c>
      <c r="U5895" s="61" t="str">
        <f t="shared" si="929"/>
        <v/>
      </c>
    </row>
    <row r="5896" spans="9:21" ht="24.75" customHeight="1" x14ac:dyDescent="0.35">
      <c r="I5896" s="42">
        <f t="shared" si="920"/>
        <v>0</v>
      </c>
      <c r="J5896" s="65" t="e">
        <f t="shared" si="921"/>
        <v>#NUM!</v>
      </c>
      <c r="K5896" s="83" t="e">
        <f t="shared" si="922"/>
        <v>#NUM!</v>
      </c>
      <c r="L5896" s="83">
        <f t="shared" si="923"/>
        <v>0</v>
      </c>
      <c r="M5896" s="110" t="str">
        <f t="shared" si="924"/>
        <v/>
      </c>
      <c r="N5896" s="51" t="str">
        <f t="shared" si="925"/>
        <v/>
      </c>
      <c r="O5896" s="52" t="str">
        <f t="shared" si="926"/>
        <v/>
      </c>
      <c r="P5896" s="88">
        <f t="shared" si="927"/>
        <v>0</v>
      </c>
      <c r="Q5896" s="88">
        <f t="shared" si="928"/>
        <v>0</v>
      </c>
      <c r="R5896" s="88" t="e">
        <f>-IF(Tabla14[[#This Row],[DIAS HABILES O MORA]]&lt;0,(Tabla14[[#This Row],[VALOR PRESTAMO]]*Tabla14[[#This Row],[% INTERES ]]/30*U5896))+Tabla14[[#This Row],[VALOR CUOTAS]]</f>
        <v>#VALUE!</v>
      </c>
      <c r="S5896" s="88">
        <f>-IF(Tabla14[[#This Row],[DIAS HABILES O MORA]]&lt;0,(Tabla14[[#This Row],[VALOR PRESTAMO]]*Tabla14[[#This Row],[% INTERES ]]/30*U5896))</f>
        <v>0</v>
      </c>
      <c r="T5896" s="53" t="e">
        <f>Tabla14[[#This Row],[DEUDA CAPITAL]]+Tabla14[[#This Row],[INTERES  CUOTA]]</f>
        <v>#NUM!</v>
      </c>
      <c r="U5896" s="61" t="str">
        <f t="shared" si="929"/>
        <v/>
      </c>
    </row>
    <row r="5897" spans="9:21" ht="24.75" customHeight="1" x14ac:dyDescent="0.35">
      <c r="I5897" s="42">
        <f t="shared" si="920"/>
        <v>0</v>
      </c>
      <c r="J5897" s="65" t="e">
        <f t="shared" si="921"/>
        <v>#NUM!</v>
      </c>
      <c r="K5897" s="83" t="e">
        <f t="shared" si="922"/>
        <v>#NUM!</v>
      </c>
      <c r="L5897" s="83">
        <f t="shared" si="923"/>
        <v>0</v>
      </c>
      <c r="M5897" s="110" t="str">
        <f t="shared" si="924"/>
        <v/>
      </c>
      <c r="N5897" s="51" t="str">
        <f t="shared" si="925"/>
        <v/>
      </c>
      <c r="O5897" s="52" t="str">
        <f t="shared" si="926"/>
        <v/>
      </c>
      <c r="P5897" s="88">
        <f t="shared" si="927"/>
        <v>0</v>
      </c>
      <c r="Q5897" s="88">
        <f t="shared" si="928"/>
        <v>0</v>
      </c>
      <c r="R5897" s="88" t="e">
        <f>-IF(Tabla14[[#This Row],[DIAS HABILES O MORA]]&lt;0,(Tabla14[[#This Row],[VALOR PRESTAMO]]*Tabla14[[#This Row],[% INTERES ]]/30*U5897))+Tabla14[[#This Row],[VALOR CUOTAS]]</f>
        <v>#VALUE!</v>
      </c>
      <c r="S5897" s="88">
        <f>-IF(Tabla14[[#This Row],[DIAS HABILES O MORA]]&lt;0,(Tabla14[[#This Row],[VALOR PRESTAMO]]*Tabla14[[#This Row],[% INTERES ]]/30*U5897))</f>
        <v>0</v>
      </c>
      <c r="T5897" s="53" t="e">
        <f>Tabla14[[#This Row],[DEUDA CAPITAL]]+Tabla14[[#This Row],[INTERES  CUOTA]]</f>
        <v>#NUM!</v>
      </c>
      <c r="U5897" s="61" t="str">
        <f t="shared" si="929"/>
        <v/>
      </c>
    </row>
    <row r="5898" spans="9:21" ht="24.75" customHeight="1" x14ac:dyDescent="0.35">
      <c r="I5898" s="42">
        <f t="shared" si="920"/>
        <v>0</v>
      </c>
      <c r="J5898" s="65" t="e">
        <f t="shared" si="921"/>
        <v>#NUM!</v>
      </c>
      <c r="K5898" s="83" t="e">
        <f t="shared" si="922"/>
        <v>#NUM!</v>
      </c>
      <c r="L5898" s="83">
        <f t="shared" si="923"/>
        <v>0</v>
      </c>
      <c r="M5898" s="110" t="str">
        <f t="shared" si="924"/>
        <v/>
      </c>
      <c r="N5898" s="51" t="str">
        <f t="shared" si="925"/>
        <v/>
      </c>
      <c r="O5898" s="52" t="str">
        <f t="shared" si="926"/>
        <v/>
      </c>
      <c r="P5898" s="88">
        <f t="shared" si="927"/>
        <v>0</v>
      </c>
      <c r="Q5898" s="88">
        <f t="shared" si="928"/>
        <v>0</v>
      </c>
      <c r="R5898" s="88" t="e">
        <f>-IF(Tabla14[[#This Row],[DIAS HABILES O MORA]]&lt;0,(Tabla14[[#This Row],[VALOR PRESTAMO]]*Tabla14[[#This Row],[% INTERES ]]/30*U5898))+Tabla14[[#This Row],[VALOR CUOTAS]]</f>
        <v>#VALUE!</v>
      </c>
      <c r="S5898" s="88">
        <f>-IF(Tabla14[[#This Row],[DIAS HABILES O MORA]]&lt;0,(Tabla14[[#This Row],[VALOR PRESTAMO]]*Tabla14[[#This Row],[% INTERES ]]/30*U5898))</f>
        <v>0</v>
      </c>
      <c r="T5898" s="53" t="e">
        <f>Tabla14[[#This Row],[DEUDA CAPITAL]]+Tabla14[[#This Row],[INTERES  CUOTA]]</f>
        <v>#NUM!</v>
      </c>
      <c r="U5898" s="61" t="str">
        <f t="shared" si="929"/>
        <v/>
      </c>
    </row>
    <row r="5899" spans="9:21" ht="24.75" customHeight="1" x14ac:dyDescent="0.35">
      <c r="I5899" s="42">
        <f t="shared" si="920"/>
        <v>0</v>
      </c>
      <c r="J5899" s="65" t="e">
        <f t="shared" si="921"/>
        <v>#NUM!</v>
      </c>
      <c r="K5899" s="83" t="e">
        <f t="shared" si="922"/>
        <v>#NUM!</v>
      </c>
      <c r="L5899" s="83">
        <f t="shared" si="923"/>
        <v>0</v>
      </c>
      <c r="M5899" s="110" t="str">
        <f t="shared" si="924"/>
        <v/>
      </c>
      <c r="N5899" s="51" t="str">
        <f t="shared" si="925"/>
        <v/>
      </c>
      <c r="O5899" s="52" t="str">
        <f t="shared" si="926"/>
        <v/>
      </c>
      <c r="P5899" s="88">
        <f t="shared" si="927"/>
        <v>0</v>
      </c>
      <c r="Q5899" s="88">
        <f t="shared" si="928"/>
        <v>0</v>
      </c>
      <c r="R5899" s="88" t="e">
        <f>-IF(Tabla14[[#This Row],[DIAS HABILES O MORA]]&lt;0,(Tabla14[[#This Row],[VALOR PRESTAMO]]*Tabla14[[#This Row],[% INTERES ]]/30*U5899))+Tabla14[[#This Row],[VALOR CUOTAS]]</f>
        <v>#VALUE!</v>
      </c>
      <c r="S5899" s="88">
        <f>-IF(Tabla14[[#This Row],[DIAS HABILES O MORA]]&lt;0,(Tabla14[[#This Row],[VALOR PRESTAMO]]*Tabla14[[#This Row],[% INTERES ]]/30*U5899))</f>
        <v>0</v>
      </c>
      <c r="T5899" s="53" t="e">
        <f>Tabla14[[#This Row],[DEUDA CAPITAL]]+Tabla14[[#This Row],[INTERES  CUOTA]]</f>
        <v>#NUM!</v>
      </c>
      <c r="U5899" s="61" t="str">
        <f t="shared" si="929"/>
        <v/>
      </c>
    </row>
    <row r="5900" spans="9:21" ht="24.75" customHeight="1" x14ac:dyDescent="0.35">
      <c r="I5900" s="42">
        <f t="shared" si="920"/>
        <v>0</v>
      </c>
      <c r="J5900" s="65" t="e">
        <f t="shared" si="921"/>
        <v>#NUM!</v>
      </c>
      <c r="K5900" s="83" t="e">
        <f t="shared" si="922"/>
        <v>#NUM!</v>
      </c>
      <c r="L5900" s="83">
        <f t="shared" si="923"/>
        <v>0</v>
      </c>
      <c r="M5900" s="110" t="str">
        <f t="shared" si="924"/>
        <v/>
      </c>
      <c r="N5900" s="51" t="str">
        <f t="shared" si="925"/>
        <v/>
      </c>
      <c r="O5900" s="52" t="str">
        <f t="shared" si="926"/>
        <v/>
      </c>
      <c r="P5900" s="88">
        <f t="shared" si="927"/>
        <v>0</v>
      </c>
      <c r="Q5900" s="88">
        <f t="shared" si="928"/>
        <v>0</v>
      </c>
      <c r="R5900" s="88" t="e">
        <f>-IF(Tabla14[[#This Row],[DIAS HABILES O MORA]]&lt;0,(Tabla14[[#This Row],[VALOR PRESTAMO]]*Tabla14[[#This Row],[% INTERES ]]/30*U5900))+Tabla14[[#This Row],[VALOR CUOTAS]]</f>
        <v>#VALUE!</v>
      </c>
      <c r="S5900" s="88">
        <f>-IF(Tabla14[[#This Row],[DIAS HABILES O MORA]]&lt;0,(Tabla14[[#This Row],[VALOR PRESTAMO]]*Tabla14[[#This Row],[% INTERES ]]/30*U5900))</f>
        <v>0</v>
      </c>
      <c r="T5900" s="53" t="e">
        <f>Tabla14[[#This Row],[DEUDA CAPITAL]]+Tabla14[[#This Row],[INTERES  CUOTA]]</f>
        <v>#NUM!</v>
      </c>
      <c r="U5900" s="61" t="str">
        <f t="shared" si="929"/>
        <v/>
      </c>
    </row>
    <row r="5901" spans="9:21" ht="24.75" customHeight="1" x14ac:dyDescent="0.35">
      <c r="I5901" s="42">
        <f t="shared" si="920"/>
        <v>0</v>
      </c>
      <c r="J5901" s="65" t="e">
        <f t="shared" si="921"/>
        <v>#NUM!</v>
      </c>
      <c r="K5901" s="83" t="e">
        <f t="shared" si="922"/>
        <v>#NUM!</v>
      </c>
      <c r="L5901" s="83">
        <f t="shared" si="923"/>
        <v>0</v>
      </c>
      <c r="M5901" s="110" t="str">
        <f t="shared" si="924"/>
        <v/>
      </c>
      <c r="N5901" s="51" t="str">
        <f t="shared" si="925"/>
        <v/>
      </c>
      <c r="O5901" s="52" t="str">
        <f t="shared" si="926"/>
        <v/>
      </c>
      <c r="P5901" s="88">
        <f t="shared" si="927"/>
        <v>0</v>
      </c>
      <c r="Q5901" s="88">
        <f t="shared" si="928"/>
        <v>0</v>
      </c>
      <c r="R5901" s="88" t="e">
        <f>-IF(Tabla14[[#This Row],[DIAS HABILES O MORA]]&lt;0,(Tabla14[[#This Row],[VALOR PRESTAMO]]*Tabla14[[#This Row],[% INTERES ]]/30*U5901))+Tabla14[[#This Row],[VALOR CUOTAS]]</f>
        <v>#VALUE!</v>
      </c>
      <c r="S5901" s="88">
        <f>-IF(Tabla14[[#This Row],[DIAS HABILES O MORA]]&lt;0,(Tabla14[[#This Row],[VALOR PRESTAMO]]*Tabla14[[#This Row],[% INTERES ]]/30*U5901))</f>
        <v>0</v>
      </c>
      <c r="T5901" s="53" t="e">
        <f>Tabla14[[#This Row],[DEUDA CAPITAL]]+Tabla14[[#This Row],[INTERES  CUOTA]]</f>
        <v>#NUM!</v>
      </c>
      <c r="U5901" s="61" t="str">
        <f t="shared" si="929"/>
        <v/>
      </c>
    </row>
    <row r="5902" spans="9:21" ht="24.75" customHeight="1" x14ac:dyDescent="0.35">
      <c r="I5902" s="42">
        <f t="shared" si="920"/>
        <v>0</v>
      </c>
      <c r="J5902" s="65" t="e">
        <f t="shared" si="921"/>
        <v>#NUM!</v>
      </c>
      <c r="K5902" s="83" t="e">
        <f t="shared" si="922"/>
        <v>#NUM!</v>
      </c>
      <c r="L5902" s="83">
        <f t="shared" si="923"/>
        <v>0</v>
      </c>
      <c r="M5902" s="110" t="str">
        <f t="shared" si="924"/>
        <v/>
      </c>
      <c r="N5902" s="51" t="str">
        <f t="shared" si="925"/>
        <v/>
      </c>
      <c r="O5902" s="52" t="str">
        <f t="shared" si="926"/>
        <v/>
      </c>
      <c r="P5902" s="88">
        <f t="shared" si="927"/>
        <v>0</v>
      </c>
      <c r="Q5902" s="88">
        <f t="shared" si="928"/>
        <v>0</v>
      </c>
      <c r="R5902" s="88" t="e">
        <f>-IF(Tabla14[[#This Row],[DIAS HABILES O MORA]]&lt;0,(Tabla14[[#This Row],[VALOR PRESTAMO]]*Tabla14[[#This Row],[% INTERES ]]/30*U5902))+Tabla14[[#This Row],[VALOR CUOTAS]]</f>
        <v>#VALUE!</v>
      </c>
      <c r="S5902" s="88">
        <f>-IF(Tabla14[[#This Row],[DIAS HABILES O MORA]]&lt;0,(Tabla14[[#This Row],[VALOR PRESTAMO]]*Tabla14[[#This Row],[% INTERES ]]/30*U5902))</f>
        <v>0</v>
      </c>
      <c r="T5902" s="53" t="e">
        <f>Tabla14[[#This Row],[DEUDA CAPITAL]]+Tabla14[[#This Row],[INTERES  CUOTA]]</f>
        <v>#NUM!</v>
      </c>
      <c r="U5902" s="61" t="str">
        <f t="shared" si="929"/>
        <v/>
      </c>
    </row>
    <row r="5903" spans="9:21" ht="24.75" customHeight="1" x14ac:dyDescent="0.35">
      <c r="I5903" s="42">
        <f t="shared" si="920"/>
        <v>0</v>
      </c>
      <c r="J5903" s="65" t="e">
        <f t="shared" si="921"/>
        <v>#NUM!</v>
      </c>
      <c r="K5903" s="83" t="e">
        <f t="shared" si="922"/>
        <v>#NUM!</v>
      </c>
      <c r="L5903" s="83">
        <f t="shared" si="923"/>
        <v>0</v>
      </c>
      <c r="M5903" s="110" t="str">
        <f t="shared" si="924"/>
        <v/>
      </c>
      <c r="N5903" s="51" t="str">
        <f t="shared" si="925"/>
        <v/>
      </c>
      <c r="O5903" s="52" t="str">
        <f t="shared" si="926"/>
        <v/>
      </c>
      <c r="P5903" s="88">
        <f t="shared" si="927"/>
        <v>0</v>
      </c>
      <c r="Q5903" s="88">
        <f t="shared" si="928"/>
        <v>0</v>
      </c>
      <c r="R5903" s="88" t="e">
        <f>-IF(Tabla14[[#This Row],[DIAS HABILES O MORA]]&lt;0,(Tabla14[[#This Row],[VALOR PRESTAMO]]*Tabla14[[#This Row],[% INTERES ]]/30*U5903))+Tabla14[[#This Row],[VALOR CUOTAS]]</f>
        <v>#VALUE!</v>
      </c>
      <c r="S5903" s="88">
        <f>-IF(Tabla14[[#This Row],[DIAS HABILES O MORA]]&lt;0,(Tabla14[[#This Row],[VALOR PRESTAMO]]*Tabla14[[#This Row],[% INTERES ]]/30*U5903))</f>
        <v>0</v>
      </c>
      <c r="T5903" s="53" t="e">
        <f>Tabla14[[#This Row],[DEUDA CAPITAL]]+Tabla14[[#This Row],[INTERES  CUOTA]]</f>
        <v>#NUM!</v>
      </c>
      <c r="U5903" s="61" t="str">
        <f t="shared" si="929"/>
        <v/>
      </c>
    </row>
    <row r="5904" spans="9:21" ht="24.75" customHeight="1" x14ac:dyDescent="0.35">
      <c r="I5904" s="42">
        <f t="shared" ref="I5904:I5967" si="930">IF(C5904&lt;0,"",IF(Q5904=0,0,IF(G5904=0,H5904+1,IF(H5904&lt;G5904,H5904+1,IF(G5904=H5904,0)))))</f>
        <v>0</v>
      </c>
      <c r="J5904" s="65" t="e">
        <f t="shared" ref="J5904:J5967" si="931">IF(F5904="SOLO INTERES",Q5904*D5904,-IPMT(D5904,I5904,G5904,C5904))</f>
        <v>#NUM!</v>
      </c>
      <c r="K5904" s="83" t="e">
        <f t="shared" ref="K5904:K5967" si="932">IF(F5904="SOLO INTERES",0,-PPMT(D5904,I5904,G5904,C5904))</f>
        <v>#NUM!</v>
      </c>
      <c r="L5904" s="83">
        <f t="shared" ref="L5904:L5967" si="933">IF(F5904="SOLO INTERES",SUM(Y5904:AAE5904),IFERROR(-CUMIPMT(D5904,G5904,C5904,1,H5904,0),0)+SUM(Y5904:WY5904))</f>
        <v>0</v>
      </c>
      <c r="M5904" s="110" t="str">
        <f t="shared" ref="M5904:M5967" si="934">IFERROR(IF(F5904="SOLO INTERES",Q5904*D5904,-PMT(D5904,G5904,C5904,0)),"")</f>
        <v/>
      </c>
      <c r="N5904" s="51" t="str">
        <f t="shared" ref="N5904:N5967" si="935">IF(Q5904=0,"",IF(E5904="MENSUAL",EDATE(B5904,I5904),IF(E5904="QUINCENAL",B5904+(I5904*15),IF(E5904="SEMANAL",B5904+(I5904*7)))))</f>
        <v/>
      </c>
      <c r="O5904" s="52" t="str">
        <f t="shared" ref="O5904:O5967" si="936">IF(C5904=0,"",IF(Q5904&lt;1,"PAGADO",IF(N5904=$A$3,"COBRAR HOY",IF(N5904&lt;$A$3,"EN MORA",IF(N5904&gt;$A$3,"AL DIA")))))</f>
        <v/>
      </c>
      <c r="P5904" s="88">
        <f t="shared" ref="P5904:P5967" si="937">IFERROR(-CUMPRINC(D5904,G5904,C5904,1,H5904,0),0)+W5904</f>
        <v>0</v>
      </c>
      <c r="Q5904" s="88">
        <f t="shared" ref="Q5904:Q5967" si="938">IFERROR(C5904-P5904,"")</f>
        <v>0</v>
      </c>
      <c r="R5904" s="88" t="e">
        <f>-IF(Tabla14[[#This Row],[DIAS HABILES O MORA]]&lt;0,(Tabla14[[#This Row],[VALOR PRESTAMO]]*Tabla14[[#This Row],[% INTERES ]]/30*U5904))+Tabla14[[#This Row],[VALOR CUOTAS]]</f>
        <v>#VALUE!</v>
      </c>
      <c r="S5904" s="88">
        <f>-IF(Tabla14[[#This Row],[DIAS HABILES O MORA]]&lt;0,(Tabla14[[#This Row],[VALOR PRESTAMO]]*Tabla14[[#This Row],[% INTERES ]]/30*U5904))</f>
        <v>0</v>
      </c>
      <c r="T5904" s="53" t="e">
        <f>Tabla14[[#This Row],[DEUDA CAPITAL]]+Tabla14[[#This Row],[INTERES  CUOTA]]</f>
        <v>#NUM!</v>
      </c>
      <c r="U5904" s="61" t="str">
        <f t="shared" ref="U5904:U5967" si="939">IF(O5904="PAGADO","",IFERROR(-IF(C5904=0,"",$A$3-N5904),""))</f>
        <v/>
      </c>
    </row>
    <row r="5905" spans="9:21" ht="24.75" customHeight="1" x14ac:dyDescent="0.35">
      <c r="I5905" s="42">
        <f t="shared" si="930"/>
        <v>0</v>
      </c>
      <c r="J5905" s="65" t="e">
        <f t="shared" si="931"/>
        <v>#NUM!</v>
      </c>
      <c r="K5905" s="83" t="e">
        <f t="shared" si="932"/>
        <v>#NUM!</v>
      </c>
      <c r="L5905" s="83">
        <f t="shared" si="933"/>
        <v>0</v>
      </c>
      <c r="M5905" s="110" t="str">
        <f t="shared" si="934"/>
        <v/>
      </c>
      <c r="N5905" s="51" t="str">
        <f t="shared" si="935"/>
        <v/>
      </c>
      <c r="O5905" s="52" t="str">
        <f t="shared" si="936"/>
        <v/>
      </c>
      <c r="P5905" s="88">
        <f t="shared" si="937"/>
        <v>0</v>
      </c>
      <c r="Q5905" s="88">
        <f t="shared" si="938"/>
        <v>0</v>
      </c>
      <c r="R5905" s="88" t="e">
        <f>-IF(Tabla14[[#This Row],[DIAS HABILES O MORA]]&lt;0,(Tabla14[[#This Row],[VALOR PRESTAMO]]*Tabla14[[#This Row],[% INTERES ]]/30*U5905))+Tabla14[[#This Row],[VALOR CUOTAS]]</f>
        <v>#VALUE!</v>
      </c>
      <c r="S5905" s="88">
        <f>-IF(Tabla14[[#This Row],[DIAS HABILES O MORA]]&lt;0,(Tabla14[[#This Row],[VALOR PRESTAMO]]*Tabla14[[#This Row],[% INTERES ]]/30*U5905))</f>
        <v>0</v>
      </c>
      <c r="T5905" s="53" t="e">
        <f>Tabla14[[#This Row],[DEUDA CAPITAL]]+Tabla14[[#This Row],[INTERES  CUOTA]]</f>
        <v>#NUM!</v>
      </c>
      <c r="U5905" s="61" t="str">
        <f t="shared" si="939"/>
        <v/>
      </c>
    </row>
    <row r="5906" spans="9:21" ht="24.75" customHeight="1" x14ac:dyDescent="0.35">
      <c r="I5906" s="42">
        <f t="shared" si="930"/>
        <v>0</v>
      </c>
      <c r="J5906" s="65" t="e">
        <f t="shared" si="931"/>
        <v>#NUM!</v>
      </c>
      <c r="K5906" s="83" t="e">
        <f t="shared" si="932"/>
        <v>#NUM!</v>
      </c>
      <c r="L5906" s="83">
        <f t="shared" si="933"/>
        <v>0</v>
      </c>
      <c r="M5906" s="110" t="str">
        <f t="shared" si="934"/>
        <v/>
      </c>
      <c r="N5906" s="51" t="str">
        <f t="shared" si="935"/>
        <v/>
      </c>
      <c r="O5906" s="52" t="str">
        <f t="shared" si="936"/>
        <v/>
      </c>
      <c r="P5906" s="88">
        <f t="shared" si="937"/>
        <v>0</v>
      </c>
      <c r="Q5906" s="88">
        <f t="shared" si="938"/>
        <v>0</v>
      </c>
      <c r="R5906" s="88" t="e">
        <f>-IF(Tabla14[[#This Row],[DIAS HABILES O MORA]]&lt;0,(Tabla14[[#This Row],[VALOR PRESTAMO]]*Tabla14[[#This Row],[% INTERES ]]/30*U5906))+Tabla14[[#This Row],[VALOR CUOTAS]]</f>
        <v>#VALUE!</v>
      </c>
      <c r="S5906" s="88">
        <f>-IF(Tabla14[[#This Row],[DIAS HABILES O MORA]]&lt;0,(Tabla14[[#This Row],[VALOR PRESTAMO]]*Tabla14[[#This Row],[% INTERES ]]/30*U5906))</f>
        <v>0</v>
      </c>
      <c r="T5906" s="53" t="e">
        <f>Tabla14[[#This Row],[DEUDA CAPITAL]]+Tabla14[[#This Row],[INTERES  CUOTA]]</f>
        <v>#NUM!</v>
      </c>
      <c r="U5906" s="61" t="str">
        <f t="shared" si="939"/>
        <v/>
      </c>
    </row>
    <row r="5907" spans="9:21" ht="24.75" customHeight="1" x14ac:dyDescent="0.35">
      <c r="I5907" s="42">
        <f t="shared" si="930"/>
        <v>0</v>
      </c>
      <c r="J5907" s="65" t="e">
        <f t="shared" si="931"/>
        <v>#NUM!</v>
      </c>
      <c r="K5907" s="83" t="e">
        <f t="shared" si="932"/>
        <v>#NUM!</v>
      </c>
      <c r="L5907" s="83">
        <f t="shared" si="933"/>
        <v>0</v>
      </c>
      <c r="M5907" s="110" t="str">
        <f t="shared" si="934"/>
        <v/>
      </c>
      <c r="N5907" s="51" t="str">
        <f t="shared" si="935"/>
        <v/>
      </c>
      <c r="O5907" s="52" t="str">
        <f t="shared" si="936"/>
        <v/>
      </c>
      <c r="P5907" s="88">
        <f t="shared" si="937"/>
        <v>0</v>
      </c>
      <c r="Q5907" s="88">
        <f t="shared" si="938"/>
        <v>0</v>
      </c>
      <c r="R5907" s="88" t="e">
        <f>-IF(Tabla14[[#This Row],[DIAS HABILES O MORA]]&lt;0,(Tabla14[[#This Row],[VALOR PRESTAMO]]*Tabla14[[#This Row],[% INTERES ]]/30*U5907))+Tabla14[[#This Row],[VALOR CUOTAS]]</f>
        <v>#VALUE!</v>
      </c>
      <c r="S5907" s="88">
        <f>-IF(Tabla14[[#This Row],[DIAS HABILES O MORA]]&lt;0,(Tabla14[[#This Row],[VALOR PRESTAMO]]*Tabla14[[#This Row],[% INTERES ]]/30*U5907))</f>
        <v>0</v>
      </c>
      <c r="T5907" s="53" t="e">
        <f>Tabla14[[#This Row],[DEUDA CAPITAL]]+Tabla14[[#This Row],[INTERES  CUOTA]]</f>
        <v>#NUM!</v>
      </c>
      <c r="U5907" s="61" t="str">
        <f t="shared" si="939"/>
        <v/>
      </c>
    </row>
    <row r="5908" spans="9:21" ht="24.75" customHeight="1" x14ac:dyDescent="0.35">
      <c r="I5908" s="42">
        <f t="shared" si="930"/>
        <v>0</v>
      </c>
      <c r="J5908" s="65" t="e">
        <f t="shared" si="931"/>
        <v>#NUM!</v>
      </c>
      <c r="K5908" s="83" t="e">
        <f t="shared" si="932"/>
        <v>#NUM!</v>
      </c>
      <c r="L5908" s="83">
        <f t="shared" si="933"/>
        <v>0</v>
      </c>
      <c r="M5908" s="110" t="str">
        <f t="shared" si="934"/>
        <v/>
      </c>
      <c r="N5908" s="51" t="str">
        <f t="shared" si="935"/>
        <v/>
      </c>
      <c r="O5908" s="52" t="str">
        <f t="shared" si="936"/>
        <v/>
      </c>
      <c r="P5908" s="88">
        <f t="shared" si="937"/>
        <v>0</v>
      </c>
      <c r="Q5908" s="88">
        <f t="shared" si="938"/>
        <v>0</v>
      </c>
      <c r="R5908" s="88" t="e">
        <f>-IF(Tabla14[[#This Row],[DIAS HABILES O MORA]]&lt;0,(Tabla14[[#This Row],[VALOR PRESTAMO]]*Tabla14[[#This Row],[% INTERES ]]/30*U5908))+Tabla14[[#This Row],[VALOR CUOTAS]]</f>
        <v>#VALUE!</v>
      </c>
      <c r="S5908" s="88">
        <f>-IF(Tabla14[[#This Row],[DIAS HABILES O MORA]]&lt;0,(Tabla14[[#This Row],[VALOR PRESTAMO]]*Tabla14[[#This Row],[% INTERES ]]/30*U5908))</f>
        <v>0</v>
      </c>
      <c r="T5908" s="53" t="e">
        <f>Tabla14[[#This Row],[DEUDA CAPITAL]]+Tabla14[[#This Row],[INTERES  CUOTA]]</f>
        <v>#NUM!</v>
      </c>
      <c r="U5908" s="61" t="str">
        <f t="shared" si="939"/>
        <v/>
      </c>
    </row>
    <row r="5909" spans="9:21" ht="24.75" customHeight="1" x14ac:dyDescent="0.35">
      <c r="I5909" s="42">
        <f t="shared" si="930"/>
        <v>0</v>
      </c>
      <c r="J5909" s="65" t="e">
        <f t="shared" si="931"/>
        <v>#NUM!</v>
      </c>
      <c r="K5909" s="83" t="e">
        <f t="shared" si="932"/>
        <v>#NUM!</v>
      </c>
      <c r="L5909" s="83">
        <f t="shared" si="933"/>
        <v>0</v>
      </c>
      <c r="M5909" s="110" t="str">
        <f t="shared" si="934"/>
        <v/>
      </c>
      <c r="N5909" s="51" t="str">
        <f t="shared" si="935"/>
        <v/>
      </c>
      <c r="O5909" s="52" t="str">
        <f t="shared" si="936"/>
        <v/>
      </c>
      <c r="P5909" s="88">
        <f t="shared" si="937"/>
        <v>0</v>
      </c>
      <c r="Q5909" s="88">
        <f t="shared" si="938"/>
        <v>0</v>
      </c>
      <c r="R5909" s="88" t="e">
        <f>-IF(Tabla14[[#This Row],[DIAS HABILES O MORA]]&lt;0,(Tabla14[[#This Row],[VALOR PRESTAMO]]*Tabla14[[#This Row],[% INTERES ]]/30*U5909))+Tabla14[[#This Row],[VALOR CUOTAS]]</f>
        <v>#VALUE!</v>
      </c>
      <c r="S5909" s="88">
        <f>-IF(Tabla14[[#This Row],[DIAS HABILES O MORA]]&lt;0,(Tabla14[[#This Row],[VALOR PRESTAMO]]*Tabla14[[#This Row],[% INTERES ]]/30*U5909))</f>
        <v>0</v>
      </c>
      <c r="T5909" s="53" t="e">
        <f>Tabla14[[#This Row],[DEUDA CAPITAL]]+Tabla14[[#This Row],[INTERES  CUOTA]]</f>
        <v>#NUM!</v>
      </c>
      <c r="U5909" s="61" t="str">
        <f t="shared" si="939"/>
        <v/>
      </c>
    </row>
    <row r="5910" spans="9:21" ht="24.75" customHeight="1" x14ac:dyDescent="0.35">
      <c r="I5910" s="42">
        <f t="shared" si="930"/>
        <v>0</v>
      </c>
      <c r="J5910" s="65" t="e">
        <f t="shared" si="931"/>
        <v>#NUM!</v>
      </c>
      <c r="K5910" s="83" t="e">
        <f t="shared" si="932"/>
        <v>#NUM!</v>
      </c>
      <c r="L5910" s="83">
        <f t="shared" si="933"/>
        <v>0</v>
      </c>
      <c r="M5910" s="110" t="str">
        <f t="shared" si="934"/>
        <v/>
      </c>
      <c r="N5910" s="51" t="str">
        <f t="shared" si="935"/>
        <v/>
      </c>
      <c r="O5910" s="52" t="str">
        <f t="shared" si="936"/>
        <v/>
      </c>
      <c r="P5910" s="88">
        <f t="shared" si="937"/>
        <v>0</v>
      </c>
      <c r="Q5910" s="88">
        <f t="shared" si="938"/>
        <v>0</v>
      </c>
      <c r="R5910" s="88" t="e">
        <f>-IF(Tabla14[[#This Row],[DIAS HABILES O MORA]]&lt;0,(Tabla14[[#This Row],[VALOR PRESTAMO]]*Tabla14[[#This Row],[% INTERES ]]/30*U5910))+Tabla14[[#This Row],[VALOR CUOTAS]]</f>
        <v>#VALUE!</v>
      </c>
      <c r="S5910" s="88">
        <f>-IF(Tabla14[[#This Row],[DIAS HABILES O MORA]]&lt;0,(Tabla14[[#This Row],[VALOR PRESTAMO]]*Tabla14[[#This Row],[% INTERES ]]/30*U5910))</f>
        <v>0</v>
      </c>
      <c r="T5910" s="53" t="e">
        <f>Tabla14[[#This Row],[DEUDA CAPITAL]]+Tabla14[[#This Row],[INTERES  CUOTA]]</f>
        <v>#NUM!</v>
      </c>
      <c r="U5910" s="61" t="str">
        <f t="shared" si="939"/>
        <v/>
      </c>
    </row>
    <row r="5911" spans="9:21" ht="24.75" customHeight="1" x14ac:dyDescent="0.35">
      <c r="I5911" s="42">
        <f t="shared" si="930"/>
        <v>0</v>
      </c>
      <c r="J5911" s="65" t="e">
        <f t="shared" si="931"/>
        <v>#NUM!</v>
      </c>
      <c r="K5911" s="83" t="e">
        <f t="shared" si="932"/>
        <v>#NUM!</v>
      </c>
      <c r="L5911" s="83">
        <f t="shared" si="933"/>
        <v>0</v>
      </c>
      <c r="M5911" s="110" t="str">
        <f t="shared" si="934"/>
        <v/>
      </c>
      <c r="N5911" s="51" t="str">
        <f t="shared" si="935"/>
        <v/>
      </c>
      <c r="O5911" s="52" t="str">
        <f t="shared" si="936"/>
        <v/>
      </c>
      <c r="P5911" s="88">
        <f t="shared" si="937"/>
        <v>0</v>
      </c>
      <c r="Q5911" s="88">
        <f t="shared" si="938"/>
        <v>0</v>
      </c>
      <c r="R5911" s="88" t="e">
        <f>-IF(Tabla14[[#This Row],[DIAS HABILES O MORA]]&lt;0,(Tabla14[[#This Row],[VALOR PRESTAMO]]*Tabla14[[#This Row],[% INTERES ]]/30*U5911))+Tabla14[[#This Row],[VALOR CUOTAS]]</f>
        <v>#VALUE!</v>
      </c>
      <c r="S5911" s="88">
        <f>-IF(Tabla14[[#This Row],[DIAS HABILES O MORA]]&lt;0,(Tabla14[[#This Row],[VALOR PRESTAMO]]*Tabla14[[#This Row],[% INTERES ]]/30*U5911))</f>
        <v>0</v>
      </c>
      <c r="T5911" s="53" t="e">
        <f>Tabla14[[#This Row],[DEUDA CAPITAL]]+Tabla14[[#This Row],[INTERES  CUOTA]]</f>
        <v>#NUM!</v>
      </c>
      <c r="U5911" s="61" t="str">
        <f t="shared" si="939"/>
        <v/>
      </c>
    </row>
    <row r="5912" spans="9:21" ht="24.75" customHeight="1" x14ac:dyDescent="0.35">
      <c r="I5912" s="42">
        <f t="shared" si="930"/>
        <v>0</v>
      </c>
      <c r="J5912" s="65" t="e">
        <f t="shared" si="931"/>
        <v>#NUM!</v>
      </c>
      <c r="K5912" s="83" t="e">
        <f t="shared" si="932"/>
        <v>#NUM!</v>
      </c>
      <c r="L5912" s="83">
        <f t="shared" si="933"/>
        <v>0</v>
      </c>
      <c r="M5912" s="110" t="str">
        <f t="shared" si="934"/>
        <v/>
      </c>
      <c r="N5912" s="51" t="str">
        <f t="shared" si="935"/>
        <v/>
      </c>
      <c r="O5912" s="52" t="str">
        <f t="shared" si="936"/>
        <v/>
      </c>
      <c r="P5912" s="88">
        <f t="shared" si="937"/>
        <v>0</v>
      </c>
      <c r="Q5912" s="88">
        <f t="shared" si="938"/>
        <v>0</v>
      </c>
      <c r="R5912" s="88" t="e">
        <f>-IF(Tabla14[[#This Row],[DIAS HABILES O MORA]]&lt;0,(Tabla14[[#This Row],[VALOR PRESTAMO]]*Tabla14[[#This Row],[% INTERES ]]/30*U5912))+Tabla14[[#This Row],[VALOR CUOTAS]]</f>
        <v>#VALUE!</v>
      </c>
      <c r="S5912" s="88">
        <f>-IF(Tabla14[[#This Row],[DIAS HABILES O MORA]]&lt;0,(Tabla14[[#This Row],[VALOR PRESTAMO]]*Tabla14[[#This Row],[% INTERES ]]/30*U5912))</f>
        <v>0</v>
      </c>
      <c r="T5912" s="53" t="e">
        <f>Tabla14[[#This Row],[DEUDA CAPITAL]]+Tabla14[[#This Row],[INTERES  CUOTA]]</f>
        <v>#NUM!</v>
      </c>
      <c r="U5912" s="61" t="str">
        <f t="shared" si="939"/>
        <v/>
      </c>
    </row>
    <row r="5913" spans="9:21" ht="24.75" customHeight="1" x14ac:dyDescent="0.35">
      <c r="I5913" s="42">
        <f t="shared" si="930"/>
        <v>0</v>
      </c>
      <c r="J5913" s="65" t="e">
        <f t="shared" si="931"/>
        <v>#NUM!</v>
      </c>
      <c r="K5913" s="83" t="e">
        <f t="shared" si="932"/>
        <v>#NUM!</v>
      </c>
      <c r="L5913" s="83">
        <f t="shared" si="933"/>
        <v>0</v>
      </c>
      <c r="M5913" s="110" t="str">
        <f t="shared" si="934"/>
        <v/>
      </c>
      <c r="N5913" s="51" t="str">
        <f t="shared" si="935"/>
        <v/>
      </c>
      <c r="O5913" s="52" t="str">
        <f t="shared" si="936"/>
        <v/>
      </c>
      <c r="P5913" s="88">
        <f t="shared" si="937"/>
        <v>0</v>
      </c>
      <c r="Q5913" s="88">
        <f t="shared" si="938"/>
        <v>0</v>
      </c>
      <c r="R5913" s="88" t="e">
        <f>-IF(Tabla14[[#This Row],[DIAS HABILES O MORA]]&lt;0,(Tabla14[[#This Row],[VALOR PRESTAMO]]*Tabla14[[#This Row],[% INTERES ]]/30*U5913))+Tabla14[[#This Row],[VALOR CUOTAS]]</f>
        <v>#VALUE!</v>
      </c>
      <c r="S5913" s="88">
        <f>-IF(Tabla14[[#This Row],[DIAS HABILES O MORA]]&lt;0,(Tabla14[[#This Row],[VALOR PRESTAMO]]*Tabla14[[#This Row],[% INTERES ]]/30*U5913))</f>
        <v>0</v>
      </c>
      <c r="T5913" s="53" t="e">
        <f>Tabla14[[#This Row],[DEUDA CAPITAL]]+Tabla14[[#This Row],[INTERES  CUOTA]]</f>
        <v>#NUM!</v>
      </c>
      <c r="U5913" s="61" t="str">
        <f t="shared" si="939"/>
        <v/>
      </c>
    </row>
    <row r="5914" spans="9:21" ht="24.75" customHeight="1" x14ac:dyDescent="0.35">
      <c r="I5914" s="42">
        <f t="shared" si="930"/>
        <v>0</v>
      </c>
      <c r="J5914" s="65" t="e">
        <f t="shared" si="931"/>
        <v>#NUM!</v>
      </c>
      <c r="K5914" s="83" t="e">
        <f t="shared" si="932"/>
        <v>#NUM!</v>
      </c>
      <c r="L5914" s="83">
        <f t="shared" si="933"/>
        <v>0</v>
      </c>
      <c r="M5914" s="110" t="str">
        <f t="shared" si="934"/>
        <v/>
      </c>
      <c r="N5914" s="51" t="str">
        <f t="shared" si="935"/>
        <v/>
      </c>
      <c r="O5914" s="52" t="str">
        <f t="shared" si="936"/>
        <v/>
      </c>
      <c r="P5914" s="88">
        <f t="shared" si="937"/>
        <v>0</v>
      </c>
      <c r="Q5914" s="88">
        <f t="shared" si="938"/>
        <v>0</v>
      </c>
      <c r="R5914" s="88" t="e">
        <f>-IF(Tabla14[[#This Row],[DIAS HABILES O MORA]]&lt;0,(Tabla14[[#This Row],[VALOR PRESTAMO]]*Tabla14[[#This Row],[% INTERES ]]/30*U5914))+Tabla14[[#This Row],[VALOR CUOTAS]]</f>
        <v>#VALUE!</v>
      </c>
      <c r="S5914" s="88">
        <f>-IF(Tabla14[[#This Row],[DIAS HABILES O MORA]]&lt;0,(Tabla14[[#This Row],[VALOR PRESTAMO]]*Tabla14[[#This Row],[% INTERES ]]/30*U5914))</f>
        <v>0</v>
      </c>
      <c r="T5914" s="53" t="e">
        <f>Tabla14[[#This Row],[DEUDA CAPITAL]]+Tabla14[[#This Row],[INTERES  CUOTA]]</f>
        <v>#NUM!</v>
      </c>
      <c r="U5914" s="61" t="str">
        <f t="shared" si="939"/>
        <v/>
      </c>
    </row>
    <row r="5915" spans="9:21" ht="24.75" customHeight="1" x14ac:dyDescent="0.35">
      <c r="I5915" s="42">
        <f t="shared" si="930"/>
        <v>0</v>
      </c>
      <c r="J5915" s="65" t="e">
        <f t="shared" si="931"/>
        <v>#NUM!</v>
      </c>
      <c r="K5915" s="83" t="e">
        <f t="shared" si="932"/>
        <v>#NUM!</v>
      </c>
      <c r="L5915" s="83">
        <f t="shared" si="933"/>
        <v>0</v>
      </c>
      <c r="M5915" s="110" t="str">
        <f t="shared" si="934"/>
        <v/>
      </c>
      <c r="N5915" s="51" t="str">
        <f t="shared" si="935"/>
        <v/>
      </c>
      <c r="O5915" s="52" t="str">
        <f t="shared" si="936"/>
        <v/>
      </c>
      <c r="P5915" s="88">
        <f t="shared" si="937"/>
        <v>0</v>
      </c>
      <c r="Q5915" s="88">
        <f t="shared" si="938"/>
        <v>0</v>
      </c>
      <c r="R5915" s="88" t="e">
        <f>-IF(Tabla14[[#This Row],[DIAS HABILES O MORA]]&lt;0,(Tabla14[[#This Row],[VALOR PRESTAMO]]*Tabla14[[#This Row],[% INTERES ]]/30*U5915))+Tabla14[[#This Row],[VALOR CUOTAS]]</f>
        <v>#VALUE!</v>
      </c>
      <c r="S5915" s="88">
        <f>-IF(Tabla14[[#This Row],[DIAS HABILES O MORA]]&lt;0,(Tabla14[[#This Row],[VALOR PRESTAMO]]*Tabla14[[#This Row],[% INTERES ]]/30*U5915))</f>
        <v>0</v>
      </c>
      <c r="T5915" s="53" t="e">
        <f>Tabla14[[#This Row],[DEUDA CAPITAL]]+Tabla14[[#This Row],[INTERES  CUOTA]]</f>
        <v>#NUM!</v>
      </c>
      <c r="U5915" s="61" t="str">
        <f t="shared" si="939"/>
        <v/>
      </c>
    </row>
    <row r="5916" spans="9:21" ht="24.75" customHeight="1" x14ac:dyDescent="0.35">
      <c r="I5916" s="42">
        <f t="shared" si="930"/>
        <v>0</v>
      </c>
      <c r="J5916" s="65" t="e">
        <f t="shared" si="931"/>
        <v>#NUM!</v>
      </c>
      <c r="K5916" s="83" t="e">
        <f t="shared" si="932"/>
        <v>#NUM!</v>
      </c>
      <c r="L5916" s="83">
        <f t="shared" si="933"/>
        <v>0</v>
      </c>
      <c r="M5916" s="110" t="str">
        <f t="shared" si="934"/>
        <v/>
      </c>
      <c r="N5916" s="51" t="str">
        <f t="shared" si="935"/>
        <v/>
      </c>
      <c r="O5916" s="52" t="str">
        <f t="shared" si="936"/>
        <v/>
      </c>
      <c r="P5916" s="88">
        <f t="shared" si="937"/>
        <v>0</v>
      </c>
      <c r="Q5916" s="88">
        <f t="shared" si="938"/>
        <v>0</v>
      </c>
      <c r="R5916" s="88" t="e">
        <f>-IF(Tabla14[[#This Row],[DIAS HABILES O MORA]]&lt;0,(Tabla14[[#This Row],[VALOR PRESTAMO]]*Tabla14[[#This Row],[% INTERES ]]/30*U5916))+Tabla14[[#This Row],[VALOR CUOTAS]]</f>
        <v>#VALUE!</v>
      </c>
      <c r="S5916" s="88">
        <f>-IF(Tabla14[[#This Row],[DIAS HABILES O MORA]]&lt;0,(Tabla14[[#This Row],[VALOR PRESTAMO]]*Tabla14[[#This Row],[% INTERES ]]/30*U5916))</f>
        <v>0</v>
      </c>
      <c r="T5916" s="53" t="e">
        <f>Tabla14[[#This Row],[DEUDA CAPITAL]]+Tabla14[[#This Row],[INTERES  CUOTA]]</f>
        <v>#NUM!</v>
      </c>
      <c r="U5916" s="61" t="str">
        <f t="shared" si="939"/>
        <v/>
      </c>
    </row>
    <row r="5917" spans="9:21" ht="24.75" customHeight="1" x14ac:dyDescent="0.35">
      <c r="I5917" s="42">
        <f t="shared" si="930"/>
        <v>0</v>
      </c>
      <c r="J5917" s="65" t="e">
        <f t="shared" si="931"/>
        <v>#NUM!</v>
      </c>
      <c r="K5917" s="83" t="e">
        <f t="shared" si="932"/>
        <v>#NUM!</v>
      </c>
      <c r="L5917" s="83">
        <f t="shared" si="933"/>
        <v>0</v>
      </c>
      <c r="M5917" s="110" t="str">
        <f t="shared" si="934"/>
        <v/>
      </c>
      <c r="N5917" s="51" t="str">
        <f t="shared" si="935"/>
        <v/>
      </c>
      <c r="O5917" s="52" t="str">
        <f t="shared" si="936"/>
        <v/>
      </c>
      <c r="P5917" s="88">
        <f t="shared" si="937"/>
        <v>0</v>
      </c>
      <c r="Q5917" s="88">
        <f t="shared" si="938"/>
        <v>0</v>
      </c>
      <c r="R5917" s="88" t="e">
        <f>-IF(Tabla14[[#This Row],[DIAS HABILES O MORA]]&lt;0,(Tabla14[[#This Row],[VALOR PRESTAMO]]*Tabla14[[#This Row],[% INTERES ]]/30*U5917))+Tabla14[[#This Row],[VALOR CUOTAS]]</f>
        <v>#VALUE!</v>
      </c>
      <c r="S5917" s="88">
        <f>-IF(Tabla14[[#This Row],[DIAS HABILES O MORA]]&lt;0,(Tabla14[[#This Row],[VALOR PRESTAMO]]*Tabla14[[#This Row],[% INTERES ]]/30*U5917))</f>
        <v>0</v>
      </c>
      <c r="T5917" s="53" t="e">
        <f>Tabla14[[#This Row],[DEUDA CAPITAL]]+Tabla14[[#This Row],[INTERES  CUOTA]]</f>
        <v>#NUM!</v>
      </c>
      <c r="U5917" s="61" t="str">
        <f t="shared" si="939"/>
        <v/>
      </c>
    </row>
    <row r="5918" spans="9:21" ht="24.75" customHeight="1" x14ac:dyDescent="0.35">
      <c r="I5918" s="42">
        <f t="shared" si="930"/>
        <v>0</v>
      </c>
      <c r="J5918" s="65" t="e">
        <f t="shared" si="931"/>
        <v>#NUM!</v>
      </c>
      <c r="K5918" s="83" t="e">
        <f t="shared" si="932"/>
        <v>#NUM!</v>
      </c>
      <c r="L5918" s="83">
        <f t="shared" si="933"/>
        <v>0</v>
      </c>
      <c r="M5918" s="110" t="str">
        <f t="shared" si="934"/>
        <v/>
      </c>
      <c r="N5918" s="51" t="str">
        <f t="shared" si="935"/>
        <v/>
      </c>
      <c r="O5918" s="52" t="str">
        <f t="shared" si="936"/>
        <v/>
      </c>
      <c r="P5918" s="88">
        <f t="shared" si="937"/>
        <v>0</v>
      </c>
      <c r="Q5918" s="88">
        <f t="shared" si="938"/>
        <v>0</v>
      </c>
      <c r="R5918" s="88" t="e">
        <f>-IF(Tabla14[[#This Row],[DIAS HABILES O MORA]]&lt;0,(Tabla14[[#This Row],[VALOR PRESTAMO]]*Tabla14[[#This Row],[% INTERES ]]/30*U5918))+Tabla14[[#This Row],[VALOR CUOTAS]]</f>
        <v>#VALUE!</v>
      </c>
      <c r="S5918" s="88">
        <f>-IF(Tabla14[[#This Row],[DIAS HABILES O MORA]]&lt;0,(Tabla14[[#This Row],[VALOR PRESTAMO]]*Tabla14[[#This Row],[% INTERES ]]/30*U5918))</f>
        <v>0</v>
      </c>
      <c r="T5918" s="53" t="e">
        <f>Tabla14[[#This Row],[DEUDA CAPITAL]]+Tabla14[[#This Row],[INTERES  CUOTA]]</f>
        <v>#NUM!</v>
      </c>
      <c r="U5918" s="61" t="str">
        <f t="shared" si="939"/>
        <v/>
      </c>
    </row>
    <row r="5919" spans="9:21" ht="24.75" customHeight="1" x14ac:dyDescent="0.35">
      <c r="I5919" s="42">
        <f t="shared" si="930"/>
        <v>0</v>
      </c>
      <c r="J5919" s="65" t="e">
        <f t="shared" si="931"/>
        <v>#NUM!</v>
      </c>
      <c r="K5919" s="83" t="e">
        <f t="shared" si="932"/>
        <v>#NUM!</v>
      </c>
      <c r="L5919" s="83">
        <f t="shared" si="933"/>
        <v>0</v>
      </c>
      <c r="M5919" s="110" t="str">
        <f t="shared" si="934"/>
        <v/>
      </c>
      <c r="N5919" s="51" t="str">
        <f t="shared" si="935"/>
        <v/>
      </c>
      <c r="O5919" s="52" t="str">
        <f t="shared" si="936"/>
        <v/>
      </c>
      <c r="P5919" s="88">
        <f t="shared" si="937"/>
        <v>0</v>
      </c>
      <c r="Q5919" s="88">
        <f t="shared" si="938"/>
        <v>0</v>
      </c>
      <c r="R5919" s="88" t="e">
        <f>-IF(Tabla14[[#This Row],[DIAS HABILES O MORA]]&lt;0,(Tabla14[[#This Row],[VALOR PRESTAMO]]*Tabla14[[#This Row],[% INTERES ]]/30*U5919))+Tabla14[[#This Row],[VALOR CUOTAS]]</f>
        <v>#VALUE!</v>
      </c>
      <c r="S5919" s="88">
        <f>-IF(Tabla14[[#This Row],[DIAS HABILES O MORA]]&lt;0,(Tabla14[[#This Row],[VALOR PRESTAMO]]*Tabla14[[#This Row],[% INTERES ]]/30*U5919))</f>
        <v>0</v>
      </c>
      <c r="T5919" s="53" t="e">
        <f>Tabla14[[#This Row],[DEUDA CAPITAL]]+Tabla14[[#This Row],[INTERES  CUOTA]]</f>
        <v>#NUM!</v>
      </c>
      <c r="U5919" s="61" t="str">
        <f t="shared" si="939"/>
        <v/>
      </c>
    </row>
    <row r="5920" spans="9:21" ht="24.75" customHeight="1" x14ac:dyDescent="0.35">
      <c r="I5920" s="42">
        <f t="shared" si="930"/>
        <v>0</v>
      </c>
      <c r="J5920" s="65" t="e">
        <f t="shared" si="931"/>
        <v>#NUM!</v>
      </c>
      <c r="K5920" s="83" t="e">
        <f t="shared" si="932"/>
        <v>#NUM!</v>
      </c>
      <c r="L5920" s="83">
        <f t="shared" si="933"/>
        <v>0</v>
      </c>
      <c r="M5920" s="110" t="str">
        <f t="shared" si="934"/>
        <v/>
      </c>
      <c r="N5920" s="51" t="str">
        <f t="shared" si="935"/>
        <v/>
      </c>
      <c r="O5920" s="52" t="str">
        <f t="shared" si="936"/>
        <v/>
      </c>
      <c r="P5920" s="88">
        <f t="shared" si="937"/>
        <v>0</v>
      </c>
      <c r="Q5920" s="88">
        <f t="shared" si="938"/>
        <v>0</v>
      </c>
      <c r="R5920" s="88" t="e">
        <f>-IF(Tabla14[[#This Row],[DIAS HABILES O MORA]]&lt;0,(Tabla14[[#This Row],[VALOR PRESTAMO]]*Tabla14[[#This Row],[% INTERES ]]/30*U5920))+Tabla14[[#This Row],[VALOR CUOTAS]]</f>
        <v>#VALUE!</v>
      </c>
      <c r="S5920" s="88">
        <f>-IF(Tabla14[[#This Row],[DIAS HABILES O MORA]]&lt;0,(Tabla14[[#This Row],[VALOR PRESTAMO]]*Tabla14[[#This Row],[% INTERES ]]/30*U5920))</f>
        <v>0</v>
      </c>
      <c r="T5920" s="53" t="e">
        <f>Tabla14[[#This Row],[DEUDA CAPITAL]]+Tabla14[[#This Row],[INTERES  CUOTA]]</f>
        <v>#NUM!</v>
      </c>
      <c r="U5920" s="61" t="str">
        <f t="shared" si="939"/>
        <v/>
      </c>
    </row>
    <row r="5921" spans="9:21" ht="24.75" customHeight="1" x14ac:dyDescent="0.35">
      <c r="I5921" s="42">
        <f t="shared" si="930"/>
        <v>0</v>
      </c>
      <c r="J5921" s="65" t="e">
        <f t="shared" si="931"/>
        <v>#NUM!</v>
      </c>
      <c r="K5921" s="83" t="e">
        <f t="shared" si="932"/>
        <v>#NUM!</v>
      </c>
      <c r="L5921" s="83">
        <f t="shared" si="933"/>
        <v>0</v>
      </c>
      <c r="M5921" s="110" t="str">
        <f t="shared" si="934"/>
        <v/>
      </c>
      <c r="N5921" s="51" t="str">
        <f t="shared" si="935"/>
        <v/>
      </c>
      <c r="O5921" s="52" t="str">
        <f t="shared" si="936"/>
        <v/>
      </c>
      <c r="P5921" s="88">
        <f t="shared" si="937"/>
        <v>0</v>
      </c>
      <c r="Q5921" s="88">
        <f t="shared" si="938"/>
        <v>0</v>
      </c>
      <c r="R5921" s="88" t="e">
        <f>-IF(Tabla14[[#This Row],[DIAS HABILES O MORA]]&lt;0,(Tabla14[[#This Row],[VALOR PRESTAMO]]*Tabla14[[#This Row],[% INTERES ]]/30*U5921))+Tabla14[[#This Row],[VALOR CUOTAS]]</f>
        <v>#VALUE!</v>
      </c>
      <c r="S5921" s="88">
        <f>-IF(Tabla14[[#This Row],[DIAS HABILES O MORA]]&lt;0,(Tabla14[[#This Row],[VALOR PRESTAMO]]*Tabla14[[#This Row],[% INTERES ]]/30*U5921))</f>
        <v>0</v>
      </c>
      <c r="T5921" s="53" t="e">
        <f>Tabla14[[#This Row],[DEUDA CAPITAL]]+Tabla14[[#This Row],[INTERES  CUOTA]]</f>
        <v>#NUM!</v>
      </c>
      <c r="U5921" s="61" t="str">
        <f t="shared" si="939"/>
        <v/>
      </c>
    </row>
    <row r="5922" spans="9:21" ht="24.75" customHeight="1" x14ac:dyDescent="0.35">
      <c r="I5922" s="42">
        <f t="shared" si="930"/>
        <v>0</v>
      </c>
      <c r="J5922" s="65" t="e">
        <f t="shared" si="931"/>
        <v>#NUM!</v>
      </c>
      <c r="K5922" s="83" t="e">
        <f t="shared" si="932"/>
        <v>#NUM!</v>
      </c>
      <c r="L5922" s="83">
        <f t="shared" si="933"/>
        <v>0</v>
      </c>
      <c r="M5922" s="110" t="str">
        <f t="shared" si="934"/>
        <v/>
      </c>
      <c r="N5922" s="51" t="str">
        <f t="shared" si="935"/>
        <v/>
      </c>
      <c r="O5922" s="52" t="str">
        <f t="shared" si="936"/>
        <v/>
      </c>
      <c r="P5922" s="88">
        <f t="shared" si="937"/>
        <v>0</v>
      </c>
      <c r="Q5922" s="88">
        <f t="shared" si="938"/>
        <v>0</v>
      </c>
      <c r="R5922" s="88" t="e">
        <f>-IF(Tabla14[[#This Row],[DIAS HABILES O MORA]]&lt;0,(Tabla14[[#This Row],[VALOR PRESTAMO]]*Tabla14[[#This Row],[% INTERES ]]/30*U5922))+Tabla14[[#This Row],[VALOR CUOTAS]]</f>
        <v>#VALUE!</v>
      </c>
      <c r="S5922" s="88">
        <f>-IF(Tabla14[[#This Row],[DIAS HABILES O MORA]]&lt;0,(Tabla14[[#This Row],[VALOR PRESTAMO]]*Tabla14[[#This Row],[% INTERES ]]/30*U5922))</f>
        <v>0</v>
      </c>
      <c r="T5922" s="53" t="e">
        <f>Tabla14[[#This Row],[DEUDA CAPITAL]]+Tabla14[[#This Row],[INTERES  CUOTA]]</f>
        <v>#NUM!</v>
      </c>
      <c r="U5922" s="61" t="str">
        <f t="shared" si="939"/>
        <v/>
      </c>
    </row>
    <row r="5923" spans="9:21" ht="24.75" customHeight="1" x14ac:dyDescent="0.35">
      <c r="I5923" s="42">
        <f t="shared" si="930"/>
        <v>0</v>
      </c>
      <c r="J5923" s="65" t="e">
        <f t="shared" si="931"/>
        <v>#NUM!</v>
      </c>
      <c r="K5923" s="83" t="e">
        <f t="shared" si="932"/>
        <v>#NUM!</v>
      </c>
      <c r="L5923" s="83">
        <f t="shared" si="933"/>
        <v>0</v>
      </c>
      <c r="M5923" s="110" t="str">
        <f t="shared" si="934"/>
        <v/>
      </c>
      <c r="N5923" s="51" t="str">
        <f t="shared" si="935"/>
        <v/>
      </c>
      <c r="O5923" s="52" t="str">
        <f t="shared" si="936"/>
        <v/>
      </c>
      <c r="P5923" s="88">
        <f t="shared" si="937"/>
        <v>0</v>
      </c>
      <c r="Q5923" s="88">
        <f t="shared" si="938"/>
        <v>0</v>
      </c>
      <c r="R5923" s="88" t="e">
        <f>-IF(Tabla14[[#This Row],[DIAS HABILES O MORA]]&lt;0,(Tabla14[[#This Row],[VALOR PRESTAMO]]*Tabla14[[#This Row],[% INTERES ]]/30*U5923))+Tabla14[[#This Row],[VALOR CUOTAS]]</f>
        <v>#VALUE!</v>
      </c>
      <c r="S5923" s="88">
        <f>-IF(Tabla14[[#This Row],[DIAS HABILES O MORA]]&lt;0,(Tabla14[[#This Row],[VALOR PRESTAMO]]*Tabla14[[#This Row],[% INTERES ]]/30*U5923))</f>
        <v>0</v>
      </c>
      <c r="T5923" s="53" t="e">
        <f>Tabla14[[#This Row],[DEUDA CAPITAL]]+Tabla14[[#This Row],[INTERES  CUOTA]]</f>
        <v>#NUM!</v>
      </c>
      <c r="U5923" s="61" t="str">
        <f t="shared" si="939"/>
        <v/>
      </c>
    </row>
    <row r="5924" spans="9:21" ht="24.75" customHeight="1" x14ac:dyDescent="0.35">
      <c r="I5924" s="42">
        <f t="shared" si="930"/>
        <v>0</v>
      </c>
      <c r="J5924" s="65" t="e">
        <f t="shared" si="931"/>
        <v>#NUM!</v>
      </c>
      <c r="K5924" s="83" t="e">
        <f t="shared" si="932"/>
        <v>#NUM!</v>
      </c>
      <c r="L5924" s="83">
        <f t="shared" si="933"/>
        <v>0</v>
      </c>
      <c r="M5924" s="110" t="str">
        <f t="shared" si="934"/>
        <v/>
      </c>
      <c r="N5924" s="51" t="str">
        <f t="shared" si="935"/>
        <v/>
      </c>
      <c r="O5924" s="52" t="str">
        <f t="shared" si="936"/>
        <v/>
      </c>
      <c r="P5924" s="88">
        <f t="shared" si="937"/>
        <v>0</v>
      </c>
      <c r="Q5924" s="88">
        <f t="shared" si="938"/>
        <v>0</v>
      </c>
      <c r="R5924" s="88" t="e">
        <f>-IF(Tabla14[[#This Row],[DIAS HABILES O MORA]]&lt;0,(Tabla14[[#This Row],[VALOR PRESTAMO]]*Tabla14[[#This Row],[% INTERES ]]/30*U5924))+Tabla14[[#This Row],[VALOR CUOTAS]]</f>
        <v>#VALUE!</v>
      </c>
      <c r="S5924" s="88">
        <f>-IF(Tabla14[[#This Row],[DIAS HABILES O MORA]]&lt;0,(Tabla14[[#This Row],[VALOR PRESTAMO]]*Tabla14[[#This Row],[% INTERES ]]/30*U5924))</f>
        <v>0</v>
      </c>
      <c r="T5924" s="53" t="e">
        <f>Tabla14[[#This Row],[DEUDA CAPITAL]]+Tabla14[[#This Row],[INTERES  CUOTA]]</f>
        <v>#NUM!</v>
      </c>
      <c r="U5924" s="61" t="str">
        <f t="shared" si="939"/>
        <v/>
      </c>
    </row>
    <row r="5925" spans="9:21" ht="24.75" customHeight="1" x14ac:dyDescent="0.35">
      <c r="I5925" s="42">
        <f t="shared" si="930"/>
        <v>0</v>
      </c>
      <c r="J5925" s="65" t="e">
        <f t="shared" si="931"/>
        <v>#NUM!</v>
      </c>
      <c r="K5925" s="83" t="e">
        <f t="shared" si="932"/>
        <v>#NUM!</v>
      </c>
      <c r="L5925" s="83">
        <f t="shared" si="933"/>
        <v>0</v>
      </c>
      <c r="M5925" s="110" t="str">
        <f t="shared" si="934"/>
        <v/>
      </c>
      <c r="N5925" s="51" t="str">
        <f t="shared" si="935"/>
        <v/>
      </c>
      <c r="O5925" s="52" t="str">
        <f t="shared" si="936"/>
        <v/>
      </c>
      <c r="P5925" s="88">
        <f t="shared" si="937"/>
        <v>0</v>
      </c>
      <c r="Q5925" s="88">
        <f t="shared" si="938"/>
        <v>0</v>
      </c>
      <c r="R5925" s="88" t="e">
        <f>-IF(Tabla14[[#This Row],[DIAS HABILES O MORA]]&lt;0,(Tabla14[[#This Row],[VALOR PRESTAMO]]*Tabla14[[#This Row],[% INTERES ]]/30*U5925))+Tabla14[[#This Row],[VALOR CUOTAS]]</f>
        <v>#VALUE!</v>
      </c>
      <c r="S5925" s="88">
        <f>-IF(Tabla14[[#This Row],[DIAS HABILES O MORA]]&lt;0,(Tabla14[[#This Row],[VALOR PRESTAMO]]*Tabla14[[#This Row],[% INTERES ]]/30*U5925))</f>
        <v>0</v>
      </c>
      <c r="T5925" s="53" t="e">
        <f>Tabla14[[#This Row],[DEUDA CAPITAL]]+Tabla14[[#This Row],[INTERES  CUOTA]]</f>
        <v>#NUM!</v>
      </c>
      <c r="U5925" s="61" t="str">
        <f t="shared" si="939"/>
        <v/>
      </c>
    </row>
    <row r="5926" spans="9:21" ht="24.75" customHeight="1" x14ac:dyDescent="0.35">
      <c r="I5926" s="42">
        <f t="shared" si="930"/>
        <v>0</v>
      </c>
      <c r="J5926" s="65" t="e">
        <f t="shared" si="931"/>
        <v>#NUM!</v>
      </c>
      <c r="K5926" s="83" t="e">
        <f t="shared" si="932"/>
        <v>#NUM!</v>
      </c>
      <c r="L5926" s="83">
        <f t="shared" si="933"/>
        <v>0</v>
      </c>
      <c r="M5926" s="110" t="str">
        <f t="shared" si="934"/>
        <v/>
      </c>
      <c r="N5926" s="51" t="str">
        <f t="shared" si="935"/>
        <v/>
      </c>
      <c r="O5926" s="52" t="str">
        <f t="shared" si="936"/>
        <v/>
      </c>
      <c r="P5926" s="88">
        <f t="shared" si="937"/>
        <v>0</v>
      </c>
      <c r="Q5926" s="88">
        <f t="shared" si="938"/>
        <v>0</v>
      </c>
      <c r="R5926" s="88" t="e">
        <f>-IF(Tabla14[[#This Row],[DIAS HABILES O MORA]]&lt;0,(Tabla14[[#This Row],[VALOR PRESTAMO]]*Tabla14[[#This Row],[% INTERES ]]/30*U5926))+Tabla14[[#This Row],[VALOR CUOTAS]]</f>
        <v>#VALUE!</v>
      </c>
      <c r="S5926" s="88">
        <f>-IF(Tabla14[[#This Row],[DIAS HABILES O MORA]]&lt;0,(Tabla14[[#This Row],[VALOR PRESTAMO]]*Tabla14[[#This Row],[% INTERES ]]/30*U5926))</f>
        <v>0</v>
      </c>
      <c r="T5926" s="53" t="e">
        <f>Tabla14[[#This Row],[DEUDA CAPITAL]]+Tabla14[[#This Row],[INTERES  CUOTA]]</f>
        <v>#NUM!</v>
      </c>
      <c r="U5926" s="61" t="str">
        <f t="shared" si="939"/>
        <v/>
      </c>
    </row>
    <row r="5927" spans="9:21" ht="24.75" customHeight="1" x14ac:dyDescent="0.35">
      <c r="I5927" s="42">
        <f t="shared" si="930"/>
        <v>0</v>
      </c>
      <c r="J5927" s="65" t="e">
        <f t="shared" si="931"/>
        <v>#NUM!</v>
      </c>
      <c r="K5927" s="83" t="e">
        <f t="shared" si="932"/>
        <v>#NUM!</v>
      </c>
      <c r="L5927" s="83">
        <f t="shared" si="933"/>
        <v>0</v>
      </c>
      <c r="M5927" s="110" t="str">
        <f t="shared" si="934"/>
        <v/>
      </c>
      <c r="N5927" s="51" t="str">
        <f t="shared" si="935"/>
        <v/>
      </c>
      <c r="O5927" s="52" t="str">
        <f t="shared" si="936"/>
        <v/>
      </c>
      <c r="P5927" s="88">
        <f t="shared" si="937"/>
        <v>0</v>
      </c>
      <c r="Q5927" s="88">
        <f t="shared" si="938"/>
        <v>0</v>
      </c>
      <c r="R5927" s="88" t="e">
        <f>-IF(Tabla14[[#This Row],[DIAS HABILES O MORA]]&lt;0,(Tabla14[[#This Row],[VALOR PRESTAMO]]*Tabla14[[#This Row],[% INTERES ]]/30*U5927))+Tabla14[[#This Row],[VALOR CUOTAS]]</f>
        <v>#VALUE!</v>
      </c>
      <c r="S5927" s="88">
        <f>-IF(Tabla14[[#This Row],[DIAS HABILES O MORA]]&lt;0,(Tabla14[[#This Row],[VALOR PRESTAMO]]*Tabla14[[#This Row],[% INTERES ]]/30*U5927))</f>
        <v>0</v>
      </c>
      <c r="T5927" s="53" t="e">
        <f>Tabla14[[#This Row],[DEUDA CAPITAL]]+Tabla14[[#This Row],[INTERES  CUOTA]]</f>
        <v>#NUM!</v>
      </c>
      <c r="U5927" s="61" t="str">
        <f t="shared" si="939"/>
        <v/>
      </c>
    </row>
    <row r="5928" spans="9:21" ht="24.75" customHeight="1" x14ac:dyDescent="0.35">
      <c r="I5928" s="42">
        <f t="shared" si="930"/>
        <v>0</v>
      </c>
      <c r="J5928" s="65" t="e">
        <f t="shared" si="931"/>
        <v>#NUM!</v>
      </c>
      <c r="K5928" s="83" t="e">
        <f t="shared" si="932"/>
        <v>#NUM!</v>
      </c>
      <c r="L5928" s="83">
        <f t="shared" si="933"/>
        <v>0</v>
      </c>
      <c r="M5928" s="110" t="str">
        <f t="shared" si="934"/>
        <v/>
      </c>
      <c r="N5928" s="51" t="str">
        <f t="shared" si="935"/>
        <v/>
      </c>
      <c r="O5928" s="52" t="str">
        <f t="shared" si="936"/>
        <v/>
      </c>
      <c r="P5928" s="88">
        <f t="shared" si="937"/>
        <v>0</v>
      </c>
      <c r="Q5928" s="88">
        <f t="shared" si="938"/>
        <v>0</v>
      </c>
      <c r="R5928" s="88" t="e">
        <f>-IF(Tabla14[[#This Row],[DIAS HABILES O MORA]]&lt;0,(Tabla14[[#This Row],[VALOR PRESTAMO]]*Tabla14[[#This Row],[% INTERES ]]/30*U5928))+Tabla14[[#This Row],[VALOR CUOTAS]]</f>
        <v>#VALUE!</v>
      </c>
      <c r="S5928" s="88">
        <f>-IF(Tabla14[[#This Row],[DIAS HABILES O MORA]]&lt;0,(Tabla14[[#This Row],[VALOR PRESTAMO]]*Tabla14[[#This Row],[% INTERES ]]/30*U5928))</f>
        <v>0</v>
      </c>
      <c r="T5928" s="53" t="e">
        <f>Tabla14[[#This Row],[DEUDA CAPITAL]]+Tabla14[[#This Row],[INTERES  CUOTA]]</f>
        <v>#NUM!</v>
      </c>
      <c r="U5928" s="61" t="str">
        <f t="shared" si="939"/>
        <v/>
      </c>
    </row>
    <row r="5929" spans="9:21" ht="24.75" customHeight="1" x14ac:dyDescent="0.35">
      <c r="I5929" s="42">
        <f t="shared" si="930"/>
        <v>0</v>
      </c>
      <c r="J5929" s="65" t="e">
        <f t="shared" si="931"/>
        <v>#NUM!</v>
      </c>
      <c r="K5929" s="83" t="e">
        <f t="shared" si="932"/>
        <v>#NUM!</v>
      </c>
      <c r="L5929" s="83">
        <f t="shared" si="933"/>
        <v>0</v>
      </c>
      <c r="M5929" s="110" t="str">
        <f t="shared" si="934"/>
        <v/>
      </c>
      <c r="N5929" s="51" t="str">
        <f t="shared" si="935"/>
        <v/>
      </c>
      <c r="O5929" s="52" t="str">
        <f t="shared" si="936"/>
        <v/>
      </c>
      <c r="P5929" s="88">
        <f t="shared" si="937"/>
        <v>0</v>
      </c>
      <c r="Q5929" s="88">
        <f t="shared" si="938"/>
        <v>0</v>
      </c>
      <c r="R5929" s="88" t="e">
        <f>-IF(Tabla14[[#This Row],[DIAS HABILES O MORA]]&lt;0,(Tabla14[[#This Row],[VALOR PRESTAMO]]*Tabla14[[#This Row],[% INTERES ]]/30*U5929))+Tabla14[[#This Row],[VALOR CUOTAS]]</f>
        <v>#VALUE!</v>
      </c>
      <c r="S5929" s="88">
        <f>-IF(Tabla14[[#This Row],[DIAS HABILES O MORA]]&lt;0,(Tabla14[[#This Row],[VALOR PRESTAMO]]*Tabla14[[#This Row],[% INTERES ]]/30*U5929))</f>
        <v>0</v>
      </c>
      <c r="T5929" s="53" t="e">
        <f>Tabla14[[#This Row],[DEUDA CAPITAL]]+Tabla14[[#This Row],[INTERES  CUOTA]]</f>
        <v>#NUM!</v>
      </c>
      <c r="U5929" s="61" t="str">
        <f t="shared" si="939"/>
        <v/>
      </c>
    </row>
    <row r="5930" spans="9:21" ht="24.75" customHeight="1" x14ac:dyDescent="0.35">
      <c r="I5930" s="42">
        <f t="shared" si="930"/>
        <v>0</v>
      </c>
      <c r="J5930" s="65" t="e">
        <f t="shared" si="931"/>
        <v>#NUM!</v>
      </c>
      <c r="K5930" s="83" t="e">
        <f t="shared" si="932"/>
        <v>#NUM!</v>
      </c>
      <c r="L5930" s="83">
        <f t="shared" si="933"/>
        <v>0</v>
      </c>
      <c r="M5930" s="110" t="str">
        <f t="shared" si="934"/>
        <v/>
      </c>
      <c r="N5930" s="51" t="str">
        <f t="shared" si="935"/>
        <v/>
      </c>
      <c r="O5930" s="52" t="str">
        <f t="shared" si="936"/>
        <v/>
      </c>
      <c r="P5930" s="88">
        <f t="shared" si="937"/>
        <v>0</v>
      </c>
      <c r="Q5930" s="88">
        <f t="shared" si="938"/>
        <v>0</v>
      </c>
      <c r="R5930" s="88" t="e">
        <f>-IF(Tabla14[[#This Row],[DIAS HABILES O MORA]]&lt;0,(Tabla14[[#This Row],[VALOR PRESTAMO]]*Tabla14[[#This Row],[% INTERES ]]/30*U5930))+Tabla14[[#This Row],[VALOR CUOTAS]]</f>
        <v>#VALUE!</v>
      </c>
      <c r="S5930" s="88">
        <f>-IF(Tabla14[[#This Row],[DIAS HABILES O MORA]]&lt;0,(Tabla14[[#This Row],[VALOR PRESTAMO]]*Tabla14[[#This Row],[% INTERES ]]/30*U5930))</f>
        <v>0</v>
      </c>
      <c r="T5930" s="53" t="e">
        <f>Tabla14[[#This Row],[DEUDA CAPITAL]]+Tabla14[[#This Row],[INTERES  CUOTA]]</f>
        <v>#NUM!</v>
      </c>
      <c r="U5930" s="61" t="str">
        <f t="shared" si="939"/>
        <v/>
      </c>
    </row>
    <row r="5931" spans="9:21" ht="24.75" customHeight="1" x14ac:dyDescent="0.35">
      <c r="I5931" s="42">
        <f t="shared" si="930"/>
        <v>0</v>
      </c>
      <c r="J5931" s="65" t="e">
        <f t="shared" si="931"/>
        <v>#NUM!</v>
      </c>
      <c r="K5931" s="83" t="e">
        <f t="shared" si="932"/>
        <v>#NUM!</v>
      </c>
      <c r="L5931" s="83">
        <f t="shared" si="933"/>
        <v>0</v>
      </c>
      <c r="M5931" s="110" t="str">
        <f t="shared" si="934"/>
        <v/>
      </c>
      <c r="N5931" s="51" t="str">
        <f t="shared" si="935"/>
        <v/>
      </c>
      <c r="O5931" s="52" t="str">
        <f t="shared" si="936"/>
        <v/>
      </c>
      <c r="P5931" s="88">
        <f t="shared" si="937"/>
        <v>0</v>
      </c>
      <c r="Q5931" s="88">
        <f t="shared" si="938"/>
        <v>0</v>
      </c>
      <c r="R5931" s="88" t="e">
        <f>-IF(Tabla14[[#This Row],[DIAS HABILES O MORA]]&lt;0,(Tabla14[[#This Row],[VALOR PRESTAMO]]*Tabla14[[#This Row],[% INTERES ]]/30*U5931))+Tabla14[[#This Row],[VALOR CUOTAS]]</f>
        <v>#VALUE!</v>
      </c>
      <c r="S5931" s="88">
        <f>-IF(Tabla14[[#This Row],[DIAS HABILES O MORA]]&lt;0,(Tabla14[[#This Row],[VALOR PRESTAMO]]*Tabla14[[#This Row],[% INTERES ]]/30*U5931))</f>
        <v>0</v>
      </c>
      <c r="T5931" s="53" t="e">
        <f>Tabla14[[#This Row],[DEUDA CAPITAL]]+Tabla14[[#This Row],[INTERES  CUOTA]]</f>
        <v>#NUM!</v>
      </c>
      <c r="U5931" s="61" t="str">
        <f t="shared" si="939"/>
        <v/>
      </c>
    </row>
    <row r="5932" spans="9:21" ht="24.75" customHeight="1" x14ac:dyDescent="0.35">
      <c r="I5932" s="42">
        <f t="shared" si="930"/>
        <v>0</v>
      </c>
      <c r="J5932" s="65" t="e">
        <f t="shared" si="931"/>
        <v>#NUM!</v>
      </c>
      <c r="K5932" s="83" t="e">
        <f t="shared" si="932"/>
        <v>#NUM!</v>
      </c>
      <c r="L5932" s="83">
        <f t="shared" si="933"/>
        <v>0</v>
      </c>
      <c r="M5932" s="110" t="str">
        <f t="shared" si="934"/>
        <v/>
      </c>
      <c r="N5932" s="51" t="str">
        <f t="shared" si="935"/>
        <v/>
      </c>
      <c r="O5932" s="52" t="str">
        <f t="shared" si="936"/>
        <v/>
      </c>
      <c r="P5932" s="88">
        <f t="shared" si="937"/>
        <v>0</v>
      </c>
      <c r="Q5932" s="88">
        <f t="shared" si="938"/>
        <v>0</v>
      </c>
      <c r="R5932" s="88" t="e">
        <f>-IF(Tabla14[[#This Row],[DIAS HABILES O MORA]]&lt;0,(Tabla14[[#This Row],[VALOR PRESTAMO]]*Tabla14[[#This Row],[% INTERES ]]/30*U5932))+Tabla14[[#This Row],[VALOR CUOTAS]]</f>
        <v>#VALUE!</v>
      </c>
      <c r="S5932" s="88">
        <f>-IF(Tabla14[[#This Row],[DIAS HABILES O MORA]]&lt;0,(Tabla14[[#This Row],[VALOR PRESTAMO]]*Tabla14[[#This Row],[% INTERES ]]/30*U5932))</f>
        <v>0</v>
      </c>
      <c r="T5932" s="53" t="e">
        <f>Tabla14[[#This Row],[DEUDA CAPITAL]]+Tabla14[[#This Row],[INTERES  CUOTA]]</f>
        <v>#NUM!</v>
      </c>
      <c r="U5932" s="61" t="str">
        <f t="shared" si="939"/>
        <v/>
      </c>
    </row>
    <row r="5933" spans="9:21" ht="24.75" customHeight="1" x14ac:dyDescent="0.35">
      <c r="I5933" s="42">
        <f t="shared" si="930"/>
        <v>0</v>
      </c>
      <c r="J5933" s="65" t="e">
        <f t="shared" si="931"/>
        <v>#NUM!</v>
      </c>
      <c r="K5933" s="83" t="e">
        <f t="shared" si="932"/>
        <v>#NUM!</v>
      </c>
      <c r="L5933" s="83">
        <f t="shared" si="933"/>
        <v>0</v>
      </c>
      <c r="M5933" s="110" t="str">
        <f t="shared" si="934"/>
        <v/>
      </c>
      <c r="N5933" s="51" t="str">
        <f t="shared" si="935"/>
        <v/>
      </c>
      <c r="O5933" s="52" t="str">
        <f t="shared" si="936"/>
        <v/>
      </c>
      <c r="P5933" s="88">
        <f t="shared" si="937"/>
        <v>0</v>
      </c>
      <c r="Q5933" s="88">
        <f t="shared" si="938"/>
        <v>0</v>
      </c>
      <c r="R5933" s="88" t="e">
        <f>-IF(Tabla14[[#This Row],[DIAS HABILES O MORA]]&lt;0,(Tabla14[[#This Row],[VALOR PRESTAMO]]*Tabla14[[#This Row],[% INTERES ]]/30*U5933))+Tabla14[[#This Row],[VALOR CUOTAS]]</f>
        <v>#VALUE!</v>
      </c>
      <c r="S5933" s="88">
        <f>-IF(Tabla14[[#This Row],[DIAS HABILES O MORA]]&lt;0,(Tabla14[[#This Row],[VALOR PRESTAMO]]*Tabla14[[#This Row],[% INTERES ]]/30*U5933))</f>
        <v>0</v>
      </c>
      <c r="T5933" s="53" t="e">
        <f>Tabla14[[#This Row],[DEUDA CAPITAL]]+Tabla14[[#This Row],[INTERES  CUOTA]]</f>
        <v>#NUM!</v>
      </c>
      <c r="U5933" s="61" t="str">
        <f t="shared" si="939"/>
        <v/>
      </c>
    </row>
    <row r="5934" spans="9:21" ht="24.75" customHeight="1" x14ac:dyDescent="0.35">
      <c r="I5934" s="42">
        <f t="shared" si="930"/>
        <v>0</v>
      </c>
      <c r="J5934" s="65" t="e">
        <f t="shared" si="931"/>
        <v>#NUM!</v>
      </c>
      <c r="K5934" s="83" t="e">
        <f t="shared" si="932"/>
        <v>#NUM!</v>
      </c>
      <c r="L5934" s="83">
        <f t="shared" si="933"/>
        <v>0</v>
      </c>
      <c r="M5934" s="110" t="str">
        <f t="shared" si="934"/>
        <v/>
      </c>
      <c r="N5934" s="51" t="str">
        <f t="shared" si="935"/>
        <v/>
      </c>
      <c r="O5934" s="52" t="str">
        <f t="shared" si="936"/>
        <v/>
      </c>
      <c r="P5934" s="88">
        <f t="shared" si="937"/>
        <v>0</v>
      </c>
      <c r="Q5934" s="88">
        <f t="shared" si="938"/>
        <v>0</v>
      </c>
      <c r="R5934" s="88" t="e">
        <f>-IF(Tabla14[[#This Row],[DIAS HABILES O MORA]]&lt;0,(Tabla14[[#This Row],[VALOR PRESTAMO]]*Tabla14[[#This Row],[% INTERES ]]/30*U5934))+Tabla14[[#This Row],[VALOR CUOTAS]]</f>
        <v>#VALUE!</v>
      </c>
      <c r="S5934" s="88">
        <f>-IF(Tabla14[[#This Row],[DIAS HABILES O MORA]]&lt;0,(Tabla14[[#This Row],[VALOR PRESTAMO]]*Tabla14[[#This Row],[% INTERES ]]/30*U5934))</f>
        <v>0</v>
      </c>
      <c r="T5934" s="53" t="e">
        <f>Tabla14[[#This Row],[DEUDA CAPITAL]]+Tabla14[[#This Row],[INTERES  CUOTA]]</f>
        <v>#NUM!</v>
      </c>
      <c r="U5934" s="61" t="str">
        <f t="shared" si="939"/>
        <v/>
      </c>
    </row>
    <row r="5935" spans="9:21" ht="24.75" customHeight="1" x14ac:dyDescent="0.35">
      <c r="I5935" s="42">
        <f t="shared" si="930"/>
        <v>0</v>
      </c>
      <c r="J5935" s="65" t="e">
        <f t="shared" si="931"/>
        <v>#NUM!</v>
      </c>
      <c r="K5935" s="83" t="e">
        <f t="shared" si="932"/>
        <v>#NUM!</v>
      </c>
      <c r="L5935" s="83">
        <f t="shared" si="933"/>
        <v>0</v>
      </c>
      <c r="M5935" s="110" t="str">
        <f t="shared" si="934"/>
        <v/>
      </c>
      <c r="N5935" s="51" t="str">
        <f t="shared" si="935"/>
        <v/>
      </c>
      <c r="O5935" s="52" t="str">
        <f t="shared" si="936"/>
        <v/>
      </c>
      <c r="P5935" s="88">
        <f t="shared" si="937"/>
        <v>0</v>
      </c>
      <c r="Q5935" s="88">
        <f t="shared" si="938"/>
        <v>0</v>
      </c>
      <c r="R5935" s="88" t="e">
        <f>-IF(Tabla14[[#This Row],[DIAS HABILES O MORA]]&lt;0,(Tabla14[[#This Row],[VALOR PRESTAMO]]*Tabla14[[#This Row],[% INTERES ]]/30*U5935))+Tabla14[[#This Row],[VALOR CUOTAS]]</f>
        <v>#VALUE!</v>
      </c>
      <c r="S5935" s="88">
        <f>-IF(Tabla14[[#This Row],[DIAS HABILES O MORA]]&lt;0,(Tabla14[[#This Row],[VALOR PRESTAMO]]*Tabla14[[#This Row],[% INTERES ]]/30*U5935))</f>
        <v>0</v>
      </c>
      <c r="T5935" s="53" t="e">
        <f>Tabla14[[#This Row],[DEUDA CAPITAL]]+Tabla14[[#This Row],[INTERES  CUOTA]]</f>
        <v>#NUM!</v>
      </c>
      <c r="U5935" s="61" t="str">
        <f t="shared" si="939"/>
        <v/>
      </c>
    </row>
    <row r="5936" spans="9:21" ht="24.75" customHeight="1" x14ac:dyDescent="0.35">
      <c r="I5936" s="42">
        <f t="shared" si="930"/>
        <v>0</v>
      </c>
      <c r="J5936" s="65" t="e">
        <f t="shared" si="931"/>
        <v>#NUM!</v>
      </c>
      <c r="K5936" s="83" t="e">
        <f t="shared" si="932"/>
        <v>#NUM!</v>
      </c>
      <c r="L5936" s="83">
        <f t="shared" si="933"/>
        <v>0</v>
      </c>
      <c r="M5936" s="110" t="str">
        <f t="shared" si="934"/>
        <v/>
      </c>
      <c r="N5936" s="51" t="str">
        <f t="shared" si="935"/>
        <v/>
      </c>
      <c r="O5936" s="52" t="str">
        <f t="shared" si="936"/>
        <v/>
      </c>
      <c r="P5936" s="88">
        <f t="shared" si="937"/>
        <v>0</v>
      </c>
      <c r="Q5936" s="88">
        <f t="shared" si="938"/>
        <v>0</v>
      </c>
      <c r="R5936" s="88" t="e">
        <f>-IF(Tabla14[[#This Row],[DIAS HABILES O MORA]]&lt;0,(Tabla14[[#This Row],[VALOR PRESTAMO]]*Tabla14[[#This Row],[% INTERES ]]/30*U5936))+Tabla14[[#This Row],[VALOR CUOTAS]]</f>
        <v>#VALUE!</v>
      </c>
      <c r="S5936" s="88">
        <f>-IF(Tabla14[[#This Row],[DIAS HABILES O MORA]]&lt;0,(Tabla14[[#This Row],[VALOR PRESTAMO]]*Tabla14[[#This Row],[% INTERES ]]/30*U5936))</f>
        <v>0</v>
      </c>
      <c r="T5936" s="53" t="e">
        <f>Tabla14[[#This Row],[DEUDA CAPITAL]]+Tabla14[[#This Row],[INTERES  CUOTA]]</f>
        <v>#NUM!</v>
      </c>
      <c r="U5936" s="61" t="str">
        <f t="shared" si="939"/>
        <v/>
      </c>
    </row>
    <row r="5937" spans="9:21" ht="24.75" customHeight="1" x14ac:dyDescent="0.35">
      <c r="I5937" s="42">
        <f t="shared" si="930"/>
        <v>0</v>
      </c>
      <c r="J5937" s="65" t="e">
        <f t="shared" si="931"/>
        <v>#NUM!</v>
      </c>
      <c r="K5937" s="83" t="e">
        <f t="shared" si="932"/>
        <v>#NUM!</v>
      </c>
      <c r="L5937" s="83">
        <f t="shared" si="933"/>
        <v>0</v>
      </c>
      <c r="M5937" s="110" t="str">
        <f t="shared" si="934"/>
        <v/>
      </c>
      <c r="N5937" s="51" t="str">
        <f t="shared" si="935"/>
        <v/>
      </c>
      <c r="O5937" s="52" t="str">
        <f t="shared" si="936"/>
        <v/>
      </c>
      <c r="P5937" s="88">
        <f t="shared" si="937"/>
        <v>0</v>
      </c>
      <c r="Q5937" s="88">
        <f t="shared" si="938"/>
        <v>0</v>
      </c>
      <c r="R5937" s="88" t="e">
        <f>-IF(Tabla14[[#This Row],[DIAS HABILES O MORA]]&lt;0,(Tabla14[[#This Row],[VALOR PRESTAMO]]*Tabla14[[#This Row],[% INTERES ]]/30*U5937))+Tabla14[[#This Row],[VALOR CUOTAS]]</f>
        <v>#VALUE!</v>
      </c>
      <c r="S5937" s="88">
        <f>-IF(Tabla14[[#This Row],[DIAS HABILES O MORA]]&lt;0,(Tabla14[[#This Row],[VALOR PRESTAMO]]*Tabla14[[#This Row],[% INTERES ]]/30*U5937))</f>
        <v>0</v>
      </c>
      <c r="T5937" s="53" t="e">
        <f>Tabla14[[#This Row],[DEUDA CAPITAL]]+Tabla14[[#This Row],[INTERES  CUOTA]]</f>
        <v>#NUM!</v>
      </c>
      <c r="U5937" s="61" t="str">
        <f t="shared" si="939"/>
        <v/>
      </c>
    </row>
    <row r="5938" spans="9:21" ht="24.75" customHeight="1" x14ac:dyDescent="0.35">
      <c r="I5938" s="42">
        <f t="shared" si="930"/>
        <v>0</v>
      </c>
      <c r="J5938" s="65" t="e">
        <f t="shared" si="931"/>
        <v>#NUM!</v>
      </c>
      <c r="K5938" s="83" t="e">
        <f t="shared" si="932"/>
        <v>#NUM!</v>
      </c>
      <c r="L5938" s="83">
        <f t="shared" si="933"/>
        <v>0</v>
      </c>
      <c r="M5938" s="110" t="str">
        <f t="shared" si="934"/>
        <v/>
      </c>
      <c r="N5938" s="51" t="str">
        <f t="shared" si="935"/>
        <v/>
      </c>
      <c r="O5938" s="52" t="str">
        <f t="shared" si="936"/>
        <v/>
      </c>
      <c r="P5938" s="88">
        <f t="shared" si="937"/>
        <v>0</v>
      </c>
      <c r="Q5938" s="88">
        <f t="shared" si="938"/>
        <v>0</v>
      </c>
      <c r="R5938" s="88" t="e">
        <f>-IF(Tabla14[[#This Row],[DIAS HABILES O MORA]]&lt;0,(Tabla14[[#This Row],[VALOR PRESTAMO]]*Tabla14[[#This Row],[% INTERES ]]/30*U5938))+Tabla14[[#This Row],[VALOR CUOTAS]]</f>
        <v>#VALUE!</v>
      </c>
      <c r="S5938" s="88">
        <f>-IF(Tabla14[[#This Row],[DIAS HABILES O MORA]]&lt;0,(Tabla14[[#This Row],[VALOR PRESTAMO]]*Tabla14[[#This Row],[% INTERES ]]/30*U5938))</f>
        <v>0</v>
      </c>
      <c r="T5938" s="53" t="e">
        <f>Tabla14[[#This Row],[DEUDA CAPITAL]]+Tabla14[[#This Row],[INTERES  CUOTA]]</f>
        <v>#NUM!</v>
      </c>
      <c r="U5938" s="61" t="str">
        <f t="shared" si="939"/>
        <v/>
      </c>
    </row>
    <row r="5939" spans="9:21" ht="24.75" customHeight="1" x14ac:dyDescent="0.35">
      <c r="I5939" s="42">
        <f t="shared" si="930"/>
        <v>0</v>
      </c>
      <c r="J5939" s="65" t="e">
        <f t="shared" si="931"/>
        <v>#NUM!</v>
      </c>
      <c r="K5939" s="83" t="e">
        <f t="shared" si="932"/>
        <v>#NUM!</v>
      </c>
      <c r="L5939" s="83">
        <f t="shared" si="933"/>
        <v>0</v>
      </c>
      <c r="M5939" s="110" t="str">
        <f t="shared" si="934"/>
        <v/>
      </c>
      <c r="N5939" s="51" t="str">
        <f t="shared" si="935"/>
        <v/>
      </c>
      <c r="O5939" s="52" t="str">
        <f t="shared" si="936"/>
        <v/>
      </c>
      <c r="P5939" s="88">
        <f t="shared" si="937"/>
        <v>0</v>
      </c>
      <c r="Q5939" s="88">
        <f t="shared" si="938"/>
        <v>0</v>
      </c>
      <c r="R5939" s="88" t="e">
        <f>-IF(Tabla14[[#This Row],[DIAS HABILES O MORA]]&lt;0,(Tabla14[[#This Row],[VALOR PRESTAMO]]*Tabla14[[#This Row],[% INTERES ]]/30*U5939))+Tabla14[[#This Row],[VALOR CUOTAS]]</f>
        <v>#VALUE!</v>
      </c>
      <c r="S5939" s="88">
        <f>-IF(Tabla14[[#This Row],[DIAS HABILES O MORA]]&lt;0,(Tabla14[[#This Row],[VALOR PRESTAMO]]*Tabla14[[#This Row],[% INTERES ]]/30*U5939))</f>
        <v>0</v>
      </c>
      <c r="T5939" s="53" t="e">
        <f>Tabla14[[#This Row],[DEUDA CAPITAL]]+Tabla14[[#This Row],[INTERES  CUOTA]]</f>
        <v>#NUM!</v>
      </c>
      <c r="U5939" s="61" t="str">
        <f t="shared" si="939"/>
        <v/>
      </c>
    </row>
    <row r="5940" spans="9:21" ht="24.75" customHeight="1" x14ac:dyDescent="0.35">
      <c r="I5940" s="42">
        <f t="shared" si="930"/>
        <v>0</v>
      </c>
      <c r="J5940" s="65" t="e">
        <f t="shared" si="931"/>
        <v>#NUM!</v>
      </c>
      <c r="K5940" s="83" t="e">
        <f t="shared" si="932"/>
        <v>#NUM!</v>
      </c>
      <c r="L5940" s="83">
        <f t="shared" si="933"/>
        <v>0</v>
      </c>
      <c r="M5940" s="110" t="str">
        <f t="shared" si="934"/>
        <v/>
      </c>
      <c r="N5940" s="51" t="str">
        <f t="shared" si="935"/>
        <v/>
      </c>
      <c r="O5940" s="52" t="str">
        <f t="shared" si="936"/>
        <v/>
      </c>
      <c r="P5940" s="88">
        <f t="shared" si="937"/>
        <v>0</v>
      </c>
      <c r="Q5940" s="88">
        <f t="shared" si="938"/>
        <v>0</v>
      </c>
      <c r="R5940" s="88" t="e">
        <f>-IF(Tabla14[[#This Row],[DIAS HABILES O MORA]]&lt;0,(Tabla14[[#This Row],[VALOR PRESTAMO]]*Tabla14[[#This Row],[% INTERES ]]/30*U5940))+Tabla14[[#This Row],[VALOR CUOTAS]]</f>
        <v>#VALUE!</v>
      </c>
      <c r="S5940" s="88">
        <f>-IF(Tabla14[[#This Row],[DIAS HABILES O MORA]]&lt;0,(Tabla14[[#This Row],[VALOR PRESTAMO]]*Tabla14[[#This Row],[% INTERES ]]/30*U5940))</f>
        <v>0</v>
      </c>
      <c r="T5940" s="53" t="e">
        <f>Tabla14[[#This Row],[DEUDA CAPITAL]]+Tabla14[[#This Row],[INTERES  CUOTA]]</f>
        <v>#NUM!</v>
      </c>
      <c r="U5940" s="61" t="str">
        <f t="shared" si="939"/>
        <v/>
      </c>
    </row>
    <row r="5941" spans="9:21" ht="24.75" customHeight="1" x14ac:dyDescent="0.35">
      <c r="I5941" s="42">
        <f t="shared" si="930"/>
        <v>0</v>
      </c>
      <c r="J5941" s="65" t="e">
        <f t="shared" si="931"/>
        <v>#NUM!</v>
      </c>
      <c r="K5941" s="83" t="e">
        <f t="shared" si="932"/>
        <v>#NUM!</v>
      </c>
      <c r="L5941" s="83">
        <f t="shared" si="933"/>
        <v>0</v>
      </c>
      <c r="M5941" s="110" t="str">
        <f t="shared" si="934"/>
        <v/>
      </c>
      <c r="N5941" s="51" t="str">
        <f t="shared" si="935"/>
        <v/>
      </c>
      <c r="O5941" s="52" t="str">
        <f t="shared" si="936"/>
        <v/>
      </c>
      <c r="P5941" s="88">
        <f t="shared" si="937"/>
        <v>0</v>
      </c>
      <c r="Q5941" s="88">
        <f t="shared" si="938"/>
        <v>0</v>
      </c>
      <c r="R5941" s="88" t="e">
        <f>-IF(Tabla14[[#This Row],[DIAS HABILES O MORA]]&lt;0,(Tabla14[[#This Row],[VALOR PRESTAMO]]*Tabla14[[#This Row],[% INTERES ]]/30*U5941))+Tabla14[[#This Row],[VALOR CUOTAS]]</f>
        <v>#VALUE!</v>
      </c>
      <c r="S5941" s="88">
        <f>-IF(Tabla14[[#This Row],[DIAS HABILES O MORA]]&lt;0,(Tabla14[[#This Row],[VALOR PRESTAMO]]*Tabla14[[#This Row],[% INTERES ]]/30*U5941))</f>
        <v>0</v>
      </c>
      <c r="T5941" s="53" t="e">
        <f>Tabla14[[#This Row],[DEUDA CAPITAL]]+Tabla14[[#This Row],[INTERES  CUOTA]]</f>
        <v>#NUM!</v>
      </c>
      <c r="U5941" s="61" t="str">
        <f t="shared" si="939"/>
        <v/>
      </c>
    </row>
    <row r="5942" spans="9:21" ht="24.75" customHeight="1" x14ac:dyDescent="0.35">
      <c r="I5942" s="42">
        <f t="shared" si="930"/>
        <v>0</v>
      </c>
      <c r="J5942" s="65" t="e">
        <f t="shared" si="931"/>
        <v>#NUM!</v>
      </c>
      <c r="K5942" s="83" t="e">
        <f t="shared" si="932"/>
        <v>#NUM!</v>
      </c>
      <c r="L5942" s="83">
        <f t="shared" si="933"/>
        <v>0</v>
      </c>
      <c r="M5942" s="110" t="str">
        <f t="shared" si="934"/>
        <v/>
      </c>
      <c r="N5942" s="51" t="str">
        <f t="shared" si="935"/>
        <v/>
      </c>
      <c r="O5942" s="52" t="str">
        <f t="shared" si="936"/>
        <v/>
      </c>
      <c r="P5942" s="88">
        <f t="shared" si="937"/>
        <v>0</v>
      </c>
      <c r="Q5942" s="88">
        <f t="shared" si="938"/>
        <v>0</v>
      </c>
      <c r="R5942" s="88" t="e">
        <f>-IF(Tabla14[[#This Row],[DIAS HABILES O MORA]]&lt;0,(Tabla14[[#This Row],[VALOR PRESTAMO]]*Tabla14[[#This Row],[% INTERES ]]/30*U5942))+Tabla14[[#This Row],[VALOR CUOTAS]]</f>
        <v>#VALUE!</v>
      </c>
      <c r="S5942" s="88">
        <f>-IF(Tabla14[[#This Row],[DIAS HABILES O MORA]]&lt;0,(Tabla14[[#This Row],[VALOR PRESTAMO]]*Tabla14[[#This Row],[% INTERES ]]/30*U5942))</f>
        <v>0</v>
      </c>
      <c r="T5942" s="53" t="e">
        <f>Tabla14[[#This Row],[DEUDA CAPITAL]]+Tabla14[[#This Row],[INTERES  CUOTA]]</f>
        <v>#NUM!</v>
      </c>
      <c r="U5942" s="61" t="str">
        <f t="shared" si="939"/>
        <v/>
      </c>
    </row>
    <row r="5943" spans="9:21" ht="24.75" customHeight="1" x14ac:dyDescent="0.35">
      <c r="I5943" s="42">
        <f t="shared" si="930"/>
        <v>0</v>
      </c>
      <c r="J5943" s="65" t="e">
        <f t="shared" si="931"/>
        <v>#NUM!</v>
      </c>
      <c r="K5943" s="83" t="e">
        <f t="shared" si="932"/>
        <v>#NUM!</v>
      </c>
      <c r="L5943" s="83">
        <f t="shared" si="933"/>
        <v>0</v>
      </c>
      <c r="M5943" s="110" t="str">
        <f t="shared" si="934"/>
        <v/>
      </c>
      <c r="N5943" s="51" t="str">
        <f t="shared" si="935"/>
        <v/>
      </c>
      <c r="O5943" s="52" t="str">
        <f t="shared" si="936"/>
        <v/>
      </c>
      <c r="P5943" s="88">
        <f t="shared" si="937"/>
        <v>0</v>
      </c>
      <c r="Q5943" s="88">
        <f t="shared" si="938"/>
        <v>0</v>
      </c>
      <c r="R5943" s="88" t="e">
        <f>-IF(Tabla14[[#This Row],[DIAS HABILES O MORA]]&lt;0,(Tabla14[[#This Row],[VALOR PRESTAMO]]*Tabla14[[#This Row],[% INTERES ]]/30*U5943))+Tabla14[[#This Row],[VALOR CUOTAS]]</f>
        <v>#VALUE!</v>
      </c>
      <c r="S5943" s="88">
        <f>-IF(Tabla14[[#This Row],[DIAS HABILES O MORA]]&lt;0,(Tabla14[[#This Row],[VALOR PRESTAMO]]*Tabla14[[#This Row],[% INTERES ]]/30*U5943))</f>
        <v>0</v>
      </c>
      <c r="T5943" s="53" t="e">
        <f>Tabla14[[#This Row],[DEUDA CAPITAL]]+Tabla14[[#This Row],[INTERES  CUOTA]]</f>
        <v>#NUM!</v>
      </c>
      <c r="U5943" s="61" t="str">
        <f t="shared" si="939"/>
        <v/>
      </c>
    </row>
    <row r="5944" spans="9:21" ht="24.75" customHeight="1" x14ac:dyDescent="0.35">
      <c r="I5944" s="42">
        <f t="shared" si="930"/>
        <v>0</v>
      </c>
      <c r="J5944" s="65" t="e">
        <f t="shared" si="931"/>
        <v>#NUM!</v>
      </c>
      <c r="K5944" s="83" t="e">
        <f t="shared" si="932"/>
        <v>#NUM!</v>
      </c>
      <c r="L5944" s="83">
        <f t="shared" si="933"/>
        <v>0</v>
      </c>
      <c r="M5944" s="110" t="str">
        <f t="shared" si="934"/>
        <v/>
      </c>
      <c r="N5944" s="51" t="str">
        <f t="shared" si="935"/>
        <v/>
      </c>
      <c r="O5944" s="52" t="str">
        <f t="shared" si="936"/>
        <v/>
      </c>
      <c r="P5944" s="88">
        <f t="shared" si="937"/>
        <v>0</v>
      </c>
      <c r="Q5944" s="88">
        <f t="shared" si="938"/>
        <v>0</v>
      </c>
      <c r="R5944" s="88" t="e">
        <f>-IF(Tabla14[[#This Row],[DIAS HABILES O MORA]]&lt;0,(Tabla14[[#This Row],[VALOR PRESTAMO]]*Tabla14[[#This Row],[% INTERES ]]/30*U5944))+Tabla14[[#This Row],[VALOR CUOTAS]]</f>
        <v>#VALUE!</v>
      </c>
      <c r="S5944" s="88">
        <f>-IF(Tabla14[[#This Row],[DIAS HABILES O MORA]]&lt;0,(Tabla14[[#This Row],[VALOR PRESTAMO]]*Tabla14[[#This Row],[% INTERES ]]/30*U5944))</f>
        <v>0</v>
      </c>
      <c r="T5944" s="53" t="e">
        <f>Tabla14[[#This Row],[DEUDA CAPITAL]]+Tabla14[[#This Row],[INTERES  CUOTA]]</f>
        <v>#NUM!</v>
      </c>
      <c r="U5944" s="61" t="str">
        <f t="shared" si="939"/>
        <v/>
      </c>
    </row>
    <row r="5945" spans="9:21" ht="24.75" customHeight="1" x14ac:dyDescent="0.35">
      <c r="I5945" s="42">
        <f t="shared" si="930"/>
        <v>0</v>
      </c>
      <c r="J5945" s="65" t="e">
        <f t="shared" si="931"/>
        <v>#NUM!</v>
      </c>
      <c r="K5945" s="83" t="e">
        <f t="shared" si="932"/>
        <v>#NUM!</v>
      </c>
      <c r="L5945" s="83">
        <f t="shared" si="933"/>
        <v>0</v>
      </c>
      <c r="M5945" s="110" t="str">
        <f t="shared" si="934"/>
        <v/>
      </c>
      <c r="N5945" s="51" t="str">
        <f t="shared" si="935"/>
        <v/>
      </c>
      <c r="O5945" s="52" t="str">
        <f t="shared" si="936"/>
        <v/>
      </c>
      <c r="P5945" s="88">
        <f t="shared" si="937"/>
        <v>0</v>
      </c>
      <c r="Q5945" s="88">
        <f t="shared" si="938"/>
        <v>0</v>
      </c>
      <c r="R5945" s="88" t="e">
        <f>-IF(Tabla14[[#This Row],[DIAS HABILES O MORA]]&lt;0,(Tabla14[[#This Row],[VALOR PRESTAMO]]*Tabla14[[#This Row],[% INTERES ]]/30*U5945))+Tabla14[[#This Row],[VALOR CUOTAS]]</f>
        <v>#VALUE!</v>
      </c>
      <c r="S5945" s="88">
        <f>-IF(Tabla14[[#This Row],[DIAS HABILES O MORA]]&lt;0,(Tabla14[[#This Row],[VALOR PRESTAMO]]*Tabla14[[#This Row],[% INTERES ]]/30*U5945))</f>
        <v>0</v>
      </c>
      <c r="T5945" s="53" t="e">
        <f>Tabla14[[#This Row],[DEUDA CAPITAL]]+Tabla14[[#This Row],[INTERES  CUOTA]]</f>
        <v>#NUM!</v>
      </c>
      <c r="U5945" s="61" t="str">
        <f t="shared" si="939"/>
        <v/>
      </c>
    </row>
    <row r="5946" spans="9:21" ht="24.75" customHeight="1" x14ac:dyDescent="0.35">
      <c r="I5946" s="42">
        <f t="shared" si="930"/>
        <v>0</v>
      </c>
      <c r="J5946" s="65" t="e">
        <f t="shared" si="931"/>
        <v>#NUM!</v>
      </c>
      <c r="K5946" s="83" t="e">
        <f t="shared" si="932"/>
        <v>#NUM!</v>
      </c>
      <c r="L5946" s="83">
        <f t="shared" si="933"/>
        <v>0</v>
      </c>
      <c r="M5946" s="110" t="str">
        <f t="shared" si="934"/>
        <v/>
      </c>
      <c r="N5946" s="51" t="str">
        <f t="shared" si="935"/>
        <v/>
      </c>
      <c r="O5946" s="52" t="str">
        <f t="shared" si="936"/>
        <v/>
      </c>
      <c r="P5946" s="88">
        <f t="shared" si="937"/>
        <v>0</v>
      </c>
      <c r="Q5946" s="88">
        <f t="shared" si="938"/>
        <v>0</v>
      </c>
      <c r="R5946" s="88" t="e">
        <f>-IF(Tabla14[[#This Row],[DIAS HABILES O MORA]]&lt;0,(Tabla14[[#This Row],[VALOR PRESTAMO]]*Tabla14[[#This Row],[% INTERES ]]/30*U5946))+Tabla14[[#This Row],[VALOR CUOTAS]]</f>
        <v>#VALUE!</v>
      </c>
      <c r="S5946" s="88">
        <f>-IF(Tabla14[[#This Row],[DIAS HABILES O MORA]]&lt;0,(Tabla14[[#This Row],[VALOR PRESTAMO]]*Tabla14[[#This Row],[% INTERES ]]/30*U5946))</f>
        <v>0</v>
      </c>
      <c r="T5946" s="53" t="e">
        <f>Tabla14[[#This Row],[DEUDA CAPITAL]]+Tabla14[[#This Row],[INTERES  CUOTA]]</f>
        <v>#NUM!</v>
      </c>
      <c r="U5946" s="61" t="str">
        <f t="shared" si="939"/>
        <v/>
      </c>
    </row>
    <row r="5947" spans="9:21" ht="24.75" customHeight="1" x14ac:dyDescent="0.35">
      <c r="I5947" s="42">
        <f t="shared" si="930"/>
        <v>0</v>
      </c>
      <c r="J5947" s="65" t="e">
        <f t="shared" si="931"/>
        <v>#NUM!</v>
      </c>
      <c r="K5947" s="83" t="e">
        <f t="shared" si="932"/>
        <v>#NUM!</v>
      </c>
      <c r="L5947" s="83">
        <f t="shared" si="933"/>
        <v>0</v>
      </c>
      <c r="M5947" s="110" t="str">
        <f t="shared" si="934"/>
        <v/>
      </c>
      <c r="N5947" s="51" t="str">
        <f t="shared" si="935"/>
        <v/>
      </c>
      <c r="O5947" s="52" t="str">
        <f t="shared" si="936"/>
        <v/>
      </c>
      <c r="P5947" s="88">
        <f t="shared" si="937"/>
        <v>0</v>
      </c>
      <c r="Q5947" s="88">
        <f t="shared" si="938"/>
        <v>0</v>
      </c>
      <c r="R5947" s="88" t="e">
        <f>-IF(Tabla14[[#This Row],[DIAS HABILES O MORA]]&lt;0,(Tabla14[[#This Row],[VALOR PRESTAMO]]*Tabla14[[#This Row],[% INTERES ]]/30*U5947))+Tabla14[[#This Row],[VALOR CUOTAS]]</f>
        <v>#VALUE!</v>
      </c>
      <c r="S5947" s="88">
        <f>-IF(Tabla14[[#This Row],[DIAS HABILES O MORA]]&lt;0,(Tabla14[[#This Row],[VALOR PRESTAMO]]*Tabla14[[#This Row],[% INTERES ]]/30*U5947))</f>
        <v>0</v>
      </c>
      <c r="T5947" s="53" t="e">
        <f>Tabla14[[#This Row],[DEUDA CAPITAL]]+Tabla14[[#This Row],[INTERES  CUOTA]]</f>
        <v>#NUM!</v>
      </c>
      <c r="U5947" s="61" t="str">
        <f t="shared" si="939"/>
        <v/>
      </c>
    </row>
    <row r="5948" spans="9:21" ht="24.75" customHeight="1" x14ac:dyDescent="0.35">
      <c r="I5948" s="42">
        <f t="shared" si="930"/>
        <v>0</v>
      </c>
      <c r="J5948" s="65" t="e">
        <f t="shared" si="931"/>
        <v>#NUM!</v>
      </c>
      <c r="K5948" s="83" t="e">
        <f t="shared" si="932"/>
        <v>#NUM!</v>
      </c>
      <c r="L5948" s="83">
        <f t="shared" si="933"/>
        <v>0</v>
      </c>
      <c r="M5948" s="110" t="str">
        <f t="shared" si="934"/>
        <v/>
      </c>
      <c r="N5948" s="51" t="str">
        <f t="shared" si="935"/>
        <v/>
      </c>
      <c r="O5948" s="52" t="str">
        <f t="shared" si="936"/>
        <v/>
      </c>
      <c r="P5948" s="88">
        <f t="shared" si="937"/>
        <v>0</v>
      </c>
      <c r="Q5948" s="88">
        <f t="shared" si="938"/>
        <v>0</v>
      </c>
      <c r="R5948" s="88" t="e">
        <f>-IF(Tabla14[[#This Row],[DIAS HABILES O MORA]]&lt;0,(Tabla14[[#This Row],[VALOR PRESTAMO]]*Tabla14[[#This Row],[% INTERES ]]/30*U5948))+Tabla14[[#This Row],[VALOR CUOTAS]]</f>
        <v>#VALUE!</v>
      </c>
      <c r="S5948" s="88">
        <f>-IF(Tabla14[[#This Row],[DIAS HABILES O MORA]]&lt;0,(Tabla14[[#This Row],[VALOR PRESTAMO]]*Tabla14[[#This Row],[% INTERES ]]/30*U5948))</f>
        <v>0</v>
      </c>
      <c r="T5948" s="53" t="e">
        <f>Tabla14[[#This Row],[DEUDA CAPITAL]]+Tabla14[[#This Row],[INTERES  CUOTA]]</f>
        <v>#NUM!</v>
      </c>
      <c r="U5948" s="61" t="str">
        <f t="shared" si="939"/>
        <v/>
      </c>
    </row>
    <row r="5949" spans="9:21" ht="24.75" customHeight="1" x14ac:dyDescent="0.35">
      <c r="I5949" s="42">
        <f t="shared" si="930"/>
        <v>0</v>
      </c>
      <c r="J5949" s="65" t="e">
        <f t="shared" si="931"/>
        <v>#NUM!</v>
      </c>
      <c r="K5949" s="83" t="e">
        <f t="shared" si="932"/>
        <v>#NUM!</v>
      </c>
      <c r="L5949" s="83">
        <f t="shared" si="933"/>
        <v>0</v>
      </c>
      <c r="M5949" s="110" t="str">
        <f t="shared" si="934"/>
        <v/>
      </c>
      <c r="N5949" s="51" t="str">
        <f t="shared" si="935"/>
        <v/>
      </c>
      <c r="O5949" s="52" t="str">
        <f t="shared" si="936"/>
        <v/>
      </c>
      <c r="P5949" s="88">
        <f t="shared" si="937"/>
        <v>0</v>
      </c>
      <c r="Q5949" s="88">
        <f t="shared" si="938"/>
        <v>0</v>
      </c>
      <c r="R5949" s="88" t="e">
        <f>-IF(Tabla14[[#This Row],[DIAS HABILES O MORA]]&lt;0,(Tabla14[[#This Row],[VALOR PRESTAMO]]*Tabla14[[#This Row],[% INTERES ]]/30*U5949))+Tabla14[[#This Row],[VALOR CUOTAS]]</f>
        <v>#VALUE!</v>
      </c>
      <c r="S5949" s="88">
        <f>-IF(Tabla14[[#This Row],[DIAS HABILES O MORA]]&lt;0,(Tabla14[[#This Row],[VALOR PRESTAMO]]*Tabla14[[#This Row],[% INTERES ]]/30*U5949))</f>
        <v>0</v>
      </c>
      <c r="T5949" s="53" t="e">
        <f>Tabla14[[#This Row],[DEUDA CAPITAL]]+Tabla14[[#This Row],[INTERES  CUOTA]]</f>
        <v>#NUM!</v>
      </c>
      <c r="U5949" s="61" t="str">
        <f t="shared" si="939"/>
        <v/>
      </c>
    </row>
    <row r="5950" spans="9:21" ht="24.75" customHeight="1" x14ac:dyDescent="0.35">
      <c r="I5950" s="42">
        <f t="shared" si="930"/>
        <v>0</v>
      </c>
      <c r="J5950" s="65" t="e">
        <f t="shared" si="931"/>
        <v>#NUM!</v>
      </c>
      <c r="K5950" s="83" t="e">
        <f t="shared" si="932"/>
        <v>#NUM!</v>
      </c>
      <c r="L5950" s="83">
        <f t="shared" si="933"/>
        <v>0</v>
      </c>
      <c r="M5950" s="110" t="str">
        <f t="shared" si="934"/>
        <v/>
      </c>
      <c r="N5950" s="51" t="str">
        <f t="shared" si="935"/>
        <v/>
      </c>
      <c r="O5950" s="52" t="str">
        <f t="shared" si="936"/>
        <v/>
      </c>
      <c r="P5950" s="88">
        <f t="shared" si="937"/>
        <v>0</v>
      </c>
      <c r="Q5950" s="88">
        <f t="shared" si="938"/>
        <v>0</v>
      </c>
      <c r="R5950" s="88" t="e">
        <f>-IF(Tabla14[[#This Row],[DIAS HABILES O MORA]]&lt;0,(Tabla14[[#This Row],[VALOR PRESTAMO]]*Tabla14[[#This Row],[% INTERES ]]/30*U5950))+Tabla14[[#This Row],[VALOR CUOTAS]]</f>
        <v>#VALUE!</v>
      </c>
      <c r="S5950" s="88">
        <f>-IF(Tabla14[[#This Row],[DIAS HABILES O MORA]]&lt;0,(Tabla14[[#This Row],[VALOR PRESTAMO]]*Tabla14[[#This Row],[% INTERES ]]/30*U5950))</f>
        <v>0</v>
      </c>
      <c r="T5950" s="53" t="e">
        <f>Tabla14[[#This Row],[DEUDA CAPITAL]]+Tabla14[[#This Row],[INTERES  CUOTA]]</f>
        <v>#NUM!</v>
      </c>
      <c r="U5950" s="61" t="str">
        <f t="shared" si="939"/>
        <v/>
      </c>
    </row>
    <row r="5951" spans="9:21" ht="24.75" customHeight="1" x14ac:dyDescent="0.35">
      <c r="I5951" s="42">
        <f t="shared" si="930"/>
        <v>0</v>
      </c>
      <c r="J5951" s="65" t="e">
        <f t="shared" si="931"/>
        <v>#NUM!</v>
      </c>
      <c r="K5951" s="83" t="e">
        <f t="shared" si="932"/>
        <v>#NUM!</v>
      </c>
      <c r="L5951" s="83">
        <f t="shared" si="933"/>
        <v>0</v>
      </c>
      <c r="M5951" s="110" t="str">
        <f t="shared" si="934"/>
        <v/>
      </c>
      <c r="N5951" s="51" t="str">
        <f t="shared" si="935"/>
        <v/>
      </c>
      <c r="O5951" s="52" t="str">
        <f t="shared" si="936"/>
        <v/>
      </c>
      <c r="P5951" s="88">
        <f t="shared" si="937"/>
        <v>0</v>
      </c>
      <c r="Q5951" s="88">
        <f t="shared" si="938"/>
        <v>0</v>
      </c>
      <c r="R5951" s="88" t="e">
        <f>-IF(Tabla14[[#This Row],[DIAS HABILES O MORA]]&lt;0,(Tabla14[[#This Row],[VALOR PRESTAMO]]*Tabla14[[#This Row],[% INTERES ]]/30*U5951))+Tabla14[[#This Row],[VALOR CUOTAS]]</f>
        <v>#VALUE!</v>
      </c>
      <c r="S5951" s="88">
        <f>-IF(Tabla14[[#This Row],[DIAS HABILES O MORA]]&lt;0,(Tabla14[[#This Row],[VALOR PRESTAMO]]*Tabla14[[#This Row],[% INTERES ]]/30*U5951))</f>
        <v>0</v>
      </c>
      <c r="T5951" s="53" t="e">
        <f>Tabla14[[#This Row],[DEUDA CAPITAL]]+Tabla14[[#This Row],[INTERES  CUOTA]]</f>
        <v>#NUM!</v>
      </c>
      <c r="U5951" s="61" t="str">
        <f t="shared" si="939"/>
        <v/>
      </c>
    </row>
    <row r="5952" spans="9:21" ht="24.75" customHeight="1" x14ac:dyDescent="0.35">
      <c r="I5952" s="42">
        <f t="shared" si="930"/>
        <v>0</v>
      </c>
      <c r="J5952" s="65" t="e">
        <f t="shared" si="931"/>
        <v>#NUM!</v>
      </c>
      <c r="K5952" s="83" t="e">
        <f t="shared" si="932"/>
        <v>#NUM!</v>
      </c>
      <c r="L5952" s="83">
        <f t="shared" si="933"/>
        <v>0</v>
      </c>
      <c r="M5952" s="110" t="str">
        <f t="shared" si="934"/>
        <v/>
      </c>
      <c r="N5952" s="51" t="str">
        <f t="shared" si="935"/>
        <v/>
      </c>
      <c r="O5952" s="52" t="str">
        <f t="shared" si="936"/>
        <v/>
      </c>
      <c r="P5952" s="88">
        <f t="shared" si="937"/>
        <v>0</v>
      </c>
      <c r="Q5952" s="88">
        <f t="shared" si="938"/>
        <v>0</v>
      </c>
      <c r="R5952" s="88" t="e">
        <f>-IF(Tabla14[[#This Row],[DIAS HABILES O MORA]]&lt;0,(Tabla14[[#This Row],[VALOR PRESTAMO]]*Tabla14[[#This Row],[% INTERES ]]/30*U5952))+Tabla14[[#This Row],[VALOR CUOTAS]]</f>
        <v>#VALUE!</v>
      </c>
      <c r="S5952" s="88">
        <f>-IF(Tabla14[[#This Row],[DIAS HABILES O MORA]]&lt;0,(Tabla14[[#This Row],[VALOR PRESTAMO]]*Tabla14[[#This Row],[% INTERES ]]/30*U5952))</f>
        <v>0</v>
      </c>
      <c r="T5952" s="53" t="e">
        <f>Tabla14[[#This Row],[DEUDA CAPITAL]]+Tabla14[[#This Row],[INTERES  CUOTA]]</f>
        <v>#NUM!</v>
      </c>
      <c r="U5952" s="61" t="str">
        <f t="shared" si="939"/>
        <v/>
      </c>
    </row>
    <row r="5953" spans="9:21" ht="24.75" customHeight="1" x14ac:dyDescent="0.35">
      <c r="I5953" s="42">
        <f t="shared" si="930"/>
        <v>0</v>
      </c>
      <c r="J5953" s="65" t="e">
        <f t="shared" si="931"/>
        <v>#NUM!</v>
      </c>
      <c r="K5953" s="83" t="e">
        <f t="shared" si="932"/>
        <v>#NUM!</v>
      </c>
      <c r="L5953" s="83">
        <f t="shared" si="933"/>
        <v>0</v>
      </c>
      <c r="M5953" s="110" t="str">
        <f t="shared" si="934"/>
        <v/>
      </c>
      <c r="N5953" s="51" t="str">
        <f t="shared" si="935"/>
        <v/>
      </c>
      <c r="O5953" s="52" t="str">
        <f t="shared" si="936"/>
        <v/>
      </c>
      <c r="P5953" s="88">
        <f t="shared" si="937"/>
        <v>0</v>
      </c>
      <c r="Q5953" s="88">
        <f t="shared" si="938"/>
        <v>0</v>
      </c>
      <c r="R5953" s="88" t="e">
        <f>-IF(Tabla14[[#This Row],[DIAS HABILES O MORA]]&lt;0,(Tabla14[[#This Row],[VALOR PRESTAMO]]*Tabla14[[#This Row],[% INTERES ]]/30*U5953))+Tabla14[[#This Row],[VALOR CUOTAS]]</f>
        <v>#VALUE!</v>
      </c>
      <c r="S5953" s="88">
        <f>-IF(Tabla14[[#This Row],[DIAS HABILES O MORA]]&lt;0,(Tabla14[[#This Row],[VALOR PRESTAMO]]*Tabla14[[#This Row],[% INTERES ]]/30*U5953))</f>
        <v>0</v>
      </c>
      <c r="T5953" s="53" t="e">
        <f>Tabla14[[#This Row],[DEUDA CAPITAL]]+Tabla14[[#This Row],[INTERES  CUOTA]]</f>
        <v>#NUM!</v>
      </c>
      <c r="U5953" s="61" t="str">
        <f t="shared" si="939"/>
        <v/>
      </c>
    </row>
    <row r="5954" spans="9:21" ht="24.75" customHeight="1" x14ac:dyDescent="0.35">
      <c r="I5954" s="42">
        <f t="shared" si="930"/>
        <v>0</v>
      </c>
      <c r="J5954" s="65" t="e">
        <f t="shared" si="931"/>
        <v>#NUM!</v>
      </c>
      <c r="K5954" s="83" t="e">
        <f t="shared" si="932"/>
        <v>#NUM!</v>
      </c>
      <c r="L5954" s="83">
        <f t="shared" si="933"/>
        <v>0</v>
      </c>
      <c r="M5954" s="110" t="str">
        <f t="shared" si="934"/>
        <v/>
      </c>
      <c r="N5954" s="51" t="str">
        <f t="shared" si="935"/>
        <v/>
      </c>
      <c r="O5954" s="52" t="str">
        <f t="shared" si="936"/>
        <v/>
      </c>
      <c r="P5954" s="88">
        <f t="shared" si="937"/>
        <v>0</v>
      </c>
      <c r="Q5954" s="88">
        <f t="shared" si="938"/>
        <v>0</v>
      </c>
      <c r="R5954" s="88" t="e">
        <f>-IF(Tabla14[[#This Row],[DIAS HABILES O MORA]]&lt;0,(Tabla14[[#This Row],[VALOR PRESTAMO]]*Tabla14[[#This Row],[% INTERES ]]/30*U5954))+Tabla14[[#This Row],[VALOR CUOTAS]]</f>
        <v>#VALUE!</v>
      </c>
      <c r="S5954" s="88">
        <f>-IF(Tabla14[[#This Row],[DIAS HABILES O MORA]]&lt;0,(Tabla14[[#This Row],[VALOR PRESTAMO]]*Tabla14[[#This Row],[% INTERES ]]/30*U5954))</f>
        <v>0</v>
      </c>
      <c r="T5954" s="53" t="e">
        <f>Tabla14[[#This Row],[DEUDA CAPITAL]]+Tabla14[[#This Row],[INTERES  CUOTA]]</f>
        <v>#NUM!</v>
      </c>
      <c r="U5954" s="61" t="str">
        <f t="shared" si="939"/>
        <v/>
      </c>
    </row>
    <row r="5955" spans="9:21" ht="24.75" customHeight="1" x14ac:dyDescent="0.35">
      <c r="I5955" s="42">
        <f t="shared" si="930"/>
        <v>0</v>
      </c>
      <c r="J5955" s="65" t="e">
        <f t="shared" si="931"/>
        <v>#NUM!</v>
      </c>
      <c r="K5955" s="83" t="e">
        <f t="shared" si="932"/>
        <v>#NUM!</v>
      </c>
      <c r="L5955" s="83">
        <f t="shared" si="933"/>
        <v>0</v>
      </c>
      <c r="M5955" s="110" t="str">
        <f t="shared" si="934"/>
        <v/>
      </c>
      <c r="N5955" s="51" t="str">
        <f t="shared" si="935"/>
        <v/>
      </c>
      <c r="O5955" s="52" t="str">
        <f t="shared" si="936"/>
        <v/>
      </c>
      <c r="P5955" s="88">
        <f t="shared" si="937"/>
        <v>0</v>
      </c>
      <c r="Q5955" s="88">
        <f t="shared" si="938"/>
        <v>0</v>
      </c>
      <c r="R5955" s="88" t="e">
        <f>-IF(Tabla14[[#This Row],[DIAS HABILES O MORA]]&lt;0,(Tabla14[[#This Row],[VALOR PRESTAMO]]*Tabla14[[#This Row],[% INTERES ]]/30*U5955))+Tabla14[[#This Row],[VALOR CUOTAS]]</f>
        <v>#VALUE!</v>
      </c>
      <c r="S5955" s="88">
        <f>-IF(Tabla14[[#This Row],[DIAS HABILES O MORA]]&lt;0,(Tabla14[[#This Row],[VALOR PRESTAMO]]*Tabla14[[#This Row],[% INTERES ]]/30*U5955))</f>
        <v>0</v>
      </c>
      <c r="T5955" s="53" t="e">
        <f>Tabla14[[#This Row],[DEUDA CAPITAL]]+Tabla14[[#This Row],[INTERES  CUOTA]]</f>
        <v>#NUM!</v>
      </c>
      <c r="U5955" s="61" t="str">
        <f t="shared" si="939"/>
        <v/>
      </c>
    </row>
    <row r="5956" spans="9:21" ht="24.75" customHeight="1" x14ac:dyDescent="0.35">
      <c r="I5956" s="42">
        <f t="shared" si="930"/>
        <v>0</v>
      </c>
      <c r="J5956" s="65" t="e">
        <f t="shared" si="931"/>
        <v>#NUM!</v>
      </c>
      <c r="K5956" s="83" t="e">
        <f t="shared" si="932"/>
        <v>#NUM!</v>
      </c>
      <c r="L5956" s="83">
        <f t="shared" si="933"/>
        <v>0</v>
      </c>
      <c r="M5956" s="110" t="str">
        <f t="shared" si="934"/>
        <v/>
      </c>
      <c r="N5956" s="51" t="str">
        <f t="shared" si="935"/>
        <v/>
      </c>
      <c r="O5956" s="52" t="str">
        <f t="shared" si="936"/>
        <v/>
      </c>
      <c r="P5956" s="88">
        <f t="shared" si="937"/>
        <v>0</v>
      </c>
      <c r="Q5956" s="88">
        <f t="shared" si="938"/>
        <v>0</v>
      </c>
      <c r="R5956" s="88" t="e">
        <f>-IF(Tabla14[[#This Row],[DIAS HABILES O MORA]]&lt;0,(Tabla14[[#This Row],[VALOR PRESTAMO]]*Tabla14[[#This Row],[% INTERES ]]/30*U5956))+Tabla14[[#This Row],[VALOR CUOTAS]]</f>
        <v>#VALUE!</v>
      </c>
      <c r="S5956" s="88">
        <f>-IF(Tabla14[[#This Row],[DIAS HABILES O MORA]]&lt;0,(Tabla14[[#This Row],[VALOR PRESTAMO]]*Tabla14[[#This Row],[% INTERES ]]/30*U5956))</f>
        <v>0</v>
      </c>
      <c r="T5956" s="53" t="e">
        <f>Tabla14[[#This Row],[DEUDA CAPITAL]]+Tabla14[[#This Row],[INTERES  CUOTA]]</f>
        <v>#NUM!</v>
      </c>
      <c r="U5956" s="61" t="str">
        <f t="shared" si="939"/>
        <v/>
      </c>
    </row>
    <row r="5957" spans="9:21" ht="24.75" customHeight="1" x14ac:dyDescent="0.35">
      <c r="I5957" s="42">
        <f t="shared" si="930"/>
        <v>0</v>
      </c>
      <c r="J5957" s="65" t="e">
        <f t="shared" si="931"/>
        <v>#NUM!</v>
      </c>
      <c r="K5957" s="83" t="e">
        <f t="shared" si="932"/>
        <v>#NUM!</v>
      </c>
      <c r="L5957" s="83">
        <f t="shared" si="933"/>
        <v>0</v>
      </c>
      <c r="M5957" s="110" t="str">
        <f t="shared" si="934"/>
        <v/>
      </c>
      <c r="N5957" s="51" t="str">
        <f t="shared" si="935"/>
        <v/>
      </c>
      <c r="O5957" s="52" t="str">
        <f t="shared" si="936"/>
        <v/>
      </c>
      <c r="P5957" s="88">
        <f t="shared" si="937"/>
        <v>0</v>
      </c>
      <c r="Q5957" s="88">
        <f t="shared" si="938"/>
        <v>0</v>
      </c>
      <c r="R5957" s="88" t="e">
        <f>-IF(Tabla14[[#This Row],[DIAS HABILES O MORA]]&lt;0,(Tabla14[[#This Row],[VALOR PRESTAMO]]*Tabla14[[#This Row],[% INTERES ]]/30*U5957))+Tabla14[[#This Row],[VALOR CUOTAS]]</f>
        <v>#VALUE!</v>
      </c>
      <c r="S5957" s="88">
        <f>-IF(Tabla14[[#This Row],[DIAS HABILES O MORA]]&lt;0,(Tabla14[[#This Row],[VALOR PRESTAMO]]*Tabla14[[#This Row],[% INTERES ]]/30*U5957))</f>
        <v>0</v>
      </c>
      <c r="T5957" s="53" t="e">
        <f>Tabla14[[#This Row],[DEUDA CAPITAL]]+Tabla14[[#This Row],[INTERES  CUOTA]]</f>
        <v>#NUM!</v>
      </c>
      <c r="U5957" s="61" t="str">
        <f t="shared" si="939"/>
        <v/>
      </c>
    </row>
    <row r="5958" spans="9:21" ht="24.75" customHeight="1" x14ac:dyDescent="0.35">
      <c r="I5958" s="42">
        <f t="shared" si="930"/>
        <v>0</v>
      </c>
      <c r="J5958" s="65" t="e">
        <f t="shared" si="931"/>
        <v>#NUM!</v>
      </c>
      <c r="K5958" s="83" t="e">
        <f t="shared" si="932"/>
        <v>#NUM!</v>
      </c>
      <c r="L5958" s="83">
        <f t="shared" si="933"/>
        <v>0</v>
      </c>
      <c r="M5958" s="110" t="str">
        <f t="shared" si="934"/>
        <v/>
      </c>
      <c r="N5958" s="51" t="str">
        <f t="shared" si="935"/>
        <v/>
      </c>
      <c r="O5958" s="52" t="str">
        <f t="shared" si="936"/>
        <v/>
      </c>
      <c r="P5958" s="88">
        <f t="shared" si="937"/>
        <v>0</v>
      </c>
      <c r="Q5958" s="88">
        <f t="shared" si="938"/>
        <v>0</v>
      </c>
      <c r="R5958" s="88" t="e">
        <f>-IF(Tabla14[[#This Row],[DIAS HABILES O MORA]]&lt;0,(Tabla14[[#This Row],[VALOR PRESTAMO]]*Tabla14[[#This Row],[% INTERES ]]/30*U5958))+Tabla14[[#This Row],[VALOR CUOTAS]]</f>
        <v>#VALUE!</v>
      </c>
      <c r="S5958" s="88">
        <f>-IF(Tabla14[[#This Row],[DIAS HABILES O MORA]]&lt;0,(Tabla14[[#This Row],[VALOR PRESTAMO]]*Tabla14[[#This Row],[% INTERES ]]/30*U5958))</f>
        <v>0</v>
      </c>
      <c r="T5958" s="53" t="e">
        <f>Tabla14[[#This Row],[DEUDA CAPITAL]]+Tabla14[[#This Row],[INTERES  CUOTA]]</f>
        <v>#NUM!</v>
      </c>
      <c r="U5958" s="61" t="str">
        <f t="shared" si="939"/>
        <v/>
      </c>
    </row>
    <row r="5959" spans="9:21" ht="24.75" customHeight="1" x14ac:dyDescent="0.35">
      <c r="I5959" s="42">
        <f t="shared" si="930"/>
        <v>0</v>
      </c>
      <c r="J5959" s="65" t="e">
        <f t="shared" si="931"/>
        <v>#NUM!</v>
      </c>
      <c r="K5959" s="83" t="e">
        <f t="shared" si="932"/>
        <v>#NUM!</v>
      </c>
      <c r="L5959" s="83">
        <f t="shared" si="933"/>
        <v>0</v>
      </c>
      <c r="M5959" s="110" t="str">
        <f t="shared" si="934"/>
        <v/>
      </c>
      <c r="N5959" s="51" t="str">
        <f t="shared" si="935"/>
        <v/>
      </c>
      <c r="O5959" s="52" t="str">
        <f t="shared" si="936"/>
        <v/>
      </c>
      <c r="P5959" s="88">
        <f t="shared" si="937"/>
        <v>0</v>
      </c>
      <c r="Q5959" s="88">
        <f t="shared" si="938"/>
        <v>0</v>
      </c>
      <c r="R5959" s="88" t="e">
        <f>-IF(Tabla14[[#This Row],[DIAS HABILES O MORA]]&lt;0,(Tabla14[[#This Row],[VALOR PRESTAMO]]*Tabla14[[#This Row],[% INTERES ]]/30*U5959))+Tabla14[[#This Row],[VALOR CUOTAS]]</f>
        <v>#VALUE!</v>
      </c>
      <c r="S5959" s="88">
        <f>-IF(Tabla14[[#This Row],[DIAS HABILES O MORA]]&lt;0,(Tabla14[[#This Row],[VALOR PRESTAMO]]*Tabla14[[#This Row],[% INTERES ]]/30*U5959))</f>
        <v>0</v>
      </c>
      <c r="T5959" s="53" t="e">
        <f>Tabla14[[#This Row],[DEUDA CAPITAL]]+Tabla14[[#This Row],[INTERES  CUOTA]]</f>
        <v>#NUM!</v>
      </c>
      <c r="U5959" s="61" t="str">
        <f t="shared" si="939"/>
        <v/>
      </c>
    </row>
    <row r="5960" spans="9:21" ht="24.75" customHeight="1" x14ac:dyDescent="0.35">
      <c r="I5960" s="42">
        <f t="shared" si="930"/>
        <v>0</v>
      </c>
      <c r="J5960" s="65" t="e">
        <f t="shared" si="931"/>
        <v>#NUM!</v>
      </c>
      <c r="K5960" s="83" t="e">
        <f t="shared" si="932"/>
        <v>#NUM!</v>
      </c>
      <c r="L5960" s="83">
        <f t="shared" si="933"/>
        <v>0</v>
      </c>
      <c r="M5960" s="110" t="str">
        <f t="shared" si="934"/>
        <v/>
      </c>
      <c r="N5960" s="51" t="str">
        <f t="shared" si="935"/>
        <v/>
      </c>
      <c r="O5960" s="52" t="str">
        <f t="shared" si="936"/>
        <v/>
      </c>
      <c r="P5960" s="88">
        <f t="shared" si="937"/>
        <v>0</v>
      </c>
      <c r="Q5960" s="88">
        <f t="shared" si="938"/>
        <v>0</v>
      </c>
      <c r="R5960" s="88" t="e">
        <f>-IF(Tabla14[[#This Row],[DIAS HABILES O MORA]]&lt;0,(Tabla14[[#This Row],[VALOR PRESTAMO]]*Tabla14[[#This Row],[% INTERES ]]/30*U5960))+Tabla14[[#This Row],[VALOR CUOTAS]]</f>
        <v>#VALUE!</v>
      </c>
      <c r="S5960" s="88">
        <f>-IF(Tabla14[[#This Row],[DIAS HABILES O MORA]]&lt;0,(Tabla14[[#This Row],[VALOR PRESTAMO]]*Tabla14[[#This Row],[% INTERES ]]/30*U5960))</f>
        <v>0</v>
      </c>
      <c r="T5960" s="53" t="e">
        <f>Tabla14[[#This Row],[DEUDA CAPITAL]]+Tabla14[[#This Row],[INTERES  CUOTA]]</f>
        <v>#NUM!</v>
      </c>
      <c r="U5960" s="61" t="str">
        <f t="shared" si="939"/>
        <v/>
      </c>
    </row>
    <row r="5961" spans="9:21" ht="24.75" customHeight="1" x14ac:dyDescent="0.35">
      <c r="I5961" s="42">
        <f t="shared" si="930"/>
        <v>0</v>
      </c>
      <c r="J5961" s="65" t="e">
        <f t="shared" si="931"/>
        <v>#NUM!</v>
      </c>
      <c r="K5961" s="83" t="e">
        <f t="shared" si="932"/>
        <v>#NUM!</v>
      </c>
      <c r="L5961" s="83">
        <f t="shared" si="933"/>
        <v>0</v>
      </c>
      <c r="M5961" s="110" t="str">
        <f t="shared" si="934"/>
        <v/>
      </c>
      <c r="N5961" s="51" t="str">
        <f t="shared" si="935"/>
        <v/>
      </c>
      <c r="O5961" s="52" t="str">
        <f t="shared" si="936"/>
        <v/>
      </c>
      <c r="P5961" s="88">
        <f t="shared" si="937"/>
        <v>0</v>
      </c>
      <c r="Q5961" s="88">
        <f t="shared" si="938"/>
        <v>0</v>
      </c>
      <c r="R5961" s="88" t="e">
        <f>-IF(Tabla14[[#This Row],[DIAS HABILES O MORA]]&lt;0,(Tabla14[[#This Row],[VALOR PRESTAMO]]*Tabla14[[#This Row],[% INTERES ]]/30*U5961))+Tabla14[[#This Row],[VALOR CUOTAS]]</f>
        <v>#VALUE!</v>
      </c>
      <c r="S5961" s="88">
        <f>-IF(Tabla14[[#This Row],[DIAS HABILES O MORA]]&lt;0,(Tabla14[[#This Row],[VALOR PRESTAMO]]*Tabla14[[#This Row],[% INTERES ]]/30*U5961))</f>
        <v>0</v>
      </c>
      <c r="T5961" s="53" t="e">
        <f>Tabla14[[#This Row],[DEUDA CAPITAL]]+Tabla14[[#This Row],[INTERES  CUOTA]]</f>
        <v>#NUM!</v>
      </c>
      <c r="U5961" s="61" t="str">
        <f t="shared" si="939"/>
        <v/>
      </c>
    </row>
    <row r="5962" spans="9:21" ht="24.75" customHeight="1" x14ac:dyDescent="0.35">
      <c r="I5962" s="42">
        <f t="shared" si="930"/>
        <v>0</v>
      </c>
      <c r="J5962" s="65" t="e">
        <f t="shared" si="931"/>
        <v>#NUM!</v>
      </c>
      <c r="K5962" s="83" t="e">
        <f t="shared" si="932"/>
        <v>#NUM!</v>
      </c>
      <c r="L5962" s="83">
        <f t="shared" si="933"/>
        <v>0</v>
      </c>
      <c r="M5962" s="110" t="str">
        <f t="shared" si="934"/>
        <v/>
      </c>
      <c r="N5962" s="51" t="str">
        <f t="shared" si="935"/>
        <v/>
      </c>
      <c r="O5962" s="52" t="str">
        <f t="shared" si="936"/>
        <v/>
      </c>
      <c r="P5962" s="88">
        <f t="shared" si="937"/>
        <v>0</v>
      </c>
      <c r="Q5962" s="88">
        <f t="shared" si="938"/>
        <v>0</v>
      </c>
      <c r="R5962" s="88" t="e">
        <f>-IF(Tabla14[[#This Row],[DIAS HABILES O MORA]]&lt;0,(Tabla14[[#This Row],[VALOR PRESTAMO]]*Tabla14[[#This Row],[% INTERES ]]/30*U5962))+Tabla14[[#This Row],[VALOR CUOTAS]]</f>
        <v>#VALUE!</v>
      </c>
      <c r="S5962" s="88">
        <f>-IF(Tabla14[[#This Row],[DIAS HABILES O MORA]]&lt;0,(Tabla14[[#This Row],[VALOR PRESTAMO]]*Tabla14[[#This Row],[% INTERES ]]/30*U5962))</f>
        <v>0</v>
      </c>
      <c r="T5962" s="53" t="e">
        <f>Tabla14[[#This Row],[DEUDA CAPITAL]]+Tabla14[[#This Row],[INTERES  CUOTA]]</f>
        <v>#NUM!</v>
      </c>
      <c r="U5962" s="61" t="str">
        <f t="shared" si="939"/>
        <v/>
      </c>
    </row>
    <row r="5963" spans="9:21" ht="24.75" customHeight="1" x14ac:dyDescent="0.35">
      <c r="I5963" s="42">
        <f t="shared" si="930"/>
        <v>0</v>
      </c>
      <c r="J5963" s="65" t="e">
        <f t="shared" si="931"/>
        <v>#NUM!</v>
      </c>
      <c r="K5963" s="83" t="e">
        <f t="shared" si="932"/>
        <v>#NUM!</v>
      </c>
      <c r="L5963" s="83">
        <f t="shared" si="933"/>
        <v>0</v>
      </c>
      <c r="M5963" s="110" t="str">
        <f t="shared" si="934"/>
        <v/>
      </c>
      <c r="N5963" s="51" t="str">
        <f t="shared" si="935"/>
        <v/>
      </c>
      <c r="O5963" s="52" t="str">
        <f t="shared" si="936"/>
        <v/>
      </c>
      <c r="P5963" s="88">
        <f t="shared" si="937"/>
        <v>0</v>
      </c>
      <c r="Q5963" s="88">
        <f t="shared" si="938"/>
        <v>0</v>
      </c>
      <c r="R5963" s="88" t="e">
        <f>-IF(Tabla14[[#This Row],[DIAS HABILES O MORA]]&lt;0,(Tabla14[[#This Row],[VALOR PRESTAMO]]*Tabla14[[#This Row],[% INTERES ]]/30*U5963))+Tabla14[[#This Row],[VALOR CUOTAS]]</f>
        <v>#VALUE!</v>
      </c>
      <c r="S5963" s="88">
        <f>-IF(Tabla14[[#This Row],[DIAS HABILES O MORA]]&lt;0,(Tabla14[[#This Row],[VALOR PRESTAMO]]*Tabla14[[#This Row],[% INTERES ]]/30*U5963))</f>
        <v>0</v>
      </c>
      <c r="T5963" s="53" t="e">
        <f>Tabla14[[#This Row],[DEUDA CAPITAL]]+Tabla14[[#This Row],[INTERES  CUOTA]]</f>
        <v>#NUM!</v>
      </c>
      <c r="U5963" s="61" t="str">
        <f t="shared" si="939"/>
        <v/>
      </c>
    </row>
    <row r="5964" spans="9:21" ht="24.75" customHeight="1" x14ac:dyDescent="0.35">
      <c r="I5964" s="42">
        <f t="shared" si="930"/>
        <v>0</v>
      </c>
      <c r="J5964" s="65" t="e">
        <f t="shared" si="931"/>
        <v>#NUM!</v>
      </c>
      <c r="K5964" s="83" t="e">
        <f t="shared" si="932"/>
        <v>#NUM!</v>
      </c>
      <c r="L5964" s="83">
        <f t="shared" si="933"/>
        <v>0</v>
      </c>
      <c r="M5964" s="110" t="str">
        <f t="shared" si="934"/>
        <v/>
      </c>
      <c r="N5964" s="51" t="str">
        <f t="shared" si="935"/>
        <v/>
      </c>
      <c r="O5964" s="52" t="str">
        <f t="shared" si="936"/>
        <v/>
      </c>
      <c r="P5964" s="88">
        <f t="shared" si="937"/>
        <v>0</v>
      </c>
      <c r="Q5964" s="88">
        <f t="shared" si="938"/>
        <v>0</v>
      </c>
      <c r="R5964" s="88" t="e">
        <f>-IF(Tabla14[[#This Row],[DIAS HABILES O MORA]]&lt;0,(Tabla14[[#This Row],[VALOR PRESTAMO]]*Tabla14[[#This Row],[% INTERES ]]/30*U5964))+Tabla14[[#This Row],[VALOR CUOTAS]]</f>
        <v>#VALUE!</v>
      </c>
      <c r="S5964" s="88">
        <f>-IF(Tabla14[[#This Row],[DIAS HABILES O MORA]]&lt;0,(Tabla14[[#This Row],[VALOR PRESTAMO]]*Tabla14[[#This Row],[% INTERES ]]/30*U5964))</f>
        <v>0</v>
      </c>
      <c r="T5964" s="53" t="e">
        <f>Tabla14[[#This Row],[DEUDA CAPITAL]]+Tabla14[[#This Row],[INTERES  CUOTA]]</f>
        <v>#NUM!</v>
      </c>
      <c r="U5964" s="61" t="str">
        <f t="shared" si="939"/>
        <v/>
      </c>
    </row>
    <row r="5965" spans="9:21" ht="24.75" customHeight="1" x14ac:dyDescent="0.35">
      <c r="I5965" s="42">
        <f t="shared" si="930"/>
        <v>0</v>
      </c>
      <c r="J5965" s="65" t="e">
        <f t="shared" si="931"/>
        <v>#NUM!</v>
      </c>
      <c r="K5965" s="83" t="e">
        <f t="shared" si="932"/>
        <v>#NUM!</v>
      </c>
      <c r="L5965" s="83">
        <f t="shared" si="933"/>
        <v>0</v>
      </c>
      <c r="M5965" s="110" t="str">
        <f t="shared" si="934"/>
        <v/>
      </c>
      <c r="N5965" s="51" t="str">
        <f t="shared" si="935"/>
        <v/>
      </c>
      <c r="O5965" s="52" t="str">
        <f t="shared" si="936"/>
        <v/>
      </c>
      <c r="P5965" s="88">
        <f t="shared" si="937"/>
        <v>0</v>
      </c>
      <c r="Q5965" s="88">
        <f t="shared" si="938"/>
        <v>0</v>
      </c>
      <c r="R5965" s="88" t="e">
        <f>-IF(Tabla14[[#This Row],[DIAS HABILES O MORA]]&lt;0,(Tabla14[[#This Row],[VALOR PRESTAMO]]*Tabla14[[#This Row],[% INTERES ]]/30*U5965))+Tabla14[[#This Row],[VALOR CUOTAS]]</f>
        <v>#VALUE!</v>
      </c>
      <c r="S5965" s="88">
        <f>-IF(Tabla14[[#This Row],[DIAS HABILES O MORA]]&lt;0,(Tabla14[[#This Row],[VALOR PRESTAMO]]*Tabla14[[#This Row],[% INTERES ]]/30*U5965))</f>
        <v>0</v>
      </c>
      <c r="T5965" s="53" t="e">
        <f>Tabla14[[#This Row],[DEUDA CAPITAL]]+Tabla14[[#This Row],[INTERES  CUOTA]]</f>
        <v>#NUM!</v>
      </c>
      <c r="U5965" s="61" t="str">
        <f t="shared" si="939"/>
        <v/>
      </c>
    </row>
    <row r="5966" spans="9:21" ht="24.75" customHeight="1" x14ac:dyDescent="0.35">
      <c r="I5966" s="42">
        <f t="shared" si="930"/>
        <v>0</v>
      </c>
      <c r="J5966" s="65" t="e">
        <f t="shared" si="931"/>
        <v>#NUM!</v>
      </c>
      <c r="K5966" s="83" t="e">
        <f t="shared" si="932"/>
        <v>#NUM!</v>
      </c>
      <c r="L5966" s="83">
        <f t="shared" si="933"/>
        <v>0</v>
      </c>
      <c r="M5966" s="110" t="str">
        <f t="shared" si="934"/>
        <v/>
      </c>
      <c r="N5966" s="51" t="str">
        <f t="shared" si="935"/>
        <v/>
      </c>
      <c r="O5966" s="52" t="str">
        <f t="shared" si="936"/>
        <v/>
      </c>
      <c r="P5966" s="88">
        <f t="shared" si="937"/>
        <v>0</v>
      </c>
      <c r="Q5966" s="88">
        <f t="shared" si="938"/>
        <v>0</v>
      </c>
      <c r="R5966" s="88" t="e">
        <f>-IF(Tabla14[[#This Row],[DIAS HABILES O MORA]]&lt;0,(Tabla14[[#This Row],[VALOR PRESTAMO]]*Tabla14[[#This Row],[% INTERES ]]/30*U5966))+Tabla14[[#This Row],[VALOR CUOTAS]]</f>
        <v>#VALUE!</v>
      </c>
      <c r="S5966" s="88">
        <f>-IF(Tabla14[[#This Row],[DIAS HABILES O MORA]]&lt;0,(Tabla14[[#This Row],[VALOR PRESTAMO]]*Tabla14[[#This Row],[% INTERES ]]/30*U5966))</f>
        <v>0</v>
      </c>
      <c r="T5966" s="53" t="e">
        <f>Tabla14[[#This Row],[DEUDA CAPITAL]]+Tabla14[[#This Row],[INTERES  CUOTA]]</f>
        <v>#NUM!</v>
      </c>
      <c r="U5966" s="61" t="str">
        <f t="shared" si="939"/>
        <v/>
      </c>
    </row>
    <row r="5967" spans="9:21" ht="24.75" customHeight="1" x14ac:dyDescent="0.35">
      <c r="I5967" s="42">
        <f t="shared" si="930"/>
        <v>0</v>
      </c>
      <c r="J5967" s="65" t="e">
        <f t="shared" si="931"/>
        <v>#NUM!</v>
      </c>
      <c r="K5967" s="83" t="e">
        <f t="shared" si="932"/>
        <v>#NUM!</v>
      </c>
      <c r="L5967" s="83">
        <f t="shared" si="933"/>
        <v>0</v>
      </c>
      <c r="M5967" s="110" t="str">
        <f t="shared" si="934"/>
        <v/>
      </c>
      <c r="N5967" s="51" t="str">
        <f t="shared" si="935"/>
        <v/>
      </c>
      <c r="O5967" s="52" t="str">
        <f t="shared" si="936"/>
        <v/>
      </c>
      <c r="P5967" s="88">
        <f t="shared" si="937"/>
        <v>0</v>
      </c>
      <c r="Q5967" s="88">
        <f t="shared" si="938"/>
        <v>0</v>
      </c>
      <c r="R5967" s="88" t="e">
        <f>-IF(Tabla14[[#This Row],[DIAS HABILES O MORA]]&lt;0,(Tabla14[[#This Row],[VALOR PRESTAMO]]*Tabla14[[#This Row],[% INTERES ]]/30*U5967))+Tabla14[[#This Row],[VALOR CUOTAS]]</f>
        <v>#VALUE!</v>
      </c>
      <c r="S5967" s="88">
        <f>-IF(Tabla14[[#This Row],[DIAS HABILES O MORA]]&lt;0,(Tabla14[[#This Row],[VALOR PRESTAMO]]*Tabla14[[#This Row],[% INTERES ]]/30*U5967))</f>
        <v>0</v>
      </c>
      <c r="T5967" s="53" t="e">
        <f>Tabla14[[#This Row],[DEUDA CAPITAL]]+Tabla14[[#This Row],[INTERES  CUOTA]]</f>
        <v>#NUM!</v>
      </c>
      <c r="U5967" s="61" t="str">
        <f t="shared" si="939"/>
        <v/>
      </c>
    </row>
    <row r="5968" spans="9:21" ht="24.75" customHeight="1" x14ac:dyDescent="0.35">
      <c r="I5968" s="42">
        <f t="shared" ref="I5968:I6031" si="940">IF(C5968&lt;0,"",IF(Q5968=0,0,IF(G5968=0,H5968+1,IF(H5968&lt;G5968,H5968+1,IF(G5968=H5968,0)))))</f>
        <v>0</v>
      </c>
      <c r="J5968" s="65" t="e">
        <f t="shared" ref="J5968:J6031" si="941">IF(F5968="SOLO INTERES",Q5968*D5968,-IPMT(D5968,I5968,G5968,C5968))</f>
        <v>#NUM!</v>
      </c>
      <c r="K5968" s="83" t="e">
        <f t="shared" ref="K5968:K6031" si="942">IF(F5968="SOLO INTERES",0,-PPMT(D5968,I5968,G5968,C5968))</f>
        <v>#NUM!</v>
      </c>
      <c r="L5968" s="83">
        <f t="shared" ref="L5968:L6031" si="943">IF(F5968="SOLO INTERES",SUM(Y5968:AAE5968),IFERROR(-CUMIPMT(D5968,G5968,C5968,1,H5968,0),0)+SUM(Y5968:WY5968))</f>
        <v>0</v>
      </c>
      <c r="M5968" s="110" t="str">
        <f t="shared" ref="M5968:M6031" si="944">IFERROR(IF(F5968="SOLO INTERES",Q5968*D5968,-PMT(D5968,G5968,C5968,0)),"")</f>
        <v/>
      </c>
      <c r="N5968" s="51" t="str">
        <f t="shared" ref="N5968:N6031" si="945">IF(Q5968=0,"",IF(E5968="MENSUAL",EDATE(B5968,I5968),IF(E5968="QUINCENAL",B5968+(I5968*15),IF(E5968="SEMANAL",B5968+(I5968*7)))))</f>
        <v/>
      </c>
      <c r="O5968" s="52" t="str">
        <f t="shared" ref="O5968:O6031" si="946">IF(C5968=0,"",IF(Q5968&lt;1,"PAGADO",IF(N5968=$A$3,"COBRAR HOY",IF(N5968&lt;$A$3,"EN MORA",IF(N5968&gt;$A$3,"AL DIA")))))</f>
        <v/>
      </c>
      <c r="P5968" s="88">
        <f t="shared" ref="P5968:P6031" si="947">IFERROR(-CUMPRINC(D5968,G5968,C5968,1,H5968,0),0)+W5968</f>
        <v>0</v>
      </c>
      <c r="Q5968" s="88">
        <f t="shared" ref="Q5968:Q6031" si="948">IFERROR(C5968-P5968,"")</f>
        <v>0</v>
      </c>
      <c r="R5968" s="88" t="e">
        <f>-IF(Tabla14[[#This Row],[DIAS HABILES O MORA]]&lt;0,(Tabla14[[#This Row],[VALOR PRESTAMO]]*Tabla14[[#This Row],[% INTERES ]]/30*U5968))+Tabla14[[#This Row],[VALOR CUOTAS]]</f>
        <v>#VALUE!</v>
      </c>
      <c r="S5968" s="88">
        <f>-IF(Tabla14[[#This Row],[DIAS HABILES O MORA]]&lt;0,(Tabla14[[#This Row],[VALOR PRESTAMO]]*Tabla14[[#This Row],[% INTERES ]]/30*U5968))</f>
        <v>0</v>
      </c>
      <c r="T5968" s="53" t="e">
        <f>Tabla14[[#This Row],[DEUDA CAPITAL]]+Tabla14[[#This Row],[INTERES  CUOTA]]</f>
        <v>#NUM!</v>
      </c>
      <c r="U5968" s="61" t="str">
        <f t="shared" ref="U5968:U6031" si="949">IF(O5968="PAGADO","",IFERROR(-IF(C5968=0,"",$A$3-N5968),""))</f>
        <v/>
      </c>
    </row>
    <row r="5969" spans="9:21" ht="24.75" customHeight="1" x14ac:dyDescent="0.35">
      <c r="I5969" s="42">
        <f t="shared" si="940"/>
        <v>0</v>
      </c>
      <c r="J5969" s="65" t="e">
        <f t="shared" si="941"/>
        <v>#NUM!</v>
      </c>
      <c r="K5969" s="83" t="e">
        <f t="shared" si="942"/>
        <v>#NUM!</v>
      </c>
      <c r="L5969" s="83">
        <f t="shared" si="943"/>
        <v>0</v>
      </c>
      <c r="M5969" s="110" t="str">
        <f t="shared" si="944"/>
        <v/>
      </c>
      <c r="N5969" s="51" t="str">
        <f t="shared" si="945"/>
        <v/>
      </c>
      <c r="O5969" s="52" t="str">
        <f t="shared" si="946"/>
        <v/>
      </c>
      <c r="P5969" s="88">
        <f t="shared" si="947"/>
        <v>0</v>
      </c>
      <c r="Q5969" s="88">
        <f t="shared" si="948"/>
        <v>0</v>
      </c>
      <c r="R5969" s="88" t="e">
        <f>-IF(Tabla14[[#This Row],[DIAS HABILES O MORA]]&lt;0,(Tabla14[[#This Row],[VALOR PRESTAMO]]*Tabla14[[#This Row],[% INTERES ]]/30*U5969))+Tabla14[[#This Row],[VALOR CUOTAS]]</f>
        <v>#VALUE!</v>
      </c>
      <c r="S5969" s="88">
        <f>-IF(Tabla14[[#This Row],[DIAS HABILES O MORA]]&lt;0,(Tabla14[[#This Row],[VALOR PRESTAMO]]*Tabla14[[#This Row],[% INTERES ]]/30*U5969))</f>
        <v>0</v>
      </c>
      <c r="T5969" s="53" t="e">
        <f>Tabla14[[#This Row],[DEUDA CAPITAL]]+Tabla14[[#This Row],[INTERES  CUOTA]]</f>
        <v>#NUM!</v>
      </c>
      <c r="U5969" s="61" t="str">
        <f t="shared" si="949"/>
        <v/>
      </c>
    </row>
    <row r="5970" spans="9:21" ht="24.75" customHeight="1" x14ac:dyDescent="0.35">
      <c r="I5970" s="42">
        <f t="shared" si="940"/>
        <v>0</v>
      </c>
      <c r="J5970" s="65" t="e">
        <f t="shared" si="941"/>
        <v>#NUM!</v>
      </c>
      <c r="K5970" s="83" t="e">
        <f t="shared" si="942"/>
        <v>#NUM!</v>
      </c>
      <c r="L5970" s="83">
        <f t="shared" si="943"/>
        <v>0</v>
      </c>
      <c r="M5970" s="110" t="str">
        <f t="shared" si="944"/>
        <v/>
      </c>
      <c r="N5970" s="51" t="str">
        <f t="shared" si="945"/>
        <v/>
      </c>
      <c r="O5970" s="52" t="str">
        <f t="shared" si="946"/>
        <v/>
      </c>
      <c r="P5970" s="88">
        <f t="shared" si="947"/>
        <v>0</v>
      </c>
      <c r="Q5970" s="88">
        <f t="shared" si="948"/>
        <v>0</v>
      </c>
      <c r="R5970" s="88" t="e">
        <f>-IF(Tabla14[[#This Row],[DIAS HABILES O MORA]]&lt;0,(Tabla14[[#This Row],[VALOR PRESTAMO]]*Tabla14[[#This Row],[% INTERES ]]/30*U5970))+Tabla14[[#This Row],[VALOR CUOTAS]]</f>
        <v>#VALUE!</v>
      </c>
      <c r="S5970" s="88">
        <f>-IF(Tabla14[[#This Row],[DIAS HABILES O MORA]]&lt;0,(Tabla14[[#This Row],[VALOR PRESTAMO]]*Tabla14[[#This Row],[% INTERES ]]/30*U5970))</f>
        <v>0</v>
      </c>
      <c r="T5970" s="53" t="e">
        <f>Tabla14[[#This Row],[DEUDA CAPITAL]]+Tabla14[[#This Row],[INTERES  CUOTA]]</f>
        <v>#NUM!</v>
      </c>
      <c r="U5970" s="61" t="str">
        <f t="shared" si="949"/>
        <v/>
      </c>
    </row>
    <row r="5971" spans="9:21" ht="24.75" customHeight="1" x14ac:dyDescent="0.35">
      <c r="I5971" s="42">
        <f t="shared" si="940"/>
        <v>0</v>
      </c>
      <c r="J5971" s="65" t="e">
        <f t="shared" si="941"/>
        <v>#NUM!</v>
      </c>
      <c r="K5971" s="83" t="e">
        <f t="shared" si="942"/>
        <v>#NUM!</v>
      </c>
      <c r="L5971" s="83">
        <f t="shared" si="943"/>
        <v>0</v>
      </c>
      <c r="M5971" s="110" t="str">
        <f t="shared" si="944"/>
        <v/>
      </c>
      <c r="N5971" s="51" t="str">
        <f t="shared" si="945"/>
        <v/>
      </c>
      <c r="O5971" s="52" t="str">
        <f t="shared" si="946"/>
        <v/>
      </c>
      <c r="P5971" s="88">
        <f t="shared" si="947"/>
        <v>0</v>
      </c>
      <c r="Q5971" s="88">
        <f t="shared" si="948"/>
        <v>0</v>
      </c>
      <c r="R5971" s="88" t="e">
        <f>-IF(Tabla14[[#This Row],[DIAS HABILES O MORA]]&lt;0,(Tabla14[[#This Row],[VALOR PRESTAMO]]*Tabla14[[#This Row],[% INTERES ]]/30*U5971))+Tabla14[[#This Row],[VALOR CUOTAS]]</f>
        <v>#VALUE!</v>
      </c>
      <c r="S5971" s="88">
        <f>-IF(Tabla14[[#This Row],[DIAS HABILES O MORA]]&lt;0,(Tabla14[[#This Row],[VALOR PRESTAMO]]*Tabla14[[#This Row],[% INTERES ]]/30*U5971))</f>
        <v>0</v>
      </c>
      <c r="T5971" s="53" t="e">
        <f>Tabla14[[#This Row],[DEUDA CAPITAL]]+Tabla14[[#This Row],[INTERES  CUOTA]]</f>
        <v>#NUM!</v>
      </c>
      <c r="U5971" s="61" t="str">
        <f t="shared" si="949"/>
        <v/>
      </c>
    </row>
    <row r="5972" spans="9:21" ht="24.75" customHeight="1" x14ac:dyDescent="0.35">
      <c r="I5972" s="42">
        <f t="shared" si="940"/>
        <v>0</v>
      </c>
      <c r="J5972" s="65" t="e">
        <f t="shared" si="941"/>
        <v>#NUM!</v>
      </c>
      <c r="K5972" s="83" t="e">
        <f t="shared" si="942"/>
        <v>#NUM!</v>
      </c>
      <c r="L5972" s="83">
        <f t="shared" si="943"/>
        <v>0</v>
      </c>
      <c r="M5972" s="110" t="str">
        <f t="shared" si="944"/>
        <v/>
      </c>
      <c r="N5972" s="51" t="str">
        <f t="shared" si="945"/>
        <v/>
      </c>
      <c r="O5972" s="52" t="str">
        <f t="shared" si="946"/>
        <v/>
      </c>
      <c r="P5972" s="88">
        <f t="shared" si="947"/>
        <v>0</v>
      </c>
      <c r="Q5972" s="88">
        <f t="shared" si="948"/>
        <v>0</v>
      </c>
      <c r="R5972" s="88" t="e">
        <f>-IF(Tabla14[[#This Row],[DIAS HABILES O MORA]]&lt;0,(Tabla14[[#This Row],[VALOR PRESTAMO]]*Tabla14[[#This Row],[% INTERES ]]/30*U5972))+Tabla14[[#This Row],[VALOR CUOTAS]]</f>
        <v>#VALUE!</v>
      </c>
      <c r="S5972" s="88">
        <f>-IF(Tabla14[[#This Row],[DIAS HABILES O MORA]]&lt;0,(Tabla14[[#This Row],[VALOR PRESTAMO]]*Tabla14[[#This Row],[% INTERES ]]/30*U5972))</f>
        <v>0</v>
      </c>
      <c r="T5972" s="53" t="e">
        <f>Tabla14[[#This Row],[DEUDA CAPITAL]]+Tabla14[[#This Row],[INTERES  CUOTA]]</f>
        <v>#NUM!</v>
      </c>
      <c r="U5972" s="61" t="str">
        <f t="shared" si="949"/>
        <v/>
      </c>
    </row>
    <row r="5973" spans="9:21" ht="24.75" customHeight="1" x14ac:dyDescent="0.35">
      <c r="I5973" s="42">
        <f t="shared" si="940"/>
        <v>0</v>
      </c>
      <c r="J5973" s="65" t="e">
        <f t="shared" si="941"/>
        <v>#NUM!</v>
      </c>
      <c r="K5973" s="83" t="e">
        <f t="shared" si="942"/>
        <v>#NUM!</v>
      </c>
      <c r="L5973" s="83">
        <f t="shared" si="943"/>
        <v>0</v>
      </c>
      <c r="M5973" s="110" t="str">
        <f t="shared" si="944"/>
        <v/>
      </c>
      <c r="N5973" s="51" t="str">
        <f t="shared" si="945"/>
        <v/>
      </c>
      <c r="O5973" s="52" t="str">
        <f t="shared" si="946"/>
        <v/>
      </c>
      <c r="P5973" s="88">
        <f t="shared" si="947"/>
        <v>0</v>
      </c>
      <c r="Q5973" s="88">
        <f t="shared" si="948"/>
        <v>0</v>
      </c>
      <c r="R5973" s="88" t="e">
        <f>-IF(Tabla14[[#This Row],[DIAS HABILES O MORA]]&lt;0,(Tabla14[[#This Row],[VALOR PRESTAMO]]*Tabla14[[#This Row],[% INTERES ]]/30*U5973))+Tabla14[[#This Row],[VALOR CUOTAS]]</f>
        <v>#VALUE!</v>
      </c>
      <c r="S5973" s="88">
        <f>-IF(Tabla14[[#This Row],[DIAS HABILES O MORA]]&lt;0,(Tabla14[[#This Row],[VALOR PRESTAMO]]*Tabla14[[#This Row],[% INTERES ]]/30*U5973))</f>
        <v>0</v>
      </c>
      <c r="T5973" s="53" t="e">
        <f>Tabla14[[#This Row],[DEUDA CAPITAL]]+Tabla14[[#This Row],[INTERES  CUOTA]]</f>
        <v>#NUM!</v>
      </c>
      <c r="U5973" s="61" t="str">
        <f t="shared" si="949"/>
        <v/>
      </c>
    </row>
    <row r="5974" spans="9:21" ht="24.75" customHeight="1" x14ac:dyDescent="0.35">
      <c r="I5974" s="42">
        <f t="shared" si="940"/>
        <v>0</v>
      </c>
      <c r="J5974" s="65" t="e">
        <f t="shared" si="941"/>
        <v>#NUM!</v>
      </c>
      <c r="K5974" s="83" t="e">
        <f t="shared" si="942"/>
        <v>#NUM!</v>
      </c>
      <c r="L5974" s="83">
        <f t="shared" si="943"/>
        <v>0</v>
      </c>
      <c r="M5974" s="110" t="str">
        <f t="shared" si="944"/>
        <v/>
      </c>
      <c r="N5974" s="51" t="str">
        <f t="shared" si="945"/>
        <v/>
      </c>
      <c r="O5974" s="52" t="str">
        <f t="shared" si="946"/>
        <v/>
      </c>
      <c r="P5974" s="88">
        <f t="shared" si="947"/>
        <v>0</v>
      </c>
      <c r="Q5974" s="88">
        <f t="shared" si="948"/>
        <v>0</v>
      </c>
      <c r="R5974" s="88" t="e">
        <f>-IF(Tabla14[[#This Row],[DIAS HABILES O MORA]]&lt;0,(Tabla14[[#This Row],[VALOR PRESTAMO]]*Tabla14[[#This Row],[% INTERES ]]/30*U5974))+Tabla14[[#This Row],[VALOR CUOTAS]]</f>
        <v>#VALUE!</v>
      </c>
      <c r="S5974" s="88">
        <f>-IF(Tabla14[[#This Row],[DIAS HABILES O MORA]]&lt;0,(Tabla14[[#This Row],[VALOR PRESTAMO]]*Tabla14[[#This Row],[% INTERES ]]/30*U5974))</f>
        <v>0</v>
      </c>
      <c r="T5974" s="53" t="e">
        <f>Tabla14[[#This Row],[DEUDA CAPITAL]]+Tabla14[[#This Row],[INTERES  CUOTA]]</f>
        <v>#NUM!</v>
      </c>
      <c r="U5974" s="61" t="str">
        <f t="shared" si="949"/>
        <v/>
      </c>
    </row>
    <row r="5975" spans="9:21" ht="24.75" customHeight="1" x14ac:dyDescent="0.35">
      <c r="I5975" s="42">
        <f t="shared" si="940"/>
        <v>0</v>
      </c>
      <c r="J5975" s="65" t="e">
        <f t="shared" si="941"/>
        <v>#NUM!</v>
      </c>
      <c r="K5975" s="83" t="e">
        <f t="shared" si="942"/>
        <v>#NUM!</v>
      </c>
      <c r="L5975" s="83">
        <f t="shared" si="943"/>
        <v>0</v>
      </c>
      <c r="M5975" s="110" t="str">
        <f t="shared" si="944"/>
        <v/>
      </c>
      <c r="N5975" s="51" t="str">
        <f t="shared" si="945"/>
        <v/>
      </c>
      <c r="O5975" s="52" t="str">
        <f t="shared" si="946"/>
        <v/>
      </c>
      <c r="P5975" s="88">
        <f t="shared" si="947"/>
        <v>0</v>
      </c>
      <c r="Q5975" s="88">
        <f t="shared" si="948"/>
        <v>0</v>
      </c>
      <c r="R5975" s="88" t="e">
        <f>-IF(Tabla14[[#This Row],[DIAS HABILES O MORA]]&lt;0,(Tabla14[[#This Row],[VALOR PRESTAMO]]*Tabla14[[#This Row],[% INTERES ]]/30*U5975))+Tabla14[[#This Row],[VALOR CUOTAS]]</f>
        <v>#VALUE!</v>
      </c>
      <c r="S5975" s="88">
        <f>-IF(Tabla14[[#This Row],[DIAS HABILES O MORA]]&lt;0,(Tabla14[[#This Row],[VALOR PRESTAMO]]*Tabla14[[#This Row],[% INTERES ]]/30*U5975))</f>
        <v>0</v>
      </c>
      <c r="T5975" s="53" t="e">
        <f>Tabla14[[#This Row],[DEUDA CAPITAL]]+Tabla14[[#This Row],[INTERES  CUOTA]]</f>
        <v>#NUM!</v>
      </c>
      <c r="U5975" s="61" t="str">
        <f t="shared" si="949"/>
        <v/>
      </c>
    </row>
    <row r="5976" spans="9:21" ht="24.75" customHeight="1" x14ac:dyDescent="0.35">
      <c r="I5976" s="42">
        <f t="shared" si="940"/>
        <v>0</v>
      </c>
      <c r="J5976" s="65" t="e">
        <f t="shared" si="941"/>
        <v>#NUM!</v>
      </c>
      <c r="K5976" s="83" t="e">
        <f t="shared" si="942"/>
        <v>#NUM!</v>
      </c>
      <c r="L5976" s="83">
        <f t="shared" si="943"/>
        <v>0</v>
      </c>
      <c r="M5976" s="110" t="str">
        <f t="shared" si="944"/>
        <v/>
      </c>
      <c r="N5976" s="51" t="str">
        <f t="shared" si="945"/>
        <v/>
      </c>
      <c r="O5976" s="52" t="str">
        <f t="shared" si="946"/>
        <v/>
      </c>
      <c r="P5976" s="88">
        <f t="shared" si="947"/>
        <v>0</v>
      </c>
      <c r="Q5976" s="88">
        <f t="shared" si="948"/>
        <v>0</v>
      </c>
      <c r="R5976" s="88" t="e">
        <f>-IF(Tabla14[[#This Row],[DIAS HABILES O MORA]]&lt;0,(Tabla14[[#This Row],[VALOR PRESTAMO]]*Tabla14[[#This Row],[% INTERES ]]/30*U5976))+Tabla14[[#This Row],[VALOR CUOTAS]]</f>
        <v>#VALUE!</v>
      </c>
      <c r="S5976" s="88">
        <f>-IF(Tabla14[[#This Row],[DIAS HABILES O MORA]]&lt;0,(Tabla14[[#This Row],[VALOR PRESTAMO]]*Tabla14[[#This Row],[% INTERES ]]/30*U5976))</f>
        <v>0</v>
      </c>
      <c r="T5976" s="53" t="e">
        <f>Tabla14[[#This Row],[DEUDA CAPITAL]]+Tabla14[[#This Row],[INTERES  CUOTA]]</f>
        <v>#NUM!</v>
      </c>
      <c r="U5976" s="61" t="str">
        <f t="shared" si="949"/>
        <v/>
      </c>
    </row>
    <row r="5977" spans="9:21" ht="24.75" customHeight="1" x14ac:dyDescent="0.35">
      <c r="I5977" s="42">
        <f t="shared" si="940"/>
        <v>0</v>
      </c>
      <c r="J5977" s="65" t="e">
        <f t="shared" si="941"/>
        <v>#NUM!</v>
      </c>
      <c r="K5977" s="83" t="e">
        <f t="shared" si="942"/>
        <v>#NUM!</v>
      </c>
      <c r="L5977" s="83">
        <f t="shared" si="943"/>
        <v>0</v>
      </c>
      <c r="M5977" s="110" t="str">
        <f t="shared" si="944"/>
        <v/>
      </c>
      <c r="N5977" s="51" t="str">
        <f t="shared" si="945"/>
        <v/>
      </c>
      <c r="O5977" s="52" t="str">
        <f t="shared" si="946"/>
        <v/>
      </c>
      <c r="P5977" s="88">
        <f t="shared" si="947"/>
        <v>0</v>
      </c>
      <c r="Q5977" s="88">
        <f t="shared" si="948"/>
        <v>0</v>
      </c>
      <c r="R5977" s="88" t="e">
        <f>-IF(Tabla14[[#This Row],[DIAS HABILES O MORA]]&lt;0,(Tabla14[[#This Row],[VALOR PRESTAMO]]*Tabla14[[#This Row],[% INTERES ]]/30*U5977))+Tabla14[[#This Row],[VALOR CUOTAS]]</f>
        <v>#VALUE!</v>
      </c>
      <c r="S5977" s="88">
        <f>-IF(Tabla14[[#This Row],[DIAS HABILES O MORA]]&lt;0,(Tabla14[[#This Row],[VALOR PRESTAMO]]*Tabla14[[#This Row],[% INTERES ]]/30*U5977))</f>
        <v>0</v>
      </c>
      <c r="T5977" s="53" t="e">
        <f>Tabla14[[#This Row],[DEUDA CAPITAL]]+Tabla14[[#This Row],[INTERES  CUOTA]]</f>
        <v>#NUM!</v>
      </c>
      <c r="U5977" s="61" t="str">
        <f t="shared" si="949"/>
        <v/>
      </c>
    </row>
    <row r="5978" spans="9:21" ht="24.75" customHeight="1" x14ac:dyDescent="0.35">
      <c r="I5978" s="42">
        <f t="shared" si="940"/>
        <v>0</v>
      </c>
      <c r="J5978" s="65" t="e">
        <f t="shared" si="941"/>
        <v>#NUM!</v>
      </c>
      <c r="K5978" s="83" t="e">
        <f t="shared" si="942"/>
        <v>#NUM!</v>
      </c>
      <c r="L5978" s="83">
        <f t="shared" si="943"/>
        <v>0</v>
      </c>
      <c r="M5978" s="110" t="str">
        <f t="shared" si="944"/>
        <v/>
      </c>
      <c r="N5978" s="51" t="str">
        <f t="shared" si="945"/>
        <v/>
      </c>
      <c r="O5978" s="52" t="str">
        <f t="shared" si="946"/>
        <v/>
      </c>
      <c r="P5978" s="88">
        <f t="shared" si="947"/>
        <v>0</v>
      </c>
      <c r="Q5978" s="88">
        <f t="shared" si="948"/>
        <v>0</v>
      </c>
      <c r="R5978" s="88" t="e">
        <f>-IF(Tabla14[[#This Row],[DIAS HABILES O MORA]]&lt;0,(Tabla14[[#This Row],[VALOR PRESTAMO]]*Tabla14[[#This Row],[% INTERES ]]/30*U5978))+Tabla14[[#This Row],[VALOR CUOTAS]]</f>
        <v>#VALUE!</v>
      </c>
      <c r="S5978" s="88">
        <f>-IF(Tabla14[[#This Row],[DIAS HABILES O MORA]]&lt;0,(Tabla14[[#This Row],[VALOR PRESTAMO]]*Tabla14[[#This Row],[% INTERES ]]/30*U5978))</f>
        <v>0</v>
      </c>
      <c r="T5978" s="53" t="e">
        <f>Tabla14[[#This Row],[DEUDA CAPITAL]]+Tabla14[[#This Row],[INTERES  CUOTA]]</f>
        <v>#NUM!</v>
      </c>
      <c r="U5978" s="61" t="str">
        <f t="shared" si="949"/>
        <v/>
      </c>
    </row>
    <row r="5979" spans="9:21" ht="24.75" customHeight="1" x14ac:dyDescent="0.35">
      <c r="I5979" s="42">
        <f t="shared" si="940"/>
        <v>0</v>
      </c>
      <c r="J5979" s="65" t="e">
        <f t="shared" si="941"/>
        <v>#NUM!</v>
      </c>
      <c r="K5979" s="83" t="e">
        <f t="shared" si="942"/>
        <v>#NUM!</v>
      </c>
      <c r="L5979" s="83">
        <f t="shared" si="943"/>
        <v>0</v>
      </c>
      <c r="M5979" s="110" t="str">
        <f t="shared" si="944"/>
        <v/>
      </c>
      <c r="N5979" s="51" t="str">
        <f t="shared" si="945"/>
        <v/>
      </c>
      <c r="O5979" s="52" t="str">
        <f t="shared" si="946"/>
        <v/>
      </c>
      <c r="P5979" s="88">
        <f t="shared" si="947"/>
        <v>0</v>
      </c>
      <c r="Q5979" s="88">
        <f t="shared" si="948"/>
        <v>0</v>
      </c>
      <c r="R5979" s="88" t="e">
        <f>-IF(Tabla14[[#This Row],[DIAS HABILES O MORA]]&lt;0,(Tabla14[[#This Row],[VALOR PRESTAMO]]*Tabla14[[#This Row],[% INTERES ]]/30*U5979))+Tabla14[[#This Row],[VALOR CUOTAS]]</f>
        <v>#VALUE!</v>
      </c>
      <c r="S5979" s="88">
        <f>-IF(Tabla14[[#This Row],[DIAS HABILES O MORA]]&lt;0,(Tabla14[[#This Row],[VALOR PRESTAMO]]*Tabla14[[#This Row],[% INTERES ]]/30*U5979))</f>
        <v>0</v>
      </c>
      <c r="T5979" s="53" t="e">
        <f>Tabla14[[#This Row],[DEUDA CAPITAL]]+Tabla14[[#This Row],[INTERES  CUOTA]]</f>
        <v>#NUM!</v>
      </c>
      <c r="U5979" s="61" t="str">
        <f t="shared" si="949"/>
        <v/>
      </c>
    </row>
    <row r="5980" spans="9:21" ht="24.75" customHeight="1" x14ac:dyDescent="0.35">
      <c r="I5980" s="42">
        <f t="shared" si="940"/>
        <v>0</v>
      </c>
      <c r="J5980" s="65" t="e">
        <f t="shared" si="941"/>
        <v>#NUM!</v>
      </c>
      <c r="K5980" s="83" t="e">
        <f t="shared" si="942"/>
        <v>#NUM!</v>
      </c>
      <c r="L5980" s="83">
        <f t="shared" si="943"/>
        <v>0</v>
      </c>
      <c r="M5980" s="110" t="str">
        <f t="shared" si="944"/>
        <v/>
      </c>
      <c r="N5980" s="51" t="str">
        <f t="shared" si="945"/>
        <v/>
      </c>
      <c r="O5980" s="52" t="str">
        <f t="shared" si="946"/>
        <v/>
      </c>
      <c r="P5980" s="88">
        <f t="shared" si="947"/>
        <v>0</v>
      </c>
      <c r="Q5980" s="88">
        <f t="shared" si="948"/>
        <v>0</v>
      </c>
      <c r="R5980" s="88" t="e">
        <f>-IF(Tabla14[[#This Row],[DIAS HABILES O MORA]]&lt;0,(Tabla14[[#This Row],[VALOR PRESTAMO]]*Tabla14[[#This Row],[% INTERES ]]/30*U5980))+Tabla14[[#This Row],[VALOR CUOTAS]]</f>
        <v>#VALUE!</v>
      </c>
      <c r="S5980" s="88">
        <f>-IF(Tabla14[[#This Row],[DIAS HABILES O MORA]]&lt;0,(Tabla14[[#This Row],[VALOR PRESTAMO]]*Tabla14[[#This Row],[% INTERES ]]/30*U5980))</f>
        <v>0</v>
      </c>
      <c r="T5980" s="53" t="e">
        <f>Tabla14[[#This Row],[DEUDA CAPITAL]]+Tabla14[[#This Row],[INTERES  CUOTA]]</f>
        <v>#NUM!</v>
      </c>
      <c r="U5980" s="61" t="str">
        <f t="shared" si="949"/>
        <v/>
      </c>
    </row>
    <row r="5981" spans="9:21" ht="24.75" customHeight="1" x14ac:dyDescent="0.35">
      <c r="I5981" s="42">
        <f t="shared" si="940"/>
        <v>0</v>
      </c>
      <c r="J5981" s="65" t="e">
        <f t="shared" si="941"/>
        <v>#NUM!</v>
      </c>
      <c r="K5981" s="83" t="e">
        <f t="shared" si="942"/>
        <v>#NUM!</v>
      </c>
      <c r="L5981" s="83">
        <f t="shared" si="943"/>
        <v>0</v>
      </c>
      <c r="M5981" s="110" t="str">
        <f t="shared" si="944"/>
        <v/>
      </c>
      <c r="N5981" s="51" t="str">
        <f t="shared" si="945"/>
        <v/>
      </c>
      <c r="O5981" s="52" t="str">
        <f t="shared" si="946"/>
        <v/>
      </c>
      <c r="P5981" s="88">
        <f t="shared" si="947"/>
        <v>0</v>
      </c>
      <c r="Q5981" s="88">
        <f t="shared" si="948"/>
        <v>0</v>
      </c>
      <c r="R5981" s="88" t="e">
        <f>-IF(Tabla14[[#This Row],[DIAS HABILES O MORA]]&lt;0,(Tabla14[[#This Row],[VALOR PRESTAMO]]*Tabla14[[#This Row],[% INTERES ]]/30*U5981))+Tabla14[[#This Row],[VALOR CUOTAS]]</f>
        <v>#VALUE!</v>
      </c>
      <c r="S5981" s="88">
        <f>-IF(Tabla14[[#This Row],[DIAS HABILES O MORA]]&lt;0,(Tabla14[[#This Row],[VALOR PRESTAMO]]*Tabla14[[#This Row],[% INTERES ]]/30*U5981))</f>
        <v>0</v>
      </c>
      <c r="T5981" s="53" t="e">
        <f>Tabla14[[#This Row],[DEUDA CAPITAL]]+Tabla14[[#This Row],[INTERES  CUOTA]]</f>
        <v>#NUM!</v>
      </c>
      <c r="U5981" s="61" t="str">
        <f t="shared" si="949"/>
        <v/>
      </c>
    </row>
    <row r="5982" spans="9:21" ht="24.75" customHeight="1" x14ac:dyDescent="0.35">
      <c r="I5982" s="42">
        <f t="shared" si="940"/>
        <v>0</v>
      </c>
      <c r="J5982" s="65" t="e">
        <f t="shared" si="941"/>
        <v>#NUM!</v>
      </c>
      <c r="K5982" s="83" t="e">
        <f t="shared" si="942"/>
        <v>#NUM!</v>
      </c>
      <c r="L5982" s="83">
        <f t="shared" si="943"/>
        <v>0</v>
      </c>
      <c r="M5982" s="110" t="str">
        <f t="shared" si="944"/>
        <v/>
      </c>
      <c r="N5982" s="51" t="str">
        <f t="shared" si="945"/>
        <v/>
      </c>
      <c r="O5982" s="52" t="str">
        <f t="shared" si="946"/>
        <v/>
      </c>
      <c r="P5982" s="88">
        <f t="shared" si="947"/>
        <v>0</v>
      </c>
      <c r="Q5982" s="88">
        <f t="shared" si="948"/>
        <v>0</v>
      </c>
      <c r="R5982" s="88" t="e">
        <f>-IF(Tabla14[[#This Row],[DIAS HABILES O MORA]]&lt;0,(Tabla14[[#This Row],[VALOR PRESTAMO]]*Tabla14[[#This Row],[% INTERES ]]/30*U5982))+Tabla14[[#This Row],[VALOR CUOTAS]]</f>
        <v>#VALUE!</v>
      </c>
      <c r="S5982" s="88">
        <f>-IF(Tabla14[[#This Row],[DIAS HABILES O MORA]]&lt;0,(Tabla14[[#This Row],[VALOR PRESTAMO]]*Tabla14[[#This Row],[% INTERES ]]/30*U5982))</f>
        <v>0</v>
      </c>
      <c r="T5982" s="53" t="e">
        <f>Tabla14[[#This Row],[DEUDA CAPITAL]]+Tabla14[[#This Row],[INTERES  CUOTA]]</f>
        <v>#NUM!</v>
      </c>
      <c r="U5982" s="61" t="str">
        <f t="shared" si="949"/>
        <v/>
      </c>
    </row>
    <row r="5983" spans="9:21" ht="24.75" customHeight="1" x14ac:dyDescent="0.35">
      <c r="I5983" s="42">
        <f t="shared" si="940"/>
        <v>0</v>
      </c>
      <c r="J5983" s="65" t="e">
        <f t="shared" si="941"/>
        <v>#NUM!</v>
      </c>
      <c r="K5983" s="83" t="e">
        <f t="shared" si="942"/>
        <v>#NUM!</v>
      </c>
      <c r="L5983" s="83">
        <f t="shared" si="943"/>
        <v>0</v>
      </c>
      <c r="M5983" s="110" t="str">
        <f t="shared" si="944"/>
        <v/>
      </c>
      <c r="N5983" s="51" t="str">
        <f t="shared" si="945"/>
        <v/>
      </c>
      <c r="O5983" s="52" t="str">
        <f t="shared" si="946"/>
        <v/>
      </c>
      <c r="P5983" s="88">
        <f t="shared" si="947"/>
        <v>0</v>
      </c>
      <c r="Q5983" s="88">
        <f t="shared" si="948"/>
        <v>0</v>
      </c>
      <c r="R5983" s="88" t="e">
        <f>-IF(Tabla14[[#This Row],[DIAS HABILES O MORA]]&lt;0,(Tabla14[[#This Row],[VALOR PRESTAMO]]*Tabla14[[#This Row],[% INTERES ]]/30*U5983))+Tabla14[[#This Row],[VALOR CUOTAS]]</f>
        <v>#VALUE!</v>
      </c>
      <c r="S5983" s="88">
        <f>-IF(Tabla14[[#This Row],[DIAS HABILES O MORA]]&lt;0,(Tabla14[[#This Row],[VALOR PRESTAMO]]*Tabla14[[#This Row],[% INTERES ]]/30*U5983))</f>
        <v>0</v>
      </c>
      <c r="T5983" s="53" t="e">
        <f>Tabla14[[#This Row],[DEUDA CAPITAL]]+Tabla14[[#This Row],[INTERES  CUOTA]]</f>
        <v>#NUM!</v>
      </c>
      <c r="U5983" s="61" t="str">
        <f t="shared" si="949"/>
        <v/>
      </c>
    </row>
    <row r="5984" spans="9:21" ht="24.75" customHeight="1" x14ac:dyDescent="0.35">
      <c r="I5984" s="42">
        <f t="shared" si="940"/>
        <v>0</v>
      </c>
      <c r="J5984" s="65" t="e">
        <f t="shared" si="941"/>
        <v>#NUM!</v>
      </c>
      <c r="K5984" s="83" t="e">
        <f t="shared" si="942"/>
        <v>#NUM!</v>
      </c>
      <c r="L5984" s="83">
        <f t="shared" si="943"/>
        <v>0</v>
      </c>
      <c r="M5984" s="110" t="str">
        <f t="shared" si="944"/>
        <v/>
      </c>
      <c r="N5984" s="51" t="str">
        <f t="shared" si="945"/>
        <v/>
      </c>
      <c r="O5984" s="52" t="str">
        <f t="shared" si="946"/>
        <v/>
      </c>
      <c r="P5984" s="88">
        <f t="shared" si="947"/>
        <v>0</v>
      </c>
      <c r="Q5984" s="88">
        <f t="shared" si="948"/>
        <v>0</v>
      </c>
      <c r="R5984" s="88" t="e">
        <f>-IF(Tabla14[[#This Row],[DIAS HABILES O MORA]]&lt;0,(Tabla14[[#This Row],[VALOR PRESTAMO]]*Tabla14[[#This Row],[% INTERES ]]/30*U5984))+Tabla14[[#This Row],[VALOR CUOTAS]]</f>
        <v>#VALUE!</v>
      </c>
      <c r="S5984" s="88">
        <f>-IF(Tabla14[[#This Row],[DIAS HABILES O MORA]]&lt;0,(Tabla14[[#This Row],[VALOR PRESTAMO]]*Tabla14[[#This Row],[% INTERES ]]/30*U5984))</f>
        <v>0</v>
      </c>
      <c r="T5984" s="53" t="e">
        <f>Tabla14[[#This Row],[DEUDA CAPITAL]]+Tabla14[[#This Row],[INTERES  CUOTA]]</f>
        <v>#NUM!</v>
      </c>
      <c r="U5984" s="61" t="str">
        <f t="shared" si="949"/>
        <v/>
      </c>
    </row>
    <row r="5985" spans="9:21" ht="24.75" customHeight="1" x14ac:dyDescent="0.35">
      <c r="I5985" s="42">
        <f t="shared" si="940"/>
        <v>0</v>
      </c>
      <c r="J5985" s="65" t="e">
        <f t="shared" si="941"/>
        <v>#NUM!</v>
      </c>
      <c r="K5985" s="83" t="e">
        <f t="shared" si="942"/>
        <v>#NUM!</v>
      </c>
      <c r="L5985" s="83">
        <f t="shared" si="943"/>
        <v>0</v>
      </c>
      <c r="M5985" s="110" t="str">
        <f t="shared" si="944"/>
        <v/>
      </c>
      <c r="N5985" s="51" t="str">
        <f t="shared" si="945"/>
        <v/>
      </c>
      <c r="O5985" s="52" t="str">
        <f t="shared" si="946"/>
        <v/>
      </c>
      <c r="P5985" s="88">
        <f t="shared" si="947"/>
        <v>0</v>
      </c>
      <c r="Q5985" s="88">
        <f t="shared" si="948"/>
        <v>0</v>
      </c>
      <c r="R5985" s="88" t="e">
        <f>-IF(Tabla14[[#This Row],[DIAS HABILES O MORA]]&lt;0,(Tabla14[[#This Row],[VALOR PRESTAMO]]*Tabla14[[#This Row],[% INTERES ]]/30*U5985))+Tabla14[[#This Row],[VALOR CUOTAS]]</f>
        <v>#VALUE!</v>
      </c>
      <c r="S5985" s="88">
        <f>-IF(Tabla14[[#This Row],[DIAS HABILES O MORA]]&lt;0,(Tabla14[[#This Row],[VALOR PRESTAMO]]*Tabla14[[#This Row],[% INTERES ]]/30*U5985))</f>
        <v>0</v>
      </c>
      <c r="T5985" s="53" t="e">
        <f>Tabla14[[#This Row],[DEUDA CAPITAL]]+Tabla14[[#This Row],[INTERES  CUOTA]]</f>
        <v>#NUM!</v>
      </c>
      <c r="U5985" s="61" t="str">
        <f t="shared" si="949"/>
        <v/>
      </c>
    </row>
    <row r="5986" spans="9:21" ht="24.75" customHeight="1" x14ac:dyDescent="0.35">
      <c r="I5986" s="42">
        <f t="shared" si="940"/>
        <v>0</v>
      </c>
      <c r="J5986" s="65" t="e">
        <f t="shared" si="941"/>
        <v>#NUM!</v>
      </c>
      <c r="K5986" s="83" t="e">
        <f t="shared" si="942"/>
        <v>#NUM!</v>
      </c>
      <c r="L5986" s="83">
        <f t="shared" si="943"/>
        <v>0</v>
      </c>
      <c r="M5986" s="110" t="str">
        <f t="shared" si="944"/>
        <v/>
      </c>
      <c r="N5986" s="51" t="str">
        <f t="shared" si="945"/>
        <v/>
      </c>
      <c r="O5986" s="52" t="str">
        <f t="shared" si="946"/>
        <v/>
      </c>
      <c r="P5986" s="88">
        <f t="shared" si="947"/>
        <v>0</v>
      </c>
      <c r="Q5986" s="88">
        <f t="shared" si="948"/>
        <v>0</v>
      </c>
      <c r="R5986" s="88" t="e">
        <f>-IF(Tabla14[[#This Row],[DIAS HABILES O MORA]]&lt;0,(Tabla14[[#This Row],[VALOR PRESTAMO]]*Tabla14[[#This Row],[% INTERES ]]/30*U5986))+Tabla14[[#This Row],[VALOR CUOTAS]]</f>
        <v>#VALUE!</v>
      </c>
      <c r="S5986" s="88">
        <f>-IF(Tabla14[[#This Row],[DIAS HABILES O MORA]]&lt;0,(Tabla14[[#This Row],[VALOR PRESTAMO]]*Tabla14[[#This Row],[% INTERES ]]/30*U5986))</f>
        <v>0</v>
      </c>
      <c r="T5986" s="53" t="e">
        <f>Tabla14[[#This Row],[DEUDA CAPITAL]]+Tabla14[[#This Row],[INTERES  CUOTA]]</f>
        <v>#NUM!</v>
      </c>
      <c r="U5986" s="61" t="str">
        <f t="shared" si="949"/>
        <v/>
      </c>
    </row>
    <row r="5987" spans="9:21" ht="24.75" customHeight="1" x14ac:dyDescent="0.35">
      <c r="I5987" s="42">
        <f t="shared" si="940"/>
        <v>0</v>
      </c>
      <c r="J5987" s="65" t="e">
        <f t="shared" si="941"/>
        <v>#NUM!</v>
      </c>
      <c r="K5987" s="83" t="e">
        <f t="shared" si="942"/>
        <v>#NUM!</v>
      </c>
      <c r="L5987" s="83">
        <f t="shared" si="943"/>
        <v>0</v>
      </c>
      <c r="M5987" s="110" t="str">
        <f t="shared" si="944"/>
        <v/>
      </c>
      <c r="N5987" s="51" t="str">
        <f t="shared" si="945"/>
        <v/>
      </c>
      <c r="O5987" s="52" t="str">
        <f t="shared" si="946"/>
        <v/>
      </c>
      <c r="P5987" s="88">
        <f t="shared" si="947"/>
        <v>0</v>
      </c>
      <c r="Q5987" s="88">
        <f t="shared" si="948"/>
        <v>0</v>
      </c>
      <c r="R5987" s="88" t="e">
        <f>-IF(Tabla14[[#This Row],[DIAS HABILES O MORA]]&lt;0,(Tabla14[[#This Row],[VALOR PRESTAMO]]*Tabla14[[#This Row],[% INTERES ]]/30*U5987))+Tabla14[[#This Row],[VALOR CUOTAS]]</f>
        <v>#VALUE!</v>
      </c>
      <c r="S5987" s="88">
        <f>-IF(Tabla14[[#This Row],[DIAS HABILES O MORA]]&lt;0,(Tabla14[[#This Row],[VALOR PRESTAMO]]*Tabla14[[#This Row],[% INTERES ]]/30*U5987))</f>
        <v>0</v>
      </c>
      <c r="T5987" s="53" t="e">
        <f>Tabla14[[#This Row],[DEUDA CAPITAL]]+Tabla14[[#This Row],[INTERES  CUOTA]]</f>
        <v>#NUM!</v>
      </c>
      <c r="U5987" s="61" t="str">
        <f t="shared" si="949"/>
        <v/>
      </c>
    </row>
    <row r="5988" spans="9:21" ht="24.75" customHeight="1" x14ac:dyDescent="0.35">
      <c r="I5988" s="42">
        <f t="shared" si="940"/>
        <v>0</v>
      </c>
      <c r="J5988" s="65" t="e">
        <f t="shared" si="941"/>
        <v>#NUM!</v>
      </c>
      <c r="K5988" s="83" t="e">
        <f t="shared" si="942"/>
        <v>#NUM!</v>
      </c>
      <c r="L5988" s="83">
        <f t="shared" si="943"/>
        <v>0</v>
      </c>
      <c r="M5988" s="110" t="str">
        <f t="shared" si="944"/>
        <v/>
      </c>
      <c r="N5988" s="51" t="str">
        <f t="shared" si="945"/>
        <v/>
      </c>
      <c r="O5988" s="52" t="str">
        <f t="shared" si="946"/>
        <v/>
      </c>
      <c r="P5988" s="88">
        <f t="shared" si="947"/>
        <v>0</v>
      </c>
      <c r="Q5988" s="88">
        <f t="shared" si="948"/>
        <v>0</v>
      </c>
      <c r="R5988" s="88" t="e">
        <f>-IF(Tabla14[[#This Row],[DIAS HABILES O MORA]]&lt;0,(Tabla14[[#This Row],[VALOR PRESTAMO]]*Tabla14[[#This Row],[% INTERES ]]/30*U5988))+Tabla14[[#This Row],[VALOR CUOTAS]]</f>
        <v>#VALUE!</v>
      </c>
      <c r="S5988" s="88">
        <f>-IF(Tabla14[[#This Row],[DIAS HABILES O MORA]]&lt;0,(Tabla14[[#This Row],[VALOR PRESTAMO]]*Tabla14[[#This Row],[% INTERES ]]/30*U5988))</f>
        <v>0</v>
      </c>
      <c r="T5988" s="53" t="e">
        <f>Tabla14[[#This Row],[DEUDA CAPITAL]]+Tabla14[[#This Row],[INTERES  CUOTA]]</f>
        <v>#NUM!</v>
      </c>
      <c r="U5988" s="61" t="str">
        <f t="shared" si="949"/>
        <v/>
      </c>
    </row>
    <row r="5989" spans="9:21" ht="24.75" customHeight="1" x14ac:dyDescent="0.35">
      <c r="I5989" s="42">
        <f t="shared" si="940"/>
        <v>0</v>
      </c>
      <c r="J5989" s="65" t="e">
        <f t="shared" si="941"/>
        <v>#NUM!</v>
      </c>
      <c r="K5989" s="83" t="e">
        <f t="shared" si="942"/>
        <v>#NUM!</v>
      </c>
      <c r="L5989" s="83">
        <f t="shared" si="943"/>
        <v>0</v>
      </c>
      <c r="M5989" s="110" t="str">
        <f t="shared" si="944"/>
        <v/>
      </c>
      <c r="N5989" s="51" t="str">
        <f t="shared" si="945"/>
        <v/>
      </c>
      <c r="O5989" s="52" t="str">
        <f t="shared" si="946"/>
        <v/>
      </c>
      <c r="P5989" s="88">
        <f t="shared" si="947"/>
        <v>0</v>
      </c>
      <c r="Q5989" s="88">
        <f t="shared" si="948"/>
        <v>0</v>
      </c>
      <c r="R5989" s="88" t="e">
        <f>-IF(Tabla14[[#This Row],[DIAS HABILES O MORA]]&lt;0,(Tabla14[[#This Row],[VALOR PRESTAMO]]*Tabla14[[#This Row],[% INTERES ]]/30*U5989))+Tabla14[[#This Row],[VALOR CUOTAS]]</f>
        <v>#VALUE!</v>
      </c>
      <c r="S5989" s="88">
        <f>-IF(Tabla14[[#This Row],[DIAS HABILES O MORA]]&lt;0,(Tabla14[[#This Row],[VALOR PRESTAMO]]*Tabla14[[#This Row],[% INTERES ]]/30*U5989))</f>
        <v>0</v>
      </c>
      <c r="T5989" s="53" t="e">
        <f>Tabla14[[#This Row],[DEUDA CAPITAL]]+Tabla14[[#This Row],[INTERES  CUOTA]]</f>
        <v>#NUM!</v>
      </c>
      <c r="U5989" s="61" t="str">
        <f t="shared" si="949"/>
        <v/>
      </c>
    </row>
    <row r="5990" spans="9:21" ht="24.75" customHeight="1" x14ac:dyDescent="0.35">
      <c r="I5990" s="42">
        <f t="shared" si="940"/>
        <v>0</v>
      </c>
      <c r="J5990" s="65" t="e">
        <f t="shared" si="941"/>
        <v>#NUM!</v>
      </c>
      <c r="K5990" s="83" t="e">
        <f t="shared" si="942"/>
        <v>#NUM!</v>
      </c>
      <c r="L5990" s="83">
        <f t="shared" si="943"/>
        <v>0</v>
      </c>
      <c r="M5990" s="110" t="str">
        <f t="shared" si="944"/>
        <v/>
      </c>
      <c r="N5990" s="51" t="str">
        <f t="shared" si="945"/>
        <v/>
      </c>
      <c r="O5990" s="52" t="str">
        <f t="shared" si="946"/>
        <v/>
      </c>
      <c r="P5990" s="88">
        <f t="shared" si="947"/>
        <v>0</v>
      </c>
      <c r="Q5990" s="88">
        <f t="shared" si="948"/>
        <v>0</v>
      </c>
      <c r="R5990" s="88" t="e">
        <f>-IF(Tabla14[[#This Row],[DIAS HABILES O MORA]]&lt;0,(Tabla14[[#This Row],[VALOR PRESTAMO]]*Tabla14[[#This Row],[% INTERES ]]/30*U5990))+Tabla14[[#This Row],[VALOR CUOTAS]]</f>
        <v>#VALUE!</v>
      </c>
      <c r="S5990" s="88">
        <f>-IF(Tabla14[[#This Row],[DIAS HABILES O MORA]]&lt;0,(Tabla14[[#This Row],[VALOR PRESTAMO]]*Tabla14[[#This Row],[% INTERES ]]/30*U5990))</f>
        <v>0</v>
      </c>
      <c r="T5990" s="53" t="e">
        <f>Tabla14[[#This Row],[DEUDA CAPITAL]]+Tabla14[[#This Row],[INTERES  CUOTA]]</f>
        <v>#NUM!</v>
      </c>
      <c r="U5990" s="61" t="str">
        <f t="shared" si="949"/>
        <v/>
      </c>
    </row>
    <row r="5991" spans="9:21" ht="24.75" customHeight="1" x14ac:dyDescent="0.35">
      <c r="I5991" s="42">
        <f t="shared" si="940"/>
        <v>0</v>
      </c>
      <c r="J5991" s="65" t="e">
        <f t="shared" si="941"/>
        <v>#NUM!</v>
      </c>
      <c r="K5991" s="83" t="e">
        <f t="shared" si="942"/>
        <v>#NUM!</v>
      </c>
      <c r="L5991" s="83">
        <f t="shared" si="943"/>
        <v>0</v>
      </c>
      <c r="M5991" s="110" t="str">
        <f t="shared" si="944"/>
        <v/>
      </c>
      <c r="N5991" s="51" t="str">
        <f t="shared" si="945"/>
        <v/>
      </c>
      <c r="O5991" s="52" t="str">
        <f t="shared" si="946"/>
        <v/>
      </c>
      <c r="P5991" s="88">
        <f t="shared" si="947"/>
        <v>0</v>
      </c>
      <c r="Q5991" s="88">
        <f t="shared" si="948"/>
        <v>0</v>
      </c>
      <c r="R5991" s="88" t="e">
        <f>-IF(Tabla14[[#This Row],[DIAS HABILES O MORA]]&lt;0,(Tabla14[[#This Row],[VALOR PRESTAMO]]*Tabla14[[#This Row],[% INTERES ]]/30*U5991))+Tabla14[[#This Row],[VALOR CUOTAS]]</f>
        <v>#VALUE!</v>
      </c>
      <c r="S5991" s="88">
        <f>-IF(Tabla14[[#This Row],[DIAS HABILES O MORA]]&lt;0,(Tabla14[[#This Row],[VALOR PRESTAMO]]*Tabla14[[#This Row],[% INTERES ]]/30*U5991))</f>
        <v>0</v>
      </c>
      <c r="T5991" s="53" t="e">
        <f>Tabla14[[#This Row],[DEUDA CAPITAL]]+Tabla14[[#This Row],[INTERES  CUOTA]]</f>
        <v>#NUM!</v>
      </c>
      <c r="U5991" s="61" t="str">
        <f t="shared" si="949"/>
        <v/>
      </c>
    </row>
    <row r="5992" spans="9:21" ht="24.75" customHeight="1" x14ac:dyDescent="0.35">
      <c r="I5992" s="42">
        <f t="shared" si="940"/>
        <v>0</v>
      </c>
      <c r="J5992" s="65" t="e">
        <f t="shared" si="941"/>
        <v>#NUM!</v>
      </c>
      <c r="K5992" s="83" t="e">
        <f t="shared" si="942"/>
        <v>#NUM!</v>
      </c>
      <c r="L5992" s="83">
        <f t="shared" si="943"/>
        <v>0</v>
      </c>
      <c r="M5992" s="110" t="str">
        <f t="shared" si="944"/>
        <v/>
      </c>
      <c r="N5992" s="51" t="str">
        <f t="shared" si="945"/>
        <v/>
      </c>
      <c r="O5992" s="52" t="str">
        <f t="shared" si="946"/>
        <v/>
      </c>
      <c r="P5992" s="88">
        <f t="shared" si="947"/>
        <v>0</v>
      </c>
      <c r="Q5992" s="88">
        <f t="shared" si="948"/>
        <v>0</v>
      </c>
      <c r="R5992" s="88" t="e">
        <f>-IF(Tabla14[[#This Row],[DIAS HABILES O MORA]]&lt;0,(Tabla14[[#This Row],[VALOR PRESTAMO]]*Tabla14[[#This Row],[% INTERES ]]/30*U5992))+Tabla14[[#This Row],[VALOR CUOTAS]]</f>
        <v>#VALUE!</v>
      </c>
      <c r="S5992" s="88">
        <f>-IF(Tabla14[[#This Row],[DIAS HABILES O MORA]]&lt;0,(Tabla14[[#This Row],[VALOR PRESTAMO]]*Tabla14[[#This Row],[% INTERES ]]/30*U5992))</f>
        <v>0</v>
      </c>
      <c r="T5992" s="53" t="e">
        <f>Tabla14[[#This Row],[DEUDA CAPITAL]]+Tabla14[[#This Row],[INTERES  CUOTA]]</f>
        <v>#NUM!</v>
      </c>
      <c r="U5992" s="61" t="str">
        <f t="shared" si="949"/>
        <v/>
      </c>
    </row>
    <row r="5993" spans="9:21" ht="24.75" customHeight="1" x14ac:dyDescent="0.35">
      <c r="I5993" s="42">
        <f t="shared" si="940"/>
        <v>0</v>
      </c>
      <c r="J5993" s="65" t="e">
        <f t="shared" si="941"/>
        <v>#NUM!</v>
      </c>
      <c r="K5993" s="83" t="e">
        <f t="shared" si="942"/>
        <v>#NUM!</v>
      </c>
      <c r="L5993" s="83">
        <f t="shared" si="943"/>
        <v>0</v>
      </c>
      <c r="M5993" s="110" t="str">
        <f t="shared" si="944"/>
        <v/>
      </c>
      <c r="N5993" s="51" t="str">
        <f t="shared" si="945"/>
        <v/>
      </c>
      <c r="O5993" s="52" t="str">
        <f t="shared" si="946"/>
        <v/>
      </c>
      <c r="P5993" s="88">
        <f t="shared" si="947"/>
        <v>0</v>
      </c>
      <c r="Q5993" s="88">
        <f t="shared" si="948"/>
        <v>0</v>
      </c>
      <c r="R5993" s="88" t="e">
        <f>-IF(Tabla14[[#This Row],[DIAS HABILES O MORA]]&lt;0,(Tabla14[[#This Row],[VALOR PRESTAMO]]*Tabla14[[#This Row],[% INTERES ]]/30*U5993))+Tabla14[[#This Row],[VALOR CUOTAS]]</f>
        <v>#VALUE!</v>
      </c>
      <c r="S5993" s="88">
        <f>-IF(Tabla14[[#This Row],[DIAS HABILES O MORA]]&lt;0,(Tabla14[[#This Row],[VALOR PRESTAMO]]*Tabla14[[#This Row],[% INTERES ]]/30*U5993))</f>
        <v>0</v>
      </c>
      <c r="T5993" s="53" t="e">
        <f>Tabla14[[#This Row],[DEUDA CAPITAL]]+Tabla14[[#This Row],[INTERES  CUOTA]]</f>
        <v>#NUM!</v>
      </c>
      <c r="U5993" s="61" t="str">
        <f t="shared" si="949"/>
        <v/>
      </c>
    </row>
    <row r="5994" spans="9:21" ht="24.75" customHeight="1" x14ac:dyDescent="0.35">
      <c r="I5994" s="42">
        <f t="shared" si="940"/>
        <v>0</v>
      </c>
      <c r="J5994" s="65" t="e">
        <f t="shared" si="941"/>
        <v>#NUM!</v>
      </c>
      <c r="K5994" s="83" t="e">
        <f t="shared" si="942"/>
        <v>#NUM!</v>
      </c>
      <c r="L5994" s="83">
        <f t="shared" si="943"/>
        <v>0</v>
      </c>
      <c r="M5994" s="110" t="str">
        <f t="shared" si="944"/>
        <v/>
      </c>
      <c r="N5994" s="51" t="str">
        <f t="shared" si="945"/>
        <v/>
      </c>
      <c r="O5994" s="52" t="str">
        <f t="shared" si="946"/>
        <v/>
      </c>
      <c r="P5994" s="88">
        <f t="shared" si="947"/>
        <v>0</v>
      </c>
      <c r="Q5994" s="88">
        <f t="shared" si="948"/>
        <v>0</v>
      </c>
      <c r="R5994" s="88" t="e">
        <f>-IF(Tabla14[[#This Row],[DIAS HABILES O MORA]]&lt;0,(Tabla14[[#This Row],[VALOR PRESTAMO]]*Tabla14[[#This Row],[% INTERES ]]/30*U5994))+Tabla14[[#This Row],[VALOR CUOTAS]]</f>
        <v>#VALUE!</v>
      </c>
      <c r="S5994" s="88">
        <f>-IF(Tabla14[[#This Row],[DIAS HABILES O MORA]]&lt;0,(Tabla14[[#This Row],[VALOR PRESTAMO]]*Tabla14[[#This Row],[% INTERES ]]/30*U5994))</f>
        <v>0</v>
      </c>
      <c r="T5994" s="53" t="e">
        <f>Tabla14[[#This Row],[DEUDA CAPITAL]]+Tabla14[[#This Row],[INTERES  CUOTA]]</f>
        <v>#NUM!</v>
      </c>
      <c r="U5994" s="61" t="str">
        <f t="shared" si="949"/>
        <v/>
      </c>
    </row>
    <row r="5995" spans="9:21" ht="24.75" customHeight="1" x14ac:dyDescent="0.35">
      <c r="I5995" s="42">
        <f t="shared" si="940"/>
        <v>0</v>
      </c>
      <c r="J5995" s="65" t="e">
        <f t="shared" si="941"/>
        <v>#NUM!</v>
      </c>
      <c r="K5995" s="83" t="e">
        <f t="shared" si="942"/>
        <v>#NUM!</v>
      </c>
      <c r="L5995" s="83">
        <f t="shared" si="943"/>
        <v>0</v>
      </c>
      <c r="M5995" s="110" t="str">
        <f t="shared" si="944"/>
        <v/>
      </c>
      <c r="N5995" s="51" t="str">
        <f t="shared" si="945"/>
        <v/>
      </c>
      <c r="O5995" s="52" t="str">
        <f t="shared" si="946"/>
        <v/>
      </c>
      <c r="P5995" s="88">
        <f t="shared" si="947"/>
        <v>0</v>
      </c>
      <c r="Q5995" s="88">
        <f t="shared" si="948"/>
        <v>0</v>
      </c>
      <c r="R5995" s="88" t="e">
        <f>-IF(Tabla14[[#This Row],[DIAS HABILES O MORA]]&lt;0,(Tabla14[[#This Row],[VALOR PRESTAMO]]*Tabla14[[#This Row],[% INTERES ]]/30*U5995))+Tabla14[[#This Row],[VALOR CUOTAS]]</f>
        <v>#VALUE!</v>
      </c>
      <c r="S5995" s="88">
        <f>-IF(Tabla14[[#This Row],[DIAS HABILES O MORA]]&lt;0,(Tabla14[[#This Row],[VALOR PRESTAMO]]*Tabla14[[#This Row],[% INTERES ]]/30*U5995))</f>
        <v>0</v>
      </c>
      <c r="T5995" s="53" t="e">
        <f>Tabla14[[#This Row],[DEUDA CAPITAL]]+Tabla14[[#This Row],[INTERES  CUOTA]]</f>
        <v>#NUM!</v>
      </c>
      <c r="U5995" s="61" t="str">
        <f t="shared" si="949"/>
        <v/>
      </c>
    </row>
    <row r="5996" spans="9:21" ht="24.75" customHeight="1" x14ac:dyDescent="0.35">
      <c r="I5996" s="42">
        <f t="shared" si="940"/>
        <v>0</v>
      </c>
      <c r="J5996" s="65" t="e">
        <f t="shared" si="941"/>
        <v>#NUM!</v>
      </c>
      <c r="K5996" s="83" t="e">
        <f t="shared" si="942"/>
        <v>#NUM!</v>
      </c>
      <c r="L5996" s="83">
        <f t="shared" si="943"/>
        <v>0</v>
      </c>
      <c r="M5996" s="110" t="str">
        <f t="shared" si="944"/>
        <v/>
      </c>
      <c r="N5996" s="51" t="str">
        <f t="shared" si="945"/>
        <v/>
      </c>
      <c r="O5996" s="52" t="str">
        <f t="shared" si="946"/>
        <v/>
      </c>
      <c r="P5996" s="88">
        <f t="shared" si="947"/>
        <v>0</v>
      </c>
      <c r="Q5996" s="88">
        <f t="shared" si="948"/>
        <v>0</v>
      </c>
      <c r="R5996" s="88" t="e">
        <f>-IF(Tabla14[[#This Row],[DIAS HABILES O MORA]]&lt;0,(Tabla14[[#This Row],[VALOR PRESTAMO]]*Tabla14[[#This Row],[% INTERES ]]/30*U5996))+Tabla14[[#This Row],[VALOR CUOTAS]]</f>
        <v>#VALUE!</v>
      </c>
      <c r="S5996" s="88">
        <f>-IF(Tabla14[[#This Row],[DIAS HABILES O MORA]]&lt;0,(Tabla14[[#This Row],[VALOR PRESTAMO]]*Tabla14[[#This Row],[% INTERES ]]/30*U5996))</f>
        <v>0</v>
      </c>
      <c r="T5996" s="53" t="e">
        <f>Tabla14[[#This Row],[DEUDA CAPITAL]]+Tabla14[[#This Row],[INTERES  CUOTA]]</f>
        <v>#NUM!</v>
      </c>
      <c r="U5996" s="61" t="str">
        <f t="shared" si="949"/>
        <v/>
      </c>
    </row>
    <row r="5997" spans="9:21" ht="24.75" customHeight="1" x14ac:dyDescent="0.35">
      <c r="I5997" s="42">
        <f t="shared" si="940"/>
        <v>0</v>
      </c>
      <c r="J5997" s="65" t="e">
        <f t="shared" si="941"/>
        <v>#NUM!</v>
      </c>
      <c r="K5997" s="83" t="e">
        <f t="shared" si="942"/>
        <v>#NUM!</v>
      </c>
      <c r="L5997" s="83">
        <f t="shared" si="943"/>
        <v>0</v>
      </c>
      <c r="M5997" s="110" t="str">
        <f t="shared" si="944"/>
        <v/>
      </c>
      <c r="N5997" s="51" t="str">
        <f t="shared" si="945"/>
        <v/>
      </c>
      <c r="O5997" s="52" t="str">
        <f t="shared" si="946"/>
        <v/>
      </c>
      <c r="P5997" s="88">
        <f t="shared" si="947"/>
        <v>0</v>
      </c>
      <c r="Q5997" s="88">
        <f t="shared" si="948"/>
        <v>0</v>
      </c>
      <c r="R5997" s="88" t="e">
        <f>-IF(Tabla14[[#This Row],[DIAS HABILES O MORA]]&lt;0,(Tabla14[[#This Row],[VALOR PRESTAMO]]*Tabla14[[#This Row],[% INTERES ]]/30*U5997))+Tabla14[[#This Row],[VALOR CUOTAS]]</f>
        <v>#VALUE!</v>
      </c>
      <c r="S5997" s="88">
        <f>-IF(Tabla14[[#This Row],[DIAS HABILES O MORA]]&lt;0,(Tabla14[[#This Row],[VALOR PRESTAMO]]*Tabla14[[#This Row],[% INTERES ]]/30*U5997))</f>
        <v>0</v>
      </c>
      <c r="T5997" s="53" t="e">
        <f>Tabla14[[#This Row],[DEUDA CAPITAL]]+Tabla14[[#This Row],[INTERES  CUOTA]]</f>
        <v>#NUM!</v>
      </c>
      <c r="U5997" s="61" t="str">
        <f t="shared" si="949"/>
        <v/>
      </c>
    </row>
    <row r="5998" spans="9:21" ht="24.75" customHeight="1" x14ac:dyDescent="0.35">
      <c r="I5998" s="42">
        <f t="shared" si="940"/>
        <v>0</v>
      </c>
      <c r="J5998" s="65" t="e">
        <f t="shared" si="941"/>
        <v>#NUM!</v>
      </c>
      <c r="K5998" s="83" t="e">
        <f t="shared" si="942"/>
        <v>#NUM!</v>
      </c>
      <c r="L5998" s="83">
        <f t="shared" si="943"/>
        <v>0</v>
      </c>
      <c r="M5998" s="110" t="str">
        <f t="shared" si="944"/>
        <v/>
      </c>
      <c r="N5998" s="51" t="str">
        <f t="shared" si="945"/>
        <v/>
      </c>
      <c r="O5998" s="52" t="str">
        <f t="shared" si="946"/>
        <v/>
      </c>
      <c r="P5998" s="88">
        <f t="shared" si="947"/>
        <v>0</v>
      </c>
      <c r="Q5998" s="88">
        <f t="shared" si="948"/>
        <v>0</v>
      </c>
      <c r="R5998" s="88" t="e">
        <f>-IF(Tabla14[[#This Row],[DIAS HABILES O MORA]]&lt;0,(Tabla14[[#This Row],[VALOR PRESTAMO]]*Tabla14[[#This Row],[% INTERES ]]/30*U5998))+Tabla14[[#This Row],[VALOR CUOTAS]]</f>
        <v>#VALUE!</v>
      </c>
      <c r="S5998" s="88">
        <f>-IF(Tabla14[[#This Row],[DIAS HABILES O MORA]]&lt;0,(Tabla14[[#This Row],[VALOR PRESTAMO]]*Tabla14[[#This Row],[% INTERES ]]/30*U5998))</f>
        <v>0</v>
      </c>
      <c r="T5998" s="53" t="e">
        <f>Tabla14[[#This Row],[DEUDA CAPITAL]]+Tabla14[[#This Row],[INTERES  CUOTA]]</f>
        <v>#NUM!</v>
      </c>
      <c r="U5998" s="61" t="str">
        <f t="shared" si="949"/>
        <v/>
      </c>
    </row>
    <row r="5999" spans="9:21" ht="24.75" customHeight="1" x14ac:dyDescent="0.35">
      <c r="I5999" s="42">
        <f t="shared" si="940"/>
        <v>0</v>
      </c>
      <c r="J5999" s="65" t="e">
        <f t="shared" si="941"/>
        <v>#NUM!</v>
      </c>
      <c r="K5999" s="83" t="e">
        <f t="shared" si="942"/>
        <v>#NUM!</v>
      </c>
      <c r="L5999" s="83">
        <f t="shared" si="943"/>
        <v>0</v>
      </c>
      <c r="M5999" s="110" t="str">
        <f t="shared" si="944"/>
        <v/>
      </c>
      <c r="N5999" s="51" t="str">
        <f t="shared" si="945"/>
        <v/>
      </c>
      <c r="O5999" s="52" t="str">
        <f t="shared" si="946"/>
        <v/>
      </c>
      <c r="P5999" s="88">
        <f t="shared" si="947"/>
        <v>0</v>
      </c>
      <c r="Q5999" s="88">
        <f t="shared" si="948"/>
        <v>0</v>
      </c>
      <c r="R5999" s="88" t="e">
        <f>-IF(Tabla14[[#This Row],[DIAS HABILES O MORA]]&lt;0,(Tabla14[[#This Row],[VALOR PRESTAMO]]*Tabla14[[#This Row],[% INTERES ]]/30*U5999))+Tabla14[[#This Row],[VALOR CUOTAS]]</f>
        <v>#VALUE!</v>
      </c>
      <c r="S5999" s="88">
        <f>-IF(Tabla14[[#This Row],[DIAS HABILES O MORA]]&lt;0,(Tabla14[[#This Row],[VALOR PRESTAMO]]*Tabla14[[#This Row],[% INTERES ]]/30*U5999))</f>
        <v>0</v>
      </c>
      <c r="T5999" s="53" t="e">
        <f>Tabla14[[#This Row],[DEUDA CAPITAL]]+Tabla14[[#This Row],[INTERES  CUOTA]]</f>
        <v>#NUM!</v>
      </c>
      <c r="U5999" s="61" t="str">
        <f t="shared" si="949"/>
        <v/>
      </c>
    </row>
    <row r="6000" spans="9:21" ht="24.75" customHeight="1" x14ac:dyDescent="0.35">
      <c r="I6000" s="42">
        <f t="shared" si="940"/>
        <v>0</v>
      </c>
      <c r="J6000" s="65" t="e">
        <f t="shared" si="941"/>
        <v>#NUM!</v>
      </c>
      <c r="K6000" s="83" t="e">
        <f t="shared" si="942"/>
        <v>#NUM!</v>
      </c>
      <c r="L6000" s="83">
        <f t="shared" si="943"/>
        <v>0</v>
      </c>
      <c r="M6000" s="110" t="str">
        <f t="shared" si="944"/>
        <v/>
      </c>
      <c r="N6000" s="51" t="str">
        <f t="shared" si="945"/>
        <v/>
      </c>
      <c r="O6000" s="52" t="str">
        <f t="shared" si="946"/>
        <v/>
      </c>
      <c r="P6000" s="88">
        <f t="shared" si="947"/>
        <v>0</v>
      </c>
      <c r="Q6000" s="88">
        <f t="shared" si="948"/>
        <v>0</v>
      </c>
      <c r="R6000" s="88" t="e">
        <f>-IF(Tabla14[[#This Row],[DIAS HABILES O MORA]]&lt;0,(Tabla14[[#This Row],[VALOR PRESTAMO]]*Tabla14[[#This Row],[% INTERES ]]/30*U6000))+Tabla14[[#This Row],[VALOR CUOTAS]]</f>
        <v>#VALUE!</v>
      </c>
      <c r="S6000" s="88">
        <f>-IF(Tabla14[[#This Row],[DIAS HABILES O MORA]]&lt;0,(Tabla14[[#This Row],[VALOR PRESTAMO]]*Tabla14[[#This Row],[% INTERES ]]/30*U6000))</f>
        <v>0</v>
      </c>
      <c r="T6000" s="53" t="e">
        <f>Tabla14[[#This Row],[DEUDA CAPITAL]]+Tabla14[[#This Row],[INTERES  CUOTA]]</f>
        <v>#NUM!</v>
      </c>
      <c r="U6000" s="61" t="str">
        <f t="shared" si="949"/>
        <v/>
      </c>
    </row>
    <row r="6001" spans="9:21" ht="24.75" customHeight="1" x14ac:dyDescent="0.35">
      <c r="I6001" s="42">
        <f t="shared" si="940"/>
        <v>0</v>
      </c>
      <c r="J6001" s="65" t="e">
        <f t="shared" si="941"/>
        <v>#NUM!</v>
      </c>
      <c r="K6001" s="83" t="e">
        <f t="shared" si="942"/>
        <v>#NUM!</v>
      </c>
      <c r="L6001" s="83">
        <f t="shared" si="943"/>
        <v>0</v>
      </c>
      <c r="M6001" s="110" t="str">
        <f t="shared" si="944"/>
        <v/>
      </c>
      <c r="N6001" s="51" t="str">
        <f t="shared" si="945"/>
        <v/>
      </c>
      <c r="O6001" s="52" t="str">
        <f t="shared" si="946"/>
        <v/>
      </c>
      <c r="P6001" s="88">
        <f t="shared" si="947"/>
        <v>0</v>
      </c>
      <c r="Q6001" s="88">
        <f t="shared" si="948"/>
        <v>0</v>
      </c>
      <c r="R6001" s="88" t="e">
        <f>-IF(Tabla14[[#This Row],[DIAS HABILES O MORA]]&lt;0,(Tabla14[[#This Row],[VALOR PRESTAMO]]*Tabla14[[#This Row],[% INTERES ]]/30*U6001))+Tabla14[[#This Row],[VALOR CUOTAS]]</f>
        <v>#VALUE!</v>
      </c>
      <c r="S6001" s="88">
        <f>-IF(Tabla14[[#This Row],[DIAS HABILES O MORA]]&lt;0,(Tabla14[[#This Row],[VALOR PRESTAMO]]*Tabla14[[#This Row],[% INTERES ]]/30*U6001))</f>
        <v>0</v>
      </c>
      <c r="T6001" s="53" t="e">
        <f>Tabla14[[#This Row],[DEUDA CAPITAL]]+Tabla14[[#This Row],[INTERES  CUOTA]]</f>
        <v>#NUM!</v>
      </c>
      <c r="U6001" s="61" t="str">
        <f t="shared" si="949"/>
        <v/>
      </c>
    </row>
    <row r="6002" spans="9:21" ht="24.75" customHeight="1" x14ac:dyDescent="0.35">
      <c r="I6002" s="42">
        <f t="shared" si="940"/>
        <v>0</v>
      </c>
      <c r="J6002" s="65" t="e">
        <f t="shared" si="941"/>
        <v>#NUM!</v>
      </c>
      <c r="K6002" s="83" t="e">
        <f t="shared" si="942"/>
        <v>#NUM!</v>
      </c>
      <c r="L6002" s="83">
        <f t="shared" si="943"/>
        <v>0</v>
      </c>
      <c r="M6002" s="110" t="str">
        <f t="shared" si="944"/>
        <v/>
      </c>
      <c r="N6002" s="51" t="str">
        <f t="shared" si="945"/>
        <v/>
      </c>
      <c r="O6002" s="52" t="str">
        <f t="shared" si="946"/>
        <v/>
      </c>
      <c r="P6002" s="88">
        <f t="shared" si="947"/>
        <v>0</v>
      </c>
      <c r="Q6002" s="88">
        <f t="shared" si="948"/>
        <v>0</v>
      </c>
      <c r="R6002" s="88" t="e">
        <f>-IF(Tabla14[[#This Row],[DIAS HABILES O MORA]]&lt;0,(Tabla14[[#This Row],[VALOR PRESTAMO]]*Tabla14[[#This Row],[% INTERES ]]/30*U6002))+Tabla14[[#This Row],[VALOR CUOTAS]]</f>
        <v>#VALUE!</v>
      </c>
      <c r="S6002" s="88">
        <f>-IF(Tabla14[[#This Row],[DIAS HABILES O MORA]]&lt;0,(Tabla14[[#This Row],[VALOR PRESTAMO]]*Tabla14[[#This Row],[% INTERES ]]/30*U6002))</f>
        <v>0</v>
      </c>
      <c r="T6002" s="53" t="e">
        <f>Tabla14[[#This Row],[DEUDA CAPITAL]]+Tabla14[[#This Row],[INTERES  CUOTA]]</f>
        <v>#NUM!</v>
      </c>
      <c r="U6002" s="61" t="str">
        <f t="shared" si="949"/>
        <v/>
      </c>
    </row>
    <row r="6003" spans="9:21" ht="24.75" customHeight="1" x14ac:dyDescent="0.35">
      <c r="I6003" s="42">
        <f t="shared" si="940"/>
        <v>0</v>
      </c>
      <c r="J6003" s="65" t="e">
        <f t="shared" si="941"/>
        <v>#NUM!</v>
      </c>
      <c r="K6003" s="83" t="e">
        <f t="shared" si="942"/>
        <v>#NUM!</v>
      </c>
      <c r="L6003" s="83">
        <f t="shared" si="943"/>
        <v>0</v>
      </c>
      <c r="M6003" s="110" t="str">
        <f t="shared" si="944"/>
        <v/>
      </c>
      <c r="N6003" s="51" t="str">
        <f t="shared" si="945"/>
        <v/>
      </c>
      <c r="O6003" s="52" t="str">
        <f t="shared" si="946"/>
        <v/>
      </c>
      <c r="P6003" s="88">
        <f t="shared" si="947"/>
        <v>0</v>
      </c>
      <c r="Q6003" s="88">
        <f t="shared" si="948"/>
        <v>0</v>
      </c>
      <c r="R6003" s="88" t="e">
        <f>-IF(Tabla14[[#This Row],[DIAS HABILES O MORA]]&lt;0,(Tabla14[[#This Row],[VALOR PRESTAMO]]*Tabla14[[#This Row],[% INTERES ]]/30*U6003))+Tabla14[[#This Row],[VALOR CUOTAS]]</f>
        <v>#VALUE!</v>
      </c>
      <c r="S6003" s="88">
        <f>-IF(Tabla14[[#This Row],[DIAS HABILES O MORA]]&lt;0,(Tabla14[[#This Row],[VALOR PRESTAMO]]*Tabla14[[#This Row],[% INTERES ]]/30*U6003))</f>
        <v>0</v>
      </c>
      <c r="T6003" s="53" t="e">
        <f>Tabla14[[#This Row],[DEUDA CAPITAL]]+Tabla14[[#This Row],[INTERES  CUOTA]]</f>
        <v>#NUM!</v>
      </c>
      <c r="U6003" s="61" t="str">
        <f t="shared" si="949"/>
        <v/>
      </c>
    </row>
    <row r="6004" spans="9:21" ht="24.75" customHeight="1" x14ac:dyDescent="0.35">
      <c r="I6004" s="42">
        <f t="shared" si="940"/>
        <v>0</v>
      </c>
      <c r="J6004" s="65" t="e">
        <f t="shared" si="941"/>
        <v>#NUM!</v>
      </c>
      <c r="K6004" s="83" t="e">
        <f t="shared" si="942"/>
        <v>#NUM!</v>
      </c>
      <c r="L6004" s="83">
        <f t="shared" si="943"/>
        <v>0</v>
      </c>
      <c r="M6004" s="110" t="str">
        <f t="shared" si="944"/>
        <v/>
      </c>
      <c r="N6004" s="51" t="str">
        <f t="shared" si="945"/>
        <v/>
      </c>
      <c r="O6004" s="52" t="str">
        <f t="shared" si="946"/>
        <v/>
      </c>
      <c r="P6004" s="88">
        <f t="shared" si="947"/>
        <v>0</v>
      </c>
      <c r="Q6004" s="88">
        <f t="shared" si="948"/>
        <v>0</v>
      </c>
      <c r="R6004" s="88" t="e">
        <f>-IF(Tabla14[[#This Row],[DIAS HABILES O MORA]]&lt;0,(Tabla14[[#This Row],[VALOR PRESTAMO]]*Tabla14[[#This Row],[% INTERES ]]/30*U6004))+Tabla14[[#This Row],[VALOR CUOTAS]]</f>
        <v>#VALUE!</v>
      </c>
      <c r="S6004" s="88">
        <f>-IF(Tabla14[[#This Row],[DIAS HABILES O MORA]]&lt;0,(Tabla14[[#This Row],[VALOR PRESTAMO]]*Tabla14[[#This Row],[% INTERES ]]/30*U6004))</f>
        <v>0</v>
      </c>
      <c r="T6004" s="53" t="e">
        <f>Tabla14[[#This Row],[DEUDA CAPITAL]]+Tabla14[[#This Row],[INTERES  CUOTA]]</f>
        <v>#NUM!</v>
      </c>
      <c r="U6004" s="61" t="str">
        <f t="shared" si="949"/>
        <v/>
      </c>
    </row>
    <row r="6005" spans="9:21" ht="24.75" customHeight="1" x14ac:dyDescent="0.35">
      <c r="I6005" s="42">
        <f t="shared" si="940"/>
        <v>0</v>
      </c>
      <c r="J6005" s="65" t="e">
        <f t="shared" si="941"/>
        <v>#NUM!</v>
      </c>
      <c r="K6005" s="83" t="e">
        <f t="shared" si="942"/>
        <v>#NUM!</v>
      </c>
      <c r="L6005" s="83">
        <f t="shared" si="943"/>
        <v>0</v>
      </c>
      <c r="M6005" s="110" t="str">
        <f t="shared" si="944"/>
        <v/>
      </c>
      <c r="N6005" s="51" t="str">
        <f t="shared" si="945"/>
        <v/>
      </c>
      <c r="O6005" s="52" t="str">
        <f t="shared" si="946"/>
        <v/>
      </c>
      <c r="P6005" s="88">
        <f t="shared" si="947"/>
        <v>0</v>
      </c>
      <c r="Q6005" s="88">
        <f t="shared" si="948"/>
        <v>0</v>
      </c>
      <c r="R6005" s="88" t="e">
        <f>-IF(Tabla14[[#This Row],[DIAS HABILES O MORA]]&lt;0,(Tabla14[[#This Row],[VALOR PRESTAMO]]*Tabla14[[#This Row],[% INTERES ]]/30*U6005))+Tabla14[[#This Row],[VALOR CUOTAS]]</f>
        <v>#VALUE!</v>
      </c>
      <c r="S6005" s="88">
        <f>-IF(Tabla14[[#This Row],[DIAS HABILES O MORA]]&lt;0,(Tabla14[[#This Row],[VALOR PRESTAMO]]*Tabla14[[#This Row],[% INTERES ]]/30*U6005))</f>
        <v>0</v>
      </c>
      <c r="T6005" s="53" t="e">
        <f>Tabla14[[#This Row],[DEUDA CAPITAL]]+Tabla14[[#This Row],[INTERES  CUOTA]]</f>
        <v>#NUM!</v>
      </c>
      <c r="U6005" s="61" t="str">
        <f t="shared" si="949"/>
        <v/>
      </c>
    </row>
    <row r="6006" spans="9:21" ht="24.75" customHeight="1" x14ac:dyDescent="0.35">
      <c r="I6006" s="42">
        <f t="shared" si="940"/>
        <v>0</v>
      </c>
      <c r="J6006" s="65" t="e">
        <f t="shared" si="941"/>
        <v>#NUM!</v>
      </c>
      <c r="K6006" s="83" t="e">
        <f t="shared" si="942"/>
        <v>#NUM!</v>
      </c>
      <c r="L6006" s="83">
        <f t="shared" si="943"/>
        <v>0</v>
      </c>
      <c r="M6006" s="110" t="str">
        <f t="shared" si="944"/>
        <v/>
      </c>
      <c r="N6006" s="51" t="str">
        <f t="shared" si="945"/>
        <v/>
      </c>
      <c r="O6006" s="52" t="str">
        <f t="shared" si="946"/>
        <v/>
      </c>
      <c r="P6006" s="88">
        <f t="shared" si="947"/>
        <v>0</v>
      </c>
      <c r="Q6006" s="88">
        <f t="shared" si="948"/>
        <v>0</v>
      </c>
      <c r="R6006" s="88" t="e">
        <f>-IF(Tabla14[[#This Row],[DIAS HABILES O MORA]]&lt;0,(Tabla14[[#This Row],[VALOR PRESTAMO]]*Tabla14[[#This Row],[% INTERES ]]/30*U6006))+Tabla14[[#This Row],[VALOR CUOTAS]]</f>
        <v>#VALUE!</v>
      </c>
      <c r="S6006" s="88">
        <f>-IF(Tabla14[[#This Row],[DIAS HABILES O MORA]]&lt;0,(Tabla14[[#This Row],[VALOR PRESTAMO]]*Tabla14[[#This Row],[% INTERES ]]/30*U6006))</f>
        <v>0</v>
      </c>
      <c r="T6006" s="53" t="e">
        <f>Tabla14[[#This Row],[DEUDA CAPITAL]]+Tabla14[[#This Row],[INTERES  CUOTA]]</f>
        <v>#NUM!</v>
      </c>
      <c r="U6006" s="61" t="str">
        <f t="shared" si="949"/>
        <v/>
      </c>
    </row>
    <row r="6007" spans="9:21" ht="24.75" customHeight="1" x14ac:dyDescent="0.35">
      <c r="I6007" s="42">
        <f t="shared" si="940"/>
        <v>0</v>
      </c>
      <c r="J6007" s="65" t="e">
        <f t="shared" si="941"/>
        <v>#NUM!</v>
      </c>
      <c r="K6007" s="83" t="e">
        <f t="shared" si="942"/>
        <v>#NUM!</v>
      </c>
      <c r="L6007" s="83">
        <f t="shared" si="943"/>
        <v>0</v>
      </c>
      <c r="M6007" s="110" t="str">
        <f t="shared" si="944"/>
        <v/>
      </c>
      <c r="N6007" s="51" t="str">
        <f t="shared" si="945"/>
        <v/>
      </c>
      <c r="O6007" s="52" t="str">
        <f t="shared" si="946"/>
        <v/>
      </c>
      <c r="P6007" s="88">
        <f t="shared" si="947"/>
        <v>0</v>
      </c>
      <c r="Q6007" s="88">
        <f t="shared" si="948"/>
        <v>0</v>
      </c>
      <c r="R6007" s="88" t="e">
        <f>-IF(Tabla14[[#This Row],[DIAS HABILES O MORA]]&lt;0,(Tabla14[[#This Row],[VALOR PRESTAMO]]*Tabla14[[#This Row],[% INTERES ]]/30*U6007))+Tabla14[[#This Row],[VALOR CUOTAS]]</f>
        <v>#VALUE!</v>
      </c>
      <c r="S6007" s="88">
        <f>-IF(Tabla14[[#This Row],[DIAS HABILES O MORA]]&lt;0,(Tabla14[[#This Row],[VALOR PRESTAMO]]*Tabla14[[#This Row],[% INTERES ]]/30*U6007))</f>
        <v>0</v>
      </c>
      <c r="T6007" s="53" t="e">
        <f>Tabla14[[#This Row],[DEUDA CAPITAL]]+Tabla14[[#This Row],[INTERES  CUOTA]]</f>
        <v>#NUM!</v>
      </c>
      <c r="U6007" s="61" t="str">
        <f t="shared" si="949"/>
        <v/>
      </c>
    </row>
    <row r="6008" spans="9:21" ht="24.75" customHeight="1" x14ac:dyDescent="0.35">
      <c r="I6008" s="42">
        <f t="shared" si="940"/>
        <v>0</v>
      </c>
      <c r="J6008" s="65" t="e">
        <f t="shared" si="941"/>
        <v>#NUM!</v>
      </c>
      <c r="K6008" s="83" t="e">
        <f t="shared" si="942"/>
        <v>#NUM!</v>
      </c>
      <c r="L6008" s="83">
        <f t="shared" si="943"/>
        <v>0</v>
      </c>
      <c r="M6008" s="110" t="str">
        <f t="shared" si="944"/>
        <v/>
      </c>
      <c r="N6008" s="51" t="str">
        <f t="shared" si="945"/>
        <v/>
      </c>
      <c r="O6008" s="52" t="str">
        <f t="shared" si="946"/>
        <v/>
      </c>
      <c r="P6008" s="88">
        <f t="shared" si="947"/>
        <v>0</v>
      </c>
      <c r="Q6008" s="88">
        <f t="shared" si="948"/>
        <v>0</v>
      </c>
      <c r="R6008" s="88" t="e">
        <f>-IF(Tabla14[[#This Row],[DIAS HABILES O MORA]]&lt;0,(Tabla14[[#This Row],[VALOR PRESTAMO]]*Tabla14[[#This Row],[% INTERES ]]/30*U6008))+Tabla14[[#This Row],[VALOR CUOTAS]]</f>
        <v>#VALUE!</v>
      </c>
      <c r="S6008" s="88">
        <f>-IF(Tabla14[[#This Row],[DIAS HABILES O MORA]]&lt;0,(Tabla14[[#This Row],[VALOR PRESTAMO]]*Tabla14[[#This Row],[% INTERES ]]/30*U6008))</f>
        <v>0</v>
      </c>
      <c r="T6008" s="53" t="e">
        <f>Tabla14[[#This Row],[DEUDA CAPITAL]]+Tabla14[[#This Row],[INTERES  CUOTA]]</f>
        <v>#NUM!</v>
      </c>
      <c r="U6008" s="61" t="str">
        <f t="shared" si="949"/>
        <v/>
      </c>
    </row>
    <row r="6009" spans="9:21" ht="24.75" customHeight="1" x14ac:dyDescent="0.35">
      <c r="I6009" s="42">
        <f t="shared" si="940"/>
        <v>0</v>
      </c>
      <c r="J6009" s="65" t="e">
        <f t="shared" si="941"/>
        <v>#NUM!</v>
      </c>
      <c r="K6009" s="83" t="e">
        <f t="shared" si="942"/>
        <v>#NUM!</v>
      </c>
      <c r="L6009" s="83">
        <f t="shared" si="943"/>
        <v>0</v>
      </c>
      <c r="M6009" s="110" t="str">
        <f t="shared" si="944"/>
        <v/>
      </c>
      <c r="N6009" s="51" t="str">
        <f t="shared" si="945"/>
        <v/>
      </c>
      <c r="O6009" s="52" t="str">
        <f t="shared" si="946"/>
        <v/>
      </c>
      <c r="P6009" s="88">
        <f t="shared" si="947"/>
        <v>0</v>
      </c>
      <c r="Q6009" s="88">
        <f t="shared" si="948"/>
        <v>0</v>
      </c>
      <c r="R6009" s="88" t="e">
        <f>-IF(Tabla14[[#This Row],[DIAS HABILES O MORA]]&lt;0,(Tabla14[[#This Row],[VALOR PRESTAMO]]*Tabla14[[#This Row],[% INTERES ]]/30*U6009))+Tabla14[[#This Row],[VALOR CUOTAS]]</f>
        <v>#VALUE!</v>
      </c>
      <c r="S6009" s="88">
        <f>-IF(Tabla14[[#This Row],[DIAS HABILES O MORA]]&lt;0,(Tabla14[[#This Row],[VALOR PRESTAMO]]*Tabla14[[#This Row],[% INTERES ]]/30*U6009))</f>
        <v>0</v>
      </c>
      <c r="T6009" s="53" t="e">
        <f>Tabla14[[#This Row],[DEUDA CAPITAL]]+Tabla14[[#This Row],[INTERES  CUOTA]]</f>
        <v>#NUM!</v>
      </c>
      <c r="U6009" s="61" t="str">
        <f t="shared" si="949"/>
        <v/>
      </c>
    </row>
    <row r="6010" spans="9:21" ht="24.75" customHeight="1" x14ac:dyDescent="0.35">
      <c r="I6010" s="42">
        <f t="shared" si="940"/>
        <v>0</v>
      </c>
      <c r="J6010" s="65" t="e">
        <f t="shared" si="941"/>
        <v>#NUM!</v>
      </c>
      <c r="K6010" s="83" t="e">
        <f t="shared" si="942"/>
        <v>#NUM!</v>
      </c>
      <c r="L6010" s="83">
        <f t="shared" si="943"/>
        <v>0</v>
      </c>
      <c r="M6010" s="110" t="str">
        <f t="shared" si="944"/>
        <v/>
      </c>
      <c r="N6010" s="51" t="str">
        <f t="shared" si="945"/>
        <v/>
      </c>
      <c r="O6010" s="52" t="str">
        <f t="shared" si="946"/>
        <v/>
      </c>
      <c r="P6010" s="88">
        <f t="shared" si="947"/>
        <v>0</v>
      </c>
      <c r="Q6010" s="88">
        <f t="shared" si="948"/>
        <v>0</v>
      </c>
      <c r="R6010" s="88" t="e">
        <f>-IF(Tabla14[[#This Row],[DIAS HABILES O MORA]]&lt;0,(Tabla14[[#This Row],[VALOR PRESTAMO]]*Tabla14[[#This Row],[% INTERES ]]/30*U6010))+Tabla14[[#This Row],[VALOR CUOTAS]]</f>
        <v>#VALUE!</v>
      </c>
      <c r="S6010" s="88">
        <f>-IF(Tabla14[[#This Row],[DIAS HABILES O MORA]]&lt;0,(Tabla14[[#This Row],[VALOR PRESTAMO]]*Tabla14[[#This Row],[% INTERES ]]/30*U6010))</f>
        <v>0</v>
      </c>
      <c r="T6010" s="53" t="e">
        <f>Tabla14[[#This Row],[DEUDA CAPITAL]]+Tabla14[[#This Row],[INTERES  CUOTA]]</f>
        <v>#NUM!</v>
      </c>
      <c r="U6010" s="61" t="str">
        <f t="shared" si="949"/>
        <v/>
      </c>
    </row>
    <row r="6011" spans="9:21" ht="24.75" customHeight="1" x14ac:dyDescent="0.35">
      <c r="I6011" s="42">
        <f t="shared" si="940"/>
        <v>0</v>
      </c>
      <c r="J6011" s="65" t="e">
        <f t="shared" si="941"/>
        <v>#NUM!</v>
      </c>
      <c r="K6011" s="83" t="e">
        <f t="shared" si="942"/>
        <v>#NUM!</v>
      </c>
      <c r="L6011" s="83">
        <f t="shared" si="943"/>
        <v>0</v>
      </c>
      <c r="M6011" s="110" t="str">
        <f t="shared" si="944"/>
        <v/>
      </c>
      <c r="N6011" s="51" t="str">
        <f t="shared" si="945"/>
        <v/>
      </c>
      <c r="O6011" s="52" t="str">
        <f t="shared" si="946"/>
        <v/>
      </c>
      <c r="P6011" s="88">
        <f t="shared" si="947"/>
        <v>0</v>
      </c>
      <c r="Q6011" s="88">
        <f t="shared" si="948"/>
        <v>0</v>
      </c>
      <c r="R6011" s="88" t="e">
        <f>-IF(Tabla14[[#This Row],[DIAS HABILES O MORA]]&lt;0,(Tabla14[[#This Row],[VALOR PRESTAMO]]*Tabla14[[#This Row],[% INTERES ]]/30*U6011))+Tabla14[[#This Row],[VALOR CUOTAS]]</f>
        <v>#VALUE!</v>
      </c>
      <c r="S6011" s="88">
        <f>-IF(Tabla14[[#This Row],[DIAS HABILES O MORA]]&lt;0,(Tabla14[[#This Row],[VALOR PRESTAMO]]*Tabla14[[#This Row],[% INTERES ]]/30*U6011))</f>
        <v>0</v>
      </c>
      <c r="T6011" s="53" t="e">
        <f>Tabla14[[#This Row],[DEUDA CAPITAL]]+Tabla14[[#This Row],[INTERES  CUOTA]]</f>
        <v>#NUM!</v>
      </c>
      <c r="U6011" s="61" t="str">
        <f t="shared" si="949"/>
        <v/>
      </c>
    </row>
    <row r="6012" spans="9:21" ht="24.75" customHeight="1" x14ac:dyDescent="0.35">
      <c r="I6012" s="42">
        <f t="shared" si="940"/>
        <v>0</v>
      </c>
      <c r="J6012" s="65" t="e">
        <f t="shared" si="941"/>
        <v>#NUM!</v>
      </c>
      <c r="K6012" s="83" t="e">
        <f t="shared" si="942"/>
        <v>#NUM!</v>
      </c>
      <c r="L6012" s="83">
        <f t="shared" si="943"/>
        <v>0</v>
      </c>
      <c r="M6012" s="110" t="str">
        <f t="shared" si="944"/>
        <v/>
      </c>
      <c r="N6012" s="51" t="str">
        <f t="shared" si="945"/>
        <v/>
      </c>
      <c r="O6012" s="52" t="str">
        <f t="shared" si="946"/>
        <v/>
      </c>
      <c r="P6012" s="88">
        <f t="shared" si="947"/>
        <v>0</v>
      </c>
      <c r="Q6012" s="88">
        <f t="shared" si="948"/>
        <v>0</v>
      </c>
      <c r="R6012" s="88" t="e">
        <f>-IF(Tabla14[[#This Row],[DIAS HABILES O MORA]]&lt;0,(Tabla14[[#This Row],[VALOR PRESTAMO]]*Tabla14[[#This Row],[% INTERES ]]/30*U6012))+Tabla14[[#This Row],[VALOR CUOTAS]]</f>
        <v>#VALUE!</v>
      </c>
      <c r="S6012" s="88">
        <f>-IF(Tabla14[[#This Row],[DIAS HABILES O MORA]]&lt;0,(Tabla14[[#This Row],[VALOR PRESTAMO]]*Tabla14[[#This Row],[% INTERES ]]/30*U6012))</f>
        <v>0</v>
      </c>
      <c r="T6012" s="53" t="e">
        <f>Tabla14[[#This Row],[DEUDA CAPITAL]]+Tabla14[[#This Row],[INTERES  CUOTA]]</f>
        <v>#NUM!</v>
      </c>
      <c r="U6012" s="61" t="str">
        <f t="shared" si="949"/>
        <v/>
      </c>
    </row>
    <row r="6013" spans="9:21" ht="24.75" customHeight="1" x14ac:dyDescent="0.35">
      <c r="I6013" s="42">
        <f t="shared" si="940"/>
        <v>0</v>
      </c>
      <c r="J6013" s="65" t="e">
        <f t="shared" si="941"/>
        <v>#NUM!</v>
      </c>
      <c r="K6013" s="83" t="e">
        <f t="shared" si="942"/>
        <v>#NUM!</v>
      </c>
      <c r="L6013" s="83">
        <f t="shared" si="943"/>
        <v>0</v>
      </c>
      <c r="M6013" s="110" t="str">
        <f t="shared" si="944"/>
        <v/>
      </c>
      <c r="N6013" s="51" t="str">
        <f t="shared" si="945"/>
        <v/>
      </c>
      <c r="O6013" s="52" t="str">
        <f t="shared" si="946"/>
        <v/>
      </c>
      <c r="P6013" s="88">
        <f t="shared" si="947"/>
        <v>0</v>
      </c>
      <c r="Q6013" s="88">
        <f t="shared" si="948"/>
        <v>0</v>
      </c>
      <c r="R6013" s="88" t="e">
        <f>-IF(Tabla14[[#This Row],[DIAS HABILES O MORA]]&lt;0,(Tabla14[[#This Row],[VALOR PRESTAMO]]*Tabla14[[#This Row],[% INTERES ]]/30*U6013))+Tabla14[[#This Row],[VALOR CUOTAS]]</f>
        <v>#VALUE!</v>
      </c>
      <c r="S6013" s="88">
        <f>-IF(Tabla14[[#This Row],[DIAS HABILES O MORA]]&lt;0,(Tabla14[[#This Row],[VALOR PRESTAMO]]*Tabla14[[#This Row],[% INTERES ]]/30*U6013))</f>
        <v>0</v>
      </c>
      <c r="T6013" s="53" t="e">
        <f>Tabla14[[#This Row],[DEUDA CAPITAL]]+Tabla14[[#This Row],[INTERES  CUOTA]]</f>
        <v>#NUM!</v>
      </c>
      <c r="U6013" s="61" t="str">
        <f t="shared" si="949"/>
        <v/>
      </c>
    </row>
    <row r="6014" spans="9:21" ht="24.75" customHeight="1" x14ac:dyDescent="0.35">
      <c r="I6014" s="42">
        <f t="shared" si="940"/>
        <v>0</v>
      </c>
      <c r="J6014" s="65" t="e">
        <f t="shared" si="941"/>
        <v>#NUM!</v>
      </c>
      <c r="K6014" s="83" t="e">
        <f t="shared" si="942"/>
        <v>#NUM!</v>
      </c>
      <c r="L6014" s="83">
        <f t="shared" si="943"/>
        <v>0</v>
      </c>
      <c r="M6014" s="110" t="str">
        <f t="shared" si="944"/>
        <v/>
      </c>
      <c r="N6014" s="51" t="str">
        <f t="shared" si="945"/>
        <v/>
      </c>
      <c r="O6014" s="52" t="str">
        <f t="shared" si="946"/>
        <v/>
      </c>
      <c r="P6014" s="88">
        <f t="shared" si="947"/>
        <v>0</v>
      </c>
      <c r="Q6014" s="88">
        <f t="shared" si="948"/>
        <v>0</v>
      </c>
      <c r="R6014" s="88" t="e">
        <f>-IF(Tabla14[[#This Row],[DIAS HABILES O MORA]]&lt;0,(Tabla14[[#This Row],[VALOR PRESTAMO]]*Tabla14[[#This Row],[% INTERES ]]/30*U6014))+Tabla14[[#This Row],[VALOR CUOTAS]]</f>
        <v>#VALUE!</v>
      </c>
      <c r="S6014" s="88">
        <f>-IF(Tabla14[[#This Row],[DIAS HABILES O MORA]]&lt;0,(Tabla14[[#This Row],[VALOR PRESTAMO]]*Tabla14[[#This Row],[% INTERES ]]/30*U6014))</f>
        <v>0</v>
      </c>
      <c r="T6014" s="53" t="e">
        <f>Tabla14[[#This Row],[DEUDA CAPITAL]]+Tabla14[[#This Row],[INTERES  CUOTA]]</f>
        <v>#NUM!</v>
      </c>
      <c r="U6014" s="61" t="str">
        <f t="shared" si="949"/>
        <v/>
      </c>
    </row>
    <row r="6015" spans="9:21" ht="24.75" customHeight="1" x14ac:dyDescent="0.35">
      <c r="I6015" s="42">
        <f t="shared" si="940"/>
        <v>0</v>
      </c>
      <c r="J6015" s="65" t="e">
        <f t="shared" si="941"/>
        <v>#NUM!</v>
      </c>
      <c r="K6015" s="83" t="e">
        <f t="shared" si="942"/>
        <v>#NUM!</v>
      </c>
      <c r="L6015" s="83">
        <f t="shared" si="943"/>
        <v>0</v>
      </c>
      <c r="M6015" s="110" t="str">
        <f t="shared" si="944"/>
        <v/>
      </c>
      <c r="N6015" s="51" t="str">
        <f t="shared" si="945"/>
        <v/>
      </c>
      <c r="O6015" s="52" t="str">
        <f t="shared" si="946"/>
        <v/>
      </c>
      <c r="P6015" s="88">
        <f t="shared" si="947"/>
        <v>0</v>
      </c>
      <c r="Q6015" s="88">
        <f t="shared" si="948"/>
        <v>0</v>
      </c>
      <c r="R6015" s="88" t="e">
        <f>-IF(Tabla14[[#This Row],[DIAS HABILES O MORA]]&lt;0,(Tabla14[[#This Row],[VALOR PRESTAMO]]*Tabla14[[#This Row],[% INTERES ]]/30*U6015))+Tabla14[[#This Row],[VALOR CUOTAS]]</f>
        <v>#VALUE!</v>
      </c>
      <c r="S6015" s="88">
        <f>-IF(Tabla14[[#This Row],[DIAS HABILES O MORA]]&lt;0,(Tabla14[[#This Row],[VALOR PRESTAMO]]*Tabla14[[#This Row],[% INTERES ]]/30*U6015))</f>
        <v>0</v>
      </c>
      <c r="T6015" s="53" t="e">
        <f>Tabla14[[#This Row],[DEUDA CAPITAL]]+Tabla14[[#This Row],[INTERES  CUOTA]]</f>
        <v>#NUM!</v>
      </c>
      <c r="U6015" s="61" t="str">
        <f t="shared" si="949"/>
        <v/>
      </c>
    </row>
    <row r="6016" spans="9:21" ht="24.75" customHeight="1" x14ac:dyDescent="0.35">
      <c r="I6016" s="42">
        <f t="shared" si="940"/>
        <v>0</v>
      </c>
      <c r="J6016" s="65" t="e">
        <f t="shared" si="941"/>
        <v>#NUM!</v>
      </c>
      <c r="K6016" s="83" t="e">
        <f t="shared" si="942"/>
        <v>#NUM!</v>
      </c>
      <c r="L6016" s="83">
        <f t="shared" si="943"/>
        <v>0</v>
      </c>
      <c r="M6016" s="110" t="str">
        <f t="shared" si="944"/>
        <v/>
      </c>
      <c r="N6016" s="51" t="str">
        <f t="shared" si="945"/>
        <v/>
      </c>
      <c r="O6016" s="52" t="str">
        <f t="shared" si="946"/>
        <v/>
      </c>
      <c r="P6016" s="88">
        <f t="shared" si="947"/>
        <v>0</v>
      </c>
      <c r="Q6016" s="88">
        <f t="shared" si="948"/>
        <v>0</v>
      </c>
      <c r="R6016" s="88" t="e">
        <f>-IF(Tabla14[[#This Row],[DIAS HABILES O MORA]]&lt;0,(Tabla14[[#This Row],[VALOR PRESTAMO]]*Tabla14[[#This Row],[% INTERES ]]/30*U6016))+Tabla14[[#This Row],[VALOR CUOTAS]]</f>
        <v>#VALUE!</v>
      </c>
      <c r="S6016" s="88">
        <f>-IF(Tabla14[[#This Row],[DIAS HABILES O MORA]]&lt;0,(Tabla14[[#This Row],[VALOR PRESTAMO]]*Tabla14[[#This Row],[% INTERES ]]/30*U6016))</f>
        <v>0</v>
      </c>
      <c r="T6016" s="53" t="e">
        <f>Tabla14[[#This Row],[DEUDA CAPITAL]]+Tabla14[[#This Row],[INTERES  CUOTA]]</f>
        <v>#NUM!</v>
      </c>
      <c r="U6016" s="61" t="str">
        <f t="shared" si="949"/>
        <v/>
      </c>
    </row>
    <row r="6017" spans="9:21" ht="24.75" customHeight="1" x14ac:dyDescent="0.35">
      <c r="I6017" s="42">
        <f t="shared" si="940"/>
        <v>0</v>
      </c>
      <c r="J6017" s="65" t="e">
        <f t="shared" si="941"/>
        <v>#NUM!</v>
      </c>
      <c r="K6017" s="83" t="e">
        <f t="shared" si="942"/>
        <v>#NUM!</v>
      </c>
      <c r="L6017" s="83">
        <f t="shared" si="943"/>
        <v>0</v>
      </c>
      <c r="M6017" s="110" t="str">
        <f t="shared" si="944"/>
        <v/>
      </c>
      <c r="N6017" s="51" t="str">
        <f t="shared" si="945"/>
        <v/>
      </c>
      <c r="O6017" s="52" t="str">
        <f t="shared" si="946"/>
        <v/>
      </c>
      <c r="P6017" s="88">
        <f t="shared" si="947"/>
        <v>0</v>
      </c>
      <c r="Q6017" s="88">
        <f t="shared" si="948"/>
        <v>0</v>
      </c>
      <c r="R6017" s="88" t="e">
        <f>-IF(Tabla14[[#This Row],[DIAS HABILES O MORA]]&lt;0,(Tabla14[[#This Row],[VALOR PRESTAMO]]*Tabla14[[#This Row],[% INTERES ]]/30*U6017))+Tabla14[[#This Row],[VALOR CUOTAS]]</f>
        <v>#VALUE!</v>
      </c>
      <c r="S6017" s="88">
        <f>-IF(Tabla14[[#This Row],[DIAS HABILES O MORA]]&lt;0,(Tabla14[[#This Row],[VALOR PRESTAMO]]*Tabla14[[#This Row],[% INTERES ]]/30*U6017))</f>
        <v>0</v>
      </c>
      <c r="T6017" s="53" t="e">
        <f>Tabla14[[#This Row],[DEUDA CAPITAL]]+Tabla14[[#This Row],[INTERES  CUOTA]]</f>
        <v>#NUM!</v>
      </c>
      <c r="U6017" s="61" t="str">
        <f t="shared" si="949"/>
        <v/>
      </c>
    </row>
    <row r="6018" spans="9:21" ht="24.75" customHeight="1" x14ac:dyDescent="0.35">
      <c r="I6018" s="42">
        <f t="shared" si="940"/>
        <v>0</v>
      </c>
      <c r="J6018" s="65" t="e">
        <f t="shared" si="941"/>
        <v>#NUM!</v>
      </c>
      <c r="K6018" s="83" t="e">
        <f t="shared" si="942"/>
        <v>#NUM!</v>
      </c>
      <c r="L6018" s="83">
        <f t="shared" si="943"/>
        <v>0</v>
      </c>
      <c r="M6018" s="110" t="str">
        <f t="shared" si="944"/>
        <v/>
      </c>
      <c r="N6018" s="51" t="str">
        <f t="shared" si="945"/>
        <v/>
      </c>
      <c r="O6018" s="52" t="str">
        <f t="shared" si="946"/>
        <v/>
      </c>
      <c r="P6018" s="88">
        <f t="shared" si="947"/>
        <v>0</v>
      </c>
      <c r="Q6018" s="88">
        <f t="shared" si="948"/>
        <v>0</v>
      </c>
      <c r="R6018" s="88" t="e">
        <f>-IF(Tabla14[[#This Row],[DIAS HABILES O MORA]]&lt;0,(Tabla14[[#This Row],[VALOR PRESTAMO]]*Tabla14[[#This Row],[% INTERES ]]/30*U6018))+Tabla14[[#This Row],[VALOR CUOTAS]]</f>
        <v>#VALUE!</v>
      </c>
      <c r="S6018" s="88">
        <f>-IF(Tabla14[[#This Row],[DIAS HABILES O MORA]]&lt;0,(Tabla14[[#This Row],[VALOR PRESTAMO]]*Tabla14[[#This Row],[% INTERES ]]/30*U6018))</f>
        <v>0</v>
      </c>
      <c r="T6018" s="53" t="e">
        <f>Tabla14[[#This Row],[DEUDA CAPITAL]]+Tabla14[[#This Row],[INTERES  CUOTA]]</f>
        <v>#NUM!</v>
      </c>
      <c r="U6018" s="61" t="str">
        <f t="shared" si="949"/>
        <v/>
      </c>
    </row>
    <row r="6019" spans="9:21" ht="24.75" customHeight="1" x14ac:dyDescent="0.35">
      <c r="I6019" s="42">
        <f t="shared" si="940"/>
        <v>0</v>
      </c>
      <c r="J6019" s="65" t="e">
        <f t="shared" si="941"/>
        <v>#NUM!</v>
      </c>
      <c r="K6019" s="83" t="e">
        <f t="shared" si="942"/>
        <v>#NUM!</v>
      </c>
      <c r="L6019" s="83">
        <f t="shared" si="943"/>
        <v>0</v>
      </c>
      <c r="M6019" s="110" t="str">
        <f t="shared" si="944"/>
        <v/>
      </c>
      <c r="N6019" s="51" t="str">
        <f t="shared" si="945"/>
        <v/>
      </c>
      <c r="O6019" s="52" t="str">
        <f t="shared" si="946"/>
        <v/>
      </c>
      <c r="P6019" s="88">
        <f t="shared" si="947"/>
        <v>0</v>
      </c>
      <c r="Q6019" s="88">
        <f t="shared" si="948"/>
        <v>0</v>
      </c>
      <c r="R6019" s="88" t="e">
        <f>-IF(Tabla14[[#This Row],[DIAS HABILES O MORA]]&lt;0,(Tabla14[[#This Row],[VALOR PRESTAMO]]*Tabla14[[#This Row],[% INTERES ]]/30*U6019))+Tabla14[[#This Row],[VALOR CUOTAS]]</f>
        <v>#VALUE!</v>
      </c>
      <c r="S6019" s="88">
        <f>-IF(Tabla14[[#This Row],[DIAS HABILES O MORA]]&lt;0,(Tabla14[[#This Row],[VALOR PRESTAMO]]*Tabla14[[#This Row],[% INTERES ]]/30*U6019))</f>
        <v>0</v>
      </c>
      <c r="T6019" s="53" t="e">
        <f>Tabla14[[#This Row],[DEUDA CAPITAL]]+Tabla14[[#This Row],[INTERES  CUOTA]]</f>
        <v>#NUM!</v>
      </c>
      <c r="U6019" s="61" t="str">
        <f t="shared" si="949"/>
        <v/>
      </c>
    </row>
    <row r="6020" spans="9:21" ht="24.75" customHeight="1" x14ac:dyDescent="0.35">
      <c r="I6020" s="42">
        <f t="shared" si="940"/>
        <v>0</v>
      </c>
      <c r="J6020" s="65" t="e">
        <f t="shared" si="941"/>
        <v>#NUM!</v>
      </c>
      <c r="K6020" s="83" t="e">
        <f t="shared" si="942"/>
        <v>#NUM!</v>
      </c>
      <c r="L6020" s="83">
        <f t="shared" si="943"/>
        <v>0</v>
      </c>
      <c r="M6020" s="110" t="str">
        <f t="shared" si="944"/>
        <v/>
      </c>
      <c r="N6020" s="51" t="str">
        <f t="shared" si="945"/>
        <v/>
      </c>
      <c r="O6020" s="52" t="str">
        <f t="shared" si="946"/>
        <v/>
      </c>
      <c r="P6020" s="88">
        <f t="shared" si="947"/>
        <v>0</v>
      </c>
      <c r="Q6020" s="88">
        <f t="shared" si="948"/>
        <v>0</v>
      </c>
      <c r="R6020" s="88" t="e">
        <f>-IF(Tabla14[[#This Row],[DIAS HABILES O MORA]]&lt;0,(Tabla14[[#This Row],[VALOR PRESTAMO]]*Tabla14[[#This Row],[% INTERES ]]/30*U6020))+Tabla14[[#This Row],[VALOR CUOTAS]]</f>
        <v>#VALUE!</v>
      </c>
      <c r="S6020" s="88">
        <f>-IF(Tabla14[[#This Row],[DIAS HABILES O MORA]]&lt;0,(Tabla14[[#This Row],[VALOR PRESTAMO]]*Tabla14[[#This Row],[% INTERES ]]/30*U6020))</f>
        <v>0</v>
      </c>
      <c r="T6020" s="53" t="e">
        <f>Tabla14[[#This Row],[DEUDA CAPITAL]]+Tabla14[[#This Row],[INTERES  CUOTA]]</f>
        <v>#NUM!</v>
      </c>
      <c r="U6020" s="61" t="str">
        <f t="shared" si="949"/>
        <v/>
      </c>
    </row>
    <row r="6021" spans="9:21" ht="24.75" customHeight="1" x14ac:dyDescent="0.35">
      <c r="I6021" s="42">
        <f t="shared" si="940"/>
        <v>0</v>
      </c>
      <c r="J6021" s="65" t="e">
        <f t="shared" si="941"/>
        <v>#NUM!</v>
      </c>
      <c r="K6021" s="83" t="e">
        <f t="shared" si="942"/>
        <v>#NUM!</v>
      </c>
      <c r="L6021" s="83">
        <f t="shared" si="943"/>
        <v>0</v>
      </c>
      <c r="M6021" s="110" t="str">
        <f t="shared" si="944"/>
        <v/>
      </c>
      <c r="N6021" s="51" t="str">
        <f t="shared" si="945"/>
        <v/>
      </c>
      <c r="O6021" s="52" t="str">
        <f t="shared" si="946"/>
        <v/>
      </c>
      <c r="P6021" s="88">
        <f t="shared" si="947"/>
        <v>0</v>
      </c>
      <c r="Q6021" s="88">
        <f t="shared" si="948"/>
        <v>0</v>
      </c>
      <c r="R6021" s="88" t="e">
        <f>-IF(Tabla14[[#This Row],[DIAS HABILES O MORA]]&lt;0,(Tabla14[[#This Row],[VALOR PRESTAMO]]*Tabla14[[#This Row],[% INTERES ]]/30*U6021))+Tabla14[[#This Row],[VALOR CUOTAS]]</f>
        <v>#VALUE!</v>
      </c>
      <c r="S6021" s="88">
        <f>-IF(Tabla14[[#This Row],[DIAS HABILES O MORA]]&lt;0,(Tabla14[[#This Row],[VALOR PRESTAMO]]*Tabla14[[#This Row],[% INTERES ]]/30*U6021))</f>
        <v>0</v>
      </c>
      <c r="T6021" s="53" t="e">
        <f>Tabla14[[#This Row],[DEUDA CAPITAL]]+Tabla14[[#This Row],[INTERES  CUOTA]]</f>
        <v>#NUM!</v>
      </c>
      <c r="U6021" s="61" t="str">
        <f t="shared" si="949"/>
        <v/>
      </c>
    </row>
    <row r="6022" spans="9:21" ht="24.75" customHeight="1" x14ac:dyDescent="0.35">
      <c r="I6022" s="42">
        <f t="shared" si="940"/>
        <v>0</v>
      </c>
      <c r="J6022" s="65" t="e">
        <f t="shared" si="941"/>
        <v>#NUM!</v>
      </c>
      <c r="K6022" s="83" t="e">
        <f t="shared" si="942"/>
        <v>#NUM!</v>
      </c>
      <c r="L6022" s="83">
        <f t="shared" si="943"/>
        <v>0</v>
      </c>
      <c r="M6022" s="110" t="str">
        <f t="shared" si="944"/>
        <v/>
      </c>
      <c r="N6022" s="51" t="str">
        <f t="shared" si="945"/>
        <v/>
      </c>
      <c r="O6022" s="52" t="str">
        <f t="shared" si="946"/>
        <v/>
      </c>
      <c r="P6022" s="88">
        <f t="shared" si="947"/>
        <v>0</v>
      </c>
      <c r="Q6022" s="88">
        <f t="shared" si="948"/>
        <v>0</v>
      </c>
      <c r="R6022" s="88" t="e">
        <f>-IF(Tabla14[[#This Row],[DIAS HABILES O MORA]]&lt;0,(Tabla14[[#This Row],[VALOR PRESTAMO]]*Tabla14[[#This Row],[% INTERES ]]/30*U6022))+Tabla14[[#This Row],[VALOR CUOTAS]]</f>
        <v>#VALUE!</v>
      </c>
      <c r="S6022" s="88">
        <f>-IF(Tabla14[[#This Row],[DIAS HABILES O MORA]]&lt;0,(Tabla14[[#This Row],[VALOR PRESTAMO]]*Tabla14[[#This Row],[% INTERES ]]/30*U6022))</f>
        <v>0</v>
      </c>
      <c r="T6022" s="53" t="e">
        <f>Tabla14[[#This Row],[DEUDA CAPITAL]]+Tabla14[[#This Row],[INTERES  CUOTA]]</f>
        <v>#NUM!</v>
      </c>
      <c r="U6022" s="61" t="str">
        <f t="shared" si="949"/>
        <v/>
      </c>
    </row>
    <row r="6023" spans="9:21" ht="24.75" customHeight="1" x14ac:dyDescent="0.35">
      <c r="I6023" s="42">
        <f t="shared" si="940"/>
        <v>0</v>
      </c>
      <c r="J6023" s="65" t="e">
        <f t="shared" si="941"/>
        <v>#NUM!</v>
      </c>
      <c r="K6023" s="83" t="e">
        <f t="shared" si="942"/>
        <v>#NUM!</v>
      </c>
      <c r="L6023" s="83">
        <f t="shared" si="943"/>
        <v>0</v>
      </c>
      <c r="M6023" s="110" t="str">
        <f t="shared" si="944"/>
        <v/>
      </c>
      <c r="N6023" s="51" t="str">
        <f t="shared" si="945"/>
        <v/>
      </c>
      <c r="O6023" s="52" t="str">
        <f t="shared" si="946"/>
        <v/>
      </c>
      <c r="P6023" s="88">
        <f t="shared" si="947"/>
        <v>0</v>
      </c>
      <c r="Q6023" s="88">
        <f t="shared" si="948"/>
        <v>0</v>
      </c>
      <c r="R6023" s="88" t="e">
        <f>-IF(Tabla14[[#This Row],[DIAS HABILES O MORA]]&lt;0,(Tabla14[[#This Row],[VALOR PRESTAMO]]*Tabla14[[#This Row],[% INTERES ]]/30*U6023))+Tabla14[[#This Row],[VALOR CUOTAS]]</f>
        <v>#VALUE!</v>
      </c>
      <c r="S6023" s="88">
        <f>-IF(Tabla14[[#This Row],[DIAS HABILES O MORA]]&lt;0,(Tabla14[[#This Row],[VALOR PRESTAMO]]*Tabla14[[#This Row],[% INTERES ]]/30*U6023))</f>
        <v>0</v>
      </c>
      <c r="T6023" s="53" t="e">
        <f>Tabla14[[#This Row],[DEUDA CAPITAL]]+Tabla14[[#This Row],[INTERES  CUOTA]]</f>
        <v>#NUM!</v>
      </c>
      <c r="U6023" s="61" t="str">
        <f t="shared" si="949"/>
        <v/>
      </c>
    </row>
    <row r="6024" spans="9:21" ht="24.75" customHeight="1" x14ac:dyDescent="0.35">
      <c r="I6024" s="42">
        <f t="shared" si="940"/>
        <v>0</v>
      </c>
      <c r="J6024" s="65" t="e">
        <f t="shared" si="941"/>
        <v>#NUM!</v>
      </c>
      <c r="K6024" s="83" t="e">
        <f t="shared" si="942"/>
        <v>#NUM!</v>
      </c>
      <c r="L6024" s="83">
        <f t="shared" si="943"/>
        <v>0</v>
      </c>
      <c r="M6024" s="110" t="str">
        <f t="shared" si="944"/>
        <v/>
      </c>
      <c r="N6024" s="51" t="str">
        <f t="shared" si="945"/>
        <v/>
      </c>
      <c r="O6024" s="52" t="str">
        <f t="shared" si="946"/>
        <v/>
      </c>
      <c r="P6024" s="88">
        <f t="shared" si="947"/>
        <v>0</v>
      </c>
      <c r="Q6024" s="88">
        <f t="shared" si="948"/>
        <v>0</v>
      </c>
      <c r="R6024" s="88" t="e">
        <f>-IF(Tabla14[[#This Row],[DIAS HABILES O MORA]]&lt;0,(Tabla14[[#This Row],[VALOR PRESTAMO]]*Tabla14[[#This Row],[% INTERES ]]/30*U6024))+Tabla14[[#This Row],[VALOR CUOTAS]]</f>
        <v>#VALUE!</v>
      </c>
      <c r="S6024" s="88">
        <f>-IF(Tabla14[[#This Row],[DIAS HABILES O MORA]]&lt;0,(Tabla14[[#This Row],[VALOR PRESTAMO]]*Tabla14[[#This Row],[% INTERES ]]/30*U6024))</f>
        <v>0</v>
      </c>
      <c r="T6024" s="53" t="e">
        <f>Tabla14[[#This Row],[DEUDA CAPITAL]]+Tabla14[[#This Row],[INTERES  CUOTA]]</f>
        <v>#NUM!</v>
      </c>
      <c r="U6024" s="61" t="str">
        <f t="shared" si="949"/>
        <v/>
      </c>
    </row>
    <row r="6025" spans="9:21" ht="24.75" customHeight="1" x14ac:dyDescent="0.35">
      <c r="I6025" s="42">
        <f t="shared" si="940"/>
        <v>0</v>
      </c>
      <c r="J6025" s="65" t="e">
        <f t="shared" si="941"/>
        <v>#NUM!</v>
      </c>
      <c r="K6025" s="83" t="e">
        <f t="shared" si="942"/>
        <v>#NUM!</v>
      </c>
      <c r="L6025" s="83">
        <f t="shared" si="943"/>
        <v>0</v>
      </c>
      <c r="M6025" s="110" t="str">
        <f t="shared" si="944"/>
        <v/>
      </c>
      <c r="N6025" s="51" t="str">
        <f t="shared" si="945"/>
        <v/>
      </c>
      <c r="O6025" s="52" t="str">
        <f t="shared" si="946"/>
        <v/>
      </c>
      <c r="P6025" s="88">
        <f t="shared" si="947"/>
        <v>0</v>
      </c>
      <c r="Q6025" s="88">
        <f t="shared" si="948"/>
        <v>0</v>
      </c>
      <c r="R6025" s="88" t="e">
        <f>-IF(Tabla14[[#This Row],[DIAS HABILES O MORA]]&lt;0,(Tabla14[[#This Row],[VALOR PRESTAMO]]*Tabla14[[#This Row],[% INTERES ]]/30*U6025))+Tabla14[[#This Row],[VALOR CUOTAS]]</f>
        <v>#VALUE!</v>
      </c>
      <c r="S6025" s="88">
        <f>-IF(Tabla14[[#This Row],[DIAS HABILES O MORA]]&lt;0,(Tabla14[[#This Row],[VALOR PRESTAMO]]*Tabla14[[#This Row],[% INTERES ]]/30*U6025))</f>
        <v>0</v>
      </c>
      <c r="T6025" s="53" t="e">
        <f>Tabla14[[#This Row],[DEUDA CAPITAL]]+Tabla14[[#This Row],[INTERES  CUOTA]]</f>
        <v>#NUM!</v>
      </c>
      <c r="U6025" s="61" t="str">
        <f t="shared" si="949"/>
        <v/>
      </c>
    </row>
    <row r="6026" spans="9:21" ht="24.75" customHeight="1" x14ac:dyDescent="0.35">
      <c r="I6026" s="42">
        <f t="shared" si="940"/>
        <v>0</v>
      </c>
      <c r="J6026" s="65" t="e">
        <f t="shared" si="941"/>
        <v>#NUM!</v>
      </c>
      <c r="K6026" s="83" t="e">
        <f t="shared" si="942"/>
        <v>#NUM!</v>
      </c>
      <c r="L6026" s="83">
        <f t="shared" si="943"/>
        <v>0</v>
      </c>
      <c r="M6026" s="110" t="str">
        <f t="shared" si="944"/>
        <v/>
      </c>
      <c r="N6026" s="51" t="str">
        <f t="shared" si="945"/>
        <v/>
      </c>
      <c r="O6026" s="52" t="str">
        <f t="shared" si="946"/>
        <v/>
      </c>
      <c r="P6026" s="88">
        <f t="shared" si="947"/>
        <v>0</v>
      </c>
      <c r="Q6026" s="88">
        <f t="shared" si="948"/>
        <v>0</v>
      </c>
      <c r="R6026" s="88" t="e">
        <f>-IF(Tabla14[[#This Row],[DIAS HABILES O MORA]]&lt;0,(Tabla14[[#This Row],[VALOR PRESTAMO]]*Tabla14[[#This Row],[% INTERES ]]/30*U6026))+Tabla14[[#This Row],[VALOR CUOTAS]]</f>
        <v>#VALUE!</v>
      </c>
      <c r="S6026" s="88">
        <f>-IF(Tabla14[[#This Row],[DIAS HABILES O MORA]]&lt;0,(Tabla14[[#This Row],[VALOR PRESTAMO]]*Tabla14[[#This Row],[% INTERES ]]/30*U6026))</f>
        <v>0</v>
      </c>
      <c r="T6026" s="53" t="e">
        <f>Tabla14[[#This Row],[DEUDA CAPITAL]]+Tabla14[[#This Row],[INTERES  CUOTA]]</f>
        <v>#NUM!</v>
      </c>
      <c r="U6026" s="61" t="str">
        <f t="shared" si="949"/>
        <v/>
      </c>
    </row>
    <row r="6027" spans="9:21" ht="24.75" customHeight="1" x14ac:dyDescent="0.35">
      <c r="I6027" s="42">
        <f t="shared" si="940"/>
        <v>0</v>
      </c>
      <c r="J6027" s="65" t="e">
        <f t="shared" si="941"/>
        <v>#NUM!</v>
      </c>
      <c r="K6027" s="83" t="e">
        <f t="shared" si="942"/>
        <v>#NUM!</v>
      </c>
      <c r="L6027" s="83">
        <f t="shared" si="943"/>
        <v>0</v>
      </c>
      <c r="M6027" s="110" t="str">
        <f t="shared" si="944"/>
        <v/>
      </c>
      <c r="N6027" s="51" t="str">
        <f t="shared" si="945"/>
        <v/>
      </c>
      <c r="O6027" s="52" t="str">
        <f t="shared" si="946"/>
        <v/>
      </c>
      <c r="P6027" s="88">
        <f t="shared" si="947"/>
        <v>0</v>
      </c>
      <c r="Q6027" s="88">
        <f t="shared" si="948"/>
        <v>0</v>
      </c>
      <c r="R6027" s="88" t="e">
        <f>-IF(Tabla14[[#This Row],[DIAS HABILES O MORA]]&lt;0,(Tabla14[[#This Row],[VALOR PRESTAMO]]*Tabla14[[#This Row],[% INTERES ]]/30*U6027))+Tabla14[[#This Row],[VALOR CUOTAS]]</f>
        <v>#VALUE!</v>
      </c>
      <c r="S6027" s="88">
        <f>-IF(Tabla14[[#This Row],[DIAS HABILES O MORA]]&lt;0,(Tabla14[[#This Row],[VALOR PRESTAMO]]*Tabla14[[#This Row],[% INTERES ]]/30*U6027))</f>
        <v>0</v>
      </c>
      <c r="T6027" s="53" t="e">
        <f>Tabla14[[#This Row],[DEUDA CAPITAL]]+Tabla14[[#This Row],[INTERES  CUOTA]]</f>
        <v>#NUM!</v>
      </c>
      <c r="U6027" s="61" t="str">
        <f t="shared" si="949"/>
        <v/>
      </c>
    </row>
    <row r="6028" spans="9:21" ht="24.75" customHeight="1" x14ac:dyDescent="0.35">
      <c r="I6028" s="42">
        <f t="shared" si="940"/>
        <v>0</v>
      </c>
      <c r="J6028" s="65" t="e">
        <f t="shared" si="941"/>
        <v>#NUM!</v>
      </c>
      <c r="K6028" s="83" t="e">
        <f t="shared" si="942"/>
        <v>#NUM!</v>
      </c>
      <c r="L6028" s="83">
        <f t="shared" si="943"/>
        <v>0</v>
      </c>
      <c r="M6028" s="110" t="str">
        <f t="shared" si="944"/>
        <v/>
      </c>
      <c r="N6028" s="51" t="str">
        <f t="shared" si="945"/>
        <v/>
      </c>
      <c r="O6028" s="52" t="str">
        <f t="shared" si="946"/>
        <v/>
      </c>
      <c r="P6028" s="88">
        <f t="shared" si="947"/>
        <v>0</v>
      </c>
      <c r="Q6028" s="88">
        <f t="shared" si="948"/>
        <v>0</v>
      </c>
      <c r="R6028" s="88" t="e">
        <f>-IF(Tabla14[[#This Row],[DIAS HABILES O MORA]]&lt;0,(Tabla14[[#This Row],[VALOR PRESTAMO]]*Tabla14[[#This Row],[% INTERES ]]/30*U6028))+Tabla14[[#This Row],[VALOR CUOTAS]]</f>
        <v>#VALUE!</v>
      </c>
      <c r="S6028" s="88">
        <f>-IF(Tabla14[[#This Row],[DIAS HABILES O MORA]]&lt;0,(Tabla14[[#This Row],[VALOR PRESTAMO]]*Tabla14[[#This Row],[% INTERES ]]/30*U6028))</f>
        <v>0</v>
      </c>
      <c r="T6028" s="53" t="e">
        <f>Tabla14[[#This Row],[DEUDA CAPITAL]]+Tabla14[[#This Row],[INTERES  CUOTA]]</f>
        <v>#NUM!</v>
      </c>
      <c r="U6028" s="61" t="str">
        <f t="shared" si="949"/>
        <v/>
      </c>
    </row>
    <row r="6029" spans="9:21" ht="24.75" customHeight="1" x14ac:dyDescent="0.35">
      <c r="I6029" s="42">
        <f t="shared" si="940"/>
        <v>0</v>
      </c>
      <c r="J6029" s="65" t="e">
        <f t="shared" si="941"/>
        <v>#NUM!</v>
      </c>
      <c r="K6029" s="83" t="e">
        <f t="shared" si="942"/>
        <v>#NUM!</v>
      </c>
      <c r="L6029" s="83">
        <f t="shared" si="943"/>
        <v>0</v>
      </c>
      <c r="M6029" s="110" t="str">
        <f t="shared" si="944"/>
        <v/>
      </c>
      <c r="N6029" s="51" t="str">
        <f t="shared" si="945"/>
        <v/>
      </c>
      <c r="O6029" s="52" t="str">
        <f t="shared" si="946"/>
        <v/>
      </c>
      <c r="P6029" s="88">
        <f t="shared" si="947"/>
        <v>0</v>
      </c>
      <c r="Q6029" s="88">
        <f t="shared" si="948"/>
        <v>0</v>
      </c>
      <c r="R6029" s="88" t="e">
        <f>-IF(Tabla14[[#This Row],[DIAS HABILES O MORA]]&lt;0,(Tabla14[[#This Row],[VALOR PRESTAMO]]*Tabla14[[#This Row],[% INTERES ]]/30*U6029))+Tabla14[[#This Row],[VALOR CUOTAS]]</f>
        <v>#VALUE!</v>
      </c>
      <c r="S6029" s="88">
        <f>-IF(Tabla14[[#This Row],[DIAS HABILES O MORA]]&lt;0,(Tabla14[[#This Row],[VALOR PRESTAMO]]*Tabla14[[#This Row],[% INTERES ]]/30*U6029))</f>
        <v>0</v>
      </c>
      <c r="T6029" s="53" t="e">
        <f>Tabla14[[#This Row],[DEUDA CAPITAL]]+Tabla14[[#This Row],[INTERES  CUOTA]]</f>
        <v>#NUM!</v>
      </c>
      <c r="U6029" s="61" t="str">
        <f t="shared" si="949"/>
        <v/>
      </c>
    </row>
    <row r="6030" spans="9:21" ht="24.75" customHeight="1" x14ac:dyDescent="0.35">
      <c r="I6030" s="42">
        <f t="shared" si="940"/>
        <v>0</v>
      </c>
      <c r="J6030" s="65" t="e">
        <f t="shared" si="941"/>
        <v>#NUM!</v>
      </c>
      <c r="K6030" s="83" t="e">
        <f t="shared" si="942"/>
        <v>#NUM!</v>
      </c>
      <c r="L6030" s="83">
        <f t="shared" si="943"/>
        <v>0</v>
      </c>
      <c r="M6030" s="110" t="str">
        <f t="shared" si="944"/>
        <v/>
      </c>
      <c r="N6030" s="51" t="str">
        <f t="shared" si="945"/>
        <v/>
      </c>
      <c r="O6030" s="52" t="str">
        <f t="shared" si="946"/>
        <v/>
      </c>
      <c r="P6030" s="88">
        <f t="shared" si="947"/>
        <v>0</v>
      </c>
      <c r="Q6030" s="88">
        <f t="shared" si="948"/>
        <v>0</v>
      </c>
      <c r="R6030" s="88" t="e">
        <f>-IF(Tabla14[[#This Row],[DIAS HABILES O MORA]]&lt;0,(Tabla14[[#This Row],[VALOR PRESTAMO]]*Tabla14[[#This Row],[% INTERES ]]/30*U6030))+Tabla14[[#This Row],[VALOR CUOTAS]]</f>
        <v>#VALUE!</v>
      </c>
      <c r="S6030" s="88">
        <f>-IF(Tabla14[[#This Row],[DIAS HABILES O MORA]]&lt;0,(Tabla14[[#This Row],[VALOR PRESTAMO]]*Tabla14[[#This Row],[% INTERES ]]/30*U6030))</f>
        <v>0</v>
      </c>
      <c r="T6030" s="53" t="e">
        <f>Tabla14[[#This Row],[DEUDA CAPITAL]]+Tabla14[[#This Row],[INTERES  CUOTA]]</f>
        <v>#NUM!</v>
      </c>
      <c r="U6030" s="61" t="str">
        <f t="shared" si="949"/>
        <v/>
      </c>
    </row>
    <row r="6031" spans="9:21" ht="24.75" customHeight="1" x14ac:dyDescent="0.35">
      <c r="I6031" s="42">
        <f t="shared" si="940"/>
        <v>0</v>
      </c>
      <c r="J6031" s="65" t="e">
        <f t="shared" si="941"/>
        <v>#NUM!</v>
      </c>
      <c r="K6031" s="83" t="e">
        <f t="shared" si="942"/>
        <v>#NUM!</v>
      </c>
      <c r="L6031" s="83">
        <f t="shared" si="943"/>
        <v>0</v>
      </c>
      <c r="M6031" s="110" t="str">
        <f t="shared" si="944"/>
        <v/>
      </c>
      <c r="N6031" s="51" t="str">
        <f t="shared" si="945"/>
        <v/>
      </c>
      <c r="O6031" s="52" t="str">
        <f t="shared" si="946"/>
        <v/>
      </c>
      <c r="P6031" s="88">
        <f t="shared" si="947"/>
        <v>0</v>
      </c>
      <c r="Q6031" s="88">
        <f t="shared" si="948"/>
        <v>0</v>
      </c>
      <c r="R6031" s="88" t="e">
        <f>-IF(Tabla14[[#This Row],[DIAS HABILES O MORA]]&lt;0,(Tabla14[[#This Row],[VALOR PRESTAMO]]*Tabla14[[#This Row],[% INTERES ]]/30*U6031))+Tabla14[[#This Row],[VALOR CUOTAS]]</f>
        <v>#VALUE!</v>
      </c>
      <c r="S6031" s="88">
        <f>-IF(Tabla14[[#This Row],[DIAS HABILES O MORA]]&lt;0,(Tabla14[[#This Row],[VALOR PRESTAMO]]*Tabla14[[#This Row],[% INTERES ]]/30*U6031))</f>
        <v>0</v>
      </c>
      <c r="T6031" s="53" t="e">
        <f>Tabla14[[#This Row],[DEUDA CAPITAL]]+Tabla14[[#This Row],[INTERES  CUOTA]]</f>
        <v>#NUM!</v>
      </c>
      <c r="U6031" s="61" t="str">
        <f t="shared" si="949"/>
        <v/>
      </c>
    </row>
    <row r="6032" spans="9:21" ht="24.75" customHeight="1" x14ac:dyDescent="0.35">
      <c r="I6032" s="42">
        <f t="shared" ref="I6032:I6095" si="950">IF(C6032&lt;0,"",IF(Q6032=0,0,IF(G6032=0,H6032+1,IF(H6032&lt;G6032,H6032+1,IF(G6032=H6032,0)))))</f>
        <v>0</v>
      </c>
      <c r="J6032" s="65" t="e">
        <f t="shared" ref="J6032:J6095" si="951">IF(F6032="SOLO INTERES",Q6032*D6032,-IPMT(D6032,I6032,G6032,C6032))</f>
        <v>#NUM!</v>
      </c>
      <c r="K6032" s="83" t="e">
        <f t="shared" ref="K6032:K6095" si="952">IF(F6032="SOLO INTERES",0,-PPMT(D6032,I6032,G6032,C6032))</f>
        <v>#NUM!</v>
      </c>
      <c r="L6032" s="83">
        <f t="shared" ref="L6032:L6095" si="953">IF(F6032="SOLO INTERES",SUM(Y6032:AAE6032),IFERROR(-CUMIPMT(D6032,G6032,C6032,1,H6032,0),0)+SUM(Y6032:WY6032))</f>
        <v>0</v>
      </c>
      <c r="M6032" s="110" t="str">
        <f t="shared" ref="M6032:M6095" si="954">IFERROR(IF(F6032="SOLO INTERES",Q6032*D6032,-PMT(D6032,G6032,C6032,0)),"")</f>
        <v/>
      </c>
      <c r="N6032" s="51" t="str">
        <f t="shared" ref="N6032:N6095" si="955">IF(Q6032=0,"",IF(E6032="MENSUAL",EDATE(B6032,I6032),IF(E6032="QUINCENAL",B6032+(I6032*15),IF(E6032="SEMANAL",B6032+(I6032*7)))))</f>
        <v/>
      </c>
      <c r="O6032" s="52" t="str">
        <f t="shared" ref="O6032:O6095" si="956">IF(C6032=0,"",IF(Q6032&lt;1,"PAGADO",IF(N6032=$A$3,"COBRAR HOY",IF(N6032&lt;$A$3,"EN MORA",IF(N6032&gt;$A$3,"AL DIA")))))</f>
        <v/>
      </c>
      <c r="P6032" s="88">
        <f t="shared" ref="P6032:P6095" si="957">IFERROR(-CUMPRINC(D6032,G6032,C6032,1,H6032,0),0)+W6032</f>
        <v>0</v>
      </c>
      <c r="Q6032" s="88">
        <f t="shared" ref="Q6032:Q6095" si="958">IFERROR(C6032-P6032,"")</f>
        <v>0</v>
      </c>
      <c r="R6032" s="88" t="e">
        <f>-IF(Tabla14[[#This Row],[DIAS HABILES O MORA]]&lt;0,(Tabla14[[#This Row],[VALOR PRESTAMO]]*Tabla14[[#This Row],[% INTERES ]]/30*U6032))+Tabla14[[#This Row],[VALOR CUOTAS]]</f>
        <v>#VALUE!</v>
      </c>
      <c r="S6032" s="88">
        <f>-IF(Tabla14[[#This Row],[DIAS HABILES O MORA]]&lt;0,(Tabla14[[#This Row],[VALOR PRESTAMO]]*Tabla14[[#This Row],[% INTERES ]]/30*U6032))</f>
        <v>0</v>
      </c>
      <c r="T6032" s="53" t="e">
        <f>Tabla14[[#This Row],[DEUDA CAPITAL]]+Tabla14[[#This Row],[INTERES  CUOTA]]</f>
        <v>#NUM!</v>
      </c>
      <c r="U6032" s="61" t="str">
        <f t="shared" ref="U6032:U6095" si="959">IF(O6032="PAGADO","",IFERROR(-IF(C6032=0,"",$A$3-N6032),""))</f>
        <v/>
      </c>
    </row>
    <row r="6033" spans="9:21" ht="24.75" customHeight="1" x14ac:dyDescent="0.35">
      <c r="I6033" s="42">
        <f t="shared" si="950"/>
        <v>0</v>
      </c>
      <c r="J6033" s="65" t="e">
        <f t="shared" si="951"/>
        <v>#NUM!</v>
      </c>
      <c r="K6033" s="83" t="e">
        <f t="shared" si="952"/>
        <v>#NUM!</v>
      </c>
      <c r="L6033" s="83">
        <f t="shared" si="953"/>
        <v>0</v>
      </c>
      <c r="M6033" s="110" t="str">
        <f t="shared" si="954"/>
        <v/>
      </c>
      <c r="N6033" s="51" t="str">
        <f t="shared" si="955"/>
        <v/>
      </c>
      <c r="O6033" s="52" t="str">
        <f t="shared" si="956"/>
        <v/>
      </c>
      <c r="P6033" s="88">
        <f t="shared" si="957"/>
        <v>0</v>
      </c>
      <c r="Q6033" s="88">
        <f t="shared" si="958"/>
        <v>0</v>
      </c>
      <c r="R6033" s="88" t="e">
        <f>-IF(Tabla14[[#This Row],[DIAS HABILES O MORA]]&lt;0,(Tabla14[[#This Row],[VALOR PRESTAMO]]*Tabla14[[#This Row],[% INTERES ]]/30*U6033))+Tabla14[[#This Row],[VALOR CUOTAS]]</f>
        <v>#VALUE!</v>
      </c>
      <c r="S6033" s="88">
        <f>-IF(Tabla14[[#This Row],[DIAS HABILES O MORA]]&lt;0,(Tabla14[[#This Row],[VALOR PRESTAMO]]*Tabla14[[#This Row],[% INTERES ]]/30*U6033))</f>
        <v>0</v>
      </c>
      <c r="T6033" s="53" t="e">
        <f>Tabla14[[#This Row],[DEUDA CAPITAL]]+Tabla14[[#This Row],[INTERES  CUOTA]]</f>
        <v>#NUM!</v>
      </c>
      <c r="U6033" s="61" t="str">
        <f t="shared" si="959"/>
        <v/>
      </c>
    </row>
    <row r="6034" spans="9:21" ht="24.75" customHeight="1" x14ac:dyDescent="0.35">
      <c r="I6034" s="42">
        <f t="shared" si="950"/>
        <v>0</v>
      </c>
      <c r="J6034" s="65" t="e">
        <f t="shared" si="951"/>
        <v>#NUM!</v>
      </c>
      <c r="K6034" s="83" t="e">
        <f t="shared" si="952"/>
        <v>#NUM!</v>
      </c>
      <c r="L6034" s="83">
        <f t="shared" si="953"/>
        <v>0</v>
      </c>
      <c r="M6034" s="110" t="str">
        <f t="shared" si="954"/>
        <v/>
      </c>
      <c r="N6034" s="51" t="str">
        <f t="shared" si="955"/>
        <v/>
      </c>
      <c r="O6034" s="52" t="str">
        <f t="shared" si="956"/>
        <v/>
      </c>
      <c r="P6034" s="88">
        <f t="shared" si="957"/>
        <v>0</v>
      </c>
      <c r="Q6034" s="88">
        <f t="shared" si="958"/>
        <v>0</v>
      </c>
      <c r="R6034" s="88" t="e">
        <f>-IF(Tabla14[[#This Row],[DIAS HABILES O MORA]]&lt;0,(Tabla14[[#This Row],[VALOR PRESTAMO]]*Tabla14[[#This Row],[% INTERES ]]/30*U6034))+Tabla14[[#This Row],[VALOR CUOTAS]]</f>
        <v>#VALUE!</v>
      </c>
      <c r="S6034" s="88">
        <f>-IF(Tabla14[[#This Row],[DIAS HABILES O MORA]]&lt;0,(Tabla14[[#This Row],[VALOR PRESTAMO]]*Tabla14[[#This Row],[% INTERES ]]/30*U6034))</f>
        <v>0</v>
      </c>
      <c r="T6034" s="53" t="e">
        <f>Tabla14[[#This Row],[DEUDA CAPITAL]]+Tabla14[[#This Row],[INTERES  CUOTA]]</f>
        <v>#NUM!</v>
      </c>
      <c r="U6034" s="61" t="str">
        <f t="shared" si="959"/>
        <v/>
      </c>
    </row>
    <row r="6035" spans="9:21" ht="24.75" customHeight="1" x14ac:dyDescent="0.35">
      <c r="I6035" s="42">
        <f t="shared" si="950"/>
        <v>0</v>
      </c>
      <c r="J6035" s="65" t="e">
        <f t="shared" si="951"/>
        <v>#NUM!</v>
      </c>
      <c r="K6035" s="83" t="e">
        <f t="shared" si="952"/>
        <v>#NUM!</v>
      </c>
      <c r="L6035" s="83">
        <f t="shared" si="953"/>
        <v>0</v>
      </c>
      <c r="M6035" s="110" t="str">
        <f t="shared" si="954"/>
        <v/>
      </c>
      <c r="N6035" s="51" t="str">
        <f t="shared" si="955"/>
        <v/>
      </c>
      <c r="O6035" s="52" t="str">
        <f t="shared" si="956"/>
        <v/>
      </c>
      <c r="P6035" s="88">
        <f t="shared" si="957"/>
        <v>0</v>
      </c>
      <c r="Q6035" s="88">
        <f t="shared" si="958"/>
        <v>0</v>
      </c>
      <c r="R6035" s="88" t="e">
        <f>-IF(Tabla14[[#This Row],[DIAS HABILES O MORA]]&lt;0,(Tabla14[[#This Row],[VALOR PRESTAMO]]*Tabla14[[#This Row],[% INTERES ]]/30*U6035))+Tabla14[[#This Row],[VALOR CUOTAS]]</f>
        <v>#VALUE!</v>
      </c>
      <c r="S6035" s="88">
        <f>-IF(Tabla14[[#This Row],[DIAS HABILES O MORA]]&lt;0,(Tabla14[[#This Row],[VALOR PRESTAMO]]*Tabla14[[#This Row],[% INTERES ]]/30*U6035))</f>
        <v>0</v>
      </c>
      <c r="T6035" s="53" t="e">
        <f>Tabla14[[#This Row],[DEUDA CAPITAL]]+Tabla14[[#This Row],[INTERES  CUOTA]]</f>
        <v>#NUM!</v>
      </c>
      <c r="U6035" s="61" t="str">
        <f t="shared" si="959"/>
        <v/>
      </c>
    </row>
    <row r="6036" spans="9:21" ht="24.75" customHeight="1" x14ac:dyDescent="0.35">
      <c r="I6036" s="42">
        <f t="shared" si="950"/>
        <v>0</v>
      </c>
      <c r="J6036" s="65" t="e">
        <f t="shared" si="951"/>
        <v>#NUM!</v>
      </c>
      <c r="K6036" s="83" t="e">
        <f t="shared" si="952"/>
        <v>#NUM!</v>
      </c>
      <c r="L6036" s="83">
        <f t="shared" si="953"/>
        <v>0</v>
      </c>
      <c r="M6036" s="110" t="str">
        <f t="shared" si="954"/>
        <v/>
      </c>
      <c r="N6036" s="51" t="str">
        <f t="shared" si="955"/>
        <v/>
      </c>
      <c r="O6036" s="52" t="str">
        <f t="shared" si="956"/>
        <v/>
      </c>
      <c r="P6036" s="88">
        <f t="shared" si="957"/>
        <v>0</v>
      </c>
      <c r="Q6036" s="88">
        <f t="shared" si="958"/>
        <v>0</v>
      </c>
      <c r="R6036" s="88" t="e">
        <f>-IF(Tabla14[[#This Row],[DIAS HABILES O MORA]]&lt;0,(Tabla14[[#This Row],[VALOR PRESTAMO]]*Tabla14[[#This Row],[% INTERES ]]/30*U6036))+Tabla14[[#This Row],[VALOR CUOTAS]]</f>
        <v>#VALUE!</v>
      </c>
      <c r="S6036" s="88">
        <f>-IF(Tabla14[[#This Row],[DIAS HABILES O MORA]]&lt;0,(Tabla14[[#This Row],[VALOR PRESTAMO]]*Tabla14[[#This Row],[% INTERES ]]/30*U6036))</f>
        <v>0</v>
      </c>
      <c r="T6036" s="53" t="e">
        <f>Tabla14[[#This Row],[DEUDA CAPITAL]]+Tabla14[[#This Row],[INTERES  CUOTA]]</f>
        <v>#NUM!</v>
      </c>
      <c r="U6036" s="61" t="str">
        <f t="shared" si="959"/>
        <v/>
      </c>
    </row>
    <row r="6037" spans="9:21" ht="24.75" customHeight="1" x14ac:dyDescent="0.35">
      <c r="I6037" s="42">
        <f t="shared" si="950"/>
        <v>0</v>
      </c>
      <c r="J6037" s="65" t="e">
        <f t="shared" si="951"/>
        <v>#NUM!</v>
      </c>
      <c r="K6037" s="83" t="e">
        <f t="shared" si="952"/>
        <v>#NUM!</v>
      </c>
      <c r="L6037" s="83">
        <f t="shared" si="953"/>
        <v>0</v>
      </c>
      <c r="M6037" s="110" t="str">
        <f t="shared" si="954"/>
        <v/>
      </c>
      <c r="N6037" s="51" t="str">
        <f t="shared" si="955"/>
        <v/>
      </c>
      <c r="O6037" s="52" t="str">
        <f t="shared" si="956"/>
        <v/>
      </c>
      <c r="P6037" s="88">
        <f t="shared" si="957"/>
        <v>0</v>
      </c>
      <c r="Q6037" s="88">
        <f t="shared" si="958"/>
        <v>0</v>
      </c>
      <c r="R6037" s="88" t="e">
        <f>-IF(Tabla14[[#This Row],[DIAS HABILES O MORA]]&lt;0,(Tabla14[[#This Row],[VALOR PRESTAMO]]*Tabla14[[#This Row],[% INTERES ]]/30*U6037))+Tabla14[[#This Row],[VALOR CUOTAS]]</f>
        <v>#VALUE!</v>
      </c>
      <c r="S6037" s="88">
        <f>-IF(Tabla14[[#This Row],[DIAS HABILES O MORA]]&lt;0,(Tabla14[[#This Row],[VALOR PRESTAMO]]*Tabla14[[#This Row],[% INTERES ]]/30*U6037))</f>
        <v>0</v>
      </c>
      <c r="T6037" s="53" t="e">
        <f>Tabla14[[#This Row],[DEUDA CAPITAL]]+Tabla14[[#This Row],[INTERES  CUOTA]]</f>
        <v>#NUM!</v>
      </c>
      <c r="U6037" s="61" t="str">
        <f t="shared" si="959"/>
        <v/>
      </c>
    </row>
    <row r="6038" spans="9:21" ht="24.75" customHeight="1" x14ac:dyDescent="0.35">
      <c r="I6038" s="42">
        <f t="shared" si="950"/>
        <v>0</v>
      </c>
      <c r="J6038" s="65" t="e">
        <f t="shared" si="951"/>
        <v>#NUM!</v>
      </c>
      <c r="K6038" s="83" t="e">
        <f t="shared" si="952"/>
        <v>#NUM!</v>
      </c>
      <c r="L6038" s="83">
        <f t="shared" si="953"/>
        <v>0</v>
      </c>
      <c r="M6038" s="110" t="str">
        <f t="shared" si="954"/>
        <v/>
      </c>
      <c r="N6038" s="51" t="str">
        <f t="shared" si="955"/>
        <v/>
      </c>
      <c r="O6038" s="52" t="str">
        <f t="shared" si="956"/>
        <v/>
      </c>
      <c r="P6038" s="88">
        <f t="shared" si="957"/>
        <v>0</v>
      </c>
      <c r="Q6038" s="88">
        <f t="shared" si="958"/>
        <v>0</v>
      </c>
      <c r="R6038" s="88" t="e">
        <f>-IF(Tabla14[[#This Row],[DIAS HABILES O MORA]]&lt;0,(Tabla14[[#This Row],[VALOR PRESTAMO]]*Tabla14[[#This Row],[% INTERES ]]/30*U6038))+Tabla14[[#This Row],[VALOR CUOTAS]]</f>
        <v>#VALUE!</v>
      </c>
      <c r="S6038" s="88">
        <f>-IF(Tabla14[[#This Row],[DIAS HABILES O MORA]]&lt;0,(Tabla14[[#This Row],[VALOR PRESTAMO]]*Tabla14[[#This Row],[% INTERES ]]/30*U6038))</f>
        <v>0</v>
      </c>
      <c r="T6038" s="53" t="e">
        <f>Tabla14[[#This Row],[DEUDA CAPITAL]]+Tabla14[[#This Row],[INTERES  CUOTA]]</f>
        <v>#NUM!</v>
      </c>
      <c r="U6038" s="61" t="str">
        <f t="shared" si="959"/>
        <v/>
      </c>
    </row>
    <row r="6039" spans="9:21" ht="24.75" customHeight="1" x14ac:dyDescent="0.35">
      <c r="I6039" s="42">
        <f t="shared" si="950"/>
        <v>0</v>
      </c>
      <c r="J6039" s="65" t="e">
        <f t="shared" si="951"/>
        <v>#NUM!</v>
      </c>
      <c r="K6039" s="83" t="e">
        <f t="shared" si="952"/>
        <v>#NUM!</v>
      </c>
      <c r="L6039" s="83">
        <f t="shared" si="953"/>
        <v>0</v>
      </c>
      <c r="M6039" s="110" t="str">
        <f t="shared" si="954"/>
        <v/>
      </c>
      <c r="N6039" s="51" t="str">
        <f t="shared" si="955"/>
        <v/>
      </c>
      <c r="O6039" s="52" t="str">
        <f t="shared" si="956"/>
        <v/>
      </c>
      <c r="P6039" s="88">
        <f t="shared" si="957"/>
        <v>0</v>
      </c>
      <c r="Q6039" s="88">
        <f t="shared" si="958"/>
        <v>0</v>
      </c>
      <c r="R6039" s="88" t="e">
        <f>-IF(Tabla14[[#This Row],[DIAS HABILES O MORA]]&lt;0,(Tabla14[[#This Row],[VALOR PRESTAMO]]*Tabla14[[#This Row],[% INTERES ]]/30*U6039))+Tabla14[[#This Row],[VALOR CUOTAS]]</f>
        <v>#VALUE!</v>
      </c>
      <c r="S6039" s="88">
        <f>-IF(Tabla14[[#This Row],[DIAS HABILES O MORA]]&lt;0,(Tabla14[[#This Row],[VALOR PRESTAMO]]*Tabla14[[#This Row],[% INTERES ]]/30*U6039))</f>
        <v>0</v>
      </c>
      <c r="T6039" s="53" t="e">
        <f>Tabla14[[#This Row],[DEUDA CAPITAL]]+Tabla14[[#This Row],[INTERES  CUOTA]]</f>
        <v>#NUM!</v>
      </c>
      <c r="U6039" s="61" t="str">
        <f t="shared" si="959"/>
        <v/>
      </c>
    </row>
    <row r="6040" spans="9:21" ht="24.75" customHeight="1" x14ac:dyDescent="0.35">
      <c r="I6040" s="42">
        <f t="shared" si="950"/>
        <v>0</v>
      </c>
      <c r="J6040" s="65" t="e">
        <f t="shared" si="951"/>
        <v>#NUM!</v>
      </c>
      <c r="K6040" s="83" t="e">
        <f t="shared" si="952"/>
        <v>#NUM!</v>
      </c>
      <c r="L6040" s="83">
        <f t="shared" si="953"/>
        <v>0</v>
      </c>
      <c r="M6040" s="110" t="str">
        <f t="shared" si="954"/>
        <v/>
      </c>
      <c r="N6040" s="51" t="str">
        <f t="shared" si="955"/>
        <v/>
      </c>
      <c r="O6040" s="52" t="str">
        <f t="shared" si="956"/>
        <v/>
      </c>
      <c r="P6040" s="88">
        <f t="shared" si="957"/>
        <v>0</v>
      </c>
      <c r="Q6040" s="88">
        <f t="shared" si="958"/>
        <v>0</v>
      </c>
      <c r="R6040" s="88" t="e">
        <f>-IF(Tabla14[[#This Row],[DIAS HABILES O MORA]]&lt;0,(Tabla14[[#This Row],[VALOR PRESTAMO]]*Tabla14[[#This Row],[% INTERES ]]/30*U6040))+Tabla14[[#This Row],[VALOR CUOTAS]]</f>
        <v>#VALUE!</v>
      </c>
      <c r="S6040" s="88">
        <f>-IF(Tabla14[[#This Row],[DIAS HABILES O MORA]]&lt;0,(Tabla14[[#This Row],[VALOR PRESTAMO]]*Tabla14[[#This Row],[% INTERES ]]/30*U6040))</f>
        <v>0</v>
      </c>
      <c r="T6040" s="53" t="e">
        <f>Tabla14[[#This Row],[DEUDA CAPITAL]]+Tabla14[[#This Row],[INTERES  CUOTA]]</f>
        <v>#NUM!</v>
      </c>
      <c r="U6040" s="61" t="str">
        <f t="shared" si="959"/>
        <v/>
      </c>
    </row>
    <row r="6041" spans="9:21" ht="24.75" customHeight="1" x14ac:dyDescent="0.35">
      <c r="I6041" s="42">
        <f t="shared" si="950"/>
        <v>0</v>
      </c>
      <c r="J6041" s="65" t="e">
        <f t="shared" si="951"/>
        <v>#NUM!</v>
      </c>
      <c r="K6041" s="83" t="e">
        <f t="shared" si="952"/>
        <v>#NUM!</v>
      </c>
      <c r="L6041" s="83">
        <f t="shared" si="953"/>
        <v>0</v>
      </c>
      <c r="M6041" s="110" t="str">
        <f t="shared" si="954"/>
        <v/>
      </c>
      <c r="N6041" s="51" t="str">
        <f t="shared" si="955"/>
        <v/>
      </c>
      <c r="O6041" s="52" t="str">
        <f t="shared" si="956"/>
        <v/>
      </c>
      <c r="P6041" s="88">
        <f t="shared" si="957"/>
        <v>0</v>
      </c>
      <c r="Q6041" s="88">
        <f t="shared" si="958"/>
        <v>0</v>
      </c>
      <c r="R6041" s="88" t="e">
        <f>-IF(Tabla14[[#This Row],[DIAS HABILES O MORA]]&lt;0,(Tabla14[[#This Row],[VALOR PRESTAMO]]*Tabla14[[#This Row],[% INTERES ]]/30*U6041))+Tabla14[[#This Row],[VALOR CUOTAS]]</f>
        <v>#VALUE!</v>
      </c>
      <c r="S6041" s="88">
        <f>-IF(Tabla14[[#This Row],[DIAS HABILES O MORA]]&lt;0,(Tabla14[[#This Row],[VALOR PRESTAMO]]*Tabla14[[#This Row],[% INTERES ]]/30*U6041))</f>
        <v>0</v>
      </c>
      <c r="T6041" s="53" t="e">
        <f>Tabla14[[#This Row],[DEUDA CAPITAL]]+Tabla14[[#This Row],[INTERES  CUOTA]]</f>
        <v>#NUM!</v>
      </c>
      <c r="U6041" s="61" t="str">
        <f t="shared" si="959"/>
        <v/>
      </c>
    </row>
    <row r="6042" spans="9:21" ht="24.75" customHeight="1" x14ac:dyDescent="0.35">
      <c r="I6042" s="42">
        <f t="shared" si="950"/>
        <v>0</v>
      </c>
      <c r="J6042" s="65" t="e">
        <f t="shared" si="951"/>
        <v>#NUM!</v>
      </c>
      <c r="K6042" s="83" t="e">
        <f t="shared" si="952"/>
        <v>#NUM!</v>
      </c>
      <c r="L6042" s="83">
        <f t="shared" si="953"/>
        <v>0</v>
      </c>
      <c r="M6042" s="110" t="str">
        <f t="shared" si="954"/>
        <v/>
      </c>
      <c r="N6042" s="51" t="str">
        <f t="shared" si="955"/>
        <v/>
      </c>
      <c r="O6042" s="52" t="str">
        <f t="shared" si="956"/>
        <v/>
      </c>
      <c r="P6042" s="88">
        <f t="shared" si="957"/>
        <v>0</v>
      </c>
      <c r="Q6042" s="88">
        <f t="shared" si="958"/>
        <v>0</v>
      </c>
      <c r="R6042" s="88" t="e">
        <f>-IF(Tabla14[[#This Row],[DIAS HABILES O MORA]]&lt;0,(Tabla14[[#This Row],[VALOR PRESTAMO]]*Tabla14[[#This Row],[% INTERES ]]/30*U6042))+Tabla14[[#This Row],[VALOR CUOTAS]]</f>
        <v>#VALUE!</v>
      </c>
      <c r="S6042" s="88">
        <f>-IF(Tabla14[[#This Row],[DIAS HABILES O MORA]]&lt;0,(Tabla14[[#This Row],[VALOR PRESTAMO]]*Tabla14[[#This Row],[% INTERES ]]/30*U6042))</f>
        <v>0</v>
      </c>
      <c r="T6042" s="53" t="e">
        <f>Tabla14[[#This Row],[DEUDA CAPITAL]]+Tabla14[[#This Row],[INTERES  CUOTA]]</f>
        <v>#NUM!</v>
      </c>
      <c r="U6042" s="61" t="str">
        <f t="shared" si="959"/>
        <v/>
      </c>
    </row>
    <row r="6043" spans="9:21" ht="24.75" customHeight="1" x14ac:dyDescent="0.35">
      <c r="I6043" s="42">
        <f t="shared" si="950"/>
        <v>0</v>
      </c>
      <c r="J6043" s="65" t="e">
        <f t="shared" si="951"/>
        <v>#NUM!</v>
      </c>
      <c r="K6043" s="83" t="e">
        <f t="shared" si="952"/>
        <v>#NUM!</v>
      </c>
      <c r="L6043" s="83">
        <f t="shared" si="953"/>
        <v>0</v>
      </c>
      <c r="M6043" s="110" t="str">
        <f t="shared" si="954"/>
        <v/>
      </c>
      <c r="N6043" s="51" t="str">
        <f t="shared" si="955"/>
        <v/>
      </c>
      <c r="O6043" s="52" t="str">
        <f t="shared" si="956"/>
        <v/>
      </c>
      <c r="P6043" s="88">
        <f t="shared" si="957"/>
        <v>0</v>
      </c>
      <c r="Q6043" s="88">
        <f t="shared" si="958"/>
        <v>0</v>
      </c>
      <c r="R6043" s="88" t="e">
        <f>-IF(Tabla14[[#This Row],[DIAS HABILES O MORA]]&lt;0,(Tabla14[[#This Row],[VALOR PRESTAMO]]*Tabla14[[#This Row],[% INTERES ]]/30*U6043))+Tabla14[[#This Row],[VALOR CUOTAS]]</f>
        <v>#VALUE!</v>
      </c>
      <c r="S6043" s="88">
        <f>-IF(Tabla14[[#This Row],[DIAS HABILES O MORA]]&lt;0,(Tabla14[[#This Row],[VALOR PRESTAMO]]*Tabla14[[#This Row],[% INTERES ]]/30*U6043))</f>
        <v>0</v>
      </c>
      <c r="T6043" s="53" t="e">
        <f>Tabla14[[#This Row],[DEUDA CAPITAL]]+Tabla14[[#This Row],[INTERES  CUOTA]]</f>
        <v>#NUM!</v>
      </c>
      <c r="U6043" s="61" t="str">
        <f t="shared" si="959"/>
        <v/>
      </c>
    </row>
    <row r="6044" spans="9:21" ht="24.75" customHeight="1" x14ac:dyDescent="0.35">
      <c r="I6044" s="42">
        <f t="shared" si="950"/>
        <v>0</v>
      </c>
      <c r="J6044" s="65" t="e">
        <f t="shared" si="951"/>
        <v>#NUM!</v>
      </c>
      <c r="K6044" s="83" t="e">
        <f t="shared" si="952"/>
        <v>#NUM!</v>
      </c>
      <c r="L6044" s="83">
        <f t="shared" si="953"/>
        <v>0</v>
      </c>
      <c r="M6044" s="110" t="str">
        <f t="shared" si="954"/>
        <v/>
      </c>
      <c r="N6044" s="51" t="str">
        <f t="shared" si="955"/>
        <v/>
      </c>
      <c r="O6044" s="52" t="str">
        <f t="shared" si="956"/>
        <v/>
      </c>
      <c r="P6044" s="88">
        <f t="shared" si="957"/>
        <v>0</v>
      </c>
      <c r="Q6044" s="88">
        <f t="shared" si="958"/>
        <v>0</v>
      </c>
      <c r="R6044" s="88" t="e">
        <f>-IF(Tabla14[[#This Row],[DIAS HABILES O MORA]]&lt;0,(Tabla14[[#This Row],[VALOR PRESTAMO]]*Tabla14[[#This Row],[% INTERES ]]/30*U6044))+Tabla14[[#This Row],[VALOR CUOTAS]]</f>
        <v>#VALUE!</v>
      </c>
      <c r="S6044" s="88">
        <f>-IF(Tabla14[[#This Row],[DIAS HABILES O MORA]]&lt;0,(Tabla14[[#This Row],[VALOR PRESTAMO]]*Tabla14[[#This Row],[% INTERES ]]/30*U6044))</f>
        <v>0</v>
      </c>
      <c r="T6044" s="53" t="e">
        <f>Tabla14[[#This Row],[DEUDA CAPITAL]]+Tabla14[[#This Row],[INTERES  CUOTA]]</f>
        <v>#NUM!</v>
      </c>
      <c r="U6044" s="61" t="str">
        <f t="shared" si="959"/>
        <v/>
      </c>
    </row>
    <row r="6045" spans="9:21" ht="24.75" customHeight="1" x14ac:dyDescent="0.35">
      <c r="I6045" s="42">
        <f t="shared" si="950"/>
        <v>0</v>
      </c>
      <c r="J6045" s="65" t="e">
        <f t="shared" si="951"/>
        <v>#NUM!</v>
      </c>
      <c r="K6045" s="83" t="e">
        <f t="shared" si="952"/>
        <v>#NUM!</v>
      </c>
      <c r="L6045" s="83">
        <f t="shared" si="953"/>
        <v>0</v>
      </c>
      <c r="M6045" s="110" t="str">
        <f t="shared" si="954"/>
        <v/>
      </c>
      <c r="N6045" s="51" t="str">
        <f t="shared" si="955"/>
        <v/>
      </c>
      <c r="O6045" s="52" t="str">
        <f t="shared" si="956"/>
        <v/>
      </c>
      <c r="P6045" s="88">
        <f t="shared" si="957"/>
        <v>0</v>
      </c>
      <c r="Q6045" s="88">
        <f t="shared" si="958"/>
        <v>0</v>
      </c>
      <c r="R6045" s="88" t="e">
        <f>-IF(Tabla14[[#This Row],[DIAS HABILES O MORA]]&lt;0,(Tabla14[[#This Row],[VALOR PRESTAMO]]*Tabla14[[#This Row],[% INTERES ]]/30*U6045))+Tabla14[[#This Row],[VALOR CUOTAS]]</f>
        <v>#VALUE!</v>
      </c>
      <c r="S6045" s="88">
        <f>-IF(Tabla14[[#This Row],[DIAS HABILES O MORA]]&lt;0,(Tabla14[[#This Row],[VALOR PRESTAMO]]*Tabla14[[#This Row],[% INTERES ]]/30*U6045))</f>
        <v>0</v>
      </c>
      <c r="T6045" s="53" t="e">
        <f>Tabla14[[#This Row],[DEUDA CAPITAL]]+Tabla14[[#This Row],[INTERES  CUOTA]]</f>
        <v>#NUM!</v>
      </c>
      <c r="U6045" s="61" t="str">
        <f t="shared" si="959"/>
        <v/>
      </c>
    </row>
    <row r="6046" spans="9:21" ht="24.75" customHeight="1" x14ac:dyDescent="0.35">
      <c r="I6046" s="42">
        <f t="shared" si="950"/>
        <v>0</v>
      </c>
      <c r="J6046" s="65" t="e">
        <f t="shared" si="951"/>
        <v>#NUM!</v>
      </c>
      <c r="K6046" s="83" t="e">
        <f t="shared" si="952"/>
        <v>#NUM!</v>
      </c>
      <c r="L6046" s="83">
        <f t="shared" si="953"/>
        <v>0</v>
      </c>
      <c r="M6046" s="110" t="str">
        <f t="shared" si="954"/>
        <v/>
      </c>
      <c r="N6046" s="51" t="str">
        <f t="shared" si="955"/>
        <v/>
      </c>
      <c r="O6046" s="52" t="str">
        <f t="shared" si="956"/>
        <v/>
      </c>
      <c r="P6046" s="88">
        <f t="shared" si="957"/>
        <v>0</v>
      </c>
      <c r="Q6046" s="88">
        <f t="shared" si="958"/>
        <v>0</v>
      </c>
      <c r="R6046" s="88" t="e">
        <f>-IF(Tabla14[[#This Row],[DIAS HABILES O MORA]]&lt;0,(Tabla14[[#This Row],[VALOR PRESTAMO]]*Tabla14[[#This Row],[% INTERES ]]/30*U6046))+Tabla14[[#This Row],[VALOR CUOTAS]]</f>
        <v>#VALUE!</v>
      </c>
      <c r="S6046" s="88">
        <f>-IF(Tabla14[[#This Row],[DIAS HABILES O MORA]]&lt;0,(Tabla14[[#This Row],[VALOR PRESTAMO]]*Tabla14[[#This Row],[% INTERES ]]/30*U6046))</f>
        <v>0</v>
      </c>
      <c r="T6046" s="53" t="e">
        <f>Tabla14[[#This Row],[DEUDA CAPITAL]]+Tabla14[[#This Row],[INTERES  CUOTA]]</f>
        <v>#NUM!</v>
      </c>
      <c r="U6046" s="61" t="str">
        <f t="shared" si="959"/>
        <v/>
      </c>
    </row>
    <row r="6047" spans="9:21" ht="24.75" customHeight="1" x14ac:dyDescent="0.35">
      <c r="I6047" s="42">
        <f t="shared" si="950"/>
        <v>0</v>
      </c>
      <c r="J6047" s="65" t="e">
        <f t="shared" si="951"/>
        <v>#NUM!</v>
      </c>
      <c r="K6047" s="83" t="e">
        <f t="shared" si="952"/>
        <v>#NUM!</v>
      </c>
      <c r="L6047" s="83">
        <f t="shared" si="953"/>
        <v>0</v>
      </c>
      <c r="M6047" s="110" t="str">
        <f t="shared" si="954"/>
        <v/>
      </c>
      <c r="N6047" s="51" t="str">
        <f t="shared" si="955"/>
        <v/>
      </c>
      <c r="O6047" s="52" t="str">
        <f t="shared" si="956"/>
        <v/>
      </c>
      <c r="P6047" s="88">
        <f t="shared" si="957"/>
        <v>0</v>
      </c>
      <c r="Q6047" s="88">
        <f t="shared" si="958"/>
        <v>0</v>
      </c>
      <c r="R6047" s="88" t="e">
        <f>-IF(Tabla14[[#This Row],[DIAS HABILES O MORA]]&lt;0,(Tabla14[[#This Row],[VALOR PRESTAMO]]*Tabla14[[#This Row],[% INTERES ]]/30*U6047))+Tabla14[[#This Row],[VALOR CUOTAS]]</f>
        <v>#VALUE!</v>
      </c>
      <c r="S6047" s="88">
        <f>-IF(Tabla14[[#This Row],[DIAS HABILES O MORA]]&lt;0,(Tabla14[[#This Row],[VALOR PRESTAMO]]*Tabla14[[#This Row],[% INTERES ]]/30*U6047))</f>
        <v>0</v>
      </c>
      <c r="T6047" s="53" t="e">
        <f>Tabla14[[#This Row],[DEUDA CAPITAL]]+Tabla14[[#This Row],[INTERES  CUOTA]]</f>
        <v>#NUM!</v>
      </c>
      <c r="U6047" s="61" t="str">
        <f t="shared" si="959"/>
        <v/>
      </c>
    </row>
    <row r="6048" spans="9:21" ht="24.75" customHeight="1" x14ac:dyDescent="0.35">
      <c r="I6048" s="42">
        <f t="shared" si="950"/>
        <v>0</v>
      </c>
      <c r="J6048" s="65" t="e">
        <f t="shared" si="951"/>
        <v>#NUM!</v>
      </c>
      <c r="K6048" s="83" t="e">
        <f t="shared" si="952"/>
        <v>#NUM!</v>
      </c>
      <c r="L6048" s="83">
        <f t="shared" si="953"/>
        <v>0</v>
      </c>
      <c r="M6048" s="110" t="str">
        <f t="shared" si="954"/>
        <v/>
      </c>
      <c r="N6048" s="51" t="str">
        <f t="shared" si="955"/>
        <v/>
      </c>
      <c r="O6048" s="52" t="str">
        <f t="shared" si="956"/>
        <v/>
      </c>
      <c r="P6048" s="88">
        <f t="shared" si="957"/>
        <v>0</v>
      </c>
      <c r="Q6048" s="88">
        <f t="shared" si="958"/>
        <v>0</v>
      </c>
      <c r="R6048" s="88" t="e">
        <f>-IF(Tabla14[[#This Row],[DIAS HABILES O MORA]]&lt;0,(Tabla14[[#This Row],[VALOR PRESTAMO]]*Tabla14[[#This Row],[% INTERES ]]/30*U6048))+Tabla14[[#This Row],[VALOR CUOTAS]]</f>
        <v>#VALUE!</v>
      </c>
      <c r="S6048" s="88">
        <f>-IF(Tabla14[[#This Row],[DIAS HABILES O MORA]]&lt;0,(Tabla14[[#This Row],[VALOR PRESTAMO]]*Tabla14[[#This Row],[% INTERES ]]/30*U6048))</f>
        <v>0</v>
      </c>
      <c r="T6048" s="53" t="e">
        <f>Tabla14[[#This Row],[DEUDA CAPITAL]]+Tabla14[[#This Row],[INTERES  CUOTA]]</f>
        <v>#NUM!</v>
      </c>
      <c r="U6048" s="61" t="str">
        <f t="shared" si="959"/>
        <v/>
      </c>
    </row>
    <row r="6049" spans="9:21" ht="24.75" customHeight="1" x14ac:dyDescent="0.35">
      <c r="I6049" s="42">
        <f t="shared" si="950"/>
        <v>0</v>
      </c>
      <c r="J6049" s="65" t="e">
        <f t="shared" si="951"/>
        <v>#NUM!</v>
      </c>
      <c r="K6049" s="83" t="e">
        <f t="shared" si="952"/>
        <v>#NUM!</v>
      </c>
      <c r="L6049" s="83">
        <f t="shared" si="953"/>
        <v>0</v>
      </c>
      <c r="M6049" s="110" t="str">
        <f t="shared" si="954"/>
        <v/>
      </c>
      <c r="N6049" s="51" t="str">
        <f t="shared" si="955"/>
        <v/>
      </c>
      <c r="O6049" s="52" t="str">
        <f t="shared" si="956"/>
        <v/>
      </c>
      <c r="P6049" s="88">
        <f t="shared" si="957"/>
        <v>0</v>
      </c>
      <c r="Q6049" s="88">
        <f t="shared" si="958"/>
        <v>0</v>
      </c>
      <c r="R6049" s="88" t="e">
        <f>-IF(Tabla14[[#This Row],[DIAS HABILES O MORA]]&lt;0,(Tabla14[[#This Row],[VALOR PRESTAMO]]*Tabla14[[#This Row],[% INTERES ]]/30*U6049))+Tabla14[[#This Row],[VALOR CUOTAS]]</f>
        <v>#VALUE!</v>
      </c>
      <c r="S6049" s="88">
        <f>-IF(Tabla14[[#This Row],[DIAS HABILES O MORA]]&lt;0,(Tabla14[[#This Row],[VALOR PRESTAMO]]*Tabla14[[#This Row],[% INTERES ]]/30*U6049))</f>
        <v>0</v>
      </c>
      <c r="T6049" s="53" t="e">
        <f>Tabla14[[#This Row],[DEUDA CAPITAL]]+Tabla14[[#This Row],[INTERES  CUOTA]]</f>
        <v>#NUM!</v>
      </c>
      <c r="U6049" s="61" t="str">
        <f t="shared" si="959"/>
        <v/>
      </c>
    </row>
    <row r="6050" spans="9:21" ht="24.75" customHeight="1" x14ac:dyDescent="0.35">
      <c r="I6050" s="42">
        <f t="shared" si="950"/>
        <v>0</v>
      </c>
      <c r="J6050" s="65" t="e">
        <f t="shared" si="951"/>
        <v>#NUM!</v>
      </c>
      <c r="K6050" s="83" t="e">
        <f t="shared" si="952"/>
        <v>#NUM!</v>
      </c>
      <c r="L6050" s="83">
        <f t="shared" si="953"/>
        <v>0</v>
      </c>
      <c r="M6050" s="110" t="str">
        <f t="shared" si="954"/>
        <v/>
      </c>
      <c r="N6050" s="51" t="str">
        <f t="shared" si="955"/>
        <v/>
      </c>
      <c r="O6050" s="52" t="str">
        <f t="shared" si="956"/>
        <v/>
      </c>
      <c r="P6050" s="88">
        <f t="shared" si="957"/>
        <v>0</v>
      </c>
      <c r="Q6050" s="88">
        <f t="shared" si="958"/>
        <v>0</v>
      </c>
      <c r="R6050" s="88" t="e">
        <f>-IF(Tabla14[[#This Row],[DIAS HABILES O MORA]]&lt;0,(Tabla14[[#This Row],[VALOR PRESTAMO]]*Tabla14[[#This Row],[% INTERES ]]/30*U6050))+Tabla14[[#This Row],[VALOR CUOTAS]]</f>
        <v>#VALUE!</v>
      </c>
      <c r="S6050" s="88">
        <f>-IF(Tabla14[[#This Row],[DIAS HABILES O MORA]]&lt;0,(Tabla14[[#This Row],[VALOR PRESTAMO]]*Tabla14[[#This Row],[% INTERES ]]/30*U6050))</f>
        <v>0</v>
      </c>
      <c r="T6050" s="53" t="e">
        <f>Tabla14[[#This Row],[DEUDA CAPITAL]]+Tabla14[[#This Row],[INTERES  CUOTA]]</f>
        <v>#NUM!</v>
      </c>
      <c r="U6050" s="61" t="str">
        <f t="shared" si="959"/>
        <v/>
      </c>
    </row>
    <row r="6051" spans="9:21" ht="24.75" customHeight="1" x14ac:dyDescent="0.35">
      <c r="I6051" s="42">
        <f t="shared" si="950"/>
        <v>0</v>
      </c>
      <c r="J6051" s="65" t="e">
        <f t="shared" si="951"/>
        <v>#NUM!</v>
      </c>
      <c r="K6051" s="83" t="e">
        <f t="shared" si="952"/>
        <v>#NUM!</v>
      </c>
      <c r="L6051" s="83">
        <f t="shared" si="953"/>
        <v>0</v>
      </c>
      <c r="M6051" s="110" t="str">
        <f t="shared" si="954"/>
        <v/>
      </c>
      <c r="N6051" s="51" t="str">
        <f t="shared" si="955"/>
        <v/>
      </c>
      <c r="O6051" s="52" t="str">
        <f t="shared" si="956"/>
        <v/>
      </c>
      <c r="P6051" s="88">
        <f t="shared" si="957"/>
        <v>0</v>
      </c>
      <c r="Q6051" s="88">
        <f t="shared" si="958"/>
        <v>0</v>
      </c>
      <c r="R6051" s="88" t="e">
        <f>-IF(Tabla14[[#This Row],[DIAS HABILES O MORA]]&lt;0,(Tabla14[[#This Row],[VALOR PRESTAMO]]*Tabla14[[#This Row],[% INTERES ]]/30*U6051))+Tabla14[[#This Row],[VALOR CUOTAS]]</f>
        <v>#VALUE!</v>
      </c>
      <c r="S6051" s="88">
        <f>-IF(Tabla14[[#This Row],[DIAS HABILES O MORA]]&lt;0,(Tabla14[[#This Row],[VALOR PRESTAMO]]*Tabla14[[#This Row],[% INTERES ]]/30*U6051))</f>
        <v>0</v>
      </c>
      <c r="T6051" s="53" t="e">
        <f>Tabla14[[#This Row],[DEUDA CAPITAL]]+Tabla14[[#This Row],[INTERES  CUOTA]]</f>
        <v>#NUM!</v>
      </c>
      <c r="U6051" s="61" t="str">
        <f t="shared" si="959"/>
        <v/>
      </c>
    </row>
    <row r="6052" spans="9:21" ht="24.75" customHeight="1" x14ac:dyDescent="0.35">
      <c r="I6052" s="42">
        <f t="shared" si="950"/>
        <v>0</v>
      </c>
      <c r="J6052" s="65" t="e">
        <f t="shared" si="951"/>
        <v>#NUM!</v>
      </c>
      <c r="K6052" s="83" t="e">
        <f t="shared" si="952"/>
        <v>#NUM!</v>
      </c>
      <c r="L6052" s="83">
        <f t="shared" si="953"/>
        <v>0</v>
      </c>
      <c r="M6052" s="110" t="str">
        <f t="shared" si="954"/>
        <v/>
      </c>
      <c r="N6052" s="51" t="str">
        <f t="shared" si="955"/>
        <v/>
      </c>
      <c r="O6052" s="52" t="str">
        <f t="shared" si="956"/>
        <v/>
      </c>
      <c r="P6052" s="88">
        <f t="shared" si="957"/>
        <v>0</v>
      </c>
      <c r="Q6052" s="88">
        <f t="shared" si="958"/>
        <v>0</v>
      </c>
      <c r="R6052" s="88" t="e">
        <f>-IF(Tabla14[[#This Row],[DIAS HABILES O MORA]]&lt;0,(Tabla14[[#This Row],[VALOR PRESTAMO]]*Tabla14[[#This Row],[% INTERES ]]/30*U6052))+Tabla14[[#This Row],[VALOR CUOTAS]]</f>
        <v>#VALUE!</v>
      </c>
      <c r="S6052" s="88">
        <f>-IF(Tabla14[[#This Row],[DIAS HABILES O MORA]]&lt;0,(Tabla14[[#This Row],[VALOR PRESTAMO]]*Tabla14[[#This Row],[% INTERES ]]/30*U6052))</f>
        <v>0</v>
      </c>
      <c r="T6052" s="53" t="e">
        <f>Tabla14[[#This Row],[DEUDA CAPITAL]]+Tabla14[[#This Row],[INTERES  CUOTA]]</f>
        <v>#NUM!</v>
      </c>
      <c r="U6052" s="61" t="str">
        <f t="shared" si="959"/>
        <v/>
      </c>
    </row>
    <row r="6053" spans="9:21" ht="24.75" customHeight="1" x14ac:dyDescent="0.35">
      <c r="I6053" s="42">
        <f t="shared" si="950"/>
        <v>0</v>
      </c>
      <c r="J6053" s="65" t="e">
        <f t="shared" si="951"/>
        <v>#NUM!</v>
      </c>
      <c r="K6053" s="83" t="e">
        <f t="shared" si="952"/>
        <v>#NUM!</v>
      </c>
      <c r="L6053" s="83">
        <f t="shared" si="953"/>
        <v>0</v>
      </c>
      <c r="M6053" s="110" t="str">
        <f t="shared" si="954"/>
        <v/>
      </c>
      <c r="N6053" s="51" t="str">
        <f t="shared" si="955"/>
        <v/>
      </c>
      <c r="O6053" s="52" t="str">
        <f t="shared" si="956"/>
        <v/>
      </c>
      <c r="P6053" s="88">
        <f t="shared" si="957"/>
        <v>0</v>
      </c>
      <c r="Q6053" s="88">
        <f t="shared" si="958"/>
        <v>0</v>
      </c>
      <c r="R6053" s="88" t="e">
        <f>-IF(Tabla14[[#This Row],[DIAS HABILES O MORA]]&lt;0,(Tabla14[[#This Row],[VALOR PRESTAMO]]*Tabla14[[#This Row],[% INTERES ]]/30*U6053))+Tabla14[[#This Row],[VALOR CUOTAS]]</f>
        <v>#VALUE!</v>
      </c>
      <c r="S6053" s="88">
        <f>-IF(Tabla14[[#This Row],[DIAS HABILES O MORA]]&lt;0,(Tabla14[[#This Row],[VALOR PRESTAMO]]*Tabla14[[#This Row],[% INTERES ]]/30*U6053))</f>
        <v>0</v>
      </c>
      <c r="T6053" s="53" t="e">
        <f>Tabla14[[#This Row],[DEUDA CAPITAL]]+Tabla14[[#This Row],[INTERES  CUOTA]]</f>
        <v>#NUM!</v>
      </c>
      <c r="U6053" s="61" t="str">
        <f t="shared" si="959"/>
        <v/>
      </c>
    </row>
    <row r="6054" spans="9:21" ht="24.75" customHeight="1" x14ac:dyDescent="0.35">
      <c r="I6054" s="42">
        <f t="shared" si="950"/>
        <v>0</v>
      </c>
      <c r="J6054" s="65" t="e">
        <f t="shared" si="951"/>
        <v>#NUM!</v>
      </c>
      <c r="K6054" s="83" t="e">
        <f t="shared" si="952"/>
        <v>#NUM!</v>
      </c>
      <c r="L6054" s="83">
        <f t="shared" si="953"/>
        <v>0</v>
      </c>
      <c r="M6054" s="110" t="str">
        <f t="shared" si="954"/>
        <v/>
      </c>
      <c r="N6054" s="51" t="str">
        <f t="shared" si="955"/>
        <v/>
      </c>
      <c r="O6054" s="52" t="str">
        <f t="shared" si="956"/>
        <v/>
      </c>
      <c r="P6054" s="88">
        <f t="shared" si="957"/>
        <v>0</v>
      </c>
      <c r="Q6054" s="88">
        <f t="shared" si="958"/>
        <v>0</v>
      </c>
      <c r="R6054" s="88" t="e">
        <f>-IF(Tabla14[[#This Row],[DIAS HABILES O MORA]]&lt;0,(Tabla14[[#This Row],[VALOR PRESTAMO]]*Tabla14[[#This Row],[% INTERES ]]/30*U6054))+Tabla14[[#This Row],[VALOR CUOTAS]]</f>
        <v>#VALUE!</v>
      </c>
      <c r="S6054" s="88">
        <f>-IF(Tabla14[[#This Row],[DIAS HABILES O MORA]]&lt;0,(Tabla14[[#This Row],[VALOR PRESTAMO]]*Tabla14[[#This Row],[% INTERES ]]/30*U6054))</f>
        <v>0</v>
      </c>
      <c r="T6054" s="53" t="e">
        <f>Tabla14[[#This Row],[DEUDA CAPITAL]]+Tabla14[[#This Row],[INTERES  CUOTA]]</f>
        <v>#NUM!</v>
      </c>
      <c r="U6054" s="61" t="str">
        <f t="shared" si="959"/>
        <v/>
      </c>
    </row>
    <row r="6055" spans="9:21" ht="24.75" customHeight="1" x14ac:dyDescent="0.35">
      <c r="I6055" s="42">
        <f t="shared" si="950"/>
        <v>0</v>
      </c>
      <c r="J6055" s="65" t="e">
        <f t="shared" si="951"/>
        <v>#NUM!</v>
      </c>
      <c r="K6055" s="83" t="e">
        <f t="shared" si="952"/>
        <v>#NUM!</v>
      </c>
      <c r="L6055" s="83">
        <f t="shared" si="953"/>
        <v>0</v>
      </c>
      <c r="M6055" s="110" t="str">
        <f t="shared" si="954"/>
        <v/>
      </c>
      <c r="N6055" s="51" t="str">
        <f t="shared" si="955"/>
        <v/>
      </c>
      <c r="O6055" s="52" t="str">
        <f t="shared" si="956"/>
        <v/>
      </c>
      <c r="P6055" s="88">
        <f t="shared" si="957"/>
        <v>0</v>
      </c>
      <c r="Q6055" s="88">
        <f t="shared" si="958"/>
        <v>0</v>
      </c>
      <c r="R6055" s="88" t="e">
        <f>-IF(Tabla14[[#This Row],[DIAS HABILES O MORA]]&lt;0,(Tabla14[[#This Row],[VALOR PRESTAMO]]*Tabla14[[#This Row],[% INTERES ]]/30*U6055))+Tabla14[[#This Row],[VALOR CUOTAS]]</f>
        <v>#VALUE!</v>
      </c>
      <c r="S6055" s="88">
        <f>-IF(Tabla14[[#This Row],[DIAS HABILES O MORA]]&lt;0,(Tabla14[[#This Row],[VALOR PRESTAMO]]*Tabla14[[#This Row],[% INTERES ]]/30*U6055))</f>
        <v>0</v>
      </c>
      <c r="T6055" s="53" t="e">
        <f>Tabla14[[#This Row],[DEUDA CAPITAL]]+Tabla14[[#This Row],[INTERES  CUOTA]]</f>
        <v>#NUM!</v>
      </c>
      <c r="U6055" s="61" t="str">
        <f t="shared" si="959"/>
        <v/>
      </c>
    </row>
    <row r="6056" spans="9:21" ht="24.75" customHeight="1" x14ac:dyDescent="0.35">
      <c r="I6056" s="42">
        <f t="shared" si="950"/>
        <v>0</v>
      </c>
      <c r="J6056" s="65" t="e">
        <f t="shared" si="951"/>
        <v>#NUM!</v>
      </c>
      <c r="K6056" s="83" t="e">
        <f t="shared" si="952"/>
        <v>#NUM!</v>
      </c>
      <c r="L6056" s="83">
        <f t="shared" si="953"/>
        <v>0</v>
      </c>
      <c r="M6056" s="110" t="str">
        <f t="shared" si="954"/>
        <v/>
      </c>
      <c r="N6056" s="51" t="str">
        <f t="shared" si="955"/>
        <v/>
      </c>
      <c r="O6056" s="52" t="str">
        <f t="shared" si="956"/>
        <v/>
      </c>
      <c r="P6056" s="88">
        <f t="shared" si="957"/>
        <v>0</v>
      </c>
      <c r="Q6056" s="88">
        <f t="shared" si="958"/>
        <v>0</v>
      </c>
      <c r="R6056" s="88" t="e">
        <f>-IF(Tabla14[[#This Row],[DIAS HABILES O MORA]]&lt;0,(Tabla14[[#This Row],[VALOR PRESTAMO]]*Tabla14[[#This Row],[% INTERES ]]/30*U6056))+Tabla14[[#This Row],[VALOR CUOTAS]]</f>
        <v>#VALUE!</v>
      </c>
      <c r="S6056" s="88">
        <f>-IF(Tabla14[[#This Row],[DIAS HABILES O MORA]]&lt;0,(Tabla14[[#This Row],[VALOR PRESTAMO]]*Tabla14[[#This Row],[% INTERES ]]/30*U6056))</f>
        <v>0</v>
      </c>
      <c r="T6056" s="53" t="e">
        <f>Tabla14[[#This Row],[DEUDA CAPITAL]]+Tabla14[[#This Row],[INTERES  CUOTA]]</f>
        <v>#NUM!</v>
      </c>
      <c r="U6056" s="61" t="str">
        <f t="shared" si="959"/>
        <v/>
      </c>
    </row>
    <row r="6057" spans="9:21" ht="24.75" customHeight="1" x14ac:dyDescent="0.35">
      <c r="I6057" s="42">
        <f t="shared" si="950"/>
        <v>0</v>
      </c>
      <c r="J6057" s="65" t="e">
        <f t="shared" si="951"/>
        <v>#NUM!</v>
      </c>
      <c r="K6057" s="83" t="e">
        <f t="shared" si="952"/>
        <v>#NUM!</v>
      </c>
      <c r="L6057" s="83">
        <f t="shared" si="953"/>
        <v>0</v>
      </c>
      <c r="M6057" s="110" t="str">
        <f t="shared" si="954"/>
        <v/>
      </c>
      <c r="N6057" s="51" t="str">
        <f t="shared" si="955"/>
        <v/>
      </c>
      <c r="O6057" s="52" t="str">
        <f t="shared" si="956"/>
        <v/>
      </c>
      <c r="P6057" s="88">
        <f t="shared" si="957"/>
        <v>0</v>
      </c>
      <c r="Q6057" s="88">
        <f t="shared" si="958"/>
        <v>0</v>
      </c>
      <c r="R6057" s="88" t="e">
        <f>-IF(Tabla14[[#This Row],[DIAS HABILES O MORA]]&lt;0,(Tabla14[[#This Row],[VALOR PRESTAMO]]*Tabla14[[#This Row],[% INTERES ]]/30*U6057))+Tabla14[[#This Row],[VALOR CUOTAS]]</f>
        <v>#VALUE!</v>
      </c>
      <c r="S6057" s="88">
        <f>-IF(Tabla14[[#This Row],[DIAS HABILES O MORA]]&lt;0,(Tabla14[[#This Row],[VALOR PRESTAMO]]*Tabla14[[#This Row],[% INTERES ]]/30*U6057))</f>
        <v>0</v>
      </c>
      <c r="T6057" s="53" t="e">
        <f>Tabla14[[#This Row],[DEUDA CAPITAL]]+Tabla14[[#This Row],[INTERES  CUOTA]]</f>
        <v>#NUM!</v>
      </c>
      <c r="U6057" s="61" t="str">
        <f t="shared" si="959"/>
        <v/>
      </c>
    </row>
    <row r="6058" spans="9:21" ht="24.75" customHeight="1" x14ac:dyDescent="0.35">
      <c r="I6058" s="42">
        <f t="shared" si="950"/>
        <v>0</v>
      </c>
      <c r="J6058" s="65" t="e">
        <f t="shared" si="951"/>
        <v>#NUM!</v>
      </c>
      <c r="K6058" s="83" t="e">
        <f t="shared" si="952"/>
        <v>#NUM!</v>
      </c>
      <c r="L6058" s="83">
        <f t="shared" si="953"/>
        <v>0</v>
      </c>
      <c r="M6058" s="110" t="str">
        <f t="shared" si="954"/>
        <v/>
      </c>
      <c r="N6058" s="51" t="str">
        <f t="shared" si="955"/>
        <v/>
      </c>
      <c r="O6058" s="52" t="str">
        <f t="shared" si="956"/>
        <v/>
      </c>
      <c r="P6058" s="88">
        <f t="shared" si="957"/>
        <v>0</v>
      </c>
      <c r="Q6058" s="88">
        <f t="shared" si="958"/>
        <v>0</v>
      </c>
      <c r="R6058" s="88" t="e">
        <f>-IF(Tabla14[[#This Row],[DIAS HABILES O MORA]]&lt;0,(Tabla14[[#This Row],[VALOR PRESTAMO]]*Tabla14[[#This Row],[% INTERES ]]/30*U6058))+Tabla14[[#This Row],[VALOR CUOTAS]]</f>
        <v>#VALUE!</v>
      </c>
      <c r="S6058" s="88">
        <f>-IF(Tabla14[[#This Row],[DIAS HABILES O MORA]]&lt;0,(Tabla14[[#This Row],[VALOR PRESTAMO]]*Tabla14[[#This Row],[% INTERES ]]/30*U6058))</f>
        <v>0</v>
      </c>
      <c r="T6058" s="53" t="e">
        <f>Tabla14[[#This Row],[DEUDA CAPITAL]]+Tabla14[[#This Row],[INTERES  CUOTA]]</f>
        <v>#NUM!</v>
      </c>
      <c r="U6058" s="61" t="str">
        <f t="shared" si="959"/>
        <v/>
      </c>
    </row>
    <row r="6059" spans="9:21" ht="24.75" customHeight="1" x14ac:dyDescent="0.35">
      <c r="I6059" s="42">
        <f t="shared" si="950"/>
        <v>0</v>
      </c>
      <c r="J6059" s="65" t="e">
        <f t="shared" si="951"/>
        <v>#NUM!</v>
      </c>
      <c r="K6059" s="83" t="e">
        <f t="shared" si="952"/>
        <v>#NUM!</v>
      </c>
      <c r="L6059" s="83">
        <f t="shared" si="953"/>
        <v>0</v>
      </c>
      <c r="M6059" s="110" t="str">
        <f t="shared" si="954"/>
        <v/>
      </c>
      <c r="N6059" s="51" t="str">
        <f t="shared" si="955"/>
        <v/>
      </c>
      <c r="O6059" s="52" t="str">
        <f t="shared" si="956"/>
        <v/>
      </c>
      <c r="P6059" s="88">
        <f t="shared" si="957"/>
        <v>0</v>
      </c>
      <c r="Q6059" s="88">
        <f t="shared" si="958"/>
        <v>0</v>
      </c>
      <c r="R6059" s="88" t="e">
        <f>-IF(Tabla14[[#This Row],[DIAS HABILES O MORA]]&lt;0,(Tabla14[[#This Row],[VALOR PRESTAMO]]*Tabla14[[#This Row],[% INTERES ]]/30*U6059))+Tabla14[[#This Row],[VALOR CUOTAS]]</f>
        <v>#VALUE!</v>
      </c>
      <c r="S6059" s="88">
        <f>-IF(Tabla14[[#This Row],[DIAS HABILES O MORA]]&lt;0,(Tabla14[[#This Row],[VALOR PRESTAMO]]*Tabla14[[#This Row],[% INTERES ]]/30*U6059))</f>
        <v>0</v>
      </c>
      <c r="T6059" s="53" t="e">
        <f>Tabla14[[#This Row],[DEUDA CAPITAL]]+Tabla14[[#This Row],[INTERES  CUOTA]]</f>
        <v>#NUM!</v>
      </c>
      <c r="U6059" s="61" t="str">
        <f t="shared" si="959"/>
        <v/>
      </c>
    </row>
    <row r="6060" spans="9:21" ht="24.75" customHeight="1" x14ac:dyDescent="0.35">
      <c r="I6060" s="42">
        <f t="shared" si="950"/>
        <v>0</v>
      </c>
      <c r="J6060" s="65" t="e">
        <f t="shared" si="951"/>
        <v>#NUM!</v>
      </c>
      <c r="K6060" s="83" t="e">
        <f t="shared" si="952"/>
        <v>#NUM!</v>
      </c>
      <c r="L6060" s="83">
        <f t="shared" si="953"/>
        <v>0</v>
      </c>
      <c r="M6060" s="110" t="str">
        <f t="shared" si="954"/>
        <v/>
      </c>
      <c r="N6060" s="51" t="str">
        <f t="shared" si="955"/>
        <v/>
      </c>
      <c r="O6060" s="52" t="str">
        <f t="shared" si="956"/>
        <v/>
      </c>
      <c r="P6060" s="88">
        <f t="shared" si="957"/>
        <v>0</v>
      </c>
      <c r="Q6060" s="88">
        <f t="shared" si="958"/>
        <v>0</v>
      </c>
      <c r="R6060" s="88" t="e">
        <f>-IF(Tabla14[[#This Row],[DIAS HABILES O MORA]]&lt;0,(Tabla14[[#This Row],[VALOR PRESTAMO]]*Tabla14[[#This Row],[% INTERES ]]/30*U6060))+Tabla14[[#This Row],[VALOR CUOTAS]]</f>
        <v>#VALUE!</v>
      </c>
      <c r="S6060" s="88">
        <f>-IF(Tabla14[[#This Row],[DIAS HABILES O MORA]]&lt;0,(Tabla14[[#This Row],[VALOR PRESTAMO]]*Tabla14[[#This Row],[% INTERES ]]/30*U6060))</f>
        <v>0</v>
      </c>
      <c r="T6060" s="53" t="e">
        <f>Tabla14[[#This Row],[DEUDA CAPITAL]]+Tabla14[[#This Row],[INTERES  CUOTA]]</f>
        <v>#NUM!</v>
      </c>
      <c r="U6060" s="61" t="str">
        <f t="shared" si="959"/>
        <v/>
      </c>
    </row>
    <row r="6061" spans="9:21" ht="24.75" customHeight="1" x14ac:dyDescent="0.35">
      <c r="I6061" s="42">
        <f t="shared" si="950"/>
        <v>0</v>
      </c>
      <c r="J6061" s="65" t="e">
        <f t="shared" si="951"/>
        <v>#NUM!</v>
      </c>
      <c r="K6061" s="83" t="e">
        <f t="shared" si="952"/>
        <v>#NUM!</v>
      </c>
      <c r="L6061" s="83">
        <f t="shared" si="953"/>
        <v>0</v>
      </c>
      <c r="M6061" s="110" t="str">
        <f t="shared" si="954"/>
        <v/>
      </c>
      <c r="N6061" s="51" t="str">
        <f t="shared" si="955"/>
        <v/>
      </c>
      <c r="O6061" s="52" t="str">
        <f t="shared" si="956"/>
        <v/>
      </c>
      <c r="P6061" s="88">
        <f t="shared" si="957"/>
        <v>0</v>
      </c>
      <c r="Q6061" s="88">
        <f t="shared" si="958"/>
        <v>0</v>
      </c>
      <c r="R6061" s="88" t="e">
        <f>-IF(Tabla14[[#This Row],[DIAS HABILES O MORA]]&lt;0,(Tabla14[[#This Row],[VALOR PRESTAMO]]*Tabla14[[#This Row],[% INTERES ]]/30*U6061))+Tabla14[[#This Row],[VALOR CUOTAS]]</f>
        <v>#VALUE!</v>
      </c>
      <c r="S6061" s="88">
        <f>-IF(Tabla14[[#This Row],[DIAS HABILES O MORA]]&lt;0,(Tabla14[[#This Row],[VALOR PRESTAMO]]*Tabla14[[#This Row],[% INTERES ]]/30*U6061))</f>
        <v>0</v>
      </c>
      <c r="T6061" s="53" t="e">
        <f>Tabla14[[#This Row],[DEUDA CAPITAL]]+Tabla14[[#This Row],[INTERES  CUOTA]]</f>
        <v>#NUM!</v>
      </c>
      <c r="U6061" s="61" t="str">
        <f t="shared" si="959"/>
        <v/>
      </c>
    </row>
    <row r="6062" spans="9:21" ht="24.75" customHeight="1" x14ac:dyDescent="0.35">
      <c r="I6062" s="42">
        <f t="shared" si="950"/>
        <v>0</v>
      </c>
      <c r="J6062" s="65" t="e">
        <f t="shared" si="951"/>
        <v>#NUM!</v>
      </c>
      <c r="K6062" s="83" t="e">
        <f t="shared" si="952"/>
        <v>#NUM!</v>
      </c>
      <c r="L6062" s="83">
        <f t="shared" si="953"/>
        <v>0</v>
      </c>
      <c r="M6062" s="110" t="str">
        <f t="shared" si="954"/>
        <v/>
      </c>
      <c r="N6062" s="51" t="str">
        <f t="shared" si="955"/>
        <v/>
      </c>
      <c r="O6062" s="52" t="str">
        <f t="shared" si="956"/>
        <v/>
      </c>
      <c r="P6062" s="88">
        <f t="shared" si="957"/>
        <v>0</v>
      </c>
      <c r="Q6062" s="88">
        <f t="shared" si="958"/>
        <v>0</v>
      </c>
      <c r="R6062" s="88" t="e">
        <f>-IF(Tabla14[[#This Row],[DIAS HABILES O MORA]]&lt;0,(Tabla14[[#This Row],[VALOR PRESTAMO]]*Tabla14[[#This Row],[% INTERES ]]/30*U6062))+Tabla14[[#This Row],[VALOR CUOTAS]]</f>
        <v>#VALUE!</v>
      </c>
      <c r="S6062" s="88">
        <f>-IF(Tabla14[[#This Row],[DIAS HABILES O MORA]]&lt;0,(Tabla14[[#This Row],[VALOR PRESTAMO]]*Tabla14[[#This Row],[% INTERES ]]/30*U6062))</f>
        <v>0</v>
      </c>
      <c r="T6062" s="53" t="e">
        <f>Tabla14[[#This Row],[DEUDA CAPITAL]]+Tabla14[[#This Row],[INTERES  CUOTA]]</f>
        <v>#NUM!</v>
      </c>
      <c r="U6062" s="61" t="str">
        <f t="shared" si="959"/>
        <v/>
      </c>
    </row>
    <row r="6063" spans="9:21" ht="24.75" customHeight="1" x14ac:dyDescent="0.35">
      <c r="I6063" s="42">
        <f t="shared" si="950"/>
        <v>0</v>
      </c>
      <c r="J6063" s="65" t="e">
        <f t="shared" si="951"/>
        <v>#NUM!</v>
      </c>
      <c r="K6063" s="83" t="e">
        <f t="shared" si="952"/>
        <v>#NUM!</v>
      </c>
      <c r="L6063" s="83">
        <f t="shared" si="953"/>
        <v>0</v>
      </c>
      <c r="M6063" s="110" t="str">
        <f t="shared" si="954"/>
        <v/>
      </c>
      <c r="N6063" s="51" t="str">
        <f t="shared" si="955"/>
        <v/>
      </c>
      <c r="O6063" s="52" t="str">
        <f t="shared" si="956"/>
        <v/>
      </c>
      <c r="P6063" s="88">
        <f t="shared" si="957"/>
        <v>0</v>
      </c>
      <c r="Q6063" s="88">
        <f t="shared" si="958"/>
        <v>0</v>
      </c>
      <c r="R6063" s="88" t="e">
        <f>-IF(Tabla14[[#This Row],[DIAS HABILES O MORA]]&lt;0,(Tabla14[[#This Row],[VALOR PRESTAMO]]*Tabla14[[#This Row],[% INTERES ]]/30*U6063))+Tabla14[[#This Row],[VALOR CUOTAS]]</f>
        <v>#VALUE!</v>
      </c>
      <c r="S6063" s="88">
        <f>-IF(Tabla14[[#This Row],[DIAS HABILES O MORA]]&lt;0,(Tabla14[[#This Row],[VALOR PRESTAMO]]*Tabla14[[#This Row],[% INTERES ]]/30*U6063))</f>
        <v>0</v>
      </c>
      <c r="T6063" s="53" t="e">
        <f>Tabla14[[#This Row],[DEUDA CAPITAL]]+Tabla14[[#This Row],[INTERES  CUOTA]]</f>
        <v>#NUM!</v>
      </c>
      <c r="U6063" s="61" t="str">
        <f t="shared" si="959"/>
        <v/>
      </c>
    </row>
    <row r="6064" spans="9:21" ht="24.75" customHeight="1" x14ac:dyDescent="0.35">
      <c r="I6064" s="42">
        <f t="shared" si="950"/>
        <v>0</v>
      </c>
      <c r="J6064" s="65" t="e">
        <f t="shared" si="951"/>
        <v>#NUM!</v>
      </c>
      <c r="K6064" s="83" t="e">
        <f t="shared" si="952"/>
        <v>#NUM!</v>
      </c>
      <c r="L6064" s="83">
        <f t="shared" si="953"/>
        <v>0</v>
      </c>
      <c r="M6064" s="110" t="str">
        <f t="shared" si="954"/>
        <v/>
      </c>
      <c r="N6064" s="51" t="str">
        <f t="shared" si="955"/>
        <v/>
      </c>
      <c r="O6064" s="52" t="str">
        <f t="shared" si="956"/>
        <v/>
      </c>
      <c r="P6064" s="88">
        <f t="shared" si="957"/>
        <v>0</v>
      </c>
      <c r="Q6064" s="88">
        <f t="shared" si="958"/>
        <v>0</v>
      </c>
      <c r="R6064" s="88" t="e">
        <f>-IF(Tabla14[[#This Row],[DIAS HABILES O MORA]]&lt;0,(Tabla14[[#This Row],[VALOR PRESTAMO]]*Tabla14[[#This Row],[% INTERES ]]/30*U6064))+Tabla14[[#This Row],[VALOR CUOTAS]]</f>
        <v>#VALUE!</v>
      </c>
      <c r="S6064" s="88">
        <f>-IF(Tabla14[[#This Row],[DIAS HABILES O MORA]]&lt;0,(Tabla14[[#This Row],[VALOR PRESTAMO]]*Tabla14[[#This Row],[% INTERES ]]/30*U6064))</f>
        <v>0</v>
      </c>
      <c r="T6064" s="53" t="e">
        <f>Tabla14[[#This Row],[DEUDA CAPITAL]]+Tabla14[[#This Row],[INTERES  CUOTA]]</f>
        <v>#NUM!</v>
      </c>
      <c r="U6064" s="61" t="str">
        <f t="shared" si="959"/>
        <v/>
      </c>
    </row>
    <row r="6065" spans="9:21" ht="24.75" customHeight="1" x14ac:dyDescent="0.35">
      <c r="I6065" s="42">
        <f t="shared" si="950"/>
        <v>0</v>
      </c>
      <c r="J6065" s="65" t="e">
        <f t="shared" si="951"/>
        <v>#NUM!</v>
      </c>
      <c r="K6065" s="83" t="e">
        <f t="shared" si="952"/>
        <v>#NUM!</v>
      </c>
      <c r="L6065" s="83">
        <f t="shared" si="953"/>
        <v>0</v>
      </c>
      <c r="M6065" s="110" t="str">
        <f t="shared" si="954"/>
        <v/>
      </c>
      <c r="N6065" s="51" t="str">
        <f t="shared" si="955"/>
        <v/>
      </c>
      <c r="O6065" s="52" t="str">
        <f t="shared" si="956"/>
        <v/>
      </c>
      <c r="P6065" s="88">
        <f t="shared" si="957"/>
        <v>0</v>
      </c>
      <c r="Q6065" s="88">
        <f t="shared" si="958"/>
        <v>0</v>
      </c>
      <c r="R6065" s="88" t="e">
        <f>-IF(Tabla14[[#This Row],[DIAS HABILES O MORA]]&lt;0,(Tabla14[[#This Row],[VALOR PRESTAMO]]*Tabla14[[#This Row],[% INTERES ]]/30*U6065))+Tabla14[[#This Row],[VALOR CUOTAS]]</f>
        <v>#VALUE!</v>
      </c>
      <c r="S6065" s="88">
        <f>-IF(Tabla14[[#This Row],[DIAS HABILES O MORA]]&lt;0,(Tabla14[[#This Row],[VALOR PRESTAMO]]*Tabla14[[#This Row],[% INTERES ]]/30*U6065))</f>
        <v>0</v>
      </c>
      <c r="T6065" s="53" t="e">
        <f>Tabla14[[#This Row],[DEUDA CAPITAL]]+Tabla14[[#This Row],[INTERES  CUOTA]]</f>
        <v>#NUM!</v>
      </c>
      <c r="U6065" s="61" t="str">
        <f t="shared" si="959"/>
        <v/>
      </c>
    </row>
    <row r="6066" spans="9:21" ht="24.75" customHeight="1" x14ac:dyDescent="0.35">
      <c r="I6066" s="42">
        <f t="shared" si="950"/>
        <v>0</v>
      </c>
      <c r="J6066" s="65" t="e">
        <f t="shared" si="951"/>
        <v>#NUM!</v>
      </c>
      <c r="K6066" s="83" t="e">
        <f t="shared" si="952"/>
        <v>#NUM!</v>
      </c>
      <c r="L6066" s="83">
        <f t="shared" si="953"/>
        <v>0</v>
      </c>
      <c r="M6066" s="110" t="str">
        <f t="shared" si="954"/>
        <v/>
      </c>
      <c r="N6066" s="51" t="str">
        <f t="shared" si="955"/>
        <v/>
      </c>
      <c r="O6066" s="52" t="str">
        <f t="shared" si="956"/>
        <v/>
      </c>
      <c r="P6066" s="88">
        <f t="shared" si="957"/>
        <v>0</v>
      </c>
      <c r="Q6066" s="88">
        <f t="shared" si="958"/>
        <v>0</v>
      </c>
      <c r="R6066" s="88" t="e">
        <f>-IF(Tabla14[[#This Row],[DIAS HABILES O MORA]]&lt;0,(Tabla14[[#This Row],[VALOR PRESTAMO]]*Tabla14[[#This Row],[% INTERES ]]/30*U6066))+Tabla14[[#This Row],[VALOR CUOTAS]]</f>
        <v>#VALUE!</v>
      </c>
      <c r="S6066" s="88">
        <f>-IF(Tabla14[[#This Row],[DIAS HABILES O MORA]]&lt;0,(Tabla14[[#This Row],[VALOR PRESTAMO]]*Tabla14[[#This Row],[% INTERES ]]/30*U6066))</f>
        <v>0</v>
      </c>
      <c r="T6066" s="53" t="e">
        <f>Tabla14[[#This Row],[DEUDA CAPITAL]]+Tabla14[[#This Row],[INTERES  CUOTA]]</f>
        <v>#NUM!</v>
      </c>
      <c r="U6066" s="61" t="str">
        <f t="shared" si="959"/>
        <v/>
      </c>
    </row>
    <row r="6067" spans="9:21" ht="24.75" customHeight="1" x14ac:dyDescent="0.35">
      <c r="I6067" s="42">
        <f t="shared" si="950"/>
        <v>0</v>
      </c>
      <c r="J6067" s="65" t="e">
        <f t="shared" si="951"/>
        <v>#NUM!</v>
      </c>
      <c r="K6067" s="83" t="e">
        <f t="shared" si="952"/>
        <v>#NUM!</v>
      </c>
      <c r="L6067" s="83">
        <f t="shared" si="953"/>
        <v>0</v>
      </c>
      <c r="M6067" s="110" t="str">
        <f t="shared" si="954"/>
        <v/>
      </c>
      <c r="N6067" s="51" t="str">
        <f t="shared" si="955"/>
        <v/>
      </c>
      <c r="O6067" s="52" t="str">
        <f t="shared" si="956"/>
        <v/>
      </c>
      <c r="P6067" s="88">
        <f t="shared" si="957"/>
        <v>0</v>
      </c>
      <c r="Q6067" s="88">
        <f t="shared" si="958"/>
        <v>0</v>
      </c>
      <c r="R6067" s="88" t="e">
        <f>-IF(Tabla14[[#This Row],[DIAS HABILES O MORA]]&lt;0,(Tabla14[[#This Row],[VALOR PRESTAMO]]*Tabla14[[#This Row],[% INTERES ]]/30*U6067))+Tabla14[[#This Row],[VALOR CUOTAS]]</f>
        <v>#VALUE!</v>
      </c>
      <c r="S6067" s="88">
        <f>-IF(Tabla14[[#This Row],[DIAS HABILES O MORA]]&lt;0,(Tabla14[[#This Row],[VALOR PRESTAMO]]*Tabla14[[#This Row],[% INTERES ]]/30*U6067))</f>
        <v>0</v>
      </c>
      <c r="T6067" s="53" t="e">
        <f>Tabla14[[#This Row],[DEUDA CAPITAL]]+Tabla14[[#This Row],[INTERES  CUOTA]]</f>
        <v>#NUM!</v>
      </c>
      <c r="U6067" s="61" t="str">
        <f t="shared" si="959"/>
        <v/>
      </c>
    </row>
    <row r="6068" spans="9:21" ht="24.75" customHeight="1" x14ac:dyDescent="0.35">
      <c r="I6068" s="42">
        <f t="shared" si="950"/>
        <v>0</v>
      </c>
      <c r="J6068" s="65" t="e">
        <f t="shared" si="951"/>
        <v>#NUM!</v>
      </c>
      <c r="K6068" s="83" t="e">
        <f t="shared" si="952"/>
        <v>#NUM!</v>
      </c>
      <c r="L6068" s="83">
        <f t="shared" si="953"/>
        <v>0</v>
      </c>
      <c r="M6068" s="110" t="str">
        <f t="shared" si="954"/>
        <v/>
      </c>
      <c r="N6068" s="51" t="str">
        <f t="shared" si="955"/>
        <v/>
      </c>
      <c r="O6068" s="52" t="str">
        <f t="shared" si="956"/>
        <v/>
      </c>
      <c r="P6068" s="88">
        <f t="shared" si="957"/>
        <v>0</v>
      </c>
      <c r="Q6068" s="88">
        <f t="shared" si="958"/>
        <v>0</v>
      </c>
      <c r="R6068" s="88" t="e">
        <f>-IF(Tabla14[[#This Row],[DIAS HABILES O MORA]]&lt;0,(Tabla14[[#This Row],[VALOR PRESTAMO]]*Tabla14[[#This Row],[% INTERES ]]/30*U6068))+Tabla14[[#This Row],[VALOR CUOTAS]]</f>
        <v>#VALUE!</v>
      </c>
      <c r="S6068" s="88">
        <f>-IF(Tabla14[[#This Row],[DIAS HABILES O MORA]]&lt;0,(Tabla14[[#This Row],[VALOR PRESTAMO]]*Tabla14[[#This Row],[% INTERES ]]/30*U6068))</f>
        <v>0</v>
      </c>
      <c r="T6068" s="53" t="e">
        <f>Tabla14[[#This Row],[DEUDA CAPITAL]]+Tabla14[[#This Row],[INTERES  CUOTA]]</f>
        <v>#NUM!</v>
      </c>
      <c r="U6068" s="61" t="str">
        <f t="shared" si="959"/>
        <v/>
      </c>
    </row>
    <row r="6069" spans="9:21" ht="24.75" customHeight="1" x14ac:dyDescent="0.35">
      <c r="I6069" s="42">
        <f t="shared" si="950"/>
        <v>0</v>
      </c>
      <c r="J6069" s="65" t="e">
        <f t="shared" si="951"/>
        <v>#NUM!</v>
      </c>
      <c r="K6069" s="83" t="e">
        <f t="shared" si="952"/>
        <v>#NUM!</v>
      </c>
      <c r="L6069" s="83">
        <f t="shared" si="953"/>
        <v>0</v>
      </c>
      <c r="M6069" s="110" t="str">
        <f t="shared" si="954"/>
        <v/>
      </c>
      <c r="N6069" s="51" t="str">
        <f t="shared" si="955"/>
        <v/>
      </c>
      <c r="O6069" s="52" t="str">
        <f t="shared" si="956"/>
        <v/>
      </c>
      <c r="P6069" s="88">
        <f t="shared" si="957"/>
        <v>0</v>
      </c>
      <c r="Q6069" s="88">
        <f t="shared" si="958"/>
        <v>0</v>
      </c>
      <c r="R6069" s="88" t="e">
        <f>-IF(Tabla14[[#This Row],[DIAS HABILES O MORA]]&lt;0,(Tabla14[[#This Row],[VALOR PRESTAMO]]*Tabla14[[#This Row],[% INTERES ]]/30*U6069))+Tabla14[[#This Row],[VALOR CUOTAS]]</f>
        <v>#VALUE!</v>
      </c>
      <c r="S6069" s="88">
        <f>-IF(Tabla14[[#This Row],[DIAS HABILES O MORA]]&lt;0,(Tabla14[[#This Row],[VALOR PRESTAMO]]*Tabla14[[#This Row],[% INTERES ]]/30*U6069))</f>
        <v>0</v>
      </c>
      <c r="T6069" s="53" t="e">
        <f>Tabla14[[#This Row],[DEUDA CAPITAL]]+Tabla14[[#This Row],[INTERES  CUOTA]]</f>
        <v>#NUM!</v>
      </c>
      <c r="U6069" s="61" t="str">
        <f t="shared" si="959"/>
        <v/>
      </c>
    </row>
    <row r="6070" spans="9:21" ht="24.75" customHeight="1" x14ac:dyDescent="0.35">
      <c r="I6070" s="42">
        <f t="shared" si="950"/>
        <v>0</v>
      </c>
      <c r="J6070" s="65" t="e">
        <f t="shared" si="951"/>
        <v>#NUM!</v>
      </c>
      <c r="K6070" s="83" t="e">
        <f t="shared" si="952"/>
        <v>#NUM!</v>
      </c>
      <c r="L6070" s="83">
        <f t="shared" si="953"/>
        <v>0</v>
      </c>
      <c r="M6070" s="110" t="str">
        <f t="shared" si="954"/>
        <v/>
      </c>
      <c r="N6070" s="51" t="str">
        <f t="shared" si="955"/>
        <v/>
      </c>
      <c r="O6070" s="52" t="str">
        <f t="shared" si="956"/>
        <v/>
      </c>
      <c r="P6070" s="88">
        <f t="shared" si="957"/>
        <v>0</v>
      </c>
      <c r="Q6070" s="88">
        <f t="shared" si="958"/>
        <v>0</v>
      </c>
      <c r="R6070" s="88" t="e">
        <f>-IF(Tabla14[[#This Row],[DIAS HABILES O MORA]]&lt;0,(Tabla14[[#This Row],[VALOR PRESTAMO]]*Tabla14[[#This Row],[% INTERES ]]/30*U6070))+Tabla14[[#This Row],[VALOR CUOTAS]]</f>
        <v>#VALUE!</v>
      </c>
      <c r="S6070" s="88">
        <f>-IF(Tabla14[[#This Row],[DIAS HABILES O MORA]]&lt;0,(Tabla14[[#This Row],[VALOR PRESTAMO]]*Tabla14[[#This Row],[% INTERES ]]/30*U6070))</f>
        <v>0</v>
      </c>
      <c r="T6070" s="53" t="e">
        <f>Tabla14[[#This Row],[DEUDA CAPITAL]]+Tabla14[[#This Row],[INTERES  CUOTA]]</f>
        <v>#NUM!</v>
      </c>
      <c r="U6070" s="61" t="str">
        <f t="shared" si="959"/>
        <v/>
      </c>
    </row>
    <row r="6071" spans="9:21" ht="24.75" customHeight="1" x14ac:dyDescent="0.35">
      <c r="I6071" s="42">
        <f t="shared" si="950"/>
        <v>0</v>
      </c>
      <c r="J6071" s="65" t="e">
        <f t="shared" si="951"/>
        <v>#NUM!</v>
      </c>
      <c r="K6071" s="83" t="e">
        <f t="shared" si="952"/>
        <v>#NUM!</v>
      </c>
      <c r="L6071" s="83">
        <f t="shared" si="953"/>
        <v>0</v>
      </c>
      <c r="M6071" s="110" t="str">
        <f t="shared" si="954"/>
        <v/>
      </c>
      <c r="N6071" s="51" t="str">
        <f t="shared" si="955"/>
        <v/>
      </c>
      <c r="O6071" s="52" t="str">
        <f t="shared" si="956"/>
        <v/>
      </c>
      <c r="P6071" s="88">
        <f t="shared" si="957"/>
        <v>0</v>
      </c>
      <c r="Q6071" s="88">
        <f t="shared" si="958"/>
        <v>0</v>
      </c>
      <c r="R6071" s="88" t="e">
        <f>-IF(Tabla14[[#This Row],[DIAS HABILES O MORA]]&lt;0,(Tabla14[[#This Row],[VALOR PRESTAMO]]*Tabla14[[#This Row],[% INTERES ]]/30*U6071))+Tabla14[[#This Row],[VALOR CUOTAS]]</f>
        <v>#VALUE!</v>
      </c>
      <c r="S6071" s="88">
        <f>-IF(Tabla14[[#This Row],[DIAS HABILES O MORA]]&lt;0,(Tabla14[[#This Row],[VALOR PRESTAMO]]*Tabla14[[#This Row],[% INTERES ]]/30*U6071))</f>
        <v>0</v>
      </c>
      <c r="T6071" s="53" t="e">
        <f>Tabla14[[#This Row],[DEUDA CAPITAL]]+Tabla14[[#This Row],[INTERES  CUOTA]]</f>
        <v>#NUM!</v>
      </c>
      <c r="U6071" s="61" t="str">
        <f t="shared" si="959"/>
        <v/>
      </c>
    </row>
    <row r="6072" spans="9:21" ht="24.75" customHeight="1" x14ac:dyDescent="0.35">
      <c r="I6072" s="42">
        <f t="shared" si="950"/>
        <v>0</v>
      </c>
      <c r="J6072" s="65" t="e">
        <f t="shared" si="951"/>
        <v>#NUM!</v>
      </c>
      <c r="K6072" s="83" t="e">
        <f t="shared" si="952"/>
        <v>#NUM!</v>
      </c>
      <c r="L6072" s="83">
        <f t="shared" si="953"/>
        <v>0</v>
      </c>
      <c r="M6072" s="110" t="str">
        <f t="shared" si="954"/>
        <v/>
      </c>
      <c r="N6072" s="51" t="str">
        <f t="shared" si="955"/>
        <v/>
      </c>
      <c r="O6072" s="52" t="str">
        <f t="shared" si="956"/>
        <v/>
      </c>
      <c r="P6072" s="88">
        <f t="shared" si="957"/>
        <v>0</v>
      </c>
      <c r="Q6072" s="88">
        <f t="shared" si="958"/>
        <v>0</v>
      </c>
      <c r="R6072" s="88" t="e">
        <f>-IF(Tabla14[[#This Row],[DIAS HABILES O MORA]]&lt;0,(Tabla14[[#This Row],[VALOR PRESTAMO]]*Tabla14[[#This Row],[% INTERES ]]/30*U6072))+Tabla14[[#This Row],[VALOR CUOTAS]]</f>
        <v>#VALUE!</v>
      </c>
      <c r="S6072" s="88">
        <f>-IF(Tabla14[[#This Row],[DIAS HABILES O MORA]]&lt;0,(Tabla14[[#This Row],[VALOR PRESTAMO]]*Tabla14[[#This Row],[% INTERES ]]/30*U6072))</f>
        <v>0</v>
      </c>
      <c r="T6072" s="53" t="e">
        <f>Tabla14[[#This Row],[DEUDA CAPITAL]]+Tabla14[[#This Row],[INTERES  CUOTA]]</f>
        <v>#NUM!</v>
      </c>
      <c r="U6072" s="61" t="str">
        <f t="shared" si="959"/>
        <v/>
      </c>
    </row>
    <row r="6073" spans="9:21" ht="24.75" customHeight="1" x14ac:dyDescent="0.35">
      <c r="I6073" s="42">
        <f t="shared" si="950"/>
        <v>0</v>
      </c>
      <c r="J6073" s="65" t="e">
        <f t="shared" si="951"/>
        <v>#NUM!</v>
      </c>
      <c r="K6073" s="83" t="e">
        <f t="shared" si="952"/>
        <v>#NUM!</v>
      </c>
      <c r="L6073" s="83">
        <f t="shared" si="953"/>
        <v>0</v>
      </c>
      <c r="M6073" s="110" t="str">
        <f t="shared" si="954"/>
        <v/>
      </c>
      <c r="N6073" s="51" t="str">
        <f t="shared" si="955"/>
        <v/>
      </c>
      <c r="O6073" s="52" t="str">
        <f t="shared" si="956"/>
        <v/>
      </c>
      <c r="P6073" s="88">
        <f t="shared" si="957"/>
        <v>0</v>
      </c>
      <c r="Q6073" s="88">
        <f t="shared" si="958"/>
        <v>0</v>
      </c>
      <c r="R6073" s="88" t="e">
        <f>-IF(Tabla14[[#This Row],[DIAS HABILES O MORA]]&lt;0,(Tabla14[[#This Row],[VALOR PRESTAMO]]*Tabla14[[#This Row],[% INTERES ]]/30*U6073))+Tabla14[[#This Row],[VALOR CUOTAS]]</f>
        <v>#VALUE!</v>
      </c>
      <c r="S6073" s="88">
        <f>-IF(Tabla14[[#This Row],[DIAS HABILES O MORA]]&lt;0,(Tabla14[[#This Row],[VALOR PRESTAMO]]*Tabla14[[#This Row],[% INTERES ]]/30*U6073))</f>
        <v>0</v>
      </c>
      <c r="T6073" s="53" t="e">
        <f>Tabla14[[#This Row],[DEUDA CAPITAL]]+Tabla14[[#This Row],[INTERES  CUOTA]]</f>
        <v>#NUM!</v>
      </c>
      <c r="U6073" s="61" t="str">
        <f t="shared" si="959"/>
        <v/>
      </c>
    </row>
    <row r="6074" spans="9:21" ht="24.75" customHeight="1" x14ac:dyDescent="0.35">
      <c r="I6074" s="42">
        <f t="shared" si="950"/>
        <v>0</v>
      </c>
      <c r="J6074" s="65" t="e">
        <f t="shared" si="951"/>
        <v>#NUM!</v>
      </c>
      <c r="K6074" s="83" t="e">
        <f t="shared" si="952"/>
        <v>#NUM!</v>
      </c>
      <c r="L6074" s="83">
        <f t="shared" si="953"/>
        <v>0</v>
      </c>
      <c r="M6074" s="110" t="str">
        <f t="shared" si="954"/>
        <v/>
      </c>
      <c r="N6074" s="51" t="str">
        <f t="shared" si="955"/>
        <v/>
      </c>
      <c r="O6074" s="52" t="str">
        <f t="shared" si="956"/>
        <v/>
      </c>
      <c r="P6074" s="88">
        <f t="shared" si="957"/>
        <v>0</v>
      </c>
      <c r="Q6074" s="88">
        <f t="shared" si="958"/>
        <v>0</v>
      </c>
      <c r="R6074" s="88" t="e">
        <f>-IF(Tabla14[[#This Row],[DIAS HABILES O MORA]]&lt;0,(Tabla14[[#This Row],[VALOR PRESTAMO]]*Tabla14[[#This Row],[% INTERES ]]/30*U6074))+Tabla14[[#This Row],[VALOR CUOTAS]]</f>
        <v>#VALUE!</v>
      </c>
      <c r="S6074" s="88">
        <f>-IF(Tabla14[[#This Row],[DIAS HABILES O MORA]]&lt;0,(Tabla14[[#This Row],[VALOR PRESTAMO]]*Tabla14[[#This Row],[% INTERES ]]/30*U6074))</f>
        <v>0</v>
      </c>
      <c r="T6074" s="53" t="e">
        <f>Tabla14[[#This Row],[DEUDA CAPITAL]]+Tabla14[[#This Row],[INTERES  CUOTA]]</f>
        <v>#NUM!</v>
      </c>
      <c r="U6074" s="61" t="str">
        <f t="shared" si="959"/>
        <v/>
      </c>
    </row>
    <row r="6075" spans="9:21" ht="24.75" customHeight="1" x14ac:dyDescent="0.35">
      <c r="I6075" s="42">
        <f t="shared" si="950"/>
        <v>0</v>
      </c>
      <c r="J6075" s="65" t="e">
        <f t="shared" si="951"/>
        <v>#NUM!</v>
      </c>
      <c r="K6075" s="83" t="e">
        <f t="shared" si="952"/>
        <v>#NUM!</v>
      </c>
      <c r="L6075" s="83">
        <f t="shared" si="953"/>
        <v>0</v>
      </c>
      <c r="M6075" s="110" t="str">
        <f t="shared" si="954"/>
        <v/>
      </c>
      <c r="N6075" s="51" t="str">
        <f t="shared" si="955"/>
        <v/>
      </c>
      <c r="O6075" s="52" t="str">
        <f t="shared" si="956"/>
        <v/>
      </c>
      <c r="P6075" s="88">
        <f t="shared" si="957"/>
        <v>0</v>
      </c>
      <c r="Q6075" s="88">
        <f t="shared" si="958"/>
        <v>0</v>
      </c>
      <c r="R6075" s="88" t="e">
        <f>-IF(Tabla14[[#This Row],[DIAS HABILES O MORA]]&lt;0,(Tabla14[[#This Row],[VALOR PRESTAMO]]*Tabla14[[#This Row],[% INTERES ]]/30*U6075))+Tabla14[[#This Row],[VALOR CUOTAS]]</f>
        <v>#VALUE!</v>
      </c>
      <c r="S6075" s="88">
        <f>-IF(Tabla14[[#This Row],[DIAS HABILES O MORA]]&lt;0,(Tabla14[[#This Row],[VALOR PRESTAMO]]*Tabla14[[#This Row],[% INTERES ]]/30*U6075))</f>
        <v>0</v>
      </c>
      <c r="T6075" s="53" t="e">
        <f>Tabla14[[#This Row],[DEUDA CAPITAL]]+Tabla14[[#This Row],[INTERES  CUOTA]]</f>
        <v>#NUM!</v>
      </c>
      <c r="U6075" s="61" t="str">
        <f t="shared" si="959"/>
        <v/>
      </c>
    </row>
    <row r="6076" spans="9:21" ht="24.75" customHeight="1" x14ac:dyDescent="0.35">
      <c r="I6076" s="42">
        <f t="shared" si="950"/>
        <v>0</v>
      </c>
      <c r="J6076" s="65" t="e">
        <f t="shared" si="951"/>
        <v>#NUM!</v>
      </c>
      <c r="K6076" s="83" t="e">
        <f t="shared" si="952"/>
        <v>#NUM!</v>
      </c>
      <c r="L6076" s="83">
        <f t="shared" si="953"/>
        <v>0</v>
      </c>
      <c r="M6076" s="110" t="str">
        <f t="shared" si="954"/>
        <v/>
      </c>
      <c r="N6076" s="51" t="str">
        <f t="shared" si="955"/>
        <v/>
      </c>
      <c r="O6076" s="52" t="str">
        <f t="shared" si="956"/>
        <v/>
      </c>
      <c r="P6076" s="88">
        <f t="shared" si="957"/>
        <v>0</v>
      </c>
      <c r="Q6076" s="88">
        <f t="shared" si="958"/>
        <v>0</v>
      </c>
      <c r="R6076" s="88" t="e">
        <f>-IF(Tabla14[[#This Row],[DIAS HABILES O MORA]]&lt;0,(Tabla14[[#This Row],[VALOR PRESTAMO]]*Tabla14[[#This Row],[% INTERES ]]/30*U6076))+Tabla14[[#This Row],[VALOR CUOTAS]]</f>
        <v>#VALUE!</v>
      </c>
      <c r="S6076" s="88">
        <f>-IF(Tabla14[[#This Row],[DIAS HABILES O MORA]]&lt;0,(Tabla14[[#This Row],[VALOR PRESTAMO]]*Tabla14[[#This Row],[% INTERES ]]/30*U6076))</f>
        <v>0</v>
      </c>
      <c r="T6076" s="53" t="e">
        <f>Tabla14[[#This Row],[DEUDA CAPITAL]]+Tabla14[[#This Row],[INTERES  CUOTA]]</f>
        <v>#NUM!</v>
      </c>
      <c r="U6076" s="61" t="str">
        <f t="shared" si="959"/>
        <v/>
      </c>
    </row>
    <row r="6077" spans="9:21" ht="24.75" customHeight="1" x14ac:dyDescent="0.35">
      <c r="I6077" s="42">
        <f t="shared" si="950"/>
        <v>0</v>
      </c>
      <c r="J6077" s="65" t="e">
        <f t="shared" si="951"/>
        <v>#NUM!</v>
      </c>
      <c r="K6077" s="83" t="e">
        <f t="shared" si="952"/>
        <v>#NUM!</v>
      </c>
      <c r="L6077" s="83">
        <f t="shared" si="953"/>
        <v>0</v>
      </c>
      <c r="M6077" s="110" t="str">
        <f t="shared" si="954"/>
        <v/>
      </c>
      <c r="N6077" s="51" t="str">
        <f t="shared" si="955"/>
        <v/>
      </c>
      <c r="O6077" s="52" t="str">
        <f t="shared" si="956"/>
        <v/>
      </c>
      <c r="P6077" s="88">
        <f t="shared" si="957"/>
        <v>0</v>
      </c>
      <c r="Q6077" s="88">
        <f t="shared" si="958"/>
        <v>0</v>
      </c>
      <c r="R6077" s="88" t="e">
        <f>-IF(Tabla14[[#This Row],[DIAS HABILES O MORA]]&lt;0,(Tabla14[[#This Row],[VALOR PRESTAMO]]*Tabla14[[#This Row],[% INTERES ]]/30*U6077))+Tabla14[[#This Row],[VALOR CUOTAS]]</f>
        <v>#VALUE!</v>
      </c>
      <c r="S6077" s="88">
        <f>-IF(Tabla14[[#This Row],[DIAS HABILES O MORA]]&lt;0,(Tabla14[[#This Row],[VALOR PRESTAMO]]*Tabla14[[#This Row],[% INTERES ]]/30*U6077))</f>
        <v>0</v>
      </c>
      <c r="T6077" s="53" t="e">
        <f>Tabla14[[#This Row],[DEUDA CAPITAL]]+Tabla14[[#This Row],[INTERES  CUOTA]]</f>
        <v>#NUM!</v>
      </c>
      <c r="U6077" s="61" t="str">
        <f t="shared" si="959"/>
        <v/>
      </c>
    </row>
    <row r="6078" spans="9:21" ht="24.75" customHeight="1" x14ac:dyDescent="0.35">
      <c r="I6078" s="42">
        <f t="shared" si="950"/>
        <v>0</v>
      </c>
      <c r="J6078" s="65" t="e">
        <f t="shared" si="951"/>
        <v>#NUM!</v>
      </c>
      <c r="K6078" s="83" t="e">
        <f t="shared" si="952"/>
        <v>#NUM!</v>
      </c>
      <c r="L6078" s="83">
        <f t="shared" si="953"/>
        <v>0</v>
      </c>
      <c r="M6078" s="110" t="str">
        <f t="shared" si="954"/>
        <v/>
      </c>
      <c r="N6078" s="51" t="str">
        <f t="shared" si="955"/>
        <v/>
      </c>
      <c r="O6078" s="52" t="str">
        <f t="shared" si="956"/>
        <v/>
      </c>
      <c r="P6078" s="88">
        <f t="shared" si="957"/>
        <v>0</v>
      </c>
      <c r="Q6078" s="88">
        <f t="shared" si="958"/>
        <v>0</v>
      </c>
      <c r="R6078" s="88" t="e">
        <f>-IF(Tabla14[[#This Row],[DIAS HABILES O MORA]]&lt;0,(Tabla14[[#This Row],[VALOR PRESTAMO]]*Tabla14[[#This Row],[% INTERES ]]/30*U6078))+Tabla14[[#This Row],[VALOR CUOTAS]]</f>
        <v>#VALUE!</v>
      </c>
      <c r="S6078" s="88">
        <f>-IF(Tabla14[[#This Row],[DIAS HABILES O MORA]]&lt;0,(Tabla14[[#This Row],[VALOR PRESTAMO]]*Tabla14[[#This Row],[% INTERES ]]/30*U6078))</f>
        <v>0</v>
      </c>
      <c r="T6078" s="53" t="e">
        <f>Tabla14[[#This Row],[DEUDA CAPITAL]]+Tabla14[[#This Row],[INTERES  CUOTA]]</f>
        <v>#NUM!</v>
      </c>
      <c r="U6078" s="61" t="str">
        <f t="shared" si="959"/>
        <v/>
      </c>
    </row>
    <row r="6079" spans="9:21" ht="24.75" customHeight="1" x14ac:dyDescent="0.35">
      <c r="I6079" s="42">
        <f t="shared" si="950"/>
        <v>0</v>
      </c>
      <c r="J6079" s="65" t="e">
        <f t="shared" si="951"/>
        <v>#NUM!</v>
      </c>
      <c r="K6079" s="83" t="e">
        <f t="shared" si="952"/>
        <v>#NUM!</v>
      </c>
      <c r="L6079" s="83">
        <f t="shared" si="953"/>
        <v>0</v>
      </c>
      <c r="M6079" s="110" t="str">
        <f t="shared" si="954"/>
        <v/>
      </c>
      <c r="N6079" s="51" t="str">
        <f t="shared" si="955"/>
        <v/>
      </c>
      <c r="O6079" s="52" t="str">
        <f t="shared" si="956"/>
        <v/>
      </c>
      <c r="P6079" s="88">
        <f t="shared" si="957"/>
        <v>0</v>
      </c>
      <c r="Q6079" s="88">
        <f t="shared" si="958"/>
        <v>0</v>
      </c>
      <c r="R6079" s="88" t="e">
        <f>-IF(Tabla14[[#This Row],[DIAS HABILES O MORA]]&lt;0,(Tabla14[[#This Row],[VALOR PRESTAMO]]*Tabla14[[#This Row],[% INTERES ]]/30*U6079))+Tabla14[[#This Row],[VALOR CUOTAS]]</f>
        <v>#VALUE!</v>
      </c>
      <c r="S6079" s="88">
        <f>-IF(Tabla14[[#This Row],[DIAS HABILES O MORA]]&lt;0,(Tabla14[[#This Row],[VALOR PRESTAMO]]*Tabla14[[#This Row],[% INTERES ]]/30*U6079))</f>
        <v>0</v>
      </c>
      <c r="T6079" s="53" t="e">
        <f>Tabla14[[#This Row],[DEUDA CAPITAL]]+Tabla14[[#This Row],[INTERES  CUOTA]]</f>
        <v>#NUM!</v>
      </c>
      <c r="U6079" s="61" t="str">
        <f t="shared" si="959"/>
        <v/>
      </c>
    </row>
    <row r="6080" spans="9:21" ht="24.75" customHeight="1" x14ac:dyDescent="0.35">
      <c r="I6080" s="42">
        <f t="shared" si="950"/>
        <v>0</v>
      </c>
      <c r="J6080" s="65" t="e">
        <f t="shared" si="951"/>
        <v>#NUM!</v>
      </c>
      <c r="K6080" s="83" t="e">
        <f t="shared" si="952"/>
        <v>#NUM!</v>
      </c>
      <c r="L6080" s="83">
        <f t="shared" si="953"/>
        <v>0</v>
      </c>
      <c r="M6080" s="110" t="str">
        <f t="shared" si="954"/>
        <v/>
      </c>
      <c r="N6080" s="51" t="str">
        <f t="shared" si="955"/>
        <v/>
      </c>
      <c r="O6080" s="52" t="str">
        <f t="shared" si="956"/>
        <v/>
      </c>
      <c r="P6080" s="88">
        <f t="shared" si="957"/>
        <v>0</v>
      </c>
      <c r="Q6080" s="88">
        <f t="shared" si="958"/>
        <v>0</v>
      </c>
      <c r="R6080" s="88" t="e">
        <f>-IF(Tabla14[[#This Row],[DIAS HABILES O MORA]]&lt;0,(Tabla14[[#This Row],[VALOR PRESTAMO]]*Tabla14[[#This Row],[% INTERES ]]/30*U6080))+Tabla14[[#This Row],[VALOR CUOTAS]]</f>
        <v>#VALUE!</v>
      </c>
      <c r="S6080" s="88">
        <f>-IF(Tabla14[[#This Row],[DIAS HABILES O MORA]]&lt;0,(Tabla14[[#This Row],[VALOR PRESTAMO]]*Tabla14[[#This Row],[% INTERES ]]/30*U6080))</f>
        <v>0</v>
      </c>
      <c r="T6080" s="53" t="e">
        <f>Tabla14[[#This Row],[DEUDA CAPITAL]]+Tabla14[[#This Row],[INTERES  CUOTA]]</f>
        <v>#NUM!</v>
      </c>
      <c r="U6080" s="61" t="str">
        <f t="shared" si="959"/>
        <v/>
      </c>
    </row>
    <row r="6081" spans="9:21" ht="24.75" customHeight="1" x14ac:dyDescent="0.35">
      <c r="I6081" s="42">
        <f t="shared" si="950"/>
        <v>0</v>
      </c>
      <c r="J6081" s="65" t="e">
        <f t="shared" si="951"/>
        <v>#NUM!</v>
      </c>
      <c r="K6081" s="83" t="e">
        <f t="shared" si="952"/>
        <v>#NUM!</v>
      </c>
      <c r="L6081" s="83">
        <f t="shared" si="953"/>
        <v>0</v>
      </c>
      <c r="M6081" s="110" t="str">
        <f t="shared" si="954"/>
        <v/>
      </c>
      <c r="N6081" s="51" t="str">
        <f t="shared" si="955"/>
        <v/>
      </c>
      <c r="O6081" s="52" t="str">
        <f t="shared" si="956"/>
        <v/>
      </c>
      <c r="P6081" s="88">
        <f t="shared" si="957"/>
        <v>0</v>
      </c>
      <c r="Q6081" s="88">
        <f t="shared" si="958"/>
        <v>0</v>
      </c>
      <c r="R6081" s="88" t="e">
        <f>-IF(Tabla14[[#This Row],[DIAS HABILES O MORA]]&lt;0,(Tabla14[[#This Row],[VALOR PRESTAMO]]*Tabla14[[#This Row],[% INTERES ]]/30*U6081))+Tabla14[[#This Row],[VALOR CUOTAS]]</f>
        <v>#VALUE!</v>
      </c>
      <c r="S6081" s="88">
        <f>-IF(Tabla14[[#This Row],[DIAS HABILES O MORA]]&lt;0,(Tabla14[[#This Row],[VALOR PRESTAMO]]*Tabla14[[#This Row],[% INTERES ]]/30*U6081))</f>
        <v>0</v>
      </c>
      <c r="T6081" s="53" t="e">
        <f>Tabla14[[#This Row],[DEUDA CAPITAL]]+Tabla14[[#This Row],[INTERES  CUOTA]]</f>
        <v>#NUM!</v>
      </c>
      <c r="U6081" s="61" t="str">
        <f t="shared" si="959"/>
        <v/>
      </c>
    </row>
    <row r="6082" spans="9:21" ht="24.75" customHeight="1" x14ac:dyDescent="0.35">
      <c r="I6082" s="42">
        <f t="shared" si="950"/>
        <v>0</v>
      </c>
      <c r="J6082" s="65" t="e">
        <f t="shared" si="951"/>
        <v>#NUM!</v>
      </c>
      <c r="K6082" s="83" t="e">
        <f t="shared" si="952"/>
        <v>#NUM!</v>
      </c>
      <c r="L6082" s="83">
        <f t="shared" si="953"/>
        <v>0</v>
      </c>
      <c r="M6082" s="110" t="str">
        <f t="shared" si="954"/>
        <v/>
      </c>
      <c r="N6082" s="51" t="str">
        <f t="shared" si="955"/>
        <v/>
      </c>
      <c r="O6082" s="52" t="str">
        <f t="shared" si="956"/>
        <v/>
      </c>
      <c r="P6082" s="88">
        <f t="shared" si="957"/>
        <v>0</v>
      </c>
      <c r="Q6082" s="88">
        <f t="shared" si="958"/>
        <v>0</v>
      </c>
      <c r="R6082" s="88" t="e">
        <f>-IF(Tabla14[[#This Row],[DIAS HABILES O MORA]]&lt;0,(Tabla14[[#This Row],[VALOR PRESTAMO]]*Tabla14[[#This Row],[% INTERES ]]/30*U6082))+Tabla14[[#This Row],[VALOR CUOTAS]]</f>
        <v>#VALUE!</v>
      </c>
      <c r="S6082" s="88">
        <f>-IF(Tabla14[[#This Row],[DIAS HABILES O MORA]]&lt;0,(Tabla14[[#This Row],[VALOR PRESTAMO]]*Tabla14[[#This Row],[% INTERES ]]/30*U6082))</f>
        <v>0</v>
      </c>
      <c r="T6082" s="53" t="e">
        <f>Tabla14[[#This Row],[DEUDA CAPITAL]]+Tabla14[[#This Row],[INTERES  CUOTA]]</f>
        <v>#NUM!</v>
      </c>
      <c r="U6082" s="61" t="str">
        <f t="shared" si="959"/>
        <v/>
      </c>
    </row>
    <row r="6083" spans="9:21" ht="24.75" customHeight="1" x14ac:dyDescent="0.35">
      <c r="I6083" s="42">
        <f t="shared" si="950"/>
        <v>0</v>
      </c>
      <c r="J6083" s="65" t="e">
        <f t="shared" si="951"/>
        <v>#NUM!</v>
      </c>
      <c r="K6083" s="83" t="e">
        <f t="shared" si="952"/>
        <v>#NUM!</v>
      </c>
      <c r="L6083" s="83">
        <f t="shared" si="953"/>
        <v>0</v>
      </c>
      <c r="M6083" s="110" t="str">
        <f t="shared" si="954"/>
        <v/>
      </c>
      <c r="N6083" s="51" t="str">
        <f t="shared" si="955"/>
        <v/>
      </c>
      <c r="O6083" s="52" t="str">
        <f t="shared" si="956"/>
        <v/>
      </c>
      <c r="P6083" s="88">
        <f t="shared" si="957"/>
        <v>0</v>
      </c>
      <c r="Q6083" s="88">
        <f t="shared" si="958"/>
        <v>0</v>
      </c>
      <c r="R6083" s="88" t="e">
        <f>-IF(Tabla14[[#This Row],[DIAS HABILES O MORA]]&lt;0,(Tabla14[[#This Row],[VALOR PRESTAMO]]*Tabla14[[#This Row],[% INTERES ]]/30*U6083))+Tabla14[[#This Row],[VALOR CUOTAS]]</f>
        <v>#VALUE!</v>
      </c>
      <c r="S6083" s="88">
        <f>-IF(Tabla14[[#This Row],[DIAS HABILES O MORA]]&lt;0,(Tabla14[[#This Row],[VALOR PRESTAMO]]*Tabla14[[#This Row],[% INTERES ]]/30*U6083))</f>
        <v>0</v>
      </c>
      <c r="T6083" s="53" t="e">
        <f>Tabla14[[#This Row],[DEUDA CAPITAL]]+Tabla14[[#This Row],[INTERES  CUOTA]]</f>
        <v>#NUM!</v>
      </c>
      <c r="U6083" s="61" t="str">
        <f t="shared" si="959"/>
        <v/>
      </c>
    </row>
    <row r="6084" spans="9:21" ht="24.75" customHeight="1" x14ac:dyDescent="0.35">
      <c r="I6084" s="42">
        <f t="shared" si="950"/>
        <v>0</v>
      </c>
      <c r="J6084" s="65" t="e">
        <f t="shared" si="951"/>
        <v>#NUM!</v>
      </c>
      <c r="K6084" s="83" t="e">
        <f t="shared" si="952"/>
        <v>#NUM!</v>
      </c>
      <c r="L6084" s="83">
        <f t="shared" si="953"/>
        <v>0</v>
      </c>
      <c r="M6084" s="110" t="str">
        <f t="shared" si="954"/>
        <v/>
      </c>
      <c r="N6084" s="51" t="str">
        <f t="shared" si="955"/>
        <v/>
      </c>
      <c r="O6084" s="52" t="str">
        <f t="shared" si="956"/>
        <v/>
      </c>
      <c r="P6084" s="88">
        <f t="shared" si="957"/>
        <v>0</v>
      </c>
      <c r="Q6084" s="88">
        <f t="shared" si="958"/>
        <v>0</v>
      </c>
      <c r="R6084" s="88" t="e">
        <f>-IF(Tabla14[[#This Row],[DIAS HABILES O MORA]]&lt;0,(Tabla14[[#This Row],[VALOR PRESTAMO]]*Tabla14[[#This Row],[% INTERES ]]/30*U6084))+Tabla14[[#This Row],[VALOR CUOTAS]]</f>
        <v>#VALUE!</v>
      </c>
      <c r="S6084" s="88">
        <f>-IF(Tabla14[[#This Row],[DIAS HABILES O MORA]]&lt;0,(Tabla14[[#This Row],[VALOR PRESTAMO]]*Tabla14[[#This Row],[% INTERES ]]/30*U6084))</f>
        <v>0</v>
      </c>
      <c r="T6084" s="53" t="e">
        <f>Tabla14[[#This Row],[DEUDA CAPITAL]]+Tabla14[[#This Row],[INTERES  CUOTA]]</f>
        <v>#NUM!</v>
      </c>
      <c r="U6084" s="61" t="str">
        <f t="shared" si="959"/>
        <v/>
      </c>
    </row>
    <row r="6085" spans="9:21" ht="24.75" customHeight="1" x14ac:dyDescent="0.35">
      <c r="I6085" s="42">
        <f t="shared" si="950"/>
        <v>0</v>
      </c>
      <c r="J6085" s="65" t="e">
        <f t="shared" si="951"/>
        <v>#NUM!</v>
      </c>
      <c r="K6085" s="83" t="e">
        <f t="shared" si="952"/>
        <v>#NUM!</v>
      </c>
      <c r="L6085" s="83">
        <f t="shared" si="953"/>
        <v>0</v>
      </c>
      <c r="M6085" s="110" t="str">
        <f t="shared" si="954"/>
        <v/>
      </c>
      <c r="N6085" s="51" t="str">
        <f t="shared" si="955"/>
        <v/>
      </c>
      <c r="O6085" s="52" t="str">
        <f t="shared" si="956"/>
        <v/>
      </c>
      <c r="P6085" s="88">
        <f t="shared" si="957"/>
        <v>0</v>
      </c>
      <c r="Q6085" s="88">
        <f t="shared" si="958"/>
        <v>0</v>
      </c>
      <c r="R6085" s="88" t="e">
        <f>-IF(Tabla14[[#This Row],[DIAS HABILES O MORA]]&lt;0,(Tabla14[[#This Row],[VALOR PRESTAMO]]*Tabla14[[#This Row],[% INTERES ]]/30*U6085))+Tabla14[[#This Row],[VALOR CUOTAS]]</f>
        <v>#VALUE!</v>
      </c>
      <c r="S6085" s="88">
        <f>-IF(Tabla14[[#This Row],[DIAS HABILES O MORA]]&lt;0,(Tabla14[[#This Row],[VALOR PRESTAMO]]*Tabla14[[#This Row],[% INTERES ]]/30*U6085))</f>
        <v>0</v>
      </c>
      <c r="T6085" s="53" t="e">
        <f>Tabla14[[#This Row],[DEUDA CAPITAL]]+Tabla14[[#This Row],[INTERES  CUOTA]]</f>
        <v>#NUM!</v>
      </c>
      <c r="U6085" s="61" t="str">
        <f t="shared" si="959"/>
        <v/>
      </c>
    </row>
    <row r="6086" spans="9:21" ht="24.75" customHeight="1" x14ac:dyDescent="0.35">
      <c r="I6086" s="42">
        <f t="shared" si="950"/>
        <v>0</v>
      </c>
      <c r="J6086" s="65" t="e">
        <f t="shared" si="951"/>
        <v>#NUM!</v>
      </c>
      <c r="K6086" s="83" t="e">
        <f t="shared" si="952"/>
        <v>#NUM!</v>
      </c>
      <c r="L6086" s="83">
        <f t="shared" si="953"/>
        <v>0</v>
      </c>
      <c r="M6086" s="110" t="str">
        <f t="shared" si="954"/>
        <v/>
      </c>
      <c r="N6086" s="51" t="str">
        <f t="shared" si="955"/>
        <v/>
      </c>
      <c r="O6086" s="52" t="str">
        <f t="shared" si="956"/>
        <v/>
      </c>
      <c r="P6086" s="88">
        <f t="shared" si="957"/>
        <v>0</v>
      </c>
      <c r="Q6086" s="88">
        <f t="shared" si="958"/>
        <v>0</v>
      </c>
      <c r="R6086" s="88" t="e">
        <f>-IF(Tabla14[[#This Row],[DIAS HABILES O MORA]]&lt;0,(Tabla14[[#This Row],[VALOR PRESTAMO]]*Tabla14[[#This Row],[% INTERES ]]/30*U6086))+Tabla14[[#This Row],[VALOR CUOTAS]]</f>
        <v>#VALUE!</v>
      </c>
      <c r="S6086" s="88">
        <f>-IF(Tabla14[[#This Row],[DIAS HABILES O MORA]]&lt;0,(Tabla14[[#This Row],[VALOR PRESTAMO]]*Tabla14[[#This Row],[% INTERES ]]/30*U6086))</f>
        <v>0</v>
      </c>
      <c r="T6086" s="53" t="e">
        <f>Tabla14[[#This Row],[DEUDA CAPITAL]]+Tabla14[[#This Row],[INTERES  CUOTA]]</f>
        <v>#NUM!</v>
      </c>
      <c r="U6086" s="61" t="str">
        <f t="shared" si="959"/>
        <v/>
      </c>
    </row>
    <row r="6087" spans="9:21" ht="24.75" customHeight="1" x14ac:dyDescent="0.35">
      <c r="I6087" s="42">
        <f t="shared" si="950"/>
        <v>0</v>
      </c>
      <c r="J6087" s="65" t="e">
        <f t="shared" si="951"/>
        <v>#NUM!</v>
      </c>
      <c r="K6087" s="83" t="e">
        <f t="shared" si="952"/>
        <v>#NUM!</v>
      </c>
      <c r="L6087" s="83">
        <f t="shared" si="953"/>
        <v>0</v>
      </c>
      <c r="M6087" s="110" t="str">
        <f t="shared" si="954"/>
        <v/>
      </c>
      <c r="N6087" s="51" t="str">
        <f t="shared" si="955"/>
        <v/>
      </c>
      <c r="O6087" s="52" t="str">
        <f t="shared" si="956"/>
        <v/>
      </c>
      <c r="P6087" s="88">
        <f t="shared" si="957"/>
        <v>0</v>
      </c>
      <c r="Q6087" s="88">
        <f t="shared" si="958"/>
        <v>0</v>
      </c>
      <c r="R6087" s="88" t="e">
        <f>-IF(Tabla14[[#This Row],[DIAS HABILES O MORA]]&lt;0,(Tabla14[[#This Row],[VALOR PRESTAMO]]*Tabla14[[#This Row],[% INTERES ]]/30*U6087))+Tabla14[[#This Row],[VALOR CUOTAS]]</f>
        <v>#VALUE!</v>
      </c>
      <c r="S6087" s="88">
        <f>-IF(Tabla14[[#This Row],[DIAS HABILES O MORA]]&lt;0,(Tabla14[[#This Row],[VALOR PRESTAMO]]*Tabla14[[#This Row],[% INTERES ]]/30*U6087))</f>
        <v>0</v>
      </c>
      <c r="T6087" s="53" t="e">
        <f>Tabla14[[#This Row],[DEUDA CAPITAL]]+Tabla14[[#This Row],[INTERES  CUOTA]]</f>
        <v>#NUM!</v>
      </c>
      <c r="U6087" s="61" t="str">
        <f t="shared" si="959"/>
        <v/>
      </c>
    </row>
    <row r="6088" spans="9:21" ht="24.75" customHeight="1" x14ac:dyDescent="0.35">
      <c r="I6088" s="42">
        <f t="shared" si="950"/>
        <v>0</v>
      </c>
      <c r="J6088" s="65" t="e">
        <f t="shared" si="951"/>
        <v>#NUM!</v>
      </c>
      <c r="K6088" s="83" t="e">
        <f t="shared" si="952"/>
        <v>#NUM!</v>
      </c>
      <c r="L6088" s="83">
        <f t="shared" si="953"/>
        <v>0</v>
      </c>
      <c r="M6088" s="110" t="str">
        <f t="shared" si="954"/>
        <v/>
      </c>
      <c r="N6088" s="51" t="str">
        <f t="shared" si="955"/>
        <v/>
      </c>
      <c r="O6088" s="52" t="str">
        <f t="shared" si="956"/>
        <v/>
      </c>
      <c r="P6088" s="88">
        <f t="shared" si="957"/>
        <v>0</v>
      </c>
      <c r="Q6088" s="88">
        <f t="shared" si="958"/>
        <v>0</v>
      </c>
      <c r="R6088" s="88" t="e">
        <f>-IF(Tabla14[[#This Row],[DIAS HABILES O MORA]]&lt;0,(Tabla14[[#This Row],[VALOR PRESTAMO]]*Tabla14[[#This Row],[% INTERES ]]/30*U6088))+Tabla14[[#This Row],[VALOR CUOTAS]]</f>
        <v>#VALUE!</v>
      </c>
      <c r="S6088" s="88">
        <f>-IF(Tabla14[[#This Row],[DIAS HABILES O MORA]]&lt;0,(Tabla14[[#This Row],[VALOR PRESTAMO]]*Tabla14[[#This Row],[% INTERES ]]/30*U6088))</f>
        <v>0</v>
      </c>
      <c r="T6088" s="53" t="e">
        <f>Tabla14[[#This Row],[DEUDA CAPITAL]]+Tabla14[[#This Row],[INTERES  CUOTA]]</f>
        <v>#NUM!</v>
      </c>
      <c r="U6088" s="61" t="str">
        <f t="shared" si="959"/>
        <v/>
      </c>
    </row>
    <row r="6089" spans="9:21" ht="24.75" customHeight="1" x14ac:dyDescent="0.35">
      <c r="I6089" s="42">
        <f t="shared" si="950"/>
        <v>0</v>
      </c>
      <c r="J6089" s="65" t="e">
        <f t="shared" si="951"/>
        <v>#NUM!</v>
      </c>
      <c r="K6089" s="83" t="e">
        <f t="shared" si="952"/>
        <v>#NUM!</v>
      </c>
      <c r="L6089" s="83">
        <f t="shared" si="953"/>
        <v>0</v>
      </c>
      <c r="M6089" s="110" t="str">
        <f t="shared" si="954"/>
        <v/>
      </c>
      <c r="N6089" s="51" t="str">
        <f t="shared" si="955"/>
        <v/>
      </c>
      <c r="O6089" s="52" t="str">
        <f t="shared" si="956"/>
        <v/>
      </c>
      <c r="P6089" s="88">
        <f t="shared" si="957"/>
        <v>0</v>
      </c>
      <c r="Q6089" s="88">
        <f t="shared" si="958"/>
        <v>0</v>
      </c>
      <c r="R6089" s="88" t="e">
        <f>-IF(Tabla14[[#This Row],[DIAS HABILES O MORA]]&lt;0,(Tabla14[[#This Row],[VALOR PRESTAMO]]*Tabla14[[#This Row],[% INTERES ]]/30*U6089))+Tabla14[[#This Row],[VALOR CUOTAS]]</f>
        <v>#VALUE!</v>
      </c>
      <c r="S6089" s="88">
        <f>-IF(Tabla14[[#This Row],[DIAS HABILES O MORA]]&lt;0,(Tabla14[[#This Row],[VALOR PRESTAMO]]*Tabla14[[#This Row],[% INTERES ]]/30*U6089))</f>
        <v>0</v>
      </c>
      <c r="T6089" s="53" t="e">
        <f>Tabla14[[#This Row],[DEUDA CAPITAL]]+Tabla14[[#This Row],[INTERES  CUOTA]]</f>
        <v>#NUM!</v>
      </c>
      <c r="U6089" s="61" t="str">
        <f t="shared" si="959"/>
        <v/>
      </c>
    </row>
    <row r="6090" spans="9:21" ht="24.75" customHeight="1" x14ac:dyDescent="0.35">
      <c r="I6090" s="42">
        <f t="shared" si="950"/>
        <v>0</v>
      </c>
      <c r="J6090" s="65" t="e">
        <f t="shared" si="951"/>
        <v>#NUM!</v>
      </c>
      <c r="K6090" s="83" t="e">
        <f t="shared" si="952"/>
        <v>#NUM!</v>
      </c>
      <c r="L6090" s="83">
        <f t="shared" si="953"/>
        <v>0</v>
      </c>
      <c r="M6090" s="110" t="str">
        <f t="shared" si="954"/>
        <v/>
      </c>
      <c r="N6090" s="51" t="str">
        <f t="shared" si="955"/>
        <v/>
      </c>
      <c r="O6090" s="52" t="str">
        <f t="shared" si="956"/>
        <v/>
      </c>
      <c r="P6090" s="88">
        <f t="shared" si="957"/>
        <v>0</v>
      </c>
      <c r="Q6090" s="88">
        <f t="shared" si="958"/>
        <v>0</v>
      </c>
      <c r="R6090" s="88" t="e">
        <f>-IF(Tabla14[[#This Row],[DIAS HABILES O MORA]]&lt;0,(Tabla14[[#This Row],[VALOR PRESTAMO]]*Tabla14[[#This Row],[% INTERES ]]/30*U6090))+Tabla14[[#This Row],[VALOR CUOTAS]]</f>
        <v>#VALUE!</v>
      </c>
      <c r="S6090" s="88">
        <f>-IF(Tabla14[[#This Row],[DIAS HABILES O MORA]]&lt;0,(Tabla14[[#This Row],[VALOR PRESTAMO]]*Tabla14[[#This Row],[% INTERES ]]/30*U6090))</f>
        <v>0</v>
      </c>
      <c r="T6090" s="53" t="e">
        <f>Tabla14[[#This Row],[DEUDA CAPITAL]]+Tabla14[[#This Row],[INTERES  CUOTA]]</f>
        <v>#NUM!</v>
      </c>
      <c r="U6090" s="61" t="str">
        <f t="shared" si="959"/>
        <v/>
      </c>
    </row>
    <row r="6091" spans="9:21" ht="24.75" customHeight="1" x14ac:dyDescent="0.35">
      <c r="I6091" s="42">
        <f t="shared" si="950"/>
        <v>0</v>
      </c>
      <c r="J6091" s="65" t="e">
        <f t="shared" si="951"/>
        <v>#NUM!</v>
      </c>
      <c r="K6091" s="83" t="e">
        <f t="shared" si="952"/>
        <v>#NUM!</v>
      </c>
      <c r="L6091" s="83">
        <f t="shared" si="953"/>
        <v>0</v>
      </c>
      <c r="M6091" s="110" t="str">
        <f t="shared" si="954"/>
        <v/>
      </c>
      <c r="N6091" s="51" t="str">
        <f t="shared" si="955"/>
        <v/>
      </c>
      <c r="O6091" s="52" t="str">
        <f t="shared" si="956"/>
        <v/>
      </c>
      <c r="P6091" s="88">
        <f t="shared" si="957"/>
        <v>0</v>
      </c>
      <c r="Q6091" s="88">
        <f t="shared" si="958"/>
        <v>0</v>
      </c>
      <c r="R6091" s="88" t="e">
        <f>-IF(Tabla14[[#This Row],[DIAS HABILES O MORA]]&lt;0,(Tabla14[[#This Row],[VALOR PRESTAMO]]*Tabla14[[#This Row],[% INTERES ]]/30*U6091))+Tabla14[[#This Row],[VALOR CUOTAS]]</f>
        <v>#VALUE!</v>
      </c>
      <c r="S6091" s="88">
        <f>-IF(Tabla14[[#This Row],[DIAS HABILES O MORA]]&lt;0,(Tabla14[[#This Row],[VALOR PRESTAMO]]*Tabla14[[#This Row],[% INTERES ]]/30*U6091))</f>
        <v>0</v>
      </c>
      <c r="T6091" s="53" t="e">
        <f>Tabla14[[#This Row],[DEUDA CAPITAL]]+Tabla14[[#This Row],[INTERES  CUOTA]]</f>
        <v>#NUM!</v>
      </c>
      <c r="U6091" s="61" t="str">
        <f t="shared" si="959"/>
        <v/>
      </c>
    </row>
    <row r="6092" spans="9:21" ht="24.75" customHeight="1" x14ac:dyDescent="0.35">
      <c r="I6092" s="42">
        <f t="shared" si="950"/>
        <v>0</v>
      </c>
      <c r="J6092" s="65" t="e">
        <f t="shared" si="951"/>
        <v>#NUM!</v>
      </c>
      <c r="K6092" s="83" t="e">
        <f t="shared" si="952"/>
        <v>#NUM!</v>
      </c>
      <c r="L6092" s="83">
        <f t="shared" si="953"/>
        <v>0</v>
      </c>
      <c r="M6092" s="110" t="str">
        <f t="shared" si="954"/>
        <v/>
      </c>
      <c r="N6092" s="51" t="str">
        <f t="shared" si="955"/>
        <v/>
      </c>
      <c r="O6092" s="52" t="str">
        <f t="shared" si="956"/>
        <v/>
      </c>
      <c r="P6092" s="88">
        <f t="shared" si="957"/>
        <v>0</v>
      </c>
      <c r="Q6092" s="88">
        <f t="shared" si="958"/>
        <v>0</v>
      </c>
      <c r="R6092" s="88" t="e">
        <f>-IF(Tabla14[[#This Row],[DIAS HABILES O MORA]]&lt;0,(Tabla14[[#This Row],[VALOR PRESTAMO]]*Tabla14[[#This Row],[% INTERES ]]/30*U6092))+Tabla14[[#This Row],[VALOR CUOTAS]]</f>
        <v>#VALUE!</v>
      </c>
      <c r="S6092" s="88">
        <f>-IF(Tabla14[[#This Row],[DIAS HABILES O MORA]]&lt;0,(Tabla14[[#This Row],[VALOR PRESTAMO]]*Tabla14[[#This Row],[% INTERES ]]/30*U6092))</f>
        <v>0</v>
      </c>
      <c r="T6092" s="53" t="e">
        <f>Tabla14[[#This Row],[DEUDA CAPITAL]]+Tabla14[[#This Row],[INTERES  CUOTA]]</f>
        <v>#NUM!</v>
      </c>
      <c r="U6092" s="61" t="str">
        <f t="shared" si="959"/>
        <v/>
      </c>
    </row>
    <row r="6093" spans="9:21" ht="24.75" customHeight="1" x14ac:dyDescent="0.35">
      <c r="I6093" s="42">
        <f t="shared" si="950"/>
        <v>0</v>
      </c>
      <c r="J6093" s="65" t="e">
        <f t="shared" si="951"/>
        <v>#NUM!</v>
      </c>
      <c r="K6093" s="83" t="e">
        <f t="shared" si="952"/>
        <v>#NUM!</v>
      </c>
      <c r="L6093" s="83">
        <f t="shared" si="953"/>
        <v>0</v>
      </c>
      <c r="M6093" s="110" t="str">
        <f t="shared" si="954"/>
        <v/>
      </c>
      <c r="N6093" s="51" t="str">
        <f t="shared" si="955"/>
        <v/>
      </c>
      <c r="O6093" s="52" t="str">
        <f t="shared" si="956"/>
        <v/>
      </c>
      <c r="P6093" s="88">
        <f t="shared" si="957"/>
        <v>0</v>
      </c>
      <c r="Q6093" s="88">
        <f t="shared" si="958"/>
        <v>0</v>
      </c>
      <c r="R6093" s="88" t="e">
        <f>-IF(Tabla14[[#This Row],[DIAS HABILES O MORA]]&lt;0,(Tabla14[[#This Row],[VALOR PRESTAMO]]*Tabla14[[#This Row],[% INTERES ]]/30*U6093))+Tabla14[[#This Row],[VALOR CUOTAS]]</f>
        <v>#VALUE!</v>
      </c>
      <c r="S6093" s="88">
        <f>-IF(Tabla14[[#This Row],[DIAS HABILES O MORA]]&lt;0,(Tabla14[[#This Row],[VALOR PRESTAMO]]*Tabla14[[#This Row],[% INTERES ]]/30*U6093))</f>
        <v>0</v>
      </c>
      <c r="T6093" s="53" t="e">
        <f>Tabla14[[#This Row],[DEUDA CAPITAL]]+Tabla14[[#This Row],[INTERES  CUOTA]]</f>
        <v>#NUM!</v>
      </c>
      <c r="U6093" s="61" t="str">
        <f t="shared" si="959"/>
        <v/>
      </c>
    </row>
    <row r="6094" spans="9:21" ht="24.75" customHeight="1" x14ac:dyDescent="0.35">
      <c r="I6094" s="42">
        <f t="shared" si="950"/>
        <v>0</v>
      </c>
      <c r="J6094" s="65" t="e">
        <f t="shared" si="951"/>
        <v>#NUM!</v>
      </c>
      <c r="K6094" s="83" t="e">
        <f t="shared" si="952"/>
        <v>#NUM!</v>
      </c>
      <c r="L6094" s="83">
        <f t="shared" si="953"/>
        <v>0</v>
      </c>
      <c r="M6094" s="110" t="str">
        <f t="shared" si="954"/>
        <v/>
      </c>
      <c r="N6094" s="51" t="str">
        <f t="shared" si="955"/>
        <v/>
      </c>
      <c r="O6094" s="52" t="str">
        <f t="shared" si="956"/>
        <v/>
      </c>
      <c r="P6094" s="88">
        <f t="shared" si="957"/>
        <v>0</v>
      </c>
      <c r="Q6094" s="88">
        <f t="shared" si="958"/>
        <v>0</v>
      </c>
      <c r="R6094" s="88" t="e">
        <f>-IF(Tabla14[[#This Row],[DIAS HABILES O MORA]]&lt;0,(Tabla14[[#This Row],[VALOR PRESTAMO]]*Tabla14[[#This Row],[% INTERES ]]/30*U6094))+Tabla14[[#This Row],[VALOR CUOTAS]]</f>
        <v>#VALUE!</v>
      </c>
      <c r="S6094" s="88">
        <f>-IF(Tabla14[[#This Row],[DIAS HABILES O MORA]]&lt;0,(Tabla14[[#This Row],[VALOR PRESTAMO]]*Tabla14[[#This Row],[% INTERES ]]/30*U6094))</f>
        <v>0</v>
      </c>
      <c r="T6094" s="53" t="e">
        <f>Tabla14[[#This Row],[DEUDA CAPITAL]]+Tabla14[[#This Row],[INTERES  CUOTA]]</f>
        <v>#NUM!</v>
      </c>
      <c r="U6094" s="61" t="str">
        <f t="shared" si="959"/>
        <v/>
      </c>
    </row>
    <row r="6095" spans="9:21" ht="24.75" customHeight="1" x14ac:dyDescent="0.35">
      <c r="I6095" s="42">
        <f t="shared" si="950"/>
        <v>0</v>
      </c>
      <c r="J6095" s="65" t="e">
        <f t="shared" si="951"/>
        <v>#NUM!</v>
      </c>
      <c r="K6095" s="83" t="e">
        <f t="shared" si="952"/>
        <v>#NUM!</v>
      </c>
      <c r="L6095" s="83">
        <f t="shared" si="953"/>
        <v>0</v>
      </c>
      <c r="M6095" s="110" t="str">
        <f t="shared" si="954"/>
        <v/>
      </c>
      <c r="N6095" s="51" t="str">
        <f t="shared" si="955"/>
        <v/>
      </c>
      <c r="O6095" s="52" t="str">
        <f t="shared" si="956"/>
        <v/>
      </c>
      <c r="P6095" s="88">
        <f t="shared" si="957"/>
        <v>0</v>
      </c>
      <c r="Q6095" s="88">
        <f t="shared" si="958"/>
        <v>0</v>
      </c>
      <c r="R6095" s="88" t="e">
        <f>-IF(Tabla14[[#This Row],[DIAS HABILES O MORA]]&lt;0,(Tabla14[[#This Row],[VALOR PRESTAMO]]*Tabla14[[#This Row],[% INTERES ]]/30*U6095))+Tabla14[[#This Row],[VALOR CUOTAS]]</f>
        <v>#VALUE!</v>
      </c>
      <c r="S6095" s="88">
        <f>-IF(Tabla14[[#This Row],[DIAS HABILES O MORA]]&lt;0,(Tabla14[[#This Row],[VALOR PRESTAMO]]*Tabla14[[#This Row],[% INTERES ]]/30*U6095))</f>
        <v>0</v>
      </c>
      <c r="T6095" s="53" t="e">
        <f>Tabla14[[#This Row],[DEUDA CAPITAL]]+Tabla14[[#This Row],[INTERES  CUOTA]]</f>
        <v>#NUM!</v>
      </c>
      <c r="U6095" s="61" t="str">
        <f t="shared" si="959"/>
        <v/>
      </c>
    </row>
    <row r="6096" spans="9:21" ht="24.75" customHeight="1" x14ac:dyDescent="0.35">
      <c r="I6096" s="42">
        <f t="shared" ref="I6096:I6159" si="960">IF(C6096&lt;0,"",IF(Q6096=0,0,IF(G6096=0,H6096+1,IF(H6096&lt;G6096,H6096+1,IF(G6096=H6096,0)))))</f>
        <v>0</v>
      </c>
      <c r="J6096" s="65" t="e">
        <f t="shared" ref="J6096:J6159" si="961">IF(F6096="SOLO INTERES",Q6096*D6096,-IPMT(D6096,I6096,G6096,C6096))</f>
        <v>#NUM!</v>
      </c>
      <c r="K6096" s="83" t="e">
        <f t="shared" ref="K6096:K6159" si="962">IF(F6096="SOLO INTERES",0,-PPMT(D6096,I6096,G6096,C6096))</f>
        <v>#NUM!</v>
      </c>
      <c r="L6096" s="83">
        <f t="shared" ref="L6096:L6159" si="963">IF(F6096="SOLO INTERES",SUM(Y6096:AAE6096),IFERROR(-CUMIPMT(D6096,G6096,C6096,1,H6096,0),0)+SUM(Y6096:WY6096))</f>
        <v>0</v>
      </c>
      <c r="M6096" s="110" t="str">
        <f t="shared" ref="M6096:M6159" si="964">IFERROR(IF(F6096="SOLO INTERES",Q6096*D6096,-PMT(D6096,G6096,C6096,0)),"")</f>
        <v/>
      </c>
      <c r="N6096" s="51" t="str">
        <f t="shared" ref="N6096:N6159" si="965">IF(Q6096=0,"",IF(E6096="MENSUAL",EDATE(B6096,I6096),IF(E6096="QUINCENAL",B6096+(I6096*15),IF(E6096="SEMANAL",B6096+(I6096*7)))))</f>
        <v/>
      </c>
      <c r="O6096" s="52" t="str">
        <f t="shared" ref="O6096:O6159" si="966">IF(C6096=0,"",IF(Q6096&lt;1,"PAGADO",IF(N6096=$A$3,"COBRAR HOY",IF(N6096&lt;$A$3,"EN MORA",IF(N6096&gt;$A$3,"AL DIA")))))</f>
        <v/>
      </c>
      <c r="P6096" s="88">
        <f t="shared" ref="P6096:P6159" si="967">IFERROR(-CUMPRINC(D6096,G6096,C6096,1,H6096,0),0)+W6096</f>
        <v>0</v>
      </c>
      <c r="Q6096" s="88">
        <f t="shared" ref="Q6096:Q6159" si="968">IFERROR(C6096-P6096,"")</f>
        <v>0</v>
      </c>
      <c r="R6096" s="88" t="e">
        <f>-IF(Tabla14[[#This Row],[DIAS HABILES O MORA]]&lt;0,(Tabla14[[#This Row],[VALOR PRESTAMO]]*Tabla14[[#This Row],[% INTERES ]]/30*U6096))+Tabla14[[#This Row],[VALOR CUOTAS]]</f>
        <v>#VALUE!</v>
      </c>
      <c r="S6096" s="88">
        <f>-IF(Tabla14[[#This Row],[DIAS HABILES O MORA]]&lt;0,(Tabla14[[#This Row],[VALOR PRESTAMO]]*Tabla14[[#This Row],[% INTERES ]]/30*U6096))</f>
        <v>0</v>
      </c>
      <c r="T6096" s="53" t="e">
        <f>Tabla14[[#This Row],[DEUDA CAPITAL]]+Tabla14[[#This Row],[INTERES  CUOTA]]</f>
        <v>#NUM!</v>
      </c>
      <c r="U6096" s="61" t="str">
        <f t="shared" ref="U6096:U6159" si="969">IF(O6096="PAGADO","",IFERROR(-IF(C6096=0,"",$A$3-N6096),""))</f>
        <v/>
      </c>
    </row>
    <row r="6097" spans="9:21" ht="24.75" customHeight="1" x14ac:dyDescent="0.35">
      <c r="I6097" s="42">
        <f t="shared" si="960"/>
        <v>0</v>
      </c>
      <c r="J6097" s="65" t="e">
        <f t="shared" si="961"/>
        <v>#NUM!</v>
      </c>
      <c r="K6097" s="83" t="e">
        <f t="shared" si="962"/>
        <v>#NUM!</v>
      </c>
      <c r="L6097" s="83">
        <f t="shared" si="963"/>
        <v>0</v>
      </c>
      <c r="M6097" s="110" t="str">
        <f t="shared" si="964"/>
        <v/>
      </c>
      <c r="N6097" s="51" t="str">
        <f t="shared" si="965"/>
        <v/>
      </c>
      <c r="O6097" s="52" t="str">
        <f t="shared" si="966"/>
        <v/>
      </c>
      <c r="P6097" s="88">
        <f t="shared" si="967"/>
        <v>0</v>
      </c>
      <c r="Q6097" s="88">
        <f t="shared" si="968"/>
        <v>0</v>
      </c>
      <c r="R6097" s="88" t="e">
        <f>-IF(Tabla14[[#This Row],[DIAS HABILES O MORA]]&lt;0,(Tabla14[[#This Row],[VALOR PRESTAMO]]*Tabla14[[#This Row],[% INTERES ]]/30*U6097))+Tabla14[[#This Row],[VALOR CUOTAS]]</f>
        <v>#VALUE!</v>
      </c>
      <c r="S6097" s="88">
        <f>-IF(Tabla14[[#This Row],[DIAS HABILES O MORA]]&lt;0,(Tabla14[[#This Row],[VALOR PRESTAMO]]*Tabla14[[#This Row],[% INTERES ]]/30*U6097))</f>
        <v>0</v>
      </c>
      <c r="T6097" s="53" t="e">
        <f>Tabla14[[#This Row],[DEUDA CAPITAL]]+Tabla14[[#This Row],[INTERES  CUOTA]]</f>
        <v>#NUM!</v>
      </c>
      <c r="U6097" s="61" t="str">
        <f t="shared" si="969"/>
        <v/>
      </c>
    </row>
    <row r="6098" spans="9:21" ht="24.75" customHeight="1" x14ac:dyDescent="0.35">
      <c r="I6098" s="42">
        <f t="shared" si="960"/>
        <v>0</v>
      </c>
      <c r="J6098" s="65" t="e">
        <f t="shared" si="961"/>
        <v>#NUM!</v>
      </c>
      <c r="K6098" s="83" t="e">
        <f t="shared" si="962"/>
        <v>#NUM!</v>
      </c>
      <c r="L6098" s="83">
        <f t="shared" si="963"/>
        <v>0</v>
      </c>
      <c r="M6098" s="110" t="str">
        <f t="shared" si="964"/>
        <v/>
      </c>
      <c r="N6098" s="51" t="str">
        <f t="shared" si="965"/>
        <v/>
      </c>
      <c r="O6098" s="52" t="str">
        <f t="shared" si="966"/>
        <v/>
      </c>
      <c r="P6098" s="88">
        <f t="shared" si="967"/>
        <v>0</v>
      </c>
      <c r="Q6098" s="88">
        <f t="shared" si="968"/>
        <v>0</v>
      </c>
      <c r="R6098" s="88" t="e">
        <f>-IF(Tabla14[[#This Row],[DIAS HABILES O MORA]]&lt;0,(Tabla14[[#This Row],[VALOR PRESTAMO]]*Tabla14[[#This Row],[% INTERES ]]/30*U6098))+Tabla14[[#This Row],[VALOR CUOTAS]]</f>
        <v>#VALUE!</v>
      </c>
      <c r="S6098" s="88">
        <f>-IF(Tabla14[[#This Row],[DIAS HABILES O MORA]]&lt;0,(Tabla14[[#This Row],[VALOR PRESTAMO]]*Tabla14[[#This Row],[% INTERES ]]/30*U6098))</f>
        <v>0</v>
      </c>
      <c r="T6098" s="53" t="e">
        <f>Tabla14[[#This Row],[DEUDA CAPITAL]]+Tabla14[[#This Row],[INTERES  CUOTA]]</f>
        <v>#NUM!</v>
      </c>
      <c r="U6098" s="61" t="str">
        <f t="shared" si="969"/>
        <v/>
      </c>
    </row>
    <row r="6099" spans="9:21" ht="24.75" customHeight="1" x14ac:dyDescent="0.35">
      <c r="I6099" s="42">
        <f t="shared" si="960"/>
        <v>0</v>
      </c>
      <c r="J6099" s="65" t="e">
        <f t="shared" si="961"/>
        <v>#NUM!</v>
      </c>
      <c r="K6099" s="83" t="e">
        <f t="shared" si="962"/>
        <v>#NUM!</v>
      </c>
      <c r="L6099" s="83">
        <f t="shared" si="963"/>
        <v>0</v>
      </c>
      <c r="M6099" s="110" t="str">
        <f t="shared" si="964"/>
        <v/>
      </c>
      <c r="N6099" s="51" t="str">
        <f t="shared" si="965"/>
        <v/>
      </c>
      <c r="O6099" s="52" t="str">
        <f t="shared" si="966"/>
        <v/>
      </c>
      <c r="P6099" s="88">
        <f t="shared" si="967"/>
        <v>0</v>
      </c>
      <c r="Q6099" s="88">
        <f t="shared" si="968"/>
        <v>0</v>
      </c>
      <c r="R6099" s="88" t="e">
        <f>-IF(Tabla14[[#This Row],[DIAS HABILES O MORA]]&lt;0,(Tabla14[[#This Row],[VALOR PRESTAMO]]*Tabla14[[#This Row],[% INTERES ]]/30*U6099))+Tabla14[[#This Row],[VALOR CUOTAS]]</f>
        <v>#VALUE!</v>
      </c>
      <c r="S6099" s="88">
        <f>-IF(Tabla14[[#This Row],[DIAS HABILES O MORA]]&lt;0,(Tabla14[[#This Row],[VALOR PRESTAMO]]*Tabla14[[#This Row],[% INTERES ]]/30*U6099))</f>
        <v>0</v>
      </c>
      <c r="T6099" s="53" t="e">
        <f>Tabla14[[#This Row],[DEUDA CAPITAL]]+Tabla14[[#This Row],[INTERES  CUOTA]]</f>
        <v>#NUM!</v>
      </c>
      <c r="U6099" s="61" t="str">
        <f t="shared" si="969"/>
        <v/>
      </c>
    </row>
    <row r="6100" spans="9:21" ht="24.75" customHeight="1" x14ac:dyDescent="0.35">
      <c r="I6100" s="42">
        <f t="shared" si="960"/>
        <v>0</v>
      </c>
      <c r="J6100" s="65" t="e">
        <f t="shared" si="961"/>
        <v>#NUM!</v>
      </c>
      <c r="K6100" s="83" t="e">
        <f t="shared" si="962"/>
        <v>#NUM!</v>
      </c>
      <c r="L6100" s="83">
        <f t="shared" si="963"/>
        <v>0</v>
      </c>
      <c r="M6100" s="110" t="str">
        <f t="shared" si="964"/>
        <v/>
      </c>
      <c r="N6100" s="51" t="str">
        <f t="shared" si="965"/>
        <v/>
      </c>
      <c r="O6100" s="52" t="str">
        <f t="shared" si="966"/>
        <v/>
      </c>
      <c r="P6100" s="88">
        <f t="shared" si="967"/>
        <v>0</v>
      </c>
      <c r="Q6100" s="88">
        <f t="shared" si="968"/>
        <v>0</v>
      </c>
      <c r="R6100" s="88" t="e">
        <f>-IF(Tabla14[[#This Row],[DIAS HABILES O MORA]]&lt;0,(Tabla14[[#This Row],[VALOR PRESTAMO]]*Tabla14[[#This Row],[% INTERES ]]/30*U6100))+Tabla14[[#This Row],[VALOR CUOTAS]]</f>
        <v>#VALUE!</v>
      </c>
      <c r="S6100" s="88">
        <f>-IF(Tabla14[[#This Row],[DIAS HABILES O MORA]]&lt;0,(Tabla14[[#This Row],[VALOR PRESTAMO]]*Tabla14[[#This Row],[% INTERES ]]/30*U6100))</f>
        <v>0</v>
      </c>
      <c r="T6100" s="53" t="e">
        <f>Tabla14[[#This Row],[DEUDA CAPITAL]]+Tabla14[[#This Row],[INTERES  CUOTA]]</f>
        <v>#NUM!</v>
      </c>
      <c r="U6100" s="61" t="str">
        <f t="shared" si="969"/>
        <v/>
      </c>
    </row>
    <row r="6101" spans="9:21" ht="24.75" customHeight="1" x14ac:dyDescent="0.35">
      <c r="I6101" s="42">
        <f t="shared" si="960"/>
        <v>0</v>
      </c>
      <c r="J6101" s="65" t="e">
        <f t="shared" si="961"/>
        <v>#NUM!</v>
      </c>
      <c r="K6101" s="83" t="e">
        <f t="shared" si="962"/>
        <v>#NUM!</v>
      </c>
      <c r="L6101" s="83">
        <f t="shared" si="963"/>
        <v>0</v>
      </c>
      <c r="M6101" s="110" t="str">
        <f t="shared" si="964"/>
        <v/>
      </c>
      <c r="N6101" s="51" t="str">
        <f t="shared" si="965"/>
        <v/>
      </c>
      <c r="O6101" s="52" t="str">
        <f t="shared" si="966"/>
        <v/>
      </c>
      <c r="P6101" s="88">
        <f t="shared" si="967"/>
        <v>0</v>
      </c>
      <c r="Q6101" s="88">
        <f t="shared" si="968"/>
        <v>0</v>
      </c>
      <c r="R6101" s="88" t="e">
        <f>-IF(Tabla14[[#This Row],[DIAS HABILES O MORA]]&lt;0,(Tabla14[[#This Row],[VALOR PRESTAMO]]*Tabla14[[#This Row],[% INTERES ]]/30*U6101))+Tabla14[[#This Row],[VALOR CUOTAS]]</f>
        <v>#VALUE!</v>
      </c>
      <c r="S6101" s="88">
        <f>-IF(Tabla14[[#This Row],[DIAS HABILES O MORA]]&lt;0,(Tabla14[[#This Row],[VALOR PRESTAMO]]*Tabla14[[#This Row],[% INTERES ]]/30*U6101))</f>
        <v>0</v>
      </c>
      <c r="T6101" s="53" t="e">
        <f>Tabla14[[#This Row],[DEUDA CAPITAL]]+Tabla14[[#This Row],[INTERES  CUOTA]]</f>
        <v>#NUM!</v>
      </c>
      <c r="U6101" s="61" t="str">
        <f t="shared" si="969"/>
        <v/>
      </c>
    </row>
    <row r="6102" spans="9:21" ht="24.75" customHeight="1" x14ac:dyDescent="0.35">
      <c r="I6102" s="42">
        <f t="shared" si="960"/>
        <v>0</v>
      </c>
      <c r="J6102" s="65" t="e">
        <f t="shared" si="961"/>
        <v>#NUM!</v>
      </c>
      <c r="K6102" s="83" t="e">
        <f t="shared" si="962"/>
        <v>#NUM!</v>
      </c>
      <c r="L6102" s="83">
        <f t="shared" si="963"/>
        <v>0</v>
      </c>
      <c r="M6102" s="110" t="str">
        <f t="shared" si="964"/>
        <v/>
      </c>
      <c r="N6102" s="51" t="str">
        <f t="shared" si="965"/>
        <v/>
      </c>
      <c r="O6102" s="52" t="str">
        <f t="shared" si="966"/>
        <v/>
      </c>
      <c r="P6102" s="88">
        <f t="shared" si="967"/>
        <v>0</v>
      </c>
      <c r="Q6102" s="88">
        <f t="shared" si="968"/>
        <v>0</v>
      </c>
      <c r="R6102" s="88" t="e">
        <f>-IF(Tabla14[[#This Row],[DIAS HABILES O MORA]]&lt;0,(Tabla14[[#This Row],[VALOR PRESTAMO]]*Tabla14[[#This Row],[% INTERES ]]/30*U6102))+Tabla14[[#This Row],[VALOR CUOTAS]]</f>
        <v>#VALUE!</v>
      </c>
      <c r="S6102" s="88">
        <f>-IF(Tabla14[[#This Row],[DIAS HABILES O MORA]]&lt;0,(Tabla14[[#This Row],[VALOR PRESTAMO]]*Tabla14[[#This Row],[% INTERES ]]/30*U6102))</f>
        <v>0</v>
      </c>
      <c r="T6102" s="53" t="e">
        <f>Tabla14[[#This Row],[DEUDA CAPITAL]]+Tabla14[[#This Row],[INTERES  CUOTA]]</f>
        <v>#NUM!</v>
      </c>
      <c r="U6102" s="61" t="str">
        <f t="shared" si="969"/>
        <v/>
      </c>
    </row>
    <row r="6103" spans="9:21" ht="24.75" customHeight="1" x14ac:dyDescent="0.35">
      <c r="I6103" s="42">
        <f t="shared" si="960"/>
        <v>0</v>
      </c>
      <c r="J6103" s="65" t="e">
        <f t="shared" si="961"/>
        <v>#NUM!</v>
      </c>
      <c r="K6103" s="83" t="e">
        <f t="shared" si="962"/>
        <v>#NUM!</v>
      </c>
      <c r="L6103" s="83">
        <f t="shared" si="963"/>
        <v>0</v>
      </c>
      <c r="M6103" s="110" t="str">
        <f t="shared" si="964"/>
        <v/>
      </c>
      <c r="N6103" s="51" t="str">
        <f t="shared" si="965"/>
        <v/>
      </c>
      <c r="O6103" s="52" t="str">
        <f t="shared" si="966"/>
        <v/>
      </c>
      <c r="P6103" s="88">
        <f t="shared" si="967"/>
        <v>0</v>
      </c>
      <c r="Q6103" s="88">
        <f t="shared" si="968"/>
        <v>0</v>
      </c>
      <c r="R6103" s="88" t="e">
        <f>-IF(Tabla14[[#This Row],[DIAS HABILES O MORA]]&lt;0,(Tabla14[[#This Row],[VALOR PRESTAMO]]*Tabla14[[#This Row],[% INTERES ]]/30*U6103))+Tabla14[[#This Row],[VALOR CUOTAS]]</f>
        <v>#VALUE!</v>
      </c>
      <c r="S6103" s="88">
        <f>-IF(Tabla14[[#This Row],[DIAS HABILES O MORA]]&lt;0,(Tabla14[[#This Row],[VALOR PRESTAMO]]*Tabla14[[#This Row],[% INTERES ]]/30*U6103))</f>
        <v>0</v>
      </c>
      <c r="T6103" s="53" t="e">
        <f>Tabla14[[#This Row],[DEUDA CAPITAL]]+Tabla14[[#This Row],[INTERES  CUOTA]]</f>
        <v>#NUM!</v>
      </c>
      <c r="U6103" s="61" t="str">
        <f t="shared" si="969"/>
        <v/>
      </c>
    </row>
    <row r="6104" spans="9:21" ht="24.75" customHeight="1" x14ac:dyDescent="0.35">
      <c r="I6104" s="42">
        <f t="shared" si="960"/>
        <v>0</v>
      </c>
      <c r="J6104" s="65" t="e">
        <f t="shared" si="961"/>
        <v>#NUM!</v>
      </c>
      <c r="K6104" s="83" t="e">
        <f t="shared" si="962"/>
        <v>#NUM!</v>
      </c>
      <c r="L6104" s="83">
        <f t="shared" si="963"/>
        <v>0</v>
      </c>
      <c r="M6104" s="110" t="str">
        <f t="shared" si="964"/>
        <v/>
      </c>
      <c r="N6104" s="51" t="str">
        <f t="shared" si="965"/>
        <v/>
      </c>
      <c r="O6104" s="52" t="str">
        <f t="shared" si="966"/>
        <v/>
      </c>
      <c r="P6104" s="88">
        <f t="shared" si="967"/>
        <v>0</v>
      </c>
      <c r="Q6104" s="88">
        <f t="shared" si="968"/>
        <v>0</v>
      </c>
      <c r="R6104" s="88" t="e">
        <f>-IF(Tabla14[[#This Row],[DIAS HABILES O MORA]]&lt;0,(Tabla14[[#This Row],[VALOR PRESTAMO]]*Tabla14[[#This Row],[% INTERES ]]/30*U6104))+Tabla14[[#This Row],[VALOR CUOTAS]]</f>
        <v>#VALUE!</v>
      </c>
      <c r="S6104" s="88">
        <f>-IF(Tabla14[[#This Row],[DIAS HABILES O MORA]]&lt;0,(Tabla14[[#This Row],[VALOR PRESTAMO]]*Tabla14[[#This Row],[% INTERES ]]/30*U6104))</f>
        <v>0</v>
      </c>
      <c r="T6104" s="53" t="e">
        <f>Tabla14[[#This Row],[DEUDA CAPITAL]]+Tabla14[[#This Row],[INTERES  CUOTA]]</f>
        <v>#NUM!</v>
      </c>
      <c r="U6104" s="61" t="str">
        <f t="shared" si="969"/>
        <v/>
      </c>
    </row>
    <row r="6105" spans="9:21" ht="24.75" customHeight="1" x14ac:dyDescent="0.35">
      <c r="I6105" s="42">
        <f t="shared" si="960"/>
        <v>0</v>
      </c>
      <c r="J6105" s="65" t="e">
        <f t="shared" si="961"/>
        <v>#NUM!</v>
      </c>
      <c r="K6105" s="83" t="e">
        <f t="shared" si="962"/>
        <v>#NUM!</v>
      </c>
      <c r="L6105" s="83">
        <f t="shared" si="963"/>
        <v>0</v>
      </c>
      <c r="M6105" s="110" t="str">
        <f t="shared" si="964"/>
        <v/>
      </c>
      <c r="N6105" s="51" t="str">
        <f t="shared" si="965"/>
        <v/>
      </c>
      <c r="O6105" s="52" t="str">
        <f t="shared" si="966"/>
        <v/>
      </c>
      <c r="P6105" s="88">
        <f t="shared" si="967"/>
        <v>0</v>
      </c>
      <c r="Q6105" s="88">
        <f t="shared" si="968"/>
        <v>0</v>
      </c>
      <c r="R6105" s="88" t="e">
        <f>-IF(Tabla14[[#This Row],[DIAS HABILES O MORA]]&lt;0,(Tabla14[[#This Row],[VALOR PRESTAMO]]*Tabla14[[#This Row],[% INTERES ]]/30*U6105))+Tabla14[[#This Row],[VALOR CUOTAS]]</f>
        <v>#VALUE!</v>
      </c>
      <c r="S6105" s="88">
        <f>-IF(Tabla14[[#This Row],[DIAS HABILES O MORA]]&lt;0,(Tabla14[[#This Row],[VALOR PRESTAMO]]*Tabla14[[#This Row],[% INTERES ]]/30*U6105))</f>
        <v>0</v>
      </c>
      <c r="T6105" s="53" t="e">
        <f>Tabla14[[#This Row],[DEUDA CAPITAL]]+Tabla14[[#This Row],[INTERES  CUOTA]]</f>
        <v>#NUM!</v>
      </c>
      <c r="U6105" s="61" t="str">
        <f t="shared" si="969"/>
        <v/>
      </c>
    </row>
    <row r="6106" spans="9:21" ht="24.75" customHeight="1" x14ac:dyDescent="0.35">
      <c r="I6106" s="42">
        <f t="shared" si="960"/>
        <v>0</v>
      </c>
      <c r="J6106" s="65" t="e">
        <f t="shared" si="961"/>
        <v>#NUM!</v>
      </c>
      <c r="K6106" s="83" t="e">
        <f t="shared" si="962"/>
        <v>#NUM!</v>
      </c>
      <c r="L6106" s="83">
        <f t="shared" si="963"/>
        <v>0</v>
      </c>
      <c r="M6106" s="110" t="str">
        <f t="shared" si="964"/>
        <v/>
      </c>
      <c r="N6106" s="51" t="str">
        <f t="shared" si="965"/>
        <v/>
      </c>
      <c r="O6106" s="52" t="str">
        <f t="shared" si="966"/>
        <v/>
      </c>
      <c r="P6106" s="88">
        <f t="shared" si="967"/>
        <v>0</v>
      </c>
      <c r="Q6106" s="88">
        <f t="shared" si="968"/>
        <v>0</v>
      </c>
      <c r="R6106" s="88" t="e">
        <f>-IF(Tabla14[[#This Row],[DIAS HABILES O MORA]]&lt;0,(Tabla14[[#This Row],[VALOR PRESTAMO]]*Tabla14[[#This Row],[% INTERES ]]/30*U6106))+Tabla14[[#This Row],[VALOR CUOTAS]]</f>
        <v>#VALUE!</v>
      </c>
      <c r="S6106" s="88">
        <f>-IF(Tabla14[[#This Row],[DIAS HABILES O MORA]]&lt;0,(Tabla14[[#This Row],[VALOR PRESTAMO]]*Tabla14[[#This Row],[% INTERES ]]/30*U6106))</f>
        <v>0</v>
      </c>
      <c r="T6106" s="53" t="e">
        <f>Tabla14[[#This Row],[DEUDA CAPITAL]]+Tabla14[[#This Row],[INTERES  CUOTA]]</f>
        <v>#NUM!</v>
      </c>
      <c r="U6106" s="61" t="str">
        <f t="shared" si="969"/>
        <v/>
      </c>
    </row>
    <row r="6107" spans="9:21" ht="24.75" customHeight="1" x14ac:dyDescent="0.35">
      <c r="I6107" s="42">
        <f t="shared" si="960"/>
        <v>0</v>
      </c>
      <c r="J6107" s="65" t="e">
        <f t="shared" si="961"/>
        <v>#NUM!</v>
      </c>
      <c r="K6107" s="83" t="e">
        <f t="shared" si="962"/>
        <v>#NUM!</v>
      </c>
      <c r="L6107" s="83">
        <f t="shared" si="963"/>
        <v>0</v>
      </c>
      <c r="M6107" s="110" t="str">
        <f t="shared" si="964"/>
        <v/>
      </c>
      <c r="N6107" s="51" t="str">
        <f t="shared" si="965"/>
        <v/>
      </c>
      <c r="O6107" s="52" t="str">
        <f t="shared" si="966"/>
        <v/>
      </c>
      <c r="P6107" s="88">
        <f t="shared" si="967"/>
        <v>0</v>
      </c>
      <c r="Q6107" s="88">
        <f t="shared" si="968"/>
        <v>0</v>
      </c>
      <c r="R6107" s="88" t="e">
        <f>-IF(Tabla14[[#This Row],[DIAS HABILES O MORA]]&lt;0,(Tabla14[[#This Row],[VALOR PRESTAMO]]*Tabla14[[#This Row],[% INTERES ]]/30*U6107))+Tabla14[[#This Row],[VALOR CUOTAS]]</f>
        <v>#VALUE!</v>
      </c>
      <c r="S6107" s="88">
        <f>-IF(Tabla14[[#This Row],[DIAS HABILES O MORA]]&lt;0,(Tabla14[[#This Row],[VALOR PRESTAMO]]*Tabla14[[#This Row],[% INTERES ]]/30*U6107))</f>
        <v>0</v>
      </c>
      <c r="T6107" s="53" t="e">
        <f>Tabla14[[#This Row],[DEUDA CAPITAL]]+Tabla14[[#This Row],[INTERES  CUOTA]]</f>
        <v>#NUM!</v>
      </c>
      <c r="U6107" s="61" t="str">
        <f t="shared" si="969"/>
        <v/>
      </c>
    </row>
    <row r="6108" spans="9:21" ht="24.75" customHeight="1" x14ac:dyDescent="0.35">
      <c r="I6108" s="42">
        <f t="shared" si="960"/>
        <v>0</v>
      </c>
      <c r="J6108" s="65" t="e">
        <f t="shared" si="961"/>
        <v>#NUM!</v>
      </c>
      <c r="K6108" s="83" t="e">
        <f t="shared" si="962"/>
        <v>#NUM!</v>
      </c>
      <c r="L6108" s="83">
        <f t="shared" si="963"/>
        <v>0</v>
      </c>
      <c r="M6108" s="110" t="str">
        <f t="shared" si="964"/>
        <v/>
      </c>
      <c r="N6108" s="51" t="str">
        <f t="shared" si="965"/>
        <v/>
      </c>
      <c r="O6108" s="52" t="str">
        <f t="shared" si="966"/>
        <v/>
      </c>
      <c r="P6108" s="88">
        <f t="shared" si="967"/>
        <v>0</v>
      </c>
      <c r="Q6108" s="88">
        <f t="shared" si="968"/>
        <v>0</v>
      </c>
      <c r="R6108" s="88" t="e">
        <f>-IF(Tabla14[[#This Row],[DIAS HABILES O MORA]]&lt;0,(Tabla14[[#This Row],[VALOR PRESTAMO]]*Tabla14[[#This Row],[% INTERES ]]/30*U6108))+Tabla14[[#This Row],[VALOR CUOTAS]]</f>
        <v>#VALUE!</v>
      </c>
      <c r="S6108" s="88">
        <f>-IF(Tabla14[[#This Row],[DIAS HABILES O MORA]]&lt;0,(Tabla14[[#This Row],[VALOR PRESTAMO]]*Tabla14[[#This Row],[% INTERES ]]/30*U6108))</f>
        <v>0</v>
      </c>
      <c r="T6108" s="53" t="e">
        <f>Tabla14[[#This Row],[DEUDA CAPITAL]]+Tabla14[[#This Row],[INTERES  CUOTA]]</f>
        <v>#NUM!</v>
      </c>
      <c r="U6108" s="61" t="str">
        <f t="shared" si="969"/>
        <v/>
      </c>
    </row>
    <row r="6109" spans="9:21" ht="24.75" customHeight="1" x14ac:dyDescent="0.35">
      <c r="I6109" s="42">
        <f t="shared" si="960"/>
        <v>0</v>
      </c>
      <c r="J6109" s="65" t="e">
        <f t="shared" si="961"/>
        <v>#NUM!</v>
      </c>
      <c r="K6109" s="83" t="e">
        <f t="shared" si="962"/>
        <v>#NUM!</v>
      </c>
      <c r="L6109" s="83">
        <f t="shared" si="963"/>
        <v>0</v>
      </c>
      <c r="M6109" s="110" t="str">
        <f t="shared" si="964"/>
        <v/>
      </c>
      <c r="N6109" s="51" t="str">
        <f t="shared" si="965"/>
        <v/>
      </c>
      <c r="O6109" s="52" t="str">
        <f t="shared" si="966"/>
        <v/>
      </c>
      <c r="P6109" s="88">
        <f t="shared" si="967"/>
        <v>0</v>
      </c>
      <c r="Q6109" s="88">
        <f t="shared" si="968"/>
        <v>0</v>
      </c>
      <c r="R6109" s="88" t="e">
        <f>-IF(Tabla14[[#This Row],[DIAS HABILES O MORA]]&lt;0,(Tabla14[[#This Row],[VALOR PRESTAMO]]*Tabla14[[#This Row],[% INTERES ]]/30*U6109))+Tabla14[[#This Row],[VALOR CUOTAS]]</f>
        <v>#VALUE!</v>
      </c>
      <c r="S6109" s="88">
        <f>-IF(Tabla14[[#This Row],[DIAS HABILES O MORA]]&lt;0,(Tabla14[[#This Row],[VALOR PRESTAMO]]*Tabla14[[#This Row],[% INTERES ]]/30*U6109))</f>
        <v>0</v>
      </c>
      <c r="T6109" s="53" t="e">
        <f>Tabla14[[#This Row],[DEUDA CAPITAL]]+Tabla14[[#This Row],[INTERES  CUOTA]]</f>
        <v>#NUM!</v>
      </c>
      <c r="U6109" s="61" t="str">
        <f t="shared" si="969"/>
        <v/>
      </c>
    </row>
    <row r="6110" spans="9:21" ht="24.75" customHeight="1" x14ac:dyDescent="0.35">
      <c r="I6110" s="42">
        <f t="shared" si="960"/>
        <v>0</v>
      </c>
      <c r="J6110" s="65" t="e">
        <f t="shared" si="961"/>
        <v>#NUM!</v>
      </c>
      <c r="K6110" s="83" t="e">
        <f t="shared" si="962"/>
        <v>#NUM!</v>
      </c>
      <c r="L6110" s="83">
        <f t="shared" si="963"/>
        <v>0</v>
      </c>
      <c r="M6110" s="110" t="str">
        <f t="shared" si="964"/>
        <v/>
      </c>
      <c r="N6110" s="51" t="str">
        <f t="shared" si="965"/>
        <v/>
      </c>
      <c r="O6110" s="52" t="str">
        <f t="shared" si="966"/>
        <v/>
      </c>
      <c r="P6110" s="88">
        <f t="shared" si="967"/>
        <v>0</v>
      </c>
      <c r="Q6110" s="88">
        <f t="shared" si="968"/>
        <v>0</v>
      </c>
      <c r="R6110" s="88" t="e">
        <f>-IF(Tabla14[[#This Row],[DIAS HABILES O MORA]]&lt;0,(Tabla14[[#This Row],[VALOR PRESTAMO]]*Tabla14[[#This Row],[% INTERES ]]/30*U6110))+Tabla14[[#This Row],[VALOR CUOTAS]]</f>
        <v>#VALUE!</v>
      </c>
      <c r="S6110" s="88">
        <f>-IF(Tabla14[[#This Row],[DIAS HABILES O MORA]]&lt;0,(Tabla14[[#This Row],[VALOR PRESTAMO]]*Tabla14[[#This Row],[% INTERES ]]/30*U6110))</f>
        <v>0</v>
      </c>
      <c r="T6110" s="53" t="e">
        <f>Tabla14[[#This Row],[DEUDA CAPITAL]]+Tabla14[[#This Row],[INTERES  CUOTA]]</f>
        <v>#NUM!</v>
      </c>
      <c r="U6110" s="61" t="str">
        <f t="shared" si="969"/>
        <v/>
      </c>
    </row>
    <row r="6111" spans="9:21" ht="24.75" customHeight="1" x14ac:dyDescent="0.35">
      <c r="I6111" s="42">
        <f t="shared" si="960"/>
        <v>0</v>
      </c>
      <c r="J6111" s="65" t="e">
        <f t="shared" si="961"/>
        <v>#NUM!</v>
      </c>
      <c r="K6111" s="83" t="e">
        <f t="shared" si="962"/>
        <v>#NUM!</v>
      </c>
      <c r="L6111" s="83">
        <f t="shared" si="963"/>
        <v>0</v>
      </c>
      <c r="M6111" s="110" t="str">
        <f t="shared" si="964"/>
        <v/>
      </c>
      <c r="N6111" s="51" t="str">
        <f t="shared" si="965"/>
        <v/>
      </c>
      <c r="O6111" s="52" t="str">
        <f t="shared" si="966"/>
        <v/>
      </c>
      <c r="P6111" s="88">
        <f t="shared" si="967"/>
        <v>0</v>
      </c>
      <c r="Q6111" s="88">
        <f t="shared" si="968"/>
        <v>0</v>
      </c>
      <c r="R6111" s="88" t="e">
        <f>-IF(Tabla14[[#This Row],[DIAS HABILES O MORA]]&lt;0,(Tabla14[[#This Row],[VALOR PRESTAMO]]*Tabla14[[#This Row],[% INTERES ]]/30*U6111))+Tabla14[[#This Row],[VALOR CUOTAS]]</f>
        <v>#VALUE!</v>
      </c>
      <c r="S6111" s="88">
        <f>-IF(Tabla14[[#This Row],[DIAS HABILES O MORA]]&lt;0,(Tabla14[[#This Row],[VALOR PRESTAMO]]*Tabla14[[#This Row],[% INTERES ]]/30*U6111))</f>
        <v>0</v>
      </c>
      <c r="T6111" s="53" t="e">
        <f>Tabla14[[#This Row],[DEUDA CAPITAL]]+Tabla14[[#This Row],[INTERES  CUOTA]]</f>
        <v>#NUM!</v>
      </c>
      <c r="U6111" s="61" t="str">
        <f t="shared" si="969"/>
        <v/>
      </c>
    </row>
    <row r="6112" spans="9:21" ht="24.75" customHeight="1" x14ac:dyDescent="0.35">
      <c r="I6112" s="42">
        <f t="shared" si="960"/>
        <v>0</v>
      </c>
      <c r="J6112" s="65" t="e">
        <f t="shared" si="961"/>
        <v>#NUM!</v>
      </c>
      <c r="K6112" s="83" t="e">
        <f t="shared" si="962"/>
        <v>#NUM!</v>
      </c>
      <c r="L6112" s="83">
        <f t="shared" si="963"/>
        <v>0</v>
      </c>
      <c r="M6112" s="110" t="str">
        <f t="shared" si="964"/>
        <v/>
      </c>
      <c r="N6112" s="51" t="str">
        <f t="shared" si="965"/>
        <v/>
      </c>
      <c r="O6112" s="52" t="str">
        <f t="shared" si="966"/>
        <v/>
      </c>
      <c r="P6112" s="88">
        <f t="shared" si="967"/>
        <v>0</v>
      </c>
      <c r="Q6112" s="88">
        <f t="shared" si="968"/>
        <v>0</v>
      </c>
      <c r="R6112" s="88" t="e">
        <f>-IF(Tabla14[[#This Row],[DIAS HABILES O MORA]]&lt;0,(Tabla14[[#This Row],[VALOR PRESTAMO]]*Tabla14[[#This Row],[% INTERES ]]/30*U6112))+Tabla14[[#This Row],[VALOR CUOTAS]]</f>
        <v>#VALUE!</v>
      </c>
      <c r="S6112" s="88">
        <f>-IF(Tabla14[[#This Row],[DIAS HABILES O MORA]]&lt;0,(Tabla14[[#This Row],[VALOR PRESTAMO]]*Tabla14[[#This Row],[% INTERES ]]/30*U6112))</f>
        <v>0</v>
      </c>
      <c r="T6112" s="53" t="e">
        <f>Tabla14[[#This Row],[DEUDA CAPITAL]]+Tabla14[[#This Row],[INTERES  CUOTA]]</f>
        <v>#NUM!</v>
      </c>
      <c r="U6112" s="61" t="str">
        <f t="shared" si="969"/>
        <v/>
      </c>
    </row>
    <row r="6113" spans="9:21" ht="24.75" customHeight="1" x14ac:dyDescent="0.35">
      <c r="I6113" s="42">
        <f t="shared" si="960"/>
        <v>0</v>
      </c>
      <c r="J6113" s="65" t="e">
        <f t="shared" si="961"/>
        <v>#NUM!</v>
      </c>
      <c r="K6113" s="83" t="e">
        <f t="shared" si="962"/>
        <v>#NUM!</v>
      </c>
      <c r="L6113" s="83">
        <f t="shared" si="963"/>
        <v>0</v>
      </c>
      <c r="M6113" s="110" t="str">
        <f t="shared" si="964"/>
        <v/>
      </c>
      <c r="N6113" s="51" t="str">
        <f t="shared" si="965"/>
        <v/>
      </c>
      <c r="O6113" s="52" t="str">
        <f t="shared" si="966"/>
        <v/>
      </c>
      <c r="P6113" s="88">
        <f t="shared" si="967"/>
        <v>0</v>
      </c>
      <c r="Q6113" s="88">
        <f t="shared" si="968"/>
        <v>0</v>
      </c>
      <c r="R6113" s="88" t="e">
        <f>-IF(Tabla14[[#This Row],[DIAS HABILES O MORA]]&lt;0,(Tabla14[[#This Row],[VALOR PRESTAMO]]*Tabla14[[#This Row],[% INTERES ]]/30*U6113))+Tabla14[[#This Row],[VALOR CUOTAS]]</f>
        <v>#VALUE!</v>
      </c>
      <c r="S6113" s="88">
        <f>-IF(Tabla14[[#This Row],[DIAS HABILES O MORA]]&lt;0,(Tabla14[[#This Row],[VALOR PRESTAMO]]*Tabla14[[#This Row],[% INTERES ]]/30*U6113))</f>
        <v>0</v>
      </c>
      <c r="T6113" s="53" t="e">
        <f>Tabla14[[#This Row],[DEUDA CAPITAL]]+Tabla14[[#This Row],[INTERES  CUOTA]]</f>
        <v>#NUM!</v>
      </c>
      <c r="U6113" s="61" t="str">
        <f t="shared" si="969"/>
        <v/>
      </c>
    </row>
    <row r="6114" spans="9:21" ht="24.75" customHeight="1" x14ac:dyDescent="0.35">
      <c r="I6114" s="42">
        <f t="shared" si="960"/>
        <v>0</v>
      </c>
      <c r="J6114" s="65" t="e">
        <f t="shared" si="961"/>
        <v>#NUM!</v>
      </c>
      <c r="K6114" s="83" t="e">
        <f t="shared" si="962"/>
        <v>#NUM!</v>
      </c>
      <c r="L6114" s="83">
        <f t="shared" si="963"/>
        <v>0</v>
      </c>
      <c r="M6114" s="110" t="str">
        <f t="shared" si="964"/>
        <v/>
      </c>
      <c r="N6114" s="51" t="str">
        <f t="shared" si="965"/>
        <v/>
      </c>
      <c r="O6114" s="52" t="str">
        <f t="shared" si="966"/>
        <v/>
      </c>
      <c r="P6114" s="88">
        <f t="shared" si="967"/>
        <v>0</v>
      </c>
      <c r="Q6114" s="88">
        <f t="shared" si="968"/>
        <v>0</v>
      </c>
      <c r="R6114" s="88" t="e">
        <f>-IF(Tabla14[[#This Row],[DIAS HABILES O MORA]]&lt;0,(Tabla14[[#This Row],[VALOR PRESTAMO]]*Tabla14[[#This Row],[% INTERES ]]/30*U6114))+Tabla14[[#This Row],[VALOR CUOTAS]]</f>
        <v>#VALUE!</v>
      </c>
      <c r="S6114" s="88">
        <f>-IF(Tabla14[[#This Row],[DIAS HABILES O MORA]]&lt;0,(Tabla14[[#This Row],[VALOR PRESTAMO]]*Tabla14[[#This Row],[% INTERES ]]/30*U6114))</f>
        <v>0</v>
      </c>
      <c r="T6114" s="53" t="e">
        <f>Tabla14[[#This Row],[DEUDA CAPITAL]]+Tabla14[[#This Row],[INTERES  CUOTA]]</f>
        <v>#NUM!</v>
      </c>
      <c r="U6114" s="61" t="str">
        <f t="shared" si="969"/>
        <v/>
      </c>
    </row>
    <row r="6115" spans="9:21" ht="24.75" customHeight="1" x14ac:dyDescent="0.35">
      <c r="I6115" s="42">
        <f t="shared" si="960"/>
        <v>0</v>
      </c>
      <c r="J6115" s="65" t="e">
        <f t="shared" si="961"/>
        <v>#NUM!</v>
      </c>
      <c r="K6115" s="83" t="e">
        <f t="shared" si="962"/>
        <v>#NUM!</v>
      </c>
      <c r="L6115" s="83">
        <f t="shared" si="963"/>
        <v>0</v>
      </c>
      <c r="M6115" s="110" t="str">
        <f t="shared" si="964"/>
        <v/>
      </c>
      <c r="N6115" s="51" t="str">
        <f t="shared" si="965"/>
        <v/>
      </c>
      <c r="O6115" s="52" t="str">
        <f t="shared" si="966"/>
        <v/>
      </c>
      <c r="P6115" s="88">
        <f t="shared" si="967"/>
        <v>0</v>
      </c>
      <c r="Q6115" s="88">
        <f t="shared" si="968"/>
        <v>0</v>
      </c>
      <c r="R6115" s="88" t="e">
        <f>-IF(Tabla14[[#This Row],[DIAS HABILES O MORA]]&lt;0,(Tabla14[[#This Row],[VALOR PRESTAMO]]*Tabla14[[#This Row],[% INTERES ]]/30*U6115))+Tabla14[[#This Row],[VALOR CUOTAS]]</f>
        <v>#VALUE!</v>
      </c>
      <c r="S6115" s="88">
        <f>-IF(Tabla14[[#This Row],[DIAS HABILES O MORA]]&lt;0,(Tabla14[[#This Row],[VALOR PRESTAMO]]*Tabla14[[#This Row],[% INTERES ]]/30*U6115))</f>
        <v>0</v>
      </c>
      <c r="T6115" s="53" t="e">
        <f>Tabla14[[#This Row],[DEUDA CAPITAL]]+Tabla14[[#This Row],[INTERES  CUOTA]]</f>
        <v>#NUM!</v>
      </c>
      <c r="U6115" s="61" t="str">
        <f t="shared" si="969"/>
        <v/>
      </c>
    </row>
    <row r="6116" spans="9:21" ht="24.75" customHeight="1" x14ac:dyDescent="0.35">
      <c r="I6116" s="42">
        <f t="shared" si="960"/>
        <v>0</v>
      </c>
      <c r="J6116" s="65" t="e">
        <f t="shared" si="961"/>
        <v>#NUM!</v>
      </c>
      <c r="K6116" s="83" t="e">
        <f t="shared" si="962"/>
        <v>#NUM!</v>
      </c>
      <c r="L6116" s="83">
        <f t="shared" si="963"/>
        <v>0</v>
      </c>
      <c r="M6116" s="110" t="str">
        <f t="shared" si="964"/>
        <v/>
      </c>
      <c r="N6116" s="51" t="str">
        <f t="shared" si="965"/>
        <v/>
      </c>
      <c r="O6116" s="52" t="str">
        <f t="shared" si="966"/>
        <v/>
      </c>
      <c r="P6116" s="88">
        <f t="shared" si="967"/>
        <v>0</v>
      </c>
      <c r="Q6116" s="88">
        <f t="shared" si="968"/>
        <v>0</v>
      </c>
      <c r="R6116" s="88" t="e">
        <f>-IF(Tabla14[[#This Row],[DIAS HABILES O MORA]]&lt;0,(Tabla14[[#This Row],[VALOR PRESTAMO]]*Tabla14[[#This Row],[% INTERES ]]/30*U6116))+Tabla14[[#This Row],[VALOR CUOTAS]]</f>
        <v>#VALUE!</v>
      </c>
      <c r="S6116" s="88">
        <f>-IF(Tabla14[[#This Row],[DIAS HABILES O MORA]]&lt;0,(Tabla14[[#This Row],[VALOR PRESTAMO]]*Tabla14[[#This Row],[% INTERES ]]/30*U6116))</f>
        <v>0</v>
      </c>
      <c r="T6116" s="53" t="e">
        <f>Tabla14[[#This Row],[DEUDA CAPITAL]]+Tabla14[[#This Row],[INTERES  CUOTA]]</f>
        <v>#NUM!</v>
      </c>
      <c r="U6116" s="61" t="str">
        <f t="shared" si="969"/>
        <v/>
      </c>
    </row>
    <row r="6117" spans="9:21" ht="24.75" customHeight="1" x14ac:dyDescent="0.35">
      <c r="I6117" s="42">
        <f t="shared" si="960"/>
        <v>0</v>
      </c>
      <c r="J6117" s="65" t="e">
        <f t="shared" si="961"/>
        <v>#NUM!</v>
      </c>
      <c r="K6117" s="83" t="e">
        <f t="shared" si="962"/>
        <v>#NUM!</v>
      </c>
      <c r="L6117" s="83">
        <f t="shared" si="963"/>
        <v>0</v>
      </c>
      <c r="M6117" s="110" t="str">
        <f t="shared" si="964"/>
        <v/>
      </c>
      <c r="N6117" s="51" t="str">
        <f t="shared" si="965"/>
        <v/>
      </c>
      <c r="O6117" s="52" t="str">
        <f t="shared" si="966"/>
        <v/>
      </c>
      <c r="P6117" s="88">
        <f t="shared" si="967"/>
        <v>0</v>
      </c>
      <c r="Q6117" s="88">
        <f t="shared" si="968"/>
        <v>0</v>
      </c>
      <c r="R6117" s="88" t="e">
        <f>-IF(Tabla14[[#This Row],[DIAS HABILES O MORA]]&lt;0,(Tabla14[[#This Row],[VALOR PRESTAMO]]*Tabla14[[#This Row],[% INTERES ]]/30*U6117))+Tabla14[[#This Row],[VALOR CUOTAS]]</f>
        <v>#VALUE!</v>
      </c>
      <c r="S6117" s="88">
        <f>-IF(Tabla14[[#This Row],[DIAS HABILES O MORA]]&lt;0,(Tabla14[[#This Row],[VALOR PRESTAMO]]*Tabla14[[#This Row],[% INTERES ]]/30*U6117))</f>
        <v>0</v>
      </c>
      <c r="T6117" s="53" t="e">
        <f>Tabla14[[#This Row],[DEUDA CAPITAL]]+Tabla14[[#This Row],[INTERES  CUOTA]]</f>
        <v>#NUM!</v>
      </c>
      <c r="U6117" s="61" t="str">
        <f t="shared" si="969"/>
        <v/>
      </c>
    </row>
    <row r="6118" spans="9:21" ht="24.75" customHeight="1" x14ac:dyDescent="0.35">
      <c r="I6118" s="42">
        <f t="shared" si="960"/>
        <v>0</v>
      </c>
      <c r="J6118" s="65" t="e">
        <f t="shared" si="961"/>
        <v>#NUM!</v>
      </c>
      <c r="K6118" s="83" t="e">
        <f t="shared" si="962"/>
        <v>#NUM!</v>
      </c>
      <c r="L6118" s="83">
        <f t="shared" si="963"/>
        <v>0</v>
      </c>
      <c r="M6118" s="110" t="str">
        <f t="shared" si="964"/>
        <v/>
      </c>
      <c r="N6118" s="51" t="str">
        <f t="shared" si="965"/>
        <v/>
      </c>
      <c r="O6118" s="52" t="str">
        <f t="shared" si="966"/>
        <v/>
      </c>
      <c r="P6118" s="88">
        <f t="shared" si="967"/>
        <v>0</v>
      </c>
      <c r="Q6118" s="88">
        <f t="shared" si="968"/>
        <v>0</v>
      </c>
      <c r="R6118" s="88" t="e">
        <f>-IF(Tabla14[[#This Row],[DIAS HABILES O MORA]]&lt;0,(Tabla14[[#This Row],[VALOR PRESTAMO]]*Tabla14[[#This Row],[% INTERES ]]/30*U6118))+Tabla14[[#This Row],[VALOR CUOTAS]]</f>
        <v>#VALUE!</v>
      </c>
      <c r="S6118" s="88">
        <f>-IF(Tabla14[[#This Row],[DIAS HABILES O MORA]]&lt;0,(Tabla14[[#This Row],[VALOR PRESTAMO]]*Tabla14[[#This Row],[% INTERES ]]/30*U6118))</f>
        <v>0</v>
      </c>
      <c r="T6118" s="53" t="e">
        <f>Tabla14[[#This Row],[DEUDA CAPITAL]]+Tabla14[[#This Row],[INTERES  CUOTA]]</f>
        <v>#NUM!</v>
      </c>
      <c r="U6118" s="61" t="str">
        <f t="shared" si="969"/>
        <v/>
      </c>
    </row>
    <row r="6119" spans="9:21" ht="24.75" customHeight="1" x14ac:dyDescent="0.35">
      <c r="I6119" s="42">
        <f t="shared" si="960"/>
        <v>0</v>
      </c>
      <c r="J6119" s="65" t="e">
        <f t="shared" si="961"/>
        <v>#NUM!</v>
      </c>
      <c r="K6119" s="83" t="e">
        <f t="shared" si="962"/>
        <v>#NUM!</v>
      </c>
      <c r="L6119" s="83">
        <f t="shared" si="963"/>
        <v>0</v>
      </c>
      <c r="M6119" s="110" t="str">
        <f t="shared" si="964"/>
        <v/>
      </c>
      <c r="N6119" s="51" t="str">
        <f t="shared" si="965"/>
        <v/>
      </c>
      <c r="O6119" s="52" t="str">
        <f t="shared" si="966"/>
        <v/>
      </c>
      <c r="P6119" s="88">
        <f t="shared" si="967"/>
        <v>0</v>
      </c>
      <c r="Q6119" s="88">
        <f t="shared" si="968"/>
        <v>0</v>
      </c>
      <c r="R6119" s="88" t="e">
        <f>-IF(Tabla14[[#This Row],[DIAS HABILES O MORA]]&lt;0,(Tabla14[[#This Row],[VALOR PRESTAMO]]*Tabla14[[#This Row],[% INTERES ]]/30*U6119))+Tabla14[[#This Row],[VALOR CUOTAS]]</f>
        <v>#VALUE!</v>
      </c>
      <c r="S6119" s="88">
        <f>-IF(Tabla14[[#This Row],[DIAS HABILES O MORA]]&lt;0,(Tabla14[[#This Row],[VALOR PRESTAMO]]*Tabla14[[#This Row],[% INTERES ]]/30*U6119))</f>
        <v>0</v>
      </c>
      <c r="T6119" s="53" t="e">
        <f>Tabla14[[#This Row],[DEUDA CAPITAL]]+Tabla14[[#This Row],[INTERES  CUOTA]]</f>
        <v>#NUM!</v>
      </c>
      <c r="U6119" s="61" t="str">
        <f t="shared" si="969"/>
        <v/>
      </c>
    </row>
    <row r="6120" spans="9:21" ht="24.75" customHeight="1" x14ac:dyDescent="0.35">
      <c r="I6120" s="42">
        <f t="shared" si="960"/>
        <v>0</v>
      </c>
      <c r="J6120" s="65" t="e">
        <f t="shared" si="961"/>
        <v>#NUM!</v>
      </c>
      <c r="K6120" s="83" t="e">
        <f t="shared" si="962"/>
        <v>#NUM!</v>
      </c>
      <c r="L6120" s="83">
        <f t="shared" si="963"/>
        <v>0</v>
      </c>
      <c r="M6120" s="110" t="str">
        <f t="shared" si="964"/>
        <v/>
      </c>
      <c r="N6120" s="51" t="str">
        <f t="shared" si="965"/>
        <v/>
      </c>
      <c r="O6120" s="52" t="str">
        <f t="shared" si="966"/>
        <v/>
      </c>
      <c r="P6120" s="88">
        <f t="shared" si="967"/>
        <v>0</v>
      </c>
      <c r="Q6120" s="88">
        <f t="shared" si="968"/>
        <v>0</v>
      </c>
      <c r="R6120" s="88" t="e">
        <f>-IF(Tabla14[[#This Row],[DIAS HABILES O MORA]]&lt;0,(Tabla14[[#This Row],[VALOR PRESTAMO]]*Tabla14[[#This Row],[% INTERES ]]/30*U6120))+Tabla14[[#This Row],[VALOR CUOTAS]]</f>
        <v>#VALUE!</v>
      </c>
      <c r="S6120" s="88">
        <f>-IF(Tabla14[[#This Row],[DIAS HABILES O MORA]]&lt;0,(Tabla14[[#This Row],[VALOR PRESTAMO]]*Tabla14[[#This Row],[% INTERES ]]/30*U6120))</f>
        <v>0</v>
      </c>
      <c r="T6120" s="53" t="e">
        <f>Tabla14[[#This Row],[DEUDA CAPITAL]]+Tabla14[[#This Row],[INTERES  CUOTA]]</f>
        <v>#NUM!</v>
      </c>
      <c r="U6120" s="61" t="str">
        <f t="shared" si="969"/>
        <v/>
      </c>
    </row>
    <row r="6121" spans="9:21" ht="24.75" customHeight="1" x14ac:dyDescent="0.35">
      <c r="I6121" s="42">
        <f t="shared" si="960"/>
        <v>0</v>
      </c>
      <c r="J6121" s="65" t="e">
        <f t="shared" si="961"/>
        <v>#NUM!</v>
      </c>
      <c r="K6121" s="83" t="e">
        <f t="shared" si="962"/>
        <v>#NUM!</v>
      </c>
      <c r="L6121" s="83">
        <f t="shared" si="963"/>
        <v>0</v>
      </c>
      <c r="M6121" s="110" t="str">
        <f t="shared" si="964"/>
        <v/>
      </c>
      <c r="N6121" s="51" t="str">
        <f t="shared" si="965"/>
        <v/>
      </c>
      <c r="O6121" s="52" t="str">
        <f t="shared" si="966"/>
        <v/>
      </c>
      <c r="P6121" s="88">
        <f t="shared" si="967"/>
        <v>0</v>
      </c>
      <c r="Q6121" s="88">
        <f t="shared" si="968"/>
        <v>0</v>
      </c>
      <c r="R6121" s="88" t="e">
        <f>-IF(Tabla14[[#This Row],[DIAS HABILES O MORA]]&lt;0,(Tabla14[[#This Row],[VALOR PRESTAMO]]*Tabla14[[#This Row],[% INTERES ]]/30*U6121))+Tabla14[[#This Row],[VALOR CUOTAS]]</f>
        <v>#VALUE!</v>
      </c>
      <c r="S6121" s="88">
        <f>-IF(Tabla14[[#This Row],[DIAS HABILES O MORA]]&lt;0,(Tabla14[[#This Row],[VALOR PRESTAMO]]*Tabla14[[#This Row],[% INTERES ]]/30*U6121))</f>
        <v>0</v>
      </c>
      <c r="T6121" s="53" t="e">
        <f>Tabla14[[#This Row],[DEUDA CAPITAL]]+Tabla14[[#This Row],[INTERES  CUOTA]]</f>
        <v>#NUM!</v>
      </c>
      <c r="U6121" s="61" t="str">
        <f t="shared" si="969"/>
        <v/>
      </c>
    </row>
    <row r="6122" spans="9:21" ht="24.75" customHeight="1" x14ac:dyDescent="0.35">
      <c r="I6122" s="42">
        <f t="shared" si="960"/>
        <v>0</v>
      </c>
      <c r="J6122" s="65" t="e">
        <f t="shared" si="961"/>
        <v>#NUM!</v>
      </c>
      <c r="K6122" s="83" t="e">
        <f t="shared" si="962"/>
        <v>#NUM!</v>
      </c>
      <c r="L6122" s="83">
        <f t="shared" si="963"/>
        <v>0</v>
      </c>
      <c r="M6122" s="110" t="str">
        <f t="shared" si="964"/>
        <v/>
      </c>
      <c r="N6122" s="51" t="str">
        <f t="shared" si="965"/>
        <v/>
      </c>
      <c r="O6122" s="52" t="str">
        <f t="shared" si="966"/>
        <v/>
      </c>
      <c r="P6122" s="88">
        <f t="shared" si="967"/>
        <v>0</v>
      </c>
      <c r="Q6122" s="88">
        <f t="shared" si="968"/>
        <v>0</v>
      </c>
      <c r="R6122" s="88" t="e">
        <f>-IF(Tabla14[[#This Row],[DIAS HABILES O MORA]]&lt;0,(Tabla14[[#This Row],[VALOR PRESTAMO]]*Tabla14[[#This Row],[% INTERES ]]/30*U6122))+Tabla14[[#This Row],[VALOR CUOTAS]]</f>
        <v>#VALUE!</v>
      </c>
      <c r="S6122" s="88">
        <f>-IF(Tabla14[[#This Row],[DIAS HABILES O MORA]]&lt;0,(Tabla14[[#This Row],[VALOR PRESTAMO]]*Tabla14[[#This Row],[% INTERES ]]/30*U6122))</f>
        <v>0</v>
      </c>
      <c r="T6122" s="53" t="e">
        <f>Tabla14[[#This Row],[DEUDA CAPITAL]]+Tabla14[[#This Row],[INTERES  CUOTA]]</f>
        <v>#NUM!</v>
      </c>
      <c r="U6122" s="61" t="str">
        <f t="shared" si="969"/>
        <v/>
      </c>
    </row>
    <row r="6123" spans="9:21" ht="24.75" customHeight="1" x14ac:dyDescent="0.35">
      <c r="I6123" s="42">
        <f t="shared" si="960"/>
        <v>0</v>
      </c>
      <c r="J6123" s="65" t="e">
        <f t="shared" si="961"/>
        <v>#NUM!</v>
      </c>
      <c r="K6123" s="83" t="e">
        <f t="shared" si="962"/>
        <v>#NUM!</v>
      </c>
      <c r="L6123" s="83">
        <f t="shared" si="963"/>
        <v>0</v>
      </c>
      <c r="M6123" s="110" t="str">
        <f t="shared" si="964"/>
        <v/>
      </c>
      <c r="N6123" s="51" t="str">
        <f t="shared" si="965"/>
        <v/>
      </c>
      <c r="O6123" s="52" t="str">
        <f t="shared" si="966"/>
        <v/>
      </c>
      <c r="P6123" s="88">
        <f t="shared" si="967"/>
        <v>0</v>
      </c>
      <c r="Q6123" s="88">
        <f t="shared" si="968"/>
        <v>0</v>
      </c>
      <c r="R6123" s="88" t="e">
        <f>-IF(Tabla14[[#This Row],[DIAS HABILES O MORA]]&lt;0,(Tabla14[[#This Row],[VALOR PRESTAMO]]*Tabla14[[#This Row],[% INTERES ]]/30*U6123))+Tabla14[[#This Row],[VALOR CUOTAS]]</f>
        <v>#VALUE!</v>
      </c>
      <c r="S6123" s="88">
        <f>-IF(Tabla14[[#This Row],[DIAS HABILES O MORA]]&lt;0,(Tabla14[[#This Row],[VALOR PRESTAMO]]*Tabla14[[#This Row],[% INTERES ]]/30*U6123))</f>
        <v>0</v>
      </c>
      <c r="T6123" s="53" t="e">
        <f>Tabla14[[#This Row],[DEUDA CAPITAL]]+Tabla14[[#This Row],[INTERES  CUOTA]]</f>
        <v>#NUM!</v>
      </c>
      <c r="U6123" s="61" t="str">
        <f t="shared" si="969"/>
        <v/>
      </c>
    </row>
    <row r="6124" spans="9:21" ht="24.75" customHeight="1" x14ac:dyDescent="0.35">
      <c r="I6124" s="42">
        <f t="shared" si="960"/>
        <v>0</v>
      </c>
      <c r="J6124" s="65" t="e">
        <f t="shared" si="961"/>
        <v>#NUM!</v>
      </c>
      <c r="K6124" s="83" t="e">
        <f t="shared" si="962"/>
        <v>#NUM!</v>
      </c>
      <c r="L6124" s="83">
        <f t="shared" si="963"/>
        <v>0</v>
      </c>
      <c r="M6124" s="110" t="str">
        <f t="shared" si="964"/>
        <v/>
      </c>
      <c r="N6124" s="51" t="str">
        <f t="shared" si="965"/>
        <v/>
      </c>
      <c r="O6124" s="52" t="str">
        <f t="shared" si="966"/>
        <v/>
      </c>
      <c r="P6124" s="88">
        <f t="shared" si="967"/>
        <v>0</v>
      </c>
      <c r="Q6124" s="88">
        <f t="shared" si="968"/>
        <v>0</v>
      </c>
      <c r="R6124" s="88" t="e">
        <f>-IF(Tabla14[[#This Row],[DIAS HABILES O MORA]]&lt;0,(Tabla14[[#This Row],[VALOR PRESTAMO]]*Tabla14[[#This Row],[% INTERES ]]/30*U6124))+Tabla14[[#This Row],[VALOR CUOTAS]]</f>
        <v>#VALUE!</v>
      </c>
      <c r="S6124" s="88">
        <f>-IF(Tabla14[[#This Row],[DIAS HABILES O MORA]]&lt;0,(Tabla14[[#This Row],[VALOR PRESTAMO]]*Tabla14[[#This Row],[% INTERES ]]/30*U6124))</f>
        <v>0</v>
      </c>
      <c r="T6124" s="53" t="e">
        <f>Tabla14[[#This Row],[DEUDA CAPITAL]]+Tabla14[[#This Row],[INTERES  CUOTA]]</f>
        <v>#NUM!</v>
      </c>
      <c r="U6124" s="61" t="str">
        <f t="shared" si="969"/>
        <v/>
      </c>
    </row>
    <row r="6125" spans="9:21" ht="24.75" customHeight="1" x14ac:dyDescent="0.35">
      <c r="I6125" s="42">
        <f t="shared" si="960"/>
        <v>0</v>
      </c>
      <c r="J6125" s="65" t="e">
        <f t="shared" si="961"/>
        <v>#NUM!</v>
      </c>
      <c r="K6125" s="83" t="e">
        <f t="shared" si="962"/>
        <v>#NUM!</v>
      </c>
      <c r="L6125" s="83">
        <f t="shared" si="963"/>
        <v>0</v>
      </c>
      <c r="M6125" s="110" t="str">
        <f t="shared" si="964"/>
        <v/>
      </c>
      <c r="N6125" s="51" t="str">
        <f t="shared" si="965"/>
        <v/>
      </c>
      <c r="O6125" s="52" t="str">
        <f t="shared" si="966"/>
        <v/>
      </c>
      <c r="P6125" s="88">
        <f t="shared" si="967"/>
        <v>0</v>
      </c>
      <c r="Q6125" s="88">
        <f t="shared" si="968"/>
        <v>0</v>
      </c>
      <c r="R6125" s="88" t="e">
        <f>-IF(Tabla14[[#This Row],[DIAS HABILES O MORA]]&lt;0,(Tabla14[[#This Row],[VALOR PRESTAMO]]*Tabla14[[#This Row],[% INTERES ]]/30*U6125))+Tabla14[[#This Row],[VALOR CUOTAS]]</f>
        <v>#VALUE!</v>
      </c>
      <c r="S6125" s="88">
        <f>-IF(Tabla14[[#This Row],[DIAS HABILES O MORA]]&lt;0,(Tabla14[[#This Row],[VALOR PRESTAMO]]*Tabla14[[#This Row],[% INTERES ]]/30*U6125))</f>
        <v>0</v>
      </c>
      <c r="T6125" s="53" t="e">
        <f>Tabla14[[#This Row],[DEUDA CAPITAL]]+Tabla14[[#This Row],[INTERES  CUOTA]]</f>
        <v>#NUM!</v>
      </c>
      <c r="U6125" s="61" t="str">
        <f t="shared" si="969"/>
        <v/>
      </c>
    </row>
    <row r="6126" spans="9:21" ht="24.75" customHeight="1" x14ac:dyDescent="0.35">
      <c r="I6126" s="42">
        <f t="shared" si="960"/>
        <v>0</v>
      </c>
      <c r="J6126" s="65" t="e">
        <f t="shared" si="961"/>
        <v>#NUM!</v>
      </c>
      <c r="K6126" s="83" t="e">
        <f t="shared" si="962"/>
        <v>#NUM!</v>
      </c>
      <c r="L6126" s="83">
        <f t="shared" si="963"/>
        <v>0</v>
      </c>
      <c r="M6126" s="110" t="str">
        <f t="shared" si="964"/>
        <v/>
      </c>
      <c r="N6126" s="51" t="str">
        <f t="shared" si="965"/>
        <v/>
      </c>
      <c r="O6126" s="52" t="str">
        <f t="shared" si="966"/>
        <v/>
      </c>
      <c r="P6126" s="88">
        <f t="shared" si="967"/>
        <v>0</v>
      </c>
      <c r="Q6126" s="88">
        <f t="shared" si="968"/>
        <v>0</v>
      </c>
      <c r="R6126" s="88" t="e">
        <f>-IF(Tabla14[[#This Row],[DIAS HABILES O MORA]]&lt;0,(Tabla14[[#This Row],[VALOR PRESTAMO]]*Tabla14[[#This Row],[% INTERES ]]/30*U6126))+Tabla14[[#This Row],[VALOR CUOTAS]]</f>
        <v>#VALUE!</v>
      </c>
      <c r="S6126" s="88">
        <f>-IF(Tabla14[[#This Row],[DIAS HABILES O MORA]]&lt;0,(Tabla14[[#This Row],[VALOR PRESTAMO]]*Tabla14[[#This Row],[% INTERES ]]/30*U6126))</f>
        <v>0</v>
      </c>
      <c r="T6126" s="53" t="e">
        <f>Tabla14[[#This Row],[DEUDA CAPITAL]]+Tabla14[[#This Row],[INTERES  CUOTA]]</f>
        <v>#NUM!</v>
      </c>
      <c r="U6126" s="61" t="str">
        <f t="shared" si="969"/>
        <v/>
      </c>
    </row>
    <row r="6127" spans="9:21" ht="24.75" customHeight="1" x14ac:dyDescent="0.35">
      <c r="I6127" s="42">
        <f t="shared" si="960"/>
        <v>0</v>
      </c>
      <c r="J6127" s="65" t="e">
        <f t="shared" si="961"/>
        <v>#NUM!</v>
      </c>
      <c r="K6127" s="83" t="e">
        <f t="shared" si="962"/>
        <v>#NUM!</v>
      </c>
      <c r="L6127" s="83">
        <f t="shared" si="963"/>
        <v>0</v>
      </c>
      <c r="M6127" s="110" t="str">
        <f t="shared" si="964"/>
        <v/>
      </c>
      <c r="N6127" s="51" t="str">
        <f t="shared" si="965"/>
        <v/>
      </c>
      <c r="O6127" s="52" t="str">
        <f t="shared" si="966"/>
        <v/>
      </c>
      <c r="P6127" s="88">
        <f t="shared" si="967"/>
        <v>0</v>
      </c>
      <c r="Q6127" s="88">
        <f t="shared" si="968"/>
        <v>0</v>
      </c>
      <c r="R6127" s="88" t="e">
        <f>-IF(Tabla14[[#This Row],[DIAS HABILES O MORA]]&lt;0,(Tabla14[[#This Row],[VALOR PRESTAMO]]*Tabla14[[#This Row],[% INTERES ]]/30*U6127))+Tabla14[[#This Row],[VALOR CUOTAS]]</f>
        <v>#VALUE!</v>
      </c>
      <c r="S6127" s="88">
        <f>-IF(Tabla14[[#This Row],[DIAS HABILES O MORA]]&lt;0,(Tabla14[[#This Row],[VALOR PRESTAMO]]*Tabla14[[#This Row],[% INTERES ]]/30*U6127))</f>
        <v>0</v>
      </c>
      <c r="T6127" s="53" t="e">
        <f>Tabla14[[#This Row],[DEUDA CAPITAL]]+Tabla14[[#This Row],[INTERES  CUOTA]]</f>
        <v>#NUM!</v>
      </c>
      <c r="U6127" s="61" t="str">
        <f t="shared" si="969"/>
        <v/>
      </c>
    </row>
    <row r="6128" spans="9:21" ht="24.75" customHeight="1" x14ac:dyDescent="0.35">
      <c r="I6128" s="42">
        <f t="shared" si="960"/>
        <v>0</v>
      </c>
      <c r="J6128" s="65" t="e">
        <f t="shared" si="961"/>
        <v>#NUM!</v>
      </c>
      <c r="K6128" s="83" t="e">
        <f t="shared" si="962"/>
        <v>#NUM!</v>
      </c>
      <c r="L6128" s="83">
        <f t="shared" si="963"/>
        <v>0</v>
      </c>
      <c r="M6128" s="110" t="str">
        <f t="shared" si="964"/>
        <v/>
      </c>
      <c r="N6128" s="51" t="str">
        <f t="shared" si="965"/>
        <v/>
      </c>
      <c r="O6128" s="52" t="str">
        <f t="shared" si="966"/>
        <v/>
      </c>
      <c r="P6128" s="88">
        <f t="shared" si="967"/>
        <v>0</v>
      </c>
      <c r="Q6128" s="88">
        <f t="shared" si="968"/>
        <v>0</v>
      </c>
      <c r="R6128" s="88" t="e">
        <f>-IF(Tabla14[[#This Row],[DIAS HABILES O MORA]]&lt;0,(Tabla14[[#This Row],[VALOR PRESTAMO]]*Tabla14[[#This Row],[% INTERES ]]/30*U6128))+Tabla14[[#This Row],[VALOR CUOTAS]]</f>
        <v>#VALUE!</v>
      </c>
      <c r="S6128" s="88">
        <f>-IF(Tabla14[[#This Row],[DIAS HABILES O MORA]]&lt;0,(Tabla14[[#This Row],[VALOR PRESTAMO]]*Tabla14[[#This Row],[% INTERES ]]/30*U6128))</f>
        <v>0</v>
      </c>
      <c r="T6128" s="53" t="e">
        <f>Tabla14[[#This Row],[DEUDA CAPITAL]]+Tabla14[[#This Row],[INTERES  CUOTA]]</f>
        <v>#NUM!</v>
      </c>
      <c r="U6128" s="61" t="str">
        <f t="shared" si="969"/>
        <v/>
      </c>
    </row>
    <row r="6129" spans="9:21" ht="24.75" customHeight="1" x14ac:dyDescent="0.35">
      <c r="I6129" s="42">
        <f t="shared" si="960"/>
        <v>0</v>
      </c>
      <c r="J6129" s="65" t="e">
        <f t="shared" si="961"/>
        <v>#NUM!</v>
      </c>
      <c r="K6129" s="83" t="e">
        <f t="shared" si="962"/>
        <v>#NUM!</v>
      </c>
      <c r="L6129" s="83">
        <f t="shared" si="963"/>
        <v>0</v>
      </c>
      <c r="M6129" s="110" t="str">
        <f t="shared" si="964"/>
        <v/>
      </c>
      <c r="N6129" s="51" t="str">
        <f t="shared" si="965"/>
        <v/>
      </c>
      <c r="O6129" s="52" t="str">
        <f t="shared" si="966"/>
        <v/>
      </c>
      <c r="P6129" s="88">
        <f t="shared" si="967"/>
        <v>0</v>
      </c>
      <c r="Q6129" s="88">
        <f t="shared" si="968"/>
        <v>0</v>
      </c>
      <c r="R6129" s="88" t="e">
        <f>-IF(Tabla14[[#This Row],[DIAS HABILES O MORA]]&lt;0,(Tabla14[[#This Row],[VALOR PRESTAMO]]*Tabla14[[#This Row],[% INTERES ]]/30*U6129))+Tabla14[[#This Row],[VALOR CUOTAS]]</f>
        <v>#VALUE!</v>
      </c>
      <c r="S6129" s="88">
        <f>-IF(Tabla14[[#This Row],[DIAS HABILES O MORA]]&lt;0,(Tabla14[[#This Row],[VALOR PRESTAMO]]*Tabla14[[#This Row],[% INTERES ]]/30*U6129))</f>
        <v>0</v>
      </c>
      <c r="T6129" s="53" t="e">
        <f>Tabla14[[#This Row],[DEUDA CAPITAL]]+Tabla14[[#This Row],[INTERES  CUOTA]]</f>
        <v>#NUM!</v>
      </c>
      <c r="U6129" s="61" t="str">
        <f t="shared" si="969"/>
        <v/>
      </c>
    </row>
    <row r="6130" spans="9:21" ht="24.75" customHeight="1" x14ac:dyDescent="0.35">
      <c r="I6130" s="42">
        <f t="shared" si="960"/>
        <v>0</v>
      </c>
      <c r="J6130" s="65" t="e">
        <f t="shared" si="961"/>
        <v>#NUM!</v>
      </c>
      <c r="K6130" s="83" t="e">
        <f t="shared" si="962"/>
        <v>#NUM!</v>
      </c>
      <c r="L6130" s="83">
        <f t="shared" si="963"/>
        <v>0</v>
      </c>
      <c r="M6130" s="110" t="str">
        <f t="shared" si="964"/>
        <v/>
      </c>
      <c r="N6130" s="51" t="str">
        <f t="shared" si="965"/>
        <v/>
      </c>
      <c r="O6130" s="52" t="str">
        <f t="shared" si="966"/>
        <v/>
      </c>
      <c r="P6130" s="88">
        <f t="shared" si="967"/>
        <v>0</v>
      </c>
      <c r="Q6130" s="88">
        <f t="shared" si="968"/>
        <v>0</v>
      </c>
      <c r="R6130" s="88" t="e">
        <f>-IF(Tabla14[[#This Row],[DIAS HABILES O MORA]]&lt;0,(Tabla14[[#This Row],[VALOR PRESTAMO]]*Tabla14[[#This Row],[% INTERES ]]/30*U6130))+Tabla14[[#This Row],[VALOR CUOTAS]]</f>
        <v>#VALUE!</v>
      </c>
      <c r="S6130" s="88">
        <f>-IF(Tabla14[[#This Row],[DIAS HABILES O MORA]]&lt;0,(Tabla14[[#This Row],[VALOR PRESTAMO]]*Tabla14[[#This Row],[% INTERES ]]/30*U6130))</f>
        <v>0</v>
      </c>
      <c r="T6130" s="53" t="e">
        <f>Tabla14[[#This Row],[DEUDA CAPITAL]]+Tabla14[[#This Row],[INTERES  CUOTA]]</f>
        <v>#NUM!</v>
      </c>
      <c r="U6130" s="61" t="str">
        <f t="shared" si="969"/>
        <v/>
      </c>
    </row>
    <row r="6131" spans="9:21" ht="24.75" customHeight="1" x14ac:dyDescent="0.35">
      <c r="I6131" s="42">
        <f t="shared" si="960"/>
        <v>0</v>
      </c>
      <c r="J6131" s="65" t="e">
        <f t="shared" si="961"/>
        <v>#NUM!</v>
      </c>
      <c r="K6131" s="83" t="e">
        <f t="shared" si="962"/>
        <v>#NUM!</v>
      </c>
      <c r="L6131" s="83">
        <f t="shared" si="963"/>
        <v>0</v>
      </c>
      <c r="M6131" s="110" t="str">
        <f t="shared" si="964"/>
        <v/>
      </c>
      <c r="N6131" s="51" t="str">
        <f t="shared" si="965"/>
        <v/>
      </c>
      <c r="O6131" s="52" t="str">
        <f t="shared" si="966"/>
        <v/>
      </c>
      <c r="P6131" s="88">
        <f t="shared" si="967"/>
        <v>0</v>
      </c>
      <c r="Q6131" s="88">
        <f t="shared" si="968"/>
        <v>0</v>
      </c>
      <c r="R6131" s="88" t="e">
        <f>-IF(Tabla14[[#This Row],[DIAS HABILES O MORA]]&lt;0,(Tabla14[[#This Row],[VALOR PRESTAMO]]*Tabla14[[#This Row],[% INTERES ]]/30*U6131))+Tabla14[[#This Row],[VALOR CUOTAS]]</f>
        <v>#VALUE!</v>
      </c>
      <c r="S6131" s="88">
        <f>-IF(Tabla14[[#This Row],[DIAS HABILES O MORA]]&lt;0,(Tabla14[[#This Row],[VALOR PRESTAMO]]*Tabla14[[#This Row],[% INTERES ]]/30*U6131))</f>
        <v>0</v>
      </c>
      <c r="T6131" s="53" t="e">
        <f>Tabla14[[#This Row],[DEUDA CAPITAL]]+Tabla14[[#This Row],[INTERES  CUOTA]]</f>
        <v>#NUM!</v>
      </c>
      <c r="U6131" s="61" t="str">
        <f t="shared" si="969"/>
        <v/>
      </c>
    </row>
    <row r="6132" spans="9:21" ht="24.75" customHeight="1" x14ac:dyDescent="0.35">
      <c r="I6132" s="42">
        <f t="shared" si="960"/>
        <v>0</v>
      </c>
      <c r="J6132" s="65" t="e">
        <f t="shared" si="961"/>
        <v>#NUM!</v>
      </c>
      <c r="K6132" s="83" t="e">
        <f t="shared" si="962"/>
        <v>#NUM!</v>
      </c>
      <c r="L6132" s="83">
        <f t="shared" si="963"/>
        <v>0</v>
      </c>
      <c r="M6132" s="110" t="str">
        <f t="shared" si="964"/>
        <v/>
      </c>
      <c r="N6132" s="51" t="str">
        <f t="shared" si="965"/>
        <v/>
      </c>
      <c r="O6132" s="52" t="str">
        <f t="shared" si="966"/>
        <v/>
      </c>
      <c r="P6132" s="88">
        <f t="shared" si="967"/>
        <v>0</v>
      </c>
      <c r="Q6132" s="88">
        <f t="shared" si="968"/>
        <v>0</v>
      </c>
      <c r="R6132" s="88" t="e">
        <f>-IF(Tabla14[[#This Row],[DIAS HABILES O MORA]]&lt;0,(Tabla14[[#This Row],[VALOR PRESTAMO]]*Tabla14[[#This Row],[% INTERES ]]/30*U6132))+Tabla14[[#This Row],[VALOR CUOTAS]]</f>
        <v>#VALUE!</v>
      </c>
      <c r="S6132" s="88">
        <f>-IF(Tabla14[[#This Row],[DIAS HABILES O MORA]]&lt;0,(Tabla14[[#This Row],[VALOR PRESTAMO]]*Tabla14[[#This Row],[% INTERES ]]/30*U6132))</f>
        <v>0</v>
      </c>
      <c r="T6132" s="53" t="e">
        <f>Tabla14[[#This Row],[DEUDA CAPITAL]]+Tabla14[[#This Row],[INTERES  CUOTA]]</f>
        <v>#NUM!</v>
      </c>
      <c r="U6132" s="61" t="str">
        <f t="shared" si="969"/>
        <v/>
      </c>
    </row>
    <row r="6133" spans="9:21" ht="24.75" customHeight="1" x14ac:dyDescent="0.35">
      <c r="I6133" s="42">
        <f t="shared" si="960"/>
        <v>0</v>
      </c>
      <c r="J6133" s="65" t="e">
        <f t="shared" si="961"/>
        <v>#NUM!</v>
      </c>
      <c r="K6133" s="83" t="e">
        <f t="shared" si="962"/>
        <v>#NUM!</v>
      </c>
      <c r="L6133" s="83">
        <f t="shared" si="963"/>
        <v>0</v>
      </c>
      <c r="M6133" s="110" t="str">
        <f t="shared" si="964"/>
        <v/>
      </c>
      <c r="N6133" s="51" t="str">
        <f t="shared" si="965"/>
        <v/>
      </c>
      <c r="O6133" s="52" t="str">
        <f t="shared" si="966"/>
        <v/>
      </c>
      <c r="P6133" s="88">
        <f t="shared" si="967"/>
        <v>0</v>
      </c>
      <c r="Q6133" s="88">
        <f t="shared" si="968"/>
        <v>0</v>
      </c>
      <c r="R6133" s="88" t="e">
        <f>-IF(Tabla14[[#This Row],[DIAS HABILES O MORA]]&lt;0,(Tabla14[[#This Row],[VALOR PRESTAMO]]*Tabla14[[#This Row],[% INTERES ]]/30*U6133))+Tabla14[[#This Row],[VALOR CUOTAS]]</f>
        <v>#VALUE!</v>
      </c>
      <c r="S6133" s="88">
        <f>-IF(Tabla14[[#This Row],[DIAS HABILES O MORA]]&lt;0,(Tabla14[[#This Row],[VALOR PRESTAMO]]*Tabla14[[#This Row],[% INTERES ]]/30*U6133))</f>
        <v>0</v>
      </c>
      <c r="T6133" s="53" t="e">
        <f>Tabla14[[#This Row],[DEUDA CAPITAL]]+Tabla14[[#This Row],[INTERES  CUOTA]]</f>
        <v>#NUM!</v>
      </c>
      <c r="U6133" s="61" t="str">
        <f t="shared" si="969"/>
        <v/>
      </c>
    </row>
    <row r="6134" spans="9:21" ht="24.75" customHeight="1" x14ac:dyDescent="0.35">
      <c r="I6134" s="42">
        <f t="shared" si="960"/>
        <v>0</v>
      </c>
      <c r="J6134" s="65" t="e">
        <f t="shared" si="961"/>
        <v>#NUM!</v>
      </c>
      <c r="K6134" s="83" t="e">
        <f t="shared" si="962"/>
        <v>#NUM!</v>
      </c>
      <c r="L6134" s="83">
        <f t="shared" si="963"/>
        <v>0</v>
      </c>
      <c r="M6134" s="110" t="str">
        <f t="shared" si="964"/>
        <v/>
      </c>
      <c r="N6134" s="51" t="str">
        <f t="shared" si="965"/>
        <v/>
      </c>
      <c r="O6134" s="52" t="str">
        <f t="shared" si="966"/>
        <v/>
      </c>
      <c r="P6134" s="88">
        <f t="shared" si="967"/>
        <v>0</v>
      </c>
      <c r="Q6134" s="88">
        <f t="shared" si="968"/>
        <v>0</v>
      </c>
      <c r="R6134" s="88" t="e">
        <f>-IF(Tabla14[[#This Row],[DIAS HABILES O MORA]]&lt;0,(Tabla14[[#This Row],[VALOR PRESTAMO]]*Tabla14[[#This Row],[% INTERES ]]/30*U6134))+Tabla14[[#This Row],[VALOR CUOTAS]]</f>
        <v>#VALUE!</v>
      </c>
      <c r="S6134" s="88">
        <f>-IF(Tabla14[[#This Row],[DIAS HABILES O MORA]]&lt;0,(Tabla14[[#This Row],[VALOR PRESTAMO]]*Tabla14[[#This Row],[% INTERES ]]/30*U6134))</f>
        <v>0</v>
      </c>
      <c r="T6134" s="53" t="e">
        <f>Tabla14[[#This Row],[DEUDA CAPITAL]]+Tabla14[[#This Row],[INTERES  CUOTA]]</f>
        <v>#NUM!</v>
      </c>
      <c r="U6134" s="61" t="str">
        <f t="shared" si="969"/>
        <v/>
      </c>
    </row>
    <row r="6135" spans="9:21" ht="24.75" customHeight="1" x14ac:dyDescent="0.35">
      <c r="I6135" s="42">
        <f t="shared" si="960"/>
        <v>0</v>
      </c>
      <c r="J6135" s="65" t="e">
        <f t="shared" si="961"/>
        <v>#NUM!</v>
      </c>
      <c r="K6135" s="83" t="e">
        <f t="shared" si="962"/>
        <v>#NUM!</v>
      </c>
      <c r="L6135" s="83">
        <f t="shared" si="963"/>
        <v>0</v>
      </c>
      <c r="M6135" s="110" t="str">
        <f t="shared" si="964"/>
        <v/>
      </c>
      <c r="N6135" s="51" t="str">
        <f t="shared" si="965"/>
        <v/>
      </c>
      <c r="O6135" s="52" t="str">
        <f t="shared" si="966"/>
        <v/>
      </c>
      <c r="P6135" s="88">
        <f t="shared" si="967"/>
        <v>0</v>
      </c>
      <c r="Q6135" s="88">
        <f t="shared" si="968"/>
        <v>0</v>
      </c>
      <c r="R6135" s="88" t="e">
        <f>-IF(Tabla14[[#This Row],[DIAS HABILES O MORA]]&lt;0,(Tabla14[[#This Row],[VALOR PRESTAMO]]*Tabla14[[#This Row],[% INTERES ]]/30*U6135))+Tabla14[[#This Row],[VALOR CUOTAS]]</f>
        <v>#VALUE!</v>
      </c>
      <c r="S6135" s="88">
        <f>-IF(Tabla14[[#This Row],[DIAS HABILES O MORA]]&lt;0,(Tabla14[[#This Row],[VALOR PRESTAMO]]*Tabla14[[#This Row],[% INTERES ]]/30*U6135))</f>
        <v>0</v>
      </c>
      <c r="T6135" s="53" t="e">
        <f>Tabla14[[#This Row],[DEUDA CAPITAL]]+Tabla14[[#This Row],[INTERES  CUOTA]]</f>
        <v>#NUM!</v>
      </c>
      <c r="U6135" s="61" t="str">
        <f t="shared" si="969"/>
        <v/>
      </c>
    </row>
    <row r="6136" spans="9:21" ht="24.75" customHeight="1" x14ac:dyDescent="0.35">
      <c r="I6136" s="42">
        <f t="shared" si="960"/>
        <v>0</v>
      </c>
      <c r="J6136" s="65" t="e">
        <f t="shared" si="961"/>
        <v>#NUM!</v>
      </c>
      <c r="K6136" s="83" t="e">
        <f t="shared" si="962"/>
        <v>#NUM!</v>
      </c>
      <c r="L6136" s="83">
        <f t="shared" si="963"/>
        <v>0</v>
      </c>
      <c r="M6136" s="110" t="str">
        <f t="shared" si="964"/>
        <v/>
      </c>
      <c r="N6136" s="51" t="str">
        <f t="shared" si="965"/>
        <v/>
      </c>
      <c r="O6136" s="52" t="str">
        <f t="shared" si="966"/>
        <v/>
      </c>
      <c r="P6136" s="88">
        <f t="shared" si="967"/>
        <v>0</v>
      </c>
      <c r="Q6136" s="88">
        <f t="shared" si="968"/>
        <v>0</v>
      </c>
      <c r="R6136" s="88" t="e">
        <f>-IF(Tabla14[[#This Row],[DIAS HABILES O MORA]]&lt;0,(Tabla14[[#This Row],[VALOR PRESTAMO]]*Tabla14[[#This Row],[% INTERES ]]/30*U6136))+Tabla14[[#This Row],[VALOR CUOTAS]]</f>
        <v>#VALUE!</v>
      </c>
      <c r="S6136" s="88">
        <f>-IF(Tabla14[[#This Row],[DIAS HABILES O MORA]]&lt;0,(Tabla14[[#This Row],[VALOR PRESTAMO]]*Tabla14[[#This Row],[% INTERES ]]/30*U6136))</f>
        <v>0</v>
      </c>
      <c r="T6136" s="53" t="e">
        <f>Tabla14[[#This Row],[DEUDA CAPITAL]]+Tabla14[[#This Row],[INTERES  CUOTA]]</f>
        <v>#NUM!</v>
      </c>
      <c r="U6136" s="61" t="str">
        <f t="shared" si="969"/>
        <v/>
      </c>
    </row>
    <row r="6137" spans="9:21" ht="24.75" customHeight="1" x14ac:dyDescent="0.35">
      <c r="I6137" s="42">
        <f t="shared" si="960"/>
        <v>0</v>
      </c>
      <c r="J6137" s="65" t="e">
        <f t="shared" si="961"/>
        <v>#NUM!</v>
      </c>
      <c r="K6137" s="83" t="e">
        <f t="shared" si="962"/>
        <v>#NUM!</v>
      </c>
      <c r="L6137" s="83">
        <f t="shared" si="963"/>
        <v>0</v>
      </c>
      <c r="M6137" s="110" t="str">
        <f t="shared" si="964"/>
        <v/>
      </c>
      <c r="N6137" s="51" t="str">
        <f t="shared" si="965"/>
        <v/>
      </c>
      <c r="O6137" s="52" t="str">
        <f t="shared" si="966"/>
        <v/>
      </c>
      <c r="P6137" s="88">
        <f t="shared" si="967"/>
        <v>0</v>
      </c>
      <c r="Q6137" s="88">
        <f t="shared" si="968"/>
        <v>0</v>
      </c>
      <c r="R6137" s="88" t="e">
        <f>-IF(Tabla14[[#This Row],[DIAS HABILES O MORA]]&lt;0,(Tabla14[[#This Row],[VALOR PRESTAMO]]*Tabla14[[#This Row],[% INTERES ]]/30*U6137))+Tabla14[[#This Row],[VALOR CUOTAS]]</f>
        <v>#VALUE!</v>
      </c>
      <c r="S6137" s="88">
        <f>-IF(Tabla14[[#This Row],[DIAS HABILES O MORA]]&lt;0,(Tabla14[[#This Row],[VALOR PRESTAMO]]*Tabla14[[#This Row],[% INTERES ]]/30*U6137))</f>
        <v>0</v>
      </c>
      <c r="T6137" s="53" t="e">
        <f>Tabla14[[#This Row],[DEUDA CAPITAL]]+Tabla14[[#This Row],[INTERES  CUOTA]]</f>
        <v>#NUM!</v>
      </c>
      <c r="U6137" s="61" t="str">
        <f t="shared" si="969"/>
        <v/>
      </c>
    </row>
    <row r="6138" spans="9:21" ht="24.75" customHeight="1" x14ac:dyDescent="0.35">
      <c r="I6138" s="42">
        <f t="shared" si="960"/>
        <v>0</v>
      </c>
      <c r="J6138" s="65" t="e">
        <f t="shared" si="961"/>
        <v>#NUM!</v>
      </c>
      <c r="K6138" s="83" t="e">
        <f t="shared" si="962"/>
        <v>#NUM!</v>
      </c>
      <c r="L6138" s="83">
        <f t="shared" si="963"/>
        <v>0</v>
      </c>
      <c r="M6138" s="110" t="str">
        <f t="shared" si="964"/>
        <v/>
      </c>
      <c r="N6138" s="51" t="str">
        <f t="shared" si="965"/>
        <v/>
      </c>
      <c r="O6138" s="52" t="str">
        <f t="shared" si="966"/>
        <v/>
      </c>
      <c r="P6138" s="88">
        <f t="shared" si="967"/>
        <v>0</v>
      </c>
      <c r="Q6138" s="88">
        <f t="shared" si="968"/>
        <v>0</v>
      </c>
      <c r="R6138" s="88" t="e">
        <f>-IF(Tabla14[[#This Row],[DIAS HABILES O MORA]]&lt;0,(Tabla14[[#This Row],[VALOR PRESTAMO]]*Tabla14[[#This Row],[% INTERES ]]/30*U6138))+Tabla14[[#This Row],[VALOR CUOTAS]]</f>
        <v>#VALUE!</v>
      </c>
      <c r="S6138" s="88">
        <f>-IF(Tabla14[[#This Row],[DIAS HABILES O MORA]]&lt;0,(Tabla14[[#This Row],[VALOR PRESTAMO]]*Tabla14[[#This Row],[% INTERES ]]/30*U6138))</f>
        <v>0</v>
      </c>
      <c r="T6138" s="53" t="e">
        <f>Tabla14[[#This Row],[DEUDA CAPITAL]]+Tabla14[[#This Row],[INTERES  CUOTA]]</f>
        <v>#NUM!</v>
      </c>
      <c r="U6138" s="61" t="str">
        <f t="shared" si="969"/>
        <v/>
      </c>
    </row>
    <row r="6139" spans="9:21" ht="24.75" customHeight="1" x14ac:dyDescent="0.35">
      <c r="I6139" s="42">
        <f t="shared" si="960"/>
        <v>0</v>
      </c>
      <c r="J6139" s="65" t="e">
        <f t="shared" si="961"/>
        <v>#NUM!</v>
      </c>
      <c r="K6139" s="83" t="e">
        <f t="shared" si="962"/>
        <v>#NUM!</v>
      </c>
      <c r="L6139" s="83">
        <f t="shared" si="963"/>
        <v>0</v>
      </c>
      <c r="M6139" s="110" t="str">
        <f t="shared" si="964"/>
        <v/>
      </c>
      <c r="N6139" s="51" t="str">
        <f t="shared" si="965"/>
        <v/>
      </c>
      <c r="O6139" s="52" t="str">
        <f t="shared" si="966"/>
        <v/>
      </c>
      <c r="P6139" s="88">
        <f t="shared" si="967"/>
        <v>0</v>
      </c>
      <c r="Q6139" s="88">
        <f t="shared" si="968"/>
        <v>0</v>
      </c>
      <c r="R6139" s="88" t="e">
        <f>-IF(Tabla14[[#This Row],[DIAS HABILES O MORA]]&lt;0,(Tabla14[[#This Row],[VALOR PRESTAMO]]*Tabla14[[#This Row],[% INTERES ]]/30*U6139))+Tabla14[[#This Row],[VALOR CUOTAS]]</f>
        <v>#VALUE!</v>
      </c>
      <c r="S6139" s="88">
        <f>-IF(Tabla14[[#This Row],[DIAS HABILES O MORA]]&lt;0,(Tabla14[[#This Row],[VALOR PRESTAMO]]*Tabla14[[#This Row],[% INTERES ]]/30*U6139))</f>
        <v>0</v>
      </c>
      <c r="T6139" s="53" t="e">
        <f>Tabla14[[#This Row],[DEUDA CAPITAL]]+Tabla14[[#This Row],[INTERES  CUOTA]]</f>
        <v>#NUM!</v>
      </c>
      <c r="U6139" s="61" t="str">
        <f t="shared" si="969"/>
        <v/>
      </c>
    </row>
    <row r="6140" spans="9:21" ht="24.75" customHeight="1" x14ac:dyDescent="0.35">
      <c r="I6140" s="42">
        <f t="shared" si="960"/>
        <v>0</v>
      </c>
      <c r="J6140" s="65" t="e">
        <f t="shared" si="961"/>
        <v>#NUM!</v>
      </c>
      <c r="K6140" s="83" t="e">
        <f t="shared" si="962"/>
        <v>#NUM!</v>
      </c>
      <c r="L6140" s="83">
        <f t="shared" si="963"/>
        <v>0</v>
      </c>
      <c r="M6140" s="110" t="str">
        <f t="shared" si="964"/>
        <v/>
      </c>
      <c r="N6140" s="51" t="str">
        <f t="shared" si="965"/>
        <v/>
      </c>
      <c r="O6140" s="52" t="str">
        <f t="shared" si="966"/>
        <v/>
      </c>
      <c r="P6140" s="88">
        <f t="shared" si="967"/>
        <v>0</v>
      </c>
      <c r="Q6140" s="88">
        <f t="shared" si="968"/>
        <v>0</v>
      </c>
      <c r="R6140" s="88" t="e">
        <f>-IF(Tabla14[[#This Row],[DIAS HABILES O MORA]]&lt;0,(Tabla14[[#This Row],[VALOR PRESTAMO]]*Tabla14[[#This Row],[% INTERES ]]/30*U6140))+Tabla14[[#This Row],[VALOR CUOTAS]]</f>
        <v>#VALUE!</v>
      </c>
      <c r="S6140" s="88">
        <f>-IF(Tabla14[[#This Row],[DIAS HABILES O MORA]]&lt;0,(Tabla14[[#This Row],[VALOR PRESTAMO]]*Tabla14[[#This Row],[% INTERES ]]/30*U6140))</f>
        <v>0</v>
      </c>
      <c r="T6140" s="53" t="e">
        <f>Tabla14[[#This Row],[DEUDA CAPITAL]]+Tabla14[[#This Row],[INTERES  CUOTA]]</f>
        <v>#NUM!</v>
      </c>
      <c r="U6140" s="61" t="str">
        <f t="shared" si="969"/>
        <v/>
      </c>
    </row>
    <row r="6141" spans="9:21" ht="24.75" customHeight="1" x14ac:dyDescent="0.35">
      <c r="I6141" s="42">
        <f t="shared" si="960"/>
        <v>0</v>
      </c>
      <c r="J6141" s="65" t="e">
        <f t="shared" si="961"/>
        <v>#NUM!</v>
      </c>
      <c r="K6141" s="83" t="e">
        <f t="shared" si="962"/>
        <v>#NUM!</v>
      </c>
      <c r="L6141" s="83">
        <f t="shared" si="963"/>
        <v>0</v>
      </c>
      <c r="M6141" s="110" t="str">
        <f t="shared" si="964"/>
        <v/>
      </c>
      <c r="N6141" s="51" t="str">
        <f t="shared" si="965"/>
        <v/>
      </c>
      <c r="O6141" s="52" t="str">
        <f t="shared" si="966"/>
        <v/>
      </c>
      <c r="P6141" s="88">
        <f t="shared" si="967"/>
        <v>0</v>
      </c>
      <c r="Q6141" s="88">
        <f t="shared" si="968"/>
        <v>0</v>
      </c>
      <c r="R6141" s="88" t="e">
        <f>-IF(Tabla14[[#This Row],[DIAS HABILES O MORA]]&lt;0,(Tabla14[[#This Row],[VALOR PRESTAMO]]*Tabla14[[#This Row],[% INTERES ]]/30*U6141))+Tabla14[[#This Row],[VALOR CUOTAS]]</f>
        <v>#VALUE!</v>
      </c>
      <c r="S6141" s="88">
        <f>-IF(Tabla14[[#This Row],[DIAS HABILES O MORA]]&lt;0,(Tabla14[[#This Row],[VALOR PRESTAMO]]*Tabla14[[#This Row],[% INTERES ]]/30*U6141))</f>
        <v>0</v>
      </c>
      <c r="T6141" s="53" t="e">
        <f>Tabla14[[#This Row],[DEUDA CAPITAL]]+Tabla14[[#This Row],[INTERES  CUOTA]]</f>
        <v>#NUM!</v>
      </c>
      <c r="U6141" s="61" t="str">
        <f t="shared" si="969"/>
        <v/>
      </c>
    </row>
    <row r="6142" spans="9:21" ht="24.75" customHeight="1" x14ac:dyDescent="0.35">
      <c r="I6142" s="42">
        <f t="shared" si="960"/>
        <v>0</v>
      </c>
      <c r="J6142" s="65" t="e">
        <f t="shared" si="961"/>
        <v>#NUM!</v>
      </c>
      <c r="K6142" s="83" t="e">
        <f t="shared" si="962"/>
        <v>#NUM!</v>
      </c>
      <c r="L6142" s="83">
        <f t="shared" si="963"/>
        <v>0</v>
      </c>
      <c r="M6142" s="110" t="str">
        <f t="shared" si="964"/>
        <v/>
      </c>
      <c r="N6142" s="51" t="str">
        <f t="shared" si="965"/>
        <v/>
      </c>
      <c r="O6142" s="52" t="str">
        <f t="shared" si="966"/>
        <v/>
      </c>
      <c r="P6142" s="88">
        <f t="shared" si="967"/>
        <v>0</v>
      </c>
      <c r="Q6142" s="88">
        <f t="shared" si="968"/>
        <v>0</v>
      </c>
      <c r="R6142" s="88" t="e">
        <f>-IF(Tabla14[[#This Row],[DIAS HABILES O MORA]]&lt;0,(Tabla14[[#This Row],[VALOR PRESTAMO]]*Tabla14[[#This Row],[% INTERES ]]/30*U6142))+Tabla14[[#This Row],[VALOR CUOTAS]]</f>
        <v>#VALUE!</v>
      </c>
      <c r="S6142" s="88">
        <f>-IF(Tabla14[[#This Row],[DIAS HABILES O MORA]]&lt;0,(Tabla14[[#This Row],[VALOR PRESTAMO]]*Tabla14[[#This Row],[% INTERES ]]/30*U6142))</f>
        <v>0</v>
      </c>
      <c r="T6142" s="53" t="e">
        <f>Tabla14[[#This Row],[DEUDA CAPITAL]]+Tabla14[[#This Row],[INTERES  CUOTA]]</f>
        <v>#NUM!</v>
      </c>
      <c r="U6142" s="61" t="str">
        <f t="shared" si="969"/>
        <v/>
      </c>
    </row>
    <row r="6143" spans="9:21" ht="24.75" customHeight="1" x14ac:dyDescent="0.35">
      <c r="I6143" s="42">
        <f t="shared" si="960"/>
        <v>0</v>
      </c>
      <c r="J6143" s="65" t="e">
        <f t="shared" si="961"/>
        <v>#NUM!</v>
      </c>
      <c r="K6143" s="83" t="e">
        <f t="shared" si="962"/>
        <v>#NUM!</v>
      </c>
      <c r="L6143" s="83">
        <f t="shared" si="963"/>
        <v>0</v>
      </c>
      <c r="M6143" s="110" t="str">
        <f t="shared" si="964"/>
        <v/>
      </c>
      <c r="N6143" s="51" t="str">
        <f t="shared" si="965"/>
        <v/>
      </c>
      <c r="O6143" s="52" t="str">
        <f t="shared" si="966"/>
        <v/>
      </c>
      <c r="P6143" s="88">
        <f t="shared" si="967"/>
        <v>0</v>
      </c>
      <c r="Q6143" s="88">
        <f t="shared" si="968"/>
        <v>0</v>
      </c>
      <c r="R6143" s="88" t="e">
        <f>-IF(Tabla14[[#This Row],[DIAS HABILES O MORA]]&lt;0,(Tabla14[[#This Row],[VALOR PRESTAMO]]*Tabla14[[#This Row],[% INTERES ]]/30*U6143))+Tabla14[[#This Row],[VALOR CUOTAS]]</f>
        <v>#VALUE!</v>
      </c>
      <c r="S6143" s="88">
        <f>-IF(Tabla14[[#This Row],[DIAS HABILES O MORA]]&lt;0,(Tabla14[[#This Row],[VALOR PRESTAMO]]*Tabla14[[#This Row],[% INTERES ]]/30*U6143))</f>
        <v>0</v>
      </c>
      <c r="T6143" s="53" t="e">
        <f>Tabla14[[#This Row],[DEUDA CAPITAL]]+Tabla14[[#This Row],[INTERES  CUOTA]]</f>
        <v>#NUM!</v>
      </c>
      <c r="U6143" s="61" t="str">
        <f t="shared" si="969"/>
        <v/>
      </c>
    </row>
    <row r="6144" spans="9:21" ht="24.75" customHeight="1" x14ac:dyDescent="0.35">
      <c r="I6144" s="42">
        <f t="shared" si="960"/>
        <v>0</v>
      </c>
      <c r="J6144" s="65" t="e">
        <f t="shared" si="961"/>
        <v>#NUM!</v>
      </c>
      <c r="K6144" s="83" t="e">
        <f t="shared" si="962"/>
        <v>#NUM!</v>
      </c>
      <c r="L6144" s="83">
        <f t="shared" si="963"/>
        <v>0</v>
      </c>
      <c r="M6144" s="110" t="str">
        <f t="shared" si="964"/>
        <v/>
      </c>
      <c r="N6144" s="51" t="str">
        <f t="shared" si="965"/>
        <v/>
      </c>
      <c r="O6144" s="52" t="str">
        <f t="shared" si="966"/>
        <v/>
      </c>
      <c r="P6144" s="88">
        <f t="shared" si="967"/>
        <v>0</v>
      </c>
      <c r="Q6144" s="88">
        <f t="shared" si="968"/>
        <v>0</v>
      </c>
      <c r="R6144" s="88" t="e">
        <f>-IF(Tabla14[[#This Row],[DIAS HABILES O MORA]]&lt;0,(Tabla14[[#This Row],[VALOR PRESTAMO]]*Tabla14[[#This Row],[% INTERES ]]/30*U6144))+Tabla14[[#This Row],[VALOR CUOTAS]]</f>
        <v>#VALUE!</v>
      </c>
      <c r="S6144" s="88">
        <f>-IF(Tabla14[[#This Row],[DIAS HABILES O MORA]]&lt;0,(Tabla14[[#This Row],[VALOR PRESTAMO]]*Tabla14[[#This Row],[% INTERES ]]/30*U6144))</f>
        <v>0</v>
      </c>
      <c r="T6144" s="53" t="e">
        <f>Tabla14[[#This Row],[DEUDA CAPITAL]]+Tabla14[[#This Row],[INTERES  CUOTA]]</f>
        <v>#NUM!</v>
      </c>
      <c r="U6144" s="61" t="str">
        <f t="shared" si="969"/>
        <v/>
      </c>
    </row>
    <row r="6145" spans="9:21" ht="24.75" customHeight="1" x14ac:dyDescent="0.35">
      <c r="I6145" s="42">
        <f t="shared" si="960"/>
        <v>0</v>
      </c>
      <c r="J6145" s="65" t="e">
        <f t="shared" si="961"/>
        <v>#NUM!</v>
      </c>
      <c r="K6145" s="83" t="e">
        <f t="shared" si="962"/>
        <v>#NUM!</v>
      </c>
      <c r="L6145" s="83">
        <f t="shared" si="963"/>
        <v>0</v>
      </c>
      <c r="M6145" s="110" t="str">
        <f t="shared" si="964"/>
        <v/>
      </c>
      <c r="N6145" s="51" t="str">
        <f t="shared" si="965"/>
        <v/>
      </c>
      <c r="O6145" s="52" t="str">
        <f t="shared" si="966"/>
        <v/>
      </c>
      <c r="P6145" s="88">
        <f t="shared" si="967"/>
        <v>0</v>
      </c>
      <c r="Q6145" s="88">
        <f t="shared" si="968"/>
        <v>0</v>
      </c>
      <c r="R6145" s="88" t="e">
        <f>-IF(Tabla14[[#This Row],[DIAS HABILES O MORA]]&lt;0,(Tabla14[[#This Row],[VALOR PRESTAMO]]*Tabla14[[#This Row],[% INTERES ]]/30*U6145))+Tabla14[[#This Row],[VALOR CUOTAS]]</f>
        <v>#VALUE!</v>
      </c>
      <c r="S6145" s="88">
        <f>-IF(Tabla14[[#This Row],[DIAS HABILES O MORA]]&lt;0,(Tabla14[[#This Row],[VALOR PRESTAMO]]*Tabla14[[#This Row],[% INTERES ]]/30*U6145))</f>
        <v>0</v>
      </c>
      <c r="T6145" s="53" t="e">
        <f>Tabla14[[#This Row],[DEUDA CAPITAL]]+Tabla14[[#This Row],[INTERES  CUOTA]]</f>
        <v>#NUM!</v>
      </c>
      <c r="U6145" s="61" t="str">
        <f t="shared" si="969"/>
        <v/>
      </c>
    </row>
    <row r="6146" spans="9:21" ht="24.75" customHeight="1" x14ac:dyDescent="0.35">
      <c r="I6146" s="42">
        <f t="shared" si="960"/>
        <v>0</v>
      </c>
      <c r="J6146" s="65" t="e">
        <f t="shared" si="961"/>
        <v>#NUM!</v>
      </c>
      <c r="K6146" s="83" t="e">
        <f t="shared" si="962"/>
        <v>#NUM!</v>
      </c>
      <c r="L6146" s="83">
        <f t="shared" si="963"/>
        <v>0</v>
      </c>
      <c r="M6146" s="110" t="str">
        <f t="shared" si="964"/>
        <v/>
      </c>
      <c r="N6146" s="51" t="str">
        <f t="shared" si="965"/>
        <v/>
      </c>
      <c r="O6146" s="52" t="str">
        <f t="shared" si="966"/>
        <v/>
      </c>
      <c r="P6146" s="88">
        <f t="shared" si="967"/>
        <v>0</v>
      </c>
      <c r="Q6146" s="88">
        <f t="shared" si="968"/>
        <v>0</v>
      </c>
      <c r="R6146" s="88" t="e">
        <f>-IF(Tabla14[[#This Row],[DIAS HABILES O MORA]]&lt;0,(Tabla14[[#This Row],[VALOR PRESTAMO]]*Tabla14[[#This Row],[% INTERES ]]/30*U6146))+Tabla14[[#This Row],[VALOR CUOTAS]]</f>
        <v>#VALUE!</v>
      </c>
      <c r="S6146" s="88">
        <f>-IF(Tabla14[[#This Row],[DIAS HABILES O MORA]]&lt;0,(Tabla14[[#This Row],[VALOR PRESTAMO]]*Tabla14[[#This Row],[% INTERES ]]/30*U6146))</f>
        <v>0</v>
      </c>
      <c r="T6146" s="53" t="e">
        <f>Tabla14[[#This Row],[DEUDA CAPITAL]]+Tabla14[[#This Row],[INTERES  CUOTA]]</f>
        <v>#NUM!</v>
      </c>
      <c r="U6146" s="61" t="str">
        <f t="shared" si="969"/>
        <v/>
      </c>
    </row>
    <row r="6147" spans="9:21" ht="24.75" customHeight="1" x14ac:dyDescent="0.35">
      <c r="I6147" s="42">
        <f t="shared" si="960"/>
        <v>0</v>
      </c>
      <c r="J6147" s="65" t="e">
        <f t="shared" si="961"/>
        <v>#NUM!</v>
      </c>
      <c r="K6147" s="83" t="e">
        <f t="shared" si="962"/>
        <v>#NUM!</v>
      </c>
      <c r="L6147" s="83">
        <f t="shared" si="963"/>
        <v>0</v>
      </c>
      <c r="M6147" s="110" t="str">
        <f t="shared" si="964"/>
        <v/>
      </c>
      <c r="N6147" s="51" t="str">
        <f t="shared" si="965"/>
        <v/>
      </c>
      <c r="O6147" s="52" t="str">
        <f t="shared" si="966"/>
        <v/>
      </c>
      <c r="P6147" s="88">
        <f t="shared" si="967"/>
        <v>0</v>
      </c>
      <c r="Q6147" s="88">
        <f t="shared" si="968"/>
        <v>0</v>
      </c>
      <c r="R6147" s="88" t="e">
        <f>-IF(Tabla14[[#This Row],[DIAS HABILES O MORA]]&lt;0,(Tabla14[[#This Row],[VALOR PRESTAMO]]*Tabla14[[#This Row],[% INTERES ]]/30*U6147))+Tabla14[[#This Row],[VALOR CUOTAS]]</f>
        <v>#VALUE!</v>
      </c>
      <c r="S6147" s="88">
        <f>-IF(Tabla14[[#This Row],[DIAS HABILES O MORA]]&lt;0,(Tabla14[[#This Row],[VALOR PRESTAMO]]*Tabla14[[#This Row],[% INTERES ]]/30*U6147))</f>
        <v>0</v>
      </c>
      <c r="T6147" s="53" t="e">
        <f>Tabla14[[#This Row],[DEUDA CAPITAL]]+Tabla14[[#This Row],[INTERES  CUOTA]]</f>
        <v>#NUM!</v>
      </c>
      <c r="U6147" s="61" t="str">
        <f t="shared" si="969"/>
        <v/>
      </c>
    </row>
    <row r="6148" spans="9:21" ht="24.75" customHeight="1" x14ac:dyDescent="0.35">
      <c r="I6148" s="42">
        <f t="shared" si="960"/>
        <v>0</v>
      </c>
      <c r="J6148" s="65" t="e">
        <f t="shared" si="961"/>
        <v>#NUM!</v>
      </c>
      <c r="K6148" s="83" t="e">
        <f t="shared" si="962"/>
        <v>#NUM!</v>
      </c>
      <c r="L6148" s="83">
        <f t="shared" si="963"/>
        <v>0</v>
      </c>
      <c r="M6148" s="110" t="str">
        <f t="shared" si="964"/>
        <v/>
      </c>
      <c r="N6148" s="51" t="str">
        <f t="shared" si="965"/>
        <v/>
      </c>
      <c r="O6148" s="52" t="str">
        <f t="shared" si="966"/>
        <v/>
      </c>
      <c r="P6148" s="88">
        <f t="shared" si="967"/>
        <v>0</v>
      </c>
      <c r="Q6148" s="88">
        <f t="shared" si="968"/>
        <v>0</v>
      </c>
      <c r="R6148" s="88" t="e">
        <f>-IF(Tabla14[[#This Row],[DIAS HABILES O MORA]]&lt;0,(Tabla14[[#This Row],[VALOR PRESTAMO]]*Tabla14[[#This Row],[% INTERES ]]/30*U6148))+Tabla14[[#This Row],[VALOR CUOTAS]]</f>
        <v>#VALUE!</v>
      </c>
      <c r="S6148" s="88">
        <f>-IF(Tabla14[[#This Row],[DIAS HABILES O MORA]]&lt;0,(Tabla14[[#This Row],[VALOR PRESTAMO]]*Tabla14[[#This Row],[% INTERES ]]/30*U6148))</f>
        <v>0</v>
      </c>
      <c r="T6148" s="53" t="e">
        <f>Tabla14[[#This Row],[DEUDA CAPITAL]]+Tabla14[[#This Row],[INTERES  CUOTA]]</f>
        <v>#NUM!</v>
      </c>
      <c r="U6148" s="61" t="str">
        <f t="shared" si="969"/>
        <v/>
      </c>
    </row>
    <row r="6149" spans="9:21" ht="24.75" customHeight="1" x14ac:dyDescent="0.35">
      <c r="I6149" s="42">
        <f t="shared" si="960"/>
        <v>0</v>
      </c>
      <c r="J6149" s="65" t="e">
        <f t="shared" si="961"/>
        <v>#NUM!</v>
      </c>
      <c r="K6149" s="83" t="e">
        <f t="shared" si="962"/>
        <v>#NUM!</v>
      </c>
      <c r="L6149" s="83">
        <f t="shared" si="963"/>
        <v>0</v>
      </c>
      <c r="M6149" s="110" t="str">
        <f t="shared" si="964"/>
        <v/>
      </c>
      <c r="N6149" s="51" t="str">
        <f t="shared" si="965"/>
        <v/>
      </c>
      <c r="O6149" s="52" t="str">
        <f t="shared" si="966"/>
        <v/>
      </c>
      <c r="P6149" s="88">
        <f t="shared" si="967"/>
        <v>0</v>
      </c>
      <c r="Q6149" s="88">
        <f t="shared" si="968"/>
        <v>0</v>
      </c>
      <c r="R6149" s="88" t="e">
        <f>-IF(Tabla14[[#This Row],[DIAS HABILES O MORA]]&lt;0,(Tabla14[[#This Row],[VALOR PRESTAMO]]*Tabla14[[#This Row],[% INTERES ]]/30*U6149))+Tabla14[[#This Row],[VALOR CUOTAS]]</f>
        <v>#VALUE!</v>
      </c>
      <c r="S6149" s="88">
        <f>-IF(Tabla14[[#This Row],[DIAS HABILES O MORA]]&lt;0,(Tabla14[[#This Row],[VALOR PRESTAMO]]*Tabla14[[#This Row],[% INTERES ]]/30*U6149))</f>
        <v>0</v>
      </c>
      <c r="T6149" s="53" t="e">
        <f>Tabla14[[#This Row],[DEUDA CAPITAL]]+Tabla14[[#This Row],[INTERES  CUOTA]]</f>
        <v>#NUM!</v>
      </c>
      <c r="U6149" s="61" t="str">
        <f t="shared" si="969"/>
        <v/>
      </c>
    </row>
    <row r="6150" spans="9:21" ht="24.75" customHeight="1" x14ac:dyDescent="0.35">
      <c r="I6150" s="42">
        <f t="shared" si="960"/>
        <v>0</v>
      </c>
      <c r="J6150" s="65" t="e">
        <f t="shared" si="961"/>
        <v>#NUM!</v>
      </c>
      <c r="K6150" s="83" t="e">
        <f t="shared" si="962"/>
        <v>#NUM!</v>
      </c>
      <c r="L6150" s="83">
        <f t="shared" si="963"/>
        <v>0</v>
      </c>
      <c r="M6150" s="110" t="str">
        <f t="shared" si="964"/>
        <v/>
      </c>
      <c r="N6150" s="51" t="str">
        <f t="shared" si="965"/>
        <v/>
      </c>
      <c r="O6150" s="52" t="str">
        <f t="shared" si="966"/>
        <v/>
      </c>
      <c r="P6150" s="88">
        <f t="shared" si="967"/>
        <v>0</v>
      </c>
      <c r="Q6150" s="88">
        <f t="shared" si="968"/>
        <v>0</v>
      </c>
      <c r="R6150" s="88" t="e">
        <f>-IF(Tabla14[[#This Row],[DIAS HABILES O MORA]]&lt;0,(Tabla14[[#This Row],[VALOR PRESTAMO]]*Tabla14[[#This Row],[% INTERES ]]/30*U6150))+Tabla14[[#This Row],[VALOR CUOTAS]]</f>
        <v>#VALUE!</v>
      </c>
      <c r="S6150" s="88">
        <f>-IF(Tabla14[[#This Row],[DIAS HABILES O MORA]]&lt;0,(Tabla14[[#This Row],[VALOR PRESTAMO]]*Tabla14[[#This Row],[% INTERES ]]/30*U6150))</f>
        <v>0</v>
      </c>
      <c r="T6150" s="53" t="e">
        <f>Tabla14[[#This Row],[DEUDA CAPITAL]]+Tabla14[[#This Row],[INTERES  CUOTA]]</f>
        <v>#NUM!</v>
      </c>
      <c r="U6150" s="61" t="str">
        <f t="shared" si="969"/>
        <v/>
      </c>
    </row>
    <row r="6151" spans="9:21" ht="24.75" customHeight="1" x14ac:dyDescent="0.35">
      <c r="I6151" s="42">
        <f t="shared" si="960"/>
        <v>0</v>
      </c>
      <c r="J6151" s="65" t="e">
        <f t="shared" si="961"/>
        <v>#NUM!</v>
      </c>
      <c r="K6151" s="83" t="e">
        <f t="shared" si="962"/>
        <v>#NUM!</v>
      </c>
      <c r="L6151" s="83">
        <f t="shared" si="963"/>
        <v>0</v>
      </c>
      <c r="M6151" s="110" t="str">
        <f t="shared" si="964"/>
        <v/>
      </c>
      <c r="N6151" s="51" t="str">
        <f t="shared" si="965"/>
        <v/>
      </c>
      <c r="O6151" s="52" t="str">
        <f t="shared" si="966"/>
        <v/>
      </c>
      <c r="P6151" s="88">
        <f t="shared" si="967"/>
        <v>0</v>
      </c>
      <c r="Q6151" s="88">
        <f t="shared" si="968"/>
        <v>0</v>
      </c>
      <c r="R6151" s="88" t="e">
        <f>-IF(Tabla14[[#This Row],[DIAS HABILES O MORA]]&lt;0,(Tabla14[[#This Row],[VALOR PRESTAMO]]*Tabla14[[#This Row],[% INTERES ]]/30*U6151))+Tabla14[[#This Row],[VALOR CUOTAS]]</f>
        <v>#VALUE!</v>
      </c>
      <c r="S6151" s="88">
        <f>-IF(Tabla14[[#This Row],[DIAS HABILES O MORA]]&lt;0,(Tabla14[[#This Row],[VALOR PRESTAMO]]*Tabla14[[#This Row],[% INTERES ]]/30*U6151))</f>
        <v>0</v>
      </c>
      <c r="T6151" s="53" t="e">
        <f>Tabla14[[#This Row],[DEUDA CAPITAL]]+Tabla14[[#This Row],[INTERES  CUOTA]]</f>
        <v>#NUM!</v>
      </c>
      <c r="U6151" s="61" t="str">
        <f t="shared" si="969"/>
        <v/>
      </c>
    </row>
    <row r="6152" spans="9:21" ht="24.75" customHeight="1" x14ac:dyDescent="0.35">
      <c r="I6152" s="42">
        <f t="shared" si="960"/>
        <v>0</v>
      </c>
      <c r="J6152" s="65" t="e">
        <f t="shared" si="961"/>
        <v>#NUM!</v>
      </c>
      <c r="K6152" s="83" t="e">
        <f t="shared" si="962"/>
        <v>#NUM!</v>
      </c>
      <c r="L6152" s="83">
        <f t="shared" si="963"/>
        <v>0</v>
      </c>
      <c r="M6152" s="110" t="str">
        <f t="shared" si="964"/>
        <v/>
      </c>
      <c r="N6152" s="51" t="str">
        <f t="shared" si="965"/>
        <v/>
      </c>
      <c r="O6152" s="52" t="str">
        <f t="shared" si="966"/>
        <v/>
      </c>
      <c r="P6152" s="88">
        <f t="shared" si="967"/>
        <v>0</v>
      </c>
      <c r="Q6152" s="88">
        <f t="shared" si="968"/>
        <v>0</v>
      </c>
      <c r="R6152" s="88" t="e">
        <f>-IF(Tabla14[[#This Row],[DIAS HABILES O MORA]]&lt;0,(Tabla14[[#This Row],[VALOR PRESTAMO]]*Tabla14[[#This Row],[% INTERES ]]/30*U6152))+Tabla14[[#This Row],[VALOR CUOTAS]]</f>
        <v>#VALUE!</v>
      </c>
      <c r="S6152" s="88">
        <f>-IF(Tabla14[[#This Row],[DIAS HABILES O MORA]]&lt;0,(Tabla14[[#This Row],[VALOR PRESTAMO]]*Tabla14[[#This Row],[% INTERES ]]/30*U6152))</f>
        <v>0</v>
      </c>
      <c r="T6152" s="53" t="e">
        <f>Tabla14[[#This Row],[DEUDA CAPITAL]]+Tabla14[[#This Row],[INTERES  CUOTA]]</f>
        <v>#NUM!</v>
      </c>
      <c r="U6152" s="61" t="str">
        <f t="shared" si="969"/>
        <v/>
      </c>
    </row>
    <row r="6153" spans="9:21" ht="24.75" customHeight="1" x14ac:dyDescent="0.35">
      <c r="I6153" s="42">
        <f t="shared" si="960"/>
        <v>0</v>
      </c>
      <c r="J6153" s="65" t="e">
        <f t="shared" si="961"/>
        <v>#NUM!</v>
      </c>
      <c r="K6153" s="83" t="e">
        <f t="shared" si="962"/>
        <v>#NUM!</v>
      </c>
      <c r="L6153" s="83">
        <f t="shared" si="963"/>
        <v>0</v>
      </c>
      <c r="M6153" s="110" t="str">
        <f t="shared" si="964"/>
        <v/>
      </c>
      <c r="N6153" s="51" t="str">
        <f t="shared" si="965"/>
        <v/>
      </c>
      <c r="O6153" s="52" t="str">
        <f t="shared" si="966"/>
        <v/>
      </c>
      <c r="P6153" s="88">
        <f t="shared" si="967"/>
        <v>0</v>
      </c>
      <c r="Q6153" s="88">
        <f t="shared" si="968"/>
        <v>0</v>
      </c>
      <c r="R6153" s="88" t="e">
        <f>-IF(Tabla14[[#This Row],[DIAS HABILES O MORA]]&lt;0,(Tabla14[[#This Row],[VALOR PRESTAMO]]*Tabla14[[#This Row],[% INTERES ]]/30*U6153))+Tabla14[[#This Row],[VALOR CUOTAS]]</f>
        <v>#VALUE!</v>
      </c>
      <c r="S6153" s="88">
        <f>-IF(Tabla14[[#This Row],[DIAS HABILES O MORA]]&lt;0,(Tabla14[[#This Row],[VALOR PRESTAMO]]*Tabla14[[#This Row],[% INTERES ]]/30*U6153))</f>
        <v>0</v>
      </c>
      <c r="T6153" s="53" t="e">
        <f>Tabla14[[#This Row],[DEUDA CAPITAL]]+Tabla14[[#This Row],[INTERES  CUOTA]]</f>
        <v>#NUM!</v>
      </c>
      <c r="U6153" s="61" t="str">
        <f t="shared" si="969"/>
        <v/>
      </c>
    </row>
    <row r="6154" spans="9:21" ht="24.75" customHeight="1" x14ac:dyDescent="0.35">
      <c r="I6154" s="42">
        <f t="shared" si="960"/>
        <v>0</v>
      </c>
      <c r="J6154" s="65" t="e">
        <f t="shared" si="961"/>
        <v>#NUM!</v>
      </c>
      <c r="K6154" s="83" t="e">
        <f t="shared" si="962"/>
        <v>#NUM!</v>
      </c>
      <c r="L6154" s="83">
        <f t="shared" si="963"/>
        <v>0</v>
      </c>
      <c r="M6154" s="110" t="str">
        <f t="shared" si="964"/>
        <v/>
      </c>
      <c r="N6154" s="51" t="str">
        <f t="shared" si="965"/>
        <v/>
      </c>
      <c r="O6154" s="52" t="str">
        <f t="shared" si="966"/>
        <v/>
      </c>
      <c r="P6154" s="88">
        <f t="shared" si="967"/>
        <v>0</v>
      </c>
      <c r="Q6154" s="88">
        <f t="shared" si="968"/>
        <v>0</v>
      </c>
      <c r="R6154" s="88" t="e">
        <f>-IF(Tabla14[[#This Row],[DIAS HABILES O MORA]]&lt;0,(Tabla14[[#This Row],[VALOR PRESTAMO]]*Tabla14[[#This Row],[% INTERES ]]/30*U6154))+Tabla14[[#This Row],[VALOR CUOTAS]]</f>
        <v>#VALUE!</v>
      </c>
      <c r="S6154" s="88">
        <f>-IF(Tabla14[[#This Row],[DIAS HABILES O MORA]]&lt;0,(Tabla14[[#This Row],[VALOR PRESTAMO]]*Tabla14[[#This Row],[% INTERES ]]/30*U6154))</f>
        <v>0</v>
      </c>
      <c r="T6154" s="53" t="e">
        <f>Tabla14[[#This Row],[DEUDA CAPITAL]]+Tabla14[[#This Row],[INTERES  CUOTA]]</f>
        <v>#NUM!</v>
      </c>
      <c r="U6154" s="61" t="str">
        <f t="shared" si="969"/>
        <v/>
      </c>
    </row>
    <row r="6155" spans="9:21" ht="24.75" customHeight="1" x14ac:dyDescent="0.35">
      <c r="I6155" s="42">
        <f t="shared" si="960"/>
        <v>0</v>
      </c>
      <c r="J6155" s="65" t="e">
        <f t="shared" si="961"/>
        <v>#NUM!</v>
      </c>
      <c r="K6155" s="83" t="e">
        <f t="shared" si="962"/>
        <v>#NUM!</v>
      </c>
      <c r="L6155" s="83">
        <f t="shared" si="963"/>
        <v>0</v>
      </c>
      <c r="M6155" s="110" t="str">
        <f t="shared" si="964"/>
        <v/>
      </c>
      <c r="N6155" s="51" t="str">
        <f t="shared" si="965"/>
        <v/>
      </c>
      <c r="O6155" s="52" t="str">
        <f t="shared" si="966"/>
        <v/>
      </c>
      <c r="P6155" s="88">
        <f t="shared" si="967"/>
        <v>0</v>
      </c>
      <c r="Q6155" s="88">
        <f t="shared" si="968"/>
        <v>0</v>
      </c>
      <c r="R6155" s="88" t="e">
        <f>-IF(Tabla14[[#This Row],[DIAS HABILES O MORA]]&lt;0,(Tabla14[[#This Row],[VALOR PRESTAMO]]*Tabla14[[#This Row],[% INTERES ]]/30*U6155))+Tabla14[[#This Row],[VALOR CUOTAS]]</f>
        <v>#VALUE!</v>
      </c>
      <c r="S6155" s="88">
        <f>-IF(Tabla14[[#This Row],[DIAS HABILES O MORA]]&lt;0,(Tabla14[[#This Row],[VALOR PRESTAMO]]*Tabla14[[#This Row],[% INTERES ]]/30*U6155))</f>
        <v>0</v>
      </c>
      <c r="T6155" s="53" t="e">
        <f>Tabla14[[#This Row],[DEUDA CAPITAL]]+Tabla14[[#This Row],[INTERES  CUOTA]]</f>
        <v>#NUM!</v>
      </c>
      <c r="U6155" s="61" t="str">
        <f t="shared" si="969"/>
        <v/>
      </c>
    </row>
    <row r="6156" spans="9:21" ht="24.75" customHeight="1" x14ac:dyDescent="0.35">
      <c r="I6156" s="42">
        <f t="shared" si="960"/>
        <v>0</v>
      </c>
      <c r="J6156" s="65" t="e">
        <f t="shared" si="961"/>
        <v>#NUM!</v>
      </c>
      <c r="K6156" s="83" t="e">
        <f t="shared" si="962"/>
        <v>#NUM!</v>
      </c>
      <c r="L6156" s="83">
        <f t="shared" si="963"/>
        <v>0</v>
      </c>
      <c r="M6156" s="110" t="str">
        <f t="shared" si="964"/>
        <v/>
      </c>
      <c r="N6156" s="51" t="str">
        <f t="shared" si="965"/>
        <v/>
      </c>
      <c r="O6156" s="52" t="str">
        <f t="shared" si="966"/>
        <v/>
      </c>
      <c r="P6156" s="88">
        <f t="shared" si="967"/>
        <v>0</v>
      </c>
      <c r="Q6156" s="88">
        <f t="shared" si="968"/>
        <v>0</v>
      </c>
      <c r="R6156" s="88" t="e">
        <f>-IF(Tabla14[[#This Row],[DIAS HABILES O MORA]]&lt;0,(Tabla14[[#This Row],[VALOR PRESTAMO]]*Tabla14[[#This Row],[% INTERES ]]/30*U6156))+Tabla14[[#This Row],[VALOR CUOTAS]]</f>
        <v>#VALUE!</v>
      </c>
      <c r="S6156" s="88">
        <f>-IF(Tabla14[[#This Row],[DIAS HABILES O MORA]]&lt;0,(Tabla14[[#This Row],[VALOR PRESTAMO]]*Tabla14[[#This Row],[% INTERES ]]/30*U6156))</f>
        <v>0</v>
      </c>
      <c r="T6156" s="53" t="e">
        <f>Tabla14[[#This Row],[DEUDA CAPITAL]]+Tabla14[[#This Row],[INTERES  CUOTA]]</f>
        <v>#NUM!</v>
      </c>
      <c r="U6156" s="61" t="str">
        <f t="shared" si="969"/>
        <v/>
      </c>
    </row>
    <row r="6157" spans="9:21" ht="24.75" customHeight="1" x14ac:dyDescent="0.35">
      <c r="I6157" s="42">
        <f t="shared" si="960"/>
        <v>0</v>
      </c>
      <c r="J6157" s="65" t="e">
        <f t="shared" si="961"/>
        <v>#NUM!</v>
      </c>
      <c r="K6157" s="83" t="e">
        <f t="shared" si="962"/>
        <v>#NUM!</v>
      </c>
      <c r="L6157" s="83">
        <f t="shared" si="963"/>
        <v>0</v>
      </c>
      <c r="M6157" s="110" t="str">
        <f t="shared" si="964"/>
        <v/>
      </c>
      <c r="N6157" s="51" t="str">
        <f t="shared" si="965"/>
        <v/>
      </c>
      <c r="O6157" s="52" t="str">
        <f t="shared" si="966"/>
        <v/>
      </c>
      <c r="P6157" s="88">
        <f t="shared" si="967"/>
        <v>0</v>
      </c>
      <c r="Q6157" s="88">
        <f t="shared" si="968"/>
        <v>0</v>
      </c>
      <c r="R6157" s="88" t="e">
        <f>-IF(Tabla14[[#This Row],[DIAS HABILES O MORA]]&lt;0,(Tabla14[[#This Row],[VALOR PRESTAMO]]*Tabla14[[#This Row],[% INTERES ]]/30*U6157))+Tabla14[[#This Row],[VALOR CUOTAS]]</f>
        <v>#VALUE!</v>
      </c>
      <c r="S6157" s="88">
        <f>-IF(Tabla14[[#This Row],[DIAS HABILES O MORA]]&lt;0,(Tabla14[[#This Row],[VALOR PRESTAMO]]*Tabla14[[#This Row],[% INTERES ]]/30*U6157))</f>
        <v>0</v>
      </c>
      <c r="T6157" s="53" t="e">
        <f>Tabla14[[#This Row],[DEUDA CAPITAL]]+Tabla14[[#This Row],[INTERES  CUOTA]]</f>
        <v>#NUM!</v>
      </c>
      <c r="U6157" s="61" t="str">
        <f t="shared" si="969"/>
        <v/>
      </c>
    </row>
    <row r="6158" spans="9:21" ht="24.75" customHeight="1" x14ac:dyDescent="0.35">
      <c r="I6158" s="42">
        <f t="shared" si="960"/>
        <v>0</v>
      </c>
      <c r="J6158" s="65" t="e">
        <f t="shared" si="961"/>
        <v>#NUM!</v>
      </c>
      <c r="K6158" s="83" t="e">
        <f t="shared" si="962"/>
        <v>#NUM!</v>
      </c>
      <c r="L6158" s="83">
        <f t="shared" si="963"/>
        <v>0</v>
      </c>
      <c r="M6158" s="110" t="str">
        <f t="shared" si="964"/>
        <v/>
      </c>
      <c r="N6158" s="51" t="str">
        <f t="shared" si="965"/>
        <v/>
      </c>
      <c r="O6158" s="52" t="str">
        <f t="shared" si="966"/>
        <v/>
      </c>
      <c r="P6158" s="88">
        <f t="shared" si="967"/>
        <v>0</v>
      </c>
      <c r="Q6158" s="88">
        <f t="shared" si="968"/>
        <v>0</v>
      </c>
      <c r="R6158" s="88" t="e">
        <f>-IF(Tabla14[[#This Row],[DIAS HABILES O MORA]]&lt;0,(Tabla14[[#This Row],[VALOR PRESTAMO]]*Tabla14[[#This Row],[% INTERES ]]/30*U6158))+Tabla14[[#This Row],[VALOR CUOTAS]]</f>
        <v>#VALUE!</v>
      </c>
      <c r="S6158" s="88">
        <f>-IF(Tabla14[[#This Row],[DIAS HABILES O MORA]]&lt;0,(Tabla14[[#This Row],[VALOR PRESTAMO]]*Tabla14[[#This Row],[% INTERES ]]/30*U6158))</f>
        <v>0</v>
      </c>
      <c r="T6158" s="53" t="e">
        <f>Tabla14[[#This Row],[DEUDA CAPITAL]]+Tabla14[[#This Row],[INTERES  CUOTA]]</f>
        <v>#NUM!</v>
      </c>
      <c r="U6158" s="61" t="str">
        <f t="shared" si="969"/>
        <v/>
      </c>
    </row>
    <row r="6159" spans="9:21" ht="24.75" customHeight="1" x14ac:dyDescent="0.35">
      <c r="I6159" s="42">
        <f t="shared" si="960"/>
        <v>0</v>
      </c>
      <c r="J6159" s="65" t="e">
        <f t="shared" si="961"/>
        <v>#NUM!</v>
      </c>
      <c r="K6159" s="83" t="e">
        <f t="shared" si="962"/>
        <v>#NUM!</v>
      </c>
      <c r="L6159" s="83">
        <f t="shared" si="963"/>
        <v>0</v>
      </c>
      <c r="M6159" s="110" t="str">
        <f t="shared" si="964"/>
        <v/>
      </c>
      <c r="N6159" s="51" t="str">
        <f t="shared" si="965"/>
        <v/>
      </c>
      <c r="O6159" s="52" t="str">
        <f t="shared" si="966"/>
        <v/>
      </c>
      <c r="P6159" s="88">
        <f t="shared" si="967"/>
        <v>0</v>
      </c>
      <c r="Q6159" s="88">
        <f t="shared" si="968"/>
        <v>0</v>
      </c>
      <c r="R6159" s="88" t="e">
        <f>-IF(Tabla14[[#This Row],[DIAS HABILES O MORA]]&lt;0,(Tabla14[[#This Row],[VALOR PRESTAMO]]*Tabla14[[#This Row],[% INTERES ]]/30*U6159))+Tabla14[[#This Row],[VALOR CUOTAS]]</f>
        <v>#VALUE!</v>
      </c>
      <c r="S6159" s="88">
        <f>-IF(Tabla14[[#This Row],[DIAS HABILES O MORA]]&lt;0,(Tabla14[[#This Row],[VALOR PRESTAMO]]*Tabla14[[#This Row],[% INTERES ]]/30*U6159))</f>
        <v>0</v>
      </c>
      <c r="T6159" s="53" t="e">
        <f>Tabla14[[#This Row],[DEUDA CAPITAL]]+Tabla14[[#This Row],[INTERES  CUOTA]]</f>
        <v>#NUM!</v>
      </c>
      <c r="U6159" s="61" t="str">
        <f t="shared" si="969"/>
        <v/>
      </c>
    </row>
    <row r="6160" spans="9:21" ht="24.75" customHeight="1" x14ac:dyDescent="0.35">
      <c r="I6160" s="42">
        <f t="shared" ref="I6160:I6185" si="970">IF(C6160&lt;0,"",IF(Q6160=0,0,IF(G6160=0,H6160+1,IF(H6160&lt;G6160,H6160+1,IF(G6160=H6160,0)))))</f>
        <v>0</v>
      </c>
      <c r="J6160" s="65" t="e">
        <f t="shared" ref="J6160:J6186" si="971">IF(F6160="SOLO INTERES",Q6160*D6160,-IPMT(D6160,I6160,G6160,C6160))</f>
        <v>#NUM!</v>
      </c>
      <c r="K6160" s="83" t="e">
        <f t="shared" ref="K6160:K6186" si="972">IF(F6160="SOLO INTERES",0,-PPMT(D6160,I6160,G6160,C6160))</f>
        <v>#NUM!</v>
      </c>
      <c r="L6160" s="83">
        <f t="shared" ref="L6160:L6186" si="973">IF(F6160="SOLO INTERES",SUM(Y6160:AAE6160),IFERROR(-CUMIPMT(D6160,G6160,C6160,1,H6160,0),0)+SUM(Y6160:WY6160))</f>
        <v>0</v>
      </c>
      <c r="M6160" s="110" t="str">
        <f t="shared" ref="M6160:M6186" si="974">IFERROR(IF(F6160="SOLO INTERES",Q6160*D6160,-PMT(D6160,G6160,C6160,0)),"")</f>
        <v/>
      </c>
      <c r="N6160" s="51" t="str">
        <f t="shared" ref="N6160:N6186" si="975">IF(Q6160=0,"",IF(E6160="MENSUAL",EDATE(B6160,I6160),IF(E6160="QUINCENAL",B6160+(I6160*15),IF(E6160="SEMANAL",B6160+(I6160*7)))))</f>
        <v/>
      </c>
      <c r="O6160" s="52" t="str">
        <f t="shared" ref="O6160:O6186" si="976">IF(C6160=0,"",IF(Q6160&lt;1,"PAGADO",IF(N6160=$A$3,"COBRAR HOY",IF(N6160&lt;$A$3,"EN MORA",IF(N6160&gt;$A$3,"AL DIA")))))</f>
        <v/>
      </c>
      <c r="P6160" s="88">
        <f t="shared" ref="P6160:P6186" si="977">IFERROR(-CUMPRINC(D6160,G6160,C6160,1,H6160,0),0)+W6160</f>
        <v>0</v>
      </c>
      <c r="Q6160" s="88">
        <f t="shared" ref="Q6160:Q6186" si="978">IFERROR(C6160-P6160,"")</f>
        <v>0</v>
      </c>
      <c r="R6160" s="88" t="e">
        <f>-IF(Tabla14[[#This Row],[DIAS HABILES O MORA]]&lt;0,(Tabla14[[#This Row],[VALOR PRESTAMO]]*Tabla14[[#This Row],[% INTERES ]]/30*U6160))+Tabla14[[#This Row],[VALOR CUOTAS]]</f>
        <v>#VALUE!</v>
      </c>
      <c r="S6160" s="88">
        <f>-IF(Tabla14[[#This Row],[DIAS HABILES O MORA]]&lt;0,(Tabla14[[#This Row],[VALOR PRESTAMO]]*Tabla14[[#This Row],[% INTERES ]]/30*U6160))</f>
        <v>0</v>
      </c>
      <c r="T6160" s="53" t="e">
        <f>Tabla14[[#This Row],[DEUDA CAPITAL]]+Tabla14[[#This Row],[INTERES  CUOTA]]</f>
        <v>#NUM!</v>
      </c>
      <c r="U6160" s="61" t="str">
        <f t="shared" ref="U6160:U6186" si="979">IF(O6160="PAGADO","",IFERROR(-IF(C6160=0,"",$A$3-N6160),""))</f>
        <v/>
      </c>
    </row>
    <row r="6161" spans="9:21" ht="24.75" customHeight="1" x14ac:dyDescent="0.35">
      <c r="I6161" s="42">
        <f t="shared" si="970"/>
        <v>0</v>
      </c>
      <c r="J6161" s="65" t="e">
        <f t="shared" si="971"/>
        <v>#NUM!</v>
      </c>
      <c r="K6161" s="83" t="e">
        <f t="shared" si="972"/>
        <v>#NUM!</v>
      </c>
      <c r="L6161" s="83">
        <f t="shared" si="973"/>
        <v>0</v>
      </c>
      <c r="M6161" s="110" t="str">
        <f t="shared" si="974"/>
        <v/>
      </c>
      <c r="N6161" s="51" t="str">
        <f t="shared" si="975"/>
        <v/>
      </c>
      <c r="O6161" s="52" t="str">
        <f t="shared" si="976"/>
        <v/>
      </c>
      <c r="P6161" s="88">
        <f t="shared" si="977"/>
        <v>0</v>
      </c>
      <c r="Q6161" s="88">
        <f t="shared" si="978"/>
        <v>0</v>
      </c>
      <c r="R6161" s="88" t="e">
        <f>-IF(Tabla14[[#This Row],[DIAS HABILES O MORA]]&lt;0,(Tabla14[[#This Row],[VALOR PRESTAMO]]*Tabla14[[#This Row],[% INTERES ]]/30*U6161))+Tabla14[[#This Row],[VALOR CUOTAS]]</f>
        <v>#VALUE!</v>
      </c>
      <c r="S6161" s="88">
        <f>-IF(Tabla14[[#This Row],[DIAS HABILES O MORA]]&lt;0,(Tabla14[[#This Row],[VALOR PRESTAMO]]*Tabla14[[#This Row],[% INTERES ]]/30*U6161))</f>
        <v>0</v>
      </c>
      <c r="T6161" s="53" t="e">
        <f>Tabla14[[#This Row],[DEUDA CAPITAL]]+Tabla14[[#This Row],[INTERES  CUOTA]]</f>
        <v>#NUM!</v>
      </c>
      <c r="U6161" s="61" t="str">
        <f t="shared" si="979"/>
        <v/>
      </c>
    </row>
    <row r="6162" spans="9:21" ht="24.75" customHeight="1" x14ac:dyDescent="0.35">
      <c r="I6162" s="42">
        <f t="shared" si="970"/>
        <v>0</v>
      </c>
      <c r="J6162" s="65" t="e">
        <f t="shared" si="971"/>
        <v>#NUM!</v>
      </c>
      <c r="K6162" s="83" t="e">
        <f t="shared" si="972"/>
        <v>#NUM!</v>
      </c>
      <c r="L6162" s="83">
        <f t="shared" si="973"/>
        <v>0</v>
      </c>
      <c r="M6162" s="110" t="str">
        <f t="shared" si="974"/>
        <v/>
      </c>
      <c r="N6162" s="51" t="str">
        <f t="shared" si="975"/>
        <v/>
      </c>
      <c r="O6162" s="52" t="str">
        <f t="shared" si="976"/>
        <v/>
      </c>
      <c r="P6162" s="88">
        <f t="shared" si="977"/>
        <v>0</v>
      </c>
      <c r="Q6162" s="88">
        <f t="shared" si="978"/>
        <v>0</v>
      </c>
      <c r="R6162" s="88" t="e">
        <f>-IF(Tabla14[[#This Row],[DIAS HABILES O MORA]]&lt;0,(Tabla14[[#This Row],[VALOR PRESTAMO]]*Tabla14[[#This Row],[% INTERES ]]/30*U6162))+Tabla14[[#This Row],[VALOR CUOTAS]]</f>
        <v>#VALUE!</v>
      </c>
      <c r="S6162" s="88">
        <f>-IF(Tabla14[[#This Row],[DIAS HABILES O MORA]]&lt;0,(Tabla14[[#This Row],[VALOR PRESTAMO]]*Tabla14[[#This Row],[% INTERES ]]/30*U6162))</f>
        <v>0</v>
      </c>
      <c r="T6162" s="53" t="e">
        <f>Tabla14[[#This Row],[DEUDA CAPITAL]]+Tabla14[[#This Row],[INTERES  CUOTA]]</f>
        <v>#NUM!</v>
      </c>
      <c r="U6162" s="61" t="str">
        <f t="shared" si="979"/>
        <v/>
      </c>
    </row>
    <row r="6163" spans="9:21" ht="24.75" customHeight="1" x14ac:dyDescent="0.35">
      <c r="I6163" s="42">
        <f t="shared" si="970"/>
        <v>0</v>
      </c>
      <c r="J6163" s="65" t="e">
        <f t="shared" si="971"/>
        <v>#NUM!</v>
      </c>
      <c r="K6163" s="83" t="e">
        <f t="shared" si="972"/>
        <v>#NUM!</v>
      </c>
      <c r="L6163" s="83">
        <f t="shared" si="973"/>
        <v>0</v>
      </c>
      <c r="M6163" s="110" t="str">
        <f t="shared" si="974"/>
        <v/>
      </c>
      <c r="N6163" s="51" t="str">
        <f t="shared" si="975"/>
        <v/>
      </c>
      <c r="O6163" s="52" t="str">
        <f t="shared" si="976"/>
        <v/>
      </c>
      <c r="P6163" s="88">
        <f t="shared" si="977"/>
        <v>0</v>
      </c>
      <c r="Q6163" s="88">
        <f t="shared" si="978"/>
        <v>0</v>
      </c>
      <c r="R6163" s="88" t="e">
        <f>-IF(Tabla14[[#This Row],[DIAS HABILES O MORA]]&lt;0,(Tabla14[[#This Row],[VALOR PRESTAMO]]*Tabla14[[#This Row],[% INTERES ]]/30*U6163))+Tabla14[[#This Row],[VALOR CUOTAS]]</f>
        <v>#VALUE!</v>
      </c>
      <c r="S6163" s="88">
        <f>-IF(Tabla14[[#This Row],[DIAS HABILES O MORA]]&lt;0,(Tabla14[[#This Row],[VALOR PRESTAMO]]*Tabla14[[#This Row],[% INTERES ]]/30*U6163))</f>
        <v>0</v>
      </c>
      <c r="T6163" s="53" t="e">
        <f>Tabla14[[#This Row],[DEUDA CAPITAL]]+Tabla14[[#This Row],[INTERES  CUOTA]]</f>
        <v>#NUM!</v>
      </c>
      <c r="U6163" s="61" t="str">
        <f t="shared" si="979"/>
        <v/>
      </c>
    </row>
    <row r="6164" spans="9:21" ht="24.75" customHeight="1" x14ac:dyDescent="0.35">
      <c r="I6164" s="42">
        <f t="shared" si="970"/>
        <v>0</v>
      </c>
      <c r="J6164" s="65" t="e">
        <f t="shared" si="971"/>
        <v>#NUM!</v>
      </c>
      <c r="K6164" s="83" t="e">
        <f t="shared" si="972"/>
        <v>#NUM!</v>
      </c>
      <c r="L6164" s="83">
        <f t="shared" si="973"/>
        <v>0</v>
      </c>
      <c r="M6164" s="110" t="str">
        <f t="shared" si="974"/>
        <v/>
      </c>
      <c r="N6164" s="51" t="str">
        <f t="shared" si="975"/>
        <v/>
      </c>
      <c r="O6164" s="52" t="str">
        <f t="shared" si="976"/>
        <v/>
      </c>
      <c r="P6164" s="88">
        <f t="shared" si="977"/>
        <v>0</v>
      </c>
      <c r="Q6164" s="88">
        <f t="shared" si="978"/>
        <v>0</v>
      </c>
      <c r="R6164" s="88" t="e">
        <f>-IF(Tabla14[[#This Row],[DIAS HABILES O MORA]]&lt;0,(Tabla14[[#This Row],[VALOR PRESTAMO]]*Tabla14[[#This Row],[% INTERES ]]/30*U6164))+Tabla14[[#This Row],[VALOR CUOTAS]]</f>
        <v>#VALUE!</v>
      </c>
      <c r="S6164" s="88">
        <f>-IF(Tabla14[[#This Row],[DIAS HABILES O MORA]]&lt;0,(Tabla14[[#This Row],[VALOR PRESTAMO]]*Tabla14[[#This Row],[% INTERES ]]/30*U6164))</f>
        <v>0</v>
      </c>
      <c r="T6164" s="53" t="e">
        <f>Tabla14[[#This Row],[DEUDA CAPITAL]]+Tabla14[[#This Row],[INTERES  CUOTA]]</f>
        <v>#NUM!</v>
      </c>
      <c r="U6164" s="61" t="str">
        <f t="shared" si="979"/>
        <v/>
      </c>
    </row>
    <row r="6165" spans="9:21" ht="24.75" customHeight="1" x14ac:dyDescent="0.35">
      <c r="I6165" s="42">
        <f t="shared" si="970"/>
        <v>0</v>
      </c>
      <c r="J6165" s="65" t="e">
        <f t="shared" si="971"/>
        <v>#NUM!</v>
      </c>
      <c r="K6165" s="83" t="e">
        <f t="shared" si="972"/>
        <v>#NUM!</v>
      </c>
      <c r="L6165" s="83">
        <f t="shared" si="973"/>
        <v>0</v>
      </c>
      <c r="M6165" s="110" t="str">
        <f t="shared" si="974"/>
        <v/>
      </c>
      <c r="N6165" s="51" t="str">
        <f t="shared" si="975"/>
        <v/>
      </c>
      <c r="O6165" s="52" t="str">
        <f t="shared" si="976"/>
        <v/>
      </c>
      <c r="P6165" s="88">
        <f t="shared" si="977"/>
        <v>0</v>
      </c>
      <c r="Q6165" s="88">
        <f t="shared" si="978"/>
        <v>0</v>
      </c>
      <c r="R6165" s="88" t="e">
        <f>-IF(Tabla14[[#This Row],[DIAS HABILES O MORA]]&lt;0,(Tabla14[[#This Row],[VALOR PRESTAMO]]*Tabla14[[#This Row],[% INTERES ]]/30*U6165))+Tabla14[[#This Row],[VALOR CUOTAS]]</f>
        <v>#VALUE!</v>
      </c>
      <c r="S6165" s="88">
        <f>-IF(Tabla14[[#This Row],[DIAS HABILES O MORA]]&lt;0,(Tabla14[[#This Row],[VALOR PRESTAMO]]*Tabla14[[#This Row],[% INTERES ]]/30*U6165))</f>
        <v>0</v>
      </c>
      <c r="T6165" s="53" t="e">
        <f>Tabla14[[#This Row],[DEUDA CAPITAL]]+Tabla14[[#This Row],[INTERES  CUOTA]]</f>
        <v>#NUM!</v>
      </c>
      <c r="U6165" s="61" t="str">
        <f t="shared" si="979"/>
        <v/>
      </c>
    </row>
    <row r="6166" spans="9:21" ht="24.75" customHeight="1" x14ac:dyDescent="0.35">
      <c r="I6166" s="42">
        <f t="shared" si="970"/>
        <v>0</v>
      </c>
      <c r="J6166" s="65" t="e">
        <f t="shared" si="971"/>
        <v>#NUM!</v>
      </c>
      <c r="K6166" s="83" t="e">
        <f t="shared" si="972"/>
        <v>#NUM!</v>
      </c>
      <c r="L6166" s="83">
        <f t="shared" si="973"/>
        <v>0</v>
      </c>
      <c r="M6166" s="110" t="str">
        <f t="shared" si="974"/>
        <v/>
      </c>
      <c r="N6166" s="51" t="str">
        <f t="shared" si="975"/>
        <v/>
      </c>
      <c r="O6166" s="52" t="str">
        <f t="shared" si="976"/>
        <v/>
      </c>
      <c r="P6166" s="88">
        <f t="shared" si="977"/>
        <v>0</v>
      </c>
      <c r="Q6166" s="88">
        <f t="shared" si="978"/>
        <v>0</v>
      </c>
      <c r="R6166" s="88" t="e">
        <f>-IF(Tabla14[[#This Row],[DIAS HABILES O MORA]]&lt;0,(Tabla14[[#This Row],[VALOR PRESTAMO]]*Tabla14[[#This Row],[% INTERES ]]/30*U6166))+Tabla14[[#This Row],[VALOR CUOTAS]]</f>
        <v>#VALUE!</v>
      </c>
      <c r="S6166" s="88">
        <f>-IF(Tabla14[[#This Row],[DIAS HABILES O MORA]]&lt;0,(Tabla14[[#This Row],[VALOR PRESTAMO]]*Tabla14[[#This Row],[% INTERES ]]/30*U6166))</f>
        <v>0</v>
      </c>
      <c r="T6166" s="53" t="e">
        <f>Tabla14[[#This Row],[DEUDA CAPITAL]]+Tabla14[[#This Row],[INTERES  CUOTA]]</f>
        <v>#NUM!</v>
      </c>
      <c r="U6166" s="61" t="str">
        <f t="shared" si="979"/>
        <v/>
      </c>
    </row>
    <row r="6167" spans="9:21" ht="24.75" customHeight="1" x14ac:dyDescent="0.35">
      <c r="I6167" s="42">
        <f t="shared" si="970"/>
        <v>0</v>
      </c>
      <c r="J6167" s="65" t="e">
        <f t="shared" si="971"/>
        <v>#NUM!</v>
      </c>
      <c r="K6167" s="83" t="e">
        <f t="shared" si="972"/>
        <v>#NUM!</v>
      </c>
      <c r="L6167" s="83">
        <f t="shared" si="973"/>
        <v>0</v>
      </c>
      <c r="M6167" s="110" t="str">
        <f t="shared" si="974"/>
        <v/>
      </c>
      <c r="N6167" s="51" t="str">
        <f t="shared" si="975"/>
        <v/>
      </c>
      <c r="O6167" s="52" t="str">
        <f t="shared" si="976"/>
        <v/>
      </c>
      <c r="P6167" s="88">
        <f t="shared" si="977"/>
        <v>0</v>
      </c>
      <c r="Q6167" s="88">
        <f t="shared" si="978"/>
        <v>0</v>
      </c>
      <c r="R6167" s="88" t="e">
        <f>-IF(Tabla14[[#This Row],[DIAS HABILES O MORA]]&lt;0,(Tabla14[[#This Row],[VALOR PRESTAMO]]*Tabla14[[#This Row],[% INTERES ]]/30*U6167))+Tabla14[[#This Row],[VALOR CUOTAS]]</f>
        <v>#VALUE!</v>
      </c>
      <c r="S6167" s="88">
        <f>-IF(Tabla14[[#This Row],[DIAS HABILES O MORA]]&lt;0,(Tabla14[[#This Row],[VALOR PRESTAMO]]*Tabla14[[#This Row],[% INTERES ]]/30*U6167))</f>
        <v>0</v>
      </c>
      <c r="T6167" s="53" t="e">
        <f>Tabla14[[#This Row],[DEUDA CAPITAL]]+Tabla14[[#This Row],[INTERES  CUOTA]]</f>
        <v>#NUM!</v>
      </c>
      <c r="U6167" s="61" t="str">
        <f t="shared" si="979"/>
        <v/>
      </c>
    </row>
    <row r="6168" spans="9:21" ht="24.75" customHeight="1" x14ac:dyDescent="0.35">
      <c r="I6168" s="42">
        <f t="shared" si="970"/>
        <v>0</v>
      </c>
      <c r="J6168" s="65" t="e">
        <f t="shared" si="971"/>
        <v>#NUM!</v>
      </c>
      <c r="K6168" s="83" t="e">
        <f t="shared" si="972"/>
        <v>#NUM!</v>
      </c>
      <c r="L6168" s="83">
        <f t="shared" si="973"/>
        <v>0</v>
      </c>
      <c r="M6168" s="110" t="str">
        <f t="shared" si="974"/>
        <v/>
      </c>
      <c r="N6168" s="51" t="str">
        <f t="shared" si="975"/>
        <v/>
      </c>
      <c r="O6168" s="52" t="str">
        <f t="shared" si="976"/>
        <v/>
      </c>
      <c r="P6168" s="88">
        <f t="shared" si="977"/>
        <v>0</v>
      </c>
      <c r="Q6168" s="88">
        <f t="shared" si="978"/>
        <v>0</v>
      </c>
      <c r="R6168" s="88" t="e">
        <f>-IF(Tabla14[[#This Row],[DIAS HABILES O MORA]]&lt;0,(Tabla14[[#This Row],[VALOR PRESTAMO]]*Tabla14[[#This Row],[% INTERES ]]/30*U6168))+Tabla14[[#This Row],[VALOR CUOTAS]]</f>
        <v>#VALUE!</v>
      </c>
      <c r="S6168" s="88">
        <f>-IF(Tabla14[[#This Row],[DIAS HABILES O MORA]]&lt;0,(Tabla14[[#This Row],[VALOR PRESTAMO]]*Tabla14[[#This Row],[% INTERES ]]/30*U6168))</f>
        <v>0</v>
      </c>
      <c r="T6168" s="53" t="e">
        <f>Tabla14[[#This Row],[DEUDA CAPITAL]]+Tabla14[[#This Row],[INTERES  CUOTA]]</f>
        <v>#NUM!</v>
      </c>
      <c r="U6168" s="61" t="str">
        <f t="shared" si="979"/>
        <v/>
      </c>
    </row>
    <row r="6169" spans="9:21" ht="24.75" customHeight="1" x14ac:dyDescent="0.35">
      <c r="I6169" s="42">
        <f t="shared" si="970"/>
        <v>0</v>
      </c>
      <c r="J6169" s="65" t="e">
        <f t="shared" si="971"/>
        <v>#NUM!</v>
      </c>
      <c r="K6169" s="83" t="e">
        <f t="shared" si="972"/>
        <v>#NUM!</v>
      </c>
      <c r="L6169" s="83">
        <f t="shared" si="973"/>
        <v>0</v>
      </c>
      <c r="M6169" s="110" t="str">
        <f t="shared" si="974"/>
        <v/>
      </c>
      <c r="N6169" s="51" t="str">
        <f t="shared" si="975"/>
        <v/>
      </c>
      <c r="O6169" s="52" t="str">
        <f t="shared" si="976"/>
        <v/>
      </c>
      <c r="P6169" s="88">
        <f t="shared" si="977"/>
        <v>0</v>
      </c>
      <c r="Q6169" s="88">
        <f t="shared" si="978"/>
        <v>0</v>
      </c>
      <c r="R6169" s="88" t="e">
        <f>-IF(Tabla14[[#This Row],[DIAS HABILES O MORA]]&lt;0,(Tabla14[[#This Row],[VALOR PRESTAMO]]*Tabla14[[#This Row],[% INTERES ]]/30*U6169))+Tabla14[[#This Row],[VALOR CUOTAS]]</f>
        <v>#VALUE!</v>
      </c>
      <c r="S6169" s="88">
        <f>-IF(Tabla14[[#This Row],[DIAS HABILES O MORA]]&lt;0,(Tabla14[[#This Row],[VALOR PRESTAMO]]*Tabla14[[#This Row],[% INTERES ]]/30*U6169))</f>
        <v>0</v>
      </c>
      <c r="T6169" s="53" t="e">
        <f>Tabla14[[#This Row],[DEUDA CAPITAL]]+Tabla14[[#This Row],[INTERES  CUOTA]]</f>
        <v>#NUM!</v>
      </c>
      <c r="U6169" s="61" t="str">
        <f t="shared" si="979"/>
        <v/>
      </c>
    </row>
    <row r="6170" spans="9:21" ht="24.75" customHeight="1" x14ac:dyDescent="0.35">
      <c r="I6170" s="42">
        <f t="shared" si="970"/>
        <v>0</v>
      </c>
      <c r="J6170" s="65" t="e">
        <f t="shared" si="971"/>
        <v>#NUM!</v>
      </c>
      <c r="K6170" s="83" t="e">
        <f t="shared" si="972"/>
        <v>#NUM!</v>
      </c>
      <c r="L6170" s="83">
        <f t="shared" si="973"/>
        <v>0</v>
      </c>
      <c r="M6170" s="110" t="str">
        <f t="shared" si="974"/>
        <v/>
      </c>
      <c r="N6170" s="51" t="str">
        <f t="shared" si="975"/>
        <v/>
      </c>
      <c r="O6170" s="52" t="str">
        <f t="shared" si="976"/>
        <v/>
      </c>
      <c r="P6170" s="88">
        <f t="shared" si="977"/>
        <v>0</v>
      </c>
      <c r="Q6170" s="88">
        <f t="shared" si="978"/>
        <v>0</v>
      </c>
      <c r="R6170" s="88" t="e">
        <f>-IF(Tabla14[[#This Row],[DIAS HABILES O MORA]]&lt;0,(Tabla14[[#This Row],[VALOR PRESTAMO]]*Tabla14[[#This Row],[% INTERES ]]/30*U6170))+Tabla14[[#This Row],[VALOR CUOTAS]]</f>
        <v>#VALUE!</v>
      </c>
      <c r="S6170" s="88">
        <f>-IF(Tabla14[[#This Row],[DIAS HABILES O MORA]]&lt;0,(Tabla14[[#This Row],[VALOR PRESTAMO]]*Tabla14[[#This Row],[% INTERES ]]/30*U6170))</f>
        <v>0</v>
      </c>
      <c r="T6170" s="53" t="e">
        <f>Tabla14[[#This Row],[DEUDA CAPITAL]]+Tabla14[[#This Row],[INTERES  CUOTA]]</f>
        <v>#NUM!</v>
      </c>
      <c r="U6170" s="61" t="str">
        <f t="shared" si="979"/>
        <v/>
      </c>
    </row>
    <row r="6171" spans="9:21" ht="24.75" customHeight="1" x14ac:dyDescent="0.35">
      <c r="I6171" s="42">
        <f t="shared" si="970"/>
        <v>0</v>
      </c>
      <c r="J6171" s="65" t="e">
        <f t="shared" si="971"/>
        <v>#NUM!</v>
      </c>
      <c r="K6171" s="83" t="e">
        <f t="shared" si="972"/>
        <v>#NUM!</v>
      </c>
      <c r="L6171" s="83">
        <f t="shared" si="973"/>
        <v>0</v>
      </c>
      <c r="M6171" s="110" t="str">
        <f t="shared" si="974"/>
        <v/>
      </c>
      <c r="N6171" s="51" t="str">
        <f t="shared" si="975"/>
        <v/>
      </c>
      <c r="O6171" s="52" t="str">
        <f t="shared" si="976"/>
        <v/>
      </c>
      <c r="P6171" s="88">
        <f t="shared" si="977"/>
        <v>0</v>
      </c>
      <c r="Q6171" s="88">
        <f t="shared" si="978"/>
        <v>0</v>
      </c>
      <c r="R6171" s="88" t="e">
        <f>-IF(Tabla14[[#This Row],[DIAS HABILES O MORA]]&lt;0,(Tabla14[[#This Row],[VALOR PRESTAMO]]*Tabla14[[#This Row],[% INTERES ]]/30*U6171))+Tabla14[[#This Row],[VALOR CUOTAS]]</f>
        <v>#VALUE!</v>
      </c>
      <c r="S6171" s="88">
        <f>-IF(Tabla14[[#This Row],[DIAS HABILES O MORA]]&lt;0,(Tabla14[[#This Row],[VALOR PRESTAMO]]*Tabla14[[#This Row],[% INTERES ]]/30*U6171))</f>
        <v>0</v>
      </c>
      <c r="T6171" s="53" t="e">
        <f>Tabla14[[#This Row],[DEUDA CAPITAL]]+Tabla14[[#This Row],[INTERES  CUOTA]]</f>
        <v>#NUM!</v>
      </c>
      <c r="U6171" s="61" t="str">
        <f t="shared" si="979"/>
        <v/>
      </c>
    </row>
    <row r="6172" spans="9:21" ht="24.75" customHeight="1" x14ac:dyDescent="0.35">
      <c r="I6172" s="42">
        <f t="shared" si="970"/>
        <v>0</v>
      </c>
      <c r="J6172" s="65" t="e">
        <f t="shared" si="971"/>
        <v>#NUM!</v>
      </c>
      <c r="K6172" s="83" t="e">
        <f t="shared" si="972"/>
        <v>#NUM!</v>
      </c>
      <c r="L6172" s="83">
        <f t="shared" si="973"/>
        <v>0</v>
      </c>
      <c r="M6172" s="110" t="str">
        <f t="shared" si="974"/>
        <v/>
      </c>
      <c r="N6172" s="51" t="str">
        <f t="shared" si="975"/>
        <v/>
      </c>
      <c r="O6172" s="52" t="str">
        <f t="shared" si="976"/>
        <v/>
      </c>
      <c r="P6172" s="88">
        <f t="shared" si="977"/>
        <v>0</v>
      </c>
      <c r="Q6172" s="88">
        <f t="shared" si="978"/>
        <v>0</v>
      </c>
      <c r="R6172" s="88" t="e">
        <f>-IF(Tabla14[[#This Row],[DIAS HABILES O MORA]]&lt;0,(Tabla14[[#This Row],[VALOR PRESTAMO]]*Tabla14[[#This Row],[% INTERES ]]/30*U6172))+Tabla14[[#This Row],[VALOR CUOTAS]]</f>
        <v>#VALUE!</v>
      </c>
      <c r="S6172" s="88">
        <f>-IF(Tabla14[[#This Row],[DIAS HABILES O MORA]]&lt;0,(Tabla14[[#This Row],[VALOR PRESTAMO]]*Tabla14[[#This Row],[% INTERES ]]/30*U6172))</f>
        <v>0</v>
      </c>
      <c r="T6172" s="53" t="e">
        <f>Tabla14[[#This Row],[DEUDA CAPITAL]]+Tabla14[[#This Row],[INTERES  CUOTA]]</f>
        <v>#NUM!</v>
      </c>
      <c r="U6172" s="61" t="str">
        <f t="shared" si="979"/>
        <v/>
      </c>
    </row>
    <row r="6173" spans="9:21" ht="24.75" customHeight="1" x14ac:dyDescent="0.35">
      <c r="I6173" s="42">
        <f t="shared" si="970"/>
        <v>0</v>
      </c>
      <c r="J6173" s="65" t="e">
        <f t="shared" si="971"/>
        <v>#NUM!</v>
      </c>
      <c r="K6173" s="83" t="e">
        <f t="shared" si="972"/>
        <v>#NUM!</v>
      </c>
      <c r="L6173" s="83">
        <f t="shared" si="973"/>
        <v>0</v>
      </c>
      <c r="M6173" s="110" t="str">
        <f t="shared" si="974"/>
        <v/>
      </c>
      <c r="N6173" s="51" t="str">
        <f t="shared" si="975"/>
        <v/>
      </c>
      <c r="O6173" s="52" t="str">
        <f t="shared" si="976"/>
        <v/>
      </c>
      <c r="P6173" s="88">
        <f t="shared" si="977"/>
        <v>0</v>
      </c>
      <c r="Q6173" s="88">
        <f t="shared" si="978"/>
        <v>0</v>
      </c>
      <c r="R6173" s="88" t="e">
        <f>-IF(Tabla14[[#This Row],[DIAS HABILES O MORA]]&lt;0,(Tabla14[[#This Row],[VALOR PRESTAMO]]*Tabla14[[#This Row],[% INTERES ]]/30*U6173))+Tabla14[[#This Row],[VALOR CUOTAS]]</f>
        <v>#VALUE!</v>
      </c>
      <c r="S6173" s="88">
        <f>-IF(Tabla14[[#This Row],[DIAS HABILES O MORA]]&lt;0,(Tabla14[[#This Row],[VALOR PRESTAMO]]*Tabla14[[#This Row],[% INTERES ]]/30*U6173))</f>
        <v>0</v>
      </c>
      <c r="T6173" s="53" t="e">
        <f>Tabla14[[#This Row],[DEUDA CAPITAL]]+Tabla14[[#This Row],[INTERES  CUOTA]]</f>
        <v>#NUM!</v>
      </c>
      <c r="U6173" s="61" t="str">
        <f t="shared" si="979"/>
        <v/>
      </c>
    </row>
    <row r="6174" spans="9:21" ht="24.75" customHeight="1" x14ac:dyDescent="0.35">
      <c r="I6174" s="42">
        <f t="shared" si="970"/>
        <v>0</v>
      </c>
      <c r="J6174" s="65" t="e">
        <f t="shared" si="971"/>
        <v>#NUM!</v>
      </c>
      <c r="K6174" s="83" t="e">
        <f t="shared" si="972"/>
        <v>#NUM!</v>
      </c>
      <c r="L6174" s="83">
        <f t="shared" si="973"/>
        <v>0</v>
      </c>
      <c r="M6174" s="110" t="str">
        <f t="shared" si="974"/>
        <v/>
      </c>
      <c r="N6174" s="51" t="str">
        <f t="shared" si="975"/>
        <v/>
      </c>
      <c r="O6174" s="52" t="str">
        <f t="shared" si="976"/>
        <v/>
      </c>
      <c r="P6174" s="88">
        <f t="shared" si="977"/>
        <v>0</v>
      </c>
      <c r="Q6174" s="88">
        <f t="shared" si="978"/>
        <v>0</v>
      </c>
      <c r="R6174" s="88" t="e">
        <f>-IF(Tabla14[[#This Row],[DIAS HABILES O MORA]]&lt;0,(Tabla14[[#This Row],[VALOR PRESTAMO]]*Tabla14[[#This Row],[% INTERES ]]/30*U6174))+Tabla14[[#This Row],[VALOR CUOTAS]]</f>
        <v>#VALUE!</v>
      </c>
      <c r="S6174" s="88">
        <f>-IF(Tabla14[[#This Row],[DIAS HABILES O MORA]]&lt;0,(Tabla14[[#This Row],[VALOR PRESTAMO]]*Tabla14[[#This Row],[% INTERES ]]/30*U6174))</f>
        <v>0</v>
      </c>
      <c r="T6174" s="53" t="e">
        <f>Tabla14[[#This Row],[DEUDA CAPITAL]]+Tabla14[[#This Row],[INTERES  CUOTA]]</f>
        <v>#NUM!</v>
      </c>
      <c r="U6174" s="61" t="str">
        <f t="shared" si="979"/>
        <v/>
      </c>
    </row>
    <row r="6175" spans="9:21" ht="24.75" customHeight="1" x14ac:dyDescent="0.35">
      <c r="I6175" s="42">
        <f t="shared" si="970"/>
        <v>0</v>
      </c>
      <c r="J6175" s="65" t="e">
        <f t="shared" si="971"/>
        <v>#NUM!</v>
      </c>
      <c r="K6175" s="83" t="e">
        <f t="shared" si="972"/>
        <v>#NUM!</v>
      </c>
      <c r="L6175" s="83">
        <f t="shared" si="973"/>
        <v>0</v>
      </c>
      <c r="M6175" s="110" t="str">
        <f t="shared" si="974"/>
        <v/>
      </c>
      <c r="N6175" s="51" t="str">
        <f t="shared" si="975"/>
        <v/>
      </c>
      <c r="O6175" s="52" t="str">
        <f t="shared" si="976"/>
        <v/>
      </c>
      <c r="P6175" s="88">
        <f t="shared" si="977"/>
        <v>0</v>
      </c>
      <c r="Q6175" s="88">
        <f t="shared" si="978"/>
        <v>0</v>
      </c>
      <c r="R6175" s="88" t="e">
        <f>-IF(Tabla14[[#This Row],[DIAS HABILES O MORA]]&lt;0,(Tabla14[[#This Row],[VALOR PRESTAMO]]*Tabla14[[#This Row],[% INTERES ]]/30*U6175))+Tabla14[[#This Row],[VALOR CUOTAS]]</f>
        <v>#VALUE!</v>
      </c>
      <c r="S6175" s="88">
        <f>-IF(Tabla14[[#This Row],[DIAS HABILES O MORA]]&lt;0,(Tabla14[[#This Row],[VALOR PRESTAMO]]*Tabla14[[#This Row],[% INTERES ]]/30*U6175))</f>
        <v>0</v>
      </c>
      <c r="T6175" s="53" t="e">
        <f>Tabla14[[#This Row],[DEUDA CAPITAL]]+Tabla14[[#This Row],[INTERES  CUOTA]]</f>
        <v>#NUM!</v>
      </c>
      <c r="U6175" s="61" t="str">
        <f t="shared" si="979"/>
        <v/>
      </c>
    </row>
    <row r="6176" spans="9:21" ht="24.75" customHeight="1" x14ac:dyDescent="0.35">
      <c r="I6176" s="42">
        <f t="shared" si="970"/>
        <v>0</v>
      </c>
      <c r="J6176" s="65" t="e">
        <f t="shared" si="971"/>
        <v>#NUM!</v>
      </c>
      <c r="K6176" s="83" t="e">
        <f t="shared" si="972"/>
        <v>#NUM!</v>
      </c>
      <c r="L6176" s="83">
        <f t="shared" si="973"/>
        <v>0</v>
      </c>
      <c r="M6176" s="110" t="str">
        <f t="shared" si="974"/>
        <v/>
      </c>
      <c r="N6176" s="51" t="str">
        <f t="shared" si="975"/>
        <v/>
      </c>
      <c r="O6176" s="52" t="str">
        <f t="shared" si="976"/>
        <v/>
      </c>
      <c r="P6176" s="88">
        <f t="shared" si="977"/>
        <v>0</v>
      </c>
      <c r="Q6176" s="88">
        <f t="shared" si="978"/>
        <v>0</v>
      </c>
      <c r="R6176" s="88" t="e">
        <f>-IF(Tabla14[[#This Row],[DIAS HABILES O MORA]]&lt;0,(Tabla14[[#This Row],[VALOR PRESTAMO]]*Tabla14[[#This Row],[% INTERES ]]/30*U6176))+Tabla14[[#This Row],[VALOR CUOTAS]]</f>
        <v>#VALUE!</v>
      </c>
      <c r="S6176" s="88">
        <f>-IF(Tabla14[[#This Row],[DIAS HABILES O MORA]]&lt;0,(Tabla14[[#This Row],[VALOR PRESTAMO]]*Tabla14[[#This Row],[% INTERES ]]/30*U6176))</f>
        <v>0</v>
      </c>
      <c r="T6176" s="53" t="e">
        <f>Tabla14[[#This Row],[DEUDA CAPITAL]]+Tabla14[[#This Row],[INTERES  CUOTA]]</f>
        <v>#NUM!</v>
      </c>
      <c r="U6176" s="61" t="str">
        <f t="shared" si="979"/>
        <v/>
      </c>
    </row>
    <row r="6177" spans="9:21" ht="24.75" customHeight="1" x14ac:dyDescent="0.35">
      <c r="I6177" s="42">
        <f t="shared" si="970"/>
        <v>0</v>
      </c>
      <c r="J6177" s="65" t="e">
        <f t="shared" si="971"/>
        <v>#NUM!</v>
      </c>
      <c r="K6177" s="83" t="e">
        <f t="shared" si="972"/>
        <v>#NUM!</v>
      </c>
      <c r="L6177" s="83">
        <f t="shared" si="973"/>
        <v>0</v>
      </c>
      <c r="M6177" s="110" t="str">
        <f t="shared" si="974"/>
        <v/>
      </c>
      <c r="N6177" s="51" t="str">
        <f t="shared" si="975"/>
        <v/>
      </c>
      <c r="O6177" s="52" t="str">
        <f t="shared" si="976"/>
        <v/>
      </c>
      <c r="P6177" s="88">
        <f t="shared" si="977"/>
        <v>0</v>
      </c>
      <c r="Q6177" s="88">
        <f t="shared" si="978"/>
        <v>0</v>
      </c>
      <c r="R6177" s="88" t="e">
        <f>-IF(Tabla14[[#This Row],[DIAS HABILES O MORA]]&lt;0,(Tabla14[[#This Row],[VALOR PRESTAMO]]*Tabla14[[#This Row],[% INTERES ]]/30*U6177))+Tabla14[[#This Row],[VALOR CUOTAS]]</f>
        <v>#VALUE!</v>
      </c>
      <c r="S6177" s="88">
        <f>-IF(Tabla14[[#This Row],[DIAS HABILES O MORA]]&lt;0,(Tabla14[[#This Row],[VALOR PRESTAMO]]*Tabla14[[#This Row],[% INTERES ]]/30*U6177))</f>
        <v>0</v>
      </c>
      <c r="T6177" s="53" t="e">
        <f>Tabla14[[#This Row],[DEUDA CAPITAL]]+Tabla14[[#This Row],[INTERES  CUOTA]]</f>
        <v>#NUM!</v>
      </c>
      <c r="U6177" s="61" t="str">
        <f t="shared" si="979"/>
        <v/>
      </c>
    </row>
    <row r="6178" spans="9:21" ht="24.75" customHeight="1" x14ac:dyDescent="0.35">
      <c r="I6178" s="42">
        <f t="shared" si="970"/>
        <v>0</v>
      </c>
      <c r="J6178" s="65" t="e">
        <f t="shared" si="971"/>
        <v>#NUM!</v>
      </c>
      <c r="K6178" s="83" t="e">
        <f t="shared" si="972"/>
        <v>#NUM!</v>
      </c>
      <c r="L6178" s="83">
        <f t="shared" si="973"/>
        <v>0</v>
      </c>
      <c r="M6178" s="110" t="str">
        <f t="shared" si="974"/>
        <v/>
      </c>
      <c r="N6178" s="51" t="str">
        <f t="shared" si="975"/>
        <v/>
      </c>
      <c r="O6178" s="52" t="str">
        <f t="shared" si="976"/>
        <v/>
      </c>
      <c r="P6178" s="88">
        <f t="shared" si="977"/>
        <v>0</v>
      </c>
      <c r="Q6178" s="88">
        <f t="shared" si="978"/>
        <v>0</v>
      </c>
      <c r="R6178" s="88" t="e">
        <f>-IF(Tabla14[[#This Row],[DIAS HABILES O MORA]]&lt;0,(Tabla14[[#This Row],[VALOR PRESTAMO]]*Tabla14[[#This Row],[% INTERES ]]/30*U6178))+Tabla14[[#This Row],[VALOR CUOTAS]]</f>
        <v>#VALUE!</v>
      </c>
      <c r="S6178" s="88">
        <f>-IF(Tabla14[[#This Row],[DIAS HABILES O MORA]]&lt;0,(Tabla14[[#This Row],[VALOR PRESTAMO]]*Tabla14[[#This Row],[% INTERES ]]/30*U6178))</f>
        <v>0</v>
      </c>
      <c r="T6178" s="53" t="e">
        <f>Tabla14[[#This Row],[DEUDA CAPITAL]]+Tabla14[[#This Row],[INTERES  CUOTA]]</f>
        <v>#NUM!</v>
      </c>
      <c r="U6178" s="61" t="str">
        <f t="shared" si="979"/>
        <v/>
      </c>
    </row>
    <row r="6179" spans="9:21" ht="24.75" customHeight="1" x14ac:dyDescent="0.35">
      <c r="I6179" s="42">
        <f t="shared" si="970"/>
        <v>0</v>
      </c>
      <c r="J6179" s="65" t="e">
        <f t="shared" si="971"/>
        <v>#NUM!</v>
      </c>
      <c r="K6179" s="83" t="e">
        <f t="shared" si="972"/>
        <v>#NUM!</v>
      </c>
      <c r="L6179" s="83">
        <f t="shared" si="973"/>
        <v>0</v>
      </c>
      <c r="M6179" s="110" t="str">
        <f t="shared" si="974"/>
        <v/>
      </c>
      <c r="N6179" s="51" t="str">
        <f t="shared" si="975"/>
        <v/>
      </c>
      <c r="O6179" s="52" t="str">
        <f t="shared" si="976"/>
        <v/>
      </c>
      <c r="P6179" s="88">
        <f t="shared" si="977"/>
        <v>0</v>
      </c>
      <c r="Q6179" s="88">
        <f t="shared" si="978"/>
        <v>0</v>
      </c>
      <c r="R6179" s="88" t="e">
        <f>-IF(Tabla14[[#This Row],[DIAS HABILES O MORA]]&lt;0,(Tabla14[[#This Row],[VALOR PRESTAMO]]*Tabla14[[#This Row],[% INTERES ]]/30*U6179))+Tabla14[[#This Row],[VALOR CUOTAS]]</f>
        <v>#VALUE!</v>
      </c>
      <c r="S6179" s="88">
        <f>-IF(Tabla14[[#This Row],[DIAS HABILES O MORA]]&lt;0,(Tabla14[[#This Row],[VALOR PRESTAMO]]*Tabla14[[#This Row],[% INTERES ]]/30*U6179))</f>
        <v>0</v>
      </c>
      <c r="T6179" s="53" t="e">
        <f>Tabla14[[#This Row],[DEUDA CAPITAL]]+Tabla14[[#This Row],[INTERES  CUOTA]]</f>
        <v>#NUM!</v>
      </c>
      <c r="U6179" s="61" t="str">
        <f t="shared" si="979"/>
        <v/>
      </c>
    </row>
    <row r="6180" spans="9:21" ht="24.75" customHeight="1" x14ac:dyDescent="0.35">
      <c r="I6180" s="42">
        <f t="shared" si="970"/>
        <v>0</v>
      </c>
      <c r="J6180" s="65" t="e">
        <f t="shared" si="971"/>
        <v>#NUM!</v>
      </c>
      <c r="K6180" s="83" t="e">
        <f t="shared" si="972"/>
        <v>#NUM!</v>
      </c>
      <c r="L6180" s="83">
        <f t="shared" si="973"/>
        <v>0</v>
      </c>
      <c r="M6180" s="110" t="str">
        <f t="shared" si="974"/>
        <v/>
      </c>
      <c r="N6180" s="51" t="str">
        <f t="shared" si="975"/>
        <v/>
      </c>
      <c r="O6180" s="52" t="str">
        <f t="shared" si="976"/>
        <v/>
      </c>
      <c r="P6180" s="88">
        <f t="shared" si="977"/>
        <v>0</v>
      </c>
      <c r="Q6180" s="88">
        <f t="shared" si="978"/>
        <v>0</v>
      </c>
      <c r="R6180" s="88" t="e">
        <f>-IF(Tabla14[[#This Row],[DIAS HABILES O MORA]]&lt;0,(Tabla14[[#This Row],[VALOR PRESTAMO]]*Tabla14[[#This Row],[% INTERES ]]/30*U6180))+Tabla14[[#This Row],[VALOR CUOTAS]]</f>
        <v>#VALUE!</v>
      </c>
      <c r="S6180" s="88">
        <f>-IF(Tabla14[[#This Row],[DIAS HABILES O MORA]]&lt;0,(Tabla14[[#This Row],[VALOR PRESTAMO]]*Tabla14[[#This Row],[% INTERES ]]/30*U6180))</f>
        <v>0</v>
      </c>
      <c r="T6180" s="53" t="e">
        <f>Tabla14[[#This Row],[DEUDA CAPITAL]]+Tabla14[[#This Row],[INTERES  CUOTA]]</f>
        <v>#NUM!</v>
      </c>
      <c r="U6180" s="61" t="str">
        <f t="shared" si="979"/>
        <v/>
      </c>
    </row>
    <row r="6181" spans="9:21" ht="24.75" customHeight="1" x14ac:dyDescent="0.35">
      <c r="I6181" s="42">
        <f t="shared" si="970"/>
        <v>0</v>
      </c>
      <c r="J6181" s="65" t="e">
        <f t="shared" si="971"/>
        <v>#NUM!</v>
      </c>
      <c r="K6181" s="83" t="e">
        <f t="shared" si="972"/>
        <v>#NUM!</v>
      </c>
      <c r="L6181" s="83">
        <f t="shared" si="973"/>
        <v>0</v>
      </c>
      <c r="M6181" s="110" t="str">
        <f t="shared" si="974"/>
        <v/>
      </c>
      <c r="N6181" s="51" t="str">
        <f t="shared" si="975"/>
        <v/>
      </c>
      <c r="O6181" s="52" t="str">
        <f t="shared" si="976"/>
        <v/>
      </c>
      <c r="P6181" s="88">
        <f t="shared" si="977"/>
        <v>0</v>
      </c>
      <c r="Q6181" s="88">
        <f t="shared" si="978"/>
        <v>0</v>
      </c>
      <c r="R6181" s="88" t="e">
        <f>-IF(Tabla14[[#This Row],[DIAS HABILES O MORA]]&lt;0,(Tabla14[[#This Row],[VALOR PRESTAMO]]*Tabla14[[#This Row],[% INTERES ]]/30*U6181))+Tabla14[[#This Row],[VALOR CUOTAS]]</f>
        <v>#VALUE!</v>
      </c>
      <c r="S6181" s="88">
        <f>-IF(Tabla14[[#This Row],[DIAS HABILES O MORA]]&lt;0,(Tabla14[[#This Row],[VALOR PRESTAMO]]*Tabla14[[#This Row],[% INTERES ]]/30*U6181))</f>
        <v>0</v>
      </c>
      <c r="T6181" s="53" t="e">
        <f>Tabla14[[#This Row],[DEUDA CAPITAL]]+Tabla14[[#This Row],[INTERES  CUOTA]]</f>
        <v>#NUM!</v>
      </c>
      <c r="U6181" s="61" t="str">
        <f t="shared" si="979"/>
        <v/>
      </c>
    </row>
    <row r="6182" spans="9:21" ht="24.75" customHeight="1" x14ac:dyDescent="0.35">
      <c r="I6182" s="42">
        <f t="shared" si="970"/>
        <v>0</v>
      </c>
      <c r="J6182" s="65" t="e">
        <f t="shared" si="971"/>
        <v>#NUM!</v>
      </c>
      <c r="K6182" s="83" t="e">
        <f t="shared" si="972"/>
        <v>#NUM!</v>
      </c>
      <c r="L6182" s="83">
        <f t="shared" si="973"/>
        <v>0</v>
      </c>
      <c r="M6182" s="110" t="str">
        <f t="shared" si="974"/>
        <v/>
      </c>
      <c r="N6182" s="51" t="str">
        <f t="shared" si="975"/>
        <v/>
      </c>
      <c r="O6182" s="52" t="str">
        <f t="shared" si="976"/>
        <v/>
      </c>
      <c r="P6182" s="88">
        <f t="shared" si="977"/>
        <v>0</v>
      </c>
      <c r="Q6182" s="88">
        <f t="shared" si="978"/>
        <v>0</v>
      </c>
      <c r="R6182" s="88" t="e">
        <f>-IF(Tabla14[[#This Row],[DIAS HABILES O MORA]]&lt;0,(Tabla14[[#This Row],[VALOR PRESTAMO]]*Tabla14[[#This Row],[% INTERES ]]/30*U6182))+Tabla14[[#This Row],[VALOR CUOTAS]]</f>
        <v>#VALUE!</v>
      </c>
      <c r="S6182" s="88">
        <f>-IF(Tabla14[[#This Row],[DIAS HABILES O MORA]]&lt;0,(Tabla14[[#This Row],[VALOR PRESTAMO]]*Tabla14[[#This Row],[% INTERES ]]/30*U6182))</f>
        <v>0</v>
      </c>
      <c r="T6182" s="53" t="e">
        <f>Tabla14[[#This Row],[DEUDA CAPITAL]]+Tabla14[[#This Row],[INTERES  CUOTA]]</f>
        <v>#NUM!</v>
      </c>
      <c r="U6182" s="61" t="str">
        <f t="shared" si="979"/>
        <v/>
      </c>
    </row>
    <row r="6183" spans="9:21" ht="24.75" customHeight="1" x14ac:dyDescent="0.35">
      <c r="I6183" s="42">
        <f t="shared" si="970"/>
        <v>0</v>
      </c>
      <c r="J6183" s="65" t="e">
        <f t="shared" si="971"/>
        <v>#NUM!</v>
      </c>
      <c r="K6183" s="83" t="e">
        <f t="shared" si="972"/>
        <v>#NUM!</v>
      </c>
      <c r="L6183" s="83">
        <f t="shared" si="973"/>
        <v>0</v>
      </c>
      <c r="M6183" s="110" t="str">
        <f t="shared" si="974"/>
        <v/>
      </c>
      <c r="N6183" s="51" t="str">
        <f t="shared" si="975"/>
        <v/>
      </c>
      <c r="O6183" s="52" t="str">
        <f t="shared" si="976"/>
        <v/>
      </c>
      <c r="P6183" s="88">
        <f t="shared" si="977"/>
        <v>0</v>
      </c>
      <c r="Q6183" s="88">
        <f t="shared" si="978"/>
        <v>0</v>
      </c>
      <c r="R6183" s="88" t="e">
        <f>-IF(Tabla14[[#This Row],[DIAS HABILES O MORA]]&lt;0,(Tabla14[[#This Row],[VALOR PRESTAMO]]*Tabla14[[#This Row],[% INTERES ]]/30*U6183))+Tabla14[[#This Row],[VALOR CUOTAS]]</f>
        <v>#VALUE!</v>
      </c>
      <c r="S6183" s="88">
        <f>-IF(Tabla14[[#This Row],[DIAS HABILES O MORA]]&lt;0,(Tabla14[[#This Row],[VALOR PRESTAMO]]*Tabla14[[#This Row],[% INTERES ]]/30*U6183))</f>
        <v>0</v>
      </c>
      <c r="T6183" s="53" t="e">
        <f>Tabla14[[#This Row],[DEUDA CAPITAL]]+Tabla14[[#This Row],[INTERES  CUOTA]]</f>
        <v>#NUM!</v>
      </c>
      <c r="U6183" s="61" t="str">
        <f t="shared" si="979"/>
        <v/>
      </c>
    </row>
    <row r="6184" spans="9:21" ht="24.75" customHeight="1" x14ac:dyDescent="0.35">
      <c r="I6184" s="42">
        <f t="shared" si="970"/>
        <v>0</v>
      </c>
      <c r="J6184" s="65" t="e">
        <f t="shared" si="971"/>
        <v>#NUM!</v>
      </c>
      <c r="K6184" s="83" t="e">
        <f t="shared" si="972"/>
        <v>#NUM!</v>
      </c>
      <c r="L6184" s="83">
        <f t="shared" si="973"/>
        <v>0</v>
      </c>
      <c r="M6184" s="110" t="str">
        <f t="shared" si="974"/>
        <v/>
      </c>
      <c r="N6184" s="51" t="str">
        <f t="shared" si="975"/>
        <v/>
      </c>
      <c r="O6184" s="52" t="str">
        <f t="shared" si="976"/>
        <v/>
      </c>
      <c r="P6184" s="88">
        <f t="shared" si="977"/>
        <v>0</v>
      </c>
      <c r="Q6184" s="88">
        <f t="shared" si="978"/>
        <v>0</v>
      </c>
      <c r="R6184" s="88" t="e">
        <f>-IF(Tabla14[[#This Row],[DIAS HABILES O MORA]]&lt;0,(Tabla14[[#This Row],[VALOR PRESTAMO]]*Tabla14[[#This Row],[% INTERES ]]/30*U6184))+Tabla14[[#This Row],[VALOR CUOTAS]]</f>
        <v>#VALUE!</v>
      </c>
      <c r="S6184" s="88">
        <f>-IF(Tabla14[[#This Row],[DIAS HABILES O MORA]]&lt;0,(Tabla14[[#This Row],[VALOR PRESTAMO]]*Tabla14[[#This Row],[% INTERES ]]/30*U6184))</f>
        <v>0</v>
      </c>
      <c r="T6184" s="53" t="e">
        <f>Tabla14[[#This Row],[DEUDA CAPITAL]]+Tabla14[[#This Row],[INTERES  CUOTA]]</f>
        <v>#NUM!</v>
      </c>
      <c r="U6184" s="61" t="str">
        <f t="shared" si="979"/>
        <v/>
      </c>
    </row>
    <row r="6185" spans="9:21" ht="24.75" customHeight="1" x14ac:dyDescent="0.35">
      <c r="I6185" s="42">
        <f t="shared" si="970"/>
        <v>0</v>
      </c>
      <c r="J6185" s="65" t="e">
        <f t="shared" si="971"/>
        <v>#NUM!</v>
      </c>
      <c r="K6185" s="83" t="e">
        <f t="shared" si="972"/>
        <v>#NUM!</v>
      </c>
      <c r="L6185" s="83">
        <f t="shared" si="973"/>
        <v>0</v>
      </c>
      <c r="M6185" s="110" t="str">
        <f t="shared" si="974"/>
        <v/>
      </c>
      <c r="N6185" s="51" t="str">
        <f t="shared" si="975"/>
        <v/>
      </c>
      <c r="O6185" s="52" t="str">
        <f t="shared" si="976"/>
        <v/>
      </c>
      <c r="P6185" s="88">
        <f t="shared" si="977"/>
        <v>0</v>
      </c>
      <c r="Q6185" s="88">
        <f t="shared" si="978"/>
        <v>0</v>
      </c>
      <c r="R6185" s="88" t="e">
        <f>-IF(Tabla14[[#This Row],[DIAS HABILES O MORA]]&lt;0,(Tabla14[[#This Row],[VALOR PRESTAMO]]*Tabla14[[#This Row],[% INTERES ]]/30*U6185))+Tabla14[[#This Row],[VALOR CUOTAS]]</f>
        <v>#VALUE!</v>
      </c>
      <c r="S6185" s="88">
        <f>-IF(Tabla14[[#This Row],[DIAS HABILES O MORA]]&lt;0,(Tabla14[[#This Row],[VALOR PRESTAMO]]*Tabla14[[#This Row],[% INTERES ]]/30*U6185))</f>
        <v>0</v>
      </c>
      <c r="T6185" s="53" t="e">
        <f>Tabla14[[#This Row],[DEUDA CAPITAL]]+Tabla14[[#This Row],[INTERES  CUOTA]]</f>
        <v>#NUM!</v>
      </c>
      <c r="U6185" s="61" t="str">
        <f t="shared" si="979"/>
        <v/>
      </c>
    </row>
    <row r="6186" spans="9:21" ht="24.75" customHeight="1" x14ac:dyDescent="0.35">
      <c r="I6186" s="42"/>
      <c r="J6186" s="65" t="e">
        <f t="shared" si="971"/>
        <v>#NUM!</v>
      </c>
      <c r="K6186" s="83" t="e">
        <f t="shared" si="972"/>
        <v>#NUM!</v>
      </c>
      <c r="L6186" s="83">
        <f t="shared" si="973"/>
        <v>0</v>
      </c>
      <c r="M6186" s="110" t="str">
        <f t="shared" si="974"/>
        <v/>
      </c>
      <c r="N6186" s="51" t="str">
        <f t="shared" si="975"/>
        <v/>
      </c>
      <c r="O6186" s="52" t="str">
        <f t="shared" si="976"/>
        <v/>
      </c>
      <c r="P6186" s="88">
        <f t="shared" si="977"/>
        <v>0</v>
      </c>
      <c r="Q6186" s="88">
        <f t="shared" si="978"/>
        <v>0</v>
      </c>
      <c r="R6186" s="88" t="e">
        <f>-IF(Tabla14[[#This Row],[DIAS HABILES O MORA]]&lt;0,(Tabla14[[#This Row],[VALOR PRESTAMO]]*Tabla14[[#This Row],[% INTERES ]]/30*U6186))+Tabla14[[#This Row],[VALOR CUOTAS]]</f>
        <v>#VALUE!</v>
      </c>
      <c r="S6186" s="88">
        <f>-IF(Tabla14[[#This Row],[DIAS HABILES O MORA]]&lt;0,(Tabla14[[#This Row],[VALOR PRESTAMO]]*Tabla14[[#This Row],[% INTERES ]]/30*U6186))</f>
        <v>0</v>
      </c>
      <c r="T6186" s="53" t="e">
        <f>Tabla14[[#This Row],[DEUDA CAPITAL]]+Tabla14[[#This Row],[INTERES  CUOTA]]</f>
        <v>#NUM!</v>
      </c>
      <c r="U6186" s="61" t="str">
        <f t="shared" si="979"/>
        <v/>
      </c>
    </row>
  </sheetData>
  <sheetProtection algorithmName="SHA-512" hashValue="xuGDYcVT2cxrqCdLs6RfTMJJrVVSOICmyh3AZs9VBaVD/T4qoJco4pBO+mM/1ixS4Sd1ySng6GsD17MEvGlz/w==" saltValue="0hpGV1PG2/WgDVTzxJ/S+g==" spinCount="100000" sheet="1" formatCells="0" formatColumns="0" formatRows="0" sort="0" autoFilter="0"/>
  <mergeCells count="3">
    <mergeCell ref="A1:D2"/>
    <mergeCell ref="A3:B3"/>
    <mergeCell ref="Y6:AL6"/>
  </mergeCells>
  <conditionalFormatting sqref="I1">
    <cfRule type="cellIs" dxfId="52" priority="16" operator="equal">
      <formula>FALSE</formula>
    </cfRule>
  </conditionalFormatting>
  <conditionalFormatting sqref="I1:I1048576">
    <cfRule type="cellIs" dxfId="51" priority="1" operator="equal">
      <formula>0</formula>
    </cfRule>
  </conditionalFormatting>
  <conditionalFormatting sqref="I1:U2 M3:U3 I4:U1048576 I3:K3">
    <cfRule type="containsErrors" dxfId="50" priority="15">
      <formula>ISERROR(I1)</formula>
    </cfRule>
  </conditionalFormatting>
  <conditionalFormatting sqref="L1:L1048576 P1:S1048576">
    <cfRule type="cellIs" dxfId="49" priority="4" operator="equal">
      <formula>0</formula>
    </cfRule>
  </conditionalFormatting>
  <conditionalFormatting sqref="L7:L1048576">
    <cfRule type="cellIs" dxfId="48" priority="6" operator="greaterThan">
      <formula>0</formula>
    </cfRule>
  </conditionalFormatting>
  <conditionalFormatting sqref="O1:O1048576">
    <cfRule type="cellIs" dxfId="47" priority="9" operator="equal">
      <formula>"EN MORA"</formula>
    </cfRule>
    <cfRule type="cellIs" dxfId="46" priority="10" operator="equal">
      <formula>"COBRAR HOY"</formula>
    </cfRule>
    <cfRule type="cellIs" dxfId="45" priority="11" operator="equal">
      <formula>"AL DIA"</formula>
    </cfRule>
  </conditionalFormatting>
  <conditionalFormatting sqref="Q7:T6186">
    <cfRule type="cellIs" dxfId="44" priority="17" operator="equal">
      <formula>#REF!</formula>
    </cfRule>
  </conditionalFormatting>
  <conditionalFormatting sqref="U7:V1048576">
    <cfRule type="cellIs" dxfId="43" priority="7" operator="greaterThan">
      <formula>0</formula>
    </cfRule>
    <cfRule type="cellIs" dxfId="42" priority="8" operator="lessThan">
      <formula>0</formula>
    </cfRule>
  </conditionalFormatting>
  <dataValidations count="3">
    <dataValidation type="list" allowBlank="1" showInputMessage="1" showErrorMessage="1" sqref="A7:A6186" xr:uid="{09B94480-AB1B-45D2-BC8C-72A9A71B01A0}">
      <formula1>CLIENTESS</formula1>
    </dataValidation>
    <dataValidation type="list" allowBlank="1" showInputMessage="1" showErrorMessage="1" sqref="E7:E9410" xr:uid="{31F1986A-E2F2-4C28-90AD-ACD322652F9A}">
      <formula1>PERIODOS</formula1>
    </dataValidation>
    <dataValidation type="list" allowBlank="1" showInputMessage="1" showErrorMessage="1" sqref="F7:F9193" xr:uid="{82907245-E7BF-43F8-9267-C1C715734B8F}">
      <formula1>FORMA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11E28-8524-4BB9-9A97-0613AC37C13A}">
  <sheetPr codeName="Hoja2">
    <tabColor rgb="FFCCFF66"/>
  </sheetPr>
  <dimension ref="A1:G11"/>
  <sheetViews>
    <sheetView workbookViewId="0">
      <selection activeCell="J10" sqref="J10"/>
    </sheetView>
  </sheetViews>
  <sheetFormatPr baseColWidth="10" defaultColWidth="10.7109375" defaultRowHeight="15" x14ac:dyDescent="0.25"/>
  <cols>
    <col min="1" max="1" width="25.7109375" style="59" customWidth="1"/>
    <col min="2" max="2" width="19.85546875" style="59" customWidth="1"/>
    <col min="3" max="4" width="19.140625" style="60" bestFit="1" customWidth="1"/>
    <col min="5" max="5" width="28.7109375" style="59" customWidth="1"/>
    <col min="6" max="6" width="16.85546875" style="59" customWidth="1"/>
    <col min="7" max="7" width="30.7109375" style="59" customWidth="1"/>
  </cols>
  <sheetData>
    <row r="1" spans="1:7" x14ac:dyDescent="0.25">
      <c r="A1" s="125" t="s">
        <v>7</v>
      </c>
      <c r="B1" s="126"/>
      <c r="C1" s="126"/>
      <c r="D1" s="13"/>
      <c r="E1"/>
      <c r="F1" s="1"/>
      <c r="G1"/>
    </row>
    <row r="2" spans="1:7" x14ac:dyDescent="0.25">
      <c r="A2" s="126"/>
      <c r="B2" s="126"/>
      <c r="C2" s="126"/>
      <c r="D2" s="13"/>
      <c r="E2"/>
      <c r="F2" s="1"/>
      <c r="G2"/>
    </row>
    <row r="3" spans="1:7" x14ac:dyDescent="0.25">
      <c r="A3"/>
      <c r="B3" s="1"/>
      <c r="C3" s="13"/>
      <c r="D3" s="13"/>
      <c r="E3"/>
      <c r="F3" s="1"/>
      <c r="G3"/>
    </row>
    <row r="4" spans="1:7" ht="36" customHeight="1" x14ac:dyDescent="0.25">
      <c r="A4" s="2" t="s">
        <v>8</v>
      </c>
      <c r="B4" s="9" t="s">
        <v>9</v>
      </c>
      <c r="C4" s="3" t="s">
        <v>10</v>
      </c>
      <c r="D4" s="3" t="s">
        <v>11</v>
      </c>
      <c r="E4" s="4" t="s">
        <v>12</v>
      </c>
      <c r="F4" s="3" t="s">
        <v>13</v>
      </c>
      <c r="G4" s="5" t="s">
        <v>14</v>
      </c>
    </row>
    <row r="5" spans="1:7" x14ac:dyDescent="0.25">
      <c r="A5" s="6"/>
      <c r="B5" s="8"/>
      <c r="C5" s="55"/>
      <c r="D5" s="55"/>
      <c r="E5" s="7"/>
      <c r="F5" s="8"/>
      <c r="G5" s="56"/>
    </row>
    <row r="6" spans="1:7" x14ac:dyDescent="0.25">
      <c r="A6" s="11"/>
      <c r="B6" s="12"/>
      <c r="C6" s="57"/>
      <c r="D6" s="57"/>
      <c r="E6" s="10"/>
      <c r="F6" s="12"/>
      <c r="G6" s="58"/>
    </row>
    <row r="7" spans="1:7" x14ac:dyDescent="0.25">
      <c r="A7" s="6"/>
      <c r="B7" s="8"/>
      <c r="C7" s="55"/>
      <c r="D7" s="55"/>
      <c r="E7" s="7"/>
      <c r="F7" s="8"/>
      <c r="G7" s="56"/>
    </row>
    <row r="8" spans="1:7" x14ac:dyDescent="0.25">
      <c r="A8" s="6"/>
      <c r="B8" s="8"/>
      <c r="C8" s="55"/>
      <c r="D8" s="55"/>
      <c r="E8" s="7"/>
      <c r="F8" s="8"/>
      <c r="G8" s="56"/>
    </row>
    <row r="9" spans="1:7" x14ac:dyDescent="0.25">
      <c r="A9" s="6"/>
      <c r="B9" s="8"/>
      <c r="C9" s="55"/>
      <c r="D9" s="55"/>
      <c r="E9" s="7"/>
      <c r="F9" s="8"/>
      <c r="G9" s="56"/>
    </row>
    <row r="10" spans="1:7" x14ac:dyDescent="0.25">
      <c r="A10" s="6"/>
      <c r="B10" s="8"/>
      <c r="C10" s="55"/>
      <c r="D10" s="55"/>
      <c r="E10" s="7"/>
      <c r="F10" s="8"/>
      <c r="G10" s="56"/>
    </row>
    <row r="11" spans="1:7" x14ac:dyDescent="0.25">
      <c r="A11" s="6"/>
      <c r="B11" s="8"/>
      <c r="C11" s="55"/>
      <c r="D11" s="55"/>
      <c r="E11" s="7"/>
      <c r="F11" s="8"/>
      <c r="G11" s="56"/>
    </row>
  </sheetData>
  <mergeCells count="1">
    <mergeCell ref="A1:C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1526C-895B-4D6C-907E-5D175A341F84}">
  <sheetPr codeName="Hoja3">
    <tabColor rgb="FFB2B2B2"/>
  </sheetPr>
  <dimension ref="B2:F432"/>
  <sheetViews>
    <sheetView topLeftCell="A2" zoomScale="110" zoomScaleNormal="110" workbookViewId="0">
      <selection activeCell="F5" sqref="F5"/>
    </sheetView>
  </sheetViews>
  <sheetFormatPr baseColWidth="10" defaultColWidth="11.42578125" defaultRowHeight="15" x14ac:dyDescent="0.25"/>
  <cols>
    <col min="1" max="1" width="11.140625" style="14" customWidth="1"/>
    <col min="2" max="2" width="12.85546875" style="16" customWidth="1"/>
    <col min="3" max="3" width="12.28515625" style="54" customWidth="1"/>
    <col min="4" max="4" width="12.5703125" style="73" customWidth="1"/>
    <col min="5" max="5" width="11.42578125" style="15"/>
    <col min="6" max="6" width="16.140625" style="14" bestFit="1" customWidth="1"/>
    <col min="7" max="16384" width="11.42578125" style="14"/>
  </cols>
  <sheetData>
    <row r="2" spans="2:6" ht="24" customHeight="1" x14ac:dyDescent="0.25">
      <c r="B2" s="99" t="s">
        <v>42</v>
      </c>
      <c r="C2" s="99"/>
      <c r="D2" s="99"/>
      <c r="E2" s="99"/>
      <c r="F2" s="100"/>
    </row>
    <row r="4" spans="2:6" x14ac:dyDescent="0.25">
      <c r="B4" s="127" t="s">
        <v>15</v>
      </c>
      <c r="C4" s="127"/>
      <c r="D4" s="84"/>
    </row>
    <row r="5" spans="2:6" x14ac:dyDescent="0.25">
      <c r="B5" s="127" t="s">
        <v>16</v>
      </c>
      <c r="C5" s="127"/>
      <c r="D5" s="85"/>
    </row>
    <row r="6" spans="2:6" x14ac:dyDescent="0.25">
      <c r="B6" s="127" t="s">
        <v>30</v>
      </c>
      <c r="C6" s="127"/>
      <c r="D6" s="86"/>
    </row>
    <row r="7" spans="2:6" x14ac:dyDescent="0.25">
      <c r="B7" s="128" t="s">
        <v>20</v>
      </c>
      <c r="C7" s="128"/>
      <c r="D7" s="72" t="str">
        <f>IFERROR(-PMT(D5,D6,D4,0)," ")</f>
        <v xml:space="preserve"> </v>
      </c>
    </row>
    <row r="8" spans="2:6" x14ac:dyDescent="0.25">
      <c r="B8" s="14"/>
    </row>
    <row r="9" spans="2:6" x14ac:dyDescent="0.25">
      <c r="D9" s="111">
        <f>SUM(D11:D213)</f>
        <v>0</v>
      </c>
      <c r="E9" s="112">
        <f>SUM(E11:E214)</f>
        <v>0</v>
      </c>
    </row>
    <row r="10" spans="2:6" s="17" customFormat="1" ht="30" customHeight="1" x14ac:dyDescent="0.25">
      <c r="B10" s="114" t="s">
        <v>49</v>
      </c>
      <c r="C10" s="113" t="s">
        <v>17</v>
      </c>
      <c r="D10" s="115" t="s">
        <v>18</v>
      </c>
      <c r="E10" s="116" t="s">
        <v>19</v>
      </c>
      <c r="F10" s="117" t="s">
        <v>4</v>
      </c>
    </row>
    <row r="11" spans="2:6" x14ac:dyDescent="0.25">
      <c r="F11" s="18">
        <f>D4</f>
        <v>0</v>
      </c>
    </row>
    <row r="12" spans="2:6" x14ac:dyDescent="0.25">
      <c r="B12" s="16">
        <v>1</v>
      </c>
      <c r="C12" s="54" t="str">
        <f>IF(B12&lt;=$D$6,-PMT($D$5,$D$6,$D$4,0)," ")</f>
        <v xml:space="preserve"> </v>
      </c>
      <c r="D12" s="73" t="str">
        <f>IF(B12&lt;=$D$6,-IPMT($D$5,B12,$D$6,$D$4)," ")</f>
        <v xml:space="preserve"> </v>
      </c>
      <c r="E12" s="15" t="str">
        <f>IF(B12&lt;=$D$6,-PPMT($D$5,B12,$D$6,$D$4)," ")</f>
        <v xml:space="preserve"> </v>
      </c>
      <c r="F12" s="15" t="str">
        <f>IF(B12&lt;=$D$6,(F11-E12)," ")</f>
        <v xml:space="preserve"> </v>
      </c>
    </row>
    <row r="13" spans="2:6" x14ac:dyDescent="0.25">
      <c r="B13" s="16" t="str">
        <f>IF(B12=" "," ",IF(B12&lt;$D$6,B12+1," "))</f>
        <v xml:space="preserve"> </v>
      </c>
      <c r="C13" s="54" t="str">
        <f t="shared" ref="C13:C76" si="0">IF(B13&lt;=$D$6,-PMT($D$5,$D$6,$D$4,0)," ")</f>
        <v xml:space="preserve"> </v>
      </c>
      <c r="D13" s="73" t="str">
        <f t="shared" ref="D13:D76" si="1">IF(B13&lt;=$D$6,-IPMT($D$5,B13,$D$6,$D$4)," ")</f>
        <v xml:space="preserve"> </v>
      </c>
      <c r="E13" s="15" t="str">
        <f t="shared" ref="E13:E76" si="2">IF(B13&lt;=$D$6,-PPMT($D$5,B13,$D$6,$D$4)," ")</f>
        <v xml:space="preserve"> </v>
      </c>
      <c r="F13" s="15" t="str">
        <f t="shared" ref="F13:F76" si="3">IF(B13&lt;=$D$6,(F12-E13)," ")</f>
        <v xml:space="preserve"> </v>
      </c>
    </row>
    <row r="14" spans="2:6" x14ac:dyDescent="0.25">
      <c r="B14" s="16" t="str">
        <f t="shared" ref="B14:B77" si="4">IF(B13=" "," ",IF(B13&lt;$D$6,B13+1," "))</f>
        <v xml:space="preserve"> </v>
      </c>
      <c r="C14" s="54" t="str">
        <f t="shared" si="0"/>
        <v xml:space="preserve"> </v>
      </c>
      <c r="D14" s="73" t="str">
        <f t="shared" si="1"/>
        <v xml:space="preserve"> </v>
      </c>
      <c r="E14" s="15" t="str">
        <f t="shared" si="2"/>
        <v xml:space="preserve"> </v>
      </c>
      <c r="F14" s="15" t="str">
        <f t="shared" si="3"/>
        <v xml:space="preserve"> </v>
      </c>
    </row>
    <row r="15" spans="2:6" x14ac:dyDescent="0.25">
      <c r="B15" s="16" t="str">
        <f t="shared" si="4"/>
        <v xml:space="preserve"> </v>
      </c>
      <c r="C15" s="54" t="str">
        <f t="shared" si="0"/>
        <v xml:space="preserve"> </v>
      </c>
      <c r="D15" s="73" t="str">
        <f t="shared" si="1"/>
        <v xml:space="preserve"> </v>
      </c>
      <c r="E15" s="15" t="str">
        <f t="shared" si="2"/>
        <v xml:space="preserve"> </v>
      </c>
      <c r="F15" s="15" t="str">
        <f t="shared" si="3"/>
        <v xml:space="preserve"> </v>
      </c>
    </row>
    <row r="16" spans="2:6" x14ac:dyDescent="0.25">
      <c r="B16" s="16" t="str">
        <f t="shared" si="4"/>
        <v xml:space="preserve"> </v>
      </c>
      <c r="C16" s="54" t="str">
        <f t="shared" si="0"/>
        <v xml:space="preserve"> </v>
      </c>
      <c r="D16" s="73" t="str">
        <f t="shared" si="1"/>
        <v xml:space="preserve"> </v>
      </c>
      <c r="E16" s="15" t="str">
        <f t="shared" si="2"/>
        <v xml:space="preserve"> </v>
      </c>
      <c r="F16" s="15" t="str">
        <f t="shared" si="3"/>
        <v xml:space="preserve"> </v>
      </c>
    </row>
    <row r="17" spans="2:6" x14ac:dyDescent="0.25">
      <c r="B17" s="16" t="str">
        <f t="shared" si="4"/>
        <v xml:space="preserve"> </v>
      </c>
      <c r="C17" s="54" t="str">
        <f t="shared" si="0"/>
        <v xml:space="preserve"> </v>
      </c>
      <c r="D17" s="73" t="str">
        <f t="shared" si="1"/>
        <v xml:space="preserve"> </v>
      </c>
      <c r="E17" s="15" t="str">
        <f t="shared" si="2"/>
        <v xml:space="preserve"> </v>
      </c>
      <c r="F17" s="15" t="str">
        <f t="shared" si="3"/>
        <v xml:space="preserve"> </v>
      </c>
    </row>
    <row r="18" spans="2:6" x14ac:dyDescent="0.25">
      <c r="B18" s="16" t="str">
        <f t="shared" si="4"/>
        <v xml:space="preserve"> </v>
      </c>
      <c r="C18" s="54" t="str">
        <f t="shared" si="0"/>
        <v xml:space="preserve"> </v>
      </c>
      <c r="D18" s="73" t="str">
        <f t="shared" si="1"/>
        <v xml:space="preserve"> </v>
      </c>
      <c r="E18" s="15" t="str">
        <f t="shared" si="2"/>
        <v xml:space="preserve"> </v>
      </c>
      <c r="F18" s="15" t="str">
        <f t="shared" si="3"/>
        <v xml:space="preserve"> </v>
      </c>
    </row>
    <row r="19" spans="2:6" x14ac:dyDescent="0.25">
      <c r="B19" s="16" t="str">
        <f t="shared" si="4"/>
        <v xml:space="preserve"> </v>
      </c>
      <c r="C19" s="54" t="str">
        <f t="shared" si="0"/>
        <v xml:space="preserve"> </v>
      </c>
      <c r="D19" s="73" t="str">
        <f t="shared" si="1"/>
        <v xml:space="preserve"> </v>
      </c>
      <c r="E19" s="15" t="str">
        <f t="shared" si="2"/>
        <v xml:space="preserve"> </v>
      </c>
      <c r="F19" s="15" t="str">
        <f t="shared" si="3"/>
        <v xml:space="preserve"> </v>
      </c>
    </row>
    <row r="20" spans="2:6" x14ac:dyDescent="0.25">
      <c r="B20" s="16" t="str">
        <f t="shared" si="4"/>
        <v xml:space="preserve"> </v>
      </c>
      <c r="C20" s="54" t="str">
        <f t="shared" si="0"/>
        <v xml:space="preserve"> </v>
      </c>
      <c r="D20" s="73" t="str">
        <f t="shared" si="1"/>
        <v xml:space="preserve"> </v>
      </c>
      <c r="E20" s="15" t="str">
        <f t="shared" si="2"/>
        <v xml:space="preserve"> </v>
      </c>
      <c r="F20" s="15" t="str">
        <f t="shared" si="3"/>
        <v xml:space="preserve"> </v>
      </c>
    </row>
    <row r="21" spans="2:6" x14ac:dyDescent="0.25">
      <c r="B21" s="16" t="str">
        <f t="shared" si="4"/>
        <v xml:space="preserve"> </v>
      </c>
      <c r="C21" s="54" t="str">
        <f t="shared" si="0"/>
        <v xml:space="preserve"> </v>
      </c>
      <c r="D21" s="73" t="str">
        <f t="shared" si="1"/>
        <v xml:space="preserve"> </v>
      </c>
      <c r="E21" s="15" t="str">
        <f t="shared" si="2"/>
        <v xml:space="preserve"> </v>
      </c>
      <c r="F21" s="15" t="str">
        <f t="shared" si="3"/>
        <v xml:space="preserve"> </v>
      </c>
    </row>
    <row r="22" spans="2:6" x14ac:dyDescent="0.25">
      <c r="B22" s="16" t="str">
        <f t="shared" si="4"/>
        <v xml:space="preserve"> </v>
      </c>
      <c r="C22" s="54" t="str">
        <f t="shared" si="0"/>
        <v xml:space="preserve"> </v>
      </c>
      <c r="D22" s="73" t="str">
        <f t="shared" si="1"/>
        <v xml:space="preserve"> </v>
      </c>
      <c r="E22" s="15" t="str">
        <f t="shared" si="2"/>
        <v xml:space="preserve"> </v>
      </c>
      <c r="F22" s="15" t="str">
        <f t="shared" si="3"/>
        <v xml:space="preserve"> </v>
      </c>
    </row>
    <row r="23" spans="2:6" x14ac:dyDescent="0.25">
      <c r="B23" s="16" t="str">
        <f t="shared" si="4"/>
        <v xml:space="preserve"> </v>
      </c>
      <c r="C23" s="54" t="str">
        <f t="shared" si="0"/>
        <v xml:space="preserve"> </v>
      </c>
      <c r="D23" s="73" t="str">
        <f t="shared" si="1"/>
        <v xml:space="preserve"> </v>
      </c>
      <c r="E23" s="15" t="str">
        <f t="shared" si="2"/>
        <v xml:space="preserve"> </v>
      </c>
      <c r="F23" s="15" t="str">
        <f t="shared" si="3"/>
        <v xml:space="preserve"> </v>
      </c>
    </row>
    <row r="24" spans="2:6" x14ac:dyDescent="0.25">
      <c r="B24" s="16" t="str">
        <f t="shared" si="4"/>
        <v xml:space="preserve"> </v>
      </c>
      <c r="C24" s="54" t="str">
        <f t="shared" si="0"/>
        <v xml:space="preserve"> </v>
      </c>
      <c r="D24" s="73" t="str">
        <f t="shared" si="1"/>
        <v xml:space="preserve"> </v>
      </c>
      <c r="E24" s="15" t="str">
        <f t="shared" si="2"/>
        <v xml:space="preserve"> </v>
      </c>
      <c r="F24" s="15" t="str">
        <f t="shared" si="3"/>
        <v xml:space="preserve"> </v>
      </c>
    </row>
    <row r="25" spans="2:6" x14ac:dyDescent="0.25">
      <c r="B25" s="16" t="str">
        <f t="shared" si="4"/>
        <v xml:space="preserve"> </v>
      </c>
      <c r="C25" s="54" t="str">
        <f t="shared" si="0"/>
        <v xml:space="preserve"> </v>
      </c>
      <c r="D25" s="73" t="str">
        <f t="shared" si="1"/>
        <v xml:space="preserve"> </v>
      </c>
      <c r="E25" s="15" t="str">
        <f t="shared" si="2"/>
        <v xml:space="preserve"> </v>
      </c>
      <c r="F25" s="15" t="str">
        <f t="shared" si="3"/>
        <v xml:space="preserve"> </v>
      </c>
    </row>
    <row r="26" spans="2:6" x14ac:dyDescent="0.25">
      <c r="B26" s="16" t="str">
        <f t="shared" si="4"/>
        <v xml:space="preserve"> </v>
      </c>
      <c r="C26" s="54" t="str">
        <f t="shared" si="0"/>
        <v xml:space="preserve"> </v>
      </c>
      <c r="D26" s="73" t="str">
        <f t="shared" si="1"/>
        <v xml:space="preserve"> </v>
      </c>
      <c r="E26" s="15" t="str">
        <f t="shared" si="2"/>
        <v xml:space="preserve"> </v>
      </c>
      <c r="F26" s="15" t="str">
        <f t="shared" si="3"/>
        <v xml:space="preserve"> </v>
      </c>
    </row>
    <row r="27" spans="2:6" x14ac:dyDescent="0.25">
      <c r="B27" s="16" t="str">
        <f t="shared" si="4"/>
        <v xml:space="preserve"> </v>
      </c>
      <c r="C27" s="54" t="str">
        <f t="shared" si="0"/>
        <v xml:space="preserve"> </v>
      </c>
      <c r="D27" s="73" t="str">
        <f t="shared" si="1"/>
        <v xml:space="preserve"> </v>
      </c>
      <c r="E27" s="15" t="str">
        <f t="shared" si="2"/>
        <v xml:space="preserve"> </v>
      </c>
      <c r="F27" s="15" t="str">
        <f t="shared" si="3"/>
        <v xml:space="preserve"> </v>
      </c>
    </row>
    <row r="28" spans="2:6" x14ac:dyDescent="0.25">
      <c r="B28" s="16" t="str">
        <f t="shared" si="4"/>
        <v xml:space="preserve"> </v>
      </c>
      <c r="C28" s="54" t="str">
        <f t="shared" si="0"/>
        <v xml:space="preserve"> </v>
      </c>
      <c r="D28" s="73" t="str">
        <f t="shared" si="1"/>
        <v xml:space="preserve"> </v>
      </c>
      <c r="E28" s="15" t="str">
        <f t="shared" si="2"/>
        <v xml:space="preserve"> </v>
      </c>
      <c r="F28" s="15" t="str">
        <f t="shared" si="3"/>
        <v xml:space="preserve"> </v>
      </c>
    </row>
    <row r="29" spans="2:6" x14ac:dyDescent="0.25">
      <c r="B29" s="16" t="str">
        <f t="shared" si="4"/>
        <v xml:space="preserve"> </v>
      </c>
      <c r="C29" s="54" t="str">
        <f t="shared" si="0"/>
        <v xml:space="preserve"> </v>
      </c>
      <c r="D29" s="73" t="str">
        <f t="shared" si="1"/>
        <v xml:space="preserve"> </v>
      </c>
      <c r="E29" s="15" t="str">
        <f t="shared" si="2"/>
        <v xml:space="preserve"> </v>
      </c>
      <c r="F29" s="15" t="str">
        <f t="shared" si="3"/>
        <v xml:space="preserve"> </v>
      </c>
    </row>
    <row r="30" spans="2:6" x14ac:dyDescent="0.25">
      <c r="B30" s="16" t="str">
        <f t="shared" si="4"/>
        <v xml:space="preserve"> </v>
      </c>
      <c r="C30" s="54" t="str">
        <f t="shared" si="0"/>
        <v xml:space="preserve"> </v>
      </c>
      <c r="D30" s="73" t="str">
        <f t="shared" si="1"/>
        <v xml:space="preserve"> </v>
      </c>
      <c r="E30" s="15" t="str">
        <f t="shared" si="2"/>
        <v xml:space="preserve"> </v>
      </c>
      <c r="F30" s="15" t="str">
        <f t="shared" si="3"/>
        <v xml:space="preserve"> </v>
      </c>
    </row>
    <row r="31" spans="2:6" x14ac:dyDescent="0.25">
      <c r="B31" s="16" t="str">
        <f t="shared" si="4"/>
        <v xml:space="preserve"> </v>
      </c>
      <c r="C31" s="54" t="str">
        <f t="shared" si="0"/>
        <v xml:space="preserve"> </v>
      </c>
      <c r="D31" s="73" t="str">
        <f t="shared" si="1"/>
        <v xml:space="preserve"> </v>
      </c>
      <c r="E31" s="15" t="str">
        <f t="shared" si="2"/>
        <v xml:space="preserve"> </v>
      </c>
      <c r="F31" s="15" t="str">
        <f t="shared" si="3"/>
        <v xml:space="preserve"> </v>
      </c>
    </row>
    <row r="32" spans="2:6" x14ac:dyDescent="0.25">
      <c r="B32" s="16" t="str">
        <f t="shared" si="4"/>
        <v xml:space="preserve"> </v>
      </c>
      <c r="C32" s="54" t="str">
        <f t="shared" si="0"/>
        <v xml:space="preserve"> </v>
      </c>
      <c r="D32" s="73" t="str">
        <f t="shared" si="1"/>
        <v xml:space="preserve"> </v>
      </c>
      <c r="E32" s="15" t="str">
        <f t="shared" si="2"/>
        <v xml:space="preserve"> </v>
      </c>
      <c r="F32" s="15" t="str">
        <f t="shared" si="3"/>
        <v xml:space="preserve"> </v>
      </c>
    </row>
    <row r="33" spans="2:6" x14ac:dyDescent="0.25">
      <c r="B33" s="16" t="str">
        <f t="shared" si="4"/>
        <v xml:space="preserve"> </v>
      </c>
      <c r="C33" s="54" t="str">
        <f t="shared" si="0"/>
        <v xml:space="preserve"> </v>
      </c>
      <c r="D33" s="73" t="str">
        <f t="shared" si="1"/>
        <v xml:space="preserve"> </v>
      </c>
      <c r="E33" s="15" t="str">
        <f t="shared" si="2"/>
        <v xml:space="preserve"> </v>
      </c>
      <c r="F33" s="15" t="str">
        <f t="shared" si="3"/>
        <v xml:space="preserve"> </v>
      </c>
    </row>
    <row r="34" spans="2:6" x14ac:dyDescent="0.25">
      <c r="B34" s="16" t="str">
        <f t="shared" si="4"/>
        <v xml:space="preserve"> </v>
      </c>
      <c r="C34" s="54" t="str">
        <f t="shared" si="0"/>
        <v xml:space="preserve"> </v>
      </c>
      <c r="D34" s="73" t="str">
        <f t="shared" si="1"/>
        <v xml:space="preserve"> </v>
      </c>
      <c r="E34" s="15" t="str">
        <f t="shared" si="2"/>
        <v xml:space="preserve"> </v>
      </c>
      <c r="F34" s="15" t="str">
        <f t="shared" si="3"/>
        <v xml:space="preserve"> </v>
      </c>
    </row>
    <row r="35" spans="2:6" x14ac:dyDescent="0.25">
      <c r="B35" s="16" t="str">
        <f t="shared" si="4"/>
        <v xml:space="preserve"> </v>
      </c>
      <c r="C35" s="54" t="str">
        <f t="shared" si="0"/>
        <v xml:space="preserve"> </v>
      </c>
      <c r="D35" s="73" t="str">
        <f t="shared" si="1"/>
        <v xml:space="preserve"> </v>
      </c>
      <c r="E35" s="15" t="str">
        <f t="shared" si="2"/>
        <v xml:space="preserve"> </v>
      </c>
      <c r="F35" s="15" t="str">
        <f t="shared" si="3"/>
        <v xml:space="preserve"> </v>
      </c>
    </row>
    <row r="36" spans="2:6" x14ac:dyDescent="0.25">
      <c r="B36" s="16" t="str">
        <f t="shared" si="4"/>
        <v xml:space="preserve"> </v>
      </c>
      <c r="C36" s="54" t="str">
        <f t="shared" si="0"/>
        <v xml:space="preserve"> </v>
      </c>
      <c r="D36" s="73" t="str">
        <f t="shared" si="1"/>
        <v xml:space="preserve"> </v>
      </c>
      <c r="E36" s="15" t="str">
        <f t="shared" si="2"/>
        <v xml:space="preserve"> </v>
      </c>
      <c r="F36" s="15" t="str">
        <f t="shared" si="3"/>
        <v xml:space="preserve"> </v>
      </c>
    </row>
    <row r="37" spans="2:6" x14ac:dyDescent="0.25">
      <c r="B37" s="16" t="str">
        <f t="shared" si="4"/>
        <v xml:space="preserve"> </v>
      </c>
      <c r="C37" s="54" t="str">
        <f t="shared" si="0"/>
        <v xml:space="preserve"> </v>
      </c>
      <c r="D37" s="73" t="str">
        <f t="shared" si="1"/>
        <v xml:space="preserve"> </v>
      </c>
      <c r="E37" s="15" t="str">
        <f t="shared" si="2"/>
        <v xml:space="preserve"> </v>
      </c>
      <c r="F37" s="15" t="str">
        <f t="shared" si="3"/>
        <v xml:space="preserve"> </v>
      </c>
    </row>
    <row r="38" spans="2:6" x14ac:dyDescent="0.25">
      <c r="B38" s="16" t="str">
        <f t="shared" si="4"/>
        <v xml:space="preserve"> </v>
      </c>
      <c r="C38" s="54" t="str">
        <f t="shared" si="0"/>
        <v xml:space="preserve"> </v>
      </c>
      <c r="D38" s="73" t="str">
        <f t="shared" si="1"/>
        <v xml:space="preserve"> </v>
      </c>
      <c r="E38" s="15" t="str">
        <f t="shared" si="2"/>
        <v xml:space="preserve"> </v>
      </c>
      <c r="F38" s="15" t="str">
        <f t="shared" si="3"/>
        <v xml:space="preserve"> </v>
      </c>
    </row>
    <row r="39" spans="2:6" x14ac:dyDescent="0.25">
      <c r="B39" s="16" t="str">
        <f t="shared" si="4"/>
        <v xml:space="preserve"> </v>
      </c>
      <c r="C39" s="54" t="str">
        <f t="shared" si="0"/>
        <v xml:space="preserve"> </v>
      </c>
      <c r="D39" s="73" t="str">
        <f t="shared" si="1"/>
        <v xml:space="preserve"> </v>
      </c>
      <c r="E39" s="15" t="str">
        <f t="shared" si="2"/>
        <v xml:space="preserve"> </v>
      </c>
      <c r="F39" s="15" t="str">
        <f t="shared" si="3"/>
        <v xml:space="preserve"> </v>
      </c>
    </row>
    <row r="40" spans="2:6" x14ac:dyDescent="0.25">
      <c r="B40" s="16" t="str">
        <f t="shared" si="4"/>
        <v xml:space="preserve"> </v>
      </c>
      <c r="C40" s="54" t="str">
        <f t="shared" si="0"/>
        <v xml:space="preserve"> </v>
      </c>
      <c r="D40" s="73" t="str">
        <f t="shared" si="1"/>
        <v xml:space="preserve"> </v>
      </c>
      <c r="E40" s="15" t="str">
        <f t="shared" si="2"/>
        <v xml:space="preserve"> </v>
      </c>
      <c r="F40" s="15" t="str">
        <f t="shared" si="3"/>
        <v xml:space="preserve"> </v>
      </c>
    </row>
    <row r="41" spans="2:6" x14ac:dyDescent="0.25">
      <c r="B41" s="16" t="str">
        <f t="shared" si="4"/>
        <v xml:space="preserve"> </v>
      </c>
      <c r="C41" s="54" t="str">
        <f t="shared" si="0"/>
        <v xml:space="preserve"> </v>
      </c>
      <c r="D41" s="73" t="str">
        <f t="shared" si="1"/>
        <v xml:space="preserve"> </v>
      </c>
      <c r="E41" s="15" t="str">
        <f t="shared" si="2"/>
        <v xml:space="preserve"> </v>
      </c>
      <c r="F41" s="15" t="str">
        <f t="shared" si="3"/>
        <v xml:space="preserve"> </v>
      </c>
    </row>
    <row r="42" spans="2:6" x14ac:dyDescent="0.25">
      <c r="B42" s="16" t="str">
        <f t="shared" si="4"/>
        <v xml:space="preserve"> </v>
      </c>
      <c r="C42" s="54" t="str">
        <f t="shared" si="0"/>
        <v xml:space="preserve"> </v>
      </c>
      <c r="D42" s="73" t="str">
        <f t="shared" si="1"/>
        <v xml:space="preserve"> </v>
      </c>
      <c r="E42" s="15" t="str">
        <f t="shared" si="2"/>
        <v xml:space="preserve"> </v>
      </c>
      <c r="F42" s="15" t="str">
        <f t="shared" si="3"/>
        <v xml:space="preserve"> </v>
      </c>
    </row>
    <row r="43" spans="2:6" x14ac:dyDescent="0.25">
      <c r="B43" s="16" t="str">
        <f t="shared" si="4"/>
        <v xml:space="preserve"> </v>
      </c>
      <c r="C43" s="54" t="str">
        <f t="shared" si="0"/>
        <v xml:space="preserve"> </v>
      </c>
      <c r="D43" s="73" t="str">
        <f t="shared" si="1"/>
        <v xml:space="preserve"> </v>
      </c>
      <c r="E43" s="15" t="str">
        <f t="shared" si="2"/>
        <v xml:space="preserve"> </v>
      </c>
      <c r="F43" s="15" t="str">
        <f t="shared" si="3"/>
        <v xml:space="preserve"> </v>
      </c>
    </row>
    <row r="44" spans="2:6" x14ac:dyDescent="0.25">
      <c r="B44" s="16" t="str">
        <f t="shared" si="4"/>
        <v xml:space="preserve"> </v>
      </c>
      <c r="C44" s="54" t="str">
        <f t="shared" si="0"/>
        <v xml:space="preserve"> </v>
      </c>
      <c r="D44" s="73" t="str">
        <f t="shared" si="1"/>
        <v xml:space="preserve"> </v>
      </c>
      <c r="E44" s="15" t="str">
        <f t="shared" si="2"/>
        <v xml:space="preserve"> </v>
      </c>
      <c r="F44" s="15" t="str">
        <f t="shared" si="3"/>
        <v xml:space="preserve"> </v>
      </c>
    </row>
    <row r="45" spans="2:6" x14ac:dyDescent="0.25">
      <c r="B45" s="16" t="str">
        <f t="shared" si="4"/>
        <v xml:space="preserve"> </v>
      </c>
      <c r="C45" s="54" t="str">
        <f t="shared" si="0"/>
        <v xml:space="preserve"> </v>
      </c>
      <c r="D45" s="73" t="str">
        <f t="shared" si="1"/>
        <v xml:space="preserve"> </v>
      </c>
      <c r="E45" s="15" t="str">
        <f t="shared" si="2"/>
        <v xml:space="preserve"> </v>
      </c>
      <c r="F45" s="15" t="str">
        <f t="shared" si="3"/>
        <v xml:space="preserve"> </v>
      </c>
    </row>
    <row r="46" spans="2:6" x14ac:dyDescent="0.25">
      <c r="B46" s="16" t="str">
        <f t="shared" si="4"/>
        <v xml:space="preserve"> </v>
      </c>
      <c r="C46" s="54" t="str">
        <f t="shared" si="0"/>
        <v xml:space="preserve"> </v>
      </c>
      <c r="D46" s="73" t="str">
        <f t="shared" si="1"/>
        <v xml:space="preserve"> </v>
      </c>
      <c r="E46" s="15" t="str">
        <f t="shared" si="2"/>
        <v xml:space="preserve"> </v>
      </c>
      <c r="F46" s="15" t="str">
        <f t="shared" si="3"/>
        <v xml:space="preserve"> </v>
      </c>
    </row>
    <row r="47" spans="2:6" x14ac:dyDescent="0.25">
      <c r="B47" s="16" t="str">
        <f t="shared" si="4"/>
        <v xml:space="preserve"> </v>
      </c>
      <c r="C47" s="54" t="str">
        <f t="shared" si="0"/>
        <v xml:space="preserve"> </v>
      </c>
      <c r="D47" s="73" t="str">
        <f t="shared" si="1"/>
        <v xml:space="preserve"> </v>
      </c>
      <c r="E47" s="15" t="str">
        <f t="shared" si="2"/>
        <v xml:space="preserve"> </v>
      </c>
      <c r="F47" s="15" t="str">
        <f t="shared" si="3"/>
        <v xml:space="preserve"> </v>
      </c>
    </row>
    <row r="48" spans="2:6" x14ac:dyDescent="0.25">
      <c r="B48" s="16" t="str">
        <f t="shared" si="4"/>
        <v xml:space="preserve"> </v>
      </c>
      <c r="C48" s="54" t="str">
        <f t="shared" si="0"/>
        <v xml:space="preserve"> </v>
      </c>
      <c r="D48" s="73" t="str">
        <f t="shared" si="1"/>
        <v xml:space="preserve"> </v>
      </c>
      <c r="E48" s="15" t="str">
        <f t="shared" si="2"/>
        <v xml:space="preserve"> </v>
      </c>
      <c r="F48" s="15" t="str">
        <f t="shared" si="3"/>
        <v xml:space="preserve"> </v>
      </c>
    </row>
    <row r="49" spans="2:6" x14ac:dyDescent="0.25">
      <c r="B49" s="16" t="str">
        <f t="shared" si="4"/>
        <v xml:space="preserve"> </v>
      </c>
      <c r="C49" s="54" t="str">
        <f t="shared" si="0"/>
        <v xml:space="preserve"> </v>
      </c>
      <c r="D49" s="73" t="str">
        <f t="shared" si="1"/>
        <v xml:space="preserve"> </v>
      </c>
      <c r="E49" s="15" t="str">
        <f t="shared" si="2"/>
        <v xml:space="preserve"> </v>
      </c>
      <c r="F49" s="15" t="str">
        <f t="shared" si="3"/>
        <v xml:space="preserve"> </v>
      </c>
    </row>
    <row r="50" spans="2:6" x14ac:dyDescent="0.25">
      <c r="B50" s="16" t="str">
        <f t="shared" si="4"/>
        <v xml:space="preserve"> </v>
      </c>
      <c r="C50" s="54" t="str">
        <f t="shared" si="0"/>
        <v xml:space="preserve"> </v>
      </c>
      <c r="D50" s="73" t="str">
        <f t="shared" si="1"/>
        <v xml:space="preserve"> </v>
      </c>
      <c r="E50" s="15" t="str">
        <f t="shared" si="2"/>
        <v xml:space="preserve"> </v>
      </c>
      <c r="F50" s="15" t="str">
        <f t="shared" si="3"/>
        <v xml:space="preserve"> </v>
      </c>
    </row>
    <row r="51" spans="2:6" x14ac:dyDescent="0.25">
      <c r="B51" s="16" t="str">
        <f t="shared" si="4"/>
        <v xml:space="preserve"> </v>
      </c>
      <c r="C51" s="54" t="str">
        <f t="shared" si="0"/>
        <v xml:space="preserve"> </v>
      </c>
      <c r="D51" s="73" t="str">
        <f t="shared" si="1"/>
        <v xml:space="preserve"> </v>
      </c>
      <c r="E51" s="15" t="str">
        <f t="shared" si="2"/>
        <v xml:space="preserve"> </v>
      </c>
      <c r="F51" s="15" t="str">
        <f t="shared" si="3"/>
        <v xml:space="preserve"> </v>
      </c>
    </row>
    <row r="52" spans="2:6" x14ac:dyDescent="0.25">
      <c r="B52" s="16" t="str">
        <f t="shared" si="4"/>
        <v xml:space="preserve"> </v>
      </c>
      <c r="C52" s="54" t="str">
        <f t="shared" si="0"/>
        <v xml:space="preserve"> </v>
      </c>
      <c r="D52" s="73" t="str">
        <f t="shared" si="1"/>
        <v xml:space="preserve"> </v>
      </c>
      <c r="E52" s="15" t="str">
        <f t="shared" si="2"/>
        <v xml:space="preserve"> </v>
      </c>
      <c r="F52" s="15" t="str">
        <f t="shared" si="3"/>
        <v xml:space="preserve"> </v>
      </c>
    </row>
    <row r="53" spans="2:6" x14ac:dyDescent="0.25">
      <c r="B53" s="16" t="str">
        <f t="shared" si="4"/>
        <v xml:space="preserve"> </v>
      </c>
      <c r="C53" s="54" t="str">
        <f t="shared" si="0"/>
        <v xml:space="preserve"> </v>
      </c>
      <c r="D53" s="73" t="str">
        <f t="shared" si="1"/>
        <v xml:space="preserve"> </v>
      </c>
      <c r="E53" s="15" t="str">
        <f t="shared" si="2"/>
        <v xml:space="preserve"> </v>
      </c>
      <c r="F53" s="15" t="str">
        <f t="shared" si="3"/>
        <v xml:space="preserve"> </v>
      </c>
    </row>
    <row r="54" spans="2:6" x14ac:dyDescent="0.25">
      <c r="B54" s="16" t="str">
        <f t="shared" si="4"/>
        <v xml:space="preserve"> </v>
      </c>
      <c r="C54" s="54" t="str">
        <f t="shared" si="0"/>
        <v xml:space="preserve"> </v>
      </c>
      <c r="D54" s="73" t="str">
        <f t="shared" si="1"/>
        <v xml:space="preserve"> </v>
      </c>
      <c r="E54" s="15" t="str">
        <f t="shared" si="2"/>
        <v xml:space="preserve"> </v>
      </c>
      <c r="F54" s="15" t="str">
        <f t="shared" si="3"/>
        <v xml:space="preserve"> </v>
      </c>
    </row>
    <row r="55" spans="2:6" x14ac:dyDescent="0.25">
      <c r="B55" s="16" t="str">
        <f t="shared" si="4"/>
        <v xml:space="preserve"> </v>
      </c>
      <c r="C55" s="54" t="str">
        <f t="shared" si="0"/>
        <v xml:space="preserve"> </v>
      </c>
      <c r="D55" s="73" t="str">
        <f t="shared" si="1"/>
        <v xml:space="preserve"> </v>
      </c>
      <c r="E55" s="15" t="str">
        <f t="shared" si="2"/>
        <v xml:space="preserve"> </v>
      </c>
      <c r="F55" s="15" t="str">
        <f t="shared" si="3"/>
        <v xml:space="preserve"> </v>
      </c>
    </row>
    <row r="56" spans="2:6" x14ac:dyDescent="0.25">
      <c r="B56" s="16" t="str">
        <f t="shared" si="4"/>
        <v xml:space="preserve"> </v>
      </c>
      <c r="C56" s="54" t="str">
        <f t="shared" si="0"/>
        <v xml:space="preserve"> </v>
      </c>
      <c r="D56" s="73" t="str">
        <f t="shared" si="1"/>
        <v xml:space="preserve"> </v>
      </c>
      <c r="E56" s="15" t="str">
        <f t="shared" si="2"/>
        <v xml:space="preserve"> </v>
      </c>
      <c r="F56" s="15" t="str">
        <f t="shared" si="3"/>
        <v xml:space="preserve"> </v>
      </c>
    </row>
    <row r="57" spans="2:6" x14ac:dyDescent="0.25">
      <c r="B57" s="16" t="str">
        <f t="shared" si="4"/>
        <v xml:space="preserve"> </v>
      </c>
      <c r="C57" s="54" t="str">
        <f t="shared" si="0"/>
        <v xml:space="preserve"> </v>
      </c>
      <c r="D57" s="73" t="str">
        <f t="shared" si="1"/>
        <v xml:space="preserve"> </v>
      </c>
      <c r="E57" s="15" t="str">
        <f t="shared" si="2"/>
        <v xml:space="preserve"> </v>
      </c>
      <c r="F57" s="15" t="str">
        <f t="shared" si="3"/>
        <v xml:space="preserve"> </v>
      </c>
    </row>
    <row r="58" spans="2:6" x14ac:dyDescent="0.25">
      <c r="B58" s="16" t="str">
        <f t="shared" si="4"/>
        <v xml:space="preserve"> </v>
      </c>
      <c r="C58" s="54" t="str">
        <f t="shared" si="0"/>
        <v xml:space="preserve"> </v>
      </c>
      <c r="D58" s="73" t="str">
        <f t="shared" si="1"/>
        <v xml:space="preserve"> </v>
      </c>
      <c r="E58" s="15" t="str">
        <f t="shared" si="2"/>
        <v xml:space="preserve"> </v>
      </c>
      <c r="F58" s="15" t="str">
        <f t="shared" si="3"/>
        <v xml:space="preserve"> </v>
      </c>
    </row>
    <row r="59" spans="2:6" x14ac:dyDescent="0.25">
      <c r="B59" s="16" t="str">
        <f t="shared" si="4"/>
        <v xml:space="preserve"> </v>
      </c>
      <c r="C59" s="54" t="str">
        <f t="shared" si="0"/>
        <v xml:space="preserve"> </v>
      </c>
      <c r="D59" s="73" t="str">
        <f t="shared" si="1"/>
        <v xml:space="preserve"> </v>
      </c>
      <c r="E59" s="15" t="str">
        <f t="shared" si="2"/>
        <v xml:space="preserve"> </v>
      </c>
      <c r="F59" s="15" t="str">
        <f t="shared" si="3"/>
        <v xml:space="preserve"> </v>
      </c>
    </row>
    <row r="60" spans="2:6" x14ac:dyDescent="0.25">
      <c r="B60" s="16" t="str">
        <f t="shared" si="4"/>
        <v xml:space="preserve"> </v>
      </c>
      <c r="C60" s="54" t="str">
        <f t="shared" si="0"/>
        <v xml:space="preserve"> </v>
      </c>
      <c r="D60" s="73" t="str">
        <f t="shared" si="1"/>
        <v xml:space="preserve"> </v>
      </c>
      <c r="E60" s="15" t="str">
        <f t="shared" si="2"/>
        <v xml:space="preserve"> </v>
      </c>
      <c r="F60" s="15" t="str">
        <f t="shared" si="3"/>
        <v xml:space="preserve"> </v>
      </c>
    </row>
    <row r="61" spans="2:6" x14ac:dyDescent="0.25">
      <c r="B61" s="16" t="str">
        <f t="shared" si="4"/>
        <v xml:space="preserve"> </v>
      </c>
      <c r="C61" s="54" t="str">
        <f t="shared" si="0"/>
        <v xml:space="preserve"> </v>
      </c>
      <c r="D61" s="73" t="str">
        <f t="shared" si="1"/>
        <v xml:space="preserve"> </v>
      </c>
      <c r="E61" s="15" t="str">
        <f t="shared" si="2"/>
        <v xml:space="preserve"> </v>
      </c>
      <c r="F61" s="15" t="str">
        <f t="shared" si="3"/>
        <v xml:space="preserve"> </v>
      </c>
    </row>
    <row r="62" spans="2:6" x14ac:dyDescent="0.25">
      <c r="B62" s="16" t="str">
        <f t="shared" si="4"/>
        <v xml:space="preserve"> </v>
      </c>
      <c r="C62" s="54" t="str">
        <f t="shared" si="0"/>
        <v xml:space="preserve"> </v>
      </c>
      <c r="D62" s="73" t="str">
        <f t="shared" si="1"/>
        <v xml:space="preserve"> </v>
      </c>
      <c r="E62" s="15" t="str">
        <f t="shared" si="2"/>
        <v xml:space="preserve"> </v>
      </c>
      <c r="F62" s="15" t="str">
        <f t="shared" si="3"/>
        <v xml:space="preserve"> </v>
      </c>
    </row>
    <row r="63" spans="2:6" x14ac:dyDescent="0.25">
      <c r="B63" s="16" t="str">
        <f t="shared" si="4"/>
        <v xml:space="preserve"> </v>
      </c>
      <c r="C63" s="54" t="str">
        <f t="shared" si="0"/>
        <v xml:space="preserve"> </v>
      </c>
      <c r="D63" s="73" t="str">
        <f t="shared" si="1"/>
        <v xml:space="preserve"> </v>
      </c>
      <c r="E63" s="15" t="str">
        <f t="shared" si="2"/>
        <v xml:space="preserve"> </v>
      </c>
      <c r="F63" s="15" t="str">
        <f t="shared" si="3"/>
        <v xml:space="preserve"> </v>
      </c>
    </row>
    <row r="64" spans="2:6" x14ac:dyDescent="0.25">
      <c r="B64" s="16" t="str">
        <f t="shared" si="4"/>
        <v xml:space="preserve"> </v>
      </c>
      <c r="C64" s="54" t="str">
        <f t="shared" si="0"/>
        <v xml:space="preserve"> </v>
      </c>
      <c r="D64" s="73" t="str">
        <f t="shared" si="1"/>
        <v xml:space="preserve"> </v>
      </c>
      <c r="E64" s="15" t="str">
        <f t="shared" si="2"/>
        <v xml:space="preserve"> </v>
      </c>
      <c r="F64" s="15" t="str">
        <f t="shared" si="3"/>
        <v xml:space="preserve"> </v>
      </c>
    </row>
    <row r="65" spans="2:6" x14ac:dyDescent="0.25">
      <c r="B65" s="16" t="str">
        <f t="shared" si="4"/>
        <v xml:space="preserve"> </v>
      </c>
      <c r="C65" s="54" t="str">
        <f t="shared" si="0"/>
        <v xml:space="preserve"> </v>
      </c>
      <c r="D65" s="73" t="str">
        <f t="shared" si="1"/>
        <v xml:space="preserve"> </v>
      </c>
      <c r="E65" s="15" t="str">
        <f t="shared" si="2"/>
        <v xml:space="preserve"> </v>
      </c>
      <c r="F65" s="15" t="str">
        <f t="shared" si="3"/>
        <v xml:space="preserve"> </v>
      </c>
    </row>
    <row r="66" spans="2:6" x14ac:dyDescent="0.25">
      <c r="B66" s="16" t="str">
        <f t="shared" si="4"/>
        <v xml:space="preserve"> </v>
      </c>
      <c r="C66" s="54" t="str">
        <f t="shared" si="0"/>
        <v xml:space="preserve"> </v>
      </c>
      <c r="D66" s="73" t="str">
        <f t="shared" si="1"/>
        <v xml:space="preserve"> </v>
      </c>
      <c r="E66" s="15" t="str">
        <f t="shared" si="2"/>
        <v xml:space="preserve"> </v>
      </c>
      <c r="F66" s="15" t="str">
        <f t="shared" si="3"/>
        <v xml:space="preserve"> </v>
      </c>
    </row>
    <row r="67" spans="2:6" x14ac:dyDescent="0.25">
      <c r="B67" s="16" t="str">
        <f t="shared" si="4"/>
        <v xml:space="preserve"> </v>
      </c>
      <c r="C67" s="54" t="str">
        <f t="shared" si="0"/>
        <v xml:space="preserve"> </v>
      </c>
      <c r="D67" s="73" t="str">
        <f t="shared" si="1"/>
        <v xml:space="preserve"> </v>
      </c>
      <c r="E67" s="15" t="str">
        <f t="shared" si="2"/>
        <v xml:space="preserve"> </v>
      </c>
      <c r="F67" s="15" t="str">
        <f t="shared" si="3"/>
        <v xml:space="preserve"> </v>
      </c>
    </row>
    <row r="68" spans="2:6" x14ac:dyDescent="0.25">
      <c r="B68" s="16" t="str">
        <f t="shared" si="4"/>
        <v xml:space="preserve"> </v>
      </c>
      <c r="C68" s="54" t="str">
        <f t="shared" si="0"/>
        <v xml:space="preserve"> </v>
      </c>
      <c r="D68" s="73" t="str">
        <f t="shared" si="1"/>
        <v xml:space="preserve"> </v>
      </c>
      <c r="E68" s="15" t="str">
        <f t="shared" si="2"/>
        <v xml:space="preserve"> </v>
      </c>
      <c r="F68" s="15" t="str">
        <f t="shared" si="3"/>
        <v xml:space="preserve"> </v>
      </c>
    </row>
    <row r="69" spans="2:6" x14ac:dyDescent="0.25">
      <c r="B69" s="16" t="str">
        <f t="shared" si="4"/>
        <v xml:space="preserve"> </v>
      </c>
      <c r="C69" s="54" t="str">
        <f t="shared" si="0"/>
        <v xml:space="preserve"> </v>
      </c>
      <c r="D69" s="73" t="str">
        <f t="shared" si="1"/>
        <v xml:space="preserve"> </v>
      </c>
      <c r="E69" s="15" t="str">
        <f t="shared" si="2"/>
        <v xml:space="preserve"> </v>
      </c>
      <c r="F69" s="15" t="str">
        <f t="shared" si="3"/>
        <v xml:space="preserve"> </v>
      </c>
    </row>
    <row r="70" spans="2:6" x14ac:dyDescent="0.25">
      <c r="B70" s="16" t="str">
        <f t="shared" si="4"/>
        <v xml:space="preserve"> </v>
      </c>
      <c r="C70" s="54" t="str">
        <f t="shared" si="0"/>
        <v xml:space="preserve"> </v>
      </c>
      <c r="D70" s="73" t="str">
        <f t="shared" si="1"/>
        <v xml:space="preserve"> </v>
      </c>
      <c r="E70" s="15" t="str">
        <f t="shared" si="2"/>
        <v xml:space="preserve"> </v>
      </c>
      <c r="F70" s="15" t="str">
        <f t="shared" si="3"/>
        <v xml:space="preserve"> </v>
      </c>
    </row>
    <row r="71" spans="2:6" x14ac:dyDescent="0.25">
      <c r="B71" s="16" t="str">
        <f t="shared" si="4"/>
        <v xml:space="preserve"> </v>
      </c>
      <c r="C71" s="54" t="str">
        <f t="shared" si="0"/>
        <v xml:space="preserve"> </v>
      </c>
      <c r="D71" s="73" t="str">
        <f t="shared" si="1"/>
        <v xml:space="preserve"> </v>
      </c>
      <c r="E71" s="15" t="str">
        <f t="shared" si="2"/>
        <v xml:space="preserve"> </v>
      </c>
      <c r="F71" s="15" t="str">
        <f t="shared" si="3"/>
        <v xml:space="preserve"> </v>
      </c>
    </row>
    <row r="72" spans="2:6" x14ac:dyDescent="0.25">
      <c r="B72" s="16" t="str">
        <f t="shared" si="4"/>
        <v xml:space="preserve"> </v>
      </c>
      <c r="C72" s="54" t="str">
        <f t="shared" si="0"/>
        <v xml:space="preserve"> </v>
      </c>
      <c r="D72" s="73" t="str">
        <f t="shared" si="1"/>
        <v xml:space="preserve"> </v>
      </c>
      <c r="E72" s="15" t="str">
        <f t="shared" si="2"/>
        <v xml:space="preserve"> </v>
      </c>
      <c r="F72" s="15" t="str">
        <f t="shared" si="3"/>
        <v xml:space="preserve"> </v>
      </c>
    </row>
    <row r="73" spans="2:6" x14ac:dyDescent="0.25">
      <c r="B73" s="16" t="str">
        <f t="shared" si="4"/>
        <v xml:space="preserve"> </v>
      </c>
      <c r="C73" s="54" t="str">
        <f t="shared" si="0"/>
        <v xml:space="preserve"> </v>
      </c>
      <c r="D73" s="73" t="str">
        <f t="shared" si="1"/>
        <v xml:space="preserve"> </v>
      </c>
      <c r="E73" s="15" t="str">
        <f t="shared" si="2"/>
        <v xml:space="preserve"> </v>
      </c>
      <c r="F73" s="15" t="str">
        <f t="shared" si="3"/>
        <v xml:space="preserve"> </v>
      </c>
    </row>
    <row r="74" spans="2:6" x14ac:dyDescent="0.25">
      <c r="B74" s="16" t="str">
        <f t="shared" si="4"/>
        <v xml:space="preserve"> </v>
      </c>
      <c r="C74" s="54" t="str">
        <f t="shared" si="0"/>
        <v xml:space="preserve"> </v>
      </c>
      <c r="D74" s="73" t="str">
        <f t="shared" si="1"/>
        <v xml:space="preserve"> </v>
      </c>
      <c r="E74" s="15" t="str">
        <f t="shared" si="2"/>
        <v xml:space="preserve"> </v>
      </c>
      <c r="F74" s="15" t="str">
        <f t="shared" si="3"/>
        <v xml:space="preserve"> </v>
      </c>
    </row>
    <row r="75" spans="2:6" x14ac:dyDescent="0.25">
      <c r="B75" s="16" t="str">
        <f t="shared" si="4"/>
        <v xml:space="preserve"> </v>
      </c>
      <c r="C75" s="54" t="str">
        <f t="shared" si="0"/>
        <v xml:space="preserve"> </v>
      </c>
      <c r="D75" s="73" t="str">
        <f t="shared" si="1"/>
        <v xml:space="preserve"> </v>
      </c>
      <c r="E75" s="15" t="str">
        <f t="shared" si="2"/>
        <v xml:space="preserve"> </v>
      </c>
      <c r="F75" s="15" t="str">
        <f t="shared" si="3"/>
        <v xml:space="preserve"> </v>
      </c>
    </row>
    <row r="76" spans="2:6" x14ac:dyDescent="0.25">
      <c r="B76" s="16" t="str">
        <f t="shared" si="4"/>
        <v xml:space="preserve"> </v>
      </c>
      <c r="C76" s="54" t="str">
        <f t="shared" si="0"/>
        <v xml:space="preserve"> </v>
      </c>
      <c r="D76" s="73" t="str">
        <f t="shared" si="1"/>
        <v xml:space="preserve"> </v>
      </c>
      <c r="E76" s="15" t="str">
        <f t="shared" si="2"/>
        <v xml:space="preserve"> </v>
      </c>
      <c r="F76" s="15" t="str">
        <f t="shared" si="3"/>
        <v xml:space="preserve"> </v>
      </c>
    </row>
    <row r="77" spans="2:6" x14ac:dyDescent="0.25">
      <c r="B77" s="16" t="str">
        <f t="shared" si="4"/>
        <v xml:space="preserve"> </v>
      </c>
      <c r="C77" s="54" t="str">
        <f t="shared" ref="C77:C140" si="5">IF(B77&lt;=$D$6,-PMT($D$5,$D$6,$D$4,0)," ")</f>
        <v xml:space="preserve"> </v>
      </c>
      <c r="D77" s="73" t="str">
        <f t="shared" ref="D77:D140" si="6">IF(B77&lt;=$D$6,-IPMT($D$5,B77,$D$6,$D$4)," ")</f>
        <v xml:space="preserve"> </v>
      </c>
      <c r="E77" s="15" t="str">
        <f t="shared" ref="E77:E140" si="7">IF(B77&lt;=$D$6,-PPMT($D$5,B77,$D$6,$D$4)," ")</f>
        <v xml:space="preserve"> </v>
      </c>
      <c r="F77" s="15" t="str">
        <f t="shared" ref="F77:F140" si="8">IF(B77&lt;=$D$6,(F76-E77)," ")</f>
        <v xml:space="preserve"> </v>
      </c>
    </row>
    <row r="78" spans="2:6" x14ac:dyDescent="0.25">
      <c r="B78" s="16" t="str">
        <f t="shared" ref="B78:B141" si="9">IF(B77=" "," ",IF(B77&lt;$D$6,B77+1," "))</f>
        <v xml:space="preserve"> </v>
      </c>
      <c r="C78" s="54" t="str">
        <f t="shared" si="5"/>
        <v xml:space="preserve"> </v>
      </c>
      <c r="D78" s="73" t="str">
        <f t="shared" si="6"/>
        <v xml:space="preserve"> </v>
      </c>
      <c r="E78" s="15" t="str">
        <f t="shared" si="7"/>
        <v xml:space="preserve"> </v>
      </c>
      <c r="F78" s="15" t="str">
        <f t="shared" si="8"/>
        <v xml:space="preserve"> </v>
      </c>
    </row>
    <row r="79" spans="2:6" x14ac:dyDescent="0.25">
      <c r="B79" s="16" t="str">
        <f t="shared" si="9"/>
        <v xml:space="preserve"> </v>
      </c>
      <c r="C79" s="54" t="str">
        <f t="shared" si="5"/>
        <v xml:space="preserve"> </v>
      </c>
      <c r="D79" s="73" t="str">
        <f t="shared" si="6"/>
        <v xml:space="preserve"> </v>
      </c>
      <c r="E79" s="15" t="str">
        <f t="shared" si="7"/>
        <v xml:space="preserve"> </v>
      </c>
      <c r="F79" s="15" t="str">
        <f t="shared" si="8"/>
        <v xml:space="preserve"> </v>
      </c>
    </row>
    <row r="80" spans="2:6" x14ac:dyDescent="0.25">
      <c r="B80" s="16" t="str">
        <f t="shared" si="9"/>
        <v xml:space="preserve"> </v>
      </c>
      <c r="C80" s="54" t="str">
        <f t="shared" si="5"/>
        <v xml:space="preserve"> </v>
      </c>
      <c r="D80" s="73" t="str">
        <f t="shared" si="6"/>
        <v xml:space="preserve"> </v>
      </c>
      <c r="E80" s="15" t="str">
        <f t="shared" si="7"/>
        <v xml:space="preserve"> </v>
      </c>
      <c r="F80" s="15" t="str">
        <f t="shared" si="8"/>
        <v xml:space="preserve"> </v>
      </c>
    </row>
    <row r="81" spans="2:6" x14ac:dyDescent="0.25">
      <c r="B81" s="16" t="str">
        <f t="shared" si="9"/>
        <v xml:space="preserve"> </v>
      </c>
      <c r="C81" s="54" t="str">
        <f t="shared" si="5"/>
        <v xml:space="preserve"> </v>
      </c>
      <c r="D81" s="73" t="str">
        <f t="shared" si="6"/>
        <v xml:space="preserve"> </v>
      </c>
      <c r="E81" s="15" t="str">
        <f t="shared" si="7"/>
        <v xml:space="preserve"> </v>
      </c>
      <c r="F81" s="15" t="str">
        <f t="shared" si="8"/>
        <v xml:space="preserve"> </v>
      </c>
    </row>
    <row r="82" spans="2:6" x14ac:dyDescent="0.25">
      <c r="B82" s="16" t="str">
        <f t="shared" si="9"/>
        <v xml:space="preserve"> </v>
      </c>
      <c r="C82" s="54" t="str">
        <f t="shared" si="5"/>
        <v xml:space="preserve"> </v>
      </c>
      <c r="D82" s="73" t="str">
        <f t="shared" si="6"/>
        <v xml:space="preserve"> </v>
      </c>
      <c r="E82" s="15" t="str">
        <f t="shared" si="7"/>
        <v xml:space="preserve"> </v>
      </c>
      <c r="F82" s="15" t="str">
        <f t="shared" si="8"/>
        <v xml:space="preserve"> </v>
      </c>
    </row>
    <row r="83" spans="2:6" x14ac:dyDescent="0.25">
      <c r="B83" s="16" t="str">
        <f t="shared" si="9"/>
        <v xml:space="preserve"> </v>
      </c>
      <c r="C83" s="54" t="str">
        <f t="shared" si="5"/>
        <v xml:space="preserve"> </v>
      </c>
      <c r="D83" s="73" t="str">
        <f t="shared" si="6"/>
        <v xml:space="preserve"> </v>
      </c>
      <c r="E83" s="15" t="str">
        <f t="shared" si="7"/>
        <v xml:space="preserve"> </v>
      </c>
      <c r="F83" s="15" t="str">
        <f t="shared" si="8"/>
        <v xml:space="preserve"> </v>
      </c>
    </row>
    <row r="84" spans="2:6" x14ac:dyDescent="0.25">
      <c r="B84" s="16" t="str">
        <f t="shared" si="9"/>
        <v xml:space="preserve"> </v>
      </c>
      <c r="C84" s="54" t="str">
        <f t="shared" si="5"/>
        <v xml:space="preserve"> </v>
      </c>
      <c r="D84" s="73" t="str">
        <f t="shared" si="6"/>
        <v xml:space="preserve"> </v>
      </c>
      <c r="E84" s="15" t="str">
        <f t="shared" si="7"/>
        <v xml:space="preserve"> </v>
      </c>
      <c r="F84" s="15" t="str">
        <f t="shared" si="8"/>
        <v xml:space="preserve"> </v>
      </c>
    </row>
    <row r="85" spans="2:6" x14ac:dyDescent="0.25">
      <c r="B85" s="16" t="str">
        <f t="shared" si="9"/>
        <v xml:space="preserve"> </v>
      </c>
      <c r="C85" s="54" t="str">
        <f t="shared" si="5"/>
        <v xml:space="preserve"> </v>
      </c>
      <c r="D85" s="73" t="str">
        <f t="shared" si="6"/>
        <v xml:space="preserve"> </v>
      </c>
      <c r="E85" s="15" t="str">
        <f t="shared" si="7"/>
        <v xml:space="preserve"> </v>
      </c>
      <c r="F85" s="15" t="str">
        <f t="shared" si="8"/>
        <v xml:space="preserve"> </v>
      </c>
    </row>
    <row r="86" spans="2:6" x14ac:dyDescent="0.25">
      <c r="B86" s="16" t="str">
        <f t="shared" si="9"/>
        <v xml:space="preserve"> </v>
      </c>
      <c r="C86" s="54" t="str">
        <f t="shared" si="5"/>
        <v xml:space="preserve"> </v>
      </c>
      <c r="D86" s="73" t="str">
        <f t="shared" si="6"/>
        <v xml:space="preserve"> </v>
      </c>
      <c r="E86" s="15" t="str">
        <f t="shared" si="7"/>
        <v xml:space="preserve"> </v>
      </c>
      <c r="F86" s="15" t="str">
        <f t="shared" si="8"/>
        <v xml:space="preserve"> </v>
      </c>
    </row>
    <row r="87" spans="2:6" x14ac:dyDescent="0.25">
      <c r="B87" s="16" t="str">
        <f t="shared" si="9"/>
        <v xml:space="preserve"> </v>
      </c>
      <c r="C87" s="54" t="str">
        <f t="shared" si="5"/>
        <v xml:space="preserve"> </v>
      </c>
      <c r="D87" s="73" t="str">
        <f t="shared" si="6"/>
        <v xml:space="preserve"> </v>
      </c>
      <c r="E87" s="15" t="str">
        <f t="shared" si="7"/>
        <v xml:space="preserve"> </v>
      </c>
      <c r="F87" s="15" t="str">
        <f t="shared" si="8"/>
        <v xml:space="preserve"> </v>
      </c>
    </row>
    <row r="88" spans="2:6" x14ac:dyDescent="0.25">
      <c r="B88" s="16" t="str">
        <f t="shared" si="9"/>
        <v xml:space="preserve"> </v>
      </c>
      <c r="C88" s="54" t="str">
        <f t="shared" si="5"/>
        <v xml:space="preserve"> </v>
      </c>
      <c r="D88" s="73" t="str">
        <f t="shared" si="6"/>
        <v xml:space="preserve"> </v>
      </c>
      <c r="E88" s="15" t="str">
        <f t="shared" si="7"/>
        <v xml:space="preserve"> </v>
      </c>
      <c r="F88" s="15" t="str">
        <f t="shared" si="8"/>
        <v xml:space="preserve"> </v>
      </c>
    </row>
    <row r="89" spans="2:6" x14ac:dyDescent="0.25">
      <c r="B89" s="16" t="str">
        <f t="shared" si="9"/>
        <v xml:space="preserve"> </v>
      </c>
      <c r="C89" s="54" t="str">
        <f t="shared" si="5"/>
        <v xml:space="preserve"> </v>
      </c>
      <c r="D89" s="73" t="str">
        <f t="shared" si="6"/>
        <v xml:space="preserve"> </v>
      </c>
      <c r="E89" s="15" t="str">
        <f t="shared" si="7"/>
        <v xml:space="preserve"> </v>
      </c>
      <c r="F89" s="15" t="str">
        <f t="shared" si="8"/>
        <v xml:space="preserve"> </v>
      </c>
    </row>
    <row r="90" spans="2:6" x14ac:dyDescent="0.25">
      <c r="B90" s="16" t="str">
        <f t="shared" si="9"/>
        <v xml:space="preserve"> </v>
      </c>
      <c r="C90" s="54" t="str">
        <f t="shared" si="5"/>
        <v xml:space="preserve"> </v>
      </c>
      <c r="D90" s="73" t="str">
        <f t="shared" si="6"/>
        <v xml:space="preserve"> </v>
      </c>
      <c r="E90" s="15" t="str">
        <f t="shared" si="7"/>
        <v xml:space="preserve"> </v>
      </c>
      <c r="F90" s="15" t="str">
        <f t="shared" si="8"/>
        <v xml:space="preserve"> </v>
      </c>
    </row>
    <row r="91" spans="2:6" x14ac:dyDescent="0.25">
      <c r="B91" s="16" t="str">
        <f t="shared" si="9"/>
        <v xml:space="preserve"> </v>
      </c>
      <c r="C91" s="54" t="str">
        <f t="shared" si="5"/>
        <v xml:space="preserve"> </v>
      </c>
      <c r="D91" s="73" t="str">
        <f t="shared" si="6"/>
        <v xml:space="preserve"> </v>
      </c>
      <c r="E91" s="15" t="str">
        <f t="shared" si="7"/>
        <v xml:space="preserve"> </v>
      </c>
      <c r="F91" s="15" t="str">
        <f t="shared" si="8"/>
        <v xml:space="preserve"> </v>
      </c>
    </row>
    <row r="92" spans="2:6" x14ac:dyDescent="0.25">
      <c r="B92" s="16" t="str">
        <f t="shared" si="9"/>
        <v xml:space="preserve"> </v>
      </c>
      <c r="C92" s="54" t="str">
        <f t="shared" si="5"/>
        <v xml:space="preserve"> </v>
      </c>
      <c r="D92" s="73" t="str">
        <f t="shared" si="6"/>
        <v xml:space="preserve"> </v>
      </c>
      <c r="E92" s="15" t="str">
        <f t="shared" si="7"/>
        <v xml:space="preserve"> </v>
      </c>
      <c r="F92" s="15" t="str">
        <f t="shared" si="8"/>
        <v xml:space="preserve"> </v>
      </c>
    </row>
    <row r="93" spans="2:6" x14ac:dyDescent="0.25">
      <c r="B93" s="16" t="str">
        <f t="shared" si="9"/>
        <v xml:space="preserve"> </v>
      </c>
      <c r="C93" s="54" t="str">
        <f t="shared" si="5"/>
        <v xml:space="preserve"> </v>
      </c>
      <c r="D93" s="73" t="str">
        <f t="shared" si="6"/>
        <v xml:space="preserve"> </v>
      </c>
      <c r="E93" s="15" t="str">
        <f t="shared" si="7"/>
        <v xml:space="preserve"> </v>
      </c>
      <c r="F93" s="15" t="str">
        <f t="shared" si="8"/>
        <v xml:space="preserve"> </v>
      </c>
    </row>
    <row r="94" spans="2:6" x14ac:dyDescent="0.25">
      <c r="B94" s="16" t="str">
        <f t="shared" si="9"/>
        <v xml:space="preserve"> </v>
      </c>
      <c r="C94" s="54" t="str">
        <f t="shared" si="5"/>
        <v xml:space="preserve"> </v>
      </c>
      <c r="D94" s="73" t="str">
        <f t="shared" si="6"/>
        <v xml:space="preserve"> </v>
      </c>
      <c r="E94" s="15" t="str">
        <f t="shared" si="7"/>
        <v xml:space="preserve"> </v>
      </c>
      <c r="F94" s="15" t="str">
        <f t="shared" si="8"/>
        <v xml:space="preserve"> </v>
      </c>
    </row>
    <row r="95" spans="2:6" x14ac:dyDescent="0.25">
      <c r="B95" s="16" t="str">
        <f t="shared" si="9"/>
        <v xml:space="preserve"> </v>
      </c>
      <c r="C95" s="54" t="str">
        <f t="shared" si="5"/>
        <v xml:space="preserve"> </v>
      </c>
      <c r="D95" s="73" t="str">
        <f t="shared" si="6"/>
        <v xml:space="preserve"> </v>
      </c>
      <c r="E95" s="15" t="str">
        <f t="shared" si="7"/>
        <v xml:space="preserve"> </v>
      </c>
      <c r="F95" s="15" t="str">
        <f t="shared" si="8"/>
        <v xml:space="preserve"> </v>
      </c>
    </row>
    <row r="96" spans="2:6" x14ac:dyDescent="0.25">
      <c r="B96" s="16" t="str">
        <f t="shared" si="9"/>
        <v xml:space="preserve"> </v>
      </c>
      <c r="C96" s="54" t="str">
        <f t="shared" si="5"/>
        <v xml:space="preserve"> </v>
      </c>
      <c r="D96" s="73" t="str">
        <f t="shared" si="6"/>
        <v xml:space="preserve"> </v>
      </c>
      <c r="E96" s="15" t="str">
        <f t="shared" si="7"/>
        <v xml:space="preserve"> </v>
      </c>
      <c r="F96" s="15" t="str">
        <f t="shared" si="8"/>
        <v xml:space="preserve"> </v>
      </c>
    </row>
    <row r="97" spans="2:6" x14ac:dyDescent="0.25">
      <c r="B97" s="16" t="str">
        <f t="shared" si="9"/>
        <v xml:space="preserve"> </v>
      </c>
      <c r="C97" s="54" t="str">
        <f t="shared" si="5"/>
        <v xml:space="preserve"> </v>
      </c>
      <c r="D97" s="73" t="str">
        <f t="shared" si="6"/>
        <v xml:space="preserve"> </v>
      </c>
      <c r="E97" s="15" t="str">
        <f t="shared" si="7"/>
        <v xml:space="preserve"> </v>
      </c>
      <c r="F97" s="15" t="str">
        <f t="shared" si="8"/>
        <v xml:space="preserve"> </v>
      </c>
    </row>
    <row r="98" spans="2:6" x14ac:dyDescent="0.25">
      <c r="B98" s="16" t="str">
        <f t="shared" si="9"/>
        <v xml:space="preserve"> </v>
      </c>
      <c r="C98" s="54" t="str">
        <f t="shared" si="5"/>
        <v xml:space="preserve"> </v>
      </c>
      <c r="D98" s="73" t="str">
        <f t="shared" si="6"/>
        <v xml:space="preserve"> </v>
      </c>
      <c r="E98" s="15" t="str">
        <f t="shared" si="7"/>
        <v xml:space="preserve"> </v>
      </c>
      <c r="F98" s="15" t="str">
        <f t="shared" si="8"/>
        <v xml:space="preserve"> </v>
      </c>
    </row>
    <row r="99" spans="2:6" x14ac:dyDescent="0.25">
      <c r="B99" s="16" t="str">
        <f t="shared" si="9"/>
        <v xml:space="preserve"> </v>
      </c>
      <c r="C99" s="54" t="str">
        <f t="shared" si="5"/>
        <v xml:space="preserve"> </v>
      </c>
      <c r="D99" s="73" t="str">
        <f t="shared" si="6"/>
        <v xml:space="preserve"> </v>
      </c>
      <c r="E99" s="15" t="str">
        <f t="shared" si="7"/>
        <v xml:space="preserve"> </v>
      </c>
      <c r="F99" s="15" t="str">
        <f t="shared" si="8"/>
        <v xml:space="preserve"> </v>
      </c>
    </row>
    <row r="100" spans="2:6" x14ac:dyDescent="0.25">
      <c r="B100" s="16" t="str">
        <f t="shared" si="9"/>
        <v xml:space="preserve"> </v>
      </c>
      <c r="C100" s="54" t="str">
        <f t="shared" si="5"/>
        <v xml:space="preserve"> </v>
      </c>
      <c r="D100" s="73" t="str">
        <f t="shared" si="6"/>
        <v xml:space="preserve"> </v>
      </c>
      <c r="E100" s="15" t="str">
        <f t="shared" si="7"/>
        <v xml:space="preserve"> </v>
      </c>
      <c r="F100" s="15" t="str">
        <f t="shared" si="8"/>
        <v xml:space="preserve"> </v>
      </c>
    </row>
    <row r="101" spans="2:6" x14ac:dyDescent="0.25">
      <c r="B101" s="16" t="str">
        <f t="shared" si="9"/>
        <v xml:space="preserve"> </v>
      </c>
      <c r="C101" s="54" t="str">
        <f t="shared" si="5"/>
        <v xml:space="preserve"> </v>
      </c>
      <c r="D101" s="73" t="str">
        <f t="shared" si="6"/>
        <v xml:space="preserve"> </v>
      </c>
      <c r="E101" s="15" t="str">
        <f t="shared" si="7"/>
        <v xml:space="preserve"> </v>
      </c>
      <c r="F101" s="15" t="str">
        <f t="shared" si="8"/>
        <v xml:space="preserve"> </v>
      </c>
    </row>
    <row r="102" spans="2:6" x14ac:dyDescent="0.25">
      <c r="B102" s="16" t="str">
        <f t="shared" si="9"/>
        <v xml:space="preserve"> </v>
      </c>
      <c r="C102" s="54" t="str">
        <f t="shared" si="5"/>
        <v xml:space="preserve"> </v>
      </c>
      <c r="D102" s="73" t="str">
        <f t="shared" si="6"/>
        <v xml:space="preserve"> </v>
      </c>
      <c r="E102" s="15" t="str">
        <f t="shared" si="7"/>
        <v xml:space="preserve"> </v>
      </c>
      <c r="F102" s="15" t="str">
        <f t="shared" si="8"/>
        <v xml:space="preserve"> </v>
      </c>
    </row>
    <row r="103" spans="2:6" x14ac:dyDescent="0.25">
      <c r="B103" s="16" t="str">
        <f t="shared" si="9"/>
        <v xml:space="preserve"> </v>
      </c>
      <c r="C103" s="54" t="str">
        <f t="shared" si="5"/>
        <v xml:space="preserve"> </v>
      </c>
      <c r="D103" s="73" t="str">
        <f t="shared" si="6"/>
        <v xml:space="preserve"> </v>
      </c>
      <c r="E103" s="15" t="str">
        <f t="shared" si="7"/>
        <v xml:space="preserve"> </v>
      </c>
      <c r="F103" s="15" t="str">
        <f t="shared" si="8"/>
        <v xml:space="preserve"> </v>
      </c>
    </row>
    <row r="104" spans="2:6" x14ac:dyDescent="0.25">
      <c r="B104" s="16" t="str">
        <f t="shared" si="9"/>
        <v xml:space="preserve"> </v>
      </c>
      <c r="C104" s="54" t="str">
        <f t="shared" si="5"/>
        <v xml:space="preserve"> </v>
      </c>
      <c r="D104" s="73" t="str">
        <f t="shared" si="6"/>
        <v xml:space="preserve"> </v>
      </c>
      <c r="E104" s="15" t="str">
        <f t="shared" si="7"/>
        <v xml:space="preserve"> </v>
      </c>
      <c r="F104" s="15" t="str">
        <f t="shared" si="8"/>
        <v xml:space="preserve"> </v>
      </c>
    </row>
    <row r="105" spans="2:6" x14ac:dyDescent="0.25">
      <c r="B105" s="16" t="str">
        <f t="shared" si="9"/>
        <v xml:space="preserve"> </v>
      </c>
      <c r="C105" s="54" t="str">
        <f t="shared" si="5"/>
        <v xml:space="preserve"> </v>
      </c>
      <c r="D105" s="73" t="str">
        <f t="shared" si="6"/>
        <v xml:space="preserve"> </v>
      </c>
      <c r="E105" s="15" t="str">
        <f t="shared" si="7"/>
        <v xml:space="preserve"> </v>
      </c>
      <c r="F105" s="15" t="str">
        <f t="shared" si="8"/>
        <v xml:space="preserve"> </v>
      </c>
    </row>
    <row r="106" spans="2:6" x14ac:dyDescent="0.25">
      <c r="B106" s="16" t="str">
        <f t="shared" si="9"/>
        <v xml:space="preserve"> </v>
      </c>
      <c r="C106" s="54" t="str">
        <f t="shared" si="5"/>
        <v xml:space="preserve"> </v>
      </c>
      <c r="D106" s="73" t="str">
        <f t="shared" si="6"/>
        <v xml:space="preserve"> </v>
      </c>
      <c r="E106" s="15" t="str">
        <f t="shared" si="7"/>
        <v xml:space="preserve"> </v>
      </c>
      <c r="F106" s="15" t="str">
        <f t="shared" si="8"/>
        <v xml:space="preserve"> </v>
      </c>
    </row>
    <row r="107" spans="2:6" x14ac:dyDescent="0.25">
      <c r="B107" s="16" t="str">
        <f t="shared" si="9"/>
        <v xml:space="preserve"> </v>
      </c>
      <c r="C107" s="54" t="str">
        <f t="shared" si="5"/>
        <v xml:space="preserve"> </v>
      </c>
      <c r="D107" s="73" t="str">
        <f t="shared" si="6"/>
        <v xml:space="preserve"> </v>
      </c>
      <c r="E107" s="15" t="str">
        <f t="shared" si="7"/>
        <v xml:space="preserve"> </v>
      </c>
      <c r="F107" s="15" t="str">
        <f t="shared" si="8"/>
        <v xml:space="preserve"> </v>
      </c>
    </row>
    <row r="108" spans="2:6" x14ac:dyDescent="0.25">
      <c r="B108" s="16" t="str">
        <f t="shared" si="9"/>
        <v xml:space="preserve"> </v>
      </c>
      <c r="C108" s="54" t="str">
        <f t="shared" si="5"/>
        <v xml:space="preserve"> </v>
      </c>
      <c r="D108" s="73" t="str">
        <f t="shared" si="6"/>
        <v xml:space="preserve"> </v>
      </c>
      <c r="E108" s="15" t="str">
        <f t="shared" si="7"/>
        <v xml:space="preserve"> </v>
      </c>
      <c r="F108" s="15" t="str">
        <f t="shared" si="8"/>
        <v xml:space="preserve"> </v>
      </c>
    </row>
    <row r="109" spans="2:6" x14ac:dyDescent="0.25">
      <c r="B109" s="16" t="str">
        <f t="shared" si="9"/>
        <v xml:space="preserve"> </v>
      </c>
      <c r="C109" s="54" t="str">
        <f t="shared" si="5"/>
        <v xml:space="preserve"> </v>
      </c>
      <c r="D109" s="73" t="str">
        <f t="shared" si="6"/>
        <v xml:space="preserve"> </v>
      </c>
      <c r="E109" s="15" t="str">
        <f t="shared" si="7"/>
        <v xml:space="preserve"> </v>
      </c>
      <c r="F109" s="15" t="str">
        <f t="shared" si="8"/>
        <v xml:space="preserve"> </v>
      </c>
    </row>
    <row r="110" spans="2:6" x14ac:dyDescent="0.25">
      <c r="B110" s="16" t="str">
        <f t="shared" si="9"/>
        <v xml:space="preserve"> </v>
      </c>
      <c r="C110" s="54" t="str">
        <f t="shared" si="5"/>
        <v xml:space="preserve"> </v>
      </c>
      <c r="D110" s="73" t="str">
        <f t="shared" si="6"/>
        <v xml:space="preserve"> </v>
      </c>
      <c r="E110" s="15" t="str">
        <f t="shared" si="7"/>
        <v xml:space="preserve"> </v>
      </c>
      <c r="F110" s="15" t="str">
        <f t="shared" si="8"/>
        <v xml:space="preserve"> </v>
      </c>
    </row>
    <row r="111" spans="2:6" x14ac:dyDescent="0.25">
      <c r="B111" s="16" t="str">
        <f t="shared" si="9"/>
        <v xml:space="preserve"> </v>
      </c>
      <c r="C111" s="54" t="str">
        <f t="shared" si="5"/>
        <v xml:space="preserve"> </v>
      </c>
      <c r="D111" s="73" t="str">
        <f t="shared" si="6"/>
        <v xml:space="preserve"> </v>
      </c>
      <c r="E111" s="15" t="str">
        <f t="shared" si="7"/>
        <v xml:space="preserve"> </v>
      </c>
      <c r="F111" s="15" t="str">
        <f t="shared" si="8"/>
        <v xml:space="preserve"> </v>
      </c>
    </row>
    <row r="112" spans="2:6" x14ac:dyDescent="0.25">
      <c r="B112" s="16" t="str">
        <f t="shared" si="9"/>
        <v xml:space="preserve"> </v>
      </c>
      <c r="C112" s="54" t="str">
        <f t="shared" si="5"/>
        <v xml:space="preserve"> </v>
      </c>
      <c r="D112" s="73" t="str">
        <f t="shared" si="6"/>
        <v xml:space="preserve"> </v>
      </c>
      <c r="E112" s="15" t="str">
        <f t="shared" si="7"/>
        <v xml:space="preserve"> </v>
      </c>
      <c r="F112" s="15" t="str">
        <f t="shared" si="8"/>
        <v xml:space="preserve"> </v>
      </c>
    </row>
    <row r="113" spans="2:6" x14ac:dyDescent="0.25">
      <c r="B113" s="16" t="str">
        <f t="shared" si="9"/>
        <v xml:space="preserve"> </v>
      </c>
      <c r="C113" s="54" t="str">
        <f t="shared" si="5"/>
        <v xml:space="preserve"> </v>
      </c>
      <c r="D113" s="73" t="str">
        <f t="shared" si="6"/>
        <v xml:space="preserve"> </v>
      </c>
      <c r="E113" s="15" t="str">
        <f t="shared" si="7"/>
        <v xml:space="preserve"> </v>
      </c>
      <c r="F113" s="15" t="str">
        <f t="shared" si="8"/>
        <v xml:space="preserve"> </v>
      </c>
    </row>
    <row r="114" spans="2:6" x14ac:dyDescent="0.25">
      <c r="B114" s="16" t="str">
        <f t="shared" si="9"/>
        <v xml:space="preserve"> </v>
      </c>
      <c r="C114" s="54" t="str">
        <f t="shared" si="5"/>
        <v xml:space="preserve"> </v>
      </c>
      <c r="D114" s="73" t="str">
        <f t="shared" si="6"/>
        <v xml:space="preserve"> </v>
      </c>
      <c r="E114" s="15" t="str">
        <f t="shared" si="7"/>
        <v xml:space="preserve"> </v>
      </c>
      <c r="F114" s="15" t="str">
        <f t="shared" si="8"/>
        <v xml:space="preserve"> </v>
      </c>
    </row>
    <row r="115" spans="2:6" x14ac:dyDescent="0.25">
      <c r="B115" s="16" t="str">
        <f t="shared" si="9"/>
        <v xml:space="preserve"> </v>
      </c>
      <c r="C115" s="54" t="str">
        <f t="shared" si="5"/>
        <v xml:space="preserve"> </v>
      </c>
      <c r="D115" s="73" t="str">
        <f t="shared" si="6"/>
        <v xml:space="preserve"> </v>
      </c>
      <c r="E115" s="15" t="str">
        <f t="shared" si="7"/>
        <v xml:space="preserve"> </v>
      </c>
      <c r="F115" s="15" t="str">
        <f t="shared" si="8"/>
        <v xml:space="preserve"> </v>
      </c>
    </row>
    <row r="116" spans="2:6" x14ac:dyDescent="0.25">
      <c r="B116" s="16" t="str">
        <f t="shared" si="9"/>
        <v xml:space="preserve"> </v>
      </c>
      <c r="C116" s="54" t="str">
        <f t="shared" si="5"/>
        <v xml:space="preserve"> </v>
      </c>
      <c r="D116" s="73" t="str">
        <f t="shared" si="6"/>
        <v xml:space="preserve"> </v>
      </c>
      <c r="E116" s="15" t="str">
        <f t="shared" si="7"/>
        <v xml:space="preserve"> </v>
      </c>
      <c r="F116" s="15" t="str">
        <f t="shared" si="8"/>
        <v xml:space="preserve"> </v>
      </c>
    </row>
    <row r="117" spans="2:6" x14ac:dyDescent="0.25">
      <c r="B117" s="16" t="str">
        <f t="shared" si="9"/>
        <v xml:space="preserve"> </v>
      </c>
      <c r="C117" s="54" t="str">
        <f t="shared" si="5"/>
        <v xml:space="preserve"> </v>
      </c>
      <c r="D117" s="73" t="str">
        <f t="shared" si="6"/>
        <v xml:space="preserve"> </v>
      </c>
      <c r="E117" s="15" t="str">
        <f t="shared" si="7"/>
        <v xml:space="preserve"> </v>
      </c>
      <c r="F117" s="15" t="str">
        <f t="shared" si="8"/>
        <v xml:space="preserve"> </v>
      </c>
    </row>
    <row r="118" spans="2:6" x14ac:dyDescent="0.25">
      <c r="B118" s="16" t="str">
        <f t="shared" si="9"/>
        <v xml:space="preserve"> </v>
      </c>
      <c r="C118" s="54" t="str">
        <f t="shared" si="5"/>
        <v xml:space="preserve"> </v>
      </c>
      <c r="D118" s="73" t="str">
        <f t="shared" si="6"/>
        <v xml:space="preserve"> </v>
      </c>
      <c r="E118" s="15" t="str">
        <f t="shared" si="7"/>
        <v xml:space="preserve"> </v>
      </c>
      <c r="F118" s="15" t="str">
        <f t="shared" si="8"/>
        <v xml:space="preserve"> </v>
      </c>
    </row>
    <row r="119" spans="2:6" x14ac:dyDescent="0.25">
      <c r="B119" s="16" t="str">
        <f t="shared" si="9"/>
        <v xml:space="preserve"> </v>
      </c>
      <c r="C119" s="54" t="str">
        <f t="shared" si="5"/>
        <v xml:space="preserve"> </v>
      </c>
      <c r="D119" s="73" t="str">
        <f t="shared" si="6"/>
        <v xml:space="preserve"> </v>
      </c>
      <c r="E119" s="15" t="str">
        <f t="shared" si="7"/>
        <v xml:space="preserve"> </v>
      </c>
      <c r="F119" s="15" t="str">
        <f t="shared" si="8"/>
        <v xml:space="preserve"> </v>
      </c>
    </row>
    <row r="120" spans="2:6" x14ac:dyDescent="0.25">
      <c r="B120" s="16" t="str">
        <f t="shared" si="9"/>
        <v xml:space="preserve"> </v>
      </c>
      <c r="C120" s="54" t="str">
        <f t="shared" si="5"/>
        <v xml:space="preserve"> </v>
      </c>
      <c r="D120" s="73" t="str">
        <f t="shared" si="6"/>
        <v xml:space="preserve"> </v>
      </c>
      <c r="E120" s="15" t="str">
        <f t="shared" si="7"/>
        <v xml:space="preserve"> </v>
      </c>
      <c r="F120" s="15" t="str">
        <f t="shared" si="8"/>
        <v xml:space="preserve"> </v>
      </c>
    </row>
    <row r="121" spans="2:6" x14ac:dyDescent="0.25">
      <c r="B121" s="16" t="str">
        <f t="shared" si="9"/>
        <v xml:space="preserve"> </v>
      </c>
      <c r="C121" s="54" t="str">
        <f t="shared" si="5"/>
        <v xml:space="preserve"> </v>
      </c>
      <c r="D121" s="73" t="str">
        <f t="shared" si="6"/>
        <v xml:space="preserve"> </v>
      </c>
      <c r="E121" s="15" t="str">
        <f t="shared" si="7"/>
        <v xml:space="preserve"> </v>
      </c>
      <c r="F121" s="15" t="str">
        <f t="shared" si="8"/>
        <v xml:space="preserve"> </v>
      </c>
    </row>
    <row r="122" spans="2:6" x14ac:dyDescent="0.25">
      <c r="B122" s="16" t="str">
        <f t="shared" si="9"/>
        <v xml:space="preserve"> </v>
      </c>
      <c r="C122" s="54" t="str">
        <f t="shared" si="5"/>
        <v xml:space="preserve"> </v>
      </c>
      <c r="D122" s="73" t="str">
        <f t="shared" si="6"/>
        <v xml:space="preserve"> </v>
      </c>
      <c r="E122" s="15" t="str">
        <f t="shared" si="7"/>
        <v xml:space="preserve"> </v>
      </c>
      <c r="F122" s="15" t="str">
        <f t="shared" si="8"/>
        <v xml:space="preserve"> </v>
      </c>
    </row>
    <row r="123" spans="2:6" x14ac:dyDescent="0.25">
      <c r="B123" s="16" t="str">
        <f t="shared" si="9"/>
        <v xml:space="preserve"> </v>
      </c>
      <c r="C123" s="54" t="str">
        <f t="shared" si="5"/>
        <v xml:space="preserve"> </v>
      </c>
      <c r="D123" s="73" t="str">
        <f t="shared" si="6"/>
        <v xml:space="preserve"> </v>
      </c>
      <c r="E123" s="15" t="str">
        <f t="shared" si="7"/>
        <v xml:space="preserve"> </v>
      </c>
      <c r="F123" s="15" t="str">
        <f t="shared" si="8"/>
        <v xml:space="preserve"> </v>
      </c>
    </row>
    <row r="124" spans="2:6" x14ac:dyDescent="0.25">
      <c r="B124" s="16" t="str">
        <f t="shared" si="9"/>
        <v xml:space="preserve"> </v>
      </c>
      <c r="C124" s="54" t="str">
        <f t="shared" si="5"/>
        <v xml:space="preserve"> </v>
      </c>
      <c r="D124" s="73" t="str">
        <f t="shared" si="6"/>
        <v xml:space="preserve"> </v>
      </c>
      <c r="E124" s="15" t="str">
        <f t="shared" si="7"/>
        <v xml:space="preserve"> </v>
      </c>
      <c r="F124" s="15" t="str">
        <f t="shared" si="8"/>
        <v xml:space="preserve"> </v>
      </c>
    </row>
    <row r="125" spans="2:6" x14ac:dyDescent="0.25">
      <c r="B125" s="16" t="str">
        <f t="shared" si="9"/>
        <v xml:space="preserve"> </v>
      </c>
      <c r="C125" s="54" t="str">
        <f t="shared" si="5"/>
        <v xml:space="preserve"> </v>
      </c>
      <c r="D125" s="73" t="str">
        <f t="shared" si="6"/>
        <v xml:space="preserve"> </v>
      </c>
      <c r="E125" s="15" t="str">
        <f t="shared" si="7"/>
        <v xml:space="preserve"> </v>
      </c>
      <c r="F125" s="15" t="str">
        <f t="shared" si="8"/>
        <v xml:space="preserve"> </v>
      </c>
    </row>
    <row r="126" spans="2:6" x14ac:dyDescent="0.25">
      <c r="B126" s="16" t="str">
        <f t="shared" si="9"/>
        <v xml:space="preserve"> </v>
      </c>
      <c r="C126" s="54" t="str">
        <f t="shared" si="5"/>
        <v xml:space="preserve"> </v>
      </c>
      <c r="D126" s="73" t="str">
        <f t="shared" si="6"/>
        <v xml:space="preserve"> </v>
      </c>
      <c r="E126" s="15" t="str">
        <f t="shared" si="7"/>
        <v xml:space="preserve"> </v>
      </c>
      <c r="F126" s="15" t="str">
        <f t="shared" si="8"/>
        <v xml:space="preserve"> </v>
      </c>
    </row>
    <row r="127" spans="2:6" x14ac:dyDescent="0.25">
      <c r="B127" s="16" t="str">
        <f t="shared" si="9"/>
        <v xml:space="preserve"> </v>
      </c>
      <c r="C127" s="54" t="str">
        <f t="shared" si="5"/>
        <v xml:space="preserve"> </v>
      </c>
      <c r="D127" s="73" t="str">
        <f t="shared" si="6"/>
        <v xml:space="preserve"> </v>
      </c>
      <c r="E127" s="15" t="str">
        <f t="shared" si="7"/>
        <v xml:space="preserve"> </v>
      </c>
      <c r="F127" s="15" t="str">
        <f t="shared" si="8"/>
        <v xml:space="preserve"> </v>
      </c>
    </row>
    <row r="128" spans="2:6" x14ac:dyDescent="0.25">
      <c r="B128" s="16" t="str">
        <f t="shared" si="9"/>
        <v xml:space="preserve"> </v>
      </c>
      <c r="C128" s="54" t="str">
        <f t="shared" si="5"/>
        <v xml:space="preserve"> </v>
      </c>
      <c r="D128" s="73" t="str">
        <f t="shared" si="6"/>
        <v xml:space="preserve"> </v>
      </c>
      <c r="E128" s="15" t="str">
        <f t="shared" si="7"/>
        <v xml:space="preserve"> </v>
      </c>
      <c r="F128" s="15" t="str">
        <f t="shared" si="8"/>
        <v xml:space="preserve"> </v>
      </c>
    </row>
    <row r="129" spans="2:6" x14ac:dyDescent="0.25">
      <c r="B129" s="16" t="str">
        <f t="shared" si="9"/>
        <v xml:space="preserve"> </v>
      </c>
      <c r="C129" s="54" t="str">
        <f t="shared" si="5"/>
        <v xml:space="preserve"> </v>
      </c>
      <c r="D129" s="73" t="str">
        <f t="shared" si="6"/>
        <v xml:space="preserve"> </v>
      </c>
      <c r="E129" s="15" t="str">
        <f t="shared" si="7"/>
        <v xml:space="preserve"> </v>
      </c>
      <c r="F129" s="15" t="str">
        <f t="shared" si="8"/>
        <v xml:space="preserve"> </v>
      </c>
    </row>
    <row r="130" spans="2:6" x14ac:dyDescent="0.25">
      <c r="B130" s="16" t="str">
        <f t="shared" si="9"/>
        <v xml:space="preserve"> </v>
      </c>
      <c r="C130" s="54" t="str">
        <f t="shared" si="5"/>
        <v xml:space="preserve"> </v>
      </c>
      <c r="D130" s="73" t="str">
        <f t="shared" si="6"/>
        <v xml:space="preserve"> </v>
      </c>
      <c r="E130" s="15" t="str">
        <f t="shared" si="7"/>
        <v xml:space="preserve"> </v>
      </c>
      <c r="F130" s="15" t="str">
        <f t="shared" si="8"/>
        <v xml:space="preserve"> </v>
      </c>
    </row>
    <row r="131" spans="2:6" x14ac:dyDescent="0.25">
      <c r="B131" s="16" t="str">
        <f t="shared" si="9"/>
        <v xml:space="preserve"> </v>
      </c>
      <c r="C131" s="54" t="str">
        <f t="shared" si="5"/>
        <v xml:space="preserve"> </v>
      </c>
      <c r="D131" s="73" t="str">
        <f t="shared" si="6"/>
        <v xml:space="preserve"> </v>
      </c>
      <c r="E131" s="15" t="str">
        <f t="shared" si="7"/>
        <v xml:space="preserve"> </v>
      </c>
      <c r="F131" s="15" t="str">
        <f t="shared" si="8"/>
        <v xml:space="preserve"> </v>
      </c>
    </row>
    <row r="132" spans="2:6" x14ac:dyDescent="0.25">
      <c r="B132" s="16" t="str">
        <f t="shared" si="9"/>
        <v xml:space="preserve"> </v>
      </c>
      <c r="C132" s="54" t="str">
        <f t="shared" si="5"/>
        <v xml:space="preserve"> </v>
      </c>
      <c r="D132" s="73" t="str">
        <f t="shared" si="6"/>
        <v xml:space="preserve"> </v>
      </c>
      <c r="E132" s="15" t="str">
        <f t="shared" si="7"/>
        <v xml:space="preserve"> </v>
      </c>
      <c r="F132" s="15" t="str">
        <f t="shared" si="8"/>
        <v xml:space="preserve"> </v>
      </c>
    </row>
    <row r="133" spans="2:6" x14ac:dyDescent="0.25">
      <c r="B133" s="16" t="str">
        <f t="shared" si="9"/>
        <v xml:space="preserve"> </v>
      </c>
      <c r="C133" s="54" t="str">
        <f t="shared" si="5"/>
        <v xml:space="preserve"> </v>
      </c>
      <c r="D133" s="73" t="str">
        <f t="shared" si="6"/>
        <v xml:space="preserve"> </v>
      </c>
      <c r="E133" s="15" t="str">
        <f t="shared" si="7"/>
        <v xml:space="preserve"> </v>
      </c>
      <c r="F133" s="15" t="str">
        <f t="shared" si="8"/>
        <v xml:space="preserve"> </v>
      </c>
    </row>
    <row r="134" spans="2:6" x14ac:dyDescent="0.25">
      <c r="B134" s="16" t="str">
        <f t="shared" si="9"/>
        <v xml:space="preserve"> </v>
      </c>
      <c r="C134" s="54" t="str">
        <f t="shared" si="5"/>
        <v xml:space="preserve"> </v>
      </c>
      <c r="D134" s="73" t="str">
        <f t="shared" si="6"/>
        <v xml:space="preserve"> </v>
      </c>
      <c r="E134" s="15" t="str">
        <f t="shared" si="7"/>
        <v xml:space="preserve"> </v>
      </c>
      <c r="F134" s="15" t="str">
        <f t="shared" si="8"/>
        <v xml:space="preserve"> </v>
      </c>
    </row>
    <row r="135" spans="2:6" x14ac:dyDescent="0.25">
      <c r="B135" s="16" t="str">
        <f t="shared" si="9"/>
        <v xml:space="preserve"> </v>
      </c>
      <c r="C135" s="54" t="str">
        <f t="shared" si="5"/>
        <v xml:space="preserve"> </v>
      </c>
      <c r="D135" s="73" t="str">
        <f t="shared" si="6"/>
        <v xml:space="preserve"> </v>
      </c>
      <c r="E135" s="15" t="str">
        <f t="shared" si="7"/>
        <v xml:space="preserve"> </v>
      </c>
      <c r="F135" s="15" t="str">
        <f t="shared" si="8"/>
        <v xml:space="preserve"> </v>
      </c>
    </row>
    <row r="136" spans="2:6" x14ac:dyDescent="0.25">
      <c r="B136" s="16" t="str">
        <f t="shared" si="9"/>
        <v xml:space="preserve"> </v>
      </c>
      <c r="C136" s="54" t="str">
        <f t="shared" si="5"/>
        <v xml:space="preserve"> </v>
      </c>
      <c r="D136" s="73" t="str">
        <f t="shared" si="6"/>
        <v xml:space="preserve"> </v>
      </c>
      <c r="E136" s="15" t="str">
        <f t="shared" si="7"/>
        <v xml:space="preserve"> </v>
      </c>
      <c r="F136" s="15" t="str">
        <f t="shared" si="8"/>
        <v xml:space="preserve"> </v>
      </c>
    </row>
    <row r="137" spans="2:6" x14ac:dyDescent="0.25">
      <c r="B137" s="16" t="str">
        <f t="shared" si="9"/>
        <v xml:space="preserve"> </v>
      </c>
      <c r="C137" s="54" t="str">
        <f t="shared" si="5"/>
        <v xml:space="preserve"> </v>
      </c>
      <c r="D137" s="73" t="str">
        <f t="shared" si="6"/>
        <v xml:space="preserve"> </v>
      </c>
      <c r="E137" s="15" t="str">
        <f t="shared" si="7"/>
        <v xml:space="preserve"> </v>
      </c>
      <c r="F137" s="15" t="str">
        <f t="shared" si="8"/>
        <v xml:space="preserve"> </v>
      </c>
    </row>
    <row r="138" spans="2:6" x14ac:dyDescent="0.25">
      <c r="B138" s="16" t="str">
        <f t="shared" si="9"/>
        <v xml:space="preserve"> </v>
      </c>
      <c r="C138" s="54" t="str">
        <f t="shared" si="5"/>
        <v xml:space="preserve"> </v>
      </c>
      <c r="D138" s="73" t="str">
        <f t="shared" si="6"/>
        <v xml:space="preserve"> </v>
      </c>
      <c r="E138" s="15" t="str">
        <f t="shared" si="7"/>
        <v xml:space="preserve"> </v>
      </c>
      <c r="F138" s="15" t="str">
        <f t="shared" si="8"/>
        <v xml:space="preserve"> </v>
      </c>
    </row>
    <row r="139" spans="2:6" x14ac:dyDescent="0.25">
      <c r="B139" s="16" t="str">
        <f t="shared" si="9"/>
        <v xml:space="preserve"> </v>
      </c>
      <c r="C139" s="54" t="str">
        <f t="shared" si="5"/>
        <v xml:space="preserve"> </v>
      </c>
      <c r="D139" s="73" t="str">
        <f t="shared" si="6"/>
        <v xml:space="preserve"> </v>
      </c>
      <c r="E139" s="15" t="str">
        <f t="shared" si="7"/>
        <v xml:space="preserve"> </v>
      </c>
      <c r="F139" s="15" t="str">
        <f t="shared" si="8"/>
        <v xml:space="preserve"> </v>
      </c>
    </row>
    <row r="140" spans="2:6" x14ac:dyDescent="0.25">
      <c r="B140" s="16" t="str">
        <f t="shared" si="9"/>
        <v xml:space="preserve"> </v>
      </c>
      <c r="C140" s="54" t="str">
        <f t="shared" si="5"/>
        <v xml:space="preserve"> </v>
      </c>
      <c r="D140" s="73" t="str">
        <f t="shared" si="6"/>
        <v xml:space="preserve"> </v>
      </c>
      <c r="E140" s="15" t="str">
        <f t="shared" si="7"/>
        <v xml:space="preserve"> </v>
      </c>
      <c r="F140" s="15" t="str">
        <f t="shared" si="8"/>
        <v xml:space="preserve"> </v>
      </c>
    </row>
    <row r="141" spans="2:6" x14ac:dyDescent="0.25">
      <c r="B141" s="16" t="str">
        <f t="shared" si="9"/>
        <v xml:space="preserve"> </v>
      </c>
      <c r="C141" s="54" t="str">
        <f t="shared" ref="C141:C204" si="10">IF(B141&lt;=$D$6,-PMT($D$5,$D$6,$D$4,0)," ")</f>
        <v xml:space="preserve"> </v>
      </c>
      <c r="D141" s="73" t="str">
        <f t="shared" ref="D141:D204" si="11">IF(B141&lt;=$D$6,-IPMT($D$5,B141,$D$6,$D$4)," ")</f>
        <v xml:space="preserve"> </v>
      </c>
      <c r="E141" s="15" t="str">
        <f t="shared" ref="E141:E204" si="12">IF(B141&lt;=$D$6,-PPMT($D$5,B141,$D$6,$D$4)," ")</f>
        <v xml:space="preserve"> </v>
      </c>
      <c r="F141" s="15" t="str">
        <f t="shared" ref="F141:F204" si="13">IF(B141&lt;=$D$6,(F140-E141)," ")</f>
        <v xml:space="preserve"> </v>
      </c>
    </row>
    <row r="142" spans="2:6" x14ac:dyDescent="0.25">
      <c r="B142" s="16" t="str">
        <f t="shared" ref="B142:B205" si="14">IF(B141=" "," ",IF(B141&lt;$D$6,B141+1," "))</f>
        <v xml:space="preserve"> </v>
      </c>
      <c r="C142" s="54" t="str">
        <f t="shared" si="10"/>
        <v xml:space="preserve"> </v>
      </c>
      <c r="D142" s="73" t="str">
        <f t="shared" si="11"/>
        <v xml:space="preserve"> </v>
      </c>
      <c r="E142" s="15" t="str">
        <f t="shared" si="12"/>
        <v xml:space="preserve"> </v>
      </c>
      <c r="F142" s="15" t="str">
        <f t="shared" si="13"/>
        <v xml:space="preserve"> </v>
      </c>
    </row>
    <row r="143" spans="2:6" x14ac:dyDescent="0.25">
      <c r="B143" s="16" t="str">
        <f t="shared" si="14"/>
        <v xml:space="preserve"> </v>
      </c>
      <c r="C143" s="54" t="str">
        <f t="shared" si="10"/>
        <v xml:space="preserve"> </v>
      </c>
      <c r="D143" s="73" t="str">
        <f t="shared" si="11"/>
        <v xml:space="preserve"> </v>
      </c>
      <c r="E143" s="15" t="str">
        <f t="shared" si="12"/>
        <v xml:space="preserve"> </v>
      </c>
      <c r="F143" s="15" t="str">
        <f t="shared" si="13"/>
        <v xml:space="preserve"> </v>
      </c>
    </row>
    <row r="144" spans="2:6" x14ac:dyDescent="0.25">
      <c r="B144" s="16" t="str">
        <f t="shared" si="14"/>
        <v xml:space="preserve"> </v>
      </c>
      <c r="C144" s="54" t="str">
        <f t="shared" si="10"/>
        <v xml:space="preserve"> </v>
      </c>
      <c r="D144" s="73" t="str">
        <f t="shared" si="11"/>
        <v xml:space="preserve"> </v>
      </c>
      <c r="E144" s="15" t="str">
        <f t="shared" si="12"/>
        <v xml:space="preserve"> </v>
      </c>
      <c r="F144" s="15" t="str">
        <f t="shared" si="13"/>
        <v xml:space="preserve"> </v>
      </c>
    </row>
    <row r="145" spans="2:6" x14ac:dyDescent="0.25">
      <c r="B145" s="16" t="str">
        <f t="shared" si="14"/>
        <v xml:space="preserve"> </v>
      </c>
      <c r="C145" s="54" t="str">
        <f t="shared" si="10"/>
        <v xml:space="preserve"> </v>
      </c>
      <c r="D145" s="73" t="str">
        <f t="shared" si="11"/>
        <v xml:space="preserve"> </v>
      </c>
      <c r="E145" s="15" t="str">
        <f t="shared" si="12"/>
        <v xml:space="preserve"> </v>
      </c>
      <c r="F145" s="15" t="str">
        <f t="shared" si="13"/>
        <v xml:space="preserve"> </v>
      </c>
    </row>
    <row r="146" spans="2:6" x14ac:dyDescent="0.25">
      <c r="B146" s="16" t="str">
        <f t="shared" si="14"/>
        <v xml:space="preserve"> </v>
      </c>
      <c r="C146" s="54" t="str">
        <f t="shared" si="10"/>
        <v xml:space="preserve"> </v>
      </c>
      <c r="D146" s="73" t="str">
        <f t="shared" si="11"/>
        <v xml:space="preserve"> </v>
      </c>
      <c r="E146" s="15" t="str">
        <f t="shared" si="12"/>
        <v xml:space="preserve"> </v>
      </c>
      <c r="F146" s="15" t="str">
        <f t="shared" si="13"/>
        <v xml:space="preserve"> </v>
      </c>
    </row>
    <row r="147" spans="2:6" x14ac:dyDescent="0.25">
      <c r="B147" s="16" t="str">
        <f t="shared" si="14"/>
        <v xml:space="preserve"> </v>
      </c>
      <c r="C147" s="54" t="str">
        <f t="shared" si="10"/>
        <v xml:space="preserve"> </v>
      </c>
      <c r="D147" s="73" t="str">
        <f t="shared" si="11"/>
        <v xml:space="preserve"> </v>
      </c>
      <c r="E147" s="15" t="str">
        <f t="shared" si="12"/>
        <v xml:space="preserve"> </v>
      </c>
      <c r="F147" s="15" t="str">
        <f t="shared" si="13"/>
        <v xml:space="preserve"> </v>
      </c>
    </row>
    <row r="148" spans="2:6" x14ac:dyDescent="0.25">
      <c r="B148" s="16" t="str">
        <f t="shared" si="14"/>
        <v xml:space="preserve"> </v>
      </c>
      <c r="C148" s="54" t="str">
        <f t="shared" si="10"/>
        <v xml:space="preserve"> </v>
      </c>
      <c r="D148" s="73" t="str">
        <f t="shared" si="11"/>
        <v xml:space="preserve"> </v>
      </c>
      <c r="E148" s="15" t="str">
        <f t="shared" si="12"/>
        <v xml:space="preserve"> </v>
      </c>
      <c r="F148" s="15" t="str">
        <f t="shared" si="13"/>
        <v xml:space="preserve"> </v>
      </c>
    </row>
    <row r="149" spans="2:6" x14ac:dyDescent="0.25">
      <c r="B149" s="16" t="str">
        <f t="shared" si="14"/>
        <v xml:space="preserve"> </v>
      </c>
      <c r="C149" s="54" t="str">
        <f t="shared" si="10"/>
        <v xml:space="preserve"> </v>
      </c>
      <c r="D149" s="73" t="str">
        <f t="shared" si="11"/>
        <v xml:space="preserve"> </v>
      </c>
      <c r="E149" s="15" t="str">
        <f t="shared" si="12"/>
        <v xml:space="preserve"> </v>
      </c>
      <c r="F149" s="15" t="str">
        <f t="shared" si="13"/>
        <v xml:space="preserve"> </v>
      </c>
    </row>
    <row r="150" spans="2:6" x14ac:dyDescent="0.25">
      <c r="B150" s="16" t="str">
        <f t="shared" si="14"/>
        <v xml:space="preserve"> </v>
      </c>
      <c r="C150" s="54" t="str">
        <f t="shared" si="10"/>
        <v xml:space="preserve"> </v>
      </c>
      <c r="D150" s="73" t="str">
        <f t="shared" si="11"/>
        <v xml:space="preserve"> </v>
      </c>
      <c r="E150" s="15" t="str">
        <f t="shared" si="12"/>
        <v xml:space="preserve"> </v>
      </c>
      <c r="F150" s="15" t="str">
        <f t="shared" si="13"/>
        <v xml:space="preserve"> </v>
      </c>
    </row>
    <row r="151" spans="2:6" x14ac:dyDescent="0.25">
      <c r="B151" s="16" t="str">
        <f t="shared" si="14"/>
        <v xml:space="preserve"> </v>
      </c>
      <c r="C151" s="54" t="str">
        <f t="shared" si="10"/>
        <v xml:space="preserve"> </v>
      </c>
      <c r="D151" s="73" t="str">
        <f t="shared" si="11"/>
        <v xml:space="preserve"> </v>
      </c>
      <c r="E151" s="15" t="str">
        <f t="shared" si="12"/>
        <v xml:space="preserve"> </v>
      </c>
      <c r="F151" s="15" t="str">
        <f t="shared" si="13"/>
        <v xml:space="preserve"> </v>
      </c>
    </row>
    <row r="152" spans="2:6" x14ac:dyDescent="0.25">
      <c r="B152" s="16" t="str">
        <f t="shared" si="14"/>
        <v xml:space="preserve"> </v>
      </c>
      <c r="C152" s="54" t="str">
        <f t="shared" si="10"/>
        <v xml:space="preserve"> </v>
      </c>
      <c r="D152" s="73" t="str">
        <f t="shared" si="11"/>
        <v xml:space="preserve"> </v>
      </c>
      <c r="E152" s="15" t="str">
        <f t="shared" si="12"/>
        <v xml:space="preserve"> </v>
      </c>
      <c r="F152" s="15" t="str">
        <f t="shared" si="13"/>
        <v xml:space="preserve"> </v>
      </c>
    </row>
    <row r="153" spans="2:6" x14ac:dyDescent="0.25">
      <c r="B153" s="16" t="str">
        <f t="shared" si="14"/>
        <v xml:space="preserve"> </v>
      </c>
      <c r="C153" s="54" t="str">
        <f t="shared" si="10"/>
        <v xml:space="preserve"> </v>
      </c>
      <c r="D153" s="73" t="str">
        <f t="shared" si="11"/>
        <v xml:space="preserve"> </v>
      </c>
      <c r="E153" s="15" t="str">
        <f t="shared" si="12"/>
        <v xml:space="preserve"> </v>
      </c>
      <c r="F153" s="15" t="str">
        <f t="shared" si="13"/>
        <v xml:space="preserve"> </v>
      </c>
    </row>
    <row r="154" spans="2:6" x14ac:dyDescent="0.25">
      <c r="B154" s="16" t="str">
        <f t="shared" si="14"/>
        <v xml:space="preserve"> </v>
      </c>
      <c r="C154" s="54" t="str">
        <f t="shared" si="10"/>
        <v xml:space="preserve"> </v>
      </c>
      <c r="D154" s="73" t="str">
        <f t="shared" si="11"/>
        <v xml:space="preserve"> </v>
      </c>
      <c r="E154" s="15" t="str">
        <f t="shared" si="12"/>
        <v xml:space="preserve"> </v>
      </c>
      <c r="F154" s="15" t="str">
        <f t="shared" si="13"/>
        <v xml:space="preserve"> </v>
      </c>
    </row>
    <row r="155" spans="2:6" x14ac:dyDescent="0.25">
      <c r="B155" s="16" t="str">
        <f t="shared" si="14"/>
        <v xml:space="preserve"> </v>
      </c>
      <c r="C155" s="54" t="str">
        <f t="shared" si="10"/>
        <v xml:space="preserve"> </v>
      </c>
      <c r="D155" s="73" t="str">
        <f t="shared" si="11"/>
        <v xml:space="preserve"> </v>
      </c>
      <c r="E155" s="15" t="str">
        <f t="shared" si="12"/>
        <v xml:space="preserve"> </v>
      </c>
      <c r="F155" s="15" t="str">
        <f t="shared" si="13"/>
        <v xml:space="preserve"> </v>
      </c>
    </row>
    <row r="156" spans="2:6" x14ac:dyDescent="0.25">
      <c r="B156" s="16" t="str">
        <f t="shared" si="14"/>
        <v xml:space="preserve"> </v>
      </c>
      <c r="C156" s="54" t="str">
        <f t="shared" si="10"/>
        <v xml:space="preserve"> </v>
      </c>
      <c r="D156" s="73" t="str">
        <f t="shared" si="11"/>
        <v xml:space="preserve"> </v>
      </c>
      <c r="E156" s="15" t="str">
        <f t="shared" si="12"/>
        <v xml:space="preserve"> </v>
      </c>
      <c r="F156" s="15" t="str">
        <f t="shared" si="13"/>
        <v xml:space="preserve"> </v>
      </c>
    </row>
    <row r="157" spans="2:6" x14ac:dyDescent="0.25">
      <c r="B157" s="16" t="str">
        <f t="shared" si="14"/>
        <v xml:space="preserve"> </v>
      </c>
      <c r="C157" s="54" t="str">
        <f t="shared" si="10"/>
        <v xml:space="preserve"> </v>
      </c>
      <c r="D157" s="73" t="str">
        <f t="shared" si="11"/>
        <v xml:space="preserve"> </v>
      </c>
      <c r="E157" s="15" t="str">
        <f t="shared" si="12"/>
        <v xml:space="preserve"> </v>
      </c>
      <c r="F157" s="15" t="str">
        <f t="shared" si="13"/>
        <v xml:space="preserve"> </v>
      </c>
    </row>
    <row r="158" spans="2:6" x14ac:dyDescent="0.25">
      <c r="B158" s="16" t="str">
        <f t="shared" si="14"/>
        <v xml:space="preserve"> </v>
      </c>
      <c r="C158" s="54" t="str">
        <f t="shared" si="10"/>
        <v xml:space="preserve"> </v>
      </c>
      <c r="D158" s="73" t="str">
        <f t="shared" si="11"/>
        <v xml:space="preserve"> </v>
      </c>
      <c r="E158" s="15" t="str">
        <f t="shared" si="12"/>
        <v xml:space="preserve"> </v>
      </c>
      <c r="F158" s="15" t="str">
        <f t="shared" si="13"/>
        <v xml:space="preserve"> </v>
      </c>
    </row>
    <row r="159" spans="2:6" x14ac:dyDescent="0.25">
      <c r="B159" s="16" t="str">
        <f t="shared" si="14"/>
        <v xml:space="preserve"> </v>
      </c>
      <c r="C159" s="54" t="str">
        <f t="shared" si="10"/>
        <v xml:space="preserve"> </v>
      </c>
      <c r="D159" s="73" t="str">
        <f t="shared" si="11"/>
        <v xml:space="preserve"> </v>
      </c>
      <c r="E159" s="15" t="str">
        <f t="shared" si="12"/>
        <v xml:space="preserve"> </v>
      </c>
      <c r="F159" s="15" t="str">
        <f t="shared" si="13"/>
        <v xml:space="preserve"> </v>
      </c>
    </row>
    <row r="160" spans="2:6" x14ac:dyDescent="0.25">
      <c r="B160" s="16" t="str">
        <f t="shared" si="14"/>
        <v xml:space="preserve"> </v>
      </c>
      <c r="C160" s="54" t="str">
        <f t="shared" si="10"/>
        <v xml:space="preserve"> </v>
      </c>
      <c r="D160" s="73" t="str">
        <f t="shared" si="11"/>
        <v xml:space="preserve"> </v>
      </c>
      <c r="E160" s="15" t="str">
        <f t="shared" si="12"/>
        <v xml:space="preserve"> </v>
      </c>
      <c r="F160" s="15" t="str">
        <f t="shared" si="13"/>
        <v xml:space="preserve"> </v>
      </c>
    </row>
    <row r="161" spans="2:6" x14ac:dyDescent="0.25">
      <c r="B161" s="16" t="str">
        <f t="shared" si="14"/>
        <v xml:space="preserve"> </v>
      </c>
      <c r="C161" s="54" t="str">
        <f t="shared" si="10"/>
        <v xml:space="preserve"> </v>
      </c>
      <c r="D161" s="73" t="str">
        <f t="shared" si="11"/>
        <v xml:space="preserve"> </v>
      </c>
      <c r="E161" s="15" t="str">
        <f t="shared" si="12"/>
        <v xml:space="preserve"> </v>
      </c>
      <c r="F161" s="15" t="str">
        <f t="shared" si="13"/>
        <v xml:space="preserve"> </v>
      </c>
    </row>
    <row r="162" spans="2:6" x14ac:dyDescent="0.25">
      <c r="B162" s="16" t="str">
        <f t="shared" si="14"/>
        <v xml:space="preserve"> </v>
      </c>
      <c r="C162" s="54" t="str">
        <f t="shared" si="10"/>
        <v xml:space="preserve"> </v>
      </c>
      <c r="D162" s="73" t="str">
        <f t="shared" si="11"/>
        <v xml:space="preserve"> </v>
      </c>
      <c r="E162" s="15" t="str">
        <f t="shared" si="12"/>
        <v xml:space="preserve"> </v>
      </c>
      <c r="F162" s="15" t="str">
        <f t="shared" si="13"/>
        <v xml:space="preserve"> </v>
      </c>
    </row>
    <row r="163" spans="2:6" x14ac:dyDescent="0.25">
      <c r="B163" s="16" t="str">
        <f t="shared" si="14"/>
        <v xml:space="preserve"> </v>
      </c>
      <c r="C163" s="54" t="str">
        <f t="shared" si="10"/>
        <v xml:space="preserve"> </v>
      </c>
      <c r="D163" s="73" t="str">
        <f t="shared" si="11"/>
        <v xml:space="preserve"> </v>
      </c>
      <c r="E163" s="15" t="str">
        <f t="shared" si="12"/>
        <v xml:space="preserve"> </v>
      </c>
      <c r="F163" s="15" t="str">
        <f t="shared" si="13"/>
        <v xml:space="preserve"> </v>
      </c>
    </row>
    <row r="164" spans="2:6" x14ac:dyDescent="0.25">
      <c r="B164" s="16" t="str">
        <f t="shared" si="14"/>
        <v xml:space="preserve"> </v>
      </c>
      <c r="C164" s="54" t="str">
        <f t="shared" si="10"/>
        <v xml:space="preserve"> </v>
      </c>
      <c r="D164" s="73" t="str">
        <f t="shared" si="11"/>
        <v xml:space="preserve"> </v>
      </c>
      <c r="E164" s="15" t="str">
        <f t="shared" si="12"/>
        <v xml:space="preserve"> </v>
      </c>
      <c r="F164" s="15" t="str">
        <f t="shared" si="13"/>
        <v xml:space="preserve"> </v>
      </c>
    </row>
    <row r="165" spans="2:6" x14ac:dyDescent="0.25">
      <c r="B165" s="16" t="str">
        <f t="shared" si="14"/>
        <v xml:space="preserve"> </v>
      </c>
      <c r="C165" s="54" t="str">
        <f t="shared" si="10"/>
        <v xml:space="preserve"> </v>
      </c>
      <c r="D165" s="73" t="str">
        <f t="shared" si="11"/>
        <v xml:space="preserve"> </v>
      </c>
      <c r="E165" s="15" t="str">
        <f t="shared" si="12"/>
        <v xml:space="preserve"> </v>
      </c>
      <c r="F165" s="15" t="str">
        <f t="shared" si="13"/>
        <v xml:space="preserve"> </v>
      </c>
    </row>
    <row r="166" spans="2:6" x14ac:dyDescent="0.25">
      <c r="B166" s="16" t="str">
        <f t="shared" si="14"/>
        <v xml:space="preserve"> </v>
      </c>
      <c r="C166" s="54" t="str">
        <f t="shared" si="10"/>
        <v xml:space="preserve"> </v>
      </c>
      <c r="D166" s="73" t="str">
        <f t="shared" si="11"/>
        <v xml:space="preserve"> </v>
      </c>
      <c r="E166" s="15" t="str">
        <f t="shared" si="12"/>
        <v xml:space="preserve"> </v>
      </c>
      <c r="F166" s="15" t="str">
        <f t="shared" si="13"/>
        <v xml:space="preserve"> </v>
      </c>
    </row>
    <row r="167" spans="2:6" x14ac:dyDescent="0.25">
      <c r="B167" s="16" t="str">
        <f t="shared" si="14"/>
        <v xml:space="preserve"> </v>
      </c>
      <c r="C167" s="54" t="str">
        <f t="shared" si="10"/>
        <v xml:space="preserve"> </v>
      </c>
      <c r="D167" s="73" t="str">
        <f t="shared" si="11"/>
        <v xml:space="preserve"> </v>
      </c>
      <c r="E167" s="15" t="str">
        <f t="shared" si="12"/>
        <v xml:space="preserve"> </v>
      </c>
      <c r="F167" s="15" t="str">
        <f t="shared" si="13"/>
        <v xml:space="preserve"> </v>
      </c>
    </row>
    <row r="168" spans="2:6" x14ac:dyDescent="0.25">
      <c r="B168" s="16" t="str">
        <f t="shared" si="14"/>
        <v xml:space="preserve"> </v>
      </c>
      <c r="C168" s="54" t="str">
        <f t="shared" si="10"/>
        <v xml:space="preserve"> </v>
      </c>
      <c r="D168" s="73" t="str">
        <f t="shared" si="11"/>
        <v xml:space="preserve"> </v>
      </c>
      <c r="E168" s="15" t="str">
        <f t="shared" si="12"/>
        <v xml:space="preserve"> </v>
      </c>
      <c r="F168" s="15" t="str">
        <f t="shared" si="13"/>
        <v xml:space="preserve"> </v>
      </c>
    </row>
    <row r="169" spans="2:6" x14ac:dyDescent="0.25">
      <c r="B169" s="16" t="str">
        <f t="shared" si="14"/>
        <v xml:space="preserve"> </v>
      </c>
      <c r="C169" s="54" t="str">
        <f t="shared" si="10"/>
        <v xml:space="preserve"> </v>
      </c>
      <c r="D169" s="73" t="str">
        <f t="shared" si="11"/>
        <v xml:space="preserve"> </v>
      </c>
      <c r="E169" s="15" t="str">
        <f t="shared" si="12"/>
        <v xml:space="preserve"> </v>
      </c>
      <c r="F169" s="15" t="str">
        <f t="shared" si="13"/>
        <v xml:space="preserve"> </v>
      </c>
    </row>
    <row r="170" spans="2:6" x14ac:dyDescent="0.25">
      <c r="B170" s="16" t="str">
        <f t="shared" si="14"/>
        <v xml:space="preserve"> </v>
      </c>
      <c r="C170" s="54" t="str">
        <f t="shared" si="10"/>
        <v xml:space="preserve"> </v>
      </c>
      <c r="D170" s="73" t="str">
        <f t="shared" si="11"/>
        <v xml:space="preserve"> </v>
      </c>
      <c r="E170" s="15" t="str">
        <f t="shared" si="12"/>
        <v xml:space="preserve"> </v>
      </c>
      <c r="F170" s="15" t="str">
        <f t="shared" si="13"/>
        <v xml:space="preserve"> </v>
      </c>
    </row>
    <row r="171" spans="2:6" x14ac:dyDescent="0.25">
      <c r="B171" s="16" t="str">
        <f t="shared" si="14"/>
        <v xml:space="preserve"> </v>
      </c>
      <c r="C171" s="54" t="str">
        <f t="shared" si="10"/>
        <v xml:space="preserve"> </v>
      </c>
      <c r="D171" s="73" t="str">
        <f t="shared" si="11"/>
        <v xml:space="preserve"> </v>
      </c>
      <c r="E171" s="15" t="str">
        <f t="shared" si="12"/>
        <v xml:space="preserve"> </v>
      </c>
      <c r="F171" s="15" t="str">
        <f t="shared" si="13"/>
        <v xml:space="preserve"> </v>
      </c>
    </row>
    <row r="172" spans="2:6" x14ac:dyDescent="0.25">
      <c r="B172" s="16" t="str">
        <f t="shared" si="14"/>
        <v xml:space="preserve"> </v>
      </c>
      <c r="C172" s="54" t="str">
        <f t="shared" si="10"/>
        <v xml:space="preserve"> </v>
      </c>
      <c r="D172" s="73" t="str">
        <f t="shared" si="11"/>
        <v xml:space="preserve"> </v>
      </c>
      <c r="E172" s="15" t="str">
        <f t="shared" si="12"/>
        <v xml:space="preserve"> </v>
      </c>
      <c r="F172" s="15" t="str">
        <f t="shared" si="13"/>
        <v xml:space="preserve"> </v>
      </c>
    </row>
    <row r="173" spans="2:6" x14ac:dyDescent="0.25">
      <c r="B173" s="16" t="str">
        <f t="shared" si="14"/>
        <v xml:space="preserve"> </v>
      </c>
      <c r="C173" s="54" t="str">
        <f t="shared" si="10"/>
        <v xml:space="preserve"> </v>
      </c>
      <c r="D173" s="73" t="str">
        <f t="shared" si="11"/>
        <v xml:space="preserve"> </v>
      </c>
      <c r="E173" s="15" t="str">
        <f t="shared" si="12"/>
        <v xml:space="preserve"> </v>
      </c>
      <c r="F173" s="15" t="str">
        <f t="shared" si="13"/>
        <v xml:space="preserve"> </v>
      </c>
    </row>
    <row r="174" spans="2:6" x14ac:dyDescent="0.25">
      <c r="B174" s="16" t="str">
        <f t="shared" si="14"/>
        <v xml:space="preserve"> </v>
      </c>
      <c r="C174" s="54" t="str">
        <f t="shared" si="10"/>
        <v xml:space="preserve"> </v>
      </c>
      <c r="D174" s="73" t="str">
        <f t="shared" si="11"/>
        <v xml:space="preserve"> </v>
      </c>
      <c r="E174" s="15" t="str">
        <f t="shared" si="12"/>
        <v xml:space="preserve"> </v>
      </c>
      <c r="F174" s="15" t="str">
        <f t="shared" si="13"/>
        <v xml:space="preserve"> </v>
      </c>
    </row>
    <row r="175" spans="2:6" x14ac:dyDescent="0.25">
      <c r="B175" s="16" t="str">
        <f t="shared" si="14"/>
        <v xml:space="preserve"> </v>
      </c>
      <c r="C175" s="54" t="str">
        <f t="shared" si="10"/>
        <v xml:space="preserve"> </v>
      </c>
      <c r="D175" s="73" t="str">
        <f t="shared" si="11"/>
        <v xml:space="preserve"> </v>
      </c>
      <c r="E175" s="15" t="str">
        <f t="shared" si="12"/>
        <v xml:space="preserve"> </v>
      </c>
      <c r="F175" s="15" t="str">
        <f t="shared" si="13"/>
        <v xml:space="preserve"> </v>
      </c>
    </row>
    <row r="176" spans="2:6" x14ac:dyDescent="0.25">
      <c r="B176" s="16" t="str">
        <f t="shared" si="14"/>
        <v xml:space="preserve"> </v>
      </c>
      <c r="C176" s="54" t="str">
        <f t="shared" si="10"/>
        <v xml:space="preserve"> </v>
      </c>
      <c r="D176" s="73" t="str">
        <f t="shared" si="11"/>
        <v xml:space="preserve"> </v>
      </c>
      <c r="E176" s="15" t="str">
        <f t="shared" si="12"/>
        <v xml:space="preserve"> </v>
      </c>
      <c r="F176" s="15" t="str">
        <f t="shared" si="13"/>
        <v xml:space="preserve"> </v>
      </c>
    </row>
    <row r="177" spans="2:6" x14ac:dyDescent="0.25">
      <c r="B177" s="16" t="str">
        <f t="shared" si="14"/>
        <v xml:space="preserve"> </v>
      </c>
      <c r="C177" s="54" t="str">
        <f t="shared" si="10"/>
        <v xml:space="preserve"> </v>
      </c>
      <c r="D177" s="73" t="str">
        <f t="shared" si="11"/>
        <v xml:space="preserve"> </v>
      </c>
      <c r="E177" s="15" t="str">
        <f t="shared" si="12"/>
        <v xml:space="preserve"> </v>
      </c>
      <c r="F177" s="15" t="str">
        <f t="shared" si="13"/>
        <v xml:space="preserve"> </v>
      </c>
    </row>
    <row r="178" spans="2:6" x14ac:dyDescent="0.25">
      <c r="B178" s="16" t="str">
        <f t="shared" si="14"/>
        <v xml:space="preserve"> </v>
      </c>
      <c r="C178" s="54" t="str">
        <f t="shared" si="10"/>
        <v xml:space="preserve"> </v>
      </c>
      <c r="D178" s="73" t="str">
        <f t="shared" si="11"/>
        <v xml:space="preserve"> </v>
      </c>
      <c r="E178" s="15" t="str">
        <f t="shared" si="12"/>
        <v xml:space="preserve"> </v>
      </c>
      <c r="F178" s="15" t="str">
        <f t="shared" si="13"/>
        <v xml:space="preserve"> </v>
      </c>
    </row>
    <row r="179" spans="2:6" x14ac:dyDescent="0.25">
      <c r="B179" s="16" t="str">
        <f t="shared" si="14"/>
        <v xml:space="preserve"> </v>
      </c>
      <c r="C179" s="54" t="str">
        <f t="shared" si="10"/>
        <v xml:space="preserve"> </v>
      </c>
      <c r="D179" s="73" t="str">
        <f t="shared" si="11"/>
        <v xml:space="preserve"> </v>
      </c>
      <c r="E179" s="15" t="str">
        <f t="shared" si="12"/>
        <v xml:space="preserve"> </v>
      </c>
      <c r="F179" s="15" t="str">
        <f t="shared" si="13"/>
        <v xml:space="preserve"> </v>
      </c>
    </row>
    <row r="180" spans="2:6" x14ac:dyDescent="0.25">
      <c r="B180" s="16" t="str">
        <f t="shared" si="14"/>
        <v xml:space="preserve"> </v>
      </c>
      <c r="C180" s="54" t="str">
        <f t="shared" si="10"/>
        <v xml:space="preserve"> </v>
      </c>
      <c r="D180" s="73" t="str">
        <f t="shared" si="11"/>
        <v xml:space="preserve"> </v>
      </c>
      <c r="E180" s="15" t="str">
        <f t="shared" si="12"/>
        <v xml:space="preserve"> </v>
      </c>
      <c r="F180" s="15" t="str">
        <f t="shared" si="13"/>
        <v xml:space="preserve"> </v>
      </c>
    </row>
    <row r="181" spans="2:6" x14ac:dyDescent="0.25">
      <c r="B181" s="16" t="str">
        <f t="shared" si="14"/>
        <v xml:space="preserve"> </v>
      </c>
      <c r="C181" s="54" t="str">
        <f t="shared" si="10"/>
        <v xml:space="preserve"> </v>
      </c>
      <c r="D181" s="73" t="str">
        <f t="shared" si="11"/>
        <v xml:space="preserve"> </v>
      </c>
      <c r="E181" s="15" t="str">
        <f t="shared" si="12"/>
        <v xml:space="preserve"> </v>
      </c>
      <c r="F181" s="15" t="str">
        <f t="shared" si="13"/>
        <v xml:space="preserve"> </v>
      </c>
    </row>
    <row r="182" spans="2:6" x14ac:dyDescent="0.25">
      <c r="B182" s="16" t="str">
        <f t="shared" si="14"/>
        <v xml:space="preserve"> </v>
      </c>
      <c r="C182" s="54" t="str">
        <f t="shared" si="10"/>
        <v xml:space="preserve"> </v>
      </c>
      <c r="D182" s="73" t="str">
        <f t="shared" si="11"/>
        <v xml:space="preserve"> </v>
      </c>
      <c r="E182" s="15" t="str">
        <f t="shared" si="12"/>
        <v xml:space="preserve"> </v>
      </c>
      <c r="F182" s="15" t="str">
        <f t="shared" si="13"/>
        <v xml:space="preserve"> </v>
      </c>
    </row>
    <row r="183" spans="2:6" x14ac:dyDescent="0.25">
      <c r="B183" s="16" t="str">
        <f t="shared" si="14"/>
        <v xml:space="preserve"> </v>
      </c>
      <c r="C183" s="54" t="str">
        <f t="shared" si="10"/>
        <v xml:space="preserve"> </v>
      </c>
      <c r="D183" s="73" t="str">
        <f t="shared" si="11"/>
        <v xml:space="preserve"> </v>
      </c>
      <c r="E183" s="15" t="str">
        <f t="shared" si="12"/>
        <v xml:space="preserve"> </v>
      </c>
      <c r="F183" s="15" t="str">
        <f t="shared" si="13"/>
        <v xml:space="preserve"> </v>
      </c>
    </row>
    <row r="184" spans="2:6" x14ac:dyDescent="0.25">
      <c r="B184" s="16" t="str">
        <f t="shared" si="14"/>
        <v xml:space="preserve"> </v>
      </c>
      <c r="C184" s="54" t="str">
        <f t="shared" si="10"/>
        <v xml:space="preserve"> </v>
      </c>
      <c r="D184" s="73" t="str">
        <f t="shared" si="11"/>
        <v xml:space="preserve"> </v>
      </c>
      <c r="E184" s="15" t="str">
        <f t="shared" si="12"/>
        <v xml:space="preserve"> </v>
      </c>
      <c r="F184" s="15" t="str">
        <f t="shared" si="13"/>
        <v xml:space="preserve"> </v>
      </c>
    </row>
    <row r="185" spans="2:6" x14ac:dyDescent="0.25">
      <c r="B185" s="16" t="str">
        <f t="shared" si="14"/>
        <v xml:space="preserve"> </v>
      </c>
      <c r="C185" s="54" t="str">
        <f t="shared" si="10"/>
        <v xml:space="preserve"> </v>
      </c>
      <c r="D185" s="73" t="str">
        <f t="shared" si="11"/>
        <v xml:space="preserve"> </v>
      </c>
      <c r="E185" s="15" t="str">
        <f t="shared" si="12"/>
        <v xml:space="preserve"> </v>
      </c>
      <c r="F185" s="15" t="str">
        <f t="shared" si="13"/>
        <v xml:space="preserve"> </v>
      </c>
    </row>
    <row r="186" spans="2:6" x14ac:dyDescent="0.25">
      <c r="B186" s="16" t="str">
        <f t="shared" si="14"/>
        <v xml:space="preserve"> </v>
      </c>
      <c r="C186" s="54" t="str">
        <f t="shared" si="10"/>
        <v xml:space="preserve"> </v>
      </c>
      <c r="D186" s="73" t="str">
        <f t="shared" si="11"/>
        <v xml:space="preserve"> </v>
      </c>
      <c r="E186" s="15" t="str">
        <f t="shared" si="12"/>
        <v xml:space="preserve"> </v>
      </c>
      <c r="F186" s="15" t="str">
        <f t="shared" si="13"/>
        <v xml:space="preserve"> </v>
      </c>
    </row>
    <row r="187" spans="2:6" x14ac:dyDescent="0.25">
      <c r="B187" s="16" t="str">
        <f t="shared" si="14"/>
        <v xml:space="preserve"> </v>
      </c>
      <c r="C187" s="54" t="str">
        <f t="shared" si="10"/>
        <v xml:space="preserve"> </v>
      </c>
      <c r="D187" s="73" t="str">
        <f t="shared" si="11"/>
        <v xml:space="preserve"> </v>
      </c>
      <c r="E187" s="15" t="str">
        <f t="shared" si="12"/>
        <v xml:space="preserve"> </v>
      </c>
      <c r="F187" s="15" t="str">
        <f t="shared" si="13"/>
        <v xml:space="preserve"> </v>
      </c>
    </row>
    <row r="188" spans="2:6" x14ac:dyDescent="0.25">
      <c r="B188" s="16" t="str">
        <f t="shared" si="14"/>
        <v xml:space="preserve"> </v>
      </c>
      <c r="C188" s="54" t="str">
        <f t="shared" si="10"/>
        <v xml:space="preserve"> </v>
      </c>
      <c r="D188" s="73" t="str">
        <f t="shared" si="11"/>
        <v xml:space="preserve"> </v>
      </c>
      <c r="E188" s="15" t="str">
        <f t="shared" si="12"/>
        <v xml:space="preserve"> </v>
      </c>
      <c r="F188" s="15" t="str">
        <f t="shared" si="13"/>
        <v xml:space="preserve"> </v>
      </c>
    </row>
    <row r="189" spans="2:6" x14ac:dyDescent="0.25">
      <c r="B189" s="16" t="str">
        <f t="shared" si="14"/>
        <v xml:space="preserve"> </v>
      </c>
      <c r="C189" s="54" t="str">
        <f t="shared" si="10"/>
        <v xml:space="preserve"> </v>
      </c>
      <c r="D189" s="73" t="str">
        <f t="shared" si="11"/>
        <v xml:space="preserve"> </v>
      </c>
      <c r="E189" s="15" t="str">
        <f t="shared" si="12"/>
        <v xml:space="preserve"> </v>
      </c>
      <c r="F189" s="15" t="str">
        <f t="shared" si="13"/>
        <v xml:space="preserve"> </v>
      </c>
    </row>
    <row r="190" spans="2:6" x14ac:dyDescent="0.25">
      <c r="B190" s="16" t="str">
        <f t="shared" si="14"/>
        <v xml:space="preserve"> </v>
      </c>
      <c r="C190" s="54" t="str">
        <f t="shared" si="10"/>
        <v xml:space="preserve"> </v>
      </c>
      <c r="D190" s="73" t="str">
        <f t="shared" si="11"/>
        <v xml:space="preserve"> </v>
      </c>
      <c r="E190" s="15" t="str">
        <f t="shared" si="12"/>
        <v xml:space="preserve"> </v>
      </c>
      <c r="F190" s="15" t="str">
        <f t="shared" si="13"/>
        <v xml:space="preserve"> </v>
      </c>
    </row>
    <row r="191" spans="2:6" x14ac:dyDescent="0.25">
      <c r="B191" s="16" t="str">
        <f t="shared" si="14"/>
        <v xml:space="preserve"> </v>
      </c>
      <c r="C191" s="54" t="str">
        <f t="shared" si="10"/>
        <v xml:space="preserve"> </v>
      </c>
      <c r="D191" s="73" t="str">
        <f t="shared" si="11"/>
        <v xml:space="preserve"> </v>
      </c>
      <c r="E191" s="15" t="str">
        <f t="shared" si="12"/>
        <v xml:space="preserve"> </v>
      </c>
      <c r="F191" s="15" t="str">
        <f t="shared" si="13"/>
        <v xml:space="preserve"> </v>
      </c>
    </row>
    <row r="192" spans="2:6" x14ac:dyDescent="0.25">
      <c r="B192" s="16" t="str">
        <f t="shared" si="14"/>
        <v xml:space="preserve"> </v>
      </c>
      <c r="C192" s="54" t="str">
        <f t="shared" si="10"/>
        <v xml:space="preserve"> </v>
      </c>
      <c r="D192" s="73" t="str">
        <f t="shared" si="11"/>
        <v xml:space="preserve"> </v>
      </c>
      <c r="E192" s="15" t="str">
        <f t="shared" si="12"/>
        <v xml:space="preserve"> </v>
      </c>
      <c r="F192" s="15" t="str">
        <f t="shared" si="13"/>
        <v xml:space="preserve"> </v>
      </c>
    </row>
    <row r="193" spans="2:6" x14ac:dyDescent="0.25">
      <c r="B193" s="16" t="str">
        <f t="shared" si="14"/>
        <v xml:space="preserve"> </v>
      </c>
      <c r="C193" s="54" t="str">
        <f t="shared" si="10"/>
        <v xml:space="preserve"> </v>
      </c>
      <c r="D193" s="73" t="str">
        <f t="shared" si="11"/>
        <v xml:space="preserve"> </v>
      </c>
      <c r="E193" s="15" t="str">
        <f t="shared" si="12"/>
        <v xml:space="preserve"> </v>
      </c>
      <c r="F193" s="15" t="str">
        <f t="shared" si="13"/>
        <v xml:space="preserve"> </v>
      </c>
    </row>
    <row r="194" spans="2:6" x14ac:dyDescent="0.25">
      <c r="B194" s="16" t="str">
        <f t="shared" si="14"/>
        <v xml:space="preserve"> </v>
      </c>
      <c r="C194" s="54" t="str">
        <f t="shared" si="10"/>
        <v xml:space="preserve"> </v>
      </c>
      <c r="D194" s="73" t="str">
        <f t="shared" si="11"/>
        <v xml:space="preserve"> </v>
      </c>
      <c r="E194" s="15" t="str">
        <f t="shared" si="12"/>
        <v xml:space="preserve"> </v>
      </c>
      <c r="F194" s="15" t="str">
        <f t="shared" si="13"/>
        <v xml:space="preserve"> </v>
      </c>
    </row>
    <row r="195" spans="2:6" x14ac:dyDescent="0.25">
      <c r="B195" s="16" t="str">
        <f t="shared" si="14"/>
        <v xml:space="preserve"> </v>
      </c>
      <c r="C195" s="54" t="str">
        <f t="shared" si="10"/>
        <v xml:space="preserve"> </v>
      </c>
      <c r="D195" s="73" t="str">
        <f t="shared" si="11"/>
        <v xml:space="preserve"> </v>
      </c>
      <c r="E195" s="15" t="str">
        <f t="shared" si="12"/>
        <v xml:space="preserve"> </v>
      </c>
      <c r="F195" s="15" t="str">
        <f t="shared" si="13"/>
        <v xml:space="preserve"> </v>
      </c>
    </row>
    <row r="196" spans="2:6" x14ac:dyDescent="0.25">
      <c r="B196" s="16" t="str">
        <f t="shared" si="14"/>
        <v xml:space="preserve"> </v>
      </c>
      <c r="C196" s="54" t="str">
        <f t="shared" si="10"/>
        <v xml:space="preserve"> </v>
      </c>
      <c r="D196" s="73" t="str">
        <f t="shared" si="11"/>
        <v xml:space="preserve"> </v>
      </c>
      <c r="E196" s="15" t="str">
        <f t="shared" si="12"/>
        <v xml:space="preserve"> </v>
      </c>
      <c r="F196" s="15" t="str">
        <f t="shared" si="13"/>
        <v xml:space="preserve"> </v>
      </c>
    </row>
    <row r="197" spans="2:6" x14ac:dyDescent="0.25">
      <c r="B197" s="16" t="str">
        <f t="shared" si="14"/>
        <v xml:space="preserve"> </v>
      </c>
      <c r="C197" s="54" t="str">
        <f t="shared" si="10"/>
        <v xml:space="preserve"> </v>
      </c>
      <c r="D197" s="73" t="str">
        <f t="shared" si="11"/>
        <v xml:space="preserve"> </v>
      </c>
      <c r="E197" s="15" t="str">
        <f t="shared" si="12"/>
        <v xml:space="preserve"> </v>
      </c>
      <c r="F197" s="15" t="str">
        <f t="shared" si="13"/>
        <v xml:space="preserve"> </v>
      </c>
    </row>
    <row r="198" spans="2:6" x14ac:dyDescent="0.25">
      <c r="B198" s="16" t="str">
        <f t="shared" si="14"/>
        <v xml:space="preserve"> </v>
      </c>
      <c r="C198" s="54" t="str">
        <f t="shared" si="10"/>
        <v xml:space="preserve"> </v>
      </c>
      <c r="D198" s="73" t="str">
        <f t="shared" si="11"/>
        <v xml:space="preserve"> </v>
      </c>
      <c r="E198" s="15" t="str">
        <f t="shared" si="12"/>
        <v xml:space="preserve"> </v>
      </c>
      <c r="F198" s="15" t="str">
        <f t="shared" si="13"/>
        <v xml:space="preserve"> </v>
      </c>
    </row>
    <row r="199" spans="2:6" x14ac:dyDescent="0.25">
      <c r="B199" s="16" t="str">
        <f t="shared" si="14"/>
        <v xml:space="preserve"> </v>
      </c>
      <c r="C199" s="54" t="str">
        <f t="shared" si="10"/>
        <v xml:space="preserve"> </v>
      </c>
      <c r="D199" s="73" t="str">
        <f t="shared" si="11"/>
        <v xml:space="preserve"> </v>
      </c>
      <c r="E199" s="15" t="str">
        <f t="shared" si="12"/>
        <v xml:space="preserve"> </v>
      </c>
      <c r="F199" s="15" t="str">
        <f t="shared" si="13"/>
        <v xml:space="preserve"> </v>
      </c>
    </row>
    <row r="200" spans="2:6" x14ac:dyDescent="0.25">
      <c r="B200" s="16" t="str">
        <f t="shared" si="14"/>
        <v xml:space="preserve"> </v>
      </c>
      <c r="C200" s="54" t="str">
        <f t="shared" si="10"/>
        <v xml:space="preserve"> </v>
      </c>
      <c r="D200" s="73" t="str">
        <f t="shared" si="11"/>
        <v xml:space="preserve"> </v>
      </c>
      <c r="E200" s="15" t="str">
        <f t="shared" si="12"/>
        <v xml:space="preserve"> </v>
      </c>
      <c r="F200" s="15" t="str">
        <f t="shared" si="13"/>
        <v xml:space="preserve"> </v>
      </c>
    </row>
    <row r="201" spans="2:6" x14ac:dyDescent="0.25">
      <c r="B201" s="16" t="str">
        <f t="shared" si="14"/>
        <v xml:space="preserve"> </v>
      </c>
      <c r="C201" s="54" t="str">
        <f t="shared" si="10"/>
        <v xml:space="preserve"> </v>
      </c>
      <c r="D201" s="73" t="str">
        <f t="shared" si="11"/>
        <v xml:space="preserve"> </v>
      </c>
      <c r="E201" s="15" t="str">
        <f t="shared" si="12"/>
        <v xml:space="preserve"> </v>
      </c>
      <c r="F201" s="15" t="str">
        <f t="shared" si="13"/>
        <v xml:space="preserve"> </v>
      </c>
    </row>
    <row r="202" spans="2:6" x14ac:dyDescent="0.25">
      <c r="B202" s="16" t="str">
        <f t="shared" si="14"/>
        <v xml:space="preserve"> </v>
      </c>
      <c r="C202" s="54" t="str">
        <f t="shared" si="10"/>
        <v xml:space="preserve"> </v>
      </c>
      <c r="D202" s="73" t="str">
        <f t="shared" si="11"/>
        <v xml:space="preserve"> </v>
      </c>
      <c r="E202" s="15" t="str">
        <f t="shared" si="12"/>
        <v xml:space="preserve"> </v>
      </c>
      <c r="F202" s="15" t="str">
        <f t="shared" si="13"/>
        <v xml:space="preserve"> </v>
      </c>
    </row>
    <row r="203" spans="2:6" x14ac:dyDescent="0.25">
      <c r="B203" s="16" t="str">
        <f t="shared" si="14"/>
        <v xml:space="preserve"> </v>
      </c>
      <c r="C203" s="54" t="str">
        <f t="shared" si="10"/>
        <v xml:space="preserve"> </v>
      </c>
      <c r="D203" s="73" t="str">
        <f t="shared" si="11"/>
        <v xml:space="preserve"> </v>
      </c>
      <c r="E203" s="15" t="str">
        <f t="shared" si="12"/>
        <v xml:space="preserve"> </v>
      </c>
      <c r="F203" s="15" t="str">
        <f t="shared" si="13"/>
        <v xml:space="preserve"> </v>
      </c>
    </row>
    <row r="204" spans="2:6" x14ac:dyDescent="0.25">
      <c r="B204" s="16" t="str">
        <f t="shared" si="14"/>
        <v xml:space="preserve"> </v>
      </c>
      <c r="C204" s="54" t="str">
        <f t="shared" si="10"/>
        <v xml:space="preserve"> </v>
      </c>
      <c r="D204" s="73" t="str">
        <f t="shared" si="11"/>
        <v xml:space="preserve"> </v>
      </c>
      <c r="E204" s="15" t="str">
        <f t="shared" si="12"/>
        <v xml:space="preserve"> </v>
      </c>
      <c r="F204" s="15" t="str">
        <f t="shared" si="13"/>
        <v xml:space="preserve"> </v>
      </c>
    </row>
    <row r="205" spans="2:6" x14ac:dyDescent="0.25">
      <c r="B205" s="16" t="str">
        <f t="shared" si="14"/>
        <v xml:space="preserve"> </v>
      </c>
      <c r="C205" s="54" t="str">
        <f t="shared" ref="C205:C268" si="15">IF(B205&lt;=$D$6,-PMT($D$5,$D$6,$D$4,0)," ")</f>
        <v xml:space="preserve"> </v>
      </c>
      <c r="D205" s="73" t="str">
        <f t="shared" ref="D205:D268" si="16">IF(B205&lt;=$D$6,-IPMT($D$5,B205,$D$6,$D$4)," ")</f>
        <v xml:space="preserve"> </v>
      </c>
      <c r="E205" s="15" t="str">
        <f t="shared" ref="E205:E268" si="17">IF(B205&lt;=$D$6,-PPMT($D$5,B205,$D$6,$D$4)," ")</f>
        <v xml:space="preserve"> </v>
      </c>
      <c r="F205" s="15" t="str">
        <f t="shared" ref="F205:F268" si="18">IF(B205&lt;=$D$6,(F204-E205)," ")</f>
        <v xml:space="preserve"> </v>
      </c>
    </row>
    <row r="206" spans="2:6" x14ac:dyDescent="0.25">
      <c r="B206" s="16" t="str">
        <f t="shared" ref="B206:B269" si="19">IF(B205=" "," ",IF(B205&lt;$D$6,B205+1," "))</f>
        <v xml:space="preserve"> </v>
      </c>
      <c r="C206" s="54" t="str">
        <f t="shared" si="15"/>
        <v xml:space="preserve"> </v>
      </c>
      <c r="D206" s="73" t="str">
        <f t="shared" si="16"/>
        <v xml:space="preserve"> </v>
      </c>
      <c r="E206" s="15" t="str">
        <f t="shared" si="17"/>
        <v xml:space="preserve"> </v>
      </c>
      <c r="F206" s="15" t="str">
        <f t="shared" si="18"/>
        <v xml:space="preserve"> </v>
      </c>
    </row>
    <row r="207" spans="2:6" x14ac:dyDescent="0.25">
      <c r="B207" s="16" t="str">
        <f t="shared" si="19"/>
        <v xml:space="preserve"> </v>
      </c>
      <c r="C207" s="54" t="str">
        <f t="shared" si="15"/>
        <v xml:space="preserve"> </v>
      </c>
      <c r="D207" s="73" t="str">
        <f t="shared" si="16"/>
        <v xml:space="preserve"> </v>
      </c>
      <c r="E207" s="15" t="str">
        <f t="shared" si="17"/>
        <v xml:space="preserve"> </v>
      </c>
      <c r="F207" s="15" t="str">
        <f t="shared" si="18"/>
        <v xml:space="preserve"> </v>
      </c>
    </row>
    <row r="208" spans="2:6" x14ac:dyDescent="0.25">
      <c r="B208" s="16" t="str">
        <f t="shared" si="19"/>
        <v xml:space="preserve"> </v>
      </c>
      <c r="C208" s="54" t="str">
        <f t="shared" si="15"/>
        <v xml:space="preserve"> </v>
      </c>
      <c r="D208" s="73" t="str">
        <f t="shared" si="16"/>
        <v xml:space="preserve"> </v>
      </c>
      <c r="E208" s="15" t="str">
        <f t="shared" si="17"/>
        <v xml:space="preserve"> </v>
      </c>
      <c r="F208" s="15" t="str">
        <f t="shared" si="18"/>
        <v xml:space="preserve"> </v>
      </c>
    </row>
    <row r="209" spans="2:6" x14ac:dyDescent="0.25">
      <c r="B209" s="16" t="str">
        <f t="shared" si="19"/>
        <v xml:space="preserve"> </v>
      </c>
      <c r="C209" s="54" t="str">
        <f t="shared" si="15"/>
        <v xml:space="preserve"> </v>
      </c>
      <c r="D209" s="73" t="str">
        <f t="shared" si="16"/>
        <v xml:space="preserve"> </v>
      </c>
      <c r="E209" s="15" t="str">
        <f t="shared" si="17"/>
        <v xml:space="preserve"> </v>
      </c>
      <c r="F209" s="15" t="str">
        <f t="shared" si="18"/>
        <v xml:space="preserve"> </v>
      </c>
    </row>
    <row r="210" spans="2:6" x14ac:dyDescent="0.25">
      <c r="B210" s="16" t="str">
        <f t="shared" si="19"/>
        <v xml:space="preserve"> </v>
      </c>
      <c r="C210" s="54" t="str">
        <f t="shared" si="15"/>
        <v xml:space="preserve"> </v>
      </c>
      <c r="D210" s="73" t="str">
        <f t="shared" si="16"/>
        <v xml:space="preserve"> </v>
      </c>
      <c r="E210" s="15" t="str">
        <f t="shared" si="17"/>
        <v xml:space="preserve"> </v>
      </c>
      <c r="F210" s="15" t="str">
        <f t="shared" si="18"/>
        <v xml:space="preserve"> </v>
      </c>
    </row>
    <row r="211" spans="2:6" x14ac:dyDescent="0.25">
      <c r="B211" s="16" t="str">
        <f t="shared" si="19"/>
        <v xml:space="preserve"> </v>
      </c>
      <c r="C211" s="54" t="str">
        <f t="shared" si="15"/>
        <v xml:space="preserve"> </v>
      </c>
      <c r="D211" s="73" t="str">
        <f t="shared" si="16"/>
        <v xml:space="preserve"> </v>
      </c>
      <c r="E211" s="15" t="str">
        <f t="shared" si="17"/>
        <v xml:space="preserve"> </v>
      </c>
      <c r="F211" s="15" t="str">
        <f t="shared" si="18"/>
        <v xml:space="preserve"> </v>
      </c>
    </row>
    <row r="212" spans="2:6" x14ac:dyDescent="0.25">
      <c r="B212" s="16" t="str">
        <f t="shared" si="19"/>
        <v xml:space="preserve"> </v>
      </c>
      <c r="C212" s="54" t="str">
        <f t="shared" si="15"/>
        <v xml:space="preserve"> </v>
      </c>
      <c r="D212" s="73" t="str">
        <f t="shared" si="16"/>
        <v xml:space="preserve"> </v>
      </c>
      <c r="E212" s="15" t="str">
        <f t="shared" si="17"/>
        <v xml:space="preserve"> </v>
      </c>
      <c r="F212" s="15" t="str">
        <f t="shared" si="18"/>
        <v xml:space="preserve"> </v>
      </c>
    </row>
    <row r="213" spans="2:6" x14ac:dyDescent="0.25">
      <c r="B213" s="16" t="str">
        <f t="shared" si="19"/>
        <v xml:space="preserve"> </v>
      </c>
      <c r="C213" s="54" t="str">
        <f t="shared" si="15"/>
        <v xml:space="preserve"> </v>
      </c>
      <c r="D213" s="73" t="str">
        <f t="shared" si="16"/>
        <v xml:space="preserve"> </v>
      </c>
      <c r="E213" s="15" t="str">
        <f t="shared" si="17"/>
        <v xml:space="preserve"> </v>
      </c>
      <c r="F213" s="15" t="str">
        <f t="shared" si="18"/>
        <v xml:space="preserve"> </v>
      </c>
    </row>
    <row r="214" spans="2:6" x14ac:dyDescent="0.25">
      <c r="B214" s="16" t="str">
        <f t="shared" si="19"/>
        <v xml:space="preserve"> </v>
      </c>
      <c r="C214" s="54" t="str">
        <f t="shared" si="15"/>
        <v xml:space="preserve"> </v>
      </c>
      <c r="D214" s="73" t="str">
        <f t="shared" si="16"/>
        <v xml:space="preserve"> </v>
      </c>
      <c r="E214" s="15" t="str">
        <f t="shared" si="17"/>
        <v xml:space="preserve"> </v>
      </c>
      <c r="F214" s="15" t="str">
        <f t="shared" si="18"/>
        <v xml:space="preserve"> </v>
      </c>
    </row>
    <row r="215" spans="2:6" x14ac:dyDescent="0.25">
      <c r="B215" s="16" t="str">
        <f t="shared" si="19"/>
        <v xml:space="preserve"> </v>
      </c>
      <c r="C215" s="54" t="str">
        <f t="shared" si="15"/>
        <v xml:space="preserve"> </v>
      </c>
      <c r="D215" s="73" t="str">
        <f t="shared" si="16"/>
        <v xml:space="preserve"> </v>
      </c>
      <c r="E215" s="15" t="str">
        <f t="shared" si="17"/>
        <v xml:space="preserve"> </v>
      </c>
      <c r="F215" s="15" t="str">
        <f t="shared" si="18"/>
        <v xml:space="preserve"> </v>
      </c>
    </row>
    <row r="216" spans="2:6" x14ac:dyDescent="0.25">
      <c r="B216" s="16" t="str">
        <f t="shared" si="19"/>
        <v xml:space="preserve"> </v>
      </c>
      <c r="C216" s="54" t="str">
        <f t="shared" si="15"/>
        <v xml:space="preserve"> </v>
      </c>
      <c r="D216" s="73" t="str">
        <f t="shared" si="16"/>
        <v xml:space="preserve"> </v>
      </c>
      <c r="E216" s="15" t="str">
        <f t="shared" si="17"/>
        <v xml:space="preserve"> </v>
      </c>
      <c r="F216" s="15" t="str">
        <f t="shared" si="18"/>
        <v xml:space="preserve"> </v>
      </c>
    </row>
    <row r="217" spans="2:6" x14ac:dyDescent="0.25">
      <c r="B217" s="16" t="str">
        <f t="shared" si="19"/>
        <v xml:space="preserve"> </v>
      </c>
      <c r="C217" s="54" t="str">
        <f t="shared" si="15"/>
        <v xml:space="preserve"> </v>
      </c>
      <c r="D217" s="73" t="str">
        <f t="shared" si="16"/>
        <v xml:space="preserve"> </v>
      </c>
      <c r="E217" s="15" t="str">
        <f t="shared" si="17"/>
        <v xml:space="preserve"> </v>
      </c>
      <c r="F217" s="15" t="str">
        <f t="shared" si="18"/>
        <v xml:space="preserve"> </v>
      </c>
    </row>
    <row r="218" spans="2:6" x14ac:dyDescent="0.25">
      <c r="B218" s="16" t="str">
        <f t="shared" si="19"/>
        <v xml:space="preserve"> </v>
      </c>
      <c r="C218" s="54" t="str">
        <f t="shared" si="15"/>
        <v xml:space="preserve"> </v>
      </c>
      <c r="D218" s="73" t="str">
        <f t="shared" si="16"/>
        <v xml:space="preserve"> </v>
      </c>
      <c r="E218" s="15" t="str">
        <f t="shared" si="17"/>
        <v xml:space="preserve"> </v>
      </c>
      <c r="F218" s="15" t="str">
        <f t="shared" si="18"/>
        <v xml:space="preserve"> </v>
      </c>
    </row>
    <row r="219" spans="2:6" x14ac:dyDescent="0.25">
      <c r="B219" s="16" t="str">
        <f t="shared" si="19"/>
        <v xml:space="preserve"> </v>
      </c>
      <c r="C219" s="54" t="str">
        <f t="shared" si="15"/>
        <v xml:space="preserve"> </v>
      </c>
      <c r="D219" s="73" t="str">
        <f t="shared" si="16"/>
        <v xml:space="preserve"> </v>
      </c>
      <c r="E219" s="15" t="str">
        <f t="shared" si="17"/>
        <v xml:space="preserve"> </v>
      </c>
      <c r="F219" s="15" t="str">
        <f t="shared" si="18"/>
        <v xml:space="preserve"> </v>
      </c>
    </row>
    <row r="220" spans="2:6" x14ac:dyDescent="0.25">
      <c r="B220" s="16" t="str">
        <f t="shared" si="19"/>
        <v xml:space="preserve"> </v>
      </c>
      <c r="C220" s="54" t="str">
        <f t="shared" si="15"/>
        <v xml:space="preserve"> </v>
      </c>
      <c r="D220" s="73" t="str">
        <f t="shared" si="16"/>
        <v xml:space="preserve"> </v>
      </c>
      <c r="E220" s="15" t="str">
        <f t="shared" si="17"/>
        <v xml:space="preserve"> </v>
      </c>
      <c r="F220" s="15" t="str">
        <f t="shared" si="18"/>
        <v xml:space="preserve"> </v>
      </c>
    </row>
    <row r="221" spans="2:6" x14ac:dyDescent="0.25">
      <c r="B221" s="16" t="str">
        <f t="shared" si="19"/>
        <v xml:space="preserve"> </v>
      </c>
      <c r="C221" s="54" t="str">
        <f t="shared" si="15"/>
        <v xml:space="preserve"> </v>
      </c>
      <c r="D221" s="73" t="str">
        <f t="shared" si="16"/>
        <v xml:space="preserve"> </v>
      </c>
      <c r="E221" s="15" t="str">
        <f t="shared" si="17"/>
        <v xml:space="preserve"> </v>
      </c>
      <c r="F221" s="15" t="str">
        <f t="shared" si="18"/>
        <v xml:space="preserve"> </v>
      </c>
    </row>
    <row r="222" spans="2:6" x14ac:dyDescent="0.25">
      <c r="B222" s="16" t="str">
        <f t="shared" si="19"/>
        <v xml:space="preserve"> </v>
      </c>
      <c r="C222" s="54" t="str">
        <f t="shared" si="15"/>
        <v xml:space="preserve"> </v>
      </c>
      <c r="D222" s="73" t="str">
        <f t="shared" si="16"/>
        <v xml:space="preserve"> </v>
      </c>
      <c r="E222" s="15" t="str">
        <f t="shared" si="17"/>
        <v xml:space="preserve"> </v>
      </c>
      <c r="F222" s="15" t="str">
        <f t="shared" si="18"/>
        <v xml:space="preserve"> </v>
      </c>
    </row>
    <row r="223" spans="2:6" x14ac:dyDescent="0.25">
      <c r="B223" s="16" t="str">
        <f t="shared" si="19"/>
        <v xml:space="preserve"> </v>
      </c>
      <c r="C223" s="54" t="str">
        <f t="shared" si="15"/>
        <v xml:space="preserve"> </v>
      </c>
      <c r="D223" s="73" t="str">
        <f t="shared" si="16"/>
        <v xml:space="preserve"> </v>
      </c>
      <c r="E223" s="15" t="str">
        <f t="shared" si="17"/>
        <v xml:space="preserve"> </v>
      </c>
      <c r="F223" s="15" t="str">
        <f t="shared" si="18"/>
        <v xml:space="preserve"> </v>
      </c>
    </row>
    <row r="224" spans="2:6" x14ac:dyDescent="0.25">
      <c r="B224" s="16" t="str">
        <f t="shared" si="19"/>
        <v xml:space="preserve"> </v>
      </c>
      <c r="C224" s="54" t="str">
        <f t="shared" si="15"/>
        <v xml:space="preserve"> </v>
      </c>
      <c r="D224" s="73" t="str">
        <f t="shared" si="16"/>
        <v xml:space="preserve"> </v>
      </c>
      <c r="E224" s="15" t="str">
        <f t="shared" si="17"/>
        <v xml:space="preserve"> </v>
      </c>
      <c r="F224" s="15" t="str">
        <f t="shared" si="18"/>
        <v xml:space="preserve"> </v>
      </c>
    </row>
    <row r="225" spans="2:6" x14ac:dyDescent="0.25">
      <c r="B225" s="16" t="str">
        <f t="shared" si="19"/>
        <v xml:space="preserve"> </v>
      </c>
      <c r="C225" s="54" t="str">
        <f t="shared" si="15"/>
        <v xml:space="preserve"> </v>
      </c>
      <c r="D225" s="73" t="str">
        <f t="shared" si="16"/>
        <v xml:space="preserve"> </v>
      </c>
      <c r="E225" s="15" t="str">
        <f t="shared" si="17"/>
        <v xml:space="preserve"> </v>
      </c>
      <c r="F225" s="15" t="str">
        <f t="shared" si="18"/>
        <v xml:space="preserve"> </v>
      </c>
    </row>
    <row r="226" spans="2:6" x14ac:dyDescent="0.25">
      <c r="B226" s="16" t="str">
        <f t="shared" si="19"/>
        <v xml:space="preserve"> </v>
      </c>
      <c r="C226" s="54" t="str">
        <f t="shared" si="15"/>
        <v xml:space="preserve"> </v>
      </c>
      <c r="D226" s="73" t="str">
        <f t="shared" si="16"/>
        <v xml:space="preserve"> </v>
      </c>
      <c r="E226" s="15" t="str">
        <f t="shared" si="17"/>
        <v xml:space="preserve"> </v>
      </c>
      <c r="F226" s="15" t="str">
        <f t="shared" si="18"/>
        <v xml:space="preserve"> </v>
      </c>
    </row>
    <row r="227" spans="2:6" x14ac:dyDescent="0.25">
      <c r="B227" s="16" t="str">
        <f t="shared" si="19"/>
        <v xml:space="preserve"> </v>
      </c>
      <c r="C227" s="54" t="str">
        <f t="shared" si="15"/>
        <v xml:space="preserve"> </v>
      </c>
      <c r="D227" s="73" t="str">
        <f t="shared" si="16"/>
        <v xml:space="preserve"> </v>
      </c>
      <c r="E227" s="15" t="str">
        <f t="shared" si="17"/>
        <v xml:space="preserve"> </v>
      </c>
      <c r="F227" s="15" t="str">
        <f t="shared" si="18"/>
        <v xml:space="preserve"> </v>
      </c>
    </row>
    <row r="228" spans="2:6" x14ac:dyDescent="0.25">
      <c r="B228" s="16" t="str">
        <f t="shared" si="19"/>
        <v xml:space="preserve"> </v>
      </c>
      <c r="C228" s="54" t="str">
        <f t="shared" si="15"/>
        <v xml:space="preserve"> </v>
      </c>
      <c r="D228" s="73" t="str">
        <f t="shared" si="16"/>
        <v xml:space="preserve"> </v>
      </c>
      <c r="E228" s="15" t="str">
        <f t="shared" si="17"/>
        <v xml:space="preserve"> </v>
      </c>
      <c r="F228" s="15" t="str">
        <f t="shared" si="18"/>
        <v xml:space="preserve"> </v>
      </c>
    </row>
    <row r="229" spans="2:6" x14ac:dyDescent="0.25">
      <c r="B229" s="16" t="str">
        <f t="shared" si="19"/>
        <v xml:space="preserve"> </v>
      </c>
      <c r="C229" s="54" t="str">
        <f t="shared" si="15"/>
        <v xml:space="preserve"> </v>
      </c>
      <c r="D229" s="73" t="str">
        <f t="shared" si="16"/>
        <v xml:space="preserve"> </v>
      </c>
      <c r="E229" s="15" t="str">
        <f t="shared" si="17"/>
        <v xml:space="preserve"> </v>
      </c>
      <c r="F229" s="15" t="str">
        <f t="shared" si="18"/>
        <v xml:space="preserve"> </v>
      </c>
    </row>
    <row r="230" spans="2:6" x14ac:dyDescent="0.25">
      <c r="B230" s="16" t="str">
        <f t="shared" si="19"/>
        <v xml:space="preserve"> </v>
      </c>
      <c r="C230" s="54" t="str">
        <f t="shared" si="15"/>
        <v xml:space="preserve"> </v>
      </c>
      <c r="D230" s="73" t="str">
        <f t="shared" si="16"/>
        <v xml:space="preserve"> </v>
      </c>
      <c r="E230" s="15" t="str">
        <f t="shared" si="17"/>
        <v xml:space="preserve"> </v>
      </c>
      <c r="F230" s="15" t="str">
        <f t="shared" si="18"/>
        <v xml:space="preserve"> </v>
      </c>
    </row>
    <row r="231" spans="2:6" x14ac:dyDescent="0.25">
      <c r="B231" s="16" t="str">
        <f t="shared" si="19"/>
        <v xml:space="preserve"> </v>
      </c>
      <c r="C231" s="54" t="str">
        <f t="shared" si="15"/>
        <v xml:space="preserve"> </v>
      </c>
      <c r="D231" s="73" t="str">
        <f t="shared" si="16"/>
        <v xml:space="preserve"> </v>
      </c>
      <c r="E231" s="15" t="str">
        <f t="shared" si="17"/>
        <v xml:space="preserve"> </v>
      </c>
      <c r="F231" s="15" t="str">
        <f t="shared" si="18"/>
        <v xml:space="preserve"> </v>
      </c>
    </row>
    <row r="232" spans="2:6" x14ac:dyDescent="0.25">
      <c r="B232" s="16" t="str">
        <f t="shared" si="19"/>
        <v xml:space="preserve"> </v>
      </c>
      <c r="C232" s="54" t="str">
        <f t="shared" si="15"/>
        <v xml:space="preserve"> </v>
      </c>
      <c r="D232" s="73" t="str">
        <f t="shared" si="16"/>
        <v xml:space="preserve"> </v>
      </c>
      <c r="E232" s="15" t="str">
        <f t="shared" si="17"/>
        <v xml:space="preserve"> </v>
      </c>
      <c r="F232" s="15" t="str">
        <f t="shared" si="18"/>
        <v xml:space="preserve"> </v>
      </c>
    </row>
    <row r="233" spans="2:6" x14ac:dyDescent="0.25">
      <c r="B233" s="16" t="str">
        <f t="shared" si="19"/>
        <v xml:space="preserve"> </v>
      </c>
      <c r="C233" s="54" t="str">
        <f t="shared" si="15"/>
        <v xml:space="preserve"> </v>
      </c>
      <c r="D233" s="73" t="str">
        <f t="shared" si="16"/>
        <v xml:space="preserve"> </v>
      </c>
      <c r="E233" s="15" t="str">
        <f t="shared" si="17"/>
        <v xml:space="preserve"> </v>
      </c>
      <c r="F233" s="15" t="str">
        <f t="shared" si="18"/>
        <v xml:space="preserve"> </v>
      </c>
    </row>
    <row r="234" spans="2:6" x14ac:dyDescent="0.25">
      <c r="B234" s="16" t="str">
        <f t="shared" si="19"/>
        <v xml:space="preserve"> </v>
      </c>
      <c r="C234" s="54" t="str">
        <f t="shared" si="15"/>
        <v xml:space="preserve"> </v>
      </c>
      <c r="D234" s="73" t="str">
        <f t="shared" si="16"/>
        <v xml:space="preserve"> </v>
      </c>
      <c r="E234" s="15" t="str">
        <f t="shared" si="17"/>
        <v xml:space="preserve"> </v>
      </c>
      <c r="F234" s="15" t="str">
        <f t="shared" si="18"/>
        <v xml:space="preserve"> </v>
      </c>
    </row>
    <row r="235" spans="2:6" x14ac:dyDescent="0.25">
      <c r="B235" s="16" t="str">
        <f t="shared" si="19"/>
        <v xml:space="preserve"> </v>
      </c>
      <c r="C235" s="54" t="str">
        <f t="shared" si="15"/>
        <v xml:space="preserve"> </v>
      </c>
      <c r="D235" s="73" t="str">
        <f t="shared" si="16"/>
        <v xml:space="preserve"> </v>
      </c>
      <c r="E235" s="15" t="str">
        <f t="shared" si="17"/>
        <v xml:space="preserve"> </v>
      </c>
      <c r="F235" s="15" t="str">
        <f t="shared" si="18"/>
        <v xml:space="preserve"> </v>
      </c>
    </row>
    <row r="236" spans="2:6" x14ac:dyDescent="0.25">
      <c r="B236" s="16" t="str">
        <f t="shared" si="19"/>
        <v xml:space="preserve"> </v>
      </c>
      <c r="C236" s="54" t="str">
        <f t="shared" si="15"/>
        <v xml:space="preserve"> </v>
      </c>
      <c r="D236" s="73" t="str">
        <f t="shared" si="16"/>
        <v xml:space="preserve"> </v>
      </c>
      <c r="E236" s="15" t="str">
        <f t="shared" si="17"/>
        <v xml:space="preserve"> </v>
      </c>
      <c r="F236" s="15" t="str">
        <f t="shared" si="18"/>
        <v xml:space="preserve"> </v>
      </c>
    </row>
    <row r="237" spans="2:6" x14ac:dyDescent="0.25">
      <c r="B237" s="16" t="str">
        <f t="shared" si="19"/>
        <v xml:space="preserve"> </v>
      </c>
      <c r="C237" s="54" t="str">
        <f t="shared" si="15"/>
        <v xml:space="preserve"> </v>
      </c>
      <c r="D237" s="73" t="str">
        <f t="shared" si="16"/>
        <v xml:space="preserve"> </v>
      </c>
      <c r="E237" s="15" t="str">
        <f t="shared" si="17"/>
        <v xml:space="preserve"> </v>
      </c>
      <c r="F237" s="15" t="str">
        <f t="shared" si="18"/>
        <v xml:space="preserve"> </v>
      </c>
    </row>
    <row r="238" spans="2:6" x14ac:dyDescent="0.25">
      <c r="B238" s="16" t="str">
        <f t="shared" si="19"/>
        <v xml:space="preserve"> </v>
      </c>
      <c r="C238" s="54" t="str">
        <f t="shared" si="15"/>
        <v xml:space="preserve"> </v>
      </c>
      <c r="D238" s="73" t="str">
        <f t="shared" si="16"/>
        <v xml:space="preserve"> </v>
      </c>
      <c r="E238" s="15" t="str">
        <f t="shared" si="17"/>
        <v xml:space="preserve"> </v>
      </c>
      <c r="F238" s="15" t="str">
        <f t="shared" si="18"/>
        <v xml:space="preserve"> </v>
      </c>
    </row>
    <row r="239" spans="2:6" x14ac:dyDescent="0.25">
      <c r="B239" s="16" t="str">
        <f t="shared" si="19"/>
        <v xml:space="preserve"> </v>
      </c>
      <c r="C239" s="54" t="str">
        <f t="shared" si="15"/>
        <v xml:space="preserve"> </v>
      </c>
      <c r="D239" s="73" t="str">
        <f t="shared" si="16"/>
        <v xml:space="preserve"> </v>
      </c>
      <c r="E239" s="15" t="str">
        <f t="shared" si="17"/>
        <v xml:space="preserve"> </v>
      </c>
      <c r="F239" s="15" t="str">
        <f t="shared" si="18"/>
        <v xml:space="preserve"> </v>
      </c>
    </row>
    <row r="240" spans="2:6" x14ac:dyDescent="0.25">
      <c r="B240" s="16" t="str">
        <f t="shared" si="19"/>
        <v xml:space="preserve"> </v>
      </c>
      <c r="C240" s="54" t="str">
        <f t="shared" si="15"/>
        <v xml:space="preserve"> </v>
      </c>
      <c r="D240" s="73" t="str">
        <f t="shared" si="16"/>
        <v xml:space="preserve"> </v>
      </c>
      <c r="E240" s="15" t="str">
        <f t="shared" si="17"/>
        <v xml:space="preserve"> </v>
      </c>
      <c r="F240" s="15" t="str">
        <f t="shared" si="18"/>
        <v xml:space="preserve"> </v>
      </c>
    </row>
    <row r="241" spans="2:6" x14ac:dyDescent="0.25">
      <c r="B241" s="16" t="str">
        <f t="shared" si="19"/>
        <v xml:space="preserve"> </v>
      </c>
      <c r="C241" s="54" t="str">
        <f t="shared" si="15"/>
        <v xml:space="preserve"> </v>
      </c>
      <c r="D241" s="73" t="str">
        <f t="shared" si="16"/>
        <v xml:space="preserve"> </v>
      </c>
      <c r="E241" s="15" t="str">
        <f t="shared" si="17"/>
        <v xml:space="preserve"> </v>
      </c>
      <c r="F241" s="15" t="str">
        <f t="shared" si="18"/>
        <v xml:space="preserve"> </v>
      </c>
    </row>
    <row r="242" spans="2:6" x14ac:dyDescent="0.25">
      <c r="B242" s="16" t="str">
        <f t="shared" si="19"/>
        <v xml:space="preserve"> </v>
      </c>
      <c r="C242" s="54" t="str">
        <f t="shared" si="15"/>
        <v xml:space="preserve"> </v>
      </c>
      <c r="D242" s="73" t="str">
        <f t="shared" si="16"/>
        <v xml:space="preserve"> </v>
      </c>
      <c r="E242" s="15" t="str">
        <f t="shared" si="17"/>
        <v xml:space="preserve"> </v>
      </c>
      <c r="F242" s="15" t="str">
        <f t="shared" si="18"/>
        <v xml:space="preserve"> </v>
      </c>
    </row>
    <row r="243" spans="2:6" x14ac:dyDescent="0.25">
      <c r="B243" s="16" t="str">
        <f t="shared" si="19"/>
        <v xml:space="preserve"> </v>
      </c>
      <c r="C243" s="54" t="str">
        <f t="shared" si="15"/>
        <v xml:space="preserve"> </v>
      </c>
      <c r="D243" s="73" t="str">
        <f t="shared" si="16"/>
        <v xml:space="preserve"> </v>
      </c>
      <c r="E243" s="15" t="str">
        <f t="shared" si="17"/>
        <v xml:space="preserve"> </v>
      </c>
      <c r="F243" s="15" t="str">
        <f t="shared" si="18"/>
        <v xml:space="preserve"> </v>
      </c>
    </row>
    <row r="244" spans="2:6" x14ac:dyDescent="0.25">
      <c r="B244" s="16" t="str">
        <f t="shared" si="19"/>
        <v xml:space="preserve"> </v>
      </c>
      <c r="C244" s="54" t="str">
        <f t="shared" si="15"/>
        <v xml:space="preserve"> </v>
      </c>
      <c r="D244" s="73" t="str">
        <f t="shared" si="16"/>
        <v xml:space="preserve"> </v>
      </c>
      <c r="E244" s="15" t="str">
        <f t="shared" si="17"/>
        <v xml:space="preserve"> </v>
      </c>
      <c r="F244" s="15" t="str">
        <f t="shared" si="18"/>
        <v xml:space="preserve"> </v>
      </c>
    </row>
    <row r="245" spans="2:6" x14ac:dyDescent="0.25">
      <c r="B245" s="16" t="str">
        <f t="shared" si="19"/>
        <v xml:space="preserve"> </v>
      </c>
      <c r="C245" s="54" t="str">
        <f t="shared" si="15"/>
        <v xml:space="preserve"> </v>
      </c>
      <c r="D245" s="73" t="str">
        <f t="shared" si="16"/>
        <v xml:space="preserve"> </v>
      </c>
      <c r="E245" s="15" t="str">
        <f t="shared" si="17"/>
        <v xml:space="preserve"> </v>
      </c>
      <c r="F245" s="15" t="str">
        <f t="shared" si="18"/>
        <v xml:space="preserve"> </v>
      </c>
    </row>
    <row r="246" spans="2:6" x14ac:dyDescent="0.25">
      <c r="B246" s="16" t="str">
        <f t="shared" si="19"/>
        <v xml:space="preserve"> </v>
      </c>
      <c r="C246" s="54" t="str">
        <f t="shared" si="15"/>
        <v xml:space="preserve"> </v>
      </c>
      <c r="D246" s="73" t="str">
        <f t="shared" si="16"/>
        <v xml:space="preserve"> </v>
      </c>
      <c r="E246" s="15" t="str">
        <f t="shared" si="17"/>
        <v xml:space="preserve"> </v>
      </c>
      <c r="F246" s="15" t="str">
        <f t="shared" si="18"/>
        <v xml:space="preserve"> </v>
      </c>
    </row>
    <row r="247" spans="2:6" x14ac:dyDescent="0.25">
      <c r="B247" s="16" t="str">
        <f t="shared" si="19"/>
        <v xml:space="preserve"> </v>
      </c>
      <c r="C247" s="54" t="str">
        <f t="shared" si="15"/>
        <v xml:space="preserve"> </v>
      </c>
      <c r="D247" s="73" t="str">
        <f t="shared" si="16"/>
        <v xml:space="preserve"> </v>
      </c>
      <c r="E247" s="15" t="str">
        <f t="shared" si="17"/>
        <v xml:space="preserve"> </v>
      </c>
      <c r="F247" s="15" t="str">
        <f t="shared" si="18"/>
        <v xml:space="preserve"> </v>
      </c>
    </row>
    <row r="248" spans="2:6" x14ac:dyDescent="0.25">
      <c r="B248" s="16" t="str">
        <f t="shared" si="19"/>
        <v xml:space="preserve"> </v>
      </c>
      <c r="C248" s="54" t="str">
        <f t="shared" si="15"/>
        <v xml:space="preserve"> </v>
      </c>
      <c r="D248" s="73" t="str">
        <f t="shared" si="16"/>
        <v xml:space="preserve"> </v>
      </c>
      <c r="E248" s="15" t="str">
        <f t="shared" si="17"/>
        <v xml:space="preserve"> </v>
      </c>
      <c r="F248" s="15" t="str">
        <f t="shared" si="18"/>
        <v xml:space="preserve"> </v>
      </c>
    </row>
    <row r="249" spans="2:6" x14ac:dyDescent="0.25">
      <c r="B249" s="16" t="str">
        <f t="shared" si="19"/>
        <v xml:space="preserve"> </v>
      </c>
      <c r="C249" s="54" t="str">
        <f t="shared" si="15"/>
        <v xml:space="preserve"> </v>
      </c>
      <c r="D249" s="73" t="str">
        <f t="shared" si="16"/>
        <v xml:space="preserve"> </v>
      </c>
      <c r="E249" s="15" t="str">
        <f t="shared" si="17"/>
        <v xml:space="preserve"> </v>
      </c>
      <c r="F249" s="15" t="str">
        <f t="shared" si="18"/>
        <v xml:space="preserve"> </v>
      </c>
    </row>
    <row r="250" spans="2:6" x14ac:dyDescent="0.25">
      <c r="B250" s="16" t="str">
        <f t="shared" si="19"/>
        <v xml:space="preserve"> </v>
      </c>
      <c r="C250" s="54" t="str">
        <f t="shared" si="15"/>
        <v xml:space="preserve"> </v>
      </c>
      <c r="D250" s="73" t="str">
        <f t="shared" si="16"/>
        <v xml:space="preserve"> </v>
      </c>
      <c r="E250" s="15" t="str">
        <f t="shared" si="17"/>
        <v xml:space="preserve"> </v>
      </c>
      <c r="F250" s="15" t="str">
        <f t="shared" si="18"/>
        <v xml:space="preserve"> </v>
      </c>
    </row>
    <row r="251" spans="2:6" x14ac:dyDescent="0.25">
      <c r="B251" s="16" t="str">
        <f t="shared" si="19"/>
        <v xml:space="preserve"> </v>
      </c>
      <c r="C251" s="54" t="str">
        <f t="shared" si="15"/>
        <v xml:space="preserve"> </v>
      </c>
      <c r="D251" s="73" t="str">
        <f t="shared" si="16"/>
        <v xml:space="preserve"> </v>
      </c>
      <c r="E251" s="15" t="str">
        <f t="shared" si="17"/>
        <v xml:space="preserve"> </v>
      </c>
      <c r="F251" s="15" t="str">
        <f t="shared" si="18"/>
        <v xml:space="preserve"> </v>
      </c>
    </row>
    <row r="252" spans="2:6" x14ac:dyDescent="0.25">
      <c r="B252" s="16" t="str">
        <f t="shared" si="19"/>
        <v xml:space="preserve"> </v>
      </c>
      <c r="C252" s="54" t="str">
        <f t="shared" si="15"/>
        <v xml:space="preserve"> </v>
      </c>
      <c r="D252" s="73" t="str">
        <f t="shared" si="16"/>
        <v xml:space="preserve"> </v>
      </c>
      <c r="E252" s="15" t="str">
        <f t="shared" si="17"/>
        <v xml:space="preserve"> </v>
      </c>
      <c r="F252" s="15" t="str">
        <f t="shared" si="18"/>
        <v xml:space="preserve"> </v>
      </c>
    </row>
    <row r="253" spans="2:6" x14ac:dyDescent="0.25">
      <c r="B253" s="16" t="str">
        <f t="shared" si="19"/>
        <v xml:space="preserve"> </v>
      </c>
      <c r="C253" s="54" t="str">
        <f t="shared" si="15"/>
        <v xml:space="preserve"> </v>
      </c>
      <c r="D253" s="73" t="str">
        <f t="shared" si="16"/>
        <v xml:space="preserve"> </v>
      </c>
      <c r="E253" s="15" t="str">
        <f t="shared" si="17"/>
        <v xml:space="preserve"> </v>
      </c>
      <c r="F253" s="15" t="str">
        <f t="shared" si="18"/>
        <v xml:space="preserve"> </v>
      </c>
    </row>
    <row r="254" spans="2:6" x14ac:dyDescent="0.25">
      <c r="B254" s="16" t="str">
        <f t="shared" si="19"/>
        <v xml:space="preserve"> </v>
      </c>
      <c r="C254" s="54" t="str">
        <f t="shared" si="15"/>
        <v xml:space="preserve"> </v>
      </c>
      <c r="D254" s="73" t="str">
        <f t="shared" si="16"/>
        <v xml:space="preserve"> </v>
      </c>
      <c r="E254" s="15" t="str">
        <f t="shared" si="17"/>
        <v xml:space="preserve"> </v>
      </c>
      <c r="F254" s="15" t="str">
        <f t="shared" si="18"/>
        <v xml:space="preserve"> </v>
      </c>
    </row>
    <row r="255" spans="2:6" x14ac:dyDescent="0.25">
      <c r="B255" s="16" t="str">
        <f t="shared" si="19"/>
        <v xml:space="preserve"> </v>
      </c>
      <c r="C255" s="54" t="str">
        <f t="shared" si="15"/>
        <v xml:space="preserve"> </v>
      </c>
      <c r="D255" s="73" t="str">
        <f t="shared" si="16"/>
        <v xml:space="preserve"> </v>
      </c>
      <c r="E255" s="15" t="str">
        <f t="shared" si="17"/>
        <v xml:space="preserve"> </v>
      </c>
      <c r="F255" s="15" t="str">
        <f t="shared" si="18"/>
        <v xml:space="preserve"> </v>
      </c>
    </row>
    <row r="256" spans="2:6" x14ac:dyDescent="0.25">
      <c r="B256" s="16" t="str">
        <f t="shared" si="19"/>
        <v xml:space="preserve"> </v>
      </c>
      <c r="C256" s="54" t="str">
        <f t="shared" si="15"/>
        <v xml:space="preserve"> </v>
      </c>
      <c r="D256" s="73" t="str">
        <f t="shared" si="16"/>
        <v xml:space="preserve"> </v>
      </c>
      <c r="E256" s="15" t="str">
        <f t="shared" si="17"/>
        <v xml:space="preserve"> </v>
      </c>
      <c r="F256" s="15" t="str">
        <f t="shared" si="18"/>
        <v xml:space="preserve"> </v>
      </c>
    </row>
    <row r="257" spans="2:6" x14ac:dyDescent="0.25">
      <c r="B257" s="16" t="str">
        <f t="shared" si="19"/>
        <v xml:space="preserve"> </v>
      </c>
      <c r="C257" s="54" t="str">
        <f t="shared" si="15"/>
        <v xml:space="preserve"> </v>
      </c>
      <c r="D257" s="73" t="str">
        <f t="shared" si="16"/>
        <v xml:space="preserve"> </v>
      </c>
      <c r="E257" s="15" t="str">
        <f t="shared" si="17"/>
        <v xml:space="preserve"> </v>
      </c>
      <c r="F257" s="15" t="str">
        <f t="shared" si="18"/>
        <v xml:space="preserve"> </v>
      </c>
    </row>
    <row r="258" spans="2:6" x14ac:dyDescent="0.25">
      <c r="B258" s="16" t="str">
        <f t="shared" si="19"/>
        <v xml:space="preserve"> </v>
      </c>
      <c r="C258" s="54" t="str">
        <f t="shared" si="15"/>
        <v xml:space="preserve"> </v>
      </c>
      <c r="D258" s="73" t="str">
        <f t="shared" si="16"/>
        <v xml:space="preserve"> </v>
      </c>
      <c r="E258" s="15" t="str">
        <f t="shared" si="17"/>
        <v xml:space="preserve"> </v>
      </c>
      <c r="F258" s="15" t="str">
        <f t="shared" si="18"/>
        <v xml:space="preserve"> </v>
      </c>
    </row>
    <row r="259" spans="2:6" x14ac:dyDescent="0.25">
      <c r="B259" s="16" t="str">
        <f t="shared" si="19"/>
        <v xml:space="preserve"> </v>
      </c>
      <c r="C259" s="54" t="str">
        <f t="shared" si="15"/>
        <v xml:space="preserve"> </v>
      </c>
      <c r="D259" s="73" t="str">
        <f t="shared" si="16"/>
        <v xml:space="preserve"> </v>
      </c>
      <c r="E259" s="15" t="str">
        <f t="shared" si="17"/>
        <v xml:space="preserve"> </v>
      </c>
      <c r="F259" s="15" t="str">
        <f t="shared" si="18"/>
        <v xml:space="preserve"> </v>
      </c>
    </row>
    <row r="260" spans="2:6" x14ac:dyDescent="0.25">
      <c r="B260" s="16" t="str">
        <f t="shared" si="19"/>
        <v xml:space="preserve"> </v>
      </c>
      <c r="C260" s="54" t="str">
        <f t="shared" si="15"/>
        <v xml:space="preserve"> </v>
      </c>
      <c r="D260" s="73" t="str">
        <f t="shared" si="16"/>
        <v xml:space="preserve"> </v>
      </c>
      <c r="E260" s="15" t="str">
        <f t="shared" si="17"/>
        <v xml:space="preserve"> </v>
      </c>
      <c r="F260" s="15" t="str">
        <f t="shared" si="18"/>
        <v xml:space="preserve"> </v>
      </c>
    </row>
    <row r="261" spans="2:6" x14ac:dyDescent="0.25">
      <c r="B261" s="16" t="str">
        <f t="shared" si="19"/>
        <v xml:space="preserve"> </v>
      </c>
      <c r="C261" s="54" t="str">
        <f t="shared" si="15"/>
        <v xml:space="preserve"> </v>
      </c>
      <c r="D261" s="73" t="str">
        <f t="shared" si="16"/>
        <v xml:space="preserve"> </v>
      </c>
      <c r="E261" s="15" t="str">
        <f t="shared" si="17"/>
        <v xml:space="preserve"> </v>
      </c>
      <c r="F261" s="15" t="str">
        <f t="shared" si="18"/>
        <v xml:space="preserve"> </v>
      </c>
    </row>
    <row r="262" spans="2:6" x14ac:dyDescent="0.25">
      <c r="B262" s="16" t="str">
        <f t="shared" si="19"/>
        <v xml:space="preserve"> </v>
      </c>
      <c r="C262" s="54" t="str">
        <f t="shared" si="15"/>
        <v xml:space="preserve"> </v>
      </c>
      <c r="D262" s="73" t="str">
        <f t="shared" si="16"/>
        <v xml:space="preserve"> </v>
      </c>
      <c r="E262" s="15" t="str">
        <f t="shared" si="17"/>
        <v xml:space="preserve"> </v>
      </c>
      <c r="F262" s="15" t="str">
        <f t="shared" si="18"/>
        <v xml:space="preserve"> </v>
      </c>
    </row>
    <row r="263" spans="2:6" x14ac:dyDescent="0.25">
      <c r="B263" s="16" t="str">
        <f t="shared" si="19"/>
        <v xml:space="preserve"> </v>
      </c>
      <c r="C263" s="54" t="str">
        <f t="shared" si="15"/>
        <v xml:space="preserve"> </v>
      </c>
      <c r="D263" s="73" t="str">
        <f t="shared" si="16"/>
        <v xml:space="preserve"> </v>
      </c>
      <c r="E263" s="15" t="str">
        <f t="shared" si="17"/>
        <v xml:space="preserve"> </v>
      </c>
      <c r="F263" s="15" t="str">
        <f t="shared" si="18"/>
        <v xml:space="preserve"> </v>
      </c>
    </row>
    <row r="264" spans="2:6" x14ac:dyDescent="0.25">
      <c r="B264" s="16" t="str">
        <f t="shared" si="19"/>
        <v xml:space="preserve"> </v>
      </c>
      <c r="C264" s="54" t="str">
        <f t="shared" si="15"/>
        <v xml:space="preserve"> </v>
      </c>
      <c r="D264" s="73" t="str">
        <f t="shared" si="16"/>
        <v xml:space="preserve"> </v>
      </c>
      <c r="E264" s="15" t="str">
        <f t="shared" si="17"/>
        <v xml:space="preserve"> </v>
      </c>
      <c r="F264" s="15" t="str">
        <f t="shared" si="18"/>
        <v xml:space="preserve"> </v>
      </c>
    </row>
    <row r="265" spans="2:6" x14ac:dyDescent="0.25">
      <c r="B265" s="16" t="str">
        <f t="shared" si="19"/>
        <v xml:space="preserve"> </v>
      </c>
      <c r="C265" s="54" t="str">
        <f t="shared" si="15"/>
        <v xml:space="preserve"> </v>
      </c>
      <c r="D265" s="73" t="str">
        <f t="shared" si="16"/>
        <v xml:space="preserve"> </v>
      </c>
      <c r="E265" s="15" t="str">
        <f t="shared" si="17"/>
        <v xml:space="preserve"> </v>
      </c>
      <c r="F265" s="15" t="str">
        <f t="shared" si="18"/>
        <v xml:space="preserve"> </v>
      </c>
    </row>
    <row r="266" spans="2:6" x14ac:dyDescent="0.25">
      <c r="B266" s="16" t="str">
        <f t="shared" si="19"/>
        <v xml:space="preserve"> </v>
      </c>
      <c r="C266" s="54" t="str">
        <f t="shared" si="15"/>
        <v xml:space="preserve"> </v>
      </c>
      <c r="D266" s="73" t="str">
        <f t="shared" si="16"/>
        <v xml:space="preserve"> </v>
      </c>
      <c r="E266" s="15" t="str">
        <f t="shared" si="17"/>
        <v xml:space="preserve"> </v>
      </c>
      <c r="F266" s="15" t="str">
        <f t="shared" si="18"/>
        <v xml:space="preserve"> </v>
      </c>
    </row>
    <row r="267" spans="2:6" x14ac:dyDescent="0.25">
      <c r="B267" s="16" t="str">
        <f t="shared" si="19"/>
        <v xml:space="preserve"> </v>
      </c>
      <c r="C267" s="54" t="str">
        <f t="shared" si="15"/>
        <v xml:space="preserve"> </v>
      </c>
      <c r="D267" s="73" t="str">
        <f t="shared" si="16"/>
        <v xml:space="preserve"> </v>
      </c>
      <c r="E267" s="15" t="str">
        <f t="shared" si="17"/>
        <v xml:space="preserve"> </v>
      </c>
      <c r="F267" s="15" t="str">
        <f t="shared" si="18"/>
        <v xml:space="preserve"> </v>
      </c>
    </row>
    <row r="268" spans="2:6" x14ac:dyDescent="0.25">
      <c r="B268" s="16" t="str">
        <f t="shared" si="19"/>
        <v xml:space="preserve"> </v>
      </c>
      <c r="C268" s="54" t="str">
        <f t="shared" si="15"/>
        <v xml:space="preserve"> </v>
      </c>
      <c r="D268" s="73" t="str">
        <f t="shared" si="16"/>
        <v xml:space="preserve"> </v>
      </c>
      <c r="E268" s="15" t="str">
        <f t="shared" si="17"/>
        <v xml:space="preserve"> </v>
      </c>
      <c r="F268" s="15" t="str">
        <f t="shared" si="18"/>
        <v xml:space="preserve"> </v>
      </c>
    </row>
    <row r="269" spans="2:6" x14ac:dyDescent="0.25">
      <c r="B269" s="16" t="str">
        <f t="shared" si="19"/>
        <v xml:space="preserve"> </v>
      </c>
      <c r="C269" s="54" t="str">
        <f t="shared" ref="C269:C332" si="20">IF(B269&lt;=$D$6,-PMT($D$5,$D$6,$D$4,0)," ")</f>
        <v xml:space="preserve"> </v>
      </c>
      <c r="D269" s="73" t="str">
        <f t="shared" ref="D269:D332" si="21">IF(B269&lt;=$D$6,-IPMT($D$5,B269,$D$6,$D$4)," ")</f>
        <v xml:space="preserve"> </v>
      </c>
      <c r="E269" s="15" t="str">
        <f t="shared" ref="E269:E332" si="22">IF(B269&lt;=$D$6,-PPMT($D$5,B269,$D$6,$D$4)," ")</f>
        <v xml:space="preserve"> </v>
      </c>
      <c r="F269" s="15" t="str">
        <f t="shared" ref="F269:F332" si="23">IF(B269&lt;=$D$6,(F268-E269)," ")</f>
        <v xml:space="preserve"> </v>
      </c>
    </row>
    <row r="270" spans="2:6" x14ac:dyDescent="0.25">
      <c r="B270" s="16" t="str">
        <f t="shared" ref="B270:B333" si="24">IF(B269=" "," ",IF(B269&lt;$D$6,B269+1," "))</f>
        <v xml:space="preserve"> </v>
      </c>
      <c r="C270" s="54" t="str">
        <f t="shared" si="20"/>
        <v xml:space="preserve"> </v>
      </c>
      <c r="D270" s="73" t="str">
        <f t="shared" si="21"/>
        <v xml:space="preserve"> </v>
      </c>
      <c r="E270" s="15" t="str">
        <f t="shared" si="22"/>
        <v xml:space="preserve"> </v>
      </c>
      <c r="F270" s="15" t="str">
        <f t="shared" si="23"/>
        <v xml:space="preserve"> </v>
      </c>
    </row>
    <row r="271" spans="2:6" x14ac:dyDescent="0.25">
      <c r="B271" s="16" t="str">
        <f t="shared" si="24"/>
        <v xml:space="preserve"> </v>
      </c>
      <c r="C271" s="54" t="str">
        <f t="shared" si="20"/>
        <v xml:space="preserve"> </v>
      </c>
      <c r="D271" s="73" t="str">
        <f t="shared" si="21"/>
        <v xml:space="preserve"> </v>
      </c>
      <c r="E271" s="15" t="str">
        <f t="shared" si="22"/>
        <v xml:space="preserve"> </v>
      </c>
      <c r="F271" s="15" t="str">
        <f t="shared" si="23"/>
        <v xml:space="preserve"> </v>
      </c>
    </row>
    <row r="272" spans="2:6" x14ac:dyDescent="0.25">
      <c r="B272" s="16" t="str">
        <f t="shared" si="24"/>
        <v xml:space="preserve"> </v>
      </c>
      <c r="C272" s="54" t="str">
        <f t="shared" si="20"/>
        <v xml:space="preserve"> </v>
      </c>
      <c r="D272" s="73" t="str">
        <f t="shared" si="21"/>
        <v xml:space="preserve"> </v>
      </c>
      <c r="E272" s="15" t="str">
        <f t="shared" si="22"/>
        <v xml:space="preserve"> </v>
      </c>
      <c r="F272" s="15" t="str">
        <f t="shared" si="23"/>
        <v xml:space="preserve"> </v>
      </c>
    </row>
    <row r="273" spans="2:6" x14ac:dyDescent="0.25">
      <c r="B273" s="16" t="str">
        <f t="shared" si="24"/>
        <v xml:space="preserve"> </v>
      </c>
      <c r="C273" s="54" t="str">
        <f t="shared" si="20"/>
        <v xml:space="preserve"> </v>
      </c>
      <c r="D273" s="73" t="str">
        <f t="shared" si="21"/>
        <v xml:space="preserve"> </v>
      </c>
      <c r="E273" s="15" t="str">
        <f t="shared" si="22"/>
        <v xml:space="preserve"> </v>
      </c>
      <c r="F273" s="15" t="str">
        <f t="shared" si="23"/>
        <v xml:space="preserve"> </v>
      </c>
    </row>
    <row r="274" spans="2:6" x14ac:dyDescent="0.25">
      <c r="B274" s="16" t="str">
        <f t="shared" si="24"/>
        <v xml:space="preserve"> </v>
      </c>
      <c r="C274" s="54" t="str">
        <f t="shared" si="20"/>
        <v xml:space="preserve"> </v>
      </c>
      <c r="D274" s="73" t="str">
        <f t="shared" si="21"/>
        <v xml:space="preserve"> </v>
      </c>
      <c r="E274" s="15" t="str">
        <f t="shared" si="22"/>
        <v xml:space="preserve"> </v>
      </c>
      <c r="F274" s="15" t="str">
        <f t="shared" si="23"/>
        <v xml:space="preserve"> </v>
      </c>
    </row>
    <row r="275" spans="2:6" x14ac:dyDescent="0.25">
      <c r="B275" s="16" t="str">
        <f t="shared" si="24"/>
        <v xml:space="preserve"> </v>
      </c>
      <c r="C275" s="54" t="str">
        <f t="shared" si="20"/>
        <v xml:space="preserve"> </v>
      </c>
      <c r="D275" s="73" t="str">
        <f t="shared" si="21"/>
        <v xml:space="preserve"> </v>
      </c>
      <c r="E275" s="15" t="str">
        <f t="shared" si="22"/>
        <v xml:space="preserve"> </v>
      </c>
      <c r="F275" s="15" t="str">
        <f t="shared" si="23"/>
        <v xml:space="preserve"> </v>
      </c>
    </row>
    <row r="276" spans="2:6" x14ac:dyDescent="0.25">
      <c r="B276" s="16" t="str">
        <f t="shared" si="24"/>
        <v xml:space="preserve"> </v>
      </c>
      <c r="C276" s="54" t="str">
        <f t="shared" si="20"/>
        <v xml:space="preserve"> </v>
      </c>
      <c r="D276" s="73" t="str">
        <f t="shared" si="21"/>
        <v xml:space="preserve"> </v>
      </c>
      <c r="E276" s="15" t="str">
        <f t="shared" si="22"/>
        <v xml:space="preserve"> </v>
      </c>
      <c r="F276" s="15" t="str">
        <f t="shared" si="23"/>
        <v xml:space="preserve"> </v>
      </c>
    </row>
    <row r="277" spans="2:6" x14ac:dyDescent="0.25">
      <c r="B277" s="16" t="str">
        <f t="shared" si="24"/>
        <v xml:space="preserve"> </v>
      </c>
      <c r="C277" s="54" t="str">
        <f t="shared" si="20"/>
        <v xml:space="preserve"> </v>
      </c>
      <c r="D277" s="73" t="str">
        <f t="shared" si="21"/>
        <v xml:space="preserve"> </v>
      </c>
      <c r="E277" s="15" t="str">
        <f t="shared" si="22"/>
        <v xml:space="preserve"> </v>
      </c>
      <c r="F277" s="15" t="str">
        <f t="shared" si="23"/>
        <v xml:space="preserve"> </v>
      </c>
    </row>
    <row r="278" spans="2:6" x14ac:dyDescent="0.25">
      <c r="B278" s="16" t="str">
        <f t="shared" si="24"/>
        <v xml:space="preserve"> </v>
      </c>
      <c r="C278" s="54" t="str">
        <f t="shared" si="20"/>
        <v xml:space="preserve"> </v>
      </c>
      <c r="D278" s="73" t="str">
        <f t="shared" si="21"/>
        <v xml:space="preserve"> </v>
      </c>
      <c r="E278" s="15" t="str">
        <f t="shared" si="22"/>
        <v xml:space="preserve"> </v>
      </c>
      <c r="F278" s="15" t="str">
        <f t="shared" si="23"/>
        <v xml:space="preserve"> </v>
      </c>
    </row>
    <row r="279" spans="2:6" x14ac:dyDescent="0.25">
      <c r="B279" s="16" t="str">
        <f t="shared" si="24"/>
        <v xml:space="preserve"> </v>
      </c>
      <c r="C279" s="54" t="str">
        <f t="shared" si="20"/>
        <v xml:space="preserve"> </v>
      </c>
      <c r="D279" s="73" t="str">
        <f t="shared" si="21"/>
        <v xml:space="preserve"> </v>
      </c>
      <c r="E279" s="15" t="str">
        <f t="shared" si="22"/>
        <v xml:space="preserve"> </v>
      </c>
      <c r="F279" s="15" t="str">
        <f t="shared" si="23"/>
        <v xml:space="preserve"> </v>
      </c>
    </row>
    <row r="280" spans="2:6" x14ac:dyDescent="0.25">
      <c r="B280" s="16" t="str">
        <f t="shared" si="24"/>
        <v xml:space="preserve"> </v>
      </c>
      <c r="C280" s="54" t="str">
        <f t="shared" si="20"/>
        <v xml:space="preserve"> </v>
      </c>
      <c r="D280" s="73" t="str">
        <f t="shared" si="21"/>
        <v xml:space="preserve"> </v>
      </c>
      <c r="E280" s="15" t="str">
        <f t="shared" si="22"/>
        <v xml:space="preserve"> </v>
      </c>
      <c r="F280" s="15" t="str">
        <f t="shared" si="23"/>
        <v xml:space="preserve"> </v>
      </c>
    </row>
    <row r="281" spans="2:6" x14ac:dyDescent="0.25">
      <c r="B281" s="16" t="str">
        <f t="shared" si="24"/>
        <v xml:space="preserve"> </v>
      </c>
      <c r="C281" s="54" t="str">
        <f t="shared" si="20"/>
        <v xml:space="preserve"> </v>
      </c>
      <c r="D281" s="73" t="str">
        <f t="shared" si="21"/>
        <v xml:space="preserve"> </v>
      </c>
      <c r="E281" s="15" t="str">
        <f t="shared" si="22"/>
        <v xml:space="preserve"> </v>
      </c>
      <c r="F281" s="15" t="str">
        <f t="shared" si="23"/>
        <v xml:space="preserve"> </v>
      </c>
    </row>
    <row r="282" spans="2:6" x14ac:dyDescent="0.25">
      <c r="B282" s="16" t="str">
        <f t="shared" si="24"/>
        <v xml:space="preserve"> </v>
      </c>
      <c r="C282" s="54" t="str">
        <f t="shared" si="20"/>
        <v xml:space="preserve"> </v>
      </c>
      <c r="D282" s="73" t="str">
        <f t="shared" si="21"/>
        <v xml:space="preserve"> </v>
      </c>
      <c r="E282" s="15" t="str">
        <f t="shared" si="22"/>
        <v xml:space="preserve"> </v>
      </c>
      <c r="F282" s="15" t="str">
        <f t="shared" si="23"/>
        <v xml:space="preserve"> </v>
      </c>
    </row>
    <row r="283" spans="2:6" x14ac:dyDescent="0.25">
      <c r="B283" s="16" t="str">
        <f t="shared" si="24"/>
        <v xml:space="preserve"> </v>
      </c>
      <c r="C283" s="54" t="str">
        <f t="shared" si="20"/>
        <v xml:space="preserve"> </v>
      </c>
      <c r="D283" s="73" t="str">
        <f t="shared" si="21"/>
        <v xml:space="preserve"> </v>
      </c>
      <c r="E283" s="15" t="str">
        <f t="shared" si="22"/>
        <v xml:space="preserve"> </v>
      </c>
      <c r="F283" s="15" t="str">
        <f t="shared" si="23"/>
        <v xml:space="preserve"> </v>
      </c>
    </row>
    <row r="284" spans="2:6" x14ac:dyDescent="0.25">
      <c r="B284" s="16" t="str">
        <f t="shared" si="24"/>
        <v xml:space="preserve"> </v>
      </c>
      <c r="C284" s="54" t="str">
        <f t="shared" si="20"/>
        <v xml:space="preserve"> </v>
      </c>
      <c r="D284" s="73" t="str">
        <f t="shared" si="21"/>
        <v xml:space="preserve"> </v>
      </c>
      <c r="E284" s="15" t="str">
        <f t="shared" si="22"/>
        <v xml:space="preserve"> </v>
      </c>
      <c r="F284" s="15" t="str">
        <f t="shared" si="23"/>
        <v xml:space="preserve"> </v>
      </c>
    </row>
    <row r="285" spans="2:6" x14ac:dyDescent="0.25">
      <c r="B285" s="16" t="str">
        <f t="shared" si="24"/>
        <v xml:space="preserve"> </v>
      </c>
      <c r="C285" s="54" t="str">
        <f t="shared" si="20"/>
        <v xml:space="preserve"> </v>
      </c>
      <c r="D285" s="73" t="str">
        <f t="shared" si="21"/>
        <v xml:space="preserve"> </v>
      </c>
      <c r="E285" s="15" t="str">
        <f t="shared" si="22"/>
        <v xml:space="preserve"> </v>
      </c>
      <c r="F285" s="15" t="str">
        <f t="shared" si="23"/>
        <v xml:space="preserve"> </v>
      </c>
    </row>
    <row r="286" spans="2:6" x14ac:dyDescent="0.25">
      <c r="B286" s="16" t="str">
        <f t="shared" si="24"/>
        <v xml:space="preserve"> </v>
      </c>
      <c r="C286" s="54" t="str">
        <f t="shared" si="20"/>
        <v xml:space="preserve"> </v>
      </c>
      <c r="D286" s="73" t="str">
        <f t="shared" si="21"/>
        <v xml:space="preserve"> </v>
      </c>
      <c r="E286" s="15" t="str">
        <f t="shared" si="22"/>
        <v xml:space="preserve"> </v>
      </c>
      <c r="F286" s="15" t="str">
        <f t="shared" si="23"/>
        <v xml:space="preserve"> </v>
      </c>
    </row>
    <row r="287" spans="2:6" x14ac:dyDescent="0.25">
      <c r="B287" s="16" t="str">
        <f t="shared" si="24"/>
        <v xml:space="preserve"> </v>
      </c>
      <c r="C287" s="54" t="str">
        <f t="shared" si="20"/>
        <v xml:space="preserve"> </v>
      </c>
      <c r="D287" s="73" t="str">
        <f t="shared" si="21"/>
        <v xml:space="preserve"> </v>
      </c>
      <c r="E287" s="15" t="str">
        <f t="shared" si="22"/>
        <v xml:space="preserve"> </v>
      </c>
      <c r="F287" s="15" t="str">
        <f t="shared" si="23"/>
        <v xml:space="preserve"> </v>
      </c>
    </row>
    <row r="288" spans="2:6" x14ac:dyDescent="0.25">
      <c r="B288" s="16" t="str">
        <f t="shared" si="24"/>
        <v xml:space="preserve"> </v>
      </c>
      <c r="C288" s="54" t="str">
        <f t="shared" si="20"/>
        <v xml:space="preserve"> </v>
      </c>
      <c r="D288" s="73" t="str">
        <f t="shared" si="21"/>
        <v xml:space="preserve"> </v>
      </c>
      <c r="E288" s="15" t="str">
        <f t="shared" si="22"/>
        <v xml:space="preserve"> </v>
      </c>
      <c r="F288" s="15" t="str">
        <f t="shared" si="23"/>
        <v xml:space="preserve"> </v>
      </c>
    </row>
    <row r="289" spans="2:6" x14ac:dyDescent="0.25">
      <c r="B289" s="16" t="str">
        <f t="shared" si="24"/>
        <v xml:space="preserve"> </v>
      </c>
      <c r="C289" s="54" t="str">
        <f t="shared" si="20"/>
        <v xml:space="preserve"> </v>
      </c>
      <c r="D289" s="73" t="str">
        <f t="shared" si="21"/>
        <v xml:space="preserve"> </v>
      </c>
      <c r="E289" s="15" t="str">
        <f t="shared" si="22"/>
        <v xml:space="preserve"> </v>
      </c>
      <c r="F289" s="15" t="str">
        <f t="shared" si="23"/>
        <v xml:space="preserve"> </v>
      </c>
    </row>
    <row r="290" spans="2:6" x14ac:dyDescent="0.25">
      <c r="B290" s="16" t="str">
        <f t="shared" si="24"/>
        <v xml:space="preserve"> </v>
      </c>
      <c r="C290" s="54" t="str">
        <f t="shared" si="20"/>
        <v xml:space="preserve"> </v>
      </c>
      <c r="D290" s="73" t="str">
        <f t="shared" si="21"/>
        <v xml:space="preserve"> </v>
      </c>
      <c r="E290" s="15" t="str">
        <f t="shared" si="22"/>
        <v xml:space="preserve"> </v>
      </c>
      <c r="F290" s="15" t="str">
        <f t="shared" si="23"/>
        <v xml:space="preserve"> </v>
      </c>
    </row>
    <row r="291" spans="2:6" x14ac:dyDescent="0.25">
      <c r="B291" s="16" t="str">
        <f t="shared" si="24"/>
        <v xml:space="preserve"> </v>
      </c>
      <c r="C291" s="54" t="str">
        <f t="shared" si="20"/>
        <v xml:space="preserve"> </v>
      </c>
      <c r="D291" s="73" t="str">
        <f t="shared" si="21"/>
        <v xml:space="preserve"> </v>
      </c>
      <c r="E291" s="15" t="str">
        <f t="shared" si="22"/>
        <v xml:space="preserve"> </v>
      </c>
      <c r="F291" s="15" t="str">
        <f t="shared" si="23"/>
        <v xml:space="preserve"> </v>
      </c>
    </row>
    <row r="292" spans="2:6" x14ac:dyDescent="0.25">
      <c r="B292" s="16" t="str">
        <f t="shared" si="24"/>
        <v xml:space="preserve"> </v>
      </c>
      <c r="C292" s="54" t="str">
        <f t="shared" si="20"/>
        <v xml:space="preserve"> </v>
      </c>
      <c r="D292" s="73" t="str">
        <f t="shared" si="21"/>
        <v xml:space="preserve"> </v>
      </c>
      <c r="E292" s="15" t="str">
        <f t="shared" si="22"/>
        <v xml:space="preserve"> </v>
      </c>
      <c r="F292" s="15" t="str">
        <f t="shared" si="23"/>
        <v xml:space="preserve"> </v>
      </c>
    </row>
    <row r="293" spans="2:6" x14ac:dyDescent="0.25">
      <c r="B293" s="16" t="str">
        <f t="shared" si="24"/>
        <v xml:space="preserve"> </v>
      </c>
      <c r="C293" s="54" t="str">
        <f t="shared" si="20"/>
        <v xml:space="preserve"> </v>
      </c>
      <c r="D293" s="73" t="str">
        <f t="shared" si="21"/>
        <v xml:space="preserve"> </v>
      </c>
      <c r="E293" s="15" t="str">
        <f t="shared" si="22"/>
        <v xml:space="preserve"> </v>
      </c>
      <c r="F293" s="15" t="str">
        <f t="shared" si="23"/>
        <v xml:space="preserve"> </v>
      </c>
    </row>
    <row r="294" spans="2:6" x14ac:dyDescent="0.25">
      <c r="B294" s="16" t="str">
        <f t="shared" si="24"/>
        <v xml:space="preserve"> </v>
      </c>
      <c r="C294" s="54" t="str">
        <f t="shared" si="20"/>
        <v xml:space="preserve"> </v>
      </c>
      <c r="D294" s="73" t="str">
        <f t="shared" si="21"/>
        <v xml:space="preserve"> </v>
      </c>
      <c r="E294" s="15" t="str">
        <f t="shared" si="22"/>
        <v xml:space="preserve"> </v>
      </c>
      <c r="F294" s="15" t="str">
        <f t="shared" si="23"/>
        <v xml:space="preserve"> </v>
      </c>
    </row>
    <row r="295" spans="2:6" x14ac:dyDescent="0.25">
      <c r="B295" s="16" t="str">
        <f t="shared" si="24"/>
        <v xml:space="preserve"> </v>
      </c>
      <c r="C295" s="54" t="str">
        <f t="shared" si="20"/>
        <v xml:space="preserve"> </v>
      </c>
      <c r="D295" s="73" t="str">
        <f t="shared" si="21"/>
        <v xml:space="preserve"> </v>
      </c>
      <c r="E295" s="15" t="str">
        <f t="shared" si="22"/>
        <v xml:space="preserve"> </v>
      </c>
      <c r="F295" s="15" t="str">
        <f t="shared" si="23"/>
        <v xml:space="preserve"> </v>
      </c>
    </row>
    <row r="296" spans="2:6" x14ac:dyDescent="0.25">
      <c r="B296" s="16" t="str">
        <f t="shared" si="24"/>
        <v xml:space="preserve"> </v>
      </c>
      <c r="C296" s="54" t="str">
        <f t="shared" si="20"/>
        <v xml:space="preserve"> </v>
      </c>
      <c r="D296" s="73" t="str">
        <f t="shared" si="21"/>
        <v xml:space="preserve"> </v>
      </c>
      <c r="E296" s="15" t="str">
        <f t="shared" si="22"/>
        <v xml:space="preserve"> </v>
      </c>
      <c r="F296" s="15" t="str">
        <f t="shared" si="23"/>
        <v xml:space="preserve"> </v>
      </c>
    </row>
    <row r="297" spans="2:6" x14ac:dyDescent="0.25">
      <c r="B297" s="16" t="str">
        <f t="shared" si="24"/>
        <v xml:space="preserve"> </v>
      </c>
      <c r="C297" s="54" t="str">
        <f t="shared" si="20"/>
        <v xml:space="preserve"> </v>
      </c>
      <c r="D297" s="73" t="str">
        <f t="shared" si="21"/>
        <v xml:space="preserve"> </v>
      </c>
      <c r="E297" s="15" t="str">
        <f t="shared" si="22"/>
        <v xml:space="preserve"> </v>
      </c>
      <c r="F297" s="15" t="str">
        <f t="shared" si="23"/>
        <v xml:space="preserve"> </v>
      </c>
    </row>
    <row r="298" spans="2:6" x14ac:dyDescent="0.25">
      <c r="B298" s="16" t="str">
        <f t="shared" si="24"/>
        <v xml:space="preserve"> </v>
      </c>
      <c r="C298" s="54" t="str">
        <f t="shared" si="20"/>
        <v xml:space="preserve"> </v>
      </c>
      <c r="D298" s="73" t="str">
        <f t="shared" si="21"/>
        <v xml:space="preserve"> </v>
      </c>
      <c r="E298" s="15" t="str">
        <f t="shared" si="22"/>
        <v xml:space="preserve"> </v>
      </c>
      <c r="F298" s="15" t="str">
        <f t="shared" si="23"/>
        <v xml:space="preserve"> </v>
      </c>
    </row>
    <row r="299" spans="2:6" x14ac:dyDescent="0.25">
      <c r="B299" s="16" t="str">
        <f t="shared" si="24"/>
        <v xml:space="preserve"> </v>
      </c>
      <c r="C299" s="54" t="str">
        <f t="shared" si="20"/>
        <v xml:space="preserve"> </v>
      </c>
      <c r="D299" s="73" t="str">
        <f t="shared" si="21"/>
        <v xml:space="preserve"> </v>
      </c>
      <c r="E299" s="15" t="str">
        <f t="shared" si="22"/>
        <v xml:space="preserve"> </v>
      </c>
      <c r="F299" s="15" t="str">
        <f t="shared" si="23"/>
        <v xml:space="preserve"> </v>
      </c>
    </row>
    <row r="300" spans="2:6" x14ac:dyDescent="0.25">
      <c r="B300" s="16" t="str">
        <f t="shared" si="24"/>
        <v xml:space="preserve"> </v>
      </c>
      <c r="C300" s="54" t="str">
        <f t="shared" si="20"/>
        <v xml:space="preserve"> </v>
      </c>
      <c r="D300" s="73" t="str">
        <f t="shared" si="21"/>
        <v xml:space="preserve"> </v>
      </c>
      <c r="E300" s="15" t="str">
        <f t="shared" si="22"/>
        <v xml:space="preserve"> </v>
      </c>
      <c r="F300" s="15" t="str">
        <f t="shared" si="23"/>
        <v xml:space="preserve"> </v>
      </c>
    </row>
    <row r="301" spans="2:6" x14ac:dyDescent="0.25">
      <c r="B301" s="16" t="str">
        <f t="shared" si="24"/>
        <v xml:space="preserve"> </v>
      </c>
      <c r="C301" s="54" t="str">
        <f t="shared" si="20"/>
        <v xml:space="preserve"> </v>
      </c>
      <c r="D301" s="73" t="str">
        <f t="shared" si="21"/>
        <v xml:space="preserve"> </v>
      </c>
      <c r="E301" s="15" t="str">
        <f t="shared" si="22"/>
        <v xml:space="preserve"> </v>
      </c>
      <c r="F301" s="15" t="str">
        <f t="shared" si="23"/>
        <v xml:space="preserve"> </v>
      </c>
    </row>
    <row r="302" spans="2:6" x14ac:dyDescent="0.25">
      <c r="B302" s="16" t="str">
        <f t="shared" si="24"/>
        <v xml:space="preserve"> </v>
      </c>
      <c r="C302" s="54" t="str">
        <f t="shared" si="20"/>
        <v xml:space="preserve"> </v>
      </c>
      <c r="D302" s="73" t="str">
        <f t="shared" si="21"/>
        <v xml:space="preserve"> </v>
      </c>
      <c r="E302" s="15" t="str">
        <f t="shared" si="22"/>
        <v xml:space="preserve"> </v>
      </c>
      <c r="F302" s="15" t="str">
        <f t="shared" si="23"/>
        <v xml:space="preserve"> </v>
      </c>
    </row>
    <row r="303" spans="2:6" x14ac:dyDescent="0.25">
      <c r="B303" s="16" t="str">
        <f t="shared" si="24"/>
        <v xml:space="preserve"> </v>
      </c>
      <c r="C303" s="54" t="str">
        <f t="shared" si="20"/>
        <v xml:space="preserve"> </v>
      </c>
      <c r="D303" s="73" t="str">
        <f t="shared" si="21"/>
        <v xml:space="preserve"> </v>
      </c>
      <c r="E303" s="15" t="str">
        <f t="shared" si="22"/>
        <v xml:space="preserve"> </v>
      </c>
      <c r="F303" s="15" t="str">
        <f t="shared" si="23"/>
        <v xml:space="preserve"> </v>
      </c>
    </row>
    <row r="304" spans="2:6" x14ac:dyDescent="0.25">
      <c r="B304" s="16" t="str">
        <f t="shared" si="24"/>
        <v xml:space="preserve"> </v>
      </c>
      <c r="C304" s="54" t="str">
        <f t="shared" si="20"/>
        <v xml:space="preserve"> </v>
      </c>
      <c r="D304" s="73" t="str">
        <f t="shared" si="21"/>
        <v xml:space="preserve"> </v>
      </c>
      <c r="E304" s="15" t="str">
        <f t="shared" si="22"/>
        <v xml:space="preserve"> </v>
      </c>
      <c r="F304" s="15" t="str">
        <f t="shared" si="23"/>
        <v xml:space="preserve"> </v>
      </c>
    </row>
    <row r="305" spans="2:6" x14ac:dyDescent="0.25">
      <c r="B305" s="16" t="str">
        <f t="shared" si="24"/>
        <v xml:space="preserve"> </v>
      </c>
      <c r="C305" s="54" t="str">
        <f t="shared" si="20"/>
        <v xml:space="preserve"> </v>
      </c>
      <c r="D305" s="73" t="str">
        <f t="shared" si="21"/>
        <v xml:space="preserve"> </v>
      </c>
      <c r="E305" s="15" t="str">
        <f t="shared" si="22"/>
        <v xml:space="preserve"> </v>
      </c>
      <c r="F305" s="15" t="str">
        <f t="shared" si="23"/>
        <v xml:space="preserve"> </v>
      </c>
    </row>
    <row r="306" spans="2:6" x14ac:dyDescent="0.25">
      <c r="B306" s="16" t="str">
        <f t="shared" si="24"/>
        <v xml:space="preserve"> </v>
      </c>
      <c r="C306" s="54" t="str">
        <f t="shared" si="20"/>
        <v xml:space="preserve"> </v>
      </c>
      <c r="D306" s="73" t="str">
        <f t="shared" si="21"/>
        <v xml:space="preserve"> </v>
      </c>
      <c r="E306" s="15" t="str">
        <f t="shared" si="22"/>
        <v xml:space="preserve"> </v>
      </c>
      <c r="F306" s="15" t="str">
        <f t="shared" si="23"/>
        <v xml:space="preserve"> </v>
      </c>
    </row>
    <row r="307" spans="2:6" x14ac:dyDescent="0.25">
      <c r="B307" s="16" t="str">
        <f t="shared" si="24"/>
        <v xml:space="preserve"> </v>
      </c>
      <c r="C307" s="54" t="str">
        <f t="shared" si="20"/>
        <v xml:space="preserve"> </v>
      </c>
      <c r="D307" s="73" t="str">
        <f t="shared" si="21"/>
        <v xml:space="preserve"> </v>
      </c>
      <c r="E307" s="15" t="str">
        <f t="shared" si="22"/>
        <v xml:space="preserve"> </v>
      </c>
      <c r="F307" s="15" t="str">
        <f t="shared" si="23"/>
        <v xml:space="preserve"> </v>
      </c>
    </row>
    <row r="308" spans="2:6" x14ac:dyDescent="0.25">
      <c r="B308" s="16" t="str">
        <f t="shared" si="24"/>
        <v xml:space="preserve"> </v>
      </c>
      <c r="C308" s="54" t="str">
        <f t="shared" si="20"/>
        <v xml:space="preserve"> </v>
      </c>
      <c r="D308" s="73" t="str">
        <f t="shared" si="21"/>
        <v xml:space="preserve"> </v>
      </c>
      <c r="E308" s="15" t="str">
        <f t="shared" si="22"/>
        <v xml:space="preserve"> </v>
      </c>
      <c r="F308" s="15" t="str">
        <f t="shared" si="23"/>
        <v xml:space="preserve"> </v>
      </c>
    </row>
    <row r="309" spans="2:6" x14ac:dyDescent="0.25">
      <c r="B309" s="16" t="str">
        <f t="shared" si="24"/>
        <v xml:space="preserve"> </v>
      </c>
      <c r="C309" s="54" t="str">
        <f t="shared" si="20"/>
        <v xml:space="preserve"> </v>
      </c>
      <c r="D309" s="73" t="str">
        <f t="shared" si="21"/>
        <v xml:space="preserve"> </v>
      </c>
      <c r="E309" s="15" t="str">
        <f t="shared" si="22"/>
        <v xml:space="preserve"> </v>
      </c>
      <c r="F309" s="15" t="str">
        <f t="shared" si="23"/>
        <v xml:space="preserve"> </v>
      </c>
    </row>
    <row r="310" spans="2:6" x14ac:dyDescent="0.25">
      <c r="B310" s="16" t="str">
        <f t="shared" si="24"/>
        <v xml:space="preserve"> </v>
      </c>
      <c r="C310" s="54" t="str">
        <f t="shared" si="20"/>
        <v xml:space="preserve"> </v>
      </c>
      <c r="D310" s="73" t="str">
        <f t="shared" si="21"/>
        <v xml:space="preserve"> </v>
      </c>
      <c r="E310" s="15" t="str">
        <f t="shared" si="22"/>
        <v xml:space="preserve"> </v>
      </c>
      <c r="F310" s="15" t="str">
        <f t="shared" si="23"/>
        <v xml:space="preserve"> </v>
      </c>
    </row>
    <row r="311" spans="2:6" x14ac:dyDescent="0.25">
      <c r="B311" s="16" t="str">
        <f t="shared" si="24"/>
        <v xml:space="preserve"> </v>
      </c>
      <c r="C311" s="54" t="str">
        <f t="shared" si="20"/>
        <v xml:space="preserve"> </v>
      </c>
      <c r="D311" s="73" t="str">
        <f t="shared" si="21"/>
        <v xml:space="preserve"> </v>
      </c>
      <c r="E311" s="15" t="str">
        <f t="shared" si="22"/>
        <v xml:space="preserve"> </v>
      </c>
      <c r="F311" s="15" t="str">
        <f t="shared" si="23"/>
        <v xml:space="preserve"> </v>
      </c>
    </row>
    <row r="312" spans="2:6" x14ac:dyDescent="0.25">
      <c r="B312" s="16" t="str">
        <f t="shared" si="24"/>
        <v xml:space="preserve"> </v>
      </c>
      <c r="C312" s="54" t="str">
        <f t="shared" si="20"/>
        <v xml:space="preserve"> </v>
      </c>
      <c r="D312" s="73" t="str">
        <f t="shared" si="21"/>
        <v xml:space="preserve"> </v>
      </c>
      <c r="E312" s="15" t="str">
        <f t="shared" si="22"/>
        <v xml:space="preserve"> </v>
      </c>
      <c r="F312" s="15" t="str">
        <f t="shared" si="23"/>
        <v xml:space="preserve"> </v>
      </c>
    </row>
    <row r="313" spans="2:6" x14ac:dyDescent="0.25">
      <c r="B313" s="16" t="str">
        <f t="shared" si="24"/>
        <v xml:space="preserve"> </v>
      </c>
      <c r="C313" s="54" t="str">
        <f t="shared" si="20"/>
        <v xml:space="preserve"> </v>
      </c>
      <c r="D313" s="73" t="str">
        <f t="shared" si="21"/>
        <v xml:space="preserve"> </v>
      </c>
      <c r="E313" s="15" t="str">
        <f t="shared" si="22"/>
        <v xml:space="preserve"> </v>
      </c>
      <c r="F313" s="15" t="str">
        <f t="shared" si="23"/>
        <v xml:space="preserve"> </v>
      </c>
    </row>
    <row r="314" spans="2:6" x14ac:dyDescent="0.25">
      <c r="B314" s="16" t="str">
        <f t="shared" si="24"/>
        <v xml:space="preserve"> </v>
      </c>
      <c r="C314" s="54" t="str">
        <f t="shared" si="20"/>
        <v xml:space="preserve"> </v>
      </c>
      <c r="D314" s="73" t="str">
        <f t="shared" si="21"/>
        <v xml:space="preserve"> </v>
      </c>
      <c r="E314" s="15" t="str">
        <f t="shared" si="22"/>
        <v xml:space="preserve"> </v>
      </c>
      <c r="F314" s="15" t="str">
        <f t="shared" si="23"/>
        <v xml:space="preserve"> </v>
      </c>
    </row>
    <row r="315" spans="2:6" x14ac:dyDescent="0.25">
      <c r="B315" s="16" t="str">
        <f t="shared" si="24"/>
        <v xml:space="preserve"> </v>
      </c>
      <c r="C315" s="54" t="str">
        <f t="shared" si="20"/>
        <v xml:space="preserve"> </v>
      </c>
      <c r="D315" s="73" t="str">
        <f t="shared" si="21"/>
        <v xml:space="preserve"> </v>
      </c>
      <c r="E315" s="15" t="str">
        <f t="shared" si="22"/>
        <v xml:space="preserve"> </v>
      </c>
      <c r="F315" s="15" t="str">
        <f t="shared" si="23"/>
        <v xml:space="preserve"> </v>
      </c>
    </row>
    <row r="316" spans="2:6" x14ac:dyDescent="0.25">
      <c r="B316" s="16" t="str">
        <f t="shared" si="24"/>
        <v xml:space="preserve"> </v>
      </c>
      <c r="C316" s="54" t="str">
        <f t="shared" si="20"/>
        <v xml:space="preserve"> </v>
      </c>
      <c r="D316" s="73" t="str">
        <f t="shared" si="21"/>
        <v xml:space="preserve"> </v>
      </c>
      <c r="E316" s="15" t="str">
        <f t="shared" si="22"/>
        <v xml:space="preserve"> </v>
      </c>
      <c r="F316" s="15" t="str">
        <f t="shared" si="23"/>
        <v xml:space="preserve"> </v>
      </c>
    </row>
    <row r="317" spans="2:6" x14ac:dyDescent="0.25">
      <c r="B317" s="16" t="str">
        <f t="shared" si="24"/>
        <v xml:space="preserve"> </v>
      </c>
      <c r="C317" s="54" t="str">
        <f t="shared" si="20"/>
        <v xml:space="preserve"> </v>
      </c>
      <c r="D317" s="73" t="str">
        <f t="shared" si="21"/>
        <v xml:space="preserve"> </v>
      </c>
      <c r="E317" s="15" t="str">
        <f t="shared" si="22"/>
        <v xml:space="preserve"> </v>
      </c>
      <c r="F317" s="15" t="str">
        <f t="shared" si="23"/>
        <v xml:space="preserve"> </v>
      </c>
    </row>
    <row r="318" spans="2:6" x14ac:dyDescent="0.25">
      <c r="B318" s="16" t="str">
        <f t="shared" si="24"/>
        <v xml:space="preserve"> </v>
      </c>
      <c r="C318" s="54" t="str">
        <f t="shared" si="20"/>
        <v xml:space="preserve"> </v>
      </c>
      <c r="D318" s="73" t="str">
        <f t="shared" si="21"/>
        <v xml:space="preserve"> </v>
      </c>
      <c r="E318" s="15" t="str">
        <f t="shared" si="22"/>
        <v xml:space="preserve"> </v>
      </c>
      <c r="F318" s="15" t="str">
        <f t="shared" si="23"/>
        <v xml:space="preserve"> </v>
      </c>
    </row>
    <row r="319" spans="2:6" x14ac:dyDescent="0.25">
      <c r="B319" s="16" t="str">
        <f t="shared" si="24"/>
        <v xml:space="preserve"> </v>
      </c>
      <c r="C319" s="54" t="str">
        <f t="shared" si="20"/>
        <v xml:space="preserve"> </v>
      </c>
      <c r="D319" s="73" t="str">
        <f t="shared" si="21"/>
        <v xml:space="preserve"> </v>
      </c>
      <c r="E319" s="15" t="str">
        <f t="shared" si="22"/>
        <v xml:space="preserve"> </v>
      </c>
      <c r="F319" s="15" t="str">
        <f t="shared" si="23"/>
        <v xml:space="preserve"> </v>
      </c>
    </row>
    <row r="320" spans="2:6" x14ac:dyDescent="0.25">
      <c r="B320" s="16" t="str">
        <f t="shared" si="24"/>
        <v xml:space="preserve"> </v>
      </c>
      <c r="C320" s="54" t="str">
        <f t="shared" si="20"/>
        <v xml:space="preserve"> </v>
      </c>
      <c r="D320" s="73" t="str">
        <f t="shared" si="21"/>
        <v xml:space="preserve"> </v>
      </c>
      <c r="E320" s="15" t="str">
        <f t="shared" si="22"/>
        <v xml:space="preserve"> </v>
      </c>
      <c r="F320" s="15" t="str">
        <f t="shared" si="23"/>
        <v xml:space="preserve"> </v>
      </c>
    </row>
    <row r="321" spans="2:6" x14ac:dyDescent="0.25">
      <c r="B321" s="16" t="str">
        <f t="shared" si="24"/>
        <v xml:space="preserve"> </v>
      </c>
      <c r="C321" s="54" t="str">
        <f t="shared" si="20"/>
        <v xml:space="preserve"> </v>
      </c>
      <c r="D321" s="73" t="str">
        <f t="shared" si="21"/>
        <v xml:space="preserve"> </v>
      </c>
      <c r="E321" s="15" t="str">
        <f t="shared" si="22"/>
        <v xml:space="preserve"> </v>
      </c>
      <c r="F321" s="15" t="str">
        <f t="shared" si="23"/>
        <v xml:space="preserve"> </v>
      </c>
    </row>
    <row r="322" spans="2:6" x14ac:dyDescent="0.25">
      <c r="B322" s="16" t="str">
        <f t="shared" si="24"/>
        <v xml:space="preserve"> </v>
      </c>
      <c r="C322" s="54" t="str">
        <f t="shared" si="20"/>
        <v xml:space="preserve"> </v>
      </c>
      <c r="D322" s="73" t="str">
        <f t="shared" si="21"/>
        <v xml:space="preserve"> </v>
      </c>
      <c r="E322" s="15" t="str">
        <f t="shared" si="22"/>
        <v xml:space="preserve"> </v>
      </c>
      <c r="F322" s="15" t="str">
        <f t="shared" si="23"/>
        <v xml:space="preserve"> </v>
      </c>
    </row>
    <row r="323" spans="2:6" x14ac:dyDescent="0.25">
      <c r="B323" s="16" t="str">
        <f t="shared" si="24"/>
        <v xml:space="preserve"> </v>
      </c>
      <c r="C323" s="54" t="str">
        <f t="shared" si="20"/>
        <v xml:space="preserve"> </v>
      </c>
      <c r="D323" s="73" t="str">
        <f t="shared" si="21"/>
        <v xml:space="preserve"> </v>
      </c>
      <c r="E323" s="15" t="str">
        <f t="shared" si="22"/>
        <v xml:space="preserve"> </v>
      </c>
      <c r="F323" s="15" t="str">
        <f t="shared" si="23"/>
        <v xml:space="preserve"> </v>
      </c>
    </row>
    <row r="324" spans="2:6" x14ac:dyDescent="0.25">
      <c r="B324" s="16" t="str">
        <f t="shared" si="24"/>
        <v xml:space="preserve"> </v>
      </c>
      <c r="C324" s="54" t="str">
        <f t="shared" si="20"/>
        <v xml:space="preserve"> </v>
      </c>
      <c r="D324" s="73" t="str">
        <f t="shared" si="21"/>
        <v xml:space="preserve"> </v>
      </c>
      <c r="E324" s="15" t="str">
        <f t="shared" si="22"/>
        <v xml:space="preserve"> </v>
      </c>
      <c r="F324" s="15" t="str">
        <f t="shared" si="23"/>
        <v xml:space="preserve"> </v>
      </c>
    </row>
    <row r="325" spans="2:6" x14ac:dyDescent="0.25">
      <c r="B325" s="16" t="str">
        <f t="shared" si="24"/>
        <v xml:space="preserve"> </v>
      </c>
      <c r="C325" s="54" t="str">
        <f t="shared" si="20"/>
        <v xml:space="preserve"> </v>
      </c>
      <c r="D325" s="73" t="str">
        <f t="shared" si="21"/>
        <v xml:space="preserve"> </v>
      </c>
      <c r="E325" s="15" t="str">
        <f t="shared" si="22"/>
        <v xml:space="preserve"> </v>
      </c>
      <c r="F325" s="15" t="str">
        <f t="shared" si="23"/>
        <v xml:space="preserve"> </v>
      </c>
    </row>
    <row r="326" spans="2:6" x14ac:dyDescent="0.25">
      <c r="B326" s="16" t="str">
        <f t="shared" si="24"/>
        <v xml:space="preserve"> </v>
      </c>
      <c r="C326" s="54" t="str">
        <f t="shared" si="20"/>
        <v xml:space="preserve"> </v>
      </c>
      <c r="D326" s="73" t="str">
        <f t="shared" si="21"/>
        <v xml:space="preserve"> </v>
      </c>
      <c r="E326" s="15" t="str">
        <f t="shared" si="22"/>
        <v xml:space="preserve"> </v>
      </c>
      <c r="F326" s="15" t="str">
        <f t="shared" si="23"/>
        <v xml:space="preserve"> </v>
      </c>
    </row>
    <row r="327" spans="2:6" x14ac:dyDescent="0.25">
      <c r="B327" s="16" t="str">
        <f t="shared" si="24"/>
        <v xml:space="preserve"> </v>
      </c>
      <c r="C327" s="54" t="str">
        <f t="shared" si="20"/>
        <v xml:space="preserve"> </v>
      </c>
      <c r="D327" s="73" t="str">
        <f t="shared" si="21"/>
        <v xml:space="preserve"> </v>
      </c>
      <c r="E327" s="15" t="str">
        <f t="shared" si="22"/>
        <v xml:space="preserve"> </v>
      </c>
      <c r="F327" s="15" t="str">
        <f t="shared" si="23"/>
        <v xml:space="preserve"> </v>
      </c>
    </row>
    <row r="328" spans="2:6" x14ac:dyDescent="0.25">
      <c r="B328" s="16" t="str">
        <f t="shared" si="24"/>
        <v xml:space="preserve"> </v>
      </c>
      <c r="C328" s="54" t="str">
        <f t="shared" si="20"/>
        <v xml:space="preserve"> </v>
      </c>
      <c r="D328" s="73" t="str">
        <f t="shared" si="21"/>
        <v xml:space="preserve"> </v>
      </c>
      <c r="E328" s="15" t="str">
        <f t="shared" si="22"/>
        <v xml:space="preserve"> </v>
      </c>
      <c r="F328" s="15" t="str">
        <f t="shared" si="23"/>
        <v xml:space="preserve"> </v>
      </c>
    </row>
    <row r="329" spans="2:6" x14ac:dyDescent="0.25">
      <c r="B329" s="16" t="str">
        <f t="shared" si="24"/>
        <v xml:space="preserve"> </v>
      </c>
      <c r="C329" s="54" t="str">
        <f t="shared" si="20"/>
        <v xml:space="preserve"> </v>
      </c>
      <c r="D329" s="73" t="str">
        <f t="shared" si="21"/>
        <v xml:space="preserve"> </v>
      </c>
      <c r="E329" s="15" t="str">
        <f t="shared" si="22"/>
        <v xml:space="preserve"> </v>
      </c>
      <c r="F329" s="15" t="str">
        <f t="shared" si="23"/>
        <v xml:space="preserve"> </v>
      </c>
    </row>
    <row r="330" spans="2:6" x14ac:dyDescent="0.25">
      <c r="B330" s="16" t="str">
        <f t="shared" si="24"/>
        <v xml:space="preserve"> </v>
      </c>
      <c r="C330" s="54" t="str">
        <f t="shared" si="20"/>
        <v xml:space="preserve"> </v>
      </c>
      <c r="D330" s="73" t="str">
        <f t="shared" si="21"/>
        <v xml:space="preserve"> </v>
      </c>
      <c r="E330" s="15" t="str">
        <f t="shared" si="22"/>
        <v xml:space="preserve"> </v>
      </c>
      <c r="F330" s="15" t="str">
        <f t="shared" si="23"/>
        <v xml:space="preserve"> </v>
      </c>
    </row>
    <row r="331" spans="2:6" x14ac:dyDescent="0.25">
      <c r="B331" s="16" t="str">
        <f t="shared" si="24"/>
        <v xml:space="preserve"> </v>
      </c>
      <c r="C331" s="54" t="str">
        <f t="shared" si="20"/>
        <v xml:space="preserve"> </v>
      </c>
      <c r="D331" s="73" t="str">
        <f t="shared" si="21"/>
        <v xml:space="preserve"> </v>
      </c>
      <c r="E331" s="15" t="str">
        <f t="shared" si="22"/>
        <v xml:space="preserve"> </v>
      </c>
      <c r="F331" s="15" t="str">
        <f t="shared" si="23"/>
        <v xml:space="preserve"> </v>
      </c>
    </row>
    <row r="332" spans="2:6" x14ac:dyDescent="0.25">
      <c r="B332" s="16" t="str">
        <f t="shared" si="24"/>
        <v xml:space="preserve"> </v>
      </c>
      <c r="C332" s="54" t="str">
        <f t="shared" si="20"/>
        <v xml:space="preserve"> </v>
      </c>
      <c r="D332" s="73" t="str">
        <f t="shared" si="21"/>
        <v xml:space="preserve"> </v>
      </c>
      <c r="E332" s="15" t="str">
        <f t="shared" si="22"/>
        <v xml:space="preserve"> </v>
      </c>
      <c r="F332" s="15" t="str">
        <f t="shared" si="23"/>
        <v xml:space="preserve"> </v>
      </c>
    </row>
    <row r="333" spans="2:6" x14ac:dyDescent="0.25">
      <c r="B333" s="16" t="str">
        <f t="shared" si="24"/>
        <v xml:space="preserve"> </v>
      </c>
      <c r="C333" s="54" t="str">
        <f t="shared" ref="C333:C396" si="25">IF(B333&lt;=$D$6,-PMT($D$5,$D$6,$D$4,0)," ")</f>
        <v xml:space="preserve"> </v>
      </c>
      <c r="D333" s="73" t="str">
        <f t="shared" ref="D333:D396" si="26">IF(B333&lt;=$D$6,-IPMT($D$5,B333,$D$6,$D$4)," ")</f>
        <v xml:space="preserve"> </v>
      </c>
      <c r="E333" s="15" t="str">
        <f t="shared" ref="E333:E396" si="27">IF(B333&lt;=$D$6,-PPMT($D$5,B333,$D$6,$D$4)," ")</f>
        <v xml:space="preserve"> </v>
      </c>
      <c r="F333" s="15" t="str">
        <f t="shared" ref="F333:F396" si="28">IF(B333&lt;=$D$6,(F332-E333)," ")</f>
        <v xml:space="preserve"> </v>
      </c>
    </row>
    <row r="334" spans="2:6" x14ac:dyDescent="0.25">
      <c r="B334" s="16" t="str">
        <f t="shared" ref="B334:B397" si="29">IF(B333=" "," ",IF(B333&lt;$D$6,B333+1," "))</f>
        <v xml:space="preserve"> </v>
      </c>
      <c r="C334" s="54" t="str">
        <f t="shared" si="25"/>
        <v xml:space="preserve"> </v>
      </c>
      <c r="D334" s="73" t="str">
        <f t="shared" si="26"/>
        <v xml:space="preserve"> </v>
      </c>
      <c r="E334" s="15" t="str">
        <f t="shared" si="27"/>
        <v xml:space="preserve"> </v>
      </c>
      <c r="F334" s="15" t="str">
        <f t="shared" si="28"/>
        <v xml:space="preserve"> </v>
      </c>
    </row>
    <row r="335" spans="2:6" x14ac:dyDescent="0.25">
      <c r="B335" s="16" t="str">
        <f t="shared" si="29"/>
        <v xml:space="preserve"> </v>
      </c>
      <c r="C335" s="54" t="str">
        <f t="shared" si="25"/>
        <v xml:space="preserve"> </v>
      </c>
      <c r="D335" s="73" t="str">
        <f t="shared" si="26"/>
        <v xml:space="preserve"> </v>
      </c>
      <c r="E335" s="15" t="str">
        <f t="shared" si="27"/>
        <v xml:space="preserve"> </v>
      </c>
      <c r="F335" s="15" t="str">
        <f t="shared" si="28"/>
        <v xml:space="preserve"> </v>
      </c>
    </row>
    <row r="336" spans="2:6" x14ac:dyDescent="0.25">
      <c r="B336" s="16" t="str">
        <f t="shared" si="29"/>
        <v xml:space="preserve"> </v>
      </c>
      <c r="C336" s="54" t="str">
        <f t="shared" si="25"/>
        <v xml:space="preserve"> </v>
      </c>
      <c r="D336" s="73" t="str">
        <f t="shared" si="26"/>
        <v xml:space="preserve"> </v>
      </c>
      <c r="E336" s="15" t="str">
        <f t="shared" si="27"/>
        <v xml:space="preserve"> </v>
      </c>
      <c r="F336" s="15" t="str">
        <f t="shared" si="28"/>
        <v xml:space="preserve"> </v>
      </c>
    </row>
    <row r="337" spans="2:6" x14ac:dyDescent="0.25">
      <c r="B337" s="16" t="str">
        <f t="shared" si="29"/>
        <v xml:space="preserve"> </v>
      </c>
      <c r="C337" s="54" t="str">
        <f t="shared" si="25"/>
        <v xml:space="preserve"> </v>
      </c>
      <c r="D337" s="73" t="str">
        <f t="shared" si="26"/>
        <v xml:space="preserve"> </v>
      </c>
      <c r="E337" s="15" t="str">
        <f t="shared" si="27"/>
        <v xml:space="preserve"> </v>
      </c>
      <c r="F337" s="15" t="str">
        <f t="shared" si="28"/>
        <v xml:space="preserve"> </v>
      </c>
    </row>
    <row r="338" spans="2:6" x14ac:dyDescent="0.25">
      <c r="B338" s="16" t="str">
        <f t="shared" si="29"/>
        <v xml:space="preserve"> </v>
      </c>
      <c r="C338" s="54" t="str">
        <f t="shared" si="25"/>
        <v xml:space="preserve"> </v>
      </c>
      <c r="D338" s="73" t="str">
        <f t="shared" si="26"/>
        <v xml:space="preserve"> </v>
      </c>
      <c r="E338" s="15" t="str">
        <f t="shared" si="27"/>
        <v xml:space="preserve"> </v>
      </c>
      <c r="F338" s="15" t="str">
        <f t="shared" si="28"/>
        <v xml:space="preserve"> </v>
      </c>
    </row>
    <row r="339" spans="2:6" x14ac:dyDescent="0.25">
      <c r="B339" s="16" t="str">
        <f t="shared" si="29"/>
        <v xml:space="preserve"> </v>
      </c>
      <c r="C339" s="54" t="str">
        <f t="shared" si="25"/>
        <v xml:space="preserve"> </v>
      </c>
      <c r="D339" s="73" t="str">
        <f t="shared" si="26"/>
        <v xml:space="preserve"> </v>
      </c>
      <c r="E339" s="15" t="str">
        <f t="shared" si="27"/>
        <v xml:space="preserve"> </v>
      </c>
      <c r="F339" s="15" t="str">
        <f t="shared" si="28"/>
        <v xml:space="preserve"> </v>
      </c>
    </row>
    <row r="340" spans="2:6" x14ac:dyDescent="0.25">
      <c r="B340" s="16" t="str">
        <f t="shared" si="29"/>
        <v xml:space="preserve"> </v>
      </c>
      <c r="C340" s="54" t="str">
        <f t="shared" si="25"/>
        <v xml:space="preserve"> </v>
      </c>
      <c r="D340" s="73" t="str">
        <f t="shared" si="26"/>
        <v xml:space="preserve"> </v>
      </c>
      <c r="E340" s="15" t="str">
        <f t="shared" si="27"/>
        <v xml:space="preserve"> </v>
      </c>
      <c r="F340" s="15" t="str">
        <f t="shared" si="28"/>
        <v xml:space="preserve"> </v>
      </c>
    </row>
    <row r="341" spans="2:6" x14ac:dyDescent="0.25">
      <c r="B341" s="16" t="str">
        <f t="shared" si="29"/>
        <v xml:space="preserve"> </v>
      </c>
      <c r="C341" s="54" t="str">
        <f t="shared" si="25"/>
        <v xml:space="preserve"> </v>
      </c>
      <c r="D341" s="73" t="str">
        <f t="shared" si="26"/>
        <v xml:space="preserve"> </v>
      </c>
      <c r="E341" s="15" t="str">
        <f t="shared" si="27"/>
        <v xml:space="preserve"> </v>
      </c>
      <c r="F341" s="15" t="str">
        <f t="shared" si="28"/>
        <v xml:space="preserve"> </v>
      </c>
    </row>
    <row r="342" spans="2:6" x14ac:dyDescent="0.25">
      <c r="B342" s="16" t="str">
        <f t="shared" si="29"/>
        <v xml:space="preserve"> </v>
      </c>
      <c r="C342" s="54" t="str">
        <f t="shared" si="25"/>
        <v xml:space="preserve"> </v>
      </c>
      <c r="D342" s="73" t="str">
        <f t="shared" si="26"/>
        <v xml:space="preserve"> </v>
      </c>
      <c r="E342" s="15" t="str">
        <f t="shared" si="27"/>
        <v xml:space="preserve"> </v>
      </c>
      <c r="F342" s="15" t="str">
        <f t="shared" si="28"/>
        <v xml:space="preserve"> </v>
      </c>
    </row>
    <row r="343" spans="2:6" x14ac:dyDescent="0.25">
      <c r="B343" s="16" t="str">
        <f t="shared" si="29"/>
        <v xml:space="preserve"> </v>
      </c>
      <c r="C343" s="54" t="str">
        <f t="shared" si="25"/>
        <v xml:space="preserve"> </v>
      </c>
      <c r="D343" s="73" t="str">
        <f t="shared" si="26"/>
        <v xml:space="preserve"> </v>
      </c>
      <c r="E343" s="15" t="str">
        <f t="shared" si="27"/>
        <v xml:space="preserve"> </v>
      </c>
      <c r="F343" s="15" t="str">
        <f t="shared" si="28"/>
        <v xml:space="preserve"> </v>
      </c>
    </row>
    <row r="344" spans="2:6" x14ac:dyDescent="0.25">
      <c r="B344" s="16" t="str">
        <f t="shared" si="29"/>
        <v xml:space="preserve"> </v>
      </c>
      <c r="C344" s="54" t="str">
        <f t="shared" si="25"/>
        <v xml:space="preserve"> </v>
      </c>
      <c r="D344" s="73" t="str">
        <f t="shared" si="26"/>
        <v xml:space="preserve"> </v>
      </c>
      <c r="E344" s="15" t="str">
        <f t="shared" si="27"/>
        <v xml:space="preserve"> </v>
      </c>
      <c r="F344" s="15" t="str">
        <f t="shared" si="28"/>
        <v xml:space="preserve"> </v>
      </c>
    </row>
    <row r="345" spans="2:6" x14ac:dyDescent="0.25">
      <c r="B345" s="16" t="str">
        <f t="shared" si="29"/>
        <v xml:space="preserve"> </v>
      </c>
      <c r="C345" s="54" t="str">
        <f t="shared" si="25"/>
        <v xml:space="preserve"> </v>
      </c>
      <c r="D345" s="73" t="str">
        <f t="shared" si="26"/>
        <v xml:space="preserve"> </v>
      </c>
      <c r="E345" s="15" t="str">
        <f t="shared" si="27"/>
        <v xml:space="preserve"> </v>
      </c>
      <c r="F345" s="15" t="str">
        <f t="shared" si="28"/>
        <v xml:space="preserve"> </v>
      </c>
    </row>
    <row r="346" spans="2:6" x14ac:dyDescent="0.25">
      <c r="B346" s="16" t="str">
        <f t="shared" si="29"/>
        <v xml:space="preserve"> </v>
      </c>
      <c r="C346" s="54" t="str">
        <f t="shared" si="25"/>
        <v xml:space="preserve"> </v>
      </c>
      <c r="D346" s="73" t="str">
        <f t="shared" si="26"/>
        <v xml:space="preserve"> </v>
      </c>
      <c r="E346" s="15" t="str">
        <f t="shared" si="27"/>
        <v xml:space="preserve"> </v>
      </c>
      <c r="F346" s="15" t="str">
        <f t="shared" si="28"/>
        <v xml:space="preserve"> </v>
      </c>
    </row>
    <row r="347" spans="2:6" x14ac:dyDescent="0.25">
      <c r="B347" s="16" t="str">
        <f t="shared" si="29"/>
        <v xml:space="preserve"> </v>
      </c>
      <c r="C347" s="54" t="str">
        <f t="shared" si="25"/>
        <v xml:space="preserve"> </v>
      </c>
      <c r="D347" s="73" t="str">
        <f t="shared" si="26"/>
        <v xml:space="preserve"> </v>
      </c>
      <c r="E347" s="15" t="str">
        <f t="shared" si="27"/>
        <v xml:space="preserve"> </v>
      </c>
      <c r="F347" s="15" t="str">
        <f t="shared" si="28"/>
        <v xml:space="preserve"> </v>
      </c>
    </row>
    <row r="348" spans="2:6" x14ac:dyDescent="0.25">
      <c r="B348" s="16" t="str">
        <f t="shared" si="29"/>
        <v xml:space="preserve"> </v>
      </c>
      <c r="C348" s="54" t="str">
        <f t="shared" si="25"/>
        <v xml:space="preserve"> </v>
      </c>
      <c r="D348" s="73" t="str">
        <f t="shared" si="26"/>
        <v xml:space="preserve"> </v>
      </c>
      <c r="E348" s="15" t="str">
        <f t="shared" si="27"/>
        <v xml:space="preserve"> </v>
      </c>
      <c r="F348" s="15" t="str">
        <f t="shared" si="28"/>
        <v xml:space="preserve"> </v>
      </c>
    </row>
    <row r="349" spans="2:6" x14ac:dyDescent="0.25">
      <c r="B349" s="16" t="str">
        <f t="shared" si="29"/>
        <v xml:space="preserve"> </v>
      </c>
      <c r="C349" s="54" t="str">
        <f t="shared" si="25"/>
        <v xml:space="preserve"> </v>
      </c>
      <c r="D349" s="73" t="str">
        <f t="shared" si="26"/>
        <v xml:space="preserve"> </v>
      </c>
      <c r="E349" s="15" t="str">
        <f t="shared" si="27"/>
        <v xml:space="preserve"> </v>
      </c>
      <c r="F349" s="15" t="str">
        <f t="shared" si="28"/>
        <v xml:space="preserve"> </v>
      </c>
    </row>
    <row r="350" spans="2:6" x14ac:dyDescent="0.25">
      <c r="B350" s="16" t="str">
        <f t="shared" si="29"/>
        <v xml:space="preserve"> </v>
      </c>
      <c r="C350" s="54" t="str">
        <f t="shared" si="25"/>
        <v xml:space="preserve"> </v>
      </c>
      <c r="D350" s="73" t="str">
        <f t="shared" si="26"/>
        <v xml:space="preserve"> </v>
      </c>
      <c r="E350" s="15" t="str">
        <f t="shared" si="27"/>
        <v xml:space="preserve"> </v>
      </c>
      <c r="F350" s="15" t="str">
        <f t="shared" si="28"/>
        <v xml:space="preserve"> </v>
      </c>
    </row>
    <row r="351" spans="2:6" x14ac:dyDescent="0.25">
      <c r="B351" s="16" t="str">
        <f t="shared" si="29"/>
        <v xml:space="preserve"> </v>
      </c>
      <c r="C351" s="54" t="str">
        <f t="shared" si="25"/>
        <v xml:space="preserve"> </v>
      </c>
      <c r="D351" s="73" t="str">
        <f t="shared" si="26"/>
        <v xml:space="preserve"> </v>
      </c>
      <c r="E351" s="15" t="str">
        <f t="shared" si="27"/>
        <v xml:space="preserve"> </v>
      </c>
      <c r="F351" s="15" t="str">
        <f t="shared" si="28"/>
        <v xml:space="preserve"> </v>
      </c>
    </row>
    <row r="352" spans="2:6" x14ac:dyDescent="0.25">
      <c r="B352" s="16" t="str">
        <f t="shared" si="29"/>
        <v xml:space="preserve"> </v>
      </c>
      <c r="C352" s="54" t="str">
        <f t="shared" si="25"/>
        <v xml:space="preserve"> </v>
      </c>
      <c r="D352" s="73" t="str">
        <f t="shared" si="26"/>
        <v xml:space="preserve"> </v>
      </c>
      <c r="E352" s="15" t="str">
        <f t="shared" si="27"/>
        <v xml:space="preserve"> </v>
      </c>
      <c r="F352" s="15" t="str">
        <f t="shared" si="28"/>
        <v xml:space="preserve"> </v>
      </c>
    </row>
    <row r="353" spans="2:6" x14ac:dyDescent="0.25">
      <c r="B353" s="16" t="str">
        <f t="shared" si="29"/>
        <v xml:space="preserve"> </v>
      </c>
      <c r="C353" s="54" t="str">
        <f t="shared" si="25"/>
        <v xml:space="preserve"> </v>
      </c>
      <c r="D353" s="73" t="str">
        <f t="shared" si="26"/>
        <v xml:space="preserve"> </v>
      </c>
      <c r="E353" s="15" t="str">
        <f t="shared" si="27"/>
        <v xml:space="preserve"> </v>
      </c>
      <c r="F353" s="15" t="str">
        <f t="shared" si="28"/>
        <v xml:space="preserve"> </v>
      </c>
    </row>
    <row r="354" spans="2:6" x14ac:dyDescent="0.25">
      <c r="B354" s="16" t="str">
        <f t="shared" si="29"/>
        <v xml:space="preserve"> </v>
      </c>
      <c r="C354" s="54" t="str">
        <f t="shared" si="25"/>
        <v xml:space="preserve"> </v>
      </c>
      <c r="D354" s="73" t="str">
        <f t="shared" si="26"/>
        <v xml:space="preserve"> </v>
      </c>
      <c r="E354" s="15" t="str">
        <f t="shared" si="27"/>
        <v xml:space="preserve"> </v>
      </c>
      <c r="F354" s="15" t="str">
        <f t="shared" si="28"/>
        <v xml:space="preserve"> </v>
      </c>
    </row>
    <row r="355" spans="2:6" x14ac:dyDescent="0.25">
      <c r="B355" s="16" t="str">
        <f t="shared" si="29"/>
        <v xml:space="preserve"> </v>
      </c>
      <c r="C355" s="54" t="str">
        <f t="shared" si="25"/>
        <v xml:space="preserve"> </v>
      </c>
      <c r="D355" s="73" t="str">
        <f t="shared" si="26"/>
        <v xml:space="preserve"> </v>
      </c>
      <c r="E355" s="15" t="str">
        <f t="shared" si="27"/>
        <v xml:space="preserve"> </v>
      </c>
      <c r="F355" s="15" t="str">
        <f t="shared" si="28"/>
        <v xml:space="preserve"> </v>
      </c>
    </row>
    <row r="356" spans="2:6" x14ac:dyDescent="0.25">
      <c r="B356" s="16" t="str">
        <f t="shared" si="29"/>
        <v xml:space="preserve"> </v>
      </c>
      <c r="C356" s="54" t="str">
        <f t="shared" si="25"/>
        <v xml:space="preserve"> </v>
      </c>
      <c r="D356" s="73" t="str">
        <f t="shared" si="26"/>
        <v xml:space="preserve"> </v>
      </c>
      <c r="E356" s="15" t="str">
        <f t="shared" si="27"/>
        <v xml:space="preserve"> </v>
      </c>
      <c r="F356" s="15" t="str">
        <f t="shared" si="28"/>
        <v xml:space="preserve"> </v>
      </c>
    </row>
    <row r="357" spans="2:6" x14ac:dyDescent="0.25">
      <c r="B357" s="16" t="str">
        <f t="shared" si="29"/>
        <v xml:space="preserve"> </v>
      </c>
      <c r="C357" s="54" t="str">
        <f t="shared" si="25"/>
        <v xml:space="preserve"> </v>
      </c>
      <c r="D357" s="73" t="str">
        <f t="shared" si="26"/>
        <v xml:space="preserve"> </v>
      </c>
      <c r="E357" s="15" t="str">
        <f t="shared" si="27"/>
        <v xml:space="preserve"> </v>
      </c>
      <c r="F357" s="15" t="str">
        <f t="shared" si="28"/>
        <v xml:space="preserve"> </v>
      </c>
    </row>
    <row r="358" spans="2:6" x14ac:dyDescent="0.25">
      <c r="B358" s="16" t="str">
        <f t="shared" si="29"/>
        <v xml:space="preserve"> </v>
      </c>
      <c r="C358" s="54" t="str">
        <f t="shared" si="25"/>
        <v xml:space="preserve"> </v>
      </c>
      <c r="D358" s="73" t="str">
        <f t="shared" si="26"/>
        <v xml:space="preserve"> </v>
      </c>
      <c r="E358" s="15" t="str">
        <f t="shared" si="27"/>
        <v xml:space="preserve"> </v>
      </c>
      <c r="F358" s="15" t="str">
        <f t="shared" si="28"/>
        <v xml:space="preserve"> </v>
      </c>
    </row>
    <row r="359" spans="2:6" x14ac:dyDescent="0.25">
      <c r="B359" s="16" t="str">
        <f t="shared" si="29"/>
        <v xml:space="preserve"> </v>
      </c>
      <c r="C359" s="54" t="str">
        <f t="shared" si="25"/>
        <v xml:space="preserve"> </v>
      </c>
      <c r="D359" s="73" t="str">
        <f t="shared" si="26"/>
        <v xml:space="preserve"> </v>
      </c>
      <c r="E359" s="15" t="str">
        <f t="shared" si="27"/>
        <v xml:space="preserve"> </v>
      </c>
      <c r="F359" s="15" t="str">
        <f t="shared" si="28"/>
        <v xml:space="preserve"> </v>
      </c>
    </row>
    <row r="360" spans="2:6" x14ac:dyDescent="0.25">
      <c r="B360" s="16" t="str">
        <f t="shared" si="29"/>
        <v xml:space="preserve"> </v>
      </c>
      <c r="C360" s="54" t="str">
        <f t="shared" si="25"/>
        <v xml:space="preserve"> </v>
      </c>
      <c r="D360" s="73" t="str">
        <f t="shared" si="26"/>
        <v xml:space="preserve"> </v>
      </c>
      <c r="E360" s="15" t="str">
        <f t="shared" si="27"/>
        <v xml:space="preserve"> </v>
      </c>
      <c r="F360" s="15" t="str">
        <f t="shared" si="28"/>
        <v xml:space="preserve"> </v>
      </c>
    </row>
    <row r="361" spans="2:6" x14ac:dyDescent="0.25">
      <c r="B361" s="16" t="str">
        <f t="shared" si="29"/>
        <v xml:space="preserve"> </v>
      </c>
      <c r="C361" s="54" t="str">
        <f t="shared" si="25"/>
        <v xml:space="preserve"> </v>
      </c>
      <c r="D361" s="73" t="str">
        <f t="shared" si="26"/>
        <v xml:space="preserve"> </v>
      </c>
      <c r="E361" s="15" t="str">
        <f t="shared" si="27"/>
        <v xml:space="preserve"> </v>
      </c>
      <c r="F361" s="15" t="str">
        <f t="shared" si="28"/>
        <v xml:space="preserve"> </v>
      </c>
    </row>
    <row r="362" spans="2:6" x14ac:dyDescent="0.25">
      <c r="B362" s="16" t="str">
        <f t="shared" si="29"/>
        <v xml:space="preserve"> </v>
      </c>
      <c r="C362" s="54" t="str">
        <f t="shared" si="25"/>
        <v xml:space="preserve"> </v>
      </c>
      <c r="D362" s="73" t="str">
        <f t="shared" si="26"/>
        <v xml:space="preserve"> </v>
      </c>
      <c r="E362" s="15" t="str">
        <f t="shared" si="27"/>
        <v xml:space="preserve"> </v>
      </c>
      <c r="F362" s="15" t="str">
        <f t="shared" si="28"/>
        <v xml:space="preserve"> </v>
      </c>
    </row>
    <row r="363" spans="2:6" x14ac:dyDescent="0.25">
      <c r="B363" s="16" t="str">
        <f t="shared" si="29"/>
        <v xml:space="preserve"> </v>
      </c>
      <c r="C363" s="54" t="str">
        <f t="shared" si="25"/>
        <v xml:space="preserve"> </v>
      </c>
      <c r="D363" s="73" t="str">
        <f t="shared" si="26"/>
        <v xml:space="preserve"> </v>
      </c>
      <c r="E363" s="15" t="str">
        <f t="shared" si="27"/>
        <v xml:space="preserve"> </v>
      </c>
      <c r="F363" s="15" t="str">
        <f t="shared" si="28"/>
        <v xml:space="preserve"> </v>
      </c>
    </row>
    <row r="364" spans="2:6" x14ac:dyDescent="0.25">
      <c r="B364" s="16" t="str">
        <f t="shared" si="29"/>
        <v xml:space="preserve"> </v>
      </c>
      <c r="C364" s="54" t="str">
        <f t="shared" si="25"/>
        <v xml:space="preserve"> </v>
      </c>
      <c r="D364" s="73" t="str">
        <f t="shared" si="26"/>
        <v xml:space="preserve"> </v>
      </c>
      <c r="E364" s="15" t="str">
        <f t="shared" si="27"/>
        <v xml:space="preserve"> </v>
      </c>
      <c r="F364" s="15" t="str">
        <f t="shared" si="28"/>
        <v xml:space="preserve"> </v>
      </c>
    </row>
    <row r="365" spans="2:6" x14ac:dyDescent="0.25">
      <c r="B365" s="16" t="str">
        <f t="shared" si="29"/>
        <v xml:space="preserve"> </v>
      </c>
      <c r="C365" s="54" t="str">
        <f t="shared" si="25"/>
        <v xml:space="preserve"> </v>
      </c>
      <c r="D365" s="73" t="str">
        <f t="shared" si="26"/>
        <v xml:space="preserve"> </v>
      </c>
      <c r="E365" s="15" t="str">
        <f t="shared" si="27"/>
        <v xml:space="preserve"> </v>
      </c>
      <c r="F365" s="15" t="str">
        <f t="shared" si="28"/>
        <v xml:space="preserve"> </v>
      </c>
    </row>
    <row r="366" spans="2:6" x14ac:dyDescent="0.25">
      <c r="B366" s="16" t="str">
        <f t="shared" si="29"/>
        <v xml:space="preserve"> </v>
      </c>
      <c r="C366" s="54" t="str">
        <f t="shared" si="25"/>
        <v xml:space="preserve"> </v>
      </c>
      <c r="D366" s="73" t="str">
        <f t="shared" si="26"/>
        <v xml:space="preserve"> </v>
      </c>
      <c r="E366" s="15" t="str">
        <f t="shared" si="27"/>
        <v xml:space="preserve"> </v>
      </c>
      <c r="F366" s="15" t="str">
        <f t="shared" si="28"/>
        <v xml:space="preserve"> </v>
      </c>
    </row>
    <row r="367" spans="2:6" x14ac:dyDescent="0.25">
      <c r="B367" s="16" t="str">
        <f t="shared" si="29"/>
        <v xml:space="preserve"> </v>
      </c>
      <c r="C367" s="54" t="str">
        <f t="shared" si="25"/>
        <v xml:space="preserve"> </v>
      </c>
      <c r="D367" s="73" t="str">
        <f t="shared" si="26"/>
        <v xml:space="preserve"> </v>
      </c>
      <c r="E367" s="15" t="str">
        <f t="shared" si="27"/>
        <v xml:space="preserve"> </v>
      </c>
      <c r="F367" s="15" t="str">
        <f t="shared" si="28"/>
        <v xml:space="preserve"> </v>
      </c>
    </row>
    <row r="368" spans="2:6" x14ac:dyDescent="0.25">
      <c r="B368" s="16" t="str">
        <f t="shared" si="29"/>
        <v xml:space="preserve"> </v>
      </c>
      <c r="C368" s="54" t="str">
        <f t="shared" si="25"/>
        <v xml:space="preserve"> </v>
      </c>
      <c r="D368" s="73" t="str">
        <f t="shared" si="26"/>
        <v xml:space="preserve"> </v>
      </c>
      <c r="E368" s="15" t="str">
        <f t="shared" si="27"/>
        <v xml:space="preserve"> </v>
      </c>
      <c r="F368" s="15" t="str">
        <f t="shared" si="28"/>
        <v xml:space="preserve"> </v>
      </c>
    </row>
    <row r="369" spans="2:6" x14ac:dyDescent="0.25">
      <c r="B369" s="16" t="str">
        <f t="shared" si="29"/>
        <v xml:space="preserve"> </v>
      </c>
      <c r="C369" s="54" t="str">
        <f t="shared" si="25"/>
        <v xml:space="preserve"> </v>
      </c>
      <c r="D369" s="73" t="str">
        <f t="shared" si="26"/>
        <v xml:space="preserve"> </v>
      </c>
      <c r="E369" s="15" t="str">
        <f t="shared" si="27"/>
        <v xml:space="preserve"> </v>
      </c>
      <c r="F369" s="15" t="str">
        <f t="shared" si="28"/>
        <v xml:space="preserve"> </v>
      </c>
    </row>
    <row r="370" spans="2:6" x14ac:dyDescent="0.25">
      <c r="B370" s="16" t="str">
        <f t="shared" si="29"/>
        <v xml:space="preserve"> </v>
      </c>
      <c r="C370" s="54" t="str">
        <f t="shared" si="25"/>
        <v xml:space="preserve"> </v>
      </c>
      <c r="D370" s="73" t="str">
        <f t="shared" si="26"/>
        <v xml:space="preserve"> </v>
      </c>
      <c r="E370" s="15" t="str">
        <f t="shared" si="27"/>
        <v xml:space="preserve"> </v>
      </c>
      <c r="F370" s="15" t="str">
        <f t="shared" si="28"/>
        <v xml:space="preserve"> </v>
      </c>
    </row>
    <row r="371" spans="2:6" x14ac:dyDescent="0.25">
      <c r="B371" s="16" t="str">
        <f t="shared" si="29"/>
        <v xml:space="preserve"> </v>
      </c>
      <c r="C371" s="54" t="str">
        <f t="shared" si="25"/>
        <v xml:space="preserve"> </v>
      </c>
      <c r="D371" s="73" t="str">
        <f t="shared" si="26"/>
        <v xml:space="preserve"> </v>
      </c>
      <c r="E371" s="15" t="str">
        <f t="shared" si="27"/>
        <v xml:space="preserve"> </v>
      </c>
      <c r="F371" s="15" t="str">
        <f t="shared" si="28"/>
        <v xml:space="preserve"> </v>
      </c>
    </row>
    <row r="372" spans="2:6" x14ac:dyDescent="0.25">
      <c r="B372" s="16" t="str">
        <f t="shared" si="29"/>
        <v xml:space="preserve"> </v>
      </c>
      <c r="C372" s="54" t="str">
        <f t="shared" si="25"/>
        <v xml:space="preserve"> </v>
      </c>
      <c r="D372" s="73" t="str">
        <f t="shared" si="26"/>
        <v xml:space="preserve"> </v>
      </c>
      <c r="E372" s="15" t="str">
        <f t="shared" si="27"/>
        <v xml:space="preserve"> </v>
      </c>
      <c r="F372" s="15" t="str">
        <f t="shared" si="28"/>
        <v xml:space="preserve"> </v>
      </c>
    </row>
    <row r="373" spans="2:6" x14ac:dyDescent="0.25">
      <c r="B373" s="16" t="str">
        <f t="shared" si="29"/>
        <v xml:space="preserve"> </v>
      </c>
      <c r="C373" s="54" t="str">
        <f t="shared" si="25"/>
        <v xml:space="preserve"> </v>
      </c>
      <c r="D373" s="73" t="str">
        <f t="shared" si="26"/>
        <v xml:space="preserve"> </v>
      </c>
      <c r="E373" s="15" t="str">
        <f t="shared" si="27"/>
        <v xml:space="preserve"> </v>
      </c>
      <c r="F373" s="15" t="str">
        <f t="shared" si="28"/>
        <v xml:space="preserve"> </v>
      </c>
    </row>
    <row r="374" spans="2:6" x14ac:dyDescent="0.25">
      <c r="B374" s="16" t="str">
        <f t="shared" si="29"/>
        <v xml:space="preserve"> </v>
      </c>
      <c r="C374" s="54" t="str">
        <f t="shared" si="25"/>
        <v xml:space="preserve"> </v>
      </c>
      <c r="D374" s="73" t="str">
        <f t="shared" si="26"/>
        <v xml:space="preserve"> </v>
      </c>
      <c r="E374" s="15" t="str">
        <f t="shared" si="27"/>
        <v xml:space="preserve"> </v>
      </c>
      <c r="F374" s="15" t="str">
        <f t="shared" si="28"/>
        <v xml:space="preserve"> </v>
      </c>
    </row>
    <row r="375" spans="2:6" x14ac:dyDescent="0.25">
      <c r="B375" s="16" t="str">
        <f t="shared" si="29"/>
        <v xml:space="preserve"> </v>
      </c>
      <c r="C375" s="54" t="str">
        <f t="shared" si="25"/>
        <v xml:space="preserve"> </v>
      </c>
      <c r="D375" s="73" t="str">
        <f t="shared" si="26"/>
        <v xml:space="preserve"> </v>
      </c>
      <c r="E375" s="15" t="str">
        <f t="shared" si="27"/>
        <v xml:space="preserve"> </v>
      </c>
      <c r="F375" s="15" t="str">
        <f t="shared" si="28"/>
        <v xml:space="preserve"> </v>
      </c>
    </row>
    <row r="376" spans="2:6" x14ac:dyDescent="0.25">
      <c r="B376" s="16" t="str">
        <f t="shared" si="29"/>
        <v xml:space="preserve"> </v>
      </c>
      <c r="C376" s="54" t="str">
        <f t="shared" si="25"/>
        <v xml:space="preserve"> </v>
      </c>
      <c r="D376" s="73" t="str">
        <f t="shared" si="26"/>
        <v xml:space="preserve"> </v>
      </c>
      <c r="E376" s="15" t="str">
        <f t="shared" si="27"/>
        <v xml:space="preserve"> </v>
      </c>
      <c r="F376" s="15" t="str">
        <f t="shared" si="28"/>
        <v xml:space="preserve"> </v>
      </c>
    </row>
    <row r="377" spans="2:6" x14ac:dyDescent="0.25">
      <c r="B377" s="16" t="str">
        <f t="shared" si="29"/>
        <v xml:space="preserve"> </v>
      </c>
      <c r="C377" s="54" t="str">
        <f t="shared" si="25"/>
        <v xml:space="preserve"> </v>
      </c>
      <c r="D377" s="73" t="str">
        <f t="shared" si="26"/>
        <v xml:space="preserve"> </v>
      </c>
      <c r="E377" s="15" t="str">
        <f t="shared" si="27"/>
        <v xml:space="preserve"> </v>
      </c>
      <c r="F377" s="15" t="str">
        <f t="shared" si="28"/>
        <v xml:space="preserve"> </v>
      </c>
    </row>
    <row r="378" spans="2:6" x14ac:dyDescent="0.25">
      <c r="B378" s="16" t="str">
        <f t="shared" si="29"/>
        <v xml:space="preserve"> </v>
      </c>
      <c r="C378" s="54" t="str">
        <f t="shared" si="25"/>
        <v xml:space="preserve"> </v>
      </c>
      <c r="D378" s="73" t="str">
        <f t="shared" si="26"/>
        <v xml:space="preserve"> </v>
      </c>
      <c r="E378" s="15" t="str">
        <f t="shared" si="27"/>
        <v xml:space="preserve"> </v>
      </c>
      <c r="F378" s="15" t="str">
        <f t="shared" si="28"/>
        <v xml:space="preserve"> </v>
      </c>
    </row>
    <row r="379" spans="2:6" x14ac:dyDescent="0.25">
      <c r="B379" s="16" t="str">
        <f t="shared" si="29"/>
        <v xml:space="preserve"> </v>
      </c>
      <c r="C379" s="54" t="str">
        <f t="shared" si="25"/>
        <v xml:space="preserve"> </v>
      </c>
      <c r="D379" s="73" t="str">
        <f t="shared" si="26"/>
        <v xml:space="preserve"> </v>
      </c>
      <c r="E379" s="15" t="str">
        <f t="shared" si="27"/>
        <v xml:space="preserve"> </v>
      </c>
      <c r="F379" s="15" t="str">
        <f t="shared" si="28"/>
        <v xml:space="preserve"> </v>
      </c>
    </row>
    <row r="380" spans="2:6" x14ac:dyDescent="0.25">
      <c r="B380" s="16" t="str">
        <f t="shared" si="29"/>
        <v xml:space="preserve"> </v>
      </c>
      <c r="C380" s="54" t="str">
        <f t="shared" si="25"/>
        <v xml:space="preserve"> </v>
      </c>
      <c r="D380" s="73" t="str">
        <f t="shared" si="26"/>
        <v xml:space="preserve"> </v>
      </c>
      <c r="E380" s="15" t="str">
        <f t="shared" si="27"/>
        <v xml:space="preserve"> </v>
      </c>
      <c r="F380" s="15" t="str">
        <f t="shared" si="28"/>
        <v xml:space="preserve"> </v>
      </c>
    </row>
    <row r="381" spans="2:6" x14ac:dyDescent="0.25">
      <c r="B381" s="16" t="str">
        <f t="shared" si="29"/>
        <v xml:space="preserve"> </v>
      </c>
      <c r="C381" s="54" t="str">
        <f t="shared" si="25"/>
        <v xml:space="preserve"> </v>
      </c>
      <c r="D381" s="73" t="str">
        <f t="shared" si="26"/>
        <v xml:space="preserve"> </v>
      </c>
      <c r="E381" s="15" t="str">
        <f t="shared" si="27"/>
        <v xml:space="preserve"> </v>
      </c>
      <c r="F381" s="15" t="str">
        <f t="shared" si="28"/>
        <v xml:space="preserve"> </v>
      </c>
    </row>
    <row r="382" spans="2:6" x14ac:dyDescent="0.25">
      <c r="B382" s="16" t="str">
        <f t="shared" si="29"/>
        <v xml:space="preserve"> </v>
      </c>
      <c r="C382" s="54" t="str">
        <f t="shared" si="25"/>
        <v xml:space="preserve"> </v>
      </c>
      <c r="D382" s="73" t="str">
        <f t="shared" si="26"/>
        <v xml:space="preserve"> </v>
      </c>
      <c r="E382" s="15" t="str">
        <f t="shared" si="27"/>
        <v xml:space="preserve"> </v>
      </c>
      <c r="F382" s="15" t="str">
        <f t="shared" si="28"/>
        <v xml:space="preserve"> </v>
      </c>
    </row>
    <row r="383" spans="2:6" x14ac:dyDescent="0.25">
      <c r="B383" s="16" t="str">
        <f t="shared" si="29"/>
        <v xml:space="preserve"> </v>
      </c>
      <c r="C383" s="54" t="str">
        <f t="shared" si="25"/>
        <v xml:space="preserve"> </v>
      </c>
      <c r="D383" s="73" t="str">
        <f t="shared" si="26"/>
        <v xml:space="preserve"> </v>
      </c>
      <c r="E383" s="15" t="str">
        <f t="shared" si="27"/>
        <v xml:space="preserve"> </v>
      </c>
      <c r="F383" s="15" t="str">
        <f t="shared" si="28"/>
        <v xml:space="preserve"> </v>
      </c>
    </row>
    <row r="384" spans="2:6" x14ac:dyDescent="0.25">
      <c r="B384" s="16" t="str">
        <f t="shared" si="29"/>
        <v xml:space="preserve"> </v>
      </c>
      <c r="C384" s="54" t="str">
        <f t="shared" si="25"/>
        <v xml:space="preserve"> </v>
      </c>
      <c r="D384" s="73" t="str">
        <f t="shared" si="26"/>
        <v xml:space="preserve"> </v>
      </c>
      <c r="E384" s="15" t="str">
        <f t="shared" si="27"/>
        <v xml:space="preserve"> </v>
      </c>
      <c r="F384" s="15" t="str">
        <f t="shared" si="28"/>
        <v xml:space="preserve"> </v>
      </c>
    </row>
    <row r="385" spans="2:6" x14ac:dyDescent="0.25">
      <c r="B385" s="16" t="str">
        <f t="shared" si="29"/>
        <v xml:space="preserve"> </v>
      </c>
      <c r="C385" s="54" t="str">
        <f t="shared" si="25"/>
        <v xml:space="preserve"> </v>
      </c>
      <c r="D385" s="73" t="str">
        <f t="shared" si="26"/>
        <v xml:space="preserve"> </v>
      </c>
      <c r="E385" s="15" t="str">
        <f t="shared" si="27"/>
        <v xml:space="preserve"> </v>
      </c>
      <c r="F385" s="15" t="str">
        <f t="shared" si="28"/>
        <v xml:space="preserve"> </v>
      </c>
    </row>
    <row r="386" spans="2:6" x14ac:dyDescent="0.25">
      <c r="B386" s="16" t="str">
        <f t="shared" si="29"/>
        <v xml:space="preserve"> </v>
      </c>
      <c r="C386" s="54" t="str">
        <f t="shared" si="25"/>
        <v xml:space="preserve"> </v>
      </c>
      <c r="D386" s="73" t="str">
        <f t="shared" si="26"/>
        <v xml:space="preserve"> </v>
      </c>
      <c r="E386" s="15" t="str">
        <f t="shared" si="27"/>
        <v xml:space="preserve"> </v>
      </c>
      <c r="F386" s="15" t="str">
        <f t="shared" si="28"/>
        <v xml:space="preserve"> </v>
      </c>
    </row>
    <row r="387" spans="2:6" x14ac:dyDescent="0.25">
      <c r="B387" s="16" t="str">
        <f t="shared" si="29"/>
        <v xml:space="preserve"> </v>
      </c>
      <c r="C387" s="54" t="str">
        <f t="shared" si="25"/>
        <v xml:space="preserve"> </v>
      </c>
      <c r="D387" s="73" t="str">
        <f t="shared" si="26"/>
        <v xml:space="preserve"> </v>
      </c>
      <c r="E387" s="15" t="str">
        <f t="shared" si="27"/>
        <v xml:space="preserve"> </v>
      </c>
      <c r="F387" s="15" t="str">
        <f t="shared" si="28"/>
        <v xml:space="preserve"> </v>
      </c>
    </row>
    <row r="388" spans="2:6" x14ac:dyDescent="0.25">
      <c r="B388" s="16" t="str">
        <f t="shared" si="29"/>
        <v xml:space="preserve"> </v>
      </c>
      <c r="C388" s="54" t="str">
        <f t="shared" si="25"/>
        <v xml:space="preserve"> </v>
      </c>
      <c r="D388" s="73" t="str">
        <f t="shared" si="26"/>
        <v xml:space="preserve"> </v>
      </c>
      <c r="E388" s="15" t="str">
        <f t="shared" si="27"/>
        <v xml:space="preserve"> </v>
      </c>
      <c r="F388" s="15" t="str">
        <f t="shared" si="28"/>
        <v xml:space="preserve"> </v>
      </c>
    </row>
    <row r="389" spans="2:6" x14ac:dyDescent="0.25">
      <c r="B389" s="16" t="str">
        <f t="shared" si="29"/>
        <v xml:space="preserve"> </v>
      </c>
      <c r="C389" s="54" t="str">
        <f t="shared" si="25"/>
        <v xml:space="preserve"> </v>
      </c>
      <c r="D389" s="73" t="str">
        <f t="shared" si="26"/>
        <v xml:space="preserve"> </v>
      </c>
      <c r="E389" s="15" t="str">
        <f t="shared" si="27"/>
        <v xml:space="preserve"> </v>
      </c>
      <c r="F389" s="15" t="str">
        <f t="shared" si="28"/>
        <v xml:space="preserve"> </v>
      </c>
    </row>
    <row r="390" spans="2:6" x14ac:dyDescent="0.25">
      <c r="B390" s="16" t="str">
        <f t="shared" si="29"/>
        <v xml:space="preserve"> </v>
      </c>
      <c r="C390" s="54" t="str">
        <f t="shared" si="25"/>
        <v xml:space="preserve"> </v>
      </c>
      <c r="D390" s="73" t="str">
        <f t="shared" si="26"/>
        <v xml:space="preserve"> </v>
      </c>
      <c r="E390" s="15" t="str">
        <f t="shared" si="27"/>
        <v xml:space="preserve"> </v>
      </c>
      <c r="F390" s="15" t="str">
        <f t="shared" si="28"/>
        <v xml:space="preserve"> </v>
      </c>
    </row>
    <row r="391" spans="2:6" x14ac:dyDescent="0.25">
      <c r="B391" s="16" t="str">
        <f t="shared" si="29"/>
        <v xml:space="preserve"> </v>
      </c>
      <c r="C391" s="54" t="str">
        <f t="shared" si="25"/>
        <v xml:space="preserve"> </v>
      </c>
      <c r="D391" s="73" t="str">
        <f t="shared" si="26"/>
        <v xml:space="preserve"> </v>
      </c>
      <c r="E391" s="15" t="str">
        <f t="shared" si="27"/>
        <v xml:space="preserve"> </v>
      </c>
      <c r="F391" s="15" t="str">
        <f t="shared" si="28"/>
        <v xml:space="preserve"> </v>
      </c>
    </row>
    <row r="392" spans="2:6" x14ac:dyDescent="0.25">
      <c r="B392" s="16" t="str">
        <f t="shared" si="29"/>
        <v xml:space="preserve"> </v>
      </c>
      <c r="C392" s="54" t="str">
        <f t="shared" si="25"/>
        <v xml:space="preserve"> </v>
      </c>
      <c r="D392" s="73" t="str">
        <f t="shared" si="26"/>
        <v xml:space="preserve"> </v>
      </c>
      <c r="E392" s="15" t="str">
        <f t="shared" si="27"/>
        <v xml:space="preserve"> </v>
      </c>
      <c r="F392" s="15" t="str">
        <f t="shared" si="28"/>
        <v xml:space="preserve"> </v>
      </c>
    </row>
    <row r="393" spans="2:6" x14ac:dyDescent="0.25">
      <c r="B393" s="16" t="str">
        <f t="shared" si="29"/>
        <v xml:space="preserve"> </v>
      </c>
      <c r="C393" s="54" t="str">
        <f t="shared" si="25"/>
        <v xml:space="preserve"> </v>
      </c>
      <c r="D393" s="73" t="str">
        <f t="shared" si="26"/>
        <v xml:space="preserve"> </v>
      </c>
      <c r="E393" s="15" t="str">
        <f t="shared" si="27"/>
        <v xml:space="preserve"> </v>
      </c>
      <c r="F393" s="15" t="str">
        <f t="shared" si="28"/>
        <v xml:space="preserve"> </v>
      </c>
    </row>
    <row r="394" spans="2:6" x14ac:dyDescent="0.25">
      <c r="B394" s="16" t="str">
        <f t="shared" si="29"/>
        <v xml:space="preserve"> </v>
      </c>
      <c r="C394" s="54" t="str">
        <f t="shared" si="25"/>
        <v xml:space="preserve"> </v>
      </c>
      <c r="D394" s="73" t="str">
        <f t="shared" si="26"/>
        <v xml:space="preserve"> </v>
      </c>
      <c r="E394" s="15" t="str">
        <f t="shared" si="27"/>
        <v xml:space="preserve"> </v>
      </c>
      <c r="F394" s="15" t="str">
        <f t="shared" si="28"/>
        <v xml:space="preserve"> </v>
      </c>
    </row>
    <row r="395" spans="2:6" x14ac:dyDescent="0.25">
      <c r="B395" s="16" t="str">
        <f t="shared" si="29"/>
        <v xml:space="preserve"> </v>
      </c>
      <c r="C395" s="54" t="str">
        <f t="shared" si="25"/>
        <v xml:space="preserve"> </v>
      </c>
      <c r="D395" s="73" t="str">
        <f t="shared" si="26"/>
        <v xml:space="preserve"> </v>
      </c>
      <c r="E395" s="15" t="str">
        <f t="shared" si="27"/>
        <v xml:space="preserve"> </v>
      </c>
      <c r="F395" s="15" t="str">
        <f t="shared" si="28"/>
        <v xml:space="preserve"> </v>
      </c>
    </row>
    <row r="396" spans="2:6" x14ac:dyDescent="0.25">
      <c r="B396" s="16" t="str">
        <f t="shared" si="29"/>
        <v xml:space="preserve"> </v>
      </c>
      <c r="C396" s="54" t="str">
        <f t="shared" si="25"/>
        <v xml:space="preserve"> </v>
      </c>
      <c r="D396" s="73" t="str">
        <f t="shared" si="26"/>
        <v xml:space="preserve"> </v>
      </c>
      <c r="E396" s="15" t="str">
        <f t="shared" si="27"/>
        <v xml:space="preserve"> </v>
      </c>
      <c r="F396" s="15" t="str">
        <f t="shared" si="28"/>
        <v xml:space="preserve"> </v>
      </c>
    </row>
    <row r="397" spans="2:6" x14ac:dyDescent="0.25">
      <c r="B397" s="16" t="str">
        <f t="shared" si="29"/>
        <v xml:space="preserve"> </v>
      </c>
      <c r="C397" s="54" t="str">
        <f t="shared" ref="C397:C432" si="30">IF(B397&lt;=$D$6,-PMT($D$5,$D$6,$D$4,0)," ")</f>
        <v xml:space="preserve"> </v>
      </c>
      <c r="D397" s="73" t="str">
        <f t="shared" ref="D397:D432" si="31">IF(B397&lt;=$D$6,-IPMT($D$5,B397,$D$6,$D$4)," ")</f>
        <v xml:space="preserve"> </v>
      </c>
      <c r="E397" s="15" t="str">
        <f t="shared" ref="E397:E432" si="32">IF(B397&lt;=$D$6,-PPMT($D$5,B397,$D$6,$D$4)," ")</f>
        <v xml:space="preserve"> </v>
      </c>
      <c r="F397" s="15" t="str">
        <f t="shared" ref="F397:F432" si="33">IF(B397&lt;=$D$6,(F396-E397)," ")</f>
        <v xml:space="preserve"> </v>
      </c>
    </row>
    <row r="398" spans="2:6" x14ac:dyDescent="0.25">
      <c r="B398" s="16" t="str">
        <f t="shared" ref="B398:B432" si="34">IF(B397=" "," ",IF(B397&lt;$D$6,B397+1," "))</f>
        <v xml:space="preserve"> </v>
      </c>
      <c r="C398" s="54" t="str">
        <f t="shared" si="30"/>
        <v xml:space="preserve"> </v>
      </c>
      <c r="D398" s="73" t="str">
        <f t="shared" si="31"/>
        <v xml:space="preserve"> </v>
      </c>
      <c r="E398" s="15" t="str">
        <f t="shared" si="32"/>
        <v xml:space="preserve"> </v>
      </c>
      <c r="F398" s="15" t="str">
        <f t="shared" si="33"/>
        <v xml:space="preserve"> </v>
      </c>
    </row>
    <row r="399" spans="2:6" x14ac:dyDescent="0.25">
      <c r="B399" s="16" t="str">
        <f t="shared" si="34"/>
        <v xml:space="preserve"> </v>
      </c>
      <c r="C399" s="54" t="str">
        <f t="shared" si="30"/>
        <v xml:space="preserve"> </v>
      </c>
      <c r="D399" s="73" t="str">
        <f t="shared" si="31"/>
        <v xml:space="preserve"> </v>
      </c>
      <c r="E399" s="15" t="str">
        <f t="shared" si="32"/>
        <v xml:space="preserve"> </v>
      </c>
      <c r="F399" s="15" t="str">
        <f t="shared" si="33"/>
        <v xml:space="preserve"> </v>
      </c>
    </row>
    <row r="400" spans="2:6" x14ac:dyDescent="0.25">
      <c r="B400" s="16" t="str">
        <f t="shared" si="34"/>
        <v xml:space="preserve"> </v>
      </c>
      <c r="C400" s="54" t="str">
        <f t="shared" si="30"/>
        <v xml:space="preserve"> </v>
      </c>
      <c r="D400" s="73" t="str">
        <f t="shared" si="31"/>
        <v xml:space="preserve"> </v>
      </c>
      <c r="E400" s="15" t="str">
        <f t="shared" si="32"/>
        <v xml:space="preserve"> </v>
      </c>
      <c r="F400" s="15" t="str">
        <f t="shared" si="33"/>
        <v xml:space="preserve"> </v>
      </c>
    </row>
    <row r="401" spans="2:6" x14ac:dyDescent="0.25">
      <c r="B401" s="16" t="str">
        <f t="shared" si="34"/>
        <v xml:space="preserve"> </v>
      </c>
      <c r="C401" s="54" t="str">
        <f t="shared" si="30"/>
        <v xml:space="preserve"> </v>
      </c>
      <c r="D401" s="73" t="str">
        <f t="shared" si="31"/>
        <v xml:space="preserve"> </v>
      </c>
      <c r="E401" s="15" t="str">
        <f t="shared" si="32"/>
        <v xml:space="preserve"> </v>
      </c>
      <c r="F401" s="15" t="str">
        <f t="shared" si="33"/>
        <v xml:space="preserve"> </v>
      </c>
    </row>
    <row r="402" spans="2:6" x14ac:dyDescent="0.25">
      <c r="B402" s="16" t="str">
        <f t="shared" si="34"/>
        <v xml:space="preserve"> </v>
      </c>
      <c r="C402" s="54" t="str">
        <f t="shared" si="30"/>
        <v xml:space="preserve"> </v>
      </c>
      <c r="D402" s="73" t="str">
        <f t="shared" si="31"/>
        <v xml:space="preserve"> </v>
      </c>
      <c r="E402" s="15" t="str">
        <f t="shared" si="32"/>
        <v xml:space="preserve"> </v>
      </c>
      <c r="F402" s="15" t="str">
        <f t="shared" si="33"/>
        <v xml:space="preserve"> </v>
      </c>
    </row>
    <row r="403" spans="2:6" x14ac:dyDescent="0.25">
      <c r="B403" s="16" t="str">
        <f t="shared" si="34"/>
        <v xml:space="preserve"> </v>
      </c>
      <c r="C403" s="54" t="str">
        <f t="shared" si="30"/>
        <v xml:space="preserve"> </v>
      </c>
      <c r="D403" s="73" t="str">
        <f t="shared" si="31"/>
        <v xml:space="preserve"> </v>
      </c>
      <c r="E403" s="15" t="str">
        <f t="shared" si="32"/>
        <v xml:space="preserve"> </v>
      </c>
      <c r="F403" s="15" t="str">
        <f t="shared" si="33"/>
        <v xml:space="preserve"> </v>
      </c>
    </row>
    <row r="404" spans="2:6" x14ac:dyDescent="0.25">
      <c r="B404" s="16" t="str">
        <f t="shared" si="34"/>
        <v xml:space="preserve"> </v>
      </c>
      <c r="C404" s="54" t="str">
        <f t="shared" si="30"/>
        <v xml:space="preserve"> </v>
      </c>
      <c r="D404" s="73" t="str">
        <f t="shared" si="31"/>
        <v xml:space="preserve"> </v>
      </c>
      <c r="E404" s="15" t="str">
        <f t="shared" si="32"/>
        <v xml:space="preserve"> </v>
      </c>
      <c r="F404" s="15" t="str">
        <f t="shared" si="33"/>
        <v xml:space="preserve"> </v>
      </c>
    </row>
    <row r="405" spans="2:6" x14ac:dyDescent="0.25">
      <c r="B405" s="16" t="str">
        <f t="shared" si="34"/>
        <v xml:space="preserve"> </v>
      </c>
      <c r="C405" s="54" t="str">
        <f t="shared" si="30"/>
        <v xml:space="preserve"> </v>
      </c>
      <c r="D405" s="73" t="str">
        <f t="shared" si="31"/>
        <v xml:space="preserve"> </v>
      </c>
      <c r="E405" s="15" t="str">
        <f t="shared" si="32"/>
        <v xml:space="preserve"> </v>
      </c>
      <c r="F405" s="15" t="str">
        <f t="shared" si="33"/>
        <v xml:space="preserve"> </v>
      </c>
    </row>
    <row r="406" spans="2:6" x14ac:dyDescent="0.25">
      <c r="B406" s="16" t="str">
        <f t="shared" si="34"/>
        <v xml:space="preserve"> </v>
      </c>
      <c r="C406" s="54" t="str">
        <f t="shared" si="30"/>
        <v xml:space="preserve"> </v>
      </c>
      <c r="D406" s="73" t="str">
        <f t="shared" si="31"/>
        <v xml:space="preserve"> </v>
      </c>
      <c r="E406" s="15" t="str">
        <f t="shared" si="32"/>
        <v xml:space="preserve"> </v>
      </c>
      <c r="F406" s="15" t="str">
        <f t="shared" si="33"/>
        <v xml:space="preserve"> </v>
      </c>
    </row>
    <row r="407" spans="2:6" x14ac:dyDescent="0.25">
      <c r="B407" s="16" t="str">
        <f t="shared" si="34"/>
        <v xml:space="preserve"> </v>
      </c>
      <c r="C407" s="54" t="str">
        <f t="shared" si="30"/>
        <v xml:space="preserve"> </v>
      </c>
      <c r="D407" s="73" t="str">
        <f t="shared" si="31"/>
        <v xml:space="preserve"> </v>
      </c>
      <c r="E407" s="15" t="str">
        <f t="shared" si="32"/>
        <v xml:space="preserve"> </v>
      </c>
      <c r="F407" s="15" t="str">
        <f t="shared" si="33"/>
        <v xml:space="preserve"> </v>
      </c>
    </row>
    <row r="408" spans="2:6" x14ac:dyDescent="0.25">
      <c r="B408" s="16" t="str">
        <f t="shared" si="34"/>
        <v xml:space="preserve"> </v>
      </c>
      <c r="C408" s="54" t="str">
        <f t="shared" si="30"/>
        <v xml:space="preserve"> </v>
      </c>
      <c r="D408" s="73" t="str">
        <f t="shared" si="31"/>
        <v xml:space="preserve"> </v>
      </c>
      <c r="E408" s="15" t="str">
        <f t="shared" si="32"/>
        <v xml:space="preserve"> </v>
      </c>
      <c r="F408" s="15" t="str">
        <f t="shared" si="33"/>
        <v xml:space="preserve"> </v>
      </c>
    </row>
    <row r="409" spans="2:6" x14ac:dyDescent="0.25">
      <c r="B409" s="16" t="str">
        <f t="shared" si="34"/>
        <v xml:space="preserve"> </v>
      </c>
      <c r="C409" s="54" t="str">
        <f t="shared" si="30"/>
        <v xml:space="preserve"> </v>
      </c>
      <c r="D409" s="73" t="str">
        <f t="shared" si="31"/>
        <v xml:space="preserve"> </v>
      </c>
      <c r="E409" s="15" t="str">
        <f t="shared" si="32"/>
        <v xml:space="preserve"> </v>
      </c>
      <c r="F409" s="15" t="str">
        <f t="shared" si="33"/>
        <v xml:space="preserve"> </v>
      </c>
    </row>
    <row r="410" spans="2:6" x14ac:dyDescent="0.25">
      <c r="B410" s="16" t="str">
        <f t="shared" si="34"/>
        <v xml:space="preserve"> </v>
      </c>
      <c r="C410" s="54" t="str">
        <f t="shared" si="30"/>
        <v xml:space="preserve"> </v>
      </c>
      <c r="D410" s="73" t="str">
        <f t="shared" si="31"/>
        <v xml:space="preserve"> </v>
      </c>
      <c r="E410" s="15" t="str">
        <f t="shared" si="32"/>
        <v xml:space="preserve"> </v>
      </c>
      <c r="F410" s="15" t="str">
        <f t="shared" si="33"/>
        <v xml:space="preserve"> </v>
      </c>
    </row>
    <row r="411" spans="2:6" x14ac:dyDescent="0.25">
      <c r="B411" s="16" t="str">
        <f t="shared" si="34"/>
        <v xml:space="preserve"> </v>
      </c>
      <c r="C411" s="54" t="str">
        <f t="shared" si="30"/>
        <v xml:space="preserve"> </v>
      </c>
      <c r="D411" s="73" t="str">
        <f t="shared" si="31"/>
        <v xml:space="preserve"> </v>
      </c>
      <c r="E411" s="15" t="str">
        <f t="shared" si="32"/>
        <v xml:space="preserve"> </v>
      </c>
      <c r="F411" s="15" t="str">
        <f t="shared" si="33"/>
        <v xml:space="preserve"> </v>
      </c>
    </row>
    <row r="412" spans="2:6" x14ac:dyDescent="0.25">
      <c r="B412" s="16" t="str">
        <f t="shared" si="34"/>
        <v xml:space="preserve"> </v>
      </c>
      <c r="C412" s="54" t="str">
        <f t="shared" si="30"/>
        <v xml:space="preserve"> </v>
      </c>
      <c r="D412" s="73" t="str">
        <f t="shared" si="31"/>
        <v xml:space="preserve"> </v>
      </c>
      <c r="E412" s="15" t="str">
        <f t="shared" si="32"/>
        <v xml:space="preserve"> </v>
      </c>
      <c r="F412" s="15" t="str">
        <f t="shared" si="33"/>
        <v xml:space="preserve"> </v>
      </c>
    </row>
    <row r="413" spans="2:6" x14ac:dyDescent="0.25">
      <c r="B413" s="16" t="str">
        <f t="shared" si="34"/>
        <v xml:space="preserve"> </v>
      </c>
      <c r="C413" s="54" t="str">
        <f t="shared" si="30"/>
        <v xml:space="preserve"> </v>
      </c>
      <c r="D413" s="73" t="str">
        <f t="shared" si="31"/>
        <v xml:space="preserve"> </v>
      </c>
      <c r="E413" s="15" t="str">
        <f t="shared" si="32"/>
        <v xml:space="preserve"> </v>
      </c>
      <c r="F413" s="15" t="str">
        <f t="shared" si="33"/>
        <v xml:space="preserve"> </v>
      </c>
    </row>
    <row r="414" spans="2:6" x14ac:dyDescent="0.25">
      <c r="B414" s="16" t="str">
        <f t="shared" si="34"/>
        <v xml:space="preserve"> </v>
      </c>
      <c r="C414" s="54" t="str">
        <f t="shared" si="30"/>
        <v xml:space="preserve"> </v>
      </c>
      <c r="D414" s="73" t="str">
        <f t="shared" si="31"/>
        <v xml:space="preserve"> </v>
      </c>
      <c r="E414" s="15" t="str">
        <f t="shared" si="32"/>
        <v xml:space="preserve"> </v>
      </c>
      <c r="F414" s="15" t="str">
        <f t="shared" si="33"/>
        <v xml:space="preserve"> </v>
      </c>
    </row>
    <row r="415" spans="2:6" x14ac:dyDescent="0.25">
      <c r="B415" s="16" t="str">
        <f t="shared" si="34"/>
        <v xml:space="preserve"> </v>
      </c>
      <c r="C415" s="54" t="str">
        <f t="shared" si="30"/>
        <v xml:space="preserve"> </v>
      </c>
      <c r="D415" s="73" t="str">
        <f t="shared" si="31"/>
        <v xml:space="preserve"> </v>
      </c>
      <c r="E415" s="15" t="str">
        <f t="shared" si="32"/>
        <v xml:space="preserve"> </v>
      </c>
      <c r="F415" s="15" t="str">
        <f t="shared" si="33"/>
        <v xml:space="preserve"> </v>
      </c>
    </row>
    <row r="416" spans="2:6" x14ac:dyDescent="0.25">
      <c r="B416" s="16" t="str">
        <f t="shared" si="34"/>
        <v xml:space="preserve"> </v>
      </c>
      <c r="C416" s="54" t="str">
        <f t="shared" si="30"/>
        <v xml:space="preserve"> </v>
      </c>
      <c r="D416" s="73" t="str">
        <f t="shared" si="31"/>
        <v xml:space="preserve"> </v>
      </c>
      <c r="E416" s="15" t="str">
        <f t="shared" si="32"/>
        <v xml:space="preserve"> </v>
      </c>
      <c r="F416" s="15" t="str">
        <f t="shared" si="33"/>
        <v xml:space="preserve"> </v>
      </c>
    </row>
    <row r="417" spans="2:6" x14ac:dyDescent="0.25">
      <c r="B417" s="16" t="str">
        <f t="shared" si="34"/>
        <v xml:space="preserve"> </v>
      </c>
      <c r="C417" s="54" t="str">
        <f t="shared" si="30"/>
        <v xml:space="preserve"> </v>
      </c>
      <c r="D417" s="73" t="str">
        <f t="shared" si="31"/>
        <v xml:space="preserve"> </v>
      </c>
      <c r="E417" s="15" t="str">
        <f t="shared" si="32"/>
        <v xml:space="preserve"> </v>
      </c>
      <c r="F417" s="15" t="str">
        <f t="shared" si="33"/>
        <v xml:space="preserve"> </v>
      </c>
    </row>
    <row r="418" spans="2:6" x14ac:dyDescent="0.25">
      <c r="B418" s="16" t="str">
        <f t="shared" si="34"/>
        <v xml:space="preserve"> </v>
      </c>
      <c r="C418" s="54" t="str">
        <f t="shared" si="30"/>
        <v xml:space="preserve"> </v>
      </c>
      <c r="D418" s="73" t="str">
        <f t="shared" si="31"/>
        <v xml:space="preserve"> </v>
      </c>
      <c r="E418" s="15" t="str">
        <f t="shared" si="32"/>
        <v xml:space="preserve"> </v>
      </c>
      <c r="F418" s="15" t="str">
        <f t="shared" si="33"/>
        <v xml:space="preserve"> </v>
      </c>
    </row>
    <row r="419" spans="2:6" x14ac:dyDescent="0.25">
      <c r="B419" s="16" t="str">
        <f t="shared" si="34"/>
        <v xml:space="preserve"> </v>
      </c>
      <c r="C419" s="54" t="str">
        <f t="shared" si="30"/>
        <v xml:space="preserve"> </v>
      </c>
      <c r="D419" s="73" t="str">
        <f t="shared" si="31"/>
        <v xml:space="preserve"> </v>
      </c>
      <c r="E419" s="15" t="str">
        <f t="shared" si="32"/>
        <v xml:space="preserve"> </v>
      </c>
      <c r="F419" s="15" t="str">
        <f t="shared" si="33"/>
        <v xml:space="preserve"> </v>
      </c>
    </row>
    <row r="420" spans="2:6" x14ac:dyDescent="0.25">
      <c r="B420" s="16" t="str">
        <f t="shared" si="34"/>
        <v xml:space="preserve"> </v>
      </c>
      <c r="C420" s="54" t="str">
        <f t="shared" si="30"/>
        <v xml:space="preserve"> </v>
      </c>
      <c r="D420" s="73" t="str">
        <f t="shared" si="31"/>
        <v xml:space="preserve"> </v>
      </c>
      <c r="E420" s="15" t="str">
        <f t="shared" si="32"/>
        <v xml:space="preserve"> </v>
      </c>
      <c r="F420" s="15" t="str">
        <f t="shared" si="33"/>
        <v xml:space="preserve"> </v>
      </c>
    </row>
    <row r="421" spans="2:6" x14ac:dyDescent="0.25">
      <c r="B421" s="16" t="str">
        <f t="shared" si="34"/>
        <v xml:space="preserve"> </v>
      </c>
      <c r="C421" s="54" t="str">
        <f t="shared" si="30"/>
        <v xml:space="preserve"> </v>
      </c>
      <c r="D421" s="73" t="str">
        <f t="shared" si="31"/>
        <v xml:space="preserve"> </v>
      </c>
      <c r="E421" s="15" t="str">
        <f t="shared" si="32"/>
        <v xml:space="preserve"> </v>
      </c>
      <c r="F421" s="15" t="str">
        <f t="shared" si="33"/>
        <v xml:space="preserve"> </v>
      </c>
    </row>
    <row r="422" spans="2:6" x14ac:dyDescent="0.25">
      <c r="B422" s="16" t="str">
        <f t="shared" si="34"/>
        <v xml:space="preserve"> </v>
      </c>
      <c r="C422" s="54" t="str">
        <f t="shared" si="30"/>
        <v xml:space="preserve"> </v>
      </c>
      <c r="D422" s="73" t="str">
        <f t="shared" si="31"/>
        <v xml:space="preserve"> </v>
      </c>
      <c r="E422" s="15" t="str">
        <f t="shared" si="32"/>
        <v xml:space="preserve"> </v>
      </c>
      <c r="F422" s="15" t="str">
        <f t="shared" si="33"/>
        <v xml:space="preserve"> </v>
      </c>
    </row>
    <row r="423" spans="2:6" x14ac:dyDescent="0.25">
      <c r="B423" s="16" t="str">
        <f t="shared" si="34"/>
        <v xml:space="preserve"> </v>
      </c>
      <c r="C423" s="54" t="str">
        <f t="shared" si="30"/>
        <v xml:space="preserve"> </v>
      </c>
      <c r="D423" s="73" t="str">
        <f t="shared" si="31"/>
        <v xml:space="preserve"> </v>
      </c>
      <c r="E423" s="15" t="str">
        <f t="shared" si="32"/>
        <v xml:space="preserve"> </v>
      </c>
      <c r="F423" s="15" t="str">
        <f t="shared" si="33"/>
        <v xml:space="preserve"> </v>
      </c>
    </row>
    <row r="424" spans="2:6" x14ac:dyDescent="0.25">
      <c r="B424" s="16" t="str">
        <f t="shared" si="34"/>
        <v xml:space="preserve"> </v>
      </c>
      <c r="C424" s="54" t="str">
        <f t="shared" si="30"/>
        <v xml:space="preserve"> </v>
      </c>
      <c r="D424" s="73" t="str">
        <f t="shared" si="31"/>
        <v xml:space="preserve"> </v>
      </c>
      <c r="E424" s="15" t="str">
        <f t="shared" si="32"/>
        <v xml:space="preserve"> </v>
      </c>
      <c r="F424" s="15" t="str">
        <f t="shared" si="33"/>
        <v xml:space="preserve"> </v>
      </c>
    </row>
    <row r="425" spans="2:6" x14ac:dyDescent="0.25">
      <c r="B425" s="16" t="str">
        <f t="shared" si="34"/>
        <v xml:space="preserve"> </v>
      </c>
      <c r="C425" s="54" t="str">
        <f t="shared" si="30"/>
        <v xml:space="preserve"> </v>
      </c>
      <c r="D425" s="73" t="str">
        <f t="shared" si="31"/>
        <v xml:space="preserve"> </v>
      </c>
      <c r="E425" s="15" t="str">
        <f t="shared" si="32"/>
        <v xml:space="preserve"> </v>
      </c>
      <c r="F425" s="15" t="str">
        <f t="shared" si="33"/>
        <v xml:space="preserve"> </v>
      </c>
    </row>
    <row r="426" spans="2:6" x14ac:dyDescent="0.25">
      <c r="B426" s="16" t="str">
        <f t="shared" si="34"/>
        <v xml:space="preserve"> </v>
      </c>
      <c r="C426" s="54" t="str">
        <f t="shared" si="30"/>
        <v xml:space="preserve"> </v>
      </c>
      <c r="D426" s="73" t="str">
        <f t="shared" si="31"/>
        <v xml:space="preserve"> </v>
      </c>
      <c r="E426" s="15" t="str">
        <f t="shared" si="32"/>
        <v xml:space="preserve"> </v>
      </c>
      <c r="F426" s="15" t="str">
        <f t="shared" si="33"/>
        <v xml:space="preserve"> </v>
      </c>
    </row>
    <row r="427" spans="2:6" x14ac:dyDescent="0.25">
      <c r="B427" s="16" t="str">
        <f t="shared" si="34"/>
        <v xml:space="preserve"> </v>
      </c>
      <c r="C427" s="54" t="str">
        <f t="shared" si="30"/>
        <v xml:space="preserve"> </v>
      </c>
      <c r="D427" s="73" t="str">
        <f t="shared" si="31"/>
        <v xml:space="preserve"> </v>
      </c>
      <c r="E427" s="15" t="str">
        <f t="shared" si="32"/>
        <v xml:space="preserve"> </v>
      </c>
      <c r="F427" s="15" t="str">
        <f t="shared" si="33"/>
        <v xml:space="preserve"> </v>
      </c>
    </row>
    <row r="428" spans="2:6" x14ac:dyDescent="0.25">
      <c r="B428" s="16" t="str">
        <f t="shared" si="34"/>
        <v xml:space="preserve"> </v>
      </c>
      <c r="C428" s="54" t="str">
        <f t="shared" si="30"/>
        <v xml:space="preserve"> </v>
      </c>
      <c r="D428" s="73" t="str">
        <f t="shared" si="31"/>
        <v xml:space="preserve"> </v>
      </c>
      <c r="E428" s="15" t="str">
        <f t="shared" si="32"/>
        <v xml:space="preserve"> </v>
      </c>
      <c r="F428" s="15" t="str">
        <f t="shared" si="33"/>
        <v xml:space="preserve"> </v>
      </c>
    </row>
    <row r="429" spans="2:6" x14ac:dyDescent="0.25">
      <c r="B429" s="16" t="str">
        <f t="shared" si="34"/>
        <v xml:space="preserve"> </v>
      </c>
      <c r="C429" s="54" t="str">
        <f t="shared" si="30"/>
        <v xml:space="preserve"> </v>
      </c>
      <c r="D429" s="73" t="str">
        <f t="shared" si="31"/>
        <v xml:space="preserve"> </v>
      </c>
      <c r="E429" s="15" t="str">
        <f t="shared" si="32"/>
        <v xml:space="preserve"> </v>
      </c>
      <c r="F429" s="15" t="str">
        <f t="shared" si="33"/>
        <v xml:space="preserve"> </v>
      </c>
    </row>
    <row r="430" spans="2:6" x14ac:dyDescent="0.25">
      <c r="B430" s="16" t="str">
        <f t="shared" si="34"/>
        <v xml:space="preserve"> </v>
      </c>
      <c r="C430" s="54" t="str">
        <f t="shared" si="30"/>
        <v xml:space="preserve"> </v>
      </c>
      <c r="D430" s="73" t="str">
        <f t="shared" si="31"/>
        <v xml:space="preserve"> </v>
      </c>
      <c r="E430" s="15" t="str">
        <f t="shared" si="32"/>
        <v xml:space="preserve"> </v>
      </c>
      <c r="F430" s="15" t="str">
        <f t="shared" si="33"/>
        <v xml:space="preserve"> </v>
      </c>
    </row>
    <row r="431" spans="2:6" x14ac:dyDescent="0.25">
      <c r="B431" s="16" t="str">
        <f t="shared" si="34"/>
        <v xml:space="preserve"> </v>
      </c>
      <c r="C431" s="54" t="str">
        <f t="shared" si="30"/>
        <v xml:space="preserve"> </v>
      </c>
      <c r="D431" s="73" t="str">
        <f t="shared" si="31"/>
        <v xml:space="preserve"> </v>
      </c>
      <c r="E431" s="15" t="str">
        <f t="shared" si="32"/>
        <v xml:space="preserve"> </v>
      </c>
      <c r="F431" s="15" t="str">
        <f t="shared" si="33"/>
        <v xml:space="preserve"> </v>
      </c>
    </row>
    <row r="432" spans="2:6" x14ac:dyDescent="0.25">
      <c r="B432" s="16" t="str">
        <f t="shared" si="34"/>
        <v xml:space="preserve"> </v>
      </c>
      <c r="C432" s="54" t="str">
        <f t="shared" si="30"/>
        <v xml:space="preserve"> </v>
      </c>
      <c r="D432" s="73" t="str">
        <f t="shared" si="31"/>
        <v xml:space="preserve"> </v>
      </c>
      <c r="E432" s="15" t="str">
        <f t="shared" si="32"/>
        <v xml:space="preserve"> </v>
      </c>
      <c r="F432" s="15" t="str">
        <f t="shared" si="33"/>
        <v xml:space="preserve"> </v>
      </c>
    </row>
  </sheetData>
  <sheetProtection algorithmName="SHA-512" hashValue="U4+YAYa8MrxfaETsq94lQLZkBJs4TgnnCisGgy/5WULHw0lYz1r4KZnYaOa96TYQXrhhIxx0Y71W+mGI2b0WOg==" saltValue="n56ZmdyJgWSgw1W7E43c6w==" spinCount="100000" sheet="1"/>
  <mergeCells count="4">
    <mergeCell ref="B4:C4"/>
    <mergeCell ref="B5:C5"/>
    <mergeCell ref="B6:C6"/>
    <mergeCell ref="B7:C7"/>
  </mergeCells>
  <conditionalFormatting sqref="F1:F1048576">
    <cfRule type="containsErrors" dxfId="4" priority="1">
      <formula>ISERROR(F1)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E96EA-A0E5-4B5D-AF04-F8ADEB3B3F85}">
  <sheetPr codeName="Hoja4">
    <tabColor rgb="FFCCCCFF"/>
  </sheetPr>
  <dimension ref="B2:E5"/>
  <sheetViews>
    <sheetView workbookViewId="0">
      <selection activeCell="B11" sqref="B11"/>
    </sheetView>
  </sheetViews>
  <sheetFormatPr baseColWidth="10" defaultColWidth="10.7109375" defaultRowHeight="15" x14ac:dyDescent="0.25"/>
  <cols>
    <col min="1" max="1" width="6.5703125" customWidth="1"/>
    <col min="2" max="2" width="16.140625" customWidth="1"/>
    <col min="3" max="3" width="17.28515625" style="92" customWidth="1"/>
  </cols>
  <sheetData>
    <row r="2" spans="2:5" ht="30" customHeight="1" x14ac:dyDescent="0.25">
      <c r="B2" s="119" t="s">
        <v>38</v>
      </c>
      <c r="C2" s="118"/>
      <c r="D2" s="119"/>
      <c r="E2" s="75"/>
    </row>
    <row r="3" spans="2:5" ht="12" customHeight="1" x14ac:dyDescent="0.25">
      <c r="B3" s="75"/>
      <c r="C3" s="89"/>
      <c r="D3" s="75"/>
      <c r="E3" s="75"/>
    </row>
    <row r="4" spans="2:5" x14ac:dyDescent="0.25">
      <c r="C4" s="90">
        <f>SUM(Tabla4[VALOR])</f>
        <v>0</v>
      </c>
    </row>
    <row r="5" spans="2:5" x14ac:dyDescent="0.25">
      <c r="B5" s="76" t="s">
        <v>39</v>
      </c>
      <c r="C5" s="91" t="s">
        <v>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CONTROL DE PRESTAMOS</vt:lpstr>
      <vt:lpstr>DATOS CLIENTES</vt:lpstr>
      <vt:lpstr>TABLA DE AMORTIZACION</vt:lpstr>
      <vt:lpstr>REGISTRO DE UTILIDAD</vt:lpstr>
      <vt:lpstr>CLIENTESS</vt:lpstr>
      <vt:lpstr>'CONTROL DE PRESTAMOS'!FORMA</vt:lpstr>
      <vt:lpstr>'CONTROL DE PRESTAMOS'!PERIODOS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PrestaYA El Paisa</dc:title>
  <dc:subject>Sistema de control</dc:subject>
  <dc:creator>Miguel</dc:creator>
  <cp:lastModifiedBy>Miguel Rodriguez</cp:lastModifiedBy>
  <dcterms:created xsi:type="dcterms:W3CDTF">2021-07-01T15:09:16Z</dcterms:created>
  <dcterms:modified xsi:type="dcterms:W3CDTF">2024-03-21T17:21:16Z</dcterms:modified>
  <cp:category>Negocios</cp:category>
</cp:coreProperties>
</file>